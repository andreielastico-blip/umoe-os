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slicers/slicer6.xml" ContentType="application/vnd.ms-excel.slicer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umoe-my.sharepoint.com/personal/everton_passarini_umoe_com_br/Documents/Documentos/Relatórios/"/>
    </mc:Choice>
  </mc:AlternateContent>
  <xr:revisionPtr revIDLastSave="0" documentId="8_{B117F481-1C6B-4774-8C92-82951F9B2579}" xr6:coauthVersionLast="47" xr6:coauthVersionMax="47" xr10:uidLastSave="{00000000-0000-0000-0000-000000000000}"/>
  <bookViews>
    <workbookView xWindow="-108" yWindow="-108" windowWidth="23256" windowHeight="13896" tabRatio="894" firstSheet="1" activeTab="10" xr2:uid="{663218EC-017C-4F57-800E-6DBCA70374A6}"/>
  </bookViews>
  <sheets>
    <sheet name="GEADA" sheetId="8" r:id="rId1"/>
    <sheet name="IRRIGADO" sheetId="10" r:id="rId2"/>
    <sheet name="TABELA" sheetId="2" r:id="rId3"/>
    <sheet name="EST" sheetId="4" r:id="rId4"/>
    <sheet name="REST1" sheetId="5" r:id="rId5"/>
    <sheet name="REST2" sheetId="3" r:id="rId6"/>
    <sheet name="RESUMO" sheetId="7" r:id="rId7"/>
    <sheet name="GRAF_SEMANA" sheetId="9" r:id="rId8"/>
    <sheet name="CULTIVO" sheetId="12" r:id="rId9"/>
    <sheet name="Apresentação" sheetId="13" r:id="rId10"/>
    <sheet name="Apresentação2" sheetId="14" r:id="rId11"/>
  </sheets>
  <definedNames>
    <definedName name="_xlnm._FilterDatabase" localSheetId="1" hidden="1">IRRIGADO!$A$1:$O$118</definedName>
    <definedName name="DadosExternos_1" localSheetId="1" hidden="1">IRRIGADO!$R$1:$Y$118</definedName>
    <definedName name="DadosExternos_1" localSheetId="2" hidden="1">TABELA!$A$1:$T$2107</definedName>
    <definedName name="DadosExternos_2" localSheetId="1" hidden="1">IRRIGADO!$AF$1:$AL$52</definedName>
    <definedName name="SegmentaçãodeDados_DE_FORNEC">#N/A</definedName>
    <definedName name="SegmentaçãodeDados_DE_FORNEC1">#N/A</definedName>
    <definedName name="SegmentaçãodeDados_GEADA">#N/A</definedName>
    <definedName name="SegmentaçãodeDados_GEADA1">#N/A</definedName>
    <definedName name="SegmentaçãodeDados_IRRIG_DESCARTE">#N/A</definedName>
    <definedName name="SegmentaçãodeDados_TP_CANA">#N/A</definedName>
    <definedName name="SegmentaçãodeDados_TP_CANA1">#N/A</definedName>
  </definedNames>
  <calcPr calcId="191029"/>
  <pivotCaches>
    <pivotCache cacheId="99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" i="14" l="1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  <c r="Y2002" i="2"/>
  <c r="Y2003" i="2"/>
  <c r="Y2004" i="2"/>
  <c r="Y2005" i="2"/>
  <c r="Y2006" i="2"/>
  <c r="Y2007" i="2"/>
  <c r="Y2008" i="2"/>
  <c r="Y2009" i="2"/>
  <c r="Y2010" i="2"/>
  <c r="Y2011" i="2"/>
  <c r="Y2012" i="2"/>
  <c r="Y2013" i="2"/>
  <c r="Y2014" i="2"/>
  <c r="Y2015" i="2"/>
  <c r="Y2016" i="2"/>
  <c r="Y2017" i="2"/>
  <c r="Y2018" i="2"/>
  <c r="Y2019" i="2"/>
  <c r="Y2020" i="2"/>
  <c r="Y2021" i="2"/>
  <c r="Y2022" i="2"/>
  <c r="Y2023" i="2"/>
  <c r="Y2024" i="2"/>
  <c r="Y2025" i="2"/>
  <c r="Y2026" i="2"/>
  <c r="Y2027" i="2"/>
  <c r="Y2028" i="2"/>
  <c r="Y2029" i="2"/>
  <c r="Y2030" i="2"/>
  <c r="Y2031" i="2"/>
  <c r="Y2032" i="2"/>
  <c r="Y2033" i="2"/>
  <c r="Y2034" i="2"/>
  <c r="Y2035" i="2"/>
  <c r="Y2036" i="2"/>
  <c r="Y2037" i="2"/>
  <c r="Y2038" i="2"/>
  <c r="Y2039" i="2"/>
  <c r="Y2040" i="2"/>
  <c r="Y2041" i="2"/>
  <c r="Y2042" i="2"/>
  <c r="Y2043" i="2"/>
  <c r="Y2044" i="2"/>
  <c r="Y2045" i="2"/>
  <c r="Y2046" i="2"/>
  <c r="Y2047" i="2"/>
  <c r="Y2048" i="2"/>
  <c r="Y2049" i="2"/>
  <c r="Y2050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081" i="2"/>
  <c r="Y2082" i="2"/>
  <c r="Y2083" i="2"/>
  <c r="Y2084" i="2"/>
  <c r="Y2085" i="2"/>
  <c r="Y2086" i="2"/>
  <c r="Y2087" i="2"/>
  <c r="Y2088" i="2"/>
  <c r="Y2089" i="2"/>
  <c r="Y2090" i="2"/>
  <c r="Y2091" i="2"/>
  <c r="Y2092" i="2"/>
  <c r="Y2093" i="2"/>
  <c r="Y2094" i="2"/>
  <c r="Y2095" i="2"/>
  <c r="Y2096" i="2"/>
  <c r="Y2097" i="2"/>
  <c r="Y2098" i="2"/>
  <c r="Y2099" i="2"/>
  <c r="Y2100" i="2"/>
  <c r="Y2101" i="2"/>
  <c r="Y2102" i="2"/>
  <c r="Y2103" i="2"/>
  <c r="Y2104" i="2"/>
  <c r="Y2105" i="2"/>
  <c r="Y2106" i="2"/>
  <c r="Y210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864" i="2"/>
  <c r="Z1865" i="2"/>
  <c r="Z1866" i="2"/>
  <c r="Z1867" i="2"/>
  <c r="Z1868" i="2"/>
  <c r="Z1869" i="2"/>
  <c r="Z1870" i="2"/>
  <c r="Z1871" i="2"/>
  <c r="Z1872" i="2"/>
  <c r="Z1873" i="2"/>
  <c r="Z1874" i="2"/>
  <c r="Z1875" i="2"/>
  <c r="Z1876" i="2"/>
  <c r="Z1877" i="2"/>
  <c r="Z1878" i="2"/>
  <c r="Z1879" i="2"/>
  <c r="Z1880" i="2"/>
  <c r="Z1881" i="2"/>
  <c r="Z1882" i="2"/>
  <c r="Z1883" i="2"/>
  <c r="Z1884" i="2"/>
  <c r="Z1885" i="2"/>
  <c r="Z1886" i="2"/>
  <c r="Z1887" i="2"/>
  <c r="Z1888" i="2"/>
  <c r="Z1889" i="2"/>
  <c r="Z1890" i="2"/>
  <c r="Z1891" i="2"/>
  <c r="Z1892" i="2"/>
  <c r="Z1893" i="2"/>
  <c r="Z1894" i="2"/>
  <c r="Z1895" i="2"/>
  <c r="Z1896" i="2"/>
  <c r="Z1897" i="2"/>
  <c r="Z1898" i="2"/>
  <c r="Z1899" i="2"/>
  <c r="Z1900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4" i="2"/>
  <c r="Z1915" i="2"/>
  <c r="Z1916" i="2"/>
  <c r="Z1917" i="2"/>
  <c r="Z1918" i="2"/>
  <c r="Z1919" i="2"/>
  <c r="Z1920" i="2"/>
  <c r="Z1921" i="2"/>
  <c r="Z1922" i="2"/>
  <c r="Z1923" i="2"/>
  <c r="Z1924" i="2"/>
  <c r="Z1925" i="2"/>
  <c r="Z1926" i="2"/>
  <c r="Z1927" i="2"/>
  <c r="Z1928" i="2"/>
  <c r="Z1929" i="2"/>
  <c r="Z1930" i="2"/>
  <c r="Z1931" i="2"/>
  <c r="Z1932" i="2"/>
  <c r="Z1933" i="2"/>
  <c r="Z1934" i="2"/>
  <c r="Z1935" i="2"/>
  <c r="Z1936" i="2"/>
  <c r="Z1937" i="2"/>
  <c r="Z1938" i="2"/>
  <c r="Z1939" i="2"/>
  <c r="Z1940" i="2"/>
  <c r="Z1941" i="2"/>
  <c r="Z1942" i="2"/>
  <c r="Z1943" i="2"/>
  <c r="Z1944" i="2"/>
  <c r="Z1945" i="2"/>
  <c r="Z1946" i="2"/>
  <c r="Z1947" i="2"/>
  <c r="Z1948" i="2"/>
  <c r="Z1949" i="2"/>
  <c r="Z1950" i="2"/>
  <c r="Z1951" i="2"/>
  <c r="Z1952" i="2"/>
  <c r="Z1953" i="2"/>
  <c r="Z1954" i="2"/>
  <c r="Z1955" i="2"/>
  <c r="Z1956" i="2"/>
  <c r="Z1957" i="2"/>
  <c r="Z1958" i="2"/>
  <c r="Z1959" i="2"/>
  <c r="Z1960" i="2"/>
  <c r="Z1961" i="2"/>
  <c r="Z1962" i="2"/>
  <c r="Z1963" i="2"/>
  <c r="Z1964" i="2"/>
  <c r="Z1965" i="2"/>
  <c r="Z1966" i="2"/>
  <c r="Z1967" i="2"/>
  <c r="Z1968" i="2"/>
  <c r="Z1969" i="2"/>
  <c r="Z1970" i="2"/>
  <c r="Z1971" i="2"/>
  <c r="Z1972" i="2"/>
  <c r="Z1973" i="2"/>
  <c r="Z1974" i="2"/>
  <c r="Z1975" i="2"/>
  <c r="Z1976" i="2"/>
  <c r="Z1977" i="2"/>
  <c r="Z1978" i="2"/>
  <c r="Z1979" i="2"/>
  <c r="Z1980" i="2"/>
  <c r="Z1981" i="2"/>
  <c r="Z1982" i="2"/>
  <c r="Z1983" i="2"/>
  <c r="Z1984" i="2"/>
  <c r="Z1985" i="2"/>
  <c r="Z1986" i="2"/>
  <c r="Z1987" i="2"/>
  <c r="Z1988" i="2"/>
  <c r="Z1989" i="2"/>
  <c r="Z1990" i="2"/>
  <c r="Z1991" i="2"/>
  <c r="Z1992" i="2"/>
  <c r="Z1993" i="2"/>
  <c r="Z1994" i="2"/>
  <c r="Z1995" i="2"/>
  <c r="Z1996" i="2"/>
  <c r="Z1997" i="2"/>
  <c r="Z1998" i="2"/>
  <c r="Z1999" i="2"/>
  <c r="Z2000" i="2"/>
  <c r="Z2001" i="2"/>
  <c r="Z2002" i="2"/>
  <c r="Z2003" i="2"/>
  <c r="Z2004" i="2"/>
  <c r="Z2005" i="2"/>
  <c r="Z2006" i="2"/>
  <c r="Z2007" i="2"/>
  <c r="Z2008" i="2"/>
  <c r="Z2009" i="2"/>
  <c r="Z2010" i="2"/>
  <c r="Z2011" i="2"/>
  <c r="Z2012" i="2"/>
  <c r="Z2013" i="2"/>
  <c r="Z2014" i="2"/>
  <c r="Z2015" i="2"/>
  <c r="Z2016" i="2"/>
  <c r="Z2017" i="2"/>
  <c r="Z2018" i="2"/>
  <c r="Z2019" i="2"/>
  <c r="Z2020" i="2"/>
  <c r="Z2021" i="2"/>
  <c r="Z2022" i="2"/>
  <c r="Z2023" i="2"/>
  <c r="Z2024" i="2"/>
  <c r="Z2025" i="2"/>
  <c r="Z2026" i="2"/>
  <c r="Z2027" i="2"/>
  <c r="Z2028" i="2"/>
  <c r="Z2029" i="2"/>
  <c r="Z2030" i="2"/>
  <c r="Z2031" i="2"/>
  <c r="Z2032" i="2"/>
  <c r="Z2033" i="2"/>
  <c r="Z2034" i="2"/>
  <c r="Z2035" i="2"/>
  <c r="Z2036" i="2"/>
  <c r="Z2037" i="2"/>
  <c r="Z2038" i="2"/>
  <c r="Z2039" i="2"/>
  <c r="Z2040" i="2"/>
  <c r="Z2041" i="2"/>
  <c r="Z2042" i="2"/>
  <c r="Z2043" i="2"/>
  <c r="Z2044" i="2"/>
  <c r="Z2045" i="2"/>
  <c r="Z2046" i="2"/>
  <c r="Z2047" i="2"/>
  <c r="Z2048" i="2"/>
  <c r="Z2049" i="2"/>
  <c r="Z2050" i="2"/>
  <c r="Z2051" i="2"/>
  <c r="Z2052" i="2"/>
  <c r="Z2053" i="2"/>
  <c r="Z2054" i="2"/>
  <c r="Z2055" i="2"/>
  <c r="Z2056" i="2"/>
  <c r="Z2057" i="2"/>
  <c r="Z2058" i="2"/>
  <c r="Z2059" i="2"/>
  <c r="Z2060" i="2"/>
  <c r="Z2061" i="2"/>
  <c r="Z2062" i="2"/>
  <c r="Z2063" i="2"/>
  <c r="Z2064" i="2"/>
  <c r="Z2065" i="2"/>
  <c r="Z2066" i="2"/>
  <c r="Z2067" i="2"/>
  <c r="Z2068" i="2"/>
  <c r="Z2069" i="2"/>
  <c r="Z2070" i="2"/>
  <c r="Z2071" i="2"/>
  <c r="Z2072" i="2"/>
  <c r="Z2073" i="2"/>
  <c r="Z2074" i="2"/>
  <c r="Z2075" i="2"/>
  <c r="Z2076" i="2"/>
  <c r="Z2077" i="2"/>
  <c r="Z2078" i="2"/>
  <c r="Z2079" i="2"/>
  <c r="Z2080" i="2"/>
  <c r="Z2081" i="2"/>
  <c r="Z2082" i="2"/>
  <c r="Z2083" i="2"/>
  <c r="Z2084" i="2"/>
  <c r="Z2085" i="2"/>
  <c r="Z2086" i="2"/>
  <c r="Z2087" i="2"/>
  <c r="Z2088" i="2"/>
  <c r="Z2089" i="2"/>
  <c r="Z2090" i="2"/>
  <c r="Z2091" i="2"/>
  <c r="Z2092" i="2"/>
  <c r="Z2093" i="2"/>
  <c r="Z2094" i="2"/>
  <c r="Z2095" i="2"/>
  <c r="Z2096" i="2"/>
  <c r="Z2097" i="2"/>
  <c r="Z2098" i="2"/>
  <c r="Z2099" i="2"/>
  <c r="Z2100" i="2"/>
  <c r="Z2101" i="2"/>
  <c r="Z2102" i="2"/>
  <c r="Z2103" i="2"/>
  <c r="Z2104" i="2"/>
  <c r="Z2105" i="2"/>
  <c r="Z2106" i="2"/>
  <c r="Z210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1744" i="2"/>
  <c r="AA1745" i="2"/>
  <c r="AA1746" i="2"/>
  <c r="AA1747" i="2"/>
  <c r="AA1748" i="2"/>
  <c r="AA1749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4" i="2"/>
  <c r="AA1775" i="2"/>
  <c r="AA1776" i="2"/>
  <c r="AA1777" i="2"/>
  <c r="AA1778" i="2"/>
  <c r="AA1779" i="2"/>
  <c r="AA1780" i="2"/>
  <c r="AA1781" i="2"/>
  <c r="AA1782" i="2"/>
  <c r="AA1783" i="2"/>
  <c r="AA1784" i="2"/>
  <c r="AA1785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1821" i="2"/>
  <c r="AA1822" i="2"/>
  <c r="AA1823" i="2"/>
  <c r="AA1824" i="2"/>
  <c r="AA1825" i="2"/>
  <c r="AA1826" i="2"/>
  <c r="AA1827" i="2"/>
  <c r="AA1828" i="2"/>
  <c r="AA1829" i="2"/>
  <c r="AA1830" i="2"/>
  <c r="AA1831" i="2"/>
  <c r="AA1832" i="2"/>
  <c r="AA1833" i="2"/>
  <c r="AA1834" i="2"/>
  <c r="AA1835" i="2"/>
  <c r="AA1836" i="2"/>
  <c r="AA1837" i="2"/>
  <c r="AA1838" i="2"/>
  <c r="AA1839" i="2"/>
  <c r="AA1840" i="2"/>
  <c r="AA1841" i="2"/>
  <c r="AA1842" i="2"/>
  <c r="AA1843" i="2"/>
  <c r="AA1844" i="2"/>
  <c r="AA1845" i="2"/>
  <c r="AA1846" i="2"/>
  <c r="AA1847" i="2"/>
  <c r="AA1848" i="2"/>
  <c r="AA1849" i="2"/>
  <c r="AA1850" i="2"/>
  <c r="AA1851" i="2"/>
  <c r="AA1852" i="2"/>
  <c r="AA1853" i="2"/>
  <c r="AA1854" i="2"/>
  <c r="AA1855" i="2"/>
  <c r="AA1856" i="2"/>
  <c r="AA1857" i="2"/>
  <c r="AA1858" i="2"/>
  <c r="AA1859" i="2"/>
  <c r="AA1860" i="2"/>
  <c r="AA1861" i="2"/>
  <c r="AA1862" i="2"/>
  <c r="AA1863" i="2"/>
  <c r="AA1864" i="2"/>
  <c r="AA1865" i="2"/>
  <c r="AA1866" i="2"/>
  <c r="AA1867" i="2"/>
  <c r="AA1868" i="2"/>
  <c r="AA1869" i="2"/>
  <c r="AA1870" i="2"/>
  <c r="AA1871" i="2"/>
  <c r="AA1872" i="2"/>
  <c r="AA1873" i="2"/>
  <c r="AA1874" i="2"/>
  <c r="AA1875" i="2"/>
  <c r="AA1876" i="2"/>
  <c r="AA1877" i="2"/>
  <c r="AA1878" i="2"/>
  <c r="AA1879" i="2"/>
  <c r="AA1880" i="2"/>
  <c r="AA1881" i="2"/>
  <c r="AA1882" i="2"/>
  <c r="AA1883" i="2"/>
  <c r="AA1884" i="2"/>
  <c r="AA1885" i="2"/>
  <c r="AA1886" i="2"/>
  <c r="AA1887" i="2"/>
  <c r="AA1888" i="2"/>
  <c r="AA1889" i="2"/>
  <c r="AA1890" i="2"/>
  <c r="AA1891" i="2"/>
  <c r="AA1892" i="2"/>
  <c r="AA1893" i="2"/>
  <c r="AA1894" i="2"/>
  <c r="AA1895" i="2"/>
  <c r="AA1896" i="2"/>
  <c r="AA1897" i="2"/>
  <c r="AA1898" i="2"/>
  <c r="AA1899" i="2"/>
  <c r="AA1900" i="2"/>
  <c r="AA1901" i="2"/>
  <c r="AA1902" i="2"/>
  <c r="AA1903" i="2"/>
  <c r="AA1904" i="2"/>
  <c r="AA1905" i="2"/>
  <c r="AA1906" i="2"/>
  <c r="AA1907" i="2"/>
  <c r="AA1908" i="2"/>
  <c r="AA1909" i="2"/>
  <c r="AA1910" i="2"/>
  <c r="AA1911" i="2"/>
  <c r="AA1912" i="2"/>
  <c r="AA1913" i="2"/>
  <c r="AA1914" i="2"/>
  <c r="AA1915" i="2"/>
  <c r="AA1916" i="2"/>
  <c r="AA1917" i="2"/>
  <c r="AA1918" i="2"/>
  <c r="AA1919" i="2"/>
  <c r="AA1920" i="2"/>
  <c r="AA1921" i="2"/>
  <c r="AA1922" i="2"/>
  <c r="AA1923" i="2"/>
  <c r="AA1924" i="2"/>
  <c r="AA1925" i="2"/>
  <c r="AA1926" i="2"/>
  <c r="AA1927" i="2"/>
  <c r="AA1928" i="2"/>
  <c r="AA1929" i="2"/>
  <c r="AA1930" i="2"/>
  <c r="AA1931" i="2"/>
  <c r="AA1932" i="2"/>
  <c r="AA1933" i="2"/>
  <c r="AA1934" i="2"/>
  <c r="AA1935" i="2"/>
  <c r="AA1936" i="2"/>
  <c r="AA1937" i="2"/>
  <c r="AA1938" i="2"/>
  <c r="AA1939" i="2"/>
  <c r="AA1940" i="2"/>
  <c r="AA1941" i="2"/>
  <c r="AA1942" i="2"/>
  <c r="AA1943" i="2"/>
  <c r="AA1944" i="2"/>
  <c r="AA1945" i="2"/>
  <c r="AA1946" i="2"/>
  <c r="AA1947" i="2"/>
  <c r="AA1948" i="2"/>
  <c r="AA1949" i="2"/>
  <c r="AA1950" i="2"/>
  <c r="AA1951" i="2"/>
  <c r="AA1952" i="2"/>
  <c r="AA1953" i="2"/>
  <c r="AA1954" i="2"/>
  <c r="AA1955" i="2"/>
  <c r="AA1956" i="2"/>
  <c r="AA1957" i="2"/>
  <c r="AA1958" i="2"/>
  <c r="AA1959" i="2"/>
  <c r="AA1960" i="2"/>
  <c r="AA1961" i="2"/>
  <c r="AA1962" i="2"/>
  <c r="AA1963" i="2"/>
  <c r="AA1964" i="2"/>
  <c r="AA1965" i="2"/>
  <c r="AA1966" i="2"/>
  <c r="AA1967" i="2"/>
  <c r="AA1968" i="2"/>
  <c r="AA1969" i="2"/>
  <c r="AA1970" i="2"/>
  <c r="AA1971" i="2"/>
  <c r="AA1972" i="2"/>
  <c r="AA1973" i="2"/>
  <c r="AA1974" i="2"/>
  <c r="AA1975" i="2"/>
  <c r="AA1976" i="2"/>
  <c r="AA1977" i="2"/>
  <c r="AA1978" i="2"/>
  <c r="AA1979" i="2"/>
  <c r="AA1980" i="2"/>
  <c r="AA1981" i="2"/>
  <c r="AA1982" i="2"/>
  <c r="AA1983" i="2"/>
  <c r="AA1984" i="2"/>
  <c r="AA1985" i="2"/>
  <c r="AA1986" i="2"/>
  <c r="AA1987" i="2"/>
  <c r="AA1988" i="2"/>
  <c r="AA1989" i="2"/>
  <c r="AA1990" i="2"/>
  <c r="AA1991" i="2"/>
  <c r="AA1992" i="2"/>
  <c r="AA1993" i="2"/>
  <c r="AA1994" i="2"/>
  <c r="AA1995" i="2"/>
  <c r="AA1996" i="2"/>
  <c r="AA1997" i="2"/>
  <c r="AA1998" i="2"/>
  <c r="AA1999" i="2"/>
  <c r="AA2000" i="2"/>
  <c r="AA2001" i="2"/>
  <c r="AA2002" i="2"/>
  <c r="AA2003" i="2"/>
  <c r="AA2004" i="2"/>
  <c r="AA2005" i="2"/>
  <c r="AA2006" i="2"/>
  <c r="AA2007" i="2"/>
  <c r="AA2008" i="2"/>
  <c r="AA2009" i="2"/>
  <c r="AA2010" i="2"/>
  <c r="AA2011" i="2"/>
  <c r="AA2012" i="2"/>
  <c r="AA2013" i="2"/>
  <c r="AA2014" i="2"/>
  <c r="AA2015" i="2"/>
  <c r="AA2016" i="2"/>
  <c r="AA2017" i="2"/>
  <c r="AA2018" i="2"/>
  <c r="AA2019" i="2"/>
  <c r="AA2020" i="2"/>
  <c r="AA2021" i="2"/>
  <c r="AA2022" i="2"/>
  <c r="AA2023" i="2"/>
  <c r="AA2024" i="2"/>
  <c r="AA2025" i="2"/>
  <c r="AA2026" i="2"/>
  <c r="AA2027" i="2"/>
  <c r="AA2028" i="2"/>
  <c r="AA2029" i="2"/>
  <c r="AA2030" i="2"/>
  <c r="AA2031" i="2"/>
  <c r="AA2032" i="2"/>
  <c r="AA2033" i="2"/>
  <c r="AA2034" i="2"/>
  <c r="AA2035" i="2"/>
  <c r="AA2036" i="2"/>
  <c r="AA2037" i="2"/>
  <c r="AA2038" i="2"/>
  <c r="AA2039" i="2"/>
  <c r="AA2040" i="2"/>
  <c r="AA2041" i="2"/>
  <c r="AA2042" i="2"/>
  <c r="AA2043" i="2"/>
  <c r="AA2044" i="2"/>
  <c r="AA2045" i="2"/>
  <c r="AA2046" i="2"/>
  <c r="AA2047" i="2"/>
  <c r="AA2048" i="2"/>
  <c r="AA2049" i="2"/>
  <c r="AA2050" i="2"/>
  <c r="AA2051" i="2"/>
  <c r="AA2052" i="2"/>
  <c r="AA2053" i="2"/>
  <c r="AA2054" i="2"/>
  <c r="AA2055" i="2"/>
  <c r="AA2056" i="2"/>
  <c r="AA2057" i="2"/>
  <c r="AA2058" i="2"/>
  <c r="AA2059" i="2"/>
  <c r="AA2060" i="2"/>
  <c r="AA2061" i="2"/>
  <c r="AA2062" i="2"/>
  <c r="AA2063" i="2"/>
  <c r="AA2064" i="2"/>
  <c r="AA2065" i="2"/>
  <c r="AA2066" i="2"/>
  <c r="AA2067" i="2"/>
  <c r="AA2068" i="2"/>
  <c r="AA2069" i="2"/>
  <c r="AA2070" i="2"/>
  <c r="AA2071" i="2"/>
  <c r="AA2072" i="2"/>
  <c r="AA2073" i="2"/>
  <c r="AA2074" i="2"/>
  <c r="AA2075" i="2"/>
  <c r="AA2076" i="2"/>
  <c r="AA2077" i="2"/>
  <c r="AA2078" i="2"/>
  <c r="AA2079" i="2"/>
  <c r="AA2080" i="2"/>
  <c r="AA2081" i="2"/>
  <c r="AA2082" i="2"/>
  <c r="AA2083" i="2"/>
  <c r="AA2084" i="2"/>
  <c r="AA2085" i="2"/>
  <c r="AA2086" i="2"/>
  <c r="AA2087" i="2"/>
  <c r="AA2088" i="2"/>
  <c r="AA2089" i="2"/>
  <c r="AA2090" i="2"/>
  <c r="AA2091" i="2"/>
  <c r="AA2092" i="2"/>
  <c r="AA2093" i="2"/>
  <c r="AA2094" i="2"/>
  <c r="AA2095" i="2"/>
  <c r="AA2096" i="2"/>
  <c r="AA2097" i="2"/>
  <c r="AA2098" i="2"/>
  <c r="AA2099" i="2"/>
  <c r="AA2100" i="2"/>
  <c r="AA2101" i="2"/>
  <c r="AA2102" i="2"/>
  <c r="AA2103" i="2"/>
  <c r="AA2104" i="2"/>
  <c r="AA2105" i="2"/>
  <c r="AA2106" i="2"/>
  <c r="AA210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B1100" i="2"/>
  <c r="AB1101" i="2"/>
  <c r="AB1102" i="2"/>
  <c r="AB1103" i="2"/>
  <c r="AB1104" i="2"/>
  <c r="AB1105" i="2"/>
  <c r="AB1106" i="2"/>
  <c r="AB1107" i="2"/>
  <c r="AB1108" i="2"/>
  <c r="AB1109" i="2"/>
  <c r="AB1110" i="2"/>
  <c r="AB1111" i="2"/>
  <c r="AB1112" i="2"/>
  <c r="AB1113" i="2"/>
  <c r="AB1114" i="2"/>
  <c r="AB1115" i="2"/>
  <c r="AB1116" i="2"/>
  <c r="AB1117" i="2"/>
  <c r="AB1118" i="2"/>
  <c r="AB1119" i="2"/>
  <c r="AB1120" i="2"/>
  <c r="AB1121" i="2"/>
  <c r="AB1122" i="2"/>
  <c r="AB1123" i="2"/>
  <c r="AB1124" i="2"/>
  <c r="AB1125" i="2"/>
  <c r="AB1126" i="2"/>
  <c r="AB1127" i="2"/>
  <c r="AB1128" i="2"/>
  <c r="AB1129" i="2"/>
  <c r="AB1130" i="2"/>
  <c r="AB1131" i="2"/>
  <c r="AB1132" i="2"/>
  <c r="AB1133" i="2"/>
  <c r="AB1134" i="2"/>
  <c r="AB1135" i="2"/>
  <c r="AB1136" i="2"/>
  <c r="AB1137" i="2"/>
  <c r="AB1138" i="2"/>
  <c r="AB1139" i="2"/>
  <c r="AB1140" i="2"/>
  <c r="AB1141" i="2"/>
  <c r="AB1142" i="2"/>
  <c r="AB1143" i="2"/>
  <c r="AB1144" i="2"/>
  <c r="AB1145" i="2"/>
  <c r="AB1146" i="2"/>
  <c r="AB1147" i="2"/>
  <c r="AB1148" i="2"/>
  <c r="AB1149" i="2"/>
  <c r="AB1150" i="2"/>
  <c r="AB1151" i="2"/>
  <c r="AB1152" i="2"/>
  <c r="AB1153" i="2"/>
  <c r="AB1154" i="2"/>
  <c r="AB1155" i="2"/>
  <c r="AB1156" i="2"/>
  <c r="AB1157" i="2"/>
  <c r="AB1158" i="2"/>
  <c r="AB1159" i="2"/>
  <c r="AB1160" i="2"/>
  <c r="AB1161" i="2"/>
  <c r="AB1162" i="2"/>
  <c r="AB1163" i="2"/>
  <c r="AB1164" i="2"/>
  <c r="AB1165" i="2"/>
  <c r="AB1166" i="2"/>
  <c r="AB1167" i="2"/>
  <c r="AB1168" i="2"/>
  <c r="AB1169" i="2"/>
  <c r="AB1170" i="2"/>
  <c r="AB1171" i="2"/>
  <c r="AB1172" i="2"/>
  <c r="AB1173" i="2"/>
  <c r="AB1174" i="2"/>
  <c r="AB1175" i="2"/>
  <c r="AB1176" i="2"/>
  <c r="AB1177" i="2"/>
  <c r="AB1178" i="2"/>
  <c r="AB1179" i="2"/>
  <c r="AB1180" i="2"/>
  <c r="AB1181" i="2"/>
  <c r="AB1182" i="2"/>
  <c r="AB1183" i="2"/>
  <c r="AB1184" i="2"/>
  <c r="AB1185" i="2"/>
  <c r="AB1186" i="2"/>
  <c r="AB1187" i="2"/>
  <c r="AB1188" i="2"/>
  <c r="AB1189" i="2"/>
  <c r="AB1190" i="2"/>
  <c r="AB1191" i="2"/>
  <c r="AB1192" i="2"/>
  <c r="AB1193" i="2"/>
  <c r="AB1194" i="2"/>
  <c r="AB1195" i="2"/>
  <c r="AB1196" i="2"/>
  <c r="AB1197" i="2"/>
  <c r="AB1198" i="2"/>
  <c r="AB1199" i="2"/>
  <c r="AB1200" i="2"/>
  <c r="AB1201" i="2"/>
  <c r="AB1202" i="2"/>
  <c r="AB1203" i="2"/>
  <c r="AB1204" i="2"/>
  <c r="AB1205" i="2"/>
  <c r="AB1206" i="2"/>
  <c r="AB1207" i="2"/>
  <c r="AB1208" i="2"/>
  <c r="AB1209" i="2"/>
  <c r="AB1210" i="2"/>
  <c r="AB1211" i="2"/>
  <c r="AB1212" i="2"/>
  <c r="AB1213" i="2"/>
  <c r="AB1214" i="2"/>
  <c r="AB1215" i="2"/>
  <c r="AB1216" i="2"/>
  <c r="AB1217" i="2"/>
  <c r="AB1218" i="2"/>
  <c r="AB1219" i="2"/>
  <c r="AB1220" i="2"/>
  <c r="AB1221" i="2"/>
  <c r="AB1222" i="2"/>
  <c r="AB1223" i="2"/>
  <c r="AB1224" i="2"/>
  <c r="AB1225" i="2"/>
  <c r="AB1226" i="2"/>
  <c r="AB1227" i="2"/>
  <c r="AB1228" i="2"/>
  <c r="AB1229" i="2"/>
  <c r="AB1230" i="2"/>
  <c r="AB1231" i="2"/>
  <c r="AB1232" i="2"/>
  <c r="AB1233" i="2"/>
  <c r="AB1234" i="2"/>
  <c r="AB1235" i="2"/>
  <c r="AB1236" i="2"/>
  <c r="AB1237" i="2"/>
  <c r="AB1238" i="2"/>
  <c r="AB1239" i="2"/>
  <c r="AB1240" i="2"/>
  <c r="AB1241" i="2"/>
  <c r="AB1242" i="2"/>
  <c r="AB1243" i="2"/>
  <c r="AB1244" i="2"/>
  <c r="AB1245" i="2"/>
  <c r="AB1246" i="2"/>
  <c r="AB1247" i="2"/>
  <c r="AB1248" i="2"/>
  <c r="AB1249" i="2"/>
  <c r="AB1250" i="2"/>
  <c r="AB1251" i="2"/>
  <c r="AB1252" i="2"/>
  <c r="AB1253" i="2"/>
  <c r="AB1254" i="2"/>
  <c r="AB1255" i="2"/>
  <c r="AB1256" i="2"/>
  <c r="AB1257" i="2"/>
  <c r="AB1258" i="2"/>
  <c r="AB1259" i="2"/>
  <c r="AB1260" i="2"/>
  <c r="AB1261" i="2"/>
  <c r="AB1262" i="2"/>
  <c r="AB1263" i="2"/>
  <c r="AB1264" i="2"/>
  <c r="AB1265" i="2"/>
  <c r="AB1266" i="2"/>
  <c r="AB1267" i="2"/>
  <c r="AB1268" i="2"/>
  <c r="AB1269" i="2"/>
  <c r="AB1270" i="2"/>
  <c r="AB1271" i="2"/>
  <c r="AB1272" i="2"/>
  <c r="AB1273" i="2"/>
  <c r="AB1274" i="2"/>
  <c r="AB1275" i="2"/>
  <c r="AB1276" i="2"/>
  <c r="AB1277" i="2"/>
  <c r="AB1278" i="2"/>
  <c r="AB1279" i="2"/>
  <c r="AB1280" i="2"/>
  <c r="AB1281" i="2"/>
  <c r="AB1282" i="2"/>
  <c r="AB1283" i="2"/>
  <c r="AB1284" i="2"/>
  <c r="AB1285" i="2"/>
  <c r="AB1286" i="2"/>
  <c r="AB1287" i="2"/>
  <c r="AB1288" i="2"/>
  <c r="AB1289" i="2"/>
  <c r="AB1290" i="2"/>
  <c r="AB1291" i="2"/>
  <c r="AB1292" i="2"/>
  <c r="AB1293" i="2"/>
  <c r="AB1294" i="2"/>
  <c r="AB1295" i="2"/>
  <c r="AB1296" i="2"/>
  <c r="AB1297" i="2"/>
  <c r="AB1298" i="2"/>
  <c r="AB1299" i="2"/>
  <c r="AB1300" i="2"/>
  <c r="AB1301" i="2"/>
  <c r="AB1302" i="2"/>
  <c r="AB1303" i="2"/>
  <c r="AB1304" i="2"/>
  <c r="AB1305" i="2"/>
  <c r="AB1306" i="2"/>
  <c r="AB1307" i="2"/>
  <c r="AB1308" i="2"/>
  <c r="AB1309" i="2"/>
  <c r="AB1310" i="2"/>
  <c r="AB1311" i="2"/>
  <c r="AB1312" i="2"/>
  <c r="AB1313" i="2"/>
  <c r="AB1314" i="2"/>
  <c r="AB1315" i="2"/>
  <c r="AB1316" i="2"/>
  <c r="AB1317" i="2"/>
  <c r="AB1318" i="2"/>
  <c r="AB1319" i="2"/>
  <c r="AB1320" i="2"/>
  <c r="AB1321" i="2"/>
  <c r="AB1322" i="2"/>
  <c r="AB1323" i="2"/>
  <c r="AB1324" i="2"/>
  <c r="AB1325" i="2"/>
  <c r="AB1326" i="2"/>
  <c r="AB1327" i="2"/>
  <c r="AB1328" i="2"/>
  <c r="AB1329" i="2"/>
  <c r="AB1330" i="2"/>
  <c r="AB1331" i="2"/>
  <c r="AB1332" i="2"/>
  <c r="AB1333" i="2"/>
  <c r="AB1334" i="2"/>
  <c r="AB1335" i="2"/>
  <c r="AB1336" i="2"/>
  <c r="AB1337" i="2"/>
  <c r="AB1338" i="2"/>
  <c r="AB1339" i="2"/>
  <c r="AB1340" i="2"/>
  <c r="AB1341" i="2"/>
  <c r="AB1342" i="2"/>
  <c r="AB1343" i="2"/>
  <c r="AB1344" i="2"/>
  <c r="AB1345" i="2"/>
  <c r="AB1346" i="2"/>
  <c r="AB1347" i="2"/>
  <c r="AB1348" i="2"/>
  <c r="AB1349" i="2"/>
  <c r="AB1350" i="2"/>
  <c r="AB1351" i="2"/>
  <c r="AB1352" i="2"/>
  <c r="AB1353" i="2"/>
  <c r="AB1354" i="2"/>
  <c r="AB1355" i="2"/>
  <c r="AB1356" i="2"/>
  <c r="AB1357" i="2"/>
  <c r="AB1358" i="2"/>
  <c r="AB1359" i="2"/>
  <c r="AB1360" i="2"/>
  <c r="AB1361" i="2"/>
  <c r="AB1362" i="2"/>
  <c r="AB1363" i="2"/>
  <c r="AB1364" i="2"/>
  <c r="AB1365" i="2"/>
  <c r="AB1366" i="2"/>
  <c r="AB1367" i="2"/>
  <c r="AB1368" i="2"/>
  <c r="AB1369" i="2"/>
  <c r="AB1370" i="2"/>
  <c r="AB1371" i="2"/>
  <c r="AB1372" i="2"/>
  <c r="AB1373" i="2"/>
  <c r="AB1374" i="2"/>
  <c r="AB1375" i="2"/>
  <c r="AB1376" i="2"/>
  <c r="AB1377" i="2"/>
  <c r="AB1378" i="2"/>
  <c r="AB1379" i="2"/>
  <c r="AB1380" i="2"/>
  <c r="AB1381" i="2"/>
  <c r="AB1382" i="2"/>
  <c r="AB1383" i="2"/>
  <c r="AB1384" i="2"/>
  <c r="AB1385" i="2"/>
  <c r="AB1386" i="2"/>
  <c r="AB1387" i="2"/>
  <c r="AB1388" i="2"/>
  <c r="AB1389" i="2"/>
  <c r="AB1390" i="2"/>
  <c r="AB1391" i="2"/>
  <c r="AB1392" i="2"/>
  <c r="AB1393" i="2"/>
  <c r="AB1394" i="2"/>
  <c r="AB1395" i="2"/>
  <c r="AB1396" i="2"/>
  <c r="AB1397" i="2"/>
  <c r="AB1398" i="2"/>
  <c r="AB1399" i="2"/>
  <c r="AB1400" i="2"/>
  <c r="AB1401" i="2"/>
  <c r="AB1402" i="2"/>
  <c r="AB1403" i="2"/>
  <c r="AB1404" i="2"/>
  <c r="AB1405" i="2"/>
  <c r="AB1406" i="2"/>
  <c r="AB1407" i="2"/>
  <c r="AB1408" i="2"/>
  <c r="AB1409" i="2"/>
  <c r="AB1410" i="2"/>
  <c r="AB1411" i="2"/>
  <c r="AB1412" i="2"/>
  <c r="AB1413" i="2"/>
  <c r="AB1414" i="2"/>
  <c r="AB1415" i="2"/>
  <c r="AB1416" i="2"/>
  <c r="AB1417" i="2"/>
  <c r="AB1418" i="2"/>
  <c r="AB1419" i="2"/>
  <c r="AB1420" i="2"/>
  <c r="AB1421" i="2"/>
  <c r="AB1422" i="2"/>
  <c r="AB1423" i="2"/>
  <c r="AB1424" i="2"/>
  <c r="AB1425" i="2"/>
  <c r="AB1426" i="2"/>
  <c r="AB1427" i="2"/>
  <c r="AB1428" i="2"/>
  <c r="AB1429" i="2"/>
  <c r="AB1430" i="2"/>
  <c r="AB1431" i="2"/>
  <c r="AB1432" i="2"/>
  <c r="AB1433" i="2"/>
  <c r="AB1434" i="2"/>
  <c r="AB1435" i="2"/>
  <c r="AB1436" i="2"/>
  <c r="AB1437" i="2"/>
  <c r="AB1438" i="2"/>
  <c r="AB1439" i="2"/>
  <c r="AB1440" i="2"/>
  <c r="AB1441" i="2"/>
  <c r="AB1442" i="2"/>
  <c r="AB1443" i="2"/>
  <c r="AB1444" i="2"/>
  <c r="AB1445" i="2"/>
  <c r="AB1446" i="2"/>
  <c r="AB1447" i="2"/>
  <c r="AB1448" i="2"/>
  <c r="AB1449" i="2"/>
  <c r="AB1450" i="2"/>
  <c r="AB1451" i="2"/>
  <c r="AB1452" i="2"/>
  <c r="AB1453" i="2"/>
  <c r="AB1454" i="2"/>
  <c r="AB1455" i="2"/>
  <c r="AB1456" i="2"/>
  <c r="AB1457" i="2"/>
  <c r="AB1458" i="2"/>
  <c r="AB1459" i="2"/>
  <c r="AB1460" i="2"/>
  <c r="AB1461" i="2"/>
  <c r="AB1462" i="2"/>
  <c r="AB1463" i="2"/>
  <c r="AB1464" i="2"/>
  <c r="AB1465" i="2"/>
  <c r="AB1466" i="2"/>
  <c r="AB1467" i="2"/>
  <c r="AB1468" i="2"/>
  <c r="AB1469" i="2"/>
  <c r="AB1470" i="2"/>
  <c r="AB1471" i="2"/>
  <c r="AB1472" i="2"/>
  <c r="AB1473" i="2"/>
  <c r="AB1474" i="2"/>
  <c r="AB1475" i="2"/>
  <c r="AB1476" i="2"/>
  <c r="AB1477" i="2"/>
  <c r="AB1478" i="2"/>
  <c r="AB1479" i="2"/>
  <c r="AB1480" i="2"/>
  <c r="AB1481" i="2"/>
  <c r="AB1482" i="2"/>
  <c r="AB1483" i="2"/>
  <c r="AB1484" i="2"/>
  <c r="AB1485" i="2"/>
  <c r="AB1486" i="2"/>
  <c r="AB1487" i="2"/>
  <c r="AB1488" i="2"/>
  <c r="AB1489" i="2"/>
  <c r="AB1490" i="2"/>
  <c r="AB1491" i="2"/>
  <c r="AB1492" i="2"/>
  <c r="AB1493" i="2"/>
  <c r="AB1494" i="2"/>
  <c r="AB1495" i="2"/>
  <c r="AB1496" i="2"/>
  <c r="AB1497" i="2"/>
  <c r="AB1498" i="2"/>
  <c r="AB1499" i="2"/>
  <c r="AB1500" i="2"/>
  <c r="AB1501" i="2"/>
  <c r="AB1502" i="2"/>
  <c r="AB1503" i="2"/>
  <c r="AB1504" i="2"/>
  <c r="AB1505" i="2"/>
  <c r="AB1506" i="2"/>
  <c r="AB1507" i="2"/>
  <c r="AB1508" i="2"/>
  <c r="AB1509" i="2"/>
  <c r="AB1510" i="2"/>
  <c r="AB1511" i="2"/>
  <c r="AB1512" i="2"/>
  <c r="AB1513" i="2"/>
  <c r="AB1514" i="2"/>
  <c r="AB1515" i="2"/>
  <c r="AB1516" i="2"/>
  <c r="AB1517" i="2"/>
  <c r="AB1518" i="2"/>
  <c r="AB1519" i="2"/>
  <c r="AB1520" i="2"/>
  <c r="AB1521" i="2"/>
  <c r="AB1522" i="2"/>
  <c r="AB1523" i="2"/>
  <c r="AB1524" i="2"/>
  <c r="AB1525" i="2"/>
  <c r="AB1526" i="2"/>
  <c r="AB1527" i="2"/>
  <c r="AB1528" i="2"/>
  <c r="AB1529" i="2"/>
  <c r="AB1530" i="2"/>
  <c r="AB1531" i="2"/>
  <c r="AB1532" i="2"/>
  <c r="AB1533" i="2"/>
  <c r="AB1534" i="2"/>
  <c r="AB1535" i="2"/>
  <c r="AB1536" i="2"/>
  <c r="AB1537" i="2"/>
  <c r="AB1538" i="2"/>
  <c r="AB1539" i="2"/>
  <c r="AB1540" i="2"/>
  <c r="AB1541" i="2"/>
  <c r="AB1542" i="2"/>
  <c r="AB1543" i="2"/>
  <c r="AB1544" i="2"/>
  <c r="AB1545" i="2"/>
  <c r="AB1546" i="2"/>
  <c r="AB1547" i="2"/>
  <c r="AB1548" i="2"/>
  <c r="AB1549" i="2"/>
  <c r="AB1550" i="2"/>
  <c r="AB1551" i="2"/>
  <c r="AB1552" i="2"/>
  <c r="AB1553" i="2"/>
  <c r="AB1554" i="2"/>
  <c r="AB1555" i="2"/>
  <c r="AB1556" i="2"/>
  <c r="AB1557" i="2"/>
  <c r="AB1558" i="2"/>
  <c r="AB1559" i="2"/>
  <c r="AB1560" i="2"/>
  <c r="AB1561" i="2"/>
  <c r="AB1562" i="2"/>
  <c r="AB1563" i="2"/>
  <c r="AB1564" i="2"/>
  <c r="AB1565" i="2"/>
  <c r="AB1566" i="2"/>
  <c r="AB1567" i="2"/>
  <c r="AB1568" i="2"/>
  <c r="AB1569" i="2"/>
  <c r="AB1570" i="2"/>
  <c r="AB1571" i="2"/>
  <c r="AB1572" i="2"/>
  <c r="AB1573" i="2"/>
  <c r="AB1574" i="2"/>
  <c r="AB1575" i="2"/>
  <c r="AB1576" i="2"/>
  <c r="AB1577" i="2"/>
  <c r="AB1578" i="2"/>
  <c r="AB1579" i="2"/>
  <c r="AB1580" i="2"/>
  <c r="AB1581" i="2"/>
  <c r="AB1582" i="2"/>
  <c r="AB1583" i="2"/>
  <c r="AB1584" i="2"/>
  <c r="AB1585" i="2"/>
  <c r="AB1586" i="2"/>
  <c r="AB1587" i="2"/>
  <c r="AB1588" i="2"/>
  <c r="AB1589" i="2"/>
  <c r="AB1590" i="2"/>
  <c r="AB1591" i="2"/>
  <c r="AB1592" i="2"/>
  <c r="AB1593" i="2"/>
  <c r="AB1594" i="2"/>
  <c r="AB1595" i="2"/>
  <c r="AB1596" i="2"/>
  <c r="AB1597" i="2"/>
  <c r="AB1598" i="2"/>
  <c r="AB1599" i="2"/>
  <c r="AB1600" i="2"/>
  <c r="AB1601" i="2"/>
  <c r="AB1602" i="2"/>
  <c r="AB1603" i="2"/>
  <c r="AB1604" i="2"/>
  <c r="AB1605" i="2"/>
  <c r="AB1606" i="2"/>
  <c r="AB1607" i="2"/>
  <c r="AB1608" i="2"/>
  <c r="AB1609" i="2"/>
  <c r="AB1610" i="2"/>
  <c r="AB1611" i="2"/>
  <c r="AB1612" i="2"/>
  <c r="AB1613" i="2"/>
  <c r="AB1614" i="2"/>
  <c r="AB1615" i="2"/>
  <c r="AB1616" i="2"/>
  <c r="AB1617" i="2"/>
  <c r="AB1618" i="2"/>
  <c r="AB1619" i="2"/>
  <c r="AB1620" i="2"/>
  <c r="AB1621" i="2"/>
  <c r="AB1622" i="2"/>
  <c r="AB1623" i="2"/>
  <c r="AB1624" i="2"/>
  <c r="AB1625" i="2"/>
  <c r="AB1626" i="2"/>
  <c r="AB1627" i="2"/>
  <c r="AB1628" i="2"/>
  <c r="AB1629" i="2"/>
  <c r="AB1630" i="2"/>
  <c r="AB1631" i="2"/>
  <c r="AB1632" i="2"/>
  <c r="AB1633" i="2"/>
  <c r="AB1634" i="2"/>
  <c r="AB1635" i="2"/>
  <c r="AB1636" i="2"/>
  <c r="AB1637" i="2"/>
  <c r="AB1638" i="2"/>
  <c r="AB1639" i="2"/>
  <c r="AB1640" i="2"/>
  <c r="AB1641" i="2"/>
  <c r="AB1642" i="2"/>
  <c r="AB1643" i="2"/>
  <c r="AB1644" i="2"/>
  <c r="AB1645" i="2"/>
  <c r="AB1646" i="2"/>
  <c r="AB1647" i="2"/>
  <c r="AB1648" i="2"/>
  <c r="AB1649" i="2"/>
  <c r="AB1650" i="2"/>
  <c r="AB1651" i="2"/>
  <c r="AB1652" i="2"/>
  <c r="AB1653" i="2"/>
  <c r="AB1654" i="2"/>
  <c r="AB1655" i="2"/>
  <c r="AB1656" i="2"/>
  <c r="AB1657" i="2"/>
  <c r="AB1658" i="2"/>
  <c r="AB1659" i="2"/>
  <c r="AB1660" i="2"/>
  <c r="AB1661" i="2"/>
  <c r="AB1662" i="2"/>
  <c r="AB1663" i="2"/>
  <c r="AB1664" i="2"/>
  <c r="AB1665" i="2"/>
  <c r="AB1666" i="2"/>
  <c r="AB1667" i="2"/>
  <c r="AB1668" i="2"/>
  <c r="AB1669" i="2"/>
  <c r="AB1670" i="2"/>
  <c r="AB1671" i="2"/>
  <c r="AB1672" i="2"/>
  <c r="AB1673" i="2"/>
  <c r="AB1674" i="2"/>
  <c r="AB1675" i="2"/>
  <c r="AB1676" i="2"/>
  <c r="AB1677" i="2"/>
  <c r="AB1678" i="2"/>
  <c r="AB1679" i="2"/>
  <c r="AB1680" i="2"/>
  <c r="AB1681" i="2"/>
  <c r="AB1682" i="2"/>
  <c r="AB1683" i="2"/>
  <c r="AB1684" i="2"/>
  <c r="AB1685" i="2"/>
  <c r="AB1686" i="2"/>
  <c r="AB1687" i="2"/>
  <c r="AB1688" i="2"/>
  <c r="AB1689" i="2"/>
  <c r="AB1690" i="2"/>
  <c r="AB1691" i="2"/>
  <c r="AB1692" i="2"/>
  <c r="AB1693" i="2"/>
  <c r="AB1694" i="2"/>
  <c r="AB1695" i="2"/>
  <c r="AB1696" i="2"/>
  <c r="AB1697" i="2"/>
  <c r="AB1698" i="2"/>
  <c r="AB1699" i="2"/>
  <c r="AB1700" i="2"/>
  <c r="AB1701" i="2"/>
  <c r="AB1702" i="2"/>
  <c r="AB1703" i="2"/>
  <c r="AB1704" i="2"/>
  <c r="AB1705" i="2"/>
  <c r="AB1706" i="2"/>
  <c r="AB1707" i="2"/>
  <c r="AB1708" i="2"/>
  <c r="AB1709" i="2"/>
  <c r="AB1710" i="2"/>
  <c r="AB1711" i="2"/>
  <c r="AB1712" i="2"/>
  <c r="AB1713" i="2"/>
  <c r="AB1714" i="2"/>
  <c r="AB1715" i="2"/>
  <c r="AB1716" i="2"/>
  <c r="AB1717" i="2"/>
  <c r="AB1718" i="2"/>
  <c r="AB1719" i="2"/>
  <c r="AB1720" i="2"/>
  <c r="AB1721" i="2"/>
  <c r="AB1722" i="2"/>
  <c r="AB1723" i="2"/>
  <c r="AB1724" i="2"/>
  <c r="AB1725" i="2"/>
  <c r="AB1726" i="2"/>
  <c r="AB1727" i="2"/>
  <c r="AB1728" i="2"/>
  <c r="AB1729" i="2"/>
  <c r="AB1730" i="2"/>
  <c r="AB1731" i="2"/>
  <c r="AB1732" i="2"/>
  <c r="AB1733" i="2"/>
  <c r="AB1734" i="2"/>
  <c r="AB1735" i="2"/>
  <c r="AB1736" i="2"/>
  <c r="AB1737" i="2"/>
  <c r="AB1738" i="2"/>
  <c r="AB1739" i="2"/>
  <c r="AB1740" i="2"/>
  <c r="AB1741" i="2"/>
  <c r="AB1742" i="2"/>
  <c r="AB1743" i="2"/>
  <c r="AB1744" i="2"/>
  <c r="AB1745" i="2"/>
  <c r="AB1746" i="2"/>
  <c r="AB1747" i="2"/>
  <c r="AB1748" i="2"/>
  <c r="AB1749" i="2"/>
  <c r="AB1750" i="2"/>
  <c r="AB1751" i="2"/>
  <c r="AB1752" i="2"/>
  <c r="AB1753" i="2"/>
  <c r="AB1754" i="2"/>
  <c r="AB1755" i="2"/>
  <c r="AB1756" i="2"/>
  <c r="AB1757" i="2"/>
  <c r="AB1758" i="2"/>
  <c r="AB1759" i="2"/>
  <c r="AB1760" i="2"/>
  <c r="AB1761" i="2"/>
  <c r="AB1762" i="2"/>
  <c r="AB1763" i="2"/>
  <c r="AB1764" i="2"/>
  <c r="AB1765" i="2"/>
  <c r="AB1766" i="2"/>
  <c r="AB1767" i="2"/>
  <c r="AB1768" i="2"/>
  <c r="AB1769" i="2"/>
  <c r="AB1770" i="2"/>
  <c r="AB1771" i="2"/>
  <c r="AB1772" i="2"/>
  <c r="AB1773" i="2"/>
  <c r="AB1774" i="2"/>
  <c r="AB1775" i="2"/>
  <c r="AB1776" i="2"/>
  <c r="AB1777" i="2"/>
  <c r="AB1778" i="2"/>
  <c r="AB1779" i="2"/>
  <c r="AB1780" i="2"/>
  <c r="AB1781" i="2"/>
  <c r="AB1782" i="2"/>
  <c r="AB1783" i="2"/>
  <c r="AB1784" i="2"/>
  <c r="AB1785" i="2"/>
  <c r="AB1786" i="2"/>
  <c r="AB1787" i="2"/>
  <c r="AB1788" i="2"/>
  <c r="AB1789" i="2"/>
  <c r="AB1790" i="2"/>
  <c r="AB1791" i="2"/>
  <c r="AB1792" i="2"/>
  <c r="AB1793" i="2"/>
  <c r="AB1794" i="2"/>
  <c r="AB1795" i="2"/>
  <c r="AB1796" i="2"/>
  <c r="AB1797" i="2"/>
  <c r="AB1798" i="2"/>
  <c r="AB1799" i="2"/>
  <c r="AB1800" i="2"/>
  <c r="AB1801" i="2"/>
  <c r="AB1802" i="2"/>
  <c r="AB1803" i="2"/>
  <c r="AB1804" i="2"/>
  <c r="AB1805" i="2"/>
  <c r="AB1806" i="2"/>
  <c r="AB1807" i="2"/>
  <c r="AB1808" i="2"/>
  <c r="AB1809" i="2"/>
  <c r="AB1810" i="2"/>
  <c r="AB1811" i="2"/>
  <c r="AB1812" i="2"/>
  <c r="AB1813" i="2"/>
  <c r="AB1814" i="2"/>
  <c r="AB1815" i="2"/>
  <c r="AB1816" i="2"/>
  <c r="AB1817" i="2"/>
  <c r="AB1818" i="2"/>
  <c r="AB1819" i="2"/>
  <c r="AB1820" i="2"/>
  <c r="AB1821" i="2"/>
  <c r="AB1822" i="2"/>
  <c r="AB1823" i="2"/>
  <c r="AB1824" i="2"/>
  <c r="AB1825" i="2"/>
  <c r="AB1826" i="2"/>
  <c r="AB1827" i="2"/>
  <c r="AB1828" i="2"/>
  <c r="AB1829" i="2"/>
  <c r="AB1830" i="2"/>
  <c r="AB1831" i="2"/>
  <c r="AB1832" i="2"/>
  <c r="AB1833" i="2"/>
  <c r="AB1834" i="2"/>
  <c r="AB1835" i="2"/>
  <c r="AB1836" i="2"/>
  <c r="AB1837" i="2"/>
  <c r="AB1838" i="2"/>
  <c r="AB1839" i="2"/>
  <c r="AB1840" i="2"/>
  <c r="AB1841" i="2"/>
  <c r="AB1842" i="2"/>
  <c r="AB1843" i="2"/>
  <c r="AB1844" i="2"/>
  <c r="AB1845" i="2"/>
  <c r="AB1846" i="2"/>
  <c r="AB1847" i="2"/>
  <c r="AB1848" i="2"/>
  <c r="AB1849" i="2"/>
  <c r="AB1850" i="2"/>
  <c r="AB1851" i="2"/>
  <c r="AB1852" i="2"/>
  <c r="AB1853" i="2"/>
  <c r="AB1854" i="2"/>
  <c r="AB1855" i="2"/>
  <c r="AB1856" i="2"/>
  <c r="AB1857" i="2"/>
  <c r="AB1858" i="2"/>
  <c r="AB1859" i="2"/>
  <c r="AB1860" i="2"/>
  <c r="AB1861" i="2"/>
  <c r="AB1862" i="2"/>
  <c r="AB1863" i="2"/>
  <c r="AB1864" i="2"/>
  <c r="AB1865" i="2"/>
  <c r="AB1866" i="2"/>
  <c r="AB1867" i="2"/>
  <c r="AB1868" i="2"/>
  <c r="AB1869" i="2"/>
  <c r="AB1870" i="2"/>
  <c r="AB1871" i="2"/>
  <c r="AB1872" i="2"/>
  <c r="AB1873" i="2"/>
  <c r="AB1874" i="2"/>
  <c r="AB1875" i="2"/>
  <c r="AB1876" i="2"/>
  <c r="AB1877" i="2"/>
  <c r="AB1878" i="2"/>
  <c r="AB1879" i="2"/>
  <c r="AB1880" i="2"/>
  <c r="AB1881" i="2"/>
  <c r="AB1882" i="2"/>
  <c r="AB1883" i="2"/>
  <c r="AB1884" i="2"/>
  <c r="AB1885" i="2"/>
  <c r="AB1886" i="2"/>
  <c r="AB1887" i="2"/>
  <c r="AB1888" i="2"/>
  <c r="AB1889" i="2"/>
  <c r="AB1890" i="2"/>
  <c r="AB1891" i="2"/>
  <c r="AB1892" i="2"/>
  <c r="AB1893" i="2"/>
  <c r="AB1894" i="2"/>
  <c r="AB1895" i="2"/>
  <c r="AB1896" i="2"/>
  <c r="AB1897" i="2"/>
  <c r="AB1898" i="2"/>
  <c r="AB1899" i="2"/>
  <c r="AB1900" i="2"/>
  <c r="AB1901" i="2"/>
  <c r="AB1902" i="2"/>
  <c r="AB1903" i="2"/>
  <c r="AB1904" i="2"/>
  <c r="AB1905" i="2"/>
  <c r="AB1906" i="2"/>
  <c r="AB1907" i="2"/>
  <c r="AB1908" i="2"/>
  <c r="AB1909" i="2"/>
  <c r="AB1910" i="2"/>
  <c r="AB1911" i="2"/>
  <c r="AB1912" i="2"/>
  <c r="AB1913" i="2"/>
  <c r="AB1914" i="2"/>
  <c r="AB1915" i="2"/>
  <c r="AB1916" i="2"/>
  <c r="AB1917" i="2"/>
  <c r="AB1918" i="2"/>
  <c r="AB1919" i="2"/>
  <c r="AB1920" i="2"/>
  <c r="AB1921" i="2"/>
  <c r="AB1922" i="2"/>
  <c r="AB1923" i="2"/>
  <c r="AB1924" i="2"/>
  <c r="AB1925" i="2"/>
  <c r="AB1926" i="2"/>
  <c r="AB1927" i="2"/>
  <c r="AB1928" i="2"/>
  <c r="AB1929" i="2"/>
  <c r="AB1930" i="2"/>
  <c r="AB1931" i="2"/>
  <c r="AB1932" i="2"/>
  <c r="AB1933" i="2"/>
  <c r="AB1934" i="2"/>
  <c r="AB1935" i="2"/>
  <c r="AB1936" i="2"/>
  <c r="AB1937" i="2"/>
  <c r="AB1938" i="2"/>
  <c r="AB1939" i="2"/>
  <c r="AB1940" i="2"/>
  <c r="AB1941" i="2"/>
  <c r="AB1942" i="2"/>
  <c r="AB1943" i="2"/>
  <c r="AB1944" i="2"/>
  <c r="AB1945" i="2"/>
  <c r="AB1946" i="2"/>
  <c r="AB1947" i="2"/>
  <c r="AB1948" i="2"/>
  <c r="AB1949" i="2"/>
  <c r="AB1950" i="2"/>
  <c r="AB1951" i="2"/>
  <c r="AB1952" i="2"/>
  <c r="AB1953" i="2"/>
  <c r="AB1954" i="2"/>
  <c r="AB1955" i="2"/>
  <c r="AB1956" i="2"/>
  <c r="AB1957" i="2"/>
  <c r="AB1958" i="2"/>
  <c r="AB1959" i="2"/>
  <c r="AB1960" i="2"/>
  <c r="AB1961" i="2"/>
  <c r="AB1962" i="2"/>
  <c r="AB1963" i="2"/>
  <c r="AB1964" i="2"/>
  <c r="AB1965" i="2"/>
  <c r="AB1966" i="2"/>
  <c r="AB1967" i="2"/>
  <c r="AB1968" i="2"/>
  <c r="AB1969" i="2"/>
  <c r="AB1970" i="2"/>
  <c r="AB1971" i="2"/>
  <c r="AB1972" i="2"/>
  <c r="AB1973" i="2"/>
  <c r="AB1974" i="2"/>
  <c r="AB1975" i="2"/>
  <c r="AB1976" i="2"/>
  <c r="AB1977" i="2"/>
  <c r="AB1978" i="2"/>
  <c r="AB1979" i="2"/>
  <c r="AB1980" i="2"/>
  <c r="AB1981" i="2"/>
  <c r="AB1982" i="2"/>
  <c r="AB1983" i="2"/>
  <c r="AB1984" i="2"/>
  <c r="AB1985" i="2"/>
  <c r="AB1986" i="2"/>
  <c r="AB1987" i="2"/>
  <c r="AB1988" i="2"/>
  <c r="AB1989" i="2"/>
  <c r="AB1990" i="2"/>
  <c r="AB1991" i="2"/>
  <c r="AB1992" i="2"/>
  <c r="AB1993" i="2"/>
  <c r="AB1994" i="2"/>
  <c r="AB1995" i="2"/>
  <c r="AB1996" i="2"/>
  <c r="AB1997" i="2"/>
  <c r="AB1998" i="2"/>
  <c r="AB1999" i="2"/>
  <c r="AB2000" i="2"/>
  <c r="AB2001" i="2"/>
  <c r="AB2002" i="2"/>
  <c r="AB2003" i="2"/>
  <c r="AB2004" i="2"/>
  <c r="AB2005" i="2"/>
  <c r="AB2006" i="2"/>
  <c r="AB2007" i="2"/>
  <c r="AB2008" i="2"/>
  <c r="AB2009" i="2"/>
  <c r="AB2010" i="2"/>
  <c r="AB2011" i="2"/>
  <c r="AB2012" i="2"/>
  <c r="AB2013" i="2"/>
  <c r="AB2014" i="2"/>
  <c r="AB2015" i="2"/>
  <c r="AB2016" i="2"/>
  <c r="AB2017" i="2"/>
  <c r="AB2018" i="2"/>
  <c r="AB2019" i="2"/>
  <c r="AB2020" i="2"/>
  <c r="AB2021" i="2"/>
  <c r="AB2022" i="2"/>
  <c r="AB2023" i="2"/>
  <c r="AB2024" i="2"/>
  <c r="AB2025" i="2"/>
  <c r="AB2026" i="2"/>
  <c r="AB2027" i="2"/>
  <c r="AB2028" i="2"/>
  <c r="AB2029" i="2"/>
  <c r="AB2030" i="2"/>
  <c r="AB2031" i="2"/>
  <c r="AB2032" i="2"/>
  <c r="AB2033" i="2"/>
  <c r="AB2034" i="2"/>
  <c r="AB2035" i="2"/>
  <c r="AB2036" i="2"/>
  <c r="AB2037" i="2"/>
  <c r="AB2038" i="2"/>
  <c r="AB2039" i="2"/>
  <c r="AB2040" i="2"/>
  <c r="AB2041" i="2"/>
  <c r="AB2042" i="2"/>
  <c r="AB2043" i="2"/>
  <c r="AB2044" i="2"/>
  <c r="AB2045" i="2"/>
  <c r="AB2046" i="2"/>
  <c r="AB2047" i="2"/>
  <c r="AB2048" i="2"/>
  <c r="AB2049" i="2"/>
  <c r="AB2050" i="2"/>
  <c r="AB2051" i="2"/>
  <c r="AB2052" i="2"/>
  <c r="AB2053" i="2"/>
  <c r="AB2054" i="2"/>
  <c r="AB2055" i="2"/>
  <c r="AB2056" i="2"/>
  <c r="AB2057" i="2"/>
  <c r="AB2058" i="2"/>
  <c r="AB2059" i="2"/>
  <c r="AB2060" i="2"/>
  <c r="AB2061" i="2"/>
  <c r="AB2062" i="2"/>
  <c r="AB2063" i="2"/>
  <c r="AB2064" i="2"/>
  <c r="AB2065" i="2"/>
  <c r="AB2066" i="2"/>
  <c r="AB2067" i="2"/>
  <c r="AB2068" i="2"/>
  <c r="AB2069" i="2"/>
  <c r="AB2070" i="2"/>
  <c r="AB2071" i="2"/>
  <c r="AB2072" i="2"/>
  <c r="AB2073" i="2"/>
  <c r="AB2074" i="2"/>
  <c r="AB2075" i="2"/>
  <c r="AB2076" i="2"/>
  <c r="AB2077" i="2"/>
  <c r="AB2078" i="2"/>
  <c r="AB2079" i="2"/>
  <c r="AB2080" i="2"/>
  <c r="AB2081" i="2"/>
  <c r="AB2082" i="2"/>
  <c r="AB2083" i="2"/>
  <c r="AB2084" i="2"/>
  <c r="AB2085" i="2"/>
  <c r="AB2086" i="2"/>
  <c r="AB2087" i="2"/>
  <c r="AB2088" i="2"/>
  <c r="AB2089" i="2"/>
  <c r="AB2090" i="2"/>
  <c r="AB2091" i="2"/>
  <c r="AB2092" i="2"/>
  <c r="AB2093" i="2"/>
  <c r="AB2094" i="2"/>
  <c r="AB2095" i="2"/>
  <c r="AB2096" i="2"/>
  <c r="AB2097" i="2"/>
  <c r="AB2098" i="2"/>
  <c r="AB2099" i="2"/>
  <c r="AB2100" i="2"/>
  <c r="AB2101" i="2"/>
  <c r="AB2102" i="2"/>
  <c r="AB2103" i="2"/>
  <c r="AB2104" i="2"/>
  <c r="AB2105" i="2"/>
  <c r="AB2106" i="2"/>
  <c r="AB2107" i="2"/>
  <c r="AC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0" i="2"/>
  <c r="AC711" i="2"/>
  <c r="AC712" i="2"/>
  <c r="AC713" i="2"/>
  <c r="AC714" i="2"/>
  <c r="AC715" i="2"/>
  <c r="AC716" i="2"/>
  <c r="AC717" i="2"/>
  <c r="AC718" i="2"/>
  <c r="AC719" i="2"/>
  <c r="AC720" i="2"/>
  <c r="AC721" i="2"/>
  <c r="AC722" i="2"/>
  <c r="AC723" i="2"/>
  <c r="AC724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AC755" i="2"/>
  <c r="AC756" i="2"/>
  <c r="AC757" i="2"/>
  <c r="AC758" i="2"/>
  <c r="AC759" i="2"/>
  <c r="AC760" i="2"/>
  <c r="AC761" i="2"/>
  <c r="AC762" i="2"/>
  <c r="AC763" i="2"/>
  <c r="AC764" i="2"/>
  <c r="AC765" i="2"/>
  <c r="AC766" i="2"/>
  <c r="AC767" i="2"/>
  <c r="AC768" i="2"/>
  <c r="AC769" i="2"/>
  <c r="AC770" i="2"/>
  <c r="AC771" i="2"/>
  <c r="AC772" i="2"/>
  <c r="AC773" i="2"/>
  <c r="AC774" i="2"/>
  <c r="AC775" i="2"/>
  <c r="AC776" i="2"/>
  <c r="AC777" i="2"/>
  <c r="AC778" i="2"/>
  <c r="AC779" i="2"/>
  <c r="AC780" i="2"/>
  <c r="AC781" i="2"/>
  <c r="AC782" i="2"/>
  <c r="AC783" i="2"/>
  <c r="AC784" i="2"/>
  <c r="AC785" i="2"/>
  <c r="AC786" i="2"/>
  <c r="AC787" i="2"/>
  <c r="AC788" i="2"/>
  <c r="AC789" i="2"/>
  <c r="AC790" i="2"/>
  <c r="AC791" i="2"/>
  <c r="AC792" i="2"/>
  <c r="AC793" i="2"/>
  <c r="AC794" i="2"/>
  <c r="AC795" i="2"/>
  <c r="AC796" i="2"/>
  <c r="AC797" i="2"/>
  <c r="AC798" i="2"/>
  <c r="AC799" i="2"/>
  <c r="AC800" i="2"/>
  <c r="AC801" i="2"/>
  <c r="AC802" i="2"/>
  <c r="AC803" i="2"/>
  <c r="AC804" i="2"/>
  <c r="AC805" i="2"/>
  <c r="AC806" i="2"/>
  <c r="AC807" i="2"/>
  <c r="AC808" i="2"/>
  <c r="AC809" i="2"/>
  <c r="AC810" i="2"/>
  <c r="AC811" i="2"/>
  <c r="AC812" i="2"/>
  <c r="AC813" i="2"/>
  <c r="AC814" i="2"/>
  <c r="AC815" i="2"/>
  <c r="AC816" i="2"/>
  <c r="AC817" i="2"/>
  <c r="AC818" i="2"/>
  <c r="AC819" i="2"/>
  <c r="AC820" i="2"/>
  <c r="AC821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836" i="2"/>
  <c r="AC837" i="2"/>
  <c r="AC838" i="2"/>
  <c r="AC839" i="2"/>
  <c r="AC840" i="2"/>
  <c r="AC841" i="2"/>
  <c r="AC842" i="2"/>
  <c r="AC843" i="2"/>
  <c r="AC844" i="2"/>
  <c r="AC845" i="2"/>
  <c r="AC846" i="2"/>
  <c r="AC847" i="2"/>
  <c r="AC848" i="2"/>
  <c r="AC849" i="2"/>
  <c r="AC850" i="2"/>
  <c r="AC851" i="2"/>
  <c r="AC852" i="2"/>
  <c r="AC853" i="2"/>
  <c r="AC854" i="2"/>
  <c r="AC855" i="2"/>
  <c r="AC856" i="2"/>
  <c r="AC857" i="2"/>
  <c r="AC858" i="2"/>
  <c r="AC859" i="2"/>
  <c r="AC860" i="2"/>
  <c r="AC861" i="2"/>
  <c r="AC862" i="2"/>
  <c r="AC863" i="2"/>
  <c r="AC864" i="2"/>
  <c r="AC865" i="2"/>
  <c r="AC866" i="2"/>
  <c r="AC867" i="2"/>
  <c r="AC868" i="2"/>
  <c r="AC869" i="2"/>
  <c r="AC870" i="2"/>
  <c r="AC871" i="2"/>
  <c r="AC872" i="2"/>
  <c r="AC873" i="2"/>
  <c r="AC874" i="2"/>
  <c r="AC875" i="2"/>
  <c r="AC876" i="2"/>
  <c r="AC877" i="2"/>
  <c r="AC878" i="2"/>
  <c r="AC879" i="2"/>
  <c r="AC880" i="2"/>
  <c r="AC881" i="2"/>
  <c r="AC882" i="2"/>
  <c r="AC883" i="2"/>
  <c r="AC884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903" i="2"/>
  <c r="AC904" i="2"/>
  <c r="AC905" i="2"/>
  <c r="AC906" i="2"/>
  <c r="AC907" i="2"/>
  <c r="AC908" i="2"/>
  <c r="AC909" i="2"/>
  <c r="AC910" i="2"/>
  <c r="AC911" i="2"/>
  <c r="AC912" i="2"/>
  <c r="AC913" i="2"/>
  <c r="AC914" i="2"/>
  <c r="AC915" i="2"/>
  <c r="AC916" i="2"/>
  <c r="AC917" i="2"/>
  <c r="AC918" i="2"/>
  <c r="AC919" i="2"/>
  <c r="AC920" i="2"/>
  <c r="AC921" i="2"/>
  <c r="AC922" i="2"/>
  <c r="AC923" i="2"/>
  <c r="AC924" i="2"/>
  <c r="AC925" i="2"/>
  <c r="AC926" i="2"/>
  <c r="AC927" i="2"/>
  <c r="AC928" i="2"/>
  <c r="AC929" i="2"/>
  <c r="AC930" i="2"/>
  <c r="AC931" i="2"/>
  <c r="AC932" i="2"/>
  <c r="AC933" i="2"/>
  <c r="AC934" i="2"/>
  <c r="AC935" i="2"/>
  <c r="AC936" i="2"/>
  <c r="AC937" i="2"/>
  <c r="AC938" i="2"/>
  <c r="AC939" i="2"/>
  <c r="AC940" i="2"/>
  <c r="AC941" i="2"/>
  <c r="AC942" i="2"/>
  <c r="AC943" i="2"/>
  <c r="AC944" i="2"/>
  <c r="AC945" i="2"/>
  <c r="AC946" i="2"/>
  <c r="AC947" i="2"/>
  <c r="AC948" i="2"/>
  <c r="AC949" i="2"/>
  <c r="AC950" i="2"/>
  <c r="AC951" i="2"/>
  <c r="AC952" i="2"/>
  <c r="AC953" i="2"/>
  <c r="AC954" i="2"/>
  <c r="AC955" i="2"/>
  <c r="AC956" i="2"/>
  <c r="AC957" i="2"/>
  <c r="AC958" i="2"/>
  <c r="AC959" i="2"/>
  <c r="AC960" i="2"/>
  <c r="AC961" i="2"/>
  <c r="AC962" i="2"/>
  <c r="AC963" i="2"/>
  <c r="AC964" i="2"/>
  <c r="AC965" i="2"/>
  <c r="AC966" i="2"/>
  <c r="AC967" i="2"/>
  <c r="AC968" i="2"/>
  <c r="AC969" i="2"/>
  <c r="AC970" i="2"/>
  <c r="AC971" i="2"/>
  <c r="AC972" i="2"/>
  <c r="AC973" i="2"/>
  <c r="AC974" i="2"/>
  <c r="AC975" i="2"/>
  <c r="AC976" i="2"/>
  <c r="AC977" i="2"/>
  <c r="AC978" i="2"/>
  <c r="AC979" i="2"/>
  <c r="AC980" i="2"/>
  <c r="AC981" i="2"/>
  <c r="AC982" i="2"/>
  <c r="AC983" i="2"/>
  <c r="AC984" i="2"/>
  <c r="AC985" i="2"/>
  <c r="AC986" i="2"/>
  <c r="AC987" i="2"/>
  <c r="AC988" i="2"/>
  <c r="AC989" i="2"/>
  <c r="AC990" i="2"/>
  <c r="AC991" i="2"/>
  <c r="AC992" i="2"/>
  <c r="AC993" i="2"/>
  <c r="AC994" i="2"/>
  <c r="AC995" i="2"/>
  <c r="AC996" i="2"/>
  <c r="AC997" i="2"/>
  <c r="AC998" i="2"/>
  <c r="AC999" i="2"/>
  <c r="AC1000" i="2"/>
  <c r="AC1001" i="2"/>
  <c r="AC1002" i="2"/>
  <c r="AC1003" i="2"/>
  <c r="AC1004" i="2"/>
  <c r="AC1005" i="2"/>
  <c r="AC1006" i="2"/>
  <c r="AC1007" i="2"/>
  <c r="AC1008" i="2"/>
  <c r="AC1009" i="2"/>
  <c r="AC1010" i="2"/>
  <c r="AC1011" i="2"/>
  <c r="AC1012" i="2"/>
  <c r="AC1013" i="2"/>
  <c r="AC1014" i="2"/>
  <c r="AC1015" i="2"/>
  <c r="AC1016" i="2"/>
  <c r="AC1017" i="2"/>
  <c r="AC1018" i="2"/>
  <c r="AC1019" i="2"/>
  <c r="AC1020" i="2"/>
  <c r="AC1021" i="2"/>
  <c r="AC1022" i="2"/>
  <c r="AC1023" i="2"/>
  <c r="AC1024" i="2"/>
  <c r="AC1025" i="2"/>
  <c r="AC1026" i="2"/>
  <c r="AC1027" i="2"/>
  <c r="AC1028" i="2"/>
  <c r="AC1029" i="2"/>
  <c r="AC1030" i="2"/>
  <c r="AC1031" i="2"/>
  <c r="AC1032" i="2"/>
  <c r="AC1033" i="2"/>
  <c r="AC1034" i="2"/>
  <c r="AC1035" i="2"/>
  <c r="AC1036" i="2"/>
  <c r="AC1037" i="2"/>
  <c r="AC1038" i="2"/>
  <c r="AC1039" i="2"/>
  <c r="AC1040" i="2"/>
  <c r="AC1041" i="2"/>
  <c r="AC1042" i="2"/>
  <c r="AC1043" i="2"/>
  <c r="AC1044" i="2"/>
  <c r="AC1045" i="2"/>
  <c r="AC1046" i="2"/>
  <c r="AC1047" i="2"/>
  <c r="AC1048" i="2"/>
  <c r="AC1049" i="2"/>
  <c r="AC1050" i="2"/>
  <c r="AC1051" i="2"/>
  <c r="AC1052" i="2"/>
  <c r="AC1053" i="2"/>
  <c r="AC1054" i="2"/>
  <c r="AC1055" i="2"/>
  <c r="AC1056" i="2"/>
  <c r="AC1057" i="2"/>
  <c r="AC1058" i="2"/>
  <c r="AC1059" i="2"/>
  <c r="AC1060" i="2"/>
  <c r="AC1061" i="2"/>
  <c r="AC1062" i="2"/>
  <c r="AC1063" i="2"/>
  <c r="AC1064" i="2"/>
  <c r="AC1065" i="2"/>
  <c r="AC1066" i="2"/>
  <c r="AC1067" i="2"/>
  <c r="AC1068" i="2"/>
  <c r="AC1069" i="2"/>
  <c r="AC1070" i="2"/>
  <c r="AC1071" i="2"/>
  <c r="AC1072" i="2"/>
  <c r="AC1073" i="2"/>
  <c r="AC1074" i="2"/>
  <c r="AC1075" i="2"/>
  <c r="AC1076" i="2"/>
  <c r="AC1077" i="2"/>
  <c r="AC1078" i="2"/>
  <c r="AC1079" i="2"/>
  <c r="AC1080" i="2"/>
  <c r="AC1081" i="2"/>
  <c r="AC1082" i="2"/>
  <c r="AC1083" i="2"/>
  <c r="AC1084" i="2"/>
  <c r="AC1085" i="2"/>
  <c r="AC1086" i="2"/>
  <c r="AC1087" i="2"/>
  <c r="AC1088" i="2"/>
  <c r="AC1089" i="2"/>
  <c r="AC1090" i="2"/>
  <c r="AC1091" i="2"/>
  <c r="AC1092" i="2"/>
  <c r="AC1093" i="2"/>
  <c r="AC1094" i="2"/>
  <c r="AC1095" i="2"/>
  <c r="AC1096" i="2"/>
  <c r="AC1097" i="2"/>
  <c r="AC1098" i="2"/>
  <c r="AC1099" i="2"/>
  <c r="AC1100" i="2"/>
  <c r="AC1101" i="2"/>
  <c r="AC1102" i="2"/>
  <c r="AC1103" i="2"/>
  <c r="AC1104" i="2"/>
  <c r="AC1105" i="2"/>
  <c r="AC1106" i="2"/>
  <c r="AC1107" i="2"/>
  <c r="AC1108" i="2"/>
  <c r="AC1109" i="2"/>
  <c r="AC1110" i="2"/>
  <c r="AC1111" i="2"/>
  <c r="AC1112" i="2"/>
  <c r="AC1113" i="2"/>
  <c r="AC1114" i="2"/>
  <c r="AC1115" i="2"/>
  <c r="AC1116" i="2"/>
  <c r="AC1117" i="2"/>
  <c r="AC1118" i="2"/>
  <c r="AC1119" i="2"/>
  <c r="AC1120" i="2"/>
  <c r="AC1121" i="2"/>
  <c r="AC1122" i="2"/>
  <c r="AC1123" i="2"/>
  <c r="AC1124" i="2"/>
  <c r="AC1125" i="2"/>
  <c r="AC1126" i="2"/>
  <c r="AC1127" i="2"/>
  <c r="AC1128" i="2"/>
  <c r="AC1129" i="2"/>
  <c r="AC1130" i="2"/>
  <c r="AC1131" i="2"/>
  <c r="AC1132" i="2"/>
  <c r="AC1133" i="2"/>
  <c r="AC1134" i="2"/>
  <c r="AC1135" i="2"/>
  <c r="AC1136" i="2"/>
  <c r="AC1137" i="2"/>
  <c r="AC1138" i="2"/>
  <c r="AC1139" i="2"/>
  <c r="AC1140" i="2"/>
  <c r="AC1141" i="2"/>
  <c r="AC1142" i="2"/>
  <c r="AC1143" i="2"/>
  <c r="AC1144" i="2"/>
  <c r="AC1145" i="2"/>
  <c r="AC1146" i="2"/>
  <c r="AC1147" i="2"/>
  <c r="AC1148" i="2"/>
  <c r="AC1149" i="2"/>
  <c r="AC1150" i="2"/>
  <c r="AC1151" i="2"/>
  <c r="AC1152" i="2"/>
  <c r="AC1153" i="2"/>
  <c r="AC1154" i="2"/>
  <c r="AC1155" i="2"/>
  <c r="AC1156" i="2"/>
  <c r="AC1157" i="2"/>
  <c r="AC1158" i="2"/>
  <c r="AC1159" i="2"/>
  <c r="AC1160" i="2"/>
  <c r="AC1161" i="2"/>
  <c r="AC1162" i="2"/>
  <c r="AC1163" i="2"/>
  <c r="AC1164" i="2"/>
  <c r="AC1165" i="2"/>
  <c r="AC1166" i="2"/>
  <c r="AC1167" i="2"/>
  <c r="AC1168" i="2"/>
  <c r="AC1169" i="2"/>
  <c r="AC1170" i="2"/>
  <c r="AC1171" i="2"/>
  <c r="AC1172" i="2"/>
  <c r="AC1173" i="2"/>
  <c r="AC1174" i="2"/>
  <c r="AC1175" i="2"/>
  <c r="AC1176" i="2"/>
  <c r="AC1177" i="2"/>
  <c r="AC1178" i="2"/>
  <c r="AC1179" i="2"/>
  <c r="AC1180" i="2"/>
  <c r="AC1181" i="2"/>
  <c r="AC1182" i="2"/>
  <c r="AC1183" i="2"/>
  <c r="AC1184" i="2"/>
  <c r="AC1185" i="2"/>
  <c r="AC1186" i="2"/>
  <c r="AC1187" i="2"/>
  <c r="AC1188" i="2"/>
  <c r="AC1189" i="2"/>
  <c r="AC1190" i="2"/>
  <c r="AC1191" i="2"/>
  <c r="AC1192" i="2"/>
  <c r="AC1193" i="2"/>
  <c r="AC1194" i="2"/>
  <c r="AC1195" i="2"/>
  <c r="AC1196" i="2"/>
  <c r="AC1197" i="2"/>
  <c r="AC1198" i="2"/>
  <c r="AC1199" i="2"/>
  <c r="AC1200" i="2"/>
  <c r="AC1201" i="2"/>
  <c r="AC1202" i="2"/>
  <c r="AC1203" i="2"/>
  <c r="AC1204" i="2"/>
  <c r="AC1205" i="2"/>
  <c r="AC1206" i="2"/>
  <c r="AC1207" i="2"/>
  <c r="AC1208" i="2"/>
  <c r="AC1209" i="2"/>
  <c r="AC1210" i="2"/>
  <c r="AC1211" i="2"/>
  <c r="AC1212" i="2"/>
  <c r="AC1213" i="2"/>
  <c r="AC1214" i="2"/>
  <c r="AC1215" i="2"/>
  <c r="AC1216" i="2"/>
  <c r="AC1217" i="2"/>
  <c r="AC1218" i="2"/>
  <c r="AC1219" i="2"/>
  <c r="AC1220" i="2"/>
  <c r="AC1221" i="2"/>
  <c r="AC1222" i="2"/>
  <c r="AC1223" i="2"/>
  <c r="AC1224" i="2"/>
  <c r="AC1225" i="2"/>
  <c r="AC1226" i="2"/>
  <c r="AC1227" i="2"/>
  <c r="AC1228" i="2"/>
  <c r="AC1229" i="2"/>
  <c r="AC1230" i="2"/>
  <c r="AC1231" i="2"/>
  <c r="AC1232" i="2"/>
  <c r="AC1233" i="2"/>
  <c r="AC1234" i="2"/>
  <c r="AC1235" i="2"/>
  <c r="AC1236" i="2"/>
  <c r="AC1237" i="2"/>
  <c r="AC1238" i="2"/>
  <c r="AC1239" i="2"/>
  <c r="AC1240" i="2"/>
  <c r="AC1241" i="2"/>
  <c r="AC1242" i="2"/>
  <c r="AC1243" i="2"/>
  <c r="AC1244" i="2"/>
  <c r="AC1245" i="2"/>
  <c r="AC1246" i="2"/>
  <c r="AC1247" i="2"/>
  <c r="AC1248" i="2"/>
  <c r="AC1249" i="2"/>
  <c r="AC1250" i="2"/>
  <c r="AC1251" i="2"/>
  <c r="AC1252" i="2"/>
  <c r="AC1253" i="2"/>
  <c r="AC1254" i="2"/>
  <c r="AC1255" i="2"/>
  <c r="AC1256" i="2"/>
  <c r="AC1257" i="2"/>
  <c r="AC1258" i="2"/>
  <c r="AC1259" i="2"/>
  <c r="AC1260" i="2"/>
  <c r="AC1261" i="2"/>
  <c r="AC1262" i="2"/>
  <c r="AC1263" i="2"/>
  <c r="AC1264" i="2"/>
  <c r="AC1265" i="2"/>
  <c r="AC1266" i="2"/>
  <c r="AC1267" i="2"/>
  <c r="AC1268" i="2"/>
  <c r="AC1269" i="2"/>
  <c r="AC1270" i="2"/>
  <c r="AC1271" i="2"/>
  <c r="AC1272" i="2"/>
  <c r="AC1273" i="2"/>
  <c r="AC1274" i="2"/>
  <c r="AC1275" i="2"/>
  <c r="AC1276" i="2"/>
  <c r="AC1277" i="2"/>
  <c r="AC1278" i="2"/>
  <c r="AC1279" i="2"/>
  <c r="AC1280" i="2"/>
  <c r="AC1281" i="2"/>
  <c r="AC1282" i="2"/>
  <c r="AC1283" i="2"/>
  <c r="AC1284" i="2"/>
  <c r="AC1285" i="2"/>
  <c r="AC1286" i="2"/>
  <c r="AC1287" i="2"/>
  <c r="AC1288" i="2"/>
  <c r="AC1289" i="2"/>
  <c r="AC1290" i="2"/>
  <c r="AC1291" i="2"/>
  <c r="AC1292" i="2"/>
  <c r="AC1293" i="2"/>
  <c r="AC1294" i="2"/>
  <c r="AC1295" i="2"/>
  <c r="AC1296" i="2"/>
  <c r="AC1297" i="2"/>
  <c r="AC1298" i="2"/>
  <c r="AC1299" i="2"/>
  <c r="AC1300" i="2"/>
  <c r="AC1301" i="2"/>
  <c r="AC1302" i="2"/>
  <c r="AC1303" i="2"/>
  <c r="AC1304" i="2"/>
  <c r="AC1305" i="2"/>
  <c r="AC1306" i="2"/>
  <c r="AC1307" i="2"/>
  <c r="AC1308" i="2"/>
  <c r="AC1309" i="2"/>
  <c r="AC1310" i="2"/>
  <c r="AC1311" i="2"/>
  <c r="AC1312" i="2"/>
  <c r="AC1313" i="2"/>
  <c r="AC1314" i="2"/>
  <c r="AC1315" i="2"/>
  <c r="AC1316" i="2"/>
  <c r="AC1317" i="2"/>
  <c r="AC1318" i="2"/>
  <c r="AC1319" i="2"/>
  <c r="AC1320" i="2"/>
  <c r="AC1321" i="2"/>
  <c r="AC1322" i="2"/>
  <c r="AC1323" i="2"/>
  <c r="AC1324" i="2"/>
  <c r="AC1325" i="2"/>
  <c r="AC1326" i="2"/>
  <c r="AC1327" i="2"/>
  <c r="AC1328" i="2"/>
  <c r="AC1329" i="2"/>
  <c r="AC1330" i="2"/>
  <c r="AC1331" i="2"/>
  <c r="AC1332" i="2"/>
  <c r="AC1333" i="2"/>
  <c r="AC1334" i="2"/>
  <c r="AC1335" i="2"/>
  <c r="AC1336" i="2"/>
  <c r="AC1337" i="2"/>
  <c r="AC1338" i="2"/>
  <c r="AC1339" i="2"/>
  <c r="AC1340" i="2"/>
  <c r="AC1341" i="2"/>
  <c r="AC1342" i="2"/>
  <c r="AC1343" i="2"/>
  <c r="AC1344" i="2"/>
  <c r="AC1345" i="2"/>
  <c r="AC1346" i="2"/>
  <c r="AC1347" i="2"/>
  <c r="AC1348" i="2"/>
  <c r="AC1349" i="2"/>
  <c r="AC1350" i="2"/>
  <c r="AC1351" i="2"/>
  <c r="AC1352" i="2"/>
  <c r="AC1353" i="2"/>
  <c r="AC1354" i="2"/>
  <c r="AC1355" i="2"/>
  <c r="AC1356" i="2"/>
  <c r="AC1357" i="2"/>
  <c r="AC1358" i="2"/>
  <c r="AC1359" i="2"/>
  <c r="AC1360" i="2"/>
  <c r="AC1361" i="2"/>
  <c r="AC1362" i="2"/>
  <c r="AC1363" i="2"/>
  <c r="AC1364" i="2"/>
  <c r="AC1365" i="2"/>
  <c r="AC1366" i="2"/>
  <c r="AC1367" i="2"/>
  <c r="AC1368" i="2"/>
  <c r="AC1369" i="2"/>
  <c r="AC1370" i="2"/>
  <c r="AC1371" i="2"/>
  <c r="AC1372" i="2"/>
  <c r="AC1373" i="2"/>
  <c r="AC1374" i="2"/>
  <c r="AC1375" i="2"/>
  <c r="AC1376" i="2"/>
  <c r="AC1377" i="2"/>
  <c r="AC1378" i="2"/>
  <c r="AC1379" i="2"/>
  <c r="AC1380" i="2"/>
  <c r="AC1381" i="2"/>
  <c r="AC1382" i="2"/>
  <c r="AC1383" i="2"/>
  <c r="AC1384" i="2"/>
  <c r="AC1385" i="2"/>
  <c r="AC1386" i="2"/>
  <c r="AC1387" i="2"/>
  <c r="AC1388" i="2"/>
  <c r="AC1389" i="2"/>
  <c r="AC1390" i="2"/>
  <c r="AC1391" i="2"/>
  <c r="AC1392" i="2"/>
  <c r="AC1393" i="2"/>
  <c r="AC1394" i="2"/>
  <c r="AC1395" i="2"/>
  <c r="AC1396" i="2"/>
  <c r="AC1397" i="2"/>
  <c r="AC1398" i="2"/>
  <c r="AC1399" i="2"/>
  <c r="AC1400" i="2"/>
  <c r="AC1401" i="2"/>
  <c r="AC1402" i="2"/>
  <c r="AC1403" i="2"/>
  <c r="AC1404" i="2"/>
  <c r="AC1405" i="2"/>
  <c r="AC1406" i="2"/>
  <c r="AC1407" i="2"/>
  <c r="AC1408" i="2"/>
  <c r="AC1409" i="2"/>
  <c r="AC1410" i="2"/>
  <c r="AC1411" i="2"/>
  <c r="AC1412" i="2"/>
  <c r="AC1413" i="2"/>
  <c r="AC1414" i="2"/>
  <c r="AC1415" i="2"/>
  <c r="AC1416" i="2"/>
  <c r="AC1417" i="2"/>
  <c r="AC1418" i="2"/>
  <c r="AC1419" i="2"/>
  <c r="AC1420" i="2"/>
  <c r="AC1421" i="2"/>
  <c r="AC1422" i="2"/>
  <c r="AC1423" i="2"/>
  <c r="AC1424" i="2"/>
  <c r="AC1425" i="2"/>
  <c r="AC1426" i="2"/>
  <c r="AC1427" i="2"/>
  <c r="AC1428" i="2"/>
  <c r="AC1429" i="2"/>
  <c r="AC1430" i="2"/>
  <c r="AC1431" i="2"/>
  <c r="AC1432" i="2"/>
  <c r="AC1433" i="2"/>
  <c r="AC1434" i="2"/>
  <c r="AC1435" i="2"/>
  <c r="AC1436" i="2"/>
  <c r="AC1437" i="2"/>
  <c r="AC1438" i="2"/>
  <c r="AC1439" i="2"/>
  <c r="AC1440" i="2"/>
  <c r="AC1441" i="2"/>
  <c r="AC1442" i="2"/>
  <c r="AC1443" i="2"/>
  <c r="AC1444" i="2"/>
  <c r="AC1445" i="2"/>
  <c r="AC1446" i="2"/>
  <c r="AC1447" i="2"/>
  <c r="AC1448" i="2"/>
  <c r="AC1449" i="2"/>
  <c r="AC1450" i="2"/>
  <c r="AC1451" i="2"/>
  <c r="AC1452" i="2"/>
  <c r="AC1453" i="2"/>
  <c r="AC1454" i="2"/>
  <c r="AC1455" i="2"/>
  <c r="AC1456" i="2"/>
  <c r="AC1457" i="2"/>
  <c r="AC1458" i="2"/>
  <c r="AC1459" i="2"/>
  <c r="AC1460" i="2"/>
  <c r="AC1461" i="2"/>
  <c r="AC1462" i="2"/>
  <c r="AC1463" i="2"/>
  <c r="AC1464" i="2"/>
  <c r="AC1465" i="2"/>
  <c r="AC1466" i="2"/>
  <c r="AC1467" i="2"/>
  <c r="AC1468" i="2"/>
  <c r="AC1469" i="2"/>
  <c r="AC1470" i="2"/>
  <c r="AC1471" i="2"/>
  <c r="AC1472" i="2"/>
  <c r="AC1473" i="2"/>
  <c r="AC1474" i="2"/>
  <c r="AC1475" i="2"/>
  <c r="AC1476" i="2"/>
  <c r="AC1477" i="2"/>
  <c r="AC1478" i="2"/>
  <c r="AC1479" i="2"/>
  <c r="AC1480" i="2"/>
  <c r="AC1481" i="2"/>
  <c r="AC1482" i="2"/>
  <c r="AC1483" i="2"/>
  <c r="AC1484" i="2"/>
  <c r="AC1485" i="2"/>
  <c r="AC1486" i="2"/>
  <c r="AC1487" i="2"/>
  <c r="AC1488" i="2"/>
  <c r="AC1489" i="2"/>
  <c r="AC1490" i="2"/>
  <c r="AC1491" i="2"/>
  <c r="AC1492" i="2"/>
  <c r="AC1493" i="2"/>
  <c r="AC1494" i="2"/>
  <c r="AC1495" i="2"/>
  <c r="AC1496" i="2"/>
  <c r="AC1497" i="2"/>
  <c r="AC1498" i="2"/>
  <c r="AC1499" i="2"/>
  <c r="AC1500" i="2"/>
  <c r="AC1501" i="2"/>
  <c r="AC1502" i="2"/>
  <c r="AC1503" i="2"/>
  <c r="AC1504" i="2"/>
  <c r="AC1505" i="2"/>
  <c r="AC1506" i="2"/>
  <c r="AC1507" i="2"/>
  <c r="AC1508" i="2"/>
  <c r="AC1509" i="2"/>
  <c r="AC1510" i="2"/>
  <c r="AC1511" i="2"/>
  <c r="AC1512" i="2"/>
  <c r="AC1513" i="2"/>
  <c r="AC1514" i="2"/>
  <c r="AC1515" i="2"/>
  <c r="AC1516" i="2"/>
  <c r="AC1517" i="2"/>
  <c r="AC1518" i="2"/>
  <c r="AC1519" i="2"/>
  <c r="AC1520" i="2"/>
  <c r="AC1521" i="2"/>
  <c r="AC1522" i="2"/>
  <c r="AC1523" i="2"/>
  <c r="AC1524" i="2"/>
  <c r="AC1525" i="2"/>
  <c r="AC1526" i="2"/>
  <c r="AC1527" i="2"/>
  <c r="AC1528" i="2"/>
  <c r="AC1529" i="2"/>
  <c r="AC1530" i="2"/>
  <c r="AC1531" i="2"/>
  <c r="AC1532" i="2"/>
  <c r="AC1533" i="2"/>
  <c r="AC1534" i="2"/>
  <c r="AC1535" i="2"/>
  <c r="AC1536" i="2"/>
  <c r="AC1537" i="2"/>
  <c r="AC1538" i="2"/>
  <c r="AC1539" i="2"/>
  <c r="AC1540" i="2"/>
  <c r="AC1541" i="2"/>
  <c r="AC1542" i="2"/>
  <c r="AC1543" i="2"/>
  <c r="AC1544" i="2"/>
  <c r="AC1545" i="2"/>
  <c r="AC1546" i="2"/>
  <c r="AC1547" i="2"/>
  <c r="AC1548" i="2"/>
  <c r="AC1549" i="2"/>
  <c r="AC1550" i="2"/>
  <c r="AC1551" i="2"/>
  <c r="AC1552" i="2"/>
  <c r="AC1553" i="2"/>
  <c r="AC1554" i="2"/>
  <c r="AC1555" i="2"/>
  <c r="AC1556" i="2"/>
  <c r="AC1557" i="2"/>
  <c r="AC1558" i="2"/>
  <c r="AC1559" i="2"/>
  <c r="AC1560" i="2"/>
  <c r="AC1561" i="2"/>
  <c r="AC1562" i="2"/>
  <c r="AC1563" i="2"/>
  <c r="AC1564" i="2"/>
  <c r="AC1565" i="2"/>
  <c r="AC1566" i="2"/>
  <c r="AC1567" i="2"/>
  <c r="AC1568" i="2"/>
  <c r="AC1569" i="2"/>
  <c r="AC1570" i="2"/>
  <c r="AC1571" i="2"/>
  <c r="AC1572" i="2"/>
  <c r="AC1573" i="2"/>
  <c r="AC1574" i="2"/>
  <c r="AC1575" i="2"/>
  <c r="AC1576" i="2"/>
  <c r="AC1577" i="2"/>
  <c r="AC1578" i="2"/>
  <c r="AC1579" i="2"/>
  <c r="AC1580" i="2"/>
  <c r="AC1581" i="2"/>
  <c r="AC1582" i="2"/>
  <c r="AC1583" i="2"/>
  <c r="AC1584" i="2"/>
  <c r="AC1585" i="2"/>
  <c r="AC1586" i="2"/>
  <c r="AC1587" i="2"/>
  <c r="AC1588" i="2"/>
  <c r="AC1589" i="2"/>
  <c r="AC1590" i="2"/>
  <c r="AC1591" i="2"/>
  <c r="AC1592" i="2"/>
  <c r="AC1593" i="2"/>
  <c r="AC1594" i="2"/>
  <c r="AC1595" i="2"/>
  <c r="AC1596" i="2"/>
  <c r="AC1597" i="2"/>
  <c r="AC1598" i="2"/>
  <c r="AC1599" i="2"/>
  <c r="AC1600" i="2"/>
  <c r="AC1601" i="2"/>
  <c r="AC1602" i="2"/>
  <c r="AC1603" i="2"/>
  <c r="AC1604" i="2"/>
  <c r="AC1605" i="2"/>
  <c r="AC1606" i="2"/>
  <c r="AC1607" i="2"/>
  <c r="AC1608" i="2"/>
  <c r="AC1609" i="2"/>
  <c r="AC1610" i="2"/>
  <c r="AC1611" i="2"/>
  <c r="AC1612" i="2"/>
  <c r="AC1613" i="2"/>
  <c r="AC1614" i="2"/>
  <c r="AC1615" i="2"/>
  <c r="AC1616" i="2"/>
  <c r="AC1617" i="2"/>
  <c r="AC1618" i="2"/>
  <c r="AC1619" i="2"/>
  <c r="AC1620" i="2"/>
  <c r="AC1621" i="2"/>
  <c r="AC1622" i="2"/>
  <c r="AC1623" i="2"/>
  <c r="AC1624" i="2"/>
  <c r="AC1625" i="2"/>
  <c r="AC1626" i="2"/>
  <c r="AC1627" i="2"/>
  <c r="AC1628" i="2"/>
  <c r="AC1629" i="2"/>
  <c r="AC1630" i="2"/>
  <c r="AC1631" i="2"/>
  <c r="AC1632" i="2"/>
  <c r="AC1633" i="2"/>
  <c r="AC1634" i="2"/>
  <c r="AC1635" i="2"/>
  <c r="AC1636" i="2"/>
  <c r="AC1637" i="2"/>
  <c r="AC1638" i="2"/>
  <c r="AC1639" i="2"/>
  <c r="AC1640" i="2"/>
  <c r="AC1641" i="2"/>
  <c r="AC1642" i="2"/>
  <c r="AC1643" i="2"/>
  <c r="AC1644" i="2"/>
  <c r="AC1645" i="2"/>
  <c r="AC1646" i="2"/>
  <c r="AC1647" i="2"/>
  <c r="AC1648" i="2"/>
  <c r="AC1649" i="2"/>
  <c r="AC1650" i="2"/>
  <c r="AC1651" i="2"/>
  <c r="AC1652" i="2"/>
  <c r="AC1653" i="2"/>
  <c r="AC1654" i="2"/>
  <c r="AC1655" i="2"/>
  <c r="AC1656" i="2"/>
  <c r="AC1657" i="2"/>
  <c r="AC1658" i="2"/>
  <c r="AC1659" i="2"/>
  <c r="AC1660" i="2"/>
  <c r="AC1661" i="2"/>
  <c r="AC1662" i="2"/>
  <c r="AC1663" i="2"/>
  <c r="AC1664" i="2"/>
  <c r="AC1665" i="2"/>
  <c r="AC1666" i="2"/>
  <c r="AC1667" i="2"/>
  <c r="AC1668" i="2"/>
  <c r="AC1669" i="2"/>
  <c r="AC1670" i="2"/>
  <c r="AC1671" i="2"/>
  <c r="AC1672" i="2"/>
  <c r="AC1673" i="2"/>
  <c r="AC1674" i="2"/>
  <c r="AC1675" i="2"/>
  <c r="AC1676" i="2"/>
  <c r="AC1677" i="2"/>
  <c r="AC1678" i="2"/>
  <c r="AC1679" i="2"/>
  <c r="AC1680" i="2"/>
  <c r="AC1681" i="2"/>
  <c r="AC1682" i="2"/>
  <c r="AC1683" i="2"/>
  <c r="AC1684" i="2"/>
  <c r="AC1685" i="2"/>
  <c r="AC1686" i="2"/>
  <c r="AC1687" i="2"/>
  <c r="AC1688" i="2"/>
  <c r="AC1689" i="2"/>
  <c r="AC1690" i="2"/>
  <c r="AC1691" i="2"/>
  <c r="AC1692" i="2"/>
  <c r="AC1693" i="2"/>
  <c r="AC1694" i="2"/>
  <c r="AC1695" i="2"/>
  <c r="AC1696" i="2"/>
  <c r="AC1697" i="2"/>
  <c r="AC1698" i="2"/>
  <c r="AC1699" i="2"/>
  <c r="AC1700" i="2"/>
  <c r="AC1701" i="2"/>
  <c r="AC1702" i="2"/>
  <c r="AC1703" i="2"/>
  <c r="AC1704" i="2"/>
  <c r="AC1705" i="2"/>
  <c r="AC1706" i="2"/>
  <c r="AC1707" i="2"/>
  <c r="AC1708" i="2"/>
  <c r="AC1709" i="2"/>
  <c r="AC1710" i="2"/>
  <c r="AC1711" i="2"/>
  <c r="AC1712" i="2"/>
  <c r="AC1713" i="2"/>
  <c r="AC1714" i="2"/>
  <c r="AC1715" i="2"/>
  <c r="AC1716" i="2"/>
  <c r="AC1717" i="2"/>
  <c r="AC1718" i="2"/>
  <c r="AC1719" i="2"/>
  <c r="AC1720" i="2"/>
  <c r="AC1721" i="2"/>
  <c r="AC1722" i="2"/>
  <c r="AC1723" i="2"/>
  <c r="AC1724" i="2"/>
  <c r="AC1725" i="2"/>
  <c r="AC1726" i="2"/>
  <c r="AC1727" i="2"/>
  <c r="AC1728" i="2"/>
  <c r="AC1729" i="2"/>
  <c r="AC1730" i="2"/>
  <c r="AC1731" i="2"/>
  <c r="AC1732" i="2"/>
  <c r="AC1733" i="2"/>
  <c r="AC1734" i="2"/>
  <c r="AC1735" i="2"/>
  <c r="AC1736" i="2"/>
  <c r="AC1737" i="2"/>
  <c r="AC1738" i="2"/>
  <c r="AC1739" i="2"/>
  <c r="AC1740" i="2"/>
  <c r="AC1741" i="2"/>
  <c r="AC1742" i="2"/>
  <c r="AC1743" i="2"/>
  <c r="AC1744" i="2"/>
  <c r="AC1745" i="2"/>
  <c r="AC1746" i="2"/>
  <c r="AC1747" i="2"/>
  <c r="AC1748" i="2"/>
  <c r="AC1749" i="2"/>
  <c r="AC1750" i="2"/>
  <c r="AC1751" i="2"/>
  <c r="AC1752" i="2"/>
  <c r="AC1753" i="2"/>
  <c r="AC1754" i="2"/>
  <c r="AC1755" i="2"/>
  <c r="AC1756" i="2"/>
  <c r="AC1757" i="2"/>
  <c r="AC1758" i="2"/>
  <c r="AC1759" i="2"/>
  <c r="AC1760" i="2"/>
  <c r="AC1761" i="2"/>
  <c r="AC1762" i="2"/>
  <c r="AC1763" i="2"/>
  <c r="AC1764" i="2"/>
  <c r="AC1765" i="2"/>
  <c r="AC1766" i="2"/>
  <c r="AC1767" i="2"/>
  <c r="AC1768" i="2"/>
  <c r="AC1769" i="2"/>
  <c r="AC1770" i="2"/>
  <c r="AC1771" i="2"/>
  <c r="AC1772" i="2"/>
  <c r="AC1773" i="2"/>
  <c r="AC1774" i="2"/>
  <c r="AC1775" i="2"/>
  <c r="AC1776" i="2"/>
  <c r="AC1777" i="2"/>
  <c r="AC1778" i="2"/>
  <c r="AC1779" i="2"/>
  <c r="AC1780" i="2"/>
  <c r="AC1781" i="2"/>
  <c r="AC1782" i="2"/>
  <c r="AC1783" i="2"/>
  <c r="AC1784" i="2"/>
  <c r="AC1785" i="2"/>
  <c r="AC1786" i="2"/>
  <c r="AC1787" i="2"/>
  <c r="AC1788" i="2"/>
  <c r="AC1789" i="2"/>
  <c r="AC1790" i="2"/>
  <c r="AC1791" i="2"/>
  <c r="AC1792" i="2"/>
  <c r="AC1793" i="2"/>
  <c r="AC1794" i="2"/>
  <c r="AC1795" i="2"/>
  <c r="AC1796" i="2"/>
  <c r="AC1797" i="2"/>
  <c r="AC1798" i="2"/>
  <c r="AC1799" i="2"/>
  <c r="AC1800" i="2"/>
  <c r="AC1801" i="2"/>
  <c r="AC1802" i="2"/>
  <c r="AC1803" i="2"/>
  <c r="AC1804" i="2"/>
  <c r="AC1805" i="2"/>
  <c r="AC1806" i="2"/>
  <c r="AC1807" i="2"/>
  <c r="AC1808" i="2"/>
  <c r="AC1809" i="2"/>
  <c r="AC1810" i="2"/>
  <c r="AC1811" i="2"/>
  <c r="AC1812" i="2"/>
  <c r="AC1813" i="2"/>
  <c r="AC1814" i="2"/>
  <c r="AC1815" i="2"/>
  <c r="AC1816" i="2"/>
  <c r="AC1817" i="2"/>
  <c r="AC1818" i="2"/>
  <c r="AC1819" i="2"/>
  <c r="AC1820" i="2"/>
  <c r="AC1821" i="2"/>
  <c r="AC1822" i="2"/>
  <c r="AC1823" i="2"/>
  <c r="AC1824" i="2"/>
  <c r="AC1825" i="2"/>
  <c r="AC1826" i="2"/>
  <c r="AC1827" i="2"/>
  <c r="AC1828" i="2"/>
  <c r="AC1829" i="2"/>
  <c r="AC1830" i="2"/>
  <c r="AC1831" i="2"/>
  <c r="AC1832" i="2"/>
  <c r="AC1833" i="2"/>
  <c r="AC1834" i="2"/>
  <c r="AC1835" i="2"/>
  <c r="AC1836" i="2"/>
  <c r="AC1837" i="2"/>
  <c r="AC1838" i="2"/>
  <c r="AC1839" i="2"/>
  <c r="AC1840" i="2"/>
  <c r="AC1841" i="2"/>
  <c r="AC1842" i="2"/>
  <c r="AC1843" i="2"/>
  <c r="AC1844" i="2"/>
  <c r="AC1845" i="2"/>
  <c r="AC1846" i="2"/>
  <c r="AC1847" i="2"/>
  <c r="AC1848" i="2"/>
  <c r="AC1849" i="2"/>
  <c r="AC1850" i="2"/>
  <c r="AC1851" i="2"/>
  <c r="AC1852" i="2"/>
  <c r="AC1853" i="2"/>
  <c r="AC1854" i="2"/>
  <c r="AC1855" i="2"/>
  <c r="AC1856" i="2"/>
  <c r="AC1857" i="2"/>
  <c r="AC1858" i="2"/>
  <c r="AC1859" i="2"/>
  <c r="AC1860" i="2"/>
  <c r="AC1861" i="2"/>
  <c r="AC1862" i="2"/>
  <c r="AC1863" i="2"/>
  <c r="AC1864" i="2"/>
  <c r="AC1865" i="2"/>
  <c r="AC1866" i="2"/>
  <c r="AC1867" i="2"/>
  <c r="AC1868" i="2"/>
  <c r="AC1869" i="2"/>
  <c r="AC1870" i="2"/>
  <c r="AC1871" i="2"/>
  <c r="AC1872" i="2"/>
  <c r="AC1873" i="2"/>
  <c r="AC1874" i="2"/>
  <c r="AC1875" i="2"/>
  <c r="AC1876" i="2"/>
  <c r="AC1877" i="2"/>
  <c r="AC1878" i="2"/>
  <c r="AC1879" i="2"/>
  <c r="AC1880" i="2"/>
  <c r="AC1881" i="2"/>
  <c r="AC1882" i="2"/>
  <c r="AC1883" i="2"/>
  <c r="AC1884" i="2"/>
  <c r="AC1885" i="2"/>
  <c r="AC1886" i="2"/>
  <c r="AC1887" i="2"/>
  <c r="AC1888" i="2"/>
  <c r="AC1889" i="2"/>
  <c r="AC1890" i="2"/>
  <c r="AC1891" i="2"/>
  <c r="AC1892" i="2"/>
  <c r="AC1893" i="2"/>
  <c r="AC1894" i="2"/>
  <c r="AC1895" i="2"/>
  <c r="AC1896" i="2"/>
  <c r="AC1897" i="2"/>
  <c r="AC1898" i="2"/>
  <c r="AC1899" i="2"/>
  <c r="AC1900" i="2"/>
  <c r="AC1901" i="2"/>
  <c r="AC1902" i="2"/>
  <c r="AC1903" i="2"/>
  <c r="AC1904" i="2"/>
  <c r="AC1905" i="2"/>
  <c r="AC1906" i="2"/>
  <c r="AC1907" i="2"/>
  <c r="AC1908" i="2"/>
  <c r="AC1909" i="2"/>
  <c r="AC1910" i="2"/>
  <c r="AC1911" i="2"/>
  <c r="AC1912" i="2"/>
  <c r="AC1913" i="2"/>
  <c r="AC1914" i="2"/>
  <c r="AC1915" i="2"/>
  <c r="AC1916" i="2"/>
  <c r="AC1917" i="2"/>
  <c r="AC1918" i="2"/>
  <c r="AC1919" i="2"/>
  <c r="AC1920" i="2"/>
  <c r="AC1921" i="2"/>
  <c r="AC1922" i="2"/>
  <c r="AC1923" i="2"/>
  <c r="AC1924" i="2"/>
  <c r="AC1925" i="2"/>
  <c r="AC1926" i="2"/>
  <c r="AC1927" i="2"/>
  <c r="AC1928" i="2"/>
  <c r="AC1929" i="2"/>
  <c r="AC1930" i="2"/>
  <c r="AC1931" i="2"/>
  <c r="AC1932" i="2"/>
  <c r="AC1933" i="2"/>
  <c r="AC1934" i="2"/>
  <c r="AC1935" i="2"/>
  <c r="AC1936" i="2"/>
  <c r="AC1937" i="2"/>
  <c r="AC1938" i="2"/>
  <c r="AC1939" i="2"/>
  <c r="AC1940" i="2"/>
  <c r="AC1941" i="2"/>
  <c r="AC1942" i="2"/>
  <c r="AC1943" i="2"/>
  <c r="AC1944" i="2"/>
  <c r="AC1945" i="2"/>
  <c r="AC1946" i="2"/>
  <c r="AC1947" i="2"/>
  <c r="AC1948" i="2"/>
  <c r="AC1949" i="2"/>
  <c r="AC1950" i="2"/>
  <c r="AC1951" i="2"/>
  <c r="AC1952" i="2"/>
  <c r="AC1953" i="2"/>
  <c r="AC1954" i="2"/>
  <c r="AC1955" i="2"/>
  <c r="AC1956" i="2"/>
  <c r="AC1957" i="2"/>
  <c r="AC1958" i="2"/>
  <c r="AC1959" i="2"/>
  <c r="AC1960" i="2"/>
  <c r="AC1961" i="2"/>
  <c r="AC1962" i="2"/>
  <c r="AC1963" i="2"/>
  <c r="AC1964" i="2"/>
  <c r="AC1965" i="2"/>
  <c r="AC1966" i="2"/>
  <c r="AC1967" i="2"/>
  <c r="AC1968" i="2"/>
  <c r="AC1969" i="2"/>
  <c r="AC1970" i="2"/>
  <c r="AC1971" i="2"/>
  <c r="AC1972" i="2"/>
  <c r="AC1973" i="2"/>
  <c r="AC1974" i="2"/>
  <c r="AC1975" i="2"/>
  <c r="AC1976" i="2"/>
  <c r="AC1977" i="2"/>
  <c r="AC1978" i="2"/>
  <c r="AC1979" i="2"/>
  <c r="AC1980" i="2"/>
  <c r="AC1981" i="2"/>
  <c r="AC1982" i="2"/>
  <c r="AC1983" i="2"/>
  <c r="AC1984" i="2"/>
  <c r="AC1985" i="2"/>
  <c r="AC1986" i="2"/>
  <c r="AC1987" i="2"/>
  <c r="AC1988" i="2"/>
  <c r="AC1989" i="2"/>
  <c r="AC1990" i="2"/>
  <c r="AC1991" i="2"/>
  <c r="AC1992" i="2"/>
  <c r="AC1993" i="2"/>
  <c r="AC1994" i="2"/>
  <c r="AC1995" i="2"/>
  <c r="AC1996" i="2"/>
  <c r="AC1997" i="2"/>
  <c r="AC1998" i="2"/>
  <c r="AC1999" i="2"/>
  <c r="AC2000" i="2"/>
  <c r="AC2001" i="2"/>
  <c r="AC2002" i="2"/>
  <c r="AC2003" i="2"/>
  <c r="AC2004" i="2"/>
  <c r="AC2005" i="2"/>
  <c r="AC2006" i="2"/>
  <c r="AC2007" i="2"/>
  <c r="AC2008" i="2"/>
  <c r="AC2009" i="2"/>
  <c r="AC2010" i="2"/>
  <c r="AC2011" i="2"/>
  <c r="AC2012" i="2"/>
  <c r="AC2013" i="2"/>
  <c r="AC2014" i="2"/>
  <c r="AC2015" i="2"/>
  <c r="AC2016" i="2"/>
  <c r="AC2017" i="2"/>
  <c r="AC2018" i="2"/>
  <c r="AC2019" i="2"/>
  <c r="AC2020" i="2"/>
  <c r="AC2021" i="2"/>
  <c r="AC2022" i="2"/>
  <c r="AC2023" i="2"/>
  <c r="AC2024" i="2"/>
  <c r="AC2025" i="2"/>
  <c r="AC2026" i="2"/>
  <c r="AC2027" i="2"/>
  <c r="AC2028" i="2"/>
  <c r="AC2029" i="2"/>
  <c r="AC2030" i="2"/>
  <c r="AC2031" i="2"/>
  <c r="AC2032" i="2"/>
  <c r="AC2033" i="2"/>
  <c r="AC2034" i="2"/>
  <c r="AC2035" i="2"/>
  <c r="AC2036" i="2"/>
  <c r="AC2037" i="2"/>
  <c r="AC2038" i="2"/>
  <c r="AC2039" i="2"/>
  <c r="AC2040" i="2"/>
  <c r="AC2041" i="2"/>
  <c r="AC2042" i="2"/>
  <c r="AC2043" i="2"/>
  <c r="AC2044" i="2"/>
  <c r="AC2045" i="2"/>
  <c r="AC2046" i="2"/>
  <c r="AC2047" i="2"/>
  <c r="AC2048" i="2"/>
  <c r="AC2049" i="2"/>
  <c r="AC2050" i="2"/>
  <c r="AC2051" i="2"/>
  <c r="AC2052" i="2"/>
  <c r="AC2053" i="2"/>
  <c r="AC2054" i="2"/>
  <c r="AC2055" i="2"/>
  <c r="AC2056" i="2"/>
  <c r="AC2057" i="2"/>
  <c r="AC2058" i="2"/>
  <c r="AC2059" i="2"/>
  <c r="AC2060" i="2"/>
  <c r="AC2061" i="2"/>
  <c r="AC2062" i="2"/>
  <c r="AC2063" i="2"/>
  <c r="AC2064" i="2"/>
  <c r="AC2065" i="2"/>
  <c r="AC2066" i="2"/>
  <c r="AC2067" i="2"/>
  <c r="AC2068" i="2"/>
  <c r="AC2069" i="2"/>
  <c r="AC2070" i="2"/>
  <c r="AC2071" i="2"/>
  <c r="AC2072" i="2"/>
  <c r="AC2073" i="2"/>
  <c r="AC2074" i="2"/>
  <c r="AC2075" i="2"/>
  <c r="AC2076" i="2"/>
  <c r="AC2077" i="2"/>
  <c r="AC2078" i="2"/>
  <c r="AC2079" i="2"/>
  <c r="AC2080" i="2"/>
  <c r="AC2081" i="2"/>
  <c r="AC2082" i="2"/>
  <c r="AC2083" i="2"/>
  <c r="AC2084" i="2"/>
  <c r="AC2085" i="2"/>
  <c r="AC2086" i="2"/>
  <c r="AC2087" i="2"/>
  <c r="AC2088" i="2"/>
  <c r="AC2089" i="2"/>
  <c r="AC2090" i="2"/>
  <c r="AC2091" i="2"/>
  <c r="AC2092" i="2"/>
  <c r="AC2093" i="2"/>
  <c r="AC2094" i="2"/>
  <c r="AC2095" i="2"/>
  <c r="AC2096" i="2"/>
  <c r="AC2097" i="2"/>
  <c r="AC2098" i="2"/>
  <c r="AC2099" i="2"/>
  <c r="AC2100" i="2"/>
  <c r="AC2101" i="2"/>
  <c r="AC2102" i="2"/>
  <c r="AC2103" i="2"/>
  <c r="AC2104" i="2"/>
  <c r="AC2105" i="2"/>
  <c r="AC2106" i="2"/>
  <c r="AC2107" i="2"/>
  <c r="AD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D813" i="2"/>
  <c r="AD814" i="2"/>
  <c r="AD815" i="2"/>
  <c r="AD816" i="2"/>
  <c r="AD817" i="2"/>
  <c r="AD818" i="2"/>
  <c r="AD819" i="2"/>
  <c r="AD820" i="2"/>
  <c r="AD821" i="2"/>
  <c r="AD822" i="2"/>
  <c r="AD823" i="2"/>
  <c r="AD824" i="2"/>
  <c r="AD825" i="2"/>
  <c r="AD826" i="2"/>
  <c r="AD827" i="2"/>
  <c r="AD828" i="2"/>
  <c r="AD829" i="2"/>
  <c r="AD830" i="2"/>
  <c r="AD831" i="2"/>
  <c r="AD832" i="2"/>
  <c r="AD833" i="2"/>
  <c r="AD834" i="2"/>
  <c r="AD835" i="2"/>
  <c r="AD836" i="2"/>
  <c r="AD837" i="2"/>
  <c r="AD838" i="2"/>
  <c r="AD839" i="2"/>
  <c r="AD840" i="2"/>
  <c r="AD841" i="2"/>
  <c r="AD842" i="2"/>
  <c r="AD843" i="2"/>
  <c r="AD844" i="2"/>
  <c r="AD845" i="2"/>
  <c r="AD846" i="2"/>
  <c r="AD847" i="2"/>
  <c r="AD848" i="2"/>
  <c r="AD849" i="2"/>
  <c r="AD850" i="2"/>
  <c r="AD851" i="2"/>
  <c r="AD852" i="2"/>
  <c r="AD853" i="2"/>
  <c r="AD854" i="2"/>
  <c r="AD855" i="2"/>
  <c r="AD856" i="2"/>
  <c r="AD857" i="2"/>
  <c r="AD858" i="2"/>
  <c r="AD859" i="2"/>
  <c r="AD860" i="2"/>
  <c r="AD861" i="2"/>
  <c r="AD862" i="2"/>
  <c r="AD863" i="2"/>
  <c r="AD864" i="2"/>
  <c r="AD865" i="2"/>
  <c r="AD866" i="2"/>
  <c r="AD867" i="2"/>
  <c r="AD868" i="2"/>
  <c r="AD869" i="2"/>
  <c r="AD870" i="2"/>
  <c r="AD871" i="2"/>
  <c r="AD872" i="2"/>
  <c r="AD873" i="2"/>
  <c r="AD874" i="2"/>
  <c r="AD875" i="2"/>
  <c r="AD876" i="2"/>
  <c r="AD877" i="2"/>
  <c r="AD878" i="2"/>
  <c r="AD879" i="2"/>
  <c r="AD880" i="2"/>
  <c r="AD881" i="2"/>
  <c r="AD882" i="2"/>
  <c r="AD883" i="2"/>
  <c r="AD884" i="2"/>
  <c r="AD885" i="2"/>
  <c r="AD886" i="2"/>
  <c r="AD887" i="2"/>
  <c r="AD888" i="2"/>
  <c r="AD889" i="2"/>
  <c r="AD890" i="2"/>
  <c r="AD891" i="2"/>
  <c r="AD892" i="2"/>
  <c r="AD893" i="2"/>
  <c r="AD894" i="2"/>
  <c r="AD895" i="2"/>
  <c r="AD896" i="2"/>
  <c r="AD897" i="2"/>
  <c r="AD898" i="2"/>
  <c r="AD899" i="2"/>
  <c r="AD900" i="2"/>
  <c r="AD901" i="2"/>
  <c r="AD902" i="2"/>
  <c r="AD903" i="2"/>
  <c r="AD904" i="2"/>
  <c r="AD905" i="2"/>
  <c r="AD906" i="2"/>
  <c r="AD907" i="2"/>
  <c r="AD908" i="2"/>
  <c r="AD909" i="2"/>
  <c r="AD910" i="2"/>
  <c r="AD911" i="2"/>
  <c r="AD912" i="2"/>
  <c r="AD913" i="2"/>
  <c r="AD914" i="2"/>
  <c r="AD915" i="2"/>
  <c r="AD916" i="2"/>
  <c r="AD917" i="2"/>
  <c r="AD918" i="2"/>
  <c r="AD919" i="2"/>
  <c r="AD920" i="2"/>
  <c r="AD921" i="2"/>
  <c r="AD922" i="2"/>
  <c r="AD923" i="2"/>
  <c r="AD924" i="2"/>
  <c r="AD925" i="2"/>
  <c r="AD926" i="2"/>
  <c r="AD927" i="2"/>
  <c r="AD928" i="2"/>
  <c r="AD929" i="2"/>
  <c r="AD930" i="2"/>
  <c r="AD931" i="2"/>
  <c r="AD932" i="2"/>
  <c r="AD933" i="2"/>
  <c r="AD934" i="2"/>
  <c r="AD935" i="2"/>
  <c r="AD936" i="2"/>
  <c r="AD937" i="2"/>
  <c r="AD938" i="2"/>
  <c r="AD939" i="2"/>
  <c r="AD940" i="2"/>
  <c r="AD941" i="2"/>
  <c r="AD942" i="2"/>
  <c r="AD943" i="2"/>
  <c r="AD944" i="2"/>
  <c r="AD945" i="2"/>
  <c r="AD946" i="2"/>
  <c r="AD947" i="2"/>
  <c r="AD948" i="2"/>
  <c r="AD949" i="2"/>
  <c r="AD950" i="2"/>
  <c r="AD951" i="2"/>
  <c r="AD952" i="2"/>
  <c r="AD953" i="2"/>
  <c r="AD954" i="2"/>
  <c r="AD955" i="2"/>
  <c r="AD956" i="2"/>
  <c r="AD957" i="2"/>
  <c r="AD958" i="2"/>
  <c r="AD959" i="2"/>
  <c r="AD960" i="2"/>
  <c r="AD961" i="2"/>
  <c r="AD962" i="2"/>
  <c r="AD963" i="2"/>
  <c r="AD964" i="2"/>
  <c r="AD965" i="2"/>
  <c r="AD966" i="2"/>
  <c r="AD967" i="2"/>
  <c r="AD968" i="2"/>
  <c r="AD969" i="2"/>
  <c r="AD970" i="2"/>
  <c r="AD971" i="2"/>
  <c r="AD972" i="2"/>
  <c r="AD973" i="2"/>
  <c r="AD974" i="2"/>
  <c r="AD975" i="2"/>
  <c r="AD976" i="2"/>
  <c r="AD977" i="2"/>
  <c r="AD978" i="2"/>
  <c r="AD979" i="2"/>
  <c r="AD980" i="2"/>
  <c r="AD981" i="2"/>
  <c r="AD982" i="2"/>
  <c r="AD983" i="2"/>
  <c r="AD984" i="2"/>
  <c r="AD985" i="2"/>
  <c r="AD986" i="2"/>
  <c r="AD987" i="2"/>
  <c r="AD988" i="2"/>
  <c r="AD989" i="2"/>
  <c r="AD990" i="2"/>
  <c r="AD991" i="2"/>
  <c r="AD992" i="2"/>
  <c r="AD993" i="2"/>
  <c r="AD994" i="2"/>
  <c r="AD995" i="2"/>
  <c r="AD996" i="2"/>
  <c r="AD997" i="2"/>
  <c r="AD998" i="2"/>
  <c r="AD999" i="2"/>
  <c r="AD1000" i="2"/>
  <c r="AD1001" i="2"/>
  <c r="AD1002" i="2"/>
  <c r="AD1003" i="2"/>
  <c r="AD1004" i="2"/>
  <c r="AD1005" i="2"/>
  <c r="AD1006" i="2"/>
  <c r="AD1007" i="2"/>
  <c r="AD1008" i="2"/>
  <c r="AD1009" i="2"/>
  <c r="AD1010" i="2"/>
  <c r="AD1011" i="2"/>
  <c r="AD1012" i="2"/>
  <c r="AD1013" i="2"/>
  <c r="AD1014" i="2"/>
  <c r="AD1015" i="2"/>
  <c r="AD1016" i="2"/>
  <c r="AD1017" i="2"/>
  <c r="AD1018" i="2"/>
  <c r="AD1019" i="2"/>
  <c r="AD1020" i="2"/>
  <c r="AD1021" i="2"/>
  <c r="AD1022" i="2"/>
  <c r="AD1023" i="2"/>
  <c r="AD1024" i="2"/>
  <c r="AD1025" i="2"/>
  <c r="AD1026" i="2"/>
  <c r="AD1027" i="2"/>
  <c r="AD1028" i="2"/>
  <c r="AD1029" i="2"/>
  <c r="AD1030" i="2"/>
  <c r="AD1031" i="2"/>
  <c r="AD1032" i="2"/>
  <c r="AD1033" i="2"/>
  <c r="AD1034" i="2"/>
  <c r="AD1035" i="2"/>
  <c r="AD1036" i="2"/>
  <c r="AD1037" i="2"/>
  <c r="AD1038" i="2"/>
  <c r="AD1039" i="2"/>
  <c r="AD1040" i="2"/>
  <c r="AD1041" i="2"/>
  <c r="AD1042" i="2"/>
  <c r="AD1043" i="2"/>
  <c r="AD1044" i="2"/>
  <c r="AD1045" i="2"/>
  <c r="AD1046" i="2"/>
  <c r="AD1047" i="2"/>
  <c r="AD1048" i="2"/>
  <c r="AD1049" i="2"/>
  <c r="AD1050" i="2"/>
  <c r="AD1051" i="2"/>
  <c r="AD1052" i="2"/>
  <c r="AD1053" i="2"/>
  <c r="AD1054" i="2"/>
  <c r="AD1055" i="2"/>
  <c r="AD1056" i="2"/>
  <c r="AD1057" i="2"/>
  <c r="AD1058" i="2"/>
  <c r="AD1059" i="2"/>
  <c r="AD1060" i="2"/>
  <c r="AD1061" i="2"/>
  <c r="AD1062" i="2"/>
  <c r="AD1063" i="2"/>
  <c r="AD1064" i="2"/>
  <c r="AD1065" i="2"/>
  <c r="AD1066" i="2"/>
  <c r="AD1067" i="2"/>
  <c r="AD1068" i="2"/>
  <c r="AD1069" i="2"/>
  <c r="AD1070" i="2"/>
  <c r="AD1071" i="2"/>
  <c r="AD1072" i="2"/>
  <c r="AD1073" i="2"/>
  <c r="AD1074" i="2"/>
  <c r="AD1075" i="2"/>
  <c r="AD1076" i="2"/>
  <c r="AD1077" i="2"/>
  <c r="AD1078" i="2"/>
  <c r="AD1079" i="2"/>
  <c r="AD1080" i="2"/>
  <c r="AD1081" i="2"/>
  <c r="AD1082" i="2"/>
  <c r="AD1083" i="2"/>
  <c r="AD1084" i="2"/>
  <c r="AD1085" i="2"/>
  <c r="AD1086" i="2"/>
  <c r="AD1087" i="2"/>
  <c r="AD1088" i="2"/>
  <c r="AD1089" i="2"/>
  <c r="AD1090" i="2"/>
  <c r="AD1091" i="2"/>
  <c r="AD1092" i="2"/>
  <c r="AD1093" i="2"/>
  <c r="AD1094" i="2"/>
  <c r="AD1095" i="2"/>
  <c r="AD1096" i="2"/>
  <c r="AD1097" i="2"/>
  <c r="AD1098" i="2"/>
  <c r="AD1099" i="2"/>
  <c r="AD1100" i="2"/>
  <c r="AD1101" i="2"/>
  <c r="AD1102" i="2"/>
  <c r="AD1103" i="2"/>
  <c r="AD1104" i="2"/>
  <c r="AD1105" i="2"/>
  <c r="AD1106" i="2"/>
  <c r="AD1107" i="2"/>
  <c r="AD1108" i="2"/>
  <c r="AD1109" i="2"/>
  <c r="AD1110" i="2"/>
  <c r="AD1111" i="2"/>
  <c r="AD1112" i="2"/>
  <c r="AD1113" i="2"/>
  <c r="AD1114" i="2"/>
  <c r="AD1115" i="2"/>
  <c r="AD1116" i="2"/>
  <c r="AD1117" i="2"/>
  <c r="AD1118" i="2"/>
  <c r="AD1119" i="2"/>
  <c r="AD1120" i="2"/>
  <c r="AD1121" i="2"/>
  <c r="AD1122" i="2"/>
  <c r="AD1123" i="2"/>
  <c r="AD1124" i="2"/>
  <c r="AD1125" i="2"/>
  <c r="AD1126" i="2"/>
  <c r="AD1127" i="2"/>
  <c r="AD1128" i="2"/>
  <c r="AD1129" i="2"/>
  <c r="AD1130" i="2"/>
  <c r="AD1131" i="2"/>
  <c r="AD1132" i="2"/>
  <c r="AD1133" i="2"/>
  <c r="AD1134" i="2"/>
  <c r="AD1135" i="2"/>
  <c r="AD1136" i="2"/>
  <c r="AD1137" i="2"/>
  <c r="AD1138" i="2"/>
  <c r="AD1139" i="2"/>
  <c r="AD1140" i="2"/>
  <c r="AD1141" i="2"/>
  <c r="AD1142" i="2"/>
  <c r="AD1143" i="2"/>
  <c r="AD1144" i="2"/>
  <c r="AD1145" i="2"/>
  <c r="AD1146" i="2"/>
  <c r="AD1147" i="2"/>
  <c r="AD1148" i="2"/>
  <c r="AD1149" i="2"/>
  <c r="AD1150" i="2"/>
  <c r="AD1151" i="2"/>
  <c r="AD1152" i="2"/>
  <c r="AD1153" i="2"/>
  <c r="AD1154" i="2"/>
  <c r="AD1155" i="2"/>
  <c r="AD1156" i="2"/>
  <c r="AD1157" i="2"/>
  <c r="AD1158" i="2"/>
  <c r="AD1159" i="2"/>
  <c r="AD1160" i="2"/>
  <c r="AD1161" i="2"/>
  <c r="AD1162" i="2"/>
  <c r="AD1163" i="2"/>
  <c r="AD1164" i="2"/>
  <c r="AD1165" i="2"/>
  <c r="AD1166" i="2"/>
  <c r="AD1167" i="2"/>
  <c r="AD1168" i="2"/>
  <c r="AD1169" i="2"/>
  <c r="AD1170" i="2"/>
  <c r="AD1171" i="2"/>
  <c r="AD1172" i="2"/>
  <c r="AD1173" i="2"/>
  <c r="AD1174" i="2"/>
  <c r="AD1175" i="2"/>
  <c r="AD1176" i="2"/>
  <c r="AD1177" i="2"/>
  <c r="AD1178" i="2"/>
  <c r="AD1179" i="2"/>
  <c r="AD1180" i="2"/>
  <c r="AD1181" i="2"/>
  <c r="AD1182" i="2"/>
  <c r="AD1183" i="2"/>
  <c r="AD1184" i="2"/>
  <c r="AD1185" i="2"/>
  <c r="AD1186" i="2"/>
  <c r="AD1187" i="2"/>
  <c r="AD1188" i="2"/>
  <c r="AD1189" i="2"/>
  <c r="AD1190" i="2"/>
  <c r="AD1191" i="2"/>
  <c r="AD1192" i="2"/>
  <c r="AD1193" i="2"/>
  <c r="AD1194" i="2"/>
  <c r="AD1195" i="2"/>
  <c r="AD1196" i="2"/>
  <c r="AD1197" i="2"/>
  <c r="AD1198" i="2"/>
  <c r="AD1199" i="2"/>
  <c r="AD1200" i="2"/>
  <c r="AD1201" i="2"/>
  <c r="AD1202" i="2"/>
  <c r="AD1203" i="2"/>
  <c r="AD1204" i="2"/>
  <c r="AD1205" i="2"/>
  <c r="AD1206" i="2"/>
  <c r="AD1207" i="2"/>
  <c r="AD1208" i="2"/>
  <c r="AD1209" i="2"/>
  <c r="AD1210" i="2"/>
  <c r="AD1211" i="2"/>
  <c r="AD1212" i="2"/>
  <c r="AD1213" i="2"/>
  <c r="AD1214" i="2"/>
  <c r="AD1215" i="2"/>
  <c r="AD1216" i="2"/>
  <c r="AD1217" i="2"/>
  <c r="AD1218" i="2"/>
  <c r="AD1219" i="2"/>
  <c r="AD1220" i="2"/>
  <c r="AD1221" i="2"/>
  <c r="AD1222" i="2"/>
  <c r="AD1223" i="2"/>
  <c r="AD1224" i="2"/>
  <c r="AD1225" i="2"/>
  <c r="AD1226" i="2"/>
  <c r="AD1227" i="2"/>
  <c r="AD1228" i="2"/>
  <c r="AD1229" i="2"/>
  <c r="AD1230" i="2"/>
  <c r="AD1231" i="2"/>
  <c r="AD1232" i="2"/>
  <c r="AD1233" i="2"/>
  <c r="AD1234" i="2"/>
  <c r="AD1235" i="2"/>
  <c r="AD1236" i="2"/>
  <c r="AD1237" i="2"/>
  <c r="AD1238" i="2"/>
  <c r="AD1239" i="2"/>
  <c r="AD1240" i="2"/>
  <c r="AD1241" i="2"/>
  <c r="AD1242" i="2"/>
  <c r="AD1243" i="2"/>
  <c r="AD1244" i="2"/>
  <c r="AD1245" i="2"/>
  <c r="AD1246" i="2"/>
  <c r="AD1247" i="2"/>
  <c r="AD1248" i="2"/>
  <c r="AD1249" i="2"/>
  <c r="AD1250" i="2"/>
  <c r="AD1251" i="2"/>
  <c r="AD1252" i="2"/>
  <c r="AD1253" i="2"/>
  <c r="AD1254" i="2"/>
  <c r="AD1255" i="2"/>
  <c r="AD1256" i="2"/>
  <c r="AD1257" i="2"/>
  <c r="AD1258" i="2"/>
  <c r="AD1259" i="2"/>
  <c r="AD1260" i="2"/>
  <c r="AD1261" i="2"/>
  <c r="AD1262" i="2"/>
  <c r="AD1263" i="2"/>
  <c r="AD1264" i="2"/>
  <c r="AD1265" i="2"/>
  <c r="AD1266" i="2"/>
  <c r="AD1267" i="2"/>
  <c r="AD1268" i="2"/>
  <c r="AD1269" i="2"/>
  <c r="AD1270" i="2"/>
  <c r="AD1271" i="2"/>
  <c r="AD1272" i="2"/>
  <c r="AD1273" i="2"/>
  <c r="AD1274" i="2"/>
  <c r="AD1275" i="2"/>
  <c r="AD1276" i="2"/>
  <c r="AD1277" i="2"/>
  <c r="AD1278" i="2"/>
  <c r="AD1279" i="2"/>
  <c r="AD1280" i="2"/>
  <c r="AD1281" i="2"/>
  <c r="AD1282" i="2"/>
  <c r="AD1283" i="2"/>
  <c r="AD1284" i="2"/>
  <c r="AD1285" i="2"/>
  <c r="AD1286" i="2"/>
  <c r="AD1287" i="2"/>
  <c r="AD1288" i="2"/>
  <c r="AD1289" i="2"/>
  <c r="AD1290" i="2"/>
  <c r="AD1291" i="2"/>
  <c r="AD1292" i="2"/>
  <c r="AD1293" i="2"/>
  <c r="AD1294" i="2"/>
  <c r="AD1295" i="2"/>
  <c r="AD1296" i="2"/>
  <c r="AD1297" i="2"/>
  <c r="AD1298" i="2"/>
  <c r="AD1299" i="2"/>
  <c r="AD1300" i="2"/>
  <c r="AD1301" i="2"/>
  <c r="AD1302" i="2"/>
  <c r="AD1303" i="2"/>
  <c r="AD1304" i="2"/>
  <c r="AD1305" i="2"/>
  <c r="AD1306" i="2"/>
  <c r="AD1307" i="2"/>
  <c r="AD1308" i="2"/>
  <c r="AD1309" i="2"/>
  <c r="AD1310" i="2"/>
  <c r="AD1311" i="2"/>
  <c r="AD1312" i="2"/>
  <c r="AD1313" i="2"/>
  <c r="AD1314" i="2"/>
  <c r="AD1315" i="2"/>
  <c r="AD1316" i="2"/>
  <c r="AD1317" i="2"/>
  <c r="AD1318" i="2"/>
  <c r="AD1319" i="2"/>
  <c r="AD1320" i="2"/>
  <c r="AD1321" i="2"/>
  <c r="AD1322" i="2"/>
  <c r="AD1323" i="2"/>
  <c r="AD1324" i="2"/>
  <c r="AD1325" i="2"/>
  <c r="AD1326" i="2"/>
  <c r="AD1327" i="2"/>
  <c r="AD1328" i="2"/>
  <c r="AD1329" i="2"/>
  <c r="AD1330" i="2"/>
  <c r="AD1331" i="2"/>
  <c r="AD1332" i="2"/>
  <c r="AD1333" i="2"/>
  <c r="AD1334" i="2"/>
  <c r="AD1335" i="2"/>
  <c r="AD1336" i="2"/>
  <c r="AD1337" i="2"/>
  <c r="AD1338" i="2"/>
  <c r="AD1339" i="2"/>
  <c r="AD1340" i="2"/>
  <c r="AD1341" i="2"/>
  <c r="AD1342" i="2"/>
  <c r="AD1343" i="2"/>
  <c r="AD1344" i="2"/>
  <c r="AD1345" i="2"/>
  <c r="AD1346" i="2"/>
  <c r="AD1347" i="2"/>
  <c r="AD1348" i="2"/>
  <c r="AD1349" i="2"/>
  <c r="AD1350" i="2"/>
  <c r="AD1351" i="2"/>
  <c r="AD1352" i="2"/>
  <c r="AD1353" i="2"/>
  <c r="AD1354" i="2"/>
  <c r="AD1355" i="2"/>
  <c r="AD1356" i="2"/>
  <c r="AD1357" i="2"/>
  <c r="AD1358" i="2"/>
  <c r="AD1359" i="2"/>
  <c r="AD1360" i="2"/>
  <c r="AD1361" i="2"/>
  <c r="AD1362" i="2"/>
  <c r="AD1363" i="2"/>
  <c r="AD1364" i="2"/>
  <c r="AD1365" i="2"/>
  <c r="AD1366" i="2"/>
  <c r="AD1367" i="2"/>
  <c r="AD1368" i="2"/>
  <c r="AD1369" i="2"/>
  <c r="AD1370" i="2"/>
  <c r="AD1371" i="2"/>
  <c r="AD1372" i="2"/>
  <c r="AD1373" i="2"/>
  <c r="AD1374" i="2"/>
  <c r="AD1375" i="2"/>
  <c r="AD1376" i="2"/>
  <c r="AD1377" i="2"/>
  <c r="AD1378" i="2"/>
  <c r="AD1379" i="2"/>
  <c r="AD1380" i="2"/>
  <c r="AD1381" i="2"/>
  <c r="AD1382" i="2"/>
  <c r="AD1383" i="2"/>
  <c r="AD1384" i="2"/>
  <c r="AD1385" i="2"/>
  <c r="AD1386" i="2"/>
  <c r="AD1387" i="2"/>
  <c r="AD1388" i="2"/>
  <c r="AD1389" i="2"/>
  <c r="AD1390" i="2"/>
  <c r="AD1391" i="2"/>
  <c r="AD1392" i="2"/>
  <c r="AD1393" i="2"/>
  <c r="AD1394" i="2"/>
  <c r="AD1395" i="2"/>
  <c r="AD1396" i="2"/>
  <c r="AD1397" i="2"/>
  <c r="AD1398" i="2"/>
  <c r="AD1399" i="2"/>
  <c r="AD1400" i="2"/>
  <c r="AD1401" i="2"/>
  <c r="AD1402" i="2"/>
  <c r="AD1403" i="2"/>
  <c r="AD1404" i="2"/>
  <c r="AD1405" i="2"/>
  <c r="AD1406" i="2"/>
  <c r="AD1407" i="2"/>
  <c r="AD1408" i="2"/>
  <c r="AD1409" i="2"/>
  <c r="AD1410" i="2"/>
  <c r="AD1411" i="2"/>
  <c r="AD1412" i="2"/>
  <c r="AD1413" i="2"/>
  <c r="AD1414" i="2"/>
  <c r="AD1415" i="2"/>
  <c r="AD1416" i="2"/>
  <c r="AD1417" i="2"/>
  <c r="AD1418" i="2"/>
  <c r="AD1419" i="2"/>
  <c r="AD1420" i="2"/>
  <c r="AD1421" i="2"/>
  <c r="AD1422" i="2"/>
  <c r="AD1423" i="2"/>
  <c r="AD1424" i="2"/>
  <c r="AD1425" i="2"/>
  <c r="AD1426" i="2"/>
  <c r="AD1427" i="2"/>
  <c r="AD1428" i="2"/>
  <c r="AD1429" i="2"/>
  <c r="AD1430" i="2"/>
  <c r="AD1431" i="2"/>
  <c r="AD1432" i="2"/>
  <c r="AD1433" i="2"/>
  <c r="AD1434" i="2"/>
  <c r="AD1435" i="2"/>
  <c r="AD1436" i="2"/>
  <c r="AD1437" i="2"/>
  <c r="AD1438" i="2"/>
  <c r="AD1439" i="2"/>
  <c r="AD1440" i="2"/>
  <c r="AD1441" i="2"/>
  <c r="AD1442" i="2"/>
  <c r="AD1443" i="2"/>
  <c r="AD1444" i="2"/>
  <c r="AD1445" i="2"/>
  <c r="AD1446" i="2"/>
  <c r="AD1447" i="2"/>
  <c r="AD1448" i="2"/>
  <c r="AD1449" i="2"/>
  <c r="AD1450" i="2"/>
  <c r="AD1451" i="2"/>
  <c r="AD1452" i="2"/>
  <c r="AD1453" i="2"/>
  <c r="AD1454" i="2"/>
  <c r="AD1455" i="2"/>
  <c r="AD1456" i="2"/>
  <c r="AD1457" i="2"/>
  <c r="AD1458" i="2"/>
  <c r="AD1459" i="2"/>
  <c r="AD1460" i="2"/>
  <c r="AD1461" i="2"/>
  <c r="AD1462" i="2"/>
  <c r="AD1463" i="2"/>
  <c r="AD1464" i="2"/>
  <c r="AD1465" i="2"/>
  <c r="AD1466" i="2"/>
  <c r="AD1467" i="2"/>
  <c r="AD1468" i="2"/>
  <c r="AD1469" i="2"/>
  <c r="AD1470" i="2"/>
  <c r="AD1471" i="2"/>
  <c r="AD1472" i="2"/>
  <c r="AD1473" i="2"/>
  <c r="AD1474" i="2"/>
  <c r="AD1475" i="2"/>
  <c r="AD1476" i="2"/>
  <c r="AD1477" i="2"/>
  <c r="AD1478" i="2"/>
  <c r="AD1479" i="2"/>
  <c r="AD1480" i="2"/>
  <c r="AD1481" i="2"/>
  <c r="AD1482" i="2"/>
  <c r="AD1483" i="2"/>
  <c r="AD1484" i="2"/>
  <c r="AD1485" i="2"/>
  <c r="AD1486" i="2"/>
  <c r="AD1487" i="2"/>
  <c r="AD1488" i="2"/>
  <c r="AD1489" i="2"/>
  <c r="AD1490" i="2"/>
  <c r="AD1491" i="2"/>
  <c r="AD1492" i="2"/>
  <c r="AD1493" i="2"/>
  <c r="AD1494" i="2"/>
  <c r="AD1495" i="2"/>
  <c r="AD1496" i="2"/>
  <c r="AD1497" i="2"/>
  <c r="AD1498" i="2"/>
  <c r="AD1499" i="2"/>
  <c r="AD1500" i="2"/>
  <c r="AD1501" i="2"/>
  <c r="AD1502" i="2"/>
  <c r="AD1503" i="2"/>
  <c r="AD1504" i="2"/>
  <c r="AD1505" i="2"/>
  <c r="AD1506" i="2"/>
  <c r="AD1507" i="2"/>
  <c r="AD1508" i="2"/>
  <c r="AD1509" i="2"/>
  <c r="AD1510" i="2"/>
  <c r="AD1511" i="2"/>
  <c r="AD1512" i="2"/>
  <c r="AD1513" i="2"/>
  <c r="AD1514" i="2"/>
  <c r="AD1515" i="2"/>
  <c r="AD1516" i="2"/>
  <c r="AD1517" i="2"/>
  <c r="AD1518" i="2"/>
  <c r="AD1519" i="2"/>
  <c r="AD1520" i="2"/>
  <c r="AD1521" i="2"/>
  <c r="AD1522" i="2"/>
  <c r="AD1523" i="2"/>
  <c r="AD1524" i="2"/>
  <c r="AD1525" i="2"/>
  <c r="AD1526" i="2"/>
  <c r="AD1527" i="2"/>
  <c r="AD1528" i="2"/>
  <c r="AD1529" i="2"/>
  <c r="AD1530" i="2"/>
  <c r="AD1531" i="2"/>
  <c r="AD1532" i="2"/>
  <c r="AD1533" i="2"/>
  <c r="AD1534" i="2"/>
  <c r="AD1535" i="2"/>
  <c r="AD1536" i="2"/>
  <c r="AD1537" i="2"/>
  <c r="AD1538" i="2"/>
  <c r="AD1539" i="2"/>
  <c r="AD1540" i="2"/>
  <c r="AD1541" i="2"/>
  <c r="AD1542" i="2"/>
  <c r="AD1543" i="2"/>
  <c r="AD1544" i="2"/>
  <c r="AD1545" i="2"/>
  <c r="AD1546" i="2"/>
  <c r="AD1547" i="2"/>
  <c r="AD1548" i="2"/>
  <c r="AD1549" i="2"/>
  <c r="AD1550" i="2"/>
  <c r="AD1551" i="2"/>
  <c r="AD1552" i="2"/>
  <c r="AD1553" i="2"/>
  <c r="AD1554" i="2"/>
  <c r="AD1555" i="2"/>
  <c r="AD1556" i="2"/>
  <c r="AD1557" i="2"/>
  <c r="AD1558" i="2"/>
  <c r="AD1559" i="2"/>
  <c r="AD1560" i="2"/>
  <c r="AD1561" i="2"/>
  <c r="AD1562" i="2"/>
  <c r="AD1563" i="2"/>
  <c r="AD1564" i="2"/>
  <c r="AD1565" i="2"/>
  <c r="AD1566" i="2"/>
  <c r="AD1567" i="2"/>
  <c r="AD1568" i="2"/>
  <c r="AD1569" i="2"/>
  <c r="AD1570" i="2"/>
  <c r="AD1571" i="2"/>
  <c r="AD1572" i="2"/>
  <c r="AD1573" i="2"/>
  <c r="AD1574" i="2"/>
  <c r="AD1575" i="2"/>
  <c r="AD1576" i="2"/>
  <c r="AD1577" i="2"/>
  <c r="AD1578" i="2"/>
  <c r="AD1579" i="2"/>
  <c r="AD1580" i="2"/>
  <c r="AD1581" i="2"/>
  <c r="AD1582" i="2"/>
  <c r="AD1583" i="2"/>
  <c r="AD1584" i="2"/>
  <c r="AD1585" i="2"/>
  <c r="AD1586" i="2"/>
  <c r="AD1587" i="2"/>
  <c r="AD1588" i="2"/>
  <c r="AD1589" i="2"/>
  <c r="AD1590" i="2"/>
  <c r="AD1591" i="2"/>
  <c r="AD1592" i="2"/>
  <c r="AD1593" i="2"/>
  <c r="AD1594" i="2"/>
  <c r="AD1595" i="2"/>
  <c r="AD1596" i="2"/>
  <c r="AD1597" i="2"/>
  <c r="AD1598" i="2"/>
  <c r="AD1599" i="2"/>
  <c r="AD1600" i="2"/>
  <c r="AD1601" i="2"/>
  <c r="AD1602" i="2"/>
  <c r="AD1603" i="2"/>
  <c r="AD1604" i="2"/>
  <c r="AD1605" i="2"/>
  <c r="AD1606" i="2"/>
  <c r="AD1607" i="2"/>
  <c r="AD1608" i="2"/>
  <c r="AD1609" i="2"/>
  <c r="AD1610" i="2"/>
  <c r="AD1611" i="2"/>
  <c r="AD1612" i="2"/>
  <c r="AD1613" i="2"/>
  <c r="AD1614" i="2"/>
  <c r="AD1615" i="2"/>
  <c r="AD1616" i="2"/>
  <c r="AD1617" i="2"/>
  <c r="AD1618" i="2"/>
  <c r="AD1619" i="2"/>
  <c r="AD1620" i="2"/>
  <c r="AD1621" i="2"/>
  <c r="AD1622" i="2"/>
  <c r="AD1623" i="2"/>
  <c r="AD1624" i="2"/>
  <c r="AD1625" i="2"/>
  <c r="AD1626" i="2"/>
  <c r="AD1627" i="2"/>
  <c r="AD1628" i="2"/>
  <c r="AD1629" i="2"/>
  <c r="AD1630" i="2"/>
  <c r="AD1631" i="2"/>
  <c r="AD1632" i="2"/>
  <c r="AD1633" i="2"/>
  <c r="AD1634" i="2"/>
  <c r="AD1635" i="2"/>
  <c r="AD1636" i="2"/>
  <c r="AD1637" i="2"/>
  <c r="AD1638" i="2"/>
  <c r="AD1639" i="2"/>
  <c r="AD1640" i="2"/>
  <c r="AD1641" i="2"/>
  <c r="AD1642" i="2"/>
  <c r="AD1643" i="2"/>
  <c r="AD1644" i="2"/>
  <c r="AD1645" i="2"/>
  <c r="AD1646" i="2"/>
  <c r="AD1647" i="2"/>
  <c r="AD1648" i="2"/>
  <c r="AD1649" i="2"/>
  <c r="AD1650" i="2"/>
  <c r="AD1651" i="2"/>
  <c r="AD1652" i="2"/>
  <c r="AD1653" i="2"/>
  <c r="AD1654" i="2"/>
  <c r="AD1655" i="2"/>
  <c r="AD1656" i="2"/>
  <c r="AD1657" i="2"/>
  <c r="AD1658" i="2"/>
  <c r="AD1659" i="2"/>
  <c r="AD1660" i="2"/>
  <c r="AD1661" i="2"/>
  <c r="AD1662" i="2"/>
  <c r="AD1663" i="2"/>
  <c r="AD1664" i="2"/>
  <c r="AD1665" i="2"/>
  <c r="AD1666" i="2"/>
  <c r="AD1667" i="2"/>
  <c r="AD1668" i="2"/>
  <c r="AD1669" i="2"/>
  <c r="AD1670" i="2"/>
  <c r="AD1671" i="2"/>
  <c r="AD1672" i="2"/>
  <c r="AD1673" i="2"/>
  <c r="AD1674" i="2"/>
  <c r="AD1675" i="2"/>
  <c r="AD1676" i="2"/>
  <c r="AD1677" i="2"/>
  <c r="AD1678" i="2"/>
  <c r="AD1679" i="2"/>
  <c r="AD1680" i="2"/>
  <c r="AD1681" i="2"/>
  <c r="AD1682" i="2"/>
  <c r="AD1683" i="2"/>
  <c r="AD1684" i="2"/>
  <c r="AD1685" i="2"/>
  <c r="AD1686" i="2"/>
  <c r="AD1687" i="2"/>
  <c r="AD1688" i="2"/>
  <c r="AD1689" i="2"/>
  <c r="AD1690" i="2"/>
  <c r="AD1691" i="2"/>
  <c r="AD1692" i="2"/>
  <c r="AD1693" i="2"/>
  <c r="AD1694" i="2"/>
  <c r="AD1695" i="2"/>
  <c r="AD1696" i="2"/>
  <c r="AD1697" i="2"/>
  <c r="AD1698" i="2"/>
  <c r="AD1699" i="2"/>
  <c r="AD1700" i="2"/>
  <c r="AD1701" i="2"/>
  <c r="AD1702" i="2"/>
  <c r="AD1703" i="2"/>
  <c r="AD1704" i="2"/>
  <c r="AD1705" i="2"/>
  <c r="AD1706" i="2"/>
  <c r="AD1707" i="2"/>
  <c r="AD1708" i="2"/>
  <c r="AD1709" i="2"/>
  <c r="AD1710" i="2"/>
  <c r="AD1711" i="2"/>
  <c r="AD1712" i="2"/>
  <c r="AD1713" i="2"/>
  <c r="AD1714" i="2"/>
  <c r="AD1715" i="2"/>
  <c r="AD1716" i="2"/>
  <c r="AD1717" i="2"/>
  <c r="AD1718" i="2"/>
  <c r="AD1719" i="2"/>
  <c r="AD1720" i="2"/>
  <c r="AD1721" i="2"/>
  <c r="AD1722" i="2"/>
  <c r="AD1723" i="2"/>
  <c r="AD1724" i="2"/>
  <c r="AD1725" i="2"/>
  <c r="AD1726" i="2"/>
  <c r="AD1727" i="2"/>
  <c r="AD1728" i="2"/>
  <c r="AD1729" i="2"/>
  <c r="AD1730" i="2"/>
  <c r="AD1731" i="2"/>
  <c r="AD1732" i="2"/>
  <c r="AD1733" i="2"/>
  <c r="AD1734" i="2"/>
  <c r="AD1735" i="2"/>
  <c r="AD1736" i="2"/>
  <c r="AD1737" i="2"/>
  <c r="AD1738" i="2"/>
  <c r="AD1739" i="2"/>
  <c r="AD1740" i="2"/>
  <c r="AD1741" i="2"/>
  <c r="AD1742" i="2"/>
  <c r="AD1743" i="2"/>
  <c r="AD1744" i="2"/>
  <c r="AD1745" i="2"/>
  <c r="AD1746" i="2"/>
  <c r="AD1747" i="2"/>
  <c r="AD1748" i="2"/>
  <c r="AD1749" i="2"/>
  <c r="AD1750" i="2"/>
  <c r="AD1751" i="2"/>
  <c r="AD1752" i="2"/>
  <c r="AD1753" i="2"/>
  <c r="AD1754" i="2"/>
  <c r="AD1755" i="2"/>
  <c r="AD1756" i="2"/>
  <c r="AD1757" i="2"/>
  <c r="AD1758" i="2"/>
  <c r="AD1759" i="2"/>
  <c r="AD1760" i="2"/>
  <c r="AD1761" i="2"/>
  <c r="AD1762" i="2"/>
  <c r="AD1763" i="2"/>
  <c r="AD1764" i="2"/>
  <c r="AD1765" i="2"/>
  <c r="AD1766" i="2"/>
  <c r="AD1767" i="2"/>
  <c r="AD1768" i="2"/>
  <c r="AD1769" i="2"/>
  <c r="AD1770" i="2"/>
  <c r="AD1771" i="2"/>
  <c r="AD1772" i="2"/>
  <c r="AD1773" i="2"/>
  <c r="AD1774" i="2"/>
  <c r="AD1775" i="2"/>
  <c r="AD1776" i="2"/>
  <c r="AD1777" i="2"/>
  <c r="AD1778" i="2"/>
  <c r="AD1779" i="2"/>
  <c r="AD1780" i="2"/>
  <c r="AD1781" i="2"/>
  <c r="AD1782" i="2"/>
  <c r="AD1783" i="2"/>
  <c r="AD1784" i="2"/>
  <c r="AD1785" i="2"/>
  <c r="AD1786" i="2"/>
  <c r="AD1787" i="2"/>
  <c r="AD1788" i="2"/>
  <c r="AD1789" i="2"/>
  <c r="AD1790" i="2"/>
  <c r="AD1791" i="2"/>
  <c r="AD1792" i="2"/>
  <c r="AD1793" i="2"/>
  <c r="AD1794" i="2"/>
  <c r="AD1795" i="2"/>
  <c r="AD1796" i="2"/>
  <c r="AD1797" i="2"/>
  <c r="AD1798" i="2"/>
  <c r="AD1799" i="2"/>
  <c r="AD1800" i="2"/>
  <c r="AD1801" i="2"/>
  <c r="AD1802" i="2"/>
  <c r="AD1803" i="2"/>
  <c r="AD1804" i="2"/>
  <c r="AD1805" i="2"/>
  <c r="AD1806" i="2"/>
  <c r="AD1807" i="2"/>
  <c r="AD1808" i="2"/>
  <c r="AD1809" i="2"/>
  <c r="AD1810" i="2"/>
  <c r="AD1811" i="2"/>
  <c r="AD1812" i="2"/>
  <c r="AD1813" i="2"/>
  <c r="AD1814" i="2"/>
  <c r="AD1815" i="2"/>
  <c r="AD1816" i="2"/>
  <c r="AD1817" i="2"/>
  <c r="AD1818" i="2"/>
  <c r="AD1819" i="2"/>
  <c r="AD1820" i="2"/>
  <c r="AD1821" i="2"/>
  <c r="AD1822" i="2"/>
  <c r="AD1823" i="2"/>
  <c r="AD1824" i="2"/>
  <c r="AD1825" i="2"/>
  <c r="AD1826" i="2"/>
  <c r="AD1827" i="2"/>
  <c r="AD1828" i="2"/>
  <c r="AD1829" i="2"/>
  <c r="AD1830" i="2"/>
  <c r="AD1831" i="2"/>
  <c r="AD1832" i="2"/>
  <c r="AD1833" i="2"/>
  <c r="AD1834" i="2"/>
  <c r="AD1835" i="2"/>
  <c r="AD1836" i="2"/>
  <c r="AD1837" i="2"/>
  <c r="AD1838" i="2"/>
  <c r="AD1839" i="2"/>
  <c r="AD1840" i="2"/>
  <c r="AD1841" i="2"/>
  <c r="AD1842" i="2"/>
  <c r="AD1843" i="2"/>
  <c r="AD1844" i="2"/>
  <c r="AD1845" i="2"/>
  <c r="AD1846" i="2"/>
  <c r="AD1847" i="2"/>
  <c r="AD1848" i="2"/>
  <c r="AD1849" i="2"/>
  <c r="AD1850" i="2"/>
  <c r="AD1851" i="2"/>
  <c r="AD1852" i="2"/>
  <c r="AD1853" i="2"/>
  <c r="AD1854" i="2"/>
  <c r="AD1855" i="2"/>
  <c r="AD1856" i="2"/>
  <c r="AD1857" i="2"/>
  <c r="AD1858" i="2"/>
  <c r="AD1859" i="2"/>
  <c r="AD1860" i="2"/>
  <c r="AD1861" i="2"/>
  <c r="AD1862" i="2"/>
  <c r="AD1863" i="2"/>
  <c r="AD1864" i="2"/>
  <c r="AD1865" i="2"/>
  <c r="AD1866" i="2"/>
  <c r="AD1867" i="2"/>
  <c r="AD1868" i="2"/>
  <c r="AD1869" i="2"/>
  <c r="AD1870" i="2"/>
  <c r="AD1871" i="2"/>
  <c r="AD1872" i="2"/>
  <c r="AD1873" i="2"/>
  <c r="AD1874" i="2"/>
  <c r="AD1875" i="2"/>
  <c r="AD1876" i="2"/>
  <c r="AD1877" i="2"/>
  <c r="AD1878" i="2"/>
  <c r="AD1879" i="2"/>
  <c r="AD1880" i="2"/>
  <c r="AD1881" i="2"/>
  <c r="AD1882" i="2"/>
  <c r="AD1883" i="2"/>
  <c r="AD1884" i="2"/>
  <c r="AD1885" i="2"/>
  <c r="AD1886" i="2"/>
  <c r="AD1887" i="2"/>
  <c r="AD1888" i="2"/>
  <c r="AD1889" i="2"/>
  <c r="AD1890" i="2"/>
  <c r="AD1891" i="2"/>
  <c r="AD1892" i="2"/>
  <c r="AD1893" i="2"/>
  <c r="AD1894" i="2"/>
  <c r="AD1895" i="2"/>
  <c r="AD1896" i="2"/>
  <c r="AD1897" i="2"/>
  <c r="AD1898" i="2"/>
  <c r="AD1899" i="2"/>
  <c r="AD1900" i="2"/>
  <c r="AD1901" i="2"/>
  <c r="AD1902" i="2"/>
  <c r="AD1903" i="2"/>
  <c r="AD1904" i="2"/>
  <c r="AD1905" i="2"/>
  <c r="AD1906" i="2"/>
  <c r="AD1907" i="2"/>
  <c r="AD1908" i="2"/>
  <c r="AD1909" i="2"/>
  <c r="AD1910" i="2"/>
  <c r="AD1911" i="2"/>
  <c r="AD1912" i="2"/>
  <c r="AD1913" i="2"/>
  <c r="AD1914" i="2"/>
  <c r="AD1915" i="2"/>
  <c r="AD1916" i="2"/>
  <c r="AD1917" i="2"/>
  <c r="AD1918" i="2"/>
  <c r="AD1919" i="2"/>
  <c r="AD1920" i="2"/>
  <c r="AD1921" i="2"/>
  <c r="AD1922" i="2"/>
  <c r="AD1923" i="2"/>
  <c r="AD1924" i="2"/>
  <c r="AD1925" i="2"/>
  <c r="AD1926" i="2"/>
  <c r="AD1927" i="2"/>
  <c r="AD1928" i="2"/>
  <c r="AD1929" i="2"/>
  <c r="AD1930" i="2"/>
  <c r="AD1931" i="2"/>
  <c r="AD1932" i="2"/>
  <c r="AD1933" i="2"/>
  <c r="AD1934" i="2"/>
  <c r="AD1935" i="2"/>
  <c r="AD1936" i="2"/>
  <c r="AD1937" i="2"/>
  <c r="AD1938" i="2"/>
  <c r="AD1939" i="2"/>
  <c r="AD1940" i="2"/>
  <c r="AD1941" i="2"/>
  <c r="AD1942" i="2"/>
  <c r="AD1943" i="2"/>
  <c r="AD1944" i="2"/>
  <c r="AD1945" i="2"/>
  <c r="AD1946" i="2"/>
  <c r="AD1947" i="2"/>
  <c r="AD1948" i="2"/>
  <c r="AD1949" i="2"/>
  <c r="AD1950" i="2"/>
  <c r="AD1951" i="2"/>
  <c r="AD1952" i="2"/>
  <c r="AD1953" i="2"/>
  <c r="AD1954" i="2"/>
  <c r="AD1955" i="2"/>
  <c r="AD1956" i="2"/>
  <c r="AD1957" i="2"/>
  <c r="AD1958" i="2"/>
  <c r="AD1959" i="2"/>
  <c r="AD1960" i="2"/>
  <c r="AD1961" i="2"/>
  <c r="AD1962" i="2"/>
  <c r="AD1963" i="2"/>
  <c r="AD1964" i="2"/>
  <c r="AD1965" i="2"/>
  <c r="AD1966" i="2"/>
  <c r="AD1967" i="2"/>
  <c r="AD1968" i="2"/>
  <c r="AD1969" i="2"/>
  <c r="AD1970" i="2"/>
  <c r="AD1971" i="2"/>
  <c r="AD1972" i="2"/>
  <c r="AD1973" i="2"/>
  <c r="AD1974" i="2"/>
  <c r="AD1975" i="2"/>
  <c r="AD1976" i="2"/>
  <c r="AD1977" i="2"/>
  <c r="AD1978" i="2"/>
  <c r="AD1979" i="2"/>
  <c r="AD1980" i="2"/>
  <c r="AD1981" i="2"/>
  <c r="AD1982" i="2"/>
  <c r="AD1983" i="2"/>
  <c r="AD1984" i="2"/>
  <c r="AD1985" i="2"/>
  <c r="AD1986" i="2"/>
  <c r="AD1987" i="2"/>
  <c r="AD1988" i="2"/>
  <c r="AD1989" i="2"/>
  <c r="AD1990" i="2"/>
  <c r="AD1991" i="2"/>
  <c r="AD1992" i="2"/>
  <c r="AD1993" i="2"/>
  <c r="AD1994" i="2"/>
  <c r="AD1995" i="2"/>
  <c r="AD1996" i="2"/>
  <c r="AD1997" i="2"/>
  <c r="AD1998" i="2"/>
  <c r="AD1999" i="2"/>
  <c r="AD2000" i="2"/>
  <c r="AD2001" i="2"/>
  <c r="AD2002" i="2"/>
  <c r="AD2003" i="2"/>
  <c r="AD2004" i="2"/>
  <c r="AD2005" i="2"/>
  <c r="AD2006" i="2"/>
  <c r="AD2007" i="2"/>
  <c r="AD2008" i="2"/>
  <c r="AD2009" i="2"/>
  <c r="AD2010" i="2"/>
  <c r="AD2011" i="2"/>
  <c r="AD2012" i="2"/>
  <c r="AD2013" i="2"/>
  <c r="AD2014" i="2"/>
  <c r="AD2015" i="2"/>
  <c r="AD2016" i="2"/>
  <c r="AD2017" i="2"/>
  <c r="AD2018" i="2"/>
  <c r="AD2019" i="2"/>
  <c r="AD2020" i="2"/>
  <c r="AD2021" i="2"/>
  <c r="AD2022" i="2"/>
  <c r="AD2023" i="2"/>
  <c r="AD2024" i="2"/>
  <c r="AD2025" i="2"/>
  <c r="AD2026" i="2"/>
  <c r="AD2027" i="2"/>
  <c r="AD2028" i="2"/>
  <c r="AD2029" i="2"/>
  <c r="AD2030" i="2"/>
  <c r="AD2031" i="2"/>
  <c r="AD2032" i="2"/>
  <c r="AD2033" i="2"/>
  <c r="AD2034" i="2"/>
  <c r="AD2035" i="2"/>
  <c r="AD2036" i="2"/>
  <c r="AD2037" i="2"/>
  <c r="AD2038" i="2"/>
  <c r="AD2039" i="2"/>
  <c r="AD2040" i="2"/>
  <c r="AD2041" i="2"/>
  <c r="AD2042" i="2"/>
  <c r="AD2043" i="2"/>
  <c r="AD2044" i="2"/>
  <c r="AD2045" i="2"/>
  <c r="AD2046" i="2"/>
  <c r="AD2047" i="2"/>
  <c r="AD2048" i="2"/>
  <c r="AD2049" i="2"/>
  <c r="AD2050" i="2"/>
  <c r="AD2051" i="2"/>
  <c r="AD2052" i="2"/>
  <c r="AD2053" i="2"/>
  <c r="AD2054" i="2"/>
  <c r="AD2055" i="2"/>
  <c r="AD2056" i="2"/>
  <c r="AD2057" i="2"/>
  <c r="AD2058" i="2"/>
  <c r="AD2059" i="2"/>
  <c r="AD2060" i="2"/>
  <c r="AD2061" i="2"/>
  <c r="AD2062" i="2"/>
  <c r="AD2063" i="2"/>
  <c r="AD2064" i="2"/>
  <c r="AD2065" i="2"/>
  <c r="AD2066" i="2"/>
  <c r="AD2067" i="2"/>
  <c r="AD2068" i="2"/>
  <c r="AD2069" i="2"/>
  <c r="AD2070" i="2"/>
  <c r="AD2071" i="2"/>
  <c r="AD2072" i="2"/>
  <c r="AD2073" i="2"/>
  <c r="AD2074" i="2"/>
  <c r="AD2075" i="2"/>
  <c r="AD2076" i="2"/>
  <c r="AD2077" i="2"/>
  <c r="AD2078" i="2"/>
  <c r="AD2079" i="2"/>
  <c r="AD2080" i="2"/>
  <c r="AD2081" i="2"/>
  <c r="AD2082" i="2"/>
  <c r="AD2083" i="2"/>
  <c r="AD2084" i="2"/>
  <c r="AD2085" i="2"/>
  <c r="AD2086" i="2"/>
  <c r="AD2087" i="2"/>
  <c r="AD2088" i="2"/>
  <c r="AD2089" i="2"/>
  <c r="AD2090" i="2"/>
  <c r="AD2091" i="2"/>
  <c r="AD2092" i="2"/>
  <c r="AD2093" i="2"/>
  <c r="AD2094" i="2"/>
  <c r="AD2095" i="2"/>
  <c r="AD2096" i="2"/>
  <c r="AD2097" i="2"/>
  <c r="AD2098" i="2"/>
  <c r="AD2099" i="2"/>
  <c r="AD2100" i="2"/>
  <c r="AD2101" i="2"/>
  <c r="AD2102" i="2"/>
  <c r="AD2103" i="2"/>
  <c r="AD2104" i="2"/>
  <c r="AD2105" i="2"/>
  <c r="AD2106" i="2"/>
  <c r="AD2107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E970" i="2"/>
  <c r="AE971" i="2"/>
  <c r="AE972" i="2"/>
  <c r="AE973" i="2"/>
  <c r="AE974" i="2"/>
  <c r="AE975" i="2"/>
  <c r="AE976" i="2"/>
  <c r="AE977" i="2"/>
  <c r="AE978" i="2"/>
  <c r="AE979" i="2"/>
  <c r="AE980" i="2"/>
  <c r="AE981" i="2"/>
  <c r="AE982" i="2"/>
  <c r="AE983" i="2"/>
  <c r="AE984" i="2"/>
  <c r="AE985" i="2"/>
  <c r="AE986" i="2"/>
  <c r="AE987" i="2"/>
  <c r="AE988" i="2"/>
  <c r="AE989" i="2"/>
  <c r="AE990" i="2"/>
  <c r="AE991" i="2"/>
  <c r="AE992" i="2"/>
  <c r="AE993" i="2"/>
  <c r="AE994" i="2"/>
  <c r="AE995" i="2"/>
  <c r="AE996" i="2"/>
  <c r="AE997" i="2"/>
  <c r="AE998" i="2"/>
  <c r="AE999" i="2"/>
  <c r="AE1000" i="2"/>
  <c r="AE1001" i="2"/>
  <c r="AE1002" i="2"/>
  <c r="AE1003" i="2"/>
  <c r="AE1004" i="2"/>
  <c r="AE1005" i="2"/>
  <c r="AE1006" i="2"/>
  <c r="AE1007" i="2"/>
  <c r="AE1008" i="2"/>
  <c r="AE1009" i="2"/>
  <c r="AE1010" i="2"/>
  <c r="AE1011" i="2"/>
  <c r="AE1012" i="2"/>
  <c r="AE1013" i="2"/>
  <c r="AE1014" i="2"/>
  <c r="AE1015" i="2"/>
  <c r="AE1016" i="2"/>
  <c r="AE1017" i="2"/>
  <c r="AE1018" i="2"/>
  <c r="AE1019" i="2"/>
  <c r="AE1020" i="2"/>
  <c r="AE1021" i="2"/>
  <c r="AE1022" i="2"/>
  <c r="AE1023" i="2"/>
  <c r="AE1024" i="2"/>
  <c r="AE1025" i="2"/>
  <c r="AE1026" i="2"/>
  <c r="AE1027" i="2"/>
  <c r="AE1028" i="2"/>
  <c r="AE1029" i="2"/>
  <c r="AE1030" i="2"/>
  <c r="AE1031" i="2"/>
  <c r="AE1032" i="2"/>
  <c r="AE1033" i="2"/>
  <c r="AE1034" i="2"/>
  <c r="AE1035" i="2"/>
  <c r="AE1036" i="2"/>
  <c r="AE1037" i="2"/>
  <c r="AE1038" i="2"/>
  <c r="AE1039" i="2"/>
  <c r="AE1040" i="2"/>
  <c r="AE1041" i="2"/>
  <c r="AE1042" i="2"/>
  <c r="AE1043" i="2"/>
  <c r="AE1044" i="2"/>
  <c r="AE1045" i="2"/>
  <c r="AE1046" i="2"/>
  <c r="AE1047" i="2"/>
  <c r="AE1048" i="2"/>
  <c r="AE1049" i="2"/>
  <c r="AE1050" i="2"/>
  <c r="AE1051" i="2"/>
  <c r="AE1052" i="2"/>
  <c r="AE1053" i="2"/>
  <c r="AE1054" i="2"/>
  <c r="AE1055" i="2"/>
  <c r="AE1056" i="2"/>
  <c r="AE1057" i="2"/>
  <c r="AE1058" i="2"/>
  <c r="AE1059" i="2"/>
  <c r="AE1060" i="2"/>
  <c r="AE1061" i="2"/>
  <c r="AE1062" i="2"/>
  <c r="AE1063" i="2"/>
  <c r="AE1064" i="2"/>
  <c r="AE1065" i="2"/>
  <c r="AE1066" i="2"/>
  <c r="AE1067" i="2"/>
  <c r="AE1068" i="2"/>
  <c r="AE1069" i="2"/>
  <c r="AE1070" i="2"/>
  <c r="AE1071" i="2"/>
  <c r="AE1072" i="2"/>
  <c r="AE1073" i="2"/>
  <c r="AE1074" i="2"/>
  <c r="AE1075" i="2"/>
  <c r="AE1076" i="2"/>
  <c r="AE1077" i="2"/>
  <c r="AE1078" i="2"/>
  <c r="AE1079" i="2"/>
  <c r="AE1080" i="2"/>
  <c r="AE1081" i="2"/>
  <c r="AE1082" i="2"/>
  <c r="AE1083" i="2"/>
  <c r="AE1084" i="2"/>
  <c r="AE1085" i="2"/>
  <c r="AE1086" i="2"/>
  <c r="AE1087" i="2"/>
  <c r="AE1088" i="2"/>
  <c r="AE1089" i="2"/>
  <c r="AE1090" i="2"/>
  <c r="AE1091" i="2"/>
  <c r="AE1092" i="2"/>
  <c r="AE1093" i="2"/>
  <c r="AE1094" i="2"/>
  <c r="AE1095" i="2"/>
  <c r="AE1096" i="2"/>
  <c r="AE1097" i="2"/>
  <c r="AE1098" i="2"/>
  <c r="AE1099" i="2"/>
  <c r="AE1100" i="2"/>
  <c r="AE1101" i="2"/>
  <c r="AE1102" i="2"/>
  <c r="AE1103" i="2"/>
  <c r="AE1104" i="2"/>
  <c r="AE1105" i="2"/>
  <c r="AE1106" i="2"/>
  <c r="AE1107" i="2"/>
  <c r="AE1108" i="2"/>
  <c r="AE1109" i="2"/>
  <c r="AE1110" i="2"/>
  <c r="AE1111" i="2"/>
  <c r="AE1112" i="2"/>
  <c r="AE1113" i="2"/>
  <c r="AE1114" i="2"/>
  <c r="AE1115" i="2"/>
  <c r="AE1116" i="2"/>
  <c r="AE1117" i="2"/>
  <c r="AE1118" i="2"/>
  <c r="AE1119" i="2"/>
  <c r="AE1120" i="2"/>
  <c r="AE1121" i="2"/>
  <c r="AE1122" i="2"/>
  <c r="AE1123" i="2"/>
  <c r="AE1124" i="2"/>
  <c r="AE1125" i="2"/>
  <c r="AE1126" i="2"/>
  <c r="AE1127" i="2"/>
  <c r="AE1128" i="2"/>
  <c r="AE1129" i="2"/>
  <c r="AE1130" i="2"/>
  <c r="AE1131" i="2"/>
  <c r="AE1132" i="2"/>
  <c r="AE1133" i="2"/>
  <c r="AE1134" i="2"/>
  <c r="AE1135" i="2"/>
  <c r="AE1136" i="2"/>
  <c r="AE1137" i="2"/>
  <c r="AE1138" i="2"/>
  <c r="AE1139" i="2"/>
  <c r="AE1140" i="2"/>
  <c r="AE1141" i="2"/>
  <c r="AE1142" i="2"/>
  <c r="AE1143" i="2"/>
  <c r="AE1144" i="2"/>
  <c r="AE1145" i="2"/>
  <c r="AE1146" i="2"/>
  <c r="AE1147" i="2"/>
  <c r="AE1148" i="2"/>
  <c r="AE1149" i="2"/>
  <c r="AE1150" i="2"/>
  <c r="AE1151" i="2"/>
  <c r="AE1152" i="2"/>
  <c r="AE1153" i="2"/>
  <c r="AE1154" i="2"/>
  <c r="AE1155" i="2"/>
  <c r="AE1156" i="2"/>
  <c r="AE1157" i="2"/>
  <c r="AE1158" i="2"/>
  <c r="AE1159" i="2"/>
  <c r="AE1160" i="2"/>
  <c r="AE1161" i="2"/>
  <c r="AE1162" i="2"/>
  <c r="AE1163" i="2"/>
  <c r="AE1164" i="2"/>
  <c r="AE1165" i="2"/>
  <c r="AE1166" i="2"/>
  <c r="AE1167" i="2"/>
  <c r="AE1168" i="2"/>
  <c r="AE1169" i="2"/>
  <c r="AE1170" i="2"/>
  <c r="AE1171" i="2"/>
  <c r="AE1172" i="2"/>
  <c r="AE1173" i="2"/>
  <c r="AE1174" i="2"/>
  <c r="AE1175" i="2"/>
  <c r="AE1176" i="2"/>
  <c r="AE1177" i="2"/>
  <c r="AE1178" i="2"/>
  <c r="AE1179" i="2"/>
  <c r="AE1180" i="2"/>
  <c r="AE1181" i="2"/>
  <c r="AE1182" i="2"/>
  <c r="AE1183" i="2"/>
  <c r="AE1184" i="2"/>
  <c r="AE1185" i="2"/>
  <c r="AE1186" i="2"/>
  <c r="AE1187" i="2"/>
  <c r="AE1188" i="2"/>
  <c r="AE1189" i="2"/>
  <c r="AE1190" i="2"/>
  <c r="AE1191" i="2"/>
  <c r="AE1192" i="2"/>
  <c r="AE1193" i="2"/>
  <c r="AE1194" i="2"/>
  <c r="AE1195" i="2"/>
  <c r="AE1196" i="2"/>
  <c r="AE1197" i="2"/>
  <c r="AE1198" i="2"/>
  <c r="AE1199" i="2"/>
  <c r="AE1200" i="2"/>
  <c r="AE1201" i="2"/>
  <c r="AE1202" i="2"/>
  <c r="AE1203" i="2"/>
  <c r="AE1204" i="2"/>
  <c r="AE1205" i="2"/>
  <c r="AE1206" i="2"/>
  <c r="AE1207" i="2"/>
  <c r="AE1208" i="2"/>
  <c r="AE1209" i="2"/>
  <c r="AE1210" i="2"/>
  <c r="AE1211" i="2"/>
  <c r="AE1212" i="2"/>
  <c r="AE1213" i="2"/>
  <c r="AE1214" i="2"/>
  <c r="AE1215" i="2"/>
  <c r="AE1216" i="2"/>
  <c r="AE1217" i="2"/>
  <c r="AE1218" i="2"/>
  <c r="AE1219" i="2"/>
  <c r="AE1220" i="2"/>
  <c r="AE1221" i="2"/>
  <c r="AE1222" i="2"/>
  <c r="AE1223" i="2"/>
  <c r="AE1224" i="2"/>
  <c r="AE1225" i="2"/>
  <c r="AE1226" i="2"/>
  <c r="AE1227" i="2"/>
  <c r="AE1228" i="2"/>
  <c r="AE1229" i="2"/>
  <c r="AE1230" i="2"/>
  <c r="AE1231" i="2"/>
  <c r="AE1232" i="2"/>
  <c r="AE1233" i="2"/>
  <c r="AE1234" i="2"/>
  <c r="AE1235" i="2"/>
  <c r="AE1236" i="2"/>
  <c r="AE1237" i="2"/>
  <c r="AE1238" i="2"/>
  <c r="AE1239" i="2"/>
  <c r="AE1240" i="2"/>
  <c r="AE1241" i="2"/>
  <c r="AE1242" i="2"/>
  <c r="AE1243" i="2"/>
  <c r="AE1244" i="2"/>
  <c r="AE1245" i="2"/>
  <c r="AE1246" i="2"/>
  <c r="AE1247" i="2"/>
  <c r="AE1248" i="2"/>
  <c r="AE1249" i="2"/>
  <c r="AE1250" i="2"/>
  <c r="AE1251" i="2"/>
  <c r="AE1252" i="2"/>
  <c r="AE1253" i="2"/>
  <c r="AE1254" i="2"/>
  <c r="AE1255" i="2"/>
  <c r="AE1256" i="2"/>
  <c r="AE1257" i="2"/>
  <c r="AE1258" i="2"/>
  <c r="AE1259" i="2"/>
  <c r="AE1260" i="2"/>
  <c r="AE1261" i="2"/>
  <c r="AE1262" i="2"/>
  <c r="AE1263" i="2"/>
  <c r="AE1264" i="2"/>
  <c r="AE1265" i="2"/>
  <c r="AE1266" i="2"/>
  <c r="AE1267" i="2"/>
  <c r="AE1268" i="2"/>
  <c r="AE1269" i="2"/>
  <c r="AE1270" i="2"/>
  <c r="AE1271" i="2"/>
  <c r="AE1272" i="2"/>
  <c r="AE1273" i="2"/>
  <c r="AE1274" i="2"/>
  <c r="AE1275" i="2"/>
  <c r="AE1276" i="2"/>
  <c r="AE1277" i="2"/>
  <c r="AE1278" i="2"/>
  <c r="AE1279" i="2"/>
  <c r="AE1280" i="2"/>
  <c r="AE1281" i="2"/>
  <c r="AE1282" i="2"/>
  <c r="AE1283" i="2"/>
  <c r="AE1284" i="2"/>
  <c r="AE1285" i="2"/>
  <c r="AE1286" i="2"/>
  <c r="AE1287" i="2"/>
  <c r="AE1288" i="2"/>
  <c r="AE1289" i="2"/>
  <c r="AE1290" i="2"/>
  <c r="AE1291" i="2"/>
  <c r="AE1292" i="2"/>
  <c r="AE1293" i="2"/>
  <c r="AE1294" i="2"/>
  <c r="AE1295" i="2"/>
  <c r="AE1296" i="2"/>
  <c r="AE1297" i="2"/>
  <c r="AE1298" i="2"/>
  <c r="AE1299" i="2"/>
  <c r="AE1300" i="2"/>
  <c r="AE1301" i="2"/>
  <c r="AE1302" i="2"/>
  <c r="AE1303" i="2"/>
  <c r="AE1304" i="2"/>
  <c r="AE1305" i="2"/>
  <c r="AE1306" i="2"/>
  <c r="AE1307" i="2"/>
  <c r="AE1308" i="2"/>
  <c r="AE1309" i="2"/>
  <c r="AE1310" i="2"/>
  <c r="AE1311" i="2"/>
  <c r="AE1312" i="2"/>
  <c r="AE1313" i="2"/>
  <c r="AE1314" i="2"/>
  <c r="AE1315" i="2"/>
  <c r="AE1316" i="2"/>
  <c r="AE1317" i="2"/>
  <c r="AE1318" i="2"/>
  <c r="AE1319" i="2"/>
  <c r="AE1320" i="2"/>
  <c r="AE1321" i="2"/>
  <c r="AE1322" i="2"/>
  <c r="AE1323" i="2"/>
  <c r="AE1324" i="2"/>
  <c r="AE1325" i="2"/>
  <c r="AE1326" i="2"/>
  <c r="AE1327" i="2"/>
  <c r="AE1328" i="2"/>
  <c r="AE1329" i="2"/>
  <c r="AE1330" i="2"/>
  <c r="AE1331" i="2"/>
  <c r="AE1332" i="2"/>
  <c r="AE1333" i="2"/>
  <c r="AE1334" i="2"/>
  <c r="AE1335" i="2"/>
  <c r="AE1336" i="2"/>
  <c r="AE1337" i="2"/>
  <c r="AE1338" i="2"/>
  <c r="AE1339" i="2"/>
  <c r="AE1340" i="2"/>
  <c r="AE1341" i="2"/>
  <c r="AE1342" i="2"/>
  <c r="AE1343" i="2"/>
  <c r="AE1344" i="2"/>
  <c r="AE1345" i="2"/>
  <c r="AE1346" i="2"/>
  <c r="AE1347" i="2"/>
  <c r="AE1348" i="2"/>
  <c r="AE1349" i="2"/>
  <c r="AE1350" i="2"/>
  <c r="AE1351" i="2"/>
  <c r="AE1352" i="2"/>
  <c r="AE1353" i="2"/>
  <c r="AE1354" i="2"/>
  <c r="AE1355" i="2"/>
  <c r="AE1356" i="2"/>
  <c r="AE1357" i="2"/>
  <c r="AE1358" i="2"/>
  <c r="AE1359" i="2"/>
  <c r="AE1360" i="2"/>
  <c r="AE1361" i="2"/>
  <c r="AE1362" i="2"/>
  <c r="AE1363" i="2"/>
  <c r="AE1364" i="2"/>
  <c r="AE1365" i="2"/>
  <c r="AE1366" i="2"/>
  <c r="AE1367" i="2"/>
  <c r="AE1368" i="2"/>
  <c r="AE1369" i="2"/>
  <c r="AE1370" i="2"/>
  <c r="AE1371" i="2"/>
  <c r="AE1372" i="2"/>
  <c r="AE1373" i="2"/>
  <c r="AE1374" i="2"/>
  <c r="AE1375" i="2"/>
  <c r="AE1376" i="2"/>
  <c r="AE1377" i="2"/>
  <c r="AE1378" i="2"/>
  <c r="AE1379" i="2"/>
  <c r="AE1380" i="2"/>
  <c r="AE1381" i="2"/>
  <c r="AE1382" i="2"/>
  <c r="AE1383" i="2"/>
  <c r="AE1384" i="2"/>
  <c r="AE1385" i="2"/>
  <c r="AE1386" i="2"/>
  <c r="AE1387" i="2"/>
  <c r="AE1388" i="2"/>
  <c r="AE1389" i="2"/>
  <c r="AE1390" i="2"/>
  <c r="AE1391" i="2"/>
  <c r="AE1392" i="2"/>
  <c r="AE1393" i="2"/>
  <c r="AE1394" i="2"/>
  <c r="AE1395" i="2"/>
  <c r="AE1396" i="2"/>
  <c r="AE1397" i="2"/>
  <c r="AE1398" i="2"/>
  <c r="AE1399" i="2"/>
  <c r="AE1400" i="2"/>
  <c r="AE1401" i="2"/>
  <c r="AE1402" i="2"/>
  <c r="AE1403" i="2"/>
  <c r="AE1404" i="2"/>
  <c r="AE1405" i="2"/>
  <c r="AE1406" i="2"/>
  <c r="AE1407" i="2"/>
  <c r="AE1408" i="2"/>
  <c r="AE1409" i="2"/>
  <c r="AE1410" i="2"/>
  <c r="AE1411" i="2"/>
  <c r="AE1412" i="2"/>
  <c r="AE1413" i="2"/>
  <c r="AE1414" i="2"/>
  <c r="AE1415" i="2"/>
  <c r="AE1416" i="2"/>
  <c r="AE1417" i="2"/>
  <c r="AE1418" i="2"/>
  <c r="AE1419" i="2"/>
  <c r="AE1420" i="2"/>
  <c r="AE1421" i="2"/>
  <c r="AE1422" i="2"/>
  <c r="AE1423" i="2"/>
  <c r="AE1424" i="2"/>
  <c r="AE1425" i="2"/>
  <c r="AE1426" i="2"/>
  <c r="AE1427" i="2"/>
  <c r="AE1428" i="2"/>
  <c r="AE1429" i="2"/>
  <c r="AE1430" i="2"/>
  <c r="AE1431" i="2"/>
  <c r="AE1432" i="2"/>
  <c r="AE1433" i="2"/>
  <c r="AE1434" i="2"/>
  <c r="AE1435" i="2"/>
  <c r="AE1436" i="2"/>
  <c r="AE1437" i="2"/>
  <c r="AE1438" i="2"/>
  <c r="AE1439" i="2"/>
  <c r="AE1440" i="2"/>
  <c r="AE1441" i="2"/>
  <c r="AE1442" i="2"/>
  <c r="AE1443" i="2"/>
  <c r="AE1444" i="2"/>
  <c r="AE1445" i="2"/>
  <c r="AE1446" i="2"/>
  <c r="AE1447" i="2"/>
  <c r="AE1448" i="2"/>
  <c r="AE1449" i="2"/>
  <c r="AE1450" i="2"/>
  <c r="AE1451" i="2"/>
  <c r="AE1452" i="2"/>
  <c r="AE1453" i="2"/>
  <c r="AE1454" i="2"/>
  <c r="AE1455" i="2"/>
  <c r="AE1456" i="2"/>
  <c r="AE1457" i="2"/>
  <c r="AE1458" i="2"/>
  <c r="AE1459" i="2"/>
  <c r="AE1460" i="2"/>
  <c r="AE1461" i="2"/>
  <c r="AE1462" i="2"/>
  <c r="AE1463" i="2"/>
  <c r="AE1464" i="2"/>
  <c r="AE1465" i="2"/>
  <c r="AE1466" i="2"/>
  <c r="AE1467" i="2"/>
  <c r="AE1468" i="2"/>
  <c r="AE1469" i="2"/>
  <c r="AE1470" i="2"/>
  <c r="AE1471" i="2"/>
  <c r="AE1472" i="2"/>
  <c r="AE1473" i="2"/>
  <c r="AE1474" i="2"/>
  <c r="AE1475" i="2"/>
  <c r="AE1476" i="2"/>
  <c r="AE1477" i="2"/>
  <c r="AE1478" i="2"/>
  <c r="AE1479" i="2"/>
  <c r="AE1480" i="2"/>
  <c r="AE1481" i="2"/>
  <c r="AE1482" i="2"/>
  <c r="AE1483" i="2"/>
  <c r="AE1484" i="2"/>
  <c r="AE1485" i="2"/>
  <c r="AE1486" i="2"/>
  <c r="AE1487" i="2"/>
  <c r="AE1488" i="2"/>
  <c r="AE1489" i="2"/>
  <c r="AE1490" i="2"/>
  <c r="AE1491" i="2"/>
  <c r="AE1492" i="2"/>
  <c r="AE1493" i="2"/>
  <c r="AE1494" i="2"/>
  <c r="AE1495" i="2"/>
  <c r="AE1496" i="2"/>
  <c r="AE1497" i="2"/>
  <c r="AE1498" i="2"/>
  <c r="AE1499" i="2"/>
  <c r="AE1500" i="2"/>
  <c r="AE1501" i="2"/>
  <c r="AE1502" i="2"/>
  <c r="AE1503" i="2"/>
  <c r="AE1504" i="2"/>
  <c r="AE1505" i="2"/>
  <c r="AE1506" i="2"/>
  <c r="AE1507" i="2"/>
  <c r="AE1508" i="2"/>
  <c r="AE1509" i="2"/>
  <c r="AE1510" i="2"/>
  <c r="AE1511" i="2"/>
  <c r="AE1512" i="2"/>
  <c r="AE1513" i="2"/>
  <c r="AE1514" i="2"/>
  <c r="AE1515" i="2"/>
  <c r="AE1516" i="2"/>
  <c r="AE1517" i="2"/>
  <c r="AE1518" i="2"/>
  <c r="AE1519" i="2"/>
  <c r="AE1520" i="2"/>
  <c r="AE1521" i="2"/>
  <c r="AE1522" i="2"/>
  <c r="AE1523" i="2"/>
  <c r="AE1524" i="2"/>
  <c r="AE1525" i="2"/>
  <c r="AE1526" i="2"/>
  <c r="AE1527" i="2"/>
  <c r="AE1528" i="2"/>
  <c r="AE1529" i="2"/>
  <c r="AE1530" i="2"/>
  <c r="AE1531" i="2"/>
  <c r="AE1532" i="2"/>
  <c r="AE1533" i="2"/>
  <c r="AE1534" i="2"/>
  <c r="AE1535" i="2"/>
  <c r="AE1536" i="2"/>
  <c r="AE1537" i="2"/>
  <c r="AE1538" i="2"/>
  <c r="AE1539" i="2"/>
  <c r="AE1540" i="2"/>
  <c r="AE1541" i="2"/>
  <c r="AE1542" i="2"/>
  <c r="AE1543" i="2"/>
  <c r="AE1544" i="2"/>
  <c r="AE1545" i="2"/>
  <c r="AE1546" i="2"/>
  <c r="AE1547" i="2"/>
  <c r="AE1548" i="2"/>
  <c r="AE1549" i="2"/>
  <c r="AE1550" i="2"/>
  <c r="AE1551" i="2"/>
  <c r="AE1552" i="2"/>
  <c r="AE1553" i="2"/>
  <c r="AE1554" i="2"/>
  <c r="AE1555" i="2"/>
  <c r="AE1556" i="2"/>
  <c r="AE1557" i="2"/>
  <c r="AE1558" i="2"/>
  <c r="AE1559" i="2"/>
  <c r="AE1560" i="2"/>
  <c r="AE1561" i="2"/>
  <c r="AE1562" i="2"/>
  <c r="AE1563" i="2"/>
  <c r="AE1564" i="2"/>
  <c r="AE1565" i="2"/>
  <c r="AE1566" i="2"/>
  <c r="AE1567" i="2"/>
  <c r="AE1568" i="2"/>
  <c r="AE1569" i="2"/>
  <c r="AE1570" i="2"/>
  <c r="AE1571" i="2"/>
  <c r="AE1572" i="2"/>
  <c r="AE1573" i="2"/>
  <c r="AE1574" i="2"/>
  <c r="AE1575" i="2"/>
  <c r="AE1576" i="2"/>
  <c r="AE1577" i="2"/>
  <c r="AE1578" i="2"/>
  <c r="AE1579" i="2"/>
  <c r="AE1580" i="2"/>
  <c r="AE1581" i="2"/>
  <c r="AE1582" i="2"/>
  <c r="AE1583" i="2"/>
  <c r="AE1584" i="2"/>
  <c r="AE1585" i="2"/>
  <c r="AE1586" i="2"/>
  <c r="AE1587" i="2"/>
  <c r="AE1588" i="2"/>
  <c r="AE1589" i="2"/>
  <c r="AE1590" i="2"/>
  <c r="AE1591" i="2"/>
  <c r="AE1592" i="2"/>
  <c r="AE1593" i="2"/>
  <c r="AE1594" i="2"/>
  <c r="AE1595" i="2"/>
  <c r="AE1596" i="2"/>
  <c r="AE1597" i="2"/>
  <c r="AE1598" i="2"/>
  <c r="AE1599" i="2"/>
  <c r="AE1600" i="2"/>
  <c r="AE1601" i="2"/>
  <c r="AE1602" i="2"/>
  <c r="AE1603" i="2"/>
  <c r="AE1604" i="2"/>
  <c r="AE1605" i="2"/>
  <c r="AE1606" i="2"/>
  <c r="AE1607" i="2"/>
  <c r="AE1608" i="2"/>
  <c r="AE1609" i="2"/>
  <c r="AE1610" i="2"/>
  <c r="AE1611" i="2"/>
  <c r="AE1612" i="2"/>
  <c r="AE1613" i="2"/>
  <c r="AE1614" i="2"/>
  <c r="AE1615" i="2"/>
  <c r="AE1616" i="2"/>
  <c r="AE1617" i="2"/>
  <c r="AE1618" i="2"/>
  <c r="AE1619" i="2"/>
  <c r="AE1620" i="2"/>
  <c r="AE1621" i="2"/>
  <c r="AE1622" i="2"/>
  <c r="AE1623" i="2"/>
  <c r="AE1624" i="2"/>
  <c r="AE1625" i="2"/>
  <c r="AE1626" i="2"/>
  <c r="AE1627" i="2"/>
  <c r="AE1628" i="2"/>
  <c r="AE1629" i="2"/>
  <c r="AE1630" i="2"/>
  <c r="AE1631" i="2"/>
  <c r="AE1632" i="2"/>
  <c r="AE1633" i="2"/>
  <c r="AE1634" i="2"/>
  <c r="AE1635" i="2"/>
  <c r="AE1636" i="2"/>
  <c r="AE1637" i="2"/>
  <c r="AE1638" i="2"/>
  <c r="AE1639" i="2"/>
  <c r="AE1640" i="2"/>
  <c r="AE1641" i="2"/>
  <c r="AE1642" i="2"/>
  <c r="AE1643" i="2"/>
  <c r="AE1644" i="2"/>
  <c r="AE1645" i="2"/>
  <c r="AE1646" i="2"/>
  <c r="AE1647" i="2"/>
  <c r="AE1648" i="2"/>
  <c r="AE1649" i="2"/>
  <c r="AE1650" i="2"/>
  <c r="AE1651" i="2"/>
  <c r="AE1652" i="2"/>
  <c r="AE1653" i="2"/>
  <c r="AE1654" i="2"/>
  <c r="AE1655" i="2"/>
  <c r="AE1656" i="2"/>
  <c r="AE1657" i="2"/>
  <c r="AE1658" i="2"/>
  <c r="AE1659" i="2"/>
  <c r="AE1660" i="2"/>
  <c r="AE1661" i="2"/>
  <c r="AE1662" i="2"/>
  <c r="AE1663" i="2"/>
  <c r="AE1664" i="2"/>
  <c r="AE1665" i="2"/>
  <c r="AE1666" i="2"/>
  <c r="AE1667" i="2"/>
  <c r="AE1668" i="2"/>
  <c r="AE1669" i="2"/>
  <c r="AE1670" i="2"/>
  <c r="AE1671" i="2"/>
  <c r="AE1672" i="2"/>
  <c r="AE1673" i="2"/>
  <c r="AE1674" i="2"/>
  <c r="AE1675" i="2"/>
  <c r="AE1676" i="2"/>
  <c r="AE1677" i="2"/>
  <c r="AE1678" i="2"/>
  <c r="AE1679" i="2"/>
  <c r="AE1680" i="2"/>
  <c r="AE1681" i="2"/>
  <c r="AE1682" i="2"/>
  <c r="AE1683" i="2"/>
  <c r="AE1684" i="2"/>
  <c r="AE1685" i="2"/>
  <c r="AE1686" i="2"/>
  <c r="AE1687" i="2"/>
  <c r="AE1688" i="2"/>
  <c r="AE1689" i="2"/>
  <c r="AE1690" i="2"/>
  <c r="AE1691" i="2"/>
  <c r="AE1692" i="2"/>
  <c r="AE1693" i="2"/>
  <c r="AE1694" i="2"/>
  <c r="AE1695" i="2"/>
  <c r="AE1696" i="2"/>
  <c r="AE1697" i="2"/>
  <c r="AE1698" i="2"/>
  <c r="AE1699" i="2"/>
  <c r="AE1700" i="2"/>
  <c r="AE1701" i="2"/>
  <c r="AE1702" i="2"/>
  <c r="AE1703" i="2"/>
  <c r="AE1704" i="2"/>
  <c r="AE1705" i="2"/>
  <c r="AE1706" i="2"/>
  <c r="AE1707" i="2"/>
  <c r="AE1708" i="2"/>
  <c r="AE1709" i="2"/>
  <c r="AE1710" i="2"/>
  <c r="AE1711" i="2"/>
  <c r="AE1712" i="2"/>
  <c r="AE1713" i="2"/>
  <c r="AE1714" i="2"/>
  <c r="AE1715" i="2"/>
  <c r="AE1716" i="2"/>
  <c r="AE1717" i="2"/>
  <c r="AE1718" i="2"/>
  <c r="AE1719" i="2"/>
  <c r="AE1720" i="2"/>
  <c r="AE1721" i="2"/>
  <c r="AE1722" i="2"/>
  <c r="AE1723" i="2"/>
  <c r="AE1724" i="2"/>
  <c r="AE1725" i="2"/>
  <c r="AE1726" i="2"/>
  <c r="AE1727" i="2"/>
  <c r="AE1728" i="2"/>
  <c r="AE1729" i="2"/>
  <c r="AE1730" i="2"/>
  <c r="AE1731" i="2"/>
  <c r="AE1732" i="2"/>
  <c r="AE1733" i="2"/>
  <c r="AE1734" i="2"/>
  <c r="AE1735" i="2"/>
  <c r="AE1736" i="2"/>
  <c r="AE1737" i="2"/>
  <c r="AE1738" i="2"/>
  <c r="AE1739" i="2"/>
  <c r="AE1740" i="2"/>
  <c r="AE1741" i="2"/>
  <c r="AE1742" i="2"/>
  <c r="AE1743" i="2"/>
  <c r="AE1744" i="2"/>
  <c r="AE1745" i="2"/>
  <c r="AE1746" i="2"/>
  <c r="AE1747" i="2"/>
  <c r="AE1748" i="2"/>
  <c r="AE1749" i="2"/>
  <c r="AE1750" i="2"/>
  <c r="AE1751" i="2"/>
  <c r="AE1752" i="2"/>
  <c r="AE1753" i="2"/>
  <c r="AE1754" i="2"/>
  <c r="AE1755" i="2"/>
  <c r="AE1756" i="2"/>
  <c r="AE1757" i="2"/>
  <c r="AE1758" i="2"/>
  <c r="AE1759" i="2"/>
  <c r="AE1760" i="2"/>
  <c r="AE1761" i="2"/>
  <c r="AE1762" i="2"/>
  <c r="AE1763" i="2"/>
  <c r="AE1764" i="2"/>
  <c r="AE1765" i="2"/>
  <c r="AE1766" i="2"/>
  <c r="AE1767" i="2"/>
  <c r="AE1768" i="2"/>
  <c r="AE1769" i="2"/>
  <c r="AE1770" i="2"/>
  <c r="AE1771" i="2"/>
  <c r="AE1772" i="2"/>
  <c r="AE1773" i="2"/>
  <c r="AE1774" i="2"/>
  <c r="AE1775" i="2"/>
  <c r="AE1776" i="2"/>
  <c r="AE1777" i="2"/>
  <c r="AE1778" i="2"/>
  <c r="AE1779" i="2"/>
  <c r="AE1780" i="2"/>
  <c r="AE1781" i="2"/>
  <c r="AE1782" i="2"/>
  <c r="AE1783" i="2"/>
  <c r="AE1784" i="2"/>
  <c r="AE1785" i="2"/>
  <c r="AE1786" i="2"/>
  <c r="AE1787" i="2"/>
  <c r="AE1788" i="2"/>
  <c r="AE1789" i="2"/>
  <c r="AE1790" i="2"/>
  <c r="AE1791" i="2"/>
  <c r="AE1792" i="2"/>
  <c r="AE1793" i="2"/>
  <c r="AE1794" i="2"/>
  <c r="AE1795" i="2"/>
  <c r="AE1796" i="2"/>
  <c r="AE1797" i="2"/>
  <c r="AE1798" i="2"/>
  <c r="AE1799" i="2"/>
  <c r="AE1800" i="2"/>
  <c r="AE1801" i="2"/>
  <c r="AE1802" i="2"/>
  <c r="AE1803" i="2"/>
  <c r="AE1804" i="2"/>
  <c r="AE1805" i="2"/>
  <c r="AE1806" i="2"/>
  <c r="AE1807" i="2"/>
  <c r="AE1808" i="2"/>
  <c r="AE1809" i="2"/>
  <c r="AE1810" i="2"/>
  <c r="AE1811" i="2"/>
  <c r="AE1812" i="2"/>
  <c r="AE1813" i="2"/>
  <c r="AE1814" i="2"/>
  <c r="AE1815" i="2"/>
  <c r="AE1816" i="2"/>
  <c r="AE1817" i="2"/>
  <c r="AE1818" i="2"/>
  <c r="AE1819" i="2"/>
  <c r="AE1820" i="2"/>
  <c r="AE1821" i="2"/>
  <c r="AE1822" i="2"/>
  <c r="AE1823" i="2"/>
  <c r="AE1824" i="2"/>
  <c r="AE1825" i="2"/>
  <c r="AE1826" i="2"/>
  <c r="AE1827" i="2"/>
  <c r="AE1828" i="2"/>
  <c r="AE1829" i="2"/>
  <c r="AE1830" i="2"/>
  <c r="AE1831" i="2"/>
  <c r="AE1832" i="2"/>
  <c r="AE1833" i="2"/>
  <c r="AE1834" i="2"/>
  <c r="AE1835" i="2"/>
  <c r="AE1836" i="2"/>
  <c r="AE1837" i="2"/>
  <c r="AE1838" i="2"/>
  <c r="AE1839" i="2"/>
  <c r="AE1840" i="2"/>
  <c r="AE1841" i="2"/>
  <c r="AE1842" i="2"/>
  <c r="AE1843" i="2"/>
  <c r="AE1844" i="2"/>
  <c r="AE1845" i="2"/>
  <c r="AE1846" i="2"/>
  <c r="AE1847" i="2"/>
  <c r="AE1848" i="2"/>
  <c r="AE1849" i="2"/>
  <c r="AE1850" i="2"/>
  <c r="AE1851" i="2"/>
  <c r="AE1852" i="2"/>
  <c r="AE1853" i="2"/>
  <c r="AE1854" i="2"/>
  <c r="AE1855" i="2"/>
  <c r="AE1856" i="2"/>
  <c r="AE1857" i="2"/>
  <c r="AE1858" i="2"/>
  <c r="AE1859" i="2"/>
  <c r="AE1860" i="2"/>
  <c r="AE1861" i="2"/>
  <c r="AE1862" i="2"/>
  <c r="AE1863" i="2"/>
  <c r="AE1864" i="2"/>
  <c r="AE1865" i="2"/>
  <c r="AE1866" i="2"/>
  <c r="AE1867" i="2"/>
  <c r="AE1868" i="2"/>
  <c r="AE1869" i="2"/>
  <c r="AE1870" i="2"/>
  <c r="AE1871" i="2"/>
  <c r="AE1872" i="2"/>
  <c r="AE1873" i="2"/>
  <c r="AE1874" i="2"/>
  <c r="AE1875" i="2"/>
  <c r="AE1876" i="2"/>
  <c r="AE1877" i="2"/>
  <c r="AE1878" i="2"/>
  <c r="AE1879" i="2"/>
  <c r="AE1880" i="2"/>
  <c r="AE1881" i="2"/>
  <c r="AE1882" i="2"/>
  <c r="AE1883" i="2"/>
  <c r="AE1884" i="2"/>
  <c r="AE1885" i="2"/>
  <c r="AE1886" i="2"/>
  <c r="AE1887" i="2"/>
  <c r="AE1888" i="2"/>
  <c r="AE1889" i="2"/>
  <c r="AE1890" i="2"/>
  <c r="AE1891" i="2"/>
  <c r="AE1892" i="2"/>
  <c r="AE1893" i="2"/>
  <c r="AE1894" i="2"/>
  <c r="AE1895" i="2"/>
  <c r="AE1896" i="2"/>
  <c r="AE1897" i="2"/>
  <c r="AE1898" i="2"/>
  <c r="AE1899" i="2"/>
  <c r="AE1900" i="2"/>
  <c r="AE1901" i="2"/>
  <c r="AE1902" i="2"/>
  <c r="AE1903" i="2"/>
  <c r="AE1904" i="2"/>
  <c r="AE1905" i="2"/>
  <c r="AE1906" i="2"/>
  <c r="AE1907" i="2"/>
  <c r="AE1908" i="2"/>
  <c r="AE1909" i="2"/>
  <c r="AE1910" i="2"/>
  <c r="AE1911" i="2"/>
  <c r="AE1912" i="2"/>
  <c r="AE1913" i="2"/>
  <c r="AE1914" i="2"/>
  <c r="AE1915" i="2"/>
  <c r="AE1916" i="2"/>
  <c r="AE1917" i="2"/>
  <c r="AE1918" i="2"/>
  <c r="AE1919" i="2"/>
  <c r="AE1920" i="2"/>
  <c r="AE1921" i="2"/>
  <c r="AE1922" i="2"/>
  <c r="AE1923" i="2"/>
  <c r="AE1924" i="2"/>
  <c r="AE1925" i="2"/>
  <c r="AE1926" i="2"/>
  <c r="AE1927" i="2"/>
  <c r="AE1928" i="2"/>
  <c r="AE1929" i="2"/>
  <c r="AE1930" i="2"/>
  <c r="AE1931" i="2"/>
  <c r="AE1932" i="2"/>
  <c r="AE1933" i="2"/>
  <c r="AE1934" i="2"/>
  <c r="AE1935" i="2"/>
  <c r="AE1936" i="2"/>
  <c r="AE1937" i="2"/>
  <c r="AE1938" i="2"/>
  <c r="AE1939" i="2"/>
  <c r="AE1940" i="2"/>
  <c r="AE1941" i="2"/>
  <c r="AE1942" i="2"/>
  <c r="AE1943" i="2"/>
  <c r="AE1944" i="2"/>
  <c r="AE1945" i="2"/>
  <c r="AE1946" i="2"/>
  <c r="AE1947" i="2"/>
  <c r="AE1948" i="2"/>
  <c r="AE1949" i="2"/>
  <c r="AE1950" i="2"/>
  <c r="AE1951" i="2"/>
  <c r="AE1952" i="2"/>
  <c r="AE1953" i="2"/>
  <c r="AE1954" i="2"/>
  <c r="AE1955" i="2"/>
  <c r="AE1956" i="2"/>
  <c r="AE1957" i="2"/>
  <c r="AE1958" i="2"/>
  <c r="AE1959" i="2"/>
  <c r="AE1960" i="2"/>
  <c r="AE1961" i="2"/>
  <c r="AE1962" i="2"/>
  <c r="AE1963" i="2"/>
  <c r="AE1964" i="2"/>
  <c r="AE1965" i="2"/>
  <c r="AE1966" i="2"/>
  <c r="AE1967" i="2"/>
  <c r="AE1968" i="2"/>
  <c r="AE1969" i="2"/>
  <c r="AE1970" i="2"/>
  <c r="AE1971" i="2"/>
  <c r="AE1972" i="2"/>
  <c r="AE1973" i="2"/>
  <c r="AE1974" i="2"/>
  <c r="AE1975" i="2"/>
  <c r="AE1976" i="2"/>
  <c r="AE1977" i="2"/>
  <c r="AE1978" i="2"/>
  <c r="AE1979" i="2"/>
  <c r="AE1980" i="2"/>
  <c r="AE1981" i="2"/>
  <c r="AE1982" i="2"/>
  <c r="AE1983" i="2"/>
  <c r="AE1984" i="2"/>
  <c r="AE1985" i="2"/>
  <c r="AE1986" i="2"/>
  <c r="AE1987" i="2"/>
  <c r="AE1988" i="2"/>
  <c r="AE1989" i="2"/>
  <c r="AE1990" i="2"/>
  <c r="AE1991" i="2"/>
  <c r="AE1992" i="2"/>
  <c r="AE1993" i="2"/>
  <c r="AE1994" i="2"/>
  <c r="AE1995" i="2"/>
  <c r="AE1996" i="2"/>
  <c r="AE1997" i="2"/>
  <c r="AE1998" i="2"/>
  <c r="AE1999" i="2"/>
  <c r="AE2000" i="2"/>
  <c r="AE2001" i="2"/>
  <c r="AE2002" i="2"/>
  <c r="AE2003" i="2"/>
  <c r="AE2004" i="2"/>
  <c r="AE2005" i="2"/>
  <c r="AE2006" i="2"/>
  <c r="AE2007" i="2"/>
  <c r="AE2008" i="2"/>
  <c r="AE2009" i="2"/>
  <c r="AE2010" i="2"/>
  <c r="AE2011" i="2"/>
  <c r="AE2012" i="2"/>
  <c r="AE2013" i="2"/>
  <c r="AE2014" i="2"/>
  <c r="AE2015" i="2"/>
  <c r="AE2016" i="2"/>
  <c r="AE2017" i="2"/>
  <c r="AE2018" i="2"/>
  <c r="AE2019" i="2"/>
  <c r="AE2020" i="2"/>
  <c r="AE2021" i="2"/>
  <c r="AE2022" i="2"/>
  <c r="AE2023" i="2"/>
  <c r="AE2024" i="2"/>
  <c r="AE2025" i="2"/>
  <c r="AE2026" i="2"/>
  <c r="AE2027" i="2"/>
  <c r="AE2028" i="2"/>
  <c r="AE2029" i="2"/>
  <c r="AE2030" i="2"/>
  <c r="AE2031" i="2"/>
  <c r="AE2032" i="2"/>
  <c r="AE2033" i="2"/>
  <c r="AE2034" i="2"/>
  <c r="AE2035" i="2"/>
  <c r="AE2036" i="2"/>
  <c r="AE2037" i="2"/>
  <c r="AE2038" i="2"/>
  <c r="AE2039" i="2"/>
  <c r="AE2040" i="2"/>
  <c r="AE2041" i="2"/>
  <c r="AE2042" i="2"/>
  <c r="AE2043" i="2"/>
  <c r="AE2044" i="2"/>
  <c r="AE2045" i="2"/>
  <c r="AE2046" i="2"/>
  <c r="AE2047" i="2"/>
  <c r="AE2048" i="2"/>
  <c r="AE2049" i="2"/>
  <c r="AE2050" i="2"/>
  <c r="AE2051" i="2"/>
  <c r="AE2052" i="2"/>
  <c r="AE2053" i="2"/>
  <c r="AE2054" i="2"/>
  <c r="AE2055" i="2"/>
  <c r="AE2056" i="2"/>
  <c r="AE2057" i="2"/>
  <c r="AE2058" i="2"/>
  <c r="AE2059" i="2"/>
  <c r="AE2060" i="2"/>
  <c r="AE2061" i="2"/>
  <c r="AE2062" i="2"/>
  <c r="AE2063" i="2"/>
  <c r="AE2064" i="2"/>
  <c r="AE2065" i="2"/>
  <c r="AE2066" i="2"/>
  <c r="AE2067" i="2"/>
  <c r="AE2068" i="2"/>
  <c r="AE2069" i="2"/>
  <c r="AE2070" i="2"/>
  <c r="AE2071" i="2"/>
  <c r="AE2072" i="2"/>
  <c r="AE2073" i="2"/>
  <c r="AE2074" i="2"/>
  <c r="AE2075" i="2"/>
  <c r="AE2076" i="2"/>
  <c r="AE2077" i="2"/>
  <c r="AE2078" i="2"/>
  <c r="AE2079" i="2"/>
  <c r="AE2080" i="2"/>
  <c r="AE2081" i="2"/>
  <c r="AE2082" i="2"/>
  <c r="AE2083" i="2"/>
  <c r="AE2084" i="2"/>
  <c r="AE2085" i="2"/>
  <c r="AE2086" i="2"/>
  <c r="AE2087" i="2"/>
  <c r="AE2088" i="2"/>
  <c r="AE2089" i="2"/>
  <c r="AE2090" i="2"/>
  <c r="AE2091" i="2"/>
  <c r="AE2092" i="2"/>
  <c r="AE2093" i="2"/>
  <c r="AE2094" i="2"/>
  <c r="AE2095" i="2"/>
  <c r="AE2096" i="2"/>
  <c r="AE2097" i="2"/>
  <c r="AE2098" i="2"/>
  <c r="AE2099" i="2"/>
  <c r="AE2100" i="2"/>
  <c r="AE2101" i="2"/>
  <c r="AE2102" i="2"/>
  <c r="AE2103" i="2"/>
  <c r="AE2104" i="2"/>
  <c r="AE2105" i="2"/>
  <c r="AE2106" i="2"/>
  <c r="AE2107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1" i="2"/>
  <c r="AF572" i="2"/>
  <c r="AF573" i="2"/>
  <c r="AF574" i="2"/>
  <c r="AF575" i="2"/>
  <c r="AF576" i="2"/>
  <c r="AF577" i="2"/>
  <c r="AF578" i="2"/>
  <c r="AF579" i="2"/>
  <c r="AF580" i="2"/>
  <c r="AF581" i="2"/>
  <c r="AF582" i="2"/>
  <c r="AF583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31" i="2"/>
  <c r="AF632" i="2"/>
  <c r="AF633" i="2"/>
  <c r="AF634" i="2"/>
  <c r="AF635" i="2"/>
  <c r="AF636" i="2"/>
  <c r="AF637" i="2"/>
  <c r="AF638" i="2"/>
  <c r="AF639" i="2"/>
  <c r="AF640" i="2"/>
  <c r="AF641" i="2"/>
  <c r="AF642" i="2"/>
  <c r="AF643" i="2"/>
  <c r="AF644" i="2"/>
  <c r="AF645" i="2"/>
  <c r="AF646" i="2"/>
  <c r="AF647" i="2"/>
  <c r="AF648" i="2"/>
  <c r="AF649" i="2"/>
  <c r="AF650" i="2"/>
  <c r="AF651" i="2"/>
  <c r="AF652" i="2"/>
  <c r="AF653" i="2"/>
  <c r="AF654" i="2"/>
  <c r="AF655" i="2"/>
  <c r="AF656" i="2"/>
  <c r="AF657" i="2"/>
  <c r="AF658" i="2"/>
  <c r="AF659" i="2"/>
  <c r="AF660" i="2"/>
  <c r="AF661" i="2"/>
  <c r="AF662" i="2"/>
  <c r="AF663" i="2"/>
  <c r="AF664" i="2"/>
  <c r="AF665" i="2"/>
  <c r="AF666" i="2"/>
  <c r="AF667" i="2"/>
  <c r="AF668" i="2"/>
  <c r="AF669" i="2"/>
  <c r="AF670" i="2"/>
  <c r="AF671" i="2"/>
  <c r="AF672" i="2"/>
  <c r="AF673" i="2"/>
  <c r="AF674" i="2"/>
  <c r="AF675" i="2"/>
  <c r="AF676" i="2"/>
  <c r="AF677" i="2"/>
  <c r="AF678" i="2"/>
  <c r="AF679" i="2"/>
  <c r="AF680" i="2"/>
  <c r="AF681" i="2"/>
  <c r="AF682" i="2"/>
  <c r="AF683" i="2"/>
  <c r="AF684" i="2"/>
  <c r="AF685" i="2"/>
  <c r="AF686" i="2"/>
  <c r="AF687" i="2"/>
  <c r="AF688" i="2"/>
  <c r="AF689" i="2"/>
  <c r="AF690" i="2"/>
  <c r="AF691" i="2"/>
  <c r="AF692" i="2"/>
  <c r="AF693" i="2"/>
  <c r="AF694" i="2"/>
  <c r="AF695" i="2"/>
  <c r="AF696" i="2"/>
  <c r="AF697" i="2"/>
  <c r="AF698" i="2"/>
  <c r="AF699" i="2"/>
  <c r="AF700" i="2"/>
  <c r="AF701" i="2"/>
  <c r="AF702" i="2"/>
  <c r="AF703" i="2"/>
  <c r="AF704" i="2"/>
  <c r="AF705" i="2"/>
  <c r="AF706" i="2"/>
  <c r="AF707" i="2"/>
  <c r="AF708" i="2"/>
  <c r="AF709" i="2"/>
  <c r="AF710" i="2"/>
  <c r="AF711" i="2"/>
  <c r="AF712" i="2"/>
  <c r="AF713" i="2"/>
  <c r="AF714" i="2"/>
  <c r="AF715" i="2"/>
  <c r="AF716" i="2"/>
  <c r="AF717" i="2"/>
  <c r="AF718" i="2"/>
  <c r="AF719" i="2"/>
  <c r="AF720" i="2"/>
  <c r="AF721" i="2"/>
  <c r="AF722" i="2"/>
  <c r="AF723" i="2"/>
  <c r="AF724" i="2"/>
  <c r="AF725" i="2"/>
  <c r="AF726" i="2"/>
  <c r="AF727" i="2"/>
  <c r="AF728" i="2"/>
  <c r="AF729" i="2"/>
  <c r="AF730" i="2"/>
  <c r="AF731" i="2"/>
  <c r="AF732" i="2"/>
  <c r="AF733" i="2"/>
  <c r="AF734" i="2"/>
  <c r="AF735" i="2"/>
  <c r="AF736" i="2"/>
  <c r="AF737" i="2"/>
  <c r="AF738" i="2"/>
  <c r="AF739" i="2"/>
  <c r="AF740" i="2"/>
  <c r="AF741" i="2"/>
  <c r="AF742" i="2"/>
  <c r="AF743" i="2"/>
  <c r="AF744" i="2"/>
  <c r="AF745" i="2"/>
  <c r="AF746" i="2"/>
  <c r="AF747" i="2"/>
  <c r="AF748" i="2"/>
  <c r="AF749" i="2"/>
  <c r="AF750" i="2"/>
  <c r="AF751" i="2"/>
  <c r="AF752" i="2"/>
  <c r="AF753" i="2"/>
  <c r="AF754" i="2"/>
  <c r="AF755" i="2"/>
  <c r="AF756" i="2"/>
  <c r="AF757" i="2"/>
  <c r="AF758" i="2"/>
  <c r="AF759" i="2"/>
  <c r="AF760" i="2"/>
  <c r="AF761" i="2"/>
  <c r="AF762" i="2"/>
  <c r="AF763" i="2"/>
  <c r="AF764" i="2"/>
  <c r="AF765" i="2"/>
  <c r="AF766" i="2"/>
  <c r="AF767" i="2"/>
  <c r="AF768" i="2"/>
  <c r="AF769" i="2"/>
  <c r="AF770" i="2"/>
  <c r="AF771" i="2"/>
  <c r="AF772" i="2"/>
  <c r="AF773" i="2"/>
  <c r="AF774" i="2"/>
  <c r="AF775" i="2"/>
  <c r="AF776" i="2"/>
  <c r="AF777" i="2"/>
  <c r="AF778" i="2"/>
  <c r="AF779" i="2"/>
  <c r="AF780" i="2"/>
  <c r="AF781" i="2"/>
  <c r="AF782" i="2"/>
  <c r="AF783" i="2"/>
  <c r="AF784" i="2"/>
  <c r="AF785" i="2"/>
  <c r="AF786" i="2"/>
  <c r="AF787" i="2"/>
  <c r="AF788" i="2"/>
  <c r="AF789" i="2"/>
  <c r="AF790" i="2"/>
  <c r="AF791" i="2"/>
  <c r="AF792" i="2"/>
  <c r="AF793" i="2"/>
  <c r="AF794" i="2"/>
  <c r="AF795" i="2"/>
  <c r="AF796" i="2"/>
  <c r="AF797" i="2"/>
  <c r="AF798" i="2"/>
  <c r="AF799" i="2"/>
  <c r="AF800" i="2"/>
  <c r="AF801" i="2"/>
  <c r="AF802" i="2"/>
  <c r="AF803" i="2"/>
  <c r="AF804" i="2"/>
  <c r="AF805" i="2"/>
  <c r="AF806" i="2"/>
  <c r="AF807" i="2"/>
  <c r="AF808" i="2"/>
  <c r="AF809" i="2"/>
  <c r="AF810" i="2"/>
  <c r="AF811" i="2"/>
  <c r="AF812" i="2"/>
  <c r="AF813" i="2"/>
  <c r="AF814" i="2"/>
  <c r="AF815" i="2"/>
  <c r="AF816" i="2"/>
  <c r="AF817" i="2"/>
  <c r="AF818" i="2"/>
  <c r="AF819" i="2"/>
  <c r="AF820" i="2"/>
  <c r="AF821" i="2"/>
  <c r="AF822" i="2"/>
  <c r="AF823" i="2"/>
  <c r="AF824" i="2"/>
  <c r="AF825" i="2"/>
  <c r="AF826" i="2"/>
  <c r="AF827" i="2"/>
  <c r="AF828" i="2"/>
  <c r="AF829" i="2"/>
  <c r="AF830" i="2"/>
  <c r="AF831" i="2"/>
  <c r="AF832" i="2"/>
  <c r="AF833" i="2"/>
  <c r="AF834" i="2"/>
  <c r="AF835" i="2"/>
  <c r="AF836" i="2"/>
  <c r="AF837" i="2"/>
  <c r="AF838" i="2"/>
  <c r="AF839" i="2"/>
  <c r="AF840" i="2"/>
  <c r="AF841" i="2"/>
  <c r="AF842" i="2"/>
  <c r="AF843" i="2"/>
  <c r="AF844" i="2"/>
  <c r="AF845" i="2"/>
  <c r="AF846" i="2"/>
  <c r="AF847" i="2"/>
  <c r="AF848" i="2"/>
  <c r="AF849" i="2"/>
  <c r="AF850" i="2"/>
  <c r="AF851" i="2"/>
  <c r="AF852" i="2"/>
  <c r="AF853" i="2"/>
  <c r="AF854" i="2"/>
  <c r="AF855" i="2"/>
  <c r="AF856" i="2"/>
  <c r="AF857" i="2"/>
  <c r="AF858" i="2"/>
  <c r="AF859" i="2"/>
  <c r="AF860" i="2"/>
  <c r="AF861" i="2"/>
  <c r="AF862" i="2"/>
  <c r="AF863" i="2"/>
  <c r="AF864" i="2"/>
  <c r="AF865" i="2"/>
  <c r="AF866" i="2"/>
  <c r="AF867" i="2"/>
  <c r="AF868" i="2"/>
  <c r="AF869" i="2"/>
  <c r="AF870" i="2"/>
  <c r="AF871" i="2"/>
  <c r="AF872" i="2"/>
  <c r="AF873" i="2"/>
  <c r="AF874" i="2"/>
  <c r="AF875" i="2"/>
  <c r="AF876" i="2"/>
  <c r="AF877" i="2"/>
  <c r="AF878" i="2"/>
  <c r="AF879" i="2"/>
  <c r="AF880" i="2"/>
  <c r="AF881" i="2"/>
  <c r="AF882" i="2"/>
  <c r="AF883" i="2"/>
  <c r="AF884" i="2"/>
  <c r="AF885" i="2"/>
  <c r="AF886" i="2"/>
  <c r="AF887" i="2"/>
  <c r="AF888" i="2"/>
  <c r="AF889" i="2"/>
  <c r="AF890" i="2"/>
  <c r="AF891" i="2"/>
  <c r="AF892" i="2"/>
  <c r="AF893" i="2"/>
  <c r="AF894" i="2"/>
  <c r="AF895" i="2"/>
  <c r="AF896" i="2"/>
  <c r="AF897" i="2"/>
  <c r="AF898" i="2"/>
  <c r="AF899" i="2"/>
  <c r="AF900" i="2"/>
  <c r="AF901" i="2"/>
  <c r="AF902" i="2"/>
  <c r="AF903" i="2"/>
  <c r="AF904" i="2"/>
  <c r="AF905" i="2"/>
  <c r="AF906" i="2"/>
  <c r="AF907" i="2"/>
  <c r="AF908" i="2"/>
  <c r="AF909" i="2"/>
  <c r="AF910" i="2"/>
  <c r="AF911" i="2"/>
  <c r="AF912" i="2"/>
  <c r="AF913" i="2"/>
  <c r="AF914" i="2"/>
  <c r="AF915" i="2"/>
  <c r="AF916" i="2"/>
  <c r="AF917" i="2"/>
  <c r="AF918" i="2"/>
  <c r="AF919" i="2"/>
  <c r="AF920" i="2"/>
  <c r="AF921" i="2"/>
  <c r="AF922" i="2"/>
  <c r="AF923" i="2"/>
  <c r="AF924" i="2"/>
  <c r="AF925" i="2"/>
  <c r="AF926" i="2"/>
  <c r="AF927" i="2"/>
  <c r="AF928" i="2"/>
  <c r="AF929" i="2"/>
  <c r="AF930" i="2"/>
  <c r="AF931" i="2"/>
  <c r="AF932" i="2"/>
  <c r="AF933" i="2"/>
  <c r="AF934" i="2"/>
  <c r="AF935" i="2"/>
  <c r="AF936" i="2"/>
  <c r="AF937" i="2"/>
  <c r="AF938" i="2"/>
  <c r="AF939" i="2"/>
  <c r="AF940" i="2"/>
  <c r="AF941" i="2"/>
  <c r="AF942" i="2"/>
  <c r="AF943" i="2"/>
  <c r="AF944" i="2"/>
  <c r="AF945" i="2"/>
  <c r="AF946" i="2"/>
  <c r="AF947" i="2"/>
  <c r="AF948" i="2"/>
  <c r="AF949" i="2"/>
  <c r="AF950" i="2"/>
  <c r="AF951" i="2"/>
  <c r="AF952" i="2"/>
  <c r="AF953" i="2"/>
  <c r="AF954" i="2"/>
  <c r="AF955" i="2"/>
  <c r="AF956" i="2"/>
  <c r="AF957" i="2"/>
  <c r="AF958" i="2"/>
  <c r="AF959" i="2"/>
  <c r="AF960" i="2"/>
  <c r="AF961" i="2"/>
  <c r="AF962" i="2"/>
  <c r="AF963" i="2"/>
  <c r="AF964" i="2"/>
  <c r="AF965" i="2"/>
  <c r="AF966" i="2"/>
  <c r="AF967" i="2"/>
  <c r="AF968" i="2"/>
  <c r="AF969" i="2"/>
  <c r="AF970" i="2"/>
  <c r="AF971" i="2"/>
  <c r="AF972" i="2"/>
  <c r="AF973" i="2"/>
  <c r="AF974" i="2"/>
  <c r="AF975" i="2"/>
  <c r="AF976" i="2"/>
  <c r="AF977" i="2"/>
  <c r="AF978" i="2"/>
  <c r="AF979" i="2"/>
  <c r="AF980" i="2"/>
  <c r="AF981" i="2"/>
  <c r="AF982" i="2"/>
  <c r="AF983" i="2"/>
  <c r="AF984" i="2"/>
  <c r="AF985" i="2"/>
  <c r="AF986" i="2"/>
  <c r="AF987" i="2"/>
  <c r="AF988" i="2"/>
  <c r="AF989" i="2"/>
  <c r="AF990" i="2"/>
  <c r="AF991" i="2"/>
  <c r="AF992" i="2"/>
  <c r="AF993" i="2"/>
  <c r="AF994" i="2"/>
  <c r="AF995" i="2"/>
  <c r="AF996" i="2"/>
  <c r="AF997" i="2"/>
  <c r="AF998" i="2"/>
  <c r="AF999" i="2"/>
  <c r="AF1000" i="2"/>
  <c r="AF1001" i="2"/>
  <c r="AF1002" i="2"/>
  <c r="AF1003" i="2"/>
  <c r="AF1004" i="2"/>
  <c r="AF1005" i="2"/>
  <c r="AF1006" i="2"/>
  <c r="AF1007" i="2"/>
  <c r="AF1008" i="2"/>
  <c r="AF1009" i="2"/>
  <c r="AF1010" i="2"/>
  <c r="AF1011" i="2"/>
  <c r="AF1012" i="2"/>
  <c r="AF1013" i="2"/>
  <c r="AF1014" i="2"/>
  <c r="AF1015" i="2"/>
  <c r="AF1016" i="2"/>
  <c r="AF1017" i="2"/>
  <c r="AF1018" i="2"/>
  <c r="AF1019" i="2"/>
  <c r="AF1020" i="2"/>
  <c r="AF1021" i="2"/>
  <c r="AF1022" i="2"/>
  <c r="AF1023" i="2"/>
  <c r="AF1024" i="2"/>
  <c r="AF1025" i="2"/>
  <c r="AF1026" i="2"/>
  <c r="AF1027" i="2"/>
  <c r="AF1028" i="2"/>
  <c r="AF1029" i="2"/>
  <c r="AF1030" i="2"/>
  <c r="AF1031" i="2"/>
  <c r="AF1032" i="2"/>
  <c r="AF1033" i="2"/>
  <c r="AF1034" i="2"/>
  <c r="AF1035" i="2"/>
  <c r="AF1036" i="2"/>
  <c r="AF1037" i="2"/>
  <c r="AF1038" i="2"/>
  <c r="AF1039" i="2"/>
  <c r="AF1040" i="2"/>
  <c r="AF1041" i="2"/>
  <c r="AF1042" i="2"/>
  <c r="AF1043" i="2"/>
  <c r="AF1044" i="2"/>
  <c r="AF1045" i="2"/>
  <c r="AF1046" i="2"/>
  <c r="AF1047" i="2"/>
  <c r="AF1048" i="2"/>
  <c r="AF1049" i="2"/>
  <c r="AF1050" i="2"/>
  <c r="AF1051" i="2"/>
  <c r="AF1052" i="2"/>
  <c r="AF1053" i="2"/>
  <c r="AF1054" i="2"/>
  <c r="AF1055" i="2"/>
  <c r="AF1056" i="2"/>
  <c r="AF1057" i="2"/>
  <c r="AF1058" i="2"/>
  <c r="AF1059" i="2"/>
  <c r="AF1060" i="2"/>
  <c r="AF1061" i="2"/>
  <c r="AF1062" i="2"/>
  <c r="AF1063" i="2"/>
  <c r="AF1064" i="2"/>
  <c r="AF1065" i="2"/>
  <c r="AF1066" i="2"/>
  <c r="AF1067" i="2"/>
  <c r="AF1068" i="2"/>
  <c r="AF1069" i="2"/>
  <c r="AF1070" i="2"/>
  <c r="AF1071" i="2"/>
  <c r="AF1072" i="2"/>
  <c r="AF1073" i="2"/>
  <c r="AF1074" i="2"/>
  <c r="AF1075" i="2"/>
  <c r="AF1076" i="2"/>
  <c r="AF1077" i="2"/>
  <c r="AF1078" i="2"/>
  <c r="AF1079" i="2"/>
  <c r="AF1080" i="2"/>
  <c r="AF1081" i="2"/>
  <c r="AF1082" i="2"/>
  <c r="AF1083" i="2"/>
  <c r="AF1084" i="2"/>
  <c r="AF1085" i="2"/>
  <c r="AF1086" i="2"/>
  <c r="AF1087" i="2"/>
  <c r="AF1088" i="2"/>
  <c r="AF1089" i="2"/>
  <c r="AF1090" i="2"/>
  <c r="AF1091" i="2"/>
  <c r="AF1092" i="2"/>
  <c r="AF1093" i="2"/>
  <c r="AF1094" i="2"/>
  <c r="AF1095" i="2"/>
  <c r="AF1096" i="2"/>
  <c r="AF1097" i="2"/>
  <c r="AF1098" i="2"/>
  <c r="AF1099" i="2"/>
  <c r="AF1100" i="2"/>
  <c r="AF1101" i="2"/>
  <c r="AF1102" i="2"/>
  <c r="AF1103" i="2"/>
  <c r="AF1104" i="2"/>
  <c r="AF1105" i="2"/>
  <c r="AF1106" i="2"/>
  <c r="AF1107" i="2"/>
  <c r="AF1108" i="2"/>
  <c r="AF1109" i="2"/>
  <c r="AF1110" i="2"/>
  <c r="AF1111" i="2"/>
  <c r="AF1112" i="2"/>
  <c r="AF1113" i="2"/>
  <c r="AF1114" i="2"/>
  <c r="AF1115" i="2"/>
  <c r="AF1116" i="2"/>
  <c r="AF1117" i="2"/>
  <c r="AF1118" i="2"/>
  <c r="AF1119" i="2"/>
  <c r="AF1120" i="2"/>
  <c r="AF1121" i="2"/>
  <c r="AF1122" i="2"/>
  <c r="AF1123" i="2"/>
  <c r="AF1124" i="2"/>
  <c r="AF1125" i="2"/>
  <c r="AF1126" i="2"/>
  <c r="AF1127" i="2"/>
  <c r="AF1128" i="2"/>
  <c r="AF1129" i="2"/>
  <c r="AF1130" i="2"/>
  <c r="AF1131" i="2"/>
  <c r="AF1132" i="2"/>
  <c r="AF1133" i="2"/>
  <c r="AF1134" i="2"/>
  <c r="AF1135" i="2"/>
  <c r="AF1136" i="2"/>
  <c r="AF1137" i="2"/>
  <c r="AF1138" i="2"/>
  <c r="AF1139" i="2"/>
  <c r="AF1140" i="2"/>
  <c r="AF1141" i="2"/>
  <c r="AF1142" i="2"/>
  <c r="AF1143" i="2"/>
  <c r="AF1144" i="2"/>
  <c r="AF1145" i="2"/>
  <c r="AF1146" i="2"/>
  <c r="AF1147" i="2"/>
  <c r="AF1148" i="2"/>
  <c r="AF1149" i="2"/>
  <c r="AF1150" i="2"/>
  <c r="AF1151" i="2"/>
  <c r="AF1152" i="2"/>
  <c r="AF1153" i="2"/>
  <c r="AF1154" i="2"/>
  <c r="AF1155" i="2"/>
  <c r="AF1156" i="2"/>
  <c r="AF1157" i="2"/>
  <c r="AF1158" i="2"/>
  <c r="AF1159" i="2"/>
  <c r="AF1160" i="2"/>
  <c r="AF1161" i="2"/>
  <c r="AF1162" i="2"/>
  <c r="AF1163" i="2"/>
  <c r="AF1164" i="2"/>
  <c r="AF1165" i="2"/>
  <c r="AF1166" i="2"/>
  <c r="AF1167" i="2"/>
  <c r="AF1168" i="2"/>
  <c r="AF1169" i="2"/>
  <c r="AF1170" i="2"/>
  <c r="AF1171" i="2"/>
  <c r="AF1172" i="2"/>
  <c r="AF1173" i="2"/>
  <c r="AF1174" i="2"/>
  <c r="AF1175" i="2"/>
  <c r="AF1176" i="2"/>
  <c r="AF1177" i="2"/>
  <c r="AF1178" i="2"/>
  <c r="AF1179" i="2"/>
  <c r="AF1180" i="2"/>
  <c r="AF1181" i="2"/>
  <c r="AF1182" i="2"/>
  <c r="AF1183" i="2"/>
  <c r="AF1184" i="2"/>
  <c r="AF1185" i="2"/>
  <c r="AF1186" i="2"/>
  <c r="AF1187" i="2"/>
  <c r="AF1188" i="2"/>
  <c r="AF1189" i="2"/>
  <c r="AF1190" i="2"/>
  <c r="AF1191" i="2"/>
  <c r="AF1192" i="2"/>
  <c r="AF1193" i="2"/>
  <c r="AF1194" i="2"/>
  <c r="AF1195" i="2"/>
  <c r="AF1196" i="2"/>
  <c r="AF1197" i="2"/>
  <c r="AF1198" i="2"/>
  <c r="AF1199" i="2"/>
  <c r="AF1200" i="2"/>
  <c r="AF1201" i="2"/>
  <c r="AF1202" i="2"/>
  <c r="AF1203" i="2"/>
  <c r="AF1204" i="2"/>
  <c r="AF1205" i="2"/>
  <c r="AF1206" i="2"/>
  <c r="AF1207" i="2"/>
  <c r="AF1208" i="2"/>
  <c r="AF1209" i="2"/>
  <c r="AF1210" i="2"/>
  <c r="AF1211" i="2"/>
  <c r="AF1212" i="2"/>
  <c r="AF1213" i="2"/>
  <c r="AF1214" i="2"/>
  <c r="AF1215" i="2"/>
  <c r="AF1216" i="2"/>
  <c r="AF1217" i="2"/>
  <c r="AF1218" i="2"/>
  <c r="AF1219" i="2"/>
  <c r="AF1220" i="2"/>
  <c r="AF1221" i="2"/>
  <c r="AF1222" i="2"/>
  <c r="AF1223" i="2"/>
  <c r="AF1224" i="2"/>
  <c r="AF1225" i="2"/>
  <c r="AF1226" i="2"/>
  <c r="AF1227" i="2"/>
  <c r="AF1228" i="2"/>
  <c r="AF1229" i="2"/>
  <c r="AF1230" i="2"/>
  <c r="AF1231" i="2"/>
  <c r="AF1232" i="2"/>
  <c r="AF1233" i="2"/>
  <c r="AF1234" i="2"/>
  <c r="AF1235" i="2"/>
  <c r="AF1236" i="2"/>
  <c r="AF1237" i="2"/>
  <c r="AF1238" i="2"/>
  <c r="AF1239" i="2"/>
  <c r="AF1240" i="2"/>
  <c r="AF1241" i="2"/>
  <c r="AF1242" i="2"/>
  <c r="AF1243" i="2"/>
  <c r="AF1244" i="2"/>
  <c r="AF1245" i="2"/>
  <c r="AF1246" i="2"/>
  <c r="AF1247" i="2"/>
  <c r="AF1248" i="2"/>
  <c r="AF1249" i="2"/>
  <c r="AF1250" i="2"/>
  <c r="AF1251" i="2"/>
  <c r="AF1252" i="2"/>
  <c r="AF1253" i="2"/>
  <c r="AF1254" i="2"/>
  <c r="AF1255" i="2"/>
  <c r="AF1256" i="2"/>
  <c r="AF1257" i="2"/>
  <c r="AF1258" i="2"/>
  <c r="AF1259" i="2"/>
  <c r="AF1260" i="2"/>
  <c r="AF1261" i="2"/>
  <c r="AF1262" i="2"/>
  <c r="AF1263" i="2"/>
  <c r="AF1264" i="2"/>
  <c r="AF1265" i="2"/>
  <c r="AF1266" i="2"/>
  <c r="AF1267" i="2"/>
  <c r="AF1268" i="2"/>
  <c r="AF1269" i="2"/>
  <c r="AF1270" i="2"/>
  <c r="AF1271" i="2"/>
  <c r="AF1272" i="2"/>
  <c r="AF1273" i="2"/>
  <c r="AF1274" i="2"/>
  <c r="AF1275" i="2"/>
  <c r="AF1276" i="2"/>
  <c r="AF1277" i="2"/>
  <c r="AF1278" i="2"/>
  <c r="AF1279" i="2"/>
  <c r="AF1280" i="2"/>
  <c r="AF1281" i="2"/>
  <c r="AF1282" i="2"/>
  <c r="AF1283" i="2"/>
  <c r="AF1284" i="2"/>
  <c r="AF1285" i="2"/>
  <c r="AF1286" i="2"/>
  <c r="AF1287" i="2"/>
  <c r="AF1288" i="2"/>
  <c r="AF1289" i="2"/>
  <c r="AF1290" i="2"/>
  <c r="AF1291" i="2"/>
  <c r="AF1292" i="2"/>
  <c r="AF1293" i="2"/>
  <c r="AF1294" i="2"/>
  <c r="AF1295" i="2"/>
  <c r="AF1296" i="2"/>
  <c r="AF1297" i="2"/>
  <c r="AF1298" i="2"/>
  <c r="AF1299" i="2"/>
  <c r="AF1300" i="2"/>
  <c r="AF1301" i="2"/>
  <c r="AF1302" i="2"/>
  <c r="AF1303" i="2"/>
  <c r="AF1304" i="2"/>
  <c r="AF1305" i="2"/>
  <c r="AF1306" i="2"/>
  <c r="AF1307" i="2"/>
  <c r="AF1308" i="2"/>
  <c r="AF1309" i="2"/>
  <c r="AF1310" i="2"/>
  <c r="AF1311" i="2"/>
  <c r="AF1312" i="2"/>
  <c r="AF1313" i="2"/>
  <c r="AF1314" i="2"/>
  <c r="AF1315" i="2"/>
  <c r="AF1316" i="2"/>
  <c r="AF1317" i="2"/>
  <c r="AF1318" i="2"/>
  <c r="AF1319" i="2"/>
  <c r="AF1320" i="2"/>
  <c r="AF1321" i="2"/>
  <c r="AF1322" i="2"/>
  <c r="AF1323" i="2"/>
  <c r="AF1324" i="2"/>
  <c r="AF1325" i="2"/>
  <c r="AF1326" i="2"/>
  <c r="AF1327" i="2"/>
  <c r="AF1328" i="2"/>
  <c r="AF1329" i="2"/>
  <c r="AF1330" i="2"/>
  <c r="AF1331" i="2"/>
  <c r="AF1332" i="2"/>
  <c r="AF1333" i="2"/>
  <c r="AF1334" i="2"/>
  <c r="AF1335" i="2"/>
  <c r="AF1336" i="2"/>
  <c r="AF1337" i="2"/>
  <c r="AF1338" i="2"/>
  <c r="AF1339" i="2"/>
  <c r="AF1340" i="2"/>
  <c r="AF1341" i="2"/>
  <c r="AF1342" i="2"/>
  <c r="AF1343" i="2"/>
  <c r="AF1344" i="2"/>
  <c r="AF1345" i="2"/>
  <c r="AF1346" i="2"/>
  <c r="AF1347" i="2"/>
  <c r="AF1348" i="2"/>
  <c r="AF1349" i="2"/>
  <c r="AF1350" i="2"/>
  <c r="AF1351" i="2"/>
  <c r="AF1352" i="2"/>
  <c r="AF1353" i="2"/>
  <c r="AF1354" i="2"/>
  <c r="AF1355" i="2"/>
  <c r="AF1356" i="2"/>
  <c r="AF1357" i="2"/>
  <c r="AF1358" i="2"/>
  <c r="AF1359" i="2"/>
  <c r="AF1360" i="2"/>
  <c r="AF1361" i="2"/>
  <c r="AF1362" i="2"/>
  <c r="AF1363" i="2"/>
  <c r="AF1364" i="2"/>
  <c r="AF1365" i="2"/>
  <c r="AF1366" i="2"/>
  <c r="AF1367" i="2"/>
  <c r="AF1368" i="2"/>
  <c r="AF1369" i="2"/>
  <c r="AF1370" i="2"/>
  <c r="AF1371" i="2"/>
  <c r="AF1372" i="2"/>
  <c r="AF1373" i="2"/>
  <c r="AF1374" i="2"/>
  <c r="AF1375" i="2"/>
  <c r="AF1376" i="2"/>
  <c r="AF1377" i="2"/>
  <c r="AF1378" i="2"/>
  <c r="AF1379" i="2"/>
  <c r="AF1380" i="2"/>
  <c r="AF1381" i="2"/>
  <c r="AF1382" i="2"/>
  <c r="AF1383" i="2"/>
  <c r="AF1384" i="2"/>
  <c r="AF1385" i="2"/>
  <c r="AF1386" i="2"/>
  <c r="AF1387" i="2"/>
  <c r="AF1388" i="2"/>
  <c r="AF1389" i="2"/>
  <c r="AF1390" i="2"/>
  <c r="AF1391" i="2"/>
  <c r="AF1392" i="2"/>
  <c r="AF1393" i="2"/>
  <c r="AF1394" i="2"/>
  <c r="AF1395" i="2"/>
  <c r="AF1396" i="2"/>
  <c r="AF1397" i="2"/>
  <c r="AF1398" i="2"/>
  <c r="AF1399" i="2"/>
  <c r="AF1400" i="2"/>
  <c r="AF1401" i="2"/>
  <c r="AF1402" i="2"/>
  <c r="AF1403" i="2"/>
  <c r="AF1404" i="2"/>
  <c r="AF1405" i="2"/>
  <c r="AF1406" i="2"/>
  <c r="AF1407" i="2"/>
  <c r="AF1408" i="2"/>
  <c r="AF1409" i="2"/>
  <c r="AF1410" i="2"/>
  <c r="AF1411" i="2"/>
  <c r="AF1412" i="2"/>
  <c r="AF1413" i="2"/>
  <c r="AF1414" i="2"/>
  <c r="AF1415" i="2"/>
  <c r="AF1416" i="2"/>
  <c r="AF1417" i="2"/>
  <c r="AF1418" i="2"/>
  <c r="AF1419" i="2"/>
  <c r="AF1420" i="2"/>
  <c r="AF1421" i="2"/>
  <c r="AF1422" i="2"/>
  <c r="AF1423" i="2"/>
  <c r="AF1424" i="2"/>
  <c r="AF1425" i="2"/>
  <c r="AF1426" i="2"/>
  <c r="AF1427" i="2"/>
  <c r="AF1428" i="2"/>
  <c r="AF1429" i="2"/>
  <c r="AF1430" i="2"/>
  <c r="AF1431" i="2"/>
  <c r="AF1432" i="2"/>
  <c r="AF1433" i="2"/>
  <c r="AF1434" i="2"/>
  <c r="AF1435" i="2"/>
  <c r="AF1436" i="2"/>
  <c r="AF1437" i="2"/>
  <c r="AF1438" i="2"/>
  <c r="AF1439" i="2"/>
  <c r="AF1440" i="2"/>
  <c r="AF1441" i="2"/>
  <c r="AF1442" i="2"/>
  <c r="AF1443" i="2"/>
  <c r="AF1444" i="2"/>
  <c r="AF1445" i="2"/>
  <c r="AF1446" i="2"/>
  <c r="AF1447" i="2"/>
  <c r="AF1448" i="2"/>
  <c r="AF1449" i="2"/>
  <c r="AF1450" i="2"/>
  <c r="AF1451" i="2"/>
  <c r="AF1452" i="2"/>
  <c r="AF1453" i="2"/>
  <c r="AF1454" i="2"/>
  <c r="AF1455" i="2"/>
  <c r="AF1456" i="2"/>
  <c r="AF1457" i="2"/>
  <c r="AF1458" i="2"/>
  <c r="AF1459" i="2"/>
  <c r="AF1460" i="2"/>
  <c r="AF1461" i="2"/>
  <c r="AF1462" i="2"/>
  <c r="AF1463" i="2"/>
  <c r="AF1464" i="2"/>
  <c r="AF1465" i="2"/>
  <c r="AF1466" i="2"/>
  <c r="AF1467" i="2"/>
  <c r="AF1468" i="2"/>
  <c r="AF1469" i="2"/>
  <c r="AF1470" i="2"/>
  <c r="AF1471" i="2"/>
  <c r="AF1472" i="2"/>
  <c r="AF1473" i="2"/>
  <c r="AF1474" i="2"/>
  <c r="AF1475" i="2"/>
  <c r="AF1476" i="2"/>
  <c r="AF1477" i="2"/>
  <c r="AF1478" i="2"/>
  <c r="AF1479" i="2"/>
  <c r="AF1480" i="2"/>
  <c r="AF1481" i="2"/>
  <c r="AF1482" i="2"/>
  <c r="AF1483" i="2"/>
  <c r="AF1484" i="2"/>
  <c r="AF1485" i="2"/>
  <c r="AF1486" i="2"/>
  <c r="AF1487" i="2"/>
  <c r="AF1488" i="2"/>
  <c r="AF1489" i="2"/>
  <c r="AF1490" i="2"/>
  <c r="AF1491" i="2"/>
  <c r="AF1492" i="2"/>
  <c r="AF1493" i="2"/>
  <c r="AF1494" i="2"/>
  <c r="AF1495" i="2"/>
  <c r="AF1496" i="2"/>
  <c r="AF1497" i="2"/>
  <c r="AF1498" i="2"/>
  <c r="AF1499" i="2"/>
  <c r="AF1500" i="2"/>
  <c r="AF1501" i="2"/>
  <c r="AF1502" i="2"/>
  <c r="AF1503" i="2"/>
  <c r="AF1504" i="2"/>
  <c r="AF1505" i="2"/>
  <c r="AF1506" i="2"/>
  <c r="AF1507" i="2"/>
  <c r="AF1508" i="2"/>
  <c r="AF1509" i="2"/>
  <c r="AF1510" i="2"/>
  <c r="AF1511" i="2"/>
  <c r="AF1512" i="2"/>
  <c r="AF1513" i="2"/>
  <c r="AF1514" i="2"/>
  <c r="AF1515" i="2"/>
  <c r="AF1516" i="2"/>
  <c r="AF1517" i="2"/>
  <c r="AF1518" i="2"/>
  <c r="AF1519" i="2"/>
  <c r="AF1520" i="2"/>
  <c r="AF1521" i="2"/>
  <c r="AF1522" i="2"/>
  <c r="AF1523" i="2"/>
  <c r="AF1524" i="2"/>
  <c r="AF1525" i="2"/>
  <c r="AF1526" i="2"/>
  <c r="AF1527" i="2"/>
  <c r="AF1528" i="2"/>
  <c r="AF1529" i="2"/>
  <c r="AF1530" i="2"/>
  <c r="AF1531" i="2"/>
  <c r="AF1532" i="2"/>
  <c r="AF1533" i="2"/>
  <c r="AF1534" i="2"/>
  <c r="AF1535" i="2"/>
  <c r="AF1536" i="2"/>
  <c r="AF1537" i="2"/>
  <c r="AF1538" i="2"/>
  <c r="AF1539" i="2"/>
  <c r="AF1540" i="2"/>
  <c r="AF1541" i="2"/>
  <c r="AF1542" i="2"/>
  <c r="AF1543" i="2"/>
  <c r="AF1544" i="2"/>
  <c r="AF1545" i="2"/>
  <c r="AF1546" i="2"/>
  <c r="AF1547" i="2"/>
  <c r="AF1548" i="2"/>
  <c r="AF1549" i="2"/>
  <c r="AF1550" i="2"/>
  <c r="AF1551" i="2"/>
  <c r="AF1552" i="2"/>
  <c r="AF1553" i="2"/>
  <c r="AF1554" i="2"/>
  <c r="AF1555" i="2"/>
  <c r="AF1556" i="2"/>
  <c r="AF1557" i="2"/>
  <c r="AF1558" i="2"/>
  <c r="AF1559" i="2"/>
  <c r="AF1560" i="2"/>
  <c r="AF1561" i="2"/>
  <c r="AF1562" i="2"/>
  <c r="AF1563" i="2"/>
  <c r="AF1564" i="2"/>
  <c r="AF1565" i="2"/>
  <c r="AF1566" i="2"/>
  <c r="AF1567" i="2"/>
  <c r="AF1568" i="2"/>
  <c r="AF1569" i="2"/>
  <c r="AF1570" i="2"/>
  <c r="AF1571" i="2"/>
  <c r="AF1572" i="2"/>
  <c r="AF1573" i="2"/>
  <c r="AF1574" i="2"/>
  <c r="AF1575" i="2"/>
  <c r="AF1576" i="2"/>
  <c r="AF1577" i="2"/>
  <c r="AF1578" i="2"/>
  <c r="AF1579" i="2"/>
  <c r="AF1580" i="2"/>
  <c r="AF1581" i="2"/>
  <c r="AF1582" i="2"/>
  <c r="AF1583" i="2"/>
  <c r="AF1584" i="2"/>
  <c r="AF1585" i="2"/>
  <c r="AF1586" i="2"/>
  <c r="AF1587" i="2"/>
  <c r="AF1588" i="2"/>
  <c r="AF1589" i="2"/>
  <c r="AF1590" i="2"/>
  <c r="AF1591" i="2"/>
  <c r="AF1592" i="2"/>
  <c r="AF1593" i="2"/>
  <c r="AF1594" i="2"/>
  <c r="AF1595" i="2"/>
  <c r="AF1596" i="2"/>
  <c r="AF1597" i="2"/>
  <c r="AF1598" i="2"/>
  <c r="AF1599" i="2"/>
  <c r="AF1600" i="2"/>
  <c r="AF1601" i="2"/>
  <c r="AF1602" i="2"/>
  <c r="AF1603" i="2"/>
  <c r="AF1604" i="2"/>
  <c r="AF1605" i="2"/>
  <c r="AF1606" i="2"/>
  <c r="AF1607" i="2"/>
  <c r="AF1608" i="2"/>
  <c r="AF1609" i="2"/>
  <c r="AF1610" i="2"/>
  <c r="AF1611" i="2"/>
  <c r="AF1612" i="2"/>
  <c r="AF1613" i="2"/>
  <c r="AF1614" i="2"/>
  <c r="AF1615" i="2"/>
  <c r="AF1616" i="2"/>
  <c r="AF1617" i="2"/>
  <c r="AF1618" i="2"/>
  <c r="AF1619" i="2"/>
  <c r="AF1620" i="2"/>
  <c r="AF1621" i="2"/>
  <c r="AF1622" i="2"/>
  <c r="AF1623" i="2"/>
  <c r="AF1624" i="2"/>
  <c r="AF1625" i="2"/>
  <c r="AF1626" i="2"/>
  <c r="AF1627" i="2"/>
  <c r="AF1628" i="2"/>
  <c r="AF1629" i="2"/>
  <c r="AF1630" i="2"/>
  <c r="AF1631" i="2"/>
  <c r="AF1632" i="2"/>
  <c r="AF1633" i="2"/>
  <c r="AF1634" i="2"/>
  <c r="AF1635" i="2"/>
  <c r="AF1636" i="2"/>
  <c r="AF1637" i="2"/>
  <c r="AF1638" i="2"/>
  <c r="AF1639" i="2"/>
  <c r="AF1640" i="2"/>
  <c r="AF1641" i="2"/>
  <c r="AF1642" i="2"/>
  <c r="AF1643" i="2"/>
  <c r="AF1644" i="2"/>
  <c r="AF1645" i="2"/>
  <c r="AF1646" i="2"/>
  <c r="AF1647" i="2"/>
  <c r="AF1648" i="2"/>
  <c r="AF1649" i="2"/>
  <c r="AF1650" i="2"/>
  <c r="AF1651" i="2"/>
  <c r="AF1652" i="2"/>
  <c r="AF1653" i="2"/>
  <c r="AF1654" i="2"/>
  <c r="AF1655" i="2"/>
  <c r="AF1656" i="2"/>
  <c r="AF1657" i="2"/>
  <c r="AF1658" i="2"/>
  <c r="AF1659" i="2"/>
  <c r="AF1660" i="2"/>
  <c r="AF1661" i="2"/>
  <c r="AF1662" i="2"/>
  <c r="AF1663" i="2"/>
  <c r="AF1664" i="2"/>
  <c r="AF1665" i="2"/>
  <c r="AF1666" i="2"/>
  <c r="AF1667" i="2"/>
  <c r="AF1668" i="2"/>
  <c r="AF1669" i="2"/>
  <c r="AF1670" i="2"/>
  <c r="AF1671" i="2"/>
  <c r="AF1672" i="2"/>
  <c r="AF1673" i="2"/>
  <c r="AF1674" i="2"/>
  <c r="AF1675" i="2"/>
  <c r="AF1676" i="2"/>
  <c r="AF1677" i="2"/>
  <c r="AF1678" i="2"/>
  <c r="AF1679" i="2"/>
  <c r="AF1680" i="2"/>
  <c r="AF1681" i="2"/>
  <c r="AF1682" i="2"/>
  <c r="AF1683" i="2"/>
  <c r="AF1684" i="2"/>
  <c r="AF1685" i="2"/>
  <c r="AF1686" i="2"/>
  <c r="AF1687" i="2"/>
  <c r="AF1688" i="2"/>
  <c r="AF1689" i="2"/>
  <c r="AF1690" i="2"/>
  <c r="AF1691" i="2"/>
  <c r="AF1692" i="2"/>
  <c r="AF1693" i="2"/>
  <c r="AF1694" i="2"/>
  <c r="AF1695" i="2"/>
  <c r="AF1696" i="2"/>
  <c r="AF1697" i="2"/>
  <c r="AF1698" i="2"/>
  <c r="AF1699" i="2"/>
  <c r="AF1700" i="2"/>
  <c r="AF1701" i="2"/>
  <c r="AF1702" i="2"/>
  <c r="AF1703" i="2"/>
  <c r="AF1704" i="2"/>
  <c r="AF1705" i="2"/>
  <c r="AF1706" i="2"/>
  <c r="AF1707" i="2"/>
  <c r="AF1708" i="2"/>
  <c r="AF1709" i="2"/>
  <c r="AF1710" i="2"/>
  <c r="AF1711" i="2"/>
  <c r="AF1712" i="2"/>
  <c r="AF1713" i="2"/>
  <c r="AF1714" i="2"/>
  <c r="AF1715" i="2"/>
  <c r="AF1716" i="2"/>
  <c r="AF1717" i="2"/>
  <c r="AF1718" i="2"/>
  <c r="AF1719" i="2"/>
  <c r="AF1720" i="2"/>
  <c r="AF1721" i="2"/>
  <c r="AF1722" i="2"/>
  <c r="AF1723" i="2"/>
  <c r="AF1724" i="2"/>
  <c r="AF1725" i="2"/>
  <c r="AF1726" i="2"/>
  <c r="AF1727" i="2"/>
  <c r="AF1728" i="2"/>
  <c r="AF1729" i="2"/>
  <c r="AF1730" i="2"/>
  <c r="AF1731" i="2"/>
  <c r="AF1732" i="2"/>
  <c r="AF1733" i="2"/>
  <c r="AF1734" i="2"/>
  <c r="AF1735" i="2"/>
  <c r="AF1736" i="2"/>
  <c r="AF1737" i="2"/>
  <c r="AF1738" i="2"/>
  <c r="AF1739" i="2"/>
  <c r="AF1740" i="2"/>
  <c r="AF1741" i="2"/>
  <c r="AF1742" i="2"/>
  <c r="AF1743" i="2"/>
  <c r="AF1744" i="2"/>
  <c r="AF1745" i="2"/>
  <c r="AF1746" i="2"/>
  <c r="AF1747" i="2"/>
  <c r="AF1748" i="2"/>
  <c r="AF1749" i="2"/>
  <c r="AF1750" i="2"/>
  <c r="AF1751" i="2"/>
  <c r="AF1752" i="2"/>
  <c r="AF1753" i="2"/>
  <c r="AF1754" i="2"/>
  <c r="AF1755" i="2"/>
  <c r="AF1756" i="2"/>
  <c r="AF1757" i="2"/>
  <c r="AF1758" i="2"/>
  <c r="AF1759" i="2"/>
  <c r="AF1760" i="2"/>
  <c r="AF1761" i="2"/>
  <c r="AF1762" i="2"/>
  <c r="AF1763" i="2"/>
  <c r="AF1764" i="2"/>
  <c r="AF1765" i="2"/>
  <c r="AF1766" i="2"/>
  <c r="AF1767" i="2"/>
  <c r="AF1768" i="2"/>
  <c r="AF1769" i="2"/>
  <c r="AF1770" i="2"/>
  <c r="AF1771" i="2"/>
  <c r="AF1772" i="2"/>
  <c r="AF1773" i="2"/>
  <c r="AF1774" i="2"/>
  <c r="AF1775" i="2"/>
  <c r="AF1776" i="2"/>
  <c r="AF1777" i="2"/>
  <c r="AF1778" i="2"/>
  <c r="AF1779" i="2"/>
  <c r="AF1780" i="2"/>
  <c r="AF1781" i="2"/>
  <c r="AF1782" i="2"/>
  <c r="AF1783" i="2"/>
  <c r="AF1784" i="2"/>
  <c r="AF1785" i="2"/>
  <c r="AF1786" i="2"/>
  <c r="AF1787" i="2"/>
  <c r="AF1788" i="2"/>
  <c r="AF1789" i="2"/>
  <c r="AF1790" i="2"/>
  <c r="AF1791" i="2"/>
  <c r="AF1792" i="2"/>
  <c r="AF1793" i="2"/>
  <c r="AF1794" i="2"/>
  <c r="AF1795" i="2"/>
  <c r="AF1796" i="2"/>
  <c r="AF1797" i="2"/>
  <c r="AF1798" i="2"/>
  <c r="AF1799" i="2"/>
  <c r="AF1800" i="2"/>
  <c r="AF1801" i="2"/>
  <c r="AF1802" i="2"/>
  <c r="AF1803" i="2"/>
  <c r="AF1804" i="2"/>
  <c r="AF1805" i="2"/>
  <c r="AF1806" i="2"/>
  <c r="AF1807" i="2"/>
  <c r="AF1808" i="2"/>
  <c r="AF1809" i="2"/>
  <c r="AF1810" i="2"/>
  <c r="AF1811" i="2"/>
  <c r="AF1812" i="2"/>
  <c r="AF1813" i="2"/>
  <c r="AF1814" i="2"/>
  <c r="AF1815" i="2"/>
  <c r="AF1816" i="2"/>
  <c r="AF1817" i="2"/>
  <c r="AF1818" i="2"/>
  <c r="AF1819" i="2"/>
  <c r="AF1820" i="2"/>
  <c r="AF1821" i="2"/>
  <c r="AF1822" i="2"/>
  <c r="AF1823" i="2"/>
  <c r="AF1824" i="2"/>
  <c r="AF1825" i="2"/>
  <c r="AF1826" i="2"/>
  <c r="AF1827" i="2"/>
  <c r="AF1828" i="2"/>
  <c r="AF1829" i="2"/>
  <c r="AF1830" i="2"/>
  <c r="AF1831" i="2"/>
  <c r="AF1832" i="2"/>
  <c r="AF1833" i="2"/>
  <c r="AF1834" i="2"/>
  <c r="AF1835" i="2"/>
  <c r="AF1836" i="2"/>
  <c r="AF1837" i="2"/>
  <c r="AF1838" i="2"/>
  <c r="AF1839" i="2"/>
  <c r="AF1840" i="2"/>
  <c r="AF1841" i="2"/>
  <c r="AF1842" i="2"/>
  <c r="AF1843" i="2"/>
  <c r="AF1844" i="2"/>
  <c r="AF1845" i="2"/>
  <c r="AF1846" i="2"/>
  <c r="AF1847" i="2"/>
  <c r="AF1848" i="2"/>
  <c r="AF1849" i="2"/>
  <c r="AF1850" i="2"/>
  <c r="AF1851" i="2"/>
  <c r="AF1852" i="2"/>
  <c r="AF1853" i="2"/>
  <c r="AF1854" i="2"/>
  <c r="AF1855" i="2"/>
  <c r="AF1856" i="2"/>
  <c r="AF1857" i="2"/>
  <c r="AF1858" i="2"/>
  <c r="AF1859" i="2"/>
  <c r="AF1860" i="2"/>
  <c r="AF1861" i="2"/>
  <c r="AF1862" i="2"/>
  <c r="AF1863" i="2"/>
  <c r="AF1864" i="2"/>
  <c r="AF1865" i="2"/>
  <c r="AF1866" i="2"/>
  <c r="AF1867" i="2"/>
  <c r="AF1868" i="2"/>
  <c r="AF1869" i="2"/>
  <c r="AF1870" i="2"/>
  <c r="AF1871" i="2"/>
  <c r="AF1872" i="2"/>
  <c r="AF1873" i="2"/>
  <c r="AF1874" i="2"/>
  <c r="AF1875" i="2"/>
  <c r="AF1876" i="2"/>
  <c r="AF1877" i="2"/>
  <c r="AF1878" i="2"/>
  <c r="AF1879" i="2"/>
  <c r="AF1880" i="2"/>
  <c r="AF1881" i="2"/>
  <c r="AF1882" i="2"/>
  <c r="AF1883" i="2"/>
  <c r="AF1884" i="2"/>
  <c r="AF1885" i="2"/>
  <c r="AF1886" i="2"/>
  <c r="AF1887" i="2"/>
  <c r="AF1888" i="2"/>
  <c r="AF1889" i="2"/>
  <c r="AF1890" i="2"/>
  <c r="AF1891" i="2"/>
  <c r="AF1892" i="2"/>
  <c r="AF1893" i="2"/>
  <c r="AF1894" i="2"/>
  <c r="AF1895" i="2"/>
  <c r="AF1896" i="2"/>
  <c r="AF1897" i="2"/>
  <c r="AF1898" i="2"/>
  <c r="AF1899" i="2"/>
  <c r="AF1900" i="2"/>
  <c r="AF1901" i="2"/>
  <c r="AF1902" i="2"/>
  <c r="AF1903" i="2"/>
  <c r="AF1904" i="2"/>
  <c r="AF1905" i="2"/>
  <c r="AF1906" i="2"/>
  <c r="AF1907" i="2"/>
  <c r="AF1908" i="2"/>
  <c r="AF1909" i="2"/>
  <c r="AF1910" i="2"/>
  <c r="AF1911" i="2"/>
  <c r="AF1912" i="2"/>
  <c r="AF1913" i="2"/>
  <c r="AF1914" i="2"/>
  <c r="AF1915" i="2"/>
  <c r="AF1916" i="2"/>
  <c r="AF1917" i="2"/>
  <c r="AF1918" i="2"/>
  <c r="AF1919" i="2"/>
  <c r="AF1920" i="2"/>
  <c r="AF1921" i="2"/>
  <c r="AF1922" i="2"/>
  <c r="AF1923" i="2"/>
  <c r="AF1924" i="2"/>
  <c r="AF1925" i="2"/>
  <c r="AF1926" i="2"/>
  <c r="AF1927" i="2"/>
  <c r="AF1928" i="2"/>
  <c r="AF1929" i="2"/>
  <c r="AF1930" i="2"/>
  <c r="AF1931" i="2"/>
  <c r="AF1932" i="2"/>
  <c r="AF1933" i="2"/>
  <c r="AF1934" i="2"/>
  <c r="AF1935" i="2"/>
  <c r="AF1936" i="2"/>
  <c r="AF1937" i="2"/>
  <c r="AF1938" i="2"/>
  <c r="AF1939" i="2"/>
  <c r="AF1940" i="2"/>
  <c r="AF1941" i="2"/>
  <c r="AF1942" i="2"/>
  <c r="AF1943" i="2"/>
  <c r="AF1944" i="2"/>
  <c r="AF1945" i="2"/>
  <c r="AF1946" i="2"/>
  <c r="AF1947" i="2"/>
  <c r="AF1948" i="2"/>
  <c r="AF1949" i="2"/>
  <c r="AF1950" i="2"/>
  <c r="AF1951" i="2"/>
  <c r="AF1952" i="2"/>
  <c r="AF1953" i="2"/>
  <c r="AF1954" i="2"/>
  <c r="AF1955" i="2"/>
  <c r="AF1956" i="2"/>
  <c r="AF1957" i="2"/>
  <c r="AF1958" i="2"/>
  <c r="AF1959" i="2"/>
  <c r="AF1960" i="2"/>
  <c r="AF1961" i="2"/>
  <c r="AF1962" i="2"/>
  <c r="AF1963" i="2"/>
  <c r="AF1964" i="2"/>
  <c r="AF1965" i="2"/>
  <c r="AF1966" i="2"/>
  <c r="AF1967" i="2"/>
  <c r="AF1968" i="2"/>
  <c r="AF1969" i="2"/>
  <c r="AF1970" i="2"/>
  <c r="AF1971" i="2"/>
  <c r="AF1972" i="2"/>
  <c r="AF1973" i="2"/>
  <c r="AF1974" i="2"/>
  <c r="AF1975" i="2"/>
  <c r="AF1976" i="2"/>
  <c r="AF1977" i="2"/>
  <c r="AF1978" i="2"/>
  <c r="AF1979" i="2"/>
  <c r="AF1980" i="2"/>
  <c r="AF1981" i="2"/>
  <c r="AF1982" i="2"/>
  <c r="AF1983" i="2"/>
  <c r="AF1984" i="2"/>
  <c r="AF1985" i="2"/>
  <c r="AF1986" i="2"/>
  <c r="AF1987" i="2"/>
  <c r="AF1988" i="2"/>
  <c r="AF1989" i="2"/>
  <c r="AF1990" i="2"/>
  <c r="AF1991" i="2"/>
  <c r="AF1992" i="2"/>
  <c r="AF1993" i="2"/>
  <c r="AF1994" i="2"/>
  <c r="AF1995" i="2"/>
  <c r="AF1996" i="2"/>
  <c r="AF1997" i="2"/>
  <c r="AF1998" i="2"/>
  <c r="AF1999" i="2"/>
  <c r="AF2000" i="2"/>
  <c r="AF2001" i="2"/>
  <c r="AF2002" i="2"/>
  <c r="AF2003" i="2"/>
  <c r="AF2004" i="2"/>
  <c r="AF2005" i="2"/>
  <c r="AF2006" i="2"/>
  <c r="AF2007" i="2"/>
  <c r="AF2008" i="2"/>
  <c r="AF2009" i="2"/>
  <c r="AF2010" i="2"/>
  <c r="AF2011" i="2"/>
  <c r="AF2012" i="2"/>
  <c r="AF2013" i="2"/>
  <c r="AF2014" i="2"/>
  <c r="AF2015" i="2"/>
  <c r="AF2016" i="2"/>
  <c r="AF2017" i="2"/>
  <c r="AF2018" i="2"/>
  <c r="AF2019" i="2"/>
  <c r="AF2020" i="2"/>
  <c r="AF2021" i="2"/>
  <c r="AF2022" i="2"/>
  <c r="AF2023" i="2"/>
  <c r="AF2024" i="2"/>
  <c r="AF2025" i="2"/>
  <c r="AF2026" i="2"/>
  <c r="AF2027" i="2"/>
  <c r="AF2028" i="2"/>
  <c r="AF2029" i="2"/>
  <c r="AF2030" i="2"/>
  <c r="AF2031" i="2"/>
  <c r="AF2032" i="2"/>
  <c r="AF2033" i="2"/>
  <c r="AF2034" i="2"/>
  <c r="AF2035" i="2"/>
  <c r="AF2036" i="2"/>
  <c r="AF2037" i="2"/>
  <c r="AF2038" i="2"/>
  <c r="AF2039" i="2"/>
  <c r="AF2040" i="2"/>
  <c r="AF2041" i="2"/>
  <c r="AF2042" i="2"/>
  <c r="AF2043" i="2"/>
  <c r="AF2044" i="2"/>
  <c r="AF2045" i="2"/>
  <c r="AF2046" i="2"/>
  <c r="AF2047" i="2"/>
  <c r="AF2048" i="2"/>
  <c r="AF2049" i="2"/>
  <c r="AF2050" i="2"/>
  <c r="AF2051" i="2"/>
  <c r="AF2052" i="2"/>
  <c r="AF2053" i="2"/>
  <c r="AF2054" i="2"/>
  <c r="AF2055" i="2"/>
  <c r="AF2056" i="2"/>
  <c r="AF2057" i="2"/>
  <c r="AF2058" i="2"/>
  <c r="AF2059" i="2"/>
  <c r="AF2060" i="2"/>
  <c r="AF2061" i="2"/>
  <c r="AF2062" i="2"/>
  <c r="AF2063" i="2"/>
  <c r="AF2064" i="2"/>
  <c r="AF2065" i="2"/>
  <c r="AF2066" i="2"/>
  <c r="AF2067" i="2"/>
  <c r="AF2068" i="2"/>
  <c r="AF2069" i="2"/>
  <c r="AF2070" i="2"/>
  <c r="AF2071" i="2"/>
  <c r="AF2072" i="2"/>
  <c r="AF2073" i="2"/>
  <c r="AF2074" i="2"/>
  <c r="AF2075" i="2"/>
  <c r="AF2076" i="2"/>
  <c r="AF2077" i="2"/>
  <c r="AF2078" i="2"/>
  <c r="AF2079" i="2"/>
  <c r="AF2080" i="2"/>
  <c r="AF2081" i="2"/>
  <c r="AF2082" i="2"/>
  <c r="AF2083" i="2"/>
  <c r="AF2084" i="2"/>
  <c r="AF2085" i="2"/>
  <c r="AF2086" i="2"/>
  <c r="AF2087" i="2"/>
  <c r="AF2088" i="2"/>
  <c r="AF2089" i="2"/>
  <c r="AF2090" i="2"/>
  <c r="AF2091" i="2"/>
  <c r="AF2092" i="2"/>
  <c r="AF2093" i="2"/>
  <c r="AF2094" i="2"/>
  <c r="AF2095" i="2"/>
  <c r="AF2096" i="2"/>
  <c r="AF2097" i="2"/>
  <c r="AF2098" i="2"/>
  <c r="AF2099" i="2"/>
  <c r="AF2100" i="2"/>
  <c r="AF2101" i="2"/>
  <c r="AF2102" i="2"/>
  <c r="AF2103" i="2"/>
  <c r="AF2104" i="2"/>
  <c r="AF2105" i="2"/>
  <c r="AF2106" i="2"/>
  <c r="AF2107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17" i="2"/>
  <c r="AG1018" i="2"/>
  <c r="AG1019" i="2"/>
  <c r="AG1020" i="2"/>
  <c r="AG1021" i="2"/>
  <c r="AG1022" i="2"/>
  <c r="AG1023" i="2"/>
  <c r="AG1024" i="2"/>
  <c r="AG1025" i="2"/>
  <c r="AG1026" i="2"/>
  <c r="AG1027" i="2"/>
  <c r="AG1028" i="2"/>
  <c r="AG1029" i="2"/>
  <c r="AG1030" i="2"/>
  <c r="AG1031" i="2"/>
  <c r="AG1032" i="2"/>
  <c r="AG1033" i="2"/>
  <c r="AG1034" i="2"/>
  <c r="AG1035" i="2"/>
  <c r="AG1036" i="2"/>
  <c r="AG1037" i="2"/>
  <c r="AG1038" i="2"/>
  <c r="AG1039" i="2"/>
  <c r="AG1040" i="2"/>
  <c r="AG1041" i="2"/>
  <c r="AG1042" i="2"/>
  <c r="AG1043" i="2"/>
  <c r="AG1044" i="2"/>
  <c r="AG1045" i="2"/>
  <c r="AG1046" i="2"/>
  <c r="AG1047" i="2"/>
  <c r="AG1048" i="2"/>
  <c r="AG1049" i="2"/>
  <c r="AG1050" i="2"/>
  <c r="AG1051" i="2"/>
  <c r="AG1052" i="2"/>
  <c r="AG1053" i="2"/>
  <c r="AG1054" i="2"/>
  <c r="AG1055" i="2"/>
  <c r="AG1056" i="2"/>
  <c r="AG1057" i="2"/>
  <c r="AG1058" i="2"/>
  <c r="AG105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1072" i="2"/>
  <c r="AG1073" i="2"/>
  <c r="AG1074" i="2"/>
  <c r="AG1075" i="2"/>
  <c r="AG1076" i="2"/>
  <c r="AG1077" i="2"/>
  <c r="AG1078" i="2"/>
  <c r="AG1079" i="2"/>
  <c r="AG1080" i="2"/>
  <c r="AG1081" i="2"/>
  <c r="AG1082" i="2"/>
  <c r="AG1083" i="2"/>
  <c r="AG1084" i="2"/>
  <c r="AG1085" i="2"/>
  <c r="AG1086" i="2"/>
  <c r="AG1087" i="2"/>
  <c r="AG1088" i="2"/>
  <c r="AG1089" i="2"/>
  <c r="AG1090" i="2"/>
  <c r="AG1091" i="2"/>
  <c r="AG1092" i="2"/>
  <c r="AG1093" i="2"/>
  <c r="AG1094" i="2"/>
  <c r="AG1095" i="2"/>
  <c r="AG1096" i="2"/>
  <c r="AG1097" i="2"/>
  <c r="AG1098" i="2"/>
  <c r="AG1099" i="2"/>
  <c r="AG1100" i="2"/>
  <c r="AG1101" i="2"/>
  <c r="AG1102" i="2"/>
  <c r="AG1103" i="2"/>
  <c r="AG1104" i="2"/>
  <c r="AG1105" i="2"/>
  <c r="AG1106" i="2"/>
  <c r="AG1107" i="2"/>
  <c r="AG1108" i="2"/>
  <c r="AG1109" i="2"/>
  <c r="AG1110" i="2"/>
  <c r="AG1111" i="2"/>
  <c r="AG1112" i="2"/>
  <c r="AG1113" i="2"/>
  <c r="AG1114" i="2"/>
  <c r="AG1115" i="2"/>
  <c r="AG1116" i="2"/>
  <c r="AG1117" i="2"/>
  <c r="AG1118" i="2"/>
  <c r="AG1119" i="2"/>
  <c r="AG1120" i="2"/>
  <c r="AG1121" i="2"/>
  <c r="AG1122" i="2"/>
  <c r="AG1123" i="2"/>
  <c r="AG1124" i="2"/>
  <c r="AG1125" i="2"/>
  <c r="AG1126" i="2"/>
  <c r="AG1127" i="2"/>
  <c r="AG1128" i="2"/>
  <c r="AG1129" i="2"/>
  <c r="AG1130" i="2"/>
  <c r="AG1131" i="2"/>
  <c r="AG1132" i="2"/>
  <c r="AG1133" i="2"/>
  <c r="AG1134" i="2"/>
  <c r="AG1135" i="2"/>
  <c r="AG1136" i="2"/>
  <c r="AG1137" i="2"/>
  <c r="AG1138" i="2"/>
  <c r="AG1139" i="2"/>
  <c r="AG1140" i="2"/>
  <c r="AG1141" i="2"/>
  <c r="AG1142" i="2"/>
  <c r="AG1143" i="2"/>
  <c r="AG1144" i="2"/>
  <c r="AG1145" i="2"/>
  <c r="AG1146" i="2"/>
  <c r="AG1147" i="2"/>
  <c r="AG1148" i="2"/>
  <c r="AG1149" i="2"/>
  <c r="AG1150" i="2"/>
  <c r="AG1151" i="2"/>
  <c r="AG1152" i="2"/>
  <c r="AG1153" i="2"/>
  <c r="AG1154" i="2"/>
  <c r="AG1155" i="2"/>
  <c r="AG1156" i="2"/>
  <c r="AG1157" i="2"/>
  <c r="AG1158" i="2"/>
  <c r="AG1159" i="2"/>
  <c r="AG1160" i="2"/>
  <c r="AG1161" i="2"/>
  <c r="AG1162" i="2"/>
  <c r="AG1163" i="2"/>
  <c r="AG1164" i="2"/>
  <c r="AG1165" i="2"/>
  <c r="AG1166" i="2"/>
  <c r="AG1167" i="2"/>
  <c r="AG1168" i="2"/>
  <c r="AG1169" i="2"/>
  <c r="AG1170" i="2"/>
  <c r="AG1171" i="2"/>
  <c r="AG1172" i="2"/>
  <c r="AG1173" i="2"/>
  <c r="AG1174" i="2"/>
  <c r="AG1175" i="2"/>
  <c r="AG1176" i="2"/>
  <c r="AG1177" i="2"/>
  <c r="AG1178" i="2"/>
  <c r="AG1179" i="2"/>
  <c r="AG1180" i="2"/>
  <c r="AG1181" i="2"/>
  <c r="AG1182" i="2"/>
  <c r="AG1183" i="2"/>
  <c r="AG1184" i="2"/>
  <c r="AG1185" i="2"/>
  <c r="AG1186" i="2"/>
  <c r="AG1187" i="2"/>
  <c r="AG1188" i="2"/>
  <c r="AG1189" i="2"/>
  <c r="AG1190" i="2"/>
  <c r="AG1191" i="2"/>
  <c r="AG1192" i="2"/>
  <c r="AG1193" i="2"/>
  <c r="AG1194" i="2"/>
  <c r="AG1195" i="2"/>
  <c r="AG1196" i="2"/>
  <c r="AG1197" i="2"/>
  <c r="AG1198" i="2"/>
  <c r="AG1199" i="2"/>
  <c r="AG1200" i="2"/>
  <c r="AG1201" i="2"/>
  <c r="AG1202" i="2"/>
  <c r="AG1203" i="2"/>
  <c r="AG1204" i="2"/>
  <c r="AG1205" i="2"/>
  <c r="AG1206" i="2"/>
  <c r="AG1207" i="2"/>
  <c r="AG1208" i="2"/>
  <c r="AG1209" i="2"/>
  <c r="AG1210" i="2"/>
  <c r="AG1211" i="2"/>
  <c r="AG1212" i="2"/>
  <c r="AG1213" i="2"/>
  <c r="AG1214" i="2"/>
  <c r="AG1215" i="2"/>
  <c r="AG1216" i="2"/>
  <c r="AG1217" i="2"/>
  <c r="AG1218" i="2"/>
  <c r="AG1219" i="2"/>
  <c r="AG1220" i="2"/>
  <c r="AG1221" i="2"/>
  <c r="AG1222" i="2"/>
  <c r="AG1223" i="2"/>
  <c r="AG1224" i="2"/>
  <c r="AG1225" i="2"/>
  <c r="AG1226" i="2"/>
  <c r="AG1227" i="2"/>
  <c r="AG1228" i="2"/>
  <c r="AG1229" i="2"/>
  <c r="AG1230" i="2"/>
  <c r="AG1231" i="2"/>
  <c r="AG1232" i="2"/>
  <c r="AG1233" i="2"/>
  <c r="AG1234" i="2"/>
  <c r="AG1235" i="2"/>
  <c r="AG1236" i="2"/>
  <c r="AG1237" i="2"/>
  <c r="AG1238" i="2"/>
  <c r="AG1239" i="2"/>
  <c r="AG1240" i="2"/>
  <c r="AG1241" i="2"/>
  <c r="AG1242" i="2"/>
  <c r="AG1243" i="2"/>
  <c r="AG1244" i="2"/>
  <c r="AG1245" i="2"/>
  <c r="AG1246" i="2"/>
  <c r="AG1247" i="2"/>
  <c r="AG1248" i="2"/>
  <c r="AG1249" i="2"/>
  <c r="AG1250" i="2"/>
  <c r="AG1251" i="2"/>
  <c r="AG1252" i="2"/>
  <c r="AG1253" i="2"/>
  <c r="AG1254" i="2"/>
  <c r="AG1255" i="2"/>
  <c r="AG1256" i="2"/>
  <c r="AG1257" i="2"/>
  <c r="AG1258" i="2"/>
  <c r="AG1259" i="2"/>
  <c r="AG1260" i="2"/>
  <c r="AG1261" i="2"/>
  <c r="AG1262" i="2"/>
  <c r="AG1263" i="2"/>
  <c r="AG1264" i="2"/>
  <c r="AG1265" i="2"/>
  <c r="AG1266" i="2"/>
  <c r="AG1267" i="2"/>
  <c r="AG1268" i="2"/>
  <c r="AG1269" i="2"/>
  <c r="AG1270" i="2"/>
  <c r="AG1271" i="2"/>
  <c r="AG1272" i="2"/>
  <c r="AG1273" i="2"/>
  <c r="AG1274" i="2"/>
  <c r="AG1275" i="2"/>
  <c r="AG1276" i="2"/>
  <c r="AG1277" i="2"/>
  <c r="AG1278" i="2"/>
  <c r="AG1279" i="2"/>
  <c r="AG1280" i="2"/>
  <c r="AG1281" i="2"/>
  <c r="AG1282" i="2"/>
  <c r="AG1283" i="2"/>
  <c r="AG1284" i="2"/>
  <c r="AG1285" i="2"/>
  <c r="AG1286" i="2"/>
  <c r="AG1287" i="2"/>
  <c r="AG1288" i="2"/>
  <c r="AG1289" i="2"/>
  <c r="AG1290" i="2"/>
  <c r="AG1291" i="2"/>
  <c r="AG1292" i="2"/>
  <c r="AG1293" i="2"/>
  <c r="AG1294" i="2"/>
  <c r="AG1295" i="2"/>
  <c r="AG1296" i="2"/>
  <c r="AG1297" i="2"/>
  <c r="AG1298" i="2"/>
  <c r="AG1299" i="2"/>
  <c r="AG1300" i="2"/>
  <c r="AG1301" i="2"/>
  <c r="AG1302" i="2"/>
  <c r="AG1303" i="2"/>
  <c r="AG1304" i="2"/>
  <c r="AG1305" i="2"/>
  <c r="AG1306" i="2"/>
  <c r="AG1307" i="2"/>
  <c r="AG1308" i="2"/>
  <c r="AG1309" i="2"/>
  <c r="AG1310" i="2"/>
  <c r="AG1311" i="2"/>
  <c r="AG1312" i="2"/>
  <c r="AG1313" i="2"/>
  <c r="AG1314" i="2"/>
  <c r="AG1315" i="2"/>
  <c r="AG1316" i="2"/>
  <c r="AG1317" i="2"/>
  <c r="AG1318" i="2"/>
  <c r="AG1319" i="2"/>
  <c r="AG1320" i="2"/>
  <c r="AG1321" i="2"/>
  <c r="AG1322" i="2"/>
  <c r="AG1323" i="2"/>
  <c r="AG1324" i="2"/>
  <c r="AG1325" i="2"/>
  <c r="AG1326" i="2"/>
  <c r="AG1327" i="2"/>
  <c r="AG1328" i="2"/>
  <c r="AG1329" i="2"/>
  <c r="AG1330" i="2"/>
  <c r="AG1331" i="2"/>
  <c r="AG1332" i="2"/>
  <c r="AG1333" i="2"/>
  <c r="AG1334" i="2"/>
  <c r="AG1335" i="2"/>
  <c r="AG1336" i="2"/>
  <c r="AG1337" i="2"/>
  <c r="AG1338" i="2"/>
  <c r="AG1339" i="2"/>
  <c r="AG1340" i="2"/>
  <c r="AG1341" i="2"/>
  <c r="AG1342" i="2"/>
  <c r="AG1343" i="2"/>
  <c r="AG1344" i="2"/>
  <c r="AG1345" i="2"/>
  <c r="AG1346" i="2"/>
  <c r="AG1347" i="2"/>
  <c r="AG1348" i="2"/>
  <c r="AG1349" i="2"/>
  <c r="AG1350" i="2"/>
  <c r="AG1351" i="2"/>
  <c r="AG1352" i="2"/>
  <c r="AG1353" i="2"/>
  <c r="AG1354" i="2"/>
  <c r="AG1355" i="2"/>
  <c r="AG1356" i="2"/>
  <c r="AG1357" i="2"/>
  <c r="AG1358" i="2"/>
  <c r="AG1359" i="2"/>
  <c r="AG1360" i="2"/>
  <c r="AG1361" i="2"/>
  <c r="AG1362" i="2"/>
  <c r="AG1363" i="2"/>
  <c r="AG1364" i="2"/>
  <c r="AG1365" i="2"/>
  <c r="AG1366" i="2"/>
  <c r="AG1367" i="2"/>
  <c r="AG1368" i="2"/>
  <c r="AG1369" i="2"/>
  <c r="AG1370" i="2"/>
  <c r="AG1371" i="2"/>
  <c r="AG1372" i="2"/>
  <c r="AG1373" i="2"/>
  <c r="AG1374" i="2"/>
  <c r="AG1375" i="2"/>
  <c r="AG1376" i="2"/>
  <c r="AG1377" i="2"/>
  <c r="AG1378" i="2"/>
  <c r="AG1379" i="2"/>
  <c r="AG1380" i="2"/>
  <c r="AG1381" i="2"/>
  <c r="AG1382" i="2"/>
  <c r="AG1383" i="2"/>
  <c r="AG1384" i="2"/>
  <c r="AG1385" i="2"/>
  <c r="AG1386" i="2"/>
  <c r="AG1387" i="2"/>
  <c r="AG1388" i="2"/>
  <c r="AG1389" i="2"/>
  <c r="AG1390" i="2"/>
  <c r="AG1391" i="2"/>
  <c r="AG1392" i="2"/>
  <c r="AG1393" i="2"/>
  <c r="AG1394" i="2"/>
  <c r="AG1395" i="2"/>
  <c r="AG1396" i="2"/>
  <c r="AG1397" i="2"/>
  <c r="AG1398" i="2"/>
  <c r="AG1399" i="2"/>
  <c r="AG1400" i="2"/>
  <c r="AG1401" i="2"/>
  <c r="AG1402" i="2"/>
  <c r="AG1403" i="2"/>
  <c r="AG1404" i="2"/>
  <c r="AG1405" i="2"/>
  <c r="AG1406" i="2"/>
  <c r="AG1407" i="2"/>
  <c r="AG1408" i="2"/>
  <c r="AG1409" i="2"/>
  <c r="AG1410" i="2"/>
  <c r="AG1411" i="2"/>
  <c r="AG1412" i="2"/>
  <c r="AG1413" i="2"/>
  <c r="AG1414" i="2"/>
  <c r="AG1415" i="2"/>
  <c r="AG1416" i="2"/>
  <c r="AG1417" i="2"/>
  <c r="AG1418" i="2"/>
  <c r="AG1419" i="2"/>
  <c r="AG1420" i="2"/>
  <c r="AG1421" i="2"/>
  <c r="AG1422" i="2"/>
  <c r="AG1423" i="2"/>
  <c r="AG1424" i="2"/>
  <c r="AG1425" i="2"/>
  <c r="AG1426" i="2"/>
  <c r="AG1427" i="2"/>
  <c r="AG1428" i="2"/>
  <c r="AG1429" i="2"/>
  <c r="AG1430" i="2"/>
  <c r="AG1431" i="2"/>
  <c r="AG1432" i="2"/>
  <c r="AG1433" i="2"/>
  <c r="AG1434" i="2"/>
  <c r="AG1435" i="2"/>
  <c r="AG1436" i="2"/>
  <c r="AG1437" i="2"/>
  <c r="AG1438" i="2"/>
  <c r="AG1439" i="2"/>
  <c r="AG1440" i="2"/>
  <c r="AG1441" i="2"/>
  <c r="AG1442" i="2"/>
  <c r="AG1443" i="2"/>
  <c r="AG1444" i="2"/>
  <c r="AG1445" i="2"/>
  <c r="AG1446" i="2"/>
  <c r="AG1447" i="2"/>
  <c r="AG1448" i="2"/>
  <c r="AG1449" i="2"/>
  <c r="AG1450" i="2"/>
  <c r="AG1451" i="2"/>
  <c r="AG1452" i="2"/>
  <c r="AG1453" i="2"/>
  <c r="AG1454" i="2"/>
  <c r="AG1455" i="2"/>
  <c r="AG1456" i="2"/>
  <c r="AG1457" i="2"/>
  <c r="AG1458" i="2"/>
  <c r="AG1459" i="2"/>
  <c r="AG1460" i="2"/>
  <c r="AG1461" i="2"/>
  <c r="AG1462" i="2"/>
  <c r="AG1463" i="2"/>
  <c r="AG1464" i="2"/>
  <c r="AG1465" i="2"/>
  <c r="AG1466" i="2"/>
  <c r="AG1467" i="2"/>
  <c r="AG1468" i="2"/>
  <c r="AG1469" i="2"/>
  <c r="AG1470" i="2"/>
  <c r="AG1471" i="2"/>
  <c r="AG1472" i="2"/>
  <c r="AG1473" i="2"/>
  <c r="AG1474" i="2"/>
  <c r="AG1475" i="2"/>
  <c r="AG1476" i="2"/>
  <c r="AG1477" i="2"/>
  <c r="AG1478" i="2"/>
  <c r="AG1479" i="2"/>
  <c r="AG1480" i="2"/>
  <c r="AG1481" i="2"/>
  <c r="AG1482" i="2"/>
  <c r="AG1483" i="2"/>
  <c r="AG1484" i="2"/>
  <c r="AG1485" i="2"/>
  <c r="AG1486" i="2"/>
  <c r="AG1487" i="2"/>
  <c r="AG1488" i="2"/>
  <c r="AG1489" i="2"/>
  <c r="AG1490" i="2"/>
  <c r="AG1491" i="2"/>
  <c r="AG1492" i="2"/>
  <c r="AG1493" i="2"/>
  <c r="AG1494" i="2"/>
  <c r="AG1495" i="2"/>
  <c r="AG1496" i="2"/>
  <c r="AG1497" i="2"/>
  <c r="AG1498" i="2"/>
  <c r="AG1499" i="2"/>
  <c r="AG1500" i="2"/>
  <c r="AG1501" i="2"/>
  <c r="AG1502" i="2"/>
  <c r="AG1503" i="2"/>
  <c r="AG1504" i="2"/>
  <c r="AG1505" i="2"/>
  <c r="AG1506" i="2"/>
  <c r="AG1507" i="2"/>
  <c r="AG1508" i="2"/>
  <c r="AG1509" i="2"/>
  <c r="AG1510" i="2"/>
  <c r="AG1511" i="2"/>
  <c r="AG1512" i="2"/>
  <c r="AG1513" i="2"/>
  <c r="AG1514" i="2"/>
  <c r="AG1515" i="2"/>
  <c r="AG1516" i="2"/>
  <c r="AG1517" i="2"/>
  <c r="AG1518" i="2"/>
  <c r="AG1519" i="2"/>
  <c r="AG1520" i="2"/>
  <c r="AG1521" i="2"/>
  <c r="AG1522" i="2"/>
  <c r="AG1523" i="2"/>
  <c r="AG1524" i="2"/>
  <c r="AG1525" i="2"/>
  <c r="AG1526" i="2"/>
  <c r="AG1527" i="2"/>
  <c r="AG1528" i="2"/>
  <c r="AG1529" i="2"/>
  <c r="AG1530" i="2"/>
  <c r="AG1531" i="2"/>
  <c r="AG1532" i="2"/>
  <c r="AG1533" i="2"/>
  <c r="AG1534" i="2"/>
  <c r="AG1535" i="2"/>
  <c r="AG1536" i="2"/>
  <c r="AG1537" i="2"/>
  <c r="AG1538" i="2"/>
  <c r="AG1539" i="2"/>
  <c r="AG1540" i="2"/>
  <c r="AG1541" i="2"/>
  <c r="AG1542" i="2"/>
  <c r="AG1543" i="2"/>
  <c r="AG1544" i="2"/>
  <c r="AG1545" i="2"/>
  <c r="AG1546" i="2"/>
  <c r="AG1547" i="2"/>
  <c r="AG1548" i="2"/>
  <c r="AG1549" i="2"/>
  <c r="AG1550" i="2"/>
  <c r="AG1551" i="2"/>
  <c r="AG1552" i="2"/>
  <c r="AG1553" i="2"/>
  <c r="AG1554" i="2"/>
  <c r="AG1555" i="2"/>
  <c r="AG1556" i="2"/>
  <c r="AG1557" i="2"/>
  <c r="AG1558" i="2"/>
  <c r="AG1559" i="2"/>
  <c r="AG1560" i="2"/>
  <c r="AG1561" i="2"/>
  <c r="AG1562" i="2"/>
  <c r="AG1563" i="2"/>
  <c r="AG1564" i="2"/>
  <c r="AG1565" i="2"/>
  <c r="AG1566" i="2"/>
  <c r="AG1567" i="2"/>
  <c r="AG1568" i="2"/>
  <c r="AG1569" i="2"/>
  <c r="AG1570" i="2"/>
  <c r="AG1571" i="2"/>
  <c r="AG1572" i="2"/>
  <c r="AG1573" i="2"/>
  <c r="AG1574" i="2"/>
  <c r="AG1575" i="2"/>
  <c r="AG1576" i="2"/>
  <c r="AG1577" i="2"/>
  <c r="AG1578" i="2"/>
  <c r="AG1579" i="2"/>
  <c r="AG1580" i="2"/>
  <c r="AG1581" i="2"/>
  <c r="AG1582" i="2"/>
  <c r="AG1583" i="2"/>
  <c r="AG1584" i="2"/>
  <c r="AG1585" i="2"/>
  <c r="AG1586" i="2"/>
  <c r="AG1587" i="2"/>
  <c r="AG1588" i="2"/>
  <c r="AG1589" i="2"/>
  <c r="AG1590" i="2"/>
  <c r="AG1591" i="2"/>
  <c r="AG1592" i="2"/>
  <c r="AG1593" i="2"/>
  <c r="AG1594" i="2"/>
  <c r="AG1595" i="2"/>
  <c r="AG1596" i="2"/>
  <c r="AG1597" i="2"/>
  <c r="AG1598" i="2"/>
  <c r="AG1599" i="2"/>
  <c r="AG1600" i="2"/>
  <c r="AG1601" i="2"/>
  <c r="AG1602" i="2"/>
  <c r="AG1603" i="2"/>
  <c r="AG1604" i="2"/>
  <c r="AG1605" i="2"/>
  <c r="AG1606" i="2"/>
  <c r="AG1607" i="2"/>
  <c r="AG1608" i="2"/>
  <c r="AG1609" i="2"/>
  <c r="AG1610" i="2"/>
  <c r="AG1611" i="2"/>
  <c r="AG1612" i="2"/>
  <c r="AG1613" i="2"/>
  <c r="AG1614" i="2"/>
  <c r="AG1615" i="2"/>
  <c r="AG1616" i="2"/>
  <c r="AG1617" i="2"/>
  <c r="AG1618" i="2"/>
  <c r="AG1619" i="2"/>
  <c r="AG1620" i="2"/>
  <c r="AG1621" i="2"/>
  <c r="AG1622" i="2"/>
  <c r="AG1623" i="2"/>
  <c r="AG1624" i="2"/>
  <c r="AG1625" i="2"/>
  <c r="AG1626" i="2"/>
  <c r="AG1627" i="2"/>
  <c r="AG1628" i="2"/>
  <c r="AG1629" i="2"/>
  <c r="AG1630" i="2"/>
  <c r="AG1631" i="2"/>
  <c r="AG1632" i="2"/>
  <c r="AG1633" i="2"/>
  <c r="AG1634" i="2"/>
  <c r="AG1635" i="2"/>
  <c r="AG1636" i="2"/>
  <c r="AG1637" i="2"/>
  <c r="AG1638" i="2"/>
  <c r="AG1639" i="2"/>
  <c r="AG1640" i="2"/>
  <c r="AG1641" i="2"/>
  <c r="AG1642" i="2"/>
  <c r="AG1643" i="2"/>
  <c r="AG1644" i="2"/>
  <c r="AG1645" i="2"/>
  <c r="AG1646" i="2"/>
  <c r="AG1647" i="2"/>
  <c r="AG1648" i="2"/>
  <c r="AG1649" i="2"/>
  <c r="AG1650" i="2"/>
  <c r="AG1651" i="2"/>
  <c r="AG1652" i="2"/>
  <c r="AG1653" i="2"/>
  <c r="AG1654" i="2"/>
  <c r="AG1655" i="2"/>
  <c r="AG1656" i="2"/>
  <c r="AG1657" i="2"/>
  <c r="AG1658" i="2"/>
  <c r="AG1659" i="2"/>
  <c r="AG1660" i="2"/>
  <c r="AG1661" i="2"/>
  <c r="AG1662" i="2"/>
  <c r="AG1663" i="2"/>
  <c r="AG1664" i="2"/>
  <c r="AG1665" i="2"/>
  <c r="AG1666" i="2"/>
  <c r="AG1667" i="2"/>
  <c r="AG1668" i="2"/>
  <c r="AG1669" i="2"/>
  <c r="AG1670" i="2"/>
  <c r="AG1671" i="2"/>
  <c r="AG1672" i="2"/>
  <c r="AG1673" i="2"/>
  <c r="AG1674" i="2"/>
  <c r="AG1675" i="2"/>
  <c r="AG1676" i="2"/>
  <c r="AG1677" i="2"/>
  <c r="AG1678" i="2"/>
  <c r="AG1679" i="2"/>
  <c r="AG1680" i="2"/>
  <c r="AG1681" i="2"/>
  <c r="AG1682" i="2"/>
  <c r="AG1683" i="2"/>
  <c r="AG1684" i="2"/>
  <c r="AG1685" i="2"/>
  <c r="AG1686" i="2"/>
  <c r="AG1687" i="2"/>
  <c r="AG1688" i="2"/>
  <c r="AG1689" i="2"/>
  <c r="AG1690" i="2"/>
  <c r="AG1691" i="2"/>
  <c r="AG1692" i="2"/>
  <c r="AG1693" i="2"/>
  <c r="AG1694" i="2"/>
  <c r="AG1695" i="2"/>
  <c r="AG1696" i="2"/>
  <c r="AG1697" i="2"/>
  <c r="AG1698" i="2"/>
  <c r="AG1699" i="2"/>
  <c r="AG1700" i="2"/>
  <c r="AG1701" i="2"/>
  <c r="AG1702" i="2"/>
  <c r="AG1703" i="2"/>
  <c r="AG1704" i="2"/>
  <c r="AG1705" i="2"/>
  <c r="AG1706" i="2"/>
  <c r="AG1707" i="2"/>
  <c r="AG1708" i="2"/>
  <c r="AG1709" i="2"/>
  <c r="AG1710" i="2"/>
  <c r="AG1711" i="2"/>
  <c r="AG1712" i="2"/>
  <c r="AG1713" i="2"/>
  <c r="AG1714" i="2"/>
  <c r="AG1715" i="2"/>
  <c r="AG1716" i="2"/>
  <c r="AG1717" i="2"/>
  <c r="AG1718" i="2"/>
  <c r="AG1719" i="2"/>
  <c r="AG1720" i="2"/>
  <c r="AG1721" i="2"/>
  <c r="AG1722" i="2"/>
  <c r="AG1723" i="2"/>
  <c r="AG1724" i="2"/>
  <c r="AG1725" i="2"/>
  <c r="AG1726" i="2"/>
  <c r="AG1727" i="2"/>
  <c r="AG1728" i="2"/>
  <c r="AG1729" i="2"/>
  <c r="AG1730" i="2"/>
  <c r="AG1731" i="2"/>
  <c r="AG1732" i="2"/>
  <c r="AG1733" i="2"/>
  <c r="AG1734" i="2"/>
  <c r="AG1735" i="2"/>
  <c r="AG1736" i="2"/>
  <c r="AG1737" i="2"/>
  <c r="AG1738" i="2"/>
  <c r="AG1739" i="2"/>
  <c r="AG1740" i="2"/>
  <c r="AG1741" i="2"/>
  <c r="AG1742" i="2"/>
  <c r="AG1743" i="2"/>
  <c r="AG1744" i="2"/>
  <c r="AG1745" i="2"/>
  <c r="AG1746" i="2"/>
  <c r="AG1747" i="2"/>
  <c r="AG1748" i="2"/>
  <c r="AG1749" i="2"/>
  <c r="AG1750" i="2"/>
  <c r="AG1751" i="2"/>
  <c r="AG1752" i="2"/>
  <c r="AG1753" i="2"/>
  <c r="AG1754" i="2"/>
  <c r="AG1755" i="2"/>
  <c r="AG1756" i="2"/>
  <c r="AG1757" i="2"/>
  <c r="AG1758" i="2"/>
  <c r="AG1759" i="2"/>
  <c r="AG1760" i="2"/>
  <c r="AG1761" i="2"/>
  <c r="AG1762" i="2"/>
  <c r="AG1763" i="2"/>
  <c r="AG1764" i="2"/>
  <c r="AG1765" i="2"/>
  <c r="AG1766" i="2"/>
  <c r="AG1767" i="2"/>
  <c r="AG1768" i="2"/>
  <c r="AG1769" i="2"/>
  <c r="AG1770" i="2"/>
  <c r="AG1771" i="2"/>
  <c r="AG1772" i="2"/>
  <c r="AG1773" i="2"/>
  <c r="AG1774" i="2"/>
  <c r="AG1775" i="2"/>
  <c r="AG1776" i="2"/>
  <c r="AG1777" i="2"/>
  <c r="AG1778" i="2"/>
  <c r="AG1779" i="2"/>
  <c r="AG1780" i="2"/>
  <c r="AG1781" i="2"/>
  <c r="AG1782" i="2"/>
  <c r="AG1783" i="2"/>
  <c r="AG1784" i="2"/>
  <c r="AG1785" i="2"/>
  <c r="AG1786" i="2"/>
  <c r="AG1787" i="2"/>
  <c r="AG1788" i="2"/>
  <c r="AG1789" i="2"/>
  <c r="AG1790" i="2"/>
  <c r="AG1791" i="2"/>
  <c r="AG1792" i="2"/>
  <c r="AG1793" i="2"/>
  <c r="AG1794" i="2"/>
  <c r="AG1795" i="2"/>
  <c r="AG1796" i="2"/>
  <c r="AG1797" i="2"/>
  <c r="AG1798" i="2"/>
  <c r="AG1799" i="2"/>
  <c r="AG1800" i="2"/>
  <c r="AG1801" i="2"/>
  <c r="AG1802" i="2"/>
  <c r="AG1803" i="2"/>
  <c r="AG1804" i="2"/>
  <c r="AG1805" i="2"/>
  <c r="AG1806" i="2"/>
  <c r="AG1807" i="2"/>
  <c r="AG1808" i="2"/>
  <c r="AG1809" i="2"/>
  <c r="AG1810" i="2"/>
  <c r="AG1811" i="2"/>
  <c r="AG1812" i="2"/>
  <c r="AG1813" i="2"/>
  <c r="AG1814" i="2"/>
  <c r="AG1815" i="2"/>
  <c r="AG1816" i="2"/>
  <c r="AG1817" i="2"/>
  <c r="AG1818" i="2"/>
  <c r="AG1819" i="2"/>
  <c r="AG1820" i="2"/>
  <c r="AG1821" i="2"/>
  <c r="AG1822" i="2"/>
  <c r="AG1823" i="2"/>
  <c r="AG1824" i="2"/>
  <c r="AG1825" i="2"/>
  <c r="AG1826" i="2"/>
  <c r="AG1827" i="2"/>
  <c r="AG1828" i="2"/>
  <c r="AG1829" i="2"/>
  <c r="AG1830" i="2"/>
  <c r="AG1831" i="2"/>
  <c r="AG1832" i="2"/>
  <c r="AG1833" i="2"/>
  <c r="AG1834" i="2"/>
  <c r="AG1835" i="2"/>
  <c r="AG1836" i="2"/>
  <c r="AG1837" i="2"/>
  <c r="AG1838" i="2"/>
  <c r="AG1839" i="2"/>
  <c r="AG1840" i="2"/>
  <c r="AG1841" i="2"/>
  <c r="AG1842" i="2"/>
  <c r="AG1843" i="2"/>
  <c r="AG1844" i="2"/>
  <c r="AG1845" i="2"/>
  <c r="AG1846" i="2"/>
  <c r="AG1847" i="2"/>
  <c r="AG1848" i="2"/>
  <c r="AG1849" i="2"/>
  <c r="AG1850" i="2"/>
  <c r="AG1851" i="2"/>
  <c r="AG1852" i="2"/>
  <c r="AG1853" i="2"/>
  <c r="AG1854" i="2"/>
  <c r="AG1855" i="2"/>
  <c r="AG1856" i="2"/>
  <c r="AG1857" i="2"/>
  <c r="AG1858" i="2"/>
  <c r="AG1859" i="2"/>
  <c r="AG1860" i="2"/>
  <c r="AG1861" i="2"/>
  <c r="AG1862" i="2"/>
  <c r="AG1863" i="2"/>
  <c r="AG1864" i="2"/>
  <c r="AG1865" i="2"/>
  <c r="AG1866" i="2"/>
  <c r="AG1867" i="2"/>
  <c r="AG1868" i="2"/>
  <c r="AG1869" i="2"/>
  <c r="AG1870" i="2"/>
  <c r="AG1871" i="2"/>
  <c r="AG1872" i="2"/>
  <c r="AG1873" i="2"/>
  <c r="AG1874" i="2"/>
  <c r="AG1875" i="2"/>
  <c r="AG1876" i="2"/>
  <c r="AG1877" i="2"/>
  <c r="AG1878" i="2"/>
  <c r="AG1879" i="2"/>
  <c r="AG1880" i="2"/>
  <c r="AG1881" i="2"/>
  <c r="AG1882" i="2"/>
  <c r="AG1883" i="2"/>
  <c r="AG1884" i="2"/>
  <c r="AG1885" i="2"/>
  <c r="AG1886" i="2"/>
  <c r="AG1887" i="2"/>
  <c r="AG1888" i="2"/>
  <c r="AG1889" i="2"/>
  <c r="AG1890" i="2"/>
  <c r="AG1891" i="2"/>
  <c r="AG1892" i="2"/>
  <c r="AG1893" i="2"/>
  <c r="AG1894" i="2"/>
  <c r="AG1895" i="2"/>
  <c r="AG1896" i="2"/>
  <c r="AG1897" i="2"/>
  <c r="AG1898" i="2"/>
  <c r="AG1899" i="2"/>
  <c r="AG1900" i="2"/>
  <c r="AG1901" i="2"/>
  <c r="AG1902" i="2"/>
  <c r="AG1903" i="2"/>
  <c r="AG1904" i="2"/>
  <c r="AG1905" i="2"/>
  <c r="AG1906" i="2"/>
  <c r="AG1907" i="2"/>
  <c r="AG1908" i="2"/>
  <c r="AG1909" i="2"/>
  <c r="AG1910" i="2"/>
  <c r="AG1911" i="2"/>
  <c r="AG1912" i="2"/>
  <c r="AG1913" i="2"/>
  <c r="AG1914" i="2"/>
  <c r="AG1915" i="2"/>
  <c r="AG1916" i="2"/>
  <c r="AG1917" i="2"/>
  <c r="AG1918" i="2"/>
  <c r="AG1919" i="2"/>
  <c r="AG1920" i="2"/>
  <c r="AG1921" i="2"/>
  <c r="AG1922" i="2"/>
  <c r="AG1923" i="2"/>
  <c r="AG1924" i="2"/>
  <c r="AG1925" i="2"/>
  <c r="AG1926" i="2"/>
  <c r="AG1927" i="2"/>
  <c r="AG1928" i="2"/>
  <c r="AG1929" i="2"/>
  <c r="AG1930" i="2"/>
  <c r="AG1931" i="2"/>
  <c r="AG1932" i="2"/>
  <c r="AG1933" i="2"/>
  <c r="AG1934" i="2"/>
  <c r="AG1935" i="2"/>
  <c r="AG1936" i="2"/>
  <c r="AG1937" i="2"/>
  <c r="AG1938" i="2"/>
  <c r="AG1939" i="2"/>
  <c r="AG1940" i="2"/>
  <c r="AG1941" i="2"/>
  <c r="AG1942" i="2"/>
  <c r="AG1943" i="2"/>
  <c r="AG1944" i="2"/>
  <c r="AG1945" i="2"/>
  <c r="AG1946" i="2"/>
  <c r="AG1947" i="2"/>
  <c r="AG1948" i="2"/>
  <c r="AG1949" i="2"/>
  <c r="AG1950" i="2"/>
  <c r="AG1951" i="2"/>
  <c r="AG1952" i="2"/>
  <c r="AG1953" i="2"/>
  <c r="AG1954" i="2"/>
  <c r="AG1955" i="2"/>
  <c r="AG1956" i="2"/>
  <c r="AG1957" i="2"/>
  <c r="AG1958" i="2"/>
  <c r="AG1959" i="2"/>
  <c r="AG1960" i="2"/>
  <c r="AG1961" i="2"/>
  <c r="AG1962" i="2"/>
  <c r="AG1963" i="2"/>
  <c r="AG1964" i="2"/>
  <c r="AG1965" i="2"/>
  <c r="AG1966" i="2"/>
  <c r="AG1967" i="2"/>
  <c r="AG1968" i="2"/>
  <c r="AG1969" i="2"/>
  <c r="AG1970" i="2"/>
  <c r="AG1971" i="2"/>
  <c r="AG1972" i="2"/>
  <c r="AG1973" i="2"/>
  <c r="AG1974" i="2"/>
  <c r="AG1975" i="2"/>
  <c r="AG1976" i="2"/>
  <c r="AG1977" i="2"/>
  <c r="AG1978" i="2"/>
  <c r="AG1979" i="2"/>
  <c r="AG1980" i="2"/>
  <c r="AG1981" i="2"/>
  <c r="AG1982" i="2"/>
  <c r="AG1983" i="2"/>
  <c r="AG1984" i="2"/>
  <c r="AG1985" i="2"/>
  <c r="AG1986" i="2"/>
  <c r="AG1987" i="2"/>
  <c r="AG1988" i="2"/>
  <c r="AG1989" i="2"/>
  <c r="AG1990" i="2"/>
  <c r="AG1991" i="2"/>
  <c r="AG1992" i="2"/>
  <c r="AG1993" i="2"/>
  <c r="AG1994" i="2"/>
  <c r="AG1995" i="2"/>
  <c r="AG1996" i="2"/>
  <c r="AG1997" i="2"/>
  <c r="AG1998" i="2"/>
  <c r="AG1999" i="2"/>
  <c r="AG2000" i="2"/>
  <c r="AG2001" i="2"/>
  <c r="AG2002" i="2"/>
  <c r="AG2003" i="2"/>
  <c r="AG2004" i="2"/>
  <c r="AG2005" i="2"/>
  <c r="AG2006" i="2"/>
  <c r="AG2007" i="2"/>
  <c r="AG2008" i="2"/>
  <c r="AG2009" i="2"/>
  <c r="AG2010" i="2"/>
  <c r="AG2011" i="2"/>
  <c r="AG2012" i="2"/>
  <c r="AG2013" i="2"/>
  <c r="AG2014" i="2"/>
  <c r="AG2015" i="2"/>
  <c r="AG2016" i="2"/>
  <c r="AG2017" i="2"/>
  <c r="AG2018" i="2"/>
  <c r="AG2019" i="2"/>
  <c r="AG2020" i="2"/>
  <c r="AG2021" i="2"/>
  <c r="AG2022" i="2"/>
  <c r="AG2023" i="2"/>
  <c r="AG2024" i="2"/>
  <c r="AG2025" i="2"/>
  <c r="AG2026" i="2"/>
  <c r="AG2027" i="2"/>
  <c r="AG2028" i="2"/>
  <c r="AG2029" i="2"/>
  <c r="AG2030" i="2"/>
  <c r="AG2031" i="2"/>
  <c r="AG2032" i="2"/>
  <c r="AG2033" i="2"/>
  <c r="AG2034" i="2"/>
  <c r="AG2035" i="2"/>
  <c r="AG2036" i="2"/>
  <c r="AG2037" i="2"/>
  <c r="AG2038" i="2"/>
  <c r="AG2039" i="2"/>
  <c r="AG2040" i="2"/>
  <c r="AG2041" i="2"/>
  <c r="AG2042" i="2"/>
  <c r="AG2043" i="2"/>
  <c r="AG2044" i="2"/>
  <c r="AG2045" i="2"/>
  <c r="AG2046" i="2"/>
  <c r="AG2047" i="2"/>
  <c r="AG2048" i="2"/>
  <c r="AG2049" i="2"/>
  <c r="AG2050" i="2"/>
  <c r="AG2051" i="2"/>
  <c r="AG2052" i="2"/>
  <c r="AG2053" i="2"/>
  <c r="AG2054" i="2"/>
  <c r="AG2055" i="2"/>
  <c r="AG2056" i="2"/>
  <c r="AG2057" i="2"/>
  <c r="AG2058" i="2"/>
  <c r="AG2059" i="2"/>
  <c r="AG2060" i="2"/>
  <c r="AG2061" i="2"/>
  <c r="AG2062" i="2"/>
  <c r="AG2063" i="2"/>
  <c r="AG2064" i="2"/>
  <c r="AG2065" i="2"/>
  <c r="AG2066" i="2"/>
  <c r="AG2067" i="2"/>
  <c r="AG2068" i="2"/>
  <c r="AG2069" i="2"/>
  <c r="AG2070" i="2"/>
  <c r="AG2071" i="2"/>
  <c r="AG2072" i="2"/>
  <c r="AG2073" i="2"/>
  <c r="AG2074" i="2"/>
  <c r="AG2075" i="2"/>
  <c r="AG2076" i="2"/>
  <c r="AG2077" i="2"/>
  <c r="AG2078" i="2"/>
  <c r="AG2079" i="2"/>
  <c r="AG2080" i="2"/>
  <c r="AG2081" i="2"/>
  <c r="AG2082" i="2"/>
  <c r="AG2083" i="2"/>
  <c r="AG2084" i="2"/>
  <c r="AG2085" i="2"/>
  <c r="AG2086" i="2"/>
  <c r="AG2087" i="2"/>
  <c r="AG2088" i="2"/>
  <c r="AG2089" i="2"/>
  <c r="AG2090" i="2"/>
  <c r="AG2091" i="2"/>
  <c r="AG2092" i="2"/>
  <c r="AG2093" i="2"/>
  <c r="AG2094" i="2"/>
  <c r="AG2095" i="2"/>
  <c r="AG2096" i="2"/>
  <c r="AG2097" i="2"/>
  <c r="AG2098" i="2"/>
  <c r="AG2099" i="2"/>
  <c r="AG2100" i="2"/>
  <c r="AG2101" i="2"/>
  <c r="AG2102" i="2"/>
  <c r="AG2103" i="2"/>
  <c r="AG2104" i="2"/>
  <c r="AG2105" i="2"/>
  <c r="AG2106" i="2"/>
  <c r="AG2107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H1002" i="2"/>
  <c r="AH1003" i="2"/>
  <c r="AH1004" i="2"/>
  <c r="AH1005" i="2"/>
  <c r="AH1006" i="2"/>
  <c r="AH1007" i="2"/>
  <c r="AH1008" i="2"/>
  <c r="AH1009" i="2"/>
  <c r="AH1010" i="2"/>
  <c r="AH1011" i="2"/>
  <c r="AH1012" i="2"/>
  <c r="AH1013" i="2"/>
  <c r="AH1014" i="2"/>
  <c r="AH1015" i="2"/>
  <c r="AH1016" i="2"/>
  <c r="AH1017" i="2"/>
  <c r="AH1018" i="2"/>
  <c r="AH1019" i="2"/>
  <c r="AH1020" i="2"/>
  <c r="AH1021" i="2"/>
  <c r="AH1022" i="2"/>
  <c r="AH1023" i="2"/>
  <c r="AH1024" i="2"/>
  <c r="AH1025" i="2"/>
  <c r="AH1026" i="2"/>
  <c r="AH1027" i="2"/>
  <c r="AH1028" i="2"/>
  <c r="AH1029" i="2"/>
  <c r="AH1030" i="2"/>
  <c r="AH1031" i="2"/>
  <c r="AH1032" i="2"/>
  <c r="AH1033" i="2"/>
  <c r="AH1034" i="2"/>
  <c r="AH1035" i="2"/>
  <c r="AH1036" i="2"/>
  <c r="AH1037" i="2"/>
  <c r="AH1038" i="2"/>
  <c r="AH1039" i="2"/>
  <c r="AH1040" i="2"/>
  <c r="AH1041" i="2"/>
  <c r="AH1042" i="2"/>
  <c r="AH1043" i="2"/>
  <c r="AH1044" i="2"/>
  <c r="AH1045" i="2"/>
  <c r="AH1046" i="2"/>
  <c r="AH1047" i="2"/>
  <c r="AH1048" i="2"/>
  <c r="AH1049" i="2"/>
  <c r="AH1050" i="2"/>
  <c r="AH1051" i="2"/>
  <c r="AH1052" i="2"/>
  <c r="AH1053" i="2"/>
  <c r="AH1054" i="2"/>
  <c r="AH1055" i="2"/>
  <c r="AH1056" i="2"/>
  <c r="AH1057" i="2"/>
  <c r="AH1058" i="2"/>
  <c r="AH1059" i="2"/>
  <c r="AH1060" i="2"/>
  <c r="AH1061" i="2"/>
  <c r="AH1062" i="2"/>
  <c r="AH1063" i="2"/>
  <c r="AH1064" i="2"/>
  <c r="AH1065" i="2"/>
  <c r="AH1066" i="2"/>
  <c r="AH1067" i="2"/>
  <c r="AH1068" i="2"/>
  <c r="AH1069" i="2"/>
  <c r="AH1070" i="2"/>
  <c r="AH1071" i="2"/>
  <c r="AH1072" i="2"/>
  <c r="AH1073" i="2"/>
  <c r="AH1074" i="2"/>
  <c r="AH1075" i="2"/>
  <c r="AH1076" i="2"/>
  <c r="AH1077" i="2"/>
  <c r="AH1078" i="2"/>
  <c r="AH1079" i="2"/>
  <c r="AH1080" i="2"/>
  <c r="AH1081" i="2"/>
  <c r="AH1082" i="2"/>
  <c r="AH1083" i="2"/>
  <c r="AH1084" i="2"/>
  <c r="AH1085" i="2"/>
  <c r="AH1086" i="2"/>
  <c r="AH1087" i="2"/>
  <c r="AH1088" i="2"/>
  <c r="AH1089" i="2"/>
  <c r="AH1090" i="2"/>
  <c r="AH1091" i="2"/>
  <c r="AH1092" i="2"/>
  <c r="AH1093" i="2"/>
  <c r="AH1094" i="2"/>
  <c r="AH1095" i="2"/>
  <c r="AH1096" i="2"/>
  <c r="AH1097" i="2"/>
  <c r="AH1098" i="2"/>
  <c r="AH1099" i="2"/>
  <c r="AH1100" i="2"/>
  <c r="AH1101" i="2"/>
  <c r="AH1102" i="2"/>
  <c r="AH1103" i="2"/>
  <c r="AH1104" i="2"/>
  <c r="AH1105" i="2"/>
  <c r="AH1106" i="2"/>
  <c r="AH1107" i="2"/>
  <c r="AH1108" i="2"/>
  <c r="AH1109" i="2"/>
  <c r="AH1110" i="2"/>
  <c r="AH1111" i="2"/>
  <c r="AH1112" i="2"/>
  <c r="AH1113" i="2"/>
  <c r="AH1114" i="2"/>
  <c r="AH1115" i="2"/>
  <c r="AH1116" i="2"/>
  <c r="AH1117" i="2"/>
  <c r="AH1118" i="2"/>
  <c r="AH1119" i="2"/>
  <c r="AH1120" i="2"/>
  <c r="AH1121" i="2"/>
  <c r="AH1122" i="2"/>
  <c r="AH1123" i="2"/>
  <c r="AH1124" i="2"/>
  <c r="AH1125" i="2"/>
  <c r="AH1126" i="2"/>
  <c r="AH1127" i="2"/>
  <c r="AH1128" i="2"/>
  <c r="AH1129" i="2"/>
  <c r="AH1130" i="2"/>
  <c r="AH1131" i="2"/>
  <c r="AH1132" i="2"/>
  <c r="AH1133" i="2"/>
  <c r="AH1134" i="2"/>
  <c r="AH1135" i="2"/>
  <c r="AH1136" i="2"/>
  <c r="AH1137" i="2"/>
  <c r="AH1138" i="2"/>
  <c r="AH1139" i="2"/>
  <c r="AH1140" i="2"/>
  <c r="AH1141" i="2"/>
  <c r="AH1142" i="2"/>
  <c r="AH1143" i="2"/>
  <c r="AH1144" i="2"/>
  <c r="AH1145" i="2"/>
  <c r="AH1146" i="2"/>
  <c r="AH1147" i="2"/>
  <c r="AH1148" i="2"/>
  <c r="AH1149" i="2"/>
  <c r="AH1150" i="2"/>
  <c r="AH1151" i="2"/>
  <c r="AH1152" i="2"/>
  <c r="AH1153" i="2"/>
  <c r="AH1154" i="2"/>
  <c r="AH1155" i="2"/>
  <c r="AH1156" i="2"/>
  <c r="AH1157" i="2"/>
  <c r="AH1158" i="2"/>
  <c r="AH1159" i="2"/>
  <c r="AH1160" i="2"/>
  <c r="AH1161" i="2"/>
  <c r="AH1162" i="2"/>
  <c r="AH1163" i="2"/>
  <c r="AH1164" i="2"/>
  <c r="AH1165" i="2"/>
  <c r="AH1166" i="2"/>
  <c r="AH1167" i="2"/>
  <c r="AH1168" i="2"/>
  <c r="AH1169" i="2"/>
  <c r="AH1170" i="2"/>
  <c r="AH1171" i="2"/>
  <c r="AH1172" i="2"/>
  <c r="AH1173" i="2"/>
  <c r="AH1174" i="2"/>
  <c r="AH1175" i="2"/>
  <c r="AH1176" i="2"/>
  <c r="AH1177" i="2"/>
  <c r="AH1178" i="2"/>
  <c r="AH1179" i="2"/>
  <c r="AH1180" i="2"/>
  <c r="AH1181" i="2"/>
  <c r="AH1182" i="2"/>
  <c r="AH1183" i="2"/>
  <c r="AH1184" i="2"/>
  <c r="AH1185" i="2"/>
  <c r="AH1186" i="2"/>
  <c r="AH1187" i="2"/>
  <c r="AH1188" i="2"/>
  <c r="AH1189" i="2"/>
  <c r="AH1190" i="2"/>
  <c r="AH1191" i="2"/>
  <c r="AH1192" i="2"/>
  <c r="AH1193" i="2"/>
  <c r="AH1194" i="2"/>
  <c r="AH1195" i="2"/>
  <c r="AH1196" i="2"/>
  <c r="AH1197" i="2"/>
  <c r="AH1198" i="2"/>
  <c r="AH1199" i="2"/>
  <c r="AH1200" i="2"/>
  <c r="AH1201" i="2"/>
  <c r="AH1202" i="2"/>
  <c r="AH1203" i="2"/>
  <c r="AH1204" i="2"/>
  <c r="AH1205" i="2"/>
  <c r="AH1206" i="2"/>
  <c r="AH1207" i="2"/>
  <c r="AH1208" i="2"/>
  <c r="AH1209" i="2"/>
  <c r="AH1210" i="2"/>
  <c r="AH1211" i="2"/>
  <c r="AH1212" i="2"/>
  <c r="AH1213" i="2"/>
  <c r="AH1214" i="2"/>
  <c r="AH1215" i="2"/>
  <c r="AH1216" i="2"/>
  <c r="AH1217" i="2"/>
  <c r="AH1218" i="2"/>
  <c r="AH1219" i="2"/>
  <c r="AH1220" i="2"/>
  <c r="AH1221" i="2"/>
  <c r="AH1222" i="2"/>
  <c r="AH1223" i="2"/>
  <c r="AH1224" i="2"/>
  <c r="AH1225" i="2"/>
  <c r="AH1226" i="2"/>
  <c r="AH1227" i="2"/>
  <c r="AH1228" i="2"/>
  <c r="AH1229" i="2"/>
  <c r="AH1230" i="2"/>
  <c r="AH1231" i="2"/>
  <c r="AH1232" i="2"/>
  <c r="AH1233" i="2"/>
  <c r="AH1234" i="2"/>
  <c r="AH1235" i="2"/>
  <c r="AH1236" i="2"/>
  <c r="AH1237" i="2"/>
  <c r="AH1238" i="2"/>
  <c r="AH1239" i="2"/>
  <c r="AH1240" i="2"/>
  <c r="AH1241" i="2"/>
  <c r="AH1242" i="2"/>
  <c r="AH1243" i="2"/>
  <c r="AH1244" i="2"/>
  <c r="AH1245" i="2"/>
  <c r="AH1246" i="2"/>
  <c r="AH1247" i="2"/>
  <c r="AH1248" i="2"/>
  <c r="AH1249" i="2"/>
  <c r="AH1250" i="2"/>
  <c r="AH1251" i="2"/>
  <c r="AH1252" i="2"/>
  <c r="AH1253" i="2"/>
  <c r="AH1254" i="2"/>
  <c r="AH1255" i="2"/>
  <c r="AH1256" i="2"/>
  <c r="AH1257" i="2"/>
  <c r="AH1258" i="2"/>
  <c r="AH1259" i="2"/>
  <c r="AH1260" i="2"/>
  <c r="AH1261" i="2"/>
  <c r="AH1262" i="2"/>
  <c r="AH1263" i="2"/>
  <c r="AH1264" i="2"/>
  <c r="AH1265" i="2"/>
  <c r="AH1266" i="2"/>
  <c r="AH1267" i="2"/>
  <c r="AH1268" i="2"/>
  <c r="AH1269" i="2"/>
  <c r="AH1270" i="2"/>
  <c r="AH1271" i="2"/>
  <c r="AH1272" i="2"/>
  <c r="AH1273" i="2"/>
  <c r="AH1274" i="2"/>
  <c r="AH1275" i="2"/>
  <c r="AH1276" i="2"/>
  <c r="AH1277" i="2"/>
  <c r="AH1278" i="2"/>
  <c r="AH1279" i="2"/>
  <c r="AH1280" i="2"/>
  <c r="AH1281" i="2"/>
  <c r="AH1282" i="2"/>
  <c r="AH1283" i="2"/>
  <c r="AH1284" i="2"/>
  <c r="AH1285" i="2"/>
  <c r="AH1286" i="2"/>
  <c r="AH1287" i="2"/>
  <c r="AH1288" i="2"/>
  <c r="AH1289" i="2"/>
  <c r="AH1290" i="2"/>
  <c r="AH1291" i="2"/>
  <c r="AH1292" i="2"/>
  <c r="AH1293" i="2"/>
  <c r="AH1294" i="2"/>
  <c r="AH1295" i="2"/>
  <c r="AH1296" i="2"/>
  <c r="AH1297" i="2"/>
  <c r="AH1298" i="2"/>
  <c r="AH1299" i="2"/>
  <c r="AH1300" i="2"/>
  <c r="AH1301" i="2"/>
  <c r="AH1302" i="2"/>
  <c r="AH1303" i="2"/>
  <c r="AH1304" i="2"/>
  <c r="AH1305" i="2"/>
  <c r="AH1306" i="2"/>
  <c r="AH1307" i="2"/>
  <c r="AH1308" i="2"/>
  <c r="AH1309" i="2"/>
  <c r="AH1310" i="2"/>
  <c r="AH1311" i="2"/>
  <c r="AH1312" i="2"/>
  <c r="AH1313" i="2"/>
  <c r="AH1314" i="2"/>
  <c r="AH1315" i="2"/>
  <c r="AH1316" i="2"/>
  <c r="AH1317" i="2"/>
  <c r="AH1318" i="2"/>
  <c r="AH1319" i="2"/>
  <c r="AH1320" i="2"/>
  <c r="AH1321" i="2"/>
  <c r="AH1322" i="2"/>
  <c r="AH1323" i="2"/>
  <c r="AH1324" i="2"/>
  <c r="AH1325" i="2"/>
  <c r="AH1326" i="2"/>
  <c r="AH1327" i="2"/>
  <c r="AH1328" i="2"/>
  <c r="AH1329" i="2"/>
  <c r="AH1330" i="2"/>
  <c r="AH1331" i="2"/>
  <c r="AH1332" i="2"/>
  <c r="AH1333" i="2"/>
  <c r="AH1334" i="2"/>
  <c r="AH1335" i="2"/>
  <c r="AH1336" i="2"/>
  <c r="AH1337" i="2"/>
  <c r="AH1338" i="2"/>
  <c r="AH1339" i="2"/>
  <c r="AH1340" i="2"/>
  <c r="AH1341" i="2"/>
  <c r="AH1342" i="2"/>
  <c r="AH1343" i="2"/>
  <c r="AH1344" i="2"/>
  <c r="AH1345" i="2"/>
  <c r="AH1346" i="2"/>
  <c r="AH1347" i="2"/>
  <c r="AH1348" i="2"/>
  <c r="AH1349" i="2"/>
  <c r="AH1350" i="2"/>
  <c r="AH1351" i="2"/>
  <c r="AH1352" i="2"/>
  <c r="AH1353" i="2"/>
  <c r="AH1354" i="2"/>
  <c r="AH1355" i="2"/>
  <c r="AH1356" i="2"/>
  <c r="AH1357" i="2"/>
  <c r="AH1358" i="2"/>
  <c r="AH1359" i="2"/>
  <c r="AH1360" i="2"/>
  <c r="AH1361" i="2"/>
  <c r="AH1362" i="2"/>
  <c r="AH1363" i="2"/>
  <c r="AJ1363" i="2" s="1"/>
  <c r="AH1364" i="2"/>
  <c r="AH1365" i="2"/>
  <c r="AH1366" i="2"/>
  <c r="AH1367" i="2"/>
  <c r="AH1368" i="2"/>
  <c r="AH1369" i="2"/>
  <c r="AH1370" i="2"/>
  <c r="AH1371" i="2"/>
  <c r="AH1372" i="2"/>
  <c r="AH1373" i="2"/>
  <c r="AH1374" i="2"/>
  <c r="AH1375" i="2"/>
  <c r="AJ1375" i="2" s="1"/>
  <c r="AH1376" i="2"/>
  <c r="AH1377" i="2"/>
  <c r="AH1378" i="2"/>
  <c r="AH1379" i="2"/>
  <c r="AH1380" i="2"/>
  <c r="AH1381" i="2"/>
  <c r="AH1382" i="2"/>
  <c r="AH1383" i="2"/>
  <c r="AH1384" i="2"/>
  <c r="AH1385" i="2"/>
  <c r="AH1386" i="2"/>
  <c r="AH1387" i="2"/>
  <c r="AJ1387" i="2" s="1"/>
  <c r="AH1388" i="2"/>
  <c r="AH1389" i="2"/>
  <c r="AH1390" i="2"/>
  <c r="AH1391" i="2"/>
  <c r="AH1392" i="2"/>
  <c r="AH1393" i="2"/>
  <c r="AH1394" i="2"/>
  <c r="AH1395" i="2"/>
  <c r="AH1396" i="2"/>
  <c r="AH1397" i="2"/>
  <c r="AH1398" i="2"/>
  <c r="AH1399" i="2"/>
  <c r="AJ1399" i="2" s="1"/>
  <c r="AH1400" i="2"/>
  <c r="AH1401" i="2"/>
  <c r="AH1402" i="2"/>
  <c r="AH1403" i="2"/>
  <c r="AH1404" i="2"/>
  <c r="AH1405" i="2"/>
  <c r="AH1406" i="2"/>
  <c r="AH1407" i="2"/>
  <c r="AH1408" i="2"/>
  <c r="AH1409" i="2"/>
  <c r="AH1410" i="2"/>
  <c r="AH1411" i="2"/>
  <c r="AJ1411" i="2" s="1"/>
  <c r="AH1412" i="2"/>
  <c r="AH1413" i="2"/>
  <c r="AH1414" i="2"/>
  <c r="AH1415" i="2"/>
  <c r="AH1416" i="2"/>
  <c r="AH1417" i="2"/>
  <c r="AH1418" i="2"/>
  <c r="AH1419" i="2"/>
  <c r="AH1420" i="2"/>
  <c r="AH1421" i="2"/>
  <c r="AH1422" i="2"/>
  <c r="AH1423" i="2"/>
  <c r="AJ1423" i="2" s="1"/>
  <c r="AH1424" i="2"/>
  <c r="AH1425" i="2"/>
  <c r="AH1426" i="2"/>
  <c r="AH1427" i="2"/>
  <c r="AH1428" i="2"/>
  <c r="AH1429" i="2"/>
  <c r="AH1430" i="2"/>
  <c r="AH1431" i="2"/>
  <c r="AH1432" i="2"/>
  <c r="AH1433" i="2"/>
  <c r="AH1434" i="2"/>
  <c r="AH1435" i="2"/>
  <c r="AJ1435" i="2" s="1"/>
  <c r="AH1436" i="2"/>
  <c r="AH1437" i="2"/>
  <c r="AH1438" i="2"/>
  <c r="AH1439" i="2"/>
  <c r="AH1440" i="2"/>
  <c r="AH1441" i="2"/>
  <c r="AH1442" i="2"/>
  <c r="AH1443" i="2"/>
  <c r="AH1444" i="2"/>
  <c r="AH1445" i="2"/>
  <c r="AH1446" i="2"/>
  <c r="AH1447" i="2"/>
  <c r="AJ1447" i="2" s="1"/>
  <c r="AH1448" i="2"/>
  <c r="AH1449" i="2"/>
  <c r="AH1450" i="2"/>
  <c r="AH1451" i="2"/>
  <c r="AH1452" i="2"/>
  <c r="AH1453" i="2"/>
  <c r="AH1454" i="2"/>
  <c r="AH1455" i="2"/>
  <c r="AH1456" i="2"/>
  <c r="AH1457" i="2"/>
  <c r="AH1458" i="2"/>
  <c r="AH1459" i="2"/>
  <c r="AJ1459" i="2" s="1"/>
  <c r="AH1460" i="2"/>
  <c r="AH1461" i="2"/>
  <c r="AH1462" i="2"/>
  <c r="AH1463" i="2"/>
  <c r="AH1464" i="2"/>
  <c r="AH1465" i="2"/>
  <c r="AH1466" i="2"/>
  <c r="AH1467" i="2"/>
  <c r="AH1468" i="2"/>
  <c r="AI1468" i="2" s="1"/>
  <c r="AH1469" i="2"/>
  <c r="AH1470" i="2"/>
  <c r="AJ1470" i="2" s="1"/>
  <c r="AH1471" i="2"/>
  <c r="AJ1471" i="2" s="1"/>
  <c r="AH1472" i="2"/>
  <c r="AH1473" i="2"/>
  <c r="AH1474" i="2"/>
  <c r="AH1475" i="2"/>
  <c r="AH1476" i="2"/>
  <c r="AH1477" i="2"/>
  <c r="AH1478" i="2"/>
  <c r="AH1479" i="2"/>
  <c r="AH1480" i="2"/>
  <c r="AI1480" i="2" s="1"/>
  <c r="AH1481" i="2"/>
  <c r="AH1482" i="2"/>
  <c r="AJ1482" i="2" s="1"/>
  <c r="AH1483" i="2"/>
  <c r="AJ1483" i="2" s="1"/>
  <c r="AH1484" i="2"/>
  <c r="AH1485" i="2"/>
  <c r="AH1486" i="2"/>
  <c r="AH1487" i="2"/>
  <c r="AH1488" i="2"/>
  <c r="AH1489" i="2"/>
  <c r="AH1490" i="2"/>
  <c r="AH1491" i="2"/>
  <c r="AI1491" i="2" s="1"/>
  <c r="AH1492" i="2"/>
  <c r="AI1492" i="2" s="1"/>
  <c r="AH1493" i="2"/>
  <c r="AH1494" i="2"/>
  <c r="AJ1494" i="2" s="1"/>
  <c r="AH1495" i="2"/>
  <c r="AJ1495" i="2" s="1"/>
  <c r="AH1496" i="2"/>
  <c r="AH1497" i="2"/>
  <c r="AH1498" i="2"/>
  <c r="AH1499" i="2"/>
  <c r="AH1500" i="2"/>
  <c r="AH1501" i="2"/>
  <c r="AH1502" i="2"/>
  <c r="AH1503" i="2"/>
  <c r="AI1503" i="2" s="1"/>
  <c r="AH1504" i="2"/>
  <c r="AI1504" i="2" s="1"/>
  <c r="AH1505" i="2"/>
  <c r="AH1506" i="2"/>
  <c r="AJ1506" i="2" s="1"/>
  <c r="AH1507" i="2"/>
  <c r="AJ1507" i="2" s="1"/>
  <c r="AH1508" i="2"/>
  <c r="AH1509" i="2"/>
  <c r="AH1510" i="2"/>
  <c r="AH1511" i="2"/>
  <c r="AH1512" i="2"/>
  <c r="AH1513" i="2"/>
  <c r="AH1514" i="2"/>
  <c r="AH1515" i="2"/>
  <c r="AI1515" i="2" s="1"/>
  <c r="AH1516" i="2"/>
  <c r="AI1516" i="2" s="1"/>
  <c r="AH1517" i="2"/>
  <c r="AH1518" i="2"/>
  <c r="AJ1518" i="2" s="1"/>
  <c r="AH1519" i="2"/>
  <c r="AJ1519" i="2" s="1"/>
  <c r="AH1520" i="2"/>
  <c r="AH1521" i="2"/>
  <c r="AH1522" i="2"/>
  <c r="AH1523" i="2"/>
  <c r="AH1524" i="2"/>
  <c r="AH1525" i="2"/>
  <c r="AH1526" i="2"/>
  <c r="AH1527" i="2"/>
  <c r="AI1527" i="2" s="1"/>
  <c r="AH1528" i="2"/>
  <c r="AI1528" i="2" s="1"/>
  <c r="AH1529" i="2"/>
  <c r="AH1530" i="2"/>
  <c r="AJ1530" i="2" s="1"/>
  <c r="AH1531" i="2"/>
  <c r="AJ1531" i="2" s="1"/>
  <c r="AH1532" i="2"/>
  <c r="AH1533" i="2"/>
  <c r="AH1534" i="2"/>
  <c r="AH1535" i="2"/>
  <c r="AH1536" i="2"/>
  <c r="AH1537" i="2"/>
  <c r="AH1538" i="2"/>
  <c r="AH1539" i="2"/>
  <c r="AI1539" i="2" s="1"/>
  <c r="AH1540" i="2"/>
  <c r="AI1540" i="2" s="1"/>
  <c r="AH1541" i="2"/>
  <c r="AH1542" i="2"/>
  <c r="AJ1542" i="2" s="1"/>
  <c r="AH1543" i="2"/>
  <c r="AJ1543" i="2" s="1"/>
  <c r="AH1544" i="2"/>
  <c r="AH1545" i="2"/>
  <c r="AH1546" i="2"/>
  <c r="AH1547" i="2"/>
  <c r="AH1548" i="2"/>
  <c r="AH1549" i="2"/>
  <c r="AH1550" i="2"/>
  <c r="AH1551" i="2"/>
  <c r="AI1551" i="2" s="1"/>
  <c r="AH1552" i="2"/>
  <c r="AI1552" i="2" s="1"/>
  <c r="AH1553" i="2"/>
  <c r="AH1554" i="2"/>
  <c r="AJ1554" i="2" s="1"/>
  <c r="AH1555" i="2"/>
  <c r="AJ1555" i="2" s="1"/>
  <c r="AH1556" i="2"/>
  <c r="AH1557" i="2"/>
  <c r="AH1558" i="2"/>
  <c r="AH1559" i="2"/>
  <c r="AH1560" i="2"/>
  <c r="AH1561" i="2"/>
  <c r="AH1562" i="2"/>
  <c r="AH1563" i="2"/>
  <c r="AI1563" i="2" s="1"/>
  <c r="AH1564" i="2"/>
  <c r="AI1564" i="2" s="1"/>
  <c r="AH1565" i="2"/>
  <c r="AH1566" i="2"/>
  <c r="AJ1566" i="2" s="1"/>
  <c r="AH1567" i="2"/>
  <c r="AJ1567" i="2" s="1"/>
  <c r="AH1568" i="2"/>
  <c r="AH1569" i="2"/>
  <c r="AH1570" i="2"/>
  <c r="AH1571" i="2"/>
  <c r="AH1572" i="2"/>
  <c r="AH1573" i="2"/>
  <c r="AH1574" i="2"/>
  <c r="AH1575" i="2"/>
  <c r="AI1575" i="2" s="1"/>
  <c r="AH1576" i="2"/>
  <c r="AI1576" i="2" s="1"/>
  <c r="AH1577" i="2"/>
  <c r="AH1578" i="2"/>
  <c r="AJ1578" i="2" s="1"/>
  <c r="AH1579" i="2"/>
  <c r="AJ1579" i="2" s="1"/>
  <c r="AH1580" i="2"/>
  <c r="AH1581" i="2"/>
  <c r="AH1582" i="2"/>
  <c r="AH1583" i="2"/>
  <c r="AH1584" i="2"/>
  <c r="AH1585" i="2"/>
  <c r="AH1586" i="2"/>
  <c r="AH1587" i="2"/>
  <c r="AI1587" i="2" s="1"/>
  <c r="AH1588" i="2"/>
  <c r="AI1588" i="2" s="1"/>
  <c r="AH1589" i="2"/>
  <c r="AH1590" i="2"/>
  <c r="AJ1590" i="2" s="1"/>
  <c r="AH1591" i="2"/>
  <c r="AI1591" i="2" s="1"/>
  <c r="AH1592" i="2"/>
  <c r="AH1593" i="2"/>
  <c r="AH1594" i="2"/>
  <c r="AH1595" i="2"/>
  <c r="AH1596" i="2"/>
  <c r="AH1597" i="2"/>
  <c r="AH1598" i="2"/>
  <c r="AH1599" i="2"/>
  <c r="AI1599" i="2" s="1"/>
  <c r="AH1600" i="2"/>
  <c r="AI1600" i="2" s="1"/>
  <c r="AH1601" i="2"/>
  <c r="AH1602" i="2"/>
  <c r="AJ1602" i="2" s="1"/>
  <c r="AH1603" i="2"/>
  <c r="AJ1603" i="2" s="1"/>
  <c r="AH1604" i="2"/>
  <c r="AH1605" i="2"/>
  <c r="AH1606" i="2"/>
  <c r="AH1607" i="2"/>
  <c r="AH1608" i="2"/>
  <c r="AH1609" i="2"/>
  <c r="AH1610" i="2"/>
  <c r="AI1610" i="2" s="1"/>
  <c r="AH1611" i="2"/>
  <c r="AH1612" i="2"/>
  <c r="AI1612" i="2" s="1"/>
  <c r="AH1613" i="2"/>
  <c r="AH1614" i="2"/>
  <c r="AJ1614" i="2" s="1"/>
  <c r="AH1615" i="2"/>
  <c r="AJ1615" i="2" s="1"/>
  <c r="AH1616" i="2"/>
  <c r="AH1617" i="2"/>
  <c r="AH1618" i="2"/>
  <c r="AH1619" i="2"/>
  <c r="AH1620" i="2"/>
  <c r="AH1621" i="2"/>
  <c r="AH1622" i="2"/>
  <c r="AI1622" i="2" s="1"/>
  <c r="AH1623" i="2"/>
  <c r="AH1624" i="2"/>
  <c r="AI1624" i="2" s="1"/>
  <c r="AH1625" i="2"/>
  <c r="AH1626" i="2"/>
  <c r="AI1626" i="2" s="1"/>
  <c r="AH1627" i="2"/>
  <c r="AI1627" i="2" s="1"/>
  <c r="AH1628" i="2"/>
  <c r="AH1629" i="2"/>
  <c r="AH1630" i="2"/>
  <c r="AH1631" i="2"/>
  <c r="AH1632" i="2"/>
  <c r="AH1633" i="2"/>
  <c r="AH1634" i="2"/>
  <c r="AI1634" i="2" s="1"/>
  <c r="AH1635" i="2"/>
  <c r="AH1636" i="2"/>
  <c r="AI1636" i="2" s="1"/>
  <c r="AH1637" i="2"/>
  <c r="AH1638" i="2"/>
  <c r="AI1638" i="2" s="1"/>
  <c r="AH1639" i="2"/>
  <c r="AJ1639" i="2" s="1"/>
  <c r="AH1640" i="2"/>
  <c r="AH1641" i="2"/>
  <c r="AH1642" i="2"/>
  <c r="AH1643" i="2"/>
  <c r="AH1644" i="2"/>
  <c r="AH1645" i="2"/>
  <c r="AH1646" i="2"/>
  <c r="AI1646" i="2" s="1"/>
  <c r="AH1647" i="2"/>
  <c r="AH1648" i="2"/>
  <c r="AI1648" i="2" s="1"/>
  <c r="AH1649" i="2"/>
  <c r="AH1650" i="2"/>
  <c r="AI1650" i="2" s="1"/>
  <c r="AH1651" i="2"/>
  <c r="AJ1651" i="2" s="1"/>
  <c r="AH1652" i="2"/>
  <c r="AH1653" i="2"/>
  <c r="AH1654" i="2"/>
  <c r="AH1655" i="2"/>
  <c r="AH1656" i="2"/>
  <c r="AI1656" i="2" s="1"/>
  <c r="AH1657" i="2"/>
  <c r="AI1657" i="2" s="1"/>
  <c r="AH1658" i="2"/>
  <c r="AI1658" i="2" s="1"/>
  <c r="AH1659" i="2"/>
  <c r="AI1659" i="2" s="1"/>
  <c r="AH1660" i="2"/>
  <c r="AI1660" i="2" s="1"/>
  <c r="AH1661" i="2"/>
  <c r="AH1662" i="2"/>
  <c r="AI1662" i="2" s="1"/>
  <c r="AH1663" i="2"/>
  <c r="AJ1663" i="2" s="1"/>
  <c r="AH1664" i="2"/>
  <c r="AH1665" i="2"/>
  <c r="AH1666" i="2"/>
  <c r="AH1667" i="2"/>
  <c r="AH1668" i="2"/>
  <c r="AJ1668" i="2" s="1"/>
  <c r="AH1669" i="2"/>
  <c r="AH1670" i="2"/>
  <c r="AI1670" i="2" s="1"/>
  <c r="AH1671" i="2"/>
  <c r="AH1672" i="2"/>
  <c r="AI1672" i="2" s="1"/>
  <c r="AH1673" i="2"/>
  <c r="AH1674" i="2"/>
  <c r="AI1674" i="2" s="1"/>
  <c r="AH1675" i="2"/>
  <c r="AI1675" i="2" s="1"/>
  <c r="AH1676" i="2"/>
  <c r="AH1677" i="2"/>
  <c r="AH1678" i="2"/>
  <c r="AH1679" i="2"/>
  <c r="AH1680" i="2"/>
  <c r="AJ1680" i="2" s="1"/>
  <c r="AH1681" i="2"/>
  <c r="AJ1681" i="2" s="1"/>
  <c r="AH1682" i="2"/>
  <c r="AI1682" i="2" s="1"/>
  <c r="AH1683" i="2"/>
  <c r="AH1684" i="2"/>
  <c r="AI1684" i="2" s="1"/>
  <c r="AH1685" i="2"/>
  <c r="AH1686" i="2"/>
  <c r="AI1686" i="2" s="1"/>
  <c r="AH1687" i="2"/>
  <c r="AJ1687" i="2" s="1"/>
  <c r="AH1688" i="2"/>
  <c r="AH1689" i="2"/>
  <c r="AH1690" i="2"/>
  <c r="AH1691" i="2"/>
  <c r="AH1692" i="2"/>
  <c r="AJ1692" i="2" s="1"/>
  <c r="AH1693" i="2"/>
  <c r="AJ1693" i="2" s="1"/>
  <c r="AH1694" i="2"/>
  <c r="AI1694" i="2" s="1"/>
  <c r="AH1695" i="2"/>
  <c r="AJ1695" i="2" s="1"/>
  <c r="AH1696" i="2"/>
  <c r="AI1696" i="2" s="1"/>
  <c r="AH1697" i="2"/>
  <c r="AH1698" i="2"/>
  <c r="AI1698" i="2" s="1"/>
  <c r="AH1699" i="2"/>
  <c r="AI1699" i="2" s="1"/>
  <c r="AH1700" i="2"/>
  <c r="AH1701" i="2"/>
  <c r="AH1702" i="2"/>
  <c r="AH1703" i="2"/>
  <c r="AH1704" i="2"/>
  <c r="AI1704" i="2" s="1"/>
  <c r="AH1705" i="2"/>
  <c r="AI1705" i="2" s="1"/>
  <c r="AH1706" i="2"/>
  <c r="AI1706" i="2" s="1"/>
  <c r="AH1707" i="2"/>
  <c r="AJ1707" i="2" s="1"/>
  <c r="AH1708" i="2"/>
  <c r="AI1708" i="2" s="1"/>
  <c r="AH1709" i="2"/>
  <c r="AH1710" i="2"/>
  <c r="AI1710" i="2" s="1"/>
  <c r="AH1711" i="2"/>
  <c r="AJ1711" i="2" s="1"/>
  <c r="AH1712" i="2"/>
  <c r="AH1713" i="2"/>
  <c r="AH1714" i="2"/>
  <c r="AH1715" i="2"/>
  <c r="AH1716" i="2"/>
  <c r="AJ1716" i="2" s="1"/>
  <c r="AH1717" i="2"/>
  <c r="AI1717" i="2" s="1"/>
  <c r="AH1718" i="2"/>
  <c r="AI1718" i="2" s="1"/>
  <c r="AH1719" i="2"/>
  <c r="AI1719" i="2" s="1"/>
  <c r="AH1720" i="2"/>
  <c r="AI1720" i="2" s="1"/>
  <c r="AH1721" i="2"/>
  <c r="AH1722" i="2"/>
  <c r="AI1722" i="2" s="1"/>
  <c r="AH1723" i="2"/>
  <c r="AJ1723" i="2" s="1"/>
  <c r="AH1724" i="2"/>
  <c r="AI1724" i="2" s="1"/>
  <c r="AH1725" i="2"/>
  <c r="AH1726" i="2"/>
  <c r="AH1727" i="2"/>
  <c r="AH1728" i="2"/>
  <c r="AJ1728" i="2" s="1"/>
  <c r="AH1729" i="2"/>
  <c r="AI1729" i="2" s="1"/>
  <c r="AH1730" i="2"/>
  <c r="AI1730" i="2" s="1"/>
  <c r="AH1731" i="2"/>
  <c r="AI1731" i="2" s="1"/>
  <c r="AH1732" i="2"/>
  <c r="AI1732" i="2" s="1"/>
  <c r="AH1733" i="2"/>
  <c r="AH1734" i="2"/>
  <c r="AI1734" i="2" s="1"/>
  <c r="AH1735" i="2"/>
  <c r="AI1735" i="2" s="1"/>
  <c r="AH1736" i="2"/>
  <c r="AH1737" i="2"/>
  <c r="AH1738" i="2"/>
  <c r="AH1739" i="2"/>
  <c r="AH1740" i="2"/>
  <c r="AI1740" i="2" s="1"/>
  <c r="AH1741" i="2"/>
  <c r="AI1741" i="2" s="1"/>
  <c r="AH1742" i="2"/>
  <c r="AI1742" i="2" s="1"/>
  <c r="AH1743" i="2"/>
  <c r="AI1743" i="2" s="1"/>
  <c r="AH1744" i="2"/>
  <c r="AI1744" i="2" s="1"/>
  <c r="AH1745" i="2"/>
  <c r="AH1746" i="2"/>
  <c r="AI1746" i="2" s="1"/>
  <c r="AH1747" i="2"/>
  <c r="AI1747" i="2" s="1"/>
  <c r="AH1748" i="2"/>
  <c r="AH1749" i="2"/>
  <c r="AH1750" i="2"/>
  <c r="AH1751" i="2"/>
  <c r="AH1752" i="2"/>
  <c r="AI1752" i="2" s="1"/>
  <c r="AH1753" i="2"/>
  <c r="AI1753" i="2" s="1"/>
  <c r="AH1754" i="2"/>
  <c r="AI1754" i="2" s="1"/>
  <c r="AH1755" i="2"/>
  <c r="AI1755" i="2" s="1"/>
  <c r="AH1756" i="2"/>
  <c r="AI1756" i="2" s="1"/>
  <c r="AH1757" i="2"/>
  <c r="AI1757" i="2" s="1"/>
  <c r="AH1758" i="2"/>
  <c r="AI1758" i="2" s="1"/>
  <c r="AH1759" i="2"/>
  <c r="AH1760" i="2"/>
  <c r="AI1760" i="2" s="1"/>
  <c r="AH1761" i="2"/>
  <c r="AH1762" i="2"/>
  <c r="AH1763" i="2"/>
  <c r="AI1763" i="2" s="1"/>
  <c r="AH1764" i="2"/>
  <c r="AI1764" i="2" s="1"/>
  <c r="AH1765" i="2"/>
  <c r="AJ1765" i="2" s="1"/>
  <c r="AH1766" i="2"/>
  <c r="AI1766" i="2" s="1"/>
  <c r="AH1767" i="2"/>
  <c r="AI1767" i="2" s="1"/>
  <c r="AH1768" i="2"/>
  <c r="AI1768" i="2" s="1"/>
  <c r="AH1769" i="2"/>
  <c r="AH1770" i="2"/>
  <c r="AI1770" i="2" s="1"/>
  <c r="AH1771" i="2"/>
  <c r="AH1772" i="2"/>
  <c r="AH1773" i="2"/>
  <c r="AH1774" i="2"/>
  <c r="AH1775" i="2"/>
  <c r="AH1776" i="2"/>
  <c r="AJ1776" i="2" s="1"/>
  <c r="AH1777" i="2"/>
  <c r="AI1777" i="2" s="1"/>
  <c r="AH1778" i="2"/>
  <c r="AI1778" i="2" s="1"/>
  <c r="AH1779" i="2"/>
  <c r="AI1779" i="2" s="1"/>
  <c r="AH1780" i="2"/>
  <c r="AI1780" i="2" s="1"/>
  <c r="AH1781" i="2"/>
  <c r="AH1782" i="2"/>
  <c r="AI1782" i="2" s="1"/>
  <c r="AH1783" i="2"/>
  <c r="AH1784" i="2"/>
  <c r="AI1784" i="2" s="1"/>
  <c r="AH1785" i="2"/>
  <c r="AH1786" i="2"/>
  <c r="AH1787" i="2"/>
  <c r="AH1788" i="2"/>
  <c r="AJ1788" i="2" s="1"/>
  <c r="AH1789" i="2"/>
  <c r="AH1790" i="2"/>
  <c r="AI1790" i="2" s="1"/>
  <c r="AH1791" i="2"/>
  <c r="AI1791" i="2" s="1"/>
  <c r="AH1792" i="2"/>
  <c r="AI1792" i="2" s="1"/>
  <c r="AH1793" i="2"/>
  <c r="AJ1793" i="2" s="1"/>
  <c r="AH1794" i="2"/>
  <c r="AI1794" i="2" s="1"/>
  <c r="AH1795" i="2"/>
  <c r="AH1796" i="2"/>
  <c r="AI1796" i="2" s="1"/>
  <c r="AH1797" i="2"/>
  <c r="AH1798" i="2"/>
  <c r="AH1799" i="2"/>
  <c r="AH1800" i="2"/>
  <c r="AJ1800" i="2" s="1"/>
  <c r="AH1801" i="2"/>
  <c r="AI1801" i="2" s="1"/>
  <c r="AH1802" i="2"/>
  <c r="AI1802" i="2" s="1"/>
  <c r="AH1803" i="2"/>
  <c r="AI1803" i="2" s="1"/>
  <c r="AH1804" i="2"/>
  <c r="AI1804" i="2" s="1"/>
  <c r="AH1805" i="2"/>
  <c r="AI1805" i="2" s="1"/>
  <c r="AH1806" i="2"/>
  <c r="AI1806" i="2" s="1"/>
  <c r="AH1807" i="2"/>
  <c r="AI1807" i="2" s="1"/>
  <c r="AH1808" i="2"/>
  <c r="AH1809" i="2"/>
  <c r="AH1810" i="2"/>
  <c r="AH1811" i="2"/>
  <c r="AH1812" i="2"/>
  <c r="AJ1812" i="2" s="1"/>
  <c r="AH1813" i="2"/>
  <c r="AI1813" i="2" s="1"/>
  <c r="AH1814" i="2"/>
  <c r="AI1814" i="2" s="1"/>
  <c r="AH1815" i="2"/>
  <c r="AI1815" i="2" s="1"/>
  <c r="AH1816" i="2"/>
  <c r="AI1816" i="2" s="1"/>
  <c r="AH1817" i="2"/>
  <c r="AJ1817" i="2" s="1"/>
  <c r="AH1818" i="2"/>
  <c r="AI1818" i="2" s="1"/>
  <c r="AH1819" i="2"/>
  <c r="AH1820" i="2"/>
  <c r="AH1821" i="2"/>
  <c r="AH1822" i="2"/>
  <c r="AH1823" i="2"/>
  <c r="AH1824" i="2"/>
  <c r="AI1824" i="2" s="1"/>
  <c r="AH1825" i="2"/>
  <c r="AI1825" i="2" s="1"/>
  <c r="AH1826" i="2"/>
  <c r="AI1826" i="2" s="1"/>
  <c r="AH1827" i="2"/>
  <c r="AI1827" i="2" s="1"/>
  <c r="AH1828" i="2"/>
  <c r="AI1828" i="2" s="1"/>
  <c r="AH1829" i="2"/>
  <c r="AJ1829" i="2" s="1"/>
  <c r="AH1830" i="2"/>
  <c r="AI1830" i="2" s="1"/>
  <c r="AH1831" i="2"/>
  <c r="AH1832" i="2"/>
  <c r="AH1833" i="2"/>
  <c r="AH1834" i="2"/>
  <c r="AH1835" i="2"/>
  <c r="AH1836" i="2"/>
  <c r="AJ1836" i="2" s="1"/>
  <c r="AH1837" i="2"/>
  <c r="AJ1837" i="2" s="1"/>
  <c r="AH1838" i="2"/>
  <c r="AI1838" i="2" s="1"/>
  <c r="AH1839" i="2"/>
  <c r="AI1839" i="2" s="1"/>
  <c r="AH1840" i="2"/>
  <c r="AI1840" i="2" s="1"/>
  <c r="AH1841" i="2"/>
  <c r="AJ1841" i="2" s="1"/>
  <c r="AH1842" i="2"/>
  <c r="AI1842" i="2" s="1"/>
  <c r="AH1843" i="2"/>
  <c r="AH1844" i="2"/>
  <c r="AH1845" i="2"/>
  <c r="AH1846" i="2"/>
  <c r="AH1847" i="2"/>
  <c r="AJ1847" i="2" s="1"/>
  <c r="AH1848" i="2"/>
  <c r="AJ1848" i="2" s="1"/>
  <c r="AH1849" i="2"/>
  <c r="AJ1849" i="2" s="1"/>
  <c r="AH1850" i="2"/>
  <c r="AI1850" i="2" s="1"/>
  <c r="AH1851" i="2"/>
  <c r="AI1851" i="2" s="1"/>
  <c r="AH1852" i="2"/>
  <c r="AI1852" i="2" s="1"/>
  <c r="AH1853" i="2"/>
  <c r="AJ1853" i="2" s="1"/>
  <c r="AH1854" i="2"/>
  <c r="AI1854" i="2" s="1"/>
  <c r="AH1855" i="2"/>
  <c r="AI1855" i="2" s="1"/>
  <c r="AH1856" i="2"/>
  <c r="AJ1856" i="2" s="1"/>
  <c r="AH1857" i="2"/>
  <c r="AH1858" i="2"/>
  <c r="AH1859" i="2"/>
  <c r="AI1859" i="2" s="1"/>
  <c r="AH1860" i="2"/>
  <c r="AI1860" i="2" s="1"/>
  <c r="AH1861" i="2"/>
  <c r="AJ1861" i="2" s="1"/>
  <c r="AH1862" i="2"/>
  <c r="AI1862" i="2" s="1"/>
  <c r="AH1863" i="2"/>
  <c r="AI1863" i="2" s="1"/>
  <c r="AH1864" i="2"/>
  <c r="AI1864" i="2" s="1"/>
  <c r="AH1865" i="2"/>
  <c r="AI1865" i="2" s="1"/>
  <c r="AH1866" i="2"/>
  <c r="AI1866" i="2" s="1"/>
  <c r="AH1867" i="2"/>
  <c r="AI1867" i="2" s="1"/>
  <c r="AH1868" i="2"/>
  <c r="AI1868" i="2" s="1"/>
  <c r="AH1869" i="2"/>
  <c r="AH1870" i="2"/>
  <c r="AH1871" i="2"/>
  <c r="AJ1871" i="2" s="1"/>
  <c r="AH1872" i="2"/>
  <c r="AJ1872" i="2" s="1"/>
  <c r="AH1873" i="2"/>
  <c r="AJ1873" i="2" s="1"/>
  <c r="AH1874" i="2"/>
  <c r="AI1874" i="2" s="1"/>
  <c r="AH1875" i="2"/>
  <c r="AI1875" i="2" s="1"/>
  <c r="AH1876" i="2"/>
  <c r="AI1876" i="2" s="1"/>
  <c r="AH1877" i="2"/>
  <c r="AI1877" i="2" s="1"/>
  <c r="AH1878" i="2"/>
  <c r="AI1878" i="2" s="1"/>
  <c r="AH1879" i="2"/>
  <c r="AH1880" i="2"/>
  <c r="AJ1880" i="2" s="1"/>
  <c r="AH1881" i="2"/>
  <c r="AH1882" i="2"/>
  <c r="AH1883" i="2"/>
  <c r="AH1884" i="2"/>
  <c r="AI1884" i="2" s="1"/>
  <c r="AH1885" i="2"/>
  <c r="AI1885" i="2" s="1"/>
  <c r="AH1886" i="2"/>
  <c r="AI1886" i="2" s="1"/>
  <c r="AH1887" i="2"/>
  <c r="AI1887" i="2" s="1"/>
  <c r="AH1888" i="2"/>
  <c r="AI1888" i="2" s="1"/>
  <c r="AH1889" i="2"/>
  <c r="AJ1889" i="2" s="1"/>
  <c r="AH1890" i="2"/>
  <c r="AI1890" i="2" s="1"/>
  <c r="AH1891" i="2"/>
  <c r="AH1892" i="2"/>
  <c r="AJ1892" i="2" s="1"/>
  <c r="AH1893" i="2"/>
  <c r="AH1894" i="2"/>
  <c r="AH1895" i="2"/>
  <c r="AH1896" i="2"/>
  <c r="AI1896" i="2" s="1"/>
  <c r="AH1897" i="2"/>
  <c r="AI1897" i="2" s="1"/>
  <c r="AH1898" i="2"/>
  <c r="AI1898" i="2" s="1"/>
  <c r="AH1899" i="2"/>
  <c r="AI1899" i="2" s="1"/>
  <c r="AH1900" i="2"/>
  <c r="AI1900" i="2" s="1"/>
  <c r="AH1901" i="2"/>
  <c r="AJ1901" i="2" s="1"/>
  <c r="AH1902" i="2"/>
  <c r="AI1902" i="2" s="1"/>
  <c r="AH1903" i="2"/>
  <c r="AH1904" i="2"/>
  <c r="AJ1904" i="2" s="1"/>
  <c r="AH1905" i="2"/>
  <c r="AH1906" i="2"/>
  <c r="AH1907" i="2"/>
  <c r="AI1907" i="2" s="1"/>
  <c r="AH1908" i="2"/>
  <c r="AI1908" i="2" s="1"/>
  <c r="AH1909" i="2"/>
  <c r="AI1909" i="2" s="1"/>
  <c r="AH1910" i="2"/>
  <c r="AI1910" i="2" s="1"/>
  <c r="AH1911" i="2"/>
  <c r="AI1911" i="2" s="1"/>
  <c r="AH1912" i="2"/>
  <c r="AI1912" i="2" s="1"/>
  <c r="AH1913" i="2"/>
  <c r="AJ1913" i="2" s="1"/>
  <c r="AH1914" i="2"/>
  <c r="AI1914" i="2" s="1"/>
  <c r="AH1915" i="2"/>
  <c r="AH1916" i="2"/>
  <c r="AJ1916" i="2" s="1"/>
  <c r="AH1917" i="2"/>
  <c r="AH1918" i="2"/>
  <c r="AH1919" i="2"/>
  <c r="AH1920" i="2"/>
  <c r="AI1920" i="2" s="1"/>
  <c r="AH1921" i="2"/>
  <c r="AI1921" i="2" s="1"/>
  <c r="AH1922" i="2"/>
  <c r="AI1922" i="2" s="1"/>
  <c r="AH1923" i="2"/>
  <c r="AI1923" i="2" s="1"/>
  <c r="AH1924" i="2"/>
  <c r="AI1924" i="2" s="1"/>
  <c r="AH1925" i="2"/>
  <c r="AJ1925" i="2" s="1"/>
  <c r="AH1926" i="2"/>
  <c r="AI1926" i="2" s="1"/>
  <c r="AH1927" i="2"/>
  <c r="AH1928" i="2"/>
  <c r="AI1928" i="2" s="1"/>
  <c r="AH1929" i="2"/>
  <c r="AH1930" i="2"/>
  <c r="AH1931" i="2"/>
  <c r="AH1932" i="2"/>
  <c r="AH1933" i="2"/>
  <c r="AH1934" i="2"/>
  <c r="AI1934" i="2" s="1"/>
  <c r="AH1935" i="2"/>
  <c r="AI1935" i="2" s="1"/>
  <c r="AH1936" i="2"/>
  <c r="AI1936" i="2" s="1"/>
  <c r="AH1937" i="2"/>
  <c r="AJ1937" i="2" s="1"/>
  <c r="AH1938" i="2"/>
  <c r="AI1938" i="2" s="1"/>
  <c r="AH1939" i="2"/>
  <c r="AH1940" i="2"/>
  <c r="AJ1940" i="2" s="1"/>
  <c r="AH1941" i="2"/>
  <c r="AH1942" i="2"/>
  <c r="AH1943" i="2"/>
  <c r="AI1943" i="2" s="1"/>
  <c r="AH1944" i="2"/>
  <c r="AH1945" i="2"/>
  <c r="AI1945" i="2" s="1"/>
  <c r="AH1946" i="2"/>
  <c r="AI1946" i="2" s="1"/>
  <c r="AH1947" i="2"/>
  <c r="AI1947" i="2" s="1"/>
  <c r="AH1948" i="2"/>
  <c r="AI1948" i="2" s="1"/>
  <c r="AH1949" i="2"/>
  <c r="AI1949" i="2" s="1"/>
  <c r="AH1950" i="2"/>
  <c r="AI1950" i="2" s="1"/>
  <c r="AH1951" i="2"/>
  <c r="AH1952" i="2"/>
  <c r="AJ1952" i="2" s="1"/>
  <c r="AH1953" i="2"/>
  <c r="AH1954" i="2"/>
  <c r="AH1955" i="2"/>
  <c r="AH1956" i="2"/>
  <c r="AJ1956" i="2" s="1"/>
  <c r="AH1957" i="2"/>
  <c r="AI1957" i="2" s="1"/>
  <c r="AH1958" i="2"/>
  <c r="AI1958" i="2" s="1"/>
  <c r="AH1959" i="2"/>
  <c r="AI1959" i="2" s="1"/>
  <c r="AH1960" i="2"/>
  <c r="AI1960" i="2" s="1"/>
  <c r="AH1961" i="2"/>
  <c r="AJ1961" i="2" s="1"/>
  <c r="AH1962" i="2"/>
  <c r="AI1962" i="2" s="1"/>
  <c r="AH1963" i="2"/>
  <c r="AI1963" i="2" s="1"/>
  <c r="AH1964" i="2"/>
  <c r="AJ1964" i="2" s="1"/>
  <c r="AH1965" i="2"/>
  <c r="AH1966" i="2"/>
  <c r="AH1967" i="2"/>
  <c r="AI1967" i="2" s="1"/>
  <c r="AH1968" i="2"/>
  <c r="AI1968" i="2" s="1"/>
  <c r="AH1969" i="2"/>
  <c r="AI1969" i="2" s="1"/>
  <c r="AH1970" i="2"/>
  <c r="AI1970" i="2" s="1"/>
  <c r="AH1971" i="2"/>
  <c r="AI1971" i="2" s="1"/>
  <c r="AH1972" i="2"/>
  <c r="AI1972" i="2" s="1"/>
  <c r="AH1973" i="2"/>
  <c r="AI1973" i="2" s="1"/>
  <c r="AH1974" i="2"/>
  <c r="AI1974" i="2" s="1"/>
  <c r="AH1975" i="2"/>
  <c r="AH1976" i="2"/>
  <c r="AJ1976" i="2" s="1"/>
  <c r="AH1977" i="2"/>
  <c r="AH1978" i="2"/>
  <c r="AH1979" i="2"/>
  <c r="AH1980" i="2"/>
  <c r="AI1980" i="2" s="1"/>
  <c r="AH1981" i="2"/>
  <c r="AI1981" i="2" s="1"/>
  <c r="AH1982" i="2"/>
  <c r="AI1982" i="2" s="1"/>
  <c r="AH1983" i="2"/>
  <c r="AI1983" i="2" s="1"/>
  <c r="AH1984" i="2"/>
  <c r="AI1984" i="2" s="1"/>
  <c r="AH1985" i="2"/>
  <c r="AI1985" i="2" s="1"/>
  <c r="AH1986" i="2"/>
  <c r="AI1986" i="2" s="1"/>
  <c r="AH1987" i="2"/>
  <c r="AH1988" i="2"/>
  <c r="AJ1988" i="2" s="1"/>
  <c r="AH1989" i="2"/>
  <c r="AH1990" i="2"/>
  <c r="AH1991" i="2"/>
  <c r="AI1991" i="2" s="1"/>
  <c r="AH1992" i="2"/>
  <c r="AI1992" i="2" s="1"/>
  <c r="AH1993" i="2"/>
  <c r="AI1993" i="2" s="1"/>
  <c r="AH1994" i="2"/>
  <c r="AI1994" i="2" s="1"/>
  <c r="AH1995" i="2"/>
  <c r="AI1995" i="2" s="1"/>
  <c r="AH1996" i="2"/>
  <c r="AI1996" i="2" s="1"/>
  <c r="AH1997" i="2"/>
  <c r="AI1997" i="2" s="1"/>
  <c r="AH1998" i="2"/>
  <c r="AI1998" i="2" s="1"/>
  <c r="AH1999" i="2"/>
  <c r="AH2000" i="2"/>
  <c r="AJ2000" i="2" s="1"/>
  <c r="AH2001" i="2"/>
  <c r="AJ2001" i="2" s="1"/>
  <c r="AH2002" i="2"/>
  <c r="AH2003" i="2"/>
  <c r="AH2004" i="2"/>
  <c r="AI2004" i="2" s="1"/>
  <c r="AH2005" i="2"/>
  <c r="AI2005" i="2" s="1"/>
  <c r="AH2006" i="2"/>
  <c r="AI2006" i="2" s="1"/>
  <c r="AH2007" i="2"/>
  <c r="AI2007" i="2" s="1"/>
  <c r="AH2008" i="2"/>
  <c r="AI2008" i="2" s="1"/>
  <c r="AH2009" i="2"/>
  <c r="AI2009" i="2" s="1"/>
  <c r="AH2010" i="2"/>
  <c r="AI2010" i="2" s="1"/>
  <c r="AH2011" i="2"/>
  <c r="AH2012" i="2"/>
  <c r="AJ2012" i="2" s="1"/>
  <c r="AH2013" i="2"/>
  <c r="AH2014" i="2"/>
  <c r="AH2015" i="2"/>
  <c r="AI2015" i="2" s="1"/>
  <c r="AH2016" i="2"/>
  <c r="AI2016" i="2" s="1"/>
  <c r="AH2017" i="2"/>
  <c r="AI2017" i="2" s="1"/>
  <c r="AH2018" i="2"/>
  <c r="AI2018" i="2" s="1"/>
  <c r="AH2019" i="2"/>
  <c r="AI2019" i="2" s="1"/>
  <c r="AH2020" i="2"/>
  <c r="AI2020" i="2" s="1"/>
  <c r="AH2021" i="2"/>
  <c r="AI2021" i="2" s="1"/>
  <c r="AH2022" i="2"/>
  <c r="AI2022" i="2" s="1"/>
  <c r="AH2023" i="2"/>
  <c r="AI2023" i="2" s="1"/>
  <c r="AH2024" i="2"/>
  <c r="AJ2024" i="2" s="1"/>
  <c r="AH2025" i="2"/>
  <c r="AH2026" i="2"/>
  <c r="AH2027" i="2"/>
  <c r="AJ2027" i="2" s="1"/>
  <c r="AH2028" i="2"/>
  <c r="AJ2028" i="2" s="1"/>
  <c r="AH2029" i="2"/>
  <c r="AJ2029" i="2" s="1"/>
  <c r="AH2030" i="2"/>
  <c r="AI2030" i="2" s="1"/>
  <c r="AH2031" i="2"/>
  <c r="AI2031" i="2" s="1"/>
  <c r="AH2032" i="2"/>
  <c r="AI2032" i="2" s="1"/>
  <c r="AH2033" i="2"/>
  <c r="AI2033" i="2" s="1"/>
  <c r="AH2034" i="2"/>
  <c r="AI2034" i="2" s="1"/>
  <c r="AH2035" i="2"/>
  <c r="AI2035" i="2" s="1"/>
  <c r="AH2036" i="2"/>
  <c r="AI2036" i="2" s="1"/>
  <c r="AH2037" i="2"/>
  <c r="AH2038" i="2"/>
  <c r="AH2039" i="2"/>
  <c r="AI2039" i="2" s="1"/>
  <c r="AH2040" i="2"/>
  <c r="AI2040" i="2" s="1"/>
  <c r="AH2041" i="2"/>
  <c r="AJ2041" i="2" s="1"/>
  <c r="AH2042" i="2"/>
  <c r="AI2042" i="2" s="1"/>
  <c r="AH2043" i="2"/>
  <c r="AI2043" i="2" s="1"/>
  <c r="AH2044" i="2"/>
  <c r="AI2044" i="2" s="1"/>
  <c r="AH2045" i="2"/>
  <c r="AI2045" i="2" s="1"/>
  <c r="AH2046" i="2"/>
  <c r="AI2046" i="2" s="1"/>
  <c r="AH2047" i="2"/>
  <c r="AI2047" i="2" s="1"/>
  <c r="AH2048" i="2"/>
  <c r="AI2048" i="2" s="1"/>
  <c r="AH2049" i="2"/>
  <c r="AH2050" i="2"/>
  <c r="AH2051" i="2"/>
  <c r="AH2052" i="2"/>
  <c r="AI2052" i="2" s="1"/>
  <c r="AH2053" i="2"/>
  <c r="AI2053" i="2" s="1"/>
  <c r="AH2054" i="2"/>
  <c r="AI2054" i="2" s="1"/>
  <c r="AH2055" i="2"/>
  <c r="AI2055" i="2" s="1"/>
  <c r="AH2056" i="2"/>
  <c r="AI2056" i="2" s="1"/>
  <c r="AH2057" i="2"/>
  <c r="AI2057" i="2" s="1"/>
  <c r="AH2058" i="2"/>
  <c r="AI2058" i="2" s="1"/>
  <c r="AH2059" i="2"/>
  <c r="AH2060" i="2"/>
  <c r="AJ2060" i="2" s="1"/>
  <c r="AH2061" i="2"/>
  <c r="AH2062" i="2"/>
  <c r="AH2063" i="2"/>
  <c r="AI2063" i="2" s="1"/>
  <c r="AH2064" i="2"/>
  <c r="AJ2064" i="2" s="1"/>
  <c r="AH2065" i="2"/>
  <c r="AJ2065" i="2" s="1"/>
  <c r="AH2066" i="2"/>
  <c r="AI2066" i="2" s="1"/>
  <c r="AH2067" i="2"/>
  <c r="AI2067" i="2" s="1"/>
  <c r="AH2068" i="2"/>
  <c r="AI2068" i="2" s="1"/>
  <c r="AH2069" i="2"/>
  <c r="AI2069" i="2" s="1"/>
  <c r="AH2070" i="2"/>
  <c r="AI2070" i="2" s="1"/>
  <c r="AH2071" i="2"/>
  <c r="AH2072" i="2"/>
  <c r="AI2072" i="2" s="1"/>
  <c r="AH2073" i="2"/>
  <c r="AH2074" i="2"/>
  <c r="AH2075" i="2"/>
  <c r="AI2075" i="2" s="1"/>
  <c r="AH2076" i="2"/>
  <c r="AJ2076" i="2" s="1"/>
  <c r="AH2077" i="2"/>
  <c r="AJ2077" i="2" s="1"/>
  <c r="AH2078" i="2"/>
  <c r="AI2078" i="2" s="1"/>
  <c r="AH2079" i="2"/>
  <c r="AI2079" i="2" s="1"/>
  <c r="AH2080" i="2"/>
  <c r="AI2080" i="2" s="1"/>
  <c r="AH2081" i="2"/>
  <c r="AI2081" i="2" s="1"/>
  <c r="AH2082" i="2"/>
  <c r="AI2082" i="2" s="1"/>
  <c r="AH2083" i="2"/>
  <c r="AI2083" i="2" s="1"/>
  <c r="AH2084" i="2"/>
  <c r="AI2084" i="2" s="1"/>
  <c r="AH2085" i="2"/>
  <c r="AH2086" i="2"/>
  <c r="AJ2086" i="2" s="1"/>
  <c r="AH2087" i="2"/>
  <c r="AI2087" i="2" s="1"/>
  <c r="AH2088" i="2"/>
  <c r="AJ2088" i="2" s="1"/>
  <c r="AH2089" i="2"/>
  <c r="AJ2089" i="2" s="1"/>
  <c r="AH2090" i="2"/>
  <c r="AI2090" i="2" s="1"/>
  <c r="AH2091" i="2"/>
  <c r="AI2091" i="2" s="1"/>
  <c r="AH2092" i="2"/>
  <c r="AI2092" i="2" s="1"/>
  <c r="AH2093" i="2"/>
  <c r="AI2093" i="2" s="1"/>
  <c r="AH2094" i="2"/>
  <c r="AI2094" i="2" s="1"/>
  <c r="AH2095" i="2"/>
  <c r="AI2095" i="2" s="1"/>
  <c r="AH2096" i="2"/>
  <c r="AI2096" i="2" s="1"/>
  <c r="AH2097" i="2"/>
  <c r="AJ2097" i="2" s="1"/>
  <c r="AH2098" i="2"/>
  <c r="AJ2098" i="2" s="1"/>
  <c r="AH2099" i="2"/>
  <c r="AJ2099" i="2" s="1"/>
  <c r="AH2100" i="2"/>
  <c r="AJ2100" i="2" s="1"/>
  <c r="AH2101" i="2"/>
  <c r="AJ2101" i="2" s="1"/>
  <c r="AH2102" i="2"/>
  <c r="AI2102" i="2" s="1"/>
  <c r="AH2103" i="2"/>
  <c r="AI2103" i="2" s="1"/>
  <c r="AH2104" i="2"/>
  <c r="AI2104" i="2" s="1"/>
  <c r="AH2105" i="2"/>
  <c r="AI2105" i="2" s="1"/>
  <c r="AH2106" i="2"/>
  <c r="AI2106" i="2" s="1"/>
  <c r="AH2107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I546" i="2"/>
  <c r="AI547" i="2"/>
  <c r="AI548" i="2"/>
  <c r="AI549" i="2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I616" i="2"/>
  <c r="AI617" i="2"/>
  <c r="AI618" i="2"/>
  <c r="AI619" i="2"/>
  <c r="AI620" i="2"/>
  <c r="AI621" i="2"/>
  <c r="AI622" i="2"/>
  <c r="AI623" i="2"/>
  <c r="AI624" i="2"/>
  <c r="AI625" i="2"/>
  <c r="AI626" i="2"/>
  <c r="AI627" i="2"/>
  <c r="AI628" i="2"/>
  <c r="AI629" i="2"/>
  <c r="AI630" i="2"/>
  <c r="AI631" i="2"/>
  <c r="AI632" i="2"/>
  <c r="AI633" i="2"/>
  <c r="AI634" i="2"/>
  <c r="AI635" i="2"/>
  <c r="AI636" i="2"/>
  <c r="AI637" i="2"/>
  <c r="AI638" i="2"/>
  <c r="AI639" i="2"/>
  <c r="AI640" i="2"/>
  <c r="AI641" i="2"/>
  <c r="AI642" i="2"/>
  <c r="AI643" i="2"/>
  <c r="AI644" i="2"/>
  <c r="AI645" i="2"/>
  <c r="AI646" i="2"/>
  <c r="AI647" i="2"/>
  <c r="AI648" i="2"/>
  <c r="AI649" i="2"/>
  <c r="AI650" i="2"/>
  <c r="AI651" i="2"/>
  <c r="AI652" i="2"/>
  <c r="AI653" i="2"/>
  <c r="AI654" i="2"/>
  <c r="AI655" i="2"/>
  <c r="AI656" i="2"/>
  <c r="AI657" i="2"/>
  <c r="AI658" i="2"/>
  <c r="AI659" i="2"/>
  <c r="AI660" i="2"/>
  <c r="AI661" i="2"/>
  <c r="AI662" i="2"/>
  <c r="AI663" i="2"/>
  <c r="AI664" i="2"/>
  <c r="AI665" i="2"/>
  <c r="AI666" i="2"/>
  <c r="AI667" i="2"/>
  <c r="AI668" i="2"/>
  <c r="AI669" i="2"/>
  <c r="AI670" i="2"/>
  <c r="AI671" i="2"/>
  <c r="AI672" i="2"/>
  <c r="AI673" i="2"/>
  <c r="AI674" i="2"/>
  <c r="AI675" i="2"/>
  <c r="AI676" i="2"/>
  <c r="AI677" i="2"/>
  <c r="AI678" i="2"/>
  <c r="AI679" i="2"/>
  <c r="AI680" i="2"/>
  <c r="AI681" i="2"/>
  <c r="AI682" i="2"/>
  <c r="AI683" i="2"/>
  <c r="AI684" i="2"/>
  <c r="AI685" i="2"/>
  <c r="AI686" i="2"/>
  <c r="AI687" i="2"/>
  <c r="AI688" i="2"/>
  <c r="AI689" i="2"/>
  <c r="AI690" i="2"/>
  <c r="AI691" i="2"/>
  <c r="AI692" i="2"/>
  <c r="AI693" i="2"/>
  <c r="AI694" i="2"/>
  <c r="AI695" i="2"/>
  <c r="AI696" i="2"/>
  <c r="AI697" i="2"/>
  <c r="AI698" i="2"/>
  <c r="AI699" i="2"/>
  <c r="AI700" i="2"/>
  <c r="AI701" i="2"/>
  <c r="AI702" i="2"/>
  <c r="AI703" i="2"/>
  <c r="AI704" i="2"/>
  <c r="AI705" i="2"/>
  <c r="AI706" i="2"/>
  <c r="AI707" i="2"/>
  <c r="AI708" i="2"/>
  <c r="AI709" i="2"/>
  <c r="AI710" i="2"/>
  <c r="AI711" i="2"/>
  <c r="AI712" i="2"/>
  <c r="AI713" i="2"/>
  <c r="AI714" i="2"/>
  <c r="AI715" i="2"/>
  <c r="AI716" i="2"/>
  <c r="AI717" i="2"/>
  <c r="AI718" i="2"/>
  <c r="AI719" i="2"/>
  <c r="AI720" i="2"/>
  <c r="AI721" i="2"/>
  <c r="AI722" i="2"/>
  <c r="AI723" i="2"/>
  <c r="AI724" i="2"/>
  <c r="AI725" i="2"/>
  <c r="AI726" i="2"/>
  <c r="AI727" i="2"/>
  <c r="AI728" i="2"/>
  <c r="AI729" i="2"/>
  <c r="AI730" i="2"/>
  <c r="AI731" i="2"/>
  <c r="AI732" i="2"/>
  <c r="AI733" i="2"/>
  <c r="AI734" i="2"/>
  <c r="AI735" i="2"/>
  <c r="AI736" i="2"/>
  <c r="AI737" i="2"/>
  <c r="AI738" i="2"/>
  <c r="AI739" i="2"/>
  <c r="AI740" i="2"/>
  <c r="AI741" i="2"/>
  <c r="AI742" i="2"/>
  <c r="AI743" i="2"/>
  <c r="AI744" i="2"/>
  <c r="AI745" i="2"/>
  <c r="AI746" i="2"/>
  <c r="AI747" i="2"/>
  <c r="AI748" i="2"/>
  <c r="AI749" i="2"/>
  <c r="AI750" i="2"/>
  <c r="AI751" i="2"/>
  <c r="AI752" i="2"/>
  <c r="AI753" i="2"/>
  <c r="AI754" i="2"/>
  <c r="AI755" i="2"/>
  <c r="AI756" i="2"/>
  <c r="AI757" i="2"/>
  <c r="AI758" i="2"/>
  <c r="AI759" i="2"/>
  <c r="AI760" i="2"/>
  <c r="AI761" i="2"/>
  <c r="AI762" i="2"/>
  <c r="AI763" i="2"/>
  <c r="AI764" i="2"/>
  <c r="AI765" i="2"/>
  <c r="AI766" i="2"/>
  <c r="AI767" i="2"/>
  <c r="AI768" i="2"/>
  <c r="AI769" i="2"/>
  <c r="AI770" i="2"/>
  <c r="AI771" i="2"/>
  <c r="AI772" i="2"/>
  <c r="AI773" i="2"/>
  <c r="AI774" i="2"/>
  <c r="AI775" i="2"/>
  <c r="AI776" i="2"/>
  <c r="AI777" i="2"/>
  <c r="AI778" i="2"/>
  <c r="AI779" i="2"/>
  <c r="AI780" i="2"/>
  <c r="AI781" i="2"/>
  <c r="AI782" i="2"/>
  <c r="AI783" i="2"/>
  <c r="AI784" i="2"/>
  <c r="AI785" i="2"/>
  <c r="AI786" i="2"/>
  <c r="AI787" i="2"/>
  <c r="AI788" i="2"/>
  <c r="AI789" i="2"/>
  <c r="AI790" i="2"/>
  <c r="AI791" i="2"/>
  <c r="AI792" i="2"/>
  <c r="AI793" i="2"/>
  <c r="AI794" i="2"/>
  <c r="AI795" i="2"/>
  <c r="AI796" i="2"/>
  <c r="AI797" i="2"/>
  <c r="AI798" i="2"/>
  <c r="AI799" i="2"/>
  <c r="AI800" i="2"/>
  <c r="AI801" i="2"/>
  <c r="AI802" i="2"/>
  <c r="AI803" i="2"/>
  <c r="AI804" i="2"/>
  <c r="AI805" i="2"/>
  <c r="AI806" i="2"/>
  <c r="AI807" i="2"/>
  <c r="AI808" i="2"/>
  <c r="AI809" i="2"/>
  <c r="AI810" i="2"/>
  <c r="AI811" i="2"/>
  <c r="AI812" i="2"/>
  <c r="AI813" i="2"/>
  <c r="AI814" i="2"/>
  <c r="AI815" i="2"/>
  <c r="AI816" i="2"/>
  <c r="AI817" i="2"/>
  <c r="AI818" i="2"/>
  <c r="AI819" i="2"/>
  <c r="AI820" i="2"/>
  <c r="AI821" i="2"/>
  <c r="AI822" i="2"/>
  <c r="AI823" i="2"/>
  <c r="AI824" i="2"/>
  <c r="AI825" i="2"/>
  <c r="AI826" i="2"/>
  <c r="AI827" i="2"/>
  <c r="AI828" i="2"/>
  <c r="AI829" i="2"/>
  <c r="AI830" i="2"/>
  <c r="AI831" i="2"/>
  <c r="AI832" i="2"/>
  <c r="AI833" i="2"/>
  <c r="AI834" i="2"/>
  <c r="AI835" i="2"/>
  <c r="AI836" i="2"/>
  <c r="AI837" i="2"/>
  <c r="AI838" i="2"/>
  <c r="AI839" i="2"/>
  <c r="AI840" i="2"/>
  <c r="AI841" i="2"/>
  <c r="AI842" i="2"/>
  <c r="AI843" i="2"/>
  <c r="AI844" i="2"/>
  <c r="AI845" i="2"/>
  <c r="AI846" i="2"/>
  <c r="AI847" i="2"/>
  <c r="AI848" i="2"/>
  <c r="AI849" i="2"/>
  <c r="AI850" i="2"/>
  <c r="AI851" i="2"/>
  <c r="AI852" i="2"/>
  <c r="AI853" i="2"/>
  <c r="AI854" i="2"/>
  <c r="AI855" i="2"/>
  <c r="AI856" i="2"/>
  <c r="AI857" i="2"/>
  <c r="AI858" i="2"/>
  <c r="AI859" i="2"/>
  <c r="AI860" i="2"/>
  <c r="AI861" i="2"/>
  <c r="AI862" i="2"/>
  <c r="AI863" i="2"/>
  <c r="AI864" i="2"/>
  <c r="AI865" i="2"/>
  <c r="AI866" i="2"/>
  <c r="AI867" i="2"/>
  <c r="AI868" i="2"/>
  <c r="AI869" i="2"/>
  <c r="AI870" i="2"/>
  <c r="AI871" i="2"/>
  <c r="AI872" i="2"/>
  <c r="AI873" i="2"/>
  <c r="AI874" i="2"/>
  <c r="AI875" i="2"/>
  <c r="AI876" i="2"/>
  <c r="AI877" i="2"/>
  <c r="AI878" i="2"/>
  <c r="AI879" i="2"/>
  <c r="AI880" i="2"/>
  <c r="AI881" i="2"/>
  <c r="AI882" i="2"/>
  <c r="AI883" i="2"/>
  <c r="AI884" i="2"/>
  <c r="AI885" i="2"/>
  <c r="AI886" i="2"/>
  <c r="AI887" i="2"/>
  <c r="AI888" i="2"/>
  <c r="AI889" i="2"/>
  <c r="AI890" i="2"/>
  <c r="AI891" i="2"/>
  <c r="AI892" i="2"/>
  <c r="AI893" i="2"/>
  <c r="AI894" i="2"/>
  <c r="AI895" i="2"/>
  <c r="AI896" i="2"/>
  <c r="AI897" i="2"/>
  <c r="AI898" i="2"/>
  <c r="AI899" i="2"/>
  <c r="AI900" i="2"/>
  <c r="AI901" i="2"/>
  <c r="AI902" i="2"/>
  <c r="AI903" i="2"/>
  <c r="AI904" i="2"/>
  <c r="AI905" i="2"/>
  <c r="AI906" i="2"/>
  <c r="AI907" i="2"/>
  <c r="AI908" i="2"/>
  <c r="AI909" i="2"/>
  <c r="AI910" i="2"/>
  <c r="AI911" i="2"/>
  <c r="AI912" i="2"/>
  <c r="AI913" i="2"/>
  <c r="AI914" i="2"/>
  <c r="AI915" i="2"/>
  <c r="AI916" i="2"/>
  <c r="AI917" i="2"/>
  <c r="AI918" i="2"/>
  <c r="AI919" i="2"/>
  <c r="AI920" i="2"/>
  <c r="AI921" i="2"/>
  <c r="AI922" i="2"/>
  <c r="AI923" i="2"/>
  <c r="AI924" i="2"/>
  <c r="AI925" i="2"/>
  <c r="AI926" i="2"/>
  <c r="AI927" i="2"/>
  <c r="AI928" i="2"/>
  <c r="AI929" i="2"/>
  <c r="AI930" i="2"/>
  <c r="AI931" i="2"/>
  <c r="AI932" i="2"/>
  <c r="AI933" i="2"/>
  <c r="AI934" i="2"/>
  <c r="AI935" i="2"/>
  <c r="AI936" i="2"/>
  <c r="AI937" i="2"/>
  <c r="AI938" i="2"/>
  <c r="AI939" i="2"/>
  <c r="AI940" i="2"/>
  <c r="AI941" i="2"/>
  <c r="AI942" i="2"/>
  <c r="AI943" i="2"/>
  <c r="AI944" i="2"/>
  <c r="AI945" i="2"/>
  <c r="AI946" i="2"/>
  <c r="AI947" i="2"/>
  <c r="AI948" i="2"/>
  <c r="AI949" i="2"/>
  <c r="AI950" i="2"/>
  <c r="AI951" i="2"/>
  <c r="AI952" i="2"/>
  <c r="AI953" i="2"/>
  <c r="AI954" i="2"/>
  <c r="AI955" i="2"/>
  <c r="AI956" i="2"/>
  <c r="AI957" i="2"/>
  <c r="AI958" i="2"/>
  <c r="AI959" i="2"/>
  <c r="AI960" i="2"/>
  <c r="AI961" i="2"/>
  <c r="AI962" i="2"/>
  <c r="AI963" i="2"/>
  <c r="AI964" i="2"/>
  <c r="AI965" i="2"/>
  <c r="AI966" i="2"/>
  <c r="AI967" i="2"/>
  <c r="AI968" i="2"/>
  <c r="AI969" i="2"/>
  <c r="AI970" i="2"/>
  <c r="AI971" i="2"/>
  <c r="AI972" i="2"/>
  <c r="AI973" i="2"/>
  <c r="AI974" i="2"/>
  <c r="AI975" i="2"/>
  <c r="AI976" i="2"/>
  <c r="AI977" i="2"/>
  <c r="AI978" i="2"/>
  <c r="AI979" i="2"/>
  <c r="AI980" i="2"/>
  <c r="AI981" i="2"/>
  <c r="AI982" i="2"/>
  <c r="AI983" i="2"/>
  <c r="AI984" i="2"/>
  <c r="AI985" i="2"/>
  <c r="AI986" i="2"/>
  <c r="AI987" i="2"/>
  <c r="AI988" i="2"/>
  <c r="AI989" i="2"/>
  <c r="AI990" i="2"/>
  <c r="AI991" i="2"/>
  <c r="AI992" i="2"/>
  <c r="AI993" i="2"/>
  <c r="AI994" i="2"/>
  <c r="AI995" i="2"/>
  <c r="AI996" i="2"/>
  <c r="AI997" i="2"/>
  <c r="AI998" i="2"/>
  <c r="AI999" i="2"/>
  <c r="AI1000" i="2"/>
  <c r="AI1001" i="2"/>
  <c r="AI1002" i="2"/>
  <c r="AI1003" i="2"/>
  <c r="AI1004" i="2"/>
  <c r="AI1005" i="2"/>
  <c r="AI1006" i="2"/>
  <c r="AI1007" i="2"/>
  <c r="AI1008" i="2"/>
  <c r="AI1009" i="2"/>
  <c r="AI1010" i="2"/>
  <c r="AI1011" i="2"/>
  <c r="AI1012" i="2"/>
  <c r="AI1013" i="2"/>
  <c r="AI1014" i="2"/>
  <c r="AI1015" i="2"/>
  <c r="AI1016" i="2"/>
  <c r="AI1017" i="2"/>
  <c r="AI1018" i="2"/>
  <c r="AI1019" i="2"/>
  <c r="AI1020" i="2"/>
  <c r="AI1021" i="2"/>
  <c r="AI1022" i="2"/>
  <c r="AI1023" i="2"/>
  <c r="AI1024" i="2"/>
  <c r="AI1025" i="2"/>
  <c r="AI1026" i="2"/>
  <c r="AI1027" i="2"/>
  <c r="AI1028" i="2"/>
  <c r="AI1029" i="2"/>
  <c r="AI1030" i="2"/>
  <c r="AI1031" i="2"/>
  <c r="AI1032" i="2"/>
  <c r="AI1033" i="2"/>
  <c r="AI1034" i="2"/>
  <c r="AI1035" i="2"/>
  <c r="AI1036" i="2"/>
  <c r="AI1037" i="2"/>
  <c r="AI1038" i="2"/>
  <c r="AI1039" i="2"/>
  <c r="AI1040" i="2"/>
  <c r="AI1041" i="2"/>
  <c r="AI1042" i="2"/>
  <c r="AI1043" i="2"/>
  <c r="AI1044" i="2"/>
  <c r="AI1045" i="2"/>
  <c r="AI1046" i="2"/>
  <c r="AI1047" i="2"/>
  <c r="AI1048" i="2"/>
  <c r="AI1049" i="2"/>
  <c r="AI1050" i="2"/>
  <c r="AI1051" i="2"/>
  <c r="AI1052" i="2"/>
  <c r="AI1053" i="2"/>
  <c r="AI1054" i="2"/>
  <c r="AI1055" i="2"/>
  <c r="AI1056" i="2"/>
  <c r="AI1057" i="2"/>
  <c r="AI1058" i="2"/>
  <c r="AI1059" i="2"/>
  <c r="AI1060" i="2"/>
  <c r="AI1061" i="2"/>
  <c r="AI1062" i="2"/>
  <c r="AI1063" i="2"/>
  <c r="AI1064" i="2"/>
  <c r="AI1065" i="2"/>
  <c r="AI1066" i="2"/>
  <c r="AI1067" i="2"/>
  <c r="AI1068" i="2"/>
  <c r="AI1069" i="2"/>
  <c r="AI1070" i="2"/>
  <c r="AI1071" i="2"/>
  <c r="AI1072" i="2"/>
  <c r="AI1073" i="2"/>
  <c r="AI1074" i="2"/>
  <c r="AI1075" i="2"/>
  <c r="AI1076" i="2"/>
  <c r="AI1077" i="2"/>
  <c r="AI1078" i="2"/>
  <c r="AI1079" i="2"/>
  <c r="AI1080" i="2"/>
  <c r="AI1081" i="2"/>
  <c r="AI1082" i="2"/>
  <c r="AI1083" i="2"/>
  <c r="AI1084" i="2"/>
  <c r="AI1085" i="2"/>
  <c r="AI1086" i="2"/>
  <c r="AI1087" i="2"/>
  <c r="AI1088" i="2"/>
  <c r="AI1089" i="2"/>
  <c r="AI1090" i="2"/>
  <c r="AI1091" i="2"/>
  <c r="AI1092" i="2"/>
  <c r="AI1093" i="2"/>
  <c r="AI1094" i="2"/>
  <c r="AI1095" i="2"/>
  <c r="AI1096" i="2"/>
  <c r="AI1097" i="2"/>
  <c r="AI1098" i="2"/>
  <c r="AI1099" i="2"/>
  <c r="AI1100" i="2"/>
  <c r="AI1101" i="2"/>
  <c r="AI1102" i="2"/>
  <c r="AI1103" i="2"/>
  <c r="AI1104" i="2"/>
  <c r="AI1105" i="2"/>
  <c r="AI1106" i="2"/>
  <c r="AI1107" i="2"/>
  <c r="AI1108" i="2"/>
  <c r="AI1109" i="2"/>
  <c r="AI1110" i="2"/>
  <c r="AI1111" i="2"/>
  <c r="AI1112" i="2"/>
  <c r="AI1113" i="2"/>
  <c r="AI1114" i="2"/>
  <c r="AI1115" i="2"/>
  <c r="AI1116" i="2"/>
  <c r="AI1117" i="2"/>
  <c r="AI1118" i="2"/>
  <c r="AI1119" i="2"/>
  <c r="AI1120" i="2"/>
  <c r="AI1121" i="2"/>
  <c r="AI1122" i="2"/>
  <c r="AI1123" i="2"/>
  <c r="AI1124" i="2"/>
  <c r="AI1125" i="2"/>
  <c r="AI1126" i="2"/>
  <c r="AI1127" i="2"/>
  <c r="AI1128" i="2"/>
  <c r="AI1129" i="2"/>
  <c r="AI1130" i="2"/>
  <c r="AI1131" i="2"/>
  <c r="AI1132" i="2"/>
  <c r="AI1133" i="2"/>
  <c r="AI1134" i="2"/>
  <c r="AI1135" i="2"/>
  <c r="AI1136" i="2"/>
  <c r="AI1137" i="2"/>
  <c r="AI1138" i="2"/>
  <c r="AI1139" i="2"/>
  <c r="AI1140" i="2"/>
  <c r="AI1141" i="2"/>
  <c r="AI1142" i="2"/>
  <c r="AI1143" i="2"/>
  <c r="AI1144" i="2"/>
  <c r="AI1145" i="2"/>
  <c r="AI1146" i="2"/>
  <c r="AI1147" i="2"/>
  <c r="AI1148" i="2"/>
  <c r="AI1149" i="2"/>
  <c r="AI1150" i="2"/>
  <c r="AI1151" i="2"/>
  <c r="AI1152" i="2"/>
  <c r="AI1153" i="2"/>
  <c r="AI1154" i="2"/>
  <c r="AI1155" i="2"/>
  <c r="AI1156" i="2"/>
  <c r="AI1157" i="2"/>
  <c r="AI1158" i="2"/>
  <c r="AI1159" i="2"/>
  <c r="AI1160" i="2"/>
  <c r="AI1161" i="2"/>
  <c r="AI1162" i="2"/>
  <c r="AI1163" i="2"/>
  <c r="AI1164" i="2"/>
  <c r="AI1165" i="2"/>
  <c r="AI1166" i="2"/>
  <c r="AI1167" i="2"/>
  <c r="AI1168" i="2"/>
  <c r="AI1169" i="2"/>
  <c r="AI1170" i="2"/>
  <c r="AI1171" i="2"/>
  <c r="AI1172" i="2"/>
  <c r="AI1173" i="2"/>
  <c r="AI1174" i="2"/>
  <c r="AI1175" i="2"/>
  <c r="AI1176" i="2"/>
  <c r="AI1177" i="2"/>
  <c r="AI1178" i="2"/>
  <c r="AI1179" i="2"/>
  <c r="AI1180" i="2"/>
  <c r="AI1181" i="2"/>
  <c r="AI1182" i="2"/>
  <c r="AI1183" i="2"/>
  <c r="AI1184" i="2"/>
  <c r="AI1185" i="2"/>
  <c r="AI1186" i="2"/>
  <c r="AI1187" i="2"/>
  <c r="AI1188" i="2"/>
  <c r="AI1189" i="2"/>
  <c r="AI1190" i="2"/>
  <c r="AI1191" i="2"/>
  <c r="AI1192" i="2"/>
  <c r="AI1193" i="2"/>
  <c r="AI1194" i="2"/>
  <c r="AI1195" i="2"/>
  <c r="AI1196" i="2"/>
  <c r="AI1197" i="2"/>
  <c r="AI1198" i="2"/>
  <c r="AI1199" i="2"/>
  <c r="AI1200" i="2"/>
  <c r="AI1201" i="2"/>
  <c r="AI1202" i="2"/>
  <c r="AI1203" i="2"/>
  <c r="AI1204" i="2"/>
  <c r="AI1205" i="2"/>
  <c r="AI1206" i="2"/>
  <c r="AI1207" i="2"/>
  <c r="AI1208" i="2"/>
  <c r="AI1209" i="2"/>
  <c r="AI1210" i="2"/>
  <c r="AI1211" i="2"/>
  <c r="AI1212" i="2"/>
  <c r="AI1213" i="2"/>
  <c r="AI1214" i="2"/>
  <c r="AI1215" i="2"/>
  <c r="AI1216" i="2"/>
  <c r="AI1217" i="2"/>
  <c r="AI1218" i="2"/>
  <c r="AI1219" i="2"/>
  <c r="AI1220" i="2"/>
  <c r="AI1221" i="2"/>
  <c r="AI1222" i="2"/>
  <c r="AI1223" i="2"/>
  <c r="AI1224" i="2"/>
  <c r="AI1225" i="2"/>
  <c r="AI1226" i="2"/>
  <c r="AI1227" i="2"/>
  <c r="AI1228" i="2"/>
  <c r="AI1229" i="2"/>
  <c r="AI1230" i="2"/>
  <c r="AI1231" i="2"/>
  <c r="AI1232" i="2"/>
  <c r="AI1233" i="2"/>
  <c r="AI1234" i="2"/>
  <c r="AI1235" i="2"/>
  <c r="AI1236" i="2"/>
  <c r="AI1237" i="2"/>
  <c r="AI1238" i="2"/>
  <c r="AI1239" i="2"/>
  <c r="AI1240" i="2"/>
  <c r="AI1241" i="2"/>
  <c r="AI1242" i="2"/>
  <c r="AI1243" i="2"/>
  <c r="AI1244" i="2"/>
  <c r="AI1245" i="2"/>
  <c r="AI1246" i="2"/>
  <c r="AI1247" i="2"/>
  <c r="AI1248" i="2"/>
  <c r="AI1249" i="2"/>
  <c r="AI1250" i="2"/>
  <c r="AI1251" i="2"/>
  <c r="AI1252" i="2"/>
  <c r="AI1253" i="2"/>
  <c r="AI1254" i="2"/>
  <c r="AI1255" i="2"/>
  <c r="AI1256" i="2"/>
  <c r="AI1257" i="2"/>
  <c r="AI1258" i="2"/>
  <c r="AI1259" i="2"/>
  <c r="AI1260" i="2"/>
  <c r="AI1261" i="2"/>
  <c r="AI1262" i="2"/>
  <c r="AI1263" i="2"/>
  <c r="AI1264" i="2"/>
  <c r="AI1265" i="2"/>
  <c r="AI1266" i="2"/>
  <c r="AI1267" i="2"/>
  <c r="AI1268" i="2"/>
  <c r="AI1269" i="2"/>
  <c r="AI1270" i="2"/>
  <c r="AI1271" i="2"/>
  <c r="AI1272" i="2"/>
  <c r="AI1273" i="2"/>
  <c r="AI1274" i="2"/>
  <c r="AI1275" i="2"/>
  <c r="AI1276" i="2"/>
  <c r="AI1277" i="2"/>
  <c r="AI1278" i="2"/>
  <c r="AI1279" i="2"/>
  <c r="AI1280" i="2"/>
  <c r="AI1281" i="2"/>
  <c r="AI1282" i="2"/>
  <c r="AI1283" i="2"/>
  <c r="AI1284" i="2"/>
  <c r="AI1285" i="2"/>
  <c r="AI1286" i="2"/>
  <c r="AI1287" i="2"/>
  <c r="AI1288" i="2"/>
  <c r="AI1289" i="2"/>
  <c r="AI1290" i="2"/>
  <c r="AI1291" i="2"/>
  <c r="AI1292" i="2"/>
  <c r="AI1293" i="2"/>
  <c r="AI1294" i="2"/>
  <c r="AI1295" i="2"/>
  <c r="AI1296" i="2"/>
  <c r="AI1297" i="2"/>
  <c r="AI1298" i="2"/>
  <c r="AI1299" i="2"/>
  <c r="AI1300" i="2"/>
  <c r="AI1301" i="2"/>
  <c r="AI1302" i="2"/>
  <c r="AI1303" i="2"/>
  <c r="AI1304" i="2"/>
  <c r="AI1305" i="2"/>
  <c r="AI1306" i="2"/>
  <c r="AI1307" i="2"/>
  <c r="AI1308" i="2"/>
  <c r="AI1309" i="2"/>
  <c r="AI1310" i="2"/>
  <c r="AI1311" i="2"/>
  <c r="AI1312" i="2"/>
  <c r="AI1313" i="2"/>
  <c r="AI1314" i="2"/>
  <c r="AI1315" i="2"/>
  <c r="AI1316" i="2"/>
  <c r="AI1317" i="2"/>
  <c r="AI1318" i="2"/>
  <c r="AI1319" i="2"/>
  <c r="AI1320" i="2"/>
  <c r="AI1321" i="2"/>
  <c r="AI1322" i="2"/>
  <c r="AI1323" i="2"/>
  <c r="AI1324" i="2"/>
  <c r="AI1325" i="2"/>
  <c r="AI1326" i="2"/>
  <c r="AI1327" i="2"/>
  <c r="AI1328" i="2"/>
  <c r="AI1329" i="2"/>
  <c r="AI1330" i="2"/>
  <c r="AI1331" i="2"/>
  <c r="AI1332" i="2"/>
  <c r="AI1333" i="2"/>
  <c r="AI1334" i="2"/>
  <c r="AI1335" i="2"/>
  <c r="AI1336" i="2"/>
  <c r="AI1337" i="2"/>
  <c r="AI1338" i="2"/>
  <c r="AI1339" i="2"/>
  <c r="AI1340" i="2"/>
  <c r="AI1341" i="2"/>
  <c r="AI1342" i="2"/>
  <c r="AI1343" i="2"/>
  <c r="AI1344" i="2"/>
  <c r="AI1345" i="2"/>
  <c r="AI1346" i="2"/>
  <c r="AI1347" i="2"/>
  <c r="AI1348" i="2"/>
  <c r="AI1349" i="2"/>
  <c r="AI1350" i="2"/>
  <c r="AI1351" i="2"/>
  <c r="AI1352" i="2"/>
  <c r="AI1353" i="2"/>
  <c r="AI1354" i="2"/>
  <c r="AI1355" i="2"/>
  <c r="AI1356" i="2"/>
  <c r="AI1357" i="2"/>
  <c r="AI1358" i="2"/>
  <c r="AI1359" i="2"/>
  <c r="AI1360" i="2"/>
  <c r="AI1361" i="2"/>
  <c r="AI1362" i="2"/>
  <c r="AI1363" i="2"/>
  <c r="AI1364" i="2"/>
  <c r="AI1365" i="2"/>
  <c r="AI1366" i="2"/>
  <c r="AI1367" i="2"/>
  <c r="AI1368" i="2"/>
  <c r="AI1369" i="2"/>
  <c r="AI1370" i="2"/>
  <c r="AI1371" i="2"/>
  <c r="AI1372" i="2"/>
  <c r="AI1373" i="2"/>
  <c r="AI1374" i="2"/>
  <c r="AI1375" i="2"/>
  <c r="AI1376" i="2"/>
  <c r="AI1377" i="2"/>
  <c r="AI1378" i="2"/>
  <c r="AI1379" i="2"/>
  <c r="AI1380" i="2"/>
  <c r="AI1381" i="2"/>
  <c r="AI1382" i="2"/>
  <c r="AI1383" i="2"/>
  <c r="AI1384" i="2"/>
  <c r="AI1385" i="2"/>
  <c r="AI1386" i="2"/>
  <c r="AI1387" i="2"/>
  <c r="AI1388" i="2"/>
  <c r="AI1389" i="2"/>
  <c r="AI1390" i="2"/>
  <c r="AI1391" i="2"/>
  <c r="AI1392" i="2"/>
  <c r="AI1393" i="2"/>
  <c r="AI1394" i="2"/>
  <c r="AI1395" i="2"/>
  <c r="AI1396" i="2"/>
  <c r="AI1397" i="2"/>
  <c r="AI1398" i="2"/>
  <c r="AI1399" i="2"/>
  <c r="AI1400" i="2"/>
  <c r="AI1401" i="2"/>
  <c r="AI1402" i="2"/>
  <c r="AI1403" i="2"/>
  <c r="AI1404" i="2"/>
  <c r="AI1405" i="2"/>
  <c r="AI1406" i="2"/>
  <c r="AI1407" i="2"/>
  <c r="AI1408" i="2"/>
  <c r="AI1409" i="2"/>
  <c r="AI1410" i="2"/>
  <c r="AI1411" i="2"/>
  <c r="AI1412" i="2"/>
  <c r="AI1413" i="2"/>
  <c r="AI1414" i="2"/>
  <c r="AI1415" i="2"/>
  <c r="AI1416" i="2"/>
  <c r="AI1417" i="2"/>
  <c r="AI1418" i="2"/>
  <c r="AI1419" i="2"/>
  <c r="AI1420" i="2"/>
  <c r="AI1421" i="2"/>
  <c r="AI1422" i="2"/>
  <c r="AI1423" i="2"/>
  <c r="AI1424" i="2"/>
  <c r="AI1425" i="2"/>
  <c r="AI1426" i="2"/>
  <c r="AI1427" i="2"/>
  <c r="AI1428" i="2"/>
  <c r="AI1429" i="2"/>
  <c r="AI1430" i="2"/>
  <c r="AI1431" i="2"/>
  <c r="AI1432" i="2"/>
  <c r="AI1433" i="2"/>
  <c r="AI1434" i="2"/>
  <c r="AI1435" i="2"/>
  <c r="AI1436" i="2"/>
  <c r="AI1437" i="2"/>
  <c r="AI1438" i="2"/>
  <c r="AI1439" i="2"/>
  <c r="AI1440" i="2"/>
  <c r="AI1441" i="2"/>
  <c r="AI1442" i="2"/>
  <c r="AI1443" i="2"/>
  <c r="AI1444" i="2"/>
  <c r="AI1445" i="2"/>
  <c r="AI1446" i="2"/>
  <c r="AI1447" i="2"/>
  <c r="AI1448" i="2"/>
  <c r="AI1449" i="2"/>
  <c r="AI1450" i="2"/>
  <c r="AI1451" i="2"/>
  <c r="AI1452" i="2"/>
  <c r="AI1453" i="2"/>
  <c r="AI1454" i="2"/>
  <c r="AI1455" i="2"/>
  <c r="AI1456" i="2"/>
  <c r="AI1457" i="2"/>
  <c r="AI1458" i="2"/>
  <c r="AI1459" i="2"/>
  <c r="AI1460" i="2"/>
  <c r="AI1461" i="2"/>
  <c r="AI1462" i="2"/>
  <c r="AI1463" i="2"/>
  <c r="AI1464" i="2"/>
  <c r="AI1465" i="2"/>
  <c r="AI1466" i="2"/>
  <c r="AI1467" i="2"/>
  <c r="AI1469" i="2"/>
  <c r="AI1470" i="2"/>
  <c r="AI1471" i="2"/>
  <c r="AI1472" i="2"/>
  <c r="AI1473" i="2"/>
  <c r="AI1474" i="2"/>
  <c r="AI1475" i="2"/>
  <c r="AI1476" i="2"/>
  <c r="AI1477" i="2"/>
  <c r="AI1478" i="2"/>
  <c r="AI1479" i="2"/>
  <c r="AI1481" i="2"/>
  <c r="AI1482" i="2"/>
  <c r="AI1483" i="2"/>
  <c r="AI1484" i="2"/>
  <c r="AI1485" i="2"/>
  <c r="AI1486" i="2"/>
  <c r="AI1487" i="2"/>
  <c r="AI1488" i="2"/>
  <c r="AI1489" i="2"/>
  <c r="AI1490" i="2"/>
  <c r="AI1493" i="2"/>
  <c r="AI1494" i="2"/>
  <c r="AI1495" i="2"/>
  <c r="AI1496" i="2"/>
  <c r="AI1497" i="2"/>
  <c r="AI1498" i="2"/>
  <c r="AI1499" i="2"/>
  <c r="AI1500" i="2"/>
  <c r="AI1501" i="2"/>
  <c r="AI1502" i="2"/>
  <c r="AI1505" i="2"/>
  <c r="AI1506" i="2"/>
  <c r="AI1507" i="2"/>
  <c r="AI1508" i="2"/>
  <c r="AI1509" i="2"/>
  <c r="AI1510" i="2"/>
  <c r="AI1511" i="2"/>
  <c r="AI1512" i="2"/>
  <c r="AI1513" i="2"/>
  <c r="AI1514" i="2"/>
  <c r="AI1517" i="2"/>
  <c r="AI1518" i="2"/>
  <c r="AI1519" i="2"/>
  <c r="AI1520" i="2"/>
  <c r="AI1521" i="2"/>
  <c r="AI1522" i="2"/>
  <c r="AI1523" i="2"/>
  <c r="AI1524" i="2"/>
  <c r="AI1525" i="2"/>
  <c r="AI1526" i="2"/>
  <c r="AI1529" i="2"/>
  <c r="AI1530" i="2"/>
  <c r="AI1531" i="2"/>
  <c r="AI1532" i="2"/>
  <c r="AI1533" i="2"/>
  <c r="AI1534" i="2"/>
  <c r="AI1535" i="2"/>
  <c r="AI1536" i="2"/>
  <c r="AI1537" i="2"/>
  <c r="AI1538" i="2"/>
  <c r="AI1541" i="2"/>
  <c r="AI1542" i="2"/>
  <c r="AI1543" i="2"/>
  <c r="AI1544" i="2"/>
  <c r="AI1545" i="2"/>
  <c r="AI1546" i="2"/>
  <c r="AI1547" i="2"/>
  <c r="AI1548" i="2"/>
  <c r="AI1549" i="2"/>
  <c r="AI1550" i="2"/>
  <c r="AI1553" i="2"/>
  <c r="AI1554" i="2"/>
  <c r="AI1555" i="2"/>
  <c r="AI1556" i="2"/>
  <c r="AI1557" i="2"/>
  <c r="AI1558" i="2"/>
  <c r="AI1559" i="2"/>
  <c r="AI1560" i="2"/>
  <c r="AI1561" i="2"/>
  <c r="AI1562" i="2"/>
  <c r="AI1565" i="2"/>
  <c r="AI1566" i="2"/>
  <c r="AI1567" i="2"/>
  <c r="AI1568" i="2"/>
  <c r="AI1569" i="2"/>
  <c r="AI1570" i="2"/>
  <c r="AI1571" i="2"/>
  <c r="AI1572" i="2"/>
  <c r="AI1573" i="2"/>
  <c r="AI1574" i="2"/>
  <c r="AI1577" i="2"/>
  <c r="AI1579" i="2"/>
  <c r="AI1580" i="2"/>
  <c r="AI1581" i="2"/>
  <c r="AI1582" i="2"/>
  <c r="AI1583" i="2"/>
  <c r="AI1584" i="2"/>
  <c r="AI1585" i="2"/>
  <c r="AI1586" i="2"/>
  <c r="AI1589" i="2"/>
  <c r="AI1592" i="2"/>
  <c r="AI1593" i="2"/>
  <c r="AI1594" i="2"/>
  <c r="AI1595" i="2"/>
  <c r="AI1596" i="2"/>
  <c r="AI1597" i="2"/>
  <c r="AI1598" i="2"/>
  <c r="AI1601" i="2"/>
  <c r="AI1604" i="2"/>
  <c r="AI1605" i="2"/>
  <c r="AI1606" i="2"/>
  <c r="AI1607" i="2"/>
  <c r="AI1608" i="2"/>
  <c r="AI1609" i="2"/>
  <c r="AI1611" i="2"/>
  <c r="AI1613" i="2"/>
  <c r="AI1616" i="2"/>
  <c r="AI1617" i="2"/>
  <c r="AI1618" i="2"/>
  <c r="AI1619" i="2"/>
  <c r="AI1620" i="2"/>
  <c r="AI1621" i="2"/>
  <c r="AI1623" i="2"/>
  <c r="AI1625" i="2"/>
  <c r="AI1628" i="2"/>
  <c r="AI1629" i="2"/>
  <c r="AI1630" i="2"/>
  <c r="AI1631" i="2"/>
  <c r="AI1632" i="2"/>
  <c r="AI1633" i="2"/>
  <c r="AI1635" i="2"/>
  <c r="AI1637" i="2"/>
  <c r="AI1639" i="2"/>
  <c r="AI1640" i="2"/>
  <c r="AI1641" i="2"/>
  <c r="AI1642" i="2"/>
  <c r="AI1643" i="2"/>
  <c r="AI1644" i="2"/>
  <c r="AI1645" i="2"/>
  <c r="AI1647" i="2"/>
  <c r="AI1649" i="2"/>
  <c r="AI1651" i="2"/>
  <c r="AI1652" i="2"/>
  <c r="AI1653" i="2"/>
  <c r="AI1654" i="2"/>
  <c r="AI1655" i="2"/>
  <c r="AI1661" i="2"/>
  <c r="AI1664" i="2"/>
  <c r="AI1665" i="2"/>
  <c r="AI1666" i="2"/>
  <c r="AI1667" i="2"/>
  <c r="AI1668" i="2"/>
  <c r="AI1669" i="2"/>
  <c r="AI1671" i="2"/>
  <c r="AI1673" i="2"/>
  <c r="AI1676" i="2"/>
  <c r="AI1677" i="2"/>
  <c r="AI1678" i="2"/>
  <c r="AI1679" i="2"/>
  <c r="AI1680" i="2"/>
  <c r="AI1681" i="2"/>
  <c r="AI1683" i="2"/>
  <c r="AI1685" i="2"/>
  <c r="AI1687" i="2"/>
  <c r="AI1688" i="2"/>
  <c r="AI1689" i="2"/>
  <c r="AI1690" i="2"/>
  <c r="AI1691" i="2"/>
  <c r="AI1695" i="2"/>
  <c r="AI1697" i="2"/>
  <c r="AI1700" i="2"/>
  <c r="AI1701" i="2"/>
  <c r="AI1702" i="2"/>
  <c r="AI1703" i="2"/>
  <c r="AI1707" i="2"/>
  <c r="AI1709" i="2"/>
  <c r="AI1712" i="2"/>
  <c r="AI1713" i="2"/>
  <c r="AI1714" i="2"/>
  <c r="AI1715" i="2"/>
  <c r="AI1716" i="2"/>
  <c r="AI1721" i="2"/>
  <c r="AI1725" i="2"/>
  <c r="AI1726" i="2"/>
  <c r="AI1727" i="2"/>
  <c r="AI1733" i="2"/>
  <c r="AI1736" i="2"/>
  <c r="AI1737" i="2"/>
  <c r="AI1738" i="2"/>
  <c r="AI1739" i="2"/>
  <c r="AI1745" i="2"/>
  <c r="AI1748" i="2"/>
  <c r="AI1749" i="2"/>
  <c r="AI1750" i="2"/>
  <c r="AI1751" i="2"/>
  <c r="AI1761" i="2"/>
  <c r="AI1762" i="2"/>
  <c r="AI1765" i="2"/>
  <c r="AI1769" i="2"/>
  <c r="AI1772" i="2"/>
  <c r="AI1773" i="2"/>
  <c r="AI1774" i="2"/>
  <c r="AI1775" i="2"/>
  <c r="AI1776" i="2"/>
  <c r="AI1781" i="2"/>
  <c r="AI1785" i="2"/>
  <c r="AI1786" i="2"/>
  <c r="AI1787" i="2"/>
  <c r="AI1788" i="2"/>
  <c r="AI1789" i="2"/>
  <c r="AI1793" i="2"/>
  <c r="AI1797" i="2"/>
  <c r="AI1798" i="2"/>
  <c r="AI1799" i="2"/>
  <c r="AI1800" i="2"/>
  <c r="AI1808" i="2"/>
  <c r="AI1809" i="2"/>
  <c r="AI1810" i="2"/>
  <c r="AI1811" i="2"/>
  <c r="AI1817" i="2"/>
  <c r="AI1820" i="2"/>
  <c r="AI1821" i="2"/>
  <c r="AI1822" i="2"/>
  <c r="AI1823" i="2"/>
  <c r="AI1829" i="2"/>
  <c r="AI1832" i="2"/>
  <c r="AI1833" i="2"/>
  <c r="AI1834" i="2"/>
  <c r="AI1835" i="2"/>
  <c r="AI1844" i="2"/>
  <c r="AI1845" i="2"/>
  <c r="AI1846" i="2"/>
  <c r="AI1847" i="2"/>
  <c r="AI1848" i="2"/>
  <c r="AI1853" i="2"/>
  <c r="AI1856" i="2"/>
  <c r="AI1857" i="2"/>
  <c r="AI1858" i="2"/>
  <c r="AI1869" i="2"/>
  <c r="AI1870" i="2"/>
  <c r="AI1871" i="2"/>
  <c r="AI1872" i="2"/>
  <c r="AI1873" i="2"/>
  <c r="AI1880" i="2"/>
  <c r="AI1881" i="2"/>
  <c r="AI1882" i="2"/>
  <c r="AI1883" i="2"/>
  <c r="AI1893" i="2"/>
  <c r="AI1894" i="2"/>
  <c r="AI1895" i="2"/>
  <c r="AI1901" i="2"/>
  <c r="AI1905" i="2"/>
  <c r="AI1906" i="2"/>
  <c r="AI1913" i="2"/>
  <c r="AI1916" i="2"/>
  <c r="AI1917" i="2"/>
  <c r="AI1918" i="2"/>
  <c r="AI1919" i="2"/>
  <c r="AI1929" i="2"/>
  <c r="AI1930" i="2"/>
  <c r="AI1931" i="2"/>
  <c r="AI1932" i="2"/>
  <c r="AI1933" i="2"/>
  <c r="AI1937" i="2"/>
  <c r="AI1941" i="2"/>
  <c r="AI1942" i="2"/>
  <c r="AI1944" i="2"/>
  <c r="AI1953" i="2"/>
  <c r="AI1954" i="2"/>
  <c r="AI1955" i="2"/>
  <c r="AI1956" i="2"/>
  <c r="AI1961" i="2"/>
  <c r="AI1964" i="2"/>
  <c r="AI1965" i="2"/>
  <c r="AI1966" i="2"/>
  <c r="AI1976" i="2"/>
  <c r="AI1977" i="2"/>
  <c r="AI1978" i="2"/>
  <c r="AI1979" i="2"/>
  <c r="AI1989" i="2"/>
  <c r="AI1990" i="2"/>
  <c r="AI2001" i="2"/>
  <c r="AI2002" i="2"/>
  <c r="AI2003" i="2"/>
  <c r="AI2012" i="2"/>
  <c r="AI2013" i="2"/>
  <c r="AI2014" i="2"/>
  <c r="AI2024" i="2"/>
  <c r="AI2025" i="2"/>
  <c r="AI2026" i="2"/>
  <c r="AI2037" i="2"/>
  <c r="AI2038" i="2"/>
  <c r="AI2049" i="2"/>
  <c r="AI2050" i="2"/>
  <c r="AI2051" i="2"/>
  <c r="AI2061" i="2"/>
  <c r="AI2062" i="2"/>
  <c r="AI2073" i="2"/>
  <c r="AI2074" i="2"/>
  <c r="AI2085" i="2"/>
  <c r="AI2086" i="2"/>
  <c r="AI2097" i="2"/>
  <c r="AI2098" i="2"/>
  <c r="AI2099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1" i="2"/>
  <c r="AJ902" i="2"/>
  <c r="AJ903" i="2"/>
  <c r="AJ904" i="2"/>
  <c r="AJ905" i="2"/>
  <c r="AJ906" i="2"/>
  <c r="AJ907" i="2"/>
  <c r="AJ908" i="2"/>
  <c r="AJ909" i="2"/>
  <c r="AJ910" i="2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J924" i="2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8" i="2"/>
  <c r="AJ979" i="2"/>
  <c r="AJ980" i="2"/>
  <c r="AJ981" i="2"/>
  <c r="AJ982" i="2"/>
  <c r="AJ983" i="2"/>
  <c r="AJ984" i="2"/>
  <c r="AJ985" i="2"/>
  <c r="AJ986" i="2"/>
  <c r="AJ987" i="2"/>
  <c r="AJ988" i="2"/>
  <c r="AJ989" i="2"/>
  <c r="AJ990" i="2"/>
  <c r="AJ991" i="2"/>
  <c r="AJ992" i="2"/>
  <c r="AJ993" i="2"/>
  <c r="AJ994" i="2"/>
  <c r="AJ995" i="2"/>
  <c r="AJ996" i="2"/>
  <c r="AJ997" i="2"/>
  <c r="AJ998" i="2"/>
  <c r="AJ999" i="2"/>
  <c r="AJ1000" i="2"/>
  <c r="AJ1001" i="2"/>
  <c r="AJ1002" i="2"/>
  <c r="AJ1003" i="2"/>
  <c r="AJ1004" i="2"/>
  <c r="AJ1005" i="2"/>
  <c r="AJ1006" i="2"/>
  <c r="AJ1007" i="2"/>
  <c r="AJ1008" i="2"/>
  <c r="AJ1009" i="2"/>
  <c r="AJ1010" i="2"/>
  <c r="AJ1011" i="2"/>
  <c r="AJ1012" i="2"/>
  <c r="AJ1013" i="2"/>
  <c r="AJ1014" i="2"/>
  <c r="AJ1015" i="2"/>
  <c r="AJ1016" i="2"/>
  <c r="AJ1017" i="2"/>
  <c r="AJ1018" i="2"/>
  <c r="AJ1019" i="2"/>
  <c r="AJ1020" i="2"/>
  <c r="AJ1021" i="2"/>
  <c r="AJ1022" i="2"/>
  <c r="AJ1023" i="2"/>
  <c r="AJ1024" i="2"/>
  <c r="AJ1025" i="2"/>
  <c r="AJ1026" i="2"/>
  <c r="AJ1027" i="2"/>
  <c r="AJ1028" i="2"/>
  <c r="AJ1029" i="2"/>
  <c r="AJ1030" i="2"/>
  <c r="AJ1031" i="2"/>
  <c r="AJ1032" i="2"/>
  <c r="AJ1033" i="2"/>
  <c r="AJ1034" i="2"/>
  <c r="AJ1035" i="2"/>
  <c r="AJ1036" i="2"/>
  <c r="AJ1037" i="2"/>
  <c r="AJ1038" i="2"/>
  <c r="AJ1039" i="2"/>
  <c r="AJ1040" i="2"/>
  <c r="AJ1041" i="2"/>
  <c r="AJ1042" i="2"/>
  <c r="AJ1043" i="2"/>
  <c r="AJ1044" i="2"/>
  <c r="AJ1045" i="2"/>
  <c r="AJ1046" i="2"/>
  <c r="AJ1047" i="2"/>
  <c r="AJ1048" i="2"/>
  <c r="AJ1049" i="2"/>
  <c r="AJ1050" i="2"/>
  <c r="AJ1051" i="2"/>
  <c r="AJ1052" i="2"/>
  <c r="AJ1053" i="2"/>
  <c r="AJ1054" i="2"/>
  <c r="AJ1055" i="2"/>
  <c r="AJ1056" i="2"/>
  <c r="AJ1057" i="2"/>
  <c r="AJ1058" i="2"/>
  <c r="AJ1059" i="2"/>
  <c r="AJ1060" i="2"/>
  <c r="AJ1061" i="2"/>
  <c r="AJ1062" i="2"/>
  <c r="AJ1063" i="2"/>
  <c r="AJ1064" i="2"/>
  <c r="AJ1065" i="2"/>
  <c r="AJ1066" i="2"/>
  <c r="AJ1067" i="2"/>
  <c r="AJ1068" i="2"/>
  <c r="AJ1069" i="2"/>
  <c r="AJ1070" i="2"/>
  <c r="AJ1071" i="2"/>
  <c r="AJ1072" i="2"/>
  <c r="AJ1073" i="2"/>
  <c r="AJ1074" i="2"/>
  <c r="AJ1075" i="2"/>
  <c r="AJ1076" i="2"/>
  <c r="AJ1077" i="2"/>
  <c r="AJ1078" i="2"/>
  <c r="AJ1079" i="2"/>
  <c r="AJ1080" i="2"/>
  <c r="AJ1081" i="2"/>
  <c r="AJ1082" i="2"/>
  <c r="AJ1083" i="2"/>
  <c r="AJ1084" i="2"/>
  <c r="AJ1085" i="2"/>
  <c r="AJ1086" i="2"/>
  <c r="AJ1087" i="2"/>
  <c r="AJ1088" i="2"/>
  <c r="AJ1089" i="2"/>
  <c r="AJ1090" i="2"/>
  <c r="AJ1091" i="2"/>
  <c r="AJ1092" i="2"/>
  <c r="AJ1093" i="2"/>
  <c r="AJ1094" i="2"/>
  <c r="AJ1095" i="2"/>
  <c r="AJ1096" i="2"/>
  <c r="AJ1097" i="2"/>
  <c r="AJ1098" i="2"/>
  <c r="AJ1099" i="2"/>
  <c r="AJ1100" i="2"/>
  <c r="AJ1101" i="2"/>
  <c r="AJ1102" i="2"/>
  <c r="AJ1103" i="2"/>
  <c r="AJ1104" i="2"/>
  <c r="AJ1105" i="2"/>
  <c r="AJ1106" i="2"/>
  <c r="AJ1107" i="2"/>
  <c r="AJ1108" i="2"/>
  <c r="AJ1109" i="2"/>
  <c r="AJ1110" i="2"/>
  <c r="AJ1111" i="2"/>
  <c r="AJ1112" i="2"/>
  <c r="AJ1113" i="2"/>
  <c r="AJ1114" i="2"/>
  <c r="AJ1115" i="2"/>
  <c r="AJ1116" i="2"/>
  <c r="AJ1117" i="2"/>
  <c r="AJ1118" i="2"/>
  <c r="AJ1119" i="2"/>
  <c r="AJ1120" i="2"/>
  <c r="AJ1121" i="2"/>
  <c r="AJ1122" i="2"/>
  <c r="AJ1123" i="2"/>
  <c r="AJ1124" i="2"/>
  <c r="AJ1125" i="2"/>
  <c r="AJ1126" i="2"/>
  <c r="AJ1127" i="2"/>
  <c r="AJ1128" i="2"/>
  <c r="AJ1129" i="2"/>
  <c r="AJ1130" i="2"/>
  <c r="AJ1131" i="2"/>
  <c r="AJ1132" i="2"/>
  <c r="AJ1133" i="2"/>
  <c r="AJ1134" i="2"/>
  <c r="AJ1135" i="2"/>
  <c r="AJ1136" i="2"/>
  <c r="AJ1137" i="2"/>
  <c r="AJ1138" i="2"/>
  <c r="AJ1139" i="2"/>
  <c r="AJ1140" i="2"/>
  <c r="AJ1141" i="2"/>
  <c r="AJ1142" i="2"/>
  <c r="AJ1143" i="2"/>
  <c r="AJ1144" i="2"/>
  <c r="AJ1145" i="2"/>
  <c r="AJ1146" i="2"/>
  <c r="AJ1147" i="2"/>
  <c r="AJ1148" i="2"/>
  <c r="AJ1149" i="2"/>
  <c r="AJ1150" i="2"/>
  <c r="AJ1151" i="2"/>
  <c r="AJ1152" i="2"/>
  <c r="AJ1153" i="2"/>
  <c r="AJ1154" i="2"/>
  <c r="AJ1155" i="2"/>
  <c r="AJ1156" i="2"/>
  <c r="AJ1157" i="2"/>
  <c r="AJ1158" i="2"/>
  <c r="AJ1159" i="2"/>
  <c r="AJ1160" i="2"/>
  <c r="AJ1161" i="2"/>
  <c r="AJ1162" i="2"/>
  <c r="AJ1163" i="2"/>
  <c r="AJ1164" i="2"/>
  <c r="AJ1165" i="2"/>
  <c r="AJ1166" i="2"/>
  <c r="AJ1167" i="2"/>
  <c r="AJ1168" i="2"/>
  <c r="AJ1169" i="2"/>
  <c r="AJ1170" i="2"/>
  <c r="AJ1171" i="2"/>
  <c r="AJ1172" i="2"/>
  <c r="AJ1173" i="2"/>
  <c r="AJ1174" i="2"/>
  <c r="AJ1175" i="2"/>
  <c r="AJ1176" i="2"/>
  <c r="AJ1177" i="2"/>
  <c r="AJ1178" i="2"/>
  <c r="AJ1179" i="2"/>
  <c r="AJ1180" i="2"/>
  <c r="AJ1181" i="2"/>
  <c r="AJ1182" i="2"/>
  <c r="AJ1183" i="2"/>
  <c r="AJ1184" i="2"/>
  <c r="AJ1185" i="2"/>
  <c r="AJ1186" i="2"/>
  <c r="AJ1187" i="2"/>
  <c r="AJ1188" i="2"/>
  <c r="AJ1189" i="2"/>
  <c r="AJ1190" i="2"/>
  <c r="AJ1191" i="2"/>
  <c r="AJ1192" i="2"/>
  <c r="AJ1193" i="2"/>
  <c r="AJ1194" i="2"/>
  <c r="AJ1195" i="2"/>
  <c r="AJ1196" i="2"/>
  <c r="AJ1197" i="2"/>
  <c r="AJ1198" i="2"/>
  <c r="AJ1199" i="2"/>
  <c r="AJ1200" i="2"/>
  <c r="AJ1201" i="2"/>
  <c r="AJ1202" i="2"/>
  <c r="AJ1203" i="2"/>
  <c r="AJ1204" i="2"/>
  <c r="AJ1205" i="2"/>
  <c r="AJ1206" i="2"/>
  <c r="AJ1207" i="2"/>
  <c r="AJ1208" i="2"/>
  <c r="AJ1209" i="2"/>
  <c r="AJ1210" i="2"/>
  <c r="AJ1211" i="2"/>
  <c r="AJ1212" i="2"/>
  <c r="AJ1213" i="2"/>
  <c r="AJ1214" i="2"/>
  <c r="AJ1215" i="2"/>
  <c r="AJ1216" i="2"/>
  <c r="AJ1217" i="2"/>
  <c r="AJ1218" i="2"/>
  <c r="AJ1219" i="2"/>
  <c r="AJ1220" i="2"/>
  <c r="AJ1221" i="2"/>
  <c r="AJ1222" i="2"/>
  <c r="AJ1223" i="2"/>
  <c r="AJ1224" i="2"/>
  <c r="AJ1225" i="2"/>
  <c r="AJ1226" i="2"/>
  <c r="AJ1227" i="2"/>
  <c r="AJ1228" i="2"/>
  <c r="AJ1229" i="2"/>
  <c r="AJ1230" i="2"/>
  <c r="AJ1231" i="2"/>
  <c r="AJ1232" i="2"/>
  <c r="AJ1233" i="2"/>
  <c r="AJ1234" i="2"/>
  <c r="AJ1235" i="2"/>
  <c r="AJ1236" i="2"/>
  <c r="AJ1237" i="2"/>
  <c r="AJ1238" i="2"/>
  <c r="AJ1239" i="2"/>
  <c r="AJ1240" i="2"/>
  <c r="AJ1241" i="2"/>
  <c r="AJ1242" i="2"/>
  <c r="AJ1243" i="2"/>
  <c r="AJ1244" i="2"/>
  <c r="AJ1245" i="2"/>
  <c r="AJ1246" i="2"/>
  <c r="AJ1247" i="2"/>
  <c r="AJ1248" i="2"/>
  <c r="AJ1249" i="2"/>
  <c r="AJ1250" i="2"/>
  <c r="AJ1251" i="2"/>
  <c r="AJ1252" i="2"/>
  <c r="AJ1253" i="2"/>
  <c r="AJ1254" i="2"/>
  <c r="AJ1255" i="2"/>
  <c r="AJ1256" i="2"/>
  <c r="AJ1257" i="2"/>
  <c r="AJ1258" i="2"/>
  <c r="AJ1259" i="2"/>
  <c r="AJ1260" i="2"/>
  <c r="AJ1261" i="2"/>
  <c r="AJ1262" i="2"/>
  <c r="AJ1263" i="2"/>
  <c r="AJ1264" i="2"/>
  <c r="AJ1265" i="2"/>
  <c r="AJ1266" i="2"/>
  <c r="AJ1267" i="2"/>
  <c r="AJ1268" i="2"/>
  <c r="AJ1269" i="2"/>
  <c r="AJ1270" i="2"/>
  <c r="AJ1271" i="2"/>
  <c r="AJ1272" i="2"/>
  <c r="AJ1273" i="2"/>
  <c r="AJ1274" i="2"/>
  <c r="AJ1275" i="2"/>
  <c r="AJ1276" i="2"/>
  <c r="AJ1277" i="2"/>
  <c r="AJ1278" i="2"/>
  <c r="AJ1279" i="2"/>
  <c r="AJ1280" i="2"/>
  <c r="AJ1281" i="2"/>
  <c r="AJ1282" i="2"/>
  <c r="AJ1283" i="2"/>
  <c r="AJ1284" i="2"/>
  <c r="AJ1285" i="2"/>
  <c r="AJ1286" i="2"/>
  <c r="AJ1287" i="2"/>
  <c r="AJ1288" i="2"/>
  <c r="AJ1289" i="2"/>
  <c r="AJ1290" i="2"/>
  <c r="AJ1291" i="2"/>
  <c r="AJ1292" i="2"/>
  <c r="AJ1293" i="2"/>
  <c r="AJ1294" i="2"/>
  <c r="AJ1295" i="2"/>
  <c r="AJ1296" i="2"/>
  <c r="AJ1297" i="2"/>
  <c r="AJ1298" i="2"/>
  <c r="AJ1299" i="2"/>
  <c r="AJ1300" i="2"/>
  <c r="AJ1301" i="2"/>
  <c r="AJ1302" i="2"/>
  <c r="AJ1303" i="2"/>
  <c r="AJ1304" i="2"/>
  <c r="AJ1305" i="2"/>
  <c r="AJ1306" i="2"/>
  <c r="AJ1307" i="2"/>
  <c r="AJ1308" i="2"/>
  <c r="AJ1309" i="2"/>
  <c r="AJ1310" i="2"/>
  <c r="AJ1311" i="2"/>
  <c r="AJ1312" i="2"/>
  <c r="AJ1313" i="2"/>
  <c r="AJ1314" i="2"/>
  <c r="AJ1315" i="2"/>
  <c r="AJ1316" i="2"/>
  <c r="AJ1317" i="2"/>
  <c r="AJ1318" i="2"/>
  <c r="AJ1319" i="2"/>
  <c r="AJ1320" i="2"/>
  <c r="AJ1321" i="2"/>
  <c r="AJ1322" i="2"/>
  <c r="AJ1323" i="2"/>
  <c r="AJ1324" i="2"/>
  <c r="AJ1325" i="2"/>
  <c r="AJ1326" i="2"/>
  <c r="AJ1327" i="2"/>
  <c r="AJ1328" i="2"/>
  <c r="AJ1329" i="2"/>
  <c r="AJ1330" i="2"/>
  <c r="AJ1331" i="2"/>
  <c r="AJ1332" i="2"/>
  <c r="AJ1333" i="2"/>
  <c r="AJ1334" i="2"/>
  <c r="AJ1335" i="2"/>
  <c r="AJ1336" i="2"/>
  <c r="AJ1337" i="2"/>
  <c r="AJ1338" i="2"/>
  <c r="AJ1339" i="2"/>
  <c r="AJ1340" i="2"/>
  <c r="AJ1341" i="2"/>
  <c r="AJ1342" i="2"/>
  <c r="AJ1343" i="2"/>
  <c r="AJ1344" i="2"/>
  <c r="AJ1345" i="2"/>
  <c r="AJ1346" i="2"/>
  <c r="AJ1347" i="2"/>
  <c r="AJ1348" i="2"/>
  <c r="AJ1349" i="2"/>
  <c r="AJ1350" i="2"/>
  <c r="AJ1351" i="2"/>
  <c r="AJ1352" i="2"/>
  <c r="AJ1353" i="2"/>
  <c r="AJ1354" i="2"/>
  <c r="AJ1355" i="2"/>
  <c r="AJ1356" i="2"/>
  <c r="AJ1357" i="2"/>
  <c r="AJ1358" i="2"/>
  <c r="AJ1359" i="2"/>
  <c r="AJ1360" i="2"/>
  <c r="AJ1361" i="2"/>
  <c r="AJ1362" i="2"/>
  <c r="AJ1364" i="2"/>
  <c r="AJ1365" i="2"/>
  <c r="AJ1366" i="2"/>
  <c r="AJ1367" i="2"/>
  <c r="AJ1368" i="2"/>
  <c r="AJ1369" i="2"/>
  <c r="AJ1370" i="2"/>
  <c r="AJ1371" i="2"/>
  <c r="AJ1372" i="2"/>
  <c r="AJ1373" i="2"/>
  <c r="AJ1374" i="2"/>
  <c r="AJ1376" i="2"/>
  <c r="AJ1377" i="2"/>
  <c r="AJ1378" i="2"/>
  <c r="AJ1379" i="2"/>
  <c r="AJ1380" i="2"/>
  <c r="AJ1381" i="2"/>
  <c r="AJ1382" i="2"/>
  <c r="AJ1383" i="2"/>
  <c r="AJ1384" i="2"/>
  <c r="AJ1385" i="2"/>
  <c r="AJ1386" i="2"/>
  <c r="AJ1388" i="2"/>
  <c r="AJ1389" i="2"/>
  <c r="AJ1390" i="2"/>
  <c r="AJ1391" i="2"/>
  <c r="AJ1392" i="2"/>
  <c r="AJ1393" i="2"/>
  <c r="AJ1394" i="2"/>
  <c r="AJ1395" i="2"/>
  <c r="AJ1396" i="2"/>
  <c r="AJ1397" i="2"/>
  <c r="AJ1398" i="2"/>
  <c r="AJ1400" i="2"/>
  <c r="AJ1401" i="2"/>
  <c r="AJ1402" i="2"/>
  <c r="AJ1403" i="2"/>
  <c r="AJ1404" i="2"/>
  <c r="AJ1405" i="2"/>
  <c r="AJ1406" i="2"/>
  <c r="AJ1407" i="2"/>
  <c r="AJ1408" i="2"/>
  <c r="AJ1409" i="2"/>
  <c r="AJ1410" i="2"/>
  <c r="AJ1412" i="2"/>
  <c r="AJ1413" i="2"/>
  <c r="AJ1414" i="2"/>
  <c r="AJ1415" i="2"/>
  <c r="AJ1416" i="2"/>
  <c r="AJ1417" i="2"/>
  <c r="AJ1418" i="2"/>
  <c r="AJ1419" i="2"/>
  <c r="AJ1420" i="2"/>
  <c r="AJ1421" i="2"/>
  <c r="AJ1422" i="2"/>
  <c r="AJ1424" i="2"/>
  <c r="AJ1425" i="2"/>
  <c r="AJ1426" i="2"/>
  <c r="AJ1427" i="2"/>
  <c r="AJ1428" i="2"/>
  <c r="AJ1429" i="2"/>
  <c r="AJ1430" i="2"/>
  <c r="AJ1431" i="2"/>
  <c r="AJ1432" i="2"/>
  <c r="AJ1433" i="2"/>
  <c r="AJ1434" i="2"/>
  <c r="AJ1436" i="2"/>
  <c r="AJ1437" i="2"/>
  <c r="AJ1438" i="2"/>
  <c r="AJ1439" i="2"/>
  <c r="AJ1440" i="2"/>
  <c r="AJ1441" i="2"/>
  <c r="AJ1442" i="2"/>
  <c r="AJ1443" i="2"/>
  <c r="AJ1444" i="2"/>
  <c r="AJ1445" i="2"/>
  <c r="AJ1446" i="2"/>
  <c r="AJ1448" i="2"/>
  <c r="AJ1449" i="2"/>
  <c r="AJ1450" i="2"/>
  <c r="AJ1451" i="2"/>
  <c r="AJ1452" i="2"/>
  <c r="AJ1453" i="2"/>
  <c r="AJ1454" i="2"/>
  <c r="AJ1455" i="2"/>
  <c r="AJ1456" i="2"/>
  <c r="AJ1457" i="2"/>
  <c r="AJ1458" i="2"/>
  <c r="AJ1460" i="2"/>
  <c r="AJ1461" i="2"/>
  <c r="AJ1462" i="2"/>
  <c r="AJ1463" i="2"/>
  <c r="AJ1464" i="2"/>
  <c r="AJ1465" i="2"/>
  <c r="AJ1466" i="2"/>
  <c r="AJ1467" i="2"/>
  <c r="AJ1468" i="2"/>
  <c r="AJ1469" i="2"/>
  <c r="AJ1472" i="2"/>
  <c r="AJ1473" i="2"/>
  <c r="AJ1474" i="2"/>
  <c r="AJ1475" i="2"/>
  <c r="AJ1476" i="2"/>
  <c r="AJ1477" i="2"/>
  <c r="AJ1478" i="2"/>
  <c r="AJ1479" i="2"/>
  <c r="AJ1480" i="2"/>
  <c r="AJ1481" i="2"/>
  <c r="AJ1484" i="2"/>
  <c r="AJ1485" i="2"/>
  <c r="AJ1486" i="2"/>
  <c r="AJ1487" i="2"/>
  <c r="AJ1488" i="2"/>
  <c r="AJ1489" i="2"/>
  <c r="AJ1490" i="2"/>
  <c r="AJ1491" i="2"/>
  <c r="AJ1492" i="2"/>
  <c r="AJ1493" i="2"/>
  <c r="AJ1496" i="2"/>
  <c r="AJ1497" i="2"/>
  <c r="AJ1498" i="2"/>
  <c r="AJ1499" i="2"/>
  <c r="AJ1500" i="2"/>
  <c r="AJ1501" i="2"/>
  <c r="AJ1502" i="2"/>
  <c r="AJ1503" i="2"/>
  <c r="AJ1504" i="2"/>
  <c r="AJ1505" i="2"/>
  <c r="AJ1508" i="2"/>
  <c r="AJ1509" i="2"/>
  <c r="AJ1510" i="2"/>
  <c r="AJ1511" i="2"/>
  <c r="AJ1512" i="2"/>
  <c r="AJ1513" i="2"/>
  <c r="AJ1514" i="2"/>
  <c r="AJ1515" i="2"/>
  <c r="AJ1516" i="2"/>
  <c r="AJ1517" i="2"/>
  <c r="AJ1520" i="2"/>
  <c r="AJ1521" i="2"/>
  <c r="AJ1522" i="2"/>
  <c r="AJ1523" i="2"/>
  <c r="AJ1524" i="2"/>
  <c r="AJ1525" i="2"/>
  <c r="AJ1526" i="2"/>
  <c r="AJ1527" i="2"/>
  <c r="AJ1528" i="2"/>
  <c r="AJ1529" i="2"/>
  <c r="AJ1532" i="2"/>
  <c r="AJ1533" i="2"/>
  <c r="AJ1534" i="2"/>
  <c r="AJ1535" i="2"/>
  <c r="AJ1536" i="2"/>
  <c r="AJ1537" i="2"/>
  <c r="AJ1538" i="2"/>
  <c r="AJ1539" i="2"/>
  <c r="AJ1540" i="2"/>
  <c r="AJ1541" i="2"/>
  <c r="AJ1544" i="2"/>
  <c r="AJ1545" i="2"/>
  <c r="AJ1546" i="2"/>
  <c r="AJ1547" i="2"/>
  <c r="AJ1548" i="2"/>
  <c r="AJ1549" i="2"/>
  <c r="AJ1550" i="2"/>
  <c r="AJ1551" i="2"/>
  <c r="AJ1552" i="2"/>
  <c r="AJ1553" i="2"/>
  <c r="AJ1556" i="2"/>
  <c r="AJ1557" i="2"/>
  <c r="AJ1558" i="2"/>
  <c r="AJ1559" i="2"/>
  <c r="AJ1560" i="2"/>
  <c r="AJ1561" i="2"/>
  <c r="AJ1562" i="2"/>
  <c r="AJ1563" i="2"/>
  <c r="AJ1564" i="2"/>
  <c r="AJ1565" i="2"/>
  <c r="AJ1568" i="2"/>
  <c r="AJ1569" i="2"/>
  <c r="AJ1570" i="2"/>
  <c r="AJ1571" i="2"/>
  <c r="AJ1572" i="2"/>
  <c r="AJ1573" i="2"/>
  <c r="AJ1574" i="2"/>
  <c r="AJ1575" i="2"/>
  <c r="AJ1576" i="2"/>
  <c r="AJ1577" i="2"/>
  <c r="AJ1580" i="2"/>
  <c r="AJ1581" i="2"/>
  <c r="AJ1582" i="2"/>
  <c r="AJ1583" i="2"/>
  <c r="AJ1584" i="2"/>
  <c r="AJ1585" i="2"/>
  <c r="AJ1586" i="2"/>
  <c r="AJ1587" i="2"/>
  <c r="AJ1588" i="2"/>
  <c r="AJ1589" i="2"/>
  <c r="AJ1592" i="2"/>
  <c r="AJ1593" i="2"/>
  <c r="AJ1594" i="2"/>
  <c r="AJ1595" i="2"/>
  <c r="AJ1596" i="2"/>
  <c r="AJ1597" i="2"/>
  <c r="AJ1598" i="2"/>
  <c r="AJ1599" i="2"/>
  <c r="AJ1600" i="2"/>
  <c r="AJ1601" i="2"/>
  <c r="AJ1604" i="2"/>
  <c r="AJ1605" i="2"/>
  <c r="AJ1606" i="2"/>
  <c r="AJ1607" i="2"/>
  <c r="AJ1608" i="2"/>
  <c r="AJ1609" i="2"/>
  <c r="AJ1610" i="2"/>
  <c r="AJ1611" i="2"/>
  <c r="AJ1612" i="2"/>
  <c r="AJ1613" i="2"/>
  <c r="AJ1616" i="2"/>
  <c r="AJ1617" i="2"/>
  <c r="AJ1618" i="2"/>
  <c r="AJ1619" i="2"/>
  <c r="AJ1620" i="2"/>
  <c r="AJ1621" i="2"/>
  <c r="AJ1622" i="2"/>
  <c r="AJ1623" i="2"/>
  <c r="AJ1624" i="2"/>
  <c r="AJ1625" i="2"/>
  <c r="AJ1628" i="2"/>
  <c r="AJ1629" i="2"/>
  <c r="AJ1630" i="2"/>
  <c r="AJ1631" i="2"/>
  <c r="AJ1632" i="2"/>
  <c r="AJ1633" i="2"/>
  <c r="AJ1634" i="2"/>
  <c r="AJ1635" i="2"/>
  <c r="AJ1636" i="2"/>
  <c r="AJ1637" i="2"/>
  <c r="AJ1640" i="2"/>
  <c r="AJ1641" i="2"/>
  <c r="AJ1642" i="2"/>
  <c r="AJ1643" i="2"/>
  <c r="AJ1644" i="2"/>
  <c r="AJ1645" i="2"/>
  <c r="AJ1646" i="2"/>
  <c r="AJ1647" i="2"/>
  <c r="AJ1648" i="2"/>
  <c r="AJ1649" i="2"/>
  <c r="AJ1652" i="2"/>
  <c r="AJ1653" i="2"/>
  <c r="AJ1654" i="2"/>
  <c r="AJ1655" i="2"/>
  <c r="AJ1656" i="2"/>
  <c r="AJ1657" i="2"/>
  <c r="AJ1658" i="2"/>
  <c r="AJ1659" i="2"/>
  <c r="AJ1660" i="2"/>
  <c r="AJ1661" i="2"/>
  <c r="AJ1664" i="2"/>
  <c r="AJ1665" i="2"/>
  <c r="AJ1666" i="2"/>
  <c r="AJ1667" i="2"/>
  <c r="AJ1669" i="2"/>
  <c r="AJ1670" i="2"/>
  <c r="AJ1671" i="2"/>
  <c r="AJ1673" i="2"/>
  <c r="AJ1675" i="2"/>
  <c r="AJ1676" i="2"/>
  <c r="AJ1677" i="2"/>
  <c r="AJ1678" i="2"/>
  <c r="AJ1679" i="2"/>
  <c r="AJ1682" i="2"/>
  <c r="AJ1683" i="2"/>
  <c r="AJ1684" i="2"/>
  <c r="AJ1685" i="2"/>
  <c r="AJ1688" i="2"/>
  <c r="AJ1689" i="2"/>
  <c r="AJ1690" i="2"/>
  <c r="AJ1691" i="2"/>
  <c r="AJ1697" i="2"/>
  <c r="AJ1700" i="2"/>
  <c r="AJ1701" i="2"/>
  <c r="AJ1702" i="2"/>
  <c r="AJ1703" i="2"/>
  <c r="AJ1705" i="2"/>
  <c r="AJ1709" i="2"/>
  <c r="AJ1712" i="2"/>
  <c r="AJ1713" i="2"/>
  <c r="AJ1714" i="2"/>
  <c r="AJ1715" i="2"/>
  <c r="AJ1717" i="2"/>
  <c r="AJ1718" i="2"/>
  <c r="AJ1719" i="2"/>
  <c r="AJ1721" i="2"/>
  <c r="AJ1724" i="2"/>
  <c r="AJ1725" i="2"/>
  <c r="AJ1726" i="2"/>
  <c r="AJ1727" i="2"/>
  <c r="AJ1729" i="2"/>
  <c r="AJ1731" i="2"/>
  <c r="AJ1732" i="2"/>
  <c r="AJ1733" i="2"/>
  <c r="AJ1736" i="2"/>
  <c r="AJ1737" i="2"/>
  <c r="AJ1738" i="2"/>
  <c r="AJ1739" i="2"/>
  <c r="AJ1741" i="2"/>
  <c r="AJ1742" i="2"/>
  <c r="AJ1743" i="2"/>
  <c r="AJ1745" i="2"/>
  <c r="AJ1748" i="2"/>
  <c r="AJ1749" i="2"/>
  <c r="AJ1750" i="2"/>
  <c r="AJ1751" i="2"/>
  <c r="AJ1755" i="2"/>
  <c r="AJ1757" i="2"/>
  <c r="AJ1760" i="2"/>
  <c r="AJ1761" i="2"/>
  <c r="AJ1762" i="2"/>
  <c r="AJ1763" i="2"/>
  <c r="AJ1769" i="2"/>
  <c r="AJ1772" i="2"/>
  <c r="AJ1773" i="2"/>
  <c r="AJ1774" i="2"/>
  <c r="AJ1775" i="2"/>
  <c r="AJ1777" i="2"/>
  <c r="AJ1781" i="2"/>
  <c r="AJ1784" i="2"/>
  <c r="AJ1785" i="2"/>
  <c r="AJ1786" i="2"/>
  <c r="AJ1787" i="2"/>
  <c r="AJ1789" i="2"/>
  <c r="AJ1790" i="2"/>
  <c r="AJ1796" i="2"/>
  <c r="AJ1797" i="2"/>
  <c r="AJ1798" i="2"/>
  <c r="AJ1799" i="2"/>
  <c r="AJ1801" i="2"/>
  <c r="AJ1802" i="2"/>
  <c r="AJ1805" i="2"/>
  <c r="AJ1808" i="2"/>
  <c r="AJ1809" i="2"/>
  <c r="AJ1810" i="2"/>
  <c r="AJ1811" i="2"/>
  <c r="AJ1820" i="2"/>
  <c r="AJ1821" i="2"/>
  <c r="AJ1822" i="2"/>
  <c r="AJ1823" i="2"/>
  <c r="AJ1825" i="2"/>
  <c r="AJ1832" i="2"/>
  <c r="AJ1833" i="2"/>
  <c r="AJ1834" i="2"/>
  <c r="AJ1835" i="2"/>
  <c r="AJ1838" i="2"/>
  <c r="AJ1844" i="2"/>
  <c r="AJ1845" i="2"/>
  <c r="AJ1846" i="2"/>
  <c r="AJ1857" i="2"/>
  <c r="AJ1858" i="2"/>
  <c r="AJ1859" i="2"/>
  <c r="AJ1860" i="2"/>
  <c r="AJ1864" i="2"/>
  <c r="AJ1865" i="2"/>
  <c r="AJ1869" i="2"/>
  <c r="AJ1870" i="2"/>
  <c r="AJ1878" i="2"/>
  <c r="AJ1881" i="2"/>
  <c r="AJ1882" i="2"/>
  <c r="AJ1883" i="2"/>
  <c r="AJ1884" i="2"/>
  <c r="AJ1893" i="2"/>
  <c r="AJ1894" i="2"/>
  <c r="AJ1895" i="2"/>
  <c r="AJ1896" i="2"/>
  <c r="AJ1897" i="2"/>
  <c r="AJ1899" i="2"/>
  <c r="AJ1905" i="2"/>
  <c r="AJ1906" i="2"/>
  <c r="AJ1907" i="2"/>
  <c r="AJ1908" i="2"/>
  <c r="AJ1909" i="2"/>
  <c r="AJ1912" i="2"/>
  <c r="AJ1917" i="2"/>
  <c r="AJ1918" i="2"/>
  <c r="AJ1919" i="2"/>
  <c r="AJ1929" i="2"/>
  <c r="AJ1930" i="2"/>
  <c r="AJ1931" i="2"/>
  <c r="AJ1932" i="2"/>
  <c r="AJ1933" i="2"/>
  <c r="AJ1941" i="2"/>
  <c r="AJ1942" i="2"/>
  <c r="AJ1943" i="2"/>
  <c r="AJ1944" i="2"/>
  <c r="AJ1945" i="2"/>
  <c r="AJ1948" i="2"/>
  <c r="AJ1953" i="2"/>
  <c r="AJ1954" i="2"/>
  <c r="AJ1955" i="2"/>
  <c r="AJ1965" i="2"/>
  <c r="AJ1966" i="2"/>
  <c r="AJ1967" i="2"/>
  <c r="AJ1968" i="2"/>
  <c r="AJ1969" i="2"/>
  <c r="AJ1972" i="2"/>
  <c r="AJ1973" i="2"/>
  <c r="AJ1977" i="2"/>
  <c r="AJ1978" i="2"/>
  <c r="AJ1979" i="2"/>
  <c r="AJ1980" i="2"/>
  <c r="AJ1981" i="2"/>
  <c r="AJ1982" i="2"/>
  <c r="AJ1985" i="2"/>
  <c r="AJ1989" i="2"/>
  <c r="AJ1990" i="2"/>
  <c r="AJ1991" i="2"/>
  <c r="AJ1997" i="2"/>
  <c r="AJ2002" i="2"/>
  <c r="AJ2003" i="2"/>
  <c r="AJ2004" i="2"/>
  <c r="AJ2005" i="2"/>
  <c r="AJ2006" i="2"/>
  <c r="AJ2013" i="2"/>
  <c r="AJ2014" i="2"/>
  <c r="AJ2015" i="2"/>
  <c r="AJ2016" i="2"/>
  <c r="AJ2020" i="2"/>
  <c r="AJ2025" i="2"/>
  <c r="AJ2026" i="2"/>
  <c r="AJ2037" i="2"/>
  <c r="AJ2038" i="2"/>
  <c r="AJ2040" i="2"/>
  <c r="AJ2042" i="2"/>
  <c r="AJ2045" i="2"/>
  <c r="AJ2049" i="2"/>
  <c r="AJ2050" i="2"/>
  <c r="AJ2051" i="2"/>
  <c r="AJ2052" i="2"/>
  <c r="AJ2061" i="2"/>
  <c r="AJ2062" i="2"/>
  <c r="AJ2073" i="2"/>
  <c r="AJ2074" i="2"/>
  <c r="AJ2075" i="2"/>
  <c r="AJ2084" i="2"/>
  <c r="AJ2085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K1100" i="2"/>
  <c r="AK1101" i="2"/>
  <c r="AK1102" i="2"/>
  <c r="AK1103" i="2"/>
  <c r="AK1104" i="2"/>
  <c r="AK1105" i="2"/>
  <c r="AK1106" i="2"/>
  <c r="AK1107" i="2"/>
  <c r="AK1108" i="2"/>
  <c r="AK1109" i="2"/>
  <c r="AK1110" i="2"/>
  <c r="AK1111" i="2"/>
  <c r="AK1112" i="2"/>
  <c r="AK1113" i="2"/>
  <c r="AK1114" i="2"/>
  <c r="AK1115" i="2"/>
  <c r="AK1116" i="2"/>
  <c r="AK1117" i="2"/>
  <c r="AK1118" i="2"/>
  <c r="AK1119" i="2"/>
  <c r="AK1120" i="2"/>
  <c r="AK1121" i="2"/>
  <c r="AK1122" i="2"/>
  <c r="AK1123" i="2"/>
  <c r="AK1124" i="2"/>
  <c r="AK1125" i="2"/>
  <c r="AK1126" i="2"/>
  <c r="AK1127" i="2"/>
  <c r="AK1128" i="2"/>
  <c r="AK1129" i="2"/>
  <c r="AK1130" i="2"/>
  <c r="AK1131" i="2"/>
  <c r="AK1132" i="2"/>
  <c r="AK1133" i="2"/>
  <c r="AK1134" i="2"/>
  <c r="AK1135" i="2"/>
  <c r="AK1136" i="2"/>
  <c r="AK1137" i="2"/>
  <c r="AK1138" i="2"/>
  <c r="AK1139" i="2"/>
  <c r="AK1140" i="2"/>
  <c r="AK1141" i="2"/>
  <c r="AK1142" i="2"/>
  <c r="AK1143" i="2"/>
  <c r="AK1144" i="2"/>
  <c r="AK1145" i="2"/>
  <c r="AK1146" i="2"/>
  <c r="AK1147" i="2"/>
  <c r="AK1148" i="2"/>
  <c r="AK1149" i="2"/>
  <c r="AK1150" i="2"/>
  <c r="AK1151" i="2"/>
  <c r="AK1152" i="2"/>
  <c r="AK1153" i="2"/>
  <c r="AK1154" i="2"/>
  <c r="AK1155" i="2"/>
  <c r="AK1156" i="2"/>
  <c r="AK1157" i="2"/>
  <c r="AK1158" i="2"/>
  <c r="AK1159" i="2"/>
  <c r="AK1160" i="2"/>
  <c r="AK1161" i="2"/>
  <c r="AK1162" i="2"/>
  <c r="AK1163" i="2"/>
  <c r="AK1164" i="2"/>
  <c r="AK1165" i="2"/>
  <c r="AK1166" i="2"/>
  <c r="AK1167" i="2"/>
  <c r="AK1168" i="2"/>
  <c r="AK1169" i="2"/>
  <c r="AK1170" i="2"/>
  <c r="AK1171" i="2"/>
  <c r="AK1172" i="2"/>
  <c r="AK1173" i="2"/>
  <c r="AK1174" i="2"/>
  <c r="AK1175" i="2"/>
  <c r="AK1176" i="2"/>
  <c r="AK1177" i="2"/>
  <c r="AK1178" i="2"/>
  <c r="AK1179" i="2"/>
  <c r="AK1180" i="2"/>
  <c r="AK1181" i="2"/>
  <c r="AK1182" i="2"/>
  <c r="AK1183" i="2"/>
  <c r="AK1184" i="2"/>
  <c r="AK1185" i="2"/>
  <c r="AK1186" i="2"/>
  <c r="AK1187" i="2"/>
  <c r="AK1188" i="2"/>
  <c r="AK1189" i="2"/>
  <c r="AK1190" i="2"/>
  <c r="AK1191" i="2"/>
  <c r="AK1192" i="2"/>
  <c r="AK1193" i="2"/>
  <c r="AK1194" i="2"/>
  <c r="AK1195" i="2"/>
  <c r="AK1196" i="2"/>
  <c r="AK1197" i="2"/>
  <c r="AK1198" i="2"/>
  <c r="AK1199" i="2"/>
  <c r="AK1200" i="2"/>
  <c r="AK1201" i="2"/>
  <c r="AK1202" i="2"/>
  <c r="AK1203" i="2"/>
  <c r="AK1204" i="2"/>
  <c r="AK1205" i="2"/>
  <c r="AK1206" i="2"/>
  <c r="AK1207" i="2"/>
  <c r="AK1208" i="2"/>
  <c r="AK1209" i="2"/>
  <c r="AK1210" i="2"/>
  <c r="AK1211" i="2"/>
  <c r="AK1212" i="2"/>
  <c r="AK1213" i="2"/>
  <c r="AK1214" i="2"/>
  <c r="AK1215" i="2"/>
  <c r="AK1216" i="2"/>
  <c r="AK1217" i="2"/>
  <c r="AK1218" i="2"/>
  <c r="AK1219" i="2"/>
  <c r="AK1220" i="2"/>
  <c r="AK1221" i="2"/>
  <c r="AK1222" i="2"/>
  <c r="AK1223" i="2"/>
  <c r="AK1224" i="2"/>
  <c r="AK1225" i="2"/>
  <c r="AK1226" i="2"/>
  <c r="AK1227" i="2"/>
  <c r="AK1228" i="2"/>
  <c r="AK1229" i="2"/>
  <c r="AK1230" i="2"/>
  <c r="AK1231" i="2"/>
  <c r="AK1232" i="2"/>
  <c r="AK1233" i="2"/>
  <c r="AK1234" i="2"/>
  <c r="AK1235" i="2"/>
  <c r="AK1236" i="2"/>
  <c r="AK1237" i="2"/>
  <c r="AK1238" i="2"/>
  <c r="AK1239" i="2"/>
  <c r="AK1240" i="2"/>
  <c r="AK1241" i="2"/>
  <c r="AK1242" i="2"/>
  <c r="AK1243" i="2"/>
  <c r="AK1244" i="2"/>
  <c r="AK1245" i="2"/>
  <c r="AK1246" i="2"/>
  <c r="AK1247" i="2"/>
  <c r="AK1248" i="2"/>
  <c r="AK1249" i="2"/>
  <c r="AK1250" i="2"/>
  <c r="AK1251" i="2"/>
  <c r="AK1252" i="2"/>
  <c r="AK1253" i="2"/>
  <c r="AK1254" i="2"/>
  <c r="AK1255" i="2"/>
  <c r="AK1256" i="2"/>
  <c r="AK1257" i="2"/>
  <c r="AK1258" i="2"/>
  <c r="AK1259" i="2"/>
  <c r="AK1260" i="2"/>
  <c r="AK1261" i="2"/>
  <c r="AK1262" i="2"/>
  <c r="AK1263" i="2"/>
  <c r="AK1264" i="2"/>
  <c r="AK1265" i="2"/>
  <c r="AK1266" i="2"/>
  <c r="AK1267" i="2"/>
  <c r="AK1268" i="2"/>
  <c r="AK1269" i="2"/>
  <c r="AK1270" i="2"/>
  <c r="AK1271" i="2"/>
  <c r="AK1272" i="2"/>
  <c r="AK1273" i="2"/>
  <c r="AK1274" i="2"/>
  <c r="AK1275" i="2"/>
  <c r="AK1276" i="2"/>
  <c r="AK1277" i="2"/>
  <c r="AK1278" i="2"/>
  <c r="AK1279" i="2"/>
  <c r="AK1280" i="2"/>
  <c r="AK1281" i="2"/>
  <c r="AK1282" i="2"/>
  <c r="AK1283" i="2"/>
  <c r="AK1284" i="2"/>
  <c r="AK1285" i="2"/>
  <c r="AK1286" i="2"/>
  <c r="AK1287" i="2"/>
  <c r="AK1288" i="2"/>
  <c r="AK1289" i="2"/>
  <c r="AK1290" i="2"/>
  <c r="AK1291" i="2"/>
  <c r="AK1292" i="2"/>
  <c r="AK1293" i="2"/>
  <c r="AK1294" i="2"/>
  <c r="AK1295" i="2"/>
  <c r="AK1296" i="2"/>
  <c r="AK1297" i="2"/>
  <c r="AK1298" i="2"/>
  <c r="AK1299" i="2"/>
  <c r="AK1300" i="2"/>
  <c r="AK1301" i="2"/>
  <c r="AK1302" i="2"/>
  <c r="AK1303" i="2"/>
  <c r="AK1304" i="2"/>
  <c r="AK1305" i="2"/>
  <c r="AK1306" i="2"/>
  <c r="AK1307" i="2"/>
  <c r="AK1308" i="2"/>
  <c r="AK1309" i="2"/>
  <c r="AK1310" i="2"/>
  <c r="AK1311" i="2"/>
  <c r="AK1312" i="2"/>
  <c r="AK1313" i="2"/>
  <c r="AK1314" i="2"/>
  <c r="AK1315" i="2"/>
  <c r="AK1316" i="2"/>
  <c r="AK1317" i="2"/>
  <c r="AK1318" i="2"/>
  <c r="AK1319" i="2"/>
  <c r="AK1320" i="2"/>
  <c r="AK1321" i="2"/>
  <c r="AK1322" i="2"/>
  <c r="AK1323" i="2"/>
  <c r="AK1324" i="2"/>
  <c r="AK1325" i="2"/>
  <c r="AK1326" i="2"/>
  <c r="AK1327" i="2"/>
  <c r="AK1328" i="2"/>
  <c r="AK1329" i="2"/>
  <c r="AK1330" i="2"/>
  <c r="AK1331" i="2"/>
  <c r="AK1332" i="2"/>
  <c r="AK1333" i="2"/>
  <c r="AK1334" i="2"/>
  <c r="AK1335" i="2"/>
  <c r="AK1336" i="2"/>
  <c r="AK1337" i="2"/>
  <c r="AK1338" i="2"/>
  <c r="AK1339" i="2"/>
  <c r="AK1340" i="2"/>
  <c r="AK1341" i="2"/>
  <c r="AK1342" i="2"/>
  <c r="AK1343" i="2"/>
  <c r="AK1344" i="2"/>
  <c r="AK1345" i="2"/>
  <c r="AK1346" i="2"/>
  <c r="AK1347" i="2"/>
  <c r="AK1348" i="2"/>
  <c r="AK1349" i="2"/>
  <c r="AK1350" i="2"/>
  <c r="AK1351" i="2"/>
  <c r="AK1352" i="2"/>
  <c r="AK1353" i="2"/>
  <c r="AK1354" i="2"/>
  <c r="AK1355" i="2"/>
  <c r="AK1356" i="2"/>
  <c r="AK1357" i="2"/>
  <c r="AK1358" i="2"/>
  <c r="AK1359" i="2"/>
  <c r="AK1360" i="2"/>
  <c r="AK1361" i="2"/>
  <c r="AK1362" i="2"/>
  <c r="AK1363" i="2"/>
  <c r="AK1364" i="2"/>
  <c r="AK1365" i="2"/>
  <c r="AK1366" i="2"/>
  <c r="AK1367" i="2"/>
  <c r="AK1368" i="2"/>
  <c r="AK1369" i="2"/>
  <c r="AK1370" i="2"/>
  <c r="AK1371" i="2"/>
  <c r="AK1372" i="2"/>
  <c r="AK1373" i="2"/>
  <c r="AK1374" i="2"/>
  <c r="AK1375" i="2"/>
  <c r="AK1376" i="2"/>
  <c r="AK1377" i="2"/>
  <c r="AK1378" i="2"/>
  <c r="AK1379" i="2"/>
  <c r="AK1380" i="2"/>
  <c r="AK1381" i="2"/>
  <c r="AK1382" i="2"/>
  <c r="AK1383" i="2"/>
  <c r="AK1384" i="2"/>
  <c r="AK1385" i="2"/>
  <c r="AK1386" i="2"/>
  <c r="AK1387" i="2"/>
  <c r="AK1388" i="2"/>
  <c r="AK1389" i="2"/>
  <c r="AK1390" i="2"/>
  <c r="AK1391" i="2"/>
  <c r="AK1392" i="2"/>
  <c r="AK1393" i="2"/>
  <c r="AK1394" i="2"/>
  <c r="AK1395" i="2"/>
  <c r="AK1396" i="2"/>
  <c r="AK1397" i="2"/>
  <c r="AK1398" i="2"/>
  <c r="AK1399" i="2"/>
  <c r="AK1400" i="2"/>
  <c r="AK1401" i="2"/>
  <c r="AK1402" i="2"/>
  <c r="AK1403" i="2"/>
  <c r="AK1404" i="2"/>
  <c r="AK1405" i="2"/>
  <c r="AK1406" i="2"/>
  <c r="AK1407" i="2"/>
  <c r="AK1408" i="2"/>
  <c r="AK1409" i="2"/>
  <c r="AK1410" i="2"/>
  <c r="AK1411" i="2"/>
  <c r="AK1412" i="2"/>
  <c r="AK1413" i="2"/>
  <c r="AK1414" i="2"/>
  <c r="AK1415" i="2"/>
  <c r="AK1416" i="2"/>
  <c r="AK1417" i="2"/>
  <c r="AK1418" i="2"/>
  <c r="AK1419" i="2"/>
  <c r="AK1420" i="2"/>
  <c r="AK1421" i="2"/>
  <c r="AK1422" i="2"/>
  <c r="AK1423" i="2"/>
  <c r="AK1424" i="2"/>
  <c r="AK1425" i="2"/>
  <c r="AK1426" i="2"/>
  <c r="AK1427" i="2"/>
  <c r="AK1428" i="2"/>
  <c r="AK1429" i="2"/>
  <c r="AK1430" i="2"/>
  <c r="AK1431" i="2"/>
  <c r="AK1432" i="2"/>
  <c r="AK1433" i="2"/>
  <c r="AK1434" i="2"/>
  <c r="AK1435" i="2"/>
  <c r="AK1436" i="2"/>
  <c r="AK1437" i="2"/>
  <c r="AK1438" i="2"/>
  <c r="AK1439" i="2"/>
  <c r="AK1440" i="2"/>
  <c r="AK1441" i="2"/>
  <c r="AK1442" i="2"/>
  <c r="AK1443" i="2"/>
  <c r="AK1444" i="2"/>
  <c r="AK1445" i="2"/>
  <c r="AK1446" i="2"/>
  <c r="AK1447" i="2"/>
  <c r="AK1448" i="2"/>
  <c r="AK1449" i="2"/>
  <c r="AK1450" i="2"/>
  <c r="AK1451" i="2"/>
  <c r="AK1452" i="2"/>
  <c r="AK1453" i="2"/>
  <c r="AK1454" i="2"/>
  <c r="AK1455" i="2"/>
  <c r="AK1456" i="2"/>
  <c r="AK1457" i="2"/>
  <c r="AK1458" i="2"/>
  <c r="AK1459" i="2"/>
  <c r="AK1460" i="2"/>
  <c r="AK1461" i="2"/>
  <c r="AK1462" i="2"/>
  <c r="AK1463" i="2"/>
  <c r="AK1464" i="2"/>
  <c r="AK1465" i="2"/>
  <c r="AK1466" i="2"/>
  <c r="AK1467" i="2"/>
  <c r="AK1468" i="2"/>
  <c r="AK1469" i="2"/>
  <c r="AK1470" i="2"/>
  <c r="AK1471" i="2"/>
  <c r="AK1472" i="2"/>
  <c r="AK1473" i="2"/>
  <c r="AK1474" i="2"/>
  <c r="AK1475" i="2"/>
  <c r="AK1476" i="2"/>
  <c r="AK1477" i="2"/>
  <c r="AK1478" i="2"/>
  <c r="AK1479" i="2"/>
  <c r="AK1480" i="2"/>
  <c r="AK1481" i="2"/>
  <c r="AK1482" i="2"/>
  <c r="AK1483" i="2"/>
  <c r="AK1484" i="2"/>
  <c r="AK1485" i="2"/>
  <c r="AK1486" i="2"/>
  <c r="AK1487" i="2"/>
  <c r="AK1488" i="2"/>
  <c r="AK1489" i="2"/>
  <c r="AK1490" i="2"/>
  <c r="AK1491" i="2"/>
  <c r="AK1492" i="2"/>
  <c r="AK1493" i="2"/>
  <c r="AK1494" i="2"/>
  <c r="AK1495" i="2"/>
  <c r="AK1496" i="2"/>
  <c r="AK1497" i="2"/>
  <c r="AK1498" i="2"/>
  <c r="AK1499" i="2"/>
  <c r="AK1500" i="2"/>
  <c r="AK1501" i="2"/>
  <c r="AK1502" i="2"/>
  <c r="AK1503" i="2"/>
  <c r="AK1504" i="2"/>
  <c r="AK1505" i="2"/>
  <c r="AK1506" i="2"/>
  <c r="AK1507" i="2"/>
  <c r="AK1508" i="2"/>
  <c r="AK1509" i="2"/>
  <c r="AK1510" i="2"/>
  <c r="AK1511" i="2"/>
  <c r="AK1512" i="2"/>
  <c r="AK1513" i="2"/>
  <c r="AK1514" i="2"/>
  <c r="AK1515" i="2"/>
  <c r="AK1516" i="2"/>
  <c r="AK1517" i="2"/>
  <c r="AK1518" i="2"/>
  <c r="AK1519" i="2"/>
  <c r="AK1520" i="2"/>
  <c r="AK1521" i="2"/>
  <c r="AK1522" i="2"/>
  <c r="AK1523" i="2"/>
  <c r="AK1524" i="2"/>
  <c r="AK1525" i="2"/>
  <c r="AK1526" i="2"/>
  <c r="AK1527" i="2"/>
  <c r="AK1528" i="2"/>
  <c r="AK1529" i="2"/>
  <c r="AK1530" i="2"/>
  <c r="AK1531" i="2"/>
  <c r="AK1532" i="2"/>
  <c r="AK1533" i="2"/>
  <c r="AK1534" i="2"/>
  <c r="AK1535" i="2"/>
  <c r="AK1536" i="2"/>
  <c r="AK1537" i="2"/>
  <c r="AK1538" i="2"/>
  <c r="AK1539" i="2"/>
  <c r="AK1540" i="2"/>
  <c r="AK1541" i="2"/>
  <c r="AK1542" i="2"/>
  <c r="AK1543" i="2"/>
  <c r="AK1544" i="2"/>
  <c r="AK1545" i="2"/>
  <c r="AK1546" i="2"/>
  <c r="AK1547" i="2"/>
  <c r="AK1548" i="2"/>
  <c r="AK1549" i="2"/>
  <c r="AK1550" i="2"/>
  <c r="AK1551" i="2"/>
  <c r="AK1552" i="2"/>
  <c r="AK1553" i="2"/>
  <c r="AK1554" i="2"/>
  <c r="AK1555" i="2"/>
  <c r="AK1556" i="2"/>
  <c r="AK1557" i="2"/>
  <c r="AK1558" i="2"/>
  <c r="AK1559" i="2"/>
  <c r="AK1560" i="2"/>
  <c r="AK1561" i="2"/>
  <c r="AK1562" i="2"/>
  <c r="AK1563" i="2"/>
  <c r="AK1564" i="2"/>
  <c r="AK1565" i="2"/>
  <c r="AK1566" i="2"/>
  <c r="AK1567" i="2"/>
  <c r="AK1568" i="2"/>
  <c r="AK1569" i="2"/>
  <c r="AK1570" i="2"/>
  <c r="AK1571" i="2"/>
  <c r="AK1572" i="2"/>
  <c r="AK1573" i="2"/>
  <c r="AK1574" i="2"/>
  <c r="AK1575" i="2"/>
  <c r="AK1576" i="2"/>
  <c r="AK1577" i="2"/>
  <c r="AK1578" i="2"/>
  <c r="AK1579" i="2"/>
  <c r="AK1580" i="2"/>
  <c r="AK1581" i="2"/>
  <c r="AK1582" i="2"/>
  <c r="AK1583" i="2"/>
  <c r="AK1584" i="2"/>
  <c r="AK1585" i="2"/>
  <c r="AK1586" i="2"/>
  <c r="AK1587" i="2"/>
  <c r="AK1588" i="2"/>
  <c r="AK1589" i="2"/>
  <c r="AK1590" i="2"/>
  <c r="AK1591" i="2"/>
  <c r="AK1592" i="2"/>
  <c r="AK1593" i="2"/>
  <c r="AK1594" i="2"/>
  <c r="AK1595" i="2"/>
  <c r="AK1596" i="2"/>
  <c r="AK1597" i="2"/>
  <c r="AK1598" i="2"/>
  <c r="AK1599" i="2"/>
  <c r="AK1600" i="2"/>
  <c r="AK1601" i="2"/>
  <c r="AK1602" i="2"/>
  <c r="AK1603" i="2"/>
  <c r="AK1604" i="2"/>
  <c r="AK1605" i="2"/>
  <c r="AK1606" i="2"/>
  <c r="AK1607" i="2"/>
  <c r="AK1608" i="2"/>
  <c r="AK1609" i="2"/>
  <c r="AK1610" i="2"/>
  <c r="AK1611" i="2"/>
  <c r="AK1612" i="2"/>
  <c r="AK1613" i="2"/>
  <c r="AK1614" i="2"/>
  <c r="AK1615" i="2"/>
  <c r="AK1616" i="2"/>
  <c r="AK1617" i="2"/>
  <c r="AK1618" i="2"/>
  <c r="AK1619" i="2"/>
  <c r="AK1620" i="2"/>
  <c r="AK1621" i="2"/>
  <c r="AK1622" i="2"/>
  <c r="AK1623" i="2"/>
  <c r="AK1624" i="2"/>
  <c r="AK1625" i="2"/>
  <c r="AK1626" i="2"/>
  <c r="AK1627" i="2"/>
  <c r="AK1628" i="2"/>
  <c r="AK1629" i="2"/>
  <c r="AK1630" i="2"/>
  <c r="AK1631" i="2"/>
  <c r="AK1632" i="2"/>
  <c r="AK1633" i="2"/>
  <c r="AK1634" i="2"/>
  <c r="AK1635" i="2"/>
  <c r="AK1636" i="2"/>
  <c r="AK1637" i="2"/>
  <c r="AK1638" i="2"/>
  <c r="AK1639" i="2"/>
  <c r="AK1640" i="2"/>
  <c r="AK1641" i="2"/>
  <c r="AK1642" i="2"/>
  <c r="AK1643" i="2"/>
  <c r="AK1644" i="2"/>
  <c r="AK1645" i="2"/>
  <c r="AK1646" i="2"/>
  <c r="AK1647" i="2"/>
  <c r="AK1648" i="2"/>
  <c r="AK1649" i="2"/>
  <c r="AK1650" i="2"/>
  <c r="AK1651" i="2"/>
  <c r="AK1652" i="2"/>
  <c r="AK1653" i="2"/>
  <c r="AK1654" i="2"/>
  <c r="AK1655" i="2"/>
  <c r="AK1656" i="2"/>
  <c r="AK1657" i="2"/>
  <c r="AK1658" i="2"/>
  <c r="AK1659" i="2"/>
  <c r="AK1660" i="2"/>
  <c r="AK1661" i="2"/>
  <c r="AK1662" i="2"/>
  <c r="AK1663" i="2"/>
  <c r="AK1664" i="2"/>
  <c r="AK1665" i="2"/>
  <c r="AK1666" i="2"/>
  <c r="AK1667" i="2"/>
  <c r="AK1668" i="2"/>
  <c r="AK1669" i="2"/>
  <c r="AK1670" i="2"/>
  <c r="AK1671" i="2"/>
  <c r="AK1672" i="2"/>
  <c r="AK1673" i="2"/>
  <c r="AK1674" i="2"/>
  <c r="AK1675" i="2"/>
  <c r="AK1676" i="2"/>
  <c r="AK1677" i="2"/>
  <c r="AK1678" i="2"/>
  <c r="AK1679" i="2"/>
  <c r="AK1680" i="2"/>
  <c r="AK1681" i="2"/>
  <c r="AK1682" i="2"/>
  <c r="AK1683" i="2"/>
  <c r="AK1684" i="2"/>
  <c r="AK1685" i="2"/>
  <c r="AK1686" i="2"/>
  <c r="AK1687" i="2"/>
  <c r="AK1688" i="2"/>
  <c r="AK1689" i="2"/>
  <c r="AK1690" i="2"/>
  <c r="AK1691" i="2"/>
  <c r="AK1692" i="2"/>
  <c r="AK1693" i="2"/>
  <c r="AK1694" i="2"/>
  <c r="AK1695" i="2"/>
  <c r="AK1696" i="2"/>
  <c r="AK1697" i="2"/>
  <c r="AK1698" i="2"/>
  <c r="AK1699" i="2"/>
  <c r="AK1700" i="2"/>
  <c r="AK1701" i="2"/>
  <c r="AK1702" i="2"/>
  <c r="AK1703" i="2"/>
  <c r="AK1704" i="2"/>
  <c r="AK1705" i="2"/>
  <c r="AK1706" i="2"/>
  <c r="AK1707" i="2"/>
  <c r="AK1708" i="2"/>
  <c r="AK1709" i="2"/>
  <c r="AK1710" i="2"/>
  <c r="AK1711" i="2"/>
  <c r="AK1712" i="2"/>
  <c r="AK1713" i="2"/>
  <c r="AK1714" i="2"/>
  <c r="AK1715" i="2"/>
  <c r="AK1716" i="2"/>
  <c r="AK1717" i="2"/>
  <c r="AK1718" i="2"/>
  <c r="AK1719" i="2"/>
  <c r="AK1720" i="2"/>
  <c r="AK1721" i="2"/>
  <c r="AK1722" i="2"/>
  <c r="AK1723" i="2"/>
  <c r="AK1724" i="2"/>
  <c r="AK1725" i="2"/>
  <c r="AK1726" i="2"/>
  <c r="AK1727" i="2"/>
  <c r="AK1728" i="2"/>
  <c r="AK1729" i="2"/>
  <c r="AK1730" i="2"/>
  <c r="AK1731" i="2"/>
  <c r="AK1732" i="2"/>
  <c r="AK1733" i="2"/>
  <c r="AK1734" i="2"/>
  <c r="AK1735" i="2"/>
  <c r="AK1736" i="2"/>
  <c r="AK1737" i="2"/>
  <c r="AK1738" i="2"/>
  <c r="AK1739" i="2"/>
  <c r="AK1740" i="2"/>
  <c r="AK1741" i="2"/>
  <c r="AK1742" i="2"/>
  <c r="AK1743" i="2"/>
  <c r="AK1744" i="2"/>
  <c r="AK1745" i="2"/>
  <c r="AK1746" i="2"/>
  <c r="AK1747" i="2"/>
  <c r="AK1748" i="2"/>
  <c r="AK1749" i="2"/>
  <c r="AK1750" i="2"/>
  <c r="AK1751" i="2"/>
  <c r="AK1752" i="2"/>
  <c r="AK1753" i="2"/>
  <c r="AK1754" i="2"/>
  <c r="AK1755" i="2"/>
  <c r="AK1756" i="2"/>
  <c r="AK1757" i="2"/>
  <c r="AK1758" i="2"/>
  <c r="AK1759" i="2"/>
  <c r="AK1760" i="2"/>
  <c r="AK1761" i="2"/>
  <c r="AK1762" i="2"/>
  <c r="AK1763" i="2"/>
  <c r="AK1764" i="2"/>
  <c r="AK1765" i="2"/>
  <c r="AK1766" i="2"/>
  <c r="AK1767" i="2"/>
  <c r="AK1768" i="2"/>
  <c r="AK1769" i="2"/>
  <c r="AK1770" i="2"/>
  <c r="AK1771" i="2"/>
  <c r="AK1772" i="2"/>
  <c r="AK1773" i="2"/>
  <c r="AK1774" i="2"/>
  <c r="AK1775" i="2"/>
  <c r="AK1776" i="2"/>
  <c r="AK1777" i="2"/>
  <c r="AK1778" i="2"/>
  <c r="AK1779" i="2"/>
  <c r="AK1780" i="2"/>
  <c r="AK1781" i="2"/>
  <c r="AK1782" i="2"/>
  <c r="AK1783" i="2"/>
  <c r="AK1784" i="2"/>
  <c r="AK1785" i="2"/>
  <c r="AK1786" i="2"/>
  <c r="AK1787" i="2"/>
  <c r="AK1788" i="2"/>
  <c r="AK1789" i="2"/>
  <c r="AK1790" i="2"/>
  <c r="AK1791" i="2"/>
  <c r="AK1792" i="2"/>
  <c r="AK1793" i="2"/>
  <c r="AK1794" i="2"/>
  <c r="AK1795" i="2"/>
  <c r="AK1796" i="2"/>
  <c r="AK1797" i="2"/>
  <c r="AK1798" i="2"/>
  <c r="AK1799" i="2"/>
  <c r="AK1800" i="2"/>
  <c r="AK1801" i="2"/>
  <c r="AK1802" i="2"/>
  <c r="AK1803" i="2"/>
  <c r="AK1804" i="2"/>
  <c r="AK1805" i="2"/>
  <c r="AK1806" i="2"/>
  <c r="AK1807" i="2"/>
  <c r="AK1808" i="2"/>
  <c r="AK1809" i="2"/>
  <c r="AK1810" i="2"/>
  <c r="AK1811" i="2"/>
  <c r="AK1812" i="2"/>
  <c r="AK1813" i="2"/>
  <c r="AK1814" i="2"/>
  <c r="AK1815" i="2"/>
  <c r="AK1816" i="2"/>
  <c r="AK1817" i="2"/>
  <c r="AK1818" i="2"/>
  <c r="AK1819" i="2"/>
  <c r="AK1820" i="2"/>
  <c r="AK1821" i="2"/>
  <c r="AK1822" i="2"/>
  <c r="AK1823" i="2"/>
  <c r="AK1824" i="2"/>
  <c r="AK1825" i="2"/>
  <c r="AK1826" i="2"/>
  <c r="AK1827" i="2"/>
  <c r="AK1828" i="2"/>
  <c r="AK1829" i="2"/>
  <c r="AK1830" i="2"/>
  <c r="AK1831" i="2"/>
  <c r="AK1832" i="2"/>
  <c r="AK1833" i="2"/>
  <c r="AK1834" i="2"/>
  <c r="AK1835" i="2"/>
  <c r="AK1836" i="2"/>
  <c r="AK1837" i="2"/>
  <c r="AK1838" i="2"/>
  <c r="AK1839" i="2"/>
  <c r="AK1840" i="2"/>
  <c r="AK1841" i="2"/>
  <c r="AK1842" i="2"/>
  <c r="AK1843" i="2"/>
  <c r="AK1844" i="2"/>
  <c r="AK1845" i="2"/>
  <c r="AK1846" i="2"/>
  <c r="AK1847" i="2"/>
  <c r="AK1848" i="2"/>
  <c r="AK1849" i="2"/>
  <c r="AK1850" i="2"/>
  <c r="AK1851" i="2"/>
  <c r="AK1852" i="2"/>
  <c r="AK1853" i="2"/>
  <c r="AK1854" i="2"/>
  <c r="AK1855" i="2"/>
  <c r="AK1856" i="2"/>
  <c r="AK1857" i="2"/>
  <c r="AK1858" i="2"/>
  <c r="AK1859" i="2"/>
  <c r="AK1860" i="2"/>
  <c r="AK1861" i="2"/>
  <c r="AK1862" i="2"/>
  <c r="AK1863" i="2"/>
  <c r="AK1864" i="2"/>
  <c r="AK1865" i="2"/>
  <c r="AK1866" i="2"/>
  <c r="AK1867" i="2"/>
  <c r="AK1868" i="2"/>
  <c r="AK1869" i="2"/>
  <c r="AK1870" i="2"/>
  <c r="AK1871" i="2"/>
  <c r="AK1872" i="2"/>
  <c r="AK1873" i="2"/>
  <c r="AK1874" i="2"/>
  <c r="AK1875" i="2"/>
  <c r="AK1876" i="2"/>
  <c r="AK1877" i="2"/>
  <c r="AK1878" i="2"/>
  <c r="AK1879" i="2"/>
  <c r="AK1880" i="2"/>
  <c r="AK1881" i="2"/>
  <c r="AK1882" i="2"/>
  <c r="AK1883" i="2"/>
  <c r="AK1884" i="2"/>
  <c r="AK1885" i="2"/>
  <c r="AK1886" i="2"/>
  <c r="AK1887" i="2"/>
  <c r="AK1888" i="2"/>
  <c r="AK1889" i="2"/>
  <c r="AK1890" i="2"/>
  <c r="AK1891" i="2"/>
  <c r="AK1892" i="2"/>
  <c r="AK1893" i="2"/>
  <c r="AK1894" i="2"/>
  <c r="AK1895" i="2"/>
  <c r="AK1896" i="2"/>
  <c r="AK1897" i="2"/>
  <c r="AK1898" i="2"/>
  <c r="AK1899" i="2"/>
  <c r="AK1900" i="2"/>
  <c r="AK1901" i="2"/>
  <c r="AK1902" i="2"/>
  <c r="AK1903" i="2"/>
  <c r="AK1904" i="2"/>
  <c r="AK1905" i="2"/>
  <c r="AK1906" i="2"/>
  <c r="AK1907" i="2"/>
  <c r="AK1908" i="2"/>
  <c r="AK1909" i="2"/>
  <c r="AK1910" i="2"/>
  <c r="AK1911" i="2"/>
  <c r="AK1912" i="2"/>
  <c r="AK1913" i="2"/>
  <c r="AK1914" i="2"/>
  <c r="AK1915" i="2"/>
  <c r="AK1916" i="2"/>
  <c r="AK1917" i="2"/>
  <c r="AK1918" i="2"/>
  <c r="AK1919" i="2"/>
  <c r="AK1920" i="2"/>
  <c r="AK1921" i="2"/>
  <c r="AK1922" i="2"/>
  <c r="AK1923" i="2"/>
  <c r="AK1924" i="2"/>
  <c r="AK1925" i="2"/>
  <c r="AK1926" i="2"/>
  <c r="AK1927" i="2"/>
  <c r="AK1928" i="2"/>
  <c r="AK1929" i="2"/>
  <c r="AK1930" i="2"/>
  <c r="AK1931" i="2"/>
  <c r="AK1932" i="2"/>
  <c r="AK1933" i="2"/>
  <c r="AK1934" i="2"/>
  <c r="AK1935" i="2"/>
  <c r="AK1936" i="2"/>
  <c r="AK1937" i="2"/>
  <c r="AK1938" i="2"/>
  <c r="AK1939" i="2"/>
  <c r="AK1940" i="2"/>
  <c r="AK1941" i="2"/>
  <c r="AK1942" i="2"/>
  <c r="AK1943" i="2"/>
  <c r="AK1944" i="2"/>
  <c r="AK1945" i="2"/>
  <c r="AK1946" i="2"/>
  <c r="AK1947" i="2"/>
  <c r="AK1948" i="2"/>
  <c r="AK1949" i="2"/>
  <c r="AK1950" i="2"/>
  <c r="AK1951" i="2"/>
  <c r="AK1952" i="2"/>
  <c r="AK1953" i="2"/>
  <c r="AK1954" i="2"/>
  <c r="AK1955" i="2"/>
  <c r="AK1956" i="2"/>
  <c r="AK1957" i="2"/>
  <c r="AK1958" i="2"/>
  <c r="AK1959" i="2"/>
  <c r="AK1960" i="2"/>
  <c r="AK1961" i="2"/>
  <c r="AK1962" i="2"/>
  <c r="AK1963" i="2"/>
  <c r="AK1964" i="2"/>
  <c r="AK1965" i="2"/>
  <c r="AK1966" i="2"/>
  <c r="AK1967" i="2"/>
  <c r="AK1968" i="2"/>
  <c r="AK1969" i="2"/>
  <c r="AK1970" i="2"/>
  <c r="AK1971" i="2"/>
  <c r="AK1972" i="2"/>
  <c r="AK1973" i="2"/>
  <c r="AK1974" i="2"/>
  <c r="AK1975" i="2"/>
  <c r="AK1976" i="2"/>
  <c r="AK1977" i="2"/>
  <c r="AK1978" i="2"/>
  <c r="AK1979" i="2"/>
  <c r="AK1980" i="2"/>
  <c r="AK1981" i="2"/>
  <c r="AK1982" i="2"/>
  <c r="AK1983" i="2"/>
  <c r="AK1984" i="2"/>
  <c r="AK1985" i="2"/>
  <c r="AK1986" i="2"/>
  <c r="AK1987" i="2"/>
  <c r="AK1988" i="2"/>
  <c r="AK1989" i="2"/>
  <c r="AK1990" i="2"/>
  <c r="AK1991" i="2"/>
  <c r="AK1992" i="2"/>
  <c r="AK1993" i="2"/>
  <c r="AK1994" i="2"/>
  <c r="AK1995" i="2"/>
  <c r="AK1996" i="2"/>
  <c r="AK1997" i="2"/>
  <c r="AK1998" i="2"/>
  <c r="AK1999" i="2"/>
  <c r="AK2000" i="2"/>
  <c r="AK2001" i="2"/>
  <c r="AK2002" i="2"/>
  <c r="AK2003" i="2"/>
  <c r="AK2004" i="2"/>
  <c r="AK2005" i="2"/>
  <c r="AK2006" i="2"/>
  <c r="AK2007" i="2"/>
  <c r="AK2008" i="2"/>
  <c r="AK2009" i="2"/>
  <c r="AK2010" i="2"/>
  <c r="AK2011" i="2"/>
  <c r="AK2012" i="2"/>
  <c r="AK2013" i="2"/>
  <c r="AK2014" i="2"/>
  <c r="AK2015" i="2"/>
  <c r="AK2016" i="2"/>
  <c r="AK2017" i="2"/>
  <c r="AK2018" i="2"/>
  <c r="AK2019" i="2"/>
  <c r="AK2020" i="2"/>
  <c r="AK2021" i="2"/>
  <c r="AK2022" i="2"/>
  <c r="AK2023" i="2"/>
  <c r="AK2024" i="2"/>
  <c r="AK2025" i="2"/>
  <c r="AK2026" i="2"/>
  <c r="AK2027" i="2"/>
  <c r="AK2028" i="2"/>
  <c r="AK2029" i="2"/>
  <c r="AK2030" i="2"/>
  <c r="AK2031" i="2"/>
  <c r="AK2032" i="2"/>
  <c r="AK2033" i="2"/>
  <c r="AK2034" i="2"/>
  <c r="AK2035" i="2"/>
  <c r="AK2036" i="2"/>
  <c r="AK2037" i="2"/>
  <c r="AK2038" i="2"/>
  <c r="AK2039" i="2"/>
  <c r="AK2040" i="2"/>
  <c r="AK2041" i="2"/>
  <c r="AK2042" i="2"/>
  <c r="AK2043" i="2"/>
  <c r="AK2044" i="2"/>
  <c r="AK2045" i="2"/>
  <c r="AK2046" i="2"/>
  <c r="AK2047" i="2"/>
  <c r="AK2048" i="2"/>
  <c r="AK2049" i="2"/>
  <c r="AK2050" i="2"/>
  <c r="AK2051" i="2"/>
  <c r="AK2052" i="2"/>
  <c r="AK2053" i="2"/>
  <c r="AK2054" i="2"/>
  <c r="AK2055" i="2"/>
  <c r="AK2056" i="2"/>
  <c r="AK2057" i="2"/>
  <c r="AK2058" i="2"/>
  <c r="AK2059" i="2"/>
  <c r="AK2060" i="2"/>
  <c r="AK2061" i="2"/>
  <c r="AK2062" i="2"/>
  <c r="AK2063" i="2"/>
  <c r="AK2064" i="2"/>
  <c r="AK2065" i="2"/>
  <c r="AK2066" i="2"/>
  <c r="AK2067" i="2"/>
  <c r="AK2068" i="2"/>
  <c r="AK2069" i="2"/>
  <c r="AK2070" i="2"/>
  <c r="AK2071" i="2"/>
  <c r="AK2072" i="2"/>
  <c r="AK2073" i="2"/>
  <c r="AK2074" i="2"/>
  <c r="AK2075" i="2"/>
  <c r="AK2076" i="2"/>
  <c r="AK2077" i="2"/>
  <c r="AK2078" i="2"/>
  <c r="AK2079" i="2"/>
  <c r="AK2080" i="2"/>
  <c r="AK2081" i="2"/>
  <c r="AK2082" i="2"/>
  <c r="AK2083" i="2"/>
  <c r="AK2084" i="2"/>
  <c r="AK2085" i="2"/>
  <c r="AK2086" i="2"/>
  <c r="AK2087" i="2"/>
  <c r="AK2088" i="2"/>
  <c r="AK2089" i="2"/>
  <c r="AK2090" i="2"/>
  <c r="AK2091" i="2"/>
  <c r="AK2092" i="2"/>
  <c r="AK2093" i="2"/>
  <c r="AK2094" i="2"/>
  <c r="AK2095" i="2"/>
  <c r="AK2096" i="2"/>
  <c r="AK2097" i="2"/>
  <c r="AK2098" i="2"/>
  <c r="AK2099" i="2"/>
  <c r="AK2100" i="2"/>
  <c r="AK2101" i="2"/>
  <c r="AK2102" i="2"/>
  <c r="AK2103" i="2"/>
  <c r="AK2104" i="2"/>
  <c r="AK2105" i="2"/>
  <c r="AK2106" i="2"/>
  <c r="AK2107" i="2"/>
  <c r="I16" i="14"/>
  <c r="L16" i="14" s="1"/>
  <c r="O16" i="14" s="1"/>
  <c r="R16" i="14" s="1"/>
  <c r="H16" i="14"/>
  <c r="K16" i="14" s="1"/>
  <c r="N16" i="14" s="1"/>
  <c r="Q16" i="14" s="1"/>
  <c r="G16" i="14"/>
  <c r="J16" i="14" s="1"/>
  <c r="M16" i="14" s="1"/>
  <c r="P16" i="14" s="1"/>
  <c r="H1" i="14"/>
  <c r="K1" i="14" s="1"/>
  <c r="I1" i="14"/>
  <c r="G1" i="14"/>
  <c r="AI1891" i="2" l="1"/>
  <c r="AJ1891" i="2"/>
  <c r="AJ1747" i="2"/>
  <c r="AI1843" i="2"/>
  <c r="AJ1843" i="2"/>
  <c r="AI2071" i="2"/>
  <c r="AJ2071" i="2"/>
  <c r="AI1939" i="2"/>
  <c r="AJ1939" i="2"/>
  <c r="AI1819" i="2"/>
  <c r="AJ1819" i="2"/>
  <c r="AI1927" i="2"/>
  <c r="AJ1927" i="2"/>
  <c r="AI1795" i="2"/>
  <c r="AJ1795" i="2"/>
  <c r="AI2107" i="2"/>
  <c r="AJ2107" i="2"/>
  <c r="AI1999" i="2"/>
  <c r="AJ1999" i="2"/>
  <c r="AI1831" i="2"/>
  <c r="AJ1831" i="2"/>
  <c r="AI1903" i="2"/>
  <c r="AJ1903" i="2"/>
  <c r="AI1759" i="2"/>
  <c r="AJ1759" i="2"/>
  <c r="AJ1807" i="2"/>
  <c r="AI1975" i="2"/>
  <c r="AJ1975" i="2"/>
  <c r="AI2059" i="2"/>
  <c r="AJ2059" i="2"/>
  <c r="AI1915" i="2"/>
  <c r="AJ1915" i="2"/>
  <c r="AI1771" i="2"/>
  <c r="AJ1771" i="2"/>
  <c r="AI1987" i="2"/>
  <c r="AJ1987" i="2"/>
  <c r="AI1951" i="2"/>
  <c r="AJ1951" i="2"/>
  <c r="AI2011" i="2"/>
  <c r="AJ2011" i="2"/>
  <c r="AI1879" i="2"/>
  <c r="AJ1879" i="2"/>
  <c r="AI1783" i="2"/>
  <c r="AJ1783" i="2"/>
  <c r="AJ2083" i="2"/>
  <c r="AJ2017" i="2"/>
  <c r="AJ1970" i="2"/>
  <c r="AJ1914" i="2"/>
  <c r="AJ1863" i="2"/>
  <c r="AJ1840" i="2"/>
  <c r="AJ1804" i="2"/>
  <c r="AJ1744" i="2"/>
  <c r="AJ1730" i="2"/>
  <c r="AJ1672" i="2"/>
  <c r="AI2060" i="2"/>
  <c r="AI1849" i="2"/>
  <c r="AI1723" i="2"/>
  <c r="AJ1876" i="2"/>
  <c r="AJ1875" i="2"/>
  <c r="AJ1696" i="2"/>
  <c r="AJ1816" i="2"/>
  <c r="AJ1924" i="2"/>
  <c r="AJ1890" i="2"/>
  <c r="AJ1852" i="2"/>
  <c r="AJ1813" i="2"/>
  <c r="AJ1767" i="2"/>
  <c r="AJ1753" i="2"/>
  <c r="AI2000" i="2"/>
  <c r="AI1693" i="2"/>
  <c r="AI1663" i="2"/>
  <c r="AI1615" i="2"/>
  <c r="AI1602" i="2"/>
  <c r="AI1590" i="2"/>
  <c r="AI1578" i="2"/>
  <c r="AJ1984" i="2"/>
  <c r="AJ1756" i="2"/>
  <c r="AJ1699" i="2"/>
  <c r="AI1603" i="2"/>
  <c r="AJ2033" i="2"/>
  <c r="AJ2010" i="2"/>
  <c r="AJ1993" i="2"/>
  <c r="AJ1957" i="2"/>
  <c r="AJ1920" i="2"/>
  <c r="AJ1887" i="2"/>
  <c r="AJ1828" i="2"/>
  <c r="AJ1779" i="2"/>
  <c r="AJ1627" i="2"/>
  <c r="AJ1591" i="2"/>
  <c r="AI2027" i="2"/>
  <c r="AI1892" i="2"/>
  <c r="AI1836" i="2"/>
  <c r="AI1711" i="2"/>
  <c r="AJ1926" i="2"/>
  <c r="AJ1814" i="2"/>
  <c r="AJ1768" i="2"/>
  <c r="AJ1754" i="2"/>
  <c r="AJ1996" i="2"/>
  <c r="AJ2105" i="2"/>
  <c r="AJ2036" i="2"/>
  <c r="AJ1994" i="2"/>
  <c r="AJ1960" i="2"/>
  <c r="AJ1921" i="2"/>
  <c r="AJ1888" i="2"/>
  <c r="AJ1850" i="2"/>
  <c r="AJ1780" i="2"/>
  <c r="AJ1766" i="2"/>
  <c r="AJ1708" i="2"/>
  <c r="AJ1694" i="2"/>
  <c r="AI1925" i="2"/>
  <c r="AI1861" i="2"/>
  <c r="AI1837" i="2"/>
  <c r="AI1812" i="2"/>
  <c r="AI1692" i="2"/>
  <c r="AI1614" i="2"/>
  <c r="AJ2087" i="2"/>
  <c r="AJ2053" i="2"/>
  <c r="AJ2009" i="2"/>
  <c r="AJ1992" i="2"/>
  <c r="AJ1938" i="2"/>
  <c r="AJ1902" i="2"/>
  <c r="AJ1885" i="2"/>
  <c r="AJ1826" i="2"/>
  <c r="AJ1778" i="2"/>
  <c r="AJ1735" i="2"/>
  <c r="AJ1720" i="2"/>
  <c r="AJ1706" i="2"/>
  <c r="AJ1650" i="2"/>
  <c r="AJ1638" i="2"/>
  <c r="AJ1626" i="2"/>
  <c r="AI1988" i="2"/>
  <c r="AI1889" i="2"/>
  <c r="AI1728" i="2"/>
  <c r="AJ2008" i="2"/>
  <c r="AJ1936" i="2"/>
  <c r="AJ1900" i="2"/>
  <c r="AJ1792" i="2"/>
  <c r="AJ2043" i="2"/>
  <c r="AJ1998" i="2"/>
  <c r="AJ1986" i="2"/>
  <c r="AJ1974" i="2"/>
  <c r="AJ1949" i="2"/>
  <c r="AJ1877" i="2"/>
  <c r="AJ1851" i="2"/>
  <c r="AJ1839" i="2"/>
  <c r="AJ1827" i="2"/>
  <c r="AJ1815" i="2"/>
  <c r="AJ1803" i="2"/>
  <c r="AJ1791" i="2"/>
  <c r="AI1904" i="2"/>
  <c r="AI1841" i="2"/>
  <c r="AJ1947" i="2"/>
  <c r="AJ1911" i="2"/>
  <c r="AJ1862" i="2"/>
  <c r="AI2077" i="2"/>
  <c r="AI2029" i="2"/>
  <c r="AJ1959" i="2"/>
  <c r="AJ1935" i="2"/>
  <c r="AJ1923" i="2"/>
  <c r="AI2101" i="2"/>
  <c r="AJ2081" i="2"/>
  <c r="AJ2057" i="2"/>
  <c r="AJ2039" i="2"/>
  <c r="AJ2021" i="2"/>
  <c r="AJ1995" i="2"/>
  <c r="AJ1983" i="2"/>
  <c r="AJ1971" i="2"/>
  <c r="AJ1958" i="2"/>
  <c r="AJ1946" i="2"/>
  <c r="AJ1934" i="2"/>
  <c r="AJ1922" i="2"/>
  <c r="AJ1910" i="2"/>
  <c r="AJ1898" i="2"/>
  <c r="AJ1886" i="2"/>
  <c r="AJ1874" i="2"/>
  <c r="AJ1824" i="2"/>
  <c r="AJ1764" i="2"/>
  <c r="AJ1752" i="2"/>
  <c r="AJ1740" i="2"/>
  <c r="AJ1704" i="2"/>
  <c r="AI2100" i="2"/>
  <c r="AI2076" i="2"/>
  <c r="AI2028" i="2"/>
  <c r="AI1940" i="2"/>
  <c r="AJ2096" i="2"/>
  <c r="AJ2030" i="2"/>
  <c r="AI2089" i="2"/>
  <c r="AI2065" i="2"/>
  <c r="AI2041" i="2"/>
  <c r="AI1952" i="2"/>
  <c r="AJ2019" i="2"/>
  <c r="AJ2095" i="2"/>
  <c r="AJ2069" i="2"/>
  <c r="AJ2048" i="2"/>
  <c r="AJ1928" i="2"/>
  <c r="AJ1868" i="2"/>
  <c r="AJ1854" i="2"/>
  <c r="AJ1842" i="2"/>
  <c r="AJ1830" i="2"/>
  <c r="AJ1818" i="2"/>
  <c r="AJ1806" i="2"/>
  <c r="AJ1794" i="2"/>
  <c r="AJ1782" i="2"/>
  <c r="AJ1770" i="2"/>
  <c r="AJ1758" i="2"/>
  <c r="AJ1746" i="2"/>
  <c r="AJ1734" i="2"/>
  <c r="AJ1722" i="2"/>
  <c r="AJ1710" i="2"/>
  <c r="AJ1698" i="2"/>
  <c r="AJ1686" i="2"/>
  <c r="AJ1674" i="2"/>
  <c r="AJ1662" i="2"/>
  <c r="AI2088" i="2"/>
  <c r="AI2064" i="2"/>
  <c r="AJ2072" i="2"/>
  <c r="AJ2093" i="2"/>
  <c r="AJ2063" i="2"/>
  <c r="AJ2046" i="2"/>
  <c r="AJ1866" i="2"/>
  <c r="AJ1962" i="2"/>
  <c r="AJ1950" i="2"/>
  <c r="AJ2094" i="2"/>
  <c r="AJ2070" i="2"/>
  <c r="AJ2022" i="2"/>
  <c r="AJ2106" i="2"/>
  <c r="AJ2082" i="2"/>
  <c r="AJ2058" i="2"/>
  <c r="AJ2034" i="2"/>
  <c r="AJ2104" i="2"/>
  <c r="AJ2080" i="2"/>
  <c r="AJ2056" i="2"/>
  <c r="AJ2032" i="2"/>
  <c r="AJ2092" i="2"/>
  <c r="AJ2068" i="2"/>
  <c r="AJ2044" i="2"/>
  <c r="AJ2103" i="2"/>
  <c r="AJ2091" i="2"/>
  <c r="AJ2079" i="2"/>
  <c r="AJ2067" i="2"/>
  <c r="AJ2055" i="2"/>
  <c r="AJ2031" i="2"/>
  <c r="AJ2007" i="2"/>
  <c r="AJ2102" i="2"/>
  <c r="AJ2090" i="2"/>
  <c r="AJ2078" i="2"/>
  <c r="AJ2066" i="2"/>
  <c r="AJ2054" i="2"/>
  <c r="AJ2018" i="2"/>
  <c r="AJ2047" i="2"/>
  <c r="AJ2035" i="2"/>
  <c r="AJ2023" i="2"/>
  <c r="AJ1963" i="2"/>
  <c r="AJ1867" i="2"/>
  <c r="AJ1855" i="2"/>
  <c r="N1" i="14"/>
  <c r="J1" i="14"/>
  <c r="L1" i="14"/>
  <c r="X51" i="13"/>
  <c r="W51" i="13"/>
  <c r="V51" i="13"/>
  <c r="U51" i="13"/>
  <c r="T51" i="13"/>
  <c r="S51" i="13"/>
  <c r="L58" i="13"/>
  <c r="L57" i="13"/>
  <c r="L56" i="13"/>
  <c r="L55" i="13"/>
  <c r="L54" i="13"/>
  <c r="L52" i="13"/>
  <c r="L51" i="13"/>
  <c r="L50" i="13"/>
  <c r="L53" i="13"/>
  <c r="W57" i="13"/>
  <c r="V57" i="13"/>
  <c r="U57" i="13"/>
  <c r="T57" i="13"/>
  <c r="S57" i="13"/>
  <c r="R57" i="13"/>
  <c r="W56" i="13"/>
  <c r="V56" i="13"/>
  <c r="U56" i="13"/>
  <c r="T56" i="13"/>
  <c r="S56" i="13"/>
  <c r="R56" i="13"/>
  <c r="W55" i="13"/>
  <c r="V55" i="13"/>
  <c r="U55" i="13"/>
  <c r="T55" i="13"/>
  <c r="S55" i="13"/>
  <c r="R55" i="13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U26" i="13"/>
  <c r="T26" i="13"/>
  <c r="T28" i="13"/>
  <c r="T24" i="13"/>
  <c r="T29" i="13"/>
  <c r="T27" i="13"/>
  <c r="T25" i="13"/>
  <c r="T23" i="13"/>
  <c r="Q4" i="13"/>
  <c r="P4" i="13"/>
  <c r="O4" i="13"/>
  <c r="N4" i="13"/>
  <c r="M4" i="13"/>
  <c r="Q22" i="13"/>
  <c r="P22" i="13"/>
  <c r="O22" i="13"/>
  <c r="N22" i="13"/>
  <c r="M22" i="13"/>
  <c r="W26" i="13"/>
  <c r="V26" i="13"/>
  <c r="S26" i="13"/>
  <c r="R26" i="13"/>
  <c r="L26" i="13"/>
  <c r="W28" i="13"/>
  <c r="V28" i="13"/>
  <c r="U28" i="13"/>
  <c r="S28" i="13"/>
  <c r="R28" i="13"/>
  <c r="L28" i="13" s="1"/>
  <c r="W24" i="13"/>
  <c r="V24" i="13"/>
  <c r="U24" i="13"/>
  <c r="S24" i="13"/>
  <c r="R24" i="13"/>
  <c r="L24" i="13"/>
  <c r="W29" i="13"/>
  <c r="V29" i="13"/>
  <c r="U29" i="13"/>
  <c r="S29" i="13"/>
  <c r="R29" i="13"/>
  <c r="L29" i="13" s="1"/>
  <c r="W27" i="13"/>
  <c r="V27" i="13"/>
  <c r="U27" i="13"/>
  <c r="S27" i="13"/>
  <c r="R27" i="13"/>
  <c r="L27" i="13" s="1"/>
  <c r="W25" i="13"/>
  <c r="V25" i="13"/>
  <c r="U25" i="13"/>
  <c r="S25" i="13"/>
  <c r="R25" i="13"/>
  <c r="L25" i="13"/>
  <c r="W23" i="13"/>
  <c r="V23" i="13"/>
  <c r="U23" i="13"/>
  <c r="S23" i="13"/>
  <c r="R23" i="13"/>
  <c r="L23" i="13" s="1"/>
  <c r="R21" i="13"/>
  <c r="L21" i="13" s="1"/>
  <c r="L101" i="10"/>
  <c r="M101" i="10" s="1"/>
  <c r="L100" i="10"/>
  <c r="M100" i="10" s="1"/>
  <c r="L99" i="10"/>
  <c r="M99" i="10" s="1"/>
  <c r="L98" i="10"/>
  <c r="M98" i="10" s="1"/>
  <c r="L97" i="10"/>
  <c r="M97" i="10" s="1"/>
  <c r="L96" i="10"/>
  <c r="M96" i="10" s="1"/>
  <c r="L95" i="10"/>
  <c r="M95" i="10" s="1"/>
  <c r="L94" i="10"/>
  <c r="M94" i="10" s="1"/>
  <c r="L93" i="10"/>
  <c r="M93" i="10" s="1"/>
  <c r="L92" i="10"/>
  <c r="M92" i="10" s="1"/>
  <c r="L91" i="10"/>
  <c r="M91" i="10" s="1"/>
  <c r="L90" i="10"/>
  <c r="M90" i="10" s="1"/>
  <c r="L89" i="10"/>
  <c r="M89" i="10" s="1"/>
  <c r="L88" i="10"/>
  <c r="M88" i="10" s="1"/>
  <c r="L87" i="10"/>
  <c r="M87" i="10" s="1"/>
  <c r="L86" i="10"/>
  <c r="M86" i="10" s="1"/>
  <c r="L85" i="10"/>
  <c r="M85" i="10" s="1"/>
  <c r="L84" i="10"/>
  <c r="M84" i="10" s="1"/>
  <c r="L83" i="10"/>
  <c r="M83" i="10" s="1"/>
  <c r="L82" i="10"/>
  <c r="M82" i="10" s="1"/>
  <c r="L81" i="10"/>
  <c r="M81" i="10" s="1"/>
  <c r="L80" i="10"/>
  <c r="M80" i="10" s="1"/>
  <c r="L79" i="10"/>
  <c r="M79" i="10" s="1"/>
  <c r="L78" i="10"/>
  <c r="M78" i="10" s="1"/>
  <c r="L77" i="10"/>
  <c r="M77" i="10" s="1"/>
  <c r="L76" i="10"/>
  <c r="M76" i="10" s="1"/>
  <c r="L75" i="10"/>
  <c r="M75" i="10" s="1"/>
  <c r="L74" i="10"/>
  <c r="M74" i="10" s="1"/>
  <c r="L73" i="10"/>
  <c r="M73" i="10" s="1"/>
  <c r="L72" i="10"/>
  <c r="M72" i="10" s="1"/>
  <c r="L71" i="10"/>
  <c r="M71" i="10" s="1"/>
  <c r="L70" i="10"/>
  <c r="M70" i="10" s="1"/>
  <c r="L69" i="10"/>
  <c r="M69" i="10" s="1"/>
  <c r="L68" i="10"/>
  <c r="M68" i="10" s="1"/>
  <c r="L67" i="10"/>
  <c r="M67" i="10" s="1"/>
  <c r="L66" i="10"/>
  <c r="M66" i="10" s="1"/>
  <c r="L65" i="10"/>
  <c r="M65" i="10" s="1"/>
  <c r="L64" i="10"/>
  <c r="M64" i="10" s="1"/>
  <c r="L63" i="10"/>
  <c r="M63" i="10" s="1"/>
  <c r="L62" i="10"/>
  <c r="M62" i="10" s="1"/>
  <c r="L61" i="10"/>
  <c r="M61" i="10" s="1"/>
  <c r="L60" i="10"/>
  <c r="M60" i="10" s="1"/>
  <c r="L59" i="10"/>
  <c r="M59" i="10" s="1"/>
  <c r="L58" i="10"/>
  <c r="M58" i="10" s="1"/>
  <c r="L57" i="10"/>
  <c r="M57" i="10" s="1"/>
  <c r="L56" i="10"/>
  <c r="M56" i="10" s="1"/>
  <c r="L55" i="10"/>
  <c r="M55" i="10" s="1"/>
  <c r="L54" i="10"/>
  <c r="M54" i="10" s="1"/>
  <c r="L53" i="10"/>
  <c r="M53" i="10" s="1"/>
  <c r="L52" i="10"/>
  <c r="M52" i="10" s="1"/>
  <c r="L51" i="10"/>
  <c r="M51" i="10" s="1"/>
  <c r="L47" i="10"/>
  <c r="M47" i="10" s="1"/>
  <c r="L46" i="10"/>
  <c r="M46" i="10" s="1"/>
  <c r="L45" i="10"/>
  <c r="M45" i="10" s="1"/>
  <c r="L44" i="10"/>
  <c r="M44" i="10" s="1"/>
  <c r="L43" i="10"/>
  <c r="M43" i="10" s="1"/>
  <c r="L42" i="10"/>
  <c r="M42" i="10" s="1"/>
  <c r="L41" i="10"/>
  <c r="M41" i="10" s="1"/>
  <c r="L40" i="10"/>
  <c r="M40" i="10" s="1"/>
  <c r="L39" i="10"/>
  <c r="M39" i="10" s="1"/>
  <c r="L38" i="10"/>
  <c r="M38" i="10" s="1"/>
  <c r="L37" i="10"/>
  <c r="M37" i="10" s="1"/>
  <c r="L36" i="10"/>
  <c r="M36" i="10" s="1"/>
  <c r="L35" i="10"/>
  <c r="M35" i="10" s="1"/>
  <c r="L34" i="10"/>
  <c r="M34" i="10" s="1"/>
  <c r="L33" i="10"/>
  <c r="M33" i="10" s="1"/>
  <c r="L32" i="10"/>
  <c r="M32" i="10" s="1"/>
  <c r="L31" i="10"/>
  <c r="M31" i="10" s="1"/>
  <c r="L30" i="10"/>
  <c r="M30" i="10" s="1"/>
  <c r="L29" i="10"/>
  <c r="M29" i="10" s="1"/>
  <c r="L28" i="10"/>
  <c r="M28" i="10" s="1"/>
  <c r="L27" i="10"/>
  <c r="M27" i="10" s="1"/>
  <c r="L26" i="10"/>
  <c r="M26" i="10" s="1"/>
  <c r="L25" i="10"/>
  <c r="M25" i="10" s="1"/>
  <c r="L24" i="10"/>
  <c r="M24" i="10" s="1"/>
  <c r="L23" i="10"/>
  <c r="M23" i="10" s="1"/>
  <c r="L22" i="10"/>
  <c r="M22" i="10" s="1"/>
  <c r="L21" i="10"/>
  <c r="M21" i="10" s="1"/>
  <c r="L20" i="10"/>
  <c r="M20" i="10" s="1"/>
  <c r="L19" i="10"/>
  <c r="M19" i="10" s="1"/>
  <c r="L18" i="10"/>
  <c r="M18" i="10" s="1"/>
  <c r="L17" i="10"/>
  <c r="M17" i="10" s="1"/>
  <c r="L16" i="10"/>
  <c r="M16" i="10" s="1"/>
  <c r="L15" i="10"/>
  <c r="M15" i="10" s="1"/>
  <c r="L14" i="10"/>
  <c r="M14" i="10" s="1"/>
  <c r="L13" i="10"/>
  <c r="M13" i="10" s="1"/>
  <c r="L12" i="10"/>
  <c r="M12" i="10" s="1"/>
  <c r="L11" i="10"/>
  <c r="M11" i="10" s="1"/>
  <c r="L10" i="10"/>
  <c r="M10" i="10" s="1"/>
  <c r="L9" i="10"/>
  <c r="M9" i="10" s="1"/>
  <c r="L8" i="10"/>
  <c r="M8" i="10" s="1"/>
  <c r="L7" i="10"/>
  <c r="M7" i="10" s="1"/>
  <c r="L6" i="10"/>
  <c r="M6" i="10" s="1"/>
  <c r="L5" i="10"/>
  <c r="M5" i="10" s="1"/>
  <c r="L4" i="10"/>
  <c r="M4" i="10" s="1"/>
  <c r="L3" i="10"/>
  <c r="M3" i="10" s="1"/>
  <c r="L2" i="10"/>
  <c r="M2" i="10" s="1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R16" i="13"/>
  <c r="L16" i="13" s="1"/>
  <c r="R15" i="13"/>
  <c r="R14" i="13"/>
  <c r="R13" i="13"/>
  <c r="R12" i="13"/>
  <c r="R11" i="13"/>
  <c r="R10" i="13"/>
  <c r="R9" i="13"/>
  <c r="R8" i="13"/>
  <c r="R7" i="13"/>
  <c r="R6" i="13"/>
  <c r="W16" i="13"/>
  <c r="V16" i="13"/>
  <c r="U16" i="13"/>
  <c r="T16" i="13"/>
  <c r="S16" i="13"/>
  <c r="W15" i="13"/>
  <c r="V15" i="13"/>
  <c r="U15" i="13"/>
  <c r="T15" i="13"/>
  <c r="S15" i="13"/>
  <c r="W14" i="13"/>
  <c r="V14" i="13"/>
  <c r="U14" i="13"/>
  <c r="T14" i="13"/>
  <c r="S14" i="13"/>
  <c r="X14" i="13" s="1"/>
  <c r="W13" i="13"/>
  <c r="V13" i="13"/>
  <c r="U13" i="13"/>
  <c r="T13" i="13"/>
  <c r="S13" i="13"/>
  <c r="W12" i="13"/>
  <c r="V12" i="13"/>
  <c r="U12" i="13"/>
  <c r="T12" i="13"/>
  <c r="S12" i="13"/>
  <c r="W11" i="13"/>
  <c r="V11" i="13"/>
  <c r="U11" i="13"/>
  <c r="T11" i="13"/>
  <c r="S11" i="13"/>
  <c r="N101" i="10"/>
  <c r="N100" i="10"/>
  <c r="N99" i="10"/>
  <c r="N98" i="10"/>
  <c r="N97" i="10"/>
  <c r="N96" i="10"/>
  <c r="N95" i="10"/>
  <c r="N94" i="10"/>
  <c r="N93" i="10"/>
  <c r="N92" i="10"/>
  <c r="N91" i="10"/>
  <c r="N90" i="10"/>
  <c r="N89" i="10"/>
  <c r="N88" i="10"/>
  <c r="N87" i="10"/>
  <c r="N86" i="10"/>
  <c r="N85" i="10"/>
  <c r="N84" i="10"/>
  <c r="N83" i="10"/>
  <c r="N82" i="10"/>
  <c r="N81" i="10"/>
  <c r="N80" i="10"/>
  <c r="N79" i="10"/>
  <c r="N78" i="10"/>
  <c r="N77" i="10"/>
  <c r="N76" i="10"/>
  <c r="N75" i="10"/>
  <c r="N74" i="10"/>
  <c r="N73" i="10"/>
  <c r="N72" i="10"/>
  <c r="N71" i="10"/>
  <c r="N70" i="10"/>
  <c r="N69" i="10"/>
  <c r="N68" i="10"/>
  <c r="N67" i="10"/>
  <c r="N66" i="10"/>
  <c r="N65" i="10"/>
  <c r="N64" i="10"/>
  <c r="N63" i="10"/>
  <c r="N62" i="10"/>
  <c r="N61" i="10"/>
  <c r="N60" i="10"/>
  <c r="N59" i="10"/>
  <c r="N58" i="10"/>
  <c r="N57" i="10"/>
  <c r="N56" i="10"/>
  <c r="N55" i="10"/>
  <c r="N54" i="10"/>
  <c r="N53" i="10"/>
  <c r="N52" i="10"/>
  <c r="N51" i="10"/>
  <c r="N47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F13" i="10"/>
  <c r="F11" i="10"/>
  <c r="F3" i="10"/>
  <c r="F2" i="10"/>
  <c r="M1" i="14" l="1"/>
  <c r="O1" i="14"/>
  <c r="Q1" i="14"/>
  <c r="X55" i="13"/>
  <c r="X57" i="13"/>
  <c r="X56" i="13"/>
  <c r="V22" i="13"/>
  <c r="R22" i="13"/>
  <c r="T22" i="13"/>
  <c r="L22" i="13"/>
  <c r="U22" i="13"/>
  <c r="W22" i="13"/>
  <c r="S22" i="13"/>
  <c r="X23" i="13"/>
  <c r="X16" i="13"/>
  <c r="X24" i="13"/>
  <c r="X15" i="13"/>
  <c r="X12" i="13"/>
  <c r="X29" i="13"/>
  <c r="X11" i="13"/>
  <c r="X13" i="13"/>
  <c r="X28" i="13"/>
  <c r="X27" i="13"/>
  <c r="X26" i="13"/>
  <c r="X25" i="13"/>
  <c r="W58" i="13"/>
  <c r="V58" i="13"/>
  <c r="U58" i="13"/>
  <c r="T58" i="13"/>
  <c r="S58" i="13"/>
  <c r="R58" i="13"/>
  <c r="W54" i="13"/>
  <c r="V54" i="13"/>
  <c r="U54" i="13"/>
  <c r="T54" i="13"/>
  <c r="S54" i="13"/>
  <c r="R54" i="13"/>
  <c r="W52" i="13"/>
  <c r="V52" i="13"/>
  <c r="U52" i="13"/>
  <c r="T52" i="13"/>
  <c r="S52" i="13"/>
  <c r="R52" i="13"/>
  <c r="R51" i="13"/>
  <c r="R50" i="13"/>
  <c r="W44" i="13"/>
  <c r="V44" i="13"/>
  <c r="U44" i="13"/>
  <c r="T44" i="13"/>
  <c r="S44" i="13"/>
  <c r="W42" i="13"/>
  <c r="V42" i="13"/>
  <c r="U42" i="13"/>
  <c r="T42" i="13"/>
  <c r="S42" i="13"/>
  <c r="W39" i="13"/>
  <c r="V39" i="13"/>
  <c r="U39" i="13"/>
  <c r="T39" i="13"/>
  <c r="S39" i="13"/>
  <c r="W36" i="13"/>
  <c r="V36" i="13"/>
  <c r="U36" i="13"/>
  <c r="T36" i="13"/>
  <c r="S36" i="13"/>
  <c r="W45" i="13"/>
  <c r="V45" i="13"/>
  <c r="U45" i="13"/>
  <c r="T45" i="13"/>
  <c r="S45" i="13"/>
  <c r="W41" i="13"/>
  <c r="V41" i="13"/>
  <c r="U41" i="13"/>
  <c r="T41" i="13"/>
  <c r="S41" i="13"/>
  <c r="W37" i="13"/>
  <c r="V37" i="13"/>
  <c r="U37" i="13"/>
  <c r="T37" i="13"/>
  <c r="S37" i="13"/>
  <c r="W40" i="13"/>
  <c r="V40" i="13"/>
  <c r="U40" i="13"/>
  <c r="T40" i="13"/>
  <c r="S40" i="13"/>
  <c r="W43" i="13"/>
  <c r="V43" i="13"/>
  <c r="U43" i="13"/>
  <c r="T43" i="13"/>
  <c r="S43" i="13"/>
  <c r="W38" i="13"/>
  <c r="V38" i="13"/>
  <c r="U38" i="13"/>
  <c r="T38" i="13"/>
  <c r="S38" i="13"/>
  <c r="R44" i="13"/>
  <c r="L44" i="13" s="1"/>
  <c r="R42" i="13"/>
  <c r="L42" i="13" s="1"/>
  <c r="R39" i="13"/>
  <c r="L39" i="13" s="1"/>
  <c r="R36" i="13"/>
  <c r="L36" i="13" s="1"/>
  <c r="R45" i="13"/>
  <c r="L45" i="13" s="1"/>
  <c r="R41" i="13"/>
  <c r="L41" i="13" s="1"/>
  <c r="R37" i="13"/>
  <c r="L37" i="13" s="1"/>
  <c r="R40" i="13"/>
  <c r="L40" i="13" s="1"/>
  <c r="R43" i="13"/>
  <c r="L43" i="13" s="1"/>
  <c r="R38" i="13"/>
  <c r="L38" i="13" s="1"/>
  <c r="R35" i="13"/>
  <c r="L35" i="13" s="1"/>
  <c r="R34" i="13"/>
  <c r="L34" i="13" s="1"/>
  <c r="L10" i="13"/>
  <c r="L8" i="13"/>
  <c r="L12" i="13"/>
  <c r="L11" i="13"/>
  <c r="L15" i="13"/>
  <c r="L13" i="13"/>
  <c r="L9" i="13"/>
  <c r="L7" i="13"/>
  <c r="L14" i="13"/>
  <c r="R5" i="13"/>
  <c r="L5" i="13" s="1"/>
  <c r="L6" i="13"/>
  <c r="R3" i="13"/>
  <c r="L3" i="13" s="1"/>
  <c r="W10" i="13"/>
  <c r="V10" i="13"/>
  <c r="U10" i="13"/>
  <c r="T10" i="13"/>
  <c r="S10" i="13"/>
  <c r="W8" i="13"/>
  <c r="V8" i="13"/>
  <c r="U8" i="13"/>
  <c r="T8" i="13"/>
  <c r="S8" i="13"/>
  <c r="W9" i="13"/>
  <c r="V9" i="13"/>
  <c r="U9" i="13"/>
  <c r="T9" i="13"/>
  <c r="S9" i="13"/>
  <c r="W7" i="13"/>
  <c r="V7" i="13"/>
  <c r="U7" i="13"/>
  <c r="T7" i="13"/>
  <c r="S7" i="13"/>
  <c r="W5" i="13"/>
  <c r="V5" i="13"/>
  <c r="U5" i="13"/>
  <c r="T5" i="13"/>
  <c r="S5" i="13"/>
  <c r="W6" i="13"/>
  <c r="V6" i="13"/>
  <c r="U6" i="13"/>
  <c r="T6" i="13"/>
  <c r="S6" i="13"/>
  <c r="R1" i="14" l="1"/>
  <c r="P1" i="14"/>
  <c r="X7" i="13"/>
  <c r="X22" i="13"/>
  <c r="X8" i="13"/>
  <c r="X6" i="13"/>
  <c r="X10" i="13"/>
  <c r="X9" i="13"/>
  <c r="X41" i="13"/>
  <c r="X44" i="13"/>
  <c r="X40" i="13"/>
  <c r="X39" i="13"/>
  <c r="X38" i="13"/>
  <c r="X45" i="13"/>
  <c r="X37" i="13"/>
  <c r="X42" i="13"/>
  <c r="X43" i="13"/>
  <c r="X36" i="13"/>
  <c r="X54" i="13"/>
  <c r="X58" i="13"/>
  <c r="X5" i="13"/>
  <c r="R4" i="13"/>
  <c r="L4" i="13" s="1"/>
  <c r="X52" i="13"/>
  <c r="V35" i="13"/>
  <c r="T35" i="13"/>
  <c r="W35" i="13"/>
  <c r="U35" i="13"/>
  <c r="S35" i="13"/>
  <c r="S4" i="13"/>
  <c r="U4" i="13"/>
  <c r="V4" i="13"/>
  <c r="W4" i="13"/>
  <c r="T4" i="13"/>
  <c r="E58" i="13" l="1"/>
  <c r="E56" i="13"/>
  <c r="E57" i="13"/>
  <c r="E53" i="13"/>
  <c r="E54" i="13"/>
  <c r="E55" i="13"/>
  <c r="E52" i="13"/>
  <c r="X4" i="13"/>
  <c r="X35" i="13"/>
  <c r="A172" i="8" l="1"/>
  <c r="A171" i="8"/>
  <c r="A170" i="8"/>
  <c r="A169" i="8"/>
  <c r="A168" i="8"/>
  <c r="A165" i="8"/>
  <c r="A164" i="8"/>
  <c r="A163" i="8"/>
  <c r="A161" i="8"/>
  <c r="A159" i="8"/>
  <c r="A152" i="8"/>
  <c r="A151" i="8"/>
  <c r="A145" i="8"/>
  <c r="A144" i="8"/>
  <c r="A143" i="8"/>
  <c r="A142" i="8"/>
  <c r="A140" i="8"/>
  <c r="A139" i="8"/>
  <c r="A138" i="8"/>
  <c r="A137" i="8"/>
  <c r="A136" i="8"/>
  <c r="A129" i="8"/>
  <c r="A128" i="8"/>
  <c r="A127" i="8"/>
  <c r="A126" i="8"/>
  <c r="A119" i="8"/>
  <c r="A114" i="8"/>
  <c r="A105" i="8"/>
  <c r="A104" i="8"/>
  <c r="A98" i="8"/>
  <c r="A97" i="8"/>
  <c r="A84" i="8"/>
  <c r="A77" i="8"/>
  <c r="A47" i="8"/>
  <c r="A36" i="8"/>
  <c r="A31" i="8"/>
  <c r="A29" i="8"/>
  <c r="A28" i="8"/>
  <c r="A22" i="8"/>
  <c r="A20" i="8"/>
  <c r="A13" i="8"/>
  <c r="A180" i="8"/>
  <c r="A179" i="8"/>
  <c r="A178" i="8"/>
  <c r="A177" i="8"/>
  <c r="A176" i="8"/>
  <c r="A175" i="8"/>
  <c r="A174" i="8"/>
  <c r="A173" i="8"/>
  <c r="A167" i="8"/>
  <c r="A166" i="8"/>
  <c r="A162" i="8"/>
  <c r="A160" i="8"/>
  <c r="A158" i="8"/>
  <c r="A157" i="8"/>
  <c r="A156" i="8"/>
  <c r="A155" i="8"/>
  <c r="A154" i="8"/>
  <c r="A153" i="8"/>
  <c r="A150" i="8"/>
  <c r="A149" i="8"/>
  <c r="A148" i="8"/>
  <c r="A147" i="8"/>
  <c r="A146" i="8"/>
  <c r="A141" i="8"/>
  <c r="A135" i="8"/>
  <c r="A134" i="8"/>
  <c r="A133" i="8"/>
  <c r="A132" i="8"/>
  <c r="A131" i="8"/>
  <c r="A130" i="8"/>
  <c r="A125" i="8"/>
  <c r="A124" i="8"/>
  <c r="A123" i="8"/>
  <c r="A122" i="8"/>
  <c r="A121" i="8"/>
  <c r="A120" i="8"/>
  <c r="A118" i="8"/>
  <c r="A117" i="8"/>
  <c r="A116" i="8"/>
  <c r="A115" i="8"/>
  <c r="A113" i="8"/>
  <c r="A112" i="8"/>
  <c r="A111" i="8"/>
  <c r="A110" i="8"/>
  <c r="A109" i="8"/>
  <c r="A108" i="8"/>
  <c r="A107" i="8"/>
  <c r="A106" i="8"/>
  <c r="A103" i="8"/>
  <c r="A102" i="8"/>
  <c r="A101" i="8"/>
  <c r="A100" i="8"/>
  <c r="A99" i="8"/>
  <c r="A96" i="8"/>
  <c r="A95" i="8"/>
  <c r="A94" i="8"/>
  <c r="A93" i="8"/>
  <c r="A92" i="8"/>
  <c r="A91" i="8"/>
  <c r="A90" i="8"/>
  <c r="A89" i="8"/>
  <c r="A88" i="8"/>
  <c r="A87" i="8"/>
  <c r="A86" i="8"/>
  <c r="A85" i="8"/>
  <c r="A83" i="8"/>
  <c r="A82" i="8"/>
  <c r="A81" i="8"/>
  <c r="A80" i="8"/>
  <c r="A79" i="8"/>
  <c r="A78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6" i="8"/>
  <c r="A45" i="8"/>
  <c r="A44" i="8"/>
  <c r="A43" i="8"/>
  <c r="A42" i="8"/>
  <c r="A41" i="8"/>
  <c r="A40" i="8"/>
  <c r="A39" i="8"/>
  <c r="A38" i="8"/>
  <c r="A37" i="8"/>
  <c r="A35" i="8"/>
  <c r="A34" i="8"/>
  <c r="A33" i="8"/>
  <c r="A32" i="8"/>
  <c r="A30" i="8"/>
  <c r="A27" i="8"/>
  <c r="A26" i="8"/>
  <c r="A25" i="8"/>
  <c r="A24" i="8"/>
  <c r="A23" i="8"/>
  <c r="A21" i="8"/>
  <c r="A19" i="8"/>
  <c r="A18" i="8"/>
  <c r="A17" i="8"/>
  <c r="A16" i="8"/>
  <c r="A15" i="8"/>
  <c r="A14" i="8"/>
  <c r="A12" i="8"/>
  <c r="A11" i="8"/>
  <c r="A10" i="8"/>
  <c r="A9" i="8"/>
  <c r="A8" i="8"/>
  <c r="A7" i="8"/>
  <c r="A6" i="8"/>
  <c r="A5" i="8"/>
  <c r="A4" i="8"/>
  <c r="A3" i="8"/>
  <c r="A2" i="8"/>
  <c r="I12" i="14" l="1"/>
  <c r="H12" i="14"/>
  <c r="L4" i="14"/>
  <c r="G12" i="14"/>
  <c r="P9" i="14"/>
  <c r="F8" i="14"/>
  <c r="E8" i="14"/>
  <c r="R7" i="14"/>
  <c r="Q7" i="14"/>
  <c r="H7" i="14"/>
  <c r="G7" i="14"/>
  <c r="K4" i="14"/>
  <c r="P3" i="14"/>
  <c r="I5" i="14"/>
  <c r="O8" i="14"/>
  <c r="P12" i="14"/>
  <c r="J6" i="14"/>
  <c r="J12" i="14"/>
  <c r="E3" i="14"/>
  <c r="I11" i="14"/>
  <c r="P8" i="14"/>
  <c r="R8" i="14"/>
  <c r="Q8" i="14"/>
  <c r="F7" i="14"/>
  <c r="E7" i="14"/>
  <c r="O3" i="14"/>
  <c r="N3" i="14"/>
  <c r="M3" i="14"/>
  <c r="N10" i="14"/>
  <c r="M10" i="14"/>
  <c r="K11" i="14"/>
  <c r="J11" i="14"/>
  <c r="L11" i="14"/>
  <c r="G6" i="14"/>
  <c r="I6" i="14"/>
  <c r="H6" i="14"/>
  <c r="O9" i="14"/>
  <c r="N9" i="14"/>
  <c r="M9" i="14"/>
  <c r="O4" i="14"/>
  <c r="N4" i="14"/>
  <c r="M4" i="14"/>
  <c r="K5" i="14"/>
  <c r="L5" i="14"/>
  <c r="J5" i="14"/>
  <c r="L10" i="14"/>
  <c r="K10" i="14"/>
  <c r="P7" i="14"/>
  <c r="R6" i="14"/>
  <c r="P6" i="14"/>
  <c r="R5" i="14"/>
  <c r="Q4" i="14"/>
  <c r="P10" i="14"/>
  <c r="R9" i="14"/>
  <c r="P4" i="14"/>
  <c r="R3" i="14"/>
  <c r="Q9" i="14"/>
  <c r="Q3" i="14"/>
  <c r="H5" i="14"/>
  <c r="H10" i="14"/>
  <c r="H4" i="14"/>
  <c r="G8" i="14"/>
  <c r="G3" i="14"/>
  <c r="H8" i="14"/>
  <c r="I7" i="14"/>
  <c r="N8" i="14"/>
  <c r="N7" i="14"/>
  <c r="O5" i="14"/>
  <c r="N11" i="14"/>
  <c r="N5" i="14"/>
  <c r="M11" i="14"/>
  <c r="O10" i="14"/>
  <c r="M5" i="14"/>
  <c r="F6" i="14"/>
  <c r="F5" i="14"/>
  <c r="E4" i="14"/>
  <c r="F9" i="14"/>
  <c r="F3" i="14"/>
  <c r="E9" i="14"/>
  <c r="L9" i="14"/>
  <c r="J4" i="14"/>
  <c r="L3" i="14"/>
  <c r="J3" i="14"/>
  <c r="K6" i="14"/>
  <c r="J9" i="14"/>
  <c r="L8" i="14"/>
  <c r="L12" i="14"/>
  <c r="J7" i="14"/>
  <c r="L6" i="14"/>
  <c r="K12" i="14"/>
  <c r="R12" i="14"/>
  <c r="F12" i="14"/>
  <c r="H11" i="14"/>
  <c r="J10" i="14"/>
  <c r="Q12" i="14"/>
  <c r="E12" i="14"/>
  <c r="G11" i="14"/>
  <c r="I10" i="14"/>
  <c r="K9" i="14"/>
  <c r="M8" i="14"/>
  <c r="O7" i="14"/>
  <c r="Q6" i="14"/>
  <c r="E6" i="14"/>
  <c r="G5" i="14"/>
  <c r="I4" i="14"/>
  <c r="K3" i="14"/>
  <c r="R11" i="14"/>
  <c r="F11" i="14"/>
  <c r="O12" i="14"/>
  <c r="Q11" i="14"/>
  <c r="E11" i="14"/>
  <c r="G10" i="14"/>
  <c r="I9" i="14"/>
  <c r="K8" i="14"/>
  <c r="M7" i="14"/>
  <c r="O6" i="14"/>
  <c r="Q5" i="14"/>
  <c r="E5" i="14"/>
  <c r="G4" i="14"/>
  <c r="I3" i="14"/>
  <c r="N12" i="14"/>
  <c r="P11" i="14"/>
  <c r="R10" i="14"/>
  <c r="F10" i="14"/>
  <c r="H9" i="14"/>
  <c r="J8" i="14"/>
  <c r="L7" i="14"/>
  <c r="N6" i="14"/>
  <c r="P5" i="14"/>
  <c r="R4" i="14"/>
  <c r="F4" i="14"/>
  <c r="H3" i="14"/>
  <c r="M12" i="14"/>
  <c r="O11" i="14"/>
  <c r="Q10" i="14"/>
  <c r="E10" i="14"/>
  <c r="G9" i="14"/>
  <c r="I8" i="14"/>
  <c r="K7" i="14"/>
  <c r="M6" i="14"/>
  <c r="D9" i="14"/>
  <c r="D3" i="14"/>
  <c r="D8" i="14"/>
  <c r="D7" i="14"/>
  <c r="D11" i="14"/>
  <c r="D4" i="14"/>
  <c r="D12" i="14"/>
  <c r="D6" i="14"/>
  <c r="D5" i="14"/>
  <c r="D10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EFBA5D-F710-4FAB-B34C-5194D1260985}" keepAlive="1" name="Consulta - ESTIMATIVA" description="Conexão com a consulta 'ESTIMATIVA' na pasta de trabalho." type="5" refreshedVersion="8" background="1" saveData="1">
    <dbPr connection="Provider=Microsoft.Mashup.OleDb.1;Data Source=$Workbook$;Location=ESTIMATIVA;Extended Properties=&quot;&quot;" command="SELECT * FROM [ESTIMATIVA]"/>
  </connection>
  <connection id="2" xr16:uid="{C756ACA8-0A7A-477A-9AA8-B518C71571AB}" keepAlive="1" name="Consulta - IRRIGAÇÃO" description="Conexão com a consulta 'IRRIGAÇÃO' na pasta de trabalho." type="5" refreshedVersion="8" background="1" saveData="1">
    <dbPr connection="Provider=Microsoft.Mashup.OleDb.1;Data Source=$Workbook$;Location=IRRIGAÇÃO;Extended Properties=&quot;&quot;" command="SELECT * FROM [IRRIGAÇÃO]"/>
  </connection>
  <connection id="3" xr16:uid="{426123AF-3671-4393-8055-AD4A5A18037C}" keepAlive="1" name="Consulta - IRRIGAÇÃO_BLEND" description="Conexão com a consulta 'IRRIGAÇÃO_BLEND' na pasta de trabalho." type="5" refreshedVersion="8" background="1" saveData="1">
    <dbPr connection="Provider=Microsoft.Mashup.OleDb.1;Data Source=$Workbook$;Location=IRRIGAÇÃO_BLEND;Extended Properties=&quot;&quot;" command="SELECT * FROM [IRRIGAÇÃO_BLEND]"/>
  </connection>
</connections>
</file>

<file path=xl/sharedStrings.xml><?xml version="1.0" encoding="utf-8"?>
<sst xmlns="http://schemas.openxmlformats.org/spreadsheetml/2006/main" count="15900" uniqueCount="335">
  <si>
    <t>CD_UPNIVEL1</t>
  </si>
  <si>
    <t>DE_UPNIVEL1</t>
  </si>
  <si>
    <t>CD_UPNIVEL3</t>
  </si>
  <si>
    <t>CD_TP_PROPR</t>
  </si>
  <si>
    <t>QT_AREA_EST</t>
  </si>
  <si>
    <t>QT_AREA_REST1</t>
  </si>
  <si>
    <t>QT_AREA_REAL</t>
  </si>
  <si>
    <t>QT_CANA_EST</t>
  </si>
  <si>
    <t>QT_CANA_REST1</t>
  </si>
  <si>
    <t>QT_CANA_REAL</t>
  </si>
  <si>
    <t>DE_FORNEC</t>
  </si>
  <si>
    <t>Fazenda Sao Jorge</t>
  </si>
  <si>
    <t>UMOE</t>
  </si>
  <si>
    <t xml:space="preserve">Fazenda Santo Antônio </t>
  </si>
  <si>
    <t>Fazenda Santa Luzia</t>
  </si>
  <si>
    <t xml:space="preserve">Faz. Santa Maria dos Palmares </t>
  </si>
  <si>
    <t>Fazenda Minerva</t>
  </si>
  <si>
    <t>Fazenda Alvorada</t>
  </si>
  <si>
    <t>Fazenda São José</t>
  </si>
  <si>
    <t>Fazenda Santa Paula</t>
  </si>
  <si>
    <t>Fazenda Figueira</t>
  </si>
  <si>
    <t>Fazenda Boa Esperanca Frefer</t>
  </si>
  <si>
    <t>Fazenda Vista Bonita</t>
  </si>
  <si>
    <t>Fazenda Sao Domingos</t>
  </si>
  <si>
    <t>Fazenda Santa Irene</t>
  </si>
  <si>
    <t>Fazenda Mutum</t>
  </si>
  <si>
    <t xml:space="preserve">Fazenda Santa Maria </t>
  </si>
  <si>
    <t>Fazenda Agua Mansa</t>
  </si>
  <si>
    <t>Fazenda Taquarussu</t>
  </si>
  <si>
    <t>Fazenda Sao Manoel</t>
  </si>
  <si>
    <t>Fazenda Bela Vista</t>
  </si>
  <si>
    <t>Fazenda Daniela</t>
  </si>
  <si>
    <t>Fazenda Monte Libano</t>
  </si>
  <si>
    <t>Fazenda Olho D Agua</t>
  </si>
  <si>
    <t>Fazenda Sao Pedro</t>
  </si>
  <si>
    <t>Fazenda Agua Funda</t>
  </si>
  <si>
    <t>Fazenda Santa Maria</t>
  </si>
  <si>
    <t>Fazenda Bom Sucesso</t>
  </si>
  <si>
    <t>Fazenda 3 Poderes</t>
  </si>
  <si>
    <t>Fazenda de Deus</t>
  </si>
  <si>
    <t>Estancia Sao Geraldo</t>
  </si>
  <si>
    <t>Sitio Ebenezer</t>
  </si>
  <si>
    <t>Sítio São Lucas</t>
  </si>
  <si>
    <t>Fazenda Santa Irene II</t>
  </si>
  <si>
    <t>Sítio Santa Cruz</t>
  </si>
  <si>
    <t>Sitio Santo Boa Esperanca</t>
  </si>
  <si>
    <t>Fazenda Estância Fernanda</t>
  </si>
  <si>
    <t>Fazenda Paineira</t>
  </si>
  <si>
    <t xml:space="preserve">Fazenda Três Ilhas </t>
  </si>
  <si>
    <t>Fazenda Três Barras</t>
  </si>
  <si>
    <t xml:space="preserve">Fazenda Vale do Sol </t>
  </si>
  <si>
    <t>Fazenda Estrela</t>
  </si>
  <si>
    <t>Fazenda Santa Irene III</t>
  </si>
  <si>
    <t>Estância Santa Luzia</t>
  </si>
  <si>
    <t>Fazenda Santa Helena 2</t>
  </si>
  <si>
    <t>Fazenda Santa Ana</t>
  </si>
  <si>
    <t>Estância Santo Antonio</t>
  </si>
  <si>
    <t>Fazenda Três Ilhas II</t>
  </si>
  <si>
    <t>Fazenda Boa Esperança</t>
  </si>
  <si>
    <t>Estância Vitória</t>
  </si>
  <si>
    <t>Estância Vasconcelos</t>
  </si>
  <si>
    <t>Fazenda Nossa Senhora de Lourdes</t>
  </si>
  <si>
    <t>Fazenda Santa Helena</t>
  </si>
  <si>
    <t>Estância  Boa Sorte</t>
  </si>
  <si>
    <t>Fazenda Nossa Senhora Aparecida</t>
  </si>
  <si>
    <t>Rancho São Jacinto</t>
  </si>
  <si>
    <t>Fazenda Santa Cecília</t>
  </si>
  <si>
    <t>Fazenda Mercedina</t>
  </si>
  <si>
    <t>Fazenda Horizonte</t>
  </si>
  <si>
    <t>Estância Paula</t>
  </si>
  <si>
    <t>Fazenda Harmonia</t>
  </si>
  <si>
    <t>Sítio Cosme</t>
  </si>
  <si>
    <t>Sítio Santa Rosa</t>
  </si>
  <si>
    <t>Estância Opção</t>
  </si>
  <si>
    <t>Sítio Beira Alta</t>
  </si>
  <si>
    <t>Fazenda Três Marias</t>
  </si>
  <si>
    <t>Fazenda Concórdia</t>
  </si>
  <si>
    <t>Fazenda São Domingos</t>
  </si>
  <si>
    <t>Fazenda Novo Lar</t>
  </si>
  <si>
    <t>Fazenda Dois Irmãos</t>
  </si>
  <si>
    <t>Fazenda Santo Antonio</t>
  </si>
  <si>
    <t>Fazenda Santa Alice</t>
  </si>
  <si>
    <t>Fazenda Boa Esperança-Taquaruçu</t>
  </si>
  <si>
    <t>Fazenda Rosana</t>
  </si>
  <si>
    <t>Fazenda Três Irmãos</t>
  </si>
  <si>
    <t>Sítio Três Anforas</t>
  </si>
  <si>
    <t>Fazenda Pederneiras</t>
  </si>
  <si>
    <t>Fazenda Três Poderes</t>
  </si>
  <si>
    <t>Estância Tradição</t>
  </si>
  <si>
    <t>Estância Santa Elisa</t>
  </si>
  <si>
    <t>Sítio Isadora</t>
  </si>
  <si>
    <t>Sítio Santa Terezinha</t>
  </si>
  <si>
    <t>Sitio Pato Branco I e II</t>
  </si>
  <si>
    <t>Fazenda Amélia</t>
  </si>
  <si>
    <t>Fazenda São Domingos II</t>
  </si>
  <si>
    <t>Fazenda Santa Terezinha - GbA e B</t>
  </si>
  <si>
    <t>Fazenda Renascer</t>
  </si>
  <si>
    <t>Fazenda Velha Taquarussu</t>
  </si>
  <si>
    <t>Fazenda Sossego</t>
  </si>
  <si>
    <t>Lote 3 Quadra L - Sítio São Jorge</t>
  </si>
  <si>
    <t>Fazenda Laranjeiras1</t>
  </si>
  <si>
    <t>Lote 4 - Quadra L - Sitio do Herculano</t>
  </si>
  <si>
    <t>Sitio São Pedro</t>
  </si>
  <si>
    <t>Fazenda do Retiro</t>
  </si>
  <si>
    <t>Fazenda Bandeirantes I</t>
  </si>
  <si>
    <t>Fazenda Bandeirantes II</t>
  </si>
  <si>
    <t>Sítio Taquaruçu</t>
  </si>
  <si>
    <t>Fazenda Laranjeiras-Lote1QuadraH-Lerosa</t>
  </si>
  <si>
    <t>Fazenda Laranjeiras-Lote4QuadraA-Lerosa</t>
  </si>
  <si>
    <t>Fazenda Santa Virginia (Fabiano)</t>
  </si>
  <si>
    <t>Estancia Pedrini (Fabiano)</t>
  </si>
  <si>
    <t>Fazenda São Geraldo - Lerosa</t>
  </si>
  <si>
    <t>Fazenda Isadora - Lerosa</t>
  </si>
  <si>
    <t>Fazenda Santa Maria - Lerosa</t>
  </si>
  <si>
    <t>Fazenda Cruzeiro do Sul (Fabiano)</t>
  </si>
  <si>
    <t>Estância São Lucas (Fabiano)</t>
  </si>
  <si>
    <t>Fazenda Chapada (Fabiano)</t>
  </si>
  <si>
    <t>Fazenda Pederneiras II (Fabiano)</t>
  </si>
  <si>
    <t>Fazenda São Jorge (Fabiano)</t>
  </si>
  <si>
    <t>Total Geral</t>
  </si>
  <si>
    <t xml:space="preserve"> TCH_REAL</t>
  </si>
  <si>
    <t>Fazenda Laranjeiras 2</t>
  </si>
  <si>
    <t>Sítio Jataí II</t>
  </si>
  <si>
    <t>Fazenda Nova Esperança - Estrada</t>
  </si>
  <si>
    <t>Fazenda Santa Virginia Frefer</t>
  </si>
  <si>
    <t>Fazenda Água do Valão</t>
  </si>
  <si>
    <t>Fazenda Sao Luiz</t>
  </si>
  <si>
    <t>Estancia 3A</t>
  </si>
  <si>
    <t>Fazenda Santa Clara</t>
  </si>
  <si>
    <t>Sitio MQ</t>
  </si>
  <si>
    <t>Sitio Sao Joao</t>
  </si>
  <si>
    <t>Estancia Izaura</t>
  </si>
  <si>
    <t>Sitio Rancho Alegre</t>
  </si>
  <si>
    <t>Estancia Sao Francisco</t>
  </si>
  <si>
    <t>Sitio Boa Esperanca</t>
  </si>
  <si>
    <t>Fazenda Astorga</t>
  </si>
  <si>
    <t>Fazenda Ipezal</t>
  </si>
  <si>
    <t xml:space="preserve">Fazenda Ouro Verde </t>
  </si>
  <si>
    <t>Estância São José</t>
  </si>
  <si>
    <t>Fazenda Ouro Branco</t>
  </si>
  <si>
    <t>Fazenda Esperanca</t>
  </si>
  <si>
    <t>Estância Três irmãos</t>
  </si>
  <si>
    <t>Estância Santa Rita de Cássia</t>
  </si>
  <si>
    <t>Fazenda Ouro Branco I</t>
  </si>
  <si>
    <t>Sítio São João</t>
  </si>
  <si>
    <t>Fazenda Santa Irene IV</t>
  </si>
  <si>
    <t>Fazenda São Luiz</t>
  </si>
  <si>
    <t>Estância Duas Marias</t>
  </si>
  <si>
    <t>Fazenda Santa Terezinha</t>
  </si>
  <si>
    <t>Sítio Santo Expedito</t>
  </si>
  <si>
    <t>Estância Santo Expedito</t>
  </si>
  <si>
    <t>Fazenda André Luiz</t>
  </si>
  <si>
    <t>Estância Santa Rita de Cassia</t>
  </si>
  <si>
    <t>Fazenda Primavera</t>
  </si>
  <si>
    <t>Fazenda Nossa Senhora das Graças</t>
  </si>
  <si>
    <t>Fazenda Morada do Sol</t>
  </si>
  <si>
    <t>Fazenda Bonanza I</t>
  </si>
  <si>
    <t>Sítio Nossa Senhora Aparecida</t>
  </si>
  <si>
    <t>Fazenda São Roque II</t>
  </si>
  <si>
    <t>Fazenda Nossa Senhora das Graças - Gleba C</t>
  </si>
  <si>
    <t>Fazenda Laranjeiras 3</t>
  </si>
  <si>
    <t>Fazenda Laranjeiras 4</t>
  </si>
  <si>
    <t>Fazenda Guairaca</t>
  </si>
  <si>
    <t>Laranjeiras</t>
  </si>
  <si>
    <t>Fazenda São João (Fabiano)</t>
  </si>
  <si>
    <t>Fazenda São Carlos (Fabiano)</t>
  </si>
  <si>
    <t>Sitio Santa Catarina (Fabiano)</t>
  </si>
  <si>
    <t>Sitio Boa Esperanca (Ricardo)</t>
  </si>
  <si>
    <t>Valores</t>
  </si>
  <si>
    <t>STATUS</t>
  </si>
  <si>
    <t>1- Colhido</t>
  </si>
  <si>
    <t>2- à Colher</t>
  </si>
  <si>
    <t>QT_AREA_REST2</t>
  </si>
  <si>
    <t>QT_CANA_REST2</t>
  </si>
  <si>
    <t>1 - Própria</t>
  </si>
  <si>
    <t>2 - Arrendamento</t>
  </si>
  <si>
    <t>3 - Parceria</t>
  </si>
  <si>
    <t>4 - Fornecedor</t>
  </si>
  <si>
    <t>6 - Fornecedor - Repasse</t>
  </si>
  <si>
    <t>VOL_EST</t>
  </si>
  <si>
    <t>AREA_EST</t>
  </si>
  <si>
    <t xml:space="preserve"> VOL_REAL</t>
  </si>
  <si>
    <t>Realizado</t>
  </si>
  <si>
    <t>Reestimativa 2</t>
  </si>
  <si>
    <t xml:space="preserve"> TCH_EST2</t>
  </si>
  <si>
    <t>TP_REST2</t>
  </si>
  <si>
    <t>AREA_REST1</t>
  </si>
  <si>
    <t>AREA_REST2</t>
  </si>
  <si>
    <t>VOL_REST1</t>
  </si>
  <si>
    <t>VOL_REST2</t>
  </si>
  <si>
    <t xml:space="preserve"> AREA_REST2</t>
  </si>
  <si>
    <t xml:space="preserve"> VOL_REST2</t>
  </si>
  <si>
    <t>NO_CORTE</t>
  </si>
  <si>
    <t>DE_VARIED</t>
  </si>
  <si>
    <t>RB92579</t>
  </si>
  <si>
    <t>SP83-2847</t>
  </si>
  <si>
    <t>CTC1007</t>
  </si>
  <si>
    <t>CTC9001</t>
  </si>
  <si>
    <t>RB985517</t>
  </si>
  <si>
    <t>DIVERSAS</t>
  </si>
  <si>
    <t>RB975201</t>
  </si>
  <si>
    <t>RB975033</t>
  </si>
  <si>
    <t>RB867515</t>
  </si>
  <si>
    <t>VIVEIRO</t>
  </si>
  <si>
    <t>CTC9001BT</t>
  </si>
  <si>
    <t>CTC9006</t>
  </si>
  <si>
    <t>CTC9002</t>
  </si>
  <si>
    <t>RB975242</t>
  </si>
  <si>
    <t>RB966928</t>
  </si>
  <si>
    <t>CTC9003BT</t>
  </si>
  <si>
    <t>CTC9007</t>
  </si>
  <si>
    <t>RB975952</t>
  </si>
  <si>
    <t>CTC4</t>
  </si>
  <si>
    <t>IACSP95-5000</t>
  </si>
  <si>
    <t>RB988082</t>
  </si>
  <si>
    <t>RB006970</t>
  </si>
  <si>
    <t>RB026850</t>
  </si>
  <si>
    <t>CTC2994</t>
  </si>
  <si>
    <t>CTC9003</t>
  </si>
  <si>
    <t>RB855156</t>
  </si>
  <si>
    <t>RB075322</t>
  </si>
  <si>
    <t>SP83-5073</t>
  </si>
  <si>
    <t>CV7870</t>
  </si>
  <si>
    <t>RB127825</t>
  </si>
  <si>
    <t>RB985476</t>
  </si>
  <si>
    <t>IACSP04-6007</t>
  </si>
  <si>
    <t>CTC3445</t>
  </si>
  <si>
    <t>CTC9004</t>
  </si>
  <si>
    <t>IAC87-3396</t>
  </si>
  <si>
    <t>RB975162</t>
  </si>
  <si>
    <t>RB825336</t>
  </si>
  <si>
    <t>RB855536</t>
  </si>
  <si>
    <t>PROJ_VOLREST2</t>
  </si>
  <si>
    <t xml:space="preserve"> PROJ_VOLREST2</t>
  </si>
  <si>
    <t xml:space="preserve"> DIF_REST2_TCH</t>
  </si>
  <si>
    <t xml:space="preserve"> DIF_REST2_TON</t>
  </si>
  <si>
    <t xml:space="preserve"> DIF_REST2_%</t>
  </si>
  <si>
    <t>PROJ_VOLEST</t>
  </si>
  <si>
    <t>PROJ_VOLREST1</t>
  </si>
  <si>
    <t>TP_REST1</t>
  </si>
  <si>
    <t xml:space="preserve"> VOL_EST</t>
  </si>
  <si>
    <t xml:space="preserve"> TCH_EST</t>
  </si>
  <si>
    <t xml:space="preserve"> PROJ_VOLEST</t>
  </si>
  <si>
    <t xml:space="preserve"> DIF_EST_TCH</t>
  </si>
  <si>
    <t xml:space="preserve"> DIF_EST_%</t>
  </si>
  <si>
    <t xml:space="preserve"> DIF_EST_TON</t>
  </si>
  <si>
    <t xml:space="preserve"> VOL_REST1</t>
  </si>
  <si>
    <t xml:space="preserve"> AREA_EST</t>
  </si>
  <si>
    <t xml:space="preserve"> AREA_REST1</t>
  </si>
  <si>
    <t>Reestimativa 1</t>
  </si>
  <si>
    <t xml:space="preserve"> DIF_REST1_TON</t>
  </si>
  <si>
    <t xml:space="preserve"> PROJ_VOLREST1</t>
  </si>
  <si>
    <t xml:space="preserve"> TCH_EST1</t>
  </si>
  <si>
    <t xml:space="preserve"> DIF_REST1_TCH</t>
  </si>
  <si>
    <t xml:space="preserve"> DIF_REST1_%</t>
  </si>
  <si>
    <t xml:space="preserve"> AREA_REAL</t>
  </si>
  <si>
    <t>FAZENDA</t>
  </si>
  <si>
    <t>TL</t>
  </si>
  <si>
    <t>COD</t>
  </si>
  <si>
    <t>DA_ESTAGIO</t>
  </si>
  <si>
    <t>TP_CANA</t>
  </si>
  <si>
    <t>6ºC</t>
  </si>
  <si>
    <t>8ºC</t>
  </si>
  <si>
    <t>3ºC</t>
  </si>
  <si>
    <t>ANM</t>
  </si>
  <si>
    <t>4ºC</t>
  </si>
  <si>
    <t>2ºC</t>
  </si>
  <si>
    <t>INV</t>
  </si>
  <si>
    <t>5ºC</t>
  </si>
  <si>
    <t>ANO</t>
  </si>
  <si>
    <t>7ºC</t>
  </si>
  <si>
    <t>7ºCB</t>
  </si>
  <si>
    <t>BIS</t>
  </si>
  <si>
    <t>5ºCB</t>
  </si>
  <si>
    <t>8ºCB</t>
  </si>
  <si>
    <t>9ºC</t>
  </si>
  <si>
    <t>ANB</t>
  </si>
  <si>
    <t>+9ºC</t>
  </si>
  <si>
    <t>GEADA</t>
  </si>
  <si>
    <t>CHV</t>
  </si>
  <si>
    <t>LEROSA</t>
  </si>
  <si>
    <t>VITTI</t>
  </si>
  <si>
    <t>PONTES</t>
  </si>
  <si>
    <t>DT_ENC_SEM</t>
  </si>
  <si>
    <t>Rótulos de Linha</t>
  </si>
  <si>
    <t>NOTA</t>
  </si>
  <si>
    <t>Operação</t>
  </si>
  <si>
    <t>IRRIGACAO ASPERCAO</t>
  </si>
  <si>
    <t>Fazenda</t>
  </si>
  <si>
    <t>Talhão</t>
  </si>
  <si>
    <t>Produção</t>
  </si>
  <si>
    <t>Unid</t>
  </si>
  <si>
    <t>HA</t>
  </si>
  <si>
    <t>DE_SIST_CULT</t>
  </si>
  <si>
    <t>Mineral</t>
  </si>
  <si>
    <t>Fertirrigação</t>
  </si>
  <si>
    <t>A Definir</t>
  </si>
  <si>
    <t>TP_CULTIVO</t>
  </si>
  <si>
    <t>Irrigado</t>
  </si>
  <si>
    <t>Estância Santa Rita de Ca</t>
  </si>
  <si>
    <t>1 IRRIGACAO ASPERSAO BLEND</t>
  </si>
  <si>
    <t>Vazão (mm)</t>
  </si>
  <si>
    <t>Sequeiro</t>
  </si>
  <si>
    <t>Cortes</t>
  </si>
  <si>
    <t>Fornecedor</t>
  </si>
  <si>
    <t>Tipo</t>
  </si>
  <si>
    <t>Código</t>
  </si>
  <si>
    <t>Área</t>
  </si>
  <si>
    <t>Ganho (t)</t>
  </si>
  <si>
    <t>Total</t>
  </si>
  <si>
    <t>Média</t>
  </si>
  <si>
    <t>Variedades</t>
  </si>
  <si>
    <t>Aplicação</t>
  </si>
  <si>
    <t>mm</t>
  </si>
  <si>
    <t>Chuva</t>
  </si>
  <si>
    <t>CD_OPERACAO</t>
  </si>
  <si>
    <t>HORAS</t>
  </si>
  <si>
    <t>M3</t>
  </si>
  <si>
    <t>AREA</t>
  </si>
  <si>
    <t>MM</t>
  </si>
  <si>
    <t>FIMMES</t>
  </si>
  <si>
    <t>MM_TOTAL</t>
  </si>
  <si>
    <t>mês</t>
  </si>
  <si>
    <t>Aplicado</t>
  </si>
  <si>
    <t>Mês Aplicado</t>
  </si>
  <si>
    <t>MÊS_IRRIG</t>
  </si>
  <si>
    <t>IRRIG_DESCARTE</t>
  </si>
  <si>
    <t>Variedade</t>
  </si>
  <si>
    <t>Corte</t>
  </si>
  <si>
    <t>A</t>
  </si>
  <si>
    <t>B</t>
  </si>
  <si>
    <t>D</t>
  </si>
  <si>
    <t>C</t>
  </si>
  <si>
    <t>E</t>
  </si>
  <si>
    <t>AMB_PRD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</si>
</sst>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_ ;[Red]\-#,##0.0\ "/>
    <numFmt numFmtId="165" formatCode="0.0%"/>
    <numFmt numFmtId="166" formatCode="#,##0.00_ ;[Red]\-#,##0.00\ "/>
    <numFmt numFmtId="167" formatCode="[$-416]mmm\-yy;@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ck">
        <color theme="9" tint="-0.24994659260841701"/>
      </left>
      <right/>
      <top/>
      <bottom/>
      <diagonal/>
    </border>
    <border>
      <left/>
      <right style="thick">
        <color theme="9" tint="-0.2499465926084170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theme="0" tint="-0.14996795556505021"/>
      </bottom>
      <diagonal/>
    </border>
    <border>
      <left style="thin">
        <color auto="1"/>
      </left>
      <right/>
      <top style="thin">
        <color auto="1"/>
      </top>
      <bottom style="thin">
        <color theme="0" tint="-0.14996795556505021"/>
      </bottom>
      <diagonal/>
    </border>
    <border>
      <left/>
      <right style="thin">
        <color auto="1"/>
      </right>
      <top style="thin">
        <color auto="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auto="1"/>
      </left>
      <right/>
      <top style="thin">
        <color theme="0" tint="-0.14996795556505021"/>
      </top>
      <bottom/>
      <diagonal/>
    </border>
    <border>
      <left/>
      <right style="thin">
        <color auto="1"/>
      </right>
      <top style="thin">
        <color theme="0" tint="-0.14996795556505021"/>
      </top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auto="1"/>
      </left>
      <right/>
      <top/>
      <bottom style="thin">
        <color theme="0" tint="-0.14996795556505021"/>
      </bottom>
      <diagonal/>
    </border>
    <border>
      <left/>
      <right style="thin">
        <color auto="1"/>
      </right>
      <top/>
      <bottom style="thin">
        <color theme="0" tint="-0.1499679555650502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6">
    <xf numFmtId="0" fontId="0" fillId="0" borderId="0" xfId="0"/>
    <xf numFmtId="164" fontId="0" fillId="0" borderId="0" xfId="0" applyNumberFormat="1"/>
    <xf numFmtId="0" fontId="0" fillId="0" borderId="0" xfId="0" pivotButton="1"/>
    <xf numFmtId="165" fontId="0" fillId="0" borderId="0" xfId="0" applyNumberFormat="1"/>
    <xf numFmtId="0" fontId="0" fillId="0" borderId="1" xfId="0" applyBorder="1"/>
    <xf numFmtId="0" fontId="0" fillId="0" borderId="2" xfId="0" applyBorder="1"/>
    <xf numFmtId="164" fontId="0" fillId="0" borderId="1" xfId="0" applyNumberFormat="1" applyBorder="1"/>
    <xf numFmtId="164" fontId="0" fillId="0" borderId="2" xfId="0" applyNumberFormat="1" applyBorder="1"/>
    <xf numFmtId="0" fontId="2" fillId="0" borderId="0" xfId="0" applyFont="1"/>
    <xf numFmtId="164" fontId="2" fillId="0" borderId="0" xfId="0" applyNumberFormat="1" applyFont="1"/>
    <xf numFmtId="0" fontId="2" fillId="2" borderId="0" xfId="0" applyFont="1" applyFill="1"/>
    <xf numFmtId="0" fontId="2" fillId="2" borderId="2" xfId="0" applyFont="1" applyFill="1" applyBorder="1"/>
    <xf numFmtId="0" fontId="3" fillId="0" borderId="0" xfId="0" applyFont="1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6" fontId="0" fillId="0" borderId="0" xfId="0" applyNumberFormat="1"/>
    <xf numFmtId="0" fontId="5" fillId="0" borderId="0" xfId="0" applyFont="1"/>
    <xf numFmtId="164" fontId="3" fillId="0" borderId="3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5" xfId="0" applyFont="1" applyBorder="1"/>
    <xf numFmtId="164" fontId="3" fillId="0" borderId="6" xfId="0" applyNumberFormat="1" applyFont="1" applyBorder="1"/>
    <xf numFmtId="164" fontId="3" fillId="0" borderId="5" xfId="0" applyNumberFormat="1" applyFont="1" applyBorder="1"/>
    <xf numFmtId="164" fontId="3" fillId="0" borderId="7" xfId="0" applyNumberFormat="1" applyFont="1" applyBorder="1"/>
    <xf numFmtId="0" fontId="5" fillId="0" borderId="8" xfId="0" applyFont="1" applyBorder="1"/>
    <xf numFmtId="164" fontId="5" fillId="0" borderId="9" xfId="0" applyNumberFormat="1" applyFont="1" applyBorder="1"/>
    <xf numFmtId="164" fontId="5" fillId="0" borderId="8" xfId="0" applyNumberFormat="1" applyFont="1" applyBorder="1"/>
    <xf numFmtId="164" fontId="5" fillId="0" borderId="10" xfId="0" applyNumberFormat="1" applyFont="1" applyBorder="1"/>
    <xf numFmtId="0" fontId="5" fillId="0" borderId="11" xfId="0" applyFont="1" applyBorder="1"/>
    <xf numFmtId="164" fontId="5" fillId="0" borderId="12" xfId="0" applyNumberFormat="1" applyFont="1" applyBorder="1"/>
    <xf numFmtId="164" fontId="5" fillId="0" borderId="11" xfId="0" applyNumberFormat="1" applyFont="1" applyBorder="1"/>
    <xf numFmtId="164" fontId="5" fillId="0" borderId="13" xfId="0" applyNumberFormat="1" applyFont="1" applyBorder="1"/>
    <xf numFmtId="0" fontId="5" fillId="0" borderId="14" xfId="0" applyFont="1" applyBorder="1"/>
    <xf numFmtId="164" fontId="5" fillId="0" borderId="15" xfId="0" applyNumberFormat="1" applyFont="1" applyBorder="1"/>
    <xf numFmtId="164" fontId="5" fillId="0" borderId="14" xfId="0" applyNumberFormat="1" applyFont="1" applyBorder="1"/>
    <xf numFmtId="164" fontId="5" fillId="0" borderId="16" xfId="0" applyNumberFormat="1" applyFont="1" applyBorder="1"/>
    <xf numFmtId="0" fontId="0" fillId="0" borderId="0" xfId="0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4" xfId="0" applyFont="1" applyBorder="1" applyAlignment="1">
      <alignment horizontal="right"/>
    </xf>
    <xf numFmtId="0" fontId="3" fillId="3" borderId="5" xfId="0" applyFont="1" applyFill="1" applyBorder="1"/>
    <xf numFmtId="164" fontId="3" fillId="3" borderId="6" xfId="0" applyNumberFormat="1" applyFont="1" applyFill="1" applyBorder="1"/>
    <xf numFmtId="164" fontId="3" fillId="3" borderId="5" xfId="0" applyNumberFormat="1" applyFont="1" applyFill="1" applyBorder="1"/>
    <xf numFmtId="164" fontId="3" fillId="3" borderId="7" xfId="0" applyNumberFormat="1" applyFont="1" applyFill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7" fontId="5" fillId="0" borderId="8" xfId="0" applyNumberFormat="1" applyFont="1" applyBorder="1" applyAlignment="1">
      <alignment horizontal="center"/>
    </xf>
    <xf numFmtId="17" fontId="5" fillId="0" borderId="11" xfId="0" applyNumberFormat="1" applyFont="1" applyBorder="1" applyAlignment="1">
      <alignment horizontal="center"/>
    </xf>
    <xf numFmtId="17" fontId="5" fillId="0" borderId="14" xfId="0" applyNumberFormat="1" applyFont="1" applyBorder="1" applyAlignment="1">
      <alignment horizontal="center"/>
    </xf>
    <xf numFmtId="167" fontId="0" fillId="0" borderId="0" xfId="0" applyNumberFormat="1"/>
    <xf numFmtId="0" fontId="5" fillId="0" borderId="17" xfId="0" applyFont="1" applyBorder="1"/>
    <xf numFmtId="17" fontId="5" fillId="0" borderId="17" xfId="0" applyNumberFormat="1" applyFont="1" applyBorder="1" applyAlignment="1">
      <alignment horizontal="center"/>
    </xf>
    <xf numFmtId="164" fontId="5" fillId="0" borderId="18" xfId="0" applyNumberFormat="1" applyFont="1" applyBorder="1"/>
    <xf numFmtId="164" fontId="5" fillId="0" borderId="17" xfId="0" applyNumberFormat="1" applyFont="1" applyBorder="1"/>
    <xf numFmtId="164" fontId="5" fillId="0" borderId="19" xfId="0" applyNumberFormat="1" applyFont="1" applyBorder="1"/>
    <xf numFmtId="164" fontId="0" fillId="0" borderId="0" xfId="1" applyNumberFormat="1" applyFont="1"/>
    <xf numFmtId="164" fontId="3" fillId="0" borderId="3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0" fillId="0" borderId="0" xfId="0" applyNumberFormat="1" applyBorder="1"/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/>
    </xf>
    <xf numFmtId="164" fontId="0" fillId="0" borderId="20" xfId="0" applyNumberFormat="1" applyBorder="1"/>
    <xf numFmtId="164" fontId="0" fillId="0" borderId="21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0" fontId="3" fillId="0" borderId="0" xfId="0" applyNumberFormat="1" applyFont="1" applyAlignment="1">
      <alignment horizontal="center"/>
    </xf>
    <xf numFmtId="0" fontId="3" fillId="0" borderId="3" xfId="0" applyNumberFormat="1" applyFont="1" applyBorder="1" applyAlignment="1">
      <alignment horizontal="center"/>
    </xf>
    <xf numFmtId="0" fontId="3" fillId="0" borderId="4" xfId="0" applyNumberFormat="1" applyFont="1" applyBorder="1" applyAlignment="1">
      <alignment horizontal="center"/>
    </xf>
    <xf numFmtId="164" fontId="0" fillId="4" borderId="0" xfId="0" applyNumberFormat="1" applyFill="1"/>
    <xf numFmtId="164" fontId="0" fillId="4" borderId="4" xfId="0" applyNumberFormat="1" applyFill="1" applyBorder="1"/>
    <xf numFmtId="164" fontId="0" fillId="5" borderId="20" xfId="0" applyNumberFormat="1" applyFill="1" applyBorder="1"/>
    <xf numFmtId="164" fontId="0" fillId="5" borderId="0" xfId="0" applyNumberFormat="1" applyFill="1"/>
    <xf numFmtId="164" fontId="0" fillId="5" borderId="4" xfId="0" applyNumberFormat="1" applyFill="1" applyBorder="1"/>
    <xf numFmtId="164" fontId="0" fillId="5" borderId="22" xfId="0" applyNumberFormat="1" applyFill="1" applyBorder="1"/>
    <xf numFmtId="164" fontId="0" fillId="4" borderId="22" xfId="0" applyNumberFormat="1" applyFill="1" applyBorder="1"/>
    <xf numFmtId="0" fontId="3" fillId="0" borderId="0" xfId="0" applyNumberFormat="1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NumberFormat="1"/>
    <xf numFmtId="164" fontId="0" fillId="0" borderId="20" xfId="0" applyNumberFormat="1" applyFill="1" applyBorder="1"/>
    <xf numFmtId="164" fontId="0" fillId="0" borderId="21" xfId="0" applyNumberFormat="1" applyFill="1" applyBorder="1"/>
    <xf numFmtId="164" fontId="0" fillId="0" borderId="0" xfId="0" applyNumberFormat="1" applyFill="1"/>
    <xf numFmtId="164" fontId="0" fillId="0" borderId="3" xfId="0" applyNumberFormat="1" applyFill="1" applyBorder="1"/>
    <xf numFmtId="164" fontId="0" fillId="0" borderId="0" xfId="0" applyNumberFormat="1" applyFill="1" applyBorder="1"/>
    <xf numFmtId="164" fontId="0" fillId="0" borderId="4" xfId="0" applyNumberFormat="1" applyFill="1" applyBorder="1"/>
    <xf numFmtId="164" fontId="0" fillId="6" borderId="4" xfId="0" applyNumberFormat="1" applyFill="1" applyBorder="1"/>
    <xf numFmtId="164" fontId="0" fillId="6" borderId="0" xfId="0" applyNumberFormat="1" applyFill="1"/>
    <xf numFmtId="0" fontId="0" fillId="0" borderId="22" xfId="0" applyBorder="1" applyAlignment="1">
      <alignment horizontal="right" indent="1"/>
    </xf>
    <xf numFmtId="0" fontId="0" fillId="0" borderId="4" xfId="0" applyBorder="1" applyAlignment="1">
      <alignment horizontal="right" indent="1"/>
    </xf>
  </cellXfs>
  <cellStyles count="2">
    <cellStyle name="Normal" xfId="0" builtinId="0"/>
    <cellStyle name="Vírgula" xfId="1" builtinId="3"/>
  </cellStyles>
  <dxfs count="84">
    <dxf>
      <numFmt numFmtId="164" formatCode="#,##0.0_ ;[Red]\-#,##0.0\ "/>
    </dxf>
    <dxf>
      <numFmt numFmtId="164" formatCode="#,##0.0_ ;[Red]\-#,##0.0\ "/>
    </dxf>
    <dxf>
      <numFmt numFmtId="167" formatCode="[$-416]mmm\-yy;@"/>
    </dxf>
    <dxf>
      <numFmt numFmtId="164" formatCode="#,##0.0_ ;[Red]\-#,##0.0\ "/>
    </dxf>
    <dxf>
      <numFmt numFmtId="164" formatCode="#,##0.0_ ;[Red]\-#,##0.0\ "/>
    </dxf>
    <dxf>
      <numFmt numFmtId="164" formatCode="#,##0.0_ ;[Red]\-#,##0.0\ "/>
    </dxf>
    <dxf>
      <numFmt numFmtId="164" formatCode="#,##0.0_ ;[Red]\-#,##0.0\ "/>
    </dxf>
    <dxf>
      <numFmt numFmtId="164" formatCode="#,##0.0_ ;[Red]\-#,##0.0\ "/>
    </dxf>
    <dxf>
      <numFmt numFmtId="164" formatCode="#,##0.0_ ;[Red]\-#,##0.0\ "/>
    </dxf>
    <dxf>
      <numFmt numFmtId="164" formatCode="#,##0.0_ ;[Red]\-#,##0.0\ "/>
    </dxf>
    <dxf>
      <numFmt numFmtId="164" formatCode="#,##0.0_ ;[Red]\-#,##0.0\ "/>
    </dxf>
    <dxf>
      <numFmt numFmtId="164" formatCode="#,##0.0_ ;[Red]\-#,##0.0\ "/>
    </dxf>
    <dxf>
      <numFmt numFmtId="164" formatCode="#,##0.0_ ;[Red]\-#,##0.0\ "/>
    </dxf>
    <dxf>
      <numFmt numFmtId="164" formatCode="#,##0.0_ ;[Red]\-#,##0.0\ "/>
    </dxf>
    <dxf>
      <numFmt numFmtId="164" formatCode="#,##0.0_ ;[Red]\-#,##0.0\ "/>
    </dxf>
    <dxf>
      <numFmt numFmtId="164" formatCode="#,##0.0_ ;[Red]\-#,##0.0\ "/>
    </dxf>
    <dxf>
      <numFmt numFmtId="164" formatCode="#,##0.0_ ;[Red]\-#,##0.0\ "/>
    </dxf>
    <dxf>
      <numFmt numFmtId="19" formatCode="dd/mm/yyyy"/>
    </dxf>
    <dxf>
      <numFmt numFmtId="164" formatCode="#,##0.0_ ;[Red]\-#,##0.0\ "/>
    </dxf>
    <dxf>
      <numFmt numFmtId="164" formatCode="#,##0.0_ ;[Red]\-#,##0.0\ "/>
    </dxf>
    <dxf>
      <numFmt numFmtId="164" formatCode="#,##0.0_ ;[Red]\-#,##0.0\ "/>
    </dxf>
    <dxf>
      <numFmt numFmtId="164" formatCode="#,##0.0_ ;[Red]\-#,##0.0\ "/>
    </dxf>
    <dxf>
      <numFmt numFmtId="164" formatCode="#,##0.0_ ;[Red]\-#,##0.0\ "/>
    </dxf>
    <dxf>
      <numFmt numFmtId="164" formatCode="#,##0.0_ ;[Red]\-#,##0.0\ "/>
    </dxf>
    <dxf>
      <numFmt numFmtId="164" formatCode="#,##0.0_ ;[Red]\-#,##0.0\ "/>
    </dxf>
    <dxf>
      <numFmt numFmtId="164" formatCode="#,##0.0_ ;[Red]\-#,##0.0\ "/>
    </dxf>
    <dxf>
      <numFmt numFmtId="0" formatCode="General"/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>
        <right/>
      </border>
    </dxf>
    <dxf>
      <border>
        <right style="thick">
          <color theme="9" tint="-0.24994659260841701"/>
        </right>
      </border>
    </dxf>
    <dxf>
      <border>
        <left style="thick">
          <color theme="9" tint="-0.24994659260841701"/>
        </left>
      </border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ck">
          <color theme="9" tint="-0.24994659260841701"/>
        </left>
      </border>
    </dxf>
    <dxf>
      <border>
        <right/>
      </border>
    </dxf>
    <dxf>
      <border>
        <right style="thick">
          <color theme="9" tint="-0.24994659260841701"/>
        </right>
      </border>
    </dxf>
    <dxf>
      <numFmt numFmtId="164" formatCode="#,##0.0_ ;[Red]\-#,##0.0\ "/>
    </dxf>
    <dxf>
      <numFmt numFmtId="164" formatCode="#,##0.0_ ;[Red]\-#,##0.0\ "/>
    </dxf>
    <dxf>
      <border>
        <left style="thick">
          <color theme="9" tint="-0.24994659260841701"/>
        </left>
        <right style="thick">
          <color theme="9" tint="-0.24994659260841701"/>
        </right>
      </border>
    </dxf>
    <dxf>
      <border>
        <left/>
      </border>
    </dxf>
    <dxf>
      <border>
        <left style="thick">
          <color theme="9" tint="-0.24994659260841701"/>
        </left>
        <right style="thick">
          <color theme="9" tint="-0.24994659260841701"/>
        </right>
      </border>
    </dxf>
    <dxf>
      <border>
        <left/>
      </border>
    </dxf>
    <dxf>
      <border>
        <right/>
      </border>
    </dxf>
    <dxf>
      <border>
        <right/>
      </border>
    </dxf>
    <dxf>
      <border>
        <left/>
        <right/>
      </border>
    </dxf>
    <dxf>
      <border>
        <vertical/>
      </border>
    </dxf>
    <dxf>
      <numFmt numFmtId="165" formatCode="0.0%"/>
    </dxf>
    <dxf>
      <border>
        <left style="thick">
          <color theme="9" tint="-0.24994659260841701"/>
        </left>
      </border>
    </dxf>
    <dxf>
      <border>
        <left style="thick">
          <color theme="9" tint="-0.24994659260841701"/>
        </left>
        <right style="thick">
          <color theme="9" tint="-0.24994659260841701"/>
        </right>
      </border>
    </dxf>
    <dxf>
      <border>
        <left style="thick">
          <color theme="9" tint="-0.24994659260841701"/>
        </left>
        <right style="thick">
          <color theme="9" tint="-0.24994659260841701"/>
        </right>
      </border>
    </dxf>
    <dxf>
      <border>
        <left style="thick">
          <color theme="9" tint="-0.24994659260841701"/>
        </left>
        <right style="thick">
          <color theme="9" tint="-0.24994659260841701"/>
        </right>
      </border>
    </dxf>
    <dxf>
      <border>
        <left style="thick">
          <color theme="9" tint="-0.24994659260841701"/>
        </left>
        <right style="thick">
          <color theme="9" tint="-0.24994659260841701"/>
        </right>
      </border>
    </dxf>
    <dxf>
      <border>
        <left style="thick">
          <color theme="9" tint="-0.24994659260841701"/>
        </left>
        <right style="thick">
          <color theme="9" tint="-0.24994659260841701"/>
        </right>
      </border>
    </dxf>
    <dxf>
      <border>
        <left/>
      </border>
    </dxf>
    <dxf>
      <border>
        <right/>
      </border>
    </dxf>
    <dxf>
      <border>
        <right/>
      </border>
    </dxf>
    <dxf>
      <border>
        <left/>
        <right/>
      </border>
    </dxf>
    <dxf>
      <numFmt numFmtId="165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numFmt numFmtId="19" formatCode="dd/mm/yyyy"/>
    </dxf>
    <dxf>
      <numFmt numFmtId="164" formatCode="#,##0.0_ ;[Red]\-#,##0.0\ "/>
    </dxf>
    <dxf>
      <numFmt numFmtId="164" formatCode="#,##0.0_ ;[Red]\-#,##0.0\ "/>
    </dxf>
    <dxf>
      <numFmt numFmtId="164" formatCode="#,##0.0_ ;[Red]\-#,##0.0\ "/>
    </dxf>
    <dxf>
      <numFmt numFmtId="164" formatCode="#,##0.0_ ;[Red]\-#,##0.0\ "/>
    </dxf>
    <dxf>
      <numFmt numFmtId="19" formatCode="dd/mm/yyyy"/>
    </dxf>
  </dxfs>
  <tableStyles count="0" defaultTableStyle="TableStyleMedium2" defaultPivotStyle="PivotStyleLight16"/>
  <colors>
    <mruColors>
      <color rgb="FF3012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microsoft.com/office/2007/relationships/slicerCache" Target="slicerCaches/slicerCache6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07/relationships/slicerCache" Target="slicerCaches/slicerCache5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 - Produtividade por Estimativa.xlsx]GRAF_SEMANA!Tabela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pt-BR"/>
              <a:t>TCH</a:t>
            </a:r>
            <a:r>
              <a:rPr lang="pt-BR" baseline="0"/>
              <a:t> | Realizado por Semana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ln w="31750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rgbClr val="0070C0"/>
            </a:solidFill>
            <a:ln w="12700">
              <a:solidFill>
                <a:srgbClr val="0070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rgbClr val="FFC000"/>
            </a:solidFill>
            <a:round/>
          </a:ln>
          <a:effectLst/>
        </c:spPr>
        <c:marker>
          <c:symbol val="circle"/>
          <c:size val="5"/>
          <c:spPr>
            <a:solidFill>
              <a:srgbClr val="FFC000"/>
            </a:solidFill>
            <a:ln w="12700">
              <a:solidFill>
                <a:srgbClr val="FFC000">
                  <a:alpha val="81000"/>
                </a:srgb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75000"/>
              </a:schemeClr>
            </a:solidFill>
            <a:ln w="12700">
              <a:solidFill>
                <a:schemeClr val="accent2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75000"/>
              </a:schemeClr>
            </a:solidFill>
            <a:ln w="12700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0121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GRAF_SEMANA!$F$3</c:f>
              <c:strCache>
                <c:ptCount val="1"/>
                <c:pt idx="0">
                  <c:v> AREA_REAL</c:v>
                </c:pt>
              </c:strCache>
            </c:strRef>
          </c:tx>
          <c:spPr>
            <a:solidFill>
              <a:srgbClr val="301210"/>
            </a:solidFill>
            <a:ln>
              <a:noFill/>
            </a:ln>
            <a:effectLst/>
          </c:spPr>
          <c:invertIfNegative val="0"/>
          <c:cat>
            <c:strRef>
              <c:f>GRAF_SEMANA!$A$4:$A$45</c:f>
              <c:strCache>
                <c:ptCount val="41"/>
                <c:pt idx="0">
                  <c:v>09/03/2025</c:v>
                </c:pt>
                <c:pt idx="1">
                  <c:v>16/03/2025</c:v>
                </c:pt>
                <c:pt idx="2">
                  <c:v>23/03/2025</c:v>
                </c:pt>
                <c:pt idx="3">
                  <c:v>30/03/2025</c:v>
                </c:pt>
                <c:pt idx="4">
                  <c:v>06/04/2025</c:v>
                </c:pt>
                <c:pt idx="5">
                  <c:v>13/04/2025</c:v>
                </c:pt>
                <c:pt idx="6">
                  <c:v>20/04/2025</c:v>
                </c:pt>
                <c:pt idx="7">
                  <c:v>27/04/2025</c:v>
                </c:pt>
                <c:pt idx="8">
                  <c:v>04/05/2025</c:v>
                </c:pt>
                <c:pt idx="9">
                  <c:v>11/05/2025</c:v>
                </c:pt>
                <c:pt idx="10">
                  <c:v>18/05/2025</c:v>
                </c:pt>
                <c:pt idx="11">
                  <c:v>25/05/2025</c:v>
                </c:pt>
                <c:pt idx="12">
                  <c:v>01/06/2025</c:v>
                </c:pt>
                <c:pt idx="13">
                  <c:v>08/06/2025</c:v>
                </c:pt>
                <c:pt idx="14">
                  <c:v>15/06/2025</c:v>
                </c:pt>
                <c:pt idx="15">
                  <c:v>22/06/2025</c:v>
                </c:pt>
                <c:pt idx="16">
                  <c:v>29/06/2025</c:v>
                </c:pt>
                <c:pt idx="17">
                  <c:v>06/07/2025</c:v>
                </c:pt>
                <c:pt idx="18">
                  <c:v>13/07/2025</c:v>
                </c:pt>
                <c:pt idx="19">
                  <c:v>20/07/2025</c:v>
                </c:pt>
                <c:pt idx="20">
                  <c:v>27/07/2025</c:v>
                </c:pt>
                <c:pt idx="21">
                  <c:v>03/08/2025</c:v>
                </c:pt>
                <c:pt idx="22">
                  <c:v>10/08/2025</c:v>
                </c:pt>
                <c:pt idx="23">
                  <c:v>17/08/2025</c:v>
                </c:pt>
                <c:pt idx="24">
                  <c:v>24/08/2025</c:v>
                </c:pt>
                <c:pt idx="25">
                  <c:v>31/08/2025</c:v>
                </c:pt>
                <c:pt idx="26">
                  <c:v>07/09/2025</c:v>
                </c:pt>
                <c:pt idx="27">
                  <c:v>14/09/2025</c:v>
                </c:pt>
                <c:pt idx="28">
                  <c:v>21/09/2025</c:v>
                </c:pt>
                <c:pt idx="29">
                  <c:v>28/09/2025</c:v>
                </c:pt>
                <c:pt idx="30">
                  <c:v>05/10/2025</c:v>
                </c:pt>
                <c:pt idx="31">
                  <c:v>12/10/2025</c:v>
                </c:pt>
                <c:pt idx="32">
                  <c:v>19/10/2025</c:v>
                </c:pt>
                <c:pt idx="33">
                  <c:v>26/10/2025</c:v>
                </c:pt>
                <c:pt idx="34">
                  <c:v>02/11/2025</c:v>
                </c:pt>
                <c:pt idx="35">
                  <c:v>16/11/2025</c:v>
                </c:pt>
                <c:pt idx="36">
                  <c:v>09/11/2025</c:v>
                </c:pt>
                <c:pt idx="37">
                  <c:v>23/11/2025</c:v>
                </c:pt>
                <c:pt idx="38">
                  <c:v>30/11/2025</c:v>
                </c:pt>
                <c:pt idx="39">
                  <c:v>07/12/2025</c:v>
                </c:pt>
                <c:pt idx="40">
                  <c:v>14/12/2025</c:v>
                </c:pt>
              </c:strCache>
            </c:strRef>
          </c:cat>
          <c:val>
            <c:numRef>
              <c:f>GRAF_SEMANA!$F$4:$F$45</c:f>
              <c:numCache>
                <c:formatCode>#,##0.0_ ;[Red]\-#,##0.0\ </c:formatCode>
                <c:ptCount val="41"/>
                <c:pt idx="0">
                  <c:v>222.76</c:v>
                </c:pt>
                <c:pt idx="1">
                  <c:v>1077.9099999999999</c:v>
                </c:pt>
                <c:pt idx="2">
                  <c:v>1151.5300000000002</c:v>
                </c:pt>
                <c:pt idx="3">
                  <c:v>721.71999999999991</c:v>
                </c:pt>
                <c:pt idx="4">
                  <c:v>850.03</c:v>
                </c:pt>
                <c:pt idx="5">
                  <c:v>1105.94</c:v>
                </c:pt>
                <c:pt idx="6">
                  <c:v>117.71000000000001</c:v>
                </c:pt>
                <c:pt idx="7">
                  <c:v>286.47000000000003</c:v>
                </c:pt>
                <c:pt idx="8">
                  <c:v>338.86</c:v>
                </c:pt>
                <c:pt idx="9">
                  <c:v>713.77</c:v>
                </c:pt>
                <c:pt idx="10">
                  <c:v>1408.9700000000007</c:v>
                </c:pt>
                <c:pt idx="11">
                  <c:v>1245.2100000000005</c:v>
                </c:pt>
                <c:pt idx="12">
                  <c:v>519.47</c:v>
                </c:pt>
                <c:pt idx="13">
                  <c:v>293.66999999999996</c:v>
                </c:pt>
                <c:pt idx="14">
                  <c:v>690.21999999999991</c:v>
                </c:pt>
                <c:pt idx="15">
                  <c:v>525.08000000000015</c:v>
                </c:pt>
                <c:pt idx="16">
                  <c:v>1187.1699999999998</c:v>
                </c:pt>
                <c:pt idx="17">
                  <c:v>858.24</c:v>
                </c:pt>
                <c:pt idx="18">
                  <c:v>1398.2300000000002</c:v>
                </c:pt>
                <c:pt idx="19">
                  <c:v>1061.46</c:v>
                </c:pt>
                <c:pt idx="20">
                  <c:v>1021.5400000000001</c:v>
                </c:pt>
                <c:pt idx="21">
                  <c:v>1123.8900000000001</c:v>
                </c:pt>
                <c:pt idx="22">
                  <c:v>1275.6700000000003</c:v>
                </c:pt>
                <c:pt idx="23">
                  <c:v>1512.5200000000002</c:v>
                </c:pt>
                <c:pt idx="24">
                  <c:v>1457.3699999999997</c:v>
                </c:pt>
                <c:pt idx="25">
                  <c:v>1279.3099999999997</c:v>
                </c:pt>
                <c:pt idx="26">
                  <c:v>892.66</c:v>
                </c:pt>
                <c:pt idx="27">
                  <c:v>902.43999999999994</c:v>
                </c:pt>
                <c:pt idx="28">
                  <c:v>1085.5400000000002</c:v>
                </c:pt>
                <c:pt idx="29">
                  <c:v>227.64000000000001</c:v>
                </c:pt>
                <c:pt idx="30">
                  <c:v>1405.82</c:v>
                </c:pt>
                <c:pt idx="31">
                  <c:v>1380.6799999999998</c:v>
                </c:pt>
                <c:pt idx="32">
                  <c:v>88.14</c:v>
                </c:pt>
                <c:pt idx="33">
                  <c:v>950.78000000000009</c:v>
                </c:pt>
                <c:pt idx="34">
                  <c:v>1155.96</c:v>
                </c:pt>
                <c:pt idx="35">
                  <c:v>1098.0899999999999</c:v>
                </c:pt>
                <c:pt idx="36">
                  <c:v>150.08999999999997</c:v>
                </c:pt>
                <c:pt idx="37">
                  <c:v>409.37</c:v>
                </c:pt>
                <c:pt idx="38">
                  <c:v>1192.6299999999994</c:v>
                </c:pt>
                <c:pt idx="39">
                  <c:v>1162.3600000000001</c:v>
                </c:pt>
                <c:pt idx="40">
                  <c:v>1204.3999999999999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B6-4C01-9329-448ABC530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65084399"/>
        <c:axId val="2065087279"/>
      </c:barChart>
      <c:lineChart>
        <c:grouping val="standard"/>
        <c:varyColors val="0"/>
        <c:ser>
          <c:idx val="0"/>
          <c:order val="0"/>
          <c:tx>
            <c:strRef>
              <c:f>GRAF_SEMANA!$B$3</c:f>
              <c:strCache>
                <c:ptCount val="1"/>
                <c:pt idx="0">
                  <c:v> TCH_EST</c:v>
                </c:pt>
              </c:strCache>
            </c:strRef>
          </c:tx>
          <c:spPr>
            <a:ln w="317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12700">
                <a:solidFill>
                  <a:srgbClr val="0070C0"/>
                </a:solidFill>
              </a:ln>
              <a:effectLst/>
            </c:spPr>
          </c:marker>
          <c:cat>
            <c:strRef>
              <c:f>GRAF_SEMANA!$A$4:$A$45</c:f>
              <c:strCache>
                <c:ptCount val="41"/>
                <c:pt idx="0">
                  <c:v>09/03/2025</c:v>
                </c:pt>
                <c:pt idx="1">
                  <c:v>16/03/2025</c:v>
                </c:pt>
                <c:pt idx="2">
                  <c:v>23/03/2025</c:v>
                </c:pt>
                <c:pt idx="3">
                  <c:v>30/03/2025</c:v>
                </c:pt>
                <c:pt idx="4">
                  <c:v>06/04/2025</c:v>
                </c:pt>
                <c:pt idx="5">
                  <c:v>13/04/2025</c:v>
                </c:pt>
                <c:pt idx="6">
                  <c:v>20/04/2025</c:v>
                </c:pt>
                <c:pt idx="7">
                  <c:v>27/04/2025</c:v>
                </c:pt>
                <c:pt idx="8">
                  <c:v>04/05/2025</c:v>
                </c:pt>
                <c:pt idx="9">
                  <c:v>11/05/2025</c:v>
                </c:pt>
                <c:pt idx="10">
                  <c:v>18/05/2025</c:v>
                </c:pt>
                <c:pt idx="11">
                  <c:v>25/05/2025</c:v>
                </c:pt>
                <c:pt idx="12">
                  <c:v>01/06/2025</c:v>
                </c:pt>
                <c:pt idx="13">
                  <c:v>08/06/2025</c:v>
                </c:pt>
                <c:pt idx="14">
                  <c:v>15/06/2025</c:v>
                </c:pt>
                <c:pt idx="15">
                  <c:v>22/06/2025</c:v>
                </c:pt>
                <c:pt idx="16">
                  <c:v>29/06/2025</c:v>
                </c:pt>
                <c:pt idx="17">
                  <c:v>06/07/2025</c:v>
                </c:pt>
                <c:pt idx="18">
                  <c:v>13/07/2025</c:v>
                </c:pt>
                <c:pt idx="19">
                  <c:v>20/07/2025</c:v>
                </c:pt>
                <c:pt idx="20">
                  <c:v>27/07/2025</c:v>
                </c:pt>
                <c:pt idx="21">
                  <c:v>03/08/2025</c:v>
                </c:pt>
                <c:pt idx="22">
                  <c:v>10/08/2025</c:v>
                </c:pt>
                <c:pt idx="23">
                  <c:v>17/08/2025</c:v>
                </c:pt>
                <c:pt idx="24">
                  <c:v>24/08/2025</c:v>
                </c:pt>
                <c:pt idx="25">
                  <c:v>31/08/2025</c:v>
                </c:pt>
                <c:pt idx="26">
                  <c:v>07/09/2025</c:v>
                </c:pt>
                <c:pt idx="27">
                  <c:v>14/09/2025</c:v>
                </c:pt>
                <c:pt idx="28">
                  <c:v>21/09/2025</c:v>
                </c:pt>
                <c:pt idx="29">
                  <c:v>28/09/2025</c:v>
                </c:pt>
                <c:pt idx="30">
                  <c:v>05/10/2025</c:v>
                </c:pt>
                <c:pt idx="31">
                  <c:v>12/10/2025</c:v>
                </c:pt>
                <c:pt idx="32">
                  <c:v>19/10/2025</c:v>
                </c:pt>
                <c:pt idx="33">
                  <c:v>26/10/2025</c:v>
                </c:pt>
                <c:pt idx="34">
                  <c:v>02/11/2025</c:v>
                </c:pt>
                <c:pt idx="35">
                  <c:v>16/11/2025</c:v>
                </c:pt>
                <c:pt idx="36">
                  <c:v>09/11/2025</c:v>
                </c:pt>
                <c:pt idx="37">
                  <c:v>23/11/2025</c:v>
                </c:pt>
                <c:pt idx="38">
                  <c:v>30/11/2025</c:v>
                </c:pt>
                <c:pt idx="39">
                  <c:v>07/12/2025</c:v>
                </c:pt>
                <c:pt idx="40">
                  <c:v>14/12/2025</c:v>
                </c:pt>
              </c:strCache>
            </c:strRef>
          </c:cat>
          <c:val>
            <c:numRef>
              <c:f>GRAF_SEMANA!$B$4:$B$45</c:f>
              <c:numCache>
                <c:formatCode>#,##0.0_ ;[Red]\-#,##0.0\ </c:formatCode>
                <c:ptCount val="41"/>
                <c:pt idx="0">
                  <c:v>53.088884898545523</c:v>
                </c:pt>
                <c:pt idx="1">
                  <c:v>55.033333024092926</c:v>
                </c:pt>
                <c:pt idx="2">
                  <c:v>66.319809297195903</c:v>
                </c:pt>
                <c:pt idx="3">
                  <c:v>64.549479022335547</c:v>
                </c:pt>
                <c:pt idx="4">
                  <c:v>81.884815830029524</c:v>
                </c:pt>
                <c:pt idx="5">
                  <c:v>81.295911170587928</c:v>
                </c:pt>
                <c:pt idx="6">
                  <c:v>61.626539801206363</c:v>
                </c:pt>
                <c:pt idx="7">
                  <c:v>79.729500471253516</c:v>
                </c:pt>
                <c:pt idx="8">
                  <c:v>80.992651832615238</c:v>
                </c:pt>
                <c:pt idx="9">
                  <c:v>90.281169004020896</c:v>
                </c:pt>
                <c:pt idx="10">
                  <c:v>77.661277387027383</c:v>
                </c:pt>
                <c:pt idx="11">
                  <c:v>88.898474956031492</c:v>
                </c:pt>
                <c:pt idx="12">
                  <c:v>86.914008508672296</c:v>
                </c:pt>
                <c:pt idx="13">
                  <c:v>65.120509415330133</c:v>
                </c:pt>
                <c:pt idx="14">
                  <c:v>66.896279447132798</c:v>
                </c:pt>
                <c:pt idx="15">
                  <c:v>63.474746705263954</c:v>
                </c:pt>
                <c:pt idx="16">
                  <c:v>67.872781488750547</c:v>
                </c:pt>
                <c:pt idx="17">
                  <c:v>82.003740212527958</c:v>
                </c:pt>
                <c:pt idx="18">
                  <c:v>81.373021605887402</c:v>
                </c:pt>
                <c:pt idx="19">
                  <c:v>76.628002939347667</c:v>
                </c:pt>
                <c:pt idx="20">
                  <c:v>81.675940247077961</c:v>
                </c:pt>
                <c:pt idx="21">
                  <c:v>84.627774960182904</c:v>
                </c:pt>
                <c:pt idx="22">
                  <c:v>81.458253310025327</c:v>
                </c:pt>
                <c:pt idx="23">
                  <c:v>79.904675640652641</c:v>
                </c:pt>
                <c:pt idx="24">
                  <c:v>70.100461790760093</c:v>
                </c:pt>
                <c:pt idx="25">
                  <c:v>81.222752890229899</c:v>
                </c:pt>
                <c:pt idx="26">
                  <c:v>81.825599892456239</c:v>
                </c:pt>
                <c:pt idx="27">
                  <c:v>93.859536368068788</c:v>
                </c:pt>
                <c:pt idx="28">
                  <c:v>83.123311900068146</c:v>
                </c:pt>
                <c:pt idx="29">
                  <c:v>111.574020383061</c:v>
                </c:pt>
                <c:pt idx="30">
                  <c:v>73.513017313738601</c:v>
                </c:pt>
                <c:pt idx="31">
                  <c:v>75.689833994843141</c:v>
                </c:pt>
                <c:pt idx="32">
                  <c:v>64.722940776038129</c:v>
                </c:pt>
                <c:pt idx="33">
                  <c:v>63.204284902921799</c:v>
                </c:pt>
                <c:pt idx="34">
                  <c:v>62.1248659123153</c:v>
                </c:pt>
                <c:pt idx="35">
                  <c:v>64.495150670710061</c:v>
                </c:pt>
                <c:pt idx="36">
                  <c:v>46.222866280231877</c:v>
                </c:pt>
                <c:pt idx="37">
                  <c:v>70.332193370300701</c:v>
                </c:pt>
                <c:pt idx="38">
                  <c:v>78.907859101313974</c:v>
                </c:pt>
                <c:pt idx="39">
                  <c:v>75.848386042190015</c:v>
                </c:pt>
                <c:pt idx="40">
                  <c:v>76.374551643972126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B6-4C01-9329-448ABC530731}"/>
            </c:ext>
          </c:extLst>
        </c:ser>
        <c:ser>
          <c:idx val="1"/>
          <c:order val="1"/>
          <c:tx>
            <c:strRef>
              <c:f>GRAF_SEMANA!$C$3</c:f>
              <c:strCache>
                <c:ptCount val="1"/>
                <c:pt idx="0">
                  <c:v> TCH_EST1</c:v>
                </c:pt>
              </c:strCache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12700">
                <a:solidFill>
                  <a:srgbClr val="FFC000">
                    <a:alpha val="81000"/>
                  </a:srgbClr>
                </a:solidFill>
              </a:ln>
              <a:effectLst/>
            </c:spPr>
          </c:marker>
          <c:cat>
            <c:strRef>
              <c:f>GRAF_SEMANA!$A$4:$A$45</c:f>
              <c:strCache>
                <c:ptCount val="41"/>
                <c:pt idx="0">
                  <c:v>09/03/2025</c:v>
                </c:pt>
                <c:pt idx="1">
                  <c:v>16/03/2025</c:v>
                </c:pt>
                <c:pt idx="2">
                  <c:v>23/03/2025</c:v>
                </c:pt>
                <c:pt idx="3">
                  <c:v>30/03/2025</c:v>
                </c:pt>
                <c:pt idx="4">
                  <c:v>06/04/2025</c:v>
                </c:pt>
                <c:pt idx="5">
                  <c:v>13/04/2025</c:v>
                </c:pt>
                <c:pt idx="6">
                  <c:v>20/04/2025</c:v>
                </c:pt>
                <c:pt idx="7">
                  <c:v>27/04/2025</c:v>
                </c:pt>
                <c:pt idx="8">
                  <c:v>04/05/2025</c:v>
                </c:pt>
                <c:pt idx="9">
                  <c:v>11/05/2025</c:v>
                </c:pt>
                <c:pt idx="10">
                  <c:v>18/05/2025</c:v>
                </c:pt>
                <c:pt idx="11">
                  <c:v>25/05/2025</c:v>
                </c:pt>
                <c:pt idx="12">
                  <c:v>01/06/2025</c:v>
                </c:pt>
                <c:pt idx="13">
                  <c:v>08/06/2025</c:v>
                </c:pt>
                <c:pt idx="14">
                  <c:v>15/06/2025</c:v>
                </c:pt>
                <c:pt idx="15">
                  <c:v>22/06/2025</c:v>
                </c:pt>
                <c:pt idx="16">
                  <c:v>29/06/2025</c:v>
                </c:pt>
                <c:pt idx="17">
                  <c:v>06/07/2025</c:v>
                </c:pt>
                <c:pt idx="18">
                  <c:v>13/07/2025</c:v>
                </c:pt>
                <c:pt idx="19">
                  <c:v>20/07/2025</c:v>
                </c:pt>
                <c:pt idx="20">
                  <c:v>27/07/2025</c:v>
                </c:pt>
                <c:pt idx="21">
                  <c:v>03/08/2025</c:v>
                </c:pt>
                <c:pt idx="22">
                  <c:v>10/08/2025</c:v>
                </c:pt>
                <c:pt idx="23">
                  <c:v>17/08/2025</c:v>
                </c:pt>
                <c:pt idx="24">
                  <c:v>24/08/2025</c:v>
                </c:pt>
                <c:pt idx="25">
                  <c:v>31/08/2025</c:v>
                </c:pt>
                <c:pt idx="26">
                  <c:v>07/09/2025</c:v>
                </c:pt>
                <c:pt idx="27">
                  <c:v>14/09/2025</c:v>
                </c:pt>
                <c:pt idx="28">
                  <c:v>21/09/2025</c:v>
                </c:pt>
                <c:pt idx="29">
                  <c:v>28/09/2025</c:v>
                </c:pt>
                <c:pt idx="30">
                  <c:v>05/10/2025</c:v>
                </c:pt>
                <c:pt idx="31">
                  <c:v>12/10/2025</c:v>
                </c:pt>
                <c:pt idx="32">
                  <c:v>19/10/2025</c:v>
                </c:pt>
                <c:pt idx="33">
                  <c:v>26/10/2025</c:v>
                </c:pt>
                <c:pt idx="34">
                  <c:v>02/11/2025</c:v>
                </c:pt>
                <c:pt idx="35">
                  <c:v>16/11/2025</c:v>
                </c:pt>
                <c:pt idx="36">
                  <c:v>09/11/2025</c:v>
                </c:pt>
                <c:pt idx="37">
                  <c:v>23/11/2025</c:v>
                </c:pt>
                <c:pt idx="38">
                  <c:v>30/11/2025</c:v>
                </c:pt>
                <c:pt idx="39">
                  <c:v>07/12/2025</c:v>
                </c:pt>
                <c:pt idx="40">
                  <c:v>14/12/2025</c:v>
                </c:pt>
              </c:strCache>
            </c:strRef>
          </c:cat>
          <c:val>
            <c:numRef>
              <c:f>GRAF_SEMANA!$C$4:$C$45</c:f>
              <c:numCache>
                <c:formatCode>#,##0.0_ ;[Red]\-#,##0.0\ </c:formatCode>
                <c:ptCount val="41"/>
                <c:pt idx="0">
                  <c:v>48.781244388579637</c:v>
                </c:pt>
                <c:pt idx="1">
                  <c:v>59.903683981037389</c:v>
                </c:pt>
                <c:pt idx="2">
                  <c:v>67.779693103957356</c:v>
                </c:pt>
                <c:pt idx="3">
                  <c:v>67.714543036080471</c:v>
                </c:pt>
                <c:pt idx="4">
                  <c:v>82.744550192346125</c:v>
                </c:pt>
                <c:pt idx="5">
                  <c:v>85.369549885165554</c:v>
                </c:pt>
                <c:pt idx="6">
                  <c:v>74.234899328859058</c:v>
                </c:pt>
                <c:pt idx="7">
                  <c:v>94.57981638565991</c:v>
                </c:pt>
                <c:pt idx="8">
                  <c:v>87.631971905801791</c:v>
                </c:pt>
                <c:pt idx="9">
                  <c:v>89.31145887330652</c:v>
                </c:pt>
                <c:pt idx="10">
                  <c:v>77.067978736239922</c:v>
                </c:pt>
                <c:pt idx="11">
                  <c:v>92.385212132893201</c:v>
                </c:pt>
                <c:pt idx="12">
                  <c:v>89.83723795406857</c:v>
                </c:pt>
                <c:pt idx="13">
                  <c:v>78.138284468961771</c:v>
                </c:pt>
                <c:pt idx="14">
                  <c:v>69.211613688389207</c:v>
                </c:pt>
                <c:pt idx="15">
                  <c:v>65.579416469871248</c:v>
                </c:pt>
                <c:pt idx="16">
                  <c:v>73.562025657656434</c:v>
                </c:pt>
                <c:pt idx="17">
                  <c:v>83.874848527218489</c:v>
                </c:pt>
                <c:pt idx="18">
                  <c:v>79.829427204394108</c:v>
                </c:pt>
                <c:pt idx="19">
                  <c:v>73.65366570572607</c:v>
                </c:pt>
                <c:pt idx="20">
                  <c:v>81.561867376705735</c:v>
                </c:pt>
                <c:pt idx="21">
                  <c:v>86.055503652492717</c:v>
                </c:pt>
                <c:pt idx="22">
                  <c:v>84.996786002649614</c:v>
                </c:pt>
                <c:pt idx="23">
                  <c:v>81.042968026869048</c:v>
                </c:pt>
                <c:pt idx="24">
                  <c:v>68.404111515949992</c:v>
                </c:pt>
                <c:pt idx="25">
                  <c:v>81.732738741978125</c:v>
                </c:pt>
                <c:pt idx="26">
                  <c:v>81.915018035982328</c:v>
                </c:pt>
                <c:pt idx="27">
                  <c:v>95.162836310447261</c:v>
                </c:pt>
                <c:pt idx="28">
                  <c:v>82.147373657350229</c:v>
                </c:pt>
                <c:pt idx="29">
                  <c:v>116.28975575470039</c:v>
                </c:pt>
                <c:pt idx="30">
                  <c:v>73.036284872885574</c:v>
                </c:pt>
                <c:pt idx="31">
                  <c:v>75.204457223976576</c:v>
                </c:pt>
                <c:pt idx="32">
                  <c:v>49.482300884955748</c:v>
                </c:pt>
                <c:pt idx="33">
                  <c:v>63.818002061465322</c:v>
                </c:pt>
                <c:pt idx="34">
                  <c:v>65.191338800650541</c:v>
                </c:pt>
                <c:pt idx="35">
                  <c:v>60.263940114198306</c:v>
                </c:pt>
                <c:pt idx="36">
                  <c:v>43.348057831967495</c:v>
                </c:pt>
                <c:pt idx="37">
                  <c:v>69.306690768742214</c:v>
                </c:pt>
                <c:pt idx="38">
                  <c:v>76.337045018153205</c:v>
                </c:pt>
                <c:pt idx="39">
                  <c:v>79.848876423827363</c:v>
                </c:pt>
                <c:pt idx="40">
                  <c:v>79.404317502490883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B6-4C01-9329-448ABC530731}"/>
            </c:ext>
          </c:extLst>
        </c:ser>
        <c:ser>
          <c:idx val="2"/>
          <c:order val="2"/>
          <c:tx>
            <c:strRef>
              <c:f>GRAF_SEMANA!$D$3</c:f>
              <c:strCache>
                <c:ptCount val="1"/>
                <c:pt idx="0">
                  <c:v> TCH_EST2</c:v>
                </c:pt>
              </c:strCache>
            </c:strRef>
          </c:tx>
          <c:spPr>
            <a:ln w="317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1270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GRAF_SEMANA!$A$4:$A$45</c:f>
              <c:strCache>
                <c:ptCount val="41"/>
                <c:pt idx="0">
                  <c:v>09/03/2025</c:v>
                </c:pt>
                <c:pt idx="1">
                  <c:v>16/03/2025</c:v>
                </c:pt>
                <c:pt idx="2">
                  <c:v>23/03/2025</c:v>
                </c:pt>
                <c:pt idx="3">
                  <c:v>30/03/2025</c:v>
                </c:pt>
                <c:pt idx="4">
                  <c:v>06/04/2025</c:v>
                </c:pt>
                <c:pt idx="5">
                  <c:v>13/04/2025</c:v>
                </c:pt>
                <c:pt idx="6">
                  <c:v>20/04/2025</c:v>
                </c:pt>
                <c:pt idx="7">
                  <c:v>27/04/2025</c:v>
                </c:pt>
                <c:pt idx="8">
                  <c:v>04/05/2025</c:v>
                </c:pt>
                <c:pt idx="9">
                  <c:v>11/05/2025</c:v>
                </c:pt>
                <c:pt idx="10">
                  <c:v>18/05/2025</c:v>
                </c:pt>
                <c:pt idx="11">
                  <c:v>25/05/2025</c:v>
                </c:pt>
                <c:pt idx="12">
                  <c:v>01/06/2025</c:v>
                </c:pt>
                <c:pt idx="13">
                  <c:v>08/06/2025</c:v>
                </c:pt>
                <c:pt idx="14">
                  <c:v>15/06/2025</c:v>
                </c:pt>
                <c:pt idx="15">
                  <c:v>22/06/2025</c:v>
                </c:pt>
                <c:pt idx="16">
                  <c:v>29/06/2025</c:v>
                </c:pt>
                <c:pt idx="17">
                  <c:v>06/07/2025</c:v>
                </c:pt>
                <c:pt idx="18">
                  <c:v>13/07/2025</c:v>
                </c:pt>
                <c:pt idx="19">
                  <c:v>20/07/2025</c:v>
                </c:pt>
                <c:pt idx="20">
                  <c:v>27/07/2025</c:v>
                </c:pt>
                <c:pt idx="21">
                  <c:v>03/08/2025</c:v>
                </c:pt>
                <c:pt idx="22">
                  <c:v>10/08/2025</c:v>
                </c:pt>
                <c:pt idx="23">
                  <c:v>17/08/2025</c:v>
                </c:pt>
                <c:pt idx="24">
                  <c:v>24/08/2025</c:v>
                </c:pt>
                <c:pt idx="25">
                  <c:v>31/08/2025</c:v>
                </c:pt>
                <c:pt idx="26">
                  <c:v>07/09/2025</c:v>
                </c:pt>
                <c:pt idx="27">
                  <c:v>14/09/2025</c:v>
                </c:pt>
                <c:pt idx="28">
                  <c:v>21/09/2025</c:v>
                </c:pt>
                <c:pt idx="29">
                  <c:v>28/09/2025</c:v>
                </c:pt>
                <c:pt idx="30">
                  <c:v>05/10/2025</c:v>
                </c:pt>
                <c:pt idx="31">
                  <c:v>12/10/2025</c:v>
                </c:pt>
                <c:pt idx="32">
                  <c:v>19/10/2025</c:v>
                </c:pt>
                <c:pt idx="33">
                  <c:v>26/10/2025</c:v>
                </c:pt>
                <c:pt idx="34">
                  <c:v>02/11/2025</c:v>
                </c:pt>
                <c:pt idx="35">
                  <c:v>16/11/2025</c:v>
                </c:pt>
                <c:pt idx="36">
                  <c:v>09/11/2025</c:v>
                </c:pt>
                <c:pt idx="37">
                  <c:v>23/11/2025</c:v>
                </c:pt>
                <c:pt idx="38">
                  <c:v>30/11/2025</c:v>
                </c:pt>
                <c:pt idx="39">
                  <c:v>07/12/2025</c:v>
                </c:pt>
                <c:pt idx="40">
                  <c:v>14/12/2025</c:v>
                </c:pt>
              </c:strCache>
            </c:strRef>
          </c:cat>
          <c:val>
            <c:numRef>
              <c:f>GRAF_SEMANA!$D$4:$D$45</c:f>
              <c:numCache>
                <c:formatCode>#,##0.0_ ;[Red]\-#,##0.0\ </c:formatCode>
                <c:ptCount val="41"/>
                <c:pt idx="0">
                  <c:v>48.781244388579637</c:v>
                </c:pt>
                <c:pt idx="1">
                  <c:v>59.903683981037389</c:v>
                </c:pt>
                <c:pt idx="2">
                  <c:v>67.779693103957356</c:v>
                </c:pt>
                <c:pt idx="3">
                  <c:v>67.714543036080471</c:v>
                </c:pt>
                <c:pt idx="4">
                  <c:v>82.744550192346125</c:v>
                </c:pt>
                <c:pt idx="5">
                  <c:v>85.369549885165554</c:v>
                </c:pt>
                <c:pt idx="6">
                  <c:v>74.234899328859058</c:v>
                </c:pt>
                <c:pt idx="7">
                  <c:v>94.57981638565991</c:v>
                </c:pt>
                <c:pt idx="8">
                  <c:v>87.631971905801791</c:v>
                </c:pt>
                <c:pt idx="9">
                  <c:v>89.31145887330652</c:v>
                </c:pt>
                <c:pt idx="10">
                  <c:v>77.067978736239922</c:v>
                </c:pt>
                <c:pt idx="11">
                  <c:v>92.385212132893201</c:v>
                </c:pt>
                <c:pt idx="12">
                  <c:v>89.83723795406857</c:v>
                </c:pt>
                <c:pt idx="13">
                  <c:v>78.138284468961771</c:v>
                </c:pt>
                <c:pt idx="14">
                  <c:v>69.211613688389207</c:v>
                </c:pt>
                <c:pt idx="15">
                  <c:v>65.579416469871248</c:v>
                </c:pt>
                <c:pt idx="16">
                  <c:v>73.562025657656434</c:v>
                </c:pt>
                <c:pt idx="17">
                  <c:v>83.874848527218489</c:v>
                </c:pt>
                <c:pt idx="18">
                  <c:v>79.911945817211745</c:v>
                </c:pt>
                <c:pt idx="19">
                  <c:v>73.361982552333572</c:v>
                </c:pt>
                <c:pt idx="20">
                  <c:v>81.784521408853294</c:v>
                </c:pt>
                <c:pt idx="21">
                  <c:v>85.547206577156132</c:v>
                </c:pt>
                <c:pt idx="22">
                  <c:v>91.659880690147133</c:v>
                </c:pt>
                <c:pt idx="23">
                  <c:v>77.455352656493815</c:v>
                </c:pt>
                <c:pt idx="24">
                  <c:v>65.937339179480901</c:v>
                </c:pt>
                <c:pt idx="25">
                  <c:v>78.241411385825188</c:v>
                </c:pt>
                <c:pt idx="26">
                  <c:v>86.899480205229324</c:v>
                </c:pt>
                <c:pt idx="27">
                  <c:v>89.480585966934086</c:v>
                </c:pt>
                <c:pt idx="28">
                  <c:v>81.786281482027391</c:v>
                </c:pt>
                <c:pt idx="29">
                  <c:v>118.43164645932173</c:v>
                </c:pt>
                <c:pt idx="30">
                  <c:v>70.87195373518658</c:v>
                </c:pt>
                <c:pt idx="31">
                  <c:v>73.583770316076141</c:v>
                </c:pt>
                <c:pt idx="32">
                  <c:v>62.691173133651013</c:v>
                </c:pt>
                <c:pt idx="33">
                  <c:v>59.670838679820768</c:v>
                </c:pt>
                <c:pt idx="34">
                  <c:v>64.521263711547121</c:v>
                </c:pt>
                <c:pt idx="35">
                  <c:v>60.786265242375386</c:v>
                </c:pt>
                <c:pt idx="36">
                  <c:v>49.058564861083354</c:v>
                </c:pt>
                <c:pt idx="37">
                  <c:v>65.914771478124933</c:v>
                </c:pt>
                <c:pt idx="38">
                  <c:v>72.721975801380182</c:v>
                </c:pt>
                <c:pt idx="39">
                  <c:v>76.549554354933051</c:v>
                </c:pt>
                <c:pt idx="40">
                  <c:v>77.111416472932575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B6-4C01-9329-448ABC530731}"/>
            </c:ext>
          </c:extLst>
        </c:ser>
        <c:ser>
          <c:idx val="3"/>
          <c:order val="3"/>
          <c:tx>
            <c:strRef>
              <c:f>GRAF_SEMANA!$E$3</c:f>
              <c:strCache>
                <c:ptCount val="1"/>
                <c:pt idx="0">
                  <c:v> TCH_REAL</c:v>
                </c:pt>
              </c:strCache>
            </c:strRef>
          </c:tx>
          <c:spPr>
            <a:ln w="317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12700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strRef>
              <c:f>GRAF_SEMANA!$A$4:$A$45</c:f>
              <c:strCache>
                <c:ptCount val="41"/>
                <c:pt idx="0">
                  <c:v>09/03/2025</c:v>
                </c:pt>
                <c:pt idx="1">
                  <c:v>16/03/2025</c:v>
                </c:pt>
                <c:pt idx="2">
                  <c:v>23/03/2025</c:v>
                </c:pt>
                <c:pt idx="3">
                  <c:v>30/03/2025</c:v>
                </c:pt>
                <c:pt idx="4">
                  <c:v>06/04/2025</c:v>
                </c:pt>
                <c:pt idx="5">
                  <c:v>13/04/2025</c:v>
                </c:pt>
                <c:pt idx="6">
                  <c:v>20/04/2025</c:v>
                </c:pt>
                <c:pt idx="7">
                  <c:v>27/04/2025</c:v>
                </c:pt>
                <c:pt idx="8">
                  <c:v>04/05/2025</c:v>
                </c:pt>
                <c:pt idx="9">
                  <c:v>11/05/2025</c:v>
                </c:pt>
                <c:pt idx="10">
                  <c:v>18/05/2025</c:v>
                </c:pt>
                <c:pt idx="11">
                  <c:v>25/05/2025</c:v>
                </c:pt>
                <c:pt idx="12">
                  <c:v>01/06/2025</c:v>
                </c:pt>
                <c:pt idx="13">
                  <c:v>08/06/2025</c:v>
                </c:pt>
                <c:pt idx="14">
                  <c:v>15/06/2025</c:v>
                </c:pt>
                <c:pt idx="15">
                  <c:v>22/06/2025</c:v>
                </c:pt>
                <c:pt idx="16">
                  <c:v>29/06/2025</c:v>
                </c:pt>
                <c:pt idx="17">
                  <c:v>06/07/2025</c:v>
                </c:pt>
                <c:pt idx="18">
                  <c:v>13/07/2025</c:v>
                </c:pt>
                <c:pt idx="19">
                  <c:v>20/07/2025</c:v>
                </c:pt>
                <c:pt idx="20">
                  <c:v>27/07/2025</c:v>
                </c:pt>
                <c:pt idx="21">
                  <c:v>03/08/2025</c:v>
                </c:pt>
                <c:pt idx="22">
                  <c:v>10/08/2025</c:v>
                </c:pt>
                <c:pt idx="23">
                  <c:v>17/08/2025</c:v>
                </c:pt>
                <c:pt idx="24">
                  <c:v>24/08/2025</c:v>
                </c:pt>
                <c:pt idx="25">
                  <c:v>31/08/2025</c:v>
                </c:pt>
                <c:pt idx="26">
                  <c:v>07/09/2025</c:v>
                </c:pt>
                <c:pt idx="27">
                  <c:v>14/09/2025</c:v>
                </c:pt>
                <c:pt idx="28">
                  <c:v>21/09/2025</c:v>
                </c:pt>
                <c:pt idx="29">
                  <c:v>28/09/2025</c:v>
                </c:pt>
                <c:pt idx="30">
                  <c:v>05/10/2025</c:v>
                </c:pt>
                <c:pt idx="31">
                  <c:v>12/10/2025</c:v>
                </c:pt>
                <c:pt idx="32">
                  <c:v>19/10/2025</c:v>
                </c:pt>
                <c:pt idx="33">
                  <c:v>26/10/2025</c:v>
                </c:pt>
                <c:pt idx="34">
                  <c:v>02/11/2025</c:v>
                </c:pt>
                <c:pt idx="35">
                  <c:v>16/11/2025</c:v>
                </c:pt>
                <c:pt idx="36">
                  <c:v>09/11/2025</c:v>
                </c:pt>
                <c:pt idx="37">
                  <c:v>23/11/2025</c:v>
                </c:pt>
                <c:pt idx="38">
                  <c:v>30/11/2025</c:v>
                </c:pt>
                <c:pt idx="39">
                  <c:v>07/12/2025</c:v>
                </c:pt>
                <c:pt idx="40">
                  <c:v>14/12/2025</c:v>
                </c:pt>
              </c:strCache>
            </c:strRef>
          </c:cat>
          <c:val>
            <c:numRef>
              <c:f>GRAF_SEMANA!$E$4:$E$45</c:f>
              <c:numCache>
                <c:formatCode>#,##0.0_ ;[Red]\-#,##0.0\ </c:formatCode>
                <c:ptCount val="41"/>
                <c:pt idx="0">
                  <c:v>48.781244388579637</c:v>
                </c:pt>
                <c:pt idx="1">
                  <c:v>59.903683981037389</c:v>
                </c:pt>
                <c:pt idx="2">
                  <c:v>67.779693103957356</c:v>
                </c:pt>
                <c:pt idx="3">
                  <c:v>67.714543036080471</c:v>
                </c:pt>
                <c:pt idx="4">
                  <c:v>82.744550192346125</c:v>
                </c:pt>
                <c:pt idx="5">
                  <c:v>85.369549885165554</c:v>
                </c:pt>
                <c:pt idx="6">
                  <c:v>74.234899328859058</c:v>
                </c:pt>
                <c:pt idx="7">
                  <c:v>94.57981638565991</c:v>
                </c:pt>
                <c:pt idx="8">
                  <c:v>87.631971905801791</c:v>
                </c:pt>
                <c:pt idx="9">
                  <c:v>89.31145887330652</c:v>
                </c:pt>
                <c:pt idx="10">
                  <c:v>77.067978736239922</c:v>
                </c:pt>
                <c:pt idx="11">
                  <c:v>92.385212132893201</c:v>
                </c:pt>
                <c:pt idx="12">
                  <c:v>89.83723795406857</c:v>
                </c:pt>
                <c:pt idx="13">
                  <c:v>78.138284468961771</c:v>
                </c:pt>
                <c:pt idx="14">
                  <c:v>69.211613688389207</c:v>
                </c:pt>
                <c:pt idx="15">
                  <c:v>66.19791269901728</c:v>
                </c:pt>
                <c:pt idx="16">
                  <c:v>73.562025657656434</c:v>
                </c:pt>
                <c:pt idx="17">
                  <c:v>83.874848527218489</c:v>
                </c:pt>
                <c:pt idx="18">
                  <c:v>79.911945817211745</c:v>
                </c:pt>
                <c:pt idx="19">
                  <c:v>73.361982552333572</c:v>
                </c:pt>
                <c:pt idx="20">
                  <c:v>81.784521408853294</c:v>
                </c:pt>
                <c:pt idx="21">
                  <c:v>85.547206577156132</c:v>
                </c:pt>
                <c:pt idx="22">
                  <c:v>91.659880690147133</c:v>
                </c:pt>
                <c:pt idx="23">
                  <c:v>77.455352656493815</c:v>
                </c:pt>
                <c:pt idx="24">
                  <c:v>65.841536466374407</c:v>
                </c:pt>
                <c:pt idx="25">
                  <c:v>78.241411385825188</c:v>
                </c:pt>
                <c:pt idx="26">
                  <c:v>86.899480205229324</c:v>
                </c:pt>
                <c:pt idx="27">
                  <c:v>89.480585966934086</c:v>
                </c:pt>
                <c:pt idx="28">
                  <c:v>81.786281482027391</c:v>
                </c:pt>
                <c:pt idx="29">
                  <c:v>118.35173958882446</c:v>
                </c:pt>
                <c:pt idx="30">
                  <c:v>66.780256362834493</c:v>
                </c:pt>
                <c:pt idx="31">
                  <c:v>68.14677550192657</c:v>
                </c:pt>
                <c:pt idx="32">
                  <c:v>49.704560925799861</c:v>
                </c:pt>
                <c:pt idx="33">
                  <c:v>49.85943120385366</c:v>
                </c:pt>
                <c:pt idx="34">
                  <c:v>58.065971140869927</c:v>
                </c:pt>
                <c:pt idx="35">
                  <c:v>53.542842572102472</c:v>
                </c:pt>
                <c:pt idx="36">
                  <c:v>40.567259644213486</c:v>
                </c:pt>
                <c:pt idx="37">
                  <c:v>65.197449739844174</c:v>
                </c:pt>
                <c:pt idx="38">
                  <c:v>75.294676471328117</c:v>
                </c:pt>
                <c:pt idx="39">
                  <c:v>77.081515193227546</c:v>
                </c:pt>
                <c:pt idx="40">
                  <c:v>64.525531384921962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B6-4C01-9329-448ABC530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1140208"/>
        <c:axId val="540117088"/>
      </c:lineChart>
      <c:catAx>
        <c:axId val="681140208"/>
        <c:scaling>
          <c:orientation val="minMax"/>
        </c:scaling>
        <c:delete val="0"/>
        <c:axPos val="b"/>
        <c:numFmt formatCode="dd/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/>
          </a:p>
        </c:txPr>
        <c:crossAx val="540117088"/>
        <c:crosses val="autoZero"/>
        <c:auto val="1"/>
        <c:lblAlgn val="ctr"/>
        <c:lblOffset val="100"/>
        <c:noMultiLvlLbl val="0"/>
      </c:catAx>
      <c:valAx>
        <c:axId val="54011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 ;[Red]\-#,##0.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/>
          </a:p>
        </c:txPr>
        <c:crossAx val="681140208"/>
        <c:crosses val="autoZero"/>
        <c:crossBetween val="between"/>
      </c:valAx>
      <c:valAx>
        <c:axId val="2065087279"/>
        <c:scaling>
          <c:orientation val="minMax"/>
        </c:scaling>
        <c:delete val="0"/>
        <c:axPos val="r"/>
        <c:numFmt formatCode="#,##0.0_ ;[Red]\-#,##0.0\ 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/>
          </a:p>
        </c:txPr>
        <c:crossAx val="2065084399"/>
        <c:crosses val="max"/>
        <c:crossBetween val="between"/>
      </c:valAx>
      <c:catAx>
        <c:axId val="2065084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6508727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332740</xdr:colOff>
      <xdr:row>0</xdr:row>
      <xdr:rowOff>0</xdr:rowOff>
    </xdr:from>
    <xdr:to>
      <xdr:col>3</xdr:col>
      <xdr:colOff>983140</xdr:colOff>
      <xdr:row>5</xdr:row>
      <xdr:rowOff>4667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P_CANA 2">
              <a:extLst>
                <a:ext uri="{FF2B5EF4-FFF2-40B4-BE49-F238E27FC236}">
                  <a16:creationId xmlns:a16="http://schemas.microsoft.com/office/drawing/2014/main" id="{DF846F99-9D50-4C5A-8BE6-ED5840389F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P_CAN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1340" y="0"/>
              <a:ext cx="12600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330200</xdr:colOff>
      <xdr:row>5</xdr:row>
      <xdr:rowOff>4667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E_FORNEC 2">
              <a:extLst>
                <a:ext uri="{FF2B5EF4-FFF2-40B4-BE49-F238E27FC236}">
                  <a16:creationId xmlns:a16="http://schemas.microsoft.com/office/drawing/2014/main" id="{430C7152-9AE1-4EA7-B300-22BCE3A7FE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_FORNEC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979593</xdr:colOff>
      <xdr:row>0</xdr:row>
      <xdr:rowOff>0</xdr:rowOff>
    </xdr:from>
    <xdr:to>
      <xdr:col>5</xdr:col>
      <xdr:colOff>156793</xdr:colOff>
      <xdr:row>5</xdr:row>
      <xdr:rowOff>4667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ADA 2">
              <a:extLst>
                <a:ext uri="{FF2B5EF4-FFF2-40B4-BE49-F238E27FC236}">
                  <a16:creationId xmlns:a16="http://schemas.microsoft.com/office/drawing/2014/main" id="{D824120C-1782-4CDF-9648-085C3E5694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AD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87793" y="0"/>
              <a:ext cx="12600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44873</xdr:colOff>
      <xdr:row>0</xdr:row>
      <xdr:rowOff>0</xdr:rowOff>
    </xdr:from>
    <xdr:to>
      <xdr:col>3</xdr:col>
      <xdr:colOff>500540</xdr:colOff>
      <xdr:row>5</xdr:row>
      <xdr:rowOff>4667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P_CANA 1">
              <a:extLst>
                <a:ext uri="{FF2B5EF4-FFF2-40B4-BE49-F238E27FC236}">
                  <a16:creationId xmlns:a16="http://schemas.microsoft.com/office/drawing/2014/main" id="{C8DFD38F-05EA-411A-9889-4AD7BDC9AD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P_CAN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1340" y="0"/>
              <a:ext cx="12600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42333</xdr:colOff>
      <xdr:row>5</xdr:row>
      <xdr:rowOff>4667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E_FORNEC 1">
              <a:extLst>
                <a:ext uri="{FF2B5EF4-FFF2-40B4-BE49-F238E27FC236}">
                  <a16:creationId xmlns:a16="http://schemas.microsoft.com/office/drawing/2014/main" id="{F3DE8622-7976-4978-9AC4-8E00E7B0C4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_FORNEC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496993</xdr:colOff>
      <xdr:row>0</xdr:row>
      <xdr:rowOff>0</xdr:rowOff>
    </xdr:from>
    <xdr:to>
      <xdr:col>4</xdr:col>
      <xdr:colOff>1155860</xdr:colOff>
      <xdr:row>5</xdr:row>
      <xdr:rowOff>4667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ADA 1">
              <a:extLst>
                <a:ext uri="{FF2B5EF4-FFF2-40B4-BE49-F238E27FC236}">
                  <a16:creationId xmlns:a16="http://schemas.microsoft.com/office/drawing/2014/main" id="{73ADE441-6EFA-45C1-ABF4-6AB215C439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AD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87793" y="0"/>
              <a:ext cx="12600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55033</xdr:colOff>
      <xdr:row>0</xdr:row>
      <xdr:rowOff>0</xdr:rowOff>
    </xdr:from>
    <xdr:to>
      <xdr:col>3</xdr:col>
      <xdr:colOff>510700</xdr:colOff>
      <xdr:row>5</xdr:row>
      <xdr:rowOff>4667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P_CANA">
              <a:extLst>
                <a:ext uri="{FF2B5EF4-FFF2-40B4-BE49-F238E27FC236}">
                  <a16:creationId xmlns:a16="http://schemas.microsoft.com/office/drawing/2014/main" id="{E631599A-CAA1-331F-8124-10353E244A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P_C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1500" y="0"/>
              <a:ext cx="12600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10160</xdr:colOff>
      <xdr:row>0</xdr:row>
      <xdr:rowOff>0</xdr:rowOff>
    </xdr:from>
    <xdr:to>
      <xdr:col>2</xdr:col>
      <xdr:colOff>52493</xdr:colOff>
      <xdr:row>5</xdr:row>
      <xdr:rowOff>4667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E_FORNEC">
              <a:extLst>
                <a:ext uri="{FF2B5EF4-FFF2-40B4-BE49-F238E27FC236}">
                  <a16:creationId xmlns:a16="http://schemas.microsoft.com/office/drawing/2014/main" id="{F555FE1F-CC80-845D-7FA2-CA6031F1FD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_FORNE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60" y="0"/>
              <a:ext cx="18288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507153</xdr:colOff>
      <xdr:row>0</xdr:row>
      <xdr:rowOff>0</xdr:rowOff>
    </xdr:from>
    <xdr:to>
      <xdr:col>4</xdr:col>
      <xdr:colOff>1166020</xdr:colOff>
      <xdr:row>5</xdr:row>
      <xdr:rowOff>4667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ADA">
              <a:extLst>
                <a:ext uri="{FF2B5EF4-FFF2-40B4-BE49-F238E27FC236}">
                  <a16:creationId xmlns:a16="http://schemas.microsoft.com/office/drawing/2014/main" id="{456E24AC-C25F-4489-CF77-D698B571DE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AD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97953" y="0"/>
              <a:ext cx="12600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19473</xdr:colOff>
      <xdr:row>0</xdr:row>
      <xdr:rowOff>0</xdr:rowOff>
    </xdr:from>
    <xdr:to>
      <xdr:col>3</xdr:col>
      <xdr:colOff>297340</xdr:colOff>
      <xdr:row>5</xdr:row>
      <xdr:rowOff>4667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P_CANA 3">
              <a:extLst>
                <a:ext uri="{FF2B5EF4-FFF2-40B4-BE49-F238E27FC236}">
                  <a16:creationId xmlns:a16="http://schemas.microsoft.com/office/drawing/2014/main" id="{23F29DB9-C0E1-46EC-A4BC-3FCB4CF56A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P_CANA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1340" y="0"/>
              <a:ext cx="12600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16933</xdr:colOff>
      <xdr:row>5</xdr:row>
      <xdr:rowOff>4667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E_FORNEC 3">
              <a:extLst>
                <a:ext uri="{FF2B5EF4-FFF2-40B4-BE49-F238E27FC236}">
                  <a16:creationId xmlns:a16="http://schemas.microsoft.com/office/drawing/2014/main" id="{81EC7765-86B0-49A8-AF2B-934799C5A1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_FORNEC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293793</xdr:colOff>
      <xdr:row>0</xdr:row>
      <xdr:rowOff>0</xdr:rowOff>
    </xdr:from>
    <xdr:to>
      <xdr:col>5</xdr:col>
      <xdr:colOff>80593</xdr:colOff>
      <xdr:row>5</xdr:row>
      <xdr:rowOff>4667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ADA 3">
              <a:extLst>
                <a:ext uri="{FF2B5EF4-FFF2-40B4-BE49-F238E27FC236}">
                  <a16:creationId xmlns:a16="http://schemas.microsoft.com/office/drawing/2014/main" id="{66053361-7C7D-4033-939D-A87FE1FEA3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ADA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87793" y="0"/>
              <a:ext cx="12600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68580</xdr:colOff>
      <xdr:row>5</xdr:row>
      <xdr:rowOff>171450</xdr:rowOff>
    </xdr:from>
    <xdr:to>
      <xdr:col>29</xdr:col>
      <xdr:colOff>541020</xdr:colOff>
      <xdr:row>32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6AC25F-896B-2169-C64B-21D1A4851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2540</xdr:colOff>
      <xdr:row>0</xdr:row>
      <xdr:rowOff>0</xdr:rowOff>
    </xdr:from>
    <xdr:to>
      <xdr:col>12</xdr:col>
      <xdr:colOff>43340</xdr:colOff>
      <xdr:row>5</xdr:row>
      <xdr:rowOff>21600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P_CANA 4">
              <a:extLst>
                <a:ext uri="{FF2B5EF4-FFF2-40B4-BE49-F238E27FC236}">
                  <a16:creationId xmlns:a16="http://schemas.microsoft.com/office/drawing/2014/main" id="{BDE96910-ED29-4743-B444-7C9D7044B2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P_CAN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1340" y="0"/>
              <a:ext cx="12600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0</xdr:colOff>
      <xdr:row>0</xdr:row>
      <xdr:rowOff>0</xdr:rowOff>
    </xdr:from>
    <xdr:to>
      <xdr:col>10</xdr:col>
      <xdr:colOff>0</xdr:colOff>
      <xdr:row>5</xdr:row>
      <xdr:rowOff>21600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E_FORNEC 4">
              <a:extLst>
                <a:ext uri="{FF2B5EF4-FFF2-40B4-BE49-F238E27FC236}">
                  <a16:creationId xmlns:a16="http://schemas.microsoft.com/office/drawing/2014/main" id="{377C7F36-A83A-4096-B23C-8441CCC158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_FORNEC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39793</xdr:colOff>
      <xdr:row>0</xdr:row>
      <xdr:rowOff>0</xdr:rowOff>
    </xdr:from>
    <xdr:to>
      <xdr:col>14</xdr:col>
      <xdr:colOff>80593</xdr:colOff>
      <xdr:row>5</xdr:row>
      <xdr:rowOff>21600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GEADA 4">
              <a:extLst>
                <a:ext uri="{FF2B5EF4-FFF2-40B4-BE49-F238E27FC236}">
                  <a16:creationId xmlns:a16="http://schemas.microsoft.com/office/drawing/2014/main" id="{19650341-E610-4745-BBD3-7ED193CE3B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AD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87793" y="0"/>
              <a:ext cx="12600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116454</xdr:colOff>
      <xdr:row>0</xdr:row>
      <xdr:rowOff>0</xdr:rowOff>
    </xdr:from>
    <xdr:to>
      <xdr:col>3</xdr:col>
      <xdr:colOff>512085</xdr:colOff>
      <xdr:row>5</xdr:row>
      <xdr:rowOff>4667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P_CANA 5">
              <a:extLst>
                <a:ext uri="{FF2B5EF4-FFF2-40B4-BE49-F238E27FC236}">
                  <a16:creationId xmlns:a16="http://schemas.microsoft.com/office/drawing/2014/main" id="{C8AAF0AC-E53A-4D06-BD24-E7F29BF374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P_CANA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1340" y="0"/>
              <a:ext cx="12600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113914</xdr:colOff>
      <xdr:row>5</xdr:row>
      <xdr:rowOff>4667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E_FORNEC 5">
              <a:extLst>
                <a:ext uri="{FF2B5EF4-FFF2-40B4-BE49-F238E27FC236}">
                  <a16:creationId xmlns:a16="http://schemas.microsoft.com/office/drawing/2014/main" id="{E2CFEE4C-CEE6-4794-833F-17D60224B8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_FORNEC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508538</xdr:colOff>
      <xdr:row>0</xdr:row>
      <xdr:rowOff>0</xdr:rowOff>
    </xdr:from>
    <xdr:to>
      <xdr:col>5</xdr:col>
      <xdr:colOff>20864</xdr:colOff>
      <xdr:row>5</xdr:row>
      <xdr:rowOff>4667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ADA 5">
              <a:extLst>
                <a:ext uri="{FF2B5EF4-FFF2-40B4-BE49-F238E27FC236}">
                  <a16:creationId xmlns:a16="http://schemas.microsoft.com/office/drawing/2014/main" id="{28C92B0B-D64E-4F6D-A86C-79E2F7459D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ADA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87793" y="0"/>
              <a:ext cx="12600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24938</xdr:colOff>
      <xdr:row>0</xdr:row>
      <xdr:rowOff>0</xdr:rowOff>
    </xdr:from>
    <xdr:to>
      <xdr:col>6</xdr:col>
      <xdr:colOff>301374</xdr:colOff>
      <xdr:row>5</xdr:row>
      <xdr:rowOff>3055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IRRIG_DESCARTE">
              <a:extLst>
                <a:ext uri="{FF2B5EF4-FFF2-40B4-BE49-F238E27FC236}">
                  <a16:creationId xmlns:a16="http://schemas.microsoft.com/office/drawing/2014/main" id="{5DBE8460-3F29-7B4E-39DD-859BFBA957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RRIG_DESCAR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54483" y="0"/>
              <a:ext cx="1080000" cy="90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erton Passarini" refreshedDate="46013.598157060187" missingItemsLimit="0" createdVersion="8" refreshedVersion="8" minRefreshableVersion="3" recordCount="2106" xr:uid="{2105DC36-9BC8-480F-9977-85E8CCF7193D}">
  <cacheSource type="worksheet">
    <worksheetSource name="ESTIMATIVA"/>
  </cacheSource>
  <cacheFields count="49">
    <cacheField name="CD_UPNIVEL1" numFmtId="0">
      <sharedItems containsSemiMixedTypes="0" containsString="0" containsNumber="1" containsInteger="1" minValue="10005" maxValue="30629" count="174">
        <n v="10005"/>
        <n v="10100"/>
        <n v="10310"/>
        <n v="10311"/>
        <n v="10316"/>
        <n v="10325"/>
        <n v="10327"/>
        <n v="10328"/>
        <n v="10335"/>
        <n v="10337"/>
        <n v="10445"/>
        <n v="20001"/>
        <n v="20100"/>
        <n v="20101"/>
        <n v="20305"/>
        <n v="20306"/>
        <n v="20307"/>
        <n v="20309"/>
        <n v="20313"/>
        <n v="20314"/>
        <n v="20315"/>
        <n v="20319"/>
        <n v="20320"/>
        <n v="20321"/>
        <n v="20322"/>
        <n v="20323"/>
        <n v="20325"/>
        <n v="20327"/>
        <n v="20328"/>
        <n v="20329"/>
        <n v="20331"/>
        <n v="20334"/>
        <n v="20335"/>
        <n v="20339"/>
        <n v="20340"/>
        <n v="20341"/>
        <n v="20343"/>
        <n v="20344"/>
        <n v="20345"/>
        <n v="20346"/>
        <n v="20362"/>
        <n v="20392"/>
        <n v="20395"/>
        <n v="20400"/>
        <n v="20401"/>
        <n v="20407"/>
        <n v="20408"/>
        <n v="20409"/>
        <n v="20414"/>
        <n v="20415"/>
        <n v="20420"/>
        <n v="20426"/>
        <n v="20431"/>
        <n v="20432"/>
        <n v="20433"/>
        <n v="20434"/>
        <n v="20439"/>
        <n v="20440"/>
        <n v="20441"/>
        <n v="20442"/>
        <n v="20446"/>
        <n v="20450"/>
        <n v="20453"/>
        <n v="20457"/>
        <n v="20458"/>
        <n v="20459"/>
        <n v="20460"/>
        <n v="20461"/>
        <n v="20462"/>
        <n v="20463"/>
        <n v="20464"/>
        <n v="20465"/>
        <n v="20466"/>
        <n v="20468"/>
        <n v="20469"/>
        <n v="20470"/>
        <n v="20471"/>
        <n v="20472"/>
        <n v="20477"/>
        <n v="20478"/>
        <n v="20479"/>
        <n v="20482"/>
        <n v="20491"/>
        <n v="20496"/>
        <n v="20500"/>
        <n v="20504"/>
        <n v="20506"/>
        <n v="20507"/>
        <n v="20510"/>
        <n v="20511"/>
        <n v="20512"/>
        <n v="20515"/>
        <n v="20518"/>
        <n v="20521"/>
        <n v="20530"/>
        <n v="20532"/>
        <n v="20533"/>
        <n v="20535"/>
        <n v="20538"/>
        <n v="20540"/>
        <n v="20541"/>
        <n v="20543"/>
        <n v="20544"/>
        <n v="20548"/>
        <n v="20549"/>
        <n v="20550"/>
        <n v="20551"/>
        <n v="20552"/>
        <n v="20553"/>
        <n v="20554"/>
        <n v="20555"/>
        <n v="20568"/>
        <n v="20569"/>
        <n v="20570"/>
        <n v="20571"/>
        <n v="20572"/>
        <n v="20573"/>
        <n v="20575"/>
        <n v="20576"/>
        <n v="20578"/>
        <n v="20579"/>
        <n v="20580"/>
        <n v="20589"/>
        <n v="20590"/>
        <n v="20591"/>
        <n v="20592"/>
        <n v="20594"/>
        <n v="20595"/>
        <n v="20601"/>
        <n v="20603"/>
        <n v="20604"/>
        <n v="20610"/>
        <n v="20614"/>
        <n v="20615"/>
        <n v="20617"/>
        <n v="20619"/>
        <n v="20620"/>
        <n v="20621"/>
        <n v="20626"/>
        <n v="20628"/>
        <n v="20630"/>
        <n v="20631"/>
        <n v="20705"/>
        <n v="20713"/>
        <n v="20716"/>
        <n v="20717"/>
        <n v="20718"/>
        <n v="20719"/>
        <n v="20811"/>
        <n v="20847"/>
        <n v="20848"/>
        <n v="20849"/>
        <n v="20850"/>
        <n v="20860"/>
        <n v="20861"/>
        <n v="20862"/>
        <n v="20863"/>
        <n v="30002"/>
        <n v="30003"/>
        <n v="30101"/>
        <n v="30102"/>
        <n v="30333"/>
        <n v="30348"/>
        <n v="30366"/>
        <n v="30473"/>
        <n v="30479"/>
        <n v="30519"/>
        <n v="30520"/>
        <n v="30527"/>
        <n v="30529"/>
        <n v="30534"/>
        <n v="30618"/>
        <n v="30624"/>
        <n v="30629"/>
      </sharedItems>
    </cacheField>
    <cacheField name="DE_UPNIVEL1" numFmtId="0">
      <sharedItems count="154">
        <s v="Fazenda Laranjeiras 2"/>
        <s v="Sítio Jataí II"/>
        <s v="Fazenda Sao Jorge"/>
        <s v="Fazenda Santo Antônio "/>
        <s v="Fazenda Santa Luzia"/>
        <s v="Faz. Santa Maria dos Palmares "/>
        <s v="Fazenda Minerva"/>
        <s v="Fazenda Alvorada"/>
        <s v="Fazenda São José"/>
        <s v="Fazenda Santa Paula"/>
        <s v="Fazenda Figueira"/>
        <s v="Fazenda Nova Esperança - Estrada"/>
        <s v="Fazenda Boa Esperanca Frefer"/>
        <s v="Fazenda Santa Virginia Frefer"/>
        <s v="Fazenda Vista Bonita"/>
        <s v="Fazenda Sao Domingos"/>
        <s v="Fazenda Santa Irene"/>
        <s v="Fazenda Mutum"/>
        <s v="Fazenda Santa Maria "/>
        <s v="Fazenda Agua Mansa"/>
        <s v="Fazenda Taquarussu"/>
        <s v="Fazenda Água do Valão"/>
        <s v="Fazenda Sao Manoel"/>
        <s v="Fazenda Bela Vista"/>
        <s v="Fazenda Sao Luiz"/>
        <s v="Fazenda Daniela"/>
        <s v="Estancia 3A"/>
        <s v="Fazenda Monte Libano"/>
        <s v="Fazenda Santa Clara"/>
        <s v="Fazenda Olho D Agua"/>
        <s v="Sitio MQ"/>
        <s v="Sitio Sao Joao"/>
        <s v="Estancia Izaura"/>
        <s v="Fazenda Sao Pedro"/>
        <s v="Fazenda Agua Funda"/>
        <s v="Fazenda Santa Maria"/>
        <s v="Sitio Rancho Alegre"/>
        <s v="Estancia Sao Francisco"/>
        <s v="Fazenda Bom Sucesso"/>
        <s v="Fazenda 3 Poderes"/>
        <s v="Fazenda de Deus"/>
        <s v="Estancia Sao Geraldo"/>
        <s v="Sitio Ebenezer"/>
        <s v="Sítio São Lucas"/>
        <s v="Fazenda Santa Irene II"/>
        <s v="Sítio Santa Cruz"/>
        <s v="Sitio Santo Boa Esperanca"/>
        <s v="Sitio Boa Esperanca"/>
        <s v="Fazenda Astorga"/>
        <s v="Fazenda Nossa Senhora Aparecida"/>
        <s v="Fazenda Estância Fernanda"/>
        <s v="Fazenda Paineira"/>
        <s v="Fazenda Três Ilhas "/>
        <s v="Fazenda Ipezal"/>
        <s v="Fazenda Três Barras"/>
        <s v="Fazenda Ouro Verde "/>
        <s v="Fazenda Vale do Sol "/>
        <s v="Estância São José"/>
        <s v="Fazenda Ouro Branco"/>
        <s v="Fazenda Esperanca"/>
        <s v="Fazenda Santa Helena"/>
        <s v="Fazenda Estrela"/>
        <s v="Estância Três irmãos"/>
        <s v="Estância Santa Rita de Cássia"/>
        <s v="Fazenda Santa Irene III"/>
        <s v="Fazenda Ouro Branco I"/>
        <s v="Sítio São João"/>
        <s v="Fazenda Santa Irene IV"/>
        <s v="Estância Santa Luzia"/>
        <s v="Fazenda Santa Helena 2"/>
        <s v="Fazenda Santa Ana"/>
        <s v="Estância Santo Antonio"/>
        <s v="Fazenda Três Ilhas II"/>
        <s v="Fazenda São Luiz"/>
        <s v="Fazenda Boa Esperança"/>
        <s v="Estância Vitória"/>
        <s v="Estância Vasconcelos"/>
        <s v="Fazenda Nossa Senhora de Lourdes"/>
        <s v="Estância Duas Marias"/>
        <s v="Estância  Boa Sorte"/>
        <s v="Rancho São Jacinto"/>
        <s v="Fazenda Santa Cecília"/>
        <s v="Fazenda Mercedina"/>
        <s v="Fazenda Santa Terezinha"/>
        <s v="Sítio Santo Expedito"/>
        <s v="Fazenda Horizonte"/>
        <s v="Estância Paula"/>
        <s v="Fazenda Harmonia"/>
        <s v="Sítio Cosme"/>
        <s v="Sítio Santa Rosa"/>
        <s v="Estância Opção"/>
        <s v="Estância Santo Expedito"/>
        <s v="Sítio Beira Alta"/>
        <s v="Fazenda Três Marias"/>
        <s v="Fazenda Concórdia"/>
        <s v="Fazenda São Domingos"/>
        <s v="Fazenda Novo Lar"/>
        <s v="Fazenda Dois Irmãos"/>
        <s v="Fazenda André Luiz"/>
        <s v="Fazenda Santo Antonio"/>
        <s v="Fazenda Santa Alice"/>
        <s v="Fazenda Boa Esperança-Taquaruçu"/>
        <s v="Fazenda Rosana"/>
        <s v="Estância Santa Rita de Cassia"/>
        <s v="Fazenda Três Irmãos"/>
        <s v="Sítio Três Anforas"/>
        <s v="Fazenda Primavera"/>
        <s v="Fazenda Pederneiras"/>
        <s v="Fazenda Nossa Senhora das Graças"/>
        <s v="Fazenda Três Poderes"/>
        <s v="Fazenda Morada do Sol"/>
        <s v="Estância Tradição"/>
        <s v="Estância Santa Elisa"/>
        <s v="Sítio Isadora"/>
        <s v="Sítio Santa Terezinha"/>
        <s v="Fazenda Bonanza I"/>
        <s v="Sítio Nossa Senhora Aparecida"/>
        <s v="Fazenda São Roque II"/>
        <s v="Fazenda Nossa Senhora das Graças - Gleba C"/>
        <s v="Sitio Pato Branco I e II"/>
        <s v="Fazenda Amélia"/>
        <s v="Fazenda São Domingos II"/>
        <s v="Fazenda Santa Terezinha - GbA e B"/>
        <s v="Fazenda Renascer"/>
        <s v="Fazenda Velha Taquarussu"/>
        <s v="Fazenda Sossego"/>
        <s v="Fazenda Laranjeiras 3"/>
        <s v="Fazenda Laranjeiras 4"/>
        <s v="Lote 3 Quadra L - Sítio São Jorge"/>
        <s v="Fazenda Guairaca"/>
        <s v="Fazenda Laranjeiras1"/>
        <s v="Laranjeiras"/>
        <s v="Lote 4 - Quadra L - Sitio do Herculano"/>
        <s v="Sitio São Pedro"/>
        <s v="Fazenda do Retiro"/>
        <s v="Fazenda Bandeirantes I"/>
        <s v="Fazenda Bandeirantes II"/>
        <s v="Sítio Taquaruçu"/>
        <s v="Fazenda Laranjeiras-Lote1QuadraH-Lerosa"/>
        <s v="Fazenda Laranjeiras-Lote4QuadraA-Lerosa"/>
        <s v="Fazenda Santa Virginia (Fabiano)"/>
        <s v="Fazenda São João (Fabiano)"/>
        <s v="Fazenda São Carlos (Fabiano)"/>
        <s v="Estancia Pedrini (Fabiano)"/>
        <s v="Fazenda São Geraldo - Lerosa"/>
        <s v="Fazenda Isadora - Lerosa"/>
        <s v="Fazenda Santa Maria - Lerosa"/>
        <s v="Fazenda Cruzeiro do Sul (Fabiano)"/>
        <s v="Sitio Santa Catarina (Fabiano)"/>
        <s v="Estância São Lucas (Fabiano)"/>
        <s v="Fazenda Chapada (Fabiano)"/>
        <s v="Sitio Boa Esperanca (Ricardo)"/>
        <s v="Fazenda Pederneiras II (Fabiano)"/>
        <s v="Fazenda São Jorge (Fabiano)"/>
      </sharedItems>
    </cacheField>
    <cacheField name="CD_UPNIVEL3" numFmtId="0">
      <sharedItems containsSemiMixedTypes="0" containsString="0" containsNumber="1" containsInteger="1" minValue="1" maxValue="9009"/>
    </cacheField>
    <cacheField name="NO_CORTE" numFmtId="0">
      <sharedItems containsSemiMixedTypes="0" containsString="0" containsNumber="1" containsInteger="1" minValue="1" maxValue="10" count="10">
        <n v="6"/>
        <n v="8"/>
        <n v="3"/>
        <n v="1"/>
        <n v="4"/>
        <n v="2"/>
        <n v="5"/>
        <n v="7"/>
        <n v="9"/>
        <n v="10"/>
      </sharedItems>
    </cacheField>
    <cacheField name="DA_ESTAGIO" numFmtId="0">
      <sharedItems/>
    </cacheField>
    <cacheField name="TP_CANA" numFmtId="0">
      <sharedItems containsBlank="1" count="2">
        <m/>
        <s v="BIS"/>
      </sharedItems>
    </cacheField>
    <cacheField name="DE_SIST_CULT" numFmtId="0">
      <sharedItems/>
    </cacheField>
    <cacheField name="DE_VARIED" numFmtId="0">
      <sharedItems count="38">
        <s v="RB92579"/>
        <s v="SP83-2847"/>
        <s v="CTC1007"/>
        <s v="CTC9001"/>
        <s v="RB985517"/>
        <s v="DIVERSAS"/>
        <s v="RB975201"/>
        <s v="RB975033"/>
        <s v="RB867515"/>
        <s v="VIVEIRO"/>
        <s v="CTC9001BT"/>
        <s v="CTC9006"/>
        <s v="CTC9002"/>
        <s v="RB975242"/>
        <s v="RB966928"/>
        <s v="CTC9003BT"/>
        <s v="CTC9007"/>
        <s v="RB975952"/>
        <s v="CTC4"/>
        <s v="IACSP95-5000"/>
        <s v="RB988082"/>
        <s v="RB006970"/>
        <s v="RB026850"/>
        <s v="CTC2994"/>
        <s v="CTC9003"/>
        <s v="RB855156"/>
        <s v="RB075322"/>
        <s v="SP83-5073"/>
        <s v="CV7870"/>
        <s v="RB127825"/>
        <s v="RB985476"/>
        <s v="IACSP04-6007"/>
        <s v="CTC3445"/>
        <s v="CTC9004"/>
        <s v="IAC87-3396"/>
        <s v="RB975162"/>
        <s v="RB825336"/>
        <s v="RB855536"/>
      </sharedItems>
    </cacheField>
    <cacheField name="CD_TP_PROPR" numFmtId="0">
      <sharedItems/>
    </cacheField>
    <cacheField name="QT_AREA_EST" numFmtId="164">
      <sharedItems containsSemiMixedTypes="0" containsString="0" containsNumber="1" minValue="0" maxValue="81.66"/>
    </cacheField>
    <cacheField name="QT_AREA_REST1" numFmtId="164">
      <sharedItems containsSemiMixedTypes="0" containsString="0" containsNumber="1" minValue="0" maxValue="81.66"/>
    </cacheField>
    <cacheField name="QT_AREA_REST2" numFmtId="164">
      <sharedItems containsSemiMixedTypes="0" containsString="0" containsNumber="1" minValue="0" maxValue="81.66"/>
    </cacheField>
    <cacheField name="QT_AREA_REAL" numFmtId="164">
      <sharedItems containsSemiMixedTypes="0" containsString="0" containsNumber="1" minValue="0" maxValue="81.66"/>
    </cacheField>
    <cacheField name="QT_CANA_EST" numFmtId="164">
      <sharedItems containsSemiMixedTypes="0" containsString="0" containsNumber="1" minValue="0" maxValue="7584.72"/>
    </cacheField>
    <cacheField name="QT_CANA_REST1" numFmtId="164">
      <sharedItems containsSemiMixedTypes="0" containsString="0" containsNumber="1" minValue="0" maxValue="7593.3"/>
    </cacheField>
    <cacheField name="QT_CANA_REST2" numFmtId="164">
      <sharedItems containsSemiMixedTypes="0" containsString="0" containsNumber="1" minValue="0" maxValue="7439.04"/>
    </cacheField>
    <cacheField name="QT_CANA_REAL" numFmtId="164">
      <sharedItems containsString="0" containsBlank="1" containsNumber="1" minValue="0" maxValue="8226.5499999999993"/>
    </cacheField>
    <cacheField name="DE_FORNEC" numFmtId="0">
      <sharedItems count="4">
        <s v="UMOE"/>
        <s v="LEROSA"/>
        <s v="VITTI"/>
        <s v="PONTES"/>
      </sharedItems>
    </cacheField>
    <cacheField name="DT_ENC_SEM" numFmtId="14">
      <sharedItems containsNonDate="0" containsDate="1" containsString="0" containsBlank="1" minDate="2025-03-09T00:00:00" maxDate="2025-12-15T00:00:00" count="42">
        <d v="2025-11-16T00:00:00"/>
        <d v="2025-11-23T00:00:00"/>
        <d v="2025-10-05T00:00:00"/>
        <d v="2025-04-27T00:00:00"/>
        <d v="2025-05-18T00:00:00"/>
        <d v="2025-05-11T00:00:00"/>
        <d v="2025-07-13T00:00:00"/>
        <d v="2025-07-20T00:00:00"/>
        <d v="2025-08-10T00:00:00"/>
        <d v="2025-04-13T00:00:00"/>
        <d v="2025-09-07T00:00:00"/>
        <d v="2025-09-14T00:00:00"/>
        <d v="2025-12-07T00:00:00"/>
        <d v="2025-08-03T00:00:00"/>
        <d v="2025-06-15T00:00:00"/>
        <d v="2025-04-06T00:00:00"/>
        <d v="2025-03-30T00:00:00"/>
        <d v="2025-09-21T00:00:00"/>
        <d v="2025-08-31T00:00:00"/>
        <d v="2025-10-26T00:00:00"/>
        <d v="2025-11-30T00:00:00"/>
        <d v="2025-12-14T00:00:00"/>
        <d v="2025-07-06T00:00:00"/>
        <d v="2025-06-08T00:00:00"/>
        <d v="2025-06-01T00:00:00"/>
        <d v="2025-05-25T00:00:00"/>
        <d v="2025-06-22T00:00:00"/>
        <d v="2025-06-29T00:00:00"/>
        <d v="2025-05-04T00:00:00"/>
        <d v="2025-03-16T00:00:00"/>
        <d v="2025-03-09T00:00:00"/>
        <d v="2025-08-17T00:00:00"/>
        <d v="2025-11-02T00:00:00"/>
        <d v="2025-11-09T00:00:00"/>
        <d v="2025-10-12T00:00:00"/>
        <d v="2025-03-23T00:00:00"/>
        <d v="2025-09-28T00:00:00"/>
        <d v="2025-08-24T00:00:00"/>
        <m/>
        <d v="2025-07-27T00:00:00"/>
        <d v="2025-04-20T00:00:00"/>
        <d v="2025-10-19T00:00:00"/>
      </sharedItems>
    </cacheField>
    <cacheField name="STATUS" numFmtId="164">
      <sharedItems count="2">
        <s v="1- Colhido"/>
        <s v="2- à Colher"/>
      </sharedItems>
    </cacheField>
    <cacheField name="TP_REST1" numFmtId="164">
      <sharedItems count="2">
        <s v="Reestimativa 1"/>
        <s v="Realizado"/>
      </sharedItems>
    </cacheField>
    <cacheField name="TP_REST2" numFmtId="164">
      <sharedItems count="2">
        <s v="Reestimativa 2"/>
        <s v="Realizado"/>
      </sharedItems>
    </cacheField>
    <cacheField name="AREA_EST" numFmtId="164">
      <sharedItems containsSemiMixedTypes="0" containsString="0" containsNumber="1" minValue="0" maxValue="81.66"/>
    </cacheField>
    <cacheField name="AREA_REST1" numFmtId="164">
      <sharedItems containsSemiMixedTypes="0" containsString="0" containsNumber="1" minValue="0" maxValue="81.66"/>
    </cacheField>
    <cacheField name="AREA_REST2" numFmtId="164">
      <sharedItems containsSemiMixedTypes="0" containsString="0" containsNumber="1" minValue="0" maxValue="81.66"/>
    </cacheField>
    <cacheField name="VOL_EST" numFmtId="164">
      <sharedItems containsSemiMixedTypes="0" containsString="0" containsNumber="1" minValue="0" maxValue="7584.72"/>
    </cacheField>
    <cacheField name="VOL_REST1" numFmtId="164">
      <sharedItems containsSemiMixedTypes="0" containsString="0" containsNumber="1" minValue="0" maxValue="7593.3"/>
    </cacheField>
    <cacheField name="VOL_REST2" numFmtId="164">
      <sharedItems containsSemiMixedTypes="0" containsString="0" containsNumber="1" minValue="0" maxValue="7556.75"/>
    </cacheField>
    <cacheField name="PROJ_VOLEST" numFmtId="164">
      <sharedItems containsSemiMixedTypes="0" containsString="0" containsNumber="1" minValue="0" maxValue="8226.5499999999993"/>
    </cacheField>
    <cacheField name="PROJ_VOLREST1" numFmtId="164">
      <sharedItems containsSemiMixedTypes="0" containsString="0" containsNumber="1" minValue="0" maxValue="8226.5499999999993"/>
    </cacheField>
    <cacheField name="PROJ_VOLREST2" numFmtId="164">
      <sharedItems containsSemiMixedTypes="0" containsString="0" containsNumber="1" minValue="0" maxValue="8226.5499999999993"/>
    </cacheField>
    <cacheField name="GEADA" numFmtId="164">
      <sharedItems count="2">
        <s v="S"/>
        <s v="N"/>
      </sharedItems>
    </cacheField>
    <cacheField name="TP_CULTIVO" numFmtId="164">
      <sharedItems count="4">
        <s v="Sequeiro"/>
        <s v="Fertirrigação"/>
        <s v="Irrigado"/>
        <s v="A Definir"/>
      </sharedItems>
    </cacheField>
    <cacheField name="MÊS_IRRIG" numFmtId="167">
      <sharedItems containsDate="1" containsMixedTypes="1" minDate="2024-05-31T00:00:00" maxDate="2024-12-01T00:00:00" count="7">
        <s v=""/>
        <d v="2024-11-30T00:00:00"/>
        <d v="2024-08-31T00:00:00"/>
        <d v="2024-07-31T00:00:00"/>
        <d v="2024-09-30T00:00:00"/>
        <d v="2024-10-31T00:00:00"/>
        <d v="2024-05-31T00:00:00"/>
      </sharedItems>
    </cacheField>
    <cacheField name="MM_TOTAL" numFmtId="164">
      <sharedItems containsSemiMixedTypes="0" containsString="0" containsNumber="1" minValue="0" maxValue="3950.0999999999995"/>
    </cacheField>
    <cacheField name="IRRIG_DESCARTE" numFmtId="164">
      <sharedItems containsSemiMixedTypes="0" containsString="0" containsNumber="1" containsInteger="1" minValue="0" maxValue="1" count="2">
        <n v="0"/>
        <n v="1"/>
      </sharedItems>
    </cacheField>
    <cacheField name="TCH_REAL" numFmtId="0" formula="IFERROR(QT_CANA_REAL/QT_AREA_REAL,0)" databaseField="0"/>
    <cacheField name="TCH_EST2" numFmtId="0" formula="IFERROR(VOL_REST2/AREA_REST2,0)" databaseField="0"/>
    <cacheField name="DIF_REST2_TCH" numFmtId="0" formula="IF(TCH_REAL= 0, 0,TCH_REAL-TCH_EST2)" databaseField="0"/>
    <cacheField name="DIF_REST2_TON" numFmtId="0" formula="PROJ_VOLREST2-VOL_REST2" databaseField="0"/>
    <cacheField name="DIF_REST2_%" numFmtId="0" formula="IFERROR(DIF_REST2_TCH/TCH_EST2,0)" databaseField="0"/>
    <cacheField name="TCH_EST" numFmtId="0" formula="IFERROR(VOL_EST/AREA_EST,0)" databaseField="0"/>
    <cacheField name="DIF_EST_TCH" numFmtId="0" formula="IF(TCH_REAL= 0, 0,TCH_REAL-TCH_EST)" databaseField="0"/>
    <cacheField name="DIF_EST_%" numFmtId="0" formula="IFERROR(DIF_EST_TCH/TCH_EST,0)" databaseField="0"/>
    <cacheField name="DIF_EST_TON" numFmtId="0" formula="PROJ_VOLEST-VOL_EST" databaseField="0"/>
    <cacheField name="DIF_REST1_TON" numFmtId="0" formula="PROJ_VOLREST1-VOL_REST1" databaseField="0"/>
    <cacheField name="TCH_EST1" numFmtId="0" formula="IFERROR(VOL_REST1/AREA_REST1,0)" databaseField="0"/>
    <cacheField name="DIF_REST1_TCH" numFmtId="0" formula="IF(TCH_REAL= 0, 0,TCH_REAL-TCH_EST2)" databaseField="0"/>
    <cacheField name="DIF_REST1_%" numFmtId="0" formula="IFERROR(DIF_REST1_TCH/TCH_EST1,0)" databaseField="0"/>
  </cacheFields>
  <extLst>
    <ext xmlns:x14="http://schemas.microsoft.com/office/spreadsheetml/2009/9/main" uri="{725AE2AE-9491-48be-B2B4-4EB974FC3084}">
      <x14:pivotCacheDefinition pivotCacheId="2398791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6">
  <r>
    <x v="0"/>
    <x v="0"/>
    <n v="1"/>
    <x v="0"/>
    <s v="6ºC"/>
    <x v="0"/>
    <s v="Mineral"/>
    <x v="0"/>
    <s v="1 - Própria"/>
    <n v="15.85"/>
    <n v="15.85"/>
    <n v="15.85"/>
    <n v="15.85"/>
    <n v="475.5"/>
    <n v="317"/>
    <n v="396.25"/>
    <n v="649.24"/>
    <x v="0"/>
    <x v="0"/>
    <x v="0"/>
    <x v="0"/>
    <x v="0"/>
    <n v="15.85"/>
    <n v="15.85"/>
    <n v="15.85"/>
    <n v="475.5"/>
    <n v="317"/>
    <n v="396.25"/>
    <n v="649.24"/>
    <n v="649.24"/>
    <n v="649.24"/>
    <x v="0"/>
    <x v="0"/>
    <x v="0"/>
    <n v="0"/>
    <x v="0"/>
  </r>
  <r>
    <x v="0"/>
    <x v="0"/>
    <n v="2"/>
    <x v="0"/>
    <s v="6ºC"/>
    <x v="0"/>
    <s v="Mineral"/>
    <x v="0"/>
    <s v="1 - Própria"/>
    <n v="16.170000000000002"/>
    <n v="16.170000000000002"/>
    <n v="16.170000000000002"/>
    <n v="16.170000000000002"/>
    <n v="485.1"/>
    <n v="485.1"/>
    <n v="501.27"/>
    <n v="821.4"/>
    <x v="0"/>
    <x v="0"/>
    <x v="0"/>
    <x v="0"/>
    <x v="0"/>
    <n v="16.170000000000002"/>
    <n v="16.170000000000002"/>
    <n v="16.170000000000002"/>
    <n v="485.1"/>
    <n v="485.1"/>
    <n v="501.27"/>
    <n v="821.4"/>
    <n v="821.4"/>
    <n v="821.4"/>
    <x v="0"/>
    <x v="0"/>
    <x v="0"/>
    <n v="0"/>
    <x v="0"/>
  </r>
  <r>
    <x v="0"/>
    <x v="0"/>
    <n v="3"/>
    <x v="0"/>
    <s v="6ºC"/>
    <x v="0"/>
    <s v="Mineral"/>
    <x v="0"/>
    <s v="1 - Própria"/>
    <n v="16.93"/>
    <n v="16.93"/>
    <n v="16.93"/>
    <n v="16.93"/>
    <n v="507.9"/>
    <n v="507.9"/>
    <n v="524.83000000000004"/>
    <n v="860.85"/>
    <x v="0"/>
    <x v="0"/>
    <x v="0"/>
    <x v="0"/>
    <x v="0"/>
    <n v="16.93"/>
    <n v="16.93"/>
    <n v="16.93"/>
    <n v="507.9"/>
    <n v="507.9"/>
    <n v="524.83000000000004"/>
    <n v="860.85"/>
    <n v="860.85"/>
    <n v="860.85"/>
    <x v="1"/>
    <x v="0"/>
    <x v="0"/>
    <n v="0"/>
    <x v="0"/>
  </r>
  <r>
    <x v="1"/>
    <x v="1"/>
    <n v="1"/>
    <x v="1"/>
    <s v="8ºC"/>
    <x v="0"/>
    <s v="Mineral"/>
    <x v="0"/>
    <s v="2 - Arrendamento"/>
    <n v="8.14"/>
    <n v="8.14"/>
    <n v="8.14"/>
    <n v="8.14"/>
    <n v="293.04000000000002"/>
    <n v="203.5"/>
    <n v="284.89999999999998"/>
    <n v="314.89"/>
    <x v="0"/>
    <x v="1"/>
    <x v="0"/>
    <x v="0"/>
    <x v="0"/>
    <n v="8.14"/>
    <n v="8.14"/>
    <n v="8.14"/>
    <n v="293.04000000000002"/>
    <n v="203.5"/>
    <n v="284.89999999999998"/>
    <n v="314.89"/>
    <n v="314.89"/>
    <n v="314.89"/>
    <x v="0"/>
    <x v="0"/>
    <x v="0"/>
    <n v="0"/>
    <x v="0"/>
  </r>
  <r>
    <x v="1"/>
    <x v="1"/>
    <n v="2"/>
    <x v="1"/>
    <s v="8ºC"/>
    <x v="0"/>
    <s v="Mineral"/>
    <x v="0"/>
    <s v="2 - Arrendamento"/>
    <n v="5.58"/>
    <n v="5.58"/>
    <n v="5.58"/>
    <n v="5.58"/>
    <n v="200.88"/>
    <n v="139.5"/>
    <n v="195.3"/>
    <n v="215.46"/>
    <x v="0"/>
    <x v="1"/>
    <x v="0"/>
    <x v="0"/>
    <x v="0"/>
    <n v="5.58"/>
    <n v="5.58"/>
    <n v="5.58"/>
    <n v="200.88"/>
    <n v="139.5"/>
    <n v="195.3"/>
    <n v="215.46"/>
    <n v="215.46"/>
    <n v="215.46"/>
    <x v="0"/>
    <x v="0"/>
    <x v="0"/>
    <n v="0"/>
    <x v="0"/>
  </r>
  <r>
    <x v="2"/>
    <x v="2"/>
    <n v="1"/>
    <x v="2"/>
    <s v="3ºC"/>
    <x v="0"/>
    <s v="Mineral"/>
    <x v="1"/>
    <s v="3 - Parceria"/>
    <n v="9.09"/>
    <n v="9.09"/>
    <n v="9.09"/>
    <n v="9.09"/>
    <n v="618.12"/>
    <n v="545.4"/>
    <n v="545.4"/>
    <n v="437.97"/>
    <x v="0"/>
    <x v="2"/>
    <x v="0"/>
    <x v="0"/>
    <x v="0"/>
    <n v="9.09"/>
    <n v="9.09"/>
    <n v="9.09"/>
    <n v="618.12"/>
    <n v="545.4"/>
    <n v="545.4"/>
    <n v="437.97"/>
    <n v="437.97"/>
    <n v="437.97"/>
    <x v="1"/>
    <x v="0"/>
    <x v="0"/>
    <n v="0"/>
    <x v="0"/>
  </r>
  <r>
    <x v="2"/>
    <x v="2"/>
    <n v="2"/>
    <x v="2"/>
    <s v="3ºC"/>
    <x v="0"/>
    <s v="Mineral"/>
    <x v="1"/>
    <s v="3 - Parceria"/>
    <n v="18.97"/>
    <n v="18.97"/>
    <n v="18.97"/>
    <n v="18.97"/>
    <n v="1289.96"/>
    <n v="948.5"/>
    <n v="948.5"/>
    <n v="762.67"/>
    <x v="0"/>
    <x v="2"/>
    <x v="0"/>
    <x v="0"/>
    <x v="0"/>
    <n v="18.97"/>
    <n v="18.97"/>
    <n v="18.97"/>
    <n v="1289.96"/>
    <n v="948.5"/>
    <n v="948.5"/>
    <n v="762.67"/>
    <n v="762.67"/>
    <n v="762.67"/>
    <x v="0"/>
    <x v="0"/>
    <x v="0"/>
    <n v="0"/>
    <x v="0"/>
  </r>
  <r>
    <x v="2"/>
    <x v="2"/>
    <n v="3"/>
    <x v="2"/>
    <s v="3ºC"/>
    <x v="0"/>
    <s v="Mineral"/>
    <x v="1"/>
    <s v="3 - Parceria"/>
    <n v="16.47"/>
    <n v="16.47"/>
    <n v="16.47"/>
    <n v="16.47"/>
    <n v="1119.96"/>
    <n v="823.5"/>
    <n v="823.5"/>
    <n v="662.2"/>
    <x v="0"/>
    <x v="2"/>
    <x v="0"/>
    <x v="0"/>
    <x v="0"/>
    <n v="16.47"/>
    <n v="16.47"/>
    <n v="16.47"/>
    <n v="1119.96"/>
    <n v="823.5"/>
    <n v="823.5"/>
    <n v="662.2"/>
    <n v="662.2"/>
    <n v="662.2"/>
    <x v="0"/>
    <x v="0"/>
    <x v="0"/>
    <n v="0"/>
    <x v="0"/>
  </r>
  <r>
    <x v="2"/>
    <x v="2"/>
    <n v="4"/>
    <x v="2"/>
    <s v="3ºC"/>
    <x v="0"/>
    <s v="Mineral"/>
    <x v="1"/>
    <s v="3 - Parceria"/>
    <n v="16.52"/>
    <n v="16.52"/>
    <n v="16.52"/>
    <n v="16.52"/>
    <n v="1123.3599999999999"/>
    <n v="826"/>
    <n v="826"/>
    <n v="663.81"/>
    <x v="0"/>
    <x v="2"/>
    <x v="0"/>
    <x v="0"/>
    <x v="0"/>
    <n v="16.52"/>
    <n v="16.52"/>
    <n v="16.52"/>
    <n v="1123.3599999999999"/>
    <n v="826"/>
    <n v="826"/>
    <n v="663.81"/>
    <n v="663.81"/>
    <n v="663.81"/>
    <x v="0"/>
    <x v="0"/>
    <x v="0"/>
    <n v="0"/>
    <x v="0"/>
  </r>
  <r>
    <x v="2"/>
    <x v="2"/>
    <n v="5"/>
    <x v="2"/>
    <s v="3ºC"/>
    <x v="0"/>
    <s v="Mineral"/>
    <x v="1"/>
    <s v="3 - Parceria"/>
    <n v="21.01"/>
    <n v="21.01"/>
    <n v="21.01"/>
    <n v="21.01"/>
    <n v="1428.68"/>
    <n v="1050.5"/>
    <n v="1050.5"/>
    <n v="844.66"/>
    <x v="0"/>
    <x v="2"/>
    <x v="0"/>
    <x v="0"/>
    <x v="0"/>
    <n v="21.01"/>
    <n v="21.01"/>
    <n v="21.01"/>
    <n v="1428.68"/>
    <n v="1050.5"/>
    <n v="1050.5"/>
    <n v="844.66"/>
    <n v="844.66"/>
    <n v="844.66"/>
    <x v="0"/>
    <x v="0"/>
    <x v="0"/>
    <n v="0"/>
    <x v="0"/>
  </r>
  <r>
    <x v="2"/>
    <x v="2"/>
    <n v="6"/>
    <x v="2"/>
    <s v="3ºC"/>
    <x v="0"/>
    <s v="Mineral"/>
    <x v="1"/>
    <s v="3 - Parceria"/>
    <n v="17.47"/>
    <n v="17.47"/>
    <n v="17.47"/>
    <n v="17.47"/>
    <n v="1187.96"/>
    <n v="873.5"/>
    <n v="873.5"/>
    <n v="702.39"/>
    <x v="0"/>
    <x v="2"/>
    <x v="0"/>
    <x v="0"/>
    <x v="0"/>
    <n v="17.47"/>
    <n v="17.47"/>
    <n v="17.47"/>
    <n v="1187.96"/>
    <n v="873.5"/>
    <n v="873.5"/>
    <n v="702.39"/>
    <n v="702.39"/>
    <n v="702.39"/>
    <x v="0"/>
    <x v="0"/>
    <x v="0"/>
    <n v="0"/>
    <x v="0"/>
  </r>
  <r>
    <x v="2"/>
    <x v="2"/>
    <n v="7"/>
    <x v="2"/>
    <s v="3ºC"/>
    <x v="0"/>
    <s v="Mineral"/>
    <x v="1"/>
    <s v="3 - Parceria"/>
    <n v="19.11"/>
    <n v="19.11"/>
    <n v="19.11"/>
    <n v="19.11"/>
    <n v="1299.48"/>
    <n v="955.5"/>
    <n v="955.5"/>
    <n v="768.8"/>
    <x v="0"/>
    <x v="2"/>
    <x v="0"/>
    <x v="0"/>
    <x v="0"/>
    <n v="19.11"/>
    <n v="19.11"/>
    <n v="19.11"/>
    <n v="1299.48"/>
    <n v="955.5"/>
    <n v="955.5"/>
    <n v="768.8"/>
    <n v="768.8"/>
    <n v="768.8"/>
    <x v="0"/>
    <x v="0"/>
    <x v="0"/>
    <n v="0"/>
    <x v="0"/>
  </r>
  <r>
    <x v="2"/>
    <x v="2"/>
    <n v="21"/>
    <x v="3"/>
    <s v="ANM"/>
    <x v="0"/>
    <s v="Mineral"/>
    <x v="2"/>
    <s v="3 - Parceria"/>
    <n v="20.059999999999999"/>
    <n v="0"/>
    <n v="0"/>
    <n v="20.059999999999999"/>
    <n v="1845.52"/>
    <n v="0"/>
    <n v="0"/>
    <n v="2340.46"/>
    <x v="0"/>
    <x v="3"/>
    <x v="0"/>
    <x v="1"/>
    <x v="1"/>
    <n v="20.059999999999999"/>
    <n v="20.059999999999999"/>
    <n v="20.059999999999999"/>
    <n v="1845.52"/>
    <n v="2340.46"/>
    <n v="2340.46"/>
    <n v="2340.46"/>
    <n v="2340.46"/>
    <n v="2340.46"/>
    <x v="1"/>
    <x v="0"/>
    <x v="0"/>
    <n v="0"/>
    <x v="0"/>
  </r>
  <r>
    <x v="2"/>
    <x v="2"/>
    <n v="22"/>
    <x v="3"/>
    <s v="ANM"/>
    <x v="0"/>
    <s v="Mineral"/>
    <x v="2"/>
    <s v="3 - Parceria"/>
    <n v="7.68"/>
    <n v="0"/>
    <n v="0"/>
    <n v="7.68"/>
    <n v="706.56"/>
    <n v="0"/>
    <n v="0"/>
    <n v="677.74"/>
    <x v="0"/>
    <x v="4"/>
    <x v="0"/>
    <x v="1"/>
    <x v="1"/>
    <n v="7.68"/>
    <n v="7.68"/>
    <n v="7.68"/>
    <n v="706.56"/>
    <n v="677.74"/>
    <n v="677.74"/>
    <n v="677.74"/>
    <n v="677.74"/>
    <n v="677.74"/>
    <x v="1"/>
    <x v="0"/>
    <x v="0"/>
    <n v="0"/>
    <x v="0"/>
  </r>
  <r>
    <x v="2"/>
    <x v="2"/>
    <n v="23"/>
    <x v="3"/>
    <s v="ANM"/>
    <x v="0"/>
    <s v="Mineral"/>
    <x v="2"/>
    <s v="3 - Parceria"/>
    <n v="27.66"/>
    <n v="0"/>
    <n v="0"/>
    <n v="27.66"/>
    <n v="2544.7199999999998"/>
    <n v="0"/>
    <n v="0"/>
    <n v="2440.6999999999998"/>
    <x v="0"/>
    <x v="4"/>
    <x v="0"/>
    <x v="1"/>
    <x v="1"/>
    <n v="27.66"/>
    <n v="27.66"/>
    <n v="27.66"/>
    <n v="2544.7199999999998"/>
    <n v="2440.6999999999998"/>
    <n v="2440.6999999999998"/>
    <n v="2440.6999999999998"/>
    <n v="2440.6999999999998"/>
    <n v="2440.6999999999998"/>
    <x v="1"/>
    <x v="0"/>
    <x v="0"/>
    <n v="0"/>
    <x v="0"/>
  </r>
  <r>
    <x v="2"/>
    <x v="2"/>
    <n v="24"/>
    <x v="3"/>
    <s v="ANM"/>
    <x v="0"/>
    <s v="Mineral"/>
    <x v="2"/>
    <s v="3 - Parceria"/>
    <n v="36.520000000000003"/>
    <n v="0"/>
    <n v="0"/>
    <n v="36.520000000000003"/>
    <n v="3359.84"/>
    <n v="0"/>
    <n v="0"/>
    <n v="3222.67"/>
    <x v="0"/>
    <x v="4"/>
    <x v="0"/>
    <x v="1"/>
    <x v="1"/>
    <n v="36.520000000000003"/>
    <n v="36.520000000000003"/>
    <n v="36.520000000000003"/>
    <n v="3359.84"/>
    <n v="3222.67"/>
    <n v="3222.67"/>
    <n v="3222.67"/>
    <n v="3222.67"/>
    <n v="3222.67"/>
    <x v="1"/>
    <x v="0"/>
    <x v="0"/>
    <n v="0"/>
    <x v="0"/>
  </r>
  <r>
    <x v="2"/>
    <x v="2"/>
    <n v="25"/>
    <x v="3"/>
    <s v="ANM"/>
    <x v="0"/>
    <s v="Mineral"/>
    <x v="2"/>
    <s v="3 - Parceria"/>
    <n v="39.450000000000003"/>
    <n v="0"/>
    <n v="0"/>
    <n v="39.450000000000003"/>
    <n v="3629.4"/>
    <n v="0"/>
    <n v="0"/>
    <n v="3480.51"/>
    <x v="0"/>
    <x v="4"/>
    <x v="0"/>
    <x v="1"/>
    <x v="1"/>
    <n v="39.450000000000003"/>
    <n v="39.450000000000003"/>
    <n v="39.450000000000003"/>
    <n v="3629.4"/>
    <n v="3480.51"/>
    <n v="3480.51"/>
    <n v="3480.51"/>
    <n v="3480.51"/>
    <n v="3480.51"/>
    <x v="1"/>
    <x v="0"/>
    <x v="0"/>
    <n v="0"/>
    <x v="0"/>
  </r>
  <r>
    <x v="2"/>
    <x v="2"/>
    <n v="26"/>
    <x v="3"/>
    <s v="ANM"/>
    <x v="0"/>
    <s v="Mineral"/>
    <x v="2"/>
    <s v="3 - Parceria"/>
    <n v="38.630000000000003"/>
    <n v="0"/>
    <n v="0"/>
    <n v="38.630000000000003"/>
    <n v="3553.96"/>
    <n v="0"/>
    <n v="0"/>
    <n v="3409.61"/>
    <x v="0"/>
    <x v="4"/>
    <x v="0"/>
    <x v="1"/>
    <x v="1"/>
    <n v="38.630000000000003"/>
    <n v="38.630000000000003"/>
    <n v="38.630000000000003"/>
    <n v="3553.96"/>
    <n v="3409.61"/>
    <n v="3409.61"/>
    <n v="3409.61"/>
    <n v="3409.61"/>
    <n v="3409.61"/>
    <x v="1"/>
    <x v="0"/>
    <x v="0"/>
    <n v="0"/>
    <x v="0"/>
  </r>
  <r>
    <x v="2"/>
    <x v="2"/>
    <n v="27"/>
    <x v="3"/>
    <s v="ANM"/>
    <x v="0"/>
    <s v="Mineral"/>
    <x v="2"/>
    <s v="3 - Parceria"/>
    <n v="9.77"/>
    <n v="0"/>
    <n v="0"/>
    <n v="9.77"/>
    <n v="898.84"/>
    <n v="0"/>
    <n v="0"/>
    <n v="861.67"/>
    <x v="0"/>
    <x v="4"/>
    <x v="0"/>
    <x v="1"/>
    <x v="1"/>
    <n v="9.77"/>
    <n v="9.77"/>
    <n v="9.77"/>
    <n v="898.84"/>
    <n v="861.67"/>
    <n v="861.67"/>
    <n v="861.67"/>
    <n v="861.67"/>
    <n v="861.67"/>
    <x v="1"/>
    <x v="0"/>
    <x v="0"/>
    <n v="0"/>
    <x v="0"/>
  </r>
  <r>
    <x v="2"/>
    <x v="2"/>
    <n v="28"/>
    <x v="3"/>
    <s v="ANM"/>
    <x v="0"/>
    <s v="Mineral"/>
    <x v="2"/>
    <s v="3 - Parceria"/>
    <n v="24.97"/>
    <n v="0"/>
    <n v="0"/>
    <n v="24.97"/>
    <n v="2297.2399999999998"/>
    <n v="0"/>
    <n v="0"/>
    <n v="2203.7399999999998"/>
    <x v="0"/>
    <x v="4"/>
    <x v="0"/>
    <x v="1"/>
    <x v="1"/>
    <n v="24.97"/>
    <n v="24.97"/>
    <n v="24.97"/>
    <n v="2297.2399999999998"/>
    <n v="2203.7399999999998"/>
    <n v="2203.7399999999998"/>
    <n v="2203.7399999999998"/>
    <n v="2203.7399999999998"/>
    <n v="2203.7399999999998"/>
    <x v="1"/>
    <x v="0"/>
    <x v="0"/>
    <n v="0"/>
    <x v="0"/>
  </r>
  <r>
    <x v="2"/>
    <x v="2"/>
    <n v="29"/>
    <x v="3"/>
    <s v="ANM"/>
    <x v="0"/>
    <s v="Mineral"/>
    <x v="2"/>
    <s v="3 - Parceria"/>
    <n v="5.83"/>
    <n v="0"/>
    <n v="0"/>
    <n v="5.83"/>
    <n v="536.36"/>
    <n v="0"/>
    <n v="0"/>
    <n v="514.83000000000004"/>
    <x v="0"/>
    <x v="4"/>
    <x v="0"/>
    <x v="1"/>
    <x v="1"/>
    <n v="5.83"/>
    <n v="5.83"/>
    <n v="5.83"/>
    <n v="536.36"/>
    <n v="514.83000000000004"/>
    <n v="514.83000000000004"/>
    <n v="514.83000000000004"/>
    <n v="514.83000000000004"/>
    <n v="514.83000000000004"/>
    <x v="1"/>
    <x v="0"/>
    <x v="0"/>
    <n v="0"/>
    <x v="0"/>
  </r>
  <r>
    <x v="2"/>
    <x v="2"/>
    <n v="30"/>
    <x v="3"/>
    <s v="ANM"/>
    <x v="0"/>
    <s v="Mineral"/>
    <x v="2"/>
    <s v="3 - Parceria"/>
    <n v="20.14"/>
    <n v="0"/>
    <n v="0"/>
    <n v="20.14"/>
    <n v="1852.88"/>
    <n v="0"/>
    <n v="0"/>
    <n v="1779.67"/>
    <x v="0"/>
    <x v="4"/>
    <x v="0"/>
    <x v="1"/>
    <x v="1"/>
    <n v="20.14"/>
    <n v="20.14"/>
    <n v="20.14"/>
    <n v="1852.88"/>
    <n v="1779.67"/>
    <n v="1779.67"/>
    <n v="1779.67"/>
    <n v="1779.67"/>
    <n v="1779.67"/>
    <x v="1"/>
    <x v="0"/>
    <x v="0"/>
    <n v="0"/>
    <x v="0"/>
  </r>
  <r>
    <x v="2"/>
    <x v="2"/>
    <n v="31"/>
    <x v="3"/>
    <s v="ANM"/>
    <x v="0"/>
    <s v="Mineral"/>
    <x v="2"/>
    <s v="3 - Parceria"/>
    <n v="14.39"/>
    <n v="0"/>
    <n v="0"/>
    <n v="14.39"/>
    <n v="1323.88"/>
    <n v="0"/>
    <n v="0"/>
    <n v="1132.4100000000001"/>
    <x v="0"/>
    <x v="5"/>
    <x v="0"/>
    <x v="1"/>
    <x v="1"/>
    <n v="14.39"/>
    <n v="14.39"/>
    <n v="14.39"/>
    <n v="1323.88"/>
    <n v="1132.4100000000001"/>
    <n v="1132.4100000000001"/>
    <n v="1132.4100000000001"/>
    <n v="1132.4100000000001"/>
    <n v="1132.4100000000001"/>
    <x v="1"/>
    <x v="0"/>
    <x v="0"/>
    <n v="0"/>
    <x v="0"/>
  </r>
  <r>
    <x v="2"/>
    <x v="2"/>
    <n v="32"/>
    <x v="3"/>
    <s v="ANM"/>
    <x v="0"/>
    <s v="Mineral"/>
    <x v="2"/>
    <s v="3 - Parceria"/>
    <n v="17.87"/>
    <n v="0"/>
    <n v="0"/>
    <n v="17.87"/>
    <n v="1644.04"/>
    <n v="0"/>
    <n v="0"/>
    <n v="1406.11"/>
    <x v="0"/>
    <x v="5"/>
    <x v="0"/>
    <x v="1"/>
    <x v="1"/>
    <n v="17.87"/>
    <n v="17.87"/>
    <n v="17.87"/>
    <n v="1644.04"/>
    <n v="1406.11"/>
    <n v="1406.11"/>
    <n v="1406.11"/>
    <n v="1406.11"/>
    <n v="1406.11"/>
    <x v="1"/>
    <x v="0"/>
    <x v="0"/>
    <n v="0"/>
    <x v="0"/>
  </r>
  <r>
    <x v="2"/>
    <x v="2"/>
    <n v="33"/>
    <x v="3"/>
    <s v="ANM"/>
    <x v="0"/>
    <s v="Mineral"/>
    <x v="2"/>
    <s v="3 - Parceria"/>
    <n v="39.79"/>
    <n v="0"/>
    <n v="0"/>
    <n v="39.79"/>
    <n v="3660.68"/>
    <n v="0"/>
    <n v="0"/>
    <n v="3131.38"/>
    <x v="0"/>
    <x v="5"/>
    <x v="0"/>
    <x v="1"/>
    <x v="1"/>
    <n v="39.79"/>
    <n v="39.79"/>
    <n v="39.79"/>
    <n v="3660.68"/>
    <n v="3131.38"/>
    <n v="3131.38"/>
    <n v="3131.38"/>
    <n v="3131.38"/>
    <n v="3131.38"/>
    <x v="1"/>
    <x v="0"/>
    <x v="0"/>
    <n v="0"/>
    <x v="0"/>
  </r>
  <r>
    <x v="2"/>
    <x v="2"/>
    <n v="34"/>
    <x v="3"/>
    <s v="ANM"/>
    <x v="0"/>
    <s v="Mineral"/>
    <x v="2"/>
    <s v="3 - Parceria"/>
    <n v="17.100000000000001"/>
    <n v="0"/>
    <n v="0"/>
    <n v="17.100000000000001"/>
    <n v="1573.2"/>
    <n v="0"/>
    <n v="0"/>
    <n v="1345.8"/>
    <x v="0"/>
    <x v="5"/>
    <x v="0"/>
    <x v="1"/>
    <x v="1"/>
    <n v="17.100000000000001"/>
    <n v="17.100000000000001"/>
    <n v="17.100000000000001"/>
    <n v="1573.2"/>
    <n v="1345.8"/>
    <n v="1345.8"/>
    <n v="1345.8"/>
    <n v="1345.8"/>
    <n v="1345.8"/>
    <x v="1"/>
    <x v="0"/>
    <x v="0"/>
    <n v="0"/>
    <x v="0"/>
  </r>
  <r>
    <x v="3"/>
    <x v="3"/>
    <n v="1"/>
    <x v="4"/>
    <s v="4ºC"/>
    <x v="0"/>
    <s v="Mineral"/>
    <x v="3"/>
    <s v="3 - Parceria"/>
    <n v="14.06"/>
    <n v="14.06"/>
    <n v="0"/>
    <n v="14.06"/>
    <n v="787.36"/>
    <n v="843.6"/>
    <n v="0"/>
    <n v="819.61"/>
    <x v="0"/>
    <x v="6"/>
    <x v="0"/>
    <x v="0"/>
    <x v="1"/>
    <n v="14.06"/>
    <n v="14.06"/>
    <n v="14.06"/>
    <n v="787.36"/>
    <n v="843.6"/>
    <n v="819.61"/>
    <n v="819.61"/>
    <n v="819.61"/>
    <n v="819.61"/>
    <x v="1"/>
    <x v="0"/>
    <x v="0"/>
    <n v="0"/>
    <x v="0"/>
  </r>
  <r>
    <x v="3"/>
    <x v="3"/>
    <n v="2"/>
    <x v="4"/>
    <s v="4ºC"/>
    <x v="0"/>
    <s v="Mineral"/>
    <x v="3"/>
    <s v="3 - Parceria"/>
    <n v="8.91"/>
    <n v="8.91"/>
    <n v="0"/>
    <n v="8.91"/>
    <n v="498.96"/>
    <n v="534.6"/>
    <n v="0"/>
    <n v="511.89"/>
    <x v="0"/>
    <x v="6"/>
    <x v="0"/>
    <x v="0"/>
    <x v="1"/>
    <n v="8.91"/>
    <n v="8.91"/>
    <n v="8.91"/>
    <n v="498.96"/>
    <n v="534.6"/>
    <n v="511.89"/>
    <n v="511.89"/>
    <n v="511.89"/>
    <n v="511.89"/>
    <x v="1"/>
    <x v="0"/>
    <x v="0"/>
    <n v="0"/>
    <x v="0"/>
  </r>
  <r>
    <x v="3"/>
    <x v="3"/>
    <n v="3"/>
    <x v="4"/>
    <s v="4ºC"/>
    <x v="0"/>
    <s v="Mineral"/>
    <x v="3"/>
    <s v="3 - Parceria"/>
    <n v="28.14"/>
    <n v="28.14"/>
    <n v="0"/>
    <n v="28.14"/>
    <n v="1575.84"/>
    <n v="1688.4"/>
    <n v="0"/>
    <n v="1615.23"/>
    <x v="0"/>
    <x v="6"/>
    <x v="0"/>
    <x v="0"/>
    <x v="1"/>
    <n v="28.14"/>
    <n v="28.14"/>
    <n v="28.14"/>
    <n v="1575.84"/>
    <n v="1688.4"/>
    <n v="1615.23"/>
    <n v="1615.23"/>
    <n v="1615.23"/>
    <n v="1615.23"/>
    <x v="1"/>
    <x v="0"/>
    <x v="0"/>
    <n v="0"/>
    <x v="0"/>
  </r>
  <r>
    <x v="3"/>
    <x v="3"/>
    <n v="4"/>
    <x v="4"/>
    <s v="4ºC"/>
    <x v="0"/>
    <s v="Mineral"/>
    <x v="3"/>
    <s v="3 - Parceria"/>
    <n v="29.27"/>
    <n v="29.27"/>
    <n v="0"/>
    <n v="29.27"/>
    <n v="1639.12"/>
    <n v="1756.2"/>
    <n v="0"/>
    <n v="1680.31"/>
    <x v="0"/>
    <x v="6"/>
    <x v="0"/>
    <x v="0"/>
    <x v="1"/>
    <n v="29.27"/>
    <n v="29.27"/>
    <n v="29.27"/>
    <n v="1639.12"/>
    <n v="1756.2"/>
    <n v="1680.31"/>
    <n v="1680.31"/>
    <n v="1680.31"/>
    <n v="1680.31"/>
    <x v="1"/>
    <x v="0"/>
    <x v="0"/>
    <n v="0"/>
    <x v="0"/>
  </r>
  <r>
    <x v="3"/>
    <x v="3"/>
    <n v="5"/>
    <x v="4"/>
    <s v="4ºC"/>
    <x v="0"/>
    <s v="Mineral"/>
    <x v="3"/>
    <s v="3 - Parceria"/>
    <n v="4.24"/>
    <n v="4.24"/>
    <n v="0"/>
    <n v="4.24"/>
    <n v="237.44"/>
    <n v="254.4"/>
    <n v="0"/>
    <n v="276.32"/>
    <x v="0"/>
    <x v="6"/>
    <x v="0"/>
    <x v="0"/>
    <x v="1"/>
    <n v="4.24"/>
    <n v="4.24"/>
    <n v="4.24"/>
    <n v="237.44"/>
    <n v="254.4"/>
    <n v="276.32"/>
    <n v="276.32"/>
    <n v="276.32"/>
    <n v="276.32"/>
    <x v="1"/>
    <x v="0"/>
    <x v="0"/>
    <n v="0"/>
    <x v="0"/>
  </r>
  <r>
    <x v="3"/>
    <x v="3"/>
    <n v="6"/>
    <x v="4"/>
    <s v="4ºC"/>
    <x v="0"/>
    <s v="Mineral"/>
    <x v="3"/>
    <s v="3 - Parceria"/>
    <n v="8.14"/>
    <n v="8.14"/>
    <n v="0"/>
    <n v="8.14"/>
    <n v="455.84"/>
    <n v="488.4"/>
    <n v="0"/>
    <n v="467.34"/>
    <x v="0"/>
    <x v="6"/>
    <x v="0"/>
    <x v="0"/>
    <x v="1"/>
    <n v="8.14"/>
    <n v="8.14"/>
    <n v="8.14"/>
    <n v="455.84"/>
    <n v="488.4"/>
    <n v="467.34"/>
    <n v="467.34"/>
    <n v="467.34"/>
    <n v="467.34"/>
    <x v="1"/>
    <x v="0"/>
    <x v="0"/>
    <n v="0"/>
    <x v="0"/>
  </r>
  <r>
    <x v="3"/>
    <x v="3"/>
    <n v="7"/>
    <x v="4"/>
    <s v="4ºC"/>
    <x v="0"/>
    <s v="Mineral"/>
    <x v="3"/>
    <s v="3 - Parceria"/>
    <n v="24.53"/>
    <n v="24.53"/>
    <n v="0"/>
    <n v="24.53"/>
    <n v="1373.68"/>
    <n v="1471.8"/>
    <n v="0"/>
    <n v="1565.38"/>
    <x v="0"/>
    <x v="6"/>
    <x v="0"/>
    <x v="0"/>
    <x v="1"/>
    <n v="24.53"/>
    <n v="24.53"/>
    <n v="24.53"/>
    <n v="1373.68"/>
    <n v="1471.8"/>
    <n v="1565.38"/>
    <n v="1565.38"/>
    <n v="1565.38"/>
    <n v="1565.38"/>
    <x v="0"/>
    <x v="0"/>
    <x v="0"/>
    <n v="0"/>
    <x v="0"/>
  </r>
  <r>
    <x v="3"/>
    <x v="3"/>
    <n v="8"/>
    <x v="4"/>
    <s v="4ºC"/>
    <x v="0"/>
    <s v="Mineral"/>
    <x v="3"/>
    <s v="3 - Parceria"/>
    <n v="23.44"/>
    <n v="23.44"/>
    <n v="0"/>
    <n v="23.44"/>
    <n v="1593.92"/>
    <n v="1640.8"/>
    <n v="0"/>
    <n v="1742.08"/>
    <x v="0"/>
    <x v="6"/>
    <x v="0"/>
    <x v="0"/>
    <x v="1"/>
    <n v="23.44"/>
    <n v="23.44"/>
    <n v="23.44"/>
    <n v="1593.92"/>
    <n v="1640.8"/>
    <n v="1742.08"/>
    <n v="1742.08"/>
    <n v="1742.08"/>
    <n v="1742.08"/>
    <x v="0"/>
    <x v="0"/>
    <x v="0"/>
    <n v="0"/>
    <x v="0"/>
  </r>
  <r>
    <x v="3"/>
    <x v="3"/>
    <n v="9"/>
    <x v="4"/>
    <s v="4ºC"/>
    <x v="0"/>
    <s v="Mineral"/>
    <x v="3"/>
    <s v="3 - Parceria"/>
    <n v="19.850000000000001"/>
    <n v="19.850000000000001"/>
    <n v="0"/>
    <n v="19.850000000000001"/>
    <n v="1349.8"/>
    <n v="1389.5"/>
    <n v="0"/>
    <n v="1535.82"/>
    <x v="0"/>
    <x v="6"/>
    <x v="0"/>
    <x v="0"/>
    <x v="1"/>
    <n v="19.850000000000001"/>
    <n v="19.850000000000001"/>
    <n v="19.850000000000001"/>
    <n v="1349.8"/>
    <n v="1389.5"/>
    <n v="1535.82"/>
    <n v="1535.82"/>
    <n v="1535.82"/>
    <n v="1535.82"/>
    <x v="1"/>
    <x v="0"/>
    <x v="0"/>
    <n v="0"/>
    <x v="0"/>
  </r>
  <r>
    <x v="3"/>
    <x v="3"/>
    <n v="10"/>
    <x v="4"/>
    <s v="4ºC"/>
    <x v="0"/>
    <s v="Mineral"/>
    <x v="3"/>
    <s v="3 - Parceria"/>
    <n v="42.03"/>
    <n v="42.03"/>
    <n v="0"/>
    <n v="42.03"/>
    <n v="2858.04"/>
    <n v="2942.1"/>
    <n v="0"/>
    <n v="3190.06"/>
    <x v="0"/>
    <x v="7"/>
    <x v="0"/>
    <x v="0"/>
    <x v="1"/>
    <n v="42.03"/>
    <n v="42.03"/>
    <n v="42.03"/>
    <n v="2858.04"/>
    <n v="2942.1"/>
    <n v="3190.06"/>
    <n v="3190.06"/>
    <n v="3190.06"/>
    <n v="3190.06"/>
    <x v="1"/>
    <x v="0"/>
    <x v="0"/>
    <n v="0"/>
    <x v="0"/>
  </r>
  <r>
    <x v="3"/>
    <x v="3"/>
    <n v="11"/>
    <x v="4"/>
    <s v="4ºC"/>
    <x v="0"/>
    <s v="Mineral"/>
    <x v="3"/>
    <s v="3 - Parceria"/>
    <n v="37.770000000000003"/>
    <n v="37.770000000000003"/>
    <n v="0"/>
    <n v="37.770000000000003"/>
    <n v="2908.29"/>
    <n v="2908.29"/>
    <n v="0"/>
    <n v="3053.77"/>
    <x v="0"/>
    <x v="7"/>
    <x v="0"/>
    <x v="0"/>
    <x v="1"/>
    <n v="37.770000000000003"/>
    <n v="37.770000000000003"/>
    <n v="37.770000000000003"/>
    <n v="2908.29"/>
    <n v="2908.29"/>
    <n v="3053.77"/>
    <n v="3053.77"/>
    <n v="3053.77"/>
    <n v="3053.77"/>
    <x v="1"/>
    <x v="0"/>
    <x v="0"/>
    <n v="0"/>
    <x v="0"/>
  </r>
  <r>
    <x v="3"/>
    <x v="3"/>
    <n v="12"/>
    <x v="4"/>
    <s v="4ºC"/>
    <x v="0"/>
    <s v="Mineral"/>
    <x v="3"/>
    <s v="3 - Parceria"/>
    <n v="1.18"/>
    <n v="1.18"/>
    <n v="0"/>
    <n v="1.18"/>
    <n v="70.8"/>
    <n v="74.34"/>
    <n v="0"/>
    <n v="63.29"/>
    <x v="0"/>
    <x v="8"/>
    <x v="0"/>
    <x v="0"/>
    <x v="1"/>
    <n v="1.18"/>
    <n v="1.18"/>
    <n v="1.18"/>
    <n v="70.8"/>
    <n v="74.34"/>
    <n v="63.29"/>
    <n v="63.29"/>
    <n v="63.29"/>
    <n v="63.29"/>
    <x v="0"/>
    <x v="0"/>
    <x v="0"/>
    <n v="0"/>
    <x v="0"/>
  </r>
  <r>
    <x v="3"/>
    <x v="3"/>
    <n v="13"/>
    <x v="4"/>
    <s v="4ºC"/>
    <x v="0"/>
    <s v="Mineral"/>
    <x v="3"/>
    <s v="3 - Parceria"/>
    <n v="7.23"/>
    <n v="7.23"/>
    <n v="0"/>
    <n v="7.23"/>
    <n v="433.8"/>
    <n v="455.49"/>
    <n v="0"/>
    <n v="389.21"/>
    <x v="0"/>
    <x v="8"/>
    <x v="0"/>
    <x v="0"/>
    <x v="1"/>
    <n v="7.23"/>
    <n v="7.23"/>
    <n v="7.23"/>
    <n v="433.8"/>
    <n v="455.49"/>
    <n v="389.21"/>
    <n v="389.21"/>
    <n v="389.21"/>
    <n v="389.21"/>
    <x v="0"/>
    <x v="0"/>
    <x v="0"/>
    <n v="0"/>
    <x v="0"/>
  </r>
  <r>
    <x v="3"/>
    <x v="3"/>
    <n v="14"/>
    <x v="2"/>
    <s v="3ºC"/>
    <x v="0"/>
    <s v="Mineral"/>
    <x v="3"/>
    <s v="3 - Parceria"/>
    <n v="20.64"/>
    <n v="20.64"/>
    <n v="0"/>
    <n v="20.64"/>
    <n v="1733.76"/>
    <n v="1816.32"/>
    <n v="0"/>
    <n v="1928.21"/>
    <x v="0"/>
    <x v="6"/>
    <x v="0"/>
    <x v="0"/>
    <x v="1"/>
    <n v="20.64"/>
    <n v="20.64"/>
    <n v="20.64"/>
    <n v="1733.76"/>
    <n v="1816.32"/>
    <n v="1928.21"/>
    <n v="1928.21"/>
    <n v="1928.21"/>
    <n v="1928.21"/>
    <x v="0"/>
    <x v="0"/>
    <x v="0"/>
    <n v="0"/>
    <x v="0"/>
  </r>
  <r>
    <x v="3"/>
    <x v="3"/>
    <n v="45"/>
    <x v="4"/>
    <s v="4ºC"/>
    <x v="0"/>
    <s v="Mineral"/>
    <x v="3"/>
    <s v="3 - Parceria"/>
    <n v="11.61"/>
    <n v="11.61"/>
    <n v="0"/>
    <n v="11.61"/>
    <n v="650.16"/>
    <n v="696.6"/>
    <n v="0"/>
    <n v="596.28"/>
    <x v="0"/>
    <x v="8"/>
    <x v="0"/>
    <x v="0"/>
    <x v="1"/>
    <n v="11.61"/>
    <n v="11.61"/>
    <n v="11.61"/>
    <n v="650.16"/>
    <n v="696.6"/>
    <n v="596.28"/>
    <n v="596.28"/>
    <n v="596.28"/>
    <n v="596.28"/>
    <x v="1"/>
    <x v="0"/>
    <x v="0"/>
    <n v="0"/>
    <x v="0"/>
  </r>
  <r>
    <x v="3"/>
    <x v="3"/>
    <n v="46"/>
    <x v="4"/>
    <s v="4ºC"/>
    <x v="0"/>
    <s v="Mineral"/>
    <x v="3"/>
    <s v="3 - Parceria"/>
    <n v="19.47"/>
    <n v="0"/>
    <n v="0"/>
    <n v="19.47"/>
    <n v="1090.32"/>
    <n v="0"/>
    <n v="0"/>
    <n v="830.24"/>
    <x v="0"/>
    <x v="4"/>
    <x v="0"/>
    <x v="1"/>
    <x v="1"/>
    <n v="19.47"/>
    <n v="19.47"/>
    <n v="19.47"/>
    <n v="1090.32"/>
    <n v="830.24"/>
    <n v="830.24"/>
    <n v="830.24"/>
    <n v="830.24"/>
    <n v="830.24"/>
    <x v="1"/>
    <x v="0"/>
    <x v="0"/>
    <n v="0"/>
    <x v="0"/>
  </r>
  <r>
    <x v="3"/>
    <x v="3"/>
    <n v="47"/>
    <x v="4"/>
    <s v="4ºC"/>
    <x v="0"/>
    <s v="Mineral"/>
    <x v="3"/>
    <s v="3 - Parceria"/>
    <n v="39.04"/>
    <n v="0"/>
    <n v="0"/>
    <n v="39.04"/>
    <n v="2186.2399999999998"/>
    <n v="0"/>
    <n v="0"/>
    <n v="1665.18"/>
    <x v="0"/>
    <x v="4"/>
    <x v="0"/>
    <x v="1"/>
    <x v="1"/>
    <n v="39.04"/>
    <n v="39.04"/>
    <n v="39.04"/>
    <n v="2186.2399999999998"/>
    <n v="1665.18"/>
    <n v="1665.18"/>
    <n v="1665.18"/>
    <n v="1665.18"/>
    <n v="1665.18"/>
    <x v="1"/>
    <x v="0"/>
    <x v="0"/>
    <n v="0"/>
    <x v="0"/>
  </r>
  <r>
    <x v="3"/>
    <x v="3"/>
    <n v="48"/>
    <x v="4"/>
    <s v="4ºC"/>
    <x v="0"/>
    <s v="Mineral"/>
    <x v="3"/>
    <s v="3 - Parceria"/>
    <n v="5.34"/>
    <n v="0"/>
    <n v="0"/>
    <n v="5.34"/>
    <n v="208.26"/>
    <n v="0"/>
    <n v="0"/>
    <n v="283.95999999999998"/>
    <x v="0"/>
    <x v="9"/>
    <x v="0"/>
    <x v="1"/>
    <x v="1"/>
    <n v="5.34"/>
    <n v="5.34"/>
    <n v="5.34"/>
    <n v="208.26"/>
    <n v="283.95999999999998"/>
    <n v="283.95999999999998"/>
    <n v="283.95999999999998"/>
    <n v="283.95999999999998"/>
    <n v="283.95999999999998"/>
    <x v="1"/>
    <x v="0"/>
    <x v="0"/>
    <n v="0"/>
    <x v="0"/>
  </r>
  <r>
    <x v="3"/>
    <x v="3"/>
    <n v="49"/>
    <x v="2"/>
    <s v="3ºC"/>
    <x v="0"/>
    <s v="Mineral"/>
    <x v="3"/>
    <s v="3 - Parceria"/>
    <n v="33.92"/>
    <n v="33.92"/>
    <n v="0"/>
    <n v="33.92"/>
    <n v="2747.52"/>
    <n v="2815.36"/>
    <n v="0"/>
    <n v="2612.2800000000002"/>
    <x v="0"/>
    <x v="8"/>
    <x v="0"/>
    <x v="0"/>
    <x v="1"/>
    <n v="33.92"/>
    <n v="33.92"/>
    <n v="33.92"/>
    <n v="2747.52"/>
    <n v="2815.36"/>
    <n v="2612.2800000000002"/>
    <n v="2612.2800000000002"/>
    <n v="2612.2800000000002"/>
    <n v="2612.2800000000002"/>
    <x v="0"/>
    <x v="0"/>
    <x v="0"/>
    <n v="0"/>
    <x v="0"/>
  </r>
  <r>
    <x v="3"/>
    <x v="3"/>
    <n v="50"/>
    <x v="2"/>
    <s v="3ºC"/>
    <x v="0"/>
    <s v="Mineral"/>
    <x v="3"/>
    <s v="3 - Parceria"/>
    <n v="19.72"/>
    <n v="19.72"/>
    <n v="0"/>
    <n v="19.72"/>
    <n v="1597.32"/>
    <n v="1597.32"/>
    <n v="0"/>
    <n v="1481.95"/>
    <x v="0"/>
    <x v="8"/>
    <x v="0"/>
    <x v="0"/>
    <x v="1"/>
    <n v="19.72"/>
    <n v="19.72"/>
    <n v="19.72"/>
    <n v="1597.32"/>
    <n v="1597.32"/>
    <n v="1481.95"/>
    <n v="1481.95"/>
    <n v="1481.95"/>
    <n v="1481.95"/>
    <x v="1"/>
    <x v="0"/>
    <x v="0"/>
    <n v="0"/>
    <x v="0"/>
  </r>
  <r>
    <x v="3"/>
    <x v="3"/>
    <n v="51"/>
    <x v="2"/>
    <s v="3ºC"/>
    <x v="0"/>
    <s v="Mineral"/>
    <x v="3"/>
    <s v="3 - Parceria"/>
    <n v="11.22"/>
    <n v="11.22"/>
    <n v="0"/>
    <n v="11.22"/>
    <n v="852.72"/>
    <n v="875.16"/>
    <n v="0"/>
    <n v="811.92"/>
    <x v="0"/>
    <x v="8"/>
    <x v="0"/>
    <x v="0"/>
    <x v="1"/>
    <n v="11.22"/>
    <n v="11.22"/>
    <n v="11.22"/>
    <n v="852.72"/>
    <n v="875.16"/>
    <n v="811.92"/>
    <n v="811.92"/>
    <n v="811.92"/>
    <n v="811.92"/>
    <x v="1"/>
    <x v="0"/>
    <x v="0"/>
    <n v="0"/>
    <x v="0"/>
  </r>
  <r>
    <x v="3"/>
    <x v="3"/>
    <n v="52"/>
    <x v="2"/>
    <s v="3ºC"/>
    <x v="0"/>
    <s v="Mineral"/>
    <x v="3"/>
    <s v="3 - Parceria"/>
    <n v="18.55"/>
    <n v="18.55"/>
    <n v="0"/>
    <n v="18.55"/>
    <n v="1409.8"/>
    <n v="1446.9"/>
    <n v="0"/>
    <n v="1342.74"/>
    <x v="0"/>
    <x v="8"/>
    <x v="0"/>
    <x v="0"/>
    <x v="1"/>
    <n v="18.55"/>
    <n v="18.55"/>
    <n v="18.55"/>
    <n v="1409.8"/>
    <n v="1446.9"/>
    <n v="1342.74"/>
    <n v="1342.74"/>
    <n v="1342.74"/>
    <n v="1342.74"/>
    <x v="1"/>
    <x v="0"/>
    <x v="0"/>
    <n v="0"/>
    <x v="0"/>
  </r>
  <r>
    <x v="3"/>
    <x v="3"/>
    <n v="53"/>
    <x v="2"/>
    <s v="3ºC"/>
    <x v="0"/>
    <s v="Mineral"/>
    <x v="3"/>
    <s v="3 - Parceria"/>
    <n v="13.02"/>
    <n v="13.02"/>
    <n v="0"/>
    <n v="13.02"/>
    <n v="989.52"/>
    <n v="1015.56"/>
    <n v="0"/>
    <n v="943.3"/>
    <x v="0"/>
    <x v="8"/>
    <x v="0"/>
    <x v="0"/>
    <x v="1"/>
    <n v="13.02"/>
    <n v="13.02"/>
    <n v="13.02"/>
    <n v="989.52"/>
    <n v="1015.56"/>
    <n v="943.3"/>
    <n v="943.3"/>
    <n v="943.3"/>
    <n v="943.3"/>
    <x v="1"/>
    <x v="0"/>
    <x v="0"/>
    <n v="0"/>
    <x v="0"/>
  </r>
  <r>
    <x v="3"/>
    <x v="3"/>
    <n v="227"/>
    <x v="5"/>
    <s v="2ºC"/>
    <x v="0"/>
    <s v="Mineral"/>
    <x v="4"/>
    <s v="3 - Parceria"/>
    <n v="18.7"/>
    <n v="18.7"/>
    <n v="0"/>
    <n v="18.7"/>
    <n v="1589.5"/>
    <n v="1626.9"/>
    <n v="0"/>
    <n v="1540.11"/>
    <x v="0"/>
    <x v="8"/>
    <x v="0"/>
    <x v="0"/>
    <x v="1"/>
    <n v="18.7"/>
    <n v="18.7"/>
    <n v="18.7"/>
    <n v="1589.5"/>
    <n v="1626.9"/>
    <n v="1540.11"/>
    <n v="1540.11"/>
    <n v="1540.11"/>
    <n v="1540.11"/>
    <x v="0"/>
    <x v="0"/>
    <x v="0"/>
    <n v="0"/>
    <x v="0"/>
  </r>
  <r>
    <x v="3"/>
    <x v="3"/>
    <n v="228"/>
    <x v="5"/>
    <s v="2ºC"/>
    <x v="0"/>
    <s v="Mineral"/>
    <x v="4"/>
    <s v="3 - Parceria"/>
    <n v="9.27"/>
    <n v="9.27"/>
    <n v="0"/>
    <n v="9.27"/>
    <n v="787.95"/>
    <n v="806.49"/>
    <n v="0"/>
    <n v="762.94"/>
    <x v="0"/>
    <x v="8"/>
    <x v="0"/>
    <x v="0"/>
    <x v="1"/>
    <n v="9.27"/>
    <n v="9.27"/>
    <n v="9.27"/>
    <n v="787.95"/>
    <n v="806.49"/>
    <n v="762.94"/>
    <n v="762.94"/>
    <n v="762.94"/>
    <n v="762.94"/>
    <x v="0"/>
    <x v="0"/>
    <x v="0"/>
    <n v="0"/>
    <x v="0"/>
  </r>
  <r>
    <x v="3"/>
    <x v="3"/>
    <n v="229"/>
    <x v="5"/>
    <s v="2ºC"/>
    <x v="0"/>
    <s v="Mineral"/>
    <x v="4"/>
    <s v="3 - Parceria"/>
    <n v="4.3"/>
    <n v="4.3"/>
    <n v="0"/>
    <n v="4.3"/>
    <n v="365.5"/>
    <n v="374.1"/>
    <n v="0"/>
    <n v="354.12"/>
    <x v="0"/>
    <x v="8"/>
    <x v="0"/>
    <x v="0"/>
    <x v="1"/>
    <n v="4.3"/>
    <n v="4.3"/>
    <n v="4.3"/>
    <n v="365.5"/>
    <n v="374.1"/>
    <n v="354.12"/>
    <n v="354.12"/>
    <n v="354.12"/>
    <n v="354.12"/>
    <x v="0"/>
    <x v="0"/>
    <x v="0"/>
    <n v="0"/>
    <x v="0"/>
  </r>
  <r>
    <x v="4"/>
    <x v="4"/>
    <n v="27"/>
    <x v="3"/>
    <s v="INV"/>
    <x v="0"/>
    <s v="Mineral"/>
    <x v="5"/>
    <s v="3 - Parceria"/>
    <n v="26.06"/>
    <n v="0"/>
    <n v="0"/>
    <n v="26.06"/>
    <n v="2110.86"/>
    <n v="0"/>
    <n v="0"/>
    <n v="2308.79"/>
    <x v="0"/>
    <x v="4"/>
    <x v="0"/>
    <x v="1"/>
    <x v="1"/>
    <n v="26.06"/>
    <n v="26.06"/>
    <n v="26.06"/>
    <n v="2110.86"/>
    <n v="2308.79"/>
    <n v="2308.79"/>
    <n v="2308.79"/>
    <n v="2308.79"/>
    <n v="2308.79"/>
    <x v="1"/>
    <x v="0"/>
    <x v="0"/>
    <n v="0"/>
    <x v="0"/>
  </r>
  <r>
    <x v="4"/>
    <x v="4"/>
    <n v="28"/>
    <x v="3"/>
    <s v="INV"/>
    <x v="0"/>
    <s v="Mineral"/>
    <x v="5"/>
    <s v="3 - Parceria"/>
    <n v="44.37"/>
    <n v="0"/>
    <n v="0"/>
    <n v="44.37"/>
    <n v="3283.38"/>
    <n v="0"/>
    <n v="0"/>
    <n v="3590.66"/>
    <x v="0"/>
    <x v="4"/>
    <x v="0"/>
    <x v="1"/>
    <x v="1"/>
    <n v="44.37"/>
    <n v="44.37"/>
    <n v="44.37"/>
    <n v="3283.38"/>
    <n v="3590.66"/>
    <n v="3590.66"/>
    <n v="3590.66"/>
    <n v="3590.66"/>
    <n v="3590.66"/>
    <x v="1"/>
    <x v="0"/>
    <x v="0"/>
    <n v="0"/>
    <x v="0"/>
  </r>
  <r>
    <x v="4"/>
    <x v="4"/>
    <n v="29"/>
    <x v="3"/>
    <s v="INV"/>
    <x v="0"/>
    <s v="Mineral"/>
    <x v="5"/>
    <s v="3 - Parceria"/>
    <n v="16.579999999999998"/>
    <n v="0"/>
    <n v="0"/>
    <n v="16.579999999999998"/>
    <n v="1226.92"/>
    <n v="0"/>
    <n v="0"/>
    <n v="1342.25"/>
    <x v="0"/>
    <x v="4"/>
    <x v="0"/>
    <x v="1"/>
    <x v="1"/>
    <n v="16.579999999999998"/>
    <n v="16.579999999999998"/>
    <n v="16.579999999999998"/>
    <n v="1226.92"/>
    <n v="1342.25"/>
    <n v="1342.25"/>
    <n v="1342.25"/>
    <n v="1342.25"/>
    <n v="1342.25"/>
    <x v="1"/>
    <x v="0"/>
    <x v="0"/>
    <n v="0"/>
    <x v="0"/>
  </r>
  <r>
    <x v="5"/>
    <x v="5"/>
    <n v="1"/>
    <x v="2"/>
    <s v="3ºC"/>
    <x v="0"/>
    <s v="Mineral"/>
    <x v="1"/>
    <s v="3 - Parceria"/>
    <n v="25.32"/>
    <n v="25.32"/>
    <n v="0"/>
    <n v="25.32"/>
    <n v="1823.04"/>
    <n v="1012.8"/>
    <n v="0"/>
    <n v="1071.72"/>
    <x v="0"/>
    <x v="10"/>
    <x v="0"/>
    <x v="0"/>
    <x v="1"/>
    <n v="25.32"/>
    <n v="25.32"/>
    <n v="25.32"/>
    <n v="1823.04"/>
    <n v="1012.8"/>
    <n v="1071.72"/>
    <n v="1071.72"/>
    <n v="1071.72"/>
    <n v="1071.72"/>
    <x v="0"/>
    <x v="0"/>
    <x v="0"/>
    <n v="0"/>
    <x v="0"/>
  </r>
  <r>
    <x v="5"/>
    <x v="5"/>
    <n v="2"/>
    <x v="2"/>
    <s v="3ºC"/>
    <x v="0"/>
    <s v="Mineral"/>
    <x v="1"/>
    <s v="3 - Parceria"/>
    <n v="3.44"/>
    <n v="3.44"/>
    <n v="0"/>
    <n v="3.44"/>
    <n v="247.68"/>
    <n v="247.68"/>
    <n v="0"/>
    <n v="262.39999999999998"/>
    <x v="0"/>
    <x v="10"/>
    <x v="0"/>
    <x v="0"/>
    <x v="1"/>
    <n v="3.44"/>
    <n v="3.44"/>
    <n v="3.44"/>
    <n v="247.68"/>
    <n v="247.68"/>
    <n v="262.39999999999998"/>
    <n v="262.39999999999998"/>
    <n v="262.39999999999998"/>
    <n v="262.39999999999998"/>
    <x v="1"/>
    <x v="0"/>
    <x v="0"/>
    <n v="0"/>
    <x v="0"/>
  </r>
  <r>
    <x v="5"/>
    <x v="5"/>
    <n v="3"/>
    <x v="2"/>
    <s v="3ºC"/>
    <x v="0"/>
    <s v="Mineral"/>
    <x v="1"/>
    <s v="3 - Parceria"/>
    <n v="2.52"/>
    <n v="2.52"/>
    <n v="0"/>
    <n v="2.52"/>
    <n v="181.44"/>
    <n v="181.44"/>
    <n v="0"/>
    <n v="160.69999999999999"/>
    <x v="0"/>
    <x v="11"/>
    <x v="0"/>
    <x v="0"/>
    <x v="1"/>
    <n v="2.52"/>
    <n v="2.52"/>
    <n v="2.52"/>
    <n v="181.44"/>
    <n v="181.44"/>
    <n v="160.69999999999999"/>
    <n v="160.69999999999999"/>
    <n v="160.69999999999999"/>
    <n v="160.69999999999999"/>
    <x v="1"/>
    <x v="0"/>
    <x v="0"/>
    <n v="0"/>
    <x v="0"/>
  </r>
  <r>
    <x v="5"/>
    <x v="5"/>
    <n v="4"/>
    <x v="2"/>
    <s v="3ºC"/>
    <x v="0"/>
    <s v="Mineral"/>
    <x v="1"/>
    <s v="3 - Parceria"/>
    <n v="30.12"/>
    <n v="30.12"/>
    <n v="0"/>
    <n v="30.12"/>
    <n v="2168.64"/>
    <n v="1204.8"/>
    <n v="0"/>
    <n v="1070.01"/>
    <x v="0"/>
    <x v="11"/>
    <x v="0"/>
    <x v="0"/>
    <x v="1"/>
    <n v="30.12"/>
    <n v="30.12"/>
    <n v="30.12"/>
    <n v="2168.64"/>
    <n v="1204.8"/>
    <n v="1070.01"/>
    <n v="1070.01"/>
    <n v="1070.01"/>
    <n v="1070.01"/>
    <x v="0"/>
    <x v="0"/>
    <x v="0"/>
    <n v="0"/>
    <x v="0"/>
  </r>
  <r>
    <x v="5"/>
    <x v="5"/>
    <n v="5"/>
    <x v="2"/>
    <s v="3ºC"/>
    <x v="0"/>
    <s v="Mineral"/>
    <x v="1"/>
    <s v="3 - Parceria"/>
    <n v="8.0500000000000007"/>
    <n v="8.0500000000000007"/>
    <n v="0"/>
    <n v="8.0500000000000007"/>
    <n v="579.6"/>
    <n v="579.6"/>
    <n v="0"/>
    <n v="515.09"/>
    <x v="0"/>
    <x v="11"/>
    <x v="0"/>
    <x v="0"/>
    <x v="1"/>
    <n v="8.0500000000000007"/>
    <n v="8.0500000000000007"/>
    <n v="8.0500000000000007"/>
    <n v="579.6"/>
    <n v="579.6"/>
    <n v="515.09"/>
    <n v="515.09"/>
    <n v="515.09"/>
    <n v="515.09"/>
    <x v="1"/>
    <x v="0"/>
    <x v="0"/>
    <n v="0"/>
    <x v="0"/>
  </r>
  <r>
    <x v="5"/>
    <x v="5"/>
    <n v="6"/>
    <x v="2"/>
    <s v="3ºC"/>
    <x v="0"/>
    <s v="Mineral"/>
    <x v="1"/>
    <s v="3 - Parceria"/>
    <n v="22.33"/>
    <n v="22.33"/>
    <n v="22.33"/>
    <n v="22.33"/>
    <n v="1607.76"/>
    <n v="1607.76"/>
    <n v="1607.76"/>
    <n v="1175.31"/>
    <x v="0"/>
    <x v="12"/>
    <x v="0"/>
    <x v="0"/>
    <x v="0"/>
    <n v="22.33"/>
    <n v="22.33"/>
    <n v="22.33"/>
    <n v="1607.76"/>
    <n v="1607.76"/>
    <n v="1607.76"/>
    <n v="1175.31"/>
    <n v="1175.31"/>
    <n v="1175.31"/>
    <x v="1"/>
    <x v="0"/>
    <x v="0"/>
    <n v="0"/>
    <x v="0"/>
  </r>
  <r>
    <x v="5"/>
    <x v="5"/>
    <n v="7"/>
    <x v="2"/>
    <s v="3ºC"/>
    <x v="0"/>
    <s v="Mineral"/>
    <x v="1"/>
    <s v="3 - Parceria"/>
    <n v="19.93"/>
    <n v="19.93"/>
    <n v="19.93"/>
    <n v="19.93"/>
    <n v="1434.96"/>
    <n v="1434.96"/>
    <n v="1395.1"/>
    <n v="799.69"/>
    <x v="0"/>
    <x v="12"/>
    <x v="0"/>
    <x v="0"/>
    <x v="0"/>
    <n v="19.93"/>
    <n v="19.93"/>
    <n v="19.93"/>
    <n v="1434.96"/>
    <n v="1434.96"/>
    <n v="1395.1"/>
    <n v="799.69"/>
    <n v="799.69"/>
    <n v="799.69"/>
    <x v="1"/>
    <x v="0"/>
    <x v="0"/>
    <n v="0"/>
    <x v="0"/>
  </r>
  <r>
    <x v="5"/>
    <x v="5"/>
    <n v="8"/>
    <x v="2"/>
    <s v="3ºC"/>
    <x v="0"/>
    <s v="Mineral"/>
    <x v="1"/>
    <s v="3 - Parceria"/>
    <n v="18.79"/>
    <n v="18.79"/>
    <n v="18.79"/>
    <n v="18.79"/>
    <n v="1352.88"/>
    <n v="1352.88"/>
    <n v="1315.3"/>
    <n v="753.83"/>
    <x v="0"/>
    <x v="12"/>
    <x v="0"/>
    <x v="0"/>
    <x v="0"/>
    <n v="18.79"/>
    <n v="18.79"/>
    <n v="18.79"/>
    <n v="1352.88"/>
    <n v="1352.88"/>
    <n v="1315.3"/>
    <n v="753.83"/>
    <n v="753.83"/>
    <n v="753.83"/>
    <x v="1"/>
    <x v="0"/>
    <x v="0"/>
    <n v="0"/>
    <x v="0"/>
  </r>
  <r>
    <x v="5"/>
    <x v="5"/>
    <n v="9"/>
    <x v="2"/>
    <s v="3ºC"/>
    <x v="0"/>
    <s v="Mineral"/>
    <x v="1"/>
    <s v="3 - Parceria"/>
    <n v="3.21"/>
    <n v="3.21"/>
    <n v="3.21"/>
    <n v="3.21"/>
    <n v="231.12"/>
    <n v="231.12"/>
    <n v="224.7"/>
    <n v="129.1"/>
    <x v="0"/>
    <x v="12"/>
    <x v="0"/>
    <x v="0"/>
    <x v="0"/>
    <n v="3.21"/>
    <n v="3.21"/>
    <n v="3.21"/>
    <n v="231.12"/>
    <n v="231.12"/>
    <n v="224.7"/>
    <n v="129.1"/>
    <n v="129.1"/>
    <n v="129.1"/>
    <x v="1"/>
    <x v="0"/>
    <x v="0"/>
    <n v="0"/>
    <x v="0"/>
  </r>
  <r>
    <x v="6"/>
    <x v="6"/>
    <n v="1"/>
    <x v="5"/>
    <s v="2ºC"/>
    <x v="0"/>
    <s v="Mineral"/>
    <x v="6"/>
    <s v="3 - Parceria"/>
    <n v="26.23"/>
    <n v="26.23"/>
    <n v="0"/>
    <n v="26.23"/>
    <n v="2229.5500000000002"/>
    <n v="2360.6999999999998"/>
    <n v="0"/>
    <n v="2361.31"/>
    <x v="0"/>
    <x v="13"/>
    <x v="0"/>
    <x v="0"/>
    <x v="1"/>
    <n v="26.23"/>
    <n v="26.23"/>
    <n v="26.23"/>
    <n v="2229.5500000000002"/>
    <n v="2360.6999999999998"/>
    <n v="2361.31"/>
    <n v="2361.31"/>
    <n v="2361.31"/>
    <n v="2361.31"/>
    <x v="1"/>
    <x v="0"/>
    <x v="0"/>
    <n v="0"/>
    <x v="0"/>
  </r>
  <r>
    <x v="6"/>
    <x v="6"/>
    <n v="2"/>
    <x v="5"/>
    <s v="2ºC"/>
    <x v="0"/>
    <s v="Mineral"/>
    <x v="6"/>
    <s v="3 - Parceria"/>
    <n v="25.94"/>
    <n v="25.94"/>
    <n v="0"/>
    <n v="25.94"/>
    <n v="2204.9"/>
    <n v="2334.6"/>
    <n v="0"/>
    <n v="2335.44"/>
    <x v="0"/>
    <x v="13"/>
    <x v="0"/>
    <x v="0"/>
    <x v="1"/>
    <n v="25.94"/>
    <n v="25.94"/>
    <n v="25.94"/>
    <n v="2204.9"/>
    <n v="2334.6"/>
    <n v="2335.44"/>
    <n v="2335.44"/>
    <n v="2335.44"/>
    <n v="2335.44"/>
    <x v="1"/>
    <x v="0"/>
    <x v="0"/>
    <n v="0"/>
    <x v="0"/>
  </r>
  <r>
    <x v="6"/>
    <x v="6"/>
    <n v="3"/>
    <x v="2"/>
    <s v="3ºC"/>
    <x v="0"/>
    <s v="Mineral"/>
    <x v="6"/>
    <s v="3 - Parceria"/>
    <n v="14.53"/>
    <n v="0"/>
    <n v="0"/>
    <n v="14.53"/>
    <n v="1162.4000000000001"/>
    <n v="0"/>
    <n v="0"/>
    <n v="632.57000000000005"/>
    <x v="0"/>
    <x v="14"/>
    <x v="0"/>
    <x v="1"/>
    <x v="1"/>
    <n v="14.53"/>
    <n v="14.53"/>
    <n v="14.53"/>
    <n v="1162.4000000000001"/>
    <n v="632.57000000000005"/>
    <n v="632.57000000000005"/>
    <n v="632.57000000000005"/>
    <n v="632.57000000000005"/>
    <n v="632.57000000000005"/>
    <x v="1"/>
    <x v="0"/>
    <x v="0"/>
    <n v="0"/>
    <x v="0"/>
  </r>
  <r>
    <x v="6"/>
    <x v="6"/>
    <n v="4"/>
    <x v="2"/>
    <s v="3ºC"/>
    <x v="0"/>
    <s v="Mineral"/>
    <x v="6"/>
    <s v="3 - Parceria"/>
    <n v="13.71"/>
    <n v="0"/>
    <n v="0"/>
    <n v="13.71"/>
    <n v="1096.8"/>
    <n v="0"/>
    <n v="0"/>
    <n v="597.32000000000005"/>
    <x v="0"/>
    <x v="14"/>
    <x v="0"/>
    <x v="1"/>
    <x v="1"/>
    <n v="13.71"/>
    <n v="13.71"/>
    <n v="13.71"/>
    <n v="1096.8"/>
    <n v="597.32000000000005"/>
    <n v="597.32000000000005"/>
    <n v="597.32000000000005"/>
    <n v="597.32000000000005"/>
    <n v="597.32000000000005"/>
    <x v="1"/>
    <x v="0"/>
    <x v="0"/>
    <n v="0"/>
    <x v="0"/>
  </r>
  <r>
    <x v="6"/>
    <x v="6"/>
    <n v="5"/>
    <x v="2"/>
    <s v="3ºC"/>
    <x v="0"/>
    <s v="Mineral"/>
    <x v="6"/>
    <s v="3 - Parceria"/>
    <n v="2.59"/>
    <n v="2.59"/>
    <n v="0"/>
    <n v="2.59"/>
    <n v="207.2"/>
    <n v="207.2"/>
    <n v="0"/>
    <n v="160.57"/>
    <x v="0"/>
    <x v="13"/>
    <x v="0"/>
    <x v="0"/>
    <x v="1"/>
    <n v="2.59"/>
    <n v="2.59"/>
    <n v="2.59"/>
    <n v="207.2"/>
    <n v="207.2"/>
    <n v="160.57"/>
    <n v="160.57"/>
    <n v="160.57"/>
    <n v="160.57"/>
    <x v="1"/>
    <x v="0"/>
    <x v="0"/>
    <n v="0"/>
    <x v="0"/>
  </r>
  <r>
    <x v="6"/>
    <x v="6"/>
    <n v="6"/>
    <x v="5"/>
    <s v="2ºC"/>
    <x v="0"/>
    <s v="Mineral"/>
    <x v="6"/>
    <s v="3 - Parceria"/>
    <n v="64.849999999999994"/>
    <n v="64.849999999999994"/>
    <n v="0"/>
    <n v="64.849999999999994"/>
    <n v="5706.8"/>
    <n v="5836.5"/>
    <n v="0"/>
    <n v="7275.48"/>
    <x v="0"/>
    <x v="13"/>
    <x v="0"/>
    <x v="0"/>
    <x v="1"/>
    <n v="64.849999999999994"/>
    <n v="64.849999999999994"/>
    <n v="64.849999999999994"/>
    <n v="5706.8"/>
    <n v="5836.5"/>
    <n v="7275.48"/>
    <n v="7275.48"/>
    <n v="7275.48"/>
    <n v="7275.48"/>
    <x v="1"/>
    <x v="0"/>
    <x v="0"/>
    <n v="0"/>
    <x v="0"/>
  </r>
  <r>
    <x v="6"/>
    <x v="6"/>
    <n v="7"/>
    <x v="5"/>
    <s v="2ºC"/>
    <x v="0"/>
    <s v="Mineral"/>
    <x v="6"/>
    <s v="3 - Parceria"/>
    <n v="35.35"/>
    <n v="35.35"/>
    <n v="0"/>
    <n v="35.35"/>
    <n v="3110.8"/>
    <n v="3181.5"/>
    <n v="0"/>
    <n v="3473.68"/>
    <x v="0"/>
    <x v="13"/>
    <x v="0"/>
    <x v="0"/>
    <x v="1"/>
    <n v="35.35"/>
    <n v="35.35"/>
    <n v="35.35"/>
    <n v="3110.8"/>
    <n v="3181.5"/>
    <n v="3473.68"/>
    <n v="3473.68"/>
    <n v="3473.68"/>
    <n v="3473.68"/>
    <x v="0"/>
    <x v="0"/>
    <x v="0"/>
    <n v="0"/>
    <x v="0"/>
  </r>
  <r>
    <x v="6"/>
    <x v="6"/>
    <n v="8"/>
    <x v="5"/>
    <s v="2ºC"/>
    <x v="0"/>
    <s v="Mineral"/>
    <x v="6"/>
    <s v="3 - Parceria"/>
    <n v="3.13"/>
    <n v="3.13"/>
    <n v="0"/>
    <n v="3.13"/>
    <n v="275.44"/>
    <n v="281.7"/>
    <n v="0"/>
    <n v="307.64"/>
    <x v="0"/>
    <x v="13"/>
    <x v="0"/>
    <x v="0"/>
    <x v="1"/>
    <n v="3.13"/>
    <n v="3.13"/>
    <n v="3.13"/>
    <n v="275.44"/>
    <n v="281.7"/>
    <n v="307.64"/>
    <n v="307.64"/>
    <n v="307.64"/>
    <n v="307.64"/>
    <x v="0"/>
    <x v="0"/>
    <x v="0"/>
    <n v="0"/>
    <x v="0"/>
  </r>
  <r>
    <x v="6"/>
    <x v="6"/>
    <n v="12"/>
    <x v="2"/>
    <s v="3ºC"/>
    <x v="0"/>
    <s v="Mineral"/>
    <x v="6"/>
    <s v="3 - Parceria"/>
    <n v="0.86"/>
    <n v="0.86"/>
    <n v="0"/>
    <n v="0.86"/>
    <n v="75.680000000000007"/>
    <n v="76.540000000000006"/>
    <n v="0"/>
    <n v="85.28"/>
    <x v="0"/>
    <x v="13"/>
    <x v="0"/>
    <x v="0"/>
    <x v="1"/>
    <n v="0.86"/>
    <n v="0.86"/>
    <n v="0.86"/>
    <n v="75.680000000000007"/>
    <n v="76.540000000000006"/>
    <n v="85.28"/>
    <n v="85.28"/>
    <n v="85.28"/>
    <n v="85.28"/>
    <x v="1"/>
    <x v="0"/>
    <x v="0"/>
    <n v="0"/>
    <x v="0"/>
  </r>
  <r>
    <x v="6"/>
    <x v="6"/>
    <n v="16"/>
    <x v="2"/>
    <s v="3ºC"/>
    <x v="0"/>
    <s v="Mineral"/>
    <x v="6"/>
    <s v="3 - Parceria"/>
    <n v="2.58"/>
    <n v="2.58"/>
    <n v="0"/>
    <n v="2.58"/>
    <n v="227.04"/>
    <n v="229.62"/>
    <n v="0"/>
    <n v="229.77"/>
    <x v="0"/>
    <x v="8"/>
    <x v="0"/>
    <x v="0"/>
    <x v="1"/>
    <n v="2.58"/>
    <n v="2.58"/>
    <n v="2.58"/>
    <n v="227.04"/>
    <n v="229.62"/>
    <n v="229.77"/>
    <n v="229.77"/>
    <n v="229.77"/>
    <n v="229.77"/>
    <x v="1"/>
    <x v="0"/>
    <x v="0"/>
    <n v="0"/>
    <x v="0"/>
  </r>
  <r>
    <x v="6"/>
    <x v="6"/>
    <n v="17"/>
    <x v="2"/>
    <s v="3ºC"/>
    <x v="0"/>
    <s v="Mineral"/>
    <x v="6"/>
    <s v="3 - Parceria"/>
    <n v="3.34"/>
    <n v="3.34"/>
    <n v="0"/>
    <n v="3.34"/>
    <n v="293.92"/>
    <n v="297.26"/>
    <n v="0"/>
    <n v="296.73"/>
    <x v="0"/>
    <x v="8"/>
    <x v="0"/>
    <x v="0"/>
    <x v="1"/>
    <n v="3.34"/>
    <n v="3.34"/>
    <n v="3.34"/>
    <n v="293.92"/>
    <n v="297.26"/>
    <n v="296.73"/>
    <n v="296.73"/>
    <n v="296.73"/>
    <n v="296.73"/>
    <x v="1"/>
    <x v="0"/>
    <x v="0"/>
    <n v="0"/>
    <x v="0"/>
  </r>
  <r>
    <x v="6"/>
    <x v="6"/>
    <n v="18"/>
    <x v="0"/>
    <s v="6ºC"/>
    <x v="0"/>
    <s v="Mineral"/>
    <x v="7"/>
    <s v="3 - Parceria"/>
    <n v="10.82"/>
    <n v="0"/>
    <n v="0"/>
    <n v="10.82"/>
    <n v="486.9"/>
    <n v="0"/>
    <n v="0"/>
    <n v="535.82000000000005"/>
    <x v="0"/>
    <x v="14"/>
    <x v="0"/>
    <x v="1"/>
    <x v="1"/>
    <n v="10.82"/>
    <n v="10.82"/>
    <n v="10.82"/>
    <n v="486.9"/>
    <n v="535.82000000000005"/>
    <n v="535.82000000000005"/>
    <n v="535.82000000000005"/>
    <n v="535.82000000000005"/>
    <n v="535.82000000000005"/>
    <x v="1"/>
    <x v="0"/>
    <x v="0"/>
    <n v="0"/>
    <x v="0"/>
  </r>
  <r>
    <x v="6"/>
    <x v="6"/>
    <n v="19"/>
    <x v="0"/>
    <s v="6ºC"/>
    <x v="0"/>
    <s v="Mineral"/>
    <x v="7"/>
    <s v="3 - Parceria"/>
    <n v="9.0500000000000007"/>
    <n v="0"/>
    <n v="0"/>
    <n v="9.0500000000000007"/>
    <n v="407.25"/>
    <n v="0"/>
    <n v="0"/>
    <n v="448.61"/>
    <x v="0"/>
    <x v="14"/>
    <x v="0"/>
    <x v="1"/>
    <x v="1"/>
    <n v="9.0500000000000007"/>
    <n v="9.0500000000000007"/>
    <n v="9.0500000000000007"/>
    <n v="407.25"/>
    <n v="448.61"/>
    <n v="448.61"/>
    <n v="448.61"/>
    <n v="448.61"/>
    <n v="448.61"/>
    <x v="1"/>
    <x v="0"/>
    <x v="0"/>
    <n v="0"/>
    <x v="0"/>
  </r>
  <r>
    <x v="6"/>
    <x v="6"/>
    <n v="20"/>
    <x v="0"/>
    <s v="6ºC"/>
    <x v="0"/>
    <s v="Mineral"/>
    <x v="7"/>
    <s v="3 - Parceria"/>
    <n v="21.65"/>
    <n v="0"/>
    <n v="0"/>
    <n v="21.65"/>
    <n v="974.25"/>
    <n v="0"/>
    <n v="0"/>
    <n v="1071.82"/>
    <x v="0"/>
    <x v="14"/>
    <x v="0"/>
    <x v="1"/>
    <x v="1"/>
    <n v="21.65"/>
    <n v="21.65"/>
    <n v="21.65"/>
    <n v="974.25"/>
    <n v="1071.82"/>
    <n v="1071.82"/>
    <n v="1071.82"/>
    <n v="1071.82"/>
    <n v="1071.82"/>
    <x v="1"/>
    <x v="0"/>
    <x v="0"/>
    <n v="0"/>
    <x v="0"/>
  </r>
  <r>
    <x v="6"/>
    <x v="6"/>
    <n v="21"/>
    <x v="0"/>
    <s v="6ºC"/>
    <x v="0"/>
    <s v="Mineral"/>
    <x v="6"/>
    <s v="3 - Parceria"/>
    <n v="6.28"/>
    <n v="0"/>
    <n v="0"/>
    <n v="6.28"/>
    <n v="282.60000000000002"/>
    <n v="0"/>
    <n v="0"/>
    <n v="311.29000000000002"/>
    <x v="0"/>
    <x v="14"/>
    <x v="0"/>
    <x v="1"/>
    <x v="1"/>
    <n v="6.28"/>
    <n v="6.28"/>
    <n v="6.28"/>
    <n v="282.60000000000002"/>
    <n v="311.29000000000002"/>
    <n v="311.29000000000002"/>
    <n v="311.29000000000002"/>
    <n v="311.29000000000002"/>
    <n v="311.29000000000002"/>
    <x v="1"/>
    <x v="0"/>
    <x v="0"/>
    <n v="0"/>
    <x v="0"/>
  </r>
  <r>
    <x v="6"/>
    <x v="6"/>
    <n v="22"/>
    <x v="0"/>
    <s v="6ºC"/>
    <x v="0"/>
    <s v="Mineral"/>
    <x v="6"/>
    <s v="3 - Parceria"/>
    <n v="5.98"/>
    <n v="0"/>
    <n v="0"/>
    <n v="5.98"/>
    <n v="269.10000000000002"/>
    <n v="0"/>
    <n v="0"/>
    <n v="296.13"/>
    <x v="0"/>
    <x v="14"/>
    <x v="0"/>
    <x v="1"/>
    <x v="1"/>
    <n v="5.98"/>
    <n v="5.98"/>
    <n v="5.98"/>
    <n v="269.10000000000002"/>
    <n v="296.13"/>
    <n v="296.13"/>
    <n v="296.13"/>
    <n v="296.13"/>
    <n v="296.13"/>
    <x v="1"/>
    <x v="0"/>
    <x v="0"/>
    <n v="0"/>
    <x v="0"/>
  </r>
  <r>
    <x v="6"/>
    <x v="6"/>
    <n v="23"/>
    <x v="0"/>
    <s v="6ºC"/>
    <x v="0"/>
    <s v="Mineral"/>
    <x v="6"/>
    <s v="3 - Parceria"/>
    <n v="4.47"/>
    <n v="0"/>
    <n v="0"/>
    <n v="4.47"/>
    <n v="201.15"/>
    <n v="0"/>
    <n v="0"/>
    <n v="221.51"/>
    <x v="0"/>
    <x v="14"/>
    <x v="0"/>
    <x v="1"/>
    <x v="1"/>
    <n v="4.47"/>
    <n v="4.47"/>
    <n v="4.47"/>
    <n v="201.15"/>
    <n v="221.51"/>
    <n v="221.51"/>
    <n v="221.51"/>
    <n v="221.51"/>
    <n v="221.51"/>
    <x v="1"/>
    <x v="0"/>
    <x v="0"/>
    <n v="0"/>
    <x v="0"/>
  </r>
  <r>
    <x v="6"/>
    <x v="6"/>
    <n v="24"/>
    <x v="0"/>
    <s v="6ºC"/>
    <x v="0"/>
    <s v="Mineral"/>
    <x v="6"/>
    <s v="3 - Parceria"/>
    <n v="39.4"/>
    <n v="0"/>
    <n v="0"/>
    <n v="39.4"/>
    <n v="1694.2"/>
    <n v="0"/>
    <n v="0"/>
    <n v="1864.29"/>
    <x v="0"/>
    <x v="14"/>
    <x v="0"/>
    <x v="1"/>
    <x v="1"/>
    <n v="39.4"/>
    <n v="39.4"/>
    <n v="39.4"/>
    <n v="1694.2"/>
    <n v="1864.29"/>
    <n v="1864.29"/>
    <n v="1864.29"/>
    <n v="1864.29"/>
    <n v="1864.29"/>
    <x v="1"/>
    <x v="0"/>
    <x v="0"/>
    <n v="0"/>
    <x v="0"/>
  </r>
  <r>
    <x v="6"/>
    <x v="6"/>
    <n v="25"/>
    <x v="0"/>
    <s v="6ºC"/>
    <x v="0"/>
    <s v="Mineral"/>
    <x v="8"/>
    <s v="3 - Parceria"/>
    <n v="22.68"/>
    <n v="0"/>
    <n v="0"/>
    <n v="22.68"/>
    <n v="975.24"/>
    <n v="0"/>
    <n v="0"/>
    <n v="1073.45"/>
    <x v="0"/>
    <x v="14"/>
    <x v="0"/>
    <x v="1"/>
    <x v="1"/>
    <n v="22.68"/>
    <n v="22.68"/>
    <n v="22.68"/>
    <n v="975.24"/>
    <n v="1073.45"/>
    <n v="1073.45"/>
    <n v="1073.45"/>
    <n v="1073.45"/>
    <n v="1073.45"/>
    <x v="1"/>
    <x v="0"/>
    <x v="0"/>
    <n v="0"/>
    <x v="0"/>
  </r>
  <r>
    <x v="6"/>
    <x v="6"/>
    <n v="26"/>
    <x v="0"/>
    <s v="6ºC"/>
    <x v="0"/>
    <s v="Mineral"/>
    <x v="8"/>
    <s v="3 - Parceria"/>
    <n v="21.18"/>
    <n v="0"/>
    <n v="0"/>
    <n v="21.18"/>
    <n v="910.74"/>
    <n v="0"/>
    <n v="0"/>
    <n v="1002.56"/>
    <x v="0"/>
    <x v="14"/>
    <x v="0"/>
    <x v="1"/>
    <x v="1"/>
    <n v="21.18"/>
    <n v="21.18"/>
    <n v="21.18"/>
    <n v="910.74"/>
    <n v="1002.56"/>
    <n v="1002.56"/>
    <n v="1002.56"/>
    <n v="1002.56"/>
    <n v="1002.56"/>
    <x v="1"/>
    <x v="0"/>
    <x v="0"/>
    <n v="0"/>
    <x v="0"/>
  </r>
  <r>
    <x v="6"/>
    <x v="6"/>
    <n v="27"/>
    <x v="0"/>
    <s v="6ºC"/>
    <x v="0"/>
    <s v="Mineral"/>
    <x v="8"/>
    <s v="3 - Parceria"/>
    <n v="16.420000000000002"/>
    <n v="0"/>
    <n v="0"/>
    <n v="16.420000000000002"/>
    <n v="706.06"/>
    <n v="0"/>
    <n v="0"/>
    <n v="777.12"/>
    <x v="0"/>
    <x v="14"/>
    <x v="0"/>
    <x v="1"/>
    <x v="1"/>
    <n v="16.420000000000002"/>
    <n v="16.420000000000002"/>
    <n v="16.420000000000002"/>
    <n v="706.06"/>
    <n v="777.12"/>
    <n v="777.12"/>
    <n v="777.12"/>
    <n v="777.12"/>
    <n v="777.12"/>
    <x v="1"/>
    <x v="0"/>
    <x v="0"/>
    <n v="0"/>
    <x v="0"/>
  </r>
  <r>
    <x v="6"/>
    <x v="6"/>
    <n v="28"/>
    <x v="0"/>
    <s v="6ºC"/>
    <x v="0"/>
    <s v="Mineral"/>
    <x v="8"/>
    <s v="3 - Parceria"/>
    <n v="18.39"/>
    <n v="0"/>
    <n v="0"/>
    <n v="18.39"/>
    <n v="1195.3499999999999"/>
    <n v="0"/>
    <n v="0"/>
    <n v="1315.68"/>
    <x v="0"/>
    <x v="14"/>
    <x v="0"/>
    <x v="1"/>
    <x v="1"/>
    <n v="18.39"/>
    <n v="18.39"/>
    <n v="18.39"/>
    <n v="1195.3499999999999"/>
    <n v="1315.68"/>
    <n v="1315.68"/>
    <n v="1315.68"/>
    <n v="1315.68"/>
    <n v="1315.68"/>
    <x v="1"/>
    <x v="0"/>
    <x v="0"/>
    <n v="0"/>
    <x v="0"/>
  </r>
  <r>
    <x v="6"/>
    <x v="6"/>
    <n v="29"/>
    <x v="0"/>
    <s v="6ºC"/>
    <x v="0"/>
    <s v="Mineral"/>
    <x v="8"/>
    <s v="3 - Parceria"/>
    <n v="28.4"/>
    <n v="0"/>
    <n v="0"/>
    <n v="28.4"/>
    <n v="1846"/>
    <n v="0"/>
    <n v="0"/>
    <n v="2031.91"/>
    <x v="0"/>
    <x v="14"/>
    <x v="0"/>
    <x v="1"/>
    <x v="1"/>
    <n v="28.4"/>
    <n v="28.4"/>
    <n v="28.4"/>
    <n v="1846"/>
    <n v="2031.91"/>
    <n v="2031.91"/>
    <n v="2031.91"/>
    <n v="2031.91"/>
    <n v="2031.91"/>
    <x v="1"/>
    <x v="0"/>
    <x v="0"/>
    <n v="0"/>
    <x v="0"/>
  </r>
  <r>
    <x v="6"/>
    <x v="6"/>
    <n v="30"/>
    <x v="0"/>
    <s v="6ºC"/>
    <x v="0"/>
    <s v="Mineral"/>
    <x v="8"/>
    <s v="3 - Parceria"/>
    <n v="26.03"/>
    <n v="0"/>
    <n v="0"/>
    <n v="26.03"/>
    <n v="1691.95"/>
    <n v="0"/>
    <n v="0"/>
    <n v="1862.41"/>
    <x v="0"/>
    <x v="14"/>
    <x v="0"/>
    <x v="1"/>
    <x v="1"/>
    <n v="26.03"/>
    <n v="26.03"/>
    <n v="26.03"/>
    <n v="1691.95"/>
    <n v="1862.41"/>
    <n v="1862.41"/>
    <n v="1862.41"/>
    <n v="1862.41"/>
    <n v="1862.41"/>
    <x v="1"/>
    <x v="0"/>
    <x v="0"/>
    <n v="0"/>
    <x v="0"/>
  </r>
  <r>
    <x v="6"/>
    <x v="6"/>
    <n v="31"/>
    <x v="0"/>
    <s v="6ºC"/>
    <x v="0"/>
    <s v="Mineral"/>
    <x v="8"/>
    <s v="3 - Parceria"/>
    <n v="11.49"/>
    <n v="0"/>
    <n v="0"/>
    <n v="11.49"/>
    <n v="746.85"/>
    <n v="0"/>
    <n v="0"/>
    <n v="823.77"/>
    <x v="0"/>
    <x v="14"/>
    <x v="0"/>
    <x v="1"/>
    <x v="1"/>
    <n v="11.49"/>
    <n v="11.49"/>
    <n v="11.49"/>
    <n v="746.85"/>
    <n v="823.77"/>
    <n v="823.77"/>
    <n v="823.77"/>
    <n v="823.77"/>
    <n v="823.77"/>
    <x v="1"/>
    <x v="0"/>
    <x v="0"/>
    <n v="0"/>
    <x v="0"/>
  </r>
  <r>
    <x v="6"/>
    <x v="6"/>
    <n v="61"/>
    <x v="2"/>
    <s v="3ºC"/>
    <x v="0"/>
    <s v="Mineral"/>
    <x v="6"/>
    <s v="3 - Parceria"/>
    <n v="11.86"/>
    <n v="11.86"/>
    <n v="0"/>
    <n v="11.86"/>
    <n v="1008.1"/>
    <n v="1043.68"/>
    <n v="0"/>
    <n v="1043.25"/>
    <x v="0"/>
    <x v="8"/>
    <x v="0"/>
    <x v="0"/>
    <x v="1"/>
    <n v="11.86"/>
    <n v="11.86"/>
    <n v="11.86"/>
    <n v="1008.1"/>
    <n v="1043.68"/>
    <n v="1043.25"/>
    <n v="1043.25"/>
    <n v="1043.25"/>
    <n v="1043.25"/>
    <x v="1"/>
    <x v="0"/>
    <x v="0"/>
    <n v="0"/>
    <x v="0"/>
  </r>
  <r>
    <x v="6"/>
    <x v="6"/>
    <n v="62"/>
    <x v="2"/>
    <s v="3ºC"/>
    <x v="0"/>
    <s v="Mineral"/>
    <x v="6"/>
    <s v="3 - Parceria"/>
    <n v="9.1"/>
    <n v="9.1"/>
    <n v="0"/>
    <n v="9.1"/>
    <n v="773.5"/>
    <n v="809.9"/>
    <n v="0"/>
    <n v="809.41"/>
    <x v="0"/>
    <x v="8"/>
    <x v="0"/>
    <x v="0"/>
    <x v="1"/>
    <n v="9.1"/>
    <n v="9.1"/>
    <n v="9.1"/>
    <n v="773.5"/>
    <n v="809.9"/>
    <n v="809.41"/>
    <n v="809.41"/>
    <n v="809.41"/>
    <n v="809.41"/>
    <x v="1"/>
    <x v="0"/>
    <x v="0"/>
    <n v="0"/>
    <x v="0"/>
  </r>
  <r>
    <x v="6"/>
    <x v="6"/>
    <n v="63"/>
    <x v="2"/>
    <s v="3ºC"/>
    <x v="0"/>
    <s v="Mineral"/>
    <x v="6"/>
    <s v="3 - Parceria"/>
    <n v="5.74"/>
    <n v="5.74"/>
    <n v="0"/>
    <n v="5.74"/>
    <n v="487.9"/>
    <n v="510.86"/>
    <n v="0"/>
    <n v="510.6"/>
    <x v="0"/>
    <x v="8"/>
    <x v="0"/>
    <x v="0"/>
    <x v="1"/>
    <n v="5.74"/>
    <n v="5.74"/>
    <n v="5.74"/>
    <n v="487.9"/>
    <n v="510.86"/>
    <n v="510.6"/>
    <n v="510.6"/>
    <n v="510.6"/>
    <n v="510.6"/>
    <x v="1"/>
    <x v="0"/>
    <x v="0"/>
    <n v="0"/>
    <x v="0"/>
  </r>
  <r>
    <x v="6"/>
    <x v="6"/>
    <n v="64"/>
    <x v="2"/>
    <s v="3ºC"/>
    <x v="0"/>
    <s v="Mineral"/>
    <x v="6"/>
    <s v="3 - Parceria"/>
    <n v="9.18"/>
    <n v="9.18"/>
    <n v="0"/>
    <n v="9.18"/>
    <n v="780.3"/>
    <n v="817.02"/>
    <n v="0"/>
    <n v="816.4"/>
    <x v="0"/>
    <x v="8"/>
    <x v="0"/>
    <x v="0"/>
    <x v="1"/>
    <n v="9.18"/>
    <n v="9.18"/>
    <n v="9.18"/>
    <n v="780.3"/>
    <n v="817.02"/>
    <n v="816.4"/>
    <n v="816.4"/>
    <n v="816.4"/>
    <n v="816.4"/>
    <x v="1"/>
    <x v="0"/>
    <x v="0"/>
    <n v="0"/>
    <x v="0"/>
  </r>
  <r>
    <x v="6"/>
    <x v="6"/>
    <n v="65"/>
    <x v="2"/>
    <s v="3ºC"/>
    <x v="0"/>
    <s v="Mineral"/>
    <x v="6"/>
    <s v="3 - Parceria"/>
    <n v="8.27"/>
    <n v="8.27"/>
    <n v="0"/>
    <n v="8.27"/>
    <n v="702.95"/>
    <n v="736.03"/>
    <n v="0"/>
    <n v="735.44"/>
    <x v="0"/>
    <x v="8"/>
    <x v="0"/>
    <x v="0"/>
    <x v="1"/>
    <n v="8.27"/>
    <n v="8.27"/>
    <n v="8.27"/>
    <n v="702.95"/>
    <n v="736.03"/>
    <n v="735.44"/>
    <n v="735.44"/>
    <n v="735.44"/>
    <n v="735.44"/>
    <x v="1"/>
    <x v="0"/>
    <x v="0"/>
    <n v="0"/>
    <x v="0"/>
  </r>
  <r>
    <x v="6"/>
    <x v="6"/>
    <n v="66"/>
    <x v="2"/>
    <s v="3ºC"/>
    <x v="0"/>
    <s v="Mineral"/>
    <x v="6"/>
    <s v="3 - Parceria"/>
    <n v="7.67"/>
    <n v="7.67"/>
    <n v="0"/>
    <n v="7.67"/>
    <n v="651.95000000000005"/>
    <n v="682.63"/>
    <n v="0"/>
    <n v="682.49"/>
    <x v="0"/>
    <x v="8"/>
    <x v="0"/>
    <x v="0"/>
    <x v="1"/>
    <n v="7.67"/>
    <n v="7.67"/>
    <n v="7.67"/>
    <n v="651.95000000000005"/>
    <n v="682.63"/>
    <n v="682.49"/>
    <n v="682.49"/>
    <n v="682.49"/>
    <n v="682.49"/>
    <x v="1"/>
    <x v="0"/>
    <x v="0"/>
    <n v="0"/>
    <x v="0"/>
  </r>
  <r>
    <x v="6"/>
    <x v="6"/>
    <n v="67"/>
    <x v="2"/>
    <s v="3ºC"/>
    <x v="0"/>
    <s v="Mineral"/>
    <x v="6"/>
    <s v="3 - Parceria"/>
    <n v="2.71"/>
    <n v="2.71"/>
    <n v="0"/>
    <n v="2.71"/>
    <n v="222.22"/>
    <n v="238.48"/>
    <n v="0"/>
    <n v="237.76"/>
    <x v="0"/>
    <x v="8"/>
    <x v="0"/>
    <x v="0"/>
    <x v="1"/>
    <n v="2.71"/>
    <n v="2.71"/>
    <n v="2.71"/>
    <n v="222.22"/>
    <n v="238.48"/>
    <n v="237.76"/>
    <n v="237.76"/>
    <n v="237.76"/>
    <n v="237.76"/>
    <x v="1"/>
    <x v="0"/>
    <x v="0"/>
    <n v="0"/>
    <x v="0"/>
  </r>
  <r>
    <x v="6"/>
    <x v="6"/>
    <n v="68"/>
    <x v="2"/>
    <s v="3ºC"/>
    <x v="0"/>
    <s v="Mineral"/>
    <x v="6"/>
    <s v="3 - Parceria"/>
    <n v="2.09"/>
    <n v="2.09"/>
    <n v="0"/>
    <n v="2.09"/>
    <n v="171.38"/>
    <n v="179.74"/>
    <n v="0"/>
    <n v="179.8"/>
    <x v="0"/>
    <x v="8"/>
    <x v="0"/>
    <x v="0"/>
    <x v="1"/>
    <n v="2.09"/>
    <n v="2.09"/>
    <n v="2.09"/>
    <n v="171.38"/>
    <n v="179.74"/>
    <n v="179.8"/>
    <n v="179.8"/>
    <n v="179.8"/>
    <n v="179.8"/>
    <x v="1"/>
    <x v="0"/>
    <x v="0"/>
    <n v="0"/>
    <x v="0"/>
  </r>
  <r>
    <x v="6"/>
    <x v="6"/>
    <n v="69"/>
    <x v="2"/>
    <s v="3ºC"/>
    <x v="0"/>
    <s v="Mineral"/>
    <x v="6"/>
    <s v="3 - Parceria"/>
    <n v="4.29"/>
    <n v="4.29"/>
    <n v="0"/>
    <n v="4.29"/>
    <n v="351.78"/>
    <n v="368.94"/>
    <n v="0"/>
    <n v="368.68"/>
    <x v="0"/>
    <x v="8"/>
    <x v="0"/>
    <x v="0"/>
    <x v="1"/>
    <n v="4.29"/>
    <n v="4.29"/>
    <n v="4.29"/>
    <n v="351.78"/>
    <n v="368.94"/>
    <n v="368.68"/>
    <n v="368.68"/>
    <n v="368.68"/>
    <n v="368.68"/>
    <x v="1"/>
    <x v="0"/>
    <x v="0"/>
    <n v="0"/>
    <x v="0"/>
  </r>
  <r>
    <x v="6"/>
    <x v="6"/>
    <n v="70"/>
    <x v="2"/>
    <s v="3ºC"/>
    <x v="0"/>
    <s v="Mineral"/>
    <x v="6"/>
    <s v="3 - Parceria"/>
    <n v="2.57"/>
    <n v="2.57"/>
    <n v="0"/>
    <n v="2.57"/>
    <n v="197.89"/>
    <n v="205.6"/>
    <n v="0"/>
    <n v="206.84"/>
    <x v="0"/>
    <x v="8"/>
    <x v="0"/>
    <x v="0"/>
    <x v="1"/>
    <n v="2.57"/>
    <n v="2.57"/>
    <n v="2.57"/>
    <n v="197.89"/>
    <n v="205.6"/>
    <n v="206.84"/>
    <n v="206.84"/>
    <n v="206.84"/>
    <n v="206.84"/>
    <x v="1"/>
    <x v="0"/>
    <x v="0"/>
    <n v="0"/>
    <x v="0"/>
  </r>
  <r>
    <x v="7"/>
    <x v="7"/>
    <n v="1"/>
    <x v="2"/>
    <s v="3ºC"/>
    <x v="0"/>
    <s v="Mineral"/>
    <x v="4"/>
    <s v="3 - Parceria"/>
    <n v="3.81"/>
    <n v="3.81"/>
    <n v="3.81"/>
    <n v="3.81"/>
    <n v="297.18"/>
    <n v="297.18"/>
    <n v="228.6"/>
    <n v="98.19"/>
    <x v="0"/>
    <x v="0"/>
    <x v="0"/>
    <x v="0"/>
    <x v="0"/>
    <n v="3.81"/>
    <n v="3.81"/>
    <n v="3.81"/>
    <n v="297.18"/>
    <n v="297.18"/>
    <n v="228.6"/>
    <n v="98.19"/>
    <n v="98.19"/>
    <n v="98.19"/>
    <x v="1"/>
    <x v="0"/>
    <x v="0"/>
    <n v="0"/>
    <x v="0"/>
  </r>
  <r>
    <x v="7"/>
    <x v="7"/>
    <n v="2"/>
    <x v="2"/>
    <s v="3ºC"/>
    <x v="0"/>
    <s v="Mineral"/>
    <x v="4"/>
    <s v="3 - Parceria"/>
    <n v="15.86"/>
    <n v="0"/>
    <n v="0"/>
    <n v="15.86"/>
    <n v="1141.92"/>
    <n v="0"/>
    <n v="0"/>
    <n v="1102.8"/>
    <x v="0"/>
    <x v="15"/>
    <x v="0"/>
    <x v="1"/>
    <x v="1"/>
    <n v="15.86"/>
    <n v="15.86"/>
    <n v="15.86"/>
    <n v="1141.92"/>
    <n v="1102.8"/>
    <n v="1102.8"/>
    <n v="1102.8"/>
    <n v="1102.8"/>
    <n v="1102.8"/>
    <x v="1"/>
    <x v="0"/>
    <x v="0"/>
    <n v="0"/>
    <x v="0"/>
  </r>
  <r>
    <x v="7"/>
    <x v="7"/>
    <n v="3"/>
    <x v="2"/>
    <s v="3ºC"/>
    <x v="0"/>
    <s v="Mineral"/>
    <x v="4"/>
    <s v="3 - Parceria"/>
    <n v="26.39"/>
    <n v="0"/>
    <n v="0"/>
    <n v="26.39"/>
    <n v="1900.08"/>
    <n v="0"/>
    <n v="0"/>
    <n v="1834.84"/>
    <x v="0"/>
    <x v="15"/>
    <x v="0"/>
    <x v="1"/>
    <x v="1"/>
    <n v="26.39"/>
    <n v="26.39"/>
    <n v="26.39"/>
    <n v="1900.08"/>
    <n v="1834.84"/>
    <n v="1834.84"/>
    <n v="1834.84"/>
    <n v="1834.84"/>
    <n v="1834.84"/>
    <x v="1"/>
    <x v="0"/>
    <x v="0"/>
    <n v="0"/>
    <x v="0"/>
  </r>
  <r>
    <x v="7"/>
    <x v="7"/>
    <n v="4"/>
    <x v="2"/>
    <s v="3ºC"/>
    <x v="0"/>
    <s v="Mineral"/>
    <x v="4"/>
    <s v="3 - Parceria"/>
    <n v="9.4600000000000009"/>
    <n v="0"/>
    <n v="0"/>
    <n v="9.4600000000000009"/>
    <n v="681.12"/>
    <n v="0"/>
    <n v="0"/>
    <n v="657.59"/>
    <x v="0"/>
    <x v="15"/>
    <x v="0"/>
    <x v="1"/>
    <x v="1"/>
    <n v="9.4600000000000009"/>
    <n v="9.4600000000000009"/>
    <n v="9.4600000000000009"/>
    <n v="681.12"/>
    <n v="657.59"/>
    <n v="657.59"/>
    <n v="657.59"/>
    <n v="657.59"/>
    <n v="657.59"/>
    <x v="1"/>
    <x v="0"/>
    <x v="0"/>
    <n v="0"/>
    <x v="0"/>
  </r>
  <r>
    <x v="7"/>
    <x v="7"/>
    <n v="5"/>
    <x v="2"/>
    <s v="3ºC"/>
    <x v="0"/>
    <s v="Mineral"/>
    <x v="4"/>
    <s v="3 - Parceria"/>
    <n v="2.0299999999999998"/>
    <n v="0"/>
    <n v="0"/>
    <n v="2.0299999999999998"/>
    <n v="146.16"/>
    <n v="0"/>
    <n v="0"/>
    <n v="140.9"/>
    <x v="0"/>
    <x v="15"/>
    <x v="0"/>
    <x v="1"/>
    <x v="1"/>
    <n v="2.0299999999999998"/>
    <n v="2.0299999999999998"/>
    <n v="2.0299999999999998"/>
    <n v="146.16"/>
    <n v="140.9"/>
    <n v="140.9"/>
    <n v="140.9"/>
    <n v="140.9"/>
    <n v="140.9"/>
    <x v="1"/>
    <x v="0"/>
    <x v="0"/>
    <n v="0"/>
    <x v="0"/>
  </r>
  <r>
    <x v="7"/>
    <x v="7"/>
    <n v="6"/>
    <x v="5"/>
    <s v="2ºC"/>
    <x v="0"/>
    <s v="Mineral"/>
    <x v="4"/>
    <s v="3 - Parceria"/>
    <n v="14.54"/>
    <n v="0"/>
    <n v="0"/>
    <n v="14.54"/>
    <n v="1163.2"/>
    <n v="0"/>
    <n v="0"/>
    <n v="1123.07"/>
    <x v="0"/>
    <x v="15"/>
    <x v="0"/>
    <x v="1"/>
    <x v="1"/>
    <n v="14.54"/>
    <n v="14.54"/>
    <n v="14.54"/>
    <n v="1163.2"/>
    <n v="1123.07"/>
    <n v="1123.07"/>
    <n v="1123.07"/>
    <n v="1123.07"/>
    <n v="1123.07"/>
    <x v="1"/>
    <x v="0"/>
    <x v="0"/>
    <n v="0"/>
    <x v="0"/>
  </r>
  <r>
    <x v="7"/>
    <x v="7"/>
    <n v="7"/>
    <x v="5"/>
    <s v="2ºC"/>
    <x v="0"/>
    <s v="Mineral"/>
    <x v="4"/>
    <s v="3 - Parceria"/>
    <n v="15.68"/>
    <n v="0"/>
    <n v="0"/>
    <n v="15.68"/>
    <n v="1254.4000000000001"/>
    <n v="0"/>
    <n v="0"/>
    <n v="1211.53"/>
    <x v="0"/>
    <x v="15"/>
    <x v="0"/>
    <x v="1"/>
    <x v="1"/>
    <n v="15.68"/>
    <n v="15.68"/>
    <n v="15.68"/>
    <n v="1254.4000000000001"/>
    <n v="1211.53"/>
    <n v="1211.53"/>
    <n v="1211.53"/>
    <n v="1211.53"/>
    <n v="1211.53"/>
    <x v="1"/>
    <x v="0"/>
    <x v="0"/>
    <n v="0"/>
    <x v="0"/>
  </r>
  <r>
    <x v="7"/>
    <x v="7"/>
    <n v="8"/>
    <x v="2"/>
    <s v="3ºC"/>
    <x v="0"/>
    <s v="Mineral"/>
    <x v="4"/>
    <s v="3 - Parceria"/>
    <n v="3.18"/>
    <n v="0"/>
    <n v="0"/>
    <n v="3.18"/>
    <n v="228.96"/>
    <n v="0"/>
    <n v="0"/>
    <n v="222.36"/>
    <x v="0"/>
    <x v="16"/>
    <x v="0"/>
    <x v="1"/>
    <x v="1"/>
    <n v="3.18"/>
    <n v="3.18"/>
    <n v="3.18"/>
    <n v="228.96"/>
    <n v="222.36"/>
    <n v="222.36"/>
    <n v="222.36"/>
    <n v="222.36"/>
    <n v="222.36"/>
    <x v="1"/>
    <x v="0"/>
    <x v="0"/>
    <n v="0"/>
    <x v="0"/>
  </r>
  <r>
    <x v="7"/>
    <x v="7"/>
    <n v="9"/>
    <x v="2"/>
    <s v="3ºC"/>
    <x v="0"/>
    <s v="Mineral"/>
    <x v="4"/>
    <s v="3 - Parceria"/>
    <n v="19.670000000000002"/>
    <n v="0"/>
    <n v="0"/>
    <n v="19.670000000000002"/>
    <n v="1416.24"/>
    <n v="0"/>
    <n v="0"/>
    <n v="1375.14"/>
    <x v="0"/>
    <x v="16"/>
    <x v="0"/>
    <x v="1"/>
    <x v="1"/>
    <n v="19.670000000000002"/>
    <n v="19.670000000000002"/>
    <n v="19.670000000000002"/>
    <n v="1416.24"/>
    <n v="1375.14"/>
    <n v="1375.14"/>
    <n v="1375.14"/>
    <n v="1375.14"/>
    <n v="1375.14"/>
    <x v="1"/>
    <x v="0"/>
    <x v="0"/>
    <n v="0"/>
    <x v="0"/>
  </r>
  <r>
    <x v="7"/>
    <x v="7"/>
    <n v="10"/>
    <x v="2"/>
    <s v="3ºC"/>
    <x v="0"/>
    <s v="Mineral"/>
    <x v="4"/>
    <s v="3 - Parceria"/>
    <n v="17.760000000000002"/>
    <n v="0"/>
    <n v="0"/>
    <n v="17.760000000000002"/>
    <n v="1278.72"/>
    <n v="0"/>
    <n v="0"/>
    <n v="1148.03"/>
    <x v="0"/>
    <x v="16"/>
    <x v="0"/>
    <x v="1"/>
    <x v="1"/>
    <n v="17.760000000000002"/>
    <n v="17.760000000000002"/>
    <n v="17.760000000000002"/>
    <n v="1278.72"/>
    <n v="1148.03"/>
    <n v="1148.03"/>
    <n v="1148.03"/>
    <n v="1148.03"/>
    <n v="1148.03"/>
    <x v="1"/>
    <x v="0"/>
    <x v="0"/>
    <n v="0"/>
    <x v="0"/>
  </r>
  <r>
    <x v="7"/>
    <x v="7"/>
    <n v="11"/>
    <x v="2"/>
    <s v="3ºC"/>
    <x v="0"/>
    <s v="Mineral"/>
    <x v="1"/>
    <s v="3 - Parceria"/>
    <n v="12.5"/>
    <n v="12.5"/>
    <n v="0"/>
    <n v="12.5"/>
    <n v="875"/>
    <n v="375"/>
    <n v="0"/>
    <n v="581.9"/>
    <x v="0"/>
    <x v="10"/>
    <x v="0"/>
    <x v="0"/>
    <x v="1"/>
    <n v="12.5"/>
    <n v="12.5"/>
    <n v="12.5"/>
    <n v="875"/>
    <n v="375"/>
    <n v="581.9"/>
    <n v="581.9"/>
    <n v="581.9"/>
    <n v="581.9"/>
    <x v="0"/>
    <x v="0"/>
    <x v="0"/>
    <n v="0"/>
    <x v="0"/>
  </r>
  <r>
    <x v="7"/>
    <x v="7"/>
    <n v="12"/>
    <x v="2"/>
    <s v="3ºC"/>
    <x v="0"/>
    <s v="Mineral"/>
    <x v="1"/>
    <s v="3 - Parceria"/>
    <n v="25.72"/>
    <n v="25.72"/>
    <n v="25.72"/>
    <n v="25.72"/>
    <n v="1800.4"/>
    <n v="823.04"/>
    <n v="977.36"/>
    <n v="596.46"/>
    <x v="0"/>
    <x v="0"/>
    <x v="0"/>
    <x v="0"/>
    <x v="0"/>
    <n v="25.72"/>
    <n v="25.72"/>
    <n v="25.72"/>
    <n v="1800.4"/>
    <n v="823.04"/>
    <n v="977.36"/>
    <n v="596.46"/>
    <n v="596.46"/>
    <n v="596.46"/>
    <x v="0"/>
    <x v="0"/>
    <x v="0"/>
    <n v="0"/>
    <x v="0"/>
  </r>
  <r>
    <x v="7"/>
    <x v="7"/>
    <n v="13"/>
    <x v="2"/>
    <s v="3ºC"/>
    <x v="0"/>
    <s v="Mineral"/>
    <x v="1"/>
    <s v="3 - Parceria"/>
    <n v="11.12"/>
    <n v="11.12"/>
    <n v="11.12"/>
    <n v="11.12"/>
    <n v="778.4"/>
    <n v="778.4"/>
    <n v="778.4"/>
    <n v="474.96"/>
    <x v="0"/>
    <x v="0"/>
    <x v="0"/>
    <x v="0"/>
    <x v="0"/>
    <n v="11.12"/>
    <n v="11.12"/>
    <n v="11.12"/>
    <n v="778.4"/>
    <n v="778.4"/>
    <n v="778.4"/>
    <n v="474.96"/>
    <n v="474.96"/>
    <n v="474.96"/>
    <x v="1"/>
    <x v="0"/>
    <x v="0"/>
    <n v="0"/>
    <x v="0"/>
  </r>
  <r>
    <x v="7"/>
    <x v="7"/>
    <n v="14"/>
    <x v="2"/>
    <s v="3ºC"/>
    <x v="0"/>
    <s v="Mineral"/>
    <x v="1"/>
    <s v="3 - Parceria"/>
    <n v="17.36"/>
    <n v="17.36"/>
    <n v="17.36"/>
    <n v="17.36"/>
    <n v="1215.2"/>
    <n v="1215.2"/>
    <n v="1145.76"/>
    <n v="699.73"/>
    <x v="0"/>
    <x v="0"/>
    <x v="0"/>
    <x v="0"/>
    <x v="0"/>
    <n v="17.36"/>
    <n v="17.36"/>
    <n v="17.36"/>
    <n v="1215.2"/>
    <n v="1215.2"/>
    <n v="1145.76"/>
    <n v="699.73"/>
    <n v="699.73"/>
    <n v="699.73"/>
    <x v="1"/>
    <x v="0"/>
    <x v="0"/>
    <n v="0"/>
    <x v="0"/>
  </r>
  <r>
    <x v="7"/>
    <x v="7"/>
    <n v="15"/>
    <x v="2"/>
    <s v="3ºC"/>
    <x v="0"/>
    <s v="Mineral"/>
    <x v="1"/>
    <s v="3 - Parceria"/>
    <n v="5.43"/>
    <n v="5.43"/>
    <n v="0"/>
    <n v="5.43"/>
    <n v="380.1"/>
    <n v="380.1"/>
    <n v="0"/>
    <n v="165.37"/>
    <x v="0"/>
    <x v="6"/>
    <x v="0"/>
    <x v="0"/>
    <x v="1"/>
    <n v="5.43"/>
    <n v="5.43"/>
    <n v="5.43"/>
    <n v="380.1"/>
    <n v="380.1"/>
    <n v="165.37"/>
    <n v="165.37"/>
    <n v="165.37"/>
    <n v="165.37"/>
    <x v="0"/>
    <x v="0"/>
    <x v="0"/>
    <n v="0"/>
    <x v="0"/>
  </r>
  <r>
    <x v="7"/>
    <x v="7"/>
    <n v="16"/>
    <x v="2"/>
    <s v="3ºC"/>
    <x v="0"/>
    <s v="Mineral"/>
    <x v="4"/>
    <s v="3 - Parceria"/>
    <n v="26.02"/>
    <n v="0"/>
    <n v="0"/>
    <n v="26.02"/>
    <n v="1873.44"/>
    <n v="0"/>
    <n v="0"/>
    <n v="1634.07"/>
    <x v="0"/>
    <x v="15"/>
    <x v="0"/>
    <x v="1"/>
    <x v="1"/>
    <n v="26.02"/>
    <n v="26.02"/>
    <n v="26.02"/>
    <n v="1873.44"/>
    <n v="1634.07"/>
    <n v="1634.07"/>
    <n v="1634.07"/>
    <n v="1634.07"/>
    <n v="1634.07"/>
    <x v="1"/>
    <x v="0"/>
    <x v="0"/>
    <n v="0"/>
    <x v="0"/>
  </r>
  <r>
    <x v="7"/>
    <x v="7"/>
    <n v="17"/>
    <x v="2"/>
    <s v="3ºC"/>
    <x v="0"/>
    <s v="Mineral"/>
    <x v="4"/>
    <s v="3 - Parceria"/>
    <n v="11.73"/>
    <n v="0"/>
    <n v="0"/>
    <n v="11.73"/>
    <n v="844.56"/>
    <n v="0"/>
    <n v="0"/>
    <n v="737.19"/>
    <x v="0"/>
    <x v="15"/>
    <x v="0"/>
    <x v="1"/>
    <x v="1"/>
    <n v="11.73"/>
    <n v="11.73"/>
    <n v="11.73"/>
    <n v="844.56"/>
    <n v="737.19"/>
    <n v="737.19"/>
    <n v="737.19"/>
    <n v="737.19"/>
    <n v="737.19"/>
    <x v="1"/>
    <x v="0"/>
    <x v="0"/>
    <n v="0"/>
    <x v="0"/>
  </r>
  <r>
    <x v="7"/>
    <x v="7"/>
    <n v="18"/>
    <x v="2"/>
    <s v="3ºC"/>
    <x v="0"/>
    <s v="Mineral"/>
    <x v="4"/>
    <s v="3 - Parceria"/>
    <n v="4.8899999999999997"/>
    <n v="0"/>
    <n v="0"/>
    <n v="4.8899999999999997"/>
    <n v="352.08"/>
    <n v="0"/>
    <n v="0"/>
    <n v="307.19"/>
    <x v="0"/>
    <x v="15"/>
    <x v="0"/>
    <x v="1"/>
    <x v="1"/>
    <n v="4.8899999999999997"/>
    <n v="4.8899999999999997"/>
    <n v="4.8899999999999997"/>
    <n v="352.08"/>
    <n v="307.19"/>
    <n v="307.19"/>
    <n v="307.19"/>
    <n v="307.19"/>
    <n v="307.19"/>
    <x v="1"/>
    <x v="0"/>
    <x v="0"/>
    <n v="0"/>
    <x v="0"/>
  </r>
  <r>
    <x v="8"/>
    <x v="8"/>
    <n v="1"/>
    <x v="2"/>
    <s v="3ºC"/>
    <x v="0"/>
    <s v="Mineral"/>
    <x v="9"/>
    <s v="3 - Parceria"/>
    <n v="4.59"/>
    <n v="4.59"/>
    <n v="4.59"/>
    <n v="4.59"/>
    <n v="367.2"/>
    <n v="367.2"/>
    <n v="339.66"/>
    <n v="258.97000000000003"/>
    <x v="0"/>
    <x v="12"/>
    <x v="0"/>
    <x v="0"/>
    <x v="0"/>
    <n v="4.59"/>
    <n v="4.59"/>
    <n v="4.59"/>
    <n v="367.2"/>
    <n v="367.2"/>
    <n v="339.66"/>
    <n v="258.97000000000003"/>
    <n v="258.97000000000003"/>
    <n v="258.97000000000003"/>
    <x v="1"/>
    <x v="0"/>
    <x v="0"/>
    <n v="0"/>
    <x v="0"/>
  </r>
  <r>
    <x v="8"/>
    <x v="8"/>
    <n v="2"/>
    <x v="2"/>
    <s v="3ºC"/>
    <x v="0"/>
    <s v="Mineral"/>
    <x v="9"/>
    <s v="3 - Parceria"/>
    <n v="16.579999999999998"/>
    <n v="16.579999999999998"/>
    <n v="16.579999999999998"/>
    <n v="16.579999999999998"/>
    <n v="1326.4"/>
    <n v="1326.4"/>
    <n v="1226.92"/>
    <n v="934.66"/>
    <x v="0"/>
    <x v="12"/>
    <x v="0"/>
    <x v="0"/>
    <x v="0"/>
    <n v="16.579999999999998"/>
    <n v="16.579999999999998"/>
    <n v="16.579999999999998"/>
    <n v="1326.4"/>
    <n v="1326.4"/>
    <n v="1226.92"/>
    <n v="934.66"/>
    <n v="934.66"/>
    <n v="934.66"/>
    <x v="1"/>
    <x v="0"/>
    <x v="0"/>
    <n v="0"/>
    <x v="0"/>
  </r>
  <r>
    <x v="8"/>
    <x v="8"/>
    <n v="3"/>
    <x v="2"/>
    <s v="3ºC"/>
    <x v="0"/>
    <s v="Mineral"/>
    <x v="6"/>
    <s v="3 - Parceria"/>
    <n v="12.62"/>
    <n v="12.62"/>
    <n v="0"/>
    <n v="12.62"/>
    <n v="1072.7"/>
    <n v="1072.7"/>
    <n v="0"/>
    <n v="1094.69"/>
    <x v="0"/>
    <x v="11"/>
    <x v="0"/>
    <x v="0"/>
    <x v="1"/>
    <n v="12.62"/>
    <n v="12.62"/>
    <n v="12.62"/>
    <n v="1072.7"/>
    <n v="1072.7"/>
    <n v="1094.69"/>
    <n v="1094.69"/>
    <n v="1094.69"/>
    <n v="1094.69"/>
    <x v="1"/>
    <x v="0"/>
    <x v="0"/>
    <n v="0"/>
    <x v="0"/>
  </r>
  <r>
    <x v="8"/>
    <x v="8"/>
    <n v="4"/>
    <x v="2"/>
    <s v="3ºC"/>
    <x v="0"/>
    <s v="Mineral"/>
    <x v="6"/>
    <s v="3 - Parceria"/>
    <n v="13.5"/>
    <n v="13.5"/>
    <n v="0"/>
    <n v="13.5"/>
    <n v="1147.5"/>
    <n v="1147.5"/>
    <n v="0"/>
    <n v="1171.29"/>
    <x v="0"/>
    <x v="11"/>
    <x v="0"/>
    <x v="0"/>
    <x v="1"/>
    <n v="13.5"/>
    <n v="13.5"/>
    <n v="13.5"/>
    <n v="1147.5"/>
    <n v="1147.5"/>
    <n v="1171.29"/>
    <n v="1171.29"/>
    <n v="1171.29"/>
    <n v="1171.29"/>
    <x v="1"/>
    <x v="0"/>
    <x v="0"/>
    <n v="0"/>
    <x v="0"/>
  </r>
  <r>
    <x v="8"/>
    <x v="8"/>
    <n v="5"/>
    <x v="2"/>
    <s v="3ºC"/>
    <x v="0"/>
    <s v="Mineral"/>
    <x v="6"/>
    <s v="3 - Parceria"/>
    <n v="17.489999999999998"/>
    <n v="17.489999999999998"/>
    <n v="0"/>
    <n v="17.489999999999998"/>
    <n v="1486.65"/>
    <n v="1486.65"/>
    <n v="0"/>
    <n v="1054.32"/>
    <x v="0"/>
    <x v="11"/>
    <x v="0"/>
    <x v="0"/>
    <x v="1"/>
    <n v="17.489999999999998"/>
    <n v="17.489999999999998"/>
    <n v="17.489999999999998"/>
    <n v="1486.65"/>
    <n v="1486.65"/>
    <n v="1054.32"/>
    <n v="1054.32"/>
    <n v="1054.32"/>
    <n v="1054.32"/>
    <x v="1"/>
    <x v="0"/>
    <x v="0"/>
    <n v="0"/>
    <x v="0"/>
  </r>
  <r>
    <x v="8"/>
    <x v="8"/>
    <n v="6"/>
    <x v="2"/>
    <s v="3ºC"/>
    <x v="0"/>
    <s v="Mineral"/>
    <x v="6"/>
    <s v="3 - Parceria"/>
    <n v="23.87"/>
    <n v="23.87"/>
    <n v="0"/>
    <n v="23.87"/>
    <n v="2028.95"/>
    <n v="2028.95"/>
    <n v="0"/>
    <n v="1895.02"/>
    <x v="0"/>
    <x v="17"/>
    <x v="0"/>
    <x v="0"/>
    <x v="1"/>
    <n v="23.87"/>
    <n v="23.87"/>
    <n v="23.87"/>
    <n v="2028.95"/>
    <n v="2028.95"/>
    <n v="1895.02"/>
    <n v="1895.02"/>
    <n v="1895.02"/>
    <n v="1895.02"/>
    <x v="1"/>
    <x v="0"/>
    <x v="0"/>
    <n v="0"/>
    <x v="0"/>
  </r>
  <r>
    <x v="8"/>
    <x v="8"/>
    <n v="7"/>
    <x v="2"/>
    <s v="3ºC"/>
    <x v="0"/>
    <s v="Mineral"/>
    <x v="6"/>
    <s v="3 - Parceria"/>
    <n v="16.68"/>
    <n v="16.68"/>
    <n v="0"/>
    <n v="16.68"/>
    <n v="1417.8"/>
    <n v="1417.8"/>
    <n v="0"/>
    <n v="1324.34"/>
    <x v="0"/>
    <x v="17"/>
    <x v="0"/>
    <x v="0"/>
    <x v="1"/>
    <n v="16.68"/>
    <n v="16.68"/>
    <n v="16.68"/>
    <n v="1417.8"/>
    <n v="1417.8"/>
    <n v="1324.34"/>
    <n v="1324.34"/>
    <n v="1324.34"/>
    <n v="1324.34"/>
    <x v="1"/>
    <x v="0"/>
    <x v="0"/>
    <n v="0"/>
    <x v="0"/>
  </r>
  <r>
    <x v="8"/>
    <x v="8"/>
    <n v="8"/>
    <x v="2"/>
    <s v="3ºC"/>
    <x v="0"/>
    <s v="Mineral"/>
    <x v="6"/>
    <s v="3 - Parceria"/>
    <n v="29.14"/>
    <n v="29.14"/>
    <n v="0"/>
    <n v="29.14"/>
    <n v="2476.9"/>
    <n v="2476.9"/>
    <n v="0"/>
    <n v="2313.4499999999998"/>
    <x v="0"/>
    <x v="17"/>
    <x v="0"/>
    <x v="0"/>
    <x v="1"/>
    <n v="29.14"/>
    <n v="29.14"/>
    <n v="29.14"/>
    <n v="2476.9"/>
    <n v="2476.9"/>
    <n v="2313.4499999999998"/>
    <n v="2313.4499999999998"/>
    <n v="2313.4499999999998"/>
    <n v="2313.4499999999998"/>
    <x v="1"/>
    <x v="0"/>
    <x v="0"/>
    <n v="0"/>
    <x v="0"/>
  </r>
  <r>
    <x v="8"/>
    <x v="8"/>
    <n v="9"/>
    <x v="2"/>
    <s v="3ºC"/>
    <x v="0"/>
    <s v="Mineral"/>
    <x v="6"/>
    <s v="3 - Parceria"/>
    <n v="10.94"/>
    <n v="10.94"/>
    <n v="0"/>
    <n v="10.94"/>
    <n v="929.9"/>
    <n v="929.9"/>
    <n v="0"/>
    <n v="868.52"/>
    <x v="0"/>
    <x v="17"/>
    <x v="0"/>
    <x v="0"/>
    <x v="1"/>
    <n v="10.94"/>
    <n v="10.94"/>
    <n v="10.94"/>
    <n v="929.9"/>
    <n v="929.9"/>
    <n v="868.52"/>
    <n v="868.52"/>
    <n v="868.52"/>
    <n v="868.52"/>
    <x v="1"/>
    <x v="0"/>
    <x v="0"/>
    <n v="0"/>
    <x v="0"/>
  </r>
  <r>
    <x v="8"/>
    <x v="8"/>
    <n v="10"/>
    <x v="2"/>
    <s v="3ºC"/>
    <x v="0"/>
    <s v="Mineral"/>
    <x v="6"/>
    <s v="3 - Parceria"/>
    <n v="7.17"/>
    <n v="7.17"/>
    <n v="0"/>
    <n v="7.17"/>
    <n v="609.45000000000005"/>
    <n v="609.45000000000005"/>
    <n v="0"/>
    <n v="569.23"/>
    <x v="0"/>
    <x v="17"/>
    <x v="0"/>
    <x v="0"/>
    <x v="1"/>
    <n v="7.17"/>
    <n v="7.17"/>
    <n v="7.17"/>
    <n v="609.45000000000005"/>
    <n v="609.45000000000005"/>
    <n v="569.23"/>
    <n v="569.23"/>
    <n v="569.23"/>
    <n v="569.23"/>
    <x v="1"/>
    <x v="0"/>
    <x v="0"/>
    <n v="0"/>
    <x v="0"/>
  </r>
  <r>
    <x v="9"/>
    <x v="9"/>
    <n v="1"/>
    <x v="2"/>
    <s v="3ºC"/>
    <x v="0"/>
    <s v="Mineral"/>
    <x v="7"/>
    <s v="3 - Parceria"/>
    <n v="24.56"/>
    <n v="0"/>
    <n v="0"/>
    <n v="24.56"/>
    <n v="1842"/>
    <n v="0"/>
    <n v="0"/>
    <n v="1630.66"/>
    <x v="0"/>
    <x v="4"/>
    <x v="0"/>
    <x v="1"/>
    <x v="1"/>
    <n v="24.56"/>
    <n v="24.56"/>
    <n v="24.56"/>
    <n v="1842"/>
    <n v="1630.66"/>
    <n v="1630.66"/>
    <n v="1630.66"/>
    <n v="1630.66"/>
    <n v="1630.66"/>
    <x v="1"/>
    <x v="0"/>
    <x v="0"/>
    <n v="0"/>
    <x v="0"/>
  </r>
  <r>
    <x v="9"/>
    <x v="9"/>
    <n v="2"/>
    <x v="2"/>
    <s v="3ºC"/>
    <x v="0"/>
    <s v="Mineral"/>
    <x v="10"/>
    <s v="3 - Parceria"/>
    <n v="7.68"/>
    <n v="0"/>
    <n v="0"/>
    <n v="7.68"/>
    <n v="552.96"/>
    <n v="0"/>
    <n v="0"/>
    <n v="590.35"/>
    <x v="0"/>
    <x v="4"/>
    <x v="0"/>
    <x v="1"/>
    <x v="1"/>
    <n v="7.68"/>
    <n v="7.68"/>
    <n v="7.68"/>
    <n v="552.96"/>
    <n v="590.35"/>
    <n v="590.35"/>
    <n v="590.35"/>
    <n v="590.35"/>
    <n v="590.35"/>
    <x v="1"/>
    <x v="0"/>
    <x v="0"/>
    <n v="0"/>
    <x v="0"/>
  </r>
  <r>
    <x v="9"/>
    <x v="9"/>
    <n v="3"/>
    <x v="2"/>
    <s v="3ºC"/>
    <x v="0"/>
    <s v="Mineral"/>
    <x v="10"/>
    <s v="3 - Parceria"/>
    <n v="20.89"/>
    <n v="0"/>
    <n v="0"/>
    <n v="20.89"/>
    <n v="1274.29"/>
    <n v="0"/>
    <n v="0"/>
    <n v="1360.19"/>
    <x v="0"/>
    <x v="4"/>
    <x v="0"/>
    <x v="1"/>
    <x v="1"/>
    <n v="20.89"/>
    <n v="20.89"/>
    <n v="20.89"/>
    <n v="1274.29"/>
    <n v="1360.19"/>
    <n v="1360.19"/>
    <n v="1360.19"/>
    <n v="1360.19"/>
    <n v="1360.19"/>
    <x v="1"/>
    <x v="0"/>
    <x v="0"/>
    <n v="0"/>
    <x v="0"/>
  </r>
  <r>
    <x v="9"/>
    <x v="9"/>
    <n v="4"/>
    <x v="2"/>
    <s v="3ºC"/>
    <x v="0"/>
    <s v="Mineral"/>
    <x v="10"/>
    <s v="3 - Parceria"/>
    <n v="30.67"/>
    <n v="0"/>
    <n v="0"/>
    <n v="30.67"/>
    <n v="1870.87"/>
    <n v="0"/>
    <n v="0"/>
    <n v="1997.65"/>
    <x v="0"/>
    <x v="4"/>
    <x v="0"/>
    <x v="1"/>
    <x v="1"/>
    <n v="30.67"/>
    <n v="30.67"/>
    <n v="30.67"/>
    <n v="1870.87"/>
    <n v="1997.65"/>
    <n v="1997.65"/>
    <n v="1997.65"/>
    <n v="1997.65"/>
    <n v="1997.65"/>
    <x v="1"/>
    <x v="0"/>
    <x v="0"/>
    <n v="0"/>
    <x v="0"/>
  </r>
  <r>
    <x v="9"/>
    <x v="9"/>
    <n v="5"/>
    <x v="2"/>
    <s v="3ºC"/>
    <x v="0"/>
    <s v="Mineral"/>
    <x v="10"/>
    <s v="3 - Parceria"/>
    <n v="1.65"/>
    <n v="0"/>
    <n v="0"/>
    <n v="1.65"/>
    <n v="100.65"/>
    <n v="0"/>
    <n v="0"/>
    <n v="107.72"/>
    <x v="0"/>
    <x v="4"/>
    <x v="0"/>
    <x v="1"/>
    <x v="1"/>
    <n v="1.65"/>
    <n v="1.65"/>
    <n v="1.65"/>
    <n v="100.65"/>
    <n v="107.72"/>
    <n v="107.72"/>
    <n v="107.72"/>
    <n v="107.72"/>
    <n v="107.72"/>
    <x v="1"/>
    <x v="0"/>
    <x v="0"/>
    <n v="0"/>
    <x v="0"/>
  </r>
  <r>
    <x v="9"/>
    <x v="9"/>
    <n v="6"/>
    <x v="2"/>
    <s v="3ºC"/>
    <x v="0"/>
    <s v="Mineral"/>
    <x v="10"/>
    <s v="3 - Parceria"/>
    <n v="7.49"/>
    <n v="0"/>
    <n v="0"/>
    <n v="7.49"/>
    <n v="456.89"/>
    <n v="0"/>
    <n v="0"/>
    <n v="487.85"/>
    <x v="0"/>
    <x v="4"/>
    <x v="0"/>
    <x v="1"/>
    <x v="1"/>
    <n v="7.49"/>
    <n v="7.49"/>
    <n v="7.49"/>
    <n v="456.89"/>
    <n v="487.85"/>
    <n v="487.85"/>
    <n v="487.85"/>
    <n v="487.85"/>
    <n v="487.85"/>
    <x v="1"/>
    <x v="0"/>
    <x v="0"/>
    <n v="0"/>
    <x v="0"/>
  </r>
  <r>
    <x v="9"/>
    <x v="9"/>
    <n v="7"/>
    <x v="2"/>
    <s v="3ºC"/>
    <x v="0"/>
    <s v="Mineral"/>
    <x v="10"/>
    <s v="3 - Parceria"/>
    <n v="34.68"/>
    <n v="0"/>
    <n v="0"/>
    <n v="34.68"/>
    <n v="2115.48"/>
    <n v="0"/>
    <n v="0"/>
    <n v="2258.17"/>
    <x v="0"/>
    <x v="4"/>
    <x v="0"/>
    <x v="1"/>
    <x v="1"/>
    <n v="34.68"/>
    <n v="34.68"/>
    <n v="34.68"/>
    <n v="2115.48"/>
    <n v="2258.17"/>
    <n v="2258.17"/>
    <n v="2258.17"/>
    <n v="2258.17"/>
    <n v="2258.17"/>
    <x v="1"/>
    <x v="0"/>
    <x v="0"/>
    <n v="0"/>
    <x v="0"/>
  </r>
  <r>
    <x v="9"/>
    <x v="9"/>
    <n v="8"/>
    <x v="5"/>
    <s v="2ºC"/>
    <x v="0"/>
    <s v="Mineral"/>
    <x v="10"/>
    <s v="3 - Parceria"/>
    <n v="25.14"/>
    <n v="0"/>
    <n v="0"/>
    <n v="25.14"/>
    <n v="1784.94"/>
    <n v="0"/>
    <n v="0"/>
    <n v="1819.87"/>
    <x v="0"/>
    <x v="4"/>
    <x v="0"/>
    <x v="1"/>
    <x v="1"/>
    <n v="25.14"/>
    <n v="25.14"/>
    <n v="25.14"/>
    <n v="1784.94"/>
    <n v="1819.87"/>
    <n v="1819.87"/>
    <n v="1819.87"/>
    <n v="1819.87"/>
    <n v="1819.87"/>
    <x v="1"/>
    <x v="0"/>
    <x v="0"/>
    <n v="0"/>
    <x v="0"/>
  </r>
  <r>
    <x v="9"/>
    <x v="9"/>
    <n v="9"/>
    <x v="5"/>
    <s v="2ºC"/>
    <x v="0"/>
    <s v="Mineral"/>
    <x v="10"/>
    <s v="3 - Parceria"/>
    <n v="5.93"/>
    <n v="0"/>
    <n v="0"/>
    <n v="5.93"/>
    <n v="415.1"/>
    <n v="0"/>
    <n v="0"/>
    <n v="424"/>
    <x v="0"/>
    <x v="4"/>
    <x v="0"/>
    <x v="1"/>
    <x v="1"/>
    <n v="5.93"/>
    <n v="5.93"/>
    <n v="5.93"/>
    <n v="415.1"/>
    <n v="424"/>
    <n v="424"/>
    <n v="424"/>
    <n v="424"/>
    <n v="424"/>
    <x v="1"/>
    <x v="0"/>
    <x v="0"/>
    <n v="0"/>
    <x v="0"/>
  </r>
  <r>
    <x v="9"/>
    <x v="9"/>
    <n v="10"/>
    <x v="5"/>
    <s v="2ºC"/>
    <x v="0"/>
    <s v="Mineral"/>
    <x v="10"/>
    <s v="3 - Parceria"/>
    <n v="15.71"/>
    <n v="0"/>
    <n v="0"/>
    <n v="15.71"/>
    <n v="1099.7"/>
    <n v="0"/>
    <n v="0"/>
    <n v="1121.94"/>
    <x v="0"/>
    <x v="4"/>
    <x v="0"/>
    <x v="1"/>
    <x v="1"/>
    <n v="15.71"/>
    <n v="15.71"/>
    <n v="15.71"/>
    <n v="1099.7"/>
    <n v="1121.94"/>
    <n v="1121.94"/>
    <n v="1121.94"/>
    <n v="1121.94"/>
    <n v="1121.94"/>
    <x v="1"/>
    <x v="0"/>
    <x v="0"/>
    <n v="0"/>
    <x v="0"/>
  </r>
  <r>
    <x v="9"/>
    <x v="9"/>
    <n v="11"/>
    <x v="5"/>
    <s v="2ºC"/>
    <x v="0"/>
    <s v="Mineral"/>
    <x v="10"/>
    <s v="3 - Parceria"/>
    <n v="18.37"/>
    <n v="0"/>
    <n v="0"/>
    <n v="18.37"/>
    <n v="1285.9000000000001"/>
    <n v="0"/>
    <n v="0"/>
    <n v="1312.61"/>
    <x v="0"/>
    <x v="4"/>
    <x v="0"/>
    <x v="1"/>
    <x v="1"/>
    <n v="18.37"/>
    <n v="18.37"/>
    <n v="18.37"/>
    <n v="1285.9000000000001"/>
    <n v="1312.61"/>
    <n v="1312.61"/>
    <n v="1312.61"/>
    <n v="1312.61"/>
    <n v="1312.61"/>
    <x v="1"/>
    <x v="0"/>
    <x v="0"/>
    <n v="0"/>
    <x v="0"/>
  </r>
  <r>
    <x v="10"/>
    <x v="10"/>
    <n v="1"/>
    <x v="2"/>
    <s v="3ºC"/>
    <x v="0"/>
    <s v="Mineral"/>
    <x v="3"/>
    <s v="3 - Parceria"/>
    <n v="12.5"/>
    <n v="0"/>
    <n v="0"/>
    <n v="12.5"/>
    <n v="312.5"/>
    <n v="0"/>
    <n v="0"/>
    <n v="648.29"/>
    <x v="0"/>
    <x v="16"/>
    <x v="0"/>
    <x v="1"/>
    <x v="1"/>
    <n v="12.5"/>
    <n v="12.5"/>
    <n v="12.5"/>
    <n v="312.5"/>
    <n v="648.29"/>
    <n v="648.29"/>
    <n v="648.29"/>
    <n v="648.29"/>
    <n v="648.29"/>
    <x v="1"/>
    <x v="0"/>
    <x v="0"/>
    <n v="0"/>
    <x v="0"/>
  </r>
  <r>
    <x v="10"/>
    <x v="10"/>
    <n v="2"/>
    <x v="2"/>
    <s v="3ºC"/>
    <x v="0"/>
    <s v="Mineral"/>
    <x v="3"/>
    <s v="3 - Parceria"/>
    <n v="21.72"/>
    <n v="0"/>
    <n v="0"/>
    <n v="21.72"/>
    <n v="434.4"/>
    <n v="0"/>
    <n v="0"/>
    <n v="898.94"/>
    <x v="0"/>
    <x v="16"/>
    <x v="0"/>
    <x v="1"/>
    <x v="1"/>
    <n v="21.72"/>
    <n v="21.72"/>
    <n v="21.72"/>
    <n v="434.4"/>
    <n v="898.94"/>
    <n v="898.94"/>
    <n v="898.94"/>
    <n v="898.94"/>
    <n v="898.94"/>
    <x v="1"/>
    <x v="0"/>
    <x v="0"/>
    <n v="0"/>
    <x v="0"/>
  </r>
  <r>
    <x v="10"/>
    <x v="10"/>
    <n v="3"/>
    <x v="2"/>
    <s v="3ºC"/>
    <x v="0"/>
    <s v="Mineral"/>
    <x v="3"/>
    <s v="3 - Parceria"/>
    <n v="15.67"/>
    <n v="0"/>
    <n v="0"/>
    <n v="15.67"/>
    <n v="470.1"/>
    <n v="0"/>
    <n v="0"/>
    <n v="973.51"/>
    <x v="0"/>
    <x v="16"/>
    <x v="0"/>
    <x v="1"/>
    <x v="1"/>
    <n v="15.67"/>
    <n v="15.67"/>
    <n v="15.67"/>
    <n v="470.1"/>
    <n v="973.51"/>
    <n v="973.51"/>
    <n v="973.51"/>
    <n v="973.51"/>
    <n v="973.51"/>
    <x v="1"/>
    <x v="0"/>
    <x v="0"/>
    <n v="0"/>
    <x v="0"/>
  </r>
  <r>
    <x v="10"/>
    <x v="10"/>
    <n v="4"/>
    <x v="2"/>
    <s v="3ºC"/>
    <x v="0"/>
    <s v="Mineral"/>
    <x v="3"/>
    <s v="3 - Parceria"/>
    <n v="2.63"/>
    <n v="0"/>
    <n v="0"/>
    <n v="2.63"/>
    <n v="65.75"/>
    <n v="0"/>
    <n v="0"/>
    <n v="136.66"/>
    <x v="0"/>
    <x v="16"/>
    <x v="0"/>
    <x v="1"/>
    <x v="1"/>
    <n v="2.63"/>
    <n v="2.63"/>
    <n v="2.63"/>
    <n v="65.75"/>
    <n v="136.66"/>
    <n v="136.66"/>
    <n v="136.66"/>
    <n v="136.66"/>
    <n v="136.66"/>
    <x v="1"/>
    <x v="0"/>
    <x v="0"/>
    <n v="0"/>
    <x v="0"/>
  </r>
  <r>
    <x v="10"/>
    <x v="10"/>
    <n v="5"/>
    <x v="2"/>
    <s v="3ºC"/>
    <x v="0"/>
    <s v="Mineral"/>
    <x v="3"/>
    <s v="3 - Parceria"/>
    <n v="12.79"/>
    <n v="0"/>
    <n v="0"/>
    <n v="12.79"/>
    <n v="639.5"/>
    <n v="0"/>
    <n v="0"/>
    <n v="1325.94"/>
    <x v="0"/>
    <x v="16"/>
    <x v="0"/>
    <x v="1"/>
    <x v="1"/>
    <n v="12.79"/>
    <n v="12.79"/>
    <n v="12.79"/>
    <n v="639.5"/>
    <n v="1325.94"/>
    <n v="1325.94"/>
    <n v="1325.94"/>
    <n v="1325.94"/>
    <n v="1325.94"/>
    <x v="1"/>
    <x v="0"/>
    <x v="0"/>
    <n v="0"/>
    <x v="0"/>
  </r>
  <r>
    <x v="10"/>
    <x v="10"/>
    <n v="14"/>
    <x v="5"/>
    <s v="2ºC"/>
    <x v="0"/>
    <s v="Mineral"/>
    <x v="11"/>
    <s v="3 - Parceria"/>
    <n v="9.6300000000000008"/>
    <n v="9.6300000000000008"/>
    <n v="0"/>
    <n v="9.6300000000000008"/>
    <n v="866.7"/>
    <n v="712.62"/>
    <n v="0"/>
    <n v="804.8"/>
    <x v="0"/>
    <x v="18"/>
    <x v="0"/>
    <x v="0"/>
    <x v="1"/>
    <n v="9.6300000000000008"/>
    <n v="9.6300000000000008"/>
    <n v="9.6300000000000008"/>
    <n v="866.7"/>
    <n v="712.62"/>
    <n v="804.8"/>
    <n v="804.8"/>
    <n v="804.8"/>
    <n v="804.8"/>
    <x v="1"/>
    <x v="0"/>
    <x v="0"/>
    <n v="0"/>
    <x v="0"/>
  </r>
  <r>
    <x v="10"/>
    <x v="10"/>
    <n v="15"/>
    <x v="5"/>
    <s v="2ºC"/>
    <x v="0"/>
    <s v="Mineral"/>
    <x v="11"/>
    <s v="3 - Parceria"/>
    <n v="10.37"/>
    <n v="10.37"/>
    <n v="0"/>
    <n v="10.37"/>
    <n v="933.3"/>
    <n v="767.38"/>
    <n v="0"/>
    <n v="865.76"/>
    <x v="0"/>
    <x v="18"/>
    <x v="0"/>
    <x v="0"/>
    <x v="1"/>
    <n v="10.37"/>
    <n v="10.37"/>
    <n v="10.37"/>
    <n v="933.3"/>
    <n v="767.38"/>
    <n v="865.76"/>
    <n v="865.76"/>
    <n v="865.76"/>
    <n v="865.76"/>
    <x v="1"/>
    <x v="0"/>
    <x v="0"/>
    <n v="0"/>
    <x v="0"/>
  </r>
  <r>
    <x v="10"/>
    <x v="10"/>
    <n v="16"/>
    <x v="5"/>
    <s v="2ºC"/>
    <x v="0"/>
    <s v="Mineral"/>
    <x v="11"/>
    <s v="3 - Parceria"/>
    <n v="2.34"/>
    <n v="2.34"/>
    <n v="0"/>
    <n v="2.34"/>
    <n v="210.6"/>
    <n v="173.16"/>
    <n v="0"/>
    <n v="195.25"/>
    <x v="0"/>
    <x v="18"/>
    <x v="0"/>
    <x v="0"/>
    <x v="1"/>
    <n v="2.34"/>
    <n v="2.34"/>
    <n v="2.34"/>
    <n v="210.6"/>
    <n v="173.16"/>
    <n v="195.25"/>
    <n v="195.25"/>
    <n v="195.25"/>
    <n v="195.25"/>
    <x v="1"/>
    <x v="0"/>
    <x v="0"/>
    <n v="0"/>
    <x v="0"/>
  </r>
  <r>
    <x v="10"/>
    <x v="10"/>
    <n v="17"/>
    <x v="5"/>
    <s v="2ºC"/>
    <x v="0"/>
    <s v="Mineral"/>
    <x v="11"/>
    <s v="3 - Parceria"/>
    <n v="3.13"/>
    <n v="3.13"/>
    <n v="0"/>
    <n v="3.13"/>
    <n v="281.7"/>
    <n v="231.62"/>
    <n v="0"/>
    <n v="261.98"/>
    <x v="0"/>
    <x v="18"/>
    <x v="0"/>
    <x v="0"/>
    <x v="1"/>
    <n v="3.13"/>
    <n v="3.13"/>
    <n v="3.13"/>
    <n v="281.7"/>
    <n v="231.62"/>
    <n v="261.98"/>
    <n v="261.98"/>
    <n v="261.98"/>
    <n v="261.98"/>
    <x v="1"/>
    <x v="0"/>
    <x v="0"/>
    <n v="0"/>
    <x v="0"/>
  </r>
  <r>
    <x v="10"/>
    <x v="10"/>
    <n v="18"/>
    <x v="5"/>
    <s v="2ºC"/>
    <x v="0"/>
    <s v="Mineral"/>
    <x v="11"/>
    <s v="3 - Parceria"/>
    <n v="13.44"/>
    <n v="13.44"/>
    <n v="0"/>
    <n v="13.44"/>
    <n v="1209.5999999999999"/>
    <n v="994.56"/>
    <n v="0"/>
    <n v="1281.8900000000001"/>
    <x v="0"/>
    <x v="10"/>
    <x v="0"/>
    <x v="0"/>
    <x v="1"/>
    <n v="13.44"/>
    <n v="13.44"/>
    <n v="13.44"/>
    <n v="1209.5999999999999"/>
    <n v="994.56"/>
    <n v="1281.8900000000001"/>
    <n v="1281.8900000000001"/>
    <n v="1281.8900000000001"/>
    <n v="1281.8900000000001"/>
    <x v="1"/>
    <x v="0"/>
    <x v="0"/>
    <n v="0"/>
    <x v="0"/>
  </r>
  <r>
    <x v="10"/>
    <x v="10"/>
    <n v="19"/>
    <x v="5"/>
    <s v="2ºC"/>
    <x v="0"/>
    <s v="Mineral"/>
    <x v="11"/>
    <s v="3 - Parceria"/>
    <n v="12.08"/>
    <n v="12.08"/>
    <n v="0"/>
    <n v="12.08"/>
    <n v="1087.2"/>
    <n v="893.92"/>
    <n v="0"/>
    <n v="1151.76"/>
    <x v="0"/>
    <x v="10"/>
    <x v="0"/>
    <x v="0"/>
    <x v="1"/>
    <n v="12.08"/>
    <n v="12.08"/>
    <n v="12.08"/>
    <n v="1087.2"/>
    <n v="893.92"/>
    <n v="1151.76"/>
    <n v="1151.76"/>
    <n v="1151.76"/>
    <n v="1151.76"/>
    <x v="1"/>
    <x v="0"/>
    <x v="0"/>
    <n v="0"/>
    <x v="0"/>
  </r>
  <r>
    <x v="10"/>
    <x v="10"/>
    <n v="20"/>
    <x v="5"/>
    <s v="2ºC"/>
    <x v="0"/>
    <s v="Mineral"/>
    <x v="11"/>
    <s v="3 - Parceria"/>
    <n v="19.899999999999999"/>
    <n v="19.899999999999999"/>
    <n v="0"/>
    <n v="19.899999999999999"/>
    <n v="1791"/>
    <n v="1472.6"/>
    <n v="0"/>
    <n v="1897.77"/>
    <x v="0"/>
    <x v="10"/>
    <x v="0"/>
    <x v="0"/>
    <x v="1"/>
    <n v="19.899999999999999"/>
    <n v="19.899999999999999"/>
    <n v="19.899999999999999"/>
    <n v="1791"/>
    <n v="1472.6"/>
    <n v="1897.77"/>
    <n v="1897.77"/>
    <n v="1897.77"/>
    <n v="1897.77"/>
    <x v="1"/>
    <x v="0"/>
    <x v="0"/>
    <n v="0"/>
    <x v="0"/>
  </r>
  <r>
    <x v="10"/>
    <x v="10"/>
    <n v="21"/>
    <x v="5"/>
    <s v="2ºC"/>
    <x v="0"/>
    <s v="Mineral"/>
    <x v="11"/>
    <s v="3 - Parceria"/>
    <n v="8.3699999999999992"/>
    <n v="8.3699999999999992"/>
    <n v="0"/>
    <n v="8.3699999999999992"/>
    <n v="753.3"/>
    <n v="619.38"/>
    <n v="0"/>
    <n v="797.77"/>
    <x v="0"/>
    <x v="10"/>
    <x v="0"/>
    <x v="0"/>
    <x v="1"/>
    <n v="8.3699999999999992"/>
    <n v="8.3699999999999992"/>
    <n v="8.3699999999999992"/>
    <n v="753.3"/>
    <n v="619.38"/>
    <n v="797.77"/>
    <n v="797.77"/>
    <n v="797.77"/>
    <n v="797.77"/>
    <x v="1"/>
    <x v="0"/>
    <x v="0"/>
    <n v="0"/>
    <x v="0"/>
  </r>
  <r>
    <x v="11"/>
    <x v="11"/>
    <n v="1"/>
    <x v="6"/>
    <s v="5ºC"/>
    <x v="0"/>
    <s v="Mineral"/>
    <x v="12"/>
    <s v="1 - Própria"/>
    <n v="1.87"/>
    <n v="1.87"/>
    <n v="1.87"/>
    <n v="1.87"/>
    <n v="74.8"/>
    <n v="74.8"/>
    <n v="71.06"/>
    <n v="66.52"/>
    <x v="0"/>
    <x v="19"/>
    <x v="0"/>
    <x v="0"/>
    <x v="0"/>
    <n v="1.87"/>
    <n v="1.87"/>
    <n v="1.87"/>
    <n v="74.8"/>
    <n v="74.8"/>
    <n v="71.06"/>
    <n v="66.52"/>
    <n v="66.52"/>
    <n v="66.52"/>
    <x v="1"/>
    <x v="0"/>
    <x v="0"/>
    <n v="0"/>
    <x v="0"/>
  </r>
  <r>
    <x v="12"/>
    <x v="12"/>
    <n v="1"/>
    <x v="2"/>
    <s v="3ºC"/>
    <x v="0"/>
    <s v="Mineral"/>
    <x v="13"/>
    <s v="2 - Arrendamento"/>
    <n v="24.13"/>
    <n v="0"/>
    <n v="0"/>
    <n v="24.13"/>
    <n v="1689.1"/>
    <n v="0"/>
    <n v="0"/>
    <n v="1058.31"/>
    <x v="0"/>
    <x v="6"/>
    <x v="0"/>
    <x v="1"/>
    <x v="1"/>
    <n v="24.13"/>
    <n v="24.13"/>
    <n v="24.13"/>
    <n v="1689.1"/>
    <n v="1058.31"/>
    <n v="1058.31"/>
    <n v="1058.31"/>
    <n v="1058.31"/>
    <n v="1058.31"/>
    <x v="0"/>
    <x v="0"/>
    <x v="0"/>
    <n v="0"/>
    <x v="0"/>
  </r>
  <r>
    <x v="12"/>
    <x v="12"/>
    <n v="2"/>
    <x v="2"/>
    <s v="3ºC"/>
    <x v="0"/>
    <s v="Mineral"/>
    <x v="13"/>
    <s v="2 - Arrendamento"/>
    <n v="48.18"/>
    <n v="0"/>
    <n v="0"/>
    <n v="48.18"/>
    <n v="3372.6"/>
    <n v="0"/>
    <n v="0"/>
    <n v="2113.54"/>
    <x v="0"/>
    <x v="6"/>
    <x v="0"/>
    <x v="1"/>
    <x v="1"/>
    <n v="48.18"/>
    <n v="48.18"/>
    <n v="48.18"/>
    <n v="3372.6"/>
    <n v="2113.54"/>
    <n v="2113.54"/>
    <n v="2113.54"/>
    <n v="2113.54"/>
    <n v="2113.54"/>
    <x v="0"/>
    <x v="0"/>
    <x v="0"/>
    <n v="0"/>
    <x v="0"/>
  </r>
  <r>
    <x v="12"/>
    <x v="12"/>
    <n v="3"/>
    <x v="2"/>
    <s v="3ºC"/>
    <x v="0"/>
    <s v="Mineral"/>
    <x v="13"/>
    <s v="2 - Arrendamento"/>
    <n v="36.39"/>
    <n v="0"/>
    <n v="0"/>
    <n v="36.39"/>
    <n v="2547.3000000000002"/>
    <n v="0"/>
    <n v="0"/>
    <n v="1596.16"/>
    <x v="0"/>
    <x v="6"/>
    <x v="0"/>
    <x v="1"/>
    <x v="1"/>
    <n v="36.39"/>
    <n v="36.39"/>
    <n v="36.39"/>
    <n v="2547.3000000000002"/>
    <n v="1596.16"/>
    <n v="1596.16"/>
    <n v="1596.16"/>
    <n v="1596.16"/>
    <n v="1596.16"/>
    <x v="0"/>
    <x v="0"/>
    <x v="0"/>
    <n v="0"/>
    <x v="0"/>
  </r>
  <r>
    <x v="12"/>
    <x v="12"/>
    <n v="4"/>
    <x v="2"/>
    <s v="3ºC"/>
    <x v="0"/>
    <s v="Mineral"/>
    <x v="13"/>
    <s v="2 - Arrendamento"/>
    <n v="36.61"/>
    <n v="36.61"/>
    <n v="0"/>
    <n v="36.61"/>
    <n v="2562.6999999999998"/>
    <n v="1976.94"/>
    <n v="0"/>
    <n v="1607.28"/>
    <x v="0"/>
    <x v="6"/>
    <x v="0"/>
    <x v="0"/>
    <x v="1"/>
    <n v="36.61"/>
    <n v="36.61"/>
    <n v="36.61"/>
    <n v="2562.6999999999998"/>
    <n v="1976.94"/>
    <n v="1607.28"/>
    <n v="1607.28"/>
    <n v="1607.28"/>
    <n v="1607.28"/>
    <x v="0"/>
    <x v="0"/>
    <x v="0"/>
    <n v="0"/>
    <x v="0"/>
  </r>
  <r>
    <x v="12"/>
    <x v="12"/>
    <n v="5"/>
    <x v="2"/>
    <s v="3ºC"/>
    <x v="0"/>
    <s v="Mineral"/>
    <x v="13"/>
    <s v="2 - Arrendamento"/>
    <n v="36.130000000000003"/>
    <n v="36.130000000000003"/>
    <n v="0"/>
    <n v="36.130000000000003"/>
    <n v="2529.1"/>
    <n v="1951.02"/>
    <n v="0"/>
    <n v="1586.24"/>
    <x v="0"/>
    <x v="6"/>
    <x v="0"/>
    <x v="0"/>
    <x v="1"/>
    <n v="36.130000000000003"/>
    <n v="36.130000000000003"/>
    <n v="36.130000000000003"/>
    <n v="2529.1"/>
    <n v="1951.02"/>
    <n v="1586.24"/>
    <n v="1586.24"/>
    <n v="1586.24"/>
    <n v="1586.24"/>
    <x v="0"/>
    <x v="0"/>
    <x v="0"/>
    <n v="0"/>
    <x v="0"/>
  </r>
  <r>
    <x v="12"/>
    <x v="12"/>
    <n v="6"/>
    <x v="2"/>
    <s v="3ºC"/>
    <x v="0"/>
    <s v="Mineral"/>
    <x v="13"/>
    <s v="2 - Arrendamento"/>
    <n v="28.81"/>
    <n v="28.81"/>
    <n v="28.81"/>
    <n v="28.81"/>
    <n v="2016.7"/>
    <n v="1555.74"/>
    <n v="1555.74"/>
    <n v="1615.07"/>
    <x v="0"/>
    <x v="20"/>
    <x v="0"/>
    <x v="0"/>
    <x v="0"/>
    <n v="28.81"/>
    <n v="28.81"/>
    <n v="28.81"/>
    <n v="2016.7"/>
    <n v="1555.74"/>
    <n v="1555.74"/>
    <n v="1615.07"/>
    <n v="1615.07"/>
    <n v="1615.07"/>
    <x v="1"/>
    <x v="0"/>
    <x v="0"/>
    <n v="0"/>
    <x v="0"/>
  </r>
  <r>
    <x v="12"/>
    <x v="12"/>
    <n v="7"/>
    <x v="2"/>
    <s v="3ºC"/>
    <x v="0"/>
    <s v="Mineral"/>
    <x v="13"/>
    <s v="2 - Arrendamento"/>
    <n v="45.96"/>
    <n v="45.96"/>
    <n v="45.96"/>
    <n v="45.96"/>
    <n v="3217.2"/>
    <n v="2481.84"/>
    <n v="2481.84"/>
    <n v="2577.79"/>
    <x v="0"/>
    <x v="20"/>
    <x v="0"/>
    <x v="0"/>
    <x v="0"/>
    <n v="45.96"/>
    <n v="45.96"/>
    <n v="45.96"/>
    <n v="3217.2"/>
    <n v="2481.84"/>
    <n v="2481.84"/>
    <n v="2577.79"/>
    <n v="2577.79"/>
    <n v="2577.79"/>
    <x v="0"/>
    <x v="0"/>
    <x v="0"/>
    <n v="0"/>
    <x v="0"/>
  </r>
  <r>
    <x v="12"/>
    <x v="12"/>
    <n v="8"/>
    <x v="2"/>
    <s v="3ºC"/>
    <x v="0"/>
    <s v="Mineral"/>
    <x v="13"/>
    <s v="2 - Arrendamento"/>
    <n v="33.51"/>
    <n v="33.51"/>
    <n v="0"/>
    <n v="33.51"/>
    <n v="2345.6999999999998"/>
    <n v="1809.54"/>
    <n v="0"/>
    <n v="2664.12"/>
    <x v="0"/>
    <x v="6"/>
    <x v="0"/>
    <x v="0"/>
    <x v="1"/>
    <n v="33.51"/>
    <n v="33.51"/>
    <n v="33.51"/>
    <n v="2345.6999999999998"/>
    <n v="1809.54"/>
    <n v="2664.12"/>
    <n v="2664.12"/>
    <n v="2664.12"/>
    <n v="2664.12"/>
    <x v="0"/>
    <x v="0"/>
    <x v="0"/>
    <n v="0"/>
    <x v="0"/>
  </r>
  <r>
    <x v="12"/>
    <x v="12"/>
    <n v="9"/>
    <x v="2"/>
    <s v="3ºC"/>
    <x v="0"/>
    <s v="Mineral"/>
    <x v="13"/>
    <s v="2 - Arrendamento"/>
    <n v="34.97"/>
    <n v="34.97"/>
    <n v="34.97"/>
    <n v="34.97"/>
    <n v="2447.9"/>
    <n v="1888.38"/>
    <n v="1888.38"/>
    <n v="1960.72"/>
    <x v="0"/>
    <x v="20"/>
    <x v="0"/>
    <x v="0"/>
    <x v="0"/>
    <n v="34.97"/>
    <n v="34.97"/>
    <n v="34.97"/>
    <n v="2447.9"/>
    <n v="1888.38"/>
    <n v="1888.38"/>
    <n v="1960.72"/>
    <n v="1960.72"/>
    <n v="1960.72"/>
    <x v="0"/>
    <x v="0"/>
    <x v="0"/>
    <n v="0"/>
    <x v="0"/>
  </r>
  <r>
    <x v="12"/>
    <x v="12"/>
    <n v="10"/>
    <x v="2"/>
    <s v="3ºC"/>
    <x v="0"/>
    <s v="Mineral"/>
    <x v="11"/>
    <s v="2 - Arrendamento"/>
    <n v="31.97"/>
    <n v="31.97"/>
    <n v="0"/>
    <n v="31.97"/>
    <n v="2685.48"/>
    <n v="2813.36"/>
    <n v="0"/>
    <n v="2653.19"/>
    <x v="0"/>
    <x v="18"/>
    <x v="0"/>
    <x v="0"/>
    <x v="1"/>
    <n v="31.97"/>
    <n v="31.97"/>
    <n v="31.97"/>
    <n v="2685.48"/>
    <n v="2813.36"/>
    <n v="2653.19"/>
    <n v="2653.19"/>
    <n v="2653.19"/>
    <n v="2653.19"/>
    <x v="1"/>
    <x v="0"/>
    <x v="0"/>
    <n v="0"/>
    <x v="0"/>
  </r>
  <r>
    <x v="12"/>
    <x v="12"/>
    <n v="11"/>
    <x v="2"/>
    <s v="3ºC"/>
    <x v="0"/>
    <s v="Mineral"/>
    <x v="11"/>
    <s v="2 - Arrendamento"/>
    <n v="25.96"/>
    <n v="25.96"/>
    <n v="0"/>
    <n v="25.96"/>
    <n v="2180.64"/>
    <n v="2284.48"/>
    <n v="0"/>
    <n v="2154.38"/>
    <x v="0"/>
    <x v="18"/>
    <x v="0"/>
    <x v="0"/>
    <x v="1"/>
    <n v="25.96"/>
    <n v="25.96"/>
    <n v="25.96"/>
    <n v="2180.64"/>
    <n v="2284.48"/>
    <n v="2154.38"/>
    <n v="2154.38"/>
    <n v="2154.38"/>
    <n v="2154.38"/>
    <x v="1"/>
    <x v="0"/>
    <x v="0"/>
    <n v="0"/>
    <x v="0"/>
  </r>
  <r>
    <x v="12"/>
    <x v="12"/>
    <n v="12"/>
    <x v="2"/>
    <s v="3ºC"/>
    <x v="0"/>
    <s v="Mineral"/>
    <x v="6"/>
    <s v="2 - Arrendamento"/>
    <n v="43.9"/>
    <n v="43.9"/>
    <n v="43.9"/>
    <n v="43.9"/>
    <n v="3512"/>
    <n v="3687.6"/>
    <n v="3687.6"/>
    <n v="3008.15"/>
    <x v="0"/>
    <x v="21"/>
    <x v="0"/>
    <x v="0"/>
    <x v="0"/>
    <n v="43.9"/>
    <n v="43.9"/>
    <n v="43.9"/>
    <n v="3512"/>
    <n v="3687.6"/>
    <n v="3687.6"/>
    <n v="3008.15"/>
    <n v="3008.15"/>
    <n v="3008.15"/>
    <x v="1"/>
    <x v="0"/>
    <x v="0"/>
    <n v="0"/>
    <x v="0"/>
  </r>
  <r>
    <x v="12"/>
    <x v="12"/>
    <n v="13"/>
    <x v="2"/>
    <s v="3ºC"/>
    <x v="0"/>
    <s v="Mineral"/>
    <x v="6"/>
    <s v="2 - Arrendamento"/>
    <n v="41.48"/>
    <n v="41.48"/>
    <n v="41.48"/>
    <n v="41.48"/>
    <n v="3318.4"/>
    <n v="3484.32"/>
    <n v="3484.32"/>
    <n v="2841.76"/>
    <x v="0"/>
    <x v="21"/>
    <x v="0"/>
    <x v="0"/>
    <x v="0"/>
    <n v="41.48"/>
    <n v="41.48"/>
    <n v="41.48"/>
    <n v="3318.4"/>
    <n v="3484.32"/>
    <n v="3484.32"/>
    <n v="2841.76"/>
    <n v="2841.76"/>
    <n v="2841.76"/>
    <x v="1"/>
    <x v="0"/>
    <x v="0"/>
    <n v="0"/>
    <x v="0"/>
  </r>
  <r>
    <x v="12"/>
    <x v="12"/>
    <n v="14"/>
    <x v="2"/>
    <s v="3ºC"/>
    <x v="0"/>
    <s v="Mineral"/>
    <x v="6"/>
    <s v="2 - Arrendamento"/>
    <n v="27.25"/>
    <n v="27.25"/>
    <n v="27.25"/>
    <n v="27.25"/>
    <n v="2180"/>
    <n v="2289"/>
    <n v="2289"/>
    <n v="1867.34"/>
    <x v="0"/>
    <x v="21"/>
    <x v="0"/>
    <x v="0"/>
    <x v="0"/>
    <n v="27.25"/>
    <n v="27.25"/>
    <n v="27.25"/>
    <n v="2180"/>
    <n v="2289"/>
    <n v="2289"/>
    <n v="1867.34"/>
    <n v="1867.34"/>
    <n v="1867.34"/>
    <x v="1"/>
    <x v="0"/>
    <x v="0"/>
    <n v="0"/>
    <x v="0"/>
  </r>
  <r>
    <x v="12"/>
    <x v="12"/>
    <n v="15"/>
    <x v="2"/>
    <s v="3ºC"/>
    <x v="0"/>
    <s v="Mineral"/>
    <x v="6"/>
    <s v="2 - Arrendamento"/>
    <n v="19.04"/>
    <n v="19.04"/>
    <n v="19.04"/>
    <n v="19.04"/>
    <n v="1523.2"/>
    <n v="1599.36"/>
    <n v="1599.36"/>
    <n v="1354.88"/>
    <x v="0"/>
    <x v="21"/>
    <x v="0"/>
    <x v="0"/>
    <x v="0"/>
    <n v="19.04"/>
    <n v="19.04"/>
    <n v="19.04"/>
    <n v="1523.2"/>
    <n v="1599.36"/>
    <n v="1599.36"/>
    <n v="1354.88"/>
    <n v="1354.88"/>
    <n v="1354.88"/>
    <x v="1"/>
    <x v="0"/>
    <x v="0"/>
    <n v="0"/>
    <x v="0"/>
  </r>
  <r>
    <x v="12"/>
    <x v="12"/>
    <n v="16"/>
    <x v="2"/>
    <s v="3ºC"/>
    <x v="0"/>
    <s v="Mineral"/>
    <x v="6"/>
    <s v="2 - Arrendamento"/>
    <n v="13.37"/>
    <n v="13.37"/>
    <n v="13.37"/>
    <n v="13.37"/>
    <n v="1069.5999999999999"/>
    <n v="1123.08"/>
    <n v="1123.08"/>
    <n v="951.52"/>
    <x v="0"/>
    <x v="21"/>
    <x v="0"/>
    <x v="0"/>
    <x v="0"/>
    <n v="13.37"/>
    <n v="13.37"/>
    <n v="13.37"/>
    <n v="1069.5999999999999"/>
    <n v="1123.08"/>
    <n v="1123.08"/>
    <n v="951.52"/>
    <n v="951.52"/>
    <n v="951.52"/>
    <x v="1"/>
    <x v="0"/>
    <x v="0"/>
    <n v="0"/>
    <x v="0"/>
  </r>
  <r>
    <x v="12"/>
    <x v="12"/>
    <n v="17"/>
    <x v="2"/>
    <s v="3ºC"/>
    <x v="0"/>
    <s v="Mineral"/>
    <x v="13"/>
    <s v="2 - Arrendamento"/>
    <n v="23.19"/>
    <n v="23.19"/>
    <n v="23.19"/>
    <n v="23.19"/>
    <n v="1785.63"/>
    <n v="1808.82"/>
    <n v="1808.82"/>
    <n v="1532.83"/>
    <x v="0"/>
    <x v="21"/>
    <x v="0"/>
    <x v="0"/>
    <x v="0"/>
    <n v="23.19"/>
    <n v="23.19"/>
    <n v="23.19"/>
    <n v="1785.63"/>
    <n v="1808.82"/>
    <n v="1808.82"/>
    <n v="1532.83"/>
    <n v="1532.83"/>
    <n v="1532.83"/>
    <x v="1"/>
    <x v="0"/>
    <x v="0"/>
    <n v="0"/>
    <x v="0"/>
  </r>
  <r>
    <x v="12"/>
    <x v="12"/>
    <n v="18"/>
    <x v="2"/>
    <s v="3ºC"/>
    <x v="0"/>
    <s v="Mineral"/>
    <x v="13"/>
    <s v="2 - Arrendamento"/>
    <n v="43.52"/>
    <n v="43.52"/>
    <n v="43.52"/>
    <n v="43.52"/>
    <n v="3351.04"/>
    <n v="3394.56"/>
    <n v="3394.56"/>
    <n v="2877.2"/>
    <x v="0"/>
    <x v="21"/>
    <x v="0"/>
    <x v="0"/>
    <x v="0"/>
    <n v="43.52"/>
    <n v="43.52"/>
    <n v="43.52"/>
    <n v="3351.04"/>
    <n v="3394.56"/>
    <n v="3394.56"/>
    <n v="2877.2"/>
    <n v="2877.2"/>
    <n v="2877.2"/>
    <x v="1"/>
    <x v="0"/>
    <x v="0"/>
    <n v="0"/>
    <x v="0"/>
  </r>
  <r>
    <x v="12"/>
    <x v="12"/>
    <n v="19"/>
    <x v="2"/>
    <s v="3ºC"/>
    <x v="0"/>
    <s v="Mineral"/>
    <x v="6"/>
    <s v="2 - Arrendamento"/>
    <n v="21.34"/>
    <n v="21.34"/>
    <n v="21.34"/>
    <n v="21.34"/>
    <n v="1707.2"/>
    <n v="1749.88"/>
    <n v="1749.88"/>
    <n v="1690.03"/>
    <x v="0"/>
    <x v="21"/>
    <x v="0"/>
    <x v="0"/>
    <x v="0"/>
    <n v="21.34"/>
    <n v="21.34"/>
    <n v="21.34"/>
    <n v="1707.2"/>
    <n v="1749.88"/>
    <n v="1749.88"/>
    <n v="1690.03"/>
    <n v="1690.03"/>
    <n v="1690.03"/>
    <x v="1"/>
    <x v="0"/>
    <x v="0"/>
    <n v="0"/>
    <x v="0"/>
  </r>
  <r>
    <x v="12"/>
    <x v="12"/>
    <n v="34"/>
    <x v="2"/>
    <s v="3ºC"/>
    <x v="0"/>
    <s v="Mineral"/>
    <x v="6"/>
    <s v="2 - Arrendamento"/>
    <n v="19.39"/>
    <n v="19.39"/>
    <n v="19.39"/>
    <n v="19.39"/>
    <n v="1551.2"/>
    <n v="1589.98"/>
    <n v="1589.98"/>
    <n v="1535.61"/>
    <x v="0"/>
    <x v="21"/>
    <x v="0"/>
    <x v="0"/>
    <x v="0"/>
    <n v="19.39"/>
    <n v="19.39"/>
    <n v="19.39"/>
    <n v="1551.2"/>
    <n v="1589.98"/>
    <n v="1589.98"/>
    <n v="1535.61"/>
    <n v="1535.61"/>
    <n v="1535.61"/>
    <x v="1"/>
    <x v="0"/>
    <x v="0"/>
    <n v="0"/>
    <x v="0"/>
  </r>
  <r>
    <x v="12"/>
    <x v="12"/>
    <n v="35"/>
    <x v="2"/>
    <s v="3ºC"/>
    <x v="0"/>
    <s v="Mineral"/>
    <x v="6"/>
    <s v="2 - Arrendamento"/>
    <n v="59.08"/>
    <n v="59.08"/>
    <n v="59.08"/>
    <n v="59.08"/>
    <n v="5199.04"/>
    <n v="5258.12"/>
    <n v="5258.12"/>
    <n v="5426.04"/>
    <x v="0"/>
    <x v="20"/>
    <x v="0"/>
    <x v="0"/>
    <x v="0"/>
    <n v="59.08"/>
    <n v="59.08"/>
    <n v="59.08"/>
    <n v="5199.04"/>
    <n v="5258.12"/>
    <n v="5258.12"/>
    <n v="5426.04"/>
    <n v="5426.04"/>
    <n v="5426.04"/>
    <x v="1"/>
    <x v="0"/>
    <x v="0"/>
    <n v="0"/>
    <x v="0"/>
  </r>
  <r>
    <x v="12"/>
    <x v="12"/>
    <n v="36"/>
    <x v="2"/>
    <s v="3ºC"/>
    <x v="0"/>
    <s v="Mineral"/>
    <x v="6"/>
    <s v="2 - Arrendamento"/>
    <n v="40.380000000000003"/>
    <n v="40.380000000000003"/>
    <n v="40.380000000000003"/>
    <n v="40.380000000000003"/>
    <n v="3553.44"/>
    <n v="3593.82"/>
    <n v="3593.82"/>
    <n v="3709.08"/>
    <x v="0"/>
    <x v="20"/>
    <x v="0"/>
    <x v="0"/>
    <x v="0"/>
    <n v="40.380000000000003"/>
    <n v="40.380000000000003"/>
    <n v="40.380000000000003"/>
    <n v="3553.44"/>
    <n v="3593.82"/>
    <n v="3593.82"/>
    <n v="3709.08"/>
    <n v="3709.08"/>
    <n v="3709.08"/>
    <x v="1"/>
    <x v="0"/>
    <x v="0"/>
    <n v="0"/>
    <x v="0"/>
  </r>
  <r>
    <x v="12"/>
    <x v="12"/>
    <n v="38"/>
    <x v="2"/>
    <s v="3ºC"/>
    <x v="0"/>
    <s v="Mineral"/>
    <x v="13"/>
    <s v="2 - Arrendamento"/>
    <n v="40.5"/>
    <n v="40.5"/>
    <n v="40.5"/>
    <n v="40.5"/>
    <n v="3240"/>
    <n v="3240"/>
    <n v="2916"/>
    <n v="2984.92"/>
    <x v="0"/>
    <x v="12"/>
    <x v="0"/>
    <x v="0"/>
    <x v="0"/>
    <n v="40.5"/>
    <n v="40.5"/>
    <n v="40.5"/>
    <n v="3240"/>
    <n v="3240"/>
    <n v="2916"/>
    <n v="2984.92"/>
    <n v="2984.92"/>
    <n v="2984.92"/>
    <x v="1"/>
    <x v="0"/>
    <x v="0"/>
    <n v="0"/>
    <x v="0"/>
  </r>
  <r>
    <x v="12"/>
    <x v="12"/>
    <n v="39"/>
    <x v="2"/>
    <s v="3ºC"/>
    <x v="0"/>
    <s v="Mineral"/>
    <x v="13"/>
    <s v="2 - Arrendamento"/>
    <n v="46"/>
    <n v="46"/>
    <n v="46"/>
    <n v="46"/>
    <n v="3634"/>
    <n v="3634"/>
    <n v="3312"/>
    <n v="3390.47"/>
    <x v="0"/>
    <x v="12"/>
    <x v="0"/>
    <x v="0"/>
    <x v="0"/>
    <n v="46"/>
    <n v="46"/>
    <n v="46"/>
    <n v="3634"/>
    <n v="3634"/>
    <n v="3312"/>
    <n v="3390.47"/>
    <n v="3390.47"/>
    <n v="3390.47"/>
    <x v="1"/>
    <x v="0"/>
    <x v="0"/>
    <n v="0"/>
    <x v="0"/>
  </r>
  <r>
    <x v="12"/>
    <x v="12"/>
    <n v="77"/>
    <x v="6"/>
    <s v="5ºC"/>
    <x v="0"/>
    <s v="Mineral"/>
    <x v="8"/>
    <s v="2 - Arrendamento"/>
    <n v="7.83"/>
    <n v="7.83"/>
    <n v="7.83"/>
    <n v="7.83"/>
    <n v="469.8"/>
    <n v="469.8"/>
    <n v="469.8"/>
    <n v="633.08000000000004"/>
    <x v="0"/>
    <x v="20"/>
    <x v="0"/>
    <x v="0"/>
    <x v="0"/>
    <n v="7.83"/>
    <n v="7.83"/>
    <n v="7.83"/>
    <n v="469.8"/>
    <n v="469.8"/>
    <n v="469.8"/>
    <n v="633.08000000000004"/>
    <n v="633.08000000000004"/>
    <n v="633.08000000000004"/>
    <x v="1"/>
    <x v="0"/>
    <x v="0"/>
    <n v="0"/>
    <x v="0"/>
  </r>
  <r>
    <x v="13"/>
    <x v="13"/>
    <n v="15"/>
    <x v="2"/>
    <s v="3ºC"/>
    <x v="0"/>
    <s v="Mineral"/>
    <x v="1"/>
    <s v="2 - Arrendamento"/>
    <n v="25.77"/>
    <n v="25.77"/>
    <n v="25.77"/>
    <n v="25.77"/>
    <n v="1984.29"/>
    <n v="2010.06"/>
    <n v="2010.06"/>
    <n v="2305.7399999999998"/>
    <x v="0"/>
    <x v="12"/>
    <x v="0"/>
    <x v="0"/>
    <x v="0"/>
    <n v="25.77"/>
    <n v="25.77"/>
    <n v="25.77"/>
    <n v="1984.29"/>
    <n v="2010.06"/>
    <n v="2010.06"/>
    <n v="2305.7399999999998"/>
    <n v="2305.7399999999998"/>
    <n v="2305.7399999999998"/>
    <x v="1"/>
    <x v="0"/>
    <x v="0"/>
    <n v="0"/>
    <x v="0"/>
  </r>
  <r>
    <x v="14"/>
    <x v="14"/>
    <n v="1"/>
    <x v="2"/>
    <s v="3ºC"/>
    <x v="0"/>
    <s v="Fertirrigação"/>
    <x v="3"/>
    <s v="2 - Arrendamento"/>
    <n v="1.31"/>
    <n v="0"/>
    <n v="0"/>
    <n v="1.31"/>
    <n v="113.97"/>
    <n v="0"/>
    <n v="0"/>
    <n v="89.36"/>
    <x v="0"/>
    <x v="14"/>
    <x v="0"/>
    <x v="1"/>
    <x v="1"/>
    <n v="1.31"/>
    <n v="1.31"/>
    <n v="1.31"/>
    <n v="113.97"/>
    <n v="89.36"/>
    <n v="89.36"/>
    <n v="89.36"/>
    <n v="89.36"/>
    <n v="89.36"/>
    <x v="1"/>
    <x v="1"/>
    <x v="0"/>
    <n v="0"/>
    <x v="0"/>
  </r>
  <r>
    <x v="14"/>
    <x v="14"/>
    <n v="2"/>
    <x v="2"/>
    <s v="3ºC"/>
    <x v="0"/>
    <s v="Fertirrigação"/>
    <x v="3"/>
    <s v="2 - Arrendamento"/>
    <n v="4.2699999999999996"/>
    <n v="0"/>
    <n v="0"/>
    <n v="4.2699999999999996"/>
    <n v="371.49"/>
    <n v="0"/>
    <n v="0"/>
    <n v="290.44"/>
    <x v="0"/>
    <x v="14"/>
    <x v="0"/>
    <x v="1"/>
    <x v="1"/>
    <n v="4.2699999999999996"/>
    <n v="4.2699999999999996"/>
    <n v="4.2699999999999996"/>
    <n v="371.49"/>
    <n v="290.44"/>
    <n v="290.44"/>
    <n v="290.44"/>
    <n v="290.44"/>
    <n v="290.44"/>
    <x v="1"/>
    <x v="1"/>
    <x v="0"/>
    <n v="0"/>
    <x v="0"/>
  </r>
  <r>
    <x v="14"/>
    <x v="14"/>
    <n v="3"/>
    <x v="2"/>
    <s v="3ºC"/>
    <x v="0"/>
    <s v="Fertirrigação"/>
    <x v="3"/>
    <s v="2 - Arrendamento"/>
    <n v="9.7200000000000006"/>
    <n v="0"/>
    <n v="0"/>
    <n v="9.7200000000000006"/>
    <n v="845.64"/>
    <n v="0"/>
    <n v="0"/>
    <n v="662.61"/>
    <x v="0"/>
    <x v="14"/>
    <x v="0"/>
    <x v="1"/>
    <x v="1"/>
    <n v="9.7200000000000006"/>
    <n v="9.7200000000000006"/>
    <n v="9.7200000000000006"/>
    <n v="845.64"/>
    <n v="662.61"/>
    <n v="662.61"/>
    <n v="662.61"/>
    <n v="662.61"/>
    <n v="662.61"/>
    <x v="1"/>
    <x v="1"/>
    <x v="0"/>
    <n v="0"/>
    <x v="0"/>
  </r>
  <r>
    <x v="14"/>
    <x v="14"/>
    <n v="4"/>
    <x v="2"/>
    <s v="3ºC"/>
    <x v="0"/>
    <s v="Fertirrigação"/>
    <x v="3"/>
    <s v="2 - Arrendamento"/>
    <n v="13.25"/>
    <n v="0"/>
    <n v="0"/>
    <n v="13.25"/>
    <n v="1152.75"/>
    <n v="0"/>
    <n v="0"/>
    <n v="903.23"/>
    <x v="0"/>
    <x v="14"/>
    <x v="0"/>
    <x v="1"/>
    <x v="1"/>
    <n v="13.25"/>
    <n v="13.25"/>
    <n v="13.25"/>
    <n v="1152.75"/>
    <n v="903.23"/>
    <n v="903.23"/>
    <n v="903.23"/>
    <n v="903.23"/>
    <n v="903.23"/>
    <x v="1"/>
    <x v="1"/>
    <x v="0"/>
    <n v="0"/>
    <x v="0"/>
  </r>
  <r>
    <x v="14"/>
    <x v="14"/>
    <n v="5"/>
    <x v="2"/>
    <s v="3ºC"/>
    <x v="0"/>
    <s v="Fertirrigação"/>
    <x v="3"/>
    <s v="2 - Arrendamento"/>
    <n v="7.47"/>
    <n v="0"/>
    <n v="0"/>
    <n v="7.47"/>
    <n v="649.89"/>
    <n v="0"/>
    <n v="0"/>
    <n v="509.09"/>
    <x v="0"/>
    <x v="14"/>
    <x v="0"/>
    <x v="1"/>
    <x v="1"/>
    <n v="7.47"/>
    <n v="7.47"/>
    <n v="7.47"/>
    <n v="649.89"/>
    <n v="509.09"/>
    <n v="509.09"/>
    <n v="509.09"/>
    <n v="509.09"/>
    <n v="509.09"/>
    <x v="1"/>
    <x v="1"/>
    <x v="0"/>
    <n v="0"/>
    <x v="0"/>
  </r>
  <r>
    <x v="14"/>
    <x v="14"/>
    <n v="9"/>
    <x v="0"/>
    <s v="6ºC"/>
    <x v="0"/>
    <s v="Fertirrigação"/>
    <x v="8"/>
    <s v="2 - Arrendamento"/>
    <n v="3.17"/>
    <n v="0"/>
    <n v="0"/>
    <n v="3.17"/>
    <n v="126.8"/>
    <n v="0"/>
    <n v="0"/>
    <n v="98.8"/>
    <x v="0"/>
    <x v="14"/>
    <x v="0"/>
    <x v="1"/>
    <x v="1"/>
    <n v="3.17"/>
    <n v="3.17"/>
    <n v="3.17"/>
    <n v="126.8"/>
    <n v="98.8"/>
    <n v="98.8"/>
    <n v="98.8"/>
    <n v="98.8"/>
    <n v="98.8"/>
    <x v="1"/>
    <x v="1"/>
    <x v="0"/>
    <n v="0"/>
    <x v="0"/>
  </r>
  <r>
    <x v="14"/>
    <x v="14"/>
    <n v="48"/>
    <x v="4"/>
    <s v="4ºC"/>
    <x v="0"/>
    <s v="Fertirrigação"/>
    <x v="14"/>
    <s v="2 - Arrendamento"/>
    <n v="9.51"/>
    <n v="0"/>
    <n v="0"/>
    <n v="9.51"/>
    <n v="646.67999999999995"/>
    <n v="0"/>
    <n v="0"/>
    <n v="729.45"/>
    <x v="0"/>
    <x v="22"/>
    <x v="0"/>
    <x v="1"/>
    <x v="1"/>
    <n v="9.51"/>
    <n v="9.51"/>
    <n v="9.51"/>
    <n v="646.67999999999995"/>
    <n v="729.45"/>
    <n v="729.45"/>
    <n v="729.45"/>
    <n v="729.45"/>
    <n v="729.45"/>
    <x v="1"/>
    <x v="1"/>
    <x v="0"/>
    <n v="0"/>
    <x v="0"/>
  </r>
  <r>
    <x v="14"/>
    <x v="14"/>
    <n v="49"/>
    <x v="4"/>
    <s v="4ºC"/>
    <x v="0"/>
    <s v="Fertirrigação"/>
    <x v="14"/>
    <s v="2 - Arrendamento"/>
    <n v="11.57"/>
    <n v="0"/>
    <n v="0"/>
    <n v="11.57"/>
    <n v="786.76"/>
    <n v="0"/>
    <n v="0"/>
    <n v="887.34"/>
    <x v="0"/>
    <x v="22"/>
    <x v="0"/>
    <x v="1"/>
    <x v="1"/>
    <n v="11.57"/>
    <n v="11.57"/>
    <n v="11.57"/>
    <n v="786.76"/>
    <n v="887.34"/>
    <n v="887.34"/>
    <n v="887.34"/>
    <n v="887.34"/>
    <n v="887.34"/>
    <x v="1"/>
    <x v="1"/>
    <x v="0"/>
    <n v="0"/>
    <x v="0"/>
  </r>
  <r>
    <x v="14"/>
    <x v="14"/>
    <n v="133"/>
    <x v="2"/>
    <s v="3ºC"/>
    <x v="0"/>
    <s v="Fertirrigação"/>
    <x v="3"/>
    <s v="2 - Arrendamento"/>
    <n v="23.97"/>
    <n v="0"/>
    <n v="0"/>
    <n v="23.97"/>
    <n v="1869.66"/>
    <n v="0"/>
    <n v="0"/>
    <n v="1940.19"/>
    <x v="0"/>
    <x v="3"/>
    <x v="0"/>
    <x v="1"/>
    <x v="1"/>
    <n v="23.97"/>
    <n v="23.97"/>
    <n v="23.97"/>
    <n v="1869.66"/>
    <n v="1940.19"/>
    <n v="1940.19"/>
    <n v="1940.19"/>
    <n v="1940.19"/>
    <n v="1940.19"/>
    <x v="1"/>
    <x v="1"/>
    <x v="0"/>
    <n v="0"/>
    <x v="0"/>
  </r>
  <r>
    <x v="14"/>
    <x v="14"/>
    <n v="134"/>
    <x v="2"/>
    <s v="3ºC"/>
    <x v="0"/>
    <s v="Fertirrigação"/>
    <x v="3"/>
    <s v="2 - Arrendamento"/>
    <n v="20.2"/>
    <n v="0"/>
    <n v="0"/>
    <n v="20.2"/>
    <n v="1979.6"/>
    <n v="0"/>
    <n v="0"/>
    <n v="2054.3200000000002"/>
    <x v="0"/>
    <x v="3"/>
    <x v="0"/>
    <x v="1"/>
    <x v="1"/>
    <n v="20.2"/>
    <n v="20.2"/>
    <n v="20.2"/>
    <n v="1979.6"/>
    <n v="2054.3200000000002"/>
    <n v="2054.3200000000002"/>
    <n v="2054.3200000000002"/>
    <n v="2054.3200000000002"/>
    <n v="2054.3200000000002"/>
    <x v="1"/>
    <x v="1"/>
    <x v="0"/>
    <n v="0"/>
    <x v="0"/>
  </r>
  <r>
    <x v="14"/>
    <x v="14"/>
    <n v="135"/>
    <x v="2"/>
    <s v="3ºC"/>
    <x v="0"/>
    <s v="Fertirrigação"/>
    <x v="3"/>
    <s v="2 - Arrendamento"/>
    <n v="25.52"/>
    <n v="0"/>
    <n v="0"/>
    <n v="25.52"/>
    <n v="1990.56"/>
    <n v="0"/>
    <n v="0"/>
    <n v="2593.96"/>
    <x v="0"/>
    <x v="3"/>
    <x v="0"/>
    <x v="1"/>
    <x v="1"/>
    <n v="25.52"/>
    <n v="25.52"/>
    <n v="25.52"/>
    <n v="1990.56"/>
    <n v="2593.96"/>
    <n v="2593.96"/>
    <n v="2593.96"/>
    <n v="2593.96"/>
    <n v="2593.96"/>
    <x v="1"/>
    <x v="1"/>
    <x v="0"/>
    <n v="0"/>
    <x v="0"/>
  </r>
  <r>
    <x v="14"/>
    <x v="14"/>
    <n v="136"/>
    <x v="2"/>
    <s v="3ºC"/>
    <x v="0"/>
    <s v="Fertirrigação"/>
    <x v="3"/>
    <s v="2 - Arrendamento"/>
    <n v="23.19"/>
    <n v="0"/>
    <n v="0"/>
    <n v="23.19"/>
    <n v="1808.82"/>
    <n v="0"/>
    <n v="0"/>
    <n v="2356.8200000000002"/>
    <x v="0"/>
    <x v="3"/>
    <x v="0"/>
    <x v="1"/>
    <x v="1"/>
    <n v="23.19"/>
    <n v="23.19"/>
    <n v="23.19"/>
    <n v="1808.82"/>
    <n v="2356.8200000000002"/>
    <n v="2356.8200000000002"/>
    <n v="2356.8200000000002"/>
    <n v="2356.8200000000002"/>
    <n v="2356.8200000000002"/>
    <x v="1"/>
    <x v="1"/>
    <x v="0"/>
    <n v="0"/>
    <x v="0"/>
  </r>
  <r>
    <x v="14"/>
    <x v="14"/>
    <n v="137"/>
    <x v="2"/>
    <s v="3ºC"/>
    <x v="0"/>
    <s v="Fertirrigação"/>
    <x v="3"/>
    <s v="2 - Arrendamento"/>
    <n v="26.61"/>
    <n v="0"/>
    <n v="0"/>
    <n v="26.61"/>
    <n v="2075.58"/>
    <n v="0"/>
    <n v="0"/>
    <n v="2704.71"/>
    <x v="0"/>
    <x v="3"/>
    <x v="0"/>
    <x v="1"/>
    <x v="1"/>
    <n v="26.61"/>
    <n v="26.61"/>
    <n v="26.61"/>
    <n v="2075.58"/>
    <n v="2704.71"/>
    <n v="2704.71"/>
    <n v="2704.71"/>
    <n v="2704.71"/>
    <n v="2704.71"/>
    <x v="1"/>
    <x v="1"/>
    <x v="0"/>
    <n v="0"/>
    <x v="0"/>
  </r>
  <r>
    <x v="14"/>
    <x v="14"/>
    <n v="138"/>
    <x v="2"/>
    <s v="3ºC"/>
    <x v="0"/>
    <s v="Fertirrigação"/>
    <x v="3"/>
    <s v="2 - Arrendamento"/>
    <n v="25.8"/>
    <n v="0"/>
    <n v="0"/>
    <n v="25.8"/>
    <n v="2322"/>
    <n v="0"/>
    <n v="0"/>
    <n v="2409.1799999999998"/>
    <x v="0"/>
    <x v="3"/>
    <x v="0"/>
    <x v="1"/>
    <x v="1"/>
    <n v="25.8"/>
    <n v="25.8"/>
    <n v="25.8"/>
    <n v="2322"/>
    <n v="2409.1799999999998"/>
    <n v="2409.1799999999998"/>
    <n v="2409.1799999999998"/>
    <n v="2409.1799999999998"/>
    <n v="2409.1799999999998"/>
    <x v="1"/>
    <x v="1"/>
    <x v="0"/>
    <n v="0"/>
    <x v="0"/>
  </r>
  <r>
    <x v="14"/>
    <x v="14"/>
    <n v="139"/>
    <x v="2"/>
    <s v="3ºC"/>
    <x v="0"/>
    <s v="Fertirrigação"/>
    <x v="3"/>
    <s v="2 - Arrendamento"/>
    <n v="11.94"/>
    <n v="0"/>
    <n v="0"/>
    <n v="11.94"/>
    <n v="931.32"/>
    <n v="0"/>
    <n v="0"/>
    <n v="966.31"/>
    <x v="0"/>
    <x v="3"/>
    <x v="0"/>
    <x v="1"/>
    <x v="1"/>
    <n v="11.94"/>
    <n v="11.94"/>
    <n v="11.94"/>
    <n v="931.32"/>
    <n v="966.31"/>
    <n v="966.31"/>
    <n v="966.31"/>
    <n v="966.31"/>
    <n v="966.31"/>
    <x v="1"/>
    <x v="1"/>
    <x v="0"/>
    <n v="0"/>
    <x v="0"/>
  </r>
  <r>
    <x v="14"/>
    <x v="14"/>
    <n v="140"/>
    <x v="2"/>
    <s v="3ºC"/>
    <x v="0"/>
    <s v="Fertirrigação"/>
    <x v="3"/>
    <s v="2 - Arrendamento"/>
    <n v="15.53"/>
    <n v="0"/>
    <n v="0"/>
    <n v="15.53"/>
    <n v="1242.4000000000001"/>
    <n v="0"/>
    <n v="0"/>
    <n v="1618.62"/>
    <x v="0"/>
    <x v="3"/>
    <x v="0"/>
    <x v="1"/>
    <x v="1"/>
    <n v="15.53"/>
    <n v="15.53"/>
    <n v="15.53"/>
    <n v="1242.4000000000001"/>
    <n v="1618.62"/>
    <n v="1618.62"/>
    <n v="1618.62"/>
    <n v="1618.62"/>
    <n v="1618.62"/>
    <x v="1"/>
    <x v="1"/>
    <x v="0"/>
    <n v="0"/>
    <x v="0"/>
  </r>
  <r>
    <x v="14"/>
    <x v="14"/>
    <n v="189"/>
    <x v="4"/>
    <s v="4ºC"/>
    <x v="0"/>
    <s v="Fertirrigação"/>
    <x v="15"/>
    <s v="2 - Arrendamento"/>
    <n v="15.08"/>
    <n v="15.08"/>
    <n v="15.08"/>
    <n v="15.08"/>
    <n v="1206.4000000000001"/>
    <n v="1206.4000000000001"/>
    <n v="1055.5999999999999"/>
    <n v="1260.02"/>
    <x v="0"/>
    <x v="20"/>
    <x v="0"/>
    <x v="0"/>
    <x v="0"/>
    <n v="15.08"/>
    <n v="15.08"/>
    <n v="15.08"/>
    <n v="1206.4000000000001"/>
    <n v="1206.4000000000001"/>
    <n v="1055.5999999999999"/>
    <n v="1260.02"/>
    <n v="1260.02"/>
    <n v="1260.02"/>
    <x v="1"/>
    <x v="2"/>
    <x v="1"/>
    <n v="301.60000000000002"/>
    <x v="0"/>
  </r>
  <r>
    <x v="14"/>
    <x v="14"/>
    <n v="190"/>
    <x v="4"/>
    <s v="4ºC"/>
    <x v="0"/>
    <s v="Fertirrigação"/>
    <x v="6"/>
    <s v="2 - Arrendamento"/>
    <n v="41.45"/>
    <n v="41.45"/>
    <n v="41.45"/>
    <n v="41.45"/>
    <n v="3316"/>
    <n v="3316"/>
    <n v="2901.5"/>
    <n v="3462.94"/>
    <x v="0"/>
    <x v="20"/>
    <x v="0"/>
    <x v="0"/>
    <x v="0"/>
    <n v="41.45"/>
    <n v="41.45"/>
    <n v="41.45"/>
    <n v="3316"/>
    <n v="3316"/>
    <n v="2901.5"/>
    <n v="3462.94"/>
    <n v="3462.94"/>
    <n v="3462.94"/>
    <x v="1"/>
    <x v="2"/>
    <x v="1"/>
    <n v="829"/>
    <x v="0"/>
  </r>
  <r>
    <x v="14"/>
    <x v="14"/>
    <n v="191"/>
    <x v="4"/>
    <s v="4ºC"/>
    <x v="0"/>
    <s v="Fertirrigação"/>
    <x v="6"/>
    <s v="2 - Arrendamento"/>
    <n v="47.63"/>
    <n v="47.63"/>
    <n v="47.63"/>
    <n v="47.63"/>
    <n v="3429.36"/>
    <n v="3524.62"/>
    <n v="3334.1"/>
    <n v="3126.82"/>
    <x v="0"/>
    <x v="20"/>
    <x v="0"/>
    <x v="0"/>
    <x v="0"/>
    <n v="47.63"/>
    <n v="47.63"/>
    <n v="47.63"/>
    <n v="3429.36"/>
    <n v="3524.62"/>
    <n v="3334.1"/>
    <n v="3126.82"/>
    <n v="3126.82"/>
    <n v="3126.82"/>
    <x v="1"/>
    <x v="2"/>
    <x v="1"/>
    <n v="952.6"/>
    <x v="0"/>
  </r>
  <r>
    <x v="14"/>
    <x v="14"/>
    <n v="192"/>
    <x v="4"/>
    <s v="4ºC"/>
    <x v="0"/>
    <s v="Fertirrigação"/>
    <x v="6"/>
    <s v="2 - Arrendamento"/>
    <n v="26.84"/>
    <n v="26.84"/>
    <n v="26.84"/>
    <n v="26.84"/>
    <n v="1959.32"/>
    <n v="2039.84"/>
    <n v="1878.8"/>
    <n v="1762.35"/>
    <x v="0"/>
    <x v="20"/>
    <x v="0"/>
    <x v="0"/>
    <x v="0"/>
    <n v="26.84"/>
    <n v="26.84"/>
    <n v="26.84"/>
    <n v="1959.32"/>
    <n v="2039.84"/>
    <n v="1878.8"/>
    <n v="1762.35"/>
    <n v="1762.35"/>
    <n v="1762.35"/>
    <x v="1"/>
    <x v="2"/>
    <x v="1"/>
    <n v="536.79999999999995"/>
    <x v="0"/>
  </r>
  <r>
    <x v="14"/>
    <x v="14"/>
    <n v="263"/>
    <x v="2"/>
    <s v="3ºC"/>
    <x v="0"/>
    <s v="Fertirrigação"/>
    <x v="14"/>
    <s v="2 - Arrendamento"/>
    <n v="21.45"/>
    <n v="0"/>
    <n v="0"/>
    <n v="21.45"/>
    <n v="1930.5"/>
    <n v="0"/>
    <n v="0"/>
    <n v="2057.79"/>
    <x v="0"/>
    <x v="6"/>
    <x v="0"/>
    <x v="1"/>
    <x v="1"/>
    <n v="21.45"/>
    <n v="21.45"/>
    <n v="21.45"/>
    <n v="1930.5"/>
    <n v="2057.79"/>
    <n v="2057.79"/>
    <n v="2057.79"/>
    <n v="2057.79"/>
    <n v="2057.79"/>
    <x v="1"/>
    <x v="1"/>
    <x v="0"/>
    <n v="0"/>
    <x v="0"/>
  </r>
  <r>
    <x v="14"/>
    <x v="14"/>
    <n v="264"/>
    <x v="2"/>
    <s v="3ºC"/>
    <x v="0"/>
    <s v="Fertirrigação"/>
    <x v="14"/>
    <s v="2 - Arrendamento"/>
    <n v="46.76"/>
    <n v="0"/>
    <n v="0"/>
    <n v="46.76"/>
    <n v="4208.3999999999996"/>
    <n v="0"/>
    <n v="0"/>
    <n v="4484.45"/>
    <x v="0"/>
    <x v="6"/>
    <x v="0"/>
    <x v="1"/>
    <x v="1"/>
    <n v="46.76"/>
    <n v="46.76"/>
    <n v="46.76"/>
    <n v="4208.3999999999996"/>
    <n v="4484.45"/>
    <n v="4484.45"/>
    <n v="4484.45"/>
    <n v="4484.45"/>
    <n v="4484.45"/>
    <x v="1"/>
    <x v="1"/>
    <x v="0"/>
    <n v="0"/>
    <x v="0"/>
  </r>
  <r>
    <x v="14"/>
    <x v="14"/>
    <n v="280"/>
    <x v="2"/>
    <s v="3ºC"/>
    <x v="0"/>
    <s v="Fertirrigação"/>
    <x v="14"/>
    <s v="2 - Arrendamento"/>
    <n v="23.85"/>
    <n v="23.85"/>
    <n v="0"/>
    <n v="23.85"/>
    <n v="2146.5"/>
    <n v="2194.1999999999998"/>
    <n v="0"/>
    <n v="1965.24"/>
    <x v="0"/>
    <x v="13"/>
    <x v="0"/>
    <x v="0"/>
    <x v="1"/>
    <n v="23.85"/>
    <n v="23.85"/>
    <n v="23.85"/>
    <n v="2146.5"/>
    <n v="2194.1999999999998"/>
    <n v="1965.24"/>
    <n v="1965.24"/>
    <n v="1965.24"/>
    <n v="1965.24"/>
    <x v="1"/>
    <x v="1"/>
    <x v="0"/>
    <n v="0"/>
    <x v="0"/>
  </r>
  <r>
    <x v="14"/>
    <x v="14"/>
    <n v="281"/>
    <x v="2"/>
    <s v="3ºC"/>
    <x v="0"/>
    <s v="Fertirrigação"/>
    <x v="14"/>
    <s v="2 - Arrendamento"/>
    <n v="17.78"/>
    <n v="17.78"/>
    <n v="0"/>
    <n v="17.78"/>
    <n v="1600.2"/>
    <n v="1635.76"/>
    <n v="0"/>
    <n v="1465.61"/>
    <x v="0"/>
    <x v="13"/>
    <x v="0"/>
    <x v="0"/>
    <x v="1"/>
    <n v="17.78"/>
    <n v="17.78"/>
    <n v="17.78"/>
    <n v="1600.2"/>
    <n v="1635.76"/>
    <n v="1465.61"/>
    <n v="1465.61"/>
    <n v="1465.61"/>
    <n v="1465.61"/>
    <x v="1"/>
    <x v="1"/>
    <x v="0"/>
    <n v="0"/>
    <x v="0"/>
  </r>
  <r>
    <x v="14"/>
    <x v="14"/>
    <n v="292"/>
    <x v="5"/>
    <s v="2ºC"/>
    <x v="0"/>
    <s v="Fertirrigação"/>
    <x v="16"/>
    <s v="2 - Arrendamento"/>
    <n v="23.77"/>
    <n v="23.77"/>
    <n v="0"/>
    <n v="23.77"/>
    <n v="2234.38"/>
    <n v="2258.15"/>
    <n v="0"/>
    <n v="2856.05"/>
    <x v="0"/>
    <x v="8"/>
    <x v="0"/>
    <x v="0"/>
    <x v="1"/>
    <n v="23.77"/>
    <n v="23.77"/>
    <n v="23.77"/>
    <n v="2234.38"/>
    <n v="2258.15"/>
    <n v="2856.05"/>
    <n v="2856.05"/>
    <n v="2856.05"/>
    <n v="2856.05"/>
    <x v="1"/>
    <x v="1"/>
    <x v="0"/>
    <n v="0"/>
    <x v="0"/>
  </r>
  <r>
    <x v="14"/>
    <x v="14"/>
    <n v="293"/>
    <x v="5"/>
    <s v="2ºC"/>
    <x v="0"/>
    <s v="Fertirrigação"/>
    <x v="16"/>
    <s v="2 - Arrendamento"/>
    <n v="18.7"/>
    <n v="18.7"/>
    <n v="0"/>
    <n v="18.7"/>
    <n v="1757.8"/>
    <n v="1776.5"/>
    <n v="0"/>
    <n v="2247.62"/>
    <x v="0"/>
    <x v="8"/>
    <x v="0"/>
    <x v="0"/>
    <x v="1"/>
    <n v="18.7"/>
    <n v="18.7"/>
    <n v="18.7"/>
    <n v="1757.8"/>
    <n v="1776.5"/>
    <n v="2247.62"/>
    <n v="2247.62"/>
    <n v="2247.62"/>
    <n v="2247.62"/>
    <x v="1"/>
    <x v="1"/>
    <x v="0"/>
    <n v="0"/>
    <x v="0"/>
  </r>
  <r>
    <x v="14"/>
    <x v="14"/>
    <n v="294"/>
    <x v="5"/>
    <s v="2ºC"/>
    <x v="0"/>
    <s v="Fertirrigação"/>
    <x v="16"/>
    <s v="2 - Arrendamento"/>
    <n v="19.690000000000001"/>
    <n v="19.690000000000001"/>
    <n v="0"/>
    <n v="19.690000000000001"/>
    <n v="1850.86"/>
    <n v="1870.55"/>
    <n v="0"/>
    <n v="2366.52"/>
    <x v="0"/>
    <x v="8"/>
    <x v="0"/>
    <x v="0"/>
    <x v="1"/>
    <n v="19.690000000000001"/>
    <n v="19.690000000000001"/>
    <n v="19.690000000000001"/>
    <n v="1850.86"/>
    <n v="1870.55"/>
    <n v="2366.52"/>
    <n v="2366.52"/>
    <n v="2366.52"/>
    <n v="2366.52"/>
    <x v="1"/>
    <x v="1"/>
    <x v="0"/>
    <n v="0"/>
    <x v="0"/>
  </r>
  <r>
    <x v="14"/>
    <x v="14"/>
    <n v="295"/>
    <x v="5"/>
    <s v="2ºC"/>
    <x v="0"/>
    <s v="Fertirrigação"/>
    <x v="16"/>
    <s v="2 - Arrendamento"/>
    <n v="28.02"/>
    <n v="28.02"/>
    <n v="0"/>
    <n v="28.02"/>
    <n v="2633.88"/>
    <n v="2661.9"/>
    <n v="0"/>
    <n v="3367.77"/>
    <x v="0"/>
    <x v="8"/>
    <x v="0"/>
    <x v="0"/>
    <x v="1"/>
    <n v="28.02"/>
    <n v="28.02"/>
    <n v="28.02"/>
    <n v="2633.88"/>
    <n v="2661.9"/>
    <n v="3367.77"/>
    <n v="3367.77"/>
    <n v="3367.77"/>
    <n v="3367.77"/>
    <x v="1"/>
    <x v="1"/>
    <x v="0"/>
    <n v="0"/>
    <x v="0"/>
  </r>
  <r>
    <x v="14"/>
    <x v="14"/>
    <n v="296"/>
    <x v="3"/>
    <s v="ANO"/>
    <x v="0"/>
    <s v="Fertirrigação"/>
    <x v="5"/>
    <s v="2 - Arrendamento"/>
    <n v="3.56"/>
    <n v="0"/>
    <n v="0"/>
    <n v="3.56"/>
    <n v="231.4"/>
    <n v="0"/>
    <n v="0"/>
    <n v="231.25"/>
    <x v="0"/>
    <x v="21"/>
    <x v="0"/>
    <x v="1"/>
    <x v="1"/>
    <n v="3.56"/>
    <n v="3.56"/>
    <n v="3.56"/>
    <n v="231.4"/>
    <n v="231.25"/>
    <n v="231.25"/>
    <n v="231.25"/>
    <n v="231.25"/>
    <n v="231.25"/>
    <x v="1"/>
    <x v="1"/>
    <x v="0"/>
    <n v="0"/>
    <x v="0"/>
  </r>
  <r>
    <x v="14"/>
    <x v="14"/>
    <n v="297"/>
    <x v="3"/>
    <s v="ANO"/>
    <x v="0"/>
    <s v="Fertirrigação"/>
    <x v="5"/>
    <s v="2 - Arrendamento"/>
    <n v="1.46"/>
    <n v="0"/>
    <n v="0"/>
    <n v="1.46"/>
    <n v="94.9"/>
    <n v="0"/>
    <n v="0"/>
    <n v="94.66"/>
    <x v="0"/>
    <x v="21"/>
    <x v="0"/>
    <x v="1"/>
    <x v="1"/>
    <n v="1.46"/>
    <n v="1.46"/>
    <n v="1.46"/>
    <n v="94.9"/>
    <n v="94.66"/>
    <n v="94.66"/>
    <n v="94.66"/>
    <n v="94.66"/>
    <n v="94.66"/>
    <x v="1"/>
    <x v="1"/>
    <x v="0"/>
    <n v="0"/>
    <x v="0"/>
  </r>
  <r>
    <x v="14"/>
    <x v="14"/>
    <n v="298"/>
    <x v="3"/>
    <s v="ANO"/>
    <x v="0"/>
    <s v="Fertirrigação"/>
    <x v="5"/>
    <s v="2 - Arrendamento"/>
    <n v="8"/>
    <n v="0"/>
    <n v="0"/>
    <n v="8"/>
    <n v="520"/>
    <n v="0"/>
    <n v="0"/>
    <n v="520.34"/>
    <x v="0"/>
    <x v="21"/>
    <x v="0"/>
    <x v="1"/>
    <x v="1"/>
    <n v="8"/>
    <n v="8"/>
    <n v="8"/>
    <n v="520"/>
    <n v="520.34"/>
    <n v="520.34"/>
    <n v="520.34"/>
    <n v="520.34"/>
    <n v="520.34"/>
    <x v="1"/>
    <x v="1"/>
    <x v="0"/>
    <n v="0"/>
    <x v="0"/>
  </r>
  <r>
    <x v="14"/>
    <x v="14"/>
    <n v="299"/>
    <x v="3"/>
    <s v="ANO"/>
    <x v="0"/>
    <s v="Fertirrigação"/>
    <x v="5"/>
    <s v="2 - Arrendamento"/>
    <n v="6.44"/>
    <n v="0"/>
    <n v="0"/>
    <n v="6.44"/>
    <n v="418.6"/>
    <n v="0"/>
    <n v="0"/>
    <n v="418.44"/>
    <x v="0"/>
    <x v="21"/>
    <x v="0"/>
    <x v="1"/>
    <x v="1"/>
    <n v="6.44"/>
    <n v="6.44"/>
    <n v="6.44"/>
    <n v="418.6"/>
    <n v="418.44"/>
    <n v="418.44"/>
    <n v="418.44"/>
    <n v="418.44"/>
    <n v="418.44"/>
    <x v="1"/>
    <x v="1"/>
    <x v="0"/>
    <n v="0"/>
    <x v="0"/>
  </r>
  <r>
    <x v="14"/>
    <x v="14"/>
    <n v="300"/>
    <x v="3"/>
    <s v="ANO"/>
    <x v="0"/>
    <s v="Fertirrigação"/>
    <x v="5"/>
    <s v="2 - Arrendamento"/>
    <n v="3.7"/>
    <n v="0"/>
    <n v="0"/>
    <n v="3.7"/>
    <n v="240.5"/>
    <n v="0"/>
    <n v="0"/>
    <n v="240.77"/>
    <x v="0"/>
    <x v="21"/>
    <x v="0"/>
    <x v="1"/>
    <x v="1"/>
    <n v="3.7"/>
    <n v="3.7"/>
    <n v="3.7"/>
    <n v="240.5"/>
    <n v="240.77"/>
    <n v="240.77"/>
    <n v="240.77"/>
    <n v="240.77"/>
    <n v="240.77"/>
    <x v="1"/>
    <x v="1"/>
    <x v="0"/>
    <n v="0"/>
    <x v="0"/>
  </r>
  <r>
    <x v="14"/>
    <x v="14"/>
    <n v="352"/>
    <x v="4"/>
    <s v="4ºC"/>
    <x v="0"/>
    <s v="Fertirrigação"/>
    <x v="3"/>
    <s v="2 - Arrendamento"/>
    <n v="12.4"/>
    <n v="12.4"/>
    <n v="0"/>
    <n v="12.4"/>
    <n v="868"/>
    <n v="917.6"/>
    <n v="0"/>
    <n v="757.08"/>
    <x v="0"/>
    <x v="18"/>
    <x v="0"/>
    <x v="0"/>
    <x v="1"/>
    <n v="12.4"/>
    <n v="12.4"/>
    <n v="12.4"/>
    <n v="868"/>
    <n v="917.6"/>
    <n v="757.08"/>
    <n v="757.08"/>
    <n v="757.08"/>
    <n v="757.08"/>
    <x v="1"/>
    <x v="1"/>
    <x v="0"/>
    <n v="0"/>
    <x v="0"/>
  </r>
  <r>
    <x v="14"/>
    <x v="14"/>
    <n v="353"/>
    <x v="4"/>
    <s v="4ºC"/>
    <x v="0"/>
    <s v="Fertirrigação"/>
    <x v="3"/>
    <s v="2 - Arrendamento"/>
    <n v="19"/>
    <n v="19"/>
    <n v="0"/>
    <n v="19"/>
    <n v="1330"/>
    <n v="1406"/>
    <n v="0"/>
    <n v="1159.5999999999999"/>
    <x v="0"/>
    <x v="18"/>
    <x v="0"/>
    <x v="0"/>
    <x v="1"/>
    <n v="19"/>
    <n v="19"/>
    <n v="19"/>
    <n v="1330"/>
    <n v="1406"/>
    <n v="1159.5999999999999"/>
    <n v="1159.5999999999999"/>
    <n v="1159.5999999999999"/>
    <n v="1159.5999999999999"/>
    <x v="1"/>
    <x v="1"/>
    <x v="0"/>
    <n v="0"/>
    <x v="0"/>
  </r>
  <r>
    <x v="14"/>
    <x v="14"/>
    <n v="354"/>
    <x v="4"/>
    <s v="4ºC"/>
    <x v="0"/>
    <s v="Fertirrigação"/>
    <x v="3"/>
    <s v="2 - Arrendamento"/>
    <n v="16.96"/>
    <n v="16.96"/>
    <n v="0"/>
    <n v="16.96"/>
    <n v="1187.2"/>
    <n v="1255.04"/>
    <n v="0"/>
    <n v="1035.05"/>
    <x v="0"/>
    <x v="18"/>
    <x v="0"/>
    <x v="0"/>
    <x v="1"/>
    <n v="16.96"/>
    <n v="16.96"/>
    <n v="16.96"/>
    <n v="1187.2"/>
    <n v="1255.04"/>
    <n v="1035.05"/>
    <n v="1035.05"/>
    <n v="1035.05"/>
    <n v="1035.05"/>
    <x v="1"/>
    <x v="1"/>
    <x v="0"/>
    <n v="0"/>
    <x v="0"/>
  </r>
  <r>
    <x v="14"/>
    <x v="14"/>
    <n v="355"/>
    <x v="4"/>
    <s v="4ºC"/>
    <x v="0"/>
    <s v="Fertirrigação"/>
    <x v="14"/>
    <s v="2 - Arrendamento"/>
    <n v="23.93"/>
    <n v="23.93"/>
    <n v="0"/>
    <n v="23.93"/>
    <n v="1675.1"/>
    <n v="1770.82"/>
    <n v="0"/>
    <n v="1460.65"/>
    <x v="0"/>
    <x v="18"/>
    <x v="0"/>
    <x v="0"/>
    <x v="1"/>
    <n v="23.93"/>
    <n v="23.93"/>
    <n v="23.93"/>
    <n v="1675.1"/>
    <n v="1770.82"/>
    <n v="1460.65"/>
    <n v="1460.65"/>
    <n v="1460.65"/>
    <n v="1460.65"/>
    <x v="1"/>
    <x v="1"/>
    <x v="0"/>
    <n v="0"/>
    <x v="0"/>
  </r>
  <r>
    <x v="14"/>
    <x v="14"/>
    <n v="356"/>
    <x v="4"/>
    <s v="4ºC"/>
    <x v="0"/>
    <s v="Fertirrigação"/>
    <x v="14"/>
    <s v="2 - Arrendamento"/>
    <n v="12.28"/>
    <n v="12.28"/>
    <n v="0"/>
    <n v="12.28"/>
    <n v="859.6"/>
    <n v="908.72"/>
    <n v="0"/>
    <n v="750.1"/>
    <x v="0"/>
    <x v="18"/>
    <x v="0"/>
    <x v="0"/>
    <x v="1"/>
    <n v="12.28"/>
    <n v="12.28"/>
    <n v="12.28"/>
    <n v="859.6"/>
    <n v="908.72"/>
    <n v="750.1"/>
    <n v="750.1"/>
    <n v="750.1"/>
    <n v="750.1"/>
    <x v="1"/>
    <x v="1"/>
    <x v="0"/>
    <n v="0"/>
    <x v="0"/>
  </r>
  <r>
    <x v="14"/>
    <x v="14"/>
    <n v="378"/>
    <x v="2"/>
    <s v="3ºC"/>
    <x v="0"/>
    <s v="Fertirrigação"/>
    <x v="3"/>
    <s v="2 - Arrendamento"/>
    <n v="16.18"/>
    <n v="0"/>
    <n v="0"/>
    <n v="16.18"/>
    <n v="1456.2"/>
    <n v="0"/>
    <n v="0"/>
    <n v="1239.93"/>
    <x v="0"/>
    <x v="9"/>
    <x v="0"/>
    <x v="1"/>
    <x v="1"/>
    <n v="16.18"/>
    <n v="16.18"/>
    <n v="16.18"/>
    <n v="1456.2"/>
    <n v="1239.93"/>
    <n v="1239.93"/>
    <n v="1239.93"/>
    <n v="1239.93"/>
    <n v="1239.93"/>
    <x v="1"/>
    <x v="1"/>
    <x v="0"/>
    <n v="0"/>
    <x v="0"/>
  </r>
  <r>
    <x v="14"/>
    <x v="14"/>
    <n v="381"/>
    <x v="5"/>
    <s v="2ºC"/>
    <x v="0"/>
    <s v="Fertirrigação"/>
    <x v="17"/>
    <s v="2 - Arrendamento"/>
    <n v="5.77"/>
    <n v="0"/>
    <n v="0"/>
    <n v="5.77"/>
    <n v="519.29999999999995"/>
    <n v="0"/>
    <n v="0"/>
    <n v="536.04"/>
    <x v="0"/>
    <x v="23"/>
    <x v="0"/>
    <x v="1"/>
    <x v="1"/>
    <n v="5.77"/>
    <n v="5.77"/>
    <n v="5.77"/>
    <n v="519.29999999999995"/>
    <n v="536.04"/>
    <n v="536.04"/>
    <n v="536.04"/>
    <n v="536.04"/>
    <n v="536.04"/>
    <x v="1"/>
    <x v="1"/>
    <x v="0"/>
    <n v="0"/>
    <x v="0"/>
  </r>
  <r>
    <x v="14"/>
    <x v="14"/>
    <n v="382"/>
    <x v="5"/>
    <s v="2ºC"/>
    <x v="0"/>
    <s v="Fertirrigação"/>
    <x v="17"/>
    <s v="2 - Arrendamento"/>
    <n v="36.39"/>
    <n v="0"/>
    <n v="0"/>
    <n v="36.39"/>
    <n v="3275.1"/>
    <n v="0"/>
    <n v="0"/>
    <n v="3566.67"/>
    <x v="0"/>
    <x v="24"/>
    <x v="0"/>
    <x v="1"/>
    <x v="1"/>
    <n v="36.39"/>
    <n v="36.39"/>
    <n v="36.39"/>
    <n v="3275.1"/>
    <n v="3566.67"/>
    <n v="3566.67"/>
    <n v="3566.67"/>
    <n v="3566.67"/>
    <n v="3566.67"/>
    <x v="1"/>
    <x v="1"/>
    <x v="0"/>
    <n v="0"/>
    <x v="0"/>
  </r>
  <r>
    <x v="14"/>
    <x v="14"/>
    <n v="383"/>
    <x v="5"/>
    <s v="2ºC"/>
    <x v="0"/>
    <s v="Fertirrigação"/>
    <x v="17"/>
    <s v="2 - Arrendamento"/>
    <n v="15.54"/>
    <n v="0"/>
    <n v="0"/>
    <n v="15.54"/>
    <n v="1398.6"/>
    <n v="0"/>
    <n v="0"/>
    <n v="1523.53"/>
    <x v="0"/>
    <x v="24"/>
    <x v="0"/>
    <x v="1"/>
    <x v="1"/>
    <n v="15.54"/>
    <n v="15.54"/>
    <n v="15.54"/>
    <n v="1398.6"/>
    <n v="1523.53"/>
    <n v="1523.53"/>
    <n v="1523.53"/>
    <n v="1523.53"/>
    <n v="1523.53"/>
    <x v="1"/>
    <x v="1"/>
    <x v="0"/>
    <n v="0"/>
    <x v="0"/>
  </r>
  <r>
    <x v="14"/>
    <x v="14"/>
    <n v="384"/>
    <x v="5"/>
    <s v="2ºC"/>
    <x v="0"/>
    <s v="Fertirrigação"/>
    <x v="17"/>
    <s v="2 - Arrendamento"/>
    <n v="14.25"/>
    <n v="0"/>
    <n v="0"/>
    <n v="14.25"/>
    <n v="1282.5"/>
    <n v="0"/>
    <n v="0"/>
    <n v="1397.61"/>
    <x v="0"/>
    <x v="24"/>
    <x v="0"/>
    <x v="1"/>
    <x v="1"/>
    <n v="14.25"/>
    <n v="14.25"/>
    <n v="14.25"/>
    <n v="1282.5"/>
    <n v="1397.61"/>
    <n v="1397.61"/>
    <n v="1397.61"/>
    <n v="1397.61"/>
    <n v="1397.61"/>
    <x v="1"/>
    <x v="1"/>
    <x v="0"/>
    <n v="0"/>
    <x v="0"/>
  </r>
  <r>
    <x v="14"/>
    <x v="14"/>
    <n v="400"/>
    <x v="4"/>
    <s v="4ºC"/>
    <x v="0"/>
    <s v="Fertirrigação"/>
    <x v="10"/>
    <s v="2 - Arrendamento"/>
    <n v="23.16"/>
    <n v="0"/>
    <n v="0"/>
    <n v="23.16"/>
    <n v="1852.8"/>
    <n v="0"/>
    <n v="0"/>
    <n v="1765.57"/>
    <x v="0"/>
    <x v="25"/>
    <x v="0"/>
    <x v="1"/>
    <x v="1"/>
    <n v="23.16"/>
    <n v="23.16"/>
    <n v="23.16"/>
    <n v="1852.8"/>
    <n v="1765.57"/>
    <n v="1765.57"/>
    <n v="1765.57"/>
    <n v="1765.57"/>
    <n v="1765.57"/>
    <x v="1"/>
    <x v="1"/>
    <x v="0"/>
    <n v="0"/>
    <x v="0"/>
  </r>
  <r>
    <x v="14"/>
    <x v="14"/>
    <n v="401"/>
    <x v="4"/>
    <s v="4ºC"/>
    <x v="0"/>
    <s v="Fertirrigação"/>
    <x v="10"/>
    <s v="2 - Arrendamento"/>
    <n v="51.94"/>
    <n v="0"/>
    <n v="0"/>
    <n v="51.94"/>
    <n v="4414.8999999999996"/>
    <n v="0"/>
    <n v="0"/>
    <n v="4384.57"/>
    <x v="0"/>
    <x v="25"/>
    <x v="0"/>
    <x v="1"/>
    <x v="1"/>
    <n v="51.94"/>
    <n v="51.94"/>
    <n v="51.94"/>
    <n v="4414.8999999999996"/>
    <n v="4384.57"/>
    <n v="4384.57"/>
    <n v="4384.57"/>
    <n v="4384.57"/>
    <n v="4384.57"/>
    <x v="1"/>
    <x v="1"/>
    <x v="0"/>
    <n v="0"/>
    <x v="0"/>
  </r>
  <r>
    <x v="14"/>
    <x v="14"/>
    <n v="402"/>
    <x v="4"/>
    <s v="4ºC"/>
    <x v="0"/>
    <s v="Fertirrigação"/>
    <x v="10"/>
    <s v="2 - Arrendamento"/>
    <n v="30.76"/>
    <n v="0"/>
    <n v="0"/>
    <n v="30.76"/>
    <n v="2614.6"/>
    <n v="0"/>
    <n v="0"/>
    <n v="2597.15"/>
    <x v="0"/>
    <x v="25"/>
    <x v="0"/>
    <x v="1"/>
    <x v="1"/>
    <n v="30.76"/>
    <n v="30.76"/>
    <n v="30.76"/>
    <n v="2614.6"/>
    <n v="2597.15"/>
    <n v="2597.15"/>
    <n v="2597.15"/>
    <n v="2597.15"/>
    <n v="2597.15"/>
    <x v="1"/>
    <x v="1"/>
    <x v="0"/>
    <n v="0"/>
    <x v="0"/>
  </r>
  <r>
    <x v="14"/>
    <x v="14"/>
    <n v="403"/>
    <x v="4"/>
    <s v="4ºC"/>
    <x v="0"/>
    <s v="Fertirrigação"/>
    <x v="10"/>
    <s v="2 - Arrendamento"/>
    <n v="21.46"/>
    <n v="0"/>
    <n v="0"/>
    <n v="21.46"/>
    <n v="1824.1"/>
    <n v="0"/>
    <n v="0"/>
    <n v="1941.18"/>
    <x v="0"/>
    <x v="24"/>
    <x v="0"/>
    <x v="1"/>
    <x v="1"/>
    <n v="21.46"/>
    <n v="21.46"/>
    <n v="21.46"/>
    <n v="1824.1"/>
    <n v="1941.18"/>
    <n v="1941.18"/>
    <n v="1941.18"/>
    <n v="1941.18"/>
    <n v="1941.18"/>
    <x v="1"/>
    <x v="1"/>
    <x v="0"/>
    <n v="0"/>
    <x v="0"/>
  </r>
  <r>
    <x v="14"/>
    <x v="14"/>
    <n v="404"/>
    <x v="4"/>
    <s v="4ºC"/>
    <x v="0"/>
    <s v="Fertirrigação"/>
    <x v="10"/>
    <s v="2 - Arrendamento"/>
    <n v="48.33"/>
    <n v="0"/>
    <n v="0"/>
    <n v="48.33"/>
    <n v="4108.05"/>
    <n v="0"/>
    <n v="0"/>
    <n v="3915.99"/>
    <x v="0"/>
    <x v="25"/>
    <x v="0"/>
    <x v="1"/>
    <x v="1"/>
    <n v="48.33"/>
    <n v="48.33"/>
    <n v="48.33"/>
    <n v="4108.05"/>
    <n v="3915.99"/>
    <n v="3915.99"/>
    <n v="3915.99"/>
    <n v="3915.99"/>
    <n v="3915.99"/>
    <x v="1"/>
    <x v="1"/>
    <x v="0"/>
    <n v="0"/>
    <x v="0"/>
  </r>
  <r>
    <x v="14"/>
    <x v="14"/>
    <n v="405"/>
    <x v="4"/>
    <s v="4ºC"/>
    <x v="0"/>
    <s v="Fertirrigação"/>
    <x v="10"/>
    <s v="2 - Arrendamento"/>
    <n v="50.23"/>
    <n v="0"/>
    <n v="0"/>
    <n v="50.23"/>
    <n v="4269.55"/>
    <n v="0"/>
    <n v="0"/>
    <n v="3985.67"/>
    <x v="0"/>
    <x v="25"/>
    <x v="0"/>
    <x v="1"/>
    <x v="1"/>
    <n v="50.23"/>
    <n v="50.23"/>
    <n v="50.23"/>
    <n v="4269.55"/>
    <n v="3985.67"/>
    <n v="3985.67"/>
    <n v="3985.67"/>
    <n v="3985.67"/>
    <n v="3985.67"/>
    <x v="1"/>
    <x v="1"/>
    <x v="0"/>
    <n v="0"/>
    <x v="0"/>
  </r>
  <r>
    <x v="14"/>
    <x v="14"/>
    <n v="406"/>
    <x v="4"/>
    <s v="4ºC"/>
    <x v="0"/>
    <s v="Fertirrigação"/>
    <x v="10"/>
    <s v="2 - Arrendamento"/>
    <n v="58.98"/>
    <n v="0"/>
    <n v="0"/>
    <n v="58.98"/>
    <n v="5013.3"/>
    <n v="0"/>
    <n v="0"/>
    <n v="4778.9799999999996"/>
    <x v="0"/>
    <x v="25"/>
    <x v="0"/>
    <x v="1"/>
    <x v="1"/>
    <n v="58.98"/>
    <n v="58.98"/>
    <n v="58.98"/>
    <n v="5013.3"/>
    <n v="4778.9799999999996"/>
    <n v="4778.9799999999996"/>
    <n v="4778.9799999999996"/>
    <n v="4778.9799999999996"/>
    <n v="4778.9799999999996"/>
    <x v="1"/>
    <x v="1"/>
    <x v="0"/>
    <n v="0"/>
    <x v="0"/>
  </r>
  <r>
    <x v="14"/>
    <x v="14"/>
    <n v="407"/>
    <x v="4"/>
    <s v="4ºC"/>
    <x v="0"/>
    <s v="Fertirrigação"/>
    <x v="10"/>
    <s v="2 - Arrendamento"/>
    <n v="69"/>
    <n v="0"/>
    <n v="0"/>
    <n v="69"/>
    <n v="5865"/>
    <n v="0"/>
    <n v="0"/>
    <n v="5475.86"/>
    <x v="0"/>
    <x v="25"/>
    <x v="0"/>
    <x v="1"/>
    <x v="1"/>
    <n v="69"/>
    <n v="69"/>
    <n v="69"/>
    <n v="5865"/>
    <n v="5475.86"/>
    <n v="5475.86"/>
    <n v="5475.86"/>
    <n v="5475.86"/>
    <n v="5475.86"/>
    <x v="1"/>
    <x v="1"/>
    <x v="0"/>
    <n v="0"/>
    <x v="0"/>
  </r>
  <r>
    <x v="14"/>
    <x v="14"/>
    <n v="408"/>
    <x v="4"/>
    <s v="4ºC"/>
    <x v="0"/>
    <s v="Fertirrigação"/>
    <x v="3"/>
    <s v="2 - Arrendamento"/>
    <n v="22.98"/>
    <n v="0"/>
    <n v="0"/>
    <n v="22.98"/>
    <n v="1953.3"/>
    <n v="0"/>
    <n v="0"/>
    <n v="1824.75"/>
    <x v="0"/>
    <x v="25"/>
    <x v="0"/>
    <x v="1"/>
    <x v="1"/>
    <n v="22.98"/>
    <n v="22.98"/>
    <n v="22.98"/>
    <n v="1953.3"/>
    <n v="1824.75"/>
    <n v="1824.75"/>
    <n v="1824.75"/>
    <n v="1824.75"/>
    <n v="1824.75"/>
    <x v="1"/>
    <x v="1"/>
    <x v="0"/>
    <n v="0"/>
    <x v="0"/>
  </r>
  <r>
    <x v="14"/>
    <x v="14"/>
    <n v="409"/>
    <x v="4"/>
    <s v="4ºC"/>
    <x v="0"/>
    <s v="Fertirrigação"/>
    <x v="10"/>
    <s v="2 - Arrendamento"/>
    <n v="71.14"/>
    <n v="0"/>
    <n v="0"/>
    <n v="71.14"/>
    <n v="5691.2"/>
    <n v="0"/>
    <n v="0"/>
    <n v="6101.79"/>
    <x v="0"/>
    <x v="4"/>
    <x v="0"/>
    <x v="1"/>
    <x v="1"/>
    <n v="71.14"/>
    <n v="71.14"/>
    <n v="71.14"/>
    <n v="5691.2"/>
    <n v="6101.79"/>
    <n v="6101.79"/>
    <n v="6101.79"/>
    <n v="6101.79"/>
    <n v="6101.79"/>
    <x v="1"/>
    <x v="1"/>
    <x v="0"/>
    <n v="0"/>
    <x v="0"/>
  </r>
  <r>
    <x v="14"/>
    <x v="14"/>
    <n v="410"/>
    <x v="4"/>
    <s v="4ºC"/>
    <x v="0"/>
    <s v="Fertirrigação"/>
    <x v="10"/>
    <s v="2 - Arrendamento"/>
    <n v="55.77"/>
    <n v="0"/>
    <n v="0"/>
    <n v="55.77"/>
    <n v="4461.6000000000004"/>
    <n v="0"/>
    <n v="0"/>
    <n v="4834.96"/>
    <x v="0"/>
    <x v="4"/>
    <x v="0"/>
    <x v="1"/>
    <x v="1"/>
    <n v="55.77"/>
    <n v="55.77"/>
    <n v="55.77"/>
    <n v="4461.6000000000004"/>
    <n v="4834.96"/>
    <n v="4834.96"/>
    <n v="4834.96"/>
    <n v="4834.96"/>
    <n v="4834.96"/>
    <x v="1"/>
    <x v="1"/>
    <x v="0"/>
    <n v="0"/>
    <x v="0"/>
  </r>
  <r>
    <x v="14"/>
    <x v="14"/>
    <n v="411"/>
    <x v="4"/>
    <s v="4ºC"/>
    <x v="0"/>
    <s v="Fertirrigação"/>
    <x v="3"/>
    <s v="2 - Arrendamento"/>
    <n v="34.26"/>
    <n v="0"/>
    <n v="0"/>
    <n v="34.26"/>
    <n v="2740.8"/>
    <n v="0"/>
    <n v="0"/>
    <n v="3062.36"/>
    <x v="0"/>
    <x v="4"/>
    <x v="0"/>
    <x v="1"/>
    <x v="1"/>
    <n v="34.26"/>
    <n v="34.26"/>
    <n v="34.26"/>
    <n v="2740.8"/>
    <n v="3062.36"/>
    <n v="3062.36"/>
    <n v="3062.36"/>
    <n v="3062.36"/>
    <n v="3062.36"/>
    <x v="1"/>
    <x v="1"/>
    <x v="0"/>
    <n v="0"/>
    <x v="0"/>
  </r>
  <r>
    <x v="14"/>
    <x v="14"/>
    <n v="412"/>
    <x v="4"/>
    <s v="4ºC"/>
    <x v="0"/>
    <s v="Fertirrigação"/>
    <x v="10"/>
    <s v="2 - Arrendamento"/>
    <n v="31.57"/>
    <n v="0"/>
    <n v="0"/>
    <n v="31.57"/>
    <n v="2525.6"/>
    <n v="0"/>
    <n v="0"/>
    <n v="2841.3"/>
    <x v="0"/>
    <x v="4"/>
    <x v="0"/>
    <x v="1"/>
    <x v="1"/>
    <n v="31.57"/>
    <n v="31.57"/>
    <n v="31.57"/>
    <n v="2525.6"/>
    <n v="2841.3"/>
    <n v="2841.3"/>
    <n v="2841.3"/>
    <n v="2841.3"/>
    <n v="2841.3"/>
    <x v="1"/>
    <x v="1"/>
    <x v="0"/>
    <n v="0"/>
    <x v="0"/>
  </r>
  <r>
    <x v="14"/>
    <x v="14"/>
    <n v="413"/>
    <x v="4"/>
    <s v="4ºC"/>
    <x v="0"/>
    <s v="Fertirrigação"/>
    <x v="3"/>
    <s v="2 - Arrendamento"/>
    <n v="26.36"/>
    <n v="26.36"/>
    <n v="0"/>
    <n v="26.36"/>
    <n v="2108.8000000000002"/>
    <n v="2266.96"/>
    <n v="0"/>
    <n v="2065.8200000000002"/>
    <x v="0"/>
    <x v="13"/>
    <x v="0"/>
    <x v="0"/>
    <x v="1"/>
    <n v="26.36"/>
    <n v="26.36"/>
    <n v="26.36"/>
    <n v="2108.8000000000002"/>
    <n v="2266.96"/>
    <n v="2065.8200000000002"/>
    <n v="2065.8200000000002"/>
    <n v="2065.8200000000002"/>
    <n v="2065.8200000000002"/>
    <x v="1"/>
    <x v="1"/>
    <x v="0"/>
    <n v="0"/>
    <x v="0"/>
  </r>
  <r>
    <x v="14"/>
    <x v="14"/>
    <n v="414"/>
    <x v="6"/>
    <s v="5ºC"/>
    <x v="0"/>
    <s v="Fertirrigação"/>
    <x v="13"/>
    <s v="2 - Arrendamento"/>
    <n v="54.24"/>
    <n v="54.24"/>
    <n v="54.24"/>
    <n v="54.24"/>
    <n v="4339.2"/>
    <n v="4664.6400000000003"/>
    <n v="4664.6400000000003"/>
    <n v="2157.02"/>
    <x v="0"/>
    <x v="19"/>
    <x v="0"/>
    <x v="0"/>
    <x v="0"/>
    <n v="54.24"/>
    <n v="54.24"/>
    <n v="54.24"/>
    <n v="4339.2"/>
    <n v="4664.6400000000003"/>
    <n v="4664.6400000000003"/>
    <n v="2157.02"/>
    <n v="2157.02"/>
    <n v="2157.02"/>
    <x v="1"/>
    <x v="1"/>
    <x v="0"/>
    <n v="0"/>
    <x v="0"/>
  </r>
  <r>
    <x v="14"/>
    <x v="14"/>
    <n v="415"/>
    <x v="4"/>
    <s v="4ºC"/>
    <x v="0"/>
    <s v="Fertirrigação"/>
    <x v="3"/>
    <s v="2 - Arrendamento"/>
    <n v="16.350000000000001"/>
    <n v="16.350000000000001"/>
    <n v="0"/>
    <n v="16.350000000000001"/>
    <n v="1308"/>
    <n v="1406.1"/>
    <n v="0"/>
    <n v="1595.92"/>
    <x v="0"/>
    <x v="8"/>
    <x v="0"/>
    <x v="0"/>
    <x v="1"/>
    <n v="16.350000000000001"/>
    <n v="16.350000000000001"/>
    <n v="16.350000000000001"/>
    <n v="1308"/>
    <n v="1406.1"/>
    <n v="1595.92"/>
    <n v="1595.92"/>
    <n v="1595.92"/>
    <n v="1595.92"/>
    <x v="1"/>
    <x v="1"/>
    <x v="0"/>
    <n v="0"/>
    <x v="0"/>
  </r>
  <r>
    <x v="14"/>
    <x v="14"/>
    <n v="416"/>
    <x v="4"/>
    <s v="4ºC"/>
    <x v="0"/>
    <s v="Fertirrigação"/>
    <x v="3"/>
    <s v="2 - Arrendamento"/>
    <n v="27.2"/>
    <n v="27.2"/>
    <n v="0"/>
    <n v="27.2"/>
    <n v="2176"/>
    <n v="2339.1999999999998"/>
    <n v="0"/>
    <n v="2655.1"/>
    <x v="0"/>
    <x v="8"/>
    <x v="0"/>
    <x v="0"/>
    <x v="1"/>
    <n v="27.2"/>
    <n v="27.2"/>
    <n v="27.2"/>
    <n v="2176"/>
    <n v="2339.1999999999998"/>
    <n v="2655.1"/>
    <n v="2655.1"/>
    <n v="2655.1"/>
    <n v="2655.1"/>
    <x v="1"/>
    <x v="1"/>
    <x v="0"/>
    <n v="0"/>
    <x v="0"/>
  </r>
  <r>
    <x v="14"/>
    <x v="14"/>
    <n v="417"/>
    <x v="4"/>
    <s v="4ºC"/>
    <x v="0"/>
    <s v="Fertirrigação"/>
    <x v="3"/>
    <s v="2 - Arrendamento"/>
    <n v="45.43"/>
    <n v="45.43"/>
    <n v="0"/>
    <n v="45.43"/>
    <n v="3634.4"/>
    <n v="3906.98"/>
    <n v="0"/>
    <n v="4435.17"/>
    <x v="0"/>
    <x v="8"/>
    <x v="0"/>
    <x v="0"/>
    <x v="1"/>
    <n v="45.43"/>
    <n v="45.43"/>
    <n v="45.43"/>
    <n v="3634.4"/>
    <n v="3906.98"/>
    <n v="4435.17"/>
    <n v="4435.17"/>
    <n v="4435.17"/>
    <n v="4435.17"/>
    <x v="1"/>
    <x v="1"/>
    <x v="0"/>
    <n v="0"/>
    <x v="0"/>
  </r>
  <r>
    <x v="14"/>
    <x v="14"/>
    <n v="418"/>
    <x v="4"/>
    <s v="4ºC"/>
    <x v="0"/>
    <s v="Fertirrigação"/>
    <x v="3"/>
    <s v="2 - Arrendamento"/>
    <n v="32.68"/>
    <n v="32.68"/>
    <n v="0"/>
    <n v="32.68"/>
    <n v="2614.4"/>
    <n v="2679.76"/>
    <n v="0"/>
    <n v="3042.22"/>
    <x v="0"/>
    <x v="8"/>
    <x v="0"/>
    <x v="0"/>
    <x v="1"/>
    <n v="32.68"/>
    <n v="32.68"/>
    <n v="32.68"/>
    <n v="2614.4"/>
    <n v="2679.76"/>
    <n v="3042.22"/>
    <n v="3042.22"/>
    <n v="3042.22"/>
    <n v="3042.22"/>
    <x v="1"/>
    <x v="1"/>
    <x v="0"/>
    <n v="0"/>
    <x v="0"/>
  </r>
  <r>
    <x v="14"/>
    <x v="14"/>
    <n v="419"/>
    <x v="4"/>
    <s v="4ºC"/>
    <x v="0"/>
    <s v="Fertirrigação"/>
    <x v="3"/>
    <s v="2 - Arrendamento"/>
    <n v="36.909999999999997"/>
    <n v="36.909999999999997"/>
    <n v="0"/>
    <n v="36.909999999999997"/>
    <n v="2952.8"/>
    <n v="3026.62"/>
    <n v="0"/>
    <n v="3437.27"/>
    <x v="0"/>
    <x v="8"/>
    <x v="0"/>
    <x v="0"/>
    <x v="1"/>
    <n v="36.909999999999997"/>
    <n v="36.909999999999997"/>
    <n v="36.909999999999997"/>
    <n v="2952.8"/>
    <n v="3026.62"/>
    <n v="3437.27"/>
    <n v="3437.27"/>
    <n v="3437.27"/>
    <n v="3437.27"/>
    <x v="1"/>
    <x v="1"/>
    <x v="0"/>
    <n v="0"/>
    <x v="0"/>
  </r>
  <r>
    <x v="14"/>
    <x v="14"/>
    <n v="420"/>
    <x v="4"/>
    <s v="4ºC"/>
    <x v="0"/>
    <s v="Fertirrigação"/>
    <x v="3"/>
    <s v="2 - Arrendamento"/>
    <n v="30.76"/>
    <n v="30.76"/>
    <n v="0"/>
    <n v="30.76"/>
    <n v="2460.8000000000002"/>
    <n v="2522.3200000000002"/>
    <n v="0"/>
    <n v="2395.7600000000002"/>
    <x v="0"/>
    <x v="7"/>
    <x v="0"/>
    <x v="0"/>
    <x v="1"/>
    <n v="30.76"/>
    <n v="30.76"/>
    <n v="30.76"/>
    <n v="2460.8000000000002"/>
    <n v="2522.3200000000002"/>
    <n v="2395.7600000000002"/>
    <n v="2395.7600000000002"/>
    <n v="2395.7600000000002"/>
    <n v="2395.7600000000002"/>
    <x v="1"/>
    <x v="1"/>
    <x v="0"/>
    <n v="0"/>
    <x v="0"/>
  </r>
  <r>
    <x v="14"/>
    <x v="14"/>
    <n v="421"/>
    <x v="4"/>
    <s v="4ºC"/>
    <x v="0"/>
    <s v="Fertirrigação"/>
    <x v="3"/>
    <s v="2 - Arrendamento"/>
    <n v="28.99"/>
    <n v="28.99"/>
    <n v="0"/>
    <n v="28.99"/>
    <n v="2319.1999999999998"/>
    <n v="2377.1799999999998"/>
    <n v="0"/>
    <n v="2258.0100000000002"/>
    <x v="0"/>
    <x v="7"/>
    <x v="0"/>
    <x v="0"/>
    <x v="1"/>
    <n v="28.99"/>
    <n v="28.99"/>
    <n v="28.99"/>
    <n v="2319.1999999999998"/>
    <n v="2377.1799999999998"/>
    <n v="2258.0100000000002"/>
    <n v="2258.0100000000002"/>
    <n v="2258.0100000000002"/>
    <n v="2258.0100000000002"/>
    <x v="1"/>
    <x v="1"/>
    <x v="0"/>
    <n v="0"/>
    <x v="0"/>
  </r>
  <r>
    <x v="14"/>
    <x v="14"/>
    <n v="422"/>
    <x v="4"/>
    <s v="4ºC"/>
    <x v="0"/>
    <s v="Fertirrigação"/>
    <x v="3"/>
    <s v="2 - Arrendamento"/>
    <n v="28.36"/>
    <n v="28.36"/>
    <n v="0"/>
    <n v="28.36"/>
    <n v="2268.8000000000002"/>
    <n v="2325.52"/>
    <n v="0"/>
    <n v="2209.56"/>
    <x v="0"/>
    <x v="7"/>
    <x v="0"/>
    <x v="0"/>
    <x v="1"/>
    <n v="28.36"/>
    <n v="28.36"/>
    <n v="28.36"/>
    <n v="2268.8000000000002"/>
    <n v="2325.52"/>
    <n v="2209.56"/>
    <n v="2209.56"/>
    <n v="2209.56"/>
    <n v="2209.56"/>
    <x v="1"/>
    <x v="1"/>
    <x v="0"/>
    <n v="0"/>
    <x v="0"/>
  </r>
  <r>
    <x v="14"/>
    <x v="14"/>
    <n v="423"/>
    <x v="4"/>
    <s v="4ºC"/>
    <x v="0"/>
    <s v="Fertirrigação"/>
    <x v="3"/>
    <s v="2 - Arrendamento"/>
    <n v="23.39"/>
    <n v="0"/>
    <n v="0"/>
    <n v="23.39"/>
    <n v="1871.2"/>
    <n v="0"/>
    <n v="0"/>
    <n v="2081.81"/>
    <x v="0"/>
    <x v="7"/>
    <x v="0"/>
    <x v="1"/>
    <x v="1"/>
    <n v="23.39"/>
    <n v="23.39"/>
    <n v="23.39"/>
    <n v="1871.2"/>
    <n v="2081.81"/>
    <n v="2081.81"/>
    <n v="2081.81"/>
    <n v="2081.81"/>
    <n v="2081.81"/>
    <x v="1"/>
    <x v="1"/>
    <x v="0"/>
    <n v="0"/>
    <x v="0"/>
  </r>
  <r>
    <x v="14"/>
    <x v="14"/>
    <n v="424"/>
    <x v="4"/>
    <s v="4ºC"/>
    <x v="0"/>
    <s v="Fertirrigação"/>
    <x v="3"/>
    <s v="2 - Arrendamento"/>
    <n v="36.380000000000003"/>
    <n v="36.380000000000003"/>
    <n v="0"/>
    <n v="36.380000000000003"/>
    <n v="2910.4"/>
    <n v="2983.16"/>
    <n v="0"/>
    <n v="2834.52"/>
    <x v="0"/>
    <x v="7"/>
    <x v="0"/>
    <x v="0"/>
    <x v="1"/>
    <n v="36.380000000000003"/>
    <n v="36.380000000000003"/>
    <n v="36.380000000000003"/>
    <n v="2910.4"/>
    <n v="2983.16"/>
    <n v="2834.52"/>
    <n v="2834.52"/>
    <n v="2834.52"/>
    <n v="2834.52"/>
    <x v="1"/>
    <x v="1"/>
    <x v="0"/>
    <n v="0"/>
    <x v="0"/>
  </r>
  <r>
    <x v="14"/>
    <x v="14"/>
    <n v="425"/>
    <x v="4"/>
    <s v="4ºC"/>
    <x v="0"/>
    <s v="Fertirrigação"/>
    <x v="3"/>
    <s v="2 - Arrendamento"/>
    <n v="9.8699999999999992"/>
    <n v="0"/>
    <n v="0"/>
    <n v="9.8699999999999992"/>
    <n v="789.6"/>
    <n v="0"/>
    <n v="0"/>
    <n v="841.79"/>
    <x v="0"/>
    <x v="6"/>
    <x v="0"/>
    <x v="1"/>
    <x v="1"/>
    <n v="9.8699999999999992"/>
    <n v="9.8699999999999992"/>
    <n v="9.8699999999999992"/>
    <n v="789.6"/>
    <n v="841.79"/>
    <n v="841.79"/>
    <n v="841.79"/>
    <n v="841.79"/>
    <n v="841.79"/>
    <x v="1"/>
    <x v="1"/>
    <x v="0"/>
    <n v="0"/>
    <x v="0"/>
  </r>
  <r>
    <x v="14"/>
    <x v="14"/>
    <n v="426"/>
    <x v="4"/>
    <s v="4ºC"/>
    <x v="0"/>
    <s v="Fertirrigação"/>
    <x v="3"/>
    <s v="2 - Arrendamento"/>
    <n v="24.74"/>
    <n v="0"/>
    <n v="0"/>
    <n v="24.74"/>
    <n v="1979.2"/>
    <n v="0"/>
    <n v="0"/>
    <n v="2109.4899999999998"/>
    <x v="0"/>
    <x v="6"/>
    <x v="0"/>
    <x v="1"/>
    <x v="1"/>
    <n v="24.74"/>
    <n v="24.74"/>
    <n v="24.74"/>
    <n v="1979.2"/>
    <n v="2109.4899999999998"/>
    <n v="2109.4899999999998"/>
    <n v="2109.4899999999998"/>
    <n v="2109.4899999999998"/>
    <n v="2109.4899999999998"/>
    <x v="1"/>
    <x v="1"/>
    <x v="0"/>
    <n v="0"/>
    <x v="0"/>
  </r>
  <r>
    <x v="14"/>
    <x v="14"/>
    <n v="427"/>
    <x v="4"/>
    <s v="4ºC"/>
    <x v="0"/>
    <s v="Fertirrigação"/>
    <x v="3"/>
    <s v="2 - Arrendamento"/>
    <n v="10.14"/>
    <n v="0"/>
    <n v="0"/>
    <n v="10.14"/>
    <n v="861.9"/>
    <n v="0"/>
    <n v="0"/>
    <n v="884.94"/>
    <x v="0"/>
    <x v="9"/>
    <x v="0"/>
    <x v="1"/>
    <x v="1"/>
    <n v="10.14"/>
    <n v="10.14"/>
    <n v="10.14"/>
    <n v="861.9"/>
    <n v="884.94"/>
    <n v="884.94"/>
    <n v="884.94"/>
    <n v="884.94"/>
    <n v="884.94"/>
    <x v="1"/>
    <x v="1"/>
    <x v="0"/>
    <n v="0"/>
    <x v="0"/>
  </r>
  <r>
    <x v="14"/>
    <x v="14"/>
    <n v="428"/>
    <x v="4"/>
    <s v="4ºC"/>
    <x v="0"/>
    <s v="Fertirrigação"/>
    <x v="3"/>
    <s v="2 - Arrendamento"/>
    <n v="5.35"/>
    <n v="0"/>
    <n v="0"/>
    <n v="5.35"/>
    <n v="454.75"/>
    <n v="0"/>
    <n v="0"/>
    <n v="467.07"/>
    <x v="0"/>
    <x v="9"/>
    <x v="0"/>
    <x v="1"/>
    <x v="1"/>
    <n v="5.35"/>
    <n v="5.35"/>
    <n v="5.35"/>
    <n v="454.75"/>
    <n v="467.07"/>
    <n v="467.07"/>
    <n v="467.07"/>
    <n v="467.07"/>
    <n v="467.07"/>
    <x v="1"/>
    <x v="1"/>
    <x v="0"/>
    <n v="0"/>
    <x v="0"/>
  </r>
  <r>
    <x v="14"/>
    <x v="14"/>
    <n v="429"/>
    <x v="4"/>
    <s v="4ºC"/>
    <x v="0"/>
    <s v="Fertirrigação"/>
    <x v="3"/>
    <s v="2 - Arrendamento"/>
    <n v="5.07"/>
    <n v="0"/>
    <n v="0"/>
    <n v="5.07"/>
    <n v="430.95"/>
    <n v="0"/>
    <n v="0"/>
    <n v="442.43"/>
    <x v="0"/>
    <x v="9"/>
    <x v="0"/>
    <x v="1"/>
    <x v="1"/>
    <n v="5.07"/>
    <n v="5.07"/>
    <n v="5.07"/>
    <n v="430.95"/>
    <n v="442.43"/>
    <n v="442.43"/>
    <n v="442.43"/>
    <n v="442.43"/>
    <n v="442.43"/>
    <x v="1"/>
    <x v="1"/>
    <x v="0"/>
    <n v="0"/>
    <x v="0"/>
  </r>
  <r>
    <x v="14"/>
    <x v="14"/>
    <n v="430"/>
    <x v="4"/>
    <s v="4ºC"/>
    <x v="0"/>
    <s v="Fertirrigação"/>
    <x v="3"/>
    <s v="2 - Arrendamento"/>
    <n v="12.25"/>
    <n v="0"/>
    <n v="0"/>
    <n v="12.25"/>
    <n v="1041.25"/>
    <n v="0"/>
    <n v="0"/>
    <n v="1068.73"/>
    <x v="0"/>
    <x v="9"/>
    <x v="0"/>
    <x v="1"/>
    <x v="1"/>
    <n v="12.25"/>
    <n v="12.25"/>
    <n v="12.25"/>
    <n v="1041.25"/>
    <n v="1068.73"/>
    <n v="1068.73"/>
    <n v="1068.73"/>
    <n v="1068.73"/>
    <n v="1068.73"/>
    <x v="1"/>
    <x v="1"/>
    <x v="0"/>
    <n v="0"/>
    <x v="0"/>
  </r>
  <r>
    <x v="14"/>
    <x v="14"/>
    <n v="431"/>
    <x v="4"/>
    <s v="4ºC"/>
    <x v="0"/>
    <s v="Fertirrigação"/>
    <x v="3"/>
    <s v="2 - Arrendamento"/>
    <n v="21.55"/>
    <n v="0"/>
    <n v="0"/>
    <n v="21.55"/>
    <n v="1831.75"/>
    <n v="0"/>
    <n v="0"/>
    <n v="1880.86"/>
    <x v="0"/>
    <x v="9"/>
    <x v="0"/>
    <x v="1"/>
    <x v="1"/>
    <n v="21.55"/>
    <n v="21.55"/>
    <n v="21.55"/>
    <n v="1831.75"/>
    <n v="1880.86"/>
    <n v="1880.86"/>
    <n v="1880.86"/>
    <n v="1880.86"/>
    <n v="1880.86"/>
    <x v="1"/>
    <x v="1"/>
    <x v="0"/>
    <n v="0"/>
    <x v="0"/>
  </r>
  <r>
    <x v="14"/>
    <x v="14"/>
    <n v="432"/>
    <x v="4"/>
    <s v="4ºC"/>
    <x v="0"/>
    <s v="Fertirrigação"/>
    <x v="3"/>
    <s v="2 - Arrendamento"/>
    <n v="10.39"/>
    <n v="0"/>
    <n v="0"/>
    <n v="10.39"/>
    <n v="883.15"/>
    <n v="0"/>
    <n v="0"/>
    <n v="907.02"/>
    <x v="0"/>
    <x v="9"/>
    <x v="0"/>
    <x v="1"/>
    <x v="1"/>
    <n v="10.39"/>
    <n v="10.39"/>
    <n v="10.39"/>
    <n v="883.15"/>
    <n v="907.02"/>
    <n v="907.02"/>
    <n v="907.02"/>
    <n v="907.02"/>
    <n v="907.02"/>
    <x v="1"/>
    <x v="1"/>
    <x v="0"/>
    <n v="0"/>
    <x v="0"/>
  </r>
  <r>
    <x v="15"/>
    <x v="15"/>
    <n v="1"/>
    <x v="3"/>
    <s v="ANM"/>
    <x v="0"/>
    <s v="Mineral"/>
    <x v="10"/>
    <s v="3 - Parceria"/>
    <n v="36.65"/>
    <n v="0"/>
    <n v="0"/>
    <n v="36.65"/>
    <n v="4104.8"/>
    <n v="0"/>
    <n v="0"/>
    <n v="2730.92"/>
    <x v="0"/>
    <x v="5"/>
    <x v="0"/>
    <x v="1"/>
    <x v="1"/>
    <n v="36.65"/>
    <n v="36.65"/>
    <n v="36.65"/>
    <n v="4104.8"/>
    <n v="2730.92"/>
    <n v="2730.92"/>
    <n v="2730.92"/>
    <n v="2730.92"/>
    <n v="2730.92"/>
    <x v="1"/>
    <x v="0"/>
    <x v="0"/>
    <n v="0"/>
    <x v="0"/>
  </r>
  <r>
    <x v="15"/>
    <x v="15"/>
    <n v="2"/>
    <x v="3"/>
    <s v="ANM"/>
    <x v="0"/>
    <s v="Mineral"/>
    <x v="10"/>
    <s v="3 - Parceria"/>
    <n v="53.32"/>
    <n v="0"/>
    <n v="0"/>
    <n v="53.32"/>
    <n v="6238.44"/>
    <n v="0"/>
    <n v="0"/>
    <n v="4150.95"/>
    <x v="0"/>
    <x v="5"/>
    <x v="0"/>
    <x v="1"/>
    <x v="1"/>
    <n v="53.32"/>
    <n v="53.32"/>
    <n v="53.32"/>
    <n v="6238.44"/>
    <n v="4150.95"/>
    <n v="4150.95"/>
    <n v="4150.95"/>
    <n v="4150.95"/>
    <n v="4150.95"/>
    <x v="1"/>
    <x v="0"/>
    <x v="0"/>
    <n v="0"/>
    <x v="0"/>
  </r>
  <r>
    <x v="15"/>
    <x v="15"/>
    <n v="3"/>
    <x v="3"/>
    <s v="ANM"/>
    <x v="0"/>
    <s v="Mineral"/>
    <x v="16"/>
    <s v="3 - Parceria"/>
    <n v="33.79"/>
    <n v="0"/>
    <n v="0"/>
    <n v="33.79"/>
    <n v="3514.16"/>
    <n v="0"/>
    <n v="0"/>
    <n v="4037.74"/>
    <x v="0"/>
    <x v="5"/>
    <x v="0"/>
    <x v="1"/>
    <x v="1"/>
    <n v="33.79"/>
    <n v="33.79"/>
    <n v="33.79"/>
    <n v="3514.16"/>
    <n v="4037.74"/>
    <n v="4037.74"/>
    <n v="4037.74"/>
    <n v="4037.74"/>
    <n v="4037.74"/>
    <x v="1"/>
    <x v="0"/>
    <x v="0"/>
    <n v="0"/>
    <x v="0"/>
  </r>
  <r>
    <x v="15"/>
    <x v="15"/>
    <n v="9"/>
    <x v="2"/>
    <s v="3ºC"/>
    <x v="0"/>
    <s v="Mineral"/>
    <x v="10"/>
    <s v="3 - Parceria"/>
    <n v="46.25"/>
    <n v="0"/>
    <n v="0"/>
    <n v="46.25"/>
    <n v="3700"/>
    <n v="0"/>
    <n v="0"/>
    <n v="2047.86"/>
    <x v="0"/>
    <x v="4"/>
    <x v="0"/>
    <x v="1"/>
    <x v="1"/>
    <n v="46.25"/>
    <n v="46.25"/>
    <n v="46.25"/>
    <n v="3700"/>
    <n v="2047.86"/>
    <n v="2047.86"/>
    <n v="2047.86"/>
    <n v="2047.86"/>
    <n v="2047.86"/>
    <x v="1"/>
    <x v="0"/>
    <x v="0"/>
    <n v="0"/>
    <x v="0"/>
  </r>
  <r>
    <x v="15"/>
    <x v="15"/>
    <n v="10"/>
    <x v="2"/>
    <s v="3ºC"/>
    <x v="0"/>
    <s v="Mineral"/>
    <x v="14"/>
    <s v="3 - Parceria"/>
    <n v="9.14"/>
    <n v="0"/>
    <n v="0"/>
    <n v="9.14"/>
    <n v="731.2"/>
    <n v="0"/>
    <n v="0"/>
    <n v="404.55"/>
    <x v="0"/>
    <x v="4"/>
    <x v="0"/>
    <x v="1"/>
    <x v="1"/>
    <n v="9.14"/>
    <n v="9.14"/>
    <n v="9.14"/>
    <n v="731.2"/>
    <n v="404.55"/>
    <n v="404.55"/>
    <n v="404.55"/>
    <n v="404.55"/>
    <n v="404.55"/>
    <x v="1"/>
    <x v="0"/>
    <x v="0"/>
    <n v="0"/>
    <x v="0"/>
  </r>
  <r>
    <x v="15"/>
    <x v="15"/>
    <n v="11"/>
    <x v="5"/>
    <s v="2ºC"/>
    <x v="0"/>
    <s v="Mineral"/>
    <x v="10"/>
    <s v="3 - Parceria"/>
    <n v="52.82"/>
    <n v="0"/>
    <n v="0"/>
    <n v="52.82"/>
    <n v="4648.16"/>
    <n v="0"/>
    <n v="0"/>
    <n v="3644"/>
    <x v="0"/>
    <x v="4"/>
    <x v="0"/>
    <x v="1"/>
    <x v="1"/>
    <n v="52.82"/>
    <n v="52.82"/>
    <n v="52.82"/>
    <n v="4648.16"/>
    <n v="3644"/>
    <n v="3644"/>
    <n v="3644"/>
    <n v="3644"/>
    <n v="3644"/>
    <x v="1"/>
    <x v="0"/>
    <x v="0"/>
    <n v="0"/>
    <x v="0"/>
  </r>
  <r>
    <x v="15"/>
    <x v="15"/>
    <n v="12"/>
    <x v="5"/>
    <s v="2ºC"/>
    <x v="0"/>
    <s v="Mineral"/>
    <x v="16"/>
    <s v="3 - Parceria"/>
    <n v="36.64"/>
    <n v="0"/>
    <n v="0"/>
    <n v="36.64"/>
    <n v="3297.6"/>
    <n v="0"/>
    <n v="0"/>
    <n v="3435.96"/>
    <x v="0"/>
    <x v="5"/>
    <x v="0"/>
    <x v="1"/>
    <x v="1"/>
    <n v="36.64"/>
    <n v="36.64"/>
    <n v="36.64"/>
    <n v="3297.6"/>
    <n v="3435.96"/>
    <n v="3435.96"/>
    <n v="3435.96"/>
    <n v="3435.96"/>
    <n v="3435.96"/>
    <x v="1"/>
    <x v="0"/>
    <x v="0"/>
    <n v="0"/>
    <x v="0"/>
  </r>
  <r>
    <x v="15"/>
    <x v="15"/>
    <n v="13"/>
    <x v="5"/>
    <s v="2ºC"/>
    <x v="0"/>
    <s v="Mineral"/>
    <x v="10"/>
    <s v="3 - Parceria"/>
    <n v="36.11"/>
    <n v="0"/>
    <n v="0"/>
    <n v="36.11"/>
    <n v="3394.34"/>
    <n v="0"/>
    <n v="0"/>
    <n v="3536.23"/>
    <x v="0"/>
    <x v="5"/>
    <x v="0"/>
    <x v="1"/>
    <x v="1"/>
    <n v="36.11"/>
    <n v="36.11"/>
    <n v="36.11"/>
    <n v="3394.34"/>
    <n v="3536.23"/>
    <n v="3536.23"/>
    <n v="3536.23"/>
    <n v="3536.23"/>
    <n v="3536.23"/>
    <x v="1"/>
    <x v="0"/>
    <x v="0"/>
    <n v="0"/>
    <x v="0"/>
  </r>
  <r>
    <x v="15"/>
    <x v="15"/>
    <n v="901"/>
    <x v="3"/>
    <s v="ANM"/>
    <x v="0"/>
    <s v="Mineral"/>
    <x v="10"/>
    <s v="3 - Parceria"/>
    <n v="20.79"/>
    <n v="0"/>
    <n v="0"/>
    <n v="20.79"/>
    <n v="1871.1"/>
    <n v="0"/>
    <n v="0"/>
    <n v="1035.69"/>
    <x v="0"/>
    <x v="4"/>
    <x v="0"/>
    <x v="1"/>
    <x v="1"/>
    <n v="20.79"/>
    <n v="20.79"/>
    <n v="20.79"/>
    <n v="1871.1"/>
    <n v="1035.69"/>
    <n v="1035.69"/>
    <n v="1035.69"/>
    <n v="1035.69"/>
    <n v="1035.69"/>
    <x v="1"/>
    <x v="0"/>
    <x v="0"/>
    <n v="0"/>
    <x v="0"/>
  </r>
  <r>
    <x v="16"/>
    <x v="16"/>
    <n v="1"/>
    <x v="4"/>
    <s v="4ºC"/>
    <x v="0"/>
    <s v="Fertirrigação"/>
    <x v="15"/>
    <s v="3 - Parceria"/>
    <n v="31.41"/>
    <n v="0"/>
    <n v="0"/>
    <n v="31.41"/>
    <n v="2512.8000000000002"/>
    <n v="0"/>
    <n v="0"/>
    <n v="1782.79"/>
    <x v="0"/>
    <x v="26"/>
    <x v="0"/>
    <x v="1"/>
    <x v="1"/>
    <n v="31.41"/>
    <n v="31.41"/>
    <n v="31.41"/>
    <n v="2512.8000000000002"/>
    <n v="1782.79"/>
    <n v="1782.79"/>
    <n v="1782.79"/>
    <n v="1782.79"/>
    <n v="1782.79"/>
    <x v="1"/>
    <x v="1"/>
    <x v="0"/>
    <n v="0"/>
    <x v="0"/>
  </r>
  <r>
    <x v="16"/>
    <x v="16"/>
    <n v="2"/>
    <x v="4"/>
    <s v="4ºC"/>
    <x v="0"/>
    <s v="Fertirrigação"/>
    <x v="10"/>
    <s v="3 - Parceria"/>
    <n v="35.79"/>
    <n v="0"/>
    <n v="0"/>
    <n v="35.79"/>
    <n v="2863.2"/>
    <n v="0"/>
    <n v="0"/>
    <n v="2031.63"/>
    <x v="0"/>
    <x v="26"/>
    <x v="0"/>
    <x v="1"/>
    <x v="1"/>
    <n v="35.79"/>
    <n v="35.79"/>
    <n v="35.79"/>
    <n v="2863.2"/>
    <n v="2031.63"/>
    <n v="2031.63"/>
    <n v="2031.63"/>
    <n v="2031.63"/>
    <n v="2031.63"/>
    <x v="1"/>
    <x v="1"/>
    <x v="0"/>
    <n v="0"/>
    <x v="0"/>
  </r>
  <r>
    <x v="16"/>
    <x v="16"/>
    <n v="3"/>
    <x v="4"/>
    <s v="4ºC"/>
    <x v="0"/>
    <s v="Fertirrigação"/>
    <x v="10"/>
    <s v="3 - Parceria"/>
    <n v="4.53"/>
    <n v="0"/>
    <n v="0"/>
    <n v="4.53"/>
    <n v="362.4"/>
    <n v="0"/>
    <n v="0"/>
    <n v="257.18"/>
    <x v="0"/>
    <x v="26"/>
    <x v="0"/>
    <x v="1"/>
    <x v="1"/>
    <n v="4.53"/>
    <n v="4.53"/>
    <n v="4.53"/>
    <n v="362.4"/>
    <n v="257.18"/>
    <n v="257.18"/>
    <n v="257.18"/>
    <n v="257.18"/>
    <n v="257.18"/>
    <x v="1"/>
    <x v="1"/>
    <x v="0"/>
    <n v="0"/>
    <x v="0"/>
  </r>
  <r>
    <x v="16"/>
    <x v="16"/>
    <n v="4"/>
    <x v="4"/>
    <s v="4ºC"/>
    <x v="0"/>
    <s v="Fertirrigação"/>
    <x v="10"/>
    <s v="3 - Parceria"/>
    <n v="45.97"/>
    <n v="0"/>
    <n v="0"/>
    <n v="45.97"/>
    <n v="3401.78"/>
    <n v="0"/>
    <n v="0"/>
    <n v="2413.7199999999998"/>
    <x v="0"/>
    <x v="26"/>
    <x v="0"/>
    <x v="1"/>
    <x v="1"/>
    <n v="45.97"/>
    <n v="45.97"/>
    <n v="45.97"/>
    <n v="3401.78"/>
    <n v="2413.7199999999998"/>
    <n v="2413.7199999999998"/>
    <n v="2413.7199999999998"/>
    <n v="2413.7199999999998"/>
    <n v="2413.7199999999998"/>
    <x v="1"/>
    <x v="1"/>
    <x v="0"/>
    <n v="0"/>
    <x v="0"/>
  </r>
  <r>
    <x v="16"/>
    <x v="16"/>
    <n v="5"/>
    <x v="4"/>
    <s v="4ºC"/>
    <x v="0"/>
    <s v="Fertirrigação"/>
    <x v="10"/>
    <s v="3 - Parceria"/>
    <n v="17.55"/>
    <n v="0"/>
    <n v="0"/>
    <n v="17.55"/>
    <n v="1298.7"/>
    <n v="0"/>
    <n v="0"/>
    <n v="921.98"/>
    <x v="0"/>
    <x v="26"/>
    <x v="0"/>
    <x v="1"/>
    <x v="1"/>
    <n v="17.55"/>
    <n v="17.55"/>
    <n v="17.55"/>
    <n v="1298.7"/>
    <n v="921.98"/>
    <n v="921.98"/>
    <n v="921.98"/>
    <n v="921.98"/>
    <n v="921.98"/>
    <x v="1"/>
    <x v="1"/>
    <x v="0"/>
    <n v="0"/>
    <x v="0"/>
  </r>
  <r>
    <x v="16"/>
    <x v="16"/>
    <n v="6"/>
    <x v="4"/>
    <s v="4ºC"/>
    <x v="0"/>
    <s v="Fertirrigação"/>
    <x v="10"/>
    <s v="3 - Parceria"/>
    <n v="12.01"/>
    <n v="12.01"/>
    <n v="0"/>
    <n v="12.01"/>
    <n v="888.74"/>
    <n v="840.7"/>
    <n v="0"/>
    <n v="784.82"/>
    <x v="0"/>
    <x v="8"/>
    <x v="0"/>
    <x v="0"/>
    <x v="1"/>
    <n v="12.01"/>
    <n v="12.01"/>
    <n v="12.01"/>
    <n v="888.74"/>
    <n v="840.7"/>
    <n v="784.82"/>
    <n v="784.82"/>
    <n v="784.82"/>
    <n v="784.82"/>
    <x v="1"/>
    <x v="1"/>
    <x v="0"/>
    <n v="0"/>
    <x v="0"/>
  </r>
  <r>
    <x v="16"/>
    <x v="16"/>
    <n v="7"/>
    <x v="4"/>
    <s v="4ºC"/>
    <x v="0"/>
    <s v="Fertirrigação"/>
    <x v="3"/>
    <s v="3 - Parceria"/>
    <n v="28.11"/>
    <n v="0"/>
    <n v="0"/>
    <n v="28.11"/>
    <n v="2080.14"/>
    <n v="0"/>
    <n v="0"/>
    <n v="1716.13"/>
    <x v="0"/>
    <x v="27"/>
    <x v="0"/>
    <x v="1"/>
    <x v="1"/>
    <n v="28.11"/>
    <n v="28.11"/>
    <n v="28.11"/>
    <n v="2080.14"/>
    <n v="1716.13"/>
    <n v="1716.13"/>
    <n v="1716.13"/>
    <n v="1716.13"/>
    <n v="1716.13"/>
    <x v="1"/>
    <x v="1"/>
    <x v="0"/>
    <n v="0"/>
    <x v="0"/>
  </r>
  <r>
    <x v="16"/>
    <x v="16"/>
    <n v="8"/>
    <x v="4"/>
    <s v="4ºC"/>
    <x v="0"/>
    <s v="Fertirrigação"/>
    <x v="3"/>
    <s v="3 - Parceria"/>
    <n v="17.97"/>
    <n v="0"/>
    <n v="0"/>
    <n v="17.97"/>
    <n v="1329.78"/>
    <n v="0"/>
    <n v="0"/>
    <n v="1097.31"/>
    <x v="0"/>
    <x v="27"/>
    <x v="0"/>
    <x v="1"/>
    <x v="1"/>
    <n v="17.97"/>
    <n v="17.97"/>
    <n v="17.97"/>
    <n v="1329.78"/>
    <n v="1097.31"/>
    <n v="1097.31"/>
    <n v="1097.31"/>
    <n v="1097.31"/>
    <n v="1097.31"/>
    <x v="1"/>
    <x v="1"/>
    <x v="0"/>
    <n v="0"/>
    <x v="0"/>
  </r>
  <r>
    <x v="16"/>
    <x v="16"/>
    <n v="9"/>
    <x v="4"/>
    <s v="4ºC"/>
    <x v="0"/>
    <s v="Fertirrigação"/>
    <x v="3"/>
    <s v="3 - Parceria"/>
    <n v="12.28"/>
    <n v="0"/>
    <n v="0"/>
    <n v="12.28"/>
    <n v="908.72"/>
    <n v="0"/>
    <n v="0"/>
    <n v="749.95"/>
    <x v="0"/>
    <x v="27"/>
    <x v="0"/>
    <x v="1"/>
    <x v="1"/>
    <n v="12.28"/>
    <n v="12.28"/>
    <n v="12.28"/>
    <n v="908.72"/>
    <n v="749.95"/>
    <n v="749.95"/>
    <n v="749.95"/>
    <n v="749.95"/>
    <n v="749.95"/>
    <x v="1"/>
    <x v="1"/>
    <x v="0"/>
    <n v="0"/>
    <x v="0"/>
  </r>
  <r>
    <x v="16"/>
    <x v="16"/>
    <n v="10"/>
    <x v="4"/>
    <s v="4ºC"/>
    <x v="0"/>
    <s v="Fertirrigação"/>
    <x v="3"/>
    <s v="3 - Parceria"/>
    <n v="7.12"/>
    <n v="0"/>
    <n v="0"/>
    <n v="7.12"/>
    <n v="526.88"/>
    <n v="0"/>
    <n v="0"/>
    <n v="435.01"/>
    <x v="0"/>
    <x v="27"/>
    <x v="0"/>
    <x v="1"/>
    <x v="1"/>
    <n v="7.12"/>
    <n v="7.12"/>
    <n v="7.12"/>
    <n v="526.88"/>
    <n v="435.01"/>
    <n v="435.01"/>
    <n v="435.01"/>
    <n v="435.01"/>
    <n v="435.01"/>
    <x v="1"/>
    <x v="1"/>
    <x v="0"/>
    <n v="0"/>
    <x v="0"/>
  </r>
  <r>
    <x v="16"/>
    <x v="16"/>
    <n v="11"/>
    <x v="4"/>
    <s v="4ºC"/>
    <x v="0"/>
    <s v="Fertirrigação"/>
    <x v="10"/>
    <s v="3 - Parceria"/>
    <n v="11.34"/>
    <n v="11.34"/>
    <n v="0"/>
    <n v="11.34"/>
    <n v="612.36"/>
    <n v="612.36"/>
    <n v="0"/>
    <n v="571.16"/>
    <x v="0"/>
    <x v="8"/>
    <x v="0"/>
    <x v="0"/>
    <x v="1"/>
    <n v="11.34"/>
    <n v="11.34"/>
    <n v="11.34"/>
    <n v="612.36"/>
    <n v="612.36"/>
    <n v="571.16"/>
    <n v="571.16"/>
    <n v="571.16"/>
    <n v="571.16"/>
    <x v="1"/>
    <x v="1"/>
    <x v="0"/>
    <n v="0"/>
    <x v="0"/>
  </r>
  <r>
    <x v="16"/>
    <x v="16"/>
    <n v="12"/>
    <x v="4"/>
    <s v="4ºC"/>
    <x v="0"/>
    <s v="Fertirrigação"/>
    <x v="10"/>
    <s v="3 - Parceria"/>
    <n v="14.61"/>
    <n v="14.61"/>
    <n v="0"/>
    <n v="14.61"/>
    <n v="876.6"/>
    <n v="876.6"/>
    <n v="0"/>
    <n v="818.34"/>
    <x v="0"/>
    <x v="7"/>
    <x v="0"/>
    <x v="0"/>
    <x v="1"/>
    <n v="14.61"/>
    <n v="14.61"/>
    <n v="14.61"/>
    <n v="876.6"/>
    <n v="876.6"/>
    <n v="818.34"/>
    <n v="818.34"/>
    <n v="818.34"/>
    <n v="818.34"/>
    <x v="1"/>
    <x v="1"/>
    <x v="0"/>
    <n v="0"/>
    <x v="0"/>
  </r>
  <r>
    <x v="16"/>
    <x v="16"/>
    <n v="13"/>
    <x v="4"/>
    <s v="4ºC"/>
    <x v="0"/>
    <s v="Fertirrigação"/>
    <x v="10"/>
    <s v="3 - Parceria"/>
    <n v="12.3"/>
    <n v="12.3"/>
    <n v="0"/>
    <n v="12.3"/>
    <n v="738"/>
    <n v="676.5"/>
    <n v="0"/>
    <n v="631.70000000000005"/>
    <x v="0"/>
    <x v="7"/>
    <x v="0"/>
    <x v="0"/>
    <x v="1"/>
    <n v="12.3"/>
    <n v="12.3"/>
    <n v="12.3"/>
    <n v="738"/>
    <n v="676.5"/>
    <n v="631.70000000000005"/>
    <n v="631.70000000000005"/>
    <n v="631.70000000000005"/>
    <n v="631.70000000000005"/>
    <x v="1"/>
    <x v="1"/>
    <x v="0"/>
    <n v="0"/>
    <x v="0"/>
  </r>
  <r>
    <x v="16"/>
    <x v="16"/>
    <n v="14"/>
    <x v="4"/>
    <s v="4ºC"/>
    <x v="0"/>
    <s v="Fertirrigação"/>
    <x v="10"/>
    <s v="3 - Parceria"/>
    <n v="10.86"/>
    <n v="10.86"/>
    <n v="0"/>
    <n v="10.86"/>
    <n v="651.6"/>
    <n v="597.29999999999995"/>
    <n v="0"/>
    <n v="557.04999999999995"/>
    <x v="0"/>
    <x v="7"/>
    <x v="0"/>
    <x v="0"/>
    <x v="1"/>
    <n v="10.86"/>
    <n v="10.86"/>
    <n v="10.86"/>
    <n v="651.6"/>
    <n v="597.29999999999995"/>
    <n v="557.04999999999995"/>
    <n v="557.04999999999995"/>
    <n v="557.04999999999995"/>
    <n v="557.04999999999995"/>
    <x v="1"/>
    <x v="1"/>
    <x v="0"/>
    <n v="0"/>
    <x v="0"/>
  </r>
  <r>
    <x v="16"/>
    <x v="16"/>
    <n v="15"/>
    <x v="4"/>
    <s v="4ºC"/>
    <x v="0"/>
    <s v="Fertirrigação"/>
    <x v="10"/>
    <s v="3 - Parceria"/>
    <n v="16.100000000000001"/>
    <n v="16.100000000000001"/>
    <n v="0"/>
    <n v="16.100000000000001"/>
    <n v="966"/>
    <n v="885.5"/>
    <n v="0"/>
    <n v="826.74"/>
    <x v="0"/>
    <x v="7"/>
    <x v="0"/>
    <x v="0"/>
    <x v="1"/>
    <n v="16.100000000000001"/>
    <n v="16.100000000000001"/>
    <n v="16.100000000000001"/>
    <n v="966"/>
    <n v="885.5"/>
    <n v="826.74"/>
    <n v="826.74"/>
    <n v="826.74"/>
    <n v="826.74"/>
    <x v="1"/>
    <x v="1"/>
    <x v="0"/>
    <n v="0"/>
    <x v="0"/>
  </r>
  <r>
    <x v="16"/>
    <x v="16"/>
    <n v="16"/>
    <x v="4"/>
    <s v="4ºC"/>
    <x v="0"/>
    <s v="Fertirrigação"/>
    <x v="10"/>
    <s v="3 - Parceria"/>
    <n v="15.94"/>
    <n v="15.94"/>
    <n v="0"/>
    <n v="15.94"/>
    <n v="956.4"/>
    <n v="876.7"/>
    <n v="0"/>
    <n v="818.34"/>
    <x v="0"/>
    <x v="7"/>
    <x v="0"/>
    <x v="0"/>
    <x v="1"/>
    <n v="15.94"/>
    <n v="15.94"/>
    <n v="15.94"/>
    <n v="956.4"/>
    <n v="876.7"/>
    <n v="818.34"/>
    <n v="818.34"/>
    <n v="818.34"/>
    <n v="818.34"/>
    <x v="1"/>
    <x v="1"/>
    <x v="0"/>
    <n v="0"/>
    <x v="0"/>
  </r>
  <r>
    <x v="16"/>
    <x v="16"/>
    <n v="17"/>
    <x v="4"/>
    <s v="4ºC"/>
    <x v="0"/>
    <s v="Fertirrigação"/>
    <x v="10"/>
    <s v="3 - Parceria"/>
    <n v="9.32"/>
    <n v="9.32"/>
    <n v="0"/>
    <n v="9.32"/>
    <n v="559.20000000000005"/>
    <n v="559.20000000000005"/>
    <n v="0"/>
    <n v="521.98"/>
    <x v="0"/>
    <x v="7"/>
    <x v="0"/>
    <x v="0"/>
    <x v="1"/>
    <n v="9.32"/>
    <n v="9.32"/>
    <n v="9.32"/>
    <n v="559.20000000000005"/>
    <n v="559.20000000000005"/>
    <n v="521.98"/>
    <n v="521.98"/>
    <n v="521.98"/>
    <n v="521.98"/>
    <x v="1"/>
    <x v="1"/>
    <x v="0"/>
    <n v="0"/>
    <x v="0"/>
  </r>
  <r>
    <x v="16"/>
    <x v="16"/>
    <n v="18"/>
    <x v="4"/>
    <s v="4ºC"/>
    <x v="0"/>
    <s v="Fertirrigação"/>
    <x v="10"/>
    <s v="3 - Parceria"/>
    <n v="31.91"/>
    <n v="31.91"/>
    <n v="0"/>
    <n v="31.91"/>
    <n v="2233.6999999999998"/>
    <n v="2233.6999999999998"/>
    <n v="0"/>
    <n v="1956.02"/>
    <x v="0"/>
    <x v="7"/>
    <x v="0"/>
    <x v="0"/>
    <x v="1"/>
    <n v="31.91"/>
    <n v="31.91"/>
    <n v="31.91"/>
    <n v="2233.6999999999998"/>
    <n v="2233.6999999999998"/>
    <n v="1956.02"/>
    <n v="1956.02"/>
    <n v="1956.02"/>
    <n v="1956.02"/>
    <x v="1"/>
    <x v="1"/>
    <x v="0"/>
    <n v="0"/>
    <x v="0"/>
  </r>
  <r>
    <x v="17"/>
    <x v="17"/>
    <n v="1"/>
    <x v="0"/>
    <s v="6ºC"/>
    <x v="0"/>
    <s v="Fertirrigação"/>
    <x v="3"/>
    <s v="3 - Parceria"/>
    <n v="8.59"/>
    <n v="0"/>
    <n v="0"/>
    <n v="8.59"/>
    <n v="523.99"/>
    <n v="0"/>
    <n v="0"/>
    <n v="501.02"/>
    <x v="0"/>
    <x v="28"/>
    <x v="0"/>
    <x v="1"/>
    <x v="1"/>
    <n v="8.59"/>
    <n v="8.59"/>
    <n v="8.59"/>
    <n v="523.99"/>
    <n v="501.02"/>
    <n v="501.02"/>
    <n v="501.02"/>
    <n v="501.02"/>
    <n v="501.02"/>
    <x v="1"/>
    <x v="1"/>
    <x v="0"/>
    <n v="0"/>
    <x v="0"/>
  </r>
  <r>
    <x v="17"/>
    <x v="17"/>
    <n v="2"/>
    <x v="0"/>
    <s v="6ºC"/>
    <x v="0"/>
    <s v="Fertirrigação"/>
    <x v="3"/>
    <s v="3 - Parceria"/>
    <n v="21.15"/>
    <n v="0"/>
    <n v="0"/>
    <n v="21.15"/>
    <n v="1290.1500000000001"/>
    <n v="0"/>
    <n v="0"/>
    <n v="1233.48"/>
    <x v="0"/>
    <x v="28"/>
    <x v="0"/>
    <x v="1"/>
    <x v="1"/>
    <n v="21.15"/>
    <n v="21.15"/>
    <n v="21.15"/>
    <n v="1290.1500000000001"/>
    <n v="1233.48"/>
    <n v="1233.48"/>
    <n v="1233.48"/>
    <n v="1233.48"/>
    <n v="1233.48"/>
    <x v="1"/>
    <x v="1"/>
    <x v="0"/>
    <n v="0"/>
    <x v="0"/>
  </r>
  <r>
    <x v="17"/>
    <x v="17"/>
    <n v="3"/>
    <x v="0"/>
    <s v="6ºC"/>
    <x v="0"/>
    <s v="Fertirrigação"/>
    <x v="14"/>
    <s v="3 - Parceria"/>
    <n v="14.91"/>
    <n v="0"/>
    <n v="0"/>
    <n v="14.91"/>
    <n v="909.51"/>
    <n v="0"/>
    <n v="0"/>
    <n v="870.23"/>
    <x v="0"/>
    <x v="28"/>
    <x v="0"/>
    <x v="1"/>
    <x v="1"/>
    <n v="14.91"/>
    <n v="14.91"/>
    <n v="14.91"/>
    <n v="909.51"/>
    <n v="870.23"/>
    <n v="870.23"/>
    <n v="870.23"/>
    <n v="870.23"/>
    <n v="870.23"/>
    <x v="1"/>
    <x v="1"/>
    <x v="0"/>
    <n v="0"/>
    <x v="0"/>
  </r>
  <r>
    <x v="17"/>
    <x v="17"/>
    <n v="4"/>
    <x v="0"/>
    <s v="6ºC"/>
    <x v="0"/>
    <s v="Fertirrigação"/>
    <x v="14"/>
    <s v="3 - Parceria"/>
    <n v="14.78"/>
    <n v="0"/>
    <n v="0"/>
    <n v="14.78"/>
    <n v="679.88"/>
    <n v="0"/>
    <n v="0"/>
    <n v="724.43"/>
    <x v="0"/>
    <x v="28"/>
    <x v="0"/>
    <x v="1"/>
    <x v="1"/>
    <n v="14.78"/>
    <n v="14.78"/>
    <n v="14.78"/>
    <n v="679.88"/>
    <n v="724.43"/>
    <n v="724.43"/>
    <n v="724.43"/>
    <n v="724.43"/>
    <n v="724.43"/>
    <x v="1"/>
    <x v="1"/>
    <x v="0"/>
    <n v="0"/>
    <x v="0"/>
  </r>
  <r>
    <x v="17"/>
    <x v="17"/>
    <n v="5"/>
    <x v="0"/>
    <s v="6ºC"/>
    <x v="0"/>
    <s v="Fertirrigação"/>
    <x v="14"/>
    <s v="3 - Parceria"/>
    <n v="5.8"/>
    <n v="0"/>
    <n v="0"/>
    <n v="5.8"/>
    <n v="266.8"/>
    <n v="0"/>
    <n v="0"/>
    <n v="284.39999999999998"/>
    <x v="0"/>
    <x v="28"/>
    <x v="0"/>
    <x v="1"/>
    <x v="1"/>
    <n v="5.8"/>
    <n v="5.8"/>
    <n v="5.8"/>
    <n v="266.8"/>
    <n v="284.39999999999998"/>
    <n v="284.39999999999998"/>
    <n v="284.39999999999998"/>
    <n v="284.39999999999998"/>
    <n v="284.39999999999998"/>
    <x v="1"/>
    <x v="1"/>
    <x v="0"/>
    <n v="0"/>
    <x v="0"/>
  </r>
  <r>
    <x v="17"/>
    <x v="17"/>
    <n v="6"/>
    <x v="0"/>
    <s v="6ºC"/>
    <x v="0"/>
    <s v="Fertirrigação"/>
    <x v="14"/>
    <s v="3 - Parceria"/>
    <n v="7.25"/>
    <n v="0"/>
    <n v="0"/>
    <n v="7.25"/>
    <n v="333.5"/>
    <n v="0"/>
    <n v="0"/>
    <n v="355.78"/>
    <x v="0"/>
    <x v="28"/>
    <x v="0"/>
    <x v="1"/>
    <x v="1"/>
    <n v="7.25"/>
    <n v="7.25"/>
    <n v="7.25"/>
    <n v="333.5"/>
    <n v="355.78"/>
    <n v="355.78"/>
    <n v="355.78"/>
    <n v="355.78"/>
    <n v="355.78"/>
    <x v="1"/>
    <x v="1"/>
    <x v="0"/>
    <n v="0"/>
    <x v="0"/>
  </r>
  <r>
    <x v="17"/>
    <x v="17"/>
    <n v="7"/>
    <x v="0"/>
    <s v="6ºC"/>
    <x v="0"/>
    <s v="Fertirrigação"/>
    <x v="14"/>
    <s v="3 - Parceria"/>
    <n v="6.41"/>
    <n v="0"/>
    <n v="0"/>
    <n v="6.41"/>
    <n v="294.86"/>
    <n v="0"/>
    <n v="0"/>
    <n v="314.24"/>
    <x v="0"/>
    <x v="28"/>
    <x v="0"/>
    <x v="1"/>
    <x v="1"/>
    <n v="6.41"/>
    <n v="6.41"/>
    <n v="6.41"/>
    <n v="294.86"/>
    <n v="314.24"/>
    <n v="314.24"/>
    <n v="314.24"/>
    <n v="314.24"/>
    <n v="314.24"/>
    <x v="1"/>
    <x v="1"/>
    <x v="0"/>
    <n v="0"/>
    <x v="0"/>
  </r>
  <r>
    <x v="17"/>
    <x v="17"/>
    <n v="16"/>
    <x v="0"/>
    <s v="6ºC"/>
    <x v="0"/>
    <s v="Fertirrigação"/>
    <x v="14"/>
    <s v="3 - Parceria"/>
    <n v="13.79"/>
    <n v="0"/>
    <n v="0"/>
    <n v="13.79"/>
    <n v="634.34"/>
    <n v="0"/>
    <n v="0"/>
    <n v="675.42"/>
    <x v="0"/>
    <x v="28"/>
    <x v="0"/>
    <x v="1"/>
    <x v="1"/>
    <n v="13.79"/>
    <n v="13.79"/>
    <n v="13.79"/>
    <n v="634.34"/>
    <n v="675.42"/>
    <n v="675.42"/>
    <n v="675.42"/>
    <n v="675.42"/>
    <n v="675.42"/>
    <x v="1"/>
    <x v="1"/>
    <x v="0"/>
    <n v="0"/>
    <x v="0"/>
  </r>
  <r>
    <x v="17"/>
    <x v="17"/>
    <n v="17"/>
    <x v="0"/>
    <s v="6ºC"/>
    <x v="0"/>
    <s v="Fertirrigação"/>
    <x v="14"/>
    <s v="3 - Parceria"/>
    <n v="23.32"/>
    <n v="0"/>
    <n v="0"/>
    <n v="23.32"/>
    <n v="1072.72"/>
    <n v="0"/>
    <n v="0"/>
    <n v="1143.1300000000001"/>
    <x v="0"/>
    <x v="28"/>
    <x v="0"/>
    <x v="1"/>
    <x v="1"/>
    <n v="23.32"/>
    <n v="23.32"/>
    <n v="23.32"/>
    <n v="1072.72"/>
    <n v="1143.1300000000001"/>
    <n v="1143.1300000000001"/>
    <n v="1143.1300000000001"/>
    <n v="1143.1300000000001"/>
    <n v="1143.1300000000001"/>
    <x v="1"/>
    <x v="1"/>
    <x v="0"/>
    <n v="0"/>
    <x v="0"/>
  </r>
  <r>
    <x v="17"/>
    <x v="17"/>
    <n v="18"/>
    <x v="0"/>
    <s v="6ºC"/>
    <x v="0"/>
    <s v="Fertirrigação"/>
    <x v="14"/>
    <s v="3 - Parceria"/>
    <n v="5.21"/>
    <n v="0"/>
    <n v="0"/>
    <n v="5.21"/>
    <n v="239.66"/>
    <n v="0"/>
    <n v="0"/>
    <n v="256.05"/>
    <x v="0"/>
    <x v="28"/>
    <x v="0"/>
    <x v="1"/>
    <x v="1"/>
    <n v="5.21"/>
    <n v="5.21"/>
    <n v="5.21"/>
    <n v="239.66"/>
    <n v="256.05"/>
    <n v="256.05"/>
    <n v="256.05"/>
    <n v="256.05"/>
    <n v="256.05"/>
    <x v="1"/>
    <x v="1"/>
    <x v="0"/>
    <n v="0"/>
    <x v="0"/>
  </r>
  <r>
    <x v="18"/>
    <x v="18"/>
    <n v="1"/>
    <x v="0"/>
    <s v="6ºC"/>
    <x v="0"/>
    <s v="Mineral"/>
    <x v="8"/>
    <s v="3 - Parceria"/>
    <n v="6.65"/>
    <n v="0"/>
    <n v="0"/>
    <n v="6.65"/>
    <n v="199.5"/>
    <n v="0"/>
    <n v="0"/>
    <n v="143.38999999999999"/>
    <x v="0"/>
    <x v="29"/>
    <x v="0"/>
    <x v="1"/>
    <x v="1"/>
    <n v="6.65"/>
    <n v="6.65"/>
    <n v="6.65"/>
    <n v="199.5"/>
    <n v="143.38999999999999"/>
    <n v="143.38999999999999"/>
    <n v="143.38999999999999"/>
    <n v="143.38999999999999"/>
    <n v="143.38999999999999"/>
    <x v="1"/>
    <x v="0"/>
    <x v="0"/>
    <n v="0"/>
    <x v="0"/>
  </r>
  <r>
    <x v="18"/>
    <x v="18"/>
    <n v="2"/>
    <x v="0"/>
    <s v="6ºC"/>
    <x v="0"/>
    <s v="Mineral"/>
    <x v="8"/>
    <s v="3 - Parceria"/>
    <n v="15.85"/>
    <n v="0"/>
    <n v="0"/>
    <n v="15.85"/>
    <n v="475.5"/>
    <n v="0"/>
    <n v="0"/>
    <n v="341.31"/>
    <x v="0"/>
    <x v="29"/>
    <x v="0"/>
    <x v="1"/>
    <x v="1"/>
    <n v="15.85"/>
    <n v="15.85"/>
    <n v="15.85"/>
    <n v="475.5"/>
    <n v="341.31"/>
    <n v="341.31"/>
    <n v="341.31"/>
    <n v="341.31"/>
    <n v="341.31"/>
    <x v="1"/>
    <x v="0"/>
    <x v="0"/>
    <n v="0"/>
    <x v="0"/>
  </r>
  <r>
    <x v="18"/>
    <x v="18"/>
    <n v="3"/>
    <x v="0"/>
    <s v="6ºC"/>
    <x v="0"/>
    <s v="Mineral"/>
    <x v="8"/>
    <s v="3 - Parceria"/>
    <n v="16.59"/>
    <n v="0"/>
    <n v="0"/>
    <n v="16.59"/>
    <n v="497.7"/>
    <n v="0"/>
    <n v="0"/>
    <n v="357.08"/>
    <x v="0"/>
    <x v="29"/>
    <x v="0"/>
    <x v="1"/>
    <x v="1"/>
    <n v="16.59"/>
    <n v="16.59"/>
    <n v="16.59"/>
    <n v="497.7"/>
    <n v="357.08"/>
    <n v="357.08"/>
    <n v="357.08"/>
    <n v="357.08"/>
    <n v="357.08"/>
    <x v="1"/>
    <x v="0"/>
    <x v="0"/>
    <n v="0"/>
    <x v="0"/>
  </r>
  <r>
    <x v="18"/>
    <x v="18"/>
    <n v="4"/>
    <x v="0"/>
    <s v="6ºC"/>
    <x v="0"/>
    <s v="Mineral"/>
    <x v="8"/>
    <s v="3 - Parceria"/>
    <n v="15.95"/>
    <n v="0"/>
    <n v="0"/>
    <n v="15.95"/>
    <n v="478.5"/>
    <n v="0"/>
    <n v="0"/>
    <n v="246.01"/>
    <x v="0"/>
    <x v="30"/>
    <x v="0"/>
    <x v="1"/>
    <x v="1"/>
    <n v="15.95"/>
    <n v="15.95"/>
    <n v="15.95"/>
    <n v="478.5"/>
    <n v="246.01"/>
    <n v="246.01"/>
    <n v="246.01"/>
    <n v="246.01"/>
    <n v="246.01"/>
    <x v="1"/>
    <x v="0"/>
    <x v="0"/>
    <n v="0"/>
    <x v="0"/>
  </r>
  <r>
    <x v="18"/>
    <x v="18"/>
    <n v="5"/>
    <x v="0"/>
    <s v="6ºC"/>
    <x v="0"/>
    <s v="Mineral"/>
    <x v="8"/>
    <s v="3 - Parceria"/>
    <n v="2.77"/>
    <n v="0"/>
    <n v="0"/>
    <n v="2.77"/>
    <n v="83.1"/>
    <n v="0"/>
    <n v="0"/>
    <n v="42.61"/>
    <x v="0"/>
    <x v="30"/>
    <x v="0"/>
    <x v="1"/>
    <x v="1"/>
    <n v="2.77"/>
    <n v="2.77"/>
    <n v="2.77"/>
    <n v="83.1"/>
    <n v="42.61"/>
    <n v="42.61"/>
    <n v="42.61"/>
    <n v="42.61"/>
    <n v="42.61"/>
    <x v="1"/>
    <x v="0"/>
    <x v="0"/>
    <n v="0"/>
    <x v="0"/>
  </r>
  <r>
    <x v="18"/>
    <x v="18"/>
    <n v="6"/>
    <x v="0"/>
    <s v="6ºC"/>
    <x v="0"/>
    <s v="Mineral"/>
    <x v="8"/>
    <s v="3 - Parceria"/>
    <n v="10.41"/>
    <n v="0"/>
    <n v="0"/>
    <n v="10.41"/>
    <n v="312.3"/>
    <n v="0"/>
    <n v="0"/>
    <n v="160.22999999999999"/>
    <x v="0"/>
    <x v="30"/>
    <x v="0"/>
    <x v="1"/>
    <x v="1"/>
    <n v="10.41"/>
    <n v="10.41"/>
    <n v="10.41"/>
    <n v="312.3"/>
    <n v="160.22999999999999"/>
    <n v="160.22999999999999"/>
    <n v="160.22999999999999"/>
    <n v="160.22999999999999"/>
    <n v="160.22999999999999"/>
    <x v="1"/>
    <x v="0"/>
    <x v="0"/>
    <n v="0"/>
    <x v="0"/>
  </r>
  <r>
    <x v="18"/>
    <x v="18"/>
    <n v="7"/>
    <x v="0"/>
    <s v="6ºC"/>
    <x v="0"/>
    <s v="Mineral"/>
    <x v="8"/>
    <s v="3 - Parceria"/>
    <n v="27.23"/>
    <n v="0"/>
    <n v="0"/>
    <n v="27.23"/>
    <n v="816.9"/>
    <n v="0"/>
    <n v="0"/>
    <n v="419.62"/>
    <x v="0"/>
    <x v="30"/>
    <x v="0"/>
    <x v="1"/>
    <x v="1"/>
    <n v="27.23"/>
    <n v="27.23"/>
    <n v="27.23"/>
    <n v="816.9"/>
    <n v="419.62"/>
    <n v="419.62"/>
    <n v="419.62"/>
    <n v="419.62"/>
    <n v="419.62"/>
    <x v="1"/>
    <x v="0"/>
    <x v="0"/>
    <n v="0"/>
    <x v="0"/>
  </r>
  <r>
    <x v="18"/>
    <x v="18"/>
    <n v="8"/>
    <x v="0"/>
    <s v="6ºC"/>
    <x v="0"/>
    <s v="Mineral"/>
    <x v="8"/>
    <s v="3 - Parceria"/>
    <n v="28.46"/>
    <n v="0"/>
    <n v="0"/>
    <n v="28.46"/>
    <n v="853.8"/>
    <n v="0"/>
    <n v="0"/>
    <n v="612.37"/>
    <x v="0"/>
    <x v="29"/>
    <x v="0"/>
    <x v="1"/>
    <x v="1"/>
    <n v="28.46"/>
    <n v="28.46"/>
    <n v="28.46"/>
    <n v="853.8"/>
    <n v="612.37"/>
    <n v="612.37"/>
    <n v="612.37"/>
    <n v="612.37"/>
    <n v="612.37"/>
    <x v="1"/>
    <x v="0"/>
    <x v="0"/>
    <n v="0"/>
    <x v="0"/>
  </r>
  <r>
    <x v="18"/>
    <x v="18"/>
    <n v="9"/>
    <x v="0"/>
    <s v="6ºC"/>
    <x v="0"/>
    <s v="Mineral"/>
    <x v="8"/>
    <s v="3 - Parceria"/>
    <n v="28.18"/>
    <n v="0"/>
    <n v="0"/>
    <n v="28.18"/>
    <n v="845.4"/>
    <n v="0"/>
    <n v="0"/>
    <n v="606.1"/>
    <x v="0"/>
    <x v="29"/>
    <x v="0"/>
    <x v="1"/>
    <x v="1"/>
    <n v="28.18"/>
    <n v="28.18"/>
    <n v="28.18"/>
    <n v="845.4"/>
    <n v="606.1"/>
    <n v="606.1"/>
    <n v="606.1"/>
    <n v="606.1"/>
    <n v="606.1"/>
    <x v="1"/>
    <x v="0"/>
    <x v="0"/>
    <n v="0"/>
    <x v="0"/>
  </r>
  <r>
    <x v="18"/>
    <x v="18"/>
    <n v="10"/>
    <x v="0"/>
    <s v="6ºC"/>
    <x v="0"/>
    <s v="Mineral"/>
    <x v="8"/>
    <s v="3 - Parceria"/>
    <n v="19.489999999999998"/>
    <n v="0"/>
    <n v="0"/>
    <n v="19.489999999999998"/>
    <n v="584.70000000000005"/>
    <n v="0"/>
    <n v="0"/>
    <n v="300.54000000000002"/>
    <x v="0"/>
    <x v="30"/>
    <x v="0"/>
    <x v="1"/>
    <x v="1"/>
    <n v="19.489999999999998"/>
    <n v="19.489999999999998"/>
    <n v="19.489999999999998"/>
    <n v="584.70000000000005"/>
    <n v="300.54000000000002"/>
    <n v="300.54000000000002"/>
    <n v="300.54000000000002"/>
    <n v="300.54000000000002"/>
    <n v="300.54000000000002"/>
    <x v="1"/>
    <x v="0"/>
    <x v="0"/>
    <n v="0"/>
    <x v="0"/>
  </r>
  <r>
    <x v="19"/>
    <x v="19"/>
    <n v="1"/>
    <x v="4"/>
    <s v="4ºC"/>
    <x v="0"/>
    <s v="Fertirrigação"/>
    <x v="14"/>
    <s v="3 - Parceria"/>
    <n v="11.66"/>
    <n v="11.66"/>
    <n v="0"/>
    <n v="11.66"/>
    <n v="1014.42"/>
    <n v="1014.42"/>
    <n v="0"/>
    <n v="841.26"/>
    <x v="0"/>
    <x v="31"/>
    <x v="0"/>
    <x v="0"/>
    <x v="1"/>
    <n v="11.66"/>
    <n v="11.66"/>
    <n v="11.66"/>
    <n v="1014.42"/>
    <n v="1014.42"/>
    <n v="841.26"/>
    <n v="841.26"/>
    <n v="841.26"/>
    <n v="841.26"/>
    <x v="1"/>
    <x v="1"/>
    <x v="0"/>
    <n v="0"/>
    <x v="0"/>
  </r>
  <r>
    <x v="19"/>
    <x v="19"/>
    <n v="7"/>
    <x v="0"/>
    <s v="6ºC"/>
    <x v="0"/>
    <s v="Fertirrigação"/>
    <x v="3"/>
    <s v="3 - Parceria"/>
    <n v="1.87"/>
    <n v="1.87"/>
    <n v="0"/>
    <n v="1.87"/>
    <n v="130.9"/>
    <n v="132.77000000000001"/>
    <n v="0"/>
    <n v="110.28"/>
    <x v="0"/>
    <x v="31"/>
    <x v="0"/>
    <x v="0"/>
    <x v="1"/>
    <n v="1.87"/>
    <n v="1.87"/>
    <n v="1.87"/>
    <n v="130.9"/>
    <n v="132.77000000000001"/>
    <n v="110.28"/>
    <n v="110.28"/>
    <n v="110.28"/>
    <n v="110.28"/>
    <x v="1"/>
    <x v="1"/>
    <x v="0"/>
    <n v="0"/>
    <x v="0"/>
  </r>
  <r>
    <x v="19"/>
    <x v="19"/>
    <n v="8"/>
    <x v="0"/>
    <s v="6ºC"/>
    <x v="0"/>
    <s v="Fertirrigação"/>
    <x v="3"/>
    <s v="3 - Parceria"/>
    <n v="1.76"/>
    <n v="1.76"/>
    <n v="0"/>
    <n v="1.76"/>
    <n v="123.2"/>
    <n v="124.96"/>
    <n v="0"/>
    <n v="103.64"/>
    <x v="0"/>
    <x v="31"/>
    <x v="0"/>
    <x v="0"/>
    <x v="1"/>
    <n v="1.76"/>
    <n v="1.76"/>
    <n v="1.76"/>
    <n v="123.2"/>
    <n v="124.96"/>
    <n v="103.64"/>
    <n v="103.64"/>
    <n v="103.64"/>
    <n v="103.64"/>
    <x v="1"/>
    <x v="1"/>
    <x v="0"/>
    <n v="0"/>
    <x v="0"/>
  </r>
  <r>
    <x v="19"/>
    <x v="19"/>
    <n v="9"/>
    <x v="0"/>
    <s v="6ºC"/>
    <x v="0"/>
    <s v="Fertirrigação"/>
    <x v="3"/>
    <s v="3 - Parceria"/>
    <n v="3.34"/>
    <n v="3.34"/>
    <n v="0"/>
    <n v="3.34"/>
    <n v="233.8"/>
    <n v="237.14"/>
    <n v="0"/>
    <n v="196.57"/>
    <x v="0"/>
    <x v="31"/>
    <x v="0"/>
    <x v="0"/>
    <x v="1"/>
    <n v="3.34"/>
    <n v="3.34"/>
    <n v="3.34"/>
    <n v="233.8"/>
    <n v="237.14"/>
    <n v="196.57"/>
    <n v="196.57"/>
    <n v="196.57"/>
    <n v="196.57"/>
    <x v="1"/>
    <x v="1"/>
    <x v="0"/>
    <n v="0"/>
    <x v="0"/>
  </r>
  <r>
    <x v="19"/>
    <x v="19"/>
    <n v="10"/>
    <x v="0"/>
    <s v="6ºC"/>
    <x v="0"/>
    <s v="Fertirrigação"/>
    <x v="3"/>
    <s v="3 - Parceria"/>
    <n v="6.33"/>
    <n v="6.33"/>
    <n v="0"/>
    <n v="6.33"/>
    <n v="443.1"/>
    <n v="449.43"/>
    <n v="0"/>
    <n v="372.47"/>
    <x v="0"/>
    <x v="31"/>
    <x v="0"/>
    <x v="0"/>
    <x v="1"/>
    <n v="6.33"/>
    <n v="6.33"/>
    <n v="6.33"/>
    <n v="443.1"/>
    <n v="449.43"/>
    <n v="372.47"/>
    <n v="372.47"/>
    <n v="372.47"/>
    <n v="372.47"/>
    <x v="1"/>
    <x v="1"/>
    <x v="0"/>
    <n v="0"/>
    <x v="0"/>
  </r>
  <r>
    <x v="19"/>
    <x v="19"/>
    <n v="11"/>
    <x v="0"/>
    <s v="6ºC"/>
    <x v="0"/>
    <s v="Fertirrigação"/>
    <x v="3"/>
    <s v="3 - Parceria"/>
    <n v="4.59"/>
    <n v="4.59"/>
    <n v="0"/>
    <n v="4.59"/>
    <n v="321.3"/>
    <n v="325.89"/>
    <n v="0"/>
    <n v="270.41000000000003"/>
    <x v="0"/>
    <x v="31"/>
    <x v="0"/>
    <x v="0"/>
    <x v="1"/>
    <n v="4.59"/>
    <n v="4.59"/>
    <n v="4.59"/>
    <n v="321.3"/>
    <n v="325.89"/>
    <n v="270.41000000000003"/>
    <n v="270.41000000000003"/>
    <n v="270.41000000000003"/>
    <n v="270.41000000000003"/>
    <x v="1"/>
    <x v="1"/>
    <x v="0"/>
    <n v="0"/>
    <x v="0"/>
  </r>
  <r>
    <x v="19"/>
    <x v="19"/>
    <n v="12"/>
    <x v="0"/>
    <s v="6ºC"/>
    <x v="0"/>
    <s v="Fertirrigação"/>
    <x v="3"/>
    <s v="3 - Parceria"/>
    <n v="5.0999999999999996"/>
    <n v="5.0999999999999996"/>
    <n v="0"/>
    <n v="5.0999999999999996"/>
    <n v="357"/>
    <n v="362.1"/>
    <n v="0"/>
    <n v="300.27999999999997"/>
    <x v="0"/>
    <x v="31"/>
    <x v="0"/>
    <x v="0"/>
    <x v="1"/>
    <n v="5.0999999999999996"/>
    <n v="5.0999999999999996"/>
    <n v="5.0999999999999996"/>
    <n v="357"/>
    <n v="362.1"/>
    <n v="300.27999999999997"/>
    <n v="300.27999999999997"/>
    <n v="300.27999999999997"/>
    <n v="300.27999999999997"/>
    <x v="1"/>
    <x v="1"/>
    <x v="0"/>
    <n v="0"/>
    <x v="0"/>
  </r>
  <r>
    <x v="19"/>
    <x v="19"/>
    <n v="13"/>
    <x v="0"/>
    <s v="6ºC"/>
    <x v="0"/>
    <s v="Fertirrigação"/>
    <x v="3"/>
    <s v="3 - Parceria"/>
    <n v="9.3699999999999992"/>
    <n v="9.3699999999999992"/>
    <n v="0"/>
    <n v="9.3699999999999992"/>
    <n v="693.38"/>
    <n v="693.38"/>
    <n v="0"/>
    <n v="574.91999999999996"/>
    <x v="0"/>
    <x v="31"/>
    <x v="0"/>
    <x v="0"/>
    <x v="1"/>
    <n v="9.3699999999999992"/>
    <n v="9.3699999999999992"/>
    <n v="9.3699999999999992"/>
    <n v="693.38"/>
    <n v="693.38"/>
    <n v="574.91999999999996"/>
    <n v="574.91999999999996"/>
    <n v="574.91999999999996"/>
    <n v="574.91999999999996"/>
    <x v="1"/>
    <x v="1"/>
    <x v="0"/>
    <n v="0"/>
    <x v="0"/>
  </r>
  <r>
    <x v="19"/>
    <x v="19"/>
    <n v="14"/>
    <x v="0"/>
    <s v="6ºC"/>
    <x v="0"/>
    <s v="Fertirrigação"/>
    <x v="3"/>
    <s v="3 - Parceria"/>
    <n v="3.69"/>
    <n v="3.69"/>
    <n v="0"/>
    <n v="3.69"/>
    <n v="273.06"/>
    <n v="273.06"/>
    <n v="0"/>
    <n v="226.43"/>
    <x v="0"/>
    <x v="31"/>
    <x v="0"/>
    <x v="0"/>
    <x v="1"/>
    <n v="3.69"/>
    <n v="3.69"/>
    <n v="3.69"/>
    <n v="273.06"/>
    <n v="273.06"/>
    <n v="226.43"/>
    <n v="226.43"/>
    <n v="226.43"/>
    <n v="226.43"/>
    <x v="1"/>
    <x v="1"/>
    <x v="0"/>
    <n v="0"/>
    <x v="0"/>
  </r>
  <r>
    <x v="19"/>
    <x v="19"/>
    <n v="15"/>
    <x v="0"/>
    <s v="6ºC"/>
    <x v="0"/>
    <s v="Fertirrigação"/>
    <x v="3"/>
    <s v="3 - Parceria"/>
    <n v="11.58"/>
    <n v="11.58"/>
    <n v="0"/>
    <n v="11.58"/>
    <n v="856.92"/>
    <n v="856.92"/>
    <n v="0"/>
    <n v="710.99"/>
    <x v="0"/>
    <x v="31"/>
    <x v="0"/>
    <x v="0"/>
    <x v="1"/>
    <n v="11.58"/>
    <n v="11.58"/>
    <n v="11.58"/>
    <n v="856.92"/>
    <n v="856.92"/>
    <n v="710.99"/>
    <n v="710.99"/>
    <n v="710.99"/>
    <n v="710.99"/>
    <x v="1"/>
    <x v="1"/>
    <x v="0"/>
    <n v="0"/>
    <x v="0"/>
  </r>
  <r>
    <x v="19"/>
    <x v="19"/>
    <n v="16"/>
    <x v="0"/>
    <s v="6ºC"/>
    <x v="0"/>
    <s v="Fertirrigação"/>
    <x v="3"/>
    <s v="3 - Parceria"/>
    <n v="10.97"/>
    <n v="10.97"/>
    <n v="0"/>
    <n v="10.97"/>
    <n v="811.78"/>
    <n v="855.66"/>
    <n v="0"/>
    <n v="710.16"/>
    <x v="0"/>
    <x v="31"/>
    <x v="0"/>
    <x v="0"/>
    <x v="1"/>
    <n v="10.97"/>
    <n v="10.97"/>
    <n v="10.97"/>
    <n v="811.78"/>
    <n v="855.66"/>
    <n v="710.16"/>
    <n v="710.16"/>
    <n v="710.16"/>
    <n v="710.16"/>
    <x v="1"/>
    <x v="1"/>
    <x v="0"/>
    <n v="0"/>
    <x v="0"/>
  </r>
  <r>
    <x v="19"/>
    <x v="19"/>
    <n v="17"/>
    <x v="0"/>
    <s v="6ºC"/>
    <x v="0"/>
    <s v="Fertirrigação"/>
    <x v="3"/>
    <s v="3 - Parceria"/>
    <n v="9.74"/>
    <n v="9.74"/>
    <n v="0"/>
    <n v="9.74"/>
    <n v="720.76"/>
    <n v="759.72"/>
    <n v="0"/>
    <n v="631.38"/>
    <x v="0"/>
    <x v="31"/>
    <x v="0"/>
    <x v="0"/>
    <x v="1"/>
    <n v="9.74"/>
    <n v="9.74"/>
    <n v="9.74"/>
    <n v="720.76"/>
    <n v="759.72"/>
    <n v="631.38"/>
    <n v="631.38"/>
    <n v="631.38"/>
    <n v="631.38"/>
    <x v="1"/>
    <x v="1"/>
    <x v="0"/>
    <n v="0"/>
    <x v="0"/>
  </r>
  <r>
    <x v="19"/>
    <x v="19"/>
    <n v="18"/>
    <x v="4"/>
    <s v="4ºC"/>
    <x v="0"/>
    <s v="Fertirrigação"/>
    <x v="14"/>
    <s v="3 - Parceria"/>
    <n v="37.31"/>
    <n v="37.31"/>
    <n v="0"/>
    <n v="37.31"/>
    <n v="3134.04"/>
    <n v="3171.35"/>
    <n v="0"/>
    <n v="2282.71"/>
    <x v="0"/>
    <x v="31"/>
    <x v="0"/>
    <x v="0"/>
    <x v="1"/>
    <n v="37.31"/>
    <n v="37.31"/>
    <n v="37.31"/>
    <n v="3134.04"/>
    <n v="3171.35"/>
    <n v="2282.71"/>
    <n v="2282.71"/>
    <n v="2282.71"/>
    <n v="2282.71"/>
    <x v="1"/>
    <x v="1"/>
    <x v="0"/>
    <n v="0"/>
    <x v="0"/>
  </r>
  <r>
    <x v="19"/>
    <x v="19"/>
    <n v="19"/>
    <x v="4"/>
    <s v="4ºC"/>
    <x v="0"/>
    <s v="Fertirrigação"/>
    <x v="10"/>
    <s v="3 - Parceria"/>
    <n v="52.83"/>
    <n v="52.83"/>
    <n v="0"/>
    <n v="52.83"/>
    <n v="4437.72"/>
    <n v="4490.55"/>
    <n v="0"/>
    <n v="3233.01"/>
    <x v="0"/>
    <x v="31"/>
    <x v="0"/>
    <x v="0"/>
    <x v="1"/>
    <n v="52.83"/>
    <n v="52.83"/>
    <n v="52.83"/>
    <n v="4437.72"/>
    <n v="4490.55"/>
    <n v="3233.01"/>
    <n v="3233.01"/>
    <n v="3233.01"/>
    <n v="3233.01"/>
    <x v="1"/>
    <x v="1"/>
    <x v="0"/>
    <n v="0"/>
    <x v="0"/>
  </r>
  <r>
    <x v="19"/>
    <x v="19"/>
    <n v="20"/>
    <x v="4"/>
    <s v="4ºC"/>
    <x v="0"/>
    <s v="Fertirrigação"/>
    <x v="14"/>
    <s v="3 - Parceria"/>
    <n v="45.53"/>
    <n v="45.53"/>
    <n v="0"/>
    <n v="45.53"/>
    <n v="3824.52"/>
    <n v="3870.05"/>
    <n v="0"/>
    <n v="2785.94"/>
    <x v="0"/>
    <x v="31"/>
    <x v="0"/>
    <x v="0"/>
    <x v="1"/>
    <n v="45.53"/>
    <n v="45.53"/>
    <n v="45.53"/>
    <n v="3824.52"/>
    <n v="3870.05"/>
    <n v="2785.94"/>
    <n v="2785.94"/>
    <n v="2785.94"/>
    <n v="2785.94"/>
    <x v="1"/>
    <x v="1"/>
    <x v="0"/>
    <n v="0"/>
    <x v="0"/>
  </r>
  <r>
    <x v="19"/>
    <x v="19"/>
    <n v="35"/>
    <x v="0"/>
    <s v="6ºC"/>
    <x v="0"/>
    <s v="Fertirrigação"/>
    <x v="3"/>
    <s v="3 - Parceria"/>
    <n v="6.62"/>
    <n v="6.62"/>
    <n v="0"/>
    <n v="6.62"/>
    <n v="503.12"/>
    <n v="503.12"/>
    <n v="0"/>
    <n v="535.97"/>
    <x v="0"/>
    <x v="31"/>
    <x v="0"/>
    <x v="0"/>
    <x v="1"/>
    <n v="6.62"/>
    <n v="6.62"/>
    <n v="6.62"/>
    <n v="503.12"/>
    <n v="503.12"/>
    <n v="535.97"/>
    <n v="535.97"/>
    <n v="535.97"/>
    <n v="535.97"/>
    <x v="1"/>
    <x v="1"/>
    <x v="0"/>
    <n v="0"/>
    <x v="0"/>
  </r>
  <r>
    <x v="19"/>
    <x v="19"/>
    <n v="36"/>
    <x v="0"/>
    <s v="6ºC"/>
    <x v="0"/>
    <s v="Fertirrigação"/>
    <x v="3"/>
    <s v="3 - Parceria"/>
    <n v="4.54"/>
    <n v="4.54"/>
    <n v="0"/>
    <n v="4.54"/>
    <n v="345.04"/>
    <n v="345.04"/>
    <n v="0"/>
    <n v="367.6"/>
    <x v="0"/>
    <x v="31"/>
    <x v="0"/>
    <x v="0"/>
    <x v="1"/>
    <n v="4.54"/>
    <n v="4.54"/>
    <n v="4.54"/>
    <n v="345.04"/>
    <n v="345.04"/>
    <n v="367.6"/>
    <n v="367.6"/>
    <n v="367.6"/>
    <n v="367.6"/>
    <x v="1"/>
    <x v="1"/>
    <x v="0"/>
    <n v="0"/>
    <x v="0"/>
  </r>
  <r>
    <x v="19"/>
    <x v="19"/>
    <n v="37"/>
    <x v="0"/>
    <s v="6ºC"/>
    <x v="0"/>
    <s v="Fertirrigação"/>
    <x v="3"/>
    <s v="3 - Parceria"/>
    <n v="8.33"/>
    <n v="8.33"/>
    <n v="0"/>
    <n v="8.33"/>
    <n v="633.08000000000004"/>
    <n v="633.08000000000004"/>
    <n v="0"/>
    <n v="674.51"/>
    <x v="0"/>
    <x v="31"/>
    <x v="0"/>
    <x v="0"/>
    <x v="1"/>
    <n v="8.33"/>
    <n v="8.33"/>
    <n v="8.33"/>
    <n v="633.08000000000004"/>
    <n v="633.08000000000004"/>
    <n v="674.51"/>
    <n v="674.51"/>
    <n v="674.51"/>
    <n v="674.51"/>
    <x v="1"/>
    <x v="1"/>
    <x v="0"/>
    <n v="0"/>
    <x v="0"/>
  </r>
  <r>
    <x v="19"/>
    <x v="19"/>
    <n v="38"/>
    <x v="0"/>
    <s v="6ºC"/>
    <x v="0"/>
    <s v="Fertirrigação"/>
    <x v="3"/>
    <s v="3 - Parceria"/>
    <n v="7.95"/>
    <n v="7.95"/>
    <n v="0"/>
    <n v="7.95"/>
    <n v="604.20000000000005"/>
    <n v="604.20000000000005"/>
    <n v="0"/>
    <n v="643.6"/>
    <x v="0"/>
    <x v="31"/>
    <x v="0"/>
    <x v="0"/>
    <x v="1"/>
    <n v="7.95"/>
    <n v="7.95"/>
    <n v="7.95"/>
    <n v="604.20000000000005"/>
    <n v="604.20000000000005"/>
    <n v="643.6"/>
    <n v="643.6"/>
    <n v="643.6"/>
    <n v="643.6"/>
    <x v="1"/>
    <x v="1"/>
    <x v="0"/>
    <n v="0"/>
    <x v="0"/>
  </r>
  <r>
    <x v="19"/>
    <x v="19"/>
    <n v="39"/>
    <x v="0"/>
    <s v="6ºC"/>
    <x v="0"/>
    <s v="Fertirrigação"/>
    <x v="3"/>
    <s v="3 - Parceria"/>
    <n v="5.54"/>
    <n v="5.54"/>
    <n v="0"/>
    <n v="5.54"/>
    <n v="421.04"/>
    <n v="421.04"/>
    <n v="0"/>
    <n v="448.59"/>
    <x v="0"/>
    <x v="31"/>
    <x v="0"/>
    <x v="0"/>
    <x v="1"/>
    <n v="5.54"/>
    <n v="5.54"/>
    <n v="5.54"/>
    <n v="421.04"/>
    <n v="421.04"/>
    <n v="448.59"/>
    <n v="448.59"/>
    <n v="448.59"/>
    <n v="448.59"/>
    <x v="1"/>
    <x v="1"/>
    <x v="0"/>
    <n v="0"/>
    <x v="0"/>
  </r>
  <r>
    <x v="19"/>
    <x v="19"/>
    <n v="40"/>
    <x v="0"/>
    <s v="6ºC"/>
    <x v="0"/>
    <s v="Fertirrigação"/>
    <x v="3"/>
    <s v="3 - Parceria"/>
    <n v="6.42"/>
    <n v="6.42"/>
    <n v="0"/>
    <n v="6.42"/>
    <n v="487.92"/>
    <n v="487.92"/>
    <n v="0"/>
    <n v="519.99"/>
    <x v="0"/>
    <x v="31"/>
    <x v="0"/>
    <x v="0"/>
    <x v="1"/>
    <n v="6.42"/>
    <n v="6.42"/>
    <n v="6.42"/>
    <n v="487.92"/>
    <n v="487.92"/>
    <n v="519.99"/>
    <n v="519.99"/>
    <n v="519.99"/>
    <n v="519.99"/>
    <x v="1"/>
    <x v="1"/>
    <x v="0"/>
    <n v="0"/>
    <x v="0"/>
  </r>
  <r>
    <x v="19"/>
    <x v="19"/>
    <n v="41"/>
    <x v="0"/>
    <s v="6ºC"/>
    <x v="0"/>
    <s v="Fertirrigação"/>
    <x v="3"/>
    <s v="3 - Parceria"/>
    <n v="4.53"/>
    <n v="4.53"/>
    <n v="0"/>
    <n v="4.53"/>
    <n v="344.28"/>
    <n v="344.28"/>
    <n v="0"/>
    <n v="366.54"/>
    <x v="0"/>
    <x v="31"/>
    <x v="0"/>
    <x v="0"/>
    <x v="1"/>
    <n v="4.53"/>
    <n v="4.53"/>
    <n v="4.53"/>
    <n v="344.28"/>
    <n v="344.28"/>
    <n v="366.54"/>
    <n v="366.54"/>
    <n v="366.54"/>
    <n v="366.54"/>
    <x v="1"/>
    <x v="1"/>
    <x v="0"/>
    <n v="0"/>
    <x v="0"/>
  </r>
  <r>
    <x v="19"/>
    <x v="19"/>
    <n v="42"/>
    <x v="0"/>
    <s v="6ºC"/>
    <x v="0"/>
    <s v="Fertirrigação"/>
    <x v="3"/>
    <s v="3 - Parceria"/>
    <n v="3.4"/>
    <n v="3.4"/>
    <n v="0"/>
    <n v="3.4"/>
    <n v="258.39999999999998"/>
    <n v="258.39999999999998"/>
    <n v="0"/>
    <n v="275.35000000000002"/>
    <x v="0"/>
    <x v="31"/>
    <x v="0"/>
    <x v="0"/>
    <x v="1"/>
    <n v="3.4"/>
    <n v="3.4"/>
    <n v="3.4"/>
    <n v="258.39999999999998"/>
    <n v="258.39999999999998"/>
    <n v="275.35000000000002"/>
    <n v="275.35000000000002"/>
    <n v="275.35000000000002"/>
    <n v="275.35000000000002"/>
    <x v="1"/>
    <x v="1"/>
    <x v="0"/>
    <n v="0"/>
    <x v="0"/>
  </r>
  <r>
    <x v="19"/>
    <x v="19"/>
    <n v="43"/>
    <x v="0"/>
    <s v="6ºC"/>
    <x v="0"/>
    <s v="Fertirrigação"/>
    <x v="3"/>
    <s v="3 - Parceria"/>
    <n v="3.19"/>
    <n v="3.19"/>
    <n v="0"/>
    <n v="3.19"/>
    <n v="242.44"/>
    <n v="242.44"/>
    <n v="0"/>
    <n v="180.37"/>
    <x v="0"/>
    <x v="8"/>
    <x v="0"/>
    <x v="0"/>
    <x v="1"/>
    <n v="3.19"/>
    <n v="3.19"/>
    <n v="3.19"/>
    <n v="242.44"/>
    <n v="242.44"/>
    <n v="180.37"/>
    <n v="180.37"/>
    <n v="180.37"/>
    <n v="180.37"/>
    <x v="1"/>
    <x v="1"/>
    <x v="0"/>
    <n v="0"/>
    <x v="0"/>
  </r>
  <r>
    <x v="19"/>
    <x v="19"/>
    <n v="44"/>
    <x v="0"/>
    <s v="6ºC"/>
    <x v="0"/>
    <s v="Fertirrigação"/>
    <x v="3"/>
    <s v="3 - Parceria"/>
    <n v="5.01"/>
    <n v="5.01"/>
    <n v="0"/>
    <n v="5.01"/>
    <n v="380.76"/>
    <n v="380.76"/>
    <n v="0"/>
    <n v="284"/>
    <x v="0"/>
    <x v="8"/>
    <x v="0"/>
    <x v="0"/>
    <x v="1"/>
    <n v="5.01"/>
    <n v="5.01"/>
    <n v="5.01"/>
    <n v="380.76"/>
    <n v="380.76"/>
    <n v="284"/>
    <n v="284"/>
    <n v="284"/>
    <n v="284"/>
    <x v="1"/>
    <x v="1"/>
    <x v="0"/>
    <n v="0"/>
    <x v="0"/>
  </r>
  <r>
    <x v="19"/>
    <x v="19"/>
    <n v="45"/>
    <x v="0"/>
    <s v="6ºC"/>
    <x v="0"/>
    <s v="Fertirrigação"/>
    <x v="3"/>
    <s v="3 - Parceria"/>
    <n v="3.18"/>
    <n v="3.18"/>
    <n v="0"/>
    <n v="3.18"/>
    <n v="241.68"/>
    <n v="241.68"/>
    <n v="0"/>
    <n v="180.37"/>
    <x v="0"/>
    <x v="8"/>
    <x v="0"/>
    <x v="0"/>
    <x v="1"/>
    <n v="3.18"/>
    <n v="3.18"/>
    <n v="3.18"/>
    <n v="241.68"/>
    <n v="241.68"/>
    <n v="180.37"/>
    <n v="180.37"/>
    <n v="180.37"/>
    <n v="180.37"/>
    <x v="1"/>
    <x v="1"/>
    <x v="0"/>
    <n v="0"/>
    <x v="0"/>
  </r>
  <r>
    <x v="19"/>
    <x v="19"/>
    <n v="46"/>
    <x v="0"/>
    <s v="6ºC"/>
    <x v="0"/>
    <s v="Fertirrigação"/>
    <x v="3"/>
    <s v="3 - Parceria"/>
    <n v="2.5099999999999998"/>
    <n v="2.5099999999999998"/>
    <n v="0"/>
    <n v="2.5099999999999998"/>
    <n v="190.76"/>
    <n v="190.76"/>
    <n v="0"/>
    <n v="142.34"/>
    <x v="0"/>
    <x v="8"/>
    <x v="0"/>
    <x v="0"/>
    <x v="1"/>
    <n v="2.5099999999999998"/>
    <n v="2.5099999999999998"/>
    <n v="2.5099999999999998"/>
    <n v="190.76"/>
    <n v="190.76"/>
    <n v="142.34"/>
    <n v="142.34"/>
    <n v="142.34"/>
    <n v="142.34"/>
    <x v="1"/>
    <x v="1"/>
    <x v="0"/>
    <n v="0"/>
    <x v="0"/>
  </r>
  <r>
    <x v="19"/>
    <x v="19"/>
    <n v="47"/>
    <x v="0"/>
    <s v="6ºC"/>
    <x v="0"/>
    <s v="Fertirrigação"/>
    <x v="3"/>
    <s v="3 - Parceria"/>
    <n v="2.2999999999999998"/>
    <n v="2.2999999999999998"/>
    <n v="0"/>
    <n v="2.2999999999999998"/>
    <n v="174.8"/>
    <n v="174.8"/>
    <n v="0"/>
    <n v="130.41999999999999"/>
    <x v="0"/>
    <x v="8"/>
    <x v="0"/>
    <x v="0"/>
    <x v="1"/>
    <n v="2.2999999999999998"/>
    <n v="2.2999999999999998"/>
    <n v="2.2999999999999998"/>
    <n v="174.8"/>
    <n v="174.8"/>
    <n v="130.41999999999999"/>
    <n v="130.41999999999999"/>
    <n v="130.41999999999999"/>
    <n v="130.41999999999999"/>
    <x v="1"/>
    <x v="1"/>
    <x v="0"/>
    <n v="0"/>
    <x v="0"/>
  </r>
  <r>
    <x v="19"/>
    <x v="19"/>
    <n v="48"/>
    <x v="0"/>
    <s v="6ºC"/>
    <x v="0"/>
    <s v="Fertirrigação"/>
    <x v="3"/>
    <s v="3 - Parceria"/>
    <n v="2.2999999999999998"/>
    <n v="2.2999999999999998"/>
    <n v="0"/>
    <n v="2.2999999999999998"/>
    <n v="174.8"/>
    <n v="174.8"/>
    <n v="0"/>
    <n v="130.41999999999999"/>
    <x v="0"/>
    <x v="8"/>
    <x v="0"/>
    <x v="0"/>
    <x v="1"/>
    <n v="2.2999999999999998"/>
    <n v="2.2999999999999998"/>
    <n v="2.2999999999999998"/>
    <n v="174.8"/>
    <n v="174.8"/>
    <n v="130.41999999999999"/>
    <n v="130.41999999999999"/>
    <n v="130.41999999999999"/>
    <n v="130.41999999999999"/>
    <x v="1"/>
    <x v="1"/>
    <x v="0"/>
    <n v="0"/>
    <x v="0"/>
  </r>
  <r>
    <x v="19"/>
    <x v="19"/>
    <n v="49"/>
    <x v="0"/>
    <s v="6ºC"/>
    <x v="0"/>
    <s v="Fertirrigação"/>
    <x v="3"/>
    <s v="3 - Parceria"/>
    <n v="1.02"/>
    <n v="1.02"/>
    <n v="0"/>
    <n v="1.02"/>
    <n v="77.52"/>
    <n v="77.52"/>
    <n v="0"/>
    <n v="58.09"/>
    <x v="0"/>
    <x v="8"/>
    <x v="0"/>
    <x v="0"/>
    <x v="1"/>
    <n v="1.02"/>
    <n v="1.02"/>
    <n v="1.02"/>
    <n v="77.52"/>
    <n v="77.52"/>
    <n v="58.09"/>
    <n v="58.09"/>
    <n v="58.09"/>
    <n v="58.09"/>
    <x v="1"/>
    <x v="1"/>
    <x v="0"/>
    <n v="0"/>
    <x v="0"/>
  </r>
  <r>
    <x v="19"/>
    <x v="19"/>
    <n v="50"/>
    <x v="0"/>
    <s v="6ºC"/>
    <x v="0"/>
    <s v="Fertirrigação"/>
    <x v="3"/>
    <s v="3 - Parceria"/>
    <n v="2.41"/>
    <n v="2.41"/>
    <n v="0"/>
    <n v="2.41"/>
    <n v="183.16"/>
    <n v="183.16"/>
    <n v="0"/>
    <n v="136.38"/>
    <x v="0"/>
    <x v="8"/>
    <x v="0"/>
    <x v="0"/>
    <x v="1"/>
    <n v="2.41"/>
    <n v="2.41"/>
    <n v="2.41"/>
    <n v="183.16"/>
    <n v="183.16"/>
    <n v="136.38"/>
    <n v="136.38"/>
    <n v="136.38"/>
    <n v="136.38"/>
    <x v="1"/>
    <x v="1"/>
    <x v="0"/>
    <n v="0"/>
    <x v="0"/>
  </r>
  <r>
    <x v="19"/>
    <x v="19"/>
    <n v="51"/>
    <x v="0"/>
    <s v="6ºC"/>
    <x v="0"/>
    <s v="Fertirrigação"/>
    <x v="3"/>
    <s v="3 - Parceria"/>
    <n v="1.41"/>
    <n v="1.41"/>
    <n v="0"/>
    <n v="1.41"/>
    <n v="107.16"/>
    <n v="107.16"/>
    <n v="0"/>
    <n v="79.709999999999994"/>
    <x v="0"/>
    <x v="8"/>
    <x v="0"/>
    <x v="0"/>
    <x v="1"/>
    <n v="1.41"/>
    <n v="1.41"/>
    <n v="1.41"/>
    <n v="107.16"/>
    <n v="107.16"/>
    <n v="79.709999999999994"/>
    <n v="79.709999999999994"/>
    <n v="79.709999999999994"/>
    <n v="79.709999999999994"/>
    <x v="1"/>
    <x v="1"/>
    <x v="0"/>
    <n v="0"/>
    <x v="0"/>
  </r>
  <r>
    <x v="19"/>
    <x v="19"/>
    <n v="52"/>
    <x v="0"/>
    <s v="6ºC"/>
    <x v="0"/>
    <s v="Fertirrigação"/>
    <x v="3"/>
    <s v="3 - Parceria"/>
    <n v="0.91"/>
    <n v="0.91"/>
    <n v="0"/>
    <n v="0.91"/>
    <n v="69.16"/>
    <n v="69.16"/>
    <n v="0"/>
    <n v="51.38"/>
    <x v="0"/>
    <x v="8"/>
    <x v="0"/>
    <x v="0"/>
    <x v="1"/>
    <n v="0.91"/>
    <n v="0.91"/>
    <n v="0.91"/>
    <n v="69.16"/>
    <n v="69.16"/>
    <n v="51.38"/>
    <n v="51.38"/>
    <n v="51.38"/>
    <n v="51.38"/>
    <x v="1"/>
    <x v="1"/>
    <x v="0"/>
    <n v="0"/>
    <x v="0"/>
  </r>
  <r>
    <x v="19"/>
    <x v="19"/>
    <n v="53"/>
    <x v="0"/>
    <s v="6ºC"/>
    <x v="0"/>
    <s v="Fertirrigação"/>
    <x v="3"/>
    <s v="3 - Parceria"/>
    <n v="4.13"/>
    <n v="4.13"/>
    <n v="0"/>
    <n v="4.13"/>
    <n v="301.49"/>
    <n v="305.62"/>
    <n v="0"/>
    <n v="228.09"/>
    <x v="0"/>
    <x v="8"/>
    <x v="0"/>
    <x v="0"/>
    <x v="1"/>
    <n v="4.13"/>
    <n v="4.13"/>
    <n v="4.13"/>
    <n v="301.49"/>
    <n v="305.62"/>
    <n v="228.09"/>
    <n v="228.09"/>
    <n v="228.09"/>
    <n v="228.09"/>
    <x v="1"/>
    <x v="1"/>
    <x v="0"/>
    <n v="0"/>
    <x v="0"/>
  </r>
  <r>
    <x v="19"/>
    <x v="19"/>
    <n v="54"/>
    <x v="0"/>
    <s v="6ºC"/>
    <x v="0"/>
    <s v="Fertirrigação"/>
    <x v="3"/>
    <s v="3 - Parceria"/>
    <n v="2.2799999999999998"/>
    <n v="2.2799999999999998"/>
    <n v="0"/>
    <n v="2.2799999999999998"/>
    <n v="166.44"/>
    <n v="168.72"/>
    <n v="0"/>
    <n v="125.94"/>
    <x v="0"/>
    <x v="8"/>
    <x v="0"/>
    <x v="0"/>
    <x v="1"/>
    <n v="2.2799999999999998"/>
    <n v="2.2799999999999998"/>
    <n v="2.2799999999999998"/>
    <n v="166.44"/>
    <n v="168.72"/>
    <n v="125.94"/>
    <n v="125.94"/>
    <n v="125.94"/>
    <n v="125.94"/>
    <x v="1"/>
    <x v="1"/>
    <x v="0"/>
    <n v="0"/>
    <x v="0"/>
  </r>
  <r>
    <x v="19"/>
    <x v="19"/>
    <n v="55"/>
    <x v="0"/>
    <s v="6ºC"/>
    <x v="0"/>
    <s v="Fertirrigação"/>
    <x v="3"/>
    <s v="3 - Parceria"/>
    <n v="4.84"/>
    <n v="4.84"/>
    <n v="0"/>
    <n v="4.84"/>
    <n v="353.32"/>
    <n v="358.16"/>
    <n v="0"/>
    <n v="266.86"/>
    <x v="0"/>
    <x v="8"/>
    <x v="0"/>
    <x v="0"/>
    <x v="1"/>
    <n v="4.84"/>
    <n v="4.84"/>
    <n v="4.84"/>
    <n v="353.32"/>
    <n v="358.16"/>
    <n v="266.86"/>
    <n v="266.86"/>
    <n v="266.86"/>
    <n v="266.86"/>
    <x v="1"/>
    <x v="1"/>
    <x v="0"/>
    <n v="0"/>
    <x v="0"/>
  </r>
  <r>
    <x v="19"/>
    <x v="19"/>
    <n v="56"/>
    <x v="0"/>
    <s v="6ºC"/>
    <x v="0"/>
    <s v="Fertirrigação"/>
    <x v="3"/>
    <s v="3 - Parceria"/>
    <n v="7.31"/>
    <n v="7.31"/>
    <n v="0"/>
    <n v="7.31"/>
    <n v="533.63"/>
    <n v="540.94000000000005"/>
    <n v="0"/>
    <n v="403.29"/>
    <x v="0"/>
    <x v="8"/>
    <x v="0"/>
    <x v="0"/>
    <x v="1"/>
    <n v="7.31"/>
    <n v="7.31"/>
    <n v="7.31"/>
    <n v="533.63"/>
    <n v="540.94000000000005"/>
    <n v="403.29"/>
    <n v="403.29"/>
    <n v="403.29"/>
    <n v="403.29"/>
    <x v="1"/>
    <x v="1"/>
    <x v="0"/>
    <n v="0"/>
    <x v="0"/>
  </r>
  <r>
    <x v="19"/>
    <x v="19"/>
    <n v="57"/>
    <x v="0"/>
    <s v="6ºC"/>
    <x v="0"/>
    <s v="Fertirrigação"/>
    <x v="3"/>
    <s v="3 - Parceria"/>
    <n v="8.2899999999999991"/>
    <n v="8.2899999999999991"/>
    <n v="0"/>
    <n v="8.2899999999999991"/>
    <n v="605.16999999999996"/>
    <n v="613.46"/>
    <n v="0"/>
    <n v="456.97"/>
    <x v="0"/>
    <x v="8"/>
    <x v="0"/>
    <x v="0"/>
    <x v="1"/>
    <n v="8.2899999999999991"/>
    <n v="8.2899999999999991"/>
    <n v="8.2899999999999991"/>
    <n v="605.16999999999996"/>
    <n v="613.46"/>
    <n v="456.97"/>
    <n v="456.97"/>
    <n v="456.97"/>
    <n v="456.97"/>
    <x v="1"/>
    <x v="1"/>
    <x v="0"/>
    <n v="0"/>
    <x v="0"/>
  </r>
  <r>
    <x v="19"/>
    <x v="19"/>
    <n v="58"/>
    <x v="0"/>
    <s v="6ºC"/>
    <x v="0"/>
    <s v="Fertirrigação"/>
    <x v="3"/>
    <s v="3 - Parceria"/>
    <n v="10.14"/>
    <n v="10.14"/>
    <n v="0"/>
    <n v="10.14"/>
    <n v="740.22"/>
    <n v="750.36"/>
    <n v="0"/>
    <n v="559.12"/>
    <x v="0"/>
    <x v="8"/>
    <x v="0"/>
    <x v="0"/>
    <x v="1"/>
    <n v="10.14"/>
    <n v="10.14"/>
    <n v="10.14"/>
    <n v="740.22"/>
    <n v="750.36"/>
    <n v="559.12"/>
    <n v="559.12"/>
    <n v="559.12"/>
    <n v="559.12"/>
    <x v="1"/>
    <x v="1"/>
    <x v="0"/>
    <n v="0"/>
    <x v="0"/>
  </r>
  <r>
    <x v="19"/>
    <x v="19"/>
    <n v="59"/>
    <x v="0"/>
    <s v="6ºC"/>
    <x v="0"/>
    <s v="Fertirrigação"/>
    <x v="3"/>
    <s v="3 - Parceria"/>
    <n v="12.07"/>
    <n v="12.07"/>
    <n v="0"/>
    <n v="12.07"/>
    <n v="881.11"/>
    <n v="893.18"/>
    <n v="0"/>
    <n v="666.77"/>
    <x v="0"/>
    <x v="8"/>
    <x v="0"/>
    <x v="0"/>
    <x v="1"/>
    <n v="12.07"/>
    <n v="12.07"/>
    <n v="12.07"/>
    <n v="881.11"/>
    <n v="893.18"/>
    <n v="666.77"/>
    <n v="666.77"/>
    <n v="666.77"/>
    <n v="666.77"/>
    <x v="1"/>
    <x v="1"/>
    <x v="0"/>
    <n v="0"/>
    <x v="0"/>
  </r>
  <r>
    <x v="19"/>
    <x v="19"/>
    <n v="60"/>
    <x v="0"/>
    <s v="6ºC"/>
    <x v="0"/>
    <s v="Fertirrigação"/>
    <x v="3"/>
    <s v="3 - Parceria"/>
    <n v="9.65"/>
    <n v="9.65"/>
    <n v="0"/>
    <n v="9.65"/>
    <n v="704.45"/>
    <n v="714.1"/>
    <n v="0"/>
    <n v="514.45000000000005"/>
    <x v="0"/>
    <x v="31"/>
    <x v="0"/>
    <x v="0"/>
    <x v="1"/>
    <n v="9.65"/>
    <n v="9.65"/>
    <n v="9.65"/>
    <n v="704.45"/>
    <n v="714.1"/>
    <n v="514.45000000000005"/>
    <n v="514.45000000000005"/>
    <n v="514.45000000000005"/>
    <n v="514.45000000000005"/>
    <x v="1"/>
    <x v="1"/>
    <x v="0"/>
    <n v="0"/>
    <x v="0"/>
  </r>
  <r>
    <x v="19"/>
    <x v="19"/>
    <n v="84"/>
    <x v="1"/>
    <s v="8ºC"/>
    <x v="0"/>
    <s v="Fertirrigação"/>
    <x v="18"/>
    <s v="3 - Parceria"/>
    <n v="1.1399999999999999"/>
    <n v="1.1399999999999999"/>
    <n v="1.1399999999999999"/>
    <n v="1.1399999999999999"/>
    <n v="62.7"/>
    <n v="62.7"/>
    <n v="57"/>
    <n v="55.58"/>
    <x v="0"/>
    <x v="32"/>
    <x v="0"/>
    <x v="0"/>
    <x v="0"/>
    <n v="1.1399999999999999"/>
    <n v="1.1399999999999999"/>
    <n v="1.1399999999999999"/>
    <n v="62.7"/>
    <n v="62.7"/>
    <n v="57"/>
    <n v="55.58"/>
    <n v="55.58"/>
    <n v="55.58"/>
    <x v="1"/>
    <x v="1"/>
    <x v="0"/>
    <n v="0"/>
    <x v="0"/>
  </r>
  <r>
    <x v="19"/>
    <x v="19"/>
    <n v="85"/>
    <x v="1"/>
    <s v="8ºC"/>
    <x v="0"/>
    <s v="Fertirrigação"/>
    <x v="19"/>
    <s v="3 - Parceria"/>
    <n v="10.86"/>
    <n v="10.86"/>
    <n v="10.86"/>
    <n v="10.86"/>
    <n v="597.29999999999995"/>
    <n v="597.29999999999995"/>
    <n v="477.84"/>
    <n v="466.52"/>
    <x v="0"/>
    <x v="32"/>
    <x v="0"/>
    <x v="0"/>
    <x v="0"/>
    <n v="10.86"/>
    <n v="10.86"/>
    <n v="10.86"/>
    <n v="597.29999999999995"/>
    <n v="597.29999999999995"/>
    <n v="477.84"/>
    <n v="466.52"/>
    <n v="466.52"/>
    <n v="466.52"/>
    <x v="1"/>
    <x v="1"/>
    <x v="0"/>
    <n v="0"/>
    <x v="0"/>
  </r>
  <r>
    <x v="19"/>
    <x v="19"/>
    <n v="86"/>
    <x v="1"/>
    <s v="8ºC"/>
    <x v="0"/>
    <s v="Fertirrigação"/>
    <x v="9"/>
    <s v="3 - Parceria"/>
    <n v="10.16"/>
    <n v="10.16"/>
    <n v="10.16"/>
    <n v="10.16"/>
    <n v="558.79999999999995"/>
    <n v="558.79999999999995"/>
    <n v="508"/>
    <n v="495.81"/>
    <x v="0"/>
    <x v="32"/>
    <x v="0"/>
    <x v="0"/>
    <x v="0"/>
    <n v="10.16"/>
    <n v="10.16"/>
    <n v="10.16"/>
    <n v="558.79999999999995"/>
    <n v="558.79999999999995"/>
    <n v="508"/>
    <n v="495.81"/>
    <n v="495.81"/>
    <n v="495.81"/>
    <x v="1"/>
    <x v="1"/>
    <x v="0"/>
    <n v="0"/>
    <x v="0"/>
  </r>
  <r>
    <x v="19"/>
    <x v="19"/>
    <n v="87"/>
    <x v="1"/>
    <s v="8ºC"/>
    <x v="0"/>
    <s v="Fertirrigação"/>
    <x v="5"/>
    <s v="3 - Parceria"/>
    <n v="12.3"/>
    <n v="12.3"/>
    <n v="12.3"/>
    <n v="12.3"/>
    <n v="676.5"/>
    <n v="676.5"/>
    <n v="615"/>
    <n v="600.25"/>
    <x v="0"/>
    <x v="32"/>
    <x v="0"/>
    <x v="0"/>
    <x v="0"/>
    <n v="12.3"/>
    <n v="12.3"/>
    <n v="12.3"/>
    <n v="676.5"/>
    <n v="676.5"/>
    <n v="615"/>
    <n v="600.25"/>
    <n v="600.25"/>
    <n v="600.25"/>
    <x v="1"/>
    <x v="1"/>
    <x v="0"/>
    <n v="0"/>
    <x v="0"/>
  </r>
  <r>
    <x v="19"/>
    <x v="19"/>
    <n v="88"/>
    <x v="1"/>
    <s v="8ºC"/>
    <x v="0"/>
    <s v="Fertirrigação"/>
    <x v="5"/>
    <s v="3 - Parceria"/>
    <n v="10.64"/>
    <n v="10.64"/>
    <n v="10.64"/>
    <n v="10.64"/>
    <n v="585.20000000000005"/>
    <n v="585.20000000000005"/>
    <n v="532"/>
    <n v="383.26"/>
    <x v="0"/>
    <x v="0"/>
    <x v="0"/>
    <x v="0"/>
    <x v="0"/>
    <n v="10.64"/>
    <n v="10.64"/>
    <n v="10.64"/>
    <n v="585.20000000000005"/>
    <n v="585.20000000000005"/>
    <n v="532"/>
    <n v="383.26"/>
    <n v="383.26"/>
    <n v="383.26"/>
    <x v="1"/>
    <x v="1"/>
    <x v="0"/>
    <n v="0"/>
    <x v="0"/>
  </r>
  <r>
    <x v="19"/>
    <x v="19"/>
    <n v="89"/>
    <x v="1"/>
    <s v="8ºC"/>
    <x v="0"/>
    <s v="Fertirrigação"/>
    <x v="9"/>
    <s v="3 - Parceria"/>
    <n v="7.04"/>
    <n v="7.04"/>
    <n v="7.04"/>
    <n v="7.04"/>
    <n v="387.2"/>
    <n v="387.2"/>
    <n v="352"/>
    <n v="343.53"/>
    <x v="0"/>
    <x v="32"/>
    <x v="0"/>
    <x v="0"/>
    <x v="0"/>
    <n v="7.04"/>
    <n v="7.04"/>
    <n v="7.04"/>
    <n v="387.2"/>
    <n v="387.2"/>
    <n v="352"/>
    <n v="343.53"/>
    <n v="343.53"/>
    <n v="343.53"/>
    <x v="1"/>
    <x v="1"/>
    <x v="0"/>
    <n v="0"/>
    <x v="0"/>
  </r>
  <r>
    <x v="19"/>
    <x v="19"/>
    <n v="90"/>
    <x v="1"/>
    <s v="8ºC"/>
    <x v="0"/>
    <s v="Fertirrigação"/>
    <x v="19"/>
    <s v="3 - Parceria"/>
    <n v="12.51"/>
    <n v="12.51"/>
    <n v="12.51"/>
    <n v="12.51"/>
    <n v="688.05"/>
    <n v="688.05"/>
    <n v="550.44000000000005"/>
    <n v="402.51"/>
    <x v="0"/>
    <x v="0"/>
    <x v="0"/>
    <x v="0"/>
    <x v="0"/>
    <n v="12.51"/>
    <n v="12.51"/>
    <n v="12.51"/>
    <n v="688.05"/>
    <n v="688.05"/>
    <n v="550.44000000000005"/>
    <n v="402.51"/>
    <n v="402.51"/>
    <n v="402.51"/>
    <x v="1"/>
    <x v="1"/>
    <x v="0"/>
    <n v="0"/>
    <x v="0"/>
  </r>
  <r>
    <x v="19"/>
    <x v="19"/>
    <n v="91"/>
    <x v="1"/>
    <s v="8ºC"/>
    <x v="0"/>
    <s v="Fertirrigação"/>
    <x v="5"/>
    <s v="3 - Parceria"/>
    <n v="15.77"/>
    <n v="15.77"/>
    <n v="15.77"/>
    <n v="15.77"/>
    <n v="867.35"/>
    <n v="867.35"/>
    <n v="788.5"/>
    <n v="568.58000000000004"/>
    <x v="0"/>
    <x v="0"/>
    <x v="0"/>
    <x v="0"/>
    <x v="0"/>
    <n v="15.77"/>
    <n v="15.77"/>
    <n v="15.77"/>
    <n v="867.35"/>
    <n v="867.35"/>
    <n v="788.5"/>
    <n v="568.58000000000004"/>
    <n v="568.58000000000004"/>
    <n v="568.58000000000004"/>
    <x v="1"/>
    <x v="1"/>
    <x v="0"/>
    <n v="0"/>
    <x v="0"/>
  </r>
  <r>
    <x v="19"/>
    <x v="19"/>
    <n v="92"/>
    <x v="1"/>
    <s v="8ºC"/>
    <x v="0"/>
    <s v="Fertirrigação"/>
    <x v="5"/>
    <s v="3 - Parceria"/>
    <n v="12.97"/>
    <n v="12.97"/>
    <n v="12.97"/>
    <n v="12.97"/>
    <n v="713.35"/>
    <n v="713.35"/>
    <n v="648.5"/>
    <n v="467.22"/>
    <x v="0"/>
    <x v="0"/>
    <x v="0"/>
    <x v="0"/>
    <x v="0"/>
    <n v="12.97"/>
    <n v="12.97"/>
    <n v="12.97"/>
    <n v="713.35"/>
    <n v="713.35"/>
    <n v="648.5"/>
    <n v="467.22"/>
    <n v="467.22"/>
    <n v="467.22"/>
    <x v="1"/>
    <x v="1"/>
    <x v="0"/>
    <n v="0"/>
    <x v="0"/>
  </r>
  <r>
    <x v="19"/>
    <x v="19"/>
    <n v="93"/>
    <x v="1"/>
    <s v="8ºC"/>
    <x v="0"/>
    <s v="Fertirrigação"/>
    <x v="5"/>
    <s v="3 - Parceria"/>
    <n v="11.87"/>
    <n v="11.87"/>
    <n v="11.87"/>
    <n v="11.87"/>
    <n v="652.85"/>
    <n v="652.85"/>
    <n v="593.5"/>
    <n v="427.93"/>
    <x v="0"/>
    <x v="0"/>
    <x v="0"/>
    <x v="0"/>
    <x v="0"/>
    <n v="11.87"/>
    <n v="11.87"/>
    <n v="11.87"/>
    <n v="652.85"/>
    <n v="652.85"/>
    <n v="593.5"/>
    <n v="427.93"/>
    <n v="427.93"/>
    <n v="427.93"/>
    <x v="1"/>
    <x v="1"/>
    <x v="0"/>
    <n v="0"/>
    <x v="0"/>
  </r>
  <r>
    <x v="19"/>
    <x v="19"/>
    <n v="94"/>
    <x v="1"/>
    <s v="8ºC"/>
    <x v="0"/>
    <s v="Fertirrigação"/>
    <x v="5"/>
    <s v="3 - Parceria"/>
    <n v="11.44"/>
    <n v="11.44"/>
    <n v="11.44"/>
    <n v="11.44"/>
    <n v="629.20000000000005"/>
    <n v="629.20000000000005"/>
    <n v="572"/>
    <n v="558.28"/>
    <x v="0"/>
    <x v="32"/>
    <x v="0"/>
    <x v="0"/>
    <x v="0"/>
    <n v="11.44"/>
    <n v="11.44"/>
    <n v="11.44"/>
    <n v="629.20000000000005"/>
    <n v="629.20000000000005"/>
    <n v="572"/>
    <n v="558.28"/>
    <n v="558.28"/>
    <n v="558.28"/>
    <x v="1"/>
    <x v="1"/>
    <x v="0"/>
    <n v="0"/>
    <x v="0"/>
  </r>
  <r>
    <x v="19"/>
    <x v="19"/>
    <n v="95"/>
    <x v="1"/>
    <s v="8ºC"/>
    <x v="0"/>
    <s v="Fertirrigação"/>
    <x v="19"/>
    <s v="3 - Parceria"/>
    <n v="13.44"/>
    <n v="13.44"/>
    <n v="13.44"/>
    <n v="13.44"/>
    <n v="739.2"/>
    <n v="739.2"/>
    <n v="672"/>
    <n v="655.89"/>
    <x v="0"/>
    <x v="32"/>
    <x v="0"/>
    <x v="0"/>
    <x v="0"/>
    <n v="13.44"/>
    <n v="13.44"/>
    <n v="13.44"/>
    <n v="739.2"/>
    <n v="739.2"/>
    <n v="672"/>
    <n v="655.89"/>
    <n v="655.89"/>
    <n v="655.89"/>
    <x v="1"/>
    <x v="1"/>
    <x v="0"/>
    <n v="0"/>
    <x v="0"/>
  </r>
  <r>
    <x v="19"/>
    <x v="19"/>
    <n v="96"/>
    <x v="1"/>
    <s v="8ºC"/>
    <x v="0"/>
    <s v="Fertirrigação"/>
    <x v="19"/>
    <s v="3 - Parceria"/>
    <n v="11.55"/>
    <n v="11.55"/>
    <n v="11.55"/>
    <n v="11.55"/>
    <n v="635.25"/>
    <n v="635.25"/>
    <n v="577.5"/>
    <n v="564.62"/>
    <x v="0"/>
    <x v="32"/>
    <x v="0"/>
    <x v="0"/>
    <x v="0"/>
    <n v="11.55"/>
    <n v="11.55"/>
    <n v="11.55"/>
    <n v="635.25"/>
    <n v="635.25"/>
    <n v="577.5"/>
    <n v="564.62"/>
    <n v="564.62"/>
    <n v="564.62"/>
    <x v="1"/>
    <x v="1"/>
    <x v="0"/>
    <n v="0"/>
    <x v="0"/>
  </r>
  <r>
    <x v="19"/>
    <x v="19"/>
    <n v="97"/>
    <x v="1"/>
    <s v="8ºC"/>
    <x v="0"/>
    <s v="Fertirrigação"/>
    <x v="5"/>
    <s v="3 - Parceria"/>
    <n v="17.809999999999999"/>
    <n v="17.809999999999999"/>
    <n v="17.809999999999999"/>
    <n v="17.809999999999999"/>
    <n v="890.5"/>
    <n v="908.31"/>
    <n v="890.5"/>
    <n v="653.61"/>
    <x v="0"/>
    <x v="32"/>
    <x v="0"/>
    <x v="0"/>
    <x v="0"/>
    <n v="17.809999999999999"/>
    <n v="17.809999999999999"/>
    <n v="17.809999999999999"/>
    <n v="890.5"/>
    <n v="908.31"/>
    <n v="890.5"/>
    <n v="653.61"/>
    <n v="653.61"/>
    <n v="653.61"/>
    <x v="1"/>
    <x v="1"/>
    <x v="0"/>
    <n v="0"/>
    <x v="0"/>
  </r>
  <r>
    <x v="19"/>
    <x v="19"/>
    <n v="98"/>
    <x v="1"/>
    <s v="8ºC"/>
    <x v="0"/>
    <s v="Fertirrigação"/>
    <x v="5"/>
    <s v="3 - Parceria"/>
    <n v="16.41"/>
    <n v="16.41"/>
    <n v="16.41"/>
    <n v="16.41"/>
    <n v="820.5"/>
    <n v="836.91"/>
    <n v="820.5"/>
    <n v="602.27"/>
    <x v="0"/>
    <x v="32"/>
    <x v="0"/>
    <x v="0"/>
    <x v="0"/>
    <n v="16.41"/>
    <n v="16.41"/>
    <n v="16.41"/>
    <n v="820.5"/>
    <n v="836.91"/>
    <n v="820.5"/>
    <n v="602.27"/>
    <n v="602.27"/>
    <n v="602.27"/>
    <x v="1"/>
    <x v="1"/>
    <x v="0"/>
    <n v="0"/>
    <x v="0"/>
  </r>
  <r>
    <x v="19"/>
    <x v="19"/>
    <n v="99"/>
    <x v="1"/>
    <s v="8ºC"/>
    <x v="0"/>
    <s v="Fertirrigação"/>
    <x v="18"/>
    <s v="3 - Parceria"/>
    <n v="8.9600000000000009"/>
    <n v="8.9600000000000009"/>
    <n v="8.9600000000000009"/>
    <n v="8.9600000000000009"/>
    <n v="573.44000000000005"/>
    <n v="591.36"/>
    <n v="627.20000000000005"/>
    <n v="459.94"/>
    <x v="0"/>
    <x v="32"/>
    <x v="0"/>
    <x v="0"/>
    <x v="0"/>
    <n v="8.9600000000000009"/>
    <n v="8.9600000000000009"/>
    <n v="8.9600000000000009"/>
    <n v="573.44000000000005"/>
    <n v="591.36"/>
    <n v="627.20000000000005"/>
    <n v="459.94"/>
    <n v="459.94"/>
    <n v="459.94"/>
    <x v="1"/>
    <x v="1"/>
    <x v="0"/>
    <n v="0"/>
    <x v="0"/>
  </r>
  <r>
    <x v="19"/>
    <x v="19"/>
    <n v="100"/>
    <x v="1"/>
    <s v="8ºC"/>
    <x v="0"/>
    <s v="Fertirrigação"/>
    <x v="18"/>
    <s v="3 - Parceria"/>
    <n v="10.26"/>
    <n v="10.26"/>
    <n v="10.26"/>
    <n v="10.26"/>
    <n v="656.64"/>
    <n v="677.16"/>
    <n v="718.2"/>
    <n v="527"/>
    <x v="0"/>
    <x v="33"/>
    <x v="0"/>
    <x v="0"/>
    <x v="0"/>
    <n v="10.26"/>
    <n v="10.26"/>
    <n v="10.26"/>
    <n v="656.64"/>
    <n v="677.16"/>
    <n v="718.2"/>
    <n v="527"/>
    <n v="527"/>
    <n v="527"/>
    <x v="1"/>
    <x v="1"/>
    <x v="0"/>
    <n v="0"/>
    <x v="0"/>
  </r>
  <r>
    <x v="19"/>
    <x v="19"/>
    <n v="101"/>
    <x v="1"/>
    <s v="8ºC"/>
    <x v="0"/>
    <s v="Fertirrigação"/>
    <x v="18"/>
    <s v="3 - Parceria"/>
    <n v="12.48"/>
    <n v="12.48"/>
    <n v="12.48"/>
    <n v="12.48"/>
    <n v="798.72"/>
    <n v="823.68"/>
    <n v="823.68"/>
    <n v="617.74"/>
    <x v="0"/>
    <x v="33"/>
    <x v="0"/>
    <x v="0"/>
    <x v="0"/>
    <n v="12.48"/>
    <n v="12.48"/>
    <n v="12.48"/>
    <n v="798.72"/>
    <n v="823.68"/>
    <n v="823.68"/>
    <n v="617.74"/>
    <n v="617.74"/>
    <n v="617.74"/>
    <x v="1"/>
    <x v="1"/>
    <x v="0"/>
    <n v="0"/>
    <x v="0"/>
  </r>
  <r>
    <x v="19"/>
    <x v="19"/>
    <n v="102"/>
    <x v="1"/>
    <s v="8ºC"/>
    <x v="0"/>
    <s v="Fertirrigação"/>
    <x v="18"/>
    <s v="3 - Parceria"/>
    <n v="9.24"/>
    <n v="9.24"/>
    <n v="9.24"/>
    <n v="9.24"/>
    <n v="591.36"/>
    <n v="609.84"/>
    <n v="609.84"/>
    <n v="457.34"/>
    <x v="0"/>
    <x v="33"/>
    <x v="0"/>
    <x v="0"/>
    <x v="0"/>
    <n v="9.24"/>
    <n v="9.24"/>
    <n v="9.24"/>
    <n v="591.36"/>
    <n v="609.84"/>
    <n v="609.84"/>
    <n v="457.34"/>
    <n v="457.34"/>
    <n v="457.34"/>
    <x v="1"/>
    <x v="1"/>
    <x v="0"/>
    <n v="0"/>
    <x v="0"/>
  </r>
  <r>
    <x v="19"/>
    <x v="19"/>
    <n v="103"/>
    <x v="1"/>
    <s v="8ºC"/>
    <x v="0"/>
    <s v="Fertirrigação"/>
    <x v="18"/>
    <s v="3 - Parceria"/>
    <n v="7"/>
    <n v="7"/>
    <n v="7"/>
    <n v="7"/>
    <n v="448"/>
    <n v="462"/>
    <n v="539"/>
    <n v="380.47"/>
    <x v="0"/>
    <x v="33"/>
    <x v="0"/>
    <x v="0"/>
    <x v="0"/>
    <n v="7"/>
    <n v="7"/>
    <n v="7"/>
    <n v="448"/>
    <n v="462"/>
    <n v="539"/>
    <n v="380.47"/>
    <n v="380.47"/>
    <n v="380.47"/>
    <x v="1"/>
    <x v="1"/>
    <x v="0"/>
    <n v="0"/>
    <x v="0"/>
  </r>
  <r>
    <x v="19"/>
    <x v="19"/>
    <n v="104"/>
    <x v="1"/>
    <s v="8ºC"/>
    <x v="0"/>
    <s v="Fertirrigação"/>
    <x v="18"/>
    <s v="3 - Parceria"/>
    <n v="13.97"/>
    <n v="13.97"/>
    <n v="13.97"/>
    <n v="13.97"/>
    <n v="894.08"/>
    <n v="922.02"/>
    <n v="1075.69"/>
    <n v="759.43"/>
    <x v="0"/>
    <x v="33"/>
    <x v="0"/>
    <x v="0"/>
    <x v="0"/>
    <n v="13.97"/>
    <n v="13.97"/>
    <n v="13.97"/>
    <n v="894.08"/>
    <n v="922.02"/>
    <n v="1075.69"/>
    <n v="759.43"/>
    <n v="759.43"/>
    <n v="759.43"/>
    <x v="1"/>
    <x v="1"/>
    <x v="0"/>
    <n v="0"/>
    <x v="0"/>
  </r>
  <r>
    <x v="19"/>
    <x v="19"/>
    <n v="105"/>
    <x v="1"/>
    <s v="8ºC"/>
    <x v="0"/>
    <s v="Fertirrigação"/>
    <x v="18"/>
    <s v="3 - Parceria"/>
    <n v="11.07"/>
    <n v="11.07"/>
    <n v="11.07"/>
    <n v="11.07"/>
    <n v="708.48"/>
    <n v="730.62"/>
    <n v="885.6"/>
    <n v="614.55999999999995"/>
    <x v="0"/>
    <x v="33"/>
    <x v="0"/>
    <x v="0"/>
    <x v="0"/>
    <n v="11.07"/>
    <n v="11.07"/>
    <n v="11.07"/>
    <n v="708.48"/>
    <n v="730.62"/>
    <n v="885.6"/>
    <n v="614.55999999999995"/>
    <n v="614.55999999999995"/>
    <n v="614.55999999999995"/>
    <x v="1"/>
    <x v="1"/>
    <x v="0"/>
    <n v="0"/>
    <x v="0"/>
  </r>
  <r>
    <x v="19"/>
    <x v="19"/>
    <n v="106"/>
    <x v="1"/>
    <s v="8ºC"/>
    <x v="0"/>
    <s v="Fertirrigação"/>
    <x v="18"/>
    <s v="3 - Parceria"/>
    <n v="7.61"/>
    <n v="7.61"/>
    <n v="7.61"/>
    <n v="7.61"/>
    <n v="563.14"/>
    <n v="585.97"/>
    <n v="608.79999999999995"/>
    <n v="446.73"/>
    <x v="0"/>
    <x v="32"/>
    <x v="0"/>
    <x v="0"/>
    <x v="0"/>
    <n v="7.61"/>
    <n v="7.61"/>
    <n v="7.61"/>
    <n v="563.14"/>
    <n v="585.97"/>
    <n v="608.79999999999995"/>
    <n v="446.73"/>
    <n v="446.73"/>
    <n v="446.73"/>
    <x v="1"/>
    <x v="1"/>
    <x v="0"/>
    <n v="0"/>
    <x v="0"/>
  </r>
  <r>
    <x v="19"/>
    <x v="19"/>
    <n v="107"/>
    <x v="1"/>
    <s v="8ºC"/>
    <x v="0"/>
    <s v="Fertirrigação"/>
    <x v="18"/>
    <s v="3 - Parceria"/>
    <n v="9.57"/>
    <n v="9.57"/>
    <n v="9.57"/>
    <n v="9.57"/>
    <n v="708.18"/>
    <n v="736.89"/>
    <n v="765.6"/>
    <n v="561.91"/>
    <x v="0"/>
    <x v="32"/>
    <x v="0"/>
    <x v="0"/>
    <x v="0"/>
    <n v="9.57"/>
    <n v="9.57"/>
    <n v="9.57"/>
    <n v="708.18"/>
    <n v="736.89"/>
    <n v="765.6"/>
    <n v="561.91"/>
    <n v="561.91"/>
    <n v="561.91"/>
    <x v="1"/>
    <x v="1"/>
    <x v="0"/>
    <n v="0"/>
    <x v="0"/>
  </r>
  <r>
    <x v="19"/>
    <x v="19"/>
    <n v="108"/>
    <x v="1"/>
    <s v="8ºC"/>
    <x v="0"/>
    <s v="Fertirrigação"/>
    <x v="18"/>
    <s v="3 - Parceria"/>
    <n v="8.39"/>
    <n v="8.39"/>
    <n v="8.39"/>
    <n v="8.39"/>
    <n v="620.86"/>
    <n v="646.03"/>
    <n v="671.2"/>
    <n v="492.53"/>
    <x v="0"/>
    <x v="32"/>
    <x v="0"/>
    <x v="0"/>
    <x v="0"/>
    <n v="8.39"/>
    <n v="8.39"/>
    <n v="8.39"/>
    <n v="620.86"/>
    <n v="646.03"/>
    <n v="671.2"/>
    <n v="492.53"/>
    <n v="492.53"/>
    <n v="492.53"/>
    <x v="1"/>
    <x v="1"/>
    <x v="0"/>
    <n v="0"/>
    <x v="0"/>
  </r>
  <r>
    <x v="19"/>
    <x v="19"/>
    <n v="109"/>
    <x v="1"/>
    <s v="8ºC"/>
    <x v="0"/>
    <s v="Fertirrigação"/>
    <x v="18"/>
    <s v="3 - Parceria"/>
    <n v="9.18"/>
    <n v="9.18"/>
    <n v="9.18"/>
    <n v="9.18"/>
    <n v="734.4"/>
    <n v="734.4"/>
    <n v="734.4"/>
    <n v="648.70000000000005"/>
    <x v="0"/>
    <x v="32"/>
    <x v="0"/>
    <x v="0"/>
    <x v="0"/>
    <n v="9.18"/>
    <n v="9.18"/>
    <n v="9.18"/>
    <n v="734.4"/>
    <n v="734.4"/>
    <n v="734.4"/>
    <n v="648.70000000000005"/>
    <n v="648.70000000000005"/>
    <n v="648.70000000000005"/>
    <x v="1"/>
    <x v="1"/>
    <x v="0"/>
    <n v="0"/>
    <x v="0"/>
  </r>
  <r>
    <x v="19"/>
    <x v="19"/>
    <n v="110"/>
    <x v="1"/>
    <s v="8ºC"/>
    <x v="0"/>
    <s v="Fertirrigação"/>
    <x v="19"/>
    <s v="3 - Parceria"/>
    <n v="8.73"/>
    <n v="8.73"/>
    <n v="8.73"/>
    <n v="8.73"/>
    <n v="698.4"/>
    <n v="698.4"/>
    <n v="698.4"/>
    <n v="616.87"/>
    <x v="0"/>
    <x v="32"/>
    <x v="0"/>
    <x v="0"/>
    <x v="0"/>
    <n v="8.73"/>
    <n v="8.73"/>
    <n v="8.73"/>
    <n v="698.4"/>
    <n v="698.4"/>
    <n v="698.4"/>
    <n v="616.87"/>
    <n v="616.87"/>
    <n v="616.87"/>
    <x v="1"/>
    <x v="1"/>
    <x v="0"/>
    <n v="0"/>
    <x v="0"/>
  </r>
  <r>
    <x v="19"/>
    <x v="19"/>
    <n v="111"/>
    <x v="1"/>
    <s v="8ºC"/>
    <x v="0"/>
    <s v="Fertirrigação"/>
    <x v="19"/>
    <s v="3 - Parceria"/>
    <n v="7.32"/>
    <n v="7.32"/>
    <n v="7.32"/>
    <n v="7.32"/>
    <n v="585.6"/>
    <n v="585.6"/>
    <n v="585.6"/>
    <n v="517.89"/>
    <x v="0"/>
    <x v="32"/>
    <x v="0"/>
    <x v="0"/>
    <x v="0"/>
    <n v="7.32"/>
    <n v="7.32"/>
    <n v="7.32"/>
    <n v="585.6"/>
    <n v="585.6"/>
    <n v="585.6"/>
    <n v="517.89"/>
    <n v="517.89"/>
    <n v="517.89"/>
    <x v="1"/>
    <x v="1"/>
    <x v="0"/>
    <n v="0"/>
    <x v="0"/>
  </r>
  <r>
    <x v="19"/>
    <x v="19"/>
    <n v="112"/>
    <x v="1"/>
    <s v="8ºC"/>
    <x v="0"/>
    <s v="Fertirrigação"/>
    <x v="19"/>
    <s v="3 - Parceria"/>
    <n v="3.93"/>
    <n v="3.93"/>
    <n v="3.93"/>
    <n v="3.93"/>
    <n v="314.39999999999998"/>
    <n v="314.39999999999998"/>
    <n v="314.39999999999998"/>
    <n v="277.48"/>
    <x v="0"/>
    <x v="32"/>
    <x v="0"/>
    <x v="0"/>
    <x v="0"/>
    <n v="3.93"/>
    <n v="3.93"/>
    <n v="3.93"/>
    <n v="314.39999999999998"/>
    <n v="314.39999999999998"/>
    <n v="314.39999999999998"/>
    <n v="277.48"/>
    <n v="277.48"/>
    <n v="277.48"/>
    <x v="1"/>
    <x v="1"/>
    <x v="0"/>
    <n v="0"/>
    <x v="0"/>
  </r>
  <r>
    <x v="19"/>
    <x v="19"/>
    <n v="113"/>
    <x v="1"/>
    <s v="8ºC"/>
    <x v="0"/>
    <s v="Fertirrigação"/>
    <x v="18"/>
    <s v="3 - Parceria"/>
    <n v="8.14"/>
    <n v="8.14"/>
    <n v="8.14"/>
    <n v="8.14"/>
    <n v="651.20000000000005"/>
    <n v="651.20000000000005"/>
    <n v="651.20000000000005"/>
    <n v="575.34"/>
    <x v="0"/>
    <x v="32"/>
    <x v="0"/>
    <x v="0"/>
    <x v="0"/>
    <n v="8.14"/>
    <n v="8.14"/>
    <n v="8.14"/>
    <n v="651.20000000000005"/>
    <n v="651.20000000000005"/>
    <n v="651.20000000000005"/>
    <n v="575.34"/>
    <n v="575.34"/>
    <n v="575.34"/>
    <x v="1"/>
    <x v="1"/>
    <x v="0"/>
    <n v="0"/>
    <x v="0"/>
  </r>
  <r>
    <x v="19"/>
    <x v="19"/>
    <n v="114"/>
    <x v="1"/>
    <s v="8ºC"/>
    <x v="0"/>
    <s v="Fertirrigação"/>
    <x v="18"/>
    <s v="3 - Parceria"/>
    <n v="6.84"/>
    <n v="6.84"/>
    <n v="6.84"/>
    <n v="6.84"/>
    <n v="478.8"/>
    <n v="478.8"/>
    <n v="478.8"/>
    <n v="423.31"/>
    <x v="0"/>
    <x v="32"/>
    <x v="0"/>
    <x v="0"/>
    <x v="0"/>
    <n v="6.84"/>
    <n v="6.84"/>
    <n v="6.84"/>
    <n v="478.8"/>
    <n v="478.8"/>
    <n v="478.8"/>
    <n v="423.31"/>
    <n v="423.31"/>
    <n v="423.31"/>
    <x v="1"/>
    <x v="1"/>
    <x v="0"/>
    <n v="0"/>
    <x v="0"/>
  </r>
  <r>
    <x v="19"/>
    <x v="19"/>
    <n v="115"/>
    <x v="1"/>
    <s v="8ºC"/>
    <x v="0"/>
    <s v="Fertirrigação"/>
    <x v="18"/>
    <s v="3 - Parceria"/>
    <n v="8.16"/>
    <n v="8.16"/>
    <n v="8.16"/>
    <n v="8.16"/>
    <n v="538.55999999999995"/>
    <n v="538.55999999999995"/>
    <n v="538.55999999999995"/>
    <n v="476.35"/>
    <x v="0"/>
    <x v="32"/>
    <x v="0"/>
    <x v="0"/>
    <x v="0"/>
    <n v="8.16"/>
    <n v="8.16"/>
    <n v="8.16"/>
    <n v="538.55999999999995"/>
    <n v="538.55999999999995"/>
    <n v="538.55999999999995"/>
    <n v="476.35"/>
    <n v="476.35"/>
    <n v="476.35"/>
    <x v="1"/>
    <x v="1"/>
    <x v="0"/>
    <n v="0"/>
    <x v="0"/>
  </r>
  <r>
    <x v="19"/>
    <x v="19"/>
    <n v="116"/>
    <x v="1"/>
    <s v="8ºC"/>
    <x v="0"/>
    <s v="Fertirrigação"/>
    <x v="5"/>
    <s v="3 - Parceria"/>
    <n v="3.17"/>
    <n v="3.17"/>
    <n v="3.17"/>
    <n v="3.17"/>
    <n v="209.22"/>
    <n v="209.22"/>
    <n v="209.22"/>
    <n v="185.15"/>
    <x v="0"/>
    <x v="32"/>
    <x v="0"/>
    <x v="0"/>
    <x v="0"/>
    <n v="3.17"/>
    <n v="3.17"/>
    <n v="3.17"/>
    <n v="209.22"/>
    <n v="209.22"/>
    <n v="209.22"/>
    <n v="185.15"/>
    <n v="185.15"/>
    <n v="185.15"/>
    <x v="1"/>
    <x v="1"/>
    <x v="0"/>
    <n v="0"/>
    <x v="0"/>
  </r>
  <r>
    <x v="19"/>
    <x v="19"/>
    <n v="117"/>
    <x v="1"/>
    <s v="8ºC"/>
    <x v="0"/>
    <s v="Fertirrigação"/>
    <x v="18"/>
    <s v="3 - Parceria"/>
    <n v="4.5"/>
    <n v="4.5"/>
    <n v="4.5"/>
    <n v="4.5"/>
    <n v="324"/>
    <n v="333"/>
    <n v="333"/>
    <n v="264.64999999999998"/>
    <x v="0"/>
    <x v="32"/>
    <x v="0"/>
    <x v="0"/>
    <x v="0"/>
    <n v="4.5"/>
    <n v="4.5"/>
    <n v="4.5"/>
    <n v="324"/>
    <n v="333"/>
    <n v="333"/>
    <n v="264.64999999999998"/>
    <n v="264.64999999999998"/>
    <n v="264.64999999999998"/>
    <x v="1"/>
    <x v="1"/>
    <x v="0"/>
    <n v="0"/>
    <x v="0"/>
  </r>
  <r>
    <x v="19"/>
    <x v="19"/>
    <n v="118"/>
    <x v="1"/>
    <s v="8ºC"/>
    <x v="0"/>
    <s v="Fertirrigação"/>
    <x v="18"/>
    <s v="3 - Parceria"/>
    <n v="7.05"/>
    <n v="7.05"/>
    <n v="7.05"/>
    <n v="7.05"/>
    <n v="507.6"/>
    <n v="521.70000000000005"/>
    <n v="521.70000000000005"/>
    <n v="414.89"/>
    <x v="0"/>
    <x v="32"/>
    <x v="0"/>
    <x v="0"/>
    <x v="0"/>
    <n v="7.05"/>
    <n v="7.05"/>
    <n v="7.05"/>
    <n v="507.6"/>
    <n v="521.70000000000005"/>
    <n v="521.70000000000005"/>
    <n v="414.89"/>
    <n v="414.89"/>
    <n v="414.89"/>
    <x v="1"/>
    <x v="1"/>
    <x v="0"/>
    <n v="0"/>
    <x v="0"/>
  </r>
  <r>
    <x v="19"/>
    <x v="19"/>
    <n v="119"/>
    <x v="1"/>
    <s v="8ºC"/>
    <x v="0"/>
    <s v="Fertirrigação"/>
    <x v="18"/>
    <s v="3 - Parceria"/>
    <n v="6.76"/>
    <n v="6.76"/>
    <n v="6.76"/>
    <n v="6.76"/>
    <n v="486.72"/>
    <n v="500.24"/>
    <n v="500.24"/>
    <n v="397.41"/>
    <x v="0"/>
    <x v="32"/>
    <x v="0"/>
    <x v="0"/>
    <x v="0"/>
    <n v="6.76"/>
    <n v="6.76"/>
    <n v="6.76"/>
    <n v="486.72"/>
    <n v="500.24"/>
    <n v="500.24"/>
    <n v="397.41"/>
    <n v="397.41"/>
    <n v="397.41"/>
    <x v="1"/>
    <x v="1"/>
    <x v="0"/>
    <n v="0"/>
    <x v="0"/>
  </r>
  <r>
    <x v="19"/>
    <x v="19"/>
    <n v="120"/>
    <x v="1"/>
    <s v="8ºC"/>
    <x v="0"/>
    <s v="Fertirrigação"/>
    <x v="18"/>
    <s v="3 - Parceria"/>
    <n v="4.0999999999999996"/>
    <n v="4.0999999999999996"/>
    <n v="4.0999999999999996"/>
    <n v="4.0999999999999996"/>
    <n v="295.2"/>
    <n v="303.39999999999998"/>
    <n v="303.39999999999998"/>
    <n v="240.81"/>
    <x v="0"/>
    <x v="32"/>
    <x v="0"/>
    <x v="0"/>
    <x v="0"/>
    <n v="4.0999999999999996"/>
    <n v="4.0999999999999996"/>
    <n v="4.0999999999999996"/>
    <n v="295.2"/>
    <n v="303.39999999999998"/>
    <n v="303.39999999999998"/>
    <n v="240.81"/>
    <n v="240.81"/>
    <n v="240.81"/>
    <x v="1"/>
    <x v="1"/>
    <x v="0"/>
    <n v="0"/>
    <x v="0"/>
  </r>
  <r>
    <x v="19"/>
    <x v="19"/>
    <n v="121"/>
    <x v="1"/>
    <s v="8ºC"/>
    <x v="0"/>
    <s v="Fertirrigação"/>
    <x v="18"/>
    <s v="3 - Parceria"/>
    <n v="4.46"/>
    <n v="4.46"/>
    <n v="4.46"/>
    <n v="4.46"/>
    <n v="321.12"/>
    <n v="330.04"/>
    <n v="330.04"/>
    <n v="262.27999999999997"/>
    <x v="0"/>
    <x v="32"/>
    <x v="0"/>
    <x v="0"/>
    <x v="0"/>
    <n v="4.46"/>
    <n v="4.46"/>
    <n v="4.46"/>
    <n v="321.12"/>
    <n v="330.04"/>
    <n v="330.04"/>
    <n v="262.27999999999997"/>
    <n v="262.27999999999997"/>
    <n v="262.27999999999997"/>
    <x v="1"/>
    <x v="1"/>
    <x v="0"/>
    <n v="0"/>
    <x v="0"/>
  </r>
  <r>
    <x v="19"/>
    <x v="19"/>
    <n v="122"/>
    <x v="1"/>
    <s v="8ºC"/>
    <x v="0"/>
    <s v="Fertirrigação"/>
    <x v="18"/>
    <s v="3 - Parceria"/>
    <n v="7.37"/>
    <n v="7.37"/>
    <n v="7.37"/>
    <n v="7.37"/>
    <n v="530.64"/>
    <n v="545.38"/>
    <n v="545.38"/>
    <n v="433.18"/>
    <x v="0"/>
    <x v="32"/>
    <x v="0"/>
    <x v="0"/>
    <x v="0"/>
    <n v="7.37"/>
    <n v="7.37"/>
    <n v="7.37"/>
    <n v="530.64"/>
    <n v="545.38"/>
    <n v="545.38"/>
    <n v="433.18"/>
    <n v="433.18"/>
    <n v="433.18"/>
    <x v="1"/>
    <x v="1"/>
    <x v="0"/>
    <n v="0"/>
    <x v="0"/>
  </r>
  <r>
    <x v="19"/>
    <x v="19"/>
    <n v="123"/>
    <x v="1"/>
    <s v="8ºC"/>
    <x v="0"/>
    <s v="Fertirrigação"/>
    <x v="18"/>
    <s v="3 - Parceria"/>
    <n v="4.96"/>
    <n v="4.96"/>
    <n v="4.96"/>
    <n v="4.96"/>
    <n v="357.12"/>
    <n v="367.04"/>
    <n v="347.2"/>
    <n v="275.77999999999997"/>
    <x v="0"/>
    <x v="32"/>
    <x v="0"/>
    <x v="0"/>
    <x v="0"/>
    <n v="4.96"/>
    <n v="4.96"/>
    <n v="4.96"/>
    <n v="357.12"/>
    <n v="367.04"/>
    <n v="347.2"/>
    <n v="275.77999999999997"/>
    <n v="275.77999999999997"/>
    <n v="275.77999999999997"/>
    <x v="1"/>
    <x v="1"/>
    <x v="0"/>
    <n v="0"/>
    <x v="0"/>
  </r>
  <r>
    <x v="19"/>
    <x v="19"/>
    <n v="124"/>
    <x v="1"/>
    <s v="8ºC"/>
    <x v="0"/>
    <s v="Fertirrigação"/>
    <x v="18"/>
    <s v="3 - Parceria"/>
    <n v="9.34"/>
    <n v="9.34"/>
    <n v="9.34"/>
    <n v="9.34"/>
    <n v="672.48"/>
    <n v="691.16"/>
    <n v="653.79999999999995"/>
    <n v="519.82000000000005"/>
    <x v="0"/>
    <x v="32"/>
    <x v="0"/>
    <x v="0"/>
    <x v="0"/>
    <n v="9.34"/>
    <n v="9.34"/>
    <n v="9.34"/>
    <n v="672.48"/>
    <n v="691.16"/>
    <n v="653.79999999999995"/>
    <n v="519.82000000000005"/>
    <n v="519.82000000000005"/>
    <n v="519.82000000000005"/>
    <x v="1"/>
    <x v="1"/>
    <x v="0"/>
    <n v="0"/>
    <x v="0"/>
  </r>
  <r>
    <x v="19"/>
    <x v="19"/>
    <n v="125"/>
    <x v="1"/>
    <s v="8ºC"/>
    <x v="0"/>
    <s v="Fertirrigação"/>
    <x v="18"/>
    <s v="3 - Parceria"/>
    <n v="3.32"/>
    <n v="3.32"/>
    <n v="3.32"/>
    <n v="3.32"/>
    <n v="239.04"/>
    <n v="245.68"/>
    <n v="209.16"/>
    <n v="166.54"/>
    <x v="0"/>
    <x v="32"/>
    <x v="0"/>
    <x v="0"/>
    <x v="0"/>
    <n v="3.32"/>
    <n v="3.32"/>
    <n v="3.32"/>
    <n v="239.04"/>
    <n v="245.68"/>
    <n v="209.16"/>
    <n v="166.54"/>
    <n v="166.54"/>
    <n v="166.54"/>
    <x v="1"/>
    <x v="1"/>
    <x v="0"/>
    <n v="0"/>
    <x v="0"/>
  </r>
  <r>
    <x v="19"/>
    <x v="19"/>
    <n v="126"/>
    <x v="1"/>
    <s v="8ºC"/>
    <x v="0"/>
    <s v="Fertirrigação"/>
    <x v="18"/>
    <s v="3 - Parceria"/>
    <n v="11.26"/>
    <n v="11.26"/>
    <n v="11.26"/>
    <n v="11.26"/>
    <n v="810.72"/>
    <n v="833.24"/>
    <n v="709.38"/>
    <n v="481.04"/>
    <x v="0"/>
    <x v="32"/>
    <x v="0"/>
    <x v="0"/>
    <x v="0"/>
    <n v="11.26"/>
    <n v="11.26"/>
    <n v="11.26"/>
    <n v="810.72"/>
    <n v="833.24"/>
    <n v="709.38"/>
    <n v="481.04"/>
    <n v="481.04"/>
    <n v="481.04"/>
    <x v="1"/>
    <x v="1"/>
    <x v="0"/>
    <n v="0"/>
    <x v="0"/>
  </r>
  <r>
    <x v="19"/>
    <x v="19"/>
    <n v="127"/>
    <x v="1"/>
    <s v="8ºC"/>
    <x v="0"/>
    <s v="Fertirrigação"/>
    <x v="18"/>
    <s v="3 - Parceria"/>
    <n v="4.53"/>
    <n v="4.53"/>
    <n v="4.53"/>
    <n v="4.53"/>
    <n v="326.16000000000003"/>
    <n v="335.22"/>
    <n v="285.39"/>
    <n v="193.35"/>
    <x v="0"/>
    <x v="32"/>
    <x v="0"/>
    <x v="0"/>
    <x v="0"/>
    <n v="4.53"/>
    <n v="4.53"/>
    <n v="4.53"/>
    <n v="326.16000000000003"/>
    <n v="335.22"/>
    <n v="285.39"/>
    <n v="193.35"/>
    <n v="193.35"/>
    <n v="193.35"/>
    <x v="1"/>
    <x v="1"/>
    <x v="0"/>
    <n v="0"/>
    <x v="0"/>
  </r>
  <r>
    <x v="19"/>
    <x v="19"/>
    <n v="128"/>
    <x v="1"/>
    <s v="8ºC"/>
    <x v="0"/>
    <s v="Fertirrigação"/>
    <x v="18"/>
    <s v="3 - Parceria"/>
    <n v="1.21"/>
    <n v="1.21"/>
    <n v="1.21"/>
    <n v="1.21"/>
    <n v="87.12"/>
    <n v="89.54"/>
    <n v="76.23"/>
    <n v="51.53"/>
    <x v="0"/>
    <x v="32"/>
    <x v="0"/>
    <x v="0"/>
    <x v="0"/>
    <n v="1.21"/>
    <n v="1.21"/>
    <n v="1.21"/>
    <n v="87.12"/>
    <n v="89.54"/>
    <n v="76.23"/>
    <n v="51.53"/>
    <n v="51.53"/>
    <n v="51.53"/>
    <x v="1"/>
    <x v="1"/>
    <x v="0"/>
    <n v="0"/>
    <x v="0"/>
  </r>
  <r>
    <x v="19"/>
    <x v="19"/>
    <n v="129"/>
    <x v="1"/>
    <s v="8ºC"/>
    <x v="0"/>
    <s v="Fertirrigação"/>
    <x v="18"/>
    <s v="3 - Parceria"/>
    <n v="4.21"/>
    <n v="4.21"/>
    <n v="4.21"/>
    <n v="4.21"/>
    <n v="303.12"/>
    <n v="311.54000000000002"/>
    <n v="286.27999999999997"/>
    <n v="194.02"/>
    <x v="0"/>
    <x v="32"/>
    <x v="0"/>
    <x v="0"/>
    <x v="0"/>
    <n v="4.21"/>
    <n v="4.21"/>
    <n v="4.21"/>
    <n v="303.12"/>
    <n v="311.54000000000002"/>
    <n v="286.27999999999997"/>
    <n v="194.02"/>
    <n v="194.02"/>
    <n v="194.02"/>
    <x v="1"/>
    <x v="1"/>
    <x v="0"/>
    <n v="0"/>
    <x v="0"/>
  </r>
  <r>
    <x v="19"/>
    <x v="19"/>
    <n v="130"/>
    <x v="1"/>
    <s v="8ºC"/>
    <x v="0"/>
    <s v="Fertirrigação"/>
    <x v="18"/>
    <s v="3 - Parceria"/>
    <n v="5.24"/>
    <n v="5.24"/>
    <n v="5.24"/>
    <n v="5.24"/>
    <n v="377.28"/>
    <n v="387.76"/>
    <n v="356.32"/>
    <n v="241.52"/>
    <x v="0"/>
    <x v="32"/>
    <x v="0"/>
    <x v="0"/>
    <x v="0"/>
    <n v="5.24"/>
    <n v="5.24"/>
    <n v="5.24"/>
    <n v="377.28"/>
    <n v="387.76"/>
    <n v="356.32"/>
    <n v="241.52"/>
    <n v="241.52"/>
    <n v="241.52"/>
    <x v="1"/>
    <x v="1"/>
    <x v="0"/>
    <n v="0"/>
    <x v="0"/>
  </r>
  <r>
    <x v="19"/>
    <x v="19"/>
    <n v="131"/>
    <x v="1"/>
    <s v="8ºC"/>
    <x v="0"/>
    <s v="Fertirrigação"/>
    <x v="19"/>
    <s v="3 - Parceria"/>
    <n v="17.010000000000002"/>
    <n v="17.010000000000002"/>
    <n v="17.010000000000002"/>
    <n v="17.010000000000002"/>
    <n v="1156.68"/>
    <n v="1156.68"/>
    <n v="952.56"/>
    <n v="646.61"/>
    <x v="0"/>
    <x v="32"/>
    <x v="0"/>
    <x v="0"/>
    <x v="0"/>
    <n v="17.010000000000002"/>
    <n v="17.010000000000002"/>
    <n v="17.010000000000002"/>
    <n v="1156.68"/>
    <n v="1156.68"/>
    <n v="952.56"/>
    <n v="646.61"/>
    <n v="646.61"/>
    <n v="646.61"/>
    <x v="1"/>
    <x v="1"/>
    <x v="0"/>
    <n v="0"/>
    <x v="0"/>
  </r>
  <r>
    <x v="19"/>
    <x v="19"/>
    <n v="132"/>
    <x v="1"/>
    <s v="8ºC"/>
    <x v="0"/>
    <s v="Fertirrigação"/>
    <x v="18"/>
    <s v="3 - Parceria"/>
    <n v="4.92"/>
    <n v="4.92"/>
    <n v="4.92"/>
    <n v="4.92"/>
    <n v="334.56"/>
    <n v="344.4"/>
    <n v="344.4"/>
    <n v="233.63"/>
    <x v="0"/>
    <x v="32"/>
    <x v="0"/>
    <x v="0"/>
    <x v="0"/>
    <n v="4.92"/>
    <n v="4.92"/>
    <n v="4.92"/>
    <n v="334.56"/>
    <n v="344.4"/>
    <n v="344.4"/>
    <n v="233.63"/>
    <n v="233.63"/>
    <n v="233.63"/>
    <x v="1"/>
    <x v="1"/>
    <x v="0"/>
    <n v="0"/>
    <x v="0"/>
  </r>
  <r>
    <x v="19"/>
    <x v="19"/>
    <n v="135"/>
    <x v="3"/>
    <s v="INV"/>
    <x v="0"/>
    <s v="Fertirrigação"/>
    <x v="20"/>
    <s v="3 - Parceria"/>
    <n v="50.74"/>
    <n v="50.74"/>
    <n v="50.74"/>
    <n v="50.74"/>
    <n v="5378.44"/>
    <n v="5479.92"/>
    <n v="5479.92"/>
    <n v="6060.56"/>
    <x v="0"/>
    <x v="20"/>
    <x v="0"/>
    <x v="0"/>
    <x v="0"/>
    <n v="50.74"/>
    <n v="50.74"/>
    <n v="50.74"/>
    <n v="5378.44"/>
    <n v="5479.92"/>
    <n v="5479.92"/>
    <n v="6060.56"/>
    <n v="6060.56"/>
    <n v="6060.56"/>
    <x v="1"/>
    <x v="2"/>
    <x v="2"/>
    <n v="1725.16"/>
    <x v="0"/>
  </r>
  <r>
    <x v="19"/>
    <x v="19"/>
    <n v="136"/>
    <x v="3"/>
    <s v="INV"/>
    <x v="0"/>
    <s v="Fertirrigação"/>
    <x v="20"/>
    <s v="3 - Parceria"/>
    <n v="68.88"/>
    <n v="68.88"/>
    <n v="68.88"/>
    <n v="68.88"/>
    <n v="7301.28"/>
    <n v="7439.04"/>
    <n v="7439.04"/>
    <n v="8226.5499999999993"/>
    <x v="0"/>
    <x v="20"/>
    <x v="0"/>
    <x v="0"/>
    <x v="0"/>
    <n v="68.88"/>
    <n v="68.88"/>
    <n v="68.88"/>
    <n v="7301.28"/>
    <n v="7439.04"/>
    <n v="7439.04"/>
    <n v="8226.5499999999993"/>
    <n v="8226.5499999999993"/>
    <n v="8226.5499999999993"/>
    <x v="1"/>
    <x v="2"/>
    <x v="2"/>
    <n v="2341.92"/>
    <x v="0"/>
  </r>
  <r>
    <x v="19"/>
    <x v="19"/>
    <n v="137"/>
    <x v="3"/>
    <s v="INV"/>
    <x v="0"/>
    <s v="Fertirrigação"/>
    <x v="20"/>
    <s v="3 - Parceria"/>
    <n v="45.95"/>
    <n v="45.95"/>
    <n v="45.95"/>
    <n v="45.95"/>
    <n v="4870.7"/>
    <n v="4962.6000000000004"/>
    <n v="4962.6000000000004"/>
    <n v="4581.84"/>
    <x v="0"/>
    <x v="34"/>
    <x v="0"/>
    <x v="0"/>
    <x v="0"/>
    <n v="45.95"/>
    <n v="45.95"/>
    <n v="45.95"/>
    <n v="4870.7"/>
    <n v="4962.6000000000004"/>
    <n v="4962.6000000000004"/>
    <n v="4581.84"/>
    <n v="4581.84"/>
    <n v="4581.84"/>
    <x v="1"/>
    <x v="1"/>
    <x v="0"/>
    <n v="0"/>
    <x v="0"/>
  </r>
  <r>
    <x v="19"/>
    <x v="19"/>
    <n v="138"/>
    <x v="3"/>
    <s v="INV"/>
    <x v="0"/>
    <s v="Fertirrigação"/>
    <x v="20"/>
    <s v="3 - Parceria"/>
    <n v="43.34"/>
    <n v="43.34"/>
    <n v="43.34"/>
    <n v="43.34"/>
    <n v="4594.04"/>
    <n v="4680.72"/>
    <n v="4680.72"/>
    <n v="5610.4"/>
    <x v="0"/>
    <x v="12"/>
    <x v="0"/>
    <x v="0"/>
    <x v="0"/>
    <n v="43.34"/>
    <n v="43.34"/>
    <n v="43.34"/>
    <n v="4594.04"/>
    <n v="4680.72"/>
    <n v="4680.72"/>
    <n v="5610.4"/>
    <n v="5610.4"/>
    <n v="5610.4"/>
    <x v="1"/>
    <x v="2"/>
    <x v="2"/>
    <n v="1473.5600000000002"/>
    <x v="0"/>
  </r>
  <r>
    <x v="19"/>
    <x v="19"/>
    <n v="139"/>
    <x v="3"/>
    <s v="INV"/>
    <x v="0"/>
    <s v="Fertirrigação"/>
    <x v="6"/>
    <s v="3 - Parceria"/>
    <n v="39.659999999999997"/>
    <n v="39.659999999999997"/>
    <n v="39.659999999999997"/>
    <n v="39.659999999999997"/>
    <n v="4203.96"/>
    <n v="4283.28"/>
    <n v="4283.28"/>
    <n v="5550.99"/>
    <x v="0"/>
    <x v="12"/>
    <x v="0"/>
    <x v="0"/>
    <x v="0"/>
    <n v="39.659999999999997"/>
    <n v="39.659999999999997"/>
    <n v="39.659999999999997"/>
    <n v="4203.96"/>
    <n v="4283.28"/>
    <n v="4283.28"/>
    <n v="5550.99"/>
    <n v="5550.99"/>
    <n v="5550.99"/>
    <x v="1"/>
    <x v="2"/>
    <x v="2"/>
    <n v="1348.4399999999998"/>
    <x v="0"/>
  </r>
  <r>
    <x v="19"/>
    <x v="19"/>
    <n v="179"/>
    <x v="4"/>
    <s v="4ºC"/>
    <x v="0"/>
    <s v="Fertirrigação"/>
    <x v="16"/>
    <s v="3 - Parceria"/>
    <n v="30.34"/>
    <n v="0"/>
    <n v="0"/>
    <n v="30.34"/>
    <n v="2123.8000000000002"/>
    <n v="0"/>
    <n v="0"/>
    <n v="2009.11"/>
    <x v="0"/>
    <x v="24"/>
    <x v="0"/>
    <x v="1"/>
    <x v="1"/>
    <n v="30.34"/>
    <n v="30.34"/>
    <n v="30.34"/>
    <n v="2123.8000000000002"/>
    <n v="2009.11"/>
    <n v="2009.11"/>
    <n v="2009.11"/>
    <n v="2009.11"/>
    <n v="2009.11"/>
    <x v="1"/>
    <x v="1"/>
    <x v="0"/>
    <n v="0"/>
    <x v="0"/>
  </r>
  <r>
    <x v="19"/>
    <x v="19"/>
    <n v="180"/>
    <x v="4"/>
    <s v="4ºC"/>
    <x v="0"/>
    <s v="Fertirrigação"/>
    <x v="16"/>
    <s v="3 - Parceria"/>
    <n v="35.71"/>
    <n v="0"/>
    <n v="0"/>
    <n v="35.71"/>
    <n v="2499.6999999999998"/>
    <n v="0"/>
    <n v="0"/>
    <n v="2425.4699999999998"/>
    <x v="0"/>
    <x v="25"/>
    <x v="0"/>
    <x v="1"/>
    <x v="1"/>
    <n v="35.71"/>
    <n v="35.71"/>
    <n v="35.71"/>
    <n v="2499.6999999999998"/>
    <n v="2425.4699999999998"/>
    <n v="2425.4699999999998"/>
    <n v="2425.4699999999998"/>
    <n v="2425.4699999999998"/>
    <n v="2425.4699999999998"/>
    <x v="1"/>
    <x v="1"/>
    <x v="0"/>
    <n v="0"/>
    <x v="0"/>
  </r>
  <r>
    <x v="19"/>
    <x v="19"/>
    <n v="181"/>
    <x v="4"/>
    <s v="4ºC"/>
    <x v="0"/>
    <s v="Fertirrigação"/>
    <x v="16"/>
    <s v="3 - Parceria"/>
    <n v="8.35"/>
    <n v="0"/>
    <n v="0"/>
    <n v="8.35"/>
    <n v="584.5"/>
    <n v="0"/>
    <n v="0"/>
    <n v="567.46"/>
    <x v="0"/>
    <x v="25"/>
    <x v="0"/>
    <x v="1"/>
    <x v="1"/>
    <n v="8.35"/>
    <n v="8.35"/>
    <n v="8.35"/>
    <n v="584.5"/>
    <n v="567.46"/>
    <n v="567.46"/>
    <n v="567.46"/>
    <n v="567.46"/>
    <n v="567.46"/>
    <x v="1"/>
    <x v="1"/>
    <x v="0"/>
    <n v="0"/>
    <x v="0"/>
  </r>
  <r>
    <x v="19"/>
    <x v="19"/>
    <n v="182"/>
    <x v="4"/>
    <s v="4ºC"/>
    <x v="0"/>
    <s v="Fertirrigação"/>
    <x v="16"/>
    <s v="3 - Parceria"/>
    <n v="13.33"/>
    <n v="0"/>
    <n v="0"/>
    <n v="13.33"/>
    <n v="933.1"/>
    <n v="0"/>
    <n v="0"/>
    <n v="905.11"/>
    <x v="0"/>
    <x v="25"/>
    <x v="0"/>
    <x v="1"/>
    <x v="1"/>
    <n v="13.33"/>
    <n v="13.33"/>
    <n v="13.33"/>
    <n v="933.1"/>
    <n v="905.11"/>
    <n v="905.11"/>
    <n v="905.11"/>
    <n v="905.11"/>
    <n v="905.11"/>
    <x v="1"/>
    <x v="1"/>
    <x v="0"/>
    <n v="0"/>
    <x v="0"/>
  </r>
  <r>
    <x v="19"/>
    <x v="19"/>
    <n v="183"/>
    <x v="4"/>
    <s v="4ºC"/>
    <x v="0"/>
    <s v="Fertirrigação"/>
    <x v="16"/>
    <s v="3 - Parceria"/>
    <n v="19.600000000000001"/>
    <n v="0"/>
    <n v="0"/>
    <n v="19.600000000000001"/>
    <n v="1372"/>
    <n v="0"/>
    <n v="0"/>
    <n v="1331.04"/>
    <x v="0"/>
    <x v="25"/>
    <x v="0"/>
    <x v="1"/>
    <x v="1"/>
    <n v="19.600000000000001"/>
    <n v="19.600000000000001"/>
    <n v="19.600000000000001"/>
    <n v="1372"/>
    <n v="1331.04"/>
    <n v="1331.04"/>
    <n v="1331.04"/>
    <n v="1331.04"/>
    <n v="1331.04"/>
    <x v="1"/>
    <x v="1"/>
    <x v="0"/>
    <n v="0"/>
    <x v="0"/>
  </r>
  <r>
    <x v="19"/>
    <x v="19"/>
    <n v="184"/>
    <x v="4"/>
    <s v="4ºC"/>
    <x v="0"/>
    <s v="Fertirrigação"/>
    <x v="16"/>
    <s v="3 - Parceria"/>
    <n v="31.62"/>
    <n v="0"/>
    <n v="0"/>
    <n v="31.62"/>
    <n v="2213.4"/>
    <n v="0"/>
    <n v="0"/>
    <n v="2093.44"/>
    <x v="0"/>
    <x v="24"/>
    <x v="0"/>
    <x v="1"/>
    <x v="1"/>
    <n v="31.62"/>
    <n v="31.62"/>
    <n v="31.62"/>
    <n v="2213.4"/>
    <n v="2093.44"/>
    <n v="2093.44"/>
    <n v="2093.44"/>
    <n v="2093.44"/>
    <n v="2093.44"/>
    <x v="1"/>
    <x v="1"/>
    <x v="0"/>
    <n v="0"/>
    <x v="0"/>
  </r>
  <r>
    <x v="19"/>
    <x v="19"/>
    <n v="185"/>
    <x v="2"/>
    <s v="3ºC"/>
    <x v="0"/>
    <s v="Fertirrigação"/>
    <x v="16"/>
    <s v="3 - Parceria"/>
    <n v="18.11"/>
    <n v="0"/>
    <n v="0"/>
    <n v="18.11"/>
    <n v="1412.58"/>
    <n v="0"/>
    <n v="0"/>
    <n v="1370.82"/>
    <x v="0"/>
    <x v="25"/>
    <x v="0"/>
    <x v="1"/>
    <x v="1"/>
    <n v="18.11"/>
    <n v="18.11"/>
    <n v="18.11"/>
    <n v="1412.58"/>
    <n v="1370.82"/>
    <n v="1370.82"/>
    <n v="1370.82"/>
    <n v="1370.82"/>
    <n v="1370.82"/>
    <x v="1"/>
    <x v="1"/>
    <x v="0"/>
    <n v="0"/>
    <x v="0"/>
  </r>
  <r>
    <x v="19"/>
    <x v="19"/>
    <n v="186"/>
    <x v="2"/>
    <s v="3ºC"/>
    <x v="0"/>
    <s v="Fertirrigação"/>
    <x v="16"/>
    <s v="3 - Parceria"/>
    <n v="12.86"/>
    <n v="0"/>
    <n v="0"/>
    <n v="12.86"/>
    <n v="1003.08"/>
    <n v="0"/>
    <n v="0"/>
    <n v="973.74"/>
    <x v="0"/>
    <x v="25"/>
    <x v="0"/>
    <x v="1"/>
    <x v="1"/>
    <n v="12.86"/>
    <n v="12.86"/>
    <n v="12.86"/>
    <n v="1003.08"/>
    <n v="973.74"/>
    <n v="973.74"/>
    <n v="973.74"/>
    <n v="973.74"/>
    <n v="973.74"/>
    <x v="1"/>
    <x v="1"/>
    <x v="0"/>
    <n v="0"/>
    <x v="0"/>
  </r>
  <r>
    <x v="19"/>
    <x v="19"/>
    <n v="195"/>
    <x v="2"/>
    <s v="3ºC"/>
    <x v="0"/>
    <s v="Fertirrigação"/>
    <x v="14"/>
    <s v="3 - Parceria"/>
    <n v="39.83"/>
    <n v="39.83"/>
    <n v="0"/>
    <n v="39.83"/>
    <n v="3465.21"/>
    <n v="3505.04"/>
    <n v="0"/>
    <n v="4133.25"/>
    <x v="0"/>
    <x v="31"/>
    <x v="0"/>
    <x v="0"/>
    <x v="1"/>
    <n v="39.83"/>
    <n v="39.83"/>
    <n v="39.83"/>
    <n v="3465.21"/>
    <n v="3505.04"/>
    <n v="4133.25"/>
    <n v="4133.25"/>
    <n v="4133.25"/>
    <n v="4133.25"/>
    <x v="1"/>
    <x v="1"/>
    <x v="0"/>
    <n v="0"/>
    <x v="0"/>
  </r>
  <r>
    <x v="19"/>
    <x v="19"/>
    <n v="200"/>
    <x v="5"/>
    <s v="2ºC"/>
    <x v="0"/>
    <s v="Fertirrigação"/>
    <x v="21"/>
    <s v="3 - Parceria"/>
    <n v="8.8699999999999992"/>
    <n v="8.8699999999999992"/>
    <n v="8.8699999999999992"/>
    <n v="8.8699999999999992"/>
    <n v="753.95"/>
    <n v="807.17"/>
    <n v="745.08"/>
    <n v="557.51"/>
    <x v="0"/>
    <x v="19"/>
    <x v="0"/>
    <x v="0"/>
    <x v="0"/>
    <n v="8.8699999999999992"/>
    <n v="8.8699999999999992"/>
    <n v="8.8699999999999992"/>
    <n v="753.95"/>
    <n v="807.17"/>
    <n v="745.08"/>
    <n v="557.51"/>
    <n v="557.51"/>
    <n v="557.51"/>
    <x v="1"/>
    <x v="1"/>
    <x v="0"/>
    <n v="0"/>
    <x v="0"/>
  </r>
  <r>
    <x v="19"/>
    <x v="19"/>
    <n v="201"/>
    <x v="5"/>
    <s v="2ºC"/>
    <x v="0"/>
    <s v="Fertirrigação"/>
    <x v="22"/>
    <s v="3 - Parceria"/>
    <n v="15.05"/>
    <n v="15.05"/>
    <n v="15.05"/>
    <n v="15.05"/>
    <n v="1279.25"/>
    <n v="1369.55"/>
    <n v="1234.0999999999999"/>
    <n v="923.49"/>
    <x v="0"/>
    <x v="19"/>
    <x v="0"/>
    <x v="0"/>
    <x v="0"/>
    <n v="15.05"/>
    <n v="15.05"/>
    <n v="15.05"/>
    <n v="1279.25"/>
    <n v="1369.55"/>
    <n v="1234.0999999999999"/>
    <n v="923.49"/>
    <n v="923.49"/>
    <n v="923.49"/>
    <x v="1"/>
    <x v="1"/>
    <x v="0"/>
    <n v="0"/>
    <x v="0"/>
  </r>
  <r>
    <x v="19"/>
    <x v="19"/>
    <n v="202"/>
    <x v="5"/>
    <s v="2ºC"/>
    <x v="0"/>
    <s v="Fertirrigação"/>
    <x v="23"/>
    <s v="3 - Parceria"/>
    <n v="24.76"/>
    <n v="24.76"/>
    <n v="24.76"/>
    <n v="24.76"/>
    <n v="2253.16"/>
    <n v="2302.6799999999998"/>
    <n v="2030.32"/>
    <n v="1519.37"/>
    <x v="0"/>
    <x v="19"/>
    <x v="0"/>
    <x v="0"/>
    <x v="0"/>
    <n v="24.76"/>
    <n v="24.76"/>
    <n v="24.76"/>
    <n v="2253.16"/>
    <n v="2302.6799999999998"/>
    <n v="2030.32"/>
    <n v="1519.37"/>
    <n v="1519.37"/>
    <n v="1519.37"/>
    <x v="1"/>
    <x v="1"/>
    <x v="0"/>
    <n v="0"/>
    <x v="0"/>
  </r>
  <r>
    <x v="19"/>
    <x v="19"/>
    <n v="203"/>
    <x v="5"/>
    <s v="2ºC"/>
    <x v="0"/>
    <s v="Fertirrigação"/>
    <x v="23"/>
    <s v="3 - Parceria"/>
    <n v="9.11"/>
    <n v="9.11"/>
    <n v="9.11"/>
    <n v="9.11"/>
    <n v="829.01"/>
    <n v="847.23"/>
    <n v="747.02"/>
    <n v="568.66"/>
    <x v="0"/>
    <x v="32"/>
    <x v="0"/>
    <x v="0"/>
    <x v="0"/>
    <n v="9.11"/>
    <n v="9.11"/>
    <n v="9.11"/>
    <n v="829.01"/>
    <n v="847.23"/>
    <n v="747.02"/>
    <n v="568.66"/>
    <n v="568.66"/>
    <n v="568.66"/>
    <x v="1"/>
    <x v="1"/>
    <x v="0"/>
    <n v="0"/>
    <x v="0"/>
  </r>
  <r>
    <x v="19"/>
    <x v="19"/>
    <n v="204"/>
    <x v="5"/>
    <s v="2ºC"/>
    <x v="0"/>
    <s v="Fertirrigação"/>
    <x v="23"/>
    <s v="3 - Parceria"/>
    <n v="15.73"/>
    <n v="15.73"/>
    <n v="15.73"/>
    <n v="15.73"/>
    <n v="1431.43"/>
    <n v="1462.89"/>
    <n v="1289.8599999999999"/>
    <n v="982.07"/>
    <x v="0"/>
    <x v="32"/>
    <x v="0"/>
    <x v="0"/>
    <x v="0"/>
    <n v="15.73"/>
    <n v="15.73"/>
    <n v="15.73"/>
    <n v="1431.43"/>
    <n v="1462.89"/>
    <n v="1289.8599999999999"/>
    <n v="982.07"/>
    <n v="982.07"/>
    <n v="982.07"/>
    <x v="1"/>
    <x v="1"/>
    <x v="0"/>
    <n v="0"/>
    <x v="0"/>
  </r>
  <r>
    <x v="19"/>
    <x v="19"/>
    <n v="205"/>
    <x v="5"/>
    <s v="2ºC"/>
    <x v="0"/>
    <s v="Fertirrigação"/>
    <x v="23"/>
    <s v="3 - Parceria"/>
    <n v="20.18"/>
    <n v="20.18"/>
    <n v="20.18"/>
    <n v="20.18"/>
    <n v="1836.38"/>
    <n v="1876.74"/>
    <n v="1654.76"/>
    <n v="1259.96"/>
    <x v="0"/>
    <x v="32"/>
    <x v="0"/>
    <x v="0"/>
    <x v="0"/>
    <n v="20.18"/>
    <n v="20.18"/>
    <n v="20.18"/>
    <n v="1836.38"/>
    <n v="1876.74"/>
    <n v="1654.76"/>
    <n v="1259.96"/>
    <n v="1259.96"/>
    <n v="1259.96"/>
    <x v="1"/>
    <x v="1"/>
    <x v="0"/>
    <n v="0"/>
    <x v="0"/>
  </r>
  <r>
    <x v="19"/>
    <x v="19"/>
    <n v="206"/>
    <x v="5"/>
    <s v="2ºC"/>
    <x v="0"/>
    <s v="Fertirrigação"/>
    <x v="23"/>
    <s v="3 - Parceria"/>
    <n v="16.059999999999999"/>
    <n v="16.059999999999999"/>
    <n v="16.059999999999999"/>
    <n v="16.059999999999999"/>
    <n v="1461.46"/>
    <n v="1493.58"/>
    <n v="1156.32"/>
    <n v="880.29"/>
    <x v="0"/>
    <x v="32"/>
    <x v="0"/>
    <x v="0"/>
    <x v="0"/>
    <n v="16.059999999999999"/>
    <n v="16.059999999999999"/>
    <n v="16.059999999999999"/>
    <n v="1461.46"/>
    <n v="1493.58"/>
    <n v="1156.32"/>
    <n v="880.29"/>
    <n v="880.29"/>
    <n v="880.29"/>
    <x v="1"/>
    <x v="1"/>
    <x v="0"/>
    <n v="0"/>
    <x v="0"/>
  </r>
  <r>
    <x v="19"/>
    <x v="19"/>
    <n v="207"/>
    <x v="5"/>
    <s v="2ºC"/>
    <x v="0"/>
    <s v="Fertirrigação"/>
    <x v="16"/>
    <s v="3 - Parceria"/>
    <n v="31.72"/>
    <n v="0"/>
    <n v="0"/>
    <n v="31.72"/>
    <n v="3172"/>
    <n v="0"/>
    <n v="0"/>
    <n v="3650.75"/>
    <x v="0"/>
    <x v="4"/>
    <x v="0"/>
    <x v="1"/>
    <x v="1"/>
    <n v="31.72"/>
    <n v="31.72"/>
    <n v="31.72"/>
    <n v="3172"/>
    <n v="3650.75"/>
    <n v="3650.75"/>
    <n v="3650.75"/>
    <n v="3650.75"/>
    <n v="3650.75"/>
    <x v="1"/>
    <x v="1"/>
    <x v="0"/>
    <n v="0"/>
    <x v="0"/>
  </r>
  <r>
    <x v="19"/>
    <x v="19"/>
    <n v="208"/>
    <x v="5"/>
    <s v="2ºC"/>
    <x v="0"/>
    <s v="Fertirrigação"/>
    <x v="5"/>
    <s v="3 - Parceria"/>
    <n v="29.8"/>
    <n v="0"/>
    <n v="0"/>
    <n v="29.8"/>
    <n v="2890.6"/>
    <n v="0"/>
    <n v="0"/>
    <n v="3327.55"/>
    <x v="0"/>
    <x v="4"/>
    <x v="0"/>
    <x v="1"/>
    <x v="1"/>
    <n v="29.8"/>
    <n v="29.8"/>
    <n v="29.8"/>
    <n v="2890.6"/>
    <n v="3327.55"/>
    <n v="3327.55"/>
    <n v="3327.55"/>
    <n v="3327.55"/>
    <n v="3327.55"/>
    <x v="1"/>
    <x v="1"/>
    <x v="0"/>
    <n v="0"/>
    <x v="0"/>
  </r>
  <r>
    <x v="19"/>
    <x v="19"/>
    <n v="209"/>
    <x v="5"/>
    <s v="2ºC"/>
    <x v="0"/>
    <s v="Fertirrigação"/>
    <x v="16"/>
    <s v="3 - Parceria"/>
    <n v="28.61"/>
    <n v="0"/>
    <n v="0"/>
    <n v="28.61"/>
    <n v="2861"/>
    <n v="0"/>
    <n v="0"/>
    <n v="3243.57"/>
    <x v="0"/>
    <x v="25"/>
    <x v="0"/>
    <x v="1"/>
    <x v="1"/>
    <n v="28.61"/>
    <n v="28.61"/>
    <n v="28.61"/>
    <n v="2861"/>
    <n v="3243.57"/>
    <n v="3243.57"/>
    <n v="3243.57"/>
    <n v="3243.57"/>
    <n v="3243.57"/>
    <x v="1"/>
    <x v="1"/>
    <x v="0"/>
    <n v="0"/>
    <x v="0"/>
  </r>
  <r>
    <x v="19"/>
    <x v="19"/>
    <n v="210"/>
    <x v="5"/>
    <s v="2ºC"/>
    <x v="0"/>
    <s v="Fertirrigação"/>
    <x v="16"/>
    <s v="3 - Parceria"/>
    <n v="32.049999999999997"/>
    <n v="0"/>
    <n v="0"/>
    <n v="32.049999999999997"/>
    <n v="3237.05"/>
    <n v="0"/>
    <n v="0"/>
    <n v="3670.08"/>
    <x v="0"/>
    <x v="25"/>
    <x v="0"/>
    <x v="1"/>
    <x v="1"/>
    <n v="32.049999999999997"/>
    <n v="32.049999999999997"/>
    <n v="32.049999999999997"/>
    <n v="3237.05"/>
    <n v="3670.08"/>
    <n v="3670.08"/>
    <n v="3670.08"/>
    <n v="3670.08"/>
    <n v="3670.08"/>
    <x v="1"/>
    <x v="1"/>
    <x v="0"/>
    <n v="0"/>
    <x v="0"/>
  </r>
  <r>
    <x v="19"/>
    <x v="19"/>
    <n v="211"/>
    <x v="5"/>
    <s v="2ºC"/>
    <x v="0"/>
    <s v="Fertirrigação"/>
    <x v="16"/>
    <s v="3 - Parceria"/>
    <n v="41.11"/>
    <n v="0"/>
    <n v="0"/>
    <n v="41.11"/>
    <n v="4275.4399999999996"/>
    <n v="0"/>
    <n v="0"/>
    <n v="5216.7"/>
    <x v="0"/>
    <x v="25"/>
    <x v="0"/>
    <x v="1"/>
    <x v="1"/>
    <n v="41.11"/>
    <n v="41.11"/>
    <n v="41.11"/>
    <n v="4275.4399999999996"/>
    <n v="5216.7"/>
    <n v="5216.7"/>
    <n v="5216.7"/>
    <n v="5216.7"/>
    <n v="5216.7"/>
    <x v="1"/>
    <x v="1"/>
    <x v="0"/>
    <n v="0"/>
    <x v="0"/>
  </r>
  <r>
    <x v="19"/>
    <x v="19"/>
    <n v="212"/>
    <x v="5"/>
    <s v="2ºC"/>
    <x v="0"/>
    <s v="Fertirrigação"/>
    <x v="16"/>
    <s v="3 - Parceria"/>
    <n v="23.31"/>
    <n v="0"/>
    <n v="0"/>
    <n v="23.31"/>
    <n v="2097.9"/>
    <n v="0"/>
    <n v="0"/>
    <n v="2539.64"/>
    <x v="0"/>
    <x v="25"/>
    <x v="0"/>
    <x v="1"/>
    <x v="1"/>
    <n v="23.31"/>
    <n v="23.31"/>
    <n v="23.31"/>
    <n v="2097.9"/>
    <n v="2539.64"/>
    <n v="2539.64"/>
    <n v="2539.64"/>
    <n v="2539.64"/>
    <n v="2539.64"/>
    <x v="1"/>
    <x v="1"/>
    <x v="0"/>
    <n v="0"/>
    <x v="0"/>
  </r>
  <r>
    <x v="19"/>
    <x v="19"/>
    <n v="271"/>
    <x v="2"/>
    <s v="3ºC"/>
    <x v="0"/>
    <s v="Fertirrigação"/>
    <x v="16"/>
    <s v="3 - Parceria"/>
    <n v="9.8000000000000007"/>
    <n v="0"/>
    <n v="0"/>
    <n v="9.8000000000000007"/>
    <n v="872.2"/>
    <n v="0"/>
    <n v="0"/>
    <n v="773.81"/>
    <x v="0"/>
    <x v="30"/>
    <x v="0"/>
    <x v="1"/>
    <x v="1"/>
    <n v="9.8000000000000007"/>
    <n v="9.8000000000000007"/>
    <n v="9.8000000000000007"/>
    <n v="872.2"/>
    <n v="773.81"/>
    <n v="773.81"/>
    <n v="773.81"/>
    <n v="773.81"/>
    <n v="773.81"/>
    <x v="1"/>
    <x v="1"/>
    <x v="0"/>
    <n v="0"/>
    <x v="0"/>
  </r>
  <r>
    <x v="19"/>
    <x v="19"/>
    <n v="272"/>
    <x v="2"/>
    <s v="3ºC"/>
    <x v="0"/>
    <s v="Fertirrigação"/>
    <x v="16"/>
    <s v="3 - Parceria"/>
    <n v="21.65"/>
    <n v="0"/>
    <n v="0"/>
    <n v="21.65"/>
    <n v="1926.85"/>
    <n v="0"/>
    <n v="0"/>
    <n v="1710.13"/>
    <x v="0"/>
    <x v="30"/>
    <x v="0"/>
    <x v="1"/>
    <x v="1"/>
    <n v="21.65"/>
    <n v="21.65"/>
    <n v="21.65"/>
    <n v="1926.85"/>
    <n v="1710.13"/>
    <n v="1710.13"/>
    <n v="1710.13"/>
    <n v="1710.13"/>
    <n v="1710.13"/>
    <x v="1"/>
    <x v="1"/>
    <x v="0"/>
    <n v="0"/>
    <x v="0"/>
  </r>
  <r>
    <x v="19"/>
    <x v="19"/>
    <n v="273"/>
    <x v="2"/>
    <s v="3ºC"/>
    <x v="0"/>
    <s v="Fertirrigação"/>
    <x v="16"/>
    <s v="3 - Parceria"/>
    <n v="25.76"/>
    <n v="0"/>
    <n v="0"/>
    <n v="25.76"/>
    <n v="2292.64"/>
    <n v="0"/>
    <n v="0"/>
    <n v="1699.29"/>
    <x v="0"/>
    <x v="29"/>
    <x v="0"/>
    <x v="1"/>
    <x v="1"/>
    <n v="25.76"/>
    <n v="25.76"/>
    <n v="25.76"/>
    <n v="2292.64"/>
    <n v="1699.29"/>
    <n v="1699.29"/>
    <n v="1699.29"/>
    <n v="1699.29"/>
    <n v="1699.29"/>
    <x v="1"/>
    <x v="1"/>
    <x v="0"/>
    <n v="0"/>
    <x v="0"/>
  </r>
  <r>
    <x v="19"/>
    <x v="19"/>
    <n v="274"/>
    <x v="2"/>
    <s v="3ºC"/>
    <x v="0"/>
    <s v="Fertirrigação"/>
    <x v="16"/>
    <s v="3 - Parceria"/>
    <n v="8.69"/>
    <n v="0"/>
    <n v="0"/>
    <n v="8.69"/>
    <n v="773.41"/>
    <n v="0"/>
    <n v="0"/>
    <n v="1025.45"/>
    <x v="0"/>
    <x v="29"/>
    <x v="0"/>
    <x v="1"/>
    <x v="1"/>
    <n v="8.69"/>
    <n v="8.69"/>
    <n v="8.69"/>
    <n v="773.41"/>
    <n v="1025.45"/>
    <n v="1025.45"/>
    <n v="1025.45"/>
    <n v="1025.45"/>
    <n v="1025.45"/>
    <x v="1"/>
    <x v="1"/>
    <x v="0"/>
    <n v="0"/>
    <x v="0"/>
  </r>
  <r>
    <x v="19"/>
    <x v="19"/>
    <n v="275"/>
    <x v="2"/>
    <s v="3ºC"/>
    <x v="0"/>
    <s v="Fertirrigação"/>
    <x v="16"/>
    <s v="3 - Parceria"/>
    <n v="26.99"/>
    <n v="0"/>
    <n v="0"/>
    <n v="26.99"/>
    <n v="2402.11"/>
    <n v="0"/>
    <n v="0"/>
    <n v="1780.16"/>
    <x v="0"/>
    <x v="29"/>
    <x v="0"/>
    <x v="1"/>
    <x v="1"/>
    <n v="26.99"/>
    <n v="26.99"/>
    <n v="26.99"/>
    <n v="2402.11"/>
    <n v="1780.16"/>
    <n v="1780.16"/>
    <n v="1780.16"/>
    <n v="1780.16"/>
    <n v="1780.16"/>
    <x v="1"/>
    <x v="1"/>
    <x v="0"/>
    <n v="0"/>
    <x v="0"/>
  </r>
  <r>
    <x v="19"/>
    <x v="19"/>
    <n v="276"/>
    <x v="2"/>
    <s v="3ºC"/>
    <x v="0"/>
    <s v="Fertirrigação"/>
    <x v="16"/>
    <s v="3 - Parceria"/>
    <n v="12.64"/>
    <n v="0"/>
    <n v="0"/>
    <n v="12.64"/>
    <n v="1124.96"/>
    <n v="0"/>
    <n v="0"/>
    <n v="1492.51"/>
    <x v="0"/>
    <x v="29"/>
    <x v="0"/>
    <x v="1"/>
    <x v="1"/>
    <n v="12.64"/>
    <n v="12.64"/>
    <n v="12.64"/>
    <n v="1124.96"/>
    <n v="1492.51"/>
    <n v="1492.51"/>
    <n v="1492.51"/>
    <n v="1492.51"/>
    <n v="1492.51"/>
    <x v="1"/>
    <x v="1"/>
    <x v="0"/>
    <n v="0"/>
    <x v="0"/>
  </r>
  <r>
    <x v="19"/>
    <x v="19"/>
    <n v="277"/>
    <x v="2"/>
    <s v="3ºC"/>
    <x v="0"/>
    <s v="Fertirrigação"/>
    <x v="16"/>
    <s v="3 - Parceria"/>
    <n v="23.15"/>
    <n v="0"/>
    <n v="0"/>
    <n v="23.15"/>
    <n v="2060.35"/>
    <n v="0"/>
    <n v="0"/>
    <n v="2006.29"/>
    <x v="0"/>
    <x v="35"/>
    <x v="0"/>
    <x v="1"/>
    <x v="1"/>
    <n v="23.15"/>
    <n v="23.15"/>
    <n v="23.15"/>
    <n v="2060.35"/>
    <n v="2006.29"/>
    <n v="2006.29"/>
    <n v="2006.29"/>
    <n v="2006.29"/>
    <n v="2006.29"/>
    <x v="1"/>
    <x v="1"/>
    <x v="0"/>
    <n v="0"/>
    <x v="0"/>
  </r>
  <r>
    <x v="19"/>
    <x v="19"/>
    <n v="278"/>
    <x v="2"/>
    <s v="3ºC"/>
    <x v="0"/>
    <s v="Fertirrigação"/>
    <x v="16"/>
    <s v="3 - Parceria"/>
    <n v="6.15"/>
    <n v="0"/>
    <n v="0"/>
    <n v="6.15"/>
    <n v="547.35"/>
    <n v="0"/>
    <n v="0"/>
    <n v="532.66"/>
    <x v="0"/>
    <x v="35"/>
    <x v="0"/>
    <x v="1"/>
    <x v="1"/>
    <n v="6.15"/>
    <n v="6.15"/>
    <n v="6.15"/>
    <n v="547.35"/>
    <n v="532.66"/>
    <n v="532.66"/>
    <n v="532.66"/>
    <n v="532.66"/>
    <n v="532.66"/>
    <x v="1"/>
    <x v="1"/>
    <x v="0"/>
    <n v="0"/>
    <x v="0"/>
  </r>
  <r>
    <x v="19"/>
    <x v="19"/>
    <n v="279"/>
    <x v="2"/>
    <s v="3ºC"/>
    <x v="0"/>
    <s v="Fertirrigação"/>
    <x v="16"/>
    <s v="3 - Parceria"/>
    <n v="2.99"/>
    <n v="0"/>
    <n v="0"/>
    <n v="2.99"/>
    <n v="266.11"/>
    <n v="0"/>
    <n v="0"/>
    <n v="251.2"/>
    <x v="0"/>
    <x v="35"/>
    <x v="0"/>
    <x v="1"/>
    <x v="1"/>
    <n v="2.99"/>
    <n v="2.99"/>
    <n v="2.99"/>
    <n v="266.11"/>
    <n v="251.2"/>
    <n v="251.2"/>
    <n v="251.2"/>
    <n v="251.2"/>
    <n v="251.2"/>
    <x v="1"/>
    <x v="1"/>
    <x v="0"/>
    <n v="0"/>
    <x v="0"/>
  </r>
  <r>
    <x v="19"/>
    <x v="19"/>
    <n v="280"/>
    <x v="2"/>
    <s v="3ºC"/>
    <x v="0"/>
    <s v="Fertirrigação"/>
    <x v="9"/>
    <s v="3 - Parceria"/>
    <n v="17.690000000000001"/>
    <n v="0"/>
    <n v="0"/>
    <n v="17.690000000000001"/>
    <n v="1574.41"/>
    <n v="0"/>
    <n v="0"/>
    <n v="1486.96"/>
    <x v="0"/>
    <x v="35"/>
    <x v="0"/>
    <x v="1"/>
    <x v="1"/>
    <n v="17.690000000000001"/>
    <n v="17.690000000000001"/>
    <n v="17.690000000000001"/>
    <n v="1574.41"/>
    <n v="1486.96"/>
    <n v="1486.96"/>
    <n v="1486.96"/>
    <n v="1486.96"/>
    <n v="1486.96"/>
    <x v="1"/>
    <x v="1"/>
    <x v="0"/>
    <n v="0"/>
    <x v="0"/>
  </r>
  <r>
    <x v="19"/>
    <x v="19"/>
    <n v="281"/>
    <x v="2"/>
    <s v="3ºC"/>
    <x v="0"/>
    <s v="Fertirrigação"/>
    <x v="9"/>
    <s v="3 - Parceria"/>
    <n v="21.2"/>
    <n v="0"/>
    <n v="0"/>
    <n v="21.2"/>
    <n v="1886.8"/>
    <n v="0"/>
    <n v="0"/>
    <n v="1782.68"/>
    <x v="0"/>
    <x v="35"/>
    <x v="0"/>
    <x v="1"/>
    <x v="1"/>
    <n v="21.2"/>
    <n v="21.2"/>
    <n v="21.2"/>
    <n v="1886.8"/>
    <n v="1782.68"/>
    <n v="1782.68"/>
    <n v="1782.68"/>
    <n v="1782.68"/>
    <n v="1782.68"/>
    <x v="1"/>
    <x v="1"/>
    <x v="0"/>
    <n v="0"/>
    <x v="0"/>
  </r>
  <r>
    <x v="19"/>
    <x v="19"/>
    <n v="282"/>
    <x v="2"/>
    <s v="3ºC"/>
    <x v="0"/>
    <s v="Fertirrigação"/>
    <x v="3"/>
    <s v="3 - Parceria"/>
    <n v="26.9"/>
    <n v="0"/>
    <n v="0"/>
    <n v="26.9"/>
    <n v="2394.1"/>
    <n v="0"/>
    <n v="0"/>
    <n v="2261.69"/>
    <x v="0"/>
    <x v="35"/>
    <x v="0"/>
    <x v="1"/>
    <x v="1"/>
    <n v="26.9"/>
    <n v="26.9"/>
    <n v="26.9"/>
    <n v="2394.1"/>
    <n v="2261.69"/>
    <n v="2261.69"/>
    <n v="2261.69"/>
    <n v="2261.69"/>
    <n v="2261.69"/>
    <x v="1"/>
    <x v="1"/>
    <x v="0"/>
    <n v="0"/>
    <x v="0"/>
  </r>
  <r>
    <x v="19"/>
    <x v="19"/>
    <n v="283"/>
    <x v="2"/>
    <s v="3ºC"/>
    <x v="0"/>
    <s v="Fertirrigação"/>
    <x v="3"/>
    <s v="3 - Parceria"/>
    <n v="16.7"/>
    <n v="0"/>
    <n v="0"/>
    <n v="16.7"/>
    <n v="1486.3"/>
    <n v="0"/>
    <n v="0"/>
    <n v="1404.39"/>
    <x v="0"/>
    <x v="35"/>
    <x v="0"/>
    <x v="1"/>
    <x v="1"/>
    <n v="16.7"/>
    <n v="16.7"/>
    <n v="16.7"/>
    <n v="1486.3"/>
    <n v="1404.39"/>
    <n v="1404.39"/>
    <n v="1404.39"/>
    <n v="1404.39"/>
    <n v="1404.39"/>
    <x v="1"/>
    <x v="1"/>
    <x v="0"/>
    <n v="0"/>
    <x v="0"/>
  </r>
  <r>
    <x v="19"/>
    <x v="19"/>
    <n v="284"/>
    <x v="2"/>
    <s v="3ºC"/>
    <x v="0"/>
    <s v="Fertirrigação"/>
    <x v="3"/>
    <s v="3 - Parceria"/>
    <n v="19.75"/>
    <n v="0"/>
    <n v="0"/>
    <n v="19.75"/>
    <n v="1738"/>
    <n v="0"/>
    <n v="0"/>
    <n v="1692.67"/>
    <x v="0"/>
    <x v="35"/>
    <x v="0"/>
    <x v="1"/>
    <x v="1"/>
    <n v="19.75"/>
    <n v="19.75"/>
    <n v="19.75"/>
    <n v="1738"/>
    <n v="1692.67"/>
    <n v="1692.67"/>
    <n v="1692.67"/>
    <n v="1692.67"/>
    <n v="1692.67"/>
    <x v="1"/>
    <x v="1"/>
    <x v="0"/>
    <n v="0"/>
    <x v="0"/>
  </r>
  <r>
    <x v="19"/>
    <x v="19"/>
    <n v="285"/>
    <x v="2"/>
    <s v="3ºC"/>
    <x v="0"/>
    <s v="Fertirrigação"/>
    <x v="24"/>
    <s v="3 - Parceria"/>
    <n v="25.77"/>
    <n v="0"/>
    <n v="0"/>
    <n v="25.77"/>
    <n v="2267.7600000000002"/>
    <n v="0"/>
    <n v="0"/>
    <n v="2209.2800000000002"/>
    <x v="0"/>
    <x v="35"/>
    <x v="0"/>
    <x v="1"/>
    <x v="1"/>
    <n v="25.77"/>
    <n v="25.77"/>
    <n v="25.77"/>
    <n v="2267.7600000000002"/>
    <n v="2209.2800000000002"/>
    <n v="2209.2800000000002"/>
    <n v="2209.2800000000002"/>
    <n v="2209.2800000000002"/>
    <n v="2209.2800000000002"/>
    <x v="1"/>
    <x v="1"/>
    <x v="0"/>
    <n v="0"/>
    <x v="0"/>
  </r>
  <r>
    <x v="19"/>
    <x v="19"/>
    <n v="286"/>
    <x v="2"/>
    <s v="3ºC"/>
    <x v="0"/>
    <s v="Fertirrigação"/>
    <x v="16"/>
    <s v="3 - Parceria"/>
    <n v="30.19"/>
    <n v="0"/>
    <n v="0"/>
    <n v="30.19"/>
    <n v="2656.72"/>
    <n v="0"/>
    <n v="0"/>
    <n v="2427.19"/>
    <x v="0"/>
    <x v="29"/>
    <x v="0"/>
    <x v="1"/>
    <x v="1"/>
    <n v="30.19"/>
    <n v="30.19"/>
    <n v="30.19"/>
    <n v="2656.72"/>
    <n v="2427.19"/>
    <n v="2427.19"/>
    <n v="2427.19"/>
    <n v="2427.19"/>
    <n v="2427.19"/>
    <x v="1"/>
    <x v="1"/>
    <x v="0"/>
    <n v="0"/>
    <x v="0"/>
  </r>
  <r>
    <x v="19"/>
    <x v="19"/>
    <n v="287"/>
    <x v="2"/>
    <s v="3ºC"/>
    <x v="0"/>
    <s v="Fertirrigação"/>
    <x v="16"/>
    <s v="3 - Parceria"/>
    <n v="18.510000000000002"/>
    <n v="0"/>
    <n v="0"/>
    <n v="18.510000000000002"/>
    <n v="1628.88"/>
    <n v="0"/>
    <n v="0"/>
    <n v="1488.07"/>
    <x v="0"/>
    <x v="29"/>
    <x v="0"/>
    <x v="1"/>
    <x v="1"/>
    <n v="18.510000000000002"/>
    <n v="18.510000000000002"/>
    <n v="18.510000000000002"/>
    <n v="1628.88"/>
    <n v="1488.07"/>
    <n v="1488.07"/>
    <n v="1488.07"/>
    <n v="1488.07"/>
    <n v="1488.07"/>
    <x v="1"/>
    <x v="1"/>
    <x v="0"/>
    <n v="0"/>
    <x v="0"/>
  </r>
  <r>
    <x v="19"/>
    <x v="19"/>
    <n v="288"/>
    <x v="2"/>
    <s v="3ºC"/>
    <x v="0"/>
    <s v="Fertirrigação"/>
    <x v="16"/>
    <s v="3 - Parceria"/>
    <n v="5.09"/>
    <n v="0"/>
    <n v="0"/>
    <n v="5.09"/>
    <n v="447.92"/>
    <n v="0"/>
    <n v="0"/>
    <n v="432.78"/>
    <x v="0"/>
    <x v="29"/>
    <x v="0"/>
    <x v="1"/>
    <x v="1"/>
    <n v="5.09"/>
    <n v="5.09"/>
    <n v="5.09"/>
    <n v="447.92"/>
    <n v="432.78"/>
    <n v="432.78"/>
    <n v="432.78"/>
    <n v="432.78"/>
    <n v="432.78"/>
    <x v="1"/>
    <x v="1"/>
    <x v="0"/>
    <n v="0"/>
    <x v="0"/>
  </r>
  <r>
    <x v="19"/>
    <x v="19"/>
    <n v="291"/>
    <x v="2"/>
    <s v="3ºC"/>
    <x v="0"/>
    <s v="Fertirrigação"/>
    <x v="16"/>
    <s v="3 - Parceria"/>
    <n v="37.58"/>
    <n v="0"/>
    <n v="0"/>
    <n v="37.58"/>
    <n v="3307.04"/>
    <n v="0"/>
    <n v="0"/>
    <n v="3237.92"/>
    <x v="0"/>
    <x v="29"/>
    <x v="0"/>
    <x v="1"/>
    <x v="1"/>
    <n v="37.58"/>
    <n v="37.58"/>
    <n v="37.58"/>
    <n v="3307.04"/>
    <n v="3237.92"/>
    <n v="3237.92"/>
    <n v="3237.92"/>
    <n v="3237.92"/>
    <n v="3237.92"/>
    <x v="1"/>
    <x v="1"/>
    <x v="0"/>
    <n v="0"/>
    <x v="0"/>
  </r>
  <r>
    <x v="19"/>
    <x v="19"/>
    <n v="292"/>
    <x v="2"/>
    <s v="3ºC"/>
    <x v="0"/>
    <s v="Fertirrigação"/>
    <x v="16"/>
    <s v="3 - Parceria"/>
    <n v="48.12"/>
    <n v="0"/>
    <n v="0"/>
    <n v="48.12"/>
    <n v="4234.5600000000004"/>
    <n v="0"/>
    <n v="0"/>
    <n v="4146.79"/>
    <x v="0"/>
    <x v="29"/>
    <x v="0"/>
    <x v="1"/>
    <x v="1"/>
    <n v="48.12"/>
    <n v="48.12"/>
    <n v="48.12"/>
    <n v="4234.5600000000004"/>
    <n v="4146.79"/>
    <n v="4146.79"/>
    <n v="4146.79"/>
    <n v="4146.79"/>
    <n v="4146.79"/>
    <x v="1"/>
    <x v="1"/>
    <x v="0"/>
    <n v="0"/>
    <x v="0"/>
  </r>
  <r>
    <x v="19"/>
    <x v="19"/>
    <n v="293"/>
    <x v="2"/>
    <s v="3ºC"/>
    <x v="0"/>
    <s v="Fertirrigação"/>
    <x v="16"/>
    <s v="3 - Parceria"/>
    <n v="12.89"/>
    <n v="0"/>
    <n v="0"/>
    <n v="12.89"/>
    <n v="1134.32"/>
    <n v="0"/>
    <n v="0"/>
    <n v="1095.5899999999999"/>
    <x v="0"/>
    <x v="29"/>
    <x v="0"/>
    <x v="1"/>
    <x v="1"/>
    <n v="12.89"/>
    <n v="12.89"/>
    <n v="12.89"/>
    <n v="1134.32"/>
    <n v="1095.5899999999999"/>
    <n v="1095.5899999999999"/>
    <n v="1095.5899999999999"/>
    <n v="1095.5899999999999"/>
    <n v="1095.5899999999999"/>
    <x v="1"/>
    <x v="1"/>
    <x v="0"/>
    <n v="0"/>
    <x v="0"/>
  </r>
  <r>
    <x v="19"/>
    <x v="19"/>
    <n v="294"/>
    <x v="2"/>
    <s v="3ºC"/>
    <x v="0"/>
    <s v="Fertirrigação"/>
    <x v="16"/>
    <s v="3 - Parceria"/>
    <n v="18.809999999999999"/>
    <n v="0"/>
    <n v="0"/>
    <n v="18.809999999999999"/>
    <n v="1655.28"/>
    <n v="0"/>
    <n v="0"/>
    <n v="1598.96"/>
    <x v="0"/>
    <x v="29"/>
    <x v="0"/>
    <x v="1"/>
    <x v="1"/>
    <n v="18.809999999999999"/>
    <n v="18.809999999999999"/>
    <n v="18.809999999999999"/>
    <n v="1655.28"/>
    <n v="1598.96"/>
    <n v="1598.96"/>
    <n v="1598.96"/>
    <n v="1598.96"/>
    <n v="1598.96"/>
    <x v="1"/>
    <x v="1"/>
    <x v="0"/>
    <n v="0"/>
    <x v="0"/>
  </r>
  <r>
    <x v="19"/>
    <x v="19"/>
    <n v="295"/>
    <x v="2"/>
    <s v="3ºC"/>
    <x v="0"/>
    <s v="Fertirrigação"/>
    <x v="16"/>
    <s v="3 - Parceria"/>
    <n v="4.68"/>
    <n v="0"/>
    <n v="0"/>
    <n v="4.68"/>
    <n v="411.84"/>
    <n v="0"/>
    <n v="0"/>
    <n v="398.23"/>
    <x v="0"/>
    <x v="29"/>
    <x v="0"/>
    <x v="1"/>
    <x v="1"/>
    <n v="4.68"/>
    <n v="4.68"/>
    <n v="4.68"/>
    <n v="411.84"/>
    <n v="398.23"/>
    <n v="398.23"/>
    <n v="398.23"/>
    <n v="398.23"/>
    <n v="398.23"/>
    <x v="1"/>
    <x v="1"/>
    <x v="0"/>
    <n v="0"/>
    <x v="0"/>
  </r>
  <r>
    <x v="19"/>
    <x v="19"/>
    <n v="296"/>
    <x v="2"/>
    <s v="3ºC"/>
    <x v="0"/>
    <s v="Fertirrigação"/>
    <x v="16"/>
    <s v="3 - Parceria"/>
    <n v="18.05"/>
    <n v="0"/>
    <n v="0"/>
    <n v="18.05"/>
    <n v="1588.4"/>
    <n v="0"/>
    <n v="0"/>
    <n v="1450.87"/>
    <x v="0"/>
    <x v="29"/>
    <x v="0"/>
    <x v="1"/>
    <x v="1"/>
    <n v="18.05"/>
    <n v="18.05"/>
    <n v="18.05"/>
    <n v="1588.4"/>
    <n v="1450.87"/>
    <n v="1450.87"/>
    <n v="1450.87"/>
    <n v="1450.87"/>
    <n v="1450.87"/>
    <x v="1"/>
    <x v="1"/>
    <x v="0"/>
    <n v="0"/>
    <x v="0"/>
  </r>
  <r>
    <x v="19"/>
    <x v="19"/>
    <n v="297"/>
    <x v="2"/>
    <s v="3ºC"/>
    <x v="0"/>
    <s v="Fertirrigação"/>
    <x v="17"/>
    <s v="3 - Parceria"/>
    <n v="23.32"/>
    <n v="0"/>
    <n v="0"/>
    <n v="23.32"/>
    <n v="2052.16"/>
    <n v="0"/>
    <n v="0"/>
    <n v="1713.71"/>
    <x v="0"/>
    <x v="35"/>
    <x v="0"/>
    <x v="1"/>
    <x v="1"/>
    <n v="23.32"/>
    <n v="23.32"/>
    <n v="23.32"/>
    <n v="2052.16"/>
    <n v="1713.71"/>
    <n v="1713.71"/>
    <n v="1713.71"/>
    <n v="1713.71"/>
    <n v="1713.71"/>
    <x v="1"/>
    <x v="1"/>
    <x v="0"/>
    <n v="0"/>
    <x v="0"/>
  </r>
  <r>
    <x v="19"/>
    <x v="19"/>
    <n v="298"/>
    <x v="2"/>
    <s v="3ºC"/>
    <x v="0"/>
    <s v="Fertirrigação"/>
    <x v="17"/>
    <s v="3 - Parceria"/>
    <n v="21.21"/>
    <n v="0"/>
    <n v="0"/>
    <n v="21.21"/>
    <n v="1866.48"/>
    <n v="0"/>
    <n v="0"/>
    <n v="1558.47"/>
    <x v="0"/>
    <x v="35"/>
    <x v="0"/>
    <x v="1"/>
    <x v="1"/>
    <n v="21.21"/>
    <n v="21.21"/>
    <n v="21.21"/>
    <n v="1866.48"/>
    <n v="1558.47"/>
    <n v="1558.47"/>
    <n v="1558.47"/>
    <n v="1558.47"/>
    <n v="1558.47"/>
    <x v="1"/>
    <x v="1"/>
    <x v="0"/>
    <n v="0"/>
    <x v="0"/>
  </r>
  <r>
    <x v="19"/>
    <x v="19"/>
    <n v="299"/>
    <x v="2"/>
    <s v="3ºC"/>
    <x v="0"/>
    <s v="Fertirrigação"/>
    <x v="17"/>
    <s v="3 - Parceria"/>
    <n v="19.57"/>
    <n v="0"/>
    <n v="0"/>
    <n v="19.57"/>
    <n v="1722.16"/>
    <n v="0"/>
    <n v="0"/>
    <n v="1798.81"/>
    <x v="0"/>
    <x v="35"/>
    <x v="0"/>
    <x v="1"/>
    <x v="1"/>
    <n v="19.57"/>
    <n v="19.57"/>
    <n v="19.57"/>
    <n v="1722.16"/>
    <n v="1798.81"/>
    <n v="1798.81"/>
    <n v="1798.81"/>
    <n v="1798.81"/>
    <n v="1798.81"/>
    <x v="1"/>
    <x v="1"/>
    <x v="0"/>
    <n v="0"/>
    <x v="0"/>
  </r>
  <r>
    <x v="19"/>
    <x v="19"/>
    <n v="300"/>
    <x v="2"/>
    <s v="3ºC"/>
    <x v="0"/>
    <s v="Fertirrigação"/>
    <x v="17"/>
    <s v="3 - Parceria"/>
    <n v="9.14"/>
    <n v="0"/>
    <n v="0"/>
    <n v="9.14"/>
    <n v="804.32"/>
    <n v="0"/>
    <n v="0"/>
    <n v="839.92"/>
    <x v="0"/>
    <x v="35"/>
    <x v="0"/>
    <x v="1"/>
    <x v="1"/>
    <n v="9.14"/>
    <n v="9.14"/>
    <n v="9.14"/>
    <n v="804.32"/>
    <n v="839.92"/>
    <n v="839.92"/>
    <n v="839.92"/>
    <n v="839.92"/>
    <n v="839.92"/>
    <x v="1"/>
    <x v="1"/>
    <x v="0"/>
    <n v="0"/>
    <x v="0"/>
  </r>
  <r>
    <x v="19"/>
    <x v="19"/>
    <n v="301"/>
    <x v="2"/>
    <s v="3ºC"/>
    <x v="0"/>
    <s v="Fertirrigação"/>
    <x v="9"/>
    <s v="3 - Parceria"/>
    <n v="13.8"/>
    <n v="13.8"/>
    <n v="0"/>
    <n v="13.8"/>
    <n v="1104"/>
    <n v="1159.2"/>
    <n v="0"/>
    <n v="1835.87"/>
    <x v="0"/>
    <x v="8"/>
    <x v="0"/>
    <x v="0"/>
    <x v="1"/>
    <n v="13.8"/>
    <n v="13.8"/>
    <n v="13.8"/>
    <n v="1104"/>
    <n v="1159.2"/>
    <n v="1835.87"/>
    <n v="1835.87"/>
    <n v="1835.87"/>
    <n v="1835.87"/>
    <x v="1"/>
    <x v="1"/>
    <x v="0"/>
    <n v="0"/>
    <x v="0"/>
  </r>
  <r>
    <x v="19"/>
    <x v="19"/>
    <n v="302"/>
    <x v="2"/>
    <s v="3ºC"/>
    <x v="0"/>
    <s v="Fertirrigação"/>
    <x v="23"/>
    <s v="3 - Parceria"/>
    <n v="13.47"/>
    <n v="13.47"/>
    <n v="0"/>
    <n v="13.47"/>
    <n v="1077.5999999999999"/>
    <n v="1131.48"/>
    <n v="0"/>
    <n v="1791.62"/>
    <x v="0"/>
    <x v="8"/>
    <x v="0"/>
    <x v="0"/>
    <x v="1"/>
    <n v="13.47"/>
    <n v="13.47"/>
    <n v="13.47"/>
    <n v="1077.5999999999999"/>
    <n v="1131.48"/>
    <n v="1791.62"/>
    <n v="1791.62"/>
    <n v="1791.62"/>
    <n v="1791.62"/>
    <x v="1"/>
    <x v="1"/>
    <x v="0"/>
    <n v="0"/>
    <x v="0"/>
  </r>
  <r>
    <x v="19"/>
    <x v="19"/>
    <n v="377"/>
    <x v="5"/>
    <s v="2ºC"/>
    <x v="0"/>
    <s v="Fertirrigação"/>
    <x v="6"/>
    <s v="3 - Parceria"/>
    <n v="42.14"/>
    <n v="42.14"/>
    <n v="0"/>
    <n v="42.14"/>
    <n v="3961.16"/>
    <n v="4003.3"/>
    <n v="0"/>
    <n v="3974.97"/>
    <x v="0"/>
    <x v="11"/>
    <x v="0"/>
    <x v="0"/>
    <x v="1"/>
    <n v="42.14"/>
    <n v="42.14"/>
    <n v="42.14"/>
    <n v="3961.16"/>
    <n v="4003.3"/>
    <n v="3974.97"/>
    <n v="3974.97"/>
    <n v="3974.97"/>
    <n v="3974.97"/>
    <x v="1"/>
    <x v="1"/>
    <x v="0"/>
    <n v="0"/>
    <x v="0"/>
  </r>
  <r>
    <x v="19"/>
    <x v="19"/>
    <n v="378"/>
    <x v="5"/>
    <s v="2ºC"/>
    <x v="0"/>
    <s v="Fertirrigação"/>
    <x v="6"/>
    <s v="3 - Parceria"/>
    <n v="38.89"/>
    <n v="38.89"/>
    <n v="0"/>
    <n v="38.89"/>
    <n v="3655.66"/>
    <n v="3694.55"/>
    <n v="0"/>
    <n v="3669.1"/>
    <x v="0"/>
    <x v="11"/>
    <x v="0"/>
    <x v="0"/>
    <x v="1"/>
    <n v="38.89"/>
    <n v="38.89"/>
    <n v="38.89"/>
    <n v="3655.66"/>
    <n v="3694.55"/>
    <n v="3669.1"/>
    <n v="3669.1"/>
    <n v="3669.1"/>
    <n v="3669.1"/>
    <x v="1"/>
    <x v="1"/>
    <x v="0"/>
    <n v="0"/>
    <x v="0"/>
  </r>
  <r>
    <x v="19"/>
    <x v="19"/>
    <n v="379"/>
    <x v="5"/>
    <s v="2ºC"/>
    <x v="0"/>
    <s v="Fertirrigação"/>
    <x v="6"/>
    <s v="3 - Parceria"/>
    <n v="30.53"/>
    <n v="30.53"/>
    <n v="0"/>
    <n v="30.53"/>
    <n v="2869.82"/>
    <n v="2900.35"/>
    <n v="0"/>
    <n v="2880.13"/>
    <x v="0"/>
    <x v="11"/>
    <x v="0"/>
    <x v="0"/>
    <x v="1"/>
    <n v="30.53"/>
    <n v="30.53"/>
    <n v="30.53"/>
    <n v="2869.82"/>
    <n v="2900.35"/>
    <n v="2880.13"/>
    <n v="2880.13"/>
    <n v="2880.13"/>
    <n v="2880.13"/>
    <x v="1"/>
    <x v="1"/>
    <x v="0"/>
    <n v="0"/>
    <x v="0"/>
  </r>
  <r>
    <x v="19"/>
    <x v="19"/>
    <n v="380"/>
    <x v="5"/>
    <s v="2ºC"/>
    <x v="0"/>
    <s v="Fertirrigação"/>
    <x v="6"/>
    <s v="3 - Parceria"/>
    <n v="16.13"/>
    <n v="16.13"/>
    <n v="0"/>
    <n v="16.13"/>
    <n v="1516.22"/>
    <n v="1532.35"/>
    <n v="0"/>
    <n v="1808.89"/>
    <x v="0"/>
    <x v="10"/>
    <x v="0"/>
    <x v="0"/>
    <x v="1"/>
    <n v="16.13"/>
    <n v="16.13"/>
    <n v="16.13"/>
    <n v="1516.22"/>
    <n v="1532.35"/>
    <n v="1808.89"/>
    <n v="1808.89"/>
    <n v="1808.89"/>
    <n v="1808.89"/>
    <x v="1"/>
    <x v="1"/>
    <x v="0"/>
    <n v="0"/>
    <x v="0"/>
  </r>
  <r>
    <x v="19"/>
    <x v="19"/>
    <n v="381"/>
    <x v="5"/>
    <s v="2ºC"/>
    <x v="0"/>
    <s v="Fertirrigação"/>
    <x v="6"/>
    <s v="3 - Parceria"/>
    <n v="27.93"/>
    <n v="27.93"/>
    <n v="0"/>
    <n v="27.93"/>
    <n v="2625.42"/>
    <n v="2653.35"/>
    <n v="0"/>
    <n v="2295.5"/>
    <x v="0"/>
    <x v="17"/>
    <x v="0"/>
    <x v="0"/>
    <x v="1"/>
    <n v="27.93"/>
    <n v="27.93"/>
    <n v="27.93"/>
    <n v="2625.42"/>
    <n v="2653.35"/>
    <n v="2295.5"/>
    <n v="2295.5"/>
    <n v="2295.5"/>
    <n v="2295.5"/>
    <x v="1"/>
    <x v="1"/>
    <x v="0"/>
    <n v="0"/>
    <x v="0"/>
  </r>
  <r>
    <x v="19"/>
    <x v="19"/>
    <n v="382"/>
    <x v="5"/>
    <s v="2ºC"/>
    <x v="0"/>
    <s v="Fertirrigação"/>
    <x v="6"/>
    <s v="3 - Parceria"/>
    <n v="45.4"/>
    <n v="45.4"/>
    <n v="0"/>
    <n v="45.4"/>
    <n v="4267.6000000000004"/>
    <n v="4540"/>
    <n v="0"/>
    <n v="5623.68"/>
    <x v="0"/>
    <x v="10"/>
    <x v="0"/>
    <x v="0"/>
    <x v="1"/>
    <n v="45.4"/>
    <n v="45.4"/>
    <n v="45.4"/>
    <n v="4267.6000000000004"/>
    <n v="4540"/>
    <n v="5623.68"/>
    <n v="5623.68"/>
    <n v="5623.68"/>
    <n v="5623.68"/>
    <x v="1"/>
    <x v="1"/>
    <x v="0"/>
    <n v="0"/>
    <x v="0"/>
  </r>
  <r>
    <x v="19"/>
    <x v="19"/>
    <n v="383"/>
    <x v="5"/>
    <s v="2ºC"/>
    <x v="0"/>
    <s v="Fertirrigação"/>
    <x v="6"/>
    <s v="3 - Parceria"/>
    <n v="35.03"/>
    <n v="35.03"/>
    <n v="35.03"/>
    <n v="35.03"/>
    <n v="3292.82"/>
    <n v="3503"/>
    <n v="3503"/>
    <n v="2616.9499999999998"/>
    <x v="0"/>
    <x v="36"/>
    <x v="0"/>
    <x v="0"/>
    <x v="0"/>
    <n v="35.03"/>
    <n v="35.03"/>
    <n v="35.03"/>
    <n v="3292.82"/>
    <n v="3503"/>
    <n v="3503"/>
    <n v="2616.9499999999998"/>
    <n v="2616.9499999999998"/>
    <n v="2616.9499999999998"/>
    <x v="1"/>
    <x v="1"/>
    <x v="0"/>
    <n v="0"/>
    <x v="0"/>
  </r>
  <r>
    <x v="19"/>
    <x v="19"/>
    <n v="384"/>
    <x v="3"/>
    <s v="ANM"/>
    <x v="0"/>
    <s v="Fertirrigação"/>
    <x v="6"/>
    <s v="3 - Parceria"/>
    <n v="23.37"/>
    <n v="23.37"/>
    <n v="0"/>
    <n v="23.37"/>
    <n v="2991.36"/>
    <n v="3014.73"/>
    <n v="0"/>
    <n v="3130.85"/>
    <x v="0"/>
    <x v="11"/>
    <x v="0"/>
    <x v="0"/>
    <x v="1"/>
    <n v="23.37"/>
    <n v="23.37"/>
    <n v="23.37"/>
    <n v="2991.36"/>
    <n v="3014.73"/>
    <n v="3130.85"/>
    <n v="3130.85"/>
    <n v="3130.85"/>
    <n v="3130.85"/>
    <x v="1"/>
    <x v="1"/>
    <x v="0"/>
    <n v="0"/>
    <x v="0"/>
  </r>
  <r>
    <x v="19"/>
    <x v="19"/>
    <n v="385"/>
    <x v="3"/>
    <s v="ANM"/>
    <x v="0"/>
    <s v="Fertirrigação"/>
    <x v="6"/>
    <s v="3 - Parceria"/>
    <n v="26.01"/>
    <n v="26.01"/>
    <n v="0"/>
    <n v="26.01"/>
    <n v="3329.28"/>
    <n v="3355.29"/>
    <n v="0"/>
    <n v="3586.17"/>
    <x v="0"/>
    <x v="11"/>
    <x v="0"/>
    <x v="0"/>
    <x v="1"/>
    <n v="26.01"/>
    <n v="26.01"/>
    <n v="26.01"/>
    <n v="3329.28"/>
    <n v="3355.29"/>
    <n v="3586.17"/>
    <n v="3586.17"/>
    <n v="3586.17"/>
    <n v="3586.17"/>
    <x v="1"/>
    <x v="1"/>
    <x v="0"/>
    <n v="0"/>
    <x v="0"/>
  </r>
  <r>
    <x v="19"/>
    <x v="19"/>
    <n v="386"/>
    <x v="3"/>
    <s v="ANM"/>
    <x v="0"/>
    <s v="Fertirrigação"/>
    <x v="6"/>
    <s v="3 - Parceria"/>
    <n v="22.48"/>
    <n v="22.48"/>
    <n v="0"/>
    <n v="22.48"/>
    <n v="2877.44"/>
    <n v="2899.92"/>
    <n v="0"/>
    <n v="3100"/>
    <x v="0"/>
    <x v="11"/>
    <x v="0"/>
    <x v="0"/>
    <x v="1"/>
    <n v="22.48"/>
    <n v="22.48"/>
    <n v="22.48"/>
    <n v="2877.44"/>
    <n v="2899.92"/>
    <n v="3100"/>
    <n v="3100"/>
    <n v="3100"/>
    <n v="3100"/>
    <x v="1"/>
    <x v="1"/>
    <x v="0"/>
    <n v="0"/>
    <x v="0"/>
  </r>
  <r>
    <x v="19"/>
    <x v="19"/>
    <n v="387"/>
    <x v="3"/>
    <s v="ANM"/>
    <x v="0"/>
    <s v="Fertirrigação"/>
    <x v="6"/>
    <s v="3 - Parceria"/>
    <n v="19.55"/>
    <n v="19.55"/>
    <n v="0"/>
    <n v="19.55"/>
    <n v="2502.4"/>
    <n v="2521.9499999999998"/>
    <n v="0"/>
    <n v="2269.79"/>
    <x v="0"/>
    <x v="11"/>
    <x v="0"/>
    <x v="0"/>
    <x v="1"/>
    <n v="19.55"/>
    <n v="19.55"/>
    <n v="19.55"/>
    <n v="2502.4"/>
    <n v="2521.9499999999998"/>
    <n v="2269.79"/>
    <n v="2269.79"/>
    <n v="2269.79"/>
    <n v="2269.79"/>
    <x v="1"/>
    <x v="1"/>
    <x v="0"/>
    <n v="0"/>
    <x v="0"/>
  </r>
  <r>
    <x v="19"/>
    <x v="19"/>
    <n v="388"/>
    <x v="3"/>
    <s v="ANM"/>
    <x v="0"/>
    <s v="Fertirrigação"/>
    <x v="18"/>
    <s v="3 - Parceria"/>
    <n v="14.36"/>
    <n v="14.36"/>
    <n v="0"/>
    <n v="14.36"/>
    <n v="1637.04"/>
    <n v="1694.48"/>
    <n v="0"/>
    <n v="1778.52"/>
    <x v="0"/>
    <x v="17"/>
    <x v="0"/>
    <x v="0"/>
    <x v="1"/>
    <n v="14.36"/>
    <n v="14.36"/>
    <n v="14.36"/>
    <n v="1637.04"/>
    <n v="1694.48"/>
    <n v="1778.52"/>
    <n v="1778.52"/>
    <n v="1778.52"/>
    <n v="1778.52"/>
    <x v="1"/>
    <x v="2"/>
    <x v="3"/>
    <n v="488.24"/>
    <x v="0"/>
  </r>
  <r>
    <x v="19"/>
    <x v="19"/>
    <n v="389"/>
    <x v="3"/>
    <s v="ANM"/>
    <x v="0"/>
    <s v="Fertirrigação"/>
    <x v="18"/>
    <s v="3 - Parceria"/>
    <n v="22.92"/>
    <n v="22.92"/>
    <n v="0"/>
    <n v="22.92"/>
    <n v="2612.88"/>
    <n v="2704.56"/>
    <n v="0"/>
    <n v="2840.13"/>
    <x v="0"/>
    <x v="17"/>
    <x v="0"/>
    <x v="0"/>
    <x v="1"/>
    <n v="22.92"/>
    <n v="22.92"/>
    <n v="22.92"/>
    <n v="2612.88"/>
    <n v="2704.56"/>
    <n v="2840.13"/>
    <n v="2840.13"/>
    <n v="2840.13"/>
    <n v="2840.13"/>
    <x v="1"/>
    <x v="2"/>
    <x v="3"/>
    <n v="779.28000000000009"/>
    <x v="0"/>
  </r>
  <r>
    <x v="19"/>
    <x v="19"/>
    <n v="390"/>
    <x v="3"/>
    <s v="ANM"/>
    <x v="0"/>
    <s v="Fertirrigação"/>
    <x v="6"/>
    <s v="3 - Parceria"/>
    <n v="15.17"/>
    <n v="15.17"/>
    <n v="0"/>
    <n v="15.17"/>
    <n v="1941.76"/>
    <n v="1956.93"/>
    <n v="0"/>
    <n v="1787.94"/>
    <x v="0"/>
    <x v="17"/>
    <x v="0"/>
    <x v="0"/>
    <x v="1"/>
    <n v="15.17"/>
    <n v="15.17"/>
    <n v="15.17"/>
    <n v="1941.76"/>
    <n v="1956.93"/>
    <n v="1787.94"/>
    <n v="1787.94"/>
    <n v="1787.94"/>
    <n v="1787.94"/>
    <x v="1"/>
    <x v="1"/>
    <x v="0"/>
    <n v="0"/>
    <x v="0"/>
  </r>
  <r>
    <x v="19"/>
    <x v="19"/>
    <n v="391"/>
    <x v="3"/>
    <s v="ANM"/>
    <x v="0"/>
    <s v="Fertirrigação"/>
    <x v="6"/>
    <s v="3 - Parceria"/>
    <n v="26.42"/>
    <n v="26.42"/>
    <n v="0"/>
    <n v="26.42"/>
    <n v="3381.76"/>
    <n v="3408.18"/>
    <n v="0"/>
    <n v="3113.76"/>
    <x v="0"/>
    <x v="17"/>
    <x v="0"/>
    <x v="0"/>
    <x v="1"/>
    <n v="26.42"/>
    <n v="26.42"/>
    <n v="26.42"/>
    <n v="3381.76"/>
    <n v="3408.18"/>
    <n v="3113.76"/>
    <n v="3113.76"/>
    <n v="3113.76"/>
    <n v="3113.76"/>
    <x v="1"/>
    <x v="1"/>
    <x v="0"/>
    <n v="0"/>
    <x v="0"/>
  </r>
  <r>
    <x v="19"/>
    <x v="19"/>
    <n v="392"/>
    <x v="3"/>
    <s v="ANM"/>
    <x v="0"/>
    <s v="Fertirrigação"/>
    <x v="6"/>
    <s v="3 - Parceria"/>
    <n v="24.88"/>
    <n v="24.88"/>
    <n v="0"/>
    <n v="24.88"/>
    <n v="3184.64"/>
    <n v="3209.52"/>
    <n v="0"/>
    <n v="2901.82"/>
    <x v="0"/>
    <x v="36"/>
    <x v="0"/>
    <x v="0"/>
    <x v="1"/>
    <n v="24.88"/>
    <n v="24.88"/>
    <n v="24.88"/>
    <n v="3184.64"/>
    <n v="3209.52"/>
    <n v="2901.82"/>
    <n v="2901.82"/>
    <n v="2901.82"/>
    <n v="2901.82"/>
    <x v="1"/>
    <x v="2"/>
    <x v="3"/>
    <n v="845.92"/>
    <x v="0"/>
  </r>
  <r>
    <x v="19"/>
    <x v="19"/>
    <n v="393"/>
    <x v="3"/>
    <s v="ANM"/>
    <x v="0"/>
    <s v="Fertirrigação"/>
    <x v="6"/>
    <s v="3 - Parceria"/>
    <n v="21.33"/>
    <n v="21.33"/>
    <n v="0"/>
    <n v="21.33"/>
    <n v="2730.24"/>
    <n v="2751.57"/>
    <n v="0"/>
    <n v="2487.7800000000002"/>
    <x v="0"/>
    <x v="36"/>
    <x v="0"/>
    <x v="0"/>
    <x v="1"/>
    <n v="21.33"/>
    <n v="21.33"/>
    <n v="21.33"/>
    <n v="2730.24"/>
    <n v="2751.57"/>
    <n v="2487.7800000000002"/>
    <n v="2487.7800000000002"/>
    <n v="2487.7800000000002"/>
    <n v="2487.7800000000002"/>
    <x v="1"/>
    <x v="1"/>
    <x v="0"/>
    <n v="0"/>
    <x v="0"/>
  </r>
  <r>
    <x v="19"/>
    <x v="19"/>
    <n v="394"/>
    <x v="3"/>
    <s v="ANM"/>
    <x v="0"/>
    <s v="Fertirrigação"/>
    <x v="18"/>
    <s v="3 - Parceria"/>
    <n v="7.61"/>
    <n v="7.61"/>
    <n v="0"/>
    <n v="7.61"/>
    <n v="936.03"/>
    <n v="936.03"/>
    <n v="0"/>
    <n v="846.05"/>
    <x v="0"/>
    <x v="36"/>
    <x v="0"/>
    <x v="0"/>
    <x v="1"/>
    <n v="7.61"/>
    <n v="7.61"/>
    <n v="7.61"/>
    <n v="936.03"/>
    <n v="936.03"/>
    <n v="846.05"/>
    <n v="846.05"/>
    <n v="846.05"/>
    <n v="846.05"/>
    <x v="1"/>
    <x v="2"/>
    <x v="3"/>
    <n v="258.74"/>
    <x v="0"/>
  </r>
  <r>
    <x v="19"/>
    <x v="19"/>
    <n v="395"/>
    <x v="3"/>
    <s v="ANM"/>
    <x v="0"/>
    <s v="Fertirrigação"/>
    <x v="6"/>
    <s v="3 - Parceria"/>
    <n v="26"/>
    <n v="26"/>
    <n v="0"/>
    <n v="26"/>
    <n v="3328"/>
    <n v="3380"/>
    <n v="0"/>
    <n v="3056.07"/>
    <x v="0"/>
    <x v="36"/>
    <x v="0"/>
    <x v="0"/>
    <x v="1"/>
    <n v="26"/>
    <n v="26"/>
    <n v="26"/>
    <n v="3328"/>
    <n v="3380"/>
    <n v="3056.07"/>
    <n v="3056.07"/>
    <n v="3056.07"/>
    <n v="3056.07"/>
    <x v="1"/>
    <x v="1"/>
    <x v="0"/>
    <n v="0"/>
    <x v="0"/>
  </r>
  <r>
    <x v="19"/>
    <x v="19"/>
    <n v="396"/>
    <x v="3"/>
    <s v="ANM"/>
    <x v="0"/>
    <s v="Fertirrigação"/>
    <x v="6"/>
    <s v="3 - Parceria"/>
    <n v="18.05"/>
    <n v="18.05"/>
    <n v="18.05"/>
    <n v="18.05"/>
    <n v="2310.4"/>
    <n v="2346.5"/>
    <n v="2346.5"/>
    <n v="2721.98"/>
    <x v="0"/>
    <x v="36"/>
    <x v="0"/>
    <x v="0"/>
    <x v="0"/>
    <n v="18.05"/>
    <n v="18.05"/>
    <n v="18.05"/>
    <n v="2310.4"/>
    <n v="2346.5"/>
    <n v="2346.5"/>
    <n v="2721.98"/>
    <n v="2721.98"/>
    <n v="2721.98"/>
    <x v="1"/>
    <x v="1"/>
    <x v="0"/>
    <n v="0"/>
    <x v="0"/>
  </r>
  <r>
    <x v="19"/>
    <x v="19"/>
    <n v="397"/>
    <x v="3"/>
    <s v="ANM"/>
    <x v="0"/>
    <s v="Fertirrigação"/>
    <x v="6"/>
    <s v="3 - Parceria"/>
    <n v="15.17"/>
    <n v="15.17"/>
    <n v="15.17"/>
    <n v="15.17"/>
    <n v="1820.4"/>
    <n v="1881.08"/>
    <n v="1881.08"/>
    <n v="2181.6799999999998"/>
    <x v="0"/>
    <x v="36"/>
    <x v="0"/>
    <x v="0"/>
    <x v="0"/>
    <n v="15.17"/>
    <n v="15.17"/>
    <n v="15.17"/>
    <n v="1820.4"/>
    <n v="1881.08"/>
    <n v="1881.08"/>
    <n v="2181.6799999999998"/>
    <n v="2181.6799999999998"/>
    <n v="2181.6799999999998"/>
    <x v="1"/>
    <x v="1"/>
    <x v="0"/>
    <n v="0"/>
    <x v="0"/>
  </r>
  <r>
    <x v="19"/>
    <x v="19"/>
    <n v="398"/>
    <x v="3"/>
    <s v="ANM"/>
    <x v="0"/>
    <s v="Fertirrigação"/>
    <x v="6"/>
    <s v="3 - Parceria"/>
    <n v="22.92"/>
    <n v="22.92"/>
    <n v="22.92"/>
    <n v="22.92"/>
    <n v="2750.4"/>
    <n v="2842.08"/>
    <n v="2842.08"/>
    <n v="3033.86"/>
    <x v="0"/>
    <x v="36"/>
    <x v="0"/>
    <x v="0"/>
    <x v="0"/>
    <n v="22.92"/>
    <n v="22.92"/>
    <n v="22.92"/>
    <n v="2750.4"/>
    <n v="2842.08"/>
    <n v="2842.08"/>
    <n v="3033.86"/>
    <n v="3033.86"/>
    <n v="3033.86"/>
    <x v="1"/>
    <x v="1"/>
    <x v="0"/>
    <n v="0"/>
    <x v="0"/>
  </r>
  <r>
    <x v="19"/>
    <x v="19"/>
    <n v="486"/>
    <x v="5"/>
    <s v="2ºC"/>
    <x v="0"/>
    <s v="Fertirrigação"/>
    <x v="9"/>
    <s v="3 - Parceria"/>
    <n v="17.77"/>
    <n v="17.77"/>
    <n v="0"/>
    <n v="17.77"/>
    <n v="1599.3"/>
    <n v="1688.15"/>
    <n v="0"/>
    <n v="1819.82"/>
    <x v="0"/>
    <x v="8"/>
    <x v="0"/>
    <x v="0"/>
    <x v="1"/>
    <n v="17.77"/>
    <n v="17.77"/>
    <n v="17.77"/>
    <n v="1599.3"/>
    <n v="1688.15"/>
    <n v="1819.82"/>
    <n v="1819.82"/>
    <n v="1819.82"/>
    <n v="1819.82"/>
    <x v="1"/>
    <x v="1"/>
    <x v="0"/>
    <n v="0"/>
    <x v="0"/>
  </r>
  <r>
    <x v="19"/>
    <x v="19"/>
    <n v="487"/>
    <x v="5"/>
    <s v="2ºC"/>
    <x v="0"/>
    <s v="Fertirrigação"/>
    <x v="9"/>
    <s v="3 - Parceria"/>
    <n v="22.79"/>
    <n v="22.79"/>
    <n v="0"/>
    <n v="22.79"/>
    <n v="2051.1"/>
    <n v="2165.0500000000002"/>
    <n v="0"/>
    <n v="2334.21"/>
    <x v="0"/>
    <x v="8"/>
    <x v="0"/>
    <x v="0"/>
    <x v="1"/>
    <n v="22.79"/>
    <n v="22.79"/>
    <n v="22.79"/>
    <n v="2051.1"/>
    <n v="2165.0500000000002"/>
    <n v="2334.21"/>
    <n v="2334.21"/>
    <n v="2334.21"/>
    <n v="2334.21"/>
    <x v="1"/>
    <x v="1"/>
    <x v="0"/>
    <n v="0"/>
    <x v="0"/>
  </r>
  <r>
    <x v="19"/>
    <x v="19"/>
    <n v="500"/>
    <x v="5"/>
    <s v="2ºC"/>
    <x v="0"/>
    <s v="Fertirrigação"/>
    <x v="16"/>
    <s v="3 - Parceria"/>
    <n v="17.8"/>
    <n v="17.8"/>
    <n v="0"/>
    <n v="17.8"/>
    <n v="1726.6"/>
    <n v="1744.4"/>
    <n v="0"/>
    <n v="1680.27"/>
    <x v="0"/>
    <x v="13"/>
    <x v="0"/>
    <x v="0"/>
    <x v="1"/>
    <n v="17.8"/>
    <n v="17.8"/>
    <n v="17.8"/>
    <n v="1726.6"/>
    <n v="1744.4"/>
    <n v="1680.27"/>
    <n v="1680.27"/>
    <n v="1680.27"/>
    <n v="1680.27"/>
    <x v="1"/>
    <x v="1"/>
    <x v="0"/>
    <n v="0"/>
    <x v="0"/>
  </r>
  <r>
    <x v="19"/>
    <x v="19"/>
    <n v="501"/>
    <x v="5"/>
    <s v="2ºC"/>
    <x v="0"/>
    <s v="Fertirrigação"/>
    <x v="16"/>
    <s v="3 - Parceria"/>
    <n v="26"/>
    <n v="26"/>
    <n v="0"/>
    <n v="26"/>
    <n v="2522"/>
    <n v="2548"/>
    <n v="0"/>
    <n v="2507.5500000000002"/>
    <x v="0"/>
    <x v="13"/>
    <x v="0"/>
    <x v="0"/>
    <x v="1"/>
    <n v="26"/>
    <n v="26"/>
    <n v="26"/>
    <n v="2522"/>
    <n v="2548"/>
    <n v="2507.5500000000002"/>
    <n v="2507.5500000000002"/>
    <n v="2507.5500000000002"/>
    <n v="2507.5500000000002"/>
    <x v="1"/>
    <x v="2"/>
    <x v="4"/>
    <n v="884"/>
    <x v="0"/>
  </r>
  <r>
    <x v="19"/>
    <x v="19"/>
    <n v="502"/>
    <x v="5"/>
    <s v="2ºC"/>
    <x v="0"/>
    <s v="Fertirrigação"/>
    <x v="17"/>
    <s v="3 - Parceria"/>
    <n v="23.84"/>
    <n v="23.84"/>
    <n v="0"/>
    <n v="23.84"/>
    <n v="2312.48"/>
    <n v="2336.3200000000002"/>
    <n v="0"/>
    <n v="2450.8000000000002"/>
    <x v="0"/>
    <x v="8"/>
    <x v="0"/>
    <x v="0"/>
    <x v="1"/>
    <n v="23.84"/>
    <n v="23.84"/>
    <n v="23.84"/>
    <n v="2312.48"/>
    <n v="2336.3200000000002"/>
    <n v="2450.8000000000002"/>
    <n v="2450.8000000000002"/>
    <n v="2450.8000000000002"/>
    <n v="2450.8000000000002"/>
    <x v="1"/>
    <x v="2"/>
    <x v="2"/>
    <n v="810.56"/>
    <x v="0"/>
  </r>
  <r>
    <x v="19"/>
    <x v="19"/>
    <n v="503"/>
    <x v="5"/>
    <s v="2ºC"/>
    <x v="0"/>
    <s v="Fertirrigação"/>
    <x v="16"/>
    <s v="3 - Parceria"/>
    <n v="28.93"/>
    <n v="28.93"/>
    <n v="0"/>
    <n v="28.93"/>
    <n v="2806.21"/>
    <n v="2835.14"/>
    <n v="0"/>
    <n v="2790.01"/>
    <x v="0"/>
    <x v="13"/>
    <x v="0"/>
    <x v="0"/>
    <x v="1"/>
    <n v="28.93"/>
    <n v="28.93"/>
    <n v="28.93"/>
    <n v="2806.21"/>
    <n v="2835.14"/>
    <n v="2790.01"/>
    <n v="2790.01"/>
    <n v="2790.01"/>
    <n v="2790.01"/>
    <x v="1"/>
    <x v="2"/>
    <x v="2"/>
    <n v="983.62"/>
    <x v="0"/>
  </r>
  <r>
    <x v="19"/>
    <x v="19"/>
    <n v="504"/>
    <x v="5"/>
    <s v="2ºC"/>
    <x v="0"/>
    <s v="Fertirrigação"/>
    <x v="16"/>
    <s v="3 - Parceria"/>
    <n v="30.27"/>
    <n v="30.27"/>
    <n v="0"/>
    <n v="30.27"/>
    <n v="2936.19"/>
    <n v="2966.46"/>
    <n v="0"/>
    <n v="2857.66"/>
    <x v="0"/>
    <x v="13"/>
    <x v="0"/>
    <x v="0"/>
    <x v="1"/>
    <n v="30.27"/>
    <n v="30.27"/>
    <n v="30.27"/>
    <n v="2936.19"/>
    <n v="2966.46"/>
    <n v="2857.66"/>
    <n v="2857.66"/>
    <n v="2857.66"/>
    <n v="2857.66"/>
    <x v="1"/>
    <x v="1"/>
    <x v="0"/>
    <n v="0"/>
    <x v="0"/>
  </r>
  <r>
    <x v="19"/>
    <x v="19"/>
    <n v="505"/>
    <x v="5"/>
    <s v="2ºC"/>
    <x v="0"/>
    <s v="Fertirrigação"/>
    <x v="16"/>
    <s v="3 - Parceria"/>
    <n v="17.98"/>
    <n v="17.98"/>
    <n v="0"/>
    <n v="17.98"/>
    <n v="1744.06"/>
    <n v="1762.04"/>
    <n v="0"/>
    <n v="1697.89"/>
    <x v="0"/>
    <x v="13"/>
    <x v="0"/>
    <x v="0"/>
    <x v="1"/>
    <n v="17.98"/>
    <n v="17.98"/>
    <n v="17.98"/>
    <n v="1744.06"/>
    <n v="1762.04"/>
    <n v="1697.89"/>
    <n v="1697.89"/>
    <n v="1697.89"/>
    <n v="1697.89"/>
    <x v="1"/>
    <x v="1"/>
    <x v="0"/>
    <n v="0"/>
    <x v="0"/>
  </r>
  <r>
    <x v="19"/>
    <x v="19"/>
    <n v="506"/>
    <x v="5"/>
    <s v="2ºC"/>
    <x v="0"/>
    <s v="Fertirrigação"/>
    <x v="16"/>
    <s v="3 - Parceria"/>
    <n v="38.81"/>
    <n v="38.81"/>
    <n v="0"/>
    <n v="38.81"/>
    <n v="3764.57"/>
    <n v="3803.38"/>
    <n v="0"/>
    <n v="3743.11"/>
    <x v="0"/>
    <x v="13"/>
    <x v="0"/>
    <x v="0"/>
    <x v="1"/>
    <n v="38.81"/>
    <n v="38.81"/>
    <n v="38.81"/>
    <n v="3764.57"/>
    <n v="3803.38"/>
    <n v="3743.11"/>
    <n v="3743.11"/>
    <n v="3743.11"/>
    <n v="3743.11"/>
    <x v="1"/>
    <x v="1"/>
    <x v="0"/>
    <n v="0"/>
    <x v="0"/>
  </r>
  <r>
    <x v="19"/>
    <x v="19"/>
    <n v="507"/>
    <x v="5"/>
    <s v="2ºC"/>
    <x v="0"/>
    <s v="Fertirrigação"/>
    <x v="17"/>
    <s v="3 - Parceria"/>
    <n v="29.75"/>
    <n v="29.75"/>
    <n v="0"/>
    <n v="29.75"/>
    <n v="2885.75"/>
    <n v="2915.5"/>
    <n v="0"/>
    <n v="3059.32"/>
    <x v="0"/>
    <x v="8"/>
    <x v="0"/>
    <x v="0"/>
    <x v="1"/>
    <n v="29.75"/>
    <n v="29.75"/>
    <n v="29.75"/>
    <n v="2885.75"/>
    <n v="2915.5"/>
    <n v="3059.32"/>
    <n v="3059.32"/>
    <n v="3059.32"/>
    <n v="3059.32"/>
    <x v="1"/>
    <x v="2"/>
    <x v="2"/>
    <n v="1011.5"/>
    <x v="0"/>
  </r>
  <r>
    <x v="19"/>
    <x v="19"/>
    <n v="508"/>
    <x v="5"/>
    <s v="2ºC"/>
    <x v="0"/>
    <s v="Fertirrigação"/>
    <x v="17"/>
    <s v="3 - Parceria"/>
    <n v="18.28"/>
    <n v="18.28"/>
    <n v="0"/>
    <n v="18.28"/>
    <n v="1773.16"/>
    <n v="1791.44"/>
    <n v="0"/>
    <n v="1879.32"/>
    <x v="0"/>
    <x v="8"/>
    <x v="0"/>
    <x v="0"/>
    <x v="1"/>
    <n v="18.28"/>
    <n v="18.28"/>
    <n v="18.28"/>
    <n v="1773.16"/>
    <n v="1791.44"/>
    <n v="1879.32"/>
    <n v="1879.32"/>
    <n v="1879.32"/>
    <n v="1879.32"/>
    <x v="1"/>
    <x v="2"/>
    <x v="4"/>
    <n v="621.52"/>
    <x v="0"/>
  </r>
  <r>
    <x v="19"/>
    <x v="19"/>
    <n v="521"/>
    <x v="4"/>
    <s v="4ºC"/>
    <x v="0"/>
    <s v="Fertirrigação"/>
    <x v="10"/>
    <s v="3 - Parceria"/>
    <n v="10.220000000000001"/>
    <n v="0"/>
    <n v="0"/>
    <n v="10.220000000000001"/>
    <n v="654.08000000000004"/>
    <n v="0"/>
    <n v="0"/>
    <n v="598.71"/>
    <x v="0"/>
    <x v="27"/>
    <x v="0"/>
    <x v="1"/>
    <x v="1"/>
    <n v="10.220000000000001"/>
    <n v="10.220000000000001"/>
    <n v="10.220000000000001"/>
    <n v="654.08000000000004"/>
    <n v="598.71"/>
    <n v="598.71"/>
    <n v="598.71"/>
    <n v="598.71"/>
    <n v="598.71"/>
    <x v="1"/>
    <x v="1"/>
    <x v="0"/>
    <n v="0"/>
    <x v="0"/>
  </r>
  <r>
    <x v="19"/>
    <x v="19"/>
    <n v="522"/>
    <x v="4"/>
    <s v="4ºC"/>
    <x v="0"/>
    <s v="Fertirrigação"/>
    <x v="10"/>
    <s v="3 - Parceria"/>
    <n v="28.88"/>
    <n v="0"/>
    <n v="0"/>
    <n v="28.88"/>
    <n v="1848.32"/>
    <n v="0"/>
    <n v="0"/>
    <n v="1691.94"/>
    <x v="0"/>
    <x v="27"/>
    <x v="0"/>
    <x v="1"/>
    <x v="1"/>
    <n v="28.88"/>
    <n v="28.88"/>
    <n v="28.88"/>
    <n v="1848.32"/>
    <n v="1691.94"/>
    <n v="1691.94"/>
    <n v="1691.94"/>
    <n v="1691.94"/>
    <n v="1691.94"/>
    <x v="1"/>
    <x v="1"/>
    <x v="0"/>
    <n v="0"/>
    <x v="0"/>
  </r>
  <r>
    <x v="19"/>
    <x v="19"/>
    <n v="523"/>
    <x v="4"/>
    <s v="4ºC"/>
    <x v="0"/>
    <s v="Fertirrigação"/>
    <x v="10"/>
    <s v="3 - Parceria"/>
    <n v="49.75"/>
    <n v="0"/>
    <n v="0"/>
    <n v="49.75"/>
    <n v="2985"/>
    <n v="0"/>
    <n v="0"/>
    <n v="2733.2"/>
    <x v="0"/>
    <x v="27"/>
    <x v="0"/>
    <x v="1"/>
    <x v="1"/>
    <n v="49.75"/>
    <n v="49.75"/>
    <n v="49.75"/>
    <n v="2985"/>
    <n v="2733.2"/>
    <n v="2733.2"/>
    <n v="2733.2"/>
    <n v="2733.2"/>
    <n v="2733.2"/>
    <x v="1"/>
    <x v="1"/>
    <x v="0"/>
    <n v="0"/>
    <x v="0"/>
  </r>
  <r>
    <x v="19"/>
    <x v="19"/>
    <n v="524"/>
    <x v="4"/>
    <s v="4ºC"/>
    <x v="0"/>
    <s v="Fertirrigação"/>
    <x v="10"/>
    <s v="3 - Parceria"/>
    <n v="49.59"/>
    <n v="0"/>
    <n v="0"/>
    <n v="49.59"/>
    <n v="3471.3"/>
    <n v="0"/>
    <n v="0"/>
    <n v="2451.52"/>
    <x v="0"/>
    <x v="22"/>
    <x v="0"/>
    <x v="1"/>
    <x v="1"/>
    <n v="49.59"/>
    <n v="49.59"/>
    <n v="49.59"/>
    <n v="3471.3"/>
    <n v="2451.52"/>
    <n v="2451.52"/>
    <n v="2451.52"/>
    <n v="2451.52"/>
    <n v="2451.52"/>
    <x v="1"/>
    <x v="1"/>
    <x v="0"/>
    <n v="0"/>
    <x v="0"/>
  </r>
  <r>
    <x v="19"/>
    <x v="19"/>
    <n v="525"/>
    <x v="4"/>
    <s v="4ºC"/>
    <x v="0"/>
    <s v="Fertirrigação"/>
    <x v="10"/>
    <s v="3 - Parceria"/>
    <n v="15.26"/>
    <n v="0"/>
    <n v="0"/>
    <n v="15.26"/>
    <n v="915.6"/>
    <n v="0"/>
    <n v="0"/>
    <n v="1054.73"/>
    <x v="0"/>
    <x v="27"/>
    <x v="0"/>
    <x v="1"/>
    <x v="1"/>
    <n v="15.26"/>
    <n v="15.26"/>
    <n v="15.26"/>
    <n v="915.6"/>
    <n v="1054.73"/>
    <n v="1054.73"/>
    <n v="1054.73"/>
    <n v="1054.73"/>
    <n v="1054.73"/>
    <x v="1"/>
    <x v="1"/>
    <x v="0"/>
    <n v="0"/>
    <x v="0"/>
  </r>
  <r>
    <x v="19"/>
    <x v="19"/>
    <n v="526"/>
    <x v="4"/>
    <s v="4ºC"/>
    <x v="0"/>
    <s v="Fertirrigação"/>
    <x v="10"/>
    <s v="3 - Parceria"/>
    <n v="16.420000000000002"/>
    <n v="0"/>
    <n v="0"/>
    <n v="16.420000000000002"/>
    <n v="985.2"/>
    <n v="0"/>
    <n v="0"/>
    <n v="1134.18"/>
    <x v="0"/>
    <x v="27"/>
    <x v="0"/>
    <x v="1"/>
    <x v="1"/>
    <n v="16.420000000000002"/>
    <n v="16.420000000000002"/>
    <n v="16.420000000000002"/>
    <n v="985.2"/>
    <n v="1134.18"/>
    <n v="1134.18"/>
    <n v="1134.18"/>
    <n v="1134.18"/>
    <n v="1134.18"/>
    <x v="1"/>
    <x v="1"/>
    <x v="0"/>
    <n v="0"/>
    <x v="0"/>
  </r>
  <r>
    <x v="19"/>
    <x v="19"/>
    <n v="527"/>
    <x v="4"/>
    <s v="4ºC"/>
    <x v="0"/>
    <s v="Fertirrigação"/>
    <x v="10"/>
    <s v="3 - Parceria"/>
    <n v="15.62"/>
    <n v="0"/>
    <n v="0"/>
    <n v="15.62"/>
    <n v="937.2"/>
    <n v="0"/>
    <n v="0"/>
    <n v="1078.9100000000001"/>
    <x v="0"/>
    <x v="27"/>
    <x v="0"/>
    <x v="1"/>
    <x v="1"/>
    <n v="15.62"/>
    <n v="15.62"/>
    <n v="15.62"/>
    <n v="937.2"/>
    <n v="1078.9100000000001"/>
    <n v="1078.9100000000001"/>
    <n v="1078.9100000000001"/>
    <n v="1078.9100000000001"/>
    <n v="1078.9100000000001"/>
    <x v="1"/>
    <x v="1"/>
    <x v="0"/>
    <n v="0"/>
    <x v="0"/>
  </r>
  <r>
    <x v="19"/>
    <x v="19"/>
    <n v="528"/>
    <x v="4"/>
    <s v="4ºC"/>
    <x v="0"/>
    <s v="Fertirrigação"/>
    <x v="10"/>
    <s v="3 - Parceria"/>
    <n v="7.89"/>
    <n v="0"/>
    <n v="0"/>
    <n v="7.89"/>
    <n v="473.4"/>
    <n v="0"/>
    <n v="0"/>
    <n v="544.58000000000004"/>
    <x v="0"/>
    <x v="27"/>
    <x v="0"/>
    <x v="1"/>
    <x v="1"/>
    <n v="7.89"/>
    <n v="7.89"/>
    <n v="7.89"/>
    <n v="473.4"/>
    <n v="544.58000000000004"/>
    <n v="544.58000000000004"/>
    <n v="544.58000000000004"/>
    <n v="544.58000000000004"/>
    <n v="544.58000000000004"/>
    <x v="1"/>
    <x v="1"/>
    <x v="0"/>
    <n v="0"/>
    <x v="0"/>
  </r>
  <r>
    <x v="19"/>
    <x v="19"/>
    <n v="529"/>
    <x v="4"/>
    <s v="4ºC"/>
    <x v="0"/>
    <s v="Fertirrigação"/>
    <x v="10"/>
    <s v="3 - Parceria"/>
    <n v="23.53"/>
    <n v="0"/>
    <n v="0"/>
    <n v="23.53"/>
    <n v="1411.8"/>
    <n v="0"/>
    <n v="0"/>
    <n v="1626.34"/>
    <x v="0"/>
    <x v="27"/>
    <x v="0"/>
    <x v="1"/>
    <x v="1"/>
    <n v="23.53"/>
    <n v="23.53"/>
    <n v="23.53"/>
    <n v="1411.8"/>
    <n v="1626.34"/>
    <n v="1626.34"/>
    <n v="1626.34"/>
    <n v="1626.34"/>
    <n v="1626.34"/>
    <x v="1"/>
    <x v="1"/>
    <x v="0"/>
    <n v="0"/>
    <x v="0"/>
  </r>
  <r>
    <x v="19"/>
    <x v="19"/>
    <n v="530"/>
    <x v="4"/>
    <s v="4ºC"/>
    <x v="0"/>
    <s v="Fertirrigação"/>
    <x v="3"/>
    <s v="3 - Parceria"/>
    <n v="26.2"/>
    <n v="0"/>
    <n v="0"/>
    <n v="26.2"/>
    <n v="1572"/>
    <n v="0"/>
    <n v="0"/>
    <n v="1941.48"/>
    <x v="0"/>
    <x v="27"/>
    <x v="0"/>
    <x v="1"/>
    <x v="1"/>
    <n v="26.2"/>
    <n v="26.2"/>
    <n v="26.2"/>
    <n v="1572"/>
    <n v="1941.48"/>
    <n v="1941.48"/>
    <n v="1941.48"/>
    <n v="1941.48"/>
    <n v="1941.48"/>
    <x v="1"/>
    <x v="1"/>
    <x v="0"/>
    <n v="0"/>
    <x v="0"/>
  </r>
  <r>
    <x v="19"/>
    <x v="19"/>
    <n v="531"/>
    <x v="4"/>
    <s v="4ºC"/>
    <x v="0"/>
    <s v="Fertirrigação"/>
    <x v="3"/>
    <s v="3 - Parceria"/>
    <n v="40.700000000000003"/>
    <n v="0"/>
    <n v="0"/>
    <n v="40.700000000000003"/>
    <n v="2442"/>
    <n v="0"/>
    <n v="0"/>
    <n v="3016.14"/>
    <x v="0"/>
    <x v="27"/>
    <x v="0"/>
    <x v="1"/>
    <x v="1"/>
    <n v="40.700000000000003"/>
    <n v="40.700000000000003"/>
    <n v="40.700000000000003"/>
    <n v="2442"/>
    <n v="3016.14"/>
    <n v="3016.14"/>
    <n v="3016.14"/>
    <n v="3016.14"/>
    <n v="3016.14"/>
    <x v="1"/>
    <x v="1"/>
    <x v="0"/>
    <n v="0"/>
    <x v="0"/>
  </r>
  <r>
    <x v="19"/>
    <x v="19"/>
    <n v="532"/>
    <x v="4"/>
    <s v="4ºC"/>
    <x v="0"/>
    <s v="Fertirrigação"/>
    <x v="3"/>
    <s v="3 - Parceria"/>
    <n v="21.29"/>
    <n v="0"/>
    <n v="0"/>
    <n v="21.29"/>
    <n v="1830.94"/>
    <n v="0"/>
    <n v="0"/>
    <n v="1821.63"/>
    <x v="0"/>
    <x v="22"/>
    <x v="0"/>
    <x v="1"/>
    <x v="1"/>
    <n v="21.29"/>
    <n v="21.29"/>
    <n v="21.29"/>
    <n v="1830.94"/>
    <n v="1821.63"/>
    <n v="1821.63"/>
    <n v="1821.63"/>
    <n v="1821.63"/>
    <n v="1821.63"/>
    <x v="1"/>
    <x v="1"/>
    <x v="0"/>
    <n v="0"/>
    <x v="0"/>
  </r>
  <r>
    <x v="19"/>
    <x v="19"/>
    <n v="533"/>
    <x v="4"/>
    <s v="4ºC"/>
    <x v="0"/>
    <s v="Fertirrigação"/>
    <x v="10"/>
    <s v="3 - Parceria"/>
    <n v="26.74"/>
    <n v="0"/>
    <n v="0"/>
    <n v="26.74"/>
    <n v="2299.64"/>
    <n v="0"/>
    <n v="0"/>
    <n v="2288.2600000000002"/>
    <x v="0"/>
    <x v="22"/>
    <x v="0"/>
    <x v="1"/>
    <x v="1"/>
    <n v="26.74"/>
    <n v="26.74"/>
    <n v="26.74"/>
    <n v="2299.64"/>
    <n v="2288.2600000000002"/>
    <n v="2288.2600000000002"/>
    <n v="2288.2600000000002"/>
    <n v="2288.2600000000002"/>
    <n v="2288.2600000000002"/>
    <x v="1"/>
    <x v="1"/>
    <x v="0"/>
    <n v="0"/>
    <x v="0"/>
  </r>
  <r>
    <x v="19"/>
    <x v="19"/>
    <n v="534"/>
    <x v="4"/>
    <s v="4ºC"/>
    <x v="0"/>
    <s v="Fertirrigação"/>
    <x v="10"/>
    <s v="3 - Parceria"/>
    <n v="24.73"/>
    <n v="0"/>
    <n v="0"/>
    <n v="24.73"/>
    <n v="2126.7800000000002"/>
    <n v="0"/>
    <n v="0"/>
    <n v="2116.14"/>
    <x v="0"/>
    <x v="22"/>
    <x v="0"/>
    <x v="1"/>
    <x v="1"/>
    <n v="24.73"/>
    <n v="24.73"/>
    <n v="24.73"/>
    <n v="2126.7800000000002"/>
    <n v="2116.14"/>
    <n v="2116.14"/>
    <n v="2116.14"/>
    <n v="2116.14"/>
    <n v="2116.14"/>
    <x v="1"/>
    <x v="1"/>
    <x v="0"/>
    <n v="0"/>
    <x v="0"/>
  </r>
  <r>
    <x v="19"/>
    <x v="19"/>
    <n v="535"/>
    <x v="4"/>
    <s v="4ºC"/>
    <x v="0"/>
    <s v="Fertirrigação"/>
    <x v="10"/>
    <s v="3 - Parceria"/>
    <n v="34.270000000000003"/>
    <n v="0"/>
    <n v="0"/>
    <n v="34.270000000000003"/>
    <n v="2947.22"/>
    <n v="0"/>
    <n v="0"/>
    <n v="2932.59"/>
    <x v="0"/>
    <x v="22"/>
    <x v="0"/>
    <x v="1"/>
    <x v="1"/>
    <n v="34.270000000000003"/>
    <n v="34.270000000000003"/>
    <n v="34.270000000000003"/>
    <n v="2947.22"/>
    <n v="2932.59"/>
    <n v="2932.59"/>
    <n v="2932.59"/>
    <n v="2932.59"/>
    <n v="2932.59"/>
    <x v="1"/>
    <x v="1"/>
    <x v="0"/>
    <n v="0"/>
    <x v="0"/>
  </r>
  <r>
    <x v="19"/>
    <x v="19"/>
    <n v="601"/>
    <x v="5"/>
    <s v="2ºC"/>
    <x v="0"/>
    <s v="Fertirrigação"/>
    <x v="11"/>
    <s v="3 - Parceria"/>
    <n v="8"/>
    <n v="8"/>
    <n v="0"/>
    <n v="8"/>
    <n v="688"/>
    <n v="688"/>
    <n v="0"/>
    <n v="830.05"/>
    <x v="0"/>
    <x v="13"/>
    <x v="0"/>
    <x v="0"/>
    <x v="1"/>
    <n v="8"/>
    <n v="8"/>
    <n v="8"/>
    <n v="688"/>
    <n v="688"/>
    <n v="830.05"/>
    <n v="830.05"/>
    <n v="830.05"/>
    <n v="830.05"/>
    <x v="1"/>
    <x v="1"/>
    <x v="0"/>
    <n v="0"/>
    <x v="0"/>
  </r>
  <r>
    <x v="19"/>
    <x v="19"/>
    <n v="602"/>
    <x v="5"/>
    <s v="2ºC"/>
    <x v="0"/>
    <s v="Fertirrigação"/>
    <x v="11"/>
    <s v="3 - Parceria"/>
    <n v="4.03"/>
    <n v="4.03"/>
    <n v="0"/>
    <n v="4.03"/>
    <n v="346.58"/>
    <n v="346.58"/>
    <n v="0"/>
    <n v="418.67"/>
    <x v="0"/>
    <x v="13"/>
    <x v="0"/>
    <x v="0"/>
    <x v="1"/>
    <n v="4.03"/>
    <n v="4.03"/>
    <n v="4.03"/>
    <n v="346.58"/>
    <n v="346.58"/>
    <n v="418.67"/>
    <n v="418.67"/>
    <n v="418.67"/>
    <n v="418.67"/>
    <x v="1"/>
    <x v="1"/>
    <x v="0"/>
    <n v="0"/>
    <x v="0"/>
  </r>
  <r>
    <x v="19"/>
    <x v="19"/>
    <n v="5271"/>
    <x v="4"/>
    <s v="4ºC"/>
    <x v="0"/>
    <s v="Fertirrigação"/>
    <x v="16"/>
    <s v="3 - Parceria"/>
    <n v="1.37"/>
    <n v="0"/>
    <n v="0"/>
    <n v="1.37"/>
    <n v="52.06"/>
    <n v="0"/>
    <n v="0"/>
    <n v="109.53"/>
    <x v="0"/>
    <x v="12"/>
    <x v="0"/>
    <x v="1"/>
    <x v="1"/>
    <n v="1.37"/>
    <n v="1.37"/>
    <n v="1.37"/>
    <n v="52.06"/>
    <n v="109.53"/>
    <n v="109.53"/>
    <n v="109.53"/>
    <n v="109.53"/>
    <n v="109.53"/>
    <x v="1"/>
    <x v="1"/>
    <x v="0"/>
    <n v="0"/>
    <x v="0"/>
  </r>
  <r>
    <x v="19"/>
    <x v="19"/>
    <n v="5272"/>
    <x v="4"/>
    <s v="4ºC"/>
    <x v="0"/>
    <s v="Fertirrigação"/>
    <x v="16"/>
    <s v="3 - Parceria"/>
    <n v="7.91"/>
    <n v="0"/>
    <n v="0"/>
    <n v="7.91"/>
    <n v="300.58"/>
    <n v="0"/>
    <n v="0"/>
    <n v="634.03"/>
    <x v="0"/>
    <x v="12"/>
    <x v="0"/>
    <x v="1"/>
    <x v="1"/>
    <n v="7.91"/>
    <n v="7.91"/>
    <n v="7.91"/>
    <n v="300.58"/>
    <n v="634.03"/>
    <n v="634.03"/>
    <n v="634.03"/>
    <n v="634.03"/>
    <n v="634.03"/>
    <x v="1"/>
    <x v="1"/>
    <x v="0"/>
    <n v="0"/>
    <x v="0"/>
  </r>
  <r>
    <x v="19"/>
    <x v="19"/>
    <n v="5273"/>
    <x v="4"/>
    <s v="4ºC"/>
    <x v="0"/>
    <s v="Fertirrigação"/>
    <x v="16"/>
    <s v="3 - Parceria"/>
    <n v="9.4"/>
    <n v="0"/>
    <n v="0"/>
    <n v="9.4"/>
    <n v="357.2"/>
    <n v="0"/>
    <n v="0"/>
    <n v="752.18"/>
    <x v="0"/>
    <x v="12"/>
    <x v="0"/>
    <x v="1"/>
    <x v="1"/>
    <n v="9.4"/>
    <n v="9.4"/>
    <n v="9.4"/>
    <n v="357.2"/>
    <n v="752.18"/>
    <n v="752.18"/>
    <n v="752.18"/>
    <n v="752.18"/>
    <n v="752.18"/>
    <x v="1"/>
    <x v="1"/>
    <x v="0"/>
    <n v="0"/>
    <x v="0"/>
  </r>
  <r>
    <x v="19"/>
    <x v="19"/>
    <n v="5274"/>
    <x v="4"/>
    <s v="4ºC"/>
    <x v="0"/>
    <s v="Fertirrigação"/>
    <x v="16"/>
    <s v="3 - Parceria"/>
    <n v="3.17"/>
    <n v="0"/>
    <n v="0"/>
    <n v="3.17"/>
    <n v="120.46"/>
    <n v="0"/>
    <n v="0"/>
    <n v="252.84"/>
    <x v="0"/>
    <x v="12"/>
    <x v="0"/>
    <x v="1"/>
    <x v="1"/>
    <n v="3.17"/>
    <n v="3.17"/>
    <n v="3.17"/>
    <n v="120.46"/>
    <n v="252.84"/>
    <n v="252.84"/>
    <n v="252.84"/>
    <n v="252.84"/>
    <n v="252.84"/>
    <x v="1"/>
    <x v="1"/>
    <x v="0"/>
    <n v="0"/>
    <x v="0"/>
  </r>
  <r>
    <x v="19"/>
    <x v="19"/>
    <n v="5275"/>
    <x v="4"/>
    <s v="4ºC"/>
    <x v="0"/>
    <s v="Fertirrigação"/>
    <x v="16"/>
    <s v="3 - Parceria"/>
    <n v="9.86"/>
    <n v="0"/>
    <n v="0"/>
    <n v="9.86"/>
    <n v="374.68"/>
    <n v="0"/>
    <n v="0"/>
    <n v="789.97"/>
    <x v="0"/>
    <x v="12"/>
    <x v="0"/>
    <x v="1"/>
    <x v="1"/>
    <n v="9.86"/>
    <n v="9.86"/>
    <n v="9.86"/>
    <n v="374.68"/>
    <n v="789.97"/>
    <n v="789.97"/>
    <n v="789.97"/>
    <n v="789.97"/>
    <n v="789.97"/>
    <x v="1"/>
    <x v="1"/>
    <x v="0"/>
    <n v="0"/>
    <x v="0"/>
  </r>
  <r>
    <x v="19"/>
    <x v="19"/>
    <n v="5276"/>
    <x v="4"/>
    <s v="4ºC"/>
    <x v="0"/>
    <s v="Fertirrigação"/>
    <x v="16"/>
    <s v="3 - Parceria"/>
    <n v="4.6100000000000003"/>
    <n v="0"/>
    <n v="0"/>
    <n v="4.6100000000000003"/>
    <n v="175.18"/>
    <n v="0"/>
    <n v="0"/>
    <n v="368.68"/>
    <x v="0"/>
    <x v="12"/>
    <x v="0"/>
    <x v="1"/>
    <x v="1"/>
    <n v="4.6100000000000003"/>
    <n v="4.6100000000000003"/>
    <n v="4.6100000000000003"/>
    <n v="175.18"/>
    <n v="368.68"/>
    <n v="368.68"/>
    <n v="368.68"/>
    <n v="368.68"/>
    <n v="368.68"/>
    <x v="1"/>
    <x v="1"/>
    <x v="0"/>
    <n v="0"/>
    <x v="0"/>
  </r>
  <r>
    <x v="19"/>
    <x v="19"/>
    <n v="5277"/>
    <x v="4"/>
    <s v="4ºC"/>
    <x v="0"/>
    <s v="Fertirrigação"/>
    <x v="16"/>
    <s v="3 - Parceria"/>
    <n v="8.4499999999999993"/>
    <n v="0"/>
    <n v="0"/>
    <n v="8.4499999999999993"/>
    <n v="321.10000000000002"/>
    <n v="0"/>
    <n v="0"/>
    <n v="676.31"/>
    <x v="0"/>
    <x v="12"/>
    <x v="0"/>
    <x v="1"/>
    <x v="1"/>
    <n v="8.4499999999999993"/>
    <n v="8.4499999999999993"/>
    <n v="8.4499999999999993"/>
    <n v="321.10000000000002"/>
    <n v="676.31"/>
    <n v="676.31"/>
    <n v="676.31"/>
    <n v="676.31"/>
    <n v="676.31"/>
    <x v="1"/>
    <x v="1"/>
    <x v="0"/>
    <n v="0"/>
    <x v="0"/>
  </r>
  <r>
    <x v="19"/>
    <x v="19"/>
    <n v="5285"/>
    <x v="4"/>
    <s v="4ºC"/>
    <x v="0"/>
    <s v="Fertirrigação"/>
    <x v="24"/>
    <s v="3 - Parceria"/>
    <n v="9.07"/>
    <n v="0"/>
    <n v="0"/>
    <n v="9.07"/>
    <n v="344.66"/>
    <n v="0"/>
    <n v="0"/>
    <n v="726.37"/>
    <x v="0"/>
    <x v="12"/>
    <x v="0"/>
    <x v="1"/>
    <x v="1"/>
    <n v="9.07"/>
    <n v="9.07"/>
    <n v="9.07"/>
    <n v="344.66"/>
    <n v="726.37"/>
    <n v="726.37"/>
    <n v="726.37"/>
    <n v="726.37"/>
    <n v="726.37"/>
    <x v="1"/>
    <x v="1"/>
    <x v="0"/>
    <n v="0"/>
    <x v="0"/>
  </r>
  <r>
    <x v="19"/>
    <x v="19"/>
    <n v="5286"/>
    <x v="4"/>
    <s v="4ºC"/>
    <x v="0"/>
    <s v="Fertirrigação"/>
    <x v="16"/>
    <s v="3 - Parceria"/>
    <n v="10.63"/>
    <n v="0"/>
    <n v="0"/>
    <n v="10.63"/>
    <n v="403.94"/>
    <n v="0"/>
    <n v="0"/>
    <n v="850.6"/>
    <x v="0"/>
    <x v="12"/>
    <x v="0"/>
    <x v="1"/>
    <x v="1"/>
    <n v="10.63"/>
    <n v="10.63"/>
    <n v="10.63"/>
    <n v="403.94"/>
    <n v="850.6"/>
    <n v="850.6"/>
    <n v="850.6"/>
    <n v="850.6"/>
    <n v="850.6"/>
    <x v="1"/>
    <x v="1"/>
    <x v="0"/>
    <n v="0"/>
    <x v="0"/>
  </r>
  <r>
    <x v="19"/>
    <x v="19"/>
    <n v="5287"/>
    <x v="4"/>
    <s v="4ºC"/>
    <x v="0"/>
    <s v="Fertirrigação"/>
    <x v="16"/>
    <s v="3 - Parceria"/>
    <n v="6.75"/>
    <n v="0"/>
    <n v="0"/>
    <n v="6.75"/>
    <n v="256.5"/>
    <n v="0"/>
    <n v="0"/>
    <n v="539.41999999999996"/>
    <x v="0"/>
    <x v="12"/>
    <x v="0"/>
    <x v="1"/>
    <x v="1"/>
    <n v="6.75"/>
    <n v="6.75"/>
    <n v="6.75"/>
    <n v="256.5"/>
    <n v="539.41999999999996"/>
    <n v="539.41999999999996"/>
    <n v="539.41999999999996"/>
    <n v="539.41999999999996"/>
    <n v="539.41999999999996"/>
    <x v="1"/>
    <x v="1"/>
    <x v="0"/>
    <n v="0"/>
    <x v="0"/>
  </r>
  <r>
    <x v="19"/>
    <x v="19"/>
    <n v="5288"/>
    <x v="4"/>
    <s v="4ºC"/>
    <x v="0"/>
    <s v="Fertirrigação"/>
    <x v="16"/>
    <s v="3 - Parceria"/>
    <n v="1.86"/>
    <n v="0"/>
    <n v="0"/>
    <n v="1.86"/>
    <n v="70.680000000000007"/>
    <n v="0"/>
    <n v="0"/>
    <n v="150.08000000000001"/>
    <x v="0"/>
    <x v="12"/>
    <x v="0"/>
    <x v="1"/>
    <x v="1"/>
    <n v="1.86"/>
    <n v="1.86"/>
    <n v="1.86"/>
    <n v="70.680000000000007"/>
    <n v="150.08000000000001"/>
    <n v="150.08000000000001"/>
    <n v="150.08000000000001"/>
    <n v="150.08000000000001"/>
    <n v="150.08000000000001"/>
    <x v="1"/>
    <x v="1"/>
    <x v="0"/>
    <n v="0"/>
    <x v="0"/>
  </r>
  <r>
    <x v="19"/>
    <x v="19"/>
    <n v="5296"/>
    <x v="4"/>
    <s v="4ºC"/>
    <x v="0"/>
    <s v="Fertirrigação"/>
    <x v="16"/>
    <s v="3 - Parceria"/>
    <n v="6.36"/>
    <n v="0"/>
    <n v="0"/>
    <n v="6.36"/>
    <n v="241.68"/>
    <n v="0"/>
    <n v="0"/>
    <n v="509.5"/>
    <x v="0"/>
    <x v="12"/>
    <x v="0"/>
    <x v="1"/>
    <x v="1"/>
    <n v="6.36"/>
    <n v="6.36"/>
    <n v="6.36"/>
    <n v="241.68"/>
    <n v="509.5"/>
    <n v="509.5"/>
    <n v="509.5"/>
    <n v="509.5"/>
    <n v="509.5"/>
    <x v="1"/>
    <x v="1"/>
    <x v="0"/>
    <n v="0"/>
    <x v="0"/>
  </r>
  <r>
    <x v="19"/>
    <x v="19"/>
    <n v="5297"/>
    <x v="4"/>
    <s v="4ºC"/>
    <x v="0"/>
    <s v="Fertirrigação"/>
    <x v="17"/>
    <s v="3 - Parceria"/>
    <n v="8.2100000000000009"/>
    <n v="0"/>
    <n v="0"/>
    <n v="8.2100000000000009"/>
    <n v="311.98"/>
    <n v="0"/>
    <n v="0"/>
    <n v="657.07"/>
    <x v="0"/>
    <x v="12"/>
    <x v="0"/>
    <x v="1"/>
    <x v="1"/>
    <n v="8.2100000000000009"/>
    <n v="8.2100000000000009"/>
    <n v="8.2100000000000009"/>
    <n v="311.98"/>
    <n v="657.07"/>
    <n v="657.07"/>
    <n v="657.07"/>
    <n v="657.07"/>
    <n v="657.07"/>
    <x v="1"/>
    <x v="1"/>
    <x v="0"/>
    <n v="0"/>
    <x v="0"/>
  </r>
  <r>
    <x v="20"/>
    <x v="20"/>
    <n v="1"/>
    <x v="2"/>
    <s v="3ºC"/>
    <x v="0"/>
    <s v="Fertirrigação"/>
    <x v="9"/>
    <s v="1 - Própria"/>
    <n v="3.95"/>
    <n v="3.95"/>
    <n v="0"/>
    <n v="3.95"/>
    <n v="371.3"/>
    <n v="434.5"/>
    <n v="0"/>
    <n v="355.41"/>
    <x v="0"/>
    <x v="6"/>
    <x v="0"/>
    <x v="0"/>
    <x v="1"/>
    <n v="3.95"/>
    <n v="3.95"/>
    <n v="3.95"/>
    <n v="371.3"/>
    <n v="434.5"/>
    <n v="355.41"/>
    <n v="355.41"/>
    <n v="355.41"/>
    <n v="355.41"/>
    <x v="1"/>
    <x v="1"/>
    <x v="0"/>
    <n v="0"/>
    <x v="0"/>
  </r>
  <r>
    <x v="20"/>
    <x v="20"/>
    <n v="2"/>
    <x v="3"/>
    <s v="ANM"/>
    <x v="0"/>
    <s v="Fertirrigação"/>
    <x v="17"/>
    <s v="1 - Própria"/>
    <n v="3.22"/>
    <n v="0"/>
    <n v="0"/>
    <n v="3.22"/>
    <n v="312.33999999999997"/>
    <n v="0"/>
    <n v="0"/>
    <n v="354.22"/>
    <x v="0"/>
    <x v="15"/>
    <x v="0"/>
    <x v="1"/>
    <x v="1"/>
    <n v="3.22"/>
    <n v="3.22"/>
    <n v="3.22"/>
    <n v="312.33999999999997"/>
    <n v="354.22"/>
    <n v="354.22"/>
    <n v="354.22"/>
    <n v="354.22"/>
    <n v="354.22"/>
    <x v="1"/>
    <x v="1"/>
    <x v="0"/>
    <n v="0"/>
    <x v="0"/>
  </r>
  <r>
    <x v="20"/>
    <x v="20"/>
    <n v="3"/>
    <x v="3"/>
    <s v="ANM"/>
    <x v="0"/>
    <s v="Fertirrigação"/>
    <x v="17"/>
    <s v="1 - Própria"/>
    <n v="3.27"/>
    <n v="0"/>
    <n v="0"/>
    <n v="3.27"/>
    <n v="317.19"/>
    <n v="0"/>
    <n v="0"/>
    <n v="359.88"/>
    <x v="0"/>
    <x v="15"/>
    <x v="0"/>
    <x v="1"/>
    <x v="1"/>
    <n v="3.27"/>
    <n v="3.27"/>
    <n v="3.27"/>
    <n v="317.19"/>
    <n v="359.88"/>
    <n v="359.88"/>
    <n v="359.88"/>
    <n v="359.88"/>
    <n v="359.88"/>
    <x v="1"/>
    <x v="1"/>
    <x v="0"/>
    <n v="0"/>
    <x v="0"/>
  </r>
  <r>
    <x v="20"/>
    <x v="20"/>
    <n v="4"/>
    <x v="3"/>
    <s v="ANM"/>
    <x v="0"/>
    <s v="Fertirrigação"/>
    <x v="17"/>
    <s v="1 - Própria"/>
    <n v="9.6199999999999992"/>
    <n v="0"/>
    <n v="0"/>
    <n v="9.6199999999999992"/>
    <n v="933.14"/>
    <n v="0"/>
    <n v="0"/>
    <n v="1057.25"/>
    <x v="0"/>
    <x v="15"/>
    <x v="0"/>
    <x v="1"/>
    <x v="1"/>
    <n v="9.6199999999999992"/>
    <n v="9.6199999999999992"/>
    <n v="9.6199999999999992"/>
    <n v="933.14"/>
    <n v="1057.25"/>
    <n v="1057.25"/>
    <n v="1057.25"/>
    <n v="1057.25"/>
    <n v="1057.25"/>
    <x v="1"/>
    <x v="1"/>
    <x v="0"/>
    <n v="0"/>
    <x v="0"/>
  </r>
  <r>
    <x v="20"/>
    <x v="20"/>
    <n v="5"/>
    <x v="3"/>
    <s v="ANM"/>
    <x v="0"/>
    <s v="Fertirrigação"/>
    <x v="17"/>
    <s v="1 - Própria"/>
    <n v="30.59"/>
    <n v="0"/>
    <n v="0"/>
    <n v="30.59"/>
    <n v="2967.23"/>
    <n v="0"/>
    <n v="0"/>
    <n v="3359.99"/>
    <x v="0"/>
    <x v="15"/>
    <x v="0"/>
    <x v="1"/>
    <x v="1"/>
    <n v="30.59"/>
    <n v="30.59"/>
    <n v="30.59"/>
    <n v="2967.23"/>
    <n v="3359.99"/>
    <n v="3359.99"/>
    <n v="3359.99"/>
    <n v="3359.99"/>
    <n v="3359.99"/>
    <x v="1"/>
    <x v="1"/>
    <x v="0"/>
    <n v="0"/>
    <x v="0"/>
  </r>
  <r>
    <x v="20"/>
    <x v="20"/>
    <n v="6"/>
    <x v="3"/>
    <s v="ANM"/>
    <x v="0"/>
    <s v="Fertirrigação"/>
    <x v="17"/>
    <s v="1 - Própria"/>
    <n v="45.53"/>
    <n v="0"/>
    <n v="0"/>
    <n v="45.53"/>
    <n v="4416.41"/>
    <n v="0"/>
    <n v="0"/>
    <n v="5001.1099999999997"/>
    <x v="0"/>
    <x v="15"/>
    <x v="0"/>
    <x v="1"/>
    <x v="1"/>
    <n v="45.53"/>
    <n v="45.53"/>
    <n v="45.53"/>
    <n v="4416.41"/>
    <n v="5001.1099999999997"/>
    <n v="5001.1099999999997"/>
    <n v="5001.1099999999997"/>
    <n v="5001.1099999999997"/>
    <n v="5001.1099999999997"/>
    <x v="1"/>
    <x v="1"/>
    <x v="0"/>
    <n v="0"/>
    <x v="0"/>
  </r>
  <r>
    <x v="20"/>
    <x v="20"/>
    <n v="7"/>
    <x v="3"/>
    <s v="ANM"/>
    <x v="0"/>
    <s v="Fertirrigação"/>
    <x v="17"/>
    <s v="1 - Própria"/>
    <n v="57.84"/>
    <n v="0"/>
    <n v="0"/>
    <n v="57.84"/>
    <n v="5494.8"/>
    <n v="0"/>
    <n v="0"/>
    <n v="5987.96"/>
    <x v="0"/>
    <x v="15"/>
    <x v="0"/>
    <x v="1"/>
    <x v="1"/>
    <n v="57.84"/>
    <n v="57.84"/>
    <n v="57.84"/>
    <n v="5494.8"/>
    <n v="5987.96"/>
    <n v="5987.96"/>
    <n v="5987.96"/>
    <n v="5987.96"/>
    <n v="5987.96"/>
    <x v="1"/>
    <x v="1"/>
    <x v="0"/>
    <n v="0"/>
    <x v="0"/>
  </r>
  <r>
    <x v="20"/>
    <x v="20"/>
    <n v="8"/>
    <x v="3"/>
    <s v="ANM"/>
    <x v="0"/>
    <s v="Fertirrigação"/>
    <x v="17"/>
    <s v="1 - Própria"/>
    <n v="35.270000000000003"/>
    <n v="0"/>
    <n v="0"/>
    <n v="35.270000000000003"/>
    <n v="3174.3"/>
    <n v="0"/>
    <n v="0"/>
    <n v="3460.63"/>
    <x v="0"/>
    <x v="15"/>
    <x v="0"/>
    <x v="1"/>
    <x v="1"/>
    <n v="35.270000000000003"/>
    <n v="35.270000000000003"/>
    <n v="35.270000000000003"/>
    <n v="3174.3"/>
    <n v="3460.63"/>
    <n v="3460.63"/>
    <n v="3460.63"/>
    <n v="3460.63"/>
    <n v="3460.63"/>
    <x v="1"/>
    <x v="1"/>
    <x v="0"/>
    <n v="0"/>
    <x v="0"/>
  </r>
  <r>
    <x v="20"/>
    <x v="20"/>
    <n v="15"/>
    <x v="5"/>
    <s v="2ºC"/>
    <x v="0"/>
    <s v="Fertirrigação"/>
    <x v="17"/>
    <s v="1 - Própria"/>
    <n v="22.76"/>
    <n v="0"/>
    <n v="0"/>
    <n v="22.76"/>
    <n v="2139.44"/>
    <n v="0"/>
    <n v="0"/>
    <n v="2212.1"/>
    <x v="0"/>
    <x v="15"/>
    <x v="0"/>
    <x v="1"/>
    <x v="1"/>
    <n v="22.76"/>
    <n v="22.76"/>
    <n v="22.76"/>
    <n v="2139.44"/>
    <n v="2212.1"/>
    <n v="2212.1"/>
    <n v="2212.1"/>
    <n v="2212.1"/>
    <n v="2212.1"/>
    <x v="1"/>
    <x v="1"/>
    <x v="0"/>
    <n v="0"/>
    <x v="0"/>
  </r>
  <r>
    <x v="20"/>
    <x v="20"/>
    <n v="16"/>
    <x v="5"/>
    <s v="2ºC"/>
    <x v="0"/>
    <s v="Fertirrigação"/>
    <x v="17"/>
    <s v="1 - Própria"/>
    <n v="15.25"/>
    <n v="0"/>
    <n v="0"/>
    <n v="15.25"/>
    <n v="1433.5"/>
    <n v="0"/>
    <n v="0"/>
    <n v="1482.9"/>
    <x v="0"/>
    <x v="15"/>
    <x v="0"/>
    <x v="1"/>
    <x v="1"/>
    <n v="15.25"/>
    <n v="15.25"/>
    <n v="15.25"/>
    <n v="1433.5"/>
    <n v="1482.9"/>
    <n v="1482.9"/>
    <n v="1482.9"/>
    <n v="1482.9"/>
    <n v="1482.9"/>
    <x v="1"/>
    <x v="1"/>
    <x v="0"/>
    <n v="0"/>
    <x v="0"/>
  </r>
  <r>
    <x v="20"/>
    <x v="20"/>
    <n v="17"/>
    <x v="5"/>
    <s v="2ºC"/>
    <x v="0"/>
    <s v="Fertirrigação"/>
    <x v="17"/>
    <s v="1 - Própria"/>
    <n v="17.940000000000001"/>
    <n v="0"/>
    <n v="0"/>
    <n v="17.940000000000001"/>
    <n v="1686.36"/>
    <n v="0"/>
    <n v="0"/>
    <n v="1743.64"/>
    <x v="0"/>
    <x v="15"/>
    <x v="0"/>
    <x v="1"/>
    <x v="1"/>
    <n v="17.940000000000001"/>
    <n v="17.940000000000001"/>
    <n v="17.940000000000001"/>
    <n v="1686.36"/>
    <n v="1743.64"/>
    <n v="1743.64"/>
    <n v="1743.64"/>
    <n v="1743.64"/>
    <n v="1743.64"/>
    <x v="1"/>
    <x v="1"/>
    <x v="0"/>
    <n v="0"/>
    <x v="0"/>
  </r>
  <r>
    <x v="20"/>
    <x v="20"/>
    <n v="18"/>
    <x v="5"/>
    <s v="2ºC"/>
    <x v="0"/>
    <s v="Fertirrigação"/>
    <x v="17"/>
    <s v="1 - Própria"/>
    <n v="14.2"/>
    <n v="0"/>
    <n v="0"/>
    <n v="14.2"/>
    <n v="1334.8"/>
    <n v="0"/>
    <n v="0"/>
    <n v="1380.52"/>
    <x v="0"/>
    <x v="15"/>
    <x v="0"/>
    <x v="1"/>
    <x v="1"/>
    <n v="14.2"/>
    <n v="14.2"/>
    <n v="14.2"/>
    <n v="1334.8"/>
    <n v="1380.52"/>
    <n v="1380.52"/>
    <n v="1380.52"/>
    <n v="1380.52"/>
    <n v="1380.52"/>
    <x v="1"/>
    <x v="1"/>
    <x v="0"/>
    <n v="0"/>
    <x v="0"/>
  </r>
  <r>
    <x v="20"/>
    <x v="20"/>
    <n v="19"/>
    <x v="5"/>
    <s v="2ºC"/>
    <x v="0"/>
    <s v="Fertirrigação"/>
    <x v="17"/>
    <s v="1 - Própria"/>
    <n v="2.08"/>
    <n v="0"/>
    <n v="0"/>
    <n v="2.08"/>
    <n v="195.52"/>
    <n v="0"/>
    <n v="0"/>
    <n v="202.06"/>
    <x v="0"/>
    <x v="15"/>
    <x v="0"/>
    <x v="1"/>
    <x v="1"/>
    <n v="2.08"/>
    <n v="2.08"/>
    <n v="2.08"/>
    <n v="195.52"/>
    <n v="202.06"/>
    <n v="202.06"/>
    <n v="202.06"/>
    <n v="202.06"/>
    <n v="202.06"/>
    <x v="1"/>
    <x v="1"/>
    <x v="0"/>
    <n v="0"/>
    <x v="0"/>
  </r>
  <r>
    <x v="20"/>
    <x v="20"/>
    <n v="33"/>
    <x v="2"/>
    <s v="3ºC"/>
    <x v="0"/>
    <s v="Fertirrigação"/>
    <x v="3"/>
    <s v="1 - Própria"/>
    <n v="11.97"/>
    <n v="11.97"/>
    <n v="0"/>
    <n v="11.97"/>
    <n v="1077.3"/>
    <n v="1089.27"/>
    <n v="0"/>
    <n v="1119.29"/>
    <x v="0"/>
    <x v="37"/>
    <x v="0"/>
    <x v="0"/>
    <x v="1"/>
    <n v="11.97"/>
    <n v="11.97"/>
    <n v="11.97"/>
    <n v="1077.3"/>
    <n v="1089.27"/>
    <n v="1119.29"/>
    <n v="1119.29"/>
    <n v="1119.29"/>
    <n v="1119.29"/>
    <x v="1"/>
    <x v="1"/>
    <x v="0"/>
    <n v="0"/>
    <x v="0"/>
  </r>
  <r>
    <x v="20"/>
    <x v="20"/>
    <n v="34"/>
    <x v="2"/>
    <s v="3ºC"/>
    <x v="0"/>
    <s v="Fertirrigação"/>
    <x v="3"/>
    <s v="1 - Própria"/>
    <n v="36.090000000000003"/>
    <n v="36.090000000000003"/>
    <n v="0"/>
    <n v="36.090000000000003"/>
    <n v="3248.1"/>
    <n v="3284.19"/>
    <n v="0"/>
    <n v="3375.74"/>
    <x v="0"/>
    <x v="37"/>
    <x v="0"/>
    <x v="0"/>
    <x v="1"/>
    <n v="36.090000000000003"/>
    <n v="36.090000000000003"/>
    <n v="36.090000000000003"/>
    <n v="3248.1"/>
    <n v="3284.19"/>
    <n v="3375.74"/>
    <n v="3375.74"/>
    <n v="3375.74"/>
    <n v="3375.74"/>
    <x v="1"/>
    <x v="1"/>
    <x v="0"/>
    <n v="0"/>
    <x v="0"/>
  </r>
  <r>
    <x v="20"/>
    <x v="20"/>
    <n v="35"/>
    <x v="2"/>
    <s v="3ºC"/>
    <x v="0"/>
    <s v="Fertirrigação"/>
    <x v="3"/>
    <s v="1 - Própria"/>
    <n v="18.04"/>
    <n v="18.04"/>
    <n v="0"/>
    <n v="18.04"/>
    <n v="1623.6"/>
    <n v="1641.64"/>
    <n v="0"/>
    <n v="1687.78"/>
    <x v="0"/>
    <x v="37"/>
    <x v="0"/>
    <x v="0"/>
    <x v="1"/>
    <n v="18.04"/>
    <n v="18.04"/>
    <n v="18.04"/>
    <n v="1623.6"/>
    <n v="1641.64"/>
    <n v="1687.78"/>
    <n v="1687.78"/>
    <n v="1687.78"/>
    <n v="1687.78"/>
    <x v="1"/>
    <x v="1"/>
    <x v="0"/>
    <n v="0"/>
    <x v="0"/>
  </r>
  <r>
    <x v="20"/>
    <x v="20"/>
    <n v="36"/>
    <x v="2"/>
    <s v="3ºC"/>
    <x v="0"/>
    <s v="Fertirrigação"/>
    <x v="3"/>
    <s v="1 - Própria"/>
    <n v="24.19"/>
    <n v="24.19"/>
    <n v="0"/>
    <n v="24.19"/>
    <n v="2177.1"/>
    <n v="2201.29"/>
    <n v="0"/>
    <n v="2262.42"/>
    <x v="0"/>
    <x v="37"/>
    <x v="0"/>
    <x v="0"/>
    <x v="1"/>
    <n v="24.19"/>
    <n v="24.19"/>
    <n v="24.19"/>
    <n v="2177.1"/>
    <n v="2201.29"/>
    <n v="2262.42"/>
    <n v="2262.42"/>
    <n v="2262.42"/>
    <n v="2262.42"/>
    <x v="1"/>
    <x v="1"/>
    <x v="0"/>
    <n v="0"/>
    <x v="0"/>
  </r>
  <r>
    <x v="20"/>
    <x v="20"/>
    <n v="37"/>
    <x v="2"/>
    <s v="3ºC"/>
    <x v="0"/>
    <s v="Fertirrigação"/>
    <x v="3"/>
    <s v="1 - Própria"/>
    <n v="26.08"/>
    <n v="26.08"/>
    <n v="0"/>
    <n v="26.08"/>
    <n v="2086.4"/>
    <n v="2138.56"/>
    <n v="0"/>
    <n v="2198.67"/>
    <x v="0"/>
    <x v="37"/>
    <x v="0"/>
    <x v="0"/>
    <x v="1"/>
    <n v="26.08"/>
    <n v="26.08"/>
    <n v="26.08"/>
    <n v="2086.4"/>
    <n v="2138.56"/>
    <n v="2198.67"/>
    <n v="2198.67"/>
    <n v="2198.67"/>
    <n v="2198.67"/>
    <x v="1"/>
    <x v="1"/>
    <x v="0"/>
    <n v="0"/>
    <x v="0"/>
  </r>
  <r>
    <x v="20"/>
    <x v="20"/>
    <n v="38"/>
    <x v="2"/>
    <s v="3ºC"/>
    <x v="0"/>
    <s v="Fertirrigação"/>
    <x v="3"/>
    <s v="1 - Própria"/>
    <n v="11.22"/>
    <n v="11.22"/>
    <n v="0"/>
    <n v="11.22"/>
    <n v="897.6"/>
    <n v="920.04"/>
    <n v="0"/>
    <n v="945.57"/>
    <x v="0"/>
    <x v="37"/>
    <x v="0"/>
    <x v="0"/>
    <x v="1"/>
    <n v="11.22"/>
    <n v="11.22"/>
    <n v="11.22"/>
    <n v="897.6"/>
    <n v="920.04"/>
    <n v="945.57"/>
    <n v="945.57"/>
    <n v="945.57"/>
    <n v="945.57"/>
    <x v="1"/>
    <x v="1"/>
    <x v="0"/>
    <n v="0"/>
    <x v="0"/>
  </r>
  <r>
    <x v="20"/>
    <x v="20"/>
    <n v="39"/>
    <x v="2"/>
    <s v="3ºC"/>
    <x v="0"/>
    <s v="Fertirrigação"/>
    <x v="3"/>
    <s v="1 - Própria"/>
    <n v="10.36"/>
    <n v="10.36"/>
    <n v="0"/>
    <n v="10.36"/>
    <n v="828.8"/>
    <n v="849.52"/>
    <n v="0"/>
    <n v="778.9"/>
    <x v="0"/>
    <x v="37"/>
    <x v="0"/>
    <x v="0"/>
    <x v="1"/>
    <n v="10.36"/>
    <n v="10.36"/>
    <n v="10.36"/>
    <n v="828.8"/>
    <n v="849.52"/>
    <n v="778.9"/>
    <n v="778.9"/>
    <n v="778.9"/>
    <n v="778.9"/>
    <x v="1"/>
    <x v="1"/>
    <x v="0"/>
    <n v="0"/>
    <x v="0"/>
  </r>
  <r>
    <x v="20"/>
    <x v="20"/>
    <n v="40"/>
    <x v="2"/>
    <s v="3ºC"/>
    <x v="0"/>
    <s v="Fertirrigação"/>
    <x v="3"/>
    <s v="1 - Própria"/>
    <n v="21.56"/>
    <n v="21.56"/>
    <n v="0"/>
    <n v="21.56"/>
    <n v="1724.8"/>
    <n v="1767.92"/>
    <n v="0"/>
    <n v="1620.19"/>
    <x v="0"/>
    <x v="37"/>
    <x v="0"/>
    <x v="0"/>
    <x v="1"/>
    <n v="21.56"/>
    <n v="21.56"/>
    <n v="21.56"/>
    <n v="1724.8"/>
    <n v="1767.92"/>
    <n v="1620.19"/>
    <n v="1620.19"/>
    <n v="1620.19"/>
    <n v="1620.19"/>
    <x v="1"/>
    <x v="1"/>
    <x v="0"/>
    <n v="0"/>
    <x v="0"/>
  </r>
  <r>
    <x v="20"/>
    <x v="20"/>
    <n v="41"/>
    <x v="2"/>
    <s v="3ºC"/>
    <x v="0"/>
    <s v="Fertirrigação"/>
    <x v="3"/>
    <s v="1 - Própria"/>
    <n v="17.75"/>
    <n v="17.75"/>
    <n v="0"/>
    <n v="17.75"/>
    <n v="1597.5"/>
    <n v="1615.25"/>
    <n v="0"/>
    <n v="1451.01"/>
    <x v="0"/>
    <x v="37"/>
    <x v="0"/>
    <x v="0"/>
    <x v="1"/>
    <n v="17.75"/>
    <n v="17.75"/>
    <n v="17.75"/>
    <n v="1597.5"/>
    <n v="1615.25"/>
    <n v="1451.01"/>
    <n v="1451.01"/>
    <n v="1451.01"/>
    <n v="1451.01"/>
    <x v="1"/>
    <x v="1"/>
    <x v="0"/>
    <n v="0"/>
    <x v="0"/>
  </r>
  <r>
    <x v="20"/>
    <x v="20"/>
    <n v="42"/>
    <x v="2"/>
    <s v="3ºC"/>
    <x v="0"/>
    <s v="Fertirrigação"/>
    <x v="3"/>
    <s v="1 - Própria"/>
    <n v="8.25"/>
    <n v="8.25"/>
    <n v="0"/>
    <n v="8.25"/>
    <n v="742.5"/>
    <n v="750.75"/>
    <n v="0"/>
    <n v="674.68"/>
    <x v="0"/>
    <x v="37"/>
    <x v="0"/>
    <x v="0"/>
    <x v="1"/>
    <n v="8.25"/>
    <n v="8.25"/>
    <n v="8.25"/>
    <n v="742.5"/>
    <n v="750.75"/>
    <n v="674.68"/>
    <n v="674.68"/>
    <n v="674.68"/>
    <n v="674.68"/>
    <x v="1"/>
    <x v="1"/>
    <x v="0"/>
    <n v="0"/>
    <x v="0"/>
  </r>
  <r>
    <x v="20"/>
    <x v="20"/>
    <n v="43"/>
    <x v="2"/>
    <s v="3ºC"/>
    <x v="0"/>
    <s v="Fertirrigação"/>
    <x v="3"/>
    <s v="1 - Própria"/>
    <n v="26.07"/>
    <n v="26.07"/>
    <n v="0"/>
    <n v="26.07"/>
    <n v="2346.3000000000002"/>
    <n v="2372.37"/>
    <n v="0"/>
    <n v="2131.21"/>
    <x v="0"/>
    <x v="37"/>
    <x v="0"/>
    <x v="0"/>
    <x v="1"/>
    <n v="26.07"/>
    <n v="26.07"/>
    <n v="26.07"/>
    <n v="2346.3000000000002"/>
    <n v="2372.37"/>
    <n v="2131.21"/>
    <n v="2131.21"/>
    <n v="2131.21"/>
    <n v="2131.21"/>
    <x v="1"/>
    <x v="1"/>
    <x v="0"/>
    <n v="0"/>
    <x v="0"/>
  </r>
  <r>
    <x v="20"/>
    <x v="20"/>
    <n v="44"/>
    <x v="2"/>
    <s v="3ºC"/>
    <x v="0"/>
    <s v="Fertirrigação"/>
    <x v="3"/>
    <s v="1 - Própria"/>
    <n v="33.119999999999997"/>
    <n v="33.119999999999997"/>
    <n v="0"/>
    <n v="33.119999999999997"/>
    <n v="2980.8"/>
    <n v="3013.92"/>
    <n v="0"/>
    <n v="2708.49"/>
    <x v="0"/>
    <x v="37"/>
    <x v="0"/>
    <x v="0"/>
    <x v="1"/>
    <n v="33.119999999999997"/>
    <n v="33.119999999999997"/>
    <n v="33.119999999999997"/>
    <n v="2980.8"/>
    <n v="3013.92"/>
    <n v="2708.49"/>
    <n v="2708.49"/>
    <n v="2708.49"/>
    <n v="2708.49"/>
    <x v="0"/>
    <x v="1"/>
    <x v="0"/>
    <n v="0"/>
    <x v="0"/>
  </r>
  <r>
    <x v="20"/>
    <x v="20"/>
    <n v="45"/>
    <x v="2"/>
    <s v="3ºC"/>
    <x v="0"/>
    <s v="Fertirrigação"/>
    <x v="3"/>
    <s v="1 - Própria"/>
    <n v="27.2"/>
    <n v="27.2"/>
    <n v="0"/>
    <n v="27.2"/>
    <n v="2448"/>
    <n v="2475.1999999999998"/>
    <n v="0"/>
    <n v="2268.11"/>
    <x v="0"/>
    <x v="37"/>
    <x v="0"/>
    <x v="0"/>
    <x v="1"/>
    <n v="27.2"/>
    <n v="27.2"/>
    <n v="27.2"/>
    <n v="2448"/>
    <n v="2475.1999999999998"/>
    <n v="2268.11"/>
    <n v="2268.11"/>
    <n v="2268.11"/>
    <n v="2268.11"/>
    <x v="1"/>
    <x v="1"/>
    <x v="0"/>
    <n v="0"/>
    <x v="0"/>
  </r>
  <r>
    <x v="20"/>
    <x v="20"/>
    <n v="46"/>
    <x v="2"/>
    <s v="3ºC"/>
    <x v="0"/>
    <s v="Fertirrigação"/>
    <x v="3"/>
    <s v="1 - Própria"/>
    <n v="10.38"/>
    <n v="10.38"/>
    <n v="0"/>
    <n v="10.38"/>
    <n v="934.2"/>
    <n v="944.58"/>
    <n v="0"/>
    <n v="866.28"/>
    <x v="0"/>
    <x v="37"/>
    <x v="0"/>
    <x v="0"/>
    <x v="1"/>
    <n v="10.38"/>
    <n v="10.38"/>
    <n v="10.38"/>
    <n v="934.2"/>
    <n v="944.58"/>
    <n v="866.28"/>
    <n v="866.28"/>
    <n v="866.28"/>
    <n v="866.28"/>
    <x v="1"/>
    <x v="1"/>
    <x v="0"/>
    <n v="0"/>
    <x v="0"/>
  </r>
  <r>
    <x v="20"/>
    <x v="20"/>
    <n v="47"/>
    <x v="2"/>
    <s v="3ºC"/>
    <x v="0"/>
    <s v="Fertirrigação"/>
    <x v="3"/>
    <s v="1 - Própria"/>
    <n v="19.7"/>
    <n v="19.7"/>
    <n v="0"/>
    <n v="19.7"/>
    <n v="1773"/>
    <n v="1792.7"/>
    <n v="0"/>
    <n v="1767.23"/>
    <x v="0"/>
    <x v="37"/>
    <x v="0"/>
    <x v="0"/>
    <x v="1"/>
    <n v="19.7"/>
    <n v="19.7"/>
    <n v="19.7"/>
    <n v="1773"/>
    <n v="1792.7"/>
    <n v="1767.23"/>
    <n v="1767.23"/>
    <n v="1767.23"/>
    <n v="1767.23"/>
    <x v="1"/>
    <x v="1"/>
    <x v="0"/>
    <n v="0"/>
    <x v="0"/>
  </r>
  <r>
    <x v="20"/>
    <x v="20"/>
    <n v="48"/>
    <x v="2"/>
    <s v="3ºC"/>
    <x v="0"/>
    <s v="Fertirrigação"/>
    <x v="3"/>
    <s v="1 - Própria"/>
    <n v="30.75"/>
    <n v="30.75"/>
    <n v="0"/>
    <n v="30.75"/>
    <n v="2767.5"/>
    <n v="2798.25"/>
    <n v="0"/>
    <n v="2471.35"/>
    <x v="0"/>
    <x v="37"/>
    <x v="0"/>
    <x v="0"/>
    <x v="1"/>
    <n v="30.75"/>
    <n v="30.75"/>
    <n v="30.75"/>
    <n v="2767.5"/>
    <n v="2798.25"/>
    <n v="2471.35"/>
    <n v="2471.35"/>
    <n v="2471.35"/>
    <n v="2471.35"/>
    <x v="1"/>
    <x v="1"/>
    <x v="0"/>
    <n v="0"/>
    <x v="0"/>
  </r>
  <r>
    <x v="20"/>
    <x v="20"/>
    <n v="49"/>
    <x v="4"/>
    <s v="4ºC"/>
    <x v="0"/>
    <s v="Fertirrigação"/>
    <x v="9"/>
    <s v="1 - Própria"/>
    <n v="0.19"/>
    <n v="0.19"/>
    <n v="0"/>
    <n v="0.19"/>
    <n v="17.100000000000001"/>
    <n v="17.29"/>
    <n v="0"/>
    <n v="17.309999999999999"/>
    <x v="0"/>
    <x v="37"/>
    <x v="0"/>
    <x v="0"/>
    <x v="1"/>
    <n v="0.19"/>
    <n v="0.19"/>
    <n v="0.19"/>
    <n v="17.100000000000001"/>
    <n v="17.29"/>
    <n v="17.309999999999999"/>
    <n v="17.309999999999999"/>
    <n v="17.309999999999999"/>
    <n v="17.309999999999999"/>
    <x v="1"/>
    <x v="1"/>
    <x v="0"/>
    <n v="0"/>
    <x v="0"/>
  </r>
  <r>
    <x v="20"/>
    <x v="20"/>
    <n v="50"/>
    <x v="4"/>
    <s v="4ºC"/>
    <x v="0"/>
    <s v="Fertirrigação"/>
    <x v="9"/>
    <s v="1 - Própria"/>
    <n v="0.68"/>
    <n v="0.68"/>
    <n v="0"/>
    <n v="0.68"/>
    <n v="61.2"/>
    <n v="61.88"/>
    <n v="0"/>
    <n v="64.95"/>
    <x v="0"/>
    <x v="37"/>
    <x v="0"/>
    <x v="0"/>
    <x v="1"/>
    <n v="0.68"/>
    <n v="0.68"/>
    <n v="0.68"/>
    <n v="61.2"/>
    <n v="61.88"/>
    <n v="64.95"/>
    <n v="64.95"/>
    <n v="64.95"/>
    <n v="64.95"/>
    <x v="1"/>
    <x v="1"/>
    <x v="0"/>
    <n v="0"/>
    <x v="0"/>
  </r>
  <r>
    <x v="20"/>
    <x v="20"/>
    <n v="116"/>
    <x v="0"/>
    <s v="6ºC"/>
    <x v="0"/>
    <s v="Fertirrigação"/>
    <x v="8"/>
    <s v="1 - Própria"/>
    <n v="3.33"/>
    <n v="3.33"/>
    <n v="3.33"/>
    <n v="3.33"/>
    <n v="133.19999999999999"/>
    <n v="153.18"/>
    <n v="156.51"/>
    <n v="228.18"/>
    <x v="0"/>
    <x v="20"/>
    <x v="0"/>
    <x v="0"/>
    <x v="0"/>
    <n v="3.33"/>
    <n v="3.33"/>
    <n v="3.33"/>
    <n v="133.19999999999999"/>
    <n v="153.18"/>
    <n v="156.51"/>
    <n v="228.18"/>
    <n v="228.18"/>
    <n v="228.18"/>
    <x v="1"/>
    <x v="1"/>
    <x v="0"/>
    <n v="0"/>
    <x v="0"/>
  </r>
  <r>
    <x v="21"/>
    <x v="21"/>
    <n v="1"/>
    <x v="2"/>
    <s v="3ºC"/>
    <x v="0"/>
    <s v="Fertirrigação"/>
    <x v="6"/>
    <s v="3 - Parceria"/>
    <n v="26.53"/>
    <n v="26.53"/>
    <n v="26.53"/>
    <n v="26.53"/>
    <n v="2653"/>
    <n v="2653"/>
    <n v="2653"/>
    <n v="2522.64"/>
    <x v="0"/>
    <x v="1"/>
    <x v="0"/>
    <x v="0"/>
    <x v="0"/>
    <n v="26.53"/>
    <n v="26.53"/>
    <n v="26.53"/>
    <n v="2653"/>
    <n v="2653"/>
    <n v="2653"/>
    <n v="2522.64"/>
    <n v="2522.64"/>
    <n v="2522.64"/>
    <x v="1"/>
    <x v="1"/>
    <x v="0"/>
    <n v="0"/>
    <x v="0"/>
  </r>
  <r>
    <x v="21"/>
    <x v="21"/>
    <n v="2"/>
    <x v="2"/>
    <s v="3ºC"/>
    <x v="0"/>
    <s v="Fertirrigação"/>
    <x v="6"/>
    <s v="3 - Parceria"/>
    <n v="23.5"/>
    <n v="23.5"/>
    <n v="23.5"/>
    <n v="23.5"/>
    <n v="2068"/>
    <n v="2162"/>
    <n v="2162"/>
    <n v="2055.7399999999998"/>
    <x v="0"/>
    <x v="1"/>
    <x v="0"/>
    <x v="0"/>
    <x v="0"/>
    <n v="23.5"/>
    <n v="23.5"/>
    <n v="23.5"/>
    <n v="2068"/>
    <n v="2162"/>
    <n v="2162"/>
    <n v="2055.7399999999998"/>
    <n v="2055.7399999999998"/>
    <n v="2055.7399999999998"/>
    <x v="1"/>
    <x v="1"/>
    <x v="0"/>
    <n v="0"/>
    <x v="0"/>
  </r>
  <r>
    <x v="21"/>
    <x v="21"/>
    <n v="3"/>
    <x v="2"/>
    <s v="3ºC"/>
    <x v="0"/>
    <s v="Fertirrigação"/>
    <x v="6"/>
    <s v="3 - Parceria"/>
    <n v="10.25"/>
    <n v="10.25"/>
    <n v="10.25"/>
    <n v="10.25"/>
    <n v="902"/>
    <n v="943"/>
    <n v="943"/>
    <n v="896.61"/>
    <x v="0"/>
    <x v="1"/>
    <x v="0"/>
    <x v="0"/>
    <x v="0"/>
    <n v="10.25"/>
    <n v="10.25"/>
    <n v="10.25"/>
    <n v="902"/>
    <n v="943"/>
    <n v="943"/>
    <n v="896.61"/>
    <n v="896.61"/>
    <n v="896.61"/>
    <x v="1"/>
    <x v="1"/>
    <x v="0"/>
    <n v="0"/>
    <x v="0"/>
  </r>
  <r>
    <x v="21"/>
    <x v="21"/>
    <n v="4"/>
    <x v="2"/>
    <s v="3ºC"/>
    <x v="0"/>
    <s v="Fertirrigação"/>
    <x v="6"/>
    <s v="3 - Parceria"/>
    <n v="3.11"/>
    <n v="3.11"/>
    <n v="3.11"/>
    <n v="3.11"/>
    <n v="279.89999999999998"/>
    <n v="292.33999999999997"/>
    <n v="292.33999999999997"/>
    <n v="277.94"/>
    <x v="0"/>
    <x v="1"/>
    <x v="0"/>
    <x v="0"/>
    <x v="0"/>
    <n v="3.11"/>
    <n v="3.11"/>
    <n v="3.11"/>
    <n v="279.89999999999998"/>
    <n v="292.33999999999997"/>
    <n v="292.33999999999997"/>
    <n v="277.94"/>
    <n v="277.94"/>
    <n v="277.94"/>
    <x v="1"/>
    <x v="1"/>
    <x v="0"/>
    <n v="0"/>
    <x v="0"/>
  </r>
  <r>
    <x v="21"/>
    <x v="21"/>
    <n v="5"/>
    <x v="2"/>
    <s v="3ºC"/>
    <x v="0"/>
    <s v="Fertirrigação"/>
    <x v="6"/>
    <s v="3 - Parceria"/>
    <n v="9.9"/>
    <n v="9.9"/>
    <n v="9.9"/>
    <n v="0"/>
    <n v="792"/>
    <n v="851.4"/>
    <n v="792"/>
    <n v="0"/>
    <x v="0"/>
    <x v="38"/>
    <x v="1"/>
    <x v="0"/>
    <x v="0"/>
    <n v="9.9"/>
    <n v="9.9"/>
    <n v="9.9"/>
    <n v="792"/>
    <n v="851.4"/>
    <n v="792"/>
    <n v="792"/>
    <n v="851.4"/>
    <n v="792"/>
    <x v="1"/>
    <x v="1"/>
    <x v="0"/>
    <n v="0"/>
    <x v="0"/>
  </r>
  <r>
    <x v="21"/>
    <x v="21"/>
    <n v="6"/>
    <x v="2"/>
    <s v="3ºC"/>
    <x v="0"/>
    <s v="Fertirrigação"/>
    <x v="6"/>
    <s v="3 - Parceria"/>
    <n v="14.83"/>
    <n v="14.83"/>
    <n v="14.83"/>
    <n v="14.83"/>
    <n v="1186.4000000000001"/>
    <n v="1275.3800000000001"/>
    <n v="1186.4000000000001"/>
    <n v="267.64"/>
    <x v="0"/>
    <x v="21"/>
    <x v="0"/>
    <x v="0"/>
    <x v="0"/>
    <n v="14.83"/>
    <n v="14.83"/>
    <n v="14.83"/>
    <n v="1186.4000000000001"/>
    <n v="1275.3800000000001"/>
    <n v="1186.4000000000001"/>
    <n v="267.64"/>
    <n v="267.64"/>
    <n v="267.64"/>
    <x v="1"/>
    <x v="1"/>
    <x v="0"/>
    <n v="0"/>
    <x v="0"/>
  </r>
  <r>
    <x v="21"/>
    <x v="21"/>
    <n v="7"/>
    <x v="2"/>
    <s v="3ºC"/>
    <x v="0"/>
    <s v="Fertirrigação"/>
    <x v="6"/>
    <s v="3 - Parceria"/>
    <n v="5.0599999999999996"/>
    <n v="5.0599999999999996"/>
    <n v="5.0599999999999996"/>
    <n v="5.0599999999999996"/>
    <n v="399.74"/>
    <n v="409.86"/>
    <n v="404.8"/>
    <n v="353.36"/>
    <x v="0"/>
    <x v="21"/>
    <x v="0"/>
    <x v="0"/>
    <x v="0"/>
    <n v="5.0599999999999996"/>
    <n v="5.0599999999999996"/>
    <n v="5.0599999999999996"/>
    <n v="399.74"/>
    <n v="409.86"/>
    <n v="404.8"/>
    <n v="353.36"/>
    <n v="353.36"/>
    <n v="353.36"/>
    <x v="1"/>
    <x v="1"/>
    <x v="0"/>
    <n v="0"/>
    <x v="0"/>
  </r>
  <r>
    <x v="21"/>
    <x v="21"/>
    <n v="8"/>
    <x v="2"/>
    <s v="3ºC"/>
    <x v="0"/>
    <s v="Fertirrigação"/>
    <x v="6"/>
    <s v="3 - Parceria"/>
    <n v="29.42"/>
    <n v="29.42"/>
    <n v="29.42"/>
    <n v="29.42"/>
    <n v="2324.1799999999998"/>
    <n v="2383.02"/>
    <n v="2353.6"/>
    <n v="2065.37"/>
    <x v="0"/>
    <x v="21"/>
    <x v="0"/>
    <x v="0"/>
    <x v="0"/>
    <n v="29.42"/>
    <n v="29.42"/>
    <n v="29.42"/>
    <n v="2324.1799999999998"/>
    <n v="2383.02"/>
    <n v="2353.6"/>
    <n v="2065.37"/>
    <n v="2065.37"/>
    <n v="2065.37"/>
    <x v="1"/>
    <x v="1"/>
    <x v="0"/>
    <n v="0"/>
    <x v="0"/>
  </r>
  <r>
    <x v="21"/>
    <x v="21"/>
    <n v="9"/>
    <x v="2"/>
    <s v="3ºC"/>
    <x v="0"/>
    <s v="Fertirrigação"/>
    <x v="6"/>
    <s v="3 - Parceria"/>
    <n v="11.66"/>
    <n v="11.66"/>
    <n v="11.66"/>
    <n v="11.66"/>
    <n v="979.44"/>
    <n v="1026.08"/>
    <n v="932.8"/>
    <n v="782.56"/>
    <x v="0"/>
    <x v="21"/>
    <x v="0"/>
    <x v="0"/>
    <x v="0"/>
    <n v="11.66"/>
    <n v="11.66"/>
    <n v="11.66"/>
    <n v="979.44"/>
    <n v="1026.08"/>
    <n v="932.8"/>
    <n v="782.56"/>
    <n v="782.56"/>
    <n v="782.56"/>
    <x v="1"/>
    <x v="1"/>
    <x v="0"/>
    <n v="0"/>
    <x v="0"/>
  </r>
  <r>
    <x v="21"/>
    <x v="21"/>
    <n v="10"/>
    <x v="2"/>
    <s v="3ºC"/>
    <x v="0"/>
    <s v="Fertirrigação"/>
    <x v="6"/>
    <s v="3 - Parceria"/>
    <n v="19.66"/>
    <n v="19.66"/>
    <n v="19.66"/>
    <n v="19.66"/>
    <n v="1651.44"/>
    <n v="1730.08"/>
    <n v="1730.08"/>
    <n v="1556.96"/>
    <x v="0"/>
    <x v="21"/>
    <x v="0"/>
    <x v="0"/>
    <x v="0"/>
    <n v="19.66"/>
    <n v="19.66"/>
    <n v="19.66"/>
    <n v="1651.44"/>
    <n v="1730.08"/>
    <n v="1730.08"/>
    <n v="1556.96"/>
    <n v="1556.96"/>
    <n v="1556.96"/>
    <x v="1"/>
    <x v="1"/>
    <x v="0"/>
    <n v="0"/>
    <x v="0"/>
  </r>
  <r>
    <x v="22"/>
    <x v="22"/>
    <n v="7"/>
    <x v="5"/>
    <s v="2ºC"/>
    <x v="0"/>
    <s v="Fertirrigação"/>
    <x v="14"/>
    <s v="3 - Parceria"/>
    <n v="16.61"/>
    <n v="0"/>
    <n v="0"/>
    <n v="16.61"/>
    <n v="1494.9"/>
    <n v="0"/>
    <n v="0"/>
    <n v="1492.78"/>
    <x v="0"/>
    <x v="24"/>
    <x v="0"/>
    <x v="1"/>
    <x v="1"/>
    <n v="16.61"/>
    <n v="16.61"/>
    <n v="16.61"/>
    <n v="1494.9"/>
    <n v="1492.78"/>
    <n v="1492.78"/>
    <n v="1492.78"/>
    <n v="1492.78"/>
    <n v="1492.78"/>
    <x v="1"/>
    <x v="1"/>
    <x v="0"/>
    <n v="0"/>
    <x v="0"/>
  </r>
  <r>
    <x v="22"/>
    <x v="22"/>
    <n v="8"/>
    <x v="5"/>
    <s v="2ºC"/>
    <x v="0"/>
    <s v="Fertirrigação"/>
    <x v="14"/>
    <s v="3 - Parceria"/>
    <n v="5.35"/>
    <n v="0"/>
    <n v="0"/>
    <n v="5.35"/>
    <n v="481.5"/>
    <n v="0"/>
    <n v="0"/>
    <n v="481.26"/>
    <x v="0"/>
    <x v="24"/>
    <x v="0"/>
    <x v="1"/>
    <x v="1"/>
    <n v="5.35"/>
    <n v="5.35"/>
    <n v="5.35"/>
    <n v="481.5"/>
    <n v="481.26"/>
    <n v="481.26"/>
    <n v="481.26"/>
    <n v="481.26"/>
    <n v="481.26"/>
    <x v="1"/>
    <x v="1"/>
    <x v="0"/>
    <n v="0"/>
    <x v="0"/>
  </r>
  <r>
    <x v="22"/>
    <x v="22"/>
    <n v="9"/>
    <x v="5"/>
    <s v="2ºC"/>
    <x v="0"/>
    <s v="Fertirrigação"/>
    <x v="14"/>
    <s v="3 - Parceria"/>
    <n v="1.4"/>
    <n v="0"/>
    <n v="0"/>
    <n v="1.4"/>
    <n v="126"/>
    <n v="0"/>
    <n v="0"/>
    <n v="125.77"/>
    <x v="0"/>
    <x v="24"/>
    <x v="0"/>
    <x v="1"/>
    <x v="1"/>
    <n v="1.4"/>
    <n v="1.4"/>
    <n v="1.4"/>
    <n v="126"/>
    <n v="125.77"/>
    <n v="125.77"/>
    <n v="125.77"/>
    <n v="125.77"/>
    <n v="125.77"/>
    <x v="1"/>
    <x v="1"/>
    <x v="0"/>
    <n v="0"/>
    <x v="0"/>
  </r>
  <r>
    <x v="22"/>
    <x v="22"/>
    <n v="10"/>
    <x v="5"/>
    <s v="2ºC"/>
    <x v="0"/>
    <s v="Fertirrigação"/>
    <x v="14"/>
    <s v="3 - Parceria"/>
    <n v="5.15"/>
    <n v="0"/>
    <n v="0"/>
    <n v="5.15"/>
    <n v="463.5"/>
    <n v="0"/>
    <n v="0"/>
    <n v="463.45"/>
    <x v="0"/>
    <x v="24"/>
    <x v="0"/>
    <x v="1"/>
    <x v="1"/>
    <n v="5.15"/>
    <n v="5.15"/>
    <n v="5.15"/>
    <n v="463.5"/>
    <n v="463.45"/>
    <n v="463.45"/>
    <n v="463.45"/>
    <n v="463.45"/>
    <n v="463.45"/>
    <x v="1"/>
    <x v="1"/>
    <x v="0"/>
    <n v="0"/>
    <x v="0"/>
  </r>
  <r>
    <x v="22"/>
    <x v="22"/>
    <n v="11"/>
    <x v="5"/>
    <s v="2ºC"/>
    <x v="0"/>
    <s v="Fertirrigação"/>
    <x v="14"/>
    <s v="3 - Parceria"/>
    <n v="3.68"/>
    <n v="0"/>
    <n v="0"/>
    <n v="3.68"/>
    <n v="294.39999999999998"/>
    <n v="0"/>
    <n v="0"/>
    <n v="376.95"/>
    <x v="0"/>
    <x v="25"/>
    <x v="0"/>
    <x v="1"/>
    <x v="1"/>
    <n v="3.68"/>
    <n v="3.68"/>
    <n v="3.68"/>
    <n v="294.39999999999998"/>
    <n v="376.95"/>
    <n v="376.95"/>
    <n v="376.95"/>
    <n v="376.95"/>
    <n v="376.95"/>
    <x v="1"/>
    <x v="1"/>
    <x v="0"/>
    <n v="0"/>
    <x v="0"/>
  </r>
  <r>
    <x v="22"/>
    <x v="22"/>
    <n v="12"/>
    <x v="5"/>
    <s v="2ºC"/>
    <x v="0"/>
    <s v="Fertirrigação"/>
    <x v="25"/>
    <s v="3 - Parceria"/>
    <n v="25.24"/>
    <n v="0"/>
    <n v="0"/>
    <n v="25.24"/>
    <n v="1867.76"/>
    <n v="0"/>
    <n v="0"/>
    <n v="2395.2800000000002"/>
    <x v="0"/>
    <x v="25"/>
    <x v="0"/>
    <x v="1"/>
    <x v="1"/>
    <n v="25.24"/>
    <n v="25.24"/>
    <n v="25.24"/>
    <n v="1867.76"/>
    <n v="2395.2800000000002"/>
    <n v="2395.2800000000002"/>
    <n v="2395.2800000000002"/>
    <n v="2395.2800000000002"/>
    <n v="2395.2800000000002"/>
    <x v="1"/>
    <x v="1"/>
    <x v="0"/>
    <n v="0"/>
    <x v="0"/>
  </r>
  <r>
    <x v="22"/>
    <x v="22"/>
    <n v="13"/>
    <x v="5"/>
    <s v="2ºC"/>
    <x v="0"/>
    <s v="Fertirrigação"/>
    <x v="25"/>
    <s v="3 - Parceria"/>
    <n v="1.84"/>
    <n v="0"/>
    <n v="0"/>
    <n v="1.84"/>
    <n v="136.16"/>
    <n v="0"/>
    <n v="0"/>
    <n v="174.48"/>
    <x v="0"/>
    <x v="25"/>
    <x v="0"/>
    <x v="1"/>
    <x v="1"/>
    <n v="1.84"/>
    <n v="1.84"/>
    <n v="1.84"/>
    <n v="136.16"/>
    <n v="174.48"/>
    <n v="174.48"/>
    <n v="174.48"/>
    <n v="174.48"/>
    <n v="174.48"/>
    <x v="1"/>
    <x v="1"/>
    <x v="0"/>
    <n v="0"/>
    <x v="0"/>
  </r>
  <r>
    <x v="23"/>
    <x v="23"/>
    <n v="7"/>
    <x v="4"/>
    <s v="4ºC"/>
    <x v="0"/>
    <s v="Fertirrigação"/>
    <x v="14"/>
    <s v="3 - Parceria"/>
    <n v="19.79"/>
    <n v="0"/>
    <n v="0"/>
    <n v="19.79"/>
    <n v="1424.88"/>
    <n v="0"/>
    <n v="0"/>
    <n v="1294.25"/>
    <x v="0"/>
    <x v="9"/>
    <x v="0"/>
    <x v="1"/>
    <x v="1"/>
    <n v="19.79"/>
    <n v="19.79"/>
    <n v="19.79"/>
    <n v="1424.88"/>
    <n v="1294.25"/>
    <n v="1294.25"/>
    <n v="1294.25"/>
    <n v="1294.25"/>
    <n v="1294.25"/>
    <x v="1"/>
    <x v="1"/>
    <x v="0"/>
    <n v="0"/>
    <x v="0"/>
  </r>
  <r>
    <x v="23"/>
    <x v="23"/>
    <n v="8"/>
    <x v="4"/>
    <s v="4ºC"/>
    <x v="0"/>
    <s v="Fertirrigação"/>
    <x v="14"/>
    <s v="3 - Parceria"/>
    <n v="25.45"/>
    <n v="0"/>
    <n v="0"/>
    <n v="25.45"/>
    <n v="1832.4"/>
    <n v="0"/>
    <n v="0"/>
    <n v="2123.65"/>
    <x v="0"/>
    <x v="9"/>
    <x v="0"/>
    <x v="1"/>
    <x v="1"/>
    <n v="25.45"/>
    <n v="25.45"/>
    <n v="25.45"/>
    <n v="1832.4"/>
    <n v="2123.65"/>
    <n v="2123.65"/>
    <n v="2123.65"/>
    <n v="2123.65"/>
    <n v="2123.65"/>
    <x v="1"/>
    <x v="1"/>
    <x v="0"/>
    <n v="0"/>
    <x v="0"/>
  </r>
  <r>
    <x v="23"/>
    <x v="23"/>
    <n v="9"/>
    <x v="4"/>
    <s v="4ºC"/>
    <x v="0"/>
    <s v="Fertirrigação"/>
    <x v="14"/>
    <s v="3 - Parceria"/>
    <n v="13.31"/>
    <n v="0"/>
    <n v="0"/>
    <n v="13.31"/>
    <n v="958.32"/>
    <n v="0"/>
    <n v="0"/>
    <n v="1110.48"/>
    <x v="0"/>
    <x v="9"/>
    <x v="0"/>
    <x v="1"/>
    <x v="1"/>
    <n v="13.31"/>
    <n v="13.31"/>
    <n v="13.31"/>
    <n v="958.32"/>
    <n v="1110.48"/>
    <n v="1110.48"/>
    <n v="1110.48"/>
    <n v="1110.48"/>
    <n v="1110.48"/>
    <x v="1"/>
    <x v="1"/>
    <x v="0"/>
    <n v="0"/>
    <x v="0"/>
  </r>
  <r>
    <x v="23"/>
    <x v="23"/>
    <n v="10"/>
    <x v="4"/>
    <s v="4ºC"/>
    <x v="0"/>
    <s v="Fertirrigação"/>
    <x v="14"/>
    <s v="3 - Parceria"/>
    <n v="12.55"/>
    <n v="0"/>
    <n v="0"/>
    <n v="12.55"/>
    <n v="903.6"/>
    <n v="0"/>
    <n v="0"/>
    <n v="1047.8800000000001"/>
    <x v="0"/>
    <x v="9"/>
    <x v="0"/>
    <x v="1"/>
    <x v="1"/>
    <n v="12.55"/>
    <n v="12.55"/>
    <n v="12.55"/>
    <n v="903.6"/>
    <n v="1047.8800000000001"/>
    <n v="1047.8800000000001"/>
    <n v="1047.8800000000001"/>
    <n v="1047.8800000000001"/>
    <n v="1047.8800000000001"/>
    <x v="1"/>
    <x v="1"/>
    <x v="0"/>
    <n v="0"/>
    <x v="0"/>
  </r>
  <r>
    <x v="23"/>
    <x v="23"/>
    <n v="11"/>
    <x v="4"/>
    <s v="4ºC"/>
    <x v="0"/>
    <s v="Fertirrigação"/>
    <x v="14"/>
    <s v="3 - Parceria"/>
    <n v="6.94"/>
    <n v="0"/>
    <n v="0"/>
    <n v="6.94"/>
    <n v="499.68"/>
    <n v="0"/>
    <n v="0"/>
    <n v="579.86"/>
    <x v="0"/>
    <x v="9"/>
    <x v="0"/>
    <x v="1"/>
    <x v="1"/>
    <n v="6.94"/>
    <n v="6.94"/>
    <n v="6.94"/>
    <n v="499.68"/>
    <n v="579.86"/>
    <n v="579.86"/>
    <n v="579.86"/>
    <n v="579.86"/>
    <n v="579.86"/>
    <x v="1"/>
    <x v="1"/>
    <x v="0"/>
    <n v="0"/>
    <x v="0"/>
  </r>
  <r>
    <x v="23"/>
    <x v="23"/>
    <n v="44"/>
    <x v="3"/>
    <s v="INV"/>
    <x v="0"/>
    <s v="Fertirrigação"/>
    <x v="13"/>
    <s v="3 - Parceria"/>
    <n v="18.41"/>
    <n v="18.41"/>
    <n v="0"/>
    <n v="18.41"/>
    <n v="1601.67"/>
    <n v="1601.67"/>
    <n v="0"/>
    <n v="1492.75"/>
    <x v="0"/>
    <x v="31"/>
    <x v="0"/>
    <x v="0"/>
    <x v="1"/>
    <n v="18.41"/>
    <n v="18.41"/>
    <n v="18.41"/>
    <n v="1601.67"/>
    <n v="1601.67"/>
    <n v="1492.75"/>
    <n v="1492.75"/>
    <n v="1492.75"/>
    <n v="1492.75"/>
    <x v="1"/>
    <x v="1"/>
    <x v="0"/>
    <n v="0"/>
    <x v="0"/>
  </r>
  <r>
    <x v="23"/>
    <x v="23"/>
    <n v="45"/>
    <x v="3"/>
    <s v="INV"/>
    <x v="0"/>
    <s v="Fertirrigação"/>
    <x v="13"/>
    <s v="3 - Parceria"/>
    <n v="20.86"/>
    <n v="20.86"/>
    <n v="0"/>
    <n v="20.86"/>
    <n v="1939.98"/>
    <n v="1939.98"/>
    <n v="0"/>
    <n v="1807.71"/>
    <x v="0"/>
    <x v="31"/>
    <x v="0"/>
    <x v="0"/>
    <x v="1"/>
    <n v="20.86"/>
    <n v="20.86"/>
    <n v="20.86"/>
    <n v="1939.98"/>
    <n v="1939.98"/>
    <n v="1807.71"/>
    <n v="1807.71"/>
    <n v="1807.71"/>
    <n v="1807.71"/>
    <x v="1"/>
    <x v="1"/>
    <x v="0"/>
    <n v="0"/>
    <x v="0"/>
  </r>
  <r>
    <x v="23"/>
    <x v="23"/>
    <n v="46"/>
    <x v="3"/>
    <s v="INV"/>
    <x v="0"/>
    <s v="Fertirrigação"/>
    <x v="13"/>
    <s v="3 - Parceria"/>
    <n v="13.78"/>
    <n v="13.78"/>
    <n v="0"/>
    <n v="13.78"/>
    <n v="1212.6400000000001"/>
    <n v="1212.6400000000001"/>
    <n v="0"/>
    <n v="1130.47"/>
    <x v="0"/>
    <x v="31"/>
    <x v="0"/>
    <x v="0"/>
    <x v="1"/>
    <n v="13.78"/>
    <n v="13.78"/>
    <n v="13.78"/>
    <n v="1212.6400000000001"/>
    <n v="1212.6400000000001"/>
    <n v="1130.47"/>
    <n v="1130.47"/>
    <n v="1130.47"/>
    <n v="1130.47"/>
    <x v="1"/>
    <x v="1"/>
    <x v="0"/>
    <n v="0"/>
    <x v="0"/>
  </r>
  <r>
    <x v="24"/>
    <x v="24"/>
    <n v="1"/>
    <x v="4"/>
    <s v="4ºC"/>
    <x v="0"/>
    <s v="Fertirrigação"/>
    <x v="6"/>
    <s v="3 - Parceria"/>
    <n v="5.49"/>
    <n v="5.49"/>
    <n v="5.49"/>
    <n v="5.49"/>
    <n v="258.02999999999997"/>
    <n v="274.5"/>
    <n v="301.95"/>
    <n v="253.74"/>
    <x v="0"/>
    <x v="32"/>
    <x v="0"/>
    <x v="0"/>
    <x v="0"/>
    <n v="5.49"/>
    <n v="5.49"/>
    <n v="5.49"/>
    <n v="258.02999999999997"/>
    <n v="274.5"/>
    <n v="301.95"/>
    <n v="253.74"/>
    <n v="253.74"/>
    <n v="253.74"/>
    <x v="1"/>
    <x v="2"/>
    <x v="5"/>
    <n v="142.74"/>
    <x v="1"/>
  </r>
  <r>
    <x v="24"/>
    <x v="24"/>
    <n v="2"/>
    <x v="4"/>
    <s v="4ºC"/>
    <x v="0"/>
    <s v="Fertirrigação"/>
    <x v="13"/>
    <s v="3 - Parceria"/>
    <n v="3.82"/>
    <n v="3.82"/>
    <n v="3.82"/>
    <n v="3.82"/>
    <n v="179.54"/>
    <n v="191"/>
    <n v="210.1"/>
    <n v="177.2"/>
    <x v="0"/>
    <x v="32"/>
    <x v="0"/>
    <x v="0"/>
    <x v="0"/>
    <n v="3.82"/>
    <n v="3.82"/>
    <n v="3.82"/>
    <n v="179.54"/>
    <n v="191"/>
    <n v="210.1"/>
    <n v="177.2"/>
    <n v="177.2"/>
    <n v="177.2"/>
    <x v="1"/>
    <x v="2"/>
    <x v="5"/>
    <n v="99.32"/>
    <x v="1"/>
  </r>
  <r>
    <x v="24"/>
    <x v="24"/>
    <n v="3"/>
    <x v="4"/>
    <s v="4ºC"/>
    <x v="0"/>
    <s v="Fertirrigação"/>
    <x v="13"/>
    <s v="3 - Parceria"/>
    <n v="3.72"/>
    <n v="3.72"/>
    <n v="3.72"/>
    <n v="3.72"/>
    <n v="174.84"/>
    <n v="186"/>
    <n v="204.6"/>
    <n v="171.92"/>
    <x v="0"/>
    <x v="32"/>
    <x v="0"/>
    <x v="0"/>
    <x v="0"/>
    <n v="3.72"/>
    <n v="3.72"/>
    <n v="3.72"/>
    <n v="174.84"/>
    <n v="186"/>
    <n v="204.6"/>
    <n v="171.92"/>
    <n v="171.92"/>
    <n v="171.92"/>
    <x v="0"/>
    <x v="2"/>
    <x v="5"/>
    <n v="96.72"/>
    <x v="1"/>
  </r>
  <r>
    <x v="24"/>
    <x v="24"/>
    <n v="4"/>
    <x v="4"/>
    <s v="4ºC"/>
    <x v="0"/>
    <s v="Fertirrigação"/>
    <x v="13"/>
    <s v="3 - Parceria"/>
    <n v="3.93"/>
    <n v="3.93"/>
    <n v="3.93"/>
    <n v="3.93"/>
    <n v="184.71"/>
    <n v="161.13"/>
    <n v="196.5"/>
    <n v="165.95"/>
    <x v="0"/>
    <x v="32"/>
    <x v="0"/>
    <x v="0"/>
    <x v="0"/>
    <n v="3.93"/>
    <n v="3.93"/>
    <n v="3.93"/>
    <n v="184.71"/>
    <n v="161.13"/>
    <n v="196.5"/>
    <n v="165.95"/>
    <n v="165.95"/>
    <n v="165.95"/>
    <x v="0"/>
    <x v="2"/>
    <x v="5"/>
    <n v="102.18"/>
    <x v="1"/>
  </r>
  <r>
    <x v="24"/>
    <x v="24"/>
    <n v="5"/>
    <x v="4"/>
    <s v="4ºC"/>
    <x v="0"/>
    <s v="Fertirrigação"/>
    <x v="13"/>
    <s v="3 - Parceria"/>
    <n v="4.41"/>
    <n v="4.41"/>
    <n v="4.41"/>
    <n v="4.41"/>
    <n v="207.27"/>
    <n v="180.81"/>
    <n v="220.5"/>
    <n v="185.6"/>
    <x v="0"/>
    <x v="32"/>
    <x v="0"/>
    <x v="0"/>
    <x v="0"/>
    <n v="4.41"/>
    <n v="4.41"/>
    <n v="4.41"/>
    <n v="207.27"/>
    <n v="180.81"/>
    <n v="220.5"/>
    <n v="185.6"/>
    <n v="185.6"/>
    <n v="185.6"/>
    <x v="0"/>
    <x v="2"/>
    <x v="5"/>
    <n v="114.66"/>
    <x v="1"/>
  </r>
  <r>
    <x v="24"/>
    <x v="24"/>
    <n v="6"/>
    <x v="4"/>
    <s v="4ºC"/>
    <x v="0"/>
    <s v="Fertirrigação"/>
    <x v="13"/>
    <s v="3 - Parceria"/>
    <n v="3.48"/>
    <n v="3.48"/>
    <n v="3.48"/>
    <n v="3.48"/>
    <n v="163.56"/>
    <n v="142.68"/>
    <n v="174"/>
    <n v="135.61000000000001"/>
    <x v="0"/>
    <x v="34"/>
    <x v="0"/>
    <x v="0"/>
    <x v="0"/>
    <n v="3.48"/>
    <n v="3.48"/>
    <n v="3.48"/>
    <n v="163.56"/>
    <n v="142.68"/>
    <n v="174"/>
    <n v="135.61000000000001"/>
    <n v="135.61000000000001"/>
    <n v="135.61000000000001"/>
    <x v="0"/>
    <x v="2"/>
    <x v="5"/>
    <n v="90.48"/>
    <x v="1"/>
  </r>
  <r>
    <x v="24"/>
    <x v="24"/>
    <n v="7"/>
    <x v="4"/>
    <s v="4ºC"/>
    <x v="0"/>
    <s v="Fertirrigação"/>
    <x v="13"/>
    <s v="3 - Parceria"/>
    <n v="2.8"/>
    <n v="2.8"/>
    <n v="2.8"/>
    <n v="2.8"/>
    <n v="131.6"/>
    <n v="114.8"/>
    <n v="140"/>
    <n v="109.11"/>
    <x v="0"/>
    <x v="34"/>
    <x v="0"/>
    <x v="0"/>
    <x v="0"/>
    <n v="2.8"/>
    <n v="2.8"/>
    <n v="2.8"/>
    <n v="131.6"/>
    <n v="114.8"/>
    <n v="140"/>
    <n v="109.11"/>
    <n v="109.11"/>
    <n v="109.11"/>
    <x v="0"/>
    <x v="2"/>
    <x v="5"/>
    <n v="72.8"/>
    <x v="1"/>
  </r>
  <r>
    <x v="24"/>
    <x v="24"/>
    <n v="8"/>
    <x v="4"/>
    <s v="4ºC"/>
    <x v="0"/>
    <s v="Fertirrigação"/>
    <x v="13"/>
    <s v="3 - Parceria"/>
    <n v="3.82"/>
    <n v="3.82"/>
    <n v="3.82"/>
    <n v="3.82"/>
    <n v="179.54"/>
    <n v="156.62"/>
    <n v="191"/>
    <n v="148.88"/>
    <x v="0"/>
    <x v="34"/>
    <x v="0"/>
    <x v="0"/>
    <x v="0"/>
    <n v="3.82"/>
    <n v="3.82"/>
    <n v="3.82"/>
    <n v="179.54"/>
    <n v="156.62"/>
    <n v="191"/>
    <n v="148.88"/>
    <n v="148.88"/>
    <n v="148.88"/>
    <x v="0"/>
    <x v="2"/>
    <x v="5"/>
    <n v="99.32"/>
    <x v="1"/>
  </r>
  <r>
    <x v="25"/>
    <x v="22"/>
    <n v="1"/>
    <x v="2"/>
    <s v="3ºC"/>
    <x v="0"/>
    <s v="Fertirrigação"/>
    <x v="13"/>
    <s v="3 - Parceria"/>
    <n v="2.5099999999999998"/>
    <n v="2.5099999999999998"/>
    <n v="2.5099999999999998"/>
    <n v="2.5099999999999998"/>
    <n v="175.7"/>
    <n v="175.7"/>
    <n v="175.7"/>
    <n v="137.07"/>
    <x v="0"/>
    <x v="2"/>
    <x v="0"/>
    <x v="0"/>
    <x v="0"/>
    <n v="2.5099999999999998"/>
    <n v="2.5099999999999998"/>
    <n v="2.5099999999999998"/>
    <n v="175.7"/>
    <n v="175.7"/>
    <n v="175.7"/>
    <n v="137.07"/>
    <n v="137.07"/>
    <n v="137.07"/>
    <x v="1"/>
    <x v="2"/>
    <x v="1"/>
    <n v="50.199999999999996"/>
    <x v="0"/>
  </r>
  <r>
    <x v="25"/>
    <x v="22"/>
    <n v="2"/>
    <x v="2"/>
    <s v="3ºC"/>
    <x v="0"/>
    <s v="Fertirrigação"/>
    <x v="13"/>
    <s v="3 - Parceria"/>
    <n v="12.58"/>
    <n v="12.58"/>
    <n v="12.58"/>
    <n v="12.58"/>
    <n v="880.6"/>
    <n v="880.6"/>
    <n v="880.6"/>
    <n v="1057.53"/>
    <x v="0"/>
    <x v="20"/>
    <x v="0"/>
    <x v="0"/>
    <x v="0"/>
    <n v="12.58"/>
    <n v="12.58"/>
    <n v="12.58"/>
    <n v="880.6"/>
    <n v="880.6"/>
    <n v="880.6"/>
    <n v="1057.53"/>
    <n v="1057.53"/>
    <n v="1057.53"/>
    <x v="1"/>
    <x v="2"/>
    <x v="1"/>
    <n v="251.6"/>
    <x v="0"/>
  </r>
  <r>
    <x v="25"/>
    <x v="22"/>
    <n v="3"/>
    <x v="2"/>
    <s v="3ºC"/>
    <x v="0"/>
    <s v="Fertirrigação"/>
    <x v="13"/>
    <s v="3 - Parceria"/>
    <n v="24.91"/>
    <n v="24.91"/>
    <n v="24.91"/>
    <n v="24.91"/>
    <n v="1743.7"/>
    <n v="1494.6"/>
    <n v="1644.06"/>
    <n v="1973.49"/>
    <x v="0"/>
    <x v="20"/>
    <x v="0"/>
    <x v="0"/>
    <x v="0"/>
    <n v="24.91"/>
    <n v="24.91"/>
    <n v="24.91"/>
    <n v="1743.7"/>
    <n v="1494.6"/>
    <n v="1644.06"/>
    <n v="1973.49"/>
    <n v="1973.49"/>
    <n v="1973.49"/>
    <x v="0"/>
    <x v="2"/>
    <x v="1"/>
    <n v="498.2"/>
    <x v="0"/>
  </r>
  <r>
    <x v="25"/>
    <x v="22"/>
    <n v="4"/>
    <x v="2"/>
    <s v="3ºC"/>
    <x v="0"/>
    <s v="Fertirrigação"/>
    <x v="13"/>
    <s v="3 - Parceria"/>
    <n v="18.3"/>
    <n v="18.3"/>
    <n v="18.3"/>
    <n v="18.3"/>
    <n v="1281"/>
    <n v="1098"/>
    <n v="1134.5999999999999"/>
    <n v="1362.45"/>
    <x v="0"/>
    <x v="20"/>
    <x v="0"/>
    <x v="0"/>
    <x v="0"/>
    <n v="18.3"/>
    <n v="18.3"/>
    <n v="18.3"/>
    <n v="1281"/>
    <n v="1098"/>
    <n v="1134.5999999999999"/>
    <n v="1362.45"/>
    <n v="1362.45"/>
    <n v="1362.45"/>
    <x v="0"/>
    <x v="2"/>
    <x v="1"/>
    <n v="366"/>
    <x v="0"/>
  </r>
  <r>
    <x v="25"/>
    <x v="22"/>
    <n v="5"/>
    <x v="2"/>
    <s v="3ºC"/>
    <x v="0"/>
    <s v="Fertirrigação"/>
    <x v="13"/>
    <s v="3 - Parceria"/>
    <n v="6.87"/>
    <n v="6.87"/>
    <n v="6.87"/>
    <n v="6.87"/>
    <n v="480.9"/>
    <n v="274.8"/>
    <n v="350.37"/>
    <n v="420.07"/>
    <x v="0"/>
    <x v="20"/>
    <x v="0"/>
    <x v="0"/>
    <x v="0"/>
    <n v="6.87"/>
    <n v="6.87"/>
    <n v="6.87"/>
    <n v="480.9"/>
    <n v="274.8"/>
    <n v="350.37"/>
    <n v="420.07"/>
    <n v="420.07"/>
    <n v="420.07"/>
    <x v="0"/>
    <x v="2"/>
    <x v="1"/>
    <n v="137.4"/>
    <x v="0"/>
  </r>
  <r>
    <x v="25"/>
    <x v="22"/>
    <n v="6"/>
    <x v="2"/>
    <s v="3ºC"/>
    <x v="0"/>
    <s v="Fertirrigação"/>
    <x v="13"/>
    <s v="3 - Parceria"/>
    <n v="11.31"/>
    <n v="11.31"/>
    <n v="11.31"/>
    <n v="11.31"/>
    <n v="791.7"/>
    <n v="452.4"/>
    <n v="576.80999999999995"/>
    <n v="693.03"/>
    <x v="0"/>
    <x v="20"/>
    <x v="0"/>
    <x v="0"/>
    <x v="0"/>
    <n v="11.31"/>
    <n v="11.31"/>
    <n v="11.31"/>
    <n v="791.7"/>
    <n v="452.4"/>
    <n v="576.80999999999995"/>
    <n v="693.03"/>
    <n v="693.03"/>
    <n v="693.03"/>
    <x v="0"/>
    <x v="2"/>
    <x v="1"/>
    <n v="226.20000000000002"/>
    <x v="0"/>
  </r>
  <r>
    <x v="25"/>
    <x v="22"/>
    <n v="8"/>
    <x v="5"/>
    <s v="2ºC"/>
    <x v="0"/>
    <s v="Fertirrigação"/>
    <x v="13"/>
    <s v="3 - Parceria"/>
    <n v="22.94"/>
    <n v="22.94"/>
    <n v="22.94"/>
    <n v="22.94"/>
    <n v="1605.8"/>
    <n v="1376.4"/>
    <n v="1376.4"/>
    <n v="1690.36"/>
    <x v="0"/>
    <x v="20"/>
    <x v="0"/>
    <x v="0"/>
    <x v="0"/>
    <n v="22.94"/>
    <n v="22.94"/>
    <n v="22.94"/>
    <n v="1605.8"/>
    <n v="1376.4"/>
    <n v="1376.4"/>
    <n v="1690.36"/>
    <n v="1690.36"/>
    <n v="1690.36"/>
    <x v="0"/>
    <x v="1"/>
    <x v="0"/>
    <n v="0"/>
    <x v="0"/>
  </r>
  <r>
    <x v="25"/>
    <x v="22"/>
    <n v="9"/>
    <x v="5"/>
    <s v="2ºC"/>
    <x v="0"/>
    <s v="Fertirrigação"/>
    <x v="8"/>
    <s v="3 - Parceria"/>
    <n v="30.38"/>
    <n v="30.38"/>
    <n v="30.38"/>
    <n v="30.38"/>
    <n v="2126.6"/>
    <n v="2126.6"/>
    <n v="1822.8"/>
    <n v="2239.52"/>
    <x v="0"/>
    <x v="20"/>
    <x v="0"/>
    <x v="0"/>
    <x v="0"/>
    <n v="30.38"/>
    <n v="30.38"/>
    <n v="30.38"/>
    <n v="2126.6"/>
    <n v="2126.6"/>
    <n v="1822.8"/>
    <n v="2239.52"/>
    <n v="2239.52"/>
    <n v="2239.52"/>
    <x v="1"/>
    <x v="1"/>
    <x v="0"/>
    <n v="0"/>
    <x v="0"/>
  </r>
  <r>
    <x v="25"/>
    <x v="22"/>
    <n v="10"/>
    <x v="5"/>
    <s v="2ºC"/>
    <x v="0"/>
    <s v="Fertirrigação"/>
    <x v="8"/>
    <s v="3 - Parceria"/>
    <n v="25.51"/>
    <n v="25.51"/>
    <n v="25.51"/>
    <n v="25.51"/>
    <n v="1785.7"/>
    <n v="1785.7"/>
    <n v="1530.6"/>
    <n v="1881.05"/>
    <x v="0"/>
    <x v="20"/>
    <x v="0"/>
    <x v="0"/>
    <x v="0"/>
    <n v="25.51"/>
    <n v="25.51"/>
    <n v="25.51"/>
    <n v="1785.7"/>
    <n v="1785.7"/>
    <n v="1530.6"/>
    <n v="1881.05"/>
    <n v="1881.05"/>
    <n v="1881.05"/>
    <x v="1"/>
    <x v="1"/>
    <x v="0"/>
    <n v="0"/>
    <x v="0"/>
  </r>
  <r>
    <x v="25"/>
    <x v="22"/>
    <n v="11"/>
    <x v="5"/>
    <s v="2ºC"/>
    <x v="0"/>
    <s v="Fertirrigação"/>
    <x v="8"/>
    <s v="3 - Parceria"/>
    <n v="29.83"/>
    <n v="29.83"/>
    <n v="29.83"/>
    <n v="29.83"/>
    <n v="2088.1"/>
    <n v="2088.1"/>
    <n v="1968.78"/>
    <n v="1716.19"/>
    <x v="0"/>
    <x v="20"/>
    <x v="0"/>
    <x v="0"/>
    <x v="0"/>
    <n v="29.83"/>
    <n v="29.83"/>
    <n v="29.83"/>
    <n v="2088.1"/>
    <n v="2088.1"/>
    <n v="1968.78"/>
    <n v="1716.19"/>
    <n v="1716.19"/>
    <n v="1716.19"/>
    <x v="1"/>
    <x v="1"/>
    <x v="0"/>
    <n v="0"/>
    <x v="0"/>
  </r>
  <r>
    <x v="25"/>
    <x v="22"/>
    <n v="12"/>
    <x v="5"/>
    <s v="2ºC"/>
    <x v="0"/>
    <s v="Fertirrigação"/>
    <x v="8"/>
    <s v="3 - Parceria"/>
    <n v="29.38"/>
    <n v="29.38"/>
    <n v="29.38"/>
    <n v="29.38"/>
    <n v="2056.6"/>
    <n v="2056.6"/>
    <n v="1762.8"/>
    <n v="1536.73"/>
    <x v="0"/>
    <x v="20"/>
    <x v="0"/>
    <x v="0"/>
    <x v="0"/>
    <n v="29.38"/>
    <n v="29.38"/>
    <n v="29.38"/>
    <n v="2056.6"/>
    <n v="2056.6"/>
    <n v="1762.8"/>
    <n v="1536.73"/>
    <n v="1536.73"/>
    <n v="1536.73"/>
    <x v="1"/>
    <x v="1"/>
    <x v="0"/>
    <n v="0"/>
    <x v="0"/>
  </r>
  <r>
    <x v="25"/>
    <x v="22"/>
    <n v="13"/>
    <x v="5"/>
    <s v="2ºC"/>
    <x v="0"/>
    <s v="Fertirrigação"/>
    <x v="8"/>
    <s v="3 - Parceria"/>
    <n v="23.4"/>
    <n v="23.4"/>
    <n v="23.4"/>
    <n v="23.4"/>
    <n v="1638"/>
    <n v="1638"/>
    <n v="1404"/>
    <n v="1465.15"/>
    <x v="0"/>
    <x v="20"/>
    <x v="0"/>
    <x v="0"/>
    <x v="0"/>
    <n v="23.4"/>
    <n v="23.4"/>
    <n v="23.4"/>
    <n v="1638"/>
    <n v="1638"/>
    <n v="1404"/>
    <n v="1465.15"/>
    <n v="1465.15"/>
    <n v="1465.15"/>
    <x v="1"/>
    <x v="1"/>
    <x v="0"/>
    <n v="0"/>
    <x v="0"/>
  </r>
  <r>
    <x v="25"/>
    <x v="22"/>
    <n v="14"/>
    <x v="5"/>
    <s v="2ºC"/>
    <x v="0"/>
    <s v="Fertirrigação"/>
    <x v="8"/>
    <s v="3 - Parceria"/>
    <n v="40.229999999999997"/>
    <n v="40.229999999999997"/>
    <n v="40.229999999999997"/>
    <n v="40.229999999999997"/>
    <n v="2816.1"/>
    <n v="2816.1"/>
    <n v="2413.8000000000002"/>
    <n v="2519.2199999999998"/>
    <x v="0"/>
    <x v="20"/>
    <x v="0"/>
    <x v="0"/>
    <x v="0"/>
    <n v="40.229999999999997"/>
    <n v="40.229999999999997"/>
    <n v="40.229999999999997"/>
    <n v="2816.1"/>
    <n v="2816.1"/>
    <n v="2413.8000000000002"/>
    <n v="2519.2199999999998"/>
    <n v="2519.2199999999998"/>
    <n v="2519.2199999999998"/>
    <x v="1"/>
    <x v="1"/>
    <x v="0"/>
    <n v="0"/>
    <x v="0"/>
  </r>
  <r>
    <x v="25"/>
    <x v="22"/>
    <n v="15"/>
    <x v="5"/>
    <s v="2ºC"/>
    <x v="0"/>
    <s v="Fertirrigação"/>
    <x v="8"/>
    <s v="3 - Parceria"/>
    <n v="40.44"/>
    <n v="40.44"/>
    <n v="40.44"/>
    <n v="40.44"/>
    <n v="3235.2"/>
    <n v="3275.64"/>
    <n v="2830.8"/>
    <n v="2954.72"/>
    <x v="0"/>
    <x v="20"/>
    <x v="0"/>
    <x v="0"/>
    <x v="0"/>
    <n v="40.44"/>
    <n v="40.44"/>
    <n v="40.44"/>
    <n v="3235.2"/>
    <n v="3275.64"/>
    <n v="2830.8"/>
    <n v="2954.72"/>
    <n v="2954.72"/>
    <n v="2954.72"/>
    <x v="1"/>
    <x v="1"/>
    <x v="0"/>
    <n v="0"/>
    <x v="0"/>
  </r>
  <r>
    <x v="26"/>
    <x v="25"/>
    <n v="1"/>
    <x v="5"/>
    <s v="2ºC"/>
    <x v="0"/>
    <s v="Fertirrigação"/>
    <x v="13"/>
    <s v="3 - Parceria"/>
    <n v="35.92"/>
    <n v="35.92"/>
    <n v="35.92"/>
    <n v="35.92"/>
    <n v="2514.4"/>
    <n v="2514.4"/>
    <n v="2514.4"/>
    <n v="2380.37"/>
    <x v="0"/>
    <x v="1"/>
    <x v="0"/>
    <x v="0"/>
    <x v="0"/>
    <n v="35.92"/>
    <n v="35.92"/>
    <n v="35.92"/>
    <n v="2514.4"/>
    <n v="2514.4"/>
    <n v="2514.4"/>
    <n v="2380.37"/>
    <n v="2380.37"/>
    <n v="2380.37"/>
    <x v="0"/>
    <x v="2"/>
    <x v="1"/>
    <n v="718.40000000000009"/>
    <x v="0"/>
  </r>
  <r>
    <x v="26"/>
    <x v="25"/>
    <n v="2"/>
    <x v="5"/>
    <s v="2ºC"/>
    <x v="0"/>
    <s v="Fertirrigação"/>
    <x v="13"/>
    <s v="3 - Parceria"/>
    <n v="30.76"/>
    <n v="30.76"/>
    <n v="30.76"/>
    <n v="30.76"/>
    <n v="2153.1999999999998"/>
    <n v="2153.1999999999998"/>
    <n v="1968.64"/>
    <n v="1864.33"/>
    <x v="0"/>
    <x v="1"/>
    <x v="0"/>
    <x v="0"/>
    <x v="0"/>
    <n v="30.76"/>
    <n v="30.76"/>
    <n v="30.76"/>
    <n v="2153.1999999999998"/>
    <n v="2153.1999999999998"/>
    <n v="1968.64"/>
    <n v="1864.33"/>
    <n v="1864.33"/>
    <n v="1864.33"/>
    <x v="0"/>
    <x v="2"/>
    <x v="1"/>
    <n v="615.20000000000005"/>
    <x v="0"/>
  </r>
  <r>
    <x v="26"/>
    <x v="25"/>
    <n v="3"/>
    <x v="5"/>
    <s v="2ºC"/>
    <x v="0"/>
    <s v="Fertirrigação"/>
    <x v="13"/>
    <s v="3 - Parceria"/>
    <n v="23.11"/>
    <n v="23.11"/>
    <n v="23.11"/>
    <n v="23.11"/>
    <n v="1617.7"/>
    <n v="1617.7"/>
    <n v="1479.04"/>
    <n v="1400.6"/>
    <x v="0"/>
    <x v="1"/>
    <x v="0"/>
    <x v="0"/>
    <x v="0"/>
    <n v="23.11"/>
    <n v="23.11"/>
    <n v="23.11"/>
    <n v="1617.7"/>
    <n v="1617.7"/>
    <n v="1479.04"/>
    <n v="1400.6"/>
    <n v="1400.6"/>
    <n v="1400.6"/>
    <x v="1"/>
    <x v="2"/>
    <x v="1"/>
    <n v="462.2"/>
    <x v="0"/>
  </r>
  <r>
    <x v="26"/>
    <x v="25"/>
    <n v="4"/>
    <x v="5"/>
    <s v="2ºC"/>
    <x v="0"/>
    <s v="Fertirrigação"/>
    <x v="13"/>
    <s v="3 - Parceria"/>
    <n v="5.22"/>
    <n v="5.22"/>
    <n v="5.22"/>
    <n v="5.22"/>
    <n v="365.4"/>
    <n v="365.4"/>
    <n v="334.08"/>
    <n v="282.67"/>
    <x v="0"/>
    <x v="2"/>
    <x v="0"/>
    <x v="0"/>
    <x v="0"/>
    <n v="5.22"/>
    <n v="5.22"/>
    <n v="5.22"/>
    <n v="365.4"/>
    <n v="365.4"/>
    <n v="334.08"/>
    <n v="282.67"/>
    <n v="282.67"/>
    <n v="282.67"/>
    <x v="1"/>
    <x v="2"/>
    <x v="1"/>
    <n v="104.39999999999999"/>
    <x v="0"/>
  </r>
  <r>
    <x v="26"/>
    <x v="25"/>
    <n v="5"/>
    <x v="5"/>
    <s v="2ºC"/>
    <x v="0"/>
    <s v="Fertirrigação"/>
    <x v="13"/>
    <s v="3 - Parceria"/>
    <n v="49.47"/>
    <n v="49.47"/>
    <n v="49.47"/>
    <n v="49.47"/>
    <n v="3462.9"/>
    <n v="3462.9"/>
    <n v="3166.08"/>
    <n v="3320.36"/>
    <x v="0"/>
    <x v="1"/>
    <x v="0"/>
    <x v="0"/>
    <x v="0"/>
    <n v="49.47"/>
    <n v="49.47"/>
    <n v="49.47"/>
    <n v="3462.9"/>
    <n v="3462.9"/>
    <n v="3166.08"/>
    <n v="3320.36"/>
    <n v="3320.36"/>
    <n v="3320.36"/>
    <x v="0"/>
    <x v="2"/>
    <x v="1"/>
    <n v="989.4"/>
    <x v="0"/>
  </r>
  <r>
    <x v="26"/>
    <x v="25"/>
    <n v="6"/>
    <x v="3"/>
    <s v="INV"/>
    <x v="0"/>
    <s v="Fertirrigação"/>
    <x v="13"/>
    <s v="3 - Parceria"/>
    <n v="2.48"/>
    <n v="2.48"/>
    <n v="0"/>
    <n v="2.48"/>
    <n v="233.12"/>
    <n v="233.12"/>
    <n v="0"/>
    <n v="205.22"/>
    <x v="0"/>
    <x v="31"/>
    <x v="0"/>
    <x v="0"/>
    <x v="1"/>
    <n v="2.48"/>
    <n v="2.48"/>
    <n v="2.48"/>
    <n v="233.12"/>
    <n v="233.12"/>
    <n v="205.22"/>
    <n v="205.22"/>
    <n v="205.22"/>
    <n v="205.22"/>
    <x v="1"/>
    <x v="1"/>
    <x v="0"/>
    <n v="0"/>
    <x v="0"/>
  </r>
  <r>
    <x v="26"/>
    <x v="25"/>
    <n v="7"/>
    <x v="3"/>
    <s v="INV"/>
    <x v="0"/>
    <s v="Fertirrigação"/>
    <x v="13"/>
    <s v="3 - Parceria"/>
    <n v="13.79"/>
    <n v="13.79"/>
    <n v="0"/>
    <n v="13.79"/>
    <n v="1296.26"/>
    <n v="1296.26"/>
    <n v="0"/>
    <n v="1141.5899999999999"/>
    <x v="0"/>
    <x v="31"/>
    <x v="0"/>
    <x v="0"/>
    <x v="1"/>
    <n v="13.79"/>
    <n v="13.79"/>
    <n v="13.79"/>
    <n v="1296.26"/>
    <n v="1296.26"/>
    <n v="1141.5899999999999"/>
    <n v="1141.5899999999999"/>
    <n v="1141.5899999999999"/>
    <n v="1141.5899999999999"/>
    <x v="1"/>
    <x v="1"/>
    <x v="0"/>
    <n v="0"/>
    <x v="0"/>
  </r>
  <r>
    <x v="26"/>
    <x v="25"/>
    <n v="8"/>
    <x v="5"/>
    <s v="2ºC"/>
    <x v="0"/>
    <s v="Fertirrigação"/>
    <x v="8"/>
    <s v="3 - Parceria"/>
    <n v="10.18"/>
    <n v="10.18"/>
    <n v="10.18"/>
    <n v="10.18"/>
    <n v="834.76"/>
    <n v="834.76"/>
    <n v="753.32"/>
    <n v="935.59"/>
    <x v="0"/>
    <x v="20"/>
    <x v="0"/>
    <x v="0"/>
    <x v="0"/>
    <n v="10.18"/>
    <n v="10.18"/>
    <n v="10.18"/>
    <n v="834.76"/>
    <n v="834.76"/>
    <n v="753.32"/>
    <n v="935.59"/>
    <n v="935.59"/>
    <n v="935.59"/>
    <x v="1"/>
    <x v="1"/>
    <x v="0"/>
    <n v="0"/>
    <x v="0"/>
  </r>
  <r>
    <x v="27"/>
    <x v="26"/>
    <n v="5"/>
    <x v="5"/>
    <s v="2ºC"/>
    <x v="0"/>
    <s v="Mineral"/>
    <x v="6"/>
    <s v="3 - Parceria"/>
    <n v="21.93"/>
    <n v="21.93"/>
    <n v="21.93"/>
    <n v="21.93"/>
    <n v="2149.14"/>
    <n v="2149.14"/>
    <n v="1973.7"/>
    <n v="1637.64"/>
    <x v="0"/>
    <x v="2"/>
    <x v="0"/>
    <x v="0"/>
    <x v="0"/>
    <n v="21.93"/>
    <n v="21.93"/>
    <n v="21.93"/>
    <n v="2149.14"/>
    <n v="2149.14"/>
    <n v="1973.7"/>
    <n v="1637.64"/>
    <n v="1637.64"/>
    <n v="1637.64"/>
    <x v="1"/>
    <x v="0"/>
    <x v="0"/>
    <n v="0"/>
    <x v="0"/>
  </r>
  <r>
    <x v="27"/>
    <x v="26"/>
    <n v="6"/>
    <x v="5"/>
    <s v="2ºC"/>
    <x v="0"/>
    <s v="Mineral"/>
    <x v="6"/>
    <s v="3 - Parceria"/>
    <n v="44.82"/>
    <n v="44.82"/>
    <n v="44.82"/>
    <n v="44.82"/>
    <n v="4392.3599999999997"/>
    <n v="4392.3599999999997"/>
    <n v="4033.8"/>
    <n v="3346.79"/>
    <x v="0"/>
    <x v="2"/>
    <x v="0"/>
    <x v="0"/>
    <x v="0"/>
    <n v="44.82"/>
    <n v="44.82"/>
    <n v="44.82"/>
    <n v="4392.3599999999997"/>
    <n v="4392.3599999999997"/>
    <n v="4033.8"/>
    <n v="3346.79"/>
    <n v="3346.79"/>
    <n v="3346.79"/>
    <x v="1"/>
    <x v="0"/>
    <x v="0"/>
    <n v="0"/>
    <x v="0"/>
  </r>
  <r>
    <x v="27"/>
    <x v="26"/>
    <n v="7"/>
    <x v="5"/>
    <s v="2ºC"/>
    <x v="0"/>
    <s v="Mineral"/>
    <x v="6"/>
    <s v="3 - Parceria"/>
    <n v="37.65"/>
    <n v="37.65"/>
    <n v="37.65"/>
    <n v="37.65"/>
    <n v="3689.7"/>
    <n v="3689.7"/>
    <n v="3388.5"/>
    <n v="2811.64"/>
    <x v="0"/>
    <x v="2"/>
    <x v="0"/>
    <x v="0"/>
    <x v="0"/>
    <n v="37.65"/>
    <n v="37.65"/>
    <n v="37.65"/>
    <n v="3689.7"/>
    <n v="3689.7"/>
    <n v="3388.5"/>
    <n v="2811.64"/>
    <n v="2811.64"/>
    <n v="2811.64"/>
    <x v="1"/>
    <x v="0"/>
    <x v="0"/>
    <n v="0"/>
    <x v="0"/>
  </r>
  <r>
    <x v="27"/>
    <x v="26"/>
    <n v="8"/>
    <x v="5"/>
    <s v="2ºC"/>
    <x v="0"/>
    <s v="Mineral"/>
    <x v="6"/>
    <s v="3 - Parceria"/>
    <n v="4.04"/>
    <n v="4.04"/>
    <n v="4.04"/>
    <n v="4.04"/>
    <n v="395.92"/>
    <n v="404"/>
    <n v="395.92"/>
    <n v="328.93"/>
    <x v="0"/>
    <x v="2"/>
    <x v="0"/>
    <x v="0"/>
    <x v="0"/>
    <n v="4.04"/>
    <n v="4.04"/>
    <n v="4.04"/>
    <n v="395.92"/>
    <n v="404"/>
    <n v="395.92"/>
    <n v="328.93"/>
    <n v="328.93"/>
    <n v="328.93"/>
    <x v="1"/>
    <x v="0"/>
    <x v="0"/>
    <n v="0"/>
    <x v="0"/>
  </r>
  <r>
    <x v="28"/>
    <x v="27"/>
    <n v="1"/>
    <x v="2"/>
    <s v="3ºC"/>
    <x v="0"/>
    <s v="Mineral"/>
    <x v="13"/>
    <s v="3 - Parceria"/>
    <n v="30.82"/>
    <n v="30.82"/>
    <n v="0"/>
    <n v="30.82"/>
    <n v="1417.72"/>
    <n v="1417.72"/>
    <n v="0"/>
    <n v="1222.25"/>
    <x v="0"/>
    <x v="17"/>
    <x v="0"/>
    <x v="0"/>
    <x v="1"/>
    <n v="30.82"/>
    <n v="30.82"/>
    <n v="30.82"/>
    <n v="1417.72"/>
    <n v="1417.72"/>
    <n v="1222.25"/>
    <n v="1222.25"/>
    <n v="1222.25"/>
    <n v="1222.25"/>
    <x v="1"/>
    <x v="0"/>
    <x v="0"/>
    <n v="0"/>
    <x v="0"/>
  </r>
  <r>
    <x v="28"/>
    <x v="27"/>
    <n v="2"/>
    <x v="2"/>
    <s v="3ºC"/>
    <x v="0"/>
    <s v="Mineral"/>
    <x v="13"/>
    <s v="3 - Parceria"/>
    <n v="14.54"/>
    <n v="14.54"/>
    <n v="0"/>
    <n v="14.54"/>
    <n v="872.4"/>
    <n v="872.4"/>
    <n v="0"/>
    <n v="751.6"/>
    <x v="0"/>
    <x v="17"/>
    <x v="0"/>
    <x v="0"/>
    <x v="1"/>
    <n v="14.54"/>
    <n v="14.54"/>
    <n v="14.54"/>
    <n v="872.4"/>
    <n v="872.4"/>
    <n v="751.6"/>
    <n v="751.6"/>
    <n v="751.6"/>
    <n v="751.6"/>
    <x v="1"/>
    <x v="0"/>
    <x v="0"/>
    <n v="0"/>
    <x v="0"/>
  </r>
  <r>
    <x v="28"/>
    <x v="27"/>
    <n v="3"/>
    <x v="2"/>
    <s v="3ºC"/>
    <x v="0"/>
    <s v="Mineral"/>
    <x v="13"/>
    <s v="3 - Parceria"/>
    <n v="5.8"/>
    <n v="5.8"/>
    <n v="0"/>
    <n v="5.8"/>
    <n v="348"/>
    <n v="348"/>
    <n v="0"/>
    <n v="437.73"/>
    <x v="0"/>
    <x v="17"/>
    <x v="0"/>
    <x v="0"/>
    <x v="1"/>
    <n v="5.8"/>
    <n v="5.8"/>
    <n v="5.8"/>
    <n v="348"/>
    <n v="348"/>
    <n v="437.73"/>
    <n v="437.73"/>
    <n v="437.73"/>
    <n v="437.73"/>
    <x v="1"/>
    <x v="0"/>
    <x v="0"/>
    <n v="0"/>
    <x v="0"/>
  </r>
  <r>
    <x v="28"/>
    <x v="27"/>
    <n v="4"/>
    <x v="2"/>
    <s v="3ºC"/>
    <x v="0"/>
    <s v="Mineral"/>
    <x v="13"/>
    <s v="3 - Parceria"/>
    <n v="11.98"/>
    <n v="11.98"/>
    <n v="0"/>
    <n v="11.98"/>
    <n v="718.8"/>
    <n v="718.8"/>
    <n v="0"/>
    <n v="904.42"/>
    <x v="0"/>
    <x v="17"/>
    <x v="0"/>
    <x v="0"/>
    <x v="1"/>
    <n v="11.98"/>
    <n v="11.98"/>
    <n v="11.98"/>
    <n v="718.8"/>
    <n v="718.8"/>
    <n v="904.42"/>
    <n v="904.42"/>
    <n v="904.42"/>
    <n v="904.42"/>
    <x v="1"/>
    <x v="0"/>
    <x v="0"/>
    <n v="0"/>
    <x v="0"/>
  </r>
  <r>
    <x v="28"/>
    <x v="27"/>
    <n v="5"/>
    <x v="2"/>
    <s v="3ºC"/>
    <x v="0"/>
    <s v="Mineral"/>
    <x v="11"/>
    <s v="3 - Parceria"/>
    <n v="21.35"/>
    <n v="21.35"/>
    <n v="0"/>
    <n v="21.35"/>
    <n v="1281"/>
    <n v="1067.5"/>
    <n v="0"/>
    <n v="1343.57"/>
    <x v="0"/>
    <x v="17"/>
    <x v="0"/>
    <x v="0"/>
    <x v="1"/>
    <n v="21.35"/>
    <n v="21.35"/>
    <n v="21.35"/>
    <n v="1281"/>
    <n v="1067.5"/>
    <n v="1343.57"/>
    <n v="1343.57"/>
    <n v="1343.57"/>
    <n v="1343.57"/>
    <x v="0"/>
    <x v="0"/>
    <x v="0"/>
    <n v="0"/>
    <x v="0"/>
  </r>
  <r>
    <x v="28"/>
    <x v="27"/>
    <n v="6"/>
    <x v="2"/>
    <s v="3ºC"/>
    <x v="0"/>
    <s v="Mineral"/>
    <x v="13"/>
    <s v="3 - Parceria"/>
    <n v="21.53"/>
    <n v="21.53"/>
    <n v="0"/>
    <n v="21.53"/>
    <n v="1291.8"/>
    <n v="1291.8"/>
    <n v="0"/>
    <n v="1113.6400000000001"/>
    <x v="0"/>
    <x v="17"/>
    <x v="0"/>
    <x v="0"/>
    <x v="1"/>
    <n v="21.53"/>
    <n v="21.53"/>
    <n v="21.53"/>
    <n v="1291.8"/>
    <n v="1291.8"/>
    <n v="1113.6400000000001"/>
    <n v="1113.6400000000001"/>
    <n v="1113.6400000000001"/>
    <n v="1113.6400000000001"/>
    <x v="1"/>
    <x v="0"/>
    <x v="0"/>
    <n v="0"/>
    <x v="0"/>
  </r>
  <r>
    <x v="28"/>
    <x v="27"/>
    <n v="7"/>
    <x v="2"/>
    <s v="3ºC"/>
    <x v="0"/>
    <s v="Mineral"/>
    <x v="13"/>
    <s v="3 - Parceria"/>
    <n v="29.02"/>
    <n v="29.02"/>
    <n v="0"/>
    <n v="29.02"/>
    <n v="1741.2"/>
    <n v="1741.2"/>
    <n v="0"/>
    <n v="1500.94"/>
    <x v="0"/>
    <x v="17"/>
    <x v="0"/>
    <x v="0"/>
    <x v="1"/>
    <n v="29.02"/>
    <n v="29.02"/>
    <n v="29.02"/>
    <n v="1741.2"/>
    <n v="1741.2"/>
    <n v="1500.94"/>
    <n v="1500.94"/>
    <n v="1500.94"/>
    <n v="1500.94"/>
    <x v="1"/>
    <x v="0"/>
    <x v="0"/>
    <n v="0"/>
    <x v="0"/>
  </r>
  <r>
    <x v="28"/>
    <x v="27"/>
    <n v="8"/>
    <x v="2"/>
    <s v="3ºC"/>
    <x v="0"/>
    <s v="Mineral"/>
    <x v="11"/>
    <s v="3 - Parceria"/>
    <n v="26.38"/>
    <n v="26.38"/>
    <n v="0"/>
    <n v="26.38"/>
    <n v="2110.4"/>
    <n v="2110.4"/>
    <n v="0"/>
    <n v="1905.86"/>
    <x v="0"/>
    <x v="17"/>
    <x v="0"/>
    <x v="0"/>
    <x v="1"/>
    <n v="26.38"/>
    <n v="26.38"/>
    <n v="26.38"/>
    <n v="2110.4"/>
    <n v="2110.4"/>
    <n v="1905.86"/>
    <n v="1905.86"/>
    <n v="1905.86"/>
    <n v="1905.86"/>
    <x v="1"/>
    <x v="0"/>
    <x v="0"/>
    <n v="0"/>
    <x v="0"/>
  </r>
  <r>
    <x v="28"/>
    <x v="27"/>
    <n v="9"/>
    <x v="2"/>
    <s v="3ºC"/>
    <x v="0"/>
    <s v="Mineral"/>
    <x v="11"/>
    <s v="3 - Parceria"/>
    <n v="20.61"/>
    <n v="20.61"/>
    <n v="0"/>
    <n v="20.61"/>
    <n v="1648.8"/>
    <n v="1442.7"/>
    <n v="0"/>
    <n v="1303.3800000000001"/>
    <x v="0"/>
    <x v="17"/>
    <x v="0"/>
    <x v="0"/>
    <x v="1"/>
    <n v="20.61"/>
    <n v="20.61"/>
    <n v="20.61"/>
    <n v="1648.8"/>
    <n v="1442.7"/>
    <n v="1303.3800000000001"/>
    <n v="1303.3800000000001"/>
    <n v="1303.3800000000001"/>
    <n v="1303.3800000000001"/>
    <x v="0"/>
    <x v="0"/>
    <x v="0"/>
    <n v="0"/>
    <x v="0"/>
  </r>
  <r>
    <x v="28"/>
    <x v="27"/>
    <n v="10"/>
    <x v="2"/>
    <s v="3ºC"/>
    <x v="0"/>
    <s v="Mineral"/>
    <x v="11"/>
    <s v="3 - Parceria"/>
    <n v="23.37"/>
    <n v="23.37"/>
    <n v="0"/>
    <n v="23.37"/>
    <n v="1869.6"/>
    <n v="1635.9"/>
    <n v="0"/>
    <n v="1477.7"/>
    <x v="0"/>
    <x v="17"/>
    <x v="0"/>
    <x v="0"/>
    <x v="1"/>
    <n v="23.37"/>
    <n v="23.37"/>
    <n v="23.37"/>
    <n v="1869.6"/>
    <n v="1635.9"/>
    <n v="1477.7"/>
    <n v="1477.7"/>
    <n v="1477.7"/>
    <n v="1477.7"/>
    <x v="0"/>
    <x v="0"/>
    <x v="0"/>
    <n v="0"/>
    <x v="0"/>
  </r>
  <r>
    <x v="28"/>
    <x v="27"/>
    <n v="11"/>
    <x v="2"/>
    <s v="3ºC"/>
    <x v="0"/>
    <s v="Mineral"/>
    <x v="11"/>
    <s v="3 - Parceria"/>
    <n v="28.23"/>
    <n v="28.23"/>
    <n v="0"/>
    <n v="28.23"/>
    <n v="2258.4"/>
    <n v="1976.1"/>
    <n v="0"/>
    <n v="1785.18"/>
    <x v="0"/>
    <x v="17"/>
    <x v="0"/>
    <x v="0"/>
    <x v="1"/>
    <n v="28.23"/>
    <n v="28.23"/>
    <n v="28.23"/>
    <n v="2258.4"/>
    <n v="1976.1"/>
    <n v="1785.18"/>
    <n v="1785.18"/>
    <n v="1785.18"/>
    <n v="1785.18"/>
    <x v="0"/>
    <x v="0"/>
    <x v="0"/>
    <n v="0"/>
    <x v="0"/>
  </r>
  <r>
    <x v="28"/>
    <x v="27"/>
    <n v="12"/>
    <x v="2"/>
    <s v="3ºC"/>
    <x v="0"/>
    <s v="Mineral"/>
    <x v="11"/>
    <s v="3 - Parceria"/>
    <n v="17.02"/>
    <n v="17.02"/>
    <n v="0"/>
    <n v="17.02"/>
    <n v="1548.82"/>
    <n v="1361.6"/>
    <n v="0"/>
    <n v="1126.48"/>
    <x v="0"/>
    <x v="17"/>
    <x v="0"/>
    <x v="0"/>
    <x v="1"/>
    <n v="17.02"/>
    <n v="17.02"/>
    <n v="17.02"/>
    <n v="1548.82"/>
    <n v="1361.6"/>
    <n v="1126.48"/>
    <n v="1126.48"/>
    <n v="1126.48"/>
    <n v="1126.48"/>
    <x v="0"/>
    <x v="0"/>
    <x v="0"/>
    <n v="0"/>
    <x v="0"/>
  </r>
  <r>
    <x v="28"/>
    <x v="27"/>
    <n v="13"/>
    <x v="2"/>
    <s v="3ºC"/>
    <x v="0"/>
    <s v="Mineral"/>
    <x v="11"/>
    <s v="3 - Parceria"/>
    <n v="22.73"/>
    <n v="22.73"/>
    <n v="0"/>
    <n v="22.73"/>
    <n v="2068.4299999999998"/>
    <n v="1818.4"/>
    <n v="0"/>
    <n v="1580.58"/>
    <x v="0"/>
    <x v="17"/>
    <x v="0"/>
    <x v="0"/>
    <x v="1"/>
    <n v="22.73"/>
    <n v="22.73"/>
    <n v="22.73"/>
    <n v="2068.4299999999998"/>
    <n v="1818.4"/>
    <n v="1580.58"/>
    <n v="1580.58"/>
    <n v="1580.58"/>
    <n v="1580.58"/>
    <x v="0"/>
    <x v="0"/>
    <x v="0"/>
    <n v="0"/>
    <x v="0"/>
  </r>
  <r>
    <x v="28"/>
    <x v="27"/>
    <n v="14"/>
    <x v="2"/>
    <s v="3ºC"/>
    <x v="0"/>
    <s v="Mineral"/>
    <x v="11"/>
    <s v="3 - Parceria"/>
    <n v="21.44"/>
    <n v="21.44"/>
    <n v="0"/>
    <n v="21.44"/>
    <n v="1951.04"/>
    <n v="1715.2"/>
    <n v="0"/>
    <n v="1517.2"/>
    <x v="0"/>
    <x v="17"/>
    <x v="0"/>
    <x v="0"/>
    <x v="1"/>
    <n v="21.44"/>
    <n v="21.44"/>
    <n v="21.44"/>
    <n v="1951.04"/>
    <n v="1715.2"/>
    <n v="1517.2"/>
    <n v="1517.2"/>
    <n v="1517.2"/>
    <n v="1517.2"/>
    <x v="0"/>
    <x v="0"/>
    <x v="0"/>
    <n v="0"/>
    <x v="0"/>
  </r>
  <r>
    <x v="28"/>
    <x v="27"/>
    <n v="41"/>
    <x v="5"/>
    <s v="2ºC"/>
    <x v="0"/>
    <s v="Mineral"/>
    <x v="4"/>
    <s v="3 - Parceria"/>
    <n v="33.18"/>
    <n v="0"/>
    <n v="0"/>
    <n v="33.18"/>
    <n v="2322.6"/>
    <n v="0"/>
    <n v="0"/>
    <n v="2937.87"/>
    <x v="0"/>
    <x v="3"/>
    <x v="0"/>
    <x v="1"/>
    <x v="1"/>
    <n v="33.18"/>
    <n v="33.18"/>
    <n v="33.18"/>
    <n v="2322.6"/>
    <n v="2937.87"/>
    <n v="2937.87"/>
    <n v="2937.87"/>
    <n v="2937.87"/>
    <n v="2937.87"/>
    <x v="1"/>
    <x v="0"/>
    <x v="0"/>
    <n v="0"/>
    <x v="0"/>
  </r>
  <r>
    <x v="28"/>
    <x v="27"/>
    <n v="42"/>
    <x v="5"/>
    <s v="2ºC"/>
    <x v="0"/>
    <s v="Mineral"/>
    <x v="4"/>
    <s v="3 - Parceria"/>
    <n v="32.049999999999997"/>
    <n v="0"/>
    <n v="0"/>
    <n v="32.049999999999997"/>
    <n v="2243.5"/>
    <n v="0"/>
    <n v="0"/>
    <n v="2837.96"/>
    <x v="0"/>
    <x v="3"/>
    <x v="0"/>
    <x v="1"/>
    <x v="1"/>
    <n v="32.049999999999997"/>
    <n v="32.049999999999997"/>
    <n v="32.049999999999997"/>
    <n v="2243.5"/>
    <n v="2837.96"/>
    <n v="2837.96"/>
    <n v="2837.96"/>
    <n v="2837.96"/>
    <n v="2837.96"/>
    <x v="1"/>
    <x v="0"/>
    <x v="0"/>
    <n v="0"/>
    <x v="0"/>
  </r>
  <r>
    <x v="28"/>
    <x v="27"/>
    <n v="43"/>
    <x v="5"/>
    <s v="2ºC"/>
    <x v="0"/>
    <s v="Mineral"/>
    <x v="4"/>
    <s v="3 - Parceria"/>
    <n v="13.81"/>
    <n v="0"/>
    <n v="0"/>
    <n v="13.81"/>
    <n v="966.7"/>
    <n v="0"/>
    <n v="0"/>
    <n v="1223.22"/>
    <x v="0"/>
    <x v="3"/>
    <x v="0"/>
    <x v="1"/>
    <x v="1"/>
    <n v="13.81"/>
    <n v="13.81"/>
    <n v="13.81"/>
    <n v="966.7"/>
    <n v="1223.22"/>
    <n v="1223.22"/>
    <n v="1223.22"/>
    <n v="1223.22"/>
    <n v="1223.22"/>
    <x v="1"/>
    <x v="0"/>
    <x v="0"/>
    <n v="0"/>
    <x v="0"/>
  </r>
  <r>
    <x v="29"/>
    <x v="28"/>
    <n v="7"/>
    <x v="4"/>
    <s v="4ºC"/>
    <x v="0"/>
    <s v="Mineral"/>
    <x v="8"/>
    <s v="3 - Parceria"/>
    <n v="16.14"/>
    <n v="16.14"/>
    <n v="16.14"/>
    <n v="16.14"/>
    <n v="1065.24"/>
    <n v="1097.52"/>
    <n v="919.98"/>
    <n v="840.67"/>
    <x v="0"/>
    <x v="1"/>
    <x v="0"/>
    <x v="0"/>
    <x v="0"/>
    <n v="16.14"/>
    <n v="16.14"/>
    <n v="16.14"/>
    <n v="1065.24"/>
    <n v="1097.52"/>
    <n v="919.98"/>
    <n v="840.67"/>
    <n v="840.67"/>
    <n v="840.67"/>
    <x v="1"/>
    <x v="0"/>
    <x v="0"/>
    <n v="0"/>
    <x v="0"/>
  </r>
  <r>
    <x v="29"/>
    <x v="28"/>
    <n v="8"/>
    <x v="4"/>
    <s v="4ºC"/>
    <x v="0"/>
    <s v="Mineral"/>
    <x v="8"/>
    <s v="3 - Parceria"/>
    <n v="20.9"/>
    <n v="20.9"/>
    <n v="20.9"/>
    <n v="20.9"/>
    <n v="1379.4"/>
    <n v="1421.2"/>
    <n v="1191.3"/>
    <n v="1088.31"/>
    <x v="0"/>
    <x v="1"/>
    <x v="0"/>
    <x v="0"/>
    <x v="0"/>
    <n v="20.9"/>
    <n v="20.9"/>
    <n v="20.9"/>
    <n v="1379.4"/>
    <n v="1421.2"/>
    <n v="1191.3"/>
    <n v="1088.31"/>
    <n v="1088.31"/>
    <n v="1088.31"/>
    <x v="1"/>
    <x v="0"/>
    <x v="0"/>
    <n v="0"/>
    <x v="0"/>
  </r>
  <r>
    <x v="29"/>
    <x v="28"/>
    <n v="9"/>
    <x v="4"/>
    <s v="4ºC"/>
    <x v="0"/>
    <s v="Mineral"/>
    <x v="8"/>
    <s v="3 - Parceria"/>
    <n v="11.75"/>
    <n v="11.75"/>
    <n v="11.75"/>
    <n v="11.75"/>
    <n v="775.5"/>
    <n v="799"/>
    <n v="669.75"/>
    <n v="612.33000000000004"/>
    <x v="0"/>
    <x v="1"/>
    <x v="0"/>
    <x v="0"/>
    <x v="0"/>
    <n v="11.75"/>
    <n v="11.75"/>
    <n v="11.75"/>
    <n v="775.5"/>
    <n v="799"/>
    <n v="669.75"/>
    <n v="612.33000000000004"/>
    <n v="612.33000000000004"/>
    <n v="612.33000000000004"/>
    <x v="1"/>
    <x v="0"/>
    <x v="0"/>
    <n v="0"/>
    <x v="0"/>
  </r>
  <r>
    <x v="29"/>
    <x v="28"/>
    <n v="10"/>
    <x v="3"/>
    <s v="INV"/>
    <x v="0"/>
    <s v="Mineral"/>
    <x v="26"/>
    <s v="3 - Parceria"/>
    <n v="4.8"/>
    <n v="4.8"/>
    <n v="4.8"/>
    <n v="4.8"/>
    <n v="566.4"/>
    <n v="571.20000000000005"/>
    <n v="571.20000000000005"/>
    <n v="440.73"/>
    <x v="0"/>
    <x v="32"/>
    <x v="0"/>
    <x v="0"/>
    <x v="0"/>
    <n v="4.8"/>
    <n v="4.8"/>
    <n v="4.8"/>
    <n v="566.4"/>
    <n v="571.20000000000005"/>
    <n v="571.20000000000005"/>
    <n v="440.73"/>
    <n v="440.73"/>
    <n v="440.73"/>
    <x v="1"/>
    <x v="0"/>
    <x v="0"/>
    <n v="0"/>
    <x v="0"/>
  </r>
  <r>
    <x v="29"/>
    <x v="28"/>
    <n v="11"/>
    <x v="3"/>
    <s v="INV"/>
    <x v="0"/>
    <s v="Mineral"/>
    <x v="26"/>
    <s v="3 - Parceria"/>
    <n v="18.760000000000002"/>
    <n v="18.760000000000002"/>
    <n v="18.760000000000002"/>
    <n v="18.760000000000002"/>
    <n v="2213.6799999999998"/>
    <n v="2232.44"/>
    <n v="2232.44"/>
    <n v="1722.94"/>
    <x v="0"/>
    <x v="32"/>
    <x v="0"/>
    <x v="0"/>
    <x v="0"/>
    <n v="18.760000000000002"/>
    <n v="18.760000000000002"/>
    <n v="18.760000000000002"/>
    <n v="2213.6799999999998"/>
    <n v="2232.44"/>
    <n v="2232.44"/>
    <n v="1722.94"/>
    <n v="1722.94"/>
    <n v="1722.94"/>
    <x v="1"/>
    <x v="0"/>
    <x v="0"/>
    <n v="0"/>
    <x v="0"/>
  </r>
  <r>
    <x v="29"/>
    <x v="28"/>
    <n v="12"/>
    <x v="3"/>
    <s v="INV"/>
    <x v="0"/>
    <s v="Mineral"/>
    <x v="26"/>
    <s v="3 - Parceria"/>
    <n v="2.5"/>
    <n v="2.5"/>
    <n v="2.5"/>
    <n v="2.5"/>
    <n v="295"/>
    <n v="297.5"/>
    <n v="275"/>
    <n v="212.22"/>
    <x v="0"/>
    <x v="32"/>
    <x v="0"/>
    <x v="0"/>
    <x v="0"/>
    <n v="2.5"/>
    <n v="2.5"/>
    <n v="2.5"/>
    <n v="295"/>
    <n v="297.5"/>
    <n v="275"/>
    <n v="212.22"/>
    <n v="212.22"/>
    <n v="212.22"/>
    <x v="1"/>
    <x v="0"/>
    <x v="0"/>
    <n v="0"/>
    <x v="0"/>
  </r>
  <r>
    <x v="29"/>
    <x v="28"/>
    <n v="13"/>
    <x v="3"/>
    <s v="INV"/>
    <x v="0"/>
    <s v="Mineral"/>
    <x v="26"/>
    <s v="3 - Parceria"/>
    <n v="6.68"/>
    <n v="6.68"/>
    <n v="6.68"/>
    <n v="6.68"/>
    <n v="788.24"/>
    <n v="794.92"/>
    <n v="794.92"/>
    <n v="613.63"/>
    <x v="0"/>
    <x v="32"/>
    <x v="0"/>
    <x v="0"/>
    <x v="0"/>
    <n v="6.68"/>
    <n v="6.68"/>
    <n v="6.68"/>
    <n v="788.24"/>
    <n v="794.92"/>
    <n v="794.92"/>
    <n v="613.63"/>
    <n v="613.63"/>
    <n v="613.63"/>
    <x v="1"/>
    <x v="0"/>
    <x v="0"/>
    <n v="0"/>
    <x v="0"/>
  </r>
  <r>
    <x v="29"/>
    <x v="28"/>
    <n v="14"/>
    <x v="3"/>
    <s v="INV"/>
    <x v="0"/>
    <s v="Mineral"/>
    <x v="26"/>
    <s v="3 - Parceria"/>
    <n v="4.82"/>
    <n v="4.82"/>
    <n v="4.82"/>
    <n v="4.82"/>
    <n v="568.76"/>
    <n v="573.58000000000004"/>
    <n v="573.58000000000004"/>
    <n v="443.03"/>
    <x v="0"/>
    <x v="32"/>
    <x v="0"/>
    <x v="0"/>
    <x v="0"/>
    <n v="4.82"/>
    <n v="4.82"/>
    <n v="4.82"/>
    <n v="568.76"/>
    <n v="573.58000000000004"/>
    <n v="573.58000000000004"/>
    <n v="443.03"/>
    <n v="443.03"/>
    <n v="443.03"/>
    <x v="1"/>
    <x v="0"/>
    <x v="0"/>
    <n v="0"/>
    <x v="0"/>
  </r>
  <r>
    <x v="29"/>
    <x v="28"/>
    <n v="15"/>
    <x v="3"/>
    <s v="INV"/>
    <x v="0"/>
    <s v="Mineral"/>
    <x v="26"/>
    <s v="3 - Parceria"/>
    <n v="7.81"/>
    <n v="7.81"/>
    <n v="7.81"/>
    <n v="7.81"/>
    <n v="921.58"/>
    <n v="929.39"/>
    <n v="859.1"/>
    <n v="663.47"/>
    <x v="0"/>
    <x v="32"/>
    <x v="0"/>
    <x v="0"/>
    <x v="0"/>
    <n v="7.81"/>
    <n v="7.81"/>
    <n v="7.81"/>
    <n v="921.58"/>
    <n v="929.39"/>
    <n v="859.1"/>
    <n v="663.47"/>
    <n v="663.47"/>
    <n v="663.47"/>
    <x v="1"/>
    <x v="0"/>
    <x v="0"/>
    <n v="0"/>
    <x v="0"/>
  </r>
  <r>
    <x v="30"/>
    <x v="29"/>
    <n v="1"/>
    <x v="0"/>
    <s v="6ºC"/>
    <x v="0"/>
    <s v="Mineral"/>
    <x v="8"/>
    <s v="3 - Parceria"/>
    <n v="27.04"/>
    <n v="27.04"/>
    <n v="27.04"/>
    <n v="27.04"/>
    <n v="892.32"/>
    <n v="892.32"/>
    <n v="892.32"/>
    <n v="898.93"/>
    <x v="0"/>
    <x v="33"/>
    <x v="0"/>
    <x v="0"/>
    <x v="0"/>
    <n v="27.04"/>
    <n v="27.04"/>
    <n v="27.04"/>
    <n v="892.32"/>
    <n v="892.32"/>
    <n v="892.32"/>
    <n v="898.93"/>
    <n v="898.93"/>
    <n v="898.93"/>
    <x v="1"/>
    <x v="0"/>
    <x v="0"/>
    <n v="0"/>
    <x v="0"/>
  </r>
  <r>
    <x v="30"/>
    <x v="29"/>
    <n v="2"/>
    <x v="0"/>
    <s v="6ºC"/>
    <x v="0"/>
    <s v="Mineral"/>
    <x v="8"/>
    <s v="3 - Parceria"/>
    <n v="15.99"/>
    <n v="15.99"/>
    <n v="15.99"/>
    <n v="15.99"/>
    <n v="527.66999999999996"/>
    <n v="527.66999999999996"/>
    <n v="527.66999999999996"/>
    <n v="532.09"/>
    <x v="0"/>
    <x v="33"/>
    <x v="0"/>
    <x v="0"/>
    <x v="0"/>
    <n v="15.99"/>
    <n v="15.99"/>
    <n v="15.99"/>
    <n v="527.66999999999996"/>
    <n v="527.66999999999996"/>
    <n v="527.66999999999996"/>
    <n v="532.09"/>
    <n v="532.09"/>
    <n v="532.09"/>
    <x v="1"/>
    <x v="0"/>
    <x v="0"/>
    <n v="0"/>
    <x v="0"/>
  </r>
  <r>
    <x v="30"/>
    <x v="29"/>
    <n v="3"/>
    <x v="0"/>
    <s v="6ºC"/>
    <x v="0"/>
    <s v="Mineral"/>
    <x v="8"/>
    <s v="3 - Parceria"/>
    <n v="16.579999999999998"/>
    <n v="16.579999999999998"/>
    <n v="16.579999999999998"/>
    <n v="16.579999999999998"/>
    <n v="547.14"/>
    <n v="331.6"/>
    <n v="497.4"/>
    <n v="500.84"/>
    <x v="0"/>
    <x v="33"/>
    <x v="0"/>
    <x v="0"/>
    <x v="0"/>
    <n v="16.579999999999998"/>
    <n v="16.579999999999998"/>
    <n v="16.579999999999998"/>
    <n v="547.14"/>
    <n v="331.6"/>
    <n v="497.4"/>
    <n v="500.84"/>
    <n v="500.84"/>
    <n v="500.84"/>
    <x v="1"/>
    <x v="0"/>
    <x v="0"/>
    <n v="0"/>
    <x v="0"/>
  </r>
  <r>
    <x v="30"/>
    <x v="29"/>
    <n v="4"/>
    <x v="0"/>
    <s v="6ºC"/>
    <x v="0"/>
    <s v="Mineral"/>
    <x v="8"/>
    <s v="3 - Parceria"/>
    <n v="16.97"/>
    <n v="16.97"/>
    <n v="16.97"/>
    <n v="16.97"/>
    <n v="560.01"/>
    <n v="339.4"/>
    <n v="509.1"/>
    <n v="512.92999999999995"/>
    <x v="0"/>
    <x v="33"/>
    <x v="0"/>
    <x v="0"/>
    <x v="0"/>
    <n v="16.97"/>
    <n v="16.97"/>
    <n v="16.97"/>
    <n v="560.01"/>
    <n v="339.4"/>
    <n v="509.1"/>
    <n v="512.92999999999995"/>
    <n v="512.92999999999995"/>
    <n v="512.92999999999995"/>
    <x v="0"/>
    <x v="0"/>
    <x v="0"/>
    <n v="0"/>
    <x v="0"/>
  </r>
  <r>
    <x v="30"/>
    <x v="29"/>
    <n v="5"/>
    <x v="0"/>
    <s v="6ºC"/>
    <x v="0"/>
    <s v="Mineral"/>
    <x v="8"/>
    <s v="3 - Parceria"/>
    <n v="2.78"/>
    <n v="2.78"/>
    <n v="2.78"/>
    <n v="2.78"/>
    <n v="91.74"/>
    <n v="55.6"/>
    <n v="83.4"/>
    <n v="83.6"/>
    <x v="0"/>
    <x v="33"/>
    <x v="0"/>
    <x v="0"/>
    <x v="0"/>
    <n v="2.78"/>
    <n v="2.78"/>
    <n v="2.78"/>
    <n v="91.74"/>
    <n v="55.6"/>
    <n v="83.4"/>
    <n v="83.6"/>
    <n v="83.6"/>
    <n v="83.6"/>
    <x v="0"/>
    <x v="0"/>
    <x v="0"/>
    <n v="0"/>
    <x v="0"/>
  </r>
  <r>
    <x v="30"/>
    <x v="29"/>
    <n v="6"/>
    <x v="0"/>
    <s v="6ºC"/>
    <x v="0"/>
    <s v="Mineral"/>
    <x v="8"/>
    <s v="3 - Parceria"/>
    <n v="2.85"/>
    <n v="2.85"/>
    <n v="2.85"/>
    <n v="2.85"/>
    <n v="94.05"/>
    <n v="57"/>
    <n v="85.5"/>
    <n v="86.62"/>
    <x v="0"/>
    <x v="33"/>
    <x v="0"/>
    <x v="0"/>
    <x v="0"/>
    <n v="2.85"/>
    <n v="2.85"/>
    <n v="2.85"/>
    <n v="94.05"/>
    <n v="57"/>
    <n v="85.5"/>
    <n v="86.62"/>
    <n v="86.62"/>
    <n v="86.62"/>
    <x v="0"/>
    <x v="0"/>
    <x v="0"/>
    <n v="0"/>
    <x v="0"/>
  </r>
  <r>
    <x v="30"/>
    <x v="29"/>
    <n v="7"/>
    <x v="0"/>
    <s v="6ºC"/>
    <x v="0"/>
    <s v="Mineral"/>
    <x v="8"/>
    <s v="3 - Parceria"/>
    <n v="2.4500000000000002"/>
    <n v="2.4500000000000002"/>
    <n v="2.4500000000000002"/>
    <n v="2.4500000000000002"/>
    <n v="80.849999999999994"/>
    <n v="49"/>
    <n v="73.5"/>
    <n v="74.52"/>
    <x v="0"/>
    <x v="33"/>
    <x v="0"/>
    <x v="0"/>
    <x v="0"/>
    <n v="2.4500000000000002"/>
    <n v="2.4500000000000002"/>
    <n v="2.4500000000000002"/>
    <n v="80.849999999999994"/>
    <n v="49"/>
    <n v="73.5"/>
    <n v="74.52"/>
    <n v="74.52"/>
    <n v="74.52"/>
    <x v="0"/>
    <x v="0"/>
    <x v="0"/>
    <n v="0"/>
    <x v="0"/>
  </r>
  <r>
    <x v="30"/>
    <x v="29"/>
    <n v="8"/>
    <x v="0"/>
    <s v="6ºC"/>
    <x v="0"/>
    <s v="Mineral"/>
    <x v="8"/>
    <s v="3 - Parceria"/>
    <n v="1.41"/>
    <n v="1.41"/>
    <n v="1.41"/>
    <n v="1.41"/>
    <n v="46.53"/>
    <n v="28.2"/>
    <n v="42.3"/>
    <n v="42.67"/>
    <x v="0"/>
    <x v="33"/>
    <x v="0"/>
    <x v="0"/>
    <x v="0"/>
    <n v="1.41"/>
    <n v="1.41"/>
    <n v="1.41"/>
    <n v="46.53"/>
    <n v="28.2"/>
    <n v="42.3"/>
    <n v="42.67"/>
    <n v="42.67"/>
    <n v="42.67"/>
    <x v="0"/>
    <x v="0"/>
    <x v="0"/>
    <n v="0"/>
    <x v="0"/>
  </r>
  <r>
    <x v="30"/>
    <x v="29"/>
    <n v="9"/>
    <x v="3"/>
    <s v="ANM"/>
    <x v="0"/>
    <s v="Mineral"/>
    <x v="13"/>
    <s v="3 - Parceria"/>
    <n v="16.97"/>
    <n v="0"/>
    <n v="0"/>
    <n v="16.97"/>
    <n v="1663.06"/>
    <n v="0"/>
    <n v="0"/>
    <n v="1394.14"/>
    <x v="0"/>
    <x v="24"/>
    <x v="0"/>
    <x v="1"/>
    <x v="1"/>
    <n v="16.97"/>
    <n v="16.97"/>
    <n v="16.97"/>
    <n v="1663.06"/>
    <n v="1394.14"/>
    <n v="1394.14"/>
    <n v="1394.14"/>
    <n v="1394.14"/>
    <n v="1394.14"/>
    <x v="1"/>
    <x v="0"/>
    <x v="0"/>
    <n v="0"/>
    <x v="0"/>
  </r>
  <r>
    <x v="30"/>
    <x v="29"/>
    <n v="10"/>
    <x v="3"/>
    <s v="ANM"/>
    <x v="0"/>
    <s v="Mineral"/>
    <x v="13"/>
    <s v="3 - Parceria"/>
    <n v="27.96"/>
    <n v="0"/>
    <n v="0"/>
    <n v="27.96"/>
    <n v="2740.08"/>
    <n v="0"/>
    <n v="0"/>
    <n v="2297.0500000000002"/>
    <x v="0"/>
    <x v="24"/>
    <x v="0"/>
    <x v="1"/>
    <x v="1"/>
    <n v="27.96"/>
    <n v="27.96"/>
    <n v="27.96"/>
    <n v="2740.08"/>
    <n v="2297.0500000000002"/>
    <n v="2297.0500000000002"/>
    <n v="2297.0500000000002"/>
    <n v="2297.0500000000002"/>
    <n v="2297.0500000000002"/>
    <x v="1"/>
    <x v="0"/>
    <x v="0"/>
    <n v="0"/>
    <x v="0"/>
  </r>
  <r>
    <x v="30"/>
    <x v="29"/>
    <n v="11"/>
    <x v="3"/>
    <s v="ANM"/>
    <x v="0"/>
    <s v="Mineral"/>
    <x v="13"/>
    <s v="3 - Parceria"/>
    <n v="12.82"/>
    <n v="0"/>
    <n v="0"/>
    <n v="12.82"/>
    <n v="1256.3599999999999"/>
    <n v="0"/>
    <n v="0"/>
    <n v="1053.1199999999999"/>
    <x v="0"/>
    <x v="24"/>
    <x v="0"/>
    <x v="1"/>
    <x v="1"/>
    <n v="12.82"/>
    <n v="12.82"/>
    <n v="12.82"/>
    <n v="1256.3599999999999"/>
    <n v="1053.1199999999999"/>
    <n v="1053.1199999999999"/>
    <n v="1053.1199999999999"/>
    <n v="1053.1199999999999"/>
    <n v="1053.1199999999999"/>
    <x v="1"/>
    <x v="0"/>
    <x v="0"/>
    <n v="0"/>
    <x v="0"/>
  </r>
  <r>
    <x v="31"/>
    <x v="7"/>
    <n v="23"/>
    <x v="6"/>
    <s v="5ºC"/>
    <x v="0"/>
    <s v="Mineral"/>
    <x v="27"/>
    <s v="3 - Parceria"/>
    <n v="0.48"/>
    <n v="0"/>
    <n v="0"/>
    <n v="0.48"/>
    <n v="23.04"/>
    <n v="0"/>
    <n v="0"/>
    <n v="61.23"/>
    <x v="0"/>
    <x v="23"/>
    <x v="0"/>
    <x v="1"/>
    <x v="1"/>
    <n v="0.48"/>
    <n v="0.48"/>
    <n v="0.48"/>
    <n v="23.04"/>
    <n v="61.23"/>
    <n v="61.23"/>
    <n v="61.23"/>
    <n v="61.23"/>
    <n v="61.23"/>
    <x v="1"/>
    <x v="0"/>
    <x v="0"/>
    <n v="0"/>
    <x v="0"/>
  </r>
  <r>
    <x v="32"/>
    <x v="30"/>
    <n v="1"/>
    <x v="6"/>
    <s v="5ºC"/>
    <x v="0"/>
    <s v="Mineral"/>
    <x v="9"/>
    <s v="3 - Parceria"/>
    <n v="10.15"/>
    <n v="10.15"/>
    <n v="10.15"/>
    <n v="10.15"/>
    <n v="548.1"/>
    <n v="548.1"/>
    <n v="507.5"/>
    <n v="445.08"/>
    <x v="0"/>
    <x v="19"/>
    <x v="0"/>
    <x v="0"/>
    <x v="0"/>
    <n v="10.15"/>
    <n v="10.15"/>
    <n v="10.15"/>
    <n v="548.1"/>
    <n v="548.1"/>
    <n v="507.5"/>
    <n v="445.08"/>
    <n v="445.08"/>
    <n v="445.08"/>
    <x v="1"/>
    <x v="0"/>
    <x v="0"/>
    <n v="0"/>
    <x v="0"/>
  </r>
  <r>
    <x v="32"/>
    <x v="30"/>
    <n v="2"/>
    <x v="6"/>
    <s v="5ºC"/>
    <x v="0"/>
    <s v="Mineral"/>
    <x v="9"/>
    <s v="3 - Parceria"/>
    <n v="24.09"/>
    <n v="24.09"/>
    <n v="24.09"/>
    <n v="24.09"/>
    <n v="1204.5"/>
    <n v="1204.5"/>
    <n v="1035.8699999999999"/>
    <n v="907.74"/>
    <x v="0"/>
    <x v="19"/>
    <x v="0"/>
    <x v="0"/>
    <x v="0"/>
    <n v="24.09"/>
    <n v="24.09"/>
    <n v="24.09"/>
    <n v="1204.5"/>
    <n v="1204.5"/>
    <n v="1035.8699999999999"/>
    <n v="907.74"/>
    <n v="907.74"/>
    <n v="907.74"/>
    <x v="1"/>
    <x v="0"/>
    <x v="0"/>
    <n v="0"/>
    <x v="0"/>
  </r>
  <r>
    <x v="32"/>
    <x v="30"/>
    <n v="3"/>
    <x v="6"/>
    <s v="5ºC"/>
    <x v="0"/>
    <s v="Mineral"/>
    <x v="13"/>
    <s v="3 - Parceria"/>
    <n v="10.97"/>
    <n v="10.97"/>
    <n v="10.97"/>
    <n v="10.97"/>
    <n v="669.17"/>
    <n v="669.17"/>
    <n v="548.5"/>
    <n v="481.02"/>
    <x v="0"/>
    <x v="19"/>
    <x v="0"/>
    <x v="0"/>
    <x v="0"/>
    <n v="10.97"/>
    <n v="10.97"/>
    <n v="10.97"/>
    <n v="669.17"/>
    <n v="669.17"/>
    <n v="548.5"/>
    <n v="481.02"/>
    <n v="481.02"/>
    <n v="481.02"/>
    <x v="1"/>
    <x v="0"/>
    <x v="0"/>
    <n v="0"/>
    <x v="0"/>
  </r>
  <r>
    <x v="32"/>
    <x v="30"/>
    <n v="4"/>
    <x v="6"/>
    <s v="5ºC"/>
    <x v="0"/>
    <s v="Mineral"/>
    <x v="12"/>
    <s v="3 - Parceria"/>
    <n v="4.95"/>
    <n v="4.95"/>
    <n v="4.95"/>
    <n v="4.95"/>
    <n v="297"/>
    <n v="297"/>
    <n v="247.5"/>
    <n v="217.26"/>
    <x v="0"/>
    <x v="19"/>
    <x v="0"/>
    <x v="0"/>
    <x v="0"/>
    <n v="4.95"/>
    <n v="4.95"/>
    <n v="4.95"/>
    <n v="297"/>
    <n v="297"/>
    <n v="247.5"/>
    <n v="217.26"/>
    <n v="217.26"/>
    <n v="217.26"/>
    <x v="1"/>
    <x v="0"/>
    <x v="0"/>
    <n v="0"/>
    <x v="0"/>
  </r>
  <r>
    <x v="32"/>
    <x v="30"/>
    <n v="5"/>
    <x v="6"/>
    <s v="5ºC"/>
    <x v="0"/>
    <s v="Mineral"/>
    <x v="12"/>
    <s v="3 - Parceria"/>
    <n v="4.7"/>
    <n v="4.7"/>
    <n v="4.7"/>
    <n v="4.7"/>
    <n v="267.89999999999998"/>
    <n v="267.89999999999998"/>
    <n v="235"/>
    <n v="205.88"/>
    <x v="0"/>
    <x v="19"/>
    <x v="0"/>
    <x v="0"/>
    <x v="0"/>
    <n v="4.7"/>
    <n v="4.7"/>
    <n v="4.7"/>
    <n v="267.89999999999998"/>
    <n v="267.89999999999998"/>
    <n v="235"/>
    <n v="205.88"/>
    <n v="205.88"/>
    <n v="205.88"/>
    <x v="1"/>
    <x v="0"/>
    <x v="0"/>
    <n v="0"/>
    <x v="0"/>
  </r>
  <r>
    <x v="32"/>
    <x v="30"/>
    <n v="6"/>
    <x v="6"/>
    <s v="5ºC"/>
    <x v="0"/>
    <s v="Mineral"/>
    <x v="12"/>
    <s v="3 - Parceria"/>
    <n v="2.4700000000000002"/>
    <n v="2.4700000000000002"/>
    <n v="2.4700000000000002"/>
    <n v="2.4700000000000002"/>
    <n v="123.5"/>
    <n v="123.5"/>
    <n v="106.21"/>
    <n v="92.84"/>
    <x v="0"/>
    <x v="19"/>
    <x v="0"/>
    <x v="0"/>
    <x v="0"/>
    <n v="2.4700000000000002"/>
    <n v="2.4700000000000002"/>
    <n v="2.4700000000000002"/>
    <n v="123.5"/>
    <n v="123.5"/>
    <n v="106.21"/>
    <n v="92.84"/>
    <n v="92.84"/>
    <n v="92.84"/>
    <x v="1"/>
    <x v="0"/>
    <x v="0"/>
    <n v="0"/>
    <x v="0"/>
  </r>
  <r>
    <x v="32"/>
    <x v="30"/>
    <n v="7"/>
    <x v="6"/>
    <s v="5ºC"/>
    <x v="0"/>
    <s v="Mineral"/>
    <x v="12"/>
    <s v="3 - Parceria"/>
    <n v="4.46"/>
    <n v="4.46"/>
    <n v="4.46"/>
    <n v="4.46"/>
    <n v="254.22"/>
    <n v="254.22"/>
    <n v="209.62"/>
    <n v="184.27"/>
    <x v="0"/>
    <x v="19"/>
    <x v="0"/>
    <x v="0"/>
    <x v="0"/>
    <n v="4.46"/>
    <n v="4.46"/>
    <n v="4.46"/>
    <n v="254.22"/>
    <n v="254.22"/>
    <n v="209.62"/>
    <n v="184.27"/>
    <n v="184.27"/>
    <n v="184.27"/>
    <x v="1"/>
    <x v="0"/>
    <x v="0"/>
    <n v="0"/>
    <x v="0"/>
  </r>
  <r>
    <x v="33"/>
    <x v="31"/>
    <n v="1"/>
    <x v="4"/>
    <s v="4ºC"/>
    <x v="0"/>
    <s v="Fertirrigação"/>
    <x v="18"/>
    <s v="3 - Parceria"/>
    <n v="6.09"/>
    <n v="6.09"/>
    <n v="6.09"/>
    <n v="6.09"/>
    <n v="511.56"/>
    <n v="511.56"/>
    <n v="511.56"/>
    <n v="591.53"/>
    <x v="0"/>
    <x v="0"/>
    <x v="0"/>
    <x v="0"/>
    <x v="0"/>
    <n v="6.09"/>
    <n v="6.09"/>
    <n v="6.09"/>
    <n v="511.56"/>
    <n v="511.56"/>
    <n v="511.56"/>
    <n v="591.53"/>
    <n v="591.53"/>
    <n v="591.53"/>
    <x v="1"/>
    <x v="1"/>
    <x v="0"/>
    <n v="0"/>
    <x v="0"/>
  </r>
  <r>
    <x v="33"/>
    <x v="31"/>
    <n v="2"/>
    <x v="4"/>
    <s v="4ºC"/>
    <x v="0"/>
    <s v="Fertirrigação"/>
    <x v="18"/>
    <s v="3 - Parceria"/>
    <n v="7.66"/>
    <n v="7.66"/>
    <n v="7.66"/>
    <n v="7.66"/>
    <n v="643.44000000000005"/>
    <n v="643.44000000000005"/>
    <n v="643.44000000000005"/>
    <n v="747.7"/>
    <x v="0"/>
    <x v="0"/>
    <x v="0"/>
    <x v="0"/>
    <x v="0"/>
    <n v="7.66"/>
    <n v="7.66"/>
    <n v="7.66"/>
    <n v="643.44000000000005"/>
    <n v="643.44000000000005"/>
    <n v="643.44000000000005"/>
    <n v="747.7"/>
    <n v="747.7"/>
    <n v="747.7"/>
    <x v="1"/>
    <x v="1"/>
    <x v="0"/>
    <n v="0"/>
    <x v="0"/>
  </r>
  <r>
    <x v="33"/>
    <x v="31"/>
    <n v="3"/>
    <x v="4"/>
    <s v="4ºC"/>
    <x v="0"/>
    <s v="Fertirrigação"/>
    <x v="18"/>
    <s v="3 - Parceria"/>
    <n v="11.7"/>
    <n v="11.7"/>
    <n v="11.7"/>
    <n v="11.7"/>
    <n v="982.8"/>
    <n v="982.8"/>
    <n v="982.8"/>
    <n v="1128.58"/>
    <x v="0"/>
    <x v="0"/>
    <x v="0"/>
    <x v="0"/>
    <x v="0"/>
    <n v="11.7"/>
    <n v="11.7"/>
    <n v="11.7"/>
    <n v="982.8"/>
    <n v="982.8"/>
    <n v="982.8"/>
    <n v="1128.58"/>
    <n v="1128.58"/>
    <n v="1128.58"/>
    <x v="1"/>
    <x v="1"/>
    <x v="0"/>
    <n v="0"/>
    <x v="0"/>
  </r>
  <r>
    <x v="33"/>
    <x v="31"/>
    <n v="4"/>
    <x v="4"/>
    <s v="4ºC"/>
    <x v="0"/>
    <s v="Fertirrigação"/>
    <x v="18"/>
    <s v="3 - Parceria"/>
    <n v="7.89"/>
    <n v="7.89"/>
    <n v="7.89"/>
    <n v="7.89"/>
    <n v="615.41999999999996"/>
    <n v="615.41999999999996"/>
    <n v="615.41999999999996"/>
    <n v="707.47"/>
    <x v="0"/>
    <x v="0"/>
    <x v="0"/>
    <x v="0"/>
    <x v="0"/>
    <n v="7.89"/>
    <n v="7.89"/>
    <n v="7.89"/>
    <n v="615.41999999999996"/>
    <n v="615.41999999999996"/>
    <n v="615.41999999999996"/>
    <n v="707.47"/>
    <n v="707.47"/>
    <n v="707.47"/>
    <x v="1"/>
    <x v="1"/>
    <x v="0"/>
    <n v="0"/>
    <x v="0"/>
  </r>
  <r>
    <x v="33"/>
    <x v="31"/>
    <n v="5"/>
    <x v="4"/>
    <s v="4ºC"/>
    <x v="0"/>
    <s v="Fertirrigação"/>
    <x v="18"/>
    <s v="3 - Parceria"/>
    <n v="4.42"/>
    <n v="4.42"/>
    <n v="4.42"/>
    <n v="4.42"/>
    <n v="344.76"/>
    <n v="344.76"/>
    <n v="344.76"/>
    <n v="400.75"/>
    <x v="0"/>
    <x v="0"/>
    <x v="0"/>
    <x v="0"/>
    <x v="0"/>
    <n v="4.42"/>
    <n v="4.42"/>
    <n v="4.42"/>
    <n v="344.76"/>
    <n v="344.76"/>
    <n v="344.76"/>
    <n v="400.75"/>
    <n v="400.75"/>
    <n v="400.75"/>
    <x v="1"/>
    <x v="1"/>
    <x v="0"/>
    <n v="0"/>
    <x v="0"/>
  </r>
  <r>
    <x v="33"/>
    <x v="31"/>
    <n v="6"/>
    <x v="4"/>
    <s v="4ºC"/>
    <x v="0"/>
    <s v="Fertirrigação"/>
    <x v="18"/>
    <s v="3 - Parceria"/>
    <n v="7.66"/>
    <n v="7.66"/>
    <n v="7.66"/>
    <n v="7.66"/>
    <n v="597.48"/>
    <n v="597.48"/>
    <n v="597.48"/>
    <n v="689.22"/>
    <x v="0"/>
    <x v="0"/>
    <x v="0"/>
    <x v="0"/>
    <x v="0"/>
    <n v="7.66"/>
    <n v="7.66"/>
    <n v="7.66"/>
    <n v="597.48"/>
    <n v="597.48"/>
    <n v="597.48"/>
    <n v="689.22"/>
    <n v="689.22"/>
    <n v="689.22"/>
    <x v="1"/>
    <x v="1"/>
    <x v="0"/>
    <n v="0"/>
    <x v="0"/>
  </r>
  <r>
    <x v="33"/>
    <x v="31"/>
    <n v="7"/>
    <x v="4"/>
    <s v="4ºC"/>
    <x v="0"/>
    <s v="Fertirrigação"/>
    <x v="18"/>
    <s v="3 - Parceria"/>
    <n v="7.53"/>
    <n v="7.53"/>
    <n v="7.53"/>
    <n v="7.53"/>
    <n v="587.34"/>
    <n v="587.34"/>
    <n v="587.34"/>
    <n v="679.5"/>
    <x v="0"/>
    <x v="0"/>
    <x v="0"/>
    <x v="0"/>
    <x v="0"/>
    <n v="7.53"/>
    <n v="7.53"/>
    <n v="7.53"/>
    <n v="587.34"/>
    <n v="587.34"/>
    <n v="587.34"/>
    <n v="679.5"/>
    <n v="679.5"/>
    <n v="679.5"/>
    <x v="1"/>
    <x v="1"/>
    <x v="0"/>
    <n v="0"/>
    <x v="0"/>
  </r>
  <r>
    <x v="33"/>
    <x v="31"/>
    <n v="8"/>
    <x v="4"/>
    <s v="4ºC"/>
    <x v="0"/>
    <s v="Fertirrigação"/>
    <x v="18"/>
    <s v="3 - Parceria"/>
    <n v="2.95"/>
    <n v="2.95"/>
    <n v="2.95"/>
    <n v="2.95"/>
    <n v="230.1"/>
    <n v="230.1"/>
    <n v="230.1"/>
    <n v="259.75"/>
    <x v="0"/>
    <x v="0"/>
    <x v="0"/>
    <x v="0"/>
    <x v="0"/>
    <n v="2.95"/>
    <n v="2.95"/>
    <n v="2.95"/>
    <n v="230.1"/>
    <n v="230.1"/>
    <n v="230.1"/>
    <n v="259.75"/>
    <n v="259.75"/>
    <n v="259.75"/>
    <x v="1"/>
    <x v="1"/>
    <x v="0"/>
    <n v="0"/>
    <x v="0"/>
  </r>
  <r>
    <x v="33"/>
    <x v="31"/>
    <n v="9"/>
    <x v="4"/>
    <s v="4ºC"/>
    <x v="0"/>
    <s v="Fertirrigação"/>
    <x v="6"/>
    <s v="3 - Parceria"/>
    <n v="0.76"/>
    <n v="0.76"/>
    <n v="0.76"/>
    <n v="0.76"/>
    <n v="68.400000000000006"/>
    <n v="68.400000000000006"/>
    <n v="60.8"/>
    <n v="98.75"/>
    <x v="0"/>
    <x v="0"/>
    <x v="0"/>
    <x v="0"/>
    <x v="0"/>
    <n v="0.76"/>
    <n v="0.76"/>
    <n v="0.76"/>
    <n v="68.400000000000006"/>
    <n v="68.400000000000006"/>
    <n v="60.8"/>
    <n v="98.75"/>
    <n v="98.75"/>
    <n v="98.75"/>
    <x v="1"/>
    <x v="1"/>
    <x v="0"/>
    <n v="0"/>
    <x v="0"/>
  </r>
  <r>
    <x v="34"/>
    <x v="32"/>
    <n v="1"/>
    <x v="2"/>
    <s v="3ºC"/>
    <x v="0"/>
    <s v="Fertirrigação"/>
    <x v="13"/>
    <s v="3 - Parceria"/>
    <n v="24.62"/>
    <n v="24.62"/>
    <n v="24.62"/>
    <n v="24.62"/>
    <n v="1821.88"/>
    <n v="1477.2"/>
    <n v="1600.3"/>
    <n v="1588.27"/>
    <x v="0"/>
    <x v="34"/>
    <x v="0"/>
    <x v="0"/>
    <x v="0"/>
    <n v="24.62"/>
    <n v="24.62"/>
    <n v="24.62"/>
    <n v="1821.88"/>
    <n v="1477.2"/>
    <n v="1600.3"/>
    <n v="1588.27"/>
    <n v="1588.27"/>
    <n v="1588.27"/>
    <x v="1"/>
    <x v="2"/>
    <x v="5"/>
    <n v="640.12"/>
    <x v="1"/>
  </r>
  <r>
    <x v="34"/>
    <x v="32"/>
    <n v="2"/>
    <x v="2"/>
    <s v="3ºC"/>
    <x v="0"/>
    <s v="Fertirrigação"/>
    <x v="13"/>
    <s v="3 - Parceria"/>
    <n v="10.17"/>
    <n v="10.17"/>
    <n v="10.17"/>
    <n v="10.17"/>
    <n v="752.58"/>
    <n v="610.20000000000005"/>
    <n v="661.05"/>
    <n v="656.21"/>
    <x v="0"/>
    <x v="34"/>
    <x v="0"/>
    <x v="0"/>
    <x v="0"/>
    <n v="10.17"/>
    <n v="10.17"/>
    <n v="10.17"/>
    <n v="752.58"/>
    <n v="610.20000000000005"/>
    <n v="661.05"/>
    <n v="656.21"/>
    <n v="656.21"/>
    <n v="656.21"/>
    <x v="1"/>
    <x v="2"/>
    <x v="5"/>
    <n v="264.42"/>
    <x v="1"/>
  </r>
  <r>
    <x v="34"/>
    <x v="32"/>
    <n v="3"/>
    <x v="2"/>
    <s v="3ºC"/>
    <x v="0"/>
    <s v="Fertirrigação"/>
    <x v="13"/>
    <s v="3 - Parceria"/>
    <n v="6.76"/>
    <n v="6.76"/>
    <n v="6.76"/>
    <n v="6.76"/>
    <n v="500.24"/>
    <n v="405.6"/>
    <n v="439.4"/>
    <n v="445.83"/>
    <x v="0"/>
    <x v="34"/>
    <x v="0"/>
    <x v="0"/>
    <x v="0"/>
    <n v="6.76"/>
    <n v="6.76"/>
    <n v="6.76"/>
    <n v="500.24"/>
    <n v="405.6"/>
    <n v="439.4"/>
    <n v="445.83"/>
    <n v="445.83"/>
    <n v="445.83"/>
    <x v="1"/>
    <x v="2"/>
    <x v="5"/>
    <n v="175.76"/>
    <x v="1"/>
  </r>
  <r>
    <x v="35"/>
    <x v="33"/>
    <n v="14"/>
    <x v="4"/>
    <s v="4ºC"/>
    <x v="0"/>
    <s v="Mineral"/>
    <x v="1"/>
    <s v="3 - Parceria"/>
    <n v="6.91"/>
    <n v="6.91"/>
    <n v="6.91"/>
    <n v="6.91"/>
    <n v="331.68"/>
    <n v="331.68"/>
    <n v="331.68"/>
    <n v="254.02"/>
    <x v="0"/>
    <x v="1"/>
    <x v="0"/>
    <x v="0"/>
    <x v="0"/>
    <n v="6.91"/>
    <n v="6.91"/>
    <n v="6.91"/>
    <n v="331.68"/>
    <n v="331.68"/>
    <n v="331.68"/>
    <n v="254.02"/>
    <n v="254.02"/>
    <n v="254.02"/>
    <x v="1"/>
    <x v="0"/>
    <x v="0"/>
    <n v="0"/>
    <x v="0"/>
  </r>
  <r>
    <x v="35"/>
    <x v="33"/>
    <n v="15"/>
    <x v="4"/>
    <s v="4ºC"/>
    <x v="0"/>
    <s v="Mineral"/>
    <x v="1"/>
    <s v="3 - Parceria"/>
    <n v="3.31"/>
    <n v="3.31"/>
    <n v="3.31"/>
    <n v="3.31"/>
    <n v="158.88"/>
    <n v="158.88"/>
    <n v="158.88"/>
    <n v="121.65"/>
    <x v="0"/>
    <x v="1"/>
    <x v="0"/>
    <x v="0"/>
    <x v="0"/>
    <n v="3.31"/>
    <n v="3.31"/>
    <n v="3.31"/>
    <n v="158.88"/>
    <n v="158.88"/>
    <n v="158.88"/>
    <n v="121.65"/>
    <n v="121.65"/>
    <n v="121.65"/>
    <x v="1"/>
    <x v="0"/>
    <x v="0"/>
    <n v="0"/>
    <x v="0"/>
  </r>
  <r>
    <x v="35"/>
    <x v="33"/>
    <n v="16"/>
    <x v="4"/>
    <s v="4ºC"/>
    <x v="0"/>
    <s v="Mineral"/>
    <x v="1"/>
    <s v="3 - Parceria"/>
    <n v="4.62"/>
    <n v="4.62"/>
    <n v="4.62"/>
    <n v="4.62"/>
    <n v="221.76"/>
    <n v="221.76"/>
    <n v="221.76"/>
    <n v="169.88"/>
    <x v="0"/>
    <x v="1"/>
    <x v="0"/>
    <x v="0"/>
    <x v="0"/>
    <n v="4.62"/>
    <n v="4.62"/>
    <n v="4.62"/>
    <n v="221.76"/>
    <n v="221.76"/>
    <n v="221.76"/>
    <n v="169.88"/>
    <n v="169.88"/>
    <n v="169.88"/>
    <x v="1"/>
    <x v="0"/>
    <x v="0"/>
    <n v="0"/>
    <x v="0"/>
  </r>
  <r>
    <x v="35"/>
    <x v="33"/>
    <n v="17"/>
    <x v="5"/>
    <s v="2ºC"/>
    <x v="0"/>
    <s v="Mineral"/>
    <x v="11"/>
    <s v="3 - Parceria"/>
    <n v="4.6900000000000004"/>
    <n v="4.6900000000000004"/>
    <n v="0"/>
    <n v="4.6900000000000004"/>
    <n v="351.75"/>
    <n v="351.75"/>
    <n v="0"/>
    <n v="264.67"/>
    <x v="0"/>
    <x v="18"/>
    <x v="0"/>
    <x v="0"/>
    <x v="1"/>
    <n v="4.6900000000000004"/>
    <n v="4.6900000000000004"/>
    <n v="4.6900000000000004"/>
    <n v="351.75"/>
    <n v="351.75"/>
    <n v="264.67"/>
    <n v="264.67"/>
    <n v="264.67"/>
    <n v="264.67"/>
    <x v="1"/>
    <x v="0"/>
    <x v="0"/>
    <n v="0"/>
    <x v="0"/>
  </r>
  <r>
    <x v="36"/>
    <x v="34"/>
    <n v="1"/>
    <x v="6"/>
    <s v="5ºC"/>
    <x v="0"/>
    <s v="Mineral"/>
    <x v="27"/>
    <s v="3 - Parceria"/>
    <n v="2.5499999999999998"/>
    <n v="0"/>
    <n v="0"/>
    <n v="2.5499999999999998"/>
    <n v="153"/>
    <n v="0"/>
    <n v="0"/>
    <n v="210.54"/>
    <x v="0"/>
    <x v="23"/>
    <x v="0"/>
    <x v="1"/>
    <x v="1"/>
    <n v="2.5499999999999998"/>
    <n v="2.5499999999999998"/>
    <n v="2.5499999999999998"/>
    <n v="153"/>
    <n v="210.54"/>
    <n v="210.54"/>
    <n v="210.54"/>
    <n v="210.54"/>
    <n v="210.54"/>
    <x v="1"/>
    <x v="0"/>
    <x v="0"/>
    <n v="0"/>
    <x v="0"/>
  </r>
  <r>
    <x v="36"/>
    <x v="34"/>
    <n v="2"/>
    <x v="6"/>
    <s v="5ºC"/>
    <x v="0"/>
    <s v="Mineral"/>
    <x v="27"/>
    <s v="3 - Parceria"/>
    <n v="2.36"/>
    <n v="0"/>
    <n v="0"/>
    <n v="2.36"/>
    <n v="141.6"/>
    <n v="0"/>
    <n v="0"/>
    <n v="195.39"/>
    <x v="0"/>
    <x v="23"/>
    <x v="0"/>
    <x v="1"/>
    <x v="1"/>
    <n v="2.36"/>
    <n v="2.36"/>
    <n v="2.36"/>
    <n v="141.6"/>
    <n v="195.39"/>
    <n v="195.39"/>
    <n v="195.39"/>
    <n v="195.39"/>
    <n v="195.39"/>
    <x v="1"/>
    <x v="0"/>
    <x v="0"/>
    <n v="0"/>
    <x v="0"/>
  </r>
  <r>
    <x v="36"/>
    <x v="34"/>
    <n v="3"/>
    <x v="6"/>
    <s v="5ºC"/>
    <x v="0"/>
    <s v="Mineral"/>
    <x v="27"/>
    <s v="3 - Parceria"/>
    <n v="3.55"/>
    <n v="0"/>
    <n v="0"/>
    <n v="3.55"/>
    <n v="213"/>
    <n v="0"/>
    <n v="0"/>
    <n v="293.10000000000002"/>
    <x v="0"/>
    <x v="23"/>
    <x v="0"/>
    <x v="1"/>
    <x v="1"/>
    <n v="3.55"/>
    <n v="3.55"/>
    <n v="3.55"/>
    <n v="213"/>
    <n v="293.10000000000002"/>
    <n v="293.10000000000002"/>
    <n v="293.10000000000002"/>
    <n v="293.10000000000002"/>
    <n v="293.10000000000002"/>
    <x v="1"/>
    <x v="0"/>
    <x v="0"/>
    <n v="0"/>
    <x v="0"/>
  </r>
  <r>
    <x v="36"/>
    <x v="34"/>
    <n v="4"/>
    <x v="6"/>
    <s v="5ºC"/>
    <x v="0"/>
    <s v="Mineral"/>
    <x v="27"/>
    <s v="3 - Parceria"/>
    <n v="2.5099999999999998"/>
    <n v="0"/>
    <n v="0"/>
    <n v="2.5099999999999998"/>
    <n v="150.6"/>
    <n v="0"/>
    <n v="0"/>
    <n v="207.78"/>
    <x v="0"/>
    <x v="23"/>
    <x v="0"/>
    <x v="1"/>
    <x v="1"/>
    <n v="2.5099999999999998"/>
    <n v="2.5099999999999998"/>
    <n v="2.5099999999999998"/>
    <n v="150.6"/>
    <n v="207.78"/>
    <n v="207.78"/>
    <n v="207.78"/>
    <n v="207.78"/>
    <n v="207.78"/>
    <x v="1"/>
    <x v="0"/>
    <x v="0"/>
    <n v="0"/>
    <x v="0"/>
  </r>
  <r>
    <x v="36"/>
    <x v="34"/>
    <n v="5"/>
    <x v="6"/>
    <s v="5ºC"/>
    <x v="0"/>
    <s v="Mineral"/>
    <x v="27"/>
    <s v="3 - Parceria"/>
    <n v="2.4300000000000002"/>
    <n v="0"/>
    <n v="0"/>
    <n v="2.4300000000000002"/>
    <n v="145.80000000000001"/>
    <n v="0"/>
    <n v="0"/>
    <n v="200.9"/>
    <x v="0"/>
    <x v="23"/>
    <x v="0"/>
    <x v="1"/>
    <x v="1"/>
    <n v="2.4300000000000002"/>
    <n v="2.4300000000000002"/>
    <n v="2.4300000000000002"/>
    <n v="145.80000000000001"/>
    <n v="200.9"/>
    <n v="200.9"/>
    <n v="200.9"/>
    <n v="200.9"/>
    <n v="200.9"/>
    <x v="1"/>
    <x v="0"/>
    <x v="0"/>
    <n v="0"/>
    <x v="0"/>
  </r>
  <r>
    <x v="36"/>
    <x v="34"/>
    <n v="6"/>
    <x v="6"/>
    <s v="5ºC"/>
    <x v="0"/>
    <s v="Mineral"/>
    <x v="27"/>
    <s v="3 - Parceria"/>
    <n v="2.96"/>
    <n v="0"/>
    <n v="0"/>
    <n v="2.96"/>
    <n v="177.6"/>
    <n v="0"/>
    <n v="0"/>
    <n v="244.94"/>
    <x v="0"/>
    <x v="23"/>
    <x v="0"/>
    <x v="1"/>
    <x v="1"/>
    <n v="2.96"/>
    <n v="2.96"/>
    <n v="2.96"/>
    <n v="177.6"/>
    <n v="244.94"/>
    <n v="244.94"/>
    <n v="244.94"/>
    <n v="244.94"/>
    <n v="244.94"/>
    <x v="1"/>
    <x v="0"/>
    <x v="0"/>
    <n v="0"/>
    <x v="0"/>
  </r>
  <r>
    <x v="36"/>
    <x v="34"/>
    <n v="7"/>
    <x v="6"/>
    <s v="5ºC"/>
    <x v="0"/>
    <s v="Mineral"/>
    <x v="27"/>
    <s v="3 - Parceria"/>
    <n v="1.63"/>
    <n v="0"/>
    <n v="0"/>
    <n v="1.63"/>
    <n v="97.8"/>
    <n v="0"/>
    <n v="0"/>
    <n v="135.01"/>
    <x v="0"/>
    <x v="23"/>
    <x v="0"/>
    <x v="1"/>
    <x v="1"/>
    <n v="1.63"/>
    <n v="1.63"/>
    <n v="1.63"/>
    <n v="97.8"/>
    <n v="135.01"/>
    <n v="135.01"/>
    <n v="135.01"/>
    <n v="135.01"/>
    <n v="135.01"/>
    <x v="1"/>
    <x v="0"/>
    <x v="0"/>
    <n v="0"/>
    <x v="0"/>
  </r>
  <r>
    <x v="37"/>
    <x v="35"/>
    <n v="15"/>
    <x v="6"/>
    <s v="5ºC"/>
    <x v="0"/>
    <s v="Mineral"/>
    <x v="8"/>
    <s v="3 - Parceria"/>
    <n v="51.78"/>
    <n v="51.78"/>
    <n v="51.78"/>
    <n v="51.78"/>
    <n v="1967.64"/>
    <n v="2071.1999999999998"/>
    <n v="2071.1999999999998"/>
    <n v="2156.1999999999998"/>
    <x v="0"/>
    <x v="0"/>
    <x v="0"/>
    <x v="0"/>
    <x v="0"/>
    <n v="51.78"/>
    <n v="51.78"/>
    <n v="51.78"/>
    <n v="1967.64"/>
    <n v="2071.1999999999998"/>
    <n v="2071.1999999999998"/>
    <n v="2156.1999999999998"/>
    <n v="2156.1999999999998"/>
    <n v="2156.1999999999998"/>
    <x v="1"/>
    <x v="0"/>
    <x v="0"/>
    <n v="0"/>
    <x v="0"/>
  </r>
  <r>
    <x v="37"/>
    <x v="35"/>
    <n v="16"/>
    <x v="6"/>
    <s v="5ºC"/>
    <x v="0"/>
    <s v="Mineral"/>
    <x v="8"/>
    <s v="3 - Parceria"/>
    <n v="38.74"/>
    <n v="38.74"/>
    <n v="38.74"/>
    <n v="38.74"/>
    <n v="1472.12"/>
    <n v="1549.6"/>
    <n v="1549.6"/>
    <n v="1613.87"/>
    <x v="0"/>
    <x v="0"/>
    <x v="0"/>
    <x v="0"/>
    <x v="0"/>
    <n v="38.74"/>
    <n v="38.74"/>
    <n v="38.74"/>
    <n v="1472.12"/>
    <n v="1549.6"/>
    <n v="1549.6"/>
    <n v="1613.87"/>
    <n v="1613.87"/>
    <n v="1613.87"/>
    <x v="1"/>
    <x v="0"/>
    <x v="0"/>
    <n v="0"/>
    <x v="0"/>
  </r>
  <r>
    <x v="37"/>
    <x v="35"/>
    <n v="17"/>
    <x v="6"/>
    <s v="5ºC"/>
    <x v="0"/>
    <s v="Mineral"/>
    <x v="27"/>
    <s v="3 - Parceria"/>
    <n v="0.72"/>
    <n v="0"/>
    <n v="0"/>
    <n v="0.72"/>
    <n v="25.2"/>
    <n v="0"/>
    <n v="0"/>
    <n v="29.23"/>
    <x v="0"/>
    <x v="23"/>
    <x v="0"/>
    <x v="1"/>
    <x v="1"/>
    <n v="0.72"/>
    <n v="0.72"/>
    <n v="0.72"/>
    <n v="25.2"/>
    <n v="29.23"/>
    <n v="29.23"/>
    <n v="29.23"/>
    <n v="29.23"/>
    <n v="29.23"/>
    <x v="1"/>
    <x v="0"/>
    <x v="0"/>
    <n v="0"/>
    <x v="0"/>
  </r>
  <r>
    <x v="37"/>
    <x v="35"/>
    <n v="18"/>
    <x v="6"/>
    <s v="5ºC"/>
    <x v="0"/>
    <s v="Mineral"/>
    <x v="27"/>
    <s v="3 - Parceria"/>
    <n v="4.01"/>
    <n v="0"/>
    <n v="0"/>
    <n v="4.01"/>
    <n v="140.35"/>
    <n v="0"/>
    <n v="0"/>
    <n v="163.78"/>
    <x v="0"/>
    <x v="23"/>
    <x v="0"/>
    <x v="1"/>
    <x v="1"/>
    <n v="4.01"/>
    <n v="4.01"/>
    <n v="4.01"/>
    <n v="140.35"/>
    <n v="163.78"/>
    <n v="163.78"/>
    <n v="163.78"/>
    <n v="163.78"/>
    <n v="163.78"/>
    <x v="1"/>
    <x v="0"/>
    <x v="0"/>
    <n v="0"/>
    <x v="0"/>
  </r>
  <r>
    <x v="37"/>
    <x v="35"/>
    <n v="19"/>
    <x v="6"/>
    <s v="5ºC"/>
    <x v="0"/>
    <s v="Mineral"/>
    <x v="27"/>
    <s v="3 - Parceria"/>
    <n v="4.87"/>
    <n v="0"/>
    <n v="0"/>
    <n v="4.87"/>
    <n v="170.45"/>
    <n v="0"/>
    <n v="0"/>
    <n v="198.88"/>
    <x v="0"/>
    <x v="23"/>
    <x v="0"/>
    <x v="1"/>
    <x v="1"/>
    <n v="4.87"/>
    <n v="4.87"/>
    <n v="4.87"/>
    <n v="170.45"/>
    <n v="198.88"/>
    <n v="198.88"/>
    <n v="198.88"/>
    <n v="198.88"/>
    <n v="198.88"/>
    <x v="1"/>
    <x v="0"/>
    <x v="0"/>
    <n v="0"/>
    <x v="0"/>
  </r>
  <r>
    <x v="37"/>
    <x v="35"/>
    <n v="20"/>
    <x v="6"/>
    <s v="5ºC"/>
    <x v="0"/>
    <s v="Mineral"/>
    <x v="27"/>
    <s v="3 - Parceria"/>
    <n v="5.27"/>
    <n v="0"/>
    <n v="0"/>
    <n v="5.27"/>
    <n v="184.45"/>
    <n v="0"/>
    <n v="0"/>
    <n v="215.26"/>
    <x v="0"/>
    <x v="23"/>
    <x v="0"/>
    <x v="1"/>
    <x v="1"/>
    <n v="5.27"/>
    <n v="5.27"/>
    <n v="5.27"/>
    <n v="184.45"/>
    <n v="215.26"/>
    <n v="215.26"/>
    <n v="215.26"/>
    <n v="215.26"/>
    <n v="215.26"/>
    <x v="1"/>
    <x v="0"/>
    <x v="0"/>
    <n v="0"/>
    <x v="0"/>
  </r>
  <r>
    <x v="37"/>
    <x v="35"/>
    <n v="21"/>
    <x v="6"/>
    <s v="5ºC"/>
    <x v="0"/>
    <s v="Mineral"/>
    <x v="27"/>
    <s v="3 - Parceria"/>
    <n v="3.81"/>
    <n v="0"/>
    <n v="0"/>
    <n v="3.81"/>
    <n v="133.35"/>
    <n v="0"/>
    <n v="0"/>
    <n v="155.59"/>
    <x v="0"/>
    <x v="23"/>
    <x v="0"/>
    <x v="1"/>
    <x v="1"/>
    <n v="3.81"/>
    <n v="3.81"/>
    <n v="3.81"/>
    <n v="133.35"/>
    <n v="155.59"/>
    <n v="155.59"/>
    <n v="155.59"/>
    <n v="155.59"/>
    <n v="155.59"/>
    <x v="1"/>
    <x v="0"/>
    <x v="0"/>
    <n v="0"/>
    <x v="0"/>
  </r>
  <r>
    <x v="37"/>
    <x v="35"/>
    <n v="22"/>
    <x v="6"/>
    <s v="5ºC"/>
    <x v="0"/>
    <s v="Mineral"/>
    <x v="27"/>
    <s v="3 - Parceria"/>
    <n v="3.32"/>
    <n v="0"/>
    <n v="0"/>
    <n v="3.32"/>
    <n v="116.2"/>
    <n v="0"/>
    <n v="0"/>
    <n v="135.69999999999999"/>
    <x v="0"/>
    <x v="23"/>
    <x v="0"/>
    <x v="1"/>
    <x v="1"/>
    <n v="3.32"/>
    <n v="3.32"/>
    <n v="3.32"/>
    <n v="116.2"/>
    <n v="135.69999999999999"/>
    <n v="135.69999999999999"/>
    <n v="135.69999999999999"/>
    <n v="135.69999999999999"/>
    <n v="135.69999999999999"/>
    <x v="1"/>
    <x v="0"/>
    <x v="0"/>
    <n v="0"/>
    <x v="0"/>
  </r>
  <r>
    <x v="37"/>
    <x v="35"/>
    <n v="23"/>
    <x v="6"/>
    <s v="5ºC"/>
    <x v="0"/>
    <s v="Mineral"/>
    <x v="27"/>
    <s v="3 - Parceria"/>
    <n v="0.39"/>
    <n v="0"/>
    <n v="0"/>
    <n v="0.39"/>
    <n v="13.65"/>
    <n v="0"/>
    <n v="0"/>
    <n v="16.36"/>
    <x v="0"/>
    <x v="23"/>
    <x v="0"/>
    <x v="1"/>
    <x v="1"/>
    <n v="0.39"/>
    <n v="0.39"/>
    <n v="0.39"/>
    <n v="13.65"/>
    <n v="16.36"/>
    <n v="16.36"/>
    <n v="16.36"/>
    <n v="16.36"/>
    <n v="16.36"/>
    <x v="1"/>
    <x v="0"/>
    <x v="0"/>
    <n v="0"/>
    <x v="0"/>
  </r>
  <r>
    <x v="37"/>
    <x v="35"/>
    <n v="24"/>
    <x v="6"/>
    <s v="5ºC"/>
    <x v="0"/>
    <s v="Mineral"/>
    <x v="27"/>
    <s v="3 - Parceria"/>
    <n v="4.29"/>
    <n v="0"/>
    <n v="0"/>
    <n v="4.29"/>
    <n v="150.15"/>
    <n v="0"/>
    <n v="0"/>
    <n v="175.48"/>
    <x v="0"/>
    <x v="23"/>
    <x v="0"/>
    <x v="1"/>
    <x v="1"/>
    <n v="4.29"/>
    <n v="4.29"/>
    <n v="4.29"/>
    <n v="150.15"/>
    <n v="175.48"/>
    <n v="175.48"/>
    <n v="175.48"/>
    <n v="175.48"/>
    <n v="175.48"/>
    <x v="1"/>
    <x v="0"/>
    <x v="0"/>
    <n v="0"/>
    <x v="0"/>
  </r>
  <r>
    <x v="37"/>
    <x v="35"/>
    <n v="25"/>
    <x v="6"/>
    <s v="5ºC"/>
    <x v="0"/>
    <s v="Mineral"/>
    <x v="27"/>
    <s v="3 - Parceria"/>
    <n v="2.5"/>
    <n v="0"/>
    <n v="0"/>
    <n v="2.5"/>
    <n v="87.5"/>
    <n v="0"/>
    <n v="0"/>
    <n v="103.11"/>
    <x v="0"/>
    <x v="23"/>
    <x v="0"/>
    <x v="1"/>
    <x v="1"/>
    <n v="2.5"/>
    <n v="2.5"/>
    <n v="2.5"/>
    <n v="87.5"/>
    <n v="103.11"/>
    <n v="103.11"/>
    <n v="103.11"/>
    <n v="103.11"/>
    <n v="103.11"/>
    <x v="1"/>
    <x v="0"/>
    <x v="0"/>
    <n v="0"/>
    <x v="0"/>
  </r>
  <r>
    <x v="38"/>
    <x v="36"/>
    <n v="1"/>
    <x v="2"/>
    <s v="3ºC"/>
    <x v="0"/>
    <s v="Fertirrigação"/>
    <x v="13"/>
    <s v="3 - Parceria"/>
    <n v="24.57"/>
    <n v="24.57"/>
    <n v="24.57"/>
    <n v="24.57"/>
    <n v="1769.04"/>
    <n v="1719.9"/>
    <n v="1719.9"/>
    <n v="2449.9699999999998"/>
    <x v="0"/>
    <x v="32"/>
    <x v="0"/>
    <x v="0"/>
    <x v="0"/>
    <n v="24.57"/>
    <n v="24.57"/>
    <n v="24.57"/>
    <n v="1769.04"/>
    <n v="1719.9"/>
    <n v="1719.9"/>
    <n v="2449.9699999999998"/>
    <n v="2449.9699999999998"/>
    <n v="2449.9699999999998"/>
    <x v="1"/>
    <x v="2"/>
    <x v="5"/>
    <n v="638.82000000000005"/>
    <x v="1"/>
  </r>
  <r>
    <x v="38"/>
    <x v="36"/>
    <n v="2"/>
    <x v="2"/>
    <s v="3ºC"/>
    <x v="0"/>
    <s v="Fertirrigação"/>
    <x v="13"/>
    <s v="3 - Parceria"/>
    <n v="23.3"/>
    <n v="23.3"/>
    <n v="23.3"/>
    <n v="23.3"/>
    <n v="1677.6"/>
    <n v="1631"/>
    <n v="1631"/>
    <n v="1065.52"/>
    <x v="0"/>
    <x v="34"/>
    <x v="0"/>
    <x v="0"/>
    <x v="0"/>
    <n v="23.3"/>
    <n v="23.3"/>
    <n v="23.3"/>
    <n v="1677.6"/>
    <n v="1631"/>
    <n v="1631"/>
    <n v="1065.52"/>
    <n v="1065.52"/>
    <n v="1065.52"/>
    <x v="1"/>
    <x v="2"/>
    <x v="5"/>
    <n v="605.80000000000007"/>
    <x v="1"/>
  </r>
  <r>
    <x v="38"/>
    <x v="36"/>
    <n v="3"/>
    <x v="2"/>
    <s v="3ºC"/>
    <x v="0"/>
    <s v="Fertirrigação"/>
    <x v="13"/>
    <s v="3 - Parceria"/>
    <n v="25.17"/>
    <n v="25.17"/>
    <n v="25.17"/>
    <n v="25.17"/>
    <n v="1812.24"/>
    <n v="1761.9"/>
    <n v="1761.9"/>
    <n v="1151.0999999999999"/>
    <x v="0"/>
    <x v="34"/>
    <x v="0"/>
    <x v="0"/>
    <x v="0"/>
    <n v="25.17"/>
    <n v="25.17"/>
    <n v="25.17"/>
    <n v="1812.24"/>
    <n v="1761.9"/>
    <n v="1761.9"/>
    <n v="1151.0999999999999"/>
    <n v="1151.0999999999999"/>
    <n v="1151.0999999999999"/>
    <x v="1"/>
    <x v="2"/>
    <x v="5"/>
    <n v="654.42000000000007"/>
    <x v="1"/>
  </r>
  <r>
    <x v="38"/>
    <x v="36"/>
    <n v="4"/>
    <x v="2"/>
    <s v="3ºC"/>
    <x v="0"/>
    <s v="Fertirrigação"/>
    <x v="13"/>
    <s v="3 - Parceria"/>
    <n v="21.21"/>
    <n v="21.21"/>
    <n v="21.21"/>
    <n v="21.21"/>
    <n v="1527.12"/>
    <n v="1484.7"/>
    <n v="1399.86"/>
    <n v="914.6"/>
    <x v="0"/>
    <x v="34"/>
    <x v="0"/>
    <x v="0"/>
    <x v="0"/>
    <n v="21.21"/>
    <n v="21.21"/>
    <n v="21.21"/>
    <n v="1527.12"/>
    <n v="1484.7"/>
    <n v="1399.86"/>
    <n v="914.6"/>
    <n v="914.6"/>
    <n v="914.6"/>
    <x v="0"/>
    <x v="2"/>
    <x v="5"/>
    <n v="551.46"/>
    <x v="1"/>
  </r>
  <r>
    <x v="38"/>
    <x v="36"/>
    <n v="5"/>
    <x v="2"/>
    <s v="3ºC"/>
    <x v="0"/>
    <s v="Fertirrigação"/>
    <x v="13"/>
    <s v="3 - Parceria"/>
    <n v="12.76"/>
    <n v="12.76"/>
    <n v="12.76"/>
    <n v="12.76"/>
    <n v="918.72"/>
    <n v="893.2"/>
    <n v="842.16"/>
    <n v="550.28"/>
    <x v="0"/>
    <x v="34"/>
    <x v="0"/>
    <x v="0"/>
    <x v="0"/>
    <n v="12.76"/>
    <n v="12.76"/>
    <n v="12.76"/>
    <n v="918.72"/>
    <n v="893.2"/>
    <n v="842.16"/>
    <n v="550.28"/>
    <n v="550.28"/>
    <n v="550.28"/>
    <x v="0"/>
    <x v="2"/>
    <x v="5"/>
    <n v="331.76"/>
    <x v="1"/>
  </r>
  <r>
    <x v="39"/>
    <x v="37"/>
    <n v="1"/>
    <x v="2"/>
    <s v="3ºC"/>
    <x v="0"/>
    <s v="Fertirrigação"/>
    <x v="13"/>
    <s v="3 - Parceria"/>
    <n v="12.71"/>
    <n v="12.71"/>
    <n v="12.71"/>
    <n v="12.71"/>
    <n v="813.44"/>
    <n v="813.44"/>
    <n v="813.44"/>
    <n v="594"/>
    <x v="0"/>
    <x v="34"/>
    <x v="0"/>
    <x v="0"/>
    <x v="0"/>
    <n v="12.71"/>
    <n v="12.71"/>
    <n v="12.71"/>
    <n v="813.44"/>
    <n v="813.44"/>
    <n v="813.44"/>
    <n v="594"/>
    <n v="594"/>
    <n v="594"/>
    <x v="1"/>
    <x v="2"/>
    <x v="5"/>
    <n v="330.46000000000004"/>
    <x v="1"/>
  </r>
  <r>
    <x v="39"/>
    <x v="37"/>
    <n v="2"/>
    <x v="2"/>
    <s v="3ºC"/>
    <x v="0"/>
    <s v="Fertirrigação"/>
    <x v="13"/>
    <s v="3 - Parceria"/>
    <n v="11.15"/>
    <n v="11.15"/>
    <n v="11.15"/>
    <n v="11.15"/>
    <n v="713.6"/>
    <n v="624.4"/>
    <n v="624.4"/>
    <n v="455.94"/>
    <x v="0"/>
    <x v="34"/>
    <x v="0"/>
    <x v="0"/>
    <x v="0"/>
    <n v="11.15"/>
    <n v="11.15"/>
    <n v="11.15"/>
    <n v="713.6"/>
    <n v="624.4"/>
    <n v="624.4"/>
    <n v="455.94"/>
    <n v="455.94"/>
    <n v="455.94"/>
    <x v="1"/>
    <x v="2"/>
    <x v="5"/>
    <n v="289.90000000000003"/>
    <x v="1"/>
  </r>
  <r>
    <x v="39"/>
    <x v="37"/>
    <n v="3"/>
    <x v="2"/>
    <s v="3ºC"/>
    <x v="0"/>
    <s v="Fertirrigação"/>
    <x v="13"/>
    <s v="3 - Parceria"/>
    <n v="13.84"/>
    <n v="13.84"/>
    <n v="13.84"/>
    <n v="13.84"/>
    <n v="885.76"/>
    <n v="775.04"/>
    <n v="775.04"/>
    <n v="448.21"/>
    <x v="0"/>
    <x v="34"/>
    <x v="0"/>
    <x v="0"/>
    <x v="0"/>
    <n v="13.84"/>
    <n v="13.84"/>
    <n v="13.84"/>
    <n v="885.76"/>
    <n v="775.04"/>
    <n v="775.04"/>
    <n v="448.21"/>
    <n v="448.21"/>
    <n v="448.21"/>
    <x v="1"/>
    <x v="2"/>
    <x v="5"/>
    <n v="359.84"/>
    <x v="1"/>
  </r>
  <r>
    <x v="40"/>
    <x v="38"/>
    <n v="8"/>
    <x v="4"/>
    <s v="4ºC"/>
    <x v="0"/>
    <s v="Mineral"/>
    <x v="13"/>
    <s v="3 - Parceria"/>
    <n v="13.25"/>
    <n v="13.25"/>
    <n v="0"/>
    <n v="13.25"/>
    <n v="530"/>
    <n v="543.25"/>
    <n v="0"/>
    <n v="523.69000000000005"/>
    <x v="0"/>
    <x v="10"/>
    <x v="0"/>
    <x v="0"/>
    <x v="1"/>
    <n v="13.25"/>
    <n v="13.25"/>
    <n v="13.25"/>
    <n v="530"/>
    <n v="543.25"/>
    <n v="523.69000000000005"/>
    <n v="523.69000000000005"/>
    <n v="523.69000000000005"/>
    <n v="523.69000000000005"/>
    <x v="1"/>
    <x v="0"/>
    <x v="0"/>
    <n v="0"/>
    <x v="0"/>
  </r>
  <r>
    <x v="40"/>
    <x v="38"/>
    <n v="9"/>
    <x v="4"/>
    <s v="4ºC"/>
    <x v="0"/>
    <s v="Mineral"/>
    <x v="13"/>
    <s v="3 - Parceria"/>
    <n v="6.54"/>
    <n v="6.54"/>
    <n v="0"/>
    <n v="6.54"/>
    <n v="261.60000000000002"/>
    <n v="268.14"/>
    <n v="0"/>
    <n v="258.45999999999998"/>
    <x v="0"/>
    <x v="10"/>
    <x v="0"/>
    <x v="0"/>
    <x v="1"/>
    <n v="6.54"/>
    <n v="6.54"/>
    <n v="6.54"/>
    <n v="261.60000000000002"/>
    <n v="268.14"/>
    <n v="258.45999999999998"/>
    <n v="258.45999999999998"/>
    <n v="258.45999999999998"/>
    <n v="258.45999999999998"/>
    <x v="1"/>
    <x v="0"/>
    <x v="0"/>
    <n v="0"/>
    <x v="0"/>
  </r>
  <r>
    <x v="40"/>
    <x v="38"/>
    <n v="10"/>
    <x v="4"/>
    <s v="4ºC"/>
    <x v="0"/>
    <s v="Mineral"/>
    <x v="13"/>
    <s v="3 - Parceria"/>
    <n v="7.25"/>
    <n v="7.25"/>
    <n v="0"/>
    <n v="7.25"/>
    <n v="290"/>
    <n v="297.25"/>
    <n v="0"/>
    <n v="286.42"/>
    <x v="0"/>
    <x v="10"/>
    <x v="0"/>
    <x v="0"/>
    <x v="1"/>
    <n v="7.25"/>
    <n v="7.25"/>
    <n v="7.25"/>
    <n v="290"/>
    <n v="297.25"/>
    <n v="286.42"/>
    <n v="286.42"/>
    <n v="286.42"/>
    <n v="286.42"/>
    <x v="1"/>
    <x v="0"/>
    <x v="0"/>
    <n v="0"/>
    <x v="0"/>
  </r>
  <r>
    <x v="40"/>
    <x v="38"/>
    <n v="11"/>
    <x v="4"/>
    <s v="4ºC"/>
    <x v="0"/>
    <s v="Mineral"/>
    <x v="13"/>
    <s v="3 - Parceria"/>
    <n v="2.4"/>
    <n v="2.4"/>
    <n v="0"/>
    <n v="2.4"/>
    <n v="96"/>
    <n v="98.4"/>
    <n v="0"/>
    <n v="94.5"/>
    <x v="0"/>
    <x v="10"/>
    <x v="0"/>
    <x v="0"/>
    <x v="1"/>
    <n v="2.4"/>
    <n v="2.4"/>
    <n v="2.4"/>
    <n v="96"/>
    <n v="98.4"/>
    <n v="94.5"/>
    <n v="94.5"/>
    <n v="94.5"/>
    <n v="94.5"/>
    <x v="1"/>
    <x v="0"/>
    <x v="0"/>
    <n v="0"/>
    <x v="0"/>
  </r>
  <r>
    <x v="40"/>
    <x v="38"/>
    <n v="12"/>
    <x v="4"/>
    <s v="4ºC"/>
    <x v="0"/>
    <s v="Mineral"/>
    <x v="13"/>
    <s v="3 - Parceria"/>
    <n v="6.08"/>
    <n v="6.08"/>
    <n v="0"/>
    <n v="6.08"/>
    <n v="243.2"/>
    <n v="249.28"/>
    <n v="0"/>
    <n v="240.25"/>
    <x v="0"/>
    <x v="10"/>
    <x v="0"/>
    <x v="0"/>
    <x v="1"/>
    <n v="6.08"/>
    <n v="6.08"/>
    <n v="6.08"/>
    <n v="243.2"/>
    <n v="249.28"/>
    <n v="240.25"/>
    <n v="240.25"/>
    <n v="240.25"/>
    <n v="240.25"/>
    <x v="1"/>
    <x v="0"/>
    <x v="0"/>
    <n v="0"/>
    <x v="0"/>
  </r>
  <r>
    <x v="41"/>
    <x v="39"/>
    <n v="1"/>
    <x v="6"/>
    <s v="5ºC"/>
    <x v="0"/>
    <s v="Fertirrigação"/>
    <x v="3"/>
    <s v="3 - Parceria"/>
    <n v="16.68"/>
    <n v="0"/>
    <n v="0"/>
    <n v="16.68"/>
    <n v="667.2"/>
    <n v="0"/>
    <n v="0"/>
    <n v="857.48"/>
    <x v="0"/>
    <x v="29"/>
    <x v="0"/>
    <x v="1"/>
    <x v="1"/>
    <n v="16.68"/>
    <n v="16.68"/>
    <n v="16.68"/>
    <n v="667.2"/>
    <n v="857.48"/>
    <n v="857.48"/>
    <n v="857.48"/>
    <n v="857.48"/>
    <n v="857.48"/>
    <x v="1"/>
    <x v="1"/>
    <x v="0"/>
    <n v="0"/>
    <x v="0"/>
  </r>
  <r>
    <x v="41"/>
    <x v="39"/>
    <n v="2"/>
    <x v="6"/>
    <s v="5ºC"/>
    <x v="0"/>
    <s v="Fertirrigação"/>
    <x v="3"/>
    <s v="3 - Parceria"/>
    <n v="3.84"/>
    <n v="0"/>
    <n v="0"/>
    <n v="3.84"/>
    <n v="153.6"/>
    <n v="0"/>
    <n v="0"/>
    <n v="197.94"/>
    <x v="0"/>
    <x v="29"/>
    <x v="0"/>
    <x v="1"/>
    <x v="1"/>
    <n v="3.84"/>
    <n v="3.84"/>
    <n v="3.84"/>
    <n v="153.6"/>
    <n v="197.94"/>
    <n v="197.94"/>
    <n v="197.94"/>
    <n v="197.94"/>
    <n v="197.94"/>
    <x v="1"/>
    <x v="1"/>
    <x v="0"/>
    <n v="0"/>
    <x v="0"/>
  </r>
  <r>
    <x v="41"/>
    <x v="39"/>
    <n v="3"/>
    <x v="6"/>
    <s v="5ºC"/>
    <x v="0"/>
    <s v="Fertirrigação"/>
    <x v="3"/>
    <s v="3 - Parceria"/>
    <n v="12.92"/>
    <n v="0"/>
    <n v="0"/>
    <n v="12.92"/>
    <n v="516.79999999999995"/>
    <n v="0"/>
    <n v="0"/>
    <n v="664.63"/>
    <x v="0"/>
    <x v="29"/>
    <x v="0"/>
    <x v="1"/>
    <x v="1"/>
    <n v="12.92"/>
    <n v="12.92"/>
    <n v="12.92"/>
    <n v="516.79999999999995"/>
    <n v="664.63"/>
    <n v="664.63"/>
    <n v="664.63"/>
    <n v="664.63"/>
    <n v="664.63"/>
    <x v="1"/>
    <x v="1"/>
    <x v="0"/>
    <n v="0"/>
    <x v="0"/>
  </r>
  <r>
    <x v="41"/>
    <x v="39"/>
    <n v="4"/>
    <x v="6"/>
    <s v="5ºC"/>
    <x v="0"/>
    <s v="Fertirrigação"/>
    <x v="3"/>
    <s v="3 - Parceria"/>
    <n v="25.25"/>
    <n v="0"/>
    <n v="0"/>
    <n v="25.25"/>
    <n v="1010"/>
    <n v="0"/>
    <n v="0"/>
    <n v="1298.6400000000001"/>
    <x v="0"/>
    <x v="29"/>
    <x v="0"/>
    <x v="1"/>
    <x v="1"/>
    <n v="25.25"/>
    <n v="25.25"/>
    <n v="25.25"/>
    <n v="1010"/>
    <n v="1298.6400000000001"/>
    <n v="1298.6400000000001"/>
    <n v="1298.6400000000001"/>
    <n v="1298.6400000000001"/>
    <n v="1298.6400000000001"/>
    <x v="1"/>
    <x v="1"/>
    <x v="0"/>
    <n v="0"/>
    <x v="0"/>
  </r>
  <r>
    <x v="41"/>
    <x v="39"/>
    <n v="5"/>
    <x v="6"/>
    <s v="5ºC"/>
    <x v="0"/>
    <s v="Fertirrigação"/>
    <x v="3"/>
    <s v="3 - Parceria"/>
    <n v="25.35"/>
    <n v="0"/>
    <n v="0"/>
    <n v="25.35"/>
    <n v="1014"/>
    <n v="0"/>
    <n v="0"/>
    <n v="2065.4"/>
    <x v="0"/>
    <x v="29"/>
    <x v="0"/>
    <x v="1"/>
    <x v="1"/>
    <n v="25.35"/>
    <n v="25.35"/>
    <n v="25.35"/>
    <n v="1014"/>
    <n v="2065.4"/>
    <n v="2065.4"/>
    <n v="2065.4"/>
    <n v="2065.4"/>
    <n v="2065.4"/>
    <x v="1"/>
    <x v="1"/>
    <x v="0"/>
    <n v="0"/>
    <x v="0"/>
  </r>
  <r>
    <x v="41"/>
    <x v="39"/>
    <n v="6"/>
    <x v="6"/>
    <s v="5ºC"/>
    <x v="0"/>
    <s v="Fertirrigação"/>
    <x v="3"/>
    <s v="3 - Parceria"/>
    <n v="22.43"/>
    <n v="0"/>
    <n v="0"/>
    <n v="22.43"/>
    <n v="897.2"/>
    <n v="0"/>
    <n v="0"/>
    <n v="1827.2"/>
    <x v="0"/>
    <x v="29"/>
    <x v="0"/>
    <x v="1"/>
    <x v="1"/>
    <n v="22.43"/>
    <n v="22.43"/>
    <n v="22.43"/>
    <n v="897.2"/>
    <n v="1827.2"/>
    <n v="1827.2"/>
    <n v="1827.2"/>
    <n v="1827.2"/>
    <n v="1827.2"/>
    <x v="1"/>
    <x v="1"/>
    <x v="0"/>
    <n v="0"/>
    <x v="0"/>
  </r>
  <r>
    <x v="41"/>
    <x v="39"/>
    <n v="7"/>
    <x v="6"/>
    <s v="5ºC"/>
    <x v="0"/>
    <s v="Fertirrigação"/>
    <x v="3"/>
    <s v="3 - Parceria"/>
    <n v="20.399999999999999"/>
    <n v="0"/>
    <n v="0"/>
    <n v="20.399999999999999"/>
    <n v="816"/>
    <n v="0"/>
    <n v="0"/>
    <n v="1405.45"/>
    <x v="0"/>
    <x v="29"/>
    <x v="0"/>
    <x v="1"/>
    <x v="1"/>
    <n v="20.399999999999999"/>
    <n v="20.399999999999999"/>
    <n v="20.399999999999999"/>
    <n v="816"/>
    <n v="1405.45"/>
    <n v="1405.45"/>
    <n v="1405.45"/>
    <n v="1405.45"/>
    <n v="1405.45"/>
    <x v="1"/>
    <x v="1"/>
    <x v="0"/>
    <n v="0"/>
    <x v="0"/>
  </r>
  <r>
    <x v="41"/>
    <x v="39"/>
    <n v="8"/>
    <x v="6"/>
    <s v="5ºC"/>
    <x v="0"/>
    <s v="Fertirrigação"/>
    <x v="3"/>
    <s v="3 - Parceria"/>
    <n v="21.81"/>
    <n v="0"/>
    <n v="0"/>
    <n v="21.81"/>
    <n v="872.4"/>
    <n v="0"/>
    <n v="0"/>
    <n v="1501.9"/>
    <x v="0"/>
    <x v="29"/>
    <x v="0"/>
    <x v="1"/>
    <x v="1"/>
    <n v="21.81"/>
    <n v="21.81"/>
    <n v="21.81"/>
    <n v="872.4"/>
    <n v="1501.9"/>
    <n v="1501.9"/>
    <n v="1501.9"/>
    <n v="1501.9"/>
    <n v="1501.9"/>
    <x v="1"/>
    <x v="1"/>
    <x v="0"/>
    <n v="0"/>
    <x v="0"/>
  </r>
  <r>
    <x v="41"/>
    <x v="39"/>
    <n v="9"/>
    <x v="6"/>
    <s v="5ºC"/>
    <x v="0"/>
    <s v="Fertirrigação"/>
    <x v="3"/>
    <s v="3 - Parceria"/>
    <n v="11.09"/>
    <n v="0"/>
    <n v="0"/>
    <n v="11.09"/>
    <n v="443.6"/>
    <n v="0"/>
    <n v="0"/>
    <n v="764.88"/>
    <x v="0"/>
    <x v="29"/>
    <x v="0"/>
    <x v="1"/>
    <x v="1"/>
    <n v="11.09"/>
    <n v="11.09"/>
    <n v="11.09"/>
    <n v="443.6"/>
    <n v="764.88"/>
    <n v="764.88"/>
    <n v="764.88"/>
    <n v="764.88"/>
    <n v="764.88"/>
    <x v="1"/>
    <x v="1"/>
    <x v="0"/>
    <n v="0"/>
    <x v="0"/>
  </r>
  <r>
    <x v="42"/>
    <x v="40"/>
    <n v="1"/>
    <x v="3"/>
    <s v="ANM"/>
    <x v="0"/>
    <s v="Mineral"/>
    <x v="28"/>
    <s v="3 - Parceria"/>
    <n v="12.92"/>
    <n v="0"/>
    <n v="0"/>
    <n v="12.92"/>
    <n v="1292"/>
    <n v="0"/>
    <n v="0"/>
    <n v="976.47"/>
    <x v="0"/>
    <x v="23"/>
    <x v="0"/>
    <x v="1"/>
    <x v="1"/>
    <n v="12.92"/>
    <n v="12.92"/>
    <n v="12.92"/>
    <n v="1292"/>
    <n v="976.47"/>
    <n v="976.47"/>
    <n v="976.47"/>
    <n v="976.47"/>
    <n v="976.47"/>
    <x v="1"/>
    <x v="0"/>
    <x v="0"/>
    <n v="0"/>
    <x v="0"/>
  </r>
  <r>
    <x v="42"/>
    <x v="40"/>
    <n v="2"/>
    <x v="3"/>
    <s v="ANM"/>
    <x v="0"/>
    <s v="Mineral"/>
    <x v="28"/>
    <s v="3 - Parceria"/>
    <n v="4.53"/>
    <n v="0"/>
    <n v="0"/>
    <n v="4.53"/>
    <n v="453"/>
    <n v="0"/>
    <n v="0"/>
    <n v="342.33"/>
    <x v="0"/>
    <x v="23"/>
    <x v="0"/>
    <x v="1"/>
    <x v="1"/>
    <n v="4.53"/>
    <n v="4.53"/>
    <n v="4.53"/>
    <n v="453"/>
    <n v="342.33"/>
    <n v="342.33"/>
    <n v="342.33"/>
    <n v="342.33"/>
    <n v="342.33"/>
    <x v="1"/>
    <x v="0"/>
    <x v="0"/>
    <n v="0"/>
    <x v="0"/>
  </r>
  <r>
    <x v="42"/>
    <x v="40"/>
    <n v="3"/>
    <x v="3"/>
    <s v="ANM"/>
    <x v="0"/>
    <s v="Mineral"/>
    <x v="28"/>
    <s v="3 - Parceria"/>
    <n v="19.100000000000001"/>
    <n v="0"/>
    <n v="0"/>
    <n v="19.100000000000001"/>
    <n v="1910"/>
    <n v="0"/>
    <n v="0"/>
    <n v="1443.56"/>
    <x v="0"/>
    <x v="23"/>
    <x v="0"/>
    <x v="1"/>
    <x v="1"/>
    <n v="19.100000000000001"/>
    <n v="19.100000000000001"/>
    <n v="19.100000000000001"/>
    <n v="1910"/>
    <n v="1443.56"/>
    <n v="1443.56"/>
    <n v="1443.56"/>
    <n v="1443.56"/>
    <n v="1443.56"/>
    <x v="1"/>
    <x v="0"/>
    <x v="0"/>
    <n v="0"/>
    <x v="0"/>
  </r>
  <r>
    <x v="42"/>
    <x v="40"/>
    <n v="4"/>
    <x v="3"/>
    <s v="ANM"/>
    <x v="0"/>
    <s v="Mineral"/>
    <x v="28"/>
    <s v="3 - Parceria"/>
    <n v="12.73"/>
    <n v="0"/>
    <n v="0"/>
    <n v="12.73"/>
    <n v="1273"/>
    <n v="0"/>
    <n v="0"/>
    <n v="962.33"/>
    <x v="0"/>
    <x v="23"/>
    <x v="0"/>
    <x v="1"/>
    <x v="1"/>
    <n v="12.73"/>
    <n v="12.73"/>
    <n v="12.73"/>
    <n v="1273"/>
    <n v="962.33"/>
    <n v="962.33"/>
    <n v="962.33"/>
    <n v="962.33"/>
    <n v="962.33"/>
    <x v="1"/>
    <x v="0"/>
    <x v="0"/>
    <n v="0"/>
    <x v="0"/>
  </r>
  <r>
    <x v="43"/>
    <x v="41"/>
    <n v="1"/>
    <x v="2"/>
    <s v="3ºC"/>
    <x v="0"/>
    <s v="Mineral"/>
    <x v="11"/>
    <s v="3 - Parceria"/>
    <n v="11.2"/>
    <n v="11.2"/>
    <n v="0"/>
    <n v="11.2"/>
    <n v="896"/>
    <n v="896"/>
    <n v="0"/>
    <n v="898.51"/>
    <x v="0"/>
    <x v="10"/>
    <x v="0"/>
    <x v="0"/>
    <x v="1"/>
    <n v="11.2"/>
    <n v="11.2"/>
    <n v="11.2"/>
    <n v="896"/>
    <n v="896"/>
    <n v="898.51"/>
    <n v="898.51"/>
    <n v="898.51"/>
    <n v="898.51"/>
    <x v="1"/>
    <x v="0"/>
    <x v="0"/>
    <n v="0"/>
    <x v="0"/>
  </r>
  <r>
    <x v="43"/>
    <x v="41"/>
    <n v="2"/>
    <x v="2"/>
    <s v="3ºC"/>
    <x v="0"/>
    <s v="Mineral"/>
    <x v="11"/>
    <s v="3 - Parceria"/>
    <n v="4.66"/>
    <n v="4.66"/>
    <n v="0"/>
    <n v="4.66"/>
    <n v="372.8"/>
    <n v="372.8"/>
    <n v="0"/>
    <n v="374.03"/>
    <x v="0"/>
    <x v="10"/>
    <x v="0"/>
    <x v="0"/>
    <x v="1"/>
    <n v="4.66"/>
    <n v="4.66"/>
    <n v="4.66"/>
    <n v="372.8"/>
    <n v="372.8"/>
    <n v="374.03"/>
    <n v="374.03"/>
    <n v="374.03"/>
    <n v="374.03"/>
    <x v="1"/>
    <x v="0"/>
    <x v="0"/>
    <n v="0"/>
    <x v="0"/>
  </r>
  <r>
    <x v="43"/>
    <x v="41"/>
    <n v="3"/>
    <x v="2"/>
    <s v="3ºC"/>
    <x v="0"/>
    <s v="Mineral"/>
    <x v="11"/>
    <s v="3 - Parceria"/>
    <n v="5.52"/>
    <n v="5.52"/>
    <n v="0"/>
    <n v="5.52"/>
    <n v="441.6"/>
    <n v="397.44"/>
    <n v="0"/>
    <n v="398.17"/>
    <x v="0"/>
    <x v="10"/>
    <x v="0"/>
    <x v="0"/>
    <x v="1"/>
    <n v="5.52"/>
    <n v="5.52"/>
    <n v="5.52"/>
    <n v="441.6"/>
    <n v="397.44"/>
    <n v="398.17"/>
    <n v="398.17"/>
    <n v="398.17"/>
    <n v="398.17"/>
    <x v="0"/>
    <x v="0"/>
    <x v="0"/>
    <n v="0"/>
    <x v="0"/>
  </r>
  <r>
    <x v="44"/>
    <x v="42"/>
    <n v="1"/>
    <x v="2"/>
    <s v="3ºC"/>
    <x v="0"/>
    <s v="Mineral"/>
    <x v="11"/>
    <s v="3 - Parceria"/>
    <n v="12.1"/>
    <n v="12.1"/>
    <n v="0"/>
    <n v="12.1"/>
    <n v="980.1"/>
    <n v="992.2"/>
    <n v="0"/>
    <n v="1070.8"/>
    <x v="0"/>
    <x v="10"/>
    <x v="0"/>
    <x v="0"/>
    <x v="1"/>
    <n v="12.1"/>
    <n v="12.1"/>
    <n v="12.1"/>
    <n v="980.1"/>
    <n v="992.2"/>
    <n v="1070.8"/>
    <n v="1070.8"/>
    <n v="1070.8"/>
    <n v="1070.8"/>
    <x v="1"/>
    <x v="0"/>
    <x v="0"/>
    <n v="0"/>
    <x v="0"/>
  </r>
  <r>
    <x v="44"/>
    <x v="42"/>
    <n v="2"/>
    <x v="2"/>
    <s v="3ºC"/>
    <x v="0"/>
    <s v="Mineral"/>
    <x v="11"/>
    <s v="3 - Parceria"/>
    <n v="6.16"/>
    <n v="6.16"/>
    <n v="0"/>
    <n v="6.16"/>
    <n v="498.96"/>
    <n v="498.96"/>
    <n v="0"/>
    <n v="538.62"/>
    <x v="0"/>
    <x v="10"/>
    <x v="0"/>
    <x v="0"/>
    <x v="1"/>
    <n v="6.16"/>
    <n v="6.16"/>
    <n v="6.16"/>
    <n v="498.96"/>
    <n v="498.96"/>
    <n v="538.62"/>
    <n v="538.62"/>
    <n v="538.62"/>
    <n v="538.62"/>
    <x v="1"/>
    <x v="0"/>
    <x v="0"/>
    <n v="0"/>
    <x v="0"/>
  </r>
  <r>
    <x v="44"/>
    <x v="42"/>
    <n v="3"/>
    <x v="2"/>
    <s v="3ºC"/>
    <x v="0"/>
    <s v="Mineral"/>
    <x v="11"/>
    <s v="3 - Parceria"/>
    <n v="18.43"/>
    <n v="18.43"/>
    <n v="0"/>
    <n v="18.43"/>
    <n v="1492.83"/>
    <n v="1363.82"/>
    <n v="0"/>
    <n v="1472.51"/>
    <x v="0"/>
    <x v="10"/>
    <x v="0"/>
    <x v="0"/>
    <x v="1"/>
    <n v="18.43"/>
    <n v="18.43"/>
    <n v="18.43"/>
    <n v="1492.83"/>
    <n v="1363.82"/>
    <n v="1472.51"/>
    <n v="1472.51"/>
    <n v="1472.51"/>
    <n v="1472.51"/>
    <x v="0"/>
    <x v="0"/>
    <x v="0"/>
    <n v="0"/>
    <x v="0"/>
  </r>
  <r>
    <x v="45"/>
    <x v="43"/>
    <n v="1"/>
    <x v="5"/>
    <s v="2ºC"/>
    <x v="0"/>
    <s v="Mineral"/>
    <x v="12"/>
    <s v="3 - Parceria"/>
    <n v="6.71"/>
    <n v="0"/>
    <n v="0"/>
    <n v="6.71"/>
    <n v="456.28"/>
    <n v="0"/>
    <n v="0"/>
    <n v="532.29999999999995"/>
    <x v="0"/>
    <x v="16"/>
    <x v="0"/>
    <x v="1"/>
    <x v="1"/>
    <n v="6.71"/>
    <n v="6.71"/>
    <n v="6.71"/>
    <n v="456.28"/>
    <n v="532.29999999999995"/>
    <n v="532.29999999999995"/>
    <n v="532.29999999999995"/>
    <n v="532.29999999999995"/>
    <n v="532.29999999999995"/>
    <x v="1"/>
    <x v="0"/>
    <x v="0"/>
    <n v="0"/>
    <x v="0"/>
  </r>
  <r>
    <x v="45"/>
    <x v="43"/>
    <n v="2"/>
    <x v="5"/>
    <s v="2ºC"/>
    <x v="0"/>
    <s v="Mineral"/>
    <x v="12"/>
    <s v="3 - Parceria"/>
    <n v="10.27"/>
    <n v="0"/>
    <n v="0"/>
    <n v="10.27"/>
    <n v="698.36"/>
    <n v="0"/>
    <n v="0"/>
    <n v="814.81"/>
    <x v="0"/>
    <x v="16"/>
    <x v="0"/>
    <x v="1"/>
    <x v="1"/>
    <n v="10.27"/>
    <n v="10.27"/>
    <n v="10.27"/>
    <n v="698.36"/>
    <n v="814.81"/>
    <n v="814.81"/>
    <n v="814.81"/>
    <n v="814.81"/>
    <n v="814.81"/>
    <x v="1"/>
    <x v="0"/>
    <x v="0"/>
    <n v="0"/>
    <x v="0"/>
  </r>
  <r>
    <x v="45"/>
    <x v="43"/>
    <n v="3"/>
    <x v="5"/>
    <s v="2ºC"/>
    <x v="0"/>
    <s v="Mineral"/>
    <x v="12"/>
    <s v="3 - Parceria"/>
    <n v="7.47"/>
    <n v="0"/>
    <n v="0"/>
    <n v="7.47"/>
    <n v="507.96"/>
    <n v="0"/>
    <n v="0"/>
    <n v="593.08000000000004"/>
    <x v="0"/>
    <x v="16"/>
    <x v="0"/>
    <x v="1"/>
    <x v="1"/>
    <n v="7.47"/>
    <n v="7.47"/>
    <n v="7.47"/>
    <n v="507.96"/>
    <n v="593.08000000000004"/>
    <n v="593.08000000000004"/>
    <n v="593.08000000000004"/>
    <n v="593.08000000000004"/>
    <n v="593.08000000000004"/>
    <x v="1"/>
    <x v="0"/>
    <x v="0"/>
    <n v="0"/>
    <x v="0"/>
  </r>
  <r>
    <x v="46"/>
    <x v="44"/>
    <n v="1"/>
    <x v="4"/>
    <s v="4ºC"/>
    <x v="0"/>
    <s v="Fertirrigação"/>
    <x v="10"/>
    <s v="3 - Parceria"/>
    <n v="4.04"/>
    <n v="0"/>
    <n v="0"/>
    <n v="4.04"/>
    <n v="282.8"/>
    <n v="0"/>
    <n v="0"/>
    <n v="227.96"/>
    <x v="0"/>
    <x v="15"/>
    <x v="0"/>
    <x v="1"/>
    <x v="1"/>
    <n v="4.04"/>
    <n v="4.04"/>
    <n v="4.04"/>
    <n v="282.8"/>
    <n v="227.96"/>
    <n v="227.96"/>
    <n v="227.96"/>
    <n v="227.96"/>
    <n v="227.96"/>
    <x v="1"/>
    <x v="1"/>
    <x v="0"/>
    <n v="0"/>
    <x v="0"/>
  </r>
  <r>
    <x v="46"/>
    <x v="44"/>
    <n v="2"/>
    <x v="4"/>
    <s v="4ºC"/>
    <x v="0"/>
    <s v="Fertirrigação"/>
    <x v="10"/>
    <s v="3 - Parceria"/>
    <n v="27.88"/>
    <n v="0"/>
    <n v="0"/>
    <n v="27.88"/>
    <n v="1951.6"/>
    <n v="0"/>
    <n v="0"/>
    <n v="1572.6"/>
    <x v="0"/>
    <x v="15"/>
    <x v="0"/>
    <x v="1"/>
    <x v="1"/>
    <n v="27.88"/>
    <n v="27.88"/>
    <n v="27.88"/>
    <n v="1951.6"/>
    <n v="1572.6"/>
    <n v="1572.6"/>
    <n v="1572.6"/>
    <n v="1572.6"/>
    <n v="1572.6"/>
    <x v="1"/>
    <x v="1"/>
    <x v="0"/>
    <n v="0"/>
    <x v="0"/>
  </r>
  <r>
    <x v="46"/>
    <x v="44"/>
    <n v="3"/>
    <x v="4"/>
    <s v="4ºC"/>
    <x v="0"/>
    <s v="Fertirrigação"/>
    <x v="10"/>
    <s v="3 - Parceria"/>
    <n v="10.55"/>
    <n v="0"/>
    <n v="0"/>
    <n v="10.55"/>
    <n v="738.5"/>
    <n v="0"/>
    <n v="0"/>
    <n v="595.45000000000005"/>
    <x v="0"/>
    <x v="15"/>
    <x v="0"/>
    <x v="1"/>
    <x v="1"/>
    <n v="10.55"/>
    <n v="10.55"/>
    <n v="10.55"/>
    <n v="738.5"/>
    <n v="595.45000000000005"/>
    <n v="595.45000000000005"/>
    <n v="595.45000000000005"/>
    <n v="595.45000000000005"/>
    <n v="595.45000000000005"/>
    <x v="1"/>
    <x v="1"/>
    <x v="0"/>
    <n v="0"/>
    <x v="0"/>
  </r>
  <r>
    <x v="46"/>
    <x v="44"/>
    <n v="4"/>
    <x v="4"/>
    <s v="4ºC"/>
    <x v="0"/>
    <s v="Fertirrigação"/>
    <x v="10"/>
    <s v="3 - Parceria"/>
    <n v="20.16"/>
    <n v="0"/>
    <n v="0"/>
    <n v="20.16"/>
    <n v="1411.2"/>
    <n v="0"/>
    <n v="0"/>
    <n v="1409.42"/>
    <x v="0"/>
    <x v="15"/>
    <x v="0"/>
    <x v="1"/>
    <x v="1"/>
    <n v="20.16"/>
    <n v="20.16"/>
    <n v="20.16"/>
    <n v="1411.2"/>
    <n v="1409.42"/>
    <n v="1409.42"/>
    <n v="1409.42"/>
    <n v="1409.42"/>
    <n v="1409.42"/>
    <x v="1"/>
    <x v="1"/>
    <x v="0"/>
    <n v="0"/>
    <x v="0"/>
  </r>
  <r>
    <x v="46"/>
    <x v="44"/>
    <n v="5"/>
    <x v="4"/>
    <s v="4ºC"/>
    <x v="0"/>
    <s v="Fertirrigação"/>
    <x v="3"/>
    <s v="3 - Parceria"/>
    <n v="19.420000000000002"/>
    <n v="0"/>
    <n v="0"/>
    <n v="19.420000000000002"/>
    <n v="1437.08"/>
    <n v="0"/>
    <n v="0"/>
    <n v="1435.3"/>
    <x v="0"/>
    <x v="15"/>
    <x v="0"/>
    <x v="1"/>
    <x v="1"/>
    <n v="19.420000000000002"/>
    <n v="19.420000000000002"/>
    <n v="19.420000000000002"/>
    <n v="1437.08"/>
    <n v="1435.3"/>
    <n v="1435.3"/>
    <n v="1435.3"/>
    <n v="1435.3"/>
    <n v="1435.3"/>
    <x v="1"/>
    <x v="1"/>
    <x v="0"/>
    <n v="0"/>
    <x v="0"/>
  </r>
  <r>
    <x v="46"/>
    <x v="44"/>
    <n v="6"/>
    <x v="4"/>
    <s v="4ºC"/>
    <x v="0"/>
    <s v="Fertirrigação"/>
    <x v="3"/>
    <s v="3 - Parceria"/>
    <n v="44.87"/>
    <n v="0"/>
    <n v="0"/>
    <n v="44.87"/>
    <n v="3320.38"/>
    <n v="0"/>
    <n v="0"/>
    <n v="3316.7"/>
    <x v="0"/>
    <x v="15"/>
    <x v="0"/>
    <x v="1"/>
    <x v="1"/>
    <n v="44.87"/>
    <n v="44.87"/>
    <n v="44.87"/>
    <n v="3320.38"/>
    <n v="3316.7"/>
    <n v="3316.7"/>
    <n v="3316.7"/>
    <n v="3316.7"/>
    <n v="3316.7"/>
    <x v="1"/>
    <x v="1"/>
    <x v="0"/>
    <n v="0"/>
    <x v="0"/>
  </r>
  <r>
    <x v="46"/>
    <x v="44"/>
    <n v="7"/>
    <x v="4"/>
    <s v="4ºC"/>
    <x v="0"/>
    <s v="Fertirrigação"/>
    <x v="10"/>
    <s v="3 - Parceria"/>
    <n v="26.19"/>
    <n v="0"/>
    <n v="0"/>
    <n v="26.19"/>
    <n v="1938.06"/>
    <n v="0"/>
    <n v="0"/>
    <n v="1935.87"/>
    <x v="0"/>
    <x v="15"/>
    <x v="0"/>
    <x v="1"/>
    <x v="1"/>
    <n v="26.19"/>
    <n v="26.19"/>
    <n v="26.19"/>
    <n v="1938.06"/>
    <n v="1935.87"/>
    <n v="1935.87"/>
    <n v="1935.87"/>
    <n v="1935.87"/>
    <n v="1935.87"/>
    <x v="1"/>
    <x v="1"/>
    <x v="0"/>
    <n v="0"/>
    <x v="0"/>
  </r>
  <r>
    <x v="46"/>
    <x v="44"/>
    <n v="8"/>
    <x v="4"/>
    <s v="4ºC"/>
    <x v="0"/>
    <s v="Fertirrigação"/>
    <x v="10"/>
    <s v="3 - Parceria"/>
    <n v="11.49"/>
    <n v="0"/>
    <n v="0"/>
    <n v="11.49"/>
    <n v="850.26"/>
    <n v="0"/>
    <n v="0"/>
    <n v="848.83"/>
    <x v="0"/>
    <x v="15"/>
    <x v="0"/>
    <x v="1"/>
    <x v="1"/>
    <n v="11.49"/>
    <n v="11.49"/>
    <n v="11.49"/>
    <n v="850.26"/>
    <n v="848.83"/>
    <n v="848.83"/>
    <n v="848.83"/>
    <n v="848.83"/>
    <n v="848.83"/>
    <x v="1"/>
    <x v="1"/>
    <x v="0"/>
    <n v="0"/>
    <x v="0"/>
  </r>
  <r>
    <x v="46"/>
    <x v="44"/>
    <n v="9"/>
    <x v="4"/>
    <s v="4ºC"/>
    <x v="0"/>
    <s v="Fertirrigação"/>
    <x v="10"/>
    <s v="3 - Parceria"/>
    <n v="43.31"/>
    <n v="0"/>
    <n v="0"/>
    <n v="43.31"/>
    <n v="3204.94"/>
    <n v="0"/>
    <n v="0"/>
    <n v="3201.72"/>
    <x v="0"/>
    <x v="15"/>
    <x v="0"/>
    <x v="1"/>
    <x v="1"/>
    <n v="43.31"/>
    <n v="43.31"/>
    <n v="43.31"/>
    <n v="3204.94"/>
    <n v="3201.72"/>
    <n v="3201.72"/>
    <n v="3201.72"/>
    <n v="3201.72"/>
    <n v="3201.72"/>
    <x v="1"/>
    <x v="1"/>
    <x v="0"/>
    <n v="0"/>
    <x v="0"/>
  </r>
  <r>
    <x v="46"/>
    <x v="44"/>
    <n v="10"/>
    <x v="4"/>
    <s v="4ºC"/>
    <x v="0"/>
    <s v="Fertirrigação"/>
    <x v="10"/>
    <s v="3 - Parceria"/>
    <n v="23.05"/>
    <n v="0"/>
    <n v="0"/>
    <n v="23.05"/>
    <n v="1705.7"/>
    <n v="0"/>
    <n v="0"/>
    <n v="1705.96"/>
    <x v="0"/>
    <x v="15"/>
    <x v="0"/>
    <x v="1"/>
    <x v="1"/>
    <n v="23.05"/>
    <n v="23.05"/>
    <n v="23.05"/>
    <n v="1705.7"/>
    <n v="1705.96"/>
    <n v="1705.96"/>
    <n v="1705.96"/>
    <n v="1705.96"/>
    <n v="1705.96"/>
    <x v="1"/>
    <x v="1"/>
    <x v="0"/>
    <n v="0"/>
    <x v="0"/>
  </r>
  <r>
    <x v="46"/>
    <x v="44"/>
    <n v="11"/>
    <x v="4"/>
    <s v="4ºC"/>
    <x v="0"/>
    <s v="Fertirrigação"/>
    <x v="10"/>
    <s v="3 - Parceria"/>
    <n v="5.99"/>
    <n v="0"/>
    <n v="0"/>
    <n v="5.99"/>
    <n v="443.26"/>
    <n v="0"/>
    <n v="0"/>
    <n v="332.68"/>
    <x v="0"/>
    <x v="9"/>
    <x v="0"/>
    <x v="1"/>
    <x v="1"/>
    <n v="5.99"/>
    <n v="5.99"/>
    <n v="5.99"/>
    <n v="443.26"/>
    <n v="332.68"/>
    <n v="332.68"/>
    <n v="332.68"/>
    <n v="332.68"/>
    <n v="332.68"/>
    <x v="1"/>
    <x v="1"/>
    <x v="0"/>
    <n v="0"/>
    <x v="0"/>
  </r>
  <r>
    <x v="46"/>
    <x v="44"/>
    <n v="12"/>
    <x v="4"/>
    <s v="4ºC"/>
    <x v="0"/>
    <s v="Fertirrigação"/>
    <x v="10"/>
    <s v="3 - Parceria"/>
    <n v="40.49"/>
    <n v="0"/>
    <n v="0"/>
    <n v="40.49"/>
    <n v="3563.12"/>
    <n v="0"/>
    <n v="0"/>
    <n v="2676.16"/>
    <x v="0"/>
    <x v="9"/>
    <x v="0"/>
    <x v="1"/>
    <x v="1"/>
    <n v="40.49"/>
    <n v="40.49"/>
    <n v="40.49"/>
    <n v="3563.12"/>
    <n v="2676.16"/>
    <n v="2676.16"/>
    <n v="2676.16"/>
    <n v="2676.16"/>
    <n v="2676.16"/>
    <x v="1"/>
    <x v="1"/>
    <x v="0"/>
    <n v="0"/>
    <x v="0"/>
  </r>
  <r>
    <x v="46"/>
    <x v="44"/>
    <n v="13"/>
    <x v="4"/>
    <s v="4ºC"/>
    <x v="0"/>
    <s v="Fertirrigação"/>
    <x v="10"/>
    <s v="3 - Parceria"/>
    <n v="7.39"/>
    <n v="0"/>
    <n v="0"/>
    <n v="7.39"/>
    <n v="650.32000000000005"/>
    <n v="0"/>
    <n v="0"/>
    <n v="488.34"/>
    <x v="0"/>
    <x v="9"/>
    <x v="0"/>
    <x v="1"/>
    <x v="1"/>
    <n v="7.39"/>
    <n v="7.39"/>
    <n v="7.39"/>
    <n v="650.32000000000005"/>
    <n v="488.34"/>
    <n v="488.34"/>
    <n v="488.34"/>
    <n v="488.34"/>
    <n v="488.34"/>
    <x v="1"/>
    <x v="1"/>
    <x v="0"/>
    <n v="0"/>
    <x v="0"/>
  </r>
  <r>
    <x v="46"/>
    <x v="44"/>
    <n v="15"/>
    <x v="3"/>
    <s v="INV"/>
    <x v="0"/>
    <s v="Fertirrigação"/>
    <x v="17"/>
    <s v="3 - Parceria"/>
    <n v="43.75"/>
    <n v="0"/>
    <n v="0"/>
    <n v="43.75"/>
    <n v="4243.75"/>
    <n v="0"/>
    <n v="0"/>
    <n v="4851.87"/>
    <x v="0"/>
    <x v="14"/>
    <x v="0"/>
    <x v="1"/>
    <x v="1"/>
    <n v="43.75"/>
    <n v="43.75"/>
    <n v="43.75"/>
    <n v="4243.75"/>
    <n v="4851.87"/>
    <n v="4851.87"/>
    <n v="4851.87"/>
    <n v="4851.87"/>
    <n v="4851.87"/>
    <x v="1"/>
    <x v="1"/>
    <x v="0"/>
    <n v="0"/>
    <x v="0"/>
  </r>
  <r>
    <x v="46"/>
    <x v="44"/>
    <n v="16"/>
    <x v="3"/>
    <s v="INV"/>
    <x v="0"/>
    <s v="Fertirrigação"/>
    <x v="17"/>
    <s v="3 - Parceria"/>
    <n v="42.7"/>
    <n v="0"/>
    <n v="0"/>
    <n v="42.7"/>
    <n v="4141.8999999999996"/>
    <n v="0"/>
    <n v="0"/>
    <n v="4733.07"/>
    <x v="0"/>
    <x v="14"/>
    <x v="0"/>
    <x v="1"/>
    <x v="1"/>
    <n v="42.7"/>
    <n v="42.7"/>
    <n v="42.7"/>
    <n v="4141.8999999999996"/>
    <n v="4733.07"/>
    <n v="4733.07"/>
    <n v="4733.07"/>
    <n v="4733.07"/>
    <n v="4733.07"/>
    <x v="1"/>
    <x v="1"/>
    <x v="0"/>
    <n v="0"/>
    <x v="0"/>
  </r>
  <r>
    <x v="46"/>
    <x v="44"/>
    <n v="33"/>
    <x v="4"/>
    <s v="4ºC"/>
    <x v="0"/>
    <s v="Fertirrigação"/>
    <x v="10"/>
    <s v="3 - Parceria"/>
    <n v="46.81"/>
    <n v="0"/>
    <n v="0"/>
    <n v="46.81"/>
    <n v="3276.7"/>
    <n v="0"/>
    <n v="0"/>
    <n v="3997.77"/>
    <x v="0"/>
    <x v="15"/>
    <x v="0"/>
    <x v="1"/>
    <x v="1"/>
    <n v="46.81"/>
    <n v="46.81"/>
    <n v="46.81"/>
    <n v="3276.7"/>
    <n v="3997.77"/>
    <n v="3997.77"/>
    <n v="3997.77"/>
    <n v="3997.77"/>
    <n v="3997.77"/>
    <x v="1"/>
    <x v="1"/>
    <x v="0"/>
    <n v="0"/>
    <x v="0"/>
  </r>
  <r>
    <x v="46"/>
    <x v="44"/>
    <n v="34"/>
    <x v="4"/>
    <s v="4ºC"/>
    <x v="0"/>
    <s v="Fertirrigação"/>
    <x v="10"/>
    <s v="3 - Parceria"/>
    <n v="9.2200000000000006"/>
    <n v="0"/>
    <n v="0"/>
    <n v="9.2200000000000006"/>
    <n v="645.4"/>
    <n v="0"/>
    <n v="0"/>
    <n v="786.96"/>
    <x v="0"/>
    <x v="15"/>
    <x v="0"/>
    <x v="1"/>
    <x v="1"/>
    <n v="9.2200000000000006"/>
    <n v="9.2200000000000006"/>
    <n v="9.2200000000000006"/>
    <n v="645.4"/>
    <n v="786.96"/>
    <n v="786.96"/>
    <n v="786.96"/>
    <n v="786.96"/>
    <n v="786.96"/>
    <x v="1"/>
    <x v="1"/>
    <x v="0"/>
    <n v="0"/>
    <x v="0"/>
  </r>
  <r>
    <x v="47"/>
    <x v="45"/>
    <n v="1"/>
    <x v="3"/>
    <s v="ANM"/>
    <x v="0"/>
    <s v="Mineral"/>
    <x v="1"/>
    <s v="3 - Parceria"/>
    <n v="18.11"/>
    <n v="0"/>
    <n v="0"/>
    <n v="18.11"/>
    <n v="1811"/>
    <n v="0"/>
    <n v="0"/>
    <n v="1459"/>
    <x v="0"/>
    <x v="35"/>
    <x v="0"/>
    <x v="1"/>
    <x v="1"/>
    <n v="18.11"/>
    <n v="18.11"/>
    <n v="18.11"/>
    <n v="1811"/>
    <n v="1459"/>
    <n v="1459"/>
    <n v="1459"/>
    <n v="1459"/>
    <n v="1459"/>
    <x v="1"/>
    <x v="0"/>
    <x v="0"/>
    <n v="0"/>
    <x v="0"/>
  </r>
  <r>
    <x v="47"/>
    <x v="45"/>
    <n v="2"/>
    <x v="3"/>
    <s v="ANM"/>
    <x v="0"/>
    <s v="Mineral"/>
    <x v="1"/>
    <s v="3 - Parceria"/>
    <n v="14.22"/>
    <n v="0"/>
    <n v="0"/>
    <n v="14.22"/>
    <n v="1422"/>
    <n v="0"/>
    <n v="0"/>
    <n v="1145.5899999999999"/>
    <x v="0"/>
    <x v="35"/>
    <x v="0"/>
    <x v="1"/>
    <x v="1"/>
    <n v="14.22"/>
    <n v="14.22"/>
    <n v="14.22"/>
    <n v="1422"/>
    <n v="1145.5899999999999"/>
    <n v="1145.5899999999999"/>
    <n v="1145.5899999999999"/>
    <n v="1145.5899999999999"/>
    <n v="1145.5899999999999"/>
    <x v="1"/>
    <x v="0"/>
    <x v="0"/>
    <n v="0"/>
    <x v="0"/>
  </r>
  <r>
    <x v="47"/>
    <x v="45"/>
    <n v="3"/>
    <x v="3"/>
    <s v="ANM"/>
    <x v="0"/>
    <s v="Mineral"/>
    <x v="1"/>
    <s v="3 - Parceria"/>
    <n v="9.82"/>
    <n v="0"/>
    <n v="0"/>
    <n v="9.82"/>
    <n v="982"/>
    <n v="0"/>
    <n v="0"/>
    <n v="791.09"/>
    <x v="0"/>
    <x v="35"/>
    <x v="0"/>
    <x v="1"/>
    <x v="1"/>
    <n v="9.82"/>
    <n v="9.82"/>
    <n v="9.82"/>
    <n v="982"/>
    <n v="791.09"/>
    <n v="791.09"/>
    <n v="791.09"/>
    <n v="791.09"/>
    <n v="791.09"/>
    <x v="1"/>
    <x v="0"/>
    <x v="0"/>
    <n v="0"/>
    <x v="0"/>
  </r>
  <r>
    <x v="47"/>
    <x v="45"/>
    <n v="4"/>
    <x v="3"/>
    <s v="ANM"/>
    <x v="0"/>
    <s v="Mineral"/>
    <x v="1"/>
    <s v="3 - Parceria"/>
    <n v="10.91"/>
    <n v="0"/>
    <n v="0"/>
    <n v="10.91"/>
    <n v="1091"/>
    <n v="0"/>
    <n v="0"/>
    <n v="878.92"/>
    <x v="0"/>
    <x v="35"/>
    <x v="0"/>
    <x v="1"/>
    <x v="1"/>
    <n v="10.91"/>
    <n v="10.91"/>
    <n v="10.91"/>
    <n v="1091"/>
    <n v="878.92"/>
    <n v="878.92"/>
    <n v="878.92"/>
    <n v="878.92"/>
    <n v="878.92"/>
    <x v="1"/>
    <x v="0"/>
    <x v="0"/>
    <n v="0"/>
    <x v="0"/>
  </r>
  <r>
    <x v="47"/>
    <x v="45"/>
    <n v="5"/>
    <x v="3"/>
    <s v="ANM"/>
    <x v="0"/>
    <s v="Mineral"/>
    <x v="1"/>
    <s v="3 - Parceria"/>
    <n v="8.42"/>
    <n v="0"/>
    <n v="0"/>
    <n v="8.42"/>
    <n v="842"/>
    <n v="0"/>
    <n v="0"/>
    <n v="678.69"/>
    <x v="0"/>
    <x v="35"/>
    <x v="0"/>
    <x v="1"/>
    <x v="1"/>
    <n v="8.42"/>
    <n v="8.42"/>
    <n v="8.42"/>
    <n v="842"/>
    <n v="678.69"/>
    <n v="678.69"/>
    <n v="678.69"/>
    <n v="678.69"/>
    <n v="678.69"/>
    <x v="1"/>
    <x v="0"/>
    <x v="0"/>
    <n v="0"/>
    <x v="0"/>
  </r>
  <r>
    <x v="48"/>
    <x v="46"/>
    <n v="1"/>
    <x v="4"/>
    <s v="4ºC"/>
    <x v="0"/>
    <s v="Mineral"/>
    <x v="11"/>
    <s v="3 - Parceria"/>
    <n v="6.7"/>
    <n v="6.7"/>
    <n v="0"/>
    <n v="6.7"/>
    <n v="455.6"/>
    <n v="455.6"/>
    <n v="0"/>
    <n v="316.55"/>
    <x v="0"/>
    <x v="10"/>
    <x v="0"/>
    <x v="0"/>
    <x v="1"/>
    <n v="6.7"/>
    <n v="6.7"/>
    <n v="6.7"/>
    <n v="455.6"/>
    <n v="455.6"/>
    <n v="316.55"/>
    <n v="316.55"/>
    <n v="316.55"/>
    <n v="316.55"/>
    <x v="1"/>
    <x v="0"/>
    <x v="0"/>
    <n v="0"/>
    <x v="0"/>
  </r>
  <r>
    <x v="48"/>
    <x v="46"/>
    <n v="2"/>
    <x v="4"/>
    <s v="4ºC"/>
    <x v="0"/>
    <s v="Mineral"/>
    <x v="11"/>
    <s v="3 - Parceria"/>
    <n v="3.11"/>
    <n v="3.11"/>
    <n v="0"/>
    <n v="3.11"/>
    <n v="211.48"/>
    <n v="211.48"/>
    <n v="0"/>
    <n v="146.47999999999999"/>
    <x v="0"/>
    <x v="10"/>
    <x v="0"/>
    <x v="0"/>
    <x v="1"/>
    <n v="3.11"/>
    <n v="3.11"/>
    <n v="3.11"/>
    <n v="211.48"/>
    <n v="211.48"/>
    <n v="146.47999999999999"/>
    <n v="146.47999999999999"/>
    <n v="146.47999999999999"/>
    <n v="146.47999999999999"/>
    <x v="1"/>
    <x v="0"/>
    <x v="0"/>
    <n v="0"/>
    <x v="0"/>
  </r>
  <r>
    <x v="48"/>
    <x v="46"/>
    <n v="3"/>
    <x v="4"/>
    <s v="4ºC"/>
    <x v="0"/>
    <s v="Mineral"/>
    <x v="4"/>
    <s v="3 - Parceria"/>
    <n v="5.32"/>
    <n v="5.32"/>
    <n v="0"/>
    <n v="5.32"/>
    <n v="361.76"/>
    <n v="361.76"/>
    <n v="0"/>
    <n v="301.66000000000003"/>
    <x v="0"/>
    <x v="10"/>
    <x v="0"/>
    <x v="0"/>
    <x v="1"/>
    <n v="5.32"/>
    <n v="5.32"/>
    <n v="5.32"/>
    <n v="361.76"/>
    <n v="361.76"/>
    <n v="301.66000000000003"/>
    <n v="301.66000000000003"/>
    <n v="301.66000000000003"/>
    <n v="301.66000000000003"/>
    <x v="1"/>
    <x v="0"/>
    <x v="0"/>
    <n v="0"/>
    <x v="0"/>
  </r>
  <r>
    <x v="48"/>
    <x v="46"/>
    <n v="4"/>
    <x v="4"/>
    <s v="4ºC"/>
    <x v="0"/>
    <s v="Mineral"/>
    <x v="4"/>
    <s v="3 - Parceria"/>
    <n v="1.82"/>
    <n v="1.82"/>
    <n v="0"/>
    <n v="1.82"/>
    <n v="123.76"/>
    <n v="123.76"/>
    <n v="0"/>
    <n v="103.33"/>
    <x v="0"/>
    <x v="10"/>
    <x v="0"/>
    <x v="0"/>
    <x v="1"/>
    <n v="1.82"/>
    <n v="1.82"/>
    <n v="1.82"/>
    <n v="123.76"/>
    <n v="123.76"/>
    <n v="103.33"/>
    <n v="103.33"/>
    <n v="103.33"/>
    <n v="103.33"/>
    <x v="1"/>
    <x v="0"/>
    <x v="0"/>
    <n v="0"/>
    <x v="0"/>
  </r>
  <r>
    <x v="48"/>
    <x v="46"/>
    <n v="5"/>
    <x v="4"/>
    <s v="4ºC"/>
    <x v="0"/>
    <s v="Mineral"/>
    <x v="4"/>
    <s v="3 - Parceria"/>
    <n v="1.72"/>
    <n v="1.72"/>
    <n v="0"/>
    <n v="1.72"/>
    <n v="116.96"/>
    <n v="116.96"/>
    <n v="0"/>
    <n v="97.49"/>
    <x v="0"/>
    <x v="10"/>
    <x v="0"/>
    <x v="0"/>
    <x v="1"/>
    <n v="1.72"/>
    <n v="1.72"/>
    <n v="1.72"/>
    <n v="116.96"/>
    <n v="116.96"/>
    <n v="97.49"/>
    <n v="97.49"/>
    <n v="97.49"/>
    <n v="97.49"/>
    <x v="1"/>
    <x v="0"/>
    <x v="0"/>
    <n v="0"/>
    <x v="0"/>
  </r>
  <r>
    <x v="48"/>
    <x v="46"/>
    <n v="6"/>
    <x v="4"/>
    <s v="4ºC"/>
    <x v="0"/>
    <s v="Mineral"/>
    <x v="6"/>
    <s v="3 - Parceria"/>
    <n v="0.84"/>
    <n v="0.84"/>
    <n v="0"/>
    <n v="0.84"/>
    <n v="57.12"/>
    <n v="35.28"/>
    <n v="0"/>
    <n v="29.19"/>
    <x v="0"/>
    <x v="10"/>
    <x v="0"/>
    <x v="0"/>
    <x v="1"/>
    <n v="0.84"/>
    <n v="0.84"/>
    <n v="0.84"/>
    <n v="57.12"/>
    <n v="35.28"/>
    <n v="29.19"/>
    <n v="29.19"/>
    <n v="29.19"/>
    <n v="29.19"/>
    <x v="1"/>
    <x v="0"/>
    <x v="0"/>
    <n v="0"/>
    <x v="0"/>
  </r>
  <r>
    <x v="49"/>
    <x v="47"/>
    <n v="1"/>
    <x v="4"/>
    <s v="4ºC"/>
    <x v="0"/>
    <s v="Mineral"/>
    <x v="6"/>
    <s v="3 - Parceria"/>
    <n v="6.84"/>
    <n v="6.84"/>
    <n v="0"/>
    <n v="6.84"/>
    <n v="465.12"/>
    <n v="287.27999999999997"/>
    <n v="0"/>
    <n v="358.54"/>
    <x v="0"/>
    <x v="17"/>
    <x v="0"/>
    <x v="0"/>
    <x v="1"/>
    <n v="6.84"/>
    <n v="6.84"/>
    <n v="6.84"/>
    <n v="465.12"/>
    <n v="287.27999999999997"/>
    <n v="358.54"/>
    <n v="358.54"/>
    <n v="358.54"/>
    <n v="358.54"/>
    <x v="1"/>
    <x v="0"/>
    <x v="0"/>
    <n v="0"/>
    <x v="0"/>
  </r>
  <r>
    <x v="49"/>
    <x v="47"/>
    <n v="2"/>
    <x v="4"/>
    <s v="4ºC"/>
    <x v="0"/>
    <s v="Mineral"/>
    <x v="6"/>
    <s v="3 - Parceria"/>
    <n v="1.43"/>
    <n v="1.43"/>
    <n v="0"/>
    <n v="1.43"/>
    <n v="97.24"/>
    <n v="60.06"/>
    <n v="0"/>
    <n v="74.94"/>
    <x v="0"/>
    <x v="17"/>
    <x v="0"/>
    <x v="0"/>
    <x v="1"/>
    <n v="1.43"/>
    <n v="1.43"/>
    <n v="1.43"/>
    <n v="97.24"/>
    <n v="60.06"/>
    <n v="74.94"/>
    <n v="74.94"/>
    <n v="74.94"/>
    <n v="74.94"/>
    <x v="1"/>
    <x v="0"/>
    <x v="0"/>
    <n v="0"/>
    <x v="0"/>
  </r>
  <r>
    <x v="49"/>
    <x v="47"/>
    <n v="3"/>
    <x v="4"/>
    <s v="4ºC"/>
    <x v="0"/>
    <s v="Mineral"/>
    <x v="6"/>
    <s v="3 - Parceria"/>
    <n v="9.98"/>
    <n v="9.98"/>
    <n v="0"/>
    <n v="9.98"/>
    <n v="678.64"/>
    <n v="419.16"/>
    <n v="0"/>
    <n v="523.45000000000005"/>
    <x v="0"/>
    <x v="17"/>
    <x v="0"/>
    <x v="0"/>
    <x v="1"/>
    <n v="9.98"/>
    <n v="9.98"/>
    <n v="9.98"/>
    <n v="678.64"/>
    <n v="419.16"/>
    <n v="523.45000000000005"/>
    <n v="523.45000000000005"/>
    <n v="523.45000000000005"/>
    <n v="523.45000000000005"/>
    <x v="1"/>
    <x v="0"/>
    <x v="0"/>
    <n v="0"/>
    <x v="0"/>
  </r>
  <r>
    <x v="49"/>
    <x v="47"/>
    <n v="4"/>
    <x v="4"/>
    <s v="4ºC"/>
    <x v="0"/>
    <s v="Mineral"/>
    <x v="6"/>
    <s v="3 - Parceria"/>
    <n v="8.23"/>
    <n v="8.23"/>
    <n v="0"/>
    <n v="8.23"/>
    <n v="559.64"/>
    <n v="345.66"/>
    <n v="0"/>
    <n v="432.33"/>
    <x v="0"/>
    <x v="17"/>
    <x v="0"/>
    <x v="0"/>
    <x v="1"/>
    <n v="8.23"/>
    <n v="8.23"/>
    <n v="8.23"/>
    <n v="559.64"/>
    <n v="345.66"/>
    <n v="432.33"/>
    <n v="432.33"/>
    <n v="432.33"/>
    <n v="432.33"/>
    <x v="1"/>
    <x v="0"/>
    <x v="0"/>
    <n v="0"/>
    <x v="0"/>
  </r>
  <r>
    <x v="50"/>
    <x v="48"/>
    <n v="1"/>
    <x v="2"/>
    <s v="3ºC"/>
    <x v="0"/>
    <s v="Fertirrigação"/>
    <x v="6"/>
    <s v="3 - Parceria"/>
    <n v="21.74"/>
    <n v="21.74"/>
    <n v="21.74"/>
    <n v="21.74"/>
    <n v="1913.12"/>
    <n v="1956.6"/>
    <n v="1739.2"/>
    <n v="1298.01"/>
    <x v="0"/>
    <x v="21"/>
    <x v="0"/>
    <x v="0"/>
    <x v="0"/>
    <n v="21.74"/>
    <n v="21.74"/>
    <n v="21.74"/>
    <n v="1913.12"/>
    <n v="1956.6"/>
    <n v="1739.2"/>
    <n v="1298.01"/>
    <n v="1298.01"/>
    <n v="1298.01"/>
    <x v="1"/>
    <x v="1"/>
    <x v="0"/>
    <n v="0"/>
    <x v="0"/>
  </r>
  <r>
    <x v="50"/>
    <x v="48"/>
    <n v="2"/>
    <x v="2"/>
    <s v="3ºC"/>
    <x v="0"/>
    <s v="Fertirrigação"/>
    <x v="6"/>
    <s v="3 - Parceria"/>
    <n v="28.72"/>
    <n v="28.72"/>
    <n v="28.72"/>
    <n v="28.72"/>
    <n v="2527.36"/>
    <n v="2584.8000000000002"/>
    <n v="2297.6"/>
    <n v="1715.29"/>
    <x v="0"/>
    <x v="21"/>
    <x v="0"/>
    <x v="0"/>
    <x v="0"/>
    <n v="28.72"/>
    <n v="28.72"/>
    <n v="28.72"/>
    <n v="2527.36"/>
    <n v="2584.8000000000002"/>
    <n v="2297.6"/>
    <n v="1715.29"/>
    <n v="1715.29"/>
    <n v="1715.29"/>
    <x v="1"/>
    <x v="1"/>
    <x v="0"/>
    <n v="0"/>
    <x v="0"/>
  </r>
  <r>
    <x v="50"/>
    <x v="48"/>
    <n v="3"/>
    <x v="2"/>
    <s v="3ºC"/>
    <x v="0"/>
    <s v="Fertirrigação"/>
    <x v="6"/>
    <s v="3 - Parceria"/>
    <n v="23.83"/>
    <n v="23.83"/>
    <n v="23.83"/>
    <n v="23.83"/>
    <n v="2097.04"/>
    <n v="2144.6999999999998"/>
    <n v="1906.4"/>
    <n v="1422.67"/>
    <x v="0"/>
    <x v="21"/>
    <x v="0"/>
    <x v="0"/>
    <x v="0"/>
    <n v="23.83"/>
    <n v="23.83"/>
    <n v="23.83"/>
    <n v="2097.04"/>
    <n v="2144.6999999999998"/>
    <n v="1906.4"/>
    <n v="1422.67"/>
    <n v="1422.67"/>
    <n v="1422.67"/>
    <x v="1"/>
    <x v="1"/>
    <x v="0"/>
    <n v="0"/>
    <x v="0"/>
  </r>
  <r>
    <x v="50"/>
    <x v="48"/>
    <n v="4"/>
    <x v="2"/>
    <s v="3ºC"/>
    <x v="0"/>
    <s v="Fertirrigação"/>
    <x v="6"/>
    <s v="3 - Parceria"/>
    <n v="15.37"/>
    <n v="15.37"/>
    <n v="15.37"/>
    <n v="15.37"/>
    <n v="1352.56"/>
    <n v="1383.3"/>
    <n v="1383.3"/>
    <n v="1032.6099999999999"/>
    <x v="0"/>
    <x v="21"/>
    <x v="0"/>
    <x v="0"/>
    <x v="0"/>
    <n v="15.37"/>
    <n v="15.37"/>
    <n v="15.37"/>
    <n v="1352.56"/>
    <n v="1383.3"/>
    <n v="1383.3"/>
    <n v="1032.6099999999999"/>
    <n v="1032.6099999999999"/>
    <n v="1032.6099999999999"/>
    <x v="1"/>
    <x v="1"/>
    <x v="0"/>
    <n v="0"/>
    <x v="0"/>
  </r>
  <r>
    <x v="51"/>
    <x v="49"/>
    <n v="1"/>
    <x v="2"/>
    <s v="3ºC"/>
    <x v="0"/>
    <s v="Mineral"/>
    <x v="11"/>
    <s v="3 - Parceria"/>
    <n v="37.61"/>
    <n v="37.61"/>
    <n v="37.61"/>
    <n v="0"/>
    <n v="3084.02"/>
    <n v="3272.07"/>
    <n v="2783.14"/>
    <n v="0"/>
    <x v="0"/>
    <x v="38"/>
    <x v="1"/>
    <x v="0"/>
    <x v="0"/>
    <n v="37.61"/>
    <n v="37.61"/>
    <n v="37.61"/>
    <n v="3084.02"/>
    <n v="3272.07"/>
    <n v="2783.14"/>
    <n v="3084.02"/>
    <n v="3272.07"/>
    <n v="2783.14"/>
    <x v="1"/>
    <x v="0"/>
    <x v="0"/>
    <n v="0"/>
    <x v="0"/>
  </r>
  <r>
    <x v="51"/>
    <x v="49"/>
    <n v="2"/>
    <x v="2"/>
    <s v="3ºC"/>
    <x v="0"/>
    <s v="Mineral"/>
    <x v="6"/>
    <s v="3 - Parceria"/>
    <n v="31.5"/>
    <n v="31.5"/>
    <n v="31.5"/>
    <n v="31.5"/>
    <n v="2583"/>
    <n v="2740.5"/>
    <n v="1890"/>
    <n v="1691.41"/>
    <x v="0"/>
    <x v="21"/>
    <x v="0"/>
    <x v="0"/>
    <x v="0"/>
    <n v="31.5"/>
    <n v="31.5"/>
    <n v="31.5"/>
    <n v="2583"/>
    <n v="2740.5"/>
    <n v="1890"/>
    <n v="1691.41"/>
    <n v="1691.41"/>
    <n v="1691.41"/>
    <x v="1"/>
    <x v="0"/>
    <x v="0"/>
    <n v="0"/>
    <x v="0"/>
  </r>
  <r>
    <x v="51"/>
    <x v="49"/>
    <n v="3"/>
    <x v="2"/>
    <s v="3ºC"/>
    <x v="0"/>
    <s v="Mineral"/>
    <x v="6"/>
    <s v="3 - Parceria"/>
    <n v="18.3"/>
    <n v="18.3"/>
    <n v="18.3"/>
    <n v="18.3"/>
    <n v="1464"/>
    <n v="1537.2"/>
    <n v="1098"/>
    <n v="992.82"/>
    <x v="0"/>
    <x v="21"/>
    <x v="0"/>
    <x v="0"/>
    <x v="0"/>
    <n v="18.3"/>
    <n v="18.3"/>
    <n v="18.3"/>
    <n v="1464"/>
    <n v="1537.2"/>
    <n v="1098"/>
    <n v="992.82"/>
    <n v="992.82"/>
    <n v="992.82"/>
    <x v="1"/>
    <x v="0"/>
    <x v="0"/>
    <n v="0"/>
    <x v="0"/>
  </r>
  <r>
    <x v="51"/>
    <x v="49"/>
    <n v="4"/>
    <x v="2"/>
    <s v="3ºC"/>
    <x v="0"/>
    <s v="Mineral"/>
    <x v="6"/>
    <s v="3 - Parceria"/>
    <n v="0"/>
    <n v="0"/>
    <n v="0"/>
    <n v="0"/>
    <n v="0"/>
    <n v="0"/>
    <n v="0"/>
    <m/>
    <x v="0"/>
    <x v="21"/>
    <x v="1"/>
    <x v="0"/>
    <x v="0"/>
    <n v="0"/>
    <n v="0"/>
    <n v="0"/>
    <n v="0"/>
    <n v="0"/>
    <n v="0"/>
    <n v="0"/>
    <n v="0"/>
    <n v="0"/>
    <x v="1"/>
    <x v="0"/>
    <x v="0"/>
    <n v="0"/>
    <x v="0"/>
  </r>
  <r>
    <x v="51"/>
    <x v="49"/>
    <n v="5"/>
    <x v="2"/>
    <s v="3ºC"/>
    <x v="0"/>
    <s v="Mineral"/>
    <x v="6"/>
    <s v="3 - Parceria"/>
    <n v="8.9600000000000009"/>
    <n v="8.9600000000000009"/>
    <n v="8.9600000000000009"/>
    <n v="8.9600000000000009"/>
    <n v="788.48"/>
    <n v="806.4"/>
    <n v="609.28"/>
    <n v="533.13"/>
    <x v="0"/>
    <x v="21"/>
    <x v="0"/>
    <x v="0"/>
    <x v="0"/>
    <n v="8.9600000000000009"/>
    <n v="8.9600000000000009"/>
    <n v="8.9600000000000009"/>
    <n v="788.48"/>
    <n v="806.4"/>
    <n v="609.28"/>
    <n v="533.13"/>
    <n v="533.13"/>
    <n v="533.13"/>
    <x v="1"/>
    <x v="0"/>
    <x v="0"/>
    <n v="0"/>
    <x v="0"/>
  </r>
  <r>
    <x v="51"/>
    <x v="49"/>
    <n v="6"/>
    <x v="2"/>
    <s v="3ºC"/>
    <x v="0"/>
    <s v="Mineral"/>
    <x v="6"/>
    <s v="3 - Parceria"/>
    <n v="11.71"/>
    <n v="11.71"/>
    <n v="11.71"/>
    <n v="11.71"/>
    <n v="1030.48"/>
    <n v="1053.9000000000001"/>
    <n v="796.28"/>
    <n v="753.67"/>
    <x v="0"/>
    <x v="21"/>
    <x v="0"/>
    <x v="0"/>
    <x v="0"/>
    <n v="11.71"/>
    <n v="11.71"/>
    <n v="11.71"/>
    <n v="1030.48"/>
    <n v="1053.9000000000001"/>
    <n v="796.28"/>
    <n v="753.67"/>
    <n v="753.67"/>
    <n v="753.67"/>
    <x v="1"/>
    <x v="0"/>
    <x v="0"/>
    <n v="0"/>
    <x v="0"/>
  </r>
  <r>
    <x v="51"/>
    <x v="49"/>
    <n v="7"/>
    <x v="2"/>
    <s v="3ºC"/>
    <x v="0"/>
    <s v="Mineral"/>
    <x v="6"/>
    <s v="3 - Parceria"/>
    <n v="40.99"/>
    <n v="40.99"/>
    <n v="40.99"/>
    <n v="40.99"/>
    <n v="3074.25"/>
    <n v="3279.2"/>
    <n v="2623.36"/>
    <n v="2508.15"/>
    <x v="0"/>
    <x v="21"/>
    <x v="0"/>
    <x v="0"/>
    <x v="0"/>
    <n v="40.99"/>
    <n v="40.99"/>
    <n v="40.99"/>
    <n v="3074.25"/>
    <n v="3279.2"/>
    <n v="2623.36"/>
    <n v="2508.15"/>
    <n v="2508.15"/>
    <n v="2508.15"/>
    <x v="1"/>
    <x v="0"/>
    <x v="0"/>
    <n v="0"/>
    <x v="0"/>
  </r>
  <r>
    <x v="51"/>
    <x v="49"/>
    <n v="8"/>
    <x v="2"/>
    <s v="3ºC"/>
    <x v="0"/>
    <s v="Mineral"/>
    <x v="6"/>
    <s v="3 - Parceria"/>
    <n v="12.52"/>
    <n v="12.52"/>
    <n v="12.52"/>
    <n v="12.52"/>
    <n v="939"/>
    <n v="1001.6"/>
    <n v="801.28"/>
    <n v="768.12"/>
    <x v="0"/>
    <x v="21"/>
    <x v="0"/>
    <x v="0"/>
    <x v="0"/>
    <n v="12.52"/>
    <n v="12.52"/>
    <n v="12.52"/>
    <n v="939"/>
    <n v="1001.6"/>
    <n v="801.28"/>
    <n v="768.12"/>
    <n v="768.12"/>
    <n v="768.12"/>
    <x v="1"/>
    <x v="0"/>
    <x v="0"/>
    <n v="0"/>
    <x v="0"/>
  </r>
  <r>
    <x v="52"/>
    <x v="50"/>
    <n v="1"/>
    <x v="3"/>
    <s v="INV"/>
    <x v="0"/>
    <s v="Mineral"/>
    <x v="29"/>
    <s v="2 - Arrendamento"/>
    <n v="11.6"/>
    <n v="0"/>
    <n v="0"/>
    <n v="11.6"/>
    <n v="1684.8"/>
    <n v="0"/>
    <n v="0"/>
    <n v="1774.59"/>
    <x v="0"/>
    <x v="11"/>
    <x v="0"/>
    <x v="1"/>
    <x v="1"/>
    <n v="11.6"/>
    <n v="11.6"/>
    <n v="11.6"/>
    <n v="1684.8"/>
    <n v="1774.59"/>
    <n v="1774.59"/>
    <n v="1774.59"/>
    <n v="1774.59"/>
    <n v="1774.59"/>
    <x v="1"/>
    <x v="0"/>
    <x v="0"/>
    <n v="0"/>
    <x v="0"/>
  </r>
  <r>
    <x v="52"/>
    <x v="50"/>
    <n v="2"/>
    <x v="3"/>
    <s v="ANM"/>
    <x v="0"/>
    <s v="Mineral"/>
    <x v="29"/>
    <s v="2 - Arrendamento"/>
    <n v="21.03"/>
    <n v="21.03"/>
    <n v="0"/>
    <n v="21.03"/>
    <n v="2250.21"/>
    <n v="2313.3000000000002"/>
    <n v="0"/>
    <n v="2382.63"/>
    <x v="0"/>
    <x v="13"/>
    <x v="0"/>
    <x v="0"/>
    <x v="1"/>
    <n v="21.03"/>
    <n v="21.03"/>
    <n v="21.03"/>
    <n v="2250.21"/>
    <n v="2313.3000000000002"/>
    <n v="2382.63"/>
    <n v="2382.63"/>
    <n v="2382.63"/>
    <n v="2382.63"/>
    <x v="1"/>
    <x v="0"/>
    <x v="0"/>
    <n v="0"/>
    <x v="0"/>
  </r>
  <r>
    <x v="52"/>
    <x v="50"/>
    <n v="3"/>
    <x v="3"/>
    <s v="ANM"/>
    <x v="0"/>
    <s v="Mineral"/>
    <x v="29"/>
    <s v="2 - Arrendamento"/>
    <n v="15.78"/>
    <n v="15.78"/>
    <n v="0"/>
    <n v="15.78"/>
    <n v="1767.36"/>
    <n v="1830.48"/>
    <n v="0"/>
    <n v="1909.24"/>
    <x v="0"/>
    <x v="39"/>
    <x v="0"/>
    <x v="0"/>
    <x v="1"/>
    <n v="15.78"/>
    <n v="15.78"/>
    <n v="15.78"/>
    <n v="1767.36"/>
    <n v="1830.48"/>
    <n v="1909.24"/>
    <n v="1909.24"/>
    <n v="1909.24"/>
    <n v="1909.24"/>
    <x v="0"/>
    <x v="2"/>
    <x v="6"/>
    <n v="315.59999999999997"/>
    <x v="0"/>
  </r>
  <r>
    <x v="52"/>
    <x v="50"/>
    <n v="4"/>
    <x v="3"/>
    <s v="ANM"/>
    <x v="0"/>
    <s v="Mineral"/>
    <x v="29"/>
    <s v="2 - Arrendamento"/>
    <n v="56.15"/>
    <n v="56.15"/>
    <n v="0"/>
    <n v="56.15"/>
    <n v="6288.8"/>
    <n v="6513.4"/>
    <n v="0"/>
    <n v="6709.53"/>
    <x v="0"/>
    <x v="13"/>
    <x v="0"/>
    <x v="0"/>
    <x v="1"/>
    <n v="56.15"/>
    <n v="56.15"/>
    <n v="56.15"/>
    <n v="6288.8"/>
    <n v="6513.4"/>
    <n v="6709.53"/>
    <n v="6709.53"/>
    <n v="6709.53"/>
    <n v="6709.53"/>
    <x v="1"/>
    <x v="2"/>
    <x v="6"/>
    <n v="1123"/>
    <x v="0"/>
  </r>
  <r>
    <x v="52"/>
    <x v="50"/>
    <n v="5"/>
    <x v="3"/>
    <s v="INV"/>
    <x v="0"/>
    <s v="Mineral"/>
    <x v="11"/>
    <s v="2 - Arrendamento"/>
    <n v="50.58"/>
    <n v="50.58"/>
    <n v="0"/>
    <n v="50.58"/>
    <n v="5361.48"/>
    <n v="5361.48"/>
    <n v="0"/>
    <n v="6460.92"/>
    <x v="0"/>
    <x v="39"/>
    <x v="0"/>
    <x v="0"/>
    <x v="1"/>
    <n v="50.58"/>
    <n v="50.58"/>
    <n v="50.58"/>
    <n v="5361.48"/>
    <n v="5361.48"/>
    <n v="6460.92"/>
    <n v="6460.92"/>
    <n v="6460.92"/>
    <n v="6460.92"/>
    <x v="1"/>
    <x v="0"/>
    <x v="0"/>
    <n v="0"/>
    <x v="0"/>
  </r>
  <r>
    <x v="52"/>
    <x v="50"/>
    <n v="6"/>
    <x v="3"/>
    <s v="INV"/>
    <x v="0"/>
    <s v="Mineral"/>
    <x v="11"/>
    <s v="2 - Arrendamento"/>
    <n v="56.01"/>
    <n v="56.01"/>
    <n v="0"/>
    <n v="56.01"/>
    <n v="5881.05"/>
    <n v="5937.06"/>
    <n v="0"/>
    <n v="6926.86"/>
    <x v="0"/>
    <x v="11"/>
    <x v="0"/>
    <x v="0"/>
    <x v="1"/>
    <n v="56.01"/>
    <n v="56.01"/>
    <n v="56.01"/>
    <n v="5881.05"/>
    <n v="5937.06"/>
    <n v="6926.86"/>
    <n v="6926.86"/>
    <n v="6926.86"/>
    <n v="6926.86"/>
    <x v="1"/>
    <x v="0"/>
    <x v="0"/>
    <n v="0"/>
    <x v="0"/>
  </r>
  <r>
    <x v="52"/>
    <x v="50"/>
    <n v="7"/>
    <x v="3"/>
    <s v="INV"/>
    <x v="0"/>
    <s v="Mineral"/>
    <x v="11"/>
    <s v="2 - Arrendamento"/>
    <n v="29.03"/>
    <n v="29.03"/>
    <n v="0"/>
    <n v="29.03"/>
    <n v="3077.18"/>
    <n v="3077.18"/>
    <n v="0"/>
    <n v="3590.24"/>
    <x v="0"/>
    <x v="11"/>
    <x v="0"/>
    <x v="0"/>
    <x v="1"/>
    <n v="29.03"/>
    <n v="29.03"/>
    <n v="29.03"/>
    <n v="3077.18"/>
    <n v="3077.18"/>
    <n v="3590.24"/>
    <n v="3590.24"/>
    <n v="3590.24"/>
    <n v="3590.24"/>
    <x v="1"/>
    <x v="0"/>
    <x v="0"/>
    <n v="0"/>
    <x v="0"/>
  </r>
  <r>
    <x v="52"/>
    <x v="50"/>
    <n v="8"/>
    <x v="3"/>
    <s v="INV"/>
    <x v="0"/>
    <s v="Mineral"/>
    <x v="5"/>
    <s v="2 - Arrendamento"/>
    <n v="44.07"/>
    <n v="44.07"/>
    <n v="0"/>
    <n v="44.07"/>
    <n v="4407"/>
    <n v="4407"/>
    <n v="0"/>
    <n v="5139.1000000000004"/>
    <x v="0"/>
    <x v="11"/>
    <x v="0"/>
    <x v="0"/>
    <x v="1"/>
    <n v="44.07"/>
    <n v="44.07"/>
    <n v="44.07"/>
    <n v="4407"/>
    <n v="4407"/>
    <n v="5139.1000000000004"/>
    <n v="5139.1000000000004"/>
    <n v="5139.1000000000004"/>
    <n v="5139.1000000000004"/>
    <x v="1"/>
    <x v="0"/>
    <x v="0"/>
    <n v="0"/>
    <x v="0"/>
  </r>
  <r>
    <x v="52"/>
    <x v="50"/>
    <n v="9"/>
    <x v="3"/>
    <s v="INV"/>
    <x v="0"/>
    <s v="Mineral"/>
    <x v="11"/>
    <s v="2 - Arrendamento"/>
    <n v="39.590000000000003"/>
    <n v="39.590000000000003"/>
    <n v="0"/>
    <n v="39.590000000000003"/>
    <n v="4275.72"/>
    <n v="4354.8999999999996"/>
    <n v="0"/>
    <n v="5248.46"/>
    <x v="0"/>
    <x v="39"/>
    <x v="0"/>
    <x v="0"/>
    <x v="1"/>
    <n v="39.590000000000003"/>
    <n v="39.590000000000003"/>
    <n v="39.590000000000003"/>
    <n v="4275.72"/>
    <n v="4354.8999999999996"/>
    <n v="5248.46"/>
    <n v="5248.46"/>
    <n v="5248.46"/>
    <n v="5248.46"/>
    <x v="1"/>
    <x v="0"/>
    <x v="0"/>
    <n v="0"/>
    <x v="0"/>
  </r>
  <r>
    <x v="52"/>
    <x v="50"/>
    <n v="10"/>
    <x v="5"/>
    <s v="2ºC"/>
    <x v="0"/>
    <s v="Mineral"/>
    <x v="11"/>
    <s v="2 - Arrendamento"/>
    <n v="19.829999999999998"/>
    <n v="19.829999999999998"/>
    <n v="0"/>
    <n v="19.829999999999998"/>
    <n v="1784.7"/>
    <n v="1804.53"/>
    <n v="0"/>
    <n v="1760.79"/>
    <x v="0"/>
    <x v="10"/>
    <x v="0"/>
    <x v="0"/>
    <x v="1"/>
    <n v="19.829999999999998"/>
    <n v="19.829999999999998"/>
    <n v="19.829999999999998"/>
    <n v="1784.7"/>
    <n v="1804.53"/>
    <n v="1760.79"/>
    <n v="1760.79"/>
    <n v="1760.79"/>
    <n v="1760.79"/>
    <x v="0"/>
    <x v="0"/>
    <x v="0"/>
    <n v="0"/>
    <x v="0"/>
  </r>
  <r>
    <x v="52"/>
    <x v="50"/>
    <n v="11"/>
    <x v="5"/>
    <s v="2ºC"/>
    <x v="0"/>
    <s v="Mineral"/>
    <x v="11"/>
    <s v="2 - Arrendamento"/>
    <n v="17.37"/>
    <n v="17.37"/>
    <n v="0"/>
    <n v="17.37"/>
    <n v="1563.3"/>
    <n v="1580.67"/>
    <n v="0"/>
    <n v="1542.35"/>
    <x v="0"/>
    <x v="10"/>
    <x v="0"/>
    <x v="0"/>
    <x v="1"/>
    <n v="17.37"/>
    <n v="17.37"/>
    <n v="17.37"/>
    <n v="1563.3"/>
    <n v="1580.67"/>
    <n v="1542.35"/>
    <n v="1542.35"/>
    <n v="1542.35"/>
    <n v="1542.35"/>
    <x v="0"/>
    <x v="0"/>
    <x v="0"/>
    <n v="0"/>
    <x v="0"/>
  </r>
  <r>
    <x v="52"/>
    <x v="50"/>
    <n v="12"/>
    <x v="5"/>
    <s v="2ºC"/>
    <x v="0"/>
    <s v="Mineral"/>
    <x v="11"/>
    <s v="2 - Arrendamento"/>
    <n v="6.06"/>
    <n v="6.06"/>
    <n v="0"/>
    <n v="6.06"/>
    <n v="545.4"/>
    <n v="551.46"/>
    <n v="0"/>
    <n v="642.62"/>
    <x v="0"/>
    <x v="11"/>
    <x v="0"/>
    <x v="0"/>
    <x v="1"/>
    <n v="6.06"/>
    <n v="6.06"/>
    <n v="6.06"/>
    <n v="545.4"/>
    <n v="551.46"/>
    <n v="642.62"/>
    <n v="642.62"/>
    <n v="642.62"/>
    <n v="642.62"/>
    <x v="0"/>
    <x v="0"/>
    <x v="0"/>
    <n v="0"/>
    <x v="0"/>
  </r>
  <r>
    <x v="52"/>
    <x v="50"/>
    <n v="13"/>
    <x v="5"/>
    <s v="2ºC"/>
    <x v="0"/>
    <s v="Mineral"/>
    <x v="11"/>
    <s v="2 - Arrendamento"/>
    <n v="16.09"/>
    <n v="16.09"/>
    <n v="0"/>
    <n v="16.09"/>
    <n v="1448.1"/>
    <n v="1464.19"/>
    <n v="0"/>
    <n v="1284.1099999999999"/>
    <x v="0"/>
    <x v="10"/>
    <x v="0"/>
    <x v="0"/>
    <x v="1"/>
    <n v="16.09"/>
    <n v="16.09"/>
    <n v="16.09"/>
    <n v="1448.1"/>
    <n v="1464.19"/>
    <n v="1284.1099999999999"/>
    <n v="1284.1099999999999"/>
    <n v="1284.1099999999999"/>
    <n v="1284.1099999999999"/>
    <x v="0"/>
    <x v="0"/>
    <x v="0"/>
    <n v="0"/>
    <x v="0"/>
  </r>
  <r>
    <x v="52"/>
    <x v="50"/>
    <n v="14"/>
    <x v="5"/>
    <s v="2ºC"/>
    <x v="0"/>
    <s v="Mineral"/>
    <x v="11"/>
    <s v="2 - Arrendamento"/>
    <n v="31.86"/>
    <n v="31.86"/>
    <n v="0"/>
    <n v="31.86"/>
    <n v="2867.4"/>
    <n v="2899.26"/>
    <n v="0"/>
    <n v="2542.9499999999998"/>
    <x v="0"/>
    <x v="10"/>
    <x v="0"/>
    <x v="0"/>
    <x v="1"/>
    <n v="31.86"/>
    <n v="31.86"/>
    <n v="31.86"/>
    <n v="2867.4"/>
    <n v="2899.26"/>
    <n v="2542.9499999999998"/>
    <n v="2542.9499999999998"/>
    <n v="2542.9499999999998"/>
    <n v="2542.9499999999998"/>
    <x v="0"/>
    <x v="0"/>
    <x v="0"/>
    <n v="0"/>
    <x v="0"/>
  </r>
  <r>
    <x v="52"/>
    <x v="50"/>
    <n v="15"/>
    <x v="3"/>
    <s v="ANM"/>
    <x v="0"/>
    <s v="Mineral"/>
    <x v="29"/>
    <s v="2 - Arrendamento"/>
    <n v="35.979999999999997"/>
    <n v="35.979999999999997"/>
    <n v="0"/>
    <n v="35.979999999999997"/>
    <n v="3669.96"/>
    <n v="3957.8"/>
    <n v="0"/>
    <n v="4077.34"/>
    <x v="0"/>
    <x v="13"/>
    <x v="0"/>
    <x v="0"/>
    <x v="1"/>
    <n v="35.979999999999997"/>
    <n v="35.979999999999997"/>
    <n v="35.979999999999997"/>
    <n v="3669.96"/>
    <n v="3957.8"/>
    <n v="4077.34"/>
    <n v="4077.34"/>
    <n v="4077.34"/>
    <n v="4077.34"/>
    <x v="1"/>
    <x v="2"/>
    <x v="6"/>
    <n v="719.59999999999991"/>
    <x v="0"/>
  </r>
  <r>
    <x v="52"/>
    <x v="50"/>
    <n v="16"/>
    <x v="3"/>
    <s v="ANM"/>
    <x v="0"/>
    <s v="Mineral"/>
    <x v="29"/>
    <s v="2 - Arrendamento"/>
    <n v="17.43"/>
    <n v="17.43"/>
    <n v="0"/>
    <n v="17.43"/>
    <n v="1865.01"/>
    <n v="2004.45"/>
    <n v="0"/>
    <n v="2090.7800000000002"/>
    <x v="0"/>
    <x v="39"/>
    <x v="0"/>
    <x v="0"/>
    <x v="1"/>
    <n v="17.43"/>
    <n v="17.43"/>
    <n v="17.43"/>
    <n v="1865.01"/>
    <n v="2004.45"/>
    <n v="2090.7800000000002"/>
    <n v="2090.7800000000002"/>
    <n v="2090.7800000000002"/>
    <n v="2090.7800000000002"/>
    <x v="0"/>
    <x v="2"/>
    <x v="6"/>
    <n v="348.6"/>
    <x v="0"/>
  </r>
  <r>
    <x v="52"/>
    <x v="50"/>
    <n v="17"/>
    <x v="3"/>
    <s v="ANM"/>
    <x v="0"/>
    <s v="Mineral"/>
    <x v="29"/>
    <s v="2 - Arrendamento"/>
    <n v="16.09"/>
    <n v="16.09"/>
    <n v="0"/>
    <n v="16.09"/>
    <n v="1802.08"/>
    <n v="1850.35"/>
    <n v="0"/>
    <n v="1930.36"/>
    <x v="0"/>
    <x v="39"/>
    <x v="0"/>
    <x v="0"/>
    <x v="1"/>
    <n v="16.09"/>
    <n v="16.09"/>
    <n v="16.09"/>
    <n v="1802.08"/>
    <n v="1850.35"/>
    <n v="1930.36"/>
    <n v="1930.36"/>
    <n v="1930.36"/>
    <n v="1930.36"/>
    <x v="0"/>
    <x v="0"/>
    <x v="0"/>
    <n v="0"/>
    <x v="0"/>
  </r>
  <r>
    <x v="52"/>
    <x v="50"/>
    <n v="18"/>
    <x v="3"/>
    <s v="ANM"/>
    <x v="0"/>
    <s v="Mineral"/>
    <x v="29"/>
    <s v="2 - Arrendamento"/>
    <n v="38.840000000000003"/>
    <n v="38.840000000000003"/>
    <n v="0"/>
    <n v="38.840000000000003"/>
    <n v="4350.08"/>
    <n v="4505.4399999999996"/>
    <n v="0"/>
    <n v="4641.8500000000004"/>
    <x v="0"/>
    <x v="13"/>
    <x v="0"/>
    <x v="0"/>
    <x v="1"/>
    <n v="38.840000000000003"/>
    <n v="38.840000000000003"/>
    <n v="38.840000000000003"/>
    <n v="4350.08"/>
    <n v="4505.4399999999996"/>
    <n v="4641.8500000000004"/>
    <n v="4641.8500000000004"/>
    <n v="4641.8500000000004"/>
    <n v="4641.8500000000004"/>
    <x v="1"/>
    <x v="0"/>
    <x v="0"/>
    <n v="0"/>
    <x v="0"/>
  </r>
  <r>
    <x v="52"/>
    <x v="50"/>
    <n v="19"/>
    <x v="3"/>
    <s v="INV"/>
    <x v="0"/>
    <s v="Mineral"/>
    <x v="11"/>
    <s v="2 - Arrendamento"/>
    <n v="25"/>
    <n v="25"/>
    <n v="0"/>
    <n v="25"/>
    <n v="2750"/>
    <n v="2800"/>
    <n v="0"/>
    <n v="3374.99"/>
    <x v="0"/>
    <x v="39"/>
    <x v="0"/>
    <x v="0"/>
    <x v="1"/>
    <n v="25"/>
    <n v="25"/>
    <n v="25"/>
    <n v="2750"/>
    <n v="2800"/>
    <n v="3374.99"/>
    <n v="3374.99"/>
    <n v="3374.99"/>
    <n v="3374.99"/>
    <x v="1"/>
    <x v="0"/>
    <x v="0"/>
    <n v="0"/>
    <x v="0"/>
  </r>
  <r>
    <x v="52"/>
    <x v="50"/>
    <n v="20"/>
    <x v="3"/>
    <s v="INV"/>
    <x v="0"/>
    <s v="Mineral"/>
    <x v="11"/>
    <s v="2 - Arrendamento"/>
    <n v="36.76"/>
    <n v="36.76"/>
    <n v="0"/>
    <n v="36.76"/>
    <n v="4043.6"/>
    <n v="4043.6"/>
    <n v="0"/>
    <n v="4078.31"/>
    <x v="0"/>
    <x v="10"/>
    <x v="0"/>
    <x v="0"/>
    <x v="1"/>
    <n v="36.76"/>
    <n v="36.76"/>
    <n v="36.76"/>
    <n v="4043.6"/>
    <n v="4043.6"/>
    <n v="4078.31"/>
    <n v="4078.31"/>
    <n v="4078.31"/>
    <n v="4078.31"/>
    <x v="1"/>
    <x v="0"/>
    <x v="0"/>
    <n v="0"/>
    <x v="0"/>
  </r>
  <r>
    <x v="53"/>
    <x v="14"/>
    <n v="1"/>
    <x v="4"/>
    <s v="4ºC"/>
    <x v="0"/>
    <s v="Fertirrigação"/>
    <x v="3"/>
    <s v="2 - Arrendamento"/>
    <n v="17.39"/>
    <n v="17.39"/>
    <n v="0"/>
    <n v="17.39"/>
    <n v="1043.4000000000001"/>
    <n v="1112.96"/>
    <n v="0"/>
    <n v="1195.6099999999999"/>
    <x v="0"/>
    <x v="7"/>
    <x v="0"/>
    <x v="0"/>
    <x v="1"/>
    <n v="17.39"/>
    <n v="17.39"/>
    <n v="17.39"/>
    <n v="1043.4000000000001"/>
    <n v="1112.96"/>
    <n v="1195.6099999999999"/>
    <n v="1195.6099999999999"/>
    <n v="1195.6099999999999"/>
    <n v="1195.6099999999999"/>
    <x v="1"/>
    <x v="1"/>
    <x v="0"/>
    <n v="0"/>
    <x v="0"/>
  </r>
  <r>
    <x v="53"/>
    <x v="14"/>
    <n v="47"/>
    <x v="5"/>
    <s v="2ºC"/>
    <x v="0"/>
    <s v="Fertirrigação"/>
    <x v="16"/>
    <s v="2 - Arrendamento"/>
    <n v="20.309999999999999"/>
    <n v="0"/>
    <n v="0"/>
    <n v="20.309999999999999"/>
    <n v="1827.9"/>
    <n v="0"/>
    <n v="0"/>
    <n v="2469.7199999999998"/>
    <x v="0"/>
    <x v="9"/>
    <x v="0"/>
    <x v="1"/>
    <x v="1"/>
    <n v="20.309999999999999"/>
    <n v="20.309999999999999"/>
    <n v="20.309999999999999"/>
    <n v="1827.9"/>
    <n v="2469.7199999999998"/>
    <n v="2469.7199999999998"/>
    <n v="2469.7199999999998"/>
    <n v="2469.7199999999998"/>
    <n v="2469.7199999999998"/>
    <x v="1"/>
    <x v="1"/>
    <x v="0"/>
    <n v="0"/>
    <x v="0"/>
  </r>
  <r>
    <x v="53"/>
    <x v="14"/>
    <n v="48"/>
    <x v="5"/>
    <s v="2ºC"/>
    <x v="0"/>
    <s v="Fertirrigação"/>
    <x v="16"/>
    <s v="2 - Arrendamento"/>
    <n v="54.96"/>
    <n v="0"/>
    <n v="0"/>
    <n v="54.96"/>
    <n v="4946.3999999999996"/>
    <n v="0"/>
    <n v="0"/>
    <n v="6682.75"/>
    <x v="0"/>
    <x v="9"/>
    <x v="0"/>
    <x v="1"/>
    <x v="1"/>
    <n v="54.96"/>
    <n v="54.96"/>
    <n v="54.96"/>
    <n v="4946.3999999999996"/>
    <n v="6682.75"/>
    <n v="6682.75"/>
    <n v="6682.75"/>
    <n v="6682.75"/>
    <n v="6682.75"/>
    <x v="1"/>
    <x v="1"/>
    <x v="0"/>
    <n v="0"/>
    <x v="0"/>
  </r>
  <r>
    <x v="53"/>
    <x v="14"/>
    <n v="49"/>
    <x v="5"/>
    <s v="2ºC"/>
    <x v="0"/>
    <s v="Fertirrigação"/>
    <x v="16"/>
    <s v="2 - Arrendamento"/>
    <n v="61.65"/>
    <n v="0"/>
    <n v="0"/>
    <n v="61.65"/>
    <n v="5548.5"/>
    <n v="0"/>
    <n v="0"/>
    <n v="7498.26"/>
    <x v="0"/>
    <x v="9"/>
    <x v="0"/>
    <x v="1"/>
    <x v="1"/>
    <n v="61.65"/>
    <n v="61.65"/>
    <n v="61.65"/>
    <n v="5548.5"/>
    <n v="7498.26"/>
    <n v="7498.26"/>
    <n v="7498.26"/>
    <n v="7498.26"/>
    <n v="7498.26"/>
    <x v="1"/>
    <x v="1"/>
    <x v="0"/>
    <n v="0"/>
    <x v="0"/>
  </r>
  <r>
    <x v="53"/>
    <x v="14"/>
    <n v="50"/>
    <x v="2"/>
    <s v="3ºC"/>
    <x v="0"/>
    <s v="Fertirrigação"/>
    <x v="14"/>
    <s v="2 - Arrendamento"/>
    <n v="43.03"/>
    <n v="0"/>
    <n v="0"/>
    <n v="43.03"/>
    <n v="3872.7"/>
    <n v="0"/>
    <n v="0"/>
    <n v="3800.11"/>
    <x v="0"/>
    <x v="27"/>
    <x v="0"/>
    <x v="1"/>
    <x v="1"/>
    <n v="43.03"/>
    <n v="43.03"/>
    <n v="43.03"/>
    <n v="3872.7"/>
    <n v="3800.11"/>
    <n v="3800.11"/>
    <n v="3800.11"/>
    <n v="3800.11"/>
    <n v="3800.11"/>
    <x v="1"/>
    <x v="1"/>
    <x v="0"/>
    <n v="0"/>
    <x v="0"/>
  </r>
  <r>
    <x v="53"/>
    <x v="14"/>
    <n v="51"/>
    <x v="2"/>
    <s v="3ºC"/>
    <x v="0"/>
    <s v="Fertirrigação"/>
    <x v="14"/>
    <s v="2 - Arrendamento"/>
    <n v="48.58"/>
    <n v="0"/>
    <n v="0"/>
    <n v="48.58"/>
    <n v="4275.04"/>
    <n v="0"/>
    <n v="0"/>
    <n v="4194.57"/>
    <x v="0"/>
    <x v="27"/>
    <x v="0"/>
    <x v="1"/>
    <x v="1"/>
    <n v="48.58"/>
    <n v="48.58"/>
    <n v="48.58"/>
    <n v="4275.04"/>
    <n v="4194.57"/>
    <n v="4194.57"/>
    <n v="4194.57"/>
    <n v="4194.57"/>
    <n v="4194.57"/>
    <x v="1"/>
    <x v="1"/>
    <x v="0"/>
    <n v="0"/>
    <x v="0"/>
  </r>
  <r>
    <x v="53"/>
    <x v="14"/>
    <n v="52"/>
    <x v="2"/>
    <s v="3ºC"/>
    <x v="0"/>
    <s v="Fertirrigação"/>
    <x v="14"/>
    <s v="2 - Arrendamento"/>
    <n v="40.369999999999997"/>
    <n v="0"/>
    <n v="0"/>
    <n v="40.369999999999997"/>
    <n v="3552.56"/>
    <n v="0"/>
    <n v="0"/>
    <n v="3486.13"/>
    <x v="0"/>
    <x v="27"/>
    <x v="0"/>
    <x v="1"/>
    <x v="1"/>
    <n v="40.369999999999997"/>
    <n v="40.369999999999997"/>
    <n v="40.369999999999997"/>
    <n v="3552.56"/>
    <n v="3486.13"/>
    <n v="3486.13"/>
    <n v="3486.13"/>
    <n v="3486.13"/>
    <n v="3486.13"/>
    <x v="1"/>
    <x v="1"/>
    <x v="0"/>
    <n v="0"/>
    <x v="0"/>
  </r>
  <r>
    <x v="53"/>
    <x v="14"/>
    <n v="53"/>
    <x v="2"/>
    <s v="3ºC"/>
    <x v="0"/>
    <s v="Fertirrigação"/>
    <x v="14"/>
    <s v="2 - Arrendamento"/>
    <n v="6.33"/>
    <n v="0"/>
    <n v="0"/>
    <n v="6.33"/>
    <n v="557.04"/>
    <n v="0"/>
    <n v="0"/>
    <n v="547.11"/>
    <x v="0"/>
    <x v="27"/>
    <x v="0"/>
    <x v="1"/>
    <x v="1"/>
    <n v="6.33"/>
    <n v="6.33"/>
    <n v="6.33"/>
    <n v="557.04"/>
    <n v="547.11"/>
    <n v="547.11"/>
    <n v="547.11"/>
    <n v="547.11"/>
    <n v="547.11"/>
    <x v="1"/>
    <x v="1"/>
    <x v="0"/>
    <n v="0"/>
    <x v="0"/>
  </r>
  <r>
    <x v="53"/>
    <x v="14"/>
    <n v="90"/>
    <x v="0"/>
    <s v="6ºC"/>
    <x v="0"/>
    <s v="Fertirrigação"/>
    <x v="6"/>
    <s v="2 - Arrendamento"/>
    <n v="38.44"/>
    <n v="38.44"/>
    <n v="38.44"/>
    <n v="38.44"/>
    <n v="1922"/>
    <n v="1960.44"/>
    <n v="1960.44"/>
    <n v="1568.4"/>
    <x v="0"/>
    <x v="2"/>
    <x v="0"/>
    <x v="0"/>
    <x v="0"/>
    <n v="38.44"/>
    <n v="38.44"/>
    <n v="38.44"/>
    <n v="1922"/>
    <n v="1960.44"/>
    <n v="1960.44"/>
    <n v="1568.4"/>
    <n v="1568.4"/>
    <n v="1568.4"/>
    <x v="1"/>
    <x v="1"/>
    <x v="0"/>
    <n v="0"/>
    <x v="0"/>
  </r>
  <r>
    <x v="53"/>
    <x v="14"/>
    <n v="91"/>
    <x v="0"/>
    <s v="6ºC"/>
    <x v="0"/>
    <s v="Fertirrigação"/>
    <x v="6"/>
    <s v="2 - Arrendamento"/>
    <n v="30.43"/>
    <n v="30.43"/>
    <n v="30.43"/>
    <n v="30.43"/>
    <n v="1521.5"/>
    <n v="1551.93"/>
    <n v="1551.93"/>
    <n v="1241.99"/>
    <x v="0"/>
    <x v="2"/>
    <x v="0"/>
    <x v="0"/>
    <x v="0"/>
    <n v="30.43"/>
    <n v="30.43"/>
    <n v="30.43"/>
    <n v="1521.5"/>
    <n v="1551.93"/>
    <n v="1551.93"/>
    <n v="1241.99"/>
    <n v="1241.99"/>
    <n v="1241.99"/>
    <x v="1"/>
    <x v="1"/>
    <x v="0"/>
    <n v="0"/>
    <x v="0"/>
  </r>
  <r>
    <x v="53"/>
    <x v="14"/>
    <n v="92"/>
    <x v="0"/>
    <s v="6ºC"/>
    <x v="0"/>
    <s v="Fertirrigação"/>
    <x v="3"/>
    <s v="2 - Arrendamento"/>
    <n v="29.37"/>
    <n v="0"/>
    <n v="0"/>
    <n v="29.37"/>
    <n v="1762.2"/>
    <n v="0"/>
    <n v="0"/>
    <n v="1090.5899999999999"/>
    <x v="0"/>
    <x v="39"/>
    <x v="0"/>
    <x v="1"/>
    <x v="1"/>
    <n v="29.37"/>
    <n v="29.37"/>
    <n v="29.37"/>
    <n v="1762.2"/>
    <n v="1090.5899999999999"/>
    <n v="1090.5899999999999"/>
    <n v="1090.5899999999999"/>
    <n v="1090.5899999999999"/>
    <n v="1090.5899999999999"/>
    <x v="1"/>
    <x v="1"/>
    <x v="0"/>
    <n v="0"/>
    <x v="0"/>
  </r>
  <r>
    <x v="53"/>
    <x v="14"/>
    <n v="93"/>
    <x v="0"/>
    <s v="6ºC"/>
    <x v="0"/>
    <s v="Fertirrigação"/>
    <x v="3"/>
    <s v="2 - Arrendamento"/>
    <n v="32.93"/>
    <n v="0"/>
    <n v="0"/>
    <n v="32.93"/>
    <n v="1975.8"/>
    <n v="0"/>
    <n v="0"/>
    <n v="1223.3499999999999"/>
    <x v="0"/>
    <x v="39"/>
    <x v="0"/>
    <x v="1"/>
    <x v="1"/>
    <n v="32.93"/>
    <n v="32.93"/>
    <n v="32.93"/>
    <n v="1975.8"/>
    <n v="1223.3499999999999"/>
    <n v="1223.3499999999999"/>
    <n v="1223.3499999999999"/>
    <n v="1223.3499999999999"/>
    <n v="1223.3499999999999"/>
    <x v="1"/>
    <x v="1"/>
    <x v="0"/>
    <n v="0"/>
    <x v="0"/>
  </r>
  <r>
    <x v="53"/>
    <x v="14"/>
    <n v="94"/>
    <x v="0"/>
    <s v="6ºC"/>
    <x v="0"/>
    <s v="Fertirrigação"/>
    <x v="3"/>
    <s v="2 - Arrendamento"/>
    <n v="31.55"/>
    <n v="0"/>
    <n v="0"/>
    <n v="31.55"/>
    <n v="1893"/>
    <n v="0"/>
    <n v="0"/>
    <n v="1172.06"/>
    <x v="0"/>
    <x v="39"/>
    <x v="0"/>
    <x v="1"/>
    <x v="1"/>
    <n v="31.55"/>
    <n v="31.55"/>
    <n v="31.55"/>
    <n v="1893"/>
    <n v="1172.06"/>
    <n v="1172.06"/>
    <n v="1172.06"/>
    <n v="1172.06"/>
    <n v="1172.06"/>
    <x v="1"/>
    <x v="1"/>
    <x v="0"/>
    <n v="0"/>
    <x v="0"/>
  </r>
  <r>
    <x v="53"/>
    <x v="14"/>
    <n v="95"/>
    <x v="0"/>
    <s v="6ºC"/>
    <x v="0"/>
    <s v="Fertirrigação"/>
    <x v="3"/>
    <s v="2 - Arrendamento"/>
    <n v="28.98"/>
    <n v="0"/>
    <n v="0"/>
    <n v="28.98"/>
    <n v="1738.8"/>
    <n v="0"/>
    <n v="0"/>
    <n v="1855.95"/>
    <x v="0"/>
    <x v="13"/>
    <x v="0"/>
    <x v="1"/>
    <x v="1"/>
    <n v="28.98"/>
    <n v="28.98"/>
    <n v="28.98"/>
    <n v="1738.8"/>
    <n v="1855.95"/>
    <n v="1855.95"/>
    <n v="1855.95"/>
    <n v="1855.95"/>
    <n v="1855.95"/>
    <x v="1"/>
    <x v="1"/>
    <x v="0"/>
    <n v="0"/>
    <x v="0"/>
  </r>
  <r>
    <x v="53"/>
    <x v="14"/>
    <n v="96"/>
    <x v="0"/>
    <s v="6ºC"/>
    <x v="0"/>
    <s v="Fertirrigação"/>
    <x v="3"/>
    <s v="2 - Arrendamento"/>
    <n v="35.020000000000003"/>
    <n v="0"/>
    <n v="0"/>
    <n v="35.020000000000003"/>
    <n v="2101.1999999999998"/>
    <n v="0"/>
    <n v="0"/>
    <n v="2242.7399999999998"/>
    <x v="0"/>
    <x v="13"/>
    <x v="0"/>
    <x v="1"/>
    <x v="1"/>
    <n v="35.020000000000003"/>
    <n v="35.020000000000003"/>
    <n v="35.020000000000003"/>
    <n v="2101.1999999999998"/>
    <n v="2242.7399999999998"/>
    <n v="2242.7399999999998"/>
    <n v="2242.7399999999998"/>
    <n v="2242.7399999999998"/>
    <n v="2242.7399999999998"/>
    <x v="1"/>
    <x v="1"/>
    <x v="0"/>
    <n v="0"/>
    <x v="0"/>
  </r>
  <r>
    <x v="53"/>
    <x v="14"/>
    <n v="97"/>
    <x v="0"/>
    <s v="6ºC"/>
    <x v="0"/>
    <s v="Fertirrigação"/>
    <x v="8"/>
    <s v="2 - Arrendamento"/>
    <n v="14.29"/>
    <n v="14.29"/>
    <n v="14.29"/>
    <n v="14.29"/>
    <n v="771.66"/>
    <n v="800.24"/>
    <n v="800.24"/>
    <n v="595.32000000000005"/>
    <x v="0"/>
    <x v="34"/>
    <x v="0"/>
    <x v="0"/>
    <x v="0"/>
    <n v="14.29"/>
    <n v="14.29"/>
    <n v="14.29"/>
    <n v="771.66"/>
    <n v="800.24"/>
    <n v="800.24"/>
    <n v="595.32000000000005"/>
    <n v="595.32000000000005"/>
    <n v="595.32000000000005"/>
    <x v="1"/>
    <x v="1"/>
    <x v="0"/>
    <n v="0"/>
    <x v="0"/>
  </r>
  <r>
    <x v="53"/>
    <x v="14"/>
    <n v="98"/>
    <x v="0"/>
    <s v="6ºC"/>
    <x v="0"/>
    <s v="Fertirrigação"/>
    <x v="8"/>
    <s v="2 - Arrendamento"/>
    <n v="12.88"/>
    <n v="12.88"/>
    <n v="12.88"/>
    <n v="12.88"/>
    <n v="695.52"/>
    <n v="721.28"/>
    <n v="721.28"/>
    <n v="536.54"/>
    <x v="0"/>
    <x v="34"/>
    <x v="0"/>
    <x v="0"/>
    <x v="0"/>
    <n v="12.88"/>
    <n v="12.88"/>
    <n v="12.88"/>
    <n v="695.52"/>
    <n v="721.28"/>
    <n v="721.28"/>
    <n v="536.54"/>
    <n v="536.54"/>
    <n v="536.54"/>
    <x v="1"/>
    <x v="1"/>
    <x v="0"/>
    <n v="0"/>
    <x v="0"/>
  </r>
  <r>
    <x v="53"/>
    <x v="14"/>
    <n v="99"/>
    <x v="0"/>
    <s v="6ºC"/>
    <x v="0"/>
    <s v="Fertirrigação"/>
    <x v="8"/>
    <s v="2 - Arrendamento"/>
    <n v="24.09"/>
    <n v="24.09"/>
    <n v="24.09"/>
    <n v="24.09"/>
    <n v="1300.8599999999999"/>
    <n v="1349.04"/>
    <n v="1349.04"/>
    <n v="1003.98"/>
    <x v="0"/>
    <x v="34"/>
    <x v="0"/>
    <x v="0"/>
    <x v="0"/>
    <n v="24.09"/>
    <n v="24.09"/>
    <n v="24.09"/>
    <n v="1300.8599999999999"/>
    <n v="1349.04"/>
    <n v="1349.04"/>
    <n v="1003.98"/>
    <n v="1003.98"/>
    <n v="1003.98"/>
    <x v="1"/>
    <x v="1"/>
    <x v="0"/>
    <n v="0"/>
    <x v="0"/>
  </r>
  <r>
    <x v="53"/>
    <x v="14"/>
    <n v="100"/>
    <x v="0"/>
    <s v="6ºC"/>
    <x v="0"/>
    <s v="Fertirrigação"/>
    <x v="8"/>
    <s v="2 - Arrendamento"/>
    <n v="13.4"/>
    <n v="13.4"/>
    <n v="0"/>
    <n v="13.4"/>
    <n v="723.6"/>
    <n v="750.4"/>
    <n v="0"/>
    <n v="841.32"/>
    <x v="0"/>
    <x v="13"/>
    <x v="0"/>
    <x v="0"/>
    <x v="1"/>
    <n v="13.4"/>
    <n v="13.4"/>
    <n v="13.4"/>
    <n v="723.6"/>
    <n v="750.4"/>
    <n v="841.32"/>
    <n v="841.32"/>
    <n v="841.32"/>
    <n v="841.32"/>
    <x v="1"/>
    <x v="1"/>
    <x v="0"/>
    <n v="0"/>
    <x v="0"/>
  </r>
  <r>
    <x v="53"/>
    <x v="14"/>
    <n v="111"/>
    <x v="0"/>
    <s v="6ºC"/>
    <x v="0"/>
    <s v="Fertirrigação"/>
    <x v="1"/>
    <s v="2 - Arrendamento"/>
    <n v="27.69"/>
    <n v="27.69"/>
    <n v="27.69"/>
    <n v="27.69"/>
    <n v="1495.26"/>
    <n v="1550.64"/>
    <n v="1550.64"/>
    <n v="1117.77"/>
    <x v="0"/>
    <x v="34"/>
    <x v="0"/>
    <x v="0"/>
    <x v="0"/>
    <n v="27.69"/>
    <n v="27.69"/>
    <n v="27.69"/>
    <n v="1495.26"/>
    <n v="1550.64"/>
    <n v="1550.64"/>
    <n v="1117.77"/>
    <n v="1117.77"/>
    <n v="1117.77"/>
    <x v="1"/>
    <x v="1"/>
    <x v="0"/>
    <n v="0"/>
    <x v="0"/>
  </r>
  <r>
    <x v="53"/>
    <x v="14"/>
    <n v="112"/>
    <x v="0"/>
    <s v="6ºC"/>
    <x v="0"/>
    <s v="Fertirrigação"/>
    <x v="1"/>
    <s v="2 - Arrendamento"/>
    <n v="33.950000000000003"/>
    <n v="33.950000000000003"/>
    <n v="33.950000000000003"/>
    <n v="33.950000000000003"/>
    <n v="1425.9"/>
    <n v="1697.5"/>
    <n v="1697.5"/>
    <n v="1223.73"/>
    <x v="0"/>
    <x v="34"/>
    <x v="0"/>
    <x v="0"/>
    <x v="0"/>
    <n v="33.950000000000003"/>
    <n v="33.950000000000003"/>
    <n v="33.950000000000003"/>
    <n v="1425.9"/>
    <n v="1697.5"/>
    <n v="1697.5"/>
    <n v="1223.73"/>
    <n v="1223.73"/>
    <n v="1223.73"/>
    <x v="1"/>
    <x v="1"/>
    <x v="0"/>
    <n v="0"/>
    <x v="0"/>
  </r>
  <r>
    <x v="53"/>
    <x v="14"/>
    <n v="113"/>
    <x v="0"/>
    <s v="6ºC"/>
    <x v="0"/>
    <s v="Fertirrigação"/>
    <x v="8"/>
    <s v="2 - Arrendamento"/>
    <n v="22.36"/>
    <n v="22.36"/>
    <n v="22.36"/>
    <n v="22.36"/>
    <n v="939.12"/>
    <n v="1118"/>
    <n v="1118"/>
    <n v="805.85"/>
    <x v="0"/>
    <x v="34"/>
    <x v="0"/>
    <x v="0"/>
    <x v="0"/>
    <n v="22.36"/>
    <n v="22.36"/>
    <n v="22.36"/>
    <n v="939.12"/>
    <n v="1118"/>
    <n v="1118"/>
    <n v="805.85"/>
    <n v="805.85"/>
    <n v="805.85"/>
    <x v="1"/>
    <x v="1"/>
    <x v="0"/>
    <n v="0"/>
    <x v="0"/>
  </r>
  <r>
    <x v="53"/>
    <x v="14"/>
    <n v="114"/>
    <x v="0"/>
    <s v="6ºC"/>
    <x v="0"/>
    <s v="Fertirrigação"/>
    <x v="8"/>
    <s v="2 - Arrendamento"/>
    <n v="12.3"/>
    <n v="12.3"/>
    <n v="12.3"/>
    <n v="12.3"/>
    <n v="516.6"/>
    <n v="615"/>
    <n v="615"/>
    <n v="618.70000000000005"/>
    <x v="0"/>
    <x v="34"/>
    <x v="0"/>
    <x v="0"/>
    <x v="0"/>
    <n v="12.3"/>
    <n v="12.3"/>
    <n v="12.3"/>
    <n v="516.6"/>
    <n v="615"/>
    <n v="615"/>
    <n v="618.70000000000005"/>
    <n v="618.70000000000005"/>
    <n v="618.70000000000005"/>
    <x v="1"/>
    <x v="1"/>
    <x v="0"/>
    <n v="0"/>
    <x v="0"/>
  </r>
  <r>
    <x v="53"/>
    <x v="14"/>
    <n v="115"/>
    <x v="0"/>
    <s v="6ºC"/>
    <x v="0"/>
    <s v="Fertirrigação"/>
    <x v="8"/>
    <s v="2 - Arrendamento"/>
    <n v="17.84"/>
    <n v="17.84"/>
    <n v="17.84"/>
    <n v="17.84"/>
    <n v="749.28"/>
    <n v="892"/>
    <n v="892"/>
    <n v="897.39"/>
    <x v="0"/>
    <x v="34"/>
    <x v="0"/>
    <x v="0"/>
    <x v="0"/>
    <n v="17.84"/>
    <n v="17.84"/>
    <n v="17.84"/>
    <n v="749.28"/>
    <n v="892"/>
    <n v="892"/>
    <n v="897.39"/>
    <n v="897.39"/>
    <n v="897.39"/>
    <x v="1"/>
    <x v="1"/>
    <x v="0"/>
    <n v="0"/>
    <x v="0"/>
  </r>
  <r>
    <x v="53"/>
    <x v="14"/>
    <n v="116"/>
    <x v="0"/>
    <s v="6ºC"/>
    <x v="0"/>
    <s v="Fertirrigação"/>
    <x v="8"/>
    <s v="2 - Arrendamento"/>
    <n v="13.09"/>
    <n v="13.09"/>
    <n v="13.09"/>
    <n v="13.09"/>
    <n v="589.04999999999995"/>
    <n v="654.5"/>
    <n v="654.5"/>
    <n v="658.95"/>
    <x v="0"/>
    <x v="34"/>
    <x v="0"/>
    <x v="0"/>
    <x v="0"/>
    <n v="13.09"/>
    <n v="13.09"/>
    <n v="13.09"/>
    <n v="589.04999999999995"/>
    <n v="654.5"/>
    <n v="654.5"/>
    <n v="658.95"/>
    <n v="658.95"/>
    <n v="658.95"/>
    <x v="1"/>
    <x v="1"/>
    <x v="0"/>
    <n v="0"/>
    <x v="0"/>
  </r>
  <r>
    <x v="53"/>
    <x v="14"/>
    <n v="117"/>
    <x v="0"/>
    <s v="6ºC"/>
    <x v="0"/>
    <s v="Fertirrigação"/>
    <x v="8"/>
    <s v="2 - Arrendamento"/>
    <n v="10.95"/>
    <n v="10.95"/>
    <n v="10.95"/>
    <n v="10.95"/>
    <n v="492.75"/>
    <n v="547.5"/>
    <n v="547.5"/>
    <n v="551.29"/>
    <x v="0"/>
    <x v="34"/>
    <x v="0"/>
    <x v="0"/>
    <x v="0"/>
    <n v="10.95"/>
    <n v="10.95"/>
    <n v="10.95"/>
    <n v="492.75"/>
    <n v="547.5"/>
    <n v="547.5"/>
    <n v="551.29"/>
    <n v="551.29"/>
    <n v="551.29"/>
    <x v="1"/>
    <x v="1"/>
    <x v="0"/>
    <n v="0"/>
    <x v="0"/>
  </r>
  <r>
    <x v="53"/>
    <x v="14"/>
    <n v="118"/>
    <x v="0"/>
    <s v="6ºC"/>
    <x v="0"/>
    <s v="Fertirrigação"/>
    <x v="8"/>
    <s v="2 - Arrendamento"/>
    <n v="6.84"/>
    <n v="6.84"/>
    <n v="6.84"/>
    <n v="6.84"/>
    <n v="307.8"/>
    <n v="342"/>
    <n v="342"/>
    <n v="344.26"/>
    <x v="0"/>
    <x v="34"/>
    <x v="0"/>
    <x v="0"/>
    <x v="0"/>
    <n v="6.84"/>
    <n v="6.84"/>
    <n v="6.84"/>
    <n v="307.8"/>
    <n v="342"/>
    <n v="342"/>
    <n v="344.26"/>
    <n v="344.26"/>
    <n v="344.26"/>
    <x v="1"/>
    <x v="1"/>
    <x v="0"/>
    <n v="0"/>
    <x v="0"/>
  </r>
  <r>
    <x v="53"/>
    <x v="14"/>
    <n v="119"/>
    <x v="0"/>
    <s v="6ºC"/>
    <x v="0"/>
    <s v="Fertirrigação"/>
    <x v="8"/>
    <s v="2 - Arrendamento"/>
    <n v="15.37"/>
    <n v="15.37"/>
    <n v="15.37"/>
    <n v="15.37"/>
    <n v="691.65"/>
    <n v="768.5"/>
    <n v="768.5"/>
    <n v="473.39"/>
    <x v="0"/>
    <x v="19"/>
    <x v="0"/>
    <x v="0"/>
    <x v="0"/>
    <n v="15.37"/>
    <n v="15.37"/>
    <n v="15.37"/>
    <n v="691.65"/>
    <n v="768.5"/>
    <n v="768.5"/>
    <n v="473.39"/>
    <n v="473.39"/>
    <n v="473.39"/>
    <x v="1"/>
    <x v="1"/>
    <x v="0"/>
    <n v="0"/>
    <x v="0"/>
  </r>
  <r>
    <x v="53"/>
    <x v="14"/>
    <n v="120"/>
    <x v="0"/>
    <s v="6ºC"/>
    <x v="0"/>
    <s v="Fertirrigação"/>
    <x v="8"/>
    <s v="2 - Arrendamento"/>
    <n v="12.13"/>
    <n v="12.13"/>
    <n v="12.13"/>
    <n v="12.13"/>
    <n v="545.85"/>
    <n v="606.5"/>
    <n v="606.5"/>
    <n v="373.65"/>
    <x v="0"/>
    <x v="19"/>
    <x v="0"/>
    <x v="0"/>
    <x v="0"/>
    <n v="12.13"/>
    <n v="12.13"/>
    <n v="12.13"/>
    <n v="545.85"/>
    <n v="606.5"/>
    <n v="606.5"/>
    <n v="373.65"/>
    <n v="373.65"/>
    <n v="373.65"/>
    <x v="1"/>
    <x v="1"/>
    <x v="0"/>
    <n v="0"/>
    <x v="0"/>
  </r>
  <r>
    <x v="53"/>
    <x v="14"/>
    <n v="121"/>
    <x v="0"/>
    <s v="6ºC"/>
    <x v="0"/>
    <s v="Fertirrigação"/>
    <x v="8"/>
    <s v="2 - Arrendamento"/>
    <n v="12.25"/>
    <n v="12.25"/>
    <n v="12.25"/>
    <n v="12.25"/>
    <n v="551.25"/>
    <n v="612.5"/>
    <n v="612.5"/>
    <n v="377.35"/>
    <x v="0"/>
    <x v="19"/>
    <x v="0"/>
    <x v="0"/>
    <x v="0"/>
    <n v="12.25"/>
    <n v="12.25"/>
    <n v="12.25"/>
    <n v="551.25"/>
    <n v="612.5"/>
    <n v="612.5"/>
    <n v="377.35"/>
    <n v="377.35"/>
    <n v="377.35"/>
    <x v="1"/>
    <x v="1"/>
    <x v="0"/>
    <n v="0"/>
    <x v="0"/>
  </r>
  <r>
    <x v="53"/>
    <x v="14"/>
    <n v="122"/>
    <x v="0"/>
    <s v="6ºC"/>
    <x v="0"/>
    <s v="Fertirrigação"/>
    <x v="8"/>
    <s v="2 - Arrendamento"/>
    <n v="10.89"/>
    <n v="10.89"/>
    <n v="10.89"/>
    <n v="10.89"/>
    <n v="490.05"/>
    <n v="544.5"/>
    <n v="544.5"/>
    <n v="335.48"/>
    <x v="0"/>
    <x v="19"/>
    <x v="0"/>
    <x v="0"/>
    <x v="0"/>
    <n v="10.89"/>
    <n v="10.89"/>
    <n v="10.89"/>
    <n v="490.05"/>
    <n v="544.5"/>
    <n v="544.5"/>
    <n v="335.48"/>
    <n v="335.48"/>
    <n v="335.48"/>
    <x v="1"/>
    <x v="1"/>
    <x v="0"/>
    <n v="0"/>
    <x v="0"/>
  </r>
  <r>
    <x v="53"/>
    <x v="14"/>
    <n v="123"/>
    <x v="0"/>
    <s v="6ºC"/>
    <x v="0"/>
    <s v="Fertirrigação"/>
    <x v="8"/>
    <s v="2 - Arrendamento"/>
    <n v="11.67"/>
    <n v="11.67"/>
    <n v="11.67"/>
    <n v="11.67"/>
    <n v="525.15"/>
    <n v="583.5"/>
    <n v="583.5"/>
    <n v="359.49"/>
    <x v="0"/>
    <x v="19"/>
    <x v="0"/>
    <x v="0"/>
    <x v="0"/>
    <n v="11.67"/>
    <n v="11.67"/>
    <n v="11.67"/>
    <n v="525.15"/>
    <n v="583.5"/>
    <n v="583.5"/>
    <n v="359.49"/>
    <n v="359.49"/>
    <n v="359.49"/>
    <x v="1"/>
    <x v="1"/>
    <x v="0"/>
    <n v="0"/>
    <x v="0"/>
  </r>
  <r>
    <x v="53"/>
    <x v="14"/>
    <n v="124"/>
    <x v="0"/>
    <s v="6ºC"/>
    <x v="0"/>
    <s v="Fertirrigação"/>
    <x v="8"/>
    <s v="2 - Arrendamento"/>
    <n v="8.6"/>
    <n v="8.6"/>
    <n v="8.6"/>
    <n v="8.6"/>
    <n v="387"/>
    <n v="430"/>
    <n v="430"/>
    <n v="264.68"/>
    <x v="0"/>
    <x v="19"/>
    <x v="0"/>
    <x v="0"/>
    <x v="0"/>
    <n v="8.6"/>
    <n v="8.6"/>
    <n v="8.6"/>
    <n v="387"/>
    <n v="430"/>
    <n v="430"/>
    <n v="264.68"/>
    <n v="264.68"/>
    <n v="264.68"/>
    <x v="1"/>
    <x v="1"/>
    <x v="0"/>
    <n v="0"/>
    <x v="0"/>
  </r>
  <r>
    <x v="53"/>
    <x v="14"/>
    <n v="125"/>
    <x v="0"/>
    <s v="6ºC"/>
    <x v="0"/>
    <s v="Fertirrigação"/>
    <x v="8"/>
    <s v="2 - Arrendamento"/>
    <n v="3.78"/>
    <n v="3.78"/>
    <n v="3.78"/>
    <n v="3.78"/>
    <n v="170.1"/>
    <n v="189"/>
    <n v="189"/>
    <n v="116.56"/>
    <x v="0"/>
    <x v="19"/>
    <x v="0"/>
    <x v="0"/>
    <x v="0"/>
    <n v="3.78"/>
    <n v="3.78"/>
    <n v="3.78"/>
    <n v="170.1"/>
    <n v="189"/>
    <n v="189"/>
    <n v="116.56"/>
    <n v="116.56"/>
    <n v="116.56"/>
    <x v="1"/>
    <x v="1"/>
    <x v="0"/>
    <n v="0"/>
    <x v="0"/>
  </r>
  <r>
    <x v="53"/>
    <x v="14"/>
    <n v="126"/>
    <x v="4"/>
    <s v="4ºC"/>
    <x v="0"/>
    <s v="Fertirrigação"/>
    <x v="10"/>
    <s v="2 - Arrendamento"/>
    <n v="20.13"/>
    <n v="20.13"/>
    <n v="0"/>
    <n v="20.13"/>
    <n v="1650.66"/>
    <n v="1670.79"/>
    <n v="0"/>
    <n v="1476.28"/>
    <x v="0"/>
    <x v="39"/>
    <x v="0"/>
    <x v="0"/>
    <x v="1"/>
    <n v="20.13"/>
    <n v="20.13"/>
    <n v="20.13"/>
    <n v="1650.66"/>
    <n v="1670.79"/>
    <n v="1476.28"/>
    <n v="1476.28"/>
    <n v="1476.28"/>
    <n v="1476.28"/>
    <x v="1"/>
    <x v="1"/>
    <x v="0"/>
    <n v="0"/>
    <x v="0"/>
  </r>
  <r>
    <x v="53"/>
    <x v="14"/>
    <n v="127"/>
    <x v="4"/>
    <s v="4ºC"/>
    <x v="0"/>
    <s v="Fertirrigação"/>
    <x v="10"/>
    <s v="2 - Arrendamento"/>
    <n v="19.18"/>
    <n v="19.18"/>
    <n v="0"/>
    <n v="19.18"/>
    <n v="1572.76"/>
    <n v="1591.94"/>
    <n v="0"/>
    <n v="1406.49"/>
    <x v="0"/>
    <x v="39"/>
    <x v="0"/>
    <x v="0"/>
    <x v="1"/>
    <n v="19.18"/>
    <n v="19.18"/>
    <n v="19.18"/>
    <n v="1572.76"/>
    <n v="1591.94"/>
    <n v="1406.49"/>
    <n v="1406.49"/>
    <n v="1406.49"/>
    <n v="1406.49"/>
    <x v="1"/>
    <x v="1"/>
    <x v="0"/>
    <n v="0"/>
    <x v="0"/>
  </r>
  <r>
    <x v="53"/>
    <x v="14"/>
    <n v="128"/>
    <x v="4"/>
    <s v="4ºC"/>
    <x v="0"/>
    <s v="Fertirrigação"/>
    <x v="10"/>
    <s v="2 - Arrendamento"/>
    <n v="19.22"/>
    <n v="19.22"/>
    <n v="0"/>
    <n v="19.22"/>
    <n v="1576.04"/>
    <n v="1595.26"/>
    <n v="0"/>
    <n v="1409.15"/>
    <x v="0"/>
    <x v="39"/>
    <x v="0"/>
    <x v="0"/>
    <x v="1"/>
    <n v="19.22"/>
    <n v="19.22"/>
    <n v="19.22"/>
    <n v="1576.04"/>
    <n v="1595.26"/>
    <n v="1409.15"/>
    <n v="1409.15"/>
    <n v="1409.15"/>
    <n v="1409.15"/>
    <x v="1"/>
    <x v="1"/>
    <x v="0"/>
    <n v="0"/>
    <x v="0"/>
  </r>
  <r>
    <x v="53"/>
    <x v="14"/>
    <n v="129"/>
    <x v="4"/>
    <s v="4ºC"/>
    <x v="0"/>
    <s v="Fertirrigação"/>
    <x v="16"/>
    <s v="2 - Arrendamento"/>
    <n v="5.07"/>
    <n v="5.07"/>
    <n v="0"/>
    <n v="5.07"/>
    <n v="415.74"/>
    <n v="420.81"/>
    <n v="0"/>
    <n v="371.87"/>
    <x v="0"/>
    <x v="39"/>
    <x v="0"/>
    <x v="0"/>
    <x v="1"/>
    <n v="5.07"/>
    <n v="5.07"/>
    <n v="5.07"/>
    <n v="415.74"/>
    <n v="420.81"/>
    <n v="371.87"/>
    <n v="371.87"/>
    <n v="371.87"/>
    <n v="371.87"/>
    <x v="1"/>
    <x v="1"/>
    <x v="0"/>
    <n v="0"/>
    <x v="0"/>
  </r>
  <r>
    <x v="53"/>
    <x v="14"/>
    <n v="130"/>
    <x v="4"/>
    <s v="4ºC"/>
    <x v="0"/>
    <s v="Fertirrigação"/>
    <x v="16"/>
    <s v="2 - Arrendamento"/>
    <n v="12.85"/>
    <n v="12.85"/>
    <n v="0"/>
    <n v="12.85"/>
    <n v="1053.7"/>
    <n v="1066.55"/>
    <n v="0"/>
    <n v="942.63"/>
    <x v="0"/>
    <x v="39"/>
    <x v="0"/>
    <x v="0"/>
    <x v="1"/>
    <n v="12.85"/>
    <n v="12.85"/>
    <n v="12.85"/>
    <n v="1053.7"/>
    <n v="1066.55"/>
    <n v="942.63"/>
    <n v="942.63"/>
    <n v="942.63"/>
    <n v="942.63"/>
    <x v="1"/>
    <x v="1"/>
    <x v="0"/>
    <n v="0"/>
    <x v="0"/>
  </r>
  <r>
    <x v="53"/>
    <x v="14"/>
    <n v="131"/>
    <x v="4"/>
    <s v="4ºC"/>
    <x v="0"/>
    <s v="Fertirrigação"/>
    <x v="16"/>
    <s v="2 - Arrendamento"/>
    <n v="20.8"/>
    <n v="20.8"/>
    <n v="0"/>
    <n v="20.8"/>
    <n v="1705.6"/>
    <n v="1726.4"/>
    <n v="0"/>
    <n v="1525.54"/>
    <x v="0"/>
    <x v="39"/>
    <x v="0"/>
    <x v="0"/>
    <x v="1"/>
    <n v="20.8"/>
    <n v="20.8"/>
    <n v="20.8"/>
    <n v="1705.6"/>
    <n v="1726.4"/>
    <n v="1525.54"/>
    <n v="1525.54"/>
    <n v="1525.54"/>
    <n v="1525.54"/>
    <x v="1"/>
    <x v="1"/>
    <x v="0"/>
    <n v="0"/>
    <x v="0"/>
  </r>
  <r>
    <x v="53"/>
    <x v="14"/>
    <n v="169"/>
    <x v="3"/>
    <s v="INV"/>
    <x v="0"/>
    <s v="Fertirrigação"/>
    <x v="16"/>
    <s v="2 - Arrendamento"/>
    <n v="32.520000000000003"/>
    <n v="0"/>
    <n v="0"/>
    <n v="32.520000000000003"/>
    <n v="3382.08"/>
    <n v="0"/>
    <n v="0"/>
    <n v="3018.77"/>
    <x v="0"/>
    <x v="9"/>
    <x v="0"/>
    <x v="1"/>
    <x v="1"/>
    <n v="32.520000000000003"/>
    <n v="32.520000000000003"/>
    <n v="32.520000000000003"/>
    <n v="3382.08"/>
    <n v="3018.77"/>
    <n v="3018.77"/>
    <n v="3018.77"/>
    <n v="3018.77"/>
    <n v="3018.77"/>
    <x v="1"/>
    <x v="1"/>
    <x v="0"/>
    <n v="0"/>
    <x v="0"/>
  </r>
  <r>
    <x v="53"/>
    <x v="14"/>
    <n v="170"/>
    <x v="3"/>
    <s v="INV"/>
    <x v="0"/>
    <s v="Fertirrigação"/>
    <x v="24"/>
    <s v="2 - Arrendamento"/>
    <n v="58.29"/>
    <n v="0"/>
    <n v="0"/>
    <n v="58.29"/>
    <n v="5829"/>
    <n v="0"/>
    <n v="0"/>
    <n v="5743.88"/>
    <x v="0"/>
    <x v="9"/>
    <x v="0"/>
    <x v="1"/>
    <x v="1"/>
    <n v="58.29"/>
    <n v="58.29"/>
    <n v="58.29"/>
    <n v="5829"/>
    <n v="5743.88"/>
    <n v="5743.88"/>
    <n v="5743.88"/>
    <n v="5743.88"/>
    <n v="5743.88"/>
    <x v="1"/>
    <x v="1"/>
    <x v="0"/>
    <n v="0"/>
    <x v="0"/>
  </r>
  <r>
    <x v="53"/>
    <x v="14"/>
    <n v="171"/>
    <x v="3"/>
    <s v="INV"/>
    <x v="0"/>
    <s v="Fertirrigação"/>
    <x v="24"/>
    <s v="2 - Arrendamento"/>
    <n v="40.32"/>
    <n v="0"/>
    <n v="0"/>
    <n v="40.32"/>
    <n v="4032"/>
    <n v="0"/>
    <n v="0"/>
    <n v="4574.1099999999997"/>
    <x v="0"/>
    <x v="28"/>
    <x v="0"/>
    <x v="1"/>
    <x v="1"/>
    <n v="40.32"/>
    <n v="40.32"/>
    <n v="40.32"/>
    <n v="4032"/>
    <n v="4574.1099999999997"/>
    <n v="4574.1099999999997"/>
    <n v="4574.1099999999997"/>
    <n v="4574.1099999999997"/>
    <n v="4574.1099999999997"/>
    <x v="1"/>
    <x v="1"/>
    <x v="0"/>
    <n v="0"/>
    <x v="0"/>
  </r>
  <r>
    <x v="53"/>
    <x v="14"/>
    <n v="172"/>
    <x v="3"/>
    <s v="INV"/>
    <x v="0"/>
    <s v="Fertirrigação"/>
    <x v="24"/>
    <s v="2 - Arrendamento"/>
    <n v="50.56"/>
    <n v="0"/>
    <n v="0"/>
    <n v="50.56"/>
    <n v="5561.6"/>
    <n v="0"/>
    <n v="0"/>
    <n v="6309.91"/>
    <x v="0"/>
    <x v="28"/>
    <x v="0"/>
    <x v="1"/>
    <x v="1"/>
    <n v="50.56"/>
    <n v="50.56"/>
    <n v="50.56"/>
    <n v="5561.6"/>
    <n v="6309.91"/>
    <n v="6309.91"/>
    <n v="6309.91"/>
    <n v="6309.91"/>
    <n v="6309.91"/>
    <x v="1"/>
    <x v="1"/>
    <x v="0"/>
    <n v="0"/>
    <x v="0"/>
  </r>
  <r>
    <x v="53"/>
    <x v="14"/>
    <n v="173"/>
    <x v="3"/>
    <s v="INV"/>
    <x v="0"/>
    <s v="Fertirrigação"/>
    <x v="24"/>
    <s v="2 - Arrendamento"/>
    <n v="49.42"/>
    <n v="0"/>
    <n v="0"/>
    <n v="49.42"/>
    <n v="5337.36"/>
    <n v="0"/>
    <n v="0"/>
    <n v="6054.65"/>
    <x v="0"/>
    <x v="28"/>
    <x v="0"/>
    <x v="1"/>
    <x v="1"/>
    <n v="49.42"/>
    <n v="49.42"/>
    <n v="49.42"/>
    <n v="5337.36"/>
    <n v="6054.65"/>
    <n v="6054.65"/>
    <n v="6054.65"/>
    <n v="6054.65"/>
    <n v="6054.65"/>
    <x v="1"/>
    <x v="1"/>
    <x v="0"/>
    <n v="0"/>
    <x v="0"/>
  </r>
  <r>
    <x v="53"/>
    <x v="14"/>
    <n v="174"/>
    <x v="5"/>
    <s v="2ºC"/>
    <x v="0"/>
    <s v="Fertirrigação"/>
    <x v="16"/>
    <s v="2 - Arrendamento"/>
    <n v="4.04"/>
    <n v="0"/>
    <n v="0"/>
    <n v="4.04"/>
    <n v="404"/>
    <n v="0"/>
    <n v="0"/>
    <n v="459.12"/>
    <x v="0"/>
    <x v="28"/>
    <x v="0"/>
    <x v="1"/>
    <x v="1"/>
    <n v="4.04"/>
    <n v="4.04"/>
    <n v="4.04"/>
    <n v="404"/>
    <n v="459.12"/>
    <n v="459.12"/>
    <n v="459.12"/>
    <n v="459.12"/>
    <n v="459.12"/>
    <x v="1"/>
    <x v="1"/>
    <x v="0"/>
    <n v="0"/>
    <x v="0"/>
  </r>
  <r>
    <x v="53"/>
    <x v="14"/>
    <n v="175"/>
    <x v="3"/>
    <s v="INV"/>
    <x v="0"/>
    <s v="Fertirrigação"/>
    <x v="24"/>
    <s v="2 - Arrendamento"/>
    <n v="49.72"/>
    <n v="0"/>
    <n v="0"/>
    <n v="49.72"/>
    <n v="5170.88"/>
    <n v="0"/>
    <n v="0"/>
    <n v="5089.6099999999997"/>
    <x v="0"/>
    <x v="9"/>
    <x v="0"/>
    <x v="1"/>
    <x v="1"/>
    <n v="49.72"/>
    <n v="49.72"/>
    <n v="49.72"/>
    <n v="5170.88"/>
    <n v="5089.6099999999997"/>
    <n v="5089.6099999999997"/>
    <n v="5089.6099999999997"/>
    <n v="5089.6099999999997"/>
    <n v="5089.6099999999997"/>
    <x v="1"/>
    <x v="1"/>
    <x v="0"/>
    <n v="0"/>
    <x v="0"/>
  </r>
  <r>
    <x v="53"/>
    <x v="14"/>
    <n v="176"/>
    <x v="3"/>
    <s v="INV"/>
    <x v="0"/>
    <s v="Fertirrigação"/>
    <x v="16"/>
    <s v="2 - Arrendamento"/>
    <n v="74.36"/>
    <n v="0"/>
    <n v="0"/>
    <n v="74.36"/>
    <n v="7584.72"/>
    <n v="0"/>
    <n v="0"/>
    <n v="6770.08"/>
    <x v="0"/>
    <x v="9"/>
    <x v="0"/>
    <x v="1"/>
    <x v="1"/>
    <n v="74.36"/>
    <n v="74.36"/>
    <n v="74.36"/>
    <n v="7584.72"/>
    <n v="6770.08"/>
    <n v="6770.08"/>
    <n v="6770.08"/>
    <n v="6770.08"/>
    <n v="6770.08"/>
    <x v="1"/>
    <x v="1"/>
    <x v="0"/>
    <n v="0"/>
    <x v="0"/>
  </r>
  <r>
    <x v="53"/>
    <x v="14"/>
    <n v="181"/>
    <x v="5"/>
    <s v="2ºC"/>
    <x v="0"/>
    <s v="Mineral"/>
    <x v="11"/>
    <s v="2 - Arrendamento"/>
    <n v="14.61"/>
    <n v="0"/>
    <n v="0"/>
    <n v="14.61"/>
    <n v="1241.8499999999999"/>
    <n v="0"/>
    <n v="0"/>
    <n v="1110.6600000000001"/>
    <x v="0"/>
    <x v="3"/>
    <x v="0"/>
    <x v="1"/>
    <x v="1"/>
    <n v="14.61"/>
    <n v="14.61"/>
    <n v="14.61"/>
    <n v="1241.8499999999999"/>
    <n v="1110.6600000000001"/>
    <n v="1110.6600000000001"/>
    <n v="1110.6600000000001"/>
    <n v="1110.6600000000001"/>
    <n v="1110.6600000000001"/>
    <x v="1"/>
    <x v="0"/>
    <x v="0"/>
    <n v="0"/>
    <x v="0"/>
  </r>
  <r>
    <x v="53"/>
    <x v="14"/>
    <n v="186"/>
    <x v="5"/>
    <s v="2ºC"/>
    <x v="0"/>
    <s v="Fertirrigação"/>
    <x v="14"/>
    <s v="2 - Arrendamento"/>
    <n v="7.79"/>
    <n v="0"/>
    <n v="0"/>
    <n v="7.79"/>
    <n v="662.15"/>
    <n v="0"/>
    <n v="0"/>
    <n v="744.67"/>
    <x v="0"/>
    <x v="6"/>
    <x v="0"/>
    <x v="1"/>
    <x v="1"/>
    <n v="7.79"/>
    <n v="7.79"/>
    <n v="7.79"/>
    <n v="662.15"/>
    <n v="744.67"/>
    <n v="744.67"/>
    <n v="744.67"/>
    <n v="744.67"/>
    <n v="744.67"/>
    <x v="1"/>
    <x v="1"/>
    <x v="0"/>
    <n v="0"/>
    <x v="0"/>
  </r>
  <r>
    <x v="53"/>
    <x v="14"/>
    <n v="187"/>
    <x v="5"/>
    <s v="2ºC"/>
    <x v="0"/>
    <s v="Fertirrigação"/>
    <x v="3"/>
    <s v="2 - Arrendamento"/>
    <n v="30.41"/>
    <n v="0"/>
    <n v="0"/>
    <n v="30.41"/>
    <n v="2584.85"/>
    <n v="0"/>
    <n v="0"/>
    <n v="2908.28"/>
    <x v="0"/>
    <x v="6"/>
    <x v="0"/>
    <x v="1"/>
    <x v="1"/>
    <n v="30.41"/>
    <n v="30.41"/>
    <n v="30.41"/>
    <n v="2584.85"/>
    <n v="2908.28"/>
    <n v="2908.28"/>
    <n v="2908.28"/>
    <n v="2908.28"/>
    <n v="2908.28"/>
    <x v="1"/>
    <x v="1"/>
    <x v="0"/>
    <n v="0"/>
    <x v="0"/>
  </r>
  <r>
    <x v="53"/>
    <x v="14"/>
    <n v="188"/>
    <x v="5"/>
    <s v="2ºC"/>
    <x v="0"/>
    <s v="Fertirrigação"/>
    <x v="3"/>
    <s v="2 - Arrendamento"/>
    <n v="32.130000000000003"/>
    <n v="0"/>
    <n v="0"/>
    <n v="32.130000000000003"/>
    <n v="2731.05"/>
    <n v="0"/>
    <n v="0"/>
    <n v="3072.55"/>
    <x v="0"/>
    <x v="6"/>
    <x v="0"/>
    <x v="1"/>
    <x v="1"/>
    <n v="32.130000000000003"/>
    <n v="32.130000000000003"/>
    <n v="32.130000000000003"/>
    <n v="2731.05"/>
    <n v="3072.55"/>
    <n v="3072.55"/>
    <n v="3072.55"/>
    <n v="3072.55"/>
    <n v="3072.55"/>
    <x v="1"/>
    <x v="1"/>
    <x v="0"/>
    <n v="0"/>
    <x v="0"/>
  </r>
  <r>
    <x v="53"/>
    <x v="14"/>
    <n v="189"/>
    <x v="5"/>
    <s v="2ºC"/>
    <x v="0"/>
    <s v="Fertirrigação"/>
    <x v="14"/>
    <s v="2 - Arrendamento"/>
    <n v="24.79"/>
    <n v="0"/>
    <n v="0"/>
    <n v="24.79"/>
    <n v="2231.1"/>
    <n v="0"/>
    <n v="0"/>
    <n v="2509.98"/>
    <x v="0"/>
    <x v="6"/>
    <x v="0"/>
    <x v="1"/>
    <x v="1"/>
    <n v="24.79"/>
    <n v="24.79"/>
    <n v="24.79"/>
    <n v="2231.1"/>
    <n v="2509.98"/>
    <n v="2509.98"/>
    <n v="2509.98"/>
    <n v="2509.98"/>
    <n v="2509.98"/>
    <x v="1"/>
    <x v="1"/>
    <x v="0"/>
    <n v="0"/>
    <x v="0"/>
  </r>
  <r>
    <x v="53"/>
    <x v="14"/>
    <n v="190"/>
    <x v="3"/>
    <s v="INV"/>
    <x v="0"/>
    <s v="Mineral"/>
    <x v="17"/>
    <s v="2 - Arrendamento"/>
    <n v="5.86"/>
    <n v="0"/>
    <n v="0"/>
    <n v="5.86"/>
    <n v="580.14"/>
    <n v="0"/>
    <n v="0"/>
    <n v="732.91"/>
    <x v="0"/>
    <x v="6"/>
    <x v="0"/>
    <x v="1"/>
    <x v="1"/>
    <n v="5.86"/>
    <n v="5.86"/>
    <n v="5.86"/>
    <n v="580.14"/>
    <n v="732.91"/>
    <n v="732.91"/>
    <n v="732.91"/>
    <n v="732.91"/>
    <n v="732.91"/>
    <x v="1"/>
    <x v="2"/>
    <x v="3"/>
    <n v="164.08"/>
    <x v="0"/>
  </r>
  <r>
    <x v="53"/>
    <x v="14"/>
    <n v="191"/>
    <x v="3"/>
    <s v="INV"/>
    <x v="0"/>
    <s v="Mineral"/>
    <x v="17"/>
    <s v="2 - Arrendamento"/>
    <n v="9.39"/>
    <n v="0"/>
    <n v="0"/>
    <n v="9.39"/>
    <n v="929.61"/>
    <n v="0"/>
    <n v="0"/>
    <n v="1046.2"/>
    <x v="0"/>
    <x v="6"/>
    <x v="0"/>
    <x v="1"/>
    <x v="1"/>
    <n v="9.39"/>
    <n v="9.39"/>
    <n v="9.39"/>
    <n v="929.61"/>
    <n v="1046.2"/>
    <n v="1046.2"/>
    <n v="1046.2"/>
    <n v="1046.2"/>
    <n v="1046.2"/>
    <x v="1"/>
    <x v="2"/>
    <x v="3"/>
    <n v="262.92"/>
    <x v="0"/>
  </r>
  <r>
    <x v="53"/>
    <x v="14"/>
    <n v="192"/>
    <x v="5"/>
    <s v="2ºC"/>
    <x v="0"/>
    <s v="Fertirrigação"/>
    <x v="3"/>
    <s v="2 - Arrendamento"/>
    <n v="20.18"/>
    <n v="20.18"/>
    <n v="0"/>
    <n v="20.18"/>
    <n v="1856.56"/>
    <n v="1896.92"/>
    <n v="0"/>
    <n v="2037.86"/>
    <x v="0"/>
    <x v="7"/>
    <x v="0"/>
    <x v="0"/>
    <x v="1"/>
    <n v="20.18"/>
    <n v="20.18"/>
    <n v="20.18"/>
    <n v="1856.56"/>
    <n v="1896.92"/>
    <n v="2037.86"/>
    <n v="2037.86"/>
    <n v="2037.86"/>
    <n v="2037.86"/>
    <x v="1"/>
    <x v="1"/>
    <x v="0"/>
    <n v="0"/>
    <x v="0"/>
  </r>
  <r>
    <x v="53"/>
    <x v="14"/>
    <n v="193"/>
    <x v="5"/>
    <s v="2ºC"/>
    <x v="0"/>
    <s v="Fertirrigação"/>
    <x v="3"/>
    <s v="2 - Arrendamento"/>
    <n v="10.33"/>
    <n v="10.33"/>
    <n v="0"/>
    <n v="10.33"/>
    <n v="950.36"/>
    <n v="971.02"/>
    <n v="0"/>
    <n v="1043.06"/>
    <x v="0"/>
    <x v="7"/>
    <x v="0"/>
    <x v="0"/>
    <x v="1"/>
    <n v="10.33"/>
    <n v="10.33"/>
    <n v="10.33"/>
    <n v="950.36"/>
    <n v="971.02"/>
    <n v="1043.06"/>
    <n v="1043.06"/>
    <n v="1043.06"/>
    <n v="1043.06"/>
    <x v="1"/>
    <x v="1"/>
    <x v="0"/>
    <n v="0"/>
    <x v="0"/>
  </r>
  <r>
    <x v="53"/>
    <x v="14"/>
    <n v="194"/>
    <x v="3"/>
    <s v="INV"/>
    <x v="0"/>
    <s v="Mineral"/>
    <x v="17"/>
    <s v="2 - Arrendamento"/>
    <n v="15.62"/>
    <n v="15.62"/>
    <n v="0"/>
    <n v="15.62"/>
    <n v="1499.52"/>
    <n v="1515.14"/>
    <n v="0"/>
    <n v="1627.83"/>
    <x v="0"/>
    <x v="7"/>
    <x v="0"/>
    <x v="0"/>
    <x v="1"/>
    <n v="15.62"/>
    <n v="15.62"/>
    <n v="15.62"/>
    <n v="1499.52"/>
    <n v="1515.14"/>
    <n v="1627.83"/>
    <n v="1627.83"/>
    <n v="1627.83"/>
    <n v="1627.83"/>
    <x v="1"/>
    <x v="2"/>
    <x v="3"/>
    <n v="437.35999999999996"/>
    <x v="0"/>
  </r>
  <r>
    <x v="53"/>
    <x v="14"/>
    <n v="195"/>
    <x v="5"/>
    <s v="2ºC"/>
    <x v="0"/>
    <s v="Mineral"/>
    <x v="3"/>
    <s v="2 - Arrendamento"/>
    <n v="4.2300000000000004"/>
    <n v="0"/>
    <n v="0"/>
    <n v="4.2300000000000004"/>
    <n v="380.7"/>
    <n v="0"/>
    <n v="0"/>
    <n v="429.68"/>
    <x v="0"/>
    <x v="6"/>
    <x v="0"/>
    <x v="1"/>
    <x v="1"/>
    <n v="4.2300000000000004"/>
    <n v="4.2300000000000004"/>
    <n v="4.2300000000000004"/>
    <n v="380.7"/>
    <n v="429.68"/>
    <n v="429.68"/>
    <n v="429.68"/>
    <n v="429.68"/>
    <n v="429.68"/>
    <x v="1"/>
    <x v="0"/>
    <x v="0"/>
    <n v="0"/>
    <x v="0"/>
  </r>
  <r>
    <x v="53"/>
    <x v="14"/>
    <n v="233"/>
    <x v="5"/>
    <s v="2ºC"/>
    <x v="0"/>
    <s v="Fertirrigação"/>
    <x v="16"/>
    <s v="2 - Arrendamento"/>
    <n v="5.86"/>
    <n v="5.86"/>
    <n v="0"/>
    <n v="5.86"/>
    <n v="550.84"/>
    <n v="568.41999999999996"/>
    <n v="0"/>
    <n v="556.9"/>
    <x v="0"/>
    <x v="39"/>
    <x v="0"/>
    <x v="0"/>
    <x v="1"/>
    <n v="5.86"/>
    <n v="5.86"/>
    <n v="5.86"/>
    <n v="550.84"/>
    <n v="568.41999999999996"/>
    <n v="556.9"/>
    <n v="556.9"/>
    <n v="556.9"/>
    <n v="556.9"/>
    <x v="1"/>
    <x v="1"/>
    <x v="0"/>
    <n v="0"/>
    <x v="0"/>
  </r>
  <r>
    <x v="53"/>
    <x v="14"/>
    <n v="234"/>
    <x v="5"/>
    <s v="2ºC"/>
    <x v="0"/>
    <s v="Fertirrigação"/>
    <x v="16"/>
    <s v="2 - Arrendamento"/>
    <n v="12.61"/>
    <n v="12.61"/>
    <n v="0"/>
    <n v="12.61"/>
    <n v="1185.3399999999999"/>
    <n v="1223.17"/>
    <n v="0"/>
    <n v="1199.1500000000001"/>
    <x v="0"/>
    <x v="39"/>
    <x v="0"/>
    <x v="0"/>
    <x v="1"/>
    <n v="12.61"/>
    <n v="12.61"/>
    <n v="12.61"/>
    <n v="1185.3399999999999"/>
    <n v="1223.17"/>
    <n v="1199.1500000000001"/>
    <n v="1199.1500000000001"/>
    <n v="1199.1500000000001"/>
    <n v="1199.1500000000001"/>
    <x v="1"/>
    <x v="1"/>
    <x v="0"/>
    <n v="0"/>
    <x v="0"/>
  </r>
  <r>
    <x v="53"/>
    <x v="14"/>
    <n v="235"/>
    <x v="5"/>
    <s v="2ºC"/>
    <x v="0"/>
    <s v="Fertirrigação"/>
    <x v="16"/>
    <s v="2 - Arrendamento"/>
    <n v="13.56"/>
    <n v="13.56"/>
    <n v="0"/>
    <n v="13.56"/>
    <n v="1274.6400000000001"/>
    <n v="1315.32"/>
    <n v="0"/>
    <n v="1289.5"/>
    <x v="0"/>
    <x v="39"/>
    <x v="0"/>
    <x v="0"/>
    <x v="1"/>
    <n v="13.56"/>
    <n v="13.56"/>
    <n v="13.56"/>
    <n v="1274.6400000000001"/>
    <n v="1315.32"/>
    <n v="1289.5"/>
    <n v="1289.5"/>
    <n v="1289.5"/>
    <n v="1289.5"/>
    <x v="1"/>
    <x v="1"/>
    <x v="0"/>
    <n v="0"/>
    <x v="0"/>
  </r>
  <r>
    <x v="54"/>
    <x v="51"/>
    <n v="1"/>
    <x v="3"/>
    <s v="INV"/>
    <x v="0"/>
    <s v="Mineral"/>
    <x v="26"/>
    <s v="3 - Parceria"/>
    <n v="0"/>
    <n v="0"/>
    <n v="0"/>
    <n v="0"/>
    <n v="0"/>
    <n v="0"/>
    <n v="0"/>
    <m/>
    <x v="0"/>
    <x v="35"/>
    <x v="1"/>
    <x v="0"/>
    <x v="0"/>
    <n v="0"/>
    <n v="0"/>
    <n v="0"/>
    <n v="0"/>
    <n v="0"/>
    <n v="0"/>
    <n v="0"/>
    <n v="0"/>
    <n v="0"/>
    <x v="1"/>
    <x v="0"/>
    <x v="0"/>
    <n v="0"/>
    <x v="0"/>
  </r>
  <r>
    <x v="54"/>
    <x v="51"/>
    <n v="3"/>
    <x v="3"/>
    <s v="INV"/>
    <x v="0"/>
    <s v="Mineral"/>
    <x v="26"/>
    <s v="3 - Parceria"/>
    <n v="1.23"/>
    <n v="1.23"/>
    <n v="1.23"/>
    <n v="1.23"/>
    <n v="132.84"/>
    <n v="123"/>
    <n v="123"/>
    <n v="176.56"/>
    <x v="0"/>
    <x v="21"/>
    <x v="0"/>
    <x v="0"/>
    <x v="0"/>
    <n v="1.23"/>
    <n v="1.23"/>
    <n v="1.23"/>
    <n v="132.84"/>
    <n v="123"/>
    <n v="123"/>
    <n v="176.56"/>
    <n v="176.56"/>
    <n v="176.56"/>
    <x v="1"/>
    <x v="0"/>
    <x v="0"/>
    <n v="0"/>
    <x v="0"/>
  </r>
  <r>
    <x v="54"/>
    <x v="51"/>
    <n v="5"/>
    <x v="5"/>
    <s v="2ºC"/>
    <x v="0"/>
    <s v="Mineral"/>
    <x v="11"/>
    <s v="3 - Parceria"/>
    <n v="2.5499999999999998"/>
    <n v="2.5499999999999998"/>
    <n v="2.5499999999999998"/>
    <n v="2.5499999999999998"/>
    <n v="229.5"/>
    <n v="229.5"/>
    <n v="229.5"/>
    <n v="184.29"/>
    <x v="0"/>
    <x v="2"/>
    <x v="0"/>
    <x v="0"/>
    <x v="0"/>
    <n v="2.5499999999999998"/>
    <n v="2.5499999999999998"/>
    <n v="2.5499999999999998"/>
    <n v="229.5"/>
    <n v="229.5"/>
    <n v="229.5"/>
    <n v="184.29"/>
    <n v="184.29"/>
    <n v="184.29"/>
    <x v="1"/>
    <x v="0"/>
    <x v="0"/>
    <n v="0"/>
    <x v="0"/>
  </r>
  <r>
    <x v="54"/>
    <x v="51"/>
    <n v="6"/>
    <x v="5"/>
    <s v="2ºC"/>
    <x v="0"/>
    <s v="Mineral"/>
    <x v="11"/>
    <s v="3 - Parceria"/>
    <n v="30.36"/>
    <n v="30.36"/>
    <n v="0"/>
    <n v="30.36"/>
    <n v="2732.4"/>
    <n v="2823.48"/>
    <n v="0"/>
    <n v="2263.36"/>
    <x v="0"/>
    <x v="2"/>
    <x v="0"/>
    <x v="0"/>
    <x v="1"/>
    <n v="30.36"/>
    <n v="30.36"/>
    <n v="30.36"/>
    <n v="2732.4"/>
    <n v="2823.48"/>
    <n v="2263.36"/>
    <n v="2263.36"/>
    <n v="2263.36"/>
    <n v="2263.36"/>
    <x v="1"/>
    <x v="0"/>
    <x v="0"/>
    <n v="0"/>
    <x v="0"/>
  </r>
  <r>
    <x v="54"/>
    <x v="51"/>
    <n v="7"/>
    <x v="5"/>
    <s v="2ºC"/>
    <x v="0"/>
    <s v="Mineral"/>
    <x v="11"/>
    <s v="3 - Parceria"/>
    <n v="19.3"/>
    <n v="19.3"/>
    <n v="0"/>
    <n v="19.3"/>
    <n v="1737"/>
    <n v="1794.9"/>
    <n v="0"/>
    <n v="1439.11"/>
    <x v="0"/>
    <x v="2"/>
    <x v="0"/>
    <x v="0"/>
    <x v="1"/>
    <n v="19.3"/>
    <n v="19.3"/>
    <n v="19.3"/>
    <n v="1737"/>
    <n v="1794.9"/>
    <n v="1439.11"/>
    <n v="1439.11"/>
    <n v="1439.11"/>
    <n v="1439.11"/>
    <x v="1"/>
    <x v="0"/>
    <x v="0"/>
    <n v="0"/>
    <x v="0"/>
  </r>
  <r>
    <x v="54"/>
    <x v="51"/>
    <n v="8"/>
    <x v="5"/>
    <s v="2ºC"/>
    <x v="0"/>
    <s v="Mineral"/>
    <x v="11"/>
    <s v="3 - Parceria"/>
    <n v="25.77"/>
    <n v="25.77"/>
    <n v="0"/>
    <n v="25.77"/>
    <n v="2319.3000000000002"/>
    <n v="2396.61"/>
    <n v="0"/>
    <n v="1921.79"/>
    <x v="0"/>
    <x v="2"/>
    <x v="0"/>
    <x v="0"/>
    <x v="1"/>
    <n v="25.77"/>
    <n v="25.77"/>
    <n v="25.77"/>
    <n v="2319.3000000000002"/>
    <n v="2396.61"/>
    <n v="1921.79"/>
    <n v="1921.79"/>
    <n v="1921.79"/>
    <n v="1921.79"/>
    <x v="1"/>
    <x v="0"/>
    <x v="0"/>
    <n v="0"/>
    <x v="0"/>
  </r>
  <r>
    <x v="54"/>
    <x v="51"/>
    <n v="9"/>
    <x v="5"/>
    <s v="2ºC"/>
    <x v="0"/>
    <s v="Mineral"/>
    <x v="11"/>
    <s v="3 - Parceria"/>
    <n v="18.309999999999999"/>
    <n v="18.309999999999999"/>
    <n v="0"/>
    <n v="18.309999999999999"/>
    <n v="1647.9"/>
    <n v="1702.83"/>
    <n v="0"/>
    <n v="1365.34"/>
    <x v="0"/>
    <x v="2"/>
    <x v="0"/>
    <x v="0"/>
    <x v="1"/>
    <n v="18.309999999999999"/>
    <n v="18.309999999999999"/>
    <n v="18.309999999999999"/>
    <n v="1647.9"/>
    <n v="1702.83"/>
    <n v="1365.34"/>
    <n v="1365.34"/>
    <n v="1365.34"/>
    <n v="1365.34"/>
    <x v="1"/>
    <x v="0"/>
    <x v="0"/>
    <n v="0"/>
    <x v="0"/>
  </r>
  <r>
    <x v="54"/>
    <x v="51"/>
    <n v="10"/>
    <x v="5"/>
    <s v="2ºC"/>
    <x v="0"/>
    <s v="Mineral"/>
    <x v="11"/>
    <s v="3 - Parceria"/>
    <n v="6.54"/>
    <n v="6.54"/>
    <n v="0"/>
    <n v="6.54"/>
    <n v="588.6"/>
    <n v="608.22"/>
    <n v="0"/>
    <n v="488.08"/>
    <x v="0"/>
    <x v="2"/>
    <x v="0"/>
    <x v="0"/>
    <x v="1"/>
    <n v="6.54"/>
    <n v="6.54"/>
    <n v="6.54"/>
    <n v="588.6"/>
    <n v="608.22"/>
    <n v="488.08"/>
    <n v="488.08"/>
    <n v="488.08"/>
    <n v="488.08"/>
    <x v="1"/>
    <x v="0"/>
    <x v="0"/>
    <n v="0"/>
    <x v="0"/>
  </r>
  <r>
    <x v="54"/>
    <x v="51"/>
    <n v="11"/>
    <x v="5"/>
    <s v="2ºC"/>
    <x v="0"/>
    <s v="Mineral"/>
    <x v="11"/>
    <s v="3 - Parceria"/>
    <n v="18.809999999999999"/>
    <n v="18.809999999999999"/>
    <n v="0"/>
    <n v="18.809999999999999"/>
    <n v="1692.9"/>
    <n v="1749.33"/>
    <n v="0"/>
    <n v="1715.4"/>
    <x v="0"/>
    <x v="17"/>
    <x v="0"/>
    <x v="0"/>
    <x v="1"/>
    <n v="18.809999999999999"/>
    <n v="18.809999999999999"/>
    <n v="18.809999999999999"/>
    <n v="1692.9"/>
    <n v="1749.33"/>
    <n v="1715.4"/>
    <n v="1715.4"/>
    <n v="1715.4"/>
    <n v="1715.4"/>
    <x v="1"/>
    <x v="0"/>
    <x v="0"/>
    <n v="0"/>
    <x v="0"/>
  </r>
  <r>
    <x v="54"/>
    <x v="51"/>
    <n v="12"/>
    <x v="5"/>
    <s v="2ºC"/>
    <x v="0"/>
    <s v="Mineral"/>
    <x v="11"/>
    <s v="3 - Parceria"/>
    <n v="10.45"/>
    <n v="10.45"/>
    <n v="0"/>
    <n v="10.45"/>
    <n v="940.5"/>
    <n v="971.85"/>
    <n v="0"/>
    <n v="953.29"/>
    <x v="0"/>
    <x v="17"/>
    <x v="0"/>
    <x v="0"/>
    <x v="1"/>
    <n v="10.45"/>
    <n v="10.45"/>
    <n v="10.45"/>
    <n v="940.5"/>
    <n v="971.85"/>
    <n v="953.29"/>
    <n v="953.29"/>
    <n v="953.29"/>
    <n v="953.29"/>
    <x v="1"/>
    <x v="0"/>
    <x v="0"/>
    <n v="0"/>
    <x v="0"/>
  </r>
  <r>
    <x v="54"/>
    <x v="51"/>
    <n v="13"/>
    <x v="5"/>
    <s v="2ºC"/>
    <x v="0"/>
    <s v="Mineral"/>
    <x v="11"/>
    <s v="3 - Parceria"/>
    <n v="7.09"/>
    <n v="7.09"/>
    <n v="0"/>
    <n v="7.09"/>
    <n v="638.1"/>
    <n v="659.37"/>
    <n v="0"/>
    <n v="646.29"/>
    <x v="0"/>
    <x v="17"/>
    <x v="0"/>
    <x v="0"/>
    <x v="1"/>
    <n v="7.09"/>
    <n v="7.09"/>
    <n v="7.09"/>
    <n v="638.1"/>
    <n v="659.37"/>
    <n v="646.29"/>
    <n v="646.29"/>
    <n v="646.29"/>
    <n v="646.29"/>
    <x v="1"/>
    <x v="0"/>
    <x v="0"/>
    <n v="0"/>
    <x v="0"/>
  </r>
  <r>
    <x v="54"/>
    <x v="51"/>
    <n v="14"/>
    <x v="5"/>
    <s v="2ºC"/>
    <x v="0"/>
    <s v="Mineral"/>
    <x v="11"/>
    <s v="3 - Parceria"/>
    <n v="14.92"/>
    <n v="14.92"/>
    <n v="0"/>
    <n v="14.92"/>
    <n v="1342.8"/>
    <n v="1387.56"/>
    <n v="0"/>
    <n v="1361.63"/>
    <x v="0"/>
    <x v="17"/>
    <x v="0"/>
    <x v="0"/>
    <x v="1"/>
    <n v="14.92"/>
    <n v="14.92"/>
    <n v="14.92"/>
    <n v="1342.8"/>
    <n v="1387.56"/>
    <n v="1361.63"/>
    <n v="1361.63"/>
    <n v="1361.63"/>
    <n v="1361.63"/>
    <x v="1"/>
    <x v="0"/>
    <x v="0"/>
    <n v="0"/>
    <x v="0"/>
  </r>
  <r>
    <x v="54"/>
    <x v="51"/>
    <n v="45"/>
    <x v="2"/>
    <s v="3ºC"/>
    <x v="0"/>
    <s v="Mineral"/>
    <x v="13"/>
    <s v="3 - Parceria"/>
    <n v="6.61"/>
    <n v="6.61"/>
    <n v="6.61"/>
    <n v="6.61"/>
    <n v="396.6"/>
    <n v="403.21"/>
    <n v="403.21"/>
    <n v="578.54"/>
    <x v="0"/>
    <x v="21"/>
    <x v="0"/>
    <x v="0"/>
    <x v="0"/>
    <n v="6.61"/>
    <n v="6.61"/>
    <n v="6.61"/>
    <n v="396.6"/>
    <n v="403.21"/>
    <n v="403.21"/>
    <n v="578.54"/>
    <n v="578.54"/>
    <n v="578.54"/>
    <x v="0"/>
    <x v="0"/>
    <x v="0"/>
    <n v="0"/>
    <x v="0"/>
  </r>
  <r>
    <x v="54"/>
    <x v="51"/>
    <n v="51"/>
    <x v="3"/>
    <s v="ANM"/>
    <x v="0"/>
    <s v="Mineral"/>
    <x v="28"/>
    <s v="3 - Parceria"/>
    <n v="18.309999999999999"/>
    <n v="0"/>
    <n v="0"/>
    <n v="18.309999999999999"/>
    <n v="2123.96"/>
    <n v="0"/>
    <n v="0"/>
    <n v="1762.02"/>
    <x v="0"/>
    <x v="6"/>
    <x v="0"/>
    <x v="1"/>
    <x v="1"/>
    <n v="18.309999999999999"/>
    <n v="18.309999999999999"/>
    <n v="18.309999999999999"/>
    <n v="2123.96"/>
    <n v="1762.02"/>
    <n v="1762.02"/>
    <n v="1762.02"/>
    <n v="1762.02"/>
    <n v="1762.02"/>
    <x v="1"/>
    <x v="0"/>
    <x v="0"/>
    <n v="0"/>
    <x v="0"/>
  </r>
  <r>
    <x v="54"/>
    <x v="51"/>
    <n v="52"/>
    <x v="3"/>
    <s v="ANM"/>
    <x v="0"/>
    <s v="Mineral"/>
    <x v="28"/>
    <s v="3 - Parceria"/>
    <n v="37.35"/>
    <n v="0"/>
    <n v="0"/>
    <n v="37.35"/>
    <n v="4332.6000000000004"/>
    <n v="0"/>
    <n v="0"/>
    <n v="3594.71"/>
    <x v="0"/>
    <x v="6"/>
    <x v="0"/>
    <x v="1"/>
    <x v="1"/>
    <n v="37.35"/>
    <n v="37.35"/>
    <n v="37.35"/>
    <n v="4332.6000000000004"/>
    <n v="3594.71"/>
    <n v="3594.71"/>
    <n v="3594.71"/>
    <n v="3594.71"/>
    <n v="3594.71"/>
    <x v="1"/>
    <x v="0"/>
    <x v="0"/>
    <n v="0"/>
    <x v="0"/>
  </r>
  <r>
    <x v="54"/>
    <x v="51"/>
    <n v="53"/>
    <x v="3"/>
    <s v="ANM"/>
    <x v="0"/>
    <s v="Mineral"/>
    <x v="28"/>
    <s v="3 - Parceria"/>
    <n v="30.26"/>
    <n v="0"/>
    <n v="0"/>
    <n v="30.26"/>
    <n v="3510.16"/>
    <n v="0"/>
    <n v="0"/>
    <n v="2911.92"/>
    <x v="0"/>
    <x v="6"/>
    <x v="0"/>
    <x v="1"/>
    <x v="1"/>
    <n v="30.26"/>
    <n v="30.26"/>
    <n v="30.26"/>
    <n v="3510.16"/>
    <n v="2911.92"/>
    <n v="2911.92"/>
    <n v="2911.92"/>
    <n v="2911.92"/>
    <n v="2911.92"/>
    <x v="1"/>
    <x v="0"/>
    <x v="0"/>
    <n v="0"/>
    <x v="0"/>
  </r>
  <r>
    <x v="54"/>
    <x v="51"/>
    <n v="54"/>
    <x v="3"/>
    <s v="ANM"/>
    <x v="0"/>
    <s v="Mineral"/>
    <x v="28"/>
    <s v="3 - Parceria"/>
    <n v="2.48"/>
    <n v="0"/>
    <n v="0"/>
    <n v="2.48"/>
    <n v="287.68"/>
    <n v="0"/>
    <n v="0"/>
    <n v="238.79"/>
    <x v="0"/>
    <x v="6"/>
    <x v="0"/>
    <x v="1"/>
    <x v="1"/>
    <n v="2.48"/>
    <n v="2.48"/>
    <n v="2.48"/>
    <n v="287.68"/>
    <n v="238.79"/>
    <n v="238.79"/>
    <n v="238.79"/>
    <n v="238.79"/>
    <n v="238.79"/>
    <x v="1"/>
    <x v="0"/>
    <x v="0"/>
    <n v="0"/>
    <x v="0"/>
  </r>
  <r>
    <x v="54"/>
    <x v="51"/>
    <n v="55"/>
    <x v="3"/>
    <s v="ANM"/>
    <x v="0"/>
    <s v="Mineral"/>
    <x v="28"/>
    <s v="3 - Parceria"/>
    <n v="11.11"/>
    <n v="0"/>
    <n v="0"/>
    <n v="11.11"/>
    <n v="1288.76"/>
    <n v="0"/>
    <n v="0"/>
    <n v="1070.04"/>
    <x v="0"/>
    <x v="6"/>
    <x v="0"/>
    <x v="1"/>
    <x v="1"/>
    <n v="11.11"/>
    <n v="11.11"/>
    <n v="11.11"/>
    <n v="1288.76"/>
    <n v="1070.04"/>
    <n v="1070.04"/>
    <n v="1070.04"/>
    <n v="1070.04"/>
    <n v="1070.04"/>
    <x v="1"/>
    <x v="0"/>
    <x v="0"/>
    <n v="0"/>
    <x v="0"/>
  </r>
  <r>
    <x v="54"/>
    <x v="51"/>
    <n v="58"/>
    <x v="3"/>
    <s v="ANM"/>
    <x v="0"/>
    <s v="Mineral"/>
    <x v="28"/>
    <s v="3 - Parceria"/>
    <n v="22.74"/>
    <n v="0"/>
    <n v="0"/>
    <n v="22.74"/>
    <n v="2637.84"/>
    <n v="0"/>
    <n v="0"/>
    <n v="2626.81"/>
    <x v="0"/>
    <x v="6"/>
    <x v="0"/>
    <x v="1"/>
    <x v="1"/>
    <n v="22.74"/>
    <n v="22.74"/>
    <n v="22.74"/>
    <n v="2637.84"/>
    <n v="2626.81"/>
    <n v="2626.81"/>
    <n v="2626.81"/>
    <n v="2626.81"/>
    <n v="2626.81"/>
    <x v="1"/>
    <x v="0"/>
    <x v="0"/>
    <n v="0"/>
    <x v="0"/>
  </r>
  <r>
    <x v="54"/>
    <x v="51"/>
    <n v="59"/>
    <x v="3"/>
    <s v="ANM"/>
    <x v="0"/>
    <s v="Mineral"/>
    <x v="28"/>
    <s v="3 - Parceria"/>
    <n v="4.25"/>
    <n v="0"/>
    <n v="0"/>
    <n v="4.25"/>
    <n v="493"/>
    <n v="0"/>
    <n v="0"/>
    <n v="490.97"/>
    <x v="0"/>
    <x v="6"/>
    <x v="0"/>
    <x v="1"/>
    <x v="1"/>
    <n v="4.25"/>
    <n v="4.25"/>
    <n v="4.25"/>
    <n v="493"/>
    <n v="490.97"/>
    <n v="490.97"/>
    <n v="490.97"/>
    <n v="490.97"/>
    <n v="490.97"/>
    <x v="1"/>
    <x v="0"/>
    <x v="0"/>
    <n v="0"/>
    <x v="0"/>
  </r>
  <r>
    <x v="54"/>
    <x v="51"/>
    <n v="60"/>
    <x v="3"/>
    <s v="ANM"/>
    <x v="0"/>
    <s v="Mineral"/>
    <x v="28"/>
    <s v="3 - Parceria"/>
    <n v="20.16"/>
    <n v="0"/>
    <n v="0"/>
    <n v="20.16"/>
    <n v="2338.56"/>
    <n v="0"/>
    <n v="0"/>
    <n v="2297.2399999999998"/>
    <x v="0"/>
    <x v="6"/>
    <x v="0"/>
    <x v="1"/>
    <x v="1"/>
    <n v="20.16"/>
    <n v="20.16"/>
    <n v="20.16"/>
    <n v="2338.56"/>
    <n v="2297.2399999999998"/>
    <n v="2297.2399999999998"/>
    <n v="2297.2399999999998"/>
    <n v="2297.2399999999998"/>
    <n v="2297.2399999999998"/>
    <x v="1"/>
    <x v="0"/>
    <x v="0"/>
    <n v="0"/>
    <x v="0"/>
  </r>
  <r>
    <x v="54"/>
    <x v="51"/>
    <n v="2048"/>
    <x v="3"/>
    <s v="ANO"/>
    <x v="0"/>
    <s v="Mineral"/>
    <x v="6"/>
    <s v="3 - Parceria"/>
    <n v="0.48"/>
    <n v="0"/>
    <n v="0"/>
    <n v="0.48"/>
    <n v="36"/>
    <n v="0"/>
    <n v="0"/>
    <n v="37"/>
    <x v="0"/>
    <x v="22"/>
    <x v="0"/>
    <x v="1"/>
    <x v="1"/>
    <n v="0.48"/>
    <n v="0.48"/>
    <n v="0.48"/>
    <n v="36"/>
    <n v="37"/>
    <n v="37"/>
    <n v="37"/>
    <n v="37"/>
    <n v="37"/>
    <x v="1"/>
    <x v="0"/>
    <x v="0"/>
    <n v="0"/>
    <x v="0"/>
  </r>
  <r>
    <x v="54"/>
    <x v="51"/>
    <n v="2049"/>
    <x v="3"/>
    <s v="ANO"/>
    <x v="0"/>
    <s v="Mineral"/>
    <x v="6"/>
    <s v="3 - Parceria"/>
    <n v="0.28999999999999998"/>
    <n v="0"/>
    <n v="0"/>
    <n v="0.28999999999999998"/>
    <n v="21.75"/>
    <n v="0"/>
    <n v="0"/>
    <n v="22.61"/>
    <x v="0"/>
    <x v="22"/>
    <x v="0"/>
    <x v="1"/>
    <x v="1"/>
    <n v="0.28999999999999998"/>
    <n v="0.28999999999999998"/>
    <n v="0.28999999999999998"/>
    <n v="21.75"/>
    <n v="22.61"/>
    <n v="22.61"/>
    <n v="22.61"/>
    <n v="22.61"/>
    <n v="22.61"/>
    <x v="1"/>
    <x v="0"/>
    <x v="0"/>
    <n v="0"/>
    <x v="0"/>
  </r>
  <r>
    <x v="55"/>
    <x v="52"/>
    <n v="1"/>
    <x v="6"/>
    <s v="5ºC"/>
    <x v="0"/>
    <s v="Mineral"/>
    <x v="27"/>
    <s v="3 - Parceria"/>
    <n v="11.4"/>
    <n v="0"/>
    <n v="0"/>
    <n v="11.4"/>
    <n v="684"/>
    <n v="0"/>
    <n v="0"/>
    <n v="878.39"/>
    <x v="0"/>
    <x v="16"/>
    <x v="0"/>
    <x v="1"/>
    <x v="1"/>
    <n v="11.4"/>
    <n v="11.4"/>
    <n v="11.4"/>
    <n v="684"/>
    <n v="878.39"/>
    <n v="878.39"/>
    <n v="878.39"/>
    <n v="878.39"/>
    <n v="878.39"/>
    <x v="1"/>
    <x v="0"/>
    <x v="0"/>
    <n v="0"/>
    <x v="0"/>
  </r>
  <r>
    <x v="55"/>
    <x v="52"/>
    <n v="2"/>
    <x v="6"/>
    <s v="5ºC"/>
    <x v="0"/>
    <s v="Mineral"/>
    <x v="27"/>
    <s v="3 - Parceria"/>
    <n v="8.26"/>
    <n v="0"/>
    <n v="0"/>
    <n v="8.26"/>
    <n v="495.6"/>
    <n v="0"/>
    <n v="0"/>
    <n v="382.5"/>
    <x v="0"/>
    <x v="35"/>
    <x v="0"/>
    <x v="1"/>
    <x v="1"/>
    <n v="8.26"/>
    <n v="8.26"/>
    <n v="8.26"/>
    <n v="495.6"/>
    <n v="382.5"/>
    <n v="382.5"/>
    <n v="382.5"/>
    <n v="382.5"/>
    <n v="382.5"/>
    <x v="1"/>
    <x v="0"/>
    <x v="0"/>
    <n v="0"/>
    <x v="0"/>
  </r>
  <r>
    <x v="55"/>
    <x v="52"/>
    <n v="3"/>
    <x v="6"/>
    <s v="5ºC"/>
    <x v="0"/>
    <s v="Mineral"/>
    <x v="27"/>
    <s v="3 - Parceria"/>
    <n v="9.1"/>
    <n v="0"/>
    <n v="0"/>
    <n v="9.1"/>
    <n v="546"/>
    <n v="0"/>
    <n v="0"/>
    <n v="421.06"/>
    <x v="0"/>
    <x v="35"/>
    <x v="0"/>
    <x v="1"/>
    <x v="1"/>
    <n v="9.1"/>
    <n v="9.1"/>
    <n v="9.1"/>
    <n v="546"/>
    <n v="421.06"/>
    <n v="421.06"/>
    <n v="421.06"/>
    <n v="421.06"/>
    <n v="421.06"/>
    <x v="1"/>
    <x v="0"/>
    <x v="0"/>
    <n v="0"/>
    <x v="0"/>
  </r>
  <r>
    <x v="55"/>
    <x v="52"/>
    <n v="4"/>
    <x v="6"/>
    <s v="5ºC"/>
    <x v="0"/>
    <s v="Mineral"/>
    <x v="27"/>
    <s v="3 - Parceria"/>
    <n v="19.75"/>
    <n v="0"/>
    <n v="0"/>
    <n v="19.75"/>
    <n v="1185"/>
    <n v="0"/>
    <n v="0"/>
    <n v="913.91"/>
    <x v="0"/>
    <x v="35"/>
    <x v="0"/>
    <x v="1"/>
    <x v="1"/>
    <n v="19.75"/>
    <n v="19.75"/>
    <n v="19.75"/>
    <n v="1185"/>
    <n v="913.91"/>
    <n v="913.91"/>
    <n v="913.91"/>
    <n v="913.91"/>
    <n v="913.91"/>
    <x v="1"/>
    <x v="0"/>
    <x v="0"/>
    <n v="0"/>
    <x v="0"/>
  </r>
  <r>
    <x v="55"/>
    <x v="52"/>
    <n v="5"/>
    <x v="6"/>
    <s v="5ºC"/>
    <x v="0"/>
    <s v="Mineral"/>
    <x v="27"/>
    <s v="3 - Parceria"/>
    <n v="9.51"/>
    <n v="0"/>
    <n v="0"/>
    <n v="9.51"/>
    <n v="570.6"/>
    <n v="0"/>
    <n v="0"/>
    <n v="385.57"/>
    <x v="0"/>
    <x v="35"/>
    <x v="0"/>
    <x v="1"/>
    <x v="1"/>
    <n v="9.51"/>
    <n v="9.51"/>
    <n v="9.51"/>
    <n v="570.6"/>
    <n v="385.57"/>
    <n v="385.57"/>
    <n v="385.57"/>
    <n v="385.57"/>
    <n v="385.57"/>
    <x v="1"/>
    <x v="0"/>
    <x v="0"/>
    <n v="0"/>
    <x v="0"/>
  </r>
  <r>
    <x v="55"/>
    <x v="52"/>
    <n v="6"/>
    <x v="6"/>
    <s v="5ºC"/>
    <x v="0"/>
    <s v="Mineral"/>
    <x v="27"/>
    <s v="3 - Parceria"/>
    <n v="20.63"/>
    <n v="0"/>
    <n v="0"/>
    <n v="20.63"/>
    <n v="1237.8"/>
    <n v="0"/>
    <n v="0"/>
    <n v="836.06"/>
    <x v="0"/>
    <x v="35"/>
    <x v="0"/>
    <x v="1"/>
    <x v="1"/>
    <n v="20.63"/>
    <n v="20.63"/>
    <n v="20.63"/>
    <n v="1237.8"/>
    <n v="836.06"/>
    <n v="836.06"/>
    <n v="836.06"/>
    <n v="836.06"/>
    <n v="836.06"/>
    <x v="1"/>
    <x v="0"/>
    <x v="0"/>
    <n v="0"/>
    <x v="0"/>
  </r>
  <r>
    <x v="55"/>
    <x v="52"/>
    <n v="7"/>
    <x v="6"/>
    <s v="5ºC"/>
    <x v="0"/>
    <s v="Mineral"/>
    <x v="27"/>
    <s v="3 - Parceria"/>
    <n v="18.98"/>
    <n v="0"/>
    <n v="0"/>
    <n v="18.98"/>
    <n v="1138.8"/>
    <n v="0"/>
    <n v="0"/>
    <n v="878.43"/>
    <x v="0"/>
    <x v="35"/>
    <x v="0"/>
    <x v="1"/>
    <x v="1"/>
    <n v="18.98"/>
    <n v="18.98"/>
    <n v="18.98"/>
    <n v="1138.8"/>
    <n v="878.43"/>
    <n v="878.43"/>
    <n v="878.43"/>
    <n v="878.43"/>
    <n v="878.43"/>
    <x v="1"/>
    <x v="0"/>
    <x v="0"/>
    <n v="0"/>
    <x v="0"/>
  </r>
  <r>
    <x v="55"/>
    <x v="52"/>
    <n v="8"/>
    <x v="6"/>
    <s v="5ºC"/>
    <x v="0"/>
    <s v="Mineral"/>
    <x v="27"/>
    <s v="3 - Parceria"/>
    <n v="11.14"/>
    <n v="0"/>
    <n v="0"/>
    <n v="11.14"/>
    <n v="668.4"/>
    <n v="0"/>
    <n v="0"/>
    <n v="515.15"/>
    <x v="0"/>
    <x v="35"/>
    <x v="0"/>
    <x v="1"/>
    <x v="1"/>
    <n v="11.14"/>
    <n v="11.14"/>
    <n v="11.14"/>
    <n v="668.4"/>
    <n v="515.15"/>
    <n v="515.15"/>
    <n v="515.15"/>
    <n v="515.15"/>
    <n v="515.15"/>
    <x v="1"/>
    <x v="0"/>
    <x v="0"/>
    <n v="0"/>
    <x v="0"/>
  </r>
  <r>
    <x v="55"/>
    <x v="52"/>
    <n v="16"/>
    <x v="0"/>
    <s v="6ºC"/>
    <x v="0"/>
    <s v="Mineral"/>
    <x v="27"/>
    <s v="3 - Parceria"/>
    <n v="15.45"/>
    <n v="0"/>
    <n v="0"/>
    <n v="15.45"/>
    <n v="803.4"/>
    <n v="0"/>
    <n v="0"/>
    <n v="656.42"/>
    <x v="0"/>
    <x v="35"/>
    <x v="0"/>
    <x v="1"/>
    <x v="1"/>
    <n v="15.45"/>
    <n v="15.45"/>
    <n v="15.45"/>
    <n v="803.4"/>
    <n v="656.42"/>
    <n v="656.42"/>
    <n v="656.42"/>
    <n v="656.42"/>
    <n v="656.42"/>
    <x v="1"/>
    <x v="0"/>
    <x v="0"/>
    <n v="0"/>
    <x v="0"/>
  </r>
  <r>
    <x v="55"/>
    <x v="52"/>
    <n v="17"/>
    <x v="0"/>
    <s v="6ºC"/>
    <x v="0"/>
    <s v="Mineral"/>
    <x v="27"/>
    <s v="3 - Parceria"/>
    <n v="26.77"/>
    <n v="0"/>
    <n v="0"/>
    <n v="26.77"/>
    <n v="1392.04"/>
    <n v="0"/>
    <n v="0"/>
    <n v="940.07"/>
    <x v="0"/>
    <x v="35"/>
    <x v="0"/>
    <x v="1"/>
    <x v="1"/>
    <n v="26.77"/>
    <n v="26.77"/>
    <n v="26.77"/>
    <n v="1392.04"/>
    <n v="940.07"/>
    <n v="940.07"/>
    <n v="940.07"/>
    <n v="940.07"/>
    <n v="940.07"/>
    <x v="1"/>
    <x v="0"/>
    <x v="0"/>
    <n v="0"/>
    <x v="0"/>
  </r>
  <r>
    <x v="55"/>
    <x v="52"/>
    <n v="18"/>
    <x v="0"/>
    <s v="6ºC"/>
    <x v="0"/>
    <s v="Mineral"/>
    <x v="27"/>
    <s v="3 - Parceria"/>
    <n v="30.74"/>
    <n v="0"/>
    <n v="0"/>
    <n v="30.74"/>
    <n v="1598.48"/>
    <n v="0"/>
    <n v="0"/>
    <n v="1079.19"/>
    <x v="0"/>
    <x v="35"/>
    <x v="0"/>
    <x v="1"/>
    <x v="1"/>
    <n v="30.74"/>
    <n v="30.74"/>
    <n v="30.74"/>
    <n v="1598.48"/>
    <n v="1079.19"/>
    <n v="1079.19"/>
    <n v="1079.19"/>
    <n v="1079.19"/>
    <n v="1079.19"/>
    <x v="1"/>
    <x v="0"/>
    <x v="0"/>
    <n v="0"/>
    <x v="0"/>
  </r>
  <r>
    <x v="55"/>
    <x v="52"/>
    <n v="19"/>
    <x v="6"/>
    <s v="5ºC"/>
    <x v="0"/>
    <s v="Mineral"/>
    <x v="8"/>
    <s v="3 - Parceria"/>
    <n v="14.15"/>
    <n v="0"/>
    <n v="0"/>
    <n v="14.15"/>
    <n v="820.7"/>
    <n v="0"/>
    <n v="0"/>
    <n v="554.42999999999995"/>
    <x v="0"/>
    <x v="35"/>
    <x v="0"/>
    <x v="1"/>
    <x v="1"/>
    <n v="14.15"/>
    <n v="14.15"/>
    <n v="14.15"/>
    <n v="820.7"/>
    <n v="554.42999999999995"/>
    <n v="554.42999999999995"/>
    <n v="554.42999999999995"/>
    <n v="554.42999999999995"/>
    <n v="554.42999999999995"/>
    <x v="1"/>
    <x v="0"/>
    <x v="0"/>
    <n v="0"/>
    <x v="0"/>
  </r>
  <r>
    <x v="55"/>
    <x v="52"/>
    <n v="20"/>
    <x v="6"/>
    <s v="5ºC"/>
    <x v="0"/>
    <s v="Mineral"/>
    <x v="8"/>
    <s v="3 - Parceria"/>
    <n v="14.46"/>
    <n v="0"/>
    <n v="0"/>
    <n v="14.46"/>
    <n v="838.68"/>
    <n v="0"/>
    <n v="0"/>
    <n v="566.97"/>
    <x v="0"/>
    <x v="35"/>
    <x v="0"/>
    <x v="1"/>
    <x v="1"/>
    <n v="14.46"/>
    <n v="14.46"/>
    <n v="14.46"/>
    <n v="838.68"/>
    <n v="566.97"/>
    <n v="566.97"/>
    <n v="566.97"/>
    <n v="566.97"/>
    <n v="566.97"/>
    <x v="1"/>
    <x v="0"/>
    <x v="0"/>
    <n v="0"/>
    <x v="0"/>
  </r>
  <r>
    <x v="55"/>
    <x v="52"/>
    <n v="21"/>
    <x v="4"/>
    <s v="4ºC"/>
    <x v="0"/>
    <s v="Mineral"/>
    <x v="8"/>
    <s v="3 - Parceria"/>
    <n v="41.98"/>
    <n v="0"/>
    <n v="0"/>
    <n v="41.98"/>
    <n v="2770.68"/>
    <n v="0"/>
    <n v="0"/>
    <n v="2265.37"/>
    <x v="0"/>
    <x v="35"/>
    <x v="0"/>
    <x v="1"/>
    <x v="1"/>
    <n v="41.98"/>
    <n v="41.98"/>
    <n v="41.98"/>
    <n v="2770.68"/>
    <n v="2265.37"/>
    <n v="2265.37"/>
    <n v="2265.37"/>
    <n v="2265.37"/>
    <n v="2265.37"/>
    <x v="1"/>
    <x v="0"/>
    <x v="0"/>
    <n v="0"/>
    <x v="0"/>
  </r>
  <r>
    <x v="55"/>
    <x v="52"/>
    <n v="22"/>
    <x v="4"/>
    <s v="4ºC"/>
    <x v="0"/>
    <s v="Mineral"/>
    <x v="8"/>
    <s v="3 - Parceria"/>
    <n v="3.63"/>
    <n v="0"/>
    <n v="0"/>
    <n v="3.63"/>
    <n v="239.58"/>
    <n v="0"/>
    <n v="0"/>
    <n v="185.36"/>
    <x v="0"/>
    <x v="35"/>
    <x v="0"/>
    <x v="1"/>
    <x v="1"/>
    <n v="3.63"/>
    <n v="3.63"/>
    <n v="3.63"/>
    <n v="239.58"/>
    <n v="185.36"/>
    <n v="185.36"/>
    <n v="185.36"/>
    <n v="185.36"/>
    <n v="185.36"/>
    <x v="1"/>
    <x v="0"/>
    <x v="0"/>
    <n v="0"/>
    <x v="0"/>
  </r>
  <r>
    <x v="55"/>
    <x v="52"/>
    <n v="23"/>
    <x v="4"/>
    <s v="4ºC"/>
    <x v="0"/>
    <s v="Mineral"/>
    <x v="8"/>
    <s v="3 - Parceria"/>
    <n v="2.5499999999999998"/>
    <n v="0"/>
    <n v="0"/>
    <n v="2.5499999999999998"/>
    <n v="196.35"/>
    <n v="0"/>
    <n v="0"/>
    <n v="251.72"/>
    <x v="0"/>
    <x v="16"/>
    <x v="0"/>
    <x v="1"/>
    <x v="1"/>
    <n v="2.5499999999999998"/>
    <n v="2.5499999999999998"/>
    <n v="2.5499999999999998"/>
    <n v="196.35"/>
    <n v="251.72"/>
    <n v="251.72"/>
    <n v="251.72"/>
    <n v="251.72"/>
    <n v="251.72"/>
    <x v="1"/>
    <x v="0"/>
    <x v="0"/>
    <n v="0"/>
    <x v="0"/>
  </r>
  <r>
    <x v="56"/>
    <x v="53"/>
    <n v="1"/>
    <x v="5"/>
    <s v="2ºC"/>
    <x v="0"/>
    <s v="Fertirrigação"/>
    <x v="8"/>
    <s v="3 - Parceria"/>
    <n v="23.11"/>
    <n v="23.11"/>
    <n v="23.11"/>
    <n v="23.11"/>
    <n v="1895.02"/>
    <n v="1895.02"/>
    <n v="1617.7"/>
    <n v="1596.92"/>
    <x v="0"/>
    <x v="12"/>
    <x v="0"/>
    <x v="0"/>
    <x v="0"/>
    <n v="23.11"/>
    <n v="23.11"/>
    <n v="23.11"/>
    <n v="1895.02"/>
    <n v="1895.02"/>
    <n v="1617.7"/>
    <n v="1596.92"/>
    <n v="1596.92"/>
    <n v="1596.92"/>
    <x v="1"/>
    <x v="1"/>
    <x v="0"/>
    <n v="0"/>
    <x v="1"/>
  </r>
  <r>
    <x v="56"/>
    <x v="53"/>
    <n v="2"/>
    <x v="5"/>
    <s v="2ºC"/>
    <x v="0"/>
    <s v="Fertirrigação"/>
    <x v="8"/>
    <s v="3 - Parceria"/>
    <n v="43.93"/>
    <n v="43.93"/>
    <n v="43.93"/>
    <n v="43.93"/>
    <n v="3602.26"/>
    <n v="3602.26"/>
    <n v="3075.1"/>
    <n v="3035.13"/>
    <x v="0"/>
    <x v="12"/>
    <x v="0"/>
    <x v="0"/>
    <x v="0"/>
    <n v="43.93"/>
    <n v="43.93"/>
    <n v="43.93"/>
    <n v="3602.26"/>
    <n v="3602.26"/>
    <n v="3075.1"/>
    <n v="3035.13"/>
    <n v="3035.13"/>
    <n v="3035.13"/>
    <x v="1"/>
    <x v="1"/>
    <x v="0"/>
    <n v="0"/>
    <x v="1"/>
  </r>
  <r>
    <x v="56"/>
    <x v="53"/>
    <n v="3"/>
    <x v="5"/>
    <s v="2ºC"/>
    <x v="0"/>
    <s v="Fertirrigação"/>
    <x v="8"/>
    <s v="3 - Parceria"/>
    <n v="43.01"/>
    <n v="43.01"/>
    <n v="43.01"/>
    <n v="43.01"/>
    <n v="3526.82"/>
    <n v="3526.82"/>
    <n v="3010.7"/>
    <n v="3133.26"/>
    <x v="0"/>
    <x v="12"/>
    <x v="0"/>
    <x v="0"/>
    <x v="0"/>
    <n v="43.01"/>
    <n v="43.01"/>
    <n v="43.01"/>
    <n v="3526.82"/>
    <n v="3526.82"/>
    <n v="3010.7"/>
    <n v="3133.26"/>
    <n v="3133.26"/>
    <n v="3133.26"/>
    <x v="1"/>
    <x v="2"/>
    <x v="4"/>
    <n v="2580.6"/>
    <x v="1"/>
  </r>
  <r>
    <x v="56"/>
    <x v="53"/>
    <n v="4"/>
    <x v="5"/>
    <s v="2ºC"/>
    <x v="0"/>
    <s v="Fertirrigação"/>
    <x v="8"/>
    <s v="3 - Parceria"/>
    <n v="16.059999999999999"/>
    <n v="16.059999999999999"/>
    <n v="16.059999999999999"/>
    <n v="16.059999999999999"/>
    <n v="1316.92"/>
    <n v="1316.92"/>
    <n v="1124.2"/>
    <n v="849.72"/>
    <x v="0"/>
    <x v="20"/>
    <x v="0"/>
    <x v="0"/>
    <x v="0"/>
    <n v="16.059999999999999"/>
    <n v="16.059999999999999"/>
    <n v="16.059999999999999"/>
    <n v="1316.92"/>
    <n v="1316.92"/>
    <n v="1124.2"/>
    <n v="849.72"/>
    <n v="849.72"/>
    <n v="849.72"/>
    <x v="1"/>
    <x v="1"/>
    <x v="0"/>
    <n v="0"/>
    <x v="1"/>
  </r>
  <r>
    <x v="56"/>
    <x v="53"/>
    <n v="5"/>
    <x v="5"/>
    <s v="2ºC"/>
    <x v="0"/>
    <s v="Fertirrigação"/>
    <x v="8"/>
    <s v="3 - Parceria"/>
    <n v="37.72"/>
    <n v="37.72"/>
    <n v="37.72"/>
    <n v="37.72"/>
    <n v="3093.04"/>
    <n v="2904.44"/>
    <n v="2640.4"/>
    <n v="2271.2800000000002"/>
    <x v="0"/>
    <x v="12"/>
    <x v="0"/>
    <x v="0"/>
    <x v="0"/>
    <n v="37.72"/>
    <n v="37.72"/>
    <n v="37.72"/>
    <n v="3093.04"/>
    <n v="2904.44"/>
    <n v="2640.4"/>
    <n v="2271.2800000000002"/>
    <n v="2271.2800000000002"/>
    <n v="2271.2800000000002"/>
    <x v="0"/>
    <x v="2"/>
    <x v="4"/>
    <n v="2263.1999999999998"/>
    <x v="1"/>
  </r>
  <r>
    <x v="56"/>
    <x v="53"/>
    <n v="7"/>
    <x v="5"/>
    <s v="2ºC"/>
    <x v="0"/>
    <s v="Fertirrigação"/>
    <x v="5"/>
    <s v="3 - Parceria"/>
    <n v="23.35"/>
    <n v="23.35"/>
    <n v="23.35"/>
    <n v="23.35"/>
    <n v="1868"/>
    <n v="1354.3"/>
    <n v="1284.25"/>
    <n v="1565.09"/>
    <x v="0"/>
    <x v="1"/>
    <x v="0"/>
    <x v="0"/>
    <x v="0"/>
    <n v="23.35"/>
    <n v="23.35"/>
    <n v="23.35"/>
    <n v="1868"/>
    <n v="1354.3"/>
    <n v="1284.25"/>
    <n v="1565.09"/>
    <n v="1565.09"/>
    <n v="1565.09"/>
    <x v="0"/>
    <x v="2"/>
    <x v="1"/>
    <n v="934"/>
    <x v="1"/>
  </r>
  <r>
    <x v="57"/>
    <x v="54"/>
    <n v="17"/>
    <x v="2"/>
    <s v="3ºC"/>
    <x v="0"/>
    <s v="Mineral"/>
    <x v="3"/>
    <s v="3 - Parceria"/>
    <n v="17.559999999999999"/>
    <n v="0"/>
    <n v="0"/>
    <n v="17.559999999999999"/>
    <n v="878"/>
    <n v="0"/>
    <n v="0"/>
    <n v="813.05"/>
    <x v="0"/>
    <x v="30"/>
    <x v="0"/>
    <x v="1"/>
    <x v="1"/>
    <n v="17.559999999999999"/>
    <n v="17.559999999999999"/>
    <n v="17.559999999999999"/>
    <n v="878"/>
    <n v="813.05"/>
    <n v="813.05"/>
    <n v="813.05"/>
    <n v="813.05"/>
    <n v="813.05"/>
    <x v="1"/>
    <x v="0"/>
    <x v="0"/>
    <n v="0"/>
    <x v="0"/>
  </r>
  <r>
    <x v="57"/>
    <x v="54"/>
    <n v="18"/>
    <x v="2"/>
    <s v="3ºC"/>
    <x v="0"/>
    <s v="Mineral"/>
    <x v="3"/>
    <s v="3 - Parceria"/>
    <n v="20.93"/>
    <n v="0"/>
    <n v="0"/>
    <n v="20.93"/>
    <n v="1046.5"/>
    <n v="0"/>
    <n v="0"/>
    <n v="1438.94"/>
    <x v="0"/>
    <x v="29"/>
    <x v="0"/>
    <x v="1"/>
    <x v="1"/>
    <n v="20.93"/>
    <n v="20.93"/>
    <n v="20.93"/>
    <n v="1046.5"/>
    <n v="1438.94"/>
    <n v="1438.94"/>
    <n v="1438.94"/>
    <n v="1438.94"/>
    <n v="1438.94"/>
    <x v="1"/>
    <x v="0"/>
    <x v="0"/>
    <n v="0"/>
    <x v="0"/>
  </r>
  <r>
    <x v="57"/>
    <x v="54"/>
    <n v="19"/>
    <x v="2"/>
    <s v="3ºC"/>
    <x v="0"/>
    <s v="Mineral"/>
    <x v="3"/>
    <s v="3 - Parceria"/>
    <n v="22.3"/>
    <n v="0"/>
    <n v="0"/>
    <n v="22.3"/>
    <n v="1115"/>
    <n v="0"/>
    <n v="0"/>
    <n v="1323.56"/>
    <x v="0"/>
    <x v="29"/>
    <x v="0"/>
    <x v="1"/>
    <x v="1"/>
    <n v="22.3"/>
    <n v="22.3"/>
    <n v="22.3"/>
    <n v="1115"/>
    <n v="1323.56"/>
    <n v="1323.56"/>
    <n v="1323.56"/>
    <n v="1323.56"/>
    <n v="1323.56"/>
    <x v="1"/>
    <x v="0"/>
    <x v="0"/>
    <n v="0"/>
    <x v="0"/>
  </r>
  <r>
    <x v="57"/>
    <x v="54"/>
    <n v="20"/>
    <x v="2"/>
    <s v="3ºC"/>
    <x v="0"/>
    <s v="Mineral"/>
    <x v="3"/>
    <s v="3 - Parceria"/>
    <n v="35.119999999999997"/>
    <n v="0"/>
    <n v="0"/>
    <n v="35.119999999999997"/>
    <n v="1756"/>
    <n v="0"/>
    <n v="0"/>
    <n v="2084.4899999999998"/>
    <x v="0"/>
    <x v="29"/>
    <x v="0"/>
    <x v="1"/>
    <x v="1"/>
    <n v="35.119999999999997"/>
    <n v="35.119999999999997"/>
    <n v="35.119999999999997"/>
    <n v="1756"/>
    <n v="2084.4899999999998"/>
    <n v="2084.4899999999998"/>
    <n v="2084.4899999999998"/>
    <n v="2084.4899999999998"/>
    <n v="2084.4899999999998"/>
    <x v="1"/>
    <x v="0"/>
    <x v="0"/>
    <n v="0"/>
    <x v="0"/>
  </r>
  <r>
    <x v="57"/>
    <x v="54"/>
    <n v="21"/>
    <x v="2"/>
    <s v="3ºC"/>
    <x v="0"/>
    <s v="Mineral"/>
    <x v="3"/>
    <s v="3 - Parceria"/>
    <n v="28.51"/>
    <n v="0"/>
    <n v="0"/>
    <n v="28.51"/>
    <n v="1425.5"/>
    <n v="0"/>
    <n v="0"/>
    <n v="1692.98"/>
    <x v="0"/>
    <x v="29"/>
    <x v="0"/>
    <x v="1"/>
    <x v="1"/>
    <n v="28.51"/>
    <n v="28.51"/>
    <n v="28.51"/>
    <n v="1425.5"/>
    <n v="1692.98"/>
    <n v="1692.98"/>
    <n v="1692.98"/>
    <n v="1692.98"/>
    <n v="1692.98"/>
    <x v="1"/>
    <x v="0"/>
    <x v="0"/>
    <n v="0"/>
    <x v="0"/>
  </r>
  <r>
    <x v="57"/>
    <x v="54"/>
    <n v="22"/>
    <x v="2"/>
    <s v="3ºC"/>
    <x v="0"/>
    <s v="Mineral"/>
    <x v="3"/>
    <s v="3 - Parceria"/>
    <n v="1.65"/>
    <n v="0"/>
    <n v="0"/>
    <n v="1.65"/>
    <n v="82.5"/>
    <n v="0"/>
    <n v="0"/>
    <n v="76.84"/>
    <x v="0"/>
    <x v="30"/>
    <x v="0"/>
    <x v="1"/>
    <x v="1"/>
    <n v="1.65"/>
    <n v="1.65"/>
    <n v="1.65"/>
    <n v="82.5"/>
    <n v="76.84"/>
    <n v="76.84"/>
    <n v="76.84"/>
    <n v="76.84"/>
    <n v="76.84"/>
    <x v="1"/>
    <x v="0"/>
    <x v="0"/>
    <n v="0"/>
    <x v="0"/>
  </r>
  <r>
    <x v="57"/>
    <x v="54"/>
    <n v="23"/>
    <x v="2"/>
    <s v="3ºC"/>
    <x v="0"/>
    <s v="Mineral"/>
    <x v="3"/>
    <s v="3 - Parceria"/>
    <n v="8.07"/>
    <n v="0"/>
    <n v="0"/>
    <n v="8.07"/>
    <n v="403.5"/>
    <n v="0"/>
    <n v="0"/>
    <n v="374.16"/>
    <x v="0"/>
    <x v="30"/>
    <x v="0"/>
    <x v="1"/>
    <x v="1"/>
    <n v="8.07"/>
    <n v="8.07"/>
    <n v="8.07"/>
    <n v="403.5"/>
    <n v="374.16"/>
    <n v="374.16"/>
    <n v="374.16"/>
    <n v="374.16"/>
    <n v="374.16"/>
    <x v="1"/>
    <x v="0"/>
    <x v="0"/>
    <n v="0"/>
    <x v="0"/>
  </r>
  <r>
    <x v="57"/>
    <x v="54"/>
    <n v="24"/>
    <x v="2"/>
    <s v="3ºC"/>
    <x v="0"/>
    <s v="Mineral"/>
    <x v="3"/>
    <s v="3 - Parceria"/>
    <n v="13.26"/>
    <n v="0"/>
    <n v="0"/>
    <n v="13.26"/>
    <n v="663"/>
    <n v="0"/>
    <n v="0"/>
    <n v="647.28"/>
    <x v="0"/>
    <x v="29"/>
    <x v="0"/>
    <x v="1"/>
    <x v="1"/>
    <n v="13.26"/>
    <n v="13.26"/>
    <n v="13.26"/>
    <n v="663"/>
    <n v="647.28"/>
    <n v="647.28"/>
    <n v="647.28"/>
    <n v="647.28"/>
    <n v="647.28"/>
    <x v="1"/>
    <x v="0"/>
    <x v="0"/>
    <n v="0"/>
    <x v="0"/>
  </r>
  <r>
    <x v="57"/>
    <x v="54"/>
    <n v="25"/>
    <x v="2"/>
    <s v="3ºC"/>
    <x v="0"/>
    <s v="Mineral"/>
    <x v="3"/>
    <s v="3 - Parceria"/>
    <n v="25.55"/>
    <n v="0"/>
    <n v="0"/>
    <n v="25.55"/>
    <n v="1277.5"/>
    <n v="0"/>
    <n v="0"/>
    <n v="1247.73"/>
    <x v="0"/>
    <x v="29"/>
    <x v="0"/>
    <x v="1"/>
    <x v="1"/>
    <n v="25.55"/>
    <n v="25.55"/>
    <n v="25.55"/>
    <n v="1277.5"/>
    <n v="1247.73"/>
    <n v="1247.73"/>
    <n v="1247.73"/>
    <n v="1247.73"/>
    <n v="1247.73"/>
    <x v="1"/>
    <x v="0"/>
    <x v="0"/>
    <n v="0"/>
    <x v="0"/>
  </r>
  <r>
    <x v="57"/>
    <x v="54"/>
    <n v="26"/>
    <x v="2"/>
    <s v="3ºC"/>
    <x v="0"/>
    <s v="Mineral"/>
    <x v="3"/>
    <s v="3 - Parceria"/>
    <n v="12.69"/>
    <n v="0"/>
    <n v="0"/>
    <n v="12.69"/>
    <n v="634.5"/>
    <n v="0"/>
    <n v="0"/>
    <n v="872.69"/>
    <x v="0"/>
    <x v="29"/>
    <x v="0"/>
    <x v="1"/>
    <x v="1"/>
    <n v="12.69"/>
    <n v="12.69"/>
    <n v="12.69"/>
    <n v="634.5"/>
    <n v="872.69"/>
    <n v="872.69"/>
    <n v="872.69"/>
    <n v="872.69"/>
    <n v="872.69"/>
    <x v="1"/>
    <x v="0"/>
    <x v="0"/>
    <n v="0"/>
    <x v="0"/>
  </r>
  <r>
    <x v="57"/>
    <x v="54"/>
    <n v="27"/>
    <x v="2"/>
    <s v="3ºC"/>
    <x v="0"/>
    <s v="Mineral"/>
    <x v="3"/>
    <s v="3 - Parceria"/>
    <n v="7.34"/>
    <n v="0"/>
    <n v="0"/>
    <n v="7.34"/>
    <n v="367"/>
    <n v="0"/>
    <n v="0"/>
    <n v="504.49"/>
    <x v="0"/>
    <x v="29"/>
    <x v="0"/>
    <x v="1"/>
    <x v="1"/>
    <n v="7.34"/>
    <n v="7.34"/>
    <n v="7.34"/>
    <n v="367"/>
    <n v="504.49"/>
    <n v="504.49"/>
    <n v="504.49"/>
    <n v="504.49"/>
    <n v="504.49"/>
    <x v="1"/>
    <x v="0"/>
    <x v="0"/>
    <n v="0"/>
    <x v="0"/>
  </r>
  <r>
    <x v="57"/>
    <x v="54"/>
    <n v="28"/>
    <x v="2"/>
    <s v="3ºC"/>
    <x v="0"/>
    <s v="Mineral"/>
    <x v="3"/>
    <s v="3 - Parceria"/>
    <n v="13.63"/>
    <n v="0"/>
    <n v="0"/>
    <n v="13.63"/>
    <n v="681.5"/>
    <n v="0"/>
    <n v="0"/>
    <n v="665.82"/>
    <x v="0"/>
    <x v="29"/>
    <x v="0"/>
    <x v="1"/>
    <x v="1"/>
    <n v="13.63"/>
    <n v="13.63"/>
    <n v="13.63"/>
    <n v="681.5"/>
    <n v="665.82"/>
    <n v="665.82"/>
    <n v="665.82"/>
    <n v="665.82"/>
    <n v="665.82"/>
    <x v="1"/>
    <x v="0"/>
    <x v="0"/>
    <n v="0"/>
    <x v="0"/>
  </r>
  <r>
    <x v="57"/>
    <x v="54"/>
    <n v="29"/>
    <x v="2"/>
    <s v="3ºC"/>
    <x v="0"/>
    <s v="Mineral"/>
    <x v="3"/>
    <s v="3 - Parceria"/>
    <n v="8.8800000000000008"/>
    <n v="0"/>
    <n v="0"/>
    <n v="8.8800000000000008"/>
    <n v="444"/>
    <n v="0"/>
    <n v="0"/>
    <n v="433.63"/>
    <x v="0"/>
    <x v="29"/>
    <x v="0"/>
    <x v="1"/>
    <x v="1"/>
    <n v="8.8800000000000008"/>
    <n v="8.8800000000000008"/>
    <n v="8.8800000000000008"/>
    <n v="444"/>
    <n v="433.63"/>
    <n v="433.63"/>
    <n v="433.63"/>
    <n v="433.63"/>
    <n v="433.63"/>
    <x v="1"/>
    <x v="0"/>
    <x v="0"/>
    <n v="0"/>
    <x v="0"/>
  </r>
  <r>
    <x v="58"/>
    <x v="55"/>
    <n v="1"/>
    <x v="5"/>
    <s v="2ºC"/>
    <x v="0"/>
    <s v="Mineral"/>
    <x v="6"/>
    <s v="3 - Parceria"/>
    <n v="30.63"/>
    <n v="30.63"/>
    <n v="30.63"/>
    <n v="30.63"/>
    <n v="2297.25"/>
    <n v="2450.4"/>
    <n v="2450.4"/>
    <n v="2537.83"/>
    <x v="0"/>
    <x v="19"/>
    <x v="0"/>
    <x v="0"/>
    <x v="0"/>
    <n v="30.63"/>
    <n v="30.63"/>
    <n v="30.63"/>
    <n v="2297.25"/>
    <n v="2450.4"/>
    <n v="2450.4"/>
    <n v="2537.83"/>
    <n v="2537.83"/>
    <n v="2537.83"/>
    <x v="1"/>
    <x v="0"/>
    <x v="0"/>
    <n v="0"/>
    <x v="0"/>
  </r>
  <r>
    <x v="58"/>
    <x v="55"/>
    <n v="2"/>
    <x v="5"/>
    <s v="2ºC"/>
    <x v="0"/>
    <s v="Mineral"/>
    <x v="6"/>
    <s v="3 - Parceria"/>
    <n v="24.82"/>
    <n v="24.82"/>
    <n v="24.82"/>
    <n v="24.82"/>
    <n v="2333.08"/>
    <n v="2357.9"/>
    <n v="2357.9"/>
    <n v="2442.9499999999998"/>
    <x v="0"/>
    <x v="19"/>
    <x v="0"/>
    <x v="0"/>
    <x v="0"/>
    <n v="24.82"/>
    <n v="24.82"/>
    <n v="24.82"/>
    <n v="2333.08"/>
    <n v="2357.9"/>
    <n v="2357.9"/>
    <n v="2442.9499999999998"/>
    <n v="2442.9499999999998"/>
    <n v="2442.9499999999998"/>
    <x v="1"/>
    <x v="0"/>
    <x v="0"/>
    <n v="0"/>
    <x v="0"/>
  </r>
  <r>
    <x v="58"/>
    <x v="55"/>
    <n v="3"/>
    <x v="5"/>
    <s v="2ºC"/>
    <x v="0"/>
    <s v="Mineral"/>
    <x v="6"/>
    <s v="3 - Parceria"/>
    <n v="4.3499999999999996"/>
    <n v="4.3499999999999996"/>
    <n v="4.3499999999999996"/>
    <n v="4.3499999999999996"/>
    <n v="408.9"/>
    <n v="391.5"/>
    <n v="391.5"/>
    <n v="406.23"/>
    <x v="0"/>
    <x v="19"/>
    <x v="0"/>
    <x v="0"/>
    <x v="0"/>
    <n v="4.3499999999999996"/>
    <n v="4.3499999999999996"/>
    <n v="4.3499999999999996"/>
    <n v="408.9"/>
    <n v="391.5"/>
    <n v="391.5"/>
    <n v="406.23"/>
    <n v="406.23"/>
    <n v="406.23"/>
    <x v="0"/>
    <x v="0"/>
    <x v="0"/>
    <n v="0"/>
    <x v="0"/>
  </r>
  <r>
    <x v="58"/>
    <x v="55"/>
    <n v="13"/>
    <x v="2"/>
    <s v="3ºC"/>
    <x v="0"/>
    <s v="Mineral"/>
    <x v="6"/>
    <s v="3 - Parceria"/>
    <n v="35.53"/>
    <n v="35.53"/>
    <n v="35.53"/>
    <n v="35.53"/>
    <n v="2416.04"/>
    <n v="2487.1"/>
    <n v="2487.1"/>
    <n v="2455.34"/>
    <x v="0"/>
    <x v="2"/>
    <x v="0"/>
    <x v="0"/>
    <x v="0"/>
    <n v="35.53"/>
    <n v="35.53"/>
    <n v="35.53"/>
    <n v="2416.04"/>
    <n v="2487.1"/>
    <n v="2487.1"/>
    <n v="2455.34"/>
    <n v="2455.34"/>
    <n v="2455.34"/>
    <x v="0"/>
    <x v="0"/>
    <x v="0"/>
    <n v="0"/>
    <x v="0"/>
  </r>
  <r>
    <x v="58"/>
    <x v="55"/>
    <n v="14"/>
    <x v="2"/>
    <s v="3ºC"/>
    <x v="0"/>
    <s v="Mineral"/>
    <x v="6"/>
    <s v="3 - Parceria"/>
    <n v="5.07"/>
    <n v="5.07"/>
    <n v="5.07"/>
    <n v="5.07"/>
    <n v="344.76"/>
    <n v="354.9"/>
    <n v="354.9"/>
    <n v="350.34"/>
    <x v="0"/>
    <x v="2"/>
    <x v="0"/>
    <x v="0"/>
    <x v="0"/>
    <n v="5.07"/>
    <n v="5.07"/>
    <n v="5.07"/>
    <n v="344.76"/>
    <n v="354.9"/>
    <n v="354.9"/>
    <n v="350.34"/>
    <n v="350.34"/>
    <n v="350.34"/>
    <x v="1"/>
    <x v="0"/>
    <x v="0"/>
    <n v="0"/>
    <x v="0"/>
  </r>
  <r>
    <x v="58"/>
    <x v="55"/>
    <n v="15"/>
    <x v="2"/>
    <s v="3ºC"/>
    <x v="0"/>
    <s v="Mineral"/>
    <x v="6"/>
    <s v="3 - Parceria"/>
    <n v="36.880000000000003"/>
    <n v="36.880000000000003"/>
    <n v="36.880000000000003"/>
    <n v="36.880000000000003"/>
    <n v="2507.84"/>
    <n v="2581.6"/>
    <n v="2581.6"/>
    <n v="2549.14"/>
    <x v="0"/>
    <x v="2"/>
    <x v="0"/>
    <x v="0"/>
    <x v="0"/>
    <n v="36.880000000000003"/>
    <n v="36.880000000000003"/>
    <n v="36.880000000000003"/>
    <n v="2507.84"/>
    <n v="2581.6"/>
    <n v="2581.6"/>
    <n v="2549.14"/>
    <n v="2549.14"/>
    <n v="2549.14"/>
    <x v="0"/>
    <x v="0"/>
    <x v="0"/>
    <n v="0"/>
    <x v="0"/>
  </r>
  <r>
    <x v="58"/>
    <x v="55"/>
    <n v="16"/>
    <x v="2"/>
    <s v="3ºC"/>
    <x v="0"/>
    <s v="Mineral"/>
    <x v="6"/>
    <s v="3 - Parceria"/>
    <n v="52.8"/>
    <n v="52.8"/>
    <n v="52.8"/>
    <n v="52.8"/>
    <n v="3379.2"/>
    <n v="3537.6"/>
    <n v="3537.6"/>
    <n v="3493.03"/>
    <x v="0"/>
    <x v="2"/>
    <x v="0"/>
    <x v="0"/>
    <x v="0"/>
    <n v="52.8"/>
    <n v="52.8"/>
    <n v="52.8"/>
    <n v="3379.2"/>
    <n v="3537.6"/>
    <n v="3537.6"/>
    <n v="3493.03"/>
    <n v="3493.03"/>
    <n v="3493.03"/>
    <x v="1"/>
    <x v="0"/>
    <x v="0"/>
    <n v="0"/>
    <x v="0"/>
  </r>
  <r>
    <x v="58"/>
    <x v="55"/>
    <n v="17"/>
    <x v="2"/>
    <s v="3ºC"/>
    <x v="0"/>
    <s v="Mineral"/>
    <x v="6"/>
    <s v="3 - Parceria"/>
    <n v="4.4800000000000004"/>
    <n v="4.4800000000000004"/>
    <n v="4.4800000000000004"/>
    <n v="4.4800000000000004"/>
    <n v="286.72000000000003"/>
    <n v="300.16000000000003"/>
    <n v="300.16000000000003"/>
    <n v="296.05"/>
    <x v="0"/>
    <x v="2"/>
    <x v="0"/>
    <x v="0"/>
    <x v="0"/>
    <n v="4.4800000000000004"/>
    <n v="4.4800000000000004"/>
    <n v="4.4800000000000004"/>
    <n v="286.72000000000003"/>
    <n v="300.16000000000003"/>
    <n v="300.16000000000003"/>
    <n v="296.05"/>
    <n v="296.05"/>
    <n v="296.05"/>
    <x v="1"/>
    <x v="0"/>
    <x v="0"/>
    <n v="0"/>
    <x v="0"/>
  </r>
  <r>
    <x v="58"/>
    <x v="55"/>
    <n v="18"/>
    <x v="2"/>
    <s v="3ºC"/>
    <x v="0"/>
    <s v="Mineral"/>
    <x v="6"/>
    <s v="3 - Parceria"/>
    <n v="21.15"/>
    <n v="21.15"/>
    <n v="21.15"/>
    <n v="21.15"/>
    <n v="1353.6"/>
    <n v="1417.05"/>
    <n v="1417.05"/>
    <n v="1399.84"/>
    <x v="0"/>
    <x v="2"/>
    <x v="0"/>
    <x v="0"/>
    <x v="0"/>
    <n v="21.15"/>
    <n v="21.15"/>
    <n v="21.15"/>
    <n v="1353.6"/>
    <n v="1417.05"/>
    <n v="1417.05"/>
    <n v="1399.84"/>
    <n v="1399.84"/>
    <n v="1399.84"/>
    <x v="1"/>
    <x v="0"/>
    <x v="0"/>
    <n v="0"/>
    <x v="0"/>
  </r>
  <r>
    <x v="59"/>
    <x v="56"/>
    <n v="1"/>
    <x v="2"/>
    <s v="3ºC"/>
    <x v="0"/>
    <s v="Mineral"/>
    <x v="1"/>
    <s v="3 - Parceria"/>
    <n v="25.38"/>
    <n v="25.38"/>
    <n v="25.38"/>
    <n v="0"/>
    <n v="1472.04"/>
    <n v="1598.94"/>
    <n v="1598.94"/>
    <n v="0"/>
    <x v="0"/>
    <x v="38"/>
    <x v="1"/>
    <x v="0"/>
    <x v="0"/>
    <n v="25.38"/>
    <n v="25.38"/>
    <n v="25.38"/>
    <n v="1472.04"/>
    <n v="1598.94"/>
    <n v="1598.94"/>
    <n v="1472.04"/>
    <n v="1598.94"/>
    <n v="1598.94"/>
    <x v="1"/>
    <x v="0"/>
    <x v="0"/>
    <n v="0"/>
    <x v="0"/>
  </r>
  <r>
    <x v="59"/>
    <x v="56"/>
    <n v="2"/>
    <x v="2"/>
    <s v="3ºC"/>
    <x v="0"/>
    <s v="Mineral"/>
    <x v="12"/>
    <s v="3 - Parceria"/>
    <n v="34.71"/>
    <n v="34.71"/>
    <n v="34.71"/>
    <n v="34.71"/>
    <n v="1943.76"/>
    <n v="1978.47"/>
    <n v="1978.47"/>
    <n v="1184.6099999999999"/>
    <x v="0"/>
    <x v="21"/>
    <x v="0"/>
    <x v="0"/>
    <x v="0"/>
    <n v="34.71"/>
    <n v="34.71"/>
    <n v="34.71"/>
    <n v="1943.76"/>
    <n v="1978.47"/>
    <n v="1978.47"/>
    <n v="1184.6099999999999"/>
    <n v="1184.6099999999999"/>
    <n v="1184.6099999999999"/>
    <x v="1"/>
    <x v="0"/>
    <x v="0"/>
    <n v="0"/>
    <x v="0"/>
  </r>
  <r>
    <x v="59"/>
    <x v="56"/>
    <n v="3"/>
    <x v="2"/>
    <s v="3ºC"/>
    <x v="0"/>
    <s v="Mineral"/>
    <x v="1"/>
    <s v="3 - Parceria"/>
    <n v="21.29"/>
    <n v="21.29"/>
    <n v="21.29"/>
    <n v="0"/>
    <n v="1192.24"/>
    <n v="1277.4000000000001"/>
    <n v="1277.4000000000001"/>
    <n v="0"/>
    <x v="0"/>
    <x v="38"/>
    <x v="1"/>
    <x v="0"/>
    <x v="0"/>
    <n v="21.29"/>
    <n v="21.29"/>
    <n v="21.29"/>
    <n v="1192.24"/>
    <n v="1277.4000000000001"/>
    <n v="1277.4000000000001"/>
    <n v="1192.24"/>
    <n v="1277.4000000000001"/>
    <n v="1277.4000000000001"/>
    <x v="1"/>
    <x v="0"/>
    <x v="0"/>
    <n v="0"/>
    <x v="0"/>
  </r>
  <r>
    <x v="59"/>
    <x v="56"/>
    <n v="4"/>
    <x v="2"/>
    <s v="3ºC"/>
    <x v="0"/>
    <s v="Mineral"/>
    <x v="7"/>
    <s v="3 - Parceria"/>
    <n v="34"/>
    <n v="34"/>
    <n v="0"/>
    <n v="34"/>
    <n v="2516"/>
    <n v="2618"/>
    <n v="0"/>
    <n v="2359.14"/>
    <x v="0"/>
    <x v="7"/>
    <x v="0"/>
    <x v="0"/>
    <x v="1"/>
    <n v="34"/>
    <n v="34"/>
    <n v="34"/>
    <n v="2516"/>
    <n v="2618"/>
    <n v="2359.14"/>
    <n v="2359.14"/>
    <n v="2359.14"/>
    <n v="2359.14"/>
    <x v="1"/>
    <x v="0"/>
    <x v="0"/>
    <n v="0"/>
    <x v="0"/>
  </r>
  <r>
    <x v="59"/>
    <x v="56"/>
    <n v="5"/>
    <x v="2"/>
    <s v="3ºC"/>
    <x v="0"/>
    <s v="Mineral"/>
    <x v="7"/>
    <s v="3 - Parceria"/>
    <n v="8.42"/>
    <n v="8.42"/>
    <n v="0"/>
    <n v="8.42"/>
    <n v="623.08000000000004"/>
    <n v="639.91999999999996"/>
    <n v="0"/>
    <n v="576.66"/>
    <x v="0"/>
    <x v="7"/>
    <x v="0"/>
    <x v="0"/>
    <x v="1"/>
    <n v="8.42"/>
    <n v="8.42"/>
    <n v="8.42"/>
    <n v="623.08000000000004"/>
    <n v="639.91999999999996"/>
    <n v="576.66"/>
    <n v="576.66"/>
    <n v="576.66"/>
    <n v="576.66"/>
    <x v="1"/>
    <x v="0"/>
    <x v="0"/>
    <n v="0"/>
    <x v="0"/>
  </r>
  <r>
    <x v="59"/>
    <x v="56"/>
    <n v="6"/>
    <x v="2"/>
    <s v="3ºC"/>
    <x v="0"/>
    <s v="Mineral"/>
    <x v="1"/>
    <s v="3 - Parceria"/>
    <n v="17.37"/>
    <n v="17.37"/>
    <n v="17.37"/>
    <n v="17.37"/>
    <n v="1042.2"/>
    <n v="1042.2"/>
    <n v="1042.2"/>
    <n v="658.74"/>
    <x v="0"/>
    <x v="21"/>
    <x v="0"/>
    <x v="0"/>
    <x v="0"/>
    <n v="17.37"/>
    <n v="17.37"/>
    <n v="17.37"/>
    <n v="1042.2"/>
    <n v="1042.2"/>
    <n v="1042.2"/>
    <n v="658.74"/>
    <n v="658.74"/>
    <n v="658.74"/>
    <x v="1"/>
    <x v="0"/>
    <x v="0"/>
    <n v="0"/>
    <x v="0"/>
  </r>
  <r>
    <x v="59"/>
    <x v="56"/>
    <n v="7"/>
    <x v="2"/>
    <s v="3ºC"/>
    <x v="0"/>
    <s v="Mineral"/>
    <x v="7"/>
    <s v="3 - Parceria"/>
    <n v="34.049999999999997"/>
    <n v="34.049999999999997"/>
    <n v="0"/>
    <n v="34.049999999999997"/>
    <n v="2553.75"/>
    <n v="2724"/>
    <n v="0"/>
    <n v="2454.91"/>
    <x v="0"/>
    <x v="7"/>
    <x v="0"/>
    <x v="0"/>
    <x v="1"/>
    <n v="34.049999999999997"/>
    <n v="34.049999999999997"/>
    <n v="34.049999999999997"/>
    <n v="2553.75"/>
    <n v="2724"/>
    <n v="2454.91"/>
    <n v="2454.91"/>
    <n v="2454.91"/>
    <n v="2454.91"/>
    <x v="1"/>
    <x v="0"/>
    <x v="0"/>
    <n v="0"/>
    <x v="0"/>
  </r>
  <r>
    <x v="59"/>
    <x v="56"/>
    <n v="8"/>
    <x v="2"/>
    <s v="3ºC"/>
    <x v="0"/>
    <s v="Mineral"/>
    <x v="1"/>
    <s v="3 - Parceria"/>
    <n v="9.9600000000000009"/>
    <n v="9.9600000000000009"/>
    <n v="9.9600000000000009"/>
    <n v="9.9600000000000009"/>
    <n v="597.6"/>
    <n v="597.6"/>
    <n v="597.6"/>
    <n v="378.46"/>
    <x v="0"/>
    <x v="21"/>
    <x v="0"/>
    <x v="0"/>
    <x v="0"/>
    <n v="9.9600000000000009"/>
    <n v="9.9600000000000009"/>
    <n v="9.9600000000000009"/>
    <n v="597.6"/>
    <n v="597.6"/>
    <n v="597.6"/>
    <n v="378.46"/>
    <n v="378.46"/>
    <n v="378.46"/>
    <x v="1"/>
    <x v="0"/>
    <x v="0"/>
    <n v="0"/>
    <x v="0"/>
  </r>
  <r>
    <x v="59"/>
    <x v="56"/>
    <n v="63"/>
    <x v="5"/>
    <s v="2ºC"/>
    <x v="0"/>
    <s v="Mineral"/>
    <x v="7"/>
    <s v="3 - Parceria"/>
    <n v="4.57"/>
    <n v="0"/>
    <n v="0"/>
    <n v="4.57"/>
    <n v="265.06"/>
    <n v="0"/>
    <n v="0"/>
    <n v="580.24"/>
    <x v="0"/>
    <x v="29"/>
    <x v="0"/>
    <x v="1"/>
    <x v="1"/>
    <n v="4.57"/>
    <n v="4.57"/>
    <n v="4.57"/>
    <n v="265.06"/>
    <n v="580.24"/>
    <n v="580.24"/>
    <n v="580.24"/>
    <n v="580.24"/>
    <n v="580.24"/>
    <x v="1"/>
    <x v="0"/>
    <x v="0"/>
    <n v="0"/>
    <x v="0"/>
  </r>
  <r>
    <x v="59"/>
    <x v="56"/>
    <n v="64"/>
    <x v="5"/>
    <s v="2ºC"/>
    <x v="0"/>
    <s v="Mineral"/>
    <x v="7"/>
    <s v="3 - Parceria"/>
    <n v="18.14"/>
    <n v="0"/>
    <n v="0"/>
    <n v="18.14"/>
    <n v="1052.1199999999999"/>
    <n v="0"/>
    <n v="0"/>
    <n v="1242.67"/>
    <x v="0"/>
    <x v="29"/>
    <x v="0"/>
    <x v="1"/>
    <x v="1"/>
    <n v="18.14"/>
    <n v="18.14"/>
    <n v="18.14"/>
    <n v="1052.1199999999999"/>
    <n v="1242.67"/>
    <n v="1242.67"/>
    <n v="1242.67"/>
    <n v="1242.67"/>
    <n v="1242.67"/>
    <x v="1"/>
    <x v="0"/>
    <x v="0"/>
    <n v="0"/>
    <x v="0"/>
  </r>
  <r>
    <x v="59"/>
    <x v="56"/>
    <n v="65"/>
    <x v="5"/>
    <s v="2ºC"/>
    <x v="0"/>
    <s v="Mineral"/>
    <x v="7"/>
    <s v="3 - Parceria"/>
    <n v="24.84"/>
    <n v="0"/>
    <n v="0"/>
    <n v="24.84"/>
    <n v="1440.72"/>
    <n v="0"/>
    <n v="0"/>
    <n v="1702.19"/>
    <x v="0"/>
    <x v="29"/>
    <x v="0"/>
    <x v="1"/>
    <x v="1"/>
    <n v="24.84"/>
    <n v="24.84"/>
    <n v="24.84"/>
    <n v="1440.72"/>
    <n v="1702.19"/>
    <n v="1702.19"/>
    <n v="1702.19"/>
    <n v="1702.19"/>
    <n v="1702.19"/>
    <x v="1"/>
    <x v="0"/>
    <x v="0"/>
    <n v="0"/>
    <x v="0"/>
  </r>
  <r>
    <x v="59"/>
    <x v="56"/>
    <n v="66"/>
    <x v="5"/>
    <s v="2ºC"/>
    <x v="0"/>
    <s v="Mineral"/>
    <x v="7"/>
    <s v="3 - Parceria"/>
    <n v="13.84"/>
    <n v="0"/>
    <n v="0"/>
    <n v="13.84"/>
    <n v="802.72"/>
    <n v="0"/>
    <n v="0"/>
    <n v="948.71"/>
    <x v="0"/>
    <x v="29"/>
    <x v="0"/>
    <x v="1"/>
    <x v="1"/>
    <n v="13.84"/>
    <n v="13.84"/>
    <n v="13.84"/>
    <n v="802.72"/>
    <n v="948.71"/>
    <n v="948.71"/>
    <n v="948.71"/>
    <n v="948.71"/>
    <n v="948.71"/>
    <x v="1"/>
    <x v="0"/>
    <x v="0"/>
    <n v="0"/>
    <x v="0"/>
  </r>
  <r>
    <x v="59"/>
    <x v="56"/>
    <n v="83"/>
    <x v="2"/>
    <s v="3ºC"/>
    <x v="0"/>
    <s v="Mineral"/>
    <x v="3"/>
    <s v="3 - Parceria"/>
    <n v="3.93"/>
    <n v="0"/>
    <n v="0"/>
    <n v="3.93"/>
    <n v="227.94"/>
    <n v="0"/>
    <n v="0"/>
    <n v="442.39"/>
    <x v="0"/>
    <x v="29"/>
    <x v="0"/>
    <x v="1"/>
    <x v="1"/>
    <n v="3.93"/>
    <n v="3.93"/>
    <n v="3.93"/>
    <n v="227.94"/>
    <n v="442.39"/>
    <n v="442.39"/>
    <n v="442.39"/>
    <n v="442.39"/>
    <n v="442.39"/>
    <x v="1"/>
    <x v="0"/>
    <x v="0"/>
    <n v="0"/>
    <x v="0"/>
  </r>
  <r>
    <x v="60"/>
    <x v="57"/>
    <n v="5"/>
    <x v="2"/>
    <s v="3ºC"/>
    <x v="0"/>
    <s v="Mineral"/>
    <x v="13"/>
    <s v="3 - Parceria"/>
    <n v="15.25"/>
    <n v="15.25"/>
    <n v="15.25"/>
    <n v="15.25"/>
    <n v="1220"/>
    <n v="1220"/>
    <n v="1220"/>
    <n v="1181.1300000000001"/>
    <x v="0"/>
    <x v="12"/>
    <x v="0"/>
    <x v="0"/>
    <x v="0"/>
    <n v="15.25"/>
    <n v="15.25"/>
    <n v="15.25"/>
    <n v="1220"/>
    <n v="1220"/>
    <n v="1220"/>
    <n v="1181.1300000000001"/>
    <n v="1181.1300000000001"/>
    <n v="1181.1300000000001"/>
    <x v="1"/>
    <x v="0"/>
    <x v="0"/>
    <n v="0"/>
    <x v="0"/>
  </r>
  <r>
    <x v="60"/>
    <x v="57"/>
    <n v="6"/>
    <x v="2"/>
    <s v="3ºC"/>
    <x v="0"/>
    <s v="Mineral"/>
    <x v="13"/>
    <s v="3 - Parceria"/>
    <n v="18.510000000000002"/>
    <n v="18.510000000000002"/>
    <n v="18.510000000000002"/>
    <n v="18.510000000000002"/>
    <n v="1480.8"/>
    <n v="1480.8"/>
    <n v="1480.8"/>
    <n v="1433.84"/>
    <x v="0"/>
    <x v="12"/>
    <x v="0"/>
    <x v="0"/>
    <x v="0"/>
    <n v="18.510000000000002"/>
    <n v="18.510000000000002"/>
    <n v="18.510000000000002"/>
    <n v="1480.8"/>
    <n v="1480.8"/>
    <n v="1480.8"/>
    <n v="1433.84"/>
    <n v="1433.84"/>
    <n v="1433.84"/>
    <x v="0"/>
    <x v="0"/>
    <x v="0"/>
    <n v="0"/>
    <x v="0"/>
  </r>
  <r>
    <x v="60"/>
    <x v="57"/>
    <n v="7"/>
    <x v="2"/>
    <s v="3ºC"/>
    <x v="0"/>
    <s v="Mineral"/>
    <x v="1"/>
    <s v="3 - Parceria"/>
    <n v="20.309999999999999"/>
    <n v="20.309999999999999"/>
    <n v="20.309999999999999"/>
    <n v="20.309999999999999"/>
    <n v="1624.8"/>
    <n v="1624.8"/>
    <n v="1645.11"/>
    <n v="1592.63"/>
    <x v="0"/>
    <x v="12"/>
    <x v="0"/>
    <x v="0"/>
    <x v="0"/>
    <n v="20.309999999999999"/>
    <n v="20.309999999999999"/>
    <n v="20.309999999999999"/>
    <n v="1624.8"/>
    <n v="1624.8"/>
    <n v="1645.11"/>
    <n v="1592.63"/>
    <n v="1592.63"/>
    <n v="1592.63"/>
    <x v="0"/>
    <x v="0"/>
    <x v="0"/>
    <n v="0"/>
    <x v="0"/>
  </r>
  <r>
    <x v="60"/>
    <x v="57"/>
    <n v="8"/>
    <x v="2"/>
    <s v="3ºC"/>
    <x v="0"/>
    <s v="Mineral"/>
    <x v="1"/>
    <s v="3 - Parceria"/>
    <n v="22.94"/>
    <n v="22.94"/>
    <n v="22.94"/>
    <n v="22.94"/>
    <n v="1651.68"/>
    <n v="1835.2"/>
    <n v="1858.14"/>
    <n v="1799.26"/>
    <x v="0"/>
    <x v="12"/>
    <x v="0"/>
    <x v="0"/>
    <x v="0"/>
    <n v="22.94"/>
    <n v="22.94"/>
    <n v="22.94"/>
    <n v="1651.68"/>
    <n v="1835.2"/>
    <n v="1858.14"/>
    <n v="1799.26"/>
    <n v="1799.26"/>
    <n v="1799.26"/>
    <x v="0"/>
    <x v="0"/>
    <x v="0"/>
    <n v="0"/>
    <x v="0"/>
  </r>
  <r>
    <x v="60"/>
    <x v="57"/>
    <n v="9"/>
    <x v="2"/>
    <s v="3ºC"/>
    <x v="0"/>
    <s v="Mineral"/>
    <x v="1"/>
    <s v="3 - Parceria"/>
    <n v="33.28"/>
    <n v="33.28"/>
    <n v="33.28"/>
    <n v="33.28"/>
    <n v="2396.16"/>
    <n v="2396.16"/>
    <n v="2429.44"/>
    <n v="2629.87"/>
    <x v="0"/>
    <x v="21"/>
    <x v="0"/>
    <x v="0"/>
    <x v="0"/>
    <n v="33.28"/>
    <n v="33.28"/>
    <n v="33.28"/>
    <n v="2396.16"/>
    <n v="2396.16"/>
    <n v="2429.44"/>
    <n v="2629.87"/>
    <n v="2629.87"/>
    <n v="2629.87"/>
    <x v="0"/>
    <x v="0"/>
    <x v="0"/>
    <n v="0"/>
    <x v="0"/>
  </r>
  <r>
    <x v="61"/>
    <x v="58"/>
    <n v="1"/>
    <x v="5"/>
    <s v="2ºC"/>
    <x v="0"/>
    <s v="Mineral"/>
    <x v="13"/>
    <s v="3 - Parceria"/>
    <n v="8.91"/>
    <n v="8.91"/>
    <n v="8.91"/>
    <n v="8.91"/>
    <n v="712.8"/>
    <n v="605.88"/>
    <n v="605.88"/>
    <n v="862.67"/>
    <x v="0"/>
    <x v="2"/>
    <x v="0"/>
    <x v="0"/>
    <x v="0"/>
    <n v="8.91"/>
    <n v="8.91"/>
    <n v="8.91"/>
    <n v="712.8"/>
    <n v="605.88"/>
    <n v="605.88"/>
    <n v="862.67"/>
    <n v="862.67"/>
    <n v="862.67"/>
    <x v="0"/>
    <x v="0"/>
    <x v="0"/>
    <n v="0"/>
    <x v="0"/>
  </r>
  <r>
    <x v="61"/>
    <x v="58"/>
    <n v="2"/>
    <x v="5"/>
    <s v="2ºC"/>
    <x v="0"/>
    <s v="Mineral"/>
    <x v="13"/>
    <s v="3 - Parceria"/>
    <n v="0.92"/>
    <n v="0.92"/>
    <n v="0.92"/>
    <n v="0.92"/>
    <n v="73.599999999999994"/>
    <n v="73.599999999999994"/>
    <n v="73.599999999999994"/>
    <n v="101.54"/>
    <x v="0"/>
    <x v="34"/>
    <x v="0"/>
    <x v="0"/>
    <x v="0"/>
    <n v="0.92"/>
    <n v="0.92"/>
    <n v="0.92"/>
    <n v="73.599999999999994"/>
    <n v="73.599999999999994"/>
    <n v="73.599999999999994"/>
    <n v="101.54"/>
    <n v="101.54"/>
    <n v="101.54"/>
    <x v="0"/>
    <x v="2"/>
    <x v="4"/>
    <n v="55.2"/>
    <x v="0"/>
  </r>
  <r>
    <x v="61"/>
    <x v="58"/>
    <n v="3"/>
    <x v="5"/>
    <s v="2ºC"/>
    <x v="0"/>
    <s v="Mineral"/>
    <x v="13"/>
    <s v="3 - Parceria"/>
    <n v="4.6399999999999997"/>
    <n v="4.6399999999999997"/>
    <n v="4.6399999999999997"/>
    <n v="4.6399999999999997"/>
    <n v="371.2"/>
    <n v="371.2"/>
    <n v="371.2"/>
    <n v="509.26"/>
    <x v="0"/>
    <x v="34"/>
    <x v="0"/>
    <x v="0"/>
    <x v="0"/>
    <n v="4.6399999999999997"/>
    <n v="4.6399999999999997"/>
    <n v="4.6399999999999997"/>
    <n v="371.2"/>
    <n v="371.2"/>
    <n v="371.2"/>
    <n v="509.26"/>
    <n v="509.26"/>
    <n v="509.26"/>
    <x v="0"/>
    <x v="2"/>
    <x v="4"/>
    <n v="278.39999999999998"/>
    <x v="0"/>
  </r>
  <r>
    <x v="61"/>
    <x v="58"/>
    <n v="4"/>
    <x v="5"/>
    <s v="2ºC"/>
    <x v="0"/>
    <s v="Mineral"/>
    <x v="13"/>
    <s v="3 - Parceria"/>
    <n v="7.87"/>
    <n v="7.87"/>
    <n v="7.87"/>
    <n v="7.87"/>
    <n v="629.6"/>
    <n v="629.6"/>
    <n v="629.6"/>
    <n v="864.81"/>
    <x v="0"/>
    <x v="34"/>
    <x v="0"/>
    <x v="0"/>
    <x v="0"/>
    <n v="7.87"/>
    <n v="7.87"/>
    <n v="7.87"/>
    <n v="629.6"/>
    <n v="629.6"/>
    <n v="629.6"/>
    <n v="864.81"/>
    <n v="864.81"/>
    <n v="864.81"/>
    <x v="0"/>
    <x v="2"/>
    <x v="4"/>
    <n v="472.2"/>
    <x v="0"/>
  </r>
  <r>
    <x v="61"/>
    <x v="58"/>
    <n v="5"/>
    <x v="5"/>
    <s v="2ºC"/>
    <x v="0"/>
    <s v="Mineral"/>
    <x v="13"/>
    <s v="3 - Parceria"/>
    <n v="13.88"/>
    <n v="13.88"/>
    <n v="13.88"/>
    <n v="13.88"/>
    <n v="1110.4000000000001"/>
    <n v="1068.76"/>
    <n v="985.48"/>
    <n v="1352.34"/>
    <x v="0"/>
    <x v="34"/>
    <x v="0"/>
    <x v="0"/>
    <x v="0"/>
    <n v="13.88"/>
    <n v="13.88"/>
    <n v="13.88"/>
    <n v="1110.4000000000001"/>
    <n v="1068.76"/>
    <n v="985.48"/>
    <n v="1352.34"/>
    <n v="1352.34"/>
    <n v="1352.34"/>
    <x v="0"/>
    <x v="2"/>
    <x v="4"/>
    <n v="832.80000000000007"/>
    <x v="0"/>
  </r>
  <r>
    <x v="61"/>
    <x v="58"/>
    <n v="6"/>
    <x v="5"/>
    <s v="2ºC"/>
    <x v="0"/>
    <s v="Mineral"/>
    <x v="13"/>
    <s v="3 - Parceria"/>
    <n v="31.62"/>
    <n v="31.62"/>
    <n v="31.62"/>
    <n v="31.62"/>
    <n v="2529.6"/>
    <n v="2561.2199999999998"/>
    <n v="2529.6"/>
    <n v="2498.85"/>
    <x v="0"/>
    <x v="34"/>
    <x v="0"/>
    <x v="0"/>
    <x v="0"/>
    <n v="31.62"/>
    <n v="31.62"/>
    <n v="31.62"/>
    <n v="2529.6"/>
    <n v="2561.2199999999998"/>
    <n v="2529.6"/>
    <n v="2498.85"/>
    <n v="2498.85"/>
    <n v="2498.85"/>
    <x v="0"/>
    <x v="2"/>
    <x v="4"/>
    <n v="1897.2"/>
    <x v="0"/>
  </r>
  <r>
    <x v="62"/>
    <x v="59"/>
    <n v="23"/>
    <x v="5"/>
    <s v="2ºC"/>
    <x v="0"/>
    <s v="Mineral"/>
    <x v="1"/>
    <s v="3 - Parceria"/>
    <n v="8.7100000000000009"/>
    <n v="8.7100000000000009"/>
    <n v="8.7100000000000009"/>
    <n v="8.7100000000000009"/>
    <n v="853.58"/>
    <n v="853.58"/>
    <n v="627.12"/>
    <n v="463.89"/>
    <x v="0"/>
    <x v="20"/>
    <x v="0"/>
    <x v="0"/>
    <x v="0"/>
    <n v="8.7100000000000009"/>
    <n v="8.7100000000000009"/>
    <n v="8.7100000000000009"/>
    <n v="853.58"/>
    <n v="853.58"/>
    <n v="627.12"/>
    <n v="463.89"/>
    <n v="463.89"/>
    <n v="463.89"/>
    <x v="1"/>
    <x v="0"/>
    <x v="0"/>
    <n v="0"/>
    <x v="0"/>
  </r>
  <r>
    <x v="62"/>
    <x v="59"/>
    <n v="24"/>
    <x v="5"/>
    <s v="2ºC"/>
    <x v="0"/>
    <s v="Mineral"/>
    <x v="1"/>
    <s v="3 - Parceria"/>
    <n v="4.59"/>
    <n v="4.59"/>
    <n v="4.59"/>
    <n v="4.59"/>
    <n v="449.82"/>
    <n v="449.82"/>
    <n v="330.48"/>
    <n v="244.14"/>
    <x v="0"/>
    <x v="20"/>
    <x v="0"/>
    <x v="0"/>
    <x v="0"/>
    <n v="4.59"/>
    <n v="4.59"/>
    <n v="4.59"/>
    <n v="449.82"/>
    <n v="449.82"/>
    <n v="330.48"/>
    <n v="244.14"/>
    <n v="244.14"/>
    <n v="244.14"/>
    <x v="1"/>
    <x v="0"/>
    <x v="0"/>
    <n v="0"/>
    <x v="0"/>
  </r>
  <r>
    <x v="62"/>
    <x v="59"/>
    <n v="25"/>
    <x v="5"/>
    <s v="2ºC"/>
    <x v="0"/>
    <s v="Mineral"/>
    <x v="1"/>
    <s v="3 - Parceria"/>
    <n v="8.34"/>
    <n v="8.34"/>
    <n v="8.34"/>
    <n v="8.34"/>
    <n v="750.6"/>
    <n v="750.6"/>
    <n v="600.48"/>
    <n v="443.98"/>
    <x v="0"/>
    <x v="20"/>
    <x v="0"/>
    <x v="0"/>
    <x v="0"/>
    <n v="8.34"/>
    <n v="8.34"/>
    <n v="8.34"/>
    <n v="750.6"/>
    <n v="750.6"/>
    <n v="600.48"/>
    <n v="443.98"/>
    <n v="443.98"/>
    <n v="443.98"/>
    <x v="1"/>
    <x v="0"/>
    <x v="0"/>
    <n v="0"/>
    <x v="0"/>
  </r>
  <r>
    <x v="63"/>
    <x v="60"/>
    <n v="1"/>
    <x v="3"/>
    <s v="INV"/>
    <x v="0"/>
    <s v="Mineral"/>
    <x v="1"/>
    <s v="3 - Parceria"/>
    <n v="43.18"/>
    <n v="43.18"/>
    <n v="43.18"/>
    <n v="43.18"/>
    <n v="4836.16"/>
    <n v="4836.16"/>
    <n v="4836.16"/>
    <n v="3208.33"/>
    <x v="0"/>
    <x v="34"/>
    <x v="0"/>
    <x v="0"/>
    <x v="0"/>
    <n v="43.18"/>
    <n v="43.18"/>
    <n v="43.18"/>
    <n v="4836.16"/>
    <n v="4836.16"/>
    <n v="4836.16"/>
    <n v="3208.33"/>
    <n v="3208.33"/>
    <n v="3208.33"/>
    <x v="1"/>
    <x v="0"/>
    <x v="0"/>
    <n v="0"/>
    <x v="0"/>
  </r>
  <r>
    <x v="63"/>
    <x v="60"/>
    <n v="2"/>
    <x v="3"/>
    <s v="INV"/>
    <x v="0"/>
    <s v="Mineral"/>
    <x v="1"/>
    <s v="3 - Parceria"/>
    <n v="54.56"/>
    <n v="54.56"/>
    <n v="54.56"/>
    <n v="54.56"/>
    <n v="6438.08"/>
    <n v="6438.08"/>
    <n v="6219.84"/>
    <n v="4126.7700000000004"/>
    <x v="0"/>
    <x v="34"/>
    <x v="0"/>
    <x v="0"/>
    <x v="0"/>
    <n v="54.56"/>
    <n v="54.56"/>
    <n v="54.56"/>
    <n v="6438.08"/>
    <n v="6438.08"/>
    <n v="6219.84"/>
    <n v="4126.7700000000004"/>
    <n v="4126.7700000000004"/>
    <n v="4126.7700000000004"/>
    <x v="1"/>
    <x v="0"/>
    <x v="0"/>
    <n v="0"/>
    <x v="0"/>
  </r>
  <r>
    <x v="63"/>
    <x v="60"/>
    <n v="3"/>
    <x v="3"/>
    <s v="INV"/>
    <x v="0"/>
    <s v="Mineral"/>
    <x v="1"/>
    <s v="3 - Parceria"/>
    <n v="21.7"/>
    <n v="21.7"/>
    <n v="21.7"/>
    <n v="21.7"/>
    <n v="2517.1999999999998"/>
    <n v="2517.1999999999998"/>
    <n v="2473.8000000000002"/>
    <n v="2548.4899999999998"/>
    <x v="0"/>
    <x v="34"/>
    <x v="0"/>
    <x v="0"/>
    <x v="0"/>
    <n v="21.7"/>
    <n v="21.7"/>
    <n v="21.7"/>
    <n v="2517.1999999999998"/>
    <n v="2517.1999999999998"/>
    <n v="2473.8000000000002"/>
    <n v="2548.4899999999998"/>
    <n v="2548.4899999999998"/>
    <n v="2548.4899999999998"/>
    <x v="1"/>
    <x v="0"/>
    <x v="0"/>
    <n v="0"/>
    <x v="0"/>
  </r>
  <r>
    <x v="64"/>
    <x v="61"/>
    <n v="1"/>
    <x v="5"/>
    <s v="2ºC"/>
    <x v="0"/>
    <s v="Mineral"/>
    <x v="13"/>
    <s v="3 - Parceria"/>
    <n v="26.67"/>
    <n v="26.67"/>
    <n v="26.67"/>
    <n v="26.67"/>
    <n v="1973.58"/>
    <n v="1600.2"/>
    <n v="1600.2"/>
    <n v="1481.13"/>
    <x v="0"/>
    <x v="20"/>
    <x v="0"/>
    <x v="0"/>
    <x v="0"/>
    <n v="26.67"/>
    <n v="26.67"/>
    <n v="26.67"/>
    <n v="1973.58"/>
    <n v="1600.2"/>
    <n v="1600.2"/>
    <n v="1481.13"/>
    <n v="1481.13"/>
    <n v="1481.13"/>
    <x v="0"/>
    <x v="0"/>
    <x v="0"/>
    <n v="0"/>
    <x v="0"/>
  </r>
  <r>
    <x v="64"/>
    <x v="61"/>
    <n v="2"/>
    <x v="5"/>
    <s v="2ºC"/>
    <x v="0"/>
    <s v="Mineral"/>
    <x v="13"/>
    <s v="3 - Parceria"/>
    <n v="7.29"/>
    <n v="7.29"/>
    <n v="7.29"/>
    <n v="7.29"/>
    <n v="539.46"/>
    <n v="539.46"/>
    <n v="539.46"/>
    <n v="570.84"/>
    <x v="0"/>
    <x v="20"/>
    <x v="0"/>
    <x v="0"/>
    <x v="0"/>
    <n v="7.29"/>
    <n v="7.29"/>
    <n v="7.29"/>
    <n v="539.46"/>
    <n v="539.46"/>
    <n v="539.46"/>
    <n v="570.84"/>
    <n v="570.84"/>
    <n v="570.84"/>
    <x v="1"/>
    <x v="0"/>
    <x v="0"/>
    <n v="0"/>
    <x v="0"/>
  </r>
  <r>
    <x v="64"/>
    <x v="61"/>
    <n v="3"/>
    <x v="5"/>
    <s v="2ºC"/>
    <x v="0"/>
    <s v="Mineral"/>
    <x v="13"/>
    <s v="3 - Parceria"/>
    <n v="10.74"/>
    <n v="10.74"/>
    <n v="0"/>
    <n v="10.74"/>
    <n v="794.76"/>
    <n v="794.76"/>
    <n v="0"/>
    <n v="367.44"/>
    <x v="0"/>
    <x v="11"/>
    <x v="0"/>
    <x v="0"/>
    <x v="1"/>
    <n v="10.74"/>
    <n v="10.74"/>
    <n v="10.74"/>
    <n v="794.76"/>
    <n v="794.76"/>
    <n v="367.44"/>
    <n v="367.44"/>
    <n v="367.44"/>
    <n v="367.44"/>
    <x v="1"/>
    <x v="0"/>
    <x v="0"/>
    <n v="0"/>
    <x v="0"/>
  </r>
  <r>
    <x v="64"/>
    <x v="61"/>
    <n v="4"/>
    <x v="5"/>
    <s v="2ºC"/>
    <x v="0"/>
    <s v="Mineral"/>
    <x v="13"/>
    <s v="3 - Parceria"/>
    <n v="28.77"/>
    <n v="28.77"/>
    <n v="28.77"/>
    <n v="28.77"/>
    <n v="2128.98"/>
    <n v="1783.74"/>
    <n v="1754.97"/>
    <n v="1098.01"/>
    <x v="0"/>
    <x v="20"/>
    <x v="0"/>
    <x v="0"/>
    <x v="0"/>
    <n v="28.77"/>
    <n v="28.77"/>
    <n v="28.77"/>
    <n v="2128.98"/>
    <n v="1783.74"/>
    <n v="1754.97"/>
    <n v="1098.01"/>
    <n v="1098.01"/>
    <n v="1098.01"/>
    <x v="0"/>
    <x v="0"/>
    <x v="0"/>
    <n v="0"/>
    <x v="0"/>
  </r>
  <r>
    <x v="64"/>
    <x v="61"/>
    <n v="5"/>
    <x v="5"/>
    <s v="2ºC"/>
    <x v="0"/>
    <s v="Mineral"/>
    <x v="13"/>
    <s v="3 - Parceria"/>
    <n v="22.29"/>
    <n v="22.29"/>
    <n v="22.29"/>
    <n v="22.29"/>
    <n v="1916.94"/>
    <n v="1916.94"/>
    <n v="1783.2"/>
    <n v="1806.7"/>
    <x v="0"/>
    <x v="20"/>
    <x v="0"/>
    <x v="0"/>
    <x v="0"/>
    <n v="22.29"/>
    <n v="22.29"/>
    <n v="22.29"/>
    <n v="1916.94"/>
    <n v="1916.94"/>
    <n v="1783.2"/>
    <n v="1806.7"/>
    <n v="1806.7"/>
    <n v="1806.7"/>
    <x v="1"/>
    <x v="0"/>
    <x v="0"/>
    <n v="0"/>
    <x v="0"/>
  </r>
  <r>
    <x v="64"/>
    <x v="61"/>
    <n v="6"/>
    <x v="5"/>
    <s v="2ºC"/>
    <x v="0"/>
    <s v="Mineral"/>
    <x v="13"/>
    <s v="3 - Parceria"/>
    <n v="14.25"/>
    <n v="14.25"/>
    <n v="14.25"/>
    <n v="14.25"/>
    <n v="1225.5"/>
    <n v="1225.5"/>
    <n v="1140"/>
    <n v="1155.1300000000001"/>
    <x v="0"/>
    <x v="20"/>
    <x v="0"/>
    <x v="0"/>
    <x v="0"/>
    <n v="14.25"/>
    <n v="14.25"/>
    <n v="14.25"/>
    <n v="1225.5"/>
    <n v="1225.5"/>
    <n v="1140"/>
    <n v="1155.1300000000001"/>
    <n v="1155.1300000000001"/>
    <n v="1155.1300000000001"/>
    <x v="1"/>
    <x v="0"/>
    <x v="0"/>
    <n v="0"/>
    <x v="0"/>
  </r>
  <r>
    <x v="64"/>
    <x v="61"/>
    <n v="7"/>
    <x v="5"/>
    <s v="2ºC"/>
    <x v="0"/>
    <s v="Mineral"/>
    <x v="13"/>
    <s v="3 - Parceria"/>
    <n v="28.3"/>
    <n v="28.3"/>
    <n v="28.3"/>
    <n v="28.3"/>
    <n v="2433.8000000000002"/>
    <n v="2433.8000000000002"/>
    <n v="2433.8000000000002"/>
    <n v="2466.41"/>
    <x v="0"/>
    <x v="20"/>
    <x v="0"/>
    <x v="0"/>
    <x v="0"/>
    <n v="28.3"/>
    <n v="28.3"/>
    <n v="28.3"/>
    <n v="2433.8000000000002"/>
    <n v="2433.8000000000002"/>
    <n v="2433.8000000000002"/>
    <n v="2466.41"/>
    <n v="2466.41"/>
    <n v="2466.41"/>
    <x v="1"/>
    <x v="0"/>
    <x v="0"/>
    <n v="0"/>
    <x v="0"/>
  </r>
  <r>
    <x v="64"/>
    <x v="61"/>
    <n v="8"/>
    <x v="5"/>
    <s v="2ºC"/>
    <x v="0"/>
    <s v="Mineral"/>
    <x v="13"/>
    <s v="3 - Parceria"/>
    <n v="5.75"/>
    <n v="5.75"/>
    <n v="0"/>
    <n v="5.75"/>
    <n v="494.5"/>
    <n v="494.5"/>
    <n v="0"/>
    <n v="700.04"/>
    <x v="0"/>
    <x v="17"/>
    <x v="0"/>
    <x v="0"/>
    <x v="1"/>
    <n v="5.75"/>
    <n v="5.75"/>
    <n v="5.75"/>
    <n v="494.5"/>
    <n v="494.5"/>
    <n v="700.04"/>
    <n v="700.04"/>
    <n v="700.04"/>
    <n v="700.04"/>
    <x v="1"/>
    <x v="0"/>
    <x v="0"/>
    <n v="0"/>
    <x v="0"/>
  </r>
  <r>
    <x v="64"/>
    <x v="61"/>
    <n v="9"/>
    <x v="5"/>
    <s v="2ºC"/>
    <x v="0"/>
    <s v="Mineral"/>
    <x v="13"/>
    <s v="3 - Parceria"/>
    <n v="2.41"/>
    <n v="2.41"/>
    <n v="0"/>
    <n v="2.41"/>
    <n v="207.26"/>
    <n v="192.8"/>
    <n v="0"/>
    <n v="272.97000000000003"/>
    <x v="0"/>
    <x v="17"/>
    <x v="0"/>
    <x v="0"/>
    <x v="1"/>
    <n v="2.41"/>
    <n v="2.41"/>
    <n v="2.41"/>
    <n v="207.26"/>
    <n v="192.8"/>
    <n v="272.97000000000003"/>
    <n v="272.97000000000003"/>
    <n v="272.97000000000003"/>
    <n v="272.97000000000003"/>
    <x v="1"/>
    <x v="0"/>
    <x v="0"/>
    <n v="0"/>
    <x v="0"/>
  </r>
  <r>
    <x v="64"/>
    <x v="61"/>
    <n v="10"/>
    <x v="5"/>
    <s v="2ºC"/>
    <x v="0"/>
    <s v="Mineral"/>
    <x v="13"/>
    <s v="3 - Parceria"/>
    <n v="1.56"/>
    <n v="1.56"/>
    <n v="1.56"/>
    <n v="1.56"/>
    <n v="134.16"/>
    <n v="124.8"/>
    <n v="124.8"/>
    <n v="126.93"/>
    <x v="0"/>
    <x v="20"/>
    <x v="0"/>
    <x v="0"/>
    <x v="0"/>
    <n v="1.56"/>
    <n v="1.56"/>
    <n v="1.56"/>
    <n v="134.16"/>
    <n v="124.8"/>
    <n v="124.8"/>
    <n v="126.93"/>
    <n v="126.93"/>
    <n v="126.93"/>
    <x v="1"/>
    <x v="0"/>
    <x v="0"/>
    <n v="0"/>
    <x v="0"/>
  </r>
  <r>
    <x v="65"/>
    <x v="62"/>
    <n v="1"/>
    <x v="5"/>
    <s v="2ºC"/>
    <x v="0"/>
    <s v="Mineral"/>
    <x v="13"/>
    <s v="3 - Parceria"/>
    <n v="18.760000000000002"/>
    <n v="18.760000000000002"/>
    <n v="18.760000000000002"/>
    <n v="18.760000000000002"/>
    <n v="1632.12"/>
    <n v="1650.88"/>
    <n v="1650.88"/>
    <n v="1699.93"/>
    <x v="0"/>
    <x v="34"/>
    <x v="0"/>
    <x v="0"/>
    <x v="0"/>
    <n v="18.760000000000002"/>
    <n v="18.760000000000002"/>
    <n v="18.760000000000002"/>
    <n v="1632.12"/>
    <n v="1650.88"/>
    <n v="1650.88"/>
    <n v="1699.93"/>
    <n v="1699.93"/>
    <n v="1699.93"/>
    <x v="1"/>
    <x v="0"/>
    <x v="0"/>
    <n v="0"/>
    <x v="0"/>
  </r>
  <r>
    <x v="65"/>
    <x v="62"/>
    <n v="2"/>
    <x v="5"/>
    <s v="2ºC"/>
    <x v="0"/>
    <s v="Mineral"/>
    <x v="13"/>
    <s v="3 - Parceria"/>
    <n v="9.5500000000000007"/>
    <n v="9.5500000000000007"/>
    <n v="9.5500000000000007"/>
    <n v="9.5500000000000007"/>
    <n v="830.85"/>
    <n v="744.9"/>
    <n v="744.9"/>
    <n v="767.14"/>
    <x v="0"/>
    <x v="34"/>
    <x v="0"/>
    <x v="0"/>
    <x v="0"/>
    <n v="9.5500000000000007"/>
    <n v="9.5500000000000007"/>
    <n v="9.5500000000000007"/>
    <n v="830.85"/>
    <n v="744.9"/>
    <n v="744.9"/>
    <n v="767.14"/>
    <n v="767.14"/>
    <n v="767.14"/>
    <x v="0"/>
    <x v="0"/>
    <x v="0"/>
    <n v="0"/>
    <x v="0"/>
  </r>
  <r>
    <x v="66"/>
    <x v="8"/>
    <n v="4"/>
    <x v="2"/>
    <s v="3ºC"/>
    <x v="0"/>
    <s v="Mineral"/>
    <x v="11"/>
    <s v="3 - Parceria"/>
    <n v="19.04"/>
    <n v="19.04"/>
    <n v="0"/>
    <n v="19.04"/>
    <n v="1447.04"/>
    <n v="1447.04"/>
    <n v="0"/>
    <n v="1475.82"/>
    <x v="0"/>
    <x v="10"/>
    <x v="0"/>
    <x v="0"/>
    <x v="1"/>
    <n v="19.04"/>
    <n v="19.04"/>
    <n v="19.04"/>
    <n v="1447.04"/>
    <n v="1447.04"/>
    <n v="1475.82"/>
    <n v="1475.82"/>
    <n v="1475.82"/>
    <n v="1475.82"/>
    <x v="1"/>
    <x v="0"/>
    <x v="0"/>
    <n v="0"/>
    <x v="0"/>
  </r>
  <r>
    <x v="66"/>
    <x v="8"/>
    <n v="5"/>
    <x v="2"/>
    <s v="3ºC"/>
    <x v="0"/>
    <s v="Mineral"/>
    <x v="11"/>
    <s v="3 - Parceria"/>
    <n v="27.1"/>
    <n v="27.1"/>
    <n v="0"/>
    <n v="27.1"/>
    <n v="2059.6"/>
    <n v="2059.6"/>
    <n v="0"/>
    <n v="2113.56"/>
    <x v="0"/>
    <x v="10"/>
    <x v="0"/>
    <x v="0"/>
    <x v="1"/>
    <n v="27.1"/>
    <n v="27.1"/>
    <n v="27.1"/>
    <n v="2059.6"/>
    <n v="2059.6"/>
    <n v="2113.56"/>
    <n v="2113.56"/>
    <n v="2113.56"/>
    <n v="2113.56"/>
    <x v="1"/>
    <x v="0"/>
    <x v="0"/>
    <n v="0"/>
    <x v="0"/>
  </r>
  <r>
    <x v="66"/>
    <x v="8"/>
    <n v="6"/>
    <x v="2"/>
    <s v="3ºC"/>
    <x v="0"/>
    <s v="Mineral"/>
    <x v="11"/>
    <s v="3 - Parceria"/>
    <n v="10.08"/>
    <n v="10.08"/>
    <n v="0"/>
    <n v="10.08"/>
    <n v="766.08"/>
    <n v="766.08"/>
    <n v="0"/>
    <n v="785.88"/>
    <x v="0"/>
    <x v="10"/>
    <x v="0"/>
    <x v="0"/>
    <x v="1"/>
    <n v="10.08"/>
    <n v="10.08"/>
    <n v="10.08"/>
    <n v="766.08"/>
    <n v="766.08"/>
    <n v="785.88"/>
    <n v="785.88"/>
    <n v="785.88"/>
    <n v="785.88"/>
    <x v="1"/>
    <x v="0"/>
    <x v="0"/>
    <n v="0"/>
    <x v="0"/>
  </r>
  <r>
    <x v="66"/>
    <x v="8"/>
    <n v="7"/>
    <x v="2"/>
    <s v="3ºC"/>
    <x v="0"/>
    <s v="Mineral"/>
    <x v="11"/>
    <s v="3 - Parceria"/>
    <n v="11.35"/>
    <n v="11.35"/>
    <n v="0"/>
    <n v="11.35"/>
    <n v="862.6"/>
    <n v="862.6"/>
    <n v="0"/>
    <n v="885.57"/>
    <x v="0"/>
    <x v="10"/>
    <x v="0"/>
    <x v="0"/>
    <x v="1"/>
    <n v="11.35"/>
    <n v="11.35"/>
    <n v="11.35"/>
    <n v="862.6"/>
    <n v="862.6"/>
    <n v="885.57"/>
    <n v="885.57"/>
    <n v="885.57"/>
    <n v="885.57"/>
    <x v="1"/>
    <x v="0"/>
    <x v="0"/>
    <n v="0"/>
    <x v="0"/>
  </r>
  <r>
    <x v="67"/>
    <x v="63"/>
    <n v="1"/>
    <x v="5"/>
    <s v="2ºC"/>
    <x v="0"/>
    <s v="Mineral"/>
    <x v="13"/>
    <s v="3 - Parceria"/>
    <n v="8.3000000000000007"/>
    <n v="8.3000000000000007"/>
    <n v="8.3000000000000007"/>
    <n v="8.3000000000000007"/>
    <n v="747"/>
    <n v="680.6"/>
    <n v="680.6"/>
    <n v="741.98"/>
    <x v="0"/>
    <x v="34"/>
    <x v="0"/>
    <x v="0"/>
    <x v="0"/>
    <n v="8.3000000000000007"/>
    <n v="8.3000000000000007"/>
    <n v="8.3000000000000007"/>
    <n v="747"/>
    <n v="680.6"/>
    <n v="680.6"/>
    <n v="741.98"/>
    <n v="741.98"/>
    <n v="741.98"/>
    <x v="0"/>
    <x v="0"/>
    <x v="0"/>
    <n v="0"/>
    <x v="0"/>
  </r>
  <r>
    <x v="67"/>
    <x v="63"/>
    <n v="2"/>
    <x v="5"/>
    <s v="2ºC"/>
    <x v="0"/>
    <s v="Mineral"/>
    <x v="13"/>
    <s v="3 - Parceria"/>
    <n v="7.63"/>
    <n v="7.63"/>
    <n v="7.63"/>
    <n v="7.63"/>
    <n v="686.7"/>
    <n v="694.33"/>
    <n v="694.33"/>
    <n v="756.14"/>
    <x v="0"/>
    <x v="34"/>
    <x v="0"/>
    <x v="0"/>
    <x v="0"/>
    <n v="7.63"/>
    <n v="7.63"/>
    <n v="7.63"/>
    <n v="686.7"/>
    <n v="694.33"/>
    <n v="694.33"/>
    <n v="756.14"/>
    <n v="756.14"/>
    <n v="756.14"/>
    <x v="1"/>
    <x v="0"/>
    <x v="0"/>
    <n v="0"/>
    <x v="0"/>
  </r>
  <r>
    <x v="67"/>
    <x v="63"/>
    <n v="3"/>
    <x v="5"/>
    <s v="2ºC"/>
    <x v="0"/>
    <s v="Mineral"/>
    <x v="13"/>
    <s v="3 - Parceria"/>
    <n v="8.8000000000000007"/>
    <n v="8.8000000000000007"/>
    <n v="8.8000000000000007"/>
    <n v="8.8000000000000007"/>
    <n v="792"/>
    <n v="800.8"/>
    <n v="800.8"/>
    <n v="872.74"/>
    <x v="0"/>
    <x v="34"/>
    <x v="0"/>
    <x v="0"/>
    <x v="0"/>
    <n v="8.8000000000000007"/>
    <n v="8.8000000000000007"/>
    <n v="8.8000000000000007"/>
    <n v="792"/>
    <n v="800.8"/>
    <n v="800.8"/>
    <n v="872.74"/>
    <n v="872.74"/>
    <n v="872.74"/>
    <x v="1"/>
    <x v="0"/>
    <x v="0"/>
    <n v="0"/>
    <x v="0"/>
  </r>
  <r>
    <x v="67"/>
    <x v="63"/>
    <n v="4"/>
    <x v="5"/>
    <s v="2ºC"/>
    <x v="0"/>
    <s v="Mineral"/>
    <x v="13"/>
    <s v="3 - Parceria"/>
    <n v="8.34"/>
    <n v="8.34"/>
    <n v="8.34"/>
    <n v="8.34"/>
    <n v="750.6"/>
    <n v="667.2"/>
    <n v="667.2"/>
    <n v="726.92"/>
    <x v="0"/>
    <x v="34"/>
    <x v="0"/>
    <x v="0"/>
    <x v="0"/>
    <n v="8.34"/>
    <n v="8.34"/>
    <n v="8.34"/>
    <n v="750.6"/>
    <n v="667.2"/>
    <n v="667.2"/>
    <n v="726.92"/>
    <n v="726.92"/>
    <n v="726.92"/>
    <x v="0"/>
    <x v="0"/>
    <x v="0"/>
    <n v="0"/>
    <x v="0"/>
  </r>
  <r>
    <x v="68"/>
    <x v="64"/>
    <n v="1"/>
    <x v="5"/>
    <s v="2ºC"/>
    <x v="0"/>
    <s v="Fertirrigação"/>
    <x v="14"/>
    <s v="3 - Parceria"/>
    <n v="38.520000000000003"/>
    <n v="0"/>
    <n v="0"/>
    <n v="38.520000000000003"/>
    <n v="3274.2"/>
    <n v="0"/>
    <n v="0"/>
    <n v="3411.35"/>
    <x v="0"/>
    <x v="5"/>
    <x v="0"/>
    <x v="1"/>
    <x v="1"/>
    <n v="38.520000000000003"/>
    <n v="38.520000000000003"/>
    <n v="38.520000000000003"/>
    <n v="3274.2"/>
    <n v="3411.35"/>
    <n v="3411.35"/>
    <n v="3411.35"/>
    <n v="3411.35"/>
    <n v="3411.35"/>
    <x v="1"/>
    <x v="1"/>
    <x v="0"/>
    <n v="0"/>
    <x v="0"/>
  </r>
  <r>
    <x v="68"/>
    <x v="64"/>
    <n v="2"/>
    <x v="5"/>
    <s v="2ºC"/>
    <x v="0"/>
    <s v="Fertirrigação"/>
    <x v="14"/>
    <s v="3 - Parceria"/>
    <n v="1.1100000000000001"/>
    <n v="0"/>
    <n v="0"/>
    <n v="1.1100000000000001"/>
    <n v="94.35"/>
    <n v="0"/>
    <n v="0"/>
    <n v="98.64"/>
    <x v="0"/>
    <x v="5"/>
    <x v="0"/>
    <x v="1"/>
    <x v="1"/>
    <n v="1.1100000000000001"/>
    <n v="1.1100000000000001"/>
    <n v="1.1100000000000001"/>
    <n v="94.35"/>
    <n v="98.64"/>
    <n v="98.64"/>
    <n v="98.64"/>
    <n v="98.64"/>
    <n v="98.64"/>
    <x v="1"/>
    <x v="1"/>
    <x v="0"/>
    <n v="0"/>
    <x v="0"/>
  </r>
  <r>
    <x v="68"/>
    <x v="64"/>
    <n v="3"/>
    <x v="5"/>
    <s v="2ºC"/>
    <x v="0"/>
    <s v="Fertirrigação"/>
    <x v="14"/>
    <s v="3 - Parceria"/>
    <n v="13.24"/>
    <n v="0"/>
    <n v="0"/>
    <n v="13.24"/>
    <n v="1125.4000000000001"/>
    <n v="0"/>
    <n v="0"/>
    <n v="1173.21"/>
    <x v="0"/>
    <x v="5"/>
    <x v="0"/>
    <x v="1"/>
    <x v="1"/>
    <n v="13.24"/>
    <n v="13.24"/>
    <n v="13.24"/>
    <n v="1125.4000000000001"/>
    <n v="1173.21"/>
    <n v="1173.21"/>
    <n v="1173.21"/>
    <n v="1173.21"/>
    <n v="1173.21"/>
    <x v="1"/>
    <x v="1"/>
    <x v="0"/>
    <n v="0"/>
    <x v="0"/>
  </r>
  <r>
    <x v="68"/>
    <x v="64"/>
    <n v="4"/>
    <x v="5"/>
    <s v="2ºC"/>
    <x v="0"/>
    <s v="Fertirrigação"/>
    <x v="14"/>
    <s v="3 - Parceria"/>
    <n v="33.549999999999997"/>
    <n v="0"/>
    <n v="0"/>
    <n v="33.549999999999997"/>
    <n v="2851.75"/>
    <n v="0"/>
    <n v="0"/>
    <n v="2970.63"/>
    <x v="0"/>
    <x v="5"/>
    <x v="0"/>
    <x v="1"/>
    <x v="1"/>
    <n v="33.549999999999997"/>
    <n v="33.549999999999997"/>
    <n v="33.549999999999997"/>
    <n v="2851.75"/>
    <n v="2970.63"/>
    <n v="2970.63"/>
    <n v="2970.63"/>
    <n v="2970.63"/>
    <n v="2970.63"/>
    <x v="1"/>
    <x v="1"/>
    <x v="0"/>
    <n v="0"/>
    <x v="0"/>
  </r>
  <r>
    <x v="68"/>
    <x v="64"/>
    <n v="5"/>
    <x v="5"/>
    <s v="2ºC"/>
    <x v="0"/>
    <s v="Fertirrigação"/>
    <x v="14"/>
    <s v="3 - Parceria"/>
    <n v="7.14"/>
    <n v="0"/>
    <n v="0"/>
    <n v="7.14"/>
    <n v="606.9"/>
    <n v="0"/>
    <n v="0"/>
    <n v="631.9"/>
    <x v="0"/>
    <x v="5"/>
    <x v="0"/>
    <x v="1"/>
    <x v="1"/>
    <n v="7.14"/>
    <n v="7.14"/>
    <n v="7.14"/>
    <n v="606.9"/>
    <n v="631.9"/>
    <n v="631.9"/>
    <n v="631.9"/>
    <n v="631.9"/>
    <n v="631.9"/>
    <x v="1"/>
    <x v="1"/>
    <x v="0"/>
    <n v="0"/>
    <x v="0"/>
  </r>
  <r>
    <x v="68"/>
    <x v="64"/>
    <n v="6"/>
    <x v="5"/>
    <s v="2ºC"/>
    <x v="0"/>
    <s v="Fertirrigação"/>
    <x v="14"/>
    <s v="3 - Parceria"/>
    <n v="36.07"/>
    <n v="0"/>
    <n v="0"/>
    <n v="36.07"/>
    <n v="3065.95"/>
    <n v="0"/>
    <n v="0"/>
    <n v="3193.07"/>
    <x v="0"/>
    <x v="5"/>
    <x v="0"/>
    <x v="1"/>
    <x v="1"/>
    <n v="36.07"/>
    <n v="36.07"/>
    <n v="36.07"/>
    <n v="3065.95"/>
    <n v="3193.07"/>
    <n v="3193.07"/>
    <n v="3193.07"/>
    <n v="3193.07"/>
    <n v="3193.07"/>
    <x v="1"/>
    <x v="1"/>
    <x v="0"/>
    <n v="0"/>
    <x v="0"/>
  </r>
  <r>
    <x v="68"/>
    <x v="64"/>
    <n v="7"/>
    <x v="5"/>
    <s v="2ºC"/>
    <x v="0"/>
    <s v="Fertirrigação"/>
    <x v="14"/>
    <s v="3 - Parceria"/>
    <n v="30.02"/>
    <n v="0"/>
    <n v="0"/>
    <n v="30.02"/>
    <n v="2551.6999999999998"/>
    <n v="0"/>
    <n v="0"/>
    <n v="2658.78"/>
    <x v="0"/>
    <x v="5"/>
    <x v="0"/>
    <x v="1"/>
    <x v="1"/>
    <n v="30.02"/>
    <n v="30.02"/>
    <n v="30.02"/>
    <n v="2551.6999999999998"/>
    <n v="2658.78"/>
    <n v="2658.78"/>
    <n v="2658.78"/>
    <n v="2658.78"/>
    <n v="2658.78"/>
    <x v="1"/>
    <x v="1"/>
    <x v="0"/>
    <n v="0"/>
    <x v="0"/>
  </r>
  <r>
    <x v="68"/>
    <x v="64"/>
    <n v="16"/>
    <x v="1"/>
    <s v="8ºC"/>
    <x v="0"/>
    <s v="Fertirrigação"/>
    <x v="14"/>
    <s v="3 - Parceria"/>
    <n v="8.56"/>
    <n v="0"/>
    <n v="0"/>
    <n v="8.56"/>
    <n v="599.20000000000005"/>
    <n v="0"/>
    <n v="0"/>
    <n v="787.58"/>
    <x v="0"/>
    <x v="29"/>
    <x v="0"/>
    <x v="1"/>
    <x v="1"/>
    <n v="8.56"/>
    <n v="8.56"/>
    <n v="8.56"/>
    <n v="599.20000000000005"/>
    <n v="787.58"/>
    <n v="787.58"/>
    <n v="787.58"/>
    <n v="787.58"/>
    <n v="787.58"/>
    <x v="1"/>
    <x v="1"/>
    <x v="0"/>
    <n v="0"/>
    <x v="0"/>
  </r>
  <r>
    <x v="68"/>
    <x v="64"/>
    <n v="17"/>
    <x v="1"/>
    <s v="8ºC"/>
    <x v="0"/>
    <s v="Fertirrigação"/>
    <x v="14"/>
    <s v="3 - Parceria"/>
    <n v="19.66"/>
    <n v="0"/>
    <n v="0"/>
    <n v="19.66"/>
    <n v="1376.2"/>
    <n v="0"/>
    <n v="0"/>
    <n v="1809.33"/>
    <x v="0"/>
    <x v="29"/>
    <x v="0"/>
    <x v="1"/>
    <x v="1"/>
    <n v="19.66"/>
    <n v="19.66"/>
    <n v="19.66"/>
    <n v="1376.2"/>
    <n v="1809.33"/>
    <n v="1809.33"/>
    <n v="1809.33"/>
    <n v="1809.33"/>
    <n v="1809.33"/>
    <x v="1"/>
    <x v="1"/>
    <x v="0"/>
    <n v="0"/>
    <x v="0"/>
  </r>
  <r>
    <x v="68"/>
    <x v="64"/>
    <n v="18"/>
    <x v="1"/>
    <s v="8ºC"/>
    <x v="0"/>
    <s v="Fertirrigação"/>
    <x v="14"/>
    <s v="3 - Parceria"/>
    <n v="15.02"/>
    <n v="0"/>
    <n v="0"/>
    <n v="15.02"/>
    <n v="1051.4000000000001"/>
    <n v="0"/>
    <n v="0"/>
    <n v="1381.97"/>
    <x v="0"/>
    <x v="29"/>
    <x v="0"/>
    <x v="1"/>
    <x v="1"/>
    <n v="15.02"/>
    <n v="15.02"/>
    <n v="15.02"/>
    <n v="1051.4000000000001"/>
    <n v="1381.97"/>
    <n v="1381.97"/>
    <n v="1381.97"/>
    <n v="1381.97"/>
    <n v="1381.97"/>
    <x v="1"/>
    <x v="1"/>
    <x v="0"/>
    <n v="0"/>
    <x v="0"/>
  </r>
  <r>
    <x v="68"/>
    <x v="64"/>
    <n v="19"/>
    <x v="1"/>
    <s v="8ºC"/>
    <x v="0"/>
    <s v="Fertirrigação"/>
    <x v="14"/>
    <s v="3 - Parceria"/>
    <n v="9.93"/>
    <n v="0"/>
    <n v="0"/>
    <n v="9.93"/>
    <n v="695.1"/>
    <n v="0"/>
    <n v="0"/>
    <n v="913.83"/>
    <x v="0"/>
    <x v="29"/>
    <x v="0"/>
    <x v="1"/>
    <x v="1"/>
    <n v="9.93"/>
    <n v="9.93"/>
    <n v="9.93"/>
    <n v="695.1"/>
    <n v="913.83"/>
    <n v="913.83"/>
    <n v="913.83"/>
    <n v="913.83"/>
    <n v="913.83"/>
    <x v="1"/>
    <x v="1"/>
    <x v="0"/>
    <n v="0"/>
    <x v="0"/>
  </r>
  <r>
    <x v="68"/>
    <x v="64"/>
    <n v="20"/>
    <x v="1"/>
    <s v="8ºC"/>
    <x v="0"/>
    <s v="Fertirrigação"/>
    <x v="14"/>
    <s v="3 - Parceria"/>
    <n v="14.45"/>
    <n v="0"/>
    <n v="0"/>
    <n v="14.45"/>
    <n v="1011.5"/>
    <n v="0"/>
    <n v="0"/>
    <n v="1327.63"/>
    <x v="0"/>
    <x v="35"/>
    <x v="0"/>
    <x v="1"/>
    <x v="1"/>
    <n v="14.45"/>
    <n v="14.45"/>
    <n v="14.45"/>
    <n v="1011.5"/>
    <n v="1327.63"/>
    <n v="1327.63"/>
    <n v="1327.63"/>
    <n v="1327.63"/>
    <n v="1327.63"/>
    <x v="1"/>
    <x v="1"/>
    <x v="0"/>
    <n v="0"/>
    <x v="0"/>
  </r>
  <r>
    <x v="68"/>
    <x v="64"/>
    <n v="21"/>
    <x v="1"/>
    <s v="8ºC"/>
    <x v="0"/>
    <s v="Fertirrigação"/>
    <x v="14"/>
    <s v="3 - Parceria"/>
    <n v="18.190000000000001"/>
    <n v="0"/>
    <n v="0"/>
    <n v="18.190000000000001"/>
    <n v="1273.3"/>
    <n v="0"/>
    <n v="0"/>
    <n v="1670.05"/>
    <x v="0"/>
    <x v="35"/>
    <x v="0"/>
    <x v="1"/>
    <x v="1"/>
    <n v="18.190000000000001"/>
    <n v="18.190000000000001"/>
    <n v="18.190000000000001"/>
    <n v="1273.3"/>
    <n v="1670.05"/>
    <n v="1670.05"/>
    <n v="1670.05"/>
    <n v="1670.05"/>
    <n v="1670.05"/>
    <x v="1"/>
    <x v="1"/>
    <x v="0"/>
    <n v="0"/>
    <x v="0"/>
  </r>
  <r>
    <x v="68"/>
    <x v="64"/>
    <n v="22"/>
    <x v="1"/>
    <s v="8ºC"/>
    <x v="0"/>
    <s v="Fertirrigação"/>
    <x v="14"/>
    <s v="3 - Parceria"/>
    <n v="18.98"/>
    <n v="0"/>
    <n v="0"/>
    <n v="18.98"/>
    <n v="1328.6"/>
    <n v="0"/>
    <n v="0"/>
    <n v="1743.74"/>
    <x v="0"/>
    <x v="35"/>
    <x v="0"/>
    <x v="1"/>
    <x v="1"/>
    <n v="18.98"/>
    <n v="18.98"/>
    <n v="18.98"/>
    <n v="1328.6"/>
    <n v="1743.74"/>
    <n v="1743.74"/>
    <n v="1743.74"/>
    <n v="1743.74"/>
    <n v="1743.74"/>
    <x v="1"/>
    <x v="1"/>
    <x v="0"/>
    <n v="0"/>
    <x v="0"/>
  </r>
  <r>
    <x v="68"/>
    <x v="64"/>
    <n v="25"/>
    <x v="1"/>
    <s v="8ºC"/>
    <x v="0"/>
    <s v="Fertirrigação"/>
    <x v="14"/>
    <s v="3 - Parceria"/>
    <n v="18.989999999999998"/>
    <n v="0"/>
    <n v="0"/>
    <n v="18.989999999999998"/>
    <n v="1424.25"/>
    <n v="0"/>
    <n v="0"/>
    <n v="1987.4"/>
    <x v="0"/>
    <x v="35"/>
    <x v="0"/>
    <x v="1"/>
    <x v="1"/>
    <n v="18.989999999999998"/>
    <n v="18.989999999999998"/>
    <n v="18.989999999999998"/>
    <n v="1424.25"/>
    <n v="1987.4"/>
    <n v="1987.4"/>
    <n v="1987.4"/>
    <n v="1987.4"/>
    <n v="1987.4"/>
    <x v="1"/>
    <x v="1"/>
    <x v="0"/>
    <n v="0"/>
    <x v="0"/>
  </r>
  <r>
    <x v="68"/>
    <x v="64"/>
    <n v="26"/>
    <x v="1"/>
    <s v="8ºC"/>
    <x v="0"/>
    <s v="Fertirrigação"/>
    <x v="14"/>
    <s v="3 - Parceria"/>
    <n v="17.57"/>
    <n v="0"/>
    <n v="0"/>
    <n v="17.57"/>
    <n v="1317.75"/>
    <n v="0"/>
    <n v="0"/>
    <n v="1498.46"/>
    <x v="0"/>
    <x v="35"/>
    <x v="0"/>
    <x v="1"/>
    <x v="1"/>
    <n v="17.57"/>
    <n v="17.57"/>
    <n v="17.57"/>
    <n v="1317.75"/>
    <n v="1498.46"/>
    <n v="1498.46"/>
    <n v="1498.46"/>
    <n v="1498.46"/>
    <n v="1498.46"/>
    <x v="1"/>
    <x v="1"/>
    <x v="0"/>
    <n v="0"/>
    <x v="0"/>
  </r>
  <r>
    <x v="68"/>
    <x v="64"/>
    <n v="27"/>
    <x v="1"/>
    <s v="8ºC"/>
    <x v="0"/>
    <s v="Fertirrigação"/>
    <x v="14"/>
    <s v="3 - Parceria"/>
    <n v="14.16"/>
    <n v="0"/>
    <n v="0"/>
    <n v="14.16"/>
    <n v="1062"/>
    <n v="0"/>
    <n v="0"/>
    <n v="1207.3900000000001"/>
    <x v="0"/>
    <x v="35"/>
    <x v="0"/>
    <x v="1"/>
    <x v="1"/>
    <n v="14.16"/>
    <n v="14.16"/>
    <n v="14.16"/>
    <n v="1062"/>
    <n v="1207.3900000000001"/>
    <n v="1207.3900000000001"/>
    <n v="1207.3900000000001"/>
    <n v="1207.3900000000001"/>
    <n v="1207.3900000000001"/>
    <x v="1"/>
    <x v="1"/>
    <x v="0"/>
    <n v="0"/>
    <x v="0"/>
  </r>
  <r>
    <x v="68"/>
    <x v="64"/>
    <n v="28"/>
    <x v="1"/>
    <s v="8ºC"/>
    <x v="0"/>
    <s v="Fertirrigação"/>
    <x v="14"/>
    <s v="3 - Parceria"/>
    <n v="14.29"/>
    <n v="0"/>
    <n v="0"/>
    <n v="14.29"/>
    <n v="1071.75"/>
    <n v="0"/>
    <n v="0"/>
    <n v="1218.76"/>
    <x v="0"/>
    <x v="35"/>
    <x v="0"/>
    <x v="1"/>
    <x v="1"/>
    <n v="14.29"/>
    <n v="14.29"/>
    <n v="14.29"/>
    <n v="1071.75"/>
    <n v="1218.76"/>
    <n v="1218.76"/>
    <n v="1218.76"/>
    <n v="1218.76"/>
    <n v="1218.76"/>
    <x v="1"/>
    <x v="1"/>
    <x v="0"/>
    <n v="0"/>
    <x v="0"/>
  </r>
  <r>
    <x v="68"/>
    <x v="64"/>
    <n v="29"/>
    <x v="1"/>
    <s v="8ºC"/>
    <x v="0"/>
    <s v="Fertirrigação"/>
    <x v="14"/>
    <s v="3 - Parceria"/>
    <n v="14.62"/>
    <n v="0"/>
    <n v="0"/>
    <n v="14.62"/>
    <n v="1096.5"/>
    <n v="0"/>
    <n v="0"/>
    <n v="1247.17"/>
    <x v="0"/>
    <x v="35"/>
    <x v="0"/>
    <x v="1"/>
    <x v="1"/>
    <n v="14.62"/>
    <n v="14.62"/>
    <n v="14.62"/>
    <n v="1096.5"/>
    <n v="1247.17"/>
    <n v="1247.17"/>
    <n v="1247.17"/>
    <n v="1247.17"/>
    <n v="1247.17"/>
    <x v="1"/>
    <x v="1"/>
    <x v="0"/>
    <n v="0"/>
    <x v="0"/>
  </r>
  <r>
    <x v="68"/>
    <x v="64"/>
    <n v="30"/>
    <x v="1"/>
    <s v="8ºC"/>
    <x v="0"/>
    <s v="Fertirrigação"/>
    <x v="14"/>
    <s v="3 - Parceria"/>
    <n v="17.87"/>
    <n v="0"/>
    <n v="0"/>
    <n v="17.87"/>
    <n v="1340.25"/>
    <n v="0"/>
    <n v="0"/>
    <n v="1523.98"/>
    <x v="0"/>
    <x v="35"/>
    <x v="0"/>
    <x v="1"/>
    <x v="1"/>
    <n v="17.87"/>
    <n v="17.87"/>
    <n v="17.87"/>
    <n v="1340.25"/>
    <n v="1523.98"/>
    <n v="1523.98"/>
    <n v="1523.98"/>
    <n v="1523.98"/>
    <n v="1523.98"/>
    <x v="1"/>
    <x v="1"/>
    <x v="0"/>
    <n v="0"/>
    <x v="0"/>
  </r>
  <r>
    <x v="68"/>
    <x v="64"/>
    <n v="31"/>
    <x v="1"/>
    <s v="8ºC"/>
    <x v="0"/>
    <s v="Fertirrigação"/>
    <x v="14"/>
    <s v="3 - Parceria"/>
    <n v="18.7"/>
    <n v="0"/>
    <n v="0"/>
    <n v="18.7"/>
    <n v="1402.5"/>
    <n v="0"/>
    <n v="0"/>
    <n v="1958.09"/>
    <x v="0"/>
    <x v="35"/>
    <x v="0"/>
    <x v="1"/>
    <x v="1"/>
    <n v="18.7"/>
    <n v="18.7"/>
    <n v="18.7"/>
    <n v="1402.5"/>
    <n v="1958.09"/>
    <n v="1958.09"/>
    <n v="1958.09"/>
    <n v="1958.09"/>
    <n v="1958.09"/>
    <x v="1"/>
    <x v="1"/>
    <x v="0"/>
    <n v="0"/>
    <x v="0"/>
  </r>
  <r>
    <x v="68"/>
    <x v="64"/>
    <n v="34"/>
    <x v="1"/>
    <s v="8ºC"/>
    <x v="0"/>
    <s v="Fertirrigação"/>
    <x v="14"/>
    <s v="3 - Parceria"/>
    <n v="14.76"/>
    <n v="0"/>
    <n v="0"/>
    <n v="14.76"/>
    <n v="782.28"/>
    <n v="0"/>
    <n v="0"/>
    <n v="1091.3499999999999"/>
    <x v="0"/>
    <x v="35"/>
    <x v="0"/>
    <x v="1"/>
    <x v="1"/>
    <n v="14.76"/>
    <n v="14.76"/>
    <n v="14.76"/>
    <n v="782.28"/>
    <n v="1091.3499999999999"/>
    <n v="1091.3499999999999"/>
    <n v="1091.3499999999999"/>
    <n v="1091.3499999999999"/>
    <n v="1091.3499999999999"/>
    <x v="1"/>
    <x v="1"/>
    <x v="0"/>
    <n v="0"/>
    <x v="0"/>
  </r>
  <r>
    <x v="68"/>
    <x v="64"/>
    <n v="35"/>
    <x v="1"/>
    <s v="8ºC"/>
    <x v="0"/>
    <s v="Fertirrigação"/>
    <x v="14"/>
    <s v="3 - Parceria"/>
    <n v="5.87"/>
    <n v="0"/>
    <n v="0"/>
    <n v="5.87"/>
    <n v="311.11"/>
    <n v="0"/>
    <n v="0"/>
    <n v="434.31"/>
    <x v="0"/>
    <x v="35"/>
    <x v="0"/>
    <x v="1"/>
    <x v="1"/>
    <n v="5.87"/>
    <n v="5.87"/>
    <n v="5.87"/>
    <n v="311.11"/>
    <n v="434.31"/>
    <n v="434.31"/>
    <n v="434.31"/>
    <n v="434.31"/>
    <n v="434.31"/>
    <x v="1"/>
    <x v="1"/>
    <x v="0"/>
    <n v="0"/>
    <x v="0"/>
  </r>
  <r>
    <x v="68"/>
    <x v="64"/>
    <n v="47"/>
    <x v="1"/>
    <s v="8ºC"/>
    <x v="0"/>
    <s v="Fertirrigação"/>
    <x v="9"/>
    <s v="3 - Parceria"/>
    <n v="11.17"/>
    <n v="0"/>
    <n v="0"/>
    <n v="11.17"/>
    <n v="469.14"/>
    <n v="0"/>
    <n v="0"/>
    <n v="617.11"/>
    <x v="0"/>
    <x v="29"/>
    <x v="0"/>
    <x v="1"/>
    <x v="1"/>
    <n v="11.17"/>
    <n v="11.17"/>
    <n v="11.17"/>
    <n v="469.14"/>
    <n v="617.11"/>
    <n v="617.11"/>
    <n v="617.11"/>
    <n v="617.11"/>
    <n v="617.11"/>
    <x v="1"/>
    <x v="1"/>
    <x v="0"/>
    <n v="0"/>
    <x v="0"/>
  </r>
  <r>
    <x v="68"/>
    <x v="64"/>
    <n v="2033"/>
    <x v="3"/>
    <s v="INV"/>
    <x v="0"/>
    <s v="Fertirrigação"/>
    <x v="17"/>
    <s v="3 - Parceria"/>
    <n v="3.34"/>
    <n v="0"/>
    <n v="0"/>
    <n v="3.34"/>
    <n v="200.4"/>
    <n v="0"/>
    <n v="0"/>
    <n v="170.17"/>
    <x v="0"/>
    <x v="35"/>
    <x v="0"/>
    <x v="1"/>
    <x v="1"/>
    <n v="3.34"/>
    <n v="3.34"/>
    <n v="3.34"/>
    <n v="200.4"/>
    <n v="170.17"/>
    <n v="170.17"/>
    <n v="170.17"/>
    <n v="170.17"/>
    <n v="170.17"/>
    <x v="1"/>
    <x v="1"/>
    <x v="0"/>
    <n v="0"/>
    <x v="0"/>
  </r>
  <r>
    <x v="68"/>
    <x v="64"/>
    <n v="2036"/>
    <x v="3"/>
    <s v="INV"/>
    <x v="0"/>
    <s v="Fertirrigação"/>
    <x v="17"/>
    <s v="3 - Parceria"/>
    <n v="2.67"/>
    <n v="0"/>
    <n v="0"/>
    <n v="2.67"/>
    <n v="160.19999999999999"/>
    <n v="0"/>
    <n v="0"/>
    <n v="136.13"/>
    <x v="0"/>
    <x v="35"/>
    <x v="0"/>
    <x v="1"/>
    <x v="1"/>
    <n v="2.67"/>
    <n v="2.67"/>
    <n v="2.67"/>
    <n v="160.19999999999999"/>
    <n v="136.13"/>
    <n v="136.13"/>
    <n v="136.13"/>
    <n v="136.13"/>
    <n v="136.13"/>
    <x v="1"/>
    <x v="1"/>
    <x v="0"/>
    <n v="0"/>
    <x v="0"/>
  </r>
  <r>
    <x v="68"/>
    <x v="64"/>
    <n v="2037"/>
    <x v="3"/>
    <s v="INV"/>
    <x v="0"/>
    <s v="Fertirrigação"/>
    <x v="17"/>
    <s v="3 - Parceria"/>
    <n v="4.3899999999999997"/>
    <n v="0"/>
    <n v="0"/>
    <n v="4.3899999999999997"/>
    <n v="263.39999999999998"/>
    <n v="0"/>
    <n v="0"/>
    <n v="223.77"/>
    <x v="0"/>
    <x v="35"/>
    <x v="0"/>
    <x v="1"/>
    <x v="1"/>
    <n v="4.3899999999999997"/>
    <n v="4.3899999999999997"/>
    <n v="4.3899999999999997"/>
    <n v="263.39999999999998"/>
    <n v="223.77"/>
    <n v="223.77"/>
    <n v="223.77"/>
    <n v="223.77"/>
    <n v="223.77"/>
    <x v="1"/>
    <x v="1"/>
    <x v="0"/>
    <n v="0"/>
    <x v="0"/>
  </r>
  <r>
    <x v="68"/>
    <x v="64"/>
    <n v="2038"/>
    <x v="3"/>
    <s v="INV"/>
    <x v="0"/>
    <s v="Fertirrigação"/>
    <x v="17"/>
    <s v="3 - Parceria"/>
    <n v="3.7"/>
    <n v="0"/>
    <n v="0"/>
    <n v="3.7"/>
    <n v="222"/>
    <n v="0"/>
    <n v="0"/>
    <n v="188.89"/>
    <x v="0"/>
    <x v="35"/>
    <x v="0"/>
    <x v="1"/>
    <x v="1"/>
    <n v="3.7"/>
    <n v="3.7"/>
    <n v="3.7"/>
    <n v="222"/>
    <n v="188.89"/>
    <n v="188.89"/>
    <n v="188.89"/>
    <n v="188.89"/>
    <n v="188.89"/>
    <x v="1"/>
    <x v="1"/>
    <x v="0"/>
    <n v="0"/>
    <x v="0"/>
  </r>
  <r>
    <x v="68"/>
    <x v="64"/>
    <n v="2039"/>
    <x v="3"/>
    <s v="INV"/>
    <x v="0"/>
    <s v="Fertirrigação"/>
    <x v="17"/>
    <s v="3 - Parceria"/>
    <n v="3.21"/>
    <n v="0"/>
    <n v="0"/>
    <n v="3.21"/>
    <n v="192.6"/>
    <n v="0"/>
    <n v="0"/>
    <n v="164.21"/>
    <x v="0"/>
    <x v="35"/>
    <x v="0"/>
    <x v="1"/>
    <x v="1"/>
    <n v="3.21"/>
    <n v="3.21"/>
    <n v="3.21"/>
    <n v="192.6"/>
    <n v="164.21"/>
    <n v="164.21"/>
    <n v="164.21"/>
    <n v="164.21"/>
    <n v="164.21"/>
    <x v="1"/>
    <x v="1"/>
    <x v="0"/>
    <n v="0"/>
    <x v="0"/>
  </r>
  <r>
    <x v="68"/>
    <x v="64"/>
    <n v="2040"/>
    <x v="3"/>
    <s v="INV"/>
    <x v="0"/>
    <s v="Fertirrigação"/>
    <x v="17"/>
    <s v="3 - Parceria"/>
    <n v="2.04"/>
    <n v="0"/>
    <n v="0"/>
    <n v="2.04"/>
    <n v="122.4"/>
    <n v="0"/>
    <n v="0"/>
    <n v="103.9"/>
    <x v="0"/>
    <x v="35"/>
    <x v="0"/>
    <x v="1"/>
    <x v="1"/>
    <n v="2.04"/>
    <n v="2.04"/>
    <n v="2.04"/>
    <n v="122.4"/>
    <n v="103.9"/>
    <n v="103.9"/>
    <n v="103.9"/>
    <n v="103.9"/>
    <n v="103.9"/>
    <x v="1"/>
    <x v="1"/>
    <x v="0"/>
    <n v="0"/>
    <x v="0"/>
  </r>
  <r>
    <x v="69"/>
    <x v="65"/>
    <n v="1"/>
    <x v="5"/>
    <s v="2ºC"/>
    <x v="0"/>
    <s v="Mineral"/>
    <x v="13"/>
    <s v="3 - Parceria"/>
    <n v="56.52"/>
    <n v="56.52"/>
    <n v="56.52"/>
    <n v="56.52"/>
    <n v="4521.6000000000004"/>
    <n v="4521.6000000000004"/>
    <n v="4069.44"/>
    <n v="3912.87"/>
    <x v="0"/>
    <x v="34"/>
    <x v="0"/>
    <x v="0"/>
    <x v="0"/>
    <n v="56.52"/>
    <n v="56.52"/>
    <n v="56.52"/>
    <n v="4521.6000000000004"/>
    <n v="4521.6000000000004"/>
    <n v="4069.44"/>
    <n v="3912.87"/>
    <n v="3912.87"/>
    <n v="3912.87"/>
    <x v="1"/>
    <x v="0"/>
    <x v="0"/>
    <n v="0"/>
    <x v="0"/>
  </r>
  <r>
    <x v="69"/>
    <x v="65"/>
    <n v="2"/>
    <x v="5"/>
    <s v="2ºC"/>
    <x v="0"/>
    <s v="Mineral"/>
    <x v="13"/>
    <s v="3 - Parceria"/>
    <n v="5.24"/>
    <n v="5.24"/>
    <n v="5.24"/>
    <n v="5.24"/>
    <n v="419.2"/>
    <n v="377.28"/>
    <n v="377.28"/>
    <n v="362.61"/>
    <x v="0"/>
    <x v="34"/>
    <x v="0"/>
    <x v="0"/>
    <x v="0"/>
    <n v="5.24"/>
    <n v="5.24"/>
    <n v="5.24"/>
    <n v="419.2"/>
    <n v="377.28"/>
    <n v="377.28"/>
    <n v="362.61"/>
    <n v="362.61"/>
    <n v="362.61"/>
    <x v="0"/>
    <x v="0"/>
    <x v="0"/>
    <n v="0"/>
    <x v="0"/>
  </r>
  <r>
    <x v="69"/>
    <x v="65"/>
    <n v="3"/>
    <x v="5"/>
    <s v="2ºC"/>
    <x v="0"/>
    <s v="Mineral"/>
    <x v="13"/>
    <s v="3 - Parceria"/>
    <n v="39.58"/>
    <n v="39.58"/>
    <n v="39.58"/>
    <n v="39.58"/>
    <n v="3166.4"/>
    <n v="2770.6"/>
    <n v="2770.6"/>
    <n v="3181.33"/>
    <x v="0"/>
    <x v="34"/>
    <x v="0"/>
    <x v="0"/>
    <x v="0"/>
    <n v="39.58"/>
    <n v="39.58"/>
    <n v="39.58"/>
    <n v="3166.4"/>
    <n v="2770.6"/>
    <n v="2770.6"/>
    <n v="3181.33"/>
    <n v="3181.33"/>
    <n v="3181.33"/>
    <x v="0"/>
    <x v="2"/>
    <x v="4"/>
    <n v="2374.7999999999997"/>
    <x v="0"/>
  </r>
  <r>
    <x v="69"/>
    <x v="65"/>
    <n v="4"/>
    <x v="5"/>
    <s v="2ºC"/>
    <x v="0"/>
    <s v="Mineral"/>
    <x v="13"/>
    <s v="3 - Parceria"/>
    <n v="29.9"/>
    <n v="29.9"/>
    <n v="29.9"/>
    <n v="29.9"/>
    <n v="2392"/>
    <n v="2332.1999999999998"/>
    <n v="2332.1999999999998"/>
    <n v="2677.51"/>
    <x v="0"/>
    <x v="34"/>
    <x v="0"/>
    <x v="0"/>
    <x v="0"/>
    <n v="29.9"/>
    <n v="29.9"/>
    <n v="29.9"/>
    <n v="2392"/>
    <n v="2332.1999999999998"/>
    <n v="2332.1999999999998"/>
    <n v="2677.51"/>
    <n v="2677.51"/>
    <n v="2677.51"/>
    <x v="0"/>
    <x v="2"/>
    <x v="4"/>
    <n v="1794"/>
    <x v="0"/>
  </r>
  <r>
    <x v="69"/>
    <x v="65"/>
    <n v="5"/>
    <x v="5"/>
    <s v="2ºC"/>
    <x v="0"/>
    <s v="Mineral"/>
    <x v="13"/>
    <s v="3 - Parceria"/>
    <n v="23.56"/>
    <n v="23.56"/>
    <n v="23.56"/>
    <n v="23.56"/>
    <n v="2002.6"/>
    <n v="1649.2"/>
    <n v="1649.2"/>
    <n v="2061.94"/>
    <x v="0"/>
    <x v="2"/>
    <x v="0"/>
    <x v="0"/>
    <x v="0"/>
    <n v="23.56"/>
    <n v="23.56"/>
    <n v="23.56"/>
    <n v="2002.6"/>
    <n v="1649.2"/>
    <n v="1649.2"/>
    <n v="2061.94"/>
    <n v="2061.94"/>
    <n v="2061.94"/>
    <x v="0"/>
    <x v="0"/>
    <x v="0"/>
    <n v="0"/>
    <x v="0"/>
  </r>
  <r>
    <x v="69"/>
    <x v="65"/>
    <n v="6"/>
    <x v="5"/>
    <s v="2ºC"/>
    <x v="0"/>
    <s v="Mineral"/>
    <x v="13"/>
    <s v="3 - Parceria"/>
    <n v="9.15"/>
    <n v="9.15"/>
    <n v="9.15"/>
    <n v="9.15"/>
    <n v="777.75"/>
    <n v="777.75"/>
    <n v="732"/>
    <n v="627.49"/>
    <x v="0"/>
    <x v="19"/>
    <x v="0"/>
    <x v="0"/>
    <x v="0"/>
    <n v="9.15"/>
    <n v="9.15"/>
    <n v="9.15"/>
    <n v="777.75"/>
    <n v="777.75"/>
    <n v="732"/>
    <n v="627.49"/>
    <n v="627.49"/>
    <n v="627.49"/>
    <x v="1"/>
    <x v="0"/>
    <x v="0"/>
    <n v="0"/>
    <x v="0"/>
  </r>
  <r>
    <x v="70"/>
    <x v="66"/>
    <n v="1"/>
    <x v="0"/>
    <s v="6ºC"/>
    <x v="0"/>
    <s v="Mineral"/>
    <x v="0"/>
    <s v="3 - Parceria"/>
    <n v="14.24"/>
    <n v="14.24"/>
    <n v="14.24"/>
    <n v="14.24"/>
    <n v="341.76"/>
    <n v="284.8"/>
    <n v="256.32"/>
    <n v="311.36"/>
    <x v="0"/>
    <x v="0"/>
    <x v="0"/>
    <x v="0"/>
    <x v="0"/>
    <n v="14.24"/>
    <n v="14.24"/>
    <n v="14.24"/>
    <n v="341.76"/>
    <n v="284.8"/>
    <n v="256.32"/>
    <n v="311.36"/>
    <n v="311.36"/>
    <n v="311.36"/>
    <x v="0"/>
    <x v="0"/>
    <x v="0"/>
    <n v="0"/>
    <x v="0"/>
  </r>
  <r>
    <x v="71"/>
    <x v="67"/>
    <n v="1"/>
    <x v="4"/>
    <s v="4ºC"/>
    <x v="0"/>
    <s v="Fertirrigação"/>
    <x v="18"/>
    <s v="3 - Parceria"/>
    <n v="23.79"/>
    <n v="23.79"/>
    <n v="23.79"/>
    <n v="23.79"/>
    <n v="1617.72"/>
    <n v="1617.72"/>
    <n v="1570.14"/>
    <n v="1621.83"/>
    <x v="0"/>
    <x v="2"/>
    <x v="0"/>
    <x v="0"/>
    <x v="0"/>
    <n v="23.79"/>
    <n v="23.79"/>
    <n v="23.79"/>
    <n v="1617.72"/>
    <n v="1617.72"/>
    <n v="1570.14"/>
    <n v="1621.83"/>
    <n v="1621.83"/>
    <n v="1621.83"/>
    <x v="1"/>
    <x v="2"/>
    <x v="1"/>
    <n v="475.79999999999995"/>
    <x v="0"/>
  </r>
  <r>
    <x v="71"/>
    <x v="67"/>
    <n v="2"/>
    <x v="6"/>
    <s v="5ºC"/>
    <x v="0"/>
    <s v="Fertirrigação"/>
    <x v="11"/>
    <s v="3 - Parceria"/>
    <n v="7.02"/>
    <n v="7.02"/>
    <n v="7.02"/>
    <n v="7.02"/>
    <n v="477.36"/>
    <n v="477.36"/>
    <n v="463.32"/>
    <n v="478.2"/>
    <x v="0"/>
    <x v="2"/>
    <x v="0"/>
    <x v="0"/>
    <x v="0"/>
    <n v="7.02"/>
    <n v="7.02"/>
    <n v="7.02"/>
    <n v="477.36"/>
    <n v="477.36"/>
    <n v="463.32"/>
    <n v="478.2"/>
    <n v="478.2"/>
    <n v="478.2"/>
    <x v="1"/>
    <x v="2"/>
    <x v="1"/>
    <n v="140.39999999999998"/>
    <x v="0"/>
  </r>
  <r>
    <x v="71"/>
    <x v="67"/>
    <n v="3"/>
    <x v="4"/>
    <s v="4ºC"/>
    <x v="0"/>
    <s v="Fertirrigação"/>
    <x v="18"/>
    <s v="3 - Parceria"/>
    <n v="40.049999999999997"/>
    <n v="40.049999999999997"/>
    <n v="40.049999999999997"/>
    <n v="40.049999999999997"/>
    <n v="2723.4"/>
    <n v="2723.4"/>
    <n v="2643.3"/>
    <n v="2730.34"/>
    <x v="0"/>
    <x v="2"/>
    <x v="0"/>
    <x v="0"/>
    <x v="0"/>
    <n v="40.049999999999997"/>
    <n v="40.049999999999997"/>
    <n v="40.049999999999997"/>
    <n v="2723.4"/>
    <n v="2723.4"/>
    <n v="2643.3"/>
    <n v="2730.34"/>
    <n v="2730.34"/>
    <n v="2730.34"/>
    <x v="1"/>
    <x v="2"/>
    <x v="1"/>
    <n v="801"/>
    <x v="0"/>
  </r>
  <r>
    <x v="71"/>
    <x v="67"/>
    <n v="4"/>
    <x v="4"/>
    <s v="4ºC"/>
    <x v="0"/>
    <s v="Fertirrigação"/>
    <x v="18"/>
    <s v="3 - Parceria"/>
    <n v="42.74"/>
    <n v="42.74"/>
    <n v="42.74"/>
    <n v="42.74"/>
    <n v="2906.32"/>
    <n v="2906.32"/>
    <n v="2820.84"/>
    <n v="2817.34"/>
    <x v="0"/>
    <x v="2"/>
    <x v="0"/>
    <x v="0"/>
    <x v="0"/>
    <n v="42.74"/>
    <n v="42.74"/>
    <n v="42.74"/>
    <n v="2906.32"/>
    <n v="2906.32"/>
    <n v="2820.84"/>
    <n v="2817.34"/>
    <n v="2817.34"/>
    <n v="2817.34"/>
    <x v="1"/>
    <x v="2"/>
    <x v="1"/>
    <n v="854.80000000000007"/>
    <x v="0"/>
  </r>
  <r>
    <x v="71"/>
    <x v="67"/>
    <n v="5"/>
    <x v="4"/>
    <s v="4ºC"/>
    <x v="0"/>
    <s v="Fertirrigação"/>
    <x v="18"/>
    <s v="3 - Parceria"/>
    <n v="18.14"/>
    <n v="18.14"/>
    <n v="18.14"/>
    <n v="18.14"/>
    <n v="1233.52"/>
    <n v="1233.52"/>
    <n v="1197.24"/>
    <n v="1195.52"/>
    <x v="0"/>
    <x v="2"/>
    <x v="0"/>
    <x v="0"/>
    <x v="0"/>
    <n v="18.14"/>
    <n v="18.14"/>
    <n v="18.14"/>
    <n v="1233.52"/>
    <n v="1233.52"/>
    <n v="1197.24"/>
    <n v="1195.52"/>
    <n v="1195.52"/>
    <n v="1195.52"/>
    <x v="1"/>
    <x v="2"/>
    <x v="1"/>
    <n v="362.8"/>
    <x v="0"/>
  </r>
  <r>
    <x v="71"/>
    <x v="67"/>
    <n v="6"/>
    <x v="4"/>
    <s v="4ºC"/>
    <x v="0"/>
    <s v="Fertirrigação"/>
    <x v="18"/>
    <s v="3 - Parceria"/>
    <n v="36.85"/>
    <n v="36.85"/>
    <n v="36.85"/>
    <n v="36.85"/>
    <n v="2505.8000000000002"/>
    <n v="2505.8000000000002"/>
    <n v="2432.1"/>
    <n v="2512.8200000000002"/>
    <x v="0"/>
    <x v="2"/>
    <x v="0"/>
    <x v="0"/>
    <x v="0"/>
    <n v="36.85"/>
    <n v="36.85"/>
    <n v="36.85"/>
    <n v="2505.8000000000002"/>
    <n v="2505.8000000000002"/>
    <n v="2432.1"/>
    <n v="2512.8200000000002"/>
    <n v="2512.8200000000002"/>
    <n v="2512.8200000000002"/>
    <x v="1"/>
    <x v="2"/>
    <x v="1"/>
    <n v="737"/>
    <x v="0"/>
  </r>
  <r>
    <x v="72"/>
    <x v="68"/>
    <n v="1"/>
    <x v="0"/>
    <s v="6ºC"/>
    <x v="0"/>
    <s v="Fertirrigação"/>
    <x v="14"/>
    <s v="3 - Parceria"/>
    <n v="8.73"/>
    <n v="0"/>
    <n v="0"/>
    <n v="8.73"/>
    <n v="523.79999999999995"/>
    <n v="0"/>
    <n v="0"/>
    <n v="524.94000000000005"/>
    <x v="0"/>
    <x v="23"/>
    <x v="0"/>
    <x v="1"/>
    <x v="1"/>
    <n v="8.73"/>
    <n v="8.73"/>
    <n v="8.73"/>
    <n v="523.79999999999995"/>
    <n v="524.94000000000005"/>
    <n v="524.94000000000005"/>
    <n v="524.94000000000005"/>
    <n v="524.94000000000005"/>
    <n v="524.94000000000005"/>
    <x v="1"/>
    <x v="1"/>
    <x v="0"/>
    <n v="0"/>
    <x v="0"/>
  </r>
  <r>
    <x v="72"/>
    <x v="68"/>
    <n v="2"/>
    <x v="0"/>
    <s v="6ºC"/>
    <x v="0"/>
    <s v="Fertirrigação"/>
    <x v="14"/>
    <s v="3 - Parceria"/>
    <n v="2.69"/>
    <n v="0"/>
    <n v="0"/>
    <n v="2.69"/>
    <n v="161.4"/>
    <n v="0"/>
    <n v="0"/>
    <n v="161.28"/>
    <x v="0"/>
    <x v="23"/>
    <x v="0"/>
    <x v="1"/>
    <x v="1"/>
    <n v="2.69"/>
    <n v="2.69"/>
    <n v="2.69"/>
    <n v="161.4"/>
    <n v="161.28"/>
    <n v="161.28"/>
    <n v="161.28"/>
    <n v="161.28"/>
    <n v="161.28"/>
    <x v="1"/>
    <x v="1"/>
    <x v="0"/>
    <n v="0"/>
    <x v="0"/>
  </r>
  <r>
    <x v="72"/>
    <x v="68"/>
    <n v="3"/>
    <x v="0"/>
    <s v="6ºC"/>
    <x v="0"/>
    <s v="Fertirrigação"/>
    <x v="14"/>
    <s v="3 - Parceria"/>
    <n v="3.02"/>
    <n v="0"/>
    <n v="0"/>
    <n v="3.02"/>
    <n v="181.2"/>
    <n v="0"/>
    <n v="0"/>
    <n v="181.31"/>
    <x v="0"/>
    <x v="23"/>
    <x v="0"/>
    <x v="1"/>
    <x v="1"/>
    <n v="3.02"/>
    <n v="3.02"/>
    <n v="3.02"/>
    <n v="181.2"/>
    <n v="181.31"/>
    <n v="181.31"/>
    <n v="181.31"/>
    <n v="181.31"/>
    <n v="181.31"/>
    <x v="1"/>
    <x v="1"/>
    <x v="0"/>
    <n v="0"/>
    <x v="0"/>
  </r>
  <r>
    <x v="72"/>
    <x v="68"/>
    <n v="4"/>
    <x v="0"/>
    <s v="6ºC"/>
    <x v="0"/>
    <s v="Fertirrigação"/>
    <x v="14"/>
    <s v="3 - Parceria"/>
    <n v="1.65"/>
    <n v="0"/>
    <n v="0"/>
    <n v="1.65"/>
    <n v="99"/>
    <n v="0"/>
    <n v="0"/>
    <n v="99.16"/>
    <x v="0"/>
    <x v="23"/>
    <x v="0"/>
    <x v="1"/>
    <x v="1"/>
    <n v="1.65"/>
    <n v="1.65"/>
    <n v="1.65"/>
    <n v="99"/>
    <n v="99.16"/>
    <n v="99.16"/>
    <n v="99.16"/>
    <n v="99.16"/>
    <n v="99.16"/>
    <x v="1"/>
    <x v="1"/>
    <x v="0"/>
    <n v="0"/>
    <x v="0"/>
  </r>
  <r>
    <x v="72"/>
    <x v="68"/>
    <n v="5"/>
    <x v="0"/>
    <s v="6ºC"/>
    <x v="0"/>
    <s v="Fertirrigação"/>
    <x v="14"/>
    <s v="3 - Parceria"/>
    <n v="2.39"/>
    <n v="0"/>
    <n v="0"/>
    <n v="2.39"/>
    <n v="143.4"/>
    <n v="0"/>
    <n v="0"/>
    <n v="143.34"/>
    <x v="0"/>
    <x v="23"/>
    <x v="0"/>
    <x v="1"/>
    <x v="1"/>
    <n v="2.39"/>
    <n v="2.39"/>
    <n v="2.39"/>
    <n v="143.4"/>
    <n v="143.34"/>
    <n v="143.34"/>
    <n v="143.34"/>
    <n v="143.34"/>
    <n v="143.34"/>
    <x v="1"/>
    <x v="1"/>
    <x v="0"/>
    <n v="0"/>
    <x v="0"/>
  </r>
  <r>
    <x v="72"/>
    <x v="68"/>
    <n v="8"/>
    <x v="0"/>
    <s v="6ºC"/>
    <x v="0"/>
    <s v="Fertirrigação"/>
    <x v="14"/>
    <s v="3 - Parceria"/>
    <n v="2.4"/>
    <n v="0"/>
    <n v="0"/>
    <n v="2.4"/>
    <n v="144"/>
    <n v="0"/>
    <n v="0"/>
    <n v="155.41999999999999"/>
    <x v="0"/>
    <x v="14"/>
    <x v="0"/>
    <x v="1"/>
    <x v="1"/>
    <n v="2.4"/>
    <n v="2.4"/>
    <n v="2.4"/>
    <n v="144"/>
    <n v="155.41999999999999"/>
    <n v="155.41999999999999"/>
    <n v="155.41999999999999"/>
    <n v="155.41999999999999"/>
    <n v="155.41999999999999"/>
    <x v="1"/>
    <x v="1"/>
    <x v="0"/>
    <n v="0"/>
    <x v="0"/>
  </r>
  <r>
    <x v="72"/>
    <x v="68"/>
    <n v="9"/>
    <x v="0"/>
    <s v="6ºC"/>
    <x v="0"/>
    <s v="Fertirrigação"/>
    <x v="14"/>
    <s v="3 - Parceria"/>
    <n v="27.75"/>
    <n v="0"/>
    <n v="0"/>
    <n v="27.75"/>
    <n v="1665"/>
    <n v="0"/>
    <n v="0"/>
    <n v="1797.87"/>
    <x v="0"/>
    <x v="14"/>
    <x v="0"/>
    <x v="1"/>
    <x v="1"/>
    <n v="27.75"/>
    <n v="27.75"/>
    <n v="27.75"/>
    <n v="1665"/>
    <n v="1797.87"/>
    <n v="1797.87"/>
    <n v="1797.87"/>
    <n v="1797.87"/>
    <n v="1797.87"/>
    <x v="1"/>
    <x v="1"/>
    <x v="0"/>
    <n v="0"/>
    <x v="0"/>
  </r>
  <r>
    <x v="72"/>
    <x v="68"/>
    <n v="10"/>
    <x v="0"/>
    <s v="6ºC"/>
    <x v="0"/>
    <s v="Fertirrigação"/>
    <x v="14"/>
    <s v="3 - Parceria"/>
    <n v="31.85"/>
    <n v="0"/>
    <n v="0"/>
    <n v="31.85"/>
    <n v="2229.5"/>
    <n v="0"/>
    <n v="0"/>
    <n v="2408"/>
    <x v="0"/>
    <x v="14"/>
    <x v="0"/>
    <x v="1"/>
    <x v="1"/>
    <n v="31.85"/>
    <n v="31.85"/>
    <n v="31.85"/>
    <n v="2229.5"/>
    <n v="2408"/>
    <n v="2408"/>
    <n v="2408"/>
    <n v="2408"/>
    <n v="2408"/>
    <x v="1"/>
    <x v="1"/>
    <x v="0"/>
    <n v="0"/>
    <x v="0"/>
  </r>
  <r>
    <x v="72"/>
    <x v="68"/>
    <n v="11"/>
    <x v="0"/>
    <s v="6ºC"/>
    <x v="0"/>
    <s v="Fertirrigação"/>
    <x v="14"/>
    <s v="3 - Parceria"/>
    <n v="3.79"/>
    <n v="0"/>
    <n v="0"/>
    <n v="3.79"/>
    <n v="265.3"/>
    <n v="0"/>
    <n v="0"/>
    <n v="286.07"/>
    <x v="0"/>
    <x v="14"/>
    <x v="0"/>
    <x v="1"/>
    <x v="1"/>
    <n v="3.79"/>
    <n v="3.79"/>
    <n v="3.79"/>
    <n v="265.3"/>
    <n v="286.07"/>
    <n v="286.07"/>
    <n v="286.07"/>
    <n v="286.07"/>
    <n v="286.07"/>
    <x v="1"/>
    <x v="1"/>
    <x v="0"/>
    <n v="0"/>
    <x v="0"/>
  </r>
  <r>
    <x v="72"/>
    <x v="68"/>
    <n v="12"/>
    <x v="0"/>
    <s v="6ºC"/>
    <x v="0"/>
    <s v="Fertirrigação"/>
    <x v="14"/>
    <s v="3 - Parceria"/>
    <n v="10.88"/>
    <n v="0"/>
    <n v="0"/>
    <n v="10.88"/>
    <n v="761.6"/>
    <n v="0"/>
    <n v="0"/>
    <n v="823.2"/>
    <x v="0"/>
    <x v="14"/>
    <x v="0"/>
    <x v="1"/>
    <x v="1"/>
    <n v="10.88"/>
    <n v="10.88"/>
    <n v="10.88"/>
    <n v="761.6"/>
    <n v="823.2"/>
    <n v="823.2"/>
    <n v="823.2"/>
    <n v="823.2"/>
    <n v="823.2"/>
    <x v="1"/>
    <x v="1"/>
    <x v="0"/>
    <n v="0"/>
    <x v="0"/>
  </r>
  <r>
    <x v="73"/>
    <x v="69"/>
    <n v="1"/>
    <x v="3"/>
    <s v="INV"/>
    <x v="0"/>
    <s v="Mineral"/>
    <x v="1"/>
    <s v="3 - Parceria"/>
    <n v="29.21"/>
    <n v="29.21"/>
    <n v="29.21"/>
    <n v="29.21"/>
    <n v="3213.1"/>
    <n v="3213.1"/>
    <n v="3213.1"/>
    <n v="2574.11"/>
    <x v="0"/>
    <x v="34"/>
    <x v="0"/>
    <x v="0"/>
    <x v="0"/>
    <n v="29.21"/>
    <n v="29.21"/>
    <n v="29.21"/>
    <n v="3213.1"/>
    <n v="3213.1"/>
    <n v="3213.1"/>
    <n v="2574.11"/>
    <n v="2574.11"/>
    <n v="2574.11"/>
    <x v="1"/>
    <x v="0"/>
    <x v="0"/>
    <n v="0"/>
    <x v="0"/>
  </r>
  <r>
    <x v="73"/>
    <x v="69"/>
    <n v="2"/>
    <x v="3"/>
    <s v="INV"/>
    <x v="0"/>
    <s v="Mineral"/>
    <x v="1"/>
    <s v="3 - Parceria"/>
    <n v="21.44"/>
    <n v="21.44"/>
    <n v="21.44"/>
    <n v="21.44"/>
    <n v="2358.4"/>
    <n v="2379.84"/>
    <n v="2358.4"/>
    <n v="1889.25"/>
    <x v="0"/>
    <x v="34"/>
    <x v="0"/>
    <x v="0"/>
    <x v="0"/>
    <n v="21.44"/>
    <n v="21.44"/>
    <n v="21.44"/>
    <n v="2358.4"/>
    <n v="2379.84"/>
    <n v="2358.4"/>
    <n v="1889.25"/>
    <n v="1889.25"/>
    <n v="1889.25"/>
    <x v="1"/>
    <x v="0"/>
    <x v="0"/>
    <n v="0"/>
    <x v="0"/>
  </r>
  <r>
    <x v="73"/>
    <x v="69"/>
    <n v="3"/>
    <x v="3"/>
    <s v="INV"/>
    <x v="0"/>
    <s v="Mineral"/>
    <x v="1"/>
    <s v="3 - Parceria"/>
    <n v="8.64"/>
    <n v="8.64"/>
    <n v="8.64"/>
    <n v="8.64"/>
    <n v="950.4"/>
    <n v="959.04"/>
    <n v="950.4"/>
    <n v="697.33"/>
    <x v="0"/>
    <x v="34"/>
    <x v="0"/>
    <x v="0"/>
    <x v="0"/>
    <n v="8.64"/>
    <n v="8.64"/>
    <n v="8.64"/>
    <n v="950.4"/>
    <n v="959.04"/>
    <n v="950.4"/>
    <n v="697.33"/>
    <n v="697.33"/>
    <n v="697.33"/>
    <x v="1"/>
    <x v="0"/>
    <x v="0"/>
    <n v="0"/>
    <x v="0"/>
  </r>
  <r>
    <x v="73"/>
    <x v="69"/>
    <n v="8"/>
    <x v="5"/>
    <s v="2ºC"/>
    <x v="0"/>
    <s v="Mineral"/>
    <x v="9"/>
    <s v="3 - Parceria"/>
    <n v="35.090000000000003"/>
    <n v="35.090000000000003"/>
    <n v="35.090000000000003"/>
    <n v="35.090000000000003"/>
    <n v="3333.55"/>
    <n v="3403.73"/>
    <n v="3193.19"/>
    <n v="2785.78"/>
    <x v="0"/>
    <x v="12"/>
    <x v="0"/>
    <x v="0"/>
    <x v="0"/>
    <n v="35.090000000000003"/>
    <n v="35.090000000000003"/>
    <n v="35.090000000000003"/>
    <n v="3333.55"/>
    <n v="3403.73"/>
    <n v="3193.19"/>
    <n v="2785.78"/>
    <n v="2785.78"/>
    <n v="2785.78"/>
    <x v="1"/>
    <x v="0"/>
    <x v="0"/>
    <n v="0"/>
    <x v="0"/>
  </r>
  <r>
    <x v="73"/>
    <x v="69"/>
    <n v="9"/>
    <x v="5"/>
    <s v="2ºC"/>
    <x v="0"/>
    <s v="Mineral"/>
    <x v="1"/>
    <s v="3 - Parceria"/>
    <n v="12.47"/>
    <n v="12.47"/>
    <n v="12.47"/>
    <n v="12.47"/>
    <n v="1059.95"/>
    <n v="1072.42"/>
    <n v="1072.42"/>
    <n v="935.5"/>
    <x v="0"/>
    <x v="12"/>
    <x v="0"/>
    <x v="0"/>
    <x v="0"/>
    <n v="12.47"/>
    <n v="12.47"/>
    <n v="12.47"/>
    <n v="1059.95"/>
    <n v="1072.42"/>
    <n v="1072.42"/>
    <n v="935.5"/>
    <n v="935.5"/>
    <n v="935.5"/>
    <x v="1"/>
    <x v="0"/>
    <x v="0"/>
    <n v="0"/>
    <x v="0"/>
  </r>
  <r>
    <x v="73"/>
    <x v="69"/>
    <n v="10"/>
    <x v="5"/>
    <s v="2ºC"/>
    <x v="0"/>
    <s v="Mineral"/>
    <x v="30"/>
    <s v="3 - Parceria"/>
    <n v="29.12"/>
    <n v="29.12"/>
    <n v="29.12"/>
    <n v="29.12"/>
    <n v="2504.3200000000002"/>
    <n v="2533.44"/>
    <n v="2213.12"/>
    <n v="1930.66"/>
    <x v="0"/>
    <x v="12"/>
    <x v="0"/>
    <x v="0"/>
    <x v="0"/>
    <n v="29.12"/>
    <n v="29.12"/>
    <n v="29.12"/>
    <n v="2504.3200000000002"/>
    <n v="2533.44"/>
    <n v="2213.12"/>
    <n v="1930.66"/>
    <n v="1930.66"/>
    <n v="1930.66"/>
    <x v="1"/>
    <x v="0"/>
    <x v="0"/>
    <n v="0"/>
    <x v="0"/>
  </r>
  <r>
    <x v="73"/>
    <x v="69"/>
    <n v="11"/>
    <x v="5"/>
    <s v="2ºC"/>
    <x v="0"/>
    <s v="Mineral"/>
    <x v="1"/>
    <s v="3 - Parceria"/>
    <n v="38.32"/>
    <n v="38.32"/>
    <n v="38.32"/>
    <n v="38.32"/>
    <n v="3065.6"/>
    <n v="3142.24"/>
    <n v="2337.52"/>
    <n v="2039.2"/>
    <x v="0"/>
    <x v="12"/>
    <x v="0"/>
    <x v="0"/>
    <x v="0"/>
    <n v="38.32"/>
    <n v="38.32"/>
    <n v="38.32"/>
    <n v="3065.6"/>
    <n v="3142.24"/>
    <n v="2337.52"/>
    <n v="2039.2"/>
    <n v="2039.2"/>
    <n v="2039.2"/>
    <x v="1"/>
    <x v="0"/>
    <x v="0"/>
    <n v="0"/>
    <x v="0"/>
  </r>
  <r>
    <x v="73"/>
    <x v="69"/>
    <n v="12"/>
    <x v="5"/>
    <s v="2ºC"/>
    <x v="0"/>
    <s v="Mineral"/>
    <x v="1"/>
    <s v="3 - Parceria"/>
    <n v="20.47"/>
    <n v="20.47"/>
    <n v="20.47"/>
    <n v="20.47"/>
    <n v="1719.48"/>
    <n v="1596.66"/>
    <n v="1432.9"/>
    <n v="1346.64"/>
    <x v="0"/>
    <x v="12"/>
    <x v="0"/>
    <x v="0"/>
    <x v="0"/>
    <n v="20.47"/>
    <n v="20.47"/>
    <n v="20.47"/>
    <n v="1719.48"/>
    <n v="1596.66"/>
    <n v="1432.9"/>
    <n v="1346.64"/>
    <n v="1346.64"/>
    <n v="1346.64"/>
    <x v="1"/>
    <x v="0"/>
    <x v="0"/>
    <n v="0"/>
    <x v="0"/>
  </r>
  <r>
    <x v="73"/>
    <x v="69"/>
    <n v="13"/>
    <x v="5"/>
    <s v="2ºC"/>
    <x v="0"/>
    <s v="Mineral"/>
    <x v="1"/>
    <s v="3 - Parceria"/>
    <n v="15.77"/>
    <n v="15.77"/>
    <n v="15.77"/>
    <n v="15.77"/>
    <n v="1324.68"/>
    <n v="1356.22"/>
    <n v="1261.5999999999999"/>
    <n v="1153.32"/>
    <x v="0"/>
    <x v="12"/>
    <x v="0"/>
    <x v="0"/>
    <x v="0"/>
    <n v="15.77"/>
    <n v="15.77"/>
    <n v="15.77"/>
    <n v="1324.68"/>
    <n v="1356.22"/>
    <n v="1261.5999999999999"/>
    <n v="1153.32"/>
    <n v="1153.32"/>
    <n v="1153.32"/>
    <x v="1"/>
    <x v="0"/>
    <x v="0"/>
    <n v="0"/>
    <x v="0"/>
  </r>
  <r>
    <x v="73"/>
    <x v="69"/>
    <n v="14"/>
    <x v="5"/>
    <s v="2ºC"/>
    <x v="0"/>
    <s v="Mineral"/>
    <x v="1"/>
    <s v="3 - Parceria"/>
    <n v="49.39"/>
    <n v="49.39"/>
    <n v="49.39"/>
    <n v="49.39"/>
    <n v="4198.1499999999996"/>
    <n v="4296.93"/>
    <n v="4000.59"/>
    <n v="3323.15"/>
    <x v="0"/>
    <x v="20"/>
    <x v="0"/>
    <x v="0"/>
    <x v="0"/>
    <n v="49.39"/>
    <n v="49.39"/>
    <n v="49.39"/>
    <n v="4198.1499999999996"/>
    <n v="4296.93"/>
    <n v="4000.59"/>
    <n v="3323.15"/>
    <n v="3323.15"/>
    <n v="3323.15"/>
    <x v="1"/>
    <x v="0"/>
    <x v="0"/>
    <n v="0"/>
    <x v="0"/>
  </r>
  <r>
    <x v="73"/>
    <x v="69"/>
    <n v="29"/>
    <x v="5"/>
    <s v="2ºC"/>
    <x v="0"/>
    <s v="Mineral"/>
    <x v="1"/>
    <s v="3 - Parceria"/>
    <n v="2.67"/>
    <n v="2.67"/>
    <n v="2.67"/>
    <n v="2.67"/>
    <n v="226.95"/>
    <n v="232.29"/>
    <n v="202.92"/>
    <n v="264.04000000000002"/>
    <x v="0"/>
    <x v="20"/>
    <x v="0"/>
    <x v="0"/>
    <x v="0"/>
    <n v="2.67"/>
    <n v="2.67"/>
    <n v="2.67"/>
    <n v="226.95"/>
    <n v="232.29"/>
    <n v="202.92"/>
    <n v="264.04000000000002"/>
    <n v="264.04000000000002"/>
    <n v="264.04000000000002"/>
    <x v="1"/>
    <x v="0"/>
    <x v="0"/>
    <n v="0"/>
    <x v="0"/>
  </r>
  <r>
    <x v="73"/>
    <x v="69"/>
    <n v="30"/>
    <x v="5"/>
    <s v="2ºC"/>
    <x v="0"/>
    <s v="Mineral"/>
    <x v="1"/>
    <s v="3 - Parceria"/>
    <n v="20.27"/>
    <n v="20.27"/>
    <n v="20.27"/>
    <n v="20.27"/>
    <n v="1722.95"/>
    <n v="1763.49"/>
    <n v="1540.52"/>
    <n v="2005.94"/>
    <x v="0"/>
    <x v="20"/>
    <x v="0"/>
    <x v="0"/>
    <x v="0"/>
    <n v="20.27"/>
    <n v="20.27"/>
    <n v="20.27"/>
    <n v="1722.95"/>
    <n v="1763.49"/>
    <n v="1540.52"/>
    <n v="2005.94"/>
    <n v="2005.94"/>
    <n v="2005.94"/>
    <x v="1"/>
    <x v="0"/>
    <x v="0"/>
    <n v="0"/>
    <x v="0"/>
  </r>
  <r>
    <x v="73"/>
    <x v="69"/>
    <n v="31"/>
    <x v="5"/>
    <s v="2ºC"/>
    <x v="0"/>
    <s v="Mineral"/>
    <x v="1"/>
    <s v="3 - Parceria"/>
    <n v="1.26"/>
    <n v="1.26"/>
    <n v="1.26"/>
    <n v="1.26"/>
    <n v="107.1"/>
    <n v="109.62"/>
    <n v="104.58"/>
    <n v="87.08"/>
    <x v="0"/>
    <x v="20"/>
    <x v="0"/>
    <x v="0"/>
    <x v="0"/>
    <n v="1.26"/>
    <n v="1.26"/>
    <n v="1.26"/>
    <n v="107.1"/>
    <n v="109.62"/>
    <n v="104.58"/>
    <n v="87.08"/>
    <n v="87.08"/>
    <n v="87.08"/>
    <x v="1"/>
    <x v="0"/>
    <x v="0"/>
    <n v="0"/>
    <x v="0"/>
  </r>
  <r>
    <x v="73"/>
    <x v="69"/>
    <n v="32"/>
    <x v="5"/>
    <s v="2ºC"/>
    <x v="0"/>
    <s v="Mineral"/>
    <x v="1"/>
    <s v="3 - Parceria"/>
    <n v="37.36"/>
    <n v="37.36"/>
    <n v="37.36"/>
    <n v="37.36"/>
    <n v="3175.6"/>
    <n v="3250.32"/>
    <n v="3250.32"/>
    <n v="2718.69"/>
    <x v="0"/>
    <x v="20"/>
    <x v="0"/>
    <x v="0"/>
    <x v="0"/>
    <n v="37.36"/>
    <n v="37.36"/>
    <n v="37.36"/>
    <n v="3175.6"/>
    <n v="3250.32"/>
    <n v="3250.32"/>
    <n v="2718.69"/>
    <n v="2718.69"/>
    <n v="2718.69"/>
    <x v="1"/>
    <x v="0"/>
    <x v="0"/>
    <n v="0"/>
    <x v="0"/>
  </r>
  <r>
    <x v="73"/>
    <x v="69"/>
    <n v="33"/>
    <x v="5"/>
    <s v="2ºC"/>
    <x v="0"/>
    <s v="Mineral"/>
    <x v="1"/>
    <s v="3 - Parceria"/>
    <n v="14.05"/>
    <n v="14.05"/>
    <n v="14.05"/>
    <n v="14.05"/>
    <n v="1194.25"/>
    <n v="1264.5"/>
    <n v="1264.5"/>
    <n v="1066.69"/>
    <x v="0"/>
    <x v="20"/>
    <x v="0"/>
    <x v="0"/>
    <x v="0"/>
    <n v="14.05"/>
    <n v="14.05"/>
    <n v="14.05"/>
    <n v="1194.25"/>
    <n v="1264.5"/>
    <n v="1264.5"/>
    <n v="1066.69"/>
    <n v="1066.69"/>
    <n v="1066.69"/>
    <x v="1"/>
    <x v="0"/>
    <x v="0"/>
    <n v="0"/>
    <x v="0"/>
  </r>
  <r>
    <x v="73"/>
    <x v="69"/>
    <n v="39"/>
    <x v="5"/>
    <s v="2ºC"/>
    <x v="0"/>
    <s v="Mineral"/>
    <x v="1"/>
    <s v="3 - Parceria"/>
    <n v="2.91"/>
    <n v="2.91"/>
    <n v="2.91"/>
    <n v="2.91"/>
    <n v="247.35"/>
    <n v="250.26"/>
    <n v="221.16"/>
    <n v="289.05"/>
    <x v="0"/>
    <x v="20"/>
    <x v="0"/>
    <x v="0"/>
    <x v="0"/>
    <n v="2.91"/>
    <n v="2.91"/>
    <n v="2.91"/>
    <n v="247.35"/>
    <n v="250.26"/>
    <n v="221.16"/>
    <n v="289.05"/>
    <n v="289.05"/>
    <n v="289.05"/>
    <x v="1"/>
    <x v="0"/>
    <x v="0"/>
    <n v="0"/>
    <x v="0"/>
  </r>
  <r>
    <x v="73"/>
    <x v="69"/>
    <n v="40"/>
    <x v="6"/>
    <s v="5ºC"/>
    <x v="0"/>
    <s v="Mineral"/>
    <x v="27"/>
    <s v="3 - Parceria"/>
    <n v="10.7"/>
    <n v="0"/>
    <n v="0"/>
    <n v="10.7"/>
    <n v="449.4"/>
    <n v="0"/>
    <n v="0"/>
    <n v="796.72"/>
    <x v="0"/>
    <x v="23"/>
    <x v="0"/>
    <x v="1"/>
    <x v="1"/>
    <n v="10.7"/>
    <n v="10.7"/>
    <n v="10.7"/>
    <n v="449.4"/>
    <n v="796.72"/>
    <n v="796.72"/>
    <n v="796.72"/>
    <n v="796.72"/>
    <n v="796.72"/>
    <x v="1"/>
    <x v="0"/>
    <x v="0"/>
    <n v="0"/>
    <x v="0"/>
  </r>
  <r>
    <x v="73"/>
    <x v="69"/>
    <n v="41"/>
    <x v="6"/>
    <s v="5ºC"/>
    <x v="0"/>
    <s v="Mineral"/>
    <x v="27"/>
    <s v="3 - Parceria"/>
    <n v="5.93"/>
    <n v="0"/>
    <n v="0"/>
    <n v="5.93"/>
    <n v="249.06"/>
    <n v="0"/>
    <n v="0"/>
    <n v="441.83"/>
    <x v="0"/>
    <x v="23"/>
    <x v="0"/>
    <x v="1"/>
    <x v="1"/>
    <n v="5.93"/>
    <n v="5.93"/>
    <n v="5.93"/>
    <n v="249.06"/>
    <n v="441.83"/>
    <n v="441.83"/>
    <n v="441.83"/>
    <n v="441.83"/>
    <n v="441.83"/>
    <x v="1"/>
    <x v="0"/>
    <x v="0"/>
    <n v="0"/>
    <x v="0"/>
  </r>
  <r>
    <x v="73"/>
    <x v="69"/>
    <n v="42"/>
    <x v="6"/>
    <s v="5ºC"/>
    <x v="0"/>
    <s v="Mineral"/>
    <x v="27"/>
    <s v="3 - Parceria"/>
    <n v="6.98"/>
    <n v="0"/>
    <n v="0"/>
    <n v="6.98"/>
    <n v="293.16000000000003"/>
    <n v="0"/>
    <n v="0"/>
    <n v="519.97"/>
    <x v="0"/>
    <x v="23"/>
    <x v="0"/>
    <x v="1"/>
    <x v="1"/>
    <n v="6.98"/>
    <n v="6.98"/>
    <n v="6.98"/>
    <n v="293.16000000000003"/>
    <n v="519.97"/>
    <n v="519.97"/>
    <n v="519.97"/>
    <n v="519.97"/>
    <n v="519.97"/>
    <x v="1"/>
    <x v="0"/>
    <x v="0"/>
    <n v="0"/>
    <x v="0"/>
  </r>
  <r>
    <x v="73"/>
    <x v="69"/>
    <n v="43"/>
    <x v="6"/>
    <s v="5ºC"/>
    <x v="0"/>
    <s v="Mineral"/>
    <x v="27"/>
    <s v="3 - Parceria"/>
    <n v="4.71"/>
    <n v="4.71"/>
    <n v="0"/>
    <n v="4.71"/>
    <n v="235.5"/>
    <n v="268.47000000000003"/>
    <n v="0"/>
    <n v="352.62"/>
    <x v="0"/>
    <x v="31"/>
    <x v="0"/>
    <x v="0"/>
    <x v="1"/>
    <n v="4.71"/>
    <n v="4.71"/>
    <n v="4.71"/>
    <n v="235.5"/>
    <n v="268.47000000000003"/>
    <n v="352.62"/>
    <n v="352.62"/>
    <n v="352.62"/>
    <n v="352.62"/>
    <x v="1"/>
    <x v="0"/>
    <x v="0"/>
    <n v="0"/>
    <x v="0"/>
  </r>
  <r>
    <x v="73"/>
    <x v="69"/>
    <n v="44"/>
    <x v="6"/>
    <s v="5ºC"/>
    <x v="0"/>
    <s v="Mineral"/>
    <x v="27"/>
    <s v="3 - Parceria"/>
    <n v="0.43"/>
    <n v="0.43"/>
    <n v="0"/>
    <n v="0.43"/>
    <n v="21.5"/>
    <n v="24.51"/>
    <n v="0"/>
    <n v="32.880000000000003"/>
    <x v="0"/>
    <x v="31"/>
    <x v="0"/>
    <x v="0"/>
    <x v="1"/>
    <n v="0.43"/>
    <n v="0.43"/>
    <n v="0.43"/>
    <n v="21.5"/>
    <n v="24.51"/>
    <n v="32.880000000000003"/>
    <n v="32.880000000000003"/>
    <n v="32.880000000000003"/>
    <n v="32.880000000000003"/>
    <x v="1"/>
    <x v="0"/>
    <x v="0"/>
    <n v="0"/>
    <x v="0"/>
  </r>
  <r>
    <x v="73"/>
    <x v="69"/>
    <n v="45"/>
    <x v="6"/>
    <s v="5ºC"/>
    <x v="0"/>
    <s v="Mineral"/>
    <x v="27"/>
    <s v="3 - Parceria"/>
    <n v="8.6"/>
    <n v="8.6"/>
    <n v="0"/>
    <n v="8.6"/>
    <n v="430"/>
    <n v="490.2"/>
    <n v="0"/>
    <n v="644.77"/>
    <x v="0"/>
    <x v="31"/>
    <x v="0"/>
    <x v="0"/>
    <x v="1"/>
    <n v="8.6"/>
    <n v="8.6"/>
    <n v="8.6"/>
    <n v="430"/>
    <n v="490.2"/>
    <n v="644.77"/>
    <n v="644.77"/>
    <n v="644.77"/>
    <n v="644.77"/>
    <x v="1"/>
    <x v="0"/>
    <x v="0"/>
    <n v="0"/>
    <x v="0"/>
  </r>
  <r>
    <x v="74"/>
    <x v="70"/>
    <n v="1"/>
    <x v="0"/>
    <s v="6ºC"/>
    <x v="0"/>
    <s v="Mineral"/>
    <x v="8"/>
    <s v="3 - Parceria"/>
    <n v="49.81"/>
    <n v="0"/>
    <n v="0"/>
    <n v="49.81"/>
    <n v="1743.35"/>
    <n v="0"/>
    <n v="0"/>
    <n v="1380.32"/>
    <x v="0"/>
    <x v="29"/>
    <x v="0"/>
    <x v="1"/>
    <x v="1"/>
    <n v="49.81"/>
    <n v="49.81"/>
    <n v="49.81"/>
    <n v="1743.35"/>
    <n v="1380.32"/>
    <n v="1380.32"/>
    <n v="1380.32"/>
    <n v="1380.32"/>
    <n v="1380.32"/>
    <x v="1"/>
    <x v="0"/>
    <x v="0"/>
    <n v="0"/>
    <x v="0"/>
  </r>
  <r>
    <x v="74"/>
    <x v="70"/>
    <n v="2"/>
    <x v="0"/>
    <s v="6ºC"/>
    <x v="0"/>
    <s v="Mineral"/>
    <x v="8"/>
    <s v="3 - Parceria"/>
    <n v="42.1"/>
    <n v="0"/>
    <n v="0"/>
    <n v="42.1"/>
    <n v="1473.5"/>
    <n v="0"/>
    <n v="0"/>
    <n v="1167.3599999999999"/>
    <x v="0"/>
    <x v="29"/>
    <x v="0"/>
    <x v="1"/>
    <x v="1"/>
    <n v="42.1"/>
    <n v="42.1"/>
    <n v="42.1"/>
    <n v="1473.5"/>
    <n v="1167.3599999999999"/>
    <n v="1167.3599999999999"/>
    <n v="1167.3599999999999"/>
    <n v="1167.3599999999999"/>
    <n v="1167.3599999999999"/>
    <x v="1"/>
    <x v="0"/>
    <x v="0"/>
    <n v="0"/>
    <x v="0"/>
  </r>
  <r>
    <x v="75"/>
    <x v="71"/>
    <n v="1"/>
    <x v="0"/>
    <s v="6ºC"/>
    <x v="0"/>
    <s v="Mineral"/>
    <x v="8"/>
    <s v="3 - Parceria"/>
    <n v="8.9700000000000006"/>
    <n v="0"/>
    <n v="0"/>
    <n v="8.9700000000000006"/>
    <n v="313.95"/>
    <n v="0"/>
    <n v="0"/>
    <n v="265.67"/>
    <x v="0"/>
    <x v="29"/>
    <x v="0"/>
    <x v="1"/>
    <x v="1"/>
    <n v="8.9700000000000006"/>
    <n v="8.9700000000000006"/>
    <n v="8.9700000000000006"/>
    <n v="313.95"/>
    <n v="265.67"/>
    <n v="265.67"/>
    <n v="265.67"/>
    <n v="265.67"/>
    <n v="265.67"/>
    <x v="1"/>
    <x v="0"/>
    <x v="0"/>
    <n v="0"/>
    <x v="0"/>
  </r>
  <r>
    <x v="75"/>
    <x v="71"/>
    <n v="2"/>
    <x v="0"/>
    <s v="6ºC"/>
    <x v="0"/>
    <s v="Mineral"/>
    <x v="8"/>
    <s v="3 - Parceria"/>
    <n v="11.18"/>
    <n v="0"/>
    <n v="0"/>
    <n v="11.18"/>
    <n v="391.3"/>
    <n v="0"/>
    <n v="0"/>
    <n v="330.83"/>
    <x v="0"/>
    <x v="29"/>
    <x v="0"/>
    <x v="1"/>
    <x v="1"/>
    <n v="11.18"/>
    <n v="11.18"/>
    <n v="11.18"/>
    <n v="391.3"/>
    <n v="330.83"/>
    <n v="330.83"/>
    <n v="330.83"/>
    <n v="330.83"/>
    <n v="330.83"/>
    <x v="1"/>
    <x v="0"/>
    <x v="0"/>
    <n v="0"/>
    <x v="0"/>
  </r>
  <r>
    <x v="75"/>
    <x v="71"/>
    <n v="3"/>
    <x v="0"/>
    <s v="6ºC"/>
    <x v="0"/>
    <s v="Mineral"/>
    <x v="8"/>
    <s v="3 - Parceria"/>
    <n v="13.94"/>
    <n v="0"/>
    <n v="0"/>
    <n v="13.94"/>
    <n v="487.9"/>
    <n v="0"/>
    <n v="0"/>
    <n v="412.91"/>
    <x v="0"/>
    <x v="29"/>
    <x v="0"/>
    <x v="1"/>
    <x v="1"/>
    <n v="13.94"/>
    <n v="13.94"/>
    <n v="13.94"/>
    <n v="487.9"/>
    <n v="412.91"/>
    <n v="412.91"/>
    <n v="412.91"/>
    <n v="412.91"/>
    <n v="412.91"/>
    <x v="1"/>
    <x v="0"/>
    <x v="0"/>
    <n v="0"/>
    <x v="0"/>
  </r>
  <r>
    <x v="75"/>
    <x v="71"/>
    <n v="4"/>
    <x v="0"/>
    <s v="6ºC"/>
    <x v="0"/>
    <s v="Mineral"/>
    <x v="8"/>
    <s v="3 - Parceria"/>
    <n v="18.97"/>
    <n v="0"/>
    <n v="0"/>
    <n v="18.97"/>
    <n v="663.95"/>
    <n v="0"/>
    <n v="0"/>
    <n v="561.84"/>
    <x v="0"/>
    <x v="29"/>
    <x v="0"/>
    <x v="1"/>
    <x v="1"/>
    <n v="18.97"/>
    <n v="18.97"/>
    <n v="18.97"/>
    <n v="663.95"/>
    <n v="561.84"/>
    <n v="561.84"/>
    <n v="561.84"/>
    <n v="561.84"/>
    <n v="561.84"/>
    <x v="1"/>
    <x v="0"/>
    <x v="0"/>
    <n v="0"/>
    <x v="0"/>
  </r>
  <r>
    <x v="75"/>
    <x v="71"/>
    <n v="5"/>
    <x v="0"/>
    <s v="6ºC"/>
    <x v="0"/>
    <s v="Mineral"/>
    <x v="8"/>
    <s v="3 - Parceria"/>
    <n v="21.96"/>
    <n v="0"/>
    <n v="0"/>
    <n v="21.96"/>
    <n v="768.6"/>
    <n v="0"/>
    <n v="0"/>
    <n v="650.71"/>
    <x v="0"/>
    <x v="29"/>
    <x v="0"/>
    <x v="1"/>
    <x v="1"/>
    <n v="21.96"/>
    <n v="21.96"/>
    <n v="21.96"/>
    <n v="768.6"/>
    <n v="650.71"/>
    <n v="650.71"/>
    <n v="650.71"/>
    <n v="650.71"/>
    <n v="650.71"/>
    <x v="1"/>
    <x v="0"/>
    <x v="0"/>
    <n v="0"/>
    <x v="0"/>
  </r>
  <r>
    <x v="75"/>
    <x v="71"/>
    <n v="6"/>
    <x v="0"/>
    <s v="6ºC"/>
    <x v="0"/>
    <s v="Mineral"/>
    <x v="8"/>
    <s v="3 - Parceria"/>
    <n v="17.190000000000001"/>
    <n v="0"/>
    <n v="0"/>
    <n v="17.190000000000001"/>
    <n v="601.65"/>
    <n v="0"/>
    <n v="0"/>
    <n v="509.62"/>
    <x v="0"/>
    <x v="29"/>
    <x v="0"/>
    <x v="1"/>
    <x v="1"/>
    <n v="17.190000000000001"/>
    <n v="17.190000000000001"/>
    <n v="17.190000000000001"/>
    <n v="601.65"/>
    <n v="509.62"/>
    <n v="509.62"/>
    <n v="509.62"/>
    <n v="509.62"/>
    <n v="509.62"/>
    <x v="1"/>
    <x v="0"/>
    <x v="0"/>
    <n v="0"/>
    <x v="0"/>
  </r>
  <r>
    <x v="76"/>
    <x v="72"/>
    <n v="1"/>
    <x v="0"/>
    <s v="6ºC"/>
    <x v="0"/>
    <s v="Mineral"/>
    <x v="27"/>
    <s v="3 - Parceria"/>
    <n v="25.86"/>
    <n v="25.86"/>
    <n v="0"/>
    <n v="25.86"/>
    <n v="775.8"/>
    <n v="517.20000000000005"/>
    <n v="0"/>
    <n v="831.93"/>
    <x v="0"/>
    <x v="31"/>
    <x v="0"/>
    <x v="0"/>
    <x v="1"/>
    <n v="25.86"/>
    <n v="25.86"/>
    <n v="25.86"/>
    <n v="775.8"/>
    <n v="517.20000000000005"/>
    <n v="831.93"/>
    <n v="831.93"/>
    <n v="831.93"/>
    <n v="831.93"/>
    <x v="1"/>
    <x v="0"/>
    <x v="0"/>
    <n v="0"/>
    <x v="0"/>
  </r>
  <r>
    <x v="76"/>
    <x v="72"/>
    <n v="2"/>
    <x v="0"/>
    <s v="6ºC"/>
    <x v="0"/>
    <s v="Mineral"/>
    <x v="27"/>
    <s v="3 - Parceria"/>
    <n v="41.29"/>
    <n v="41.29"/>
    <n v="0"/>
    <n v="41.29"/>
    <n v="1238.7"/>
    <n v="825.8"/>
    <n v="0"/>
    <n v="1284.9100000000001"/>
    <x v="0"/>
    <x v="37"/>
    <x v="0"/>
    <x v="0"/>
    <x v="1"/>
    <n v="41.29"/>
    <n v="41.29"/>
    <n v="41.29"/>
    <n v="1238.7"/>
    <n v="825.8"/>
    <n v="1284.9100000000001"/>
    <n v="1284.9100000000001"/>
    <n v="1284.9100000000001"/>
    <n v="1284.9100000000001"/>
    <x v="1"/>
    <x v="0"/>
    <x v="0"/>
    <n v="0"/>
    <x v="0"/>
  </r>
  <r>
    <x v="76"/>
    <x v="72"/>
    <n v="3"/>
    <x v="0"/>
    <s v="6ºC"/>
    <x v="0"/>
    <s v="Mineral"/>
    <x v="27"/>
    <s v="3 - Parceria"/>
    <n v="4.1900000000000004"/>
    <n v="4.1900000000000004"/>
    <n v="0"/>
    <n v="4.1900000000000004"/>
    <n v="125.7"/>
    <n v="83.8"/>
    <n v="0"/>
    <n v="130.61000000000001"/>
    <x v="0"/>
    <x v="37"/>
    <x v="0"/>
    <x v="0"/>
    <x v="1"/>
    <n v="4.1900000000000004"/>
    <n v="4.1900000000000004"/>
    <n v="4.1900000000000004"/>
    <n v="125.7"/>
    <n v="83.8"/>
    <n v="130.61000000000001"/>
    <n v="130.61000000000001"/>
    <n v="130.61000000000001"/>
    <n v="130.61000000000001"/>
    <x v="1"/>
    <x v="0"/>
    <x v="0"/>
    <n v="0"/>
    <x v="0"/>
  </r>
  <r>
    <x v="76"/>
    <x v="72"/>
    <n v="4"/>
    <x v="0"/>
    <s v="6ºC"/>
    <x v="0"/>
    <s v="Mineral"/>
    <x v="27"/>
    <s v="3 - Parceria"/>
    <n v="19.96"/>
    <n v="19.96"/>
    <n v="0"/>
    <n v="19.96"/>
    <n v="598.79999999999995"/>
    <n v="399.2"/>
    <n v="0"/>
    <n v="620.65"/>
    <x v="0"/>
    <x v="37"/>
    <x v="0"/>
    <x v="0"/>
    <x v="1"/>
    <n v="19.96"/>
    <n v="19.96"/>
    <n v="19.96"/>
    <n v="598.79999999999995"/>
    <n v="399.2"/>
    <n v="620.65"/>
    <n v="620.65"/>
    <n v="620.65"/>
    <n v="620.65"/>
    <x v="0"/>
    <x v="0"/>
    <x v="0"/>
    <n v="0"/>
    <x v="0"/>
  </r>
  <r>
    <x v="76"/>
    <x v="72"/>
    <n v="5"/>
    <x v="0"/>
    <s v="6ºC"/>
    <x v="0"/>
    <s v="Mineral"/>
    <x v="27"/>
    <s v="3 - Parceria"/>
    <n v="31.34"/>
    <n v="31.34"/>
    <n v="0"/>
    <n v="31.34"/>
    <n v="940.2"/>
    <n v="626.79999999999995"/>
    <n v="0"/>
    <n v="975.33"/>
    <x v="0"/>
    <x v="37"/>
    <x v="0"/>
    <x v="0"/>
    <x v="1"/>
    <n v="31.34"/>
    <n v="31.34"/>
    <n v="31.34"/>
    <n v="940.2"/>
    <n v="626.79999999999995"/>
    <n v="975.33"/>
    <n v="975.33"/>
    <n v="975.33"/>
    <n v="975.33"/>
    <x v="0"/>
    <x v="0"/>
    <x v="0"/>
    <n v="0"/>
    <x v="0"/>
  </r>
  <r>
    <x v="76"/>
    <x v="72"/>
    <n v="6"/>
    <x v="0"/>
    <s v="6ºC"/>
    <x v="0"/>
    <s v="Mineral"/>
    <x v="27"/>
    <s v="3 - Parceria"/>
    <n v="17.09"/>
    <n v="17.09"/>
    <n v="0"/>
    <n v="17.09"/>
    <n v="512.70000000000005"/>
    <n v="341.8"/>
    <n v="0"/>
    <n v="531.97"/>
    <x v="0"/>
    <x v="37"/>
    <x v="0"/>
    <x v="0"/>
    <x v="1"/>
    <n v="17.09"/>
    <n v="17.09"/>
    <n v="17.09"/>
    <n v="512.70000000000005"/>
    <n v="341.8"/>
    <n v="531.97"/>
    <n v="531.97"/>
    <n v="531.97"/>
    <n v="531.97"/>
    <x v="0"/>
    <x v="0"/>
    <x v="0"/>
    <n v="0"/>
    <x v="0"/>
  </r>
  <r>
    <x v="76"/>
    <x v="72"/>
    <n v="7"/>
    <x v="0"/>
    <s v="6ºC"/>
    <x v="0"/>
    <s v="Mineral"/>
    <x v="27"/>
    <s v="3 - Parceria"/>
    <n v="10.52"/>
    <n v="10.52"/>
    <n v="0"/>
    <n v="10.52"/>
    <n v="315.60000000000002"/>
    <n v="315.60000000000002"/>
    <n v="0"/>
    <n v="491.52"/>
    <x v="0"/>
    <x v="37"/>
    <x v="0"/>
    <x v="0"/>
    <x v="1"/>
    <n v="10.52"/>
    <n v="10.52"/>
    <n v="10.52"/>
    <n v="315.60000000000002"/>
    <n v="315.60000000000002"/>
    <n v="491.52"/>
    <n v="491.52"/>
    <n v="491.52"/>
    <n v="491.52"/>
    <x v="0"/>
    <x v="0"/>
    <x v="0"/>
    <n v="0"/>
    <x v="0"/>
  </r>
  <r>
    <x v="76"/>
    <x v="72"/>
    <n v="8"/>
    <x v="0"/>
    <s v="6ºC"/>
    <x v="0"/>
    <s v="Mineral"/>
    <x v="27"/>
    <s v="3 - Parceria"/>
    <n v="7.78"/>
    <n v="7.78"/>
    <n v="0"/>
    <n v="7.78"/>
    <n v="233.4"/>
    <n v="155.6"/>
    <n v="0"/>
    <n v="243.08"/>
    <x v="0"/>
    <x v="37"/>
    <x v="0"/>
    <x v="0"/>
    <x v="1"/>
    <n v="7.78"/>
    <n v="7.78"/>
    <n v="7.78"/>
    <n v="233.4"/>
    <n v="155.6"/>
    <n v="243.08"/>
    <n v="243.08"/>
    <n v="243.08"/>
    <n v="243.08"/>
    <x v="0"/>
    <x v="0"/>
    <x v="0"/>
    <n v="0"/>
    <x v="0"/>
  </r>
  <r>
    <x v="76"/>
    <x v="72"/>
    <n v="9"/>
    <x v="6"/>
    <s v="5ºC"/>
    <x v="0"/>
    <s v="Mineral"/>
    <x v="1"/>
    <s v="3 - Parceria"/>
    <n v="39.06"/>
    <n v="39.06"/>
    <n v="0"/>
    <n v="39.06"/>
    <n v="1367.1"/>
    <n v="1367.1"/>
    <n v="0"/>
    <n v="1588.64"/>
    <x v="0"/>
    <x v="37"/>
    <x v="0"/>
    <x v="0"/>
    <x v="1"/>
    <n v="39.06"/>
    <n v="39.06"/>
    <n v="39.06"/>
    <n v="1367.1"/>
    <n v="1367.1"/>
    <n v="1588.64"/>
    <n v="1588.64"/>
    <n v="1588.64"/>
    <n v="1588.64"/>
    <x v="1"/>
    <x v="0"/>
    <x v="0"/>
    <n v="0"/>
    <x v="0"/>
  </r>
  <r>
    <x v="76"/>
    <x v="72"/>
    <n v="10"/>
    <x v="6"/>
    <s v="5ºC"/>
    <x v="0"/>
    <s v="Mineral"/>
    <x v="1"/>
    <s v="3 - Parceria"/>
    <n v="20.059999999999999"/>
    <n v="20.059999999999999"/>
    <n v="0"/>
    <n v="20.059999999999999"/>
    <n v="702.1"/>
    <n v="702.1"/>
    <n v="0"/>
    <n v="815.78"/>
    <x v="0"/>
    <x v="37"/>
    <x v="0"/>
    <x v="0"/>
    <x v="1"/>
    <n v="20.059999999999999"/>
    <n v="20.059999999999999"/>
    <n v="20.059999999999999"/>
    <n v="702.1"/>
    <n v="702.1"/>
    <n v="815.78"/>
    <n v="815.78"/>
    <n v="815.78"/>
    <n v="815.78"/>
    <x v="1"/>
    <x v="0"/>
    <x v="0"/>
    <n v="0"/>
    <x v="0"/>
  </r>
  <r>
    <x v="76"/>
    <x v="72"/>
    <n v="11"/>
    <x v="6"/>
    <s v="5ºC"/>
    <x v="0"/>
    <s v="Mineral"/>
    <x v="1"/>
    <s v="3 - Parceria"/>
    <n v="48.96"/>
    <n v="48.96"/>
    <n v="0"/>
    <n v="48.96"/>
    <n v="1713.6"/>
    <n v="1468.8"/>
    <n v="0"/>
    <n v="1707.19"/>
    <x v="0"/>
    <x v="37"/>
    <x v="0"/>
    <x v="0"/>
    <x v="1"/>
    <n v="48.96"/>
    <n v="48.96"/>
    <n v="48.96"/>
    <n v="1713.6"/>
    <n v="1468.8"/>
    <n v="1707.19"/>
    <n v="1707.19"/>
    <n v="1707.19"/>
    <n v="1707.19"/>
    <x v="1"/>
    <x v="0"/>
    <x v="0"/>
    <n v="0"/>
    <x v="0"/>
  </r>
  <r>
    <x v="76"/>
    <x v="72"/>
    <n v="12"/>
    <x v="0"/>
    <s v="6ºC"/>
    <x v="0"/>
    <s v="Mineral"/>
    <x v="1"/>
    <s v="3 - Parceria"/>
    <n v="10.039999999999999"/>
    <n v="10.039999999999999"/>
    <n v="0"/>
    <n v="10.039999999999999"/>
    <n v="351.4"/>
    <n v="301.2"/>
    <n v="0"/>
    <n v="562.69000000000005"/>
    <x v="0"/>
    <x v="37"/>
    <x v="0"/>
    <x v="0"/>
    <x v="1"/>
    <n v="10.039999999999999"/>
    <n v="10.039999999999999"/>
    <n v="10.039999999999999"/>
    <n v="351.4"/>
    <n v="301.2"/>
    <n v="562.69000000000005"/>
    <n v="562.69000000000005"/>
    <n v="562.69000000000005"/>
    <n v="562.69000000000005"/>
    <x v="1"/>
    <x v="0"/>
    <x v="0"/>
    <n v="0"/>
    <x v="0"/>
  </r>
  <r>
    <x v="76"/>
    <x v="72"/>
    <n v="13"/>
    <x v="6"/>
    <s v="5ºC"/>
    <x v="0"/>
    <s v="Mineral"/>
    <x v="1"/>
    <s v="3 - Parceria"/>
    <n v="23.49"/>
    <n v="23.49"/>
    <n v="0"/>
    <n v="23.49"/>
    <n v="822.15"/>
    <n v="822.15"/>
    <n v="0"/>
    <n v="955.24"/>
    <x v="0"/>
    <x v="37"/>
    <x v="0"/>
    <x v="0"/>
    <x v="1"/>
    <n v="23.49"/>
    <n v="23.49"/>
    <n v="23.49"/>
    <n v="822.15"/>
    <n v="822.15"/>
    <n v="955.24"/>
    <n v="955.24"/>
    <n v="955.24"/>
    <n v="955.24"/>
    <x v="0"/>
    <x v="0"/>
    <x v="0"/>
    <n v="0"/>
    <x v="0"/>
  </r>
  <r>
    <x v="76"/>
    <x v="72"/>
    <n v="14"/>
    <x v="6"/>
    <s v="5ºC"/>
    <x v="0"/>
    <s v="Mineral"/>
    <x v="1"/>
    <s v="3 - Parceria"/>
    <n v="21.57"/>
    <n v="21.57"/>
    <n v="0"/>
    <n v="21.57"/>
    <n v="431.4"/>
    <n v="388.26"/>
    <n v="0"/>
    <n v="451.28"/>
    <x v="0"/>
    <x v="37"/>
    <x v="0"/>
    <x v="0"/>
    <x v="1"/>
    <n v="21.57"/>
    <n v="21.57"/>
    <n v="21.57"/>
    <n v="431.4"/>
    <n v="388.26"/>
    <n v="451.28"/>
    <n v="451.28"/>
    <n v="451.28"/>
    <n v="451.28"/>
    <x v="0"/>
    <x v="0"/>
    <x v="0"/>
    <n v="0"/>
    <x v="0"/>
  </r>
  <r>
    <x v="77"/>
    <x v="73"/>
    <n v="1"/>
    <x v="2"/>
    <s v="3ºC"/>
    <x v="0"/>
    <s v="Fertirrigação"/>
    <x v="13"/>
    <s v="3 - Parceria"/>
    <n v="23.21"/>
    <n v="23.21"/>
    <n v="23.21"/>
    <n v="23.21"/>
    <n v="1392.6"/>
    <n v="1392.6"/>
    <n v="1299.76"/>
    <n v="1625.07"/>
    <x v="0"/>
    <x v="20"/>
    <x v="0"/>
    <x v="0"/>
    <x v="0"/>
    <n v="23.21"/>
    <n v="23.21"/>
    <n v="23.21"/>
    <n v="1392.6"/>
    <n v="1392.6"/>
    <n v="1299.76"/>
    <n v="1625.07"/>
    <n v="1625.07"/>
    <n v="1625.07"/>
    <x v="1"/>
    <x v="1"/>
    <x v="0"/>
    <n v="0"/>
    <x v="0"/>
  </r>
  <r>
    <x v="77"/>
    <x v="73"/>
    <n v="3"/>
    <x v="2"/>
    <s v="3ºC"/>
    <x v="0"/>
    <s v="Fertirrigação"/>
    <x v="13"/>
    <s v="3 - Parceria"/>
    <n v="7.23"/>
    <n v="7.23"/>
    <n v="7.23"/>
    <n v="7.23"/>
    <n v="433.8"/>
    <n v="433.8"/>
    <n v="404.88"/>
    <n v="506.22"/>
    <x v="0"/>
    <x v="20"/>
    <x v="0"/>
    <x v="0"/>
    <x v="0"/>
    <n v="7.23"/>
    <n v="7.23"/>
    <n v="7.23"/>
    <n v="433.8"/>
    <n v="433.8"/>
    <n v="404.88"/>
    <n v="506.22"/>
    <n v="506.22"/>
    <n v="506.22"/>
    <x v="1"/>
    <x v="1"/>
    <x v="0"/>
    <n v="0"/>
    <x v="0"/>
  </r>
  <r>
    <x v="77"/>
    <x v="73"/>
    <n v="4"/>
    <x v="2"/>
    <s v="3ºC"/>
    <x v="0"/>
    <s v="Fertirrigação"/>
    <x v="13"/>
    <s v="3 - Parceria"/>
    <n v="15.88"/>
    <n v="15.88"/>
    <n v="15.88"/>
    <n v="15.88"/>
    <n v="952.8"/>
    <n v="746.36"/>
    <n v="746.36"/>
    <n v="932.51"/>
    <x v="0"/>
    <x v="20"/>
    <x v="0"/>
    <x v="0"/>
    <x v="0"/>
    <n v="15.88"/>
    <n v="15.88"/>
    <n v="15.88"/>
    <n v="952.8"/>
    <n v="746.36"/>
    <n v="746.36"/>
    <n v="932.51"/>
    <n v="932.51"/>
    <n v="932.51"/>
    <x v="0"/>
    <x v="1"/>
    <x v="0"/>
    <n v="0"/>
    <x v="0"/>
  </r>
  <r>
    <x v="77"/>
    <x v="73"/>
    <n v="5"/>
    <x v="2"/>
    <s v="3ºC"/>
    <x v="0"/>
    <s v="Fertirrigação"/>
    <x v="13"/>
    <s v="3 - Parceria"/>
    <n v="11.36"/>
    <n v="11.36"/>
    <n v="11.36"/>
    <n v="11.36"/>
    <n v="681.6"/>
    <n v="533.91999999999996"/>
    <n v="533.91999999999996"/>
    <n v="667.49"/>
    <x v="0"/>
    <x v="20"/>
    <x v="0"/>
    <x v="0"/>
    <x v="0"/>
    <n v="11.36"/>
    <n v="11.36"/>
    <n v="11.36"/>
    <n v="681.6"/>
    <n v="533.91999999999996"/>
    <n v="533.91999999999996"/>
    <n v="667.49"/>
    <n v="667.49"/>
    <n v="667.49"/>
    <x v="0"/>
    <x v="1"/>
    <x v="0"/>
    <n v="0"/>
    <x v="0"/>
  </r>
  <r>
    <x v="77"/>
    <x v="73"/>
    <n v="6"/>
    <x v="2"/>
    <s v="3ºC"/>
    <x v="0"/>
    <s v="Fertirrigação"/>
    <x v="13"/>
    <s v="3 - Parceria"/>
    <n v="2.0299999999999998"/>
    <n v="2.0299999999999998"/>
    <n v="2.0299999999999998"/>
    <n v="2.0299999999999998"/>
    <n v="121.8"/>
    <n v="121.8"/>
    <n v="113.68"/>
    <n v="142.77000000000001"/>
    <x v="0"/>
    <x v="20"/>
    <x v="0"/>
    <x v="0"/>
    <x v="0"/>
    <n v="2.0299999999999998"/>
    <n v="2.0299999999999998"/>
    <n v="2.0299999999999998"/>
    <n v="121.8"/>
    <n v="121.8"/>
    <n v="113.68"/>
    <n v="142.77000000000001"/>
    <n v="142.77000000000001"/>
    <n v="142.77000000000001"/>
    <x v="1"/>
    <x v="1"/>
    <x v="0"/>
    <n v="0"/>
    <x v="0"/>
  </r>
  <r>
    <x v="78"/>
    <x v="74"/>
    <n v="1"/>
    <x v="4"/>
    <s v="4ºC"/>
    <x v="0"/>
    <s v="Mineral"/>
    <x v="8"/>
    <s v="3 - Parceria"/>
    <n v="13.64"/>
    <n v="0"/>
    <n v="0"/>
    <n v="13.64"/>
    <n v="900.24"/>
    <n v="0"/>
    <n v="0"/>
    <n v="708.77"/>
    <x v="0"/>
    <x v="9"/>
    <x v="0"/>
    <x v="1"/>
    <x v="1"/>
    <n v="13.64"/>
    <n v="13.64"/>
    <n v="13.64"/>
    <n v="900.24"/>
    <n v="708.77"/>
    <n v="708.77"/>
    <n v="708.77"/>
    <n v="708.77"/>
    <n v="708.77"/>
    <x v="1"/>
    <x v="0"/>
    <x v="0"/>
    <n v="0"/>
    <x v="0"/>
  </r>
  <r>
    <x v="78"/>
    <x v="74"/>
    <n v="2"/>
    <x v="4"/>
    <s v="4ºC"/>
    <x v="0"/>
    <s v="Mineral"/>
    <x v="8"/>
    <s v="3 - Parceria"/>
    <n v="7.65"/>
    <n v="0"/>
    <n v="0"/>
    <n v="7.65"/>
    <n v="504.9"/>
    <n v="0"/>
    <n v="0"/>
    <n v="397.02"/>
    <x v="0"/>
    <x v="9"/>
    <x v="0"/>
    <x v="1"/>
    <x v="1"/>
    <n v="7.65"/>
    <n v="7.65"/>
    <n v="7.65"/>
    <n v="504.9"/>
    <n v="397.02"/>
    <n v="397.02"/>
    <n v="397.02"/>
    <n v="397.02"/>
    <n v="397.02"/>
    <x v="1"/>
    <x v="0"/>
    <x v="0"/>
    <n v="0"/>
    <x v="0"/>
  </r>
  <r>
    <x v="78"/>
    <x v="74"/>
    <n v="3"/>
    <x v="4"/>
    <s v="4ºC"/>
    <x v="0"/>
    <s v="Mineral"/>
    <x v="8"/>
    <s v="3 - Parceria"/>
    <n v="11.59"/>
    <n v="0"/>
    <n v="0"/>
    <n v="11.59"/>
    <n v="764.94"/>
    <n v="0"/>
    <n v="0"/>
    <n v="601.70000000000005"/>
    <x v="0"/>
    <x v="9"/>
    <x v="0"/>
    <x v="1"/>
    <x v="1"/>
    <n v="11.59"/>
    <n v="11.59"/>
    <n v="11.59"/>
    <n v="764.94"/>
    <n v="601.70000000000005"/>
    <n v="601.70000000000005"/>
    <n v="601.70000000000005"/>
    <n v="601.70000000000005"/>
    <n v="601.70000000000005"/>
    <x v="1"/>
    <x v="0"/>
    <x v="0"/>
    <n v="0"/>
    <x v="0"/>
  </r>
  <r>
    <x v="78"/>
    <x v="74"/>
    <n v="4"/>
    <x v="4"/>
    <s v="4ºC"/>
    <x v="0"/>
    <s v="Mineral"/>
    <x v="8"/>
    <s v="3 - Parceria"/>
    <n v="12.47"/>
    <n v="0"/>
    <n v="0"/>
    <n v="12.47"/>
    <n v="823.02"/>
    <n v="0"/>
    <n v="0"/>
    <n v="647.24"/>
    <x v="0"/>
    <x v="9"/>
    <x v="0"/>
    <x v="1"/>
    <x v="1"/>
    <n v="12.47"/>
    <n v="12.47"/>
    <n v="12.47"/>
    <n v="823.02"/>
    <n v="647.24"/>
    <n v="647.24"/>
    <n v="647.24"/>
    <n v="647.24"/>
    <n v="647.24"/>
    <x v="1"/>
    <x v="0"/>
    <x v="0"/>
    <n v="0"/>
    <x v="0"/>
  </r>
  <r>
    <x v="78"/>
    <x v="74"/>
    <n v="5"/>
    <x v="4"/>
    <s v="4ºC"/>
    <x v="0"/>
    <s v="Mineral"/>
    <x v="8"/>
    <s v="3 - Parceria"/>
    <n v="14.64"/>
    <n v="0"/>
    <n v="0"/>
    <n v="14.64"/>
    <n v="966.24"/>
    <n v="0"/>
    <n v="0"/>
    <n v="760.5"/>
    <x v="0"/>
    <x v="9"/>
    <x v="0"/>
    <x v="1"/>
    <x v="1"/>
    <n v="14.64"/>
    <n v="14.64"/>
    <n v="14.64"/>
    <n v="966.24"/>
    <n v="760.5"/>
    <n v="760.5"/>
    <n v="760.5"/>
    <n v="760.5"/>
    <n v="760.5"/>
    <x v="1"/>
    <x v="0"/>
    <x v="0"/>
    <n v="0"/>
    <x v="0"/>
  </r>
  <r>
    <x v="78"/>
    <x v="74"/>
    <n v="6"/>
    <x v="4"/>
    <s v="4ºC"/>
    <x v="0"/>
    <s v="Mineral"/>
    <x v="8"/>
    <s v="3 - Parceria"/>
    <n v="14.48"/>
    <n v="0"/>
    <n v="0"/>
    <n v="14.48"/>
    <n v="955.68"/>
    <n v="0"/>
    <n v="0"/>
    <n v="751.91"/>
    <x v="0"/>
    <x v="9"/>
    <x v="0"/>
    <x v="1"/>
    <x v="1"/>
    <n v="14.48"/>
    <n v="14.48"/>
    <n v="14.48"/>
    <n v="955.68"/>
    <n v="751.91"/>
    <n v="751.91"/>
    <n v="751.91"/>
    <n v="751.91"/>
    <n v="751.91"/>
    <x v="1"/>
    <x v="0"/>
    <x v="0"/>
    <n v="0"/>
    <x v="0"/>
  </r>
  <r>
    <x v="78"/>
    <x v="74"/>
    <n v="7"/>
    <x v="4"/>
    <s v="4ºC"/>
    <x v="0"/>
    <s v="Mineral"/>
    <x v="8"/>
    <s v="3 - Parceria"/>
    <n v="16.420000000000002"/>
    <n v="0"/>
    <n v="0"/>
    <n v="16.420000000000002"/>
    <n v="1083.72"/>
    <n v="0"/>
    <n v="0"/>
    <n v="852.52"/>
    <x v="0"/>
    <x v="9"/>
    <x v="0"/>
    <x v="1"/>
    <x v="1"/>
    <n v="16.420000000000002"/>
    <n v="16.420000000000002"/>
    <n v="16.420000000000002"/>
    <n v="1083.72"/>
    <n v="852.52"/>
    <n v="852.52"/>
    <n v="852.52"/>
    <n v="852.52"/>
    <n v="852.52"/>
    <x v="1"/>
    <x v="0"/>
    <x v="0"/>
    <n v="0"/>
    <x v="0"/>
  </r>
  <r>
    <x v="78"/>
    <x v="74"/>
    <n v="8"/>
    <x v="4"/>
    <s v="4ºC"/>
    <x v="0"/>
    <s v="Mineral"/>
    <x v="8"/>
    <s v="3 - Parceria"/>
    <n v="10.16"/>
    <n v="0"/>
    <n v="0"/>
    <n v="10.16"/>
    <n v="670.56"/>
    <n v="0"/>
    <n v="0"/>
    <n v="651.97"/>
    <x v="0"/>
    <x v="9"/>
    <x v="0"/>
    <x v="1"/>
    <x v="1"/>
    <n v="10.16"/>
    <n v="10.16"/>
    <n v="10.16"/>
    <n v="670.56"/>
    <n v="651.97"/>
    <n v="651.97"/>
    <n v="651.97"/>
    <n v="651.97"/>
    <n v="651.97"/>
    <x v="1"/>
    <x v="0"/>
    <x v="0"/>
    <n v="0"/>
    <x v="0"/>
  </r>
  <r>
    <x v="78"/>
    <x v="74"/>
    <n v="9"/>
    <x v="4"/>
    <s v="4ºC"/>
    <x v="0"/>
    <s v="Mineral"/>
    <x v="8"/>
    <s v="3 - Parceria"/>
    <n v="34.950000000000003"/>
    <n v="0"/>
    <n v="0"/>
    <n v="34.950000000000003"/>
    <n v="2306.6999999999998"/>
    <n v="0"/>
    <n v="0"/>
    <n v="2301.2800000000002"/>
    <x v="0"/>
    <x v="9"/>
    <x v="0"/>
    <x v="1"/>
    <x v="1"/>
    <n v="34.950000000000003"/>
    <n v="34.950000000000003"/>
    <n v="34.950000000000003"/>
    <n v="2306.6999999999998"/>
    <n v="2301.2800000000002"/>
    <n v="2301.2800000000002"/>
    <n v="2301.2800000000002"/>
    <n v="2301.2800000000002"/>
    <n v="2301.2800000000002"/>
    <x v="1"/>
    <x v="0"/>
    <x v="0"/>
    <n v="0"/>
    <x v="0"/>
  </r>
  <r>
    <x v="78"/>
    <x v="74"/>
    <n v="10"/>
    <x v="4"/>
    <s v="4ºC"/>
    <x v="0"/>
    <s v="Mineral"/>
    <x v="8"/>
    <s v="3 - Parceria"/>
    <n v="23.37"/>
    <n v="0"/>
    <n v="0"/>
    <n v="23.37"/>
    <n v="1542.42"/>
    <n v="0"/>
    <n v="0"/>
    <n v="1498.22"/>
    <x v="0"/>
    <x v="9"/>
    <x v="0"/>
    <x v="1"/>
    <x v="1"/>
    <n v="23.37"/>
    <n v="23.37"/>
    <n v="23.37"/>
    <n v="1542.42"/>
    <n v="1498.22"/>
    <n v="1498.22"/>
    <n v="1498.22"/>
    <n v="1498.22"/>
    <n v="1498.22"/>
    <x v="1"/>
    <x v="0"/>
    <x v="0"/>
    <n v="0"/>
    <x v="0"/>
  </r>
  <r>
    <x v="78"/>
    <x v="74"/>
    <n v="11"/>
    <x v="4"/>
    <s v="4ºC"/>
    <x v="0"/>
    <s v="Mineral"/>
    <x v="8"/>
    <s v="3 - Parceria"/>
    <n v="17.25"/>
    <n v="0"/>
    <n v="0"/>
    <n v="17.25"/>
    <n v="1000.5"/>
    <n v="0"/>
    <n v="0"/>
    <n v="973"/>
    <x v="0"/>
    <x v="9"/>
    <x v="0"/>
    <x v="1"/>
    <x v="1"/>
    <n v="17.25"/>
    <n v="17.25"/>
    <n v="17.25"/>
    <n v="1000.5"/>
    <n v="973"/>
    <n v="973"/>
    <n v="973"/>
    <n v="973"/>
    <n v="973"/>
    <x v="1"/>
    <x v="0"/>
    <x v="0"/>
    <n v="0"/>
    <x v="0"/>
  </r>
  <r>
    <x v="78"/>
    <x v="74"/>
    <n v="20"/>
    <x v="6"/>
    <s v="5ºC"/>
    <x v="0"/>
    <s v="Mineral"/>
    <x v="8"/>
    <s v="3 - Parceria"/>
    <n v="58.13"/>
    <n v="0"/>
    <n v="0"/>
    <n v="58.13"/>
    <n v="3487.8"/>
    <n v="0"/>
    <n v="0"/>
    <n v="3019.96"/>
    <x v="0"/>
    <x v="16"/>
    <x v="0"/>
    <x v="1"/>
    <x v="1"/>
    <n v="58.13"/>
    <n v="58.13"/>
    <n v="58.13"/>
    <n v="3487.8"/>
    <n v="3019.96"/>
    <n v="3019.96"/>
    <n v="3019.96"/>
    <n v="3019.96"/>
    <n v="3019.96"/>
    <x v="1"/>
    <x v="0"/>
    <x v="0"/>
    <n v="0"/>
    <x v="0"/>
  </r>
  <r>
    <x v="78"/>
    <x v="74"/>
    <n v="21"/>
    <x v="6"/>
    <s v="5ºC"/>
    <x v="0"/>
    <s v="Mineral"/>
    <x v="8"/>
    <s v="3 - Parceria"/>
    <n v="20.5"/>
    <n v="0"/>
    <n v="0"/>
    <n v="20.5"/>
    <n v="922.5"/>
    <n v="0"/>
    <n v="0"/>
    <n v="799.07"/>
    <x v="0"/>
    <x v="16"/>
    <x v="0"/>
    <x v="1"/>
    <x v="1"/>
    <n v="20.5"/>
    <n v="20.5"/>
    <n v="20.5"/>
    <n v="922.5"/>
    <n v="799.07"/>
    <n v="799.07"/>
    <n v="799.07"/>
    <n v="799.07"/>
    <n v="799.07"/>
    <x v="1"/>
    <x v="0"/>
    <x v="0"/>
    <n v="0"/>
    <x v="0"/>
  </r>
  <r>
    <x v="78"/>
    <x v="74"/>
    <n v="22"/>
    <x v="6"/>
    <s v="5ºC"/>
    <x v="0"/>
    <s v="Mineral"/>
    <x v="8"/>
    <s v="3 - Parceria"/>
    <n v="38.76"/>
    <n v="0"/>
    <n v="0"/>
    <n v="38.76"/>
    <n v="1744.2"/>
    <n v="0"/>
    <n v="0"/>
    <n v="1509.94"/>
    <x v="0"/>
    <x v="16"/>
    <x v="0"/>
    <x v="1"/>
    <x v="1"/>
    <n v="38.76"/>
    <n v="38.76"/>
    <n v="38.76"/>
    <n v="1744.2"/>
    <n v="1509.94"/>
    <n v="1509.94"/>
    <n v="1509.94"/>
    <n v="1509.94"/>
    <n v="1509.94"/>
    <x v="1"/>
    <x v="0"/>
    <x v="0"/>
    <n v="0"/>
    <x v="0"/>
  </r>
  <r>
    <x v="78"/>
    <x v="74"/>
    <n v="23"/>
    <x v="6"/>
    <s v="5ºC"/>
    <x v="0"/>
    <s v="Mineral"/>
    <x v="8"/>
    <s v="3 - Parceria"/>
    <n v="4.3899999999999997"/>
    <n v="0"/>
    <n v="0"/>
    <n v="4.3899999999999997"/>
    <n v="197.55"/>
    <n v="0"/>
    <n v="0"/>
    <n v="171.71"/>
    <x v="0"/>
    <x v="16"/>
    <x v="0"/>
    <x v="1"/>
    <x v="1"/>
    <n v="4.3899999999999997"/>
    <n v="4.3899999999999997"/>
    <n v="4.3899999999999997"/>
    <n v="197.55"/>
    <n v="171.71"/>
    <n v="171.71"/>
    <n v="171.71"/>
    <n v="171.71"/>
    <n v="171.71"/>
    <x v="1"/>
    <x v="0"/>
    <x v="0"/>
    <n v="0"/>
    <x v="0"/>
  </r>
  <r>
    <x v="78"/>
    <x v="74"/>
    <n v="24"/>
    <x v="4"/>
    <s v="4ºC"/>
    <x v="0"/>
    <s v="Mineral"/>
    <x v="8"/>
    <s v="3 - Parceria"/>
    <n v="5.39"/>
    <n v="0"/>
    <n v="0"/>
    <n v="5.39"/>
    <n v="377.3"/>
    <n v="0"/>
    <n v="0"/>
    <n v="294.33"/>
    <x v="0"/>
    <x v="9"/>
    <x v="0"/>
    <x v="1"/>
    <x v="1"/>
    <n v="5.39"/>
    <n v="5.39"/>
    <n v="5.39"/>
    <n v="377.3"/>
    <n v="294.33"/>
    <n v="294.33"/>
    <n v="294.33"/>
    <n v="294.33"/>
    <n v="294.33"/>
    <x v="1"/>
    <x v="0"/>
    <x v="0"/>
    <n v="0"/>
    <x v="0"/>
  </r>
  <r>
    <x v="78"/>
    <x v="74"/>
    <n v="25"/>
    <x v="4"/>
    <s v="4ºC"/>
    <x v="0"/>
    <s v="Mineral"/>
    <x v="8"/>
    <s v="3 - Parceria"/>
    <n v="0.88"/>
    <n v="0"/>
    <n v="0"/>
    <n v="0.88"/>
    <n v="61.6"/>
    <n v="0"/>
    <n v="0"/>
    <n v="49.91"/>
    <x v="0"/>
    <x v="9"/>
    <x v="0"/>
    <x v="1"/>
    <x v="1"/>
    <n v="0.88"/>
    <n v="0.88"/>
    <n v="0.88"/>
    <n v="61.6"/>
    <n v="49.91"/>
    <n v="49.91"/>
    <n v="49.91"/>
    <n v="49.91"/>
    <n v="49.91"/>
    <x v="1"/>
    <x v="0"/>
    <x v="0"/>
    <n v="0"/>
    <x v="0"/>
  </r>
  <r>
    <x v="79"/>
    <x v="75"/>
    <n v="1"/>
    <x v="3"/>
    <s v="ANM"/>
    <x v="0"/>
    <s v="Mineral"/>
    <x v="5"/>
    <s v="3 - Parceria"/>
    <n v="22.43"/>
    <n v="0"/>
    <n v="0"/>
    <n v="22.43"/>
    <n v="2243"/>
    <n v="0"/>
    <n v="0"/>
    <n v="1990.69"/>
    <x v="0"/>
    <x v="24"/>
    <x v="0"/>
    <x v="1"/>
    <x v="1"/>
    <n v="22.43"/>
    <n v="22.43"/>
    <n v="22.43"/>
    <n v="2243"/>
    <n v="1990.69"/>
    <n v="1990.69"/>
    <n v="1990.69"/>
    <n v="1990.69"/>
    <n v="1990.69"/>
    <x v="1"/>
    <x v="0"/>
    <x v="0"/>
    <n v="0"/>
    <x v="0"/>
  </r>
  <r>
    <x v="80"/>
    <x v="35"/>
    <n v="2"/>
    <x v="5"/>
    <s v="2ºC"/>
    <x v="0"/>
    <s v="Mineral"/>
    <x v="11"/>
    <s v="3 - Parceria"/>
    <n v="18.22"/>
    <n v="18.22"/>
    <n v="0"/>
    <n v="18.22"/>
    <n v="1639.8"/>
    <n v="1676.24"/>
    <n v="0"/>
    <n v="1497.97"/>
    <x v="0"/>
    <x v="10"/>
    <x v="0"/>
    <x v="0"/>
    <x v="1"/>
    <n v="18.22"/>
    <n v="18.22"/>
    <n v="18.22"/>
    <n v="1639.8"/>
    <n v="1676.24"/>
    <n v="1497.97"/>
    <n v="1497.97"/>
    <n v="1497.97"/>
    <n v="1497.97"/>
    <x v="1"/>
    <x v="0"/>
    <x v="0"/>
    <n v="0"/>
    <x v="0"/>
  </r>
  <r>
    <x v="80"/>
    <x v="35"/>
    <n v="3"/>
    <x v="5"/>
    <s v="2ºC"/>
    <x v="0"/>
    <s v="Mineral"/>
    <x v="11"/>
    <s v="3 - Parceria"/>
    <n v="5.57"/>
    <n v="5.57"/>
    <n v="0"/>
    <n v="5.57"/>
    <n v="473.45"/>
    <n v="445.6"/>
    <n v="0"/>
    <n v="398.59"/>
    <x v="0"/>
    <x v="10"/>
    <x v="0"/>
    <x v="0"/>
    <x v="1"/>
    <n v="5.57"/>
    <n v="5.57"/>
    <n v="5.57"/>
    <n v="473.45"/>
    <n v="445.6"/>
    <n v="398.59"/>
    <n v="398.59"/>
    <n v="398.59"/>
    <n v="398.59"/>
    <x v="1"/>
    <x v="0"/>
    <x v="0"/>
    <n v="0"/>
    <x v="0"/>
  </r>
  <r>
    <x v="80"/>
    <x v="35"/>
    <n v="4"/>
    <x v="5"/>
    <s v="2ºC"/>
    <x v="0"/>
    <s v="Mineral"/>
    <x v="11"/>
    <s v="3 - Parceria"/>
    <n v="21.05"/>
    <n v="21.05"/>
    <n v="0"/>
    <n v="21.05"/>
    <n v="1789.25"/>
    <n v="1894.5"/>
    <n v="0"/>
    <n v="1693.86"/>
    <x v="0"/>
    <x v="10"/>
    <x v="0"/>
    <x v="0"/>
    <x v="1"/>
    <n v="21.05"/>
    <n v="21.05"/>
    <n v="21.05"/>
    <n v="1789.25"/>
    <n v="1894.5"/>
    <n v="1693.86"/>
    <n v="1693.86"/>
    <n v="1693.86"/>
    <n v="1693.86"/>
    <x v="1"/>
    <x v="0"/>
    <x v="0"/>
    <n v="0"/>
    <x v="0"/>
  </r>
  <r>
    <x v="80"/>
    <x v="35"/>
    <n v="5"/>
    <x v="5"/>
    <s v="2ºC"/>
    <x v="0"/>
    <s v="Mineral"/>
    <x v="11"/>
    <s v="3 - Parceria"/>
    <n v="11.41"/>
    <n v="11.41"/>
    <n v="0"/>
    <n v="11.41"/>
    <n v="969.85"/>
    <n v="1026.9000000000001"/>
    <n v="0"/>
    <n v="1308.51"/>
    <x v="0"/>
    <x v="10"/>
    <x v="0"/>
    <x v="0"/>
    <x v="1"/>
    <n v="11.41"/>
    <n v="11.41"/>
    <n v="11.41"/>
    <n v="969.85"/>
    <n v="1026.9000000000001"/>
    <n v="1308.51"/>
    <n v="1308.51"/>
    <n v="1308.51"/>
    <n v="1308.51"/>
    <x v="1"/>
    <x v="0"/>
    <x v="0"/>
    <n v="0"/>
    <x v="0"/>
  </r>
  <r>
    <x v="81"/>
    <x v="76"/>
    <n v="1"/>
    <x v="3"/>
    <s v="INV"/>
    <x v="0"/>
    <s v="Mineral"/>
    <x v="11"/>
    <s v="3 - Parceria"/>
    <n v="53.78"/>
    <n v="53.78"/>
    <n v="0"/>
    <n v="53.78"/>
    <n v="6130.92"/>
    <n v="5915.8"/>
    <n v="0"/>
    <n v="5256.04"/>
    <x v="0"/>
    <x v="11"/>
    <x v="0"/>
    <x v="0"/>
    <x v="1"/>
    <n v="53.78"/>
    <n v="53.78"/>
    <n v="53.78"/>
    <n v="6130.92"/>
    <n v="5915.8"/>
    <n v="5256.04"/>
    <n v="5256.04"/>
    <n v="5256.04"/>
    <n v="5256.04"/>
    <x v="1"/>
    <x v="0"/>
    <x v="0"/>
    <n v="0"/>
    <x v="0"/>
  </r>
  <r>
    <x v="81"/>
    <x v="76"/>
    <n v="2"/>
    <x v="3"/>
    <s v="INV"/>
    <x v="0"/>
    <s v="Mineral"/>
    <x v="11"/>
    <s v="3 - Parceria"/>
    <n v="19.62"/>
    <n v="19.62"/>
    <n v="0"/>
    <n v="19.62"/>
    <n v="2236.6799999999998"/>
    <n v="2158.1999999999998"/>
    <n v="0"/>
    <n v="2223.4699999999998"/>
    <x v="0"/>
    <x v="17"/>
    <x v="0"/>
    <x v="0"/>
    <x v="1"/>
    <n v="19.62"/>
    <n v="19.62"/>
    <n v="19.62"/>
    <n v="2236.6799999999998"/>
    <n v="2158.1999999999998"/>
    <n v="2223.4699999999998"/>
    <n v="2223.4699999999998"/>
    <n v="2223.4699999999998"/>
    <n v="2223.4699999999998"/>
    <x v="1"/>
    <x v="0"/>
    <x v="0"/>
    <n v="0"/>
    <x v="0"/>
  </r>
  <r>
    <x v="81"/>
    <x v="76"/>
    <n v="3"/>
    <x v="3"/>
    <s v="INV"/>
    <x v="0"/>
    <s v="Mineral"/>
    <x v="11"/>
    <s v="3 - Parceria"/>
    <n v="38.869999999999997"/>
    <n v="38.869999999999997"/>
    <n v="0"/>
    <n v="38.869999999999997"/>
    <n v="4431.18"/>
    <n v="3498.3"/>
    <n v="0"/>
    <n v="3604.34"/>
    <x v="0"/>
    <x v="17"/>
    <x v="0"/>
    <x v="0"/>
    <x v="1"/>
    <n v="38.869999999999997"/>
    <n v="38.869999999999997"/>
    <n v="38.869999999999997"/>
    <n v="4431.18"/>
    <n v="3498.3"/>
    <n v="3604.34"/>
    <n v="3604.34"/>
    <n v="3604.34"/>
    <n v="3604.34"/>
    <x v="1"/>
    <x v="0"/>
    <x v="0"/>
    <n v="0"/>
    <x v="0"/>
  </r>
  <r>
    <x v="81"/>
    <x v="76"/>
    <n v="4"/>
    <x v="3"/>
    <s v="INV"/>
    <x v="0"/>
    <s v="Mineral"/>
    <x v="11"/>
    <s v="3 - Parceria"/>
    <n v="0"/>
    <n v="0"/>
    <n v="0"/>
    <n v="0"/>
    <n v="0"/>
    <n v="0"/>
    <n v="0"/>
    <m/>
    <x v="0"/>
    <x v="39"/>
    <x v="1"/>
    <x v="0"/>
    <x v="0"/>
    <n v="0"/>
    <n v="0"/>
    <n v="0"/>
    <n v="0"/>
    <n v="0"/>
    <n v="0"/>
    <n v="0"/>
    <n v="0"/>
    <n v="0"/>
    <x v="1"/>
    <x v="0"/>
    <x v="0"/>
    <n v="0"/>
    <x v="0"/>
  </r>
  <r>
    <x v="82"/>
    <x v="77"/>
    <n v="1"/>
    <x v="2"/>
    <s v="3ºC"/>
    <x v="0"/>
    <s v="Mineral"/>
    <x v="1"/>
    <s v="3 - Parceria"/>
    <n v="36.61"/>
    <n v="36.61"/>
    <n v="36.61"/>
    <n v="36.61"/>
    <n v="2745.75"/>
    <n v="2196.6"/>
    <n v="2123.38"/>
    <n v="1446.51"/>
    <x v="0"/>
    <x v="19"/>
    <x v="0"/>
    <x v="0"/>
    <x v="0"/>
    <n v="36.61"/>
    <n v="36.61"/>
    <n v="36.61"/>
    <n v="2745.75"/>
    <n v="2196.6"/>
    <n v="2123.38"/>
    <n v="1446.51"/>
    <n v="1446.51"/>
    <n v="1446.51"/>
    <x v="0"/>
    <x v="0"/>
    <x v="0"/>
    <n v="0"/>
    <x v="0"/>
  </r>
  <r>
    <x v="82"/>
    <x v="77"/>
    <n v="2"/>
    <x v="2"/>
    <s v="3ºC"/>
    <x v="0"/>
    <s v="Mineral"/>
    <x v="1"/>
    <s v="3 - Parceria"/>
    <n v="38.24"/>
    <n v="38.24"/>
    <n v="38.24"/>
    <n v="38.24"/>
    <n v="2868"/>
    <n v="2868"/>
    <n v="2294.4"/>
    <n v="1563.11"/>
    <x v="0"/>
    <x v="19"/>
    <x v="0"/>
    <x v="0"/>
    <x v="0"/>
    <n v="38.24"/>
    <n v="38.24"/>
    <n v="38.24"/>
    <n v="2868"/>
    <n v="2868"/>
    <n v="2294.4"/>
    <n v="1563.11"/>
    <n v="1563.11"/>
    <n v="1563.11"/>
    <x v="1"/>
    <x v="0"/>
    <x v="0"/>
    <n v="0"/>
    <x v="0"/>
  </r>
  <r>
    <x v="82"/>
    <x v="77"/>
    <n v="3"/>
    <x v="2"/>
    <s v="3ºC"/>
    <x v="0"/>
    <s v="Mineral"/>
    <x v="1"/>
    <s v="3 - Parceria"/>
    <n v="22"/>
    <n v="22"/>
    <n v="22"/>
    <n v="22"/>
    <n v="1320"/>
    <n v="1320"/>
    <n v="1320"/>
    <n v="928.26"/>
    <x v="0"/>
    <x v="32"/>
    <x v="0"/>
    <x v="0"/>
    <x v="0"/>
    <n v="22"/>
    <n v="22"/>
    <n v="22"/>
    <n v="1320"/>
    <n v="1320"/>
    <n v="1320"/>
    <n v="928.26"/>
    <n v="928.26"/>
    <n v="928.26"/>
    <x v="1"/>
    <x v="0"/>
    <x v="0"/>
    <n v="0"/>
    <x v="0"/>
  </r>
  <r>
    <x v="82"/>
    <x v="77"/>
    <n v="4"/>
    <x v="2"/>
    <s v="3ºC"/>
    <x v="0"/>
    <s v="Mineral"/>
    <x v="1"/>
    <s v="3 - Parceria"/>
    <n v="1.58"/>
    <n v="1.58"/>
    <n v="1.58"/>
    <n v="1.58"/>
    <n v="94.8"/>
    <n v="94.8"/>
    <n v="94.8"/>
    <n v="66.77"/>
    <x v="0"/>
    <x v="32"/>
    <x v="0"/>
    <x v="0"/>
    <x v="0"/>
    <n v="1.58"/>
    <n v="1.58"/>
    <n v="1.58"/>
    <n v="94.8"/>
    <n v="94.8"/>
    <n v="94.8"/>
    <n v="66.77"/>
    <n v="66.77"/>
    <n v="66.77"/>
    <x v="1"/>
    <x v="0"/>
    <x v="0"/>
    <n v="0"/>
    <x v="0"/>
  </r>
  <r>
    <x v="82"/>
    <x v="77"/>
    <n v="5"/>
    <x v="2"/>
    <s v="3ºC"/>
    <x v="0"/>
    <s v="Mineral"/>
    <x v="1"/>
    <s v="3 - Parceria"/>
    <n v="11.63"/>
    <n v="11.63"/>
    <n v="11.63"/>
    <n v="11.63"/>
    <n v="697.8"/>
    <n v="697.8"/>
    <n v="697.8"/>
    <n v="490.83"/>
    <x v="0"/>
    <x v="32"/>
    <x v="0"/>
    <x v="0"/>
    <x v="0"/>
    <n v="11.63"/>
    <n v="11.63"/>
    <n v="11.63"/>
    <n v="697.8"/>
    <n v="697.8"/>
    <n v="697.8"/>
    <n v="490.83"/>
    <n v="490.83"/>
    <n v="490.83"/>
    <x v="1"/>
    <x v="0"/>
    <x v="0"/>
    <n v="0"/>
    <x v="0"/>
  </r>
  <r>
    <x v="82"/>
    <x v="77"/>
    <n v="6"/>
    <x v="2"/>
    <s v="3ºC"/>
    <x v="0"/>
    <s v="Mineral"/>
    <x v="1"/>
    <s v="3 - Parceria"/>
    <n v="27.39"/>
    <n v="27.39"/>
    <n v="27.39"/>
    <n v="27.39"/>
    <n v="2054.25"/>
    <n v="2054.25"/>
    <n v="1752.96"/>
    <n v="1232.94"/>
    <x v="0"/>
    <x v="32"/>
    <x v="0"/>
    <x v="0"/>
    <x v="0"/>
    <n v="27.39"/>
    <n v="27.39"/>
    <n v="27.39"/>
    <n v="2054.25"/>
    <n v="2054.25"/>
    <n v="1752.96"/>
    <n v="1232.94"/>
    <n v="1232.94"/>
    <n v="1232.94"/>
    <x v="1"/>
    <x v="0"/>
    <x v="0"/>
    <n v="0"/>
    <x v="0"/>
  </r>
  <r>
    <x v="82"/>
    <x v="77"/>
    <n v="7"/>
    <x v="2"/>
    <s v="3ºC"/>
    <x v="0"/>
    <s v="Mineral"/>
    <x v="1"/>
    <s v="3 - Parceria"/>
    <n v="22.88"/>
    <n v="22.88"/>
    <n v="22.88"/>
    <n v="22.88"/>
    <n v="1716"/>
    <n v="1716"/>
    <n v="1464.32"/>
    <n v="521.99"/>
    <x v="0"/>
    <x v="19"/>
    <x v="0"/>
    <x v="0"/>
    <x v="0"/>
    <n v="22.88"/>
    <n v="22.88"/>
    <n v="22.88"/>
    <n v="1716"/>
    <n v="1716"/>
    <n v="1464.32"/>
    <n v="521.99"/>
    <n v="521.99"/>
    <n v="521.99"/>
    <x v="1"/>
    <x v="0"/>
    <x v="0"/>
    <n v="0"/>
    <x v="0"/>
  </r>
  <r>
    <x v="82"/>
    <x v="77"/>
    <n v="8"/>
    <x v="2"/>
    <s v="3ºC"/>
    <x v="0"/>
    <s v="Mineral"/>
    <x v="1"/>
    <s v="3 - Parceria"/>
    <n v="7.92"/>
    <n v="7.92"/>
    <n v="7.92"/>
    <n v="7.92"/>
    <n v="316.8"/>
    <n v="332.64"/>
    <n v="332.64"/>
    <n v="403.37"/>
    <x v="0"/>
    <x v="19"/>
    <x v="0"/>
    <x v="0"/>
    <x v="0"/>
    <n v="7.92"/>
    <n v="7.92"/>
    <n v="7.92"/>
    <n v="316.8"/>
    <n v="332.64"/>
    <n v="332.64"/>
    <n v="403.37"/>
    <n v="403.37"/>
    <n v="403.37"/>
    <x v="1"/>
    <x v="0"/>
    <x v="0"/>
    <n v="0"/>
    <x v="0"/>
  </r>
  <r>
    <x v="82"/>
    <x v="77"/>
    <n v="14"/>
    <x v="0"/>
    <s v="6ºC"/>
    <x v="0"/>
    <s v="Mineral"/>
    <x v="1"/>
    <s v="3 - Parceria"/>
    <n v="39.11"/>
    <n v="39.11"/>
    <n v="39.11"/>
    <n v="39.11"/>
    <n v="2346.6"/>
    <n v="2346.6"/>
    <n v="1955.5"/>
    <n v="1239.96"/>
    <x v="0"/>
    <x v="19"/>
    <x v="0"/>
    <x v="0"/>
    <x v="0"/>
    <n v="39.11"/>
    <n v="39.11"/>
    <n v="39.11"/>
    <n v="2346.6"/>
    <n v="2346.6"/>
    <n v="1955.5"/>
    <n v="1239.96"/>
    <n v="1239.96"/>
    <n v="1239.96"/>
    <x v="1"/>
    <x v="0"/>
    <x v="0"/>
    <n v="0"/>
    <x v="0"/>
  </r>
  <r>
    <x v="82"/>
    <x v="77"/>
    <n v="15"/>
    <x v="0"/>
    <s v="6ºC"/>
    <x v="0"/>
    <s v="Mineral"/>
    <x v="1"/>
    <s v="3 - Parceria"/>
    <n v="49.23"/>
    <n v="49.23"/>
    <n v="49.23"/>
    <n v="49.23"/>
    <n v="2953.8"/>
    <n v="2953.8"/>
    <n v="2461.5"/>
    <n v="1560.74"/>
    <x v="0"/>
    <x v="19"/>
    <x v="0"/>
    <x v="0"/>
    <x v="0"/>
    <n v="49.23"/>
    <n v="49.23"/>
    <n v="49.23"/>
    <n v="2953.8"/>
    <n v="2953.8"/>
    <n v="2461.5"/>
    <n v="1560.74"/>
    <n v="1560.74"/>
    <n v="1560.74"/>
    <x v="1"/>
    <x v="0"/>
    <x v="0"/>
    <n v="0"/>
    <x v="0"/>
  </r>
  <r>
    <x v="82"/>
    <x v="77"/>
    <n v="16"/>
    <x v="0"/>
    <s v="6ºC"/>
    <x v="0"/>
    <s v="Mineral"/>
    <x v="1"/>
    <s v="3 - Parceria"/>
    <n v="8.33"/>
    <n v="8.33"/>
    <n v="8.33"/>
    <n v="8.33"/>
    <n v="499.8"/>
    <n v="499.8"/>
    <n v="416.5"/>
    <n v="264.3"/>
    <x v="0"/>
    <x v="19"/>
    <x v="0"/>
    <x v="0"/>
    <x v="0"/>
    <n v="8.33"/>
    <n v="8.33"/>
    <n v="8.33"/>
    <n v="499.8"/>
    <n v="499.8"/>
    <n v="416.5"/>
    <n v="264.3"/>
    <n v="264.3"/>
    <n v="264.3"/>
    <x v="1"/>
    <x v="0"/>
    <x v="0"/>
    <n v="0"/>
    <x v="0"/>
  </r>
  <r>
    <x v="82"/>
    <x v="77"/>
    <n v="17"/>
    <x v="0"/>
    <s v="6ºC"/>
    <x v="0"/>
    <s v="Mineral"/>
    <x v="1"/>
    <s v="3 - Parceria"/>
    <n v="5.04"/>
    <n v="5.04"/>
    <n v="5.04"/>
    <n v="5.04"/>
    <n v="302.39999999999998"/>
    <n v="302.39999999999998"/>
    <n v="252"/>
    <n v="159.69"/>
    <x v="0"/>
    <x v="19"/>
    <x v="0"/>
    <x v="0"/>
    <x v="0"/>
    <n v="5.04"/>
    <n v="5.04"/>
    <n v="5.04"/>
    <n v="302.39999999999998"/>
    <n v="302.39999999999998"/>
    <n v="252"/>
    <n v="159.69"/>
    <n v="159.69"/>
    <n v="159.69"/>
    <x v="1"/>
    <x v="0"/>
    <x v="0"/>
    <n v="0"/>
    <x v="0"/>
  </r>
  <r>
    <x v="82"/>
    <x v="77"/>
    <n v="18"/>
    <x v="0"/>
    <s v="6ºC"/>
    <x v="0"/>
    <s v="Mineral"/>
    <x v="1"/>
    <s v="3 - Parceria"/>
    <n v="17.89"/>
    <n v="17.89"/>
    <n v="17.89"/>
    <n v="17.89"/>
    <n v="1073.4000000000001"/>
    <n v="1073.4000000000001"/>
    <n v="894.5"/>
    <n v="567.33000000000004"/>
    <x v="0"/>
    <x v="19"/>
    <x v="0"/>
    <x v="0"/>
    <x v="0"/>
    <n v="17.89"/>
    <n v="17.89"/>
    <n v="17.89"/>
    <n v="1073.4000000000001"/>
    <n v="1073.4000000000001"/>
    <n v="894.5"/>
    <n v="567.33000000000004"/>
    <n v="567.33000000000004"/>
    <n v="567.33000000000004"/>
    <x v="1"/>
    <x v="0"/>
    <x v="0"/>
    <n v="0"/>
    <x v="0"/>
  </r>
  <r>
    <x v="82"/>
    <x v="77"/>
    <n v="20"/>
    <x v="0"/>
    <s v="6ºC"/>
    <x v="0"/>
    <s v="Mineral"/>
    <x v="1"/>
    <s v="3 - Parceria"/>
    <n v="6.16"/>
    <n v="6.16"/>
    <n v="6.16"/>
    <n v="6.16"/>
    <n v="369.6"/>
    <n v="369.6"/>
    <n v="308"/>
    <n v="195.59"/>
    <x v="0"/>
    <x v="19"/>
    <x v="0"/>
    <x v="0"/>
    <x v="0"/>
    <n v="6.16"/>
    <n v="6.16"/>
    <n v="6.16"/>
    <n v="369.6"/>
    <n v="369.6"/>
    <n v="308"/>
    <n v="195.59"/>
    <n v="195.59"/>
    <n v="195.59"/>
    <x v="1"/>
    <x v="0"/>
    <x v="0"/>
    <n v="0"/>
    <x v="0"/>
  </r>
  <r>
    <x v="82"/>
    <x v="77"/>
    <n v="21"/>
    <x v="5"/>
    <s v="2ºC"/>
    <x v="0"/>
    <s v="Mineral"/>
    <x v="11"/>
    <s v="3 - Parceria"/>
    <n v="16.89"/>
    <n v="16.89"/>
    <n v="0"/>
    <n v="16.89"/>
    <n v="1486.32"/>
    <n v="1486.32"/>
    <n v="0"/>
    <n v="1403.66"/>
    <x v="0"/>
    <x v="18"/>
    <x v="0"/>
    <x v="0"/>
    <x v="1"/>
    <n v="16.89"/>
    <n v="16.89"/>
    <n v="16.89"/>
    <n v="1486.32"/>
    <n v="1486.32"/>
    <n v="1403.66"/>
    <n v="1403.66"/>
    <n v="1403.66"/>
    <n v="1403.66"/>
    <x v="1"/>
    <x v="0"/>
    <x v="0"/>
    <n v="0"/>
    <x v="0"/>
  </r>
  <r>
    <x v="82"/>
    <x v="77"/>
    <n v="22"/>
    <x v="5"/>
    <s v="2ºC"/>
    <x v="0"/>
    <s v="Mineral"/>
    <x v="11"/>
    <s v="3 - Parceria"/>
    <n v="6.49"/>
    <n v="6.49"/>
    <n v="0"/>
    <n v="6.49"/>
    <n v="571.12"/>
    <n v="571.12"/>
    <n v="0"/>
    <n v="539.33000000000004"/>
    <x v="0"/>
    <x v="18"/>
    <x v="0"/>
    <x v="0"/>
    <x v="1"/>
    <n v="6.49"/>
    <n v="6.49"/>
    <n v="6.49"/>
    <n v="571.12"/>
    <n v="571.12"/>
    <n v="539.33000000000004"/>
    <n v="539.33000000000004"/>
    <n v="539.33000000000004"/>
    <n v="539.33000000000004"/>
    <x v="1"/>
    <x v="0"/>
    <x v="0"/>
    <n v="0"/>
    <x v="0"/>
  </r>
  <r>
    <x v="82"/>
    <x v="77"/>
    <n v="23"/>
    <x v="5"/>
    <s v="2ºC"/>
    <x v="0"/>
    <s v="Mineral"/>
    <x v="11"/>
    <s v="3 - Parceria"/>
    <n v="15.26"/>
    <n v="15.26"/>
    <n v="0"/>
    <n v="15.26"/>
    <n v="1342.88"/>
    <n v="1342.88"/>
    <n v="0"/>
    <n v="1268.73"/>
    <x v="0"/>
    <x v="18"/>
    <x v="0"/>
    <x v="0"/>
    <x v="1"/>
    <n v="15.26"/>
    <n v="15.26"/>
    <n v="15.26"/>
    <n v="1342.88"/>
    <n v="1342.88"/>
    <n v="1268.73"/>
    <n v="1268.73"/>
    <n v="1268.73"/>
    <n v="1268.73"/>
    <x v="1"/>
    <x v="0"/>
    <x v="0"/>
    <n v="0"/>
    <x v="0"/>
  </r>
  <r>
    <x v="82"/>
    <x v="77"/>
    <n v="24"/>
    <x v="5"/>
    <s v="2ºC"/>
    <x v="0"/>
    <s v="Mineral"/>
    <x v="11"/>
    <s v="3 - Parceria"/>
    <n v="9.42"/>
    <n v="9.42"/>
    <n v="9.42"/>
    <n v="9.42"/>
    <n v="828.96"/>
    <n v="828.96"/>
    <n v="753.6"/>
    <n v="611.41"/>
    <x v="0"/>
    <x v="32"/>
    <x v="0"/>
    <x v="0"/>
    <x v="0"/>
    <n v="9.42"/>
    <n v="9.42"/>
    <n v="9.42"/>
    <n v="828.96"/>
    <n v="828.96"/>
    <n v="753.6"/>
    <n v="611.41"/>
    <n v="611.41"/>
    <n v="611.41"/>
    <x v="1"/>
    <x v="0"/>
    <x v="0"/>
    <n v="0"/>
    <x v="0"/>
  </r>
  <r>
    <x v="83"/>
    <x v="60"/>
    <n v="1"/>
    <x v="6"/>
    <s v="5ºC"/>
    <x v="0"/>
    <s v="Mineral"/>
    <x v="27"/>
    <s v="3 - Parceria"/>
    <n v="4.21"/>
    <n v="0"/>
    <n v="0"/>
    <n v="4.21"/>
    <n v="277.86"/>
    <n v="0"/>
    <n v="0"/>
    <n v="438.52"/>
    <x v="0"/>
    <x v="26"/>
    <x v="0"/>
    <x v="1"/>
    <x v="1"/>
    <n v="4.21"/>
    <n v="4.21"/>
    <n v="4.21"/>
    <n v="277.86"/>
    <n v="438.52"/>
    <n v="438.52"/>
    <n v="438.52"/>
    <n v="438.52"/>
    <n v="438.52"/>
    <x v="1"/>
    <x v="0"/>
    <x v="0"/>
    <n v="0"/>
    <x v="0"/>
  </r>
  <r>
    <x v="83"/>
    <x v="60"/>
    <n v="2"/>
    <x v="6"/>
    <s v="5ºC"/>
    <x v="0"/>
    <s v="Mineral"/>
    <x v="27"/>
    <s v="3 - Parceria"/>
    <n v="21.89"/>
    <n v="0"/>
    <n v="0"/>
    <n v="21.89"/>
    <n v="1532.3"/>
    <n v="0"/>
    <n v="0"/>
    <n v="2416.9499999999998"/>
    <x v="0"/>
    <x v="26"/>
    <x v="0"/>
    <x v="1"/>
    <x v="1"/>
    <n v="21.89"/>
    <n v="21.89"/>
    <n v="21.89"/>
    <n v="1532.3"/>
    <n v="2416.9499999999998"/>
    <n v="2416.9499999999998"/>
    <n v="2416.9499999999998"/>
    <n v="2416.9499999999998"/>
    <n v="2416.9499999999998"/>
    <x v="1"/>
    <x v="0"/>
    <x v="0"/>
    <n v="0"/>
    <x v="0"/>
  </r>
  <r>
    <x v="83"/>
    <x v="60"/>
    <n v="4"/>
    <x v="6"/>
    <s v="5ºC"/>
    <x v="0"/>
    <s v="Mineral"/>
    <x v="27"/>
    <s v="3 - Parceria"/>
    <n v="10.41"/>
    <n v="0"/>
    <n v="0"/>
    <n v="10.41"/>
    <n v="520.5"/>
    <n v="0"/>
    <n v="0"/>
    <n v="674.6"/>
    <x v="0"/>
    <x v="26"/>
    <x v="0"/>
    <x v="1"/>
    <x v="1"/>
    <n v="10.41"/>
    <n v="10.41"/>
    <n v="10.41"/>
    <n v="520.5"/>
    <n v="674.6"/>
    <n v="674.6"/>
    <n v="674.6"/>
    <n v="674.6"/>
    <n v="674.6"/>
    <x v="1"/>
    <x v="0"/>
    <x v="0"/>
    <n v="0"/>
    <x v="0"/>
  </r>
  <r>
    <x v="83"/>
    <x v="60"/>
    <n v="5"/>
    <x v="6"/>
    <s v="5ºC"/>
    <x v="0"/>
    <s v="Mineral"/>
    <x v="27"/>
    <s v="3 - Parceria"/>
    <n v="23.89"/>
    <n v="0"/>
    <n v="0"/>
    <n v="23.89"/>
    <n v="1218.3900000000001"/>
    <n v="0"/>
    <n v="0"/>
    <n v="1577.23"/>
    <x v="0"/>
    <x v="26"/>
    <x v="0"/>
    <x v="1"/>
    <x v="1"/>
    <n v="23.89"/>
    <n v="23.89"/>
    <n v="23.89"/>
    <n v="1218.3900000000001"/>
    <n v="1577.23"/>
    <n v="1577.23"/>
    <n v="1577.23"/>
    <n v="1577.23"/>
    <n v="1577.23"/>
    <x v="1"/>
    <x v="0"/>
    <x v="0"/>
    <n v="0"/>
    <x v="0"/>
  </r>
  <r>
    <x v="83"/>
    <x v="60"/>
    <n v="6"/>
    <x v="6"/>
    <s v="5ºC"/>
    <x v="0"/>
    <s v="Mineral"/>
    <x v="9"/>
    <s v="3 - Parceria"/>
    <n v="9.56"/>
    <n v="0"/>
    <n v="0"/>
    <n v="9.56"/>
    <n v="669.2"/>
    <n v="0"/>
    <n v="0"/>
    <n v="866.27"/>
    <x v="0"/>
    <x v="26"/>
    <x v="0"/>
    <x v="1"/>
    <x v="1"/>
    <n v="9.56"/>
    <n v="9.56"/>
    <n v="9.56"/>
    <n v="669.2"/>
    <n v="866.27"/>
    <n v="866.27"/>
    <n v="866.27"/>
    <n v="866.27"/>
    <n v="866.27"/>
    <x v="1"/>
    <x v="0"/>
    <x v="0"/>
    <n v="0"/>
    <x v="0"/>
  </r>
  <r>
    <x v="83"/>
    <x v="60"/>
    <n v="7"/>
    <x v="6"/>
    <s v="5ºC"/>
    <x v="0"/>
    <s v="Mineral"/>
    <x v="27"/>
    <s v="3 - Parceria"/>
    <n v="3.03"/>
    <n v="0"/>
    <n v="0"/>
    <n v="3.03"/>
    <n v="163.62"/>
    <n v="0"/>
    <n v="0"/>
    <n v="212.28"/>
    <x v="0"/>
    <x v="26"/>
    <x v="0"/>
    <x v="1"/>
    <x v="1"/>
    <n v="3.03"/>
    <n v="3.03"/>
    <n v="3.03"/>
    <n v="163.62"/>
    <n v="212.28"/>
    <n v="212.28"/>
    <n v="212.28"/>
    <n v="212.28"/>
    <n v="212.28"/>
    <x v="1"/>
    <x v="0"/>
    <x v="0"/>
    <n v="0"/>
    <x v="0"/>
  </r>
  <r>
    <x v="83"/>
    <x v="60"/>
    <n v="8"/>
    <x v="6"/>
    <s v="5ºC"/>
    <x v="0"/>
    <s v="Mineral"/>
    <x v="27"/>
    <s v="3 - Parceria"/>
    <n v="16.11"/>
    <n v="0"/>
    <n v="0"/>
    <n v="16.11"/>
    <n v="869.94"/>
    <n v="0"/>
    <n v="0"/>
    <n v="1126.57"/>
    <x v="0"/>
    <x v="26"/>
    <x v="0"/>
    <x v="1"/>
    <x v="1"/>
    <n v="16.11"/>
    <n v="16.11"/>
    <n v="16.11"/>
    <n v="869.94"/>
    <n v="1126.57"/>
    <n v="1126.57"/>
    <n v="1126.57"/>
    <n v="1126.57"/>
    <n v="1126.57"/>
    <x v="1"/>
    <x v="0"/>
    <x v="0"/>
    <n v="0"/>
    <x v="0"/>
  </r>
  <r>
    <x v="83"/>
    <x v="60"/>
    <n v="9"/>
    <x v="6"/>
    <s v="5ºC"/>
    <x v="0"/>
    <s v="Mineral"/>
    <x v="27"/>
    <s v="3 - Parceria"/>
    <n v="5.05"/>
    <n v="0"/>
    <n v="0"/>
    <n v="5.05"/>
    <n v="272.7"/>
    <n v="0"/>
    <n v="0"/>
    <n v="353.44"/>
    <x v="0"/>
    <x v="26"/>
    <x v="0"/>
    <x v="1"/>
    <x v="1"/>
    <n v="5.05"/>
    <n v="5.05"/>
    <n v="5.05"/>
    <n v="272.7"/>
    <n v="353.44"/>
    <n v="353.44"/>
    <n v="353.44"/>
    <n v="353.44"/>
    <n v="353.44"/>
    <x v="1"/>
    <x v="0"/>
    <x v="0"/>
    <n v="0"/>
    <x v="0"/>
  </r>
  <r>
    <x v="83"/>
    <x v="60"/>
    <n v="10"/>
    <x v="6"/>
    <s v="5ºC"/>
    <x v="0"/>
    <s v="Mineral"/>
    <x v="27"/>
    <s v="3 - Parceria"/>
    <n v="16.309999999999999"/>
    <n v="0"/>
    <n v="0"/>
    <n v="16.309999999999999"/>
    <n v="880.74"/>
    <n v="0"/>
    <n v="0"/>
    <n v="1140.81"/>
    <x v="0"/>
    <x v="26"/>
    <x v="0"/>
    <x v="1"/>
    <x v="1"/>
    <n v="16.309999999999999"/>
    <n v="16.309999999999999"/>
    <n v="16.309999999999999"/>
    <n v="880.74"/>
    <n v="1140.81"/>
    <n v="1140.81"/>
    <n v="1140.81"/>
    <n v="1140.81"/>
    <n v="1140.81"/>
    <x v="1"/>
    <x v="0"/>
    <x v="0"/>
    <n v="0"/>
    <x v="0"/>
  </r>
  <r>
    <x v="83"/>
    <x v="60"/>
    <n v="11"/>
    <x v="6"/>
    <s v="5ºC"/>
    <x v="0"/>
    <s v="Mineral"/>
    <x v="27"/>
    <s v="3 - Parceria"/>
    <n v="5.22"/>
    <n v="0"/>
    <n v="0"/>
    <n v="5.22"/>
    <n v="281.88"/>
    <n v="0"/>
    <n v="0"/>
    <n v="365.94"/>
    <x v="0"/>
    <x v="26"/>
    <x v="0"/>
    <x v="1"/>
    <x v="1"/>
    <n v="5.22"/>
    <n v="5.22"/>
    <n v="5.22"/>
    <n v="281.88"/>
    <n v="365.94"/>
    <n v="365.94"/>
    <n v="365.94"/>
    <n v="365.94"/>
    <n v="365.94"/>
    <x v="1"/>
    <x v="0"/>
    <x v="0"/>
    <n v="0"/>
    <x v="0"/>
  </r>
  <r>
    <x v="84"/>
    <x v="78"/>
    <n v="1"/>
    <x v="2"/>
    <s v="3ºC"/>
    <x v="0"/>
    <s v="Fertirrigação"/>
    <x v="13"/>
    <s v="3 - Parceria"/>
    <n v="2.12"/>
    <n v="2.12"/>
    <n v="2.12"/>
    <n v="2.12"/>
    <n v="127.2"/>
    <n v="129.32"/>
    <n v="129.32"/>
    <n v="153.08000000000001"/>
    <x v="0"/>
    <x v="34"/>
    <x v="0"/>
    <x v="0"/>
    <x v="0"/>
    <n v="2.12"/>
    <n v="2.12"/>
    <n v="2.12"/>
    <n v="127.2"/>
    <n v="129.32"/>
    <n v="129.32"/>
    <n v="153.08000000000001"/>
    <n v="153.08000000000001"/>
    <n v="153.08000000000001"/>
    <x v="1"/>
    <x v="2"/>
    <x v="5"/>
    <n v="55.120000000000005"/>
    <x v="1"/>
  </r>
  <r>
    <x v="84"/>
    <x v="78"/>
    <n v="2"/>
    <x v="2"/>
    <s v="3ºC"/>
    <x v="0"/>
    <s v="Fertirrigação"/>
    <x v="13"/>
    <s v="3 - Parceria"/>
    <n v="11.9"/>
    <n v="11.9"/>
    <n v="11.9"/>
    <n v="11.9"/>
    <n v="714"/>
    <n v="666.4"/>
    <n v="666.4"/>
    <n v="790.41"/>
    <x v="0"/>
    <x v="34"/>
    <x v="0"/>
    <x v="0"/>
    <x v="0"/>
    <n v="11.9"/>
    <n v="11.9"/>
    <n v="11.9"/>
    <n v="714"/>
    <n v="666.4"/>
    <n v="666.4"/>
    <n v="790.41"/>
    <n v="790.41"/>
    <n v="790.41"/>
    <x v="0"/>
    <x v="2"/>
    <x v="5"/>
    <n v="309.40000000000003"/>
    <x v="1"/>
  </r>
  <r>
    <x v="85"/>
    <x v="79"/>
    <n v="1"/>
    <x v="1"/>
    <s v="8ºC"/>
    <x v="0"/>
    <s v="Mineral"/>
    <x v="14"/>
    <s v="3 - Parceria"/>
    <n v="9.2200000000000006"/>
    <n v="0"/>
    <n v="0"/>
    <n v="9.2200000000000006"/>
    <n v="461"/>
    <n v="0"/>
    <n v="0"/>
    <n v="425.67"/>
    <x v="0"/>
    <x v="16"/>
    <x v="0"/>
    <x v="1"/>
    <x v="1"/>
    <n v="9.2200000000000006"/>
    <n v="9.2200000000000006"/>
    <n v="9.2200000000000006"/>
    <n v="461"/>
    <n v="425.67"/>
    <n v="425.67"/>
    <n v="425.67"/>
    <n v="425.67"/>
    <n v="425.67"/>
    <x v="1"/>
    <x v="0"/>
    <x v="0"/>
    <n v="0"/>
    <x v="0"/>
  </r>
  <r>
    <x v="85"/>
    <x v="79"/>
    <n v="2"/>
    <x v="1"/>
    <s v="8ºC"/>
    <x v="0"/>
    <s v="Mineral"/>
    <x v="14"/>
    <s v="3 - Parceria"/>
    <n v="7.54"/>
    <n v="0"/>
    <n v="0"/>
    <n v="7.54"/>
    <n v="377"/>
    <n v="0"/>
    <n v="0"/>
    <n v="348.1"/>
    <x v="0"/>
    <x v="16"/>
    <x v="0"/>
    <x v="1"/>
    <x v="1"/>
    <n v="7.54"/>
    <n v="7.54"/>
    <n v="7.54"/>
    <n v="377"/>
    <n v="348.1"/>
    <n v="348.1"/>
    <n v="348.1"/>
    <n v="348.1"/>
    <n v="348.1"/>
    <x v="1"/>
    <x v="0"/>
    <x v="0"/>
    <n v="0"/>
    <x v="0"/>
  </r>
  <r>
    <x v="85"/>
    <x v="79"/>
    <n v="3"/>
    <x v="1"/>
    <s v="8ºC"/>
    <x v="0"/>
    <s v="Mineral"/>
    <x v="14"/>
    <s v="3 - Parceria"/>
    <n v="8.5"/>
    <n v="0"/>
    <n v="0"/>
    <n v="8.5"/>
    <n v="425"/>
    <n v="0"/>
    <n v="0"/>
    <n v="392.42"/>
    <x v="0"/>
    <x v="16"/>
    <x v="0"/>
    <x v="1"/>
    <x v="1"/>
    <n v="8.5"/>
    <n v="8.5"/>
    <n v="8.5"/>
    <n v="425"/>
    <n v="392.42"/>
    <n v="392.42"/>
    <n v="392.42"/>
    <n v="392.42"/>
    <n v="392.42"/>
    <x v="1"/>
    <x v="0"/>
    <x v="0"/>
    <n v="0"/>
    <x v="0"/>
  </r>
  <r>
    <x v="85"/>
    <x v="79"/>
    <n v="4"/>
    <x v="1"/>
    <s v="8ºC"/>
    <x v="0"/>
    <s v="Mineral"/>
    <x v="14"/>
    <s v="3 - Parceria"/>
    <n v="9.34"/>
    <n v="0"/>
    <n v="0"/>
    <n v="9.34"/>
    <n v="467"/>
    <n v="0"/>
    <n v="0"/>
    <n v="431.21"/>
    <x v="0"/>
    <x v="16"/>
    <x v="0"/>
    <x v="1"/>
    <x v="1"/>
    <n v="9.34"/>
    <n v="9.34"/>
    <n v="9.34"/>
    <n v="467"/>
    <n v="431.21"/>
    <n v="431.21"/>
    <n v="431.21"/>
    <n v="431.21"/>
    <n v="431.21"/>
    <x v="1"/>
    <x v="0"/>
    <x v="0"/>
    <n v="0"/>
    <x v="0"/>
  </r>
  <r>
    <x v="85"/>
    <x v="79"/>
    <n v="5"/>
    <x v="7"/>
    <s v="7ºC"/>
    <x v="0"/>
    <s v="Mineral"/>
    <x v="14"/>
    <s v="3 - Parceria"/>
    <n v="8.3000000000000007"/>
    <n v="0"/>
    <n v="0"/>
    <n v="8.3000000000000007"/>
    <n v="415"/>
    <n v="0"/>
    <n v="0"/>
    <n v="383.34"/>
    <x v="0"/>
    <x v="16"/>
    <x v="0"/>
    <x v="1"/>
    <x v="1"/>
    <n v="8.3000000000000007"/>
    <n v="8.3000000000000007"/>
    <n v="8.3000000000000007"/>
    <n v="415"/>
    <n v="383.34"/>
    <n v="383.34"/>
    <n v="383.34"/>
    <n v="383.34"/>
    <n v="383.34"/>
    <x v="1"/>
    <x v="0"/>
    <x v="0"/>
    <n v="0"/>
    <x v="0"/>
  </r>
  <r>
    <x v="86"/>
    <x v="49"/>
    <n v="1"/>
    <x v="3"/>
    <s v="ANM"/>
    <x v="0"/>
    <s v="Mineral"/>
    <x v="13"/>
    <s v="3 - Parceria"/>
    <n v="21.51"/>
    <n v="0"/>
    <n v="0"/>
    <n v="21.51"/>
    <n v="2452.14"/>
    <n v="0"/>
    <n v="0"/>
    <n v="2445.21"/>
    <x v="0"/>
    <x v="25"/>
    <x v="0"/>
    <x v="1"/>
    <x v="1"/>
    <n v="21.51"/>
    <n v="21.51"/>
    <n v="21.51"/>
    <n v="2452.14"/>
    <n v="2445.21"/>
    <n v="2445.21"/>
    <n v="2445.21"/>
    <n v="2445.21"/>
    <n v="2445.21"/>
    <x v="1"/>
    <x v="0"/>
    <x v="0"/>
    <n v="0"/>
    <x v="0"/>
  </r>
  <r>
    <x v="86"/>
    <x v="49"/>
    <n v="2"/>
    <x v="3"/>
    <s v="ANM"/>
    <x v="0"/>
    <s v="Mineral"/>
    <x v="13"/>
    <s v="3 - Parceria"/>
    <n v="56.89"/>
    <n v="0"/>
    <n v="0"/>
    <n v="56.89"/>
    <n v="6485.46"/>
    <n v="0"/>
    <n v="0"/>
    <n v="6416.76"/>
    <x v="0"/>
    <x v="25"/>
    <x v="0"/>
    <x v="1"/>
    <x v="1"/>
    <n v="56.89"/>
    <n v="56.89"/>
    <n v="56.89"/>
    <n v="6485.46"/>
    <n v="6416.76"/>
    <n v="6416.76"/>
    <n v="6416.76"/>
    <n v="6416.76"/>
    <n v="6416.76"/>
    <x v="1"/>
    <x v="0"/>
    <x v="0"/>
    <n v="0"/>
    <x v="0"/>
  </r>
  <r>
    <x v="86"/>
    <x v="49"/>
    <n v="3"/>
    <x v="3"/>
    <s v="ANM"/>
    <x v="0"/>
    <s v="Mineral"/>
    <x v="13"/>
    <s v="3 - Parceria"/>
    <n v="13.11"/>
    <n v="0"/>
    <n v="0"/>
    <n v="13.11"/>
    <n v="1415.88"/>
    <n v="0"/>
    <n v="0"/>
    <n v="1390.15"/>
    <x v="0"/>
    <x v="25"/>
    <x v="0"/>
    <x v="1"/>
    <x v="1"/>
    <n v="13.11"/>
    <n v="13.11"/>
    <n v="13.11"/>
    <n v="1415.88"/>
    <n v="1390.15"/>
    <n v="1390.15"/>
    <n v="1390.15"/>
    <n v="1390.15"/>
    <n v="1390.15"/>
    <x v="1"/>
    <x v="0"/>
    <x v="0"/>
    <n v="0"/>
    <x v="0"/>
  </r>
  <r>
    <x v="86"/>
    <x v="49"/>
    <n v="4"/>
    <x v="3"/>
    <s v="ANM"/>
    <x v="0"/>
    <s v="Mineral"/>
    <x v="13"/>
    <s v="3 - Parceria"/>
    <n v="25.13"/>
    <n v="0"/>
    <n v="0"/>
    <n v="25.13"/>
    <n v="2714.04"/>
    <n v="0"/>
    <n v="0"/>
    <n v="2706.62"/>
    <x v="0"/>
    <x v="25"/>
    <x v="0"/>
    <x v="1"/>
    <x v="1"/>
    <n v="25.13"/>
    <n v="25.13"/>
    <n v="25.13"/>
    <n v="2714.04"/>
    <n v="2706.62"/>
    <n v="2706.62"/>
    <n v="2706.62"/>
    <n v="2706.62"/>
    <n v="2706.62"/>
    <x v="1"/>
    <x v="0"/>
    <x v="0"/>
    <n v="0"/>
    <x v="0"/>
  </r>
  <r>
    <x v="86"/>
    <x v="49"/>
    <n v="5"/>
    <x v="3"/>
    <s v="ANM"/>
    <x v="0"/>
    <s v="Mineral"/>
    <x v="13"/>
    <s v="3 - Parceria"/>
    <n v="39.58"/>
    <n v="0"/>
    <n v="0"/>
    <n v="39.58"/>
    <n v="4274.6400000000003"/>
    <n v="0"/>
    <n v="0"/>
    <n v="4230.09"/>
    <x v="0"/>
    <x v="25"/>
    <x v="0"/>
    <x v="1"/>
    <x v="1"/>
    <n v="39.58"/>
    <n v="39.58"/>
    <n v="39.58"/>
    <n v="4274.6400000000003"/>
    <n v="4230.09"/>
    <n v="4230.09"/>
    <n v="4230.09"/>
    <n v="4230.09"/>
    <n v="4230.09"/>
    <x v="1"/>
    <x v="0"/>
    <x v="0"/>
    <n v="0"/>
    <x v="0"/>
  </r>
  <r>
    <x v="86"/>
    <x v="49"/>
    <n v="6"/>
    <x v="3"/>
    <s v="ANM"/>
    <x v="0"/>
    <s v="Mineral"/>
    <x v="13"/>
    <s v="3 - Parceria"/>
    <n v="6.07"/>
    <n v="0"/>
    <n v="0"/>
    <n v="6.07"/>
    <n v="1254"/>
    <n v="0"/>
    <n v="0"/>
    <n v="595.80999999999995"/>
    <x v="0"/>
    <x v="25"/>
    <x v="0"/>
    <x v="1"/>
    <x v="1"/>
    <n v="6.07"/>
    <n v="6.07"/>
    <n v="6.07"/>
    <n v="1254"/>
    <n v="595.80999999999995"/>
    <n v="595.80999999999995"/>
    <n v="595.80999999999995"/>
    <n v="595.80999999999995"/>
    <n v="595.80999999999995"/>
    <x v="1"/>
    <x v="0"/>
    <x v="0"/>
    <n v="0"/>
    <x v="0"/>
  </r>
  <r>
    <x v="86"/>
    <x v="49"/>
    <n v="7"/>
    <x v="3"/>
    <s v="ANM"/>
    <x v="0"/>
    <s v="Mineral"/>
    <x v="26"/>
    <s v="3 - Parceria"/>
    <n v="3.7"/>
    <n v="0"/>
    <n v="0"/>
    <n v="3.7"/>
    <n v="734.27"/>
    <n v="0"/>
    <n v="0"/>
    <n v="367.05"/>
    <x v="0"/>
    <x v="25"/>
    <x v="0"/>
    <x v="1"/>
    <x v="1"/>
    <n v="3.7"/>
    <n v="3.7"/>
    <n v="3.7"/>
    <n v="734.27"/>
    <n v="367.05"/>
    <n v="367.05"/>
    <n v="367.05"/>
    <n v="367.05"/>
    <n v="367.05"/>
    <x v="1"/>
    <x v="0"/>
    <x v="0"/>
    <n v="0"/>
    <x v="0"/>
  </r>
  <r>
    <x v="86"/>
    <x v="49"/>
    <n v="8"/>
    <x v="3"/>
    <s v="ANM"/>
    <x v="0"/>
    <s v="Mineral"/>
    <x v="13"/>
    <s v="3 - Parceria"/>
    <n v="17.649999999999999"/>
    <n v="0"/>
    <n v="0"/>
    <n v="17.649999999999999"/>
    <n v="1782.65"/>
    <n v="0"/>
    <n v="0"/>
    <n v="1602.24"/>
    <x v="0"/>
    <x v="25"/>
    <x v="0"/>
    <x v="1"/>
    <x v="1"/>
    <n v="17.649999999999999"/>
    <n v="17.649999999999999"/>
    <n v="17.649999999999999"/>
    <n v="1782.65"/>
    <n v="1602.24"/>
    <n v="1602.24"/>
    <n v="1602.24"/>
    <n v="1602.24"/>
    <n v="1602.24"/>
    <x v="1"/>
    <x v="0"/>
    <x v="0"/>
    <n v="0"/>
    <x v="0"/>
  </r>
  <r>
    <x v="86"/>
    <x v="49"/>
    <n v="9"/>
    <x v="3"/>
    <s v="ANM"/>
    <x v="0"/>
    <s v="Mineral"/>
    <x v="13"/>
    <s v="3 - Parceria"/>
    <n v="45.74"/>
    <n v="0"/>
    <n v="0"/>
    <n v="45.74"/>
    <n v="4939.92"/>
    <n v="0"/>
    <n v="0"/>
    <n v="4439.38"/>
    <x v="0"/>
    <x v="25"/>
    <x v="0"/>
    <x v="1"/>
    <x v="1"/>
    <n v="45.74"/>
    <n v="45.74"/>
    <n v="45.74"/>
    <n v="4939.92"/>
    <n v="4439.38"/>
    <n v="4439.38"/>
    <n v="4439.38"/>
    <n v="4439.38"/>
    <n v="4439.38"/>
    <x v="1"/>
    <x v="0"/>
    <x v="0"/>
    <n v="0"/>
    <x v="0"/>
  </r>
  <r>
    <x v="86"/>
    <x v="49"/>
    <n v="11"/>
    <x v="2"/>
    <s v="3ºC"/>
    <x v="0"/>
    <s v="Mineral"/>
    <x v="6"/>
    <s v="3 - Parceria"/>
    <n v="6.47"/>
    <n v="6.47"/>
    <n v="6.47"/>
    <n v="0"/>
    <n v="595.24"/>
    <n v="595.24"/>
    <n v="562.89"/>
    <n v="0"/>
    <x v="0"/>
    <x v="38"/>
    <x v="1"/>
    <x v="0"/>
    <x v="0"/>
    <n v="6.47"/>
    <n v="6.47"/>
    <n v="6.47"/>
    <n v="595.24"/>
    <n v="595.24"/>
    <n v="562.89"/>
    <n v="595.24"/>
    <n v="595.24"/>
    <n v="562.89"/>
    <x v="1"/>
    <x v="0"/>
    <x v="0"/>
    <n v="0"/>
    <x v="0"/>
  </r>
  <r>
    <x v="86"/>
    <x v="49"/>
    <n v="12"/>
    <x v="2"/>
    <s v="3ºC"/>
    <x v="0"/>
    <s v="Mineral"/>
    <x v="6"/>
    <s v="3 - Parceria"/>
    <n v="23"/>
    <n v="23"/>
    <n v="23"/>
    <n v="23"/>
    <n v="1978"/>
    <n v="1978"/>
    <n v="1840"/>
    <n v="937.97"/>
    <x v="0"/>
    <x v="21"/>
    <x v="0"/>
    <x v="0"/>
    <x v="0"/>
    <n v="23"/>
    <n v="23"/>
    <n v="23"/>
    <n v="1978"/>
    <n v="1978"/>
    <n v="1840"/>
    <n v="937.97"/>
    <n v="937.97"/>
    <n v="937.97"/>
    <x v="1"/>
    <x v="0"/>
    <x v="0"/>
    <n v="0"/>
    <x v="0"/>
  </r>
  <r>
    <x v="86"/>
    <x v="49"/>
    <n v="13"/>
    <x v="2"/>
    <s v="3ºC"/>
    <x v="0"/>
    <s v="Mineral"/>
    <x v="6"/>
    <s v="3 - Parceria"/>
    <n v="22.56"/>
    <n v="22.56"/>
    <n v="22.56"/>
    <n v="22.56"/>
    <n v="1940.16"/>
    <n v="1985.28"/>
    <n v="1804.8"/>
    <n v="1325.71"/>
    <x v="0"/>
    <x v="21"/>
    <x v="0"/>
    <x v="0"/>
    <x v="0"/>
    <n v="22.56"/>
    <n v="22.56"/>
    <n v="22.56"/>
    <n v="1940.16"/>
    <n v="1985.28"/>
    <n v="1804.8"/>
    <n v="1325.71"/>
    <n v="1325.71"/>
    <n v="1325.71"/>
    <x v="1"/>
    <x v="0"/>
    <x v="0"/>
    <n v="0"/>
    <x v="0"/>
  </r>
  <r>
    <x v="86"/>
    <x v="49"/>
    <n v="14"/>
    <x v="2"/>
    <s v="3ºC"/>
    <x v="0"/>
    <s v="Mineral"/>
    <x v="6"/>
    <s v="3 - Parceria"/>
    <n v="3.52"/>
    <n v="3.52"/>
    <n v="3.52"/>
    <n v="3.52"/>
    <n v="302.72000000000003"/>
    <n v="309.76"/>
    <n v="281.60000000000002"/>
    <n v="441.95"/>
    <x v="0"/>
    <x v="21"/>
    <x v="0"/>
    <x v="0"/>
    <x v="0"/>
    <n v="3.52"/>
    <n v="3.52"/>
    <n v="3.52"/>
    <n v="302.72000000000003"/>
    <n v="309.76"/>
    <n v="281.60000000000002"/>
    <n v="441.95"/>
    <n v="441.95"/>
    <n v="441.95"/>
    <x v="1"/>
    <x v="0"/>
    <x v="0"/>
    <n v="0"/>
    <x v="0"/>
  </r>
  <r>
    <x v="86"/>
    <x v="49"/>
    <n v="15"/>
    <x v="2"/>
    <s v="3ºC"/>
    <x v="0"/>
    <s v="Mineral"/>
    <x v="6"/>
    <s v="3 - Parceria"/>
    <n v="15.66"/>
    <n v="15.66"/>
    <n v="15.66"/>
    <n v="15.66"/>
    <n v="1346.76"/>
    <n v="1378.08"/>
    <n v="1252.8"/>
    <n v="889.17"/>
    <x v="0"/>
    <x v="21"/>
    <x v="0"/>
    <x v="0"/>
    <x v="0"/>
    <n v="15.66"/>
    <n v="15.66"/>
    <n v="15.66"/>
    <n v="1346.76"/>
    <n v="1378.08"/>
    <n v="1252.8"/>
    <n v="889.17"/>
    <n v="889.17"/>
    <n v="889.17"/>
    <x v="1"/>
    <x v="0"/>
    <x v="0"/>
    <n v="0"/>
    <x v="0"/>
  </r>
  <r>
    <x v="86"/>
    <x v="49"/>
    <n v="5006"/>
    <x v="5"/>
    <s v="2ºC"/>
    <x v="0"/>
    <s v="Mineral"/>
    <x v="13"/>
    <s v="3 - Parceria"/>
    <n v="6.47"/>
    <n v="0"/>
    <n v="0"/>
    <n v="6.47"/>
    <n v="582.29999999999995"/>
    <n v="0"/>
    <n v="0"/>
    <n v="571.28"/>
    <x v="0"/>
    <x v="25"/>
    <x v="0"/>
    <x v="1"/>
    <x v="1"/>
    <n v="6.47"/>
    <n v="6.47"/>
    <n v="6.47"/>
    <n v="582.29999999999995"/>
    <n v="571.28"/>
    <n v="571.28"/>
    <n v="571.28"/>
    <n v="571.28"/>
    <n v="571.28"/>
    <x v="1"/>
    <x v="0"/>
    <x v="0"/>
    <n v="0"/>
    <x v="0"/>
  </r>
  <r>
    <x v="86"/>
    <x v="49"/>
    <n v="5007"/>
    <x v="5"/>
    <s v="2ºC"/>
    <x v="0"/>
    <s v="Mineral"/>
    <x v="26"/>
    <s v="3 - Parceria"/>
    <n v="3.57"/>
    <n v="0"/>
    <n v="0"/>
    <n v="3.57"/>
    <n v="321.3"/>
    <n v="0"/>
    <n v="0"/>
    <n v="316.43"/>
    <x v="0"/>
    <x v="25"/>
    <x v="0"/>
    <x v="1"/>
    <x v="1"/>
    <n v="3.57"/>
    <n v="3.57"/>
    <n v="3.57"/>
    <n v="321.3"/>
    <n v="316.43"/>
    <n v="316.43"/>
    <n v="316.43"/>
    <n v="316.43"/>
    <n v="316.43"/>
    <x v="1"/>
    <x v="0"/>
    <x v="0"/>
    <n v="0"/>
    <x v="0"/>
  </r>
  <r>
    <x v="86"/>
    <x v="49"/>
    <n v="5008"/>
    <x v="5"/>
    <s v="2ºC"/>
    <x v="0"/>
    <s v="Mineral"/>
    <x v="13"/>
    <s v="3 - Parceria"/>
    <n v="20.03"/>
    <n v="0"/>
    <n v="0"/>
    <n v="20.03"/>
    <n v="1802.7"/>
    <n v="0"/>
    <n v="0"/>
    <n v="1620.56"/>
    <x v="0"/>
    <x v="25"/>
    <x v="0"/>
    <x v="1"/>
    <x v="1"/>
    <n v="20.03"/>
    <n v="20.03"/>
    <n v="20.03"/>
    <n v="1802.7"/>
    <n v="1620.56"/>
    <n v="1620.56"/>
    <n v="1620.56"/>
    <n v="1620.56"/>
    <n v="1620.56"/>
    <x v="1"/>
    <x v="0"/>
    <x v="0"/>
    <n v="0"/>
    <x v="0"/>
  </r>
  <r>
    <x v="87"/>
    <x v="80"/>
    <n v="1"/>
    <x v="5"/>
    <s v="2ºC"/>
    <x v="0"/>
    <s v="Mineral"/>
    <x v="11"/>
    <s v="2 - Arrendamento"/>
    <n v="14.7"/>
    <n v="14.7"/>
    <n v="0"/>
    <n v="14.7"/>
    <n v="1278.9000000000001"/>
    <n v="1323"/>
    <n v="0"/>
    <n v="1296.83"/>
    <x v="0"/>
    <x v="39"/>
    <x v="0"/>
    <x v="0"/>
    <x v="1"/>
    <n v="14.7"/>
    <n v="14.7"/>
    <n v="14.7"/>
    <n v="1278.9000000000001"/>
    <n v="1323"/>
    <n v="1296.83"/>
    <n v="1296.83"/>
    <n v="1296.83"/>
    <n v="1296.83"/>
    <x v="1"/>
    <x v="0"/>
    <x v="0"/>
    <n v="0"/>
    <x v="0"/>
  </r>
  <r>
    <x v="87"/>
    <x v="80"/>
    <n v="2"/>
    <x v="5"/>
    <s v="2ºC"/>
    <x v="0"/>
    <s v="Mineral"/>
    <x v="11"/>
    <s v="2 - Arrendamento"/>
    <n v="12.1"/>
    <n v="12.1"/>
    <n v="0"/>
    <n v="12.1"/>
    <n v="1052.7"/>
    <n v="1089"/>
    <n v="0"/>
    <n v="1350.77"/>
    <x v="0"/>
    <x v="39"/>
    <x v="0"/>
    <x v="0"/>
    <x v="1"/>
    <n v="12.1"/>
    <n v="12.1"/>
    <n v="12.1"/>
    <n v="1052.7"/>
    <n v="1089"/>
    <n v="1350.77"/>
    <n v="1350.77"/>
    <n v="1350.77"/>
    <n v="1350.77"/>
    <x v="1"/>
    <x v="0"/>
    <x v="0"/>
    <n v="0"/>
    <x v="0"/>
  </r>
  <r>
    <x v="87"/>
    <x v="80"/>
    <n v="3"/>
    <x v="5"/>
    <s v="2ºC"/>
    <x v="0"/>
    <s v="Mineral"/>
    <x v="11"/>
    <s v="2 - Arrendamento"/>
    <n v="25.5"/>
    <n v="25.5"/>
    <n v="0"/>
    <n v="25.5"/>
    <n v="2167.5"/>
    <n v="2167.5"/>
    <n v="0"/>
    <n v="2689.26"/>
    <x v="0"/>
    <x v="39"/>
    <x v="0"/>
    <x v="0"/>
    <x v="1"/>
    <n v="25.5"/>
    <n v="25.5"/>
    <n v="25.5"/>
    <n v="2167.5"/>
    <n v="2167.5"/>
    <n v="2689.26"/>
    <n v="2689.26"/>
    <n v="2689.26"/>
    <n v="2689.26"/>
    <x v="1"/>
    <x v="0"/>
    <x v="0"/>
    <n v="0"/>
    <x v="0"/>
  </r>
  <r>
    <x v="87"/>
    <x v="80"/>
    <n v="4"/>
    <x v="5"/>
    <s v="2ºC"/>
    <x v="0"/>
    <s v="Mineral"/>
    <x v="11"/>
    <s v="2 - Arrendamento"/>
    <n v="30.99"/>
    <n v="30.99"/>
    <n v="0"/>
    <n v="30.99"/>
    <n v="2634.15"/>
    <n v="2634.15"/>
    <n v="0"/>
    <n v="2581.9899999999998"/>
    <x v="0"/>
    <x v="39"/>
    <x v="0"/>
    <x v="0"/>
    <x v="1"/>
    <n v="30.99"/>
    <n v="30.99"/>
    <n v="30.99"/>
    <n v="2634.15"/>
    <n v="2634.15"/>
    <n v="2581.9899999999998"/>
    <n v="2581.9899999999998"/>
    <n v="2581.9899999999998"/>
    <n v="2581.9899999999998"/>
    <x v="1"/>
    <x v="0"/>
    <x v="0"/>
    <n v="0"/>
    <x v="0"/>
  </r>
  <r>
    <x v="87"/>
    <x v="80"/>
    <n v="5"/>
    <x v="5"/>
    <s v="2ºC"/>
    <x v="0"/>
    <s v="Mineral"/>
    <x v="11"/>
    <s v="2 - Arrendamento"/>
    <n v="13.88"/>
    <n v="13.88"/>
    <n v="0"/>
    <n v="13.88"/>
    <n v="1179.8"/>
    <n v="1179.8"/>
    <n v="0"/>
    <n v="1463.67"/>
    <x v="0"/>
    <x v="39"/>
    <x v="0"/>
    <x v="0"/>
    <x v="1"/>
    <n v="13.88"/>
    <n v="13.88"/>
    <n v="13.88"/>
    <n v="1179.8"/>
    <n v="1179.8"/>
    <n v="1463.67"/>
    <n v="1463.67"/>
    <n v="1463.67"/>
    <n v="1463.67"/>
    <x v="1"/>
    <x v="0"/>
    <x v="0"/>
    <n v="0"/>
    <x v="0"/>
  </r>
  <r>
    <x v="87"/>
    <x v="80"/>
    <n v="6"/>
    <x v="5"/>
    <s v="2ºC"/>
    <x v="0"/>
    <s v="Mineral"/>
    <x v="11"/>
    <s v="2 - Arrendamento"/>
    <n v="10.64"/>
    <n v="10.64"/>
    <n v="0"/>
    <n v="10.64"/>
    <n v="904.4"/>
    <n v="904.4"/>
    <n v="0"/>
    <n v="886.09"/>
    <x v="0"/>
    <x v="39"/>
    <x v="0"/>
    <x v="0"/>
    <x v="1"/>
    <n v="10.64"/>
    <n v="10.64"/>
    <n v="10.64"/>
    <n v="904.4"/>
    <n v="904.4"/>
    <n v="886.09"/>
    <n v="886.09"/>
    <n v="886.09"/>
    <n v="886.09"/>
    <x v="1"/>
    <x v="0"/>
    <x v="0"/>
    <n v="0"/>
    <x v="0"/>
  </r>
  <r>
    <x v="87"/>
    <x v="80"/>
    <n v="7"/>
    <x v="5"/>
    <s v="2ºC"/>
    <x v="0"/>
    <s v="Mineral"/>
    <x v="11"/>
    <s v="2 - Arrendamento"/>
    <n v="15.3"/>
    <n v="15.3"/>
    <n v="0"/>
    <n v="15.3"/>
    <n v="1224"/>
    <n v="1178.0999999999999"/>
    <n v="0"/>
    <n v="1155.04"/>
    <x v="0"/>
    <x v="39"/>
    <x v="0"/>
    <x v="0"/>
    <x v="1"/>
    <n v="15.3"/>
    <n v="15.3"/>
    <n v="15.3"/>
    <n v="1224"/>
    <n v="1178.0999999999999"/>
    <n v="1155.04"/>
    <n v="1155.04"/>
    <n v="1155.04"/>
    <n v="1155.04"/>
    <x v="0"/>
    <x v="0"/>
    <x v="0"/>
    <n v="0"/>
    <x v="0"/>
  </r>
  <r>
    <x v="87"/>
    <x v="80"/>
    <n v="8"/>
    <x v="5"/>
    <s v="2ºC"/>
    <x v="0"/>
    <s v="Mineral"/>
    <x v="11"/>
    <s v="2 - Arrendamento"/>
    <n v="10.66"/>
    <n v="10.66"/>
    <n v="0"/>
    <n v="10.66"/>
    <n v="852.8"/>
    <n v="820.82"/>
    <n v="0"/>
    <n v="1018.71"/>
    <x v="0"/>
    <x v="39"/>
    <x v="0"/>
    <x v="0"/>
    <x v="1"/>
    <n v="10.66"/>
    <n v="10.66"/>
    <n v="10.66"/>
    <n v="852.8"/>
    <n v="820.82"/>
    <n v="1018.71"/>
    <n v="1018.71"/>
    <n v="1018.71"/>
    <n v="1018.71"/>
    <x v="0"/>
    <x v="0"/>
    <x v="0"/>
    <n v="0"/>
    <x v="0"/>
  </r>
  <r>
    <x v="88"/>
    <x v="81"/>
    <n v="1"/>
    <x v="5"/>
    <s v="2ºC"/>
    <x v="0"/>
    <s v="Mineral"/>
    <x v="4"/>
    <s v="3 - Parceria"/>
    <n v="11.3"/>
    <n v="0"/>
    <n v="0"/>
    <n v="11.3"/>
    <n v="768.4"/>
    <n v="0"/>
    <n v="0"/>
    <n v="869.1"/>
    <x v="0"/>
    <x v="9"/>
    <x v="0"/>
    <x v="1"/>
    <x v="1"/>
    <n v="11.3"/>
    <n v="11.3"/>
    <n v="11.3"/>
    <n v="768.4"/>
    <n v="869.1"/>
    <n v="869.1"/>
    <n v="869.1"/>
    <n v="869.1"/>
    <n v="869.1"/>
    <x v="1"/>
    <x v="0"/>
    <x v="0"/>
    <n v="0"/>
    <x v="0"/>
  </r>
  <r>
    <x v="88"/>
    <x v="81"/>
    <n v="2"/>
    <x v="5"/>
    <s v="2ºC"/>
    <x v="0"/>
    <s v="Mineral"/>
    <x v="4"/>
    <s v="3 - Parceria"/>
    <n v="53.92"/>
    <n v="0"/>
    <n v="0"/>
    <n v="53.92"/>
    <n v="3666.56"/>
    <n v="0"/>
    <n v="0"/>
    <n v="4150.1499999999996"/>
    <x v="0"/>
    <x v="9"/>
    <x v="0"/>
    <x v="1"/>
    <x v="1"/>
    <n v="53.92"/>
    <n v="53.92"/>
    <n v="53.92"/>
    <n v="3666.56"/>
    <n v="4150.1499999999996"/>
    <n v="4150.1499999999996"/>
    <n v="4150.1499999999996"/>
    <n v="4150.1499999999996"/>
    <n v="4150.1499999999996"/>
    <x v="1"/>
    <x v="0"/>
    <x v="0"/>
    <n v="0"/>
    <x v="0"/>
  </r>
  <r>
    <x v="88"/>
    <x v="81"/>
    <n v="3"/>
    <x v="5"/>
    <s v="2ºC"/>
    <x v="0"/>
    <s v="Mineral"/>
    <x v="4"/>
    <s v="3 - Parceria"/>
    <n v="40.770000000000003"/>
    <n v="0"/>
    <n v="0"/>
    <n v="40.770000000000003"/>
    <n v="2772.36"/>
    <n v="0"/>
    <n v="0"/>
    <n v="3137.55"/>
    <x v="0"/>
    <x v="9"/>
    <x v="0"/>
    <x v="1"/>
    <x v="1"/>
    <n v="40.770000000000003"/>
    <n v="40.770000000000003"/>
    <n v="40.770000000000003"/>
    <n v="2772.36"/>
    <n v="3137.55"/>
    <n v="3137.55"/>
    <n v="3137.55"/>
    <n v="3137.55"/>
    <n v="3137.55"/>
    <x v="1"/>
    <x v="0"/>
    <x v="0"/>
    <n v="0"/>
    <x v="0"/>
  </r>
  <r>
    <x v="88"/>
    <x v="81"/>
    <n v="4"/>
    <x v="5"/>
    <s v="2ºC"/>
    <x v="0"/>
    <s v="Mineral"/>
    <x v="4"/>
    <s v="3 - Parceria"/>
    <n v="50.12"/>
    <n v="0"/>
    <n v="0"/>
    <n v="50.12"/>
    <n v="3408.16"/>
    <n v="0"/>
    <n v="0"/>
    <n v="3278.54"/>
    <x v="0"/>
    <x v="9"/>
    <x v="0"/>
    <x v="1"/>
    <x v="1"/>
    <n v="50.12"/>
    <n v="50.12"/>
    <n v="50.12"/>
    <n v="3408.16"/>
    <n v="3278.54"/>
    <n v="3278.54"/>
    <n v="3278.54"/>
    <n v="3278.54"/>
    <n v="3278.54"/>
    <x v="1"/>
    <x v="0"/>
    <x v="0"/>
    <n v="0"/>
    <x v="0"/>
  </r>
  <r>
    <x v="88"/>
    <x v="81"/>
    <n v="5"/>
    <x v="5"/>
    <s v="2ºC"/>
    <x v="0"/>
    <s v="Mineral"/>
    <x v="4"/>
    <s v="3 - Parceria"/>
    <n v="53.17"/>
    <n v="0"/>
    <n v="0"/>
    <n v="53.17"/>
    <n v="3615.56"/>
    <n v="0"/>
    <n v="0"/>
    <n v="3098.2"/>
    <x v="0"/>
    <x v="15"/>
    <x v="0"/>
    <x v="1"/>
    <x v="1"/>
    <n v="53.17"/>
    <n v="53.17"/>
    <n v="53.17"/>
    <n v="3615.56"/>
    <n v="3098.2"/>
    <n v="3098.2"/>
    <n v="3098.2"/>
    <n v="3098.2"/>
    <n v="3098.2"/>
    <x v="1"/>
    <x v="0"/>
    <x v="0"/>
    <n v="0"/>
    <x v="0"/>
  </r>
  <r>
    <x v="88"/>
    <x v="81"/>
    <n v="6"/>
    <x v="5"/>
    <s v="2ºC"/>
    <x v="0"/>
    <s v="Mineral"/>
    <x v="4"/>
    <s v="3 - Parceria"/>
    <n v="47.15"/>
    <n v="0"/>
    <n v="0"/>
    <n v="47.15"/>
    <n v="3206.2"/>
    <n v="0"/>
    <n v="0"/>
    <n v="2746.9"/>
    <x v="0"/>
    <x v="15"/>
    <x v="0"/>
    <x v="1"/>
    <x v="1"/>
    <n v="47.15"/>
    <n v="47.15"/>
    <n v="47.15"/>
    <n v="3206.2"/>
    <n v="2746.9"/>
    <n v="2746.9"/>
    <n v="2746.9"/>
    <n v="2746.9"/>
    <n v="2746.9"/>
    <x v="1"/>
    <x v="0"/>
    <x v="0"/>
    <n v="0"/>
    <x v="0"/>
  </r>
  <r>
    <x v="88"/>
    <x v="81"/>
    <n v="7"/>
    <x v="5"/>
    <s v="2ºC"/>
    <x v="0"/>
    <s v="Mineral"/>
    <x v="4"/>
    <s v="3 - Parceria"/>
    <n v="11.89"/>
    <n v="0"/>
    <n v="0"/>
    <n v="11.89"/>
    <n v="808.52"/>
    <n v="0"/>
    <n v="0"/>
    <n v="693.39"/>
    <x v="0"/>
    <x v="15"/>
    <x v="0"/>
    <x v="1"/>
    <x v="1"/>
    <n v="11.89"/>
    <n v="11.89"/>
    <n v="11.89"/>
    <n v="808.52"/>
    <n v="693.39"/>
    <n v="693.39"/>
    <n v="693.39"/>
    <n v="693.39"/>
    <n v="693.39"/>
    <x v="1"/>
    <x v="0"/>
    <x v="0"/>
    <n v="0"/>
    <x v="0"/>
  </r>
  <r>
    <x v="89"/>
    <x v="82"/>
    <n v="1"/>
    <x v="4"/>
    <s v="4ºC"/>
    <x v="0"/>
    <s v="Mineral"/>
    <x v="3"/>
    <s v="3 - Parceria"/>
    <n v="19.75"/>
    <n v="19.75"/>
    <n v="0"/>
    <n v="19.75"/>
    <n v="1777.5"/>
    <n v="1777.5"/>
    <n v="0"/>
    <n v="1803.77"/>
    <x v="0"/>
    <x v="31"/>
    <x v="0"/>
    <x v="0"/>
    <x v="1"/>
    <n v="19.75"/>
    <n v="19.75"/>
    <n v="19.75"/>
    <n v="1777.5"/>
    <n v="1777.5"/>
    <n v="1803.77"/>
    <n v="1803.77"/>
    <n v="1803.77"/>
    <n v="1803.77"/>
    <x v="1"/>
    <x v="0"/>
    <x v="0"/>
    <n v="0"/>
    <x v="0"/>
  </r>
  <r>
    <x v="89"/>
    <x v="82"/>
    <n v="2"/>
    <x v="4"/>
    <s v="4ºC"/>
    <x v="0"/>
    <s v="Mineral"/>
    <x v="3"/>
    <s v="3 - Parceria"/>
    <n v="26.75"/>
    <n v="26.75"/>
    <n v="0"/>
    <n v="26.75"/>
    <n v="2407.5"/>
    <n v="2407.5"/>
    <n v="0"/>
    <n v="2442.94"/>
    <x v="0"/>
    <x v="31"/>
    <x v="0"/>
    <x v="0"/>
    <x v="1"/>
    <n v="26.75"/>
    <n v="26.75"/>
    <n v="26.75"/>
    <n v="2407.5"/>
    <n v="2407.5"/>
    <n v="2442.94"/>
    <n v="2442.94"/>
    <n v="2442.94"/>
    <n v="2442.94"/>
    <x v="1"/>
    <x v="0"/>
    <x v="0"/>
    <n v="0"/>
    <x v="0"/>
  </r>
  <r>
    <x v="89"/>
    <x v="82"/>
    <n v="3"/>
    <x v="4"/>
    <s v="4ºC"/>
    <x v="0"/>
    <s v="Mineral"/>
    <x v="3"/>
    <s v="3 - Parceria"/>
    <n v="21.12"/>
    <n v="21.12"/>
    <n v="0"/>
    <n v="21.12"/>
    <n v="1689.6"/>
    <n v="1689.6"/>
    <n v="0"/>
    <n v="1855.75"/>
    <x v="0"/>
    <x v="8"/>
    <x v="0"/>
    <x v="0"/>
    <x v="1"/>
    <n v="21.12"/>
    <n v="21.12"/>
    <n v="21.12"/>
    <n v="1689.6"/>
    <n v="1689.6"/>
    <n v="1855.75"/>
    <n v="1855.75"/>
    <n v="1855.75"/>
    <n v="1855.75"/>
    <x v="1"/>
    <x v="0"/>
    <x v="0"/>
    <n v="0"/>
    <x v="0"/>
  </r>
  <r>
    <x v="89"/>
    <x v="82"/>
    <n v="4"/>
    <x v="0"/>
    <s v="6ºC"/>
    <x v="0"/>
    <s v="Mineral"/>
    <x v="8"/>
    <s v="3 - Parceria"/>
    <n v="29.37"/>
    <n v="29.37"/>
    <n v="0"/>
    <n v="29.37"/>
    <n v="1909.05"/>
    <n v="1967.79"/>
    <n v="0"/>
    <n v="2161.02"/>
    <x v="0"/>
    <x v="8"/>
    <x v="0"/>
    <x v="0"/>
    <x v="1"/>
    <n v="29.37"/>
    <n v="29.37"/>
    <n v="29.37"/>
    <n v="1909.05"/>
    <n v="1967.79"/>
    <n v="2161.02"/>
    <n v="2161.02"/>
    <n v="2161.02"/>
    <n v="2161.02"/>
    <x v="1"/>
    <x v="0"/>
    <x v="0"/>
    <n v="0"/>
    <x v="0"/>
  </r>
  <r>
    <x v="89"/>
    <x v="82"/>
    <n v="5"/>
    <x v="0"/>
    <s v="6ºC"/>
    <x v="0"/>
    <s v="Mineral"/>
    <x v="8"/>
    <s v="3 - Parceria"/>
    <n v="20.68"/>
    <n v="20.68"/>
    <n v="0"/>
    <n v="20.68"/>
    <n v="1344.2"/>
    <n v="1385.56"/>
    <n v="0"/>
    <n v="1818.35"/>
    <x v="0"/>
    <x v="31"/>
    <x v="0"/>
    <x v="0"/>
    <x v="1"/>
    <n v="20.68"/>
    <n v="20.68"/>
    <n v="20.68"/>
    <n v="1344.2"/>
    <n v="1385.56"/>
    <n v="1818.35"/>
    <n v="1818.35"/>
    <n v="1818.35"/>
    <n v="1818.35"/>
    <x v="1"/>
    <x v="0"/>
    <x v="0"/>
    <n v="0"/>
    <x v="0"/>
  </r>
  <r>
    <x v="89"/>
    <x v="82"/>
    <n v="6"/>
    <x v="0"/>
    <s v="6ºC"/>
    <x v="0"/>
    <s v="Mineral"/>
    <x v="27"/>
    <s v="3 - Parceria"/>
    <n v="10.17"/>
    <n v="10.17"/>
    <n v="0"/>
    <n v="10.17"/>
    <n v="661.05"/>
    <n v="681.39"/>
    <n v="0"/>
    <n v="900.73"/>
    <x v="0"/>
    <x v="31"/>
    <x v="0"/>
    <x v="0"/>
    <x v="1"/>
    <n v="10.17"/>
    <n v="10.17"/>
    <n v="10.17"/>
    <n v="661.05"/>
    <n v="681.39"/>
    <n v="900.73"/>
    <n v="900.73"/>
    <n v="900.73"/>
    <n v="900.73"/>
    <x v="1"/>
    <x v="0"/>
    <x v="0"/>
    <n v="0"/>
    <x v="0"/>
  </r>
  <r>
    <x v="89"/>
    <x v="82"/>
    <n v="7"/>
    <x v="0"/>
    <s v="6ºC"/>
    <x v="0"/>
    <s v="Mineral"/>
    <x v="27"/>
    <s v="3 - Parceria"/>
    <n v="12.95"/>
    <n v="12.95"/>
    <n v="0"/>
    <n v="12.95"/>
    <n v="841.75"/>
    <n v="867.65"/>
    <n v="0"/>
    <n v="880.76"/>
    <x v="0"/>
    <x v="31"/>
    <x v="0"/>
    <x v="0"/>
    <x v="1"/>
    <n v="12.95"/>
    <n v="12.95"/>
    <n v="12.95"/>
    <n v="841.75"/>
    <n v="867.65"/>
    <n v="880.76"/>
    <n v="880.76"/>
    <n v="880.76"/>
    <n v="880.76"/>
    <x v="1"/>
    <x v="0"/>
    <x v="0"/>
    <n v="0"/>
    <x v="0"/>
  </r>
  <r>
    <x v="89"/>
    <x v="82"/>
    <n v="8"/>
    <x v="0"/>
    <s v="6ºC"/>
    <x v="0"/>
    <s v="Mineral"/>
    <x v="27"/>
    <s v="3 - Parceria"/>
    <n v="23.95"/>
    <n v="23.95"/>
    <n v="0"/>
    <n v="23.95"/>
    <n v="1556.75"/>
    <n v="1604.65"/>
    <n v="0"/>
    <n v="2123"/>
    <x v="0"/>
    <x v="31"/>
    <x v="0"/>
    <x v="0"/>
    <x v="1"/>
    <n v="23.95"/>
    <n v="23.95"/>
    <n v="23.95"/>
    <n v="1556.75"/>
    <n v="1604.65"/>
    <n v="2123"/>
    <n v="2123"/>
    <n v="2123"/>
    <n v="2123"/>
    <x v="1"/>
    <x v="0"/>
    <x v="0"/>
    <n v="0"/>
    <x v="0"/>
  </r>
  <r>
    <x v="89"/>
    <x v="82"/>
    <n v="9"/>
    <x v="0"/>
    <s v="6ºC"/>
    <x v="0"/>
    <s v="Mineral"/>
    <x v="27"/>
    <s v="3 - Parceria"/>
    <n v="14.89"/>
    <n v="14.89"/>
    <n v="0"/>
    <n v="14.89"/>
    <n v="967.85"/>
    <n v="997.63"/>
    <n v="0"/>
    <n v="1320.4"/>
    <x v="0"/>
    <x v="31"/>
    <x v="0"/>
    <x v="0"/>
    <x v="1"/>
    <n v="14.89"/>
    <n v="14.89"/>
    <n v="14.89"/>
    <n v="967.85"/>
    <n v="997.63"/>
    <n v="1320.4"/>
    <n v="1320.4"/>
    <n v="1320.4"/>
    <n v="1320.4"/>
    <x v="1"/>
    <x v="0"/>
    <x v="0"/>
    <n v="0"/>
    <x v="0"/>
  </r>
  <r>
    <x v="89"/>
    <x v="82"/>
    <n v="10"/>
    <x v="0"/>
    <s v="6ºC"/>
    <x v="0"/>
    <s v="Mineral"/>
    <x v="8"/>
    <s v="3 - Parceria"/>
    <n v="34.61"/>
    <n v="34.61"/>
    <n v="0"/>
    <n v="34.61"/>
    <n v="2249.65"/>
    <n v="2318.87"/>
    <n v="0"/>
    <n v="2546.73"/>
    <x v="0"/>
    <x v="8"/>
    <x v="0"/>
    <x v="0"/>
    <x v="1"/>
    <n v="34.61"/>
    <n v="34.61"/>
    <n v="34.61"/>
    <n v="2249.65"/>
    <n v="2318.87"/>
    <n v="2546.73"/>
    <n v="2546.73"/>
    <n v="2546.73"/>
    <n v="2546.73"/>
    <x v="1"/>
    <x v="0"/>
    <x v="0"/>
    <n v="0"/>
    <x v="0"/>
  </r>
  <r>
    <x v="89"/>
    <x v="82"/>
    <n v="11"/>
    <x v="4"/>
    <s v="4ºC"/>
    <x v="0"/>
    <s v="Mineral"/>
    <x v="3"/>
    <s v="3 - Parceria"/>
    <n v="16.760000000000002"/>
    <n v="16.760000000000002"/>
    <n v="0"/>
    <n v="16.760000000000002"/>
    <n v="1240.24"/>
    <n v="1257"/>
    <n v="0"/>
    <n v="1260.6300000000001"/>
    <x v="0"/>
    <x v="8"/>
    <x v="0"/>
    <x v="0"/>
    <x v="1"/>
    <n v="16.760000000000002"/>
    <n v="16.760000000000002"/>
    <n v="16.760000000000002"/>
    <n v="1240.24"/>
    <n v="1257"/>
    <n v="1260.6300000000001"/>
    <n v="1260.6300000000001"/>
    <n v="1260.6300000000001"/>
    <n v="1260.6300000000001"/>
    <x v="1"/>
    <x v="0"/>
    <x v="0"/>
    <n v="0"/>
    <x v="0"/>
  </r>
  <r>
    <x v="89"/>
    <x v="82"/>
    <n v="12"/>
    <x v="4"/>
    <s v="4ºC"/>
    <x v="0"/>
    <s v="Mineral"/>
    <x v="3"/>
    <s v="3 - Parceria"/>
    <n v="15.95"/>
    <n v="15.95"/>
    <n v="0"/>
    <n v="15.95"/>
    <n v="1180.3"/>
    <n v="1196.25"/>
    <n v="0"/>
    <n v="1199.46"/>
    <x v="0"/>
    <x v="8"/>
    <x v="0"/>
    <x v="0"/>
    <x v="1"/>
    <n v="15.95"/>
    <n v="15.95"/>
    <n v="15.95"/>
    <n v="1180.3"/>
    <n v="1196.25"/>
    <n v="1199.46"/>
    <n v="1199.46"/>
    <n v="1199.46"/>
    <n v="1199.46"/>
    <x v="1"/>
    <x v="0"/>
    <x v="0"/>
    <n v="0"/>
    <x v="0"/>
  </r>
  <r>
    <x v="89"/>
    <x v="82"/>
    <n v="13"/>
    <x v="4"/>
    <s v="4ºC"/>
    <x v="0"/>
    <s v="Mineral"/>
    <x v="3"/>
    <s v="3 - Parceria"/>
    <n v="9.42"/>
    <n v="9.42"/>
    <n v="0"/>
    <n v="9.42"/>
    <n v="697.08"/>
    <n v="706.5"/>
    <n v="0"/>
    <n v="709.15"/>
    <x v="0"/>
    <x v="8"/>
    <x v="0"/>
    <x v="0"/>
    <x v="1"/>
    <n v="9.42"/>
    <n v="9.42"/>
    <n v="9.42"/>
    <n v="697.08"/>
    <n v="706.5"/>
    <n v="709.15"/>
    <n v="709.15"/>
    <n v="709.15"/>
    <n v="709.15"/>
    <x v="1"/>
    <x v="0"/>
    <x v="0"/>
    <n v="0"/>
    <x v="0"/>
  </r>
  <r>
    <x v="89"/>
    <x v="82"/>
    <n v="14"/>
    <x v="4"/>
    <s v="4ºC"/>
    <x v="0"/>
    <s v="Mineral"/>
    <x v="3"/>
    <s v="3 - Parceria"/>
    <n v="13.61"/>
    <n v="13.61"/>
    <n v="0"/>
    <n v="13.61"/>
    <n v="1007.14"/>
    <n v="1020.75"/>
    <n v="0"/>
    <n v="984.6"/>
    <x v="0"/>
    <x v="8"/>
    <x v="0"/>
    <x v="0"/>
    <x v="1"/>
    <n v="13.61"/>
    <n v="13.61"/>
    <n v="13.61"/>
    <n v="1007.14"/>
    <n v="1020.75"/>
    <n v="984.6"/>
    <n v="984.6"/>
    <n v="984.6"/>
    <n v="984.6"/>
    <x v="1"/>
    <x v="0"/>
    <x v="0"/>
    <n v="0"/>
    <x v="0"/>
  </r>
  <r>
    <x v="89"/>
    <x v="82"/>
    <n v="15"/>
    <x v="4"/>
    <s v="4ºC"/>
    <x v="0"/>
    <s v="Mineral"/>
    <x v="27"/>
    <s v="3 - Parceria"/>
    <n v="18.059999999999999"/>
    <n v="18.059999999999999"/>
    <n v="0"/>
    <n v="18.059999999999999"/>
    <n v="1336.44"/>
    <n v="1354.5"/>
    <n v="0"/>
    <n v="1306.71"/>
    <x v="0"/>
    <x v="8"/>
    <x v="0"/>
    <x v="0"/>
    <x v="1"/>
    <n v="18.059999999999999"/>
    <n v="18.059999999999999"/>
    <n v="18.059999999999999"/>
    <n v="1336.44"/>
    <n v="1354.5"/>
    <n v="1306.71"/>
    <n v="1306.71"/>
    <n v="1306.71"/>
    <n v="1306.71"/>
    <x v="1"/>
    <x v="0"/>
    <x v="0"/>
    <n v="0"/>
    <x v="0"/>
  </r>
  <r>
    <x v="89"/>
    <x v="82"/>
    <n v="16"/>
    <x v="4"/>
    <s v="4ºC"/>
    <x v="0"/>
    <s v="Mineral"/>
    <x v="27"/>
    <s v="3 - Parceria"/>
    <n v="20"/>
    <n v="20"/>
    <n v="0"/>
    <n v="20"/>
    <n v="1240"/>
    <n v="1280"/>
    <n v="0"/>
    <n v="1234.3800000000001"/>
    <x v="0"/>
    <x v="8"/>
    <x v="0"/>
    <x v="0"/>
    <x v="1"/>
    <n v="20"/>
    <n v="20"/>
    <n v="20"/>
    <n v="1240"/>
    <n v="1280"/>
    <n v="1234.3800000000001"/>
    <n v="1234.3800000000001"/>
    <n v="1234.3800000000001"/>
    <n v="1234.3800000000001"/>
    <x v="1"/>
    <x v="0"/>
    <x v="0"/>
    <n v="0"/>
    <x v="0"/>
  </r>
  <r>
    <x v="89"/>
    <x v="82"/>
    <n v="17"/>
    <x v="4"/>
    <s v="4ºC"/>
    <x v="0"/>
    <s v="Mineral"/>
    <x v="3"/>
    <s v="3 - Parceria"/>
    <n v="33.22"/>
    <n v="33.22"/>
    <n v="0"/>
    <n v="33.22"/>
    <n v="2591.16"/>
    <n v="2591.16"/>
    <n v="0"/>
    <n v="2499.0500000000002"/>
    <x v="0"/>
    <x v="8"/>
    <x v="0"/>
    <x v="0"/>
    <x v="1"/>
    <n v="33.22"/>
    <n v="33.22"/>
    <n v="33.22"/>
    <n v="2591.16"/>
    <n v="2591.16"/>
    <n v="2499.0500000000002"/>
    <n v="2499.0500000000002"/>
    <n v="2499.0500000000002"/>
    <n v="2499.0500000000002"/>
    <x v="1"/>
    <x v="0"/>
    <x v="0"/>
    <n v="0"/>
    <x v="0"/>
  </r>
  <r>
    <x v="89"/>
    <x v="82"/>
    <n v="22"/>
    <x v="2"/>
    <s v="3ºC"/>
    <x v="0"/>
    <s v="Mineral"/>
    <x v="10"/>
    <s v="3 - Parceria"/>
    <n v="23.31"/>
    <n v="23.31"/>
    <n v="0"/>
    <n v="23.31"/>
    <n v="1864.8"/>
    <n v="1911.42"/>
    <n v="0"/>
    <n v="1470.75"/>
    <x v="0"/>
    <x v="13"/>
    <x v="0"/>
    <x v="0"/>
    <x v="1"/>
    <n v="23.31"/>
    <n v="23.31"/>
    <n v="23.31"/>
    <n v="1864.8"/>
    <n v="1911.42"/>
    <n v="1470.75"/>
    <n v="1470.75"/>
    <n v="1470.75"/>
    <n v="1470.75"/>
    <x v="1"/>
    <x v="0"/>
    <x v="0"/>
    <n v="0"/>
    <x v="0"/>
  </r>
  <r>
    <x v="89"/>
    <x v="82"/>
    <n v="23"/>
    <x v="2"/>
    <s v="3ºC"/>
    <x v="0"/>
    <s v="Mineral"/>
    <x v="10"/>
    <s v="3 - Parceria"/>
    <n v="17.940000000000001"/>
    <n v="17.940000000000001"/>
    <n v="0"/>
    <n v="17.940000000000001"/>
    <n v="1435.2"/>
    <n v="1471.08"/>
    <n v="0"/>
    <n v="1132.0899999999999"/>
    <x v="0"/>
    <x v="13"/>
    <x v="0"/>
    <x v="0"/>
    <x v="1"/>
    <n v="17.940000000000001"/>
    <n v="17.940000000000001"/>
    <n v="17.940000000000001"/>
    <n v="1435.2"/>
    <n v="1471.08"/>
    <n v="1132.0899999999999"/>
    <n v="1132.0899999999999"/>
    <n v="1132.0899999999999"/>
    <n v="1132.0899999999999"/>
    <x v="1"/>
    <x v="0"/>
    <x v="0"/>
    <n v="0"/>
    <x v="0"/>
  </r>
  <r>
    <x v="89"/>
    <x v="82"/>
    <n v="24"/>
    <x v="2"/>
    <s v="3ºC"/>
    <x v="0"/>
    <s v="Mineral"/>
    <x v="10"/>
    <s v="3 - Parceria"/>
    <n v="12.64"/>
    <n v="12.64"/>
    <n v="0"/>
    <n v="12.64"/>
    <n v="1137.5999999999999"/>
    <n v="1162.8800000000001"/>
    <n v="0"/>
    <n v="895.04"/>
    <x v="0"/>
    <x v="13"/>
    <x v="0"/>
    <x v="0"/>
    <x v="1"/>
    <n v="12.64"/>
    <n v="12.64"/>
    <n v="12.64"/>
    <n v="1137.5999999999999"/>
    <n v="1162.8800000000001"/>
    <n v="895.04"/>
    <n v="895.04"/>
    <n v="895.04"/>
    <n v="895.04"/>
    <x v="1"/>
    <x v="0"/>
    <x v="0"/>
    <n v="0"/>
    <x v="0"/>
  </r>
  <r>
    <x v="89"/>
    <x v="82"/>
    <n v="25"/>
    <x v="2"/>
    <s v="3ºC"/>
    <x v="0"/>
    <s v="Mineral"/>
    <x v="10"/>
    <s v="3 - Parceria"/>
    <n v="27.61"/>
    <n v="27.61"/>
    <n v="0"/>
    <n v="27.61"/>
    <n v="2484.9"/>
    <n v="2540.12"/>
    <n v="0"/>
    <n v="1955.17"/>
    <x v="0"/>
    <x v="13"/>
    <x v="0"/>
    <x v="0"/>
    <x v="1"/>
    <n v="27.61"/>
    <n v="27.61"/>
    <n v="27.61"/>
    <n v="2484.9"/>
    <n v="2540.12"/>
    <n v="1955.17"/>
    <n v="1955.17"/>
    <n v="1955.17"/>
    <n v="1955.17"/>
    <x v="1"/>
    <x v="0"/>
    <x v="0"/>
    <n v="0"/>
    <x v="0"/>
  </r>
  <r>
    <x v="89"/>
    <x v="82"/>
    <n v="26"/>
    <x v="2"/>
    <s v="3ºC"/>
    <x v="0"/>
    <s v="Mineral"/>
    <x v="3"/>
    <s v="3 - Parceria"/>
    <n v="51.55"/>
    <n v="51.55"/>
    <n v="0"/>
    <n v="51.55"/>
    <n v="4020.9"/>
    <n v="4124"/>
    <n v="0"/>
    <n v="5059.1899999999996"/>
    <x v="0"/>
    <x v="13"/>
    <x v="0"/>
    <x v="0"/>
    <x v="1"/>
    <n v="51.55"/>
    <n v="51.55"/>
    <n v="51.55"/>
    <n v="4020.9"/>
    <n v="4124"/>
    <n v="5059.1899999999996"/>
    <n v="5059.1899999999996"/>
    <n v="5059.1899999999996"/>
    <n v="5059.1899999999996"/>
    <x v="1"/>
    <x v="0"/>
    <x v="0"/>
    <n v="0"/>
    <x v="0"/>
  </r>
  <r>
    <x v="89"/>
    <x v="82"/>
    <n v="27"/>
    <x v="2"/>
    <s v="3ºC"/>
    <x v="0"/>
    <s v="Mineral"/>
    <x v="3"/>
    <s v="3 - Parceria"/>
    <n v="40.85"/>
    <n v="40.85"/>
    <n v="0"/>
    <n v="40.85"/>
    <n v="3186.3"/>
    <n v="3268"/>
    <n v="0"/>
    <n v="4009.3"/>
    <x v="0"/>
    <x v="13"/>
    <x v="0"/>
    <x v="0"/>
    <x v="1"/>
    <n v="40.85"/>
    <n v="40.85"/>
    <n v="40.85"/>
    <n v="3186.3"/>
    <n v="3268"/>
    <n v="4009.3"/>
    <n v="4009.3"/>
    <n v="4009.3"/>
    <n v="4009.3"/>
    <x v="1"/>
    <x v="0"/>
    <x v="0"/>
    <n v="0"/>
    <x v="0"/>
  </r>
  <r>
    <x v="89"/>
    <x v="82"/>
    <n v="28"/>
    <x v="4"/>
    <s v="4ºC"/>
    <x v="0"/>
    <s v="Mineral"/>
    <x v="27"/>
    <s v="3 - Parceria"/>
    <n v="37.950000000000003"/>
    <n v="0"/>
    <n v="0"/>
    <n v="37.950000000000003"/>
    <n v="2125.1999999999998"/>
    <n v="0"/>
    <n v="0"/>
    <n v="1550.21"/>
    <x v="0"/>
    <x v="22"/>
    <x v="0"/>
    <x v="1"/>
    <x v="1"/>
    <n v="37.950000000000003"/>
    <n v="37.950000000000003"/>
    <n v="37.950000000000003"/>
    <n v="2125.1999999999998"/>
    <n v="1550.21"/>
    <n v="1550.21"/>
    <n v="1550.21"/>
    <n v="1550.21"/>
    <n v="1550.21"/>
    <x v="1"/>
    <x v="0"/>
    <x v="0"/>
    <n v="0"/>
    <x v="0"/>
  </r>
  <r>
    <x v="89"/>
    <x v="82"/>
    <n v="29"/>
    <x v="4"/>
    <s v="4ºC"/>
    <x v="0"/>
    <s v="Mineral"/>
    <x v="27"/>
    <s v="3 - Parceria"/>
    <n v="10.08"/>
    <n v="0"/>
    <n v="0"/>
    <n v="10.08"/>
    <n v="564.48"/>
    <n v="0"/>
    <n v="0"/>
    <n v="511.97"/>
    <x v="0"/>
    <x v="22"/>
    <x v="0"/>
    <x v="1"/>
    <x v="1"/>
    <n v="10.08"/>
    <n v="10.08"/>
    <n v="10.08"/>
    <n v="564.48"/>
    <n v="511.97"/>
    <n v="511.97"/>
    <n v="511.97"/>
    <n v="511.97"/>
    <n v="511.97"/>
    <x v="1"/>
    <x v="0"/>
    <x v="0"/>
    <n v="0"/>
    <x v="0"/>
  </r>
  <r>
    <x v="89"/>
    <x v="82"/>
    <n v="30"/>
    <x v="4"/>
    <s v="4ºC"/>
    <x v="0"/>
    <s v="Mineral"/>
    <x v="27"/>
    <s v="3 - Parceria"/>
    <n v="42.28"/>
    <n v="0"/>
    <n v="0"/>
    <n v="42.28"/>
    <n v="2367.6799999999998"/>
    <n v="0"/>
    <n v="0"/>
    <n v="1727.56"/>
    <x v="0"/>
    <x v="22"/>
    <x v="0"/>
    <x v="1"/>
    <x v="1"/>
    <n v="42.28"/>
    <n v="42.28"/>
    <n v="42.28"/>
    <n v="2367.6799999999998"/>
    <n v="1727.56"/>
    <n v="1727.56"/>
    <n v="1727.56"/>
    <n v="1727.56"/>
    <n v="1727.56"/>
    <x v="1"/>
    <x v="0"/>
    <x v="0"/>
    <n v="0"/>
    <x v="0"/>
  </r>
  <r>
    <x v="89"/>
    <x v="82"/>
    <n v="31"/>
    <x v="4"/>
    <s v="4ºC"/>
    <x v="0"/>
    <s v="Mineral"/>
    <x v="27"/>
    <s v="3 - Parceria"/>
    <n v="22"/>
    <n v="0"/>
    <n v="0"/>
    <n v="22"/>
    <n v="1232"/>
    <n v="0"/>
    <n v="0"/>
    <n v="1118.44"/>
    <x v="0"/>
    <x v="22"/>
    <x v="0"/>
    <x v="1"/>
    <x v="1"/>
    <n v="22"/>
    <n v="22"/>
    <n v="22"/>
    <n v="1232"/>
    <n v="1118.44"/>
    <n v="1118.44"/>
    <n v="1118.44"/>
    <n v="1118.44"/>
    <n v="1118.44"/>
    <x v="1"/>
    <x v="0"/>
    <x v="0"/>
    <n v="0"/>
    <x v="0"/>
  </r>
  <r>
    <x v="89"/>
    <x v="82"/>
    <n v="50"/>
    <x v="6"/>
    <s v="5ºC"/>
    <x v="0"/>
    <s v="Mineral"/>
    <x v="0"/>
    <s v="3 - Parceria"/>
    <n v="9.34"/>
    <n v="9.34"/>
    <n v="0"/>
    <n v="9.34"/>
    <n v="420.3"/>
    <n v="448.32"/>
    <n v="0"/>
    <n v="303.64"/>
    <x v="0"/>
    <x v="39"/>
    <x v="0"/>
    <x v="0"/>
    <x v="1"/>
    <n v="9.34"/>
    <n v="9.34"/>
    <n v="9.34"/>
    <n v="420.3"/>
    <n v="448.32"/>
    <n v="303.64"/>
    <n v="303.64"/>
    <n v="303.64"/>
    <n v="303.64"/>
    <x v="1"/>
    <x v="0"/>
    <x v="0"/>
    <n v="0"/>
    <x v="0"/>
  </r>
  <r>
    <x v="89"/>
    <x v="82"/>
    <n v="51"/>
    <x v="6"/>
    <s v="5ºC"/>
    <x v="0"/>
    <s v="Mineral"/>
    <x v="8"/>
    <s v="3 - Parceria"/>
    <n v="13.65"/>
    <n v="13.65"/>
    <n v="0"/>
    <n v="13.65"/>
    <n v="819"/>
    <n v="846.3"/>
    <n v="0"/>
    <n v="573.41999999999996"/>
    <x v="0"/>
    <x v="39"/>
    <x v="0"/>
    <x v="0"/>
    <x v="1"/>
    <n v="13.65"/>
    <n v="13.65"/>
    <n v="13.65"/>
    <n v="819"/>
    <n v="846.3"/>
    <n v="573.41999999999996"/>
    <n v="573.41999999999996"/>
    <n v="573.41999999999996"/>
    <n v="573.41999999999996"/>
    <x v="1"/>
    <x v="0"/>
    <x v="0"/>
    <n v="0"/>
    <x v="0"/>
  </r>
  <r>
    <x v="89"/>
    <x v="82"/>
    <n v="52"/>
    <x v="6"/>
    <s v="5ºC"/>
    <x v="0"/>
    <s v="Mineral"/>
    <x v="8"/>
    <s v="3 - Parceria"/>
    <n v="25.82"/>
    <n v="25.82"/>
    <n v="0"/>
    <n v="25.82"/>
    <n v="1549.2"/>
    <n v="1600.84"/>
    <n v="0"/>
    <n v="1085.19"/>
    <x v="0"/>
    <x v="39"/>
    <x v="0"/>
    <x v="0"/>
    <x v="1"/>
    <n v="25.82"/>
    <n v="25.82"/>
    <n v="25.82"/>
    <n v="1549.2"/>
    <n v="1600.84"/>
    <n v="1085.19"/>
    <n v="1085.19"/>
    <n v="1085.19"/>
    <n v="1085.19"/>
    <x v="1"/>
    <x v="0"/>
    <x v="0"/>
    <n v="0"/>
    <x v="0"/>
  </r>
  <r>
    <x v="89"/>
    <x v="82"/>
    <n v="53"/>
    <x v="6"/>
    <s v="5ºC"/>
    <x v="0"/>
    <s v="Mineral"/>
    <x v="8"/>
    <s v="3 - Parceria"/>
    <n v="23.61"/>
    <n v="23.61"/>
    <n v="0"/>
    <n v="23.61"/>
    <n v="1416.6"/>
    <n v="1463.82"/>
    <n v="0"/>
    <n v="992.49"/>
    <x v="0"/>
    <x v="39"/>
    <x v="0"/>
    <x v="0"/>
    <x v="1"/>
    <n v="23.61"/>
    <n v="23.61"/>
    <n v="23.61"/>
    <n v="1416.6"/>
    <n v="1463.82"/>
    <n v="992.49"/>
    <n v="992.49"/>
    <n v="992.49"/>
    <n v="992.49"/>
    <x v="1"/>
    <x v="0"/>
    <x v="0"/>
    <n v="0"/>
    <x v="0"/>
  </r>
  <r>
    <x v="89"/>
    <x v="82"/>
    <n v="54"/>
    <x v="6"/>
    <s v="5ºC"/>
    <x v="0"/>
    <s v="Mineral"/>
    <x v="8"/>
    <s v="3 - Parceria"/>
    <n v="48.18"/>
    <n v="48.18"/>
    <n v="0"/>
    <n v="48.18"/>
    <n v="3372.6"/>
    <n v="3372.6"/>
    <n v="0"/>
    <n v="3008.39"/>
    <x v="0"/>
    <x v="39"/>
    <x v="0"/>
    <x v="0"/>
    <x v="1"/>
    <n v="48.18"/>
    <n v="48.18"/>
    <n v="48.18"/>
    <n v="3372.6"/>
    <n v="3372.6"/>
    <n v="3008.39"/>
    <n v="3008.39"/>
    <n v="3008.39"/>
    <n v="3008.39"/>
    <x v="1"/>
    <x v="0"/>
    <x v="0"/>
    <n v="0"/>
    <x v="0"/>
  </r>
  <r>
    <x v="89"/>
    <x v="82"/>
    <n v="55"/>
    <x v="6"/>
    <s v="5ºC"/>
    <x v="0"/>
    <s v="Mineral"/>
    <x v="8"/>
    <s v="3 - Parceria"/>
    <n v="13.21"/>
    <n v="13.21"/>
    <n v="0"/>
    <n v="13.21"/>
    <n v="871.86"/>
    <n v="871.86"/>
    <n v="0"/>
    <n v="777.64"/>
    <x v="0"/>
    <x v="39"/>
    <x v="0"/>
    <x v="0"/>
    <x v="1"/>
    <n v="13.21"/>
    <n v="13.21"/>
    <n v="13.21"/>
    <n v="871.86"/>
    <n v="871.86"/>
    <n v="777.64"/>
    <n v="777.64"/>
    <n v="777.64"/>
    <n v="777.64"/>
    <x v="1"/>
    <x v="0"/>
    <x v="0"/>
    <n v="0"/>
    <x v="0"/>
  </r>
  <r>
    <x v="89"/>
    <x v="82"/>
    <n v="56"/>
    <x v="6"/>
    <s v="5ºC"/>
    <x v="0"/>
    <s v="Mineral"/>
    <x v="8"/>
    <s v="3 - Parceria"/>
    <n v="35.65"/>
    <n v="35.65"/>
    <n v="0"/>
    <n v="35.65"/>
    <n v="2852"/>
    <n v="2852"/>
    <n v="0"/>
    <n v="2543.6999999999998"/>
    <x v="0"/>
    <x v="39"/>
    <x v="0"/>
    <x v="0"/>
    <x v="1"/>
    <n v="35.65"/>
    <n v="35.65"/>
    <n v="35.65"/>
    <n v="2852"/>
    <n v="2852"/>
    <n v="2543.6999999999998"/>
    <n v="2543.6999999999998"/>
    <n v="2543.6999999999998"/>
    <n v="2543.6999999999998"/>
    <x v="1"/>
    <x v="0"/>
    <x v="0"/>
    <n v="0"/>
    <x v="0"/>
  </r>
  <r>
    <x v="89"/>
    <x v="82"/>
    <n v="57"/>
    <x v="6"/>
    <s v="5ºC"/>
    <x v="0"/>
    <s v="Mineral"/>
    <x v="8"/>
    <s v="3 - Parceria"/>
    <n v="52.38"/>
    <n v="52.38"/>
    <n v="0"/>
    <n v="52.38"/>
    <n v="3457.08"/>
    <n v="3457.08"/>
    <n v="0"/>
    <n v="3234.21"/>
    <x v="0"/>
    <x v="39"/>
    <x v="0"/>
    <x v="0"/>
    <x v="1"/>
    <n v="52.38"/>
    <n v="52.38"/>
    <n v="52.38"/>
    <n v="3457.08"/>
    <n v="3457.08"/>
    <n v="3234.21"/>
    <n v="3234.21"/>
    <n v="3234.21"/>
    <n v="3234.21"/>
    <x v="1"/>
    <x v="0"/>
    <x v="0"/>
    <n v="0"/>
    <x v="0"/>
  </r>
  <r>
    <x v="89"/>
    <x v="82"/>
    <n v="58"/>
    <x v="6"/>
    <s v="5ºC"/>
    <x v="0"/>
    <s v="Mineral"/>
    <x v="8"/>
    <s v="3 - Parceria"/>
    <n v="36.409999999999997"/>
    <n v="36.409999999999997"/>
    <n v="0"/>
    <n v="36.409999999999997"/>
    <n v="2403.06"/>
    <n v="2403.06"/>
    <n v="0"/>
    <n v="2248.91"/>
    <x v="0"/>
    <x v="39"/>
    <x v="0"/>
    <x v="0"/>
    <x v="1"/>
    <n v="36.409999999999997"/>
    <n v="36.409999999999997"/>
    <n v="36.409999999999997"/>
    <n v="2403.06"/>
    <n v="2403.06"/>
    <n v="2248.91"/>
    <n v="2248.91"/>
    <n v="2248.91"/>
    <n v="2248.91"/>
    <x v="1"/>
    <x v="0"/>
    <x v="0"/>
    <n v="0"/>
    <x v="0"/>
  </r>
  <r>
    <x v="89"/>
    <x v="82"/>
    <n v="59"/>
    <x v="6"/>
    <s v="5ºC"/>
    <x v="0"/>
    <s v="Mineral"/>
    <x v="8"/>
    <s v="3 - Parceria"/>
    <n v="40.93"/>
    <n v="0"/>
    <n v="0"/>
    <n v="40.93"/>
    <n v="2865.1"/>
    <n v="0"/>
    <n v="0"/>
    <n v="3518.39"/>
    <x v="0"/>
    <x v="22"/>
    <x v="0"/>
    <x v="1"/>
    <x v="1"/>
    <n v="40.93"/>
    <n v="40.93"/>
    <n v="40.93"/>
    <n v="2865.1"/>
    <n v="3518.39"/>
    <n v="3518.39"/>
    <n v="3518.39"/>
    <n v="3518.39"/>
    <n v="3518.39"/>
    <x v="1"/>
    <x v="0"/>
    <x v="0"/>
    <n v="0"/>
    <x v="0"/>
  </r>
  <r>
    <x v="89"/>
    <x v="82"/>
    <n v="60"/>
    <x v="6"/>
    <s v="5ºC"/>
    <x v="0"/>
    <s v="Mineral"/>
    <x v="8"/>
    <s v="3 - Parceria"/>
    <n v="47.87"/>
    <n v="0"/>
    <n v="0"/>
    <n v="47.87"/>
    <n v="3350.9"/>
    <n v="0"/>
    <n v="0"/>
    <n v="4115.2299999999996"/>
    <x v="0"/>
    <x v="22"/>
    <x v="0"/>
    <x v="1"/>
    <x v="1"/>
    <n v="47.87"/>
    <n v="47.87"/>
    <n v="47.87"/>
    <n v="3350.9"/>
    <n v="4115.2299999999996"/>
    <n v="4115.2299999999996"/>
    <n v="4115.2299999999996"/>
    <n v="4115.2299999999996"/>
    <n v="4115.2299999999996"/>
    <x v="1"/>
    <x v="0"/>
    <x v="0"/>
    <n v="0"/>
    <x v="0"/>
  </r>
  <r>
    <x v="89"/>
    <x v="82"/>
    <n v="61"/>
    <x v="6"/>
    <s v="5ºC"/>
    <x v="0"/>
    <s v="Mineral"/>
    <x v="8"/>
    <s v="3 - Parceria"/>
    <n v="16.34"/>
    <n v="0"/>
    <n v="0"/>
    <n v="16.34"/>
    <n v="1143.8"/>
    <n v="0"/>
    <n v="0"/>
    <n v="1405.21"/>
    <x v="0"/>
    <x v="22"/>
    <x v="0"/>
    <x v="1"/>
    <x v="1"/>
    <n v="16.34"/>
    <n v="16.34"/>
    <n v="16.34"/>
    <n v="1143.8"/>
    <n v="1405.21"/>
    <n v="1405.21"/>
    <n v="1405.21"/>
    <n v="1405.21"/>
    <n v="1405.21"/>
    <x v="1"/>
    <x v="0"/>
    <x v="0"/>
    <n v="0"/>
    <x v="0"/>
  </r>
  <r>
    <x v="89"/>
    <x v="82"/>
    <n v="62"/>
    <x v="6"/>
    <s v="5ºC"/>
    <x v="0"/>
    <s v="Mineral"/>
    <x v="8"/>
    <s v="3 - Parceria"/>
    <n v="10.87"/>
    <n v="0"/>
    <n v="0"/>
    <n v="10.87"/>
    <n v="760.9"/>
    <n v="0"/>
    <n v="0"/>
    <n v="799.61"/>
    <x v="0"/>
    <x v="6"/>
    <x v="0"/>
    <x v="1"/>
    <x v="1"/>
    <n v="10.87"/>
    <n v="10.87"/>
    <n v="10.87"/>
    <n v="760.9"/>
    <n v="799.61"/>
    <n v="799.61"/>
    <n v="799.61"/>
    <n v="799.61"/>
    <n v="799.61"/>
    <x v="1"/>
    <x v="0"/>
    <x v="0"/>
    <n v="0"/>
    <x v="0"/>
  </r>
  <r>
    <x v="89"/>
    <x v="82"/>
    <n v="63"/>
    <x v="6"/>
    <s v="5ºC"/>
    <x v="0"/>
    <s v="Mineral"/>
    <x v="8"/>
    <s v="3 - Parceria"/>
    <n v="19.77"/>
    <n v="0"/>
    <n v="0"/>
    <n v="19.77"/>
    <n v="1383.9"/>
    <n v="0"/>
    <n v="0"/>
    <n v="1454.28"/>
    <x v="0"/>
    <x v="6"/>
    <x v="0"/>
    <x v="1"/>
    <x v="1"/>
    <n v="19.77"/>
    <n v="19.77"/>
    <n v="19.77"/>
    <n v="1383.9"/>
    <n v="1454.28"/>
    <n v="1454.28"/>
    <n v="1454.28"/>
    <n v="1454.28"/>
    <n v="1454.28"/>
    <x v="1"/>
    <x v="0"/>
    <x v="0"/>
    <n v="0"/>
    <x v="0"/>
  </r>
  <r>
    <x v="89"/>
    <x v="82"/>
    <n v="64"/>
    <x v="2"/>
    <s v="3ºC"/>
    <x v="0"/>
    <s v="Mineral"/>
    <x v="10"/>
    <s v="3 - Parceria"/>
    <n v="37.229999999999997"/>
    <n v="0"/>
    <n v="0"/>
    <n v="37.229999999999997"/>
    <n v="3276.24"/>
    <n v="0"/>
    <n v="0"/>
    <n v="3442.5"/>
    <x v="0"/>
    <x v="6"/>
    <x v="0"/>
    <x v="1"/>
    <x v="1"/>
    <n v="37.229999999999997"/>
    <n v="37.229999999999997"/>
    <n v="37.229999999999997"/>
    <n v="3276.24"/>
    <n v="3442.5"/>
    <n v="3442.5"/>
    <n v="3442.5"/>
    <n v="3442.5"/>
    <n v="3442.5"/>
    <x v="1"/>
    <x v="0"/>
    <x v="0"/>
    <n v="0"/>
    <x v="0"/>
  </r>
  <r>
    <x v="89"/>
    <x v="82"/>
    <n v="65"/>
    <x v="2"/>
    <s v="3ºC"/>
    <x v="0"/>
    <s v="Mineral"/>
    <x v="3"/>
    <s v="3 - Parceria"/>
    <n v="11.41"/>
    <n v="0"/>
    <n v="0"/>
    <n v="11.41"/>
    <n v="1004.08"/>
    <n v="0"/>
    <n v="0"/>
    <n v="1055.3699999999999"/>
    <x v="0"/>
    <x v="6"/>
    <x v="0"/>
    <x v="1"/>
    <x v="1"/>
    <n v="11.41"/>
    <n v="11.41"/>
    <n v="11.41"/>
    <n v="1004.08"/>
    <n v="1055.3699999999999"/>
    <n v="1055.3699999999999"/>
    <n v="1055.3699999999999"/>
    <n v="1055.3699999999999"/>
    <n v="1055.3699999999999"/>
    <x v="1"/>
    <x v="0"/>
    <x v="0"/>
    <n v="0"/>
    <x v="0"/>
  </r>
  <r>
    <x v="89"/>
    <x v="82"/>
    <n v="83"/>
    <x v="6"/>
    <s v="5ºC"/>
    <x v="0"/>
    <s v="Mineral"/>
    <x v="27"/>
    <s v="3 - Parceria"/>
    <n v="51.33"/>
    <n v="0"/>
    <n v="0"/>
    <n v="51.33"/>
    <n v="2566.5"/>
    <n v="0"/>
    <n v="0"/>
    <n v="3061.21"/>
    <x v="0"/>
    <x v="27"/>
    <x v="0"/>
    <x v="1"/>
    <x v="1"/>
    <n v="51.33"/>
    <n v="51.33"/>
    <n v="51.33"/>
    <n v="2566.5"/>
    <n v="3061.21"/>
    <n v="3061.21"/>
    <n v="3061.21"/>
    <n v="3061.21"/>
    <n v="3061.21"/>
    <x v="1"/>
    <x v="0"/>
    <x v="0"/>
    <n v="0"/>
    <x v="0"/>
  </r>
  <r>
    <x v="89"/>
    <x v="82"/>
    <n v="84"/>
    <x v="6"/>
    <s v="5ºC"/>
    <x v="0"/>
    <s v="Mineral"/>
    <x v="0"/>
    <s v="3 - Parceria"/>
    <n v="42.12"/>
    <n v="0"/>
    <n v="0"/>
    <n v="42.12"/>
    <n v="2106"/>
    <n v="0"/>
    <n v="0"/>
    <n v="2511.42"/>
    <x v="0"/>
    <x v="27"/>
    <x v="0"/>
    <x v="1"/>
    <x v="1"/>
    <n v="42.12"/>
    <n v="42.12"/>
    <n v="42.12"/>
    <n v="2106"/>
    <n v="2511.42"/>
    <n v="2511.42"/>
    <n v="2511.42"/>
    <n v="2511.42"/>
    <n v="2511.42"/>
    <x v="1"/>
    <x v="0"/>
    <x v="0"/>
    <n v="0"/>
    <x v="0"/>
  </r>
  <r>
    <x v="89"/>
    <x v="82"/>
    <n v="85"/>
    <x v="6"/>
    <s v="5ºC"/>
    <x v="0"/>
    <s v="Mineral"/>
    <x v="0"/>
    <s v="3 - Parceria"/>
    <n v="21.65"/>
    <n v="0"/>
    <n v="0"/>
    <n v="21.65"/>
    <n v="1299"/>
    <n v="0"/>
    <n v="0"/>
    <n v="1502.66"/>
    <x v="0"/>
    <x v="27"/>
    <x v="0"/>
    <x v="1"/>
    <x v="1"/>
    <n v="21.65"/>
    <n v="21.65"/>
    <n v="21.65"/>
    <n v="1299"/>
    <n v="1502.66"/>
    <n v="1502.66"/>
    <n v="1502.66"/>
    <n v="1502.66"/>
    <n v="1502.66"/>
    <x v="1"/>
    <x v="0"/>
    <x v="0"/>
    <n v="0"/>
    <x v="0"/>
  </r>
  <r>
    <x v="89"/>
    <x v="82"/>
    <n v="86"/>
    <x v="6"/>
    <s v="5ºC"/>
    <x v="0"/>
    <s v="Mineral"/>
    <x v="8"/>
    <s v="3 - Parceria"/>
    <n v="21.96"/>
    <n v="0"/>
    <n v="0"/>
    <n v="21.96"/>
    <n v="878.4"/>
    <n v="0"/>
    <n v="0"/>
    <n v="1015.63"/>
    <x v="0"/>
    <x v="27"/>
    <x v="0"/>
    <x v="1"/>
    <x v="1"/>
    <n v="21.96"/>
    <n v="21.96"/>
    <n v="21.96"/>
    <n v="878.4"/>
    <n v="1015.63"/>
    <n v="1015.63"/>
    <n v="1015.63"/>
    <n v="1015.63"/>
    <n v="1015.63"/>
    <x v="1"/>
    <x v="0"/>
    <x v="0"/>
    <n v="0"/>
    <x v="0"/>
  </r>
  <r>
    <x v="89"/>
    <x v="82"/>
    <n v="87"/>
    <x v="6"/>
    <s v="5ºC"/>
    <x v="0"/>
    <s v="Mineral"/>
    <x v="0"/>
    <s v="3 - Parceria"/>
    <n v="14.13"/>
    <n v="0"/>
    <n v="0"/>
    <n v="14.13"/>
    <n v="706.5"/>
    <n v="0"/>
    <n v="0"/>
    <n v="817.81"/>
    <x v="0"/>
    <x v="27"/>
    <x v="0"/>
    <x v="1"/>
    <x v="1"/>
    <n v="14.13"/>
    <n v="14.13"/>
    <n v="14.13"/>
    <n v="706.5"/>
    <n v="817.81"/>
    <n v="817.81"/>
    <n v="817.81"/>
    <n v="817.81"/>
    <n v="817.81"/>
    <x v="1"/>
    <x v="0"/>
    <x v="0"/>
    <n v="0"/>
    <x v="0"/>
  </r>
  <r>
    <x v="89"/>
    <x v="82"/>
    <n v="88"/>
    <x v="6"/>
    <s v="5ºC"/>
    <x v="0"/>
    <s v="Mineral"/>
    <x v="8"/>
    <s v="3 - Parceria"/>
    <n v="8.3800000000000008"/>
    <n v="0"/>
    <n v="0"/>
    <n v="8.3800000000000008"/>
    <n v="419"/>
    <n v="0"/>
    <n v="0"/>
    <n v="484.66"/>
    <x v="0"/>
    <x v="27"/>
    <x v="0"/>
    <x v="1"/>
    <x v="1"/>
    <n v="8.3800000000000008"/>
    <n v="8.3800000000000008"/>
    <n v="8.3800000000000008"/>
    <n v="419"/>
    <n v="484.66"/>
    <n v="484.66"/>
    <n v="484.66"/>
    <n v="484.66"/>
    <n v="484.66"/>
    <x v="1"/>
    <x v="0"/>
    <x v="0"/>
    <n v="0"/>
    <x v="0"/>
  </r>
  <r>
    <x v="89"/>
    <x v="82"/>
    <n v="89"/>
    <x v="6"/>
    <s v="5ºC"/>
    <x v="0"/>
    <s v="Mineral"/>
    <x v="0"/>
    <s v="3 - Parceria"/>
    <n v="5.48"/>
    <n v="0"/>
    <n v="0"/>
    <n v="5.48"/>
    <n v="274"/>
    <n v="0"/>
    <n v="0"/>
    <n v="317.19"/>
    <x v="0"/>
    <x v="27"/>
    <x v="0"/>
    <x v="1"/>
    <x v="1"/>
    <n v="5.48"/>
    <n v="5.48"/>
    <n v="5.48"/>
    <n v="274"/>
    <n v="317.19"/>
    <n v="317.19"/>
    <n v="317.19"/>
    <n v="317.19"/>
    <n v="317.19"/>
    <x v="1"/>
    <x v="0"/>
    <x v="0"/>
    <n v="0"/>
    <x v="0"/>
  </r>
  <r>
    <x v="89"/>
    <x v="82"/>
    <n v="90"/>
    <x v="6"/>
    <s v="5ºC"/>
    <x v="0"/>
    <s v="Mineral"/>
    <x v="0"/>
    <s v="3 - Parceria"/>
    <n v="12.11"/>
    <n v="0"/>
    <n v="0"/>
    <n v="12.11"/>
    <n v="484.4"/>
    <n v="0"/>
    <n v="0"/>
    <n v="585.29999999999995"/>
    <x v="0"/>
    <x v="27"/>
    <x v="0"/>
    <x v="1"/>
    <x v="1"/>
    <n v="12.11"/>
    <n v="12.11"/>
    <n v="12.11"/>
    <n v="484.4"/>
    <n v="585.29999999999995"/>
    <n v="585.29999999999995"/>
    <n v="585.29999999999995"/>
    <n v="585.29999999999995"/>
    <n v="585.29999999999995"/>
    <x v="1"/>
    <x v="0"/>
    <x v="0"/>
    <n v="0"/>
    <x v="0"/>
  </r>
  <r>
    <x v="89"/>
    <x v="82"/>
    <n v="91"/>
    <x v="6"/>
    <s v="5ºC"/>
    <x v="0"/>
    <s v="Mineral"/>
    <x v="0"/>
    <s v="3 - Parceria"/>
    <n v="7.74"/>
    <n v="0"/>
    <n v="0"/>
    <n v="7.74"/>
    <n v="495.36"/>
    <n v="0"/>
    <n v="0"/>
    <n v="598.6"/>
    <x v="0"/>
    <x v="27"/>
    <x v="0"/>
    <x v="1"/>
    <x v="1"/>
    <n v="7.74"/>
    <n v="7.74"/>
    <n v="7.74"/>
    <n v="495.36"/>
    <n v="598.6"/>
    <n v="598.6"/>
    <n v="598.6"/>
    <n v="598.6"/>
    <n v="598.6"/>
    <x v="1"/>
    <x v="0"/>
    <x v="0"/>
    <n v="0"/>
    <x v="0"/>
  </r>
  <r>
    <x v="89"/>
    <x v="82"/>
    <n v="92"/>
    <x v="6"/>
    <s v="5ºC"/>
    <x v="0"/>
    <s v="Mineral"/>
    <x v="0"/>
    <s v="3 - Parceria"/>
    <n v="7.31"/>
    <n v="0"/>
    <n v="0"/>
    <n v="7.31"/>
    <n v="467.84"/>
    <n v="0"/>
    <n v="0"/>
    <n v="565.95000000000005"/>
    <x v="0"/>
    <x v="27"/>
    <x v="0"/>
    <x v="1"/>
    <x v="1"/>
    <n v="7.31"/>
    <n v="7.31"/>
    <n v="7.31"/>
    <n v="467.84"/>
    <n v="565.95000000000005"/>
    <n v="565.95000000000005"/>
    <n v="565.95000000000005"/>
    <n v="565.95000000000005"/>
    <n v="565.95000000000005"/>
    <x v="1"/>
    <x v="0"/>
    <x v="0"/>
    <n v="0"/>
    <x v="0"/>
  </r>
  <r>
    <x v="89"/>
    <x v="82"/>
    <n v="93"/>
    <x v="6"/>
    <s v="5ºC"/>
    <x v="0"/>
    <s v="Mineral"/>
    <x v="0"/>
    <s v="3 - Parceria"/>
    <n v="2.78"/>
    <n v="0"/>
    <n v="0"/>
    <n v="2.78"/>
    <n v="177.92"/>
    <n v="0"/>
    <n v="0"/>
    <n v="215.2"/>
    <x v="0"/>
    <x v="27"/>
    <x v="0"/>
    <x v="1"/>
    <x v="1"/>
    <n v="2.78"/>
    <n v="2.78"/>
    <n v="2.78"/>
    <n v="177.92"/>
    <n v="215.2"/>
    <n v="215.2"/>
    <n v="215.2"/>
    <n v="215.2"/>
    <n v="215.2"/>
    <x v="1"/>
    <x v="0"/>
    <x v="0"/>
    <n v="0"/>
    <x v="0"/>
  </r>
  <r>
    <x v="89"/>
    <x v="82"/>
    <n v="94"/>
    <x v="6"/>
    <s v="5ºC"/>
    <x v="0"/>
    <s v="Mineral"/>
    <x v="27"/>
    <s v="3 - Parceria"/>
    <n v="6.25"/>
    <n v="0"/>
    <n v="0"/>
    <n v="6.25"/>
    <n v="250"/>
    <n v="0"/>
    <n v="0"/>
    <n v="302.27999999999997"/>
    <x v="0"/>
    <x v="27"/>
    <x v="0"/>
    <x v="1"/>
    <x v="1"/>
    <n v="6.25"/>
    <n v="6.25"/>
    <n v="6.25"/>
    <n v="250"/>
    <n v="302.27999999999997"/>
    <n v="302.27999999999997"/>
    <n v="302.27999999999997"/>
    <n v="302.27999999999997"/>
    <n v="302.27999999999997"/>
    <x v="1"/>
    <x v="0"/>
    <x v="0"/>
    <n v="0"/>
    <x v="0"/>
  </r>
  <r>
    <x v="89"/>
    <x v="82"/>
    <n v="95"/>
    <x v="6"/>
    <s v="5ºC"/>
    <x v="0"/>
    <s v="Mineral"/>
    <x v="0"/>
    <s v="3 - Parceria"/>
    <n v="6.8"/>
    <n v="0"/>
    <n v="0"/>
    <n v="6.8"/>
    <n v="435.2"/>
    <n v="0"/>
    <n v="0"/>
    <n v="526.04999999999995"/>
    <x v="0"/>
    <x v="27"/>
    <x v="0"/>
    <x v="1"/>
    <x v="1"/>
    <n v="6.8"/>
    <n v="6.8"/>
    <n v="6.8"/>
    <n v="435.2"/>
    <n v="526.04999999999995"/>
    <n v="526.04999999999995"/>
    <n v="526.04999999999995"/>
    <n v="526.04999999999995"/>
    <n v="526.04999999999995"/>
    <x v="1"/>
    <x v="0"/>
    <x v="0"/>
    <n v="0"/>
    <x v="0"/>
  </r>
  <r>
    <x v="89"/>
    <x v="82"/>
    <n v="96"/>
    <x v="6"/>
    <s v="5ºC"/>
    <x v="0"/>
    <s v="Mineral"/>
    <x v="27"/>
    <s v="3 - Parceria"/>
    <n v="9.2200000000000006"/>
    <n v="0"/>
    <n v="0"/>
    <n v="9.2200000000000006"/>
    <n v="590.08000000000004"/>
    <n v="0"/>
    <n v="0"/>
    <n v="713.51"/>
    <x v="0"/>
    <x v="27"/>
    <x v="0"/>
    <x v="1"/>
    <x v="1"/>
    <n v="9.2200000000000006"/>
    <n v="9.2200000000000006"/>
    <n v="9.2200000000000006"/>
    <n v="590.08000000000004"/>
    <n v="713.51"/>
    <n v="713.51"/>
    <n v="713.51"/>
    <n v="713.51"/>
    <n v="713.51"/>
    <x v="1"/>
    <x v="0"/>
    <x v="0"/>
    <n v="0"/>
    <x v="0"/>
  </r>
  <r>
    <x v="89"/>
    <x v="82"/>
    <n v="97"/>
    <x v="6"/>
    <s v="5ºC"/>
    <x v="0"/>
    <s v="Mineral"/>
    <x v="27"/>
    <s v="3 - Parceria"/>
    <n v="13.05"/>
    <n v="0"/>
    <n v="0"/>
    <n v="13.05"/>
    <n v="652.5"/>
    <n v="0"/>
    <n v="0"/>
    <n v="789.71"/>
    <x v="0"/>
    <x v="27"/>
    <x v="0"/>
    <x v="1"/>
    <x v="1"/>
    <n v="13.05"/>
    <n v="13.05"/>
    <n v="13.05"/>
    <n v="652.5"/>
    <n v="789.71"/>
    <n v="789.71"/>
    <n v="789.71"/>
    <n v="789.71"/>
    <n v="789.71"/>
    <x v="1"/>
    <x v="0"/>
    <x v="0"/>
    <n v="0"/>
    <x v="0"/>
  </r>
  <r>
    <x v="89"/>
    <x v="82"/>
    <n v="98"/>
    <x v="6"/>
    <s v="5ºC"/>
    <x v="0"/>
    <s v="Mineral"/>
    <x v="27"/>
    <s v="3 - Parceria"/>
    <n v="5.16"/>
    <n v="0"/>
    <n v="0"/>
    <n v="5.16"/>
    <n v="258"/>
    <n v="0"/>
    <n v="0"/>
    <n v="311.95999999999998"/>
    <x v="0"/>
    <x v="27"/>
    <x v="0"/>
    <x v="1"/>
    <x v="1"/>
    <n v="5.16"/>
    <n v="5.16"/>
    <n v="5.16"/>
    <n v="258"/>
    <n v="311.95999999999998"/>
    <n v="311.95999999999998"/>
    <n v="311.95999999999998"/>
    <n v="311.95999999999998"/>
    <n v="311.95999999999998"/>
    <x v="1"/>
    <x v="0"/>
    <x v="0"/>
    <n v="0"/>
    <x v="0"/>
  </r>
  <r>
    <x v="89"/>
    <x v="82"/>
    <n v="99"/>
    <x v="6"/>
    <s v="5ºC"/>
    <x v="0"/>
    <s v="Mineral"/>
    <x v="27"/>
    <s v="3 - Parceria"/>
    <n v="17.18"/>
    <n v="0"/>
    <n v="0"/>
    <n v="17.18"/>
    <n v="927.72"/>
    <n v="0"/>
    <n v="0"/>
    <n v="1122.31"/>
    <x v="0"/>
    <x v="27"/>
    <x v="0"/>
    <x v="1"/>
    <x v="1"/>
    <n v="17.18"/>
    <n v="17.18"/>
    <n v="17.18"/>
    <n v="927.72"/>
    <n v="1122.31"/>
    <n v="1122.31"/>
    <n v="1122.31"/>
    <n v="1122.31"/>
    <n v="1122.31"/>
    <x v="1"/>
    <x v="0"/>
    <x v="0"/>
    <n v="0"/>
    <x v="0"/>
  </r>
  <r>
    <x v="89"/>
    <x v="82"/>
    <n v="100"/>
    <x v="6"/>
    <s v="5ºC"/>
    <x v="0"/>
    <s v="Mineral"/>
    <x v="27"/>
    <s v="3 - Parceria"/>
    <n v="11.35"/>
    <n v="0"/>
    <n v="0"/>
    <n v="11.35"/>
    <n v="612.9"/>
    <n v="0"/>
    <n v="0"/>
    <n v="742.3"/>
    <x v="0"/>
    <x v="27"/>
    <x v="0"/>
    <x v="1"/>
    <x v="1"/>
    <n v="11.35"/>
    <n v="11.35"/>
    <n v="11.35"/>
    <n v="612.9"/>
    <n v="742.3"/>
    <n v="742.3"/>
    <n v="742.3"/>
    <n v="742.3"/>
    <n v="742.3"/>
    <x v="1"/>
    <x v="0"/>
    <x v="0"/>
    <n v="0"/>
    <x v="0"/>
  </r>
  <r>
    <x v="89"/>
    <x v="82"/>
    <n v="101"/>
    <x v="6"/>
    <s v="5ºC"/>
    <x v="0"/>
    <s v="Mineral"/>
    <x v="27"/>
    <s v="3 - Parceria"/>
    <n v="5.96"/>
    <n v="0"/>
    <n v="0"/>
    <n v="5.96"/>
    <n v="321.83999999999997"/>
    <n v="0"/>
    <n v="0"/>
    <n v="391.78"/>
    <x v="0"/>
    <x v="27"/>
    <x v="0"/>
    <x v="1"/>
    <x v="1"/>
    <n v="5.96"/>
    <n v="5.96"/>
    <n v="5.96"/>
    <n v="321.83999999999997"/>
    <n v="391.78"/>
    <n v="391.78"/>
    <n v="391.78"/>
    <n v="391.78"/>
    <n v="391.78"/>
    <x v="1"/>
    <x v="0"/>
    <x v="0"/>
    <n v="0"/>
    <x v="0"/>
  </r>
  <r>
    <x v="89"/>
    <x v="82"/>
    <n v="102"/>
    <x v="6"/>
    <s v="5ºC"/>
    <x v="0"/>
    <s v="Mineral"/>
    <x v="27"/>
    <s v="3 - Parceria"/>
    <n v="35.520000000000003"/>
    <n v="0"/>
    <n v="0"/>
    <n v="35.520000000000003"/>
    <n v="1918.08"/>
    <n v="0"/>
    <n v="0"/>
    <n v="2332.38"/>
    <x v="0"/>
    <x v="27"/>
    <x v="0"/>
    <x v="1"/>
    <x v="1"/>
    <n v="35.520000000000003"/>
    <n v="35.520000000000003"/>
    <n v="35.520000000000003"/>
    <n v="1918.08"/>
    <n v="2332.38"/>
    <n v="2332.38"/>
    <n v="2332.38"/>
    <n v="2332.38"/>
    <n v="2332.38"/>
    <x v="1"/>
    <x v="0"/>
    <x v="0"/>
    <n v="0"/>
    <x v="0"/>
  </r>
  <r>
    <x v="89"/>
    <x v="82"/>
    <n v="103"/>
    <x v="6"/>
    <s v="5ºC"/>
    <x v="0"/>
    <s v="Mineral"/>
    <x v="0"/>
    <s v="3 - Parceria"/>
    <n v="15.86"/>
    <n v="0"/>
    <n v="0"/>
    <n v="15.86"/>
    <n v="856.44"/>
    <n v="0"/>
    <n v="0"/>
    <n v="1043.48"/>
    <x v="0"/>
    <x v="27"/>
    <x v="0"/>
    <x v="1"/>
    <x v="1"/>
    <n v="15.86"/>
    <n v="15.86"/>
    <n v="15.86"/>
    <n v="856.44"/>
    <n v="1043.48"/>
    <n v="1043.48"/>
    <n v="1043.48"/>
    <n v="1043.48"/>
    <n v="1043.48"/>
    <x v="1"/>
    <x v="0"/>
    <x v="0"/>
    <n v="0"/>
    <x v="0"/>
  </r>
  <r>
    <x v="89"/>
    <x v="82"/>
    <n v="104"/>
    <x v="6"/>
    <s v="5ºC"/>
    <x v="0"/>
    <s v="Mineral"/>
    <x v="0"/>
    <s v="3 - Parceria"/>
    <n v="29.47"/>
    <n v="0"/>
    <n v="0"/>
    <n v="29.47"/>
    <n v="1502.97"/>
    <n v="0"/>
    <n v="0"/>
    <n v="1827.14"/>
    <x v="0"/>
    <x v="27"/>
    <x v="0"/>
    <x v="1"/>
    <x v="1"/>
    <n v="29.47"/>
    <n v="29.47"/>
    <n v="29.47"/>
    <n v="1502.97"/>
    <n v="1827.14"/>
    <n v="1827.14"/>
    <n v="1827.14"/>
    <n v="1827.14"/>
    <n v="1827.14"/>
    <x v="1"/>
    <x v="0"/>
    <x v="0"/>
    <n v="0"/>
    <x v="0"/>
  </r>
  <r>
    <x v="89"/>
    <x v="82"/>
    <n v="105"/>
    <x v="6"/>
    <s v="5ºC"/>
    <x v="0"/>
    <s v="Mineral"/>
    <x v="27"/>
    <s v="3 - Parceria"/>
    <n v="20.86"/>
    <n v="0"/>
    <n v="0"/>
    <n v="20.86"/>
    <n v="1063.8599999999999"/>
    <n v="0"/>
    <n v="0"/>
    <n v="1268.76"/>
    <x v="0"/>
    <x v="27"/>
    <x v="0"/>
    <x v="1"/>
    <x v="1"/>
    <n v="20.86"/>
    <n v="20.86"/>
    <n v="20.86"/>
    <n v="1063.8599999999999"/>
    <n v="1268.76"/>
    <n v="1268.76"/>
    <n v="1268.76"/>
    <n v="1268.76"/>
    <n v="1268.76"/>
    <x v="1"/>
    <x v="0"/>
    <x v="0"/>
    <n v="0"/>
    <x v="0"/>
  </r>
  <r>
    <x v="89"/>
    <x v="82"/>
    <n v="106"/>
    <x v="6"/>
    <s v="5ºC"/>
    <x v="0"/>
    <s v="Mineral"/>
    <x v="0"/>
    <s v="3 - Parceria"/>
    <n v="24.09"/>
    <n v="0"/>
    <n v="0"/>
    <n v="24.09"/>
    <n v="1228.5899999999999"/>
    <n v="0"/>
    <n v="0"/>
    <n v="1466.05"/>
    <x v="0"/>
    <x v="27"/>
    <x v="0"/>
    <x v="1"/>
    <x v="1"/>
    <n v="24.09"/>
    <n v="24.09"/>
    <n v="24.09"/>
    <n v="1228.5899999999999"/>
    <n v="1466.05"/>
    <n v="1466.05"/>
    <n v="1466.05"/>
    <n v="1466.05"/>
    <n v="1466.05"/>
    <x v="1"/>
    <x v="0"/>
    <x v="0"/>
    <n v="0"/>
    <x v="0"/>
  </r>
  <r>
    <x v="90"/>
    <x v="83"/>
    <n v="4"/>
    <x v="2"/>
    <s v="3ºC"/>
    <x v="0"/>
    <s v="Mineral"/>
    <x v="30"/>
    <s v="3 - Parceria"/>
    <n v="14.18"/>
    <n v="14.18"/>
    <n v="14.18"/>
    <n v="14.18"/>
    <n v="1063.5"/>
    <n v="1063.5"/>
    <n v="964.24"/>
    <n v="900.68"/>
    <x v="0"/>
    <x v="21"/>
    <x v="0"/>
    <x v="0"/>
    <x v="0"/>
    <n v="14.18"/>
    <n v="14.18"/>
    <n v="14.18"/>
    <n v="1063.5"/>
    <n v="1063.5"/>
    <n v="964.24"/>
    <n v="900.68"/>
    <n v="900.68"/>
    <n v="900.68"/>
    <x v="0"/>
    <x v="0"/>
    <x v="0"/>
    <n v="0"/>
    <x v="0"/>
  </r>
  <r>
    <x v="91"/>
    <x v="84"/>
    <n v="1"/>
    <x v="0"/>
    <s v="6ºC"/>
    <x v="0"/>
    <s v="Mineral"/>
    <x v="0"/>
    <s v="3 - Parceria"/>
    <n v="8.6300000000000008"/>
    <n v="8.6300000000000008"/>
    <n v="8.6300000000000008"/>
    <n v="8.6300000000000008"/>
    <n v="276.16000000000003"/>
    <n v="241.64"/>
    <n v="241.64"/>
    <n v="161.44"/>
    <x v="0"/>
    <x v="0"/>
    <x v="0"/>
    <x v="0"/>
    <x v="0"/>
    <n v="8.6300000000000008"/>
    <n v="8.6300000000000008"/>
    <n v="8.6300000000000008"/>
    <n v="276.16000000000003"/>
    <n v="241.64"/>
    <n v="241.64"/>
    <n v="161.44"/>
    <n v="161.44"/>
    <n v="161.44"/>
    <x v="0"/>
    <x v="0"/>
    <x v="0"/>
    <n v="0"/>
    <x v="0"/>
  </r>
  <r>
    <x v="91"/>
    <x v="84"/>
    <n v="2"/>
    <x v="0"/>
    <s v="6ºC"/>
    <x v="0"/>
    <s v="Mineral"/>
    <x v="0"/>
    <s v="3 - Parceria"/>
    <n v="7.27"/>
    <n v="7.27"/>
    <n v="7.27"/>
    <n v="7.27"/>
    <n v="232.64"/>
    <n v="203.56"/>
    <n v="203.56"/>
    <n v="136.09"/>
    <x v="0"/>
    <x v="0"/>
    <x v="0"/>
    <x v="0"/>
    <x v="0"/>
    <n v="7.27"/>
    <n v="7.27"/>
    <n v="7.27"/>
    <n v="232.64"/>
    <n v="203.56"/>
    <n v="203.56"/>
    <n v="136.09"/>
    <n v="136.09"/>
    <n v="136.09"/>
    <x v="0"/>
    <x v="0"/>
    <x v="0"/>
    <n v="0"/>
    <x v="0"/>
  </r>
  <r>
    <x v="92"/>
    <x v="85"/>
    <n v="1"/>
    <x v="0"/>
    <s v="6ºC"/>
    <x v="0"/>
    <s v="Mineral"/>
    <x v="1"/>
    <s v="3 - Parceria"/>
    <n v="18.420000000000002"/>
    <n v="18.420000000000002"/>
    <n v="0"/>
    <n v="18.420000000000002"/>
    <n v="736.8"/>
    <n v="810.48"/>
    <n v="0"/>
    <n v="1069.58"/>
    <x v="0"/>
    <x v="18"/>
    <x v="0"/>
    <x v="0"/>
    <x v="1"/>
    <n v="18.420000000000002"/>
    <n v="18.420000000000002"/>
    <n v="18.420000000000002"/>
    <n v="736.8"/>
    <n v="810.48"/>
    <n v="1069.58"/>
    <n v="1069.58"/>
    <n v="1069.58"/>
    <n v="1069.58"/>
    <x v="1"/>
    <x v="0"/>
    <x v="0"/>
    <n v="0"/>
    <x v="0"/>
  </r>
  <r>
    <x v="92"/>
    <x v="85"/>
    <n v="2"/>
    <x v="0"/>
    <s v="6ºC"/>
    <x v="0"/>
    <s v="Mineral"/>
    <x v="1"/>
    <s v="3 - Parceria"/>
    <n v="21.26"/>
    <n v="21.26"/>
    <n v="0"/>
    <n v="21.26"/>
    <n v="850.4"/>
    <n v="935.44"/>
    <n v="0"/>
    <n v="1234.6500000000001"/>
    <x v="0"/>
    <x v="18"/>
    <x v="0"/>
    <x v="0"/>
    <x v="1"/>
    <n v="21.26"/>
    <n v="21.26"/>
    <n v="21.26"/>
    <n v="850.4"/>
    <n v="935.44"/>
    <n v="1234.6500000000001"/>
    <n v="1234.6500000000001"/>
    <n v="1234.6500000000001"/>
    <n v="1234.6500000000001"/>
    <x v="1"/>
    <x v="0"/>
    <x v="0"/>
    <n v="0"/>
    <x v="0"/>
  </r>
  <r>
    <x v="92"/>
    <x v="85"/>
    <n v="3"/>
    <x v="0"/>
    <s v="6ºC"/>
    <x v="0"/>
    <s v="Mineral"/>
    <x v="1"/>
    <s v="3 - Parceria"/>
    <n v="11.08"/>
    <n v="11.08"/>
    <n v="0"/>
    <n v="11.08"/>
    <n v="443.2"/>
    <n v="443.2"/>
    <n v="0"/>
    <n v="584.92999999999995"/>
    <x v="0"/>
    <x v="18"/>
    <x v="0"/>
    <x v="0"/>
    <x v="1"/>
    <n v="11.08"/>
    <n v="11.08"/>
    <n v="11.08"/>
    <n v="443.2"/>
    <n v="443.2"/>
    <n v="584.92999999999995"/>
    <n v="584.92999999999995"/>
    <n v="584.92999999999995"/>
    <n v="584.92999999999995"/>
    <x v="1"/>
    <x v="0"/>
    <x v="0"/>
    <n v="0"/>
    <x v="0"/>
  </r>
  <r>
    <x v="92"/>
    <x v="85"/>
    <n v="4"/>
    <x v="0"/>
    <s v="6ºC"/>
    <x v="0"/>
    <s v="Mineral"/>
    <x v="1"/>
    <s v="3 - Parceria"/>
    <n v="20.350000000000001"/>
    <n v="20.350000000000001"/>
    <n v="0"/>
    <n v="20.350000000000001"/>
    <n v="814"/>
    <n v="407"/>
    <n v="0"/>
    <n v="537.38"/>
    <x v="0"/>
    <x v="18"/>
    <x v="0"/>
    <x v="0"/>
    <x v="1"/>
    <n v="20.350000000000001"/>
    <n v="20.350000000000001"/>
    <n v="20.350000000000001"/>
    <n v="814"/>
    <n v="407"/>
    <n v="537.38"/>
    <n v="537.38"/>
    <n v="537.38"/>
    <n v="537.38"/>
    <x v="1"/>
    <x v="0"/>
    <x v="0"/>
    <n v="0"/>
    <x v="0"/>
  </r>
  <r>
    <x v="92"/>
    <x v="85"/>
    <n v="5"/>
    <x v="0"/>
    <s v="6ºC"/>
    <x v="0"/>
    <s v="Mineral"/>
    <x v="1"/>
    <s v="3 - Parceria"/>
    <n v="19.66"/>
    <n v="19.66"/>
    <n v="0"/>
    <n v="19.66"/>
    <n v="786.4"/>
    <n v="393.2"/>
    <n v="0"/>
    <n v="518.91"/>
    <x v="0"/>
    <x v="18"/>
    <x v="0"/>
    <x v="0"/>
    <x v="1"/>
    <n v="19.66"/>
    <n v="19.66"/>
    <n v="19.66"/>
    <n v="786.4"/>
    <n v="393.2"/>
    <n v="518.91"/>
    <n v="518.91"/>
    <n v="518.91"/>
    <n v="518.91"/>
    <x v="0"/>
    <x v="0"/>
    <x v="0"/>
    <n v="0"/>
    <x v="0"/>
  </r>
  <r>
    <x v="92"/>
    <x v="85"/>
    <n v="6"/>
    <x v="0"/>
    <s v="6ºC"/>
    <x v="0"/>
    <s v="Mineral"/>
    <x v="1"/>
    <s v="3 - Parceria"/>
    <n v="16.010000000000002"/>
    <n v="16.010000000000002"/>
    <n v="0"/>
    <n v="16.010000000000002"/>
    <n v="640.4"/>
    <n v="640.4"/>
    <n v="0"/>
    <n v="845.08"/>
    <x v="0"/>
    <x v="18"/>
    <x v="0"/>
    <x v="0"/>
    <x v="1"/>
    <n v="16.010000000000002"/>
    <n v="16.010000000000002"/>
    <n v="16.010000000000002"/>
    <n v="640.4"/>
    <n v="640.4"/>
    <n v="845.08"/>
    <n v="845.08"/>
    <n v="845.08"/>
    <n v="845.08"/>
    <x v="0"/>
    <x v="0"/>
    <x v="0"/>
    <n v="0"/>
    <x v="0"/>
  </r>
  <r>
    <x v="92"/>
    <x v="85"/>
    <n v="7"/>
    <x v="0"/>
    <s v="6ºC"/>
    <x v="0"/>
    <s v="Mineral"/>
    <x v="1"/>
    <s v="3 - Parceria"/>
    <n v="28.23"/>
    <n v="28.23"/>
    <n v="0"/>
    <n v="28.23"/>
    <n v="1129.2"/>
    <n v="564.6"/>
    <n v="0"/>
    <n v="746.62"/>
    <x v="0"/>
    <x v="18"/>
    <x v="0"/>
    <x v="0"/>
    <x v="1"/>
    <n v="28.23"/>
    <n v="28.23"/>
    <n v="28.23"/>
    <n v="1129.2"/>
    <n v="564.6"/>
    <n v="746.62"/>
    <n v="746.62"/>
    <n v="746.62"/>
    <n v="746.62"/>
    <x v="0"/>
    <x v="0"/>
    <x v="0"/>
    <n v="0"/>
    <x v="0"/>
  </r>
  <r>
    <x v="92"/>
    <x v="85"/>
    <n v="8"/>
    <x v="2"/>
    <s v="3ºC"/>
    <x v="0"/>
    <s v="Mineral"/>
    <x v="11"/>
    <s v="3 - Parceria"/>
    <n v="14.63"/>
    <n v="14.63"/>
    <n v="0"/>
    <n v="14.63"/>
    <n v="1243.55"/>
    <n v="1258.18"/>
    <n v="0"/>
    <n v="1371.97"/>
    <x v="0"/>
    <x v="18"/>
    <x v="0"/>
    <x v="0"/>
    <x v="1"/>
    <n v="14.63"/>
    <n v="14.63"/>
    <n v="14.63"/>
    <n v="1243.55"/>
    <n v="1258.18"/>
    <n v="1371.97"/>
    <n v="1371.97"/>
    <n v="1371.97"/>
    <n v="1371.97"/>
    <x v="1"/>
    <x v="0"/>
    <x v="0"/>
    <n v="0"/>
    <x v="0"/>
  </r>
  <r>
    <x v="92"/>
    <x v="85"/>
    <n v="9"/>
    <x v="2"/>
    <s v="3ºC"/>
    <x v="0"/>
    <s v="Mineral"/>
    <x v="11"/>
    <s v="3 - Parceria"/>
    <n v="22.92"/>
    <n v="22.92"/>
    <n v="0"/>
    <n v="22.92"/>
    <n v="1948.2"/>
    <n v="1971.12"/>
    <n v="0"/>
    <n v="2149.63"/>
    <x v="0"/>
    <x v="18"/>
    <x v="0"/>
    <x v="0"/>
    <x v="1"/>
    <n v="22.92"/>
    <n v="22.92"/>
    <n v="22.92"/>
    <n v="1948.2"/>
    <n v="1971.12"/>
    <n v="2149.63"/>
    <n v="2149.63"/>
    <n v="2149.63"/>
    <n v="2149.63"/>
    <x v="1"/>
    <x v="0"/>
    <x v="0"/>
    <n v="0"/>
    <x v="0"/>
  </r>
  <r>
    <x v="92"/>
    <x v="85"/>
    <n v="10"/>
    <x v="2"/>
    <s v="3ºC"/>
    <x v="0"/>
    <s v="Mineral"/>
    <x v="11"/>
    <s v="3 - Parceria"/>
    <n v="23.07"/>
    <n v="23.07"/>
    <n v="0"/>
    <n v="23.07"/>
    <n v="1960.95"/>
    <n v="1984.02"/>
    <n v="0"/>
    <n v="2014.24"/>
    <x v="0"/>
    <x v="18"/>
    <x v="0"/>
    <x v="0"/>
    <x v="1"/>
    <n v="23.07"/>
    <n v="23.07"/>
    <n v="23.07"/>
    <n v="1960.95"/>
    <n v="1984.02"/>
    <n v="2014.24"/>
    <n v="2014.24"/>
    <n v="2014.24"/>
    <n v="2014.24"/>
    <x v="1"/>
    <x v="0"/>
    <x v="0"/>
    <n v="0"/>
    <x v="0"/>
  </r>
  <r>
    <x v="92"/>
    <x v="85"/>
    <n v="11"/>
    <x v="2"/>
    <s v="3ºC"/>
    <x v="0"/>
    <s v="Mineral"/>
    <x v="11"/>
    <s v="3 - Parceria"/>
    <n v="30.33"/>
    <n v="30.33"/>
    <n v="0"/>
    <n v="30.33"/>
    <n v="2578.0500000000002"/>
    <n v="2608.38"/>
    <n v="0"/>
    <n v="3011.01"/>
    <x v="0"/>
    <x v="18"/>
    <x v="0"/>
    <x v="0"/>
    <x v="1"/>
    <n v="30.33"/>
    <n v="30.33"/>
    <n v="30.33"/>
    <n v="2578.0500000000002"/>
    <n v="2608.38"/>
    <n v="3011.01"/>
    <n v="3011.01"/>
    <n v="3011.01"/>
    <n v="3011.01"/>
    <x v="1"/>
    <x v="0"/>
    <x v="0"/>
    <n v="0"/>
    <x v="0"/>
  </r>
  <r>
    <x v="92"/>
    <x v="85"/>
    <n v="12"/>
    <x v="2"/>
    <s v="3ºC"/>
    <x v="0"/>
    <s v="Mineral"/>
    <x v="11"/>
    <s v="3 - Parceria"/>
    <n v="13.95"/>
    <n v="0"/>
    <n v="0"/>
    <n v="13.95"/>
    <n v="1185.75"/>
    <n v="0"/>
    <n v="0"/>
    <n v="1421.6"/>
    <x v="0"/>
    <x v="4"/>
    <x v="0"/>
    <x v="1"/>
    <x v="1"/>
    <n v="13.95"/>
    <n v="13.95"/>
    <n v="13.95"/>
    <n v="1185.75"/>
    <n v="1421.6"/>
    <n v="1421.6"/>
    <n v="1421.6"/>
    <n v="1421.6"/>
    <n v="1421.6"/>
    <x v="1"/>
    <x v="0"/>
    <x v="0"/>
    <n v="0"/>
    <x v="0"/>
  </r>
  <r>
    <x v="92"/>
    <x v="85"/>
    <n v="13"/>
    <x v="2"/>
    <s v="3ºC"/>
    <x v="0"/>
    <s v="Mineral"/>
    <x v="11"/>
    <s v="3 - Parceria"/>
    <n v="12.87"/>
    <n v="12.87"/>
    <n v="0"/>
    <n v="12.87"/>
    <n v="1093.95"/>
    <n v="1106.82"/>
    <n v="0"/>
    <n v="1207.28"/>
    <x v="0"/>
    <x v="18"/>
    <x v="0"/>
    <x v="0"/>
    <x v="1"/>
    <n v="12.87"/>
    <n v="12.87"/>
    <n v="12.87"/>
    <n v="1093.95"/>
    <n v="1106.82"/>
    <n v="1207.28"/>
    <n v="1207.28"/>
    <n v="1207.28"/>
    <n v="1207.28"/>
    <x v="1"/>
    <x v="0"/>
    <x v="0"/>
    <n v="0"/>
    <x v="0"/>
  </r>
  <r>
    <x v="92"/>
    <x v="85"/>
    <n v="14"/>
    <x v="2"/>
    <s v="3ºC"/>
    <x v="0"/>
    <s v="Mineral"/>
    <x v="11"/>
    <s v="3 - Parceria"/>
    <n v="3.24"/>
    <n v="3.24"/>
    <n v="0"/>
    <n v="3.24"/>
    <n v="275.39999999999998"/>
    <n v="278.64"/>
    <n v="0"/>
    <n v="304.18"/>
    <x v="0"/>
    <x v="18"/>
    <x v="0"/>
    <x v="0"/>
    <x v="1"/>
    <n v="3.24"/>
    <n v="3.24"/>
    <n v="3.24"/>
    <n v="275.39999999999998"/>
    <n v="278.64"/>
    <n v="304.18"/>
    <n v="304.18"/>
    <n v="304.18"/>
    <n v="304.18"/>
    <x v="1"/>
    <x v="0"/>
    <x v="0"/>
    <n v="0"/>
    <x v="0"/>
  </r>
  <r>
    <x v="92"/>
    <x v="85"/>
    <n v="15"/>
    <x v="2"/>
    <s v="3ºC"/>
    <x v="0"/>
    <s v="Mineral"/>
    <x v="11"/>
    <s v="3 - Parceria"/>
    <n v="14.68"/>
    <n v="14.68"/>
    <n v="0"/>
    <n v="14.68"/>
    <n v="1247.8"/>
    <n v="1262.48"/>
    <n v="0"/>
    <n v="1376.34"/>
    <x v="0"/>
    <x v="18"/>
    <x v="0"/>
    <x v="0"/>
    <x v="1"/>
    <n v="14.68"/>
    <n v="14.68"/>
    <n v="14.68"/>
    <n v="1247.8"/>
    <n v="1262.48"/>
    <n v="1376.34"/>
    <n v="1376.34"/>
    <n v="1376.34"/>
    <n v="1376.34"/>
    <x v="1"/>
    <x v="0"/>
    <x v="0"/>
    <n v="0"/>
    <x v="0"/>
  </r>
  <r>
    <x v="92"/>
    <x v="85"/>
    <n v="16"/>
    <x v="2"/>
    <s v="3ºC"/>
    <x v="0"/>
    <s v="Mineral"/>
    <x v="11"/>
    <s v="3 - Parceria"/>
    <n v="10.35"/>
    <n v="10.35"/>
    <n v="0"/>
    <n v="10.35"/>
    <n v="879.75"/>
    <n v="890.1"/>
    <n v="0"/>
    <n v="970.6"/>
    <x v="0"/>
    <x v="18"/>
    <x v="0"/>
    <x v="0"/>
    <x v="1"/>
    <n v="10.35"/>
    <n v="10.35"/>
    <n v="10.35"/>
    <n v="879.75"/>
    <n v="890.1"/>
    <n v="970.6"/>
    <n v="970.6"/>
    <n v="970.6"/>
    <n v="970.6"/>
    <x v="1"/>
    <x v="0"/>
    <x v="0"/>
    <n v="0"/>
    <x v="0"/>
  </r>
  <r>
    <x v="92"/>
    <x v="85"/>
    <n v="17"/>
    <x v="2"/>
    <s v="3ºC"/>
    <x v="0"/>
    <s v="Mineral"/>
    <x v="11"/>
    <s v="3 - Parceria"/>
    <n v="0.62"/>
    <n v="0.62"/>
    <n v="0"/>
    <n v="0.62"/>
    <n v="52.7"/>
    <n v="53.32"/>
    <n v="0"/>
    <n v="57.69"/>
    <x v="0"/>
    <x v="18"/>
    <x v="0"/>
    <x v="0"/>
    <x v="1"/>
    <n v="0.62"/>
    <n v="0.62"/>
    <n v="0.62"/>
    <n v="52.7"/>
    <n v="53.32"/>
    <n v="57.69"/>
    <n v="57.69"/>
    <n v="57.69"/>
    <n v="57.69"/>
    <x v="1"/>
    <x v="0"/>
    <x v="0"/>
    <n v="0"/>
    <x v="0"/>
  </r>
  <r>
    <x v="92"/>
    <x v="85"/>
    <n v="18"/>
    <x v="2"/>
    <s v="3ºC"/>
    <x v="0"/>
    <s v="Mineral"/>
    <x v="11"/>
    <s v="3 - Parceria"/>
    <n v="5.08"/>
    <n v="5.08"/>
    <n v="0"/>
    <n v="5.08"/>
    <n v="431.8"/>
    <n v="436.88"/>
    <n v="0"/>
    <n v="477.5"/>
    <x v="0"/>
    <x v="18"/>
    <x v="0"/>
    <x v="0"/>
    <x v="1"/>
    <n v="5.08"/>
    <n v="5.08"/>
    <n v="5.08"/>
    <n v="431.8"/>
    <n v="436.88"/>
    <n v="477.5"/>
    <n v="477.5"/>
    <n v="477.5"/>
    <n v="477.5"/>
    <x v="1"/>
    <x v="0"/>
    <x v="0"/>
    <n v="0"/>
    <x v="0"/>
  </r>
  <r>
    <x v="92"/>
    <x v="85"/>
    <n v="19"/>
    <x v="2"/>
    <s v="3ºC"/>
    <x v="0"/>
    <s v="Mineral"/>
    <x v="11"/>
    <s v="3 - Parceria"/>
    <n v="0.8"/>
    <n v="0.8"/>
    <n v="0"/>
    <n v="0.8"/>
    <n v="68"/>
    <n v="68.8"/>
    <n v="0"/>
    <n v="79.709999999999994"/>
    <x v="0"/>
    <x v="18"/>
    <x v="0"/>
    <x v="0"/>
    <x v="1"/>
    <n v="0.8"/>
    <n v="0.8"/>
    <n v="0.8"/>
    <n v="68"/>
    <n v="68.8"/>
    <n v="79.709999999999994"/>
    <n v="79.709999999999994"/>
    <n v="79.709999999999994"/>
    <n v="79.709999999999994"/>
    <x v="1"/>
    <x v="0"/>
    <x v="0"/>
    <n v="0"/>
    <x v="0"/>
  </r>
  <r>
    <x v="93"/>
    <x v="86"/>
    <n v="1"/>
    <x v="5"/>
    <s v="2ºC"/>
    <x v="0"/>
    <s v="Mineral"/>
    <x v="11"/>
    <s v="3 - Parceria"/>
    <n v="3.96"/>
    <n v="3.96"/>
    <n v="0"/>
    <n v="3.96"/>
    <n v="336.6"/>
    <n v="340.56"/>
    <n v="0"/>
    <n v="426.26"/>
    <x v="0"/>
    <x v="31"/>
    <x v="0"/>
    <x v="0"/>
    <x v="1"/>
    <n v="3.96"/>
    <n v="3.96"/>
    <n v="3.96"/>
    <n v="336.6"/>
    <n v="340.56"/>
    <n v="426.26"/>
    <n v="426.26"/>
    <n v="426.26"/>
    <n v="426.26"/>
    <x v="1"/>
    <x v="0"/>
    <x v="0"/>
    <n v="0"/>
    <x v="0"/>
  </r>
  <r>
    <x v="93"/>
    <x v="86"/>
    <n v="2"/>
    <x v="5"/>
    <s v="2ºC"/>
    <x v="0"/>
    <s v="Mineral"/>
    <x v="11"/>
    <s v="3 - Parceria"/>
    <n v="3.63"/>
    <n v="3.63"/>
    <n v="0"/>
    <n v="3.63"/>
    <n v="308.55"/>
    <n v="312.18"/>
    <n v="0"/>
    <n v="389.99"/>
    <x v="0"/>
    <x v="31"/>
    <x v="0"/>
    <x v="0"/>
    <x v="1"/>
    <n v="3.63"/>
    <n v="3.63"/>
    <n v="3.63"/>
    <n v="308.55"/>
    <n v="312.18"/>
    <n v="389.99"/>
    <n v="389.99"/>
    <n v="389.99"/>
    <n v="389.99"/>
    <x v="1"/>
    <x v="0"/>
    <x v="0"/>
    <n v="0"/>
    <x v="0"/>
  </r>
  <r>
    <x v="93"/>
    <x v="86"/>
    <n v="3"/>
    <x v="5"/>
    <s v="2ºC"/>
    <x v="0"/>
    <s v="Mineral"/>
    <x v="11"/>
    <s v="3 - Parceria"/>
    <n v="2.66"/>
    <n v="2.66"/>
    <n v="0"/>
    <n v="2.66"/>
    <n v="239.4"/>
    <n v="239.4"/>
    <n v="0"/>
    <n v="298.72000000000003"/>
    <x v="0"/>
    <x v="31"/>
    <x v="0"/>
    <x v="0"/>
    <x v="1"/>
    <n v="2.66"/>
    <n v="2.66"/>
    <n v="2.66"/>
    <n v="239.4"/>
    <n v="239.4"/>
    <n v="298.72000000000003"/>
    <n v="298.72000000000003"/>
    <n v="298.72000000000003"/>
    <n v="298.72000000000003"/>
    <x v="1"/>
    <x v="0"/>
    <x v="0"/>
    <n v="0"/>
    <x v="0"/>
  </r>
  <r>
    <x v="93"/>
    <x v="86"/>
    <n v="4"/>
    <x v="5"/>
    <s v="2ºC"/>
    <x v="0"/>
    <s v="Mineral"/>
    <x v="11"/>
    <s v="3 - Parceria"/>
    <n v="21.63"/>
    <n v="21.63"/>
    <n v="0"/>
    <n v="21.63"/>
    <n v="1946.7"/>
    <n v="1946.7"/>
    <n v="0"/>
    <n v="2434.1799999999998"/>
    <x v="0"/>
    <x v="31"/>
    <x v="0"/>
    <x v="0"/>
    <x v="1"/>
    <n v="21.63"/>
    <n v="21.63"/>
    <n v="21.63"/>
    <n v="1946.7"/>
    <n v="1946.7"/>
    <n v="2434.1799999999998"/>
    <n v="2434.1799999999998"/>
    <n v="2434.1799999999998"/>
    <n v="2434.1799999999998"/>
    <x v="1"/>
    <x v="0"/>
    <x v="0"/>
    <n v="0"/>
    <x v="0"/>
  </r>
  <r>
    <x v="93"/>
    <x v="86"/>
    <n v="5"/>
    <x v="5"/>
    <s v="2ºC"/>
    <x v="0"/>
    <s v="Mineral"/>
    <x v="11"/>
    <s v="3 - Parceria"/>
    <n v="14.23"/>
    <n v="14.23"/>
    <n v="0"/>
    <n v="14.23"/>
    <n v="1280.7"/>
    <n v="1280.7"/>
    <n v="0"/>
    <n v="1601.49"/>
    <x v="0"/>
    <x v="31"/>
    <x v="0"/>
    <x v="0"/>
    <x v="1"/>
    <n v="14.23"/>
    <n v="14.23"/>
    <n v="14.23"/>
    <n v="1280.7"/>
    <n v="1280.7"/>
    <n v="1601.49"/>
    <n v="1601.49"/>
    <n v="1601.49"/>
    <n v="1601.49"/>
    <x v="1"/>
    <x v="0"/>
    <x v="0"/>
    <n v="0"/>
    <x v="0"/>
  </r>
  <r>
    <x v="93"/>
    <x v="86"/>
    <n v="6"/>
    <x v="5"/>
    <s v="2ºC"/>
    <x v="0"/>
    <s v="Mineral"/>
    <x v="11"/>
    <s v="3 - Parceria"/>
    <n v="9.3699999999999992"/>
    <n v="9.3699999999999992"/>
    <n v="0"/>
    <n v="9.3699999999999992"/>
    <n v="843.3"/>
    <n v="843.3"/>
    <n v="0"/>
    <n v="1054.44"/>
    <x v="0"/>
    <x v="31"/>
    <x v="0"/>
    <x v="0"/>
    <x v="1"/>
    <n v="9.3699999999999992"/>
    <n v="9.3699999999999992"/>
    <n v="9.3699999999999992"/>
    <n v="843.3"/>
    <n v="843.3"/>
    <n v="1054.44"/>
    <n v="1054.44"/>
    <n v="1054.44"/>
    <n v="1054.44"/>
    <x v="1"/>
    <x v="0"/>
    <x v="0"/>
    <n v="0"/>
    <x v="0"/>
  </r>
  <r>
    <x v="94"/>
    <x v="49"/>
    <n v="1"/>
    <x v="3"/>
    <s v="INV"/>
    <x v="0"/>
    <s v="Fertirrigação"/>
    <x v="31"/>
    <s v="3 - Parceria"/>
    <n v="19"/>
    <n v="19"/>
    <n v="0"/>
    <n v="19"/>
    <n v="2185"/>
    <n v="1900"/>
    <n v="0"/>
    <n v="1843.96"/>
    <x v="0"/>
    <x v="31"/>
    <x v="0"/>
    <x v="0"/>
    <x v="1"/>
    <n v="19"/>
    <n v="19"/>
    <n v="19"/>
    <n v="2185"/>
    <n v="1900"/>
    <n v="1843.96"/>
    <n v="1843.96"/>
    <n v="1843.96"/>
    <n v="1843.96"/>
    <x v="1"/>
    <x v="1"/>
    <x v="0"/>
    <n v="0"/>
    <x v="0"/>
  </r>
  <r>
    <x v="94"/>
    <x v="49"/>
    <n v="2"/>
    <x v="3"/>
    <s v="INV"/>
    <x v="0"/>
    <s v="Fertirrigação"/>
    <x v="31"/>
    <s v="3 - Parceria"/>
    <n v="23.58"/>
    <n v="23.58"/>
    <n v="0"/>
    <n v="23.58"/>
    <n v="2711.7"/>
    <n v="2711.7"/>
    <n v="0"/>
    <n v="2632.1"/>
    <x v="0"/>
    <x v="31"/>
    <x v="0"/>
    <x v="0"/>
    <x v="1"/>
    <n v="23.58"/>
    <n v="23.58"/>
    <n v="23.58"/>
    <n v="2711.7"/>
    <n v="2711.7"/>
    <n v="2632.1"/>
    <n v="2632.1"/>
    <n v="2632.1"/>
    <n v="2632.1"/>
    <x v="1"/>
    <x v="1"/>
    <x v="0"/>
    <n v="0"/>
    <x v="0"/>
  </r>
  <r>
    <x v="94"/>
    <x v="49"/>
    <n v="3"/>
    <x v="3"/>
    <s v="INV"/>
    <x v="0"/>
    <s v="Fertirrigação"/>
    <x v="31"/>
    <s v="3 - Parceria"/>
    <n v="34.619999999999997"/>
    <n v="34.619999999999997"/>
    <n v="0"/>
    <n v="34.619999999999997"/>
    <n v="3600.48"/>
    <n v="3600.48"/>
    <n v="0"/>
    <n v="3493.97"/>
    <x v="0"/>
    <x v="31"/>
    <x v="0"/>
    <x v="0"/>
    <x v="1"/>
    <n v="34.619999999999997"/>
    <n v="34.619999999999997"/>
    <n v="34.619999999999997"/>
    <n v="3600.48"/>
    <n v="3600.48"/>
    <n v="3493.97"/>
    <n v="3493.97"/>
    <n v="3493.97"/>
    <n v="3493.97"/>
    <x v="1"/>
    <x v="1"/>
    <x v="0"/>
    <n v="0"/>
    <x v="0"/>
  </r>
  <r>
    <x v="94"/>
    <x v="49"/>
    <n v="4"/>
    <x v="3"/>
    <s v="INV"/>
    <x v="0"/>
    <s v="Fertirrigação"/>
    <x v="31"/>
    <s v="3 - Parceria"/>
    <n v="15.14"/>
    <n v="15.14"/>
    <n v="0"/>
    <n v="15.14"/>
    <n v="1362.6"/>
    <n v="1453.44"/>
    <n v="0"/>
    <n v="1410.69"/>
    <x v="0"/>
    <x v="31"/>
    <x v="0"/>
    <x v="0"/>
    <x v="1"/>
    <n v="15.14"/>
    <n v="15.14"/>
    <n v="15.14"/>
    <n v="1362.6"/>
    <n v="1453.44"/>
    <n v="1410.69"/>
    <n v="1410.69"/>
    <n v="1410.69"/>
    <n v="1410.69"/>
    <x v="1"/>
    <x v="1"/>
    <x v="0"/>
    <n v="0"/>
    <x v="0"/>
  </r>
  <r>
    <x v="94"/>
    <x v="49"/>
    <n v="5"/>
    <x v="3"/>
    <s v="INV"/>
    <x v="0"/>
    <s v="Fertirrigação"/>
    <x v="31"/>
    <s v="3 - Parceria"/>
    <n v="35.03"/>
    <n v="35.03"/>
    <n v="0"/>
    <n v="35.03"/>
    <n v="3503"/>
    <n v="3503"/>
    <n v="0"/>
    <n v="3420.57"/>
    <x v="0"/>
    <x v="31"/>
    <x v="0"/>
    <x v="0"/>
    <x v="1"/>
    <n v="35.03"/>
    <n v="35.03"/>
    <n v="35.03"/>
    <n v="3503"/>
    <n v="3503"/>
    <n v="3420.57"/>
    <n v="3420.57"/>
    <n v="3420.57"/>
    <n v="3420.57"/>
    <x v="1"/>
    <x v="1"/>
    <x v="0"/>
    <n v="0"/>
    <x v="0"/>
  </r>
  <r>
    <x v="94"/>
    <x v="49"/>
    <n v="6"/>
    <x v="3"/>
    <s v="INV"/>
    <x v="0"/>
    <s v="Fertirrigação"/>
    <x v="31"/>
    <s v="3 - Parceria"/>
    <n v="41.27"/>
    <n v="41.27"/>
    <n v="0"/>
    <n v="41.27"/>
    <n v="4127"/>
    <n v="4168.2700000000004"/>
    <n v="0"/>
    <n v="4069.98"/>
    <x v="0"/>
    <x v="31"/>
    <x v="0"/>
    <x v="0"/>
    <x v="1"/>
    <n v="41.27"/>
    <n v="41.27"/>
    <n v="41.27"/>
    <n v="4127"/>
    <n v="4168.2700000000004"/>
    <n v="4069.98"/>
    <n v="4069.98"/>
    <n v="4069.98"/>
    <n v="4069.98"/>
    <x v="1"/>
    <x v="1"/>
    <x v="0"/>
    <n v="0"/>
    <x v="0"/>
  </r>
  <r>
    <x v="94"/>
    <x v="49"/>
    <n v="7"/>
    <x v="3"/>
    <s v="INV"/>
    <x v="0"/>
    <s v="Fertirrigação"/>
    <x v="31"/>
    <s v="3 - Parceria"/>
    <n v="39.51"/>
    <n v="39.51"/>
    <n v="0"/>
    <n v="39.51"/>
    <n v="3832.47"/>
    <n v="3951"/>
    <n v="0"/>
    <n v="3858.59"/>
    <x v="0"/>
    <x v="31"/>
    <x v="0"/>
    <x v="0"/>
    <x v="1"/>
    <n v="39.51"/>
    <n v="39.51"/>
    <n v="39.51"/>
    <n v="3832.47"/>
    <n v="3951"/>
    <n v="3858.59"/>
    <n v="3858.59"/>
    <n v="3858.59"/>
    <n v="3858.59"/>
    <x v="1"/>
    <x v="1"/>
    <x v="0"/>
    <n v="0"/>
    <x v="0"/>
  </r>
  <r>
    <x v="95"/>
    <x v="87"/>
    <n v="1"/>
    <x v="2"/>
    <s v="3ºC"/>
    <x v="0"/>
    <s v="Mineral"/>
    <x v="11"/>
    <s v="3 - Parceria"/>
    <n v="18.84"/>
    <n v="18.84"/>
    <n v="0"/>
    <n v="18.84"/>
    <n v="1507.2"/>
    <n v="1507.2"/>
    <n v="0"/>
    <n v="1343.35"/>
    <x v="0"/>
    <x v="31"/>
    <x v="0"/>
    <x v="0"/>
    <x v="1"/>
    <n v="18.84"/>
    <n v="18.84"/>
    <n v="18.84"/>
    <n v="1507.2"/>
    <n v="1507.2"/>
    <n v="1343.35"/>
    <n v="1343.35"/>
    <n v="1343.35"/>
    <n v="1343.35"/>
    <x v="1"/>
    <x v="0"/>
    <x v="0"/>
    <n v="0"/>
    <x v="0"/>
  </r>
  <r>
    <x v="95"/>
    <x v="87"/>
    <n v="2"/>
    <x v="2"/>
    <s v="3ºC"/>
    <x v="0"/>
    <s v="Mineral"/>
    <x v="11"/>
    <s v="3 - Parceria"/>
    <n v="13.29"/>
    <n v="13.29"/>
    <n v="0"/>
    <n v="13.29"/>
    <n v="1063.2"/>
    <n v="956.88"/>
    <n v="0"/>
    <n v="853.12"/>
    <x v="0"/>
    <x v="31"/>
    <x v="0"/>
    <x v="0"/>
    <x v="1"/>
    <n v="13.29"/>
    <n v="13.29"/>
    <n v="13.29"/>
    <n v="1063.2"/>
    <n v="956.88"/>
    <n v="853.12"/>
    <n v="853.12"/>
    <n v="853.12"/>
    <n v="853.12"/>
    <x v="0"/>
    <x v="0"/>
    <x v="0"/>
    <n v="0"/>
    <x v="0"/>
  </r>
  <r>
    <x v="95"/>
    <x v="87"/>
    <n v="3"/>
    <x v="2"/>
    <s v="3ºC"/>
    <x v="0"/>
    <s v="Mineral"/>
    <x v="11"/>
    <s v="3 - Parceria"/>
    <n v="25.27"/>
    <n v="25.27"/>
    <n v="0"/>
    <n v="25.27"/>
    <n v="1819.44"/>
    <n v="1768.9"/>
    <n v="0"/>
    <n v="1618.21"/>
    <x v="0"/>
    <x v="31"/>
    <x v="0"/>
    <x v="0"/>
    <x v="1"/>
    <n v="25.27"/>
    <n v="25.27"/>
    <n v="25.27"/>
    <n v="1819.44"/>
    <n v="1768.9"/>
    <n v="1618.21"/>
    <n v="1618.21"/>
    <n v="1618.21"/>
    <n v="1618.21"/>
    <x v="1"/>
    <x v="0"/>
    <x v="0"/>
    <n v="0"/>
    <x v="0"/>
  </r>
  <r>
    <x v="95"/>
    <x v="87"/>
    <n v="4"/>
    <x v="2"/>
    <s v="3ºC"/>
    <x v="0"/>
    <s v="Mineral"/>
    <x v="11"/>
    <s v="3 - Parceria"/>
    <n v="25.9"/>
    <n v="25.9"/>
    <n v="0"/>
    <n v="25.9"/>
    <n v="1864.8"/>
    <n v="1864.8"/>
    <n v="0"/>
    <n v="1706.13"/>
    <x v="0"/>
    <x v="31"/>
    <x v="0"/>
    <x v="0"/>
    <x v="1"/>
    <n v="25.9"/>
    <n v="25.9"/>
    <n v="25.9"/>
    <n v="1864.8"/>
    <n v="1864.8"/>
    <n v="1706.13"/>
    <n v="1706.13"/>
    <n v="1706.13"/>
    <n v="1706.13"/>
    <x v="1"/>
    <x v="0"/>
    <x v="0"/>
    <n v="0"/>
    <x v="0"/>
  </r>
  <r>
    <x v="96"/>
    <x v="88"/>
    <n v="1"/>
    <x v="6"/>
    <s v="5ºC"/>
    <x v="0"/>
    <s v="Mineral"/>
    <x v="8"/>
    <s v="3 - Parceria"/>
    <n v="6.78"/>
    <n v="0"/>
    <n v="0"/>
    <n v="6.78"/>
    <n v="461.04"/>
    <n v="0"/>
    <n v="0"/>
    <n v="389.66"/>
    <x v="0"/>
    <x v="35"/>
    <x v="0"/>
    <x v="1"/>
    <x v="1"/>
    <n v="6.78"/>
    <n v="6.78"/>
    <n v="6.78"/>
    <n v="461.04"/>
    <n v="389.66"/>
    <n v="389.66"/>
    <n v="389.66"/>
    <n v="389.66"/>
    <n v="389.66"/>
    <x v="1"/>
    <x v="0"/>
    <x v="0"/>
    <n v="0"/>
    <x v="0"/>
  </r>
  <r>
    <x v="96"/>
    <x v="88"/>
    <n v="2"/>
    <x v="6"/>
    <s v="5ºC"/>
    <x v="0"/>
    <s v="Mineral"/>
    <x v="8"/>
    <s v="3 - Parceria"/>
    <n v="20.47"/>
    <n v="0"/>
    <n v="0"/>
    <n v="20.47"/>
    <n v="1371.49"/>
    <n v="0"/>
    <n v="0"/>
    <n v="1159.23"/>
    <x v="0"/>
    <x v="35"/>
    <x v="0"/>
    <x v="1"/>
    <x v="1"/>
    <n v="20.47"/>
    <n v="20.47"/>
    <n v="20.47"/>
    <n v="1371.49"/>
    <n v="1159.23"/>
    <n v="1159.23"/>
    <n v="1159.23"/>
    <n v="1159.23"/>
    <n v="1159.23"/>
    <x v="1"/>
    <x v="0"/>
    <x v="0"/>
    <n v="0"/>
    <x v="0"/>
  </r>
  <r>
    <x v="96"/>
    <x v="88"/>
    <n v="3"/>
    <x v="6"/>
    <s v="5ºC"/>
    <x v="0"/>
    <s v="Mineral"/>
    <x v="8"/>
    <s v="3 - Parceria"/>
    <n v="5"/>
    <n v="0"/>
    <n v="0"/>
    <n v="5"/>
    <n v="270"/>
    <n v="0"/>
    <n v="0"/>
    <n v="228.36"/>
    <x v="0"/>
    <x v="35"/>
    <x v="0"/>
    <x v="1"/>
    <x v="1"/>
    <n v="5"/>
    <n v="5"/>
    <n v="5"/>
    <n v="270"/>
    <n v="228.36"/>
    <n v="228.36"/>
    <n v="228.36"/>
    <n v="228.36"/>
    <n v="228.36"/>
    <x v="1"/>
    <x v="0"/>
    <x v="0"/>
    <n v="0"/>
    <x v="0"/>
  </r>
  <r>
    <x v="97"/>
    <x v="49"/>
    <n v="1"/>
    <x v="5"/>
    <s v="2ºC"/>
    <x v="0"/>
    <s v="Mineral"/>
    <x v="1"/>
    <s v="3 - Parceria"/>
    <n v="33.65"/>
    <n v="33.65"/>
    <n v="33.65"/>
    <n v="33.65"/>
    <n v="2355.5"/>
    <n v="2288.1999999999998"/>
    <n v="2321.85"/>
    <n v="2222.0300000000002"/>
    <x v="0"/>
    <x v="0"/>
    <x v="0"/>
    <x v="0"/>
    <x v="0"/>
    <n v="33.65"/>
    <n v="33.65"/>
    <n v="33.65"/>
    <n v="2355.5"/>
    <n v="2288.1999999999998"/>
    <n v="2321.85"/>
    <n v="2222.0300000000002"/>
    <n v="2222.0300000000002"/>
    <n v="2222.0300000000002"/>
    <x v="1"/>
    <x v="0"/>
    <x v="0"/>
    <n v="0"/>
    <x v="0"/>
  </r>
  <r>
    <x v="97"/>
    <x v="49"/>
    <n v="2"/>
    <x v="5"/>
    <s v="2ºC"/>
    <x v="0"/>
    <s v="Mineral"/>
    <x v="1"/>
    <s v="3 - Parceria"/>
    <n v="34.76"/>
    <n v="34.76"/>
    <n v="34.76"/>
    <n v="34.76"/>
    <n v="2433.1999999999998"/>
    <n v="2363.6799999999998"/>
    <n v="2398.44"/>
    <n v="2294.75"/>
    <x v="0"/>
    <x v="0"/>
    <x v="0"/>
    <x v="0"/>
    <x v="0"/>
    <n v="34.76"/>
    <n v="34.76"/>
    <n v="34.76"/>
    <n v="2433.1999999999998"/>
    <n v="2363.6799999999998"/>
    <n v="2398.44"/>
    <n v="2294.75"/>
    <n v="2294.75"/>
    <n v="2294.75"/>
    <x v="1"/>
    <x v="0"/>
    <x v="0"/>
    <n v="0"/>
    <x v="0"/>
  </r>
  <r>
    <x v="97"/>
    <x v="49"/>
    <n v="3"/>
    <x v="5"/>
    <s v="2ºC"/>
    <x v="0"/>
    <s v="Mineral"/>
    <x v="1"/>
    <s v="3 - Parceria"/>
    <n v="16.59"/>
    <n v="16.59"/>
    <n v="16.59"/>
    <n v="16.59"/>
    <n v="1327.2"/>
    <n v="1128.1199999999999"/>
    <n v="1144.71"/>
    <n v="1095.6400000000001"/>
    <x v="0"/>
    <x v="0"/>
    <x v="0"/>
    <x v="0"/>
    <x v="0"/>
    <n v="16.59"/>
    <n v="16.59"/>
    <n v="16.59"/>
    <n v="1327.2"/>
    <n v="1128.1199999999999"/>
    <n v="1144.71"/>
    <n v="1095.6400000000001"/>
    <n v="1095.6400000000001"/>
    <n v="1095.6400000000001"/>
    <x v="1"/>
    <x v="0"/>
    <x v="0"/>
    <n v="0"/>
    <x v="0"/>
  </r>
  <r>
    <x v="97"/>
    <x v="49"/>
    <n v="4"/>
    <x v="5"/>
    <s v="2ºC"/>
    <x v="0"/>
    <s v="Mineral"/>
    <x v="1"/>
    <s v="3 - Parceria"/>
    <n v="17.079999999999998"/>
    <n v="17.079999999999998"/>
    <n v="17.079999999999998"/>
    <n v="17.079999999999998"/>
    <n v="1366.4"/>
    <n v="1161.44"/>
    <n v="1178.52"/>
    <n v="1128.18"/>
    <x v="0"/>
    <x v="0"/>
    <x v="0"/>
    <x v="0"/>
    <x v="0"/>
    <n v="17.079999999999998"/>
    <n v="17.079999999999998"/>
    <n v="17.079999999999998"/>
    <n v="1366.4"/>
    <n v="1161.44"/>
    <n v="1178.52"/>
    <n v="1128.18"/>
    <n v="1128.18"/>
    <n v="1128.18"/>
    <x v="1"/>
    <x v="0"/>
    <x v="0"/>
    <n v="0"/>
    <x v="0"/>
  </r>
  <r>
    <x v="97"/>
    <x v="49"/>
    <n v="5"/>
    <x v="5"/>
    <s v="2ºC"/>
    <x v="0"/>
    <s v="Mineral"/>
    <x v="1"/>
    <s v="3 - Parceria"/>
    <n v="2.11"/>
    <n v="2.11"/>
    <n v="2.11"/>
    <n v="2.11"/>
    <n v="147.69999999999999"/>
    <n v="143.47999999999999"/>
    <n v="145.59"/>
    <n v="140.16"/>
    <x v="0"/>
    <x v="0"/>
    <x v="0"/>
    <x v="0"/>
    <x v="0"/>
    <n v="2.11"/>
    <n v="2.11"/>
    <n v="2.11"/>
    <n v="147.69999999999999"/>
    <n v="143.47999999999999"/>
    <n v="145.59"/>
    <n v="140.16"/>
    <n v="140.16"/>
    <n v="140.16"/>
    <x v="1"/>
    <x v="0"/>
    <x v="0"/>
    <n v="0"/>
    <x v="0"/>
  </r>
  <r>
    <x v="98"/>
    <x v="89"/>
    <n v="1"/>
    <x v="3"/>
    <s v="ANM"/>
    <x v="0"/>
    <s v="Mineral"/>
    <x v="6"/>
    <s v="3 - Parceria"/>
    <n v="7.78"/>
    <n v="0"/>
    <n v="0"/>
    <n v="7.78"/>
    <n v="902.48"/>
    <n v="0"/>
    <n v="0"/>
    <n v="861.86"/>
    <x v="0"/>
    <x v="15"/>
    <x v="0"/>
    <x v="1"/>
    <x v="1"/>
    <n v="7.78"/>
    <n v="7.78"/>
    <n v="7.78"/>
    <n v="902.48"/>
    <n v="861.86"/>
    <n v="861.86"/>
    <n v="861.86"/>
    <n v="861.86"/>
    <n v="861.86"/>
    <x v="1"/>
    <x v="0"/>
    <x v="0"/>
    <n v="0"/>
    <x v="0"/>
  </r>
  <r>
    <x v="98"/>
    <x v="89"/>
    <n v="2"/>
    <x v="3"/>
    <s v="ANM"/>
    <x v="0"/>
    <s v="Mineral"/>
    <x v="6"/>
    <s v="3 - Parceria"/>
    <n v="10.9"/>
    <n v="0"/>
    <n v="0"/>
    <n v="10.9"/>
    <n v="1242.5999999999999"/>
    <n v="0"/>
    <n v="0"/>
    <n v="1407.36"/>
    <x v="0"/>
    <x v="15"/>
    <x v="0"/>
    <x v="1"/>
    <x v="1"/>
    <n v="10.9"/>
    <n v="10.9"/>
    <n v="10.9"/>
    <n v="1242.5999999999999"/>
    <n v="1407.36"/>
    <n v="1407.36"/>
    <n v="1407.36"/>
    <n v="1407.36"/>
    <n v="1407.36"/>
    <x v="1"/>
    <x v="0"/>
    <x v="0"/>
    <n v="0"/>
    <x v="0"/>
  </r>
  <r>
    <x v="98"/>
    <x v="89"/>
    <n v="3"/>
    <x v="3"/>
    <s v="ANM"/>
    <x v="0"/>
    <s v="Mineral"/>
    <x v="6"/>
    <s v="3 - Parceria"/>
    <n v="11.41"/>
    <n v="0"/>
    <n v="0"/>
    <n v="11.41"/>
    <n v="1369.2"/>
    <n v="0"/>
    <n v="0"/>
    <n v="1550.12"/>
    <x v="0"/>
    <x v="15"/>
    <x v="0"/>
    <x v="1"/>
    <x v="1"/>
    <n v="11.41"/>
    <n v="11.41"/>
    <n v="11.41"/>
    <n v="1369.2"/>
    <n v="1550.12"/>
    <n v="1550.12"/>
    <n v="1550.12"/>
    <n v="1550.12"/>
    <n v="1550.12"/>
    <x v="1"/>
    <x v="0"/>
    <x v="0"/>
    <n v="0"/>
    <x v="0"/>
  </r>
  <r>
    <x v="99"/>
    <x v="90"/>
    <n v="1"/>
    <x v="2"/>
    <s v="3ºC"/>
    <x v="0"/>
    <s v="Mineral"/>
    <x v="13"/>
    <s v="3 - Parceria"/>
    <n v="10.31"/>
    <n v="0"/>
    <n v="0"/>
    <n v="10.31"/>
    <n v="773.25"/>
    <n v="0"/>
    <n v="0"/>
    <n v="645.51"/>
    <x v="0"/>
    <x v="6"/>
    <x v="0"/>
    <x v="1"/>
    <x v="1"/>
    <n v="10.31"/>
    <n v="10.31"/>
    <n v="10.31"/>
    <n v="773.25"/>
    <n v="645.51"/>
    <n v="645.51"/>
    <n v="645.51"/>
    <n v="645.51"/>
    <n v="645.51"/>
    <x v="1"/>
    <x v="0"/>
    <x v="0"/>
    <n v="0"/>
    <x v="0"/>
  </r>
  <r>
    <x v="99"/>
    <x v="90"/>
    <n v="2"/>
    <x v="2"/>
    <s v="3ºC"/>
    <x v="0"/>
    <s v="Mineral"/>
    <x v="13"/>
    <s v="3 - Parceria"/>
    <n v="11.53"/>
    <n v="0"/>
    <n v="0"/>
    <n v="11.53"/>
    <n v="864.75"/>
    <n v="0"/>
    <n v="0"/>
    <n v="722.37"/>
    <x v="0"/>
    <x v="6"/>
    <x v="0"/>
    <x v="1"/>
    <x v="1"/>
    <n v="11.53"/>
    <n v="11.53"/>
    <n v="11.53"/>
    <n v="864.75"/>
    <n v="722.37"/>
    <n v="722.37"/>
    <n v="722.37"/>
    <n v="722.37"/>
    <n v="722.37"/>
    <x v="1"/>
    <x v="0"/>
    <x v="0"/>
    <n v="0"/>
    <x v="0"/>
  </r>
  <r>
    <x v="99"/>
    <x v="90"/>
    <n v="3"/>
    <x v="2"/>
    <s v="3ºC"/>
    <x v="0"/>
    <s v="Mineral"/>
    <x v="13"/>
    <s v="3 - Parceria"/>
    <n v="12.8"/>
    <n v="12.8"/>
    <n v="0"/>
    <n v="12.8"/>
    <n v="960"/>
    <n v="1024"/>
    <n v="0"/>
    <n v="934.33"/>
    <x v="0"/>
    <x v="39"/>
    <x v="0"/>
    <x v="0"/>
    <x v="1"/>
    <n v="12.8"/>
    <n v="12.8"/>
    <n v="12.8"/>
    <n v="960"/>
    <n v="1024"/>
    <n v="934.33"/>
    <n v="934.33"/>
    <n v="934.33"/>
    <n v="934.33"/>
    <x v="1"/>
    <x v="0"/>
    <x v="0"/>
    <n v="0"/>
    <x v="0"/>
  </r>
  <r>
    <x v="99"/>
    <x v="90"/>
    <n v="4"/>
    <x v="2"/>
    <s v="3ºC"/>
    <x v="0"/>
    <s v="Mineral"/>
    <x v="13"/>
    <s v="3 - Parceria"/>
    <n v="12.64"/>
    <n v="12.64"/>
    <n v="0"/>
    <n v="12.64"/>
    <n v="948"/>
    <n v="1011.2"/>
    <n v="0"/>
    <n v="922.48"/>
    <x v="0"/>
    <x v="39"/>
    <x v="0"/>
    <x v="0"/>
    <x v="1"/>
    <n v="12.64"/>
    <n v="12.64"/>
    <n v="12.64"/>
    <n v="948"/>
    <n v="1011.2"/>
    <n v="922.48"/>
    <n v="922.48"/>
    <n v="922.48"/>
    <n v="922.48"/>
    <x v="1"/>
    <x v="0"/>
    <x v="0"/>
    <n v="0"/>
    <x v="0"/>
  </r>
  <r>
    <x v="99"/>
    <x v="90"/>
    <n v="5"/>
    <x v="2"/>
    <s v="3ºC"/>
    <x v="0"/>
    <s v="Mineral"/>
    <x v="13"/>
    <s v="3 - Parceria"/>
    <n v="12.97"/>
    <n v="12.97"/>
    <n v="0"/>
    <n v="12.97"/>
    <n v="972.75"/>
    <n v="907.9"/>
    <n v="0"/>
    <n v="828.61"/>
    <x v="0"/>
    <x v="39"/>
    <x v="0"/>
    <x v="0"/>
    <x v="1"/>
    <n v="12.97"/>
    <n v="12.97"/>
    <n v="12.97"/>
    <n v="972.75"/>
    <n v="907.9"/>
    <n v="828.61"/>
    <n v="828.61"/>
    <n v="828.61"/>
    <n v="828.61"/>
    <x v="0"/>
    <x v="0"/>
    <x v="0"/>
    <n v="0"/>
    <x v="0"/>
  </r>
  <r>
    <x v="100"/>
    <x v="91"/>
    <n v="1"/>
    <x v="5"/>
    <s v="2ºC"/>
    <x v="0"/>
    <s v="Fertirrigação"/>
    <x v="13"/>
    <s v="3 - Parceria"/>
    <n v="17.41"/>
    <n v="17.41"/>
    <n v="17.41"/>
    <n v="17.41"/>
    <n v="1305.75"/>
    <n v="1392.8"/>
    <n v="1357.98"/>
    <n v="1461.46"/>
    <x v="0"/>
    <x v="34"/>
    <x v="0"/>
    <x v="0"/>
    <x v="0"/>
    <n v="17.41"/>
    <n v="17.41"/>
    <n v="17.41"/>
    <n v="1305.75"/>
    <n v="1392.8"/>
    <n v="1357.98"/>
    <n v="1461.46"/>
    <n v="1461.46"/>
    <n v="1461.46"/>
    <x v="1"/>
    <x v="1"/>
    <x v="0"/>
    <n v="0"/>
    <x v="0"/>
  </r>
  <r>
    <x v="100"/>
    <x v="91"/>
    <n v="2"/>
    <x v="5"/>
    <s v="2ºC"/>
    <x v="0"/>
    <s v="Fertirrigação"/>
    <x v="13"/>
    <s v="3 - Parceria"/>
    <n v="0.7"/>
    <n v="0.7"/>
    <n v="0.7"/>
    <n v="0.7"/>
    <n v="53.2"/>
    <n v="56"/>
    <n v="54.6"/>
    <n v="59.1"/>
    <x v="0"/>
    <x v="34"/>
    <x v="0"/>
    <x v="0"/>
    <x v="0"/>
    <n v="0.7"/>
    <n v="0.7"/>
    <n v="0.7"/>
    <n v="53.2"/>
    <n v="56"/>
    <n v="54.6"/>
    <n v="59.1"/>
    <n v="59.1"/>
    <n v="59.1"/>
    <x v="1"/>
    <x v="1"/>
    <x v="0"/>
    <n v="0"/>
    <x v="0"/>
  </r>
  <r>
    <x v="100"/>
    <x v="91"/>
    <n v="3"/>
    <x v="5"/>
    <s v="2ºC"/>
    <x v="0"/>
    <s v="Fertirrigação"/>
    <x v="13"/>
    <s v="3 - Parceria"/>
    <n v="22.25"/>
    <n v="22.25"/>
    <n v="22.25"/>
    <n v="22.25"/>
    <n v="1691"/>
    <n v="1780"/>
    <n v="1735.5"/>
    <n v="1868.29"/>
    <x v="0"/>
    <x v="34"/>
    <x v="0"/>
    <x v="0"/>
    <x v="0"/>
    <n v="22.25"/>
    <n v="22.25"/>
    <n v="22.25"/>
    <n v="1691"/>
    <n v="1780"/>
    <n v="1735.5"/>
    <n v="1868.29"/>
    <n v="1868.29"/>
    <n v="1868.29"/>
    <x v="1"/>
    <x v="1"/>
    <x v="0"/>
    <n v="0"/>
    <x v="0"/>
  </r>
  <r>
    <x v="100"/>
    <x v="91"/>
    <n v="4"/>
    <x v="5"/>
    <s v="2ºC"/>
    <x v="0"/>
    <s v="Fertirrigação"/>
    <x v="13"/>
    <s v="3 - Parceria"/>
    <n v="22.27"/>
    <n v="22.27"/>
    <n v="22.27"/>
    <n v="22.27"/>
    <n v="2004.3"/>
    <n v="2048.84"/>
    <n v="2004.3"/>
    <n v="2156.7199999999998"/>
    <x v="0"/>
    <x v="34"/>
    <x v="0"/>
    <x v="0"/>
    <x v="0"/>
    <n v="22.27"/>
    <n v="22.27"/>
    <n v="22.27"/>
    <n v="2004.3"/>
    <n v="2048.84"/>
    <n v="2004.3"/>
    <n v="2156.7199999999998"/>
    <n v="2156.7199999999998"/>
    <n v="2156.7199999999998"/>
    <x v="1"/>
    <x v="1"/>
    <x v="0"/>
    <n v="0"/>
    <x v="0"/>
  </r>
  <r>
    <x v="100"/>
    <x v="91"/>
    <n v="5005"/>
    <x v="2"/>
    <s v="3ºC"/>
    <x v="0"/>
    <s v="Fertirrigação"/>
    <x v="13"/>
    <s v="3 - Parceria"/>
    <n v="4.12"/>
    <n v="4.12"/>
    <n v="4.12"/>
    <n v="4.12"/>
    <n v="370.8"/>
    <n v="379.04"/>
    <n v="379.04"/>
    <n v="408.29"/>
    <x v="0"/>
    <x v="34"/>
    <x v="0"/>
    <x v="0"/>
    <x v="0"/>
    <n v="4.12"/>
    <n v="4.12"/>
    <n v="4.12"/>
    <n v="370.8"/>
    <n v="379.04"/>
    <n v="379.04"/>
    <n v="408.29"/>
    <n v="408.29"/>
    <n v="408.29"/>
    <x v="1"/>
    <x v="1"/>
    <x v="0"/>
    <n v="0"/>
    <x v="0"/>
  </r>
  <r>
    <x v="101"/>
    <x v="92"/>
    <n v="1"/>
    <x v="2"/>
    <s v="3ºC"/>
    <x v="0"/>
    <s v="Mineral"/>
    <x v="13"/>
    <s v="3 - Parceria"/>
    <n v="12.64"/>
    <n v="0"/>
    <n v="0"/>
    <n v="12.64"/>
    <n v="884.8"/>
    <n v="0"/>
    <n v="0"/>
    <n v="1155.8399999999999"/>
    <x v="0"/>
    <x v="6"/>
    <x v="0"/>
    <x v="1"/>
    <x v="1"/>
    <n v="12.64"/>
    <n v="12.64"/>
    <n v="12.64"/>
    <n v="884.8"/>
    <n v="1155.8399999999999"/>
    <n v="1155.8399999999999"/>
    <n v="1155.8399999999999"/>
    <n v="1155.8399999999999"/>
    <n v="1155.8399999999999"/>
    <x v="1"/>
    <x v="0"/>
    <x v="0"/>
    <n v="0"/>
    <x v="0"/>
  </r>
  <r>
    <x v="101"/>
    <x v="92"/>
    <n v="2"/>
    <x v="2"/>
    <s v="3ºC"/>
    <x v="0"/>
    <s v="Mineral"/>
    <x v="13"/>
    <s v="3 - Parceria"/>
    <n v="16.59"/>
    <n v="16.59"/>
    <n v="0"/>
    <n v="16.59"/>
    <n v="1161.3"/>
    <n v="1161.3"/>
    <n v="0"/>
    <n v="1047.9000000000001"/>
    <x v="0"/>
    <x v="7"/>
    <x v="0"/>
    <x v="0"/>
    <x v="1"/>
    <n v="16.59"/>
    <n v="16.59"/>
    <n v="16.59"/>
    <n v="1161.3"/>
    <n v="1161.3"/>
    <n v="1047.9000000000001"/>
    <n v="1047.9000000000001"/>
    <n v="1047.9000000000001"/>
    <n v="1047.9000000000001"/>
    <x v="1"/>
    <x v="0"/>
    <x v="0"/>
    <n v="0"/>
    <x v="0"/>
  </r>
  <r>
    <x v="101"/>
    <x v="92"/>
    <n v="3"/>
    <x v="2"/>
    <s v="3ºC"/>
    <x v="0"/>
    <s v="Mineral"/>
    <x v="13"/>
    <s v="3 - Parceria"/>
    <n v="20.5"/>
    <n v="20.5"/>
    <n v="0"/>
    <n v="20.5"/>
    <n v="1435"/>
    <n v="1517"/>
    <n v="0"/>
    <n v="1369.25"/>
    <x v="0"/>
    <x v="7"/>
    <x v="0"/>
    <x v="0"/>
    <x v="1"/>
    <n v="20.5"/>
    <n v="20.5"/>
    <n v="20.5"/>
    <n v="1435"/>
    <n v="1517"/>
    <n v="1369.25"/>
    <n v="1369.25"/>
    <n v="1369.25"/>
    <n v="1369.25"/>
    <x v="1"/>
    <x v="0"/>
    <x v="0"/>
    <n v="0"/>
    <x v="0"/>
  </r>
  <r>
    <x v="101"/>
    <x v="92"/>
    <n v="4"/>
    <x v="2"/>
    <s v="3ºC"/>
    <x v="0"/>
    <s v="Mineral"/>
    <x v="13"/>
    <s v="3 - Parceria"/>
    <n v="22.02"/>
    <n v="22.02"/>
    <n v="0"/>
    <n v="22.02"/>
    <n v="1541.4"/>
    <n v="1321.2"/>
    <n v="0"/>
    <n v="1192.49"/>
    <x v="0"/>
    <x v="7"/>
    <x v="0"/>
    <x v="0"/>
    <x v="1"/>
    <n v="22.02"/>
    <n v="22.02"/>
    <n v="22.02"/>
    <n v="1541.4"/>
    <n v="1321.2"/>
    <n v="1192.49"/>
    <n v="1192.49"/>
    <n v="1192.49"/>
    <n v="1192.49"/>
    <x v="0"/>
    <x v="0"/>
    <x v="0"/>
    <n v="0"/>
    <x v="0"/>
  </r>
  <r>
    <x v="102"/>
    <x v="93"/>
    <n v="1"/>
    <x v="0"/>
    <s v="6ºC"/>
    <x v="0"/>
    <s v="Mineral"/>
    <x v="8"/>
    <s v="3 - Parceria"/>
    <n v="6.92"/>
    <n v="6.92"/>
    <n v="0"/>
    <n v="6.92"/>
    <n v="262.95999999999998"/>
    <n v="262.95999999999998"/>
    <n v="0"/>
    <n v="231.44"/>
    <x v="0"/>
    <x v="18"/>
    <x v="0"/>
    <x v="0"/>
    <x v="1"/>
    <n v="6.92"/>
    <n v="6.92"/>
    <n v="6.92"/>
    <n v="262.95999999999998"/>
    <n v="262.95999999999998"/>
    <n v="231.44"/>
    <n v="231.44"/>
    <n v="231.44"/>
    <n v="231.44"/>
    <x v="0"/>
    <x v="0"/>
    <x v="0"/>
    <n v="0"/>
    <x v="0"/>
  </r>
  <r>
    <x v="102"/>
    <x v="93"/>
    <n v="2"/>
    <x v="0"/>
    <s v="6ºC"/>
    <x v="0"/>
    <s v="Mineral"/>
    <x v="8"/>
    <s v="3 - Parceria"/>
    <n v="5.79"/>
    <n v="5.79"/>
    <n v="0"/>
    <n v="5.79"/>
    <n v="220.02"/>
    <n v="220.02"/>
    <n v="0"/>
    <n v="193.58"/>
    <x v="0"/>
    <x v="18"/>
    <x v="0"/>
    <x v="0"/>
    <x v="1"/>
    <n v="5.79"/>
    <n v="5.79"/>
    <n v="5.79"/>
    <n v="220.02"/>
    <n v="220.02"/>
    <n v="193.58"/>
    <n v="193.58"/>
    <n v="193.58"/>
    <n v="193.58"/>
    <x v="0"/>
    <x v="0"/>
    <x v="0"/>
    <n v="0"/>
    <x v="0"/>
  </r>
  <r>
    <x v="102"/>
    <x v="93"/>
    <n v="3"/>
    <x v="0"/>
    <s v="6ºC"/>
    <x v="0"/>
    <s v="Mineral"/>
    <x v="8"/>
    <s v="3 - Parceria"/>
    <n v="24.4"/>
    <n v="24.4"/>
    <n v="0"/>
    <n v="24.4"/>
    <n v="927.2"/>
    <n v="927.2"/>
    <n v="0"/>
    <n v="815.87"/>
    <x v="0"/>
    <x v="18"/>
    <x v="0"/>
    <x v="0"/>
    <x v="1"/>
    <n v="24.4"/>
    <n v="24.4"/>
    <n v="24.4"/>
    <n v="927.2"/>
    <n v="927.2"/>
    <n v="815.87"/>
    <n v="815.87"/>
    <n v="815.87"/>
    <n v="815.87"/>
    <x v="0"/>
    <x v="0"/>
    <x v="0"/>
    <n v="0"/>
    <x v="0"/>
  </r>
  <r>
    <x v="102"/>
    <x v="93"/>
    <n v="4"/>
    <x v="0"/>
    <s v="6ºC"/>
    <x v="0"/>
    <s v="Mineral"/>
    <x v="8"/>
    <s v="3 - Parceria"/>
    <n v="33.68"/>
    <n v="33.68"/>
    <n v="0"/>
    <n v="33.68"/>
    <n v="1279.8399999999999"/>
    <n v="673.6"/>
    <n v="0"/>
    <n v="1083.3699999999999"/>
    <x v="0"/>
    <x v="37"/>
    <x v="0"/>
    <x v="0"/>
    <x v="1"/>
    <n v="33.68"/>
    <n v="33.68"/>
    <n v="33.68"/>
    <n v="1279.8399999999999"/>
    <n v="673.6"/>
    <n v="1083.3699999999999"/>
    <n v="1083.3699999999999"/>
    <n v="1083.3699999999999"/>
    <n v="1083.3699999999999"/>
    <x v="1"/>
    <x v="0"/>
    <x v="0"/>
    <n v="0"/>
    <x v="0"/>
  </r>
  <r>
    <x v="102"/>
    <x v="93"/>
    <n v="5"/>
    <x v="0"/>
    <s v="6ºC"/>
    <x v="0"/>
    <s v="Mineral"/>
    <x v="8"/>
    <s v="3 - Parceria"/>
    <n v="33.83"/>
    <n v="33.83"/>
    <n v="0"/>
    <n v="33.83"/>
    <n v="1285.54"/>
    <n v="676.6"/>
    <n v="0"/>
    <n v="1088.25"/>
    <x v="0"/>
    <x v="37"/>
    <x v="0"/>
    <x v="0"/>
    <x v="1"/>
    <n v="33.83"/>
    <n v="33.83"/>
    <n v="33.83"/>
    <n v="1285.54"/>
    <n v="676.6"/>
    <n v="1088.25"/>
    <n v="1088.25"/>
    <n v="1088.25"/>
    <n v="1088.25"/>
    <x v="0"/>
    <x v="0"/>
    <x v="0"/>
    <n v="0"/>
    <x v="0"/>
  </r>
  <r>
    <x v="102"/>
    <x v="93"/>
    <n v="6"/>
    <x v="0"/>
    <s v="6ºC"/>
    <x v="0"/>
    <s v="Mineral"/>
    <x v="8"/>
    <s v="3 - Parceria"/>
    <n v="43.24"/>
    <n v="43.24"/>
    <n v="0"/>
    <n v="43.24"/>
    <n v="1297.2"/>
    <n v="864.8"/>
    <n v="0"/>
    <n v="1449.57"/>
    <x v="0"/>
    <x v="37"/>
    <x v="0"/>
    <x v="0"/>
    <x v="1"/>
    <n v="43.24"/>
    <n v="43.24"/>
    <n v="43.24"/>
    <n v="1297.2"/>
    <n v="864.8"/>
    <n v="1449.57"/>
    <n v="1449.57"/>
    <n v="1449.57"/>
    <n v="1449.57"/>
    <x v="0"/>
    <x v="0"/>
    <x v="0"/>
    <n v="0"/>
    <x v="0"/>
  </r>
  <r>
    <x v="102"/>
    <x v="93"/>
    <n v="7"/>
    <x v="0"/>
    <s v="6ºC"/>
    <x v="0"/>
    <s v="Mineral"/>
    <x v="8"/>
    <s v="3 - Parceria"/>
    <n v="17.88"/>
    <n v="17.88"/>
    <n v="0"/>
    <n v="17.88"/>
    <n v="536.4"/>
    <n v="357.6"/>
    <n v="0"/>
    <n v="599.91"/>
    <x v="0"/>
    <x v="37"/>
    <x v="0"/>
    <x v="0"/>
    <x v="1"/>
    <n v="17.88"/>
    <n v="17.88"/>
    <n v="17.88"/>
    <n v="536.4"/>
    <n v="357.6"/>
    <n v="599.91"/>
    <n v="599.91"/>
    <n v="599.91"/>
    <n v="599.91"/>
    <x v="0"/>
    <x v="0"/>
    <x v="0"/>
    <n v="0"/>
    <x v="0"/>
  </r>
  <r>
    <x v="102"/>
    <x v="93"/>
    <n v="8"/>
    <x v="0"/>
    <s v="6ºC"/>
    <x v="0"/>
    <s v="Mineral"/>
    <x v="8"/>
    <s v="3 - Parceria"/>
    <n v="32.26"/>
    <n v="32.26"/>
    <n v="0"/>
    <n v="32.26"/>
    <n v="967.8"/>
    <n v="645.20000000000005"/>
    <n v="0"/>
    <n v="1081.02"/>
    <x v="0"/>
    <x v="37"/>
    <x v="0"/>
    <x v="0"/>
    <x v="1"/>
    <n v="32.26"/>
    <n v="32.26"/>
    <n v="32.26"/>
    <n v="967.8"/>
    <n v="645.20000000000005"/>
    <n v="1081.02"/>
    <n v="1081.02"/>
    <n v="1081.02"/>
    <n v="1081.02"/>
    <x v="0"/>
    <x v="0"/>
    <x v="0"/>
    <n v="0"/>
    <x v="0"/>
  </r>
  <r>
    <x v="102"/>
    <x v="93"/>
    <n v="9"/>
    <x v="4"/>
    <s v="4ºC"/>
    <x v="0"/>
    <s v="Mineral"/>
    <x v="1"/>
    <s v="3 - Parceria"/>
    <n v="36.369999999999997"/>
    <n v="36.369999999999997"/>
    <n v="0"/>
    <n v="36.369999999999997"/>
    <n v="2327.6799999999998"/>
    <n v="1818.5"/>
    <n v="0"/>
    <n v="1600.98"/>
    <x v="0"/>
    <x v="18"/>
    <x v="0"/>
    <x v="0"/>
    <x v="1"/>
    <n v="36.369999999999997"/>
    <n v="36.369999999999997"/>
    <n v="36.369999999999997"/>
    <n v="2327.6799999999998"/>
    <n v="1818.5"/>
    <n v="1600.98"/>
    <n v="1600.98"/>
    <n v="1600.98"/>
    <n v="1600.98"/>
    <x v="0"/>
    <x v="0"/>
    <x v="0"/>
    <n v="0"/>
    <x v="0"/>
  </r>
  <r>
    <x v="102"/>
    <x v="93"/>
    <n v="10"/>
    <x v="4"/>
    <s v="4ºC"/>
    <x v="0"/>
    <s v="Mineral"/>
    <x v="1"/>
    <s v="3 - Parceria"/>
    <n v="24.31"/>
    <n v="24.31"/>
    <n v="0"/>
    <n v="24.31"/>
    <n v="1555.84"/>
    <n v="1215.5"/>
    <n v="0"/>
    <n v="1070.52"/>
    <x v="0"/>
    <x v="18"/>
    <x v="0"/>
    <x v="0"/>
    <x v="1"/>
    <n v="24.31"/>
    <n v="24.31"/>
    <n v="24.31"/>
    <n v="1555.84"/>
    <n v="1215.5"/>
    <n v="1070.52"/>
    <n v="1070.52"/>
    <n v="1070.52"/>
    <n v="1070.52"/>
    <x v="1"/>
    <x v="0"/>
    <x v="0"/>
    <n v="0"/>
    <x v="0"/>
  </r>
  <r>
    <x v="103"/>
    <x v="94"/>
    <n v="1"/>
    <x v="2"/>
    <s v="3ºC"/>
    <x v="0"/>
    <s v="Mineral"/>
    <x v="1"/>
    <s v="3 - Parceria"/>
    <n v="22.52"/>
    <n v="22.52"/>
    <n v="22.52"/>
    <n v="22.52"/>
    <n v="1351.2"/>
    <n v="540.48"/>
    <n v="698.12"/>
    <n v="658.96"/>
    <x v="0"/>
    <x v="0"/>
    <x v="0"/>
    <x v="0"/>
    <x v="0"/>
    <n v="22.52"/>
    <n v="22.52"/>
    <n v="22.52"/>
    <n v="1351.2"/>
    <n v="540.48"/>
    <n v="698.12"/>
    <n v="658.96"/>
    <n v="658.96"/>
    <n v="658.96"/>
    <x v="0"/>
    <x v="0"/>
    <x v="0"/>
    <n v="0"/>
    <x v="0"/>
  </r>
  <r>
    <x v="103"/>
    <x v="94"/>
    <n v="2"/>
    <x v="2"/>
    <s v="3ºC"/>
    <x v="0"/>
    <s v="Mineral"/>
    <x v="1"/>
    <s v="3 - Parceria"/>
    <n v="35.74"/>
    <n v="35.74"/>
    <n v="35.74"/>
    <n v="35.74"/>
    <n v="2144.4"/>
    <n v="857.76"/>
    <n v="1107.94"/>
    <n v="1046.56"/>
    <x v="0"/>
    <x v="0"/>
    <x v="0"/>
    <x v="0"/>
    <x v="0"/>
    <n v="35.74"/>
    <n v="35.74"/>
    <n v="35.74"/>
    <n v="2144.4"/>
    <n v="857.76"/>
    <n v="1107.94"/>
    <n v="1046.56"/>
    <n v="1046.56"/>
    <n v="1046.56"/>
    <x v="0"/>
    <x v="0"/>
    <x v="0"/>
    <n v="0"/>
    <x v="0"/>
  </r>
  <r>
    <x v="103"/>
    <x v="94"/>
    <n v="3"/>
    <x v="2"/>
    <s v="3ºC"/>
    <x v="0"/>
    <s v="Mineral"/>
    <x v="1"/>
    <s v="3 - Parceria"/>
    <n v="31.17"/>
    <n v="31.17"/>
    <n v="31.17"/>
    <n v="31.17"/>
    <n v="1870.2"/>
    <n v="1870.2"/>
    <n v="1246.8"/>
    <n v="1143.74"/>
    <x v="0"/>
    <x v="0"/>
    <x v="0"/>
    <x v="0"/>
    <x v="0"/>
    <n v="31.17"/>
    <n v="31.17"/>
    <n v="31.17"/>
    <n v="1870.2"/>
    <n v="1870.2"/>
    <n v="1246.8"/>
    <n v="1143.74"/>
    <n v="1143.74"/>
    <n v="1143.74"/>
    <x v="0"/>
    <x v="0"/>
    <x v="0"/>
    <n v="0"/>
    <x v="0"/>
  </r>
  <r>
    <x v="103"/>
    <x v="94"/>
    <n v="4"/>
    <x v="2"/>
    <s v="3ºC"/>
    <x v="0"/>
    <s v="Mineral"/>
    <x v="1"/>
    <s v="3 - Parceria"/>
    <n v="32.54"/>
    <n v="32.54"/>
    <n v="32.54"/>
    <n v="32.54"/>
    <n v="2277.8000000000002"/>
    <n v="780.96"/>
    <n v="780.96"/>
    <n v="1370.57"/>
    <x v="0"/>
    <x v="0"/>
    <x v="0"/>
    <x v="0"/>
    <x v="0"/>
    <n v="32.54"/>
    <n v="32.54"/>
    <n v="32.54"/>
    <n v="2277.8000000000002"/>
    <n v="780.96"/>
    <n v="780.96"/>
    <n v="1370.57"/>
    <n v="1370.57"/>
    <n v="1370.57"/>
    <x v="0"/>
    <x v="0"/>
    <x v="0"/>
    <n v="0"/>
    <x v="0"/>
  </r>
  <r>
    <x v="103"/>
    <x v="94"/>
    <n v="5"/>
    <x v="2"/>
    <s v="3ºC"/>
    <x v="0"/>
    <s v="Mineral"/>
    <x v="1"/>
    <s v="3 - Parceria"/>
    <n v="51.52"/>
    <n v="51.52"/>
    <n v="51.52"/>
    <n v="51.52"/>
    <n v="3606.4"/>
    <n v="3606.4"/>
    <n v="3400.32"/>
    <n v="1498.65"/>
    <x v="0"/>
    <x v="0"/>
    <x v="0"/>
    <x v="0"/>
    <x v="0"/>
    <n v="51.52"/>
    <n v="51.52"/>
    <n v="51.52"/>
    <n v="3606.4"/>
    <n v="3606.4"/>
    <n v="3400.32"/>
    <n v="1498.65"/>
    <n v="1498.65"/>
    <n v="1498.65"/>
    <x v="1"/>
    <x v="0"/>
    <x v="0"/>
    <n v="0"/>
    <x v="0"/>
  </r>
  <r>
    <x v="103"/>
    <x v="94"/>
    <n v="6"/>
    <x v="2"/>
    <s v="3ºC"/>
    <x v="0"/>
    <s v="Mineral"/>
    <x v="1"/>
    <s v="3 - Parceria"/>
    <n v="22.79"/>
    <n v="22.79"/>
    <n v="22.79"/>
    <n v="22.79"/>
    <n v="1595.3"/>
    <n v="1595.3"/>
    <n v="1595.3"/>
    <n v="659.55"/>
    <x v="0"/>
    <x v="0"/>
    <x v="0"/>
    <x v="0"/>
    <x v="0"/>
    <n v="22.79"/>
    <n v="22.79"/>
    <n v="22.79"/>
    <n v="1595.3"/>
    <n v="1595.3"/>
    <n v="1595.3"/>
    <n v="659.55"/>
    <n v="659.55"/>
    <n v="659.55"/>
    <x v="1"/>
    <x v="0"/>
    <x v="0"/>
    <n v="0"/>
    <x v="0"/>
  </r>
  <r>
    <x v="103"/>
    <x v="94"/>
    <n v="7"/>
    <x v="2"/>
    <s v="3ºC"/>
    <x v="0"/>
    <s v="Mineral"/>
    <x v="1"/>
    <s v="3 - Parceria"/>
    <n v="3.7"/>
    <n v="0"/>
    <n v="0"/>
    <n v="3.7"/>
    <n v="259"/>
    <n v="0"/>
    <n v="0"/>
    <n v="132.69"/>
    <x v="0"/>
    <x v="6"/>
    <x v="0"/>
    <x v="1"/>
    <x v="1"/>
    <n v="3.7"/>
    <n v="3.7"/>
    <n v="3.7"/>
    <n v="259"/>
    <n v="132.69"/>
    <n v="132.69"/>
    <n v="132.69"/>
    <n v="132.69"/>
    <n v="132.69"/>
    <x v="0"/>
    <x v="0"/>
    <x v="0"/>
    <n v="0"/>
    <x v="0"/>
  </r>
  <r>
    <x v="103"/>
    <x v="94"/>
    <n v="8"/>
    <x v="2"/>
    <s v="3ºC"/>
    <x v="0"/>
    <s v="Mineral"/>
    <x v="1"/>
    <s v="3 - Parceria"/>
    <n v="23.2"/>
    <n v="0"/>
    <n v="0"/>
    <n v="23.2"/>
    <n v="1624"/>
    <n v="0"/>
    <n v="0"/>
    <n v="832.12"/>
    <x v="0"/>
    <x v="6"/>
    <x v="0"/>
    <x v="1"/>
    <x v="1"/>
    <n v="23.2"/>
    <n v="23.2"/>
    <n v="23.2"/>
    <n v="1624"/>
    <n v="832.12"/>
    <n v="832.12"/>
    <n v="832.12"/>
    <n v="832.12"/>
    <n v="832.12"/>
    <x v="0"/>
    <x v="0"/>
    <x v="0"/>
    <n v="0"/>
    <x v="0"/>
  </r>
  <r>
    <x v="103"/>
    <x v="94"/>
    <n v="9"/>
    <x v="2"/>
    <s v="3ºC"/>
    <x v="0"/>
    <s v="Mineral"/>
    <x v="1"/>
    <s v="3 - Parceria"/>
    <n v="25.43"/>
    <n v="25.43"/>
    <n v="25.43"/>
    <n v="25.43"/>
    <n v="1780.1"/>
    <n v="1780.1"/>
    <n v="1678.38"/>
    <n v="739.6"/>
    <x v="0"/>
    <x v="0"/>
    <x v="0"/>
    <x v="0"/>
    <x v="0"/>
    <n v="25.43"/>
    <n v="25.43"/>
    <n v="25.43"/>
    <n v="1780.1"/>
    <n v="1780.1"/>
    <n v="1678.38"/>
    <n v="739.6"/>
    <n v="739.6"/>
    <n v="739.6"/>
    <x v="1"/>
    <x v="0"/>
    <x v="0"/>
    <n v="0"/>
    <x v="0"/>
  </r>
  <r>
    <x v="103"/>
    <x v="94"/>
    <n v="10"/>
    <x v="2"/>
    <s v="3ºC"/>
    <x v="0"/>
    <s v="Mineral"/>
    <x v="1"/>
    <s v="3 - Parceria"/>
    <n v="10.94"/>
    <n v="10.94"/>
    <n v="10.94"/>
    <n v="10.94"/>
    <n v="765.8"/>
    <n v="765.8"/>
    <n v="722.04"/>
    <n v="318.2"/>
    <x v="0"/>
    <x v="0"/>
    <x v="0"/>
    <x v="0"/>
    <x v="0"/>
    <n v="10.94"/>
    <n v="10.94"/>
    <n v="10.94"/>
    <n v="765.8"/>
    <n v="765.8"/>
    <n v="722.04"/>
    <n v="318.2"/>
    <n v="318.2"/>
    <n v="318.2"/>
    <x v="1"/>
    <x v="0"/>
    <x v="0"/>
    <n v="0"/>
    <x v="0"/>
  </r>
  <r>
    <x v="103"/>
    <x v="94"/>
    <n v="11"/>
    <x v="2"/>
    <s v="3ºC"/>
    <x v="0"/>
    <s v="Mineral"/>
    <x v="1"/>
    <s v="3 - Parceria"/>
    <n v="27.5"/>
    <n v="27.5"/>
    <n v="27.5"/>
    <n v="27.5"/>
    <n v="1925"/>
    <n v="1925"/>
    <n v="1925"/>
    <n v="887.95"/>
    <x v="0"/>
    <x v="0"/>
    <x v="0"/>
    <x v="0"/>
    <x v="0"/>
    <n v="27.5"/>
    <n v="27.5"/>
    <n v="27.5"/>
    <n v="1925"/>
    <n v="1925"/>
    <n v="1925"/>
    <n v="887.95"/>
    <n v="887.95"/>
    <n v="887.95"/>
    <x v="0"/>
    <x v="0"/>
    <x v="0"/>
    <n v="0"/>
    <x v="0"/>
  </r>
  <r>
    <x v="103"/>
    <x v="94"/>
    <n v="12"/>
    <x v="2"/>
    <s v="3ºC"/>
    <x v="0"/>
    <s v="Mineral"/>
    <x v="1"/>
    <s v="3 - Parceria"/>
    <n v="40.630000000000003"/>
    <n v="0"/>
    <n v="0"/>
    <n v="40.630000000000003"/>
    <n v="2844.1"/>
    <n v="0"/>
    <n v="0"/>
    <n v="1369.82"/>
    <x v="0"/>
    <x v="6"/>
    <x v="0"/>
    <x v="1"/>
    <x v="1"/>
    <n v="40.630000000000003"/>
    <n v="40.630000000000003"/>
    <n v="40.630000000000003"/>
    <n v="2844.1"/>
    <n v="1369.82"/>
    <n v="1369.82"/>
    <n v="1369.82"/>
    <n v="1369.82"/>
    <n v="1369.82"/>
    <x v="0"/>
    <x v="0"/>
    <x v="0"/>
    <n v="0"/>
    <x v="0"/>
  </r>
  <r>
    <x v="103"/>
    <x v="94"/>
    <n v="13"/>
    <x v="2"/>
    <s v="3ºC"/>
    <x v="0"/>
    <s v="Mineral"/>
    <x v="1"/>
    <s v="3 - Parceria"/>
    <n v="5.45"/>
    <n v="0"/>
    <n v="0"/>
    <n v="5.45"/>
    <n v="381.5"/>
    <n v="0"/>
    <n v="0"/>
    <n v="183.95"/>
    <x v="0"/>
    <x v="6"/>
    <x v="0"/>
    <x v="1"/>
    <x v="1"/>
    <n v="5.45"/>
    <n v="5.45"/>
    <n v="5.45"/>
    <n v="381.5"/>
    <n v="183.95"/>
    <n v="183.95"/>
    <n v="183.95"/>
    <n v="183.95"/>
    <n v="183.95"/>
    <x v="0"/>
    <x v="0"/>
    <x v="0"/>
    <n v="0"/>
    <x v="0"/>
  </r>
  <r>
    <x v="103"/>
    <x v="94"/>
    <n v="14"/>
    <x v="2"/>
    <s v="3ºC"/>
    <x v="0"/>
    <s v="Mineral"/>
    <x v="1"/>
    <s v="3 - Parceria"/>
    <n v="29.54"/>
    <n v="0"/>
    <n v="0"/>
    <n v="29.54"/>
    <n v="2067.8000000000002"/>
    <n v="0"/>
    <n v="0"/>
    <n v="996.24"/>
    <x v="0"/>
    <x v="6"/>
    <x v="0"/>
    <x v="1"/>
    <x v="1"/>
    <n v="29.54"/>
    <n v="29.54"/>
    <n v="29.54"/>
    <n v="2067.8000000000002"/>
    <n v="996.24"/>
    <n v="996.24"/>
    <n v="996.24"/>
    <n v="996.24"/>
    <n v="996.24"/>
    <x v="0"/>
    <x v="0"/>
    <x v="0"/>
    <n v="0"/>
    <x v="0"/>
  </r>
  <r>
    <x v="104"/>
    <x v="49"/>
    <n v="1"/>
    <x v="0"/>
    <s v="6ºC"/>
    <x v="0"/>
    <s v="Mineral"/>
    <x v="8"/>
    <s v="3 - Parceria"/>
    <n v="4.3899999999999997"/>
    <n v="0"/>
    <n v="0"/>
    <n v="4.3899999999999997"/>
    <n v="131.69999999999999"/>
    <n v="0"/>
    <n v="0"/>
    <n v="165.03"/>
    <x v="0"/>
    <x v="16"/>
    <x v="0"/>
    <x v="1"/>
    <x v="1"/>
    <n v="4.3899999999999997"/>
    <n v="4.3899999999999997"/>
    <n v="4.3899999999999997"/>
    <n v="131.69999999999999"/>
    <n v="165.03"/>
    <n v="165.03"/>
    <n v="165.03"/>
    <n v="165.03"/>
    <n v="165.03"/>
    <x v="1"/>
    <x v="0"/>
    <x v="0"/>
    <n v="0"/>
    <x v="0"/>
  </r>
  <r>
    <x v="104"/>
    <x v="49"/>
    <n v="2"/>
    <x v="0"/>
    <s v="6ºC"/>
    <x v="0"/>
    <s v="Mineral"/>
    <x v="8"/>
    <s v="3 - Parceria"/>
    <n v="13.03"/>
    <n v="0"/>
    <n v="0"/>
    <n v="13.03"/>
    <n v="390.9"/>
    <n v="0"/>
    <n v="0"/>
    <n v="488.9"/>
    <x v="0"/>
    <x v="16"/>
    <x v="0"/>
    <x v="1"/>
    <x v="1"/>
    <n v="13.03"/>
    <n v="13.03"/>
    <n v="13.03"/>
    <n v="390.9"/>
    <n v="488.9"/>
    <n v="488.9"/>
    <n v="488.9"/>
    <n v="488.9"/>
    <n v="488.9"/>
    <x v="1"/>
    <x v="0"/>
    <x v="0"/>
    <n v="0"/>
    <x v="0"/>
  </r>
  <r>
    <x v="104"/>
    <x v="49"/>
    <n v="3"/>
    <x v="0"/>
    <s v="6ºC"/>
    <x v="0"/>
    <s v="Mineral"/>
    <x v="8"/>
    <s v="3 - Parceria"/>
    <n v="19.350000000000001"/>
    <n v="0"/>
    <n v="0"/>
    <n v="19.350000000000001"/>
    <n v="580.5"/>
    <n v="0"/>
    <n v="0"/>
    <n v="726.49"/>
    <x v="0"/>
    <x v="16"/>
    <x v="0"/>
    <x v="1"/>
    <x v="1"/>
    <n v="19.350000000000001"/>
    <n v="19.350000000000001"/>
    <n v="19.350000000000001"/>
    <n v="580.5"/>
    <n v="726.49"/>
    <n v="726.49"/>
    <n v="726.49"/>
    <n v="726.49"/>
    <n v="726.49"/>
    <x v="1"/>
    <x v="0"/>
    <x v="0"/>
    <n v="0"/>
    <x v="0"/>
  </r>
  <r>
    <x v="104"/>
    <x v="49"/>
    <n v="4"/>
    <x v="0"/>
    <s v="6ºC"/>
    <x v="0"/>
    <s v="Mineral"/>
    <x v="8"/>
    <s v="3 - Parceria"/>
    <n v="7.88"/>
    <n v="0"/>
    <n v="0"/>
    <n v="7.88"/>
    <n v="394"/>
    <n v="0"/>
    <n v="0"/>
    <n v="492.76"/>
    <x v="0"/>
    <x v="16"/>
    <x v="0"/>
    <x v="1"/>
    <x v="1"/>
    <n v="7.88"/>
    <n v="7.88"/>
    <n v="7.88"/>
    <n v="394"/>
    <n v="492.76"/>
    <n v="492.76"/>
    <n v="492.76"/>
    <n v="492.76"/>
    <n v="492.76"/>
    <x v="1"/>
    <x v="0"/>
    <x v="0"/>
    <n v="0"/>
    <x v="0"/>
  </r>
  <r>
    <x v="104"/>
    <x v="49"/>
    <n v="5"/>
    <x v="0"/>
    <s v="6ºC"/>
    <x v="0"/>
    <s v="Mineral"/>
    <x v="8"/>
    <s v="3 - Parceria"/>
    <n v="14.92"/>
    <n v="0"/>
    <n v="0"/>
    <n v="14.92"/>
    <n v="746"/>
    <n v="0"/>
    <n v="0"/>
    <n v="620.64"/>
    <x v="0"/>
    <x v="16"/>
    <x v="0"/>
    <x v="1"/>
    <x v="1"/>
    <n v="14.92"/>
    <n v="14.92"/>
    <n v="14.92"/>
    <n v="746"/>
    <n v="620.64"/>
    <n v="620.64"/>
    <n v="620.64"/>
    <n v="620.64"/>
    <n v="620.64"/>
    <x v="1"/>
    <x v="0"/>
    <x v="0"/>
    <n v="0"/>
    <x v="0"/>
  </r>
  <r>
    <x v="104"/>
    <x v="49"/>
    <n v="6"/>
    <x v="0"/>
    <s v="6ºC"/>
    <x v="0"/>
    <s v="Mineral"/>
    <x v="8"/>
    <s v="3 - Parceria"/>
    <n v="12.52"/>
    <n v="0"/>
    <n v="0"/>
    <n v="12.52"/>
    <n v="626"/>
    <n v="0"/>
    <n v="0"/>
    <n v="520.27"/>
    <x v="0"/>
    <x v="16"/>
    <x v="0"/>
    <x v="1"/>
    <x v="1"/>
    <n v="12.52"/>
    <n v="12.52"/>
    <n v="12.52"/>
    <n v="626"/>
    <n v="520.27"/>
    <n v="520.27"/>
    <n v="520.27"/>
    <n v="520.27"/>
    <n v="520.27"/>
    <x v="1"/>
    <x v="0"/>
    <x v="0"/>
    <n v="0"/>
    <x v="0"/>
  </r>
  <r>
    <x v="104"/>
    <x v="49"/>
    <n v="7"/>
    <x v="0"/>
    <s v="6ºC"/>
    <x v="0"/>
    <s v="Mineral"/>
    <x v="8"/>
    <s v="3 - Parceria"/>
    <n v="13.79"/>
    <n v="0"/>
    <n v="0"/>
    <n v="13.79"/>
    <n v="689.5"/>
    <n v="0"/>
    <n v="0"/>
    <n v="573.65"/>
    <x v="0"/>
    <x v="16"/>
    <x v="0"/>
    <x v="1"/>
    <x v="1"/>
    <n v="13.79"/>
    <n v="13.79"/>
    <n v="13.79"/>
    <n v="689.5"/>
    <n v="573.65"/>
    <n v="573.65"/>
    <n v="573.65"/>
    <n v="573.65"/>
    <n v="573.65"/>
    <x v="1"/>
    <x v="0"/>
    <x v="0"/>
    <n v="0"/>
    <x v="0"/>
  </r>
  <r>
    <x v="104"/>
    <x v="49"/>
    <n v="8"/>
    <x v="0"/>
    <s v="6ºC"/>
    <x v="0"/>
    <s v="Mineral"/>
    <x v="8"/>
    <s v="3 - Parceria"/>
    <n v="17.77"/>
    <n v="0"/>
    <n v="0"/>
    <n v="17.77"/>
    <n v="888.5"/>
    <n v="0"/>
    <n v="0"/>
    <n v="739.48"/>
    <x v="0"/>
    <x v="16"/>
    <x v="0"/>
    <x v="1"/>
    <x v="1"/>
    <n v="17.77"/>
    <n v="17.77"/>
    <n v="17.77"/>
    <n v="888.5"/>
    <n v="739.48"/>
    <n v="739.48"/>
    <n v="739.48"/>
    <n v="739.48"/>
    <n v="739.48"/>
    <x v="1"/>
    <x v="0"/>
    <x v="0"/>
    <n v="0"/>
    <x v="0"/>
  </r>
  <r>
    <x v="104"/>
    <x v="49"/>
    <n v="9"/>
    <x v="0"/>
    <s v="6ºC"/>
    <x v="0"/>
    <s v="Mineral"/>
    <x v="8"/>
    <s v="3 - Parceria"/>
    <n v="18.32"/>
    <n v="0"/>
    <n v="0"/>
    <n v="18.32"/>
    <n v="916"/>
    <n v="0"/>
    <n v="0"/>
    <n v="762.07"/>
    <x v="0"/>
    <x v="16"/>
    <x v="0"/>
    <x v="1"/>
    <x v="1"/>
    <n v="18.32"/>
    <n v="18.32"/>
    <n v="18.32"/>
    <n v="916"/>
    <n v="762.07"/>
    <n v="762.07"/>
    <n v="762.07"/>
    <n v="762.07"/>
    <n v="762.07"/>
    <x v="1"/>
    <x v="0"/>
    <x v="0"/>
    <n v="0"/>
    <x v="0"/>
  </r>
  <r>
    <x v="104"/>
    <x v="49"/>
    <n v="10"/>
    <x v="0"/>
    <s v="6ºC"/>
    <x v="0"/>
    <s v="Mineral"/>
    <x v="8"/>
    <s v="3 - Parceria"/>
    <n v="18.48"/>
    <n v="0"/>
    <n v="0"/>
    <n v="18.48"/>
    <n v="924"/>
    <n v="0"/>
    <n v="0"/>
    <n v="768.75"/>
    <x v="0"/>
    <x v="16"/>
    <x v="0"/>
    <x v="1"/>
    <x v="1"/>
    <n v="18.48"/>
    <n v="18.48"/>
    <n v="18.48"/>
    <n v="924"/>
    <n v="768.75"/>
    <n v="768.75"/>
    <n v="768.75"/>
    <n v="768.75"/>
    <n v="768.75"/>
    <x v="1"/>
    <x v="0"/>
    <x v="0"/>
    <n v="0"/>
    <x v="0"/>
  </r>
  <r>
    <x v="104"/>
    <x v="49"/>
    <n v="11"/>
    <x v="0"/>
    <s v="6ºC"/>
    <x v="0"/>
    <s v="Mineral"/>
    <x v="8"/>
    <s v="3 - Parceria"/>
    <n v="7.67"/>
    <n v="0"/>
    <n v="0"/>
    <n v="7.67"/>
    <n v="383.5"/>
    <n v="0"/>
    <n v="0"/>
    <n v="319.52"/>
    <x v="0"/>
    <x v="16"/>
    <x v="0"/>
    <x v="1"/>
    <x v="1"/>
    <n v="7.67"/>
    <n v="7.67"/>
    <n v="7.67"/>
    <n v="383.5"/>
    <n v="319.52"/>
    <n v="319.52"/>
    <n v="319.52"/>
    <n v="319.52"/>
    <n v="319.52"/>
    <x v="1"/>
    <x v="0"/>
    <x v="0"/>
    <n v="0"/>
    <x v="0"/>
  </r>
  <r>
    <x v="104"/>
    <x v="49"/>
    <n v="12"/>
    <x v="0"/>
    <s v="6ºC"/>
    <x v="0"/>
    <s v="Mineral"/>
    <x v="8"/>
    <s v="3 - Parceria"/>
    <n v="2.71"/>
    <n v="0"/>
    <n v="0"/>
    <n v="2.71"/>
    <n v="135.5"/>
    <n v="0"/>
    <n v="0"/>
    <n v="113.38"/>
    <x v="0"/>
    <x v="16"/>
    <x v="0"/>
    <x v="1"/>
    <x v="1"/>
    <n v="2.71"/>
    <n v="2.71"/>
    <n v="2.71"/>
    <n v="135.5"/>
    <n v="113.38"/>
    <n v="113.38"/>
    <n v="113.38"/>
    <n v="113.38"/>
    <n v="113.38"/>
    <x v="1"/>
    <x v="0"/>
    <x v="0"/>
    <n v="0"/>
    <x v="0"/>
  </r>
  <r>
    <x v="104"/>
    <x v="49"/>
    <n v="13"/>
    <x v="0"/>
    <s v="6ºC"/>
    <x v="0"/>
    <s v="Mineral"/>
    <x v="8"/>
    <s v="3 - Parceria"/>
    <n v="1.86"/>
    <n v="0"/>
    <n v="0"/>
    <n v="1.86"/>
    <n v="93"/>
    <n v="0"/>
    <n v="0"/>
    <n v="77.209999999999994"/>
    <x v="0"/>
    <x v="16"/>
    <x v="0"/>
    <x v="1"/>
    <x v="1"/>
    <n v="1.86"/>
    <n v="1.86"/>
    <n v="1.86"/>
    <n v="93"/>
    <n v="77.209999999999994"/>
    <n v="77.209999999999994"/>
    <n v="77.209999999999994"/>
    <n v="77.209999999999994"/>
    <n v="77.209999999999994"/>
    <x v="1"/>
    <x v="0"/>
    <x v="0"/>
    <n v="0"/>
    <x v="0"/>
  </r>
  <r>
    <x v="104"/>
    <x v="49"/>
    <n v="14"/>
    <x v="6"/>
    <s v="5ºC"/>
    <x v="0"/>
    <s v="Mineral"/>
    <x v="8"/>
    <s v="3 - Parceria"/>
    <n v="12.7"/>
    <n v="0"/>
    <n v="0"/>
    <n v="12.7"/>
    <n v="635"/>
    <n v="0"/>
    <n v="0"/>
    <n v="528.22"/>
    <x v="0"/>
    <x v="16"/>
    <x v="0"/>
    <x v="1"/>
    <x v="1"/>
    <n v="12.7"/>
    <n v="12.7"/>
    <n v="12.7"/>
    <n v="635"/>
    <n v="528.22"/>
    <n v="528.22"/>
    <n v="528.22"/>
    <n v="528.22"/>
    <n v="528.22"/>
    <x v="1"/>
    <x v="0"/>
    <x v="0"/>
    <n v="0"/>
    <x v="0"/>
  </r>
  <r>
    <x v="104"/>
    <x v="49"/>
    <n v="15"/>
    <x v="6"/>
    <s v="5ºC"/>
    <x v="0"/>
    <s v="Mineral"/>
    <x v="8"/>
    <s v="3 - Parceria"/>
    <n v="1.7"/>
    <n v="0"/>
    <n v="0"/>
    <n v="1.7"/>
    <n v="85"/>
    <n v="0"/>
    <n v="0"/>
    <n v="71.849999999999994"/>
    <x v="0"/>
    <x v="16"/>
    <x v="0"/>
    <x v="1"/>
    <x v="1"/>
    <n v="1.7"/>
    <n v="1.7"/>
    <n v="1.7"/>
    <n v="85"/>
    <n v="71.849999999999994"/>
    <n v="71.849999999999994"/>
    <n v="71.849999999999994"/>
    <n v="71.849999999999994"/>
    <n v="71.849999999999994"/>
    <x v="1"/>
    <x v="0"/>
    <x v="0"/>
    <n v="0"/>
    <x v="0"/>
  </r>
  <r>
    <x v="105"/>
    <x v="95"/>
    <n v="1"/>
    <x v="5"/>
    <s v="2ºC"/>
    <x v="0"/>
    <s v="Mineral"/>
    <x v="13"/>
    <s v="3 - Parceria"/>
    <n v="25.68"/>
    <n v="25.68"/>
    <n v="0"/>
    <n v="25.68"/>
    <n v="1848.96"/>
    <n v="1797.6"/>
    <n v="0"/>
    <n v="1698.48"/>
    <x v="0"/>
    <x v="17"/>
    <x v="0"/>
    <x v="0"/>
    <x v="1"/>
    <n v="25.68"/>
    <n v="25.68"/>
    <n v="25.68"/>
    <n v="1848.96"/>
    <n v="1797.6"/>
    <n v="1698.48"/>
    <n v="1698.48"/>
    <n v="1698.48"/>
    <n v="1698.48"/>
    <x v="0"/>
    <x v="0"/>
    <x v="0"/>
    <n v="0"/>
    <x v="0"/>
  </r>
  <r>
    <x v="105"/>
    <x v="95"/>
    <n v="6"/>
    <x v="6"/>
    <s v="5ºC"/>
    <x v="0"/>
    <s v="Mineral"/>
    <x v="8"/>
    <s v="3 - Parceria"/>
    <n v="19.899999999999999"/>
    <n v="19.899999999999999"/>
    <n v="0"/>
    <n v="19.899999999999999"/>
    <n v="995"/>
    <n v="398"/>
    <n v="0"/>
    <n v="606.16999999999996"/>
    <x v="0"/>
    <x v="7"/>
    <x v="0"/>
    <x v="0"/>
    <x v="1"/>
    <n v="19.899999999999999"/>
    <n v="19.899999999999999"/>
    <n v="19.899999999999999"/>
    <n v="995"/>
    <n v="398"/>
    <n v="606.16999999999996"/>
    <n v="606.16999999999996"/>
    <n v="606.16999999999996"/>
    <n v="606.16999999999996"/>
    <x v="0"/>
    <x v="0"/>
    <x v="0"/>
    <n v="0"/>
    <x v="0"/>
  </r>
  <r>
    <x v="105"/>
    <x v="95"/>
    <n v="7"/>
    <x v="6"/>
    <s v="5ºC"/>
    <x v="0"/>
    <s v="Mineral"/>
    <x v="8"/>
    <s v="3 - Parceria"/>
    <n v="20.64"/>
    <n v="20.64"/>
    <n v="0"/>
    <n v="20.64"/>
    <n v="1032"/>
    <n v="412.8"/>
    <n v="0"/>
    <n v="629.02"/>
    <x v="0"/>
    <x v="7"/>
    <x v="0"/>
    <x v="0"/>
    <x v="1"/>
    <n v="20.64"/>
    <n v="20.64"/>
    <n v="20.64"/>
    <n v="1032"/>
    <n v="412.8"/>
    <n v="629.02"/>
    <n v="629.02"/>
    <n v="629.02"/>
    <n v="629.02"/>
    <x v="0"/>
    <x v="0"/>
    <x v="0"/>
    <n v="0"/>
    <x v="0"/>
  </r>
  <r>
    <x v="105"/>
    <x v="95"/>
    <n v="8"/>
    <x v="6"/>
    <s v="5ºC"/>
    <x v="0"/>
    <s v="Mineral"/>
    <x v="8"/>
    <s v="3 - Parceria"/>
    <n v="14.4"/>
    <n v="14.4"/>
    <n v="0"/>
    <n v="14.4"/>
    <n v="720"/>
    <n v="288"/>
    <n v="0"/>
    <n v="438.62"/>
    <x v="0"/>
    <x v="7"/>
    <x v="0"/>
    <x v="0"/>
    <x v="1"/>
    <n v="14.4"/>
    <n v="14.4"/>
    <n v="14.4"/>
    <n v="720"/>
    <n v="288"/>
    <n v="438.62"/>
    <n v="438.62"/>
    <n v="438.62"/>
    <n v="438.62"/>
    <x v="0"/>
    <x v="0"/>
    <x v="0"/>
    <n v="0"/>
    <x v="0"/>
  </r>
  <r>
    <x v="105"/>
    <x v="95"/>
    <n v="9"/>
    <x v="6"/>
    <s v="5ºC"/>
    <x v="0"/>
    <s v="Mineral"/>
    <x v="8"/>
    <s v="3 - Parceria"/>
    <n v="1.32"/>
    <n v="1.32"/>
    <n v="0"/>
    <n v="1.32"/>
    <n v="66"/>
    <n v="26.4"/>
    <n v="0"/>
    <n v="39.53"/>
    <x v="0"/>
    <x v="7"/>
    <x v="0"/>
    <x v="0"/>
    <x v="1"/>
    <n v="1.32"/>
    <n v="1.32"/>
    <n v="1.32"/>
    <n v="66"/>
    <n v="26.4"/>
    <n v="39.53"/>
    <n v="39.53"/>
    <n v="39.53"/>
    <n v="39.53"/>
    <x v="0"/>
    <x v="0"/>
    <x v="0"/>
    <n v="0"/>
    <x v="0"/>
  </r>
  <r>
    <x v="105"/>
    <x v="95"/>
    <n v="10"/>
    <x v="6"/>
    <s v="5ºC"/>
    <x v="0"/>
    <s v="Mineral"/>
    <x v="8"/>
    <s v="3 - Parceria"/>
    <n v="31.53"/>
    <n v="31.53"/>
    <n v="0"/>
    <n v="31.53"/>
    <n v="1576.5"/>
    <n v="630.6"/>
    <n v="0"/>
    <n v="961.08"/>
    <x v="0"/>
    <x v="7"/>
    <x v="0"/>
    <x v="0"/>
    <x v="1"/>
    <n v="31.53"/>
    <n v="31.53"/>
    <n v="31.53"/>
    <n v="1576.5"/>
    <n v="630.6"/>
    <n v="961.08"/>
    <n v="961.08"/>
    <n v="961.08"/>
    <n v="961.08"/>
    <x v="0"/>
    <x v="0"/>
    <x v="0"/>
    <n v="0"/>
    <x v="0"/>
  </r>
  <r>
    <x v="105"/>
    <x v="95"/>
    <n v="11"/>
    <x v="6"/>
    <s v="5ºC"/>
    <x v="0"/>
    <s v="Mineral"/>
    <x v="8"/>
    <s v="3 - Parceria"/>
    <n v="20.02"/>
    <n v="20.02"/>
    <n v="0"/>
    <n v="20.02"/>
    <n v="1001"/>
    <n v="400.4"/>
    <n v="0"/>
    <n v="609.22"/>
    <x v="0"/>
    <x v="7"/>
    <x v="0"/>
    <x v="0"/>
    <x v="1"/>
    <n v="20.02"/>
    <n v="20.02"/>
    <n v="20.02"/>
    <n v="1001"/>
    <n v="400.4"/>
    <n v="609.22"/>
    <n v="609.22"/>
    <n v="609.22"/>
    <n v="609.22"/>
    <x v="0"/>
    <x v="0"/>
    <x v="0"/>
    <n v="0"/>
    <x v="0"/>
  </r>
  <r>
    <x v="105"/>
    <x v="95"/>
    <n v="12"/>
    <x v="6"/>
    <s v="5ºC"/>
    <x v="0"/>
    <s v="Mineral"/>
    <x v="8"/>
    <s v="3 - Parceria"/>
    <n v="46.46"/>
    <n v="46.46"/>
    <n v="0"/>
    <n v="46.46"/>
    <n v="2323"/>
    <n v="929.2"/>
    <n v="0"/>
    <n v="1415.01"/>
    <x v="0"/>
    <x v="7"/>
    <x v="0"/>
    <x v="0"/>
    <x v="1"/>
    <n v="46.46"/>
    <n v="46.46"/>
    <n v="46.46"/>
    <n v="2323"/>
    <n v="929.2"/>
    <n v="1415.01"/>
    <n v="1415.01"/>
    <n v="1415.01"/>
    <n v="1415.01"/>
    <x v="0"/>
    <x v="0"/>
    <x v="0"/>
    <n v="0"/>
    <x v="0"/>
  </r>
  <r>
    <x v="105"/>
    <x v="95"/>
    <n v="13"/>
    <x v="6"/>
    <s v="5ºC"/>
    <x v="0"/>
    <s v="Mineral"/>
    <x v="8"/>
    <s v="3 - Parceria"/>
    <n v="2.97"/>
    <n v="2.97"/>
    <n v="0"/>
    <n v="2.97"/>
    <n v="148.5"/>
    <n v="59.4"/>
    <n v="0"/>
    <n v="89.79"/>
    <x v="0"/>
    <x v="7"/>
    <x v="0"/>
    <x v="0"/>
    <x v="1"/>
    <n v="2.97"/>
    <n v="2.97"/>
    <n v="2.97"/>
    <n v="148.5"/>
    <n v="59.4"/>
    <n v="89.79"/>
    <n v="89.79"/>
    <n v="89.79"/>
    <n v="89.79"/>
    <x v="0"/>
    <x v="0"/>
    <x v="0"/>
    <n v="0"/>
    <x v="0"/>
  </r>
  <r>
    <x v="105"/>
    <x v="95"/>
    <n v="14"/>
    <x v="6"/>
    <s v="5ºC"/>
    <x v="0"/>
    <s v="Mineral"/>
    <x v="8"/>
    <s v="3 - Parceria"/>
    <n v="34.64"/>
    <n v="34.64"/>
    <n v="0"/>
    <n v="34.64"/>
    <n v="1732"/>
    <n v="692.8"/>
    <n v="0"/>
    <n v="898.75"/>
    <x v="0"/>
    <x v="13"/>
    <x v="0"/>
    <x v="0"/>
    <x v="1"/>
    <n v="34.64"/>
    <n v="34.64"/>
    <n v="34.64"/>
    <n v="1732"/>
    <n v="692.8"/>
    <n v="898.75"/>
    <n v="898.75"/>
    <n v="898.75"/>
    <n v="898.75"/>
    <x v="0"/>
    <x v="0"/>
    <x v="0"/>
    <n v="0"/>
    <x v="0"/>
  </r>
  <r>
    <x v="105"/>
    <x v="95"/>
    <n v="15"/>
    <x v="6"/>
    <s v="5ºC"/>
    <x v="0"/>
    <s v="Mineral"/>
    <x v="8"/>
    <s v="3 - Parceria"/>
    <n v="34.06"/>
    <n v="34.06"/>
    <n v="0"/>
    <n v="34.06"/>
    <n v="1703"/>
    <n v="1703"/>
    <n v="0"/>
    <n v="1788.86"/>
    <x v="0"/>
    <x v="13"/>
    <x v="0"/>
    <x v="0"/>
    <x v="1"/>
    <n v="34.06"/>
    <n v="34.06"/>
    <n v="34.06"/>
    <n v="1703"/>
    <n v="1703"/>
    <n v="1788.86"/>
    <n v="1788.86"/>
    <n v="1788.86"/>
    <n v="1788.86"/>
    <x v="1"/>
    <x v="0"/>
    <x v="0"/>
    <n v="0"/>
    <x v="0"/>
  </r>
  <r>
    <x v="105"/>
    <x v="95"/>
    <n v="16"/>
    <x v="6"/>
    <s v="5ºC"/>
    <x v="0"/>
    <s v="Mineral"/>
    <x v="8"/>
    <s v="3 - Parceria"/>
    <n v="29.39"/>
    <n v="29.39"/>
    <n v="29.39"/>
    <n v="29.39"/>
    <n v="1469.5"/>
    <n v="1469.5"/>
    <n v="1469.5"/>
    <n v="1162.55"/>
    <x v="0"/>
    <x v="19"/>
    <x v="0"/>
    <x v="0"/>
    <x v="0"/>
    <n v="29.39"/>
    <n v="29.39"/>
    <n v="29.39"/>
    <n v="1469.5"/>
    <n v="1469.5"/>
    <n v="1469.5"/>
    <n v="1162.55"/>
    <n v="1162.55"/>
    <n v="1162.55"/>
    <x v="1"/>
    <x v="0"/>
    <x v="0"/>
    <n v="0"/>
    <x v="0"/>
  </r>
  <r>
    <x v="105"/>
    <x v="95"/>
    <n v="17"/>
    <x v="6"/>
    <s v="5ºC"/>
    <x v="0"/>
    <s v="Mineral"/>
    <x v="8"/>
    <s v="3 - Parceria"/>
    <n v="44.97"/>
    <n v="44.97"/>
    <n v="44.97"/>
    <n v="44.97"/>
    <n v="2248.5"/>
    <n v="2248.5"/>
    <n v="2248.5"/>
    <n v="1778.67"/>
    <x v="0"/>
    <x v="19"/>
    <x v="0"/>
    <x v="0"/>
    <x v="0"/>
    <n v="44.97"/>
    <n v="44.97"/>
    <n v="44.97"/>
    <n v="2248.5"/>
    <n v="2248.5"/>
    <n v="2248.5"/>
    <n v="1778.67"/>
    <n v="1778.67"/>
    <n v="1778.67"/>
    <x v="1"/>
    <x v="0"/>
    <x v="0"/>
    <n v="0"/>
    <x v="0"/>
  </r>
  <r>
    <x v="105"/>
    <x v="95"/>
    <n v="18"/>
    <x v="6"/>
    <s v="5ºC"/>
    <x v="0"/>
    <s v="Mineral"/>
    <x v="8"/>
    <s v="3 - Parceria"/>
    <n v="12.04"/>
    <n v="12.04"/>
    <n v="12.04"/>
    <n v="12.04"/>
    <n v="602"/>
    <n v="602"/>
    <n v="602"/>
    <n v="476.05"/>
    <x v="0"/>
    <x v="19"/>
    <x v="0"/>
    <x v="0"/>
    <x v="0"/>
    <n v="12.04"/>
    <n v="12.04"/>
    <n v="12.04"/>
    <n v="602"/>
    <n v="602"/>
    <n v="602"/>
    <n v="476.05"/>
    <n v="476.05"/>
    <n v="476.05"/>
    <x v="1"/>
    <x v="0"/>
    <x v="0"/>
    <n v="0"/>
    <x v="0"/>
  </r>
  <r>
    <x v="105"/>
    <x v="95"/>
    <n v="19"/>
    <x v="6"/>
    <s v="5ºC"/>
    <x v="0"/>
    <s v="Mineral"/>
    <x v="8"/>
    <s v="3 - Parceria"/>
    <n v="9.51"/>
    <n v="9.51"/>
    <n v="9.51"/>
    <n v="9.51"/>
    <n v="475.5"/>
    <n v="475.5"/>
    <n v="475.5"/>
    <n v="376.38"/>
    <x v="0"/>
    <x v="19"/>
    <x v="0"/>
    <x v="0"/>
    <x v="0"/>
    <n v="9.51"/>
    <n v="9.51"/>
    <n v="9.51"/>
    <n v="475.5"/>
    <n v="475.5"/>
    <n v="475.5"/>
    <n v="376.38"/>
    <n v="376.38"/>
    <n v="376.38"/>
    <x v="1"/>
    <x v="0"/>
    <x v="0"/>
    <n v="0"/>
    <x v="0"/>
  </r>
  <r>
    <x v="105"/>
    <x v="95"/>
    <n v="37"/>
    <x v="0"/>
    <s v="6ºC"/>
    <x v="0"/>
    <s v="Mineral"/>
    <x v="8"/>
    <s v="3 - Parceria"/>
    <n v="36.65"/>
    <n v="36.65"/>
    <n v="36.65"/>
    <n v="36.65"/>
    <n v="1539.3"/>
    <n v="1832.5"/>
    <n v="1832.5"/>
    <n v="1450.06"/>
    <x v="0"/>
    <x v="19"/>
    <x v="0"/>
    <x v="0"/>
    <x v="0"/>
    <n v="36.65"/>
    <n v="36.65"/>
    <n v="36.65"/>
    <n v="1539.3"/>
    <n v="1832.5"/>
    <n v="1832.5"/>
    <n v="1450.06"/>
    <n v="1450.06"/>
    <n v="1450.06"/>
    <x v="1"/>
    <x v="0"/>
    <x v="0"/>
    <n v="0"/>
    <x v="0"/>
  </r>
  <r>
    <x v="105"/>
    <x v="95"/>
    <n v="38"/>
    <x v="0"/>
    <s v="6ºC"/>
    <x v="0"/>
    <s v="Mineral"/>
    <x v="8"/>
    <s v="3 - Parceria"/>
    <n v="74.489999999999995"/>
    <n v="74.489999999999995"/>
    <n v="74.489999999999995"/>
    <n v="74.489999999999995"/>
    <n v="3128.58"/>
    <n v="3724.5"/>
    <n v="3724.5"/>
    <n v="3241.65"/>
    <x v="0"/>
    <x v="32"/>
    <x v="0"/>
    <x v="0"/>
    <x v="0"/>
    <n v="74.489999999999995"/>
    <n v="74.489999999999995"/>
    <n v="74.489999999999995"/>
    <n v="3128.58"/>
    <n v="3724.5"/>
    <n v="3724.5"/>
    <n v="3241.65"/>
    <n v="3241.65"/>
    <n v="3241.65"/>
    <x v="1"/>
    <x v="0"/>
    <x v="0"/>
    <n v="0"/>
    <x v="0"/>
  </r>
  <r>
    <x v="105"/>
    <x v="95"/>
    <n v="39"/>
    <x v="0"/>
    <s v="6ºC"/>
    <x v="0"/>
    <s v="Mineral"/>
    <x v="8"/>
    <s v="3 - Parceria"/>
    <n v="17.27"/>
    <n v="17.27"/>
    <n v="17.27"/>
    <n v="17.27"/>
    <n v="725.34"/>
    <n v="863.5"/>
    <n v="863.5"/>
    <n v="824.66"/>
    <x v="0"/>
    <x v="32"/>
    <x v="0"/>
    <x v="0"/>
    <x v="0"/>
    <n v="17.27"/>
    <n v="17.27"/>
    <n v="17.27"/>
    <n v="725.34"/>
    <n v="863.5"/>
    <n v="863.5"/>
    <n v="824.66"/>
    <n v="824.66"/>
    <n v="824.66"/>
    <x v="1"/>
    <x v="0"/>
    <x v="0"/>
    <n v="0"/>
    <x v="0"/>
  </r>
  <r>
    <x v="105"/>
    <x v="95"/>
    <n v="40"/>
    <x v="0"/>
    <s v="6ºC"/>
    <x v="0"/>
    <s v="Mineral"/>
    <x v="8"/>
    <s v="3 - Parceria"/>
    <n v="37.630000000000003"/>
    <n v="37.630000000000003"/>
    <n v="37.630000000000003"/>
    <n v="37.630000000000003"/>
    <n v="1580.46"/>
    <n v="1806.24"/>
    <n v="1806.24"/>
    <n v="1723.91"/>
    <x v="0"/>
    <x v="32"/>
    <x v="0"/>
    <x v="0"/>
    <x v="0"/>
    <n v="37.630000000000003"/>
    <n v="37.630000000000003"/>
    <n v="37.630000000000003"/>
    <n v="1580.46"/>
    <n v="1806.24"/>
    <n v="1806.24"/>
    <n v="1723.91"/>
    <n v="1723.91"/>
    <n v="1723.91"/>
    <x v="1"/>
    <x v="0"/>
    <x v="0"/>
    <n v="0"/>
    <x v="0"/>
  </r>
  <r>
    <x v="105"/>
    <x v="95"/>
    <n v="41"/>
    <x v="0"/>
    <s v="6ºC"/>
    <x v="0"/>
    <s v="Mineral"/>
    <x v="8"/>
    <s v="3 - Parceria"/>
    <n v="32.590000000000003"/>
    <n v="32.590000000000003"/>
    <n v="32.590000000000003"/>
    <n v="32.590000000000003"/>
    <n v="1368.78"/>
    <n v="1564.32"/>
    <n v="1564.32"/>
    <n v="1255.3699999999999"/>
    <x v="0"/>
    <x v="32"/>
    <x v="0"/>
    <x v="0"/>
    <x v="0"/>
    <n v="32.590000000000003"/>
    <n v="32.590000000000003"/>
    <n v="32.590000000000003"/>
    <n v="1368.78"/>
    <n v="1564.32"/>
    <n v="1564.32"/>
    <n v="1255.3699999999999"/>
    <n v="1255.3699999999999"/>
    <n v="1255.3699999999999"/>
    <x v="1"/>
    <x v="0"/>
    <x v="0"/>
    <n v="0"/>
    <x v="0"/>
  </r>
  <r>
    <x v="105"/>
    <x v="95"/>
    <n v="42"/>
    <x v="0"/>
    <s v="6ºC"/>
    <x v="0"/>
    <s v="Mineral"/>
    <x v="8"/>
    <s v="3 - Parceria"/>
    <n v="28.34"/>
    <n v="28.34"/>
    <n v="28.34"/>
    <n v="28.34"/>
    <n v="1190.28"/>
    <n v="1360.32"/>
    <n v="1360.32"/>
    <n v="1091.7"/>
    <x v="0"/>
    <x v="32"/>
    <x v="0"/>
    <x v="0"/>
    <x v="0"/>
    <n v="28.34"/>
    <n v="28.34"/>
    <n v="28.34"/>
    <n v="1190.28"/>
    <n v="1360.32"/>
    <n v="1360.32"/>
    <n v="1091.7"/>
    <n v="1091.7"/>
    <n v="1091.7"/>
    <x v="1"/>
    <x v="0"/>
    <x v="0"/>
    <n v="0"/>
    <x v="0"/>
  </r>
  <r>
    <x v="105"/>
    <x v="95"/>
    <n v="43"/>
    <x v="0"/>
    <s v="6ºC"/>
    <x v="0"/>
    <s v="Mineral"/>
    <x v="8"/>
    <s v="3 - Parceria"/>
    <n v="56.26"/>
    <n v="56.26"/>
    <n v="56.26"/>
    <n v="56.26"/>
    <n v="2362.92"/>
    <n v="2700.48"/>
    <n v="2700.48"/>
    <n v="2796.74"/>
    <x v="0"/>
    <x v="32"/>
    <x v="0"/>
    <x v="0"/>
    <x v="0"/>
    <n v="56.26"/>
    <n v="56.26"/>
    <n v="56.26"/>
    <n v="2362.92"/>
    <n v="2700.48"/>
    <n v="2700.48"/>
    <n v="2796.74"/>
    <n v="2796.74"/>
    <n v="2796.74"/>
    <x v="1"/>
    <x v="0"/>
    <x v="0"/>
    <n v="0"/>
    <x v="0"/>
  </r>
  <r>
    <x v="105"/>
    <x v="95"/>
    <n v="44"/>
    <x v="0"/>
    <s v="6ºC"/>
    <x v="0"/>
    <s v="Mineral"/>
    <x v="8"/>
    <s v="3 - Parceria"/>
    <n v="57.38"/>
    <n v="57.38"/>
    <n v="57.38"/>
    <n v="57.38"/>
    <n v="2409.96"/>
    <n v="2754.24"/>
    <n v="2754.24"/>
    <n v="2828.92"/>
    <x v="0"/>
    <x v="32"/>
    <x v="0"/>
    <x v="0"/>
    <x v="0"/>
    <n v="57.38"/>
    <n v="57.38"/>
    <n v="57.38"/>
    <n v="2409.96"/>
    <n v="2754.24"/>
    <n v="2754.24"/>
    <n v="2828.92"/>
    <n v="2828.92"/>
    <n v="2828.92"/>
    <x v="1"/>
    <x v="0"/>
    <x v="0"/>
    <n v="0"/>
    <x v="0"/>
  </r>
  <r>
    <x v="106"/>
    <x v="96"/>
    <n v="1"/>
    <x v="3"/>
    <s v="ANM"/>
    <x v="0"/>
    <s v="Fertirrigação"/>
    <x v="8"/>
    <s v="3 - Parceria"/>
    <n v="20.21"/>
    <n v="0"/>
    <n v="0"/>
    <n v="20.21"/>
    <n v="1899.74"/>
    <n v="0"/>
    <n v="0"/>
    <n v="2015.1"/>
    <x v="0"/>
    <x v="16"/>
    <x v="0"/>
    <x v="1"/>
    <x v="1"/>
    <n v="20.21"/>
    <n v="20.21"/>
    <n v="20.21"/>
    <n v="1899.74"/>
    <n v="2015.1"/>
    <n v="2015.1"/>
    <n v="2015.1"/>
    <n v="2015.1"/>
    <n v="2015.1"/>
    <x v="1"/>
    <x v="1"/>
    <x v="0"/>
    <n v="0"/>
    <x v="0"/>
  </r>
  <r>
    <x v="106"/>
    <x v="96"/>
    <n v="2"/>
    <x v="3"/>
    <s v="ANM"/>
    <x v="0"/>
    <s v="Fertirrigação"/>
    <x v="8"/>
    <s v="3 - Parceria"/>
    <n v="18.39"/>
    <n v="0"/>
    <n v="0"/>
    <n v="18.39"/>
    <n v="1728.66"/>
    <n v="0"/>
    <n v="0"/>
    <n v="1833.71"/>
    <x v="0"/>
    <x v="16"/>
    <x v="0"/>
    <x v="1"/>
    <x v="1"/>
    <n v="18.39"/>
    <n v="18.39"/>
    <n v="18.39"/>
    <n v="1728.66"/>
    <n v="1833.71"/>
    <n v="1833.71"/>
    <n v="1833.71"/>
    <n v="1833.71"/>
    <n v="1833.71"/>
    <x v="1"/>
    <x v="1"/>
    <x v="0"/>
    <n v="0"/>
    <x v="0"/>
  </r>
  <r>
    <x v="106"/>
    <x v="96"/>
    <n v="3"/>
    <x v="3"/>
    <s v="ANM"/>
    <x v="0"/>
    <s v="Fertirrigação"/>
    <x v="8"/>
    <s v="3 - Parceria"/>
    <n v="17.78"/>
    <n v="0"/>
    <n v="0"/>
    <n v="17.78"/>
    <n v="1671.32"/>
    <n v="0"/>
    <n v="0"/>
    <n v="1772.2"/>
    <x v="0"/>
    <x v="16"/>
    <x v="0"/>
    <x v="1"/>
    <x v="1"/>
    <n v="17.78"/>
    <n v="17.78"/>
    <n v="17.78"/>
    <n v="1671.32"/>
    <n v="1772.2"/>
    <n v="1772.2"/>
    <n v="1772.2"/>
    <n v="1772.2"/>
    <n v="1772.2"/>
    <x v="1"/>
    <x v="1"/>
    <x v="0"/>
    <n v="0"/>
    <x v="0"/>
  </r>
  <r>
    <x v="106"/>
    <x v="96"/>
    <n v="4"/>
    <x v="3"/>
    <s v="ANM"/>
    <x v="0"/>
    <s v="Fertirrigação"/>
    <x v="8"/>
    <s v="3 - Parceria"/>
    <n v="24.33"/>
    <n v="0"/>
    <n v="0"/>
    <n v="24.33"/>
    <n v="2287.02"/>
    <n v="0"/>
    <n v="0"/>
    <n v="2425.5700000000002"/>
    <x v="0"/>
    <x v="16"/>
    <x v="0"/>
    <x v="1"/>
    <x v="1"/>
    <n v="24.33"/>
    <n v="24.33"/>
    <n v="24.33"/>
    <n v="2287.02"/>
    <n v="2425.5700000000002"/>
    <n v="2425.5700000000002"/>
    <n v="2425.5700000000002"/>
    <n v="2425.5700000000002"/>
    <n v="2425.5700000000002"/>
    <x v="1"/>
    <x v="1"/>
    <x v="0"/>
    <n v="0"/>
    <x v="0"/>
  </r>
  <r>
    <x v="106"/>
    <x v="96"/>
    <n v="5"/>
    <x v="3"/>
    <s v="ANM"/>
    <x v="0"/>
    <s v="Fertirrigação"/>
    <x v="8"/>
    <s v="3 - Parceria"/>
    <n v="26.8"/>
    <n v="0"/>
    <n v="0"/>
    <n v="26.8"/>
    <n v="2519.1999999999998"/>
    <n v="0"/>
    <n v="0"/>
    <n v="2672.45"/>
    <x v="0"/>
    <x v="16"/>
    <x v="0"/>
    <x v="1"/>
    <x v="1"/>
    <n v="26.8"/>
    <n v="26.8"/>
    <n v="26.8"/>
    <n v="2519.1999999999998"/>
    <n v="2672.45"/>
    <n v="2672.45"/>
    <n v="2672.45"/>
    <n v="2672.45"/>
    <n v="2672.45"/>
    <x v="1"/>
    <x v="1"/>
    <x v="0"/>
    <n v="0"/>
    <x v="0"/>
  </r>
  <r>
    <x v="107"/>
    <x v="97"/>
    <n v="1"/>
    <x v="3"/>
    <s v="ANM"/>
    <x v="0"/>
    <s v="Fertirrigação"/>
    <x v="8"/>
    <s v="3 - Parceria"/>
    <n v="39.86"/>
    <n v="0"/>
    <n v="0"/>
    <n v="39.86"/>
    <n v="3746.84"/>
    <n v="0"/>
    <n v="0"/>
    <n v="4190.9799999999996"/>
    <x v="0"/>
    <x v="16"/>
    <x v="0"/>
    <x v="1"/>
    <x v="1"/>
    <n v="39.86"/>
    <n v="39.86"/>
    <n v="39.86"/>
    <n v="3746.84"/>
    <n v="4190.9799999999996"/>
    <n v="4190.9799999999996"/>
    <n v="4190.9799999999996"/>
    <n v="4190.9799999999996"/>
    <n v="4190.9799999999996"/>
    <x v="1"/>
    <x v="1"/>
    <x v="0"/>
    <n v="0"/>
    <x v="0"/>
  </r>
  <r>
    <x v="107"/>
    <x v="97"/>
    <n v="2"/>
    <x v="3"/>
    <s v="ANM"/>
    <x v="0"/>
    <s v="Fertirrigação"/>
    <x v="8"/>
    <s v="3 - Parceria"/>
    <n v="21.9"/>
    <n v="0"/>
    <n v="0"/>
    <n v="21.9"/>
    <n v="2058.6"/>
    <n v="0"/>
    <n v="0"/>
    <n v="2770.39"/>
    <x v="0"/>
    <x v="16"/>
    <x v="0"/>
    <x v="1"/>
    <x v="1"/>
    <n v="21.9"/>
    <n v="21.9"/>
    <n v="21.9"/>
    <n v="2058.6"/>
    <n v="2770.39"/>
    <n v="2770.39"/>
    <n v="2770.39"/>
    <n v="2770.39"/>
    <n v="2770.39"/>
    <x v="1"/>
    <x v="1"/>
    <x v="0"/>
    <n v="0"/>
    <x v="0"/>
  </r>
  <r>
    <x v="107"/>
    <x v="97"/>
    <n v="3"/>
    <x v="3"/>
    <s v="ANM"/>
    <x v="0"/>
    <s v="Fertirrigação"/>
    <x v="8"/>
    <s v="3 - Parceria"/>
    <n v="29.34"/>
    <n v="0"/>
    <n v="0"/>
    <n v="29.34"/>
    <n v="2757.96"/>
    <n v="0"/>
    <n v="0"/>
    <n v="2785.22"/>
    <x v="0"/>
    <x v="35"/>
    <x v="0"/>
    <x v="1"/>
    <x v="1"/>
    <n v="29.34"/>
    <n v="29.34"/>
    <n v="29.34"/>
    <n v="2757.96"/>
    <n v="2785.22"/>
    <n v="2785.22"/>
    <n v="2785.22"/>
    <n v="2785.22"/>
    <n v="2785.22"/>
    <x v="1"/>
    <x v="1"/>
    <x v="0"/>
    <n v="0"/>
    <x v="0"/>
  </r>
  <r>
    <x v="107"/>
    <x v="97"/>
    <n v="4"/>
    <x v="3"/>
    <s v="ANM"/>
    <x v="0"/>
    <s v="Fertirrigação"/>
    <x v="8"/>
    <s v="3 - Parceria"/>
    <n v="27.91"/>
    <n v="0"/>
    <n v="0"/>
    <n v="27.91"/>
    <n v="2623.54"/>
    <n v="0"/>
    <n v="0"/>
    <n v="2649.89"/>
    <x v="0"/>
    <x v="35"/>
    <x v="0"/>
    <x v="1"/>
    <x v="1"/>
    <n v="27.91"/>
    <n v="27.91"/>
    <n v="27.91"/>
    <n v="2623.54"/>
    <n v="2649.89"/>
    <n v="2649.89"/>
    <n v="2649.89"/>
    <n v="2649.89"/>
    <n v="2649.89"/>
    <x v="1"/>
    <x v="1"/>
    <x v="0"/>
    <n v="0"/>
    <x v="0"/>
  </r>
  <r>
    <x v="107"/>
    <x v="97"/>
    <n v="5"/>
    <x v="3"/>
    <s v="ANM"/>
    <x v="0"/>
    <s v="Fertirrigação"/>
    <x v="8"/>
    <s v="3 - Parceria"/>
    <n v="31.34"/>
    <n v="0"/>
    <n v="0"/>
    <n v="31.34"/>
    <n v="2945.96"/>
    <n v="0"/>
    <n v="0"/>
    <n v="2975.09"/>
    <x v="0"/>
    <x v="35"/>
    <x v="0"/>
    <x v="1"/>
    <x v="1"/>
    <n v="31.34"/>
    <n v="31.34"/>
    <n v="31.34"/>
    <n v="2945.96"/>
    <n v="2975.09"/>
    <n v="2975.09"/>
    <n v="2975.09"/>
    <n v="2975.09"/>
    <n v="2975.09"/>
    <x v="1"/>
    <x v="1"/>
    <x v="0"/>
    <n v="0"/>
    <x v="0"/>
  </r>
  <r>
    <x v="107"/>
    <x v="97"/>
    <n v="6"/>
    <x v="3"/>
    <s v="ANM"/>
    <x v="0"/>
    <s v="Fertirrigação"/>
    <x v="8"/>
    <s v="3 - Parceria"/>
    <n v="28.23"/>
    <n v="0"/>
    <n v="0"/>
    <n v="28.23"/>
    <n v="2653.62"/>
    <n v="0"/>
    <n v="0"/>
    <n v="2514.56"/>
    <x v="0"/>
    <x v="16"/>
    <x v="0"/>
    <x v="1"/>
    <x v="1"/>
    <n v="28.23"/>
    <n v="28.23"/>
    <n v="28.23"/>
    <n v="2653.62"/>
    <n v="2514.56"/>
    <n v="2514.56"/>
    <n v="2514.56"/>
    <n v="2514.56"/>
    <n v="2514.56"/>
    <x v="1"/>
    <x v="1"/>
    <x v="0"/>
    <n v="0"/>
    <x v="0"/>
  </r>
  <r>
    <x v="107"/>
    <x v="97"/>
    <n v="7"/>
    <x v="3"/>
    <s v="ANM"/>
    <x v="0"/>
    <s v="Fertirrigação"/>
    <x v="8"/>
    <s v="3 - Parceria"/>
    <n v="18.72"/>
    <n v="0"/>
    <n v="0"/>
    <n v="18.72"/>
    <n v="1759.68"/>
    <n v="0"/>
    <n v="0"/>
    <n v="1777.88"/>
    <x v="0"/>
    <x v="35"/>
    <x v="0"/>
    <x v="1"/>
    <x v="1"/>
    <n v="18.72"/>
    <n v="18.72"/>
    <n v="18.72"/>
    <n v="1759.68"/>
    <n v="1777.88"/>
    <n v="1777.88"/>
    <n v="1777.88"/>
    <n v="1777.88"/>
    <n v="1777.88"/>
    <x v="1"/>
    <x v="1"/>
    <x v="0"/>
    <n v="0"/>
    <x v="0"/>
  </r>
  <r>
    <x v="107"/>
    <x v="97"/>
    <n v="8"/>
    <x v="3"/>
    <s v="ANM"/>
    <x v="0"/>
    <s v="Fertirrigação"/>
    <x v="8"/>
    <s v="3 - Parceria"/>
    <n v="35.25"/>
    <n v="0"/>
    <n v="0"/>
    <n v="35.25"/>
    <n v="3313.5"/>
    <n v="0"/>
    <n v="0"/>
    <n v="3232.18"/>
    <x v="0"/>
    <x v="16"/>
    <x v="0"/>
    <x v="1"/>
    <x v="1"/>
    <n v="35.25"/>
    <n v="35.25"/>
    <n v="35.25"/>
    <n v="3313.5"/>
    <n v="3232.18"/>
    <n v="3232.18"/>
    <n v="3232.18"/>
    <n v="3232.18"/>
    <n v="3232.18"/>
    <x v="1"/>
    <x v="1"/>
    <x v="0"/>
    <n v="0"/>
    <x v="0"/>
  </r>
  <r>
    <x v="107"/>
    <x v="97"/>
    <n v="9"/>
    <x v="3"/>
    <s v="ANM"/>
    <x v="0"/>
    <s v="Fertirrigação"/>
    <x v="8"/>
    <s v="3 - Parceria"/>
    <n v="12.32"/>
    <n v="0"/>
    <n v="0"/>
    <n v="12.32"/>
    <n v="1158.08"/>
    <n v="0"/>
    <n v="0"/>
    <n v="1129.5"/>
    <x v="0"/>
    <x v="16"/>
    <x v="0"/>
    <x v="1"/>
    <x v="1"/>
    <n v="12.32"/>
    <n v="12.32"/>
    <n v="12.32"/>
    <n v="1158.08"/>
    <n v="1129.5"/>
    <n v="1129.5"/>
    <n v="1129.5"/>
    <n v="1129.5"/>
    <n v="1129.5"/>
    <x v="1"/>
    <x v="1"/>
    <x v="0"/>
    <n v="0"/>
    <x v="0"/>
  </r>
  <r>
    <x v="108"/>
    <x v="98"/>
    <n v="1"/>
    <x v="4"/>
    <s v="4ºC"/>
    <x v="0"/>
    <s v="Fertirrigação"/>
    <x v="18"/>
    <s v="3 - Parceria"/>
    <n v="17.48"/>
    <n v="17.48"/>
    <n v="17.48"/>
    <n v="17.48"/>
    <n v="1188.6400000000001"/>
    <n v="1206.1199999999999"/>
    <n v="1223.5999999999999"/>
    <n v="1313.28"/>
    <x v="0"/>
    <x v="2"/>
    <x v="0"/>
    <x v="0"/>
    <x v="0"/>
    <n v="17.48"/>
    <n v="17.48"/>
    <n v="17.48"/>
    <n v="1188.6400000000001"/>
    <n v="1206.1199999999999"/>
    <n v="1223.5999999999999"/>
    <n v="1313.28"/>
    <n v="1313.28"/>
    <n v="1313.28"/>
    <x v="1"/>
    <x v="2"/>
    <x v="1"/>
    <n v="349.6"/>
    <x v="0"/>
  </r>
  <r>
    <x v="108"/>
    <x v="98"/>
    <n v="2"/>
    <x v="4"/>
    <s v="4ºC"/>
    <x v="0"/>
    <s v="Fertirrigação"/>
    <x v="18"/>
    <s v="3 - Parceria"/>
    <n v="26.08"/>
    <n v="26.08"/>
    <n v="26.08"/>
    <n v="26.08"/>
    <n v="1773.44"/>
    <n v="1799.52"/>
    <n v="1799.52"/>
    <n v="1931.33"/>
    <x v="0"/>
    <x v="2"/>
    <x v="0"/>
    <x v="0"/>
    <x v="0"/>
    <n v="26.08"/>
    <n v="26.08"/>
    <n v="26.08"/>
    <n v="1773.44"/>
    <n v="1799.52"/>
    <n v="1799.52"/>
    <n v="1931.33"/>
    <n v="1931.33"/>
    <n v="1931.33"/>
    <x v="1"/>
    <x v="2"/>
    <x v="1"/>
    <n v="521.59999999999991"/>
    <x v="0"/>
  </r>
  <r>
    <x v="108"/>
    <x v="98"/>
    <n v="3"/>
    <x v="4"/>
    <s v="4ºC"/>
    <x v="0"/>
    <s v="Fertirrigação"/>
    <x v="18"/>
    <s v="3 - Parceria"/>
    <n v="30.98"/>
    <n v="30.98"/>
    <n v="30.98"/>
    <n v="30.98"/>
    <n v="2106.64"/>
    <n v="2137.62"/>
    <n v="2137.62"/>
    <n v="2294.27"/>
    <x v="0"/>
    <x v="2"/>
    <x v="0"/>
    <x v="0"/>
    <x v="0"/>
    <n v="30.98"/>
    <n v="30.98"/>
    <n v="30.98"/>
    <n v="2106.64"/>
    <n v="2137.62"/>
    <n v="2137.62"/>
    <n v="2294.27"/>
    <n v="2294.27"/>
    <n v="2294.27"/>
    <x v="1"/>
    <x v="2"/>
    <x v="1"/>
    <n v="619.6"/>
    <x v="0"/>
  </r>
  <r>
    <x v="108"/>
    <x v="98"/>
    <n v="4"/>
    <x v="4"/>
    <s v="4ºC"/>
    <x v="0"/>
    <s v="Fertirrigação"/>
    <x v="18"/>
    <s v="3 - Parceria"/>
    <n v="39.520000000000003"/>
    <n v="39.520000000000003"/>
    <n v="39.520000000000003"/>
    <n v="39.520000000000003"/>
    <n v="2687.36"/>
    <n v="2726.88"/>
    <n v="2371.1999999999998"/>
    <n v="2796.69"/>
    <x v="0"/>
    <x v="34"/>
    <x v="0"/>
    <x v="0"/>
    <x v="0"/>
    <n v="39.520000000000003"/>
    <n v="39.520000000000003"/>
    <n v="39.520000000000003"/>
    <n v="2687.36"/>
    <n v="2726.88"/>
    <n v="2371.1999999999998"/>
    <n v="2796.69"/>
    <n v="2796.69"/>
    <n v="2796.69"/>
    <x v="0"/>
    <x v="2"/>
    <x v="1"/>
    <n v="790.40000000000009"/>
    <x v="0"/>
  </r>
  <r>
    <x v="108"/>
    <x v="98"/>
    <n v="5"/>
    <x v="4"/>
    <s v="4ºC"/>
    <x v="0"/>
    <s v="Fertirrigação"/>
    <x v="18"/>
    <s v="3 - Parceria"/>
    <n v="36.93"/>
    <n v="36.93"/>
    <n v="36.93"/>
    <n v="36.93"/>
    <n v="2511.2399999999998"/>
    <n v="2548.17"/>
    <n v="2289.66"/>
    <n v="2701.33"/>
    <x v="0"/>
    <x v="34"/>
    <x v="0"/>
    <x v="0"/>
    <x v="0"/>
    <n v="36.93"/>
    <n v="36.93"/>
    <n v="36.93"/>
    <n v="2511.2399999999998"/>
    <n v="2548.17"/>
    <n v="2289.66"/>
    <n v="2701.33"/>
    <n v="2701.33"/>
    <n v="2701.33"/>
    <x v="0"/>
    <x v="2"/>
    <x v="1"/>
    <n v="738.6"/>
    <x v="0"/>
  </r>
  <r>
    <x v="108"/>
    <x v="98"/>
    <n v="7"/>
    <x v="4"/>
    <s v="4ºC"/>
    <x v="0"/>
    <s v="Fertirrigação"/>
    <x v="18"/>
    <s v="3 - Parceria"/>
    <n v="15.17"/>
    <n v="15.17"/>
    <n v="15.17"/>
    <n v="15.17"/>
    <n v="1031.56"/>
    <n v="1061.9000000000001"/>
    <n v="1061.9000000000001"/>
    <n v="1142.02"/>
    <x v="0"/>
    <x v="20"/>
    <x v="0"/>
    <x v="0"/>
    <x v="0"/>
    <n v="15.17"/>
    <n v="15.17"/>
    <n v="15.17"/>
    <n v="1031.56"/>
    <n v="1061.9000000000001"/>
    <n v="1061.9000000000001"/>
    <n v="1142.02"/>
    <n v="1142.02"/>
    <n v="1142.02"/>
    <x v="1"/>
    <x v="1"/>
    <x v="0"/>
    <n v="0"/>
    <x v="0"/>
  </r>
  <r>
    <x v="108"/>
    <x v="98"/>
    <n v="8"/>
    <x v="4"/>
    <s v="4ºC"/>
    <x v="0"/>
    <s v="Fertirrigação"/>
    <x v="18"/>
    <s v="3 - Parceria"/>
    <n v="16.78"/>
    <n v="16.78"/>
    <n v="16.78"/>
    <n v="16.78"/>
    <n v="1141.04"/>
    <n v="1174.5999999999999"/>
    <n v="1174.5999999999999"/>
    <n v="899.46"/>
    <x v="0"/>
    <x v="20"/>
    <x v="0"/>
    <x v="0"/>
    <x v="0"/>
    <n v="16.78"/>
    <n v="16.78"/>
    <n v="16.78"/>
    <n v="1141.04"/>
    <n v="1174.5999999999999"/>
    <n v="1174.5999999999999"/>
    <n v="899.46"/>
    <n v="899.46"/>
    <n v="899.46"/>
    <x v="0"/>
    <x v="1"/>
    <x v="0"/>
    <n v="0"/>
    <x v="0"/>
  </r>
  <r>
    <x v="109"/>
    <x v="99"/>
    <n v="1"/>
    <x v="4"/>
    <s v="4ºC"/>
    <x v="0"/>
    <s v="Mineral"/>
    <x v="7"/>
    <s v="3 - Parceria"/>
    <n v="4.41"/>
    <n v="0"/>
    <n v="0"/>
    <n v="4.41"/>
    <n v="277.83"/>
    <n v="0"/>
    <n v="0"/>
    <n v="281.01"/>
    <x v="0"/>
    <x v="4"/>
    <x v="0"/>
    <x v="1"/>
    <x v="1"/>
    <n v="4.41"/>
    <n v="4.41"/>
    <n v="4.41"/>
    <n v="277.83"/>
    <n v="281.01"/>
    <n v="281.01"/>
    <n v="281.01"/>
    <n v="281.01"/>
    <n v="281.01"/>
    <x v="1"/>
    <x v="0"/>
    <x v="0"/>
    <n v="0"/>
    <x v="0"/>
  </r>
  <r>
    <x v="109"/>
    <x v="99"/>
    <n v="2"/>
    <x v="4"/>
    <s v="4ºC"/>
    <x v="0"/>
    <s v="Mineral"/>
    <x v="7"/>
    <s v="3 - Parceria"/>
    <n v="21.7"/>
    <n v="0"/>
    <n v="0"/>
    <n v="21.7"/>
    <n v="1367.1"/>
    <n v="0"/>
    <n v="0"/>
    <n v="1382.03"/>
    <x v="0"/>
    <x v="4"/>
    <x v="0"/>
    <x v="1"/>
    <x v="1"/>
    <n v="21.7"/>
    <n v="21.7"/>
    <n v="21.7"/>
    <n v="1367.1"/>
    <n v="1382.03"/>
    <n v="1382.03"/>
    <n v="1382.03"/>
    <n v="1382.03"/>
    <n v="1382.03"/>
    <x v="1"/>
    <x v="0"/>
    <x v="0"/>
    <n v="0"/>
    <x v="0"/>
  </r>
  <r>
    <x v="109"/>
    <x v="99"/>
    <n v="3"/>
    <x v="4"/>
    <s v="4ºC"/>
    <x v="0"/>
    <s v="Mineral"/>
    <x v="7"/>
    <s v="3 - Parceria"/>
    <n v="9.33"/>
    <n v="0"/>
    <n v="0"/>
    <n v="9.33"/>
    <n v="587.79"/>
    <n v="0"/>
    <n v="0"/>
    <n v="594.42999999999995"/>
    <x v="0"/>
    <x v="4"/>
    <x v="0"/>
    <x v="1"/>
    <x v="1"/>
    <n v="9.33"/>
    <n v="9.33"/>
    <n v="9.33"/>
    <n v="587.79"/>
    <n v="594.42999999999995"/>
    <n v="594.42999999999995"/>
    <n v="594.42999999999995"/>
    <n v="594.42999999999995"/>
    <n v="594.42999999999995"/>
    <x v="1"/>
    <x v="0"/>
    <x v="0"/>
    <n v="0"/>
    <x v="0"/>
  </r>
  <r>
    <x v="109"/>
    <x v="99"/>
    <n v="4"/>
    <x v="4"/>
    <s v="4ºC"/>
    <x v="0"/>
    <s v="Mineral"/>
    <x v="7"/>
    <s v="3 - Parceria"/>
    <n v="2.67"/>
    <n v="0"/>
    <n v="0"/>
    <n v="2.67"/>
    <n v="168.21"/>
    <n v="0"/>
    <n v="0"/>
    <n v="169.8"/>
    <x v="0"/>
    <x v="4"/>
    <x v="0"/>
    <x v="1"/>
    <x v="1"/>
    <n v="2.67"/>
    <n v="2.67"/>
    <n v="2.67"/>
    <n v="168.21"/>
    <n v="169.8"/>
    <n v="169.8"/>
    <n v="169.8"/>
    <n v="169.8"/>
    <n v="169.8"/>
    <x v="1"/>
    <x v="0"/>
    <x v="0"/>
    <n v="0"/>
    <x v="0"/>
  </r>
  <r>
    <x v="109"/>
    <x v="99"/>
    <n v="5"/>
    <x v="4"/>
    <s v="4ºC"/>
    <x v="0"/>
    <s v="Mineral"/>
    <x v="7"/>
    <s v="3 - Parceria"/>
    <n v="3.16"/>
    <n v="0"/>
    <n v="0"/>
    <n v="3.16"/>
    <n v="199.08"/>
    <n v="0"/>
    <n v="0"/>
    <n v="201.14"/>
    <x v="0"/>
    <x v="4"/>
    <x v="0"/>
    <x v="1"/>
    <x v="1"/>
    <n v="3.16"/>
    <n v="3.16"/>
    <n v="3.16"/>
    <n v="199.08"/>
    <n v="201.14"/>
    <n v="201.14"/>
    <n v="201.14"/>
    <n v="201.14"/>
    <n v="201.14"/>
    <x v="1"/>
    <x v="0"/>
    <x v="0"/>
    <n v="0"/>
    <x v="0"/>
  </r>
  <r>
    <x v="109"/>
    <x v="99"/>
    <n v="6"/>
    <x v="4"/>
    <s v="4ºC"/>
    <x v="0"/>
    <s v="Mineral"/>
    <x v="7"/>
    <s v="3 - Parceria"/>
    <n v="5.56"/>
    <n v="0"/>
    <n v="0"/>
    <n v="5.56"/>
    <n v="344.72"/>
    <n v="0"/>
    <n v="0"/>
    <n v="348.76"/>
    <x v="0"/>
    <x v="4"/>
    <x v="0"/>
    <x v="1"/>
    <x v="1"/>
    <n v="5.56"/>
    <n v="5.56"/>
    <n v="5.56"/>
    <n v="344.72"/>
    <n v="348.76"/>
    <n v="348.76"/>
    <n v="348.76"/>
    <n v="348.76"/>
    <n v="348.76"/>
    <x v="1"/>
    <x v="0"/>
    <x v="0"/>
    <n v="0"/>
    <x v="0"/>
  </r>
  <r>
    <x v="109"/>
    <x v="99"/>
    <n v="7"/>
    <x v="4"/>
    <s v="4ºC"/>
    <x v="0"/>
    <s v="Mineral"/>
    <x v="7"/>
    <s v="3 - Parceria"/>
    <n v="3.89"/>
    <n v="0"/>
    <n v="0"/>
    <n v="3.89"/>
    <n v="241.18"/>
    <n v="0"/>
    <n v="0"/>
    <n v="243.6"/>
    <x v="0"/>
    <x v="4"/>
    <x v="0"/>
    <x v="1"/>
    <x v="1"/>
    <n v="3.89"/>
    <n v="3.89"/>
    <n v="3.89"/>
    <n v="241.18"/>
    <n v="243.6"/>
    <n v="243.6"/>
    <n v="243.6"/>
    <n v="243.6"/>
    <n v="243.6"/>
    <x v="1"/>
    <x v="0"/>
    <x v="0"/>
    <n v="0"/>
    <x v="0"/>
  </r>
  <r>
    <x v="109"/>
    <x v="99"/>
    <n v="8"/>
    <x v="4"/>
    <s v="4ºC"/>
    <x v="0"/>
    <s v="Mineral"/>
    <x v="7"/>
    <s v="3 - Parceria"/>
    <n v="7.99"/>
    <n v="0"/>
    <n v="0"/>
    <n v="7.99"/>
    <n v="495.38"/>
    <n v="0"/>
    <n v="0"/>
    <n v="500.86"/>
    <x v="0"/>
    <x v="4"/>
    <x v="0"/>
    <x v="1"/>
    <x v="1"/>
    <n v="7.99"/>
    <n v="7.99"/>
    <n v="7.99"/>
    <n v="495.38"/>
    <n v="500.86"/>
    <n v="500.86"/>
    <n v="500.86"/>
    <n v="500.86"/>
    <n v="500.86"/>
    <x v="1"/>
    <x v="0"/>
    <x v="0"/>
    <n v="0"/>
    <x v="0"/>
  </r>
  <r>
    <x v="109"/>
    <x v="99"/>
    <n v="10"/>
    <x v="4"/>
    <s v="4ºC"/>
    <x v="0"/>
    <s v="Mineral"/>
    <x v="7"/>
    <s v="3 - Parceria"/>
    <n v="24.69"/>
    <n v="0"/>
    <n v="0"/>
    <n v="24.69"/>
    <n v="1530.78"/>
    <n v="0"/>
    <n v="0"/>
    <n v="789.76"/>
    <x v="0"/>
    <x v="31"/>
    <x v="0"/>
    <x v="1"/>
    <x v="1"/>
    <n v="24.69"/>
    <n v="24.69"/>
    <n v="24.69"/>
    <n v="1530.78"/>
    <n v="789.76"/>
    <n v="789.76"/>
    <n v="789.76"/>
    <n v="789.76"/>
    <n v="789.76"/>
    <x v="1"/>
    <x v="0"/>
    <x v="0"/>
    <n v="0"/>
    <x v="0"/>
  </r>
  <r>
    <x v="109"/>
    <x v="99"/>
    <n v="12"/>
    <x v="4"/>
    <s v="4ºC"/>
    <x v="0"/>
    <s v="Mineral"/>
    <x v="7"/>
    <s v="3 - Parceria"/>
    <n v="0.37"/>
    <n v="0.37"/>
    <n v="0"/>
    <n v="0.37"/>
    <n v="22.94"/>
    <n v="22.94"/>
    <n v="0"/>
    <n v="13.99"/>
    <x v="0"/>
    <x v="31"/>
    <x v="0"/>
    <x v="0"/>
    <x v="1"/>
    <n v="0.37"/>
    <n v="0.37"/>
    <n v="0.37"/>
    <n v="22.94"/>
    <n v="22.94"/>
    <n v="13.99"/>
    <n v="13.99"/>
    <n v="13.99"/>
    <n v="13.99"/>
    <x v="1"/>
    <x v="0"/>
    <x v="0"/>
    <n v="0"/>
    <x v="0"/>
  </r>
  <r>
    <x v="109"/>
    <x v="99"/>
    <n v="13"/>
    <x v="4"/>
    <s v="4ºC"/>
    <x v="0"/>
    <s v="Mineral"/>
    <x v="7"/>
    <s v="3 - Parceria"/>
    <n v="16.170000000000002"/>
    <n v="0"/>
    <n v="0"/>
    <n v="16.170000000000002"/>
    <n v="1002.54"/>
    <n v="0"/>
    <n v="0"/>
    <n v="531.19000000000005"/>
    <x v="0"/>
    <x v="31"/>
    <x v="0"/>
    <x v="1"/>
    <x v="1"/>
    <n v="16.170000000000002"/>
    <n v="16.170000000000002"/>
    <n v="16.170000000000002"/>
    <n v="1002.54"/>
    <n v="531.19000000000005"/>
    <n v="531.19000000000005"/>
    <n v="531.19000000000005"/>
    <n v="531.19000000000005"/>
    <n v="531.19000000000005"/>
    <x v="1"/>
    <x v="0"/>
    <x v="0"/>
    <n v="0"/>
    <x v="0"/>
  </r>
  <r>
    <x v="109"/>
    <x v="99"/>
    <n v="14"/>
    <x v="4"/>
    <s v="4ºC"/>
    <x v="0"/>
    <s v="Mineral"/>
    <x v="7"/>
    <s v="3 - Parceria"/>
    <n v="7.38"/>
    <n v="7.38"/>
    <n v="0"/>
    <n v="7.38"/>
    <n v="457.56"/>
    <n v="457.56"/>
    <n v="0"/>
    <n v="278.97000000000003"/>
    <x v="0"/>
    <x v="31"/>
    <x v="0"/>
    <x v="0"/>
    <x v="1"/>
    <n v="7.38"/>
    <n v="7.38"/>
    <n v="7.38"/>
    <n v="457.56"/>
    <n v="457.56"/>
    <n v="278.97000000000003"/>
    <n v="278.97000000000003"/>
    <n v="278.97000000000003"/>
    <n v="278.97000000000003"/>
    <x v="1"/>
    <x v="0"/>
    <x v="0"/>
    <n v="0"/>
    <x v="0"/>
  </r>
  <r>
    <x v="109"/>
    <x v="99"/>
    <n v="15"/>
    <x v="4"/>
    <s v="4ºC"/>
    <x v="0"/>
    <s v="Mineral"/>
    <x v="7"/>
    <s v="3 - Parceria"/>
    <n v="6.81"/>
    <n v="6.81"/>
    <n v="0"/>
    <n v="6.81"/>
    <n v="422.22"/>
    <n v="422.22"/>
    <n v="0"/>
    <n v="257.14"/>
    <x v="0"/>
    <x v="31"/>
    <x v="0"/>
    <x v="0"/>
    <x v="1"/>
    <n v="6.81"/>
    <n v="6.81"/>
    <n v="6.81"/>
    <n v="422.22"/>
    <n v="422.22"/>
    <n v="257.14"/>
    <n v="257.14"/>
    <n v="257.14"/>
    <n v="257.14"/>
    <x v="1"/>
    <x v="0"/>
    <x v="0"/>
    <n v="0"/>
    <x v="0"/>
  </r>
  <r>
    <x v="110"/>
    <x v="100"/>
    <n v="1"/>
    <x v="2"/>
    <s v="3ºC"/>
    <x v="0"/>
    <s v="Mineral"/>
    <x v="3"/>
    <s v="3 - Parceria"/>
    <n v="33.35"/>
    <n v="0"/>
    <n v="0"/>
    <n v="33.35"/>
    <n v="2134.4"/>
    <n v="0"/>
    <n v="0"/>
    <n v="2719.92"/>
    <x v="0"/>
    <x v="4"/>
    <x v="0"/>
    <x v="1"/>
    <x v="1"/>
    <n v="33.35"/>
    <n v="33.35"/>
    <n v="33.35"/>
    <n v="2134.4"/>
    <n v="2719.92"/>
    <n v="2719.92"/>
    <n v="2719.92"/>
    <n v="2719.92"/>
    <n v="2719.92"/>
    <x v="1"/>
    <x v="0"/>
    <x v="0"/>
    <n v="0"/>
    <x v="0"/>
  </r>
  <r>
    <x v="110"/>
    <x v="100"/>
    <n v="2"/>
    <x v="2"/>
    <s v="3ºC"/>
    <x v="0"/>
    <s v="Mineral"/>
    <x v="3"/>
    <s v="3 - Parceria"/>
    <n v="18.8"/>
    <n v="0"/>
    <n v="0"/>
    <n v="18.8"/>
    <n v="1203.2"/>
    <n v="0"/>
    <n v="0"/>
    <n v="1533.24"/>
    <x v="0"/>
    <x v="4"/>
    <x v="0"/>
    <x v="1"/>
    <x v="1"/>
    <n v="18.8"/>
    <n v="18.8"/>
    <n v="18.8"/>
    <n v="1203.2"/>
    <n v="1533.24"/>
    <n v="1533.24"/>
    <n v="1533.24"/>
    <n v="1533.24"/>
    <n v="1533.24"/>
    <x v="1"/>
    <x v="0"/>
    <x v="0"/>
    <n v="0"/>
    <x v="0"/>
  </r>
  <r>
    <x v="110"/>
    <x v="100"/>
    <n v="3"/>
    <x v="2"/>
    <s v="3ºC"/>
    <x v="0"/>
    <s v="Mineral"/>
    <x v="3"/>
    <s v="3 - Parceria"/>
    <n v="36.53"/>
    <n v="0"/>
    <n v="0"/>
    <n v="36.53"/>
    <n v="2337.92"/>
    <n v="0"/>
    <n v="0"/>
    <n v="2979.93"/>
    <x v="0"/>
    <x v="4"/>
    <x v="0"/>
    <x v="1"/>
    <x v="1"/>
    <n v="36.53"/>
    <n v="36.53"/>
    <n v="36.53"/>
    <n v="2337.92"/>
    <n v="2979.93"/>
    <n v="2979.93"/>
    <n v="2979.93"/>
    <n v="2979.93"/>
    <n v="2979.93"/>
    <x v="1"/>
    <x v="0"/>
    <x v="0"/>
    <n v="0"/>
    <x v="0"/>
  </r>
  <r>
    <x v="110"/>
    <x v="100"/>
    <n v="4"/>
    <x v="2"/>
    <s v="3ºC"/>
    <x v="0"/>
    <s v="Mineral"/>
    <x v="3"/>
    <s v="3 - Parceria"/>
    <n v="14.41"/>
    <n v="0"/>
    <n v="0"/>
    <n v="14.41"/>
    <n v="922.24"/>
    <n v="0"/>
    <n v="0"/>
    <n v="1175.55"/>
    <x v="0"/>
    <x v="4"/>
    <x v="0"/>
    <x v="1"/>
    <x v="1"/>
    <n v="14.41"/>
    <n v="14.41"/>
    <n v="14.41"/>
    <n v="922.24"/>
    <n v="1175.55"/>
    <n v="1175.55"/>
    <n v="1175.55"/>
    <n v="1175.55"/>
    <n v="1175.55"/>
    <x v="1"/>
    <x v="0"/>
    <x v="0"/>
    <n v="0"/>
    <x v="0"/>
  </r>
  <r>
    <x v="110"/>
    <x v="100"/>
    <n v="5"/>
    <x v="4"/>
    <s v="4ºC"/>
    <x v="0"/>
    <s v="Mineral"/>
    <x v="3"/>
    <s v="3 - Parceria"/>
    <n v="7.15"/>
    <n v="0"/>
    <n v="0"/>
    <n v="7.15"/>
    <n v="407.55"/>
    <n v="0"/>
    <n v="0"/>
    <n v="85.37"/>
    <x v="0"/>
    <x v="4"/>
    <x v="0"/>
    <x v="1"/>
    <x v="1"/>
    <n v="7.15"/>
    <n v="7.15"/>
    <n v="7.15"/>
    <n v="407.55"/>
    <n v="85.37"/>
    <n v="85.37"/>
    <n v="85.37"/>
    <n v="85.37"/>
    <n v="85.37"/>
    <x v="1"/>
    <x v="0"/>
    <x v="0"/>
    <n v="0"/>
    <x v="0"/>
  </r>
  <r>
    <x v="110"/>
    <x v="100"/>
    <n v="6"/>
    <x v="4"/>
    <s v="4ºC"/>
    <x v="0"/>
    <s v="Mineral"/>
    <x v="3"/>
    <s v="3 - Parceria"/>
    <n v="25.15"/>
    <n v="0"/>
    <n v="0"/>
    <n v="25.15"/>
    <n v="1358.1"/>
    <n v="0"/>
    <n v="0"/>
    <n v="284.17"/>
    <x v="0"/>
    <x v="4"/>
    <x v="0"/>
    <x v="1"/>
    <x v="1"/>
    <n v="25.15"/>
    <n v="25.15"/>
    <n v="25.15"/>
    <n v="1358.1"/>
    <n v="284.17"/>
    <n v="284.17"/>
    <n v="284.17"/>
    <n v="284.17"/>
    <n v="284.17"/>
    <x v="1"/>
    <x v="0"/>
    <x v="0"/>
    <n v="0"/>
    <x v="0"/>
  </r>
  <r>
    <x v="110"/>
    <x v="100"/>
    <n v="7"/>
    <x v="4"/>
    <s v="4ºC"/>
    <x v="0"/>
    <s v="Mineral"/>
    <x v="3"/>
    <s v="3 - Parceria"/>
    <n v="13.55"/>
    <n v="0"/>
    <n v="0"/>
    <n v="13.55"/>
    <n v="731.7"/>
    <n v="0"/>
    <n v="0"/>
    <n v="440.53"/>
    <x v="0"/>
    <x v="4"/>
    <x v="0"/>
    <x v="1"/>
    <x v="1"/>
    <n v="13.55"/>
    <n v="13.55"/>
    <n v="13.55"/>
    <n v="731.7"/>
    <n v="440.53"/>
    <n v="440.53"/>
    <n v="440.53"/>
    <n v="440.53"/>
    <n v="440.53"/>
    <x v="1"/>
    <x v="0"/>
    <x v="0"/>
    <n v="0"/>
    <x v="0"/>
  </r>
  <r>
    <x v="110"/>
    <x v="100"/>
    <n v="8"/>
    <x v="4"/>
    <s v="4ºC"/>
    <x v="0"/>
    <s v="Mineral"/>
    <x v="3"/>
    <s v="3 - Parceria"/>
    <n v="9.65"/>
    <n v="0"/>
    <n v="0"/>
    <n v="9.65"/>
    <n v="521.1"/>
    <n v="0"/>
    <n v="0"/>
    <n v="571.1"/>
    <x v="0"/>
    <x v="40"/>
    <x v="0"/>
    <x v="1"/>
    <x v="1"/>
    <n v="9.65"/>
    <n v="9.65"/>
    <n v="9.65"/>
    <n v="521.1"/>
    <n v="571.1"/>
    <n v="571.1"/>
    <n v="571.1"/>
    <n v="571.1"/>
    <n v="571.1"/>
    <x v="1"/>
    <x v="0"/>
    <x v="0"/>
    <n v="0"/>
    <x v="0"/>
  </r>
  <r>
    <x v="110"/>
    <x v="100"/>
    <n v="10"/>
    <x v="2"/>
    <s v="3ºC"/>
    <x v="0"/>
    <s v="Mineral"/>
    <x v="3"/>
    <s v="3 - Parceria"/>
    <n v="6.09"/>
    <n v="0"/>
    <n v="0"/>
    <n v="6.09"/>
    <n v="414.12"/>
    <n v="0"/>
    <n v="0"/>
    <n v="421.65"/>
    <x v="0"/>
    <x v="40"/>
    <x v="0"/>
    <x v="1"/>
    <x v="1"/>
    <n v="6.09"/>
    <n v="6.09"/>
    <n v="6.09"/>
    <n v="414.12"/>
    <n v="421.65"/>
    <n v="421.65"/>
    <n v="421.65"/>
    <n v="421.65"/>
    <n v="421.65"/>
    <x v="1"/>
    <x v="0"/>
    <x v="0"/>
    <n v="0"/>
    <x v="0"/>
  </r>
  <r>
    <x v="110"/>
    <x v="100"/>
    <n v="11"/>
    <x v="2"/>
    <s v="3ºC"/>
    <x v="0"/>
    <s v="Mineral"/>
    <x v="3"/>
    <s v="3 - Parceria"/>
    <n v="14.73"/>
    <n v="0"/>
    <n v="0"/>
    <n v="14.73"/>
    <n v="1001.64"/>
    <n v="0"/>
    <n v="0"/>
    <n v="1020.57"/>
    <x v="0"/>
    <x v="40"/>
    <x v="0"/>
    <x v="1"/>
    <x v="1"/>
    <n v="14.73"/>
    <n v="14.73"/>
    <n v="14.73"/>
    <n v="1001.64"/>
    <n v="1020.57"/>
    <n v="1020.57"/>
    <n v="1020.57"/>
    <n v="1020.57"/>
    <n v="1020.57"/>
    <x v="1"/>
    <x v="0"/>
    <x v="0"/>
    <n v="0"/>
    <x v="0"/>
  </r>
  <r>
    <x v="110"/>
    <x v="100"/>
    <n v="12"/>
    <x v="2"/>
    <s v="3ºC"/>
    <x v="0"/>
    <s v="Mineral"/>
    <x v="3"/>
    <s v="3 - Parceria"/>
    <n v="27.43"/>
    <n v="0"/>
    <n v="0"/>
    <n v="27.43"/>
    <n v="1865.24"/>
    <n v="0"/>
    <n v="0"/>
    <n v="1899.61"/>
    <x v="0"/>
    <x v="40"/>
    <x v="0"/>
    <x v="1"/>
    <x v="1"/>
    <n v="27.43"/>
    <n v="27.43"/>
    <n v="27.43"/>
    <n v="1865.24"/>
    <n v="1899.61"/>
    <n v="1899.61"/>
    <n v="1899.61"/>
    <n v="1899.61"/>
    <n v="1899.61"/>
    <x v="1"/>
    <x v="0"/>
    <x v="0"/>
    <n v="0"/>
    <x v="0"/>
  </r>
  <r>
    <x v="110"/>
    <x v="100"/>
    <n v="13"/>
    <x v="2"/>
    <s v="3ºC"/>
    <x v="0"/>
    <s v="Mineral"/>
    <x v="3"/>
    <s v="3 - Parceria"/>
    <n v="7.85"/>
    <n v="0"/>
    <n v="0"/>
    <n v="7.85"/>
    <n v="533.79999999999995"/>
    <n v="0"/>
    <n v="0"/>
    <n v="544.09"/>
    <x v="0"/>
    <x v="40"/>
    <x v="0"/>
    <x v="1"/>
    <x v="1"/>
    <n v="7.85"/>
    <n v="7.85"/>
    <n v="7.85"/>
    <n v="533.79999999999995"/>
    <n v="544.09"/>
    <n v="544.09"/>
    <n v="544.09"/>
    <n v="544.09"/>
    <n v="544.09"/>
    <x v="1"/>
    <x v="0"/>
    <x v="0"/>
    <n v="0"/>
    <x v="0"/>
  </r>
  <r>
    <x v="111"/>
    <x v="60"/>
    <n v="1"/>
    <x v="3"/>
    <s v="INV"/>
    <x v="0"/>
    <s v="Mineral"/>
    <x v="6"/>
    <s v="3 - Parceria"/>
    <n v="41.84"/>
    <n v="0"/>
    <n v="0"/>
    <n v="41.84"/>
    <n v="4602.3999999999996"/>
    <n v="0"/>
    <n v="0"/>
    <n v="5252.97"/>
    <x v="0"/>
    <x v="24"/>
    <x v="0"/>
    <x v="1"/>
    <x v="1"/>
    <n v="41.84"/>
    <n v="41.84"/>
    <n v="41.84"/>
    <n v="4602.3999999999996"/>
    <n v="5252.97"/>
    <n v="5252.97"/>
    <n v="5252.97"/>
    <n v="5252.97"/>
    <n v="5252.97"/>
    <x v="1"/>
    <x v="0"/>
    <x v="0"/>
    <n v="0"/>
    <x v="0"/>
  </r>
  <r>
    <x v="111"/>
    <x v="60"/>
    <n v="2"/>
    <x v="3"/>
    <s v="INV"/>
    <x v="0"/>
    <s v="Mineral"/>
    <x v="6"/>
    <s v="3 - Parceria"/>
    <n v="27.23"/>
    <n v="0"/>
    <n v="0"/>
    <n v="27.23"/>
    <n v="2995.3"/>
    <n v="0"/>
    <n v="0"/>
    <n v="3418.88"/>
    <x v="0"/>
    <x v="24"/>
    <x v="0"/>
    <x v="1"/>
    <x v="1"/>
    <n v="27.23"/>
    <n v="27.23"/>
    <n v="27.23"/>
    <n v="2995.3"/>
    <n v="3418.88"/>
    <n v="3418.88"/>
    <n v="3418.88"/>
    <n v="3418.88"/>
    <n v="3418.88"/>
    <x v="1"/>
    <x v="0"/>
    <x v="0"/>
    <n v="0"/>
    <x v="0"/>
  </r>
  <r>
    <x v="111"/>
    <x v="60"/>
    <n v="3"/>
    <x v="3"/>
    <s v="INV"/>
    <x v="0"/>
    <s v="Mineral"/>
    <x v="6"/>
    <s v="3 - Parceria"/>
    <n v="23.61"/>
    <n v="0"/>
    <n v="0"/>
    <n v="23.61"/>
    <n v="2597.1"/>
    <n v="0"/>
    <n v="0"/>
    <n v="2787.28"/>
    <x v="0"/>
    <x v="24"/>
    <x v="0"/>
    <x v="1"/>
    <x v="1"/>
    <n v="23.61"/>
    <n v="23.61"/>
    <n v="23.61"/>
    <n v="2597.1"/>
    <n v="2787.28"/>
    <n v="2787.28"/>
    <n v="2787.28"/>
    <n v="2787.28"/>
    <n v="2787.28"/>
    <x v="1"/>
    <x v="0"/>
    <x v="0"/>
    <n v="0"/>
    <x v="0"/>
  </r>
  <r>
    <x v="111"/>
    <x v="60"/>
    <n v="4"/>
    <x v="3"/>
    <s v="ANM"/>
    <x v="0"/>
    <s v="Mineral"/>
    <x v="6"/>
    <s v="3 - Parceria"/>
    <n v="20.87"/>
    <n v="0"/>
    <n v="0"/>
    <n v="20.87"/>
    <n v="2295.6999999999998"/>
    <n v="0"/>
    <n v="0"/>
    <n v="2464.38"/>
    <x v="0"/>
    <x v="24"/>
    <x v="0"/>
    <x v="1"/>
    <x v="1"/>
    <n v="20.87"/>
    <n v="20.87"/>
    <n v="20.87"/>
    <n v="2295.6999999999998"/>
    <n v="2464.38"/>
    <n v="2464.38"/>
    <n v="2464.38"/>
    <n v="2464.38"/>
    <n v="2464.38"/>
    <x v="1"/>
    <x v="0"/>
    <x v="0"/>
    <n v="0"/>
    <x v="0"/>
  </r>
  <r>
    <x v="112"/>
    <x v="101"/>
    <n v="1"/>
    <x v="7"/>
    <s v="7ºC"/>
    <x v="0"/>
    <s v="Fertirrigação"/>
    <x v="14"/>
    <s v="3 - Parceria"/>
    <n v="19.27"/>
    <n v="0"/>
    <n v="0"/>
    <n v="19.27"/>
    <n v="1348.9"/>
    <n v="0"/>
    <n v="0"/>
    <n v="1695.5"/>
    <x v="0"/>
    <x v="23"/>
    <x v="0"/>
    <x v="1"/>
    <x v="1"/>
    <n v="19.27"/>
    <n v="19.27"/>
    <n v="19.27"/>
    <n v="1348.9"/>
    <n v="1695.5"/>
    <n v="1695.5"/>
    <n v="1695.5"/>
    <n v="1695.5"/>
    <n v="1695.5"/>
    <x v="1"/>
    <x v="1"/>
    <x v="0"/>
    <n v="0"/>
    <x v="0"/>
  </r>
  <r>
    <x v="112"/>
    <x v="101"/>
    <n v="2"/>
    <x v="7"/>
    <s v="7ºC"/>
    <x v="0"/>
    <s v="Fertirrigação"/>
    <x v="14"/>
    <s v="3 - Parceria"/>
    <n v="6.49"/>
    <n v="0"/>
    <n v="0"/>
    <n v="6.49"/>
    <n v="454.3"/>
    <n v="0"/>
    <n v="0"/>
    <n v="570.59"/>
    <x v="0"/>
    <x v="23"/>
    <x v="0"/>
    <x v="1"/>
    <x v="1"/>
    <n v="6.49"/>
    <n v="6.49"/>
    <n v="6.49"/>
    <n v="454.3"/>
    <n v="570.59"/>
    <n v="570.59"/>
    <n v="570.59"/>
    <n v="570.59"/>
    <n v="570.59"/>
    <x v="1"/>
    <x v="1"/>
    <x v="0"/>
    <n v="0"/>
    <x v="0"/>
  </r>
  <r>
    <x v="112"/>
    <x v="101"/>
    <n v="3"/>
    <x v="7"/>
    <s v="7ºC"/>
    <x v="0"/>
    <s v="Fertirrigação"/>
    <x v="14"/>
    <s v="3 - Parceria"/>
    <n v="2.14"/>
    <n v="0"/>
    <n v="0"/>
    <n v="2.14"/>
    <n v="149.80000000000001"/>
    <n v="0"/>
    <n v="0"/>
    <n v="188.49"/>
    <x v="0"/>
    <x v="23"/>
    <x v="0"/>
    <x v="1"/>
    <x v="1"/>
    <n v="2.14"/>
    <n v="2.14"/>
    <n v="2.14"/>
    <n v="149.80000000000001"/>
    <n v="188.49"/>
    <n v="188.49"/>
    <n v="188.49"/>
    <n v="188.49"/>
    <n v="188.49"/>
    <x v="1"/>
    <x v="1"/>
    <x v="0"/>
    <n v="0"/>
    <x v="0"/>
  </r>
  <r>
    <x v="112"/>
    <x v="101"/>
    <n v="4"/>
    <x v="7"/>
    <s v="7ºC"/>
    <x v="0"/>
    <s v="Fertirrigação"/>
    <x v="14"/>
    <s v="3 - Parceria"/>
    <n v="1.57"/>
    <n v="0"/>
    <n v="0"/>
    <n v="1.57"/>
    <n v="109.9"/>
    <n v="0"/>
    <n v="0"/>
    <n v="138.21"/>
    <x v="0"/>
    <x v="23"/>
    <x v="0"/>
    <x v="1"/>
    <x v="1"/>
    <n v="1.57"/>
    <n v="1.57"/>
    <n v="1.57"/>
    <n v="109.9"/>
    <n v="138.21"/>
    <n v="138.21"/>
    <n v="138.21"/>
    <n v="138.21"/>
    <n v="138.21"/>
    <x v="1"/>
    <x v="1"/>
    <x v="0"/>
    <n v="0"/>
    <x v="0"/>
  </r>
  <r>
    <x v="112"/>
    <x v="101"/>
    <n v="5"/>
    <x v="7"/>
    <s v="7ºC"/>
    <x v="0"/>
    <s v="Fertirrigação"/>
    <x v="14"/>
    <s v="3 - Parceria"/>
    <n v="1.87"/>
    <n v="0"/>
    <n v="0"/>
    <n v="1.87"/>
    <n v="130.9"/>
    <n v="0"/>
    <n v="0"/>
    <n v="132.9"/>
    <x v="0"/>
    <x v="13"/>
    <x v="0"/>
    <x v="1"/>
    <x v="1"/>
    <n v="1.87"/>
    <n v="1.87"/>
    <n v="1.87"/>
    <n v="130.9"/>
    <n v="132.9"/>
    <n v="132.9"/>
    <n v="132.9"/>
    <n v="132.9"/>
    <n v="132.9"/>
    <x v="1"/>
    <x v="1"/>
    <x v="0"/>
    <n v="0"/>
    <x v="0"/>
  </r>
  <r>
    <x v="112"/>
    <x v="101"/>
    <n v="6"/>
    <x v="7"/>
    <s v="7ºC"/>
    <x v="0"/>
    <s v="Fertirrigação"/>
    <x v="14"/>
    <s v="3 - Parceria"/>
    <n v="1.26"/>
    <n v="0"/>
    <n v="0"/>
    <n v="1.26"/>
    <n v="88.2"/>
    <n v="0"/>
    <n v="0"/>
    <n v="110.78"/>
    <x v="0"/>
    <x v="23"/>
    <x v="0"/>
    <x v="1"/>
    <x v="1"/>
    <n v="1.26"/>
    <n v="1.26"/>
    <n v="1.26"/>
    <n v="88.2"/>
    <n v="110.78"/>
    <n v="110.78"/>
    <n v="110.78"/>
    <n v="110.78"/>
    <n v="110.78"/>
    <x v="1"/>
    <x v="1"/>
    <x v="0"/>
    <n v="0"/>
    <x v="0"/>
  </r>
  <r>
    <x v="112"/>
    <x v="101"/>
    <n v="7"/>
    <x v="7"/>
    <s v="7ºC"/>
    <x v="0"/>
    <s v="Fertirrigação"/>
    <x v="14"/>
    <s v="3 - Parceria"/>
    <n v="3.97"/>
    <n v="3.97"/>
    <n v="0"/>
    <n v="3.97"/>
    <n v="277.89999999999998"/>
    <n v="277.89999999999998"/>
    <n v="0"/>
    <n v="192.91"/>
    <x v="0"/>
    <x v="13"/>
    <x v="0"/>
    <x v="0"/>
    <x v="1"/>
    <n v="3.97"/>
    <n v="3.97"/>
    <n v="3.97"/>
    <n v="277.89999999999998"/>
    <n v="277.89999999999998"/>
    <n v="192.91"/>
    <n v="192.91"/>
    <n v="192.91"/>
    <n v="192.91"/>
    <x v="1"/>
    <x v="1"/>
    <x v="0"/>
    <n v="0"/>
    <x v="0"/>
  </r>
  <r>
    <x v="112"/>
    <x v="101"/>
    <n v="8"/>
    <x v="7"/>
    <s v="7ºC"/>
    <x v="0"/>
    <s v="Fertirrigação"/>
    <x v="14"/>
    <s v="3 - Parceria"/>
    <n v="2.12"/>
    <n v="2.12"/>
    <n v="0"/>
    <n v="2.12"/>
    <n v="148.4"/>
    <n v="156.88"/>
    <n v="0"/>
    <n v="108.92"/>
    <x v="0"/>
    <x v="13"/>
    <x v="0"/>
    <x v="0"/>
    <x v="1"/>
    <n v="2.12"/>
    <n v="2.12"/>
    <n v="2.12"/>
    <n v="148.4"/>
    <n v="156.88"/>
    <n v="108.92"/>
    <n v="108.92"/>
    <n v="108.92"/>
    <n v="108.92"/>
    <x v="1"/>
    <x v="1"/>
    <x v="0"/>
    <n v="0"/>
    <x v="0"/>
  </r>
  <r>
    <x v="112"/>
    <x v="101"/>
    <n v="9"/>
    <x v="7"/>
    <s v="7ºC"/>
    <x v="0"/>
    <s v="Fertirrigação"/>
    <x v="14"/>
    <s v="3 - Parceria"/>
    <n v="2.0099999999999998"/>
    <n v="2.0099999999999998"/>
    <n v="0"/>
    <n v="2.0099999999999998"/>
    <n v="140.69999999999999"/>
    <n v="148.74"/>
    <n v="0"/>
    <n v="103.37"/>
    <x v="0"/>
    <x v="13"/>
    <x v="0"/>
    <x v="0"/>
    <x v="1"/>
    <n v="2.0099999999999998"/>
    <n v="2.0099999999999998"/>
    <n v="2.0099999999999998"/>
    <n v="140.69999999999999"/>
    <n v="148.74"/>
    <n v="103.37"/>
    <n v="103.37"/>
    <n v="103.37"/>
    <n v="103.37"/>
    <x v="1"/>
    <x v="1"/>
    <x v="0"/>
    <n v="0"/>
    <x v="0"/>
  </r>
  <r>
    <x v="112"/>
    <x v="101"/>
    <n v="10"/>
    <x v="7"/>
    <s v="7ºC"/>
    <x v="0"/>
    <s v="Fertirrigação"/>
    <x v="14"/>
    <s v="3 - Parceria"/>
    <n v="2.5099999999999998"/>
    <n v="2.5099999999999998"/>
    <n v="0"/>
    <n v="2.5099999999999998"/>
    <n v="175.7"/>
    <n v="185.74"/>
    <n v="0"/>
    <n v="129.04"/>
    <x v="0"/>
    <x v="13"/>
    <x v="0"/>
    <x v="0"/>
    <x v="1"/>
    <n v="2.5099999999999998"/>
    <n v="2.5099999999999998"/>
    <n v="2.5099999999999998"/>
    <n v="175.7"/>
    <n v="185.74"/>
    <n v="129.04"/>
    <n v="129.04"/>
    <n v="129.04"/>
    <n v="129.04"/>
    <x v="1"/>
    <x v="1"/>
    <x v="0"/>
    <n v="0"/>
    <x v="0"/>
  </r>
  <r>
    <x v="112"/>
    <x v="101"/>
    <n v="11"/>
    <x v="7"/>
    <s v="7ºC"/>
    <x v="0"/>
    <s v="Fertirrigação"/>
    <x v="14"/>
    <s v="3 - Parceria"/>
    <n v="4.0599999999999996"/>
    <n v="4.0599999999999996"/>
    <n v="0"/>
    <n v="4.0599999999999996"/>
    <n v="284.2"/>
    <n v="300.44"/>
    <n v="0"/>
    <n v="208.17"/>
    <x v="0"/>
    <x v="13"/>
    <x v="0"/>
    <x v="0"/>
    <x v="1"/>
    <n v="4.0599999999999996"/>
    <n v="4.0599999999999996"/>
    <n v="4.0599999999999996"/>
    <n v="284.2"/>
    <n v="300.44"/>
    <n v="208.17"/>
    <n v="208.17"/>
    <n v="208.17"/>
    <n v="208.17"/>
    <x v="1"/>
    <x v="1"/>
    <x v="0"/>
    <n v="0"/>
    <x v="0"/>
  </r>
  <r>
    <x v="112"/>
    <x v="101"/>
    <n v="12"/>
    <x v="7"/>
    <s v="7ºC"/>
    <x v="0"/>
    <s v="Fertirrigação"/>
    <x v="14"/>
    <s v="3 - Parceria"/>
    <n v="1.53"/>
    <n v="1.53"/>
    <n v="0"/>
    <n v="1.53"/>
    <n v="107.1"/>
    <n v="113.22"/>
    <n v="0"/>
    <n v="78.38"/>
    <x v="0"/>
    <x v="13"/>
    <x v="0"/>
    <x v="0"/>
    <x v="1"/>
    <n v="1.53"/>
    <n v="1.53"/>
    <n v="1.53"/>
    <n v="107.1"/>
    <n v="113.22"/>
    <n v="78.38"/>
    <n v="78.38"/>
    <n v="78.38"/>
    <n v="78.38"/>
    <x v="1"/>
    <x v="1"/>
    <x v="0"/>
    <n v="0"/>
    <x v="0"/>
  </r>
  <r>
    <x v="112"/>
    <x v="101"/>
    <n v="13"/>
    <x v="7"/>
    <s v="7ºC"/>
    <x v="0"/>
    <s v="Fertirrigação"/>
    <x v="14"/>
    <s v="3 - Parceria"/>
    <n v="3.19"/>
    <n v="3.19"/>
    <n v="0"/>
    <n v="3.19"/>
    <n v="223.3"/>
    <n v="236.06"/>
    <n v="0"/>
    <n v="163.75"/>
    <x v="0"/>
    <x v="13"/>
    <x v="0"/>
    <x v="0"/>
    <x v="1"/>
    <n v="3.19"/>
    <n v="3.19"/>
    <n v="3.19"/>
    <n v="223.3"/>
    <n v="236.06"/>
    <n v="163.75"/>
    <n v="163.75"/>
    <n v="163.75"/>
    <n v="163.75"/>
    <x v="1"/>
    <x v="1"/>
    <x v="0"/>
    <n v="0"/>
    <x v="0"/>
  </r>
  <r>
    <x v="112"/>
    <x v="101"/>
    <n v="14"/>
    <x v="7"/>
    <s v="7ºC"/>
    <x v="0"/>
    <s v="Fertirrigação"/>
    <x v="14"/>
    <s v="3 - Parceria"/>
    <n v="1.34"/>
    <n v="1.34"/>
    <n v="0"/>
    <n v="1.34"/>
    <n v="93.8"/>
    <n v="99.16"/>
    <n v="0"/>
    <n v="68.66"/>
    <x v="0"/>
    <x v="13"/>
    <x v="0"/>
    <x v="0"/>
    <x v="1"/>
    <n v="1.34"/>
    <n v="1.34"/>
    <n v="1.34"/>
    <n v="93.8"/>
    <n v="99.16"/>
    <n v="68.66"/>
    <n v="68.66"/>
    <n v="68.66"/>
    <n v="68.66"/>
    <x v="1"/>
    <x v="1"/>
    <x v="0"/>
    <n v="0"/>
    <x v="0"/>
  </r>
  <r>
    <x v="112"/>
    <x v="101"/>
    <n v="15"/>
    <x v="7"/>
    <s v="7ºC"/>
    <x v="0"/>
    <s v="Fertirrigação"/>
    <x v="14"/>
    <s v="3 - Parceria"/>
    <n v="2.2599999999999998"/>
    <n v="2.2599999999999998"/>
    <n v="0"/>
    <n v="2.2599999999999998"/>
    <n v="158.19999999999999"/>
    <n v="167.24"/>
    <n v="0"/>
    <n v="115.86"/>
    <x v="0"/>
    <x v="13"/>
    <x v="0"/>
    <x v="0"/>
    <x v="1"/>
    <n v="2.2599999999999998"/>
    <n v="2.2599999999999998"/>
    <n v="2.2599999999999998"/>
    <n v="158.19999999999999"/>
    <n v="167.24"/>
    <n v="115.86"/>
    <n v="115.86"/>
    <n v="115.86"/>
    <n v="115.86"/>
    <x v="1"/>
    <x v="1"/>
    <x v="0"/>
    <n v="0"/>
    <x v="0"/>
  </r>
  <r>
    <x v="112"/>
    <x v="101"/>
    <n v="16"/>
    <x v="7"/>
    <s v="7ºC"/>
    <x v="0"/>
    <s v="Fertirrigação"/>
    <x v="14"/>
    <s v="3 - Parceria"/>
    <n v="3.02"/>
    <n v="3.02"/>
    <n v="0"/>
    <n v="3.02"/>
    <n v="211.4"/>
    <n v="223.48"/>
    <n v="0"/>
    <n v="154.72999999999999"/>
    <x v="0"/>
    <x v="13"/>
    <x v="0"/>
    <x v="0"/>
    <x v="1"/>
    <n v="3.02"/>
    <n v="3.02"/>
    <n v="3.02"/>
    <n v="211.4"/>
    <n v="223.48"/>
    <n v="154.72999999999999"/>
    <n v="154.72999999999999"/>
    <n v="154.72999999999999"/>
    <n v="154.72999999999999"/>
    <x v="1"/>
    <x v="1"/>
    <x v="0"/>
    <n v="0"/>
    <x v="0"/>
  </r>
  <r>
    <x v="112"/>
    <x v="101"/>
    <n v="17"/>
    <x v="7"/>
    <s v="7ºC"/>
    <x v="0"/>
    <s v="Fertirrigação"/>
    <x v="14"/>
    <s v="3 - Parceria"/>
    <n v="1"/>
    <n v="1"/>
    <n v="0"/>
    <n v="1"/>
    <n v="70"/>
    <n v="74"/>
    <n v="0"/>
    <n v="51.3"/>
    <x v="0"/>
    <x v="13"/>
    <x v="0"/>
    <x v="0"/>
    <x v="1"/>
    <n v="1"/>
    <n v="1"/>
    <n v="1"/>
    <n v="70"/>
    <n v="74"/>
    <n v="51.3"/>
    <n v="51.3"/>
    <n v="51.3"/>
    <n v="51.3"/>
    <x v="1"/>
    <x v="1"/>
    <x v="0"/>
    <n v="0"/>
    <x v="0"/>
  </r>
  <r>
    <x v="112"/>
    <x v="101"/>
    <n v="18"/>
    <x v="7"/>
    <s v="7ºC"/>
    <x v="0"/>
    <s v="Fertirrigação"/>
    <x v="14"/>
    <s v="3 - Parceria"/>
    <n v="2.76"/>
    <n v="2.76"/>
    <n v="0"/>
    <n v="2.76"/>
    <n v="193.2"/>
    <n v="204.24"/>
    <n v="0"/>
    <n v="141.55000000000001"/>
    <x v="0"/>
    <x v="13"/>
    <x v="0"/>
    <x v="0"/>
    <x v="1"/>
    <n v="2.76"/>
    <n v="2.76"/>
    <n v="2.76"/>
    <n v="193.2"/>
    <n v="204.24"/>
    <n v="141.55000000000001"/>
    <n v="141.55000000000001"/>
    <n v="141.55000000000001"/>
    <n v="141.55000000000001"/>
    <x v="1"/>
    <x v="1"/>
    <x v="0"/>
    <n v="0"/>
    <x v="0"/>
  </r>
  <r>
    <x v="112"/>
    <x v="101"/>
    <n v="19"/>
    <x v="7"/>
    <s v="7ºC"/>
    <x v="0"/>
    <s v="Fertirrigação"/>
    <x v="14"/>
    <s v="3 - Parceria"/>
    <n v="1.31"/>
    <n v="1.31"/>
    <n v="0"/>
    <n v="1.31"/>
    <n v="91.7"/>
    <n v="96.94"/>
    <n v="0"/>
    <n v="67.27"/>
    <x v="0"/>
    <x v="13"/>
    <x v="0"/>
    <x v="0"/>
    <x v="1"/>
    <n v="1.31"/>
    <n v="1.31"/>
    <n v="1.31"/>
    <n v="91.7"/>
    <n v="96.94"/>
    <n v="67.27"/>
    <n v="67.27"/>
    <n v="67.27"/>
    <n v="67.27"/>
    <x v="1"/>
    <x v="1"/>
    <x v="0"/>
    <n v="0"/>
    <x v="0"/>
  </r>
  <r>
    <x v="112"/>
    <x v="101"/>
    <n v="20"/>
    <x v="7"/>
    <s v="7ºC"/>
    <x v="0"/>
    <s v="Fertirrigação"/>
    <x v="14"/>
    <s v="3 - Parceria"/>
    <n v="1.41"/>
    <n v="1.41"/>
    <n v="0"/>
    <n v="1.41"/>
    <n v="98.7"/>
    <n v="104.34"/>
    <n v="0"/>
    <n v="72.13"/>
    <x v="0"/>
    <x v="13"/>
    <x v="0"/>
    <x v="0"/>
    <x v="1"/>
    <n v="1.41"/>
    <n v="1.41"/>
    <n v="1.41"/>
    <n v="98.7"/>
    <n v="104.34"/>
    <n v="72.13"/>
    <n v="72.13"/>
    <n v="72.13"/>
    <n v="72.13"/>
    <x v="1"/>
    <x v="1"/>
    <x v="0"/>
    <n v="0"/>
    <x v="0"/>
  </r>
  <r>
    <x v="112"/>
    <x v="101"/>
    <n v="21"/>
    <x v="7"/>
    <s v="7ºC"/>
    <x v="0"/>
    <s v="Fertirrigação"/>
    <x v="14"/>
    <s v="3 - Parceria"/>
    <n v="5.71"/>
    <n v="0"/>
    <n v="0"/>
    <n v="5.71"/>
    <n v="399.7"/>
    <n v="0"/>
    <n v="0"/>
    <n v="449.58"/>
    <x v="0"/>
    <x v="23"/>
    <x v="0"/>
    <x v="1"/>
    <x v="1"/>
    <n v="5.71"/>
    <n v="5.71"/>
    <n v="5.71"/>
    <n v="399.7"/>
    <n v="449.58"/>
    <n v="449.58"/>
    <n v="449.58"/>
    <n v="449.58"/>
    <n v="449.58"/>
    <x v="1"/>
    <x v="1"/>
    <x v="0"/>
    <n v="0"/>
    <x v="0"/>
  </r>
  <r>
    <x v="112"/>
    <x v="101"/>
    <n v="22"/>
    <x v="7"/>
    <s v="7ºC"/>
    <x v="0"/>
    <s v="Fertirrigação"/>
    <x v="14"/>
    <s v="3 - Parceria"/>
    <n v="2.2000000000000002"/>
    <n v="0"/>
    <n v="0"/>
    <n v="2.2000000000000002"/>
    <n v="154"/>
    <n v="0"/>
    <n v="0"/>
    <n v="173.08"/>
    <x v="0"/>
    <x v="23"/>
    <x v="0"/>
    <x v="1"/>
    <x v="1"/>
    <n v="2.2000000000000002"/>
    <n v="2.2000000000000002"/>
    <n v="2.2000000000000002"/>
    <n v="154"/>
    <n v="173.08"/>
    <n v="173.08"/>
    <n v="173.08"/>
    <n v="173.08"/>
    <n v="173.08"/>
    <x v="1"/>
    <x v="1"/>
    <x v="0"/>
    <n v="0"/>
    <x v="0"/>
  </r>
  <r>
    <x v="112"/>
    <x v="101"/>
    <n v="23"/>
    <x v="7"/>
    <s v="7ºC"/>
    <x v="0"/>
    <s v="Fertirrigação"/>
    <x v="14"/>
    <s v="3 - Parceria"/>
    <n v="2.23"/>
    <n v="0"/>
    <n v="0"/>
    <n v="2.23"/>
    <n v="156.1"/>
    <n v="0"/>
    <n v="0"/>
    <n v="175.33"/>
    <x v="0"/>
    <x v="23"/>
    <x v="0"/>
    <x v="1"/>
    <x v="1"/>
    <n v="2.23"/>
    <n v="2.23"/>
    <n v="2.23"/>
    <n v="156.1"/>
    <n v="175.33"/>
    <n v="175.33"/>
    <n v="175.33"/>
    <n v="175.33"/>
    <n v="175.33"/>
    <x v="1"/>
    <x v="1"/>
    <x v="0"/>
    <n v="0"/>
    <x v="0"/>
  </r>
  <r>
    <x v="112"/>
    <x v="101"/>
    <n v="24"/>
    <x v="7"/>
    <s v="7ºC"/>
    <x v="0"/>
    <s v="Fertirrigação"/>
    <x v="14"/>
    <s v="3 - Parceria"/>
    <n v="3.56"/>
    <n v="0"/>
    <n v="0"/>
    <n v="3.56"/>
    <n v="249.2"/>
    <n v="0"/>
    <n v="0"/>
    <n v="279.92"/>
    <x v="0"/>
    <x v="23"/>
    <x v="0"/>
    <x v="1"/>
    <x v="1"/>
    <n v="3.56"/>
    <n v="3.56"/>
    <n v="3.56"/>
    <n v="249.2"/>
    <n v="279.92"/>
    <n v="279.92"/>
    <n v="279.92"/>
    <n v="279.92"/>
    <n v="279.92"/>
    <x v="1"/>
    <x v="1"/>
    <x v="0"/>
    <n v="0"/>
    <x v="0"/>
  </r>
  <r>
    <x v="112"/>
    <x v="101"/>
    <n v="25"/>
    <x v="7"/>
    <s v="7ºC"/>
    <x v="0"/>
    <s v="Fertirrigação"/>
    <x v="14"/>
    <s v="3 - Parceria"/>
    <n v="2.93"/>
    <n v="0"/>
    <n v="0"/>
    <n v="2.93"/>
    <n v="205.1"/>
    <n v="0"/>
    <n v="0"/>
    <n v="208"/>
    <x v="0"/>
    <x v="13"/>
    <x v="0"/>
    <x v="1"/>
    <x v="1"/>
    <n v="2.93"/>
    <n v="2.93"/>
    <n v="2.93"/>
    <n v="205.1"/>
    <n v="208"/>
    <n v="208"/>
    <n v="208"/>
    <n v="208"/>
    <n v="208"/>
    <x v="1"/>
    <x v="1"/>
    <x v="0"/>
    <n v="0"/>
    <x v="0"/>
  </r>
  <r>
    <x v="112"/>
    <x v="101"/>
    <n v="26"/>
    <x v="7"/>
    <s v="7ºC"/>
    <x v="0"/>
    <s v="Fertirrigação"/>
    <x v="14"/>
    <s v="3 - Parceria"/>
    <n v="0.85"/>
    <n v="0"/>
    <n v="0"/>
    <n v="0.85"/>
    <n v="59.5"/>
    <n v="0"/>
    <n v="0"/>
    <n v="60.65"/>
    <x v="0"/>
    <x v="13"/>
    <x v="0"/>
    <x v="1"/>
    <x v="1"/>
    <n v="0.85"/>
    <n v="0.85"/>
    <n v="0.85"/>
    <n v="59.5"/>
    <n v="60.65"/>
    <n v="60.65"/>
    <n v="60.65"/>
    <n v="60.65"/>
    <n v="60.65"/>
    <x v="1"/>
    <x v="1"/>
    <x v="0"/>
    <n v="0"/>
    <x v="0"/>
  </r>
  <r>
    <x v="112"/>
    <x v="101"/>
    <n v="27"/>
    <x v="7"/>
    <s v="7ºC"/>
    <x v="0"/>
    <s v="Fertirrigação"/>
    <x v="14"/>
    <s v="3 - Parceria"/>
    <n v="0.64"/>
    <n v="0"/>
    <n v="0"/>
    <n v="0.64"/>
    <n v="44.8"/>
    <n v="0"/>
    <n v="0"/>
    <n v="45.8"/>
    <x v="0"/>
    <x v="13"/>
    <x v="0"/>
    <x v="1"/>
    <x v="1"/>
    <n v="0.64"/>
    <n v="0.64"/>
    <n v="0.64"/>
    <n v="44.8"/>
    <n v="45.8"/>
    <n v="45.8"/>
    <n v="45.8"/>
    <n v="45.8"/>
    <n v="45.8"/>
    <x v="1"/>
    <x v="1"/>
    <x v="0"/>
    <n v="0"/>
    <x v="0"/>
  </r>
  <r>
    <x v="112"/>
    <x v="101"/>
    <n v="28"/>
    <x v="7"/>
    <s v="7ºC"/>
    <x v="0"/>
    <s v="Fertirrigação"/>
    <x v="14"/>
    <s v="3 - Parceria"/>
    <n v="2.65"/>
    <n v="0"/>
    <n v="0"/>
    <n v="2.65"/>
    <n v="159"/>
    <n v="0"/>
    <n v="0"/>
    <n v="160.93"/>
    <x v="0"/>
    <x v="13"/>
    <x v="0"/>
    <x v="1"/>
    <x v="1"/>
    <n v="2.65"/>
    <n v="2.65"/>
    <n v="2.65"/>
    <n v="159"/>
    <n v="160.93"/>
    <n v="160.93"/>
    <n v="160.93"/>
    <n v="160.93"/>
    <n v="160.93"/>
    <x v="1"/>
    <x v="1"/>
    <x v="0"/>
    <n v="0"/>
    <x v="0"/>
  </r>
  <r>
    <x v="112"/>
    <x v="101"/>
    <n v="29"/>
    <x v="7"/>
    <s v="7ºC"/>
    <x v="0"/>
    <s v="Fertirrigação"/>
    <x v="14"/>
    <s v="3 - Parceria"/>
    <n v="0.89"/>
    <n v="0"/>
    <n v="0"/>
    <n v="0.89"/>
    <n v="53.4"/>
    <n v="0"/>
    <n v="0"/>
    <n v="53.82"/>
    <x v="0"/>
    <x v="13"/>
    <x v="0"/>
    <x v="1"/>
    <x v="1"/>
    <n v="0.89"/>
    <n v="0.89"/>
    <n v="0.89"/>
    <n v="53.4"/>
    <n v="53.82"/>
    <n v="53.82"/>
    <n v="53.82"/>
    <n v="53.82"/>
    <n v="53.82"/>
    <x v="1"/>
    <x v="1"/>
    <x v="0"/>
    <n v="0"/>
    <x v="0"/>
  </r>
  <r>
    <x v="112"/>
    <x v="101"/>
    <n v="30"/>
    <x v="7"/>
    <s v="7ºC"/>
    <x v="0"/>
    <s v="Fertirrigação"/>
    <x v="14"/>
    <s v="3 - Parceria"/>
    <n v="1.26"/>
    <n v="0"/>
    <n v="0"/>
    <n v="1.26"/>
    <n v="75.599999999999994"/>
    <n v="0"/>
    <n v="0"/>
    <n v="76.66"/>
    <x v="0"/>
    <x v="13"/>
    <x v="0"/>
    <x v="1"/>
    <x v="1"/>
    <n v="1.26"/>
    <n v="1.26"/>
    <n v="1.26"/>
    <n v="75.599999999999994"/>
    <n v="76.66"/>
    <n v="76.66"/>
    <n v="76.66"/>
    <n v="76.66"/>
    <n v="76.66"/>
    <x v="1"/>
    <x v="1"/>
    <x v="0"/>
    <n v="0"/>
    <x v="0"/>
  </r>
  <r>
    <x v="112"/>
    <x v="101"/>
    <n v="31"/>
    <x v="7"/>
    <s v="7ºC"/>
    <x v="0"/>
    <s v="Fertirrigação"/>
    <x v="14"/>
    <s v="3 - Parceria"/>
    <n v="1.5"/>
    <n v="0"/>
    <n v="0"/>
    <n v="1.5"/>
    <n v="90"/>
    <n v="0"/>
    <n v="0"/>
    <n v="91.71"/>
    <x v="0"/>
    <x v="13"/>
    <x v="0"/>
    <x v="1"/>
    <x v="1"/>
    <n v="1.5"/>
    <n v="1.5"/>
    <n v="1.5"/>
    <n v="90"/>
    <n v="91.71"/>
    <n v="91.71"/>
    <n v="91.71"/>
    <n v="91.71"/>
    <n v="91.71"/>
    <x v="1"/>
    <x v="1"/>
    <x v="0"/>
    <n v="0"/>
    <x v="0"/>
  </r>
  <r>
    <x v="112"/>
    <x v="101"/>
    <n v="32"/>
    <x v="7"/>
    <s v="7ºC"/>
    <x v="0"/>
    <s v="Fertirrigação"/>
    <x v="14"/>
    <s v="3 - Parceria"/>
    <n v="1.1200000000000001"/>
    <n v="0"/>
    <n v="0"/>
    <n v="1.1200000000000001"/>
    <n v="67.2"/>
    <n v="0"/>
    <n v="0"/>
    <n v="68.180000000000007"/>
    <x v="0"/>
    <x v="13"/>
    <x v="0"/>
    <x v="1"/>
    <x v="1"/>
    <n v="1.1200000000000001"/>
    <n v="1.1200000000000001"/>
    <n v="1.1200000000000001"/>
    <n v="67.2"/>
    <n v="68.180000000000007"/>
    <n v="68.180000000000007"/>
    <n v="68.180000000000007"/>
    <n v="68.180000000000007"/>
    <n v="68.180000000000007"/>
    <x v="1"/>
    <x v="1"/>
    <x v="0"/>
    <n v="0"/>
    <x v="0"/>
  </r>
  <r>
    <x v="112"/>
    <x v="101"/>
    <n v="33"/>
    <x v="7"/>
    <s v="7ºC"/>
    <x v="0"/>
    <s v="Fertirrigação"/>
    <x v="14"/>
    <s v="3 - Parceria"/>
    <n v="1.1100000000000001"/>
    <n v="0"/>
    <n v="0"/>
    <n v="1.1100000000000001"/>
    <n v="66.599999999999994"/>
    <n v="0"/>
    <n v="0"/>
    <n v="67.48"/>
    <x v="0"/>
    <x v="13"/>
    <x v="0"/>
    <x v="1"/>
    <x v="1"/>
    <n v="1.1100000000000001"/>
    <n v="1.1100000000000001"/>
    <n v="1.1100000000000001"/>
    <n v="66.599999999999994"/>
    <n v="67.48"/>
    <n v="67.48"/>
    <n v="67.48"/>
    <n v="67.48"/>
    <n v="67.48"/>
    <x v="1"/>
    <x v="1"/>
    <x v="0"/>
    <n v="0"/>
    <x v="0"/>
  </r>
  <r>
    <x v="112"/>
    <x v="101"/>
    <n v="34"/>
    <x v="7"/>
    <s v="7ºC"/>
    <x v="0"/>
    <s v="Fertirrigação"/>
    <x v="14"/>
    <s v="3 - Parceria"/>
    <n v="2.91"/>
    <n v="0"/>
    <n v="0"/>
    <n v="2.91"/>
    <n v="174.6"/>
    <n v="0"/>
    <n v="0"/>
    <n v="176.93"/>
    <x v="0"/>
    <x v="13"/>
    <x v="0"/>
    <x v="1"/>
    <x v="1"/>
    <n v="2.91"/>
    <n v="2.91"/>
    <n v="2.91"/>
    <n v="174.6"/>
    <n v="176.93"/>
    <n v="176.93"/>
    <n v="176.93"/>
    <n v="176.93"/>
    <n v="176.93"/>
    <x v="1"/>
    <x v="1"/>
    <x v="0"/>
    <n v="0"/>
    <x v="0"/>
  </r>
  <r>
    <x v="112"/>
    <x v="101"/>
    <n v="35"/>
    <x v="7"/>
    <s v="7ºC"/>
    <x v="0"/>
    <s v="Fertirrigação"/>
    <x v="14"/>
    <s v="3 - Parceria"/>
    <n v="3.81"/>
    <n v="0"/>
    <n v="0"/>
    <n v="3.81"/>
    <n v="266.7"/>
    <n v="0"/>
    <n v="0"/>
    <n v="270.39"/>
    <x v="0"/>
    <x v="13"/>
    <x v="0"/>
    <x v="1"/>
    <x v="1"/>
    <n v="3.81"/>
    <n v="3.81"/>
    <n v="3.81"/>
    <n v="266.7"/>
    <n v="270.39"/>
    <n v="270.39"/>
    <n v="270.39"/>
    <n v="270.39"/>
    <n v="270.39"/>
    <x v="1"/>
    <x v="1"/>
    <x v="0"/>
    <n v="0"/>
    <x v="0"/>
  </r>
  <r>
    <x v="112"/>
    <x v="101"/>
    <n v="36"/>
    <x v="7"/>
    <s v="7ºC"/>
    <x v="0"/>
    <s v="Fertirrigação"/>
    <x v="14"/>
    <s v="3 - Parceria"/>
    <n v="1.01"/>
    <n v="0"/>
    <n v="0"/>
    <n v="1.01"/>
    <n v="70.7"/>
    <n v="0"/>
    <n v="0"/>
    <n v="72.180000000000007"/>
    <x v="0"/>
    <x v="13"/>
    <x v="0"/>
    <x v="1"/>
    <x v="1"/>
    <n v="1.01"/>
    <n v="1.01"/>
    <n v="1.01"/>
    <n v="70.7"/>
    <n v="72.180000000000007"/>
    <n v="72.180000000000007"/>
    <n v="72.180000000000007"/>
    <n v="72.180000000000007"/>
    <n v="72.180000000000007"/>
    <x v="1"/>
    <x v="1"/>
    <x v="0"/>
    <n v="0"/>
    <x v="0"/>
  </r>
  <r>
    <x v="112"/>
    <x v="101"/>
    <n v="37"/>
    <x v="7"/>
    <s v="7ºC"/>
    <x v="0"/>
    <s v="Fertirrigação"/>
    <x v="14"/>
    <s v="3 - Parceria"/>
    <n v="1"/>
    <n v="0"/>
    <n v="0"/>
    <n v="1"/>
    <n v="70"/>
    <n v="0"/>
    <n v="0"/>
    <n v="71.7"/>
    <x v="0"/>
    <x v="13"/>
    <x v="0"/>
    <x v="1"/>
    <x v="1"/>
    <n v="1"/>
    <n v="1"/>
    <n v="1"/>
    <n v="70"/>
    <n v="71.7"/>
    <n v="71.7"/>
    <n v="71.7"/>
    <n v="71.7"/>
    <n v="71.7"/>
    <x v="1"/>
    <x v="1"/>
    <x v="0"/>
    <n v="0"/>
    <x v="0"/>
  </r>
  <r>
    <x v="112"/>
    <x v="101"/>
    <n v="38"/>
    <x v="7"/>
    <s v="7ºC"/>
    <x v="0"/>
    <s v="Fertirrigação"/>
    <x v="14"/>
    <s v="3 - Parceria"/>
    <n v="3.19"/>
    <n v="0"/>
    <n v="0"/>
    <n v="3.19"/>
    <n v="223.3"/>
    <n v="0"/>
    <n v="0"/>
    <n v="226.35"/>
    <x v="0"/>
    <x v="13"/>
    <x v="0"/>
    <x v="1"/>
    <x v="1"/>
    <n v="3.19"/>
    <n v="3.19"/>
    <n v="3.19"/>
    <n v="223.3"/>
    <n v="226.35"/>
    <n v="226.35"/>
    <n v="226.35"/>
    <n v="226.35"/>
    <n v="226.35"/>
    <x v="1"/>
    <x v="1"/>
    <x v="0"/>
    <n v="0"/>
    <x v="0"/>
  </r>
  <r>
    <x v="112"/>
    <x v="101"/>
    <n v="39"/>
    <x v="7"/>
    <s v="7ºC"/>
    <x v="0"/>
    <s v="Fertirrigação"/>
    <x v="14"/>
    <s v="3 - Parceria"/>
    <n v="0.82"/>
    <n v="0"/>
    <n v="0"/>
    <n v="0.82"/>
    <n v="57.4"/>
    <n v="0"/>
    <n v="0"/>
    <n v="57.82"/>
    <x v="0"/>
    <x v="13"/>
    <x v="0"/>
    <x v="1"/>
    <x v="1"/>
    <n v="0.82"/>
    <n v="0.82"/>
    <n v="0.82"/>
    <n v="57.4"/>
    <n v="57.82"/>
    <n v="57.82"/>
    <n v="57.82"/>
    <n v="57.82"/>
    <n v="57.82"/>
    <x v="1"/>
    <x v="1"/>
    <x v="0"/>
    <n v="0"/>
    <x v="0"/>
  </r>
  <r>
    <x v="112"/>
    <x v="101"/>
    <n v="40"/>
    <x v="7"/>
    <s v="7ºC"/>
    <x v="0"/>
    <s v="Fertirrigação"/>
    <x v="14"/>
    <s v="3 - Parceria"/>
    <n v="1.2"/>
    <n v="0"/>
    <n v="0"/>
    <n v="1.2"/>
    <n v="84"/>
    <n v="0"/>
    <n v="0"/>
    <n v="85.36"/>
    <x v="0"/>
    <x v="13"/>
    <x v="0"/>
    <x v="1"/>
    <x v="1"/>
    <n v="1.2"/>
    <n v="1.2"/>
    <n v="1.2"/>
    <n v="84"/>
    <n v="85.36"/>
    <n v="85.36"/>
    <n v="85.36"/>
    <n v="85.36"/>
    <n v="85.36"/>
    <x v="1"/>
    <x v="1"/>
    <x v="0"/>
    <n v="0"/>
    <x v="0"/>
  </r>
  <r>
    <x v="112"/>
    <x v="101"/>
    <n v="41"/>
    <x v="7"/>
    <s v="7ºC"/>
    <x v="0"/>
    <s v="Fertirrigação"/>
    <x v="14"/>
    <s v="3 - Parceria"/>
    <n v="0.41"/>
    <n v="0"/>
    <n v="0"/>
    <n v="0.41"/>
    <n v="28.7"/>
    <n v="0"/>
    <n v="0"/>
    <n v="29.11"/>
    <x v="0"/>
    <x v="13"/>
    <x v="0"/>
    <x v="1"/>
    <x v="1"/>
    <n v="0.41"/>
    <n v="0.41"/>
    <n v="0.41"/>
    <n v="28.7"/>
    <n v="29.11"/>
    <n v="29.11"/>
    <n v="29.11"/>
    <n v="29.11"/>
    <n v="29.11"/>
    <x v="1"/>
    <x v="1"/>
    <x v="0"/>
    <n v="0"/>
    <x v="0"/>
  </r>
  <r>
    <x v="112"/>
    <x v="101"/>
    <n v="42"/>
    <x v="7"/>
    <s v="7ºC"/>
    <x v="0"/>
    <s v="Fertirrigação"/>
    <x v="14"/>
    <s v="3 - Parceria"/>
    <n v="2.83"/>
    <n v="0"/>
    <n v="0"/>
    <n v="2.83"/>
    <n v="198.1"/>
    <n v="0"/>
    <n v="0"/>
    <n v="201.16"/>
    <x v="0"/>
    <x v="13"/>
    <x v="0"/>
    <x v="1"/>
    <x v="1"/>
    <n v="2.83"/>
    <n v="2.83"/>
    <n v="2.83"/>
    <n v="198.1"/>
    <n v="201.16"/>
    <n v="201.16"/>
    <n v="201.16"/>
    <n v="201.16"/>
    <n v="201.16"/>
    <x v="1"/>
    <x v="1"/>
    <x v="0"/>
    <n v="0"/>
    <x v="0"/>
  </r>
  <r>
    <x v="112"/>
    <x v="101"/>
    <n v="43"/>
    <x v="7"/>
    <s v="7ºC"/>
    <x v="0"/>
    <s v="Fertirrigação"/>
    <x v="14"/>
    <s v="3 - Parceria"/>
    <n v="2.17"/>
    <n v="0"/>
    <n v="0"/>
    <n v="2.17"/>
    <n v="151.9"/>
    <n v="0"/>
    <n v="0"/>
    <n v="154.1"/>
    <x v="0"/>
    <x v="13"/>
    <x v="0"/>
    <x v="1"/>
    <x v="1"/>
    <n v="2.17"/>
    <n v="2.17"/>
    <n v="2.17"/>
    <n v="151.9"/>
    <n v="154.1"/>
    <n v="154.1"/>
    <n v="154.1"/>
    <n v="154.1"/>
    <n v="154.1"/>
    <x v="1"/>
    <x v="1"/>
    <x v="0"/>
    <n v="0"/>
    <x v="0"/>
  </r>
  <r>
    <x v="112"/>
    <x v="101"/>
    <n v="44"/>
    <x v="7"/>
    <s v="7ºC"/>
    <x v="0"/>
    <s v="Fertirrigação"/>
    <x v="14"/>
    <s v="3 - Parceria"/>
    <n v="1.73"/>
    <n v="0"/>
    <n v="0"/>
    <n v="1.73"/>
    <n v="121.1"/>
    <n v="0"/>
    <n v="0"/>
    <n v="123.25"/>
    <x v="0"/>
    <x v="13"/>
    <x v="0"/>
    <x v="1"/>
    <x v="1"/>
    <n v="1.73"/>
    <n v="1.73"/>
    <n v="1.73"/>
    <n v="121.1"/>
    <n v="123.25"/>
    <n v="123.25"/>
    <n v="123.25"/>
    <n v="123.25"/>
    <n v="123.25"/>
    <x v="1"/>
    <x v="1"/>
    <x v="0"/>
    <n v="0"/>
    <x v="0"/>
  </r>
  <r>
    <x v="112"/>
    <x v="101"/>
    <n v="45"/>
    <x v="7"/>
    <s v="7ºC"/>
    <x v="0"/>
    <s v="Fertirrigação"/>
    <x v="14"/>
    <s v="3 - Parceria"/>
    <n v="3.99"/>
    <n v="0"/>
    <n v="0"/>
    <n v="3.99"/>
    <n v="279.3"/>
    <n v="0"/>
    <n v="0"/>
    <n v="283.79000000000002"/>
    <x v="0"/>
    <x v="13"/>
    <x v="0"/>
    <x v="1"/>
    <x v="1"/>
    <n v="3.99"/>
    <n v="3.99"/>
    <n v="3.99"/>
    <n v="279.3"/>
    <n v="283.79000000000002"/>
    <n v="283.79000000000002"/>
    <n v="283.79000000000002"/>
    <n v="283.79000000000002"/>
    <n v="283.79000000000002"/>
    <x v="1"/>
    <x v="1"/>
    <x v="0"/>
    <n v="0"/>
    <x v="0"/>
  </r>
  <r>
    <x v="112"/>
    <x v="101"/>
    <n v="46"/>
    <x v="7"/>
    <s v="7ºC"/>
    <x v="0"/>
    <s v="Fertirrigação"/>
    <x v="14"/>
    <s v="3 - Parceria"/>
    <n v="1.23"/>
    <n v="0"/>
    <n v="0"/>
    <n v="1.23"/>
    <n v="73.8"/>
    <n v="0"/>
    <n v="0"/>
    <n v="76.39"/>
    <x v="0"/>
    <x v="13"/>
    <x v="0"/>
    <x v="1"/>
    <x v="1"/>
    <n v="1.23"/>
    <n v="1.23"/>
    <n v="1.23"/>
    <n v="73.8"/>
    <n v="76.39"/>
    <n v="76.39"/>
    <n v="76.39"/>
    <n v="76.39"/>
    <n v="76.39"/>
    <x v="1"/>
    <x v="1"/>
    <x v="0"/>
    <n v="0"/>
    <x v="0"/>
  </r>
  <r>
    <x v="112"/>
    <x v="101"/>
    <n v="47"/>
    <x v="7"/>
    <s v="7ºC"/>
    <x v="0"/>
    <s v="Fertirrigação"/>
    <x v="14"/>
    <s v="3 - Parceria"/>
    <n v="1.9"/>
    <n v="0"/>
    <n v="0"/>
    <n v="1.9"/>
    <n v="114"/>
    <n v="0"/>
    <n v="0"/>
    <n v="115.73"/>
    <x v="0"/>
    <x v="13"/>
    <x v="0"/>
    <x v="1"/>
    <x v="1"/>
    <n v="1.9"/>
    <n v="1.9"/>
    <n v="1.9"/>
    <n v="114"/>
    <n v="115.73"/>
    <n v="115.73"/>
    <n v="115.73"/>
    <n v="115.73"/>
    <n v="115.73"/>
    <x v="1"/>
    <x v="1"/>
    <x v="0"/>
    <n v="0"/>
    <x v="0"/>
  </r>
  <r>
    <x v="112"/>
    <x v="101"/>
    <n v="48"/>
    <x v="7"/>
    <s v="7ºC"/>
    <x v="0"/>
    <s v="Fertirrigação"/>
    <x v="14"/>
    <s v="3 - Parceria"/>
    <n v="1.74"/>
    <n v="0"/>
    <n v="0"/>
    <n v="1.74"/>
    <n v="104.4"/>
    <n v="0"/>
    <n v="0"/>
    <n v="105.37"/>
    <x v="0"/>
    <x v="13"/>
    <x v="0"/>
    <x v="1"/>
    <x v="1"/>
    <n v="1.74"/>
    <n v="1.74"/>
    <n v="1.74"/>
    <n v="104.4"/>
    <n v="105.37"/>
    <n v="105.37"/>
    <n v="105.37"/>
    <n v="105.37"/>
    <n v="105.37"/>
    <x v="1"/>
    <x v="1"/>
    <x v="0"/>
    <n v="0"/>
    <x v="0"/>
  </r>
  <r>
    <x v="112"/>
    <x v="101"/>
    <n v="49"/>
    <x v="7"/>
    <s v="7ºC"/>
    <x v="0"/>
    <s v="Fertirrigação"/>
    <x v="14"/>
    <s v="3 - Parceria"/>
    <n v="3.34"/>
    <n v="0"/>
    <n v="0"/>
    <n v="3.34"/>
    <n v="200.4"/>
    <n v="0"/>
    <n v="0"/>
    <n v="203.52"/>
    <x v="0"/>
    <x v="13"/>
    <x v="0"/>
    <x v="1"/>
    <x v="1"/>
    <n v="3.34"/>
    <n v="3.34"/>
    <n v="3.34"/>
    <n v="200.4"/>
    <n v="203.52"/>
    <n v="203.52"/>
    <n v="203.52"/>
    <n v="203.52"/>
    <n v="203.52"/>
    <x v="1"/>
    <x v="1"/>
    <x v="0"/>
    <n v="0"/>
    <x v="0"/>
  </r>
  <r>
    <x v="112"/>
    <x v="101"/>
    <n v="50"/>
    <x v="7"/>
    <s v="7ºC"/>
    <x v="0"/>
    <s v="Fertirrigação"/>
    <x v="14"/>
    <s v="3 - Parceria"/>
    <n v="3.23"/>
    <n v="0"/>
    <n v="0"/>
    <n v="3.23"/>
    <n v="193.8"/>
    <n v="0"/>
    <n v="0"/>
    <n v="196.48"/>
    <x v="0"/>
    <x v="13"/>
    <x v="0"/>
    <x v="1"/>
    <x v="1"/>
    <n v="3.23"/>
    <n v="3.23"/>
    <n v="3.23"/>
    <n v="193.8"/>
    <n v="196.48"/>
    <n v="196.48"/>
    <n v="196.48"/>
    <n v="196.48"/>
    <n v="196.48"/>
    <x v="1"/>
    <x v="1"/>
    <x v="0"/>
    <n v="0"/>
    <x v="0"/>
  </r>
  <r>
    <x v="112"/>
    <x v="101"/>
    <n v="51"/>
    <x v="7"/>
    <s v="7ºC"/>
    <x v="0"/>
    <s v="Fertirrigação"/>
    <x v="14"/>
    <s v="3 - Parceria"/>
    <n v="1.57"/>
    <n v="0"/>
    <n v="0"/>
    <n v="1.57"/>
    <n v="94.2"/>
    <n v="0"/>
    <n v="0"/>
    <n v="95.71"/>
    <x v="0"/>
    <x v="13"/>
    <x v="0"/>
    <x v="1"/>
    <x v="1"/>
    <n v="1.57"/>
    <n v="1.57"/>
    <n v="1.57"/>
    <n v="94.2"/>
    <n v="95.71"/>
    <n v="95.71"/>
    <n v="95.71"/>
    <n v="95.71"/>
    <n v="95.71"/>
    <x v="1"/>
    <x v="1"/>
    <x v="0"/>
    <n v="0"/>
    <x v="0"/>
  </r>
  <r>
    <x v="112"/>
    <x v="101"/>
    <n v="52"/>
    <x v="7"/>
    <s v="7ºC"/>
    <x v="0"/>
    <s v="Fertirrigação"/>
    <x v="14"/>
    <s v="3 - Parceria"/>
    <n v="1.0900000000000001"/>
    <n v="0"/>
    <n v="0"/>
    <n v="1.0900000000000001"/>
    <n v="65.400000000000006"/>
    <n v="0"/>
    <n v="0"/>
    <n v="69.12"/>
    <x v="0"/>
    <x v="13"/>
    <x v="0"/>
    <x v="1"/>
    <x v="1"/>
    <n v="1.0900000000000001"/>
    <n v="1.0900000000000001"/>
    <n v="1.0900000000000001"/>
    <n v="65.400000000000006"/>
    <n v="69.12"/>
    <n v="69.12"/>
    <n v="69.12"/>
    <n v="69.12"/>
    <n v="69.12"/>
    <x v="1"/>
    <x v="1"/>
    <x v="0"/>
    <n v="0"/>
    <x v="0"/>
  </r>
  <r>
    <x v="112"/>
    <x v="101"/>
    <n v="53"/>
    <x v="7"/>
    <s v="7ºC"/>
    <x v="0"/>
    <s v="Fertirrigação"/>
    <x v="14"/>
    <s v="3 - Parceria"/>
    <n v="2.0499999999999998"/>
    <n v="0"/>
    <n v="0"/>
    <n v="2.0499999999999998"/>
    <n v="135.30000000000001"/>
    <n v="0"/>
    <n v="0"/>
    <n v="155.86000000000001"/>
    <x v="0"/>
    <x v="14"/>
    <x v="0"/>
    <x v="1"/>
    <x v="1"/>
    <n v="2.0499999999999998"/>
    <n v="2.0499999999999998"/>
    <n v="2.0499999999999998"/>
    <n v="135.30000000000001"/>
    <n v="155.86000000000001"/>
    <n v="155.86000000000001"/>
    <n v="155.86000000000001"/>
    <n v="155.86000000000001"/>
    <n v="155.86000000000001"/>
    <x v="1"/>
    <x v="1"/>
    <x v="0"/>
    <n v="0"/>
    <x v="0"/>
  </r>
  <r>
    <x v="112"/>
    <x v="101"/>
    <n v="54"/>
    <x v="7"/>
    <s v="7ºC"/>
    <x v="0"/>
    <s v="Fertirrigação"/>
    <x v="14"/>
    <s v="3 - Parceria"/>
    <n v="2.63"/>
    <n v="0"/>
    <n v="0"/>
    <n v="2.63"/>
    <n v="173.58"/>
    <n v="0"/>
    <n v="0"/>
    <n v="200.81"/>
    <x v="0"/>
    <x v="14"/>
    <x v="0"/>
    <x v="1"/>
    <x v="1"/>
    <n v="2.63"/>
    <n v="2.63"/>
    <n v="2.63"/>
    <n v="173.58"/>
    <n v="200.81"/>
    <n v="200.81"/>
    <n v="200.81"/>
    <n v="200.81"/>
    <n v="200.81"/>
    <x v="1"/>
    <x v="1"/>
    <x v="0"/>
    <n v="0"/>
    <x v="0"/>
  </r>
  <r>
    <x v="112"/>
    <x v="101"/>
    <n v="55"/>
    <x v="7"/>
    <s v="7ºC"/>
    <x v="0"/>
    <s v="Fertirrigação"/>
    <x v="14"/>
    <s v="3 - Parceria"/>
    <n v="3.14"/>
    <n v="0"/>
    <n v="0"/>
    <n v="3.14"/>
    <n v="207.24"/>
    <n v="0"/>
    <n v="0"/>
    <n v="239.09"/>
    <x v="0"/>
    <x v="14"/>
    <x v="0"/>
    <x v="1"/>
    <x v="1"/>
    <n v="3.14"/>
    <n v="3.14"/>
    <n v="3.14"/>
    <n v="207.24"/>
    <n v="239.09"/>
    <n v="239.09"/>
    <n v="239.09"/>
    <n v="239.09"/>
    <n v="239.09"/>
    <x v="1"/>
    <x v="1"/>
    <x v="0"/>
    <n v="0"/>
    <x v="0"/>
  </r>
  <r>
    <x v="112"/>
    <x v="101"/>
    <n v="56"/>
    <x v="7"/>
    <s v="7ºC"/>
    <x v="0"/>
    <s v="Fertirrigação"/>
    <x v="14"/>
    <s v="3 - Parceria"/>
    <n v="1.5"/>
    <n v="0"/>
    <n v="0"/>
    <n v="1.5"/>
    <n v="99"/>
    <n v="0"/>
    <n v="0"/>
    <n v="113.75"/>
    <x v="0"/>
    <x v="14"/>
    <x v="0"/>
    <x v="1"/>
    <x v="1"/>
    <n v="1.5"/>
    <n v="1.5"/>
    <n v="1.5"/>
    <n v="99"/>
    <n v="113.75"/>
    <n v="113.75"/>
    <n v="113.75"/>
    <n v="113.75"/>
    <n v="113.75"/>
    <x v="1"/>
    <x v="1"/>
    <x v="0"/>
    <n v="0"/>
    <x v="0"/>
  </r>
  <r>
    <x v="112"/>
    <x v="101"/>
    <n v="57"/>
    <x v="7"/>
    <s v="7ºC"/>
    <x v="0"/>
    <s v="Fertirrigação"/>
    <x v="14"/>
    <s v="3 - Parceria"/>
    <n v="2.5099999999999998"/>
    <n v="0"/>
    <n v="0"/>
    <n v="2.5099999999999998"/>
    <n v="165.66"/>
    <n v="0"/>
    <n v="0"/>
    <n v="191.25"/>
    <x v="0"/>
    <x v="14"/>
    <x v="0"/>
    <x v="1"/>
    <x v="1"/>
    <n v="2.5099999999999998"/>
    <n v="2.5099999999999998"/>
    <n v="2.5099999999999998"/>
    <n v="165.66"/>
    <n v="191.25"/>
    <n v="191.25"/>
    <n v="191.25"/>
    <n v="191.25"/>
    <n v="191.25"/>
    <x v="1"/>
    <x v="1"/>
    <x v="0"/>
    <n v="0"/>
    <x v="0"/>
  </r>
  <r>
    <x v="112"/>
    <x v="101"/>
    <n v="58"/>
    <x v="7"/>
    <s v="7ºC"/>
    <x v="0"/>
    <s v="Fertirrigação"/>
    <x v="14"/>
    <s v="3 - Parceria"/>
    <n v="8.02"/>
    <n v="0"/>
    <n v="0"/>
    <n v="8.02"/>
    <n v="433.08"/>
    <n v="0"/>
    <n v="0"/>
    <n v="499.28"/>
    <x v="0"/>
    <x v="14"/>
    <x v="0"/>
    <x v="1"/>
    <x v="1"/>
    <n v="8.02"/>
    <n v="8.02"/>
    <n v="8.02"/>
    <n v="433.08"/>
    <n v="499.28"/>
    <n v="499.28"/>
    <n v="499.28"/>
    <n v="499.28"/>
    <n v="499.28"/>
    <x v="1"/>
    <x v="1"/>
    <x v="0"/>
    <n v="0"/>
    <x v="0"/>
  </r>
  <r>
    <x v="112"/>
    <x v="101"/>
    <n v="59"/>
    <x v="7"/>
    <s v="7ºC"/>
    <x v="0"/>
    <s v="Fertirrigação"/>
    <x v="14"/>
    <s v="3 - Parceria"/>
    <n v="7.52"/>
    <n v="0"/>
    <n v="0"/>
    <n v="7.52"/>
    <n v="376"/>
    <n v="0"/>
    <n v="0"/>
    <n v="433.27"/>
    <x v="0"/>
    <x v="14"/>
    <x v="0"/>
    <x v="1"/>
    <x v="1"/>
    <n v="7.52"/>
    <n v="7.52"/>
    <n v="7.52"/>
    <n v="376"/>
    <n v="433.27"/>
    <n v="433.27"/>
    <n v="433.27"/>
    <n v="433.27"/>
    <n v="433.27"/>
    <x v="1"/>
    <x v="1"/>
    <x v="0"/>
    <n v="0"/>
    <x v="0"/>
  </r>
  <r>
    <x v="112"/>
    <x v="101"/>
    <n v="60"/>
    <x v="7"/>
    <s v="7ºC"/>
    <x v="0"/>
    <s v="Fertirrigação"/>
    <x v="14"/>
    <s v="3 - Parceria"/>
    <n v="2.59"/>
    <n v="0"/>
    <n v="0"/>
    <n v="2.59"/>
    <n v="103.6"/>
    <n v="0"/>
    <n v="0"/>
    <n v="119.5"/>
    <x v="0"/>
    <x v="14"/>
    <x v="0"/>
    <x v="1"/>
    <x v="1"/>
    <n v="2.59"/>
    <n v="2.59"/>
    <n v="2.59"/>
    <n v="103.6"/>
    <n v="119.5"/>
    <n v="119.5"/>
    <n v="119.5"/>
    <n v="119.5"/>
    <n v="119.5"/>
    <x v="1"/>
    <x v="1"/>
    <x v="0"/>
    <n v="0"/>
    <x v="0"/>
  </r>
  <r>
    <x v="112"/>
    <x v="101"/>
    <n v="61"/>
    <x v="7"/>
    <s v="7ºC"/>
    <x v="0"/>
    <s v="Fertirrigação"/>
    <x v="14"/>
    <s v="3 - Parceria"/>
    <n v="1.84"/>
    <n v="0"/>
    <n v="0"/>
    <n v="1.84"/>
    <n v="125.12"/>
    <n v="0"/>
    <n v="0"/>
    <n v="144.37"/>
    <x v="0"/>
    <x v="14"/>
    <x v="0"/>
    <x v="1"/>
    <x v="1"/>
    <n v="1.84"/>
    <n v="1.84"/>
    <n v="1.84"/>
    <n v="125.12"/>
    <n v="144.37"/>
    <n v="144.37"/>
    <n v="144.37"/>
    <n v="144.37"/>
    <n v="144.37"/>
    <x v="1"/>
    <x v="1"/>
    <x v="0"/>
    <n v="0"/>
    <x v="0"/>
  </r>
  <r>
    <x v="112"/>
    <x v="101"/>
    <n v="62"/>
    <x v="7"/>
    <s v="7ºC"/>
    <x v="0"/>
    <s v="Fertirrigação"/>
    <x v="14"/>
    <s v="3 - Parceria"/>
    <n v="2.64"/>
    <n v="0"/>
    <n v="0"/>
    <n v="2.64"/>
    <n v="179.52"/>
    <n v="0"/>
    <n v="0"/>
    <n v="207.51"/>
    <x v="0"/>
    <x v="14"/>
    <x v="0"/>
    <x v="1"/>
    <x v="1"/>
    <n v="2.64"/>
    <n v="2.64"/>
    <n v="2.64"/>
    <n v="179.52"/>
    <n v="207.51"/>
    <n v="207.51"/>
    <n v="207.51"/>
    <n v="207.51"/>
    <n v="207.51"/>
    <x v="1"/>
    <x v="1"/>
    <x v="0"/>
    <n v="0"/>
    <x v="0"/>
  </r>
  <r>
    <x v="112"/>
    <x v="101"/>
    <n v="63"/>
    <x v="7"/>
    <s v="7ºC"/>
    <x v="0"/>
    <s v="Fertirrigação"/>
    <x v="14"/>
    <s v="3 - Parceria"/>
    <n v="4"/>
    <n v="0"/>
    <n v="0"/>
    <n v="4"/>
    <n v="272"/>
    <n v="0"/>
    <n v="0"/>
    <n v="313.69"/>
    <x v="0"/>
    <x v="14"/>
    <x v="0"/>
    <x v="1"/>
    <x v="1"/>
    <n v="4"/>
    <n v="4"/>
    <n v="4"/>
    <n v="272"/>
    <n v="313.69"/>
    <n v="313.69"/>
    <n v="313.69"/>
    <n v="313.69"/>
    <n v="313.69"/>
    <x v="1"/>
    <x v="1"/>
    <x v="0"/>
    <n v="0"/>
    <x v="0"/>
  </r>
  <r>
    <x v="112"/>
    <x v="101"/>
    <n v="64"/>
    <x v="7"/>
    <s v="7ºC"/>
    <x v="0"/>
    <s v="Fertirrigação"/>
    <x v="14"/>
    <s v="3 - Parceria"/>
    <n v="5.15"/>
    <n v="0"/>
    <n v="0"/>
    <n v="5.15"/>
    <n v="329.6"/>
    <n v="0"/>
    <n v="0"/>
    <n v="379.69"/>
    <x v="0"/>
    <x v="14"/>
    <x v="0"/>
    <x v="1"/>
    <x v="1"/>
    <n v="5.15"/>
    <n v="5.15"/>
    <n v="5.15"/>
    <n v="329.6"/>
    <n v="379.69"/>
    <n v="379.69"/>
    <n v="379.69"/>
    <n v="379.69"/>
    <n v="379.69"/>
    <x v="1"/>
    <x v="1"/>
    <x v="0"/>
    <n v="0"/>
    <x v="0"/>
  </r>
  <r>
    <x v="112"/>
    <x v="101"/>
    <n v="65"/>
    <x v="7"/>
    <s v="7ºC"/>
    <x v="0"/>
    <s v="Fertirrigação"/>
    <x v="14"/>
    <s v="3 - Parceria"/>
    <n v="2.2400000000000002"/>
    <n v="0"/>
    <n v="0"/>
    <n v="2.2400000000000002"/>
    <n v="89.6"/>
    <n v="0"/>
    <n v="0"/>
    <n v="103.23"/>
    <x v="0"/>
    <x v="14"/>
    <x v="0"/>
    <x v="1"/>
    <x v="1"/>
    <n v="2.2400000000000002"/>
    <n v="2.2400000000000002"/>
    <n v="2.2400000000000002"/>
    <n v="89.6"/>
    <n v="103.23"/>
    <n v="103.23"/>
    <n v="103.23"/>
    <n v="103.23"/>
    <n v="103.23"/>
    <x v="1"/>
    <x v="1"/>
    <x v="0"/>
    <n v="0"/>
    <x v="0"/>
  </r>
  <r>
    <x v="112"/>
    <x v="101"/>
    <n v="66"/>
    <x v="7"/>
    <s v="7ºC"/>
    <x v="0"/>
    <s v="Fertirrigação"/>
    <x v="14"/>
    <s v="3 - Parceria"/>
    <n v="2.3199999999999998"/>
    <n v="0"/>
    <n v="0"/>
    <n v="2.3199999999999998"/>
    <n v="92.8"/>
    <n v="0"/>
    <n v="0"/>
    <n v="107.06"/>
    <x v="0"/>
    <x v="14"/>
    <x v="0"/>
    <x v="1"/>
    <x v="1"/>
    <n v="2.3199999999999998"/>
    <n v="2.3199999999999998"/>
    <n v="2.3199999999999998"/>
    <n v="92.8"/>
    <n v="107.06"/>
    <n v="107.06"/>
    <n v="107.06"/>
    <n v="107.06"/>
    <n v="107.06"/>
    <x v="1"/>
    <x v="1"/>
    <x v="0"/>
    <n v="0"/>
    <x v="0"/>
  </r>
  <r>
    <x v="112"/>
    <x v="101"/>
    <n v="67"/>
    <x v="7"/>
    <s v="7ºC"/>
    <x v="0"/>
    <s v="Fertirrigação"/>
    <x v="14"/>
    <s v="3 - Parceria"/>
    <n v="3.14"/>
    <n v="0"/>
    <n v="0"/>
    <n v="3.14"/>
    <n v="125.6"/>
    <n v="0"/>
    <n v="0"/>
    <n v="145.34"/>
    <x v="0"/>
    <x v="14"/>
    <x v="0"/>
    <x v="1"/>
    <x v="1"/>
    <n v="3.14"/>
    <n v="3.14"/>
    <n v="3.14"/>
    <n v="125.6"/>
    <n v="145.34"/>
    <n v="145.34"/>
    <n v="145.34"/>
    <n v="145.34"/>
    <n v="145.34"/>
    <x v="1"/>
    <x v="1"/>
    <x v="0"/>
    <n v="0"/>
    <x v="0"/>
  </r>
  <r>
    <x v="112"/>
    <x v="101"/>
    <n v="68"/>
    <x v="7"/>
    <s v="7ºC"/>
    <x v="0"/>
    <s v="Fertirrigação"/>
    <x v="14"/>
    <s v="3 - Parceria"/>
    <n v="3.18"/>
    <n v="0"/>
    <n v="0"/>
    <n v="3.18"/>
    <n v="235.32"/>
    <n v="0"/>
    <n v="0"/>
    <n v="271.62"/>
    <x v="0"/>
    <x v="14"/>
    <x v="0"/>
    <x v="1"/>
    <x v="1"/>
    <n v="3.18"/>
    <n v="3.18"/>
    <n v="3.18"/>
    <n v="235.32"/>
    <n v="271.62"/>
    <n v="271.62"/>
    <n v="271.62"/>
    <n v="271.62"/>
    <n v="271.62"/>
    <x v="1"/>
    <x v="1"/>
    <x v="0"/>
    <n v="0"/>
    <x v="0"/>
  </r>
  <r>
    <x v="112"/>
    <x v="101"/>
    <n v="69"/>
    <x v="7"/>
    <s v="7ºC"/>
    <x v="0"/>
    <s v="Fertirrigação"/>
    <x v="14"/>
    <s v="3 - Parceria"/>
    <n v="2.71"/>
    <n v="0"/>
    <n v="0"/>
    <n v="2.71"/>
    <n v="200.54"/>
    <n v="0"/>
    <n v="0"/>
    <n v="231.42"/>
    <x v="0"/>
    <x v="14"/>
    <x v="0"/>
    <x v="1"/>
    <x v="1"/>
    <n v="2.71"/>
    <n v="2.71"/>
    <n v="2.71"/>
    <n v="200.54"/>
    <n v="231.42"/>
    <n v="231.42"/>
    <n v="231.42"/>
    <n v="231.42"/>
    <n v="231.42"/>
    <x v="1"/>
    <x v="1"/>
    <x v="0"/>
    <n v="0"/>
    <x v="0"/>
  </r>
  <r>
    <x v="112"/>
    <x v="101"/>
    <n v="70"/>
    <x v="7"/>
    <s v="7ºC"/>
    <x v="0"/>
    <s v="Fertirrigação"/>
    <x v="14"/>
    <s v="3 - Parceria"/>
    <n v="6.35"/>
    <n v="0"/>
    <n v="0"/>
    <n v="6.35"/>
    <n v="469.9"/>
    <n v="0"/>
    <n v="0"/>
    <n v="541.37"/>
    <x v="0"/>
    <x v="14"/>
    <x v="0"/>
    <x v="1"/>
    <x v="1"/>
    <n v="6.35"/>
    <n v="6.35"/>
    <n v="6.35"/>
    <n v="469.9"/>
    <n v="541.37"/>
    <n v="541.37"/>
    <n v="541.37"/>
    <n v="541.37"/>
    <n v="541.37"/>
    <x v="1"/>
    <x v="1"/>
    <x v="0"/>
    <n v="0"/>
    <x v="0"/>
  </r>
  <r>
    <x v="112"/>
    <x v="101"/>
    <n v="71"/>
    <x v="7"/>
    <s v="7ºC"/>
    <x v="0"/>
    <s v="Fertirrigação"/>
    <x v="14"/>
    <s v="3 - Parceria"/>
    <n v="7.29"/>
    <n v="0"/>
    <n v="0"/>
    <n v="7.29"/>
    <n v="539.46"/>
    <n v="0"/>
    <n v="0"/>
    <n v="623.04999999999995"/>
    <x v="0"/>
    <x v="14"/>
    <x v="0"/>
    <x v="1"/>
    <x v="1"/>
    <n v="7.29"/>
    <n v="7.29"/>
    <n v="7.29"/>
    <n v="539.46"/>
    <n v="623.04999999999995"/>
    <n v="623.04999999999995"/>
    <n v="623.04999999999995"/>
    <n v="623.04999999999995"/>
    <n v="623.04999999999995"/>
    <x v="1"/>
    <x v="1"/>
    <x v="0"/>
    <n v="0"/>
    <x v="0"/>
  </r>
  <r>
    <x v="112"/>
    <x v="101"/>
    <n v="73"/>
    <x v="7"/>
    <s v="7ºC"/>
    <x v="0"/>
    <s v="Fertirrigação"/>
    <x v="14"/>
    <s v="3 - Parceria"/>
    <n v="1.91"/>
    <n v="0"/>
    <n v="0"/>
    <n v="1.91"/>
    <n v="141.34"/>
    <n v="0"/>
    <n v="0"/>
    <n v="126.99"/>
    <x v="0"/>
    <x v="14"/>
    <x v="0"/>
    <x v="1"/>
    <x v="1"/>
    <n v="1.91"/>
    <n v="1.91"/>
    <n v="1.91"/>
    <n v="141.34"/>
    <n v="126.99"/>
    <n v="126.99"/>
    <n v="126.99"/>
    <n v="126.99"/>
    <n v="126.99"/>
    <x v="1"/>
    <x v="1"/>
    <x v="0"/>
    <n v="0"/>
    <x v="0"/>
  </r>
  <r>
    <x v="112"/>
    <x v="101"/>
    <n v="74"/>
    <x v="7"/>
    <s v="7ºC"/>
    <x v="0"/>
    <s v="Fertirrigação"/>
    <x v="14"/>
    <s v="3 - Parceria"/>
    <n v="2.72"/>
    <n v="0"/>
    <n v="0"/>
    <n v="2.72"/>
    <n v="201.28"/>
    <n v="0"/>
    <n v="0"/>
    <n v="181"/>
    <x v="0"/>
    <x v="14"/>
    <x v="0"/>
    <x v="1"/>
    <x v="1"/>
    <n v="2.72"/>
    <n v="2.72"/>
    <n v="2.72"/>
    <n v="201.28"/>
    <n v="181"/>
    <n v="181"/>
    <n v="181"/>
    <n v="181"/>
    <n v="181"/>
    <x v="1"/>
    <x v="1"/>
    <x v="0"/>
    <n v="0"/>
    <x v="0"/>
  </r>
  <r>
    <x v="112"/>
    <x v="101"/>
    <n v="75"/>
    <x v="7"/>
    <s v="7ºC"/>
    <x v="0"/>
    <s v="Fertirrigação"/>
    <x v="14"/>
    <s v="3 - Parceria"/>
    <n v="3.84"/>
    <n v="0"/>
    <n v="0"/>
    <n v="3.84"/>
    <n v="245.76"/>
    <n v="0"/>
    <n v="0"/>
    <n v="221.68"/>
    <x v="0"/>
    <x v="14"/>
    <x v="0"/>
    <x v="1"/>
    <x v="1"/>
    <n v="3.84"/>
    <n v="3.84"/>
    <n v="3.84"/>
    <n v="245.76"/>
    <n v="221.68"/>
    <n v="221.68"/>
    <n v="221.68"/>
    <n v="221.68"/>
    <n v="221.68"/>
    <x v="1"/>
    <x v="1"/>
    <x v="0"/>
    <n v="0"/>
    <x v="0"/>
  </r>
  <r>
    <x v="112"/>
    <x v="101"/>
    <n v="76"/>
    <x v="7"/>
    <s v="7ºC"/>
    <x v="0"/>
    <s v="Fertirrigação"/>
    <x v="14"/>
    <s v="3 - Parceria"/>
    <n v="3.88"/>
    <n v="0"/>
    <n v="0"/>
    <n v="3.88"/>
    <n v="248.32"/>
    <n v="0"/>
    <n v="0"/>
    <n v="223.35"/>
    <x v="0"/>
    <x v="14"/>
    <x v="0"/>
    <x v="1"/>
    <x v="1"/>
    <n v="3.88"/>
    <n v="3.88"/>
    <n v="3.88"/>
    <n v="248.32"/>
    <n v="223.35"/>
    <n v="223.35"/>
    <n v="223.35"/>
    <n v="223.35"/>
    <n v="223.35"/>
    <x v="1"/>
    <x v="1"/>
    <x v="0"/>
    <n v="0"/>
    <x v="0"/>
  </r>
  <r>
    <x v="112"/>
    <x v="101"/>
    <n v="77"/>
    <x v="7"/>
    <s v="7ºC"/>
    <x v="0"/>
    <s v="Fertirrigação"/>
    <x v="14"/>
    <s v="3 - Parceria"/>
    <n v="3.56"/>
    <n v="0"/>
    <n v="0"/>
    <n v="3.56"/>
    <n v="227.84"/>
    <n v="0"/>
    <n v="0"/>
    <n v="205.35"/>
    <x v="0"/>
    <x v="14"/>
    <x v="0"/>
    <x v="1"/>
    <x v="1"/>
    <n v="3.56"/>
    <n v="3.56"/>
    <n v="3.56"/>
    <n v="227.84"/>
    <n v="205.35"/>
    <n v="205.35"/>
    <n v="205.35"/>
    <n v="205.35"/>
    <n v="205.35"/>
    <x v="1"/>
    <x v="1"/>
    <x v="0"/>
    <n v="0"/>
    <x v="0"/>
  </r>
  <r>
    <x v="112"/>
    <x v="101"/>
    <n v="78"/>
    <x v="7"/>
    <s v="7ºC"/>
    <x v="0"/>
    <s v="Fertirrigação"/>
    <x v="14"/>
    <s v="3 - Parceria"/>
    <n v="3.26"/>
    <n v="0"/>
    <n v="0"/>
    <n v="3.26"/>
    <n v="176.04"/>
    <n v="0"/>
    <n v="0"/>
    <n v="158.66999999999999"/>
    <x v="0"/>
    <x v="14"/>
    <x v="0"/>
    <x v="1"/>
    <x v="1"/>
    <n v="3.26"/>
    <n v="3.26"/>
    <n v="3.26"/>
    <n v="176.04"/>
    <n v="158.66999999999999"/>
    <n v="158.66999999999999"/>
    <n v="158.66999999999999"/>
    <n v="158.66999999999999"/>
    <n v="158.66999999999999"/>
    <x v="1"/>
    <x v="1"/>
    <x v="0"/>
    <n v="0"/>
    <x v="0"/>
  </r>
  <r>
    <x v="112"/>
    <x v="101"/>
    <n v="79"/>
    <x v="7"/>
    <s v="7ºC"/>
    <x v="0"/>
    <s v="Fertirrigação"/>
    <x v="14"/>
    <s v="3 - Parceria"/>
    <n v="1.19"/>
    <n v="0"/>
    <n v="0"/>
    <n v="1.19"/>
    <n v="64.260000000000005"/>
    <n v="0"/>
    <n v="0"/>
    <n v="57.64"/>
    <x v="0"/>
    <x v="14"/>
    <x v="0"/>
    <x v="1"/>
    <x v="1"/>
    <n v="1.19"/>
    <n v="1.19"/>
    <n v="1.19"/>
    <n v="64.260000000000005"/>
    <n v="57.64"/>
    <n v="57.64"/>
    <n v="57.64"/>
    <n v="57.64"/>
    <n v="57.64"/>
    <x v="1"/>
    <x v="1"/>
    <x v="0"/>
    <n v="0"/>
    <x v="0"/>
  </r>
  <r>
    <x v="112"/>
    <x v="101"/>
    <n v="80"/>
    <x v="7"/>
    <s v="7ºC"/>
    <x v="0"/>
    <s v="Fertirrigação"/>
    <x v="14"/>
    <s v="3 - Parceria"/>
    <n v="2.8"/>
    <n v="0"/>
    <n v="0"/>
    <n v="2.8"/>
    <n v="151.19999999999999"/>
    <n v="0"/>
    <n v="0"/>
    <n v="135.99"/>
    <x v="0"/>
    <x v="14"/>
    <x v="0"/>
    <x v="1"/>
    <x v="1"/>
    <n v="2.8"/>
    <n v="2.8"/>
    <n v="2.8"/>
    <n v="151.19999999999999"/>
    <n v="135.99"/>
    <n v="135.99"/>
    <n v="135.99"/>
    <n v="135.99"/>
    <n v="135.99"/>
    <x v="1"/>
    <x v="1"/>
    <x v="0"/>
    <n v="0"/>
    <x v="0"/>
  </r>
  <r>
    <x v="112"/>
    <x v="101"/>
    <n v="81"/>
    <x v="7"/>
    <s v="7ºC"/>
    <x v="0"/>
    <s v="Fertirrigação"/>
    <x v="14"/>
    <s v="3 - Parceria"/>
    <n v="1.97"/>
    <n v="0"/>
    <n v="0"/>
    <n v="1.97"/>
    <n v="106.38"/>
    <n v="0"/>
    <n v="0"/>
    <n v="95.31"/>
    <x v="0"/>
    <x v="14"/>
    <x v="0"/>
    <x v="1"/>
    <x v="1"/>
    <n v="1.97"/>
    <n v="1.97"/>
    <n v="1.97"/>
    <n v="106.38"/>
    <n v="95.31"/>
    <n v="95.31"/>
    <n v="95.31"/>
    <n v="95.31"/>
    <n v="95.31"/>
    <x v="1"/>
    <x v="1"/>
    <x v="0"/>
    <n v="0"/>
    <x v="0"/>
  </r>
  <r>
    <x v="112"/>
    <x v="101"/>
    <n v="82"/>
    <x v="7"/>
    <s v="7ºC"/>
    <x v="0"/>
    <s v="Fertirrigação"/>
    <x v="14"/>
    <s v="3 - Parceria"/>
    <n v="4.54"/>
    <n v="0"/>
    <n v="0"/>
    <n v="4.54"/>
    <n v="245.16"/>
    <n v="0"/>
    <n v="0"/>
    <n v="220.69"/>
    <x v="0"/>
    <x v="14"/>
    <x v="0"/>
    <x v="1"/>
    <x v="1"/>
    <n v="4.54"/>
    <n v="4.54"/>
    <n v="4.54"/>
    <n v="245.16"/>
    <n v="220.69"/>
    <n v="220.69"/>
    <n v="220.69"/>
    <n v="220.69"/>
    <n v="220.69"/>
    <x v="1"/>
    <x v="1"/>
    <x v="0"/>
    <n v="0"/>
    <x v="0"/>
  </r>
  <r>
    <x v="112"/>
    <x v="101"/>
    <n v="83"/>
    <x v="7"/>
    <s v="7ºC"/>
    <x v="0"/>
    <s v="Fertirrigação"/>
    <x v="14"/>
    <s v="3 - Parceria"/>
    <n v="2.93"/>
    <n v="0"/>
    <n v="0"/>
    <n v="2.93"/>
    <n v="158.22"/>
    <n v="0"/>
    <n v="0"/>
    <n v="142.33000000000001"/>
    <x v="0"/>
    <x v="14"/>
    <x v="0"/>
    <x v="1"/>
    <x v="1"/>
    <n v="2.93"/>
    <n v="2.93"/>
    <n v="2.93"/>
    <n v="158.22"/>
    <n v="142.33000000000001"/>
    <n v="142.33000000000001"/>
    <n v="142.33000000000001"/>
    <n v="142.33000000000001"/>
    <n v="142.33000000000001"/>
    <x v="1"/>
    <x v="1"/>
    <x v="0"/>
    <n v="0"/>
    <x v="0"/>
  </r>
  <r>
    <x v="112"/>
    <x v="101"/>
    <n v="84"/>
    <x v="7"/>
    <s v="7ºC"/>
    <x v="0"/>
    <s v="Fertirrigação"/>
    <x v="14"/>
    <s v="3 - Parceria"/>
    <n v="6.88"/>
    <n v="0"/>
    <n v="0"/>
    <n v="6.88"/>
    <n v="371.52"/>
    <n v="0"/>
    <n v="0"/>
    <n v="335.4"/>
    <x v="0"/>
    <x v="14"/>
    <x v="0"/>
    <x v="1"/>
    <x v="1"/>
    <n v="6.88"/>
    <n v="6.88"/>
    <n v="6.88"/>
    <n v="371.52"/>
    <n v="335.4"/>
    <n v="335.4"/>
    <n v="335.4"/>
    <n v="335.4"/>
    <n v="335.4"/>
    <x v="1"/>
    <x v="1"/>
    <x v="0"/>
    <n v="0"/>
    <x v="0"/>
  </r>
  <r>
    <x v="112"/>
    <x v="101"/>
    <n v="85"/>
    <x v="7"/>
    <s v="7ºC"/>
    <x v="0"/>
    <s v="Fertirrigação"/>
    <x v="14"/>
    <s v="3 - Parceria"/>
    <n v="6.9"/>
    <n v="0"/>
    <n v="0"/>
    <n v="6.9"/>
    <n v="483"/>
    <n v="0"/>
    <n v="0"/>
    <n v="435.43"/>
    <x v="0"/>
    <x v="14"/>
    <x v="0"/>
    <x v="1"/>
    <x v="1"/>
    <n v="6.9"/>
    <n v="6.9"/>
    <n v="6.9"/>
    <n v="483"/>
    <n v="435.43"/>
    <n v="435.43"/>
    <n v="435.43"/>
    <n v="435.43"/>
    <n v="435.43"/>
    <x v="1"/>
    <x v="1"/>
    <x v="0"/>
    <n v="0"/>
    <x v="0"/>
  </r>
  <r>
    <x v="112"/>
    <x v="101"/>
    <n v="86"/>
    <x v="7"/>
    <s v="7ºC"/>
    <x v="0"/>
    <s v="Fertirrigação"/>
    <x v="14"/>
    <s v="3 - Parceria"/>
    <n v="4.4400000000000004"/>
    <n v="0"/>
    <n v="0"/>
    <n v="4.4400000000000004"/>
    <n v="310.8"/>
    <n v="0"/>
    <n v="0"/>
    <n v="280.38"/>
    <x v="0"/>
    <x v="14"/>
    <x v="0"/>
    <x v="1"/>
    <x v="1"/>
    <n v="4.4400000000000004"/>
    <n v="4.4400000000000004"/>
    <n v="4.4400000000000004"/>
    <n v="310.8"/>
    <n v="280.38"/>
    <n v="280.38"/>
    <n v="280.38"/>
    <n v="280.38"/>
    <n v="280.38"/>
    <x v="1"/>
    <x v="1"/>
    <x v="0"/>
    <n v="0"/>
    <x v="0"/>
  </r>
  <r>
    <x v="112"/>
    <x v="101"/>
    <n v="87"/>
    <x v="7"/>
    <s v="7ºC"/>
    <x v="0"/>
    <s v="Fertirrigação"/>
    <x v="14"/>
    <s v="3 - Parceria"/>
    <n v="4.8099999999999996"/>
    <n v="0"/>
    <n v="0"/>
    <n v="4.8099999999999996"/>
    <n v="336.7"/>
    <n v="0"/>
    <n v="0"/>
    <n v="304.05"/>
    <x v="0"/>
    <x v="14"/>
    <x v="0"/>
    <x v="1"/>
    <x v="1"/>
    <n v="4.8099999999999996"/>
    <n v="4.8099999999999996"/>
    <n v="4.8099999999999996"/>
    <n v="336.7"/>
    <n v="304.05"/>
    <n v="304.05"/>
    <n v="304.05"/>
    <n v="304.05"/>
    <n v="304.05"/>
    <x v="1"/>
    <x v="1"/>
    <x v="0"/>
    <n v="0"/>
    <x v="0"/>
  </r>
  <r>
    <x v="112"/>
    <x v="101"/>
    <n v="88"/>
    <x v="7"/>
    <s v="7ºC"/>
    <x v="0"/>
    <s v="Fertirrigação"/>
    <x v="14"/>
    <s v="3 - Parceria"/>
    <n v="3.86"/>
    <n v="0"/>
    <n v="0"/>
    <n v="3.86"/>
    <n v="270.2"/>
    <n v="0"/>
    <n v="0"/>
    <n v="244.02"/>
    <x v="0"/>
    <x v="14"/>
    <x v="0"/>
    <x v="1"/>
    <x v="1"/>
    <n v="3.86"/>
    <n v="3.86"/>
    <n v="3.86"/>
    <n v="270.2"/>
    <n v="244.02"/>
    <n v="244.02"/>
    <n v="244.02"/>
    <n v="244.02"/>
    <n v="244.02"/>
    <x v="1"/>
    <x v="1"/>
    <x v="0"/>
    <n v="0"/>
    <x v="0"/>
  </r>
  <r>
    <x v="112"/>
    <x v="101"/>
    <n v="89"/>
    <x v="7"/>
    <s v="7ºC"/>
    <x v="0"/>
    <s v="Fertirrigação"/>
    <x v="14"/>
    <s v="3 - Parceria"/>
    <n v="1.94"/>
    <n v="0"/>
    <n v="0"/>
    <n v="1.94"/>
    <n v="135.80000000000001"/>
    <n v="0"/>
    <n v="0"/>
    <n v="123.59"/>
    <x v="0"/>
    <x v="14"/>
    <x v="0"/>
    <x v="1"/>
    <x v="1"/>
    <n v="1.94"/>
    <n v="1.94"/>
    <n v="1.94"/>
    <n v="135.80000000000001"/>
    <n v="123.59"/>
    <n v="123.59"/>
    <n v="123.59"/>
    <n v="123.59"/>
    <n v="123.59"/>
    <x v="1"/>
    <x v="1"/>
    <x v="0"/>
    <n v="0"/>
    <x v="0"/>
  </r>
  <r>
    <x v="112"/>
    <x v="101"/>
    <n v="90"/>
    <x v="0"/>
    <s v="6ºC"/>
    <x v="0"/>
    <s v="Fertirrigação"/>
    <x v="0"/>
    <s v="3 - Parceria"/>
    <n v="7.14"/>
    <n v="7.14"/>
    <n v="7.14"/>
    <n v="7.14"/>
    <n v="499.8"/>
    <n v="499.8"/>
    <n v="499.8"/>
    <n v="538.21"/>
    <x v="0"/>
    <x v="19"/>
    <x v="0"/>
    <x v="0"/>
    <x v="0"/>
    <n v="7.14"/>
    <n v="7.14"/>
    <n v="7.14"/>
    <n v="499.8"/>
    <n v="499.8"/>
    <n v="499.8"/>
    <n v="538.21"/>
    <n v="538.21"/>
    <n v="538.21"/>
    <x v="1"/>
    <x v="1"/>
    <x v="0"/>
    <n v="0"/>
    <x v="0"/>
  </r>
  <r>
    <x v="112"/>
    <x v="101"/>
    <n v="91"/>
    <x v="0"/>
    <s v="6ºC"/>
    <x v="0"/>
    <s v="Fertirrigação"/>
    <x v="0"/>
    <s v="3 - Parceria"/>
    <n v="15.73"/>
    <n v="15.73"/>
    <n v="15.73"/>
    <n v="15.73"/>
    <n v="1101.0999999999999"/>
    <n v="1101.0999999999999"/>
    <n v="1101.0999999999999"/>
    <n v="1185.24"/>
    <x v="0"/>
    <x v="19"/>
    <x v="0"/>
    <x v="0"/>
    <x v="0"/>
    <n v="15.73"/>
    <n v="15.73"/>
    <n v="15.73"/>
    <n v="1101.0999999999999"/>
    <n v="1101.0999999999999"/>
    <n v="1101.0999999999999"/>
    <n v="1185.24"/>
    <n v="1185.24"/>
    <n v="1185.24"/>
    <x v="1"/>
    <x v="1"/>
    <x v="0"/>
    <n v="0"/>
    <x v="0"/>
  </r>
  <r>
    <x v="112"/>
    <x v="101"/>
    <n v="92"/>
    <x v="0"/>
    <s v="6ºC"/>
    <x v="0"/>
    <s v="Fertirrigação"/>
    <x v="0"/>
    <s v="3 - Parceria"/>
    <n v="14.52"/>
    <n v="14.52"/>
    <n v="14.52"/>
    <n v="14.52"/>
    <n v="595.32000000000005"/>
    <n v="653.4"/>
    <n v="653.4"/>
    <n v="702.92"/>
    <x v="0"/>
    <x v="19"/>
    <x v="0"/>
    <x v="0"/>
    <x v="0"/>
    <n v="14.52"/>
    <n v="14.52"/>
    <n v="14.52"/>
    <n v="595.32000000000005"/>
    <n v="653.4"/>
    <n v="653.4"/>
    <n v="702.92"/>
    <n v="702.92"/>
    <n v="702.92"/>
    <x v="1"/>
    <x v="1"/>
    <x v="0"/>
    <n v="0"/>
    <x v="0"/>
  </r>
  <r>
    <x v="112"/>
    <x v="101"/>
    <n v="93"/>
    <x v="0"/>
    <s v="6ºC"/>
    <x v="0"/>
    <s v="Fertirrigação"/>
    <x v="0"/>
    <s v="3 - Parceria"/>
    <n v="18.87"/>
    <n v="18.87"/>
    <n v="18.87"/>
    <n v="18.87"/>
    <n v="773.67"/>
    <n v="849.15"/>
    <n v="849.15"/>
    <n v="913.94"/>
    <x v="0"/>
    <x v="19"/>
    <x v="0"/>
    <x v="0"/>
    <x v="0"/>
    <n v="18.87"/>
    <n v="18.87"/>
    <n v="18.87"/>
    <n v="773.67"/>
    <n v="849.15"/>
    <n v="849.15"/>
    <n v="913.94"/>
    <n v="913.94"/>
    <n v="913.94"/>
    <x v="1"/>
    <x v="1"/>
    <x v="0"/>
    <n v="0"/>
    <x v="0"/>
  </r>
  <r>
    <x v="112"/>
    <x v="101"/>
    <n v="94"/>
    <x v="0"/>
    <s v="6ºC"/>
    <x v="0"/>
    <s v="Fertirrigação"/>
    <x v="0"/>
    <s v="3 - Parceria"/>
    <n v="14.58"/>
    <n v="14.58"/>
    <n v="14.58"/>
    <n v="14.58"/>
    <n v="597.78"/>
    <n v="656.1"/>
    <n v="656.1"/>
    <n v="706.15"/>
    <x v="0"/>
    <x v="19"/>
    <x v="0"/>
    <x v="0"/>
    <x v="0"/>
    <n v="14.58"/>
    <n v="14.58"/>
    <n v="14.58"/>
    <n v="597.78"/>
    <n v="656.1"/>
    <n v="656.1"/>
    <n v="706.15"/>
    <n v="706.15"/>
    <n v="706.15"/>
    <x v="1"/>
    <x v="1"/>
    <x v="0"/>
    <n v="0"/>
    <x v="0"/>
  </r>
  <r>
    <x v="112"/>
    <x v="101"/>
    <n v="95"/>
    <x v="0"/>
    <s v="6ºC"/>
    <x v="0"/>
    <s v="Fertirrigação"/>
    <x v="0"/>
    <s v="3 - Parceria"/>
    <n v="25.06"/>
    <n v="25.06"/>
    <n v="25.06"/>
    <n v="25.06"/>
    <n v="1027.46"/>
    <n v="1127.7"/>
    <n v="1127.7"/>
    <n v="1214.31"/>
    <x v="0"/>
    <x v="19"/>
    <x v="0"/>
    <x v="0"/>
    <x v="0"/>
    <n v="25.06"/>
    <n v="25.06"/>
    <n v="25.06"/>
    <n v="1027.46"/>
    <n v="1127.7"/>
    <n v="1127.7"/>
    <n v="1214.31"/>
    <n v="1214.31"/>
    <n v="1214.31"/>
    <x v="1"/>
    <x v="1"/>
    <x v="0"/>
    <n v="0"/>
    <x v="0"/>
  </r>
  <r>
    <x v="112"/>
    <x v="101"/>
    <n v="96"/>
    <x v="0"/>
    <s v="6ºC"/>
    <x v="0"/>
    <s v="Fertirrigação"/>
    <x v="0"/>
    <s v="3 - Parceria"/>
    <n v="7.7"/>
    <n v="7.7"/>
    <n v="7.7"/>
    <n v="7.7"/>
    <n v="315.7"/>
    <n v="346.5"/>
    <n v="346.5"/>
    <n v="373.48"/>
    <x v="0"/>
    <x v="19"/>
    <x v="0"/>
    <x v="0"/>
    <x v="0"/>
    <n v="7.7"/>
    <n v="7.7"/>
    <n v="7.7"/>
    <n v="315.7"/>
    <n v="346.5"/>
    <n v="346.5"/>
    <n v="373.48"/>
    <n v="373.48"/>
    <n v="373.48"/>
    <x v="1"/>
    <x v="1"/>
    <x v="0"/>
    <n v="0"/>
    <x v="0"/>
  </r>
  <r>
    <x v="112"/>
    <x v="101"/>
    <n v="97"/>
    <x v="6"/>
    <s v="5ºC"/>
    <x v="0"/>
    <s v="Fertirrigação"/>
    <x v="11"/>
    <s v="3 - Parceria"/>
    <n v="3.11"/>
    <n v="3.11"/>
    <n v="0"/>
    <n v="3.11"/>
    <n v="127.51"/>
    <n v="139.94999999999999"/>
    <n v="0"/>
    <n v="167.44"/>
    <x v="0"/>
    <x v="18"/>
    <x v="0"/>
    <x v="0"/>
    <x v="1"/>
    <n v="3.11"/>
    <n v="3.11"/>
    <n v="3.11"/>
    <n v="127.51"/>
    <n v="139.94999999999999"/>
    <n v="167.44"/>
    <n v="167.44"/>
    <n v="167.44"/>
    <n v="167.44"/>
    <x v="1"/>
    <x v="1"/>
    <x v="0"/>
    <n v="0"/>
    <x v="0"/>
  </r>
  <r>
    <x v="112"/>
    <x v="101"/>
    <n v="98"/>
    <x v="4"/>
    <s v="4ºC"/>
    <x v="0"/>
    <s v="Fertirrigação"/>
    <x v="11"/>
    <s v="3 - Parceria"/>
    <n v="25.64"/>
    <n v="25.64"/>
    <n v="0"/>
    <n v="25.64"/>
    <n v="1999.92"/>
    <n v="1999.92"/>
    <n v="0"/>
    <n v="2393.67"/>
    <x v="0"/>
    <x v="18"/>
    <x v="0"/>
    <x v="0"/>
    <x v="1"/>
    <n v="25.64"/>
    <n v="25.64"/>
    <n v="25.64"/>
    <n v="1999.92"/>
    <n v="1999.92"/>
    <n v="2393.67"/>
    <n v="2393.67"/>
    <n v="2393.67"/>
    <n v="2393.67"/>
    <x v="1"/>
    <x v="1"/>
    <x v="0"/>
    <n v="0"/>
    <x v="0"/>
  </r>
  <r>
    <x v="112"/>
    <x v="101"/>
    <n v="99"/>
    <x v="4"/>
    <s v="4ºC"/>
    <x v="0"/>
    <s v="Fertirrigação"/>
    <x v="11"/>
    <s v="3 - Parceria"/>
    <n v="11.71"/>
    <n v="11.71"/>
    <n v="0"/>
    <n v="11.71"/>
    <n v="913.38"/>
    <n v="913.38"/>
    <n v="0"/>
    <n v="1092.6400000000001"/>
    <x v="0"/>
    <x v="18"/>
    <x v="0"/>
    <x v="0"/>
    <x v="1"/>
    <n v="11.71"/>
    <n v="11.71"/>
    <n v="11.71"/>
    <n v="913.38"/>
    <n v="913.38"/>
    <n v="1092.6400000000001"/>
    <n v="1092.6400000000001"/>
    <n v="1092.6400000000001"/>
    <n v="1092.6400000000001"/>
    <x v="1"/>
    <x v="1"/>
    <x v="0"/>
    <n v="0"/>
    <x v="0"/>
  </r>
  <r>
    <x v="112"/>
    <x v="101"/>
    <n v="100"/>
    <x v="4"/>
    <s v="4ºC"/>
    <x v="0"/>
    <s v="Fertirrigação"/>
    <x v="18"/>
    <s v="3 - Parceria"/>
    <n v="19.059999999999999"/>
    <n v="19.059999999999999"/>
    <n v="0"/>
    <n v="19.059999999999999"/>
    <n v="1143.5999999999999"/>
    <n v="1200.78"/>
    <n v="0"/>
    <n v="1437.35"/>
    <x v="0"/>
    <x v="18"/>
    <x v="0"/>
    <x v="0"/>
    <x v="1"/>
    <n v="19.059999999999999"/>
    <n v="19.059999999999999"/>
    <n v="19.059999999999999"/>
    <n v="1143.5999999999999"/>
    <n v="1200.78"/>
    <n v="1437.35"/>
    <n v="1437.35"/>
    <n v="1437.35"/>
    <n v="1437.35"/>
    <x v="1"/>
    <x v="1"/>
    <x v="0"/>
    <n v="0"/>
    <x v="0"/>
  </r>
  <r>
    <x v="112"/>
    <x v="101"/>
    <n v="101"/>
    <x v="4"/>
    <s v="4ºC"/>
    <x v="0"/>
    <s v="Fertirrigação"/>
    <x v="18"/>
    <s v="3 - Parceria"/>
    <n v="5.67"/>
    <n v="5.67"/>
    <n v="0"/>
    <n v="5.67"/>
    <n v="340.2"/>
    <n v="357.21"/>
    <n v="0"/>
    <n v="427.18"/>
    <x v="0"/>
    <x v="18"/>
    <x v="0"/>
    <x v="0"/>
    <x v="1"/>
    <n v="5.67"/>
    <n v="5.67"/>
    <n v="5.67"/>
    <n v="340.2"/>
    <n v="357.21"/>
    <n v="427.18"/>
    <n v="427.18"/>
    <n v="427.18"/>
    <n v="427.18"/>
    <x v="1"/>
    <x v="1"/>
    <x v="0"/>
    <n v="0"/>
    <x v="0"/>
  </r>
  <r>
    <x v="112"/>
    <x v="101"/>
    <n v="102"/>
    <x v="4"/>
    <s v="4ºC"/>
    <x v="0"/>
    <s v="Fertirrigação"/>
    <x v="18"/>
    <s v="3 - Parceria"/>
    <n v="16.63"/>
    <n v="16.63"/>
    <n v="0"/>
    <n v="16.63"/>
    <n v="997.8"/>
    <n v="1047.69"/>
    <n v="0"/>
    <n v="1254.22"/>
    <x v="0"/>
    <x v="18"/>
    <x v="0"/>
    <x v="0"/>
    <x v="1"/>
    <n v="16.63"/>
    <n v="16.63"/>
    <n v="16.63"/>
    <n v="997.8"/>
    <n v="1047.69"/>
    <n v="1254.22"/>
    <n v="1254.22"/>
    <n v="1254.22"/>
    <n v="1254.22"/>
    <x v="1"/>
    <x v="1"/>
    <x v="0"/>
    <n v="0"/>
    <x v="0"/>
  </r>
  <r>
    <x v="112"/>
    <x v="101"/>
    <n v="103"/>
    <x v="4"/>
    <s v="4ºC"/>
    <x v="0"/>
    <s v="Fertirrigação"/>
    <x v="18"/>
    <s v="3 - Parceria"/>
    <n v="13.11"/>
    <n v="13.11"/>
    <n v="0"/>
    <n v="13.11"/>
    <n v="786.6"/>
    <n v="786.6"/>
    <n v="0"/>
    <n v="942.7"/>
    <x v="0"/>
    <x v="18"/>
    <x v="0"/>
    <x v="0"/>
    <x v="1"/>
    <n v="13.11"/>
    <n v="13.11"/>
    <n v="13.11"/>
    <n v="786.6"/>
    <n v="786.6"/>
    <n v="942.7"/>
    <n v="942.7"/>
    <n v="942.7"/>
    <n v="942.7"/>
    <x v="1"/>
    <x v="1"/>
    <x v="0"/>
    <n v="0"/>
    <x v="0"/>
  </r>
  <r>
    <x v="112"/>
    <x v="101"/>
    <n v="104"/>
    <x v="0"/>
    <s v="6ºC"/>
    <x v="0"/>
    <s v="Fertirrigação"/>
    <x v="3"/>
    <s v="3 - Parceria"/>
    <n v="0.43"/>
    <n v="0.43"/>
    <n v="0"/>
    <n v="0.43"/>
    <n v="21.5"/>
    <n v="21.5"/>
    <n v="0"/>
    <n v="71.239999999999995"/>
    <x v="0"/>
    <x v="31"/>
    <x v="0"/>
    <x v="0"/>
    <x v="1"/>
    <n v="0.43"/>
    <n v="0.43"/>
    <n v="0.43"/>
    <n v="21.5"/>
    <n v="21.5"/>
    <n v="71.239999999999995"/>
    <n v="71.239999999999995"/>
    <n v="71.239999999999995"/>
    <n v="71.239999999999995"/>
    <x v="1"/>
    <x v="1"/>
    <x v="0"/>
    <n v="0"/>
    <x v="0"/>
  </r>
  <r>
    <x v="112"/>
    <x v="101"/>
    <n v="105"/>
    <x v="4"/>
    <s v="4ºC"/>
    <x v="0"/>
    <s v="Fertirrigação"/>
    <x v="14"/>
    <s v="3 - Parceria"/>
    <n v="0.17"/>
    <n v="0.17"/>
    <n v="0"/>
    <n v="0.17"/>
    <n v="10.199999999999999"/>
    <n v="10.199999999999999"/>
    <n v="0"/>
    <n v="32.380000000000003"/>
    <x v="0"/>
    <x v="31"/>
    <x v="0"/>
    <x v="0"/>
    <x v="1"/>
    <n v="0.17"/>
    <n v="0.17"/>
    <n v="0.17"/>
    <n v="10.199999999999999"/>
    <n v="10.199999999999999"/>
    <n v="32.380000000000003"/>
    <n v="32.380000000000003"/>
    <n v="32.380000000000003"/>
    <n v="32.380000000000003"/>
    <x v="1"/>
    <x v="1"/>
    <x v="0"/>
    <n v="0"/>
    <x v="0"/>
  </r>
  <r>
    <x v="112"/>
    <x v="101"/>
    <n v="125"/>
    <x v="0"/>
    <s v="6ºC"/>
    <x v="0"/>
    <s v="Fertirrigação"/>
    <x v="0"/>
    <s v="3 - Parceria"/>
    <n v="6.09"/>
    <n v="6.09"/>
    <n v="6.09"/>
    <n v="6.09"/>
    <n v="304.5"/>
    <n v="304.5"/>
    <n v="304.5"/>
    <n v="328.27"/>
    <x v="0"/>
    <x v="19"/>
    <x v="0"/>
    <x v="0"/>
    <x v="0"/>
    <n v="6.09"/>
    <n v="6.09"/>
    <n v="6.09"/>
    <n v="304.5"/>
    <n v="304.5"/>
    <n v="304.5"/>
    <n v="328.27"/>
    <n v="328.27"/>
    <n v="328.27"/>
    <x v="1"/>
    <x v="1"/>
    <x v="0"/>
    <n v="0"/>
    <x v="0"/>
  </r>
  <r>
    <x v="112"/>
    <x v="101"/>
    <n v="126"/>
    <x v="0"/>
    <s v="6ºC"/>
    <x v="0"/>
    <s v="Fertirrigação"/>
    <x v="0"/>
    <s v="3 - Parceria"/>
    <n v="2.36"/>
    <n v="2.36"/>
    <n v="2.36"/>
    <n v="2.36"/>
    <n v="118"/>
    <n v="118"/>
    <n v="118"/>
    <n v="127.81"/>
    <x v="0"/>
    <x v="19"/>
    <x v="0"/>
    <x v="0"/>
    <x v="0"/>
    <n v="2.36"/>
    <n v="2.36"/>
    <n v="2.36"/>
    <n v="118"/>
    <n v="118"/>
    <n v="118"/>
    <n v="127.81"/>
    <n v="127.81"/>
    <n v="127.81"/>
    <x v="1"/>
    <x v="1"/>
    <x v="0"/>
    <n v="0"/>
    <x v="0"/>
  </r>
  <r>
    <x v="112"/>
    <x v="101"/>
    <n v="169"/>
    <x v="2"/>
    <s v="3ºC"/>
    <x v="0"/>
    <s v="Fertirrigação"/>
    <x v="16"/>
    <s v="3 - Parceria"/>
    <n v="5.68"/>
    <n v="5.68"/>
    <n v="0"/>
    <n v="5.68"/>
    <n v="499.84"/>
    <n v="511.2"/>
    <n v="0"/>
    <n v="534.26"/>
    <x v="0"/>
    <x v="39"/>
    <x v="0"/>
    <x v="0"/>
    <x v="1"/>
    <n v="5.68"/>
    <n v="5.68"/>
    <n v="5.68"/>
    <n v="499.84"/>
    <n v="511.2"/>
    <n v="534.26"/>
    <n v="534.26"/>
    <n v="534.26"/>
    <n v="534.26"/>
    <x v="1"/>
    <x v="1"/>
    <x v="0"/>
    <n v="0"/>
    <x v="0"/>
  </r>
  <r>
    <x v="112"/>
    <x v="101"/>
    <n v="170"/>
    <x v="2"/>
    <s v="3ºC"/>
    <x v="0"/>
    <s v="Fertirrigação"/>
    <x v="16"/>
    <s v="3 - Parceria"/>
    <n v="8.15"/>
    <n v="8.15"/>
    <n v="0"/>
    <n v="8.15"/>
    <n v="717.2"/>
    <n v="733.5"/>
    <n v="0"/>
    <n v="767.45"/>
    <x v="0"/>
    <x v="39"/>
    <x v="0"/>
    <x v="0"/>
    <x v="1"/>
    <n v="8.15"/>
    <n v="8.15"/>
    <n v="8.15"/>
    <n v="717.2"/>
    <n v="733.5"/>
    <n v="767.45"/>
    <n v="767.45"/>
    <n v="767.45"/>
    <n v="767.45"/>
    <x v="1"/>
    <x v="1"/>
    <x v="0"/>
    <n v="0"/>
    <x v="0"/>
  </r>
  <r>
    <x v="112"/>
    <x v="101"/>
    <n v="171"/>
    <x v="2"/>
    <s v="3ºC"/>
    <x v="0"/>
    <s v="Fertirrigação"/>
    <x v="16"/>
    <s v="3 - Parceria"/>
    <n v="19.98"/>
    <n v="19.98"/>
    <n v="0"/>
    <n v="19.98"/>
    <n v="1758.24"/>
    <n v="1798.2"/>
    <n v="0"/>
    <n v="1880.07"/>
    <x v="0"/>
    <x v="39"/>
    <x v="0"/>
    <x v="0"/>
    <x v="1"/>
    <n v="19.98"/>
    <n v="19.98"/>
    <n v="19.98"/>
    <n v="1758.24"/>
    <n v="1798.2"/>
    <n v="1880.07"/>
    <n v="1880.07"/>
    <n v="1880.07"/>
    <n v="1880.07"/>
    <x v="1"/>
    <x v="1"/>
    <x v="0"/>
    <n v="0"/>
    <x v="0"/>
  </r>
  <r>
    <x v="112"/>
    <x v="101"/>
    <n v="172"/>
    <x v="2"/>
    <s v="3ºC"/>
    <x v="0"/>
    <s v="Fertirrigação"/>
    <x v="16"/>
    <s v="3 - Parceria"/>
    <n v="18.72"/>
    <n v="18.72"/>
    <n v="0"/>
    <n v="18.72"/>
    <n v="1647.36"/>
    <n v="1684.8"/>
    <n v="0"/>
    <n v="1761.89"/>
    <x v="0"/>
    <x v="39"/>
    <x v="0"/>
    <x v="0"/>
    <x v="1"/>
    <n v="18.72"/>
    <n v="18.72"/>
    <n v="18.72"/>
    <n v="1647.36"/>
    <n v="1684.8"/>
    <n v="1761.89"/>
    <n v="1761.89"/>
    <n v="1761.89"/>
    <n v="1761.89"/>
    <x v="1"/>
    <x v="1"/>
    <x v="0"/>
    <n v="0"/>
    <x v="0"/>
  </r>
  <r>
    <x v="112"/>
    <x v="101"/>
    <n v="173"/>
    <x v="2"/>
    <s v="3ºC"/>
    <x v="0"/>
    <s v="Fertirrigação"/>
    <x v="16"/>
    <s v="3 - Parceria"/>
    <n v="9.83"/>
    <n v="9.83"/>
    <n v="0"/>
    <n v="9.83"/>
    <n v="865.04"/>
    <n v="884.7"/>
    <n v="0"/>
    <n v="925.81"/>
    <x v="0"/>
    <x v="39"/>
    <x v="0"/>
    <x v="0"/>
    <x v="1"/>
    <n v="9.83"/>
    <n v="9.83"/>
    <n v="9.83"/>
    <n v="865.04"/>
    <n v="884.7"/>
    <n v="925.81"/>
    <n v="925.81"/>
    <n v="925.81"/>
    <n v="925.81"/>
    <x v="1"/>
    <x v="1"/>
    <x v="0"/>
    <n v="0"/>
    <x v="0"/>
  </r>
  <r>
    <x v="112"/>
    <x v="101"/>
    <n v="174"/>
    <x v="2"/>
    <s v="3ºC"/>
    <x v="0"/>
    <s v="Fertirrigação"/>
    <x v="18"/>
    <s v="3 - Parceria"/>
    <n v="44.61"/>
    <n v="44.61"/>
    <n v="0"/>
    <n v="44.61"/>
    <n v="3479.58"/>
    <n v="3479.58"/>
    <n v="0"/>
    <n v="4082.72"/>
    <x v="0"/>
    <x v="10"/>
    <x v="0"/>
    <x v="0"/>
    <x v="1"/>
    <n v="44.61"/>
    <n v="44.61"/>
    <n v="44.61"/>
    <n v="3479.58"/>
    <n v="3479.58"/>
    <n v="4082.72"/>
    <n v="4082.72"/>
    <n v="4082.72"/>
    <n v="4082.72"/>
    <x v="1"/>
    <x v="1"/>
    <x v="0"/>
    <n v="0"/>
    <x v="0"/>
  </r>
  <r>
    <x v="112"/>
    <x v="101"/>
    <n v="175"/>
    <x v="2"/>
    <s v="3ºC"/>
    <x v="0"/>
    <s v="Fertirrigação"/>
    <x v="18"/>
    <s v="3 - Parceria"/>
    <n v="61.8"/>
    <n v="61.8"/>
    <n v="0"/>
    <n v="61.8"/>
    <n v="4820.3999999999996"/>
    <n v="4820.3999999999996"/>
    <n v="0"/>
    <n v="5655.15"/>
    <x v="0"/>
    <x v="10"/>
    <x v="0"/>
    <x v="0"/>
    <x v="1"/>
    <n v="61.8"/>
    <n v="61.8"/>
    <n v="61.8"/>
    <n v="4820.3999999999996"/>
    <n v="4820.3999999999996"/>
    <n v="5655.15"/>
    <n v="5655.15"/>
    <n v="5655.15"/>
    <n v="5655.15"/>
    <x v="1"/>
    <x v="1"/>
    <x v="0"/>
    <n v="0"/>
    <x v="0"/>
  </r>
  <r>
    <x v="112"/>
    <x v="101"/>
    <n v="189"/>
    <x v="4"/>
    <s v="4ºC"/>
    <x v="0"/>
    <s v="Fertirrigação"/>
    <x v="10"/>
    <s v="3 - Parceria"/>
    <n v="7.97"/>
    <n v="7.97"/>
    <n v="0"/>
    <n v="7.97"/>
    <n v="533.99"/>
    <n v="557.9"/>
    <n v="0"/>
    <n v="327.60000000000002"/>
    <x v="0"/>
    <x v="39"/>
    <x v="0"/>
    <x v="0"/>
    <x v="1"/>
    <n v="7.97"/>
    <n v="7.97"/>
    <n v="7.97"/>
    <n v="533.99"/>
    <n v="557.9"/>
    <n v="327.60000000000002"/>
    <n v="327.60000000000002"/>
    <n v="327.60000000000002"/>
    <n v="327.60000000000002"/>
    <x v="1"/>
    <x v="1"/>
    <x v="0"/>
    <n v="0"/>
    <x v="0"/>
  </r>
  <r>
    <x v="112"/>
    <x v="101"/>
    <n v="198"/>
    <x v="1"/>
    <s v="8ºC"/>
    <x v="0"/>
    <s v="Fertirrigação"/>
    <x v="27"/>
    <s v="3 - Parceria"/>
    <n v="43.71"/>
    <n v="0"/>
    <n v="0"/>
    <n v="43.71"/>
    <n v="1923.24"/>
    <n v="0"/>
    <n v="0"/>
    <n v="2734.3"/>
    <x v="0"/>
    <x v="23"/>
    <x v="0"/>
    <x v="1"/>
    <x v="1"/>
    <n v="43.71"/>
    <n v="43.71"/>
    <n v="43.71"/>
    <n v="1923.24"/>
    <n v="2734.3"/>
    <n v="2734.3"/>
    <n v="2734.3"/>
    <n v="2734.3"/>
    <n v="2734.3"/>
    <x v="1"/>
    <x v="1"/>
    <x v="0"/>
    <n v="0"/>
    <x v="0"/>
  </r>
  <r>
    <x v="113"/>
    <x v="94"/>
    <n v="22"/>
    <x v="2"/>
    <s v="3ºC"/>
    <x v="0"/>
    <s v="Mineral"/>
    <x v="11"/>
    <s v="3 - Parceria"/>
    <n v="20.07"/>
    <n v="20.07"/>
    <n v="0"/>
    <n v="20.07"/>
    <n v="1806.3"/>
    <n v="1826.37"/>
    <n v="0"/>
    <n v="1857.98"/>
    <x v="0"/>
    <x v="37"/>
    <x v="0"/>
    <x v="0"/>
    <x v="1"/>
    <n v="20.07"/>
    <n v="20.07"/>
    <n v="20.07"/>
    <n v="1806.3"/>
    <n v="1826.37"/>
    <n v="1857.98"/>
    <n v="1857.98"/>
    <n v="1857.98"/>
    <n v="1857.98"/>
    <x v="1"/>
    <x v="0"/>
    <x v="0"/>
    <n v="0"/>
    <x v="0"/>
  </r>
  <r>
    <x v="113"/>
    <x v="94"/>
    <n v="23"/>
    <x v="2"/>
    <s v="3ºC"/>
    <x v="0"/>
    <s v="Mineral"/>
    <x v="11"/>
    <s v="3 - Parceria"/>
    <n v="17.690000000000001"/>
    <n v="17.690000000000001"/>
    <n v="0"/>
    <n v="17.690000000000001"/>
    <n v="1592.1"/>
    <n v="1609.79"/>
    <n v="0"/>
    <n v="1638.16"/>
    <x v="0"/>
    <x v="37"/>
    <x v="0"/>
    <x v="0"/>
    <x v="1"/>
    <n v="17.690000000000001"/>
    <n v="17.690000000000001"/>
    <n v="17.690000000000001"/>
    <n v="1592.1"/>
    <n v="1609.79"/>
    <n v="1638.16"/>
    <n v="1638.16"/>
    <n v="1638.16"/>
    <n v="1638.16"/>
    <x v="1"/>
    <x v="0"/>
    <x v="0"/>
    <n v="0"/>
    <x v="0"/>
  </r>
  <r>
    <x v="113"/>
    <x v="94"/>
    <n v="24"/>
    <x v="2"/>
    <s v="3ºC"/>
    <x v="0"/>
    <s v="Mineral"/>
    <x v="11"/>
    <s v="3 - Parceria"/>
    <n v="45.2"/>
    <n v="45.2"/>
    <n v="0"/>
    <n v="45.2"/>
    <n v="4068"/>
    <n v="4113.2"/>
    <n v="0"/>
    <n v="4185.24"/>
    <x v="0"/>
    <x v="37"/>
    <x v="0"/>
    <x v="0"/>
    <x v="1"/>
    <n v="45.2"/>
    <n v="45.2"/>
    <n v="45.2"/>
    <n v="4068"/>
    <n v="4113.2"/>
    <n v="4185.24"/>
    <n v="4185.24"/>
    <n v="4185.24"/>
    <n v="4185.24"/>
    <x v="1"/>
    <x v="0"/>
    <x v="0"/>
    <n v="0"/>
    <x v="0"/>
  </r>
  <r>
    <x v="113"/>
    <x v="94"/>
    <n v="25"/>
    <x v="2"/>
    <s v="3ºC"/>
    <x v="0"/>
    <s v="Mineral"/>
    <x v="11"/>
    <s v="3 - Parceria"/>
    <n v="23.43"/>
    <n v="23.43"/>
    <n v="0"/>
    <n v="23.43"/>
    <n v="2108.6999999999998"/>
    <n v="2132.13"/>
    <n v="0"/>
    <n v="2169.35"/>
    <x v="0"/>
    <x v="37"/>
    <x v="0"/>
    <x v="0"/>
    <x v="1"/>
    <n v="23.43"/>
    <n v="23.43"/>
    <n v="23.43"/>
    <n v="2108.6999999999998"/>
    <n v="2132.13"/>
    <n v="2169.35"/>
    <n v="2169.35"/>
    <n v="2169.35"/>
    <n v="2169.35"/>
    <x v="1"/>
    <x v="0"/>
    <x v="0"/>
    <n v="0"/>
    <x v="0"/>
  </r>
  <r>
    <x v="113"/>
    <x v="94"/>
    <n v="26"/>
    <x v="2"/>
    <s v="3ºC"/>
    <x v="0"/>
    <s v="Mineral"/>
    <x v="11"/>
    <s v="3 - Parceria"/>
    <n v="21.34"/>
    <n v="21.34"/>
    <n v="0"/>
    <n v="21.34"/>
    <n v="1920.6"/>
    <n v="1941.94"/>
    <n v="0"/>
    <n v="1976.92"/>
    <x v="0"/>
    <x v="37"/>
    <x v="0"/>
    <x v="0"/>
    <x v="1"/>
    <n v="21.34"/>
    <n v="21.34"/>
    <n v="21.34"/>
    <n v="1920.6"/>
    <n v="1941.94"/>
    <n v="1976.92"/>
    <n v="1976.92"/>
    <n v="1976.92"/>
    <n v="1976.92"/>
    <x v="1"/>
    <x v="0"/>
    <x v="0"/>
    <n v="0"/>
    <x v="0"/>
  </r>
  <r>
    <x v="113"/>
    <x v="94"/>
    <n v="27"/>
    <x v="2"/>
    <s v="3ºC"/>
    <x v="0"/>
    <s v="Mineral"/>
    <x v="11"/>
    <s v="3 - Parceria"/>
    <n v="40.869999999999997"/>
    <n v="40.869999999999997"/>
    <n v="0"/>
    <n v="40.869999999999997"/>
    <n v="3678.3"/>
    <n v="3719.17"/>
    <n v="0"/>
    <n v="3190.86"/>
    <x v="0"/>
    <x v="18"/>
    <x v="0"/>
    <x v="0"/>
    <x v="1"/>
    <n v="40.869999999999997"/>
    <n v="40.869999999999997"/>
    <n v="40.869999999999997"/>
    <n v="3678.3"/>
    <n v="3719.17"/>
    <n v="3190.86"/>
    <n v="3190.86"/>
    <n v="3190.86"/>
    <n v="3190.86"/>
    <x v="1"/>
    <x v="0"/>
    <x v="0"/>
    <n v="0"/>
    <x v="0"/>
  </r>
  <r>
    <x v="113"/>
    <x v="94"/>
    <n v="28"/>
    <x v="2"/>
    <s v="3ºC"/>
    <x v="0"/>
    <s v="Mineral"/>
    <x v="11"/>
    <s v="3 - Parceria"/>
    <n v="43.13"/>
    <n v="43.13"/>
    <n v="0"/>
    <n v="43.13"/>
    <n v="3881.7"/>
    <n v="3924.83"/>
    <n v="0"/>
    <n v="3367.61"/>
    <x v="0"/>
    <x v="18"/>
    <x v="0"/>
    <x v="0"/>
    <x v="1"/>
    <n v="43.13"/>
    <n v="43.13"/>
    <n v="43.13"/>
    <n v="3881.7"/>
    <n v="3924.83"/>
    <n v="3367.61"/>
    <n v="3367.61"/>
    <n v="3367.61"/>
    <n v="3367.61"/>
    <x v="1"/>
    <x v="0"/>
    <x v="0"/>
    <n v="0"/>
    <x v="0"/>
  </r>
  <r>
    <x v="113"/>
    <x v="94"/>
    <n v="30"/>
    <x v="5"/>
    <s v="2ºC"/>
    <x v="0"/>
    <s v="Mineral"/>
    <x v="4"/>
    <s v="3 - Parceria"/>
    <n v="66.13"/>
    <n v="66.13"/>
    <n v="0"/>
    <n v="66.13"/>
    <n v="4430.71"/>
    <n v="4893.62"/>
    <n v="0"/>
    <n v="4199.5200000000004"/>
    <x v="0"/>
    <x v="18"/>
    <x v="0"/>
    <x v="0"/>
    <x v="1"/>
    <n v="66.13"/>
    <n v="66.13"/>
    <n v="66.13"/>
    <n v="4430.71"/>
    <n v="4893.62"/>
    <n v="4199.5200000000004"/>
    <n v="4199.5200000000004"/>
    <n v="4199.5200000000004"/>
    <n v="4199.5200000000004"/>
    <x v="1"/>
    <x v="0"/>
    <x v="0"/>
    <n v="0"/>
    <x v="0"/>
  </r>
  <r>
    <x v="113"/>
    <x v="94"/>
    <n v="31"/>
    <x v="2"/>
    <s v="3ºC"/>
    <x v="0"/>
    <s v="Mineral"/>
    <x v="11"/>
    <s v="3 - Parceria"/>
    <n v="28.99"/>
    <n v="28.99"/>
    <n v="0"/>
    <n v="28.99"/>
    <n v="2609.1"/>
    <n v="2638.09"/>
    <n v="0"/>
    <n v="2231.4299999999998"/>
    <x v="0"/>
    <x v="37"/>
    <x v="0"/>
    <x v="0"/>
    <x v="1"/>
    <n v="28.99"/>
    <n v="28.99"/>
    <n v="28.99"/>
    <n v="2609.1"/>
    <n v="2638.09"/>
    <n v="2231.4299999999998"/>
    <n v="2231.4299999999998"/>
    <n v="2231.4299999999998"/>
    <n v="2231.4299999999998"/>
    <x v="1"/>
    <x v="0"/>
    <x v="0"/>
    <n v="0"/>
    <x v="0"/>
  </r>
  <r>
    <x v="113"/>
    <x v="94"/>
    <n v="32"/>
    <x v="2"/>
    <s v="3ºC"/>
    <x v="0"/>
    <s v="Mineral"/>
    <x v="11"/>
    <s v="3 - Parceria"/>
    <n v="27.56"/>
    <n v="27.56"/>
    <n v="0"/>
    <n v="27.56"/>
    <n v="2480.4"/>
    <n v="2507.96"/>
    <n v="0"/>
    <n v="2121.58"/>
    <x v="0"/>
    <x v="37"/>
    <x v="0"/>
    <x v="0"/>
    <x v="1"/>
    <n v="27.56"/>
    <n v="27.56"/>
    <n v="27.56"/>
    <n v="2480.4"/>
    <n v="2507.96"/>
    <n v="2121.58"/>
    <n v="2121.58"/>
    <n v="2121.58"/>
    <n v="2121.58"/>
    <x v="1"/>
    <x v="0"/>
    <x v="0"/>
    <n v="0"/>
    <x v="0"/>
  </r>
  <r>
    <x v="113"/>
    <x v="94"/>
    <n v="33"/>
    <x v="2"/>
    <s v="3ºC"/>
    <x v="0"/>
    <s v="Mineral"/>
    <x v="11"/>
    <s v="3 - Parceria"/>
    <n v="19.5"/>
    <n v="19.5"/>
    <n v="0"/>
    <n v="19.5"/>
    <n v="1755"/>
    <n v="1774.5"/>
    <n v="0"/>
    <n v="1554.35"/>
    <x v="0"/>
    <x v="37"/>
    <x v="0"/>
    <x v="0"/>
    <x v="1"/>
    <n v="19.5"/>
    <n v="19.5"/>
    <n v="19.5"/>
    <n v="1755"/>
    <n v="1774.5"/>
    <n v="1554.35"/>
    <n v="1554.35"/>
    <n v="1554.35"/>
    <n v="1554.35"/>
    <x v="1"/>
    <x v="0"/>
    <x v="0"/>
    <n v="0"/>
    <x v="0"/>
  </r>
  <r>
    <x v="113"/>
    <x v="94"/>
    <n v="34"/>
    <x v="2"/>
    <s v="3ºC"/>
    <x v="0"/>
    <s v="Mineral"/>
    <x v="11"/>
    <s v="3 - Parceria"/>
    <n v="21.97"/>
    <n v="21.97"/>
    <n v="0"/>
    <n v="21.97"/>
    <n v="1977.3"/>
    <n v="1999.27"/>
    <n v="0"/>
    <n v="1750.62"/>
    <x v="0"/>
    <x v="37"/>
    <x v="0"/>
    <x v="0"/>
    <x v="1"/>
    <n v="21.97"/>
    <n v="21.97"/>
    <n v="21.97"/>
    <n v="1977.3"/>
    <n v="1999.27"/>
    <n v="1750.62"/>
    <n v="1750.62"/>
    <n v="1750.62"/>
    <n v="1750.62"/>
    <x v="1"/>
    <x v="0"/>
    <x v="0"/>
    <n v="0"/>
    <x v="0"/>
  </r>
  <r>
    <x v="113"/>
    <x v="94"/>
    <n v="35"/>
    <x v="5"/>
    <s v="2ºC"/>
    <x v="0"/>
    <s v="Mineral"/>
    <x v="4"/>
    <s v="3 - Parceria"/>
    <n v="49.96"/>
    <n v="49.96"/>
    <n v="0"/>
    <n v="49.96"/>
    <n v="3996.8"/>
    <n v="3896.88"/>
    <n v="0"/>
    <n v="3517.51"/>
    <x v="0"/>
    <x v="37"/>
    <x v="0"/>
    <x v="0"/>
    <x v="1"/>
    <n v="49.96"/>
    <n v="49.96"/>
    <n v="49.96"/>
    <n v="3996.8"/>
    <n v="3896.88"/>
    <n v="3517.51"/>
    <n v="3517.51"/>
    <n v="3517.51"/>
    <n v="3517.51"/>
    <x v="0"/>
    <x v="0"/>
    <x v="0"/>
    <n v="0"/>
    <x v="0"/>
  </r>
  <r>
    <x v="113"/>
    <x v="94"/>
    <n v="84"/>
    <x v="2"/>
    <s v="3ºC"/>
    <x v="0"/>
    <s v="Mineral"/>
    <x v="11"/>
    <s v="3 - Parceria"/>
    <n v="46.39"/>
    <n v="46.39"/>
    <n v="0"/>
    <n v="46.39"/>
    <n v="4175.1000000000004"/>
    <n v="3757.59"/>
    <n v="0"/>
    <n v="4046.44"/>
    <x v="0"/>
    <x v="37"/>
    <x v="0"/>
    <x v="0"/>
    <x v="1"/>
    <n v="46.39"/>
    <n v="46.39"/>
    <n v="46.39"/>
    <n v="4175.1000000000004"/>
    <n v="3757.59"/>
    <n v="4046.44"/>
    <n v="4046.44"/>
    <n v="4046.44"/>
    <n v="4046.44"/>
    <x v="1"/>
    <x v="0"/>
    <x v="0"/>
    <n v="0"/>
    <x v="0"/>
  </r>
  <r>
    <x v="113"/>
    <x v="94"/>
    <n v="85"/>
    <x v="2"/>
    <s v="3ºC"/>
    <x v="0"/>
    <s v="Mineral"/>
    <x v="11"/>
    <s v="3 - Parceria"/>
    <n v="50.37"/>
    <n v="50.37"/>
    <n v="0"/>
    <n v="50.37"/>
    <n v="4533.3"/>
    <n v="4583.67"/>
    <n v="0"/>
    <n v="4936.12"/>
    <x v="0"/>
    <x v="37"/>
    <x v="0"/>
    <x v="0"/>
    <x v="1"/>
    <n v="50.37"/>
    <n v="50.37"/>
    <n v="50.37"/>
    <n v="4533.3"/>
    <n v="4583.67"/>
    <n v="4936.12"/>
    <n v="4936.12"/>
    <n v="4936.12"/>
    <n v="4936.12"/>
    <x v="1"/>
    <x v="0"/>
    <x v="0"/>
    <n v="0"/>
    <x v="0"/>
  </r>
  <r>
    <x v="114"/>
    <x v="60"/>
    <n v="1"/>
    <x v="6"/>
    <s v="5ºC"/>
    <x v="0"/>
    <s v="Mineral"/>
    <x v="27"/>
    <s v="3 - Parceria"/>
    <n v="12.51"/>
    <n v="12.51"/>
    <n v="0"/>
    <n v="12.51"/>
    <n v="625.5"/>
    <n v="750.6"/>
    <n v="0"/>
    <n v="573.88"/>
    <x v="0"/>
    <x v="31"/>
    <x v="0"/>
    <x v="0"/>
    <x v="1"/>
    <n v="12.51"/>
    <n v="12.51"/>
    <n v="12.51"/>
    <n v="625.5"/>
    <n v="750.6"/>
    <n v="573.88"/>
    <n v="573.88"/>
    <n v="573.88"/>
    <n v="573.88"/>
    <x v="1"/>
    <x v="0"/>
    <x v="0"/>
    <n v="0"/>
    <x v="0"/>
  </r>
  <r>
    <x v="114"/>
    <x v="60"/>
    <n v="2"/>
    <x v="6"/>
    <s v="5ºC"/>
    <x v="0"/>
    <s v="Mineral"/>
    <x v="27"/>
    <s v="3 - Parceria"/>
    <n v="16.77"/>
    <n v="16.77"/>
    <n v="0"/>
    <n v="16.77"/>
    <n v="838.5"/>
    <n v="1006.2"/>
    <n v="0"/>
    <n v="768.77"/>
    <x v="0"/>
    <x v="31"/>
    <x v="0"/>
    <x v="0"/>
    <x v="1"/>
    <n v="16.77"/>
    <n v="16.77"/>
    <n v="16.77"/>
    <n v="838.5"/>
    <n v="1006.2"/>
    <n v="768.77"/>
    <n v="768.77"/>
    <n v="768.77"/>
    <n v="768.77"/>
    <x v="1"/>
    <x v="0"/>
    <x v="0"/>
    <n v="0"/>
    <x v="0"/>
  </r>
  <r>
    <x v="114"/>
    <x v="60"/>
    <n v="3"/>
    <x v="6"/>
    <s v="5ºC"/>
    <x v="0"/>
    <s v="Mineral"/>
    <x v="27"/>
    <s v="3 - Parceria"/>
    <n v="25.36"/>
    <n v="25.36"/>
    <n v="0"/>
    <n v="25.36"/>
    <n v="1268"/>
    <n v="1470.88"/>
    <n v="0"/>
    <n v="1124.1300000000001"/>
    <x v="0"/>
    <x v="31"/>
    <x v="0"/>
    <x v="0"/>
    <x v="1"/>
    <n v="25.36"/>
    <n v="25.36"/>
    <n v="25.36"/>
    <n v="1268"/>
    <n v="1470.88"/>
    <n v="1124.1300000000001"/>
    <n v="1124.1300000000001"/>
    <n v="1124.1300000000001"/>
    <n v="1124.1300000000001"/>
    <x v="1"/>
    <x v="0"/>
    <x v="0"/>
    <n v="0"/>
    <x v="0"/>
  </r>
  <r>
    <x v="114"/>
    <x v="60"/>
    <n v="4"/>
    <x v="6"/>
    <s v="5ºC"/>
    <x v="0"/>
    <s v="Mineral"/>
    <x v="27"/>
    <s v="3 - Parceria"/>
    <n v="27.76"/>
    <n v="27.76"/>
    <n v="0"/>
    <n v="27.76"/>
    <n v="1388"/>
    <n v="1610.08"/>
    <n v="0"/>
    <n v="1230.56"/>
    <x v="0"/>
    <x v="31"/>
    <x v="0"/>
    <x v="0"/>
    <x v="1"/>
    <n v="27.76"/>
    <n v="27.76"/>
    <n v="27.76"/>
    <n v="1388"/>
    <n v="1610.08"/>
    <n v="1230.56"/>
    <n v="1230.56"/>
    <n v="1230.56"/>
    <n v="1230.56"/>
    <x v="1"/>
    <x v="0"/>
    <x v="0"/>
    <n v="0"/>
    <x v="0"/>
  </r>
  <r>
    <x v="114"/>
    <x v="60"/>
    <n v="5"/>
    <x v="6"/>
    <s v="5ºC"/>
    <x v="0"/>
    <s v="Mineral"/>
    <x v="27"/>
    <s v="3 - Parceria"/>
    <n v="1.6"/>
    <n v="0"/>
    <n v="0"/>
    <n v="1.6"/>
    <n v="80"/>
    <n v="0"/>
    <n v="0"/>
    <n v="107.61"/>
    <x v="0"/>
    <x v="26"/>
    <x v="0"/>
    <x v="1"/>
    <x v="1"/>
    <n v="1.6"/>
    <n v="1.6"/>
    <n v="1.6"/>
    <n v="80"/>
    <n v="107.61"/>
    <n v="107.61"/>
    <n v="107.61"/>
    <n v="107.61"/>
    <n v="107.61"/>
    <x v="1"/>
    <x v="0"/>
    <x v="0"/>
    <n v="0"/>
    <x v="0"/>
  </r>
  <r>
    <x v="114"/>
    <x v="60"/>
    <n v="6"/>
    <x v="6"/>
    <s v="5ºC"/>
    <x v="0"/>
    <s v="Mineral"/>
    <x v="27"/>
    <s v="3 - Parceria"/>
    <n v="22.53"/>
    <n v="0"/>
    <n v="0"/>
    <n v="22.53"/>
    <n v="1013.85"/>
    <n v="0"/>
    <n v="0"/>
    <n v="1364.18"/>
    <x v="0"/>
    <x v="26"/>
    <x v="0"/>
    <x v="1"/>
    <x v="1"/>
    <n v="22.53"/>
    <n v="22.53"/>
    <n v="22.53"/>
    <n v="1013.85"/>
    <n v="1364.18"/>
    <n v="1364.18"/>
    <n v="1364.18"/>
    <n v="1364.18"/>
    <n v="1364.18"/>
    <x v="1"/>
    <x v="0"/>
    <x v="0"/>
    <n v="0"/>
    <x v="0"/>
  </r>
  <r>
    <x v="114"/>
    <x v="60"/>
    <n v="9"/>
    <x v="5"/>
    <s v="2ºC"/>
    <x v="0"/>
    <s v="Mineral"/>
    <x v="1"/>
    <s v="3 - Parceria"/>
    <n v="1.61"/>
    <n v="1.61"/>
    <n v="1.61"/>
    <n v="1.61"/>
    <n v="136.85"/>
    <n v="144.9"/>
    <n v="144.9"/>
    <n v="173.29"/>
    <x v="0"/>
    <x v="20"/>
    <x v="0"/>
    <x v="0"/>
    <x v="0"/>
    <n v="1.61"/>
    <n v="1.61"/>
    <n v="1.61"/>
    <n v="136.85"/>
    <n v="144.9"/>
    <n v="144.9"/>
    <n v="173.29"/>
    <n v="173.29"/>
    <n v="173.29"/>
    <x v="1"/>
    <x v="0"/>
    <x v="0"/>
    <n v="0"/>
    <x v="0"/>
  </r>
  <r>
    <x v="114"/>
    <x v="60"/>
    <n v="10"/>
    <x v="5"/>
    <s v="2ºC"/>
    <x v="0"/>
    <s v="Mineral"/>
    <x v="30"/>
    <s v="3 - Parceria"/>
    <n v="3.87"/>
    <n v="3.87"/>
    <n v="3.87"/>
    <n v="3.87"/>
    <n v="328.95"/>
    <n v="348.3"/>
    <n v="348.3"/>
    <n v="415.91"/>
    <x v="0"/>
    <x v="20"/>
    <x v="0"/>
    <x v="0"/>
    <x v="0"/>
    <n v="3.87"/>
    <n v="3.87"/>
    <n v="3.87"/>
    <n v="328.95"/>
    <n v="348.3"/>
    <n v="348.3"/>
    <n v="415.91"/>
    <n v="415.91"/>
    <n v="415.91"/>
    <x v="1"/>
    <x v="0"/>
    <x v="0"/>
    <n v="0"/>
    <x v="0"/>
  </r>
  <r>
    <x v="114"/>
    <x v="60"/>
    <n v="13"/>
    <x v="5"/>
    <s v="2ºC"/>
    <x v="0"/>
    <s v="Mineral"/>
    <x v="1"/>
    <s v="3 - Parceria"/>
    <n v="3.51"/>
    <n v="3.51"/>
    <n v="3.51"/>
    <n v="3.51"/>
    <n v="298.35000000000002"/>
    <n v="315.89999999999998"/>
    <n v="315.89999999999998"/>
    <n v="338.13"/>
    <x v="0"/>
    <x v="20"/>
    <x v="0"/>
    <x v="0"/>
    <x v="0"/>
    <n v="3.51"/>
    <n v="3.51"/>
    <n v="3.51"/>
    <n v="298.35000000000002"/>
    <n v="315.89999999999998"/>
    <n v="315.89999999999998"/>
    <n v="338.13"/>
    <n v="338.13"/>
    <n v="338.13"/>
    <x v="1"/>
    <x v="0"/>
    <x v="0"/>
    <n v="0"/>
    <x v="0"/>
  </r>
  <r>
    <x v="115"/>
    <x v="102"/>
    <n v="1"/>
    <x v="7"/>
    <s v="7ºCB"/>
    <x v="1"/>
    <s v="Mineral"/>
    <x v="27"/>
    <s v="3 - Parceria"/>
    <n v="36.04"/>
    <n v="0"/>
    <n v="0"/>
    <n v="36.04"/>
    <n v="1441.6"/>
    <n v="0"/>
    <n v="0"/>
    <n v="2662.81"/>
    <x v="0"/>
    <x v="35"/>
    <x v="0"/>
    <x v="1"/>
    <x v="1"/>
    <n v="36.04"/>
    <n v="36.04"/>
    <n v="36.04"/>
    <n v="1441.6"/>
    <n v="2662.81"/>
    <n v="2662.81"/>
    <n v="2662.81"/>
    <n v="2662.81"/>
    <n v="2662.81"/>
    <x v="1"/>
    <x v="0"/>
    <x v="0"/>
    <n v="0"/>
    <x v="0"/>
  </r>
  <r>
    <x v="115"/>
    <x v="102"/>
    <n v="3"/>
    <x v="0"/>
    <s v="6ºC"/>
    <x v="0"/>
    <s v="Mineral"/>
    <x v="1"/>
    <s v="3 - Parceria"/>
    <n v="10.57"/>
    <n v="0"/>
    <n v="0"/>
    <n v="10.57"/>
    <n v="528.5"/>
    <n v="0"/>
    <n v="0"/>
    <n v="637.02"/>
    <x v="0"/>
    <x v="26"/>
    <x v="0"/>
    <x v="1"/>
    <x v="1"/>
    <n v="10.57"/>
    <n v="10.57"/>
    <n v="10.57"/>
    <n v="528.5"/>
    <n v="637.02"/>
    <n v="637.02"/>
    <n v="637.02"/>
    <n v="637.02"/>
    <n v="637.02"/>
    <x v="1"/>
    <x v="0"/>
    <x v="0"/>
    <n v="0"/>
    <x v="0"/>
  </r>
  <r>
    <x v="115"/>
    <x v="102"/>
    <n v="4"/>
    <x v="0"/>
    <s v="6ºC"/>
    <x v="0"/>
    <s v="Mineral"/>
    <x v="1"/>
    <s v="3 - Parceria"/>
    <n v="6.91"/>
    <n v="0"/>
    <n v="0"/>
    <n v="6.91"/>
    <n v="345.5"/>
    <n v="0"/>
    <n v="0"/>
    <n v="416.64"/>
    <x v="0"/>
    <x v="26"/>
    <x v="0"/>
    <x v="1"/>
    <x v="1"/>
    <n v="6.91"/>
    <n v="6.91"/>
    <n v="6.91"/>
    <n v="345.5"/>
    <n v="416.64"/>
    <n v="416.64"/>
    <n v="416.64"/>
    <n v="416.64"/>
    <n v="416.64"/>
    <x v="1"/>
    <x v="0"/>
    <x v="0"/>
    <n v="0"/>
    <x v="0"/>
  </r>
  <r>
    <x v="115"/>
    <x v="102"/>
    <n v="5"/>
    <x v="0"/>
    <s v="6ºC"/>
    <x v="0"/>
    <s v="Mineral"/>
    <x v="1"/>
    <s v="3 - Parceria"/>
    <n v="4.9400000000000004"/>
    <n v="0"/>
    <n v="0"/>
    <n v="4.9400000000000004"/>
    <n v="247"/>
    <n v="0"/>
    <n v="0"/>
    <n v="297.41000000000003"/>
    <x v="0"/>
    <x v="26"/>
    <x v="0"/>
    <x v="1"/>
    <x v="1"/>
    <n v="4.9400000000000004"/>
    <n v="4.9400000000000004"/>
    <n v="4.9400000000000004"/>
    <n v="247"/>
    <n v="297.41000000000003"/>
    <n v="297.41000000000003"/>
    <n v="297.41000000000003"/>
    <n v="297.41000000000003"/>
    <n v="297.41000000000003"/>
    <x v="1"/>
    <x v="0"/>
    <x v="0"/>
    <n v="0"/>
    <x v="0"/>
  </r>
  <r>
    <x v="115"/>
    <x v="102"/>
    <n v="6"/>
    <x v="6"/>
    <s v="5ºCB"/>
    <x v="1"/>
    <s v="Mineral"/>
    <x v="1"/>
    <s v="3 - Parceria"/>
    <n v="10.95"/>
    <n v="0"/>
    <n v="0"/>
    <n v="10.95"/>
    <n v="306.60000000000002"/>
    <n v="0"/>
    <n v="0"/>
    <n v="535.04999999999995"/>
    <x v="0"/>
    <x v="35"/>
    <x v="0"/>
    <x v="1"/>
    <x v="1"/>
    <n v="10.95"/>
    <n v="10.95"/>
    <n v="10.95"/>
    <n v="306.60000000000002"/>
    <n v="535.04999999999995"/>
    <n v="535.04999999999995"/>
    <n v="535.04999999999995"/>
    <n v="535.04999999999995"/>
    <n v="535.04999999999995"/>
    <x v="1"/>
    <x v="0"/>
    <x v="0"/>
    <n v="0"/>
    <x v="0"/>
  </r>
  <r>
    <x v="115"/>
    <x v="102"/>
    <n v="7"/>
    <x v="0"/>
    <s v="6ºC"/>
    <x v="0"/>
    <s v="Mineral"/>
    <x v="1"/>
    <s v="3 - Parceria"/>
    <n v="17.73"/>
    <n v="0"/>
    <n v="0"/>
    <n v="17.73"/>
    <n v="886.5"/>
    <n v="0"/>
    <n v="0"/>
    <n v="860.85"/>
    <x v="0"/>
    <x v="26"/>
    <x v="0"/>
    <x v="1"/>
    <x v="1"/>
    <n v="17.73"/>
    <n v="17.73"/>
    <n v="17.73"/>
    <n v="886.5"/>
    <n v="860.85"/>
    <n v="860.85"/>
    <n v="860.85"/>
    <n v="860.85"/>
    <n v="860.85"/>
    <x v="1"/>
    <x v="0"/>
    <x v="0"/>
    <n v="0"/>
    <x v="0"/>
  </r>
  <r>
    <x v="115"/>
    <x v="102"/>
    <n v="8"/>
    <x v="0"/>
    <s v="6ºC"/>
    <x v="0"/>
    <s v="Mineral"/>
    <x v="1"/>
    <s v="3 - Parceria"/>
    <n v="6.9"/>
    <n v="0"/>
    <n v="0"/>
    <n v="6.9"/>
    <n v="345"/>
    <n v="0"/>
    <n v="0"/>
    <n v="335.54"/>
    <x v="0"/>
    <x v="26"/>
    <x v="0"/>
    <x v="1"/>
    <x v="1"/>
    <n v="6.9"/>
    <n v="6.9"/>
    <n v="6.9"/>
    <n v="345"/>
    <n v="335.54"/>
    <n v="335.54"/>
    <n v="335.54"/>
    <n v="335.54"/>
    <n v="335.54"/>
    <x v="1"/>
    <x v="0"/>
    <x v="0"/>
    <n v="0"/>
    <x v="0"/>
  </r>
  <r>
    <x v="115"/>
    <x v="102"/>
    <n v="9"/>
    <x v="1"/>
    <s v="8ºC"/>
    <x v="0"/>
    <s v="Mineral"/>
    <x v="27"/>
    <s v="3 - Parceria"/>
    <n v="33.49"/>
    <n v="0"/>
    <n v="0"/>
    <n v="33.49"/>
    <n v="1674.5"/>
    <n v="0"/>
    <n v="0"/>
    <n v="1807.59"/>
    <x v="0"/>
    <x v="26"/>
    <x v="0"/>
    <x v="1"/>
    <x v="1"/>
    <n v="33.49"/>
    <n v="33.49"/>
    <n v="33.49"/>
    <n v="1674.5"/>
    <n v="1807.59"/>
    <n v="1807.59"/>
    <n v="1807.59"/>
    <n v="1807.59"/>
    <n v="1807.59"/>
    <x v="1"/>
    <x v="0"/>
    <x v="0"/>
    <n v="0"/>
    <x v="0"/>
  </r>
  <r>
    <x v="115"/>
    <x v="102"/>
    <n v="11"/>
    <x v="0"/>
    <s v="6ºC"/>
    <x v="0"/>
    <s v="Mineral"/>
    <x v="1"/>
    <s v="3 - Parceria"/>
    <n v="19.79"/>
    <n v="0"/>
    <n v="0"/>
    <n v="19.79"/>
    <n v="989.5"/>
    <n v="0"/>
    <n v="0"/>
    <n v="1068.98"/>
    <x v="0"/>
    <x v="26"/>
    <x v="0"/>
    <x v="1"/>
    <x v="1"/>
    <n v="19.79"/>
    <n v="19.79"/>
    <n v="19.79"/>
    <n v="989.5"/>
    <n v="1068.98"/>
    <n v="1068.98"/>
    <n v="1068.98"/>
    <n v="1068.98"/>
    <n v="1068.98"/>
    <x v="1"/>
    <x v="0"/>
    <x v="0"/>
    <n v="0"/>
    <x v="0"/>
  </r>
  <r>
    <x v="115"/>
    <x v="102"/>
    <n v="12"/>
    <x v="1"/>
    <s v="8ºCB"/>
    <x v="1"/>
    <s v="Mineral"/>
    <x v="8"/>
    <s v="3 - Parceria"/>
    <n v="22.18"/>
    <n v="0"/>
    <n v="0"/>
    <n v="22.18"/>
    <n v="621.04"/>
    <n v="0"/>
    <n v="0"/>
    <n v="1149.3599999999999"/>
    <x v="0"/>
    <x v="35"/>
    <x v="0"/>
    <x v="1"/>
    <x v="1"/>
    <n v="22.18"/>
    <n v="22.18"/>
    <n v="22.18"/>
    <n v="621.04"/>
    <n v="1149.3599999999999"/>
    <n v="1149.3599999999999"/>
    <n v="1149.3599999999999"/>
    <n v="1149.3599999999999"/>
    <n v="1149.3599999999999"/>
    <x v="1"/>
    <x v="0"/>
    <x v="0"/>
    <n v="0"/>
    <x v="0"/>
  </r>
  <r>
    <x v="115"/>
    <x v="102"/>
    <n v="13"/>
    <x v="7"/>
    <s v="7ºCB"/>
    <x v="1"/>
    <s v="Mineral"/>
    <x v="8"/>
    <s v="3 - Parceria"/>
    <n v="27.11"/>
    <n v="0"/>
    <n v="0"/>
    <n v="27.11"/>
    <n v="759.08"/>
    <n v="0"/>
    <n v="0"/>
    <n v="1027.72"/>
    <x v="0"/>
    <x v="35"/>
    <x v="0"/>
    <x v="1"/>
    <x v="1"/>
    <n v="27.11"/>
    <n v="27.11"/>
    <n v="27.11"/>
    <n v="759.08"/>
    <n v="1027.72"/>
    <n v="1027.72"/>
    <n v="1027.72"/>
    <n v="1027.72"/>
    <n v="1027.72"/>
    <x v="1"/>
    <x v="0"/>
    <x v="0"/>
    <n v="0"/>
    <x v="0"/>
  </r>
  <r>
    <x v="115"/>
    <x v="102"/>
    <n v="14"/>
    <x v="1"/>
    <s v="8ºCB"/>
    <x v="1"/>
    <s v="Mineral"/>
    <x v="8"/>
    <s v="3 - Parceria"/>
    <n v="48.85"/>
    <n v="0"/>
    <n v="0"/>
    <n v="48.85"/>
    <n v="1367.8"/>
    <n v="0"/>
    <n v="0"/>
    <n v="2384.4899999999998"/>
    <x v="0"/>
    <x v="35"/>
    <x v="0"/>
    <x v="1"/>
    <x v="1"/>
    <n v="48.85"/>
    <n v="48.85"/>
    <n v="48.85"/>
    <n v="1367.8"/>
    <n v="2384.4899999999998"/>
    <n v="2384.4899999999998"/>
    <n v="2384.4899999999998"/>
    <n v="2384.4899999999998"/>
    <n v="2384.4899999999998"/>
    <x v="1"/>
    <x v="0"/>
    <x v="0"/>
    <n v="0"/>
    <x v="0"/>
  </r>
  <r>
    <x v="115"/>
    <x v="102"/>
    <n v="16"/>
    <x v="8"/>
    <s v="9ºC"/>
    <x v="0"/>
    <s v="Mineral"/>
    <x v="8"/>
    <s v="3 - Parceria"/>
    <n v="17.940000000000001"/>
    <n v="0"/>
    <n v="0"/>
    <n v="17.940000000000001"/>
    <n v="502.32"/>
    <n v="0"/>
    <n v="0"/>
    <n v="848.02"/>
    <x v="0"/>
    <x v="35"/>
    <x v="0"/>
    <x v="1"/>
    <x v="1"/>
    <n v="17.940000000000001"/>
    <n v="17.940000000000001"/>
    <n v="17.940000000000001"/>
    <n v="502.32"/>
    <n v="848.02"/>
    <n v="848.02"/>
    <n v="848.02"/>
    <n v="848.02"/>
    <n v="848.02"/>
    <x v="1"/>
    <x v="0"/>
    <x v="0"/>
    <n v="0"/>
    <x v="0"/>
  </r>
  <r>
    <x v="115"/>
    <x v="102"/>
    <n v="17"/>
    <x v="8"/>
    <s v="9ºC"/>
    <x v="0"/>
    <s v="Mineral"/>
    <x v="8"/>
    <s v="3 - Parceria"/>
    <n v="9.26"/>
    <n v="0"/>
    <n v="0"/>
    <n v="9.26"/>
    <n v="259.27999999999997"/>
    <n v="0"/>
    <n v="0"/>
    <n v="437.28"/>
    <x v="0"/>
    <x v="35"/>
    <x v="0"/>
    <x v="1"/>
    <x v="1"/>
    <n v="9.26"/>
    <n v="9.26"/>
    <n v="9.26"/>
    <n v="259.27999999999997"/>
    <n v="437.28"/>
    <n v="437.28"/>
    <n v="437.28"/>
    <n v="437.28"/>
    <n v="437.28"/>
    <x v="1"/>
    <x v="0"/>
    <x v="0"/>
    <n v="0"/>
    <x v="0"/>
  </r>
  <r>
    <x v="115"/>
    <x v="102"/>
    <n v="18"/>
    <x v="8"/>
    <s v="9ºC"/>
    <x v="0"/>
    <s v="Mineral"/>
    <x v="8"/>
    <s v="3 - Parceria"/>
    <n v="38.56"/>
    <n v="0"/>
    <n v="0"/>
    <n v="38.56"/>
    <n v="1928"/>
    <n v="0"/>
    <n v="0"/>
    <n v="1781.81"/>
    <x v="0"/>
    <x v="26"/>
    <x v="0"/>
    <x v="1"/>
    <x v="1"/>
    <n v="38.56"/>
    <n v="38.56"/>
    <n v="38.56"/>
    <n v="1928"/>
    <n v="1781.81"/>
    <n v="1781.81"/>
    <n v="1781.81"/>
    <n v="1781.81"/>
    <n v="1781.81"/>
    <x v="1"/>
    <x v="0"/>
    <x v="0"/>
    <n v="0"/>
    <x v="0"/>
  </r>
  <r>
    <x v="115"/>
    <x v="102"/>
    <n v="19"/>
    <x v="8"/>
    <s v="9ºC"/>
    <x v="0"/>
    <s v="Mineral"/>
    <x v="8"/>
    <s v="3 - Parceria"/>
    <n v="27"/>
    <n v="0"/>
    <n v="27"/>
    <n v="27"/>
    <n v="1755"/>
    <n v="0"/>
    <n v="1755"/>
    <n v="1362.01"/>
    <x v="0"/>
    <x v="41"/>
    <x v="0"/>
    <x v="1"/>
    <x v="0"/>
    <n v="27"/>
    <n v="27"/>
    <n v="27"/>
    <n v="1755"/>
    <n v="1362.01"/>
    <n v="1755"/>
    <n v="1362.01"/>
    <n v="1362.01"/>
    <n v="1362.01"/>
    <x v="1"/>
    <x v="0"/>
    <x v="0"/>
    <n v="0"/>
    <x v="0"/>
  </r>
  <r>
    <x v="115"/>
    <x v="102"/>
    <n v="20"/>
    <x v="1"/>
    <s v="8ºC"/>
    <x v="0"/>
    <s v="Mineral"/>
    <x v="27"/>
    <s v="3 - Parceria"/>
    <n v="27"/>
    <n v="0"/>
    <n v="27"/>
    <n v="27"/>
    <n v="1755"/>
    <n v="0"/>
    <n v="1755"/>
    <n v="1362.01"/>
    <x v="0"/>
    <x v="41"/>
    <x v="0"/>
    <x v="1"/>
    <x v="0"/>
    <n v="27"/>
    <n v="27"/>
    <n v="27"/>
    <n v="1755"/>
    <n v="1362.01"/>
    <n v="1755"/>
    <n v="1362.01"/>
    <n v="1362.01"/>
    <n v="1362.01"/>
    <x v="1"/>
    <x v="0"/>
    <x v="0"/>
    <n v="0"/>
    <x v="0"/>
  </r>
  <r>
    <x v="115"/>
    <x v="102"/>
    <n v="21"/>
    <x v="8"/>
    <s v="9ºC"/>
    <x v="0"/>
    <s v="Mineral"/>
    <x v="27"/>
    <s v="3 - Parceria"/>
    <n v="26"/>
    <n v="0"/>
    <n v="26"/>
    <n v="26"/>
    <n v="1690"/>
    <n v="0"/>
    <n v="1690"/>
    <n v="1311.75"/>
    <x v="0"/>
    <x v="41"/>
    <x v="0"/>
    <x v="1"/>
    <x v="0"/>
    <n v="26"/>
    <n v="26"/>
    <n v="26"/>
    <n v="1690"/>
    <n v="1311.75"/>
    <n v="1690"/>
    <n v="1311.75"/>
    <n v="1311.75"/>
    <n v="1311.75"/>
    <x v="1"/>
    <x v="0"/>
    <x v="0"/>
    <n v="0"/>
    <x v="0"/>
  </r>
  <r>
    <x v="115"/>
    <x v="102"/>
    <n v="29"/>
    <x v="6"/>
    <s v="5ºCB"/>
    <x v="1"/>
    <s v="Mineral"/>
    <x v="1"/>
    <s v="3 - Parceria"/>
    <n v="17.079999999999998"/>
    <n v="0"/>
    <n v="0"/>
    <n v="17.079999999999998"/>
    <n v="478.24"/>
    <n v="0"/>
    <n v="0"/>
    <n v="833.11"/>
    <x v="0"/>
    <x v="35"/>
    <x v="0"/>
    <x v="1"/>
    <x v="1"/>
    <n v="17.079999999999998"/>
    <n v="17.079999999999998"/>
    <n v="17.079999999999998"/>
    <n v="478.24"/>
    <n v="833.11"/>
    <n v="833.11"/>
    <n v="833.11"/>
    <n v="833.11"/>
    <n v="833.11"/>
    <x v="1"/>
    <x v="0"/>
    <x v="0"/>
    <n v="0"/>
    <x v="0"/>
  </r>
  <r>
    <x v="115"/>
    <x v="102"/>
    <n v="30"/>
    <x v="6"/>
    <s v="5ºCB"/>
    <x v="1"/>
    <s v="Mineral"/>
    <x v="1"/>
    <s v="3 - Parceria"/>
    <n v="25.28"/>
    <n v="0"/>
    <n v="0"/>
    <n v="25.28"/>
    <n v="707.84"/>
    <n v="0"/>
    <n v="0"/>
    <n v="1234.3900000000001"/>
    <x v="0"/>
    <x v="35"/>
    <x v="0"/>
    <x v="1"/>
    <x v="1"/>
    <n v="25.28"/>
    <n v="25.28"/>
    <n v="25.28"/>
    <n v="707.84"/>
    <n v="1234.3900000000001"/>
    <n v="1234.3900000000001"/>
    <n v="1234.3900000000001"/>
    <n v="1234.3900000000001"/>
    <n v="1234.3900000000001"/>
    <x v="1"/>
    <x v="0"/>
    <x v="0"/>
    <n v="0"/>
    <x v="0"/>
  </r>
  <r>
    <x v="116"/>
    <x v="103"/>
    <n v="1"/>
    <x v="2"/>
    <s v="3ºC"/>
    <x v="0"/>
    <s v="Fertirrigação"/>
    <x v="13"/>
    <s v="3 - Parceria"/>
    <n v="7.31"/>
    <n v="7.31"/>
    <n v="7.31"/>
    <n v="7.31"/>
    <n v="489.77"/>
    <n v="489.77"/>
    <n v="489.77"/>
    <n v="653.51"/>
    <x v="0"/>
    <x v="32"/>
    <x v="0"/>
    <x v="0"/>
    <x v="0"/>
    <n v="7.31"/>
    <n v="7.31"/>
    <n v="7.31"/>
    <n v="489.77"/>
    <n v="489.77"/>
    <n v="489.77"/>
    <n v="653.51"/>
    <n v="653.51"/>
    <n v="653.51"/>
    <x v="1"/>
    <x v="2"/>
    <x v="5"/>
    <n v="190.06"/>
    <x v="1"/>
  </r>
  <r>
    <x v="116"/>
    <x v="103"/>
    <n v="2"/>
    <x v="2"/>
    <s v="3ºC"/>
    <x v="0"/>
    <s v="Fertirrigação"/>
    <x v="13"/>
    <s v="3 - Parceria"/>
    <n v="16.38"/>
    <n v="16.38"/>
    <n v="16.38"/>
    <n v="16.38"/>
    <n v="1097.46"/>
    <n v="982.8"/>
    <n v="982.8"/>
    <n v="799.12"/>
    <x v="0"/>
    <x v="34"/>
    <x v="0"/>
    <x v="0"/>
    <x v="0"/>
    <n v="16.38"/>
    <n v="16.38"/>
    <n v="16.38"/>
    <n v="1097.46"/>
    <n v="982.8"/>
    <n v="982.8"/>
    <n v="799.12"/>
    <n v="799.12"/>
    <n v="799.12"/>
    <x v="0"/>
    <x v="2"/>
    <x v="5"/>
    <n v="425.88"/>
    <x v="1"/>
  </r>
  <r>
    <x v="116"/>
    <x v="103"/>
    <n v="3"/>
    <x v="2"/>
    <s v="3ºC"/>
    <x v="0"/>
    <s v="Fertirrigação"/>
    <x v="13"/>
    <s v="3 - Parceria"/>
    <n v="9.8000000000000007"/>
    <n v="9.8000000000000007"/>
    <n v="9.8000000000000007"/>
    <n v="9.8000000000000007"/>
    <n v="656.6"/>
    <n v="588"/>
    <n v="470.4"/>
    <n v="382.12"/>
    <x v="0"/>
    <x v="34"/>
    <x v="0"/>
    <x v="0"/>
    <x v="0"/>
    <n v="9.8000000000000007"/>
    <n v="9.8000000000000007"/>
    <n v="9.8000000000000007"/>
    <n v="656.6"/>
    <n v="588"/>
    <n v="470.4"/>
    <n v="382.12"/>
    <n v="382.12"/>
    <n v="382.12"/>
    <x v="0"/>
    <x v="2"/>
    <x v="5"/>
    <n v="254.8"/>
    <x v="1"/>
  </r>
  <r>
    <x v="117"/>
    <x v="104"/>
    <n v="26"/>
    <x v="3"/>
    <s v="ANB"/>
    <x v="1"/>
    <s v="Fertirrigação"/>
    <x v="8"/>
    <s v="3 - Parceria"/>
    <n v="0.56000000000000005"/>
    <n v="0"/>
    <n v="0"/>
    <n v="0.56000000000000005"/>
    <n v="44.8"/>
    <n v="0"/>
    <n v="0"/>
    <n v="65.489999999999995"/>
    <x v="0"/>
    <x v="16"/>
    <x v="0"/>
    <x v="1"/>
    <x v="1"/>
    <n v="0.56000000000000005"/>
    <n v="0.56000000000000005"/>
    <n v="0.56000000000000005"/>
    <n v="44.8"/>
    <n v="65.489999999999995"/>
    <n v="65.489999999999995"/>
    <n v="65.489999999999995"/>
    <n v="65.489999999999995"/>
    <n v="65.489999999999995"/>
    <x v="1"/>
    <x v="1"/>
    <x v="0"/>
    <n v="0"/>
    <x v="0"/>
  </r>
  <r>
    <x v="117"/>
    <x v="104"/>
    <n v="27"/>
    <x v="4"/>
    <s v="4ºC"/>
    <x v="0"/>
    <s v="Fertirrigação"/>
    <x v="6"/>
    <s v="3 - Parceria"/>
    <n v="7.46"/>
    <n v="7.46"/>
    <n v="7.46"/>
    <n v="7.46"/>
    <n v="522.20000000000005"/>
    <n v="522.20000000000005"/>
    <n v="522.20000000000005"/>
    <n v="528.54"/>
    <x v="0"/>
    <x v="0"/>
    <x v="0"/>
    <x v="0"/>
    <x v="0"/>
    <n v="7.46"/>
    <n v="7.46"/>
    <n v="7.46"/>
    <n v="522.20000000000005"/>
    <n v="522.20000000000005"/>
    <n v="522.20000000000005"/>
    <n v="528.54"/>
    <n v="528.54"/>
    <n v="528.54"/>
    <x v="1"/>
    <x v="1"/>
    <x v="0"/>
    <n v="0"/>
    <x v="0"/>
  </r>
  <r>
    <x v="117"/>
    <x v="104"/>
    <n v="28"/>
    <x v="4"/>
    <s v="4ºC"/>
    <x v="0"/>
    <s v="Fertirrigação"/>
    <x v="6"/>
    <s v="3 - Parceria"/>
    <n v="18.13"/>
    <n v="18.13"/>
    <n v="18.13"/>
    <n v="18.13"/>
    <n v="1269.0999999999999"/>
    <n v="1269.0999999999999"/>
    <n v="1269.0999999999999"/>
    <n v="1284.98"/>
    <x v="0"/>
    <x v="0"/>
    <x v="0"/>
    <x v="0"/>
    <x v="0"/>
    <n v="18.13"/>
    <n v="18.13"/>
    <n v="18.13"/>
    <n v="1269.0999999999999"/>
    <n v="1269.0999999999999"/>
    <n v="1269.0999999999999"/>
    <n v="1284.98"/>
    <n v="1284.98"/>
    <n v="1284.98"/>
    <x v="1"/>
    <x v="1"/>
    <x v="0"/>
    <n v="0"/>
    <x v="0"/>
  </r>
  <r>
    <x v="117"/>
    <x v="104"/>
    <n v="29"/>
    <x v="4"/>
    <s v="4ºC"/>
    <x v="0"/>
    <s v="Fertirrigação"/>
    <x v="6"/>
    <s v="3 - Parceria"/>
    <n v="8.59"/>
    <n v="8.59"/>
    <n v="8.59"/>
    <n v="8.59"/>
    <n v="601.29999999999995"/>
    <n v="601.29999999999995"/>
    <n v="601.29999999999995"/>
    <n v="608.54"/>
    <x v="0"/>
    <x v="0"/>
    <x v="0"/>
    <x v="0"/>
    <x v="0"/>
    <n v="8.59"/>
    <n v="8.59"/>
    <n v="8.59"/>
    <n v="601.29999999999995"/>
    <n v="601.29999999999995"/>
    <n v="601.29999999999995"/>
    <n v="608.54"/>
    <n v="608.54"/>
    <n v="608.54"/>
    <x v="0"/>
    <x v="1"/>
    <x v="0"/>
    <n v="0"/>
    <x v="0"/>
  </r>
  <r>
    <x v="117"/>
    <x v="104"/>
    <n v="30"/>
    <x v="4"/>
    <s v="4ºC"/>
    <x v="0"/>
    <s v="Fertirrigação"/>
    <x v="18"/>
    <s v="3 - Parceria"/>
    <n v="10.38"/>
    <n v="10.38"/>
    <n v="10.38"/>
    <n v="10.38"/>
    <n v="622.79999999999995"/>
    <n v="622.79999999999995"/>
    <n v="622.79999999999995"/>
    <n v="630.82000000000005"/>
    <x v="0"/>
    <x v="0"/>
    <x v="0"/>
    <x v="0"/>
    <x v="0"/>
    <n v="10.38"/>
    <n v="10.38"/>
    <n v="10.38"/>
    <n v="622.79999999999995"/>
    <n v="622.79999999999995"/>
    <n v="622.79999999999995"/>
    <n v="630.82000000000005"/>
    <n v="630.82000000000005"/>
    <n v="630.82000000000005"/>
    <x v="1"/>
    <x v="1"/>
    <x v="0"/>
    <n v="0"/>
    <x v="0"/>
  </r>
  <r>
    <x v="117"/>
    <x v="104"/>
    <n v="31"/>
    <x v="4"/>
    <s v="4ºC"/>
    <x v="0"/>
    <s v="Fertirrigação"/>
    <x v="6"/>
    <s v="3 - Parceria"/>
    <n v="9.6"/>
    <n v="9.6"/>
    <n v="9.6"/>
    <n v="9.6"/>
    <n v="672"/>
    <n v="672"/>
    <n v="672"/>
    <n v="680.44"/>
    <x v="0"/>
    <x v="0"/>
    <x v="0"/>
    <x v="0"/>
    <x v="0"/>
    <n v="9.6"/>
    <n v="9.6"/>
    <n v="9.6"/>
    <n v="672"/>
    <n v="672"/>
    <n v="672"/>
    <n v="680.44"/>
    <n v="680.44"/>
    <n v="680.44"/>
    <x v="0"/>
    <x v="1"/>
    <x v="0"/>
    <n v="0"/>
    <x v="0"/>
  </r>
  <r>
    <x v="117"/>
    <x v="104"/>
    <n v="32"/>
    <x v="4"/>
    <s v="4ºC"/>
    <x v="0"/>
    <s v="Fertirrigação"/>
    <x v="6"/>
    <s v="3 - Parceria"/>
    <n v="3.88"/>
    <n v="3.88"/>
    <n v="3.88"/>
    <n v="3.88"/>
    <n v="271.60000000000002"/>
    <n v="271.60000000000002"/>
    <n v="271.60000000000002"/>
    <n v="275.75"/>
    <x v="0"/>
    <x v="0"/>
    <x v="0"/>
    <x v="0"/>
    <x v="0"/>
    <n v="3.88"/>
    <n v="3.88"/>
    <n v="3.88"/>
    <n v="271.60000000000002"/>
    <n v="271.60000000000002"/>
    <n v="271.60000000000002"/>
    <n v="275.75"/>
    <n v="275.75"/>
    <n v="275.75"/>
    <x v="0"/>
    <x v="1"/>
    <x v="0"/>
    <n v="0"/>
    <x v="0"/>
  </r>
  <r>
    <x v="118"/>
    <x v="105"/>
    <n v="1"/>
    <x v="3"/>
    <s v="ANM"/>
    <x v="0"/>
    <s v="Mineral"/>
    <x v="6"/>
    <s v="3 - Parceria"/>
    <n v="4.7"/>
    <n v="0"/>
    <n v="0"/>
    <n v="4.7"/>
    <n v="498.2"/>
    <n v="0"/>
    <n v="0"/>
    <n v="621.47"/>
    <x v="0"/>
    <x v="15"/>
    <x v="0"/>
    <x v="1"/>
    <x v="1"/>
    <n v="4.7"/>
    <n v="4.7"/>
    <n v="4.7"/>
    <n v="498.2"/>
    <n v="621.47"/>
    <n v="621.47"/>
    <n v="621.47"/>
    <n v="621.47"/>
    <n v="621.47"/>
    <x v="1"/>
    <x v="0"/>
    <x v="0"/>
    <n v="0"/>
    <x v="0"/>
  </r>
  <r>
    <x v="118"/>
    <x v="105"/>
    <n v="2"/>
    <x v="3"/>
    <s v="ANM"/>
    <x v="0"/>
    <s v="Mineral"/>
    <x v="6"/>
    <s v="3 - Parceria"/>
    <n v="9.17"/>
    <n v="0"/>
    <n v="0"/>
    <n v="9.17"/>
    <n v="1045.3800000000001"/>
    <n v="0"/>
    <n v="0"/>
    <n v="902.99"/>
    <x v="0"/>
    <x v="15"/>
    <x v="0"/>
    <x v="1"/>
    <x v="1"/>
    <n v="9.17"/>
    <n v="9.17"/>
    <n v="9.17"/>
    <n v="1045.3800000000001"/>
    <n v="902.99"/>
    <n v="902.99"/>
    <n v="902.99"/>
    <n v="902.99"/>
    <n v="902.99"/>
    <x v="1"/>
    <x v="0"/>
    <x v="0"/>
    <n v="0"/>
    <x v="0"/>
  </r>
  <r>
    <x v="118"/>
    <x v="105"/>
    <n v="3"/>
    <x v="3"/>
    <s v="ANM"/>
    <x v="0"/>
    <s v="Mineral"/>
    <x v="6"/>
    <s v="3 - Parceria"/>
    <n v="13.8"/>
    <n v="0"/>
    <n v="0"/>
    <n v="13.8"/>
    <n v="1656"/>
    <n v="0"/>
    <n v="0"/>
    <n v="1430.98"/>
    <x v="0"/>
    <x v="15"/>
    <x v="0"/>
    <x v="1"/>
    <x v="1"/>
    <n v="13.8"/>
    <n v="13.8"/>
    <n v="13.8"/>
    <n v="1656"/>
    <n v="1430.98"/>
    <n v="1430.98"/>
    <n v="1430.98"/>
    <n v="1430.98"/>
    <n v="1430.98"/>
    <x v="1"/>
    <x v="0"/>
    <x v="0"/>
    <n v="0"/>
    <x v="0"/>
  </r>
  <r>
    <x v="118"/>
    <x v="105"/>
    <n v="4"/>
    <x v="3"/>
    <s v="ANM"/>
    <x v="0"/>
    <s v="Mineral"/>
    <x v="6"/>
    <s v="3 - Parceria"/>
    <n v="0.7"/>
    <n v="0"/>
    <n v="0"/>
    <n v="0.7"/>
    <n v="79.8"/>
    <n v="0"/>
    <n v="0"/>
    <n v="69.09"/>
    <x v="0"/>
    <x v="15"/>
    <x v="0"/>
    <x v="1"/>
    <x v="1"/>
    <n v="0.7"/>
    <n v="0.7"/>
    <n v="0.7"/>
    <n v="79.8"/>
    <n v="69.09"/>
    <n v="69.09"/>
    <n v="69.09"/>
    <n v="69.09"/>
    <n v="69.09"/>
    <x v="1"/>
    <x v="0"/>
    <x v="0"/>
    <n v="0"/>
    <x v="0"/>
  </r>
  <r>
    <x v="118"/>
    <x v="105"/>
    <n v="904"/>
    <x v="3"/>
    <s v="ANM"/>
    <x v="0"/>
    <s v="Mineral"/>
    <x v="6"/>
    <s v="3 - Parceria"/>
    <n v="8.1999999999999993"/>
    <n v="0"/>
    <n v="0"/>
    <n v="8.1999999999999993"/>
    <n v="656"/>
    <n v="0"/>
    <n v="0"/>
    <n v="567.01"/>
    <x v="0"/>
    <x v="15"/>
    <x v="0"/>
    <x v="1"/>
    <x v="1"/>
    <n v="8.1999999999999993"/>
    <n v="8.1999999999999993"/>
    <n v="8.1999999999999993"/>
    <n v="656"/>
    <n v="567.01"/>
    <n v="567.01"/>
    <n v="567.01"/>
    <n v="567.01"/>
    <n v="567.01"/>
    <x v="1"/>
    <x v="0"/>
    <x v="0"/>
    <n v="0"/>
    <x v="0"/>
  </r>
  <r>
    <x v="119"/>
    <x v="106"/>
    <n v="1"/>
    <x v="5"/>
    <s v="2ºC"/>
    <x v="0"/>
    <s v="Fertirrigação"/>
    <x v="6"/>
    <s v="3 - Parceria"/>
    <n v="14.58"/>
    <n v="14.58"/>
    <n v="14.58"/>
    <n v="14.58"/>
    <n v="1239.3"/>
    <n v="1239.3"/>
    <n v="1166.4000000000001"/>
    <n v="729.43"/>
    <x v="0"/>
    <x v="21"/>
    <x v="0"/>
    <x v="0"/>
    <x v="0"/>
    <n v="14.58"/>
    <n v="14.58"/>
    <n v="14.58"/>
    <n v="1239.3"/>
    <n v="1239.3"/>
    <n v="1166.4000000000001"/>
    <n v="729.43"/>
    <n v="729.43"/>
    <n v="729.43"/>
    <x v="1"/>
    <x v="1"/>
    <x v="0"/>
    <n v="0"/>
    <x v="0"/>
  </r>
  <r>
    <x v="119"/>
    <x v="106"/>
    <n v="2"/>
    <x v="5"/>
    <s v="2ºC"/>
    <x v="0"/>
    <s v="Fertirrigação"/>
    <x v="6"/>
    <s v="3 - Parceria"/>
    <n v="27.66"/>
    <n v="27.66"/>
    <n v="27.66"/>
    <n v="0"/>
    <n v="2351.1"/>
    <n v="2351.1"/>
    <n v="2212.8000000000002"/>
    <n v="0"/>
    <x v="0"/>
    <x v="38"/>
    <x v="1"/>
    <x v="0"/>
    <x v="0"/>
    <n v="27.66"/>
    <n v="27.66"/>
    <n v="27.66"/>
    <n v="2351.1"/>
    <n v="2351.1"/>
    <n v="2212.8000000000002"/>
    <n v="2351.1"/>
    <n v="2351.1"/>
    <n v="2212.8000000000002"/>
    <x v="1"/>
    <x v="1"/>
    <x v="0"/>
    <n v="0"/>
    <x v="0"/>
  </r>
  <r>
    <x v="119"/>
    <x v="106"/>
    <n v="3"/>
    <x v="5"/>
    <s v="2ºC"/>
    <x v="0"/>
    <s v="Fertirrigação"/>
    <x v="6"/>
    <s v="3 - Parceria"/>
    <n v="38.340000000000003"/>
    <n v="38.340000000000003"/>
    <n v="38.340000000000003"/>
    <n v="38.340000000000003"/>
    <n v="3258.9"/>
    <n v="3258.9"/>
    <n v="3067.2"/>
    <n v="1919.55"/>
    <x v="0"/>
    <x v="21"/>
    <x v="0"/>
    <x v="0"/>
    <x v="0"/>
    <n v="38.340000000000003"/>
    <n v="38.340000000000003"/>
    <n v="38.340000000000003"/>
    <n v="3258.9"/>
    <n v="3258.9"/>
    <n v="3067.2"/>
    <n v="1919.55"/>
    <n v="1919.55"/>
    <n v="1919.55"/>
    <x v="1"/>
    <x v="1"/>
    <x v="0"/>
    <n v="0"/>
    <x v="0"/>
  </r>
  <r>
    <x v="120"/>
    <x v="14"/>
    <n v="1"/>
    <x v="3"/>
    <s v="INV"/>
    <x v="0"/>
    <s v="Fertirrigação"/>
    <x v="32"/>
    <s v="2 - Arrendamento"/>
    <n v="14.54"/>
    <n v="14.54"/>
    <n v="0"/>
    <n v="14.54"/>
    <n v="1628.48"/>
    <n v="1657.56"/>
    <n v="0"/>
    <n v="1741.55"/>
    <x v="0"/>
    <x v="6"/>
    <x v="0"/>
    <x v="0"/>
    <x v="1"/>
    <n v="14.54"/>
    <n v="14.54"/>
    <n v="14.54"/>
    <n v="1628.48"/>
    <n v="1657.56"/>
    <n v="1741.55"/>
    <n v="1741.55"/>
    <n v="1741.55"/>
    <n v="1741.55"/>
    <x v="1"/>
    <x v="1"/>
    <x v="0"/>
    <n v="0"/>
    <x v="0"/>
  </r>
  <r>
    <x v="120"/>
    <x v="14"/>
    <n v="2"/>
    <x v="3"/>
    <s v="INV"/>
    <x v="0"/>
    <s v="Fertirrigação"/>
    <x v="14"/>
    <s v="2 - Arrendamento"/>
    <n v="10.75"/>
    <n v="10.75"/>
    <n v="0"/>
    <n v="10.75"/>
    <n v="1204"/>
    <n v="1204"/>
    <n v="0"/>
    <n v="982.05"/>
    <x v="0"/>
    <x v="7"/>
    <x v="0"/>
    <x v="0"/>
    <x v="1"/>
    <n v="10.75"/>
    <n v="10.75"/>
    <n v="10.75"/>
    <n v="1204"/>
    <n v="1204"/>
    <n v="982.05"/>
    <n v="982.05"/>
    <n v="982.05"/>
    <n v="982.05"/>
    <x v="1"/>
    <x v="1"/>
    <x v="0"/>
    <n v="0"/>
    <x v="0"/>
  </r>
  <r>
    <x v="120"/>
    <x v="14"/>
    <n v="3"/>
    <x v="3"/>
    <s v="INV"/>
    <x v="0"/>
    <s v="Fertirrigação"/>
    <x v="14"/>
    <s v="2 - Arrendamento"/>
    <n v="8.39"/>
    <n v="0"/>
    <n v="0"/>
    <n v="8.39"/>
    <n v="939.68"/>
    <n v="0"/>
    <n v="0"/>
    <n v="1208.1400000000001"/>
    <x v="0"/>
    <x v="6"/>
    <x v="0"/>
    <x v="1"/>
    <x v="1"/>
    <n v="8.39"/>
    <n v="8.39"/>
    <n v="8.39"/>
    <n v="939.68"/>
    <n v="1208.1400000000001"/>
    <n v="1208.1400000000001"/>
    <n v="1208.1400000000001"/>
    <n v="1208.1400000000001"/>
    <n v="1208.1400000000001"/>
    <x v="1"/>
    <x v="1"/>
    <x v="0"/>
    <n v="0"/>
    <x v="0"/>
  </r>
  <r>
    <x v="120"/>
    <x v="14"/>
    <n v="4"/>
    <x v="3"/>
    <s v="INV"/>
    <x v="0"/>
    <s v="Fertirrigação"/>
    <x v="14"/>
    <s v="2 - Arrendamento"/>
    <n v="13.26"/>
    <n v="0"/>
    <n v="0"/>
    <n v="13.26"/>
    <n v="1485.12"/>
    <n v="0"/>
    <n v="0"/>
    <n v="1480.92"/>
    <x v="0"/>
    <x v="6"/>
    <x v="0"/>
    <x v="1"/>
    <x v="1"/>
    <n v="13.26"/>
    <n v="13.26"/>
    <n v="13.26"/>
    <n v="1485.12"/>
    <n v="1480.92"/>
    <n v="1480.92"/>
    <n v="1480.92"/>
    <n v="1480.92"/>
    <n v="1480.92"/>
    <x v="1"/>
    <x v="1"/>
    <x v="0"/>
    <n v="0"/>
    <x v="0"/>
  </r>
  <r>
    <x v="120"/>
    <x v="14"/>
    <n v="5"/>
    <x v="3"/>
    <s v="INV"/>
    <x v="0"/>
    <s v="Fertirrigação"/>
    <x v="14"/>
    <s v="2 - Arrendamento"/>
    <n v="27"/>
    <n v="27"/>
    <n v="0"/>
    <n v="27"/>
    <n v="3024"/>
    <n v="3078"/>
    <n v="0"/>
    <n v="2510.7800000000002"/>
    <x v="0"/>
    <x v="7"/>
    <x v="0"/>
    <x v="0"/>
    <x v="1"/>
    <n v="27"/>
    <n v="27"/>
    <n v="27"/>
    <n v="3024"/>
    <n v="3078"/>
    <n v="2510.7800000000002"/>
    <n v="2510.7800000000002"/>
    <n v="2510.7800000000002"/>
    <n v="2510.7800000000002"/>
    <x v="1"/>
    <x v="1"/>
    <x v="0"/>
    <n v="0"/>
    <x v="0"/>
  </r>
  <r>
    <x v="120"/>
    <x v="14"/>
    <n v="6"/>
    <x v="3"/>
    <s v="INV"/>
    <x v="0"/>
    <s v="Fertirrigação"/>
    <x v="14"/>
    <s v="2 - Arrendamento"/>
    <n v="15.16"/>
    <n v="0"/>
    <n v="0"/>
    <n v="15.16"/>
    <n v="1697.92"/>
    <n v="0"/>
    <n v="0"/>
    <n v="1693.44"/>
    <x v="0"/>
    <x v="6"/>
    <x v="0"/>
    <x v="1"/>
    <x v="1"/>
    <n v="15.16"/>
    <n v="15.16"/>
    <n v="15.16"/>
    <n v="1697.92"/>
    <n v="1693.44"/>
    <n v="1693.44"/>
    <n v="1693.44"/>
    <n v="1693.44"/>
    <n v="1693.44"/>
    <x v="1"/>
    <x v="1"/>
    <x v="0"/>
    <n v="0"/>
    <x v="0"/>
  </r>
  <r>
    <x v="120"/>
    <x v="14"/>
    <n v="7"/>
    <x v="3"/>
    <s v="INV"/>
    <x v="0"/>
    <s v="Fertirrigação"/>
    <x v="14"/>
    <s v="2 - Arrendamento"/>
    <n v="11.56"/>
    <n v="0"/>
    <n v="0"/>
    <n v="11.56"/>
    <n v="1294.72"/>
    <n v="0"/>
    <n v="0"/>
    <n v="1664.43"/>
    <x v="0"/>
    <x v="6"/>
    <x v="0"/>
    <x v="1"/>
    <x v="1"/>
    <n v="11.56"/>
    <n v="11.56"/>
    <n v="11.56"/>
    <n v="1294.72"/>
    <n v="1664.43"/>
    <n v="1664.43"/>
    <n v="1664.43"/>
    <n v="1664.43"/>
    <n v="1664.43"/>
    <x v="1"/>
    <x v="1"/>
    <x v="0"/>
    <n v="0"/>
    <x v="0"/>
  </r>
  <r>
    <x v="120"/>
    <x v="14"/>
    <n v="8"/>
    <x v="3"/>
    <s v="INV"/>
    <x v="0"/>
    <s v="Fertirrigação"/>
    <x v="14"/>
    <s v="2 - Arrendamento"/>
    <n v="12.93"/>
    <n v="0"/>
    <n v="0"/>
    <n v="12.93"/>
    <n v="1448.16"/>
    <n v="0"/>
    <n v="0"/>
    <n v="1861.32"/>
    <x v="0"/>
    <x v="6"/>
    <x v="0"/>
    <x v="1"/>
    <x v="1"/>
    <n v="12.93"/>
    <n v="12.93"/>
    <n v="12.93"/>
    <n v="1448.16"/>
    <n v="1861.32"/>
    <n v="1861.32"/>
    <n v="1861.32"/>
    <n v="1861.32"/>
    <n v="1861.32"/>
    <x v="1"/>
    <x v="1"/>
    <x v="0"/>
    <n v="0"/>
    <x v="0"/>
  </r>
  <r>
    <x v="120"/>
    <x v="14"/>
    <n v="9"/>
    <x v="3"/>
    <s v="INV"/>
    <x v="0"/>
    <s v="Fertirrigação"/>
    <x v="32"/>
    <s v="2 - Arrendamento"/>
    <n v="13.47"/>
    <n v="0"/>
    <n v="0"/>
    <n v="13.47"/>
    <n v="1060.6400000000001"/>
    <n v="0"/>
    <n v="0"/>
    <n v="1326.58"/>
    <x v="0"/>
    <x v="7"/>
    <x v="0"/>
    <x v="1"/>
    <x v="1"/>
    <n v="13.47"/>
    <n v="13.47"/>
    <n v="13.47"/>
    <n v="1060.6400000000001"/>
    <n v="1326.58"/>
    <n v="1326.58"/>
    <n v="1326.58"/>
    <n v="1326.58"/>
    <n v="1326.58"/>
    <x v="1"/>
    <x v="1"/>
    <x v="0"/>
    <n v="0"/>
    <x v="0"/>
  </r>
  <r>
    <x v="120"/>
    <x v="14"/>
    <n v="10"/>
    <x v="3"/>
    <s v="INV"/>
    <x v="0"/>
    <s v="Fertirrigação"/>
    <x v="14"/>
    <s v="2 - Arrendamento"/>
    <n v="19.91"/>
    <n v="0"/>
    <n v="0"/>
    <n v="19.91"/>
    <n v="2150.2800000000002"/>
    <n v="0"/>
    <n v="0"/>
    <n v="2503.38"/>
    <x v="0"/>
    <x v="6"/>
    <x v="0"/>
    <x v="1"/>
    <x v="1"/>
    <n v="19.91"/>
    <n v="19.91"/>
    <n v="19.91"/>
    <n v="2150.2800000000002"/>
    <n v="2503.38"/>
    <n v="2503.38"/>
    <n v="2503.38"/>
    <n v="2503.38"/>
    <n v="2503.38"/>
    <x v="1"/>
    <x v="1"/>
    <x v="0"/>
    <n v="0"/>
    <x v="0"/>
  </r>
  <r>
    <x v="120"/>
    <x v="14"/>
    <n v="11"/>
    <x v="3"/>
    <s v="ANM"/>
    <x v="0"/>
    <s v="Fertirrigação"/>
    <x v="14"/>
    <s v="2 - Arrendamento"/>
    <n v="17.489999999999998"/>
    <n v="0"/>
    <n v="0"/>
    <n v="17.489999999999998"/>
    <n v="2046.33"/>
    <n v="0"/>
    <n v="0"/>
    <n v="2758.09"/>
    <x v="0"/>
    <x v="5"/>
    <x v="0"/>
    <x v="1"/>
    <x v="1"/>
    <n v="17.489999999999998"/>
    <n v="17.489999999999998"/>
    <n v="17.489999999999998"/>
    <n v="2046.33"/>
    <n v="2758.09"/>
    <n v="2758.09"/>
    <n v="2758.09"/>
    <n v="2758.09"/>
    <n v="2758.09"/>
    <x v="1"/>
    <x v="1"/>
    <x v="0"/>
    <n v="0"/>
    <x v="0"/>
  </r>
  <r>
    <x v="120"/>
    <x v="14"/>
    <n v="12"/>
    <x v="3"/>
    <s v="ANM"/>
    <x v="0"/>
    <s v="Fertirrigação"/>
    <x v="14"/>
    <s v="2 - Arrendamento"/>
    <n v="13.32"/>
    <n v="0"/>
    <n v="0"/>
    <n v="13.32"/>
    <n v="1558.44"/>
    <n v="0"/>
    <n v="0"/>
    <n v="2099.2399999999998"/>
    <x v="0"/>
    <x v="5"/>
    <x v="0"/>
    <x v="1"/>
    <x v="1"/>
    <n v="13.32"/>
    <n v="13.32"/>
    <n v="13.32"/>
    <n v="1558.44"/>
    <n v="2099.2399999999998"/>
    <n v="2099.2399999999998"/>
    <n v="2099.2399999999998"/>
    <n v="2099.2399999999998"/>
    <n v="2099.2399999999998"/>
    <x v="1"/>
    <x v="1"/>
    <x v="0"/>
    <n v="0"/>
    <x v="0"/>
  </r>
  <r>
    <x v="120"/>
    <x v="14"/>
    <n v="13"/>
    <x v="3"/>
    <s v="INV"/>
    <x v="0"/>
    <s v="Fertirrigação"/>
    <x v="14"/>
    <s v="2 - Arrendamento"/>
    <n v="3.69"/>
    <n v="0"/>
    <n v="0"/>
    <n v="3.69"/>
    <n v="398.52"/>
    <n v="0"/>
    <n v="0"/>
    <n v="413.3"/>
    <x v="0"/>
    <x v="22"/>
    <x v="0"/>
    <x v="1"/>
    <x v="1"/>
    <n v="3.69"/>
    <n v="3.69"/>
    <n v="3.69"/>
    <n v="398.52"/>
    <n v="413.3"/>
    <n v="413.3"/>
    <n v="413.3"/>
    <n v="413.3"/>
    <n v="413.3"/>
    <x v="1"/>
    <x v="1"/>
    <x v="0"/>
    <n v="0"/>
    <x v="0"/>
  </r>
  <r>
    <x v="120"/>
    <x v="14"/>
    <n v="14"/>
    <x v="3"/>
    <s v="ANM"/>
    <x v="0"/>
    <s v="Fertirrigação"/>
    <x v="14"/>
    <s v="2 - Arrendamento"/>
    <n v="17.75"/>
    <n v="0"/>
    <n v="0"/>
    <n v="17.75"/>
    <n v="2076.75"/>
    <n v="0"/>
    <n v="0"/>
    <n v="2744.38"/>
    <x v="0"/>
    <x v="22"/>
    <x v="0"/>
    <x v="1"/>
    <x v="1"/>
    <n v="17.75"/>
    <n v="17.75"/>
    <n v="17.75"/>
    <n v="2076.75"/>
    <n v="2744.38"/>
    <n v="2744.38"/>
    <n v="2744.38"/>
    <n v="2744.38"/>
    <n v="2744.38"/>
    <x v="1"/>
    <x v="1"/>
    <x v="0"/>
    <n v="0"/>
    <x v="0"/>
  </r>
  <r>
    <x v="120"/>
    <x v="14"/>
    <n v="15"/>
    <x v="3"/>
    <s v="INV"/>
    <x v="0"/>
    <s v="Fertirrigação"/>
    <x v="14"/>
    <s v="2 - Arrendamento"/>
    <n v="5.37"/>
    <n v="0"/>
    <n v="0"/>
    <n v="5.37"/>
    <n v="601.44000000000005"/>
    <n v="0"/>
    <n v="0"/>
    <n v="623.61"/>
    <x v="0"/>
    <x v="22"/>
    <x v="0"/>
    <x v="1"/>
    <x v="1"/>
    <n v="5.37"/>
    <n v="5.37"/>
    <n v="5.37"/>
    <n v="601.44000000000005"/>
    <n v="623.61"/>
    <n v="623.61"/>
    <n v="623.61"/>
    <n v="623.61"/>
    <n v="623.61"/>
    <x v="1"/>
    <x v="1"/>
    <x v="0"/>
    <n v="0"/>
    <x v="0"/>
  </r>
  <r>
    <x v="120"/>
    <x v="14"/>
    <n v="16"/>
    <x v="3"/>
    <s v="INV"/>
    <x v="0"/>
    <s v="Fertirrigação"/>
    <x v="14"/>
    <s v="2 - Arrendamento"/>
    <n v="16.66"/>
    <n v="0"/>
    <n v="0"/>
    <n v="16.66"/>
    <n v="1865.92"/>
    <n v="0"/>
    <n v="0"/>
    <n v="1184.3"/>
    <x v="0"/>
    <x v="6"/>
    <x v="0"/>
    <x v="1"/>
    <x v="1"/>
    <n v="16.66"/>
    <n v="16.66"/>
    <n v="16.66"/>
    <n v="1865.92"/>
    <n v="1184.3"/>
    <n v="1184.3"/>
    <n v="1184.3"/>
    <n v="1184.3"/>
    <n v="1184.3"/>
    <x v="1"/>
    <x v="1"/>
    <x v="0"/>
    <n v="0"/>
    <x v="0"/>
  </r>
  <r>
    <x v="120"/>
    <x v="14"/>
    <n v="17"/>
    <x v="3"/>
    <s v="INV"/>
    <x v="0"/>
    <s v="Fertirrigação"/>
    <x v="14"/>
    <s v="2 - Arrendamento"/>
    <n v="19.89"/>
    <n v="0"/>
    <n v="0"/>
    <n v="19.89"/>
    <n v="2227.6799999999998"/>
    <n v="0"/>
    <n v="0"/>
    <n v="1414.14"/>
    <x v="0"/>
    <x v="6"/>
    <x v="0"/>
    <x v="1"/>
    <x v="1"/>
    <n v="19.89"/>
    <n v="19.89"/>
    <n v="19.89"/>
    <n v="2227.6799999999998"/>
    <n v="1414.14"/>
    <n v="1414.14"/>
    <n v="1414.14"/>
    <n v="1414.14"/>
    <n v="1414.14"/>
    <x v="1"/>
    <x v="1"/>
    <x v="0"/>
    <n v="0"/>
    <x v="0"/>
  </r>
  <r>
    <x v="120"/>
    <x v="14"/>
    <n v="18"/>
    <x v="3"/>
    <s v="ANM"/>
    <x v="0"/>
    <s v="Fertirrigação"/>
    <x v="14"/>
    <s v="2 - Arrendamento"/>
    <n v="14.17"/>
    <n v="0"/>
    <n v="0"/>
    <n v="14.17"/>
    <n v="1657.89"/>
    <n v="0"/>
    <n v="0"/>
    <n v="2190.7600000000002"/>
    <x v="0"/>
    <x v="22"/>
    <x v="0"/>
    <x v="1"/>
    <x v="1"/>
    <n v="14.17"/>
    <n v="14.17"/>
    <n v="14.17"/>
    <n v="1657.89"/>
    <n v="2190.7600000000002"/>
    <n v="2190.7600000000002"/>
    <n v="2190.7600000000002"/>
    <n v="2190.7600000000002"/>
    <n v="2190.7600000000002"/>
    <x v="1"/>
    <x v="1"/>
    <x v="0"/>
    <n v="0"/>
    <x v="0"/>
  </r>
  <r>
    <x v="120"/>
    <x v="14"/>
    <n v="19"/>
    <x v="3"/>
    <s v="ANM"/>
    <x v="0"/>
    <s v="Fertirrigação"/>
    <x v="14"/>
    <s v="2 - Arrendamento"/>
    <n v="40.770000000000003"/>
    <n v="0"/>
    <n v="0"/>
    <n v="40.770000000000003"/>
    <n v="4770.09"/>
    <n v="0"/>
    <n v="0"/>
    <n v="6301.95"/>
    <x v="0"/>
    <x v="22"/>
    <x v="0"/>
    <x v="1"/>
    <x v="1"/>
    <n v="40.770000000000003"/>
    <n v="40.770000000000003"/>
    <n v="40.770000000000003"/>
    <n v="4770.09"/>
    <n v="6301.95"/>
    <n v="6301.95"/>
    <n v="6301.95"/>
    <n v="6301.95"/>
    <n v="6301.95"/>
    <x v="1"/>
    <x v="1"/>
    <x v="0"/>
    <n v="0"/>
    <x v="0"/>
  </r>
  <r>
    <x v="120"/>
    <x v="14"/>
    <n v="20"/>
    <x v="3"/>
    <s v="ANM"/>
    <x v="0"/>
    <s v="Fertirrigação"/>
    <x v="14"/>
    <s v="2 - Arrendamento"/>
    <n v="4.07"/>
    <n v="0"/>
    <n v="0"/>
    <n v="4.07"/>
    <n v="476.19"/>
    <n v="0"/>
    <n v="0"/>
    <n v="628.44000000000005"/>
    <x v="0"/>
    <x v="22"/>
    <x v="0"/>
    <x v="1"/>
    <x v="1"/>
    <n v="4.07"/>
    <n v="4.07"/>
    <n v="4.07"/>
    <n v="476.19"/>
    <n v="628.44000000000005"/>
    <n v="628.44000000000005"/>
    <n v="628.44000000000005"/>
    <n v="628.44000000000005"/>
    <n v="628.44000000000005"/>
    <x v="1"/>
    <x v="1"/>
    <x v="0"/>
    <n v="0"/>
    <x v="0"/>
  </r>
  <r>
    <x v="120"/>
    <x v="14"/>
    <n v="21"/>
    <x v="3"/>
    <s v="INV"/>
    <x v="0"/>
    <s v="Fertirrigação"/>
    <x v="14"/>
    <s v="2 - Arrendamento"/>
    <n v="19.329999999999998"/>
    <n v="0"/>
    <n v="0"/>
    <n v="19.329999999999998"/>
    <n v="2087.64"/>
    <n v="0"/>
    <n v="0"/>
    <n v="1872.8"/>
    <x v="0"/>
    <x v="22"/>
    <x v="0"/>
    <x v="1"/>
    <x v="1"/>
    <n v="19.329999999999998"/>
    <n v="19.329999999999998"/>
    <n v="19.329999999999998"/>
    <n v="2087.64"/>
    <n v="1872.8"/>
    <n v="1872.8"/>
    <n v="1872.8"/>
    <n v="1872.8"/>
    <n v="1872.8"/>
    <x v="1"/>
    <x v="1"/>
    <x v="0"/>
    <n v="0"/>
    <x v="0"/>
  </r>
  <r>
    <x v="120"/>
    <x v="14"/>
    <n v="22"/>
    <x v="3"/>
    <s v="INV"/>
    <x v="0"/>
    <s v="Fertirrigação"/>
    <x v="14"/>
    <s v="2 - Arrendamento"/>
    <n v="24.17"/>
    <n v="0"/>
    <n v="0"/>
    <n v="24.17"/>
    <n v="2610.36"/>
    <n v="0"/>
    <n v="0"/>
    <n v="2341.0300000000002"/>
    <x v="0"/>
    <x v="22"/>
    <x v="0"/>
    <x v="1"/>
    <x v="1"/>
    <n v="24.17"/>
    <n v="24.17"/>
    <n v="24.17"/>
    <n v="2610.36"/>
    <n v="2341.0300000000002"/>
    <n v="2341.0300000000002"/>
    <n v="2341.0300000000002"/>
    <n v="2341.0300000000002"/>
    <n v="2341.0300000000002"/>
    <x v="1"/>
    <x v="1"/>
    <x v="0"/>
    <n v="0"/>
    <x v="0"/>
  </r>
  <r>
    <x v="120"/>
    <x v="14"/>
    <n v="23"/>
    <x v="3"/>
    <s v="ANM"/>
    <x v="0"/>
    <s v="Fertirrigação"/>
    <x v="14"/>
    <s v="2 - Arrendamento"/>
    <n v="21.92"/>
    <n v="0"/>
    <n v="0"/>
    <n v="21.92"/>
    <n v="2323.52"/>
    <n v="0"/>
    <n v="0"/>
    <n v="2262.58"/>
    <x v="0"/>
    <x v="22"/>
    <x v="0"/>
    <x v="1"/>
    <x v="1"/>
    <n v="21.92"/>
    <n v="21.92"/>
    <n v="21.92"/>
    <n v="2323.52"/>
    <n v="2262.58"/>
    <n v="2262.58"/>
    <n v="2262.58"/>
    <n v="2262.58"/>
    <n v="2262.58"/>
    <x v="1"/>
    <x v="1"/>
    <x v="0"/>
    <n v="0"/>
    <x v="0"/>
  </r>
  <r>
    <x v="120"/>
    <x v="14"/>
    <n v="24"/>
    <x v="3"/>
    <s v="ANM"/>
    <x v="0"/>
    <s v="Fertirrigação"/>
    <x v="14"/>
    <s v="2 - Arrendamento"/>
    <n v="16.87"/>
    <n v="0"/>
    <n v="0"/>
    <n v="16.87"/>
    <n v="1788.22"/>
    <n v="0"/>
    <n v="0"/>
    <n v="1603.71"/>
    <x v="0"/>
    <x v="22"/>
    <x v="0"/>
    <x v="1"/>
    <x v="1"/>
    <n v="16.87"/>
    <n v="16.87"/>
    <n v="16.87"/>
    <n v="1788.22"/>
    <n v="1603.71"/>
    <n v="1603.71"/>
    <n v="1603.71"/>
    <n v="1603.71"/>
    <n v="1603.71"/>
    <x v="1"/>
    <x v="1"/>
    <x v="0"/>
    <n v="0"/>
    <x v="0"/>
  </r>
  <r>
    <x v="120"/>
    <x v="14"/>
    <n v="25"/>
    <x v="3"/>
    <s v="ANM"/>
    <x v="0"/>
    <s v="Fertirrigação"/>
    <x v="14"/>
    <s v="2 - Arrendamento"/>
    <n v="10.14"/>
    <n v="0"/>
    <n v="0"/>
    <n v="10.14"/>
    <n v="1095.1199999999999"/>
    <n v="0"/>
    <n v="0"/>
    <n v="982.49"/>
    <x v="0"/>
    <x v="22"/>
    <x v="0"/>
    <x v="1"/>
    <x v="1"/>
    <n v="10.14"/>
    <n v="10.14"/>
    <n v="10.14"/>
    <n v="1095.1199999999999"/>
    <n v="982.49"/>
    <n v="982.49"/>
    <n v="982.49"/>
    <n v="982.49"/>
    <n v="982.49"/>
    <x v="1"/>
    <x v="1"/>
    <x v="0"/>
    <n v="0"/>
    <x v="0"/>
  </r>
  <r>
    <x v="120"/>
    <x v="14"/>
    <n v="26"/>
    <x v="3"/>
    <s v="ANM"/>
    <x v="0"/>
    <s v="Fertirrigação"/>
    <x v="14"/>
    <s v="2 - Arrendamento"/>
    <n v="23.69"/>
    <n v="0"/>
    <n v="0"/>
    <n v="23.69"/>
    <n v="2558.52"/>
    <n v="0"/>
    <n v="0"/>
    <n v="2491.39"/>
    <x v="0"/>
    <x v="22"/>
    <x v="0"/>
    <x v="1"/>
    <x v="1"/>
    <n v="23.69"/>
    <n v="23.69"/>
    <n v="23.69"/>
    <n v="2558.52"/>
    <n v="2491.39"/>
    <n v="2491.39"/>
    <n v="2491.39"/>
    <n v="2491.39"/>
    <n v="2491.39"/>
    <x v="1"/>
    <x v="1"/>
    <x v="0"/>
    <n v="0"/>
    <x v="0"/>
  </r>
  <r>
    <x v="120"/>
    <x v="14"/>
    <n v="27"/>
    <x v="3"/>
    <s v="ANM"/>
    <x v="0"/>
    <s v="Fertirrigação"/>
    <x v="14"/>
    <s v="2 - Arrendamento"/>
    <n v="28.84"/>
    <n v="0"/>
    <n v="0"/>
    <n v="28.84"/>
    <n v="3114.72"/>
    <n v="0"/>
    <n v="0"/>
    <n v="3032.72"/>
    <x v="0"/>
    <x v="22"/>
    <x v="0"/>
    <x v="1"/>
    <x v="1"/>
    <n v="28.84"/>
    <n v="28.84"/>
    <n v="28.84"/>
    <n v="3114.72"/>
    <n v="3032.72"/>
    <n v="3032.72"/>
    <n v="3032.72"/>
    <n v="3032.72"/>
    <n v="3032.72"/>
    <x v="1"/>
    <x v="1"/>
    <x v="0"/>
    <n v="0"/>
    <x v="0"/>
  </r>
  <r>
    <x v="120"/>
    <x v="14"/>
    <n v="28"/>
    <x v="3"/>
    <s v="ANM"/>
    <x v="0"/>
    <s v="Fertirrigação"/>
    <x v="14"/>
    <s v="2 - Arrendamento"/>
    <n v="26.26"/>
    <n v="0"/>
    <n v="0"/>
    <n v="26.26"/>
    <n v="3098.68"/>
    <n v="0"/>
    <n v="0"/>
    <n v="3044.35"/>
    <x v="0"/>
    <x v="27"/>
    <x v="0"/>
    <x v="1"/>
    <x v="1"/>
    <n v="26.26"/>
    <n v="26.26"/>
    <n v="26.26"/>
    <n v="3098.68"/>
    <n v="3044.35"/>
    <n v="3044.35"/>
    <n v="3044.35"/>
    <n v="3044.35"/>
    <n v="3044.35"/>
    <x v="1"/>
    <x v="1"/>
    <x v="0"/>
    <n v="0"/>
    <x v="0"/>
  </r>
  <r>
    <x v="120"/>
    <x v="14"/>
    <n v="29"/>
    <x v="3"/>
    <s v="ANM"/>
    <x v="0"/>
    <s v="Fertirrigação"/>
    <x v="14"/>
    <s v="2 - Arrendamento"/>
    <n v="13.85"/>
    <n v="0"/>
    <n v="0"/>
    <n v="13.85"/>
    <n v="1634.3"/>
    <n v="0"/>
    <n v="0"/>
    <n v="1605.54"/>
    <x v="0"/>
    <x v="27"/>
    <x v="0"/>
    <x v="1"/>
    <x v="1"/>
    <n v="13.85"/>
    <n v="13.85"/>
    <n v="13.85"/>
    <n v="1634.3"/>
    <n v="1605.54"/>
    <n v="1605.54"/>
    <n v="1605.54"/>
    <n v="1605.54"/>
    <n v="1605.54"/>
    <x v="1"/>
    <x v="1"/>
    <x v="0"/>
    <n v="0"/>
    <x v="0"/>
  </r>
  <r>
    <x v="120"/>
    <x v="14"/>
    <n v="30"/>
    <x v="3"/>
    <s v="INV"/>
    <x v="0"/>
    <s v="Fertirrigação"/>
    <x v="17"/>
    <s v="2 - Arrendamento"/>
    <n v="1.37"/>
    <n v="0"/>
    <n v="0"/>
    <n v="1.37"/>
    <n v="147.96"/>
    <n v="0"/>
    <n v="0"/>
    <n v="144.43"/>
    <x v="0"/>
    <x v="27"/>
    <x v="0"/>
    <x v="1"/>
    <x v="1"/>
    <n v="1.37"/>
    <n v="1.37"/>
    <n v="1.37"/>
    <n v="147.96"/>
    <n v="144.43"/>
    <n v="144.43"/>
    <n v="144.43"/>
    <n v="144.43"/>
    <n v="144.43"/>
    <x v="1"/>
    <x v="1"/>
    <x v="0"/>
    <n v="0"/>
    <x v="0"/>
  </r>
  <r>
    <x v="120"/>
    <x v="14"/>
    <n v="31"/>
    <x v="3"/>
    <s v="ANM"/>
    <x v="0"/>
    <s v="Fertirrigação"/>
    <x v="14"/>
    <s v="2 - Arrendamento"/>
    <n v="2.52"/>
    <n v="0"/>
    <n v="0"/>
    <n v="2.52"/>
    <n v="252"/>
    <n v="0"/>
    <n v="0"/>
    <n v="245.71"/>
    <x v="0"/>
    <x v="22"/>
    <x v="0"/>
    <x v="1"/>
    <x v="1"/>
    <n v="2.52"/>
    <n v="2.52"/>
    <n v="2.52"/>
    <n v="252"/>
    <n v="245.71"/>
    <n v="245.71"/>
    <n v="245.71"/>
    <n v="245.71"/>
    <n v="245.71"/>
    <x v="1"/>
    <x v="1"/>
    <x v="0"/>
    <n v="0"/>
    <x v="0"/>
  </r>
  <r>
    <x v="120"/>
    <x v="14"/>
    <n v="9009"/>
    <x v="5"/>
    <s v="2ºC"/>
    <x v="0"/>
    <s v="Fertirrigação"/>
    <x v="32"/>
    <s v="2 - Arrendamento"/>
    <n v="6.62"/>
    <n v="6.62"/>
    <n v="6.62"/>
    <n v="6.62"/>
    <n v="397.2"/>
    <n v="397.2"/>
    <n v="397.2"/>
    <n v="280.17"/>
    <x v="0"/>
    <x v="19"/>
    <x v="0"/>
    <x v="0"/>
    <x v="0"/>
    <n v="6.62"/>
    <n v="6.62"/>
    <n v="6.62"/>
    <n v="397.2"/>
    <n v="397.2"/>
    <n v="397.2"/>
    <n v="280.17"/>
    <n v="280.17"/>
    <n v="280.17"/>
    <x v="1"/>
    <x v="1"/>
    <x v="0"/>
    <n v="0"/>
    <x v="0"/>
  </r>
  <r>
    <x v="121"/>
    <x v="107"/>
    <n v="1"/>
    <x v="6"/>
    <s v="5ºC"/>
    <x v="0"/>
    <s v="Mineral"/>
    <x v="27"/>
    <s v="3 - Parceria"/>
    <n v="19.670000000000002"/>
    <n v="0"/>
    <n v="0"/>
    <n v="19.670000000000002"/>
    <n v="983.5"/>
    <n v="0"/>
    <n v="0"/>
    <n v="962.9"/>
    <x v="0"/>
    <x v="31"/>
    <x v="0"/>
    <x v="1"/>
    <x v="1"/>
    <n v="19.670000000000002"/>
    <n v="19.670000000000002"/>
    <n v="19.670000000000002"/>
    <n v="983.5"/>
    <n v="962.9"/>
    <n v="962.9"/>
    <n v="962.9"/>
    <n v="962.9"/>
    <n v="962.9"/>
    <x v="0"/>
    <x v="0"/>
    <x v="0"/>
    <n v="0"/>
    <x v="0"/>
  </r>
  <r>
    <x v="121"/>
    <x v="107"/>
    <n v="2"/>
    <x v="7"/>
    <s v="7ºC"/>
    <x v="0"/>
    <s v="Mineral"/>
    <x v="27"/>
    <s v="3 - Parceria"/>
    <n v="37.99"/>
    <n v="0"/>
    <n v="0"/>
    <n v="37.99"/>
    <n v="1899.5"/>
    <n v="0"/>
    <n v="0"/>
    <n v="1868.73"/>
    <x v="0"/>
    <x v="31"/>
    <x v="0"/>
    <x v="1"/>
    <x v="1"/>
    <n v="37.99"/>
    <n v="37.99"/>
    <n v="37.99"/>
    <n v="1899.5"/>
    <n v="1868.73"/>
    <n v="1868.73"/>
    <n v="1868.73"/>
    <n v="1868.73"/>
    <n v="1868.73"/>
    <x v="1"/>
    <x v="0"/>
    <x v="0"/>
    <n v="0"/>
    <x v="0"/>
  </r>
  <r>
    <x v="121"/>
    <x v="107"/>
    <n v="3"/>
    <x v="7"/>
    <s v="7ºC"/>
    <x v="0"/>
    <s v="Mineral"/>
    <x v="27"/>
    <s v="3 - Parceria"/>
    <n v="10.41"/>
    <n v="0"/>
    <n v="0"/>
    <n v="10.41"/>
    <n v="520.5"/>
    <n v="0"/>
    <n v="0"/>
    <n v="512.36"/>
    <x v="0"/>
    <x v="31"/>
    <x v="0"/>
    <x v="1"/>
    <x v="1"/>
    <n v="10.41"/>
    <n v="10.41"/>
    <n v="10.41"/>
    <n v="520.5"/>
    <n v="512.36"/>
    <n v="512.36"/>
    <n v="512.36"/>
    <n v="512.36"/>
    <n v="512.36"/>
    <x v="1"/>
    <x v="0"/>
    <x v="0"/>
    <n v="0"/>
    <x v="0"/>
  </r>
  <r>
    <x v="121"/>
    <x v="107"/>
    <n v="4"/>
    <x v="7"/>
    <s v="7ºC"/>
    <x v="0"/>
    <s v="Mineral"/>
    <x v="27"/>
    <s v="3 - Parceria"/>
    <n v="31.66"/>
    <n v="0"/>
    <n v="0"/>
    <n v="31.66"/>
    <n v="1583"/>
    <n v="0"/>
    <n v="0"/>
    <n v="1557.91"/>
    <x v="0"/>
    <x v="31"/>
    <x v="0"/>
    <x v="1"/>
    <x v="1"/>
    <n v="31.66"/>
    <n v="31.66"/>
    <n v="31.66"/>
    <n v="1583"/>
    <n v="1557.91"/>
    <n v="1557.91"/>
    <n v="1557.91"/>
    <n v="1557.91"/>
    <n v="1557.91"/>
    <x v="1"/>
    <x v="0"/>
    <x v="0"/>
    <n v="0"/>
    <x v="0"/>
  </r>
  <r>
    <x v="121"/>
    <x v="107"/>
    <n v="5"/>
    <x v="7"/>
    <s v="7ºC"/>
    <x v="0"/>
    <s v="Mineral"/>
    <x v="27"/>
    <s v="3 - Parceria"/>
    <n v="44.78"/>
    <n v="0"/>
    <n v="0"/>
    <n v="44.78"/>
    <n v="2239"/>
    <n v="0"/>
    <n v="0"/>
    <n v="2202.62"/>
    <x v="0"/>
    <x v="31"/>
    <x v="0"/>
    <x v="1"/>
    <x v="1"/>
    <n v="44.78"/>
    <n v="44.78"/>
    <n v="44.78"/>
    <n v="2239"/>
    <n v="2202.62"/>
    <n v="2202.62"/>
    <n v="2202.62"/>
    <n v="2202.62"/>
    <n v="2202.62"/>
    <x v="1"/>
    <x v="0"/>
    <x v="0"/>
    <n v="0"/>
    <x v="0"/>
  </r>
  <r>
    <x v="121"/>
    <x v="107"/>
    <n v="6"/>
    <x v="4"/>
    <s v="4ºC"/>
    <x v="0"/>
    <s v="Mineral"/>
    <x v="4"/>
    <s v="3 - Parceria"/>
    <n v="26.25"/>
    <n v="26.25"/>
    <n v="26.25"/>
    <n v="26.25"/>
    <n v="1522.5"/>
    <n v="1837.5"/>
    <n v="1837.5"/>
    <n v="2380.12"/>
    <x v="0"/>
    <x v="12"/>
    <x v="0"/>
    <x v="0"/>
    <x v="0"/>
    <n v="26.25"/>
    <n v="26.25"/>
    <n v="26.25"/>
    <n v="1522.5"/>
    <n v="1837.5"/>
    <n v="1837.5"/>
    <n v="2380.12"/>
    <n v="2380.12"/>
    <n v="2380.12"/>
    <x v="1"/>
    <x v="0"/>
    <x v="0"/>
    <n v="0"/>
    <x v="0"/>
  </r>
  <r>
    <x v="121"/>
    <x v="107"/>
    <n v="7"/>
    <x v="4"/>
    <s v="4ºC"/>
    <x v="0"/>
    <s v="Mineral"/>
    <x v="1"/>
    <s v="3 - Parceria"/>
    <n v="21.88"/>
    <n v="21.88"/>
    <n v="21.88"/>
    <n v="21.88"/>
    <n v="1575.36"/>
    <n v="1619.12"/>
    <n v="1619.12"/>
    <n v="1316.97"/>
    <x v="0"/>
    <x v="12"/>
    <x v="0"/>
    <x v="0"/>
    <x v="0"/>
    <n v="21.88"/>
    <n v="21.88"/>
    <n v="21.88"/>
    <n v="1575.36"/>
    <n v="1619.12"/>
    <n v="1619.12"/>
    <n v="1316.97"/>
    <n v="1316.97"/>
    <n v="1316.97"/>
    <x v="1"/>
    <x v="0"/>
    <x v="0"/>
    <n v="0"/>
    <x v="0"/>
  </r>
  <r>
    <x v="121"/>
    <x v="107"/>
    <n v="8"/>
    <x v="4"/>
    <s v="4ºC"/>
    <x v="0"/>
    <s v="Mineral"/>
    <x v="1"/>
    <s v="3 - Parceria"/>
    <n v="4.2"/>
    <n v="4.2"/>
    <n v="4.2"/>
    <n v="4.2"/>
    <n v="302.39999999999998"/>
    <n v="310.8"/>
    <n v="310.8"/>
    <n v="252.94"/>
    <x v="0"/>
    <x v="12"/>
    <x v="0"/>
    <x v="0"/>
    <x v="0"/>
    <n v="4.2"/>
    <n v="4.2"/>
    <n v="4.2"/>
    <n v="302.39999999999998"/>
    <n v="310.8"/>
    <n v="310.8"/>
    <n v="252.94"/>
    <n v="252.94"/>
    <n v="252.94"/>
    <x v="1"/>
    <x v="0"/>
    <x v="0"/>
    <n v="0"/>
    <x v="0"/>
  </r>
  <r>
    <x v="121"/>
    <x v="107"/>
    <n v="9"/>
    <x v="4"/>
    <s v="4ºC"/>
    <x v="0"/>
    <s v="Mineral"/>
    <x v="1"/>
    <s v="3 - Parceria"/>
    <n v="7.27"/>
    <n v="7.27"/>
    <n v="7.27"/>
    <n v="7.27"/>
    <n v="523.44000000000005"/>
    <n v="537.98"/>
    <n v="537.98"/>
    <n v="437.6"/>
    <x v="0"/>
    <x v="12"/>
    <x v="0"/>
    <x v="0"/>
    <x v="0"/>
    <n v="7.27"/>
    <n v="7.27"/>
    <n v="7.27"/>
    <n v="523.44000000000005"/>
    <n v="537.98"/>
    <n v="537.98"/>
    <n v="437.6"/>
    <n v="437.6"/>
    <n v="437.6"/>
    <x v="1"/>
    <x v="0"/>
    <x v="0"/>
    <n v="0"/>
    <x v="0"/>
  </r>
  <r>
    <x v="121"/>
    <x v="107"/>
    <n v="10"/>
    <x v="2"/>
    <s v="3ºC"/>
    <x v="0"/>
    <s v="Mineral"/>
    <x v="13"/>
    <s v="3 - Parceria"/>
    <n v="3.94"/>
    <n v="0"/>
    <n v="0"/>
    <n v="3.94"/>
    <n v="338.84"/>
    <n v="0"/>
    <n v="0"/>
    <n v="385.4"/>
    <x v="0"/>
    <x v="6"/>
    <x v="0"/>
    <x v="1"/>
    <x v="1"/>
    <n v="3.94"/>
    <n v="3.94"/>
    <n v="3.94"/>
    <n v="338.84"/>
    <n v="385.4"/>
    <n v="385.4"/>
    <n v="385.4"/>
    <n v="385.4"/>
    <n v="385.4"/>
    <x v="1"/>
    <x v="0"/>
    <x v="0"/>
    <n v="0"/>
    <x v="0"/>
  </r>
  <r>
    <x v="121"/>
    <x v="107"/>
    <n v="11"/>
    <x v="2"/>
    <s v="3ºC"/>
    <x v="0"/>
    <s v="Mineral"/>
    <x v="13"/>
    <s v="3 - Parceria"/>
    <n v="11.28"/>
    <n v="11.28"/>
    <n v="11.28"/>
    <n v="11.28"/>
    <n v="970.08"/>
    <n v="970.08"/>
    <n v="970.08"/>
    <n v="789.23"/>
    <x v="0"/>
    <x v="12"/>
    <x v="0"/>
    <x v="0"/>
    <x v="0"/>
    <n v="11.28"/>
    <n v="11.28"/>
    <n v="11.28"/>
    <n v="970.08"/>
    <n v="970.08"/>
    <n v="970.08"/>
    <n v="789.23"/>
    <n v="789.23"/>
    <n v="789.23"/>
    <x v="1"/>
    <x v="0"/>
    <x v="0"/>
    <n v="0"/>
    <x v="0"/>
  </r>
  <r>
    <x v="121"/>
    <x v="107"/>
    <n v="12"/>
    <x v="2"/>
    <s v="3ºC"/>
    <x v="0"/>
    <s v="Mineral"/>
    <x v="13"/>
    <s v="3 - Parceria"/>
    <n v="30.5"/>
    <n v="30.5"/>
    <n v="30.5"/>
    <n v="30.5"/>
    <n v="2623"/>
    <n v="2623"/>
    <n v="2623"/>
    <n v="2221.31"/>
    <x v="0"/>
    <x v="12"/>
    <x v="0"/>
    <x v="0"/>
    <x v="0"/>
    <n v="30.5"/>
    <n v="30.5"/>
    <n v="30.5"/>
    <n v="2623"/>
    <n v="2623"/>
    <n v="2623"/>
    <n v="2221.31"/>
    <n v="2221.31"/>
    <n v="2221.31"/>
    <x v="1"/>
    <x v="0"/>
    <x v="0"/>
    <n v="0"/>
    <x v="0"/>
  </r>
  <r>
    <x v="121"/>
    <x v="107"/>
    <n v="13"/>
    <x v="2"/>
    <s v="3ºC"/>
    <x v="0"/>
    <s v="Mineral"/>
    <x v="13"/>
    <s v="3 - Parceria"/>
    <n v="12.92"/>
    <n v="12.92"/>
    <n v="12.92"/>
    <n v="12.92"/>
    <n v="1111.1199999999999"/>
    <n v="1111.1199999999999"/>
    <n v="1111.1199999999999"/>
    <n v="940.93"/>
    <x v="0"/>
    <x v="12"/>
    <x v="0"/>
    <x v="0"/>
    <x v="0"/>
    <n v="12.92"/>
    <n v="12.92"/>
    <n v="12.92"/>
    <n v="1111.1199999999999"/>
    <n v="1111.1199999999999"/>
    <n v="1111.1199999999999"/>
    <n v="940.93"/>
    <n v="940.93"/>
    <n v="940.93"/>
    <x v="1"/>
    <x v="0"/>
    <x v="0"/>
    <n v="0"/>
    <x v="0"/>
  </r>
  <r>
    <x v="122"/>
    <x v="108"/>
    <n v="1"/>
    <x v="6"/>
    <s v="5ºC"/>
    <x v="0"/>
    <s v="Mineral"/>
    <x v="27"/>
    <s v="3 - Parceria"/>
    <n v="11.39"/>
    <n v="11.39"/>
    <n v="11.39"/>
    <n v="11.39"/>
    <n v="797.3"/>
    <n v="797.3"/>
    <n v="797.3"/>
    <n v="695.06"/>
    <x v="0"/>
    <x v="2"/>
    <x v="0"/>
    <x v="0"/>
    <x v="0"/>
    <n v="11.39"/>
    <n v="11.39"/>
    <n v="11.39"/>
    <n v="797.3"/>
    <n v="797.3"/>
    <n v="797.3"/>
    <n v="695.06"/>
    <n v="695.06"/>
    <n v="695.06"/>
    <x v="1"/>
    <x v="0"/>
    <x v="0"/>
    <n v="0"/>
    <x v="0"/>
  </r>
  <r>
    <x v="122"/>
    <x v="108"/>
    <n v="2"/>
    <x v="6"/>
    <s v="5ºC"/>
    <x v="0"/>
    <s v="Mineral"/>
    <x v="27"/>
    <s v="3 - Parceria"/>
    <n v="42.52"/>
    <n v="42.52"/>
    <n v="42.52"/>
    <n v="42.52"/>
    <n v="2976.4"/>
    <n v="2976.4"/>
    <n v="2976.4"/>
    <n v="2595.75"/>
    <x v="0"/>
    <x v="2"/>
    <x v="0"/>
    <x v="0"/>
    <x v="0"/>
    <n v="42.52"/>
    <n v="42.52"/>
    <n v="42.52"/>
    <n v="2976.4"/>
    <n v="2976.4"/>
    <n v="2976.4"/>
    <n v="2595.75"/>
    <n v="2595.75"/>
    <n v="2595.75"/>
    <x v="1"/>
    <x v="0"/>
    <x v="0"/>
    <n v="0"/>
    <x v="0"/>
  </r>
  <r>
    <x v="122"/>
    <x v="108"/>
    <n v="3"/>
    <x v="6"/>
    <s v="5ºC"/>
    <x v="0"/>
    <s v="Mineral"/>
    <x v="27"/>
    <s v="3 - Parceria"/>
    <n v="32.43"/>
    <n v="32.43"/>
    <n v="32.43"/>
    <n v="32.43"/>
    <n v="2270.1"/>
    <n v="2270.1"/>
    <n v="2270.1"/>
    <n v="1979.92"/>
    <x v="0"/>
    <x v="2"/>
    <x v="0"/>
    <x v="0"/>
    <x v="0"/>
    <n v="32.43"/>
    <n v="32.43"/>
    <n v="32.43"/>
    <n v="2270.1"/>
    <n v="2270.1"/>
    <n v="2270.1"/>
    <n v="1979.92"/>
    <n v="1979.92"/>
    <n v="1979.92"/>
    <x v="1"/>
    <x v="0"/>
    <x v="0"/>
    <n v="0"/>
    <x v="0"/>
  </r>
  <r>
    <x v="122"/>
    <x v="108"/>
    <n v="4"/>
    <x v="6"/>
    <s v="5ºC"/>
    <x v="0"/>
    <s v="Mineral"/>
    <x v="27"/>
    <s v="3 - Parceria"/>
    <n v="81.66"/>
    <n v="81.66"/>
    <n v="81.66"/>
    <n v="81.66"/>
    <n v="5716.2"/>
    <n v="5716.2"/>
    <n v="5716.2"/>
    <n v="4986.43"/>
    <x v="0"/>
    <x v="2"/>
    <x v="0"/>
    <x v="0"/>
    <x v="0"/>
    <n v="81.66"/>
    <n v="81.66"/>
    <n v="81.66"/>
    <n v="5716.2"/>
    <n v="5716.2"/>
    <n v="5716.2"/>
    <n v="4986.43"/>
    <n v="4986.43"/>
    <n v="4986.43"/>
    <x v="1"/>
    <x v="0"/>
    <x v="0"/>
    <n v="0"/>
    <x v="0"/>
  </r>
  <r>
    <x v="123"/>
    <x v="95"/>
    <n v="1"/>
    <x v="7"/>
    <s v="7ºC"/>
    <x v="0"/>
    <s v="Mineral"/>
    <x v="14"/>
    <s v="3 - Parceria"/>
    <n v="38.42"/>
    <n v="0"/>
    <n v="0"/>
    <n v="38.42"/>
    <n v="3073.6"/>
    <n v="0"/>
    <n v="0"/>
    <n v="3250.22"/>
    <x v="0"/>
    <x v="28"/>
    <x v="0"/>
    <x v="1"/>
    <x v="1"/>
    <n v="38.42"/>
    <n v="38.42"/>
    <n v="38.42"/>
    <n v="3073.6"/>
    <n v="3250.22"/>
    <n v="3250.22"/>
    <n v="3250.22"/>
    <n v="3250.22"/>
    <n v="3250.22"/>
    <x v="1"/>
    <x v="0"/>
    <x v="0"/>
    <n v="0"/>
    <x v="0"/>
  </r>
  <r>
    <x v="123"/>
    <x v="95"/>
    <n v="2"/>
    <x v="7"/>
    <s v="7ºC"/>
    <x v="0"/>
    <s v="Mineral"/>
    <x v="14"/>
    <s v="3 - Parceria"/>
    <n v="29.96"/>
    <n v="0"/>
    <n v="0"/>
    <n v="29.96"/>
    <n v="2396.8000000000002"/>
    <n v="0"/>
    <n v="0"/>
    <n v="2304.62"/>
    <x v="0"/>
    <x v="25"/>
    <x v="0"/>
    <x v="1"/>
    <x v="1"/>
    <n v="29.96"/>
    <n v="29.96"/>
    <n v="29.96"/>
    <n v="2396.8000000000002"/>
    <n v="2304.62"/>
    <n v="2304.62"/>
    <n v="2304.62"/>
    <n v="2304.62"/>
    <n v="2304.62"/>
    <x v="1"/>
    <x v="0"/>
    <x v="0"/>
    <n v="0"/>
    <x v="0"/>
  </r>
  <r>
    <x v="123"/>
    <x v="95"/>
    <n v="3"/>
    <x v="0"/>
    <s v="6ºC"/>
    <x v="0"/>
    <s v="Mineral"/>
    <x v="8"/>
    <s v="3 - Parceria"/>
    <n v="24.6"/>
    <n v="0"/>
    <n v="0"/>
    <n v="24.6"/>
    <n v="1968"/>
    <n v="0"/>
    <n v="0"/>
    <n v="1892.27"/>
    <x v="0"/>
    <x v="25"/>
    <x v="0"/>
    <x v="1"/>
    <x v="1"/>
    <n v="24.6"/>
    <n v="24.6"/>
    <n v="24.6"/>
    <n v="1968"/>
    <n v="1892.27"/>
    <n v="1892.27"/>
    <n v="1892.27"/>
    <n v="1892.27"/>
    <n v="1892.27"/>
    <x v="1"/>
    <x v="0"/>
    <x v="0"/>
    <n v="0"/>
    <x v="0"/>
  </r>
  <r>
    <x v="123"/>
    <x v="95"/>
    <n v="4"/>
    <x v="0"/>
    <s v="6ºC"/>
    <x v="0"/>
    <s v="Mineral"/>
    <x v="8"/>
    <s v="3 - Parceria"/>
    <n v="24"/>
    <n v="0"/>
    <n v="0"/>
    <n v="24"/>
    <n v="1680"/>
    <n v="0"/>
    <n v="0"/>
    <n v="1718.86"/>
    <x v="0"/>
    <x v="24"/>
    <x v="0"/>
    <x v="1"/>
    <x v="1"/>
    <n v="24"/>
    <n v="24"/>
    <n v="24"/>
    <n v="1680"/>
    <n v="1718.86"/>
    <n v="1718.86"/>
    <n v="1718.86"/>
    <n v="1718.86"/>
    <n v="1718.86"/>
    <x v="1"/>
    <x v="0"/>
    <x v="0"/>
    <n v="0"/>
    <x v="0"/>
  </r>
  <r>
    <x v="123"/>
    <x v="95"/>
    <n v="5"/>
    <x v="0"/>
    <s v="6ºC"/>
    <x v="0"/>
    <s v="Mineral"/>
    <x v="8"/>
    <s v="3 - Parceria"/>
    <n v="33.49"/>
    <n v="0"/>
    <n v="0"/>
    <n v="33.49"/>
    <n v="2344.3000000000002"/>
    <n v="0"/>
    <n v="0"/>
    <n v="2398.25"/>
    <x v="0"/>
    <x v="24"/>
    <x v="0"/>
    <x v="1"/>
    <x v="1"/>
    <n v="33.49"/>
    <n v="33.49"/>
    <n v="33.49"/>
    <n v="2344.3000000000002"/>
    <n v="2398.25"/>
    <n v="2398.25"/>
    <n v="2398.25"/>
    <n v="2398.25"/>
    <n v="2398.25"/>
    <x v="1"/>
    <x v="0"/>
    <x v="0"/>
    <n v="0"/>
    <x v="0"/>
  </r>
  <r>
    <x v="123"/>
    <x v="95"/>
    <n v="6"/>
    <x v="0"/>
    <s v="6ºC"/>
    <x v="0"/>
    <s v="Mineral"/>
    <x v="8"/>
    <s v="3 - Parceria"/>
    <n v="33.270000000000003"/>
    <n v="0"/>
    <n v="0"/>
    <n v="33.270000000000003"/>
    <n v="2328.9"/>
    <n v="0"/>
    <n v="0"/>
    <n v="2383.1999999999998"/>
    <x v="0"/>
    <x v="24"/>
    <x v="0"/>
    <x v="1"/>
    <x v="1"/>
    <n v="33.270000000000003"/>
    <n v="33.270000000000003"/>
    <n v="33.270000000000003"/>
    <n v="2328.9"/>
    <n v="2383.1999999999998"/>
    <n v="2383.1999999999998"/>
    <n v="2383.1999999999998"/>
    <n v="2383.1999999999998"/>
    <n v="2383.1999999999998"/>
    <x v="1"/>
    <x v="0"/>
    <x v="0"/>
    <n v="0"/>
    <x v="0"/>
  </r>
  <r>
    <x v="123"/>
    <x v="95"/>
    <n v="7"/>
    <x v="7"/>
    <s v="7ºC"/>
    <x v="0"/>
    <s v="Mineral"/>
    <x v="14"/>
    <s v="3 - Parceria"/>
    <n v="26.97"/>
    <n v="0"/>
    <n v="0"/>
    <n v="26.97"/>
    <n v="2535.1799999999998"/>
    <n v="0"/>
    <n v="0"/>
    <n v="2475.9699999999998"/>
    <x v="0"/>
    <x v="25"/>
    <x v="0"/>
    <x v="1"/>
    <x v="1"/>
    <n v="26.97"/>
    <n v="26.97"/>
    <n v="26.97"/>
    <n v="2535.1799999999998"/>
    <n v="2475.9699999999998"/>
    <n v="2475.9699999999998"/>
    <n v="2475.9699999999998"/>
    <n v="2475.9699999999998"/>
    <n v="2475.9699999999998"/>
    <x v="1"/>
    <x v="0"/>
    <x v="0"/>
    <n v="0"/>
    <x v="0"/>
  </r>
  <r>
    <x v="123"/>
    <x v="95"/>
    <n v="8"/>
    <x v="0"/>
    <s v="6ºC"/>
    <x v="0"/>
    <s v="Mineral"/>
    <x v="8"/>
    <s v="3 - Parceria"/>
    <n v="24.82"/>
    <n v="0"/>
    <n v="0"/>
    <n v="24.82"/>
    <n v="2233.8000000000002"/>
    <n v="0"/>
    <n v="0"/>
    <n v="2181.98"/>
    <x v="0"/>
    <x v="25"/>
    <x v="0"/>
    <x v="1"/>
    <x v="1"/>
    <n v="24.82"/>
    <n v="24.82"/>
    <n v="24.82"/>
    <n v="2233.8000000000002"/>
    <n v="2181.98"/>
    <n v="2181.98"/>
    <n v="2181.98"/>
    <n v="2181.98"/>
    <n v="2181.98"/>
    <x v="1"/>
    <x v="0"/>
    <x v="0"/>
    <n v="0"/>
    <x v="0"/>
  </r>
  <r>
    <x v="123"/>
    <x v="95"/>
    <n v="9"/>
    <x v="6"/>
    <s v="5ºC"/>
    <x v="0"/>
    <s v="Mineral"/>
    <x v="3"/>
    <s v="3 - Parceria"/>
    <n v="23.55"/>
    <n v="0"/>
    <n v="0"/>
    <n v="23.55"/>
    <n v="2119.5"/>
    <n v="0"/>
    <n v="0"/>
    <n v="2070.9299999999998"/>
    <x v="0"/>
    <x v="25"/>
    <x v="0"/>
    <x v="1"/>
    <x v="1"/>
    <n v="23.55"/>
    <n v="23.55"/>
    <n v="23.55"/>
    <n v="2119.5"/>
    <n v="2070.9299999999998"/>
    <n v="2070.9299999999998"/>
    <n v="2070.9299999999998"/>
    <n v="2070.9299999999998"/>
    <n v="2070.9299999999998"/>
    <x v="1"/>
    <x v="0"/>
    <x v="0"/>
    <n v="0"/>
    <x v="0"/>
  </r>
  <r>
    <x v="123"/>
    <x v="95"/>
    <n v="10"/>
    <x v="0"/>
    <s v="6ºC"/>
    <x v="0"/>
    <s v="Mineral"/>
    <x v="8"/>
    <s v="3 - Parceria"/>
    <n v="33.11"/>
    <n v="0"/>
    <n v="0"/>
    <n v="33.11"/>
    <n v="1986.6"/>
    <n v="0"/>
    <n v="0"/>
    <n v="1919.37"/>
    <x v="0"/>
    <x v="29"/>
    <x v="0"/>
    <x v="1"/>
    <x v="1"/>
    <n v="33.11"/>
    <n v="33.11"/>
    <n v="33.11"/>
    <n v="1986.6"/>
    <n v="1919.37"/>
    <n v="1919.37"/>
    <n v="1919.37"/>
    <n v="1919.37"/>
    <n v="1919.37"/>
    <x v="1"/>
    <x v="0"/>
    <x v="0"/>
    <n v="0"/>
    <x v="0"/>
  </r>
  <r>
    <x v="124"/>
    <x v="109"/>
    <n v="1"/>
    <x v="3"/>
    <s v="INV"/>
    <x v="0"/>
    <s v="Fertirrigação"/>
    <x v="6"/>
    <s v="3 - Parceria"/>
    <n v="45.27"/>
    <n v="45.27"/>
    <n v="0"/>
    <n v="45.27"/>
    <n v="4708.08"/>
    <n v="4798.62"/>
    <n v="0"/>
    <n v="4307.68"/>
    <x v="0"/>
    <x v="18"/>
    <x v="0"/>
    <x v="0"/>
    <x v="1"/>
    <n v="45.27"/>
    <n v="45.27"/>
    <n v="45.27"/>
    <n v="4708.08"/>
    <n v="4798.62"/>
    <n v="4307.68"/>
    <n v="4307.68"/>
    <n v="4307.68"/>
    <n v="4307.68"/>
    <x v="1"/>
    <x v="1"/>
    <x v="0"/>
    <n v="0"/>
    <x v="0"/>
  </r>
  <r>
    <x v="124"/>
    <x v="109"/>
    <n v="2"/>
    <x v="3"/>
    <s v="INV"/>
    <x v="0"/>
    <s v="Fertirrigação"/>
    <x v="6"/>
    <s v="3 - Parceria"/>
    <n v="57.42"/>
    <n v="57.42"/>
    <n v="0"/>
    <n v="57.42"/>
    <n v="6086.52"/>
    <n v="6201.36"/>
    <n v="0"/>
    <n v="5566.49"/>
    <x v="0"/>
    <x v="18"/>
    <x v="0"/>
    <x v="0"/>
    <x v="1"/>
    <n v="57.42"/>
    <n v="57.42"/>
    <n v="57.42"/>
    <n v="6086.52"/>
    <n v="6201.36"/>
    <n v="5566.49"/>
    <n v="5566.49"/>
    <n v="5566.49"/>
    <n v="5566.49"/>
    <x v="1"/>
    <x v="1"/>
    <x v="0"/>
    <n v="0"/>
    <x v="0"/>
  </r>
  <r>
    <x v="124"/>
    <x v="109"/>
    <n v="3"/>
    <x v="3"/>
    <s v="INV"/>
    <x v="0"/>
    <s v="Fertirrigação"/>
    <x v="6"/>
    <s v="3 - Parceria"/>
    <n v="31.82"/>
    <n v="31.82"/>
    <n v="0"/>
    <n v="31.82"/>
    <n v="3309.28"/>
    <n v="3372.92"/>
    <n v="0"/>
    <n v="2632.03"/>
    <x v="0"/>
    <x v="18"/>
    <x v="0"/>
    <x v="0"/>
    <x v="1"/>
    <n v="31.82"/>
    <n v="31.82"/>
    <n v="31.82"/>
    <n v="3309.28"/>
    <n v="3372.92"/>
    <n v="2632.03"/>
    <n v="2632.03"/>
    <n v="2632.03"/>
    <n v="2632.03"/>
    <x v="1"/>
    <x v="1"/>
    <x v="0"/>
    <n v="0"/>
    <x v="0"/>
  </r>
  <r>
    <x v="124"/>
    <x v="109"/>
    <n v="4"/>
    <x v="3"/>
    <s v="INV"/>
    <x v="0"/>
    <s v="Fertirrigação"/>
    <x v="6"/>
    <s v="3 - Parceria"/>
    <n v="23.45"/>
    <n v="23.45"/>
    <n v="0"/>
    <n v="23.45"/>
    <n v="2438.8000000000002"/>
    <n v="2485.6999999999998"/>
    <n v="0"/>
    <n v="1940"/>
    <x v="0"/>
    <x v="18"/>
    <x v="0"/>
    <x v="0"/>
    <x v="1"/>
    <n v="23.45"/>
    <n v="23.45"/>
    <n v="23.45"/>
    <n v="2438.8000000000002"/>
    <n v="2485.6999999999998"/>
    <n v="1940"/>
    <n v="1940"/>
    <n v="1940"/>
    <n v="1940"/>
    <x v="1"/>
    <x v="1"/>
    <x v="0"/>
    <n v="0"/>
    <x v="0"/>
  </r>
  <r>
    <x v="124"/>
    <x v="109"/>
    <n v="5"/>
    <x v="3"/>
    <s v="INV"/>
    <x v="0"/>
    <s v="Fertirrigação"/>
    <x v="6"/>
    <s v="3 - Parceria"/>
    <n v="64.349999999999994"/>
    <n v="64.349999999999994"/>
    <n v="0"/>
    <n v="64.349999999999994"/>
    <n v="7400.25"/>
    <n v="7593.3"/>
    <n v="0"/>
    <n v="5885.38"/>
    <x v="0"/>
    <x v="18"/>
    <x v="0"/>
    <x v="0"/>
    <x v="1"/>
    <n v="64.349999999999994"/>
    <n v="64.349999999999994"/>
    <n v="64.349999999999994"/>
    <n v="7400.25"/>
    <n v="7593.3"/>
    <n v="5885.38"/>
    <n v="5885.38"/>
    <n v="5885.38"/>
    <n v="5885.38"/>
    <x v="1"/>
    <x v="1"/>
    <x v="0"/>
    <n v="0"/>
    <x v="0"/>
  </r>
  <r>
    <x v="124"/>
    <x v="109"/>
    <n v="6"/>
    <x v="3"/>
    <s v="INV"/>
    <x v="0"/>
    <s v="Fertirrigação"/>
    <x v="6"/>
    <s v="3 - Parceria"/>
    <n v="32.93"/>
    <n v="32.93"/>
    <n v="0"/>
    <n v="32.93"/>
    <n v="3885.74"/>
    <n v="3951.6"/>
    <n v="0"/>
    <n v="3359.41"/>
    <x v="0"/>
    <x v="37"/>
    <x v="0"/>
    <x v="0"/>
    <x v="1"/>
    <n v="32.93"/>
    <n v="32.93"/>
    <n v="32.93"/>
    <n v="3885.74"/>
    <n v="3951.6"/>
    <n v="3359.41"/>
    <n v="3359.41"/>
    <n v="3359.41"/>
    <n v="3359.41"/>
    <x v="1"/>
    <x v="1"/>
    <x v="0"/>
    <n v="0"/>
    <x v="0"/>
  </r>
  <r>
    <x v="124"/>
    <x v="109"/>
    <n v="7"/>
    <x v="3"/>
    <s v="INV"/>
    <x v="0"/>
    <s v="Fertirrigação"/>
    <x v="6"/>
    <s v="3 - Parceria"/>
    <n v="56.47"/>
    <n v="56.47"/>
    <n v="0"/>
    <n v="56.47"/>
    <n v="6324.64"/>
    <n v="6437.58"/>
    <n v="0"/>
    <n v="5473"/>
    <x v="0"/>
    <x v="37"/>
    <x v="0"/>
    <x v="0"/>
    <x v="1"/>
    <n v="56.47"/>
    <n v="56.47"/>
    <n v="56.47"/>
    <n v="6324.64"/>
    <n v="6437.58"/>
    <n v="5473"/>
    <n v="5473"/>
    <n v="5473"/>
    <n v="5473"/>
    <x v="1"/>
    <x v="1"/>
    <x v="0"/>
    <n v="0"/>
    <x v="0"/>
  </r>
  <r>
    <x v="124"/>
    <x v="109"/>
    <n v="8"/>
    <x v="3"/>
    <s v="INV"/>
    <x v="0"/>
    <s v="Fertirrigação"/>
    <x v="6"/>
    <s v="3 - Parceria"/>
    <n v="49.06"/>
    <n v="49.06"/>
    <n v="0"/>
    <n v="49.06"/>
    <n v="5200.3599999999997"/>
    <n v="5396.6"/>
    <n v="0"/>
    <n v="4183.5200000000004"/>
    <x v="0"/>
    <x v="18"/>
    <x v="0"/>
    <x v="0"/>
    <x v="1"/>
    <n v="49.06"/>
    <n v="49.06"/>
    <n v="49.06"/>
    <n v="5200.3599999999997"/>
    <n v="5396.6"/>
    <n v="4183.5200000000004"/>
    <n v="4183.5200000000004"/>
    <n v="4183.5200000000004"/>
    <n v="4183.5200000000004"/>
    <x v="1"/>
    <x v="1"/>
    <x v="0"/>
    <n v="0"/>
    <x v="0"/>
  </r>
  <r>
    <x v="124"/>
    <x v="109"/>
    <n v="11"/>
    <x v="6"/>
    <s v="5ºC"/>
    <x v="0"/>
    <s v="Fertirrigação"/>
    <x v="3"/>
    <s v="3 - Parceria"/>
    <n v="0.09"/>
    <n v="0"/>
    <n v="0"/>
    <n v="0.09"/>
    <n v="3.69"/>
    <n v="0"/>
    <n v="0"/>
    <n v="3.88"/>
    <x v="0"/>
    <x v="30"/>
    <x v="0"/>
    <x v="1"/>
    <x v="1"/>
    <n v="0.09"/>
    <n v="0.09"/>
    <n v="0.09"/>
    <n v="3.69"/>
    <n v="3.88"/>
    <n v="3.88"/>
    <n v="3.88"/>
    <n v="3.88"/>
    <n v="3.88"/>
    <x v="1"/>
    <x v="1"/>
    <x v="0"/>
    <n v="0"/>
    <x v="0"/>
  </r>
  <r>
    <x v="124"/>
    <x v="109"/>
    <n v="12"/>
    <x v="6"/>
    <s v="5ºC"/>
    <x v="0"/>
    <s v="Fertirrigação"/>
    <x v="3"/>
    <s v="3 - Parceria"/>
    <n v="1.98"/>
    <n v="0"/>
    <n v="0"/>
    <n v="1.98"/>
    <n v="81.180000000000007"/>
    <n v="0"/>
    <n v="0"/>
    <n v="79.23"/>
    <x v="0"/>
    <x v="30"/>
    <x v="0"/>
    <x v="1"/>
    <x v="1"/>
    <n v="1.98"/>
    <n v="1.98"/>
    <n v="1.98"/>
    <n v="81.180000000000007"/>
    <n v="79.23"/>
    <n v="79.23"/>
    <n v="79.23"/>
    <n v="79.23"/>
    <n v="79.23"/>
    <x v="1"/>
    <x v="1"/>
    <x v="0"/>
    <n v="0"/>
    <x v="0"/>
  </r>
  <r>
    <x v="124"/>
    <x v="109"/>
    <n v="13"/>
    <x v="6"/>
    <s v="5ºC"/>
    <x v="0"/>
    <s v="Fertirrigação"/>
    <x v="3"/>
    <s v="3 - Parceria"/>
    <n v="3.63"/>
    <n v="0"/>
    <n v="0"/>
    <n v="3.63"/>
    <n v="148.83000000000001"/>
    <n v="0"/>
    <n v="0"/>
    <n v="145.77000000000001"/>
    <x v="0"/>
    <x v="30"/>
    <x v="0"/>
    <x v="1"/>
    <x v="1"/>
    <n v="3.63"/>
    <n v="3.63"/>
    <n v="3.63"/>
    <n v="148.83000000000001"/>
    <n v="145.77000000000001"/>
    <n v="145.77000000000001"/>
    <n v="145.77000000000001"/>
    <n v="145.77000000000001"/>
    <n v="145.77000000000001"/>
    <x v="1"/>
    <x v="1"/>
    <x v="0"/>
    <n v="0"/>
    <x v="0"/>
  </r>
  <r>
    <x v="124"/>
    <x v="109"/>
    <n v="15"/>
    <x v="6"/>
    <s v="5ºC"/>
    <x v="0"/>
    <s v="Fertirrigação"/>
    <x v="3"/>
    <s v="3 - Parceria"/>
    <n v="13.74"/>
    <n v="0"/>
    <n v="0"/>
    <n v="13.74"/>
    <n v="563.34"/>
    <n v="0"/>
    <n v="0"/>
    <n v="550.89"/>
    <x v="0"/>
    <x v="30"/>
    <x v="0"/>
    <x v="1"/>
    <x v="1"/>
    <n v="13.74"/>
    <n v="13.74"/>
    <n v="13.74"/>
    <n v="563.34"/>
    <n v="550.89"/>
    <n v="550.89"/>
    <n v="550.89"/>
    <n v="550.89"/>
    <n v="550.89"/>
    <x v="1"/>
    <x v="1"/>
    <x v="0"/>
    <n v="0"/>
    <x v="0"/>
  </r>
  <r>
    <x v="124"/>
    <x v="109"/>
    <n v="16"/>
    <x v="6"/>
    <s v="5ºC"/>
    <x v="0"/>
    <s v="Fertirrigação"/>
    <x v="3"/>
    <s v="3 - Parceria"/>
    <n v="23.32"/>
    <n v="0"/>
    <n v="0"/>
    <n v="23.32"/>
    <n v="956.12"/>
    <n v="0"/>
    <n v="0"/>
    <n v="935.47"/>
    <x v="0"/>
    <x v="30"/>
    <x v="0"/>
    <x v="1"/>
    <x v="1"/>
    <n v="23.32"/>
    <n v="23.32"/>
    <n v="23.32"/>
    <n v="956.12"/>
    <n v="935.47"/>
    <n v="935.47"/>
    <n v="935.47"/>
    <n v="935.47"/>
    <n v="935.47"/>
    <x v="1"/>
    <x v="1"/>
    <x v="0"/>
    <n v="0"/>
    <x v="0"/>
  </r>
  <r>
    <x v="124"/>
    <x v="109"/>
    <n v="17"/>
    <x v="6"/>
    <s v="5ºC"/>
    <x v="0"/>
    <s v="Fertirrigação"/>
    <x v="3"/>
    <s v="3 - Parceria"/>
    <n v="10.029999999999999"/>
    <n v="0"/>
    <n v="0"/>
    <n v="10.029999999999999"/>
    <n v="411.23"/>
    <n v="0"/>
    <n v="0"/>
    <n v="402.15"/>
    <x v="0"/>
    <x v="30"/>
    <x v="0"/>
    <x v="1"/>
    <x v="1"/>
    <n v="10.029999999999999"/>
    <n v="10.029999999999999"/>
    <n v="10.029999999999999"/>
    <n v="411.23"/>
    <n v="402.15"/>
    <n v="402.15"/>
    <n v="402.15"/>
    <n v="402.15"/>
    <n v="402.15"/>
    <x v="1"/>
    <x v="1"/>
    <x v="0"/>
    <n v="0"/>
    <x v="0"/>
  </r>
  <r>
    <x v="124"/>
    <x v="109"/>
    <n v="18"/>
    <x v="6"/>
    <s v="5ºC"/>
    <x v="0"/>
    <s v="Fertirrigação"/>
    <x v="3"/>
    <s v="3 - Parceria"/>
    <n v="7.58"/>
    <n v="0"/>
    <n v="0"/>
    <n v="7.58"/>
    <n v="310.77999999999997"/>
    <n v="0"/>
    <n v="0"/>
    <n v="304.56"/>
    <x v="0"/>
    <x v="30"/>
    <x v="0"/>
    <x v="1"/>
    <x v="1"/>
    <n v="7.58"/>
    <n v="7.58"/>
    <n v="7.58"/>
    <n v="310.77999999999997"/>
    <n v="304.56"/>
    <n v="304.56"/>
    <n v="304.56"/>
    <n v="304.56"/>
    <n v="304.56"/>
    <x v="1"/>
    <x v="1"/>
    <x v="0"/>
    <n v="0"/>
    <x v="0"/>
  </r>
  <r>
    <x v="125"/>
    <x v="110"/>
    <n v="1"/>
    <x v="4"/>
    <s v="4ºC"/>
    <x v="0"/>
    <s v="Mineral"/>
    <x v="9"/>
    <s v="3 - Parceria"/>
    <n v="10.16"/>
    <n v="10.16"/>
    <n v="10.16"/>
    <n v="10.16"/>
    <n v="629.91999999999996"/>
    <n v="731.52"/>
    <n v="731.52"/>
    <n v="904.83"/>
    <x v="0"/>
    <x v="2"/>
    <x v="0"/>
    <x v="0"/>
    <x v="0"/>
    <n v="10.16"/>
    <n v="10.16"/>
    <n v="10.16"/>
    <n v="629.91999999999996"/>
    <n v="731.52"/>
    <n v="731.52"/>
    <n v="904.83"/>
    <n v="904.83"/>
    <n v="904.83"/>
    <x v="1"/>
    <x v="0"/>
    <x v="0"/>
    <n v="0"/>
    <x v="0"/>
  </r>
  <r>
    <x v="125"/>
    <x v="110"/>
    <n v="2"/>
    <x v="4"/>
    <s v="4ºC"/>
    <x v="0"/>
    <s v="Mineral"/>
    <x v="30"/>
    <s v="3 - Parceria"/>
    <n v="6.86"/>
    <n v="6.86"/>
    <n v="6.86"/>
    <n v="6.86"/>
    <n v="425.32"/>
    <n v="493.92"/>
    <n v="493.92"/>
    <n v="565.26"/>
    <x v="0"/>
    <x v="2"/>
    <x v="0"/>
    <x v="0"/>
    <x v="0"/>
    <n v="6.86"/>
    <n v="6.86"/>
    <n v="6.86"/>
    <n v="425.32"/>
    <n v="493.92"/>
    <n v="493.92"/>
    <n v="565.26"/>
    <n v="565.26"/>
    <n v="565.26"/>
    <x v="1"/>
    <x v="0"/>
    <x v="0"/>
    <n v="0"/>
    <x v="0"/>
  </r>
  <r>
    <x v="125"/>
    <x v="110"/>
    <n v="3"/>
    <x v="4"/>
    <s v="4ºC"/>
    <x v="0"/>
    <s v="Mineral"/>
    <x v="18"/>
    <s v="3 - Parceria"/>
    <n v="16.489999999999998"/>
    <n v="16.489999999999998"/>
    <n v="16.489999999999998"/>
    <n v="16.489999999999998"/>
    <n v="1022.38"/>
    <n v="1055.3599999999999"/>
    <n v="1055.3599999999999"/>
    <n v="1207.3399999999999"/>
    <x v="0"/>
    <x v="2"/>
    <x v="0"/>
    <x v="0"/>
    <x v="0"/>
    <n v="16.489999999999998"/>
    <n v="16.489999999999998"/>
    <n v="16.489999999999998"/>
    <n v="1022.38"/>
    <n v="1055.3599999999999"/>
    <n v="1055.3599999999999"/>
    <n v="1207.3399999999999"/>
    <n v="1207.3399999999999"/>
    <n v="1207.3399999999999"/>
    <x v="1"/>
    <x v="2"/>
    <x v="1"/>
    <n v="263.83999999999997"/>
    <x v="0"/>
  </r>
  <r>
    <x v="125"/>
    <x v="110"/>
    <n v="4"/>
    <x v="4"/>
    <s v="4ºC"/>
    <x v="0"/>
    <s v="Mineral"/>
    <x v="0"/>
    <s v="3 - Parceria"/>
    <n v="12.39"/>
    <n v="12.39"/>
    <n v="12.39"/>
    <n v="12.39"/>
    <n v="743.4"/>
    <n v="792.96"/>
    <n v="792.96"/>
    <n v="907.47"/>
    <x v="0"/>
    <x v="2"/>
    <x v="0"/>
    <x v="0"/>
    <x v="0"/>
    <n v="12.39"/>
    <n v="12.39"/>
    <n v="12.39"/>
    <n v="743.4"/>
    <n v="792.96"/>
    <n v="792.96"/>
    <n v="907.47"/>
    <n v="907.47"/>
    <n v="907.47"/>
    <x v="1"/>
    <x v="2"/>
    <x v="1"/>
    <n v="198.24"/>
    <x v="0"/>
  </r>
  <r>
    <x v="125"/>
    <x v="110"/>
    <n v="5"/>
    <x v="4"/>
    <s v="4ºC"/>
    <x v="0"/>
    <s v="Mineral"/>
    <x v="18"/>
    <s v="3 - Parceria"/>
    <n v="1.04"/>
    <n v="1.04"/>
    <n v="1.04"/>
    <n v="1.04"/>
    <n v="62.4"/>
    <n v="66.56"/>
    <n v="66.56"/>
    <n v="82.75"/>
    <x v="0"/>
    <x v="2"/>
    <x v="0"/>
    <x v="0"/>
    <x v="0"/>
    <n v="1.04"/>
    <n v="1.04"/>
    <n v="1.04"/>
    <n v="62.4"/>
    <n v="66.56"/>
    <n v="66.56"/>
    <n v="82.75"/>
    <n v="82.75"/>
    <n v="82.75"/>
    <x v="1"/>
    <x v="0"/>
    <x v="0"/>
    <n v="0"/>
    <x v="0"/>
  </r>
  <r>
    <x v="125"/>
    <x v="110"/>
    <n v="6"/>
    <x v="2"/>
    <s v="3ºC"/>
    <x v="0"/>
    <s v="Mineral"/>
    <x v="18"/>
    <s v="3 - Parceria"/>
    <n v="2.5099999999999998"/>
    <n v="2.5099999999999998"/>
    <n v="2.5099999999999998"/>
    <n v="2.5099999999999998"/>
    <n v="210.84"/>
    <n v="210.84"/>
    <n v="210.84"/>
    <n v="260.77"/>
    <x v="0"/>
    <x v="2"/>
    <x v="0"/>
    <x v="0"/>
    <x v="0"/>
    <n v="2.5099999999999998"/>
    <n v="2.5099999999999998"/>
    <n v="2.5099999999999998"/>
    <n v="210.84"/>
    <n v="210.84"/>
    <n v="210.84"/>
    <n v="260.77"/>
    <n v="260.77"/>
    <n v="260.77"/>
    <x v="1"/>
    <x v="0"/>
    <x v="0"/>
    <n v="0"/>
    <x v="0"/>
  </r>
  <r>
    <x v="125"/>
    <x v="110"/>
    <n v="7"/>
    <x v="2"/>
    <s v="3ºC"/>
    <x v="0"/>
    <s v="Mineral"/>
    <x v="18"/>
    <s v="3 - Parceria"/>
    <n v="18.78"/>
    <n v="18.78"/>
    <n v="18.78"/>
    <n v="18.78"/>
    <n v="1577.52"/>
    <n v="1577.52"/>
    <n v="1577.52"/>
    <n v="1950.63"/>
    <x v="0"/>
    <x v="2"/>
    <x v="0"/>
    <x v="0"/>
    <x v="0"/>
    <n v="18.78"/>
    <n v="18.78"/>
    <n v="18.78"/>
    <n v="1577.52"/>
    <n v="1577.52"/>
    <n v="1577.52"/>
    <n v="1950.63"/>
    <n v="1950.63"/>
    <n v="1950.63"/>
    <x v="1"/>
    <x v="0"/>
    <x v="0"/>
    <n v="0"/>
    <x v="0"/>
  </r>
  <r>
    <x v="125"/>
    <x v="110"/>
    <n v="8"/>
    <x v="4"/>
    <s v="4ºC"/>
    <x v="0"/>
    <s v="Mineral"/>
    <x v="0"/>
    <s v="3 - Parceria"/>
    <n v="26.66"/>
    <n v="26.66"/>
    <n v="26.66"/>
    <n v="26.66"/>
    <n v="1892.86"/>
    <n v="1892.86"/>
    <n v="1892.86"/>
    <n v="2166.46"/>
    <x v="0"/>
    <x v="2"/>
    <x v="0"/>
    <x v="0"/>
    <x v="0"/>
    <n v="26.66"/>
    <n v="26.66"/>
    <n v="26.66"/>
    <n v="1892.86"/>
    <n v="1892.86"/>
    <n v="1892.86"/>
    <n v="2166.46"/>
    <n v="2166.46"/>
    <n v="2166.46"/>
    <x v="1"/>
    <x v="0"/>
    <x v="0"/>
    <n v="0"/>
    <x v="0"/>
  </r>
  <r>
    <x v="125"/>
    <x v="110"/>
    <n v="9"/>
    <x v="4"/>
    <s v="4ºC"/>
    <x v="0"/>
    <s v="Mineral"/>
    <x v="0"/>
    <s v="3 - Parceria"/>
    <n v="7.63"/>
    <n v="7.63"/>
    <n v="7.63"/>
    <n v="7.63"/>
    <n v="541.73"/>
    <n v="541.73"/>
    <n v="541.73"/>
    <n v="549.75"/>
    <x v="0"/>
    <x v="34"/>
    <x v="0"/>
    <x v="0"/>
    <x v="0"/>
    <n v="7.63"/>
    <n v="7.63"/>
    <n v="7.63"/>
    <n v="541.73"/>
    <n v="541.73"/>
    <n v="541.73"/>
    <n v="549.75"/>
    <n v="549.75"/>
    <n v="549.75"/>
    <x v="1"/>
    <x v="0"/>
    <x v="0"/>
    <n v="0"/>
    <x v="0"/>
  </r>
  <r>
    <x v="125"/>
    <x v="110"/>
    <n v="10"/>
    <x v="2"/>
    <s v="3ºC"/>
    <x v="0"/>
    <s v="Mineral"/>
    <x v="18"/>
    <s v="3 - Parceria"/>
    <n v="22.73"/>
    <n v="22.73"/>
    <n v="22.73"/>
    <n v="22.73"/>
    <n v="1909.32"/>
    <n v="1909.32"/>
    <n v="1909.32"/>
    <n v="1936.5"/>
    <x v="0"/>
    <x v="34"/>
    <x v="0"/>
    <x v="0"/>
    <x v="0"/>
    <n v="22.73"/>
    <n v="22.73"/>
    <n v="22.73"/>
    <n v="1909.32"/>
    <n v="1909.32"/>
    <n v="1909.32"/>
    <n v="1936.5"/>
    <n v="1936.5"/>
    <n v="1936.5"/>
    <x v="1"/>
    <x v="0"/>
    <x v="0"/>
    <n v="0"/>
    <x v="0"/>
  </r>
  <r>
    <x v="125"/>
    <x v="110"/>
    <n v="15"/>
    <x v="0"/>
    <s v="6ºC"/>
    <x v="0"/>
    <s v="Mineral"/>
    <x v="0"/>
    <s v="3 - Parceria"/>
    <n v="7.23"/>
    <n v="7.23"/>
    <n v="7.23"/>
    <n v="7.23"/>
    <n v="325.35000000000002"/>
    <n v="332.58"/>
    <n v="332.58"/>
    <n v="337.73"/>
    <x v="0"/>
    <x v="34"/>
    <x v="0"/>
    <x v="0"/>
    <x v="0"/>
    <n v="7.23"/>
    <n v="7.23"/>
    <n v="7.23"/>
    <n v="325.35000000000002"/>
    <n v="332.58"/>
    <n v="332.58"/>
    <n v="337.73"/>
    <n v="337.73"/>
    <n v="337.73"/>
    <x v="1"/>
    <x v="0"/>
    <x v="0"/>
    <n v="0"/>
    <x v="0"/>
  </r>
  <r>
    <x v="125"/>
    <x v="110"/>
    <n v="16"/>
    <x v="0"/>
    <s v="6ºC"/>
    <x v="0"/>
    <s v="Mineral"/>
    <x v="0"/>
    <s v="3 - Parceria"/>
    <n v="6.4"/>
    <n v="6.4"/>
    <n v="6.4"/>
    <n v="6.4"/>
    <n v="288"/>
    <n v="294.39999999999998"/>
    <n v="294.39999999999998"/>
    <n v="298.17"/>
    <x v="0"/>
    <x v="34"/>
    <x v="0"/>
    <x v="0"/>
    <x v="0"/>
    <n v="6.4"/>
    <n v="6.4"/>
    <n v="6.4"/>
    <n v="288"/>
    <n v="294.39999999999998"/>
    <n v="294.39999999999998"/>
    <n v="298.17"/>
    <n v="298.17"/>
    <n v="298.17"/>
    <x v="1"/>
    <x v="0"/>
    <x v="0"/>
    <n v="0"/>
    <x v="0"/>
  </r>
  <r>
    <x v="125"/>
    <x v="110"/>
    <n v="17"/>
    <x v="0"/>
    <s v="6ºC"/>
    <x v="0"/>
    <s v="Mineral"/>
    <x v="0"/>
    <s v="3 - Parceria"/>
    <n v="14.31"/>
    <n v="14.31"/>
    <n v="14.31"/>
    <n v="14.31"/>
    <n v="643.95000000000005"/>
    <n v="658.26"/>
    <n v="658.26"/>
    <n v="667.44"/>
    <x v="0"/>
    <x v="34"/>
    <x v="0"/>
    <x v="0"/>
    <x v="0"/>
    <n v="14.31"/>
    <n v="14.31"/>
    <n v="14.31"/>
    <n v="643.95000000000005"/>
    <n v="658.26"/>
    <n v="658.26"/>
    <n v="667.44"/>
    <n v="667.44"/>
    <n v="667.44"/>
    <x v="1"/>
    <x v="0"/>
    <x v="0"/>
    <n v="0"/>
    <x v="0"/>
  </r>
  <r>
    <x v="125"/>
    <x v="110"/>
    <n v="18"/>
    <x v="0"/>
    <s v="6ºC"/>
    <x v="0"/>
    <s v="Mineral"/>
    <x v="0"/>
    <s v="3 - Parceria"/>
    <n v="13.97"/>
    <n v="13.97"/>
    <n v="13.97"/>
    <n v="13.97"/>
    <n v="628.65"/>
    <n v="642.62"/>
    <n v="642.62"/>
    <n v="652.22"/>
    <x v="0"/>
    <x v="34"/>
    <x v="0"/>
    <x v="0"/>
    <x v="0"/>
    <n v="13.97"/>
    <n v="13.97"/>
    <n v="13.97"/>
    <n v="628.65"/>
    <n v="642.62"/>
    <n v="642.62"/>
    <n v="652.22"/>
    <n v="652.22"/>
    <n v="652.22"/>
    <x v="1"/>
    <x v="0"/>
    <x v="0"/>
    <n v="0"/>
    <x v="0"/>
  </r>
  <r>
    <x v="125"/>
    <x v="110"/>
    <n v="19"/>
    <x v="4"/>
    <s v="4ºC"/>
    <x v="0"/>
    <s v="Mineral"/>
    <x v="0"/>
    <s v="3 - Parceria"/>
    <n v="50.37"/>
    <n v="50.37"/>
    <n v="50.37"/>
    <n v="50.37"/>
    <n v="3928.86"/>
    <n v="3928.86"/>
    <n v="3928.86"/>
    <n v="4497.47"/>
    <x v="0"/>
    <x v="2"/>
    <x v="0"/>
    <x v="0"/>
    <x v="0"/>
    <n v="50.37"/>
    <n v="50.37"/>
    <n v="50.37"/>
    <n v="3928.86"/>
    <n v="3928.86"/>
    <n v="3928.86"/>
    <n v="4497.47"/>
    <n v="4497.47"/>
    <n v="4497.47"/>
    <x v="1"/>
    <x v="0"/>
    <x v="0"/>
    <n v="0"/>
    <x v="0"/>
  </r>
  <r>
    <x v="125"/>
    <x v="110"/>
    <n v="20"/>
    <x v="0"/>
    <s v="6ºC"/>
    <x v="0"/>
    <s v="Mineral"/>
    <x v="0"/>
    <s v="3 - Parceria"/>
    <n v="48.29"/>
    <n v="48.29"/>
    <n v="48.29"/>
    <n v="48.29"/>
    <n v="2173.0500000000002"/>
    <n v="2221.34"/>
    <n v="2221.34"/>
    <n v="3806.21"/>
    <x v="0"/>
    <x v="2"/>
    <x v="0"/>
    <x v="0"/>
    <x v="0"/>
    <n v="48.29"/>
    <n v="48.29"/>
    <n v="48.29"/>
    <n v="2173.0500000000002"/>
    <n v="2221.34"/>
    <n v="2221.34"/>
    <n v="3806.21"/>
    <n v="3806.21"/>
    <n v="3806.21"/>
    <x v="1"/>
    <x v="0"/>
    <x v="0"/>
    <n v="0"/>
    <x v="0"/>
  </r>
  <r>
    <x v="125"/>
    <x v="110"/>
    <n v="21"/>
    <x v="0"/>
    <s v="6ºC"/>
    <x v="0"/>
    <s v="Mineral"/>
    <x v="0"/>
    <s v="3 - Parceria"/>
    <n v="8.83"/>
    <n v="8.83"/>
    <n v="8.83"/>
    <n v="8.83"/>
    <n v="397.35"/>
    <n v="406.18"/>
    <n v="406.18"/>
    <n v="412.29"/>
    <x v="0"/>
    <x v="34"/>
    <x v="0"/>
    <x v="0"/>
    <x v="0"/>
    <n v="8.83"/>
    <n v="8.83"/>
    <n v="8.83"/>
    <n v="397.35"/>
    <n v="406.18"/>
    <n v="406.18"/>
    <n v="412.29"/>
    <n v="412.29"/>
    <n v="412.29"/>
    <x v="1"/>
    <x v="0"/>
    <x v="0"/>
    <n v="0"/>
    <x v="0"/>
  </r>
  <r>
    <x v="125"/>
    <x v="110"/>
    <n v="22"/>
    <x v="2"/>
    <s v="3ºC"/>
    <x v="0"/>
    <s v="Mineral"/>
    <x v="18"/>
    <s v="3 - Parceria"/>
    <n v="13.42"/>
    <n v="13.42"/>
    <n v="13.42"/>
    <n v="13.42"/>
    <n v="1073.5999999999999"/>
    <n v="1073.5999999999999"/>
    <n v="1073.5999999999999"/>
    <n v="1327.92"/>
    <x v="0"/>
    <x v="2"/>
    <x v="0"/>
    <x v="0"/>
    <x v="0"/>
    <n v="13.42"/>
    <n v="13.42"/>
    <n v="13.42"/>
    <n v="1073.5999999999999"/>
    <n v="1073.5999999999999"/>
    <n v="1073.5999999999999"/>
    <n v="1327.92"/>
    <n v="1327.92"/>
    <n v="1327.92"/>
    <x v="1"/>
    <x v="0"/>
    <x v="0"/>
    <n v="0"/>
    <x v="0"/>
  </r>
  <r>
    <x v="125"/>
    <x v="110"/>
    <n v="23"/>
    <x v="7"/>
    <s v="7ºC"/>
    <x v="0"/>
    <s v="Mineral"/>
    <x v="0"/>
    <s v="3 - Parceria"/>
    <n v="19.93"/>
    <n v="19.93"/>
    <n v="19.93"/>
    <n v="19.93"/>
    <n v="896.85"/>
    <n v="916.78"/>
    <n v="916.78"/>
    <n v="986.12"/>
    <x v="0"/>
    <x v="34"/>
    <x v="0"/>
    <x v="0"/>
    <x v="0"/>
    <n v="19.93"/>
    <n v="19.93"/>
    <n v="19.93"/>
    <n v="896.85"/>
    <n v="916.78"/>
    <n v="916.78"/>
    <n v="986.12"/>
    <n v="986.12"/>
    <n v="986.12"/>
    <x v="1"/>
    <x v="0"/>
    <x v="0"/>
    <n v="0"/>
    <x v="0"/>
  </r>
  <r>
    <x v="125"/>
    <x v="110"/>
    <n v="24"/>
    <x v="7"/>
    <s v="7ºC"/>
    <x v="0"/>
    <s v="Mineral"/>
    <x v="0"/>
    <s v="3 - Parceria"/>
    <n v="12.15"/>
    <n v="12.15"/>
    <n v="12.15"/>
    <n v="12.15"/>
    <n v="546.75"/>
    <n v="558.9"/>
    <n v="558.9"/>
    <n v="601.11"/>
    <x v="0"/>
    <x v="34"/>
    <x v="0"/>
    <x v="0"/>
    <x v="0"/>
    <n v="12.15"/>
    <n v="12.15"/>
    <n v="12.15"/>
    <n v="546.75"/>
    <n v="558.9"/>
    <n v="558.9"/>
    <n v="601.11"/>
    <n v="601.11"/>
    <n v="601.11"/>
    <x v="1"/>
    <x v="0"/>
    <x v="0"/>
    <n v="0"/>
    <x v="0"/>
  </r>
  <r>
    <x v="125"/>
    <x v="110"/>
    <n v="25"/>
    <x v="4"/>
    <s v="4ºC"/>
    <x v="0"/>
    <s v="Mineral"/>
    <x v="0"/>
    <s v="3 - Parceria"/>
    <n v="14.06"/>
    <n v="14.06"/>
    <n v="14.06"/>
    <n v="14.06"/>
    <n v="857.66"/>
    <n v="857.66"/>
    <n v="857.66"/>
    <n v="922.68"/>
    <x v="0"/>
    <x v="34"/>
    <x v="0"/>
    <x v="0"/>
    <x v="0"/>
    <n v="14.06"/>
    <n v="14.06"/>
    <n v="14.06"/>
    <n v="857.66"/>
    <n v="857.66"/>
    <n v="857.66"/>
    <n v="922.68"/>
    <n v="922.68"/>
    <n v="922.68"/>
    <x v="1"/>
    <x v="0"/>
    <x v="0"/>
    <n v="0"/>
    <x v="0"/>
  </r>
  <r>
    <x v="125"/>
    <x v="110"/>
    <n v="30"/>
    <x v="0"/>
    <s v="6ºC"/>
    <x v="0"/>
    <s v="Mineral"/>
    <x v="0"/>
    <s v="3 - Parceria"/>
    <n v="1.83"/>
    <n v="1.83"/>
    <n v="1.83"/>
    <n v="1.83"/>
    <n v="82.35"/>
    <n v="82.35"/>
    <n v="82.35"/>
    <n v="88.12"/>
    <x v="0"/>
    <x v="34"/>
    <x v="0"/>
    <x v="0"/>
    <x v="0"/>
    <n v="1.83"/>
    <n v="1.83"/>
    <n v="1.83"/>
    <n v="82.35"/>
    <n v="82.35"/>
    <n v="82.35"/>
    <n v="88.12"/>
    <n v="88.12"/>
    <n v="88.12"/>
    <x v="1"/>
    <x v="0"/>
    <x v="0"/>
    <n v="0"/>
    <x v="0"/>
  </r>
  <r>
    <x v="125"/>
    <x v="110"/>
    <n v="32"/>
    <x v="7"/>
    <s v="7ºC"/>
    <x v="0"/>
    <s v="Mineral"/>
    <x v="0"/>
    <s v="3 - Parceria"/>
    <n v="12.99"/>
    <n v="12.99"/>
    <n v="12.99"/>
    <n v="12.99"/>
    <n v="584.54999999999995"/>
    <n v="363.72"/>
    <n v="363.72"/>
    <n v="391.4"/>
    <x v="0"/>
    <x v="34"/>
    <x v="0"/>
    <x v="0"/>
    <x v="0"/>
    <n v="12.99"/>
    <n v="12.99"/>
    <n v="12.99"/>
    <n v="584.54999999999995"/>
    <n v="363.72"/>
    <n v="363.72"/>
    <n v="391.4"/>
    <n v="391.4"/>
    <n v="391.4"/>
    <x v="0"/>
    <x v="0"/>
    <x v="0"/>
    <n v="0"/>
    <x v="0"/>
  </r>
  <r>
    <x v="125"/>
    <x v="110"/>
    <n v="33"/>
    <x v="0"/>
    <s v="6ºC"/>
    <x v="0"/>
    <s v="Mineral"/>
    <x v="0"/>
    <s v="3 - Parceria"/>
    <n v="20.81"/>
    <n v="20.81"/>
    <n v="20.81"/>
    <n v="20.81"/>
    <n v="936.45"/>
    <n v="936.45"/>
    <n v="936.45"/>
    <n v="1006.95"/>
    <x v="0"/>
    <x v="34"/>
    <x v="0"/>
    <x v="0"/>
    <x v="0"/>
    <n v="20.81"/>
    <n v="20.81"/>
    <n v="20.81"/>
    <n v="936.45"/>
    <n v="936.45"/>
    <n v="936.45"/>
    <n v="1006.95"/>
    <n v="1006.95"/>
    <n v="1006.95"/>
    <x v="1"/>
    <x v="0"/>
    <x v="0"/>
    <n v="0"/>
    <x v="0"/>
  </r>
  <r>
    <x v="126"/>
    <x v="111"/>
    <n v="1"/>
    <x v="3"/>
    <s v="INV"/>
    <x v="0"/>
    <s v="Fertirrigação"/>
    <x v="6"/>
    <s v="3 - Parceria"/>
    <n v="6.88"/>
    <n v="6.88"/>
    <n v="0"/>
    <n v="6.88"/>
    <n v="756.8"/>
    <n v="784.32"/>
    <n v="0"/>
    <n v="660.94"/>
    <x v="0"/>
    <x v="18"/>
    <x v="0"/>
    <x v="0"/>
    <x v="1"/>
    <n v="6.88"/>
    <n v="6.88"/>
    <n v="6.88"/>
    <n v="756.8"/>
    <n v="784.32"/>
    <n v="660.94"/>
    <n v="660.94"/>
    <n v="660.94"/>
    <n v="660.94"/>
    <x v="1"/>
    <x v="1"/>
    <x v="0"/>
    <n v="0"/>
    <x v="0"/>
  </r>
  <r>
    <x v="126"/>
    <x v="111"/>
    <n v="2"/>
    <x v="3"/>
    <s v="INV"/>
    <x v="0"/>
    <s v="Fertirrigação"/>
    <x v="6"/>
    <s v="3 - Parceria"/>
    <n v="3.28"/>
    <n v="3.28"/>
    <n v="0"/>
    <n v="3.28"/>
    <n v="373.92"/>
    <n v="373.92"/>
    <n v="0"/>
    <n v="315.26"/>
    <x v="0"/>
    <x v="18"/>
    <x v="0"/>
    <x v="0"/>
    <x v="1"/>
    <n v="3.28"/>
    <n v="3.28"/>
    <n v="3.28"/>
    <n v="373.92"/>
    <n v="373.92"/>
    <n v="315.26"/>
    <n v="315.26"/>
    <n v="315.26"/>
    <n v="315.26"/>
    <x v="1"/>
    <x v="1"/>
    <x v="0"/>
    <n v="0"/>
    <x v="0"/>
  </r>
  <r>
    <x v="126"/>
    <x v="111"/>
    <n v="3"/>
    <x v="3"/>
    <s v="INV"/>
    <x v="0"/>
    <s v="Fertirrigação"/>
    <x v="6"/>
    <s v="3 - Parceria"/>
    <n v="16.260000000000002"/>
    <n v="16.260000000000002"/>
    <n v="0"/>
    <n v="16.260000000000002"/>
    <n v="1772.34"/>
    <n v="1837.38"/>
    <n v="0"/>
    <n v="1548.76"/>
    <x v="0"/>
    <x v="18"/>
    <x v="0"/>
    <x v="0"/>
    <x v="1"/>
    <n v="16.260000000000002"/>
    <n v="16.260000000000002"/>
    <n v="16.260000000000002"/>
    <n v="1772.34"/>
    <n v="1837.38"/>
    <n v="1548.76"/>
    <n v="1548.76"/>
    <n v="1548.76"/>
    <n v="1548.76"/>
    <x v="1"/>
    <x v="1"/>
    <x v="0"/>
    <n v="0"/>
    <x v="0"/>
  </r>
  <r>
    <x v="126"/>
    <x v="111"/>
    <n v="4"/>
    <x v="3"/>
    <s v="INV"/>
    <x v="0"/>
    <s v="Fertirrigação"/>
    <x v="6"/>
    <s v="3 - Parceria"/>
    <n v="12.07"/>
    <n v="12.07"/>
    <n v="0"/>
    <n v="12.07"/>
    <n v="1303.56"/>
    <n v="1375.98"/>
    <n v="0"/>
    <n v="1160.08"/>
    <x v="0"/>
    <x v="18"/>
    <x v="0"/>
    <x v="0"/>
    <x v="1"/>
    <n v="12.07"/>
    <n v="12.07"/>
    <n v="12.07"/>
    <n v="1303.56"/>
    <n v="1375.98"/>
    <n v="1160.08"/>
    <n v="1160.08"/>
    <n v="1160.08"/>
    <n v="1160.08"/>
    <x v="1"/>
    <x v="1"/>
    <x v="0"/>
    <n v="0"/>
    <x v="0"/>
  </r>
  <r>
    <x v="126"/>
    <x v="111"/>
    <n v="5"/>
    <x v="3"/>
    <s v="INV"/>
    <x v="0"/>
    <s v="Fertirrigação"/>
    <x v="6"/>
    <s v="3 - Parceria"/>
    <n v="7.13"/>
    <n v="7.13"/>
    <n v="0"/>
    <n v="7.13"/>
    <n v="770.04"/>
    <n v="812.82"/>
    <n v="0"/>
    <n v="685.39"/>
    <x v="0"/>
    <x v="18"/>
    <x v="0"/>
    <x v="0"/>
    <x v="1"/>
    <n v="7.13"/>
    <n v="7.13"/>
    <n v="7.13"/>
    <n v="770.04"/>
    <n v="812.82"/>
    <n v="685.39"/>
    <n v="685.39"/>
    <n v="685.39"/>
    <n v="685.39"/>
    <x v="1"/>
    <x v="1"/>
    <x v="0"/>
    <n v="0"/>
    <x v="0"/>
  </r>
  <r>
    <x v="126"/>
    <x v="111"/>
    <n v="6"/>
    <x v="3"/>
    <s v="INV"/>
    <x v="0"/>
    <s v="Fertirrigação"/>
    <x v="6"/>
    <s v="3 - Parceria"/>
    <n v="5.03"/>
    <n v="5.03"/>
    <n v="0"/>
    <n v="5.03"/>
    <n v="533.17999999999995"/>
    <n v="573.41999999999996"/>
    <n v="0"/>
    <n v="483.49"/>
    <x v="0"/>
    <x v="18"/>
    <x v="0"/>
    <x v="0"/>
    <x v="1"/>
    <n v="5.03"/>
    <n v="5.03"/>
    <n v="5.03"/>
    <n v="533.17999999999995"/>
    <n v="573.41999999999996"/>
    <n v="483.49"/>
    <n v="483.49"/>
    <n v="483.49"/>
    <n v="483.49"/>
    <x v="1"/>
    <x v="1"/>
    <x v="0"/>
    <n v="0"/>
    <x v="0"/>
  </r>
  <r>
    <x v="127"/>
    <x v="112"/>
    <n v="1"/>
    <x v="0"/>
    <s v="6ºC"/>
    <x v="0"/>
    <s v="Fertirrigação"/>
    <x v="3"/>
    <s v="3 - Parceria"/>
    <n v="19.309999999999999"/>
    <n v="0"/>
    <n v="0"/>
    <n v="19.309999999999999"/>
    <n v="579.29999999999995"/>
    <n v="0"/>
    <n v="0"/>
    <n v="1116.94"/>
    <x v="0"/>
    <x v="29"/>
    <x v="0"/>
    <x v="1"/>
    <x v="1"/>
    <n v="19.309999999999999"/>
    <n v="19.309999999999999"/>
    <n v="19.309999999999999"/>
    <n v="579.29999999999995"/>
    <n v="1116.94"/>
    <n v="1116.94"/>
    <n v="1116.94"/>
    <n v="1116.94"/>
    <n v="1116.94"/>
    <x v="1"/>
    <x v="1"/>
    <x v="0"/>
    <n v="0"/>
    <x v="0"/>
  </r>
  <r>
    <x v="128"/>
    <x v="113"/>
    <n v="1"/>
    <x v="4"/>
    <s v="4ºC"/>
    <x v="0"/>
    <s v="Mineral"/>
    <x v="1"/>
    <s v="3 - Parceria"/>
    <n v="10.78"/>
    <n v="0"/>
    <n v="0"/>
    <n v="10.78"/>
    <n v="711.48"/>
    <n v="0"/>
    <n v="0"/>
    <n v="857.1"/>
    <x v="0"/>
    <x v="6"/>
    <x v="0"/>
    <x v="1"/>
    <x v="1"/>
    <n v="10.78"/>
    <n v="10.78"/>
    <n v="10.78"/>
    <n v="711.48"/>
    <n v="857.1"/>
    <n v="857.1"/>
    <n v="857.1"/>
    <n v="857.1"/>
    <n v="857.1"/>
    <x v="1"/>
    <x v="0"/>
    <x v="0"/>
    <n v="0"/>
    <x v="0"/>
  </r>
  <r>
    <x v="128"/>
    <x v="113"/>
    <n v="2"/>
    <x v="4"/>
    <s v="4ºC"/>
    <x v="0"/>
    <s v="Mineral"/>
    <x v="13"/>
    <s v="3 - Parceria"/>
    <n v="12.16"/>
    <n v="0"/>
    <n v="0"/>
    <n v="12.16"/>
    <n v="802.56"/>
    <n v="0"/>
    <n v="0"/>
    <n v="968.05"/>
    <x v="0"/>
    <x v="6"/>
    <x v="0"/>
    <x v="1"/>
    <x v="1"/>
    <n v="12.16"/>
    <n v="12.16"/>
    <n v="12.16"/>
    <n v="802.56"/>
    <n v="968.05"/>
    <n v="968.05"/>
    <n v="968.05"/>
    <n v="968.05"/>
    <n v="968.05"/>
    <x v="1"/>
    <x v="0"/>
    <x v="0"/>
    <n v="0"/>
    <x v="0"/>
  </r>
  <r>
    <x v="128"/>
    <x v="113"/>
    <n v="3"/>
    <x v="4"/>
    <s v="4ºC"/>
    <x v="0"/>
    <s v="Mineral"/>
    <x v="13"/>
    <s v="3 - Parceria"/>
    <n v="16.190000000000001"/>
    <n v="16.190000000000001"/>
    <n v="0"/>
    <n v="16.190000000000001"/>
    <n v="1068.54"/>
    <n v="1068.54"/>
    <n v="0"/>
    <n v="1394.95"/>
    <x v="0"/>
    <x v="7"/>
    <x v="0"/>
    <x v="0"/>
    <x v="1"/>
    <n v="16.190000000000001"/>
    <n v="16.190000000000001"/>
    <n v="16.190000000000001"/>
    <n v="1068.54"/>
    <n v="1068.54"/>
    <n v="1394.95"/>
    <n v="1394.95"/>
    <n v="1394.95"/>
    <n v="1394.95"/>
    <x v="1"/>
    <x v="0"/>
    <x v="0"/>
    <n v="0"/>
    <x v="0"/>
  </r>
  <r>
    <x v="128"/>
    <x v="113"/>
    <n v="4"/>
    <x v="4"/>
    <s v="4ºC"/>
    <x v="0"/>
    <s v="Mineral"/>
    <x v="13"/>
    <s v="3 - Parceria"/>
    <n v="9.24"/>
    <n v="9.24"/>
    <n v="0"/>
    <n v="9.24"/>
    <n v="609.84"/>
    <n v="609.84"/>
    <n v="0"/>
    <n v="795.98"/>
    <x v="0"/>
    <x v="7"/>
    <x v="0"/>
    <x v="0"/>
    <x v="1"/>
    <n v="9.24"/>
    <n v="9.24"/>
    <n v="9.24"/>
    <n v="609.84"/>
    <n v="609.84"/>
    <n v="795.98"/>
    <n v="795.98"/>
    <n v="795.98"/>
    <n v="795.98"/>
    <x v="1"/>
    <x v="0"/>
    <x v="0"/>
    <n v="0"/>
    <x v="0"/>
  </r>
  <r>
    <x v="128"/>
    <x v="113"/>
    <n v="5"/>
    <x v="4"/>
    <s v="4ºC"/>
    <x v="0"/>
    <s v="Mineral"/>
    <x v="13"/>
    <s v="3 - Parceria"/>
    <n v="14.19"/>
    <n v="14.19"/>
    <n v="0"/>
    <n v="14.19"/>
    <n v="936.54"/>
    <n v="851.4"/>
    <n v="0"/>
    <n v="1110.6199999999999"/>
    <x v="0"/>
    <x v="7"/>
    <x v="0"/>
    <x v="0"/>
    <x v="1"/>
    <n v="14.19"/>
    <n v="14.19"/>
    <n v="14.19"/>
    <n v="936.54"/>
    <n v="851.4"/>
    <n v="1110.6199999999999"/>
    <n v="1110.6199999999999"/>
    <n v="1110.6199999999999"/>
    <n v="1110.6199999999999"/>
    <x v="0"/>
    <x v="0"/>
    <x v="0"/>
    <n v="0"/>
    <x v="0"/>
  </r>
  <r>
    <x v="129"/>
    <x v="114"/>
    <n v="1"/>
    <x v="4"/>
    <s v="4ºC"/>
    <x v="0"/>
    <s v="Mineral"/>
    <x v="3"/>
    <s v="3 - Parceria"/>
    <n v="27.27"/>
    <n v="0"/>
    <n v="0"/>
    <n v="27.27"/>
    <n v="1172.6099999999999"/>
    <n v="0"/>
    <n v="0"/>
    <n v="1156.75"/>
    <x v="0"/>
    <x v="35"/>
    <x v="0"/>
    <x v="1"/>
    <x v="1"/>
    <n v="27.27"/>
    <n v="27.27"/>
    <n v="27.27"/>
    <n v="1172.6099999999999"/>
    <n v="1156.75"/>
    <n v="1156.75"/>
    <n v="1156.75"/>
    <n v="1156.75"/>
    <n v="1156.75"/>
    <x v="1"/>
    <x v="0"/>
    <x v="0"/>
    <n v="0"/>
    <x v="0"/>
  </r>
  <r>
    <x v="129"/>
    <x v="114"/>
    <n v="2"/>
    <x v="4"/>
    <s v="4ºC"/>
    <x v="0"/>
    <s v="Mineral"/>
    <x v="3"/>
    <s v="3 - Parceria"/>
    <n v="22.64"/>
    <n v="0"/>
    <n v="0"/>
    <n v="22.64"/>
    <n v="860.32"/>
    <n v="0"/>
    <n v="0"/>
    <n v="848.13"/>
    <x v="0"/>
    <x v="35"/>
    <x v="0"/>
    <x v="1"/>
    <x v="1"/>
    <n v="22.64"/>
    <n v="22.64"/>
    <n v="22.64"/>
    <n v="860.32"/>
    <n v="848.13"/>
    <n v="848.13"/>
    <n v="848.13"/>
    <n v="848.13"/>
    <n v="848.13"/>
    <x v="1"/>
    <x v="0"/>
    <x v="0"/>
    <n v="0"/>
    <x v="0"/>
  </r>
  <r>
    <x v="130"/>
    <x v="115"/>
    <n v="1"/>
    <x v="5"/>
    <s v="2ºC"/>
    <x v="0"/>
    <s v="Fertirrigação"/>
    <x v="6"/>
    <s v="3 - Parceria"/>
    <n v="9.59"/>
    <n v="9.59"/>
    <n v="9.59"/>
    <n v="9.59"/>
    <n v="1054.9000000000001"/>
    <n v="1054.9000000000001"/>
    <n v="1054.9000000000001"/>
    <n v="1285.49"/>
    <x v="0"/>
    <x v="1"/>
    <x v="0"/>
    <x v="0"/>
    <x v="0"/>
    <n v="9.59"/>
    <n v="9.59"/>
    <n v="9.59"/>
    <n v="1054.9000000000001"/>
    <n v="1054.9000000000001"/>
    <n v="1054.9000000000001"/>
    <n v="1285.49"/>
    <n v="1285.49"/>
    <n v="1285.49"/>
    <x v="1"/>
    <x v="1"/>
    <x v="0"/>
    <n v="0"/>
    <x v="0"/>
  </r>
  <r>
    <x v="130"/>
    <x v="115"/>
    <n v="3"/>
    <x v="5"/>
    <s v="2ºC"/>
    <x v="0"/>
    <s v="Fertirrigação"/>
    <x v="6"/>
    <s v="3 - Parceria"/>
    <n v="5.39"/>
    <n v="5.39"/>
    <n v="5.39"/>
    <n v="5.39"/>
    <n v="512.04999999999995"/>
    <n v="528.22"/>
    <n v="528.22"/>
    <n v="643.4"/>
    <x v="0"/>
    <x v="1"/>
    <x v="0"/>
    <x v="0"/>
    <x v="0"/>
    <n v="5.39"/>
    <n v="5.39"/>
    <n v="5.39"/>
    <n v="512.04999999999995"/>
    <n v="528.22"/>
    <n v="528.22"/>
    <n v="643.4"/>
    <n v="643.4"/>
    <n v="643.4"/>
    <x v="1"/>
    <x v="1"/>
    <x v="0"/>
    <n v="0"/>
    <x v="0"/>
  </r>
  <r>
    <x v="131"/>
    <x v="116"/>
    <n v="1"/>
    <x v="2"/>
    <s v="3ºC"/>
    <x v="0"/>
    <s v="Fertirrigação"/>
    <x v="13"/>
    <s v="3 - Parceria"/>
    <n v="3.54"/>
    <n v="3.54"/>
    <n v="3.54"/>
    <n v="3.54"/>
    <n v="212.4"/>
    <n v="212.4"/>
    <n v="194.7"/>
    <n v="196.49"/>
    <x v="0"/>
    <x v="1"/>
    <x v="0"/>
    <x v="0"/>
    <x v="0"/>
    <n v="3.54"/>
    <n v="3.54"/>
    <n v="3.54"/>
    <n v="212.4"/>
    <n v="212.4"/>
    <n v="194.7"/>
    <n v="196.49"/>
    <n v="196.49"/>
    <n v="196.49"/>
    <x v="1"/>
    <x v="1"/>
    <x v="0"/>
    <n v="0"/>
    <x v="0"/>
  </r>
  <r>
    <x v="131"/>
    <x v="116"/>
    <n v="2"/>
    <x v="2"/>
    <s v="3ºC"/>
    <x v="0"/>
    <s v="Fertirrigação"/>
    <x v="13"/>
    <s v="3 - Parceria"/>
    <n v="22.43"/>
    <n v="22.43"/>
    <n v="22.43"/>
    <n v="22.43"/>
    <n v="1345.8"/>
    <n v="1345.8"/>
    <n v="1233.6500000000001"/>
    <n v="1243.67"/>
    <x v="0"/>
    <x v="1"/>
    <x v="0"/>
    <x v="0"/>
    <x v="0"/>
    <n v="22.43"/>
    <n v="22.43"/>
    <n v="22.43"/>
    <n v="1345.8"/>
    <n v="1345.8"/>
    <n v="1233.6500000000001"/>
    <n v="1243.67"/>
    <n v="1243.67"/>
    <n v="1243.67"/>
    <x v="1"/>
    <x v="1"/>
    <x v="0"/>
    <n v="0"/>
    <x v="0"/>
  </r>
  <r>
    <x v="131"/>
    <x v="116"/>
    <n v="3"/>
    <x v="2"/>
    <s v="3ºC"/>
    <x v="0"/>
    <s v="Fertirrigação"/>
    <x v="13"/>
    <s v="3 - Parceria"/>
    <n v="24.7"/>
    <n v="24.7"/>
    <n v="24.7"/>
    <n v="24.7"/>
    <n v="1482"/>
    <n v="1482"/>
    <n v="1358.5"/>
    <n v="1369.65"/>
    <x v="0"/>
    <x v="1"/>
    <x v="0"/>
    <x v="0"/>
    <x v="0"/>
    <n v="24.7"/>
    <n v="24.7"/>
    <n v="24.7"/>
    <n v="1482"/>
    <n v="1482"/>
    <n v="1358.5"/>
    <n v="1369.65"/>
    <n v="1369.65"/>
    <n v="1369.65"/>
    <x v="1"/>
    <x v="1"/>
    <x v="0"/>
    <n v="0"/>
    <x v="0"/>
  </r>
  <r>
    <x v="131"/>
    <x v="116"/>
    <n v="4"/>
    <x v="2"/>
    <s v="3ºC"/>
    <x v="0"/>
    <s v="Fertirrigação"/>
    <x v="13"/>
    <s v="3 - Parceria"/>
    <n v="1.26"/>
    <n v="1.26"/>
    <n v="1.26"/>
    <n v="1.26"/>
    <n v="75.599999999999994"/>
    <n v="59.22"/>
    <n v="56.7"/>
    <n v="57.4"/>
    <x v="0"/>
    <x v="1"/>
    <x v="0"/>
    <x v="0"/>
    <x v="0"/>
    <n v="1.26"/>
    <n v="1.26"/>
    <n v="1.26"/>
    <n v="75.599999999999994"/>
    <n v="59.22"/>
    <n v="56.7"/>
    <n v="57.4"/>
    <n v="57.4"/>
    <n v="57.4"/>
    <x v="1"/>
    <x v="1"/>
    <x v="0"/>
    <n v="0"/>
    <x v="0"/>
  </r>
  <r>
    <x v="131"/>
    <x v="116"/>
    <n v="6"/>
    <x v="2"/>
    <s v="3ºC"/>
    <x v="0"/>
    <s v="Fertirrigação"/>
    <x v="13"/>
    <s v="3 - Parceria"/>
    <n v="8.6199999999999992"/>
    <n v="8.6199999999999992"/>
    <n v="8.6199999999999992"/>
    <n v="8.6199999999999992"/>
    <n v="517.20000000000005"/>
    <n v="517.20000000000005"/>
    <n v="474.1"/>
    <n v="477.95"/>
    <x v="0"/>
    <x v="1"/>
    <x v="0"/>
    <x v="0"/>
    <x v="0"/>
    <n v="8.6199999999999992"/>
    <n v="8.6199999999999992"/>
    <n v="8.6199999999999992"/>
    <n v="517.20000000000005"/>
    <n v="517.20000000000005"/>
    <n v="474.1"/>
    <n v="477.95"/>
    <n v="477.95"/>
    <n v="477.95"/>
    <x v="1"/>
    <x v="1"/>
    <x v="0"/>
    <n v="0"/>
    <x v="0"/>
  </r>
  <r>
    <x v="132"/>
    <x v="117"/>
    <n v="11"/>
    <x v="2"/>
    <s v="3ºC"/>
    <x v="0"/>
    <s v="Fertirrigação"/>
    <x v="6"/>
    <s v="3 - Parceria"/>
    <n v="8.93"/>
    <n v="8.93"/>
    <n v="8.93"/>
    <n v="8.93"/>
    <n v="803.7"/>
    <n v="812.63"/>
    <n v="803.7"/>
    <n v="614.77"/>
    <x v="0"/>
    <x v="21"/>
    <x v="0"/>
    <x v="0"/>
    <x v="0"/>
    <n v="8.93"/>
    <n v="8.93"/>
    <n v="8.93"/>
    <n v="803.7"/>
    <n v="812.63"/>
    <n v="803.7"/>
    <n v="614.77"/>
    <n v="614.77"/>
    <n v="614.77"/>
    <x v="1"/>
    <x v="1"/>
    <x v="0"/>
    <n v="0"/>
    <x v="0"/>
  </r>
  <r>
    <x v="132"/>
    <x v="117"/>
    <n v="12"/>
    <x v="2"/>
    <s v="3ºC"/>
    <x v="0"/>
    <s v="Fertirrigação"/>
    <x v="6"/>
    <s v="3 - Parceria"/>
    <n v="5.66"/>
    <n v="5.66"/>
    <n v="5.66"/>
    <n v="5.66"/>
    <n v="509.4"/>
    <n v="515.05999999999995"/>
    <n v="509.4"/>
    <n v="389.18"/>
    <x v="0"/>
    <x v="21"/>
    <x v="0"/>
    <x v="0"/>
    <x v="0"/>
    <n v="5.66"/>
    <n v="5.66"/>
    <n v="5.66"/>
    <n v="509.4"/>
    <n v="515.05999999999995"/>
    <n v="509.4"/>
    <n v="389.18"/>
    <n v="389.18"/>
    <n v="389.18"/>
    <x v="1"/>
    <x v="1"/>
    <x v="0"/>
    <n v="0"/>
    <x v="0"/>
  </r>
  <r>
    <x v="132"/>
    <x v="117"/>
    <n v="13"/>
    <x v="2"/>
    <s v="3ºC"/>
    <x v="0"/>
    <s v="Fertirrigação"/>
    <x v="6"/>
    <s v="3 - Parceria"/>
    <n v="12.55"/>
    <n v="12.55"/>
    <n v="12.55"/>
    <n v="12.55"/>
    <n v="1129.5"/>
    <n v="1142.05"/>
    <n v="1129.5"/>
    <n v="864.07"/>
    <x v="0"/>
    <x v="21"/>
    <x v="0"/>
    <x v="0"/>
    <x v="0"/>
    <n v="12.55"/>
    <n v="12.55"/>
    <n v="12.55"/>
    <n v="1129.5"/>
    <n v="1142.05"/>
    <n v="1129.5"/>
    <n v="864.07"/>
    <n v="864.07"/>
    <n v="864.07"/>
    <x v="1"/>
    <x v="1"/>
    <x v="0"/>
    <n v="0"/>
    <x v="0"/>
  </r>
  <r>
    <x v="132"/>
    <x v="117"/>
    <n v="14"/>
    <x v="2"/>
    <s v="3ºC"/>
    <x v="0"/>
    <s v="Fertirrigação"/>
    <x v="6"/>
    <s v="3 - Parceria"/>
    <n v="15.67"/>
    <n v="15.67"/>
    <n v="15.67"/>
    <n v="15.67"/>
    <n v="1410.3"/>
    <n v="1425.97"/>
    <n v="1410.3"/>
    <n v="1078.2"/>
    <x v="0"/>
    <x v="21"/>
    <x v="0"/>
    <x v="0"/>
    <x v="0"/>
    <n v="15.67"/>
    <n v="15.67"/>
    <n v="15.67"/>
    <n v="1410.3"/>
    <n v="1425.97"/>
    <n v="1410.3"/>
    <n v="1078.2"/>
    <n v="1078.2"/>
    <n v="1078.2"/>
    <x v="1"/>
    <x v="1"/>
    <x v="0"/>
    <n v="0"/>
    <x v="0"/>
  </r>
  <r>
    <x v="132"/>
    <x v="117"/>
    <n v="15"/>
    <x v="2"/>
    <s v="3ºC"/>
    <x v="0"/>
    <s v="Fertirrigação"/>
    <x v="6"/>
    <s v="3 - Parceria"/>
    <n v="9.59"/>
    <n v="9.59"/>
    <n v="9.59"/>
    <n v="9.59"/>
    <n v="863.1"/>
    <n v="872.69"/>
    <n v="863.1"/>
    <n v="660.15"/>
    <x v="0"/>
    <x v="21"/>
    <x v="0"/>
    <x v="0"/>
    <x v="0"/>
    <n v="9.59"/>
    <n v="9.59"/>
    <n v="9.59"/>
    <n v="863.1"/>
    <n v="872.69"/>
    <n v="863.1"/>
    <n v="660.15"/>
    <n v="660.15"/>
    <n v="660.15"/>
    <x v="1"/>
    <x v="1"/>
    <x v="0"/>
    <n v="0"/>
    <x v="0"/>
  </r>
  <r>
    <x v="133"/>
    <x v="118"/>
    <n v="1"/>
    <x v="6"/>
    <s v="5ºC"/>
    <x v="0"/>
    <s v="Mineral"/>
    <x v="27"/>
    <s v="3 - Parceria"/>
    <n v="40.19"/>
    <n v="40.19"/>
    <n v="40.19"/>
    <n v="40.19"/>
    <n v="2411.4"/>
    <n v="2773.11"/>
    <n v="2773.11"/>
    <n v="2143.4299999999998"/>
    <x v="0"/>
    <x v="2"/>
    <x v="0"/>
    <x v="0"/>
    <x v="0"/>
    <n v="40.19"/>
    <n v="40.19"/>
    <n v="40.19"/>
    <n v="2411.4"/>
    <n v="2773.11"/>
    <n v="2773.11"/>
    <n v="2143.4299999999998"/>
    <n v="2143.4299999999998"/>
    <n v="2143.4299999999998"/>
    <x v="1"/>
    <x v="0"/>
    <x v="0"/>
    <n v="0"/>
    <x v="0"/>
  </r>
  <r>
    <x v="134"/>
    <x v="119"/>
    <n v="5"/>
    <x v="5"/>
    <s v="2ºC"/>
    <x v="0"/>
    <s v="Fertirrigação"/>
    <x v="6"/>
    <s v="3 - Parceria"/>
    <n v="18.09"/>
    <n v="18.09"/>
    <n v="0"/>
    <n v="18.09"/>
    <n v="1700.46"/>
    <n v="1736.64"/>
    <n v="0"/>
    <n v="1892.65"/>
    <x v="0"/>
    <x v="39"/>
    <x v="0"/>
    <x v="0"/>
    <x v="1"/>
    <n v="18.09"/>
    <n v="18.09"/>
    <n v="18.09"/>
    <n v="1700.46"/>
    <n v="1736.64"/>
    <n v="1892.65"/>
    <n v="1892.65"/>
    <n v="1892.65"/>
    <n v="1892.65"/>
    <x v="1"/>
    <x v="1"/>
    <x v="0"/>
    <n v="0"/>
    <x v="0"/>
  </r>
  <r>
    <x v="135"/>
    <x v="120"/>
    <n v="1"/>
    <x v="5"/>
    <s v="2ºC"/>
    <x v="0"/>
    <s v="Mineral"/>
    <x v="18"/>
    <s v="3 - Parceria"/>
    <n v="62.22"/>
    <n v="62.22"/>
    <n v="0"/>
    <n v="62.22"/>
    <n v="5599.8"/>
    <n v="5724.24"/>
    <n v="0"/>
    <n v="6592.76"/>
    <x v="0"/>
    <x v="10"/>
    <x v="0"/>
    <x v="0"/>
    <x v="1"/>
    <n v="62.22"/>
    <n v="62.22"/>
    <n v="62.22"/>
    <n v="5599.8"/>
    <n v="5724.24"/>
    <n v="6592.76"/>
    <n v="6592.76"/>
    <n v="6592.76"/>
    <n v="6592.76"/>
    <x v="1"/>
    <x v="2"/>
    <x v="5"/>
    <n v="3422.1"/>
    <x v="0"/>
  </r>
  <r>
    <x v="135"/>
    <x v="120"/>
    <n v="2"/>
    <x v="5"/>
    <s v="2ºC"/>
    <x v="0"/>
    <s v="Mineral"/>
    <x v="18"/>
    <s v="3 - Parceria"/>
    <n v="49.49"/>
    <n v="49.49"/>
    <n v="0"/>
    <n v="49.49"/>
    <n v="4454.1000000000004"/>
    <n v="4553.08"/>
    <n v="0"/>
    <n v="5012.24"/>
    <x v="0"/>
    <x v="11"/>
    <x v="0"/>
    <x v="0"/>
    <x v="1"/>
    <n v="49.49"/>
    <n v="49.49"/>
    <n v="49.49"/>
    <n v="4454.1000000000004"/>
    <n v="4553.08"/>
    <n v="5012.24"/>
    <n v="5012.24"/>
    <n v="5012.24"/>
    <n v="5012.24"/>
    <x v="1"/>
    <x v="2"/>
    <x v="5"/>
    <n v="2721.9500000000003"/>
    <x v="0"/>
  </r>
  <r>
    <x v="135"/>
    <x v="120"/>
    <n v="3"/>
    <x v="5"/>
    <s v="2ºC"/>
    <x v="0"/>
    <s v="Mineral"/>
    <x v="18"/>
    <s v="3 - Parceria"/>
    <n v="66.64"/>
    <n v="66.64"/>
    <n v="0"/>
    <n v="66.64"/>
    <n v="5331.2"/>
    <n v="5331.2"/>
    <n v="0"/>
    <n v="4773.67"/>
    <x v="0"/>
    <x v="17"/>
    <x v="0"/>
    <x v="0"/>
    <x v="1"/>
    <n v="66.64"/>
    <n v="66.64"/>
    <n v="66.64"/>
    <n v="5331.2"/>
    <n v="5331.2"/>
    <n v="4773.67"/>
    <n v="4773.67"/>
    <n v="4773.67"/>
    <n v="4773.67"/>
    <x v="1"/>
    <x v="0"/>
    <x v="0"/>
    <n v="0"/>
    <x v="0"/>
  </r>
  <r>
    <x v="135"/>
    <x v="120"/>
    <n v="4"/>
    <x v="3"/>
    <s v="ANM"/>
    <x v="0"/>
    <s v="Mineral"/>
    <x v="18"/>
    <s v="3 - Parceria"/>
    <n v="47.14"/>
    <n v="47.14"/>
    <n v="0"/>
    <n v="47.14"/>
    <n v="5185.3999999999996"/>
    <n v="5185.3999999999996"/>
    <n v="0"/>
    <n v="6160.92"/>
    <x v="0"/>
    <x v="17"/>
    <x v="0"/>
    <x v="0"/>
    <x v="1"/>
    <n v="47.14"/>
    <n v="47.14"/>
    <n v="47.14"/>
    <n v="5185.3999999999996"/>
    <n v="5185.3999999999996"/>
    <n v="6160.92"/>
    <n v="6160.92"/>
    <n v="6160.92"/>
    <n v="6160.92"/>
    <x v="1"/>
    <x v="0"/>
    <x v="0"/>
    <n v="0"/>
    <x v="0"/>
  </r>
  <r>
    <x v="135"/>
    <x v="120"/>
    <n v="5"/>
    <x v="5"/>
    <s v="2ºC"/>
    <x v="0"/>
    <s v="Mineral"/>
    <x v="18"/>
    <s v="3 - Parceria"/>
    <n v="45.98"/>
    <n v="45.98"/>
    <n v="0"/>
    <n v="45.98"/>
    <n v="3678.4"/>
    <n v="3724.38"/>
    <n v="0"/>
    <n v="3226.14"/>
    <x v="0"/>
    <x v="17"/>
    <x v="0"/>
    <x v="0"/>
    <x v="1"/>
    <n v="45.98"/>
    <n v="45.98"/>
    <n v="45.98"/>
    <n v="3678.4"/>
    <n v="3724.38"/>
    <n v="3226.14"/>
    <n v="3226.14"/>
    <n v="3226.14"/>
    <n v="3226.14"/>
    <x v="1"/>
    <x v="2"/>
    <x v="1"/>
    <n v="2528.8999999999996"/>
    <x v="0"/>
  </r>
  <r>
    <x v="135"/>
    <x v="120"/>
    <n v="6"/>
    <x v="5"/>
    <s v="2ºC"/>
    <x v="0"/>
    <s v="Mineral"/>
    <x v="18"/>
    <s v="3 - Parceria"/>
    <n v="71.819999999999993"/>
    <n v="71.819999999999993"/>
    <n v="0"/>
    <n v="71.819999999999993"/>
    <n v="6391.98"/>
    <n v="6463.8"/>
    <n v="0"/>
    <n v="4754.8500000000004"/>
    <x v="0"/>
    <x v="11"/>
    <x v="0"/>
    <x v="0"/>
    <x v="1"/>
    <n v="71.819999999999993"/>
    <n v="71.819999999999993"/>
    <n v="71.819999999999993"/>
    <n v="6391.98"/>
    <n v="6463.8"/>
    <n v="4754.8500000000004"/>
    <n v="4754.8500000000004"/>
    <n v="4754.8500000000004"/>
    <n v="4754.8500000000004"/>
    <x v="1"/>
    <x v="2"/>
    <x v="1"/>
    <n v="3950.0999999999995"/>
    <x v="0"/>
  </r>
  <r>
    <x v="135"/>
    <x v="120"/>
    <n v="7"/>
    <x v="5"/>
    <s v="2ºC"/>
    <x v="0"/>
    <s v="Mineral"/>
    <x v="18"/>
    <s v="3 - Parceria"/>
    <n v="44.87"/>
    <n v="44.87"/>
    <n v="0"/>
    <n v="44.87"/>
    <n v="3858.82"/>
    <n v="3948.56"/>
    <n v="0"/>
    <n v="3101.13"/>
    <x v="0"/>
    <x v="11"/>
    <x v="0"/>
    <x v="0"/>
    <x v="1"/>
    <n v="44.87"/>
    <n v="44.87"/>
    <n v="44.87"/>
    <n v="3858.82"/>
    <n v="3948.56"/>
    <n v="3101.13"/>
    <n v="3101.13"/>
    <n v="3101.13"/>
    <n v="3101.13"/>
    <x v="1"/>
    <x v="2"/>
    <x v="5"/>
    <n v="2467.85"/>
    <x v="0"/>
  </r>
  <r>
    <x v="135"/>
    <x v="120"/>
    <n v="8"/>
    <x v="5"/>
    <s v="2ºC"/>
    <x v="0"/>
    <s v="Mineral"/>
    <x v="18"/>
    <s v="3 - Parceria"/>
    <n v="32.47"/>
    <n v="32.47"/>
    <n v="0"/>
    <n v="32.47"/>
    <n v="2792.42"/>
    <n v="2857.36"/>
    <n v="0"/>
    <n v="2243.7199999999998"/>
    <x v="0"/>
    <x v="11"/>
    <x v="0"/>
    <x v="0"/>
    <x v="1"/>
    <n v="32.47"/>
    <n v="32.47"/>
    <n v="32.47"/>
    <n v="2792.42"/>
    <n v="2857.36"/>
    <n v="2243.7199999999998"/>
    <n v="2243.7199999999998"/>
    <n v="2243.7199999999998"/>
    <n v="2243.7199999999998"/>
    <x v="1"/>
    <x v="2"/>
    <x v="5"/>
    <n v="1785.85"/>
    <x v="0"/>
  </r>
  <r>
    <x v="136"/>
    <x v="61"/>
    <n v="2001"/>
    <x v="5"/>
    <s v="2ºC"/>
    <x v="0"/>
    <s v="Mineral"/>
    <x v="5"/>
    <s v="3 - Parceria"/>
    <n v="0"/>
    <n v="0"/>
    <n v="0"/>
    <n v="0"/>
    <n v="0"/>
    <n v="0"/>
    <n v="0"/>
    <m/>
    <x v="0"/>
    <x v="5"/>
    <x v="1"/>
    <x v="0"/>
    <x v="0"/>
    <n v="0"/>
    <n v="0"/>
    <n v="0"/>
    <n v="0"/>
    <n v="0"/>
    <n v="0"/>
    <n v="0"/>
    <n v="0"/>
    <n v="0"/>
    <x v="1"/>
    <x v="0"/>
    <x v="0"/>
    <n v="0"/>
    <x v="0"/>
  </r>
  <r>
    <x v="136"/>
    <x v="61"/>
    <n v="2002"/>
    <x v="5"/>
    <s v="2ºC"/>
    <x v="0"/>
    <s v="Mineral"/>
    <x v="5"/>
    <s v="3 - Parceria"/>
    <n v="0"/>
    <n v="0"/>
    <n v="0"/>
    <n v="0"/>
    <n v="0"/>
    <n v="0"/>
    <n v="0"/>
    <m/>
    <x v="0"/>
    <x v="5"/>
    <x v="1"/>
    <x v="0"/>
    <x v="0"/>
    <n v="0"/>
    <n v="0"/>
    <n v="0"/>
    <n v="0"/>
    <n v="0"/>
    <n v="0"/>
    <n v="0"/>
    <n v="0"/>
    <n v="0"/>
    <x v="1"/>
    <x v="0"/>
    <x v="0"/>
    <n v="0"/>
    <x v="0"/>
  </r>
  <r>
    <x v="136"/>
    <x v="61"/>
    <n v="2003"/>
    <x v="5"/>
    <s v="2ºC"/>
    <x v="0"/>
    <s v="Mineral"/>
    <x v="5"/>
    <s v="3 - Parceria"/>
    <n v="0"/>
    <n v="0"/>
    <n v="0"/>
    <n v="0"/>
    <n v="0"/>
    <n v="0"/>
    <n v="0"/>
    <m/>
    <x v="0"/>
    <x v="5"/>
    <x v="1"/>
    <x v="0"/>
    <x v="0"/>
    <n v="0"/>
    <n v="0"/>
    <n v="0"/>
    <n v="0"/>
    <n v="0"/>
    <n v="0"/>
    <n v="0"/>
    <n v="0"/>
    <n v="0"/>
    <x v="1"/>
    <x v="0"/>
    <x v="0"/>
    <n v="0"/>
    <x v="0"/>
  </r>
  <r>
    <x v="136"/>
    <x v="61"/>
    <n v="2004"/>
    <x v="5"/>
    <s v="2ºC"/>
    <x v="0"/>
    <s v="Mineral"/>
    <x v="5"/>
    <s v="3 - Parceria"/>
    <n v="0"/>
    <n v="0"/>
    <n v="0"/>
    <n v="0"/>
    <n v="0"/>
    <n v="0"/>
    <n v="0"/>
    <m/>
    <x v="0"/>
    <x v="5"/>
    <x v="1"/>
    <x v="0"/>
    <x v="0"/>
    <n v="0"/>
    <n v="0"/>
    <n v="0"/>
    <n v="0"/>
    <n v="0"/>
    <n v="0"/>
    <n v="0"/>
    <n v="0"/>
    <n v="0"/>
    <x v="1"/>
    <x v="0"/>
    <x v="0"/>
    <n v="0"/>
    <x v="0"/>
  </r>
  <r>
    <x v="136"/>
    <x v="61"/>
    <n v="2005"/>
    <x v="5"/>
    <s v="2ºC"/>
    <x v="0"/>
    <s v="Mineral"/>
    <x v="5"/>
    <s v="3 - Parceria"/>
    <n v="0"/>
    <n v="0"/>
    <n v="0"/>
    <n v="0"/>
    <n v="0"/>
    <n v="0"/>
    <n v="0"/>
    <m/>
    <x v="0"/>
    <x v="5"/>
    <x v="1"/>
    <x v="0"/>
    <x v="0"/>
    <n v="0"/>
    <n v="0"/>
    <n v="0"/>
    <n v="0"/>
    <n v="0"/>
    <n v="0"/>
    <n v="0"/>
    <n v="0"/>
    <n v="0"/>
    <x v="1"/>
    <x v="0"/>
    <x v="0"/>
    <n v="0"/>
    <x v="0"/>
  </r>
  <r>
    <x v="136"/>
    <x v="61"/>
    <n v="2007"/>
    <x v="5"/>
    <s v="2ºC"/>
    <x v="0"/>
    <s v="Mineral"/>
    <x v="5"/>
    <s v="3 - Parceria"/>
    <n v="0"/>
    <n v="0"/>
    <n v="0"/>
    <n v="0"/>
    <n v="0"/>
    <n v="0"/>
    <n v="0"/>
    <m/>
    <x v="0"/>
    <x v="5"/>
    <x v="1"/>
    <x v="0"/>
    <x v="0"/>
    <n v="0"/>
    <n v="0"/>
    <n v="0"/>
    <n v="0"/>
    <n v="0"/>
    <n v="0"/>
    <n v="0"/>
    <n v="0"/>
    <n v="0"/>
    <x v="1"/>
    <x v="0"/>
    <x v="0"/>
    <n v="0"/>
    <x v="0"/>
  </r>
  <r>
    <x v="136"/>
    <x v="61"/>
    <n v="2008"/>
    <x v="5"/>
    <s v="2ºC"/>
    <x v="0"/>
    <s v="Mineral"/>
    <x v="5"/>
    <s v="3 - Parceria"/>
    <n v="0"/>
    <n v="0"/>
    <n v="0"/>
    <n v="0"/>
    <n v="0"/>
    <n v="0"/>
    <n v="0"/>
    <m/>
    <x v="0"/>
    <x v="5"/>
    <x v="1"/>
    <x v="0"/>
    <x v="0"/>
    <n v="0"/>
    <n v="0"/>
    <n v="0"/>
    <n v="0"/>
    <n v="0"/>
    <n v="0"/>
    <n v="0"/>
    <n v="0"/>
    <n v="0"/>
    <x v="1"/>
    <x v="0"/>
    <x v="0"/>
    <n v="0"/>
    <x v="0"/>
  </r>
  <r>
    <x v="136"/>
    <x v="61"/>
    <n v="2009"/>
    <x v="5"/>
    <s v="2ºC"/>
    <x v="0"/>
    <s v="Mineral"/>
    <x v="5"/>
    <s v="3 - Parceria"/>
    <n v="0"/>
    <n v="0"/>
    <n v="0"/>
    <n v="0"/>
    <n v="0"/>
    <n v="0"/>
    <n v="0"/>
    <m/>
    <x v="0"/>
    <x v="5"/>
    <x v="1"/>
    <x v="0"/>
    <x v="0"/>
    <n v="0"/>
    <n v="0"/>
    <n v="0"/>
    <n v="0"/>
    <n v="0"/>
    <n v="0"/>
    <n v="0"/>
    <n v="0"/>
    <n v="0"/>
    <x v="1"/>
    <x v="0"/>
    <x v="0"/>
    <n v="0"/>
    <x v="0"/>
  </r>
  <r>
    <x v="136"/>
    <x v="61"/>
    <n v="2010"/>
    <x v="5"/>
    <s v="2ºC"/>
    <x v="0"/>
    <s v="Mineral"/>
    <x v="5"/>
    <s v="3 - Parceria"/>
    <n v="0"/>
    <n v="0"/>
    <n v="0"/>
    <n v="0"/>
    <n v="0"/>
    <n v="0"/>
    <n v="0"/>
    <m/>
    <x v="0"/>
    <x v="5"/>
    <x v="1"/>
    <x v="0"/>
    <x v="0"/>
    <n v="0"/>
    <n v="0"/>
    <n v="0"/>
    <n v="0"/>
    <n v="0"/>
    <n v="0"/>
    <n v="0"/>
    <n v="0"/>
    <n v="0"/>
    <x v="1"/>
    <x v="0"/>
    <x v="0"/>
    <n v="0"/>
    <x v="0"/>
  </r>
  <r>
    <x v="137"/>
    <x v="121"/>
    <n v="1"/>
    <x v="5"/>
    <s v="2ºC"/>
    <x v="0"/>
    <s v="Mineral"/>
    <x v="10"/>
    <s v="3 - Parceria"/>
    <n v="0.68"/>
    <n v="0"/>
    <n v="0"/>
    <n v="0.68"/>
    <n v="63.92"/>
    <n v="0"/>
    <n v="0"/>
    <n v="66.23"/>
    <x v="0"/>
    <x v="4"/>
    <x v="0"/>
    <x v="1"/>
    <x v="1"/>
    <n v="0.68"/>
    <n v="0.68"/>
    <n v="0.68"/>
    <n v="63.92"/>
    <n v="66.23"/>
    <n v="66.23"/>
    <n v="66.23"/>
    <n v="66.23"/>
    <n v="66.23"/>
    <x v="1"/>
    <x v="0"/>
    <x v="0"/>
    <n v="0"/>
    <x v="0"/>
  </r>
  <r>
    <x v="137"/>
    <x v="121"/>
    <n v="2"/>
    <x v="5"/>
    <s v="2ºC"/>
    <x v="0"/>
    <s v="Mineral"/>
    <x v="10"/>
    <s v="3 - Parceria"/>
    <n v="20.18"/>
    <n v="0"/>
    <n v="0"/>
    <n v="20.18"/>
    <n v="1896.92"/>
    <n v="0"/>
    <n v="0"/>
    <n v="1967.23"/>
    <x v="0"/>
    <x v="4"/>
    <x v="0"/>
    <x v="1"/>
    <x v="1"/>
    <n v="20.18"/>
    <n v="20.18"/>
    <n v="20.18"/>
    <n v="1896.92"/>
    <n v="1967.23"/>
    <n v="1967.23"/>
    <n v="1967.23"/>
    <n v="1967.23"/>
    <n v="1967.23"/>
    <x v="1"/>
    <x v="0"/>
    <x v="0"/>
    <n v="0"/>
    <x v="0"/>
  </r>
  <r>
    <x v="137"/>
    <x v="121"/>
    <n v="3"/>
    <x v="5"/>
    <s v="2ºC"/>
    <x v="0"/>
    <s v="Mineral"/>
    <x v="10"/>
    <s v="3 - Parceria"/>
    <n v="29.41"/>
    <n v="0"/>
    <n v="0"/>
    <n v="29.41"/>
    <n v="2764.54"/>
    <n v="0"/>
    <n v="0"/>
    <n v="2867.44"/>
    <x v="0"/>
    <x v="4"/>
    <x v="0"/>
    <x v="1"/>
    <x v="1"/>
    <n v="29.41"/>
    <n v="29.41"/>
    <n v="29.41"/>
    <n v="2764.54"/>
    <n v="2867.44"/>
    <n v="2867.44"/>
    <n v="2867.44"/>
    <n v="2867.44"/>
    <n v="2867.44"/>
    <x v="1"/>
    <x v="0"/>
    <x v="0"/>
    <n v="0"/>
    <x v="0"/>
  </r>
  <r>
    <x v="137"/>
    <x v="121"/>
    <n v="4"/>
    <x v="5"/>
    <s v="2ºC"/>
    <x v="0"/>
    <s v="Mineral"/>
    <x v="10"/>
    <s v="3 - Parceria"/>
    <n v="36.200000000000003"/>
    <n v="0"/>
    <n v="0"/>
    <n v="36.200000000000003"/>
    <n v="3402.8"/>
    <n v="0"/>
    <n v="0"/>
    <n v="3529.64"/>
    <x v="0"/>
    <x v="4"/>
    <x v="0"/>
    <x v="1"/>
    <x v="1"/>
    <n v="36.200000000000003"/>
    <n v="36.200000000000003"/>
    <n v="36.200000000000003"/>
    <n v="3402.8"/>
    <n v="3529.64"/>
    <n v="3529.64"/>
    <n v="3529.64"/>
    <n v="3529.64"/>
    <n v="3529.64"/>
    <x v="1"/>
    <x v="0"/>
    <x v="0"/>
    <n v="0"/>
    <x v="0"/>
  </r>
  <r>
    <x v="138"/>
    <x v="14"/>
    <n v="1"/>
    <x v="2"/>
    <s v="3ºC"/>
    <x v="0"/>
    <s v="Mineral"/>
    <x v="20"/>
    <s v="2 - Arrendamento"/>
    <n v="5"/>
    <n v="5"/>
    <n v="5"/>
    <n v="5"/>
    <n v="450"/>
    <n v="450"/>
    <n v="450"/>
    <n v="310.38"/>
    <x v="0"/>
    <x v="37"/>
    <x v="0"/>
    <x v="0"/>
    <x v="0"/>
    <n v="5"/>
    <n v="5"/>
    <n v="5"/>
    <n v="450"/>
    <n v="450"/>
    <n v="450"/>
    <n v="310.38"/>
    <n v="310.38"/>
    <n v="310.38"/>
    <x v="1"/>
    <x v="0"/>
    <x v="0"/>
    <n v="0"/>
    <x v="0"/>
  </r>
  <r>
    <x v="138"/>
    <x v="14"/>
    <n v="5"/>
    <x v="5"/>
    <s v="2ºC"/>
    <x v="0"/>
    <s v="Mineral"/>
    <x v="14"/>
    <s v="2 - Arrendamento"/>
    <n v="0"/>
    <n v="0"/>
    <n v="0"/>
    <n v="0"/>
    <n v="0"/>
    <n v="0"/>
    <n v="0"/>
    <m/>
    <x v="0"/>
    <x v="24"/>
    <x v="1"/>
    <x v="0"/>
    <x v="0"/>
    <n v="0"/>
    <n v="0"/>
    <n v="0"/>
    <n v="0"/>
    <n v="0"/>
    <n v="0"/>
    <n v="0"/>
    <n v="0"/>
    <n v="0"/>
    <x v="1"/>
    <x v="0"/>
    <x v="0"/>
    <n v="0"/>
    <x v="0"/>
  </r>
  <r>
    <x v="138"/>
    <x v="14"/>
    <n v="6"/>
    <x v="5"/>
    <s v="2ºC"/>
    <x v="0"/>
    <s v="Mineral"/>
    <x v="14"/>
    <s v="2 - Arrendamento"/>
    <n v="0"/>
    <n v="0"/>
    <n v="0"/>
    <n v="0"/>
    <n v="0"/>
    <n v="0"/>
    <n v="0"/>
    <m/>
    <x v="0"/>
    <x v="24"/>
    <x v="1"/>
    <x v="0"/>
    <x v="0"/>
    <n v="0"/>
    <n v="0"/>
    <n v="0"/>
    <n v="0"/>
    <n v="0"/>
    <n v="0"/>
    <n v="0"/>
    <n v="0"/>
    <n v="0"/>
    <x v="1"/>
    <x v="0"/>
    <x v="0"/>
    <n v="0"/>
    <x v="0"/>
  </r>
  <r>
    <x v="138"/>
    <x v="14"/>
    <n v="7"/>
    <x v="5"/>
    <s v="2ºC"/>
    <x v="0"/>
    <s v="Mineral"/>
    <x v="26"/>
    <s v="2 - Arrendamento"/>
    <n v="2.2799999999999998"/>
    <n v="0"/>
    <n v="0"/>
    <n v="2.2799999999999998"/>
    <n v="205.2"/>
    <n v="0"/>
    <n v="0"/>
    <n v="217.37"/>
    <x v="0"/>
    <x v="22"/>
    <x v="0"/>
    <x v="1"/>
    <x v="1"/>
    <n v="2.2799999999999998"/>
    <n v="2.2799999999999998"/>
    <n v="2.2799999999999998"/>
    <n v="205.2"/>
    <n v="217.37"/>
    <n v="217.37"/>
    <n v="217.37"/>
    <n v="217.37"/>
    <n v="217.37"/>
    <x v="1"/>
    <x v="0"/>
    <x v="0"/>
    <n v="0"/>
    <x v="0"/>
  </r>
  <r>
    <x v="138"/>
    <x v="14"/>
    <n v="8"/>
    <x v="5"/>
    <s v="2ºC"/>
    <x v="0"/>
    <s v="Mineral"/>
    <x v="9"/>
    <s v="2 - Arrendamento"/>
    <n v="11.04"/>
    <n v="0"/>
    <n v="0"/>
    <n v="11.04"/>
    <n v="993.6"/>
    <n v="0"/>
    <n v="0"/>
    <n v="1054.1600000000001"/>
    <x v="0"/>
    <x v="22"/>
    <x v="0"/>
    <x v="1"/>
    <x v="1"/>
    <n v="11.04"/>
    <n v="11.04"/>
    <n v="11.04"/>
    <n v="993.6"/>
    <n v="1054.1600000000001"/>
    <n v="1054.1600000000001"/>
    <n v="1054.1600000000001"/>
    <n v="1054.1600000000001"/>
    <n v="1054.1600000000001"/>
    <x v="1"/>
    <x v="0"/>
    <x v="0"/>
    <n v="0"/>
    <x v="0"/>
  </r>
  <r>
    <x v="138"/>
    <x v="14"/>
    <n v="9"/>
    <x v="5"/>
    <s v="2ºC"/>
    <x v="0"/>
    <s v="Mineral"/>
    <x v="9"/>
    <s v="2 - Arrendamento"/>
    <n v="8.0299999999999994"/>
    <n v="0"/>
    <n v="0"/>
    <n v="8.0299999999999994"/>
    <n v="722.7"/>
    <n v="0"/>
    <n v="0"/>
    <n v="766.74"/>
    <x v="0"/>
    <x v="22"/>
    <x v="0"/>
    <x v="1"/>
    <x v="1"/>
    <n v="8.0299999999999994"/>
    <n v="8.0299999999999994"/>
    <n v="8.0299999999999994"/>
    <n v="722.7"/>
    <n v="766.74"/>
    <n v="766.74"/>
    <n v="766.74"/>
    <n v="766.74"/>
    <n v="766.74"/>
    <x v="1"/>
    <x v="0"/>
    <x v="0"/>
    <n v="0"/>
    <x v="0"/>
  </r>
  <r>
    <x v="138"/>
    <x v="14"/>
    <n v="10"/>
    <x v="5"/>
    <s v="2ºC"/>
    <x v="0"/>
    <s v="Mineral"/>
    <x v="6"/>
    <s v="2 - Arrendamento"/>
    <n v="15.49"/>
    <n v="0"/>
    <n v="0"/>
    <n v="15.49"/>
    <n v="1394.1"/>
    <n v="0"/>
    <n v="0"/>
    <n v="1478.39"/>
    <x v="0"/>
    <x v="22"/>
    <x v="0"/>
    <x v="1"/>
    <x v="1"/>
    <n v="15.49"/>
    <n v="15.49"/>
    <n v="15.49"/>
    <n v="1394.1"/>
    <n v="1478.39"/>
    <n v="1478.39"/>
    <n v="1478.39"/>
    <n v="1478.39"/>
    <n v="1478.39"/>
    <x v="1"/>
    <x v="0"/>
    <x v="0"/>
    <n v="0"/>
    <x v="0"/>
  </r>
  <r>
    <x v="138"/>
    <x v="14"/>
    <n v="12"/>
    <x v="5"/>
    <s v="2ºC"/>
    <x v="0"/>
    <s v="Mineral"/>
    <x v="6"/>
    <s v="2 - Arrendamento"/>
    <n v="2.41"/>
    <n v="0"/>
    <n v="0"/>
    <n v="2.41"/>
    <n v="216.9"/>
    <n v="0"/>
    <n v="0"/>
    <n v="230.38"/>
    <x v="0"/>
    <x v="22"/>
    <x v="0"/>
    <x v="1"/>
    <x v="1"/>
    <n v="2.41"/>
    <n v="2.41"/>
    <n v="2.41"/>
    <n v="216.9"/>
    <n v="230.38"/>
    <n v="230.38"/>
    <n v="230.38"/>
    <n v="230.38"/>
    <n v="230.38"/>
    <x v="1"/>
    <x v="0"/>
    <x v="0"/>
    <n v="0"/>
    <x v="0"/>
  </r>
  <r>
    <x v="138"/>
    <x v="14"/>
    <n v="15"/>
    <x v="5"/>
    <s v="2ºC"/>
    <x v="0"/>
    <s v="Mineral"/>
    <x v="14"/>
    <s v="2 - Arrendamento"/>
    <n v="9.39"/>
    <n v="9.39"/>
    <n v="0"/>
    <n v="9.39"/>
    <n v="845.1"/>
    <n v="845.1"/>
    <n v="0"/>
    <n v="1550.63"/>
    <x v="0"/>
    <x v="7"/>
    <x v="0"/>
    <x v="0"/>
    <x v="1"/>
    <n v="9.39"/>
    <n v="9.39"/>
    <n v="9.39"/>
    <n v="845.1"/>
    <n v="845.1"/>
    <n v="1550.63"/>
    <n v="1550.63"/>
    <n v="1550.63"/>
    <n v="1550.63"/>
    <x v="1"/>
    <x v="0"/>
    <x v="0"/>
    <n v="0"/>
    <x v="0"/>
  </r>
  <r>
    <x v="138"/>
    <x v="14"/>
    <n v="16"/>
    <x v="5"/>
    <s v="2ºC"/>
    <x v="0"/>
    <s v="Mineral"/>
    <x v="14"/>
    <s v="2 - Arrendamento"/>
    <n v="4.16"/>
    <n v="4.16"/>
    <n v="0"/>
    <n v="4.16"/>
    <n v="374.4"/>
    <n v="374.4"/>
    <n v="0"/>
    <n v="686.3"/>
    <x v="0"/>
    <x v="7"/>
    <x v="0"/>
    <x v="0"/>
    <x v="1"/>
    <n v="4.16"/>
    <n v="4.16"/>
    <n v="4.16"/>
    <n v="374.4"/>
    <n v="374.4"/>
    <n v="686.3"/>
    <n v="686.3"/>
    <n v="686.3"/>
    <n v="686.3"/>
    <x v="1"/>
    <x v="0"/>
    <x v="0"/>
    <n v="0"/>
    <x v="0"/>
  </r>
  <r>
    <x v="138"/>
    <x v="14"/>
    <n v="17"/>
    <x v="5"/>
    <s v="2ºC"/>
    <x v="0"/>
    <s v="Mineral"/>
    <x v="14"/>
    <s v="2 - Arrendamento"/>
    <n v="0.73"/>
    <n v="0.73"/>
    <n v="0"/>
    <n v="0.73"/>
    <n v="65.7"/>
    <n v="65.7"/>
    <n v="0"/>
    <n v="121.19"/>
    <x v="0"/>
    <x v="7"/>
    <x v="0"/>
    <x v="0"/>
    <x v="1"/>
    <n v="0.73"/>
    <n v="0.73"/>
    <n v="0.73"/>
    <n v="65.7"/>
    <n v="65.7"/>
    <n v="121.19"/>
    <n v="121.19"/>
    <n v="121.19"/>
    <n v="121.19"/>
    <x v="1"/>
    <x v="0"/>
    <x v="0"/>
    <n v="0"/>
    <x v="0"/>
  </r>
  <r>
    <x v="139"/>
    <x v="122"/>
    <n v="1"/>
    <x v="3"/>
    <s v="ANM"/>
    <x v="0"/>
    <s v="Mineral"/>
    <x v="33"/>
    <s v="3 - Parceria"/>
    <n v="29.92"/>
    <n v="0"/>
    <n v="0"/>
    <n v="29.92"/>
    <n v="3141.6"/>
    <n v="0"/>
    <n v="0"/>
    <n v="3221.18"/>
    <x v="0"/>
    <x v="27"/>
    <x v="0"/>
    <x v="1"/>
    <x v="1"/>
    <n v="29.92"/>
    <n v="29.92"/>
    <n v="29.92"/>
    <n v="3141.6"/>
    <n v="3221.18"/>
    <n v="3221.18"/>
    <n v="3221.18"/>
    <n v="3221.18"/>
    <n v="3221.18"/>
    <x v="1"/>
    <x v="0"/>
    <x v="0"/>
    <n v="0"/>
    <x v="0"/>
  </r>
  <r>
    <x v="139"/>
    <x v="122"/>
    <n v="2"/>
    <x v="3"/>
    <s v="ANM"/>
    <x v="0"/>
    <s v="Mineral"/>
    <x v="33"/>
    <s v="3 - Parceria"/>
    <n v="35.799999999999997"/>
    <n v="0"/>
    <n v="0"/>
    <n v="35.799999999999997"/>
    <n v="3830.6"/>
    <n v="0"/>
    <n v="0"/>
    <n v="3927.78"/>
    <x v="0"/>
    <x v="27"/>
    <x v="0"/>
    <x v="1"/>
    <x v="1"/>
    <n v="35.799999999999997"/>
    <n v="35.799999999999997"/>
    <n v="35.799999999999997"/>
    <n v="3830.6"/>
    <n v="3927.78"/>
    <n v="3927.78"/>
    <n v="3927.78"/>
    <n v="3927.78"/>
    <n v="3927.78"/>
    <x v="1"/>
    <x v="0"/>
    <x v="0"/>
    <n v="0"/>
    <x v="0"/>
  </r>
  <r>
    <x v="139"/>
    <x v="122"/>
    <n v="3"/>
    <x v="3"/>
    <s v="ANM"/>
    <x v="0"/>
    <s v="Mineral"/>
    <x v="33"/>
    <s v="3 - Parceria"/>
    <n v="25.36"/>
    <n v="0"/>
    <n v="0"/>
    <n v="25.36"/>
    <n v="2688.16"/>
    <n v="0"/>
    <n v="0"/>
    <n v="2792.18"/>
    <x v="0"/>
    <x v="27"/>
    <x v="0"/>
    <x v="1"/>
    <x v="1"/>
    <n v="25.36"/>
    <n v="25.36"/>
    <n v="25.36"/>
    <n v="2688.16"/>
    <n v="2792.18"/>
    <n v="2792.18"/>
    <n v="2792.18"/>
    <n v="2792.18"/>
    <n v="2792.18"/>
    <x v="1"/>
    <x v="0"/>
    <x v="0"/>
    <n v="0"/>
    <x v="0"/>
  </r>
  <r>
    <x v="139"/>
    <x v="122"/>
    <n v="4"/>
    <x v="3"/>
    <s v="INV"/>
    <x v="0"/>
    <s v="Mineral"/>
    <x v="1"/>
    <s v="3 - Parceria"/>
    <n v="23.61"/>
    <n v="0"/>
    <n v="0"/>
    <n v="23.61"/>
    <n v="2549.88"/>
    <n v="0"/>
    <n v="0"/>
    <n v="2648.83"/>
    <x v="0"/>
    <x v="27"/>
    <x v="0"/>
    <x v="1"/>
    <x v="1"/>
    <n v="23.61"/>
    <n v="23.61"/>
    <n v="23.61"/>
    <n v="2549.88"/>
    <n v="2648.83"/>
    <n v="2648.83"/>
    <n v="2648.83"/>
    <n v="2648.83"/>
    <n v="2648.83"/>
    <x v="1"/>
    <x v="0"/>
    <x v="0"/>
    <n v="0"/>
    <x v="0"/>
  </r>
  <r>
    <x v="139"/>
    <x v="122"/>
    <n v="5"/>
    <x v="3"/>
    <s v="INV"/>
    <x v="0"/>
    <s v="Mineral"/>
    <x v="1"/>
    <s v="3 - Parceria"/>
    <n v="6.14"/>
    <n v="0"/>
    <n v="0"/>
    <n v="6.14"/>
    <n v="663.12"/>
    <n v="0"/>
    <n v="0"/>
    <n v="688.9"/>
    <x v="0"/>
    <x v="27"/>
    <x v="0"/>
    <x v="1"/>
    <x v="1"/>
    <n v="6.14"/>
    <n v="6.14"/>
    <n v="6.14"/>
    <n v="663.12"/>
    <n v="688.9"/>
    <n v="688.9"/>
    <n v="688.9"/>
    <n v="688.9"/>
    <n v="688.9"/>
    <x v="1"/>
    <x v="0"/>
    <x v="0"/>
    <n v="0"/>
    <x v="0"/>
  </r>
  <r>
    <x v="139"/>
    <x v="122"/>
    <n v="6"/>
    <x v="3"/>
    <s v="ANM"/>
    <x v="0"/>
    <s v="Mineral"/>
    <x v="8"/>
    <s v="3 - Parceria"/>
    <n v="10.47"/>
    <n v="0"/>
    <n v="0"/>
    <n v="10.47"/>
    <n v="1088.8800000000001"/>
    <n v="0"/>
    <n v="0"/>
    <n v="1128.18"/>
    <x v="0"/>
    <x v="22"/>
    <x v="0"/>
    <x v="1"/>
    <x v="1"/>
    <n v="10.47"/>
    <n v="10.47"/>
    <n v="10.47"/>
    <n v="1088.8800000000001"/>
    <n v="1128.18"/>
    <n v="1128.18"/>
    <n v="1128.18"/>
    <n v="1128.18"/>
    <n v="1128.18"/>
    <x v="1"/>
    <x v="0"/>
    <x v="0"/>
    <n v="0"/>
    <x v="0"/>
  </r>
  <r>
    <x v="139"/>
    <x v="122"/>
    <n v="7"/>
    <x v="3"/>
    <s v="ANM"/>
    <x v="0"/>
    <s v="Mineral"/>
    <x v="8"/>
    <s v="3 - Parceria"/>
    <n v="15.24"/>
    <n v="0"/>
    <n v="0"/>
    <n v="15.24"/>
    <n v="1584.96"/>
    <n v="0"/>
    <n v="0"/>
    <n v="1642.05"/>
    <x v="0"/>
    <x v="22"/>
    <x v="0"/>
    <x v="1"/>
    <x v="1"/>
    <n v="15.24"/>
    <n v="15.24"/>
    <n v="15.24"/>
    <n v="1584.96"/>
    <n v="1642.05"/>
    <n v="1642.05"/>
    <n v="1642.05"/>
    <n v="1642.05"/>
    <n v="1642.05"/>
    <x v="1"/>
    <x v="0"/>
    <x v="0"/>
    <n v="0"/>
    <x v="0"/>
  </r>
  <r>
    <x v="139"/>
    <x v="122"/>
    <n v="8"/>
    <x v="3"/>
    <s v="ANM"/>
    <x v="0"/>
    <s v="Mineral"/>
    <x v="8"/>
    <s v="3 - Parceria"/>
    <n v="1.07"/>
    <n v="0"/>
    <n v="0"/>
    <n v="1.07"/>
    <n v="111.28"/>
    <n v="0"/>
    <n v="0"/>
    <n v="115.08"/>
    <x v="0"/>
    <x v="22"/>
    <x v="0"/>
    <x v="1"/>
    <x v="1"/>
    <n v="1.07"/>
    <n v="1.07"/>
    <n v="1.07"/>
    <n v="111.28"/>
    <n v="115.08"/>
    <n v="115.08"/>
    <n v="115.08"/>
    <n v="115.08"/>
    <n v="115.08"/>
    <x v="1"/>
    <x v="0"/>
    <x v="0"/>
    <n v="0"/>
    <x v="0"/>
  </r>
  <r>
    <x v="140"/>
    <x v="23"/>
    <n v="1"/>
    <x v="3"/>
    <s v="ANM"/>
    <x v="0"/>
    <s v="Fertirrigação"/>
    <x v="5"/>
    <s v="3 - Parceria"/>
    <n v="16.420000000000002"/>
    <n v="0"/>
    <n v="0"/>
    <n v="16.420000000000002"/>
    <n v="1773.36"/>
    <n v="0"/>
    <n v="0"/>
    <n v="2147.73"/>
    <x v="0"/>
    <x v="30"/>
    <x v="0"/>
    <x v="1"/>
    <x v="1"/>
    <n v="16.420000000000002"/>
    <n v="16.420000000000002"/>
    <n v="16.420000000000002"/>
    <n v="1773.36"/>
    <n v="2147.73"/>
    <n v="2147.73"/>
    <n v="2147.73"/>
    <n v="2147.73"/>
    <n v="2147.73"/>
    <x v="1"/>
    <x v="1"/>
    <x v="0"/>
    <n v="0"/>
    <x v="0"/>
  </r>
  <r>
    <x v="140"/>
    <x v="23"/>
    <n v="2"/>
    <x v="3"/>
    <s v="ANM"/>
    <x v="0"/>
    <s v="Fertirrigação"/>
    <x v="5"/>
    <s v="3 - Parceria"/>
    <n v="11.39"/>
    <n v="0"/>
    <n v="0"/>
    <n v="11.39"/>
    <n v="1139"/>
    <n v="0"/>
    <n v="0"/>
    <n v="1379.83"/>
    <x v="0"/>
    <x v="30"/>
    <x v="0"/>
    <x v="1"/>
    <x v="1"/>
    <n v="11.39"/>
    <n v="11.39"/>
    <n v="11.39"/>
    <n v="1139"/>
    <n v="1379.83"/>
    <n v="1379.83"/>
    <n v="1379.83"/>
    <n v="1379.83"/>
    <n v="1379.83"/>
    <x v="1"/>
    <x v="1"/>
    <x v="0"/>
    <n v="0"/>
    <x v="0"/>
  </r>
  <r>
    <x v="141"/>
    <x v="123"/>
    <n v="1"/>
    <x v="5"/>
    <s v="2ºC"/>
    <x v="0"/>
    <s v="Fertirrigação"/>
    <x v="1"/>
    <s v="3 - Parceria"/>
    <n v="40.630000000000003"/>
    <n v="40.630000000000003"/>
    <n v="0"/>
    <n v="40.630000000000003"/>
    <n v="3575.44"/>
    <n v="3656.7"/>
    <n v="0"/>
    <n v="3173.48"/>
    <x v="0"/>
    <x v="7"/>
    <x v="0"/>
    <x v="0"/>
    <x v="1"/>
    <n v="40.630000000000003"/>
    <n v="40.630000000000003"/>
    <n v="40.630000000000003"/>
    <n v="3575.44"/>
    <n v="3656.7"/>
    <n v="3173.48"/>
    <n v="3173.48"/>
    <n v="3173.48"/>
    <n v="3173.48"/>
    <x v="0"/>
    <x v="1"/>
    <x v="0"/>
    <n v="0"/>
    <x v="0"/>
  </r>
  <r>
    <x v="141"/>
    <x v="123"/>
    <n v="2"/>
    <x v="5"/>
    <s v="2ºC"/>
    <x v="0"/>
    <s v="Fertirrigação"/>
    <x v="1"/>
    <s v="3 - Parceria"/>
    <n v="30.47"/>
    <n v="30.47"/>
    <n v="0"/>
    <n v="30.47"/>
    <n v="2681.36"/>
    <n v="2742.3"/>
    <n v="0"/>
    <n v="2379.6"/>
    <x v="0"/>
    <x v="7"/>
    <x v="0"/>
    <x v="0"/>
    <x v="1"/>
    <n v="30.47"/>
    <n v="30.47"/>
    <n v="30.47"/>
    <n v="2681.36"/>
    <n v="2742.3"/>
    <n v="2379.6"/>
    <n v="2379.6"/>
    <n v="2379.6"/>
    <n v="2379.6"/>
    <x v="0"/>
    <x v="1"/>
    <x v="0"/>
    <n v="0"/>
    <x v="0"/>
  </r>
  <r>
    <x v="141"/>
    <x v="123"/>
    <n v="3"/>
    <x v="5"/>
    <s v="2ºC"/>
    <x v="0"/>
    <s v="Fertirrigação"/>
    <x v="1"/>
    <s v="3 - Parceria"/>
    <n v="44.27"/>
    <n v="44.27"/>
    <n v="0"/>
    <n v="44.27"/>
    <n v="3895.76"/>
    <n v="3984.3"/>
    <n v="0"/>
    <n v="3924.8"/>
    <x v="0"/>
    <x v="39"/>
    <x v="0"/>
    <x v="0"/>
    <x v="1"/>
    <n v="44.27"/>
    <n v="44.27"/>
    <n v="44.27"/>
    <n v="3895.76"/>
    <n v="3984.3"/>
    <n v="3924.8"/>
    <n v="3924.8"/>
    <n v="3924.8"/>
    <n v="3924.8"/>
    <x v="0"/>
    <x v="1"/>
    <x v="0"/>
    <n v="0"/>
    <x v="0"/>
  </r>
  <r>
    <x v="141"/>
    <x v="123"/>
    <n v="4"/>
    <x v="5"/>
    <s v="2ºC"/>
    <x v="0"/>
    <s v="Fertirrigação"/>
    <x v="1"/>
    <s v="3 - Parceria"/>
    <n v="7.66"/>
    <n v="7.66"/>
    <n v="0"/>
    <n v="7.66"/>
    <n v="674.08"/>
    <n v="689.4"/>
    <n v="0"/>
    <n v="664.69"/>
    <x v="0"/>
    <x v="39"/>
    <x v="0"/>
    <x v="0"/>
    <x v="1"/>
    <n v="7.66"/>
    <n v="7.66"/>
    <n v="7.66"/>
    <n v="674.08"/>
    <n v="689.4"/>
    <n v="664.69"/>
    <n v="664.69"/>
    <n v="664.69"/>
    <n v="664.69"/>
    <x v="0"/>
    <x v="1"/>
    <x v="0"/>
    <n v="0"/>
    <x v="0"/>
  </r>
  <r>
    <x v="141"/>
    <x v="123"/>
    <n v="5"/>
    <x v="5"/>
    <s v="2ºC"/>
    <x v="0"/>
    <s v="Mineral"/>
    <x v="8"/>
    <s v="3 - Parceria"/>
    <n v="4.3899999999999997"/>
    <n v="4.3899999999999997"/>
    <n v="0"/>
    <n v="4.3899999999999997"/>
    <n v="329.25"/>
    <n v="355.59"/>
    <n v="0"/>
    <n v="313.98"/>
    <x v="0"/>
    <x v="13"/>
    <x v="0"/>
    <x v="0"/>
    <x v="1"/>
    <n v="4.3899999999999997"/>
    <n v="4.3899999999999997"/>
    <n v="4.3899999999999997"/>
    <n v="329.25"/>
    <n v="355.59"/>
    <n v="313.98"/>
    <n v="313.98"/>
    <n v="313.98"/>
    <n v="313.98"/>
    <x v="0"/>
    <x v="0"/>
    <x v="0"/>
    <n v="0"/>
    <x v="0"/>
  </r>
  <r>
    <x v="141"/>
    <x v="123"/>
    <n v="6"/>
    <x v="5"/>
    <s v="2ºC"/>
    <x v="0"/>
    <s v="Mineral"/>
    <x v="8"/>
    <s v="3 - Parceria"/>
    <n v="43.12"/>
    <n v="43.12"/>
    <n v="0"/>
    <n v="43.12"/>
    <n v="3234"/>
    <n v="3492.72"/>
    <n v="0"/>
    <n v="3081.32"/>
    <x v="0"/>
    <x v="13"/>
    <x v="0"/>
    <x v="0"/>
    <x v="1"/>
    <n v="43.12"/>
    <n v="43.12"/>
    <n v="43.12"/>
    <n v="3234"/>
    <n v="3492.72"/>
    <n v="3081.32"/>
    <n v="3081.32"/>
    <n v="3081.32"/>
    <n v="3081.32"/>
    <x v="0"/>
    <x v="0"/>
    <x v="0"/>
    <n v="0"/>
    <x v="0"/>
  </r>
  <r>
    <x v="141"/>
    <x v="123"/>
    <n v="7"/>
    <x v="5"/>
    <s v="2ºC"/>
    <x v="0"/>
    <s v="Mineral"/>
    <x v="8"/>
    <s v="3 - Parceria"/>
    <n v="45.83"/>
    <n v="45.83"/>
    <n v="45.83"/>
    <n v="45.83"/>
    <n v="3437.25"/>
    <n v="3712.23"/>
    <n v="3712.23"/>
    <n v="3474.06"/>
    <x v="0"/>
    <x v="0"/>
    <x v="0"/>
    <x v="0"/>
    <x v="0"/>
    <n v="45.83"/>
    <n v="45.83"/>
    <n v="45.83"/>
    <n v="3437.25"/>
    <n v="3712.23"/>
    <n v="3712.23"/>
    <n v="3474.06"/>
    <n v="3474.06"/>
    <n v="3474.06"/>
    <x v="0"/>
    <x v="0"/>
    <x v="0"/>
    <n v="0"/>
    <x v="0"/>
  </r>
  <r>
    <x v="141"/>
    <x v="123"/>
    <n v="8"/>
    <x v="5"/>
    <s v="2ºC"/>
    <x v="0"/>
    <s v="Mineral"/>
    <x v="13"/>
    <s v="3 - Parceria"/>
    <n v="26.24"/>
    <n v="26.24"/>
    <n v="26.24"/>
    <n v="26.24"/>
    <n v="1968"/>
    <n v="2125.44"/>
    <n v="2125.44"/>
    <n v="1989.17"/>
    <x v="0"/>
    <x v="0"/>
    <x v="0"/>
    <x v="0"/>
    <x v="0"/>
    <n v="26.24"/>
    <n v="26.24"/>
    <n v="26.24"/>
    <n v="1968"/>
    <n v="2125.44"/>
    <n v="2125.44"/>
    <n v="1989.17"/>
    <n v="1989.17"/>
    <n v="1989.17"/>
    <x v="0"/>
    <x v="0"/>
    <x v="0"/>
    <n v="0"/>
    <x v="0"/>
  </r>
  <r>
    <x v="141"/>
    <x v="123"/>
    <n v="9"/>
    <x v="5"/>
    <s v="2ºC"/>
    <x v="0"/>
    <s v="Mineral"/>
    <x v="13"/>
    <s v="3 - Parceria"/>
    <n v="17.190000000000001"/>
    <n v="17.190000000000001"/>
    <n v="17.190000000000001"/>
    <n v="17.190000000000001"/>
    <n v="1289.25"/>
    <n v="1443.96"/>
    <n v="1443.96"/>
    <n v="1316.48"/>
    <x v="0"/>
    <x v="0"/>
    <x v="0"/>
    <x v="0"/>
    <x v="0"/>
    <n v="17.190000000000001"/>
    <n v="17.190000000000001"/>
    <n v="17.190000000000001"/>
    <n v="1289.25"/>
    <n v="1443.96"/>
    <n v="1443.96"/>
    <n v="1316.48"/>
    <n v="1316.48"/>
    <n v="1316.48"/>
    <x v="0"/>
    <x v="0"/>
    <x v="0"/>
    <n v="0"/>
    <x v="0"/>
  </r>
  <r>
    <x v="141"/>
    <x v="123"/>
    <n v="13"/>
    <x v="5"/>
    <s v="2ºC"/>
    <x v="0"/>
    <s v="Mineral"/>
    <x v="13"/>
    <s v="3 - Parceria"/>
    <n v="8.98"/>
    <n v="8.98"/>
    <n v="8.98"/>
    <n v="8.98"/>
    <n v="673.5"/>
    <n v="754.32"/>
    <n v="754.32"/>
    <n v="679.7"/>
    <x v="0"/>
    <x v="0"/>
    <x v="0"/>
    <x v="0"/>
    <x v="0"/>
    <n v="8.98"/>
    <n v="8.98"/>
    <n v="8.98"/>
    <n v="673.5"/>
    <n v="754.32"/>
    <n v="754.32"/>
    <n v="679.7"/>
    <n v="679.7"/>
    <n v="679.7"/>
    <x v="0"/>
    <x v="0"/>
    <x v="0"/>
    <n v="0"/>
    <x v="0"/>
  </r>
  <r>
    <x v="141"/>
    <x v="123"/>
    <n v="14"/>
    <x v="5"/>
    <s v="2ºC"/>
    <x v="0"/>
    <s v="Mineral"/>
    <x v="13"/>
    <s v="3 - Parceria"/>
    <n v="14.76"/>
    <n v="14.76"/>
    <n v="14.76"/>
    <n v="14.76"/>
    <n v="1107"/>
    <n v="1298.8800000000001"/>
    <n v="1298.8800000000001"/>
    <n v="1142.31"/>
    <x v="0"/>
    <x v="0"/>
    <x v="0"/>
    <x v="0"/>
    <x v="0"/>
    <n v="14.76"/>
    <n v="14.76"/>
    <n v="14.76"/>
    <n v="1107"/>
    <n v="1298.8800000000001"/>
    <n v="1298.8800000000001"/>
    <n v="1142.31"/>
    <n v="1142.31"/>
    <n v="1142.31"/>
    <x v="0"/>
    <x v="0"/>
    <x v="0"/>
    <n v="0"/>
    <x v="0"/>
  </r>
  <r>
    <x v="141"/>
    <x v="123"/>
    <n v="15"/>
    <x v="5"/>
    <s v="2ºC"/>
    <x v="0"/>
    <s v="Mineral"/>
    <x v="13"/>
    <s v="3 - Parceria"/>
    <n v="18.27"/>
    <n v="18.27"/>
    <n v="18.27"/>
    <n v="18.27"/>
    <n v="1370.25"/>
    <n v="1607.76"/>
    <n v="1607.76"/>
    <n v="1663.85"/>
    <x v="0"/>
    <x v="0"/>
    <x v="0"/>
    <x v="0"/>
    <x v="0"/>
    <n v="18.27"/>
    <n v="18.27"/>
    <n v="18.27"/>
    <n v="1370.25"/>
    <n v="1607.76"/>
    <n v="1607.76"/>
    <n v="1663.85"/>
    <n v="1663.85"/>
    <n v="1663.85"/>
    <x v="0"/>
    <x v="0"/>
    <x v="0"/>
    <n v="0"/>
    <x v="0"/>
  </r>
  <r>
    <x v="141"/>
    <x v="123"/>
    <n v="16"/>
    <x v="5"/>
    <s v="2ºC"/>
    <x v="0"/>
    <s v="Mineral"/>
    <x v="13"/>
    <s v="3 - Parceria"/>
    <n v="21.3"/>
    <n v="21.3"/>
    <n v="21.3"/>
    <n v="21.3"/>
    <n v="1597.5"/>
    <n v="1874.4"/>
    <n v="1874.4"/>
    <n v="1907.02"/>
    <x v="0"/>
    <x v="0"/>
    <x v="0"/>
    <x v="0"/>
    <x v="0"/>
    <n v="21.3"/>
    <n v="21.3"/>
    <n v="21.3"/>
    <n v="1597.5"/>
    <n v="1874.4"/>
    <n v="1874.4"/>
    <n v="1907.02"/>
    <n v="1907.02"/>
    <n v="1907.02"/>
    <x v="0"/>
    <x v="0"/>
    <x v="0"/>
    <n v="0"/>
    <x v="0"/>
  </r>
  <r>
    <x v="141"/>
    <x v="123"/>
    <n v="17"/>
    <x v="5"/>
    <s v="2ºC"/>
    <x v="0"/>
    <s v="Mineral"/>
    <x v="13"/>
    <s v="3 - Parceria"/>
    <n v="24.56"/>
    <n v="24.56"/>
    <n v="24.56"/>
    <n v="24.56"/>
    <n v="1842"/>
    <n v="2161.2800000000002"/>
    <n v="2161.2800000000002"/>
    <n v="2155.5500000000002"/>
    <x v="0"/>
    <x v="0"/>
    <x v="0"/>
    <x v="0"/>
    <x v="0"/>
    <n v="24.56"/>
    <n v="24.56"/>
    <n v="24.56"/>
    <n v="1842"/>
    <n v="2161.2800000000002"/>
    <n v="2161.2800000000002"/>
    <n v="2155.5500000000002"/>
    <n v="2155.5500000000002"/>
    <n v="2155.5500000000002"/>
    <x v="0"/>
    <x v="0"/>
    <x v="0"/>
    <n v="0"/>
    <x v="0"/>
  </r>
  <r>
    <x v="141"/>
    <x v="123"/>
    <n v="18"/>
    <x v="5"/>
    <s v="2ºC"/>
    <x v="0"/>
    <s v="Mineral"/>
    <x v="8"/>
    <s v="3 - Parceria"/>
    <n v="43.23"/>
    <n v="43.23"/>
    <n v="43.23"/>
    <n v="43.23"/>
    <n v="3242.25"/>
    <n v="3804.24"/>
    <n v="3804.24"/>
    <n v="3643.14"/>
    <x v="0"/>
    <x v="0"/>
    <x v="0"/>
    <x v="0"/>
    <x v="0"/>
    <n v="43.23"/>
    <n v="43.23"/>
    <n v="43.23"/>
    <n v="3242.25"/>
    <n v="3804.24"/>
    <n v="3804.24"/>
    <n v="3643.14"/>
    <n v="3643.14"/>
    <n v="3643.14"/>
    <x v="0"/>
    <x v="0"/>
    <x v="0"/>
    <n v="0"/>
    <x v="0"/>
  </r>
  <r>
    <x v="141"/>
    <x v="123"/>
    <n v="19"/>
    <x v="5"/>
    <s v="2ºC"/>
    <x v="0"/>
    <s v="Mineral"/>
    <x v="8"/>
    <s v="3 - Parceria"/>
    <n v="10.220000000000001"/>
    <n v="10.220000000000001"/>
    <n v="10.220000000000001"/>
    <n v="10.220000000000001"/>
    <n v="766.5"/>
    <n v="909.58"/>
    <n v="909.58"/>
    <n v="798.56"/>
    <x v="0"/>
    <x v="0"/>
    <x v="0"/>
    <x v="0"/>
    <x v="0"/>
    <n v="10.220000000000001"/>
    <n v="10.220000000000001"/>
    <n v="10.220000000000001"/>
    <n v="766.5"/>
    <n v="909.58"/>
    <n v="909.58"/>
    <n v="798.56"/>
    <n v="798.56"/>
    <n v="798.56"/>
    <x v="0"/>
    <x v="0"/>
    <x v="0"/>
    <n v="0"/>
    <x v="0"/>
  </r>
  <r>
    <x v="141"/>
    <x v="123"/>
    <n v="20"/>
    <x v="5"/>
    <s v="2ºC"/>
    <x v="0"/>
    <s v="Mineral"/>
    <x v="8"/>
    <s v="3 - Parceria"/>
    <n v="19.73"/>
    <n v="19.73"/>
    <n v="0"/>
    <n v="19.73"/>
    <n v="1479.75"/>
    <n v="1755.97"/>
    <n v="0"/>
    <n v="1982.74"/>
    <x v="0"/>
    <x v="8"/>
    <x v="0"/>
    <x v="0"/>
    <x v="1"/>
    <n v="19.73"/>
    <n v="19.73"/>
    <n v="19.73"/>
    <n v="1479.75"/>
    <n v="1755.97"/>
    <n v="1982.74"/>
    <n v="1982.74"/>
    <n v="1982.74"/>
    <n v="1982.74"/>
    <x v="0"/>
    <x v="0"/>
    <x v="0"/>
    <n v="0"/>
    <x v="0"/>
  </r>
  <r>
    <x v="141"/>
    <x v="123"/>
    <n v="21"/>
    <x v="5"/>
    <s v="2ºC"/>
    <x v="0"/>
    <s v="Mineral"/>
    <x v="8"/>
    <s v="3 - Parceria"/>
    <n v="23.38"/>
    <n v="23.38"/>
    <n v="0"/>
    <n v="23.38"/>
    <n v="1753.5"/>
    <n v="2080.8200000000002"/>
    <n v="0"/>
    <n v="2349.86"/>
    <x v="0"/>
    <x v="8"/>
    <x v="0"/>
    <x v="0"/>
    <x v="1"/>
    <n v="23.38"/>
    <n v="23.38"/>
    <n v="23.38"/>
    <n v="1753.5"/>
    <n v="2080.8200000000002"/>
    <n v="2349.86"/>
    <n v="2349.86"/>
    <n v="2349.86"/>
    <n v="2349.86"/>
    <x v="0"/>
    <x v="0"/>
    <x v="0"/>
    <n v="0"/>
    <x v="0"/>
  </r>
  <r>
    <x v="142"/>
    <x v="20"/>
    <n v="1"/>
    <x v="4"/>
    <s v="4ºC"/>
    <x v="0"/>
    <s v="Mineral"/>
    <x v="14"/>
    <s v="4 - Fornecedor"/>
    <n v="7.81"/>
    <n v="0"/>
    <n v="0"/>
    <n v="7.81"/>
    <n v="624.79999999999995"/>
    <n v="0"/>
    <n v="0"/>
    <n v="602.07000000000005"/>
    <x v="1"/>
    <x v="28"/>
    <x v="0"/>
    <x v="1"/>
    <x v="1"/>
    <n v="7.81"/>
    <n v="7.81"/>
    <n v="7.81"/>
    <n v="624.79999999999995"/>
    <n v="602.07000000000005"/>
    <n v="602.07000000000005"/>
    <n v="602.07000000000005"/>
    <n v="602.07000000000005"/>
    <n v="602.07000000000005"/>
    <x v="1"/>
    <x v="0"/>
    <x v="0"/>
    <n v="0"/>
    <x v="0"/>
  </r>
  <r>
    <x v="142"/>
    <x v="20"/>
    <n v="2"/>
    <x v="4"/>
    <s v="4ºC"/>
    <x v="0"/>
    <s v="Mineral"/>
    <x v="14"/>
    <s v="4 - Fornecedor"/>
    <n v="27.08"/>
    <n v="0"/>
    <n v="0"/>
    <n v="27.08"/>
    <n v="2166.4"/>
    <n v="0"/>
    <n v="0"/>
    <n v="2086.71"/>
    <x v="1"/>
    <x v="28"/>
    <x v="0"/>
    <x v="1"/>
    <x v="1"/>
    <n v="27.08"/>
    <n v="27.08"/>
    <n v="27.08"/>
    <n v="2166.4"/>
    <n v="2086.71"/>
    <n v="2086.71"/>
    <n v="2086.71"/>
    <n v="2086.71"/>
    <n v="2086.71"/>
    <x v="1"/>
    <x v="0"/>
    <x v="0"/>
    <n v="0"/>
    <x v="0"/>
  </r>
  <r>
    <x v="142"/>
    <x v="20"/>
    <n v="3"/>
    <x v="6"/>
    <s v="5ºC"/>
    <x v="0"/>
    <s v="Mineral"/>
    <x v="14"/>
    <s v="4 - Fornecedor"/>
    <n v="29.23"/>
    <n v="0"/>
    <n v="0"/>
    <n v="29.23"/>
    <n v="1899.95"/>
    <n v="0"/>
    <n v="0"/>
    <n v="2132.34"/>
    <x v="1"/>
    <x v="5"/>
    <x v="0"/>
    <x v="1"/>
    <x v="1"/>
    <n v="29.23"/>
    <n v="29.23"/>
    <n v="29.23"/>
    <n v="1899.95"/>
    <n v="2132.34"/>
    <n v="2132.34"/>
    <n v="2132.34"/>
    <n v="2132.34"/>
    <n v="2132.34"/>
    <x v="1"/>
    <x v="0"/>
    <x v="0"/>
    <n v="0"/>
    <x v="0"/>
  </r>
  <r>
    <x v="142"/>
    <x v="20"/>
    <n v="4"/>
    <x v="0"/>
    <s v="6ºC"/>
    <x v="0"/>
    <s v="Mineral"/>
    <x v="14"/>
    <s v="4 - Fornecedor"/>
    <n v="14.18"/>
    <n v="0"/>
    <n v="0"/>
    <n v="14.18"/>
    <n v="921.7"/>
    <n v="0"/>
    <n v="0"/>
    <n v="979.63"/>
    <x v="1"/>
    <x v="5"/>
    <x v="0"/>
    <x v="1"/>
    <x v="1"/>
    <n v="14.18"/>
    <n v="14.18"/>
    <n v="14.18"/>
    <n v="921.7"/>
    <n v="979.63"/>
    <n v="979.63"/>
    <n v="979.63"/>
    <n v="979.63"/>
    <n v="979.63"/>
    <x v="1"/>
    <x v="0"/>
    <x v="0"/>
    <n v="0"/>
    <x v="0"/>
  </r>
  <r>
    <x v="142"/>
    <x v="20"/>
    <n v="5"/>
    <x v="6"/>
    <s v="5ºC"/>
    <x v="0"/>
    <s v="Mineral"/>
    <x v="25"/>
    <s v="4 - Fornecedor"/>
    <n v="7.88"/>
    <n v="0"/>
    <n v="0"/>
    <n v="7.88"/>
    <n v="512.20000000000005"/>
    <n v="0"/>
    <n v="0"/>
    <n v="564.46"/>
    <x v="1"/>
    <x v="5"/>
    <x v="0"/>
    <x v="1"/>
    <x v="1"/>
    <n v="7.88"/>
    <n v="7.88"/>
    <n v="7.88"/>
    <n v="512.20000000000005"/>
    <n v="564.46"/>
    <n v="564.46"/>
    <n v="564.46"/>
    <n v="564.46"/>
    <n v="564.46"/>
    <x v="1"/>
    <x v="0"/>
    <x v="0"/>
    <n v="0"/>
    <x v="0"/>
  </r>
  <r>
    <x v="142"/>
    <x v="20"/>
    <n v="6"/>
    <x v="6"/>
    <s v="5ºC"/>
    <x v="0"/>
    <s v="Mineral"/>
    <x v="25"/>
    <s v="4 - Fornecedor"/>
    <n v="14.54"/>
    <n v="0"/>
    <n v="0"/>
    <n v="14.54"/>
    <n v="945.1"/>
    <n v="0"/>
    <n v="0"/>
    <n v="1041.8699999999999"/>
    <x v="1"/>
    <x v="5"/>
    <x v="0"/>
    <x v="1"/>
    <x v="1"/>
    <n v="14.54"/>
    <n v="14.54"/>
    <n v="14.54"/>
    <n v="945.1"/>
    <n v="1041.8699999999999"/>
    <n v="1041.8699999999999"/>
    <n v="1041.8699999999999"/>
    <n v="1041.8699999999999"/>
    <n v="1041.8699999999999"/>
    <x v="1"/>
    <x v="0"/>
    <x v="0"/>
    <n v="0"/>
    <x v="0"/>
  </r>
  <r>
    <x v="142"/>
    <x v="20"/>
    <n v="7"/>
    <x v="6"/>
    <s v="5ºC"/>
    <x v="0"/>
    <s v="Mineral"/>
    <x v="25"/>
    <s v="4 - Fornecedor"/>
    <n v="5.78"/>
    <n v="0"/>
    <n v="0"/>
    <n v="5.78"/>
    <n v="375.7"/>
    <n v="0"/>
    <n v="0"/>
    <n v="414.52"/>
    <x v="1"/>
    <x v="5"/>
    <x v="0"/>
    <x v="1"/>
    <x v="1"/>
    <n v="5.78"/>
    <n v="5.78"/>
    <n v="5.78"/>
    <n v="375.7"/>
    <n v="414.52"/>
    <n v="414.52"/>
    <n v="414.52"/>
    <n v="414.52"/>
    <n v="414.52"/>
    <x v="1"/>
    <x v="0"/>
    <x v="0"/>
    <n v="0"/>
    <x v="0"/>
  </r>
  <r>
    <x v="142"/>
    <x v="20"/>
    <n v="8"/>
    <x v="6"/>
    <s v="5ºC"/>
    <x v="0"/>
    <s v="Mineral"/>
    <x v="25"/>
    <s v="4 - Fornecedor"/>
    <n v="3.41"/>
    <n v="0"/>
    <n v="0"/>
    <n v="3.41"/>
    <n v="238.7"/>
    <n v="0"/>
    <n v="0"/>
    <n v="263.61"/>
    <x v="1"/>
    <x v="5"/>
    <x v="0"/>
    <x v="1"/>
    <x v="1"/>
    <n v="3.41"/>
    <n v="3.41"/>
    <n v="3.41"/>
    <n v="238.7"/>
    <n v="263.61"/>
    <n v="263.61"/>
    <n v="263.61"/>
    <n v="263.61"/>
    <n v="263.61"/>
    <x v="1"/>
    <x v="0"/>
    <x v="0"/>
    <n v="0"/>
    <x v="0"/>
  </r>
  <r>
    <x v="142"/>
    <x v="20"/>
    <n v="11"/>
    <x v="4"/>
    <s v="4ºC"/>
    <x v="0"/>
    <s v="Mineral"/>
    <x v="14"/>
    <s v="4 - Fornecedor"/>
    <n v="24.69"/>
    <n v="0"/>
    <n v="0"/>
    <n v="24.69"/>
    <n v="1728.3"/>
    <n v="0"/>
    <n v="0"/>
    <n v="1836.06"/>
    <x v="1"/>
    <x v="5"/>
    <x v="0"/>
    <x v="1"/>
    <x v="1"/>
    <n v="24.69"/>
    <n v="24.69"/>
    <n v="24.69"/>
    <n v="1728.3"/>
    <n v="1836.06"/>
    <n v="1836.06"/>
    <n v="1836.06"/>
    <n v="1836.06"/>
    <n v="1836.06"/>
    <x v="1"/>
    <x v="0"/>
    <x v="0"/>
    <n v="0"/>
    <x v="0"/>
  </r>
  <r>
    <x v="142"/>
    <x v="20"/>
    <n v="12"/>
    <x v="4"/>
    <s v="4ºC"/>
    <x v="0"/>
    <s v="Mineral"/>
    <x v="14"/>
    <s v="4 - Fornecedor"/>
    <n v="27.63"/>
    <n v="0"/>
    <n v="0"/>
    <n v="27.63"/>
    <n v="1934.1"/>
    <n v="0"/>
    <n v="0"/>
    <n v="2055.1799999999998"/>
    <x v="1"/>
    <x v="5"/>
    <x v="0"/>
    <x v="1"/>
    <x v="1"/>
    <n v="27.63"/>
    <n v="27.63"/>
    <n v="27.63"/>
    <n v="1934.1"/>
    <n v="2055.1799999999998"/>
    <n v="2055.1799999999998"/>
    <n v="2055.1799999999998"/>
    <n v="2055.1799999999998"/>
    <n v="2055.1799999999998"/>
    <x v="1"/>
    <x v="0"/>
    <x v="0"/>
    <n v="0"/>
    <x v="0"/>
  </r>
  <r>
    <x v="142"/>
    <x v="20"/>
    <n v="18"/>
    <x v="5"/>
    <s v="2ºC"/>
    <x v="0"/>
    <s v="Mineral"/>
    <x v="31"/>
    <s v="4 - Fornecedor"/>
    <n v="7.25"/>
    <n v="7.25"/>
    <n v="0"/>
    <n v="7.25"/>
    <n v="652.5"/>
    <n v="659.75"/>
    <n v="0"/>
    <n v="581.66"/>
    <x v="1"/>
    <x v="8"/>
    <x v="0"/>
    <x v="0"/>
    <x v="1"/>
    <n v="7.25"/>
    <n v="7.25"/>
    <n v="7.25"/>
    <n v="652.5"/>
    <n v="659.75"/>
    <n v="581.66"/>
    <n v="581.66"/>
    <n v="581.66"/>
    <n v="581.66"/>
    <x v="1"/>
    <x v="0"/>
    <x v="0"/>
    <n v="0"/>
    <x v="0"/>
  </r>
  <r>
    <x v="142"/>
    <x v="20"/>
    <n v="19"/>
    <x v="5"/>
    <s v="2ºC"/>
    <x v="0"/>
    <s v="Mineral"/>
    <x v="31"/>
    <s v="4 - Fornecedor"/>
    <n v="9.44"/>
    <n v="9.44"/>
    <n v="0"/>
    <n v="9.44"/>
    <n v="887.36"/>
    <n v="887.36"/>
    <n v="0"/>
    <n v="781.75"/>
    <x v="1"/>
    <x v="8"/>
    <x v="0"/>
    <x v="0"/>
    <x v="1"/>
    <n v="9.44"/>
    <n v="9.44"/>
    <n v="9.44"/>
    <n v="887.36"/>
    <n v="887.36"/>
    <n v="781.75"/>
    <n v="781.75"/>
    <n v="781.75"/>
    <n v="781.75"/>
    <x v="1"/>
    <x v="0"/>
    <x v="0"/>
    <n v="0"/>
    <x v="0"/>
  </r>
  <r>
    <x v="142"/>
    <x v="20"/>
    <n v="20"/>
    <x v="3"/>
    <s v="ANM"/>
    <x v="0"/>
    <s v="Mineral"/>
    <x v="31"/>
    <s v="4 - Fornecedor"/>
    <n v="6.46"/>
    <n v="6.46"/>
    <n v="0"/>
    <n v="6.46"/>
    <n v="801.04"/>
    <n v="813.96"/>
    <n v="0"/>
    <n v="924.84"/>
    <x v="1"/>
    <x v="31"/>
    <x v="0"/>
    <x v="0"/>
    <x v="1"/>
    <n v="6.46"/>
    <n v="6.46"/>
    <n v="6.46"/>
    <n v="801.04"/>
    <n v="813.96"/>
    <n v="924.84"/>
    <n v="924.84"/>
    <n v="924.84"/>
    <n v="924.84"/>
    <x v="1"/>
    <x v="0"/>
    <x v="0"/>
    <n v="0"/>
    <x v="0"/>
  </r>
  <r>
    <x v="142"/>
    <x v="20"/>
    <n v="21"/>
    <x v="3"/>
    <s v="ANM"/>
    <x v="0"/>
    <s v="Mineral"/>
    <x v="31"/>
    <s v="4 - Fornecedor"/>
    <n v="5.25"/>
    <n v="5.25"/>
    <n v="0"/>
    <n v="5.25"/>
    <n v="651"/>
    <n v="661.5"/>
    <n v="0"/>
    <n v="752.11"/>
    <x v="1"/>
    <x v="31"/>
    <x v="0"/>
    <x v="0"/>
    <x v="1"/>
    <n v="5.25"/>
    <n v="5.25"/>
    <n v="5.25"/>
    <n v="651"/>
    <n v="661.5"/>
    <n v="752.11"/>
    <n v="752.11"/>
    <n v="752.11"/>
    <n v="752.11"/>
    <x v="1"/>
    <x v="0"/>
    <x v="0"/>
    <n v="0"/>
    <x v="0"/>
  </r>
  <r>
    <x v="142"/>
    <x v="20"/>
    <n v="22"/>
    <x v="3"/>
    <s v="ANM"/>
    <x v="0"/>
    <s v="Mineral"/>
    <x v="31"/>
    <s v="4 - Fornecedor"/>
    <n v="8.83"/>
    <n v="8.83"/>
    <n v="0"/>
    <n v="8.83"/>
    <n v="1094.92"/>
    <n v="1112.58"/>
    <n v="0"/>
    <n v="1264.5899999999999"/>
    <x v="1"/>
    <x v="31"/>
    <x v="0"/>
    <x v="0"/>
    <x v="1"/>
    <n v="8.83"/>
    <n v="8.83"/>
    <n v="8.83"/>
    <n v="1094.92"/>
    <n v="1112.58"/>
    <n v="1264.5899999999999"/>
    <n v="1264.5899999999999"/>
    <n v="1264.5899999999999"/>
    <n v="1264.5899999999999"/>
    <x v="1"/>
    <x v="0"/>
    <x v="0"/>
    <n v="0"/>
    <x v="0"/>
  </r>
  <r>
    <x v="142"/>
    <x v="20"/>
    <n v="23"/>
    <x v="3"/>
    <s v="ANM"/>
    <x v="0"/>
    <s v="Mineral"/>
    <x v="31"/>
    <s v="4 - Fornecedor"/>
    <n v="6.8"/>
    <n v="6.8"/>
    <n v="0"/>
    <n v="6.8"/>
    <n v="843.2"/>
    <n v="856.8"/>
    <n v="0"/>
    <n v="973.7"/>
    <x v="1"/>
    <x v="31"/>
    <x v="0"/>
    <x v="0"/>
    <x v="1"/>
    <n v="6.8"/>
    <n v="6.8"/>
    <n v="6.8"/>
    <n v="843.2"/>
    <n v="856.8"/>
    <n v="973.7"/>
    <n v="973.7"/>
    <n v="973.7"/>
    <n v="973.7"/>
    <x v="1"/>
    <x v="0"/>
    <x v="0"/>
    <n v="0"/>
    <x v="0"/>
  </r>
  <r>
    <x v="142"/>
    <x v="20"/>
    <n v="24"/>
    <x v="3"/>
    <s v="ANM"/>
    <x v="0"/>
    <s v="Mineral"/>
    <x v="31"/>
    <s v="4 - Fornecedor"/>
    <n v="13.28"/>
    <n v="13.28"/>
    <n v="0"/>
    <n v="13.28"/>
    <n v="1606.88"/>
    <n v="1620.16"/>
    <n v="0"/>
    <n v="1840.7"/>
    <x v="1"/>
    <x v="31"/>
    <x v="0"/>
    <x v="0"/>
    <x v="1"/>
    <n v="13.28"/>
    <n v="13.28"/>
    <n v="13.28"/>
    <n v="1606.88"/>
    <n v="1620.16"/>
    <n v="1840.7"/>
    <n v="1840.7"/>
    <n v="1840.7"/>
    <n v="1840.7"/>
    <x v="1"/>
    <x v="0"/>
    <x v="0"/>
    <n v="0"/>
    <x v="0"/>
  </r>
  <r>
    <x v="142"/>
    <x v="20"/>
    <n v="25"/>
    <x v="3"/>
    <s v="ANM"/>
    <x v="0"/>
    <s v="Mineral"/>
    <x v="31"/>
    <s v="4 - Fornecedor"/>
    <n v="14.22"/>
    <n v="14.22"/>
    <n v="0"/>
    <n v="14.22"/>
    <n v="1720.62"/>
    <n v="1734.84"/>
    <n v="0"/>
    <n v="1972.06"/>
    <x v="1"/>
    <x v="31"/>
    <x v="0"/>
    <x v="0"/>
    <x v="1"/>
    <n v="14.22"/>
    <n v="14.22"/>
    <n v="14.22"/>
    <n v="1720.62"/>
    <n v="1734.84"/>
    <n v="1972.06"/>
    <n v="1972.06"/>
    <n v="1972.06"/>
    <n v="1972.06"/>
    <x v="1"/>
    <x v="0"/>
    <x v="0"/>
    <n v="0"/>
    <x v="0"/>
  </r>
  <r>
    <x v="142"/>
    <x v="20"/>
    <n v="26"/>
    <x v="2"/>
    <s v="3ºC"/>
    <x v="0"/>
    <s v="Mineral"/>
    <x v="14"/>
    <s v="4 - Fornecedor"/>
    <n v="12.1"/>
    <n v="0"/>
    <n v="0"/>
    <n v="12.1"/>
    <n v="1064.8"/>
    <n v="0"/>
    <n v="0"/>
    <n v="911.22"/>
    <x v="1"/>
    <x v="4"/>
    <x v="0"/>
    <x v="1"/>
    <x v="1"/>
    <n v="12.1"/>
    <n v="12.1"/>
    <n v="12.1"/>
    <n v="1064.8"/>
    <n v="911.22"/>
    <n v="911.22"/>
    <n v="911.22"/>
    <n v="911.22"/>
    <n v="911.22"/>
    <x v="1"/>
    <x v="0"/>
    <x v="0"/>
    <n v="0"/>
    <x v="0"/>
  </r>
  <r>
    <x v="142"/>
    <x v="20"/>
    <n v="27"/>
    <x v="2"/>
    <s v="3ºC"/>
    <x v="0"/>
    <s v="Mineral"/>
    <x v="14"/>
    <s v="4 - Fornecedor"/>
    <n v="10.32"/>
    <n v="0"/>
    <n v="0"/>
    <n v="10.32"/>
    <n v="908.16"/>
    <n v="0"/>
    <n v="0"/>
    <n v="776.94"/>
    <x v="1"/>
    <x v="4"/>
    <x v="0"/>
    <x v="1"/>
    <x v="1"/>
    <n v="10.32"/>
    <n v="10.32"/>
    <n v="10.32"/>
    <n v="908.16"/>
    <n v="776.94"/>
    <n v="776.94"/>
    <n v="776.94"/>
    <n v="776.94"/>
    <n v="776.94"/>
    <x v="1"/>
    <x v="0"/>
    <x v="0"/>
    <n v="0"/>
    <x v="0"/>
  </r>
  <r>
    <x v="142"/>
    <x v="20"/>
    <n v="28"/>
    <x v="4"/>
    <s v="4ºC"/>
    <x v="0"/>
    <s v="Mineral"/>
    <x v="30"/>
    <s v="4 - Fornecedor"/>
    <n v="10.99"/>
    <n v="10.99"/>
    <n v="0"/>
    <n v="10.99"/>
    <n v="879.2"/>
    <n v="879.2"/>
    <n v="0"/>
    <n v="565.23"/>
    <x v="1"/>
    <x v="31"/>
    <x v="0"/>
    <x v="0"/>
    <x v="1"/>
    <n v="10.99"/>
    <n v="10.99"/>
    <n v="10.99"/>
    <n v="879.2"/>
    <n v="879.2"/>
    <n v="565.23"/>
    <n v="565.23"/>
    <n v="565.23"/>
    <n v="565.23"/>
    <x v="1"/>
    <x v="0"/>
    <x v="0"/>
    <n v="0"/>
    <x v="0"/>
  </r>
  <r>
    <x v="142"/>
    <x v="20"/>
    <n v="29"/>
    <x v="4"/>
    <s v="4ºC"/>
    <x v="0"/>
    <s v="Mineral"/>
    <x v="30"/>
    <s v="4 - Fornecedor"/>
    <n v="10.14"/>
    <n v="10.14"/>
    <n v="0"/>
    <n v="10.14"/>
    <n v="811.2"/>
    <n v="811.2"/>
    <n v="0"/>
    <n v="521.54999999999995"/>
    <x v="1"/>
    <x v="31"/>
    <x v="0"/>
    <x v="0"/>
    <x v="1"/>
    <n v="10.14"/>
    <n v="10.14"/>
    <n v="10.14"/>
    <n v="811.2"/>
    <n v="811.2"/>
    <n v="521.54999999999995"/>
    <n v="521.54999999999995"/>
    <n v="521.54999999999995"/>
    <n v="521.54999999999995"/>
    <x v="1"/>
    <x v="0"/>
    <x v="0"/>
    <n v="0"/>
    <x v="0"/>
  </r>
  <r>
    <x v="142"/>
    <x v="20"/>
    <n v="31"/>
    <x v="3"/>
    <s v="ANM"/>
    <x v="0"/>
    <s v="Mineral"/>
    <x v="14"/>
    <s v="4 - Fornecedor"/>
    <n v="13.85"/>
    <n v="0"/>
    <n v="0"/>
    <n v="13.85"/>
    <n v="1523.5"/>
    <n v="0"/>
    <n v="0"/>
    <n v="1235.1099999999999"/>
    <x v="1"/>
    <x v="5"/>
    <x v="0"/>
    <x v="1"/>
    <x v="1"/>
    <n v="13.85"/>
    <n v="13.85"/>
    <n v="13.85"/>
    <n v="1523.5"/>
    <n v="1235.1099999999999"/>
    <n v="1235.1099999999999"/>
    <n v="1235.1099999999999"/>
    <n v="1235.1099999999999"/>
    <n v="1235.1099999999999"/>
    <x v="1"/>
    <x v="0"/>
    <x v="0"/>
    <n v="0"/>
    <x v="0"/>
  </r>
  <r>
    <x v="142"/>
    <x v="20"/>
    <n v="32"/>
    <x v="6"/>
    <s v="5ºC"/>
    <x v="0"/>
    <s v="Mineral"/>
    <x v="14"/>
    <s v="4 - Fornecedor"/>
    <n v="24.45"/>
    <n v="0"/>
    <n v="0"/>
    <n v="24.45"/>
    <n v="1809.3"/>
    <n v="0"/>
    <n v="0"/>
    <n v="2062.0500000000002"/>
    <x v="1"/>
    <x v="4"/>
    <x v="0"/>
    <x v="1"/>
    <x v="1"/>
    <n v="24.45"/>
    <n v="24.45"/>
    <n v="24.45"/>
    <n v="1809.3"/>
    <n v="2062.0500000000002"/>
    <n v="2062.0500000000002"/>
    <n v="2062.0500000000002"/>
    <n v="2062.0500000000002"/>
    <n v="2062.0500000000002"/>
    <x v="1"/>
    <x v="0"/>
    <x v="0"/>
    <n v="0"/>
    <x v="0"/>
  </r>
  <r>
    <x v="142"/>
    <x v="20"/>
    <n v="33"/>
    <x v="3"/>
    <s v="ANM"/>
    <x v="0"/>
    <s v="Mineral"/>
    <x v="14"/>
    <s v="4 - Fornecedor"/>
    <n v="12.93"/>
    <n v="0"/>
    <n v="0"/>
    <n v="12.93"/>
    <n v="1396.44"/>
    <n v="0"/>
    <n v="0"/>
    <n v="1131.3800000000001"/>
    <x v="1"/>
    <x v="5"/>
    <x v="0"/>
    <x v="1"/>
    <x v="1"/>
    <n v="12.93"/>
    <n v="12.93"/>
    <n v="12.93"/>
    <n v="1396.44"/>
    <n v="1131.3800000000001"/>
    <n v="1131.3800000000001"/>
    <n v="1131.3800000000001"/>
    <n v="1131.3800000000001"/>
    <n v="1131.3800000000001"/>
    <x v="1"/>
    <x v="0"/>
    <x v="0"/>
    <n v="0"/>
    <x v="0"/>
  </r>
  <r>
    <x v="142"/>
    <x v="20"/>
    <n v="34"/>
    <x v="3"/>
    <s v="ANM"/>
    <x v="0"/>
    <s v="Mineral"/>
    <x v="14"/>
    <s v="4 - Fornecedor"/>
    <n v="12.48"/>
    <n v="0"/>
    <n v="0"/>
    <n v="12.48"/>
    <n v="1248"/>
    <n v="0"/>
    <n v="0"/>
    <n v="1011.42"/>
    <x v="1"/>
    <x v="5"/>
    <x v="0"/>
    <x v="1"/>
    <x v="1"/>
    <n v="12.48"/>
    <n v="12.48"/>
    <n v="12.48"/>
    <n v="1248"/>
    <n v="1011.42"/>
    <n v="1011.42"/>
    <n v="1011.42"/>
    <n v="1011.42"/>
    <n v="1011.42"/>
    <x v="1"/>
    <x v="0"/>
    <x v="0"/>
    <n v="0"/>
    <x v="0"/>
  </r>
  <r>
    <x v="142"/>
    <x v="20"/>
    <n v="35"/>
    <x v="3"/>
    <s v="ANM"/>
    <x v="0"/>
    <s v="Mineral"/>
    <x v="14"/>
    <s v="4 - Fornecedor"/>
    <n v="14.79"/>
    <n v="0"/>
    <n v="0"/>
    <n v="14.79"/>
    <n v="1626.9"/>
    <n v="0"/>
    <n v="0"/>
    <n v="1318.85"/>
    <x v="1"/>
    <x v="5"/>
    <x v="0"/>
    <x v="1"/>
    <x v="1"/>
    <n v="14.79"/>
    <n v="14.79"/>
    <n v="14.79"/>
    <n v="1626.9"/>
    <n v="1318.85"/>
    <n v="1318.85"/>
    <n v="1318.85"/>
    <n v="1318.85"/>
    <n v="1318.85"/>
    <x v="1"/>
    <x v="0"/>
    <x v="0"/>
    <n v="0"/>
    <x v="0"/>
  </r>
  <r>
    <x v="142"/>
    <x v="20"/>
    <n v="36"/>
    <x v="3"/>
    <s v="INV"/>
    <x v="0"/>
    <s v="Mineral"/>
    <x v="6"/>
    <s v="4 - Fornecedor"/>
    <n v="10.97"/>
    <n v="10.97"/>
    <n v="0"/>
    <n v="10.97"/>
    <n v="1327.37"/>
    <n v="1360.28"/>
    <n v="0"/>
    <n v="1058.3"/>
    <x v="1"/>
    <x v="31"/>
    <x v="0"/>
    <x v="0"/>
    <x v="1"/>
    <n v="10.97"/>
    <n v="10.97"/>
    <n v="10.97"/>
    <n v="1327.37"/>
    <n v="1360.28"/>
    <n v="1058.3"/>
    <n v="1058.3"/>
    <n v="1058.3"/>
    <n v="1058.3"/>
    <x v="1"/>
    <x v="0"/>
    <x v="0"/>
    <n v="0"/>
    <x v="0"/>
  </r>
  <r>
    <x v="142"/>
    <x v="20"/>
    <n v="37"/>
    <x v="3"/>
    <s v="INV"/>
    <x v="0"/>
    <s v="Mineral"/>
    <x v="6"/>
    <s v="4 - Fornecedor"/>
    <n v="2.04"/>
    <n v="2.04"/>
    <n v="0"/>
    <n v="2.04"/>
    <n v="252.96"/>
    <n v="255"/>
    <n v="0"/>
    <n v="198.38"/>
    <x v="1"/>
    <x v="31"/>
    <x v="0"/>
    <x v="0"/>
    <x v="1"/>
    <n v="2.04"/>
    <n v="2.04"/>
    <n v="2.04"/>
    <n v="252.96"/>
    <n v="255"/>
    <n v="198.38"/>
    <n v="198.38"/>
    <n v="198.38"/>
    <n v="198.38"/>
    <x v="1"/>
    <x v="0"/>
    <x v="0"/>
    <n v="0"/>
    <x v="0"/>
  </r>
  <r>
    <x v="142"/>
    <x v="20"/>
    <n v="38"/>
    <x v="3"/>
    <s v="INV"/>
    <x v="0"/>
    <s v="Mineral"/>
    <x v="6"/>
    <s v="4 - Fornecedor"/>
    <n v="6.61"/>
    <n v="6.61"/>
    <n v="0"/>
    <n v="6.61"/>
    <n v="819.64"/>
    <n v="826.25"/>
    <n v="0"/>
    <n v="642.74"/>
    <x v="1"/>
    <x v="31"/>
    <x v="0"/>
    <x v="0"/>
    <x v="1"/>
    <n v="6.61"/>
    <n v="6.61"/>
    <n v="6.61"/>
    <n v="819.64"/>
    <n v="826.25"/>
    <n v="642.74"/>
    <n v="642.74"/>
    <n v="642.74"/>
    <n v="642.74"/>
    <x v="1"/>
    <x v="0"/>
    <x v="0"/>
    <n v="0"/>
    <x v="0"/>
  </r>
  <r>
    <x v="142"/>
    <x v="20"/>
    <n v="39"/>
    <x v="3"/>
    <s v="INV"/>
    <x v="0"/>
    <s v="Mineral"/>
    <x v="6"/>
    <s v="4 - Fornecedor"/>
    <n v="16.04"/>
    <n v="16.04"/>
    <n v="0"/>
    <n v="16.04"/>
    <n v="1940.84"/>
    <n v="1988.96"/>
    <n v="0"/>
    <n v="1547.78"/>
    <x v="1"/>
    <x v="31"/>
    <x v="0"/>
    <x v="0"/>
    <x v="1"/>
    <n v="16.04"/>
    <n v="16.04"/>
    <n v="16.04"/>
    <n v="1940.84"/>
    <n v="1988.96"/>
    <n v="1547.78"/>
    <n v="1547.78"/>
    <n v="1547.78"/>
    <n v="1547.78"/>
    <x v="1"/>
    <x v="0"/>
    <x v="0"/>
    <n v="0"/>
    <x v="0"/>
  </r>
  <r>
    <x v="142"/>
    <x v="20"/>
    <n v="40"/>
    <x v="3"/>
    <s v="INV"/>
    <x v="0"/>
    <s v="A Definir"/>
    <x v="6"/>
    <s v="4 - Fornecedor"/>
    <n v="2.5499999999999998"/>
    <n v="2.5499999999999998"/>
    <n v="0"/>
    <n v="2.5499999999999998"/>
    <n v="308.55"/>
    <n v="316.2"/>
    <n v="0"/>
    <n v="246.13"/>
    <x v="1"/>
    <x v="31"/>
    <x v="0"/>
    <x v="0"/>
    <x v="1"/>
    <n v="2.5499999999999998"/>
    <n v="2.5499999999999998"/>
    <n v="2.5499999999999998"/>
    <n v="308.55"/>
    <n v="316.2"/>
    <n v="246.13"/>
    <n v="246.13"/>
    <n v="246.13"/>
    <n v="246.13"/>
    <x v="1"/>
    <x v="3"/>
    <x v="0"/>
    <n v="0"/>
    <x v="0"/>
  </r>
  <r>
    <x v="142"/>
    <x v="20"/>
    <n v="42"/>
    <x v="6"/>
    <s v="5ºC"/>
    <x v="0"/>
    <s v="Mineral"/>
    <x v="14"/>
    <s v="4 - Fornecedor"/>
    <n v="12.92"/>
    <n v="0"/>
    <n v="0"/>
    <n v="12.92"/>
    <n v="981.92"/>
    <n v="0"/>
    <n v="0"/>
    <n v="1119.44"/>
    <x v="1"/>
    <x v="4"/>
    <x v="0"/>
    <x v="1"/>
    <x v="1"/>
    <n v="12.92"/>
    <n v="12.92"/>
    <n v="12.92"/>
    <n v="981.92"/>
    <n v="1119.44"/>
    <n v="1119.44"/>
    <n v="1119.44"/>
    <n v="1119.44"/>
    <n v="1119.44"/>
    <x v="1"/>
    <x v="0"/>
    <x v="0"/>
    <n v="0"/>
    <x v="0"/>
  </r>
  <r>
    <x v="142"/>
    <x v="20"/>
    <n v="49"/>
    <x v="5"/>
    <s v="2ºC"/>
    <x v="0"/>
    <s v="Mineral"/>
    <x v="8"/>
    <s v="4 - Fornecedor"/>
    <n v="17.829999999999998"/>
    <n v="0"/>
    <n v="0"/>
    <n v="17.829999999999998"/>
    <n v="1533.38"/>
    <n v="0"/>
    <n v="0"/>
    <n v="1862.01"/>
    <x v="1"/>
    <x v="24"/>
    <x v="0"/>
    <x v="1"/>
    <x v="1"/>
    <n v="17.829999999999998"/>
    <n v="17.829999999999998"/>
    <n v="17.829999999999998"/>
    <n v="1533.38"/>
    <n v="1862.01"/>
    <n v="1862.01"/>
    <n v="1862.01"/>
    <n v="1862.01"/>
    <n v="1862.01"/>
    <x v="1"/>
    <x v="0"/>
    <x v="0"/>
    <n v="0"/>
    <x v="0"/>
  </r>
  <r>
    <x v="142"/>
    <x v="20"/>
    <n v="91"/>
    <x v="7"/>
    <s v="7ºC"/>
    <x v="0"/>
    <s v="Mineral"/>
    <x v="18"/>
    <s v="4 - Fornecedor"/>
    <n v="14.36"/>
    <n v="14.36"/>
    <n v="0"/>
    <n v="14.36"/>
    <n v="947.76"/>
    <n v="947.76"/>
    <n v="0"/>
    <n v="594.48"/>
    <x v="1"/>
    <x v="37"/>
    <x v="0"/>
    <x v="0"/>
    <x v="1"/>
    <n v="14.36"/>
    <n v="14.36"/>
    <n v="14.36"/>
    <n v="947.76"/>
    <n v="947.76"/>
    <n v="594.48"/>
    <n v="594.48"/>
    <n v="594.48"/>
    <n v="594.48"/>
    <x v="1"/>
    <x v="0"/>
    <x v="0"/>
    <n v="0"/>
    <x v="0"/>
  </r>
  <r>
    <x v="142"/>
    <x v="20"/>
    <n v="92"/>
    <x v="7"/>
    <s v="7ºC"/>
    <x v="0"/>
    <s v="Mineral"/>
    <x v="18"/>
    <s v="4 - Fornecedor"/>
    <n v="3.3"/>
    <n v="3.3"/>
    <n v="0"/>
    <n v="3.3"/>
    <n v="217.8"/>
    <n v="217.8"/>
    <n v="0"/>
    <n v="136.63999999999999"/>
    <x v="1"/>
    <x v="37"/>
    <x v="0"/>
    <x v="0"/>
    <x v="1"/>
    <n v="3.3"/>
    <n v="3.3"/>
    <n v="3.3"/>
    <n v="217.8"/>
    <n v="217.8"/>
    <n v="136.63999999999999"/>
    <n v="136.63999999999999"/>
    <n v="136.63999999999999"/>
    <n v="136.63999999999999"/>
    <x v="1"/>
    <x v="0"/>
    <x v="0"/>
    <n v="0"/>
    <x v="0"/>
  </r>
  <r>
    <x v="142"/>
    <x v="20"/>
    <n v="93"/>
    <x v="7"/>
    <s v="7ºC"/>
    <x v="0"/>
    <s v="Mineral"/>
    <x v="18"/>
    <s v="4 - Fornecedor"/>
    <n v="7.88"/>
    <n v="7.88"/>
    <n v="0"/>
    <n v="7.88"/>
    <n v="520.08000000000004"/>
    <n v="520.08000000000004"/>
    <n v="0"/>
    <n v="326.05"/>
    <x v="1"/>
    <x v="37"/>
    <x v="0"/>
    <x v="0"/>
    <x v="1"/>
    <n v="7.88"/>
    <n v="7.88"/>
    <n v="7.88"/>
    <n v="520.08000000000004"/>
    <n v="520.08000000000004"/>
    <n v="326.05"/>
    <n v="326.05"/>
    <n v="326.05"/>
    <n v="326.05"/>
    <x v="1"/>
    <x v="0"/>
    <x v="0"/>
    <n v="0"/>
    <x v="0"/>
  </r>
  <r>
    <x v="142"/>
    <x v="20"/>
    <n v="94"/>
    <x v="7"/>
    <s v="7ºC"/>
    <x v="0"/>
    <s v="Mineral"/>
    <x v="18"/>
    <s v="4 - Fornecedor"/>
    <n v="10.220000000000001"/>
    <n v="10.220000000000001"/>
    <n v="0"/>
    <n v="10.220000000000001"/>
    <n v="674.52"/>
    <n v="674.52"/>
    <n v="0"/>
    <n v="423.27"/>
    <x v="1"/>
    <x v="37"/>
    <x v="0"/>
    <x v="0"/>
    <x v="1"/>
    <n v="10.220000000000001"/>
    <n v="10.220000000000001"/>
    <n v="10.220000000000001"/>
    <n v="674.52"/>
    <n v="674.52"/>
    <n v="423.27"/>
    <n v="423.27"/>
    <n v="423.27"/>
    <n v="423.27"/>
    <x v="1"/>
    <x v="0"/>
    <x v="0"/>
    <n v="0"/>
    <x v="0"/>
  </r>
  <r>
    <x v="142"/>
    <x v="20"/>
    <n v="95"/>
    <x v="7"/>
    <s v="7ºC"/>
    <x v="0"/>
    <s v="Mineral"/>
    <x v="18"/>
    <s v="4 - Fornecedor"/>
    <n v="10.34"/>
    <n v="10.34"/>
    <n v="0"/>
    <n v="10.34"/>
    <n v="703.12"/>
    <n v="723.8"/>
    <n v="0"/>
    <n v="454"/>
    <x v="1"/>
    <x v="37"/>
    <x v="0"/>
    <x v="0"/>
    <x v="1"/>
    <n v="10.34"/>
    <n v="10.34"/>
    <n v="10.34"/>
    <n v="703.12"/>
    <n v="723.8"/>
    <n v="454"/>
    <n v="454"/>
    <n v="454"/>
    <n v="454"/>
    <x v="1"/>
    <x v="0"/>
    <x v="0"/>
    <n v="0"/>
    <x v="0"/>
  </r>
  <r>
    <x v="142"/>
    <x v="20"/>
    <n v="96"/>
    <x v="7"/>
    <s v="7ºC"/>
    <x v="0"/>
    <s v="Mineral"/>
    <x v="18"/>
    <s v="4 - Fornecedor"/>
    <n v="18.16"/>
    <n v="18.16"/>
    <n v="0"/>
    <n v="18.16"/>
    <n v="1234.8800000000001"/>
    <n v="1271.2"/>
    <n v="0"/>
    <n v="797.07"/>
    <x v="1"/>
    <x v="37"/>
    <x v="0"/>
    <x v="0"/>
    <x v="1"/>
    <n v="18.16"/>
    <n v="18.16"/>
    <n v="18.16"/>
    <n v="1234.8800000000001"/>
    <n v="1271.2"/>
    <n v="797.07"/>
    <n v="797.07"/>
    <n v="797.07"/>
    <n v="797.07"/>
    <x v="1"/>
    <x v="0"/>
    <x v="0"/>
    <n v="0"/>
    <x v="0"/>
  </r>
  <r>
    <x v="142"/>
    <x v="20"/>
    <n v="97"/>
    <x v="0"/>
    <s v="6ºC"/>
    <x v="0"/>
    <s v="Mineral"/>
    <x v="34"/>
    <s v="4 - Fornecedor"/>
    <n v="21.96"/>
    <n v="0"/>
    <n v="0"/>
    <n v="21.96"/>
    <n v="1229.76"/>
    <n v="0"/>
    <n v="0"/>
    <n v="1435.97"/>
    <x v="1"/>
    <x v="24"/>
    <x v="0"/>
    <x v="1"/>
    <x v="1"/>
    <n v="21.96"/>
    <n v="21.96"/>
    <n v="21.96"/>
    <n v="1229.76"/>
    <n v="1435.97"/>
    <n v="1435.97"/>
    <n v="1435.97"/>
    <n v="1435.97"/>
    <n v="1435.97"/>
    <x v="1"/>
    <x v="0"/>
    <x v="0"/>
    <n v="0"/>
    <x v="0"/>
  </r>
  <r>
    <x v="142"/>
    <x v="20"/>
    <n v="98"/>
    <x v="0"/>
    <s v="6ºC"/>
    <x v="0"/>
    <s v="Mineral"/>
    <x v="34"/>
    <s v="4 - Fornecedor"/>
    <n v="17.079999999999998"/>
    <n v="0"/>
    <n v="0"/>
    <n v="17.079999999999998"/>
    <n v="956.48"/>
    <n v="0"/>
    <n v="0"/>
    <n v="1116.1500000000001"/>
    <x v="1"/>
    <x v="24"/>
    <x v="0"/>
    <x v="1"/>
    <x v="1"/>
    <n v="17.079999999999998"/>
    <n v="17.079999999999998"/>
    <n v="17.079999999999998"/>
    <n v="956.48"/>
    <n v="1116.1500000000001"/>
    <n v="1116.1500000000001"/>
    <n v="1116.1500000000001"/>
    <n v="1116.1500000000001"/>
    <n v="1116.1500000000001"/>
    <x v="1"/>
    <x v="0"/>
    <x v="0"/>
    <n v="0"/>
    <x v="0"/>
  </r>
  <r>
    <x v="142"/>
    <x v="20"/>
    <n v="103"/>
    <x v="6"/>
    <s v="5ºC"/>
    <x v="0"/>
    <s v="Mineral"/>
    <x v="0"/>
    <s v="4 - Fornecedor"/>
    <n v="13.47"/>
    <n v="13.47"/>
    <n v="0"/>
    <n v="13.47"/>
    <n v="835.14"/>
    <n v="848.61"/>
    <n v="0"/>
    <n v="532.39"/>
    <x v="1"/>
    <x v="37"/>
    <x v="0"/>
    <x v="0"/>
    <x v="1"/>
    <n v="13.47"/>
    <n v="13.47"/>
    <n v="13.47"/>
    <n v="835.14"/>
    <n v="848.61"/>
    <n v="532.39"/>
    <n v="532.39"/>
    <n v="532.39"/>
    <n v="532.39"/>
    <x v="1"/>
    <x v="0"/>
    <x v="0"/>
    <n v="0"/>
    <x v="0"/>
  </r>
  <r>
    <x v="142"/>
    <x v="20"/>
    <n v="104"/>
    <x v="6"/>
    <s v="5ºC"/>
    <x v="0"/>
    <s v="Mineral"/>
    <x v="0"/>
    <s v="4 - Fornecedor"/>
    <n v="19"/>
    <n v="19"/>
    <n v="0"/>
    <n v="19"/>
    <n v="1178"/>
    <n v="1197"/>
    <n v="0"/>
    <n v="750.66"/>
    <x v="1"/>
    <x v="37"/>
    <x v="0"/>
    <x v="0"/>
    <x v="1"/>
    <n v="19"/>
    <n v="19"/>
    <n v="19"/>
    <n v="1178"/>
    <n v="1197"/>
    <n v="750.66"/>
    <n v="750.66"/>
    <n v="750.66"/>
    <n v="750.66"/>
    <x v="1"/>
    <x v="0"/>
    <x v="0"/>
    <n v="0"/>
    <x v="0"/>
  </r>
  <r>
    <x v="142"/>
    <x v="20"/>
    <n v="105"/>
    <x v="0"/>
    <s v="6ºC"/>
    <x v="0"/>
    <s v="Mineral"/>
    <x v="0"/>
    <s v="4 - Fornecedor"/>
    <n v="13.33"/>
    <n v="13.33"/>
    <n v="0"/>
    <n v="13.33"/>
    <n v="799.8"/>
    <n v="813.13"/>
    <n v="0"/>
    <n v="509.82"/>
    <x v="1"/>
    <x v="37"/>
    <x v="0"/>
    <x v="0"/>
    <x v="1"/>
    <n v="13.33"/>
    <n v="13.33"/>
    <n v="13.33"/>
    <n v="799.8"/>
    <n v="813.13"/>
    <n v="509.82"/>
    <n v="509.82"/>
    <n v="509.82"/>
    <n v="509.82"/>
    <x v="1"/>
    <x v="0"/>
    <x v="0"/>
    <n v="0"/>
    <x v="0"/>
  </r>
  <r>
    <x v="142"/>
    <x v="20"/>
    <n v="106"/>
    <x v="6"/>
    <s v="5ºC"/>
    <x v="0"/>
    <s v="Mineral"/>
    <x v="6"/>
    <s v="4 - Fornecedor"/>
    <n v="32.090000000000003"/>
    <n v="32.090000000000003"/>
    <n v="0"/>
    <n v="32.090000000000003"/>
    <n v="1925.4"/>
    <n v="1957.49"/>
    <n v="0"/>
    <n v="1178.46"/>
    <x v="1"/>
    <x v="13"/>
    <x v="0"/>
    <x v="0"/>
    <x v="1"/>
    <n v="32.090000000000003"/>
    <n v="32.090000000000003"/>
    <n v="32.090000000000003"/>
    <n v="1925.4"/>
    <n v="1957.49"/>
    <n v="1178.46"/>
    <n v="1178.46"/>
    <n v="1178.46"/>
    <n v="1178.46"/>
    <x v="1"/>
    <x v="0"/>
    <x v="0"/>
    <n v="0"/>
    <x v="0"/>
  </r>
  <r>
    <x v="142"/>
    <x v="20"/>
    <n v="107"/>
    <x v="6"/>
    <s v="5ºC"/>
    <x v="0"/>
    <s v="Mineral"/>
    <x v="6"/>
    <s v="4 - Fornecedor"/>
    <n v="12.04"/>
    <n v="12.04"/>
    <n v="0"/>
    <n v="12.04"/>
    <n v="746.48"/>
    <n v="758.52"/>
    <n v="0"/>
    <n v="457.04"/>
    <x v="1"/>
    <x v="13"/>
    <x v="0"/>
    <x v="0"/>
    <x v="1"/>
    <n v="12.04"/>
    <n v="12.04"/>
    <n v="12.04"/>
    <n v="746.48"/>
    <n v="758.52"/>
    <n v="457.04"/>
    <n v="457.04"/>
    <n v="457.04"/>
    <n v="457.04"/>
    <x v="1"/>
    <x v="0"/>
    <x v="0"/>
    <n v="0"/>
    <x v="0"/>
  </r>
  <r>
    <x v="142"/>
    <x v="20"/>
    <n v="108"/>
    <x v="0"/>
    <s v="6ºC"/>
    <x v="0"/>
    <s v="Mineral"/>
    <x v="0"/>
    <s v="4 - Fornecedor"/>
    <n v="9.06"/>
    <n v="9.06"/>
    <n v="0"/>
    <n v="9.06"/>
    <n v="561.72"/>
    <n v="570.78"/>
    <n v="0"/>
    <n v="358.83"/>
    <x v="1"/>
    <x v="37"/>
    <x v="0"/>
    <x v="0"/>
    <x v="1"/>
    <n v="9.06"/>
    <n v="9.06"/>
    <n v="9.06"/>
    <n v="561.72"/>
    <n v="570.78"/>
    <n v="358.83"/>
    <n v="358.83"/>
    <n v="358.83"/>
    <n v="358.83"/>
    <x v="1"/>
    <x v="0"/>
    <x v="0"/>
    <n v="0"/>
    <x v="0"/>
  </r>
  <r>
    <x v="142"/>
    <x v="20"/>
    <n v="109"/>
    <x v="6"/>
    <s v="5ºC"/>
    <x v="0"/>
    <s v="Mineral"/>
    <x v="6"/>
    <s v="4 - Fornecedor"/>
    <n v="8.1999999999999993"/>
    <n v="8.1999999999999993"/>
    <n v="0"/>
    <n v="8.1999999999999993"/>
    <n v="508.4"/>
    <n v="516.6"/>
    <n v="0"/>
    <n v="311.39"/>
    <x v="1"/>
    <x v="13"/>
    <x v="0"/>
    <x v="0"/>
    <x v="1"/>
    <n v="8.1999999999999993"/>
    <n v="8.1999999999999993"/>
    <n v="8.1999999999999993"/>
    <n v="508.4"/>
    <n v="516.6"/>
    <n v="311.39"/>
    <n v="311.39"/>
    <n v="311.39"/>
    <n v="311.39"/>
    <x v="1"/>
    <x v="0"/>
    <x v="0"/>
    <n v="0"/>
    <x v="0"/>
  </r>
  <r>
    <x v="142"/>
    <x v="20"/>
    <n v="5034"/>
    <x v="3"/>
    <s v="ANM"/>
    <x v="0"/>
    <s v="Mineral"/>
    <x v="14"/>
    <s v="4 - Fornecedor"/>
    <n v="2"/>
    <n v="0"/>
    <n v="0"/>
    <n v="2"/>
    <n v="180"/>
    <n v="0"/>
    <n v="0"/>
    <n v="72.209999999999994"/>
    <x v="1"/>
    <x v="12"/>
    <x v="0"/>
    <x v="1"/>
    <x v="1"/>
    <n v="2"/>
    <n v="2"/>
    <n v="2"/>
    <n v="180"/>
    <n v="72.209999999999994"/>
    <n v="72.209999999999994"/>
    <n v="72.209999999999994"/>
    <n v="72.209999999999994"/>
    <n v="72.209999999999994"/>
    <x v="1"/>
    <x v="0"/>
    <x v="0"/>
    <n v="0"/>
    <x v="0"/>
  </r>
  <r>
    <x v="143"/>
    <x v="124"/>
    <n v="1"/>
    <x v="6"/>
    <s v="5ºC"/>
    <x v="0"/>
    <s v="Mineral"/>
    <x v="14"/>
    <s v="4 - Fornecedor"/>
    <n v="12.64"/>
    <n v="0"/>
    <n v="0"/>
    <n v="12.64"/>
    <n v="884.8"/>
    <n v="0"/>
    <n v="0"/>
    <n v="1049.04"/>
    <x v="1"/>
    <x v="40"/>
    <x v="0"/>
    <x v="1"/>
    <x v="1"/>
    <n v="12.64"/>
    <n v="12.64"/>
    <n v="12.64"/>
    <n v="884.8"/>
    <n v="1049.04"/>
    <n v="1049.04"/>
    <n v="1049.04"/>
    <n v="1049.04"/>
    <n v="1049.04"/>
    <x v="1"/>
    <x v="0"/>
    <x v="0"/>
    <n v="0"/>
    <x v="0"/>
  </r>
  <r>
    <x v="143"/>
    <x v="124"/>
    <n v="2"/>
    <x v="9"/>
    <s v="+9ºC"/>
    <x v="0"/>
    <s v="Mineral"/>
    <x v="14"/>
    <s v="4 - Fornecedor"/>
    <n v="16.82"/>
    <n v="0"/>
    <n v="0"/>
    <n v="16.82"/>
    <n v="706.44"/>
    <n v="0"/>
    <n v="0"/>
    <n v="1375.32"/>
    <x v="1"/>
    <x v="40"/>
    <x v="0"/>
    <x v="1"/>
    <x v="1"/>
    <n v="16.82"/>
    <n v="16.82"/>
    <n v="16.82"/>
    <n v="706.44"/>
    <n v="1375.32"/>
    <n v="1375.32"/>
    <n v="1375.32"/>
    <n v="1375.32"/>
    <n v="1375.32"/>
    <x v="1"/>
    <x v="0"/>
    <x v="0"/>
    <n v="0"/>
    <x v="0"/>
  </r>
  <r>
    <x v="143"/>
    <x v="124"/>
    <n v="3"/>
    <x v="9"/>
    <s v="+9ºC"/>
    <x v="0"/>
    <s v="Mineral"/>
    <x v="14"/>
    <s v="4 - Fornecedor"/>
    <n v="8.86"/>
    <n v="0"/>
    <n v="0"/>
    <n v="8.86"/>
    <n v="372.12"/>
    <n v="0"/>
    <n v="0"/>
    <n v="724.73"/>
    <x v="1"/>
    <x v="40"/>
    <x v="0"/>
    <x v="1"/>
    <x v="1"/>
    <n v="8.86"/>
    <n v="8.86"/>
    <n v="8.86"/>
    <n v="372.12"/>
    <n v="724.73"/>
    <n v="724.73"/>
    <n v="724.73"/>
    <n v="724.73"/>
    <n v="724.73"/>
    <x v="1"/>
    <x v="0"/>
    <x v="0"/>
    <n v="0"/>
    <x v="0"/>
  </r>
  <r>
    <x v="143"/>
    <x v="124"/>
    <n v="4"/>
    <x v="6"/>
    <s v="5ºC"/>
    <x v="0"/>
    <s v="Mineral"/>
    <x v="14"/>
    <s v="4 - Fornecedor"/>
    <n v="13.64"/>
    <n v="0"/>
    <n v="0"/>
    <n v="13.64"/>
    <n v="954.8"/>
    <n v="0"/>
    <n v="0"/>
    <n v="1132.08"/>
    <x v="1"/>
    <x v="40"/>
    <x v="0"/>
    <x v="1"/>
    <x v="1"/>
    <n v="13.64"/>
    <n v="13.64"/>
    <n v="13.64"/>
    <n v="954.8"/>
    <n v="1132.08"/>
    <n v="1132.08"/>
    <n v="1132.08"/>
    <n v="1132.08"/>
    <n v="1132.08"/>
    <x v="1"/>
    <x v="0"/>
    <x v="0"/>
    <n v="0"/>
    <x v="0"/>
  </r>
  <r>
    <x v="143"/>
    <x v="124"/>
    <n v="5"/>
    <x v="8"/>
    <s v="9ºC"/>
    <x v="0"/>
    <s v="Mineral"/>
    <x v="14"/>
    <s v="4 - Fornecedor"/>
    <n v="32.07"/>
    <n v="0"/>
    <n v="0"/>
    <n v="32.07"/>
    <n v="2116.62"/>
    <n v="0"/>
    <n v="0"/>
    <n v="2313.19"/>
    <x v="1"/>
    <x v="9"/>
    <x v="0"/>
    <x v="1"/>
    <x v="1"/>
    <n v="32.07"/>
    <n v="32.07"/>
    <n v="32.07"/>
    <n v="2116.62"/>
    <n v="2313.19"/>
    <n v="2313.19"/>
    <n v="2313.19"/>
    <n v="2313.19"/>
    <n v="2313.19"/>
    <x v="1"/>
    <x v="0"/>
    <x v="0"/>
    <n v="0"/>
    <x v="0"/>
  </r>
  <r>
    <x v="143"/>
    <x v="124"/>
    <n v="6"/>
    <x v="5"/>
    <s v="2ºC"/>
    <x v="0"/>
    <s v="Mineral"/>
    <x v="14"/>
    <s v="4 - Fornecedor"/>
    <n v="30.77"/>
    <n v="0"/>
    <n v="0"/>
    <n v="30.77"/>
    <n v="2676.99"/>
    <n v="0"/>
    <n v="0"/>
    <n v="3458.25"/>
    <x v="1"/>
    <x v="9"/>
    <x v="0"/>
    <x v="1"/>
    <x v="1"/>
    <n v="30.77"/>
    <n v="30.77"/>
    <n v="30.77"/>
    <n v="2676.99"/>
    <n v="3458.25"/>
    <n v="3458.25"/>
    <n v="3458.25"/>
    <n v="3458.25"/>
    <n v="3458.25"/>
    <x v="1"/>
    <x v="0"/>
    <x v="0"/>
    <n v="0"/>
    <x v="0"/>
  </r>
  <r>
    <x v="143"/>
    <x v="124"/>
    <n v="7"/>
    <x v="9"/>
    <s v="+9ºC"/>
    <x v="0"/>
    <s v="Mineral"/>
    <x v="14"/>
    <s v="4 - Fornecedor"/>
    <n v="7.89"/>
    <n v="0"/>
    <n v="0"/>
    <n v="7.89"/>
    <n v="418.17"/>
    <n v="0"/>
    <n v="0"/>
    <n v="456.69"/>
    <x v="1"/>
    <x v="9"/>
    <x v="0"/>
    <x v="1"/>
    <x v="1"/>
    <n v="7.89"/>
    <n v="7.89"/>
    <n v="7.89"/>
    <n v="418.17"/>
    <n v="456.69"/>
    <n v="456.69"/>
    <n v="456.69"/>
    <n v="456.69"/>
    <n v="456.69"/>
    <x v="1"/>
    <x v="0"/>
    <x v="0"/>
    <n v="0"/>
    <x v="0"/>
  </r>
  <r>
    <x v="143"/>
    <x v="124"/>
    <n v="8"/>
    <x v="9"/>
    <s v="+9ºC"/>
    <x v="0"/>
    <s v="Mineral"/>
    <x v="14"/>
    <s v="4 - Fornecedor"/>
    <n v="5.61"/>
    <n v="0"/>
    <n v="0"/>
    <n v="5.61"/>
    <n v="336.6"/>
    <n v="0"/>
    <n v="0"/>
    <n v="368.18"/>
    <x v="1"/>
    <x v="9"/>
    <x v="0"/>
    <x v="1"/>
    <x v="1"/>
    <n v="5.61"/>
    <n v="5.61"/>
    <n v="5.61"/>
    <n v="336.6"/>
    <n v="368.18"/>
    <n v="368.18"/>
    <n v="368.18"/>
    <n v="368.18"/>
    <n v="368.18"/>
    <x v="1"/>
    <x v="0"/>
    <x v="0"/>
    <n v="0"/>
    <x v="0"/>
  </r>
  <r>
    <x v="143"/>
    <x v="124"/>
    <n v="9"/>
    <x v="9"/>
    <s v="+9ºC"/>
    <x v="0"/>
    <s v="Mineral"/>
    <x v="14"/>
    <s v="4 - Fornecedor"/>
    <n v="16.489999999999998"/>
    <n v="0"/>
    <n v="0"/>
    <n v="16.489999999999998"/>
    <n v="989.4"/>
    <n v="0"/>
    <n v="0"/>
    <n v="1080.8699999999999"/>
    <x v="1"/>
    <x v="9"/>
    <x v="0"/>
    <x v="1"/>
    <x v="1"/>
    <n v="16.489999999999998"/>
    <n v="16.489999999999998"/>
    <n v="16.489999999999998"/>
    <n v="989.4"/>
    <n v="1080.8699999999999"/>
    <n v="1080.8699999999999"/>
    <n v="1080.8699999999999"/>
    <n v="1080.8699999999999"/>
    <n v="1080.8699999999999"/>
    <x v="1"/>
    <x v="0"/>
    <x v="0"/>
    <n v="0"/>
    <x v="0"/>
  </r>
  <r>
    <x v="143"/>
    <x v="124"/>
    <n v="10"/>
    <x v="3"/>
    <s v="ANM"/>
    <x v="0"/>
    <s v="Mineral"/>
    <x v="14"/>
    <s v="4 - Fornecedor"/>
    <n v="32.35"/>
    <n v="0"/>
    <n v="0"/>
    <n v="32.35"/>
    <n v="3914.35"/>
    <n v="0"/>
    <n v="0"/>
    <n v="3988.72"/>
    <x v="1"/>
    <x v="9"/>
    <x v="0"/>
    <x v="1"/>
    <x v="1"/>
    <n v="32.35"/>
    <n v="32.35"/>
    <n v="32.35"/>
    <n v="3914.35"/>
    <n v="3988.72"/>
    <n v="3988.72"/>
    <n v="3988.72"/>
    <n v="3988.72"/>
    <n v="3988.72"/>
    <x v="1"/>
    <x v="0"/>
    <x v="0"/>
    <n v="0"/>
    <x v="0"/>
  </r>
  <r>
    <x v="143"/>
    <x v="124"/>
    <n v="11"/>
    <x v="5"/>
    <s v="2ºC"/>
    <x v="0"/>
    <s v="Mineral"/>
    <x v="14"/>
    <s v="4 - Fornecedor"/>
    <n v="13.39"/>
    <n v="0"/>
    <n v="0"/>
    <n v="13.39"/>
    <n v="1245.27"/>
    <n v="0"/>
    <n v="0"/>
    <n v="1608.29"/>
    <x v="1"/>
    <x v="9"/>
    <x v="0"/>
    <x v="1"/>
    <x v="1"/>
    <n v="13.39"/>
    <n v="13.39"/>
    <n v="13.39"/>
    <n v="1245.27"/>
    <n v="1608.29"/>
    <n v="1608.29"/>
    <n v="1608.29"/>
    <n v="1608.29"/>
    <n v="1608.29"/>
    <x v="1"/>
    <x v="0"/>
    <x v="0"/>
    <n v="0"/>
    <x v="0"/>
  </r>
  <r>
    <x v="143"/>
    <x v="124"/>
    <n v="16"/>
    <x v="3"/>
    <s v="INV"/>
    <x v="0"/>
    <s v="Mineral"/>
    <x v="6"/>
    <s v="4 - Fornecedor"/>
    <n v="13.32"/>
    <n v="13.32"/>
    <n v="0"/>
    <n v="13.32"/>
    <n v="1651.68"/>
    <n v="1678.32"/>
    <n v="0"/>
    <n v="1705.48"/>
    <x v="1"/>
    <x v="8"/>
    <x v="0"/>
    <x v="0"/>
    <x v="1"/>
    <n v="13.32"/>
    <n v="13.32"/>
    <n v="13.32"/>
    <n v="1651.68"/>
    <n v="1678.32"/>
    <n v="1705.48"/>
    <n v="1705.48"/>
    <n v="1705.48"/>
    <n v="1705.48"/>
    <x v="1"/>
    <x v="0"/>
    <x v="0"/>
    <n v="0"/>
    <x v="0"/>
  </r>
  <r>
    <x v="143"/>
    <x v="124"/>
    <n v="17"/>
    <x v="3"/>
    <s v="INV"/>
    <x v="0"/>
    <s v="Mineral"/>
    <x v="6"/>
    <s v="4 - Fornecedor"/>
    <n v="20.190000000000001"/>
    <n v="20.190000000000001"/>
    <n v="0"/>
    <n v="20.190000000000001"/>
    <n v="2503.56"/>
    <n v="2543.94"/>
    <n v="0"/>
    <n v="2585.83"/>
    <x v="1"/>
    <x v="8"/>
    <x v="0"/>
    <x v="0"/>
    <x v="1"/>
    <n v="20.190000000000001"/>
    <n v="20.190000000000001"/>
    <n v="20.190000000000001"/>
    <n v="2503.56"/>
    <n v="2543.94"/>
    <n v="2585.83"/>
    <n v="2585.83"/>
    <n v="2585.83"/>
    <n v="2585.83"/>
    <x v="1"/>
    <x v="0"/>
    <x v="0"/>
    <n v="0"/>
    <x v="0"/>
  </r>
  <r>
    <x v="143"/>
    <x v="124"/>
    <n v="18"/>
    <x v="5"/>
    <s v="2ºC"/>
    <x v="0"/>
    <s v="Mineral"/>
    <x v="6"/>
    <s v="4 - Fornecedor"/>
    <n v="6.43"/>
    <n v="6.43"/>
    <n v="0"/>
    <n v="6.43"/>
    <n v="630.14"/>
    <n v="630.14"/>
    <n v="0"/>
    <n v="709.66"/>
    <x v="1"/>
    <x v="8"/>
    <x v="0"/>
    <x v="0"/>
    <x v="1"/>
    <n v="6.43"/>
    <n v="6.43"/>
    <n v="6.43"/>
    <n v="630.14"/>
    <n v="630.14"/>
    <n v="709.66"/>
    <n v="709.66"/>
    <n v="709.66"/>
    <n v="709.66"/>
    <x v="1"/>
    <x v="0"/>
    <x v="0"/>
    <n v="0"/>
    <x v="0"/>
  </r>
  <r>
    <x v="143"/>
    <x v="124"/>
    <n v="19"/>
    <x v="5"/>
    <s v="2ºC"/>
    <x v="0"/>
    <s v="Mineral"/>
    <x v="6"/>
    <s v="4 - Fornecedor"/>
    <n v="2.79"/>
    <n v="2.79"/>
    <n v="0"/>
    <n v="2.79"/>
    <n v="273.42"/>
    <n v="273.42"/>
    <n v="0"/>
    <n v="307.51"/>
    <x v="1"/>
    <x v="8"/>
    <x v="0"/>
    <x v="0"/>
    <x v="1"/>
    <n v="2.79"/>
    <n v="2.79"/>
    <n v="2.79"/>
    <n v="273.42"/>
    <n v="273.42"/>
    <n v="307.51"/>
    <n v="307.51"/>
    <n v="307.51"/>
    <n v="307.51"/>
    <x v="1"/>
    <x v="0"/>
    <x v="0"/>
    <n v="0"/>
    <x v="0"/>
  </r>
  <r>
    <x v="143"/>
    <x v="124"/>
    <n v="20"/>
    <x v="4"/>
    <s v="4ºC"/>
    <x v="0"/>
    <s v="Mineral"/>
    <x v="6"/>
    <s v="4 - Fornecedor"/>
    <n v="12.75"/>
    <n v="12.75"/>
    <n v="0"/>
    <n v="12.75"/>
    <n v="510"/>
    <n v="637.5"/>
    <n v="0"/>
    <n v="704.57"/>
    <x v="1"/>
    <x v="8"/>
    <x v="0"/>
    <x v="0"/>
    <x v="1"/>
    <n v="12.75"/>
    <n v="12.75"/>
    <n v="12.75"/>
    <n v="510"/>
    <n v="637.5"/>
    <n v="704.57"/>
    <n v="704.57"/>
    <n v="704.57"/>
    <n v="704.57"/>
    <x v="1"/>
    <x v="0"/>
    <x v="0"/>
    <n v="0"/>
    <x v="0"/>
  </r>
  <r>
    <x v="143"/>
    <x v="124"/>
    <n v="21"/>
    <x v="5"/>
    <s v="2ºC"/>
    <x v="0"/>
    <s v="Mineral"/>
    <x v="6"/>
    <s v="4 - Fornecedor"/>
    <n v="3.47"/>
    <n v="3.47"/>
    <n v="0"/>
    <n v="3.47"/>
    <n v="340.06"/>
    <n v="347"/>
    <n v="0"/>
    <n v="390.87"/>
    <x v="1"/>
    <x v="8"/>
    <x v="0"/>
    <x v="0"/>
    <x v="1"/>
    <n v="3.47"/>
    <n v="3.47"/>
    <n v="3.47"/>
    <n v="340.06"/>
    <n v="347"/>
    <n v="390.87"/>
    <n v="390.87"/>
    <n v="390.87"/>
    <n v="390.87"/>
    <x v="1"/>
    <x v="0"/>
    <x v="0"/>
    <n v="0"/>
    <x v="0"/>
  </r>
  <r>
    <x v="143"/>
    <x v="124"/>
    <n v="22"/>
    <x v="5"/>
    <s v="2ºC"/>
    <x v="0"/>
    <s v="Mineral"/>
    <x v="6"/>
    <s v="4 - Fornecedor"/>
    <n v="2.0299999999999998"/>
    <n v="2.0299999999999998"/>
    <n v="0"/>
    <n v="2.0299999999999998"/>
    <n v="198.94"/>
    <n v="203"/>
    <n v="0"/>
    <n v="228.65"/>
    <x v="1"/>
    <x v="8"/>
    <x v="0"/>
    <x v="0"/>
    <x v="1"/>
    <n v="2.0299999999999998"/>
    <n v="2.0299999999999998"/>
    <n v="2.0299999999999998"/>
    <n v="198.94"/>
    <n v="203"/>
    <n v="228.65"/>
    <n v="228.65"/>
    <n v="228.65"/>
    <n v="228.65"/>
    <x v="1"/>
    <x v="0"/>
    <x v="0"/>
    <n v="0"/>
    <x v="0"/>
  </r>
  <r>
    <x v="143"/>
    <x v="124"/>
    <n v="23"/>
    <x v="5"/>
    <s v="2ºC"/>
    <x v="0"/>
    <s v="Mineral"/>
    <x v="6"/>
    <s v="4 - Fornecedor"/>
    <n v="2.48"/>
    <n v="2.48"/>
    <n v="0"/>
    <n v="2.48"/>
    <n v="243.04"/>
    <n v="248"/>
    <n v="0"/>
    <n v="279.48"/>
    <x v="1"/>
    <x v="8"/>
    <x v="0"/>
    <x v="0"/>
    <x v="1"/>
    <n v="2.48"/>
    <n v="2.48"/>
    <n v="2.48"/>
    <n v="243.04"/>
    <n v="248"/>
    <n v="279.48"/>
    <n v="279.48"/>
    <n v="279.48"/>
    <n v="279.48"/>
    <x v="1"/>
    <x v="0"/>
    <x v="0"/>
    <n v="0"/>
    <x v="0"/>
  </r>
  <r>
    <x v="143"/>
    <x v="124"/>
    <n v="24"/>
    <x v="4"/>
    <s v="4ºC"/>
    <x v="0"/>
    <s v="Mineral"/>
    <x v="30"/>
    <s v="4 - Fornecedor"/>
    <n v="3.85"/>
    <n v="3.85"/>
    <n v="0"/>
    <n v="3.85"/>
    <n v="269.5"/>
    <n v="269.5"/>
    <n v="0"/>
    <n v="214.69"/>
    <x v="1"/>
    <x v="31"/>
    <x v="0"/>
    <x v="0"/>
    <x v="1"/>
    <n v="3.85"/>
    <n v="3.85"/>
    <n v="3.85"/>
    <n v="269.5"/>
    <n v="269.5"/>
    <n v="214.69"/>
    <n v="214.69"/>
    <n v="214.69"/>
    <n v="214.69"/>
    <x v="1"/>
    <x v="0"/>
    <x v="0"/>
    <n v="0"/>
    <x v="0"/>
  </r>
  <r>
    <x v="143"/>
    <x v="124"/>
    <n v="25"/>
    <x v="4"/>
    <s v="4ºC"/>
    <x v="0"/>
    <s v="Mineral"/>
    <x v="30"/>
    <s v="4 - Fornecedor"/>
    <n v="7.01"/>
    <n v="7.01"/>
    <n v="0"/>
    <n v="7.01"/>
    <n v="490.7"/>
    <n v="490.7"/>
    <n v="0"/>
    <n v="390.47"/>
    <x v="1"/>
    <x v="31"/>
    <x v="0"/>
    <x v="0"/>
    <x v="1"/>
    <n v="7.01"/>
    <n v="7.01"/>
    <n v="7.01"/>
    <n v="490.7"/>
    <n v="490.7"/>
    <n v="390.47"/>
    <n v="390.47"/>
    <n v="390.47"/>
    <n v="390.47"/>
    <x v="1"/>
    <x v="0"/>
    <x v="0"/>
    <n v="0"/>
    <x v="0"/>
  </r>
  <r>
    <x v="143"/>
    <x v="124"/>
    <n v="26"/>
    <x v="2"/>
    <s v="3ºC"/>
    <x v="0"/>
    <s v="Mineral"/>
    <x v="14"/>
    <s v="4 - Fornecedor"/>
    <n v="33.74"/>
    <n v="0"/>
    <n v="0"/>
    <n v="33.74"/>
    <n v="2631.72"/>
    <n v="0"/>
    <n v="0"/>
    <n v="2983.55"/>
    <x v="1"/>
    <x v="25"/>
    <x v="0"/>
    <x v="1"/>
    <x v="1"/>
    <n v="33.74"/>
    <n v="33.74"/>
    <n v="33.74"/>
    <n v="2631.72"/>
    <n v="2983.55"/>
    <n v="2983.55"/>
    <n v="2983.55"/>
    <n v="2983.55"/>
    <n v="2983.55"/>
    <x v="1"/>
    <x v="0"/>
    <x v="0"/>
    <n v="0"/>
    <x v="0"/>
  </r>
  <r>
    <x v="143"/>
    <x v="124"/>
    <n v="27"/>
    <x v="8"/>
    <s v="9ºC"/>
    <x v="0"/>
    <s v="Mineral"/>
    <x v="25"/>
    <s v="4 - Fornecedor"/>
    <n v="16.02"/>
    <n v="0"/>
    <n v="0"/>
    <n v="16.02"/>
    <n v="977.22"/>
    <n v="0"/>
    <n v="0"/>
    <n v="1086.5899999999999"/>
    <x v="1"/>
    <x v="25"/>
    <x v="0"/>
    <x v="1"/>
    <x v="1"/>
    <n v="16.02"/>
    <n v="16.02"/>
    <n v="16.02"/>
    <n v="977.22"/>
    <n v="1086.5899999999999"/>
    <n v="1086.5899999999999"/>
    <n v="1086.5899999999999"/>
    <n v="1086.5899999999999"/>
    <n v="1086.5899999999999"/>
    <x v="1"/>
    <x v="0"/>
    <x v="0"/>
    <n v="0"/>
    <x v="0"/>
  </r>
  <r>
    <x v="143"/>
    <x v="124"/>
    <n v="28"/>
    <x v="5"/>
    <s v="2ºC"/>
    <x v="0"/>
    <s v="Mineral"/>
    <x v="14"/>
    <s v="4 - Fornecedor"/>
    <n v="10.06"/>
    <n v="0"/>
    <n v="0"/>
    <n v="10.06"/>
    <n v="975.82"/>
    <n v="0"/>
    <n v="0"/>
    <n v="1106.3"/>
    <x v="1"/>
    <x v="25"/>
    <x v="0"/>
    <x v="1"/>
    <x v="1"/>
    <n v="10.06"/>
    <n v="10.06"/>
    <n v="10.06"/>
    <n v="975.82"/>
    <n v="1106.3"/>
    <n v="1106.3"/>
    <n v="1106.3"/>
    <n v="1106.3"/>
    <n v="1106.3"/>
    <x v="1"/>
    <x v="0"/>
    <x v="0"/>
    <n v="0"/>
    <x v="0"/>
  </r>
  <r>
    <x v="143"/>
    <x v="124"/>
    <n v="29"/>
    <x v="4"/>
    <s v="4ºC"/>
    <x v="0"/>
    <s v="Mineral"/>
    <x v="30"/>
    <s v="4 - Fornecedor"/>
    <n v="5.97"/>
    <n v="5.97"/>
    <n v="0"/>
    <n v="5.97"/>
    <n v="423.87"/>
    <n v="423.87"/>
    <n v="0"/>
    <n v="337.18"/>
    <x v="1"/>
    <x v="31"/>
    <x v="0"/>
    <x v="0"/>
    <x v="1"/>
    <n v="5.97"/>
    <n v="5.97"/>
    <n v="5.97"/>
    <n v="423.87"/>
    <n v="423.87"/>
    <n v="337.18"/>
    <n v="337.18"/>
    <n v="337.18"/>
    <n v="337.18"/>
    <x v="1"/>
    <x v="0"/>
    <x v="0"/>
    <n v="0"/>
    <x v="0"/>
  </r>
  <r>
    <x v="143"/>
    <x v="124"/>
    <n v="30"/>
    <x v="4"/>
    <s v="4ºC"/>
    <x v="0"/>
    <s v="Mineral"/>
    <x v="30"/>
    <s v="4 - Fornecedor"/>
    <n v="9.34"/>
    <n v="9.34"/>
    <n v="0"/>
    <n v="9.34"/>
    <n v="663.14"/>
    <n v="663.14"/>
    <n v="0"/>
    <n v="527.26"/>
    <x v="1"/>
    <x v="31"/>
    <x v="0"/>
    <x v="0"/>
    <x v="1"/>
    <n v="9.34"/>
    <n v="9.34"/>
    <n v="9.34"/>
    <n v="663.14"/>
    <n v="663.14"/>
    <n v="527.26"/>
    <n v="527.26"/>
    <n v="527.26"/>
    <n v="527.26"/>
    <x v="1"/>
    <x v="0"/>
    <x v="0"/>
    <n v="0"/>
    <x v="0"/>
  </r>
  <r>
    <x v="143"/>
    <x v="124"/>
    <n v="31"/>
    <x v="4"/>
    <s v="4ºC"/>
    <x v="0"/>
    <s v="Mineral"/>
    <x v="30"/>
    <s v="4 - Fornecedor"/>
    <n v="9.65"/>
    <n v="9.65"/>
    <n v="0"/>
    <n v="9.65"/>
    <n v="685.15"/>
    <n v="685.15"/>
    <n v="0"/>
    <n v="544.77"/>
    <x v="1"/>
    <x v="31"/>
    <x v="0"/>
    <x v="0"/>
    <x v="1"/>
    <n v="9.65"/>
    <n v="9.65"/>
    <n v="9.65"/>
    <n v="685.15"/>
    <n v="685.15"/>
    <n v="544.77"/>
    <n v="544.77"/>
    <n v="544.77"/>
    <n v="544.77"/>
    <x v="1"/>
    <x v="0"/>
    <x v="0"/>
    <n v="0"/>
    <x v="0"/>
  </r>
  <r>
    <x v="143"/>
    <x v="124"/>
    <n v="32"/>
    <x v="4"/>
    <s v="4ºC"/>
    <x v="0"/>
    <s v="Mineral"/>
    <x v="30"/>
    <s v="4 - Fornecedor"/>
    <n v="6.53"/>
    <n v="6.53"/>
    <n v="0"/>
    <n v="6.53"/>
    <n v="463.63"/>
    <n v="463.63"/>
    <n v="0"/>
    <n v="368.99"/>
    <x v="1"/>
    <x v="31"/>
    <x v="0"/>
    <x v="0"/>
    <x v="1"/>
    <n v="6.53"/>
    <n v="6.53"/>
    <n v="6.53"/>
    <n v="463.63"/>
    <n v="463.63"/>
    <n v="368.99"/>
    <n v="368.99"/>
    <n v="368.99"/>
    <n v="368.99"/>
    <x v="1"/>
    <x v="0"/>
    <x v="0"/>
    <n v="0"/>
    <x v="0"/>
  </r>
  <r>
    <x v="143"/>
    <x v="124"/>
    <n v="33"/>
    <x v="4"/>
    <s v="4ºC"/>
    <x v="0"/>
    <s v="Mineral"/>
    <x v="30"/>
    <s v="4 - Fornecedor"/>
    <n v="3.46"/>
    <n v="3.46"/>
    <n v="0"/>
    <n v="3.46"/>
    <n v="245.66"/>
    <n v="245.66"/>
    <n v="0"/>
    <n v="195.9"/>
    <x v="1"/>
    <x v="31"/>
    <x v="0"/>
    <x v="0"/>
    <x v="1"/>
    <n v="3.46"/>
    <n v="3.46"/>
    <n v="3.46"/>
    <n v="245.66"/>
    <n v="245.66"/>
    <n v="195.9"/>
    <n v="195.9"/>
    <n v="195.9"/>
    <n v="195.9"/>
    <x v="1"/>
    <x v="0"/>
    <x v="0"/>
    <n v="0"/>
    <x v="0"/>
  </r>
  <r>
    <x v="143"/>
    <x v="124"/>
    <n v="34"/>
    <x v="5"/>
    <s v="2ºC"/>
    <x v="0"/>
    <s v="Mineral"/>
    <x v="31"/>
    <s v="4 - Fornecedor"/>
    <n v="3.21"/>
    <n v="3.21"/>
    <n v="0"/>
    <n v="3.21"/>
    <n v="215.07"/>
    <n v="224.7"/>
    <n v="0"/>
    <n v="228.99"/>
    <x v="1"/>
    <x v="8"/>
    <x v="0"/>
    <x v="0"/>
    <x v="1"/>
    <n v="3.21"/>
    <n v="3.21"/>
    <n v="3.21"/>
    <n v="215.07"/>
    <n v="224.7"/>
    <n v="228.99"/>
    <n v="228.99"/>
    <n v="228.99"/>
    <n v="228.99"/>
    <x v="1"/>
    <x v="0"/>
    <x v="0"/>
    <n v="0"/>
    <x v="0"/>
  </r>
  <r>
    <x v="143"/>
    <x v="124"/>
    <n v="35"/>
    <x v="5"/>
    <s v="2ºC"/>
    <x v="0"/>
    <s v="Mineral"/>
    <x v="19"/>
    <s v="4 - Fornecedor"/>
    <n v="3.77"/>
    <n v="3.77"/>
    <n v="0"/>
    <n v="3.77"/>
    <n v="320.45"/>
    <n v="320.45"/>
    <n v="0"/>
    <n v="325.69"/>
    <x v="1"/>
    <x v="8"/>
    <x v="0"/>
    <x v="0"/>
    <x v="1"/>
    <n v="3.77"/>
    <n v="3.77"/>
    <n v="3.77"/>
    <n v="320.45"/>
    <n v="320.45"/>
    <n v="325.69"/>
    <n v="325.69"/>
    <n v="325.69"/>
    <n v="325.69"/>
    <x v="1"/>
    <x v="0"/>
    <x v="0"/>
    <n v="0"/>
    <x v="0"/>
  </r>
  <r>
    <x v="143"/>
    <x v="124"/>
    <n v="36"/>
    <x v="5"/>
    <s v="2ºC"/>
    <x v="0"/>
    <s v="Mineral"/>
    <x v="19"/>
    <s v="4 - Fornecedor"/>
    <n v="3.18"/>
    <n v="3.18"/>
    <n v="0"/>
    <n v="3.18"/>
    <n v="270.3"/>
    <n v="270.3"/>
    <n v="0"/>
    <n v="321.26"/>
    <x v="1"/>
    <x v="8"/>
    <x v="0"/>
    <x v="0"/>
    <x v="1"/>
    <n v="3.18"/>
    <n v="3.18"/>
    <n v="3.18"/>
    <n v="270.3"/>
    <n v="270.3"/>
    <n v="321.26"/>
    <n v="321.26"/>
    <n v="321.26"/>
    <n v="321.26"/>
    <x v="1"/>
    <x v="0"/>
    <x v="0"/>
    <n v="0"/>
    <x v="0"/>
  </r>
  <r>
    <x v="143"/>
    <x v="124"/>
    <n v="37"/>
    <x v="5"/>
    <s v="2ºC"/>
    <x v="0"/>
    <s v="Mineral"/>
    <x v="19"/>
    <s v="4 - Fornecedor"/>
    <n v="3.83"/>
    <n v="3.83"/>
    <n v="0"/>
    <n v="3.83"/>
    <n v="325.55"/>
    <n v="344.7"/>
    <n v="0"/>
    <n v="410.52"/>
    <x v="1"/>
    <x v="8"/>
    <x v="0"/>
    <x v="0"/>
    <x v="1"/>
    <n v="3.83"/>
    <n v="3.83"/>
    <n v="3.83"/>
    <n v="325.55"/>
    <n v="344.7"/>
    <n v="410.52"/>
    <n v="410.52"/>
    <n v="410.52"/>
    <n v="410.52"/>
    <x v="1"/>
    <x v="0"/>
    <x v="0"/>
    <n v="0"/>
    <x v="0"/>
  </r>
  <r>
    <x v="143"/>
    <x v="124"/>
    <n v="38"/>
    <x v="5"/>
    <s v="2ºC"/>
    <x v="0"/>
    <s v="Mineral"/>
    <x v="19"/>
    <s v="4 - Fornecedor"/>
    <n v="4.96"/>
    <n v="4.96"/>
    <n v="0"/>
    <n v="4.96"/>
    <n v="421.6"/>
    <n v="446.4"/>
    <n v="0"/>
    <n v="530.75"/>
    <x v="1"/>
    <x v="8"/>
    <x v="0"/>
    <x v="0"/>
    <x v="1"/>
    <n v="4.96"/>
    <n v="4.96"/>
    <n v="4.96"/>
    <n v="421.6"/>
    <n v="446.4"/>
    <n v="530.75"/>
    <n v="530.75"/>
    <n v="530.75"/>
    <n v="530.75"/>
    <x v="1"/>
    <x v="0"/>
    <x v="0"/>
    <n v="0"/>
    <x v="0"/>
  </r>
  <r>
    <x v="143"/>
    <x v="124"/>
    <n v="39"/>
    <x v="5"/>
    <s v="2ºC"/>
    <x v="0"/>
    <s v="Mineral"/>
    <x v="19"/>
    <s v="4 - Fornecedor"/>
    <n v="3.22"/>
    <n v="3.22"/>
    <n v="0"/>
    <n v="3.22"/>
    <n v="273.7"/>
    <n v="289.8"/>
    <n v="0"/>
    <n v="345.06"/>
    <x v="1"/>
    <x v="8"/>
    <x v="0"/>
    <x v="0"/>
    <x v="1"/>
    <n v="3.22"/>
    <n v="3.22"/>
    <n v="3.22"/>
    <n v="273.7"/>
    <n v="289.8"/>
    <n v="345.06"/>
    <n v="345.06"/>
    <n v="345.06"/>
    <n v="345.06"/>
    <x v="1"/>
    <x v="0"/>
    <x v="0"/>
    <n v="0"/>
    <x v="0"/>
  </r>
  <r>
    <x v="143"/>
    <x v="124"/>
    <n v="40"/>
    <x v="2"/>
    <s v="3ºC"/>
    <x v="0"/>
    <s v="Mineral"/>
    <x v="14"/>
    <s v="4 - Fornecedor"/>
    <n v="15.64"/>
    <n v="0"/>
    <n v="0"/>
    <n v="15.64"/>
    <n v="1470.16"/>
    <n v="0"/>
    <n v="0"/>
    <n v="1666.3"/>
    <x v="1"/>
    <x v="25"/>
    <x v="0"/>
    <x v="1"/>
    <x v="1"/>
    <n v="15.64"/>
    <n v="15.64"/>
    <n v="15.64"/>
    <n v="1470.16"/>
    <n v="1666.3"/>
    <n v="1666.3"/>
    <n v="1666.3"/>
    <n v="1666.3"/>
    <n v="1666.3"/>
    <x v="1"/>
    <x v="0"/>
    <x v="0"/>
    <n v="0"/>
    <x v="0"/>
  </r>
  <r>
    <x v="143"/>
    <x v="124"/>
    <n v="41"/>
    <x v="5"/>
    <s v="2ºC"/>
    <x v="0"/>
    <s v="Mineral"/>
    <x v="19"/>
    <s v="4 - Fornecedor"/>
    <n v="27.18"/>
    <n v="0"/>
    <n v="0"/>
    <n v="27.18"/>
    <n v="2310.3000000000002"/>
    <n v="0"/>
    <n v="0"/>
    <n v="2569.3200000000002"/>
    <x v="1"/>
    <x v="25"/>
    <x v="0"/>
    <x v="1"/>
    <x v="1"/>
    <n v="27.18"/>
    <n v="27.18"/>
    <n v="27.18"/>
    <n v="2310.3000000000002"/>
    <n v="2569.3200000000002"/>
    <n v="2569.3200000000002"/>
    <n v="2569.3200000000002"/>
    <n v="2569.3200000000002"/>
    <n v="2569.3200000000002"/>
    <x v="1"/>
    <x v="0"/>
    <x v="0"/>
    <n v="0"/>
    <x v="0"/>
  </r>
  <r>
    <x v="143"/>
    <x v="124"/>
    <n v="42"/>
    <x v="5"/>
    <s v="2ºC"/>
    <x v="0"/>
    <s v="Mineral"/>
    <x v="19"/>
    <s v="4 - Fornecedor"/>
    <n v="20.16"/>
    <n v="0"/>
    <n v="0"/>
    <n v="20.16"/>
    <n v="1411.2"/>
    <n v="0"/>
    <n v="0"/>
    <n v="2088.33"/>
    <x v="1"/>
    <x v="25"/>
    <x v="0"/>
    <x v="1"/>
    <x v="1"/>
    <n v="20.16"/>
    <n v="20.16"/>
    <n v="20.16"/>
    <n v="1411.2"/>
    <n v="2088.33"/>
    <n v="2088.33"/>
    <n v="2088.33"/>
    <n v="2088.33"/>
    <n v="2088.33"/>
    <x v="1"/>
    <x v="0"/>
    <x v="0"/>
    <n v="0"/>
    <x v="0"/>
  </r>
  <r>
    <x v="143"/>
    <x v="124"/>
    <n v="43"/>
    <x v="5"/>
    <s v="2ºC"/>
    <x v="0"/>
    <s v="Mineral"/>
    <x v="19"/>
    <s v="4 - Fornecedor"/>
    <n v="16.88"/>
    <n v="0"/>
    <n v="0"/>
    <n v="16.88"/>
    <n v="1181.5999999999999"/>
    <n v="0"/>
    <n v="0"/>
    <n v="1749.51"/>
    <x v="1"/>
    <x v="25"/>
    <x v="0"/>
    <x v="1"/>
    <x v="1"/>
    <n v="16.88"/>
    <n v="16.88"/>
    <n v="16.88"/>
    <n v="1181.5999999999999"/>
    <n v="1749.51"/>
    <n v="1749.51"/>
    <n v="1749.51"/>
    <n v="1749.51"/>
    <n v="1749.51"/>
    <x v="1"/>
    <x v="0"/>
    <x v="0"/>
    <n v="0"/>
    <x v="0"/>
  </r>
  <r>
    <x v="143"/>
    <x v="124"/>
    <n v="44"/>
    <x v="2"/>
    <s v="3ºC"/>
    <x v="0"/>
    <s v="Mineral"/>
    <x v="14"/>
    <s v="4 - Fornecedor"/>
    <n v="4.25"/>
    <n v="0"/>
    <n v="0"/>
    <n v="4.25"/>
    <n v="382.5"/>
    <n v="0"/>
    <n v="0"/>
    <n v="434.44"/>
    <x v="1"/>
    <x v="25"/>
    <x v="0"/>
    <x v="1"/>
    <x v="1"/>
    <n v="4.25"/>
    <n v="4.25"/>
    <n v="4.25"/>
    <n v="382.5"/>
    <n v="434.44"/>
    <n v="434.44"/>
    <n v="434.44"/>
    <n v="434.44"/>
    <n v="434.44"/>
    <x v="1"/>
    <x v="0"/>
    <x v="0"/>
    <n v="0"/>
    <x v="0"/>
  </r>
  <r>
    <x v="143"/>
    <x v="124"/>
    <n v="45"/>
    <x v="5"/>
    <s v="2ºC"/>
    <x v="0"/>
    <s v="Mineral"/>
    <x v="19"/>
    <s v="4 - Fornecedor"/>
    <n v="4.97"/>
    <n v="4.97"/>
    <n v="0"/>
    <n v="4.97"/>
    <n v="422.45"/>
    <n v="447.3"/>
    <n v="0"/>
    <n v="531.92999999999995"/>
    <x v="1"/>
    <x v="8"/>
    <x v="0"/>
    <x v="0"/>
    <x v="1"/>
    <n v="4.97"/>
    <n v="4.97"/>
    <n v="4.97"/>
    <n v="422.45"/>
    <n v="447.3"/>
    <n v="531.92999999999995"/>
    <n v="531.92999999999995"/>
    <n v="531.92999999999995"/>
    <n v="531.92999999999995"/>
    <x v="1"/>
    <x v="0"/>
    <x v="0"/>
    <n v="0"/>
    <x v="0"/>
  </r>
  <r>
    <x v="143"/>
    <x v="124"/>
    <n v="46"/>
    <x v="5"/>
    <s v="2ºC"/>
    <x v="0"/>
    <s v="Mineral"/>
    <x v="19"/>
    <s v="4 - Fornecedor"/>
    <n v="1.94"/>
    <n v="1.94"/>
    <n v="0"/>
    <n v="1.94"/>
    <n v="164.9"/>
    <n v="174.6"/>
    <n v="0"/>
    <n v="208.19"/>
    <x v="1"/>
    <x v="8"/>
    <x v="0"/>
    <x v="0"/>
    <x v="1"/>
    <n v="1.94"/>
    <n v="1.94"/>
    <n v="1.94"/>
    <n v="164.9"/>
    <n v="174.6"/>
    <n v="208.19"/>
    <n v="208.19"/>
    <n v="208.19"/>
    <n v="208.19"/>
    <x v="1"/>
    <x v="0"/>
    <x v="0"/>
    <n v="0"/>
    <x v="0"/>
  </r>
  <r>
    <x v="143"/>
    <x v="124"/>
    <n v="47"/>
    <x v="5"/>
    <s v="2ºC"/>
    <x v="0"/>
    <s v="Mineral"/>
    <x v="19"/>
    <s v="4 - Fornecedor"/>
    <n v="5.94"/>
    <n v="5.94"/>
    <n v="0"/>
    <n v="5.94"/>
    <n v="504.9"/>
    <n v="534.6"/>
    <n v="0"/>
    <n v="636.67999999999995"/>
    <x v="1"/>
    <x v="8"/>
    <x v="0"/>
    <x v="0"/>
    <x v="1"/>
    <n v="5.94"/>
    <n v="5.94"/>
    <n v="5.94"/>
    <n v="504.9"/>
    <n v="534.6"/>
    <n v="636.67999999999995"/>
    <n v="636.67999999999995"/>
    <n v="636.67999999999995"/>
    <n v="636.67999999999995"/>
    <x v="1"/>
    <x v="0"/>
    <x v="0"/>
    <n v="0"/>
    <x v="0"/>
  </r>
  <r>
    <x v="143"/>
    <x v="124"/>
    <n v="48"/>
    <x v="5"/>
    <s v="2ºC"/>
    <x v="0"/>
    <s v="Mineral"/>
    <x v="19"/>
    <s v="4 - Fornecedor"/>
    <n v="9.66"/>
    <n v="9.66"/>
    <n v="0"/>
    <n v="9.66"/>
    <n v="821.1"/>
    <n v="869.4"/>
    <n v="0"/>
    <n v="1034.2"/>
    <x v="1"/>
    <x v="8"/>
    <x v="0"/>
    <x v="0"/>
    <x v="1"/>
    <n v="9.66"/>
    <n v="9.66"/>
    <n v="9.66"/>
    <n v="821.1"/>
    <n v="869.4"/>
    <n v="1034.2"/>
    <n v="1034.2"/>
    <n v="1034.2"/>
    <n v="1034.2"/>
    <x v="1"/>
    <x v="0"/>
    <x v="0"/>
    <n v="0"/>
    <x v="0"/>
  </r>
  <r>
    <x v="143"/>
    <x v="124"/>
    <n v="49"/>
    <x v="5"/>
    <s v="2ºC"/>
    <x v="0"/>
    <s v="Mineral"/>
    <x v="19"/>
    <s v="4 - Fornecedor"/>
    <n v="5.17"/>
    <n v="5.17"/>
    <n v="0"/>
    <n v="5.17"/>
    <n v="439.45"/>
    <n v="439.45"/>
    <n v="0"/>
    <n v="522.41"/>
    <x v="1"/>
    <x v="8"/>
    <x v="0"/>
    <x v="0"/>
    <x v="1"/>
    <n v="5.17"/>
    <n v="5.17"/>
    <n v="5.17"/>
    <n v="439.45"/>
    <n v="439.45"/>
    <n v="522.41"/>
    <n v="522.41"/>
    <n v="522.41"/>
    <n v="522.41"/>
    <x v="1"/>
    <x v="0"/>
    <x v="0"/>
    <n v="0"/>
    <x v="0"/>
  </r>
  <r>
    <x v="143"/>
    <x v="124"/>
    <n v="50"/>
    <x v="5"/>
    <s v="2ºC"/>
    <x v="0"/>
    <s v="Mineral"/>
    <x v="19"/>
    <s v="4 - Fornecedor"/>
    <n v="4.66"/>
    <n v="4.66"/>
    <n v="0"/>
    <n v="4.66"/>
    <n v="396.1"/>
    <n v="396.1"/>
    <n v="0"/>
    <n v="471.23"/>
    <x v="1"/>
    <x v="8"/>
    <x v="0"/>
    <x v="0"/>
    <x v="1"/>
    <n v="4.66"/>
    <n v="4.66"/>
    <n v="4.66"/>
    <n v="396.1"/>
    <n v="396.1"/>
    <n v="471.23"/>
    <n v="471.23"/>
    <n v="471.23"/>
    <n v="471.23"/>
    <x v="1"/>
    <x v="0"/>
    <x v="0"/>
    <n v="0"/>
    <x v="0"/>
  </r>
  <r>
    <x v="143"/>
    <x v="124"/>
    <n v="51"/>
    <x v="5"/>
    <s v="2ºC"/>
    <x v="0"/>
    <s v="Mineral"/>
    <x v="19"/>
    <s v="4 - Fornecedor"/>
    <n v="5.58"/>
    <n v="5.58"/>
    <n v="0"/>
    <n v="5.58"/>
    <n v="474.3"/>
    <n v="474.3"/>
    <n v="0"/>
    <n v="564.05999999999995"/>
    <x v="1"/>
    <x v="8"/>
    <x v="0"/>
    <x v="0"/>
    <x v="1"/>
    <n v="5.58"/>
    <n v="5.58"/>
    <n v="5.58"/>
    <n v="474.3"/>
    <n v="474.3"/>
    <n v="564.05999999999995"/>
    <n v="564.05999999999995"/>
    <n v="564.05999999999995"/>
    <n v="564.05999999999995"/>
    <x v="1"/>
    <x v="0"/>
    <x v="0"/>
    <n v="0"/>
    <x v="0"/>
  </r>
  <r>
    <x v="143"/>
    <x v="124"/>
    <n v="52"/>
    <x v="5"/>
    <s v="2ºC"/>
    <x v="0"/>
    <s v="Mineral"/>
    <x v="19"/>
    <s v="4 - Fornecedor"/>
    <n v="4.75"/>
    <n v="4.75"/>
    <n v="0"/>
    <n v="4.75"/>
    <n v="403.75"/>
    <n v="389.5"/>
    <n v="0"/>
    <n v="464.09"/>
    <x v="1"/>
    <x v="8"/>
    <x v="0"/>
    <x v="0"/>
    <x v="1"/>
    <n v="4.75"/>
    <n v="4.75"/>
    <n v="4.75"/>
    <n v="403.75"/>
    <n v="389.5"/>
    <n v="464.09"/>
    <n v="464.09"/>
    <n v="464.09"/>
    <n v="464.09"/>
    <x v="1"/>
    <x v="0"/>
    <x v="0"/>
    <n v="0"/>
    <x v="0"/>
  </r>
  <r>
    <x v="143"/>
    <x v="124"/>
    <n v="53"/>
    <x v="5"/>
    <s v="2ºC"/>
    <x v="0"/>
    <s v="Mineral"/>
    <x v="19"/>
    <s v="4 - Fornecedor"/>
    <n v="8.89"/>
    <n v="8.89"/>
    <n v="0"/>
    <n v="8.89"/>
    <n v="755.65"/>
    <n v="755.65"/>
    <n v="0"/>
    <n v="900.96"/>
    <x v="1"/>
    <x v="8"/>
    <x v="0"/>
    <x v="0"/>
    <x v="1"/>
    <n v="8.89"/>
    <n v="8.89"/>
    <n v="8.89"/>
    <n v="755.65"/>
    <n v="755.65"/>
    <n v="900.96"/>
    <n v="900.96"/>
    <n v="900.96"/>
    <n v="900.96"/>
    <x v="1"/>
    <x v="0"/>
    <x v="0"/>
    <n v="0"/>
    <x v="0"/>
  </r>
  <r>
    <x v="143"/>
    <x v="124"/>
    <n v="54"/>
    <x v="5"/>
    <s v="2ºC"/>
    <x v="0"/>
    <s v="Mineral"/>
    <x v="19"/>
    <s v="4 - Fornecedor"/>
    <n v="5.58"/>
    <n v="5.58"/>
    <n v="0"/>
    <n v="5.58"/>
    <n v="474.3"/>
    <n v="474.3"/>
    <n v="0"/>
    <n v="482.46"/>
    <x v="1"/>
    <x v="8"/>
    <x v="0"/>
    <x v="0"/>
    <x v="1"/>
    <n v="5.58"/>
    <n v="5.58"/>
    <n v="5.58"/>
    <n v="474.3"/>
    <n v="474.3"/>
    <n v="482.46"/>
    <n v="482.46"/>
    <n v="482.46"/>
    <n v="482.46"/>
    <x v="1"/>
    <x v="0"/>
    <x v="0"/>
    <n v="0"/>
    <x v="0"/>
  </r>
  <r>
    <x v="143"/>
    <x v="124"/>
    <n v="55"/>
    <x v="5"/>
    <s v="2ºC"/>
    <x v="0"/>
    <s v="Mineral"/>
    <x v="19"/>
    <s v="4 - Fornecedor"/>
    <n v="1.38"/>
    <n v="1.38"/>
    <n v="0"/>
    <n v="1.38"/>
    <n v="117.3"/>
    <n v="117.3"/>
    <n v="0"/>
    <n v="119.05"/>
    <x v="1"/>
    <x v="8"/>
    <x v="0"/>
    <x v="0"/>
    <x v="1"/>
    <n v="1.38"/>
    <n v="1.38"/>
    <n v="1.38"/>
    <n v="117.3"/>
    <n v="117.3"/>
    <n v="119.05"/>
    <n v="119.05"/>
    <n v="119.05"/>
    <n v="119.05"/>
    <x v="1"/>
    <x v="0"/>
    <x v="0"/>
    <n v="0"/>
    <x v="0"/>
  </r>
  <r>
    <x v="143"/>
    <x v="124"/>
    <n v="56"/>
    <x v="5"/>
    <s v="2ºC"/>
    <x v="0"/>
    <s v="Mineral"/>
    <x v="19"/>
    <s v="4 - Fornecedor"/>
    <n v="3.29"/>
    <n v="3.29"/>
    <n v="0"/>
    <n v="3.29"/>
    <n v="279.64999999999998"/>
    <n v="279.64999999999998"/>
    <n v="0"/>
    <n v="284.97000000000003"/>
    <x v="1"/>
    <x v="8"/>
    <x v="0"/>
    <x v="0"/>
    <x v="1"/>
    <n v="3.29"/>
    <n v="3.29"/>
    <n v="3.29"/>
    <n v="279.64999999999998"/>
    <n v="279.64999999999998"/>
    <n v="284.97000000000003"/>
    <n v="284.97000000000003"/>
    <n v="284.97000000000003"/>
    <n v="284.97000000000003"/>
    <x v="1"/>
    <x v="0"/>
    <x v="0"/>
    <n v="0"/>
    <x v="0"/>
  </r>
  <r>
    <x v="143"/>
    <x v="124"/>
    <n v="57"/>
    <x v="5"/>
    <s v="2ºC"/>
    <x v="0"/>
    <s v="Mineral"/>
    <x v="19"/>
    <s v="4 - Fornecedor"/>
    <n v="5.43"/>
    <n v="5.43"/>
    <n v="0"/>
    <n v="5.43"/>
    <n v="461.55"/>
    <n v="461.55"/>
    <n v="0"/>
    <n v="470.24"/>
    <x v="1"/>
    <x v="8"/>
    <x v="0"/>
    <x v="0"/>
    <x v="1"/>
    <n v="5.43"/>
    <n v="5.43"/>
    <n v="5.43"/>
    <n v="461.55"/>
    <n v="461.55"/>
    <n v="470.24"/>
    <n v="470.24"/>
    <n v="470.24"/>
    <n v="470.24"/>
    <x v="1"/>
    <x v="0"/>
    <x v="0"/>
    <n v="0"/>
    <x v="0"/>
  </r>
  <r>
    <x v="143"/>
    <x v="124"/>
    <n v="58"/>
    <x v="5"/>
    <s v="2ºC"/>
    <x v="0"/>
    <s v="Mineral"/>
    <x v="31"/>
    <s v="4 - Fornecedor"/>
    <n v="5.91"/>
    <n v="5.91"/>
    <n v="0"/>
    <n v="5.91"/>
    <n v="472.8"/>
    <n v="472.8"/>
    <n v="0"/>
    <n v="481.44"/>
    <x v="1"/>
    <x v="8"/>
    <x v="0"/>
    <x v="0"/>
    <x v="1"/>
    <n v="5.91"/>
    <n v="5.91"/>
    <n v="5.91"/>
    <n v="472.8"/>
    <n v="472.8"/>
    <n v="481.44"/>
    <n v="481.44"/>
    <n v="481.44"/>
    <n v="481.44"/>
    <x v="1"/>
    <x v="0"/>
    <x v="0"/>
    <n v="0"/>
    <x v="0"/>
  </r>
  <r>
    <x v="143"/>
    <x v="124"/>
    <n v="59"/>
    <x v="5"/>
    <s v="2ºC"/>
    <x v="0"/>
    <s v="Mineral"/>
    <x v="31"/>
    <s v="4 - Fornecedor"/>
    <n v="6.6"/>
    <n v="6.6"/>
    <n v="0"/>
    <n v="6.6"/>
    <n v="528"/>
    <n v="541.20000000000005"/>
    <n v="0"/>
    <n v="550.65"/>
    <x v="1"/>
    <x v="8"/>
    <x v="0"/>
    <x v="0"/>
    <x v="1"/>
    <n v="6.6"/>
    <n v="6.6"/>
    <n v="6.6"/>
    <n v="528"/>
    <n v="541.20000000000005"/>
    <n v="550.65"/>
    <n v="550.65"/>
    <n v="550.65"/>
    <n v="550.65"/>
    <x v="1"/>
    <x v="0"/>
    <x v="0"/>
    <n v="0"/>
    <x v="0"/>
  </r>
  <r>
    <x v="143"/>
    <x v="124"/>
    <n v="60"/>
    <x v="5"/>
    <s v="2ºC"/>
    <x v="0"/>
    <s v="Mineral"/>
    <x v="19"/>
    <s v="4 - Fornecedor"/>
    <n v="8.5"/>
    <n v="8.5"/>
    <n v="0"/>
    <n v="8.5"/>
    <n v="722.5"/>
    <n v="697"/>
    <n v="0"/>
    <n v="709.92"/>
    <x v="1"/>
    <x v="8"/>
    <x v="0"/>
    <x v="0"/>
    <x v="1"/>
    <n v="8.5"/>
    <n v="8.5"/>
    <n v="8.5"/>
    <n v="722.5"/>
    <n v="697"/>
    <n v="709.92"/>
    <n v="709.92"/>
    <n v="709.92"/>
    <n v="709.92"/>
    <x v="1"/>
    <x v="0"/>
    <x v="0"/>
    <n v="0"/>
    <x v="0"/>
  </r>
  <r>
    <x v="143"/>
    <x v="124"/>
    <n v="64"/>
    <x v="5"/>
    <s v="2ºC"/>
    <x v="0"/>
    <s v="Mineral"/>
    <x v="14"/>
    <s v="4 - Fornecedor"/>
    <n v="9.7100000000000009"/>
    <n v="0"/>
    <n v="0"/>
    <n v="9.7100000000000009"/>
    <n v="903.03"/>
    <n v="0"/>
    <n v="0"/>
    <n v="1166.74"/>
    <x v="1"/>
    <x v="9"/>
    <x v="0"/>
    <x v="1"/>
    <x v="1"/>
    <n v="9.7100000000000009"/>
    <n v="9.7100000000000009"/>
    <n v="9.7100000000000009"/>
    <n v="903.03"/>
    <n v="1166.74"/>
    <n v="1166.74"/>
    <n v="1166.74"/>
    <n v="1166.74"/>
    <n v="1166.74"/>
    <x v="1"/>
    <x v="0"/>
    <x v="0"/>
    <n v="0"/>
    <x v="0"/>
  </r>
  <r>
    <x v="144"/>
    <x v="125"/>
    <n v="1"/>
    <x v="4"/>
    <s v="4ºC"/>
    <x v="0"/>
    <s v="Mineral"/>
    <x v="0"/>
    <s v="6 - Fornecedor - Repasse"/>
    <n v="5.55"/>
    <n v="0"/>
    <n v="0"/>
    <n v="5.55"/>
    <n v="371.85"/>
    <n v="0"/>
    <n v="0"/>
    <n v="460.86"/>
    <x v="1"/>
    <x v="27"/>
    <x v="0"/>
    <x v="1"/>
    <x v="1"/>
    <n v="5.55"/>
    <n v="5.55"/>
    <n v="5.55"/>
    <n v="371.85"/>
    <n v="460.86"/>
    <n v="460.86"/>
    <n v="460.86"/>
    <n v="460.86"/>
    <n v="460.86"/>
    <x v="1"/>
    <x v="0"/>
    <x v="0"/>
    <n v="0"/>
    <x v="0"/>
  </r>
  <r>
    <x v="144"/>
    <x v="125"/>
    <n v="2"/>
    <x v="4"/>
    <s v="4ºC"/>
    <x v="0"/>
    <s v="Mineral"/>
    <x v="34"/>
    <s v="6 - Fornecedor - Repasse"/>
    <n v="7.92"/>
    <n v="0"/>
    <n v="0"/>
    <n v="7.92"/>
    <n v="427.68"/>
    <n v="0"/>
    <n v="0"/>
    <n v="530.26"/>
    <x v="1"/>
    <x v="27"/>
    <x v="0"/>
    <x v="1"/>
    <x v="1"/>
    <n v="7.92"/>
    <n v="7.92"/>
    <n v="7.92"/>
    <n v="427.68"/>
    <n v="530.26"/>
    <n v="530.26"/>
    <n v="530.26"/>
    <n v="530.26"/>
    <n v="530.26"/>
    <x v="1"/>
    <x v="0"/>
    <x v="0"/>
    <n v="0"/>
    <x v="0"/>
  </r>
  <r>
    <x v="144"/>
    <x v="125"/>
    <n v="3"/>
    <x v="4"/>
    <s v="4ºC"/>
    <x v="0"/>
    <s v="Mineral"/>
    <x v="34"/>
    <s v="6 - Fornecedor - Repasse"/>
    <n v="60.42"/>
    <n v="0"/>
    <n v="0"/>
    <n v="60.42"/>
    <n v="3262.68"/>
    <n v="0"/>
    <n v="0"/>
    <n v="4043.51"/>
    <x v="1"/>
    <x v="27"/>
    <x v="0"/>
    <x v="1"/>
    <x v="1"/>
    <n v="60.42"/>
    <n v="60.42"/>
    <n v="60.42"/>
    <n v="3262.68"/>
    <n v="4043.51"/>
    <n v="4043.51"/>
    <n v="4043.51"/>
    <n v="4043.51"/>
    <n v="4043.51"/>
    <x v="1"/>
    <x v="0"/>
    <x v="0"/>
    <n v="0"/>
    <x v="0"/>
  </r>
  <r>
    <x v="144"/>
    <x v="125"/>
    <n v="4"/>
    <x v="4"/>
    <s v="4ºC"/>
    <x v="0"/>
    <s v="Mineral"/>
    <x v="34"/>
    <s v="6 - Fornecedor - Repasse"/>
    <n v="36.42"/>
    <n v="0"/>
    <n v="0"/>
    <n v="36.42"/>
    <n v="1966.68"/>
    <n v="0"/>
    <n v="0"/>
    <n v="2437.46"/>
    <x v="1"/>
    <x v="27"/>
    <x v="0"/>
    <x v="1"/>
    <x v="1"/>
    <n v="36.42"/>
    <n v="36.42"/>
    <n v="36.42"/>
    <n v="1966.68"/>
    <n v="2437.46"/>
    <n v="2437.46"/>
    <n v="2437.46"/>
    <n v="2437.46"/>
    <n v="2437.46"/>
    <x v="1"/>
    <x v="0"/>
    <x v="0"/>
    <n v="0"/>
    <x v="0"/>
  </r>
  <r>
    <x v="144"/>
    <x v="125"/>
    <n v="5"/>
    <x v="4"/>
    <s v="4ºC"/>
    <x v="0"/>
    <s v="Mineral"/>
    <x v="34"/>
    <s v="6 - Fornecedor - Repasse"/>
    <n v="25.74"/>
    <n v="0"/>
    <n v="0"/>
    <n v="25.74"/>
    <n v="1389.96"/>
    <n v="0"/>
    <n v="0"/>
    <n v="1723.08"/>
    <x v="1"/>
    <x v="27"/>
    <x v="0"/>
    <x v="1"/>
    <x v="1"/>
    <n v="25.74"/>
    <n v="25.74"/>
    <n v="25.74"/>
    <n v="1389.96"/>
    <n v="1723.08"/>
    <n v="1723.08"/>
    <n v="1723.08"/>
    <n v="1723.08"/>
    <n v="1723.08"/>
    <x v="1"/>
    <x v="0"/>
    <x v="0"/>
    <n v="0"/>
    <x v="0"/>
  </r>
  <r>
    <x v="144"/>
    <x v="125"/>
    <n v="6"/>
    <x v="4"/>
    <s v="4ºC"/>
    <x v="0"/>
    <s v="Mineral"/>
    <x v="34"/>
    <s v="6 - Fornecedor - Repasse"/>
    <n v="38.619999999999997"/>
    <n v="38.619999999999997"/>
    <n v="38.619999999999997"/>
    <n v="38.619999999999997"/>
    <n v="1544.8"/>
    <n v="1544.8"/>
    <n v="1544.8"/>
    <n v="1399.17"/>
    <x v="1"/>
    <x v="32"/>
    <x v="0"/>
    <x v="0"/>
    <x v="0"/>
    <n v="38.619999999999997"/>
    <n v="38.619999999999997"/>
    <n v="38.619999999999997"/>
    <n v="1544.8"/>
    <n v="1544.8"/>
    <n v="1544.8"/>
    <n v="1399.17"/>
    <n v="1399.17"/>
    <n v="1399.17"/>
    <x v="1"/>
    <x v="0"/>
    <x v="0"/>
    <n v="0"/>
    <x v="0"/>
  </r>
  <r>
    <x v="144"/>
    <x v="125"/>
    <n v="7"/>
    <x v="4"/>
    <s v="4ºC"/>
    <x v="0"/>
    <s v="Mineral"/>
    <x v="1"/>
    <s v="6 - Fornecedor - Repasse"/>
    <n v="34.75"/>
    <n v="34.75"/>
    <n v="34.75"/>
    <n v="34.75"/>
    <n v="1390"/>
    <n v="1390"/>
    <n v="1390"/>
    <n v="1258.8800000000001"/>
    <x v="1"/>
    <x v="32"/>
    <x v="0"/>
    <x v="0"/>
    <x v="0"/>
    <n v="34.75"/>
    <n v="34.75"/>
    <n v="34.75"/>
    <n v="1390"/>
    <n v="1390"/>
    <n v="1390"/>
    <n v="1258.8800000000001"/>
    <n v="1258.8800000000001"/>
    <n v="1258.8800000000001"/>
    <x v="1"/>
    <x v="0"/>
    <x v="0"/>
    <n v="0"/>
    <x v="0"/>
  </r>
  <r>
    <x v="144"/>
    <x v="125"/>
    <n v="8"/>
    <x v="2"/>
    <s v="3ºC"/>
    <x v="0"/>
    <s v="Mineral"/>
    <x v="18"/>
    <s v="6 - Fornecedor - Repasse"/>
    <n v="2.4900000000000002"/>
    <n v="2.4900000000000002"/>
    <n v="2.4900000000000002"/>
    <n v="2.4900000000000002"/>
    <n v="186.75"/>
    <n v="186.75"/>
    <n v="186.75"/>
    <n v="207.27"/>
    <x v="1"/>
    <x v="19"/>
    <x v="0"/>
    <x v="0"/>
    <x v="0"/>
    <n v="2.4900000000000002"/>
    <n v="2.4900000000000002"/>
    <n v="2.4900000000000002"/>
    <n v="186.75"/>
    <n v="186.75"/>
    <n v="186.75"/>
    <n v="207.27"/>
    <n v="207.27"/>
    <n v="207.27"/>
    <x v="1"/>
    <x v="0"/>
    <x v="0"/>
    <n v="0"/>
    <x v="0"/>
  </r>
  <r>
    <x v="144"/>
    <x v="125"/>
    <n v="9"/>
    <x v="2"/>
    <s v="3ºC"/>
    <x v="0"/>
    <s v="Mineral"/>
    <x v="18"/>
    <s v="6 - Fornecedor - Repasse"/>
    <n v="46.45"/>
    <n v="46.45"/>
    <n v="46.45"/>
    <n v="46.45"/>
    <n v="3483.75"/>
    <n v="3483.75"/>
    <n v="3483.75"/>
    <n v="3864.25"/>
    <x v="1"/>
    <x v="19"/>
    <x v="0"/>
    <x v="0"/>
    <x v="0"/>
    <n v="46.45"/>
    <n v="46.45"/>
    <n v="46.45"/>
    <n v="3483.75"/>
    <n v="3483.75"/>
    <n v="3483.75"/>
    <n v="3864.25"/>
    <n v="3864.25"/>
    <n v="3864.25"/>
    <x v="1"/>
    <x v="0"/>
    <x v="0"/>
    <n v="0"/>
    <x v="0"/>
  </r>
  <r>
    <x v="144"/>
    <x v="125"/>
    <n v="10"/>
    <x v="2"/>
    <s v="3ºC"/>
    <x v="0"/>
    <s v="Mineral"/>
    <x v="35"/>
    <s v="6 - Fornecedor - Repasse"/>
    <n v="10.36"/>
    <n v="10.36"/>
    <n v="10.36"/>
    <n v="10.36"/>
    <n v="777"/>
    <n v="777"/>
    <n v="777"/>
    <n v="861.7"/>
    <x v="1"/>
    <x v="19"/>
    <x v="0"/>
    <x v="0"/>
    <x v="0"/>
    <n v="10.36"/>
    <n v="10.36"/>
    <n v="10.36"/>
    <n v="777"/>
    <n v="777"/>
    <n v="777"/>
    <n v="861.7"/>
    <n v="861.7"/>
    <n v="861.7"/>
    <x v="1"/>
    <x v="0"/>
    <x v="0"/>
    <n v="0"/>
    <x v="0"/>
  </r>
  <r>
    <x v="144"/>
    <x v="125"/>
    <n v="11"/>
    <x v="2"/>
    <s v="3ºC"/>
    <x v="0"/>
    <s v="Mineral"/>
    <x v="6"/>
    <s v="6 - Fornecedor - Repasse"/>
    <n v="18.57"/>
    <n v="18.57"/>
    <n v="18.57"/>
    <n v="18.57"/>
    <n v="1392.75"/>
    <n v="1392.75"/>
    <n v="1392.75"/>
    <n v="1544.95"/>
    <x v="1"/>
    <x v="19"/>
    <x v="0"/>
    <x v="0"/>
    <x v="0"/>
    <n v="18.57"/>
    <n v="18.57"/>
    <n v="18.57"/>
    <n v="1392.75"/>
    <n v="1392.75"/>
    <n v="1392.75"/>
    <n v="1544.95"/>
    <n v="1544.95"/>
    <n v="1544.95"/>
    <x v="1"/>
    <x v="0"/>
    <x v="0"/>
    <n v="0"/>
    <x v="0"/>
  </r>
  <r>
    <x v="144"/>
    <x v="125"/>
    <n v="12"/>
    <x v="2"/>
    <s v="3ºC"/>
    <x v="0"/>
    <s v="Mineral"/>
    <x v="6"/>
    <s v="6 - Fornecedor - Repasse"/>
    <n v="22.68"/>
    <n v="22.68"/>
    <n v="22.68"/>
    <n v="22.68"/>
    <n v="1701"/>
    <n v="1701"/>
    <n v="1701"/>
    <n v="1886.57"/>
    <x v="1"/>
    <x v="19"/>
    <x v="0"/>
    <x v="0"/>
    <x v="0"/>
    <n v="22.68"/>
    <n v="22.68"/>
    <n v="22.68"/>
    <n v="1701"/>
    <n v="1701"/>
    <n v="1701"/>
    <n v="1886.57"/>
    <n v="1886.57"/>
    <n v="1886.57"/>
    <x v="1"/>
    <x v="0"/>
    <x v="0"/>
    <n v="0"/>
    <x v="0"/>
  </r>
  <r>
    <x v="144"/>
    <x v="125"/>
    <n v="13"/>
    <x v="2"/>
    <s v="3ºC"/>
    <x v="0"/>
    <s v="Mineral"/>
    <x v="34"/>
    <s v="6 - Fornecedor - Repasse"/>
    <n v="6.32"/>
    <n v="6.32"/>
    <n v="6.32"/>
    <n v="6.32"/>
    <n v="474"/>
    <n v="474"/>
    <n v="474"/>
    <n v="531.53"/>
    <x v="1"/>
    <x v="19"/>
    <x v="0"/>
    <x v="0"/>
    <x v="0"/>
    <n v="6.32"/>
    <n v="6.32"/>
    <n v="6.32"/>
    <n v="474"/>
    <n v="474"/>
    <n v="474"/>
    <n v="531.53"/>
    <n v="531.53"/>
    <n v="531.53"/>
    <x v="1"/>
    <x v="0"/>
    <x v="0"/>
    <n v="0"/>
    <x v="0"/>
  </r>
  <r>
    <x v="144"/>
    <x v="125"/>
    <n v="14"/>
    <x v="2"/>
    <s v="3ºC"/>
    <x v="0"/>
    <s v="Mineral"/>
    <x v="34"/>
    <s v="6 - Fornecedor - Repasse"/>
    <n v="29.08"/>
    <n v="29.08"/>
    <n v="29.08"/>
    <n v="29.08"/>
    <n v="2181"/>
    <n v="2181"/>
    <n v="2181"/>
    <n v="2505.7600000000002"/>
    <x v="1"/>
    <x v="26"/>
    <x v="0"/>
    <x v="0"/>
    <x v="0"/>
    <n v="29.08"/>
    <n v="29.08"/>
    <n v="29.08"/>
    <n v="2181"/>
    <n v="2181"/>
    <n v="2181"/>
    <n v="2505.7600000000002"/>
    <n v="2505.7600000000002"/>
    <n v="2505.7600000000002"/>
    <x v="1"/>
    <x v="0"/>
    <x v="0"/>
    <n v="0"/>
    <x v="0"/>
  </r>
  <r>
    <x v="144"/>
    <x v="125"/>
    <n v="15"/>
    <x v="2"/>
    <s v="3ºC"/>
    <x v="0"/>
    <s v="Mineral"/>
    <x v="34"/>
    <s v="6 - Fornecedor - Repasse"/>
    <n v="46.21"/>
    <n v="0"/>
    <n v="0"/>
    <n v="46.21"/>
    <n v="3511.96"/>
    <n v="0"/>
    <n v="0"/>
    <n v="3615.81"/>
    <x v="1"/>
    <x v="14"/>
    <x v="0"/>
    <x v="1"/>
    <x v="1"/>
    <n v="46.21"/>
    <n v="46.21"/>
    <n v="46.21"/>
    <n v="3511.96"/>
    <n v="3615.81"/>
    <n v="3615.81"/>
    <n v="3615.81"/>
    <n v="3615.81"/>
    <n v="3615.81"/>
    <x v="1"/>
    <x v="0"/>
    <x v="0"/>
    <n v="0"/>
    <x v="0"/>
  </r>
  <r>
    <x v="144"/>
    <x v="125"/>
    <n v="16"/>
    <x v="2"/>
    <s v="3ºC"/>
    <x v="0"/>
    <s v="Mineral"/>
    <x v="34"/>
    <s v="6 - Fornecedor - Repasse"/>
    <n v="20.79"/>
    <n v="0"/>
    <n v="0"/>
    <n v="20.79"/>
    <n v="1621.62"/>
    <n v="0"/>
    <n v="0"/>
    <n v="1669.89"/>
    <x v="1"/>
    <x v="14"/>
    <x v="0"/>
    <x v="1"/>
    <x v="1"/>
    <n v="20.79"/>
    <n v="20.79"/>
    <n v="20.79"/>
    <n v="1621.62"/>
    <n v="1669.89"/>
    <n v="1669.89"/>
    <n v="1669.89"/>
    <n v="1669.89"/>
    <n v="1669.89"/>
    <x v="1"/>
    <x v="0"/>
    <x v="0"/>
    <n v="0"/>
    <x v="0"/>
  </r>
  <r>
    <x v="144"/>
    <x v="125"/>
    <n v="17"/>
    <x v="2"/>
    <s v="3ºC"/>
    <x v="0"/>
    <s v="Mineral"/>
    <x v="31"/>
    <s v="6 - Fornecedor - Repasse"/>
    <n v="18.18"/>
    <n v="0"/>
    <n v="0"/>
    <n v="18.18"/>
    <n v="1454.4"/>
    <n v="0"/>
    <n v="0"/>
    <n v="1497.22"/>
    <x v="1"/>
    <x v="14"/>
    <x v="0"/>
    <x v="1"/>
    <x v="1"/>
    <n v="18.18"/>
    <n v="18.18"/>
    <n v="18.18"/>
    <n v="1454.4"/>
    <n v="1497.22"/>
    <n v="1497.22"/>
    <n v="1497.22"/>
    <n v="1497.22"/>
    <n v="1497.22"/>
    <x v="1"/>
    <x v="0"/>
    <x v="0"/>
    <n v="0"/>
    <x v="0"/>
  </r>
  <r>
    <x v="144"/>
    <x v="125"/>
    <n v="18"/>
    <x v="5"/>
    <s v="2ºC"/>
    <x v="0"/>
    <s v="Mineral"/>
    <x v="13"/>
    <s v="6 - Fornecedor - Repasse"/>
    <n v="11.22"/>
    <n v="11.22"/>
    <n v="11.22"/>
    <n v="11.22"/>
    <n v="785.4"/>
    <n v="785.4"/>
    <n v="785.4"/>
    <n v="788.12"/>
    <x v="1"/>
    <x v="32"/>
    <x v="0"/>
    <x v="0"/>
    <x v="0"/>
    <n v="11.22"/>
    <n v="11.22"/>
    <n v="11.22"/>
    <n v="785.4"/>
    <n v="785.4"/>
    <n v="785.4"/>
    <n v="788.12"/>
    <n v="788.12"/>
    <n v="788.12"/>
    <x v="1"/>
    <x v="0"/>
    <x v="0"/>
    <n v="0"/>
    <x v="0"/>
  </r>
  <r>
    <x v="144"/>
    <x v="125"/>
    <n v="19"/>
    <x v="4"/>
    <s v="4ºC"/>
    <x v="0"/>
    <s v="Mineral"/>
    <x v="13"/>
    <s v="6 - Fornecedor - Repasse"/>
    <n v="11.46"/>
    <n v="11.46"/>
    <n v="11.46"/>
    <n v="11.46"/>
    <n v="618.84"/>
    <n v="618.84"/>
    <n v="618.84"/>
    <n v="569.34"/>
    <x v="1"/>
    <x v="1"/>
    <x v="0"/>
    <x v="0"/>
    <x v="0"/>
    <n v="11.46"/>
    <n v="11.46"/>
    <n v="11.46"/>
    <n v="618.84"/>
    <n v="618.84"/>
    <n v="618.84"/>
    <n v="569.34"/>
    <n v="569.34"/>
    <n v="569.34"/>
    <x v="1"/>
    <x v="0"/>
    <x v="0"/>
    <n v="0"/>
    <x v="0"/>
  </r>
  <r>
    <x v="144"/>
    <x v="125"/>
    <n v="20"/>
    <x v="4"/>
    <s v="4ºC"/>
    <x v="0"/>
    <s v="Mineral"/>
    <x v="13"/>
    <s v="6 - Fornecedor - Repasse"/>
    <n v="19.03"/>
    <n v="19.03"/>
    <n v="19.03"/>
    <n v="19.03"/>
    <n v="1027.6199999999999"/>
    <n v="1027.6199999999999"/>
    <n v="1027.6199999999999"/>
    <n v="945.6"/>
    <x v="1"/>
    <x v="1"/>
    <x v="0"/>
    <x v="0"/>
    <x v="0"/>
    <n v="19.03"/>
    <n v="19.03"/>
    <n v="19.03"/>
    <n v="1027.6199999999999"/>
    <n v="1027.6199999999999"/>
    <n v="1027.6199999999999"/>
    <n v="945.6"/>
    <n v="945.6"/>
    <n v="945.6"/>
    <x v="1"/>
    <x v="0"/>
    <x v="0"/>
    <n v="0"/>
    <x v="0"/>
  </r>
  <r>
    <x v="144"/>
    <x v="125"/>
    <n v="21"/>
    <x v="4"/>
    <s v="4ºC"/>
    <x v="0"/>
    <s v="Mineral"/>
    <x v="13"/>
    <s v="6 - Fornecedor - Repasse"/>
    <n v="38.42"/>
    <n v="38.42"/>
    <n v="38.42"/>
    <n v="38.42"/>
    <n v="2074.6799999999998"/>
    <n v="2074.6799999999998"/>
    <n v="2074.6799999999998"/>
    <n v="2585.12"/>
    <x v="1"/>
    <x v="12"/>
    <x v="0"/>
    <x v="0"/>
    <x v="0"/>
    <n v="38.42"/>
    <n v="38.42"/>
    <n v="38.42"/>
    <n v="2074.6799999999998"/>
    <n v="2074.6799999999998"/>
    <n v="2074.6799999999998"/>
    <n v="2585.12"/>
    <n v="2585.12"/>
    <n v="2585.12"/>
    <x v="1"/>
    <x v="0"/>
    <x v="0"/>
    <n v="0"/>
    <x v="0"/>
  </r>
  <r>
    <x v="144"/>
    <x v="125"/>
    <n v="22"/>
    <x v="4"/>
    <s v="4ºC"/>
    <x v="0"/>
    <s v="Mineral"/>
    <x v="13"/>
    <s v="6 - Fornecedor - Repasse"/>
    <n v="43.46"/>
    <n v="43.46"/>
    <n v="43.46"/>
    <n v="43.46"/>
    <n v="2346.84"/>
    <n v="2086.08"/>
    <n v="2129.54"/>
    <n v="2653.81"/>
    <x v="1"/>
    <x v="12"/>
    <x v="0"/>
    <x v="0"/>
    <x v="0"/>
    <n v="43.46"/>
    <n v="43.46"/>
    <n v="43.46"/>
    <n v="2346.84"/>
    <n v="2086.08"/>
    <n v="2129.54"/>
    <n v="2653.81"/>
    <n v="2653.81"/>
    <n v="2653.81"/>
    <x v="1"/>
    <x v="0"/>
    <x v="0"/>
    <n v="0"/>
    <x v="0"/>
  </r>
  <r>
    <x v="144"/>
    <x v="125"/>
    <n v="23"/>
    <x v="5"/>
    <s v="2ºC"/>
    <x v="0"/>
    <s v="Mineral"/>
    <x v="13"/>
    <s v="6 - Fornecedor - Repasse"/>
    <n v="47.93"/>
    <n v="47.93"/>
    <n v="47.93"/>
    <n v="47.93"/>
    <n v="3355.1"/>
    <n v="3738.54"/>
    <n v="3738.54"/>
    <n v="3754.24"/>
    <x v="1"/>
    <x v="32"/>
    <x v="0"/>
    <x v="0"/>
    <x v="0"/>
    <n v="47.93"/>
    <n v="47.93"/>
    <n v="47.93"/>
    <n v="3355.1"/>
    <n v="3738.54"/>
    <n v="3738.54"/>
    <n v="3754.24"/>
    <n v="3754.24"/>
    <n v="3754.24"/>
    <x v="1"/>
    <x v="0"/>
    <x v="0"/>
    <n v="0"/>
    <x v="0"/>
  </r>
  <r>
    <x v="144"/>
    <x v="125"/>
    <n v="24"/>
    <x v="5"/>
    <s v="2ºC"/>
    <x v="0"/>
    <s v="Mineral"/>
    <x v="13"/>
    <s v="6 - Fornecedor - Repasse"/>
    <n v="23.28"/>
    <n v="23.28"/>
    <n v="23.28"/>
    <n v="23.28"/>
    <n v="1629.6"/>
    <n v="1815.84"/>
    <n v="1815.84"/>
    <n v="1823.65"/>
    <x v="1"/>
    <x v="32"/>
    <x v="0"/>
    <x v="0"/>
    <x v="0"/>
    <n v="23.28"/>
    <n v="23.28"/>
    <n v="23.28"/>
    <n v="1629.6"/>
    <n v="1815.84"/>
    <n v="1815.84"/>
    <n v="1823.65"/>
    <n v="1823.65"/>
    <n v="1823.65"/>
    <x v="1"/>
    <x v="0"/>
    <x v="0"/>
    <n v="0"/>
    <x v="0"/>
  </r>
  <r>
    <x v="144"/>
    <x v="125"/>
    <n v="25"/>
    <x v="5"/>
    <s v="2ºC"/>
    <x v="0"/>
    <s v="Mineral"/>
    <x v="13"/>
    <s v="6 - Fornecedor - Repasse"/>
    <n v="37.22"/>
    <n v="37.22"/>
    <n v="37.22"/>
    <n v="37.22"/>
    <n v="2605.4"/>
    <n v="2679.84"/>
    <n v="2679.84"/>
    <n v="2911.42"/>
    <x v="1"/>
    <x v="12"/>
    <x v="0"/>
    <x v="0"/>
    <x v="0"/>
    <n v="37.22"/>
    <n v="37.22"/>
    <n v="37.22"/>
    <n v="2605.4"/>
    <n v="2679.84"/>
    <n v="2679.84"/>
    <n v="2911.42"/>
    <n v="2911.42"/>
    <n v="2911.42"/>
    <x v="1"/>
    <x v="0"/>
    <x v="0"/>
    <n v="0"/>
    <x v="0"/>
  </r>
  <r>
    <x v="144"/>
    <x v="125"/>
    <n v="26"/>
    <x v="5"/>
    <s v="2ºC"/>
    <x v="0"/>
    <s v="Mineral"/>
    <x v="13"/>
    <s v="6 - Fornecedor - Repasse"/>
    <n v="68.819999999999993"/>
    <n v="68.819999999999993"/>
    <n v="68.819999999999993"/>
    <n v="68.819999999999993"/>
    <n v="4817.3999999999996"/>
    <n v="4955.04"/>
    <n v="4955.04"/>
    <n v="5383.08"/>
    <x v="1"/>
    <x v="12"/>
    <x v="0"/>
    <x v="0"/>
    <x v="0"/>
    <n v="68.819999999999993"/>
    <n v="68.819999999999993"/>
    <n v="68.819999999999993"/>
    <n v="4817.3999999999996"/>
    <n v="4955.04"/>
    <n v="4955.04"/>
    <n v="5383.08"/>
    <n v="5383.08"/>
    <n v="5383.08"/>
    <x v="1"/>
    <x v="0"/>
    <x v="0"/>
    <n v="0"/>
    <x v="0"/>
  </r>
  <r>
    <x v="144"/>
    <x v="125"/>
    <n v="27"/>
    <x v="5"/>
    <s v="2ºC"/>
    <x v="0"/>
    <s v="Mineral"/>
    <x v="31"/>
    <s v="6 - Fornecedor - Repasse"/>
    <n v="31.84"/>
    <n v="31.84"/>
    <n v="31.84"/>
    <n v="31.84"/>
    <n v="2547.1999999999998"/>
    <n v="2674.56"/>
    <n v="2706.4"/>
    <n v="2939.63"/>
    <x v="1"/>
    <x v="12"/>
    <x v="0"/>
    <x v="0"/>
    <x v="0"/>
    <n v="31.84"/>
    <n v="31.84"/>
    <n v="31.84"/>
    <n v="2547.1999999999998"/>
    <n v="2674.56"/>
    <n v="2706.4"/>
    <n v="2939.63"/>
    <n v="2939.63"/>
    <n v="2939.63"/>
    <x v="1"/>
    <x v="0"/>
    <x v="0"/>
    <n v="0"/>
    <x v="0"/>
  </r>
  <r>
    <x v="144"/>
    <x v="125"/>
    <n v="28"/>
    <x v="5"/>
    <s v="2ºC"/>
    <x v="0"/>
    <s v="Mineral"/>
    <x v="31"/>
    <s v="6 - Fornecedor - Repasse"/>
    <n v="35.25"/>
    <n v="35.25"/>
    <n v="35.25"/>
    <n v="35.25"/>
    <n v="2820"/>
    <n v="2961"/>
    <n v="2996.25"/>
    <n v="3254.74"/>
    <x v="1"/>
    <x v="12"/>
    <x v="0"/>
    <x v="0"/>
    <x v="0"/>
    <n v="35.25"/>
    <n v="35.25"/>
    <n v="35.25"/>
    <n v="2820"/>
    <n v="2961"/>
    <n v="2996.25"/>
    <n v="3254.74"/>
    <n v="3254.74"/>
    <n v="3254.74"/>
    <x v="1"/>
    <x v="0"/>
    <x v="0"/>
    <n v="0"/>
    <x v="0"/>
  </r>
  <r>
    <x v="144"/>
    <x v="125"/>
    <n v="29"/>
    <x v="5"/>
    <s v="2ºC"/>
    <x v="0"/>
    <s v="Mineral"/>
    <x v="31"/>
    <s v="6 - Fornecedor - Repasse"/>
    <n v="46.68"/>
    <n v="46.68"/>
    <n v="46.68"/>
    <n v="46.68"/>
    <n v="3734.4"/>
    <n v="3921.12"/>
    <n v="3967.8"/>
    <n v="4312.1499999999996"/>
    <x v="1"/>
    <x v="12"/>
    <x v="0"/>
    <x v="0"/>
    <x v="0"/>
    <n v="46.68"/>
    <n v="46.68"/>
    <n v="46.68"/>
    <n v="3734.4"/>
    <n v="3921.12"/>
    <n v="3967.8"/>
    <n v="4312.1499999999996"/>
    <n v="4312.1499999999996"/>
    <n v="4312.1499999999996"/>
    <x v="1"/>
    <x v="0"/>
    <x v="0"/>
    <n v="0"/>
    <x v="0"/>
  </r>
  <r>
    <x v="145"/>
    <x v="126"/>
    <n v="1"/>
    <x v="2"/>
    <s v="3ºC"/>
    <x v="0"/>
    <s v="Mineral"/>
    <x v="18"/>
    <s v="6 - Fornecedor - Repasse"/>
    <n v="18.510000000000002"/>
    <n v="18.510000000000002"/>
    <n v="18.510000000000002"/>
    <n v="18.510000000000002"/>
    <n v="1480.8"/>
    <n v="1388.25"/>
    <n v="1388.25"/>
    <n v="1737.25"/>
    <x v="1"/>
    <x v="34"/>
    <x v="0"/>
    <x v="0"/>
    <x v="0"/>
    <n v="18.510000000000002"/>
    <n v="18.510000000000002"/>
    <n v="18.510000000000002"/>
    <n v="1480.8"/>
    <n v="1388.25"/>
    <n v="1388.25"/>
    <n v="1737.25"/>
    <n v="1737.25"/>
    <n v="1737.25"/>
    <x v="1"/>
    <x v="0"/>
    <x v="0"/>
    <n v="0"/>
    <x v="0"/>
  </r>
  <r>
    <x v="145"/>
    <x v="126"/>
    <n v="2"/>
    <x v="2"/>
    <s v="3ºC"/>
    <x v="0"/>
    <s v="Mineral"/>
    <x v="18"/>
    <s v="6 - Fornecedor - Repasse"/>
    <n v="15.55"/>
    <n v="15.55"/>
    <n v="15.55"/>
    <n v="15.55"/>
    <n v="1166.25"/>
    <n v="1010.75"/>
    <n v="1010.75"/>
    <n v="1265.3499999999999"/>
    <x v="1"/>
    <x v="34"/>
    <x v="0"/>
    <x v="0"/>
    <x v="0"/>
    <n v="15.55"/>
    <n v="15.55"/>
    <n v="15.55"/>
    <n v="1166.25"/>
    <n v="1010.75"/>
    <n v="1010.75"/>
    <n v="1265.3499999999999"/>
    <n v="1265.3499999999999"/>
    <n v="1265.3499999999999"/>
    <x v="1"/>
    <x v="0"/>
    <x v="0"/>
    <n v="0"/>
    <x v="0"/>
  </r>
  <r>
    <x v="145"/>
    <x v="126"/>
    <n v="3"/>
    <x v="2"/>
    <s v="3ºC"/>
    <x v="0"/>
    <s v="Mineral"/>
    <x v="18"/>
    <s v="6 - Fornecedor - Repasse"/>
    <n v="1.86"/>
    <n v="1.86"/>
    <n v="1.86"/>
    <n v="1.86"/>
    <n v="139.5"/>
    <n v="139.5"/>
    <n v="139.5"/>
    <n v="175.11"/>
    <x v="1"/>
    <x v="34"/>
    <x v="0"/>
    <x v="0"/>
    <x v="0"/>
    <n v="1.86"/>
    <n v="1.86"/>
    <n v="1.86"/>
    <n v="139.5"/>
    <n v="139.5"/>
    <n v="139.5"/>
    <n v="175.11"/>
    <n v="175.11"/>
    <n v="175.11"/>
    <x v="1"/>
    <x v="0"/>
    <x v="0"/>
    <n v="0"/>
    <x v="0"/>
  </r>
  <r>
    <x v="145"/>
    <x v="126"/>
    <n v="4"/>
    <x v="2"/>
    <s v="3ºC"/>
    <x v="0"/>
    <s v="Mineral"/>
    <x v="18"/>
    <s v="6 - Fornecedor - Repasse"/>
    <n v="14.82"/>
    <n v="14.82"/>
    <n v="14.82"/>
    <n v="14.82"/>
    <n v="1111.5"/>
    <n v="1111.5"/>
    <n v="1111.5"/>
    <n v="1391.78"/>
    <x v="1"/>
    <x v="34"/>
    <x v="0"/>
    <x v="0"/>
    <x v="0"/>
    <n v="14.82"/>
    <n v="14.82"/>
    <n v="14.82"/>
    <n v="1111.5"/>
    <n v="1111.5"/>
    <n v="1111.5"/>
    <n v="1391.78"/>
    <n v="1391.78"/>
    <n v="1391.78"/>
    <x v="1"/>
    <x v="0"/>
    <x v="0"/>
    <n v="0"/>
    <x v="0"/>
  </r>
  <r>
    <x v="145"/>
    <x v="126"/>
    <n v="5"/>
    <x v="2"/>
    <s v="3ºC"/>
    <x v="0"/>
    <s v="Mineral"/>
    <x v="18"/>
    <s v="6 - Fornecedor - Repasse"/>
    <n v="1.29"/>
    <n v="1.29"/>
    <n v="1.29"/>
    <n v="1.29"/>
    <n v="96.75"/>
    <n v="96.75"/>
    <n v="96.75"/>
    <n v="121.29"/>
    <x v="1"/>
    <x v="34"/>
    <x v="0"/>
    <x v="0"/>
    <x v="0"/>
    <n v="1.29"/>
    <n v="1.29"/>
    <n v="1.29"/>
    <n v="96.75"/>
    <n v="96.75"/>
    <n v="96.75"/>
    <n v="121.29"/>
    <n v="121.29"/>
    <n v="121.29"/>
    <x v="1"/>
    <x v="0"/>
    <x v="0"/>
    <n v="0"/>
    <x v="0"/>
  </r>
  <r>
    <x v="145"/>
    <x v="126"/>
    <n v="6"/>
    <x v="2"/>
    <s v="3ºC"/>
    <x v="0"/>
    <s v="Mineral"/>
    <x v="18"/>
    <s v="6 - Fornecedor - Repasse"/>
    <n v="17.18"/>
    <n v="17.18"/>
    <n v="17.18"/>
    <n v="17.18"/>
    <n v="1288.5"/>
    <n v="1288.5"/>
    <n v="1288.5"/>
    <n v="1613.33"/>
    <x v="1"/>
    <x v="34"/>
    <x v="0"/>
    <x v="0"/>
    <x v="0"/>
    <n v="17.18"/>
    <n v="17.18"/>
    <n v="17.18"/>
    <n v="1288.5"/>
    <n v="1288.5"/>
    <n v="1288.5"/>
    <n v="1613.33"/>
    <n v="1613.33"/>
    <n v="1613.33"/>
    <x v="1"/>
    <x v="0"/>
    <x v="0"/>
    <n v="0"/>
    <x v="0"/>
  </r>
  <r>
    <x v="145"/>
    <x v="126"/>
    <n v="7"/>
    <x v="2"/>
    <s v="3ºC"/>
    <x v="0"/>
    <s v="Mineral"/>
    <x v="18"/>
    <s v="6 - Fornecedor - Repasse"/>
    <n v="22.19"/>
    <n v="22.19"/>
    <n v="22.19"/>
    <n v="22.19"/>
    <n v="1664.25"/>
    <n v="1664.25"/>
    <n v="1664.25"/>
    <n v="2083.61"/>
    <x v="1"/>
    <x v="34"/>
    <x v="0"/>
    <x v="0"/>
    <x v="0"/>
    <n v="22.19"/>
    <n v="22.19"/>
    <n v="22.19"/>
    <n v="1664.25"/>
    <n v="1664.25"/>
    <n v="1664.25"/>
    <n v="2083.61"/>
    <n v="2083.61"/>
    <n v="2083.61"/>
    <x v="1"/>
    <x v="0"/>
    <x v="0"/>
    <n v="0"/>
    <x v="0"/>
  </r>
  <r>
    <x v="146"/>
    <x v="127"/>
    <n v="1"/>
    <x v="2"/>
    <s v="3ºC"/>
    <x v="0"/>
    <s v="Mineral"/>
    <x v="18"/>
    <s v="6 - Fornecedor - Repasse"/>
    <n v="14.43"/>
    <n v="14.43"/>
    <n v="14.43"/>
    <n v="14.43"/>
    <n v="1096.68"/>
    <n v="1096.68"/>
    <n v="1096.68"/>
    <n v="1046.1099999999999"/>
    <x v="1"/>
    <x v="2"/>
    <x v="0"/>
    <x v="0"/>
    <x v="0"/>
    <n v="14.43"/>
    <n v="14.43"/>
    <n v="14.43"/>
    <n v="1096.68"/>
    <n v="1096.68"/>
    <n v="1096.68"/>
    <n v="1046.1099999999999"/>
    <n v="1046.1099999999999"/>
    <n v="1046.1099999999999"/>
    <x v="1"/>
    <x v="0"/>
    <x v="0"/>
    <n v="0"/>
    <x v="0"/>
  </r>
  <r>
    <x v="146"/>
    <x v="127"/>
    <n v="2"/>
    <x v="2"/>
    <s v="3ºC"/>
    <x v="0"/>
    <s v="Mineral"/>
    <x v="18"/>
    <s v="6 - Fornecedor - Repasse"/>
    <n v="14.81"/>
    <n v="14.81"/>
    <n v="14.81"/>
    <n v="14.81"/>
    <n v="1125.56"/>
    <n v="1184.8"/>
    <n v="1184.8"/>
    <n v="1130.03"/>
    <x v="1"/>
    <x v="2"/>
    <x v="0"/>
    <x v="0"/>
    <x v="0"/>
    <n v="14.81"/>
    <n v="14.81"/>
    <n v="14.81"/>
    <n v="1125.56"/>
    <n v="1184.8"/>
    <n v="1184.8"/>
    <n v="1130.03"/>
    <n v="1130.03"/>
    <n v="1130.03"/>
    <x v="1"/>
    <x v="0"/>
    <x v="0"/>
    <n v="0"/>
    <x v="0"/>
  </r>
  <r>
    <x v="146"/>
    <x v="127"/>
    <n v="3"/>
    <x v="2"/>
    <s v="3ºC"/>
    <x v="0"/>
    <s v="Mineral"/>
    <x v="18"/>
    <s v="6 - Fornecedor - Repasse"/>
    <n v="6.67"/>
    <n v="6.67"/>
    <n v="6.67"/>
    <n v="6.67"/>
    <n v="506.92"/>
    <n v="506.92"/>
    <n v="506.92"/>
    <n v="483.44"/>
    <x v="1"/>
    <x v="2"/>
    <x v="0"/>
    <x v="0"/>
    <x v="0"/>
    <n v="6.67"/>
    <n v="6.67"/>
    <n v="6.67"/>
    <n v="506.92"/>
    <n v="506.92"/>
    <n v="506.92"/>
    <n v="483.44"/>
    <n v="483.44"/>
    <n v="483.44"/>
    <x v="1"/>
    <x v="0"/>
    <x v="0"/>
    <n v="0"/>
    <x v="0"/>
  </r>
  <r>
    <x v="146"/>
    <x v="127"/>
    <n v="4"/>
    <x v="2"/>
    <s v="3ºC"/>
    <x v="0"/>
    <s v="Mineral"/>
    <x v="18"/>
    <s v="6 - Fornecedor - Repasse"/>
    <n v="6.53"/>
    <n v="6.53"/>
    <n v="6.53"/>
    <n v="6.53"/>
    <n v="496.28"/>
    <n v="522.4"/>
    <n v="522.4"/>
    <n v="497.76"/>
    <x v="1"/>
    <x v="2"/>
    <x v="0"/>
    <x v="0"/>
    <x v="0"/>
    <n v="6.53"/>
    <n v="6.53"/>
    <n v="6.53"/>
    <n v="496.28"/>
    <n v="522.4"/>
    <n v="522.4"/>
    <n v="497.76"/>
    <n v="497.76"/>
    <n v="497.76"/>
    <x v="1"/>
    <x v="0"/>
    <x v="0"/>
    <n v="0"/>
    <x v="0"/>
  </r>
  <r>
    <x v="146"/>
    <x v="127"/>
    <n v="5"/>
    <x v="2"/>
    <s v="3ºC"/>
    <x v="0"/>
    <s v="Mineral"/>
    <x v="18"/>
    <s v="6 - Fornecedor - Repasse"/>
    <n v="13.68"/>
    <n v="13.68"/>
    <n v="13.68"/>
    <n v="13.68"/>
    <n v="1039.68"/>
    <n v="1067.04"/>
    <n v="1067.04"/>
    <n v="1017.79"/>
    <x v="1"/>
    <x v="2"/>
    <x v="0"/>
    <x v="0"/>
    <x v="0"/>
    <n v="13.68"/>
    <n v="13.68"/>
    <n v="13.68"/>
    <n v="1039.68"/>
    <n v="1067.04"/>
    <n v="1067.04"/>
    <n v="1017.79"/>
    <n v="1017.79"/>
    <n v="1017.79"/>
    <x v="1"/>
    <x v="0"/>
    <x v="0"/>
    <n v="0"/>
    <x v="0"/>
  </r>
  <r>
    <x v="147"/>
    <x v="128"/>
    <n v="1"/>
    <x v="2"/>
    <s v="3ºC"/>
    <x v="0"/>
    <s v="Mineral"/>
    <x v="34"/>
    <s v="6 - Fornecedor - Repasse"/>
    <n v="5.3"/>
    <n v="0"/>
    <n v="0"/>
    <n v="5.3"/>
    <n v="339.2"/>
    <n v="0"/>
    <n v="0"/>
    <n v="505.62"/>
    <x v="1"/>
    <x v="27"/>
    <x v="0"/>
    <x v="1"/>
    <x v="1"/>
    <n v="5.3"/>
    <n v="5.3"/>
    <n v="5.3"/>
    <n v="339.2"/>
    <n v="505.62"/>
    <n v="505.62"/>
    <n v="505.62"/>
    <n v="505.62"/>
    <n v="505.62"/>
    <x v="1"/>
    <x v="0"/>
    <x v="0"/>
    <n v="0"/>
    <x v="0"/>
  </r>
  <r>
    <x v="147"/>
    <x v="128"/>
    <n v="2"/>
    <x v="2"/>
    <s v="3ºC"/>
    <x v="0"/>
    <s v="Mineral"/>
    <x v="34"/>
    <s v="6 - Fornecedor - Repasse"/>
    <n v="4.51"/>
    <n v="0"/>
    <n v="0"/>
    <n v="4.51"/>
    <n v="288.64"/>
    <n v="0"/>
    <n v="0"/>
    <n v="431.04"/>
    <x v="1"/>
    <x v="27"/>
    <x v="0"/>
    <x v="1"/>
    <x v="1"/>
    <n v="4.51"/>
    <n v="4.51"/>
    <n v="4.51"/>
    <n v="288.64"/>
    <n v="431.04"/>
    <n v="431.04"/>
    <n v="431.04"/>
    <n v="431.04"/>
    <n v="431.04"/>
    <x v="1"/>
    <x v="0"/>
    <x v="0"/>
    <n v="0"/>
    <x v="0"/>
  </r>
  <r>
    <x v="147"/>
    <x v="128"/>
    <n v="3"/>
    <x v="2"/>
    <s v="3ºC"/>
    <x v="0"/>
    <s v="Mineral"/>
    <x v="34"/>
    <s v="6 - Fornecedor - Repasse"/>
    <n v="6.85"/>
    <n v="0"/>
    <n v="0"/>
    <n v="6.85"/>
    <n v="438.4"/>
    <n v="0"/>
    <n v="0"/>
    <n v="653.37"/>
    <x v="1"/>
    <x v="27"/>
    <x v="0"/>
    <x v="1"/>
    <x v="1"/>
    <n v="6.85"/>
    <n v="6.85"/>
    <n v="6.85"/>
    <n v="438.4"/>
    <n v="653.37"/>
    <n v="653.37"/>
    <n v="653.37"/>
    <n v="653.37"/>
    <n v="653.37"/>
    <x v="1"/>
    <x v="0"/>
    <x v="0"/>
    <n v="0"/>
    <x v="0"/>
  </r>
  <r>
    <x v="148"/>
    <x v="129"/>
    <n v="122"/>
    <x v="5"/>
    <s v="2ºC"/>
    <x v="0"/>
    <s v="A Definir"/>
    <x v="8"/>
    <s v="4 - Fornecedor"/>
    <n v="14.65"/>
    <n v="14.65"/>
    <n v="0"/>
    <n v="14.65"/>
    <n v="1025.5"/>
    <n v="879"/>
    <n v="0"/>
    <n v="821.58"/>
    <x v="2"/>
    <x v="17"/>
    <x v="0"/>
    <x v="0"/>
    <x v="1"/>
    <n v="14.65"/>
    <n v="14.65"/>
    <n v="14.65"/>
    <n v="1025.5"/>
    <n v="879"/>
    <n v="821.58"/>
    <n v="821.58"/>
    <n v="821.58"/>
    <n v="821.58"/>
    <x v="1"/>
    <x v="3"/>
    <x v="0"/>
    <n v="0"/>
    <x v="0"/>
  </r>
  <r>
    <x v="148"/>
    <x v="129"/>
    <n v="123"/>
    <x v="5"/>
    <s v="2ºC"/>
    <x v="0"/>
    <s v="A Definir"/>
    <x v="8"/>
    <s v="4 - Fornecedor"/>
    <n v="17.97"/>
    <n v="17.97"/>
    <n v="0"/>
    <n v="17.97"/>
    <n v="1257.9000000000001"/>
    <n v="1078.2"/>
    <n v="0"/>
    <n v="1007.59"/>
    <x v="2"/>
    <x v="17"/>
    <x v="0"/>
    <x v="0"/>
    <x v="1"/>
    <n v="17.97"/>
    <n v="17.97"/>
    <n v="17.97"/>
    <n v="1257.9000000000001"/>
    <n v="1078.2"/>
    <n v="1007.59"/>
    <n v="1007.59"/>
    <n v="1007.59"/>
    <n v="1007.59"/>
    <x v="1"/>
    <x v="3"/>
    <x v="0"/>
    <n v="0"/>
    <x v="0"/>
  </r>
  <r>
    <x v="148"/>
    <x v="129"/>
    <n v="124"/>
    <x v="5"/>
    <s v="2ºC"/>
    <x v="0"/>
    <s v="A Definir"/>
    <x v="8"/>
    <s v="4 - Fornecedor"/>
    <n v="8.1"/>
    <n v="8.1"/>
    <n v="0"/>
    <n v="8.1"/>
    <n v="567"/>
    <n v="486"/>
    <n v="0"/>
    <n v="454.23"/>
    <x v="2"/>
    <x v="17"/>
    <x v="0"/>
    <x v="0"/>
    <x v="1"/>
    <n v="8.1"/>
    <n v="8.1"/>
    <n v="8.1"/>
    <n v="567"/>
    <n v="486"/>
    <n v="454.23"/>
    <n v="454.23"/>
    <n v="454.23"/>
    <n v="454.23"/>
    <x v="1"/>
    <x v="3"/>
    <x v="0"/>
    <n v="0"/>
    <x v="0"/>
  </r>
  <r>
    <x v="148"/>
    <x v="129"/>
    <n v="125"/>
    <x v="5"/>
    <s v="2ºC"/>
    <x v="0"/>
    <s v="A Definir"/>
    <x v="8"/>
    <s v="4 - Fornecedor"/>
    <n v="7.8"/>
    <n v="7.8"/>
    <n v="0"/>
    <n v="7.8"/>
    <n v="546"/>
    <n v="468"/>
    <n v="0"/>
    <n v="437.57"/>
    <x v="2"/>
    <x v="17"/>
    <x v="0"/>
    <x v="0"/>
    <x v="1"/>
    <n v="7.8"/>
    <n v="7.8"/>
    <n v="7.8"/>
    <n v="546"/>
    <n v="468"/>
    <n v="437.57"/>
    <n v="437.57"/>
    <n v="437.57"/>
    <n v="437.57"/>
    <x v="1"/>
    <x v="3"/>
    <x v="0"/>
    <n v="0"/>
    <x v="0"/>
  </r>
  <r>
    <x v="148"/>
    <x v="129"/>
    <n v="126"/>
    <x v="5"/>
    <s v="2ºC"/>
    <x v="0"/>
    <s v="A Definir"/>
    <x v="8"/>
    <s v="4 - Fornecedor"/>
    <n v="6.8"/>
    <n v="6.8"/>
    <n v="0"/>
    <n v="6.8"/>
    <n v="476"/>
    <n v="408"/>
    <n v="0"/>
    <n v="540.86"/>
    <x v="2"/>
    <x v="36"/>
    <x v="0"/>
    <x v="0"/>
    <x v="1"/>
    <n v="6.8"/>
    <n v="6.8"/>
    <n v="6.8"/>
    <n v="476"/>
    <n v="408"/>
    <n v="540.86"/>
    <n v="540.86"/>
    <n v="540.86"/>
    <n v="540.86"/>
    <x v="1"/>
    <x v="3"/>
    <x v="0"/>
    <n v="0"/>
    <x v="0"/>
  </r>
  <r>
    <x v="148"/>
    <x v="129"/>
    <n v="127"/>
    <x v="5"/>
    <s v="2ºC"/>
    <x v="0"/>
    <s v="A Definir"/>
    <x v="8"/>
    <s v="4 - Fornecedor"/>
    <n v="5.44"/>
    <n v="5.44"/>
    <n v="0"/>
    <n v="5.44"/>
    <n v="380.8"/>
    <n v="326.39999999999998"/>
    <n v="0"/>
    <n v="432.15"/>
    <x v="2"/>
    <x v="36"/>
    <x v="0"/>
    <x v="0"/>
    <x v="1"/>
    <n v="5.44"/>
    <n v="5.44"/>
    <n v="5.44"/>
    <n v="380.8"/>
    <n v="326.39999999999998"/>
    <n v="432.15"/>
    <n v="432.15"/>
    <n v="432.15"/>
    <n v="432.15"/>
    <x v="1"/>
    <x v="3"/>
    <x v="0"/>
    <n v="0"/>
    <x v="0"/>
  </r>
  <r>
    <x v="148"/>
    <x v="129"/>
    <n v="128"/>
    <x v="5"/>
    <s v="2ºC"/>
    <x v="0"/>
    <s v="A Definir"/>
    <x v="8"/>
    <s v="4 - Fornecedor"/>
    <n v="12.32"/>
    <n v="12.32"/>
    <n v="0"/>
    <n v="12.32"/>
    <n v="862.4"/>
    <n v="739.2"/>
    <n v="0"/>
    <n v="979.76"/>
    <x v="2"/>
    <x v="36"/>
    <x v="0"/>
    <x v="0"/>
    <x v="1"/>
    <n v="12.32"/>
    <n v="12.32"/>
    <n v="12.32"/>
    <n v="862.4"/>
    <n v="739.2"/>
    <n v="979.76"/>
    <n v="979.76"/>
    <n v="979.76"/>
    <n v="979.76"/>
    <x v="1"/>
    <x v="3"/>
    <x v="0"/>
    <n v="0"/>
    <x v="0"/>
  </r>
  <r>
    <x v="148"/>
    <x v="129"/>
    <n v="129"/>
    <x v="5"/>
    <s v="2ºC"/>
    <x v="0"/>
    <s v="A Definir"/>
    <x v="8"/>
    <s v="4 - Fornecedor"/>
    <n v="10.050000000000001"/>
    <n v="10.050000000000001"/>
    <n v="0"/>
    <n v="10.050000000000001"/>
    <n v="703.5"/>
    <n v="603"/>
    <n v="0"/>
    <n v="484.28"/>
    <x v="2"/>
    <x v="17"/>
    <x v="0"/>
    <x v="0"/>
    <x v="1"/>
    <n v="10.050000000000001"/>
    <n v="10.050000000000001"/>
    <n v="10.050000000000001"/>
    <n v="703.5"/>
    <n v="603"/>
    <n v="484.28"/>
    <n v="484.28"/>
    <n v="484.28"/>
    <n v="484.28"/>
    <x v="1"/>
    <x v="3"/>
    <x v="0"/>
    <n v="0"/>
    <x v="0"/>
  </r>
  <r>
    <x v="148"/>
    <x v="129"/>
    <n v="130"/>
    <x v="5"/>
    <s v="2ºC"/>
    <x v="0"/>
    <s v="A Definir"/>
    <x v="8"/>
    <s v="4 - Fornecedor"/>
    <n v="9.4499999999999993"/>
    <n v="9.4499999999999993"/>
    <n v="0"/>
    <n v="9.4499999999999993"/>
    <n v="661.5"/>
    <n v="567"/>
    <n v="0"/>
    <n v="455.37"/>
    <x v="2"/>
    <x v="17"/>
    <x v="0"/>
    <x v="0"/>
    <x v="1"/>
    <n v="9.4499999999999993"/>
    <n v="9.4499999999999993"/>
    <n v="9.4499999999999993"/>
    <n v="661.5"/>
    <n v="567"/>
    <n v="455.37"/>
    <n v="455.37"/>
    <n v="455.37"/>
    <n v="455.37"/>
    <x v="1"/>
    <x v="3"/>
    <x v="0"/>
    <n v="0"/>
    <x v="0"/>
  </r>
  <r>
    <x v="148"/>
    <x v="129"/>
    <n v="131"/>
    <x v="5"/>
    <s v="2ºC"/>
    <x v="0"/>
    <s v="A Definir"/>
    <x v="8"/>
    <s v="4 - Fornecedor"/>
    <n v="1.93"/>
    <n v="1.93"/>
    <n v="0"/>
    <n v="1.93"/>
    <n v="135.1"/>
    <n v="115.8"/>
    <n v="0"/>
    <n v="93.14"/>
    <x v="2"/>
    <x v="17"/>
    <x v="0"/>
    <x v="0"/>
    <x v="1"/>
    <n v="1.93"/>
    <n v="1.93"/>
    <n v="1.93"/>
    <n v="135.1"/>
    <n v="115.8"/>
    <n v="93.14"/>
    <n v="93.14"/>
    <n v="93.14"/>
    <n v="93.14"/>
    <x v="1"/>
    <x v="3"/>
    <x v="0"/>
    <n v="0"/>
    <x v="0"/>
  </r>
  <r>
    <x v="148"/>
    <x v="129"/>
    <n v="132"/>
    <x v="3"/>
    <s v="ANM"/>
    <x v="0"/>
    <s v="A Definir"/>
    <x v="8"/>
    <s v="4 - Fornecedor"/>
    <n v="9.5"/>
    <n v="9.5"/>
    <n v="0"/>
    <n v="9.5"/>
    <n v="921.5"/>
    <n v="874"/>
    <n v="0"/>
    <n v="979.88"/>
    <x v="2"/>
    <x v="17"/>
    <x v="0"/>
    <x v="0"/>
    <x v="1"/>
    <n v="9.5"/>
    <n v="9.5"/>
    <n v="9.5"/>
    <n v="921.5"/>
    <n v="874"/>
    <n v="979.88"/>
    <n v="979.88"/>
    <n v="979.88"/>
    <n v="979.88"/>
    <x v="1"/>
    <x v="3"/>
    <x v="0"/>
    <n v="0"/>
    <x v="0"/>
  </r>
  <r>
    <x v="148"/>
    <x v="129"/>
    <n v="133"/>
    <x v="3"/>
    <s v="ANM"/>
    <x v="0"/>
    <s v="A Definir"/>
    <x v="8"/>
    <s v="4 - Fornecedor"/>
    <n v="4.2699999999999996"/>
    <n v="4.2699999999999996"/>
    <n v="0"/>
    <n v="4.2699999999999996"/>
    <n v="414.19"/>
    <n v="392.84"/>
    <n v="0"/>
    <n v="440.59"/>
    <x v="2"/>
    <x v="17"/>
    <x v="0"/>
    <x v="0"/>
    <x v="1"/>
    <n v="4.2699999999999996"/>
    <n v="4.2699999999999996"/>
    <n v="4.2699999999999996"/>
    <n v="414.19"/>
    <n v="392.84"/>
    <n v="440.59"/>
    <n v="440.59"/>
    <n v="440.59"/>
    <n v="440.59"/>
    <x v="1"/>
    <x v="3"/>
    <x v="0"/>
    <n v="0"/>
    <x v="0"/>
  </r>
  <r>
    <x v="148"/>
    <x v="129"/>
    <n v="134"/>
    <x v="3"/>
    <s v="ANM"/>
    <x v="0"/>
    <s v="A Definir"/>
    <x v="8"/>
    <s v="4 - Fornecedor"/>
    <n v="10"/>
    <n v="10"/>
    <n v="0"/>
    <n v="10"/>
    <n v="970"/>
    <n v="920"/>
    <n v="0"/>
    <n v="1031.46"/>
    <x v="2"/>
    <x v="17"/>
    <x v="0"/>
    <x v="0"/>
    <x v="1"/>
    <n v="10"/>
    <n v="10"/>
    <n v="10"/>
    <n v="970"/>
    <n v="920"/>
    <n v="1031.46"/>
    <n v="1031.46"/>
    <n v="1031.46"/>
    <n v="1031.46"/>
    <x v="1"/>
    <x v="3"/>
    <x v="0"/>
    <n v="0"/>
    <x v="0"/>
  </r>
  <r>
    <x v="148"/>
    <x v="129"/>
    <n v="135"/>
    <x v="3"/>
    <s v="ANM"/>
    <x v="0"/>
    <s v="A Definir"/>
    <x v="8"/>
    <s v="4 - Fornecedor"/>
    <n v="2.8"/>
    <n v="2.8"/>
    <n v="0"/>
    <n v="2.8"/>
    <n v="271.60000000000002"/>
    <n v="257.60000000000002"/>
    <n v="0"/>
    <n v="289.38"/>
    <x v="2"/>
    <x v="17"/>
    <x v="0"/>
    <x v="0"/>
    <x v="1"/>
    <n v="2.8"/>
    <n v="2.8"/>
    <n v="2.8"/>
    <n v="271.60000000000002"/>
    <n v="257.60000000000002"/>
    <n v="289.38"/>
    <n v="289.38"/>
    <n v="289.38"/>
    <n v="289.38"/>
    <x v="1"/>
    <x v="3"/>
    <x v="0"/>
    <n v="0"/>
    <x v="0"/>
  </r>
  <r>
    <x v="148"/>
    <x v="129"/>
    <n v="136"/>
    <x v="3"/>
    <s v="ANM"/>
    <x v="0"/>
    <s v="A Definir"/>
    <x v="8"/>
    <s v="4 - Fornecedor"/>
    <n v="9.0500000000000007"/>
    <n v="9.0500000000000007"/>
    <n v="0"/>
    <n v="9.0500000000000007"/>
    <n v="877.85"/>
    <n v="832.6"/>
    <n v="0"/>
    <n v="586.72"/>
    <x v="2"/>
    <x v="36"/>
    <x v="0"/>
    <x v="0"/>
    <x v="1"/>
    <n v="9.0500000000000007"/>
    <n v="9.0500000000000007"/>
    <n v="9.0500000000000007"/>
    <n v="877.85"/>
    <n v="832.6"/>
    <n v="586.72"/>
    <n v="586.72"/>
    <n v="586.72"/>
    <n v="586.72"/>
    <x v="1"/>
    <x v="3"/>
    <x v="0"/>
    <n v="0"/>
    <x v="0"/>
  </r>
  <r>
    <x v="148"/>
    <x v="129"/>
    <n v="137"/>
    <x v="3"/>
    <s v="ANM"/>
    <x v="0"/>
    <s v="A Definir"/>
    <x v="8"/>
    <s v="4 - Fornecedor"/>
    <n v="3.45"/>
    <n v="3.45"/>
    <n v="0"/>
    <n v="3.45"/>
    <n v="334.65"/>
    <n v="317.39999999999998"/>
    <n v="0"/>
    <n v="223.24"/>
    <x v="2"/>
    <x v="36"/>
    <x v="0"/>
    <x v="0"/>
    <x v="1"/>
    <n v="3.45"/>
    <n v="3.45"/>
    <n v="3.45"/>
    <n v="334.65"/>
    <n v="317.39999999999998"/>
    <n v="223.24"/>
    <n v="223.24"/>
    <n v="223.24"/>
    <n v="223.24"/>
    <x v="1"/>
    <x v="3"/>
    <x v="0"/>
    <n v="0"/>
    <x v="0"/>
  </r>
  <r>
    <x v="148"/>
    <x v="129"/>
    <n v="138"/>
    <x v="5"/>
    <s v="2ºC"/>
    <x v="0"/>
    <s v="A Definir"/>
    <x v="8"/>
    <s v="4 - Fornecedor"/>
    <n v="12.11"/>
    <n v="12.11"/>
    <n v="0"/>
    <n v="12.11"/>
    <n v="1174.67"/>
    <n v="1114.1199999999999"/>
    <n v="0"/>
    <n v="894.79"/>
    <x v="2"/>
    <x v="17"/>
    <x v="0"/>
    <x v="0"/>
    <x v="1"/>
    <n v="12.11"/>
    <n v="12.11"/>
    <n v="12.11"/>
    <n v="1174.67"/>
    <n v="1114.1199999999999"/>
    <n v="894.79"/>
    <n v="894.79"/>
    <n v="894.79"/>
    <n v="894.79"/>
    <x v="1"/>
    <x v="3"/>
    <x v="0"/>
    <n v="0"/>
    <x v="0"/>
  </r>
  <r>
    <x v="148"/>
    <x v="129"/>
    <n v="139"/>
    <x v="3"/>
    <s v="ANM"/>
    <x v="0"/>
    <s v="A Definir"/>
    <x v="8"/>
    <s v="4 - Fornecedor"/>
    <n v="14.24"/>
    <n v="14.24"/>
    <n v="0"/>
    <n v="14.24"/>
    <n v="1381.28"/>
    <n v="1310.08"/>
    <n v="0"/>
    <n v="922.75"/>
    <x v="2"/>
    <x v="36"/>
    <x v="0"/>
    <x v="0"/>
    <x v="1"/>
    <n v="14.24"/>
    <n v="14.24"/>
    <n v="14.24"/>
    <n v="1381.28"/>
    <n v="1310.08"/>
    <n v="922.75"/>
    <n v="922.75"/>
    <n v="922.75"/>
    <n v="922.75"/>
    <x v="1"/>
    <x v="3"/>
    <x v="0"/>
    <n v="0"/>
    <x v="0"/>
  </r>
  <r>
    <x v="148"/>
    <x v="129"/>
    <n v="140"/>
    <x v="3"/>
    <s v="ANM"/>
    <x v="0"/>
    <s v="A Definir"/>
    <x v="8"/>
    <s v="4 - Fornecedor"/>
    <n v="9.6199999999999992"/>
    <n v="9.6199999999999992"/>
    <n v="0"/>
    <n v="9.6199999999999992"/>
    <n v="933.14"/>
    <n v="885.04"/>
    <n v="0"/>
    <n v="623.36"/>
    <x v="2"/>
    <x v="36"/>
    <x v="0"/>
    <x v="0"/>
    <x v="1"/>
    <n v="9.6199999999999992"/>
    <n v="9.6199999999999992"/>
    <n v="9.6199999999999992"/>
    <n v="933.14"/>
    <n v="885.04"/>
    <n v="623.36"/>
    <n v="623.36"/>
    <n v="623.36"/>
    <n v="623.36"/>
    <x v="1"/>
    <x v="3"/>
    <x v="0"/>
    <n v="0"/>
    <x v="0"/>
  </r>
  <r>
    <x v="148"/>
    <x v="129"/>
    <n v="141"/>
    <x v="3"/>
    <s v="ANM"/>
    <x v="0"/>
    <s v="A Definir"/>
    <x v="8"/>
    <s v="4 - Fornecedor"/>
    <n v="4.3899999999999997"/>
    <n v="4.3899999999999997"/>
    <n v="0"/>
    <n v="4.3899999999999997"/>
    <n v="425.83"/>
    <n v="403.88"/>
    <n v="0"/>
    <n v="284.52999999999997"/>
    <x v="2"/>
    <x v="36"/>
    <x v="0"/>
    <x v="0"/>
    <x v="1"/>
    <n v="4.3899999999999997"/>
    <n v="4.3899999999999997"/>
    <n v="4.3899999999999997"/>
    <n v="425.83"/>
    <n v="403.88"/>
    <n v="284.52999999999997"/>
    <n v="284.52999999999997"/>
    <n v="284.52999999999997"/>
    <n v="284.52999999999997"/>
    <x v="1"/>
    <x v="3"/>
    <x v="0"/>
    <n v="0"/>
    <x v="0"/>
  </r>
  <r>
    <x v="148"/>
    <x v="129"/>
    <n v="142"/>
    <x v="3"/>
    <s v="ANM"/>
    <x v="0"/>
    <s v="A Definir"/>
    <x v="8"/>
    <s v="4 - Fornecedor"/>
    <n v="6.25"/>
    <n v="6.25"/>
    <n v="0"/>
    <n v="6.25"/>
    <n v="606.25"/>
    <n v="575"/>
    <n v="0"/>
    <n v="404.99"/>
    <x v="2"/>
    <x v="36"/>
    <x v="0"/>
    <x v="0"/>
    <x v="1"/>
    <n v="6.25"/>
    <n v="6.25"/>
    <n v="6.25"/>
    <n v="606.25"/>
    <n v="575"/>
    <n v="404.99"/>
    <n v="404.99"/>
    <n v="404.99"/>
    <n v="404.99"/>
    <x v="1"/>
    <x v="3"/>
    <x v="0"/>
    <n v="0"/>
    <x v="0"/>
  </r>
  <r>
    <x v="148"/>
    <x v="129"/>
    <n v="143"/>
    <x v="3"/>
    <s v="ANM"/>
    <x v="0"/>
    <s v="A Definir"/>
    <x v="8"/>
    <s v="4 - Fornecedor"/>
    <n v="16.71"/>
    <n v="16.71"/>
    <n v="0"/>
    <n v="16.71"/>
    <n v="1620.87"/>
    <n v="1537.32"/>
    <n v="0"/>
    <n v="1082.6600000000001"/>
    <x v="2"/>
    <x v="36"/>
    <x v="0"/>
    <x v="0"/>
    <x v="1"/>
    <n v="16.71"/>
    <n v="16.71"/>
    <n v="16.71"/>
    <n v="1620.87"/>
    <n v="1537.32"/>
    <n v="1082.6600000000001"/>
    <n v="1082.6600000000001"/>
    <n v="1082.6600000000001"/>
    <n v="1082.6600000000001"/>
    <x v="1"/>
    <x v="3"/>
    <x v="0"/>
    <n v="0"/>
    <x v="0"/>
  </r>
  <r>
    <x v="148"/>
    <x v="129"/>
    <n v="144"/>
    <x v="3"/>
    <s v="ANM"/>
    <x v="0"/>
    <s v="A Definir"/>
    <x v="8"/>
    <s v="4 - Fornecedor"/>
    <n v="3.8"/>
    <n v="3.8"/>
    <n v="0"/>
    <n v="3.8"/>
    <n v="368.6"/>
    <n v="349.6"/>
    <n v="0"/>
    <n v="246.98"/>
    <x v="2"/>
    <x v="36"/>
    <x v="0"/>
    <x v="0"/>
    <x v="1"/>
    <n v="3.8"/>
    <n v="3.8"/>
    <n v="3.8"/>
    <n v="368.6"/>
    <n v="349.6"/>
    <n v="246.98"/>
    <n v="246.98"/>
    <n v="246.98"/>
    <n v="246.98"/>
    <x v="1"/>
    <x v="3"/>
    <x v="0"/>
    <n v="0"/>
    <x v="0"/>
  </r>
  <r>
    <x v="149"/>
    <x v="130"/>
    <n v="1"/>
    <x v="2"/>
    <s v="3ºC"/>
    <x v="0"/>
    <s v="Mineral"/>
    <x v="34"/>
    <s v="6 - Fornecedor - Repasse"/>
    <n v="38.130000000000003"/>
    <n v="0"/>
    <n v="0"/>
    <n v="38.130000000000003"/>
    <n v="2516.58"/>
    <n v="0"/>
    <n v="0"/>
    <n v="2512.37"/>
    <x v="1"/>
    <x v="27"/>
    <x v="0"/>
    <x v="1"/>
    <x v="1"/>
    <n v="38.130000000000003"/>
    <n v="38.130000000000003"/>
    <n v="38.130000000000003"/>
    <n v="2516.58"/>
    <n v="2512.37"/>
    <n v="2512.37"/>
    <n v="2512.37"/>
    <n v="2512.37"/>
    <n v="2512.37"/>
    <x v="1"/>
    <x v="0"/>
    <x v="0"/>
    <n v="0"/>
    <x v="0"/>
  </r>
  <r>
    <x v="149"/>
    <x v="130"/>
    <n v="2"/>
    <x v="2"/>
    <s v="3ºC"/>
    <x v="0"/>
    <s v="Mineral"/>
    <x v="5"/>
    <s v="6 - Fornecedor - Repasse"/>
    <n v="40.61"/>
    <n v="0"/>
    <n v="0"/>
    <n v="40.61"/>
    <n v="2680.26"/>
    <n v="0"/>
    <n v="0"/>
    <n v="2446.02"/>
    <x v="1"/>
    <x v="22"/>
    <x v="0"/>
    <x v="1"/>
    <x v="1"/>
    <n v="40.61"/>
    <n v="40.61"/>
    <n v="40.61"/>
    <n v="2680.26"/>
    <n v="2446.02"/>
    <n v="2446.02"/>
    <n v="2446.02"/>
    <n v="2446.02"/>
    <n v="2446.02"/>
    <x v="1"/>
    <x v="0"/>
    <x v="0"/>
    <n v="0"/>
    <x v="0"/>
  </r>
  <r>
    <x v="149"/>
    <x v="130"/>
    <n v="3"/>
    <x v="2"/>
    <s v="3ºC"/>
    <x v="0"/>
    <s v="Mineral"/>
    <x v="5"/>
    <s v="6 - Fornecedor - Repasse"/>
    <n v="36.64"/>
    <n v="0"/>
    <n v="0"/>
    <n v="36.64"/>
    <n v="2418.2399999999998"/>
    <n v="0"/>
    <n v="0"/>
    <n v="2206.88"/>
    <x v="1"/>
    <x v="22"/>
    <x v="0"/>
    <x v="1"/>
    <x v="1"/>
    <n v="36.64"/>
    <n v="36.64"/>
    <n v="36.64"/>
    <n v="2418.2399999999998"/>
    <n v="2206.88"/>
    <n v="2206.88"/>
    <n v="2206.88"/>
    <n v="2206.88"/>
    <n v="2206.88"/>
    <x v="1"/>
    <x v="0"/>
    <x v="0"/>
    <n v="0"/>
    <x v="0"/>
  </r>
  <r>
    <x v="149"/>
    <x v="130"/>
    <n v="4"/>
    <x v="2"/>
    <s v="3ºC"/>
    <x v="0"/>
    <s v="Mineral"/>
    <x v="5"/>
    <s v="6 - Fornecedor - Repasse"/>
    <n v="22.01"/>
    <n v="0"/>
    <n v="0"/>
    <n v="22.01"/>
    <n v="1452.66"/>
    <n v="0"/>
    <n v="0"/>
    <n v="1326.1"/>
    <x v="1"/>
    <x v="22"/>
    <x v="0"/>
    <x v="1"/>
    <x v="1"/>
    <n v="22.01"/>
    <n v="22.01"/>
    <n v="22.01"/>
    <n v="1452.66"/>
    <n v="1326.1"/>
    <n v="1326.1"/>
    <n v="1326.1"/>
    <n v="1326.1"/>
    <n v="1326.1"/>
    <x v="1"/>
    <x v="0"/>
    <x v="0"/>
    <n v="0"/>
    <x v="0"/>
  </r>
  <r>
    <x v="149"/>
    <x v="130"/>
    <n v="5"/>
    <x v="2"/>
    <s v="3ºC"/>
    <x v="0"/>
    <s v="Mineral"/>
    <x v="5"/>
    <s v="6 - Fornecedor - Repasse"/>
    <n v="9.85"/>
    <n v="0"/>
    <n v="0"/>
    <n v="9.85"/>
    <n v="650.1"/>
    <n v="0"/>
    <n v="0"/>
    <n v="593.57000000000005"/>
    <x v="1"/>
    <x v="22"/>
    <x v="0"/>
    <x v="1"/>
    <x v="1"/>
    <n v="9.85"/>
    <n v="9.85"/>
    <n v="9.85"/>
    <n v="650.1"/>
    <n v="593.57000000000005"/>
    <n v="593.57000000000005"/>
    <n v="593.57000000000005"/>
    <n v="593.57000000000005"/>
    <n v="593.57000000000005"/>
    <x v="1"/>
    <x v="0"/>
    <x v="0"/>
    <n v="0"/>
    <x v="0"/>
  </r>
  <r>
    <x v="149"/>
    <x v="130"/>
    <n v="6"/>
    <x v="2"/>
    <s v="3ºC"/>
    <x v="0"/>
    <s v="Mineral"/>
    <x v="14"/>
    <s v="6 - Fornecedor - Repasse"/>
    <n v="37.61"/>
    <n v="0"/>
    <n v="0"/>
    <n v="37.61"/>
    <n v="2482.2600000000002"/>
    <n v="0"/>
    <n v="0"/>
    <n v="2673.39"/>
    <x v="1"/>
    <x v="6"/>
    <x v="0"/>
    <x v="1"/>
    <x v="1"/>
    <n v="37.61"/>
    <n v="37.61"/>
    <n v="37.61"/>
    <n v="2482.2600000000002"/>
    <n v="2673.39"/>
    <n v="2673.39"/>
    <n v="2673.39"/>
    <n v="2673.39"/>
    <n v="2673.39"/>
    <x v="1"/>
    <x v="0"/>
    <x v="0"/>
    <n v="0"/>
    <x v="0"/>
  </r>
  <r>
    <x v="149"/>
    <x v="130"/>
    <n v="7"/>
    <x v="2"/>
    <s v="3ºC"/>
    <x v="0"/>
    <s v="Mineral"/>
    <x v="14"/>
    <s v="6 - Fornecedor - Repasse"/>
    <n v="18.260000000000002"/>
    <n v="0"/>
    <n v="0"/>
    <n v="18.260000000000002"/>
    <n v="1205.1600000000001"/>
    <n v="0"/>
    <n v="0"/>
    <n v="1298.01"/>
    <x v="1"/>
    <x v="6"/>
    <x v="0"/>
    <x v="1"/>
    <x v="1"/>
    <n v="18.260000000000002"/>
    <n v="18.260000000000002"/>
    <n v="18.260000000000002"/>
    <n v="1205.1600000000001"/>
    <n v="1298.01"/>
    <n v="1298.01"/>
    <n v="1298.01"/>
    <n v="1298.01"/>
    <n v="1298.01"/>
    <x v="1"/>
    <x v="0"/>
    <x v="0"/>
    <n v="0"/>
    <x v="0"/>
  </r>
  <r>
    <x v="150"/>
    <x v="131"/>
    <n v="1"/>
    <x v="2"/>
    <s v="3ºC"/>
    <x v="0"/>
    <s v="Mineral"/>
    <x v="18"/>
    <s v="6 - Fornecedor - Repasse"/>
    <n v="3.4"/>
    <n v="3.4"/>
    <n v="3.4"/>
    <n v="3.4"/>
    <n v="207.4"/>
    <n v="214.2"/>
    <n v="214.2"/>
    <n v="213.5"/>
    <x v="1"/>
    <x v="34"/>
    <x v="0"/>
    <x v="0"/>
    <x v="0"/>
    <n v="3.4"/>
    <n v="3.4"/>
    <n v="3.4"/>
    <n v="207.4"/>
    <n v="214.2"/>
    <n v="214.2"/>
    <n v="213.5"/>
    <n v="213.5"/>
    <n v="213.5"/>
    <x v="1"/>
    <x v="0"/>
    <x v="0"/>
    <n v="0"/>
    <x v="0"/>
  </r>
  <r>
    <x v="150"/>
    <x v="131"/>
    <n v="2"/>
    <x v="2"/>
    <s v="3ºC"/>
    <x v="0"/>
    <s v="Mineral"/>
    <x v="18"/>
    <s v="6 - Fornecedor - Repasse"/>
    <n v="7.14"/>
    <n v="7.14"/>
    <n v="7.14"/>
    <n v="7.14"/>
    <n v="435.54"/>
    <n v="449.82"/>
    <n v="449.82"/>
    <n v="448.99"/>
    <x v="1"/>
    <x v="34"/>
    <x v="0"/>
    <x v="0"/>
    <x v="0"/>
    <n v="7.14"/>
    <n v="7.14"/>
    <n v="7.14"/>
    <n v="435.54"/>
    <n v="449.82"/>
    <n v="449.82"/>
    <n v="448.99"/>
    <n v="448.99"/>
    <n v="448.99"/>
    <x v="1"/>
    <x v="0"/>
    <x v="0"/>
    <n v="0"/>
    <x v="0"/>
  </r>
  <r>
    <x v="150"/>
    <x v="131"/>
    <n v="3"/>
    <x v="2"/>
    <s v="3ºC"/>
    <x v="0"/>
    <s v="Mineral"/>
    <x v="18"/>
    <s v="6 - Fornecedor - Repasse"/>
    <n v="8.3699999999999992"/>
    <n v="8.3699999999999992"/>
    <n v="8.3699999999999992"/>
    <n v="8.3699999999999992"/>
    <n v="510.57"/>
    <n v="518.94000000000005"/>
    <n v="518.94000000000005"/>
    <n v="517.84"/>
    <x v="1"/>
    <x v="34"/>
    <x v="0"/>
    <x v="0"/>
    <x v="0"/>
    <n v="8.3699999999999992"/>
    <n v="8.3699999999999992"/>
    <n v="8.3699999999999992"/>
    <n v="510.57"/>
    <n v="518.94000000000005"/>
    <n v="518.94000000000005"/>
    <n v="517.84"/>
    <n v="517.84"/>
    <n v="517.84"/>
    <x v="1"/>
    <x v="0"/>
    <x v="0"/>
    <n v="0"/>
    <x v="0"/>
  </r>
  <r>
    <x v="150"/>
    <x v="131"/>
    <n v="4"/>
    <x v="4"/>
    <s v="4ºC"/>
    <x v="0"/>
    <s v="Mineral"/>
    <x v="9"/>
    <s v="6 - Fornecedor - Repasse"/>
    <n v="14.32"/>
    <n v="14.32"/>
    <n v="14.32"/>
    <n v="14.32"/>
    <n v="716"/>
    <n v="716"/>
    <n v="716"/>
    <n v="714.53"/>
    <x v="1"/>
    <x v="34"/>
    <x v="0"/>
    <x v="0"/>
    <x v="0"/>
    <n v="14.32"/>
    <n v="14.32"/>
    <n v="14.32"/>
    <n v="716"/>
    <n v="716"/>
    <n v="716"/>
    <n v="714.53"/>
    <n v="714.53"/>
    <n v="714.53"/>
    <x v="1"/>
    <x v="0"/>
    <x v="0"/>
    <n v="0"/>
    <x v="0"/>
  </r>
  <r>
    <x v="151"/>
    <x v="132"/>
    <n v="1"/>
    <x v="2"/>
    <s v="3ºC"/>
    <x v="0"/>
    <s v="Mineral"/>
    <x v="18"/>
    <s v="6 - Fornecedor - Repasse"/>
    <n v="4.66"/>
    <n v="0"/>
    <n v="0"/>
    <n v="4.66"/>
    <n v="368.14"/>
    <n v="0"/>
    <n v="0"/>
    <n v="793.19"/>
    <x v="1"/>
    <x v="6"/>
    <x v="0"/>
    <x v="1"/>
    <x v="1"/>
    <n v="4.66"/>
    <n v="4.66"/>
    <n v="4.66"/>
    <n v="368.14"/>
    <n v="793.19"/>
    <n v="793.19"/>
    <n v="793.19"/>
    <n v="793.19"/>
    <n v="793.19"/>
    <x v="1"/>
    <x v="0"/>
    <x v="0"/>
    <n v="0"/>
    <x v="0"/>
  </r>
  <r>
    <x v="151"/>
    <x v="132"/>
    <n v="2"/>
    <x v="2"/>
    <s v="3ºC"/>
    <x v="0"/>
    <s v="Mineral"/>
    <x v="18"/>
    <s v="6 - Fornecedor - Repasse"/>
    <n v="5.27"/>
    <n v="5.27"/>
    <n v="5.27"/>
    <n v="5.27"/>
    <n v="416.33"/>
    <n v="421.6"/>
    <n v="421.6"/>
    <n v="169.49"/>
    <x v="1"/>
    <x v="2"/>
    <x v="0"/>
    <x v="0"/>
    <x v="0"/>
    <n v="5.27"/>
    <n v="5.27"/>
    <n v="5.27"/>
    <n v="416.33"/>
    <n v="421.6"/>
    <n v="421.6"/>
    <n v="169.49"/>
    <n v="169.49"/>
    <n v="169.49"/>
    <x v="1"/>
    <x v="0"/>
    <x v="0"/>
    <n v="0"/>
    <x v="0"/>
  </r>
  <r>
    <x v="152"/>
    <x v="133"/>
    <n v="1"/>
    <x v="2"/>
    <s v="3ºC"/>
    <x v="0"/>
    <s v="Mineral"/>
    <x v="18"/>
    <s v="6 - Fornecedor - Repasse"/>
    <n v="16.37"/>
    <n v="0"/>
    <n v="0"/>
    <n v="16.37"/>
    <n v="1391.45"/>
    <n v="0"/>
    <n v="0"/>
    <n v="1533.9"/>
    <x v="1"/>
    <x v="6"/>
    <x v="0"/>
    <x v="1"/>
    <x v="1"/>
    <n v="16.37"/>
    <n v="16.37"/>
    <n v="16.37"/>
    <n v="1391.45"/>
    <n v="1533.9"/>
    <n v="1533.9"/>
    <n v="1533.9"/>
    <n v="1533.9"/>
    <n v="1533.9"/>
    <x v="1"/>
    <x v="0"/>
    <x v="0"/>
    <n v="0"/>
    <x v="0"/>
  </r>
  <r>
    <x v="153"/>
    <x v="134"/>
    <n v="1"/>
    <x v="2"/>
    <s v="3ºC"/>
    <x v="0"/>
    <s v="Mineral"/>
    <x v="30"/>
    <s v="6 - Fornecedor - Repasse"/>
    <n v="48.45"/>
    <n v="48.45"/>
    <n v="0"/>
    <n v="48.45"/>
    <n v="3682.2"/>
    <n v="3730.65"/>
    <n v="0"/>
    <n v="4444.24"/>
    <x v="1"/>
    <x v="17"/>
    <x v="0"/>
    <x v="0"/>
    <x v="1"/>
    <n v="48.45"/>
    <n v="48.45"/>
    <n v="48.45"/>
    <n v="3682.2"/>
    <n v="3730.65"/>
    <n v="4444.24"/>
    <n v="4444.24"/>
    <n v="4444.24"/>
    <n v="4444.24"/>
    <x v="1"/>
    <x v="0"/>
    <x v="0"/>
    <n v="0"/>
    <x v="0"/>
  </r>
  <r>
    <x v="153"/>
    <x v="134"/>
    <n v="2"/>
    <x v="2"/>
    <s v="3ºC"/>
    <x v="0"/>
    <s v="Mineral"/>
    <x v="18"/>
    <s v="6 - Fornecedor - Repasse"/>
    <n v="8.69"/>
    <n v="8.69"/>
    <n v="0"/>
    <n v="8.69"/>
    <n v="625.67999999999995"/>
    <n v="643.05999999999995"/>
    <n v="0"/>
    <n v="897.17"/>
    <x v="1"/>
    <x v="17"/>
    <x v="0"/>
    <x v="0"/>
    <x v="1"/>
    <n v="8.69"/>
    <n v="8.69"/>
    <n v="8.69"/>
    <n v="625.67999999999995"/>
    <n v="643.05999999999995"/>
    <n v="897.17"/>
    <n v="897.17"/>
    <n v="897.17"/>
    <n v="897.17"/>
    <x v="1"/>
    <x v="0"/>
    <x v="0"/>
    <n v="0"/>
    <x v="0"/>
  </r>
  <r>
    <x v="153"/>
    <x v="134"/>
    <n v="3"/>
    <x v="2"/>
    <s v="3ºC"/>
    <x v="0"/>
    <s v="Mineral"/>
    <x v="18"/>
    <s v="6 - Fornecedor - Repasse"/>
    <n v="39.14"/>
    <n v="39.14"/>
    <n v="0"/>
    <n v="39.14"/>
    <n v="2818.08"/>
    <n v="2896.36"/>
    <n v="0"/>
    <n v="2583.2600000000002"/>
    <x v="1"/>
    <x v="10"/>
    <x v="0"/>
    <x v="0"/>
    <x v="1"/>
    <n v="39.14"/>
    <n v="39.14"/>
    <n v="39.14"/>
    <n v="2818.08"/>
    <n v="2896.36"/>
    <n v="2583.2600000000002"/>
    <n v="2583.2600000000002"/>
    <n v="2583.2600000000002"/>
    <n v="2583.2600000000002"/>
    <x v="1"/>
    <x v="0"/>
    <x v="0"/>
    <n v="0"/>
    <x v="0"/>
  </r>
  <r>
    <x v="153"/>
    <x v="134"/>
    <n v="4"/>
    <x v="2"/>
    <s v="3ºC"/>
    <x v="0"/>
    <s v="Mineral"/>
    <x v="18"/>
    <s v="6 - Fornecedor - Repasse"/>
    <n v="18.850000000000001"/>
    <n v="18.850000000000001"/>
    <n v="0"/>
    <n v="18.850000000000001"/>
    <n v="1357.2"/>
    <n v="1394.9"/>
    <n v="0"/>
    <n v="1946.52"/>
    <x v="1"/>
    <x v="17"/>
    <x v="0"/>
    <x v="0"/>
    <x v="1"/>
    <n v="18.850000000000001"/>
    <n v="18.850000000000001"/>
    <n v="18.850000000000001"/>
    <n v="1357.2"/>
    <n v="1394.9"/>
    <n v="1946.52"/>
    <n v="1946.52"/>
    <n v="1946.52"/>
    <n v="1946.52"/>
    <x v="1"/>
    <x v="0"/>
    <x v="0"/>
    <n v="0"/>
    <x v="0"/>
  </r>
  <r>
    <x v="153"/>
    <x v="134"/>
    <n v="5"/>
    <x v="2"/>
    <s v="3ºC"/>
    <x v="0"/>
    <s v="Mineral"/>
    <x v="30"/>
    <s v="6 - Fornecedor - Repasse"/>
    <n v="10.1"/>
    <n v="10.1"/>
    <n v="0"/>
    <n v="10.1"/>
    <n v="767.6"/>
    <n v="787.8"/>
    <n v="0"/>
    <n v="1099.5"/>
    <x v="1"/>
    <x v="17"/>
    <x v="0"/>
    <x v="0"/>
    <x v="1"/>
    <n v="10.1"/>
    <n v="10.1"/>
    <n v="10.1"/>
    <n v="767.6"/>
    <n v="787.8"/>
    <n v="1099.5"/>
    <n v="1099.5"/>
    <n v="1099.5"/>
    <n v="1099.5"/>
    <x v="1"/>
    <x v="0"/>
    <x v="0"/>
    <n v="0"/>
    <x v="0"/>
  </r>
  <r>
    <x v="153"/>
    <x v="134"/>
    <n v="6"/>
    <x v="2"/>
    <s v="3ºC"/>
    <x v="0"/>
    <s v="Mineral"/>
    <x v="30"/>
    <s v="6 - Fornecedor - Repasse"/>
    <n v="5.21"/>
    <n v="5.21"/>
    <n v="0"/>
    <n v="5.21"/>
    <n v="395.96"/>
    <n v="406.38"/>
    <n v="0"/>
    <n v="566.74"/>
    <x v="1"/>
    <x v="17"/>
    <x v="0"/>
    <x v="0"/>
    <x v="1"/>
    <n v="5.21"/>
    <n v="5.21"/>
    <n v="5.21"/>
    <n v="395.96"/>
    <n v="406.38"/>
    <n v="566.74"/>
    <n v="566.74"/>
    <n v="566.74"/>
    <n v="566.74"/>
    <x v="1"/>
    <x v="0"/>
    <x v="0"/>
    <n v="0"/>
    <x v="0"/>
  </r>
  <r>
    <x v="154"/>
    <x v="135"/>
    <n v="1"/>
    <x v="5"/>
    <s v="2ºC"/>
    <x v="0"/>
    <s v="Mineral"/>
    <x v="13"/>
    <s v="6 - Fornecedor - Repasse"/>
    <n v="39.26"/>
    <n v="39.26"/>
    <n v="0"/>
    <n v="39.26"/>
    <n v="2787.46"/>
    <n v="2983.76"/>
    <n v="0"/>
    <n v="3557.6"/>
    <x v="1"/>
    <x v="10"/>
    <x v="0"/>
    <x v="0"/>
    <x v="1"/>
    <n v="39.26"/>
    <n v="39.26"/>
    <n v="39.26"/>
    <n v="2787.46"/>
    <n v="2983.76"/>
    <n v="3557.6"/>
    <n v="3557.6"/>
    <n v="3557.6"/>
    <n v="3557.6"/>
    <x v="1"/>
    <x v="0"/>
    <x v="0"/>
    <n v="0"/>
    <x v="0"/>
  </r>
  <r>
    <x v="154"/>
    <x v="135"/>
    <n v="2"/>
    <x v="5"/>
    <s v="2ºC"/>
    <x v="0"/>
    <s v="Mineral"/>
    <x v="31"/>
    <s v="6 - Fornecedor - Repasse"/>
    <n v="20.100000000000001"/>
    <n v="20.100000000000001"/>
    <n v="0"/>
    <n v="20.100000000000001"/>
    <n v="1708.5"/>
    <n v="1849.2"/>
    <n v="0"/>
    <n v="2204.38"/>
    <x v="1"/>
    <x v="10"/>
    <x v="0"/>
    <x v="0"/>
    <x v="1"/>
    <n v="20.100000000000001"/>
    <n v="20.100000000000001"/>
    <n v="20.100000000000001"/>
    <n v="1708.5"/>
    <n v="1849.2"/>
    <n v="2204.38"/>
    <n v="2204.38"/>
    <n v="2204.38"/>
    <n v="2204.38"/>
    <x v="1"/>
    <x v="0"/>
    <x v="0"/>
    <n v="0"/>
    <x v="0"/>
  </r>
  <r>
    <x v="154"/>
    <x v="135"/>
    <n v="3"/>
    <x v="5"/>
    <s v="2ºC"/>
    <x v="0"/>
    <s v="Mineral"/>
    <x v="35"/>
    <s v="6 - Fornecedor - Repasse"/>
    <n v="14.01"/>
    <n v="14.01"/>
    <n v="0"/>
    <n v="14.01"/>
    <n v="1246.8900000000001"/>
    <n v="1302.93"/>
    <n v="0"/>
    <n v="1498.17"/>
    <x v="1"/>
    <x v="18"/>
    <x v="0"/>
    <x v="0"/>
    <x v="1"/>
    <n v="14.01"/>
    <n v="14.01"/>
    <n v="14.01"/>
    <n v="1246.8900000000001"/>
    <n v="1302.93"/>
    <n v="1498.17"/>
    <n v="1498.17"/>
    <n v="1498.17"/>
    <n v="1498.17"/>
    <x v="1"/>
    <x v="0"/>
    <x v="0"/>
    <n v="0"/>
    <x v="0"/>
  </r>
  <r>
    <x v="154"/>
    <x v="135"/>
    <n v="4"/>
    <x v="5"/>
    <s v="2ºC"/>
    <x v="0"/>
    <s v="Mineral"/>
    <x v="13"/>
    <s v="6 - Fornecedor - Repasse"/>
    <n v="7.76"/>
    <n v="7.76"/>
    <n v="0"/>
    <n v="7.76"/>
    <n v="574.24"/>
    <n v="620.79999999999995"/>
    <n v="0"/>
    <n v="713.93"/>
    <x v="1"/>
    <x v="18"/>
    <x v="0"/>
    <x v="0"/>
    <x v="1"/>
    <n v="7.76"/>
    <n v="7.76"/>
    <n v="7.76"/>
    <n v="574.24"/>
    <n v="620.79999999999995"/>
    <n v="713.93"/>
    <n v="713.93"/>
    <n v="713.93"/>
    <n v="713.93"/>
    <x v="1"/>
    <x v="0"/>
    <x v="0"/>
    <n v="0"/>
    <x v="0"/>
  </r>
  <r>
    <x v="154"/>
    <x v="135"/>
    <n v="5"/>
    <x v="5"/>
    <s v="2ºC"/>
    <x v="0"/>
    <s v="Mineral"/>
    <x v="6"/>
    <s v="6 - Fornecedor - Repasse"/>
    <n v="30.1"/>
    <n v="30.1"/>
    <n v="0"/>
    <n v="30.1"/>
    <n v="2889.6"/>
    <n v="3010"/>
    <n v="0"/>
    <n v="3461.05"/>
    <x v="1"/>
    <x v="18"/>
    <x v="0"/>
    <x v="0"/>
    <x v="1"/>
    <n v="30.1"/>
    <n v="30.1"/>
    <n v="30.1"/>
    <n v="2889.6"/>
    <n v="3010"/>
    <n v="3461.05"/>
    <n v="3461.05"/>
    <n v="3461.05"/>
    <n v="3461.05"/>
    <x v="1"/>
    <x v="0"/>
    <x v="0"/>
    <n v="0"/>
    <x v="0"/>
  </r>
  <r>
    <x v="154"/>
    <x v="135"/>
    <n v="6"/>
    <x v="5"/>
    <s v="2ºC"/>
    <x v="0"/>
    <s v="Mineral"/>
    <x v="6"/>
    <s v="6 - Fornecedor - Repasse"/>
    <n v="48.09"/>
    <n v="48.09"/>
    <n v="0"/>
    <n v="48.09"/>
    <n v="4616.6400000000003"/>
    <n v="4809"/>
    <n v="0"/>
    <n v="5530.37"/>
    <x v="1"/>
    <x v="18"/>
    <x v="0"/>
    <x v="0"/>
    <x v="1"/>
    <n v="48.09"/>
    <n v="48.09"/>
    <n v="48.09"/>
    <n v="4616.6400000000003"/>
    <n v="4809"/>
    <n v="5530.37"/>
    <n v="5530.37"/>
    <n v="5530.37"/>
    <n v="5530.37"/>
    <x v="1"/>
    <x v="0"/>
    <x v="0"/>
    <n v="0"/>
    <x v="0"/>
  </r>
  <r>
    <x v="154"/>
    <x v="135"/>
    <n v="7"/>
    <x v="5"/>
    <s v="2ºC"/>
    <x v="0"/>
    <s v="Mineral"/>
    <x v="6"/>
    <s v="6 - Fornecedor - Repasse"/>
    <n v="18.989999999999998"/>
    <n v="18.989999999999998"/>
    <n v="0"/>
    <n v="18.989999999999998"/>
    <n v="1823.04"/>
    <n v="1861.02"/>
    <n v="0"/>
    <n v="2219.0500000000002"/>
    <x v="1"/>
    <x v="10"/>
    <x v="0"/>
    <x v="0"/>
    <x v="1"/>
    <n v="18.989999999999998"/>
    <n v="18.989999999999998"/>
    <n v="18.989999999999998"/>
    <n v="1823.04"/>
    <n v="1861.02"/>
    <n v="2219.0500000000002"/>
    <n v="2219.0500000000002"/>
    <n v="2219.0500000000002"/>
    <n v="2219.0500000000002"/>
    <x v="1"/>
    <x v="0"/>
    <x v="0"/>
    <n v="0"/>
    <x v="0"/>
  </r>
  <r>
    <x v="155"/>
    <x v="136"/>
    <n v="1"/>
    <x v="5"/>
    <s v="2ºC"/>
    <x v="0"/>
    <s v="Mineral"/>
    <x v="31"/>
    <s v="6 - Fornecedor - Repasse"/>
    <n v="17.46"/>
    <n v="17.46"/>
    <n v="0"/>
    <n v="17.46"/>
    <n v="1484.1"/>
    <n v="1746"/>
    <n v="0"/>
    <n v="1739.63"/>
    <x v="1"/>
    <x v="39"/>
    <x v="0"/>
    <x v="0"/>
    <x v="1"/>
    <n v="17.46"/>
    <n v="17.46"/>
    <n v="17.46"/>
    <n v="1484.1"/>
    <n v="1746"/>
    <n v="1739.63"/>
    <n v="1739.63"/>
    <n v="1739.63"/>
    <n v="1739.63"/>
    <x v="1"/>
    <x v="0"/>
    <x v="0"/>
    <n v="0"/>
    <x v="0"/>
  </r>
  <r>
    <x v="155"/>
    <x v="136"/>
    <n v="2"/>
    <x v="5"/>
    <s v="2ºC"/>
    <x v="0"/>
    <s v="Mineral"/>
    <x v="13"/>
    <s v="6 - Fornecedor - Repasse"/>
    <n v="10.45"/>
    <n v="10.45"/>
    <n v="0"/>
    <n v="10.45"/>
    <n v="752.4"/>
    <n v="804.65"/>
    <n v="0"/>
    <n v="502.98"/>
    <x v="1"/>
    <x v="11"/>
    <x v="0"/>
    <x v="0"/>
    <x v="1"/>
    <n v="10.45"/>
    <n v="10.45"/>
    <n v="10.45"/>
    <n v="752.4"/>
    <n v="804.65"/>
    <n v="502.98"/>
    <n v="502.98"/>
    <n v="502.98"/>
    <n v="502.98"/>
    <x v="1"/>
    <x v="0"/>
    <x v="0"/>
    <n v="0"/>
    <x v="0"/>
  </r>
  <r>
    <x v="155"/>
    <x v="136"/>
    <n v="3"/>
    <x v="5"/>
    <s v="2ºC"/>
    <x v="0"/>
    <s v="Mineral"/>
    <x v="13"/>
    <s v="6 - Fornecedor - Repasse"/>
    <n v="54.09"/>
    <n v="54.09"/>
    <n v="0"/>
    <n v="54.09"/>
    <n v="3894.48"/>
    <n v="4164.93"/>
    <n v="0"/>
    <n v="2602.65"/>
    <x v="1"/>
    <x v="11"/>
    <x v="0"/>
    <x v="0"/>
    <x v="1"/>
    <n v="54.09"/>
    <n v="54.09"/>
    <n v="54.09"/>
    <n v="3894.48"/>
    <n v="4164.93"/>
    <n v="2602.65"/>
    <n v="2602.65"/>
    <n v="2602.65"/>
    <n v="2602.65"/>
    <x v="1"/>
    <x v="0"/>
    <x v="0"/>
    <n v="0"/>
    <x v="0"/>
  </r>
  <r>
    <x v="155"/>
    <x v="136"/>
    <n v="4"/>
    <x v="5"/>
    <s v="2ºC"/>
    <x v="0"/>
    <s v="Mineral"/>
    <x v="31"/>
    <s v="6 - Fornecedor - Repasse"/>
    <n v="20.25"/>
    <n v="20.25"/>
    <n v="0"/>
    <n v="20.25"/>
    <n v="1458"/>
    <n v="1620"/>
    <n v="0"/>
    <n v="1012.49"/>
    <x v="1"/>
    <x v="11"/>
    <x v="0"/>
    <x v="0"/>
    <x v="1"/>
    <n v="20.25"/>
    <n v="20.25"/>
    <n v="20.25"/>
    <n v="1458"/>
    <n v="1620"/>
    <n v="1012.49"/>
    <n v="1012.49"/>
    <n v="1012.49"/>
    <n v="1012.49"/>
    <x v="1"/>
    <x v="0"/>
    <x v="0"/>
    <n v="0"/>
    <x v="0"/>
  </r>
  <r>
    <x v="155"/>
    <x v="136"/>
    <n v="5"/>
    <x v="5"/>
    <s v="2ºC"/>
    <x v="0"/>
    <s v="Mineral"/>
    <x v="31"/>
    <s v="6 - Fornecedor - Repasse"/>
    <n v="13.8"/>
    <n v="13.8"/>
    <n v="0"/>
    <n v="13.8"/>
    <n v="1173"/>
    <n v="1380"/>
    <n v="0"/>
    <n v="1374.95"/>
    <x v="1"/>
    <x v="39"/>
    <x v="0"/>
    <x v="0"/>
    <x v="1"/>
    <n v="13.8"/>
    <n v="13.8"/>
    <n v="13.8"/>
    <n v="1173"/>
    <n v="1380"/>
    <n v="1374.95"/>
    <n v="1374.95"/>
    <n v="1374.95"/>
    <n v="1374.95"/>
    <x v="1"/>
    <x v="0"/>
    <x v="0"/>
    <n v="0"/>
    <x v="0"/>
  </r>
  <r>
    <x v="155"/>
    <x v="136"/>
    <n v="6"/>
    <x v="5"/>
    <s v="2ºC"/>
    <x v="0"/>
    <s v="Mineral"/>
    <x v="31"/>
    <s v="6 - Fornecedor - Repasse"/>
    <n v="31.9"/>
    <n v="31.9"/>
    <n v="0"/>
    <n v="31.9"/>
    <n v="2711.5"/>
    <n v="3190"/>
    <n v="0"/>
    <n v="3178.73"/>
    <x v="1"/>
    <x v="39"/>
    <x v="0"/>
    <x v="0"/>
    <x v="1"/>
    <n v="31.9"/>
    <n v="31.9"/>
    <n v="31.9"/>
    <n v="2711.5"/>
    <n v="3190"/>
    <n v="3178.73"/>
    <n v="3178.73"/>
    <n v="3178.73"/>
    <n v="3178.73"/>
    <x v="1"/>
    <x v="0"/>
    <x v="0"/>
    <n v="0"/>
    <x v="0"/>
  </r>
  <r>
    <x v="156"/>
    <x v="137"/>
    <n v="1"/>
    <x v="5"/>
    <s v="2ºC"/>
    <x v="0"/>
    <s v="Mineral"/>
    <x v="18"/>
    <s v="6 - Fornecedor - Repasse"/>
    <n v="17.89"/>
    <n v="17.89"/>
    <n v="0"/>
    <n v="17.89"/>
    <n v="1538.54"/>
    <n v="1735.33"/>
    <n v="0"/>
    <n v="2360.7199999999998"/>
    <x v="1"/>
    <x v="36"/>
    <x v="0"/>
    <x v="0"/>
    <x v="1"/>
    <n v="17.89"/>
    <n v="17.89"/>
    <n v="17.89"/>
    <n v="1538.54"/>
    <n v="1735.33"/>
    <n v="2360.7199999999998"/>
    <n v="2360.7199999999998"/>
    <n v="2360.7199999999998"/>
    <n v="2360.7199999999998"/>
    <x v="1"/>
    <x v="0"/>
    <x v="0"/>
    <n v="0"/>
    <x v="0"/>
  </r>
  <r>
    <x v="156"/>
    <x v="137"/>
    <n v="2"/>
    <x v="5"/>
    <s v="2ºC"/>
    <x v="0"/>
    <s v="Mineral"/>
    <x v="34"/>
    <s v="6 - Fornecedor - Repasse"/>
    <n v="15.06"/>
    <n v="0"/>
    <n v="0"/>
    <n v="15.06"/>
    <n v="1340.34"/>
    <n v="0"/>
    <n v="0"/>
    <n v="1720.19"/>
    <x v="1"/>
    <x v="36"/>
    <x v="0"/>
    <x v="1"/>
    <x v="1"/>
    <n v="15.06"/>
    <n v="15.06"/>
    <n v="15.06"/>
    <n v="1340.34"/>
    <n v="1720.19"/>
    <n v="1720.19"/>
    <n v="1720.19"/>
    <n v="1720.19"/>
    <n v="1720.19"/>
    <x v="1"/>
    <x v="0"/>
    <x v="0"/>
    <n v="0"/>
    <x v="0"/>
  </r>
  <r>
    <x v="157"/>
    <x v="138"/>
    <n v="7"/>
    <x v="3"/>
    <s v="ANM"/>
    <x v="0"/>
    <s v="Mineral"/>
    <x v="11"/>
    <s v="6 - Fornecedor - Repasse"/>
    <n v="5.89"/>
    <n v="0"/>
    <n v="0"/>
    <n v="5.89"/>
    <n v="706.8"/>
    <n v="0"/>
    <n v="0"/>
    <n v="635.04999999999995"/>
    <x v="1"/>
    <x v="6"/>
    <x v="0"/>
    <x v="1"/>
    <x v="1"/>
    <n v="5.89"/>
    <n v="5.89"/>
    <n v="5.89"/>
    <n v="706.8"/>
    <n v="635.04999999999995"/>
    <n v="635.04999999999995"/>
    <n v="635.04999999999995"/>
    <n v="635.04999999999995"/>
    <n v="635.04999999999995"/>
    <x v="1"/>
    <x v="0"/>
    <x v="0"/>
    <n v="0"/>
    <x v="0"/>
  </r>
  <r>
    <x v="157"/>
    <x v="138"/>
    <n v="10"/>
    <x v="3"/>
    <s v="INV"/>
    <x v="0"/>
    <s v="Mineral"/>
    <x v="28"/>
    <s v="6 - Fornecedor - Repasse"/>
    <n v="0"/>
    <n v="0"/>
    <n v="0"/>
    <n v="0"/>
    <n v="0"/>
    <n v="0"/>
    <n v="0"/>
    <n v="0"/>
    <x v="1"/>
    <x v="38"/>
    <x v="1"/>
    <x v="0"/>
    <x v="0"/>
    <n v="0"/>
    <n v="0"/>
    <n v="0"/>
    <n v="0"/>
    <n v="0"/>
    <n v="0"/>
    <n v="0"/>
    <n v="0"/>
    <n v="0"/>
    <x v="1"/>
    <x v="0"/>
    <x v="0"/>
    <n v="0"/>
    <x v="0"/>
  </r>
  <r>
    <x v="157"/>
    <x v="138"/>
    <n v="11"/>
    <x v="3"/>
    <s v="INV"/>
    <x v="0"/>
    <s v="Mineral"/>
    <x v="29"/>
    <s v="6 - Fornecedor - Repasse"/>
    <n v="0"/>
    <n v="0"/>
    <n v="0"/>
    <n v="0"/>
    <n v="0"/>
    <n v="0"/>
    <n v="0"/>
    <n v="0"/>
    <x v="1"/>
    <x v="38"/>
    <x v="1"/>
    <x v="0"/>
    <x v="0"/>
    <n v="0"/>
    <n v="0"/>
    <n v="0"/>
    <n v="0"/>
    <n v="0"/>
    <n v="0"/>
    <n v="0"/>
    <n v="0"/>
    <n v="0"/>
    <x v="1"/>
    <x v="0"/>
    <x v="0"/>
    <n v="0"/>
    <x v="0"/>
  </r>
  <r>
    <x v="158"/>
    <x v="139"/>
    <n v="2"/>
    <x v="3"/>
    <s v="INV"/>
    <x v="0"/>
    <s v="Mineral"/>
    <x v="1"/>
    <s v="6 - Fornecedor - Repasse"/>
    <n v="8.93"/>
    <n v="8.93"/>
    <n v="0"/>
    <n v="8.93"/>
    <n v="928.72"/>
    <n v="928.72"/>
    <n v="0"/>
    <n v="1033.1300000000001"/>
    <x v="1"/>
    <x v="36"/>
    <x v="0"/>
    <x v="0"/>
    <x v="1"/>
    <n v="8.93"/>
    <n v="8.93"/>
    <n v="8.93"/>
    <n v="928.72"/>
    <n v="928.72"/>
    <n v="1033.1300000000001"/>
    <n v="1033.1300000000001"/>
    <n v="1033.1300000000001"/>
    <n v="1033.1300000000001"/>
    <x v="1"/>
    <x v="0"/>
    <x v="0"/>
    <n v="0"/>
    <x v="0"/>
  </r>
  <r>
    <x v="158"/>
    <x v="139"/>
    <n v="3"/>
    <x v="3"/>
    <s v="INV"/>
    <x v="0"/>
    <s v="Mineral"/>
    <x v="1"/>
    <s v="6 - Fornecedor - Repasse"/>
    <n v="4.84"/>
    <n v="4.84"/>
    <n v="0"/>
    <n v="4.84"/>
    <n v="503.36"/>
    <n v="503.36"/>
    <n v="0"/>
    <n v="559.41999999999996"/>
    <x v="1"/>
    <x v="36"/>
    <x v="0"/>
    <x v="0"/>
    <x v="1"/>
    <n v="4.84"/>
    <n v="4.84"/>
    <n v="4.84"/>
    <n v="503.36"/>
    <n v="503.36"/>
    <n v="559.41999999999996"/>
    <n v="559.41999999999996"/>
    <n v="559.41999999999996"/>
    <n v="559.41999999999996"/>
    <x v="1"/>
    <x v="0"/>
    <x v="0"/>
    <n v="0"/>
    <x v="0"/>
  </r>
  <r>
    <x v="158"/>
    <x v="139"/>
    <n v="15"/>
    <x v="3"/>
    <s v="INV"/>
    <x v="0"/>
    <s v="Mineral"/>
    <x v="1"/>
    <s v="6 - Fornecedor - Repasse"/>
    <n v="0.73"/>
    <n v="0"/>
    <n v="0"/>
    <n v="0.73"/>
    <n v="75.92"/>
    <n v="0"/>
    <n v="0"/>
    <n v="89.53"/>
    <x v="1"/>
    <x v="6"/>
    <x v="0"/>
    <x v="1"/>
    <x v="1"/>
    <n v="0.73"/>
    <n v="0.73"/>
    <n v="0.73"/>
    <n v="75.92"/>
    <n v="89.53"/>
    <n v="89.53"/>
    <n v="89.53"/>
    <n v="89.53"/>
    <n v="89.53"/>
    <x v="1"/>
    <x v="0"/>
    <x v="0"/>
    <n v="0"/>
    <x v="0"/>
  </r>
  <r>
    <x v="158"/>
    <x v="139"/>
    <n v="16"/>
    <x v="3"/>
    <s v="INV"/>
    <x v="0"/>
    <s v="Mineral"/>
    <x v="1"/>
    <s v="6 - Fornecedor - Repasse"/>
    <n v="10.32"/>
    <n v="0"/>
    <n v="0"/>
    <n v="10.32"/>
    <n v="1073.28"/>
    <n v="0"/>
    <n v="0"/>
    <n v="1264.3800000000001"/>
    <x v="1"/>
    <x v="6"/>
    <x v="0"/>
    <x v="1"/>
    <x v="1"/>
    <n v="10.32"/>
    <n v="10.32"/>
    <n v="10.32"/>
    <n v="1073.28"/>
    <n v="1264.3800000000001"/>
    <n v="1264.3800000000001"/>
    <n v="1264.3800000000001"/>
    <n v="1264.3800000000001"/>
    <n v="1264.3800000000001"/>
    <x v="1"/>
    <x v="0"/>
    <x v="0"/>
    <n v="0"/>
    <x v="0"/>
  </r>
  <r>
    <x v="158"/>
    <x v="139"/>
    <n v="17"/>
    <x v="3"/>
    <s v="INV"/>
    <x v="0"/>
    <s v="Mineral"/>
    <x v="1"/>
    <s v="6 - Fornecedor - Repasse"/>
    <n v="6.19"/>
    <n v="0"/>
    <n v="0"/>
    <n v="6.19"/>
    <n v="643.76"/>
    <n v="0"/>
    <n v="0"/>
    <n v="758.95"/>
    <x v="1"/>
    <x v="6"/>
    <x v="0"/>
    <x v="1"/>
    <x v="1"/>
    <n v="6.19"/>
    <n v="6.19"/>
    <n v="6.19"/>
    <n v="643.76"/>
    <n v="758.95"/>
    <n v="758.95"/>
    <n v="758.95"/>
    <n v="758.95"/>
    <n v="758.95"/>
    <x v="1"/>
    <x v="0"/>
    <x v="0"/>
    <n v="0"/>
    <x v="0"/>
  </r>
  <r>
    <x v="159"/>
    <x v="140"/>
    <n v="1"/>
    <x v="5"/>
    <s v="2ºC"/>
    <x v="0"/>
    <s v="Mineral"/>
    <x v="11"/>
    <s v="6 - Fornecedor - Repasse"/>
    <n v="46.65"/>
    <n v="0"/>
    <n v="0"/>
    <n v="46.65"/>
    <n v="3265.5"/>
    <n v="0"/>
    <n v="0"/>
    <n v="4077.89"/>
    <x v="3"/>
    <x v="6"/>
    <x v="0"/>
    <x v="1"/>
    <x v="1"/>
    <n v="46.65"/>
    <n v="46.65"/>
    <n v="46.65"/>
    <n v="3265.5"/>
    <n v="4077.89"/>
    <n v="4077.89"/>
    <n v="4077.89"/>
    <n v="4077.89"/>
    <n v="4077.89"/>
    <x v="1"/>
    <x v="0"/>
    <x v="0"/>
    <n v="0"/>
    <x v="0"/>
  </r>
  <r>
    <x v="159"/>
    <x v="140"/>
    <n v="2"/>
    <x v="5"/>
    <s v="2ºC"/>
    <x v="0"/>
    <s v="Mineral"/>
    <x v="13"/>
    <s v="6 - Fornecedor - Repasse"/>
    <n v="47.95"/>
    <n v="47.95"/>
    <n v="0"/>
    <n v="47.95"/>
    <n v="3356.5"/>
    <n v="3836"/>
    <n v="0"/>
    <n v="4555.17"/>
    <x v="3"/>
    <x v="17"/>
    <x v="0"/>
    <x v="0"/>
    <x v="1"/>
    <n v="47.95"/>
    <n v="47.95"/>
    <n v="47.95"/>
    <n v="3356.5"/>
    <n v="3836"/>
    <n v="4555.17"/>
    <n v="4555.17"/>
    <n v="4555.17"/>
    <n v="4555.17"/>
    <x v="1"/>
    <x v="0"/>
    <x v="0"/>
    <n v="0"/>
    <x v="0"/>
  </r>
  <r>
    <x v="159"/>
    <x v="140"/>
    <n v="3"/>
    <x v="5"/>
    <s v="2ºC"/>
    <x v="0"/>
    <s v="Mineral"/>
    <x v="6"/>
    <s v="6 - Fornecedor - Repasse"/>
    <n v="21.09"/>
    <n v="21.09"/>
    <n v="0"/>
    <n v="21.09"/>
    <n v="1476.3"/>
    <n v="1687.2"/>
    <n v="0"/>
    <n v="2003.42"/>
    <x v="3"/>
    <x v="17"/>
    <x v="0"/>
    <x v="0"/>
    <x v="1"/>
    <n v="21.09"/>
    <n v="21.09"/>
    <n v="21.09"/>
    <n v="1476.3"/>
    <n v="1687.2"/>
    <n v="2003.42"/>
    <n v="2003.42"/>
    <n v="2003.42"/>
    <n v="2003.42"/>
    <x v="1"/>
    <x v="0"/>
    <x v="0"/>
    <n v="0"/>
    <x v="0"/>
  </r>
  <r>
    <x v="159"/>
    <x v="140"/>
    <n v="4"/>
    <x v="5"/>
    <s v="2ºC"/>
    <x v="0"/>
    <s v="Mineral"/>
    <x v="6"/>
    <s v="6 - Fornecedor - Repasse"/>
    <n v="49.76"/>
    <n v="49.76"/>
    <n v="0"/>
    <n v="49.76"/>
    <n v="3483.2"/>
    <n v="3980.8"/>
    <n v="0"/>
    <n v="3404.06"/>
    <x v="3"/>
    <x v="17"/>
    <x v="0"/>
    <x v="0"/>
    <x v="1"/>
    <n v="49.76"/>
    <n v="49.76"/>
    <n v="49.76"/>
    <n v="3483.2"/>
    <n v="3980.8"/>
    <n v="3404.06"/>
    <n v="3404.06"/>
    <n v="3404.06"/>
    <n v="3404.06"/>
    <x v="1"/>
    <x v="0"/>
    <x v="0"/>
    <n v="0"/>
    <x v="0"/>
  </r>
  <r>
    <x v="159"/>
    <x v="140"/>
    <n v="5"/>
    <x v="5"/>
    <s v="2ºC"/>
    <x v="0"/>
    <s v="Mineral"/>
    <x v="13"/>
    <s v="6 - Fornecedor - Repasse"/>
    <n v="43.63"/>
    <n v="43.63"/>
    <n v="0"/>
    <n v="43.63"/>
    <n v="3054.1"/>
    <n v="3490.4"/>
    <n v="0"/>
    <n v="2984.41"/>
    <x v="3"/>
    <x v="17"/>
    <x v="0"/>
    <x v="0"/>
    <x v="1"/>
    <n v="43.63"/>
    <n v="43.63"/>
    <n v="43.63"/>
    <n v="3054.1"/>
    <n v="3490.4"/>
    <n v="2984.41"/>
    <n v="2984.41"/>
    <n v="2984.41"/>
    <n v="2984.41"/>
    <x v="1"/>
    <x v="0"/>
    <x v="0"/>
    <n v="0"/>
    <x v="0"/>
  </r>
  <r>
    <x v="159"/>
    <x v="140"/>
    <n v="6"/>
    <x v="5"/>
    <s v="2ºC"/>
    <x v="0"/>
    <s v="Mineral"/>
    <x v="11"/>
    <s v="6 - Fornecedor - Repasse"/>
    <n v="18.98"/>
    <n v="0"/>
    <n v="0"/>
    <n v="18.98"/>
    <n v="1328.6"/>
    <n v="0"/>
    <n v="0"/>
    <n v="1659.5"/>
    <x v="3"/>
    <x v="6"/>
    <x v="0"/>
    <x v="1"/>
    <x v="1"/>
    <n v="18.98"/>
    <n v="18.98"/>
    <n v="18.98"/>
    <n v="1328.6"/>
    <n v="1659.5"/>
    <n v="1659.5"/>
    <n v="1659.5"/>
    <n v="1659.5"/>
    <n v="1659.5"/>
    <x v="1"/>
    <x v="0"/>
    <x v="0"/>
    <n v="0"/>
    <x v="0"/>
  </r>
  <r>
    <x v="159"/>
    <x v="140"/>
    <n v="7"/>
    <x v="5"/>
    <s v="2ºC"/>
    <x v="0"/>
    <s v="Mineral"/>
    <x v="13"/>
    <s v="6 - Fornecedor - Repasse"/>
    <n v="12.19"/>
    <n v="12.19"/>
    <n v="0"/>
    <n v="12.19"/>
    <n v="767.97"/>
    <n v="865.49"/>
    <n v="0"/>
    <n v="812.39"/>
    <x v="3"/>
    <x v="6"/>
    <x v="0"/>
    <x v="0"/>
    <x v="1"/>
    <n v="12.19"/>
    <n v="12.19"/>
    <n v="12.19"/>
    <n v="767.97"/>
    <n v="865.49"/>
    <n v="812.39"/>
    <n v="812.39"/>
    <n v="812.39"/>
    <n v="812.39"/>
    <x v="1"/>
    <x v="0"/>
    <x v="0"/>
    <n v="0"/>
    <x v="0"/>
  </r>
  <r>
    <x v="159"/>
    <x v="140"/>
    <n v="8"/>
    <x v="5"/>
    <s v="2ºC"/>
    <x v="0"/>
    <s v="Mineral"/>
    <x v="11"/>
    <s v="6 - Fornecedor - Repasse"/>
    <n v="48.53"/>
    <n v="48.53"/>
    <n v="48.53"/>
    <n v="48.53"/>
    <n v="3057.39"/>
    <n v="3397.1"/>
    <n v="3736.81"/>
    <n v="3780.04"/>
    <x v="3"/>
    <x v="21"/>
    <x v="0"/>
    <x v="0"/>
    <x v="0"/>
    <n v="48.53"/>
    <n v="48.53"/>
    <n v="48.53"/>
    <n v="3057.39"/>
    <n v="3397.1"/>
    <n v="3736.81"/>
    <n v="3780.04"/>
    <n v="3780.04"/>
    <n v="3780.04"/>
    <x v="1"/>
    <x v="0"/>
    <x v="0"/>
    <n v="0"/>
    <x v="0"/>
  </r>
  <r>
    <x v="159"/>
    <x v="140"/>
    <n v="9"/>
    <x v="5"/>
    <s v="2ºC"/>
    <x v="0"/>
    <s v="Mineral"/>
    <x v="11"/>
    <s v="6 - Fornecedor - Repasse"/>
    <n v="36.61"/>
    <n v="36.61"/>
    <n v="36.61"/>
    <n v="36.61"/>
    <n v="2562.6999999999998"/>
    <n v="2709.14"/>
    <n v="2928.8"/>
    <n v="2962.65"/>
    <x v="3"/>
    <x v="21"/>
    <x v="0"/>
    <x v="0"/>
    <x v="0"/>
    <n v="36.61"/>
    <n v="36.61"/>
    <n v="36.61"/>
    <n v="2562.6999999999998"/>
    <n v="2709.14"/>
    <n v="2928.8"/>
    <n v="2962.65"/>
    <n v="2962.65"/>
    <n v="2962.65"/>
    <x v="1"/>
    <x v="0"/>
    <x v="0"/>
    <n v="0"/>
    <x v="0"/>
  </r>
  <r>
    <x v="159"/>
    <x v="140"/>
    <n v="10"/>
    <x v="5"/>
    <s v="2ºC"/>
    <x v="0"/>
    <s v="Mineral"/>
    <x v="11"/>
    <s v="6 - Fornecedor - Repasse"/>
    <n v="38.28"/>
    <n v="38.28"/>
    <n v="38.28"/>
    <n v="38.28"/>
    <n v="2679.6"/>
    <n v="2832.72"/>
    <n v="3062.4"/>
    <n v="3097.2"/>
    <x v="3"/>
    <x v="21"/>
    <x v="0"/>
    <x v="0"/>
    <x v="0"/>
    <n v="38.28"/>
    <n v="38.28"/>
    <n v="38.28"/>
    <n v="2679.6"/>
    <n v="2832.72"/>
    <n v="3062.4"/>
    <n v="3097.2"/>
    <n v="3097.2"/>
    <n v="3097.2"/>
    <x v="1"/>
    <x v="0"/>
    <x v="0"/>
    <n v="0"/>
    <x v="0"/>
  </r>
  <r>
    <x v="159"/>
    <x v="140"/>
    <n v="11"/>
    <x v="5"/>
    <s v="2ºC"/>
    <x v="0"/>
    <s v="Mineral"/>
    <x v="11"/>
    <s v="6 - Fornecedor - Repasse"/>
    <n v="6.45"/>
    <n v="6.45"/>
    <n v="6.45"/>
    <n v="6.45"/>
    <n v="451.5"/>
    <n v="477.3"/>
    <n v="516"/>
    <n v="521.70000000000005"/>
    <x v="3"/>
    <x v="21"/>
    <x v="0"/>
    <x v="0"/>
    <x v="0"/>
    <n v="6.45"/>
    <n v="6.45"/>
    <n v="6.45"/>
    <n v="451.5"/>
    <n v="477.3"/>
    <n v="516"/>
    <n v="521.70000000000005"/>
    <n v="521.70000000000005"/>
    <n v="521.70000000000005"/>
    <x v="1"/>
    <x v="0"/>
    <x v="0"/>
    <n v="0"/>
    <x v="0"/>
  </r>
  <r>
    <x v="159"/>
    <x v="140"/>
    <n v="12"/>
    <x v="5"/>
    <s v="2ºC"/>
    <x v="0"/>
    <s v="Mineral"/>
    <x v="11"/>
    <s v="6 - Fornecedor - Repasse"/>
    <n v="18.14"/>
    <n v="18.14"/>
    <n v="18.14"/>
    <n v="18.14"/>
    <n v="1269.8"/>
    <n v="1342.36"/>
    <n v="1451.2"/>
    <n v="1467.49"/>
    <x v="3"/>
    <x v="21"/>
    <x v="0"/>
    <x v="0"/>
    <x v="0"/>
    <n v="18.14"/>
    <n v="18.14"/>
    <n v="18.14"/>
    <n v="1269.8"/>
    <n v="1342.36"/>
    <n v="1451.2"/>
    <n v="1467.49"/>
    <n v="1467.49"/>
    <n v="1467.49"/>
    <x v="1"/>
    <x v="0"/>
    <x v="0"/>
    <n v="0"/>
    <x v="0"/>
  </r>
  <r>
    <x v="159"/>
    <x v="140"/>
    <n v="13"/>
    <x v="5"/>
    <s v="2ºC"/>
    <x v="0"/>
    <s v="Mineral"/>
    <x v="11"/>
    <s v="6 - Fornecedor - Repasse"/>
    <n v="41.87"/>
    <n v="41.87"/>
    <n v="41.87"/>
    <n v="41.87"/>
    <n v="2930.9"/>
    <n v="3098.38"/>
    <n v="3349.6"/>
    <n v="3388.56"/>
    <x v="3"/>
    <x v="21"/>
    <x v="0"/>
    <x v="0"/>
    <x v="0"/>
    <n v="41.87"/>
    <n v="41.87"/>
    <n v="41.87"/>
    <n v="2930.9"/>
    <n v="3098.38"/>
    <n v="3349.6"/>
    <n v="3388.56"/>
    <n v="3388.56"/>
    <n v="3388.56"/>
    <x v="1"/>
    <x v="0"/>
    <x v="0"/>
    <n v="0"/>
    <x v="0"/>
  </r>
  <r>
    <x v="159"/>
    <x v="140"/>
    <n v="14"/>
    <x v="5"/>
    <s v="2ºC"/>
    <x v="0"/>
    <s v="Mineral"/>
    <x v="11"/>
    <s v="6 - Fornecedor - Repasse"/>
    <n v="17.079999999999998"/>
    <n v="17.079999999999998"/>
    <n v="17.079999999999998"/>
    <n v="17.079999999999998"/>
    <n v="1195.5999999999999"/>
    <n v="1263.92"/>
    <n v="1366.4"/>
    <n v="1381.54"/>
    <x v="3"/>
    <x v="21"/>
    <x v="0"/>
    <x v="0"/>
    <x v="0"/>
    <n v="17.079999999999998"/>
    <n v="17.079999999999998"/>
    <n v="17.079999999999998"/>
    <n v="1195.5999999999999"/>
    <n v="1263.92"/>
    <n v="1366.4"/>
    <n v="1381.54"/>
    <n v="1381.54"/>
    <n v="1381.54"/>
    <x v="1"/>
    <x v="0"/>
    <x v="0"/>
    <n v="0"/>
    <x v="0"/>
  </r>
  <r>
    <x v="159"/>
    <x v="140"/>
    <n v="15"/>
    <x v="5"/>
    <s v="2ºC"/>
    <x v="0"/>
    <s v="Mineral"/>
    <x v="11"/>
    <s v="6 - Fornecedor - Repasse"/>
    <n v="24"/>
    <n v="24"/>
    <n v="24"/>
    <n v="24"/>
    <n v="1680"/>
    <n v="1776"/>
    <n v="1920"/>
    <n v="1941.96"/>
    <x v="3"/>
    <x v="21"/>
    <x v="0"/>
    <x v="0"/>
    <x v="0"/>
    <n v="24"/>
    <n v="24"/>
    <n v="24"/>
    <n v="1680"/>
    <n v="1776"/>
    <n v="1920"/>
    <n v="1941.96"/>
    <n v="1941.96"/>
    <n v="1941.96"/>
    <x v="1"/>
    <x v="0"/>
    <x v="0"/>
    <n v="0"/>
    <x v="0"/>
  </r>
  <r>
    <x v="159"/>
    <x v="140"/>
    <n v="16"/>
    <x v="5"/>
    <s v="2ºC"/>
    <x v="0"/>
    <s v="Mineral"/>
    <x v="11"/>
    <s v="6 - Fornecedor - Repasse"/>
    <n v="12.63"/>
    <n v="12.63"/>
    <n v="12.63"/>
    <n v="12.63"/>
    <n v="884.1"/>
    <n v="934.62"/>
    <n v="1010.4"/>
    <n v="1024.24"/>
    <x v="3"/>
    <x v="21"/>
    <x v="0"/>
    <x v="0"/>
    <x v="0"/>
    <n v="12.63"/>
    <n v="12.63"/>
    <n v="12.63"/>
    <n v="884.1"/>
    <n v="934.62"/>
    <n v="1010.4"/>
    <n v="1024.24"/>
    <n v="1024.24"/>
    <n v="1024.24"/>
    <x v="1"/>
    <x v="0"/>
    <x v="0"/>
    <n v="0"/>
    <x v="0"/>
  </r>
  <r>
    <x v="159"/>
    <x v="140"/>
    <n v="17"/>
    <x v="5"/>
    <s v="2ºC"/>
    <x v="0"/>
    <s v="Mineral"/>
    <x v="13"/>
    <s v="6 - Fornecedor - Repasse"/>
    <n v="22.03"/>
    <n v="22.03"/>
    <n v="22.03"/>
    <n v="22.03"/>
    <n v="1453.98"/>
    <n v="1542.1"/>
    <n v="1806.46"/>
    <n v="1836.52"/>
    <x v="3"/>
    <x v="32"/>
    <x v="0"/>
    <x v="0"/>
    <x v="0"/>
    <n v="22.03"/>
    <n v="22.03"/>
    <n v="22.03"/>
    <n v="1453.98"/>
    <n v="1542.1"/>
    <n v="1806.46"/>
    <n v="1836.52"/>
    <n v="1836.52"/>
    <n v="1836.52"/>
    <x v="1"/>
    <x v="0"/>
    <x v="0"/>
    <n v="0"/>
    <x v="0"/>
  </r>
  <r>
    <x v="159"/>
    <x v="140"/>
    <n v="18"/>
    <x v="5"/>
    <s v="2ºC"/>
    <x v="0"/>
    <s v="Mineral"/>
    <x v="13"/>
    <s v="6 - Fornecedor - Repasse"/>
    <n v="23.43"/>
    <n v="23.43"/>
    <n v="23.43"/>
    <n v="23.43"/>
    <n v="1546.38"/>
    <n v="1640.1"/>
    <n v="1921.26"/>
    <n v="1953.47"/>
    <x v="3"/>
    <x v="32"/>
    <x v="0"/>
    <x v="0"/>
    <x v="0"/>
    <n v="23.43"/>
    <n v="23.43"/>
    <n v="23.43"/>
    <n v="1546.38"/>
    <n v="1640.1"/>
    <n v="1921.26"/>
    <n v="1953.47"/>
    <n v="1953.47"/>
    <n v="1953.47"/>
    <x v="1"/>
    <x v="0"/>
    <x v="0"/>
    <n v="0"/>
    <x v="0"/>
  </r>
  <r>
    <x v="159"/>
    <x v="140"/>
    <n v="19"/>
    <x v="5"/>
    <s v="2ºC"/>
    <x v="0"/>
    <s v="Mineral"/>
    <x v="6"/>
    <s v="6 - Fornecedor - Repasse"/>
    <n v="11.4"/>
    <n v="11.4"/>
    <n v="11.4"/>
    <n v="11.4"/>
    <n v="843.6"/>
    <n v="866.4"/>
    <n v="934.8"/>
    <n v="950.69"/>
    <x v="3"/>
    <x v="32"/>
    <x v="0"/>
    <x v="0"/>
    <x v="0"/>
    <n v="11.4"/>
    <n v="11.4"/>
    <n v="11.4"/>
    <n v="843.6"/>
    <n v="866.4"/>
    <n v="934.8"/>
    <n v="950.69"/>
    <n v="950.69"/>
    <n v="950.69"/>
    <x v="1"/>
    <x v="0"/>
    <x v="0"/>
    <n v="0"/>
    <x v="0"/>
  </r>
  <r>
    <x v="159"/>
    <x v="140"/>
    <n v="20"/>
    <x v="5"/>
    <s v="2ºC"/>
    <x v="0"/>
    <s v="Mineral"/>
    <x v="6"/>
    <s v="6 - Fornecedor - Repasse"/>
    <n v="22.97"/>
    <n v="22.97"/>
    <n v="22.97"/>
    <n v="22.97"/>
    <n v="1699.78"/>
    <n v="1745.72"/>
    <n v="1883.54"/>
    <n v="1915.84"/>
    <x v="3"/>
    <x v="32"/>
    <x v="0"/>
    <x v="0"/>
    <x v="0"/>
    <n v="22.97"/>
    <n v="22.97"/>
    <n v="22.97"/>
    <n v="1699.78"/>
    <n v="1745.72"/>
    <n v="1883.54"/>
    <n v="1915.84"/>
    <n v="1915.84"/>
    <n v="1915.84"/>
    <x v="1"/>
    <x v="0"/>
    <x v="0"/>
    <n v="0"/>
    <x v="0"/>
  </r>
  <r>
    <x v="159"/>
    <x v="140"/>
    <n v="21"/>
    <x v="5"/>
    <s v="2ºC"/>
    <x v="0"/>
    <s v="Mineral"/>
    <x v="6"/>
    <s v="6 - Fornecedor - Repasse"/>
    <n v="11.01"/>
    <n v="11.01"/>
    <n v="11.01"/>
    <n v="11.01"/>
    <n v="814.74"/>
    <n v="836.76"/>
    <n v="902.82"/>
    <n v="918.15"/>
    <x v="3"/>
    <x v="32"/>
    <x v="0"/>
    <x v="0"/>
    <x v="0"/>
    <n v="11.01"/>
    <n v="11.01"/>
    <n v="11.01"/>
    <n v="814.74"/>
    <n v="836.76"/>
    <n v="902.82"/>
    <n v="918.15"/>
    <n v="918.15"/>
    <n v="918.15"/>
    <x v="1"/>
    <x v="0"/>
    <x v="0"/>
    <n v="0"/>
    <x v="0"/>
  </r>
  <r>
    <x v="159"/>
    <x v="140"/>
    <n v="22"/>
    <x v="5"/>
    <s v="2ºC"/>
    <x v="0"/>
    <s v="Mineral"/>
    <x v="6"/>
    <s v="6 - Fornecedor - Repasse"/>
    <n v="22.48"/>
    <n v="22.48"/>
    <n v="22.48"/>
    <n v="22.48"/>
    <n v="1663.52"/>
    <n v="1730.96"/>
    <n v="1843.36"/>
    <n v="1874.15"/>
    <x v="3"/>
    <x v="32"/>
    <x v="0"/>
    <x v="0"/>
    <x v="0"/>
    <n v="22.48"/>
    <n v="22.48"/>
    <n v="22.48"/>
    <n v="1663.52"/>
    <n v="1730.96"/>
    <n v="1843.36"/>
    <n v="1874.15"/>
    <n v="1874.15"/>
    <n v="1874.15"/>
    <x v="1"/>
    <x v="0"/>
    <x v="0"/>
    <n v="0"/>
    <x v="0"/>
  </r>
  <r>
    <x v="159"/>
    <x v="140"/>
    <n v="23"/>
    <x v="5"/>
    <s v="2ºC"/>
    <x v="0"/>
    <s v="Mineral"/>
    <x v="6"/>
    <s v="6 - Fornecedor - Repasse"/>
    <n v="22.55"/>
    <n v="22.55"/>
    <n v="22.55"/>
    <n v="22.55"/>
    <n v="1668.7"/>
    <n v="1736.35"/>
    <n v="1849.1"/>
    <n v="1880.24"/>
    <x v="3"/>
    <x v="32"/>
    <x v="0"/>
    <x v="0"/>
    <x v="0"/>
    <n v="22.55"/>
    <n v="22.55"/>
    <n v="22.55"/>
    <n v="1668.7"/>
    <n v="1736.35"/>
    <n v="1849.1"/>
    <n v="1880.24"/>
    <n v="1880.24"/>
    <n v="1880.24"/>
    <x v="1"/>
    <x v="0"/>
    <x v="0"/>
    <n v="0"/>
    <x v="0"/>
  </r>
  <r>
    <x v="159"/>
    <x v="140"/>
    <n v="24"/>
    <x v="5"/>
    <s v="2ºC"/>
    <x v="0"/>
    <s v="Mineral"/>
    <x v="13"/>
    <s v="6 - Fornecedor - Repasse"/>
    <n v="26.22"/>
    <n v="26.22"/>
    <n v="26.22"/>
    <n v="26.22"/>
    <n v="1678.08"/>
    <n v="1835.4"/>
    <n v="2097.6"/>
    <n v="2135.15"/>
    <x v="3"/>
    <x v="32"/>
    <x v="0"/>
    <x v="0"/>
    <x v="0"/>
    <n v="26.22"/>
    <n v="26.22"/>
    <n v="26.22"/>
    <n v="1678.08"/>
    <n v="1835.4"/>
    <n v="2097.6"/>
    <n v="2135.15"/>
    <n v="2135.15"/>
    <n v="2135.15"/>
    <x v="1"/>
    <x v="0"/>
    <x v="0"/>
    <n v="0"/>
    <x v="0"/>
  </r>
  <r>
    <x v="159"/>
    <x v="140"/>
    <n v="25"/>
    <x v="5"/>
    <s v="2ºC"/>
    <x v="0"/>
    <s v="Mineral"/>
    <x v="6"/>
    <s v="6 - Fornecedor - Repasse"/>
    <n v="14.35"/>
    <n v="14.35"/>
    <n v="14.35"/>
    <n v="14.35"/>
    <n v="918.4"/>
    <n v="1004.5"/>
    <n v="1148"/>
    <n v="1802.84"/>
    <x v="3"/>
    <x v="21"/>
    <x v="0"/>
    <x v="0"/>
    <x v="0"/>
    <n v="14.35"/>
    <n v="14.35"/>
    <n v="14.35"/>
    <n v="918.4"/>
    <n v="1004.5"/>
    <n v="1148"/>
    <n v="1802.84"/>
    <n v="1802.84"/>
    <n v="1802.84"/>
    <x v="1"/>
    <x v="0"/>
    <x v="0"/>
    <n v="0"/>
    <x v="0"/>
  </r>
  <r>
    <x v="159"/>
    <x v="140"/>
    <n v="26"/>
    <x v="5"/>
    <s v="2ºC"/>
    <x v="0"/>
    <s v="Mineral"/>
    <x v="6"/>
    <s v="6 - Fornecedor - Repasse"/>
    <n v="43.33"/>
    <n v="0"/>
    <n v="0"/>
    <n v="43.33"/>
    <n v="2773.12"/>
    <n v="0"/>
    <n v="0"/>
    <n v="4237.8599999999997"/>
    <x v="3"/>
    <x v="6"/>
    <x v="0"/>
    <x v="1"/>
    <x v="1"/>
    <n v="43.33"/>
    <n v="43.33"/>
    <n v="43.33"/>
    <n v="2773.12"/>
    <n v="4237.8599999999997"/>
    <n v="4237.8599999999997"/>
    <n v="4237.8599999999997"/>
    <n v="4237.8599999999997"/>
    <n v="4237.8599999999997"/>
    <x v="1"/>
    <x v="0"/>
    <x v="0"/>
    <n v="0"/>
    <x v="0"/>
  </r>
  <r>
    <x v="159"/>
    <x v="140"/>
    <n v="27"/>
    <x v="5"/>
    <s v="2ºC"/>
    <x v="0"/>
    <s v="Mineral"/>
    <x v="6"/>
    <s v="6 - Fornecedor - Repasse"/>
    <n v="27.76"/>
    <n v="0"/>
    <n v="0"/>
    <n v="27.76"/>
    <n v="1665.6"/>
    <n v="0"/>
    <n v="0"/>
    <n v="1964.01"/>
    <x v="3"/>
    <x v="22"/>
    <x v="0"/>
    <x v="1"/>
    <x v="1"/>
    <n v="27.76"/>
    <n v="27.76"/>
    <n v="27.76"/>
    <n v="1665.6"/>
    <n v="1964.01"/>
    <n v="1964.01"/>
    <n v="1964.01"/>
    <n v="1964.01"/>
    <n v="1964.01"/>
    <x v="1"/>
    <x v="0"/>
    <x v="0"/>
    <n v="0"/>
    <x v="0"/>
  </r>
  <r>
    <x v="159"/>
    <x v="140"/>
    <n v="28"/>
    <x v="5"/>
    <s v="2ºC"/>
    <x v="0"/>
    <s v="Mineral"/>
    <x v="6"/>
    <s v="6 - Fornecedor - Repasse"/>
    <n v="26.12"/>
    <n v="0"/>
    <n v="0"/>
    <n v="26.12"/>
    <n v="1567.2"/>
    <n v="0"/>
    <n v="0"/>
    <n v="1847.4"/>
    <x v="3"/>
    <x v="22"/>
    <x v="0"/>
    <x v="1"/>
    <x v="1"/>
    <n v="26.12"/>
    <n v="26.12"/>
    <n v="26.12"/>
    <n v="1567.2"/>
    <n v="1847.4"/>
    <n v="1847.4"/>
    <n v="1847.4"/>
    <n v="1847.4"/>
    <n v="1847.4"/>
    <x v="1"/>
    <x v="0"/>
    <x v="0"/>
    <n v="0"/>
    <x v="0"/>
  </r>
  <r>
    <x v="159"/>
    <x v="140"/>
    <n v="29"/>
    <x v="5"/>
    <s v="2ºC"/>
    <x v="0"/>
    <s v="Mineral"/>
    <x v="6"/>
    <s v="6 - Fornecedor - Repasse"/>
    <n v="18.02"/>
    <n v="0"/>
    <n v="0"/>
    <n v="18.02"/>
    <n v="1081.2"/>
    <n v="0"/>
    <n v="0"/>
    <n v="1651.98"/>
    <x v="3"/>
    <x v="6"/>
    <x v="0"/>
    <x v="1"/>
    <x v="1"/>
    <n v="18.02"/>
    <n v="18.02"/>
    <n v="18.02"/>
    <n v="1081.2"/>
    <n v="1651.98"/>
    <n v="1651.98"/>
    <n v="1651.98"/>
    <n v="1651.98"/>
    <n v="1651.98"/>
    <x v="1"/>
    <x v="0"/>
    <x v="0"/>
    <n v="0"/>
    <x v="0"/>
  </r>
  <r>
    <x v="159"/>
    <x v="140"/>
    <n v="30"/>
    <x v="5"/>
    <s v="2ºC"/>
    <x v="0"/>
    <s v="Mineral"/>
    <x v="6"/>
    <s v="6 - Fornecedor - Repasse"/>
    <n v="13.94"/>
    <n v="0"/>
    <n v="0"/>
    <n v="13.94"/>
    <n v="836.4"/>
    <n v="0"/>
    <n v="0"/>
    <n v="1277.8800000000001"/>
    <x v="3"/>
    <x v="6"/>
    <x v="0"/>
    <x v="1"/>
    <x v="1"/>
    <n v="13.94"/>
    <n v="13.94"/>
    <n v="13.94"/>
    <n v="836.4"/>
    <n v="1277.8800000000001"/>
    <n v="1277.8800000000001"/>
    <n v="1277.8800000000001"/>
    <n v="1277.8800000000001"/>
    <n v="1277.8800000000001"/>
    <x v="1"/>
    <x v="0"/>
    <x v="0"/>
    <n v="0"/>
    <x v="0"/>
  </r>
  <r>
    <x v="160"/>
    <x v="141"/>
    <n v="1"/>
    <x v="5"/>
    <s v="2ºC"/>
    <x v="0"/>
    <s v="Mineral"/>
    <x v="8"/>
    <s v="6 - Fornecedor - Repasse"/>
    <n v="16.98"/>
    <n v="16.98"/>
    <n v="16.98"/>
    <n v="16.98"/>
    <n v="781.08"/>
    <n v="849"/>
    <n v="1188.5999999999999"/>
    <n v="898.07"/>
    <x v="3"/>
    <x v="0"/>
    <x v="0"/>
    <x v="0"/>
    <x v="0"/>
    <n v="16.98"/>
    <n v="16.98"/>
    <n v="16.98"/>
    <n v="781.08"/>
    <n v="849"/>
    <n v="1188.5999999999999"/>
    <n v="898.07"/>
    <n v="898.07"/>
    <n v="898.07"/>
    <x v="1"/>
    <x v="0"/>
    <x v="0"/>
    <n v="0"/>
    <x v="0"/>
  </r>
  <r>
    <x v="160"/>
    <x v="141"/>
    <n v="2"/>
    <x v="5"/>
    <s v="2ºC"/>
    <x v="0"/>
    <s v="Mineral"/>
    <x v="8"/>
    <s v="6 - Fornecedor - Repasse"/>
    <n v="19.649999999999999"/>
    <n v="19.649999999999999"/>
    <n v="19.649999999999999"/>
    <n v="19.649999999999999"/>
    <n v="1375.5"/>
    <n v="982.5"/>
    <n v="1375.5"/>
    <n v="1039.33"/>
    <x v="3"/>
    <x v="0"/>
    <x v="0"/>
    <x v="0"/>
    <x v="0"/>
    <n v="19.649999999999999"/>
    <n v="19.649999999999999"/>
    <n v="19.649999999999999"/>
    <n v="1375.5"/>
    <n v="982.5"/>
    <n v="1375.5"/>
    <n v="1039.33"/>
    <n v="1039.33"/>
    <n v="1039.33"/>
    <x v="1"/>
    <x v="0"/>
    <x v="0"/>
    <n v="0"/>
    <x v="0"/>
  </r>
  <r>
    <x v="160"/>
    <x v="141"/>
    <n v="3"/>
    <x v="5"/>
    <s v="2ºC"/>
    <x v="0"/>
    <s v="Mineral"/>
    <x v="6"/>
    <s v="6 - Fornecedor - Repasse"/>
    <n v="14.45"/>
    <n v="14.45"/>
    <n v="14.45"/>
    <n v="14.45"/>
    <n v="1228.25"/>
    <n v="722.5"/>
    <n v="1011.5"/>
    <n v="764.37"/>
    <x v="3"/>
    <x v="0"/>
    <x v="0"/>
    <x v="0"/>
    <x v="0"/>
    <n v="14.45"/>
    <n v="14.45"/>
    <n v="14.45"/>
    <n v="1228.25"/>
    <n v="722.5"/>
    <n v="1011.5"/>
    <n v="764.37"/>
    <n v="764.37"/>
    <n v="764.37"/>
    <x v="1"/>
    <x v="0"/>
    <x v="0"/>
    <n v="0"/>
    <x v="0"/>
  </r>
  <r>
    <x v="160"/>
    <x v="141"/>
    <n v="4"/>
    <x v="5"/>
    <s v="2ºC"/>
    <x v="0"/>
    <s v="Mineral"/>
    <x v="6"/>
    <s v="6 - Fornecedor - Repasse"/>
    <n v="15.81"/>
    <n v="15.81"/>
    <n v="15.81"/>
    <n v="15.81"/>
    <n v="1343.85"/>
    <n v="790.5"/>
    <n v="1106.7"/>
    <n v="836.13"/>
    <x v="3"/>
    <x v="0"/>
    <x v="0"/>
    <x v="0"/>
    <x v="0"/>
    <n v="15.81"/>
    <n v="15.81"/>
    <n v="15.81"/>
    <n v="1343.85"/>
    <n v="790.5"/>
    <n v="1106.7"/>
    <n v="836.13"/>
    <n v="836.13"/>
    <n v="836.13"/>
    <x v="1"/>
    <x v="0"/>
    <x v="0"/>
    <n v="0"/>
    <x v="0"/>
  </r>
  <r>
    <x v="160"/>
    <x v="141"/>
    <n v="5"/>
    <x v="5"/>
    <s v="2ºC"/>
    <x v="0"/>
    <s v="Mineral"/>
    <x v="6"/>
    <s v="6 - Fornecedor - Repasse"/>
    <n v="14.4"/>
    <n v="14.4"/>
    <n v="14.4"/>
    <n v="14.4"/>
    <n v="1008"/>
    <n v="720"/>
    <n v="720"/>
    <n v="543.79999999999995"/>
    <x v="3"/>
    <x v="0"/>
    <x v="0"/>
    <x v="0"/>
    <x v="0"/>
    <n v="14.4"/>
    <n v="14.4"/>
    <n v="14.4"/>
    <n v="1008"/>
    <n v="720"/>
    <n v="720"/>
    <n v="543.79999999999995"/>
    <n v="543.79999999999995"/>
    <n v="543.79999999999995"/>
    <x v="1"/>
    <x v="0"/>
    <x v="0"/>
    <n v="0"/>
    <x v="0"/>
  </r>
  <r>
    <x v="160"/>
    <x v="141"/>
    <n v="6"/>
    <x v="5"/>
    <s v="2ºC"/>
    <x v="0"/>
    <s v="Mineral"/>
    <x v="6"/>
    <s v="6 - Fornecedor - Repasse"/>
    <n v="15.8"/>
    <n v="15.8"/>
    <n v="15.8"/>
    <n v="15.8"/>
    <n v="948"/>
    <n v="790"/>
    <n v="790"/>
    <n v="597.16999999999996"/>
    <x v="3"/>
    <x v="0"/>
    <x v="0"/>
    <x v="0"/>
    <x v="0"/>
    <n v="15.8"/>
    <n v="15.8"/>
    <n v="15.8"/>
    <n v="948"/>
    <n v="790"/>
    <n v="790"/>
    <n v="597.16999999999996"/>
    <n v="597.16999999999996"/>
    <n v="597.16999999999996"/>
    <x v="1"/>
    <x v="0"/>
    <x v="0"/>
    <n v="0"/>
    <x v="0"/>
  </r>
  <r>
    <x v="160"/>
    <x v="141"/>
    <n v="7"/>
    <x v="5"/>
    <s v="2ºC"/>
    <x v="0"/>
    <s v="Mineral"/>
    <x v="6"/>
    <s v="6 - Fornecedor - Repasse"/>
    <n v="22.26"/>
    <n v="22.26"/>
    <n v="22.26"/>
    <n v="22.26"/>
    <n v="1558.2"/>
    <n v="1113"/>
    <n v="1113"/>
    <n v="1445"/>
    <x v="3"/>
    <x v="19"/>
    <x v="0"/>
    <x v="0"/>
    <x v="0"/>
    <n v="22.26"/>
    <n v="22.26"/>
    <n v="22.26"/>
    <n v="1558.2"/>
    <n v="1113"/>
    <n v="1113"/>
    <n v="1445"/>
    <n v="1445"/>
    <n v="1445"/>
    <x v="1"/>
    <x v="0"/>
    <x v="0"/>
    <n v="0"/>
    <x v="0"/>
  </r>
  <r>
    <x v="160"/>
    <x v="141"/>
    <n v="8"/>
    <x v="5"/>
    <s v="2ºC"/>
    <x v="0"/>
    <s v="Mineral"/>
    <x v="6"/>
    <s v="6 - Fornecedor - Repasse"/>
    <n v="10.66"/>
    <n v="10.66"/>
    <n v="10.66"/>
    <n v="10.66"/>
    <n v="533"/>
    <n v="426.4"/>
    <n v="213.2"/>
    <n v="276.5"/>
    <x v="3"/>
    <x v="19"/>
    <x v="0"/>
    <x v="0"/>
    <x v="0"/>
    <n v="10.66"/>
    <n v="10.66"/>
    <n v="10.66"/>
    <n v="533"/>
    <n v="426.4"/>
    <n v="213.2"/>
    <n v="276.5"/>
    <n v="276.5"/>
    <n v="276.5"/>
    <x v="1"/>
    <x v="0"/>
    <x v="0"/>
    <n v="0"/>
    <x v="0"/>
  </r>
  <r>
    <x v="160"/>
    <x v="141"/>
    <n v="9"/>
    <x v="5"/>
    <s v="2ºC"/>
    <x v="0"/>
    <s v="Mineral"/>
    <x v="6"/>
    <s v="6 - Fornecedor - Repasse"/>
    <n v="18.13"/>
    <n v="18.13"/>
    <n v="18.13"/>
    <n v="18.13"/>
    <n v="1486.66"/>
    <n v="1486.66"/>
    <n v="906.5"/>
    <n v="1177.68"/>
    <x v="3"/>
    <x v="19"/>
    <x v="0"/>
    <x v="0"/>
    <x v="0"/>
    <n v="18.13"/>
    <n v="18.13"/>
    <n v="18.13"/>
    <n v="1486.66"/>
    <n v="1486.66"/>
    <n v="906.5"/>
    <n v="1177.68"/>
    <n v="1177.68"/>
    <n v="1177.68"/>
    <x v="1"/>
    <x v="0"/>
    <x v="0"/>
    <n v="0"/>
    <x v="0"/>
  </r>
  <r>
    <x v="161"/>
    <x v="142"/>
    <n v="1"/>
    <x v="3"/>
    <s v="INV"/>
    <x v="0"/>
    <s v="Mineral"/>
    <x v="36"/>
    <s v="6 - Fornecedor - Repasse"/>
    <n v="5.98"/>
    <n v="5.98"/>
    <n v="5.98"/>
    <n v="5.98"/>
    <n v="603.98"/>
    <n v="621.91999999999996"/>
    <n v="621.91999999999996"/>
    <n v="343.08"/>
    <x v="3"/>
    <x v="2"/>
    <x v="0"/>
    <x v="0"/>
    <x v="0"/>
    <n v="5.98"/>
    <n v="5.98"/>
    <n v="5.98"/>
    <n v="603.98"/>
    <n v="621.91999999999996"/>
    <n v="621.91999999999996"/>
    <n v="343.08"/>
    <n v="343.08"/>
    <n v="343.08"/>
    <x v="1"/>
    <x v="0"/>
    <x v="0"/>
    <n v="0"/>
    <x v="0"/>
  </r>
  <r>
    <x v="161"/>
    <x v="142"/>
    <n v="2"/>
    <x v="3"/>
    <s v="INV"/>
    <x v="0"/>
    <s v="Mineral"/>
    <x v="36"/>
    <s v="6 - Fornecedor - Repasse"/>
    <n v="2.0299999999999998"/>
    <n v="2.0299999999999998"/>
    <n v="2.0299999999999998"/>
    <n v="2.0299999999999998"/>
    <n v="205.03"/>
    <n v="211.12"/>
    <n v="211.12"/>
    <n v="116.33"/>
    <x v="3"/>
    <x v="2"/>
    <x v="0"/>
    <x v="0"/>
    <x v="0"/>
    <n v="2.0299999999999998"/>
    <n v="2.0299999999999998"/>
    <n v="2.0299999999999998"/>
    <n v="205.03"/>
    <n v="211.12"/>
    <n v="211.12"/>
    <n v="116.33"/>
    <n v="116.33"/>
    <n v="116.33"/>
    <x v="1"/>
    <x v="0"/>
    <x v="0"/>
    <n v="0"/>
    <x v="0"/>
  </r>
  <r>
    <x v="161"/>
    <x v="142"/>
    <n v="3"/>
    <x v="3"/>
    <s v="INV"/>
    <x v="0"/>
    <s v="Mineral"/>
    <x v="36"/>
    <s v="6 - Fornecedor - Repasse"/>
    <n v="37.6"/>
    <n v="37.6"/>
    <n v="37.6"/>
    <n v="37.6"/>
    <n v="3797.6"/>
    <n v="3910.4"/>
    <n v="3910.4"/>
    <n v="2157.15"/>
    <x v="3"/>
    <x v="2"/>
    <x v="0"/>
    <x v="0"/>
    <x v="0"/>
    <n v="37.6"/>
    <n v="37.6"/>
    <n v="37.6"/>
    <n v="3797.6"/>
    <n v="3910.4"/>
    <n v="3910.4"/>
    <n v="2157.15"/>
    <n v="2157.15"/>
    <n v="2157.15"/>
    <x v="1"/>
    <x v="0"/>
    <x v="0"/>
    <n v="0"/>
    <x v="0"/>
  </r>
  <r>
    <x v="161"/>
    <x v="142"/>
    <n v="4"/>
    <x v="3"/>
    <s v="INV"/>
    <x v="0"/>
    <s v="Mineral"/>
    <x v="36"/>
    <s v="6 - Fornecedor - Repasse"/>
    <n v="23.48"/>
    <n v="23.48"/>
    <n v="23.48"/>
    <n v="23.48"/>
    <n v="2371.48"/>
    <n v="2441.92"/>
    <n v="2441.92"/>
    <n v="1347.22"/>
    <x v="3"/>
    <x v="2"/>
    <x v="0"/>
    <x v="0"/>
    <x v="0"/>
    <n v="23.48"/>
    <n v="23.48"/>
    <n v="23.48"/>
    <n v="2371.48"/>
    <n v="2441.92"/>
    <n v="2441.92"/>
    <n v="1347.22"/>
    <n v="1347.22"/>
    <n v="1347.22"/>
    <x v="1"/>
    <x v="0"/>
    <x v="0"/>
    <n v="0"/>
    <x v="0"/>
  </r>
  <r>
    <x v="161"/>
    <x v="142"/>
    <n v="5"/>
    <x v="3"/>
    <s v="INV"/>
    <x v="0"/>
    <s v="Mineral"/>
    <x v="36"/>
    <s v="6 - Fornecedor - Repasse"/>
    <n v="22.16"/>
    <n v="22.16"/>
    <n v="22.16"/>
    <n v="22.16"/>
    <n v="2304.64"/>
    <n v="2304.64"/>
    <n v="2304.64"/>
    <n v="1272.04"/>
    <x v="3"/>
    <x v="2"/>
    <x v="0"/>
    <x v="0"/>
    <x v="0"/>
    <n v="22.16"/>
    <n v="22.16"/>
    <n v="22.16"/>
    <n v="2304.64"/>
    <n v="2304.64"/>
    <n v="2304.64"/>
    <n v="1272.04"/>
    <n v="1272.04"/>
    <n v="1272.04"/>
    <x v="1"/>
    <x v="0"/>
    <x v="0"/>
    <n v="0"/>
    <x v="0"/>
  </r>
  <r>
    <x v="161"/>
    <x v="142"/>
    <n v="6"/>
    <x v="3"/>
    <s v="INV"/>
    <x v="0"/>
    <s v="Mineral"/>
    <x v="36"/>
    <s v="6 - Fornecedor - Repasse"/>
    <n v="1.05"/>
    <n v="1.05"/>
    <n v="1.05"/>
    <n v="1.05"/>
    <n v="109.2"/>
    <n v="112.35"/>
    <n v="112.35"/>
    <n v="72.760000000000005"/>
    <x v="3"/>
    <x v="34"/>
    <x v="0"/>
    <x v="0"/>
    <x v="0"/>
    <n v="1.05"/>
    <n v="1.05"/>
    <n v="1.05"/>
    <n v="109.2"/>
    <n v="112.35"/>
    <n v="112.35"/>
    <n v="72.760000000000005"/>
    <n v="72.760000000000005"/>
    <n v="72.760000000000005"/>
    <x v="1"/>
    <x v="0"/>
    <x v="0"/>
    <n v="0"/>
    <x v="0"/>
  </r>
  <r>
    <x v="161"/>
    <x v="142"/>
    <n v="10"/>
    <x v="3"/>
    <s v="INV"/>
    <x v="0"/>
    <s v="Mineral"/>
    <x v="36"/>
    <s v="6 - Fornecedor - Repasse"/>
    <n v="11.72"/>
    <n v="11.72"/>
    <n v="11.72"/>
    <n v="11.72"/>
    <n v="1218.8800000000001"/>
    <n v="1254.04"/>
    <n v="1254.04"/>
    <n v="815.26"/>
    <x v="3"/>
    <x v="34"/>
    <x v="0"/>
    <x v="0"/>
    <x v="0"/>
    <n v="11.72"/>
    <n v="11.72"/>
    <n v="11.72"/>
    <n v="1218.8800000000001"/>
    <n v="1254.04"/>
    <n v="1254.04"/>
    <n v="815.26"/>
    <n v="815.26"/>
    <n v="815.26"/>
    <x v="1"/>
    <x v="0"/>
    <x v="0"/>
    <n v="0"/>
    <x v="0"/>
  </r>
  <r>
    <x v="161"/>
    <x v="142"/>
    <n v="11"/>
    <x v="3"/>
    <s v="INV"/>
    <x v="0"/>
    <s v="Mineral"/>
    <x v="36"/>
    <s v="6 - Fornecedor - Repasse"/>
    <n v="12.44"/>
    <n v="12.44"/>
    <n v="12.44"/>
    <n v="12.44"/>
    <n v="1293.76"/>
    <n v="1331.08"/>
    <n v="1331.08"/>
    <n v="865.33"/>
    <x v="3"/>
    <x v="34"/>
    <x v="0"/>
    <x v="0"/>
    <x v="0"/>
    <n v="12.44"/>
    <n v="12.44"/>
    <n v="12.44"/>
    <n v="1293.76"/>
    <n v="1331.08"/>
    <n v="1331.08"/>
    <n v="865.33"/>
    <n v="865.33"/>
    <n v="865.33"/>
    <x v="1"/>
    <x v="0"/>
    <x v="0"/>
    <n v="0"/>
    <x v="0"/>
  </r>
  <r>
    <x v="161"/>
    <x v="142"/>
    <n v="13"/>
    <x v="3"/>
    <s v="INV"/>
    <x v="0"/>
    <s v="Mineral"/>
    <x v="36"/>
    <s v="6 - Fornecedor - Repasse"/>
    <n v="40.270000000000003"/>
    <n v="40.270000000000003"/>
    <n v="40.270000000000003"/>
    <n v="40.270000000000003"/>
    <n v="4188.08"/>
    <n v="4308.8900000000003"/>
    <n v="3624.3"/>
    <n v="2356.44"/>
    <x v="3"/>
    <x v="34"/>
    <x v="0"/>
    <x v="0"/>
    <x v="0"/>
    <n v="40.270000000000003"/>
    <n v="40.270000000000003"/>
    <n v="40.270000000000003"/>
    <n v="4188.08"/>
    <n v="4308.8900000000003"/>
    <n v="3624.3"/>
    <n v="2356.44"/>
    <n v="2356.44"/>
    <n v="2356.44"/>
    <x v="1"/>
    <x v="0"/>
    <x v="0"/>
    <n v="0"/>
    <x v="0"/>
  </r>
  <r>
    <x v="161"/>
    <x v="142"/>
    <n v="45"/>
    <x v="5"/>
    <s v="2ºC"/>
    <x v="0"/>
    <s v="Mineral"/>
    <x v="6"/>
    <s v="6 - Fornecedor - Repasse"/>
    <n v="8.14"/>
    <n v="8.14"/>
    <n v="8.14"/>
    <n v="8.14"/>
    <n v="504.68"/>
    <n v="325.60000000000002"/>
    <n v="325.60000000000002"/>
    <n v="345.19"/>
    <x v="3"/>
    <x v="41"/>
    <x v="0"/>
    <x v="0"/>
    <x v="0"/>
    <n v="8.14"/>
    <n v="8.14"/>
    <n v="8.14"/>
    <n v="504.68"/>
    <n v="325.60000000000002"/>
    <n v="325.60000000000002"/>
    <n v="345.19"/>
    <n v="345.19"/>
    <n v="345.19"/>
    <x v="1"/>
    <x v="0"/>
    <x v="0"/>
    <n v="0"/>
    <x v="0"/>
  </r>
  <r>
    <x v="162"/>
    <x v="143"/>
    <n v="1"/>
    <x v="5"/>
    <s v="2ºC"/>
    <x v="0"/>
    <s v="Mineral"/>
    <x v="11"/>
    <s v="6 - Fornecedor - Repasse"/>
    <n v="7.9"/>
    <n v="7.9"/>
    <n v="0"/>
    <n v="7.9"/>
    <n v="639.9"/>
    <n v="734.7"/>
    <n v="0"/>
    <n v="604.53"/>
    <x v="3"/>
    <x v="11"/>
    <x v="0"/>
    <x v="0"/>
    <x v="1"/>
    <n v="7.9"/>
    <n v="7.9"/>
    <n v="7.9"/>
    <n v="639.9"/>
    <n v="734.7"/>
    <n v="604.53"/>
    <n v="604.53"/>
    <n v="604.53"/>
    <n v="604.53"/>
    <x v="1"/>
    <x v="0"/>
    <x v="0"/>
    <n v="0"/>
    <x v="0"/>
  </r>
  <r>
    <x v="162"/>
    <x v="143"/>
    <n v="2"/>
    <x v="5"/>
    <s v="2ºC"/>
    <x v="0"/>
    <s v="Mineral"/>
    <x v="11"/>
    <s v="6 - Fornecedor - Repasse"/>
    <n v="19.21"/>
    <n v="19.21"/>
    <n v="0"/>
    <n v="19.21"/>
    <n v="1556.01"/>
    <n v="1786.53"/>
    <n v="0"/>
    <n v="1469.88"/>
    <x v="3"/>
    <x v="11"/>
    <x v="0"/>
    <x v="0"/>
    <x v="1"/>
    <n v="19.21"/>
    <n v="19.21"/>
    <n v="19.21"/>
    <n v="1556.01"/>
    <n v="1786.53"/>
    <n v="1469.88"/>
    <n v="1469.88"/>
    <n v="1469.88"/>
    <n v="1469.88"/>
    <x v="1"/>
    <x v="0"/>
    <x v="0"/>
    <n v="0"/>
    <x v="0"/>
  </r>
  <r>
    <x v="162"/>
    <x v="143"/>
    <n v="3"/>
    <x v="5"/>
    <s v="2ºC"/>
    <x v="0"/>
    <s v="Mineral"/>
    <x v="11"/>
    <s v="6 - Fornecedor - Repasse"/>
    <n v="24.81"/>
    <n v="24.81"/>
    <n v="0"/>
    <n v="24.81"/>
    <n v="2009.61"/>
    <n v="2257.71"/>
    <n v="0"/>
    <n v="4273.25"/>
    <x v="3"/>
    <x v="11"/>
    <x v="0"/>
    <x v="0"/>
    <x v="1"/>
    <n v="24.81"/>
    <n v="24.81"/>
    <n v="24.81"/>
    <n v="2009.61"/>
    <n v="2257.71"/>
    <n v="4273.25"/>
    <n v="4273.25"/>
    <n v="4273.25"/>
    <n v="4273.25"/>
    <x v="1"/>
    <x v="0"/>
    <x v="0"/>
    <n v="0"/>
    <x v="0"/>
  </r>
  <r>
    <x v="162"/>
    <x v="143"/>
    <n v="4"/>
    <x v="5"/>
    <s v="2ºC"/>
    <x v="0"/>
    <s v="Mineral"/>
    <x v="11"/>
    <s v="6 - Fornecedor - Repasse"/>
    <n v="32.85"/>
    <n v="32.85"/>
    <n v="0"/>
    <n v="32.85"/>
    <n v="2660.85"/>
    <n v="2956.5"/>
    <n v="0"/>
    <n v="1821.58"/>
    <x v="3"/>
    <x v="11"/>
    <x v="0"/>
    <x v="0"/>
    <x v="1"/>
    <n v="32.85"/>
    <n v="32.85"/>
    <n v="32.85"/>
    <n v="2660.85"/>
    <n v="2956.5"/>
    <n v="1821.58"/>
    <n v="1821.58"/>
    <n v="1821.58"/>
    <n v="1821.58"/>
    <x v="1"/>
    <x v="0"/>
    <x v="0"/>
    <n v="0"/>
    <x v="0"/>
  </r>
  <r>
    <x v="162"/>
    <x v="143"/>
    <n v="5"/>
    <x v="5"/>
    <s v="2ºC"/>
    <x v="0"/>
    <s v="Mineral"/>
    <x v="11"/>
    <s v="6 - Fornecedor - Repasse"/>
    <n v="35.67"/>
    <n v="35.67"/>
    <n v="0"/>
    <n v="35.67"/>
    <n v="2889.27"/>
    <n v="3210.3"/>
    <n v="0"/>
    <n v="1977.56"/>
    <x v="3"/>
    <x v="11"/>
    <x v="0"/>
    <x v="0"/>
    <x v="1"/>
    <n v="35.67"/>
    <n v="35.67"/>
    <n v="35.67"/>
    <n v="2889.27"/>
    <n v="3210.3"/>
    <n v="1977.56"/>
    <n v="1977.56"/>
    <n v="1977.56"/>
    <n v="1977.56"/>
    <x v="1"/>
    <x v="0"/>
    <x v="0"/>
    <n v="0"/>
    <x v="0"/>
  </r>
  <r>
    <x v="163"/>
    <x v="144"/>
    <n v="1"/>
    <x v="3"/>
    <s v="INV"/>
    <x v="0"/>
    <s v="Mineral"/>
    <x v="31"/>
    <s v="6 - Fornecedor - Repasse"/>
    <n v="32.630000000000003"/>
    <n v="0"/>
    <n v="0"/>
    <n v="32.630000000000003"/>
    <n v="3263"/>
    <n v="0"/>
    <n v="0"/>
    <n v="3193.77"/>
    <x v="1"/>
    <x v="7"/>
    <x v="0"/>
    <x v="1"/>
    <x v="1"/>
    <n v="32.630000000000003"/>
    <n v="32.630000000000003"/>
    <n v="32.630000000000003"/>
    <n v="3263"/>
    <n v="3193.77"/>
    <n v="3193.77"/>
    <n v="3193.77"/>
    <n v="3193.77"/>
    <n v="3193.77"/>
    <x v="1"/>
    <x v="0"/>
    <x v="0"/>
    <n v="0"/>
    <x v="0"/>
  </r>
  <r>
    <x v="163"/>
    <x v="144"/>
    <n v="2"/>
    <x v="3"/>
    <s v="INV"/>
    <x v="0"/>
    <s v="Mineral"/>
    <x v="31"/>
    <s v="6 - Fornecedor - Repasse"/>
    <n v="14.89"/>
    <n v="0"/>
    <n v="0"/>
    <n v="14.89"/>
    <n v="1489"/>
    <n v="0"/>
    <n v="0"/>
    <n v="1457.36"/>
    <x v="1"/>
    <x v="7"/>
    <x v="0"/>
    <x v="1"/>
    <x v="1"/>
    <n v="14.89"/>
    <n v="14.89"/>
    <n v="14.89"/>
    <n v="1489"/>
    <n v="1457.36"/>
    <n v="1457.36"/>
    <n v="1457.36"/>
    <n v="1457.36"/>
    <n v="1457.36"/>
    <x v="1"/>
    <x v="0"/>
    <x v="0"/>
    <n v="0"/>
    <x v="0"/>
  </r>
  <r>
    <x v="163"/>
    <x v="144"/>
    <n v="3"/>
    <x v="3"/>
    <s v="INV"/>
    <x v="0"/>
    <s v="Mineral"/>
    <x v="31"/>
    <s v="6 - Fornecedor - Repasse"/>
    <n v="11.15"/>
    <n v="0"/>
    <n v="0"/>
    <n v="11.15"/>
    <n v="1115"/>
    <n v="0"/>
    <n v="0"/>
    <n v="1091.29"/>
    <x v="1"/>
    <x v="7"/>
    <x v="0"/>
    <x v="1"/>
    <x v="1"/>
    <n v="11.15"/>
    <n v="11.15"/>
    <n v="11.15"/>
    <n v="1115"/>
    <n v="1091.29"/>
    <n v="1091.29"/>
    <n v="1091.29"/>
    <n v="1091.29"/>
    <n v="1091.29"/>
    <x v="1"/>
    <x v="0"/>
    <x v="0"/>
    <n v="0"/>
    <x v="0"/>
  </r>
  <r>
    <x v="163"/>
    <x v="144"/>
    <n v="4"/>
    <x v="3"/>
    <s v="INV"/>
    <x v="0"/>
    <s v="Mineral"/>
    <x v="31"/>
    <s v="6 - Fornecedor - Repasse"/>
    <n v="5.56"/>
    <n v="0"/>
    <n v="0"/>
    <n v="5.56"/>
    <n v="556"/>
    <n v="0"/>
    <n v="0"/>
    <n v="544.12"/>
    <x v="1"/>
    <x v="7"/>
    <x v="0"/>
    <x v="1"/>
    <x v="1"/>
    <n v="5.56"/>
    <n v="5.56"/>
    <n v="5.56"/>
    <n v="556"/>
    <n v="544.12"/>
    <n v="544.12"/>
    <n v="544.12"/>
    <n v="544.12"/>
    <n v="544.12"/>
    <x v="1"/>
    <x v="0"/>
    <x v="0"/>
    <n v="0"/>
    <x v="0"/>
  </r>
  <r>
    <x v="163"/>
    <x v="144"/>
    <n v="5"/>
    <x v="3"/>
    <s v="INV"/>
    <x v="0"/>
    <s v="Mineral"/>
    <x v="31"/>
    <s v="6 - Fornecedor - Repasse"/>
    <n v="7.56"/>
    <n v="0"/>
    <n v="0"/>
    <n v="7.56"/>
    <n v="756"/>
    <n v="0"/>
    <n v="0"/>
    <n v="740.36"/>
    <x v="1"/>
    <x v="7"/>
    <x v="0"/>
    <x v="1"/>
    <x v="1"/>
    <n v="7.56"/>
    <n v="7.56"/>
    <n v="7.56"/>
    <n v="756"/>
    <n v="740.36"/>
    <n v="740.36"/>
    <n v="740.36"/>
    <n v="740.36"/>
    <n v="740.36"/>
    <x v="1"/>
    <x v="0"/>
    <x v="0"/>
    <n v="0"/>
    <x v="0"/>
  </r>
  <r>
    <x v="164"/>
    <x v="145"/>
    <n v="1"/>
    <x v="3"/>
    <s v="ANM"/>
    <x v="0"/>
    <s v="Mineral"/>
    <x v="31"/>
    <s v="6 - Fornecedor - Repasse"/>
    <n v="8.49"/>
    <n v="0"/>
    <n v="0"/>
    <n v="8.49"/>
    <n v="976.35"/>
    <n v="0"/>
    <n v="0"/>
    <n v="963.57"/>
    <x v="1"/>
    <x v="13"/>
    <x v="0"/>
    <x v="1"/>
    <x v="1"/>
    <n v="8.49"/>
    <n v="8.49"/>
    <n v="8.49"/>
    <n v="976.35"/>
    <n v="963.57"/>
    <n v="963.57"/>
    <n v="963.57"/>
    <n v="963.57"/>
    <n v="963.57"/>
    <x v="1"/>
    <x v="0"/>
    <x v="0"/>
    <n v="0"/>
    <x v="0"/>
  </r>
  <r>
    <x v="164"/>
    <x v="145"/>
    <n v="2"/>
    <x v="3"/>
    <s v="ANM"/>
    <x v="0"/>
    <s v="Mineral"/>
    <x v="31"/>
    <s v="6 - Fornecedor - Repasse"/>
    <n v="2.69"/>
    <n v="0"/>
    <n v="0"/>
    <n v="2.69"/>
    <n v="309.35000000000002"/>
    <n v="0"/>
    <n v="0"/>
    <n v="304.99"/>
    <x v="1"/>
    <x v="13"/>
    <x v="0"/>
    <x v="1"/>
    <x v="1"/>
    <n v="2.69"/>
    <n v="2.69"/>
    <n v="2.69"/>
    <n v="309.35000000000002"/>
    <n v="304.99"/>
    <n v="304.99"/>
    <n v="304.99"/>
    <n v="304.99"/>
    <n v="304.99"/>
    <x v="1"/>
    <x v="0"/>
    <x v="0"/>
    <n v="0"/>
    <x v="0"/>
  </r>
  <r>
    <x v="164"/>
    <x v="145"/>
    <n v="3"/>
    <x v="3"/>
    <s v="INV"/>
    <x v="0"/>
    <s v="Mineral"/>
    <x v="31"/>
    <s v="6 - Fornecedor - Repasse"/>
    <n v="0"/>
    <n v="0"/>
    <n v="0"/>
    <n v="0"/>
    <n v="0"/>
    <n v="0"/>
    <n v="0"/>
    <m/>
    <x v="1"/>
    <x v="39"/>
    <x v="1"/>
    <x v="0"/>
    <x v="0"/>
    <n v="0"/>
    <n v="0"/>
    <n v="0"/>
    <n v="0"/>
    <n v="0"/>
    <n v="0"/>
    <n v="0"/>
    <n v="0"/>
    <n v="0"/>
    <x v="1"/>
    <x v="0"/>
    <x v="0"/>
    <n v="0"/>
    <x v="0"/>
  </r>
  <r>
    <x v="164"/>
    <x v="145"/>
    <n v="4"/>
    <x v="3"/>
    <s v="ANM"/>
    <x v="0"/>
    <s v="Mineral"/>
    <x v="31"/>
    <s v="6 - Fornecedor - Repasse"/>
    <n v="10.06"/>
    <n v="0"/>
    <n v="0"/>
    <n v="10.06"/>
    <n v="1156.9000000000001"/>
    <n v="0"/>
    <n v="0"/>
    <n v="1142.28"/>
    <x v="1"/>
    <x v="13"/>
    <x v="0"/>
    <x v="1"/>
    <x v="1"/>
    <n v="10.06"/>
    <n v="10.06"/>
    <n v="10.06"/>
    <n v="1156.9000000000001"/>
    <n v="1142.28"/>
    <n v="1142.28"/>
    <n v="1142.28"/>
    <n v="1142.28"/>
    <n v="1142.28"/>
    <x v="1"/>
    <x v="0"/>
    <x v="0"/>
    <n v="0"/>
    <x v="0"/>
  </r>
  <r>
    <x v="164"/>
    <x v="145"/>
    <n v="5"/>
    <x v="3"/>
    <s v="ANM"/>
    <x v="0"/>
    <s v="Mineral"/>
    <x v="31"/>
    <s v="6 - Fornecedor - Repasse"/>
    <n v="12.32"/>
    <n v="0"/>
    <n v="0"/>
    <n v="12.32"/>
    <n v="1416.8"/>
    <n v="0"/>
    <n v="0"/>
    <n v="1399"/>
    <x v="1"/>
    <x v="13"/>
    <x v="0"/>
    <x v="1"/>
    <x v="1"/>
    <n v="12.32"/>
    <n v="12.32"/>
    <n v="12.32"/>
    <n v="1416.8"/>
    <n v="1399"/>
    <n v="1399"/>
    <n v="1399"/>
    <n v="1399"/>
    <n v="1399"/>
    <x v="1"/>
    <x v="0"/>
    <x v="0"/>
    <n v="0"/>
    <x v="0"/>
  </r>
  <r>
    <x v="164"/>
    <x v="145"/>
    <n v="6"/>
    <x v="3"/>
    <s v="ANM"/>
    <x v="0"/>
    <s v="Mineral"/>
    <x v="31"/>
    <s v="6 - Fornecedor - Repasse"/>
    <n v="10.42"/>
    <n v="0"/>
    <n v="0"/>
    <n v="10.42"/>
    <n v="1198.3"/>
    <n v="0"/>
    <n v="0"/>
    <n v="1182.77"/>
    <x v="1"/>
    <x v="13"/>
    <x v="0"/>
    <x v="1"/>
    <x v="1"/>
    <n v="10.42"/>
    <n v="10.42"/>
    <n v="10.42"/>
    <n v="1198.3"/>
    <n v="1182.77"/>
    <n v="1182.77"/>
    <n v="1182.77"/>
    <n v="1182.77"/>
    <n v="1182.77"/>
    <x v="1"/>
    <x v="0"/>
    <x v="0"/>
    <n v="0"/>
    <x v="0"/>
  </r>
  <r>
    <x v="164"/>
    <x v="145"/>
    <n v="7"/>
    <x v="3"/>
    <s v="ANM"/>
    <x v="0"/>
    <s v="Mineral"/>
    <x v="31"/>
    <s v="6 - Fornecedor - Repasse"/>
    <n v="3.48"/>
    <n v="0"/>
    <n v="0"/>
    <n v="3.48"/>
    <n v="400.2"/>
    <n v="0"/>
    <n v="0"/>
    <n v="394.85"/>
    <x v="1"/>
    <x v="13"/>
    <x v="0"/>
    <x v="1"/>
    <x v="1"/>
    <n v="3.48"/>
    <n v="3.48"/>
    <n v="3.48"/>
    <n v="400.2"/>
    <n v="394.85"/>
    <n v="394.85"/>
    <n v="394.85"/>
    <n v="394.85"/>
    <n v="394.85"/>
    <x v="1"/>
    <x v="0"/>
    <x v="0"/>
    <n v="0"/>
    <x v="0"/>
  </r>
  <r>
    <x v="164"/>
    <x v="145"/>
    <n v="8"/>
    <x v="3"/>
    <s v="INV"/>
    <x v="0"/>
    <s v="Mineral"/>
    <x v="31"/>
    <s v="6 - Fornecedor - Repasse"/>
    <n v="13.96"/>
    <n v="0"/>
    <n v="0"/>
    <n v="13.96"/>
    <n v="1605.4"/>
    <n v="0"/>
    <n v="0"/>
    <n v="1584.62"/>
    <x v="1"/>
    <x v="13"/>
    <x v="0"/>
    <x v="1"/>
    <x v="1"/>
    <n v="13.96"/>
    <n v="13.96"/>
    <n v="13.96"/>
    <n v="1605.4"/>
    <n v="1584.62"/>
    <n v="1584.62"/>
    <n v="1584.62"/>
    <n v="1584.62"/>
    <n v="1584.62"/>
    <x v="1"/>
    <x v="0"/>
    <x v="0"/>
    <n v="0"/>
    <x v="0"/>
  </r>
  <r>
    <x v="164"/>
    <x v="145"/>
    <n v="9"/>
    <x v="3"/>
    <s v="INV"/>
    <x v="0"/>
    <s v="Mineral"/>
    <x v="31"/>
    <s v="6 - Fornecedor - Repasse"/>
    <n v="5.39"/>
    <n v="0"/>
    <n v="0"/>
    <n v="5.39"/>
    <n v="619.85"/>
    <n v="0"/>
    <n v="0"/>
    <n v="612.96"/>
    <x v="1"/>
    <x v="13"/>
    <x v="0"/>
    <x v="1"/>
    <x v="1"/>
    <n v="5.39"/>
    <n v="5.39"/>
    <n v="5.39"/>
    <n v="619.85"/>
    <n v="612.96"/>
    <n v="612.96"/>
    <n v="612.96"/>
    <n v="612.96"/>
    <n v="612.96"/>
    <x v="1"/>
    <x v="0"/>
    <x v="0"/>
    <n v="0"/>
    <x v="0"/>
  </r>
  <r>
    <x v="165"/>
    <x v="146"/>
    <n v="25"/>
    <x v="3"/>
    <s v="ANM"/>
    <x v="0"/>
    <s v="Mineral"/>
    <x v="5"/>
    <s v="6 - Fornecedor - Repasse"/>
    <n v="11.84"/>
    <n v="11.84"/>
    <n v="0"/>
    <n v="11.84"/>
    <n v="1255.04"/>
    <n v="1065.5999999999999"/>
    <n v="0"/>
    <n v="938.78"/>
    <x v="1"/>
    <x v="7"/>
    <x v="0"/>
    <x v="0"/>
    <x v="1"/>
    <n v="11.84"/>
    <n v="11.84"/>
    <n v="11.84"/>
    <n v="1255.04"/>
    <n v="1065.5999999999999"/>
    <n v="938.78"/>
    <n v="938.78"/>
    <n v="938.78"/>
    <n v="938.78"/>
    <x v="1"/>
    <x v="0"/>
    <x v="0"/>
    <n v="0"/>
    <x v="0"/>
  </r>
  <r>
    <x v="165"/>
    <x v="146"/>
    <n v="26"/>
    <x v="3"/>
    <s v="ANM"/>
    <x v="0"/>
    <s v="Mineral"/>
    <x v="5"/>
    <s v="6 - Fornecedor - Repasse"/>
    <n v="6.29"/>
    <n v="6.29"/>
    <n v="0"/>
    <n v="6.29"/>
    <n v="666.74"/>
    <n v="629"/>
    <n v="0"/>
    <n v="553.91"/>
    <x v="1"/>
    <x v="7"/>
    <x v="0"/>
    <x v="0"/>
    <x v="1"/>
    <n v="6.29"/>
    <n v="6.29"/>
    <n v="6.29"/>
    <n v="666.74"/>
    <n v="629"/>
    <n v="553.91"/>
    <n v="553.91"/>
    <n v="553.91"/>
    <n v="553.91"/>
    <x v="1"/>
    <x v="0"/>
    <x v="0"/>
    <n v="0"/>
    <x v="0"/>
  </r>
  <r>
    <x v="165"/>
    <x v="146"/>
    <n v="27"/>
    <x v="3"/>
    <s v="ANM"/>
    <x v="0"/>
    <s v="Mineral"/>
    <x v="6"/>
    <s v="6 - Fornecedor - Repasse"/>
    <n v="11.78"/>
    <n v="11.78"/>
    <n v="0"/>
    <n v="11.78"/>
    <n v="1248.68"/>
    <n v="1178"/>
    <n v="0"/>
    <n v="1037.43"/>
    <x v="1"/>
    <x v="7"/>
    <x v="0"/>
    <x v="0"/>
    <x v="1"/>
    <n v="11.78"/>
    <n v="11.78"/>
    <n v="11.78"/>
    <n v="1248.68"/>
    <n v="1178"/>
    <n v="1037.43"/>
    <n v="1037.43"/>
    <n v="1037.43"/>
    <n v="1037.43"/>
    <x v="1"/>
    <x v="0"/>
    <x v="0"/>
    <n v="0"/>
    <x v="0"/>
  </r>
  <r>
    <x v="165"/>
    <x v="146"/>
    <n v="28"/>
    <x v="3"/>
    <s v="ANM"/>
    <x v="0"/>
    <s v="Mineral"/>
    <x v="6"/>
    <s v="6 - Fornecedor - Repasse"/>
    <n v="12.95"/>
    <n v="12.95"/>
    <n v="0"/>
    <n v="12.95"/>
    <n v="1346.8"/>
    <n v="1295"/>
    <n v="0"/>
    <n v="1140.47"/>
    <x v="1"/>
    <x v="7"/>
    <x v="0"/>
    <x v="0"/>
    <x v="1"/>
    <n v="12.95"/>
    <n v="12.95"/>
    <n v="12.95"/>
    <n v="1346.8"/>
    <n v="1295"/>
    <n v="1140.47"/>
    <n v="1140.47"/>
    <n v="1140.47"/>
    <n v="1140.47"/>
    <x v="1"/>
    <x v="0"/>
    <x v="0"/>
    <n v="0"/>
    <x v="0"/>
  </r>
  <r>
    <x v="165"/>
    <x v="146"/>
    <n v="29"/>
    <x v="3"/>
    <s v="ANM"/>
    <x v="0"/>
    <s v="Mineral"/>
    <x v="6"/>
    <s v="6 - Fornecedor - Repasse"/>
    <n v="4.42"/>
    <n v="4.42"/>
    <n v="0"/>
    <n v="4.42"/>
    <n v="459.68"/>
    <n v="442"/>
    <n v="0"/>
    <n v="389.51"/>
    <x v="1"/>
    <x v="7"/>
    <x v="0"/>
    <x v="0"/>
    <x v="1"/>
    <n v="4.42"/>
    <n v="4.42"/>
    <n v="4.42"/>
    <n v="459.68"/>
    <n v="442"/>
    <n v="389.51"/>
    <n v="389.51"/>
    <n v="389.51"/>
    <n v="389.51"/>
    <x v="1"/>
    <x v="0"/>
    <x v="0"/>
    <n v="0"/>
    <x v="0"/>
  </r>
  <r>
    <x v="166"/>
    <x v="147"/>
    <n v="1"/>
    <x v="3"/>
    <s v="ANM"/>
    <x v="0"/>
    <s v="Mineral"/>
    <x v="11"/>
    <s v="6 - Fornecedor - Repasse"/>
    <n v="32.409999999999997"/>
    <n v="32.409999999999997"/>
    <n v="0"/>
    <n v="32.409999999999997"/>
    <n v="2787.26"/>
    <n v="3305.82"/>
    <n v="0"/>
    <n v="3147.2"/>
    <x v="3"/>
    <x v="7"/>
    <x v="0"/>
    <x v="0"/>
    <x v="1"/>
    <n v="32.409999999999997"/>
    <n v="32.409999999999997"/>
    <n v="32.409999999999997"/>
    <n v="2787.26"/>
    <n v="3305.82"/>
    <n v="3147.2"/>
    <n v="3147.2"/>
    <n v="3147.2"/>
    <n v="3147.2"/>
    <x v="1"/>
    <x v="0"/>
    <x v="0"/>
    <n v="0"/>
    <x v="0"/>
  </r>
  <r>
    <x v="166"/>
    <x v="147"/>
    <n v="2"/>
    <x v="3"/>
    <s v="ANM"/>
    <x v="0"/>
    <s v="Mineral"/>
    <x v="11"/>
    <s v="6 - Fornecedor - Repasse"/>
    <n v="38.700000000000003"/>
    <n v="38.700000000000003"/>
    <n v="0"/>
    <n v="38.700000000000003"/>
    <n v="3328.2"/>
    <n v="3947.4"/>
    <n v="0"/>
    <n v="3757.64"/>
    <x v="3"/>
    <x v="7"/>
    <x v="0"/>
    <x v="0"/>
    <x v="1"/>
    <n v="38.700000000000003"/>
    <n v="38.700000000000003"/>
    <n v="38.700000000000003"/>
    <n v="3328.2"/>
    <n v="3947.4"/>
    <n v="3757.64"/>
    <n v="3757.64"/>
    <n v="3757.64"/>
    <n v="3757.64"/>
    <x v="1"/>
    <x v="0"/>
    <x v="0"/>
    <n v="0"/>
    <x v="0"/>
  </r>
  <r>
    <x v="166"/>
    <x v="147"/>
    <n v="3"/>
    <x v="3"/>
    <s v="ANM"/>
    <x v="0"/>
    <s v="Mineral"/>
    <x v="11"/>
    <s v="6 - Fornecedor - Repasse"/>
    <n v="52.88"/>
    <n v="52.88"/>
    <n v="0"/>
    <n v="52.88"/>
    <n v="4547.68"/>
    <n v="5393.76"/>
    <n v="0"/>
    <n v="4084.58"/>
    <x v="3"/>
    <x v="31"/>
    <x v="0"/>
    <x v="0"/>
    <x v="1"/>
    <n v="52.88"/>
    <n v="52.88"/>
    <n v="52.88"/>
    <n v="4547.68"/>
    <n v="5393.76"/>
    <n v="4084.58"/>
    <n v="4084.58"/>
    <n v="4084.58"/>
    <n v="4084.58"/>
    <x v="1"/>
    <x v="0"/>
    <x v="0"/>
    <n v="0"/>
    <x v="0"/>
  </r>
  <r>
    <x v="166"/>
    <x v="147"/>
    <n v="4"/>
    <x v="3"/>
    <s v="ANM"/>
    <x v="0"/>
    <s v="Mineral"/>
    <x v="6"/>
    <s v="6 - Fornecedor - Repasse"/>
    <n v="57.38"/>
    <n v="57.38"/>
    <n v="0"/>
    <n v="57.38"/>
    <n v="5393.72"/>
    <n v="5852.76"/>
    <n v="0"/>
    <n v="4432.45"/>
    <x v="3"/>
    <x v="31"/>
    <x v="0"/>
    <x v="0"/>
    <x v="1"/>
    <n v="57.38"/>
    <n v="57.38"/>
    <n v="57.38"/>
    <n v="5393.72"/>
    <n v="5852.76"/>
    <n v="4432.45"/>
    <n v="4432.45"/>
    <n v="4432.45"/>
    <n v="4432.45"/>
    <x v="1"/>
    <x v="0"/>
    <x v="0"/>
    <n v="0"/>
    <x v="0"/>
  </r>
  <r>
    <x v="166"/>
    <x v="147"/>
    <n v="5"/>
    <x v="3"/>
    <s v="ANM"/>
    <x v="0"/>
    <s v="Mineral"/>
    <x v="11"/>
    <s v="6 - Fornecedor - Repasse"/>
    <n v="36.299999999999997"/>
    <n v="36.299999999999997"/>
    <n v="0"/>
    <n v="36.299999999999997"/>
    <n v="3194.4"/>
    <n v="3702.6"/>
    <n v="0"/>
    <n v="7556.75"/>
    <x v="3"/>
    <x v="8"/>
    <x v="0"/>
    <x v="0"/>
    <x v="1"/>
    <n v="36.299999999999997"/>
    <n v="36.299999999999997"/>
    <n v="36.299999999999997"/>
    <n v="3194.4"/>
    <n v="3702.6"/>
    <n v="7556.75"/>
    <n v="7556.75"/>
    <n v="7556.75"/>
    <n v="7556.75"/>
    <x v="1"/>
    <x v="0"/>
    <x v="0"/>
    <n v="0"/>
    <x v="0"/>
  </r>
  <r>
    <x v="166"/>
    <x v="147"/>
    <n v="6"/>
    <x v="3"/>
    <s v="INV"/>
    <x v="0"/>
    <s v="Mineral"/>
    <x v="11"/>
    <s v="6 - Fornecedor - Repasse"/>
    <n v="26.34"/>
    <n v="26.34"/>
    <n v="0"/>
    <n v="26.34"/>
    <n v="2291.58"/>
    <n v="2607.66"/>
    <n v="0"/>
    <n v="1568.57"/>
    <x v="3"/>
    <x v="37"/>
    <x v="0"/>
    <x v="0"/>
    <x v="1"/>
    <n v="26.34"/>
    <n v="26.34"/>
    <n v="26.34"/>
    <n v="2291.58"/>
    <n v="2607.66"/>
    <n v="1568.57"/>
    <n v="1568.57"/>
    <n v="1568.57"/>
    <n v="1568.57"/>
    <x v="1"/>
    <x v="0"/>
    <x v="0"/>
    <n v="0"/>
    <x v="0"/>
  </r>
  <r>
    <x v="166"/>
    <x v="147"/>
    <n v="7"/>
    <x v="3"/>
    <s v="INV"/>
    <x v="0"/>
    <s v="Mineral"/>
    <x v="11"/>
    <s v="6 - Fornecedor - Repasse"/>
    <n v="16.760000000000002"/>
    <n v="16.760000000000002"/>
    <n v="0"/>
    <n v="16.760000000000002"/>
    <n v="1508.4"/>
    <n v="1659.24"/>
    <n v="0"/>
    <n v="997.77"/>
    <x v="3"/>
    <x v="37"/>
    <x v="0"/>
    <x v="0"/>
    <x v="1"/>
    <n v="16.760000000000002"/>
    <n v="16.760000000000002"/>
    <n v="16.760000000000002"/>
    <n v="1508.4"/>
    <n v="1659.24"/>
    <n v="997.77"/>
    <n v="997.77"/>
    <n v="997.77"/>
    <n v="997.77"/>
    <x v="1"/>
    <x v="0"/>
    <x v="0"/>
    <n v="0"/>
    <x v="0"/>
  </r>
  <r>
    <x v="166"/>
    <x v="147"/>
    <n v="8"/>
    <x v="3"/>
    <s v="INV"/>
    <x v="0"/>
    <s v="Mineral"/>
    <x v="11"/>
    <s v="6 - Fornecedor - Repasse"/>
    <n v="21.62"/>
    <n v="21.62"/>
    <n v="0"/>
    <n v="21.62"/>
    <n v="1945.8"/>
    <n v="2140.38"/>
    <n v="0"/>
    <n v="1287.27"/>
    <x v="3"/>
    <x v="37"/>
    <x v="0"/>
    <x v="0"/>
    <x v="1"/>
    <n v="21.62"/>
    <n v="21.62"/>
    <n v="21.62"/>
    <n v="1945.8"/>
    <n v="2140.38"/>
    <n v="1287.27"/>
    <n v="1287.27"/>
    <n v="1287.27"/>
    <n v="1287.27"/>
    <x v="1"/>
    <x v="0"/>
    <x v="0"/>
    <n v="0"/>
    <x v="0"/>
  </r>
  <r>
    <x v="166"/>
    <x v="147"/>
    <n v="9"/>
    <x v="5"/>
    <s v="2ºC"/>
    <x v="0"/>
    <s v="Mineral"/>
    <x v="11"/>
    <s v="6 - Fornecedor - Repasse"/>
    <n v="20.43"/>
    <n v="20.43"/>
    <n v="20.43"/>
    <n v="20.43"/>
    <n v="1225.8"/>
    <n v="1225.8"/>
    <n v="1225.8"/>
    <n v="1109.3399999999999"/>
    <x v="3"/>
    <x v="21"/>
    <x v="0"/>
    <x v="0"/>
    <x v="0"/>
    <n v="20.43"/>
    <n v="20.43"/>
    <n v="20.43"/>
    <n v="1225.8"/>
    <n v="1225.8"/>
    <n v="1225.8"/>
    <n v="1109.3399999999999"/>
    <n v="1109.3399999999999"/>
    <n v="1109.3399999999999"/>
    <x v="1"/>
    <x v="0"/>
    <x v="0"/>
    <n v="0"/>
    <x v="0"/>
  </r>
  <r>
    <x v="166"/>
    <x v="147"/>
    <n v="10"/>
    <x v="5"/>
    <s v="2ºC"/>
    <x v="0"/>
    <s v="Mineral"/>
    <x v="11"/>
    <s v="6 - Fornecedor - Repasse"/>
    <n v="16.82"/>
    <n v="16.82"/>
    <n v="0"/>
    <n v="16.82"/>
    <n v="1009.2"/>
    <n v="1126.94"/>
    <n v="0"/>
    <n v="2019.98"/>
    <x v="3"/>
    <x v="37"/>
    <x v="0"/>
    <x v="0"/>
    <x v="1"/>
    <n v="16.82"/>
    <n v="16.82"/>
    <n v="16.82"/>
    <n v="1009.2"/>
    <n v="1126.94"/>
    <n v="2019.98"/>
    <n v="2019.98"/>
    <n v="2019.98"/>
    <n v="2019.98"/>
    <x v="1"/>
    <x v="0"/>
    <x v="0"/>
    <n v="0"/>
    <x v="0"/>
  </r>
  <r>
    <x v="166"/>
    <x v="147"/>
    <n v="11"/>
    <x v="5"/>
    <s v="2ºC"/>
    <x v="0"/>
    <s v="Mineral"/>
    <x v="11"/>
    <s v="6 - Fornecedor - Repasse"/>
    <n v="2.2000000000000002"/>
    <n v="2.2000000000000002"/>
    <n v="2.2000000000000002"/>
    <n v="2.2000000000000002"/>
    <n v="149.6"/>
    <n v="154"/>
    <n v="154"/>
    <n v="114.92"/>
    <x v="3"/>
    <x v="21"/>
    <x v="0"/>
    <x v="0"/>
    <x v="0"/>
    <n v="2.2000000000000002"/>
    <n v="2.2000000000000002"/>
    <n v="2.2000000000000002"/>
    <n v="149.6"/>
    <n v="154"/>
    <n v="154"/>
    <n v="114.92"/>
    <n v="114.92"/>
    <n v="114.92"/>
    <x v="1"/>
    <x v="0"/>
    <x v="0"/>
    <n v="0"/>
    <x v="0"/>
  </r>
  <r>
    <x v="166"/>
    <x v="147"/>
    <n v="12"/>
    <x v="5"/>
    <s v="2ºC"/>
    <x v="0"/>
    <s v="Mineral"/>
    <x v="11"/>
    <s v="6 - Fornecedor - Repasse"/>
    <n v="3.23"/>
    <n v="3.23"/>
    <n v="3.23"/>
    <n v="3.23"/>
    <n v="219.64"/>
    <n v="219.64"/>
    <n v="219.64"/>
    <n v="199.35"/>
    <x v="3"/>
    <x v="21"/>
    <x v="0"/>
    <x v="0"/>
    <x v="0"/>
    <n v="3.23"/>
    <n v="3.23"/>
    <n v="3.23"/>
    <n v="219.64"/>
    <n v="219.64"/>
    <n v="219.64"/>
    <n v="199.35"/>
    <n v="199.35"/>
    <n v="199.35"/>
    <x v="1"/>
    <x v="0"/>
    <x v="0"/>
    <n v="0"/>
    <x v="0"/>
  </r>
  <r>
    <x v="166"/>
    <x v="147"/>
    <n v="13"/>
    <x v="5"/>
    <s v="2ºC"/>
    <x v="0"/>
    <s v="Mineral"/>
    <x v="11"/>
    <s v="6 - Fornecedor - Repasse"/>
    <n v="13.48"/>
    <n v="13.48"/>
    <n v="13.48"/>
    <n v="13.48"/>
    <n v="916.64"/>
    <n v="916.64"/>
    <n v="916.64"/>
    <n v="829.91"/>
    <x v="3"/>
    <x v="21"/>
    <x v="0"/>
    <x v="0"/>
    <x v="0"/>
    <n v="13.48"/>
    <n v="13.48"/>
    <n v="13.48"/>
    <n v="916.64"/>
    <n v="916.64"/>
    <n v="916.64"/>
    <n v="829.91"/>
    <n v="829.91"/>
    <n v="829.91"/>
    <x v="1"/>
    <x v="0"/>
    <x v="0"/>
    <n v="0"/>
    <x v="0"/>
  </r>
  <r>
    <x v="167"/>
    <x v="147"/>
    <n v="1"/>
    <x v="3"/>
    <s v="ANM"/>
    <x v="0"/>
    <s v="Mineral"/>
    <x v="11"/>
    <s v="6 - Fornecedor - Repasse"/>
    <n v="41.57"/>
    <n v="41.57"/>
    <n v="0"/>
    <n v="41.57"/>
    <n v="3325.6"/>
    <n v="3741.3"/>
    <n v="0"/>
    <n v="3127.35"/>
    <x v="3"/>
    <x v="8"/>
    <x v="0"/>
    <x v="0"/>
    <x v="1"/>
    <n v="41.57"/>
    <n v="41.57"/>
    <n v="41.57"/>
    <n v="3325.6"/>
    <n v="3741.3"/>
    <n v="3127.35"/>
    <n v="3127.35"/>
    <n v="3127.35"/>
    <n v="3127.35"/>
    <x v="1"/>
    <x v="0"/>
    <x v="0"/>
    <n v="0"/>
    <x v="0"/>
  </r>
  <r>
    <x v="167"/>
    <x v="147"/>
    <n v="2"/>
    <x v="3"/>
    <s v="ANM"/>
    <x v="0"/>
    <s v="Mineral"/>
    <x v="11"/>
    <s v="6 - Fornecedor - Repasse"/>
    <n v="30.99"/>
    <n v="30.99"/>
    <n v="0"/>
    <n v="30.99"/>
    <n v="2293.2600000000002"/>
    <n v="2727.12"/>
    <n v="0"/>
    <n v="2347.75"/>
    <x v="3"/>
    <x v="8"/>
    <x v="0"/>
    <x v="0"/>
    <x v="1"/>
    <n v="30.99"/>
    <n v="30.99"/>
    <n v="30.99"/>
    <n v="2293.2600000000002"/>
    <n v="2727.12"/>
    <n v="2347.75"/>
    <n v="2347.75"/>
    <n v="2347.75"/>
    <n v="2347.75"/>
    <x v="1"/>
    <x v="0"/>
    <x v="0"/>
    <n v="0"/>
    <x v="0"/>
  </r>
  <r>
    <x v="167"/>
    <x v="147"/>
    <n v="3"/>
    <x v="3"/>
    <s v="ANM"/>
    <x v="0"/>
    <s v="Mineral"/>
    <x v="11"/>
    <s v="6 - Fornecedor - Repasse"/>
    <n v="17.79"/>
    <n v="17.79"/>
    <n v="0"/>
    <n v="17.79"/>
    <n v="1316.46"/>
    <n v="1565.52"/>
    <n v="0"/>
    <n v="1309.21"/>
    <x v="3"/>
    <x v="8"/>
    <x v="0"/>
    <x v="0"/>
    <x v="1"/>
    <n v="17.79"/>
    <n v="17.79"/>
    <n v="17.79"/>
    <n v="1316.46"/>
    <n v="1565.52"/>
    <n v="1309.21"/>
    <n v="1309.21"/>
    <n v="1309.21"/>
    <n v="1309.21"/>
    <x v="1"/>
    <x v="0"/>
    <x v="0"/>
    <n v="0"/>
    <x v="0"/>
  </r>
  <r>
    <x v="167"/>
    <x v="147"/>
    <n v="4"/>
    <x v="3"/>
    <s v="INV"/>
    <x v="0"/>
    <s v="Mineral"/>
    <x v="6"/>
    <s v="6 - Fornecedor - Repasse"/>
    <n v="34.81"/>
    <n v="34.81"/>
    <n v="34.81"/>
    <n v="34.81"/>
    <n v="2715.18"/>
    <n v="3132.9"/>
    <n v="3132.9"/>
    <n v="381.73"/>
    <x v="3"/>
    <x v="21"/>
    <x v="0"/>
    <x v="0"/>
    <x v="0"/>
    <n v="34.81"/>
    <n v="34.81"/>
    <n v="34.81"/>
    <n v="2715.18"/>
    <n v="3132.9"/>
    <n v="3132.9"/>
    <n v="381.73"/>
    <n v="381.73"/>
    <n v="381.73"/>
    <x v="1"/>
    <x v="0"/>
    <x v="0"/>
    <n v="0"/>
    <x v="0"/>
  </r>
  <r>
    <x v="167"/>
    <x v="147"/>
    <n v="5"/>
    <x v="3"/>
    <s v="INV"/>
    <x v="0"/>
    <s v="Mineral"/>
    <x v="6"/>
    <s v="6 - Fornecedor - Repasse"/>
    <n v="31.65"/>
    <n v="31.65"/>
    <n v="0"/>
    <n v="31.65"/>
    <n v="2468.6999999999998"/>
    <n v="2848.5"/>
    <n v="0"/>
    <n v="4717.82"/>
    <x v="3"/>
    <x v="31"/>
    <x v="0"/>
    <x v="0"/>
    <x v="1"/>
    <n v="31.65"/>
    <n v="31.65"/>
    <n v="31.65"/>
    <n v="2468.6999999999998"/>
    <n v="2848.5"/>
    <n v="4717.82"/>
    <n v="4717.82"/>
    <n v="4717.82"/>
    <n v="4717.82"/>
    <x v="1"/>
    <x v="0"/>
    <x v="0"/>
    <n v="0"/>
    <x v="0"/>
  </r>
  <r>
    <x v="167"/>
    <x v="147"/>
    <n v="6"/>
    <x v="3"/>
    <s v="INV"/>
    <x v="0"/>
    <s v="Mineral"/>
    <x v="6"/>
    <s v="6 - Fornecedor - Repasse"/>
    <n v="30.22"/>
    <n v="30.22"/>
    <n v="0"/>
    <n v="30.22"/>
    <n v="2357.16"/>
    <n v="2719.8"/>
    <n v="0"/>
    <n v="2838.08"/>
    <x v="3"/>
    <x v="31"/>
    <x v="0"/>
    <x v="0"/>
    <x v="1"/>
    <n v="30.22"/>
    <n v="30.22"/>
    <n v="30.22"/>
    <n v="2357.16"/>
    <n v="2719.8"/>
    <n v="2838.08"/>
    <n v="2838.08"/>
    <n v="2838.08"/>
    <n v="2838.08"/>
    <x v="1"/>
    <x v="0"/>
    <x v="0"/>
    <n v="0"/>
    <x v="0"/>
  </r>
  <r>
    <x v="167"/>
    <x v="147"/>
    <n v="7"/>
    <x v="3"/>
    <s v="INV"/>
    <x v="0"/>
    <s v="Mineral"/>
    <x v="6"/>
    <s v="6 - Fornecedor - Repasse"/>
    <n v="21.09"/>
    <n v="21.09"/>
    <n v="0"/>
    <n v="21.09"/>
    <n v="1645.02"/>
    <n v="1898.1"/>
    <n v="0"/>
    <n v="2129.1799999999998"/>
    <x v="3"/>
    <x v="18"/>
    <x v="0"/>
    <x v="0"/>
    <x v="1"/>
    <n v="21.09"/>
    <n v="21.09"/>
    <n v="21.09"/>
    <n v="1645.02"/>
    <n v="1898.1"/>
    <n v="2129.1799999999998"/>
    <n v="2129.1799999999998"/>
    <n v="2129.1799999999998"/>
    <n v="2129.1799999999998"/>
    <x v="1"/>
    <x v="0"/>
    <x v="0"/>
    <n v="0"/>
    <x v="0"/>
  </r>
  <r>
    <x v="167"/>
    <x v="147"/>
    <n v="8"/>
    <x v="3"/>
    <s v="INV"/>
    <x v="0"/>
    <s v="Mineral"/>
    <x v="6"/>
    <s v="6 - Fornecedor - Repasse"/>
    <n v="8.49"/>
    <n v="8.49"/>
    <n v="0"/>
    <n v="8.49"/>
    <n v="679.2"/>
    <n v="781.08"/>
    <n v="0"/>
    <n v="876.19"/>
    <x v="3"/>
    <x v="18"/>
    <x v="0"/>
    <x v="0"/>
    <x v="1"/>
    <n v="8.49"/>
    <n v="8.49"/>
    <n v="8.49"/>
    <n v="679.2"/>
    <n v="781.08"/>
    <n v="876.19"/>
    <n v="876.19"/>
    <n v="876.19"/>
    <n v="876.19"/>
    <x v="1"/>
    <x v="0"/>
    <x v="0"/>
    <n v="0"/>
    <x v="0"/>
  </r>
  <r>
    <x v="167"/>
    <x v="147"/>
    <n v="10"/>
    <x v="3"/>
    <s v="INV"/>
    <x v="0"/>
    <s v="Mineral"/>
    <x v="6"/>
    <s v="6 - Fornecedor - Repasse"/>
    <n v="4.0599999999999996"/>
    <n v="0"/>
    <n v="0"/>
    <n v="4.0599999999999996"/>
    <n v="324.8"/>
    <n v="0"/>
    <n v="0"/>
    <n v="400.72"/>
    <x v="3"/>
    <x v="9"/>
    <x v="0"/>
    <x v="1"/>
    <x v="1"/>
    <n v="4.0599999999999996"/>
    <n v="4.0599999999999996"/>
    <n v="4.0599999999999996"/>
    <n v="324.8"/>
    <n v="400.72"/>
    <n v="400.72"/>
    <n v="400.72"/>
    <n v="400.72"/>
    <n v="400.72"/>
    <x v="1"/>
    <x v="0"/>
    <x v="0"/>
    <n v="0"/>
    <x v="0"/>
  </r>
  <r>
    <x v="167"/>
    <x v="147"/>
    <n v="15"/>
    <x v="5"/>
    <s v="2ºC"/>
    <x v="0"/>
    <s v="Mineral"/>
    <x v="6"/>
    <s v="6 - Fornecedor - Repasse"/>
    <n v="11.91"/>
    <n v="0"/>
    <n v="0"/>
    <n v="11.91"/>
    <n v="714.6"/>
    <n v="0"/>
    <n v="0"/>
    <n v="793.96"/>
    <x v="3"/>
    <x v="9"/>
    <x v="0"/>
    <x v="1"/>
    <x v="1"/>
    <n v="11.91"/>
    <n v="11.91"/>
    <n v="11.91"/>
    <n v="714.6"/>
    <n v="793.96"/>
    <n v="793.96"/>
    <n v="793.96"/>
    <n v="793.96"/>
    <n v="793.96"/>
    <x v="1"/>
    <x v="0"/>
    <x v="0"/>
    <n v="0"/>
    <x v="0"/>
  </r>
  <r>
    <x v="167"/>
    <x v="147"/>
    <n v="16"/>
    <x v="5"/>
    <s v="2ºC"/>
    <x v="0"/>
    <s v="Mineral"/>
    <x v="6"/>
    <s v="6 - Fornecedor - Repasse"/>
    <n v="1.7"/>
    <n v="0"/>
    <n v="0"/>
    <n v="1.7"/>
    <n v="102"/>
    <n v="0"/>
    <n v="0"/>
    <n v="113.28"/>
    <x v="3"/>
    <x v="9"/>
    <x v="0"/>
    <x v="1"/>
    <x v="1"/>
    <n v="1.7"/>
    <n v="1.7"/>
    <n v="1.7"/>
    <n v="102"/>
    <n v="113.28"/>
    <n v="113.28"/>
    <n v="113.28"/>
    <n v="113.28"/>
    <n v="113.28"/>
    <x v="1"/>
    <x v="0"/>
    <x v="0"/>
    <n v="0"/>
    <x v="0"/>
  </r>
  <r>
    <x v="167"/>
    <x v="147"/>
    <n v="17"/>
    <x v="5"/>
    <s v="2ºC"/>
    <x v="0"/>
    <s v="Mineral"/>
    <x v="6"/>
    <s v="6 - Fornecedor - Repasse"/>
    <n v="13"/>
    <n v="13"/>
    <n v="13"/>
    <n v="13"/>
    <n v="780"/>
    <n v="923"/>
    <n v="923"/>
    <n v="217.69"/>
    <x v="3"/>
    <x v="21"/>
    <x v="0"/>
    <x v="0"/>
    <x v="0"/>
    <n v="13"/>
    <n v="13"/>
    <n v="13"/>
    <n v="780"/>
    <n v="923"/>
    <n v="923"/>
    <n v="217.69"/>
    <n v="217.69"/>
    <n v="217.69"/>
    <x v="1"/>
    <x v="0"/>
    <x v="0"/>
    <n v="0"/>
    <x v="0"/>
  </r>
  <r>
    <x v="167"/>
    <x v="147"/>
    <n v="18"/>
    <x v="5"/>
    <s v="2ºC"/>
    <x v="0"/>
    <s v="Mineral"/>
    <x v="8"/>
    <s v="6 - Fornecedor - Repasse"/>
    <n v="8.06"/>
    <n v="0"/>
    <n v="0"/>
    <n v="8.06"/>
    <n v="483.6"/>
    <n v="0"/>
    <n v="0"/>
    <n v="596.77"/>
    <x v="3"/>
    <x v="9"/>
    <x v="0"/>
    <x v="1"/>
    <x v="1"/>
    <n v="8.06"/>
    <n v="8.06"/>
    <n v="8.06"/>
    <n v="483.6"/>
    <n v="596.77"/>
    <n v="596.77"/>
    <n v="596.77"/>
    <n v="596.77"/>
    <n v="596.77"/>
    <x v="1"/>
    <x v="0"/>
    <x v="0"/>
    <n v="0"/>
    <x v="0"/>
  </r>
  <r>
    <x v="167"/>
    <x v="147"/>
    <n v="19"/>
    <x v="5"/>
    <s v="2ºC"/>
    <x v="0"/>
    <s v="Mineral"/>
    <x v="8"/>
    <s v="6 - Fornecedor - Repasse"/>
    <n v="7.3"/>
    <n v="0"/>
    <n v="0"/>
    <n v="7.3"/>
    <n v="438"/>
    <n v="0"/>
    <n v="0"/>
    <n v="540.13"/>
    <x v="3"/>
    <x v="9"/>
    <x v="0"/>
    <x v="1"/>
    <x v="1"/>
    <n v="7.3"/>
    <n v="7.3"/>
    <n v="7.3"/>
    <n v="438"/>
    <n v="540.13"/>
    <n v="540.13"/>
    <n v="540.13"/>
    <n v="540.13"/>
    <n v="540.13"/>
    <x v="1"/>
    <x v="0"/>
    <x v="0"/>
    <n v="0"/>
    <x v="0"/>
  </r>
  <r>
    <x v="167"/>
    <x v="147"/>
    <n v="20"/>
    <x v="5"/>
    <s v="2ºC"/>
    <x v="0"/>
    <s v="Mineral"/>
    <x v="8"/>
    <s v="6 - Fornecedor - Repasse"/>
    <n v="0"/>
    <n v="0"/>
    <n v="0"/>
    <n v="0"/>
    <n v="0"/>
    <n v="0"/>
    <n v="0"/>
    <m/>
    <x v="3"/>
    <x v="26"/>
    <x v="1"/>
    <x v="0"/>
    <x v="0"/>
    <n v="0"/>
    <n v="0"/>
    <n v="0"/>
    <n v="0"/>
    <n v="0"/>
    <n v="0"/>
    <n v="0"/>
    <n v="0"/>
    <n v="0"/>
    <x v="1"/>
    <x v="0"/>
    <x v="0"/>
    <n v="0"/>
    <x v="0"/>
  </r>
  <r>
    <x v="167"/>
    <x v="147"/>
    <n v="21"/>
    <x v="5"/>
    <s v="2ºC"/>
    <x v="0"/>
    <s v="Mineral"/>
    <x v="6"/>
    <s v="6 - Fornecedor - Repasse"/>
    <n v="1.78"/>
    <n v="0"/>
    <n v="0"/>
    <n v="1.78"/>
    <n v="106.8"/>
    <n v="0"/>
    <n v="0"/>
    <n v="171.4"/>
    <x v="3"/>
    <x v="9"/>
    <x v="0"/>
    <x v="1"/>
    <x v="1"/>
    <n v="1.78"/>
    <n v="1.78"/>
    <n v="1.78"/>
    <n v="106.8"/>
    <n v="171.4"/>
    <n v="171.4"/>
    <n v="171.4"/>
    <n v="171.4"/>
    <n v="171.4"/>
    <x v="1"/>
    <x v="0"/>
    <x v="0"/>
    <n v="0"/>
    <x v="0"/>
  </r>
  <r>
    <x v="167"/>
    <x v="147"/>
    <n v="22"/>
    <x v="5"/>
    <s v="2ºC"/>
    <x v="0"/>
    <s v="Mineral"/>
    <x v="6"/>
    <s v="6 - Fornecedor - Repasse"/>
    <n v="5.42"/>
    <n v="0"/>
    <n v="0"/>
    <n v="5.42"/>
    <n v="325.2"/>
    <n v="0"/>
    <n v="0"/>
    <n v="520.66999999999996"/>
    <x v="3"/>
    <x v="9"/>
    <x v="0"/>
    <x v="1"/>
    <x v="1"/>
    <n v="5.42"/>
    <n v="5.42"/>
    <n v="5.42"/>
    <n v="325.2"/>
    <n v="520.66999999999996"/>
    <n v="520.66999999999996"/>
    <n v="520.66999999999996"/>
    <n v="520.66999999999996"/>
    <n v="520.66999999999996"/>
    <x v="1"/>
    <x v="0"/>
    <x v="0"/>
    <n v="0"/>
    <x v="0"/>
  </r>
  <r>
    <x v="167"/>
    <x v="147"/>
    <n v="23"/>
    <x v="5"/>
    <s v="2ºC"/>
    <x v="0"/>
    <s v="Mineral"/>
    <x v="6"/>
    <s v="6 - Fornecedor - Repasse"/>
    <n v="8.44"/>
    <n v="0"/>
    <n v="0"/>
    <n v="8.44"/>
    <n v="506.4"/>
    <n v="0"/>
    <n v="0"/>
    <n v="810.72"/>
    <x v="3"/>
    <x v="9"/>
    <x v="0"/>
    <x v="1"/>
    <x v="1"/>
    <n v="8.44"/>
    <n v="8.44"/>
    <n v="8.44"/>
    <n v="506.4"/>
    <n v="810.72"/>
    <n v="810.72"/>
    <n v="810.72"/>
    <n v="810.72"/>
    <n v="810.72"/>
    <x v="1"/>
    <x v="0"/>
    <x v="0"/>
    <n v="0"/>
    <x v="0"/>
  </r>
  <r>
    <x v="168"/>
    <x v="148"/>
    <n v="2"/>
    <x v="3"/>
    <s v="INV"/>
    <x v="0"/>
    <s v="Mineral"/>
    <x v="14"/>
    <s v="6 - Fornecedor - Repasse"/>
    <n v="0"/>
    <n v="0"/>
    <n v="0"/>
    <n v="0"/>
    <n v="0"/>
    <n v="0"/>
    <n v="0"/>
    <m/>
    <x v="3"/>
    <x v="9"/>
    <x v="1"/>
    <x v="0"/>
    <x v="0"/>
    <n v="0"/>
    <n v="0"/>
    <n v="0"/>
    <n v="0"/>
    <n v="0"/>
    <n v="0"/>
    <n v="0"/>
    <n v="0"/>
    <n v="0"/>
    <x v="1"/>
    <x v="0"/>
    <x v="0"/>
    <n v="0"/>
    <x v="0"/>
  </r>
  <r>
    <x v="168"/>
    <x v="148"/>
    <n v="3"/>
    <x v="3"/>
    <s v="INV"/>
    <x v="0"/>
    <s v="Mineral"/>
    <x v="14"/>
    <s v="6 - Fornecedor - Repasse"/>
    <n v="0"/>
    <n v="0"/>
    <n v="0"/>
    <n v="0"/>
    <n v="0"/>
    <n v="0"/>
    <n v="0"/>
    <m/>
    <x v="3"/>
    <x v="9"/>
    <x v="1"/>
    <x v="0"/>
    <x v="0"/>
    <n v="0"/>
    <n v="0"/>
    <n v="0"/>
    <n v="0"/>
    <n v="0"/>
    <n v="0"/>
    <n v="0"/>
    <n v="0"/>
    <n v="0"/>
    <x v="1"/>
    <x v="0"/>
    <x v="0"/>
    <n v="0"/>
    <x v="0"/>
  </r>
  <r>
    <x v="168"/>
    <x v="148"/>
    <n v="4"/>
    <x v="3"/>
    <s v="INV"/>
    <x v="0"/>
    <s v="Mineral"/>
    <x v="14"/>
    <s v="6 - Fornecedor - Repasse"/>
    <n v="0"/>
    <n v="0"/>
    <n v="0"/>
    <n v="0"/>
    <n v="0"/>
    <n v="0"/>
    <n v="0"/>
    <m/>
    <x v="3"/>
    <x v="22"/>
    <x v="1"/>
    <x v="0"/>
    <x v="0"/>
    <n v="0"/>
    <n v="0"/>
    <n v="0"/>
    <n v="0"/>
    <n v="0"/>
    <n v="0"/>
    <n v="0"/>
    <n v="0"/>
    <n v="0"/>
    <x v="1"/>
    <x v="0"/>
    <x v="0"/>
    <n v="0"/>
    <x v="0"/>
  </r>
  <r>
    <x v="168"/>
    <x v="148"/>
    <n v="5"/>
    <x v="3"/>
    <s v="INV"/>
    <x v="0"/>
    <s v="Mineral"/>
    <x v="37"/>
    <s v="6 - Fornecedor - Repasse"/>
    <n v="0"/>
    <n v="0"/>
    <n v="0"/>
    <n v="0"/>
    <n v="0"/>
    <n v="0"/>
    <n v="0"/>
    <m/>
    <x v="3"/>
    <x v="22"/>
    <x v="1"/>
    <x v="0"/>
    <x v="0"/>
    <n v="0"/>
    <n v="0"/>
    <n v="0"/>
    <n v="0"/>
    <n v="0"/>
    <n v="0"/>
    <n v="0"/>
    <n v="0"/>
    <n v="0"/>
    <x v="1"/>
    <x v="0"/>
    <x v="0"/>
    <n v="0"/>
    <x v="0"/>
  </r>
  <r>
    <x v="168"/>
    <x v="148"/>
    <n v="6"/>
    <x v="3"/>
    <s v="INV"/>
    <x v="0"/>
    <s v="Mineral"/>
    <x v="37"/>
    <s v="6 - Fornecedor - Repasse"/>
    <n v="2"/>
    <n v="2"/>
    <n v="2"/>
    <n v="2"/>
    <n v="180"/>
    <n v="160"/>
    <n v="160"/>
    <n v="229.23"/>
    <x v="3"/>
    <x v="21"/>
    <x v="0"/>
    <x v="0"/>
    <x v="0"/>
    <n v="2"/>
    <n v="2"/>
    <n v="2"/>
    <n v="180"/>
    <n v="160"/>
    <n v="160"/>
    <n v="229.23"/>
    <n v="229.23"/>
    <n v="229.23"/>
    <x v="1"/>
    <x v="0"/>
    <x v="0"/>
    <n v="0"/>
    <x v="0"/>
  </r>
  <r>
    <x v="169"/>
    <x v="149"/>
    <n v="1"/>
    <x v="3"/>
    <s v="INV"/>
    <x v="0"/>
    <s v="Mineral"/>
    <x v="37"/>
    <s v="6 - Fornecedor - Repasse"/>
    <n v="43.2"/>
    <n v="43.2"/>
    <n v="0"/>
    <n v="43.2"/>
    <n v="3456"/>
    <n v="4060.8"/>
    <n v="0"/>
    <n v="3640.87"/>
    <x v="3"/>
    <x v="10"/>
    <x v="0"/>
    <x v="0"/>
    <x v="1"/>
    <n v="43.2"/>
    <n v="43.2"/>
    <n v="43.2"/>
    <n v="3456"/>
    <n v="4060.8"/>
    <n v="3640.87"/>
    <n v="3640.87"/>
    <n v="3640.87"/>
    <n v="3640.87"/>
    <x v="1"/>
    <x v="0"/>
    <x v="0"/>
    <n v="0"/>
    <x v="0"/>
  </r>
  <r>
    <x v="169"/>
    <x v="149"/>
    <n v="2"/>
    <x v="3"/>
    <s v="INV"/>
    <x v="0"/>
    <s v="Mineral"/>
    <x v="37"/>
    <s v="6 - Fornecedor - Repasse"/>
    <n v="47.93"/>
    <n v="47.93"/>
    <n v="0"/>
    <n v="47.93"/>
    <n v="3834.4"/>
    <n v="4505.42"/>
    <n v="0"/>
    <n v="4039.19"/>
    <x v="3"/>
    <x v="10"/>
    <x v="0"/>
    <x v="0"/>
    <x v="1"/>
    <n v="47.93"/>
    <n v="47.93"/>
    <n v="47.93"/>
    <n v="3834.4"/>
    <n v="4505.42"/>
    <n v="4039.19"/>
    <n v="4039.19"/>
    <n v="4039.19"/>
    <n v="4039.19"/>
    <x v="1"/>
    <x v="0"/>
    <x v="0"/>
    <n v="0"/>
    <x v="0"/>
  </r>
  <r>
    <x v="170"/>
    <x v="150"/>
    <n v="1"/>
    <x v="5"/>
    <s v="2ºC"/>
    <x v="0"/>
    <s v="Mineral"/>
    <x v="11"/>
    <s v="6 - Fornecedor - Repasse"/>
    <n v="43.87"/>
    <n v="0"/>
    <n v="0"/>
    <n v="43.87"/>
    <n v="3158.64"/>
    <n v="0"/>
    <n v="0"/>
    <n v="3725.86"/>
    <x v="3"/>
    <x v="26"/>
    <x v="0"/>
    <x v="1"/>
    <x v="1"/>
    <n v="43.87"/>
    <n v="43.87"/>
    <n v="43.87"/>
    <n v="3158.64"/>
    <n v="3725.86"/>
    <n v="3725.86"/>
    <n v="3725.86"/>
    <n v="3725.86"/>
    <n v="3725.86"/>
    <x v="1"/>
    <x v="0"/>
    <x v="0"/>
    <n v="0"/>
    <x v="0"/>
  </r>
  <r>
    <x v="170"/>
    <x v="150"/>
    <n v="2"/>
    <x v="5"/>
    <s v="2ºC"/>
    <x v="0"/>
    <s v="Mineral"/>
    <x v="11"/>
    <s v="6 - Fornecedor - Repasse"/>
    <n v="47.67"/>
    <n v="0"/>
    <n v="0"/>
    <n v="47.67"/>
    <n v="3432.24"/>
    <n v="0"/>
    <n v="0"/>
    <n v="5040.66"/>
    <x v="3"/>
    <x v="25"/>
    <x v="0"/>
    <x v="1"/>
    <x v="1"/>
    <n v="47.67"/>
    <n v="47.67"/>
    <n v="47.67"/>
    <n v="3432.24"/>
    <n v="5040.66"/>
    <n v="5040.66"/>
    <n v="5040.66"/>
    <n v="5040.66"/>
    <n v="5040.66"/>
    <x v="1"/>
    <x v="0"/>
    <x v="0"/>
    <n v="0"/>
    <x v="0"/>
  </r>
  <r>
    <x v="170"/>
    <x v="150"/>
    <n v="3"/>
    <x v="5"/>
    <s v="2ºC"/>
    <x v="0"/>
    <s v="Mineral"/>
    <x v="11"/>
    <s v="6 - Fornecedor - Repasse"/>
    <n v="45.08"/>
    <n v="0"/>
    <n v="0"/>
    <n v="45.08"/>
    <n v="3245.76"/>
    <n v="0"/>
    <n v="0"/>
    <n v="4767.76"/>
    <x v="3"/>
    <x v="25"/>
    <x v="0"/>
    <x v="1"/>
    <x v="1"/>
    <n v="45.08"/>
    <n v="45.08"/>
    <n v="45.08"/>
    <n v="3245.76"/>
    <n v="4767.76"/>
    <n v="4767.76"/>
    <n v="4767.76"/>
    <n v="4767.76"/>
    <n v="4767.76"/>
    <x v="1"/>
    <x v="0"/>
    <x v="0"/>
    <n v="0"/>
    <x v="0"/>
  </r>
  <r>
    <x v="170"/>
    <x v="150"/>
    <n v="4"/>
    <x v="5"/>
    <s v="2ºC"/>
    <x v="0"/>
    <s v="Mineral"/>
    <x v="11"/>
    <s v="6 - Fornecedor - Repasse"/>
    <n v="37.81"/>
    <n v="0"/>
    <n v="0"/>
    <n v="37.81"/>
    <n v="2722.32"/>
    <n v="0"/>
    <n v="0"/>
    <n v="3700.14"/>
    <x v="3"/>
    <x v="23"/>
    <x v="0"/>
    <x v="1"/>
    <x v="1"/>
    <n v="37.81"/>
    <n v="37.81"/>
    <n v="37.81"/>
    <n v="2722.32"/>
    <n v="3700.14"/>
    <n v="3700.14"/>
    <n v="3700.14"/>
    <n v="3700.14"/>
    <n v="3700.14"/>
    <x v="1"/>
    <x v="0"/>
    <x v="0"/>
    <n v="0"/>
    <x v="0"/>
  </r>
  <r>
    <x v="170"/>
    <x v="150"/>
    <n v="5"/>
    <x v="5"/>
    <s v="2ºC"/>
    <x v="0"/>
    <s v="Mineral"/>
    <x v="11"/>
    <s v="6 - Fornecedor - Repasse"/>
    <n v="7.39"/>
    <n v="0"/>
    <n v="0"/>
    <n v="7.39"/>
    <n v="546.86"/>
    <n v="0"/>
    <n v="0"/>
    <n v="1296.9100000000001"/>
    <x v="3"/>
    <x v="23"/>
    <x v="0"/>
    <x v="1"/>
    <x v="1"/>
    <n v="7.39"/>
    <n v="7.39"/>
    <n v="7.39"/>
    <n v="546.86"/>
    <n v="1296.9100000000001"/>
    <n v="1296.9100000000001"/>
    <n v="1296.9100000000001"/>
    <n v="1296.9100000000001"/>
    <n v="1296.9100000000001"/>
    <x v="1"/>
    <x v="0"/>
    <x v="0"/>
    <n v="0"/>
    <x v="0"/>
  </r>
  <r>
    <x v="170"/>
    <x v="150"/>
    <n v="6"/>
    <x v="5"/>
    <s v="2ºC"/>
    <x v="0"/>
    <s v="Mineral"/>
    <x v="11"/>
    <s v="6 - Fornecedor - Repasse"/>
    <n v="15.54"/>
    <n v="0"/>
    <n v="0"/>
    <n v="15.54"/>
    <n v="1149.96"/>
    <n v="0"/>
    <n v="0"/>
    <n v="1562.48"/>
    <x v="3"/>
    <x v="23"/>
    <x v="0"/>
    <x v="1"/>
    <x v="1"/>
    <n v="15.54"/>
    <n v="15.54"/>
    <n v="15.54"/>
    <n v="1149.96"/>
    <n v="1562.48"/>
    <n v="1562.48"/>
    <n v="1562.48"/>
    <n v="1562.48"/>
    <n v="1562.48"/>
    <x v="1"/>
    <x v="0"/>
    <x v="0"/>
    <n v="0"/>
    <x v="0"/>
  </r>
  <r>
    <x v="170"/>
    <x v="150"/>
    <n v="7"/>
    <x v="5"/>
    <s v="2ºC"/>
    <x v="0"/>
    <s v="Mineral"/>
    <x v="11"/>
    <s v="6 - Fornecedor - Repasse"/>
    <n v="38.18"/>
    <n v="0"/>
    <n v="0"/>
    <n v="38.18"/>
    <n v="2825.32"/>
    <n v="0"/>
    <n v="0"/>
    <n v="3270.04"/>
    <x v="3"/>
    <x v="26"/>
    <x v="0"/>
    <x v="1"/>
    <x v="1"/>
    <n v="38.18"/>
    <n v="38.18"/>
    <n v="38.18"/>
    <n v="2825.32"/>
    <n v="3270.04"/>
    <n v="3270.04"/>
    <n v="3270.04"/>
    <n v="3270.04"/>
    <n v="3270.04"/>
    <x v="1"/>
    <x v="0"/>
    <x v="0"/>
    <n v="0"/>
    <x v="0"/>
  </r>
  <r>
    <x v="171"/>
    <x v="151"/>
    <n v="1"/>
    <x v="3"/>
    <s v="ANM"/>
    <x v="0"/>
    <s v="Mineral"/>
    <x v="6"/>
    <s v="6 - Fornecedor - Repasse"/>
    <n v="7.05"/>
    <n v="7.05"/>
    <n v="0"/>
    <n v="7.05"/>
    <n v="796.65"/>
    <n v="874.2"/>
    <n v="0"/>
    <n v="785.35"/>
    <x v="1"/>
    <x v="17"/>
    <x v="0"/>
    <x v="0"/>
    <x v="1"/>
    <n v="7.05"/>
    <n v="7.05"/>
    <n v="7.05"/>
    <n v="796.65"/>
    <n v="874.2"/>
    <n v="785.35"/>
    <n v="785.35"/>
    <n v="785.35"/>
    <n v="785.35"/>
    <x v="1"/>
    <x v="0"/>
    <x v="0"/>
    <n v="0"/>
    <x v="0"/>
  </r>
  <r>
    <x v="171"/>
    <x v="151"/>
    <n v="2"/>
    <x v="3"/>
    <s v="ANM"/>
    <x v="0"/>
    <s v="Mineral"/>
    <x v="6"/>
    <s v="6 - Fornecedor - Repasse"/>
    <n v="3.85"/>
    <n v="3.85"/>
    <n v="0"/>
    <n v="3.85"/>
    <n v="435.05"/>
    <n v="477.4"/>
    <n v="0"/>
    <n v="428.61"/>
    <x v="1"/>
    <x v="17"/>
    <x v="0"/>
    <x v="0"/>
    <x v="1"/>
    <n v="3.85"/>
    <n v="3.85"/>
    <n v="3.85"/>
    <n v="435.05"/>
    <n v="477.4"/>
    <n v="428.61"/>
    <n v="428.61"/>
    <n v="428.61"/>
    <n v="428.61"/>
    <x v="1"/>
    <x v="0"/>
    <x v="0"/>
    <n v="0"/>
    <x v="0"/>
  </r>
  <r>
    <x v="171"/>
    <x v="151"/>
    <n v="3"/>
    <x v="3"/>
    <s v="ANM"/>
    <x v="0"/>
    <s v="Mineral"/>
    <x v="6"/>
    <s v="6 - Fornecedor - Repasse"/>
    <n v="1.65"/>
    <n v="1.65"/>
    <n v="0"/>
    <n v="1.65"/>
    <n v="186.45"/>
    <n v="204.6"/>
    <n v="0"/>
    <n v="184.25"/>
    <x v="1"/>
    <x v="17"/>
    <x v="0"/>
    <x v="0"/>
    <x v="1"/>
    <n v="1.65"/>
    <n v="1.65"/>
    <n v="1.65"/>
    <n v="186.45"/>
    <n v="204.6"/>
    <n v="184.25"/>
    <n v="184.25"/>
    <n v="184.25"/>
    <n v="184.25"/>
    <x v="1"/>
    <x v="0"/>
    <x v="0"/>
    <n v="0"/>
    <x v="0"/>
  </r>
  <r>
    <x v="172"/>
    <x v="152"/>
    <n v="1"/>
    <x v="3"/>
    <s v="ANM"/>
    <x v="0"/>
    <s v="Mineral"/>
    <x v="11"/>
    <s v="6 - Fornecedor - Repasse"/>
    <n v="20.28"/>
    <n v="0"/>
    <n v="0"/>
    <n v="20.28"/>
    <n v="1500.72"/>
    <n v="0"/>
    <n v="0"/>
    <n v="1711.05"/>
    <x v="3"/>
    <x v="5"/>
    <x v="0"/>
    <x v="1"/>
    <x v="1"/>
    <n v="20.28"/>
    <n v="20.28"/>
    <n v="20.28"/>
    <n v="1500.72"/>
    <n v="1711.05"/>
    <n v="1711.05"/>
    <n v="1711.05"/>
    <n v="1711.05"/>
    <n v="1711.05"/>
    <x v="1"/>
    <x v="0"/>
    <x v="0"/>
    <n v="0"/>
    <x v="0"/>
  </r>
  <r>
    <x v="172"/>
    <x v="152"/>
    <n v="2"/>
    <x v="3"/>
    <s v="ANM"/>
    <x v="0"/>
    <s v="Mineral"/>
    <x v="11"/>
    <s v="6 - Fornecedor - Repasse"/>
    <n v="26.68"/>
    <n v="0"/>
    <n v="0"/>
    <n v="26.68"/>
    <n v="1974.32"/>
    <n v="0"/>
    <n v="0"/>
    <n v="3077.32"/>
    <x v="3"/>
    <x v="5"/>
    <x v="0"/>
    <x v="1"/>
    <x v="1"/>
    <n v="26.68"/>
    <n v="26.68"/>
    <n v="26.68"/>
    <n v="1974.32"/>
    <n v="3077.32"/>
    <n v="3077.32"/>
    <n v="3077.32"/>
    <n v="3077.32"/>
    <n v="3077.32"/>
    <x v="1"/>
    <x v="0"/>
    <x v="0"/>
    <n v="0"/>
    <x v="0"/>
  </r>
  <r>
    <x v="172"/>
    <x v="152"/>
    <n v="3"/>
    <x v="3"/>
    <s v="ANM"/>
    <x v="0"/>
    <s v="Mineral"/>
    <x v="11"/>
    <s v="6 - Fornecedor - Repasse"/>
    <n v="9.3000000000000007"/>
    <n v="0"/>
    <n v="0"/>
    <n v="9.3000000000000007"/>
    <n v="688.2"/>
    <n v="0"/>
    <n v="0"/>
    <n v="1072.6300000000001"/>
    <x v="3"/>
    <x v="5"/>
    <x v="0"/>
    <x v="1"/>
    <x v="1"/>
    <n v="9.3000000000000007"/>
    <n v="9.3000000000000007"/>
    <n v="9.3000000000000007"/>
    <n v="688.2"/>
    <n v="1072.6300000000001"/>
    <n v="1072.6300000000001"/>
    <n v="1072.6300000000001"/>
    <n v="1072.6300000000001"/>
    <n v="1072.6300000000001"/>
    <x v="1"/>
    <x v="0"/>
    <x v="0"/>
    <n v="0"/>
    <x v="0"/>
  </r>
  <r>
    <x v="173"/>
    <x v="153"/>
    <n v="1"/>
    <x v="3"/>
    <s v="ANM"/>
    <x v="0"/>
    <s v="Mineral"/>
    <x v="11"/>
    <s v="6 - Fornecedor - Repasse"/>
    <n v="40.090000000000003"/>
    <n v="0"/>
    <n v="0"/>
    <n v="40.090000000000003"/>
    <n v="2966.66"/>
    <n v="0"/>
    <n v="0"/>
    <n v="3385.96"/>
    <x v="3"/>
    <x v="4"/>
    <x v="0"/>
    <x v="1"/>
    <x v="1"/>
    <n v="40.090000000000003"/>
    <n v="40.090000000000003"/>
    <n v="40.090000000000003"/>
    <n v="2966.66"/>
    <n v="3385.96"/>
    <n v="3385.96"/>
    <n v="3385.96"/>
    <n v="3385.96"/>
    <n v="3385.96"/>
    <x v="1"/>
    <x v="0"/>
    <x v="0"/>
    <n v="0"/>
    <x v="0"/>
  </r>
  <r>
    <x v="173"/>
    <x v="153"/>
    <n v="2"/>
    <x v="3"/>
    <s v="ANM"/>
    <x v="0"/>
    <s v="Mineral"/>
    <x v="11"/>
    <s v="6 - Fornecedor - Repasse"/>
    <n v="30.21"/>
    <n v="0"/>
    <n v="0"/>
    <n v="30.21"/>
    <n v="2235.54"/>
    <n v="0"/>
    <n v="0"/>
    <n v="2244.16"/>
    <x v="3"/>
    <x v="4"/>
    <x v="0"/>
    <x v="1"/>
    <x v="1"/>
    <n v="30.21"/>
    <n v="30.21"/>
    <n v="30.21"/>
    <n v="2235.54"/>
    <n v="2244.16"/>
    <n v="2244.16"/>
    <n v="2244.16"/>
    <n v="2244.16"/>
    <n v="2244.16"/>
    <x v="1"/>
    <x v="0"/>
    <x v="0"/>
    <n v="0"/>
    <x v="0"/>
  </r>
  <r>
    <x v="173"/>
    <x v="153"/>
    <n v="3"/>
    <x v="3"/>
    <s v="ANM"/>
    <x v="0"/>
    <s v="Mineral"/>
    <x v="7"/>
    <s v="6 - Fornecedor - Repasse"/>
    <n v="38.61"/>
    <n v="0"/>
    <n v="0"/>
    <n v="38.61"/>
    <n v="2857.14"/>
    <n v="0"/>
    <n v="0"/>
    <n v="2904.14"/>
    <x v="3"/>
    <x v="4"/>
    <x v="0"/>
    <x v="1"/>
    <x v="1"/>
    <n v="38.61"/>
    <n v="38.61"/>
    <n v="38.61"/>
    <n v="2857.14"/>
    <n v="2904.14"/>
    <n v="2904.14"/>
    <n v="2904.14"/>
    <n v="2904.14"/>
    <n v="2904.14"/>
    <x v="1"/>
    <x v="0"/>
    <x v="0"/>
    <n v="0"/>
    <x v="0"/>
  </r>
  <r>
    <x v="173"/>
    <x v="153"/>
    <n v="901"/>
    <x v="3"/>
    <s v="ANM"/>
    <x v="0"/>
    <s v="Mineral"/>
    <x v="11"/>
    <s v="6 - Fornecedor - Repasse"/>
    <n v="8.32"/>
    <n v="8.32"/>
    <n v="0"/>
    <n v="8.32"/>
    <n v="615.67999999999995"/>
    <n v="615.67999999999995"/>
    <n v="0"/>
    <n v="1191.7"/>
    <x v="3"/>
    <x v="36"/>
    <x v="0"/>
    <x v="0"/>
    <x v="1"/>
    <n v="8.32"/>
    <n v="8.32"/>
    <n v="8.32"/>
    <n v="615.67999999999995"/>
    <n v="615.67999999999995"/>
    <n v="1191.7"/>
    <n v="1191.7"/>
    <n v="1191.7"/>
    <n v="1191.7"/>
    <x v="1"/>
    <x v="0"/>
    <x v="0"/>
    <n v="0"/>
    <x v="0"/>
  </r>
  <r>
    <x v="173"/>
    <x v="153"/>
    <n v="902"/>
    <x v="3"/>
    <s v="ANM"/>
    <x v="0"/>
    <s v="Mineral"/>
    <x v="11"/>
    <s v="6 - Fornecedor - Repasse"/>
    <n v="1.61"/>
    <n v="1.61"/>
    <n v="0"/>
    <n v="1.61"/>
    <n v="119.14"/>
    <n v="119.14"/>
    <n v="0"/>
    <n v="230.24"/>
    <x v="3"/>
    <x v="36"/>
    <x v="0"/>
    <x v="0"/>
    <x v="1"/>
    <n v="1.61"/>
    <n v="1.61"/>
    <n v="1.61"/>
    <n v="119.14"/>
    <n v="119.14"/>
    <n v="230.24"/>
    <n v="230.24"/>
    <n v="230.24"/>
    <n v="230.24"/>
    <x v="1"/>
    <x v="0"/>
    <x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627287-11F4-4A66-AA06-2F3860FF80CD}" name="Tabela dinâmica1" cacheId="99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gridDropZones="1" multipleFieldFilters="0">
  <location ref="A6:O30" firstHeaderRow="1" firstDataRow="2" firstDataCol="6"/>
  <pivotFields count="49">
    <pivotField axis="axisRow" compact="0" outline="0" showAll="0" defaultSubtotal="0">
      <items count="1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4">
        <item sd="0" x="79"/>
        <item sd="0" x="26"/>
        <item sd="0" x="78"/>
        <item sd="0" x="32"/>
        <item sd="0" x="90"/>
        <item sd="0" x="86"/>
        <item sd="0" x="143"/>
        <item sd="0" x="112"/>
        <item sd="0" x="68"/>
        <item sd="0" x="103"/>
        <item sd="0" x="63"/>
        <item sd="0" x="71"/>
        <item sd="0" x="91"/>
        <item sd="0" x="37"/>
        <item sd="0" x="41"/>
        <item sd="0" x="57"/>
        <item sd="0" x="149"/>
        <item sd="0" x="111"/>
        <item sd="0" x="62"/>
        <item sd="0" x="76"/>
        <item sd="0" x="75"/>
        <item sd="0" x="5"/>
        <item sd="0" x="39"/>
        <item sd="0" x="21"/>
        <item sd="0" x="34"/>
        <item sd="0" x="19"/>
        <item sd="0" x="7"/>
        <item sd="0" x="120"/>
        <item sd="0" x="98"/>
        <item sd="0" x="48"/>
        <item sd="0" x="135"/>
        <item sd="0" x="136"/>
        <item sd="0" x="23"/>
        <item sd="0" x="74"/>
        <item sd="0" x="12"/>
        <item sd="0" x="101"/>
        <item sd="0" x="38"/>
        <item sd="0" x="115"/>
        <item sd="0" x="150"/>
        <item sd="0" x="94"/>
        <item sd="0" x="147"/>
        <item sd="0" x="25"/>
        <item sd="0" x="40"/>
        <item sd="0" x="134"/>
        <item sd="0" x="97"/>
        <item sd="0" x="59"/>
        <item sd="0" x="50"/>
        <item sd="0" x="61"/>
        <item sd="0" x="10"/>
        <item sd="0" x="129"/>
        <item sd="0" x="87"/>
        <item sd="0" x="85"/>
        <item sd="0" x="53"/>
        <item sd="0" x="145"/>
        <item sd="0" x="0"/>
        <item sd="0" x="126"/>
        <item sd="0" x="127"/>
        <item sd="0" x="130"/>
        <item sd="0" x="138"/>
        <item sd="0" x="139"/>
        <item sd="0" x="82"/>
        <item sd="0" x="6"/>
        <item sd="0" x="27"/>
        <item sd="0" x="110"/>
        <item sd="0" x="17"/>
        <item sd="0" x="49"/>
        <item sd="0" x="108"/>
        <item sd="0" x="118"/>
        <item sd="0" x="77"/>
        <item sd="0" x="11"/>
        <item sd="0" x="96"/>
        <item sd="0" x="29"/>
        <item sd="0" x="58"/>
        <item sd="0" x="65"/>
        <item sd="0" x="55"/>
        <item sd="0" x="51"/>
        <item sd="0" x="107"/>
        <item sd="0" x="152"/>
        <item sd="0" x="106"/>
        <item sd="0" x="123"/>
        <item sd="0" x="102"/>
        <item sd="0" x="100"/>
        <item sd="0" x="70"/>
        <item sd="0" x="81"/>
        <item sd="0" x="28"/>
        <item sd="0" x="60"/>
        <item sd="0" x="69"/>
        <item sd="0" x="16"/>
        <item sd="0" x="44"/>
        <item sd="0" x="64"/>
        <item sd="0" x="67"/>
        <item sd="0" x="4"/>
        <item sd="0" x="35"/>
        <item sd="0" x="18"/>
        <item sd="0" x="146"/>
        <item sd="0" x="9"/>
        <item sd="0" x="83"/>
        <item sd="0" x="122"/>
        <item sd="0" x="140"/>
        <item sd="0" x="13"/>
        <item sd="0" x="99"/>
        <item sd="0" x="3"/>
        <item sd="0" x="142"/>
        <item sd="0" x="15"/>
        <item sd="0" x="95"/>
        <item sd="0" x="121"/>
        <item sd="0" x="144"/>
        <item sd="0" x="141"/>
        <item sd="0" x="2"/>
        <item sd="0" x="153"/>
        <item sd="0" x="8"/>
        <item sd="0" x="24"/>
        <item sd="0" x="73"/>
        <item sd="0" x="22"/>
        <item sd="0" x="33"/>
        <item sd="0" x="117"/>
        <item sd="0" x="125"/>
        <item sd="0" x="20"/>
        <item sd="0" x="54"/>
        <item sd="0" x="52"/>
        <item sd="0" x="72"/>
        <item sd="0" x="104"/>
        <item sd="0" x="93"/>
        <item sd="0" x="109"/>
        <item sd="0" x="56"/>
        <item sd="0" x="124"/>
        <item sd="0" x="14"/>
        <item sd="0" x="131"/>
        <item sd="0" x="128"/>
        <item sd="0" x="132"/>
        <item sd="0" x="80"/>
        <item sd="0" x="92"/>
        <item sd="0" x="47"/>
        <item sd="0" x="151"/>
        <item sd="0" x="88"/>
        <item sd="0" x="42"/>
        <item sd="0" x="113"/>
        <item sd="0" x="1"/>
        <item sd="0" x="30"/>
        <item sd="0" x="116"/>
        <item sd="0" x="119"/>
        <item sd="0" x="36"/>
        <item sd="0" x="148"/>
        <item sd="0" x="45"/>
        <item sd="0" x="89"/>
        <item sd="0" x="114"/>
        <item sd="0" x="46"/>
        <item sd="0" x="84"/>
        <item sd="0" x="31"/>
        <item sd="0" x="66"/>
        <item sd="0" x="43"/>
        <item sd="0" x="133"/>
        <item sd="0" x="137"/>
        <item sd="0" x="10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3"/>
        <item x="5"/>
        <item x="2"/>
        <item x="4"/>
        <item x="6"/>
        <item x="0"/>
        <item x="7"/>
        <item x="1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9">
        <item x="2"/>
        <item x="23"/>
        <item x="32"/>
        <item x="18"/>
        <item x="3"/>
        <item x="10"/>
        <item x="12"/>
        <item x="24"/>
        <item x="15"/>
        <item x="33"/>
        <item x="11"/>
        <item x="16"/>
        <item x="28"/>
        <item x="5"/>
        <item x="34"/>
        <item x="31"/>
        <item x="19"/>
        <item x="21"/>
        <item x="22"/>
        <item x="26"/>
        <item x="29"/>
        <item x="36"/>
        <item x="25"/>
        <item x="37"/>
        <item x="8"/>
        <item x="0"/>
        <item x="14"/>
        <item x="7"/>
        <item x="35"/>
        <item x="6"/>
        <item x="13"/>
        <item x="17"/>
        <item x="30"/>
        <item x="4"/>
        <item x="20"/>
        <item x="1"/>
        <item x="27"/>
        <item x="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 sortType="ascending">
      <items count="5">
        <item x="1"/>
        <item x="3"/>
        <item x="0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3">
        <item sd="0" x="0"/>
        <item x="1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7"/>
    <field x="19"/>
    <field x="0"/>
    <field x="1"/>
    <field x="3"/>
    <field x="7"/>
  </rowFields>
  <rowItems count="23">
    <i>
      <x/>
    </i>
    <i r="1">
      <x/>
    </i>
    <i r="1">
      <x v="1"/>
    </i>
    <i r="2">
      <x v="157"/>
      <x v="58"/>
    </i>
    <i r="2">
      <x v="164"/>
      <x v="53"/>
    </i>
    <i>
      <x v="1"/>
    </i>
    <i r="1">
      <x/>
    </i>
    <i r="1">
      <x v="1"/>
    </i>
    <i r="2">
      <x v="167"/>
      <x v="40"/>
    </i>
    <i r="2">
      <x v="168"/>
      <x v="142"/>
    </i>
    <i>
      <x v="2"/>
    </i>
    <i r="1">
      <x/>
    </i>
    <i r="1">
      <x v="1"/>
    </i>
    <i r="2">
      <x v="21"/>
      <x v="23"/>
    </i>
    <i r="2">
      <x v="51"/>
      <x v="65"/>
    </i>
    <i r="2">
      <x v="54"/>
      <x v="75"/>
    </i>
    <i r="2">
      <x v="59"/>
      <x v="124"/>
    </i>
    <i r="2">
      <x v="81"/>
      <x v="19"/>
    </i>
    <i r="2">
      <x v="86"/>
      <x v="65"/>
    </i>
    <i r="2">
      <x v="119"/>
      <x v="78"/>
    </i>
    <i r="2">
      <x v="136"/>
      <x v="47"/>
    </i>
    <i r="2">
      <x v="138"/>
      <x v="126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 AREA_EST" fld="9" baseField="1" baseItem="137" numFmtId="164"/>
    <dataField name=" VOL_EST" fld="25" baseField="1" baseItem="9" numFmtId="164"/>
    <dataField name=" VOL_REAL" fld="16" baseField="1" baseItem="40" numFmtId="164"/>
    <dataField name=" DIF_EST_TON" fld="44" baseField="15" baseItem="1" numFmtId="164"/>
    <dataField name=" PROJ_VOLEST" fld="28" baseField="15" baseItem="1" numFmtId="164"/>
    <dataField name=" TCH_EST" fld="41" baseField="1" baseItem="9" numFmtId="164"/>
    <dataField name=" TCH_REAL" fld="36" baseField="1" baseItem="40" numFmtId="164"/>
    <dataField name=" DIF_EST_TCH" fld="42" baseField="1" baseItem="107" numFmtId="164"/>
    <dataField name=" DIF_EST_%" fld="43" baseField="14" baseItem="1" numFmtId="165"/>
  </dataFields>
  <formats count="7">
    <format dxfId="69">
      <pivotArea outline="0" fieldPosition="0">
        <references count="1">
          <reference field="4294967294" count="1">
            <x v="8"/>
          </reference>
        </references>
      </pivotArea>
    </format>
    <format dxfId="68">
      <pivotArea dataOnly="0" outline="0" fieldPosition="0">
        <references count="1">
          <reference field="4294967294" count="2">
            <x v="1"/>
            <x v="5"/>
          </reference>
        </references>
      </pivotArea>
    </format>
    <format dxfId="67">
      <pivotArea dataOnly="0" outline="0" fieldPosition="0">
        <references count="1">
          <reference field="4294967294" count="2">
            <x v="2"/>
            <x v="6"/>
          </reference>
        </references>
      </pivotArea>
    </format>
    <format dxfId="66">
      <pivotArea dataOnly="0" outline="0" fieldPosition="0">
        <references count="1">
          <reference field="4294967294" count="2">
            <x v="7"/>
            <x v="8"/>
          </reference>
        </references>
      </pivotArea>
    </format>
    <format dxfId="65">
      <pivotArea dataOnly="0" outline="0" fieldPosition="0">
        <references count="1">
          <reference field="4294967294" count="2">
            <x v="3"/>
            <x v="4"/>
          </reference>
        </references>
      </pivotArea>
    </format>
    <format dxfId="64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63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8"/>
            </reference>
          </references>
        </pivotArea>
      </pivotAreas>
    </conditionalFormat>
  </conditionalFormats>
  <pivotTableStyleInfo name="PivotStyleMedium1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5CF270-DE32-44E7-A38C-E79DA8202D6C}" name="Tabela dinâmica2" cacheId="99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gridDropZones="1" multipleFieldFilters="0">
  <location ref="A6:P39" firstHeaderRow="1" firstDataRow="2" firstDataCol="7"/>
  <pivotFields count="49">
    <pivotField axis="axisRow" compact="0" outline="0" showAll="0" defaultSubtotal="0">
      <items count="1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4">
        <item sd="0" x="79"/>
        <item sd="0" x="26"/>
        <item sd="0" x="78"/>
        <item sd="0" x="32"/>
        <item sd="0" x="90"/>
        <item sd="0" x="86"/>
        <item sd="0" x="143"/>
        <item sd="0" x="112"/>
        <item sd="0" x="68"/>
        <item sd="0" x="103"/>
        <item sd="0" x="63"/>
        <item sd="0" x="71"/>
        <item sd="0" x="91"/>
        <item sd="0" x="37"/>
        <item sd="0" x="41"/>
        <item sd="0" x="57"/>
        <item sd="0" x="149"/>
        <item sd="0" x="111"/>
        <item sd="0" x="62"/>
        <item sd="0" x="76"/>
        <item sd="0" x="75"/>
        <item sd="0" x="5"/>
        <item sd="0" x="39"/>
        <item sd="0" x="21"/>
        <item sd="0" x="34"/>
        <item sd="0" x="19"/>
        <item sd="0" x="7"/>
        <item sd="0" x="120"/>
        <item sd="0" x="98"/>
        <item sd="0" x="48"/>
        <item sd="0" x="135"/>
        <item sd="0" x="136"/>
        <item sd="0" x="23"/>
        <item sd="0" x="74"/>
        <item sd="0" x="12"/>
        <item sd="0" x="101"/>
        <item sd="0" x="38"/>
        <item sd="0" x="115"/>
        <item sd="0" x="150"/>
        <item sd="0" x="94"/>
        <item sd="0" x="147"/>
        <item sd="0" x="25"/>
        <item sd="0" x="40"/>
        <item sd="0" x="134"/>
        <item sd="0" x="97"/>
        <item sd="0" x="59"/>
        <item sd="0" x="50"/>
        <item sd="0" x="61"/>
        <item sd="0" x="10"/>
        <item sd="0" x="129"/>
        <item sd="0" x="87"/>
        <item sd="0" x="85"/>
        <item sd="0" x="53"/>
        <item sd="0" x="145"/>
        <item sd="0" x="0"/>
        <item sd="0" x="126"/>
        <item sd="0" x="127"/>
        <item sd="0" x="130"/>
        <item sd="0" x="138"/>
        <item sd="0" x="139"/>
        <item sd="0" x="82"/>
        <item sd="0" x="6"/>
        <item sd="0" x="27"/>
        <item sd="0" x="110"/>
        <item sd="0" x="17"/>
        <item sd="0" x="49"/>
        <item sd="0" x="108"/>
        <item sd="0" x="118"/>
        <item sd="0" x="77"/>
        <item sd="0" x="11"/>
        <item sd="0" x="96"/>
        <item sd="0" x="29"/>
        <item sd="0" x="58"/>
        <item sd="0" x="65"/>
        <item sd="0" x="55"/>
        <item sd="0" x="51"/>
        <item sd="0" x="107"/>
        <item sd="0" x="152"/>
        <item sd="0" x="106"/>
        <item sd="0" x="123"/>
        <item sd="0" x="102"/>
        <item sd="0" x="100"/>
        <item sd="0" x="70"/>
        <item sd="0" x="81"/>
        <item sd="0" x="28"/>
        <item sd="0" x="60"/>
        <item sd="0" x="69"/>
        <item sd="0" x="16"/>
        <item sd="0" x="44"/>
        <item sd="0" x="64"/>
        <item sd="0" x="67"/>
        <item sd="0" x="4"/>
        <item sd="0" x="35"/>
        <item sd="0" x="18"/>
        <item sd="0" x="146"/>
        <item sd="0" x="9"/>
        <item sd="0" x="83"/>
        <item sd="0" x="122"/>
        <item sd="0" x="140"/>
        <item sd="0" x="13"/>
        <item sd="0" x="99"/>
        <item sd="0" x="3"/>
        <item sd="0" x="142"/>
        <item sd="0" x="15"/>
        <item sd="0" x="95"/>
        <item sd="0" x="121"/>
        <item sd="0" x="144"/>
        <item sd="0" x="141"/>
        <item sd="0" x="2"/>
        <item sd="0" x="153"/>
        <item sd="0" x="8"/>
        <item sd="0" x="24"/>
        <item sd="0" x="73"/>
        <item sd="0" x="22"/>
        <item sd="0" x="33"/>
        <item sd="0" x="117"/>
        <item sd="0" x="125"/>
        <item sd="0" x="20"/>
        <item sd="0" x="54"/>
        <item sd="0" x="52"/>
        <item sd="0" x="72"/>
        <item sd="0" x="104"/>
        <item sd="0" x="93"/>
        <item sd="0" x="109"/>
        <item sd="0" x="56"/>
        <item sd="0" x="124"/>
        <item sd="0" x="14"/>
        <item sd="0" x="131"/>
        <item sd="0" x="128"/>
        <item sd="0" x="132"/>
        <item sd="0" x="80"/>
        <item sd="0" x="92"/>
        <item sd="0" x="47"/>
        <item sd="0" x="151"/>
        <item sd="0" x="88"/>
        <item sd="0" x="42"/>
        <item sd="0" x="113"/>
        <item sd="0" x="1"/>
        <item sd="0" x="30"/>
        <item sd="0" x="116"/>
        <item sd="0" x="119"/>
        <item sd="0" x="36"/>
        <item sd="0" x="148"/>
        <item sd="0" x="45"/>
        <item sd="0" x="89"/>
        <item sd="0" x="114"/>
        <item sd="0" x="46"/>
        <item sd="0" x="84"/>
        <item sd="0" x="31"/>
        <item sd="0" x="66"/>
        <item sd="0" x="43"/>
        <item sd="0" x="133"/>
        <item sd="0" x="137"/>
        <item sd="0" x="10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3"/>
        <item x="5"/>
        <item x="2"/>
        <item x="4"/>
        <item x="6"/>
        <item x="0"/>
        <item x="7"/>
        <item x="1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9">
        <item x="2"/>
        <item x="23"/>
        <item x="32"/>
        <item x="18"/>
        <item x="3"/>
        <item x="10"/>
        <item x="12"/>
        <item x="24"/>
        <item x="15"/>
        <item x="33"/>
        <item x="11"/>
        <item x="16"/>
        <item x="28"/>
        <item x="5"/>
        <item x="34"/>
        <item x="31"/>
        <item x="19"/>
        <item x="21"/>
        <item x="22"/>
        <item x="26"/>
        <item x="29"/>
        <item x="36"/>
        <item x="25"/>
        <item x="37"/>
        <item x="8"/>
        <item x="0"/>
        <item x="14"/>
        <item x="7"/>
        <item x="35"/>
        <item x="6"/>
        <item x="13"/>
        <item x="17"/>
        <item x="30"/>
        <item x="4"/>
        <item x="20"/>
        <item x="1"/>
        <item x="27"/>
        <item x="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 sortType="ascending">
      <items count="5">
        <item x="1"/>
        <item x="3"/>
        <item x="0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3">
        <item sd="0" x="0"/>
        <item x="1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17"/>
    <field x="20"/>
    <field x="19"/>
    <field x="0"/>
    <field x="1"/>
    <field x="3"/>
    <field x="7"/>
  </rowFields>
  <rowItems count="32">
    <i>
      <x/>
    </i>
    <i r="1">
      <x/>
    </i>
    <i r="2">
      <x/>
    </i>
    <i r="1">
      <x v="1"/>
    </i>
    <i r="2">
      <x/>
    </i>
    <i r="2">
      <x v="1"/>
    </i>
    <i r="3">
      <x v="157"/>
      <x v="58"/>
    </i>
    <i r="3">
      <x v="164"/>
      <x v="53"/>
    </i>
    <i>
      <x v="1"/>
    </i>
    <i r="1">
      <x/>
    </i>
    <i r="2">
      <x/>
    </i>
    <i r="1">
      <x v="1"/>
    </i>
    <i r="2">
      <x/>
    </i>
    <i r="2">
      <x v="1"/>
    </i>
    <i r="3">
      <x v="167"/>
      <x v="40"/>
    </i>
    <i r="3">
      <x v="168"/>
      <x v="142"/>
    </i>
    <i>
      <x v="2"/>
    </i>
    <i r="1">
      <x/>
    </i>
    <i r="2">
      <x/>
    </i>
    <i r="1">
      <x v="1"/>
    </i>
    <i r="2">
      <x/>
    </i>
    <i r="2">
      <x v="1"/>
    </i>
    <i r="3">
      <x v="21"/>
      <x v="23"/>
    </i>
    <i r="3">
      <x v="51"/>
      <x v="65"/>
    </i>
    <i r="3">
      <x v="54"/>
      <x v="75"/>
    </i>
    <i r="3">
      <x v="59"/>
      <x v="124"/>
    </i>
    <i r="3">
      <x v="81"/>
      <x v="19"/>
    </i>
    <i r="3">
      <x v="86"/>
      <x v="65"/>
    </i>
    <i r="3">
      <x v="119"/>
      <x v="78"/>
    </i>
    <i r="3">
      <x v="136"/>
      <x v="47"/>
    </i>
    <i r="3">
      <x v="138"/>
      <x v="126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 AREA_REST1" fld="23" baseField="1" baseItem="53" numFmtId="164"/>
    <dataField name=" VOL_REST1" fld="26" baseField="15" baseItem="0" numFmtId="164"/>
    <dataField name=" VOL_REAL" fld="16" baseField="1" baseItem="107" numFmtId="164"/>
    <dataField name=" DIF_REST1_TON" fld="45" baseField="16" baseItem="1" numFmtId="164"/>
    <dataField name=" PROJ_VOLREST1" fld="29" baseField="16" baseItem="1" numFmtId="164"/>
    <dataField name=" TCH_EST1" fld="46" baseField="15" baseItem="0" numFmtId="164"/>
    <dataField name=" TCH_REAL" fld="36" baseField="15" baseItem="0" numFmtId="164"/>
    <dataField name=" DIF_REST1_TCH" fld="47" baseField="15" baseItem="0" numFmtId="164"/>
    <dataField name=" DIF_REST1_%" fld="48" baseField="1" baseItem="40" numFmtId="165"/>
  </dataFields>
  <formats count="1">
    <format dxfId="62">
      <pivotArea dataOnly="0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8"/>
            </reference>
          </references>
        </pivotArea>
      </pivotAreas>
    </conditionalFormat>
  </conditionalFormats>
  <pivotTableStyleInfo name="PivotStyleMedium1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11581-ECA2-41CD-8961-39AF3BD05EAA}" name="Tabela dinâmica1" cacheId="99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gridDropZones="1" multipleFieldFilters="0">
  <location ref="A6:P39" firstHeaderRow="1" firstDataRow="2" firstDataCol="7"/>
  <pivotFields count="49">
    <pivotField axis="axisRow" compact="0" outline="0" showAll="0" defaultSubtotal="0">
      <items count="1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4">
        <item sd="0" x="79"/>
        <item sd="0" x="26"/>
        <item sd="0" x="78"/>
        <item sd="0" x="32"/>
        <item sd="0" x="90"/>
        <item sd="0" x="86"/>
        <item sd="0" x="143"/>
        <item sd="0" x="112"/>
        <item sd="0" x="68"/>
        <item sd="0" x="103"/>
        <item sd="0" x="63"/>
        <item sd="0" x="71"/>
        <item sd="0" x="91"/>
        <item sd="0" x="37"/>
        <item sd="0" x="41"/>
        <item sd="0" x="57"/>
        <item sd="0" x="149"/>
        <item sd="0" x="111"/>
        <item sd="0" x="62"/>
        <item sd="0" x="76"/>
        <item sd="0" x="75"/>
        <item sd="0" x="5"/>
        <item sd="0" x="39"/>
        <item sd="0" x="21"/>
        <item sd="0" x="34"/>
        <item sd="0" x="19"/>
        <item sd="0" x="7"/>
        <item sd="0" x="120"/>
        <item sd="0" x="98"/>
        <item sd="0" x="48"/>
        <item sd="0" x="135"/>
        <item sd="0" x="136"/>
        <item sd="0" x="23"/>
        <item sd="0" x="74"/>
        <item sd="0" x="12"/>
        <item sd="0" x="101"/>
        <item sd="0" x="38"/>
        <item sd="0" x="115"/>
        <item sd="0" x="150"/>
        <item sd="0" x="94"/>
        <item sd="0" x="147"/>
        <item sd="0" x="25"/>
        <item sd="0" x="40"/>
        <item sd="0" x="134"/>
        <item sd="0" x="97"/>
        <item sd="0" x="59"/>
        <item sd="0" x="50"/>
        <item sd="0" x="61"/>
        <item sd="0" x="10"/>
        <item sd="0" x="129"/>
        <item sd="0" x="87"/>
        <item sd="0" x="85"/>
        <item sd="0" x="53"/>
        <item sd="0" x="145"/>
        <item sd="0" x="0"/>
        <item sd="0" x="126"/>
        <item sd="0" x="127"/>
        <item sd="0" x="130"/>
        <item sd="0" x="138"/>
        <item sd="0" x="139"/>
        <item sd="0" x="82"/>
        <item sd="0" x="6"/>
        <item sd="0" x="27"/>
        <item sd="0" x="110"/>
        <item sd="0" x="17"/>
        <item sd="0" x="49"/>
        <item sd="0" x="108"/>
        <item sd="0" x="118"/>
        <item sd="0" x="77"/>
        <item sd="0" x="11"/>
        <item sd="0" x="96"/>
        <item sd="0" x="29"/>
        <item sd="0" x="58"/>
        <item sd="0" x="65"/>
        <item sd="0" x="55"/>
        <item sd="0" x="51"/>
        <item sd="0" x="107"/>
        <item sd="0" x="152"/>
        <item sd="0" x="106"/>
        <item sd="0" x="123"/>
        <item sd="0" x="102"/>
        <item sd="0" x="100"/>
        <item sd="0" x="70"/>
        <item sd="0" x="81"/>
        <item sd="0" x="28"/>
        <item sd="0" x="60"/>
        <item sd="0" x="69"/>
        <item sd="0" x="16"/>
        <item sd="0" x="44"/>
        <item sd="0" x="64"/>
        <item sd="0" x="67"/>
        <item sd="0" x="4"/>
        <item sd="0" x="35"/>
        <item sd="0" x="18"/>
        <item sd="0" x="146"/>
        <item sd="0" x="9"/>
        <item sd="0" x="83"/>
        <item sd="0" x="122"/>
        <item sd="0" x="140"/>
        <item sd="0" x="13"/>
        <item sd="0" x="99"/>
        <item sd="0" x="3"/>
        <item sd="0" x="142"/>
        <item sd="0" x="15"/>
        <item sd="0" x="95"/>
        <item sd="0" x="121"/>
        <item sd="0" x="144"/>
        <item sd="0" x="141"/>
        <item sd="0" x="2"/>
        <item sd="0" x="153"/>
        <item sd="0" x="8"/>
        <item sd="0" x="24"/>
        <item sd="0" x="73"/>
        <item sd="0" x="22"/>
        <item sd="0" x="33"/>
        <item sd="0" x="117"/>
        <item sd="0" x="125"/>
        <item sd="0" x="20"/>
        <item sd="0" x="54"/>
        <item sd="0" x="52"/>
        <item sd="0" x="72"/>
        <item sd="0" x="104"/>
        <item sd="0" x="93"/>
        <item sd="0" x="109"/>
        <item sd="0" x="56"/>
        <item sd="0" x="124"/>
        <item sd="0" x="14"/>
        <item sd="0" x="131"/>
        <item sd="0" x="128"/>
        <item sd="0" x="132"/>
        <item sd="0" x="80"/>
        <item sd="0" x="92"/>
        <item sd="0" x="47"/>
        <item sd="0" x="151"/>
        <item sd="0" x="88"/>
        <item sd="0" x="42"/>
        <item sd="0" x="113"/>
        <item sd="0" x="1"/>
        <item sd="0" x="30"/>
        <item sd="0" x="116"/>
        <item sd="0" x="119"/>
        <item sd="0" x="36"/>
        <item sd="0" x="148"/>
        <item sd="0" x="45"/>
        <item sd="0" x="89"/>
        <item sd="0" x="114"/>
        <item sd="0" x="46"/>
        <item sd="0" x="84"/>
        <item sd="0" x="31"/>
        <item sd="0" x="66"/>
        <item sd="0" x="43"/>
        <item sd="0" x="133"/>
        <item sd="0" x="137"/>
        <item sd="0" x="10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3"/>
        <item x="5"/>
        <item x="2"/>
        <item x="4"/>
        <item x="6"/>
        <item x="0"/>
        <item x="7"/>
        <item x="1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9">
        <item x="2"/>
        <item x="23"/>
        <item x="32"/>
        <item x="18"/>
        <item x="3"/>
        <item x="10"/>
        <item x="12"/>
        <item x="24"/>
        <item x="15"/>
        <item x="33"/>
        <item x="11"/>
        <item x="16"/>
        <item x="28"/>
        <item x="5"/>
        <item x="34"/>
        <item x="31"/>
        <item x="19"/>
        <item x="21"/>
        <item x="22"/>
        <item x="26"/>
        <item x="29"/>
        <item x="36"/>
        <item x="25"/>
        <item x="37"/>
        <item x="8"/>
        <item x="0"/>
        <item x="14"/>
        <item x="7"/>
        <item x="35"/>
        <item x="6"/>
        <item x="13"/>
        <item x="17"/>
        <item x="30"/>
        <item x="4"/>
        <item x="20"/>
        <item x="1"/>
        <item x="27"/>
        <item x="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 sortType="ascending">
      <items count="5">
        <item x="1"/>
        <item x="3"/>
        <item x="0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3">
        <item sd="0" x="0"/>
        <item x="1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17"/>
    <field x="21"/>
    <field x="19"/>
    <field x="0"/>
    <field x="1"/>
    <field x="3"/>
    <field x="7"/>
  </rowFields>
  <rowItems count="32">
    <i>
      <x/>
    </i>
    <i r="1">
      <x/>
    </i>
    <i r="2">
      <x/>
    </i>
    <i r="1">
      <x v="1"/>
    </i>
    <i r="2">
      <x/>
    </i>
    <i r="2">
      <x v="1"/>
    </i>
    <i r="3">
      <x v="157"/>
      <x v="58"/>
    </i>
    <i r="3">
      <x v="164"/>
      <x v="53"/>
    </i>
    <i>
      <x v="1"/>
    </i>
    <i r="1">
      <x/>
    </i>
    <i r="2">
      <x/>
    </i>
    <i r="1">
      <x v="1"/>
    </i>
    <i r="2">
      <x/>
    </i>
    <i r="2">
      <x v="1"/>
    </i>
    <i r="3">
      <x v="167"/>
      <x v="40"/>
    </i>
    <i r="3">
      <x v="168"/>
      <x v="142"/>
    </i>
    <i>
      <x v="2"/>
    </i>
    <i r="1">
      <x/>
    </i>
    <i r="2">
      <x/>
    </i>
    <i r="1">
      <x v="1"/>
    </i>
    <i r="2">
      <x/>
    </i>
    <i r="2">
      <x v="1"/>
    </i>
    <i r="3">
      <x v="21"/>
      <x v="23"/>
    </i>
    <i r="3">
      <x v="51"/>
      <x v="65"/>
    </i>
    <i r="3">
      <x v="54"/>
      <x v="75"/>
    </i>
    <i r="3">
      <x v="59"/>
      <x v="124"/>
    </i>
    <i r="3">
      <x v="81"/>
      <x v="19"/>
    </i>
    <i r="3">
      <x v="86"/>
      <x v="65"/>
    </i>
    <i r="3">
      <x v="119"/>
      <x v="78"/>
    </i>
    <i r="3">
      <x v="136"/>
      <x v="47"/>
    </i>
    <i r="3">
      <x v="138"/>
      <x v="126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 AREA_REST2" fld="24" baseField="1" baseItem="6" numFmtId="164"/>
    <dataField name=" VOL_REST2" fld="27" baseField="1" baseItem="6" numFmtId="164"/>
    <dataField name=" VOL_REAL" fld="16" baseField="12" baseItem="1" numFmtId="164"/>
    <dataField name=" DIF_REST2_TON" fld="39" baseField="14" baseItem="3" numFmtId="164"/>
    <dataField name=" PROJ_VOLREST2" fld="30" baseField="18" baseItem="0" numFmtId="164"/>
    <dataField name=" TCH_EST2" fld="37" baseField="17" baseItem="0" numFmtId="164"/>
    <dataField name=" TCH_REAL" fld="36" baseField="1" baseItem="40" numFmtId="164"/>
    <dataField name=" DIF_REST2_TCH" fld="38" baseField="14" baseItem="3" numFmtId="164"/>
    <dataField name=" DIF_REST2_%" fld="40" baseField="14" baseItem="3" numFmtId="165"/>
  </dataFields>
  <formats count="11">
    <format dxfId="61">
      <pivotArea outline="0" fieldPosition="0">
        <references count="1">
          <reference field="4294967294" count="2" selected="0">
            <x v="2"/>
            <x v="6"/>
          </reference>
        </references>
      </pivotArea>
    </format>
    <format dxfId="60">
      <pivotArea dataOnly="0" labelOnly="1" outline="0" fieldPosition="0">
        <references count="1">
          <reference field="4294967294" count="2">
            <x v="2"/>
            <x v="6"/>
          </reference>
        </references>
      </pivotArea>
    </format>
    <format dxfId="59">
      <pivotArea outline="0" fieldPosition="0">
        <references count="1">
          <reference field="4294967294" count="2" selected="0">
            <x v="1"/>
            <x v="5"/>
          </reference>
        </references>
      </pivotArea>
    </format>
    <format dxfId="58">
      <pivotArea outline="0" fieldPosition="0">
        <references count="1">
          <reference field="4294967294" count="1">
            <x v="8"/>
          </reference>
        </references>
      </pivotArea>
    </format>
    <format dxfId="57">
      <pivotArea outline="0" fieldPosition="0">
        <references count="1">
          <reference field="4294967294" count="2" selected="0">
            <x v="3"/>
            <x v="4"/>
          </reference>
        </references>
      </pivotArea>
    </format>
    <format dxfId="56">
      <pivotArea dataOnly="0" outline="0" fieldPosition="0">
        <references count="1">
          <reference field="4294967294" count="2">
            <x v="1"/>
            <x v="5"/>
          </reference>
        </references>
      </pivotArea>
    </format>
    <format dxfId="55">
      <pivotArea dataOnly="0" outline="0" fieldPosition="0">
        <references count="1">
          <reference field="4294967294" count="2">
            <x v="2"/>
            <x v="6"/>
          </reference>
        </references>
      </pivotArea>
    </format>
    <format dxfId="54">
      <pivotArea dataOnly="0" outline="0" fieldPosition="0">
        <references count="1">
          <reference field="4294967294" count="2">
            <x v="7"/>
            <x v="8"/>
          </reference>
        </references>
      </pivotArea>
    </format>
    <format dxfId="53">
      <pivotArea dataOnly="0" outline="0" fieldPosition="0">
        <references count="1">
          <reference field="4294967294" count="1">
            <x v="6"/>
          </reference>
        </references>
      </pivotArea>
    </format>
    <format dxfId="52">
      <pivotArea dataOnly="0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51">
      <pivotArea dataOnly="0" outline="0" fieldPosition="0">
        <references count="1">
          <reference field="4294967294" count="1">
            <x v="2"/>
          </reference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8"/>
            </reference>
          </references>
        </pivotArea>
      </pivotAreas>
    </conditionalFormat>
  </conditionalFormats>
  <pivotTableStyleInfo name="PivotStyleMedium1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43E48-1712-4769-B800-FC1FCAC96104}" name="Tabela dinâmica1" cacheId="99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gridDropZones="1" multipleFieldFilters="0">
  <location ref="A6:S21" firstHeaderRow="1" firstDataRow="2" firstDataCol="3"/>
  <pivotFields count="4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5">
        <item x="0"/>
        <item sd="0" x="1"/>
        <item h="1" x="2"/>
        <item sd="0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3">
        <item x="0"/>
        <item x="1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3"/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9"/>
    <field x="17"/>
    <field x="32"/>
  </rowFields>
  <rowItems count="14">
    <i>
      <x/>
    </i>
    <i r="1">
      <x/>
    </i>
    <i r="2">
      <x v="1"/>
    </i>
    <i r="2">
      <x v="2"/>
    </i>
    <i r="2">
      <x v="3"/>
    </i>
    <i r="1">
      <x v="1"/>
    </i>
    <i r="1">
      <x v="3"/>
    </i>
    <i>
      <x v="1"/>
    </i>
    <i r="1">
      <x/>
    </i>
    <i r="2">
      <x v="1"/>
    </i>
    <i r="2">
      <x v="3"/>
    </i>
    <i r="1">
      <x v="1"/>
    </i>
    <i r="1">
      <x v="3"/>
    </i>
    <i t="grand">
      <x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dataFields count="16">
    <dataField name=" AREA_EST" fld="22" baseField="15" baseItem="0" numFmtId="164"/>
    <dataField name=" AREA_REAL" fld="12" baseField="15" baseItem="0" numFmtId="164"/>
    <dataField name=" VOL_EST" fld="25" baseField="15" baseItem="0" numFmtId="164"/>
    <dataField name=" VOL_REST1" fld="26" baseField="15" baseItem="0" numFmtId="164"/>
    <dataField name=" VOL_REST2" fld="27" baseField="15" baseItem="0" numFmtId="164"/>
    <dataField name=" VOL_REAL" fld="16" baseField="15" baseItem="0" numFmtId="164"/>
    <dataField name=" PROJ_VOLEST" fld="28" baseField="15" baseItem="0" numFmtId="164"/>
    <dataField name=" PROJ_VOLREST1" fld="29" baseField="15" baseItem="0" numFmtId="164"/>
    <dataField name=" PROJ_VOLREST2" fld="30" baseField="15" baseItem="0" numFmtId="164"/>
    <dataField name=" TCH_EST" fld="41" baseField="15" baseItem="1" numFmtId="164"/>
    <dataField name=" TCH_EST1" fld="46" baseField="15" baseItem="1" numFmtId="164"/>
    <dataField name=" TCH_EST2" fld="37" baseField="15" baseItem="1" numFmtId="164"/>
    <dataField name=" TCH_REAL" fld="36" baseField="15" baseItem="1" numFmtId="164"/>
    <dataField name=" DIF_EST_TCH" fld="42" baseField="14" baseItem="1" numFmtId="164"/>
    <dataField name=" DIF_REST1_TCH" fld="47" baseField="14" baseItem="1" numFmtId="164"/>
    <dataField name=" DIF_REST2_TCH" fld="38" baseField="14" baseItem="1" numFmtId="164"/>
  </dataFields>
  <formats count="15">
    <format dxfId="50">
      <pivotArea dataOnly="0" outline="0" fieldPosition="0">
        <references count="1">
          <reference field="4294967294" count="4">
            <x v="2"/>
            <x v="3"/>
            <x v="4"/>
            <x v="5"/>
          </reference>
        </references>
      </pivotArea>
    </format>
    <format dxfId="49">
      <pivotArea outline="0" fieldPosition="0">
        <references count="1">
          <reference field="4294967294" count="1">
            <x v="6"/>
          </reference>
        </references>
      </pivotArea>
    </format>
    <format dxfId="48">
      <pivotArea outline="0" fieldPosition="0">
        <references count="1">
          <reference field="4294967294" count="1">
            <x v="7"/>
          </reference>
        </references>
      </pivotArea>
    </format>
    <format dxfId="47">
      <pivotArea dataOnly="0" outline="0" fieldPosition="0">
        <references count="1">
          <reference field="4294967294" count="4">
            <x v="9"/>
            <x v="10"/>
            <x v="11"/>
            <x v="12"/>
          </reference>
        </references>
      </pivotArea>
    </format>
    <format dxfId="46">
      <pivotArea dataOnly="0" outline="0" fieldPosition="0">
        <references count="1">
          <reference field="4294967294" count="1">
            <x v="12"/>
          </reference>
        </references>
      </pivotArea>
    </format>
    <format dxfId="45">
      <pivotArea dataOnly="0" outline="0" fieldPosition="0">
        <references count="1">
          <reference field="4294967294" count="1">
            <x v="9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41">
      <pivotArea dataOnly="0" labelOnly="1" outline="0" fieldPosition="0">
        <references count="1">
          <reference field="4294967294" count="2">
            <x v="11"/>
            <x v="12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8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37">
      <pivotArea dataOnly="0" labelOnly="1" outline="0" fieldPosition="0">
        <references count="1">
          <reference field="4294967294" count="2">
            <x v="11"/>
            <x v="12"/>
          </reference>
        </references>
      </pivotArea>
    </format>
    <format dxfId="36">
      <pivotArea dataOnly="0" outline="0" fieldPosition="0">
        <references count="1">
          <reference field="4294967294" count="1">
            <x v="13"/>
          </reference>
        </references>
      </pivotArea>
    </format>
  </formats>
  <pivotTableStyleInfo name="PivotStyleMedium1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D45D64-4AC2-49D5-925E-41BA6D22D33D}" name="Tabela dinâmica1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F45" firstHeaderRow="0" firstDataRow="1" firstDataCol="1" rowPageCount="1" colPageCount="1"/>
  <pivotFields count="49"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showAll="0"/>
    <pivotField showAll="0">
      <items count="5">
        <item x="1"/>
        <item x="3"/>
        <item x="0"/>
        <item h="1" x="2"/>
        <item t="default"/>
      </items>
    </pivotField>
    <pivotField axis="axisRow" showAll="0">
      <items count="43">
        <item x="30"/>
        <item x="29"/>
        <item x="35"/>
        <item x="16"/>
        <item x="15"/>
        <item x="9"/>
        <item x="40"/>
        <item x="3"/>
        <item x="28"/>
        <item x="5"/>
        <item x="4"/>
        <item x="25"/>
        <item x="24"/>
        <item x="23"/>
        <item x="14"/>
        <item x="26"/>
        <item x="27"/>
        <item x="22"/>
        <item x="6"/>
        <item x="7"/>
        <item x="39"/>
        <item x="13"/>
        <item x="8"/>
        <item x="31"/>
        <item x="37"/>
        <item x="18"/>
        <item x="10"/>
        <item x="11"/>
        <item x="17"/>
        <item x="36"/>
        <item x="2"/>
        <item x="34"/>
        <item x="41"/>
        <item x="19"/>
        <item x="32"/>
        <item x="38"/>
        <item x="0"/>
        <item x="33"/>
        <item x="1"/>
        <item x="20"/>
        <item x="12"/>
        <item x="21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>
      <items count="3">
        <item x="1"/>
        <item x="0"/>
        <item t="default"/>
      </items>
    </pivotField>
    <pivotField showAll="0"/>
    <pivotField showAll="0"/>
    <pivotField numFmtId="164" showAll="0"/>
    <pivotField numFmtId="164" showAl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8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9" hier="-1"/>
  </pageFields>
  <dataFields count="5">
    <dataField name=" TCH_EST" fld="41" baseField="17" baseItem="0" numFmtId="164"/>
    <dataField name=" TCH_EST1" fld="46" baseField="17" baseItem="0" numFmtId="164"/>
    <dataField name=" TCH_EST2" fld="37" baseField="17" baseItem="0" numFmtId="164"/>
    <dataField name=" TCH_REAL" fld="36" baseField="17" baseItem="0" numFmtId="164"/>
    <dataField name=" AREA_REAL" fld="12" baseField="17" baseItem="1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E9C0B-F43D-41D9-9B39-9A843604F859}" name="Tabela dinâmica1" cacheId="99" dataPosition="0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gridDropZones="1" multipleFieldFilters="0">
  <location ref="A6:J23" firstHeaderRow="1" firstDataRow="2" firstDataCol="4"/>
  <pivotFields count="49">
    <pivotField compact="0" outline="0" showAll="0" defaultSubtotal="0">
      <items count="17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54">
        <item x="79"/>
        <item x="26"/>
        <item x="78"/>
        <item x="32"/>
        <item x="90"/>
        <item x="86"/>
        <item x="143"/>
        <item x="112"/>
        <item x="68"/>
        <item x="103"/>
        <item x="63"/>
        <item x="71"/>
        <item x="91"/>
        <item x="37"/>
        <item x="41"/>
        <item x="57"/>
        <item x="149"/>
        <item x="111"/>
        <item x="62"/>
        <item x="76"/>
        <item x="75"/>
        <item x="5"/>
        <item x="39"/>
        <item x="21"/>
        <item x="34"/>
        <item x="19"/>
        <item x="7"/>
        <item x="120"/>
        <item x="98"/>
        <item x="48"/>
        <item x="135"/>
        <item x="136"/>
        <item x="23"/>
        <item x="74"/>
        <item x="12"/>
        <item x="101"/>
        <item x="38"/>
        <item x="115"/>
        <item x="150"/>
        <item x="94"/>
        <item x="147"/>
        <item x="25"/>
        <item x="40"/>
        <item x="134"/>
        <item x="97"/>
        <item x="59"/>
        <item x="50"/>
        <item x="61"/>
        <item x="10"/>
        <item x="129"/>
        <item x="87"/>
        <item x="85"/>
        <item x="53"/>
        <item x="145"/>
        <item x="0"/>
        <item x="126"/>
        <item x="127"/>
        <item x="130"/>
        <item x="138"/>
        <item x="139"/>
        <item x="82"/>
        <item x="6"/>
        <item x="27"/>
        <item x="110"/>
        <item x="17"/>
        <item x="49"/>
        <item x="108"/>
        <item x="118"/>
        <item x="77"/>
        <item x="11"/>
        <item x="96"/>
        <item x="29"/>
        <item x="58"/>
        <item x="65"/>
        <item x="55"/>
        <item x="51"/>
        <item x="107"/>
        <item x="152"/>
        <item x="106"/>
        <item x="123"/>
        <item x="102"/>
        <item x="100"/>
        <item x="70"/>
        <item x="81"/>
        <item x="28"/>
        <item x="60"/>
        <item x="69"/>
        <item x="16"/>
        <item x="44"/>
        <item x="64"/>
        <item x="67"/>
        <item x="4"/>
        <item x="35"/>
        <item x="18"/>
        <item x="146"/>
        <item x="9"/>
        <item x="83"/>
        <item x="122"/>
        <item x="140"/>
        <item x="13"/>
        <item x="99"/>
        <item x="3"/>
        <item x="142"/>
        <item x="15"/>
        <item x="95"/>
        <item x="121"/>
        <item x="144"/>
        <item x="141"/>
        <item x="2"/>
        <item x="153"/>
        <item x="8"/>
        <item x="24"/>
        <item x="73"/>
        <item x="22"/>
        <item x="33"/>
        <item x="117"/>
        <item x="125"/>
        <item x="20"/>
        <item x="54"/>
        <item x="52"/>
        <item x="72"/>
        <item x="104"/>
        <item x="93"/>
        <item x="109"/>
        <item x="56"/>
        <item x="124"/>
        <item x="14"/>
        <item x="131"/>
        <item x="128"/>
        <item x="132"/>
        <item x="80"/>
        <item x="92"/>
        <item x="47"/>
        <item x="151"/>
        <item x="88"/>
        <item x="42"/>
        <item x="113"/>
        <item x="1"/>
        <item x="30"/>
        <item x="116"/>
        <item x="119"/>
        <item x="36"/>
        <item x="148"/>
        <item x="45"/>
        <item x="89"/>
        <item x="114"/>
        <item x="46"/>
        <item x="84"/>
        <item x="31"/>
        <item x="66"/>
        <item x="43"/>
        <item x="133"/>
        <item x="137"/>
        <item x="10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3"/>
        <item x="5"/>
        <item x="2"/>
        <item x="4"/>
        <item x="6"/>
        <item h="1" x="0"/>
        <item h="1" x="7"/>
        <item h="1" x="1"/>
        <item h="1" x="8"/>
        <item h="1" x="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8">
        <item sd="0" x="2"/>
        <item sd="0" x="23"/>
        <item sd="0" x="32"/>
        <item sd="0" x="18"/>
        <item sd="0" x="3"/>
        <item sd="0" x="10"/>
        <item sd="0" x="12"/>
        <item sd="0" x="24"/>
        <item sd="0" x="15"/>
        <item sd="0" x="33"/>
        <item sd="0" x="11"/>
        <item sd="0" x="16"/>
        <item sd="0" x="28"/>
        <item sd="0" x="5"/>
        <item sd="0" x="34"/>
        <item sd="0" x="31"/>
        <item sd="0" x="19"/>
        <item sd="0" x="21"/>
        <item sd="0" x="22"/>
        <item sd="0" x="26"/>
        <item sd="0" x="29"/>
        <item sd="0" x="36"/>
        <item sd="0" x="25"/>
        <item sd="0" x="37"/>
        <item sd="0" x="8"/>
        <item sd="0" x="0"/>
        <item sd="0" x="14"/>
        <item sd="0" x="7"/>
        <item sd="0" x="35"/>
        <item sd="0" x="6"/>
        <item sd="0" x="13"/>
        <item sd="0" x="17"/>
        <item sd="0" x="30"/>
        <item sd="0" x="4"/>
        <item sd="0" x="20"/>
        <item sd="0" x="1"/>
        <item sd="0" x="27"/>
        <item sd="0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5">
        <item x="0"/>
        <item h="1" sd="0" x="1"/>
        <item h="1" x="2"/>
        <item h="1" sd="0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3">
        <item x="0"/>
        <item sd="0" x="1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 sortType="descending">
      <items count="5">
        <item sd="0" x="0"/>
        <item x="2"/>
        <item h="1" sd="0" x="1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sd="0" x="0"/>
        <item sd="0" x="6"/>
        <item sd="0" x="3"/>
        <item sd="0" x="2"/>
        <item sd="0" x="4"/>
        <item sd="0" x="5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items count="3">
        <item x="0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9"/>
    <field x="17"/>
    <field x="32"/>
    <field x="7"/>
  </rowFields>
  <rowItems count="16">
    <i>
      <x/>
    </i>
    <i r="1">
      <x/>
    </i>
    <i r="2">
      <x/>
    </i>
    <i r="2">
      <x v="1"/>
    </i>
    <i r="3">
      <x v="3"/>
    </i>
    <i r="3">
      <x v="8"/>
    </i>
    <i r="3">
      <x v="10"/>
    </i>
    <i r="3">
      <x v="11"/>
    </i>
    <i r="3">
      <x v="20"/>
    </i>
    <i r="3">
      <x v="25"/>
    </i>
    <i r="3">
      <x v="29"/>
    </i>
    <i r="3">
      <x v="30"/>
    </i>
    <i r="3">
      <x v="31"/>
    </i>
    <i r="3">
      <x v="34"/>
    </i>
    <i>
      <x v="1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 TCH_REAL" fld="36" baseField="15" baseItem="1" numFmtId="164"/>
  </dataFields>
  <formats count="3">
    <format dxfId="35">
      <pivotArea dataOnly="0" outline="0" fieldPosition="0">
        <references count="1">
          <reference field="4294967294" count="1">
            <x v="0"/>
          </reference>
        </references>
      </pivotArea>
    </format>
    <format dxfId="34">
      <pivotArea dataOnly="0" outline="0" fieldPosition="0">
        <references count="1">
          <reference field="4294967294" count="1">
            <x v="0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6B1B357C-62F3-4D13-B8CE-10CD79505DB7}" autoFormatId="16" applyNumberFormats="0" applyBorderFormats="0" applyFontFormats="0" applyPatternFormats="0" applyAlignmentFormats="0" applyWidthHeightFormats="0">
  <queryTableRefresh nextId="12">
    <queryTableFields count="8">
      <queryTableField id="1" name="CD_OPERACAO" tableColumnId="1"/>
      <queryTableField id="2" name="CD_UPNIVEL1" tableColumnId="2"/>
      <queryTableField id="7" name="FIMMES" tableColumnId="7"/>
      <queryTableField id="8" name="CD_UPNIVEL3" tableColumnId="8"/>
      <queryTableField id="3" name="HORAS" tableColumnId="3"/>
      <queryTableField id="4" name="M3" tableColumnId="4"/>
      <queryTableField id="5" name="AREA" tableColumnId="5"/>
      <queryTableField id="6" name="MM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4082B5A2-E1C2-4A42-AF3A-6E359156E598}" autoFormatId="16" applyNumberFormats="0" applyBorderFormats="0" applyFontFormats="0" applyPatternFormats="0" applyAlignmentFormats="0" applyWidthHeightFormats="0">
  <queryTableRefresh nextId="8">
    <queryTableFields count="7">
      <queryTableField id="1" name="CD_OPERACAO" tableColumnId="1"/>
      <queryTableField id="2" name="FIMMES" tableColumnId="2"/>
      <queryTableField id="3" name="CD_UPNIVEL1" tableColumnId="3"/>
      <queryTableField id="4" name="CD_UPNIVEL3" tableColumnId="4"/>
      <queryTableField id="5" name="MM_TOTAL" tableColumnId="5"/>
      <queryTableField id="6" name="AREA" tableColumnId="6"/>
      <queryTableField id="7" name="MM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1004A6B-64E4-4995-BE6C-A32E7423DEBD}" autoFormatId="16" applyNumberFormats="0" applyBorderFormats="0" applyFontFormats="0" applyPatternFormats="0" applyAlignmentFormats="0" applyWidthHeightFormats="0">
  <queryTableRefresh nextId="52" unboundColumnsRight="17">
    <queryTableFields count="37">
      <queryTableField id="1" name="CD_UPNIVEL1" tableColumnId="1"/>
      <queryTableField id="2" name="DE_UPNIVEL1" tableColumnId="2"/>
      <queryTableField id="3" name="CD_UPNIVEL3" tableColumnId="3"/>
      <queryTableField id="29" name="NO_CORTE" tableColumnId="27"/>
      <queryTableField id="38" name="DA_ESTAGIO" tableColumnId="12"/>
      <queryTableField id="50" name="AMB_PRD" tableColumnId="37"/>
      <queryTableField id="39" name="TP_CANA" tableColumnId="13"/>
      <queryTableField id="44" name="DE_SIST_CULT" tableColumnId="32"/>
      <queryTableField id="30" name="DE_VARIED" tableColumnId="28"/>
      <queryTableField id="4" name="CD_TP_PROPR" tableColumnId="4"/>
      <queryTableField id="5" name="QT_AREA_EST" tableColumnId="5"/>
      <queryTableField id="6" name="QT_AREA_REST1" tableColumnId="6"/>
      <queryTableField id="16" name="QT_AREA_REST2" tableColumnId="16"/>
      <queryTableField id="7" name="QT_AREA_REAL" tableColumnId="7"/>
      <queryTableField id="8" name="QT_CANA_EST" tableColumnId="8"/>
      <queryTableField id="9" name="QT_CANA_REST1" tableColumnId="9"/>
      <queryTableField id="17" name="QT_CANA_REST2" tableColumnId="17"/>
      <queryTableField id="10" name="QT_CANA_REAL" tableColumnId="10"/>
      <queryTableField id="11" name="DE_FORNEC" tableColumnId="11"/>
      <queryTableField id="43" name="DT_ENC_SEM" tableColumnId="31"/>
      <queryTableField id="15" dataBound="0" tableColumnId="15"/>
      <queryTableField id="37" dataBound="0" tableColumnId="30"/>
      <queryTableField id="28" dataBound="0" tableColumnId="26"/>
      <queryTableField id="25" dataBound="0" tableColumnId="21"/>
      <queryTableField id="24" dataBound="0" tableColumnId="22"/>
      <queryTableField id="23" dataBound="0" tableColumnId="23"/>
      <queryTableField id="20" dataBound="0" tableColumnId="18"/>
      <queryTableField id="21" dataBound="0" tableColumnId="19"/>
      <queryTableField id="22" dataBound="0" tableColumnId="20"/>
      <queryTableField id="36" dataBound="0" tableColumnId="25"/>
      <queryTableField id="35" dataBound="0" tableColumnId="24"/>
      <queryTableField id="33" dataBound="0" tableColumnId="29"/>
      <queryTableField id="42" dataBound="0" tableColumnId="14"/>
      <queryTableField id="46" dataBound="0" tableColumnId="33"/>
      <queryTableField id="47" dataBound="0" tableColumnId="34"/>
      <queryTableField id="48" dataBound="0" tableColumnId="35"/>
      <queryTableField id="49" dataBound="0" tableColumnId="3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P_CANA" xr10:uid="{33BEE3A2-64D2-4A54-B0BA-99F29CB902D4}" sourceName="TP_CANA">
  <pivotTables>
    <pivotTable tabId="3" name="Tabela dinâmica1"/>
    <pivotTable tabId="4" name="Tabela dinâmica1"/>
    <pivotTable tabId="5" name="Tabela dinâmica2"/>
    <pivotTable tabId="7" name="Tabela dinâmica1"/>
    <pivotTable tabId="9" name="Tabela dinâmica1"/>
  </pivotTables>
  <data>
    <tabular pivotCacheId="239879180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_FORNEC" xr10:uid="{DADB3878-4375-4A66-B178-65F13550DC7D}" sourceName="DE_FORNEC">
  <pivotTables>
    <pivotTable tabId="3" name="Tabela dinâmica1"/>
    <pivotTable tabId="4" name="Tabela dinâmica1"/>
    <pivotTable tabId="5" name="Tabela dinâmica2"/>
    <pivotTable tabId="7" name="Tabela dinâmica1"/>
    <pivotTable tabId="9" name="Tabela dinâmica1"/>
  </pivotTables>
  <data>
    <tabular pivotCacheId="239879180">
      <items count="4">
        <i x="1" s="1"/>
        <i x="3" s="1"/>
        <i x="0" s="1"/>
        <i x="2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EADA" xr10:uid="{5A711B3E-0D42-4FB3-958D-9F883F4717E8}" sourceName="GEADA">
  <pivotTables>
    <pivotTable tabId="3" name="Tabela dinâmica1"/>
    <pivotTable tabId="4" name="Tabela dinâmica1"/>
    <pivotTable tabId="5" name="Tabela dinâmica2"/>
    <pivotTable tabId="7" name="Tabela dinâmica1"/>
    <pivotTable tabId="9" name="Tabela dinâmica1"/>
  </pivotTables>
  <data>
    <tabular pivotCacheId="239879180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P_CANA1" xr10:uid="{69857012-5D58-4DE3-B15C-443FE54A36A0}" sourceName="TP_CANA">
  <pivotTables>
    <pivotTable tabId="12" name="Tabela dinâmica1"/>
  </pivotTables>
  <data>
    <tabular pivotCacheId="239879180">
      <items count="2"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_FORNEC1" xr10:uid="{3DD34F7C-9E87-4612-A2F8-12DBCAD6B1C9}" sourceName="DE_FORNEC">
  <pivotTables>
    <pivotTable tabId="12" name="Tabela dinâmica1"/>
  </pivotTables>
  <data>
    <tabular pivotCacheId="239879180">
      <items count="4">
        <i x="1"/>
        <i x="3"/>
        <i x="0" s="1"/>
        <i x="2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EADA1" xr10:uid="{BE922E9F-306C-4C22-B1D8-FA802BEA4C7C}" sourceName="GEADA">
  <pivotTables>
    <pivotTable tabId="12" name="Tabela dinâmica1"/>
  </pivotTables>
  <data>
    <tabular pivotCacheId="239879180">
      <items count="2">
        <i x="1" s="1"/>
        <i x="0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RRIG_DESCARTE" xr10:uid="{D4884DC5-1CF2-4110-B0F8-83781327FA86}" sourceName="IRRIG_DESCARTE">
  <pivotTables>
    <pivotTable tabId="12" name="Tabela dinâmica1"/>
  </pivotTables>
  <data>
    <tabular pivotCacheId="239879180">
      <items count="2">
        <i x="0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P_CANA 2" xr10:uid="{1E46B59A-1C62-45FE-B7C5-17173205E777}" cache="SegmentaçãodeDados_TP_CANA" caption="TP_CANA" style="SlicerStyleDark6" rowHeight="247650"/>
  <slicer name="DE_FORNEC 2" xr10:uid="{B696C2A2-56FD-49F3-AEA1-07CA17F0E8A6}" cache="SegmentaçãodeDados_DE_FORNEC" caption="DE_FORNEC" columnCount="2" style="SlicerStyleDark6" rowHeight="247650"/>
  <slicer name="GEADA 2" xr10:uid="{9F9EEC36-C5D9-4C20-9BAA-C1586E3300FA}" cache="SegmentaçãodeDados_GEADA" caption="GEADA" columnCount="2" style="SlicerStyleDark6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P_CANA 1" xr10:uid="{9B2777FC-EC92-4FF9-9ADF-E407F57BC753}" cache="SegmentaçãodeDados_TP_CANA" caption="TP_CANA" style="SlicerStyleDark6" rowHeight="247650"/>
  <slicer name="DE_FORNEC 1" xr10:uid="{F85198C9-462F-4657-B6C0-464FD423F23C}" cache="SegmentaçãodeDados_DE_FORNEC" caption="DE_FORNEC" columnCount="2" style="SlicerStyleDark6" rowHeight="247650"/>
  <slicer name="GEADA 1" xr10:uid="{61FBB60D-044E-45F2-AD55-DD87E2B9A5BE}" cache="SegmentaçãodeDados_GEADA" caption="GEADA" columnCount="2" style="SlicerStyleDark6" rowHeight="2476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P_CANA" xr10:uid="{7189A4BA-54A1-44CD-9ADD-F4A17766F272}" cache="SegmentaçãodeDados_TP_CANA" caption="TP_CANA" style="SlicerStyleDark6" rowHeight="247650"/>
  <slicer name="DE_FORNEC" xr10:uid="{433859CC-9B85-42ED-B491-D6DAC3D293FC}" cache="SegmentaçãodeDados_DE_FORNEC" caption="DE_FORNEC" columnCount="2" style="SlicerStyleDark6" rowHeight="247650"/>
  <slicer name="GEADA" xr10:uid="{FB57FA78-73BF-4623-A47C-4DD914B5B06A}" cache="SegmentaçãodeDados_GEADA" caption="GEADA" columnCount="2" style="SlicerStyleDark6" rowHeight="2476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P_CANA 3" xr10:uid="{9F368854-06F7-45D2-B2C2-1A63ADD94B77}" cache="SegmentaçãodeDados_TP_CANA" caption="TP_CANA" style="SlicerStyleDark6" rowHeight="247650"/>
  <slicer name="DE_FORNEC 3" xr10:uid="{DBFDD722-EAA2-48D8-824F-1078212F62D5}" cache="SegmentaçãodeDados_DE_FORNEC" caption="DE_FORNEC" columnCount="2" style="SlicerStyleDark6" rowHeight="247650"/>
  <slicer name="GEADA 3" xr10:uid="{401289E0-AF7D-4E3C-8D35-61485FC18D64}" cache="SegmentaçãodeDados_GEADA" caption="GEADA" columnCount="2" style="SlicerStyleDark6" rowHeight="24765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P_CANA 4" xr10:uid="{6368E2CC-C493-415B-A625-AD62748D4DE2}" cache="SegmentaçãodeDados_TP_CANA" caption="TP_CANA" style="SlicerStyleDark6" rowHeight="247650"/>
  <slicer name="DE_FORNEC 4" xr10:uid="{40832852-FC81-4A9F-9D37-2129615DF4FF}" cache="SegmentaçãodeDados_DE_FORNEC" caption="DE_FORNEC" columnCount="2" style="SlicerStyleDark6" rowHeight="247650"/>
  <slicer name="GEADA 4" xr10:uid="{45E61E59-5D11-4ECC-A817-2663CC597316}" cache="SegmentaçãodeDados_GEADA" caption="GEADA" columnCount="2" style="SlicerStyleDark6" rowHeight="24765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P_CANA 5" xr10:uid="{D24D1A67-8644-42AD-A14E-4BA03C536AD7}" cache="SegmentaçãodeDados_TP_CANA1" caption="TP_CANA" style="SlicerStyleDark6" rowHeight="247650"/>
  <slicer name="DE_FORNEC 5" xr10:uid="{DBDBC0C2-7EFB-4AC8-8BB6-1696D47CBC03}" cache="SegmentaçãodeDados_DE_FORNEC1" caption="DE_FORNEC" columnCount="2" style="SlicerStyleDark6" rowHeight="247650"/>
  <slicer name="GEADA 5" xr10:uid="{2D940101-864F-4F1D-A02F-1259E7154B69}" cache="SegmentaçãodeDados_GEADA1" caption="GEADA" columnCount="2" style="SlicerStyleDark6" rowHeight="247650"/>
  <slicer name="IRRIG_DESCARTE" xr10:uid="{BE800A6F-E294-4991-AFFA-1A1C11CB4253}" cache="SegmentaçãodeDados_IRRIG_DESCARTE" caption="IRRIG_DESCARTE" columnCount="2" style="SlicerStyleDark6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7C99C5-1FCC-4CFC-848F-EBF7E84AF53A}" name="IRRIGAÇÃO" displayName="IRRIGAÇÃO" ref="R1:Y118" tableType="queryTable" totalsRowShown="0">
  <autoFilter ref="R1:Y118" xr:uid="{247C99C5-1FCC-4CFC-848F-EBF7E84AF53A}"/>
  <tableColumns count="8">
    <tableColumn id="1" xr3:uid="{0E80692F-AD76-4393-AF8E-AAE87DFD1FA3}" uniqueName="1" name="CD_OPERACAO" queryTableFieldId="1"/>
    <tableColumn id="2" xr3:uid="{6DD175F8-04E2-44D7-9CD9-618FAAA7D918}" uniqueName="2" name="CD_UPNIVEL1" queryTableFieldId="2"/>
    <tableColumn id="7" xr3:uid="{235841A6-8ED4-4955-99A8-471156A1BB76}" uniqueName="7" name="FIMMES" queryTableFieldId="7" dataDxfId="83"/>
    <tableColumn id="8" xr3:uid="{5DAECC00-F7BF-43BA-A5B4-0519B093F55B}" uniqueName="8" name="CD_UPNIVEL3" queryTableFieldId="8"/>
    <tableColumn id="3" xr3:uid="{9D9DA058-3A0B-487F-8E41-BBD9FBB4B9D0}" uniqueName="3" name="HORAS" queryTableFieldId="3" dataDxfId="82"/>
    <tableColumn id="4" xr3:uid="{9A500AE6-16A4-4D3F-B958-A85EE2989914}" uniqueName="4" name="M3" queryTableFieldId="4" dataDxfId="81"/>
    <tableColumn id="5" xr3:uid="{97289918-9862-4BF4-9CE5-30C1507E315F}" uniqueName="5" name="AREA" queryTableFieldId="5" dataDxfId="80"/>
    <tableColumn id="6" xr3:uid="{8AD1A5E7-C0D4-45AE-B338-F101C9DF06FE}" uniqueName="6" name="MM" queryTableFieldId="6" dataDxfId="7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A280B2-2822-45AE-9C21-68FAC1629367}" name="IRRIGAÇÃO_BLEND" displayName="IRRIGAÇÃO_BLEND" ref="AF1:AL52" tableType="queryTable" totalsRowShown="0">
  <autoFilter ref="AF1:AL52" xr:uid="{6EA280B2-2822-45AE-9C21-68FAC1629367}"/>
  <tableColumns count="7">
    <tableColumn id="1" xr3:uid="{63C2E774-C060-487E-9BDD-B779708784A7}" uniqueName="1" name="CD_OPERACAO" queryTableFieldId="1"/>
    <tableColumn id="2" xr3:uid="{7761E48B-6245-40D4-A078-E3A0A9988288}" uniqueName="2" name="FIMMES" queryTableFieldId="2" dataDxfId="78"/>
    <tableColumn id="3" xr3:uid="{3F2749C6-0265-4B7A-842A-27DA9A3F91A1}" uniqueName="3" name="CD_UPNIVEL1" queryTableFieldId="3"/>
    <tableColumn id="4" xr3:uid="{9C9C672C-8210-4748-85DA-D5F682A5686B}" uniqueName="4" name="CD_UPNIVEL3" queryTableFieldId="4"/>
    <tableColumn id="5" xr3:uid="{A7218799-F74A-404D-A4B6-8A78C7E6F530}" uniqueName="5" name="MM_TOTAL" queryTableFieldId="5"/>
    <tableColumn id="6" xr3:uid="{E4B60188-E5E0-418B-876C-F331282923F2}" uniqueName="6" name="AREA" queryTableFieldId="6"/>
    <tableColumn id="7" xr3:uid="{A80D60DA-3DD7-4BA7-9005-38C0020E182A}" uniqueName="7" name="MM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4DC343-D38D-433F-905A-E2E17954EBD7}" name="ESTIMATIVA" displayName="ESTIMATIVA" ref="A1:AK2107" tableType="queryTable" totalsRowShown="0" headerRowDxfId="77">
  <autoFilter ref="A1:AK2107" xr:uid="{D84DC343-D38D-433F-905A-E2E17954EBD7}"/>
  <tableColumns count="37">
    <tableColumn id="1" xr3:uid="{EAAC1CB0-F874-4D4C-ABF3-385DD0148D4A}" uniqueName="1" name="CD_UPNIVEL1" queryTableFieldId="1"/>
    <tableColumn id="2" xr3:uid="{CB46B093-50BA-4D09-A580-151A35229C3C}" uniqueName="2" name="DE_UPNIVEL1" queryTableFieldId="2" dataDxfId="76"/>
    <tableColumn id="3" xr3:uid="{0873E3A9-EEB6-4305-94F4-8F7D33DA6FC7}" uniqueName="3" name="CD_UPNIVEL3" queryTableFieldId="3"/>
    <tableColumn id="27" xr3:uid="{33FED101-8F1B-49B5-B4E9-17FE2B529784}" uniqueName="27" name="NO_CORTE" queryTableFieldId="29"/>
    <tableColumn id="12" xr3:uid="{5202B05D-4B50-4DE1-9965-56853E2ED388}" uniqueName="12" name="DA_ESTAGIO" queryTableFieldId="38" dataDxfId="75"/>
    <tableColumn id="37" xr3:uid="{22F8ED59-E24A-47A6-A794-CD8FDEDAC272}" uniqueName="37" name="AMB_PRD" queryTableFieldId="50" dataDxfId="26"/>
    <tableColumn id="13" xr3:uid="{ADA6F7EA-BCF1-4562-A146-4A6D415E854A}" uniqueName="13" name="TP_CANA" queryTableFieldId="39" dataDxfId="74"/>
    <tableColumn id="32" xr3:uid="{087B1B41-EF76-4E5B-8FDF-F5D263F02417}" uniqueName="32" name="DE_SIST_CULT" queryTableFieldId="44" dataDxfId="73"/>
    <tableColumn id="28" xr3:uid="{2AB90DCD-D0F0-4917-B86A-961661A20576}" uniqueName="28" name="DE_VARIED" queryTableFieldId="30" dataDxfId="72"/>
    <tableColumn id="4" xr3:uid="{3A361031-2F4B-4FD9-961E-381CFED92C00}" uniqueName="4" name="CD_TP_PROPR" queryTableFieldId="4" dataDxfId="71"/>
    <tableColumn id="5" xr3:uid="{26D2C262-2533-479A-AD1E-CB6492912590}" uniqueName="5" name="QT_AREA_EST" queryTableFieldId="5" dataDxfId="25"/>
    <tableColumn id="6" xr3:uid="{DF1DD46D-59B4-43F8-8FFD-83167EAE36E2}" uniqueName="6" name="QT_AREA_REST1" queryTableFieldId="6" dataDxfId="24"/>
    <tableColumn id="16" xr3:uid="{8F62F3B2-0353-4AE3-8835-20C91709CF74}" uniqueName="16" name="QT_AREA_REST2" queryTableFieldId="16" dataDxfId="23"/>
    <tableColumn id="7" xr3:uid="{E3A16816-578F-4019-83B8-505CBA5DC54C}" uniqueName="7" name="QT_AREA_REAL" queryTableFieldId="7" dataDxfId="22"/>
    <tableColumn id="8" xr3:uid="{FB6E14E6-6102-482C-BCA5-D4FC270266CC}" uniqueName="8" name="QT_CANA_EST" queryTableFieldId="8" dataDxfId="21"/>
    <tableColumn id="9" xr3:uid="{C284004A-98D9-42F7-9B01-FC5F9C345701}" uniqueName="9" name="QT_CANA_REST1" queryTableFieldId="9" dataDxfId="20"/>
    <tableColumn id="17" xr3:uid="{6159FD93-6EB0-448D-A0C3-7C05A0DC03EA}" uniqueName="17" name="QT_CANA_REST2" queryTableFieldId="17" dataDxfId="19"/>
    <tableColumn id="10" xr3:uid="{A4EBBC3C-8111-42CA-91F2-7C12E1397C56}" uniqueName="10" name="QT_CANA_REAL" queryTableFieldId="10" dataDxfId="18"/>
    <tableColumn id="11" xr3:uid="{E619E41B-BFB1-4F6C-8DA6-163E0E39DEB2}" uniqueName="11" name="DE_FORNEC" queryTableFieldId="11" dataDxfId="70"/>
    <tableColumn id="31" xr3:uid="{AF3E4B45-6B4B-4E9B-AE87-F09A7BDB182C}" uniqueName="31" name="DT_ENC_SEM" queryTableFieldId="43" dataDxfId="17"/>
    <tableColumn id="15" xr3:uid="{366F0129-C532-484A-8C52-16A1F34D75FB}" uniqueName="15" name="STATUS" queryTableFieldId="15" dataDxfId="16">
      <calculatedColumnFormula>IF(ESTIMATIVA[[#This Row],[QT_AREA_REAL]]&gt;0,"1- Colhido","2- à Colher")</calculatedColumnFormula>
    </tableColumn>
    <tableColumn id="30" xr3:uid="{776B9BAA-A82F-409F-886B-7746A2ECEAFD}" uniqueName="30" name="TP_REST1" queryTableFieldId="37" dataDxfId="15">
      <calculatedColumnFormula>IF(ESTIMATIVA[[#This Row],[QT_AREA_REST1]]&gt;0,"Reestimativa 1",IF(ESTIMATIVA[[#This Row],[QT_AREA_REAL]]=0,"Reestimativa 1","Realizado"))</calculatedColumnFormula>
    </tableColumn>
    <tableColumn id="26" xr3:uid="{5FAC3F2E-A1B0-489D-A1D3-A804A78B751C}" uniqueName="26" name="TP_REST2" queryTableFieldId="28" dataDxfId="14">
      <calculatedColumnFormula>IF(ESTIMATIVA[[#This Row],[QT_AREA_REST2]]&gt;0,"Reestimativa 2",IF(ESTIMATIVA[[#This Row],[QT_AREA_REAL]]=0,"Reestimativa 2","Realizado"))</calculatedColumnFormula>
    </tableColumn>
    <tableColumn id="21" xr3:uid="{8B3CC1C2-5CFC-4A58-B2AC-42B901AAD07D}" uniqueName="21" name="AREA_EST" queryTableFieldId="25" dataDxfId="13">
      <calculatedColumnFormula>ESTIMATIVA[[#This Row],[QT_AREA_EST]]</calculatedColumnFormula>
    </tableColumn>
    <tableColumn id="22" xr3:uid="{22CEEAAD-17E3-4DD5-9728-198492C48D76}" uniqueName="22" name="AREA_REST1" queryTableFieldId="24" dataDxfId="12">
      <calculatedColumnFormula>IF(ESTIMATIVA[[#This Row],[QT_AREA_REST1]]&gt;0,ESTIMATIVA[[#This Row],[QT_AREA_REST1]],
  IF(ESTIMATIVA[[#This Row],[QT_AREA_REAL]]&gt;0,ESTIMATIVA[[#This Row],[QT_AREA_REAL]],ESTIMATIVA[[#This Row],[QT_AREA_EST]]))</calculatedColumnFormula>
    </tableColumn>
    <tableColumn id="23" xr3:uid="{3FC242F7-7530-4F99-ACF4-759FA9A4B421}" uniqueName="23" name="AREA_REST2" queryTableFieldId="23" dataDxfId="11">
      <calculatedColumnFormula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calculatedColumnFormula>
    </tableColumn>
    <tableColumn id="18" xr3:uid="{8AD9907A-1E83-481F-AA2E-2C264E8B70B4}" uniqueName="18" name="VOL_EST" queryTableFieldId="20" dataDxfId="10">
      <calculatedColumnFormula>ESTIMATIVA[[#This Row],[QT_CANA_EST]]</calculatedColumnFormula>
    </tableColumn>
    <tableColumn id="19" xr3:uid="{A2D6650E-5704-4243-9455-A8A06D52F200}" uniqueName="19" name="VOL_REST1" queryTableFieldId="21" dataDxfId="9">
      <calculatedColumnFormula>IF(ESTIMATIVA[[#This Row],[QT_CANA_REST1]]&gt;0,ESTIMATIVA[[#This Row],[QT_CANA_REST1]],
  IF(ESTIMATIVA[[#This Row],[QT_CANA_REAL]]&gt;0,ESTIMATIVA[[#This Row],[QT_CANA_REAL]],ESTIMATIVA[[#This Row],[QT_CANA_EST]]))</calculatedColumnFormula>
    </tableColumn>
    <tableColumn id="20" xr3:uid="{3ABAF859-BA1A-4A46-9917-91EF3CE6AAAA}" uniqueName="20" name="VOL_REST2" queryTableFieldId="22" dataDxfId="8">
      <calculatedColumnFormula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calculatedColumnFormula>
    </tableColumn>
    <tableColumn id="25" xr3:uid="{5B69E67F-4B00-4974-AC87-77A4EF81165B}" uniqueName="25" name="PROJ_VOLEST" queryTableFieldId="36" dataDxfId="7">
      <calculatedColumnFormula>IF(ESTIMATIVA[[#This Row],[QT_AREA_REAL]]&gt;0,ESTIMATIVA[[#This Row],[QT_CANA_REAL]],ESTIMATIVA[[#This Row],[QT_CANA_EST]])</calculatedColumnFormula>
    </tableColumn>
    <tableColumn id="24" xr3:uid="{2E0426AD-38E0-4785-AA31-BA5DBECB4100}" uniqueName="24" name="PROJ_VOLREST1" queryTableFieldId="35" dataDxfId="6">
      <calculatedColumnFormula>IF(ESTIMATIVA[[#This Row],[QT_AREA_REAL]]&gt;0,ESTIMATIVA[[#This Row],[QT_CANA_REAL]],ESTIMATIVA[[#This Row],[QT_CANA_REST1]])</calculatedColumnFormula>
    </tableColumn>
    <tableColumn id="29" xr3:uid="{ACED4E0E-620A-429E-B0D6-87429DC50514}" uniqueName="29" name="PROJ_VOLREST2" queryTableFieldId="33" dataDxfId="5">
      <calculatedColumnFormula>IF(ESTIMATIVA[[#This Row],[QT_AREA_REAL]]&gt;0,ESTIMATIVA[[#This Row],[QT_CANA_REAL]],ESTIMATIVA[[#This Row],[QT_CANA_REST2]])</calculatedColumnFormula>
    </tableColumn>
    <tableColumn id="14" xr3:uid="{D86967C6-FABF-42E2-95B3-861319B41565}" uniqueName="14" name="GEADA" queryTableFieldId="42" dataDxfId="4">
      <calculatedColumnFormula>IF(COUNTIFS(GEADA!A:A,VALUE(ESTIMATIVA[[#This Row],[CD_UPNIVEL1]]&amp;TEXT(ESTIMATIVA[[#This Row],[CD_UPNIVEL3]],"0000")))&gt;0,"S","N")</calculatedColumnFormula>
    </tableColumn>
    <tableColumn id="33" xr3:uid="{4C11CD44-5204-41E8-80BA-DED0E58EF0CE}" uniqueName="33" name="TP_CULTIVO" queryTableFieldId="46" dataDxfId="3">
      <calculatedColumnFormula>IF(COUNTIFS(IRRIGADO!C:C,ESTIMATIVA[[#This Row],[CD_UPNIVEL1]],IRRIGADO!E:E,ESTIMATIVA[[#This Row],[CD_UPNIVEL3]])&gt;0,"Irrigado",IF(ESTIMATIVA[[#This Row],[DE_SIST_CULT]]="Mineral","Sequeiro",ESTIMATIVA[[#This Row],[DE_SIST_CULT]]))</calculatedColumnFormula>
    </tableColumn>
    <tableColumn id="34" xr3:uid="{A2662F02-8962-4992-BBAF-AE317F1FF292}" uniqueName="34" name="MÊS_IRRIG" queryTableFieldId="47" dataDxfId="2">
      <calculatedColumnFormula>IF(ESTIMATIVA[[#This Row],[TP_CULTIVO]]="Irrigado",_xlfn.MAXIFS(IRRIGADO!J:J,IRRIGADO!C:C,ESTIMATIVA[[#This Row],[CD_UPNIVEL1]],IRRIGADO!E:E,ESTIMATIVA[[#This Row],[CD_UPNIVEL3]]),"")</calculatedColumnFormula>
    </tableColumn>
    <tableColumn id="35" xr3:uid="{525C9F43-F058-4A69-BE64-E1F0B74DA3A7}" uniqueName="35" name="MM_TOTAL" queryTableFieldId="48" dataDxfId="1">
      <calculatedColumnFormula>IF(ESTIMATIVA[[#This Row],[TP_CULTIVO]]&lt;&gt;"Irrigado",0,AVERAGEIFS(IRRIGADO!G:G,IRRIGADO!C:C,ESTIMATIVA[[#This Row],[CD_UPNIVEL1]],IRRIGADO!E:E,ESTIMATIVA[[#This Row],[CD_UPNIVEL3]])*ESTIMATIVA[[#This Row],[QT_AREA_REAL]])</calculatedColumnFormula>
    </tableColumn>
    <tableColumn id="36" xr3:uid="{175E130B-EFA0-433B-9A5A-E39CDF1D5E9F}" uniqueName="36" name="IRRIG_DESCARTE" queryTableFieldId="49" dataDxfId="0">
      <calculatedColumnFormula>COUNTIFS(Apresentação!$E$23:$E$29,ESTIMATIVA[[#This Row],[CD_UPNIVEL1]])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E78D2-506A-46EE-BBFF-45EA9137B453}">
  <dimension ref="A1:E180"/>
  <sheetViews>
    <sheetView workbookViewId="0">
      <pane ySplit="1" topLeftCell="A2" activePane="bottomLeft" state="frozen"/>
      <selection pane="bottomLeft" activeCell="G1" sqref="G1"/>
    </sheetView>
  </sheetViews>
  <sheetFormatPr defaultRowHeight="14.4" x14ac:dyDescent="0.3"/>
  <cols>
    <col min="1" max="1" width="10" bestFit="1" customWidth="1"/>
    <col min="2" max="2" width="6" bestFit="1" customWidth="1"/>
    <col min="3" max="3" width="20.33203125" bestFit="1" customWidth="1"/>
    <col min="4" max="4" width="4" bestFit="1" customWidth="1"/>
  </cols>
  <sheetData>
    <row r="1" spans="1:5" s="12" customFormat="1" x14ac:dyDescent="0.3">
      <c r="A1" s="12" t="s">
        <v>279</v>
      </c>
      <c r="B1" s="12" t="s">
        <v>258</v>
      </c>
      <c r="C1" s="12" t="s">
        <v>256</v>
      </c>
      <c r="D1" s="12" t="s">
        <v>257</v>
      </c>
      <c r="E1" s="12" t="s">
        <v>285</v>
      </c>
    </row>
    <row r="2" spans="1:5" x14ac:dyDescent="0.3">
      <c r="A2">
        <f t="shared" ref="A2:A33" si="0">VALUE(B2&amp;TEXT(D2,"0000"))</f>
        <v>100050001</v>
      </c>
      <c r="B2">
        <v>10005</v>
      </c>
      <c r="C2" t="s">
        <v>121</v>
      </c>
      <c r="D2">
        <v>1</v>
      </c>
      <c r="E2">
        <v>1</v>
      </c>
    </row>
    <row r="3" spans="1:5" x14ac:dyDescent="0.3">
      <c r="A3">
        <f t="shared" si="0"/>
        <v>100050002</v>
      </c>
      <c r="B3">
        <v>10005</v>
      </c>
      <c r="C3" t="s">
        <v>121</v>
      </c>
      <c r="D3">
        <v>2</v>
      </c>
      <c r="E3">
        <v>1</v>
      </c>
    </row>
    <row r="4" spans="1:5" x14ac:dyDescent="0.3">
      <c r="A4">
        <f t="shared" si="0"/>
        <v>101000001</v>
      </c>
      <c r="B4">
        <v>10100</v>
      </c>
      <c r="C4" t="s">
        <v>122</v>
      </c>
      <c r="D4">
        <v>1</v>
      </c>
      <c r="E4">
        <v>1</v>
      </c>
    </row>
    <row r="5" spans="1:5" x14ac:dyDescent="0.3">
      <c r="A5">
        <f t="shared" si="0"/>
        <v>101000002</v>
      </c>
      <c r="B5">
        <v>10100</v>
      </c>
      <c r="C5" t="s">
        <v>122</v>
      </c>
      <c r="D5">
        <v>2</v>
      </c>
      <c r="E5">
        <v>1</v>
      </c>
    </row>
    <row r="6" spans="1:5" x14ac:dyDescent="0.3">
      <c r="A6">
        <f t="shared" si="0"/>
        <v>103100002</v>
      </c>
      <c r="B6">
        <v>10310</v>
      </c>
      <c r="C6" t="s">
        <v>11</v>
      </c>
      <c r="D6">
        <v>2</v>
      </c>
      <c r="E6">
        <v>1</v>
      </c>
    </row>
    <row r="7" spans="1:5" x14ac:dyDescent="0.3">
      <c r="A7">
        <f t="shared" si="0"/>
        <v>103100003</v>
      </c>
      <c r="B7">
        <v>10310</v>
      </c>
      <c r="C7" t="s">
        <v>11</v>
      </c>
      <c r="D7">
        <v>3</v>
      </c>
      <c r="E7">
        <v>1</v>
      </c>
    </row>
    <row r="8" spans="1:5" x14ac:dyDescent="0.3">
      <c r="A8">
        <f t="shared" si="0"/>
        <v>103100004</v>
      </c>
      <c r="B8">
        <v>10310</v>
      </c>
      <c r="C8" t="s">
        <v>11</v>
      </c>
      <c r="D8">
        <v>4</v>
      </c>
      <c r="E8">
        <v>1</v>
      </c>
    </row>
    <row r="9" spans="1:5" x14ac:dyDescent="0.3">
      <c r="A9">
        <f t="shared" si="0"/>
        <v>103100005</v>
      </c>
      <c r="B9">
        <v>10310</v>
      </c>
      <c r="C9" t="s">
        <v>11</v>
      </c>
      <c r="D9">
        <v>5</v>
      </c>
      <c r="E9">
        <v>1</v>
      </c>
    </row>
    <row r="10" spans="1:5" x14ac:dyDescent="0.3">
      <c r="A10">
        <f t="shared" si="0"/>
        <v>103100006</v>
      </c>
      <c r="B10">
        <v>10310</v>
      </c>
      <c r="C10" t="s">
        <v>11</v>
      </c>
      <c r="D10">
        <v>6</v>
      </c>
      <c r="E10">
        <v>1</v>
      </c>
    </row>
    <row r="11" spans="1:5" x14ac:dyDescent="0.3">
      <c r="A11">
        <f t="shared" si="0"/>
        <v>103100007</v>
      </c>
      <c r="B11">
        <v>10310</v>
      </c>
      <c r="C11" t="s">
        <v>11</v>
      </c>
      <c r="D11">
        <v>7</v>
      </c>
      <c r="E11">
        <v>1</v>
      </c>
    </row>
    <row r="12" spans="1:5" x14ac:dyDescent="0.3">
      <c r="A12">
        <f t="shared" si="0"/>
        <v>103110007</v>
      </c>
      <c r="B12">
        <v>10311</v>
      </c>
      <c r="C12" t="s">
        <v>13</v>
      </c>
      <c r="D12">
        <v>7</v>
      </c>
      <c r="E12">
        <v>1</v>
      </c>
    </row>
    <row r="13" spans="1:5" x14ac:dyDescent="0.3">
      <c r="A13">
        <f t="shared" si="0"/>
        <v>103110008</v>
      </c>
      <c r="B13">
        <v>10311</v>
      </c>
      <c r="C13" t="s">
        <v>13</v>
      </c>
      <c r="D13">
        <v>8</v>
      </c>
      <c r="E13">
        <v>2</v>
      </c>
    </row>
    <row r="14" spans="1:5" x14ac:dyDescent="0.3">
      <c r="A14">
        <f t="shared" si="0"/>
        <v>103110012</v>
      </c>
      <c r="B14">
        <v>10311</v>
      </c>
      <c r="C14" t="s">
        <v>13</v>
      </c>
      <c r="D14">
        <v>12</v>
      </c>
      <c r="E14">
        <v>1</v>
      </c>
    </row>
    <row r="15" spans="1:5" x14ac:dyDescent="0.3">
      <c r="A15">
        <f t="shared" si="0"/>
        <v>103110013</v>
      </c>
      <c r="B15">
        <v>10311</v>
      </c>
      <c r="C15" t="s">
        <v>13</v>
      </c>
      <c r="D15">
        <v>13</v>
      </c>
      <c r="E15">
        <v>1</v>
      </c>
    </row>
    <row r="16" spans="1:5" x14ac:dyDescent="0.3">
      <c r="A16">
        <f t="shared" si="0"/>
        <v>103110014</v>
      </c>
      <c r="B16">
        <v>10311</v>
      </c>
      <c r="C16" t="s">
        <v>13</v>
      </c>
      <c r="D16">
        <v>14</v>
      </c>
      <c r="E16">
        <v>1</v>
      </c>
    </row>
    <row r="17" spans="1:5" x14ac:dyDescent="0.3">
      <c r="A17">
        <f t="shared" si="0"/>
        <v>103110049</v>
      </c>
      <c r="B17">
        <v>10311</v>
      </c>
      <c r="C17" t="s">
        <v>13</v>
      </c>
      <c r="D17">
        <v>49</v>
      </c>
      <c r="E17">
        <v>1</v>
      </c>
    </row>
    <row r="18" spans="1:5" x14ac:dyDescent="0.3">
      <c r="A18">
        <f t="shared" si="0"/>
        <v>103110227</v>
      </c>
      <c r="B18">
        <v>10311</v>
      </c>
      <c r="C18" t="s">
        <v>13</v>
      </c>
      <c r="D18">
        <v>227</v>
      </c>
      <c r="E18">
        <v>1</v>
      </c>
    </row>
    <row r="19" spans="1:5" x14ac:dyDescent="0.3">
      <c r="A19">
        <f t="shared" si="0"/>
        <v>103110228</v>
      </c>
      <c r="B19">
        <v>10311</v>
      </c>
      <c r="C19" t="s">
        <v>13</v>
      </c>
      <c r="D19">
        <v>228</v>
      </c>
      <c r="E19">
        <v>1</v>
      </c>
    </row>
    <row r="20" spans="1:5" x14ac:dyDescent="0.3">
      <c r="A20">
        <f t="shared" si="0"/>
        <v>103110229</v>
      </c>
      <c r="B20">
        <v>10311</v>
      </c>
      <c r="C20" t="s">
        <v>13</v>
      </c>
      <c r="D20">
        <v>229</v>
      </c>
      <c r="E20">
        <v>2</v>
      </c>
    </row>
    <row r="21" spans="1:5" x14ac:dyDescent="0.3">
      <c r="A21">
        <f t="shared" si="0"/>
        <v>103250001</v>
      </c>
      <c r="B21">
        <v>10325</v>
      </c>
      <c r="C21" t="s">
        <v>15</v>
      </c>
      <c r="D21">
        <v>1</v>
      </c>
      <c r="E21">
        <v>1</v>
      </c>
    </row>
    <row r="22" spans="1:5" x14ac:dyDescent="0.3">
      <c r="A22">
        <f t="shared" si="0"/>
        <v>103250004</v>
      </c>
      <c r="B22">
        <v>10325</v>
      </c>
      <c r="C22" t="s">
        <v>15</v>
      </c>
      <c r="D22">
        <v>4</v>
      </c>
      <c r="E22">
        <v>2</v>
      </c>
    </row>
    <row r="23" spans="1:5" x14ac:dyDescent="0.3">
      <c r="A23">
        <f t="shared" si="0"/>
        <v>103270007</v>
      </c>
      <c r="B23">
        <v>10327</v>
      </c>
      <c r="C23" t="s">
        <v>16</v>
      </c>
      <c r="D23">
        <v>7</v>
      </c>
      <c r="E23">
        <v>1</v>
      </c>
    </row>
    <row r="24" spans="1:5" x14ac:dyDescent="0.3">
      <c r="A24">
        <f t="shared" si="0"/>
        <v>103270008</v>
      </c>
      <c r="B24">
        <v>10327</v>
      </c>
      <c r="C24" t="s">
        <v>16</v>
      </c>
      <c r="D24">
        <v>8</v>
      </c>
      <c r="E24">
        <v>1</v>
      </c>
    </row>
    <row r="25" spans="1:5" x14ac:dyDescent="0.3">
      <c r="A25">
        <f t="shared" si="0"/>
        <v>103280011</v>
      </c>
      <c r="B25">
        <v>10328</v>
      </c>
      <c r="C25" t="s">
        <v>17</v>
      </c>
      <c r="D25">
        <v>11</v>
      </c>
      <c r="E25">
        <v>1</v>
      </c>
    </row>
    <row r="26" spans="1:5" x14ac:dyDescent="0.3">
      <c r="A26">
        <f t="shared" si="0"/>
        <v>103280012</v>
      </c>
      <c r="B26">
        <v>10328</v>
      </c>
      <c r="C26" t="s">
        <v>17</v>
      </c>
      <c r="D26">
        <v>12</v>
      </c>
      <c r="E26">
        <v>1</v>
      </c>
    </row>
    <row r="27" spans="1:5" x14ac:dyDescent="0.3">
      <c r="A27">
        <f t="shared" si="0"/>
        <v>103280015</v>
      </c>
      <c r="B27">
        <v>10328</v>
      </c>
      <c r="C27" t="s">
        <v>17</v>
      </c>
      <c r="D27">
        <v>15</v>
      </c>
      <c r="E27">
        <v>1</v>
      </c>
    </row>
    <row r="28" spans="1:5" x14ac:dyDescent="0.3">
      <c r="A28">
        <f t="shared" si="0"/>
        <v>201000001</v>
      </c>
      <c r="B28">
        <v>20100</v>
      </c>
      <c r="C28" t="s">
        <v>21</v>
      </c>
      <c r="D28">
        <v>1</v>
      </c>
      <c r="E28">
        <v>2</v>
      </c>
    </row>
    <row r="29" spans="1:5" x14ac:dyDescent="0.3">
      <c r="A29">
        <f t="shared" si="0"/>
        <v>201000002</v>
      </c>
      <c r="B29">
        <v>20100</v>
      </c>
      <c r="C29" t="s">
        <v>21</v>
      </c>
      <c r="D29">
        <v>2</v>
      </c>
      <c r="E29">
        <v>2</v>
      </c>
    </row>
    <row r="30" spans="1:5" x14ac:dyDescent="0.3">
      <c r="A30">
        <f t="shared" si="0"/>
        <v>201000003</v>
      </c>
      <c r="B30">
        <v>20100</v>
      </c>
      <c r="C30" t="s">
        <v>21</v>
      </c>
      <c r="D30">
        <v>3</v>
      </c>
      <c r="E30">
        <v>1</v>
      </c>
    </row>
    <row r="31" spans="1:5" x14ac:dyDescent="0.3">
      <c r="A31">
        <f t="shared" si="0"/>
        <v>201000004</v>
      </c>
      <c r="B31">
        <v>20100</v>
      </c>
      <c r="C31" t="s">
        <v>21</v>
      </c>
      <c r="D31">
        <v>4</v>
      </c>
      <c r="E31">
        <v>2</v>
      </c>
    </row>
    <row r="32" spans="1:5" x14ac:dyDescent="0.3">
      <c r="A32">
        <f t="shared" si="0"/>
        <v>201000005</v>
      </c>
      <c r="B32">
        <v>20100</v>
      </c>
      <c r="C32" t="s">
        <v>21</v>
      </c>
      <c r="D32">
        <v>5</v>
      </c>
      <c r="E32">
        <v>1</v>
      </c>
    </row>
    <row r="33" spans="1:5" x14ac:dyDescent="0.3">
      <c r="A33">
        <f t="shared" si="0"/>
        <v>201000007</v>
      </c>
      <c r="B33">
        <v>20100</v>
      </c>
      <c r="C33" t="s">
        <v>21</v>
      </c>
      <c r="D33">
        <v>7</v>
      </c>
      <c r="E33">
        <v>1</v>
      </c>
    </row>
    <row r="34" spans="1:5" x14ac:dyDescent="0.3">
      <c r="A34">
        <f t="shared" ref="A34:A65" si="1">VALUE(B34&amp;TEXT(D34,"0000"))</f>
        <v>201000008</v>
      </c>
      <c r="B34">
        <v>20100</v>
      </c>
      <c r="C34" t="s">
        <v>21</v>
      </c>
      <c r="D34">
        <v>8</v>
      </c>
      <c r="E34">
        <v>1</v>
      </c>
    </row>
    <row r="35" spans="1:5" x14ac:dyDescent="0.3">
      <c r="A35">
        <f t="shared" si="1"/>
        <v>201000009</v>
      </c>
      <c r="B35">
        <v>20100</v>
      </c>
      <c r="C35" t="s">
        <v>21</v>
      </c>
      <c r="D35">
        <v>9</v>
      </c>
      <c r="E35">
        <v>1</v>
      </c>
    </row>
    <row r="36" spans="1:5" x14ac:dyDescent="0.3">
      <c r="A36">
        <f t="shared" si="1"/>
        <v>203150044</v>
      </c>
      <c r="B36">
        <v>20315</v>
      </c>
      <c r="C36" t="s">
        <v>28</v>
      </c>
      <c r="D36">
        <v>44</v>
      </c>
      <c r="E36">
        <v>2</v>
      </c>
    </row>
    <row r="37" spans="1:5" x14ac:dyDescent="0.3">
      <c r="A37">
        <f t="shared" si="1"/>
        <v>203220003</v>
      </c>
      <c r="B37">
        <v>20322</v>
      </c>
      <c r="C37" t="s">
        <v>126</v>
      </c>
      <c r="D37">
        <v>3</v>
      </c>
      <c r="E37">
        <v>1</v>
      </c>
    </row>
    <row r="38" spans="1:5" x14ac:dyDescent="0.3">
      <c r="A38">
        <f t="shared" si="1"/>
        <v>203220004</v>
      </c>
      <c r="B38">
        <v>20322</v>
      </c>
      <c r="C38" t="s">
        <v>126</v>
      </c>
      <c r="D38">
        <v>4</v>
      </c>
      <c r="E38">
        <v>1</v>
      </c>
    </row>
    <row r="39" spans="1:5" x14ac:dyDescent="0.3">
      <c r="A39">
        <f t="shared" si="1"/>
        <v>203220005</v>
      </c>
      <c r="B39">
        <v>20322</v>
      </c>
      <c r="C39" t="s">
        <v>126</v>
      </c>
      <c r="D39">
        <v>5</v>
      </c>
      <c r="E39">
        <v>1</v>
      </c>
    </row>
    <row r="40" spans="1:5" x14ac:dyDescent="0.3">
      <c r="A40">
        <f t="shared" si="1"/>
        <v>203220006</v>
      </c>
      <c r="B40">
        <v>20322</v>
      </c>
      <c r="C40" t="s">
        <v>126</v>
      </c>
      <c r="D40">
        <v>6</v>
      </c>
      <c r="E40">
        <v>1</v>
      </c>
    </row>
    <row r="41" spans="1:5" x14ac:dyDescent="0.3">
      <c r="A41">
        <f t="shared" si="1"/>
        <v>203220007</v>
      </c>
      <c r="B41">
        <v>20322</v>
      </c>
      <c r="C41" t="s">
        <v>126</v>
      </c>
      <c r="D41">
        <v>7</v>
      </c>
      <c r="E41">
        <v>1</v>
      </c>
    </row>
    <row r="42" spans="1:5" x14ac:dyDescent="0.3">
      <c r="A42">
        <f t="shared" si="1"/>
        <v>203220008</v>
      </c>
      <c r="B42">
        <v>20322</v>
      </c>
      <c r="C42" t="s">
        <v>126</v>
      </c>
      <c r="D42">
        <v>8</v>
      </c>
      <c r="E42">
        <v>1</v>
      </c>
    </row>
    <row r="43" spans="1:5" x14ac:dyDescent="0.3">
      <c r="A43">
        <f t="shared" si="1"/>
        <v>203230003</v>
      </c>
      <c r="B43">
        <v>20323</v>
      </c>
      <c r="C43" t="s">
        <v>29</v>
      </c>
      <c r="D43">
        <v>3</v>
      </c>
      <c r="E43">
        <v>1</v>
      </c>
    </row>
    <row r="44" spans="1:5" x14ac:dyDescent="0.3">
      <c r="A44">
        <f t="shared" si="1"/>
        <v>203230004</v>
      </c>
      <c r="B44">
        <v>20323</v>
      </c>
      <c r="C44" t="s">
        <v>29</v>
      </c>
      <c r="D44">
        <v>4</v>
      </c>
      <c r="E44">
        <v>1</v>
      </c>
    </row>
    <row r="45" spans="1:5" x14ac:dyDescent="0.3">
      <c r="A45">
        <f t="shared" si="1"/>
        <v>203230005</v>
      </c>
      <c r="B45">
        <v>20323</v>
      </c>
      <c r="C45" t="s">
        <v>29</v>
      </c>
      <c r="D45">
        <v>5</v>
      </c>
      <c r="E45">
        <v>1</v>
      </c>
    </row>
    <row r="46" spans="1:5" x14ac:dyDescent="0.3">
      <c r="A46">
        <f t="shared" si="1"/>
        <v>203230006</v>
      </c>
      <c r="B46">
        <v>20323</v>
      </c>
      <c r="C46" t="s">
        <v>29</v>
      </c>
      <c r="D46">
        <v>6</v>
      </c>
      <c r="E46">
        <v>1</v>
      </c>
    </row>
    <row r="47" spans="1:5" x14ac:dyDescent="0.3">
      <c r="A47">
        <f t="shared" si="1"/>
        <v>203230008</v>
      </c>
      <c r="B47">
        <v>20323</v>
      </c>
      <c r="C47" t="s">
        <v>29</v>
      </c>
      <c r="D47">
        <v>8</v>
      </c>
      <c r="E47">
        <v>2</v>
      </c>
    </row>
    <row r="48" spans="1:5" x14ac:dyDescent="0.3">
      <c r="A48">
        <f t="shared" si="1"/>
        <v>203250001</v>
      </c>
      <c r="B48">
        <v>20325</v>
      </c>
      <c r="C48" t="s">
        <v>31</v>
      </c>
      <c r="D48">
        <v>1</v>
      </c>
      <c r="E48">
        <v>1</v>
      </c>
    </row>
    <row r="49" spans="1:5" x14ac:dyDescent="0.3">
      <c r="A49">
        <f t="shared" si="1"/>
        <v>203250002</v>
      </c>
      <c r="B49">
        <v>20325</v>
      </c>
      <c r="C49" t="s">
        <v>31</v>
      </c>
      <c r="D49">
        <v>2</v>
      </c>
      <c r="E49">
        <v>1</v>
      </c>
    </row>
    <row r="50" spans="1:5" x14ac:dyDescent="0.3">
      <c r="A50">
        <f t="shared" si="1"/>
        <v>203250005</v>
      </c>
      <c r="B50">
        <v>20325</v>
      </c>
      <c r="C50" t="s">
        <v>31</v>
      </c>
      <c r="D50">
        <v>5</v>
      </c>
      <c r="E50">
        <v>1</v>
      </c>
    </row>
    <row r="51" spans="1:5" x14ac:dyDescent="0.3">
      <c r="A51">
        <f t="shared" si="1"/>
        <v>203280005</v>
      </c>
      <c r="B51">
        <v>20328</v>
      </c>
      <c r="C51" t="s">
        <v>32</v>
      </c>
      <c r="D51">
        <v>5</v>
      </c>
      <c r="E51">
        <v>1</v>
      </c>
    </row>
    <row r="52" spans="1:5" x14ac:dyDescent="0.3">
      <c r="A52">
        <f t="shared" si="1"/>
        <v>203280009</v>
      </c>
      <c r="B52">
        <v>20328</v>
      </c>
      <c r="C52" t="s">
        <v>32</v>
      </c>
      <c r="D52">
        <v>9</v>
      </c>
      <c r="E52">
        <v>1</v>
      </c>
    </row>
    <row r="53" spans="1:5" x14ac:dyDescent="0.3">
      <c r="A53">
        <f t="shared" si="1"/>
        <v>203280010</v>
      </c>
      <c r="B53">
        <v>20328</v>
      </c>
      <c r="C53" t="s">
        <v>32</v>
      </c>
      <c r="D53">
        <v>10</v>
      </c>
      <c r="E53">
        <v>1</v>
      </c>
    </row>
    <row r="54" spans="1:5" x14ac:dyDescent="0.3">
      <c r="A54">
        <f t="shared" si="1"/>
        <v>203280011</v>
      </c>
      <c r="B54">
        <v>20328</v>
      </c>
      <c r="C54" t="s">
        <v>32</v>
      </c>
      <c r="D54">
        <v>11</v>
      </c>
      <c r="E54">
        <v>1</v>
      </c>
    </row>
    <row r="55" spans="1:5" x14ac:dyDescent="0.3">
      <c r="A55">
        <f t="shared" si="1"/>
        <v>203280012</v>
      </c>
      <c r="B55">
        <v>20328</v>
      </c>
      <c r="C55" t="s">
        <v>32</v>
      </c>
      <c r="D55">
        <v>12</v>
      </c>
      <c r="E55">
        <v>1</v>
      </c>
    </row>
    <row r="56" spans="1:5" x14ac:dyDescent="0.3">
      <c r="A56">
        <f t="shared" si="1"/>
        <v>203280013</v>
      </c>
      <c r="B56">
        <v>20328</v>
      </c>
      <c r="C56" t="s">
        <v>32</v>
      </c>
      <c r="D56">
        <v>13</v>
      </c>
      <c r="E56">
        <v>1</v>
      </c>
    </row>
    <row r="57" spans="1:5" x14ac:dyDescent="0.3">
      <c r="A57">
        <f t="shared" si="1"/>
        <v>203280014</v>
      </c>
      <c r="B57">
        <v>20328</v>
      </c>
      <c r="C57" t="s">
        <v>32</v>
      </c>
      <c r="D57">
        <v>14</v>
      </c>
      <c r="E57">
        <v>1</v>
      </c>
    </row>
    <row r="58" spans="1:5" x14ac:dyDescent="0.3">
      <c r="A58">
        <f t="shared" si="1"/>
        <v>203310004</v>
      </c>
      <c r="B58">
        <v>20331</v>
      </c>
      <c r="C58" t="s">
        <v>33</v>
      </c>
      <c r="D58">
        <v>4</v>
      </c>
      <c r="E58">
        <v>1</v>
      </c>
    </row>
    <row r="59" spans="1:5" x14ac:dyDescent="0.3">
      <c r="A59">
        <f t="shared" si="1"/>
        <v>203310005</v>
      </c>
      <c r="B59">
        <v>20331</v>
      </c>
      <c r="C59" t="s">
        <v>33</v>
      </c>
      <c r="D59">
        <v>5</v>
      </c>
      <c r="E59">
        <v>1</v>
      </c>
    </row>
    <row r="60" spans="1:5" x14ac:dyDescent="0.3">
      <c r="A60">
        <f t="shared" si="1"/>
        <v>203310006</v>
      </c>
      <c r="B60">
        <v>20331</v>
      </c>
      <c r="C60" t="s">
        <v>33</v>
      </c>
      <c r="D60">
        <v>6</v>
      </c>
      <c r="E60">
        <v>1</v>
      </c>
    </row>
    <row r="61" spans="1:5" x14ac:dyDescent="0.3">
      <c r="A61">
        <f t="shared" si="1"/>
        <v>203310007</v>
      </c>
      <c r="B61">
        <v>20331</v>
      </c>
      <c r="C61" t="s">
        <v>33</v>
      </c>
      <c r="D61">
        <v>7</v>
      </c>
      <c r="E61">
        <v>1</v>
      </c>
    </row>
    <row r="62" spans="1:5" x14ac:dyDescent="0.3">
      <c r="A62">
        <f t="shared" si="1"/>
        <v>203310008</v>
      </c>
      <c r="B62">
        <v>20331</v>
      </c>
      <c r="C62" t="s">
        <v>33</v>
      </c>
      <c r="D62">
        <v>8</v>
      </c>
      <c r="E62">
        <v>1</v>
      </c>
    </row>
    <row r="63" spans="1:5" x14ac:dyDescent="0.3">
      <c r="A63">
        <f t="shared" si="1"/>
        <v>203450004</v>
      </c>
      <c r="B63">
        <v>20345</v>
      </c>
      <c r="C63" t="s">
        <v>132</v>
      </c>
      <c r="D63">
        <v>4</v>
      </c>
      <c r="E63">
        <v>1</v>
      </c>
    </row>
    <row r="64" spans="1:5" x14ac:dyDescent="0.3">
      <c r="A64">
        <f t="shared" si="1"/>
        <v>203450005</v>
      </c>
      <c r="B64">
        <v>20345</v>
      </c>
      <c r="C64" t="s">
        <v>132</v>
      </c>
      <c r="D64">
        <v>5</v>
      </c>
      <c r="E64">
        <v>1</v>
      </c>
    </row>
    <row r="65" spans="1:5" x14ac:dyDescent="0.3">
      <c r="A65">
        <f t="shared" si="1"/>
        <v>204000003</v>
      </c>
      <c r="B65">
        <v>20400</v>
      </c>
      <c r="C65" t="s">
        <v>40</v>
      </c>
      <c r="D65">
        <v>3</v>
      </c>
      <c r="E65">
        <v>1</v>
      </c>
    </row>
    <row r="66" spans="1:5" x14ac:dyDescent="0.3">
      <c r="A66">
        <f t="shared" ref="A66:A97" si="2">VALUE(B66&amp;TEXT(D66,"0000"))</f>
        <v>204010003</v>
      </c>
      <c r="B66">
        <v>20401</v>
      </c>
      <c r="C66" t="s">
        <v>41</v>
      </c>
      <c r="D66">
        <v>3</v>
      </c>
      <c r="E66">
        <v>1</v>
      </c>
    </row>
    <row r="67" spans="1:5" x14ac:dyDescent="0.3">
      <c r="A67">
        <f t="shared" si="2"/>
        <v>204310003</v>
      </c>
      <c r="B67">
        <v>20431</v>
      </c>
      <c r="C67" t="s">
        <v>46</v>
      </c>
      <c r="D67">
        <v>3</v>
      </c>
      <c r="E67">
        <v>1</v>
      </c>
    </row>
    <row r="68" spans="1:5" x14ac:dyDescent="0.3">
      <c r="A68">
        <f t="shared" si="2"/>
        <v>204310010</v>
      </c>
      <c r="B68">
        <v>20431</v>
      </c>
      <c r="C68" t="s">
        <v>46</v>
      </c>
      <c r="D68">
        <v>10</v>
      </c>
      <c r="E68">
        <v>1</v>
      </c>
    </row>
    <row r="69" spans="1:5" x14ac:dyDescent="0.3">
      <c r="A69">
        <f t="shared" si="2"/>
        <v>204310011</v>
      </c>
      <c r="B69">
        <v>20431</v>
      </c>
      <c r="C69" t="s">
        <v>46</v>
      </c>
      <c r="D69">
        <v>11</v>
      </c>
      <c r="E69">
        <v>1</v>
      </c>
    </row>
    <row r="70" spans="1:5" x14ac:dyDescent="0.3">
      <c r="A70">
        <f t="shared" si="2"/>
        <v>204310012</v>
      </c>
      <c r="B70">
        <v>20431</v>
      </c>
      <c r="C70" t="s">
        <v>46</v>
      </c>
      <c r="D70">
        <v>12</v>
      </c>
      <c r="E70">
        <v>1</v>
      </c>
    </row>
    <row r="71" spans="1:5" x14ac:dyDescent="0.3">
      <c r="A71">
        <f t="shared" si="2"/>
        <v>204310013</v>
      </c>
      <c r="B71">
        <v>20431</v>
      </c>
      <c r="C71" t="s">
        <v>46</v>
      </c>
      <c r="D71">
        <v>13</v>
      </c>
      <c r="E71">
        <v>1</v>
      </c>
    </row>
    <row r="72" spans="1:5" x14ac:dyDescent="0.3">
      <c r="A72">
        <f t="shared" si="2"/>
        <v>204310014</v>
      </c>
      <c r="B72">
        <v>20431</v>
      </c>
      <c r="C72" t="s">
        <v>46</v>
      </c>
      <c r="D72">
        <v>14</v>
      </c>
      <c r="E72">
        <v>1</v>
      </c>
    </row>
    <row r="73" spans="1:5" x14ac:dyDescent="0.3">
      <c r="A73">
        <f t="shared" si="2"/>
        <v>204310016</v>
      </c>
      <c r="B73">
        <v>20431</v>
      </c>
      <c r="C73" t="s">
        <v>46</v>
      </c>
      <c r="D73">
        <v>16</v>
      </c>
      <c r="E73">
        <v>1</v>
      </c>
    </row>
    <row r="74" spans="1:5" x14ac:dyDescent="0.3">
      <c r="A74">
        <f t="shared" si="2"/>
        <v>204310017</v>
      </c>
      <c r="B74">
        <v>20431</v>
      </c>
      <c r="C74" t="s">
        <v>46</v>
      </c>
      <c r="D74">
        <v>17</v>
      </c>
      <c r="E74">
        <v>1</v>
      </c>
    </row>
    <row r="75" spans="1:5" x14ac:dyDescent="0.3">
      <c r="A75">
        <f t="shared" si="2"/>
        <v>204330045</v>
      </c>
      <c r="B75">
        <v>20433</v>
      </c>
      <c r="C75" t="s">
        <v>47</v>
      </c>
      <c r="D75">
        <v>45</v>
      </c>
      <c r="E75">
        <v>1</v>
      </c>
    </row>
    <row r="76" spans="1:5" x14ac:dyDescent="0.3">
      <c r="A76">
        <f t="shared" si="2"/>
        <v>204390005</v>
      </c>
      <c r="B76">
        <v>20439</v>
      </c>
      <c r="C76" t="s">
        <v>136</v>
      </c>
      <c r="D76">
        <v>5</v>
      </c>
      <c r="E76">
        <v>1</v>
      </c>
    </row>
    <row r="77" spans="1:5" x14ac:dyDescent="0.3">
      <c r="A77">
        <f t="shared" si="2"/>
        <v>204390007</v>
      </c>
      <c r="B77">
        <v>20439</v>
      </c>
      <c r="C77" t="s">
        <v>136</v>
      </c>
      <c r="D77">
        <v>7</v>
      </c>
      <c r="E77">
        <v>2</v>
      </c>
    </row>
    <row r="78" spans="1:5" x14ac:dyDescent="0.3">
      <c r="A78">
        <f t="shared" si="2"/>
        <v>204410003</v>
      </c>
      <c r="B78">
        <v>20441</v>
      </c>
      <c r="C78" t="s">
        <v>137</v>
      </c>
      <c r="D78">
        <v>3</v>
      </c>
      <c r="E78">
        <v>1</v>
      </c>
    </row>
    <row r="79" spans="1:5" x14ac:dyDescent="0.3">
      <c r="A79">
        <f t="shared" si="2"/>
        <v>204410013</v>
      </c>
      <c r="B79">
        <v>20441</v>
      </c>
      <c r="C79" t="s">
        <v>137</v>
      </c>
      <c r="D79">
        <v>13</v>
      </c>
      <c r="E79">
        <v>1</v>
      </c>
    </row>
    <row r="80" spans="1:5" x14ac:dyDescent="0.3">
      <c r="A80">
        <f t="shared" si="2"/>
        <v>204410015</v>
      </c>
      <c r="B80">
        <v>20441</v>
      </c>
      <c r="C80" t="s">
        <v>137</v>
      </c>
      <c r="D80">
        <v>15</v>
      </c>
      <c r="E80">
        <v>1</v>
      </c>
    </row>
    <row r="81" spans="1:5" x14ac:dyDescent="0.3">
      <c r="A81">
        <f t="shared" si="2"/>
        <v>204460006</v>
      </c>
      <c r="B81">
        <v>20446</v>
      </c>
      <c r="C81" t="s">
        <v>138</v>
      </c>
      <c r="D81">
        <v>6</v>
      </c>
      <c r="E81">
        <v>1</v>
      </c>
    </row>
    <row r="82" spans="1:5" x14ac:dyDescent="0.3">
      <c r="A82">
        <f t="shared" si="2"/>
        <v>204460007</v>
      </c>
      <c r="B82">
        <v>20446</v>
      </c>
      <c r="C82" t="s">
        <v>138</v>
      </c>
      <c r="D82">
        <v>7</v>
      </c>
      <c r="E82">
        <v>1</v>
      </c>
    </row>
    <row r="83" spans="1:5" x14ac:dyDescent="0.3">
      <c r="A83">
        <f t="shared" si="2"/>
        <v>204460008</v>
      </c>
      <c r="B83">
        <v>20446</v>
      </c>
      <c r="C83" t="s">
        <v>138</v>
      </c>
      <c r="D83">
        <v>8</v>
      </c>
      <c r="E83">
        <v>1</v>
      </c>
    </row>
    <row r="84" spans="1:5" x14ac:dyDescent="0.3">
      <c r="A84">
        <f t="shared" si="2"/>
        <v>204460009</v>
      </c>
      <c r="B84">
        <v>20446</v>
      </c>
      <c r="C84" t="s">
        <v>138</v>
      </c>
      <c r="D84">
        <v>9</v>
      </c>
      <c r="E84">
        <v>2</v>
      </c>
    </row>
    <row r="85" spans="1:5" x14ac:dyDescent="0.3">
      <c r="A85">
        <f t="shared" si="2"/>
        <v>204500001</v>
      </c>
      <c r="B85">
        <v>20450</v>
      </c>
      <c r="C85" t="s">
        <v>139</v>
      </c>
      <c r="D85">
        <v>1</v>
      </c>
      <c r="E85">
        <v>1</v>
      </c>
    </row>
    <row r="86" spans="1:5" x14ac:dyDescent="0.3">
      <c r="A86">
        <f t="shared" si="2"/>
        <v>204500002</v>
      </c>
      <c r="B86">
        <v>20450</v>
      </c>
      <c r="C86" t="s">
        <v>139</v>
      </c>
      <c r="D86">
        <v>2</v>
      </c>
      <c r="E86">
        <v>1</v>
      </c>
    </row>
    <row r="87" spans="1:5" x14ac:dyDescent="0.3">
      <c r="A87">
        <f t="shared" si="2"/>
        <v>204500003</v>
      </c>
      <c r="B87">
        <v>20450</v>
      </c>
      <c r="C87" t="s">
        <v>139</v>
      </c>
      <c r="D87">
        <v>3</v>
      </c>
      <c r="E87">
        <v>1</v>
      </c>
    </row>
    <row r="88" spans="1:5" x14ac:dyDescent="0.3">
      <c r="A88">
        <f t="shared" si="2"/>
        <v>204500004</v>
      </c>
      <c r="B88">
        <v>20450</v>
      </c>
      <c r="C88" t="s">
        <v>139</v>
      </c>
      <c r="D88">
        <v>4</v>
      </c>
      <c r="E88">
        <v>1</v>
      </c>
    </row>
    <row r="89" spans="1:5" x14ac:dyDescent="0.3">
      <c r="A89">
        <f t="shared" si="2"/>
        <v>204500005</v>
      </c>
      <c r="B89">
        <v>20450</v>
      </c>
      <c r="C89" t="s">
        <v>139</v>
      </c>
      <c r="D89">
        <v>5</v>
      </c>
      <c r="E89">
        <v>1</v>
      </c>
    </row>
    <row r="90" spans="1:5" x14ac:dyDescent="0.3">
      <c r="A90">
        <f t="shared" si="2"/>
        <v>204500006</v>
      </c>
      <c r="B90">
        <v>20450</v>
      </c>
      <c r="C90" t="s">
        <v>139</v>
      </c>
      <c r="D90">
        <v>6</v>
      </c>
      <c r="E90">
        <v>1</v>
      </c>
    </row>
    <row r="91" spans="1:5" x14ac:dyDescent="0.3">
      <c r="A91">
        <f t="shared" si="2"/>
        <v>204580001</v>
      </c>
      <c r="B91">
        <v>20458</v>
      </c>
      <c r="C91" t="s">
        <v>51</v>
      </c>
      <c r="D91">
        <v>1</v>
      </c>
      <c r="E91">
        <v>1</v>
      </c>
    </row>
    <row r="92" spans="1:5" x14ac:dyDescent="0.3">
      <c r="A92">
        <f t="shared" si="2"/>
        <v>204580004</v>
      </c>
      <c r="B92">
        <v>20458</v>
      </c>
      <c r="C92" t="s">
        <v>51</v>
      </c>
      <c r="D92">
        <v>4</v>
      </c>
      <c r="E92">
        <v>1</v>
      </c>
    </row>
    <row r="93" spans="1:5" x14ac:dyDescent="0.3">
      <c r="A93">
        <f t="shared" si="2"/>
        <v>204590002</v>
      </c>
      <c r="B93">
        <v>20459</v>
      </c>
      <c r="C93" t="s">
        <v>141</v>
      </c>
      <c r="D93">
        <v>2</v>
      </c>
      <c r="E93">
        <v>1</v>
      </c>
    </row>
    <row r="94" spans="1:5" x14ac:dyDescent="0.3">
      <c r="A94">
        <f t="shared" si="2"/>
        <v>204610001</v>
      </c>
      <c r="B94">
        <v>20461</v>
      </c>
      <c r="C94" t="s">
        <v>142</v>
      </c>
      <c r="D94">
        <v>1</v>
      </c>
      <c r="E94">
        <v>1</v>
      </c>
    </row>
    <row r="95" spans="1:5" x14ac:dyDescent="0.3">
      <c r="A95">
        <f t="shared" si="2"/>
        <v>204610004</v>
      </c>
      <c r="B95">
        <v>20461</v>
      </c>
      <c r="C95" t="s">
        <v>142</v>
      </c>
      <c r="D95">
        <v>4</v>
      </c>
      <c r="E95">
        <v>1</v>
      </c>
    </row>
    <row r="96" spans="1:5" x14ac:dyDescent="0.3">
      <c r="A96">
        <f t="shared" si="2"/>
        <v>204630002</v>
      </c>
      <c r="B96">
        <v>20463</v>
      </c>
      <c r="C96" t="s">
        <v>143</v>
      </c>
      <c r="D96">
        <v>2</v>
      </c>
      <c r="E96">
        <v>1</v>
      </c>
    </row>
    <row r="97" spans="1:5" x14ac:dyDescent="0.3">
      <c r="A97">
        <f t="shared" si="2"/>
        <v>204630003</v>
      </c>
      <c r="B97">
        <v>20463</v>
      </c>
      <c r="C97" t="s">
        <v>143</v>
      </c>
      <c r="D97">
        <v>3</v>
      </c>
      <c r="E97">
        <v>2</v>
      </c>
    </row>
    <row r="98" spans="1:5" x14ac:dyDescent="0.3">
      <c r="A98">
        <f t="shared" ref="A98:A129" si="3">VALUE(B98&amp;TEXT(D98,"0000"))</f>
        <v>204630004</v>
      </c>
      <c r="B98">
        <v>20463</v>
      </c>
      <c r="C98" t="s">
        <v>143</v>
      </c>
      <c r="D98">
        <v>4</v>
      </c>
      <c r="E98">
        <v>2</v>
      </c>
    </row>
    <row r="99" spans="1:5" x14ac:dyDescent="0.3">
      <c r="A99">
        <f t="shared" si="3"/>
        <v>204630005</v>
      </c>
      <c r="B99">
        <v>20463</v>
      </c>
      <c r="C99" t="s">
        <v>143</v>
      </c>
      <c r="D99">
        <v>5</v>
      </c>
      <c r="E99">
        <v>1</v>
      </c>
    </row>
    <row r="100" spans="1:5" x14ac:dyDescent="0.3">
      <c r="A100">
        <f t="shared" si="3"/>
        <v>204640001</v>
      </c>
      <c r="B100">
        <v>20464</v>
      </c>
      <c r="C100" t="s">
        <v>144</v>
      </c>
      <c r="D100">
        <v>1</v>
      </c>
      <c r="E100">
        <v>1</v>
      </c>
    </row>
    <row r="101" spans="1:5" x14ac:dyDescent="0.3">
      <c r="A101">
        <f t="shared" si="3"/>
        <v>204710004</v>
      </c>
      <c r="B101">
        <v>20471</v>
      </c>
      <c r="C101" t="s">
        <v>57</v>
      </c>
      <c r="D101">
        <v>4</v>
      </c>
      <c r="E101">
        <v>1</v>
      </c>
    </row>
    <row r="102" spans="1:5" x14ac:dyDescent="0.3">
      <c r="A102">
        <f t="shared" si="3"/>
        <v>204710005</v>
      </c>
      <c r="B102">
        <v>20471</v>
      </c>
      <c r="C102" t="s">
        <v>57</v>
      </c>
      <c r="D102">
        <v>5</v>
      </c>
      <c r="E102">
        <v>1</v>
      </c>
    </row>
    <row r="103" spans="1:5" x14ac:dyDescent="0.3">
      <c r="A103">
        <f t="shared" si="3"/>
        <v>204710006</v>
      </c>
      <c r="B103">
        <v>20471</v>
      </c>
      <c r="C103" t="s">
        <v>57</v>
      </c>
      <c r="D103">
        <v>6</v>
      </c>
      <c r="E103">
        <v>1</v>
      </c>
    </row>
    <row r="104" spans="1:5" x14ac:dyDescent="0.3">
      <c r="A104">
        <f t="shared" si="3"/>
        <v>204710007</v>
      </c>
      <c r="B104">
        <v>20471</v>
      </c>
      <c r="C104" t="s">
        <v>57</v>
      </c>
      <c r="D104">
        <v>7</v>
      </c>
      <c r="E104">
        <v>2</v>
      </c>
    </row>
    <row r="105" spans="1:5" x14ac:dyDescent="0.3">
      <c r="A105">
        <f t="shared" si="3"/>
        <v>204710008</v>
      </c>
      <c r="B105">
        <v>20471</v>
      </c>
      <c r="C105" t="s">
        <v>57</v>
      </c>
      <c r="D105">
        <v>8</v>
      </c>
      <c r="E105">
        <v>2</v>
      </c>
    </row>
    <row r="106" spans="1:5" x14ac:dyDescent="0.3">
      <c r="A106">
        <f t="shared" si="3"/>
        <v>204710013</v>
      </c>
      <c r="B106">
        <v>20471</v>
      </c>
      <c r="C106" t="s">
        <v>57</v>
      </c>
      <c r="D106">
        <v>13</v>
      </c>
      <c r="E106">
        <v>1</v>
      </c>
    </row>
    <row r="107" spans="1:5" x14ac:dyDescent="0.3">
      <c r="A107">
        <f t="shared" si="3"/>
        <v>204710014</v>
      </c>
      <c r="B107">
        <v>20471</v>
      </c>
      <c r="C107" t="s">
        <v>57</v>
      </c>
      <c r="D107">
        <v>14</v>
      </c>
      <c r="E107">
        <v>1</v>
      </c>
    </row>
    <row r="108" spans="1:5" x14ac:dyDescent="0.3">
      <c r="A108">
        <f t="shared" si="3"/>
        <v>204720004</v>
      </c>
      <c r="B108">
        <v>20472</v>
      </c>
      <c r="C108" t="s">
        <v>146</v>
      </c>
      <c r="D108">
        <v>4</v>
      </c>
      <c r="E108">
        <v>1</v>
      </c>
    </row>
    <row r="109" spans="1:5" x14ac:dyDescent="0.3">
      <c r="A109">
        <f t="shared" si="3"/>
        <v>204720005</v>
      </c>
      <c r="B109">
        <v>20472</v>
      </c>
      <c r="C109" t="s">
        <v>146</v>
      </c>
      <c r="D109">
        <v>5</v>
      </c>
      <c r="E109">
        <v>1</v>
      </c>
    </row>
    <row r="110" spans="1:5" x14ac:dyDescent="0.3">
      <c r="A110">
        <f t="shared" si="3"/>
        <v>204910001</v>
      </c>
      <c r="B110">
        <v>20491</v>
      </c>
      <c r="C110" t="s">
        <v>61</v>
      </c>
      <c r="D110">
        <v>1</v>
      </c>
      <c r="E110">
        <v>1</v>
      </c>
    </row>
    <row r="111" spans="1:5" x14ac:dyDescent="0.3">
      <c r="A111">
        <f t="shared" si="3"/>
        <v>205000002</v>
      </c>
      <c r="B111">
        <v>20500</v>
      </c>
      <c r="C111" t="s">
        <v>147</v>
      </c>
      <c r="D111">
        <v>2</v>
      </c>
      <c r="E111">
        <v>1</v>
      </c>
    </row>
    <row r="112" spans="1:5" x14ac:dyDescent="0.3">
      <c r="A112">
        <f t="shared" si="3"/>
        <v>205070007</v>
      </c>
      <c r="B112">
        <v>20507</v>
      </c>
      <c r="C112" t="s">
        <v>65</v>
      </c>
      <c r="D112">
        <v>7</v>
      </c>
      <c r="E112">
        <v>1</v>
      </c>
    </row>
    <row r="113" spans="1:5" x14ac:dyDescent="0.3">
      <c r="A113">
        <f t="shared" si="3"/>
        <v>205070008</v>
      </c>
      <c r="B113">
        <v>20507</v>
      </c>
      <c r="C113" t="s">
        <v>65</v>
      </c>
      <c r="D113">
        <v>8</v>
      </c>
      <c r="E113">
        <v>1</v>
      </c>
    </row>
    <row r="114" spans="1:5" x14ac:dyDescent="0.3">
      <c r="A114">
        <f t="shared" si="3"/>
        <v>205120004</v>
      </c>
      <c r="B114">
        <v>20512</v>
      </c>
      <c r="C114" t="s">
        <v>148</v>
      </c>
      <c r="D114">
        <v>4</v>
      </c>
      <c r="E114">
        <v>2</v>
      </c>
    </row>
    <row r="115" spans="1:5" x14ac:dyDescent="0.3">
      <c r="A115">
        <f t="shared" si="3"/>
        <v>205150001</v>
      </c>
      <c r="B115">
        <v>20515</v>
      </c>
      <c r="C115" t="s">
        <v>149</v>
      </c>
      <c r="D115">
        <v>1</v>
      </c>
      <c r="E115">
        <v>1</v>
      </c>
    </row>
    <row r="116" spans="1:5" x14ac:dyDescent="0.3">
      <c r="A116">
        <f t="shared" si="3"/>
        <v>205150002</v>
      </c>
      <c r="B116">
        <v>20515</v>
      </c>
      <c r="C116" t="s">
        <v>149</v>
      </c>
      <c r="D116">
        <v>2</v>
      </c>
      <c r="E116">
        <v>1</v>
      </c>
    </row>
    <row r="117" spans="1:5" x14ac:dyDescent="0.3">
      <c r="A117">
        <f t="shared" si="3"/>
        <v>205180005</v>
      </c>
      <c r="B117">
        <v>20518</v>
      </c>
      <c r="C117" t="s">
        <v>68</v>
      </c>
      <c r="D117">
        <v>5</v>
      </c>
      <c r="E117">
        <v>1</v>
      </c>
    </row>
    <row r="118" spans="1:5" x14ac:dyDescent="0.3">
      <c r="A118">
        <f t="shared" si="3"/>
        <v>205180006</v>
      </c>
      <c r="B118">
        <v>20518</v>
      </c>
      <c r="C118" t="s">
        <v>68</v>
      </c>
      <c r="D118">
        <v>6</v>
      </c>
      <c r="E118">
        <v>1</v>
      </c>
    </row>
    <row r="119" spans="1:5" x14ac:dyDescent="0.3">
      <c r="A119">
        <f t="shared" si="3"/>
        <v>205180007</v>
      </c>
      <c r="B119">
        <v>20518</v>
      </c>
      <c r="C119" t="s">
        <v>68</v>
      </c>
      <c r="D119">
        <v>7</v>
      </c>
      <c r="E119">
        <v>2</v>
      </c>
    </row>
    <row r="120" spans="1:5" x14ac:dyDescent="0.3">
      <c r="A120">
        <f t="shared" si="3"/>
        <v>205320002</v>
      </c>
      <c r="B120">
        <v>20532</v>
      </c>
      <c r="C120" t="s">
        <v>70</v>
      </c>
      <c r="D120">
        <v>2</v>
      </c>
      <c r="E120">
        <v>1</v>
      </c>
    </row>
    <row r="121" spans="1:5" x14ac:dyDescent="0.3">
      <c r="A121">
        <f t="shared" si="3"/>
        <v>205400005</v>
      </c>
      <c r="B121">
        <v>20540</v>
      </c>
      <c r="C121" t="s">
        <v>73</v>
      </c>
      <c r="D121">
        <v>5</v>
      </c>
      <c r="E121">
        <v>1</v>
      </c>
    </row>
    <row r="122" spans="1:5" x14ac:dyDescent="0.3">
      <c r="A122">
        <f t="shared" si="3"/>
        <v>205430004</v>
      </c>
      <c r="B122">
        <v>20543</v>
      </c>
      <c r="C122" t="s">
        <v>74</v>
      </c>
      <c r="D122">
        <v>4</v>
      </c>
      <c r="E122">
        <v>1</v>
      </c>
    </row>
    <row r="123" spans="1:5" x14ac:dyDescent="0.3">
      <c r="A123">
        <f t="shared" si="3"/>
        <v>205440001</v>
      </c>
      <c r="B123">
        <v>20544</v>
      </c>
      <c r="C123" t="s">
        <v>75</v>
      </c>
      <c r="D123">
        <v>1</v>
      </c>
      <c r="E123">
        <v>1</v>
      </c>
    </row>
    <row r="124" spans="1:5" x14ac:dyDescent="0.3">
      <c r="A124">
        <f t="shared" si="3"/>
        <v>205440002</v>
      </c>
      <c r="B124">
        <v>20544</v>
      </c>
      <c r="C124" t="s">
        <v>75</v>
      </c>
      <c r="D124">
        <v>2</v>
      </c>
      <c r="E124">
        <v>1</v>
      </c>
    </row>
    <row r="125" spans="1:5" x14ac:dyDescent="0.3">
      <c r="A125">
        <f t="shared" si="3"/>
        <v>205440003</v>
      </c>
      <c r="B125">
        <v>20544</v>
      </c>
      <c r="C125" t="s">
        <v>75</v>
      </c>
      <c r="D125">
        <v>3</v>
      </c>
      <c r="E125">
        <v>1</v>
      </c>
    </row>
    <row r="126" spans="1:5" x14ac:dyDescent="0.3">
      <c r="A126">
        <f t="shared" si="3"/>
        <v>205440005</v>
      </c>
      <c r="B126">
        <v>20544</v>
      </c>
      <c r="C126" t="s">
        <v>75</v>
      </c>
      <c r="D126">
        <v>5</v>
      </c>
      <c r="E126">
        <v>2</v>
      </c>
    </row>
    <row r="127" spans="1:5" x14ac:dyDescent="0.3">
      <c r="A127">
        <f t="shared" si="3"/>
        <v>205440006</v>
      </c>
      <c r="B127">
        <v>20544</v>
      </c>
      <c r="C127" t="s">
        <v>75</v>
      </c>
      <c r="D127">
        <v>6</v>
      </c>
      <c r="E127">
        <v>2</v>
      </c>
    </row>
    <row r="128" spans="1:5" x14ac:dyDescent="0.3">
      <c r="A128">
        <f t="shared" si="3"/>
        <v>205440007</v>
      </c>
      <c r="B128">
        <v>20544</v>
      </c>
      <c r="C128" t="s">
        <v>75</v>
      </c>
      <c r="D128">
        <v>7</v>
      </c>
      <c r="E128">
        <v>2</v>
      </c>
    </row>
    <row r="129" spans="1:5" x14ac:dyDescent="0.3">
      <c r="A129">
        <f t="shared" si="3"/>
        <v>205440008</v>
      </c>
      <c r="B129">
        <v>20544</v>
      </c>
      <c r="C129" t="s">
        <v>75</v>
      </c>
      <c r="D129">
        <v>8</v>
      </c>
      <c r="E129">
        <v>2</v>
      </c>
    </row>
    <row r="130" spans="1:5" x14ac:dyDescent="0.3">
      <c r="A130">
        <f t="shared" ref="A130:A161" si="4">VALUE(B130&amp;TEXT(D130,"0000"))</f>
        <v>205440009</v>
      </c>
      <c r="B130">
        <v>20544</v>
      </c>
      <c r="C130" t="s">
        <v>75</v>
      </c>
      <c r="D130">
        <v>9</v>
      </c>
      <c r="E130">
        <v>1</v>
      </c>
    </row>
    <row r="131" spans="1:5" x14ac:dyDescent="0.3">
      <c r="A131">
        <f t="shared" si="4"/>
        <v>205480001</v>
      </c>
      <c r="B131">
        <v>20548</v>
      </c>
      <c r="C131" t="s">
        <v>76</v>
      </c>
      <c r="D131">
        <v>1</v>
      </c>
      <c r="E131">
        <v>1</v>
      </c>
    </row>
    <row r="132" spans="1:5" x14ac:dyDescent="0.3">
      <c r="A132">
        <f t="shared" si="4"/>
        <v>205480002</v>
      </c>
      <c r="B132">
        <v>20548</v>
      </c>
      <c r="C132" t="s">
        <v>76</v>
      </c>
      <c r="D132">
        <v>2</v>
      </c>
      <c r="E132">
        <v>1</v>
      </c>
    </row>
    <row r="133" spans="1:5" x14ac:dyDescent="0.3">
      <c r="A133">
        <f t="shared" si="4"/>
        <v>205480003</v>
      </c>
      <c r="B133">
        <v>20548</v>
      </c>
      <c r="C133" t="s">
        <v>76</v>
      </c>
      <c r="D133">
        <v>3</v>
      </c>
      <c r="E133">
        <v>1</v>
      </c>
    </row>
    <row r="134" spans="1:5" x14ac:dyDescent="0.3">
      <c r="A134">
        <f t="shared" si="4"/>
        <v>205480004</v>
      </c>
      <c r="B134">
        <v>20548</v>
      </c>
      <c r="C134" t="s">
        <v>76</v>
      </c>
      <c r="D134">
        <v>4</v>
      </c>
      <c r="E134">
        <v>1</v>
      </c>
    </row>
    <row r="135" spans="1:5" x14ac:dyDescent="0.3">
      <c r="A135">
        <f t="shared" si="4"/>
        <v>205480007</v>
      </c>
      <c r="B135">
        <v>20548</v>
      </c>
      <c r="C135" t="s">
        <v>76</v>
      </c>
      <c r="D135">
        <v>7</v>
      </c>
      <c r="E135">
        <v>1</v>
      </c>
    </row>
    <row r="136" spans="1:5" x14ac:dyDescent="0.3">
      <c r="A136">
        <f t="shared" si="4"/>
        <v>205480008</v>
      </c>
      <c r="B136">
        <v>20548</v>
      </c>
      <c r="C136" t="s">
        <v>76</v>
      </c>
      <c r="D136">
        <v>8</v>
      </c>
      <c r="E136">
        <v>2</v>
      </c>
    </row>
    <row r="137" spans="1:5" x14ac:dyDescent="0.3">
      <c r="A137">
        <f t="shared" si="4"/>
        <v>205480011</v>
      </c>
      <c r="B137">
        <v>20548</v>
      </c>
      <c r="C137" t="s">
        <v>76</v>
      </c>
      <c r="D137">
        <v>11</v>
      </c>
      <c r="E137">
        <v>2</v>
      </c>
    </row>
    <row r="138" spans="1:5" x14ac:dyDescent="0.3">
      <c r="A138">
        <f t="shared" si="4"/>
        <v>205480012</v>
      </c>
      <c r="B138">
        <v>20548</v>
      </c>
      <c r="C138" t="s">
        <v>76</v>
      </c>
      <c r="D138">
        <v>12</v>
      </c>
      <c r="E138">
        <v>2</v>
      </c>
    </row>
    <row r="139" spans="1:5" x14ac:dyDescent="0.3">
      <c r="A139">
        <f t="shared" si="4"/>
        <v>205480013</v>
      </c>
      <c r="B139">
        <v>20548</v>
      </c>
      <c r="C139" t="s">
        <v>76</v>
      </c>
      <c r="D139">
        <v>13</v>
      </c>
      <c r="E139">
        <v>2</v>
      </c>
    </row>
    <row r="140" spans="1:5" x14ac:dyDescent="0.3">
      <c r="A140">
        <f t="shared" si="4"/>
        <v>205480014</v>
      </c>
      <c r="B140">
        <v>20548</v>
      </c>
      <c r="C140" t="s">
        <v>76</v>
      </c>
      <c r="D140">
        <v>14</v>
      </c>
      <c r="E140">
        <v>2</v>
      </c>
    </row>
    <row r="141" spans="1:5" x14ac:dyDescent="0.3">
      <c r="A141">
        <f t="shared" si="4"/>
        <v>205500001</v>
      </c>
      <c r="B141">
        <v>20550</v>
      </c>
      <c r="C141" t="s">
        <v>77</v>
      </c>
      <c r="D141">
        <v>1</v>
      </c>
      <c r="E141">
        <v>1</v>
      </c>
    </row>
    <row r="142" spans="1:5" x14ac:dyDescent="0.3">
      <c r="A142">
        <f t="shared" si="4"/>
        <v>205500006</v>
      </c>
      <c r="B142">
        <v>20550</v>
      </c>
      <c r="C142" t="s">
        <v>77</v>
      </c>
      <c r="D142">
        <v>6</v>
      </c>
      <c r="E142">
        <v>2</v>
      </c>
    </row>
    <row r="143" spans="1:5" x14ac:dyDescent="0.3">
      <c r="A143">
        <f t="shared" si="4"/>
        <v>205500007</v>
      </c>
      <c r="B143">
        <v>20550</v>
      </c>
      <c r="C143" t="s">
        <v>77</v>
      </c>
      <c r="D143">
        <v>7</v>
      </c>
      <c r="E143">
        <v>2</v>
      </c>
    </row>
    <row r="144" spans="1:5" x14ac:dyDescent="0.3">
      <c r="A144">
        <f t="shared" si="4"/>
        <v>205500008</v>
      </c>
      <c r="B144">
        <v>20550</v>
      </c>
      <c r="C144" t="s">
        <v>77</v>
      </c>
      <c r="D144">
        <v>8</v>
      </c>
      <c r="E144">
        <v>2</v>
      </c>
    </row>
    <row r="145" spans="1:5" x14ac:dyDescent="0.3">
      <c r="A145">
        <f t="shared" si="4"/>
        <v>205500009</v>
      </c>
      <c r="B145">
        <v>20550</v>
      </c>
      <c r="C145" t="s">
        <v>77</v>
      </c>
      <c r="D145">
        <v>9</v>
      </c>
      <c r="E145">
        <v>2</v>
      </c>
    </row>
    <row r="146" spans="1:5" x14ac:dyDescent="0.3">
      <c r="A146">
        <f t="shared" si="4"/>
        <v>205500010</v>
      </c>
      <c r="B146">
        <v>20550</v>
      </c>
      <c r="C146" t="s">
        <v>77</v>
      </c>
      <c r="D146">
        <v>10</v>
      </c>
      <c r="E146">
        <v>1</v>
      </c>
    </row>
    <row r="147" spans="1:5" x14ac:dyDescent="0.3">
      <c r="A147">
        <f t="shared" si="4"/>
        <v>205500011</v>
      </c>
      <c r="B147">
        <v>20550</v>
      </c>
      <c r="C147" t="s">
        <v>77</v>
      </c>
      <c r="D147">
        <v>11</v>
      </c>
      <c r="E147">
        <v>1</v>
      </c>
    </row>
    <row r="148" spans="1:5" x14ac:dyDescent="0.3">
      <c r="A148">
        <f t="shared" si="4"/>
        <v>205500012</v>
      </c>
      <c r="B148">
        <v>20550</v>
      </c>
      <c r="C148" t="s">
        <v>77</v>
      </c>
      <c r="D148">
        <v>12</v>
      </c>
      <c r="E148">
        <v>1</v>
      </c>
    </row>
    <row r="149" spans="1:5" x14ac:dyDescent="0.3">
      <c r="A149">
        <f t="shared" si="4"/>
        <v>205500013</v>
      </c>
      <c r="B149">
        <v>20550</v>
      </c>
      <c r="C149" t="s">
        <v>77</v>
      </c>
      <c r="D149">
        <v>13</v>
      </c>
      <c r="E149">
        <v>1</v>
      </c>
    </row>
    <row r="150" spans="1:5" x14ac:dyDescent="0.3">
      <c r="A150">
        <f t="shared" si="4"/>
        <v>205500014</v>
      </c>
      <c r="B150">
        <v>20550</v>
      </c>
      <c r="C150" t="s">
        <v>77</v>
      </c>
      <c r="D150">
        <v>14</v>
      </c>
      <c r="E150">
        <v>1</v>
      </c>
    </row>
    <row r="151" spans="1:5" x14ac:dyDescent="0.3">
      <c r="A151">
        <f t="shared" si="4"/>
        <v>205530004</v>
      </c>
      <c r="B151">
        <v>20553</v>
      </c>
      <c r="C151" t="s">
        <v>151</v>
      </c>
      <c r="D151">
        <v>4</v>
      </c>
      <c r="E151">
        <v>2</v>
      </c>
    </row>
    <row r="152" spans="1:5" x14ac:dyDescent="0.3">
      <c r="A152">
        <f t="shared" si="4"/>
        <v>205530005</v>
      </c>
      <c r="B152">
        <v>20553</v>
      </c>
      <c r="C152" t="s">
        <v>151</v>
      </c>
      <c r="D152">
        <v>5</v>
      </c>
      <c r="E152">
        <v>2</v>
      </c>
    </row>
    <row r="153" spans="1:5" x14ac:dyDescent="0.3">
      <c r="A153">
        <f t="shared" si="4"/>
        <v>205530008</v>
      </c>
      <c r="B153">
        <v>20553</v>
      </c>
      <c r="C153" t="s">
        <v>151</v>
      </c>
      <c r="D153">
        <v>8</v>
      </c>
      <c r="E153">
        <v>1</v>
      </c>
    </row>
    <row r="154" spans="1:5" x14ac:dyDescent="0.3">
      <c r="A154">
        <f t="shared" si="4"/>
        <v>205700035</v>
      </c>
      <c r="B154">
        <v>20570</v>
      </c>
      <c r="C154" t="s">
        <v>76</v>
      </c>
      <c r="D154">
        <v>35</v>
      </c>
      <c r="E154">
        <v>1</v>
      </c>
    </row>
    <row r="155" spans="1:5" x14ac:dyDescent="0.3">
      <c r="A155">
        <f t="shared" si="4"/>
        <v>205730002</v>
      </c>
      <c r="B155">
        <v>20573</v>
      </c>
      <c r="C155" t="s">
        <v>152</v>
      </c>
      <c r="D155">
        <v>2</v>
      </c>
      <c r="E155">
        <v>1</v>
      </c>
    </row>
    <row r="156" spans="1:5" x14ac:dyDescent="0.3">
      <c r="A156">
        <f t="shared" si="4"/>
        <v>205730003</v>
      </c>
      <c r="B156">
        <v>20573</v>
      </c>
      <c r="C156" t="s">
        <v>152</v>
      </c>
      <c r="D156">
        <v>3</v>
      </c>
      <c r="E156">
        <v>1</v>
      </c>
    </row>
    <row r="157" spans="1:5" x14ac:dyDescent="0.3">
      <c r="A157">
        <f t="shared" si="4"/>
        <v>205750029</v>
      </c>
      <c r="B157">
        <v>20575</v>
      </c>
      <c r="C157" t="s">
        <v>84</v>
      </c>
      <c r="D157">
        <v>29</v>
      </c>
      <c r="E157">
        <v>1</v>
      </c>
    </row>
    <row r="158" spans="1:5" x14ac:dyDescent="0.3">
      <c r="A158">
        <f t="shared" si="4"/>
        <v>205750031</v>
      </c>
      <c r="B158">
        <v>20575</v>
      </c>
      <c r="C158" t="s">
        <v>84</v>
      </c>
      <c r="D158">
        <v>31</v>
      </c>
      <c r="E158">
        <v>1</v>
      </c>
    </row>
    <row r="159" spans="1:5" x14ac:dyDescent="0.3">
      <c r="A159">
        <f t="shared" si="4"/>
        <v>205750032</v>
      </c>
      <c r="B159">
        <v>20575</v>
      </c>
      <c r="C159" t="s">
        <v>84</v>
      </c>
      <c r="D159">
        <v>32</v>
      </c>
      <c r="E159">
        <v>2</v>
      </c>
    </row>
    <row r="160" spans="1:5" x14ac:dyDescent="0.3">
      <c r="A160">
        <f t="shared" si="4"/>
        <v>205800001</v>
      </c>
      <c r="B160">
        <v>20580</v>
      </c>
      <c r="C160" t="s">
        <v>86</v>
      </c>
      <c r="D160">
        <v>1</v>
      </c>
      <c r="E160">
        <v>1</v>
      </c>
    </row>
    <row r="161" spans="1:5" x14ac:dyDescent="0.3">
      <c r="A161">
        <f t="shared" si="4"/>
        <v>205920032</v>
      </c>
      <c r="B161">
        <v>20592</v>
      </c>
      <c r="C161" t="s">
        <v>155</v>
      </c>
      <c r="D161">
        <v>32</v>
      </c>
      <c r="E161">
        <v>2</v>
      </c>
    </row>
    <row r="162" spans="1:5" x14ac:dyDescent="0.3">
      <c r="A162">
        <f t="shared" ref="A162:A180" si="5">VALUE(B162&amp;TEXT(D162,"0000"))</f>
        <v>206010005</v>
      </c>
      <c r="B162">
        <v>20601</v>
      </c>
      <c r="C162" t="s">
        <v>90</v>
      </c>
      <c r="D162">
        <v>5</v>
      </c>
      <c r="E162">
        <v>1</v>
      </c>
    </row>
    <row r="163" spans="1:5" x14ac:dyDescent="0.3">
      <c r="A163">
        <f t="shared" si="5"/>
        <v>206310001</v>
      </c>
      <c r="B163">
        <v>20631</v>
      </c>
      <c r="C163" t="s">
        <v>96</v>
      </c>
      <c r="D163">
        <v>1</v>
      </c>
      <c r="E163">
        <v>2</v>
      </c>
    </row>
    <row r="164" spans="1:5" x14ac:dyDescent="0.3">
      <c r="A164">
        <f t="shared" si="5"/>
        <v>206310002</v>
      </c>
      <c r="B164">
        <v>20631</v>
      </c>
      <c r="C164" t="s">
        <v>96</v>
      </c>
      <c r="D164">
        <v>2</v>
      </c>
      <c r="E164">
        <v>2</v>
      </c>
    </row>
    <row r="165" spans="1:5" x14ac:dyDescent="0.3">
      <c r="A165">
        <f t="shared" si="5"/>
        <v>206310003</v>
      </c>
      <c r="B165">
        <v>20631</v>
      </c>
      <c r="C165" t="s">
        <v>96</v>
      </c>
      <c r="D165">
        <v>3</v>
      </c>
      <c r="E165">
        <v>2</v>
      </c>
    </row>
    <row r="166" spans="1:5" x14ac:dyDescent="0.3">
      <c r="A166">
        <f t="shared" si="5"/>
        <v>206310004</v>
      </c>
      <c r="B166">
        <v>20631</v>
      </c>
      <c r="C166" t="s">
        <v>96</v>
      </c>
      <c r="D166">
        <v>4</v>
      </c>
      <c r="E166">
        <v>1</v>
      </c>
    </row>
    <row r="167" spans="1:5" x14ac:dyDescent="0.3">
      <c r="A167">
        <f t="shared" si="5"/>
        <v>206310005</v>
      </c>
      <c r="B167">
        <v>20631</v>
      </c>
      <c r="C167" t="s">
        <v>96</v>
      </c>
      <c r="D167">
        <v>5</v>
      </c>
      <c r="E167">
        <v>1</v>
      </c>
    </row>
    <row r="168" spans="1:5" x14ac:dyDescent="0.3">
      <c r="A168">
        <f t="shared" si="5"/>
        <v>206310006</v>
      </c>
      <c r="B168">
        <v>20631</v>
      </c>
      <c r="C168" t="s">
        <v>96</v>
      </c>
      <c r="D168">
        <v>6</v>
      </c>
      <c r="E168">
        <v>2</v>
      </c>
    </row>
    <row r="169" spans="1:5" x14ac:dyDescent="0.3">
      <c r="A169">
        <f t="shared" si="5"/>
        <v>206310007</v>
      </c>
      <c r="B169">
        <v>20631</v>
      </c>
      <c r="C169" t="s">
        <v>96</v>
      </c>
      <c r="D169">
        <v>7</v>
      </c>
      <c r="E169">
        <v>2</v>
      </c>
    </row>
    <row r="170" spans="1:5" x14ac:dyDescent="0.3">
      <c r="A170">
        <f t="shared" si="5"/>
        <v>206310008</v>
      </c>
      <c r="B170">
        <v>20631</v>
      </c>
      <c r="C170" t="s">
        <v>96</v>
      </c>
      <c r="D170">
        <v>8</v>
      </c>
      <c r="E170">
        <v>2</v>
      </c>
    </row>
    <row r="171" spans="1:5" x14ac:dyDescent="0.3">
      <c r="A171">
        <f t="shared" si="5"/>
        <v>206310009</v>
      </c>
      <c r="B171">
        <v>20631</v>
      </c>
      <c r="C171" t="s">
        <v>96</v>
      </c>
      <c r="D171">
        <v>9</v>
      </c>
      <c r="E171">
        <v>2</v>
      </c>
    </row>
    <row r="172" spans="1:5" x14ac:dyDescent="0.3">
      <c r="A172">
        <f t="shared" si="5"/>
        <v>206310013</v>
      </c>
      <c r="B172">
        <v>20631</v>
      </c>
      <c r="C172" t="s">
        <v>96</v>
      </c>
      <c r="D172">
        <v>13</v>
      </c>
      <c r="E172">
        <v>2</v>
      </c>
    </row>
    <row r="173" spans="1:5" x14ac:dyDescent="0.3">
      <c r="A173">
        <f t="shared" si="5"/>
        <v>206310014</v>
      </c>
      <c r="B173">
        <v>20631</v>
      </c>
      <c r="C173" t="s">
        <v>96</v>
      </c>
      <c r="D173">
        <v>14</v>
      </c>
      <c r="E173">
        <v>1</v>
      </c>
    </row>
    <row r="174" spans="1:5" x14ac:dyDescent="0.3">
      <c r="A174">
        <f t="shared" si="5"/>
        <v>206310015</v>
      </c>
      <c r="B174">
        <v>20631</v>
      </c>
      <c r="C174" t="s">
        <v>96</v>
      </c>
      <c r="D174">
        <v>15</v>
      </c>
      <c r="E174">
        <v>1</v>
      </c>
    </row>
    <row r="175" spans="1:5" x14ac:dyDescent="0.3">
      <c r="A175">
        <f t="shared" si="5"/>
        <v>206310016</v>
      </c>
      <c r="B175">
        <v>20631</v>
      </c>
      <c r="C175" t="s">
        <v>96</v>
      </c>
      <c r="D175">
        <v>16</v>
      </c>
      <c r="E175">
        <v>1</v>
      </c>
    </row>
    <row r="176" spans="1:5" x14ac:dyDescent="0.3">
      <c r="A176">
        <f t="shared" si="5"/>
        <v>206310017</v>
      </c>
      <c r="B176">
        <v>20631</v>
      </c>
      <c r="C176" t="s">
        <v>96</v>
      </c>
      <c r="D176">
        <v>17</v>
      </c>
      <c r="E176">
        <v>1</v>
      </c>
    </row>
    <row r="177" spans="1:5" x14ac:dyDescent="0.3">
      <c r="A177">
        <f t="shared" si="5"/>
        <v>206310018</v>
      </c>
      <c r="B177">
        <v>20631</v>
      </c>
      <c r="C177" t="s">
        <v>96</v>
      </c>
      <c r="D177">
        <v>18</v>
      </c>
      <c r="E177">
        <v>1</v>
      </c>
    </row>
    <row r="178" spans="1:5" x14ac:dyDescent="0.3">
      <c r="A178">
        <f t="shared" si="5"/>
        <v>206310019</v>
      </c>
      <c r="B178">
        <v>20631</v>
      </c>
      <c r="C178" t="s">
        <v>96</v>
      </c>
      <c r="D178">
        <v>19</v>
      </c>
      <c r="E178">
        <v>1</v>
      </c>
    </row>
    <row r="179" spans="1:5" x14ac:dyDescent="0.3">
      <c r="A179">
        <f t="shared" si="5"/>
        <v>206310020</v>
      </c>
      <c r="B179">
        <v>20631</v>
      </c>
      <c r="C179" t="s">
        <v>96</v>
      </c>
      <c r="D179">
        <v>20</v>
      </c>
      <c r="E179">
        <v>1</v>
      </c>
    </row>
    <row r="180" spans="1:5" x14ac:dyDescent="0.3">
      <c r="A180">
        <f t="shared" si="5"/>
        <v>206310021</v>
      </c>
      <c r="B180">
        <v>20631</v>
      </c>
      <c r="C180" t="s">
        <v>96</v>
      </c>
      <c r="D180">
        <v>21</v>
      </c>
      <c r="E180">
        <v>1</v>
      </c>
    </row>
  </sheetData>
  <sortState xmlns:xlrd2="http://schemas.microsoft.com/office/spreadsheetml/2017/richdata2" ref="A2:E181">
    <sortCondition ref="B2:B181"/>
    <sortCondition ref="D2:D181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88F50-008B-4FA5-82FC-A315F275F5E1}">
  <dimension ref="A1:AL118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2.77734375" defaultRowHeight="14.4" x14ac:dyDescent="0.3"/>
  <cols>
    <col min="1" max="1" width="6.6640625" customWidth="1"/>
    <col min="2" max="2" width="27" bestFit="1" customWidth="1"/>
    <col min="3" max="3" width="6.21875" customWidth="1"/>
    <col min="4" max="4" width="23.33203125" bestFit="1" customWidth="1"/>
    <col min="5" max="5" width="4.44140625" customWidth="1"/>
    <col min="6" max="6" width="4.33203125" customWidth="1"/>
    <col min="7" max="7" width="12.6640625" bestFit="1" customWidth="1"/>
    <col min="8" max="8" width="11" style="16" bestFit="1" customWidth="1"/>
    <col min="9" max="9" width="6.88671875" bestFit="1" customWidth="1"/>
    <col min="10" max="10" width="13.88671875" bestFit="1" customWidth="1"/>
    <col min="11" max="11" width="2" bestFit="1" customWidth="1"/>
    <col min="12" max="12" width="4.88671875" style="61" bestFit="1" customWidth="1"/>
    <col min="13" max="13" width="5.5546875" style="61" bestFit="1" customWidth="1"/>
    <col min="14" max="14" width="4.88671875" style="61" bestFit="1" customWidth="1"/>
    <col min="15" max="15" width="7.109375" style="61" bestFit="1" customWidth="1"/>
    <col min="18" max="18" width="15.88671875" bestFit="1" customWidth="1"/>
    <col min="19" max="19" width="14.6640625" bestFit="1" customWidth="1"/>
    <col min="20" max="20" width="10.88671875" bestFit="1" customWidth="1"/>
    <col min="21" max="21" width="14.6640625" bestFit="1" customWidth="1"/>
    <col min="22" max="22" width="9.21875" bestFit="1" customWidth="1"/>
    <col min="23" max="23" width="9.77734375" bestFit="1" customWidth="1"/>
    <col min="24" max="24" width="7.5546875" bestFit="1" customWidth="1"/>
    <col min="25" max="25" width="6.109375" bestFit="1" customWidth="1"/>
    <col min="32" max="32" width="15.88671875" bestFit="1" customWidth="1"/>
    <col min="33" max="33" width="10.88671875" bestFit="1" customWidth="1"/>
    <col min="34" max="35" width="14.6640625" bestFit="1" customWidth="1"/>
    <col min="36" max="36" width="12" bestFit="1" customWidth="1"/>
    <col min="37" max="37" width="7.5546875" bestFit="1" customWidth="1"/>
    <col min="38" max="38" width="6.109375" bestFit="1" customWidth="1"/>
  </cols>
  <sheetData>
    <row r="1" spans="1:38" x14ac:dyDescent="0.3">
      <c r="A1" t="s">
        <v>286</v>
      </c>
      <c r="B1" t="s">
        <v>286</v>
      </c>
      <c r="C1" t="s">
        <v>288</v>
      </c>
      <c r="D1" t="s">
        <v>288</v>
      </c>
      <c r="E1" t="s">
        <v>289</v>
      </c>
      <c r="F1" t="s">
        <v>289</v>
      </c>
      <c r="G1" t="s">
        <v>301</v>
      </c>
      <c r="H1" s="16" t="s">
        <v>290</v>
      </c>
      <c r="I1" t="s">
        <v>291</v>
      </c>
      <c r="J1" t="s">
        <v>324</v>
      </c>
      <c r="R1" t="s">
        <v>315</v>
      </c>
      <c r="S1" t="s">
        <v>0</v>
      </c>
      <c r="T1" t="s">
        <v>320</v>
      </c>
      <c r="U1" t="s">
        <v>2</v>
      </c>
      <c r="V1" t="s">
        <v>316</v>
      </c>
      <c r="W1" t="s">
        <v>317</v>
      </c>
      <c r="X1" t="s">
        <v>318</v>
      </c>
      <c r="Y1" t="s">
        <v>319</v>
      </c>
      <c r="AF1" t="s">
        <v>315</v>
      </c>
      <c r="AG1" t="s">
        <v>320</v>
      </c>
      <c r="AH1" t="s">
        <v>0</v>
      </c>
      <c r="AI1" t="s">
        <v>2</v>
      </c>
      <c r="AJ1" t="s">
        <v>321</v>
      </c>
      <c r="AK1" t="s">
        <v>318</v>
      </c>
      <c r="AL1" t="s">
        <v>319</v>
      </c>
    </row>
    <row r="2" spans="1:38" x14ac:dyDescent="0.3">
      <c r="A2">
        <v>2805</v>
      </c>
      <c r="B2" t="s">
        <v>287</v>
      </c>
      <c r="C2">
        <v>20305</v>
      </c>
      <c r="D2" t="s">
        <v>22</v>
      </c>
      <c r="F2">
        <f>382</f>
        <v>382</v>
      </c>
      <c r="H2" s="16">
        <v>25.17</v>
      </c>
      <c r="I2" t="s">
        <v>292</v>
      </c>
      <c r="J2" s="13" t="str">
        <f>IF(MAX(_xlfn.MAXIFS(T:T,S:S,C2,U:U,E2),_xlfn.MAXIFS(AG:AG,AH:AH,C2,AI:AI,E2))=0,"",MAX(_xlfn.MAXIFS(T:T,S:S,C2,U:U,E2),_xlfn.MAXIFS(AG:AG,AH:AH,C2,AI:AI,E2)))</f>
        <v/>
      </c>
      <c r="K2">
        <f>COUNTIFS(TABELA!A:A,C2,TABELA!C:C,E2)</f>
        <v>0</v>
      </c>
      <c r="L2" s="61">
        <f>SUMIFS(TABELA!M:M,TABELA!A:A,C2,TABELA!C:C,E2)</f>
        <v>0</v>
      </c>
      <c r="M2" s="61">
        <f>IF(L2&gt;0,H2-L2,0)</f>
        <v>0</v>
      </c>
      <c r="N2" s="61">
        <f>SUMIFS(X:X,S:S,C2,U:U,E2)+SUMIFS(AK:AK,AH:AH,C2,AI:AI,E2)</f>
        <v>0</v>
      </c>
      <c r="O2" s="61" t="e">
        <f t="shared" ref="O2:O47" si="0">SUMIFS(W:W,S:S,C2)/SUMIFS(X:X,S:S,C2)/10</f>
        <v>#DIV/0!</v>
      </c>
      <c r="R2">
        <v>2805</v>
      </c>
      <c r="S2">
        <v>20314</v>
      </c>
      <c r="T2" s="13">
        <v>45535</v>
      </c>
      <c r="U2">
        <v>135</v>
      </c>
      <c r="V2" s="1">
        <v>115</v>
      </c>
      <c r="W2" s="1">
        <v>23000</v>
      </c>
      <c r="X2" s="1">
        <v>41.34</v>
      </c>
      <c r="Y2" s="1">
        <v>55.64</v>
      </c>
      <c r="AF2">
        <v>2720</v>
      </c>
      <c r="AG2" s="13">
        <v>45626</v>
      </c>
      <c r="AH2">
        <v>20305</v>
      </c>
      <c r="AI2">
        <v>189</v>
      </c>
      <c r="AJ2">
        <v>301.60000000000002</v>
      </c>
      <c r="AK2">
        <v>15.08</v>
      </c>
      <c r="AL2">
        <v>20</v>
      </c>
    </row>
    <row r="3" spans="1:38" x14ac:dyDescent="0.3">
      <c r="A3">
        <v>2805</v>
      </c>
      <c r="B3" t="s">
        <v>287</v>
      </c>
      <c r="C3">
        <v>20305</v>
      </c>
      <c r="D3" t="s">
        <v>22</v>
      </c>
      <c r="F3">
        <f>404</f>
        <v>404</v>
      </c>
      <c r="H3" s="16">
        <v>30</v>
      </c>
      <c r="I3" t="s">
        <v>292</v>
      </c>
      <c r="J3" s="13" t="str">
        <f t="shared" ref="J3:J47" si="1">IF(MAX(_xlfn.MAXIFS(T:T,S:S,C3,U:U,E3),_xlfn.MAXIFS(AG:AG,AH:AH,C3,AI:AI,E3))=0,"",MAX(_xlfn.MAXIFS(T:T,S:S,C3,U:U,E3),_xlfn.MAXIFS(AG:AG,AH:AH,C3,AI:AI,E3)))</f>
        <v/>
      </c>
      <c r="K3">
        <f>COUNTIFS(TABELA!A:A,C3,TABELA!C:C,E3)</f>
        <v>0</v>
      </c>
      <c r="L3" s="61">
        <f>SUMIFS(TABELA!M:M,TABELA!A:A,C3,TABELA!C:C,E3)</f>
        <v>0</v>
      </c>
      <c r="M3" s="61">
        <f t="shared" ref="M3:M47" si="2">IF(L3&gt;0,H3-L3,0)</f>
        <v>0</v>
      </c>
      <c r="N3" s="61">
        <f t="shared" ref="N3:N47" si="3">SUMIFS(X:X,S:S,C3,U:U,E3)+SUMIFS(AK:AK,AH:AH,C3,AI:AI,E3)</f>
        <v>0</v>
      </c>
      <c r="O3" s="61" t="e">
        <f t="shared" si="0"/>
        <v>#DIV/0!</v>
      </c>
      <c r="R3">
        <v>2805</v>
      </c>
      <c r="S3">
        <v>20314</v>
      </c>
      <c r="T3" s="13"/>
      <c r="U3">
        <v>135</v>
      </c>
      <c r="V3" s="1"/>
      <c r="W3" s="1"/>
      <c r="X3" s="1"/>
      <c r="Y3" s="1"/>
      <c r="AF3">
        <v>2720</v>
      </c>
      <c r="AG3" s="13">
        <v>45626</v>
      </c>
      <c r="AH3">
        <v>20305</v>
      </c>
      <c r="AI3">
        <v>190</v>
      </c>
      <c r="AJ3">
        <v>829</v>
      </c>
      <c r="AK3">
        <v>41.45</v>
      </c>
      <c r="AL3">
        <v>20</v>
      </c>
    </row>
    <row r="4" spans="1:38" x14ac:dyDescent="0.3">
      <c r="A4">
        <v>2805</v>
      </c>
      <c r="B4" t="s">
        <v>287</v>
      </c>
      <c r="C4">
        <v>20314</v>
      </c>
      <c r="D4" t="s">
        <v>27</v>
      </c>
      <c r="E4">
        <v>135</v>
      </c>
      <c r="F4">
        <v>135</v>
      </c>
      <c r="G4">
        <v>34</v>
      </c>
      <c r="H4" s="16">
        <v>41.34</v>
      </c>
      <c r="I4" t="s">
        <v>292</v>
      </c>
      <c r="J4" s="13">
        <f t="shared" si="1"/>
        <v>45535</v>
      </c>
      <c r="K4">
        <f>COUNTIFS(TABELA!A:A,C4,TABELA!C:C,E4)</f>
        <v>1</v>
      </c>
      <c r="L4" s="61">
        <f>SUMIFS(TABELA!M:M,TABELA!A:A,C4,TABELA!C:C,E4)</f>
        <v>50.74</v>
      </c>
      <c r="M4" s="61">
        <f t="shared" si="2"/>
        <v>-9.3999999999999986</v>
      </c>
      <c r="N4" s="61">
        <f t="shared" si="3"/>
        <v>41.34</v>
      </c>
      <c r="O4" s="61">
        <f t="shared" si="0"/>
        <v>33.402727421580785</v>
      </c>
      <c r="R4">
        <v>2805</v>
      </c>
      <c r="S4">
        <v>20314</v>
      </c>
      <c r="T4" s="13">
        <v>45535</v>
      </c>
      <c r="U4">
        <v>136</v>
      </c>
      <c r="V4" s="1">
        <v>23</v>
      </c>
      <c r="W4" s="1">
        <v>4600</v>
      </c>
      <c r="X4" s="1">
        <v>59.17</v>
      </c>
      <c r="Y4" s="1">
        <v>7.77</v>
      </c>
      <c r="AF4">
        <v>2720</v>
      </c>
      <c r="AG4" s="13">
        <v>45626</v>
      </c>
      <c r="AH4">
        <v>20305</v>
      </c>
      <c r="AI4">
        <v>191</v>
      </c>
      <c r="AJ4">
        <v>952.6</v>
      </c>
      <c r="AK4">
        <v>47.63</v>
      </c>
      <c r="AL4">
        <v>20</v>
      </c>
    </row>
    <row r="5" spans="1:38" x14ac:dyDescent="0.3">
      <c r="A5">
        <v>2805</v>
      </c>
      <c r="B5" t="s">
        <v>287</v>
      </c>
      <c r="C5">
        <v>20314</v>
      </c>
      <c r="D5" t="s">
        <v>27</v>
      </c>
      <c r="E5">
        <v>136</v>
      </c>
      <c r="F5">
        <v>136</v>
      </c>
      <c r="G5">
        <v>34</v>
      </c>
      <c r="H5" s="16">
        <v>59.17</v>
      </c>
      <c r="I5" t="s">
        <v>292</v>
      </c>
      <c r="J5" s="13">
        <f t="shared" si="1"/>
        <v>45535</v>
      </c>
      <c r="K5">
        <f>COUNTIFS(TABELA!A:A,C5,TABELA!C:C,E5)</f>
        <v>1</v>
      </c>
      <c r="L5" s="61">
        <f>SUMIFS(TABELA!M:M,TABELA!A:A,C5,TABELA!C:C,E5)</f>
        <v>68.88</v>
      </c>
      <c r="M5" s="61">
        <f t="shared" si="2"/>
        <v>-9.7099999999999937</v>
      </c>
      <c r="N5" s="61">
        <f t="shared" si="3"/>
        <v>59.17</v>
      </c>
      <c r="O5" s="61">
        <f t="shared" si="0"/>
        <v>33.402727421580785</v>
      </c>
      <c r="R5">
        <v>2805</v>
      </c>
      <c r="S5">
        <v>20314</v>
      </c>
      <c r="T5" s="13"/>
      <c r="U5">
        <v>136</v>
      </c>
      <c r="V5" s="1"/>
      <c r="W5" s="1"/>
      <c r="X5" s="1"/>
      <c r="Y5" s="1"/>
      <c r="AF5">
        <v>2720</v>
      </c>
      <c r="AG5" s="13">
        <v>45626</v>
      </c>
      <c r="AH5">
        <v>20305</v>
      </c>
      <c r="AI5">
        <v>192</v>
      </c>
      <c r="AJ5">
        <v>536.79999999999995</v>
      </c>
      <c r="AK5">
        <v>26.84</v>
      </c>
      <c r="AL5">
        <v>20</v>
      </c>
    </row>
    <row r="6" spans="1:38" x14ac:dyDescent="0.3">
      <c r="A6">
        <v>2805</v>
      </c>
      <c r="B6" t="s">
        <v>287</v>
      </c>
      <c r="C6">
        <v>20314</v>
      </c>
      <c r="D6" t="s">
        <v>27</v>
      </c>
      <c r="E6">
        <v>138</v>
      </c>
      <c r="F6">
        <v>138</v>
      </c>
      <c r="G6">
        <v>34</v>
      </c>
      <c r="H6" s="16">
        <v>37.79</v>
      </c>
      <c r="I6" t="s">
        <v>292</v>
      </c>
      <c r="J6" s="13">
        <f t="shared" si="1"/>
        <v>45535</v>
      </c>
      <c r="K6">
        <f>COUNTIFS(TABELA!A:A,C6,TABELA!C:C,E6)</f>
        <v>1</v>
      </c>
      <c r="L6" s="61">
        <f>SUMIFS(TABELA!M:M,TABELA!A:A,C6,TABELA!C:C,E6)</f>
        <v>43.34</v>
      </c>
      <c r="M6" s="61">
        <f t="shared" si="2"/>
        <v>-5.5500000000000043</v>
      </c>
      <c r="N6" s="61">
        <f t="shared" si="3"/>
        <v>37.79</v>
      </c>
      <c r="O6" s="61">
        <f t="shared" si="0"/>
        <v>33.402727421580785</v>
      </c>
      <c r="R6">
        <v>2805</v>
      </c>
      <c r="S6">
        <v>20314</v>
      </c>
      <c r="T6" s="13"/>
      <c r="U6">
        <v>137</v>
      </c>
      <c r="V6" s="1"/>
      <c r="W6" s="1"/>
      <c r="X6" s="1"/>
      <c r="Y6" s="1"/>
      <c r="AF6">
        <v>2720</v>
      </c>
      <c r="AG6" s="13">
        <v>45596</v>
      </c>
      <c r="AH6">
        <v>20322</v>
      </c>
      <c r="AI6">
        <v>1</v>
      </c>
      <c r="AJ6">
        <v>142.74</v>
      </c>
      <c r="AK6">
        <v>5.49</v>
      </c>
      <c r="AL6">
        <v>26</v>
      </c>
    </row>
    <row r="7" spans="1:38" x14ac:dyDescent="0.3">
      <c r="A7">
        <v>2805</v>
      </c>
      <c r="B7" t="s">
        <v>287</v>
      </c>
      <c r="C7">
        <v>20314</v>
      </c>
      <c r="D7" t="s">
        <v>27</v>
      </c>
      <c r="E7">
        <v>139</v>
      </c>
      <c r="F7">
        <v>139</v>
      </c>
      <c r="G7">
        <v>34</v>
      </c>
      <c r="H7" s="16">
        <v>32.33</v>
      </c>
      <c r="I7" t="s">
        <v>292</v>
      </c>
      <c r="J7" s="13">
        <f t="shared" si="1"/>
        <v>45535</v>
      </c>
      <c r="K7">
        <f>COUNTIFS(TABELA!A:A,C7,TABELA!C:C,E7)</f>
        <v>1</v>
      </c>
      <c r="L7" s="61">
        <f>SUMIFS(TABELA!M:M,TABELA!A:A,C7,TABELA!C:C,E7)</f>
        <v>39.659999999999997</v>
      </c>
      <c r="M7" s="61">
        <f t="shared" si="2"/>
        <v>-7.3299999999999983</v>
      </c>
      <c r="N7" s="61">
        <f t="shared" si="3"/>
        <v>32.33</v>
      </c>
      <c r="O7" s="61">
        <f t="shared" si="0"/>
        <v>33.402727421580785</v>
      </c>
      <c r="R7">
        <v>2805</v>
      </c>
      <c r="S7">
        <v>20314</v>
      </c>
      <c r="T7" s="13">
        <v>45535</v>
      </c>
      <c r="U7">
        <v>138</v>
      </c>
      <c r="V7" s="1">
        <v>12</v>
      </c>
      <c r="W7" s="1">
        <v>2400</v>
      </c>
      <c r="X7" s="1">
        <v>37.79</v>
      </c>
      <c r="Y7" s="1">
        <v>6.35</v>
      </c>
      <c r="AF7">
        <v>2720</v>
      </c>
      <c r="AG7" s="13">
        <v>45596</v>
      </c>
      <c r="AH7">
        <v>20322</v>
      </c>
      <c r="AI7">
        <v>2</v>
      </c>
      <c r="AJ7">
        <v>99.32</v>
      </c>
      <c r="AK7">
        <v>3.82</v>
      </c>
      <c r="AL7">
        <v>26</v>
      </c>
    </row>
    <row r="8" spans="1:38" x14ac:dyDescent="0.3">
      <c r="A8">
        <v>2805</v>
      </c>
      <c r="B8" t="s">
        <v>287</v>
      </c>
      <c r="C8">
        <v>20314</v>
      </c>
      <c r="D8" t="s">
        <v>27</v>
      </c>
      <c r="E8">
        <v>388</v>
      </c>
      <c r="F8">
        <v>388</v>
      </c>
      <c r="G8">
        <v>34</v>
      </c>
      <c r="H8" s="16">
        <v>21.26</v>
      </c>
      <c r="I8" t="s">
        <v>292</v>
      </c>
      <c r="J8" s="13">
        <f t="shared" si="1"/>
        <v>45504</v>
      </c>
      <c r="K8">
        <f>COUNTIFS(TABELA!A:A,C8,TABELA!C:C,E8)</f>
        <v>1</v>
      </c>
      <c r="L8" s="61">
        <f>SUMIFS(TABELA!M:M,TABELA!A:A,C8,TABELA!C:C,E8)</f>
        <v>0</v>
      </c>
      <c r="M8" s="61">
        <f t="shared" si="2"/>
        <v>0</v>
      </c>
      <c r="N8" s="61">
        <f t="shared" si="3"/>
        <v>21.259999999999998</v>
      </c>
      <c r="O8" s="61">
        <f t="shared" si="0"/>
        <v>33.402727421580785</v>
      </c>
      <c r="R8">
        <v>2805</v>
      </c>
      <c r="S8">
        <v>20314</v>
      </c>
      <c r="T8" s="13"/>
      <c r="U8">
        <v>138</v>
      </c>
      <c r="V8" s="1"/>
      <c r="W8" s="1"/>
      <c r="X8" s="1"/>
      <c r="Y8" s="1"/>
      <c r="AF8">
        <v>2720</v>
      </c>
      <c r="AG8" s="13">
        <v>45596</v>
      </c>
      <c r="AH8">
        <v>20322</v>
      </c>
      <c r="AI8">
        <v>3</v>
      </c>
      <c r="AJ8">
        <v>96.72</v>
      </c>
      <c r="AK8">
        <v>3.72</v>
      </c>
      <c r="AL8">
        <v>26</v>
      </c>
    </row>
    <row r="9" spans="1:38" x14ac:dyDescent="0.3">
      <c r="A9">
        <v>2805</v>
      </c>
      <c r="B9" t="s">
        <v>287</v>
      </c>
      <c r="C9">
        <v>20314</v>
      </c>
      <c r="D9" t="s">
        <v>27</v>
      </c>
      <c r="E9">
        <v>389</v>
      </c>
      <c r="F9">
        <v>389</v>
      </c>
      <c r="G9">
        <v>34</v>
      </c>
      <c r="H9" s="16">
        <v>29.82</v>
      </c>
      <c r="I9" t="s">
        <v>292</v>
      </c>
      <c r="J9" s="13">
        <f t="shared" si="1"/>
        <v>45504</v>
      </c>
      <c r="K9">
        <f>COUNTIFS(TABELA!A:A,C9,TABELA!C:C,E9)</f>
        <v>1</v>
      </c>
      <c r="L9" s="61">
        <f>SUMIFS(TABELA!M:M,TABELA!A:A,C9,TABELA!C:C,E9)</f>
        <v>0</v>
      </c>
      <c r="M9" s="61">
        <f t="shared" si="2"/>
        <v>0</v>
      </c>
      <c r="N9" s="61">
        <f t="shared" si="3"/>
        <v>29.82</v>
      </c>
      <c r="O9" s="61">
        <f t="shared" si="0"/>
        <v>33.402727421580785</v>
      </c>
      <c r="R9">
        <v>2805</v>
      </c>
      <c r="S9">
        <v>20314</v>
      </c>
      <c r="T9" s="13">
        <v>45535</v>
      </c>
      <c r="U9">
        <v>139</v>
      </c>
      <c r="V9" s="1">
        <v>45</v>
      </c>
      <c r="W9" s="1">
        <v>9000</v>
      </c>
      <c r="X9" s="1">
        <v>32.33</v>
      </c>
      <c r="Y9" s="1">
        <v>27.84</v>
      </c>
      <c r="AF9">
        <v>2720</v>
      </c>
      <c r="AG9" s="13">
        <v>45596</v>
      </c>
      <c r="AH9">
        <v>20322</v>
      </c>
      <c r="AI9">
        <v>4</v>
      </c>
      <c r="AJ9">
        <v>102.18</v>
      </c>
      <c r="AK9">
        <v>3.93</v>
      </c>
      <c r="AL9">
        <v>26</v>
      </c>
    </row>
    <row r="10" spans="1:38" x14ac:dyDescent="0.3">
      <c r="A10">
        <v>2805</v>
      </c>
      <c r="B10" t="s">
        <v>287</v>
      </c>
      <c r="C10">
        <v>20314</v>
      </c>
      <c r="D10" t="s">
        <v>27</v>
      </c>
      <c r="E10">
        <v>392</v>
      </c>
      <c r="F10">
        <v>392</v>
      </c>
      <c r="G10">
        <v>34</v>
      </c>
      <c r="H10" s="16">
        <v>35.07</v>
      </c>
      <c r="I10" t="s">
        <v>292</v>
      </c>
      <c r="J10" s="13">
        <f t="shared" si="1"/>
        <v>45504</v>
      </c>
      <c r="K10">
        <f>COUNTIFS(TABELA!A:A,C10,TABELA!C:C,E10)</f>
        <v>1</v>
      </c>
      <c r="L10" s="61">
        <f>SUMIFS(TABELA!M:M,TABELA!A:A,C10,TABELA!C:C,E10)</f>
        <v>0</v>
      </c>
      <c r="M10" s="61">
        <f t="shared" si="2"/>
        <v>0</v>
      </c>
      <c r="N10" s="61">
        <f t="shared" si="3"/>
        <v>35.07</v>
      </c>
      <c r="O10" s="61">
        <f t="shared" si="0"/>
        <v>33.402727421580785</v>
      </c>
      <c r="R10">
        <v>2805</v>
      </c>
      <c r="S10">
        <v>20314</v>
      </c>
      <c r="T10" s="13"/>
      <c r="U10">
        <v>139</v>
      </c>
      <c r="V10" s="1"/>
      <c r="W10" s="1"/>
      <c r="X10" s="1"/>
      <c r="Y10" s="1"/>
      <c r="AF10">
        <v>2720</v>
      </c>
      <c r="AG10" s="13">
        <v>45596</v>
      </c>
      <c r="AH10">
        <v>20322</v>
      </c>
      <c r="AI10">
        <v>5</v>
      </c>
      <c r="AJ10">
        <v>114.66</v>
      </c>
      <c r="AK10">
        <v>4.41</v>
      </c>
      <c r="AL10">
        <v>26</v>
      </c>
    </row>
    <row r="11" spans="1:38" x14ac:dyDescent="0.3">
      <c r="A11">
        <v>2805</v>
      </c>
      <c r="B11" t="s">
        <v>287</v>
      </c>
      <c r="C11">
        <v>20314</v>
      </c>
      <c r="D11" t="s">
        <v>27</v>
      </c>
      <c r="F11">
        <f>393</f>
        <v>393</v>
      </c>
      <c r="H11" s="16">
        <v>2.2999999999999998</v>
      </c>
      <c r="I11" t="s">
        <v>292</v>
      </c>
      <c r="J11" s="13" t="str">
        <f t="shared" si="1"/>
        <v/>
      </c>
      <c r="K11">
        <f>COUNTIFS(TABELA!A:A,C11,TABELA!C:C,E11)</f>
        <v>0</v>
      </c>
      <c r="L11" s="61">
        <f>SUMIFS(TABELA!M:M,TABELA!A:A,C11,TABELA!C:C,E11)</f>
        <v>0</v>
      </c>
      <c r="M11" s="61">
        <f t="shared" si="2"/>
        <v>0</v>
      </c>
      <c r="N11" s="61">
        <f t="shared" si="3"/>
        <v>0</v>
      </c>
      <c r="O11" s="61">
        <f t="shared" si="0"/>
        <v>33.402727421580785</v>
      </c>
      <c r="R11">
        <v>2805</v>
      </c>
      <c r="S11">
        <v>20314</v>
      </c>
      <c r="T11" s="13"/>
      <c r="U11">
        <v>385</v>
      </c>
      <c r="V11" s="1"/>
      <c r="W11" s="1"/>
      <c r="X11" s="1"/>
      <c r="Y11" s="1"/>
      <c r="AF11">
        <v>2720</v>
      </c>
      <c r="AG11" s="13">
        <v>45596</v>
      </c>
      <c r="AH11">
        <v>20322</v>
      </c>
      <c r="AI11">
        <v>6</v>
      </c>
      <c r="AJ11">
        <v>90.48</v>
      </c>
      <c r="AK11">
        <v>3.48</v>
      </c>
      <c r="AL11">
        <v>26</v>
      </c>
    </row>
    <row r="12" spans="1:38" x14ac:dyDescent="0.3">
      <c r="A12">
        <v>2805</v>
      </c>
      <c r="B12" t="s">
        <v>287</v>
      </c>
      <c r="C12">
        <v>20314</v>
      </c>
      <c r="D12" t="s">
        <v>27</v>
      </c>
      <c r="E12">
        <v>394</v>
      </c>
      <c r="F12">
        <v>394</v>
      </c>
      <c r="G12">
        <v>34</v>
      </c>
      <c r="H12" s="16">
        <v>19.93</v>
      </c>
      <c r="I12" t="s">
        <v>292</v>
      </c>
      <c r="J12" s="13">
        <f t="shared" si="1"/>
        <v>45504</v>
      </c>
      <c r="K12">
        <f>COUNTIFS(TABELA!A:A,C12,TABELA!C:C,E12)</f>
        <v>1</v>
      </c>
      <c r="L12" s="61">
        <f>SUMIFS(TABELA!M:M,TABELA!A:A,C12,TABELA!C:C,E12)</f>
        <v>0</v>
      </c>
      <c r="M12" s="61">
        <f t="shared" si="2"/>
        <v>0</v>
      </c>
      <c r="N12" s="61">
        <f t="shared" si="3"/>
        <v>19.93</v>
      </c>
      <c r="O12" s="61">
        <f t="shared" si="0"/>
        <v>33.402727421580785</v>
      </c>
      <c r="R12">
        <v>2805</v>
      </c>
      <c r="S12">
        <v>20314</v>
      </c>
      <c r="T12" s="13"/>
      <c r="U12">
        <v>386</v>
      </c>
      <c r="V12" s="1"/>
      <c r="W12" s="1"/>
      <c r="X12" s="1"/>
      <c r="Y12" s="1"/>
      <c r="AF12">
        <v>2720</v>
      </c>
      <c r="AG12" s="13">
        <v>45596</v>
      </c>
      <c r="AH12">
        <v>20322</v>
      </c>
      <c r="AI12">
        <v>7</v>
      </c>
      <c r="AJ12">
        <v>72.8</v>
      </c>
      <c r="AK12">
        <v>2.8</v>
      </c>
      <c r="AL12">
        <v>26</v>
      </c>
    </row>
    <row r="13" spans="1:38" x14ac:dyDescent="0.3">
      <c r="A13">
        <v>2805</v>
      </c>
      <c r="B13" t="s">
        <v>287</v>
      </c>
      <c r="C13">
        <v>20314</v>
      </c>
      <c r="D13" t="s">
        <v>27</v>
      </c>
      <c r="F13">
        <f>395</f>
        <v>395</v>
      </c>
      <c r="H13" s="16">
        <v>7.1</v>
      </c>
      <c r="I13" t="s">
        <v>292</v>
      </c>
      <c r="J13" s="13" t="str">
        <f t="shared" si="1"/>
        <v/>
      </c>
      <c r="K13">
        <f>COUNTIFS(TABELA!A:A,C13,TABELA!C:C,E13)</f>
        <v>0</v>
      </c>
      <c r="L13" s="61">
        <f>SUMIFS(TABELA!M:M,TABELA!A:A,C13,TABELA!C:C,E13)</f>
        <v>0</v>
      </c>
      <c r="M13" s="61">
        <f t="shared" si="2"/>
        <v>0</v>
      </c>
      <c r="N13" s="61">
        <f t="shared" si="3"/>
        <v>0</v>
      </c>
      <c r="O13" s="61">
        <f t="shared" si="0"/>
        <v>33.402727421580785</v>
      </c>
      <c r="R13">
        <v>2805</v>
      </c>
      <c r="S13">
        <v>20314</v>
      </c>
      <c r="T13" s="13"/>
      <c r="U13">
        <v>387</v>
      </c>
      <c r="V13" s="1"/>
      <c r="W13" s="1"/>
      <c r="X13" s="1"/>
      <c r="Y13" s="1"/>
      <c r="AF13">
        <v>2720</v>
      </c>
      <c r="AG13" s="13">
        <v>45596</v>
      </c>
      <c r="AH13">
        <v>20322</v>
      </c>
      <c r="AI13">
        <v>8</v>
      </c>
      <c r="AJ13">
        <v>99.32</v>
      </c>
      <c r="AK13">
        <v>3.82</v>
      </c>
      <c r="AL13">
        <v>26</v>
      </c>
    </row>
    <row r="14" spans="1:38" x14ac:dyDescent="0.3">
      <c r="A14">
        <v>2805</v>
      </c>
      <c r="B14" t="s">
        <v>287</v>
      </c>
      <c r="C14">
        <v>20314</v>
      </c>
      <c r="D14" t="s">
        <v>27</v>
      </c>
      <c r="F14">
        <v>396</v>
      </c>
      <c r="H14" s="16">
        <v>7.6</v>
      </c>
      <c r="I14" t="s">
        <v>292</v>
      </c>
      <c r="J14" s="13" t="str">
        <f t="shared" si="1"/>
        <v/>
      </c>
      <c r="K14">
        <f>COUNTIFS(TABELA!A:A,C14,TABELA!C:C,E14)</f>
        <v>0</v>
      </c>
      <c r="L14" s="61">
        <f>SUMIFS(TABELA!M:M,TABELA!A:A,C14,TABELA!C:C,E14)</f>
        <v>0</v>
      </c>
      <c r="M14" s="61">
        <f t="shared" si="2"/>
        <v>0</v>
      </c>
      <c r="N14" s="61">
        <f t="shared" si="3"/>
        <v>0</v>
      </c>
      <c r="O14" s="61">
        <f t="shared" si="0"/>
        <v>33.402727421580785</v>
      </c>
      <c r="R14">
        <v>2805</v>
      </c>
      <c r="S14">
        <v>20314</v>
      </c>
      <c r="T14" s="13">
        <v>45443</v>
      </c>
      <c r="U14">
        <v>388</v>
      </c>
      <c r="V14" s="1">
        <v>115</v>
      </c>
      <c r="W14" s="1">
        <v>23000</v>
      </c>
      <c r="X14" s="1">
        <v>6.9</v>
      </c>
      <c r="Y14" s="1">
        <v>333.33</v>
      </c>
      <c r="AF14">
        <v>2720</v>
      </c>
      <c r="AG14" s="13">
        <v>45626</v>
      </c>
      <c r="AH14">
        <v>20323</v>
      </c>
      <c r="AI14">
        <v>1</v>
      </c>
      <c r="AJ14">
        <v>50.2</v>
      </c>
      <c r="AK14">
        <v>2.5099999999999998</v>
      </c>
      <c r="AL14">
        <v>20</v>
      </c>
    </row>
    <row r="15" spans="1:38" x14ac:dyDescent="0.3">
      <c r="A15">
        <v>2805</v>
      </c>
      <c r="B15" t="s">
        <v>287</v>
      </c>
      <c r="C15">
        <v>20314</v>
      </c>
      <c r="D15" t="s">
        <v>27</v>
      </c>
      <c r="F15">
        <v>397</v>
      </c>
      <c r="H15" s="16">
        <v>7</v>
      </c>
      <c r="I15" t="s">
        <v>292</v>
      </c>
      <c r="J15" s="13" t="str">
        <f t="shared" si="1"/>
        <v/>
      </c>
      <c r="K15">
        <f>COUNTIFS(TABELA!A:A,C15,TABELA!C:C,E15)</f>
        <v>0</v>
      </c>
      <c r="L15" s="61">
        <f>SUMIFS(TABELA!M:M,TABELA!A:A,C15,TABELA!C:C,E15)</f>
        <v>0</v>
      </c>
      <c r="M15" s="61">
        <f t="shared" si="2"/>
        <v>0</v>
      </c>
      <c r="N15" s="61">
        <f t="shared" si="3"/>
        <v>0</v>
      </c>
      <c r="O15" s="61">
        <f t="shared" si="0"/>
        <v>33.402727421580785</v>
      </c>
      <c r="R15">
        <v>2805</v>
      </c>
      <c r="S15">
        <v>20314</v>
      </c>
      <c r="T15" s="13">
        <v>45504</v>
      </c>
      <c r="U15">
        <v>388</v>
      </c>
      <c r="V15" s="1"/>
      <c r="W15" s="1"/>
      <c r="X15" s="1">
        <v>14.36</v>
      </c>
      <c r="Y15" s="1"/>
      <c r="AF15">
        <v>2720</v>
      </c>
      <c r="AG15" s="13">
        <v>45626</v>
      </c>
      <c r="AH15">
        <v>20323</v>
      </c>
      <c r="AI15">
        <v>2</v>
      </c>
      <c r="AJ15">
        <v>251.6</v>
      </c>
      <c r="AK15">
        <v>12.58</v>
      </c>
      <c r="AL15">
        <v>20</v>
      </c>
    </row>
    <row r="16" spans="1:38" x14ac:dyDescent="0.3">
      <c r="A16">
        <v>2805</v>
      </c>
      <c r="B16" t="s">
        <v>287</v>
      </c>
      <c r="C16">
        <v>20314</v>
      </c>
      <c r="D16" t="s">
        <v>27</v>
      </c>
      <c r="E16">
        <v>501</v>
      </c>
      <c r="F16">
        <v>501</v>
      </c>
      <c r="G16">
        <v>34</v>
      </c>
      <c r="H16" s="16">
        <v>26</v>
      </c>
      <c r="I16" t="s">
        <v>292</v>
      </c>
      <c r="J16" s="13">
        <f t="shared" si="1"/>
        <v>45565</v>
      </c>
      <c r="K16">
        <f>COUNTIFS(TABELA!A:A,C16,TABELA!C:C,E16)</f>
        <v>1</v>
      </c>
      <c r="L16" s="61">
        <f>SUMIFS(TABELA!M:M,TABELA!A:A,C16,TABELA!C:C,E16)</f>
        <v>0</v>
      </c>
      <c r="M16" s="61">
        <f t="shared" si="2"/>
        <v>0</v>
      </c>
      <c r="N16" s="61">
        <f t="shared" si="3"/>
        <v>26</v>
      </c>
      <c r="O16" s="61">
        <f t="shared" si="0"/>
        <v>33.402727421580785</v>
      </c>
      <c r="R16">
        <v>2805</v>
      </c>
      <c r="S16">
        <v>20314</v>
      </c>
      <c r="T16" s="13"/>
      <c r="U16">
        <v>388</v>
      </c>
      <c r="V16" s="1"/>
      <c r="W16" s="1"/>
      <c r="X16" s="1"/>
      <c r="Y16" s="1"/>
      <c r="AF16">
        <v>2720</v>
      </c>
      <c r="AG16" s="13">
        <v>45626</v>
      </c>
      <c r="AH16">
        <v>20323</v>
      </c>
      <c r="AI16">
        <v>3</v>
      </c>
      <c r="AJ16">
        <v>498.2</v>
      </c>
      <c r="AK16">
        <v>24.91</v>
      </c>
      <c r="AL16">
        <v>20</v>
      </c>
    </row>
    <row r="17" spans="1:38" x14ac:dyDescent="0.3">
      <c r="A17">
        <v>2805</v>
      </c>
      <c r="B17" t="s">
        <v>287</v>
      </c>
      <c r="C17">
        <v>20314</v>
      </c>
      <c r="D17" t="s">
        <v>27</v>
      </c>
      <c r="E17">
        <v>502</v>
      </c>
      <c r="F17">
        <v>502</v>
      </c>
      <c r="G17">
        <v>34</v>
      </c>
      <c r="H17" s="16">
        <v>23.84</v>
      </c>
      <c r="I17" t="s">
        <v>292</v>
      </c>
      <c r="J17" s="13">
        <f t="shared" si="1"/>
        <v>45535</v>
      </c>
      <c r="K17">
        <f>COUNTIFS(TABELA!A:A,C17,TABELA!C:C,E17)</f>
        <v>1</v>
      </c>
      <c r="L17" s="61">
        <f>SUMIFS(TABELA!M:M,TABELA!A:A,C17,TABELA!C:C,E17)</f>
        <v>0</v>
      </c>
      <c r="M17" s="61">
        <f t="shared" si="2"/>
        <v>0</v>
      </c>
      <c r="N17" s="61">
        <f t="shared" si="3"/>
        <v>23.84</v>
      </c>
      <c r="O17" s="61">
        <f t="shared" si="0"/>
        <v>33.402727421580785</v>
      </c>
      <c r="R17">
        <v>2805</v>
      </c>
      <c r="S17">
        <v>20314</v>
      </c>
      <c r="T17" s="13">
        <v>45443</v>
      </c>
      <c r="U17">
        <v>389</v>
      </c>
      <c r="V17" s="1"/>
      <c r="W17" s="1"/>
      <c r="X17" s="1">
        <v>6.9</v>
      </c>
      <c r="Y17" s="1"/>
      <c r="AF17">
        <v>2720</v>
      </c>
      <c r="AG17" s="13">
        <v>45626</v>
      </c>
      <c r="AH17">
        <v>20323</v>
      </c>
      <c r="AI17">
        <v>4</v>
      </c>
      <c r="AJ17">
        <v>366</v>
      </c>
      <c r="AK17">
        <v>18.3</v>
      </c>
      <c r="AL17">
        <v>20</v>
      </c>
    </row>
    <row r="18" spans="1:38" x14ac:dyDescent="0.3">
      <c r="A18">
        <v>2805</v>
      </c>
      <c r="B18" t="s">
        <v>287</v>
      </c>
      <c r="C18">
        <v>20314</v>
      </c>
      <c r="D18" t="s">
        <v>27</v>
      </c>
      <c r="E18">
        <v>503</v>
      </c>
      <c r="F18">
        <v>503</v>
      </c>
      <c r="G18">
        <v>34</v>
      </c>
      <c r="H18" s="16">
        <v>28.93</v>
      </c>
      <c r="I18" t="s">
        <v>292</v>
      </c>
      <c r="J18" s="13">
        <f t="shared" si="1"/>
        <v>45535</v>
      </c>
      <c r="K18">
        <f>COUNTIFS(TABELA!A:A,C18,TABELA!C:C,E18)</f>
        <v>1</v>
      </c>
      <c r="L18" s="61">
        <f>SUMIFS(TABELA!M:M,TABELA!A:A,C18,TABELA!C:C,E18)</f>
        <v>0</v>
      </c>
      <c r="M18" s="61">
        <f t="shared" si="2"/>
        <v>0</v>
      </c>
      <c r="N18" s="61">
        <f t="shared" si="3"/>
        <v>28.93</v>
      </c>
      <c r="O18" s="61">
        <f t="shared" si="0"/>
        <v>33.402727421580785</v>
      </c>
      <c r="R18">
        <v>2805</v>
      </c>
      <c r="S18">
        <v>20314</v>
      </c>
      <c r="T18" s="13">
        <v>45504</v>
      </c>
      <c r="U18">
        <v>389</v>
      </c>
      <c r="V18" s="1"/>
      <c r="W18" s="1"/>
      <c r="X18" s="1">
        <v>22.92</v>
      </c>
      <c r="Y18" s="1"/>
      <c r="AF18">
        <v>2720</v>
      </c>
      <c r="AG18" s="13">
        <v>45626</v>
      </c>
      <c r="AH18">
        <v>20323</v>
      </c>
      <c r="AI18">
        <v>5</v>
      </c>
      <c r="AJ18">
        <v>137.4</v>
      </c>
      <c r="AK18">
        <v>6.87</v>
      </c>
      <c r="AL18">
        <v>20</v>
      </c>
    </row>
    <row r="19" spans="1:38" x14ac:dyDescent="0.3">
      <c r="A19">
        <v>2805</v>
      </c>
      <c r="B19" t="s">
        <v>287</v>
      </c>
      <c r="C19">
        <v>20314</v>
      </c>
      <c r="D19" t="s">
        <v>27</v>
      </c>
      <c r="E19">
        <v>507</v>
      </c>
      <c r="F19">
        <v>507</v>
      </c>
      <c r="G19">
        <v>34</v>
      </c>
      <c r="H19" s="16">
        <v>29.75</v>
      </c>
      <c r="I19" t="s">
        <v>292</v>
      </c>
      <c r="J19" s="13">
        <f t="shared" si="1"/>
        <v>45535</v>
      </c>
      <c r="K19">
        <f>COUNTIFS(TABELA!A:A,C19,TABELA!C:C,E19)</f>
        <v>1</v>
      </c>
      <c r="L19" s="61">
        <f>SUMIFS(TABELA!M:M,TABELA!A:A,C19,TABELA!C:C,E19)</f>
        <v>0</v>
      </c>
      <c r="M19" s="61">
        <f t="shared" si="2"/>
        <v>0</v>
      </c>
      <c r="N19" s="61">
        <f t="shared" si="3"/>
        <v>29.75</v>
      </c>
      <c r="O19" s="61">
        <f t="shared" si="0"/>
        <v>33.402727421580785</v>
      </c>
      <c r="R19">
        <v>2805</v>
      </c>
      <c r="S19">
        <v>20314</v>
      </c>
      <c r="T19" s="13"/>
      <c r="U19">
        <v>389</v>
      </c>
      <c r="V19" s="1"/>
      <c r="W19" s="1"/>
      <c r="X19" s="1"/>
      <c r="Y19" s="1"/>
      <c r="AF19">
        <v>2720</v>
      </c>
      <c r="AG19" s="13">
        <v>45626</v>
      </c>
      <c r="AH19">
        <v>20323</v>
      </c>
      <c r="AI19">
        <v>6</v>
      </c>
      <c r="AJ19">
        <v>226.2</v>
      </c>
      <c r="AK19">
        <v>11.31</v>
      </c>
      <c r="AL19">
        <v>20</v>
      </c>
    </row>
    <row r="20" spans="1:38" x14ac:dyDescent="0.3">
      <c r="A20">
        <v>2805</v>
      </c>
      <c r="B20" t="s">
        <v>287</v>
      </c>
      <c r="C20">
        <v>20314</v>
      </c>
      <c r="D20" t="s">
        <v>27</v>
      </c>
      <c r="E20">
        <v>508</v>
      </c>
      <c r="F20">
        <v>508</v>
      </c>
      <c r="G20">
        <v>34</v>
      </c>
      <c r="H20" s="16">
        <v>18.28</v>
      </c>
      <c r="I20" t="s">
        <v>292</v>
      </c>
      <c r="J20" s="13">
        <f t="shared" si="1"/>
        <v>45565</v>
      </c>
      <c r="K20">
        <f>COUNTIFS(TABELA!A:A,C20,TABELA!C:C,E20)</f>
        <v>1</v>
      </c>
      <c r="L20" s="61">
        <f>SUMIFS(TABELA!M:M,TABELA!A:A,C20,TABELA!C:C,E20)</f>
        <v>0</v>
      </c>
      <c r="M20" s="61">
        <f t="shared" si="2"/>
        <v>0</v>
      </c>
      <c r="N20" s="61">
        <f t="shared" si="3"/>
        <v>18.28</v>
      </c>
      <c r="O20" s="61">
        <f t="shared" si="0"/>
        <v>33.402727421580785</v>
      </c>
      <c r="R20">
        <v>2805</v>
      </c>
      <c r="S20">
        <v>20314</v>
      </c>
      <c r="T20" s="13"/>
      <c r="U20">
        <v>391</v>
      </c>
      <c r="V20" s="1"/>
      <c r="W20" s="1"/>
      <c r="X20" s="1"/>
      <c r="Y20" s="1"/>
      <c r="AF20">
        <v>2720</v>
      </c>
      <c r="AG20" s="13">
        <v>45626</v>
      </c>
      <c r="AH20">
        <v>20325</v>
      </c>
      <c r="AI20">
        <v>1</v>
      </c>
      <c r="AJ20">
        <v>718.4</v>
      </c>
      <c r="AK20">
        <v>35.92</v>
      </c>
      <c r="AL20">
        <v>20</v>
      </c>
    </row>
    <row r="21" spans="1:38" x14ac:dyDescent="0.3">
      <c r="A21">
        <v>2805</v>
      </c>
      <c r="B21" t="s">
        <v>287</v>
      </c>
      <c r="C21">
        <v>20315</v>
      </c>
      <c r="D21" t="s">
        <v>28</v>
      </c>
      <c r="F21">
        <v>7</v>
      </c>
      <c r="H21" s="16">
        <v>57.84</v>
      </c>
      <c r="I21" t="s">
        <v>292</v>
      </c>
      <c r="J21" s="13" t="str">
        <f t="shared" si="1"/>
        <v/>
      </c>
      <c r="K21">
        <f>COUNTIFS(TABELA!A:A,C21,TABELA!C:C,E21)</f>
        <v>0</v>
      </c>
      <c r="L21" s="61">
        <f>SUMIFS(TABELA!M:M,TABELA!A:A,C21,TABELA!C:C,E21)</f>
        <v>0</v>
      </c>
      <c r="M21" s="61">
        <f t="shared" si="2"/>
        <v>0</v>
      </c>
      <c r="N21" s="61">
        <f t="shared" si="3"/>
        <v>0</v>
      </c>
      <c r="O21" s="61" t="e">
        <f t="shared" si="0"/>
        <v>#DIV/0!</v>
      </c>
      <c r="R21">
        <v>2805</v>
      </c>
      <c r="S21">
        <v>20314</v>
      </c>
      <c r="T21" s="13">
        <v>45443</v>
      </c>
      <c r="U21">
        <v>392</v>
      </c>
      <c r="V21" s="1"/>
      <c r="W21" s="1"/>
      <c r="X21" s="1">
        <v>25.07</v>
      </c>
      <c r="Y21" s="1"/>
      <c r="AF21">
        <v>2720</v>
      </c>
      <c r="AG21" s="13">
        <v>45626</v>
      </c>
      <c r="AH21">
        <v>20325</v>
      </c>
      <c r="AI21">
        <v>2</v>
      </c>
      <c r="AJ21">
        <v>615.20000000000005</v>
      </c>
      <c r="AK21">
        <v>30.76</v>
      </c>
      <c r="AL21">
        <v>20</v>
      </c>
    </row>
    <row r="22" spans="1:38" x14ac:dyDescent="0.3">
      <c r="A22">
        <v>2805</v>
      </c>
      <c r="B22" t="s">
        <v>287</v>
      </c>
      <c r="C22">
        <v>20315</v>
      </c>
      <c r="D22" t="s">
        <v>28</v>
      </c>
      <c r="F22">
        <v>8</v>
      </c>
      <c r="H22" s="16">
        <v>35.270000000000003</v>
      </c>
      <c r="I22" t="s">
        <v>292</v>
      </c>
      <c r="J22" s="13" t="str">
        <f t="shared" si="1"/>
        <v/>
      </c>
      <c r="K22">
        <f>COUNTIFS(TABELA!A:A,C22,TABELA!C:C,E22)</f>
        <v>0</v>
      </c>
      <c r="L22" s="61">
        <f>SUMIFS(TABELA!M:M,TABELA!A:A,C22,TABELA!C:C,E22)</f>
        <v>0</v>
      </c>
      <c r="M22" s="61">
        <f t="shared" si="2"/>
        <v>0</v>
      </c>
      <c r="N22" s="61">
        <f t="shared" si="3"/>
        <v>0</v>
      </c>
      <c r="O22" s="61" t="e">
        <f t="shared" si="0"/>
        <v>#DIV/0!</v>
      </c>
      <c r="R22">
        <v>2805</v>
      </c>
      <c r="S22">
        <v>20314</v>
      </c>
      <c r="T22" s="13">
        <v>45504</v>
      </c>
      <c r="U22">
        <v>392</v>
      </c>
      <c r="V22" s="1"/>
      <c r="W22" s="1"/>
      <c r="X22" s="1">
        <v>10</v>
      </c>
      <c r="Y22" s="1"/>
      <c r="AF22">
        <v>2720</v>
      </c>
      <c r="AG22" s="13">
        <v>45626</v>
      </c>
      <c r="AH22">
        <v>20325</v>
      </c>
      <c r="AI22">
        <v>3</v>
      </c>
      <c r="AJ22">
        <v>462.2</v>
      </c>
      <c r="AK22">
        <v>23.11</v>
      </c>
      <c r="AL22">
        <v>20</v>
      </c>
    </row>
    <row r="23" spans="1:38" x14ac:dyDescent="0.3">
      <c r="A23">
        <v>2805</v>
      </c>
      <c r="B23" t="s">
        <v>287</v>
      </c>
      <c r="C23">
        <v>20431</v>
      </c>
      <c r="D23" t="s">
        <v>46</v>
      </c>
      <c r="E23">
        <v>3</v>
      </c>
      <c r="F23">
        <v>3</v>
      </c>
      <c r="G23">
        <v>20</v>
      </c>
      <c r="H23" s="16">
        <v>10.08</v>
      </c>
      <c r="I23" t="s">
        <v>292</v>
      </c>
      <c r="J23" s="13">
        <f t="shared" si="1"/>
        <v>45443</v>
      </c>
      <c r="K23">
        <f>COUNTIFS(TABELA!A:A,C23,TABELA!C:C,E23)</f>
        <v>1</v>
      </c>
      <c r="L23" s="61">
        <f>SUMIFS(TABELA!M:M,TABELA!A:A,C23,TABELA!C:C,E23)</f>
        <v>0</v>
      </c>
      <c r="M23" s="61">
        <f t="shared" si="2"/>
        <v>0</v>
      </c>
      <c r="N23" s="61">
        <f t="shared" si="3"/>
        <v>10.08</v>
      </c>
      <c r="O23" s="61">
        <f t="shared" si="0"/>
        <v>20.833333333333336</v>
      </c>
      <c r="R23">
        <v>2805</v>
      </c>
      <c r="S23">
        <v>20314</v>
      </c>
      <c r="T23" s="13"/>
      <c r="U23">
        <v>392</v>
      </c>
      <c r="V23" s="1"/>
      <c r="W23" s="1"/>
      <c r="X23" s="1"/>
      <c r="Y23" s="1"/>
      <c r="AF23">
        <v>2720</v>
      </c>
      <c r="AG23" s="13">
        <v>45626</v>
      </c>
      <c r="AH23">
        <v>20325</v>
      </c>
      <c r="AI23">
        <v>4</v>
      </c>
      <c r="AJ23">
        <v>104.4</v>
      </c>
      <c r="AK23">
        <v>5.22</v>
      </c>
      <c r="AL23">
        <v>20</v>
      </c>
    </row>
    <row r="24" spans="1:38" x14ac:dyDescent="0.3">
      <c r="A24">
        <v>2805</v>
      </c>
      <c r="B24" t="s">
        <v>287</v>
      </c>
      <c r="C24">
        <v>20431</v>
      </c>
      <c r="D24" t="s">
        <v>46</v>
      </c>
      <c r="E24">
        <v>4</v>
      </c>
      <c r="F24">
        <v>4</v>
      </c>
      <c r="G24">
        <v>20</v>
      </c>
      <c r="H24" s="16">
        <v>10.08</v>
      </c>
      <c r="I24" t="s">
        <v>292</v>
      </c>
      <c r="J24" s="13">
        <f t="shared" si="1"/>
        <v>45443</v>
      </c>
      <c r="K24">
        <f>COUNTIFS(TABELA!A:A,C24,TABELA!C:C,E24)</f>
        <v>1</v>
      </c>
      <c r="L24" s="61">
        <f>SUMIFS(TABELA!M:M,TABELA!A:A,C24,TABELA!C:C,E24)</f>
        <v>0</v>
      </c>
      <c r="M24" s="61">
        <f t="shared" si="2"/>
        <v>0</v>
      </c>
      <c r="N24" s="61">
        <f t="shared" si="3"/>
        <v>10.08</v>
      </c>
      <c r="O24" s="61">
        <f t="shared" si="0"/>
        <v>20.833333333333336</v>
      </c>
      <c r="R24">
        <v>2805</v>
      </c>
      <c r="S24">
        <v>20314</v>
      </c>
      <c r="T24" s="13">
        <v>45443</v>
      </c>
      <c r="U24">
        <v>393</v>
      </c>
      <c r="V24" s="1"/>
      <c r="W24" s="1"/>
      <c r="X24" s="1">
        <v>2.2999999999999998</v>
      </c>
      <c r="Y24" s="1"/>
      <c r="AF24">
        <v>2720</v>
      </c>
      <c r="AG24" s="13">
        <v>45626</v>
      </c>
      <c r="AH24">
        <v>20325</v>
      </c>
      <c r="AI24">
        <v>5</v>
      </c>
      <c r="AJ24">
        <v>989.4</v>
      </c>
      <c r="AK24">
        <v>49.47</v>
      </c>
      <c r="AL24">
        <v>20</v>
      </c>
    </row>
    <row r="25" spans="1:38" x14ac:dyDescent="0.3">
      <c r="A25">
        <v>2805</v>
      </c>
      <c r="B25" t="s">
        <v>287</v>
      </c>
      <c r="C25">
        <v>20431</v>
      </c>
      <c r="D25" t="s">
        <v>46</v>
      </c>
      <c r="E25">
        <v>15</v>
      </c>
      <c r="F25">
        <v>15</v>
      </c>
      <c r="G25">
        <v>20</v>
      </c>
      <c r="H25" s="16">
        <v>10.08</v>
      </c>
      <c r="I25" t="s">
        <v>292</v>
      </c>
      <c r="J25" s="13">
        <f t="shared" si="1"/>
        <v>45443</v>
      </c>
      <c r="K25">
        <f>COUNTIFS(TABELA!A:A,C25,TABELA!C:C,E25)</f>
        <v>1</v>
      </c>
      <c r="L25" s="61">
        <f>SUMIFS(TABELA!M:M,TABELA!A:A,C25,TABELA!C:C,E25)</f>
        <v>0</v>
      </c>
      <c r="M25" s="61">
        <f t="shared" si="2"/>
        <v>0</v>
      </c>
      <c r="N25" s="61">
        <f t="shared" si="3"/>
        <v>10.08</v>
      </c>
      <c r="O25" s="61">
        <f t="shared" si="0"/>
        <v>20.833333333333336</v>
      </c>
      <c r="R25">
        <v>2805</v>
      </c>
      <c r="S25">
        <v>20314</v>
      </c>
      <c r="T25" s="13"/>
      <c r="U25">
        <v>393</v>
      </c>
      <c r="V25" s="1"/>
      <c r="W25" s="1"/>
      <c r="X25" s="1"/>
      <c r="Y25" s="1"/>
      <c r="AF25">
        <v>2720</v>
      </c>
      <c r="AG25" s="13">
        <v>45596</v>
      </c>
      <c r="AH25">
        <v>20340</v>
      </c>
      <c r="AI25">
        <v>1</v>
      </c>
      <c r="AJ25">
        <v>640.12</v>
      </c>
      <c r="AK25">
        <v>24.62</v>
      </c>
      <c r="AL25">
        <v>26</v>
      </c>
    </row>
    <row r="26" spans="1:38" x14ac:dyDescent="0.3">
      <c r="A26">
        <v>2805</v>
      </c>
      <c r="B26" t="s">
        <v>287</v>
      </c>
      <c r="C26">
        <v>20431</v>
      </c>
      <c r="D26" t="s">
        <v>46</v>
      </c>
      <c r="E26">
        <v>16</v>
      </c>
      <c r="F26">
        <v>16</v>
      </c>
      <c r="G26">
        <v>20</v>
      </c>
      <c r="H26" s="16">
        <v>10.08</v>
      </c>
      <c r="I26" t="s">
        <v>292</v>
      </c>
      <c r="J26" s="13">
        <f t="shared" si="1"/>
        <v>45443</v>
      </c>
      <c r="K26">
        <f>COUNTIFS(TABELA!A:A,C26,TABELA!C:C,E26)</f>
        <v>1</v>
      </c>
      <c r="L26" s="61">
        <f>SUMIFS(TABELA!M:M,TABELA!A:A,C26,TABELA!C:C,E26)</f>
        <v>0</v>
      </c>
      <c r="M26" s="61">
        <f t="shared" si="2"/>
        <v>0</v>
      </c>
      <c r="N26" s="61">
        <f t="shared" si="3"/>
        <v>10.08</v>
      </c>
      <c r="O26" s="61">
        <f t="shared" si="0"/>
        <v>20.833333333333336</v>
      </c>
      <c r="R26">
        <v>2805</v>
      </c>
      <c r="S26">
        <v>20314</v>
      </c>
      <c r="T26" s="13">
        <v>45443</v>
      </c>
      <c r="U26">
        <v>394</v>
      </c>
      <c r="V26" s="1"/>
      <c r="W26" s="1"/>
      <c r="X26" s="1">
        <v>12.32</v>
      </c>
      <c r="Y26" s="1"/>
      <c r="AF26">
        <v>2720</v>
      </c>
      <c r="AG26" s="13">
        <v>45596</v>
      </c>
      <c r="AH26">
        <v>20340</v>
      </c>
      <c r="AI26">
        <v>2</v>
      </c>
      <c r="AJ26">
        <v>264.42</v>
      </c>
      <c r="AK26">
        <v>10.17</v>
      </c>
      <c r="AL26">
        <v>26</v>
      </c>
    </row>
    <row r="27" spans="1:38" x14ac:dyDescent="0.3">
      <c r="A27">
        <v>2805</v>
      </c>
      <c r="B27" t="s">
        <v>287</v>
      </c>
      <c r="C27">
        <v>20432</v>
      </c>
      <c r="D27" t="s">
        <v>22</v>
      </c>
      <c r="E27">
        <v>190</v>
      </c>
      <c r="F27">
        <v>190</v>
      </c>
      <c r="G27">
        <v>28</v>
      </c>
      <c r="H27" s="16">
        <v>5.1100000000000003</v>
      </c>
      <c r="I27" t="s">
        <v>292</v>
      </c>
      <c r="J27" s="13">
        <f t="shared" si="1"/>
        <v>45504</v>
      </c>
      <c r="K27">
        <f>COUNTIFS(TABELA!A:A,C27,TABELA!C:C,E27)</f>
        <v>1</v>
      </c>
      <c r="L27" s="61">
        <f>SUMIFS(TABELA!M:M,TABELA!A:A,C27,TABELA!C:C,E27)</f>
        <v>0</v>
      </c>
      <c r="M27" s="61">
        <f t="shared" si="2"/>
        <v>0</v>
      </c>
      <c r="N27" s="61">
        <f t="shared" si="3"/>
        <v>5.1100000000000003</v>
      </c>
      <c r="O27" s="61">
        <f t="shared" si="0"/>
        <v>28.158577250833638</v>
      </c>
      <c r="R27">
        <v>2805</v>
      </c>
      <c r="S27">
        <v>20314</v>
      </c>
      <c r="T27" s="13">
        <v>45504</v>
      </c>
      <c r="U27">
        <v>394</v>
      </c>
      <c r="V27" s="1"/>
      <c r="W27" s="1"/>
      <c r="X27" s="1">
        <v>7.61</v>
      </c>
      <c r="Y27" s="1"/>
      <c r="AF27">
        <v>2720</v>
      </c>
      <c r="AG27" s="13">
        <v>45596</v>
      </c>
      <c r="AH27">
        <v>20340</v>
      </c>
      <c r="AI27">
        <v>3</v>
      </c>
      <c r="AJ27">
        <v>175.76</v>
      </c>
      <c r="AK27">
        <v>6.76</v>
      </c>
      <c r="AL27">
        <v>26</v>
      </c>
    </row>
    <row r="28" spans="1:38" x14ac:dyDescent="0.3">
      <c r="A28">
        <v>2805</v>
      </c>
      <c r="B28" t="s">
        <v>287</v>
      </c>
      <c r="C28">
        <v>20432</v>
      </c>
      <c r="D28" t="s">
        <v>22</v>
      </c>
      <c r="E28">
        <v>191</v>
      </c>
      <c r="F28">
        <v>191</v>
      </c>
      <c r="G28">
        <v>28</v>
      </c>
      <c r="H28" s="16">
        <v>8.2100000000000009</v>
      </c>
      <c r="I28" t="s">
        <v>292</v>
      </c>
      <c r="J28" s="13">
        <f t="shared" si="1"/>
        <v>45504</v>
      </c>
      <c r="K28">
        <f>COUNTIFS(TABELA!A:A,C28,TABELA!C:C,E28)</f>
        <v>1</v>
      </c>
      <c r="L28" s="61">
        <f>SUMIFS(TABELA!M:M,TABELA!A:A,C28,TABELA!C:C,E28)</f>
        <v>0</v>
      </c>
      <c r="M28" s="61">
        <f t="shared" si="2"/>
        <v>0</v>
      </c>
      <c r="N28" s="61">
        <f t="shared" si="3"/>
        <v>8.2100000000000009</v>
      </c>
      <c r="O28" s="61">
        <f t="shared" si="0"/>
        <v>28.158577250833638</v>
      </c>
      <c r="R28">
        <v>2805</v>
      </c>
      <c r="S28">
        <v>20314</v>
      </c>
      <c r="T28" s="13"/>
      <c r="U28">
        <v>394</v>
      </c>
      <c r="V28" s="1"/>
      <c r="W28" s="1"/>
      <c r="X28" s="1"/>
      <c r="Y28" s="1"/>
      <c r="AF28">
        <v>2720</v>
      </c>
      <c r="AG28" s="13">
        <v>45596</v>
      </c>
      <c r="AH28">
        <v>20345</v>
      </c>
      <c r="AI28">
        <v>1</v>
      </c>
      <c r="AJ28">
        <v>638.82000000000005</v>
      </c>
      <c r="AK28">
        <v>24.57</v>
      </c>
      <c r="AL28">
        <v>26</v>
      </c>
    </row>
    <row r="29" spans="1:38" x14ac:dyDescent="0.3">
      <c r="A29">
        <v>2805</v>
      </c>
      <c r="B29" t="s">
        <v>287</v>
      </c>
      <c r="C29">
        <v>20432</v>
      </c>
      <c r="D29" t="s">
        <v>22</v>
      </c>
      <c r="E29">
        <v>194</v>
      </c>
      <c r="F29">
        <v>194</v>
      </c>
      <c r="G29">
        <v>28</v>
      </c>
      <c r="H29" s="16">
        <v>13.67</v>
      </c>
      <c r="I29" t="s">
        <v>292</v>
      </c>
      <c r="J29" s="13">
        <f t="shared" si="1"/>
        <v>45504</v>
      </c>
      <c r="K29">
        <f>COUNTIFS(TABELA!A:A,C29,TABELA!C:C,E29)</f>
        <v>1</v>
      </c>
      <c r="L29" s="61">
        <f>SUMIFS(TABELA!M:M,TABELA!A:A,C29,TABELA!C:C,E29)</f>
        <v>0</v>
      </c>
      <c r="M29" s="61">
        <f t="shared" si="2"/>
        <v>0</v>
      </c>
      <c r="N29" s="61">
        <f t="shared" si="3"/>
        <v>13.67</v>
      </c>
      <c r="O29" s="61">
        <f t="shared" si="0"/>
        <v>28.158577250833638</v>
      </c>
      <c r="R29">
        <v>2805</v>
      </c>
      <c r="S29">
        <v>20314</v>
      </c>
      <c r="T29" s="13">
        <v>45443</v>
      </c>
      <c r="U29">
        <v>395</v>
      </c>
      <c r="V29" s="1"/>
      <c r="W29" s="1"/>
      <c r="X29" s="1">
        <v>7.1</v>
      </c>
      <c r="Y29" s="1"/>
      <c r="AF29">
        <v>2720</v>
      </c>
      <c r="AG29" s="13">
        <v>45596</v>
      </c>
      <c r="AH29">
        <v>20345</v>
      </c>
      <c r="AI29">
        <v>2</v>
      </c>
      <c r="AJ29">
        <v>605.79999999999995</v>
      </c>
      <c r="AK29">
        <v>23.3</v>
      </c>
      <c r="AL29">
        <v>26</v>
      </c>
    </row>
    <row r="30" spans="1:38" x14ac:dyDescent="0.3">
      <c r="A30">
        <v>2805</v>
      </c>
      <c r="B30" t="s">
        <v>287</v>
      </c>
      <c r="C30">
        <v>20439</v>
      </c>
      <c r="D30" t="s">
        <v>136</v>
      </c>
      <c r="E30">
        <v>3</v>
      </c>
      <c r="F30">
        <v>3</v>
      </c>
      <c r="G30">
        <v>60</v>
      </c>
      <c r="H30" s="16">
        <v>43.01</v>
      </c>
      <c r="I30" t="s">
        <v>292</v>
      </c>
      <c r="J30" s="13">
        <f t="shared" si="1"/>
        <v>45565</v>
      </c>
      <c r="K30">
        <f>COUNTIFS(TABELA!A:A,C30,TABELA!C:C,E30)</f>
        <v>1</v>
      </c>
      <c r="L30" s="61">
        <f>SUMIFS(TABELA!M:M,TABELA!A:A,C30,TABELA!C:C,E30)</f>
        <v>43.01</v>
      </c>
      <c r="M30" s="61">
        <f t="shared" si="2"/>
        <v>0</v>
      </c>
      <c r="N30" s="61">
        <f t="shared" si="3"/>
        <v>43.01</v>
      </c>
      <c r="O30" s="61">
        <f t="shared" si="0"/>
        <v>59.521521906225985</v>
      </c>
      <c r="R30">
        <v>2805</v>
      </c>
      <c r="S30">
        <v>20314</v>
      </c>
      <c r="T30" s="13"/>
      <c r="U30">
        <v>395</v>
      </c>
      <c r="V30" s="1"/>
      <c r="W30" s="1"/>
      <c r="X30" s="1"/>
      <c r="Y30" s="1"/>
      <c r="AF30">
        <v>2720</v>
      </c>
      <c r="AG30" s="13">
        <v>45596</v>
      </c>
      <c r="AH30">
        <v>20345</v>
      </c>
      <c r="AI30">
        <v>3</v>
      </c>
      <c r="AJ30">
        <v>654.41999999999996</v>
      </c>
      <c r="AK30">
        <v>25.17</v>
      </c>
      <c r="AL30">
        <v>26</v>
      </c>
    </row>
    <row r="31" spans="1:38" x14ac:dyDescent="0.3">
      <c r="A31">
        <v>2805</v>
      </c>
      <c r="B31" t="s">
        <v>287</v>
      </c>
      <c r="C31">
        <v>20439</v>
      </c>
      <c r="D31" t="s">
        <v>136</v>
      </c>
      <c r="E31">
        <v>5</v>
      </c>
      <c r="F31">
        <v>5</v>
      </c>
      <c r="G31">
        <v>60</v>
      </c>
      <c r="H31" s="16">
        <v>37.72</v>
      </c>
      <c r="I31" t="s">
        <v>292</v>
      </c>
      <c r="J31" s="13">
        <f t="shared" si="1"/>
        <v>45565</v>
      </c>
      <c r="K31">
        <f>COUNTIFS(TABELA!A:A,C31,TABELA!C:C,E31)</f>
        <v>1</v>
      </c>
      <c r="L31" s="61">
        <f>SUMIFS(TABELA!M:M,TABELA!A:A,C31,TABELA!C:C,E31)</f>
        <v>37.72</v>
      </c>
      <c r="M31" s="61">
        <f t="shared" si="2"/>
        <v>0</v>
      </c>
      <c r="N31" s="61">
        <f t="shared" si="3"/>
        <v>37.72</v>
      </c>
      <c r="O31" s="61">
        <f t="shared" si="0"/>
        <v>59.521521906225985</v>
      </c>
      <c r="R31">
        <v>2805</v>
      </c>
      <c r="S31">
        <v>20314</v>
      </c>
      <c r="T31" s="13">
        <v>45443</v>
      </c>
      <c r="U31">
        <v>396</v>
      </c>
      <c r="V31" s="1"/>
      <c r="W31" s="1"/>
      <c r="X31" s="1">
        <v>7.6</v>
      </c>
      <c r="Y31" s="1"/>
      <c r="AF31">
        <v>2720</v>
      </c>
      <c r="AG31" s="13">
        <v>45596</v>
      </c>
      <c r="AH31">
        <v>20345</v>
      </c>
      <c r="AI31">
        <v>4</v>
      </c>
      <c r="AJ31">
        <v>551.46</v>
      </c>
      <c r="AK31">
        <v>21.21</v>
      </c>
      <c r="AL31">
        <v>26</v>
      </c>
    </row>
    <row r="32" spans="1:38" x14ac:dyDescent="0.3">
      <c r="A32">
        <v>2805</v>
      </c>
      <c r="B32" t="s">
        <v>287</v>
      </c>
      <c r="C32">
        <v>20439</v>
      </c>
      <c r="D32" t="s">
        <v>136</v>
      </c>
      <c r="E32">
        <v>7</v>
      </c>
      <c r="F32">
        <v>7</v>
      </c>
      <c r="G32">
        <v>60</v>
      </c>
      <c r="H32" s="16">
        <v>23.35</v>
      </c>
      <c r="I32" t="s">
        <v>292</v>
      </c>
      <c r="J32" s="13">
        <f t="shared" si="1"/>
        <v>45626</v>
      </c>
      <c r="K32">
        <f>COUNTIFS(TABELA!A:A,C32,TABELA!C:C,E32)</f>
        <v>1</v>
      </c>
      <c r="L32" s="61">
        <f>SUMIFS(TABELA!M:M,TABELA!A:A,C32,TABELA!C:C,E32)</f>
        <v>23.35</v>
      </c>
      <c r="M32" s="61">
        <f t="shared" si="2"/>
        <v>0</v>
      </c>
      <c r="N32" s="61">
        <f t="shared" si="3"/>
        <v>46.7</v>
      </c>
      <c r="O32" s="61">
        <f t="shared" si="0"/>
        <v>59.521521906225985</v>
      </c>
      <c r="R32">
        <v>2805</v>
      </c>
      <c r="S32">
        <v>20314</v>
      </c>
      <c r="T32" s="13"/>
      <c r="U32">
        <v>396</v>
      </c>
      <c r="V32" s="1"/>
      <c r="W32" s="1"/>
      <c r="X32" s="1"/>
      <c r="Y32" s="1"/>
      <c r="AF32">
        <v>2720</v>
      </c>
      <c r="AG32" s="13">
        <v>45596</v>
      </c>
      <c r="AH32">
        <v>20345</v>
      </c>
      <c r="AI32">
        <v>5</v>
      </c>
      <c r="AJ32">
        <v>331.76</v>
      </c>
      <c r="AK32">
        <v>12.76</v>
      </c>
      <c r="AL32">
        <v>26</v>
      </c>
    </row>
    <row r="33" spans="1:38" x14ac:dyDescent="0.3">
      <c r="A33">
        <v>2805</v>
      </c>
      <c r="B33" t="s">
        <v>287</v>
      </c>
      <c r="C33">
        <v>20450</v>
      </c>
      <c r="D33" t="s">
        <v>139</v>
      </c>
      <c r="E33">
        <v>2</v>
      </c>
      <c r="F33">
        <v>2</v>
      </c>
      <c r="G33">
        <v>60</v>
      </c>
      <c r="H33" s="16">
        <v>11.92</v>
      </c>
      <c r="I33" t="s">
        <v>292</v>
      </c>
      <c r="J33" s="13">
        <f t="shared" si="1"/>
        <v>45565</v>
      </c>
      <c r="K33">
        <f>COUNTIFS(TABELA!A:A,C33,TABELA!C:C,E33)</f>
        <v>1</v>
      </c>
      <c r="L33" s="61">
        <f>SUMIFS(TABELA!M:M,TABELA!A:A,C33,TABELA!C:C,E33)</f>
        <v>0.92</v>
      </c>
      <c r="M33" s="61">
        <f t="shared" si="2"/>
        <v>11</v>
      </c>
      <c r="N33" s="61">
        <f t="shared" si="3"/>
        <v>11.92</v>
      </c>
      <c r="O33" s="61">
        <f t="shared" si="0"/>
        <v>157.61542957334893</v>
      </c>
      <c r="R33">
        <v>2805</v>
      </c>
      <c r="S33">
        <v>20314</v>
      </c>
      <c r="T33" s="13">
        <v>45443</v>
      </c>
      <c r="U33">
        <v>397</v>
      </c>
      <c r="V33" s="1"/>
      <c r="W33" s="1"/>
      <c r="X33" s="1">
        <v>7</v>
      </c>
      <c r="Y33" s="1"/>
      <c r="AF33">
        <v>2720</v>
      </c>
      <c r="AG33" s="13">
        <v>45596</v>
      </c>
      <c r="AH33">
        <v>20346</v>
      </c>
      <c r="AI33">
        <v>1</v>
      </c>
      <c r="AJ33">
        <v>330.46</v>
      </c>
      <c r="AK33">
        <v>12.71</v>
      </c>
      <c r="AL33">
        <v>26</v>
      </c>
    </row>
    <row r="34" spans="1:38" x14ac:dyDescent="0.3">
      <c r="A34">
        <v>2805</v>
      </c>
      <c r="B34" t="s">
        <v>287</v>
      </c>
      <c r="C34">
        <v>20450</v>
      </c>
      <c r="D34" t="s">
        <v>139</v>
      </c>
      <c r="E34">
        <v>3</v>
      </c>
      <c r="F34">
        <v>3</v>
      </c>
      <c r="G34">
        <v>60</v>
      </c>
      <c r="H34" s="16">
        <v>14.76</v>
      </c>
      <c r="I34" t="s">
        <v>292</v>
      </c>
      <c r="J34" s="13">
        <f t="shared" si="1"/>
        <v>45565</v>
      </c>
      <c r="K34">
        <f>COUNTIFS(TABELA!A:A,C34,TABELA!C:C,E34)</f>
        <v>1</v>
      </c>
      <c r="L34" s="61">
        <f>SUMIFS(TABELA!M:M,TABELA!A:A,C34,TABELA!C:C,E34)</f>
        <v>4.6399999999999997</v>
      </c>
      <c r="M34" s="61">
        <f t="shared" si="2"/>
        <v>10.120000000000001</v>
      </c>
      <c r="N34" s="61">
        <f t="shared" si="3"/>
        <v>14.76</v>
      </c>
      <c r="O34" s="61">
        <f t="shared" si="0"/>
        <v>157.61542957334893</v>
      </c>
      <c r="R34">
        <v>2805</v>
      </c>
      <c r="S34">
        <v>20314</v>
      </c>
      <c r="T34" s="13"/>
      <c r="U34">
        <v>397</v>
      </c>
      <c r="V34" s="1"/>
      <c r="W34" s="1"/>
      <c r="X34" s="1"/>
      <c r="Y34" s="1"/>
      <c r="AF34">
        <v>2720</v>
      </c>
      <c r="AG34" s="13">
        <v>45596</v>
      </c>
      <c r="AH34">
        <v>20346</v>
      </c>
      <c r="AI34">
        <v>2</v>
      </c>
      <c r="AJ34">
        <v>289.89999999999998</v>
      </c>
      <c r="AK34">
        <v>11.15</v>
      </c>
      <c r="AL34">
        <v>26</v>
      </c>
    </row>
    <row r="35" spans="1:38" x14ac:dyDescent="0.3">
      <c r="A35">
        <v>2805</v>
      </c>
      <c r="B35" t="s">
        <v>287</v>
      </c>
      <c r="C35">
        <v>20450</v>
      </c>
      <c r="D35" t="s">
        <v>139</v>
      </c>
      <c r="E35">
        <v>4</v>
      </c>
      <c r="F35">
        <v>4</v>
      </c>
      <c r="G35">
        <v>60</v>
      </c>
      <c r="H35" s="16">
        <v>11.37</v>
      </c>
      <c r="I35" t="s">
        <v>292</v>
      </c>
      <c r="J35" s="13">
        <f t="shared" si="1"/>
        <v>45565</v>
      </c>
      <c r="K35">
        <f>COUNTIFS(TABELA!A:A,C35,TABELA!C:C,E35)</f>
        <v>1</v>
      </c>
      <c r="L35" s="61">
        <f>SUMIFS(TABELA!M:M,TABELA!A:A,C35,TABELA!C:C,E35)</f>
        <v>7.87</v>
      </c>
      <c r="M35" s="61">
        <f t="shared" si="2"/>
        <v>3.4999999999999991</v>
      </c>
      <c r="N35" s="61">
        <f t="shared" si="3"/>
        <v>11.37</v>
      </c>
      <c r="O35" s="61">
        <f t="shared" si="0"/>
        <v>157.61542957334893</v>
      </c>
      <c r="R35">
        <v>2805</v>
      </c>
      <c r="S35">
        <v>20314</v>
      </c>
      <c r="T35" s="13"/>
      <c r="U35">
        <v>500</v>
      </c>
      <c r="V35" s="1"/>
      <c r="W35" s="1"/>
      <c r="X35" s="1"/>
      <c r="Y35" s="1"/>
      <c r="AF35">
        <v>2720</v>
      </c>
      <c r="AG35" s="13">
        <v>45596</v>
      </c>
      <c r="AH35">
        <v>20346</v>
      </c>
      <c r="AI35">
        <v>3</v>
      </c>
      <c r="AJ35">
        <v>359.84</v>
      </c>
      <c r="AK35">
        <v>13.84</v>
      </c>
      <c r="AL35">
        <v>26</v>
      </c>
    </row>
    <row r="36" spans="1:38" x14ac:dyDescent="0.3">
      <c r="A36">
        <v>2805</v>
      </c>
      <c r="B36" t="s">
        <v>287</v>
      </c>
      <c r="C36">
        <v>20450</v>
      </c>
      <c r="D36" t="s">
        <v>139</v>
      </c>
      <c r="E36">
        <v>5</v>
      </c>
      <c r="F36">
        <v>5</v>
      </c>
      <c r="G36">
        <v>60</v>
      </c>
      <c r="H36" s="16">
        <v>13.88</v>
      </c>
      <c r="I36" t="s">
        <v>292</v>
      </c>
      <c r="J36" s="13">
        <f t="shared" si="1"/>
        <v>45565</v>
      </c>
      <c r="K36">
        <f>COUNTIFS(TABELA!A:A,C36,TABELA!C:C,E36)</f>
        <v>1</v>
      </c>
      <c r="L36" s="61">
        <f>SUMIFS(TABELA!M:M,TABELA!A:A,C36,TABELA!C:C,E36)</f>
        <v>13.88</v>
      </c>
      <c r="M36" s="61">
        <f t="shared" si="2"/>
        <v>0</v>
      </c>
      <c r="N36" s="61">
        <f t="shared" si="3"/>
        <v>13.88</v>
      </c>
      <c r="O36" s="61">
        <f t="shared" si="0"/>
        <v>157.61542957334893</v>
      </c>
      <c r="R36">
        <v>2805</v>
      </c>
      <c r="S36">
        <v>20314</v>
      </c>
      <c r="T36" s="13">
        <v>45535</v>
      </c>
      <c r="U36">
        <v>501</v>
      </c>
      <c r="V36" s="1"/>
      <c r="W36" s="1"/>
      <c r="X36" s="1">
        <v>26</v>
      </c>
      <c r="Y36" s="1"/>
      <c r="AF36">
        <v>2720</v>
      </c>
      <c r="AG36" s="13">
        <v>45626</v>
      </c>
      <c r="AH36">
        <v>20439</v>
      </c>
      <c r="AI36">
        <v>7</v>
      </c>
      <c r="AJ36">
        <v>467</v>
      </c>
      <c r="AK36">
        <v>23.35</v>
      </c>
      <c r="AL36">
        <v>20</v>
      </c>
    </row>
    <row r="37" spans="1:38" x14ac:dyDescent="0.3">
      <c r="A37">
        <v>2805</v>
      </c>
      <c r="B37" t="s">
        <v>287</v>
      </c>
      <c r="C37">
        <v>20450</v>
      </c>
      <c r="D37" t="s">
        <v>139</v>
      </c>
      <c r="E37">
        <v>6</v>
      </c>
      <c r="F37">
        <v>6</v>
      </c>
      <c r="G37">
        <v>60</v>
      </c>
      <c r="H37" s="16">
        <v>33.619999999999997</v>
      </c>
      <c r="I37" t="s">
        <v>292</v>
      </c>
      <c r="J37" s="13">
        <f t="shared" si="1"/>
        <v>45565</v>
      </c>
      <c r="K37">
        <f>COUNTIFS(TABELA!A:A,C37,TABELA!C:C,E37)</f>
        <v>1</v>
      </c>
      <c r="L37" s="61">
        <f>SUMIFS(TABELA!M:M,TABELA!A:A,C37,TABELA!C:C,E37)</f>
        <v>31.62</v>
      </c>
      <c r="M37" s="61">
        <f t="shared" si="2"/>
        <v>1.9999999999999964</v>
      </c>
      <c r="N37" s="61">
        <f t="shared" si="3"/>
        <v>33.619999999999997</v>
      </c>
      <c r="O37" s="61">
        <f t="shared" si="0"/>
        <v>157.61542957334893</v>
      </c>
      <c r="R37">
        <v>2805</v>
      </c>
      <c r="S37">
        <v>20314</v>
      </c>
      <c r="T37" s="13">
        <v>45565</v>
      </c>
      <c r="U37">
        <v>501</v>
      </c>
      <c r="V37" s="1">
        <v>9</v>
      </c>
      <c r="W37" s="1">
        <v>3600</v>
      </c>
      <c r="X37" s="1"/>
      <c r="Y37" s="1"/>
      <c r="AF37">
        <v>2720</v>
      </c>
      <c r="AG37" s="13">
        <v>45626</v>
      </c>
      <c r="AH37">
        <v>20465</v>
      </c>
      <c r="AI37">
        <v>1</v>
      </c>
      <c r="AJ37">
        <v>475.8</v>
      </c>
      <c r="AK37">
        <v>23.79</v>
      </c>
      <c r="AL37">
        <v>20</v>
      </c>
    </row>
    <row r="38" spans="1:38" x14ac:dyDescent="0.3">
      <c r="A38">
        <v>2805</v>
      </c>
      <c r="B38" t="s">
        <v>287</v>
      </c>
      <c r="C38">
        <v>20463</v>
      </c>
      <c r="D38" t="s">
        <v>143</v>
      </c>
      <c r="E38">
        <v>3</v>
      </c>
      <c r="F38">
        <v>3</v>
      </c>
      <c r="G38">
        <v>60</v>
      </c>
      <c r="H38" s="16">
        <v>39.58</v>
      </c>
      <c r="I38" t="s">
        <v>292</v>
      </c>
      <c r="J38" s="13">
        <f t="shared" si="1"/>
        <v>45565</v>
      </c>
      <c r="K38">
        <f>COUNTIFS(TABELA!A:A,C38,TABELA!C:C,E38)</f>
        <v>1</v>
      </c>
      <c r="L38" s="61">
        <f>SUMIFS(TABELA!M:M,TABELA!A:A,C38,TABELA!C:C,E38)</f>
        <v>39.58</v>
      </c>
      <c r="M38" s="61">
        <f t="shared" si="2"/>
        <v>0</v>
      </c>
      <c r="N38" s="61">
        <f t="shared" si="3"/>
        <v>39.58</v>
      </c>
      <c r="O38" s="61">
        <f t="shared" si="0"/>
        <v>93.048359240069104</v>
      </c>
      <c r="R38">
        <v>2805</v>
      </c>
      <c r="S38">
        <v>20314</v>
      </c>
      <c r="T38" s="13"/>
      <c r="U38">
        <v>501</v>
      </c>
      <c r="V38" s="1"/>
      <c r="W38" s="1"/>
      <c r="X38" s="1"/>
      <c r="Y38" s="1"/>
      <c r="AF38">
        <v>2720</v>
      </c>
      <c r="AG38" s="13">
        <v>45626</v>
      </c>
      <c r="AH38">
        <v>20465</v>
      </c>
      <c r="AI38">
        <v>2</v>
      </c>
      <c r="AJ38">
        <v>140.4</v>
      </c>
      <c r="AK38">
        <v>7.02</v>
      </c>
      <c r="AL38">
        <v>20</v>
      </c>
    </row>
    <row r="39" spans="1:38" x14ac:dyDescent="0.3">
      <c r="A39">
        <v>2805</v>
      </c>
      <c r="B39" t="s">
        <v>287</v>
      </c>
      <c r="C39">
        <v>20463</v>
      </c>
      <c r="D39" t="s">
        <v>143</v>
      </c>
      <c r="E39">
        <v>4</v>
      </c>
      <c r="F39">
        <v>4</v>
      </c>
      <c r="G39">
        <v>60</v>
      </c>
      <c r="H39" s="16">
        <v>29.9</v>
      </c>
      <c r="I39" t="s">
        <v>292</v>
      </c>
      <c r="J39" s="13">
        <f t="shared" si="1"/>
        <v>45565</v>
      </c>
      <c r="K39">
        <f>COUNTIFS(TABELA!A:A,C39,TABELA!C:C,E39)</f>
        <v>1</v>
      </c>
      <c r="L39" s="61">
        <f>SUMIFS(TABELA!M:M,TABELA!A:A,C39,TABELA!C:C,E39)</f>
        <v>29.9</v>
      </c>
      <c r="M39" s="61">
        <f t="shared" si="2"/>
        <v>0</v>
      </c>
      <c r="N39" s="61">
        <f t="shared" si="3"/>
        <v>29.9</v>
      </c>
      <c r="O39" s="61">
        <f t="shared" si="0"/>
        <v>93.048359240069104</v>
      </c>
      <c r="R39">
        <v>2805</v>
      </c>
      <c r="S39">
        <v>20314</v>
      </c>
      <c r="T39" s="13">
        <v>45535</v>
      </c>
      <c r="U39">
        <v>502</v>
      </c>
      <c r="V39" s="1"/>
      <c r="W39" s="1"/>
      <c r="X39" s="1">
        <v>23.84</v>
      </c>
      <c r="Y39" s="1"/>
      <c r="AF39">
        <v>2720</v>
      </c>
      <c r="AG39" s="13">
        <v>45626</v>
      </c>
      <c r="AH39">
        <v>20465</v>
      </c>
      <c r="AI39">
        <v>3</v>
      </c>
      <c r="AJ39">
        <v>801</v>
      </c>
      <c r="AK39">
        <v>40.049999999999997</v>
      </c>
      <c r="AL39">
        <v>20</v>
      </c>
    </row>
    <row r="40" spans="1:38" x14ac:dyDescent="0.3">
      <c r="A40">
        <v>2805</v>
      </c>
      <c r="B40" t="s">
        <v>287</v>
      </c>
      <c r="C40">
        <v>20592</v>
      </c>
      <c r="D40" t="s">
        <v>155</v>
      </c>
      <c r="E40">
        <v>3</v>
      </c>
      <c r="F40">
        <v>3</v>
      </c>
      <c r="G40">
        <v>16</v>
      </c>
      <c r="H40" s="16">
        <v>12.39</v>
      </c>
      <c r="I40" t="s">
        <v>292</v>
      </c>
      <c r="J40" s="13">
        <f t="shared" si="1"/>
        <v>45626</v>
      </c>
      <c r="K40">
        <f>COUNTIFS(TABELA!A:A,C40,TABELA!C:C,E40)</f>
        <v>1</v>
      </c>
      <c r="L40" s="61">
        <f>SUMIFS(TABELA!M:M,TABELA!A:A,C40,TABELA!C:C,E40)</f>
        <v>16.489999999999998</v>
      </c>
      <c r="M40" s="61">
        <f t="shared" si="2"/>
        <v>-4.0999999999999979</v>
      </c>
      <c r="N40" s="61">
        <f t="shared" si="3"/>
        <v>12.39</v>
      </c>
      <c r="O40" s="61">
        <f t="shared" si="0"/>
        <v>16.142050040355123</v>
      </c>
      <c r="R40">
        <v>2805</v>
      </c>
      <c r="S40">
        <v>20314</v>
      </c>
      <c r="T40" s="13"/>
      <c r="U40">
        <v>502</v>
      </c>
      <c r="V40" s="1"/>
      <c r="W40" s="1"/>
      <c r="X40" s="1"/>
      <c r="Y40" s="1"/>
      <c r="AF40">
        <v>2720</v>
      </c>
      <c r="AG40" s="13">
        <v>45626</v>
      </c>
      <c r="AH40">
        <v>20465</v>
      </c>
      <c r="AI40">
        <v>4</v>
      </c>
      <c r="AJ40">
        <v>854.8</v>
      </c>
      <c r="AK40">
        <v>42.74</v>
      </c>
      <c r="AL40">
        <v>20</v>
      </c>
    </row>
    <row r="41" spans="1:38" x14ac:dyDescent="0.3">
      <c r="A41">
        <v>2805</v>
      </c>
      <c r="B41" t="s">
        <v>287</v>
      </c>
      <c r="C41">
        <v>20592</v>
      </c>
      <c r="D41" t="s">
        <v>155</v>
      </c>
      <c r="E41">
        <v>4</v>
      </c>
      <c r="F41">
        <v>4</v>
      </c>
      <c r="G41">
        <v>16</v>
      </c>
      <c r="H41" s="16">
        <v>12.39</v>
      </c>
      <c r="I41" t="s">
        <v>292</v>
      </c>
      <c r="J41" s="13">
        <f t="shared" si="1"/>
        <v>45626</v>
      </c>
      <c r="K41">
        <f>COUNTIFS(TABELA!A:A,C41,TABELA!C:C,E41)</f>
        <v>1</v>
      </c>
      <c r="L41" s="61">
        <f>SUMIFS(TABELA!M:M,TABELA!A:A,C41,TABELA!C:C,E41)</f>
        <v>12.39</v>
      </c>
      <c r="M41" s="61">
        <f t="shared" si="2"/>
        <v>0</v>
      </c>
      <c r="N41" s="61">
        <f t="shared" si="3"/>
        <v>12.39</v>
      </c>
      <c r="O41" s="61">
        <f t="shared" si="0"/>
        <v>16.142050040355123</v>
      </c>
      <c r="R41">
        <v>2805</v>
      </c>
      <c r="S41">
        <v>20314</v>
      </c>
      <c r="T41" s="13">
        <v>45535</v>
      </c>
      <c r="U41">
        <v>503</v>
      </c>
      <c r="V41" s="1"/>
      <c r="W41" s="1"/>
      <c r="X41" s="1">
        <v>28.93</v>
      </c>
      <c r="Y41" s="1"/>
      <c r="AF41">
        <v>2720</v>
      </c>
      <c r="AG41" s="13">
        <v>45626</v>
      </c>
      <c r="AH41">
        <v>20465</v>
      </c>
      <c r="AI41">
        <v>5</v>
      </c>
      <c r="AJ41">
        <v>362.8</v>
      </c>
      <c r="AK41">
        <v>18.14</v>
      </c>
      <c r="AL41">
        <v>20</v>
      </c>
    </row>
    <row r="42" spans="1:38" x14ac:dyDescent="0.3">
      <c r="A42">
        <v>2805</v>
      </c>
      <c r="B42" t="s">
        <v>287</v>
      </c>
      <c r="C42">
        <v>20619</v>
      </c>
      <c r="D42" t="s">
        <v>93</v>
      </c>
      <c r="E42">
        <v>1</v>
      </c>
      <c r="F42">
        <v>1</v>
      </c>
      <c r="G42">
        <v>55</v>
      </c>
      <c r="H42" s="16">
        <v>39.65</v>
      </c>
      <c r="I42" t="s">
        <v>292</v>
      </c>
      <c r="J42" s="13">
        <f t="shared" si="1"/>
        <v>45596</v>
      </c>
      <c r="K42">
        <f>COUNTIFS(TABELA!A:A,C42,TABELA!C:C,E42)</f>
        <v>1</v>
      </c>
      <c r="L42" s="61">
        <f>SUMIFS(TABELA!M:M,TABELA!A:A,C42,TABELA!C:C,E42)</f>
        <v>0</v>
      </c>
      <c r="M42" s="61">
        <f t="shared" si="2"/>
        <v>0</v>
      </c>
      <c r="N42" s="61">
        <f t="shared" si="3"/>
        <v>39.65</v>
      </c>
      <c r="O42" s="61">
        <f t="shared" si="0"/>
        <v>55.976451286010708</v>
      </c>
      <c r="R42">
        <v>2805</v>
      </c>
      <c r="S42">
        <v>20314</v>
      </c>
      <c r="T42" s="13"/>
      <c r="U42">
        <v>503</v>
      </c>
      <c r="V42" s="1"/>
      <c r="W42" s="1"/>
      <c r="X42" s="1"/>
      <c r="Y42" s="1"/>
      <c r="AF42">
        <v>2720</v>
      </c>
      <c r="AG42" s="13">
        <v>45626</v>
      </c>
      <c r="AH42">
        <v>20465</v>
      </c>
      <c r="AI42">
        <v>6</v>
      </c>
      <c r="AJ42">
        <v>537</v>
      </c>
      <c r="AK42">
        <v>26.85</v>
      </c>
      <c r="AL42">
        <v>20</v>
      </c>
    </row>
    <row r="43" spans="1:38" x14ac:dyDescent="0.3">
      <c r="A43">
        <v>2805</v>
      </c>
      <c r="B43" t="s">
        <v>287</v>
      </c>
      <c r="C43">
        <v>20619</v>
      </c>
      <c r="D43" t="s">
        <v>93</v>
      </c>
      <c r="E43">
        <v>2</v>
      </c>
      <c r="F43">
        <v>2</v>
      </c>
      <c r="G43">
        <v>55</v>
      </c>
      <c r="H43" s="16">
        <v>34.18</v>
      </c>
      <c r="I43" t="s">
        <v>292</v>
      </c>
      <c r="J43" s="13">
        <f t="shared" si="1"/>
        <v>45596</v>
      </c>
      <c r="K43">
        <f>COUNTIFS(TABELA!A:A,C43,TABELA!C:C,E43)</f>
        <v>1</v>
      </c>
      <c r="L43" s="61">
        <f>SUMIFS(TABELA!M:M,TABELA!A:A,C43,TABELA!C:C,E43)</f>
        <v>0</v>
      </c>
      <c r="M43" s="61">
        <f t="shared" si="2"/>
        <v>0</v>
      </c>
      <c r="N43" s="61">
        <f t="shared" si="3"/>
        <v>34.18</v>
      </c>
      <c r="O43" s="61">
        <f t="shared" si="0"/>
        <v>55.976451286010708</v>
      </c>
      <c r="R43">
        <v>2805</v>
      </c>
      <c r="S43">
        <v>20314</v>
      </c>
      <c r="T43" s="13"/>
      <c r="U43">
        <v>504</v>
      </c>
      <c r="V43" s="1"/>
      <c r="W43" s="1"/>
      <c r="X43" s="1"/>
      <c r="Y43" s="1"/>
      <c r="AF43">
        <v>2720</v>
      </c>
      <c r="AG43" s="13">
        <v>45596</v>
      </c>
      <c r="AH43">
        <v>20500</v>
      </c>
      <c r="AI43">
        <v>1</v>
      </c>
      <c r="AJ43">
        <v>55.12</v>
      </c>
      <c r="AK43">
        <v>2.12</v>
      </c>
      <c r="AL43">
        <v>26</v>
      </c>
    </row>
    <row r="44" spans="1:38" x14ac:dyDescent="0.3">
      <c r="A44">
        <v>2805</v>
      </c>
      <c r="B44" t="s">
        <v>287</v>
      </c>
      <c r="C44">
        <v>20619</v>
      </c>
      <c r="D44" t="s">
        <v>93</v>
      </c>
      <c r="E44">
        <v>5</v>
      </c>
      <c r="F44">
        <v>5</v>
      </c>
      <c r="G44">
        <v>55</v>
      </c>
      <c r="H44" s="16">
        <v>45.98</v>
      </c>
      <c r="I44" t="s">
        <v>292</v>
      </c>
      <c r="J44" s="13">
        <f t="shared" si="1"/>
        <v>45626</v>
      </c>
      <c r="K44">
        <f>COUNTIFS(TABELA!A:A,C44,TABELA!C:C,E44)</f>
        <v>1</v>
      </c>
      <c r="L44" s="61">
        <f>SUMIFS(TABELA!M:M,TABELA!A:A,C44,TABELA!C:C,E44)</f>
        <v>0</v>
      </c>
      <c r="M44" s="61">
        <f t="shared" si="2"/>
        <v>0</v>
      </c>
      <c r="N44" s="61">
        <f t="shared" si="3"/>
        <v>45.98</v>
      </c>
      <c r="O44" s="61">
        <f t="shared" si="0"/>
        <v>55.976451286010708</v>
      </c>
      <c r="R44">
        <v>2805</v>
      </c>
      <c r="S44">
        <v>20314</v>
      </c>
      <c r="T44" s="13"/>
      <c r="U44">
        <v>505</v>
      </c>
      <c r="V44" s="1"/>
      <c r="W44" s="1"/>
      <c r="X44" s="1"/>
      <c r="Y44" s="1"/>
      <c r="AF44">
        <v>2720</v>
      </c>
      <c r="AG44" s="13">
        <v>45596</v>
      </c>
      <c r="AH44">
        <v>20500</v>
      </c>
      <c r="AI44">
        <v>2</v>
      </c>
      <c r="AJ44">
        <v>309.39999999999998</v>
      </c>
      <c r="AK44">
        <v>11.9</v>
      </c>
      <c r="AL44">
        <v>26</v>
      </c>
    </row>
    <row r="45" spans="1:38" x14ac:dyDescent="0.3">
      <c r="A45">
        <v>2805</v>
      </c>
      <c r="B45" t="s">
        <v>287</v>
      </c>
      <c r="C45">
        <v>20619</v>
      </c>
      <c r="D45" t="s">
        <v>93</v>
      </c>
      <c r="E45">
        <v>6</v>
      </c>
      <c r="F45">
        <v>6</v>
      </c>
      <c r="G45">
        <v>55</v>
      </c>
      <c r="H45" s="16">
        <v>10.08</v>
      </c>
      <c r="I45" t="s">
        <v>292</v>
      </c>
      <c r="J45" s="13">
        <f t="shared" si="1"/>
        <v>45626</v>
      </c>
      <c r="K45">
        <f>COUNTIFS(TABELA!A:A,C45,TABELA!C:C,E45)</f>
        <v>1</v>
      </c>
      <c r="L45" s="61">
        <f>SUMIFS(TABELA!M:M,TABELA!A:A,C45,TABELA!C:C,E45)</f>
        <v>0</v>
      </c>
      <c r="M45" s="61">
        <f t="shared" si="2"/>
        <v>0</v>
      </c>
      <c r="N45" s="61">
        <f t="shared" si="3"/>
        <v>10.08</v>
      </c>
      <c r="O45" s="61">
        <f t="shared" si="0"/>
        <v>55.976451286010708</v>
      </c>
      <c r="R45">
        <v>2805</v>
      </c>
      <c r="S45">
        <v>20314</v>
      </c>
      <c r="T45" s="13"/>
      <c r="U45">
        <v>506</v>
      </c>
      <c r="V45" s="1"/>
      <c r="W45" s="1"/>
      <c r="X45" s="1"/>
      <c r="Y45" s="1"/>
      <c r="AF45">
        <v>2720</v>
      </c>
      <c r="AG45" s="13">
        <v>45626</v>
      </c>
      <c r="AH45">
        <v>20553</v>
      </c>
      <c r="AI45">
        <v>1</v>
      </c>
      <c r="AJ45">
        <v>349.6</v>
      </c>
      <c r="AK45">
        <v>17.48</v>
      </c>
      <c r="AL45">
        <v>20</v>
      </c>
    </row>
    <row r="46" spans="1:38" x14ac:dyDescent="0.3">
      <c r="A46">
        <v>2805</v>
      </c>
      <c r="B46" t="s">
        <v>287</v>
      </c>
      <c r="C46">
        <v>20619</v>
      </c>
      <c r="D46" t="s">
        <v>93</v>
      </c>
      <c r="E46">
        <v>7</v>
      </c>
      <c r="F46">
        <v>7</v>
      </c>
      <c r="G46">
        <v>55</v>
      </c>
      <c r="H46" s="16">
        <v>44.87</v>
      </c>
      <c r="I46" t="s">
        <v>292</v>
      </c>
      <c r="J46" s="13">
        <f t="shared" si="1"/>
        <v>45596</v>
      </c>
      <c r="K46">
        <f>COUNTIFS(TABELA!A:A,C46,TABELA!C:C,E46)</f>
        <v>1</v>
      </c>
      <c r="L46" s="61">
        <f>SUMIFS(TABELA!M:M,TABELA!A:A,C46,TABELA!C:C,E46)</f>
        <v>0</v>
      </c>
      <c r="M46" s="61">
        <f t="shared" si="2"/>
        <v>0</v>
      </c>
      <c r="N46" s="61">
        <f t="shared" si="3"/>
        <v>44.87</v>
      </c>
      <c r="O46" s="61">
        <f t="shared" si="0"/>
        <v>55.976451286010708</v>
      </c>
      <c r="R46">
        <v>2805</v>
      </c>
      <c r="S46">
        <v>20314</v>
      </c>
      <c r="T46" s="13">
        <v>45535</v>
      </c>
      <c r="U46">
        <v>507</v>
      </c>
      <c r="V46" s="1">
        <v>128</v>
      </c>
      <c r="W46" s="1">
        <v>49600</v>
      </c>
      <c r="X46" s="1">
        <v>29.75</v>
      </c>
      <c r="Y46" s="1">
        <v>166.72</v>
      </c>
      <c r="AF46">
        <v>2720</v>
      </c>
      <c r="AG46" s="13">
        <v>45626</v>
      </c>
      <c r="AH46">
        <v>20553</v>
      </c>
      <c r="AI46">
        <v>2</v>
      </c>
      <c r="AJ46">
        <v>521.6</v>
      </c>
      <c r="AK46">
        <v>26.08</v>
      </c>
      <c r="AL46">
        <v>20</v>
      </c>
    </row>
    <row r="47" spans="1:38" x14ac:dyDescent="0.3">
      <c r="A47">
        <v>2805</v>
      </c>
      <c r="B47" t="s">
        <v>287</v>
      </c>
      <c r="C47">
        <v>20619</v>
      </c>
      <c r="D47" t="s">
        <v>93</v>
      </c>
      <c r="E47">
        <v>8</v>
      </c>
      <c r="F47">
        <v>8</v>
      </c>
      <c r="G47">
        <v>55</v>
      </c>
      <c r="H47" s="16">
        <v>32.47</v>
      </c>
      <c r="I47" t="s">
        <v>292</v>
      </c>
      <c r="J47" s="13">
        <f t="shared" si="1"/>
        <v>45596</v>
      </c>
      <c r="K47">
        <f>COUNTIFS(TABELA!A:A,C47,TABELA!C:C,E47)</f>
        <v>1</v>
      </c>
      <c r="L47" s="61">
        <f>SUMIFS(TABELA!M:M,TABELA!A:A,C47,TABELA!C:C,E47)</f>
        <v>0</v>
      </c>
      <c r="M47" s="61">
        <f t="shared" si="2"/>
        <v>0</v>
      </c>
      <c r="N47" s="61">
        <f t="shared" si="3"/>
        <v>32.47</v>
      </c>
      <c r="O47" s="61">
        <f t="shared" si="0"/>
        <v>55.976451286010708</v>
      </c>
      <c r="R47">
        <v>2805</v>
      </c>
      <c r="S47">
        <v>20314</v>
      </c>
      <c r="T47" s="13"/>
      <c r="U47">
        <v>507</v>
      </c>
      <c r="V47" s="1"/>
      <c r="W47" s="1"/>
      <c r="X47" s="1"/>
      <c r="Y47" s="1"/>
      <c r="AF47">
        <v>2720</v>
      </c>
      <c r="AG47" s="13">
        <v>45626</v>
      </c>
      <c r="AH47">
        <v>20553</v>
      </c>
      <c r="AI47">
        <v>3</v>
      </c>
      <c r="AJ47">
        <v>619.6</v>
      </c>
      <c r="AK47">
        <v>30.98</v>
      </c>
      <c r="AL47">
        <v>20</v>
      </c>
    </row>
    <row r="48" spans="1:38" x14ac:dyDescent="0.3">
      <c r="R48">
        <v>2805</v>
      </c>
      <c r="S48">
        <v>20314</v>
      </c>
      <c r="T48" s="13">
        <v>45565</v>
      </c>
      <c r="U48">
        <v>508</v>
      </c>
      <c r="V48" s="1">
        <v>69</v>
      </c>
      <c r="W48" s="1">
        <v>27600</v>
      </c>
      <c r="X48" s="1">
        <v>18.28</v>
      </c>
      <c r="Y48" s="1">
        <v>150.97999999999999</v>
      </c>
      <c r="AF48">
        <v>2720</v>
      </c>
      <c r="AG48" s="13">
        <v>45626</v>
      </c>
      <c r="AH48">
        <v>20553</v>
      </c>
      <c r="AI48">
        <v>4</v>
      </c>
      <c r="AJ48">
        <v>790.4</v>
      </c>
      <c r="AK48">
        <v>39.520000000000003</v>
      </c>
      <c r="AL48">
        <v>20</v>
      </c>
    </row>
    <row r="49" spans="1:38" x14ac:dyDescent="0.3">
      <c r="R49">
        <v>2805</v>
      </c>
      <c r="S49">
        <v>20314</v>
      </c>
      <c r="T49" s="13"/>
      <c r="U49">
        <v>508</v>
      </c>
      <c r="V49" s="1"/>
      <c r="W49" s="1"/>
      <c r="X49" s="1"/>
      <c r="Y49" s="1"/>
      <c r="AF49">
        <v>2720</v>
      </c>
      <c r="AG49" s="13">
        <v>45626</v>
      </c>
      <c r="AH49">
        <v>20553</v>
      </c>
      <c r="AI49">
        <v>5</v>
      </c>
      <c r="AJ49">
        <v>738.6</v>
      </c>
      <c r="AK49">
        <v>36.93</v>
      </c>
      <c r="AL49">
        <v>20</v>
      </c>
    </row>
    <row r="50" spans="1:38" x14ac:dyDescent="0.3">
      <c r="R50">
        <v>2805</v>
      </c>
      <c r="S50">
        <v>20431</v>
      </c>
      <c r="T50" s="13">
        <v>45443</v>
      </c>
      <c r="U50">
        <v>3</v>
      </c>
      <c r="V50" s="1">
        <v>18</v>
      </c>
      <c r="W50" s="1">
        <v>3600</v>
      </c>
      <c r="X50" s="1">
        <v>10.08</v>
      </c>
      <c r="Y50" s="1">
        <v>35.71</v>
      </c>
      <c r="AF50">
        <v>2720</v>
      </c>
      <c r="AG50" s="13">
        <v>45596</v>
      </c>
      <c r="AH50">
        <v>20573</v>
      </c>
      <c r="AI50">
        <v>1</v>
      </c>
      <c r="AJ50">
        <v>190.06</v>
      </c>
      <c r="AK50">
        <v>7.31</v>
      </c>
      <c r="AL50">
        <v>26</v>
      </c>
    </row>
    <row r="51" spans="1:38" x14ac:dyDescent="0.3">
      <c r="A51">
        <v>2820</v>
      </c>
      <c r="B51" t="s">
        <v>300</v>
      </c>
      <c r="C51">
        <v>20305</v>
      </c>
      <c r="D51" t="s">
        <v>22</v>
      </c>
      <c r="E51">
        <v>189</v>
      </c>
      <c r="F51">
        <v>189</v>
      </c>
      <c r="G51">
        <v>20</v>
      </c>
      <c r="H51" s="16">
        <v>15.08</v>
      </c>
      <c r="I51" t="s">
        <v>292</v>
      </c>
      <c r="J51" s="13">
        <f t="shared" ref="J51:J101" si="4">IF(MAX(_xlfn.MAXIFS(T:T,S:S,C51,U:U,E51),_xlfn.MAXIFS(AG:AG,AH:AH,C51,AI:AI,E51))=0,"",MAX(_xlfn.MAXIFS(T:T,S:S,C51,U:U,E51),_xlfn.MAXIFS(AG:AG,AH:AH,C51,AI:AI,E51)))</f>
        <v>45626</v>
      </c>
      <c r="K51">
        <f>COUNTIFS(TABELA!A:A,C51,TABELA!C:C,E51)</f>
        <v>1</v>
      </c>
      <c r="L51" s="61">
        <f>SUMIFS(TABELA!M:M,TABELA!A:A,C51,TABELA!C:C,E51)</f>
        <v>15.08</v>
      </c>
      <c r="M51" s="61">
        <f t="shared" ref="M51:M101" si="5">IF(L51&gt;0,H51-L51,0)</f>
        <v>0</v>
      </c>
      <c r="N51" s="61">
        <f t="shared" ref="N51:N101" si="6">SUMIFS(X:X,S:S,C51,U:U,E51)+SUMIFS(AK:AK,AH:AH,C51,AI:AI,E51)</f>
        <v>15.08</v>
      </c>
      <c r="O51" s="61">
        <f t="shared" ref="O51:O82" si="7">SUMIFS(AJ:AJ,AH:AH,C51)/SUMIFS(AK:AK,AH:AH,C51)</f>
        <v>20</v>
      </c>
      <c r="R51">
        <v>2805</v>
      </c>
      <c r="S51">
        <v>20431</v>
      </c>
      <c r="T51" s="13"/>
      <c r="U51">
        <v>3</v>
      </c>
      <c r="V51" s="1"/>
      <c r="W51" s="1"/>
      <c r="X51" s="1"/>
      <c r="Y51" s="1"/>
      <c r="AF51">
        <v>2720</v>
      </c>
      <c r="AG51" s="13">
        <v>45596</v>
      </c>
      <c r="AH51">
        <v>20573</v>
      </c>
      <c r="AI51">
        <v>2</v>
      </c>
      <c r="AJ51">
        <v>425.88</v>
      </c>
      <c r="AK51">
        <v>16.38</v>
      </c>
      <c r="AL51">
        <v>26</v>
      </c>
    </row>
    <row r="52" spans="1:38" x14ac:dyDescent="0.3">
      <c r="A52">
        <v>2820</v>
      </c>
      <c r="B52" t="s">
        <v>300</v>
      </c>
      <c r="C52">
        <v>20305</v>
      </c>
      <c r="D52" t="s">
        <v>22</v>
      </c>
      <c r="E52">
        <v>190</v>
      </c>
      <c r="F52">
        <v>190</v>
      </c>
      <c r="G52">
        <v>20</v>
      </c>
      <c r="H52" s="16">
        <v>41.45</v>
      </c>
      <c r="I52" t="s">
        <v>292</v>
      </c>
      <c r="J52" s="13">
        <f t="shared" si="4"/>
        <v>45626</v>
      </c>
      <c r="K52">
        <f>COUNTIFS(TABELA!A:A,C52,TABELA!C:C,E52)</f>
        <v>1</v>
      </c>
      <c r="L52" s="61">
        <f>SUMIFS(TABELA!M:M,TABELA!A:A,C52,TABELA!C:C,E52)</f>
        <v>41.45</v>
      </c>
      <c r="M52" s="61">
        <f t="shared" si="5"/>
        <v>0</v>
      </c>
      <c r="N52" s="61">
        <f t="shared" si="6"/>
        <v>41.45</v>
      </c>
      <c r="O52" s="61">
        <f t="shared" si="7"/>
        <v>20</v>
      </c>
      <c r="R52">
        <v>2805</v>
      </c>
      <c r="S52">
        <v>20431</v>
      </c>
      <c r="T52" s="13">
        <v>45443</v>
      </c>
      <c r="U52">
        <v>4</v>
      </c>
      <c r="V52" s="1"/>
      <c r="W52" s="1"/>
      <c r="X52" s="1">
        <v>10.08</v>
      </c>
      <c r="Y52" s="1"/>
      <c r="AF52">
        <v>2720</v>
      </c>
      <c r="AG52" s="13">
        <v>45596</v>
      </c>
      <c r="AH52">
        <v>20573</v>
      </c>
      <c r="AI52">
        <v>3</v>
      </c>
      <c r="AJ52">
        <v>254.8</v>
      </c>
      <c r="AK52">
        <v>9.8000000000000007</v>
      </c>
      <c r="AL52">
        <v>26</v>
      </c>
    </row>
    <row r="53" spans="1:38" x14ac:dyDescent="0.3">
      <c r="A53">
        <v>2820</v>
      </c>
      <c r="B53" t="s">
        <v>300</v>
      </c>
      <c r="C53">
        <v>20305</v>
      </c>
      <c r="D53" t="s">
        <v>22</v>
      </c>
      <c r="E53">
        <v>191</v>
      </c>
      <c r="F53">
        <v>191</v>
      </c>
      <c r="G53">
        <v>20</v>
      </c>
      <c r="H53" s="16">
        <v>47.63</v>
      </c>
      <c r="I53" t="s">
        <v>292</v>
      </c>
      <c r="J53" s="13">
        <f t="shared" si="4"/>
        <v>45626</v>
      </c>
      <c r="K53">
        <f>COUNTIFS(TABELA!A:A,C53,TABELA!C:C,E53)</f>
        <v>1</v>
      </c>
      <c r="L53" s="61">
        <f>SUMIFS(TABELA!M:M,TABELA!A:A,C53,TABELA!C:C,E53)</f>
        <v>47.63</v>
      </c>
      <c r="M53" s="61">
        <f t="shared" si="5"/>
        <v>0</v>
      </c>
      <c r="N53" s="61">
        <f t="shared" si="6"/>
        <v>47.63</v>
      </c>
      <c r="O53" s="61">
        <f t="shared" si="7"/>
        <v>20</v>
      </c>
      <c r="R53">
        <v>2805</v>
      </c>
      <c r="S53">
        <v>20431</v>
      </c>
      <c r="T53" s="13"/>
      <c r="U53">
        <v>4</v>
      </c>
      <c r="V53" s="1"/>
      <c r="W53" s="1"/>
      <c r="X53" s="1"/>
      <c r="Y53" s="1"/>
    </row>
    <row r="54" spans="1:38" x14ac:dyDescent="0.3">
      <c r="A54">
        <v>2820</v>
      </c>
      <c r="B54" t="s">
        <v>300</v>
      </c>
      <c r="C54">
        <v>20305</v>
      </c>
      <c r="D54" t="s">
        <v>22</v>
      </c>
      <c r="E54">
        <v>192</v>
      </c>
      <c r="F54">
        <v>192</v>
      </c>
      <c r="G54">
        <v>20</v>
      </c>
      <c r="H54" s="16">
        <v>26.84</v>
      </c>
      <c r="I54" t="s">
        <v>292</v>
      </c>
      <c r="J54" s="13">
        <f t="shared" si="4"/>
        <v>45626</v>
      </c>
      <c r="K54">
        <f>COUNTIFS(TABELA!A:A,C54,TABELA!C:C,E54)</f>
        <v>1</v>
      </c>
      <c r="L54" s="61">
        <f>SUMIFS(TABELA!M:M,TABELA!A:A,C54,TABELA!C:C,E54)</f>
        <v>26.84</v>
      </c>
      <c r="M54" s="61">
        <f t="shared" si="5"/>
        <v>0</v>
      </c>
      <c r="N54" s="61">
        <f t="shared" si="6"/>
        <v>26.84</v>
      </c>
      <c r="O54" s="61">
        <f t="shared" si="7"/>
        <v>20</v>
      </c>
      <c r="R54">
        <v>2805</v>
      </c>
      <c r="S54">
        <v>20431</v>
      </c>
      <c r="T54" s="13"/>
      <c r="U54">
        <v>5</v>
      </c>
      <c r="V54" s="1"/>
      <c r="W54" s="1"/>
      <c r="X54" s="1"/>
      <c r="Y54" s="1"/>
    </row>
    <row r="55" spans="1:38" x14ac:dyDescent="0.3">
      <c r="A55">
        <v>2820</v>
      </c>
      <c r="B55" t="s">
        <v>300</v>
      </c>
      <c r="C55">
        <v>20322</v>
      </c>
      <c r="D55" t="s">
        <v>126</v>
      </c>
      <c r="E55">
        <v>1</v>
      </c>
      <c r="F55">
        <v>1</v>
      </c>
      <c r="G55">
        <v>26</v>
      </c>
      <c r="H55" s="16">
        <v>5.49</v>
      </c>
      <c r="I55" t="s">
        <v>292</v>
      </c>
      <c r="J55" s="13">
        <f t="shared" si="4"/>
        <v>45596</v>
      </c>
      <c r="K55">
        <f>COUNTIFS(TABELA!A:A,C55,TABELA!C:C,E55)</f>
        <v>1</v>
      </c>
      <c r="L55" s="61">
        <f>SUMIFS(TABELA!M:M,TABELA!A:A,C55,TABELA!C:C,E55)</f>
        <v>5.49</v>
      </c>
      <c r="M55" s="61">
        <f t="shared" si="5"/>
        <v>0</v>
      </c>
      <c r="N55" s="61">
        <f t="shared" si="6"/>
        <v>5.49</v>
      </c>
      <c r="O55" s="61">
        <f t="shared" si="7"/>
        <v>26</v>
      </c>
      <c r="R55">
        <v>2805</v>
      </c>
      <c r="S55">
        <v>20431</v>
      </c>
      <c r="T55" s="13"/>
      <c r="U55">
        <v>9</v>
      </c>
      <c r="V55" s="1"/>
      <c r="W55" s="1"/>
      <c r="X55" s="1"/>
      <c r="Y55" s="1"/>
    </row>
    <row r="56" spans="1:38" x14ac:dyDescent="0.3">
      <c r="A56">
        <v>2820</v>
      </c>
      <c r="B56" t="s">
        <v>300</v>
      </c>
      <c r="C56">
        <v>20322</v>
      </c>
      <c r="D56" t="s">
        <v>126</v>
      </c>
      <c r="E56">
        <v>2</v>
      </c>
      <c r="F56">
        <v>2</v>
      </c>
      <c r="G56">
        <v>26</v>
      </c>
      <c r="H56" s="16">
        <v>3.82</v>
      </c>
      <c r="I56" t="s">
        <v>292</v>
      </c>
      <c r="J56" s="13">
        <f t="shared" si="4"/>
        <v>45596</v>
      </c>
      <c r="K56">
        <f>COUNTIFS(TABELA!A:A,C56,TABELA!C:C,E56)</f>
        <v>1</v>
      </c>
      <c r="L56" s="61">
        <f>SUMIFS(TABELA!M:M,TABELA!A:A,C56,TABELA!C:C,E56)</f>
        <v>3.82</v>
      </c>
      <c r="M56" s="61">
        <f t="shared" si="5"/>
        <v>0</v>
      </c>
      <c r="N56" s="61">
        <f t="shared" si="6"/>
        <v>3.82</v>
      </c>
      <c r="O56" s="61">
        <f t="shared" si="7"/>
        <v>26</v>
      </c>
      <c r="R56">
        <v>2805</v>
      </c>
      <c r="S56">
        <v>20431</v>
      </c>
      <c r="T56" s="13">
        <v>45443</v>
      </c>
      <c r="U56">
        <v>15</v>
      </c>
      <c r="V56" s="1">
        <v>24</v>
      </c>
      <c r="W56" s="1">
        <v>4800</v>
      </c>
      <c r="X56" s="1">
        <v>10.08</v>
      </c>
      <c r="Y56" s="1">
        <v>47.62</v>
      </c>
    </row>
    <row r="57" spans="1:38" x14ac:dyDescent="0.3">
      <c r="A57">
        <v>2820</v>
      </c>
      <c r="B57" t="s">
        <v>300</v>
      </c>
      <c r="C57">
        <v>20322</v>
      </c>
      <c r="D57" t="s">
        <v>126</v>
      </c>
      <c r="E57">
        <v>3</v>
      </c>
      <c r="F57">
        <v>3</v>
      </c>
      <c r="G57">
        <v>26</v>
      </c>
      <c r="H57" s="16">
        <v>3.72</v>
      </c>
      <c r="I57" t="s">
        <v>292</v>
      </c>
      <c r="J57" s="13">
        <f t="shared" si="4"/>
        <v>45596</v>
      </c>
      <c r="K57">
        <f>COUNTIFS(TABELA!A:A,C57,TABELA!C:C,E57)</f>
        <v>1</v>
      </c>
      <c r="L57" s="61">
        <f>SUMIFS(TABELA!M:M,TABELA!A:A,C57,TABELA!C:C,E57)</f>
        <v>3.72</v>
      </c>
      <c r="M57" s="61">
        <f t="shared" si="5"/>
        <v>0</v>
      </c>
      <c r="N57" s="61">
        <f t="shared" si="6"/>
        <v>3.72</v>
      </c>
      <c r="O57" s="61">
        <f t="shared" si="7"/>
        <v>26</v>
      </c>
      <c r="R57">
        <v>2805</v>
      </c>
      <c r="S57">
        <v>20431</v>
      </c>
      <c r="T57" s="13"/>
      <c r="U57">
        <v>15</v>
      </c>
      <c r="V57" s="1"/>
      <c r="W57" s="1"/>
      <c r="X57" s="1"/>
      <c r="Y57" s="1"/>
    </row>
    <row r="58" spans="1:38" x14ac:dyDescent="0.3">
      <c r="A58">
        <v>2820</v>
      </c>
      <c r="B58" t="s">
        <v>300</v>
      </c>
      <c r="C58">
        <v>20322</v>
      </c>
      <c r="D58" t="s">
        <v>126</v>
      </c>
      <c r="E58">
        <v>4</v>
      </c>
      <c r="F58">
        <v>4</v>
      </c>
      <c r="G58">
        <v>26</v>
      </c>
      <c r="H58" s="16">
        <v>3.93</v>
      </c>
      <c r="I58" t="s">
        <v>292</v>
      </c>
      <c r="J58" s="13">
        <f t="shared" si="4"/>
        <v>45596</v>
      </c>
      <c r="K58">
        <f>COUNTIFS(TABELA!A:A,C58,TABELA!C:C,E58)</f>
        <v>1</v>
      </c>
      <c r="L58" s="61">
        <f>SUMIFS(TABELA!M:M,TABELA!A:A,C58,TABELA!C:C,E58)</f>
        <v>3.93</v>
      </c>
      <c r="M58" s="61">
        <f t="shared" si="5"/>
        <v>0</v>
      </c>
      <c r="N58" s="61">
        <f t="shared" si="6"/>
        <v>3.93</v>
      </c>
      <c r="O58" s="61">
        <f t="shared" si="7"/>
        <v>26</v>
      </c>
      <c r="R58">
        <v>2805</v>
      </c>
      <c r="S58">
        <v>20431</v>
      </c>
      <c r="T58" s="13">
        <v>45443</v>
      </c>
      <c r="U58">
        <v>16</v>
      </c>
      <c r="V58" s="1"/>
      <c r="W58" s="1"/>
      <c r="X58" s="1">
        <v>10.08</v>
      </c>
      <c r="Y58" s="1"/>
    </row>
    <row r="59" spans="1:38" x14ac:dyDescent="0.3">
      <c r="A59">
        <v>2820</v>
      </c>
      <c r="B59" t="s">
        <v>300</v>
      </c>
      <c r="C59">
        <v>20322</v>
      </c>
      <c r="D59" t="s">
        <v>126</v>
      </c>
      <c r="E59">
        <v>5</v>
      </c>
      <c r="F59">
        <v>5</v>
      </c>
      <c r="G59">
        <v>26</v>
      </c>
      <c r="H59" s="16">
        <v>4.41</v>
      </c>
      <c r="I59" t="s">
        <v>292</v>
      </c>
      <c r="J59" s="13">
        <f t="shared" si="4"/>
        <v>45596</v>
      </c>
      <c r="K59">
        <f>COUNTIFS(TABELA!A:A,C59,TABELA!C:C,E59)</f>
        <v>1</v>
      </c>
      <c r="L59" s="61">
        <f>SUMIFS(TABELA!M:M,TABELA!A:A,C59,TABELA!C:C,E59)</f>
        <v>4.41</v>
      </c>
      <c r="M59" s="61">
        <f t="shared" si="5"/>
        <v>0</v>
      </c>
      <c r="N59" s="61">
        <f t="shared" si="6"/>
        <v>4.41</v>
      </c>
      <c r="O59" s="61">
        <f t="shared" si="7"/>
        <v>26</v>
      </c>
      <c r="R59">
        <v>2805</v>
      </c>
      <c r="S59">
        <v>20431</v>
      </c>
      <c r="T59" s="13"/>
      <c r="U59">
        <v>16</v>
      </c>
      <c r="V59" s="1"/>
      <c r="W59" s="1"/>
      <c r="X59" s="1"/>
      <c r="Y59" s="1"/>
    </row>
    <row r="60" spans="1:38" x14ac:dyDescent="0.3">
      <c r="A60">
        <v>2820</v>
      </c>
      <c r="B60" t="s">
        <v>300</v>
      </c>
      <c r="C60">
        <v>20322</v>
      </c>
      <c r="D60" t="s">
        <v>126</v>
      </c>
      <c r="E60">
        <v>6</v>
      </c>
      <c r="F60">
        <v>6</v>
      </c>
      <c r="G60">
        <v>26</v>
      </c>
      <c r="H60" s="16">
        <v>3.48</v>
      </c>
      <c r="I60" t="s">
        <v>292</v>
      </c>
      <c r="J60" s="13">
        <f t="shared" si="4"/>
        <v>45596</v>
      </c>
      <c r="K60">
        <f>COUNTIFS(TABELA!A:A,C60,TABELA!C:C,E60)</f>
        <v>1</v>
      </c>
      <c r="L60" s="61">
        <f>SUMIFS(TABELA!M:M,TABELA!A:A,C60,TABELA!C:C,E60)</f>
        <v>3.48</v>
      </c>
      <c r="M60" s="61">
        <f t="shared" si="5"/>
        <v>0</v>
      </c>
      <c r="N60" s="61">
        <f t="shared" si="6"/>
        <v>3.48</v>
      </c>
      <c r="O60" s="61">
        <f t="shared" si="7"/>
        <v>26</v>
      </c>
      <c r="R60">
        <v>2805</v>
      </c>
      <c r="S60">
        <v>20432</v>
      </c>
      <c r="T60" s="13">
        <v>45504</v>
      </c>
      <c r="U60">
        <v>190</v>
      </c>
      <c r="V60" s="1">
        <v>38</v>
      </c>
      <c r="W60" s="1">
        <v>7600</v>
      </c>
      <c r="X60" s="1">
        <v>5.1100000000000003</v>
      </c>
      <c r="Y60" s="1">
        <v>148.72999999999999</v>
      </c>
    </row>
    <row r="61" spans="1:38" x14ac:dyDescent="0.3">
      <c r="A61">
        <v>2820</v>
      </c>
      <c r="B61" t="s">
        <v>300</v>
      </c>
      <c r="C61">
        <v>20322</v>
      </c>
      <c r="D61" t="s">
        <v>126</v>
      </c>
      <c r="E61">
        <v>7</v>
      </c>
      <c r="F61">
        <v>7</v>
      </c>
      <c r="G61">
        <v>26</v>
      </c>
      <c r="H61" s="16">
        <v>2.8</v>
      </c>
      <c r="I61" t="s">
        <v>292</v>
      </c>
      <c r="J61" s="13">
        <f t="shared" si="4"/>
        <v>45596</v>
      </c>
      <c r="K61">
        <f>COUNTIFS(TABELA!A:A,C61,TABELA!C:C,E61)</f>
        <v>1</v>
      </c>
      <c r="L61" s="61">
        <f>SUMIFS(TABELA!M:M,TABELA!A:A,C61,TABELA!C:C,E61)</f>
        <v>2.8</v>
      </c>
      <c r="M61" s="61">
        <f t="shared" si="5"/>
        <v>0</v>
      </c>
      <c r="N61" s="61">
        <f t="shared" si="6"/>
        <v>2.8</v>
      </c>
      <c r="O61" s="61">
        <f t="shared" si="7"/>
        <v>26</v>
      </c>
      <c r="R61">
        <v>2805</v>
      </c>
      <c r="S61">
        <v>20432</v>
      </c>
      <c r="T61" s="13"/>
      <c r="U61">
        <v>190</v>
      </c>
      <c r="V61" s="1"/>
      <c r="W61" s="1"/>
      <c r="X61" s="1"/>
      <c r="Y61" s="1"/>
    </row>
    <row r="62" spans="1:38" x14ac:dyDescent="0.3">
      <c r="A62">
        <v>2820</v>
      </c>
      <c r="B62" t="s">
        <v>300</v>
      </c>
      <c r="C62">
        <v>20322</v>
      </c>
      <c r="D62" t="s">
        <v>126</v>
      </c>
      <c r="E62">
        <v>8</v>
      </c>
      <c r="F62">
        <v>8</v>
      </c>
      <c r="G62">
        <v>26</v>
      </c>
      <c r="H62" s="16">
        <v>3.82</v>
      </c>
      <c r="I62" t="s">
        <v>292</v>
      </c>
      <c r="J62" s="13">
        <f t="shared" si="4"/>
        <v>45596</v>
      </c>
      <c r="K62">
        <f>COUNTIFS(TABELA!A:A,C62,TABELA!C:C,E62)</f>
        <v>1</v>
      </c>
      <c r="L62" s="61">
        <f>SUMIFS(TABELA!M:M,TABELA!A:A,C62,TABELA!C:C,E62)</f>
        <v>3.82</v>
      </c>
      <c r="M62" s="61">
        <f t="shared" si="5"/>
        <v>0</v>
      </c>
      <c r="N62" s="61">
        <f t="shared" si="6"/>
        <v>3.82</v>
      </c>
      <c r="O62" s="61">
        <f t="shared" si="7"/>
        <v>26</v>
      </c>
      <c r="R62">
        <v>2805</v>
      </c>
      <c r="S62">
        <v>20432</v>
      </c>
      <c r="T62" s="13">
        <v>45504</v>
      </c>
      <c r="U62">
        <v>191</v>
      </c>
      <c r="V62" s="1"/>
      <c r="W62" s="1"/>
      <c r="X62" s="1">
        <v>8.2100000000000009</v>
      </c>
      <c r="Y62" s="1"/>
    </row>
    <row r="63" spans="1:38" x14ac:dyDescent="0.3">
      <c r="A63">
        <v>2820</v>
      </c>
      <c r="B63" t="s">
        <v>300</v>
      </c>
      <c r="C63">
        <v>20323</v>
      </c>
      <c r="D63" t="s">
        <v>29</v>
      </c>
      <c r="E63">
        <v>1</v>
      </c>
      <c r="F63">
        <v>1</v>
      </c>
      <c r="G63">
        <v>20</v>
      </c>
      <c r="H63" s="16">
        <v>2.5099999999999998</v>
      </c>
      <c r="I63" t="s">
        <v>292</v>
      </c>
      <c r="J63" s="13">
        <f t="shared" si="4"/>
        <v>45626</v>
      </c>
      <c r="K63">
        <f>COUNTIFS(TABELA!A:A,C63,TABELA!C:C,E63)</f>
        <v>1</v>
      </c>
      <c r="L63" s="61">
        <f>SUMIFS(TABELA!M:M,TABELA!A:A,C63,TABELA!C:C,E63)</f>
        <v>2.5099999999999998</v>
      </c>
      <c r="M63" s="61">
        <f t="shared" si="5"/>
        <v>0</v>
      </c>
      <c r="N63" s="61">
        <f t="shared" si="6"/>
        <v>2.5099999999999998</v>
      </c>
      <c r="O63" s="61">
        <f t="shared" si="7"/>
        <v>20</v>
      </c>
      <c r="R63">
        <v>2805</v>
      </c>
      <c r="S63">
        <v>20432</v>
      </c>
      <c r="T63" s="13"/>
      <c r="U63">
        <v>191</v>
      </c>
      <c r="V63" s="1"/>
      <c r="W63" s="1"/>
      <c r="X63" s="1"/>
      <c r="Y63" s="1"/>
    </row>
    <row r="64" spans="1:38" x14ac:dyDescent="0.3">
      <c r="A64">
        <v>2820</v>
      </c>
      <c r="B64" t="s">
        <v>300</v>
      </c>
      <c r="C64">
        <v>20323</v>
      </c>
      <c r="D64" t="s">
        <v>29</v>
      </c>
      <c r="E64">
        <v>2</v>
      </c>
      <c r="F64">
        <v>2</v>
      </c>
      <c r="G64">
        <v>20</v>
      </c>
      <c r="H64" s="16">
        <v>12.58</v>
      </c>
      <c r="I64" t="s">
        <v>292</v>
      </c>
      <c r="J64" s="13">
        <f t="shared" si="4"/>
        <v>45626</v>
      </c>
      <c r="K64">
        <f>COUNTIFS(TABELA!A:A,C64,TABELA!C:C,E64)</f>
        <v>1</v>
      </c>
      <c r="L64" s="61">
        <f>SUMIFS(TABELA!M:M,TABELA!A:A,C64,TABELA!C:C,E64)</f>
        <v>12.58</v>
      </c>
      <c r="M64" s="61">
        <f t="shared" si="5"/>
        <v>0</v>
      </c>
      <c r="N64" s="61">
        <f t="shared" si="6"/>
        <v>12.58</v>
      </c>
      <c r="O64" s="61">
        <f t="shared" si="7"/>
        <v>20</v>
      </c>
      <c r="R64">
        <v>2805</v>
      </c>
      <c r="S64">
        <v>20432</v>
      </c>
      <c r="T64" s="13">
        <v>45504</v>
      </c>
      <c r="U64">
        <v>194</v>
      </c>
      <c r="V64" s="1"/>
      <c r="W64" s="1"/>
      <c r="X64" s="1">
        <v>13.67</v>
      </c>
      <c r="Y64" s="1"/>
    </row>
    <row r="65" spans="1:25" x14ac:dyDescent="0.3">
      <c r="A65">
        <v>2820</v>
      </c>
      <c r="B65" t="s">
        <v>300</v>
      </c>
      <c r="C65">
        <v>20323</v>
      </c>
      <c r="D65" t="s">
        <v>29</v>
      </c>
      <c r="E65">
        <v>3</v>
      </c>
      <c r="F65">
        <v>3</v>
      </c>
      <c r="G65">
        <v>20</v>
      </c>
      <c r="H65" s="16">
        <v>24.91</v>
      </c>
      <c r="I65" t="s">
        <v>292</v>
      </c>
      <c r="J65" s="13">
        <f t="shared" si="4"/>
        <v>45626</v>
      </c>
      <c r="K65">
        <f>COUNTIFS(TABELA!A:A,C65,TABELA!C:C,E65)</f>
        <v>1</v>
      </c>
      <c r="L65" s="61">
        <f>SUMIFS(TABELA!M:M,TABELA!A:A,C65,TABELA!C:C,E65)</f>
        <v>24.91</v>
      </c>
      <c r="M65" s="61">
        <f t="shared" si="5"/>
        <v>0</v>
      </c>
      <c r="N65" s="61">
        <f t="shared" si="6"/>
        <v>24.91</v>
      </c>
      <c r="O65" s="61">
        <f t="shared" si="7"/>
        <v>20</v>
      </c>
      <c r="R65">
        <v>2805</v>
      </c>
      <c r="S65">
        <v>20432</v>
      </c>
      <c r="T65" s="13"/>
      <c r="U65">
        <v>194</v>
      </c>
      <c r="V65" s="1"/>
      <c r="W65" s="1"/>
      <c r="X65" s="1"/>
      <c r="Y65" s="1"/>
    </row>
    <row r="66" spans="1:25" x14ac:dyDescent="0.3">
      <c r="A66">
        <v>2820</v>
      </c>
      <c r="B66" t="s">
        <v>300</v>
      </c>
      <c r="C66">
        <v>20323</v>
      </c>
      <c r="D66" t="s">
        <v>29</v>
      </c>
      <c r="E66">
        <v>4</v>
      </c>
      <c r="F66">
        <v>4</v>
      </c>
      <c r="G66">
        <v>20</v>
      </c>
      <c r="H66" s="16">
        <v>18.3</v>
      </c>
      <c r="I66" t="s">
        <v>292</v>
      </c>
      <c r="J66" s="13">
        <f t="shared" si="4"/>
        <v>45626</v>
      </c>
      <c r="K66">
        <f>COUNTIFS(TABELA!A:A,C66,TABELA!C:C,E66)</f>
        <v>1</v>
      </c>
      <c r="L66" s="61">
        <f>SUMIFS(TABELA!M:M,TABELA!A:A,C66,TABELA!C:C,E66)</f>
        <v>18.3</v>
      </c>
      <c r="M66" s="61">
        <f t="shared" si="5"/>
        <v>0</v>
      </c>
      <c r="N66" s="61">
        <f t="shared" si="6"/>
        <v>18.3</v>
      </c>
      <c r="O66" s="61">
        <f t="shared" si="7"/>
        <v>20</v>
      </c>
      <c r="R66">
        <v>2805</v>
      </c>
      <c r="S66">
        <v>20439</v>
      </c>
      <c r="T66" s="13"/>
      <c r="U66">
        <v>1</v>
      </c>
      <c r="V66" s="1"/>
      <c r="W66" s="1"/>
      <c r="X66" s="1"/>
      <c r="Y66" s="1"/>
    </row>
    <row r="67" spans="1:25" x14ac:dyDescent="0.3">
      <c r="A67">
        <v>2820</v>
      </c>
      <c r="B67" t="s">
        <v>300</v>
      </c>
      <c r="C67">
        <v>20323</v>
      </c>
      <c r="D67" t="s">
        <v>29</v>
      </c>
      <c r="E67">
        <v>5</v>
      </c>
      <c r="F67">
        <v>5</v>
      </c>
      <c r="G67">
        <v>20</v>
      </c>
      <c r="H67" s="16">
        <v>6.87</v>
      </c>
      <c r="I67" t="s">
        <v>292</v>
      </c>
      <c r="J67" s="13">
        <f t="shared" si="4"/>
        <v>45626</v>
      </c>
      <c r="K67">
        <f>COUNTIFS(TABELA!A:A,C67,TABELA!C:C,E67)</f>
        <v>1</v>
      </c>
      <c r="L67" s="61">
        <f>SUMIFS(TABELA!M:M,TABELA!A:A,C67,TABELA!C:C,E67)</f>
        <v>6.87</v>
      </c>
      <c r="M67" s="61">
        <f t="shared" si="5"/>
        <v>0</v>
      </c>
      <c r="N67" s="61">
        <f t="shared" si="6"/>
        <v>6.87</v>
      </c>
      <c r="O67" s="61">
        <f t="shared" si="7"/>
        <v>20</v>
      </c>
      <c r="R67">
        <v>2805</v>
      </c>
      <c r="S67">
        <v>20439</v>
      </c>
      <c r="T67" s="13"/>
      <c r="U67">
        <v>2</v>
      </c>
      <c r="V67" s="1"/>
      <c r="W67" s="1"/>
      <c r="X67" s="1"/>
      <c r="Y67" s="1"/>
    </row>
    <row r="68" spans="1:25" x14ac:dyDescent="0.3">
      <c r="A68">
        <v>2820</v>
      </c>
      <c r="B68" t="s">
        <v>300</v>
      </c>
      <c r="C68">
        <v>20323</v>
      </c>
      <c r="D68" t="s">
        <v>29</v>
      </c>
      <c r="E68">
        <v>6</v>
      </c>
      <c r="F68">
        <v>6</v>
      </c>
      <c r="G68">
        <v>20</v>
      </c>
      <c r="H68" s="16">
        <v>11.31</v>
      </c>
      <c r="I68" t="s">
        <v>292</v>
      </c>
      <c r="J68" s="13">
        <f t="shared" si="4"/>
        <v>45626</v>
      </c>
      <c r="K68">
        <f>COUNTIFS(TABELA!A:A,C68,TABELA!C:C,E68)</f>
        <v>1</v>
      </c>
      <c r="L68" s="61">
        <f>SUMIFS(TABELA!M:M,TABELA!A:A,C68,TABELA!C:C,E68)</f>
        <v>11.31</v>
      </c>
      <c r="M68" s="61">
        <f t="shared" si="5"/>
        <v>0</v>
      </c>
      <c r="N68" s="61">
        <f t="shared" si="6"/>
        <v>11.31</v>
      </c>
      <c r="O68" s="61">
        <f t="shared" si="7"/>
        <v>20</v>
      </c>
      <c r="R68">
        <v>2805</v>
      </c>
      <c r="S68">
        <v>20439</v>
      </c>
      <c r="T68" s="13">
        <v>45565</v>
      </c>
      <c r="U68">
        <v>3</v>
      </c>
      <c r="V68" s="1">
        <v>149</v>
      </c>
      <c r="W68" s="1">
        <v>61950</v>
      </c>
      <c r="X68" s="1">
        <v>43.01</v>
      </c>
      <c r="Y68" s="1">
        <v>144.04</v>
      </c>
    </row>
    <row r="69" spans="1:25" x14ac:dyDescent="0.3">
      <c r="A69">
        <v>2820</v>
      </c>
      <c r="B69" t="s">
        <v>300</v>
      </c>
      <c r="C69">
        <v>20325</v>
      </c>
      <c r="D69" t="s">
        <v>31</v>
      </c>
      <c r="E69">
        <v>1</v>
      </c>
      <c r="F69">
        <v>1</v>
      </c>
      <c r="G69">
        <v>20</v>
      </c>
      <c r="H69" s="16">
        <v>35.92</v>
      </c>
      <c r="I69" t="s">
        <v>292</v>
      </c>
      <c r="J69" s="13">
        <f t="shared" si="4"/>
        <v>45626</v>
      </c>
      <c r="K69">
        <f>COUNTIFS(TABELA!A:A,C69,TABELA!C:C,E69)</f>
        <v>1</v>
      </c>
      <c r="L69" s="61">
        <f>SUMIFS(TABELA!M:M,TABELA!A:A,C69,TABELA!C:C,E69)</f>
        <v>35.92</v>
      </c>
      <c r="M69" s="61">
        <f t="shared" si="5"/>
        <v>0</v>
      </c>
      <c r="N69" s="61">
        <f t="shared" si="6"/>
        <v>35.92</v>
      </c>
      <c r="O69" s="61">
        <f t="shared" si="7"/>
        <v>19.999999999999996</v>
      </c>
      <c r="R69">
        <v>2805</v>
      </c>
      <c r="S69">
        <v>20439</v>
      </c>
      <c r="T69" s="13"/>
      <c r="U69">
        <v>3</v>
      </c>
      <c r="V69" s="1"/>
      <c r="W69" s="1"/>
      <c r="X69" s="1"/>
      <c r="Y69" s="1"/>
    </row>
    <row r="70" spans="1:25" x14ac:dyDescent="0.3">
      <c r="A70">
        <v>2820</v>
      </c>
      <c r="B70" t="s">
        <v>300</v>
      </c>
      <c r="C70">
        <v>20325</v>
      </c>
      <c r="D70" t="s">
        <v>31</v>
      </c>
      <c r="E70">
        <v>2</v>
      </c>
      <c r="F70">
        <v>2</v>
      </c>
      <c r="G70">
        <v>20</v>
      </c>
      <c r="H70" s="16">
        <v>30.76</v>
      </c>
      <c r="I70" t="s">
        <v>292</v>
      </c>
      <c r="J70" s="13">
        <f t="shared" si="4"/>
        <v>45626</v>
      </c>
      <c r="K70">
        <f>COUNTIFS(TABELA!A:A,C70,TABELA!C:C,E70)</f>
        <v>1</v>
      </c>
      <c r="L70" s="61">
        <f>SUMIFS(TABELA!M:M,TABELA!A:A,C70,TABELA!C:C,E70)</f>
        <v>30.76</v>
      </c>
      <c r="M70" s="61">
        <f t="shared" si="5"/>
        <v>0</v>
      </c>
      <c r="N70" s="61">
        <f t="shared" si="6"/>
        <v>30.76</v>
      </c>
      <c r="O70" s="61">
        <f t="shared" si="7"/>
        <v>19.999999999999996</v>
      </c>
      <c r="R70">
        <v>2805</v>
      </c>
      <c r="S70">
        <v>20439</v>
      </c>
      <c r="T70" s="13"/>
      <c r="U70">
        <v>4</v>
      </c>
      <c r="V70" s="1"/>
      <c r="W70" s="1"/>
      <c r="X70" s="1"/>
      <c r="Y70" s="1"/>
    </row>
    <row r="71" spans="1:25" x14ac:dyDescent="0.3">
      <c r="A71">
        <v>2820</v>
      </c>
      <c r="B71" t="s">
        <v>300</v>
      </c>
      <c r="C71">
        <v>20325</v>
      </c>
      <c r="D71" t="s">
        <v>31</v>
      </c>
      <c r="E71">
        <v>3</v>
      </c>
      <c r="F71">
        <v>3</v>
      </c>
      <c r="G71">
        <v>20</v>
      </c>
      <c r="H71" s="16">
        <v>23.11</v>
      </c>
      <c r="I71" t="s">
        <v>292</v>
      </c>
      <c r="J71" s="13">
        <f t="shared" si="4"/>
        <v>45626</v>
      </c>
      <c r="K71">
        <f>COUNTIFS(TABELA!A:A,C71,TABELA!C:C,E71)</f>
        <v>1</v>
      </c>
      <c r="L71" s="61">
        <f>SUMIFS(TABELA!M:M,TABELA!A:A,C71,TABELA!C:C,E71)</f>
        <v>23.11</v>
      </c>
      <c r="M71" s="61">
        <f t="shared" si="5"/>
        <v>0</v>
      </c>
      <c r="N71" s="61">
        <f t="shared" si="6"/>
        <v>23.11</v>
      </c>
      <c r="O71" s="61">
        <f t="shared" si="7"/>
        <v>19.999999999999996</v>
      </c>
      <c r="R71">
        <v>2805</v>
      </c>
      <c r="S71">
        <v>20439</v>
      </c>
      <c r="T71" s="13">
        <v>45565</v>
      </c>
      <c r="U71">
        <v>5</v>
      </c>
      <c r="V71" s="1"/>
      <c r="W71" s="1"/>
      <c r="X71" s="1">
        <v>37.72</v>
      </c>
      <c r="Y71" s="1"/>
    </row>
    <row r="72" spans="1:25" x14ac:dyDescent="0.3">
      <c r="A72">
        <v>2820</v>
      </c>
      <c r="B72" t="s">
        <v>300</v>
      </c>
      <c r="C72">
        <v>20325</v>
      </c>
      <c r="D72" t="s">
        <v>31</v>
      </c>
      <c r="E72">
        <v>4</v>
      </c>
      <c r="F72">
        <v>4</v>
      </c>
      <c r="G72">
        <v>20</v>
      </c>
      <c r="H72" s="16">
        <v>5.22</v>
      </c>
      <c r="I72" t="s">
        <v>292</v>
      </c>
      <c r="J72" s="13">
        <f t="shared" si="4"/>
        <v>45626</v>
      </c>
      <c r="K72">
        <f>COUNTIFS(TABELA!A:A,C72,TABELA!C:C,E72)</f>
        <v>1</v>
      </c>
      <c r="L72" s="61">
        <f>SUMIFS(TABELA!M:M,TABELA!A:A,C72,TABELA!C:C,E72)</f>
        <v>5.22</v>
      </c>
      <c r="M72" s="61">
        <f t="shared" si="5"/>
        <v>0</v>
      </c>
      <c r="N72" s="61">
        <f t="shared" si="6"/>
        <v>5.22</v>
      </c>
      <c r="O72" s="61">
        <f t="shared" si="7"/>
        <v>19.999999999999996</v>
      </c>
      <c r="R72">
        <v>2805</v>
      </c>
      <c r="S72">
        <v>20439</v>
      </c>
      <c r="T72" s="13"/>
      <c r="U72">
        <v>5</v>
      </c>
      <c r="V72" s="1"/>
      <c r="W72" s="1"/>
      <c r="X72" s="1"/>
      <c r="Y72" s="1"/>
    </row>
    <row r="73" spans="1:25" x14ac:dyDescent="0.3">
      <c r="A73">
        <v>2820</v>
      </c>
      <c r="B73" t="s">
        <v>300</v>
      </c>
      <c r="C73">
        <v>20325</v>
      </c>
      <c r="D73" t="s">
        <v>31</v>
      </c>
      <c r="E73">
        <v>5</v>
      </c>
      <c r="F73">
        <v>5</v>
      </c>
      <c r="G73">
        <v>20</v>
      </c>
      <c r="H73" s="16">
        <v>49.47</v>
      </c>
      <c r="I73" t="s">
        <v>292</v>
      </c>
      <c r="J73" s="13">
        <f t="shared" si="4"/>
        <v>45626</v>
      </c>
      <c r="K73">
        <f>COUNTIFS(TABELA!A:A,C73,TABELA!C:C,E73)</f>
        <v>1</v>
      </c>
      <c r="L73" s="61">
        <f>SUMIFS(TABELA!M:M,TABELA!A:A,C73,TABELA!C:C,E73)</f>
        <v>49.47</v>
      </c>
      <c r="M73" s="61">
        <f t="shared" si="5"/>
        <v>0</v>
      </c>
      <c r="N73" s="61">
        <f t="shared" si="6"/>
        <v>49.47</v>
      </c>
      <c r="O73" s="61">
        <f t="shared" si="7"/>
        <v>19.999999999999996</v>
      </c>
      <c r="R73">
        <v>2805</v>
      </c>
      <c r="S73">
        <v>20439</v>
      </c>
      <c r="T73" s="13">
        <v>45565</v>
      </c>
      <c r="U73">
        <v>7</v>
      </c>
      <c r="V73" s="1"/>
      <c r="W73" s="1"/>
      <c r="X73" s="1">
        <v>23.35</v>
      </c>
      <c r="Y73" s="1"/>
    </row>
    <row r="74" spans="1:25" x14ac:dyDescent="0.3">
      <c r="A74">
        <v>2820</v>
      </c>
      <c r="B74" t="s">
        <v>300</v>
      </c>
      <c r="C74">
        <v>20340</v>
      </c>
      <c r="D74" t="s">
        <v>131</v>
      </c>
      <c r="E74">
        <v>1</v>
      </c>
      <c r="F74">
        <v>1</v>
      </c>
      <c r="G74">
        <v>26</v>
      </c>
      <c r="H74" s="16">
        <v>24.62</v>
      </c>
      <c r="I74" t="s">
        <v>292</v>
      </c>
      <c r="J74" s="13">
        <f t="shared" si="4"/>
        <v>45596</v>
      </c>
      <c r="K74">
        <f>COUNTIFS(TABELA!A:A,C74,TABELA!C:C,E74)</f>
        <v>1</v>
      </c>
      <c r="L74" s="61">
        <f>SUMIFS(TABELA!M:M,TABELA!A:A,C74,TABELA!C:C,E74)</f>
        <v>24.62</v>
      </c>
      <c r="M74" s="61">
        <f t="shared" si="5"/>
        <v>0</v>
      </c>
      <c r="N74" s="61">
        <f t="shared" si="6"/>
        <v>24.62</v>
      </c>
      <c r="O74" s="61">
        <f t="shared" si="7"/>
        <v>26</v>
      </c>
      <c r="R74">
        <v>2805</v>
      </c>
      <c r="S74">
        <v>20439</v>
      </c>
      <c r="T74" s="13"/>
      <c r="U74">
        <v>7</v>
      </c>
      <c r="V74" s="1"/>
      <c r="W74" s="1"/>
      <c r="X74" s="1"/>
      <c r="Y74" s="1"/>
    </row>
    <row r="75" spans="1:25" x14ac:dyDescent="0.3">
      <c r="A75">
        <v>2820</v>
      </c>
      <c r="B75" t="s">
        <v>300</v>
      </c>
      <c r="C75">
        <v>20340</v>
      </c>
      <c r="D75" t="s">
        <v>131</v>
      </c>
      <c r="E75">
        <v>2</v>
      </c>
      <c r="F75">
        <v>2</v>
      </c>
      <c r="G75">
        <v>26</v>
      </c>
      <c r="H75" s="16">
        <v>10.17</v>
      </c>
      <c r="I75" t="s">
        <v>292</v>
      </c>
      <c r="J75" s="13">
        <f t="shared" si="4"/>
        <v>45596</v>
      </c>
      <c r="K75">
        <f>COUNTIFS(TABELA!A:A,C75,TABELA!C:C,E75)</f>
        <v>1</v>
      </c>
      <c r="L75" s="61">
        <f>SUMIFS(TABELA!M:M,TABELA!A:A,C75,TABELA!C:C,E75)</f>
        <v>10.17</v>
      </c>
      <c r="M75" s="61">
        <f t="shared" si="5"/>
        <v>0</v>
      </c>
      <c r="N75" s="61">
        <f t="shared" si="6"/>
        <v>10.17</v>
      </c>
      <c r="O75" s="61">
        <f t="shared" si="7"/>
        <v>26</v>
      </c>
      <c r="R75">
        <v>2805</v>
      </c>
      <c r="S75">
        <v>20450</v>
      </c>
      <c r="T75" s="13"/>
      <c r="U75">
        <v>1</v>
      </c>
      <c r="V75" s="1"/>
      <c r="W75" s="1"/>
      <c r="X75" s="1"/>
      <c r="Y75" s="1"/>
    </row>
    <row r="76" spans="1:25" x14ac:dyDescent="0.3">
      <c r="A76">
        <v>2820</v>
      </c>
      <c r="B76" t="s">
        <v>300</v>
      </c>
      <c r="C76">
        <v>20340</v>
      </c>
      <c r="D76" t="s">
        <v>131</v>
      </c>
      <c r="E76">
        <v>3</v>
      </c>
      <c r="F76">
        <v>3</v>
      </c>
      <c r="G76">
        <v>26</v>
      </c>
      <c r="H76" s="16">
        <v>6.76</v>
      </c>
      <c r="I76" t="s">
        <v>292</v>
      </c>
      <c r="J76" s="13">
        <f t="shared" si="4"/>
        <v>45596</v>
      </c>
      <c r="K76">
        <f>COUNTIFS(TABELA!A:A,C76,TABELA!C:C,E76)</f>
        <v>1</v>
      </c>
      <c r="L76" s="61">
        <f>SUMIFS(TABELA!M:M,TABELA!A:A,C76,TABELA!C:C,E76)</f>
        <v>6.76</v>
      </c>
      <c r="M76" s="61">
        <f t="shared" si="5"/>
        <v>0</v>
      </c>
      <c r="N76" s="61">
        <f t="shared" si="6"/>
        <v>6.76</v>
      </c>
      <c r="O76" s="61">
        <f t="shared" si="7"/>
        <v>26</v>
      </c>
      <c r="R76">
        <v>2805</v>
      </c>
      <c r="S76">
        <v>20450</v>
      </c>
      <c r="T76" s="13">
        <v>45565</v>
      </c>
      <c r="U76">
        <v>2</v>
      </c>
      <c r="V76" s="1"/>
      <c r="W76" s="1"/>
      <c r="X76" s="1">
        <v>11.92</v>
      </c>
      <c r="Y76" s="1"/>
    </row>
    <row r="77" spans="1:25" x14ac:dyDescent="0.3">
      <c r="A77">
        <v>2820</v>
      </c>
      <c r="B77" t="s">
        <v>300</v>
      </c>
      <c r="C77">
        <v>20345</v>
      </c>
      <c r="D77" t="s">
        <v>132</v>
      </c>
      <c r="E77">
        <v>1</v>
      </c>
      <c r="F77">
        <v>1</v>
      </c>
      <c r="G77">
        <v>26</v>
      </c>
      <c r="H77" s="16">
        <v>24.57</v>
      </c>
      <c r="I77" t="s">
        <v>292</v>
      </c>
      <c r="J77" s="13">
        <f t="shared" si="4"/>
        <v>45596</v>
      </c>
      <c r="K77">
        <f>COUNTIFS(TABELA!A:A,C77,TABELA!C:C,E77)</f>
        <v>1</v>
      </c>
      <c r="L77" s="61">
        <f>SUMIFS(TABELA!M:M,TABELA!A:A,C77,TABELA!C:C,E77)</f>
        <v>24.57</v>
      </c>
      <c r="M77" s="61">
        <f t="shared" si="5"/>
        <v>0</v>
      </c>
      <c r="N77" s="61">
        <f t="shared" si="6"/>
        <v>24.57</v>
      </c>
      <c r="O77" s="61">
        <f t="shared" si="7"/>
        <v>26</v>
      </c>
      <c r="R77">
        <v>2805</v>
      </c>
      <c r="S77">
        <v>20450</v>
      </c>
      <c r="T77" s="13"/>
      <c r="U77">
        <v>2</v>
      </c>
      <c r="V77" s="1"/>
      <c r="W77" s="1"/>
      <c r="X77" s="1"/>
      <c r="Y77" s="1"/>
    </row>
    <row r="78" spans="1:25" x14ac:dyDescent="0.3">
      <c r="A78">
        <v>2820</v>
      </c>
      <c r="B78" t="s">
        <v>300</v>
      </c>
      <c r="C78">
        <v>20345</v>
      </c>
      <c r="D78" t="s">
        <v>132</v>
      </c>
      <c r="E78">
        <v>2</v>
      </c>
      <c r="F78">
        <v>2</v>
      </c>
      <c r="G78">
        <v>26</v>
      </c>
      <c r="H78" s="16">
        <v>23.3</v>
      </c>
      <c r="I78" t="s">
        <v>292</v>
      </c>
      <c r="J78" s="13">
        <f t="shared" si="4"/>
        <v>45596</v>
      </c>
      <c r="K78">
        <f>COUNTIFS(TABELA!A:A,C78,TABELA!C:C,E78)</f>
        <v>1</v>
      </c>
      <c r="L78" s="61">
        <f>SUMIFS(TABELA!M:M,TABELA!A:A,C78,TABELA!C:C,E78)</f>
        <v>23.3</v>
      </c>
      <c r="M78" s="61">
        <f t="shared" si="5"/>
        <v>0</v>
      </c>
      <c r="N78" s="61">
        <f t="shared" si="6"/>
        <v>23.3</v>
      </c>
      <c r="O78" s="61">
        <f t="shared" si="7"/>
        <v>26</v>
      </c>
      <c r="R78">
        <v>2805</v>
      </c>
      <c r="S78">
        <v>20450</v>
      </c>
      <c r="T78" s="13">
        <v>45565</v>
      </c>
      <c r="U78">
        <v>3</v>
      </c>
      <c r="V78" s="1">
        <v>197.6</v>
      </c>
      <c r="W78" s="1">
        <v>102340</v>
      </c>
      <c r="X78" s="1">
        <v>14.76</v>
      </c>
      <c r="Y78" s="1">
        <v>693.36</v>
      </c>
    </row>
    <row r="79" spans="1:25" x14ac:dyDescent="0.3">
      <c r="A79">
        <v>2820</v>
      </c>
      <c r="B79" t="s">
        <v>300</v>
      </c>
      <c r="C79">
        <v>20345</v>
      </c>
      <c r="D79" t="s">
        <v>132</v>
      </c>
      <c r="E79">
        <v>3</v>
      </c>
      <c r="F79">
        <v>3</v>
      </c>
      <c r="G79">
        <v>26</v>
      </c>
      <c r="H79" s="16">
        <v>25.17</v>
      </c>
      <c r="I79" t="s">
        <v>292</v>
      </c>
      <c r="J79" s="13">
        <f t="shared" si="4"/>
        <v>45596</v>
      </c>
      <c r="K79">
        <f>COUNTIFS(TABELA!A:A,C79,TABELA!C:C,E79)</f>
        <v>1</v>
      </c>
      <c r="L79" s="61">
        <f>SUMIFS(TABELA!M:M,TABELA!A:A,C79,TABELA!C:C,E79)</f>
        <v>25.17</v>
      </c>
      <c r="M79" s="61">
        <f t="shared" si="5"/>
        <v>0</v>
      </c>
      <c r="N79" s="61">
        <f t="shared" si="6"/>
        <v>25.17</v>
      </c>
      <c r="O79" s="61">
        <f t="shared" si="7"/>
        <v>26</v>
      </c>
      <c r="R79">
        <v>2805</v>
      </c>
      <c r="S79">
        <v>20450</v>
      </c>
      <c r="T79" s="13"/>
      <c r="U79">
        <v>3</v>
      </c>
      <c r="V79" s="1"/>
      <c r="W79" s="1"/>
      <c r="X79" s="1"/>
      <c r="Y79" s="1"/>
    </row>
    <row r="80" spans="1:25" x14ac:dyDescent="0.3">
      <c r="A80">
        <v>2820</v>
      </c>
      <c r="B80" t="s">
        <v>300</v>
      </c>
      <c r="C80">
        <v>20345</v>
      </c>
      <c r="D80" t="s">
        <v>132</v>
      </c>
      <c r="E80">
        <v>4</v>
      </c>
      <c r="F80">
        <v>4</v>
      </c>
      <c r="G80">
        <v>26</v>
      </c>
      <c r="H80" s="16">
        <v>21.21</v>
      </c>
      <c r="I80" t="s">
        <v>292</v>
      </c>
      <c r="J80" s="13">
        <f t="shared" si="4"/>
        <v>45596</v>
      </c>
      <c r="K80">
        <f>COUNTIFS(TABELA!A:A,C80,TABELA!C:C,E80)</f>
        <v>1</v>
      </c>
      <c r="L80" s="61">
        <f>SUMIFS(TABELA!M:M,TABELA!A:A,C80,TABELA!C:C,E80)</f>
        <v>21.21</v>
      </c>
      <c r="M80" s="61">
        <f t="shared" si="5"/>
        <v>0</v>
      </c>
      <c r="N80" s="61">
        <f t="shared" si="6"/>
        <v>21.21</v>
      </c>
      <c r="O80" s="61">
        <f t="shared" si="7"/>
        <v>26</v>
      </c>
      <c r="R80">
        <v>2805</v>
      </c>
      <c r="S80">
        <v>20450</v>
      </c>
      <c r="T80" s="13">
        <v>45565</v>
      </c>
      <c r="U80">
        <v>4</v>
      </c>
      <c r="V80" s="1">
        <v>115</v>
      </c>
      <c r="W80" s="1">
        <v>32500</v>
      </c>
      <c r="X80" s="1">
        <v>11.37</v>
      </c>
      <c r="Y80" s="1">
        <v>285.83999999999997</v>
      </c>
    </row>
    <row r="81" spans="1:25" x14ac:dyDescent="0.3">
      <c r="A81">
        <v>2820</v>
      </c>
      <c r="B81" t="s">
        <v>300</v>
      </c>
      <c r="C81">
        <v>20345</v>
      </c>
      <c r="D81" t="s">
        <v>132</v>
      </c>
      <c r="E81">
        <v>5</v>
      </c>
      <c r="F81">
        <v>5</v>
      </c>
      <c r="G81">
        <v>26</v>
      </c>
      <c r="H81" s="16">
        <v>12.76</v>
      </c>
      <c r="I81" t="s">
        <v>292</v>
      </c>
      <c r="J81" s="13">
        <f t="shared" si="4"/>
        <v>45596</v>
      </c>
      <c r="K81">
        <f>COUNTIFS(TABELA!A:A,C81,TABELA!C:C,E81)</f>
        <v>1</v>
      </c>
      <c r="L81" s="61">
        <f>SUMIFS(TABELA!M:M,TABELA!A:A,C81,TABELA!C:C,E81)</f>
        <v>12.76</v>
      </c>
      <c r="M81" s="61">
        <f t="shared" si="5"/>
        <v>0</v>
      </c>
      <c r="N81" s="61">
        <f t="shared" si="6"/>
        <v>12.76</v>
      </c>
      <c r="O81" s="61">
        <f t="shared" si="7"/>
        <v>26</v>
      </c>
      <c r="R81">
        <v>2805</v>
      </c>
      <c r="S81">
        <v>20450</v>
      </c>
      <c r="T81" s="13"/>
      <c r="U81">
        <v>4</v>
      </c>
      <c r="V81" s="1"/>
      <c r="W81" s="1"/>
      <c r="X81" s="1"/>
      <c r="Y81" s="1"/>
    </row>
    <row r="82" spans="1:25" x14ac:dyDescent="0.3">
      <c r="A82">
        <v>2820</v>
      </c>
      <c r="B82" t="s">
        <v>300</v>
      </c>
      <c r="C82">
        <v>20346</v>
      </c>
      <c r="D82" t="s">
        <v>133</v>
      </c>
      <c r="E82">
        <v>1</v>
      </c>
      <c r="F82">
        <v>1</v>
      </c>
      <c r="G82">
        <v>26</v>
      </c>
      <c r="H82" s="16">
        <v>12.71</v>
      </c>
      <c r="I82" t="s">
        <v>292</v>
      </c>
      <c r="J82" s="13">
        <f t="shared" si="4"/>
        <v>45596</v>
      </c>
      <c r="K82">
        <f>COUNTIFS(TABELA!A:A,C82,TABELA!C:C,E82)</f>
        <v>1</v>
      </c>
      <c r="L82" s="61">
        <f>SUMIFS(TABELA!M:M,TABELA!A:A,C82,TABELA!C:C,E82)</f>
        <v>12.71</v>
      </c>
      <c r="M82" s="61">
        <f t="shared" si="5"/>
        <v>0</v>
      </c>
      <c r="N82" s="61">
        <f t="shared" si="6"/>
        <v>12.71</v>
      </c>
      <c r="O82" s="61">
        <f t="shared" si="7"/>
        <v>25.999999999999993</v>
      </c>
      <c r="R82">
        <v>2805</v>
      </c>
      <c r="S82">
        <v>20450</v>
      </c>
      <c r="T82" s="13">
        <v>45565</v>
      </c>
      <c r="U82">
        <v>5</v>
      </c>
      <c r="V82" s="1"/>
      <c r="W82" s="1"/>
      <c r="X82" s="1">
        <v>13.88</v>
      </c>
      <c r="Y82" s="1"/>
    </row>
    <row r="83" spans="1:25" x14ac:dyDescent="0.3">
      <c r="A83">
        <v>2820</v>
      </c>
      <c r="B83" t="s">
        <v>300</v>
      </c>
      <c r="C83">
        <v>20346</v>
      </c>
      <c r="D83" t="s">
        <v>133</v>
      </c>
      <c r="E83">
        <v>2</v>
      </c>
      <c r="F83">
        <v>2</v>
      </c>
      <c r="G83">
        <v>26</v>
      </c>
      <c r="H83" s="16">
        <v>11.15</v>
      </c>
      <c r="I83" t="s">
        <v>292</v>
      </c>
      <c r="J83" s="13">
        <f t="shared" si="4"/>
        <v>45596</v>
      </c>
      <c r="K83">
        <f>COUNTIFS(TABELA!A:A,C83,TABELA!C:C,E83)</f>
        <v>1</v>
      </c>
      <c r="L83" s="61">
        <f>SUMIFS(TABELA!M:M,TABELA!A:A,C83,TABELA!C:C,E83)</f>
        <v>11.15</v>
      </c>
      <c r="M83" s="61">
        <f t="shared" si="5"/>
        <v>0</v>
      </c>
      <c r="N83" s="61">
        <f t="shared" si="6"/>
        <v>11.15</v>
      </c>
      <c r="O83" s="61">
        <f t="shared" ref="O83:O101" si="8">SUMIFS(AJ:AJ,AH:AH,C83)/SUMIFS(AK:AK,AH:AH,C83)</f>
        <v>25.999999999999993</v>
      </c>
      <c r="R83">
        <v>2805</v>
      </c>
      <c r="S83">
        <v>20450</v>
      </c>
      <c r="T83" s="13"/>
      <c r="U83">
        <v>5</v>
      </c>
      <c r="V83" s="1"/>
      <c r="W83" s="1"/>
      <c r="X83" s="1"/>
      <c r="Y83" s="1"/>
    </row>
    <row r="84" spans="1:25" x14ac:dyDescent="0.3">
      <c r="A84">
        <v>2820</v>
      </c>
      <c r="B84" t="s">
        <v>300</v>
      </c>
      <c r="C84">
        <v>20346</v>
      </c>
      <c r="D84" t="s">
        <v>133</v>
      </c>
      <c r="E84">
        <v>3</v>
      </c>
      <c r="F84">
        <v>3</v>
      </c>
      <c r="G84">
        <v>26</v>
      </c>
      <c r="H84" s="16">
        <v>13.84</v>
      </c>
      <c r="I84" t="s">
        <v>292</v>
      </c>
      <c r="J84" s="13">
        <f t="shared" si="4"/>
        <v>45596</v>
      </c>
      <c r="K84">
        <f>COUNTIFS(TABELA!A:A,C84,TABELA!C:C,E84)</f>
        <v>1</v>
      </c>
      <c r="L84" s="61">
        <f>SUMIFS(TABELA!M:M,TABELA!A:A,C84,TABELA!C:C,E84)</f>
        <v>13.84</v>
      </c>
      <c r="M84" s="61">
        <f t="shared" si="5"/>
        <v>0</v>
      </c>
      <c r="N84" s="61">
        <f t="shared" si="6"/>
        <v>13.84</v>
      </c>
      <c r="O84" s="61">
        <f t="shared" si="8"/>
        <v>25.999999999999993</v>
      </c>
      <c r="R84">
        <v>2805</v>
      </c>
      <c r="S84">
        <v>20450</v>
      </c>
      <c r="T84" s="13">
        <v>45565</v>
      </c>
      <c r="U84">
        <v>6</v>
      </c>
      <c r="V84" s="1"/>
      <c r="W84" s="1"/>
      <c r="X84" s="1">
        <v>33.619999999999997</v>
      </c>
      <c r="Y84" s="1"/>
    </row>
    <row r="85" spans="1:25" x14ac:dyDescent="0.3">
      <c r="A85">
        <v>2820</v>
      </c>
      <c r="B85" t="s">
        <v>300</v>
      </c>
      <c r="C85">
        <v>20439</v>
      </c>
      <c r="D85" t="s">
        <v>136</v>
      </c>
      <c r="E85">
        <v>7</v>
      </c>
      <c r="F85">
        <v>7</v>
      </c>
      <c r="G85">
        <v>20</v>
      </c>
      <c r="H85" s="16">
        <v>23.35</v>
      </c>
      <c r="I85" t="s">
        <v>292</v>
      </c>
      <c r="J85" s="13">
        <f t="shared" si="4"/>
        <v>45626</v>
      </c>
      <c r="K85">
        <f>COUNTIFS(TABELA!A:A,C85,TABELA!C:C,E85)</f>
        <v>1</v>
      </c>
      <c r="L85" s="61">
        <f>SUMIFS(TABELA!M:M,TABELA!A:A,C85,TABELA!C:C,E85)</f>
        <v>23.35</v>
      </c>
      <c r="M85" s="61">
        <f t="shared" si="5"/>
        <v>0</v>
      </c>
      <c r="N85" s="61">
        <f t="shared" si="6"/>
        <v>46.7</v>
      </c>
      <c r="O85" s="61">
        <f t="shared" si="8"/>
        <v>20</v>
      </c>
      <c r="R85">
        <v>2805</v>
      </c>
      <c r="S85">
        <v>20450</v>
      </c>
      <c r="T85" s="13"/>
      <c r="U85">
        <v>6</v>
      </c>
      <c r="V85" s="1"/>
      <c r="W85" s="1"/>
      <c r="X85" s="1"/>
      <c r="Y85" s="1"/>
    </row>
    <row r="86" spans="1:25" x14ac:dyDescent="0.3">
      <c r="A86">
        <v>2820</v>
      </c>
      <c r="B86" t="s">
        <v>300</v>
      </c>
      <c r="C86">
        <v>20465</v>
      </c>
      <c r="D86" t="s">
        <v>145</v>
      </c>
      <c r="E86">
        <v>1</v>
      </c>
      <c r="F86">
        <v>1</v>
      </c>
      <c r="G86">
        <v>20</v>
      </c>
      <c r="H86" s="16">
        <v>23.79</v>
      </c>
      <c r="I86" t="s">
        <v>292</v>
      </c>
      <c r="J86" s="13">
        <f t="shared" si="4"/>
        <v>45626</v>
      </c>
      <c r="K86">
        <f>COUNTIFS(TABELA!A:A,C86,TABELA!C:C,E86)</f>
        <v>1</v>
      </c>
      <c r="L86" s="61">
        <f>SUMIFS(TABELA!M:M,TABELA!A:A,C86,TABELA!C:C,E86)</f>
        <v>23.79</v>
      </c>
      <c r="M86" s="61">
        <f t="shared" si="5"/>
        <v>0</v>
      </c>
      <c r="N86" s="61">
        <f t="shared" si="6"/>
        <v>23.79</v>
      </c>
      <c r="O86" s="61">
        <f t="shared" si="8"/>
        <v>20</v>
      </c>
      <c r="R86">
        <v>2805</v>
      </c>
      <c r="S86">
        <v>20463</v>
      </c>
      <c r="T86" s="13"/>
      <c r="U86">
        <v>1</v>
      </c>
      <c r="V86" s="1"/>
      <c r="W86" s="1"/>
      <c r="X86" s="1"/>
      <c r="Y86" s="1"/>
    </row>
    <row r="87" spans="1:25" x14ac:dyDescent="0.3">
      <c r="A87">
        <v>2820</v>
      </c>
      <c r="B87" t="s">
        <v>300</v>
      </c>
      <c r="C87">
        <v>20465</v>
      </c>
      <c r="D87" t="s">
        <v>145</v>
      </c>
      <c r="E87">
        <v>2</v>
      </c>
      <c r="F87">
        <v>2</v>
      </c>
      <c r="G87">
        <v>20</v>
      </c>
      <c r="H87" s="16">
        <v>7.02</v>
      </c>
      <c r="I87" t="s">
        <v>292</v>
      </c>
      <c r="J87" s="13">
        <f t="shared" si="4"/>
        <v>45626</v>
      </c>
      <c r="K87">
        <f>COUNTIFS(TABELA!A:A,C87,TABELA!C:C,E87)</f>
        <v>1</v>
      </c>
      <c r="L87" s="61">
        <f>SUMIFS(TABELA!M:M,TABELA!A:A,C87,TABELA!C:C,E87)</f>
        <v>7.02</v>
      </c>
      <c r="M87" s="61">
        <f t="shared" si="5"/>
        <v>0</v>
      </c>
      <c r="N87" s="61">
        <f t="shared" si="6"/>
        <v>7.02</v>
      </c>
      <c r="O87" s="61">
        <f t="shared" si="8"/>
        <v>20</v>
      </c>
      <c r="R87">
        <v>2805</v>
      </c>
      <c r="S87">
        <v>20463</v>
      </c>
      <c r="T87" s="13"/>
      <c r="U87">
        <v>2</v>
      </c>
      <c r="V87" s="1"/>
      <c r="W87" s="1"/>
      <c r="X87" s="1"/>
      <c r="Y87" s="1"/>
    </row>
    <row r="88" spans="1:25" x14ac:dyDescent="0.3">
      <c r="A88">
        <v>2820</v>
      </c>
      <c r="B88" t="s">
        <v>300</v>
      </c>
      <c r="C88">
        <v>20465</v>
      </c>
      <c r="D88" t="s">
        <v>145</v>
      </c>
      <c r="E88">
        <v>3</v>
      </c>
      <c r="F88">
        <v>3</v>
      </c>
      <c r="G88">
        <v>20</v>
      </c>
      <c r="H88" s="16">
        <v>40.049999999999997</v>
      </c>
      <c r="I88" t="s">
        <v>292</v>
      </c>
      <c r="J88" s="13">
        <f t="shared" si="4"/>
        <v>45626</v>
      </c>
      <c r="K88">
        <f>COUNTIFS(TABELA!A:A,C88,TABELA!C:C,E88)</f>
        <v>1</v>
      </c>
      <c r="L88" s="61">
        <f>SUMIFS(TABELA!M:M,TABELA!A:A,C88,TABELA!C:C,E88)</f>
        <v>40.049999999999997</v>
      </c>
      <c r="M88" s="61">
        <f t="shared" si="5"/>
        <v>0</v>
      </c>
      <c r="N88" s="61">
        <f t="shared" si="6"/>
        <v>40.049999999999997</v>
      </c>
      <c r="O88" s="61">
        <f t="shared" si="8"/>
        <v>20</v>
      </c>
      <c r="R88">
        <v>2805</v>
      </c>
      <c r="S88">
        <v>20463</v>
      </c>
      <c r="T88" s="13">
        <v>45565</v>
      </c>
      <c r="U88">
        <v>3</v>
      </c>
      <c r="V88" s="1">
        <v>182</v>
      </c>
      <c r="W88" s="1">
        <v>64650</v>
      </c>
      <c r="X88" s="1">
        <v>39.58</v>
      </c>
      <c r="Y88" s="1">
        <v>163.34</v>
      </c>
    </row>
    <row r="89" spans="1:25" x14ac:dyDescent="0.3">
      <c r="A89">
        <v>2820</v>
      </c>
      <c r="B89" t="s">
        <v>300</v>
      </c>
      <c r="C89">
        <v>20465</v>
      </c>
      <c r="D89" t="s">
        <v>145</v>
      </c>
      <c r="E89">
        <v>4</v>
      </c>
      <c r="F89">
        <v>4</v>
      </c>
      <c r="G89">
        <v>20</v>
      </c>
      <c r="H89" s="16">
        <v>42.74</v>
      </c>
      <c r="I89" t="s">
        <v>292</v>
      </c>
      <c r="J89" s="13">
        <f t="shared" si="4"/>
        <v>45626</v>
      </c>
      <c r="K89">
        <f>COUNTIFS(TABELA!A:A,C89,TABELA!C:C,E89)</f>
        <v>1</v>
      </c>
      <c r="L89" s="61">
        <f>SUMIFS(TABELA!M:M,TABELA!A:A,C89,TABELA!C:C,E89)</f>
        <v>42.74</v>
      </c>
      <c r="M89" s="61">
        <f t="shared" si="5"/>
        <v>0</v>
      </c>
      <c r="N89" s="61">
        <f t="shared" si="6"/>
        <v>42.74</v>
      </c>
      <c r="O89" s="61">
        <f t="shared" si="8"/>
        <v>20</v>
      </c>
      <c r="R89">
        <v>2805</v>
      </c>
      <c r="S89">
        <v>20463</v>
      </c>
      <c r="T89" s="13"/>
      <c r="U89">
        <v>3</v>
      </c>
      <c r="V89" s="1"/>
      <c r="W89" s="1"/>
      <c r="X89" s="1"/>
      <c r="Y89" s="1"/>
    </row>
    <row r="90" spans="1:25" x14ac:dyDescent="0.3">
      <c r="A90">
        <v>2820</v>
      </c>
      <c r="B90" t="s">
        <v>300</v>
      </c>
      <c r="C90">
        <v>20465</v>
      </c>
      <c r="D90" t="s">
        <v>145</v>
      </c>
      <c r="E90">
        <v>5</v>
      </c>
      <c r="F90">
        <v>5</v>
      </c>
      <c r="G90">
        <v>20</v>
      </c>
      <c r="H90" s="16">
        <v>18.14</v>
      </c>
      <c r="I90" t="s">
        <v>292</v>
      </c>
      <c r="J90" s="13">
        <f t="shared" si="4"/>
        <v>45626</v>
      </c>
      <c r="K90">
        <f>COUNTIFS(TABELA!A:A,C90,TABELA!C:C,E90)</f>
        <v>1</v>
      </c>
      <c r="L90" s="61">
        <f>SUMIFS(TABELA!M:M,TABELA!A:A,C90,TABELA!C:C,E90)</f>
        <v>18.14</v>
      </c>
      <c r="M90" s="61">
        <f t="shared" si="5"/>
        <v>0</v>
      </c>
      <c r="N90" s="61">
        <f t="shared" si="6"/>
        <v>18.14</v>
      </c>
      <c r="O90" s="61">
        <f t="shared" si="8"/>
        <v>20</v>
      </c>
      <c r="R90">
        <v>2805</v>
      </c>
      <c r="S90">
        <v>20463</v>
      </c>
      <c r="T90" s="13">
        <v>45565</v>
      </c>
      <c r="U90">
        <v>4</v>
      </c>
      <c r="V90" s="1"/>
      <c r="W90" s="1"/>
      <c r="X90" s="1">
        <v>29.9</v>
      </c>
      <c r="Y90" s="1"/>
    </row>
    <row r="91" spans="1:25" x14ac:dyDescent="0.3">
      <c r="A91">
        <v>2820</v>
      </c>
      <c r="B91" t="s">
        <v>300</v>
      </c>
      <c r="C91">
        <v>20465</v>
      </c>
      <c r="D91" t="s">
        <v>145</v>
      </c>
      <c r="E91">
        <v>6</v>
      </c>
      <c r="F91">
        <v>6</v>
      </c>
      <c r="G91">
        <v>20</v>
      </c>
      <c r="H91" s="16">
        <v>26.85</v>
      </c>
      <c r="I91" t="s">
        <v>292</v>
      </c>
      <c r="J91" s="13">
        <f t="shared" si="4"/>
        <v>45626</v>
      </c>
      <c r="K91">
        <f>COUNTIFS(TABELA!A:A,C91,TABELA!C:C,E91)</f>
        <v>1</v>
      </c>
      <c r="L91" s="61">
        <f>SUMIFS(TABELA!M:M,TABELA!A:A,C91,TABELA!C:C,E91)</f>
        <v>36.85</v>
      </c>
      <c r="M91" s="61">
        <f t="shared" si="5"/>
        <v>-10</v>
      </c>
      <c r="N91" s="61">
        <f t="shared" si="6"/>
        <v>26.85</v>
      </c>
      <c r="O91" s="61">
        <f t="shared" si="8"/>
        <v>20</v>
      </c>
      <c r="R91">
        <v>2805</v>
      </c>
      <c r="S91">
        <v>20463</v>
      </c>
      <c r="T91" s="13"/>
      <c r="U91">
        <v>4</v>
      </c>
      <c r="V91" s="1"/>
      <c r="W91" s="1"/>
      <c r="X91" s="1"/>
      <c r="Y91" s="1"/>
    </row>
    <row r="92" spans="1:25" x14ac:dyDescent="0.3">
      <c r="A92">
        <v>2820</v>
      </c>
      <c r="B92" t="s">
        <v>300</v>
      </c>
      <c r="C92">
        <v>20500</v>
      </c>
      <c r="D92" t="s">
        <v>147</v>
      </c>
      <c r="E92">
        <v>1</v>
      </c>
      <c r="F92">
        <v>1</v>
      </c>
      <c r="G92">
        <v>26</v>
      </c>
      <c r="H92" s="16">
        <v>2.12</v>
      </c>
      <c r="I92" t="s">
        <v>292</v>
      </c>
      <c r="J92" s="13">
        <f t="shared" si="4"/>
        <v>45596</v>
      </c>
      <c r="K92">
        <f>COUNTIFS(TABELA!A:A,C92,TABELA!C:C,E92)</f>
        <v>1</v>
      </c>
      <c r="L92" s="61">
        <f>SUMIFS(TABELA!M:M,TABELA!A:A,C92,TABELA!C:C,E92)</f>
        <v>2.12</v>
      </c>
      <c r="M92" s="61">
        <f t="shared" si="5"/>
        <v>0</v>
      </c>
      <c r="N92" s="61">
        <f t="shared" si="6"/>
        <v>2.12</v>
      </c>
      <c r="O92" s="61">
        <f t="shared" si="8"/>
        <v>26</v>
      </c>
      <c r="R92">
        <v>2805</v>
      </c>
      <c r="S92">
        <v>20592</v>
      </c>
      <c r="T92" s="13">
        <v>45596</v>
      </c>
      <c r="U92">
        <v>2</v>
      </c>
      <c r="V92" s="1">
        <v>7</v>
      </c>
      <c r="W92" s="1">
        <v>2800</v>
      </c>
      <c r="X92" s="1"/>
      <c r="Y92" s="1"/>
    </row>
    <row r="93" spans="1:25" x14ac:dyDescent="0.3">
      <c r="A93">
        <v>2820</v>
      </c>
      <c r="B93" t="s">
        <v>300</v>
      </c>
      <c r="C93">
        <v>20500</v>
      </c>
      <c r="D93" t="s">
        <v>147</v>
      </c>
      <c r="E93">
        <v>2</v>
      </c>
      <c r="F93">
        <v>2</v>
      </c>
      <c r="G93">
        <v>26</v>
      </c>
      <c r="H93" s="16">
        <v>11.9</v>
      </c>
      <c r="I93" t="s">
        <v>292</v>
      </c>
      <c r="J93" s="13">
        <f t="shared" si="4"/>
        <v>45596</v>
      </c>
      <c r="K93">
        <f>COUNTIFS(TABELA!A:A,C93,TABELA!C:C,E93)</f>
        <v>1</v>
      </c>
      <c r="L93" s="61">
        <f>SUMIFS(TABELA!M:M,TABELA!A:A,C93,TABELA!C:C,E93)</f>
        <v>11.9</v>
      </c>
      <c r="M93" s="61">
        <f t="shared" si="5"/>
        <v>0</v>
      </c>
      <c r="N93" s="61">
        <f t="shared" si="6"/>
        <v>11.9</v>
      </c>
      <c r="O93" s="61">
        <f t="shared" si="8"/>
        <v>26</v>
      </c>
      <c r="R93">
        <v>2805</v>
      </c>
      <c r="S93">
        <v>20592</v>
      </c>
      <c r="T93" s="13"/>
      <c r="U93">
        <v>2</v>
      </c>
      <c r="V93" s="1"/>
      <c r="W93" s="1"/>
      <c r="X93" s="1"/>
      <c r="Y93" s="1"/>
    </row>
    <row r="94" spans="1:25" x14ac:dyDescent="0.3">
      <c r="A94">
        <v>2820</v>
      </c>
      <c r="B94" t="s">
        <v>300</v>
      </c>
      <c r="C94">
        <v>20553</v>
      </c>
      <c r="D94" t="s">
        <v>151</v>
      </c>
      <c r="E94">
        <v>1</v>
      </c>
      <c r="F94">
        <v>1</v>
      </c>
      <c r="G94">
        <v>20</v>
      </c>
      <c r="H94" s="16">
        <v>17.48</v>
      </c>
      <c r="I94" t="s">
        <v>292</v>
      </c>
      <c r="J94" s="13">
        <f t="shared" si="4"/>
        <v>45626</v>
      </c>
      <c r="K94">
        <f>COUNTIFS(TABELA!A:A,C94,TABELA!C:C,E94)</f>
        <v>1</v>
      </c>
      <c r="L94" s="61">
        <f>SUMIFS(TABELA!M:M,TABELA!A:A,C94,TABELA!C:C,E94)</f>
        <v>17.48</v>
      </c>
      <c r="M94" s="61">
        <f t="shared" si="5"/>
        <v>0</v>
      </c>
      <c r="N94" s="61">
        <f t="shared" si="6"/>
        <v>17.48</v>
      </c>
      <c r="O94" s="61">
        <f t="shared" si="8"/>
        <v>20</v>
      </c>
      <c r="R94">
        <v>2805</v>
      </c>
      <c r="S94">
        <v>20592</v>
      </c>
      <c r="T94" s="13">
        <v>45626</v>
      </c>
      <c r="U94">
        <v>3</v>
      </c>
      <c r="V94" s="1">
        <v>2</v>
      </c>
      <c r="W94" s="1">
        <v>1200</v>
      </c>
      <c r="X94" s="1">
        <v>12.39</v>
      </c>
      <c r="Y94" s="1">
        <v>9.69</v>
      </c>
    </row>
    <row r="95" spans="1:25" x14ac:dyDescent="0.3">
      <c r="A95">
        <v>2820</v>
      </c>
      <c r="B95" t="s">
        <v>300</v>
      </c>
      <c r="C95">
        <v>20553</v>
      </c>
      <c r="D95" t="s">
        <v>151</v>
      </c>
      <c r="E95">
        <v>2</v>
      </c>
      <c r="F95">
        <v>2</v>
      </c>
      <c r="G95">
        <v>20</v>
      </c>
      <c r="H95" s="16">
        <v>26.08</v>
      </c>
      <c r="I95" t="s">
        <v>292</v>
      </c>
      <c r="J95" s="13">
        <f t="shared" si="4"/>
        <v>45626</v>
      </c>
      <c r="K95">
        <f>COUNTIFS(TABELA!A:A,C95,TABELA!C:C,E95)</f>
        <v>1</v>
      </c>
      <c r="L95" s="61">
        <f>SUMIFS(TABELA!M:M,TABELA!A:A,C95,TABELA!C:C,E95)</f>
        <v>26.08</v>
      </c>
      <c r="M95" s="61">
        <f t="shared" si="5"/>
        <v>0</v>
      </c>
      <c r="N95" s="61">
        <f t="shared" si="6"/>
        <v>26.08</v>
      </c>
      <c r="O95" s="61">
        <f t="shared" si="8"/>
        <v>20</v>
      </c>
      <c r="R95">
        <v>2805</v>
      </c>
      <c r="S95">
        <v>20592</v>
      </c>
      <c r="T95" s="13"/>
      <c r="U95">
        <v>3</v>
      </c>
      <c r="V95" s="1"/>
      <c r="W95" s="1"/>
      <c r="X95" s="1"/>
      <c r="Y95" s="1"/>
    </row>
    <row r="96" spans="1:25" x14ac:dyDescent="0.3">
      <c r="A96">
        <v>2820</v>
      </c>
      <c r="B96" t="s">
        <v>300</v>
      </c>
      <c r="C96">
        <v>20553</v>
      </c>
      <c r="D96" t="s">
        <v>151</v>
      </c>
      <c r="E96">
        <v>3</v>
      </c>
      <c r="F96">
        <v>3</v>
      </c>
      <c r="G96">
        <v>20</v>
      </c>
      <c r="H96" s="16">
        <v>30.98</v>
      </c>
      <c r="I96" t="s">
        <v>292</v>
      </c>
      <c r="J96" s="13">
        <f t="shared" si="4"/>
        <v>45626</v>
      </c>
      <c r="K96">
        <f>COUNTIFS(TABELA!A:A,C96,TABELA!C:C,E96)</f>
        <v>1</v>
      </c>
      <c r="L96" s="61">
        <f>SUMIFS(TABELA!M:M,TABELA!A:A,C96,TABELA!C:C,E96)</f>
        <v>30.98</v>
      </c>
      <c r="M96" s="61">
        <f t="shared" si="5"/>
        <v>0</v>
      </c>
      <c r="N96" s="61">
        <f t="shared" si="6"/>
        <v>30.98</v>
      </c>
      <c r="O96" s="61">
        <f t="shared" si="8"/>
        <v>20</v>
      </c>
      <c r="R96">
        <v>2805</v>
      </c>
      <c r="S96">
        <v>20592</v>
      </c>
      <c r="T96" s="13">
        <v>45626</v>
      </c>
      <c r="U96">
        <v>4</v>
      </c>
      <c r="V96" s="1"/>
      <c r="W96" s="1"/>
      <c r="X96" s="1">
        <v>12.39</v>
      </c>
      <c r="Y96" s="1"/>
    </row>
    <row r="97" spans="1:25" x14ac:dyDescent="0.3">
      <c r="A97">
        <v>2820</v>
      </c>
      <c r="B97" t="s">
        <v>300</v>
      </c>
      <c r="C97">
        <v>20553</v>
      </c>
      <c r="D97" t="s">
        <v>151</v>
      </c>
      <c r="E97">
        <v>4</v>
      </c>
      <c r="F97">
        <v>4</v>
      </c>
      <c r="G97">
        <v>20</v>
      </c>
      <c r="H97" s="16">
        <v>39.520000000000003</v>
      </c>
      <c r="I97" t="s">
        <v>292</v>
      </c>
      <c r="J97" s="13">
        <f t="shared" si="4"/>
        <v>45626</v>
      </c>
      <c r="K97">
        <f>COUNTIFS(TABELA!A:A,C97,TABELA!C:C,E97)</f>
        <v>1</v>
      </c>
      <c r="L97" s="61">
        <f>SUMIFS(TABELA!M:M,TABELA!A:A,C97,TABELA!C:C,E97)</f>
        <v>39.520000000000003</v>
      </c>
      <c r="M97" s="61">
        <f t="shared" si="5"/>
        <v>0</v>
      </c>
      <c r="N97" s="61">
        <f t="shared" si="6"/>
        <v>39.520000000000003</v>
      </c>
      <c r="O97" s="61">
        <f t="shared" si="8"/>
        <v>20</v>
      </c>
      <c r="R97">
        <v>2805</v>
      </c>
      <c r="S97">
        <v>20592</v>
      </c>
      <c r="T97" s="13"/>
      <c r="U97">
        <v>4</v>
      </c>
      <c r="V97" s="1"/>
      <c r="W97" s="1"/>
      <c r="X97" s="1"/>
      <c r="Y97" s="1"/>
    </row>
    <row r="98" spans="1:25" x14ac:dyDescent="0.3">
      <c r="A98">
        <v>2820</v>
      </c>
      <c r="B98" t="s">
        <v>300</v>
      </c>
      <c r="C98">
        <v>20553</v>
      </c>
      <c r="D98" t="s">
        <v>151</v>
      </c>
      <c r="E98">
        <v>5</v>
      </c>
      <c r="F98">
        <v>5</v>
      </c>
      <c r="G98">
        <v>20</v>
      </c>
      <c r="H98" s="16">
        <v>36.93</v>
      </c>
      <c r="I98" t="s">
        <v>292</v>
      </c>
      <c r="J98" s="13">
        <f t="shared" si="4"/>
        <v>45626</v>
      </c>
      <c r="K98">
        <f>COUNTIFS(TABELA!A:A,C98,TABELA!C:C,E98)</f>
        <v>1</v>
      </c>
      <c r="L98" s="61">
        <f>SUMIFS(TABELA!M:M,TABELA!A:A,C98,TABELA!C:C,E98)</f>
        <v>36.93</v>
      </c>
      <c r="M98" s="61">
        <f t="shared" si="5"/>
        <v>0</v>
      </c>
      <c r="N98" s="61">
        <f t="shared" si="6"/>
        <v>36.93</v>
      </c>
      <c r="O98" s="61">
        <f t="shared" si="8"/>
        <v>20</v>
      </c>
      <c r="R98">
        <v>2805</v>
      </c>
      <c r="S98">
        <v>20592</v>
      </c>
      <c r="T98" s="13"/>
      <c r="U98">
        <v>8</v>
      </c>
      <c r="V98" s="1"/>
      <c r="W98" s="1"/>
      <c r="X98" s="1"/>
      <c r="Y98" s="1"/>
    </row>
    <row r="99" spans="1:25" x14ac:dyDescent="0.3">
      <c r="A99">
        <v>2820</v>
      </c>
      <c r="B99" t="s">
        <v>300</v>
      </c>
      <c r="C99">
        <v>20573</v>
      </c>
      <c r="D99" t="s">
        <v>299</v>
      </c>
      <c r="E99">
        <v>1</v>
      </c>
      <c r="F99">
        <v>1</v>
      </c>
      <c r="G99">
        <v>26</v>
      </c>
      <c r="H99" s="16">
        <v>7.31</v>
      </c>
      <c r="I99" t="s">
        <v>292</v>
      </c>
      <c r="J99" s="13">
        <f t="shared" si="4"/>
        <v>45596</v>
      </c>
      <c r="K99">
        <f>COUNTIFS(TABELA!A:A,C99,TABELA!C:C,E99)</f>
        <v>1</v>
      </c>
      <c r="L99" s="61">
        <f>SUMIFS(TABELA!M:M,TABELA!A:A,C99,TABELA!C:C,E99)</f>
        <v>7.31</v>
      </c>
      <c r="M99" s="61">
        <f t="shared" si="5"/>
        <v>0</v>
      </c>
      <c r="N99" s="61">
        <f t="shared" si="6"/>
        <v>7.31</v>
      </c>
      <c r="O99" s="61">
        <f t="shared" si="8"/>
        <v>26.000000000000004</v>
      </c>
      <c r="R99">
        <v>2805</v>
      </c>
      <c r="S99">
        <v>20592</v>
      </c>
      <c r="T99" s="13"/>
      <c r="U99">
        <v>19</v>
      </c>
      <c r="V99" s="1"/>
      <c r="W99" s="1"/>
      <c r="X99" s="1"/>
      <c r="Y99" s="1"/>
    </row>
    <row r="100" spans="1:25" x14ac:dyDescent="0.3">
      <c r="A100">
        <v>2820</v>
      </c>
      <c r="B100" t="s">
        <v>300</v>
      </c>
      <c r="C100">
        <v>20573</v>
      </c>
      <c r="D100" t="s">
        <v>299</v>
      </c>
      <c r="E100">
        <v>2</v>
      </c>
      <c r="F100">
        <v>2</v>
      </c>
      <c r="G100">
        <v>26</v>
      </c>
      <c r="H100" s="16">
        <v>16.38</v>
      </c>
      <c r="I100" t="s">
        <v>292</v>
      </c>
      <c r="J100" s="13">
        <f t="shared" si="4"/>
        <v>45596</v>
      </c>
      <c r="K100">
        <f>COUNTIFS(TABELA!A:A,C100,TABELA!C:C,E100)</f>
        <v>1</v>
      </c>
      <c r="L100" s="61">
        <f>SUMIFS(TABELA!M:M,TABELA!A:A,C100,TABELA!C:C,E100)</f>
        <v>16.38</v>
      </c>
      <c r="M100" s="61">
        <f t="shared" si="5"/>
        <v>0</v>
      </c>
      <c r="N100" s="61">
        <f t="shared" si="6"/>
        <v>16.38</v>
      </c>
      <c r="O100" s="61">
        <f t="shared" si="8"/>
        <v>26.000000000000004</v>
      </c>
      <c r="R100">
        <v>2805</v>
      </c>
      <c r="S100">
        <v>20592</v>
      </c>
      <c r="T100" s="13"/>
      <c r="U100">
        <v>20</v>
      </c>
      <c r="V100" s="1"/>
      <c r="W100" s="1"/>
      <c r="X100" s="1"/>
      <c r="Y100" s="1"/>
    </row>
    <row r="101" spans="1:25" x14ac:dyDescent="0.3">
      <c r="A101">
        <v>2820</v>
      </c>
      <c r="B101" t="s">
        <v>300</v>
      </c>
      <c r="C101">
        <v>20573</v>
      </c>
      <c r="D101" t="s">
        <v>299</v>
      </c>
      <c r="E101">
        <v>3</v>
      </c>
      <c r="F101">
        <v>3</v>
      </c>
      <c r="G101">
        <v>26</v>
      </c>
      <c r="H101" s="16">
        <v>9.8000000000000007</v>
      </c>
      <c r="I101" t="s">
        <v>292</v>
      </c>
      <c r="J101" s="13">
        <f t="shared" si="4"/>
        <v>45596</v>
      </c>
      <c r="K101">
        <f>COUNTIFS(TABELA!A:A,C101,TABELA!C:C,E101)</f>
        <v>1</v>
      </c>
      <c r="L101" s="61">
        <f>SUMIFS(TABELA!M:M,TABELA!A:A,C101,TABELA!C:C,E101)</f>
        <v>9.8000000000000007</v>
      </c>
      <c r="M101" s="61">
        <f t="shared" si="5"/>
        <v>0</v>
      </c>
      <c r="N101" s="61">
        <f t="shared" si="6"/>
        <v>9.8000000000000007</v>
      </c>
      <c r="O101" s="61">
        <f t="shared" si="8"/>
        <v>26.000000000000004</v>
      </c>
      <c r="R101">
        <v>2805</v>
      </c>
      <c r="S101">
        <v>20619</v>
      </c>
      <c r="T101" s="13">
        <v>45596</v>
      </c>
      <c r="U101">
        <v>1</v>
      </c>
      <c r="V101" s="1">
        <v>39</v>
      </c>
      <c r="W101" s="1">
        <v>15600</v>
      </c>
      <c r="X101" s="1">
        <v>39.65</v>
      </c>
      <c r="Y101" s="1">
        <v>39.340000000000003</v>
      </c>
    </row>
    <row r="102" spans="1:25" x14ac:dyDescent="0.3">
      <c r="R102">
        <v>2805</v>
      </c>
      <c r="S102">
        <v>20619</v>
      </c>
      <c r="T102" s="13"/>
      <c r="U102">
        <v>1</v>
      </c>
      <c r="V102" s="1"/>
      <c r="W102" s="1"/>
      <c r="X102" s="1"/>
      <c r="Y102" s="1"/>
    </row>
    <row r="103" spans="1:25" x14ac:dyDescent="0.3">
      <c r="R103">
        <v>2805</v>
      </c>
      <c r="S103">
        <v>20619</v>
      </c>
      <c r="T103" s="13">
        <v>45596</v>
      </c>
      <c r="U103">
        <v>2</v>
      </c>
      <c r="V103" s="1">
        <v>43</v>
      </c>
      <c r="W103" s="1">
        <v>17200</v>
      </c>
      <c r="X103" s="1">
        <v>34.18</v>
      </c>
      <c r="Y103" s="1">
        <v>50.32</v>
      </c>
    </row>
    <row r="104" spans="1:25" x14ac:dyDescent="0.3">
      <c r="R104">
        <v>2805</v>
      </c>
      <c r="S104">
        <v>20619</v>
      </c>
      <c r="T104" s="13"/>
      <c r="U104">
        <v>2</v>
      </c>
      <c r="V104" s="1"/>
      <c r="W104" s="1"/>
      <c r="X104" s="1"/>
      <c r="Y104" s="1"/>
    </row>
    <row r="105" spans="1:25" x14ac:dyDescent="0.3">
      <c r="R105">
        <v>2805</v>
      </c>
      <c r="S105">
        <v>20619</v>
      </c>
      <c r="T105" s="13">
        <v>45596</v>
      </c>
      <c r="U105">
        <v>3</v>
      </c>
      <c r="V105" s="1">
        <v>96</v>
      </c>
      <c r="W105" s="1">
        <v>48600</v>
      </c>
      <c r="X105" s="1"/>
      <c r="Y105" s="1"/>
    </row>
    <row r="106" spans="1:25" x14ac:dyDescent="0.3">
      <c r="R106">
        <v>2805</v>
      </c>
      <c r="S106">
        <v>20619</v>
      </c>
      <c r="T106" s="13"/>
      <c r="U106">
        <v>3</v>
      </c>
      <c r="V106" s="1"/>
      <c r="W106" s="1"/>
      <c r="X106" s="1"/>
      <c r="Y106" s="1"/>
    </row>
    <row r="107" spans="1:25" x14ac:dyDescent="0.3">
      <c r="R107">
        <v>2805</v>
      </c>
      <c r="S107">
        <v>20619</v>
      </c>
      <c r="T107" s="13">
        <v>45596</v>
      </c>
      <c r="U107">
        <v>5</v>
      </c>
      <c r="V107" s="1">
        <v>5</v>
      </c>
      <c r="W107" s="1">
        <v>3000</v>
      </c>
      <c r="X107" s="1"/>
      <c r="Y107" s="1"/>
    </row>
    <row r="108" spans="1:25" x14ac:dyDescent="0.3">
      <c r="R108">
        <v>2805</v>
      </c>
      <c r="S108">
        <v>20619</v>
      </c>
      <c r="T108" s="13">
        <v>45626</v>
      </c>
      <c r="U108">
        <v>5</v>
      </c>
      <c r="V108" s="1"/>
      <c r="W108" s="1"/>
      <c r="X108" s="1">
        <v>45.98</v>
      </c>
      <c r="Y108" s="1"/>
    </row>
    <row r="109" spans="1:25" x14ac:dyDescent="0.3">
      <c r="R109">
        <v>2805</v>
      </c>
      <c r="S109">
        <v>20619</v>
      </c>
      <c r="T109" s="13"/>
      <c r="U109">
        <v>5</v>
      </c>
      <c r="V109" s="1"/>
      <c r="W109" s="1"/>
      <c r="X109" s="1"/>
      <c r="Y109" s="1"/>
    </row>
    <row r="110" spans="1:25" x14ac:dyDescent="0.3">
      <c r="R110">
        <v>2805</v>
      </c>
      <c r="S110">
        <v>20619</v>
      </c>
      <c r="T110" s="13">
        <v>45626</v>
      </c>
      <c r="U110">
        <v>6</v>
      </c>
      <c r="V110" s="1"/>
      <c r="W110" s="1"/>
      <c r="X110" s="1">
        <v>10.08</v>
      </c>
      <c r="Y110" s="1"/>
    </row>
    <row r="111" spans="1:25" x14ac:dyDescent="0.3">
      <c r="R111">
        <v>2805</v>
      </c>
      <c r="S111">
        <v>20619</v>
      </c>
      <c r="T111" s="13"/>
      <c r="U111">
        <v>6</v>
      </c>
      <c r="V111" s="1"/>
      <c r="W111" s="1"/>
      <c r="X111" s="1"/>
      <c r="Y111" s="1"/>
    </row>
    <row r="112" spans="1:25" x14ac:dyDescent="0.3">
      <c r="R112">
        <v>2805</v>
      </c>
      <c r="S112">
        <v>20619</v>
      </c>
      <c r="T112" s="13">
        <v>45596</v>
      </c>
      <c r="U112">
        <v>7</v>
      </c>
      <c r="V112" s="1">
        <v>28</v>
      </c>
      <c r="W112" s="1">
        <v>11200</v>
      </c>
      <c r="X112" s="1">
        <v>44.87</v>
      </c>
      <c r="Y112" s="1">
        <v>24.96</v>
      </c>
    </row>
    <row r="113" spans="18:25" x14ac:dyDescent="0.3">
      <c r="R113">
        <v>2805</v>
      </c>
      <c r="S113">
        <v>20619</v>
      </c>
      <c r="T113" s="13"/>
      <c r="U113">
        <v>7</v>
      </c>
      <c r="V113" s="1"/>
      <c r="W113" s="1"/>
      <c r="X113" s="1"/>
      <c r="Y113" s="1"/>
    </row>
    <row r="114" spans="18:25" x14ac:dyDescent="0.3">
      <c r="R114">
        <v>2805</v>
      </c>
      <c r="S114">
        <v>20619</v>
      </c>
      <c r="T114" s="13">
        <v>45596</v>
      </c>
      <c r="U114">
        <v>8</v>
      </c>
      <c r="V114" s="1">
        <v>51</v>
      </c>
      <c r="W114" s="1">
        <v>20400</v>
      </c>
      <c r="X114" s="1">
        <v>32.47</v>
      </c>
      <c r="Y114" s="1">
        <v>62.83</v>
      </c>
    </row>
    <row r="115" spans="18:25" x14ac:dyDescent="0.3">
      <c r="R115">
        <v>2805</v>
      </c>
      <c r="S115">
        <v>20619</v>
      </c>
      <c r="T115" s="13"/>
      <c r="U115">
        <v>8</v>
      </c>
      <c r="V115" s="1"/>
      <c r="W115" s="1"/>
      <c r="X115" s="1"/>
      <c r="Y115" s="1"/>
    </row>
    <row r="116" spans="18:25" x14ac:dyDescent="0.3">
      <c r="R116">
        <v>2805</v>
      </c>
      <c r="S116">
        <v>20626</v>
      </c>
      <c r="T116" s="13"/>
      <c r="U116">
        <v>1</v>
      </c>
      <c r="V116" s="1"/>
      <c r="W116" s="1"/>
      <c r="X116" s="1"/>
      <c r="Y116" s="1"/>
    </row>
    <row r="117" spans="18:25" x14ac:dyDescent="0.3">
      <c r="R117">
        <v>2805</v>
      </c>
      <c r="S117">
        <v>20626</v>
      </c>
      <c r="T117" s="13"/>
      <c r="U117">
        <v>8</v>
      </c>
      <c r="V117" s="1"/>
      <c r="W117" s="1"/>
      <c r="X117" s="1"/>
      <c r="Y117" s="1"/>
    </row>
    <row r="118" spans="18:25" x14ac:dyDescent="0.3">
      <c r="R118">
        <v>2805</v>
      </c>
      <c r="S118">
        <v>20626</v>
      </c>
      <c r="T118" s="13"/>
      <c r="U118">
        <v>10</v>
      </c>
      <c r="V118" s="1"/>
      <c r="W118" s="1"/>
      <c r="X118" s="1"/>
      <c r="Y118" s="1"/>
    </row>
  </sheetData>
  <autoFilter ref="A1:O118" xr:uid="{76788F50-008B-4FA5-82FC-A315F275F5E1}"/>
  <phoneticPr fontId="1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625D-35D5-4E73-BE60-79C3C12DCE30}">
  <dimension ref="A1:AK2107"/>
  <sheetViews>
    <sheetView zoomScale="90" zoomScaleNormal="90" workbookViewId="0"/>
  </sheetViews>
  <sheetFormatPr defaultRowHeight="14.4" outlineLevelCol="1" x14ac:dyDescent="0.3"/>
  <cols>
    <col min="1" max="1" width="16" bestFit="1" customWidth="1"/>
    <col min="2" max="2" width="40" bestFit="1" customWidth="1"/>
    <col min="3" max="3" width="16" bestFit="1" customWidth="1"/>
    <col min="4" max="4" width="13.33203125" bestFit="1" customWidth="1"/>
    <col min="5" max="5" width="14.6640625" bestFit="1" customWidth="1"/>
    <col min="6" max="6" width="11.88671875" bestFit="1" customWidth="1"/>
    <col min="7" max="7" width="16.44140625" style="1" bestFit="1" customWidth="1"/>
    <col min="8" max="8" width="16.33203125" style="1" bestFit="1" customWidth="1"/>
    <col min="9" max="9" width="22.109375" style="1" bestFit="1" customWidth="1" outlineLevel="1"/>
    <col min="10" max="10" width="16.109375" style="1" bestFit="1" customWidth="1" outlineLevel="1"/>
    <col min="11" max="12" width="18" style="1" bestFit="1" customWidth="1" outlineLevel="1"/>
    <col min="13" max="13" width="17.88671875" style="1" bestFit="1" customWidth="1" outlineLevel="1"/>
    <col min="14" max="14" width="16.6640625" style="1" bestFit="1" customWidth="1" outlineLevel="1"/>
    <col min="15" max="16" width="18.33203125" bestFit="1" customWidth="1" outlineLevel="1"/>
    <col min="17" max="17" width="18.21875" bestFit="1" customWidth="1" outlineLevel="1"/>
    <col min="18" max="18" width="17.109375" bestFit="1" customWidth="1" outlineLevel="1"/>
    <col min="19" max="20" width="15.33203125" bestFit="1" customWidth="1" outlineLevel="1"/>
    <col min="21" max="21" width="10.33203125" bestFit="1" customWidth="1" outlineLevel="1"/>
    <col min="22" max="23" width="13.44140625" bestFit="1" customWidth="1" outlineLevel="1"/>
    <col min="24" max="24" width="12.33203125" style="1" bestFit="1" customWidth="1" outlineLevel="1"/>
    <col min="25" max="26" width="14.6640625" style="1" bestFit="1" customWidth="1" outlineLevel="1"/>
    <col min="27" max="27" width="11.21875" style="1" bestFit="1" customWidth="1" outlineLevel="1"/>
    <col min="28" max="29" width="13.5546875" style="1" bestFit="1" customWidth="1" outlineLevel="1"/>
    <col min="30" max="30" width="15.6640625" style="1" bestFit="1" customWidth="1" outlineLevel="1"/>
    <col min="31" max="32" width="18.109375" style="1" bestFit="1" customWidth="1" outlineLevel="1"/>
    <col min="33" max="33" width="9.77734375" bestFit="1" customWidth="1"/>
    <col min="34" max="34" width="14.44140625" bestFit="1" customWidth="1"/>
    <col min="35" max="35" width="13.33203125" bestFit="1" customWidth="1"/>
    <col min="36" max="36" width="12.88671875" bestFit="1" customWidth="1"/>
    <col min="37" max="37" width="19.109375" bestFit="1" customWidth="1"/>
  </cols>
  <sheetData>
    <row r="1" spans="1:37" s="8" customFormat="1" x14ac:dyDescent="0.3">
      <c r="A1" s="8" t="s">
        <v>0</v>
      </c>
      <c r="B1" s="8" t="s">
        <v>1</v>
      </c>
      <c r="C1" s="8" t="s">
        <v>2</v>
      </c>
      <c r="D1" s="8" t="s">
        <v>192</v>
      </c>
      <c r="E1" t="s">
        <v>259</v>
      </c>
      <c r="F1" t="s">
        <v>334</v>
      </c>
      <c r="G1" t="s">
        <v>260</v>
      </c>
      <c r="H1" t="s">
        <v>293</v>
      </c>
      <c r="I1" s="8" t="s">
        <v>193</v>
      </c>
      <c r="J1" s="8" t="s">
        <v>3</v>
      </c>
      <c r="K1" s="9" t="s">
        <v>4</v>
      </c>
      <c r="L1" s="9" t="s">
        <v>5</v>
      </c>
      <c r="M1" s="9" t="s">
        <v>172</v>
      </c>
      <c r="N1" s="9" t="s">
        <v>6</v>
      </c>
      <c r="O1" s="9" t="s">
        <v>7</v>
      </c>
      <c r="P1" s="9" t="s">
        <v>8</v>
      </c>
      <c r="Q1" s="9" t="s">
        <v>173</v>
      </c>
      <c r="R1" s="9" t="s">
        <v>9</v>
      </c>
      <c r="S1" s="8" t="s">
        <v>10</v>
      </c>
      <c r="T1" t="s">
        <v>283</v>
      </c>
      <c r="U1" s="8" t="s">
        <v>169</v>
      </c>
      <c r="V1" s="8" t="s">
        <v>239</v>
      </c>
      <c r="W1" s="8" t="s">
        <v>185</v>
      </c>
      <c r="X1" s="9" t="s">
        <v>180</v>
      </c>
      <c r="Y1" s="9" t="s">
        <v>186</v>
      </c>
      <c r="Z1" s="9" t="s">
        <v>187</v>
      </c>
      <c r="AA1" s="9" t="s">
        <v>179</v>
      </c>
      <c r="AB1" s="9" t="s">
        <v>188</v>
      </c>
      <c r="AC1" s="9" t="s">
        <v>189</v>
      </c>
      <c r="AD1" s="9" t="s">
        <v>237</v>
      </c>
      <c r="AE1" s="9" t="s">
        <v>238</v>
      </c>
      <c r="AF1" s="9" t="s">
        <v>232</v>
      </c>
      <c r="AG1" s="8" t="s">
        <v>278</v>
      </c>
      <c r="AH1" s="8" t="s">
        <v>297</v>
      </c>
      <c r="AI1" s="8" t="s">
        <v>325</v>
      </c>
      <c r="AJ1" s="8" t="s">
        <v>321</v>
      </c>
      <c r="AK1" s="8" t="s">
        <v>326</v>
      </c>
    </row>
    <row r="2" spans="1:37" x14ac:dyDescent="0.3">
      <c r="A2">
        <v>10005</v>
      </c>
      <c r="B2" t="s">
        <v>121</v>
      </c>
      <c r="C2">
        <v>1</v>
      </c>
      <c r="D2">
        <v>6</v>
      </c>
      <c r="E2" t="s">
        <v>261</v>
      </c>
      <c r="F2" s="85" t="s">
        <v>330</v>
      </c>
      <c r="G2"/>
      <c r="H2" t="s">
        <v>294</v>
      </c>
      <c r="I2" t="s">
        <v>194</v>
      </c>
      <c r="J2" t="s">
        <v>174</v>
      </c>
      <c r="K2" s="1">
        <v>15.85</v>
      </c>
      <c r="L2" s="1">
        <v>15.85</v>
      </c>
      <c r="M2" s="1">
        <v>15.85</v>
      </c>
      <c r="N2" s="1">
        <v>15.85</v>
      </c>
      <c r="O2" s="1">
        <v>475.5</v>
      </c>
      <c r="P2" s="1">
        <v>317</v>
      </c>
      <c r="Q2" s="1">
        <v>396.25</v>
      </c>
      <c r="R2" s="1">
        <v>649.24</v>
      </c>
      <c r="S2" t="s">
        <v>12</v>
      </c>
      <c r="T2" s="13">
        <v>45977</v>
      </c>
      <c r="U2" s="1" t="str">
        <f>IF(ESTIMATIVA[[#This Row],[QT_AREA_REAL]]&gt;0,"1- Colhido","2- à Colher")</f>
        <v>1- Colhido</v>
      </c>
      <c r="V2" s="1" t="str">
        <f>IF(ESTIMATIVA[[#This Row],[QT_AREA_REST1]]&gt;0,"Reestimativa 1",IF(ESTIMATIVA[[#This Row],[QT_AREA_REAL]]=0,"Reestimativa 1","Realizado"))</f>
        <v>Reestimativa 1</v>
      </c>
      <c r="W2" s="1" t="str">
        <f>IF(ESTIMATIVA[[#This Row],[QT_AREA_REST2]]&gt;0,"Reestimativa 2",IF(ESTIMATIVA[[#This Row],[QT_AREA_REAL]]=0,"Reestimativa 2","Realizado"))</f>
        <v>Reestimativa 2</v>
      </c>
      <c r="X2" s="1">
        <f>ESTIMATIVA[[#This Row],[QT_AREA_EST]]</f>
        <v>15.85</v>
      </c>
      <c r="Y2" s="1">
        <f>IF(ESTIMATIVA[[#This Row],[QT_AREA_REST1]]&gt;0,ESTIMATIVA[[#This Row],[QT_AREA_REST1]],
  IF(ESTIMATIVA[[#This Row],[QT_AREA_REAL]]&gt;0,ESTIMATIVA[[#This Row],[QT_AREA_REAL]],ESTIMATIVA[[#This Row],[QT_AREA_EST]]))</f>
        <v>15.85</v>
      </c>
      <c r="Z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15.85</v>
      </c>
      <c r="AA2" s="1">
        <f>ESTIMATIVA[[#This Row],[QT_CANA_EST]]</f>
        <v>475.5</v>
      </c>
      <c r="AB2" s="1">
        <f>IF(ESTIMATIVA[[#This Row],[QT_CANA_REST1]]&gt;0,ESTIMATIVA[[#This Row],[QT_CANA_REST1]],
  IF(ESTIMATIVA[[#This Row],[QT_CANA_REAL]]&gt;0,ESTIMATIVA[[#This Row],[QT_CANA_REAL]],ESTIMATIVA[[#This Row],[QT_CANA_EST]]))</f>
        <v>317</v>
      </c>
      <c r="AC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396.25</v>
      </c>
      <c r="AD2" s="1">
        <f>IF(ESTIMATIVA[[#This Row],[QT_AREA_REAL]]&gt;0,ESTIMATIVA[[#This Row],[QT_CANA_REAL]],ESTIMATIVA[[#This Row],[QT_CANA_EST]])</f>
        <v>649.24</v>
      </c>
      <c r="AE2" s="1">
        <f>IF(ESTIMATIVA[[#This Row],[QT_AREA_REAL]]&gt;0,ESTIMATIVA[[#This Row],[QT_CANA_REAL]],ESTIMATIVA[[#This Row],[QT_CANA_REST1]])</f>
        <v>649.24</v>
      </c>
      <c r="AF2" s="1">
        <f>IF(ESTIMATIVA[[#This Row],[QT_AREA_REAL]]&gt;0,ESTIMATIVA[[#This Row],[QT_CANA_REAL]],ESTIMATIVA[[#This Row],[QT_CANA_REST2]])</f>
        <v>649.24</v>
      </c>
      <c r="AG2" s="1" t="str">
        <f>IF(COUNTIFS(GEADA!A:A,VALUE(ESTIMATIVA[[#This Row],[CD_UPNIVEL1]]&amp;TEXT(ESTIMATIVA[[#This Row],[CD_UPNIVEL3]],"0000")))&gt;0,"S","N")</f>
        <v>S</v>
      </c>
      <c r="AH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" s="55" t="str">
        <f>IF(ESTIMATIVA[[#This Row],[TP_CULTIVO]]="Irrigado",_xlfn.MAXIFS(IRRIGADO!J:J,IRRIGADO!C:C,ESTIMATIVA[[#This Row],[CD_UPNIVEL1]],IRRIGADO!E:E,ESTIMATIVA[[#This Row],[CD_UPNIVEL3]]),"")</f>
        <v/>
      </c>
      <c r="AJ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" s="1">
        <f>COUNTIFS(Apresentação!$E$23:$E$29,ESTIMATIVA[[#This Row],[CD_UPNIVEL1]])</f>
        <v>0</v>
      </c>
    </row>
    <row r="3" spans="1:37" x14ac:dyDescent="0.3">
      <c r="A3">
        <v>10005</v>
      </c>
      <c r="B3" t="s">
        <v>121</v>
      </c>
      <c r="C3">
        <v>2</v>
      </c>
      <c r="D3">
        <v>6</v>
      </c>
      <c r="E3" t="s">
        <v>261</v>
      </c>
      <c r="F3" s="85" t="s">
        <v>330</v>
      </c>
      <c r="G3"/>
      <c r="H3" t="s">
        <v>294</v>
      </c>
      <c r="I3" t="s">
        <v>194</v>
      </c>
      <c r="J3" t="s">
        <v>174</v>
      </c>
      <c r="K3" s="1">
        <v>16.170000000000002</v>
      </c>
      <c r="L3" s="1">
        <v>16.170000000000002</v>
      </c>
      <c r="M3" s="1">
        <v>16.170000000000002</v>
      </c>
      <c r="N3" s="1">
        <v>16.170000000000002</v>
      </c>
      <c r="O3" s="1">
        <v>485.1</v>
      </c>
      <c r="P3" s="1">
        <v>485.1</v>
      </c>
      <c r="Q3" s="1">
        <v>501.27</v>
      </c>
      <c r="R3" s="1">
        <v>821.4</v>
      </c>
      <c r="S3" t="s">
        <v>12</v>
      </c>
      <c r="T3" s="13">
        <v>45977</v>
      </c>
      <c r="U3" s="1" t="str">
        <f>IF(ESTIMATIVA[[#This Row],[QT_AREA_REAL]]&gt;0,"1- Colhido","2- à Colher")</f>
        <v>1- Colhido</v>
      </c>
      <c r="V3" s="1" t="str">
        <f>IF(ESTIMATIVA[[#This Row],[QT_AREA_REST1]]&gt;0,"Reestimativa 1",IF(ESTIMATIVA[[#This Row],[QT_AREA_REAL]]=0,"Reestimativa 1","Realizado"))</f>
        <v>Reestimativa 1</v>
      </c>
      <c r="W3" s="1" t="str">
        <f>IF(ESTIMATIVA[[#This Row],[QT_AREA_REST2]]&gt;0,"Reestimativa 2",IF(ESTIMATIVA[[#This Row],[QT_AREA_REAL]]=0,"Reestimativa 2","Realizado"))</f>
        <v>Reestimativa 2</v>
      </c>
      <c r="X3" s="1">
        <f>ESTIMATIVA[[#This Row],[QT_AREA_EST]]</f>
        <v>16.170000000000002</v>
      </c>
      <c r="Y3" s="1">
        <f>IF(ESTIMATIVA[[#This Row],[QT_AREA_REST1]]&gt;0,ESTIMATIVA[[#This Row],[QT_AREA_REST1]],
  IF(ESTIMATIVA[[#This Row],[QT_AREA_REAL]]&gt;0,ESTIMATIVA[[#This Row],[QT_AREA_REAL]],ESTIMATIVA[[#This Row],[QT_AREA_EST]]))</f>
        <v>16.170000000000002</v>
      </c>
      <c r="Z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16.170000000000002</v>
      </c>
      <c r="AA3" s="1">
        <f>ESTIMATIVA[[#This Row],[QT_CANA_EST]]</f>
        <v>485.1</v>
      </c>
      <c r="AB3" s="1">
        <f>IF(ESTIMATIVA[[#This Row],[QT_CANA_REST1]]&gt;0,ESTIMATIVA[[#This Row],[QT_CANA_REST1]],
  IF(ESTIMATIVA[[#This Row],[QT_CANA_REAL]]&gt;0,ESTIMATIVA[[#This Row],[QT_CANA_REAL]],ESTIMATIVA[[#This Row],[QT_CANA_EST]]))</f>
        <v>485.1</v>
      </c>
      <c r="AC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501.27</v>
      </c>
      <c r="AD3" s="1">
        <f>IF(ESTIMATIVA[[#This Row],[QT_AREA_REAL]]&gt;0,ESTIMATIVA[[#This Row],[QT_CANA_REAL]],ESTIMATIVA[[#This Row],[QT_CANA_EST]])</f>
        <v>821.4</v>
      </c>
      <c r="AE3" s="1">
        <f>IF(ESTIMATIVA[[#This Row],[QT_AREA_REAL]]&gt;0,ESTIMATIVA[[#This Row],[QT_CANA_REAL]],ESTIMATIVA[[#This Row],[QT_CANA_REST1]])</f>
        <v>821.4</v>
      </c>
      <c r="AF3" s="1">
        <f>IF(ESTIMATIVA[[#This Row],[QT_AREA_REAL]]&gt;0,ESTIMATIVA[[#This Row],[QT_CANA_REAL]],ESTIMATIVA[[#This Row],[QT_CANA_REST2]])</f>
        <v>821.4</v>
      </c>
      <c r="AG3" s="1" t="str">
        <f>IF(COUNTIFS(GEADA!A:A,VALUE(ESTIMATIVA[[#This Row],[CD_UPNIVEL1]]&amp;TEXT(ESTIMATIVA[[#This Row],[CD_UPNIVEL3]],"0000")))&gt;0,"S","N")</f>
        <v>S</v>
      </c>
      <c r="AH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3" s="55" t="str">
        <f>IF(ESTIMATIVA[[#This Row],[TP_CULTIVO]]="Irrigado",_xlfn.MAXIFS(IRRIGADO!J:J,IRRIGADO!C:C,ESTIMATIVA[[#This Row],[CD_UPNIVEL1]],IRRIGADO!E:E,ESTIMATIVA[[#This Row],[CD_UPNIVEL3]]),"")</f>
        <v/>
      </c>
      <c r="AJ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" s="1">
        <f>COUNTIFS(Apresentação!$E$23:$E$29,ESTIMATIVA[[#This Row],[CD_UPNIVEL1]])</f>
        <v>0</v>
      </c>
    </row>
    <row r="4" spans="1:37" x14ac:dyDescent="0.3">
      <c r="A4">
        <v>10005</v>
      </c>
      <c r="B4" t="s">
        <v>121</v>
      </c>
      <c r="C4">
        <v>3</v>
      </c>
      <c r="D4">
        <v>6</v>
      </c>
      <c r="E4" t="s">
        <v>261</v>
      </c>
      <c r="F4" s="85" t="s">
        <v>330</v>
      </c>
      <c r="G4"/>
      <c r="H4" t="s">
        <v>294</v>
      </c>
      <c r="I4" t="s">
        <v>194</v>
      </c>
      <c r="J4" t="s">
        <v>174</v>
      </c>
      <c r="K4" s="1">
        <v>16.93</v>
      </c>
      <c r="L4" s="1">
        <v>16.93</v>
      </c>
      <c r="M4" s="1">
        <v>16.93</v>
      </c>
      <c r="N4" s="1">
        <v>16.93</v>
      </c>
      <c r="O4" s="1">
        <v>507.9</v>
      </c>
      <c r="P4" s="1">
        <v>507.9</v>
      </c>
      <c r="Q4" s="1">
        <v>524.83000000000004</v>
      </c>
      <c r="R4" s="1">
        <v>860.85</v>
      </c>
      <c r="S4" t="s">
        <v>12</v>
      </c>
      <c r="T4" s="13">
        <v>45977</v>
      </c>
      <c r="U4" s="1" t="str">
        <f>IF(ESTIMATIVA[[#This Row],[QT_AREA_REAL]]&gt;0,"1- Colhido","2- à Colher")</f>
        <v>1- Colhido</v>
      </c>
      <c r="V4" s="1" t="str">
        <f>IF(ESTIMATIVA[[#This Row],[QT_AREA_REST1]]&gt;0,"Reestimativa 1",IF(ESTIMATIVA[[#This Row],[QT_AREA_REAL]]=0,"Reestimativa 1","Realizado"))</f>
        <v>Reestimativa 1</v>
      </c>
      <c r="W4" s="1" t="str">
        <f>IF(ESTIMATIVA[[#This Row],[QT_AREA_REST2]]&gt;0,"Reestimativa 2",IF(ESTIMATIVA[[#This Row],[QT_AREA_REAL]]=0,"Reestimativa 2","Realizado"))</f>
        <v>Reestimativa 2</v>
      </c>
      <c r="X4" s="1">
        <f>ESTIMATIVA[[#This Row],[QT_AREA_EST]]</f>
        <v>16.93</v>
      </c>
      <c r="Y4" s="1">
        <f>IF(ESTIMATIVA[[#This Row],[QT_AREA_REST1]]&gt;0,ESTIMATIVA[[#This Row],[QT_AREA_REST1]],
  IF(ESTIMATIVA[[#This Row],[QT_AREA_REAL]]&gt;0,ESTIMATIVA[[#This Row],[QT_AREA_REAL]],ESTIMATIVA[[#This Row],[QT_AREA_EST]]))</f>
        <v>16.93</v>
      </c>
      <c r="Z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16.93</v>
      </c>
      <c r="AA4" s="1">
        <f>ESTIMATIVA[[#This Row],[QT_CANA_EST]]</f>
        <v>507.9</v>
      </c>
      <c r="AB4" s="1">
        <f>IF(ESTIMATIVA[[#This Row],[QT_CANA_REST1]]&gt;0,ESTIMATIVA[[#This Row],[QT_CANA_REST1]],
  IF(ESTIMATIVA[[#This Row],[QT_CANA_REAL]]&gt;0,ESTIMATIVA[[#This Row],[QT_CANA_REAL]],ESTIMATIVA[[#This Row],[QT_CANA_EST]]))</f>
        <v>507.9</v>
      </c>
      <c r="AC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524.83000000000004</v>
      </c>
      <c r="AD4" s="1">
        <f>IF(ESTIMATIVA[[#This Row],[QT_AREA_REAL]]&gt;0,ESTIMATIVA[[#This Row],[QT_CANA_REAL]],ESTIMATIVA[[#This Row],[QT_CANA_EST]])</f>
        <v>860.85</v>
      </c>
      <c r="AE4" s="1">
        <f>IF(ESTIMATIVA[[#This Row],[QT_AREA_REAL]]&gt;0,ESTIMATIVA[[#This Row],[QT_CANA_REAL]],ESTIMATIVA[[#This Row],[QT_CANA_REST1]])</f>
        <v>860.85</v>
      </c>
      <c r="AF4" s="1">
        <f>IF(ESTIMATIVA[[#This Row],[QT_AREA_REAL]]&gt;0,ESTIMATIVA[[#This Row],[QT_CANA_REAL]],ESTIMATIVA[[#This Row],[QT_CANA_REST2]])</f>
        <v>860.85</v>
      </c>
      <c r="AG4" s="1" t="str">
        <f>IF(COUNTIFS(GEADA!A:A,VALUE(ESTIMATIVA[[#This Row],[CD_UPNIVEL1]]&amp;TEXT(ESTIMATIVA[[#This Row],[CD_UPNIVEL3]],"0000")))&gt;0,"S","N")</f>
        <v>N</v>
      </c>
      <c r="AH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4" s="55" t="str">
        <f>IF(ESTIMATIVA[[#This Row],[TP_CULTIVO]]="Irrigado",_xlfn.MAXIFS(IRRIGADO!J:J,IRRIGADO!C:C,ESTIMATIVA[[#This Row],[CD_UPNIVEL1]],IRRIGADO!E:E,ESTIMATIVA[[#This Row],[CD_UPNIVEL3]]),"")</f>
        <v/>
      </c>
      <c r="AJ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" s="1">
        <f>COUNTIFS(Apresentação!$E$23:$E$29,ESTIMATIVA[[#This Row],[CD_UPNIVEL1]])</f>
        <v>0</v>
      </c>
    </row>
    <row r="5" spans="1:37" x14ac:dyDescent="0.3">
      <c r="A5">
        <v>10100</v>
      </c>
      <c r="B5" t="s">
        <v>122</v>
      </c>
      <c r="C5">
        <v>1</v>
      </c>
      <c r="D5">
        <v>8</v>
      </c>
      <c r="E5" t="s">
        <v>262</v>
      </c>
      <c r="F5" s="85" t="s">
        <v>329</v>
      </c>
      <c r="G5"/>
      <c r="H5" t="s">
        <v>294</v>
      </c>
      <c r="I5" t="s">
        <v>194</v>
      </c>
      <c r="J5" t="s">
        <v>175</v>
      </c>
      <c r="K5" s="1">
        <v>8.14</v>
      </c>
      <c r="L5" s="1">
        <v>8.14</v>
      </c>
      <c r="M5" s="1">
        <v>8.14</v>
      </c>
      <c r="N5" s="1">
        <v>8.14</v>
      </c>
      <c r="O5" s="1">
        <v>293.04000000000002</v>
      </c>
      <c r="P5" s="1">
        <v>203.5</v>
      </c>
      <c r="Q5" s="1">
        <v>284.89999999999998</v>
      </c>
      <c r="R5" s="1">
        <v>314.89</v>
      </c>
      <c r="S5" t="s">
        <v>12</v>
      </c>
      <c r="T5" s="13">
        <v>45984</v>
      </c>
      <c r="U5" s="1" t="str">
        <f>IF(ESTIMATIVA[[#This Row],[QT_AREA_REAL]]&gt;0,"1- Colhido","2- à Colher")</f>
        <v>1- Colhido</v>
      </c>
      <c r="V5" s="1" t="str">
        <f>IF(ESTIMATIVA[[#This Row],[QT_AREA_REST1]]&gt;0,"Reestimativa 1",IF(ESTIMATIVA[[#This Row],[QT_AREA_REAL]]=0,"Reestimativa 1","Realizado"))</f>
        <v>Reestimativa 1</v>
      </c>
      <c r="W5" s="1" t="str">
        <f>IF(ESTIMATIVA[[#This Row],[QT_AREA_REST2]]&gt;0,"Reestimativa 2",IF(ESTIMATIVA[[#This Row],[QT_AREA_REAL]]=0,"Reestimativa 2","Realizado"))</f>
        <v>Reestimativa 2</v>
      </c>
      <c r="X5" s="1">
        <f>ESTIMATIVA[[#This Row],[QT_AREA_EST]]</f>
        <v>8.14</v>
      </c>
      <c r="Y5" s="1">
        <f>IF(ESTIMATIVA[[#This Row],[QT_AREA_REST1]]&gt;0,ESTIMATIVA[[#This Row],[QT_AREA_REST1]],
  IF(ESTIMATIVA[[#This Row],[QT_AREA_REAL]]&gt;0,ESTIMATIVA[[#This Row],[QT_AREA_REAL]],ESTIMATIVA[[#This Row],[QT_AREA_EST]]))</f>
        <v>8.14</v>
      </c>
      <c r="Z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8.14</v>
      </c>
      <c r="AA5" s="1">
        <f>ESTIMATIVA[[#This Row],[QT_CANA_EST]]</f>
        <v>293.04000000000002</v>
      </c>
      <c r="AB5" s="1">
        <f>IF(ESTIMATIVA[[#This Row],[QT_CANA_REST1]]&gt;0,ESTIMATIVA[[#This Row],[QT_CANA_REST1]],
  IF(ESTIMATIVA[[#This Row],[QT_CANA_REAL]]&gt;0,ESTIMATIVA[[#This Row],[QT_CANA_REAL]],ESTIMATIVA[[#This Row],[QT_CANA_EST]]))</f>
        <v>203.5</v>
      </c>
      <c r="AC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284.89999999999998</v>
      </c>
      <c r="AD5" s="1">
        <f>IF(ESTIMATIVA[[#This Row],[QT_AREA_REAL]]&gt;0,ESTIMATIVA[[#This Row],[QT_CANA_REAL]],ESTIMATIVA[[#This Row],[QT_CANA_EST]])</f>
        <v>314.89</v>
      </c>
      <c r="AE5" s="1">
        <f>IF(ESTIMATIVA[[#This Row],[QT_AREA_REAL]]&gt;0,ESTIMATIVA[[#This Row],[QT_CANA_REAL]],ESTIMATIVA[[#This Row],[QT_CANA_REST1]])</f>
        <v>314.89</v>
      </c>
      <c r="AF5" s="1">
        <f>IF(ESTIMATIVA[[#This Row],[QT_AREA_REAL]]&gt;0,ESTIMATIVA[[#This Row],[QT_CANA_REAL]],ESTIMATIVA[[#This Row],[QT_CANA_REST2]])</f>
        <v>314.89</v>
      </c>
      <c r="AG5" s="1" t="str">
        <f>IF(COUNTIFS(GEADA!A:A,VALUE(ESTIMATIVA[[#This Row],[CD_UPNIVEL1]]&amp;TEXT(ESTIMATIVA[[#This Row],[CD_UPNIVEL3]],"0000")))&gt;0,"S","N")</f>
        <v>S</v>
      </c>
      <c r="AH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5" s="55" t="str">
        <f>IF(ESTIMATIVA[[#This Row],[TP_CULTIVO]]="Irrigado",_xlfn.MAXIFS(IRRIGADO!J:J,IRRIGADO!C:C,ESTIMATIVA[[#This Row],[CD_UPNIVEL1]],IRRIGADO!E:E,ESTIMATIVA[[#This Row],[CD_UPNIVEL3]]),"")</f>
        <v/>
      </c>
      <c r="AJ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" s="1">
        <f>COUNTIFS(Apresentação!$E$23:$E$29,ESTIMATIVA[[#This Row],[CD_UPNIVEL1]])</f>
        <v>0</v>
      </c>
    </row>
    <row r="6" spans="1:37" x14ac:dyDescent="0.3">
      <c r="A6">
        <v>10100</v>
      </c>
      <c r="B6" t="s">
        <v>122</v>
      </c>
      <c r="C6">
        <v>2</v>
      </c>
      <c r="D6">
        <v>8</v>
      </c>
      <c r="E6" t="s">
        <v>262</v>
      </c>
      <c r="F6" s="85" t="s">
        <v>329</v>
      </c>
      <c r="G6"/>
      <c r="H6" t="s">
        <v>294</v>
      </c>
      <c r="I6" t="s">
        <v>194</v>
      </c>
      <c r="J6" t="s">
        <v>175</v>
      </c>
      <c r="K6" s="1">
        <v>5.58</v>
      </c>
      <c r="L6" s="1">
        <v>5.58</v>
      </c>
      <c r="M6" s="1">
        <v>5.58</v>
      </c>
      <c r="N6" s="1">
        <v>5.58</v>
      </c>
      <c r="O6" s="1">
        <v>200.88</v>
      </c>
      <c r="P6" s="1">
        <v>139.5</v>
      </c>
      <c r="Q6" s="1">
        <v>195.3</v>
      </c>
      <c r="R6" s="1">
        <v>215.46</v>
      </c>
      <c r="S6" t="s">
        <v>12</v>
      </c>
      <c r="T6" s="13">
        <v>45984</v>
      </c>
      <c r="U6" s="1" t="str">
        <f>IF(ESTIMATIVA[[#This Row],[QT_AREA_REAL]]&gt;0,"1- Colhido","2- à Colher")</f>
        <v>1- Colhido</v>
      </c>
      <c r="V6" s="1" t="str">
        <f>IF(ESTIMATIVA[[#This Row],[QT_AREA_REST1]]&gt;0,"Reestimativa 1",IF(ESTIMATIVA[[#This Row],[QT_AREA_REAL]]=0,"Reestimativa 1","Realizado"))</f>
        <v>Reestimativa 1</v>
      </c>
      <c r="W6" s="1" t="str">
        <f>IF(ESTIMATIVA[[#This Row],[QT_AREA_REST2]]&gt;0,"Reestimativa 2",IF(ESTIMATIVA[[#This Row],[QT_AREA_REAL]]=0,"Reestimativa 2","Realizado"))</f>
        <v>Reestimativa 2</v>
      </c>
      <c r="X6" s="1">
        <f>ESTIMATIVA[[#This Row],[QT_AREA_EST]]</f>
        <v>5.58</v>
      </c>
      <c r="Y6" s="1">
        <f>IF(ESTIMATIVA[[#This Row],[QT_AREA_REST1]]&gt;0,ESTIMATIVA[[#This Row],[QT_AREA_REST1]],
  IF(ESTIMATIVA[[#This Row],[QT_AREA_REAL]]&gt;0,ESTIMATIVA[[#This Row],[QT_AREA_REAL]],ESTIMATIVA[[#This Row],[QT_AREA_EST]]))</f>
        <v>5.58</v>
      </c>
      <c r="Z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5.58</v>
      </c>
      <c r="AA6" s="1">
        <f>ESTIMATIVA[[#This Row],[QT_CANA_EST]]</f>
        <v>200.88</v>
      </c>
      <c r="AB6" s="1">
        <f>IF(ESTIMATIVA[[#This Row],[QT_CANA_REST1]]&gt;0,ESTIMATIVA[[#This Row],[QT_CANA_REST1]],
  IF(ESTIMATIVA[[#This Row],[QT_CANA_REAL]]&gt;0,ESTIMATIVA[[#This Row],[QT_CANA_REAL]],ESTIMATIVA[[#This Row],[QT_CANA_EST]]))</f>
        <v>139.5</v>
      </c>
      <c r="AC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195.3</v>
      </c>
      <c r="AD6" s="1">
        <f>IF(ESTIMATIVA[[#This Row],[QT_AREA_REAL]]&gt;0,ESTIMATIVA[[#This Row],[QT_CANA_REAL]],ESTIMATIVA[[#This Row],[QT_CANA_EST]])</f>
        <v>215.46</v>
      </c>
      <c r="AE6" s="1">
        <f>IF(ESTIMATIVA[[#This Row],[QT_AREA_REAL]]&gt;0,ESTIMATIVA[[#This Row],[QT_CANA_REAL]],ESTIMATIVA[[#This Row],[QT_CANA_REST1]])</f>
        <v>215.46</v>
      </c>
      <c r="AF6" s="1">
        <f>IF(ESTIMATIVA[[#This Row],[QT_AREA_REAL]]&gt;0,ESTIMATIVA[[#This Row],[QT_CANA_REAL]],ESTIMATIVA[[#This Row],[QT_CANA_REST2]])</f>
        <v>215.46</v>
      </c>
      <c r="AG6" s="1" t="str">
        <f>IF(COUNTIFS(GEADA!A:A,VALUE(ESTIMATIVA[[#This Row],[CD_UPNIVEL1]]&amp;TEXT(ESTIMATIVA[[#This Row],[CD_UPNIVEL3]],"0000")))&gt;0,"S","N")</f>
        <v>S</v>
      </c>
      <c r="AH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" s="55" t="str">
        <f>IF(ESTIMATIVA[[#This Row],[TP_CULTIVO]]="Irrigado",_xlfn.MAXIFS(IRRIGADO!J:J,IRRIGADO!C:C,ESTIMATIVA[[#This Row],[CD_UPNIVEL1]],IRRIGADO!E:E,ESTIMATIVA[[#This Row],[CD_UPNIVEL3]]),"")</f>
        <v/>
      </c>
      <c r="AJ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" s="1">
        <f>COUNTIFS(Apresentação!$E$23:$E$29,ESTIMATIVA[[#This Row],[CD_UPNIVEL1]])</f>
        <v>0</v>
      </c>
    </row>
    <row r="7" spans="1:37" x14ac:dyDescent="0.3">
      <c r="A7">
        <v>10310</v>
      </c>
      <c r="B7" t="s">
        <v>11</v>
      </c>
      <c r="C7">
        <v>1</v>
      </c>
      <c r="D7">
        <v>3</v>
      </c>
      <c r="E7" t="s">
        <v>263</v>
      </c>
      <c r="F7" s="85" t="s">
        <v>333</v>
      </c>
      <c r="G7"/>
      <c r="H7" t="s">
        <v>294</v>
      </c>
      <c r="I7" t="s">
        <v>195</v>
      </c>
      <c r="J7" t="s">
        <v>176</v>
      </c>
      <c r="K7" s="1">
        <v>9.09</v>
      </c>
      <c r="L7" s="1">
        <v>9.09</v>
      </c>
      <c r="M7" s="1">
        <v>9.09</v>
      </c>
      <c r="N7" s="1">
        <v>9.09</v>
      </c>
      <c r="O7" s="1">
        <v>618.12</v>
      </c>
      <c r="P7" s="1">
        <v>545.4</v>
      </c>
      <c r="Q7" s="1">
        <v>545.4</v>
      </c>
      <c r="R7" s="1">
        <v>437.97</v>
      </c>
      <c r="S7" t="s">
        <v>12</v>
      </c>
      <c r="T7" s="13">
        <v>45935</v>
      </c>
      <c r="U7" s="1" t="str">
        <f>IF(ESTIMATIVA[[#This Row],[QT_AREA_REAL]]&gt;0,"1- Colhido","2- à Colher")</f>
        <v>1- Colhido</v>
      </c>
      <c r="V7" s="1" t="str">
        <f>IF(ESTIMATIVA[[#This Row],[QT_AREA_REST1]]&gt;0,"Reestimativa 1",IF(ESTIMATIVA[[#This Row],[QT_AREA_REAL]]=0,"Reestimativa 1","Realizado"))</f>
        <v>Reestimativa 1</v>
      </c>
      <c r="W7" s="1" t="str">
        <f>IF(ESTIMATIVA[[#This Row],[QT_AREA_REST2]]&gt;0,"Reestimativa 2",IF(ESTIMATIVA[[#This Row],[QT_AREA_REAL]]=0,"Reestimativa 2","Realizado"))</f>
        <v>Reestimativa 2</v>
      </c>
      <c r="X7" s="1">
        <f>ESTIMATIVA[[#This Row],[QT_AREA_EST]]</f>
        <v>9.09</v>
      </c>
      <c r="Y7" s="1">
        <f>IF(ESTIMATIVA[[#This Row],[QT_AREA_REST1]]&gt;0,ESTIMATIVA[[#This Row],[QT_AREA_REST1]],
  IF(ESTIMATIVA[[#This Row],[QT_AREA_REAL]]&gt;0,ESTIMATIVA[[#This Row],[QT_AREA_REAL]],ESTIMATIVA[[#This Row],[QT_AREA_EST]]))</f>
        <v>9.09</v>
      </c>
      <c r="Z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9.09</v>
      </c>
      <c r="AA7" s="1">
        <f>ESTIMATIVA[[#This Row],[QT_CANA_EST]]</f>
        <v>618.12</v>
      </c>
      <c r="AB7" s="1">
        <f>IF(ESTIMATIVA[[#This Row],[QT_CANA_REST1]]&gt;0,ESTIMATIVA[[#This Row],[QT_CANA_REST1]],
  IF(ESTIMATIVA[[#This Row],[QT_CANA_REAL]]&gt;0,ESTIMATIVA[[#This Row],[QT_CANA_REAL]],ESTIMATIVA[[#This Row],[QT_CANA_EST]]))</f>
        <v>545.4</v>
      </c>
      <c r="AC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545.4</v>
      </c>
      <c r="AD7" s="1">
        <f>IF(ESTIMATIVA[[#This Row],[QT_AREA_REAL]]&gt;0,ESTIMATIVA[[#This Row],[QT_CANA_REAL]],ESTIMATIVA[[#This Row],[QT_CANA_EST]])</f>
        <v>437.97</v>
      </c>
      <c r="AE7" s="1">
        <f>IF(ESTIMATIVA[[#This Row],[QT_AREA_REAL]]&gt;0,ESTIMATIVA[[#This Row],[QT_CANA_REAL]],ESTIMATIVA[[#This Row],[QT_CANA_REST1]])</f>
        <v>437.97</v>
      </c>
      <c r="AF7" s="1">
        <f>IF(ESTIMATIVA[[#This Row],[QT_AREA_REAL]]&gt;0,ESTIMATIVA[[#This Row],[QT_CANA_REAL]],ESTIMATIVA[[#This Row],[QT_CANA_REST2]])</f>
        <v>437.97</v>
      </c>
      <c r="AG7" s="1" t="str">
        <f>IF(COUNTIFS(GEADA!A:A,VALUE(ESTIMATIVA[[#This Row],[CD_UPNIVEL1]]&amp;TEXT(ESTIMATIVA[[#This Row],[CD_UPNIVEL3]],"0000")))&gt;0,"S","N")</f>
        <v>N</v>
      </c>
      <c r="AH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" s="55" t="str">
        <f>IF(ESTIMATIVA[[#This Row],[TP_CULTIVO]]="Irrigado",_xlfn.MAXIFS(IRRIGADO!J:J,IRRIGADO!C:C,ESTIMATIVA[[#This Row],[CD_UPNIVEL1]],IRRIGADO!E:E,ESTIMATIVA[[#This Row],[CD_UPNIVEL3]]),"")</f>
        <v/>
      </c>
      <c r="AJ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" s="1">
        <f>COUNTIFS(Apresentação!$E$23:$E$29,ESTIMATIVA[[#This Row],[CD_UPNIVEL1]])</f>
        <v>0</v>
      </c>
    </row>
    <row r="8" spans="1:37" x14ac:dyDescent="0.3">
      <c r="A8">
        <v>10310</v>
      </c>
      <c r="B8" t="s">
        <v>11</v>
      </c>
      <c r="C8">
        <v>2</v>
      </c>
      <c r="D8">
        <v>3</v>
      </c>
      <c r="E8" t="s">
        <v>263</v>
      </c>
      <c r="F8" s="85" t="s">
        <v>333</v>
      </c>
      <c r="G8"/>
      <c r="H8" t="s">
        <v>294</v>
      </c>
      <c r="I8" t="s">
        <v>195</v>
      </c>
      <c r="J8" t="s">
        <v>176</v>
      </c>
      <c r="K8" s="1">
        <v>18.97</v>
      </c>
      <c r="L8" s="1">
        <v>18.97</v>
      </c>
      <c r="M8" s="1">
        <v>18.97</v>
      </c>
      <c r="N8" s="1">
        <v>18.97</v>
      </c>
      <c r="O8" s="1">
        <v>1289.96</v>
      </c>
      <c r="P8" s="1">
        <v>948.5</v>
      </c>
      <c r="Q8" s="1">
        <v>948.5</v>
      </c>
      <c r="R8" s="1">
        <v>762.67</v>
      </c>
      <c r="S8" t="s">
        <v>12</v>
      </c>
      <c r="T8" s="13">
        <v>45935</v>
      </c>
      <c r="U8" s="1" t="str">
        <f>IF(ESTIMATIVA[[#This Row],[QT_AREA_REAL]]&gt;0,"1- Colhido","2- à Colher")</f>
        <v>1- Colhido</v>
      </c>
      <c r="V8" s="1" t="str">
        <f>IF(ESTIMATIVA[[#This Row],[QT_AREA_REST1]]&gt;0,"Reestimativa 1",IF(ESTIMATIVA[[#This Row],[QT_AREA_REAL]]=0,"Reestimativa 1","Realizado"))</f>
        <v>Reestimativa 1</v>
      </c>
      <c r="W8" s="1" t="str">
        <f>IF(ESTIMATIVA[[#This Row],[QT_AREA_REST2]]&gt;0,"Reestimativa 2",IF(ESTIMATIVA[[#This Row],[QT_AREA_REAL]]=0,"Reestimativa 2","Realizado"))</f>
        <v>Reestimativa 2</v>
      </c>
      <c r="X8" s="1">
        <f>ESTIMATIVA[[#This Row],[QT_AREA_EST]]</f>
        <v>18.97</v>
      </c>
      <c r="Y8" s="1">
        <f>IF(ESTIMATIVA[[#This Row],[QT_AREA_REST1]]&gt;0,ESTIMATIVA[[#This Row],[QT_AREA_REST1]],
  IF(ESTIMATIVA[[#This Row],[QT_AREA_REAL]]&gt;0,ESTIMATIVA[[#This Row],[QT_AREA_REAL]],ESTIMATIVA[[#This Row],[QT_AREA_EST]]))</f>
        <v>18.97</v>
      </c>
      <c r="Z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18.97</v>
      </c>
      <c r="AA8" s="1">
        <f>ESTIMATIVA[[#This Row],[QT_CANA_EST]]</f>
        <v>1289.96</v>
      </c>
      <c r="AB8" s="1">
        <f>IF(ESTIMATIVA[[#This Row],[QT_CANA_REST1]]&gt;0,ESTIMATIVA[[#This Row],[QT_CANA_REST1]],
  IF(ESTIMATIVA[[#This Row],[QT_CANA_REAL]]&gt;0,ESTIMATIVA[[#This Row],[QT_CANA_REAL]],ESTIMATIVA[[#This Row],[QT_CANA_EST]]))</f>
        <v>948.5</v>
      </c>
      <c r="AC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948.5</v>
      </c>
      <c r="AD8" s="1">
        <f>IF(ESTIMATIVA[[#This Row],[QT_AREA_REAL]]&gt;0,ESTIMATIVA[[#This Row],[QT_CANA_REAL]],ESTIMATIVA[[#This Row],[QT_CANA_EST]])</f>
        <v>762.67</v>
      </c>
      <c r="AE8" s="1">
        <f>IF(ESTIMATIVA[[#This Row],[QT_AREA_REAL]]&gt;0,ESTIMATIVA[[#This Row],[QT_CANA_REAL]],ESTIMATIVA[[#This Row],[QT_CANA_REST1]])</f>
        <v>762.67</v>
      </c>
      <c r="AF8" s="1">
        <f>IF(ESTIMATIVA[[#This Row],[QT_AREA_REAL]]&gt;0,ESTIMATIVA[[#This Row],[QT_CANA_REAL]],ESTIMATIVA[[#This Row],[QT_CANA_REST2]])</f>
        <v>762.67</v>
      </c>
      <c r="AG8" s="1" t="str">
        <f>IF(COUNTIFS(GEADA!A:A,VALUE(ESTIMATIVA[[#This Row],[CD_UPNIVEL1]]&amp;TEXT(ESTIMATIVA[[#This Row],[CD_UPNIVEL3]],"0000")))&gt;0,"S","N")</f>
        <v>S</v>
      </c>
      <c r="AH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" s="55" t="str">
        <f>IF(ESTIMATIVA[[#This Row],[TP_CULTIVO]]="Irrigado",_xlfn.MAXIFS(IRRIGADO!J:J,IRRIGADO!C:C,ESTIMATIVA[[#This Row],[CD_UPNIVEL1]],IRRIGADO!E:E,ESTIMATIVA[[#This Row],[CD_UPNIVEL3]]),"")</f>
        <v/>
      </c>
      <c r="AJ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" s="1">
        <f>COUNTIFS(Apresentação!$E$23:$E$29,ESTIMATIVA[[#This Row],[CD_UPNIVEL1]])</f>
        <v>0</v>
      </c>
    </row>
    <row r="9" spans="1:37" x14ac:dyDescent="0.3">
      <c r="A9">
        <v>10310</v>
      </c>
      <c r="B9" t="s">
        <v>11</v>
      </c>
      <c r="C9">
        <v>3</v>
      </c>
      <c r="D9">
        <v>3</v>
      </c>
      <c r="E9" t="s">
        <v>263</v>
      </c>
      <c r="F9" s="85" t="s">
        <v>333</v>
      </c>
      <c r="G9"/>
      <c r="H9" t="s">
        <v>294</v>
      </c>
      <c r="I9" t="s">
        <v>195</v>
      </c>
      <c r="J9" t="s">
        <v>176</v>
      </c>
      <c r="K9" s="1">
        <v>16.47</v>
      </c>
      <c r="L9" s="1">
        <v>16.47</v>
      </c>
      <c r="M9" s="1">
        <v>16.47</v>
      </c>
      <c r="N9" s="1">
        <v>16.47</v>
      </c>
      <c r="O9" s="1">
        <v>1119.96</v>
      </c>
      <c r="P9" s="1">
        <v>823.5</v>
      </c>
      <c r="Q9" s="1">
        <v>823.5</v>
      </c>
      <c r="R9" s="1">
        <v>662.2</v>
      </c>
      <c r="S9" t="s">
        <v>12</v>
      </c>
      <c r="T9" s="13">
        <v>45935</v>
      </c>
      <c r="U9" s="1" t="str">
        <f>IF(ESTIMATIVA[[#This Row],[QT_AREA_REAL]]&gt;0,"1- Colhido","2- à Colher")</f>
        <v>1- Colhido</v>
      </c>
      <c r="V9" s="1" t="str">
        <f>IF(ESTIMATIVA[[#This Row],[QT_AREA_REST1]]&gt;0,"Reestimativa 1",IF(ESTIMATIVA[[#This Row],[QT_AREA_REAL]]=0,"Reestimativa 1","Realizado"))</f>
        <v>Reestimativa 1</v>
      </c>
      <c r="W9" s="1" t="str">
        <f>IF(ESTIMATIVA[[#This Row],[QT_AREA_REST2]]&gt;0,"Reestimativa 2",IF(ESTIMATIVA[[#This Row],[QT_AREA_REAL]]=0,"Reestimativa 2","Realizado"))</f>
        <v>Reestimativa 2</v>
      </c>
      <c r="X9" s="1">
        <f>ESTIMATIVA[[#This Row],[QT_AREA_EST]]</f>
        <v>16.47</v>
      </c>
      <c r="Y9" s="1">
        <f>IF(ESTIMATIVA[[#This Row],[QT_AREA_REST1]]&gt;0,ESTIMATIVA[[#This Row],[QT_AREA_REST1]],
  IF(ESTIMATIVA[[#This Row],[QT_AREA_REAL]]&gt;0,ESTIMATIVA[[#This Row],[QT_AREA_REAL]],ESTIMATIVA[[#This Row],[QT_AREA_EST]]))</f>
        <v>16.47</v>
      </c>
      <c r="Z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16.47</v>
      </c>
      <c r="AA9" s="1">
        <f>ESTIMATIVA[[#This Row],[QT_CANA_EST]]</f>
        <v>1119.96</v>
      </c>
      <c r="AB9" s="1">
        <f>IF(ESTIMATIVA[[#This Row],[QT_CANA_REST1]]&gt;0,ESTIMATIVA[[#This Row],[QT_CANA_REST1]],
  IF(ESTIMATIVA[[#This Row],[QT_CANA_REAL]]&gt;0,ESTIMATIVA[[#This Row],[QT_CANA_REAL]],ESTIMATIVA[[#This Row],[QT_CANA_EST]]))</f>
        <v>823.5</v>
      </c>
      <c r="AC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823.5</v>
      </c>
      <c r="AD9" s="1">
        <f>IF(ESTIMATIVA[[#This Row],[QT_AREA_REAL]]&gt;0,ESTIMATIVA[[#This Row],[QT_CANA_REAL]],ESTIMATIVA[[#This Row],[QT_CANA_EST]])</f>
        <v>662.2</v>
      </c>
      <c r="AE9" s="1">
        <f>IF(ESTIMATIVA[[#This Row],[QT_AREA_REAL]]&gt;0,ESTIMATIVA[[#This Row],[QT_CANA_REAL]],ESTIMATIVA[[#This Row],[QT_CANA_REST1]])</f>
        <v>662.2</v>
      </c>
      <c r="AF9" s="1">
        <f>IF(ESTIMATIVA[[#This Row],[QT_AREA_REAL]]&gt;0,ESTIMATIVA[[#This Row],[QT_CANA_REAL]],ESTIMATIVA[[#This Row],[QT_CANA_REST2]])</f>
        <v>662.2</v>
      </c>
      <c r="AG9" s="1" t="str">
        <f>IF(COUNTIFS(GEADA!A:A,VALUE(ESTIMATIVA[[#This Row],[CD_UPNIVEL1]]&amp;TEXT(ESTIMATIVA[[#This Row],[CD_UPNIVEL3]],"0000")))&gt;0,"S","N")</f>
        <v>S</v>
      </c>
      <c r="AH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" s="55" t="str">
        <f>IF(ESTIMATIVA[[#This Row],[TP_CULTIVO]]="Irrigado",_xlfn.MAXIFS(IRRIGADO!J:J,IRRIGADO!C:C,ESTIMATIVA[[#This Row],[CD_UPNIVEL1]],IRRIGADO!E:E,ESTIMATIVA[[#This Row],[CD_UPNIVEL3]]),"")</f>
        <v/>
      </c>
      <c r="AJ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" s="1">
        <f>COUNTIFS(Apresentação!$E$23:$E$29,ESTIMATIVA[[#This Row],[CD_UPNIVEL1]])</f>
        <v>0</v>
      </c>
    </row>
    <row r="10" spans="1:37" x14ac:dyDescent="0.3">
      <c r="A10">
        <v>10310</v>
      </c>
      <c r="B10" t="s">
        <v>11</v>
      </c>
      <c r="C10">
        <v>4</v>
      </c>
      <c r="D10">
        <v>3</v>
      </c>
      <c r="E10" t="s">
        <v>263</v>
      </c>
      <c r="F10" s="85" t="s">
        <v>333</v>
      </c>
      <c r="G10"/>
      <c r="H10" t="s">
        <v>294</v>
      </c>
      <c r="I10" t="s">
        <v>195</v>
      </c>
      <c r="J10" t="s">
        <v>176</v>
      </c>
      <c r="K10" s="1">
        <v>16.52</v>
      </c>
      <c r="L10" s="1">
        <v>16.52</v>
      </c>
      <c r="M10" s="1">
        <v>16.52</v>
      </c>
      <c r="N10" s="1">
        <v>16.52</v>
      </c>
      <c r="O10" s="1">
        <v>1123.3599999999999</v>
      </c>
      <c r="P10" s="1">
        <v>826</v>
      </c>
      <c r="Q10" s="1">
        <v>826</v>
      </c>
      <c r="R10" s="1">
        <v>663.81</v>
      </c>
      <c r="S10" t="s">
        <v>12</v>
      </c>
      <c r="T10" s="13">
        <v>45935</v>
      </c>
      <c r="U10" s="1" t="str">
        <f>IF(ESTIMATIVA[[#This Row],[QT_AREA_REAL]]&gt;0,"1- Colhido","2- à Colher")</f>
        <v>1- Colhido</v>
      </c>
      <c r="V10" s="1" t="str">
        <f>IF(ESTIMATIVA[[#This Row],[QT_AREA_REST1]]&gt;0,"Reestimativa 1",IF(ESTIMATIVA[[#This Row],[QT_AREA_REAL]]=0,"Reestimativa 1","Realizado"))</f>
        <v>Reestimativa 1</v>
      </c>
      <c r="W10" s="1" t="str">
        <f>IF(ESTIMATIVA[[#This Row],[QT_AREA_REST2]]&gt;0,"Reestimativa 2",IF(ESTIMATIVA[[#This Row],[QT_AREA_REAL]]=0,"Reestimativa 2","Realizado"))</f>
        <v>Reestimativa 2</v>
      </c>
      <c r="X10" s="1">
        <f>ESTIMATIVA[[#This Row],[QT_AREA_EST]]</f>
        <v>16.52</v>
      </c>
      <c r="Y10" s="1">
        <f>IF(ESTIMATIVA[[#This Row],[QT_AREA_REST1]]&gt;0,ESTIMATIVA[[#This Row],[QT_AREA_REST1]],
  IF(ESTIMATIVA[[#This Row],[QT_AREA_REAL]]&gt;0,ESTIMATIVA[[#This Row],[QT_AREA_REAL]],ESTIMATIVA[[#This Row],[QT_AREA_EST]]))</f>
        <v>16.52</v>
      </c>
      <c r="Z1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16.52</v>
      </c>
      <c r="AA10" s="1">
        <f>ESTIMATIVA[[#This Row],[QT_CANA_EST]]</f>
        <v>1123.3599999999999</v>
      </c>
      <c r="AB10" s="1">
        <f>IF(ESTIMATIVA[[#This Row],[QT_CANA_REST1]]&gt;0,ESTIMATIVA[[#This Row],[QT_CANA_REST1]],
  IF(ESTIMATIVA[[#This Row],[QT_CANA_REAL]]&gt;0,ESTIMATIVA[[#This Row],[QT_CANA_REAL]],ESTIMATIVA[[#This Row],[QT_CANA_EST]]))</f>
        <v>826</v>
      </c>
      <c r="AC1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826</v>
      </c>
      <c r="AD10" s="1">
        <f>IF(ESTIMATIVA[[#This Row],[QT_AREA_REAL]]&gt;0,ESTIMATIVA[[#This Row],[QT_CANA_REAL]],ESTIMATIVA[[#This Row],[QT_CANA_EST]])</f>
        <v>663.81</v>
      </c>
      <c r="AE10" s="1">
        <f>IF(ESTIMATIVA[[#This Row],[QT_AREA_REAL]]&gt;0,ESTIMATIVA[[#This Row],[QT_CANA_REAL]],ESTIMATIVA[[#This Row],[QT_CANA_REST1]])</f>
        <v>663.81</v>
      </c>
      <c r="AF10" s="1">
        <f>IF(ESTIMATIVA[[#This Row],[QT_AREA_REAL]]&gt;0,ESTIMATIVA[[#This Row],[QT_CANA_REAL]],ESTIMATIVA[[#This Row],[QT_CANA_REST2]])</f>
        <v>663.81</v>
      </c>
      <c r="AG10" s="1" t="str">
        <f>IF(COUNTIFS(GEADA!A:A,VALUE(ESTIMATIVA[[#This Row],[CD_UPNIVEL1]]&amp;TEXT(ESTIMATIVA[[#This Row],[CD_UPNIVEL3]],"0000")))&gt;0,"S","N")</f>
        <v>S</v>
      </c>
      <c r="AH1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" s="55" t="str">
        <f>IF(ESTIMATIVA[[#This Row],[TP_CULTIVO]]="Irrigado",_xlfn.MAXIFS(IRRIGADO!J:J,IRRIGADO!C:C,ESTIMATIVA[[#This Row],[CD_UPNIVEL1]],IRRIGADO!E:E,ESTIMATIVA[[#This Row],[CD_UPNIVEL3]]),"")</f>
        <v/>
      </c>
      <c r="AJ1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" s="1">
        <f>COUNTIFS(Apresentação!$E$23:$E$29,ESTIMATIVA[[#This Row],[CD_UPNIVEL1]])</f>
        <v>0</v>
      </c>
    </row>
    <row r="11" spans="1:37" x14ac:dyDescent="0.3">
      <c r="A11">
        <v>10310</v>
      </c>
      <c r="B11" t="s">
        <v>11</v>
      </c>
      <c r="C11">
        <v>5</v>
      </c>
      <c r="D11">
        <v>3</v>
      </c>
      <c r="E11" t="s">
        <v>263</v>
      </c>
      <c r="F11" s="85" t="s">
        <v>331</v>
      </c>
      <c r="G11"/>
      <c r="H11" t="s">
        <v>294</v>
      </c>
      <c r="I11" t="s">
        <v>195</v>
      </c>
      <c r="J11" t="s">
        <v>176</v>
      </c>
      <c r="K11" s="1">
        <v>21.01</v>
      </c>
      <c r="L11" s="1">
        <v>21.01</v>
      </c>
      <c r="M11" s="1">
        <v>21.01</v>
      </c>
      <c r="N11" s="1">
        <v>21.01</v>
      </c>
      <c r="O11" s="1">
        <v>1428.68</v>
      </c>
      <c r="P11" s="1">
        <v>1050.5</v>
      </c>
      <c r="Q11" s="1">
        <v>1050.5</v>
      </c>
      <c r="R11" s="1">
        <v>844.66</v>
      </c>
      <c r="S11" t="s">
        <v>12</v>
      </c>
      <c r="T11" s="13">
        <v>45935</v>
      </c>
      <c r="U11" s="1" t="str">
        <f>IF(ESTIMATIVA[[#This Row],[QT_AREA_REAL]]&gt;0,"1- Colhido","2- à Colher")</f>
        <v>1- Colhido</v>
      </c>
      <c r="V11" s="1" t="str">
        <f>IF(ESTIMATIVA[[#This Row],[QT_AREA_REST1]]&gt;0,"Reestimativa 1",IF(ESTIMATIVA[[#This Row],[QT_AREA_REAL]]=0,"Reestimativa 1","Realizado"))</f>
        <v>Reestimativa 1</v>
      </c>
      <c r="W11" s="1" t="str">
        <f>IF(ESTIMATIVA[[#This Row],[QT_AREA_REST2]]&gt;0,"Reestimativa 2",IF(ESTIMATIVA[[#This Row],[QT_AREA_REAL]]=0,"Reestimativa 2","Realizado"))</f>
        <v>Reestimativa 2</v>
      </c>
      <c r="X11" s="1">
        <f>ESTIMATIVA[[#This Row],[QT_AREA_EST]]</f>
        <v>21.01</v>
      </c>
      <c r="Y11" s="1">
        <f>IF(ESTIMATIVA[[#This Row],[QT_AREA_REST1]]&gt;0,ESTIMATIVA[[#This Row],[QT_AREA_REST1]],
  IF(ESTIMATIVA[[#This Row],[QT_AREA_REAL]]&gt;0,ESTIMATIVA[[#This Row],[QT_AREA_REAL]],ESTIMATIVA[[#This Row],[QT_AREA_EST]]))</f>
        <v>21.01</v>
      </c>
      <c r="Z1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21.01</v>
      </c>
      <c r="AA11" s="1">
        <f>ESTIMATIVA[[#This Row],[QT_CANA_EST]]</f>
        <v>1428.68</v>
      </c>
      <c r="AB11" s="1">
        <f>IF(ESTIMATIVA[[#This Row],[QT_CANA_REST1]]&gt;0,ESTIMATIVA[[#This Row],[QT_CANA_REST1]],
  IF(ESTIMATIVA[[#This Row],[QT_CANA_REAL]]&gt;0,ESTIMATIVA[[#This Row],[QT_CANA_REAL]],ESTIMATIVA[[#This Row],[QT_CANA_EST]]))</f>
        <v>1050.5</v>
      </c>
      <c r="AC1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1050.5</v>
      </c>
      <c r="AD11" s="1">
        <f>IF(ESTIMATIVA[[#This Row],[QT_AREA_REAL]]&gt;0,ESTIMATIVA[[#This Row],[QT_CANA_REAL]],ESTIMATIVA[[#This Row],[QT_CANA_EST]])</f>
        <v>844.66</v>
      </c>
      <c r="AE11" s="1">
        <f>IF(ESTIMATIVA[[#This Row],[QT_AREA_REAL]]&gt;0,ESTIMATIVA[[#This Row],[QT_CANA_REAL]],ESTIMATIVA[[#This Row],[QT_CANA_REST1]])</f>
        <v>844.66</v>
      </c>
      <c r="AF11" s="1">
        <f>IF(ESTIMATIVA[[#This Row],[QT_AREA_REAL]]&gt;0,ESTIMATIVA[[#This Row],[QT_CANA_REAL]],ESTIMATIVA[[#This Row],[QT_CANA_REST2]])</f>
        <v>844.66</v>
      </c>
      <c r="AG11" s="1" t="str">
        <f>IF(COUNTIFS(GEADA!A:A,VALUE(ESTIMATIVA[[#This Row],[CD_UPNIVEL1]]&amp;TEXT(ESTIMATIVA[[#This Row],[CD_UPNIVEL3]],"0000")))&gt;0,"S","N")</f>
        <v>S</v>
      </c>
      <c r="AH1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" s="55" t="str">
        <f>IF(ESTIMATIVA[[#This Row],[TP_CULTIVO]]="Irrigado",_xlfn.MAXIFS(IRRIGADO!J:J,IRRIGADO!C:C,ESTIMATIVA[[#This Row],[CD_UPNIVEL1]],IRRIGADO!E:E,ESTIMATIVA[[#This Row],[CD_UPNIVEL3]]),"")</f>
        <v/>
      </c>
      <c r="AJ1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" s="1">
        <f>COUNTIFS(Apresentação!$E$23:$E$29,ESTIMATIVA[[#This Row],[CD_UPNIVEL1]])</f>
        <v>0</v>
      </c>
    </row>
    <row r="12" spans="1:37" x14ac:dyDescent="0.3">
      <c r="A12">
        <v>10310</v>
      </c>
      <c r="B12" t="s">
        <v>11</v>
      </c>
      <c r="C12">
        <v>6</v>
      </c>
      <c r="D12">
        <v>3</v>
      </c>
      <c r="E12" t="s">
        <v>263</v>
      </c>
      <c r="F12" s="85" t="s">
        <v>331</v>
      </c>
      <c r="G12"/>
      <c r="H12" t="s">
        <v>294</v>
      </c>
      <c r="I12" t="s">
        <v>195</v>
      </c>
      <c r="J12" t="s">
        <v>176</v>
      </c>
      <c r="K12" s="1">
        <v>17.47</v>
      </c>
      <c r="L12" s="1">
        <v>17.47</v>
      </c>
      <c r="M12" s="1">
        <v>17.47</v>
      </c>
      <c r="N12" s="1">
        <v>17.47</v>
      </c>
      <c r="O12" s="1">
        <v>1187.96</v>
      </c>
      <c r="P12" s="1">
        <v>873.5</v>
      </c>
      <c r="Q12" s="1">
        <v>873.5</v>
      </c>
      <c r="R12" s="1">
        <v>702.39</v>
      </c>
      <c r="S12" t="s">
        <v>12</v>
      </c>
      <c r="T12" s="13">
        <v>45935</v>
      </c>
      <c r="U12" s="1" t="str">
        <f>IF(ESTIMATIVA[[#This Row],[QT_AREA_REAL]]&gt;0,"1- Colhido","2- à Colher")</f>
        <v>1- Colhido</v>
      </c>
      <c r="V12" s="1" t="str">
        <f>IF(ESTIMATIVA[[#This Row],[QT_AREA_REST1]]&gt;0,"Reestimativa 1",IF(ESTIMATIVA[[#This Row],[QT_AREA_REAL]]=0,"Reestimativa 1","Realizado"))</f>
        <v>Reestimativa 1</v>
      </c>
      <c r="W12" s="1" t="str">
        <f>IF(ESTIMATIVA[[#This Row],[QT_AREA_REST2]]&gt;0,"Reestimativa 2",IF(ESTIMATIVA[[#This Row],[QT_AREA_REAL]]=0,"Reestimativa 2","Realizado"))</f>
        <v>Reestimativa 2</v>
      </c>
      <c r="X12" s="1">
        <f>ESTIMATIVA[[#This Row],[QT_AREA_EST]]</f>
        <v>17.47</v>
      </c>
      <c r="Y12" s="1">
        <f>IF(ESTIMATIVA[[#This Row],[QT_AREA_REST1]]&gt;0,ESTIMATIVA[[#This Row],[QT_AREA_REST1]],
  IF(ESTIMATIVA[[#This Row],[QT_AREA_REAL]]&gt;0,ESTIMATIVA[[#This Row],[QT_AREA_REAL]],ESTIMATIVA[[#This Row],[QT_AREA_EST]]))</f>
        <v>17.47</v>
      </c>
      <c r="Z1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17.47</v>
      </c>
      <c r="AA12" s="1">
        <f>ESTIMATIVA[[#This Row],[QT_CANA_EST]]</f>
        <v>1187.96</v>
      </c>
      <c r="AB12" s="1">
        <f>IF(ESTIMATIVA[[#This Row],[QT_CANA_REST1]]&gt;0,ESTIMATIVA[[#This Row],[QT_CANA_REST1]],
  IF(ESTIMATIVA[[#This Row],[QT_CANA_REAL]]&gt;0,ESTIMATIVA[[#This Row],[QT_CANA_REAL]],ESTIMATIVA[[#This Row],[QT_CANA_EST]]))</f>
        <v>873.5</v>
      </c>
      <c r="AC1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873.5</v>
      </c>
      <c r="AD12" s="1">
        <f>IF(ESTIMATIVA[[#This Row],[QT_AREA_REAL]]&gt;0,ESTIMATIVA[[#This Row],[QT_CANA_REAL]],ESTIMATIVA[[#This Row],[QT_CANA_EST]])</f>
        <v>702.39</v>
      </c>
      <c r="AE12" s="1">
        <f>IF(ESTIMATIVA[[#This Row],[QT_AREA_REAL]]&gt;0,ESTIMATIVA[[#This Row],[QT_CANA_REAL]],ESTIMATIVA[[#This Row],[QT_CANA_REST1]])</f>
        <v>702.39</v>
      </c>
      <c r="AF12" s="1">
        <f>IF(ESTIMATIVA[[#This Row],[QT_AREA_REAL]]&gt;0,ESTIMATIVA[[#This Row],[QT_CANA_REAL]],ESTIMATIVA[[#This Row],[QT_CANA_REST2]])</f>
        <v>702.39</v>
      </c>
      <c r="AG12" s="1" t="str">
        <f>IF(COUNTIFS(GEADA!A:A,VALUE(ESTIMATIVA[[#This Row],[CD_UPNIVEL1]]&amp;TEXT(ESTIMATIVA[[#This Row],[CD_UPNIVEL3]],"0000")))&gt;0,"S","N")</f>
        <v>S</v>
      </c>
      <c r="AH1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" s="55" t="str">
        <f>IF(ESTIMATIVA[[#This Row],[TP_CULTIVO]]="Irrigado",_xlfn.MAXIFS(IRRIGADO!J:J,IRRIGADO!C:C,ESTIMATIVA[[#This Row],[CD_UPNIVEL1]],IRRIGADO!E:E,ESTIMATIVA[[#This Row],[CD_UPNIVEL3]]),"")</f>
        <v/>
      </c>
      <c r="AJ1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" s="1">
        <f>COUNTIFS(Apresentação!$E$23:$E$29,ESTIMATIVA[[#This Row],[CD_UPNIVEL1]])</f>
        <v>0</v>
      </c>
    </row>
    <row r="13" spans="1:37" x14ac:dyDescent="0.3">
      <c r="A13">
        <v>10310</v>
      </c>
      <c r="B13" t="s">
        <v>11</v>
      </c>
      <c r="C13">
        <v>7</v>
      </c>
      <c r="D13">
        <v>3</v>
      </c>
      <c r="E13" t="s">
        <v>263</v>
      </c>
      <c r="F13" s="85" t="s">
        <v>331</v>
      </c>
      <c r="G13"/>
      <c r="H13" t="s">
        <v>294</v>
      </c>
      <c r="I13" t="s">
        <v>195</v>
      </c>
      <c r="J13" t="s">
        <v>176</v>
      </c>
      <c r="K13" s="1">
        <v>19.11</v>
      </c>
      <c r="L13" s="1">
        <v>19.11</v>
      </c>
      <c r="M13" s="1">
        <v>19.11</v>
      </c>
      <c r="N13" s="1">
        <v>19.11</v>
      </c>
      <c r="O13" s="1">
        <v>1299.48</v>
      </c>
      <c r="P13" s="1">
        <v>955.5</v>
      </c>
      <c r="Q13" s="1">
        <v>955.5</v>
      </c>
      <c r="R13" s="1">
        <v>768.8</v>
      </c>
      <c r="S13" t="s">
        <v>12</v>
      </c>
      <c r="T13" s="13">
        <v>45935</v>
      </c>
      <c r="U13" s="1" t="str">
        <f>IF(ESTIMATIVA[[#This Row],[QT_AREA_REAL]]&gt;0,"1- Colhido","2- à Colher")</f>
        <v>1- Colhido</v>
      </c>
      <c r="V13" s="1" t="str">
        <f>IF(ESTIMATIVA[[#This Row],[QT_AREA_REST1]]&gt;0,"Reestimativa 1",IF(ESTIMATIVA[[#This Row],[QT_AREA_REAL]]=0,"Reestimativa 1","Realizado"))</f>
        <v>Reestimativa 1</v>
      </c>
      <c r="W13" s="1" t="str">
        <f>IF(ESTIMATIVA[[#This Row],[QT_AREA_REST2]]&gt;0,"Reestimativa 2",IF(ESTIMATIVA[[#This Row],[QT_AREA_REAL]]=0,"Reestimativa 2","Realizado"))</f>
        <v>Reestimativa 2</v>
      </c>
      <c r="X13" s="1">
        <f>ESTIMATIVA[[#This Row],[QT_AREA_EST]]</f>
        <v>19.11</v>
      </c>
      <c r="Y13" s="1">
        <f>IF(ESTIMATIVA[[#This Row],[QT_AREA_REST1]]&gt;0,ESTIMATIVA[[#This Row],[QT_AREA_REST1]],
  IF(ESTIMATIVA[[#This Row],[QT_AREA_REAL]]&gt;0,ESTIMATIVA[[#This Row],[QT_AREA_REAL]],ESTIMATIVA[[#This Row],[QT_AREA_EST]]))</f>
        <v>19.11</v>
      </c>
      <c r="Z1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19.11</v>
      </c>
      <c r="AA13" s="1">
        <f>ESTIMATIVA[[#This Row],[QT_CANA_EST]]</f>
        <v>1299.48</v>
      </c>
      <c r="AB13" s="1">
        <f>IF(ESTIMATIVA[[#This Row],[QT_CANA_REST1]]&gt;0,ESTIMATIVA[[#This Row],[QT_CANA_REST1]],
  IF(ESTIMATIVA[[#This Row],[QT_CANA_REAL]]&gt;0,ESTIMATIVA[[#This Row],[QT_CANA_REAL]],ESTIMATIVA[[#This Row],[QT_CANA_EST]]))</f>
        <v>955.5</v>
      </c>
      <c r="AC1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955.5</v>
      </c>
      <c r="AD13" s="1">
        <f>IF(ESTIMATIVA[[#This Row],[QT_AREA_REAL]]&gt;0,ESTIMATIVA[[#This Row],[QT_CANA_REAL]],ESTIMATIVA[[#This Row],[QT_CANA_EST]])</f>
        <v>768.8</v>
      </c>
      <c r="AE13" s="1">
        <f>IF(ESTIMATIVA[[#This Row],[QT_AREA_REAL]]&gt;0,ESTIMATIVA[[#This Row],[QT_CANA_REAL]],ESTIMATIVA[[#This Row],[QT_CANA_REST1]])</f>
        <v>768.8</v>
      </c>
      <c r="AF13" s="1">
        <f>IF(ESTIMATIVA[[#This Row],[QT_AREA_REAL]]&gt;0,ESTIMATIVA[[#This Row],[QT_CANA_REAL]],ESTIMATIVA[[#This Row],[QT_CANA_REST2]])</f>
        <v>768.8</v>
      </c>
      <c r="AG13" s="1" t="str">
        <f>IF(COUNTIFS(GEADA!A:A,VALUE(ESTIMATIVA[[#This Row],[CD_UPNIVEL1]]&amp;TEXT(ESTIMATIVA[[#This Row],[CD_UPNIVEL3]],"0000")))&gt;0,"S","N")</f>
        <v>S</v>
      </c>
      <c r="AH1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" s="55" t="str">
        <f>IF(ESTIMATIVA[[#This Row],[TP_CULTIVO]]="Irrigado",_xlfn.MAXIFS(IRRIGADO!J:J,IRRIGADO!C:C,ESTIMATIVA[[#This Row],[CD_UPNIVEL1]],IRRIGADO!E:E,ESTIMATIVA[[#This Row],[CD_UPNIVEL3]]),"")</f>
        <v/>
      </c>
      <c r="AJ1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" s="1">
        <f>COUNTIFS(Apresentação!$E$23:$E$29,ESTIMATIVA[[#This Row],[CD_UPNIVEL1]])</f>
        <v>0</v>
      </c>
    </row>
    <row r="14" spans="1:37" x14ac:dyDescent="0.3">
      <c r="A14">
        <v>10310</v>
      </c>
      <c r="B14" t="s">
        <v>11</v>
      </c>
      <c r="C14">
        <v>21</v>
      </c>
      <c r="D14">
        <v>1</v>
      </c>
      <c r="E14" t="s">
        <v>264</v>
      </c>
      <c r="F14" s="85" t="s">
        <v>332</v>
      </c>
      <c r="G14"/>
      <c r="H14" t="s">
        <v>294</v>
      </c>
      <c r="I14" t="s">
        <v>196</v>
      </c>
      <c r="J14" t="s">
        <v>176</v>
      </c>
      <c r="K14" s="1">
        <v>20.059999999999999</v>
      </c>
      <c r="L14" s="1">
        <v>0</v>
      </c>
      <c r="M14" s="1">
        <v>0</v>
      </c>
      <c r="N14" s="1">
        <v>20.059999999999999</v>
      </c>
      <c r="O14" s="1">
        <v>1845.52</v>
      </c>
      <c r="P14" s="1">
        <v>0</v>
      </c>
      <c r="Q14" s="1">
        <v>0</v>
      </c>
      <c r="R14" s="1">
        <v>2340.46</v>
      </c>
      <c r="S14" t="s">
        <v>12</v>
      </c>
      <c r="T14" s="13">
        <v>45774</v>
      </c>
      <c r="U14" s="1" t="str">
        <f>IF(ESTIMATIVA[[#This Row],[QT_AREA_REAL]]&gt;0,"1- Colhido","2- à Colher")</f>
        <v>1- Colhido</v>
      </c>
      <c r="V14" s="1" t="str">
        <f>IF(ESTIMATIVA[[#This Row],[QT_AREA_REST1]]&gt;0,"Reestimativa 1",IF(ESTIMATIVA[[#This Row],[QT_AREA_REAL]]=0,"Reestimativa 1","Realizado"))</f>
        <v>Realizado</v>
      </c>
      <c r="W14" s="1" t="str">
        <f>IF(ESTIMATIVA[[#This Row],[QT_AREA_REST2]]&gt;0,"Reestimativa 2",IF(ESTIMATIVA[[#This Row],[QT_AREA_REAL]]=0,"Reestimativa 2","Realizado"))</f>
        <v>Realizado</v>
      </c>
      <c r="X14" s="1">
        <f>ESTIMATIVA[[#This Row],[QT_AREA_EST]]</f>
        <v>20.059999999999999</v>
      </c>
      <c r="Y14" s="1">
        <f>IF(ESTIMATIVA[[#This Row],[QT_AREA_REST1]]&gt;0,ESTIMATIVA[[#This Row],[QT_AREA_REST1]],
  IF(ESTIMATIVA[[#This Row],[QT_AREA_REAL]]&gt;0,ESTIMATIVA[[#This Row],[QT_AREA_REAL]],ESTIMATIVA[[#This Row],[QT_AREA_EST]]))</f>
        <v>20.059999999999999</v>
      </c>
      <c r="Z1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20.059999999999999</v>
      </c>
      <c r="AA14" s="1">
        <f>ESTIMATIVA[[#This Row],[QT_CANA_EST]]</f>
        <v>1845.52</v>
      </c>
      <c r="AB14" s="1">
        <f>IF(ESTIMATIVA[[#This Row],[QT_CANA_REST1]]&gt;0,ESTIMATIVA[[#This Row],[QT_CANA_REST1]],
  IF(ESTIMATIVA[[#This Row],[QT_CANA_REAL]]&gt;0,ESTIMATIVA[[#This Row],[QT_CANA_REAL]],ESTIMATIVA[[#This Row],[QT_CANA_EST]]))</f>
        <v>2340.46</v>
      </c>
      <c r="AC1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2340.46</v>
      </c>
      <c r="AD14" s="1">
        <f>IF(ESTIMATIVA[[#This Row],[QT_AREA_REAL]]&gt;0,ESTIMATIVA[[#This Row],[QT_CANA_REAL]],ESTIMATIVA[[#This Row],[QT_CANA_EST]])</f>
        <v>2340.46</v>
      </c>
      <c r="AE14" s="1">
        <f>IF(ESTIMATIVA[[#This Row],[QT_AREA_REAL]]&gt;0,ESTIMATIVA[[#This Row],[QT_CANA_REAL]],ESTIMATIVA[[#This Row],[QT_CANA_REST1]])</f>
        <v>2340.46</v>
      </c>
      <c r="AF14" s="1">
        <f>IF(ESTIMATIVA[[#This Row],[QT_AREA_REAL]]&gt;0,ESTIMATIVA[[#This Row],[QT_CANA_REAL]],ESTIMATIVA[[#This Row],[QT_CANA_REST2]])</f>
        <v>2340.46</v>
      </c>
      <c r="AG14" s="1" t="str">
        <f>IF(COUNTIFS(GEADA!A:A,VALUE(ESTIMATIVA[[#This Row],[CD_UPNIVEL1]]&amp;TEXT(ESTIMATIVA[[#This Row],[CD_UPNIVEL3]],"0000")))&gt;0,"S","N")</f>
        <v>N</v>
      </c>
      <c r="AH1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4" s="55" t="str">
        <f>IF(ESTIMATIVA[[#This Row],[TP_CULTIVO]]="Irrigado",_xlfn.MAXIFS(IRRIGADO!J:J,IRRIGADO!C:C,ESTIMATIVA[[#This Row],[CD_UPNIVEL1]],IRRIGADO!E:E,ESTIMATIVA[[#This Row],[CD_UPNIVEL3]]),"")</f>
        <v/>
      </c>
      <c r="AJ1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" s="1">
        <f>COUNTIFS(Apresentação!$E$23:$E$29,ESTIMATIVA[[#This Row],[CD_UPNIVEL1]])</f>
        <v>0</v>
      </c>
    </row>
    <row r="15" spans="1:37" x14ac:dyDescent="0.3">
      <c r="A15">
        <v>10310</v>
      </c>
      <c r="B15" t="s">
        <v>11</v>
      </c>
      <c r="C15">
        <v>22</v>
      </c>
      <c r="D15">
        <v>1</v>
      </c>
      <c r="E15" t="s">
        <v>264</v>
      </c>
      <c r="F15" s="85" t="s">
        <v>332</v>
      </c>
      <c r="G15"/>
      <c r="H15" t="s">
        <v>294</v>
      </c>
      <c r="I15" t="s">
        <v>196</v>
      </c>
      <c r="J15" t="s">
        <v>176</v>
      </c>
      <c r="K15" s="1">
        <v>7.68</v>
      </c>
      <c r="L15" s="1">
        <v>0</v>
      </c>
      <c r="M15" s="1">
        <v>0</v>
      </c>
      <c r="N15" s="1">
        <v>7.68</v>
      </c>
      <c r="O15" s="1">
        <v>706.56</v>
      </c>
      <c r="P15" s="1">
        <v>0</v>
      </c>
      <c r="Q15" s="1">
        <v>0</v>
      </c>
      <c r="R15" s="1">
        <v>677.74</v>
      </c>
      <c r="S15" t="s">
        <v>12</v>
      </c>
      <c r="T15" s="13">
        <v>45795</v>
      </c>
      <c r="U15" s="1" t="str">
        <f>IF(ESTIMATIVA[[#This Row],[QT_AREA_REAL]]&gt;0,"1- Colhido","2- à Colher")</f>
        <v>1- Colhido</v>
      </c>
      <c r="V15" s="1" t="str">
        <f>IF(ESTIMATIVA[[#This Row],[QT_AREA_REST1]]&gt;0,"Reestimativa 1",IF(ESTIMATIVA[[#This Row],[QT_AREA_REAL]]=0,"Reestimativa 1","Realizado"))</f>
        <v>Realizado</v>
      </c>
      <c r="W15" s="1" t="str">
        <f>IF(ESTIMATIVA[[#This Row],[QT_AREA_REST2]]&gt;0,"Reestimativa 2",IF(ESTIMATIVA[[#This Row],[QT_AREA_REAL]]=0,"Reestimativa 2","Realizado"))</f>
        <v>Realizado</v>
      </c>
      <c r="X15" s="1">
        <f>ESTIMATIVA[[#This Row],[QT_AREA_EST]]</f>
        <v>7.68</v>
      </c>
      <c r="Y15" s="1">
        <f>IF(ESTIMATIVA[[#This Row],[QT_AREA_REST1]]&gt;0,ESTIMATIVA[[#This Row],[QT_AREA_REST1]],
  IF(ESTIMATIVA[[#This Row],[QT_AREA_REAL]]&gt;0,ESTIMATIVA[[#This Row],[QT_AREA_REAL]],ESTIMATIVA[[#This Row],[QT_AREA_EST]]))</f>
        <v>7.68</v>
      </c>
      <c r="Z1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7.68</v>
      </c>
      <c r="AA15" s="1">
        <f>ESTIMATIVA[[#This Row],[QT_CANA_EST]]</f>
        <v>706.56</v>
      </c>
      <c r="AB15" s="1">
        <f>IF(ESTIMATIVA[[#This Row],[QT_CANA_REST1]]&gt;0,ESTIMATIVA[[#This Row],[QT_CANA_REST1]],
  IF(ESTIMATIVA[[#This Row],[QT_CANA_REAL]]&gt;0,ESTIMATIVA[[#This Row],[QT_CANA_REAL]],ESTIMATIVA[[#This Row],[QT_CANA_EST]]))</f>
        <v>677.74</v>
      </c>
      <c r="AC1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677.74</v>
      </c>
      <c r="AD15" s="1">
        <f>IF(ESTIMATIVA[[#This Row],[QT_AREA_REAL]]&gt;0,ESTIMATIVA[[#This Row],[QT_CANA_REAL]],ESTIMATIVA[[#This Row],[QT_CANA_EST]])</f>
        <v>677.74</v>
      </c>
      <c r="AE15" s="1">
        <f>IF(ESTIMATIVA[[#This Row],[QT_AREA_REAL]]&gt;0,ESTIMATIVA[[#This Row],[QT_CANA_REAL]],ESTIMATIVA[[#This Row],[QT_CANA_REST1]])</f>
        <v>677.74</v>
      </c>
      <c r="AF15" s="1">
        <f>IF(ESTIMATIVA[[#This Row],[QT_AREA_REAL]]&gt;0,ESTIMATIVA[[#This Row],[QT_CANA_REAL]],ESTIMATIVA[[#This Row],[QT_CANA_REST2]])</f>
        <v>677.74</v>
      </c>
      <c r="AG15" s="1" t="str">
        <f>IF(COUNTIFS(GEADA!A:A,VALUE(ESTIMATIVA[[#This Row],[CD_UPNIVEL1]]&amp;TEXT(ESTIMATIVA[[#This Row],[CD_UPNIVEL3]],"0000")))&gt;0,"S","N")</f>
        <v>N</v>
      </c>
      <c r="AH1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" s="55" t="str">
        <f>IF(ESTIMATIVA[[#This Row],[TP_CULTIVO]]="Irrigado",_xlfn.MAXIFS(IRRIGADO!J:J,IRRIGADO!C:C,ESTIMATIVA[[#This Row],[CD_UPNIVEL1]],IRRIGADO!E:E,ESTIMATIVA[[#This Row],[CD_UPNIVEL3]]),"")</f>
        <v/>
      </c>
      <c r="AJ1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" s="1">
        <f>COUNTIFS(Apresentação!$E$23:$E$29,ESTIMATIVA[[#This Row],[CD_UPNIVEL1]])</f>
        <v>0</v>
      </c>
    </row>
    <row r="16" spans="1:37" x14ac:dyDescent="0.3">
      <c r="A16">
        <v>10310</v>
      </c>
      <c r="B16" t="s">
        <v>11</v>
      </c>
      <c r="C16">
        <v>23</v>
      </c>
      <c r="D16">
        <v>1</v>
      </c>
      <c r="E16" t="s">
        <v>264</v>
      </c>
      <c r="F16" s="85" t="s">
        <v>333</v>
      </c>
      <c r="G16"/>
      <c r="H16" t="s">
        <v>294</v>
      </c>
      <c r="I16" t="s">
        <v>196</v>
      </c>
      <c r="J16" t="s">
        <v>176</v>
      </c>
      <c r="K16" s="1">
        <v>27.66</v>
      </c>
      <c r="L16" s="1">
        <v>0</v>
      </c>
      <c r="M16" s="1">
        <v>0</v>
      </c>
      <c r="N16" s="1">
        <v>27.66</v>
      </c>
      <c r="O16" s="1">
        <v>2544.7199999999998</v>
      </c>
      <c r="P16" s="1">
        <v>0</v>
      </c>
      <c r="Q16" s="1">
        <v>0</v>
      </c>
      <c r="R16" s="1">
        <v>2440.6999999999998</v>
      </c>
      <c r="S16" t="s">
        <v>12</v>
      </c>
      <c r="T16" s="13">
        <v>45795</v>
      </c>
      <c r="U16" s="1" t="str">
        <f>IF(ESTIMATIVA[[#This Row],[QT_AREA_REAL]]&gt;0,"1- Colhido","2- à Colher")</f>
        <v>1- Colhido</v>
      </c>
      <c r="V16" s="1" t="str">
        <f>IF(ESTIMATIVA[[#This Row],[QT_AREA_REST1]]&gt;0,"Reestimativa 1",IF(ESTIMATIVA[[#This Row],[QT_AREA_REAL]]=0,"Reestimativa 1","Realizado"))</f>
        <v>Realizado</v>
      </c>
      <c r="W16" s="1" t="str">
        <f>IF(ESTIMATIVA[[#This Row],[QT_AREA_REST2]]&gt;0,"Reestimativa 2",IF(ESTIMATIVA[[#This Row],[QT_AREA_REAL]]=0,"Reestimativa 2","Realizado"))</f>
        <v>Realizado</v>
      </c>
      <c r="X16" s="1">
        <f>ESTIMATIVA[[#This Row],[QT_AREA_EST]]</f>
        <v>27.66</v>
      </c>
      <c r="Y16" s="1">
        <f>IF(ESTIMATIVA[[#This Row],[QT_AREA_REST1]]&gt;0,ESTIMATIVA[[#This Row],[QT_AREA_REST1]],
  IF(ESTIMATIVA[[#This Row],[QT_AREA_REAL]]&gt;0,ESTIMATIVA[[#This Row],[QT_AREA_REAL]],ESTIMATIVA[[#This Row],[QT_AREA_EST]]))</f>
        <v>27.66</v>
      </c>
      <c r="Z1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27.66</v>
      </c>
      <c r="AA16" s="1">
        <f>ESTIMATIVA[[#This Row],[QT_CANA_EST]]</f>
        <v>2544.7199999999998</v>
      </c>
      <c r="AB16" s="1">
        <f>IF(ESTIMATIVA[[#This Row],[QT_CANA_REST1]]&gt;0,ESTIMATIVA[[#This Row],[QT_CANA_REST1]],
  IF(ESTIMATIVA[[#This Row],[QT_CANA_REAL]]&gt;0,ESTIMATIVA[[#This Row],[QT_CANA_REAL]],ESTIMATIVA[[#This Row],[QT_CANA_EST]]))</f>
        <v>2440.6999999999998</v>
      </c>
      <c r="AC1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2440.6999999999998</v>
      </c>
      <c r="AD16" s="1">
        <f>IF(ESTIMATIVA[[#This Row],[QT_AREA_REAL]]&gt;0,ESTIMATIVA[[#This Row],[QT_CANA_REAL]],ESTIMATIVA[[#This Row],[QT_CANA_EST]])</f>
        <v>2440.6999999999998</v>
      </c>
      <c r="AE16" s="1">
        <f>IF(ESTIMATIVA[[#This Row],[QT_AREA_REAL]]&gt;0,ESTIMATIVA[[#This Row],[QT_CANA_REAL]],ESTIMATIVA[[#This Row],[QT_CANA_REST1]])</f>
        <v>2440.6999999999998</v>
      </c>
      <c r="AF16" s="1">
        <f>IF(ESTIMATIVA[[#This Row],[QT_AREA_REAL]]&gt;0,ESTIMATIVA[[#This Row],[QT_CANA_REAL]],ESTIMATIVA[[#This Row],[QT_CANA_REST2]])</f>
        <v>2440.6999999999998</v>
      </c>
      <c r="AG16" s="1" t="str">
        <f>IF(COUNTIFS(GEADA!A:A,VALUE(ESTIMATIVA[[#This Row],[CD_UPNIVEL1]]&amp;TEXT(ESTIMATIVA[[#This Row],[CD_UPNIVEL3]],"0000")))&gt;0,"S","N")</f>
        <v>N</v>
      </c>
      <c r="AH1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" s="55" t="str">
        <f>IF(ESTIMATIVA[[#This Row],[TP_CULTIVO]]="Irrigado",_xlfn.MAXIFS(IRRIGADO!J:J,IRRIGADO!C:C,ESTIMATIVA[[#This Row],[CD_UPNIVEL1]],IRRIGADO!E:E,ESTIMATIVA[[#This Row],[CD_UPNIVEL3]]),"")</f>
        <v/>
      </c>
      <c r="AJ1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" s="1">
        <f>COUNTIFS(Apresentação!$E$23:$E$29,ESTIMATIVA[[#This Row],[CD_UPNIVEL1]])</f>
        <v>0</v>
      </c>
    </row>
    <row r="17" spans="1:37" x14ac:dyDescent="0.3">
      <c r="A17">
        <v>10310</v>
      </c>
      <c r="B17" t="s">
        <v>11</v>
      </c>
      <c r="C17">
        <v>24</v>
      </c>
      <c r="D17">
        <v>1</v>
      </c>
      <c r="E17" t="s">
        <v>264</v>
      </c>
      <c r="F17" s="85" t="s">
        <v>332</v>
      </c>
      <c r="G17"/>
      <c r="H17" t="s">
        <v>294</v>
      </c>
      <c r="I17" t="s">
        <v>196</v>
      </c>
      <c r="J17" t="s">
        <v>176</v>
      </c>
      <c r="K17" s="1">
        <v>36.520000000000003</v>
      </c>
      <c r="L17" s="1">
        <v>0</v>
      </c>
      <c r="M17" s="1">
        <v>0</v>
      </c>
      <c r="N17" s="1">
        <v>36.520000000000003</v>
      </c>
      <c r="O17" s="1">
        <v>3359.84</v>
      </c>
      <c r="P17" s="1">
        <v>0</v>
      </c>
      <c r="Q17" s="1">
        <v>0</v>
      </c>
      <c r="R17" s="1">
        <v>3222.67</v>
      </c>
      <c r="S17" t="s">
        <v>12</v>
      </c>
      <c r="T17" s="13">
        <v>45795</v>
      </c>
      <c r="U17" s="1" t="str">
        <f>IF(ESTIMATIVA[[#This Row],[QT_AREA_REAL]]&gt;0,"1- Colhido","2- à Colher")</f>
        <v>1- Colhido</v>
      </c>
      <c r="V17" s="1" t="str">
        <f>IF(ESTIMATIVA[[#This Row],[QT_AREA_REST1]]&gt;0,"Reestimativa 1",IF(ESTIMATIVA[[#This Row],[QT_AREA_REAL]]=0,"Reestimativa 1","Realizado"))</f>
        <v>Realizado</v>
      </c>
      <c r="W17" s="1" t="str">
        <f>IF(ESTIMATIVA[[#This Row],[QT_AREA_REST2]]&gt;0,"Reestimativa 2",IF(ESTIMATIVA[[#This Row],[QT_AREA_REAL]]=0,"Reestimativa 2","Realizado"))</f>
        <v>Realizado</v>
      </c>
      <c r="X17" s="1">
        <f>ESTIMATIVA[[#This Row],[QT_AREA_EST]]</f>
        <v>36.520000000000003</v>
      </c>
      <c r="Y17" s="1">
        <f>IF(ESTIMATIVA[[#This Row],[QT_AREA_REST1]]&gt;0,ESTIMATIVA[[#This Row],[QT_AREA_REST1]],
  IF(ESTIMATIVA[[#This Row],[QT_AREA_REAL]]&gt;0,ESTIMATIVA[[#This Row],[QT_AREA_REAL]],ESTIMATIVA[[#This Row],[QT_AREA_EST]]))</f>
        <v>36.520000000000003</v>
      </c>
      <c r="Z1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36.520000000000003</v>
      </c>
      <c r="AA17" s="1">
        <f>ESTIMATIVA[[#This Row],[QT_CANA_EST]]</f>
        <v>3359.84</v>
      </c>
      <c r="AB17" s="1">
        <f>IF(ESTIMATIVA[[#This Row],[QT_CANA_REST1]]&gt;0,ESTIMATIVA[[#This Row],[QT_CANA_REST1]],
  IF(ESTIMATIVA[[#This Row],[QT_CANA_REAL]]&gt;0,ESTIMATIVA[[#This Row],[QT_CANA_REAL]],ESTIMATIVA[[#This Row],[QT_CANA_EST]]))</f>
        <v>3222.67</v>
      </c>
      <c r="AC1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3222.67</v>
      </c>
      <c r="AD17" s="1">
        <f>IF(ESTIMATIVA[[#This Row],[QT_AREA_REAL]]&gt;0,ESTIMATIVA[[#This Row],[QT_CANA_REAL]],ESTIMATIVA[[#This Row],[QT_CANA_EST]])</f>
        <v>3222.67</v>
      </c>
      <c r="AE17" s="1">
        <f>IF(ESTIMATIVA[[#This Row],[QT_AREA_REAL]]&gt;0,ESTIMATIVA[[#This Row],[QT_CANA_REAL]],ESTIMATIVA[[#This Row],[QT_CANA_REST1]])</f>
        <v>3222.67</v>
      </c>
      <c r="AF17" s="1">
        <f>IF(ESTIMATIVA[[#This Row],[QT_AREA_REAL]]&gt;0,ESTIMATIVA[[#This Row],[QT_CANA_REAL]],ESTIMATIVA[[#This Row],[QT_CANA_REST2]])</f>
        <v>3222.67</v>
      </c>
      <c r="AG17" s="1" t="str">
        <f>IF(COUNTIFS(GEADA!A:A,VALUE(ESTIMATIVA[[#This Row],[CD_UPNIVEL1]]&amp;TEXT(ESTIMATIVA[[#This Row],[CD_UPNIVEL3]],"0000")))&gt;0,"S","N")</f>
        <v>N</v>
      </c>
      <c r="AH1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" s="55" t="str">
        <f>IF(ESTIMATIVA[[#This Row],[TP_CULTIVO]]="Irrigado",_xlfn.MAXIFS(IRRIGADO!J:J,IRRIGADO!C:C,ESTIMATIVA[[#This Row],[CD_UPNIVEL1]],IRRIGADO!E:E,ESTIMATIVA[[#This Row],[CD_UPNIVEL3]]),"")</f>
        <v/>
      </c>
      <c r="AJ1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" s="1">
        <f>COUNTIFS(Apresentação!$E$23:$E$29,ESTIMATIVA[[#This Row],[CD_UPNIVEL1]])</f>
        <v>0</v>
      </c>
    </row>
    <row r="18" spans="1:37" x14ac:dyDescent="0.3">
      <c r="A18">
        <v>10310</v>
      </c>
      <c r="B18" t="s">
        <v>11</v>
      </c>
      <c r="C18">
        <v>25</v>
      </c>
      <c r="D18">
        <v>1</v>
      </c>
      <c r="E18" t="s">
        <v>264</v>
      </c>
      <c r="F18" s="85" t="s">
        <v>331</v>
      </c>
      <c r="G18"/>
      <c r="H18" t="s">
        <v>294</v>
      </c>
      <c r="I18" t="s">
        <v>196</v>
      </c>
      <c r="J18" t="s">
        <v>176</v>
      </c>
      <c r="K18" s="1">
        <v>39.450000000000003</v>
      </c>
      <c r="L18" s="1">
        <v>0</v>
      </c>
      <c r="M18" s="1">
        <v>0</v>
      </c>
      <c r="N18" s="1">
        <v>39.450000000000003</v>
      </c>
      <c r="O18" s="1">
        <v>3629.4</v>
      </c>
      <c r="P18" s="1">
        <v>0</v>
      </c>
      <c r="Q18" s="1">
        <v>0</v>
      </c>
      <c r="R18" s="1">
        <v>3480.51</v>
      </c>
      <c r="S18" t="s">
        <v>12</v>
      </c>
      <c r="T18" s="13">
        <v>45795</v>
      </c>
      <c r="U18" s="1" t="str">
        <f>IF(ESTIMATIVA[[#This Row],[QT_AREA_REAL]]&gt;0,"1- Colhido","2- à Colher")</f>
        <v>1- Colhido</v>
      </c>
      <c r="V18" s="1" t="str">
        <f>IF(ESTIMATIVA[[#This Row],[QT_AREA_REST1]]&gt;0,"Reestimativa 1",IF(ESTIMATIVA[[#This Row],[QT_AREA_REAL]]=0,"Reestimativa 1","Realizado"))</f>
        <v>Realizado</v>
      </c>
      <c r="W18" s="1" t="str">
        <f>IF(ESTIMATIVA[[#This Row],[QT_AREA_REST2]]&gt;0,"Reestimativa 2",IF(ESTIMATIVA[[#This Row],[QT_AREA_REAL]]=0,"Reestimativa 2","Realizado"))</f>
        <v>Realizado</v>
      </c>
      <c r="X18" s="1">
        <f>ESTIMATIVA[[#This Row],[QT_AREA_EST]]</f>
        <v>39.450000000000003</v>
      </c>
      <c r="Y18" s="1">
        <f>IF(ESTIMATIVA[[#This Row],[QT_AREA_REST1]]&gt;0,ESTIMATIVA[[#This Row],[QT_AREA_REST1]],
  IF(ESTIMATIVA[[#This Row],[QT_AREA_REAL]]&gt;0,ESTIMATIVA[[#This Row],[QT_AREA_REAL]],ESTIMATIVA[[#This Row],[QT_AREA_EST]]))</f>
        <v>39.450000000000003</v>
      </c>
      <c r="Z1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39.450000000000003</v>
      </c>
      <c r="AA18" s="1">
        <f>ESTIMATIVA[[#This Row],[QT_CANA_EST]]</f>
        <v>3629.4</v>
      </c>
      <c r="AB18" s="1">
        <f>IF(ESTIMATIVA[[#This Row],[QT_CANA_REST1]]&gt;0,ESTIMATIVA[[#This Row],[QT_CANA_REST1]],
  IF(ESTIMATIVA[[#This Row],[QT_CANA_REAL]]&gt;0,ESTIMATIVA[[#This Row],[QT_CANA_REAL]],ESTIMATIVA[[#This Row],[QT_CANA_EST]]))</f>
        <v>3480.51</v>
      </c>
      <c r="AC1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3480.51</v>
      </c>
      <c r="AD18" s="1">
        <f>IF(ESTIMATIVA[[#This Row],[QT_AREA_REAL]]&gt;0,ESTIMATIVA[[#This Row],[QT_CANA_REAL]],ESTIMATIVA[[#This Row],[QT_CANA_EST]])</f>
        <v>3480.51</v>
      </c>
      <c r="AE18" s="1">
        <f>IF(ESTIMATIVA[[#This Row],[QT_AREA_REAL]]&gt;0,ESTIMATIVA[[#This Row],[QT_CANA_REAL]],ESTIMATIVA[[#This Row],[QT_CANA_REST1]])</f>
        <v>3480.51</v>
      </c>
      <c r="AF18" s="1">
        <f>IF(ESTIMATIVA[[#This Row],[QT_AREA_REAL]]&gt;0,ESTIMATIVA[[#This Row],[QT_CANA_REAL]],ESTIMATIVA[[#This Row],[QT_CANA_REST2]])</f>
        <v>3480.51</v>
      </c>
      <c r="AG18" s="1" t="str">
        <f>IF(COUNTIFS(GEADA!A:A,VALUE(ESTIMATIVA[[#This Row],[CD_UPNIVEL1]]&amp;TEXT(ESTIMATIVA[[#This Row],[CD_UPNIVEL3]],"0000")))&gt;0,"S","N")</f>
        <v>N</v>
      </c>
      <c r="AH1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" s="55" t="str">
        <f>IF(ESTIMATIVA[[#This Row],[TP_CULTIVO]]="Irrigado",_xlfn.MAXIFS(IRRIGADO!J:J,IRRIGADO!C:C,ESTIMATIVA[[#This Row],[CD_UPNIVEL1]],IRRIGADO!E:E,ESTIMATIVA[[#This Row],[CD_UPNIVEL3]]),"")</f>
        <v/>
      </c>
      <c r="AJ1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" s="1">
        <f>COUNTIFS(Apresentação!$E$23:$E$29,ESTIMATIVA[[#This Row],[CD_UPNIVEL1]])</f>
        <v>0</v>
      </c>
    </row>
    <row r="19" spans="1:37" x14ac:dyDescent="0.3">
      <c r="A19">
        <v>10310</v>
      </c>
      <c r="B19" t="s">
        <v>11</v>
      </c>
      <c r="C19">
        <v>26</v>
      </c>
      <c r="D19">
        <v>1</v>
      </c>
      <c r="E19" t="s">
        <v>264</v>
      </c>
      <c r="F19" s="85" t="s">
        <v>333</v>
      </c>
      <c r="G19"/>
      <c r="H19" t="s">
        <v>294</v>
      </c>
      <c r="I19" t="s">
        <v>196</v>
      </c>
      <c r="J19" t="s">
        <v>176</v>
      </c>
      <c r="K19" s="1">
        <v>38.630000000000003</v>
      </c>
      <c r="L19" s="1">
        <v>0</v>
      </c>
      <c r="M19" s="1">
        <v>0</v>
      </c>
      <c r="N19" s="1">
        <v>38.630000000000003</v>
      </c>
      <c r="O19" s="1">
        <v>3553.96</v>
      </c>
      <c r="P19" s="1">
        <v>0</v>
      </c>
      <c r="Q19" s="1">
        <v>0</v>
      </c>
      <c r="R19" s="1">
        <v>3409.61</v>
      </c>
      <c r="S19" t="s">
        <v>12</v>
      </c>
      <c r="T19" s="13">
        <v>45795</v>
      </c>
      <c r="U19" s="1" t="str">
        <f>IF(ESTIMATIVA[[#This Row],[QT_AREA_REAL]]&gt;0,"1- Colhido","2- à Colher")</f>
        <v>1- Colhido</v>
      </c>
      <c r="V19" s="1" t="str">
        <f>IF(ESTIMATIVA[[#This Row],[QT_AREA_REST1]]&gt;0,"Reestimativa 1",IF(ESTIMATIVA[[#This Row],[QT_AREA_REAL]]=0,"Reestimativa 1","Realizado"))</f>
        <v>Realizado</v>
      </c>
      <c r="W19" s="1" t="str">
        <f>IF(ESTIMATIVA[[#This Row],[QT_AREA_REST2]]&gt;0,"Reestimativa 2",IF(ESTIMATIVA[[#This Row],[QT_AREA_REAL]]=0,"Reestimativa 2","Realizado"))</f>
        <v>Realizado</v>
      </c>
      <c r="X19" s="1">
        <f>ESTIMATIVA[[#This Row],[QT_AREA_EST]]</f>
        <v>38.630000000000003</v>
      </c>
      <c r="Y19" s="1">
        <f>IF(ESTIMATIVA[[#This Row],[QT_AREA_REST1]]&gt;0,ESTIMATIVA[[#This Row],[QT_AREA_REST1]],
  IF(ESTIMATIVA[[#This Row],[QT_AREA_REAL]]&gt;0,ESTIMATIVA[[#This Row],[QT_AREA_REAL]],ESTIMATIVA[[#This Row],[QT_AREA_EST]]))</f>
        <v>38.630000000000003</v>
      </c>
      <c r="Z1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38.630000000000003</v>
      </c>
      <c r="AA19" s="1">
        <f>ESTIMATIVA[[#This Row],[QT_CANA_EST]]</f>
        <v>3553.96</v>
      </c>
      <c r="AB19" s="1">
        <f>IF(ESTIMATIVA[[#This Row],[QT_CANA_REST1]]&gt;0,ESTIMATIVA[[#This Row],[QT_CANA_REST1]],
  IF(ESTIMATIVA[[#This Row],[QT_CANA_REAL]]&gt;0,ESTIMATIVA[[#This Row],[QT_CANA_REAL]],ESTIMATIVA[[#This Row],[QT_CANA_EST]]))</f>
        <v>3409.61</v>
      </c>
      <c r="AC1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3409.61</v>
      </c>
      <c r="AD19" s="1">
        <f>IF(ESTIMATIVA[[#This Row],[QT_AREA_REAL]]&gt;0,ESTIMATIVA[[#This Row],[QT_CANA_REAL]],ESTIMATIVA[[#This Row],[QT_CANA_EST]])</f>
        <v>3409.61</v>
      </c>
      <c r="AE19" s="1">
        <f>IF(ESTIMATIVA[[#This Row],[QT_AREA_REAL]]&gt;0,ESTIMATIVA[[#This Row],[QT_CANA_REAL]],ESTIMATIVA[[#This Row],[QT_CANA_REST1]])</f>
        <v>3409.61</v>
      </c>
      <c r="AF19" s="1">
        <f>IF(ESTIMATIVA[[#This Row],[QT_AREA_REAL]]&gt;0,ESTIMATIVA[[#This Row],[QT_CANA_REAL]],ESTIMATIVA[[#This Row],[QT_CANA_REST2]])</f>
        <v>3409.61</v>
      </c>
      <c r="AG19" s="1" t="str">
        <f>IF(COUNTIFS(GEADA!A:A,VALUE(ESTIMATIVA[[#This Row],[CD_UPNIVEL1]]&amp;TEXT(ESTIMATIVA[[#This Row],[CD_UPNIVEL3]],"0000")))&gt;0,"S","N")</f>
        <v>N</v>
      </c>
      <c r="AH1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" s="55" t="str">
        <f>IF(ESTIMATIVA[[#This Row],[TP_CULTIVO]]="Irrigado",_xlfn.MAXIFS(IRRIGADO!J:J,IRRIGADO!C:C,ESTIMATIVA[[#This Row],[CD_UPNIVEL1]],IRRIGADO!E:E,ESTIMATIVA[[#This Row],[CD_UPNIVEL3]]),"")</f>
        <v/>
      </c>
      <c r="AJ1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" s="1">
        <f>COUNTIFS(Apresentação!$E$23:$E$29,ESTIMATIVA[[#This Row],[CD_UPNIVEL1]])</f>
        <v>0</v>
      </c>
    </row>
    <row r="20" spans="1:37" x14ac:dyDescent="0.3">
      <c r="A20">
        <v>10310</v>
      </c>
      <c r="B20" t="s">
        <v>11</v>
      </c>
      <c r="C20">
        <v>27</v>
      </c>
      <c r="D20">
        <v>1</v>
      </c>
      <c r="E20" t="s">
        <v>264</v>
      </c>
      <c r="F20" s="85" t="s">
        <v>333</v>
      </c>
      <c r="G20"/>
      <c r="H20" t="s">
        <v>294</v>
      </c>
      <c r="I20" t="s">
        <v>196</v>
      </c>
      <c r="J20" t="s">
        <v>176</v>
      </c>
      <c r="K20" s="1">
        <v>9.77</v>
      </c>
      <c r="L20" s="1">
        <v>0</v>
      </c>
      <c r="M20" s="1">
        <v>0</v>
      </c>
      <c r="N20" s="1">
        <v>9.77</v>
      </c>
      <c r="O20" s="1">
        <v>898.84</v>
      </c>
      <c r="P20" s="1">
        <v>0</v>
      </c>
      <c r="Q20" s="1">
        <v>0</v>
      </c>
      <c r="R20" s="1">
        <v>861.67</v>
      </c>
      <c r="S20" t="s">
        <v>12</v>
      </c>
      <c r="T20" s="13">
        <v>45795</v>
      </c>
      <c r="U20" s="1" t="str">
        <f>IF(ESTIMATIVA[[#This Row],[QT_AREA_REAL]]&gt;0,"1- Colhido","2- à Colher")</f>
        <v>1- Colhido</v>
      </c>
      <c r="V20" s="1" t="str">
        <f>IF(ESTIMATIVA[[#This Row],[QT_AREA_REST1]]&gt;0,"Reestimativa 1",IF(ESTIMATIVA[[#This Row],[QT_AREA_REAL]]=0,"Reestimativa 1","Realizado"))</f>
        <v>Realizado</v>
      </c>
      <c r="W20" s="1" t="str">
        <f>IF(ESTIMATIVA[[#This Row],[QT_AREA_REST2]]&gt;0,"Reestimativa 2",IF(ESTIMATIVA[[#This Row],[QT_AREA_REAL]]=0,"Reestimativa 2","Realizado"))</f>
        <v>Realizado</v>
      </c>
      <c r="X20" s="1">
        <f>ESTIMATIVA[[#This Row],[QT_AREA_EST]]</f>
        <v>9.77</v>
      </c>
      <c r="Y20" s="1">
        <f>IF(ESTIMATIVA[[#This Row],[QT_AREA_REST1]]&gt;0,ESTIMATIVA[[#This Row],[QT_AREA_REST1]],
  IF(ESTIMATIVA[[#This Row],[QT_AREA_REAL]]&gt;0,ESTIMATIVA[[#This Row],[QT_AREA_REAL]],ESTIMATIVA[[#This Row],[QT_AREA_EST]]))</f>
        <v>9.77</v>
      </c>
      <c r="Z2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9.77</v>
      </c>
      <c r="AA20" s="1">
        <f>ESTIMATIVA[[#This Row],[QT_CANA_EST]]</f>
        <v>898.84</v>
      </c>
      <c r="AB20" s="1">
        <f>IF(ESTIMATIVA[[#This Row],[QT_CANA_REST1]]&gt;0,ESTIMATIVA[[#This Row],[QT_CANA_REST1]],
  IF(ESTIMATIVA[[#This Row],[QT_CANA_REAL]]&gt;0,ESTIMATIVA[[#This Row],[QT_CANA_REAL]],ESTIMATIVA[[#This Row],[QT_CANA_EST]]))</f>
        <v>861.67</v>
      </c>
      <c r="AC2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861.67</v>
      </c>
      <c r="AD20" s="1">
        <f>IF(ESTIMATIVA[[#This Row],[QT_AREA_REAL]]&gt;0,ESTIMATIVA[[#This Row],[QT_CANA_REAL]],ESTIMATIVA[[#This Row],[QT_CANA_EST]])</f>
        <v>861.67</v>
      </c>
      <c r="AE20" s="1">
        <f>IF(ESTIMATIVA[[#This Row],[QT_AREA_REAL]]&gt;0,ESTIMATIVA[[#This Row],[QT_CANA_REAL]],ESTIMATIVA[[#This Row],[QT_CANA_REST1]])</f>
        <v>861.67</v>
      </c>
      <c r="AF20" s="1">
        <f>IF(ESTIMATIVA[[#This Row],[QT_AREA_REAL]]&gt;0,ESTIMATIVA[[#This Row],[QT_CANA_REAL]],ESTIMATIVA[[#This Row],[QT_CANA_REST2]])</f>
        <v>861.67</v>
      </c>
      <c r="AG20" s="1" t="str">
        <f>IF(COUNTIFS(GEADA!A:A,VALUE(ESTIMATIVA[[#This Row],[CD_UPNIVEL1]]&amp;TEXT(ESTIMATIVA[[#This Row],[CD_UPNIVEL3]],"0000")))&gt;0,"S","N")</f>
        <v>N</v>
      </c>
      <c r="AH2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" s="55" t="str">
        <f>IF(ESTIMATIVA[[#This Row],[TP_CULTIVO]]="Irrigado",_xlfn.MAXIFS(IRRIGADO!J:J,IRRIGADO!C:C,ESTIMATIVA[[#This Row],[CD_UPNIVEL1]],IRRIGADO!E:E,ESTIMATIVA[[#This Row],[CD_UPNIVEL3]]),"")</f>
        <v/>
      </c>
      <c r="AJ2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" s="1">
        <f>COUNTIFS(Apresentação!$E$23:$E$29,ESTIMATIVA[[#This Row],[CD_UPNIVEL1]])</f>
        <v>0</v>
      </c>
    </row>
    <row r="21" spans="1:37" x14ac:dyDescent="0.3">
      <c r="A21">
        <v>10310</v>
      </c>
      <c r="B21" t="s">
        <v>11</v>
      </c>
      <c r="C21">
        <v>28</v>
      </c>
      <c r="D21">
        <v>1</v>
      </c>
      <c r="E21" t="s">
        <v>264</v>
      </c>
      <c r="F21" s="85" t="s">
        <v>333</v>
      </c>
      <c r="G21"/>
      <c r="H21" t="s">
        <v>294</v>
      </c>
      <c r="I21" t="s">
        <v>196</v>
      </c>
      <c r="J21" t="s">
        <v>176</v>
      </c>
      <c r="K21" s="1">
        <v>24.97</v>
      </c>
      <c r="L21" s="1">
        <v>0</v>
      </c>
      <c r="M21" s="1">
        <v>0</v>
      </c>
      <c r="N21" s="1">
        <v>24.97</v>
      </c>
      <c r="O21" s="1">
        <v>2297.2399999999998</v>
      </c>
      <c r="P21" s="1">
        <v>0</v>
      </c>
      <c r="Q21" s="1">
        <v>0</v>
      </c>
      <c r="R21" s="1">
        <v>2203.7399999999998</v>
      </c>
      <c r="S21" t="s">
        <v>12</v>
      </c>
      <c r="T21" s="13">
        <v>45795</v>
      </c>
      <c r="U21" s="1" t="str">
        <f>IF(ESTIMATIVA[[#This Row],[QT_AREA_REAL]]&gt;0,"1- Colhido","2- à Colher")</f>
        <v>1- Colhido</v>
      </c>
      <c r="V21" s="1" t="str">
        <f>IF(ESTIMATIVA[[#This Row],[QT_AREA_REST1]]&gt;0,"Reestimativa 1",IF(ESTIMATIVA[[#This Row],[QT_AREA_REAL]]=0,"Reestimativa 1","Realizado"))</f>
        <v>Realizado</v>
      </c>
      <c r="W21" s="1" t="str">
        <f>IF(ESTIMATIVA[[#This Row],[QT_AREA_REST2]]&gt;0,"Reestimativa 2",IF(ESTIMATIVA[[#This Row],[QT_AREA_REAL]]=0,"Reestimativa 2","Realizado"))</f>
        <v>Realizado</v>
      </c>
      <c r="X21" s="1">
        <f>ESTIMATIVA[[#This Row],[QT_AREA_EST]]</f>
        <v>24.97</v>
      </c>
      <c r="Y21" s="1">
        <f>IF(ESTIMATIVA[[#This Row],[QT_AREA_REST1]]&gt;0,ESTIMATIVA[[#This Row],[QT_AREA_REST1]],
  IF(ESTIMATIVA[[#This Row],[QT_AREA_REAL]]&gt;0,ESTIMATIVA[[#This Row],[QT_AREA_REAL]],ESTIMATIVA[[#This Row],[QT_AREA_EST]]))</f>
        <v>24.97</v>
      </c>
      <c r="Z2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24.97</v>
      </c>
      <c r="AA21" s="1">
        <f>ESTIMATIVA[[#This Row],[QT_CANA_EST]]</f>
        <v>2297.2399999999998</v>
      </c>
      <c r="AB21" s="1">
        <f>IF(ESTIMATIVA[[#This Row],[QT_CANA_REST1]]&gt;0,ESTIMATIVA[[#This Row],[QT_CANA_REST1]],
  IF(ESTIMATIVA[[#This Row],[QT_CANA_REAL]]&gt;0,ESTIMATIVA[[#This Row],[QT_CANA_REAL]],ESTIMATIVA[[#This Row],[QT_CANA_EST]]))</f>
        <v>2203.7399999999998</v>
      </c>
      <c r="AC2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2203.7399999999998</v>
      </c>
      <c r="AD21" s="1">
        <f>IF(ESTIMATIVA[[#This Row],[QT_AREA_REAL]]&gt;0,ESTIMATIVA[[#This Row],[QT_CANA_REAL]],ESTIMATIVA[[#This Row],[QT_CANA_EST]])</f>
        <v>2203.7399999999998</v>
      </c>
      <c r="AE21" s="1">
        <f>IF(ESTIMATIVA[[#This Row],[QT_AREA_REAL]]&gt;0,ESTIMATIVA[[#This Row],[QT_CANA_REAL]],ESTIMATIVA[[#This Row],[QT_CANA_REST1]])</f>
        <v>2203.7399999999998</v>
      </c>
      <c r="AF21" s="1">
        <f>IF(ESTIMATIVA[[#This Row],[QT_AREA_REAL]]&gt;0,ESTIMATIVA[[#This Row],[QT_CANA_REAL]],ESTIMATIVA[[#This Row],[QT_CANA_REST2]])</f>
        <v>2203.7399999999998</v>
      </c>
      <c r="AG21" s="1" t="str">
        <f>IF(COUNTIFS(GEADA!A:A,VALUE(ESTIMATIVA[[#This Row],[CD_UPNIVEL1]]&amp;TEXT(ESTIMATIVA[[#This Row],[CD_UPNIVEL3]],"0000")))&gt;0,"S","N")</f>
        <v>N</v>
      </c>
      <c r="AH2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1" s="55" t="str">
        <f>IF(ESTIMATIVA[[#This Row],[TP_CULTIVO]]="Irrigado",_xlfn.MAXIFS(IRRIGADO!J:J,IRRIGADO!C:C,ESTIMATIVA[[#This Row],[CD_UPNIVEL1]],IRRIGADO!E:E,ESTIMATIVA[[#This Row],[CD_UPNIVEL3]]),"")</f>
        <v/>
      </c>
      <c r="AJ2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1" s="1">
        <f>COUNTIFS(Apresentação!$E$23:$E$29,ESTIMATIVA[[#This Row],[CD_UPNIVEL1]])</f>
        <v>0</v>
      </c>
    </row>
    <row r="22" spans="1:37" x14ac:dyDescent="0.3">
      <c r="A22">
        <v>10310</v>
      </c>
      <c r="B22" t="s">
        <v>11</v>
      </c>
      <c r="C22">
        <v>29</v>
      </c>
      <c r="D22">
        <v>1</v>
      </c>
      <c r="E22" t="s">
        <v>264</v>
      </c>
      <c r="F22" s="85" t="s">
        <v>333</v>
      </c>
      <c r="G22"/>
      <c r="H22" t="s">
        <v>294</v>
      </c>
      <c r="I22" t="s">
        <v>196</v>
      </c>
      <c r="J22" t="s">
        <v>176</v>
      </c>
      <c r="K22" s="1">
        <v>5.83</v>
      </c>
      <c r="L22" s="1">
        <v>0</v>
      </c>
      <c r="M22" s="1">
        <v>0</v>
      </c>
      <c r="N22" s="1">
        <v>5.83</v>
      </c>
      <c r="O22" s="1">
        <v>536.36</v>
      </c>
      <c r="P22" s="1">
        <v>0</v>
      </c>
      <c r="Q22" s="1">
        <v>0</v>
      </c>
      <c r="R22" s="1">
        <v>514.83000000000004</v>
      </c>
      <c r="S22" t="s">
        <v>12</v>
      </c>
      <c r="T22" s="13">
        <v>45795</v>
      </c>
      <c r="U22" s="1" t="str">
        <f>IF(ESTIMATIVA[[#This Row],[QT_AREA_REAL]]&gt;0,"1- Colhido","2- à Colher")</f>
        <v>1- Colhido</v>
      </c>
      <c r="V22" s="1" t="str">
        <f>IF(ESTIMATIVA[[#This Row],[QT_AREA_REST1]]&gt;0,"Reestimativa 1",IF(ESTIMATIVA[[#This Row],[QT_AREA_REAL]]=0,"Reestimativa 1","Realizado"))</f>
        <v>Realizado</v>
      </c>
      <c r="W22" s="1" t="str">
        <f>IF(ESTIMATIVA[[#This Row],[QT_AREA_REST2]]&gt;0,"Reestimativa 2",IF(ESTIMATIVA[[#This Row],[QT_AREA_REAL]]=0,"Reestimativa 2","Realizado"))</f>
        <v>Realizado</v>
      </c>
      <c r="X22" s="1">
        <f>ESTIMATIVA[[#This Row],[QT_AREA_EST]]</f>
        <v>5.83</v>
      </c>
      <c r="Y22" s="1">
        <f>IF(ESTIMATIVA[[#This Row],[QT_AREA_REST1]]&gt;0,ESTIMATIVA[[#This Row],[QT_AREA_REST1]],
  IF(ESTIMATIVA[[#This Row],[QT_AREA_REAL]]&gt;0,ESTIMATIVA[[#This Row],[QT_AREA_REAL]],ESTIMATIVA[[#This Row],[QT_AREA_EST]]))</f>
        <v>5.83</v>
      </c>
      <c r="Z2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5.83</v>
      </c>
      <c r="AA22" s="1">
        <f>ESTIMATIVA[[#This Row],[QT_CANA_EST]]</f>
        <v>536.36</v>
      </c>
      <c r="AB22" s="1">
        <f>IF(ESTIMATIVA[[#This Row],[QT_CANA_REST1]]&gt;0,ESTIMATIVA[[#This Row],[QT_CANA_REST1]],
  IF(ESTIMATIVA[[#This Row],[QT_CANA_REAL]]&gt;0,ESTIMATIVA[[#This Row],[QT_CANA_REAL]],ESTIMATIVA[[#This Row],[QT_CANA_EST]]))</f>
        <v>514.83000000000004</v>
      </c>
      <c r="AC2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514.83000000000004</v>
      </c>
      <c r="AD22" s="1">
        <f>IF(ESTIMATIVA[[#This Row],[QT_AREA_REAL]]&gt;0,ESTIMATIVA[[#This Row],[QT_CANA_REAL]],ESTIMATIVA[[#This Row],[QT_CANA_EST]])</f>
        <v>514.83000000000004</v>
      </c>
      <c r="AE22" s="1">
        <f>IF(ESTIMATIVA[[#This Row],[QT_AREA_REAL]]&gt;0,ESTIMATIVA[[#This Row],[QT_CANA_REAL]],ESTIMATIVA[[#This Row],[QT_CANA_REST1]])</f>
        <v>514.83000000000004</v>
      </c>
      <c r="AF22" s="1">
        <f>IF(ESTIMATIVA[[#This Row],[QT_AREA_REAL]]&gt;0,ESTIMATIVA[[#This Row],[QT_CANA_REAL]],ESTIMATIVA[[#This Row],[QT_CANA_REST2]])</f>
        <v>514.83000000000004</v>
      </c>
      <c r="AG22" s="1" t="str">
        <f>IF(COUNTIFS(GEADA!A:A,VALUE(ESTIMATIVA[[#This Row],[CD_UPNIVEL1]]&amp;TEXT(ESTIMATIVA[[#This Row],[CD_UPNIVEL3]],"0000")))&gt;0,"S","N")</f>
        <v>N</v>
      </c>
      <c r="AH2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2" s="55" t="str">
        <f>IF(ESTIMATIVA[[#This Row],[TP_CULTIVO]]="Irrigado",_xlfn.MAXIFS(IRRIGADO!J:J,IRRIGADO!C:C,ESTIMATIVA[[#This Row],[CD_UPNIVEL1]],IRRIGADO!E:E,ESTIMATIVA[[#This Row],[CD_UPNIVEL3]]),"")</f>
        <v/>
      </c>
      <c r="AJ2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2" s="1">
        <f>COUNTIFS(Apresentação!$E$23:$E$29,ESTIMATIVA[[#This Row],[CD_UPNIVEL1]])</f>
        <v>0</v>
      </c>
    </row>
    <row r="23" spans="1:37" x14ac:dyDescent="0.3">
      <c r="A23">
        <v>10310</v>
      </c>
      <c r="B23" t="s">
        <v>11</v>
      </c>
      <c r="C23">
        <v>30</v>
      </c>
      <c r="D23">
        <v>1</v>
      </c>
      <c r="E23" t="s">
        <v>264</v>
      </c>
      <c r="F23" s="85" t="s">
        <v>333</v>
      </c>
      <c r="G23"/>
      <c r="H23" t="s">
        <v>294</v>
      </c>
      <c r="I23" t="s">
        <v>196</v>
      </c>
      <c r="J23" t="s">
        <v>176</v>
      </c>
      <c r="K23" s="1">
        <v>20.14</v>
      </c>
      <c r="L23" s="1">
        <v>0</v>
      </c>
      <c r="M23" s="1">
        <v>0</v>
      </c>
      <c r="N23" s="1">
        <v>20.14</v>
      </c>
      <c r="O23" s="1">
        <v>1852.88</v>
      </c>
      <c r="P23" s="1">
        <v>0</v>
      </c>
      <c r="Q23" s="1">
        <v>0</v>
      </c>
      <c r="R23" s="1">
        <v>1779.67</v>
      </c>
      <c r="S23" t="s">
        <v>12</v>
      </c>
      <c r="T23" s="13">
        <v>45795</v>
      </c>
      <c r="U23" s="1" t="str">
        <f>IF(ESTIMATIVA[[#This Row],[QT_AREA_REAL]]&gt;0,"1- Colhido","2- à Colher")</f>
        <v>1- Colhido</v>
      </c>
      <c r="V23" s="1" t="str">
        <f>IF(ESTIMATIVA[[#This Row],[QT_AREA_REST1]]&gt;0,"Reestimativa 1",IF(ESTIMATIVA[[#This Row],[QT_AREA_REAL]]=0,"Reestimativa 1","Realizado"))</f>
        <v>Realizado</v>
      </c>
      <c r="W23" s="1" t="str">
        <f>IF(ESTIMATIVA[[#This Row],[QT_AREA_REST2]]&gt;0,"Reestimativa 2",IF(ESTIMATIVA[[#This Row],[QT_AREA_REAL]]=0,"Reestimativa 2","Realizado"))</f>
        <v>Realizado</v>
      </c>
      <c r="X23" s="1">
        <f>ESTIMATIVA[[#This Row],[QT_AREA_EST]]</f>
        <v>20.14</v>
      </c>
      <c r="Y23" s="1">
        <f>IF(ESTIMATIVA[[#This Row],[QT_AREA_REST1]]&gt;0,ESTIMATIVA[[#This Row],[QT_AREA_REST1]],
  IF(ESTIMATIVA[[#This Row],[QT_AREA_REAL]]&gt;0,ESTIMATIVA[[#This Row],[QT_AREA_REAL]],ESTIMATIVA[[#This Row],[QT_AREA_EST]]))</f>
        <v>20.14</v>
      </c>
      <c r="Z2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20.14</v>
      </c>
      <c r="AA23" s="1">
        <f>ESTIMATIVA[[#This Row],[QT_CANA_EST]]</f>
        <v>1852.88</v>
      </c>
      <c r="AB23" s="1">
        <f>IF(ESTIMATIVA[[#This Row],[QT_CANA_REST1]]&gt;0,ESTIMATIVA[[#This Row],[QT_CANA_REST1]],
  IF(ESTIMATIVA[[#This Row],[QT_CANA_REAL]]&gt;0,ESTIMATIVA[[#This Row],[QT_CANA_REAL]],ESTIMATIVA[[#This Row],[QT_CANA_EST]]))</f>
        <v>1779.67</v>
      </c>
      <c r="AC2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1779.67</v>
      </c>
      <c r="AD23" s="1">
        <f>IF(ESTIMATIVA[[#This Row],[QT_AREA_REAL]]&gt;0,ESTIMATIVA[[#This Row],[QT_CANA_REAL]],ESTIMATIVA[[#This Row],[QT_CANA_EST]])</f>
        <v>1779.67</v>
      </c>
      <c r="AE23" s="1">
        <f>IF(ESTIMATIVA[[#This Row],[QT_AREA_REAL]]&gt;0,ESTIMATIVA[[#This Row],[QT_CANA_REAL]],ESTIMATIVA[[#This Row],[QT_CANA_REST1]])</f>
        <v>1779.67</v>
      </c>
      <c r="AF23" s="1">
        <f>IF(ESTIMATIVA[[#This Row],[QT_AREA_REAL]]&gt;0,ESTIMATIVA[[#This Row],[QT_CANA_REAL]],ESTIMATIVA[[#This Row],[QT_CANA_REST2]])</f>
        <v>1779.67</v>
      </c>
      <c r="AG23" s="1" t="str">
        <f>IF(COUNTIFS(GEADA!A:A,VALUE(ESTIMATIVA[[#This Row],[CD_UPNIVEL1]]&amp;TEXT(ESTIMATIVA[[#This Row],[CD_UPNIVEL3]],"0000")))&gt;0,"S","N")</f>
        <v>N</v>
      </c>
      <c r="AH2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3" s="55" t="str">
        <f>IF(ESTIMATIVA[[#This Row],[TP_CULTIVO]]="Irrigado",_xlfn.MAXIFS(IRRIGADO!J:J,IRRIGADO!C:C,ESTIMATIVA[[#This Row],[CD_UPNIVEL1]],IRRIGADO!E:E,ESTIMATIVA[[#This Row],[CD_UPNIVEL3]]),"")</f>
        <v/>
      </c>
      <c r="AJ2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3" s="1">
        <f>COUNTIFS(Apresentação!$E$23:$E$29,ESTIMATIVA[[#This Row],[CD_UPNIVEL1]])</f>
        <v>0</v>
      </c>
    </row>
    <row r="24" spans="1:37" x14ac:dyDescent="0.3">
      <c r="A24">
        <v>10310</v>
      </c>
      <c r="B24" t="s">
        <v>11</v>
      </c>
      <c r="C24">
        <v>31</v>
      </c>
      <c r="D24">
        <v>1</v>
      </c>
      <c r="E24" t="s">
        <v>264</v>
      </c>
      <c r="F24" s="85" t="s">
        <v>331</v>
      </c>
      <c r="G24"/>
      <c r="H24" t="s">
        <v>294</v>
      </c>
      <c r="I24" t="s">
        <v>196</v>
      </c>
      <c r="J24" t="s">
        <v>176</v>
      </c>
      <c r="K24" s="1">
        <v>14.39</v>
      </c>
      <c r="L24" s="1">
        <v>0</v>
      </c>
      <c r="M24" s="1">
        <v>0</v>
      </c>
      <c r="N24" s="1">
        <v>14.39</v>
      </c>
      <c r="O24" s="1">
        <v>1323.88</v>
      </c>
      <c r="P24" s="1">
        <v>0</v>
      </c>
      <c r="Q24" s="1">
        <v>0</v>
      </c>
      <c r="R24" s="1">
        <v>1132.4100000000001</v>
      </c>
      <c r="S24" t="s">
        <v>12</v>
      </c>
      <c r="T24" s="13">
        <v>45788</v>
      </c>
      <c r="U24" s="1" t="str">
        <f>IF(ESTIMATIVA[[#This Row],[QT_AREA_REAL]]&gt;0,"1- Colhido","2- à Colher")</f>
        <v>1- Colhido</v>
      </c>
      <c r="V24" s="1" t="str">
        <f>IF(ESTIMATIVA[[#This Row],[QT_AREA_REST1]]&gt;0,"Reestimativa 1",IF(ESTIMATIVA[[#This Row],[QT_AREA_REAL]]=0,"Reestimativa 1","Realizado"))</f>
        <v>Realizado</v>
      </c>
      <c r="W24" s="1" t="str">
        <f>IF(ESTIMATIVA[[#This Row],[QT_AREA_REST2]]&gt;0,"Reestimativa 2",IF(ESTIMATIVA[[#This Row],[QT_AREA_REAL]]=0,"Reestimativa 2","Realizado"))</f>
        <v>Realizado</v>
      </c>
      <c r="X24" s="1">
        <f>ESTIMATIVA[[#This Row],[QT_AREA_EST]]</f>
        <v>14.39</v>
      </c>
      <c r="Y24" s="1">
        <f>IF(ESTIMATIVA[[#This Row],[QT_AREA_REST1]]&gt;0,ESTIMATIVA[[#This Row],[QT_AREA_REST1]],
  IF(ESTIMATIVA[[#This Row],[QT_AREA_REAL]]&gt;0,ESTIMATIVA[[#This Row],[QT_AREA_REAL]],ESTIMATIVA[[#This Row],[QT_AREA_EST]]))</f>
        <v>14.39</v>
      </c>
      <c r="Z2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14.39</v>
      </c>
      <c r="AA24" s="1">
        <f>ESTIMATIVA[[#This Row],[QT_CANA_EST]]</f>
        <v>1323.88</v>
      </c>
      <c r="AB24" s="1">
        <f>IF(ESTIMATIVA[[#This Row],[QT_CANA_REST1]]&gt;0,ESTIMATIVA[[#This Row],[QT_CANA_REST1]],
  IF(ESTIMATIVA[[#This Row],[QT_CANA_REAL]]&gt;0,ESTIMATIVA[[#This Row],[QT_CANA_REAL]],ESTIMATIVA[[#This Row],[QT_CANA_EST]]))</f>
        <v>1132.4100000000001</v>
      </c>
      <c r="AC2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1132.4100000000001</v>
      </c>
      <c r="AD24" s="1">
        <f>IF(ESTIMATIVA[[#This Row],[QT_AREA_REAL]]&gt;0,ESTIMATIVA[[#This Row],[QT_CANA_REAL]],ESTIMATIVA[[#This Row],[QT_CANA_EST]])</f>
        <v>1132.4100000000001</v>
      </c>
      <c r="AE24" s="1">
        <f>IF(ESTIMATIVA[[#This Row],[QT_AREA_REAL]]&gt;0,ESTIMATIVA[[#This Row],[QT_CANA_REAL]],ESTIMATIVA[[#This Row],[QT_CANA_REST1]])</f>
        <v>1132.4100000000001</v>
      </c>
      <c r="AF24" s="1">
        <f>IF(ESTIMATIVA[[#This Row],[QT_AREA_REAL]]&gt;0,ESTIMATIVA[[#This Row],[QT_CANA_REAL]],ESTIMATIVA[[#This Row],[QT_CANA_REST2]])</f>
        <v>1132.4100000000001</v>
      </c>
      <c r="AG24" s="1" t="str">
        <f>IF(COUNTIFS(GEADA!A:A,VALUE(ESTIMATIVA[[#This Row],[CD_UPNIVEL1]]&amp;TEXT(ESTIMATIVA[[#This Row],[CD_UPNIVEL3]],"0000")))&gt;0,"S","N")</f>
        <v>N</v>
      </c>
      <c r="AH2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4" s="55" t="str">
        <f>IF(ESTIMATIVA[[#This Row],[TP_CULTIVO]]="Irrigado",_xlfn.MAXIFS(IRRIGADO!J:J,IRRIGADO!C:C,ESTIMATIVA[[#This Row],[CD_UPNIVEL1]],IRRIGADO!E:E,ESTIMATIVA[[#This Row],[CD_UPNIVEL3]]),"")</f>
        <v/>
      </c>
      <c r="AJ2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4" s="1">
        <f>COUNTIFS(Apresentação!$E$23:$E$29,ESTIMATIVA[[#This Row],[CD_UPNIVEL1]])</f>
        <v>0</v>
      </c>
    </row>
    <row r="25" spans="1:37" x14ac:dyDescent="0.3">
      <c r="A25">
        <v>10310</v>
      </c>
      <c r="B25" t="s">
        <v>11</v>
      </c>
      <c r="C25">
        <v>32</v>
      </c>
      <c r="D25">
        <v>1</v>
      </c>
      <c r="E25" t="s">
        <v>264</v>
      </c>
      <c r="F25" s="85" t="s">
        <v>331</v>
      </c>
      <c r="G25"/>
      <c r="H25" t="s">
        <v>294</v>
      </c>
      <c r="I25" t="s">
        <v>196</v>
      </c>
      <c r="J25" t="s">
        <v>176</v>
      </c>
      <c r="K25" s="1">
        <v>17.87</v>
      </c>
      <c r="L25" s="1">
        <v>0</v>
      </c>
      <c r="M25" s="1">
        <v>0</v>
      </c>
      <c r="N25" s="1">
        <v>17.87</v>
      </c>
      <c r="O25" s="1">
        <v>1644.04</v>
      </c>
      <c r="P25" s="1">
        <v>0</v>
      </c>
      <c r="Q25" s="1">
        <v>0</v>
      </c>
      <c r="R25" s="1">
        <v>1406.11</v>
      </c>
      <c r="S25" t="s">
        <v>12</v>
      </c>
      <c r="T25" s="13">
        <v>45788</v>
      </c>
      <c r="U25" s="1" t="str">
        <f>IF(ESTIMATIVA[[#This Row],[QT_AREA_REAL]]&gt;0,"1- Colhido","2- à Colher")</f>
        <v>1- Colhido</v>
      </c>
      <c r="V25" s="1" t="str">
        <f>IF(ESTIMATIVA[[#This Row],[QT_AREA_REST1]]&gt;0,"Reestimativa 1",IF(ESTIMATIVA[[#This Row],[QT_AREA_REAL]]=0,"Reestimativa 1","Realizado"))</f>
        <v>Realizado</v>
      </c>
      <c r="W25" s="1" t="str">
        <f>IF(ESTIMATIVA[[#This Row],[QT_AREA_REST2]]&gt;0,"Reestimativa 2",IF(ESTIMATIVA[[#This Row],[QT_AREA_REAL]]=0,"Reestimativa 2","Realizado"))</f>
        <v>Realizado</v>
      </c>
      <c r="X25" s="1">
        <f>ESTIMATIVA[[#This Row],[QT_AREA_EST]]</f>
        <v>17.87</v>
      </c>
      <c r="Y25" s="1">
        <f>IF(ESTIMATIVA[[#This Row],[QT_AREA_REST1]]&gt;0,ESTIMATIVA[[#This Row],[QT_AREA_REST1]],
  IF(ESTIMATIVA[[#This Row],[QT_AREA_REAL]]&gt;0,ESTIMATIVA[[#This Row],[QT_AREA_REAL]],ESTIMATIVA[[#This Row],[QT_AREA_EST]]))</f>
        <v>17.87</v>
      </c>
      <c r="Z2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17.87</v>
      </c>
      <c r="AA25" s="1">
        <f>ESTIMATIVA[[#This Row],[QT_CANA_EST]]</f>
        <v>1644.04</v>
      </c>
      <c r="AB25" s="1">
        <f>IF(ESTIMATIVA[[#This Row],[QT_CANA_REST1]]&gt;0,ESTIMATIVA[[#This Row],[QT_CANA_REST1]],
  IF(ESTIMATIVA[[#This Row],[QT_CANA_REAL]]&gt;0,ESTIMATIVA[[#This Row],[QT_CANA_REAL]],ESTIMATIVA[[#This Row],[QT_CANA_EST]]))</f>
        <v>1406.11</v>
      </c>
      <c r="AC2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1406.11</v>
      </c>
      <c r="AD25" s="1">
        <f>IF(ESTIMATIVA[[#This Row],[QT_AREA_REAL]]&gt;0,ESTIMATIVA[[#This Row],[QT_CANA_REAL]],ESTIMATIVA[[#This Row],[QT_CANA_EST]])</f>
        <v>1406.11</v>
      </c>
      <c r="AE25" s="1">
        <f>IF(ESTIMATIVA[[#This Row],[QT_AREA_REAL]]&gt;0,ESTIMATIVA[[#This Row],[QT_CANA_REAL]],ESTIMATIVA[[#This Row],[QT_CANA_REST1]])</f>
        <v>1406.11</v>
      </c>
      <c r="AF25" s="1">
        <f>IF(ESTIMATIVA[[#This Row],[QT_AREA_REAL]]&gt;0,ESTIMATIVA[[#This Row],[QT_CANA_REAL]],ESTIMATIVA[[#This Row],[QT_CANA_REST2]])</f>
        <v>1406.11</v>
      </c>
      <c r="AG25" s="1" t="str">
        <f>IF(COUNTIFS(GEADA!A:A,VALUE(ESTIMATIVA[[#This Row],[CD_UPNIVEL1]]&amp;TEXT(ESTIMATIVA[[#This Row],[CD_UPNIVEL3]],"0000")))&gt;0,"S","N")</f>
        <v>N</v>
      </c>
      <c r="AH2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5" s="55" t="str">
        <f>IF(ESTIMATIVA[[#This Row],[TP_CULTIVO]]="Irrigado",_xlfn.MAXIFS(IRRIGADO!J:J,IRRIGADO!C:C,ESTIMATIVA[[#This Row],[CD_UPNIVEL1]],IRRIGADO!E:E,ESTIMATIVA[[#This Row],[CD_UPNIVEL3]]),"")</f>
        <v/>
      </c>
      <c r="AJ2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5" s="1">
        <f>COUNTIFS(Apresentação!$E$23:$E$29,ESTIMATIVA[[#This Row],[CD_UPNIVEL1]])</f>
        <v>0</v>
      </c>
    </row>
    <row r="26" spans="1:37" x14ac:dyDescent="0.3">
      <c r="A26">
        <v>10310</v>
      </c>
      <c r="B26" t="s">
        <v>11</v>
      </c>
      <c r="C26">
        <v>33</v>
      </c>
      <c r="D26">
        <v>1</v>
      </c>
      <c r="E26" t="s">
        <v>264</v>
      </c>
      <c r="F26" s="85" t="s">
        <v>333</v>
      </c>
      <c r="G26"/>
      <c r="H26" t="s">
        <v>294</v>
      </c>
      <c r="I26" t="s">
        <v>196</v>
      </c>
      <c r="J26" t="s">
        <v>176</v>
      </c>
      <c r="K26" s="1">
        <v>39.79</v>
      </c>
      <c r="L26" s="1">
        <v>0</v>
      </c>
      <c r="M26" s="1">
        <v>0</v>
      </c>
      <c r="N26" s="1">
        <v>39.79</v>
      </c>
      <c r="O26" s="1">
        <v>3660.68</v>
      </c>
      <c r="P26" s="1">
        <v>0</v>
      </c>
      <c r="Q26" s="1">
        <v>0</v>
      </c>
      <c r="R26" s="1">
        <v>3131.38</v>
      </c>
      <c r="S26" t="s">
        <v>12</v>
      </c>
      <c r="T26" s="13">
        <v>45788</v>
      </c>
      <c r="U26" s="1" t="str">
        <f>IF(ESTIMATIVA[[#This Row],[QT_AREA_REAL]]&gt;0,"1- Colhido","2- à Colher")</f>
        <v>1- Colhido</v>
      </c>
      <c r="V26" s="1" t="str">
        <f>IF(ESTIMATIVA[[#This Row],[QT_AREA_REST1]]&gt;0,"Reestimativa 1",IF(ESTIMATIVA[[#This Row],[QT_AREA_REAL]]=0,"Reestimativa 1","Realizado"))</f>
        <v>Realizado</v>
      </c>
      <c r="W26" s="1" t="str">
        <f>IF(ESTIMATIVA[[#This Row],[QT_AREA_REST2]]&gt;0,"Reestimativa 2",IF(ESTIMATIVA[[#This Row],[QT_AREA_REAL]]=0,"Reestimativa 2","Realizado"))</f>
        <v>Realizado</v>
      </c>
      <c r="X26" s="1">
        <f>ESTIMATIVA[[#This Row],[QT_AREA_EST]]</f>
        <v>39.79</v>
      </c>
      <c r="Y26" s="1">
        <f>IF(ESTIMATIVA[[#This Row],[QT_AREA_REST1]]&gt;0,ESTIMATIVA[[#This Row],[QT_AREA_REST1]],
  IF(ESTIMATIVA[[#This Row],[QT_AREA_REAL]]&gt;0,ESTIMATIVA[[#This Row],[QT_AREA_REAL]],ESTIMATIVA[[#This Row],[QT_AREA_EST]]))</f>
        <v>39.79</v>
      </c>
      <c r="Z2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39.79</v>
      </c>
      <c r="AA26" s="1">
        <f>ESTIMATIVA[[#This Row],[QT_CANA_EST]]</f>
        <v>3660.68</v>
      </c>
      <c r="AB26" s="1">
        <f>IF(ESTIMATIVA[[#This Row],[QT_CANA_REST1]]&gt;0,ESTIMATIVA[[#This Row],[QT_CANA_REST1]],
  IF(ESTIMATIVA[[#This Row],[QT_CANA_REAL]]&gt;0,ESTIMATIVA[[#This Row],[QT_CANA_REAL]],ESTIMATIVA[[#This Row],[QT_CANA_EST]]))</f>
        <v>3131.38</v>
      </c>
      <c r="AC2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3131.38</v>
      </c>
      <c r="AD26" s="1">
        <f>IF(ESTIMATIVA[[#This Row],[QT_AREA_REAL]]&gt;0,ESTIMATIVA[[#This Row],[QT_CANA_REAL]],ESTIMATIVA[[#This Row],[QT_CANA_EST]])</f>
        <v>3131.38</v>
      </c>
      <c r="AE26" s="1">
        <f>IF(ESTIMATIVA[[#This Row],[QT_AREA_REAL]]&gt;0,ESTIMATIVA[[#This Row],[QT_CANA_REAL]],ESTIMATIVA[[#This Row],[QT_CANA_REST1]])</f>
        <v>3131.38</v>
      </c>
      <c r="AF26" s="1">
        <f>IF(ESTIMATIVA[[#This Row],[QT_AREA_REAL]]&gt;0,ESTIMATIVA[[#This Row],[QT_CANA_REAL]],ESTIMATIVA[[#This Row],[QT_CANA_REST2]])</f>
        <v>3131.38</v>
      </c>
      <c r="AG26" s="1" t="str">
        <f>IF(COUNTIFS(GEADA!A:A,VALUE(ESTIMATIVA[[#This Row],[CD_UPNIVEL1]]&amp;TEXT(ESTIMATIVA[[#This Row],[CD_UPNIVEL3]],"0000")))&gt;0,"S","N")</f>
        <v>N</v>
      </c>
      <c r="AH2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6" s="55" t="str">
        <f>IF(ESTIMATIVA[[#This Row],[TP_CULTIVO]]="Irrigado",_xlfn.MAXIFS(IRRIGADO!J:J,IRRIGADO!C:C,ESTIMATIVA[[#This Row],[CD_UPNIVEL1]],IRRIGADO!E:E,ESTIMATIVA[[#This Row],[CD_UPNIVEL3]]),"")</f>
        <v/>
      </c>
      <c r="AJ2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6" s="1">
        <f>COUNTIFS(Apresentação!$E$23:$E$29,ESTIMATIVA[[#This Row],[CD_UPNIVEL1]])</f>
        <v>0</v>
      </c>
    </row>
    <row r="27" spans="1:37" x14ac:dyDescent="0.3">
      <c r="A27">
        <v>10310</v>
      </c>
      <c r="B27" t="s">
        <v>11</v>
      </c>
      <c r="C27">
        <v>34</v>
      </c>
      <c r="D27">
        <v>1</v>
      </c>
      <c r="E27" t="s">
        <v>264</v>
      </c>
      <c r="F27" s="85" t="s">
        <v>333</v>
      </c>
      <c r="G27"/>
      <c r="H27" t="s">
        <v>294</v>
      </c>
      <c r="I27" t="s">
        <v>196</v>
      </c>
      <c r="J27" t="s">
        <v>176</v>
      </c>
      <c r="K27" s="1">
        <v>17.100000000000001</v>
      </c>
      <c r="L27" s="1">
        <v>0</v>
      </c>
      <c r="M27" s="1">
        <v>0</v>
      </c>
      <c r="N27" s="1">
        <v>17.100000000000001</v>
      </c>
      <c r="O27" s="1">
        <v>1573.2</v>
      </c>
      <c r="P27" s="1">
        <v>0</v>
      </c>
      <c r="Q27" s="1">
        <v>0</v>
      </c>
      <c r="R27" s="1">
        <v>1345.8</v>
      </c>
      <c r="S27" t="s">
        <v>12</v>
      </c>
      <c r="T27" s="13">
        <v>45788</v>
      </c>
      <c r="U27" s="1" t="str">
        <f>IF(ESTIMATIVA[[#This Row],[QT_AREA_REAL]]&gt;0,"1- Colhido","2- à Colher")</f>
        <v>1- Colhido</v>
      </c>
      <c r="V27" s="1" t="str">
        <f>IF(ESTIMATIVA[[#This Row],[QT_AREA_REST1]]&gt;0,"Reestimativa 1",IF(ESTIMATIVA[[#This Row],[QT_AREA_REAL]]=0,"Reestimativa 1","Realizado"))</f>
        <v>Realizado</v>
      </c>
      <c r="W27" s="1" t="str">
        <f>IF(ESTIMATIVA[[#This Row],[QT_AREA_REST2]]&gt;0,"Reestimativa 2",IF(ESTIMATIVA[[#This Row],[QT_AREA_REAL]]=0,"Reestimativa 2","Realizado"))</f>
        <v>Realizado</v>
      </c>
      <c r="X27" s="1">
        <f>ESTIMATIVA[[#This Row],[QT_AREA_EST]]</f>
        <v>17.100000000000001</v>
      </c>
      <c r="Y27" s="1">
        <f>IF(ESTIMATIVA[[#This Row],[QT_AREA_REST1]]&gt;0,ESTIMATIVA[[#This Row],[QT_AREA_REST1]],
  IF(ESTIMATIVA[[#This Row],[QT_AREA_REAL]]&gt;0,ESTIMATIVA[[#This Row],[QT_AREA_REAL]],ESTIMATIVA[[#This Row],[QT_AREA_EST]]))</f>
        <v>17.100000000000001</v>
      </c>
      <c r="Z2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17.100000000000001</v>
      </c>
      <c r="AA27" s="1">
        <f>ESTIMATIVA[[#This Row],[QT_CANA_EST]]</f>
        <v>1573.2</v>
      </c>
      <c r="AB27" s="1">
        <f>IF(ESTIMATIVA[[#This Row],[QT_CANA_REST1]]&gt;0,ESTIMATIVA[[#This Row],[QT_CANA_REST1]],
  IF(ESTIMATIVA[[#This Row],[QT_CANA_REAL]]&gt;0,ESTIMATIVA[[#This Row],[QT_CANA_REAL]],ESTIMATIVA[[#This Row],[QT_CANA_EST]]))</f>
        <v>1345.8</v>
      </c>
      <c r="AC2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1345.8</v>
      </c>
      <c r="AD27" s="1">
        <f>IF(ESTIMATIVA[[#This Row],[QT_AREA_REAL]]&gt;0,ESTIMATIVA[[#This Row],[QT_CANA_REAL]],ESTIMATIVA[[#This Row],[QT_CANA_EST]])</f>
        <v>1345.8</v>
      </c>
      <c r="AE27" s="1">
        <f>IF(ESTIMATIVA[[#This Row],[QT_AREA_REAL]]&gt;0,ESTIMATIVA[[#This Row],[QT_CANA_REAL]],ESTIMATIVA[[#This Row],[QT_CANA_REST1]])</f>
        <v>1345.8</v>
      </c>
      <c r="AF27" s="1">
        <f>IF(ESTIMATIVA[[#This Row],[QT_AREA_REAL]]&gt;0,ESTIMATIVA[[#This Row],[QT_CANA_REAL]],ESTIMATIVA[[#This Row],[QT_CANA_REST2]])</f>
        <v>1345.8</v>
      </c>
      <c r="AG27" s="1" t="str">
        <f>IF(COUNTIFS(GEADA!A:A,VALUE(ESTIMATIVA[[#This Row],[CD_UPNIVEL1]]&amp;TEXT(ESTIMATIVA[[#This Row],[CD_UPNIVEL3]],"0000")))&gt;0,"S","N")</f>
        <v>N</v>
      </c>
      <c r="AH2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7" s="55" t="str">
        <f>IF(ESTIMATIVA[[#This Row],[TP_CULTIVO]]="Irrigado",_xlfn.MAXIFS(IRRIGADO!J:J,IRRIGADO!C:C,ESTIMATIVA[[#This Row],[CD_UPNIVEL1]],IRRIGADO!E:E,ESTIMATIVA[[#This Row],[CD_UPNIVEL3]]),"")</f>
        <v/>
      </c>
      <c r="AJ2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7" s="1">
        <f>COUNTIFS(Apresentação!$E$23:$E$29,ESTIMATIVA[[#This Row],[CD_UPNIVEL1]])</f>
        <v>0</v>
      </c>
    </row>
    <row r="28" spans="1:37" x14ac:dyDescent="0.3">
      <c r="A28">
        <v>10311</v>
      </c>
      <c r="B28" t="s">
        <v>13</v>
      </c>
      <c r="C28">
        <v>1</v>
      </c>
      <c r="D28">
        <v>4</v>
      </c>
      <c r="E28" t="s">
        <v>265</v>
      </c>
      <c r="F28" s="85" t="s">
        <v>332</v>
      </c>
      <c r="G28"/>
      <c r="H28" t="s">
        <v>294</v>
      </c>
      <c r="I28" t="s">
        <v>197</v>
      </c>
      <c r="J28" t="s">
        <v>176</v>
      </c>
      <c r="K28" s="1">
        <v>14.06</v>
      </c>
      <c r="L28" s="1">
        <v>14.06</v>
      </c>
      <c r="M28" s="1">
        <v>0</v>
      </c>
      <c r="N28" s="1">
        <v>14.06</v>
      </c>
      <c r="O28" s="1">
        <v>787.36</v>
      </c>
      <c r="P28" s="1">
        <v>843.6</v>
      </c>
      <c r="Q28" s="1">
        <v>0</v>
      </c>
      <c r="R28" s="1">
        <v>819.61</v>
      </c>
      <c r="S28" t="s">
        <v>12</v>
      </c>
      <c r="T28" s="13">
        <v>45851</v>
      </c>
      <c r="U28" s="1" t="str">
        <f>IF(ESTIMATIVA[[#This Row],[QT_AREA_REAL]]&gt;0,"1- Colhido","2- à Colher")</f>
        <v>1- Colhido</v>
      </c>
      <c r="V28" s="1" t="str">
        <f>IF(ESTIMATIVA[[#This Row],[QT_AREA_REST1]]&gt;0,"Reestimativa 1",IF(ESTIMATIVA[[#This Row],[QT_AREA_REAL]]=0,"Reestimativa 1","Realizado"))</f>
        <v>Reestimativa 1</v>
      </c>
      <c r="W28" s="1" t="str">
        <f>IF(ESTIMATIVA[[#This Row],[QT_AREA_REST2]]&gt;0,"Reestimativa 2",IF(ESTIMATIVA[[#This Row],[QT_AREA_REAL]]=0,"Reestimativa 2","Realizado"))</f>
        <v>Realizado</v>
      </c>
      <c r="X28" s="1">
        <f>ESTIMATIVA[[#This Row],[QT_AREA_EST]]</f>
        <v>14.06</v>
      </c>
      <c r="Y28" s="1">
        <f>IF(ESTIMATIVA[[#This Row],[QT_AREA_REST1]]&gt;0,ESTIMATIVA[[#This Row],[QT_AREA_REST1]],
  IF(ESTIMATIVA[[#This Row],[QT_AREA_REAL]]&gt;0,ESTIMATIVA[[#This Row],[QT_AREA_REAL]],ESTIMATIVA[[#This Row],[QT_AREA_EST]]))</f>
        <v>14.06</v>
      </c>
      <c r="Z2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14.06</v>
      </c>
      <c r="AA28" s="1">
        <f>ESTIMATIVA[[#This Row],[QT_CANA_EST]]</f>
        <v>787.36</v>
      </c>
      <c r="AB28" s="1">
        <f>IF(ESTIMATIVA[[#This Row],[QT_CANA_REST1]]&gt;0,ESTIMATIVA[[#This Row],[QT_CANA_REST1]],
  IF(ESTIMATIVA[[#This Row],[QT_CANA_REAL]]&gt;0,ESTIMATIVA[[#This Row],[QT_CANA_REAL]],ESTIMATIVA[[#This Row],[QT_CANA_EST]]))</f>
        <v>843.6</v>
      </c>
      <c r="AC2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819.61</v>
      </c>
      <c r="AD28" s="1">
        <f>IF(ESTIMATIVA[[#This Row],[QT_AREA_REAL]]&gt;0,ESTIMATIVA[[#This Row],[QT_CANA_REAL]],ESTIMATIVA[[#This Row],[QT_CANA_EST]])</f>
        <v>819.61</v>
      </c>
      <c r="AE28" s="1">
        <f>IF(ESTIMATIVA[[#This Row],[QT_AREA_REAL]]&gt;0,ESTIMATIVA[[#This Row],[QT_CANA_REAL]],ESTIMATIVA[[#This Row],[QT_CANA_REST1]])</f>
        <v>819.61</v>
      </c>
      <c r="AF28" s="1">
        <f>IF(ESTIMATIVA[[#This Row],[QT_AREA_REAL]]&gt;0,ESTIMATIVA[[#This Row],[QT_CANA_REAL]],ESTIMATIVA[[#This Row],[QT_CANA_REST2]])</f>
        <v>819.61</v>
      </c>
      <c r="AG28" s="1" t="str">
        <f>IF(COUNTIFS(GEADA!A:A,VALUE(ESTIMATIVA[[#This Row],[CD_UPNIVEL1]]&amp;TEXT(ESTIMATIVA[[#This Row],[CD_UPNIVEL3]],"0000")))&gt;0,"S","N")</f>
        <v>N</v>
      </c>
      <c r="AH2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8" s="55" t="str">
        <f>IF(ESTIMATIVA[[#This Row],[TP_CULTIVO]]="Irrigado",_xlfn.MAXIFS(IRRIGADO!J:J,IRRIGADO!C:C,ESTIMATIVA[[#This Row],[CD_UPNIVEL1]],IRRIGADO!E:E,ESTIMATIVA[[#This Row],[CD_UPNIVEL3]]),"")</f>
        <v/>
      </c>
      <c r="AJ2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8" s="1">
        <f>COUNTIFS(Apresentação!$E$23:$E$29,ESTIMATIVA[[#This Row],[CD_UPNIVEL1]])</f>
        <v>0</v>
      </c>
    </row>
    <row r="29" spans="1:37" x14ac:dyDescent="0.3">
      <c r="A29">
        <v>10311</v>
      </c>
      <c r="B29" t="s">
        <v>13</v>
      </c>
      <c r="C29">
        <v>2</v>
      </c>
      <c r="D29">
        <v>4</v>
      </c>
      <c r="E29" t="s">
        <v>265</v>
      </c>
      <c r="F29" s="85" t="s">
        <v>332</v>
      </c>
      <c r="G29"/>
      <c r="H29" t="s">
        <v>294</v>
      </c>
      <c r="I29" t="s">
        <v>197</v>
      </c>
      <c r="J29" t="s">
        <v>176</v>
      </c>
      <c r="K29" s="1">
        <v>8.91</v>
      </c>
      <c r="L29" s="1">
        <v>8.91</v>
      </c>
      <c r="M29" s="1">
        <v>0</v>
      </c>
      <c r="N29" s="1">
        <v>8.91</v>
      </c>
      <c r="O29" s="1">
        <v>498.96</v>
      </c>
      <c r="P29" s="1">
        <v>534.6</v>
      </c>
      <c r="Q29" s="1">
        <v>0</v>
      </c>
      <c r="R29" s="1">
        <v>511.89</v>
      </c>
      <c r="S29" t="s">
        <v>12</v>
      </c>
      <c r="T29" s="13">
        <v>45851</v>
      </c>
      <c r="U29" s="1" t="str">
        <f>IF(ESTIMATIVA[[#This Row],[QT_AREA_REAL]]&gt;0,"1- Colhido","2- à Colher")</f>
        <v>1- Colhido</v>
      </c>
      <c r="V29" s="1" t="str">
        <f>IF(ESTIMATIVA[[#This Row],[QT_AREA_REST1]]&gt;0,"Reestimativa 1",IF(ESTIMATIVA[[#This Row],[QT_AREA_REAL]]=0,"Reestimativa 1","Realizado"))</f>
        <v>Reestimativa 1</v>
      </c>
      <c r="W29" s="1" t="str">
        <f>IF(ESTIMATIVA[[#This Row],[QT_AREA_REST2]]&gt;0,"Reestimativa 2",IF(ESTIMATIVA[[#This Row],[QT_AREA_REAL]]=0,"Reestimativa 2","Realizado"))</f>
        <v>Realizado</v>
      </c>
      <c r="X29" s="1">
        <f>ESTIMATIVA[[#This Row],[QT_AREA_EST]]</f>
        <v>8.91</v>
      </c>
      <c r="Y29" s="1">
        <f>IF(ESTIMATIVA[[#This Row],[QT_AREA_REST1]]&gt;0,ESTIMATIVA[[#This Row],[QT_AREA_REST1]],
  IF(ESTIMATIVA[[#This Row],[QT_AREA_REAL]]&gt;0,ESTIMATIVA[[#This Row],[QT_AREA_REAL]],ESTIMATIVA[[#This Row],[QT_AREA_EST]]))</f>
        <v>8.91</v>
      </c>
      <c r="Z2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8.91</v>
      </c>
      <c r="AA29" s="1">
        <f>ESTIMATIVA[[#This Row],[QT_CANA_EST]]</f>
        <v>498.96</v>
      </c>
      <c r="AB29" s="1">
        <f>IF(ESTIMATIVA[[#This Row],[QT_CANA_REST1]]&gt;0,ESTIMATIVA[[#This Row],[QT_CANA_REST1]],
  IF(ESTIMATIVA[[#This Row],[QT_CANA_REAL]]&gt;0,ESTIMATIVA[[#This Row],[QT_CANA_REAL]],ESTIMATIVA[[#This Row],[QT_CANA_EST]]))</f>
        <v>534.6</v>
      </c>
      <c r="AC2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511.89</v>
      </c>
      <c r="AD29" s="1">
        <f>IF(ESTIMATIVA[[#This Row],[QT_AREA_REAL]]&gt;0,ESTIMATIVA[[#This Row],[QT_CANA_REAL]],ESTIMATIVA[[#This Row],[QT_CANA_EST]])</f>
        <v>511.89</v>
      </c>
      <c r="AE29" s="1">
        <f>IF(ESTIMATIVA[[#This Row],[QT_AREA_REAL]]&gt;0,ESTIMATIVA[[#This Row],[QT_CANA_REAL]],ESTIMATIVA[[#This Row],[QT_CANA_REST1]])</f>
        <v>511.89</v>
      </c>
      <c r="AF29" s="1">
        <f>IF(ESTIMATIVA[[#This Row],[QT_AREA_REAL]]&gt;0,ESTIMATIVA[[#This Row],[QT_CANA_REAL]],ESTIMATIVA[[#This Row],[QT_CANA_REST2]])</f>
        <v>511.89</v>
      </c>
      <c r="AG29" s="1" t="str">
        <f>IF(COUNTIFS(GEADA!A:A,VALUE(ESTIMATIVA[[#This Row],[CD_UPNIVEL1]]&amp;TEXT(ESTIMATIVA[[#This Row],[CD_UPNIVEL3]],"0000")))&gt;0,"S","N")</f>
        <v>N</v>
      </c>
      <c r="AH2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9" s="55" t="str">
        <f>IF(ESTIMATIVA[[#This Row],[TP_CULTIVO]]="Irrigado",_xlfn.MAXIFS(IRRIGADO!J:J,IRRIGADO!C:C,ESTIMATIVA[[#This Row],[CD_UPNIVEL1]],IRRIGADO!E:E,ESTIMATIVA[[#This Row],[CD_UPNIVEL3]]),"")</f>
        <v/>
      </c>
      <c r="AJ2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9" s="1">
        <f>COUNTIFS(Apresentação!$E$23:$E$29,ESTIMATIVA[[#This Row],[CD_UPNIVEL1]])</f>
        <v>0</v>
      </c>
    </row>
    <row r="30" spans="1:37" x14ac:dyDescent="0.3">
      <c r="A30">
        <v>10311</v>
      </c>
      <c r="B30" t="s">
        <v>13</v>
      </c>
      <c r="C30">
        <v>3</v>
      </c>
      <c r="D30">
        <v>4</v>
      </c>
      <c r="E30" t="s">
        <v>265</v>
      </c>
      <c r="F30" s="85" t="s">
        <v>331</v>
      </c>
      <c r="G30"/>
      <c r="H30" t="s">
        <v>294</v>
      </c>
      <c r="I30" t="s">
        <v>197</v>
      </c>
      <c r="J30" t="s">
        <v>176</v>
      </c>
      <c r="K30" s="1">
        <v>28.14</v>
      </c>
      <c r="L30" s="1">
        <v>28.14</v>
      </c>
      <c r="M30" s="1">
        <v>0</v>
      </c>
      <c r="N30" s="1">
        <v>28.14</v>
      </c>
      <c r="O30" s="1">
        <v>1575.84</v>
      </c>
      <c r="P30" s="1">
        <v>1688.4</v>
      </c>
      <c r="Q30" s="1">
        <v>0</v>
      </c>
      <c r="R30" s="1">
        <v>1615.23</v>
      </c>
      <c r="S30" t="s">
        <v>12</v>
      </c>
      <c r="T30" s="13">
        <v>45851</v>
      </c>
      <c r="U30" s="1" t="str">
        <f>IF(ESTIMATIVA[[#This Row],[QT_AREA_REAL]]&gt;0,"1- Colhido","2- à Colher")</f>
        <v>1- Colhido</v>
      </c>
      <c r="V30" s="1" t="str">
        <f>IF(ESTIMATIVA[[#This Row],[QT_AREA_REST1]]&gt;0,"Reestimativa 1",IF(ESTIMATIVA[[#This Row],[QT_AREA_REAL]]=0,"Reestimativa 1","Realizado"))</f>
        <v>Reestimativa 1</v>
      </c>
      <c r="W30" s="1" t="str">
        <f>IF(ESTIMATIVA[[#This Row],[QT_AREA_REST2]]&gt;0,"Reestimativa 2",IF(ESTIMATIVA[[#This Row],[QT_AREA_REAL]]=0,"Reestimativa 2","Realizado"))</f>
        <v>Realizado</v>
      </c>
      <c r="X30" s="1">
        <f>ESTIMATIVA[[#This Row],[QT_AREA_EST]]</f>
        <v>28.14</v>
      </c>
      <c r="Y30" s="1">
        <f>IF(ESTIMATIVA[[#This Row],[QT_AREA_REST1]]&gt;0,ESTIMATIVA[[#This Row],[QT_AREA_REST1]],
  IF(ESTIMATIVA[[#This Row],[QT_AREA_REAL]]&gt;0,ESTIMATIVA[[#This Row],[QT_AREA_REAL]],ESTIMATIVA[[#This Row],[QT_AREA_EST]]))</f>
        <v>28.14</v>
      </c>
      <c r="Z3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28.14</v>
      </c>
      <c r="AA30" s="1">
        <f>ESTIMATIVA[[#This Row],[QT_CANA_EST]]</f>
        <v>1575.84</v>
      </c>
      <c r="AB30" s="1">
        <f>IF(ESTIMATIVA[[#This Row],[QT_CANA_REST1]]&gt;0,ESTIMATIVA[[#This Row],[QT_CANA_REST1]],
  IF(ESTIMATIVA[[#This Row],[QT_CANA_REAL]]&gt;0,ESTIMATIVA[[#This Row],[QT_CANA_REAL]],ESTIMATIVA[[#This Row],[QT_CANA_EST]]))</f>
        <v>1688.4</v>
      </c>
      <c r="AC3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1615.23</v>
      </c>
      <c r="AD30" s="1">
        <f>IF(ESTIMATIVA[[#This Row],[QT_AREA_REAL]]&gt;0,ESTIMATIVA[[#This Row],[QT_CANA_REAL]],ESTIMATIVA[[#This Row],[QT_CANA_EST]])</f>
        <v>1615.23</v>
      </c>
      <c r="AE30" s="1">
        <f>IF(ESTIMATIVA[[#This Row],[QT_AREA_REAL]]&gt;0,ESTIMATIVA[[#This Row],[QT_CANA_REAL]],ESTIMATIVA[[#This Row],[QT_CANA_REST1]])</f>
        <v>1615.23</v>
      </c>
      <c r="AF30" s="1">
        <f>IF(ESTIMATIVA[[#This Row],[QT_AREA_REAL]]&gt;0,ESTIMATIVA[[#This Row],[QT_CANA_REAL]],ESTIMATIVA[[#This Row],[QT_CANA_REST2]])</f>
        <v>1615.23</v>
      </c>
      <c r="AG30" s="1" t="str">
        <f>IF(COUNTIFS(GEADA!A:A,VALUE(ESTIMATIVA[[#This Row],[CD_UPNIVEL1]]&amp;TEXT(ESTIMATIVA[[#This Row],[CD_UPNIVEL3]],"0000")))&gt;0,"S","N")</f>
        <v>N</v>
      </c>
      <c r="AH3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30" s="55" t="str">
        <f>IF(ESTIMATIVA[[#This Row],[TP_CULTIVO]]="Irrigado",_xlfn.MAXIFS(IRRIGADO!J:J,IRRIGADO!C:C,ESTIMATIVA[[#This Row],[CD_UPNIVEL1]],IRRIGADO!E:E,ESTIMATIVA[[#This Row],[CD_UPNIVEL3]]),"")</f>
        <v/>
      </c>
      <c r="AJ3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0" s="1">
        <f>COUNTIFS(Apresentação!$E$23:$E$29,ESTIMATIVA[[#This Row],[CD_UPNIVEL1]])</f>
        <v>0</v>
      </c>
    </row>
    <row r="31" spans="1:37" x14ac:dyDescent="0.3">
      <c r="A31">
        <v>10311</v>
      </c>
      <c r="B31" t="s">
        <v>13</v>
      </c>
      <c r="C31">
        <v>4</v>
      </c>
      <c r="D31">
        <v>4</v>
      </c>
      <c r="E31" t="s">
        <v>265</v>
      </c>
      <c r="F31" s="85" t="s">
        <v>331</v>
      </c>
      <c r="G31"/>
      <c r="H31" t="s">
        <v>294</v>
      </c>
      <c r="I31" t="s">
        <v>197</v>
      </c>
      <c r="J31" t="s">
        <v>176</v>
      </c>
      <c r="K31" s="1">
        <v>29.27</v>
      </c>
      <c r="L31" s="1">
        <v>29.27</v>
      </c>
      <c r="M31" s="1">
        <v>0</v>
      </c>
      <c r="N31" s="1">
        <v>29.27</v>
      </c>
      <c r="O31" s="1">
        <v>1639.12</v>
      </c>
      <c r="P31" s="1">
        <v>1756.2</v>
      </c>
      <c r="Q31" s="1">
        <v>0</v>
      </c>
      <c r="R31" s="1">
        <v>1680.31</v>
      </c>
      <c r="S31" t="s">
        <v>12</v>
      </c>
      <c r="T31" s="13">
        <v>45851</v>
      </c>
      <c r="U31" s="1" t="str">
        <f>IF(ESTIMATIVA[[#This Row],[QT_AREA_REAL]]&gt;0,"1- Colhido","2- à Colher")</f>
        <v>1- Colhido</v>
      </c>
      <c r="V31" s="1" t="str">
        <f>IF(ESTIMATIVA[[#This Row],[QT_AREA_REST1]]&gt;0,"Reestimativa 1",IF(ESTIMATIVA[[#This Row],[QT_AREA_REAL]]=0,"Reestimativa 1","Realizado"))</f>
        <v>Reestimativa 1</v>
      </c>
      <c r="W31" s="1" t="str">
        <f>IF(ESTIMATIVA[[#This Row],[QT_AREA_REST2]]&gt;0,"Reestimativa 2",IF(ESTIMATIVA[[#This Row],[QT_AREA_REAL]]=0,"Reestimativa 2","Realizado"))</f>
        <v>Realizado</v>
      </c>
      <c r="X31" s="1">
        <f>ESTIMATIVA[[#This Row],[QT_AREA_EST]]</f>
        <v>29.27</v>
      </c>
      <c r="Y31" s="1">
        <f>IF(ESTIMATIVA[[#This Row],[QT_AREA_REST1]]&gt;0,ESTIMATIVA[[#This Row],[QT_AREA_REST1]],
  IF(ESTIMATIVA[[#This Row],[QT_AREA_REAL]]&gt;0,ESTIMATIVA[[#This Row],[QT_AREA_REAL]],ESTIMATIVA[[#This Row],[QT_AREA_EST]]))</f>
        <v>29.27</v>
      </c>
      <c r="Z3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29.27</v>
      </c>
      <c r="AA31" s="1">
        <f>ESTIMATIVA[[#This Row],[QT_CANA_EST]]</f>
        <v>1639.12</v>
      </c>
      <c r="AB31" s="1">
        <f>IF(ESTIMATIVA[[#This Row],[QT_CANA_REST1]]&gt;0,ESTIMATIVA[[#This Row],[QT_CANA_REST1]],
  IF(ESTIMATIVA[[#This Row],[QT_CANA_REAL]]&gt;0,ESTIMATIVA[[#This Row],[QT_CANA_REAL]],ESTIMATIVA[[#This Row],[QT_CANA_EST]]))</f>
        <v>1756.2</v>
      </c>
      <c r="AC3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1680.31</v>
      </c>
      <c r="AD31" s="1">
        <f>IF(ESTIMATIVA[[#This Row],[QT_AREA_REAL]]&gt;0,ESTIMATIVA[[#This Row],[QT_CANA_REAL]],ESTIMATIVA[[#This Row],[QT_CANA_EST]])</f>
        <v>1680.31</v>
      </c>
      <c r="AE31" s="1">
        <f>IF(ESTIMATIVA[[#This Row],[QT_AREA_REAL]]&gt;0,ESTIMATIVA[[#This Row],[QT_CANA_REAL]],ESTIMATIVA[[#This Row],[QT_CANA_REST1]])</f>
        <v>1680.31</v>
      </c>
      <c r="AF31" s="1">
        <f>IF(ESTIMATIVA[[#This Row],[QT_AREA_REAL]]&gt;0,ESTIMATIVA[[#This Row],[QT_CANA_REAL]],ESTIMATIVA[[#This Row],[QT_CANA_REST2]])</f>
        <v>1680.31</v>
      </c>
      <c r="AG31" s="1" t="str">
        <f>IF(COUNTIFS(GEADA!A:A,VALUE(ESTIMATIVA[[#This Row],[CD_UPNIVEL1]]&amp;TEXT(ESTIMATIVA[[#This Row],[CD_UPNIVEL3]],"0000")))&gt;0,"S","N")</f>
        <v>N</v>
      </c>
      <c r="AH3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31" s="55" t="str">
        <f>IF(ESTIMATIVA[[#This Row],[TP_CULTIVO]]="Irrigado",_xlfn.MAXIFS(IRRIGADO!J:J,IRRIGADO!C:C,ESTIMATIVA[[#This Row],[CD_UPNIVEL1]],IRRIGADO!E:E,ESTIMATIVA[[#This Row],[CD_UPNIVEL3]]),"")</f>
        <v/>
      </c>
      <c r="AJ3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1" s="1">
        <f>COUNTIFS(Apresentação!$E$23:$E$29,ESTIMATIVA[[#This Row],[CD_UPNIVEL1]])</f>
        <v>0</v>
      </c>
    </row>
    <row r="32" spans="1:37" x14ac:dyDescent="0.3">
      <c r="A32">
        <v>10311</v>
      </c>
      <c r="B32" t="s">
        <v>13</v>
      </c>
      <c r="C32">
        <v>5</v>
      </c>
      <c r="D32">
        <v>4</v>
      </c>
      <c r="E32" t="s">
        <v>265</v>
      </c>
      <c r="F32" s="85" t="s">
        <v>331</v>
      </c>
      <c r="G32"/>
      <c r="H32" t="s">
        <v>294</v>
      </c>
      <c r="I32" t="s">
        <v>197</v>
      </c>
      <c r="J32" t="s">
        <v>176</v>
      </c>
      <c r="K32" s="1">
        <v>4.24</v>
      </c>
      <c r="L32" s="1">
        <v>4.24</v>
      </c>
      <c r="M32" s="1">
        <v>0</v>
      </c>
      <c r="N32" s="1">
        <v>4.24</v>
      </c>
      <c r="O32" s="1">
        <v>237.44</v>
      </c>
      <c r="P32" s="1">
        <v>254.4</v>
      </c>
      <c r="Q32" s="1">
        <v>0</v>
      </c>
      <c r="R32" s="1">
        <v>276.32</v>
      </c>
      <c r="S32" t="s">
        <v>12</v>
      </c>
      <c r="T32" s="13">
        <v>45851</v>
      </c>
      <c r="U32" s="1" t="str">
        <f>IF(ESTIMATIVA[[#This Row],[QT_AREA_REAL]]&gt;0,"1- Colhido","2- à Colher")</f>
        <v>1- Colhido</v>
      </c>
      <c r="V32" s="1" t="str">
        <f>IF(ESTIMATIVA[[#This Row],[QT_AREA_REST1]]&gt;0,"Reestimativa 1",IF(ESTIMATIVA[[#This Row],[QT_AREA_REAL]]=0,"Reestimativa 1","Realizado"))</f>
        <v>Reestimativa 1</v>
      </c>
      <c r="W32" s="1" t="str">
        <f>IF(ESTIMATIVA[[#This Row],[QT_AREA_REST2]]&gt;0,"Reestimativa 2",IF(ESTIMATIVA[[#This Row],[QT_AREA_REAL]]=0,"Reestimativa 2","Realizado"))</f>
        <v>Realizado</v>
      </c>
      <c r="X32" s="1">
        <f>ESTIMATIVA[[#This Row],[QT_AREA_EST]]</f>
        <v>4.24</v>
      </c>
      <c r="Y32" s="1">
        <f>IF(ESTIMATIVA[[#This Row],[QT_AREA_REST1]]&gt;0,ESTIMATIVA[[#This Row],[QT_AREA_REST1]],
  IF(ESTIMATIVA[[#This Row],[QT_AREA_REAL]]&gt;0,ESTIMATIVA[[#This Row],[QT_AREA_REAL]],ESTIMATIVA[[#This Row],[QT_AREA_EST]]))</f>
        <v>4.24</v>
      </c>
      <c r="Z3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4.24</v>
      </c>
      <c r="AA32" s="1">
        <f>ESTIMATIVA[[#This Row],[QT_CANA_EST]]</f>
        <v>237.44</v>
      </c>
      <c r="AB32" s="1">
        <f>IF(ESTIMATIVA[[#This Row],[QT_CANA_REST1]]&gt;0,ESTIMATIVA[[#This Row],[QT_CANA_REST1]],
  IF(ESTIMATIVA[[#This Row],[QT_CANA_REAL]]&gt;0,ESTIMATIVA[[#This Row],[QT_CANA_REAL]],ESTIMATIVA[[#This Row],[QT_CANA_EST]]))</f>
        <v>254.4</v>
      </c>
      <c r="AC3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276.32</v>
      </c>
      <c r="AD32" s="1">
        <f>IF(ESTIMATIVA[[#This Row],[QT_AREA_REAL]]&gt;0,ESTIMATIVA[[#This Row],[QT_CANA_REAL]],ESTIMATIVA[[#This Row],[QT_CANA_EST]])</f>
        <v>276.32</v>
      </c>
      <c r="AE32" s="1">
        <f>IF(ESTIMATIVA[[#This Row],[QT_AREA_REAL]]&gt;0,ESTIMATIVA[[#This Row],[QT_CANA_REAL]],ESTIMATIVA[[#This Row],[QT_CANA_REST1]])</f>
        <v>276.32</v>
      </c>
      <c r="AF32" s="1">
        <f>IF(ESTIMATIVA[[#This Row],[QT_AREA_REAL]]&gt;0,ESTIMATIVA[[#This Row],[QT_CANA_REAL]],ESTIMATIVA[[#This Row],[QT_CANA_REST2]])</f>
        <v>276.32</v>
      </c>
      <c r="AG32" s="1" t="str">
        <f>IF(COUNTIFS(GEADA!A:A,VALUE(ESTIMATIVA[[#This Row],[CD_UPNIVEL1]]&amp;TEXT(ESTIMATIVA[[#This Row],[CD_UPNIVEL3]],"0000")))&gt;0,"S","N")</f>
        <v>N</v>
      </c>
      <c r="AH3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32" s="55" t="str">
        <f>IF(ESTIMATIVA[[#This Row],[TP_CULTIVO]]="Irrigado",_xlfn.MAXIFS(IRRIGADO!J:J,IRRIGADO!C:C,ESTIMATIVA[[#This Row],[CD_UPNIVEL1]],IRRIGADO!E:E,ESTIMATIVA[[#This Row],[CD_UPNIVEL3]]),"")</f>
        <v/>
      </c>
      <c r="AJ3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2" s="1">
        <f>COUNTIFS(Apresentação!$E$23:$E$29,ESTIMATIVA[[#This Row],[CD_UPNIVEL1]])</f>
        <v>0</v>
      </c>
    </row>
    <row r="33" spans="1:37" x14ac:dyDescent="0.3">
      <c r="A33">
        <v>10311</v>
      </c>
      <c r="B33" t="s">
        <v>13</v>
      </c>
      <c r="C33">
        <v>6</v>
      </c>
      <c r="D33">
        <v>4</v>
      </c>
      <c r="E33" t="s">
        <v>265</v>
      </c>
      <c r="F33" s="85" t="s">
        <v>332</v>
      </c>
      <c r="G33"/>
      <c r="H33" t="s">
        <v>294</v>
      </c>
      <c r="I33" t="s">
        <v>197</v>
      </c>
      <c r="J33" t="s">
        <v>176</v>
      </c>
      <c r="K33" s="1">
        <v>8.14</v>
      </c>
      <c r="L33" s="1">
        <v>8.14</v>
      </c>
      <c r="M33" s="1">
        <v>0</v>
      </c>
      <c r="N33" s="1">
        <v>8.14</v>
      </c>
      <c r="O33" s="1">
        <v>455.84</v>
      </c>
      <c r="P33" s="1">
        <v>488.4</v>
      </c>
      <c r="Q33" s="1">
        <v>0</v>
      </c>
      <c r="R33" s="1">
        <v>467.34</v>
      </c>
      <c r="S33" t="s">
        <v>12</v>
      </c>
      <c r="T33" s="13">
        <v>45851</v>
      </c>
      <c r="U33" s="1" t="str">
        <f>IF(ESTIMATIVA[[#This Row],[QT_AREA_REAL]]&gt;0,"1- Colhido","2- à Colher")</f>
        <v>1- Colhido</v>
      </c>
      <c r="V33" s="1" t="str">
        <f>IF(ESTIMATIVA[[#This Row],[QT_AREA_REST1]]&gt;0,"Reestimativa 1",IF(ESTIMATIVA[[#This Row],[QT_AREA_REAL]]=0,"Reestimativa 1","Realizado"))</f>
        <v>Reestimativa 1</v>
      </c>
      <c r="W33" s="1" t="str">
        <f>IF(ESTIMATIVA[[#This Row],[QT_AREA_REST2]]&gt;0,"Reestimativa 2",IF(ESTIMATIVA[[#This Row],[QT_AREA_REAL]]=0,"Reestimativa 2","Realizado"))</f>
        <v>Realizado</v>
      </c>
      <c r="X33" s="1">
        <f>ESTIMATIVA[[#This Row],[QT_AREA_EST]]</f>
        <v>8.14</v>
      </c>
      <c r="Y33" s="1">
        <f>IF(ESTIMATIVA[[#This Row],[QT_AREA_REST1]]&gt;0,ESTIMATIVA[[#This Row],[QT_AREA_REST1]],
  IF(ESTIMATIVA[[#This Row],[QT_AREA_REAL]]&gt;0,ESTIMATIVA[[#This Row],[QT_AREA_REAL]],ESTIMATIVA[[#This Row],[QT_AREA_EST]]))</f>
        <v>8.14</v>
      </c>
      <c r="Z3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8.14</v>
      </c>
      <c r="AA33" s="1">
        <f>ESTIMATIVA[[#This Row],[QT_CANA_EST]]</f>
        <v>455.84</v>
      </c>
      <c r="AB33" s="1">
        <f>IF(ESTIMATIVA[[#This Row],[QT_CANA_REST1]]&gt;0,ESTIMATIVA[[#This Row],[QT_CANA_REST1]],
  IF(ESTIMATIVA[[#This Row],[QT_CANA_REAL]]&gt;0,ESTIMATIVA[[#This Row],[QT_CANA_REAL]],ESTIMATIVA[[#This Row],[QT_CANA_EST]]))</f>
        <v>488.4</v>
      </c>
      <c r="AC3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467.34</v>
      </c>
      <c r="AD33" s="1">
        <f>IF(ESTIMATIVA[[#This Row],[QT_AREA_REAL]]&gt;0,ESTIMATIVA[[#This Row],[QT_CANA_REAL]],ESTIMATIVA[[#This Row],[QT_CANA_EST]])</f>
        <v>467.34</v>
      </c>
      <c r="AE33" s="1">
        <f>IF(ESTIMATIVA[[#This Row],[QT_AREA_REAL]]&gt;0,ESTIMATIVA[[#This Row],[QT_CANA_REAL]],ESTIMATIVA[[#This Row],[QT_CANA_REST1]])</f>
        <v>467.34</v>
      </c>
      <c r="AF33" s="1">
        <f>IF(ESTIMATIVA[[#This Row],[QT_AREA_REAL]]&gt;0,ESTIMATIVA[[#This Row],[QT_CANA_REAL]],ESTIMATIVA[[#This Row],[QT_CANA_REST2]])</f>
        <v>467.34</v>
      </c>
      <c r="AG33" s="1" t="str">
        <f>IF(COUNTIFS(GEADA!A:A,VALUE(ESTIMATIVA[[#This Row],[CD_UPNIVEL1]]&amp;TEXT(ESTIMATIVA[[#This Row],[CD_UPNIVEL3]],"0000")))&gt;0,"S","N")</f>
        <v>N</v>
      </c>
      <c r="AH3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33" s="55" t="str">
        <f>IF(ESTIMATIVA[[#This Row],[TP_CULTIVO]]="Irrigado",_xlfn.MAXIFS(IRRIGADO!J:J,IRRIGADO!C:C,ESTIMATIVA[[#This Row],[CD_UPNIVEL1]],IRRIGADO!E:E,ESTIMATIVA[[#This Row],[CD_UPNIVEL3]]),"")</f>
        <v/>
      </c>
      <c r="AJ3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3" s="1">
        <f>COUNTIFS(Apresentação!$E$23:$E$29,ESTIMATIVA[[#This Row],[CD_UPNIVEL1]])</f>
        <v>0</v>
      </c>
    </row>
    <row r="34" spans="1:37" x14ac:dyDescent="0.3">
      <c r="A34">
        <v>10311</v>
      </c>
      <c r="B34" t="s">
        <v>13</v>
      </c>
      <c r="C34">
        <v>7</v>
      </c>
      <c r="D34">
        <v>4</v>
      </c>
      <c r="E34" t="s">
        <v>265</v>
      </c>
      <c r="F34" s="85" t="s">
        <v>332</v>
      </c>
      <c r="G34"/>
      <c r="H34" t="s">
        <v>294</v>
      </c>
      <c r="I34" t="s">
        <v>197</v>
      </c>
      <c r="J34" t="s">
        <v>176</v>
      </c>
      <c r="K34" s="1">
        <v>24.53</v>
      </c>
      <c r="L34" s="1">
        <v>24.53</v>
      </c>
      <c r="M34" s="1">
        <v>0</v>
      </c>
      <c r="N34" s="1">
        <v>24.53</v>
      </c>
      <c r="O34" s="1">
        <v>1373.68</v>
      </c>
      <c r="P34" s="1">
        <v>1471.8</v>
      </c>
      <c r="Q34" s="1">
        <v>0</v>
      </c>
      <c r="R34" s="1">
        <v>1565.38</v>
      </c>
      <c r="S34" t="s">
        <v>12</v>
      </c>
      <c r="T34" s="13">
        <v>45851</v>
      </c>
      <c r="U34" s="1" t="str">
        <f>IF(ESTIMATIVA[[#This Row],[QT_AREA_REAL]]&gt;0,"1- Colhido","2- à Colher")</f>
        <v>1- Colhido</v>
      </c>
      <c r="V34" s="1" t="str">
        <f>IF(ESTIMATIVA[[#This Row],[QT_AREA_REST1]]&gt;0,"Reestimativa 1",IF(ESTIMATIVA[[#This Row],[QT_AREA_REAL]]=0,"Reestimativa 1","Realizado"))</f>
        <v>Reestimativa 1</v>
      </c>
      <c r="W34" s="1" t="str">
        <f>IF(ESTIMATIVA[[#This Row],[QT_AREA_REST2]]&gt;0,"Reestimativa 2",IF(ESTIMATIVA[[#This Row],[QT_AREA_REAL]]=0,"Reestimativa 2","Realizado"))</f>
        <v>Realizado</v>
      </c>
      <c r="X34" s="1">
        <f>ESTIMATIVA[[#This Row],[QT_AREA_EST]]</f>
        <v>24.53</v>
      </c>
      <c r="Y34" s="1">
        <f>IF(ESTIMATIVA[[#This Row],[QT_AREA_REST1]]&gt;0,ESTIMATIVA[[#This Row],[QT_AREA_REST1]],
  IF(ESTIMATIVA[[#This Row],[QT_AREA_REAL]]&gt;0,ESTIMATIVA[[#This Row],[QT_AREA_REAL]],ESTIMATIVA[[#This Row],[QT_AREA_EST]]))</f>
        <v>24.53</v>
      </c>
      <c r="Z3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24.53</v>
      </c>
      <c r="AA34" s="1">
        <f>ESTIMATIVA[[#This Row],[QT_CANA_EST]]</f>
        <v>1373.68</v>
      </c>
      <c r="AB34" s="1">
        <f>IF(ESTIMATIVA[[#This Row],[QT_CANA_REST1]]&gt;0,ESTIMATIVA[[#This Row],[QT_CANA_REST1]],
  IF(ESTIMATIVA[[#This Row],[QT_CANA_REAL]]&gt;0,ESTIMATIVA[[#This Row],[QT_CANA_REAL]],ESTIMATIVA[[#This Row],[QT_CANA_EST]]))</f>
        <v>1471.8</v>
      </c>
      <c r="AC3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1565.38</v>
      </c>
      <c r="AD34" s="1">
        <f>IF(ESTIMATIVA[[#This Row],[QT_AREA_REAL]]&gt;0,ESTIMATIVA[[#This Row],[QT_CANA_REAL]],ESTIMATIVA[[#This Row],[QT_CANA_EST]])</f>
        <v>1565.38</v>
      </c>
      <c r="AE34" s="1">
        <f>IF(ESTIMATIVA[[#This Row],[QT_AREA_REAL]]&gt;0,ESTIMATIVA[[#This Row],[QT_CANA_REAL]],ESTIMATIVA[[#This Row],[QT_CANA_REST1]])</f>
        <v>1565.38</v>
      </c>
      <c r="AF34" s="1">
        <f>IF(ESTIMATIVA[[#This Row],[QT_AREA_REAL]]&gt;0,ESTIMATIVA[[#This Row],[QT_CANA_REAL]],ESTIMATIVA[[#This Row],[QT_CANA_REST2]])</f>
        <v>1565.38</v>
      </c>
      <c r="AG34" s="1" t="str">
        <f>IF(COUNTIFS(GEADA!A:A,VALUE(ESTIMATIVA[[#This Row],[CD_UPNIVEL1]]&amp;TEXT(ESTIMATIVA[[#This Row],[CD_UPNIVEL3]],"0000")))&gt;0,"S","N")</f>
        <v>S</v>
      </c>
      <c r="AH3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34" s="55" t="str">
        <f>IF(ESTIMATIVA[[#This Row],[TP_CULTIVO]]="Irrigado",_xlfn.MAXIFS(IRRIGADO!J:J,IRRIGADO!C:C,ESTIMATIVA[[#This Row],[CD_UPNIVEL1]],IRRIGADO!E:E,ESTIMATIVA[[#This Row],[CD_UPNIVEL3]]),"")</f>
        <v/>
      </c>
      <c r="AJ3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4" s="1">
        <f>COUNTIFS(Apresentação!$E$23:$E$29,ESTIMATIVA[[#This Row],[CD_UPNIVEL1]])</f>
        <v>0</v>
      </c>
    </row>
    <row r="35" spans="1:37" x14ac:dyDescent="0.3">
      <c r="A35">
        <v>10311</v>
      </c>
      <c r="B35" t="s">
        <v>13</v>
      </c>
      <c r="C35">
        <v>8</v>
      </c>
      <c r="D35">
        <v>4</v>
      </c>
      <c r="E35" t="s">
        <v>265</v>
      </c>
      <c r="F35" s="85" t="s">
        <v>332</v>
      </c>
      <c r="G35"/>
      <c r="H35" t="s">
        <v>294</v>
      </c>
      <c r="I35" t="s">
        <v>197</v>
      </c>
      <c r="J35" t="s">
        <v>176</v>
      </c>
      <c r="K35" s="1">
        <v>23.44</v>
      </c>
      <c r="L35" s="1">
        <v>23.44</v>
      </c>
      <c r="M35" s="1">
        <v>0</v>
      </c>
      <c r="N35" s="1">
        <v>23.44</v>
      </c>
      <c r="O35" s="1">
        <v>1593.92</v>
      </c>
      <c r="P35" s="1">
        <v>1640.8</v>
      </c>
      <c r="Q35" s="1">
        <v>0</v>
      </c>
      <c r="R35" s="1">
        <v>1742.08</v>
      </c>
      <c r="S35" t="s">
        <v>12</v>
      </c>
      <c r="T35" s="13">
        <v>45851</v>
      </c>
      <c r="U35" s="1" t="str">
        <f>IF(ESTIMATIVA[[#This Row],[QT_AREA_REAL]]&gt;0,"1- Colhido","2- à Colher")</f>
        <v>1- Colhido</v>
      </c>
      <c r="V35" s="1" t="str">
        <f>IF(ESTIMATIVA[[#This Row],[QT_AREA_REST1]]&gt;0,"Reestimativa 1",IF(ESTIMATIVA[[#This Row],[QT_AREA_REAL]]=0,"Reestimativa 1","Realizado"))</f>
        <v>Reestimativa 1</v>
      </c>
      <c r="W35" s="1" t="str">
        <f>IF(ESTIMATIVA[[#This Row],[QT_AREA_REST2]]&gt;0,"Reestimativa 2",IF(ESTIMATIVA[[#This Row],[QT_AREA_REAL]]=0,"Reestimativa 2","Realizado"))</f>
        <v>Realizado</v>
      </c>
      <c r="X35" s="1">
        <f>ESTIMATIVA[[#This Row],[QT_AREA_EST]]</f>
        <v>23.44</v>
      </c>
      <c r="Y35" s="1">
        <f>IF(ESTIMATIVA[[#This Row],[QT_AREA_REST1]]&gt;0,ESTIMATIVA[[#This Row],[QT_AREA_REST1]],
  IF(ESTIMATIVA[[#This Row],[QT_AREA_REAL]]&gt;0,ESTIMATIVA[[#This Row],[QT_AREA_REAL]],ESTIMATIVA[[#This Row],[QT_AREA_EST]]))</f>
        <v>23.44</v>
      </c>
      <c r="Z3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23.44</v>
      </c>
      <c r="AA35" s="1">
        <f>ESTIMATIVA[[#This Row],[QT_CANA_EST]]</f>
        <v>1593.92</v>
      </c>
      <c r="AB35" s="1">
        <f>IF(ESTIMATIVA[[#This Row],[QT_CANA_REST1]]&gt;0,ESTIMATIVA[[#This Row],[QT_CANA_REST1]],
  IF(ESTIMATIVA[[#This Row],[QT_CANA_REAL]]&gt;0,ESTIMATIVA[[#This Row],[QT_CANA_REAL]],ESTIMATIVA[[#This Row],[QT_CANA_EST]]))</f>
        <v>1640.8</v>
      </c>
      <c r="AC3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1742.08</v>
      </c>
      <c r="AD35" s="1">
        <f>IF(ESTIMATIVA[[#This Row],[QT_AREA_REAL]]&gt;0,ESTIMATIVA[[#This Row],[QT_CANA_REAL]],ESTIMATIVA[[#This Row],[QT_CANA_EST]])</f>
        <v>1742.08</v>
      </c>
      <c r="AE35" s="1">
        <f>IF(ESTIMATIVA[[#This Row],[QT_AREA_REAL]]&gt;0,ESTIMATIVA[[#This Row],[QT_CANA_REAL]],ESTIMATIVA[[#This Row],[QT_CANA_REST1]])</f>
        <v>1742.08</v>
      </c>
      <c r="AF35" s="1">
        <f>IF(ESTIMATIVA[[#This Row],[QT_AREA_REAL]]&gt;0,ESTIMATIVA[[#This Row],[QT_CANA_REAL]],ESTIMATIVA[[#This Row],[QT_CANA_REST2]])</f>
        <v>1742.08</v>
      </c>
      <c r="AG35" s="1" t="str">
        <f>IF(COUNTIFS(GEADA!A:A,VALUE(ESTIMATIVA[[#This Row],[CD_UPNIVEL1]]&amp;TEXT(ESTIMATIVA[[#This Row],[CD_UPNIVEL3]],"0000")))&gt;0,"S","N")</f>
        <v>S</v>
      </c>
      <c r="AH3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35" s="55" t="str">
        <f>IF(ESTIMATIVA[[#This Row],[TP_CULTIVO]]="Irrigado",_xlfn.MAXIFS(IRRIGADO!J:J,IRRIGADO!C:C,ESTIMATIVA[[#This Row],[CD_UPNIVEL1]],IRRIGADO!E:E,ESTIMATIVA[[#This Row],[CD_UPNIVEL3]]),"")</f>
        <v/>
      </c>
      <c r="AJ3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5" s="1">
        <f>COUNTIFS(Apresentação!$E$23:$E$29,ESTIMATIVA[[#This Row],[CD_UPNIVEL1]])</f>
        <v>0</v>
      </c>
    </row>
    <row r="36" spans="1:37" x14ac:dyDescent="0.3">
      <c r="A36">
        <v>10311</v>
      </c>
      <c r="B36" t="s">
        <v>13</v>
      </c>
      <c r="C36">
        <v>9</v>
      </c>
      <c r="D36">
        <v>4</v>
      </c>
      <c r="E36" t="s">
        <v>265</v>
      </c>
      <c r="F36" s="85" t="s">
        <v>331</v>
      </c>
      <c r="G36"/>
      <c r="H36" t="s">
        <v>294</v>
      </c>
      <c r="I36" t="s">
        <v>197</v>
      </c>
      <c r="J36" t="s">
        <v>176</v>
      </c>
      <c r="K36" s="1">
        <v>19.850000000000001</v>
      </c>
      <c r="L36" s="1">
        <v>19.850000000000001</v>
      </c>
      <c r="M36" s="1">
        <v>0</v>
      </c>
      <c r="N36" s="1">
        <v>19.850000000000001</v>
      </c>
      <c r="O36" s="1">
        <v>1349.8</v>
      </c>
      <c r="P36" s="1">
        <v>1389.5</v>
      </c>
      <c r="Q36" s="1">
        <v>0</v>
      </c>
      <c r="R36" s="1">
        <v>1535.82</v>
      </c>
      <c r="S36" t="s">
        <v>12</v>
      </c>
      <c r="T36" s="13">
        <v>45851</v>
      </c>
      <c r="U36" s="1" t="str">
        <f>IF(ESTIMATIVA[[#This Row],[QT_AREA_REAL]]&gt;0,"1- Colhido","2- à Colher")</f>
        <v>1- Colhido</v>
      </c>
      <c r="V36" s="1" t="str">
        <f>IF(ESTIMATIVA[[#This Row],[QT_AREA_REST1]]&gt;0,"Reestimativa 1",IF(ESTIMATIVA[[#This Row],[QT_AREA_REAL]]=0,"Reestimativa 1","Realizado"))</f>
        <v>Reestimativa 1</v>
      </c>
      <c r="W36" s="1" t="str">
        <f>IF(ESTIMATIVA[[#This Row],[QT_AREA_REST2]]&gt;0,"Reestimativa 2",IF(ESTIMATIVA[[#This Row],[QT_AREA_REAL]]=0,"Reestimativa 2","Realizado"))</f>
        <v>Realizado</v>
      </c>
      <c r="X36" s="1">
        <f>ESTIMATIVA[[#This Row],[QT_AREA_EST]]</f>
        <v>19.850000000000001</v>
      </c>
      <c r="Y36" s="1">
        <f>IF(ESTIMATIVA[[#This Row],[QT_AREA_REST1]]&gt;0,ESTIMATIVA[[#This Row],[QT_AREA_REST1]],
  IF(ESTIMATIVA[[#This Row],[QT_AREA_REAL]]&gt;0,ESTIMATIVA[[#This Row],[QT_AREA_REAL]],ESTIMATIVA[[#This Row],[QT_AREA_EST]]))</f>
        <v>19.850000000000001</v>
      </c>
      <c r="Z3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19.850000000000001</v>
      </c>
      <c r="AA36" s="1">
        <f>ESTIMATIVA[[#This Row],[QT_CANA_EST]]</f>
        <v>1349.8</v>
      </c>
      <c r="AB36" s="1">
        <f>IF(ESTIMATIVA[[#This Row],[QT_CANA_REST1]]&gt;0,ESTIMATIVA[[#This Row],[QT_CANA_REST1]],
  IF(ESTIMATIVA[[#This Row],[QT_CANA_REAL]]&gt;0,ESTIMATIVA[[#This Row],[QT_CANA_REAL]],ESTIMATIVA[[#This Row],[QT_CANA_EST]]))</f>
        <v>1389.5</v>
      </c>
      <c r="AC3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1535.82</v>
      </c>
      <c r="AD36" s="1">
        <f>IF(ESTIMATIVA[[#This Row],[QT_AREA_REAL]]&gt;0,ESTIMATIVA[[#This Row],[QT_CANA_REAL]],ESTIMATIVA[[#This Row],[QT_CANA_EST]])</f>
        <v>1535.82</v>
      </c>
      <c r="AE36" s="1">
        <f>IF(ESTIMATIVA[[#This Row],[QT_AREA_REAL]]&gt;0,ESTIMATIVA[[#This Row],[QT_CANA_REAL]],ESTIMATIVA[[#This Row],[QT_CANA_REST1]])</f>
        <v>1535.82</v>
      </c>
      <c r="AF36" s="1">
        <f>IF(ESTIMATIVA[[#This Row],[QT_AREA_REAL]]&gt;0,ESTIMATIVA[[#This Row],[QT_CANA_REAL]],ESTIMATIVA[[#This Row],[QT_CANA_REST2]])</f>
        <v>1535.82</v>
      </c>
      <c r="AG36" s="1" t="str">
        <f>IF(COUNTIFS(GEADA!A:A,VALUE(ESTIMATIVA[[#This Row],[CD_UPNIVEL1]]&amp;TEXT(ESTIMATIVA[[#This Row],[CD_UPNIVEL3]],"0000")))&gt;0,"S","N")</f>
        <v>N</v>
      </c>
      <c r="AH3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36" s="55" t="str">
        <f>IF(ESTIMATIVA[[#This Row],[TP_CULTIVO]]="Irrigado",_xlfn.MAXIFS(IRRIGADO!J:J,IRRIGADO!C:C,ESTIMATIVA[[#This Row],[CD_UPNIVEL1]],IRRIGADO!E:E,ESTIMATIVA[[#This Row],[CD_UPNIVEL3]]),"")</f>
        <v/>
      </c>
      <c r="AJ3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6" s="1">
        <f>COUNTIFS(Apresentação!$E$23:$E$29,ESTIMATIVA[[#This Row],[CD_UPNIVEL1]])</f>
        <v>0</v>
      </c>
    </row>
    <row r="37" spans="1:37" x14ac:dyDescent="0.3">
      <c r="A37">
        <v>10311</v>
      </c>
      <c r="B37" t="s">
        <v>13</v>
      </c>
      <c r="C37">
        <v>10</v>
      </c>
      <c r="D37">
        <v>4</v>
      </c>
      <c r="E37" t="s">
        <v>265</v>
      </c>
      <c r="F37" s="85" t="s">
        <v>332</v>
      </c>
      <c r="G37"/>
      <c r="H37" t="s">
        <v>294</v>
      </c>
      <c r="I37" t="s">
        <v>197</v>
      </c>
      <c r="J37" t="s">
        <v>176</v>
      </c>
      <c r="K37" s="1">
        <v>42.03</v>
      </c>
      <c r="L37" s="1">
        <v>42.03</v>
      </c>
      <c r="M37" s="1">
        <v>0</v>
      </c>
      <c r="N37" s="1">
        <v>42.03</v>
      </c>
      <c r="O37" s="1">
        <v>2858.04</v>
      </c>
      <c r="P37" s="1">
        <v>2942.1</v>
      </c>
      <c r="Q37" s="1">
        <v>0</v>
      </c>
      <c r="R37" s="1">
        <v>3190.06</v>
      </c>
      <c r="S37" t="s">
        <v>12</v>
      </c>
      <c r="T37" s="13">
        <v>45858</v>
      </c>
      <c r="U37" s="1" t="str">
        <f>IF(ESTIMATIVA[[#This Row],[QT_AREA_REAL]]&gt;0,"1- Colhido","2- à Colher")</f>
        <v>1- Colhido</v>
      </c>
      <c r="V37" s="1" t="str">
        <f>IF(ESTIMATIVA[[#This Row],[QT_AREA_REST1]]&gt;0,"Reestimativa 1",IF(ESTIMATIVA[[#This Row],[QT_AREA_REAL]]=0,"Reestimativa 1","Realizado"))</f>
        <v>Reestimativa 1</v>
      </c>
      <c r="W37" s="1" t="str">
        <f>IF(ESTIMATIVA[[#This Row],[QT_AREA_REST2]]&gt;0,"Reestimativa 2",IF(ESTIMATIVA[[#This Row],[QT_AREA_REAL]]=0,"Reestimativa 2","Realizado"))</f>
        <v>Realizado</v>
      </c>
      <c r="X37" s="1">
        <f>ESTIMATIVA[[#This Row],[QT_AREA_EST]]</f>
        <v>42.03</v>
      </c>
      <c r="Y37" s="1">
        <f>IF(ESTIMATIVA[[#This Row],[QT_AREA_REST1]]&gt;0,ESTIMATIVA[[#This Row],[QT_AREA_REST1]],
  IF(ESTIMATIVA[[#This Row],[QT_AREA_REAL]]&gt;0,ESTIMATIVA[[#This Row],[QT_AREA_REAL]],ESTIMATIVA[[#This Row],[QT_AREA_EST]]))</f>
        <v>42.03</v>
      </c>
      <c r="Z3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42.03</v>
      </c>
      <c r="AA37" s="1">
        <f>ESTIMATIVA[[#This Row],[QT_CANA_EST]]</f>
        <v>2858.04</v>
      </c>
      <c r="AB37" s="1">
        <f>IF(ESTIMATIVA[[#This Row],[QT_CANA_REST1]]&gt;0,ESTIMATIVA[[#This Row],[QT_CANA_REST1]],
  IF(ESTIMATIVA[[#This Row],[QT_CANA_REAL]]&gt;0,ESTIMATIVA[[#This Row],[QT_CANA_REAL]],ESTIMATIVA[[#This Row],[QT_CANA_EST]]))</f>
        <v>2942.1</v>
      </c>
      <c r="AC3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3190.06</v>
      </c>
      <c r="AD37" s="1">
        <f>IF(ESTIMATIVA[[#This Row],[QT_AREA_REAL]]&gt;0,ESTIMATIVA[[#This Row],[QT_CANA_REAL]],ESTIMATIVA[[#This Row],[QT_CANA_EST]])</f>
        <v>3190.06</v>
      </c>
      <c r="AE37" s="1">
        <f>IF(ESTIMATIVA[[#This Row],[QT_AREA_REAL]]&gt;0,ESTIMATIVA[[#This Row],[QT_CANA_REAL]],ESTIMATIVA[[#This Row],[QT_CANA_REST1]])</f>
        <v>3190.06</v>
      </c>
      <c r="AF37" s="1">
        <f>IF(ESTIMATIVA[[#This Row],[QT_AREA_REAL]]&gt;0,ESTIMATIVA[[#This Row],[QT_CANA_REAL]],ESTIMATIVA[[#This Row],[QT_CANA_REST2]])</f>
        <v>3190.06</v>
      </c>
      <c r="AG37" s="1" t="str">
        <f>IF(COUNTIFS(GEADA!A:A,VALUE(ESTIMATIVA[[#This Row],[CD_UPNIVEL1]]&amp;TEXT(ESTIMATIVA[[#This Row],[CD_UPNIVEL3]],"0000")))&gt;0,"S","N")</f>
        <v>N</v>
      </c>
      <c r="AH3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37" s="55" t="str">
        <f>IF(ESTIMATIVA[[#This Row],[TP_CULTIVO]]="Irrigado",_xlfn.MAXIFS(IRRIGADO!J:J,IRRIGADO!C:C,ESTIMATIVA[[#This Row],[CD_UPNIVEL1]],IRRIGADO!E:E,ESTIMATIVA[[#This Row],[CD_UPNIVEL3]]),"")</f>
        <v/>
      </c>
      <c r="AJ3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7" s="1">
        <f>COUNTIFS(Apresentação!$E$23:$E$29,ESTIMATIVA[[#This Row],[CD_UPNIVEL1]])</f>
        <v>0</v>
      </c>
    </row>
    <row r="38" spans="1:37" x14ac:dyDescent="0.3">
      <c r="A38">
        <v>10311</v>
      </c>
      <c r="B38" t="s">
        <v>13</v>
      </c>
      <c r="C38">
        <v>11</v>
      </c>
      <c r="D38">
        <v>4</v>
      </c>
      <c r="E38" t="s">
        <v>265</v>
      </c>
      <c r="F38" s="85" t="s">
        <v>331</v>
      </c>
      <c r="G38"/>
      <c r="H38" t="s">
        <v>294</v>
      </c>
      <c r="I38" t="s">
        <v>197</v>
      </c>
      <c r="J38" t="s">
        <v>176</v>
      </c>
      <c r="K38" s="1">
        <v>37.770000000000003</v>
      </c>
      <c r="L38" s="1">
        <v>37.770000000000003</v>
      </c>
      <c r="M38" s="1">
        <v>0</v>
      </c>
      <c r="N38" s="1">
        <v>37.770000000000003</v>
      </c>
      <c r="O38" s="1">
        <v>2908.29</v>
      </c>
      <c r="P38" s="1">
        <v>2908.29</v>
      </c>
      <c r="Q38" s="1">
        <v>0</v>
      </c>
      <c r="R38" s="1">
        <v>3053.77</v>
      </c>
      <c r="S38" t="s">
        <v>12</v>
      </c>
      <c r="T38" s="13">
        <v>45858</v>
      </c>
      <c r="U38" s="1" t="str">
        <f>IF(ESTIMATIVA[[#This Row],[QT_AREA_REAL]]&gt;0,"1- Colhido","2- à Colher")</f>
        <v>1- Colhido</v>
      </c>
      <c r="V38" s="1" t="str">
        <f>IF(ESTIMATIVA[[#This Row],[QT_AREA_REST1]]&gt;0,"Reestimativa 1",IF(ESTIMATIVA[[#This Row],[QT_AREA_REAL]]=0,"Reestimativa 1","Realizado"))</f>
        <v>Reestimativa 1</v>
      </c>
      <c r="W38" s="1" t="str">
        <f>IF(ESTIMATIVA[[#This Row],[QT_AREA_REST2]]&gt;0,"Reestimativa 2",IF(ESTIMATIVA[[#This Row],[QT_AREA_REAL]]=0,"Reestimativa 2","Realizado"))</f>
        <v>Realizado</v>
      </c>
      <c r="X38" s="1">
        <f>ESTIMATIVA[[#This Row],[QT_AREA_EST]]</f>
        <v>37.770000000000003</v>
      </c>
      <c r="Y38" s="1">
        <f>IF(ESTIMATIVA[[#This Row],[QT_AREA_REST1]]&gt;0,ESTIMATIVA[[#This Row],[QT_AREA_REST1]],
  IF(ESTIMATIVA[[#This Row],[QT_AREA_REAL]]&gt;0,ESTIMATIVA[[#This Row],[QT_AREA_REAL]],ESTIMATIVA[[#This Row],[QT_AREA_EST]]))</f>
        <v>37.770000000000003</v>
      </c>
      <c r="Z3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37.770000000000003</v>
      </c>
      <c r="AA38" s="1">
        <f>ESTIMATIVA[[#This Row],[QT_CANA_EST]]</f>
        <v>2908.29</v>
      </c>
      <c r="AB38" s="1">
        <f>IF(ESTIMATIVA[[#This Row],[QT_CANA_REST1]]&gt;0,ESTIMATIVA[[#This Row],[QT_CANA_REST1]],
  IF(ESTIMATIVA[[#This Row],[QT_CANA_REAL]]&gt;0,ESTIMATIVA[[#This Row],[QT_CANA_REAL]],ESTIMATIVA[[#This Row],[QT_CANA_EST]]))</f>
        <v>2908.29</v>
      </c>
      <c r="AC3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3053.77</v>
      </c>
      <c r="AD38" s="1">
        <f>IF(ESTIMATIVA[[#This Row],[QT_AREA_REAL]]&gt;0,ESTIMATIVA[[#This Row],[QT_CANA_REAL]],ESTIMATIVA[[#This Row],[QT_CANA_EST]])</f>
        <v>3053.77</v>
      </c>
      <c r="AE38" s="1">
        <f>IF(ESTIMATIVA[[#This Row],[QT_AREA_REAL]]&gt;0,ESTIMATIVA[[#This Row],[QT_CANA_REAL]],ESTIMATIVA[[#This Row],[QT_CANA_REST1]])</f>
        <v>3053.77</v>
      </c>
      <c r="AF38" s="1">
        <f>IF(ESTIMATIVA[[#This Row],[QT_AREA_REAL]]&gt;0,ESTIMATIVA[[#This Row],[QT_CANA_REAL]],ESTIMATIVA[[#This Row],[QT_CANA_REST2]])</f>
        <v>3053.77</v>
      </c>
      <c r="AG38" s="1" t="str">
        <f>IF(COUNTIFS(GEADA!A:A,VALUE(ESTIMATIVA[[#This Row],[CD_UPNIVEL1]]&amp;TEXT(ESTIMATIVA[[#This Row],[CD_UPNIVEL3]],"0000")))&gt;0,"S","N")</f>
        <v>N</v>
      </c>
      <c r="AH3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38" s="55" t="str">
        <f>IF(ESTIMATIVA[[#This Row],[TP_CULTIVO]]="Irrigado",_xlfn.MAXIFS(IRRIGADO!J:J,IRRIGADO!C:C,ESTIMATIVA[[#This Row],[CD_UPNIVEL1]],IRRIGADO!E:E,ESTIMATIVA[[#This Row],[CD_UPNIVEL3]]),"")</f>
        <v/>
      </c>
      <c r="AJ3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8" s="1">
        <f>COUNTIFS(Apresentação!$E$23:$E$29,ESTIMATIVA[[#This Row],[CD_UPNIVEL1]])</f>
        <v>0</v>
      </c>
    </row>
    <row r="39" spans="1:37" x14ac:dyDescent="0.3">
      <c r="A39">
        <v>10311</v>
      </c>
      <c r="B39" t="s">
        <v>13</v>
      </c>
      <c r="C39">
        <v>12</v>
      </c>
      <c r="D39">
        <v>4</v>
      </c>
      <c r="E39" t="s">
        <v>265</v>
      </c>
      <c r="F39" s="85" t="s">
        <v>332</v>
      </c>
      <c r="G39"/>
      <c r="H39" t="s">
        <v>294</v>
      </c>
      <c r="I39" t="s">
        <v>197</v>
      </c>
      <c r="J39" t="s">
        <v>176</v>
      </c>
      <c r="K39" s="1">
        <v>1.18</v>
      </c>
      <c r="L39" s="1">
        <v>1.18</v>
      </c>
      <c r="M39" s="1">
        <v>0</v>
      </c>
      <c r="N39" s="1">
        <v>1.18</v>
      </c>
      <c r="O39" s="1">
        <v>70.8</v>
      </c>
      <c r="P39" s="1">
        <v>74.34</v>
      </c>
      <c r="Q39" s="1">
        <v>0</v>
      </c>
      <c r="R39" s="1">
        <v>63.29</v>
      </c>
      <c r="S39" t="s">
        <v>12</v>
      </c>
      <c r="T39" s="13">
        <v>45879</v>
      </c>
      <c r="U39" s="1" t="str">
        <f>IF(ESTIMATIVA[[#This Row],[QT_AREA_REAL]]&gt;0,"1- Colhido","2- à Colher")</f>
        <v>1- Colhido</v>
      </c>
      <c r="V39" s="1" t="str">
        <f>IF(ESTIMATIVA[[#This Row],[QT_AREA_REST1]]&gt;0,"Reestimativa 1",IF(ESTIMATIVA[[#This Row],[QT_AREA_REAL]]=0,"Reestimativa 1","Realizado"))</f>
        <v>Reestimativa 1</v>
      </c>
      <c r="W39" s="1" t="str">
        <f>IF(ESTIMATIVA[[#This Row],[QT_AREA_REST2]]&gt;0,"Reestimativa 2",IF(ESTIMATIVA[[#This Row],[QT_AREA_REAL]]=0,"Reestimativa 2","Realizado"))</f>
        <v>Realizado</v>
      </c>
      <c r="X39" s="1">
        <f>ESTIMATIVA[[#This Row],[QT_AREA_EST]]</f>
        <v>1.18</v>
      </c>
      <c r="Y39" s="1">
        <f>IF(ESTIMATIVA[[#This Row],[QT_AREA_REST1]]&gt;0,ESTIMATIVA[[#This Row],[QT_AREA_REST1]],
  IF(ESTIMATIVA[[#This Row],[QT_AREA_REAL]]&gt;0,ESTIMATIVA[[#This Row],[QT_AREA_REAL]],ESTIMATIVA[[#This Row],[QT_AREA_EST]]))</f>
        <v>1.18</v>
      </c>
      <c r="Z3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1.18</v>
      </c>
      <c r="AA39" s="1">
        <f>ESTIMATIVA[[#This Row],[QT_CANA_EST]]</f>
        <v>70.8</v>
      </c>
      <c r="AB39" s="1">
        <f>IF(ESTIMATIVA[[#This Row],[QT_CANA_REST1]]&gt;0,ESTIMATIVA[[#This Row],[QT_CANA_REST1]],
  IF(ESTIMATIVA[[#This Row],[QT_CANA_REAL]]&gt;0,ESTIMATIVA[[#This Row],[QT_CANA_REAL]],ESTIMATIVA[[#This Row],[QT_CANA_EST]]))</f>
        <v>74.34</v>
      </c>
      <c r="AC3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63.29</v>
      </c>
      <c r="AD39" s="1">
        <f>IF(ESTIMATIVA[[#This Row],[QT_AREA_REAL]]&gt;0,ESTIMATIVA[[#This Row],[QT_CANA_REAL]],ESTIMATIVA[[#This Row],[QT_CANA_EST]])</f>
        <v>63.29</v>
      </c>
      <c r="AE39" s="1">
        <f>IF(ESTIMATIVA[[#This Row],[QT_AREA_REAL]]&gt;0,ESTIMATIVA[[#This Row],[QT_CANA_REAL]],ESTIMATIVA[[#This Row],[QT_CANA_REST1]])</f>
        <v>63.29</v>
      </c>
      <c r="AF39" s="1">
        <f>IF(ESTIMATIVA[[#This Row],[QT_AREA_REAL]]&gt;0,ESTIMATIVA[[#This Row],[QT_CANA_REAL]],ESTIMATIVA[[#This Row],[QT_CANA_REST2]])</f>
        <v>63.29</v>
      </c>
      <c r="AG39" s="1" t="str">
        <f>IF(COUNTIFS(GEADA!A:A,VALUE(ESTIMATIVA[[#This Row],[CD_UPNIVEL1]]&amp;TEXT(ESTIMATIVA[[#This Row],[CD_UPNIVEL3]],"0000")))&gt;0,"S","N")</f>
        <v>S</v>
      </c>
      <c r="AH3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39" s="55" t="str">
        <f>IF(ESTIMATIVA[[#This Row],[TP_CULTIVO]]="Irrigado",_xlfn.MAXIFS(IRRIGADO!J:J,IRRIGADO!C:C,ESTIMATIVA[[#This Row],[CD_UPNIVEL1]],IRRIGADO!E:E,ESTIMATIVA[[#This Row],[CD_UPNIVEL3]]),"")</f>
        <v/>
      </c>
      <c r="AJ3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9" s="1">
        <f>COUNTIFS(Apresentação!$E$23:$E$29,ESTIMATIVA[[#This Row],[CD_UPNIVEL1]])</f>
        <v>0</v>
      </c>
    </row>
    <row r="40" spans="1:37" x14ac:dyDescent="0.3">
      <c r="A40">
        <v>10311</v>
      </c>
      <c r="B40" t="s">
        <v>13</v>
      </c>
      <c r="C40">
        <v>13</v>
      </c>
      <c r="D40">
        <v>4</v>
      </c>
      <c r="E40" t="s">
        <v>265</v>
      </c>
      <c r="F40" s="85" t="s">
        <v>330</v>
      </c>
      <c r="G40"/>
      <c r="H40" t="s">
        <v>294</v>
      </c>
      <c r="I40" t="s">
        <v>197</v>
      </c>
      <c r="J40" t="s">
        <v>176</v>
      </c>
      <c r="K40" s="1">
        <v>7.23</v>
      </c>
      <c r="L40" s="1">
        <v>7.23</v>
      </c>
      <c r="M40" s="1">
        <v>0</v>
      </c>
      <c r="N40" s="1">
        <v>7.23</v>
      </c>
      <c r="O40" s="1">
        <v>433.8</v>
      </c>
      <c r="P40" s="1">
        <v>455.49</v>
      </c>
      <c r="Q40" s="1">
        <v>0</v>
      </c>
      <c r="R40" s="1">
        <v>389.21</v>
      </c>
      <c r="S40" t="s">
        <v>12</v>
      </c>
      <c r="T40" s="13">
        <v>45879</v>
      </c>
      <c r="U40" s="1" t="str">
        <f>IF(ESTIMATIVA[[#This Row],[QT_AREA_REAL]]&gt;0,"1- Colhido","2- à Colher")</f>
        <v>1- Colhido</v>
      </c>
      <c r="V40" s="1" t="str">
        <f>IF(ESTIMATIVA[[#This Row],[QT_AREA_REST1]]&gt;0,"Reestimativa 1",IF(ESTIMATIVA[[#This Row],[QT_AREA_REAL]]=0,"Reestimativa 1","Realizado"))</f>
        <v>Reestimativa 1</v>
      </c>
      <c r="W40" s="1" t="str">
        <f>IF(ESTIMATIVA[[#This Row],[QT_AREA_REST2]]&gt;0,"Reestimativa 2",IF(ESTIMATIVA[[#This Row],[QT_AREA_REAL]]=0,"Reestimativa 2","Realizado"))</f>
        <v>Realizado</v>
      </c>
      <c r="X40" s="1">
        <f>ESTIMATIVA[[#This Row],[QT_AREA_EST]]</f>
        <v>7.23</v>
      </c>
      <c r="Y40" s="1">
        <f>IF(ESTIMATIVA[[#This Row],[QT_AREA_REST1]]&gt;0,ESTIMATIVA[[#This Row],[QT_AREA_REST1]],
  IF(ESTIMATIVA[[#This Row],[QT_AREA_REAL]]&gt;0,ESTIMATIVA[[#This Row],[QT_AREA_REAL]],ESTIMATIVA[[#This Row],[QT_AREA_EST]]))</f>
        <v>7.23</v>
      </c>
      <c r="Z4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7.23</v>
      </c>
      <c r="AA40" s="1">
        <f>ESTIMATIVA[[#This Row],[QT_CANA_EST]]</f>
        <v>433.8</v>
      </c>
      <c r="AB40" s="1">
        <f>IF(ESTIMATIVA[[#This Row],[QT_CANA_REST1]]&gt;0,ESTIMATIVA[[#This Row],[QT_CANA_REST1]],
  IF(ESTIMATIVA[[#This Row],[QT_CANA_REAL]]&gt;0,ESTIMATIVA[[#This Row],[QT_CANA_REAL]],ESTIMATIVA[[#This Row],[QT_CANA_EST]]))</f>
        <v>455.49</v>
      </c>
      <c r="AC4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389.21</v>
      </c>
      <c r="AD40" s="1">
        <f>IF(ESTIMATIVA[[#This Row],[QT_AREA_REAL]]&gt;0,ESTIMATIVA[[#This Row],[QT_CANA_REAL]],ESTIMATIVA[[#This Row],[QT_CANA_EST]])</f>
        <v>389.21</v>
      </c>
      <c r="AE40" s="1">
        <f>IF(ESTIMATIVA[[#This Row],[QT_AREA_REAL]]&gt;0,ESTIMATIVA[[#This Row],[QT_CANA_REAL]],ESTIMATIVA[[#This Row],[QT_CANA_REST1]])</f>
        <v>389.21</v>
      </c>
      <c r="AF40" s="1">
        <f>IF(ESTIMATIVA[[#This Row],[QT_AREA_REAL]]&gt;0,ESTIMATIVA[[#This Row],[QT_CANA_REAL]],ESTIMATIVA[[#This Row],[QT_CANA_REST2]])</f>
        <v>389.21</v>
      </c>
      <c r="AG40" s="1" t="str">
        <f>IF(COUNTIFS(GEADA!A:A,VALUE(ESTIMATIVA[[#This Row],[CD_UPNIVEL1]]&amp;TEXT(ESTIMATIVA[[#This Row],[CD_UPNIVEL3]],"0000")))&gt;0,"S","N")</f>
        <v>S</v>
      </c>
      <c r="AH4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40" s="55" t="str">
        <f>IF(ESTIMATIVA[[#This Row],[TP_CULTIVO]]="Irrigado",_xlfn.MAXIFS(IRRIGADO!J:J,IRRIGADO!C:C,ESTIMATIVA[[#This Row],[CD_UPNIVEL1]],IRRIGADO!E:E,ESTIMATIVA[[#This Row],[CD_UPNIVEL3]]),"")</f>
        <v/>
      </c>
      <c r="AJ4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0" s="1">
        <f>COUNTIFS(Apresentação!$E$23:$E$29,ESTIMATIVA[[#This Row],[CD_UPNIVEL1]])</f>
        <v>0</v>
      </c>
    </row>
    <row r="41" spans="1:37" x14ac:dyDescent="0.3">
      <c r="A41">
        <v>10311</v>
      </c>
      <c r="B41" t="s">
        <v>13</v>
      </c>
      <c r="C41">
        <v>14</v>
      </c>
      <c r="D41">
        <v>3</v>
      </c>
      <c r="E41" t="s">
        <v>263</v>
      </c>
      <c r="F41" s="85" t="s">
        <v>332</v>
      </c>
      <c r="G41"/>
      <c r="H41" t="s">
        <v>294</v>
      </c>
      <c r="I41" t="s">
        <v>197</v>
      </c>
      <c r="J41" t="s">
        <v>176</v>
      </c>
      <c r="K41" s="1">
        <v>20.64</v>
      </c>
      <c r="L41" s="1">
        <v>20.64</v>
      </c>
      <c r="M41" s="1">
        <v>0</v>
      </c>
      <c r="N41" s="1">
        <v>20.64</v>
      </c>
      <c r="O41" s="1">
        <v>1733.76</v>
      </c>
      <c r="P41" s="1">
        <v>1816.32</v>
      </c>
      <c r="Q41" s="1">
        <v>0</v>
      </c>
      <c r="R41" s="1">
        <v>1928.21</v>
      </c>
      <c r="S41" t="s">
        <v>12</v>
      </c>
      <c r="T41" s="13">
        <v>45851</v>
      </c>
      <c r="U41" s="1" t="str">
        <f>IF(ESTIMATIVA[[#This Row],[QT_AREA_REAL]]&gt;0,"1- Colhido","2- à Colher")</f>
        <v>1- Colhido</v>
      </c>
      <c r="V41" s="1" t="str">
        <f>IF(ESTIMATIVA[[#This Row],[QT_AREA_REST1]]&gt;0,"Reestimativa 1",IF(ESTIMATIVA[[#This Row],[QT_AREA_REAL]]=0,"Reestimativa 1","Realizado"))</f>
        <v>Reestimativa 1</v>
      </c>
      <c r="W41" s="1" t="str">
        <f>IF(ESTIMATIVA[[#This Row],[QT_AREA_REST2]]&gt;0,"Reestimativa 2",IF(ESTIMATIVA[[#This Row],[QT_AREA_REAL]]=0,"Reestimativa 2","Realizado"))</f>
        <v>Realizado</v>
      </c>
      <c r="X41" s="1">
        <f>ESTIMATIVA[[#This Row],[QT_AREA_EST]]</f>
        <v>20.64</v>
      </c>
      <c r="Y41" s="1">
        <f>IF(ESTIMATIVA[[#This Row],[QT_AREA_REST1]]&gt;0,ESTIMATIVA[[#This Row],[QT_AREA_REST1]],
  IF(ESTIMATIVA[[#This Row],[QT_AREA_REAL]]&gt;0,ESTIMATIVA[[#This Row],[QT_AREA_REAL]],ESTIMATIVA[[#This Row],[QT_AREA_EST]]))</f>
        <v>20.64</v>
      </c>
      <c r="Z4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20.64</v>
      </c>
      <c r="AA41" s="1">
        <f>ESTIMATIVA[[#This Row],[QT_CANA_EST]]</f>
        <v>1733.76</v>
      </c>
      <c r="AB41" s="1">
        <f>IF(ESTIMATIVA[[#This Row],[QT_CANA_REST1]]&gt;0,ESTIMATIVA[[#This Row],[QT_CANA_REST1]],
  IF(ESTIMATIVA[[#This Row],[QT_CANA_REAL]]&gt;0,ESTIMATIVA[[#This Row],[QT_CANA_REAL]],ESTIMATIVA[[#This Row],[QT_CANA_EST]]))</f>
        <v>1816.32</v>
      </c>
      <c r="AC4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1928.21</v>
      </c>
      <c r="AD41" s="1">
        <f>IF(ESTIMATIVA[[#This Row],[QT_AREA_REAL]]&gt;0,ESTIMATIVA[[#This Row],[QT_CANA_REAL]],ESTIMATIVA[[#This Row],[QT_CANA_EST]])</f>
        <v>1928.21</v>
      </c>
      <c r="AE41" s="1">
        <f>IF(ESTIMATIVA[[#This Row],[QT_AREA_REAL]]&gt;0,ESTIMATIVA[[#This Row],[QT_CANA_REAL]],ESTIMATIVA[[#This Row],[QT_CANA_REST1]])</f>
        <v>1928.21</v>
      </c>
      <c r="AF41" s="1">
        <f>IF(ESTIMATIVA[[#This Row],[QT_AREA_REAL]]&gt;0,ESTIMATIVA[[#This Row],[QT_CANA_REAL]],ESTIMATIVA[[#This Row],[QT_CANA_REST2]])</f>
        <v>1928.21</v>
      </c>
      <c r="AG41" s="1" t="str">
        <f>IF(COUNTIFS(GEADA!A:A,VALUE(ESTIMATIVA[[#This Row],[CD_UPNIVEL1]]&amp;TEXT(ESTIMATIVA[[#This Row],[CD_UPNIVEL3]],"0000")))&gt;0,"S","N")</f>
        <v>S</v>
      </c>
      <c r="AH4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41" s="55" t="str">
        <f>IF(ESTIMATIVA[[#This Row],[TP_CULTIVO]]="Irrigado",_xlfn.MAXIFS(IRRIGADO!J:J,IRRIGADO!C:C,ESTIMATIVA[[#This Row],[CD_UPNIVEL1]],IRRIGADO!E:E,ESTIMATIVA[[#This Row],[CD_UPNIVEL3]]),"")</f>
        <v/>
      </c>
      <c r="AJ4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1" s="1">
        <f>COUNTIFS(Apresentação!$E$23:$E$29,ESTIMATIVA[[#This Row],[CD_UPNIVEL1]])</f>
        <v>0</v>
      </c>
    </row>
    <row r="42" spans="1:37" x14ac:dyDescent="0.3">
      <c r="A42">
        <v>10311</v>
      </c>
      <c r="B42" t="s">
        <v>13</v>
      </c>
      <c r="C42">
        <v>45</v>
      </c>
      <c r="D42">
        <v>4</v>
      </c>
      <c r="E42" t="s">
        <v>265</v>
      </c>
      <c r="F42" s="85" t="s">
        <v>332</v>
      </c>
      <c r="G42"/>
      <c r="H42" t="s">
        <v>294</v>
      </c>
      <c r="I42" t="s">
        <v>197</v>
      </c>
      <c r="J42" t="s">
        <v>176</v>
      </c>
      <c r="K42" s="1">
        <v>11.61</v>
      </c>
      <c r="L42" s="1">
        <v>11.61</v>
      </c>
      <c r="M42" s="1">
        <v>0</v>
      </c>
      <c r="N42" s="1">
        <v>11.61</v>
      </c>
      <c r="O42" s="1">
        <v>650.16</v>
      </c>
      <c r="P42" s="1">
        <v>696.6</v>
      </c>
      <c r="Q42" s="1">
        <v>0</v>
      </c>
      <c r="R42" s="1">
        <v>596.28</v>
      </c>
      <c r="S42" t="s">
        <v>12</v>
      </c>
      <c r="T42" s="13">
        <v>45879</v>
      </c>
      <c r="U42" s="1" t="str">
        <f>IF(ESTIMATIVA[[#This Row],[QT_AREA_REAL]]&gt;0,"1- Colhido","2- à Colher")</f>
        <v>1- Colhido</v>
      </c>
      <c r="V42" s="1" t="str">
        <f>IF(ESTIMATIVA[[#This Row],[QT_AREA_REST1]]&gt;0,"Reestimativa 1",IF(ESTIMATIVA[[#This Row],[QT_AREA_REAL]]=0,"Reestimativa 1","Realizado"))</f>
        <v>Reestimativa 1</v>
      </c>
      <c r="W42" s="1" t="str">
        <f>IF(ESTIMATIVA[[#This Row],[QT_AREA_REST2]]&gt;0,"Reestimativa 2",IF(ESTIMATIVA[[#This Row],[QT_AREA_REAL]]=0,"Reestimativa 2","Realizado"))</f>
        <v>Realizado</v>
      </c>
      <c r="X42" s="1">
        <f>ESTIMATIVA[[#This Row],[QT_AREA_EST]]</f>
        <v>11.61</v>
      </c>
      <c r="Y42" s="1">
        <f>IF(ESTIMATIVA[[#This Row],[QT_AREA_REST1]]&gt;0,ESTIMATIVA[[#This Row],[QT_AREA_REST1]],
  IF(ESTIMATIVA[[#This Row],[QT_AREA_REAL]]&gt;0,ESTIMATIVA[[#This Row],[QT_AREA_REAL]],ESTIMATIVA[[#This Row],[QT_AREA_EST]]))</f>
        <v>11.61</v>
      </c>
      <c r="Z4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11.61</v>
      </c>
      <c r="AA42" s="1">
        <f>ESTIMATIVA[[#This Row],[QT_CANA_EST]]</f>
        <v>650.16</v>
      </c>
      <c r="AB42" s="1">
        <f>IF(ESTIMATIVA[[#This Row],[QT_CANA_REST1]]&gt;0,ESTIMATIVA[[#This Row],[QT_CANA_REST1]],
  IF(ESTIMATIVA[[#This Row],[QT_CANA_REAL]]&gt;0,ESTIMATIVA[[#This Row],[QT_CANA_REAL]],ESTIMATIVA[[#This Row],[QT_CANA_EST]]))</f>
        <v>696.6</v>
      </c>
      <c r="AC4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596.28</v>
      </c>
      <c r="AD42" s="1">
        <f>IF(ESTIMATIVA[[#This Row],[QT_AREA_REAL]]&gt;0,ESTIMATIVA[[#This Row],[QT_CANA_REAL]],ESTIMATIVA[[#This Row],[QT_CANA_EST]])</f>
        <v>596.28</v>
      </c>
      <c r="AE42" s="1">
        <f>IF(ESTIMATIVA[[#This Row],[QT_AREA_REAL]]&gt;0,ESTIMATIVA[[#This Row],[QT_CANA_REAL]],ESTIMATIVA[[#This Row],[QT_CANA_REST1]])</f>
        <v>596.28</v>
      </c>
      <c r="AF42" s="1">
        <f>IF(ESTIMATIVA[[#This Row],[QT_AREA_REAL]]&gt;0,ESTIMATIVA[[#This Row],[QT_CANA_REAL]],ESTIMATIVA[[#This Row],[QT_CANA_REST2]])</f>
        <v>596.28</v>
      </c>
      <c r="AG42" s="1" t="str">
        <f>IF(COUNTIFS(GEADA!A:A,VALUE(ESTIMATIVA[[#This Row],[CD_UPNIVEL1]]&amp;TEXT(ESTIMATIVA[[#This Row],[CD_UPNIVEL3]],"0000")))&gt;0,"S","N")</f>
        <v>N</v>
      </c>
      <c r="AH4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42" s="55" t="str">
        <f>IF(ESTIMATIVA[[#This Row],[TP_CULTIVO]]="Irrigado",_xlfn.MAXIFS(IRRIGADO!J:J,IRRIGADO!C:C,ESTIMATIVA[[#This Row],[CD_UPNIVEL1]],IRRIGADO!E:E,ESTIMATIVA[[#This Row],[CD_UPNIVEL3]]),"")</f>
        <v/>
      </c>
      <c r="AJ4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2" s="1">
        <f>COUNTIFS(Apresentação!$E$23:$E$29,ESTIMATIVA[[#This Row],[CD_UPNIVEL1]])</f>
        <v>0</v>
      </c>
    </row>
    <row r="43" spans="1:37" x14ac:dyDescent="0.3">
      <c r="A43">
        <v>10311</v>
      </c>
      <c r="B43" t="s">
        <v>13</v>
      </c>
      <c r="C43">
        <v>46</v>
      </c>
      <c r="D43">
        <v>4</v>
      </c>
      <c r="E43" t="s">
        <v>265</v>
      </c>
      <c r="F43" s="85" t="s">
        <v>333</v>
      </c>
      <c r="G43"/>
      <c r="H43" t="s">
        <v>294</v>
      </c>
      <c r="I43" t="s">
        <v>197</v>
      </c>
      <c r="J43" t="s">
        <v>176</v>
      </c>
      <c r="K43" s="1">
        <v>19.47</v>
      </c>
      <c r="L43" s="1">
        <v>0</v>
      </c>
      <c r="M43" s="1">
        <v>0</v>
      </c>
      <c r="N43" s="1">
        <v>19.47</v>
      </c>
      <c r="O43" s="1">
        <v>1090.32</v>
      </c>
      <c r="P43" s="1">
        <v>0</v>
      </c>
      <c r="Q43" s="1">
        <v>0</v>
      </c>
      <c r="R43" s="1">
        <v>830.24</v>
      </c>
      <c r="S43" t="s">
        <v>12</v>
      </c>
      <c r="T43" s="13">
        <v>45795</v>
      </c>
      <c r="U43" s="1" t="str">
        <f>IF(ESTIMATIVA[[#This Row],[QT_AREA_REAL]]&gt;0,"1- Colhido","2- à Colher")</f>
        <v>1- Colhido</v>
      </c>
      <c r="V43" s="1" t="str">
        <f>IF(ESTIMATIVA[[#This Row],[QT_AREA_REST1]]&gt;0,"Reestimativa 1",IF(ESTIMATIVA[[#This Row],[QT_AREA_REAL]]=0,"Reestimativa 1","Realizado"))</f>
        <v>Realizado</v>
      </c>
      <c r="W43" s="1" t="str">
        <f>IF(ESTIMATIVA[[#This Row],[QT_AREA_REST2]]&gt;0,"Reestimativa 2",IF(ESTIMATIVA[[#This Row],[QT_AREA_REAL]]=0,"Reestimativa 2","Realizado"))</f>
        <v>Realizado</v>
      </c>
      <c r="X43" s="1">
        <f>ESTIMATIVA[[#This Row],[QT_AREA_EST]]</f>
        <v>19.47</v>
      </c>
      <c r="Y43" s="1">
        <f>IF(ESTIMATIVA[[#This Row],[QT_AREA_REST1]]&gt;0,ESTIMATIVA[[#This Row],[QT_AREA_REST1]],
  IF(ESTIMATIVA[[#This Row],[QT_AREA_REAL]]&gt;0,ESTIMATIVA[[#This Row],[QT_AREA_REAL]],ESTIMATIVA[[#This Row],[QT_AREA_EST]]))</f>
        <v>19.47</v>
      </c>
      <c r="Z4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19.47</v>
      </c>
      <c r="AA43" s="1">
        <f>ESTIMATIVA[[#This Row],[QT_CANA_EST]]</f>
        <v>1090.32</v>
      </c>
      <c r="AB43" s="1">
        <f>IF(ESTIMATIVA[[#This Row],[QT_CANA_REST1]]&gt;0,ESTIMATIVA[[#This Row],[QT_CANA_REST1]],
  IF(ESTIMATIVA[[#This Row],[QT_CANA_REAL]]&gt;0,ESTIMATIVA[[#This Row],[QT_CANA_REAL]],ESTIMATIVA[[#This Row],[QT_CANA_EST]]))</f>
        <v>830.24</v>
      </c>
      <c r="AC4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830.24</v>
      </c>
      <c r="AD43" s="1">
        <f>IF(ESTIMATIVA[[#This Row],[QT_AREA_REAL]]&gt;0,ESTIMATIVA[[#This Row],[QT_CANA_REAL]],ESTIMATIVA[[#This Row],[QT_CANA_EST]])</f>
        <v>830.24</v>
      </c>
      <c r="AE43" s="1">
        <f>IF(ESTIMATIVA[[#This Row],[QT_AREA_REAL]]&gt;0,ESTIMATIVA[[#This Row],[QT_CANA_REAL]],ESTIMATIVA[[#This Row],[QT_CANA_REST1]])</f>
        <v>830.24</v>
      </c>
      <c r="AF43" s="1">
        <f>IF(ESTIMATIVA[[#This Row],[QT_AREA_REAL]]&gt;0,ESTIMATIVA[[#This Row],[QT_CANA_REAL]],ESTIMATIVA[[#This Row],[QT_CANA_REST2]])</f>
        <v>830.24</v>
      </c>
      <c r="AG43" s="1" t="str">
        <f>IF(COUNTIFS(GEADA!A:A,VALUE(ESTIMATIVA[[#This Row],[CD_UPNIVEL1]]&amp;TEXT(ESTIMATIVA[[#This Row],[CD_UPNIVEL3]],"0000")))&gt;0,"S","N")</f>
        <v>N</v>
      </c>
      <c r="AH4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43" s="55" t="str">
        <f>IF(ESTIMATIVA[[#This Row],[TP_CULTIVO]]="Irrigado",_xlfn.MAXIFS(IRRIGADO!J:J,IRRIGADO!C:C,ESTIMATIVA[[#This Row],[CD_UPNIVEL1]],IRRIGADO!E:E,ESTIMATIVA[[#This Row],[CD_UPNIVEL3]]),"")</f>
        <v/>
      </c>
      <c r="AJ4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3" s="1">
        <f>COUNTIFS(Apresentação!$E$23:$E$29,ESTIMATIVA[[#This Row],[CD_UPNIVEL1]])</f>
        <v>0</v>
      </c>
    </row>
    <row r="44" spans="1:37" x14ac:dyDescent="0.3">
      <c r="A44">
        <v>10311</v>
      </c>
      <c r="B44" t="s">
        <v>13</v>
      </c>
      <c r="C44">
        <v>47</v>
      </c>
      <c r="D44">
        <v>4</v>
      </c>
      <c r="E44" t="s">
        <v>265</v>
      </c>
      <c r="F44" s="85" t="s">
        <v>333</v>
      </c>
      <c r="G44"/>
      <c r="H44" t="s">
        <v>294</v>
      </c>
      <c r="I44" t="s">
        <v>197</v>
      </c>
      <c r="J44" t="s">
        <v>176</v>
      </c>
      <c r="K44" s="1">
        <v>39.04</v>
      </c>
      <c r="L44" s="1">
        <v>0</v>
      </c>
      <c r="M44" s="1">
        <v>0</v>
      </c>
      <c r="N44" s="1">
        <v>39.04</v>
      </c>
      <c r="O44" s="1">
        <v>2186.2399999999998</v>
      </c>
      <c r="P44" s="1">
        <v>0</v>
      </c>
      <c r="Q44" s="1">
        <v>0</v>
      </c>
      <c r="R44" s="1">
        <v>1665.18</v>
      </c>
      <c r="S44" t="s">
        <v>12</v>
      </c>
      <c r="T44" s="13">
        <v>45795</v>
      </c>
      <c r="U44" s="1" t="str">
        <f>IF(ESTIMATIVA[[#This Row],[QT_AREA_REAL]]&gt;0,"1- Colhido","2- à Colher")</f>
        <v>1- Colhido</v>
      </c>
      <c r="V44" s="1" t="str">
        <f>IF(ESTIMATIVA[[#This Row],[QT_AREA_REST1]]&gt;0,"Reestimativa 1",IF(ESTIMATIVA[[#This Row],[QT_AREA_REAL]]=0,"Reestimativa 1","Realizado"))</f>
        <v>Realizado</v>
      </c>
      <c r="W44" s="1" t="str">
        <f>IF(ESTIMATIVA[[#This Row],[QT_AREA_REST2]]&gt;0,"Reestimativa 2",IF(ESTIMATIVA[[#This Row],[QT_AREA_REAL]]=0,"Reestimativa 2","Realizado"))</f>
        <v>Realizado</v>
      </c>
      <c r="X44" s="1">
        <f>ESTIMATIVA[[#This Row],[QT_AREA_EST]]</f>
        <v>39.04</v>
      </c>
      <c r="Y44" s="1">
        <f>IF(ESTIMATIVA[[#This Row],[QT_AREA_REST1]]&gt;0,ESTIMATIVA[[#This Row],[QT_AREA_REST1]],
  IF(ESTIMATIVA[[#This Row],[QT_AREA_REAL]]&gt;0,ESTIMATIVA[[#This Row],[QT_AREA_REAL]],ESTIMATIVA[[#This Row],[QT_AREA_EST]]))</f>
        <v>39.04</v>
      </c>
      <c r="Z4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39.04</v>
      </c>
      <c r="AA44" s="1">
        <f>ESTIMATIVA[[#This Row],[QT_CANA_EST]]</f>
        <v>2186.2399999999998</v>
      </c>
      <c r="AB44" s="1">
        <f>IF(ESTIMATIVA[[#This Row],[QT_CANA_REST1]]&gt;0,ESTIMATIVA[[#This Row],[QT_CANA_REST1]],
  IF(ESTIMATIVA[[#This Row],[QT_CANA_REAL]]&gt;0,ESTIMATIVA[[#This Row],[QT_CANA_REAL]],ESTIMATIVA[[#This Row],[QT_CANA_EST]]))</f>
        <v>1665.18</v>
      </c>
      <c r="AC4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1665.18</v>
      </c>
      <c r="AD44" s="1">
        <f>IF(ESTIMATIVA[[#This Row],[QT_AREA_REAL]]&gt;0,ESTIMATIVA[[#This Row],[QT_CANA_REAL]],ESTIMATIVA[[#This Row],[QT_CANA_EST]])</f>
        <v>1665.18</v>
      </c>
      <c r="AE44" s="1">
        <f>IF(ESTIMATIVA[[#This Row],[QT_AREA_REAL]]&gt;0,ESTIMATIVA[[#This Row],[QT_CANA_REAL]],ESTIMATIVA[[#This Row],[QT_CANA_REST1]])</f>
        <v>1665.18</v>
      </c>
      <c r="AF44" s="1">
        <f>IF(ESTIMATIVA[[#This Row],[QT_AREA_REAL]]&gt;0,ESTIMATIVA[[#This Row],[QT_CANA_REAL]],ESTIMATIVA[[#This Row],[QT_CANA_REST2]])</f>
        <v>1665.18</v>
      </c>
      <c r="AG44" s="1" t="str">
        <f>IF(COUNTIFS(GEADA!A:A,VALUE(ESTIMATIVA[[#This Row],[CD_UPNIVEL1]]&amp;TEXT(ESTIMATIVA[[#This Row],[CD_UPNIVEL3]],"0000")))&gt;0,"S","N")</f>
        <v>N</v>
      </c>
      <c r="AH4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44" s="55" t="str">
        <f>IF(ESTIMATIVA[[#This Row],[TP_CULTIVO]]="Irrigado",_xlfn.MAXIFS(IRRIGADO!J:J,IRRIGADO!C:C,ESTIMATIVA[[#This Row],[CD_UPNIVEL1]],IRRIGADO!E:E,ESTIMATIVA[[#This Row],[CD_UPNIVEL3]]),"")</f>
        <v/>
      </c>
      <c r="AJ4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4" s="1">
        <f>COUNTIFS(Apresentação!$E$23:$E$29,ESTIMATIVA[[#This Row],[CD_UPNIVEL1]])</f>
        <v>0</v>
      </c>
    </row>
    <row r="45" spans="1:37" x14ac:dyDescent="0.3">
      <c r="A45">
        <v>10311</v>
      </c>
      <c r="B45" t="s">
        <v>13</v>
      </c>
      <c r="C45">
        <v>48</v>
      </c>
      <c r="D45">
        <v>4</v>
      </c>
      <c r="E45" t="s">
        <v>265</v>
      </c>
      <c r="F45" s="85" t="s">
        <v>331</v>
      </c>
      <c r="G45"/>
      <c r="H45" t="s">
        <v>294</v>
      </c>
      <c r="I45" t="s">
        <v>197</v>
      </c>
      <c r="J45" t="s">
        <v>176</v>
      </c>
      <c r="K45" s="1">
        <v>5.34</v>
      </c>
      <c r="L45" s="1">
        <v>0</v>
      </c>
      <c r="M45" s="1">
        <v>0</v>
      </c>
      <c r="N45" s="1">
        <v>5.34</v>
      </c>
      <c r="O45" s="1">
        <v>208.26</v>
      </c>
      <c r="P45" s="1">
        <v>0</v>
      </c>
      <c r="Q45" s="1">
        <v>0</v>
      </c>
      <c r="R45" s="1">
        <v>283.95999999999998</v>
      </c>
      <c r="S45" t="s">
        <v>12</v>
      </c>
      <c r="T45" s="13">
        <v>45760</v>
      </c>
      <c r="U45" s="1" t="str">
        <f>IF(ESTIMATIVA[[#This Row],[QT_AREA_REAL]]&gt;0,"1- Colhido","2- à Colher")</f>
        <v>1- Colhido</v>
      </c>
      <c r="V45" s="1" t="str">
        <f>IF(ESTIMATIVA[[#This Row],[QT_AREA_REST1]]&gt;0,"Reestimativa 1",IF(ESTIMATIVA[[#This Row],[QT_AREA_REAL]]=0,"Reestimativa 1","Realizado"))</f>
        <v>Realizado</v>
      </c>
      <c r="W45" s="1" t="str">
        <f>IF(ESTIMATIVA[[#This Row],[QT_AREA_REST2]]&gt;0,"Reestimativa 2",IF(ESTIMATIVA[[#This Row],[QT_AREA_REAL]]=0,"Reestimativa 2","Realizado"))</f>
        <v>Realizado</v>
      </c>
      <c r="X45" s="1">
        <f>ESTIMATIVA[[#This Row],[QT_AREA_EST]]</f>
        <v>5.34</v>
      </c>
      <c r="Y45" s="1">
        <f>IF(ESTIMATIVA[[#This Row],[QT_AREA_REST1]]&gt;0,ESTIMATIVA[[#This Row],[QT_AREA_REST1]],
  IF(ESTIMATIVA[[#This Row],[QT_AREA_REAL]]&gt;0,ESTIMATIVA[[#This Row],[QT_AREA_REAL]],ESTIMATIVA[[#This Row],[QT_AREA_EST]]))</f>
        <v>5.34</v>
      </c>
      <c r="Z4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5.34</v>
      </c>
      <c r="AA45" s="1">
        <f>ESTIMATIVA[[#This Row],[QT_CANA_EST]]</f>
        <v>208.26</v>
      </c>
      <c r="AB45" s="1">
        <f>IF(ESTIMATIVA[[#This Row],[QT_CANA_REST1]]&gt;0,ESTIMATIVA[[#This Row],[QT_CANA_REST1]],
  IF(ESTIMATIVA[[#This Row],[QT_CANA_REAL]]&gt;0,ESTIMATIVA[[#This Row],[QT_CANA_REAL]],ESTIMATIVA[[#This Row],[QT_CANA_EST]]))</f>
        <v>283.95999999999998</v>
      </c>
      <c r="AC4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283.95999999999998</v>
      </c>
      <c r="AD45" s="1">
        <f>IF(ESTIMATIVA[[#This Row],[QT_AREA_REAL]]&gt;0,ESTIMATIVA[[#This Row],[QT_CANA_REAL]],ESTIMATIVA[[#This Row],[QT_CANA_EST]])</f>
        <v>283.95999999999998</v>
      </c>
      <c r="AE45" s="1">
        <f>IF(ESTIMATIVA[[#This Row],[QT_AREA_REAL]]&gt;0,ESTIMATIVA[[#This Row],[QT_CANA_REAL]],ESTIMATIVA[[#This Row],[QT_CANA_REST1]])</f>
        <v>283.95999999999998</v>
      </c>
      <c r="AF45" s="1">
        <f>IF(ESTIMATIVA[[#This Row],[QT_AREA_REAL]]&gt;0,ESTIMATIVA[[#This Row],[QT_CANA_REAL]],ESTIMATIVA[[#This Row],[QT_CANA_REST2]])</f>
        <v>283.95999999999998</v>
      </c>
      <c r="AG45" s="1" t="str">
        <f>IF(COUNTIFS(GEADA!A:A,VALUE(ESTIMATIVA[[#This Row],[CD_UPNIVEL1]]&amp;TEXT(ESTIMATIVA[[#This Row],[CD_UPNIVEL3]],"0000")))&gt;0,"S","N")</f>
        <v>N</v>
      </c>
      <c r="AH4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45" s="55" t="str">
        <f>IF(ESTIMATIVA[[#This Row],[TP_CULTIVO]]="Irrigado",_xlfn.MAXIFS(IRRIGADO!J:J,IRRIGADO!C:C,ESTIMATIVA[[#This Row],[CD_UPNIVEL1]],IRRIGADO!E:E,ESTIMATIVA[[#This Row],[CD_UPNIVEL3]]),"")</f>
        <v/>
      </c>
      <c r="AJ4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5" s="1">
        <f>COUNTIFS(Apresentação!$E$23:$E$29,ESTIMATIVA[[#This Row],[CD_UPNIVEL1]])</f>
        <v>0</v>
      </c>
    </row>
    <row r="46" spans="1:37" x14ac:dyDescent="0.3">
      <c r="A46">
        <v>10311</v>
      </c>
      <c r="B46" t="s">
        <v>13</v>
      </c>
      <c r="C46">
        <v>49</v>
      </c>
      <c r="D46">
        <v>3</v>
      </c>
      <c r="E46" t="s">
        <v>263</v>
      </c>
      <c r="F46" s="85" t="s">
        <v>330</v>
      </c>
      <c r="G46"/>
      <c r="H46" t="s">
        <v>294</v>
      </c>
      <c r="I46" t="s">
        <v>197</v>
      </c>
      <c r="J46" t="s">
        <v>176</v>
      </c>
      <c r="K46" s="1">
        <v>33.92</v>
      </c>
      <c r="L46" s="1">
        <v>33.92</v>
      </c>
      <c r="M46" s="1">
        <v>0</v>
      </c>
      <c r="N46" s="1">
        <v>33.92</v>
      </c>
      <c r="O46" s="1">
        <v>2747.52</v>
      </c>
      <c r="P46" s="1">
        <v>2815.36</v>
      </c>
      <c r="Q46" s="1">
        <v>0</v>
      </c>
      <c r="R46" s="1">
        <v>2612.2800000000002</v>
      </c>
      <c r="S46" t="s">
        <v>12</v>
      </c>
      <c r="T46" s="13">
        <v>45879</v>
      </c>
      <c r="U46" s="1" t="str">
        <f>IF(ESTIMATIVA[[#This Row],[QT_AREA_REAL]]&gt;0,"1- Colhido","2- à Colher")</f>
        <v>1- Colhido</v>
      </c>
      <c r="V46" s="1" t="str">
        <f>IF(ESTIMATIVA[[#This Row],[QT_AREA_REST1]]&gt;0,"Reestimativa 1",IF(ESTIMATIVA[[#This Row],[QT_AREA_REAL]]=0,"Reestimativa 1","Realizado"))</f>
        <v>Reestimativa 1</v>
      </c>
      <c r="W46" s="1" t="str">
        <f>IF(ESTIMATIVA[[#This Row],[QT_AREA_REST2]]&gt;0,"Reestimativa 2",IF(ESTIMATIVA[[#This Row],[QT_AREA_REAL]]=0,"Reestimativa 2","Realizado"))</f>
        <v>Realizado</v>
      </c>
      <c r="X46" s="1">
        <f>ESTIMATIVA[[#This Row],[QT_AREA_EST]]</f>
        <v>33.92</v>
      </c>
      <c r="Y46" s="1">
        <f>IF(ESTIMATIVA[[#This Row],[QT_AREA_REST1]]&gt;0,ESTIMATIVA[[#This Row],[QT_AREA_REST1]],
  IF(ESTIMATIVA[[#This Row],[QT_AREA_REAL]]&gt;0,ESTIMATIVA[[#This Row],[QT_AREA_REAL]],ESTIMATIVA[[#This Row],[QT_AREA_EST]]))</f>
        <v>33.92</v>
      </c>
      <c r="Z4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33.92</v>
      </c>
      <c r="AA46" s="1">
        <f>ESTIMATIVA[[#This Row],[QT_CANA_EST]]</f>
        <v>2747.52</v>
      </c>
      <c r="AB46" s="1">
        <f>IF(ESTIMATIVA[[#This Row],[QT_CANA_REST1]]&gt;0,ESTIMATIVA[[#This Row],[QT_CANA_REST1]],
  IF(ESTIMATIVA[[#This Row],[QT_CANA_REAL]]&gt;0,ESTIMATIVA[[#This Row],[QT_CANA_REAL]],ESTIMATIVA[[#This Row],[QT_CANA_EST]]))</f>
        <v>2815.36</v>
      </c>
      <c r="AC4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2612.2800000000002</v>
      </c>
      <c r="AD46" s="1">
        <f>IF(ESTIMATIVA[[#This Row],[QT_AREA_REAL]]&gt;0,ESTIMATIVA[[#This Row],[QT_CANA_REAL]],ESTIMATIVA[[#This Row],[QT_CANA_EST]])</f>
        <v>2612.2800000000002</v>
      </c>
      <c r="AE46" s="1">
        <f>IF(ESTIMATIVA[[#This Row],[QT_AREA_REAL]]&gt;0,ESTIMATIVA[[#This Row],[QT_CANA_REAL]],ESTIMATIVA[[#This Row],[QT_CANA_REST1]])</f>
        <v>2612.2800000000002</v>
      </c>
      <c r="AF46" s="1">
        <f>IF(ESTIMATIVA[[#This Row],[QT_AREA_REAL]]&gt;0,ESTIMATIVA[[#This Row],[QT_CANA_REAL]],ESTIMATIVA[[#This Row],[QT_CANA_REST2]])</f>
        <v>2612.2800000000002</v>
      </c>
      <c r="AG46" s="1" t="str">
        <f>IF(COUNTIFS(GEADA!A:A,VALUE(ESTIMATIVA[[#This Row],[CD_UPNIVEL1]]&amp;TEXT(ESTIMATIVA[[#This Row],[CD_UPNIVEL3]],"0000")))&gt;0,"S","N")</f>
        <v>S</v>
      </c>
      <c r="AH4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46" s="55" t="str">
        <f>IF(ESTIMATIVA[[#This Row],[TP_CULTIVO]]="Irrigado",_xlfn.MAXIFS(IRRIGADO!J:J,IRRIGADO!C:C,ESTIMATIVA[[#This Row],[CD_UPNIVEL1]],IRRIGADO!E:E,ESTIMATIVA[[#This Row],[CD_UPNIVEL3]]),"")</f>
        <v/>
      </c>
      <c r="AJ4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6" s="1">
        <f>COUNTIFS(Apresentação!$E$23:$E$29,ESTIMATIVA[[#This Row],[CD_UPNIVEL1]])</f>
        <v>0</v>
      </c>
    </row>
    <row r="47" spans="1:37" x14ac:dyDescent="0.3">
      <c r="A47">
        <v>10311</v>
      </c>
      <c r="B47" t="s">
        <v>13</v>
      </c>
      <c r="C47">
        <v>50</v>
      </c>
      <c r="D47">
        <v>3</v>
      </c>
      <c r="E47" t="s">
        <v>263</v>
      </c>
      <c r="F47" s="85" t="s">
        <v>332</v>
      </c>
      <c r="G47"/>
      <c r="H47" t="s">
        <v>294</v>
      </c>
      <c r="I47" t="s">
        <v>197</v>
      </c>
      <c r="J47" t="s">
        <v>176</v>
      </c>
      <c r="K47" s="1">
        <v>19.72</v>
      </c>
      <c r="L47" s="1">
        <v>19.72</v>
      </c>
      <c r="M47" s="1">
        <v>0</v>
      </c>
      <c r="N47" s="1">
        <v>19.72</v>
      </c>
      <c r="O47" s="1">
        <v>1597.32</v>
      </c>
      <c r="P47" s="1">
        <v>1597.32</v>
      </c>
      <c r="Q47" s="1">
        <v>0</v>
      </c>
      <c r="R47" s="1">
        <v>1481.95</v>
      </c>
      <c r="S47" t="s">
        <v>12</v>
      </c>
      <c r="T47" s="13">
        <v>45879</v>
      </c>
      <c r="U47" s="1" t="str">
        <f>IF(ESTIMATIVA[[#This Row],[QT_AREA_REAL]]&gt;0,"1- Colhido","2- à Colher")</f>
        <v>1- Colhido</v>
      </c>
      <c r="V47" s="1" t="str">
        <f>IF(ESTIMATIVA[[#This Row],[QT_AREA_REST1]]&gt;0,"Reestimativa 1",IF(ESTIMATIVA[[#This Row],[QT_AREA_REAL]]=0,"Reestimativa 1","Realizado"))</f>
        <v>Reestimativa 1</v>
      </c>
      <c r="W47" s="1" t="str">
        <f>IF(ESTIMATIVA[[#This Row],[QT_AREA_REST2]]&gt;0,"Reestimativa 2",IF(ESTIMATIVA[[#This Row],[QT_AREA_REAL]]=0,"Reestimativa 2","Realizado"))</f>
        <v>Realizado</v>
      </c>
      <c r="X47" s="1">
        <f>ESTIMATIVA[[#This Row],[QT_AREA_EST]]</f>
        <v>19.72</v>
      </c>
      <c r="Y47" s="1">
        <f>IF(ESTIMATIVA[[#This Row],[QT_AREA_REST1]]&gt;0,ESTIMATIVA[[#This Row],[QT_AREA_REST1]],
  IF(ESTIMATIVA[[#This Row],[QT_AREA_REAL]]&gt;0,ESTIMATIVA[[#This Row],[QT_AREA_REAL]],ESTIMATIVA[[#This Row],[QT_AREA_EST]]))</f>
        <v>19.72</v>
      </c>
      <c r="Z4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19.72</v>
      </c>
      <c r="AA47" s="1">
        <f>ESTIMATIVA[[#This Row],[QT_CANA_EST]]</f>
        <v>1597.32</v>
      </c>
      <c r="AB47" s="1">
        <f>IF(ESTIMATIVA[[#This Row],[QT_CANA_REST1]]&gt;0,ESTIMATIVA[[#This Row],[QT_CANA_REST1]],
  IF(ESTIMATIVA[[#This Row],[QT_CANA_REAL]]&gt;0,ESTIMATIVA[[#This Row],[QT_CANA_REAL]],ESTIMATIVA[[#This Row],[QT_CANA_EST]]))</f>
        <v>1597.32</v>
      </c>
      <c r="AC4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1481.95</v>
      </c>
      <c r="AD47" s="1">
        <f>IF(ESTIMATIVA[[#This Row],[QT_AREA_REAL]]&gt;0,ESTIMATIVA[[#This Row],[QT_CANA_REAL]],ESTIMATIVA[[#This Row],[QT_CANA_EST]])</f>
        <v>1481.95</v>
      </c>
      <c r="AE47" s="1">
        <f>IF(ESTIMATIVA[[#This Row],[QT_AREA_REAL]]&gt;0,ESTIMATIVA[[#This Row],[QT_CANA_REAL]],ESTIMATIVA[[#This Row],[QT_CANA_REST1]])</f>
        <v>1481.95</v>
      </c>
      <c r="AF47" s="1">
        <f>IF(ESTIMATIVA[[#This Row],[QT_AREA_REAL]]&gt;0,ESTIMATIVA[[#This Row],[QT_CANA_REAL]],ESTIMATIVA[[#This Row],[QT_CANA_REST2]])</f>
        <v>1481.95</v>
      </c>
      <c r="AG47" s="1" t="str">
        <f>IF(COUNTIFS(GEADA!A:A,VALUE(ESTIMATIVA[[#This Row],[CD_UPNIVEL1]]&amp;TEXT(ESTIMATIVA[[#This Row],[CD_UPNIVEL3]],"0000")))&gt;0,"S","N")</f>
        <v>N</v>
      </c>
      <c r="AH4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47" s="55" t="str">
        <f>IF(ESTIMATIVA[[#This Row],[TP_CULTIVO]]="Irrigado",_xlfn.MAXIFS(IRRIGADO!J:J,IRRIGADO!C:C,ESTIMATIVA[[#This Row],[CD_UPNIVEL1]],IRRIGADO!E:E,ESTIMATIVA[[#This Row],[CD_UPNIVEL3]]),"")</f>
        <v/>
      </c>
      <c r="AJ4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7" s="1">
        <f>COUNTIFS(Apresentação!$E$23:$E$29,ESTIMATIVA[[#This Row],[CD_UPNIVEL1]])</f>
        <v>0</v>
      </c>
    </row>
    <row r="48" spans="1:37" x14ac:dyDescent="0.3">
      <c r="A48">
        <v>10311</v>
      </c>
      <c r="B48" t="s">
        <v>13</v>
      </c>
      <c r="C48">
        <v>51</v>
      </c>
      <c r="D48">
        <v>3</v>
      </c>
      <c r="E48" t="s">
        <v>263</v>
      </c>
      <c r="F48" s="85" t="s">
        <v>330</v>
      </c>
      <c r="G48"/>
      <c r="H48" t="s">
        <v>294</v>
      </c>
      <c r="I48" t="s">
        <v>197</v>
      </c>
      <c r="J48" t="s">
        <v>176</v>
      </c>
      <c r="K48" s="1">
        <v>11.22</v>
      </c>
      <c r="L48" s="1">
        <v>11.22</v>
      </c>
      <c r="M48" s="1">
        <v>0</v>
      </c>
      <c r="N48" s="1">
        <v>11.22</v>
      </c>
      <c r="O48" s="1">
        <v>852.72</v>
      </c>
      <c r="P48" s="1">
        <v>875.16</v>
      </c>
      <c r="Q48" s="1">
        <v>0</v>
      </c>
      <c r="R48" s="1">
        <v>811.92</v>
      </c>
      <c r="S48" t="s">
        <v>12</v>
      </c>
      <c r="T48" s="13">
        <v>45879</v>
      </c>
      <c r="U48" s="1" t="str">
        <f>IF(ESTIMATIVA[[#This Row],[QT_AREA_REAL]]&gt;0,"1- Colhido","2- à Colher")</f>
        <v>1- Colhido</v>
      </c>
      <c r="V48" s="1" t="str">
        <f>IF(ESTIMATIVA[[#This Row],[QT_AREA_REST1]]&gt;0,"Reestimativa 1",IF(ESTIMATIVA[[#This Row],[QT_AREA_REAL]]=0,"Reestimativa 1","Realizado"))</f>
        <v>Reestimativa 1</v>
      </c>
      <c r="W48" s="1" t="str">
        <f>IF(ESTIMATIVA[[#This Row],[QT_AREA_REST2]]&gt;0,"Reestimativa 2",IF(ESTIMATIVA[[#This Row],[QT_AREA_REAL]]=0,"Reestimativa 2","Realizado"))</f>
        <v>Realizado</v>
      </c>
      <c r="X48" s="1">
        <f>ESTIMATIVA[[#This Row],[QT_AREA_EST]]</f>
        <v>11.22</v>
      </c>
      <c r="Y48" s="1">
        <f>IF(ESTIMATIVA[[#This Row],[QT_AREA_REST1]]&gt;0,ESTIMATIVA[[#This Row],[QT_AREA_REST1]],
  IF(ESTIMATIVA[[#This Row],[QT_AREA_REAL]]&gt;0,ESTIMATIVA[[#This Row],[QT_AREA_REAL]],ESTIMATIVA[[#This Row],[QT_AREA_EST]]))</f>
        <v>11.22</v>
      </c>
      <c r="Z4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11.22</v>
      </c>
      <c r="AA48" s="1">
        <f>ESTIMATIVA[[#This Row],[QT_CANA_EST]]</f>
        <v>852.72</v>
      </c>
      <c r="AB48" s="1">
        <f>IF(ESTIMATIVA[[#This Row],[QT_CANA_REST1]]&gt;0,ESTIMATIVA[[#This Row],[QT_CANA_REST1]],
  IF(ESTIMATIVA[[#This Row],[QT_CANA_REAL]]&gt;0,ESTIMATIVA[[#This Row],[QT_CANA_REAL]],ESTIMATIVA[[#This Row],[QT_CANA_EST]]))</f>
        <v>875.16</v>
      </c>
      <c r="AC4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811.92</v>
      </c>
      <c r="AD48" s="1">
        <f>IF(ESTIMATIVA[[#This Row],[QT_AREA_REAL]]&gt;0,ESTIMATIVA[[#This Row],[QT_CANA_REAL]],ESTIMATIVA[[#This Row],[QT_CANA_EST]])</f>
        <v>811.92</v>
      </c>
      <c r="AE48" s="1">
        <f>IF(ESTIMATIVA[[#This Row],[QT_AREA_REAL]]&gt;0,ESTIMATIVA[[#This Row],[QT_CANA_REAL]],ESTIMATIVA[[#This Row],[QT_CANA_REST1]])</f>
        <v>811.92</v>
      </c>
      <c r="AF48" s="1">
        <f>IF(ESTIMATIVA[[#This Row],[QT_AREA_REAL]]&gt;0,ESTIMATIVA[[#This Row],[QT_CANA_REAL]],ESTIMATIVA[[#This Row],[QT_CANA_REST2]])</f>
        <v>811.92</v>
      </c>
      <c r="AG48" s="1" t="str">
        <f>IF(COUNTIFS(GEADA!A:A,VALUE(ESTIMATIVA[[#This Row],[CD_UPNIVEL1]]&amp;TEXT(ESTIMATIVA[[#This Row],[CD_UPNIVEL3]],"0000")))&gt;0,"S","N")</f>
        <v>N</v>
      </c>
      <c r="AH4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48" s="55" t="str">
        <f>IF(ESTIMATIVA[[#This Row],[TP_CULTIVO]]="Irrigado",_xlfn.MAXIFS(IRRIGADO!J:J,IRRIGADO!C:C,ESTIMATIVA[[#This Row],[CD_UPNIVEL1]],IRRIGADO!E:E,ESTIMATIVA[[#This Row],[CD_UPNIVEL3]]),"")</f>
        <v/>
      </c>
      <c r="AJ4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8" s="1">
        <f>COUNTIFS(Apresentação!$E$23:$E$29,ESTIMATIVA[[#This Row],[CD_UPNIVEL1]])</f>
        <v>0</v>
      </c>
    </row>
    <row r="49" spans="1:37" x14ac:dyDescent="0.3">
      <c r="A49">
        <v>10311</v>
      </c>
      <c r="B49" t="s">
        <v>13</v>
      </c>
      <c r="C49">
        <v>52</v>
      </c>
      <c r="D49">
        <v>3</v>
      </c>
      <c r="E49" t="s">
        <v>263</v>
      </c>
      <c r="F49" s="85" t="s">
        <v>330</v>
      </c>
      <c r="G49"/>
      <c r="H49" t="s">
        <v>294</v>
      </c>
      <c r="I49" t="s">
        <v>197</v>
      </c>
      <c r="J49" t="s">
        <v>176</v>
      </c>
      <c r="K49" s="1">
        <v>18.55</v>
      </c>
      <c r="L49" s="1">
        <v>18.55</v>
      </c>
      <c r="M49" s="1">
        <v>0</v>
      </c>
      <c r="N49" s="1">
        <v>18.55</v>
      </c>
      <c r="O49" s="1">
        <v>1409.8</v>
      </c>
      <c r="P49" s="1">
        <v>1446.9</v>
      </c>
      <c r="Q49" s="1">
        <v>0</v>
      </c>
      <c r="R49" s="1">
        <v>1342.74</v>
      </c>
      <c r="S49" t="s">
        <v>12</v>
      </c>
      <c r="T49" s="13">
        <v>45879</v>
      </c>
      <c r="U49" s="1" t="str">
        <f>IF(ESTIMATIVA[[#This Row],[QT_AREA_REAL]]&gt;0,"1- Colhido","2- à Colher")</f>
        <v>1- Colhido</v>
      </c>
      <c r="V49" s="1" t="str">
        <f>IF(ESTIMATIVA[[#This Row],[QT_AREA_REST1]]&gt;0,"Reestimativa 1",IF(ESTIMATIVA[[#This Row],[QT_AREA_REAL]]=0,"Reestimativa 1","Realizado"))</f>
        <v>Reestimativa 1</v>
      </c>
      <c r="W49" s="1" t="str">
        <f>IF(ESTIMATIVA[[#This Row],[QT_AREA_REST2]]&gt;0,"Reestimativa 2",IF(ESTIMATIVA[[#This Row],[QT_AREA_REAL]]=0,"Reestimativa 2","Realizado"))</f>
        <v>Realizado</v>
      </c>
      <c r="X49" s="1">
        <f>ESTIMATIVA[[#This Row],[QT_AREA_EST]]</f>
        <v>18.55</v>
      </c>
      <c r="Y49" s="1">
        <f>IF(ESTIMATIVA[[#This Row],[QT_AREA_REST1]]&gt;0,ESTIMATIVA[[#This Row],[QT_AREA_REST1]],
  IF(ESTIMATIVA[[#This Row],[QT_AREA_REAL]]&gt;0,ESTIMATIVA[[#This Row],[QT_AREA_REAL]],ESTIMATIVA[[#This Row],[QT_AREA_EST]]))</f>
        <v>18.55</v>
      </c>
      <c r="Z4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18.55</v>
      </c>
      <c r="AA49" s="1">
        <f>ESTIMATIVA[[#This Row],[QT_CANA_EST]]</f>
        <v>1409.8</v>
      </c>
      <c r="AB49" s="1">
        <f>IF(ESTIMATIVA[[#This Row],[QT_CANA_REST1]]&gt;0,ESTIMATIVA[[#This Row],[QT_CANA_REST1]],
  IF(ESTIMATIVA[[#This Row],[QT_CANA_REAL]]&gt;0,ESTIMATIVA[[#This Row],[QT_CANA_REAL]],ESTIMATIVA[[#This Row],[QT_CANA_EST]]))</f>
        <v>1446.9</v>
      </c>
      <c r="AC4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1342.74</v>
      </c>
      <c r="AD49" s="1">
        <f>IF(ESTIMATIVA[[#This Row],[QT_AREA_REAL]]&gt;0,ESTIMATIVA[[#This Row],[QT_CANA_REAL]],ESTIMATIVA[[#This Row],[QT_CANA_EST]])</f>
        <v>1342.74</v>
      </c>
      <c r="AE49" s="1">
        <f>IF(ESTIMATIVA[[#This Row],[QT_AREA_REAL]]&gt;0,ESTIMATIVA[[#This Row],[QT_CANA_REAL]],ESTIMATIVA[[#This Row],[QT_CANA_REST1]])</f>
        <v>1342.74</v>
      </c>
      <c r="AF49" s="1">
        <f>IF(ESTIMATIVA[[#This Row],[QT_AREA_REAL]]&gt;0,ESTIMATIVA[[#This Row],[QT_CANA_REAL]],ESTIMATIVA[[#This Row],[QT_CANA_REST2]])</f>
        <v>1342.74</v>
      </c>
      <c r="AG49" s="1" t="str">
        <f>IF(COUNTIFS(GEADA!A:A,VALUE(ESTIMATIVA[[#This Row],[CD_UPNIVEL1]]&amp;TEXT(ESTIMATIVA[[#This Row],[CD_UPNIVEL3]],"0000")))&gt;0,"S","N")</f>
        <v>N</v>
      </c>
      <c r="AH4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49" s="55" t="str">
        <f>IF(ESTIMATIVA[[#This Row],[TP_CULTIVO]]="Irrigado",_xlfn.MAXIFS(IRRIGADO!J:J,IRRIGADO!C:C,ESTIMATIVA[[#This Row],[CD_UPNIVEL1]],IRRIGADO!E:E,ESTIMATIVA[[#This Row],[CD_UPNIVEL3]]),"")</f>
        <v/>
      </c>
      <c r="AJ4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9" s="1">
        <f>COUNTIFS(Apresentação!$E$23:$E$29,ESTIMATIVA[[#This Row],[CD_UPNIVEL1]])</f>
        <v>0</v>
      </c>
    </row>
    <row r="50" spans="1:37" x14ac:dyDescent="0.3">
      <c r="A50">
        <v>10311</v>
      </c>
      <c r="B50" t="s">
        <v>13</v>
      </c>
      <c r="C50">
        <v>53</v>
      </c>
      <c r="D50">
        <v>3</v>
      </c>
      <c r="E50" t="s">
        <v>263</v>
      </c>
      <c r="F50" s="85" t="s">
        <v>330</v>
      </c>
      <c r="G50"/>
      <c r="H50" t="s">
        <v>294</v>
      </c>
      <c r="I50" t="s">
        <v>197</v>
      </c>
      <c r="J50" t="s">
        <v>176</v>
      </c>
      <c r="K50" s="1">
        <v>13.02</v>
      </c>
      <c r="L50" s="1">
        <v>13.02</v>
      </c>
      <c r="M50" s="1">
        <v>0</v>
      </c>
      <c r="N50" s="1">
        <v>13.02</v>
      </c>
      <c r="O50" s="1">
        <v>989.52</v>
      </c>
      <c r="P50" s="1">
        <v>1015.56</v>
      </c>
      <c r="Q50" s="1">
        <v>0</v>
      </c>
      <c r="R50" s="1">
        <v>943.3</v>
      </c>
      <c r="S50" t="s">
        <v>12</v>
      </c>
      <c r="T50" s="13">
        <v>45879</v>
      </c>
      <c r="U50" s="1" t="str">
        <f>IF(ESTIMATIVA[[#This Row],[QT_AREA_REAL]]&gt;0,"1- Colhido","2- à Colher")</f>
        <v>1- Colhido</v>
      </c>
      <c r="V50" s="1" t="str">
        <f>IF(ESTIMATIVA[[#This Row],[QT_AREA_REST1]]&gt;0,"Reestimativa 1",IF(ESTIMATIVA[[#This Row],[QT_AREA_REAL]]=0,"Reestimativa 1","Realizado"))</f>
        <v>Reestimativa 1</v>
      </c>
      <c r="W50" s="1" t="str">
        <f>IF(ESTIMATIVA[[#This Row],[QT_AREA_REST2]]&gt;0,"Reestimativa 2",IF(ESTIMATIVA[[#This Row],[QT_AREA_REAL]]=0,"Reestimativa 2","Realizado"))</f>
        <v>Realizado</v>
      </c>
      <c r="X50" s="1">
        <f>ESTIMATIVA[[#This Row],[QT_AREA_EST]]</f>
        <v>13.02</v>
      </c>
      <c r="Y50" s="1">
        <f>IF(ESTIMATIVA[[#This Row],[QT_AREA_REST1]]&gt;0,ESTIMATIVA[[#This Row],[QT_AREA_REST1]],
  IF(ESTIMATIVA[[#This Row],[QT_AREA_REAL]]&gt;0,ESTIMATIVA[[#This Row],[QT_AREA_REAL]],ESTIMATIVA[[#This Row],[QT_AREA_EST]]))</f>
        <v>13.02</v>
      </c>
      <c r="Z5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13.02</v>
      </c>
      <c r="AA50" s="1">
        <f>ESTIMATIVA[[#This Row],[QT_CANA_EST]]</f>
        <v>989.52</v>
      </c>
      <c r="AB50" s="1">
        <f>IF(ESTIMATIVA[[#This Row],[QT_CANA_REST1]]&gt;0,ESTIMATIVA[[#This Row],[QT_CANA_REST1]],
  IF(ESTIMATIVA[[#This Row],[QT_CANA_REAL]]&gt;0,ESTIMATIVA[[#This Row],[QT_CANA_REAL]],ESTIMATIVA[[#This Row],[QT_CANA_EST]]))</f>
        <v>1015.56</v>
      </c>
      <c r="AC5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943.3</v>
      </c>
      <c r="AD50" s="1">
        <f>IF(ESTIMATIVA[[#This Row],[QT_AREA_REAL]]&gt;0,ESTIMATIVA[[#This Row],[QT_CANA_REAL]],ESTIMATIVA[[#This Row],[QT_CANA_EST]])</f>
        <v>943.3</v>
      </c>
      <c r="AE50" s="1">
        <f>IF(ESTIMATIVA[[#This Row],[QT_AREA_REAL]]&gt;0,ESTIMATIVA[[#This Row],[QT_CANA_REAL]],ESTIMATIVA[[#This Row],[QT_CANA_REST1]])</f>
        <v>943.3</v>
      </c>
      <c r="AF50" s="1">
        <f>IF(ESTIMATIVA[[#This Row],[QT_AREA_REAL]]&gt;0,ESTIMATIVA[[#This Row],[QT_CANA_REAL]],ESTIMATIVA[[#This Row],[QT_CANA_REST2]])</f>
        <v>943.3</v>
      </c>
      <c r="AG50" s="1" t="str">
        <f>IF(COUNTIFS(GEADA!A:A,VALUE(ESTIMATIVA[[#This Row],[CD_UPNIVEL1]]&amp;TEXT(ESTIMATIVA[[#This Row],[CD_UPNIVEL3]],"0000")))&gt;0,"S","N")</f>
        <v>N</v>
      </c>
      <c r="AH5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50" s="55" t="str">
        <f>IF(ESTIMATIVA[[#This Row],[TP_CULTIVO]]="Irrigado",_xlfn.MAXIFS(IRRIGADO!J:J,IRRIGADO!C:C,ESTIMATIVA[[#This Row],[CD_UPNIVEL1]],IRRIGADO!E:E,ESTIMATIVA[[#This Row],[CD_UPNIVEL3]]),"")</f>
        <v/>
      </c>
      <c r="AJ5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0" s="1">
        <f>COUNTIFS(Apresentação!$E$23:$E$29,ESTIMATIVA[[#This Row],[CD_UPNIVEL1]])</f>
        <v>0</v>
      </c>
    </row>
    <row r="51" spans="1:37" x14ac:dyDescent="0.3">
      <c r="A51">
        <v>10311</v>
      </c>
      <c r="B51" t="s">
        <v>13</v>
      </c>
      <c r="C51">
        <v>227</v>
      </c>
      <c r="D51">
        <v>2</v>
      </c>
      <c r="E51" t="s">
        <v>266</v>
      </c>
      <c r="F51" s="85" t="s">
        <v>331</v>
      </c>
      <c r="G51"/>
      <c r="H51" t="s">
        <v>294</v>
      </c>
      <c r="I51" t="s">
        <v>198</v>
      </c>
      <c r="J51" t="s">
        <v>176</v>
      </c>
      <c r="K51" s="1">
        <v>18.7</v>
      </c>
      <c r="L51" s="1">
        <v>18.7</v>
      </c>
      <c r="M51" s="1">
        <v>0</v>
      </c>
      <c r="N51" s="1">
        <v>18.7</v>
      </c>
      <c r="O51" s="1">
        <v>1589.5</v>
      </c>
      <c r="P51" s="1">
        <v>1626.9</v>
      </c>
      <c r="Q51" s="1">
        <v>0</v>
      </c>
      <c r="R51" s="1">
        <v>1540.11</v>
      </c>
      <c r="S51" t="s">
        <v>12</v>
      </c>
      <c r="T51" s="13">
        <v>45879</v>
      </c>
      <c r="U51" s="1" t="str">
        <f>IF(ESTIMATIVA[[#This Row],[QT_AREA_REAL]]&gt;0,"1- Colhido","2- à Colher")</f>
        <v>1- Colhido</v>
      </c>
      <c r="V51" s="1" t="str">
        <f>IF(ESTIMATIVA[[#This Row],[QT_AREA_REST1]]&gt;0,"Reestimativa 1",IF(ESTIMATIVA[[#This Row],[QT_AREA_REAL]]=0,"Reestimativa 1","Realizado"))</f>
        <v>Reestimativa 1</v>
      </c>
      <c r="W51" s="1" t="str">
        <f>IF(ESTIMATIVA[[#This Row],[QT_AREA_REST2]]&gt;0,"Reestimativa 2",IF(ESTIMATIVA[[#This Row],[QT_AREA_REAL]]=0,"Reestimativa 2","Realizado"))</f>
        <v>Realizado</v>
      </c>
      <c r="X51" s="1">
        <f>ESTIMATIVA[[#This Row],[QT_AREA_EST]]</f>
        <v>18.7</v>
      </c>
      <c r="Y51" s="1">
        <f>IF(ESTIMATIVA[[#This Row],[QT_AREA_REST1]]&gt;0,ESTIMATIVA[[#This Row],[QT_AREA_REST1]],
  IF(ESTIMATIVA[[#This Row],[QT_AREA_REAL]]&gt;0,ESTIMATIVA[[#This Row],[QT_AREA_REAL]],ESTIMATIVA[[#This Row],[QT_AREA_EST]]))</f>
        <v>18.7</v>
      </c>
      <c r="Z5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18.7</v>
      </c>
      <c r="AA51" s="1">
        <f>ESTIMATIVA[[#This Row],[QT_CANA_EST]]</f>
        <v>1589.5</v>
      </c>
      <c r="AB51" s="1">
        <f>IF(ESTIMATIVA[[#This Row],[QT_CANA_REST1]]&gt;0,ESTIMATIVA[[#This Row],[QT_CANA_REST1]],
  IF(ESTIMATIVA[[#This Row],[QT_CANA_REAL]]&gt;0,ESTIMATIVA[[#This Row],[QT_CANA_REAL]],ESTIMATIVA[[#This Row],[QT_CANA_EST]]))</f>
        <v>1626.9</v>
      </c>
      <c r="AC5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1540.11</v>
      </c>
      <c r="AD51" s="1">
        <f>IF(ESTIMATIVA[[#This Row],[QT_AREA_REAL]]&gt;0,ESTIMATIVA[[#This Row],[QT_CANA_REAL]],ESTIMATIVA[[#This Row],[QT_CANA_EST]])</f>
        <v>1540.11</v>
      </c>
      <c r="AE51" s="1">
        <f>IF(ESTIMATIVA[[#This Row],[QT_AREA_REAL]]&gt;0,ESTIMATIVA[[#This Row],[QT_CANA_REAL]],ESTIMATIVA[[#This Row],[QT_CANA_REST1]])</f>
        <v>1540.11</v>
      </c>
      <c r="AF51" s="1">
        <f>IF(ESTIMATIVA[[#This Row],[QT_AREA_REAL]]&gt;0,ESTIMATIVA[[#This Row],[QT_CANA_REAL]],ESTIMATIVA[[#This Row],[QT_CANA_REST2]])</f>
        <v>1540.11</v>
      </c>
      <c r="AG51" s="1" t="str">
        <f>IF(COUNTIFS(GEADA!A:A,VALUE(ESTIMATIVA[[#This Row],[CD_UPNIVEL1]]&amp;TEXT(ESTIMATIVA[[#This Row],[CD_UPNIVEL3]],"0000")))&gt;0,"S","N")</f>
        <v>S</v>
      </c>
      <c r="AH5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51" s="55" t="str">
        <f>IF(ESTIMATIVA[[#This Row],[TP_CULTIVO]]="Irrigado",_xlfn.MAXIFS(IRRIGADO!J:J,IRRIGADO!C:C,ESTIMATIVA[[#This Row],[CD_UPNIVEL1]],IRRIGADO!E:E,ESTIMATIVA[[#This Row],[CD_UPNIVEL3]]),"")</f>
        <v/>
      </c>
      <c r="AJ5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1" s="1">
        <f>COUNTIFS(Apresentação!$E$23:$E$29,ESTIMATIVA[[#This Row],[CD_UPNIVEL1]])</f>
        <v>0</v>
      </c>
    </row>
    <row r="52" spans="1:37" x14ac:dyDescent="0.3">
      <c r="A52">
        <v>10311</v>
      </c>
      <c r="B52" t="s">
        <v>13</v>
      </c>
      <c r="C52">
        <v>228</v>
      </c>
      <c r="D52">
        <v>2</v>
      </c>
      <c r="E52" t="s">
        <v>266</v>
      </c>
      <c r="F52" s="85" t="s">
        <v>331</v>
      </c>
      <c r="G52"/>
      <c r="H52" t="s">
        <v>294</v>
      </c>
      <c r="I52" t="s">
        <v>198</v>
      </c>
      <c r="J52" t="s">
        <v>176</v>
      </c>
      <c r="K52" s="1">
        <v>9.27</v>
      </c>
      <c r="L52" s="1">
        <v>9.27</v>
      </c>
      <c r="M52" s="1">
        <v>0</v>
      </c>
      <c r="N52" s="1">
        <v>9.27</v>
      </c>
      <c r="O52" s="1">
        <v>787.95</v>
      </c>
      <c r="P52" s="1">
        <v>806.49</v>
      </c>
      <c r="Q52" s="1">
        <v>0</v>
      </c>
      <c r="R52" s="1">
        <v>762.94</v>
      </c>
      <c r="S52" t="s">
        <v>12</v>
      </c>
      <c r="T52" s="13">
        <v>45879</v>
      </c>
      <c r="U52" s="1" t="str">
        <f>IF(ESTIMATIVA[[#This Row],[QT_AREA_REAL]]&gt;0,"1- Colhido","2- à Colher")</f>
        <v>1- Colhido</v>
      </c>
      <c r="V52" s="1" t="str">
        <f>IF(ESTIMATIVA[[#This Row],[QT_AREA_REST1]]&gt;0,"Reestimativa 1",IF(ESTIMATIVA[[#This Row],[QT_AREA_REAL]]=0,"Reestimativa 1","Realizado"))</f>
        <v>Reestimativa 1</v>
      </c>
      <c r="W52" s="1" t="str">
        <f>IF(ESTIMATIVA[[#This Row],[QT_AREA_REST2]]&gt;0,"Reestimativa 2",IF(ESTIMATIVA[[#This Row],[QT_AREA_REAL]]=0,"Reestimativa 2","Realizado"))</f>
        <v>Realizado</v>
      </c>
      <c r="X52" s="1">
        <f>ESTIMATIVA[[#This Row],[QT_AREA_EST]]</f>
        <v>9.27</v>
      </c>
      <c r="Y52" s="1">
        <f>IF(ESTIMATIVA[[#This Row],[QT_AREA_REST1]]&gt;0,ESTIMATIVA[[#This Row],[QT_AREA_REST1]],
  IF(ESTIMATIVA[[#This Row],[QT_AREA_REAL]]&gt;0,ESTIMATIVA[[#This Row],[QT_AREA_REAL]],ESTIMATIVA[[#This Row],[QT_AREA_EST]]))</f>
        <v>9.27</v>
      </c>
      <c r="Z5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9.27</v>
      </c>
      <c r="AA52" s="1">
        <f>ESTIMATIVA[[#This Row],[QT_CANA_EST]]</f>
        <v>787.95</v>
      </c>
      <c r="AB52" s="1">
        <f>IF(ESTIMATIVA[[#This Row],[QT_CANA_REST1]]&gt;0,ESTIMATIVA[[#This Row],[QT_CANA_REST1]],
  IF(ESTIMATIVA[[#This Row],[QT_CANA_REAL]]&gt;0,ESTIMATIVA[[#This Row],[QT_CANA_REAL]],ESTIMATIVA[[#This Row],[QT_CANA_EST]]))</f>
        <v>806.49</v>
      </c>
      <c r="AC5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762.94</v>
      </c>
      <c r="AD52" s="1">
        <f>IF(ESTIMATIVA[[#This Row],[QT_AREA_REAL]]&gt;0,ESTIMATIVA[[#This Row],[QT_CANA_REAL]],ESTIMATIVA[[#This Row],[QT_CANA_EST]])</f>
        <v>762.94</v>
      </c>
      <c r="AE52" s="1">
        <f>IF(ESTIMATIVA[[#This Row],[QT_AREA_REAL]]&gt;0,ESTIMATIVA[[#This Row],[QT_CANA_REAL]],ESTIMATIVA[[#This Row],[QT_CANA_REST1]])</f>
        <v>762.94</v>
      </c>
      <c r="AF52" s="1">
        <f>IF(ESTIMATIVA[[#This Row],[QT_AREA_REAL]]&gt;0,ESTIMATIVA[[#This Row],[QT_CANA_REAL]],ESTIMATIVA[[#This Row],[QT_CANA_REST2]])</f>
        <v>762.94</v>
      </c>
      <c r="AG52" s="1" t="str">
        <f>IF(COUNTIFS(GEADA!A:A,VALUE(ESTIMATIVA[[#This Row],[CD_UPNIVEL1]]&amp;TEXT(ESTIMATIVA[[#This Row],[CD_UPNIVEL3]],"0000")))&gt;0,"S","N")</f>
        <v>S</v>
      </c>
      <c r="AH5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52" s="55" t="str">
        <f>IF(ESTIMATIVA[[#This Row],[TP_CULTIVO]]="Irrigado",_xlfn.MAXIFS(IRRIGADO!J:J,IRRIGADO!C:C,ESTIMATIVA[[#This Row],[CD_UPNIVEL1]],IRRIGADO!E:E,ESTIMATIVA[[#This Row],[CD_UPNIVEL3]]),"")</f>
        <v/>
      </c>
      <c r="AJ5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2" s="1">
        <f>COUNTIFS(Apresentação!$E$23:$E$29,ESTIMATIVA[[#This Row],[CD_UPNIVEL1]])</f>
        <v>0</v>
      </c>
    </row>
    <row r="53" spans="1:37" x14ac:dyDescent="0.3">
      <c r="A53">
        <v>10311</v>
      </c>
      <c r="B53" t="s">
        <v>13</v>
      </c>
      <c r="C53">
        <v>229</v>
      </c>
      <c r="D53">
        <v>2</v>
      </c>
      <c r="E53" t="s">
        <v>266</v>
      </c>
      <c r="F53" s="85" t="s">
        <v>331</v>
      </c>
      <c r="G53"/>
      <c r="H53" t="s">
        <v>294</v>
      </c>
      <c r="I53" t="s">
        <v>198</v>
      </c>
      <c r="J53" t="s">
        <v>176</v>
      </c>
      <c r="K53" s="1">
        <v>4.3</v>
      </c>
      <c r="L53" s="1">
        <v>4.3</v>
      </c>
      <c r="M53" s="1">
        <v>0</v>
      </c>
      <c r="N53" s="1">
        <v>4.3</v>
      </c>
      <c r="O53" s="1">
        <v>365.5</v>
      </c>
      <c r="P53" s="1">
        <v>374.1</v>
      </c>
      <c r="Q53" s="1">
        <v>0</v>
      </c>
      <c r="R53" s="1">
        <v>354.12</v>
      </c>
      <c r="S53" t="s">
        <v>12</v>
      </c>
      <c r="T53" s="13">
        <v>45879</v>
      </c>
      <c r="U53" s="1" t="str">
        <f>IF(ESTIMATIVA[[#This Row],[QT_AREA_REAL]]&gt;0,"1- Colhido","2- à Colher")</f>
        <v>1- Colhido</v>
      </c>
      <c r="V53" s="1" t="str">
        <f>IF(ESTIMATIVA[[#This Row],[QT_AREA_REST1]]&gt;0,"Reestimativa 1",IF(ESTIMATIVA[[#This Row],[QT_AREA_REAL]]=0,"Reestimativa 1","Realizado"))</f>
        <v>Reestimativa 1</v>
      </c>
      <c r="W53" s="1" t="str">
        <f>IF(ESTIMATIVA[[#This Row],[QT_AREA_REST2]]&gt;0,"Reestimativa 2",IF(ESTIMATIVA[[#This Row],[QT_AREA_REAL]]=0,"Reestimativa 2","Realizado"))</f>
        <v>Realizado</v>
      </c>
      <c r="X53" s="1">
        <f>ESTIMATIVA[[#This Row],[QT_AREA_EST]]</f>
        <v>4.3</v>
      </c>
      <c r="Y53" s="1">
        <f>IF(ESTIMATIVA[[#This Row],[QT_AREA_REST1]]&gt;0,ESTIMATIVA[[#This Row],[QT_AREA_REST1]],
  IF(ESTIMATIVA[[#This Row],[QT_AREA_REAL]]&gt;0,ESTIMATIVA[[#This Row],[QT_AREA_REAL]],ESTIMATIVA[[#This Row],[QT_AREA_EST]]))</f>
        <v>4.3</v>
      </c>
      <c r="Z5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4.3</v>
      </c>
      <c r="AA53" s="1">
        <f>ESTIMATIVA[[#This Row],[QT_CANA_EST]]</f>
        <v>365.5</v>
      </c>
      <c r="AB53" s="1">
        <f>IF(ESTIMATIVA[[#This Row],[QT_CANA_REST1]]&gt;0,ESTIMATIVA[[#This Row],[QT_CANA_REST1]],
  IF(ESTIMATIVA[[#This Row],[QT_CANA_REAL]]&gt;0,ESTIMATIVA[[#This Row],[QT_CANA_REAL]],ESTIMATIVA[[#This Row],[QT_CANA_EST]]))</f>
        <v>374.1</v>
      </c>
      <c r="AC5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354.12</v>
      </c>
      <c r="AD53" s="1">
        <f>IF(ESTIMATIVA[[#This Row],[QT_AREA_REAL]]&gt;0,ESTIMATIVA[[#This Row],[QT_CANA_REAL]],ESTIMATIVA[[#This Row],[QT_CANA_EST]])</f>
        <v>354.12</v>
      </c>
      <c r="AE53" s="1">
        <f>IF(ESTIMATIVA[[#This Row],[QT_AREA_REAL]]&gt;0,ESTIMATIVA[[#This Row],[QT_CANA_REAL]],ESTIMATIVA[[#This Row],[QT_CANA_REST1]])</f>
        <v>354.12</v>
      </c>
      <c r="AF53" s="1">
        <f>IF(ESTIMATIVA[[#This Row],[QT_AREA_REAL]]&gt;0,ESTIMATIVA[[#This Row],[QT_CANA_REAL]],ESTIMATIVA[[#This Row],[QT_CANA_REST2]])</f>
        <v>354.12</v>
      </c>
      <c r="AG53" s="1" t="str">
        <f>IF(COUNTIFS(GEADA!A:A,VALUE(ESTIMATIVA[[#This Row],[CD_UPNIVEL1]]&amp;TEXT(ESTIMATIVA[[#This Row],[CD_UPNIVEL3]],"0000")))&gt;0,"S","N")</f>
        <v>S</v>
      </c>
      <c r="AH5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53" s="55" t="str">
        <f>IF(ESTIMATIVA[[#This Row],[TP_CULTIVO]]="Irrigado",_xlfn.MAXIFS(IRRIGADO!J:J,IRRIGADO!C:C,ESTIMATIVA[[#This Row],[CD_UPNIVEL1]],IRRIGADO!E:E,ESTIMATIVA[[#This Row],[CD_UPNIVEL3]]),"")</f>
        <v/>
      </c>
      <c r="AJ5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3" s="1">
        <f>COUNTIFS(Apresentação!$E$23:$E$29,ESTIMATIVA[[#This Row],[CD_UPNIVEL1]])</f>
        <v>0</v>
      </c>
    </row>
    <row r="54" spans="1:37" x14ac:dyDescent="0.3">
      <c r="A54">
        <v>10316</v>
      </c>
      <c r="B54" t="s">
        <v>14</v>
      </c>
      <c r="C54">
        <v>27</v>
      </c>
      <c r="D54">
        <v>1</v>
      </c>
      <c r="E54" t="s">
        <v>267</v>
      </c>
      <c r="F54" s="85" t="s">
        <v>333</v>
      </c>
      <c r="G54"/>
      <c r="H54" t="s">
        <v>294</v>
      </c>
      <c r="I54" t="s">
        <v>199</v>
      </c>
      <c r="J54" t="s">
        <v>176</v>
      </c>
      <c r="K54" s="1">
        <v>26.06</v>
      </c>
      <c r="L54" s="1">
        <v>0</v>
      </c>
      <c r="M54" s="1">
        <v>0</v>
      </c>
      <c r="N54" s="1">
        <v>26.06</v>
      </c>
      <c r="O54" s="1">
        <v>2110.86</v>
      </c>
      <c r="P54" s="1">
        <v>0</v>
      </c>
      <c r="Q54" s="1">
        <v>0</v>
      </c>
      <c r="R54" s="1">
        <v>2308.79</v>
      </c>
      <c r="S54" t="s">
        <v>12</v>
      </c>
      <c r="T54" s="13">
        <v>45795</v>
      </c>
      <c r="U54" s="1" t="str">
        <f>IF(ESTIMATIVA[[#This Row],[QT_AREA_REAL]]&gt;0,"1- Colhido","2- à Colher")</f>
        <v>1- Colhido</v>
      </c>
      <c r="V54" s="1" t="str">
        <f>IF(ESTIMATIVA[[#This Row],[QT_AREA_REST1]]&gt;0,"Reestimativa 1",IF(ESTIMATIVA[[#This Row],[QT_AREA_REAL]]=0,"Reestimativa 1","Realizado"))</f>
        <v>Realizado</v>
      </c>
      <c r="W54" s="1" t="str">
        <f>IF(ESTIMATIVA[[#This Row],[QT_AREA_REST2]]&gt;0,"Reestimativa 2",IF(ESTIMATIVA[[#This Row],[QT_AREA_REAL]]=0,"Reestimativa 2","Realizado"))</f>
        <v>Realizado</v>
      </c>
      <c r="X54" s="1">
        <f>ESTIMATIVA[[#This Row],[QT_AREA_EST]]</f>
        <v>26.06</v>
      </c>
      <c r="Y54" s="1">
        <f>IF(ESTIMATIVA[[#This Row],[QT_AREA_REST1]]&gt;0,ESTIMATIVA[[#This Row],[QT_AREA_REST1]],
  IF(ESTIMATIVA[[#This Row],[QT_AREA_REAL]]&gt;0,ESTIMATIVA[[#This Row],[QT_AREA_REAL]],ESTIMATIVA[[#This Row],[QT_AREA_EST]]))</f>
        <v>26.06</v>
      </c>
      <c r="Z5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26.06</v>
      </c>
      <c r="AA54" s="1">
        <f>ESTIMATIVA[[#This Row],[QT_CANA_EST]]</f>
        <v>2110.86</v>
      </c>
      <c r="AB54" s="1">
        <f>IF(ESTIMATIVA[[#This Row],[QT_CANA_REST1]]&gt;0,ESTIMATIVA[[#This Row],[QT_CANA_REST1]],
  IF(ESTIMATIVA[[#This Row],[QT_CANA_REAL]]&gt;0,ESTIMATIVA[[#This Row],[QT_CANA_REAL]],ESTIMATIVA[[#This Row],[QT_CANA_EST]]))</f>
        <v>2308.79</v>
      </c>
      <c r="AC5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2308.79</v>
      </c>
      <c r="AD54" s="1">
        <f>IF(ESTIMATIVA[[#This Row],[QT_AREA_REAL]]&gt;0,ESTIMATIVA[[#This Row],[QT_CANA_REAL]],ESTIMATIVA[[#This Row],[QT_CANA_EST]])</f>
        <v>2308.79</v>
      </c>
      <c r="AE54" s="1">
        <f>IF(ESTIMATIVA[[#This Row],[QT_AREA_REAL]]&gt;0,ESTIMATIVA[[#This Row],[QT_CANA_REAL]],ESTIMATIVA[[#This Row],[QT_CANA_REST1]])</f>
        <v>2308.79</v>
      </c>
      <c r="AF54" s="1">
        <f>IF(ESTIMATIVA[[#This Row],[QT_AREA_REAL]]&gt;0,ESTIMATIVA[[#This Row],[QT_CANA_REAL]],ESTIMATIVA[[#This Row],[QT_CANA_REST2]])</f>
        <v>2308.79</v>
      </c>
      <c r="AG54" s="1" t="str">
        <f>IF(COUNTIFS(GEADA!A:A,VALUE(ESTIMATIVA[[#This Row],[CD_UPNIVEL1]]&amp;TEXT(ESTIMATIVA[[#This Row],[CD_UPNIVEL3]],"0000")))&gt;0,"S","N")</f>
        <v>N</v>
      </c>
      <c r="AH5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54" s="55" t="str">
        <f>IF(ESTIMATIVA[[#This Row],[TP_CULTIVO]]="Irrigado",_xlfn.MAXIFS(IRRIGADO!J:J,IRRIGADO!C:C,ESTIMATIVA[[#This Row],[CD_UPNIVEL1]],IRRIGADO!E:E,ESTIMATIVA[[#This Row],[CD_UPNIVEL3]]),"")</f>
        <v/>
      </c>
      <c r="AJ5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4" s="1">
        <f>COUNTIFS(Apresentação!$E$23:$E$29,ESTIMATIVA[[#This Row],[CD_UPNIVEL1]])</f>
        <v>0</v>
      </c>
    </row>
    <row r="55" spans="1:37" x14ac:dyDescent="0.3">
      <c r="A55">
        <v>10316</v>
      </c>
      <c r="B55" t="s">
        <v>14</v>
      </c>
      <c r="C55">
        <v>28</v>
      </c>
      <c r="D55">
        <v>1</v>
      </c>
      <c r="E55" t="s">
        <v>267</v>
      </c>
      <c r="F55" s="85" t="s">
        <v>333</v>
      </c>
      <c r="G55"/>
      <c r="H55" t="s">
        <v>294</v>
      </c>
      <c r="I55" t="s">
        <v>199</v>
      </c>
      <c r="J55" t="s">
        <v>176</v>
      </c>
      <c r="K55" s="1">
        <v>44.37</v>
      </c>
      <c r="L55" s="1">
        <v>0</v>
      </c>
      <c r="M55" s="1">
        <v>0</v>
      </c>
      <c r="N55" s="1">
        <v>44.37</v>
      </c>
      <c r="O55" s="1">
        <v>3283.38</v>
      </c>
      <c r="P55" s="1">
        <v>0</v>
      </c>
      <c r="Q55" s="1">
        <v>0</v>
      </c>
      <c r="R55" s="1">
        <v>3590.66</v>
      </c>
      <c r="S55" t="s">
        <v>12</v>
      </c>
      <c r="T55" s="13">
        <v>45795</v>
      </c>
      <c r="U55" s="1" t="str">
        <f>IF(ESTIMATIVA[[#This Row],[QT_AREA_REAL]]&gt;0,"1- Colhido","2- à Colher")</f>
        <v>1- Colhido</v>
      </c>
      <c r="V55" s="1" t="str">
        <f>IF(ESTIMATIVA[[#This Row],[QT_AREA_REST1]]&gt;0,"Reestimativa 1",IF(ESTIMATIVA[[#This Row],[QT_AREA_REAL]]=0,"Reestimativa 1","Realizado"))</f>
        <v>Realizado</v>
      </c>
      <c r="W55" s="1" t="str">
        <f>IF(ESTIMATIVA[[#This Row],[QT_AREA_REST2]]&gt;0,"Reestimativa 2",IF(ESTIMATIVA[[#This Row],[QT_AREA_REAL]]=0,"Reestimativa 2","Realizado"))</f>
        <v>Realizado</v>
      </c>
      <c r="X55" s="1">
        <f>ESTIMATIVA[[#This Row],[QT_AREA_EST]]</f>
        <v>44.37</v>
      </c>
      <c r="Y55" s="1">
        <f>IF(ESTIMATIVA[[#This Row],[QT_AREA_REST1]]&gt;0,ESTIMATIVA[[#This Row],[QT_AREA_REST1]],
  IF(ESTIMATIVA[[#This Row],[QT_AREA_REAL]]&gt;0,ESTIMATIVA[[#This Row],[QT_AREA_REAL]],ESTIMATIVA[[#This Row],[QT_AREA_EST]]))</f>
        <v>44.37</v>
      </c>
      <c r="Z5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44.37</v>
      </c>
      <c r="AA55" s="1">
        <f>ESTIMATIVA[[#This Row],[QT_CANA_EST]]</f>
        <v>3283.38</v>
      </c>
      <c r="AB55" s="1">
        <f>IF(ESTIMATIVA[[#This Row],[QT_CANA_REST1]]&gt;0,ESTIMATIVA[[#This Row],[QT_CANA_REST1]],
  IF(ESTIMATIVA[[#This Row],[QT_CANA_REAL]]&gt;0,ESTIMATIVA[[#This Row],[QT_CANA_REAL]],ESTIMATIVA[[#This Row],[QT_CANA_EST]]))</f>
        <v>3590.66</v>
      </c>
      <c r="AC5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3590.66</v>
      </c>
      <c r="AD55" s="1">
        <f>IF(ESTIMATIVA[[#This Row],[QT_AREA_REAL]]&gt;0,ESTIMATIVA[[#This Row],[QT_CANA_REAL]],ESTIMATIVA[[#This Row],[QT_CANA_EST]])</f>
        <v>3590.66</v>
      </c>
      <c r="AE55" s="1">
        <f>IF(ESTIMATIVA[[#This Row],[QT_AREA_REAL]]&gt;0,ESTIMATIVA[[#This Row],[QT_CANA_REAL]],ESTIMATIVA[[#This Row],[QT_CANA_REST1]])</f>
        <v>3590.66</v>
      </c>
      <c r="AF55" s="1">
        <f>IF(ESTIMATIVA[[#This Row],[QT_AREA_REAL]]&gt;0,ESTIMATIVA[[#This Row],[QT_CANA_REAL]],ESTIMATIVA[[#This Row],[QT_CANA_REST2]])</f>
        <v>3590.66</v>
      </c>
      <c r="AG55" s="1" t="str">
        <f>IF(COUNTIFS(GEADA!A:A,VALUE(ESTIMATIVA[[#This Row],[CD_UPNIVEL1]]&amp;TEXT(ESTIMATIVA[[#This Row],[CD_UPNIVEL3]],"0000")))&gt;0,"S","N")</f>
        <v>N</v>
      </c>
      <c r="AH5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55" s="55" t="str">
        <f>IF(ESTIMATIVA[[#This Row],[TP_CULTIVO]]="Irrigado",_xlfn.MAXIFS(IRRIGADO!J:J,IRRIGADO!C:C,ESTIMATIVA[[#This Row],[CD_UPNIVEL1]],IRRIGADO!E:E,ESTIMATIVA[[#This Row],[CD_UPNIVEL3]]),"")</f>
        <v/>
      </c>
      <c r="AJ5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5" s="1">
        <f>COUNTIFS(Apresentação!$E$23:$E$29,ESTIMATIVA[[#This Row],[CD_UPNIVEL1]])</f>
        <v>0</v>
      </c>
    </row>
    <row r="56" spans="1:37" x14ac:dyDescent="0.3">
      <c r="A56">
        <v>10316</v>
      </c>
      <c r="B56" t="s">
        <v>14</v>
      </c>
      <c r="C56">
        <v>29</v>
      </c>
      <c r="D56">
        <v>1</v>
      </c>
      <c r="E56" t="s">
        <v>267</v>
      </c>
      <c r="F56" s="85" t="s">
        <v>331</v>
      </c>
      <c r="G56"/>
      <c r="H56" t="s">
        <v>294</v>
      </c>
      <c r="I56" t="s">
        <v>199</v>
      </c>
      <c r="J56" t="s">
        <v>176</v>
      </c>
      <c r="K56" s="1">
        <v>16.579999999999998</v>
      </c>
      <c r="L56" s="1">
        <v>0</v>
      </c>
      <c r="M56" s="1">
        <v>0</v>
      </c>
      <c r="N56" s="1">
        <v>16.579999999999998</v>
      </c>
      <c r="O56" s="1">
        <v>1226.92</v>
      </c>
      <c r="P56" s="1">
        <v>0</v>
      </c>
      <c r="Q56" s="1">
        <v>0</v>
      </c>
      <c r="R56" s="1">
        <v>1342.25</v>
      </c>
      <c r="S56" t="s">
        <v>12</v>
      </c>
      <c r="T56" s="13">
        <v>45795</v>
      </c>
      <c r="U56" s="1" t="str">
        <f>IF(ESTIMATIVA[[#This Row],[QT_AREA_REAL]]&gt;0,"1- Colhido","2- à Colher")</f>
        <v>1- Colhido</v>
      </c>
      <c r="V56" s="1" t="str">
        <f>IF(ESTIMATIVA[[#This Row],[QT_AREA_REST1]]&gt;0,"Reestimativa 1",IF(ESTIMATIVA[[#This Row],[QT_AREA_REAL]]=0,"Reestimativa 1","Realizado"))</f>
        <v>Realizado</v>
      </c>
      <c r="W56" s="1" t="str">
        <f>IF(ESTIMATIVA[[#This Row],[QT_AREA_REST2]]&gt;0,"Reestimativa 2",IF(ESTIMATIVA[[#This Row],[QT_AREA_REAL]]=0,"Reestimativa 2","Realizado"))</f>
        <v>Realizado</v>
      </c>
      <c r="X56" s="1">
        <f>ESTIMATIVA[[#This Row],[QT_AREA_EST]]</f>
        <v>16.579999999999998</v>
      </c>
      <c r="Y56" s="1">
        <f>IF(ESTIMATIVA[[#This Row],[QT_AREA_REST1]]&gt;0,ESTIMATIVA[[#This Row],[QT_AREA_REST1]],
  IF(ESTIMATIVA[[#This Row],[QT_AREA_REAL]]&gt;0,ESTIMATIVA[[#This Row],[QT_AREA_REAL]],ESTIMATIVA[[#This Row],[QT_AREA_EST]]))</f>
        <v>16.579999999999998</v>
      </c>
      <c r="Z5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16.579999999999998</v>
      </c>
      <c r="AA56" s="1">
        <f>ESTIMATIVA[[#This Row],[QT_CANA_EST]]</f>
        <v>1226.92</v>
      </c>
      <c r="AB56" s="1">
        <f>IF(ESTIMATIVA[[#This Row],[QT_CANA_REST1]]&gt;0,ESTIMATIVA[[#This Row],[QT_CANA_REST1]],
  IF(ESTIMATIVA[[#This Row],[QT_CANA_REAL]]&gt;0,ESTIMATIVA[[#This Row],[QT_CANA_REAL]],ESTIMATIVA[[#This Row],[QT_CANA_EST]]))</f>
        <v>1342.25</v>
      </c>
      <c r="AC5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1342.25</v>
      </c>
      <c r="AD56" s="1">
        <f>IF(ESTIMATIVA[[#This Row],[QT_AREA_REAL]]&gt;0,ESTIMATIVA[[#This Row],[QT_CANA_REAL]],ESTIMATIVA[[#This Row],[QT_CANA_EST]])</f>
        <v>1342.25</v>
      </c>
      <c r="AE56" s="1">
        <f>IF(ESTIMATIVA[[#This Row],[QT_AREA_REAL]]&gt;0,ESTIMATIVA[[#This Row],[QT_CANA_REAL]],ESTIMATIVA[[#This Row],[QT_CANA_REST1]])</f>
        <v>1342.25</v>
      </c>
      <c r="AF56" s="1">
        <f>IF(ESTIMATIVA[[#This Row],[QT_AREA_REAL]]&gt;0,ESTIMATIVA[[#This Row],[QT_CANA_REAL]],ESTIMATIVA[[#This Row],[QT_CANA_REST2]])</f>
        <v>1342.25</v>
      </c>
      <c r="AG56" s="1" t="str">
        <f>IF(COUNTIFS(GEADA!A:A,VALUE(ESTIMATIVA[[#This Row],[CD_UPNIVEL1]]&amp;TEXT(ESTIMATIVA[[#This Row],[CD_UPNIVEL3]],"0000")))&gt;0,"S","N")</f>
        <v>N</v>
      </c>
      <c r="AH5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56" s="55" t="str">
        <f>IF(ESTIMATIVA[[#This Row],[TP_CULTIVO]]="Irrigado",_xlfn.MAXIFS(IRRIGADO!J:J,IRRIGADO!C:C,ESTIMATIVA[[#This Row],[CD_UPNIVEL1]],IRRIGADO!E:E,ESTIMATIVA[[#This Row],[CD_UPNIVEL3]]),"")</f>
        <v/>
      </c>
      <c r="AJ5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6" s="1">
        <f>COUNTIFS(Apresentação!$E$23:$E$29,ESTIMATIVA[[#This Row],[CD_UPNIVEL1]])</f>
        <v>0</v>
      </c>
    </row>
    <row r="57" spans="1:37" x14ac:dyDescent="0.3">
      <c r="A57">
        <v>10325</v>
      </c>
      <c r="B57" t="s">
        <v>15</v>
      </c>
      <c r="C57">
        <v>1</v>
      </c>
      <c r="D57">
        <v>3</v>
      </c>
      <c r="E57" t="s">
        <v>263</v>
      </c>
      <c r="F57" s="85" t="s">
        <v>331</v>
      </c>
      <c r="G57"/>
      <c r="H57" t="s">
        <v>294</v>
      </c>
      <c r="I57" t="s">
        <v>195</v>
      </c>
      <c r="J57" t="s">
        <v>176</v>
      </c>
      <c r="K57" s="1">
        <v>25.32</v>
      </c>
      <c r="L57" s="1">
        <v>25.32</v>
      </c>
      <c r="M57" s="1">
        <v>0</v>
      </c>
      <c r="N57" s="1">
        <v>25.32</v>
      </c>
      <c r="O57" s="1">
        <v>1823.04</v>
      </c>
      <c r="P57" s="1">
        <v>1012.8</v>
      </c>
      <c r="Q57" s="1">
        <v>0</v>
      </c>
      <c r="R57" s="1">
        <v>1071.72</v>
      </c>
      <c r="S57" t="s">
        <v>12</v>
      </c>
      <c r="T57" s="13">
        <v>45907</v>
      </c>
      <c r="U57" s="1" t="str">
        <f>IF(ESTIMATIVA[[#This Row],[QT_AREA_REAL]]&gt;0,"1- Colhido","2- à Colher")</f>
        <v>1- Colhido</v>
      </c>
      <c r="V57" s="1" t="str">
        <f>IF(ESTIMATIVA[[#This Row],[QT_AREA_REST1]]&gt;0,"Reestimativa 1",IF(ESTIMATIVA[[#This Row],[QT_AREA_REAL]]=0,"Reestimativa 1","Realizado"))</f>
        <v>Reestimativa 1</v>
      </c>
      <c r="W57" s="1" t="str">
        <f>IF(ESTIMATIVA[[#This Row],[QT_AREA_REST2]]&gt;0,"Reestimativa 2",IF(ESTIMATIVA[[#This Row],[QT_AREA_REAL]]=0,"Reestimativa 2","Realizado"))</f>
        <v>Realizado</v>
      </c>
      <c r="X57" s="1">
        <f>ESTIMATIVA[[#This Row],[QT_AREA_EST]]</f>
        <v>25.32</v>
      </c>
      <c r="Y57" s="1">
        <f>IF(ESTIMATIVA[[#This Row],[QT_AREA_REST1]]&gt;0,ESTIMATIVA[[#This Row],[QT_AREA_REST1]],
  IF(ESTIMATIVA[[#This Row],[QT_AREA_REAL]]&gt;0,ESTIMATIVA[[#This Row],[QT_AREA_REAL]],ESTIMATIVA[[#This Row],[QT_AREA_EST]]))</f>
        <v>25.32</v>
      </c>
      <c r="Z5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25.32</v>
      </c>
      <c r="AA57" s="1">
        <f>ESTIMATIVA[[#This Row],[QT_CANA_EST]]</f>
        <v>1823.04</v>
      </c>
      <c r="AB57" s="1">
        <f>IF(ESTIMATIVA[[#This Row],[QT_CANA_REST1]]&gt;0,ESTIMATIVA[[#This Row],[QT_CANA_REST1]],
  IF(ESTIMATIVA[[#This Row],[QT_CANA_REAL]]&gt;0,ESTIMATIVA[[#This Row],[QT_CANA_REAL]],ESTIMATIVA[[#This Row],[QT_CANA_EST]]))</f>
        <v>1012.8</v>
      </c>
      <c r="AC5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1071.72</v>
      </c>
      <c r="AD57" s="1">
        <f>IF(ESTIMATIVA[[#This Row],[QT_AREA_REAL]]&gt;0,ESTIMATIVA[[#This Row],[QT_CANA_REAL]],ESTIMATIVA[[#This Row],[QT_CANA_EST]])</f>
        <v>1071.72</v>
      </c>
      <c r="AE57" s="1">
        <f>IF(ESTIMATIVA[[#This Row],[QT_AREA_REAL]]&gt;0,ESTIMATIVA[[#This Row],[QT_CANA_REAL]],ESTIMATIVA[[#This Row],[QT_CANA_REST1]])</f>
        <v>1071.72</v>
      </c>
      <c r="AF57" s="1">
        <f>IF(ESTIMATIVA[[#This Row],[QT_AREA_REAL]]&gt;0,ESTIMATIVA[[#This Row],[QT_CANA_REAL]],ESTIMATIVA[[#This Row],[QT_CANA_REST2]])</f>
        <v>1071.72</v>
      </c>
      <c r="AG57" s="1" t="str">
        <f>IF(COUNTIFS(GEADA!A:A,VALUE(ESTIMATIVA[[#This Row],[CD_UPNIVEL1]]&amp;TEXT(ESTIMATIVA[[#This Row],[CD_UPNIVEL3]],"0000")))&gt;0,"S","N")</f>
        <v>S</v>
      </c>
      <c r="AH5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57" s="55" t="str">
        <f>IF(ESTIMATIVA[[#This Row],[TP_CULTIVO]]="Irrigado",_xlfn.MAXIFS(IRRIGADO!J:J,IRRIGADO!C:C,ESTIMATIVA[[#This Row],[CD_UPNIVEL1]],IRRIGADO!E:E,ESTIMATIVA[[#This Row],[CD_UPNIVEL3]]),"")</f>
        <v/>
      </c>
      <c r="AJ5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7" s="1">
        <f>COUNTIFS(Apresentação!$E$23:$E$29,ESTIMATIVA[[#This Row],[CD_UPNIVEL1]])</f>
        <v>0</v>
      </c>
    </row>
    <row r="58" spans="1:37" x14ac:dyDescent="0.3">
      <c r="A58">
        <v>10325</v>
      </c>
      <c r="B58" t="s">
        <v>15</v>
      </c>
      <c r="C58">
        <v>2</v>
      </c>
      <c r="D58">
        <v>3</v>
      </c>
      <c r="E58" t="s">
        <v>263</v>
      </c>
      <c r="F58" s="85" t="s">
        <v>331</v>
      </c>
      <c r="G58"/>
      <c r="H58" t="s">
        <v>294</v>
      </c>
      <c r="I58" t="s">
        <v>195</v>
      </c>
      <c r="J58" t="s">
        <v>176</v>
      </c>
      <c r="K58" s="1">
        <v>3.44</v>
      </c>
      <c r="L58" s="1">
        <v>3.44</v>
      </c>
      <c r="M58" s="1">
        <v>0</v>
      </c>
      <c r="N58" s="1">
        <v>3.44</v>
      </c>
      <c r="O58" s="1">
        <v>247.68</v>
      </c>
      <c r="P58" s="1">
        <v>247.68</v>
      </c>
      <c r="Q58" s="1">
        <v>0</v>
      </c>
      <c r="R58" s="1">
        <v>262.39999999999998</v>
      </c>
      <c r="S58" t="s">
        <v>12</v>
      </c>
      <c r="T58" s="13">
        <v>45907</v>
      </c>
      <c r="U58" s="1" t="str">
        <f>IF(ESTIMATIVA[[#This Row],[QT_AREA_REAL]]&gt;0,"1- Colhido","2- à Colher")</f>
        <v>1- Colhido</v>
      </c>
      <c r="V58" s="1" t="str">
        <f>IF(ESTIMATIVA[[#This Row],[QT_AREA_REST1]]&gt;0,"Reestimativa 1",IF(ESTIMATIVA[[#This Row],[QT_AREA_REAL]]=0,"Reestimativa 1","Realizado"))</f>
        <v>Reestimativa 1</v>
      </c>
      <c r="W58" s="1" t="str">
        <f>IF(ESTIMATIVA[[#This Row],[QT_AREA_REST2]]&gt;0,"Reestimativa 2",IF(ESTIMATIVA[[#This Row],[QT_AREA_REAL]]=0,"Reestimativa 2","Realizado"))</f>
        <v>Realizado</v>
      </c>
      <c r="X58" s="1">
        <f>ESTIMATIVA[[#This Row],[QT_AREA_EST]]</f>
        <v>3.44</v>
      </c>
      <c r="Y58" s="1">
        <f>IF(ESTIMATIVA[[#This Row],[QT_AREA_REST1]]&gt;0,ESTIMATIVA[[#This Row],[QT_AREA_REST1]],
  IF(ESTIMATIVA[[#This Row],[QT_AREA_REAL]]&gt;0,ESTIMATIVA[[#This Row],[QT_AREA_REAL]],ESTIMATIVA[[#This Row],[QT_AREA_EST]]))</f>
        <v>3.44</v>
      </c>
      <c r="Z5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3.44</v>
      </c>
      <c r="AA58" s="1">
        <f>ESTIMATIVA[[#This Row],[QT_CANA_EST]]</f>
        <v>247.68</v>
      </c>
      <c r="AB58" s="1">
        <f>IF(ESTIMATIVA[[#This Row],[QT_CANA_REST1]]&gt;0,ESTIMATIVA[[#This Row],[QT_CANA_REST1]],
  IF(ESTIMATIVA[[#This Row],[QT_CANA_REAL]]&gt;0,ESTIMATIVA[[#This Row],[QT_CANA_REAL]],ESTIMATIVA[[#This Row],[QT_CANA_EST]]))</f>
        <v>247.68</v>
      </c>
      <c r="AC5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262.39999999999998</v>
      </c>
      <c r="AD58" s="1">
        <f>IF(ESTIMATIVA[[#This Row],[QT_AREA_REAL]]&gt;0,ESTIMATIVA[[#This Row],[QT_CANA_REAL]],ESTIMATIVA[[#This Row],[QT_CANA_EST]])</f>
        <v>262.39999999999998</v>
      </c>
      <c r="AE58" s="1">
        <f>IF(ESTIMATIVA[[#This Row],[QT_AREA_REAL]]&gt;0,ESTIMATIVA[[#This Row],[QT_CANA_REAL]],ESTIMATIVA[[#This Row],[QT_CANA_REST1]])</f>
        <v>262.39999999999998</v>
      </c>
      <c r="AF58" s="1">
        <f>IF(ESTIMATIVA[[#This Row],[QT_AREA_REAL]]&gt;0,ESTIMATIVA[[#This Row],[QT_CANA_REAL]],ESTIMATIVA[[#This Row],[QT_CANA_REST2]])</f>
        <v>262.39999999999998</v>
      </c>
      <c r="AG58" s="1" t="str">
        <f>IF(COUNTIFS(GEADA!A:A,VALUE(ESTIMATIVA[[#This Row],[CD_UPNIVEL1]]&amp;TEXT(ESTIMATIVA[[#This Row],[CD_UPNIVEL3]],"0000")))&gt;0,"S","N")</f>
        <v>N</v>
      </c>
      <c r="AH5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58" s="55" t="str">
        <f>IF(ESTIMATIVA[[#This Row],[TP_CULTIVO]]="Irrigado",_xlfn.MAXIFS(IRRIGADO!J:J,IRRIGADO!C:C,ESTIMATIVA[[#This Row],[CD_UPNIVEL1]],IRRIGADO!E:E,ESTIMATIVA[[#This Row],[CD_UPNIVEL3]]),"")</f>
        <v/>
      </c>
      <c r="AJ5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8" s="1">
        <f>COUNTIFS(Apresentação!$E$23:$E$29,ESTIMATIVA[[#This Row],[CD_UPNIVEL1]])</f>
        <v>0</v>
      </c>
    </row>
    <row r="59" spans="1:37" x14ac:dyDescent="0.3">
      <c r="A59">
        <v>10325</v>
      </c>
      <c r="B59" t="s">
        <v>15</v>
      </c>
      <c r="C59">
        <v>3</v>
      </c>
      <c r="D59">
        <v>3</v>
      </c>
      <c r="E59" t="s">
        <v>263</v>
      </c>
      <c r="F59" s="85" t="s">
        <v>331</v>
      </c>
      <c r="G59"/>
      <c r="H59" t="s">
        <v>294</v>
      </c>
      <c r="I59" t="s">
        <v>195</v>
      </c>
      <c r="J59" t="s">
        <v>176</v>
      </c>
      <c r="K59" s="1">
        <v>2.52</v>
      </c>
      <c r="L59" s="1">
        <v>2.52</v>
      </c>
      <c r="M59" s="1">
        <v>0</v>
      </c>
      <c r="N59" s="1">
        <v>2.52</v>
      </c>
      <c r="O59" s="1">
        <v>181.44</v>
      </c>
      <c r="P59" s="1">
        <v>181.44</v>
      </c>
      <c r="Q59" s="1">
        <v>0</v>
      </c>
      <c r="R59" s="1">
        <v>160.69999999999999</v>
      </c>
      <c r="S59" t="s">
        <v>12</v>
      </c>
      <c r="T59" s="13">
        <v>45914</v>
      </c>
      <c r="U59" s="1" t="str">
        <f>IF(ESTIMATIVA[[#This Row],[QT_AREA_REAL]]&gt;0,"1- Colhido","2- à Colher")</f>
        <v>1- Colhido</v>
      </c>
      <c r="V59" s="1" t="str">
        <f>IF(ESTIMATIVA[[#This Row],[QT_AREA_REST1]]&gt;0,"Reestimativa 1",IF(ESTIMATIVA[[#This Row],[QT_AREA_REAL]]=0,"Reestimativa 1","Realizado"))</f>
        <v>Reestimativa 1</v>
      </c>
      <c r="W59" s="1" t="str">
        <f>IF(ESTIMATIVA[[#This Row],[QT_AREA_REST2]]&gt;0,"Reestimativa 2",IF(ESTIMATIVA[[#This Row],[QT_AREA_REAL]]=0,"Reestimativa 2","Realizado"))</f>
        <v>Realizado</v>
      </c>
      <c r="X59" s="1">
        <f>ESTIMATIVA[[#This Row],[QT_AREA_EST]]</f>
        <v>2.52</v>
      </c>
      <c r="Y59" s="1">
        <f>IF(ESTIMATIVA[[#This Row],[QT_AREA_REST1]]&gt;0,ESTIMATIVA[[#This Row],[QT_AREA_REST1]],
  IF(ESTIMATIVA[[#This Row],[QT_AREA_REAL]]&gt;0,ESTIMATIVA[[#This Row],[QT_AREA_REAL]],ESTIMATIVA[[#This Row],[QT_AREA_EST]]))</f>
        <v>2.52</v>
      </c>
      <c r="Z5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2.52</v>
      </c>
      <c r="AA59" s="1">
        <f>ESTIMATIVA[[#This Row],[QT_CANA_EST]]</f>
        <v>181.44</v>
      </c>
      <c r="AB59" s="1">
        <f>IF(ESTIMATIVA[[#This Row],[QT_CANA_REST1]]&gt;0,ESTIMATIVA[[#This Row],[QT_CANA_REST1]],
  IF(ESTIMATIVA[[#This Row],[QT_CANA_REAL]]&gt;0,ESTIMATIVA[[#This Row],[QT_CANA_REAL]],ESTIMATIVA[[#This Row],[QT_CANA_EST]]))</f>
        <v>181.44</v>
      </c>
      <c r="AC5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160.69999999999999</v>
      </c>
      <c r="AD59" s="1">
        <f>IF(ESTIMATIVA[[#This Row],[QT_AREA_REAL]]&gt;0,ESTIMATIVA[[#This Row],[QT_CANA_REAL]],ESTIMATIVA[[#This Row],[QT_CANA_EST]])</f>
        <v>160.69999999999999</v>
      </c>
      <c r="AE59" s="1">
        <f>IF(ESTIMATIVA[[#This Row],[QT_AREA_REAL]]&gt;0,ESTIMATIVA[[#This Row],[QT_CANA_REAL]],ESTIMATIVA[[#This Row],[QT_CANA_REST1]])</f>
        <v>160.69999999999999</v>
      </c>
      <c r="AF59" s="1">
        <f>IF(ESTIMATIVA[[#This Row],[QT_AREA_REAL]]&gt;0,ESTIMATIVA[[#This Row],[QT_CANA_REAL]],ESTIMATIVA[[#This Row],[QT_CANA_REST2]])</f>
        <v>160.69999999999999</v>
      </c>
      <c r="AG59" s="1" t="str">
        <f>IF(COUNTIFS(GEADA!A:A,VALUE(ESTIMATIVA[[#This Row],[CD_UPNIVEL1]]&amp;TEXT(ESTIMATIVA[[#This Row],[CD_UPNIVEL3]],"0000")))&gt;0,"S","N")</f>
        <v>N</v>
      </c>
      <c r="AH5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59" s="55" t="str">
        <f>IF(ESTIMATIVA[[#This Row],[TP_CULTIVO]]="Irrigado",_xlfn.MAXIFS(IRRIGADO!J:J,IRRIGADO!C:C,ESTIMATIVA[[#This Row],[CD_UPNIVEL1]],IRRIGADO!E:E,ESTIMATIVA[[#This Row],[CD_UPNIVEL3]]),"")</f>
        <v/>
      </c>
      <c r="AJ5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9" s="1">
        <f>COUNTIFS(Apresentação!$E$23:$E$29,ESTIMATIVA[[#This Row],[CD_UPNIVEL1]])</f>
        <v>0</v>
      </c>
    </row>
    <row r="60" spans="1:37" x14ac:dyDescent="0.3">
      <c r="A60">
        <v>10325</v>
      </c>
      <c r="B60" t="s">
        <v>15</v>
      </c>
      <c r="C60">
        <v>4</v>
      </c>
      <c r="D60">
        <v>3</v>
      </c>
      <c r="E60" t="s">
        <v>263</v>
      </c>
      <c r="F60" s="85" t="s">
        <v>331</v>
      </c>
      <c r="G60"/>
      <c r="H60" t="s">
        <v>294</v>
      </c>
      <c r="I60" t="s">
        <v>195</v>
      </c>
      <c r="J60" t="s">
        <v>176</v>
      </c>
      <c r="K60" s="1">
        <v>30.12</v>
      </c>
      <c r="L60" s="1">
        <v>30.12</v>
      </c>
      <c r="M60" s="1">
        <v>0</v>
      </c>
      <c r="N60" s="1">
        <v>30.12</v>
      </c>
      <c r="O60" s="1">
        <v>2168.64</v>
      </c>
      <c r="P60" s="1">
        <v>1204.8</v>
      </c>
      <c r="Q60" s="1">
        <v>0</v>
      </c>
      <c r="R60" s="1">
        <v>1070.01</v>
      </c>
      <c r="S60" t="s">
        <v>12</v>
      </c>
      <c r="T60" s="13">
        <v>45914</v>
      </c>
      <c r="U60" s="1" t="str">
        <f>IF(ESTIMATIVA[[#This Row],[QT_AREA_REAL]]&gt;0,"1- Colhido","2- à Colher")</f>
        <v>1- Colhido</v>
      </c>
      <c r="V60" s="1" t="str">
        <f>IF(ESTIMATIVA[[#This Row],[QT_AREA_REST1]]&gt;0,"Reestimativa 1",IF(ESTIMATIVA[[#This Row],[QT_AREA_REAL]]=0,"Reestimativa 1","Realizado"))</f>
        <v>Reestimativa 1</v>
      </c>
      <c r="W60" s="1" t="str">
        <f>IF(ESTIMATIVA[[#This Row],[QT_AREA_REST2]]&gt;0,"Reestimativa 2",IF(ESTIMATIVA[[#This Row],[QT_AREA_REAL]]=0,"Reestimativa 2","Realizado"))</f>
        <v>Realizado</v>
      </c>
      <c r="X60" s="1">
        <f>ESTIMATIVA[[#This Row],[QT_AREA_EST]]</f>
        <v>30.12</v>
      </c>
      <c r="Y60" s="1">
        <f>IF(ESTIMATIVA[[#This Row],[QT_AREA_REST1]]&gt;0,ESTIMATIVA[[#This Row],[QT_AREA_REST1]],
  IF(ESTIMATIVA[[#This Row],[QT_AREA_REAL]]&gt;0,ESTIMATIVA[[#This Row],[QT_AREA_REAL]],ESTIMATIVA[[#This Row],[QT_AREA_EST]]))</f>
        <v>30.12</v>
      </c>
      <c r="Z6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30.12</v>
      </c>
      <c r="AA60" s="1">
        <f>ESTIMATIVA[[#This Row],[QT_CANA_EST]]</f>
        <v>2168.64</v>
      </c>
      <c r="AB60" s="1">
        <f>IF(ESTIMATIVA[[#This Row],[QT_CANA_REST1]]&gt;0,ESTIMATIVA[[#This Row],[QT_CANA_REST1]],
  IF(ESTIMATIVA[[#This Row],[QT_CANA_REAL]]&gt;0,ESTIMATIVA[[#This Row],[QT_CANA_REAL]],ESTIMATIVA[[#This Row],[QT_CANA_EST]]))</f>
        <v>1204.8</v>
      </c>
      <c r="AC6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1070.01</v>
      </c>
      <c r="AD60" s="1">
        <f>IF(ESTIMATIVA[[#This Row],[QT_AREA_REAL]]&gt;0,ESTIMATIVA[[#This Row],[QT_CANA_REAL]],ESTIMATIVA[[#This Row],[QT_CANA_EST]])</f>
        <v>1070.01</v>
      </c>
      <c r="AE60" s="1">
        <f>IF(ESTIMATIVA[[#This Row],[QT_AREA_REAL]]&gt;0,ESTIMATIVA[[#This Row],[QT_CANA_REAL]],ESTIMATIVA[[#This Row],[QT_CANA_REST1]])</f>
        <v>1070.01</v>
      </c>
      <c r="AF60" s="1">
        <f>IF(ESTIMATIVA[[#This Row],[QT_AREA_REAL]]&gt;0,ESTIMATIVA[[#This Row],[QT_CANA_REAL]],ESTIMATIVA[[#This Row],[QT_CANA_REST2]])</f>
        <v>1070.01</v>
      </c>
      <c r="AG60" s="1" t="str">
        <f>IF(COUNTIFS(GEADA!A:A,VALUE(ESTIMATIVA[[#This Row],[CD_UPNIVEL1]]&amp;TEXT(ESTIMATIVA[[#This Row],[CD_UPNIVEL3]],"0000")))&gt;0,"S","N")</f>
        <v>S</v>
      </c>
      <c r="AH6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0" s="55" t="str">
        <f>IF(ESTIMATIVA[[#This Row],[TP_CULTIVO]]="Irrigado",_xlfn.MAXIFS(IRRIGADO!J:J,IRRIGADO!C:C,ESTIMATIVA[[#This Row],[CD_UPNIVEL1]],IRRIGADO!E:E,ESTIMATIVA[[#This Row],[CD_UPNIVEL3]]),"")</f>
        <v/>
      </c>
      <c r="AJ6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0" s="1">
        <f>COUNTIFS(Apresentação!$E$23:$E$29,ESTIMATIVA[[#This Row],[CD_UPNIVEL1]])</f>
        <v>0</v>
      </c>
    </row>
    <row r="61" spans="1:37" x14ac:dyDescent="0.3">
      <c r="A61">
        <v>10325</v>
      </c>
      <c r="B61" t="s">
        <v>15</v>
      </c>
      <c r="C61">
        <v>5</v>
      </c>
      <c r="D61">
        <v>3</v>
      </c>
      <c r="E61" t="s">
        <v>263</v>
      </c>
      <c r="F61" s="85" t="s">
        <v>331</v>
      </c>
      <c r="G61"/>
      <c r="H61" t="s">
        <v>294</v>
      </c>
      <c r="I61" t="s">
        <v>195</v>
      </c>
      <c r="J61" t="s">
        <v>176</v>
      </c>
      <c r="K61" s="1">
        <v>8.0500000000000007</v>
      </c>
      <c r="L61" s="1">
        <v>8.0500000000000007</v>
      </c>
      <c r="M61" s="1">
        <v>0</v>
      </c>
      <c r="N61" s="1">
        <v>8.0500000000000007</v>
      </c>
      <c r="O61" s="1">
        <v>579.6</v>
      </c>
      <c r="P61" s="1">
        <v>579.6</v>
      </c>
      <c r="Q61" s="1">
        <v>0</v>
      </c>
      <c r="R61" s="1">
        <v>515.09</v>
      </c>
      <c r="S61" t="s">
        <v>12</v>
      </c>
      <c r="T61" s="13">
        <v>45914</v>
      </c>
      <c r="U61" s="1" t="str">
        <f>IF(ESTIMATIVA[[#This Row],[QT_AREA_REAL]]&gt;0,"1- Colhido","2- à Colher")</f>
        <v>1- Colhido</v>
      </c>
      <c r="V61" s="1" t="str">
        <f>IF(ESTIMATIVA[[#This Row],[QT_AREA_REST1]]&gt;0,"Reestimativa 1",IF(ESTIMATIVA[[#This Row],[QT_AREA_REAL]]=0,"Reestimativa 1","Realizado"))</f>
        <v>Reestimativa 1</v>
      </c>
      <c r="W61" s="1" t="str">
        <f>IF(ESTIMATIVA[[#This Row],[QT_AREA_REST2]]&gt;0,"Reestimativa 2",IF(ESTIMATIVA[[#This Row],[QT_AREA_REAL]]=0,"Reestimativa 2","Realizado"))</f>
        <v>Realizado</v>
      </c>
      <c r="X61" s="1">
        <f>ESTIMATIVA[[#This Row],[QT_AREA_EST]]</f>
        <v>8.0500000000000007</v>
      </c>
      <c r="Y61" s="1">
        <f>IF(ESTIMATIVA[[#This Row],[QT_AREA_REST1]]&gt;0,ESTIMATIVA[[#This Row],[QT_AREA_REST1]],
  IF(ESTIMATIVA[[#This Row],[QT_AREA_REAL]]&gt;0,ESTIMATIVA[[#This Row],[QT_AREA_REAL]],ESTIMATIVA[[#This Row],[QT_AREA_EST]]))</f>
        <v>8.0500000000000007</v>
      </c>
      <c r="Z6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8.0500000000000007</v>
      </c>
      <c r="AA61" s="1">
        <f>ESTIMATIVA[[#This Row],[QT_CANA_EST]]</f>
        <v>579.6</v>
      </c>
      <c r="AB61" s="1">
        <f>IF(ESTIMATIVA[[#This Row],[QT_CANA_REST1]]&gt;0,ESTIMATIVA[[#This Row],[QT_CANA_REST1]],
  IF(ESTIMATIVA[[#This Row],[QT_CANA_REAL]]&gt;0,ESTIMATIVA[[#This Row],[QT_CANA_REAL]],ESTIMATIVA[[#This Row],[QT_CANA_EST]]))</f>
        <v>579.6</v>
      </c>
      <c r="AC6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515.09</v>
      </c>
      <c r="AD61" s="1">
        <f>IF(ESTIMATIVA[[#This Row],[QT_AREA_REAL]]&gt;0,ESTIMATIVA[[#This Row],[QT_CANA_REAL]],ESTIMATIVA[[#This Row],[QT_CANA_EST]])</f>
        <v>515.09</v>
      </c>
      <c r="AE61" s="1">
        <f>IF(ESTIMATIVA[[#This Row],[QT_AREA_REAL]]&gt;0,ESTIMATIVA[[#This Row],[QT_CANA_REAL]],ESTIMATIVA[[#This Row],[QT_CANA_REST1]])</f>
        <v>515.09</v>
      </c>
      <c r="AF61" s="1">
        <f>IF(ESTIMATIVA[[#This Row],[QT_AREA_REAL]]&gt;0,ESTIMATIVA[[#This Row],[QT_CANA_REAL]],ESTIMATIVA[[#This Row],[QT_CANA_REST2]])</f>
        <v>515.09</v>
      </c>
      <c r="AG61" s="1" t="str">
        <f>IF(COUNTIFS(GEADA!A:A,VALUE(ESTIMATIVA[[#This Row],[CD_UPNIVEL1]]&amp;TEXT(ESTIMATIVA[[#This Row],[CD_UPNIVEL3]],"0000")))&gt;0,"S","N")</f>
        <v>N</v>
      </c>
      <c r="AH6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1" s="55" t="str">
        <f>IF(ESTIMATIVA[[#This Row],[TP_CULTIVO]]="Irrigado",_xlfn.MAXIFS(IRRIGADO!J:J,IRRIGADO!C:C,ESTIMATIVA[[#This Row],[CD_UPNIVEL1]],IRRIGADO!E:E,ESTIMATIVA[[#This Row],[CD_UPNIVEL3]]),"")</f>
        <v/>
      </c>
      <c r="AJ6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1" s="1">
        <f>COUNTIFS(Apresentação!$E$23:$E$29,ESTIMATIVA[[#This Row],[CD_UPNIVEL1]])</f>
        <v>0</v>
      </c>
    </row>
    <row r="62" spans="1:37" x14ac:dyDescent="0.3">
      <c r="A62">
        <v>10325</v>
      </c>
      <c r="B62" t="s">
        <v>15</v>
      </c>
      <c r="C62">
        <v>6</v>
      </c>
      <c r="D62">
        <v>3</v>
      </c>
      <c r="E62" t="s">
        <v>263</v>
      </c>
      <c r="F62" s="85" t="s">
        <v>331</v>
      </c>
      <c r="G62"/>
      <c r="H62" t="s">
        <v>294</v>
      </c>
      <c r="I62" t="s">
        <v>195</v>
      </c>
      <c r="J62" t="s">
        <v>176</v>
      </c>
      <c r="K62" s="1">
        <v>22.33</v>
      </c>
      <c r="L62" s="1">
        <v>22.33</v>
      </c>
      <c r="M62" s="1">
        <v>22.33</v>
      </c>
      <c r="N62" s="1">
        <v>22.33</v>
      </c>
      <c r="O62" s="1">
        <v>1607.76</v>
      </c>
      <c r="P62" s="1">
        <v>1607.76</v>
      </c>
      <c r="Q62" s="1">
        <v>1607.76</v>
      </c>
      <c r="R62" s="1">
        <v>1175.31</v>
      </c>
      <c r="S62" t="s">
        <v>12</v>
      </c>
      <c r="T62" s="13">
        <v>45998</v>
      </c>
      <c r="U62" s="1" t="str">
        <f>IF(ESTIMATIVA[[#This Row],[QT_AREA_REAL]]&gt;0,"1- Colhido","2- à Colher")</f>
        <v>1- Colhido</v>
      </c>
      <c r="V62" s="1" t="str">
        <f>IF(ESTIMATIVA[[#This Row],[QT_AREA_REST1]]&gt;0,"Reestimativa 1",IF(ESTIMATIVA[[#This Row],[QT_AREA_REAL]]=0,"Reestimativa 1","Realizado"))</f>
        <v>Reestimativa 1</v>
      </c>
      <c r="W62" s="1" t="str">
        <f>IF(ESTIMATIVA[[#This Row],[QT_AREA_REST2]]&gt;0,"Reestimativa 2",IF(ESTIMATIVA[[#This Row],[QT_AREA_REAL]]=0,"Reestimativa 2","Realizado"))</f>
        <v>Reestimativa 2</v>
      </c>
      <c r="X62" s="1">
        <f>ESTIMATIVA[[#This Row],[QT_AREA_EST]]</f>
        <v>22.33</v>
      </c>
      <c r="Y62" s="1">
        <f>IF(ESTIMATIVA[[#This Row],[QT_AREA_REST1]]&gt;0,ESTIMATIVA[[#This Row],[QT_AREA_REST1]],
  IF(ESTIMATIVA[[#This Row],[QT_AREA_REAL]]&gt;0,ESTIMATIVA[[#This Row],[QT_AREA_REAL]],ESTIMATIVA[[#This Row],[QT_AREA_EST]]))</f>
        <v>22.33</v>
      </c>
      <c r="Z6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22.33</v>
      </c>
      <c r="AA62" s="1">
        <f>ESTIMATIVA[[#This Row],[QT_CANA_EST]]</f>
        <v>1607.76</v>
      </c>
      <c r="AB62" s="1">
        <f>IF(ESTIMATIVA[[#This Row],[QT_CANA_REST1]]&gt;0,ESTIMATIVA[[#This Row],[QT_CANA_REST1]],
  IF(ESTIMATIVA[[#This Row],[QT_CANA_REAL]]&gt;0,ESTIMATIVA[[#This Row],[QT_CANA_REAL]],ESTIMATIVA[[#This Row],[QT_CANA_EST]]))</f>
        <v>1607.76</v>
      </c>
      <c r="AC6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1607.76</v>
      </c>
      <c r="AD62" s="1">
        <f>IF(ESTIMATIVA[[#This Row],[QT_AREA_REAL]]&gt;0,ESTIMATIVA[[#This Row],[QT_CANA_REAL]],ESTIMATIVA[[#This Row],[QT_CANA_EST]])</f>
        <v>1175.31</v>
      </c>
      <c r="AE62" s="1">
        <f>IF(ESTIMATIVA[[#This Row],[QT_AREA_REAL]]&gt;0,ESTIMATIVA[[#This Row],[QT_CANA_REAL]],ESTIMATIVA[[#This Row],[QT_CANA_REST1]])</f>
        <v>1175.31</v>
      </c>
      <c r="AF62" s="1">
        <f>IF(ESTIMATIVA[[#This Row],[QT_AREA_REAL]]&gt;0,ESTIMATIVA[[#This Row],[QT_CANA_REAL]],ESTIMATIVA[[#This Row],[QT_CANA_REST2]])</f>
        <v>1175.31</v>
      </c>
      <c r="AG62" s="1" t="str">
        <f>IF(COUNTIFS(GEADA!A:A,VALUE(ESTIMATIVA[[#This Row],[CD_UPNIVEL1]]&amp;TEXT(ESTIMATIVA[[#This Row],[CD_UPNIVEL3]],"0000")))&gt;0,"S","N")</f>
        <v>N</v>
      </c>
      <c r="AH6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2" s="55" t="str">
        <f>IF(ESTIMATIVA[[#This Row],[TP_CULTIVO]]="Irrigado",_xlfn.MAXIFS(IRRIGADO!J:J,IRRIGADO!C:C,ESTIMATIVA[[#This Row],[CD_UPNIVEL1]],IRRIGADO!E:E,ESTIMATIVA[[#This Row],[CD_UPNIVEL3]]),"")</f>
        <v/>
      </c>
      <c r="AJ6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2" s="1">
        <f>COUNTIFS(Apresentação!$E$23:$E$29,ESTIMATIVA[[#This Row],[CD_UPNIVEL1]])</f>
        <v>0</v>
      </c>
    </row>
    <row r="63" spans="1:37" x14ac:dyDescent="0.3">
      <c r="A63">
        <v>10325</v>
      </c>
      <c r="B63" t="s">
        <v>15</v>
      </c>
      <c r="C63">
        <v>7</v>
      </c>
      <c r="D63">
        <v>3</v>
      </c>
      <c r="E63" t="s">
        <v>263</v>
      </c>
      <c r="F63" s="85" t="s">
        <v>331</v>
      </c>
      <c r="G63"/>
      <c r="H63" t="s">
        <v>294</v>
      </c>
      <c r="I63" t="s">
        <v>195</v>
      </c>
      <c r="J63" t="s">
        <v>176</v>
      </c>
      <c r="K63" s="1">
        <v>19.93</v>
      </c>
      <c r="L63" s="1">
        <v>19.93</v>
      </c>
      <c r="M63" s="1">
        <v>19.93</v>
      </c>
      <c r="N63" s="1">
        <v>19.93</v>
      </c>
      <c r="O63" s="1">
        <v>1434.96</v>
      </c>
      <c r="P63" s="1">
        <v>1434.96</v>
      </c>
      <c r="Q63" s="1">
        <v>1395.1</v>
      </c>
      <c r="R63" s="1">
        <v>799.69</v>
      </c>
      <c r="S63" t="s">
        <v>12</v>
      </c>
      <c r="T63" s="13">
        <v>45998</v>
      </c>
      <c r="U63" s="1" t="str">
        <f>IF(ESTIMATIVA[[#This Row],[QT_AREA_REAL]]&gt;0,"1- Colhido","2- à Colher")</f>
        <v>1- Colhido</v>
      </c>
      <c r="V63" s="1" t="str">
        <f>IF(ESTIMATIVA[[#This Row],[QT_AREA_REST1]]&gt;0,"Reestimativa 1",IF(ESTIMATIVA[[#This Row],[QT_AREA_REAL]]=0,"Reestimativa 1","Realizado"))</f>
        <v>Reestimativa 1</v>
      </c>
      <c r="W63" s="1" t="str">
        <f>IF(ESTIMATIVA[[#This Row],[QT_AREA_REST2]]&gt;0,"Reestimativa 2",IF(ESTIMATIVA[[#This Row],[QT_AREA_REAL]]=0,"Reestimativa 2","Realizado"))</f>
        <v>Reestimativa 2</v>
      </c>
      <c r="X63" s="1">
        <f>ESTIMATIVA[[#This Row],[QT_AREA_EST]]</f>
        <v>19.93</v>
      </c>
      <c r="Y63" s="1">
        <f>IF(ESTIMATIVA[[#This Row],[QT_AREA_REST1]]&gt;0,ESTIMATIVA[[#This Row],[QT_AREA_REST1]],
  IF(ESTIMATIVA[[#This Row],[QT_AREA_REAL]]&gt;0,ESTIMATIVA[[#This Row],[QT_AREA_REAL]],ESTIMATIVA[[#This Row],[QT_AREA_EST]]))</f>
        <v>19.93</v>
      </c>
      <c r="Z6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19.93</v>
      </c>
      <c r="AA63" s="1">
        <f>ESTIMATIVA[[#This Row],[QT_CANA_EST]]</f>
        <v>1434.96</v>
      </c>
      <c r="AB63" s="1">
        <f>IF(ESTIMATIVA[[#This Row],[QT_CANA_REST1]]&gt;0,ESTIMATIVA[[#This Row],[QT_CANA_REST1]],
  IF(ESTIMATIVA[[#This Row],[QT_CANA_REAL]]&gt;0,ESTIMATIVA[[#This Row],[QT_CANA_REAL]],ESTIMATIVA[[#This Row],[QT_CANA_EST]]))</f>
        <v>1434.96</v>
      </c>
      <c r="AC6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1395.1</v>
      </c>
      <c r="AD63" s="1">
        <f>IF(ESTIMATIVA[[#This Row],[QT_AREA_REAL]]&gt;0,ESTIMATIVA[[#This Row],[QT_CANA_REAL]],ESTIMATIVA[[#This Row],[QT_CANA_EST]])</f>
        <v>799.69</v>
      </c>
      <c r="AE63" s="1">
        <f>IF(ESTIMATIVA[[#This Row],[QT_AREA_REAL]]&gt;0,ESTIMATIVA[[#This Row],[QT_CANA_REAL]],ESTIMATIVA[[#This Row],[QT_CANA_REST1]])</f>
        <v>799.69</v>
      </c>
      <c r="AF63" s="1">
        <f>IF(ESTIMATIVA[[#This Row],[QT_AREA_REAL]]&gt;0,ESTIMATIVA[[#This Row],[QT_CANA_REAL]],ESTIMATIVA[[#This Row],[QT_CANA_REST2]])</f>
        <v>799.69</v>
      </c>
      <c r="AG63" s="1" t="str">
        <f>IF(COUNTIFS(GEADA!A:A,VALUE(ESTIMATIVA[[#This Row],[CD_UPNIVEL1]]&amp;TEXT(ESTIMATIVA[[#This Row],[CD_UPNIVEL3]],"0000")))&gt;0,"S","N")</f>
        <v>N</v>
      </c>
      <c r="AH6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3" s="55" t="str">
        <f>IF(ESTIMATIVA[[#This Row],[TP_CULTIVO]]="Irrigado",_xlfn.MAXIFS(IRRIGADO!J:J,IRRIGADO!C:C,ESTIMATIVA[[#This Row],[CD_UPNIVEL1]],IRRIGADO!E:E,ESTIMATIVA[[#This Row],[CD_UPNIVEL3]]),"")</f>
        <v/>
      </c>
      <c r="AJ6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3" s="1">
        <f>COUNTIFS(Apresentação!$E$23:$E$29,ESTIMATIVA[[#This Row],[CD_UPNIVEL1]])</f>
        <v>0</v>
      </c>
    </row>
    <row r="64" spans="1:37" x14ac:dyDescent="0.3">
      <c r="A64">
        <v>10325</v>
      </c>
      <c r="B64" t="s">
        <v>15</v>
      </c>
      <c r="C64">
        <v>8</v>
      </c>
      <c r="D64">
        <v>3</v>
      </c>
      <c r="E64" t="s">
        <v>263</v>
      </c>
      <c r="F64" s="85" t="s">
        <v>331</v>
      </c>
      <c r="G64"/>
      <c r="H64" t="s">
        <v>294</v>
      </c>
      <c r="I64" t="s">
        <v>195</v>
      </c>
      <c r="J64" t="s">
        <v>176</v>
      </c>
      <c r="K64" s="1">
        <v>18.79</v>
      </c>
      <c r="L64" s="1">
        <v>18.79</v>
      </c>
      <c r="M64" s="1">
        <v>18.79</v>
      </c>
      <c r="N64" s="1">
        <v>18.79</v>
      </c>
      <c r="O64" s="1">
        <v>1352.88</v>
      </c>
      <c r="P64" s="1">
        <v>1352.88</v>
      </c>
      <c r="Q64" s="1">
        <v>1315.3</v>
      </c>
      <c r="R64" s="1">
        <v>753.83</v>
      </c>
      <c r="S64" t="s">
        <v>12</v>
      </c>
      <c r="T64" s="13">
        <v>45998</v>
      </c>
      <c r="U64" s="1" t="str">
        <f>IF(ESTIMATIVA[[#This Row],[QT_AREA_REAL]]&gt;0,"1- Colhido","2- à Colher")</f>
        <v>1- Colhido</v>
      </c>
      <c r="V64" s="1" t="str">
        <f>IF(ESTIMATIVA[[#This Row],[QT_AREA_REST1]]&gt;0,"Reestimativa 1",IF(ESTIMATIVA[[#This Row],[QT_AREA_REAL]]=0,"Reestimativa 1","Realizado"))</f>
        <v>Reestimativa 1</v>
      </c>
      <c r="W64" s="1" t="str">
        <f>IF(ESTIMATIVA[[#This Row],[QT_AREA_REST2]]&gt;0,"Reestimativa 2",IF(ESTIMATIVA[[#This Row],[QT_AREA_REAL]]=0,"Reestimativa 2","Realizado"))</f>
        <v>Reestimativa 2</v>
      </c>
      <c r="X64" s="1">
        <f>ESTIMATIVA[[#This Row],[QT_AREA_EST]]</f>
        <v>18.79</v>
      </c>
      <c r="Y64" s="1">
        <f>IF(ESTIMATIVA[[#This Row],[QT_AREA_REST1]]&gt;0,ESTIMATIVA[[#This Row],[QT_AREA_REST1]],
  IF(ESTIMATIVA[[#This Row],[QT_AREA_REAL]]&gt;0,ESTIMATIVA[[#This Row],[QT_AREA_REAL]],ESTIMATIVA[[#This Row],[QT_AREA_EST]]))</f>
        <v>18.79</v>
      </c>
      <c r="Z6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18.79</v>
      </c>
      <c r="AA64" s="1">
        <f>ESTIMATIVA[[#This Row],[QT_CANA_EST]]</f>
        <v>1352.88</v>
      </c>
      <c r="AB64" s="1">
        <f>IF(ESTIMATIVA[[#This Row],[QT_CANA_REST1]]&gt;0,ESTIMATIVA[[#This Row],[QT_CANA_REST1]],
  IF(ESTIMATIVA[[#This Row],[QT_CANA_REAL]]&gt;0,ESTIMATIVA[[#This Row],[QT_CANA_REAL]],ESTIMATIVA[[#This Row],[QT_CANA_EST]]))</f>
        <v>1352.88</v>
      </c>
      <c r="AC6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1315.3</v>
      </c>
      <c r="AD64" s="1">
        <f>IF(ESTIMATIVA[[#This Row],[QT_AREA_REAL]]&gt;0,ESTIMATIVA[[#This Row],[QT_CANA_REAL]],ESTIMATIVA[[#This Row],[QT_CANA_EST]])</f>
        <v>753.83</v>
      </c>
      <c r="AE64" s="1">
        <f>IF(ESTIMATIVA[[#This Row],[QT_AREA_REAL]]&gt;0,ESTIMATIVA[[#This Row],[QT_CANA_REAL]],ESTIMATIVA[[#This Row],[QT_CANA_REST1]])</f>
        <v>753.83</v>
      </c>
      <c r="AF64" s="1">
        <f>IF(ESTIMATIVA[[#This Row],[QT_AREA_REAL]]&gt;0,ESTIMATIVA[[#This Row],[QT_CANA_REAL]],ESTIMATIVA[[#This Row],[QT_CANA_REST2]])</f>
        <v>753.83</v>
      </c>
      <c r="AG64" s="1" t="str">
        <f>IF(COUNTIFS(GEADA!A:A,VALUE(ESTIMATIVA[[#This Row],[CD_UPNIVEL1]]&amp;TEXT(ESTIMATIVA[[#This Row],[CD_UPNIVEL3]],"0000")))&gt;0,"S","N")</f>
        <v>N</v>
      </c>
      <c r="AH6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4" s="55" t="str">
        <f>IF(ESTIMATIVA[[#This Row],[TP_CULTIVO]]="Irrigado",_xlfn.MAXIFS(IRRIGADO!J:J,IRRIGADO!C:C,ESTIMATIVA[[#This Row],[CD_UPNIVEL1]],IRRIGADO!E:E,ESTIMATIVA[[#This Row],[CD_UPNIVEL3]]),"")</f>
        <v/>
      </c>
      <c r="AJ6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4" s="1">
        <f>COUNTIFS(Apresentação!$E$23:$E$29,ESTIMATIVA[[#This Row],[CD_UPNIVEL1]])</f>
        <v>0</v>
      </c>
    </row>
    <row r="65" spans="1:37" x14ac:dyDescent="0.3">
      <c r="A65">
        <v>10325</v>
      </c>
      <c r="B65" t="s">
        <v>15</v>
      </c>
      <c r="C65">
        <v>9</v>
      </c>
      <c r="D65">
        <v>3</v>
      </c>
      <c r="E65" t="s">
        <v>263</v>
      </c>
      <c r="F65" s="85" t="s">
        <v>333</v>
      </c>
      <c r="G65"/>
      <c r="H65" t="s">
        <v>294</v>
      </c>
      <c r="I65" t="s">
        <v>195</v>
      </c>
      <c r="J65" t="s">
        <v>176</v>
      </c>
      <c r="K65" s="1">
        <v>3.21</v>
      </c>
      <c r="L65" s="1">
        <v>3.21</v>
      </c>
      <c r="M65" s="1">
        <v>3.21</v>
      </c>
      <c r="N65" s="1">
        <v>3.21</v>
      </c>
      <c r="O65" s="1">
        <v>231.12</v>
      </c>
      <c r="P65" s="1">
        <v>231.12</v>
      </c>
      <c r="Q65" s="1">
        <v>224.7</v>
      </c>
      <c r="R65" s="1">
        <v>129.1</v>
      </c>
      <c r="S65" t="s">
        <v>12</v>
      </c>
      <c r="T65" s="13">
        <v>45998</v>
      </c>
      <c r="U65" s="1" t="str">
        <f>IF(ESTIMATIVA[[#This Row],[QT_AREA_REAL]]&gt;0,"1- Colhido","2- à Colher")</f>
        <v>1- Colhido</v>
      </c>
      <c r="V65" s="1" t="str">
        <f>IF(ESTIMATIVA[[#This Row],[QT_AREA_REST1]]&gt;0,"Reestimativa 1",IF(ESTIMATIVA[[#This Row],[QT_AREA_REAL]]=0,"Reestimativa 1","Realizado"))</f>
        <v>Reestimativa 1</v>
      </c>
      <c r="W65" s="1" t="str">
        <f>IF(ESTIMATIVA[[#This Row],[QT_AREA_REST2]]&gt;0,"Reestimativa 2",IF(ESTIMATIVA[[#This Row],[QT_AREA_REAL]]=0,"Reestimativa 2","Realizado"))</f>
        <v>Reestimativa 2</v>
      </c>
      <c r="X65" s="1">
        <f>ESTIMATIVA[[#This Row],[QT_AREA_EST]]</f>
        <v>3.21</v>
      </c>
      <c r="Y65" s="1">
        <f>IF(ESTIMATIVA[[#This Row],[QT_AREA_REST1]]&gt;0,ESTIMATIVA[[#This Row],[QT_AREA_REST1]],
  IF(ESTIMATIVA[[#This Row],[QT_AREA_REAL]]&gt;0,ESTIMATIVA[[#This Row],[QT_AREA_REAL]],ESTIMATIVA[[#This Row],[QT_AREA_EST]]))</f>
        <v>3.21</v>
      </c>
      <c r="Z6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3.21</v>
      </c>
      <c r="AA65" s="1">
        <f>ESTIMATIVA[[#This Row],[QT_CANA_EST]]</f>
        <v>231.12</v>
      </c>
      <c r="AB65" s="1">
        <f>IF(ESTIMATIVA[[#This Row],[QT_CANA_REST1]]&gt;0,ESTIMATIVA[[#This Row],[QT_CANA_REST1]],
  IF(ESTIMATIVA[[#This Row],[QT_CANA_REAL]]&gt;0,ESTIMATIVA[[#This Row],[QT_CANA_REAL]],ESTIMATIVA[[#This Row],[QT_CANA_EST]]))</f>
        <v>231.12</v>
      </c>
      <c r="AC6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224.7</v>
      </c>
      <c r="AD65" s="1">
        <f>IF(ESTIMATIVA[[#This Row],[QT_AREA_REAL]]&gt;0,ESTIMATIVA[[#This Row],[QT_CANA_REAL]],ESTIMATIVA[[#This Row],[QT_CANA_EST]])</f>
        <v>129.1</v>
      </c>
      <c r="AE65" s="1">
        <f>IF(ESTIMATIVA[[#This Row],[QT_AREA_REAL]]&gt;0,ESTIMATIVA[[#This Row],[QT_CANA_REAL]],ESTIMATIVA[[#This Row],[QT_CANA_REST1]])</f>
        <v>129.1</v>
      </c>
      <c r="AF65" s="1">
        <f>IF(ESTIMATIVA[[#This Row],[QT_AREA_REAL]]&gt;0,ESTIMATIVA[[#This Row],[QT_CANA_REAL]],ESTIMATIVA[[#This Row],[QT_CANA_REST2]])</f>
        <v>129.1</v>
      </c>
      <c r="AG65" s="1" t="str">
        <f>IF(COUNTIFS(GEADA!A:A,VALUE(ESTIMATIVA[[#This Row],[CD_UPNIVEL1]]&amp;TEXT(ESTIMATIVA[[#This Row],[CD_UPNIVEL3]],"0000")))&gt;0,"S","N")</f>
        <v>N</v>
      </c>
      <c r="AH6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5" s="55" t="str">
        <f>IF(ESTIMATIVA[[#This Row],[TP_CULTIVO]]="Irrigado",_xlfn.MAXIFS(IRRIGADO!J:J,IRRIGADO!C:C,ESTIMATIVA[[#This Row],[CD_UPNIVEL1]],IRRIGADO!E:E,ESTIMATIVA[[#This Row],[CD_UPNIVEL3]]),"")</f>
        <v/>
      </c>
      <c r="AJ6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5" s="1">
        <f>COUNTIFS(Apresentação!$E$23:$E$29,ESTIMATIVA[[#This Row],[CD_UPNIVEL1]])</f>
        <v>0</v>
      </c>
    </row>
    <row r="66" spans="1:37" x14ac:dyDescent="0.3">
      <c r="A66">
        <v>10327</v>
      </c>
      <c r="B66" t="s">
        <v>16</v>
      </c>
      <c r="C66">
        <v>1</v>
      </c>
      <c r="D66">
        <v>2</v>
      </c>
      <c r="E66" t="s">
        <v>266</v>
      </c>
      <c r="F66" s="85" t="s">
        <v>331</v>
      </c>
      <c r="G66"/>
      <c r="H66" t="s">
        <v>294</v>
      </c>
      <c r="I66" t="s">
        <v>200</v>
      </c>
      <c r="J66" t="s">
        <v>176</v>
      </c>
      <c r="K66" s="1">
        <v>26.23</v>
      </c>
      <c r="L66" s="1">
        <v>26.23</v>
      </c>
      <c r="M66" s="1">
        <v>0</v>
      </c>
      <c r="N66" s="1">
        <v>26.23</v>
      </c>
      <c r="O66" s="1">
        <v>2229.5500000000002</v>
      </c>
      <c r="P66" s="1">
        <v>2360.6999999999998</v>
      </c>
      <c r="Q66" s="1">
        <v>0</v>
      </c>
      <c r="R66" s="1">
        <v>2361.31</v>
      </c>
      <c r="S66" t="s">
        <v>12</v>
      </c>
      <c r="T66" s="13">
        <v>45872</v>
      </c>
      <c r="U66" s="1" t="str">
        <f>IF(ESTIMATIVA[[#This Row],[QT_AREA_REAL]]&gt;0,"1- Colhido","2- à Colher")</f>
        <v>1- Colhido</v>
      </c>
      <c r="V66" s="1" t="str">
        <f>IF(ESTIMATIVA[[#This Row],[QT_AREA_REST1]]&gt;0,"Reestimativa 1",IF(ESTIMATIVA[[#This Row],[QT_AREA_REAL]]=0,"Reestimativa 1","Realizado"))</f>
        <v>Reestimativa 1</v>
      </c>
      <c r="W66" s="1" t="str">
        <f>IF(ESTIMATIVA[[#This Row],[QT_AREA_REST2]]&gt;0,"Reestimativa 2",IF(ESTIMATIVA[[#This Row],[QT_AREA_REAL]]=0,"Reestimativa 2","Realizado"))</f>
        <v>Realizado</v>
      </c>
      <c r="X66" s="1">
        <f>ESTIMATIVA[[#This Row],[QT_AREA_EST]]</f>
        <v>26.23</v>
      </c>
      <c r="Y66" s="1">
        <f>IF(ESTIMATIVA[[#This Row],[QT_AREA_REST1]]&gt;0,ESTIMATIVA[[#This Row],[QT_AREA_REST1]],
  IF(ESTIMATIVA[[#This Row],[QT_AREA_REAL]]&gt;0,ESTIMATIVA[[#This Row],[QT_AREA_REAL]],ESTIMATIVA[[#This Row],[QT_AREA_EST]]))</f>
        <v>26.23</v>
      </c>
      <c r="Z6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26.23</v>
      </c>
      <c r="AA66" s="1">
        <f>ESTIMATIVA[[#This Row],[QT_CANA_EST]]</f>
        <v>2229.5500000000002</v>
      </c>
      <c r="AB66" s="1">
        <f>IF(ESTIMATIVA[[#This Row],[QT_CANA_REST1]]&gt;0,ESTIMATIVA[[#This Row],[QT_CANA_REST1]],
  IF(ESTIMATIVA[[#This Row],[QT_CANA_REAL]]&gt;0,ESTIMATIVA[[#This Row],[QT_CANA_REAL]],ESTIMATIVA[[#This Row],[QT_CANA_EST]]))</f>
        <v>2360.6999999999998</v>
      </c>
      <c r="AC6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2361.31</v>
      </c>
      <c r="AD66" s="1">
        <f>IF(ESTIMATIVA[[#This Row],[QT_AREA_REAL]]&gt;0,ESTIMATIVA[[#This Row],[QT_CANA_REAL]],ESTIMATIVA[[#This Row],[QT_CANA_EST]])</f>
        <v>2361.31</v>
      </c>
      <c r="AE66" s="1">
        <f>IF(ESTIMATIVA[[#This Row],[QT_AREA_REAL]]&gt;0,ESTIMATIVA[[#This Row],[QT_CANA_REAL]],ESTIMATIVA[[#This Row],[QT_CANA_REST1]])</f>
        <v>2361.31</v>
      </c>
      <c r="AF66" s="1">
        <f>IF(ESTIMATIVA[[#This Row],[QT_AREA_REAL]]&gt;0,ESTIMATIVA[[#This Row],[QT_CANA_REAL]],ESTIMATIVA[[#This Row],[QT_CANA_REST2]])</f>
        <v>2361.31</v>
      </c>
      <c r="AG66" s="1" t="str">
        <f>IF(COUNTIFS(GEADA!A:A,VALUE(ESTIMATIVA[[#This Row],[CD_UPNIVEL1]]&amp;TEXT(ESTIMATIVA[[#This Row],[CD_UPNIVEL3]],"0000")))&gt;0,"S","N")</f>
        <v>N</v>
      </c>
      <c r="AH6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6" s="55" t="str">
        <f>IF(ESTIMATIVA[[#This Row],[TP_CULTIVO]]="Irrigado",_xlfn.MAXIFS(IRRIGADO!J:J,IRRIGADO!C:C,ESTIMATIVA[[#This Row],[CD_UPNIVEL1]],IRRIGADO!E:E,ESTIMATIVA[[#This Row],[CD_UPNIVEL3]]),"")</f>
        <v/>
      </c>
      <c r="AJ6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6" s="1">
        <f>COUNTIFS(Apresentação!$E$23:$E$29,ESTIMATIVA[[#This Row],[CD_UPNIVEL1]])</f>
        <v>0</v>
      </c>
    </row>
    <row r="67" spans="1:37" x14ac:dyDescent="0.3">
      <c r="A67">
        <v>10327</v>
      </c>
      <c r="B67" t="s">
        <v>16</v>
      </c>
      <c r="C67">
        <v>2</v>
      </c>
      <c r="D67">
        <v>2</v>
      </c>
      <c r="E67" t="s">
        <v>266</v>
      </c>
      <c r="F67" s="85" t="s">
        <v>331</v>
      </c>
      <c r="G67"/>
      <c r="H67" t="s">
        <v>294</v>
      </c>
      <c r="I67" t="s">
        <v>200</v>
      </c>
      <c r="J67" t="s">
        <v>176</v>
      </c>
      <c r="K67" s="1">
        <v>25.94</v>
      </c>
      <c r="L67" s="1">
        <v>25.94</v>
      </c>
      <c r="M67" s="1">
        <v>0</v>
      </c>
      <c r="N67" s="1">
        <v>25.94</v>
      </c>
      <c r="O67" s="1">
        <v>2204.9</v>
      </c>
      <c r="P67" s="1">
        <v>2334.6</v>
      </c>
      <c r="Q67" s="1">
        <v>0</v>
      </c>
      <c r="R67" s="1">
        <v>2335.44</v>
      </c>
      <c r="S67" t="s">
        <v>12</v>
      </c>
      <c r="T67" s="13">
        <v>45872</v>
      </c>
      <c r="U67" s="1" t="str">
        <f>IF(ESTIMATIVA[[#This Row],[QT_AREA_REAL]]&gt;0,"1- Colhido","2- à Colher")</f>
        <v>1- Colhido</v>
      </c>
      <c r="V67" s="1" t="str">
        <f>IF(ESTIMATIVA[[#This Row],[QT_AREA_REST1]]&gt;0,"Reestimativa 1",IF(ESTIMATIVA[[#This Row],[QT_AREA_REAL]]=0,"Reestimativa 1","Realizado"))</f>
        <v>Reestimativa 1</v>
      </c>
      <c r="W67" s="1" t="str">
        <f>IF(ESTIMATIVA[[#This Row],[QT_AREA_REST2]]&gt;0,"Reestimativa 2",IF(ESTIMATIVA[[#This Row],[QT_AREA_REAL]]=0,"Reestimativa 2","Realizado"))</f>
        <v>Realizado</v>
      </c>
      <c r="X67" s="1">
        <f>ESTIMATIVA[[#This Row],[QT_AREA_EST]]</f>
        <v>25.94</v>
      </c>
      <c r="Y67" s="1">
        <f>IF(ESTIMATIVA[[#This Row],[QT_AREA_REST1]]&gt;0,ESTIMATIVA[[#This Row],[QT_AREA_REST1]],
  IF(ESTIMATIVA[[#This Row],[QT_AREA_REAL]]&gt;0,ESTIMATIVA[[#This Row],[QT_AREA_REAL]],ESTIMATIVA[[#This Row],[QT_AREA_EST]]))</f>
        <v>25.94</v>
      </c>
      <c r="Z6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25.94</v>
      </c>
      <c r="AA67" s="1">
        <f>ESTIMATIVA[[#This Row],[QT_CANA_EST]]</f>
        <v>2204.9</v>
      </c>
      <c r="AB67" s="1">
        <f>IF(ESTIMATIVA[[#This Row],[QT_CANA_REST1]]&gt;0,ESTIMATIVA[[#This Row],[QT_CANA_REST1]],
  IF(ESTIMATIVA[[#This Row],[QT_CANA_REAL]]&gt;0,ESTIMATIVA[[#This Row],[QT_CANA_REAL]],ESTIMATIVA[[#This Row],[QT_CANA_EST]]))</f>
        <v>2334.6</v>
      </c>
      <c r="AC6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2335.44</v>
      </c>
      <c r="AD67" s="1">
        <f>IF(ESTIMATIVA[[#This Row],[QT_AREA_REAL]]&gt;0,ESTIMATIVA[[#This Row],[QT_CANA_REAL]],ESTIMATIVA[[#This Row],[QT_CANA_EST]])</f>
        <v>2335.44</v>
      </c>
      <c r="AE67" s="1">
        <f>IF(ESTIMATIVA[[#This Row],[QT_AREA_REAL]]&gt;0,ESTIMATIVA[[#This Row],[QT_CANA_REAL]],ESTIMATIVA[[#This Row],[QT_CANA_REST1]])</f>
        <v>2335.44</v>
      </c>
      <c r="AF67" s="1">
        <f>IF(ESTIMATIVA[[#This Row],[QT_AREA_REAL]]&gt;0,ESTIMATIVA[[#This Row],[QT_CANA_REAL]],ESTIMATIVA[[#This Row],[QT_CANA_REST2]])</f>
        <v>2335.44</v>
      </c>
      <c r="AG67" s="1" t="str">
        <f>IF(COUNTIFS(GEADA!A:A,VALUE(ESTIMATIVA[[#This Row],[CD_UPNIVEL1]]&amp;TEXT(ESTIMATIVA[[#This Row],[CD_UPNIVEL3]],"0000")))&gt;0,"S","N")</f>
        <v>N</v>
      </c>
      <c r="AH6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7" s="55" t="str">
        <f>IF(ESTIMATIVA[[#This Row],[TP_CULTIVO]]="Irrigado",_xlfn.MAXIFS(IRRIGADO!J:J,IRRIGADO!C:C,ESTIMATIVA[[#This Row],[CD_UPNIVEL1]],IRRIGADO!E:E,ESTIMATIVA[[#This Row],[CD_UPNIVEL3]]),"")</f>
        <v/>
      </c>
      <c r="AJ6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7" s="1">
        <f>COUNTIFS(Apresentação!$E$23:$E$29,ESTIMATIVA[[#This Row],[CD_UPNIVEL1]])</f>
        <v>0</v>
      </c>
    </row>
    <row r="68" spans="1:37" x14ac:dyDescent="0.3">
      <c r="A68">
        <v>10327</v>
      </c>
      <c r="B68" t="s">
        <v>16</v>
      </c>
      <c r="C68">
        <v>3</v>
      </c>
      <c r="D68">
        <v>3</v>
      </c>
      <c r="E68" t="s">
        <v>263</v>
      </c>
      <c r="F68" s="85" t="s">
        <v>331</v>
      </c>
      <c r="G68"/>
      <c r="H68" t="s">
        <v>294</v>
      </c>
      <c r="I68" t="s">
        <v>200</v>
      </c>
      <c r="J68" t="s">
        <v>176</v>
      </c>
      <c r="K68" s="1">
        <v>14.53</v>
      </c>
      <c r="L68" s="1">
        <v>0</v>
      </c>
      <c r="M68" s="1">
        <v>0</v>
      </c>
      <c r="N68" s="1">
        <v>14.53</v>
      </c>
      <c r="O68" s="1">
        <v>1162.4000000000001</v>
      </c>
      <c r="P68" s="1">
        <v>0</v>
      </c>
      <c r="Q68" s="1">
        <v>0</v>
      </c>
      <c r="R68" s="1">
        <v>632.57000000000005</v>
      </c>
      <c r="S68" t="s">
        <v>12</v>
      </c>
      <c r="T68" s="13">
        <v>45823</v>
      </c>
      <c r="U68" s="1" t="str">
        <f>IF(ESTIMATIVA[[#This Row],[QT_AREA_REAL]]&gt;0,"1- Colhido","2- à Colher")</f>
        <v>1- Colhido</v>
      </c>
      <c r="V68" s="1" t="str">
        <f>IF(ESTIMATIVA[[#This Row],[QT_AREA_REST1]]&gt;0,"Reestimativa 1",IF(ESTIMATIVA[[#This Row],[QT_AREA_REAL]]=0,"Reestimativa 1","Realizado"))</f>
        <v>Realizado</v>
      </c>
      <c r="W68" s="1" t="str">
        <f>IF(ESTIMATIVA[[#This Row],[QT_AREA_REST2]]&gt;0,"Reestimativa 2",IF(ESTIMATIVA[[#This Row],[QT_AREA_REAL]]=0,"Reestimativa 2","Realizado"))</f>
        <v>Realizado</v>
      </c>
      <c r="X68" s="1">
        <f>ESTIMATIVA[[#This Row],[QT_AREA_EST]]</f>
        <v>14.53</v>
      </c>
      <c r="Y68" s="1">
        <f>IF(ESTIMATIVA[[#This Row],[QT_AREA_REST1]]&gt;0,ESTIMATIVA[[#This Row],[QT_AREA_REST1]],
  IF(ESTIMATIVA[[#This Row],[QT_AREA_REAL]]&gt;0,ESTIMATIVA[[#This Row],[QT_AREA_REAL]],ESTIMATIVA[[#This Row],[QT_AREA_EST]]))</f>
        <v>14.53</v>
      </c>
      <c r="Z6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14.53</v>
      </c>
      <c r="AA68" s="1">
        <f>ESTIMATIVA[[#This Row],[QT_CANA_EST]]</f>
        <v>1162.4000000000001</v>
      </c>
      <c r="AB68" s="1">
        <f>IF(ESTIMATIVA[[#This Row],[QT_CANA_REST1]]&gt;0,ESTIMATIVA[[#This Row],[QT_CANA_REST1]],
  IF(ESTIMATIVA[[#This Row],[QT_CANA_REAL]]&gt;0,ESTIMATIVA[[#This Row],[QT_CANA_REAL]],ESTIMATIVA[[#This Row],[QT_CANA_EST]]))</f>
        <v>632.57000000000005</v>
      </c>
      <c r="AC6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632.57000000000005</v>
      </c>
      <c r="AD68" s="1">
        <f>IF(ESTIMATIVA[[#This Row],[QT_AREA_REAL]]&gt;0,ESTIMATIVA[[#This Row],[QT_CANA_REAL]],ESTIMATIVA[[#This Row],[QT_CANA_EST]])</f>
        <v>632.57000000000005</v>
      </c>
      <c r="AE68" s="1">
        <f>IF(ESTIMATIVA[[#This Row],[QT_AREA_REAL]]&gt;0,ESTIMATIVA[[#This Row],[QT_CANA_REAL]],ESTIMATIVA[[#This Row],[QT_CANA_REST1]])</f>
        <v>632.57000000000005</v>
      </c>
      <c r="AF68" s="1">
        <f>IF(ESTIMATIVA[[#This Row],[QT_AREA_REAL]]&gt;0,ESTIMATIVA[[#This Row],[QT_CANA_REAL]],ESTIMATIVA[[#This Row],[QT_CANA_REST2]])</f>
        <v>632.57000000000005</v>
      </c>
      <c r="AG68" s="1" t="str">
        <f>IF(COUNTIFS(GEADA!A:A,VALUE(ESTIMATIVA[[#This Row],[CD_UPNIVEL1]]&amp;TEXT(ESTIMATIVA[[#This Row],[CD_UPNIVEL3]],"0000")))&gt;0,"S","N")</f>
        <v>N</v>
      </c>
      <c r="AH6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8" s="55" t="str">
        <f>IF(ESTIMATIVA[[#This Row],[TP_CULTIVO]]="Irrigado",_xlfn.MAXIFS(IRRIGADO!J:J,IRRIGADO!C:C,ESTIMATIVA[[#This Row],[CD_UPNIVEL1]],IRRIGADO!E:E,ESTIMATIVA[[#This Row],[CD_UPNIVEL3]]),"")</f>
        <v/>
      </c>
      <c r="AJ6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8" s="1">
        <f>COUNTIFS(Apresentação!$E$23:$E$29,ESTIMATIVA[[#This Row],[CD_UPNIVEL1]])</f>
        <v>0</v>
      </c>
    </row>
    <row r="69" spans="1:37" x14ac:dyDescent="0.3">
      <c r="A69">
        <v>10327</v>
      </c>
      <c r="B69" t="s">
        <v>16</v>
      </c>
      <c r="C69">
        <v>4</v>
      </c>
      <c r="D69">
        <v>3</v>
      </c>
      <c r="E69" t="s">
        <v>263</v>
      </c>
      <c r="F69" s="85" t="s">
        <v>331</v>
      </c>
      <c r="G69"/>
      <c r="H69" t="s">
        <v>294</v>
      </c>
      <c r="I69" t="s">
        <v>200</v>
      </c>
      <c r="J69" t="s">
        <v>176</v>
      </c>
      <c r="K69" s="1">
        <v>13.71</v>
      </c>
      <c r="L69" s="1">
        <v>0</v>
      </c>
      <c r="M69" s="1">
        <v>0</v>
      </c>
      <c r="N69" s="1">
        <v>13.71</v>
      </c>
      <c r="O69" s="1">
        <v>1096.8</v>
      </c>
      <c r="P69" s="1">
        <v>0</v>
      </c>
      <c r="Q69" s="1">
        <v>0</v>
      </c>
      <c r="R69" s="1">
        <v>597.32000000000005</v>
      </c>
      <c r="S69" t="s">
        <v>12</v>
      </c>
      <c r="T69" s="13">
        <v>45823</v>
      </c>
      <c r="U69" s="1" t="str">
        <f>IF(ESTIMATIVA[[#This Row],[QT_AREA_REAL]]&gt;0,"1- Colhido","2- à Colher")</f>
        <v>1- Colhido</v>
      </c>
      <c r="V69" s="1" t="str">
        <f>IF(ESTIMATIVA[[#This Row],[QT_AREA_REST1]]&gt;0,"Reestimativa 1",IF(ESTIMATIVA[[#This Row],[QT_AREA_REAL]]=0,"Reestimativa 1","Realizado"))</f>
        <v>Realizado</v>
      </c>
      <c r="W69" s="1" t="str">
        <f>IF(ESTIMATIVA[[#This Row],[QT_AREA_REST2]]&gt;0,"Reestimativa 2",IF(ESTIMATIVA[[#This Row],[QT_AREA_REAL]]=0,"Reestimativa 2","Realizado"))</f>
        <v>Realizado</v>
      </c>
      <c r="X69" s="1">
        <f>ESTIMATIVA[[#This Row],[QT_AREA_EST]]</f>
        <v>13.71</v>
      </c>
      <c r="Y69" s="1">
        <f>IF(ESTIMATIVA[[#This Row],[QT_AREA_REST1]]&gt;0,ESTIMATIVA[[#This Row],[QT_AREA_REST1]],
  IF(ESTIMATIVA[[#This Row],[QT_AREA_REAL]]&gt;0,ESTIMATIVA[[#This Row],[QT_AREA_REAL]],ESTIMATIVA[[#This Row],[QT_AREA_EST]]))</f>
        <v>13.71</v>
      </c>
      <c r="Z6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13.71</v>
      </c>
      <c r="AA69" s="1">
        <f>ESTIMATIVA[[#This Row],[QT_CANA_EST]]</f>
        <v>1096.8</v>
      </c>
      <c r="AB69" s="1">
        <f>IF(ESTIMATIVA[[#This Row],[QT_CANA_REST1]]&gt;0,ESTIMATIVA[[#This Row],[QT_CANA_REST1]],
  IF(ESTIMATIVA[[#This Row],[QT_CANA_REAL]]&gt;0,ESTIMATIVA[[#This Row],[QT_CANA_REAL]],ESTIMATIVA[[#This Row],[QT_CANA_EST]]))</f>
        <v>597.32000000000005</v>
      </c>
      <c r="AC6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597.32000000000005</v>
      </c>
      <c r="AD69" s="1">
        <f>IF(ESTIMATIVA[[#This Row],[QT_AREA_REAL]]&gt;0,ESTIMATIVA[[#This Row],[QT_CANA_REAL]],ESTIMATIVA[[#This Row],[QT_CANA_EST]])</f>
        <v>597.32000000000005</v>
      </c>
      <c r="AE69" s="1">
        <f>IF(ESTIMATIVA[[#This Row],[QT_AREA_REAL]]&gt;0,ESTIMATIVA[[#This Row],[QT_CANA_REAL]],ESTIMATIVA[[#This Row],[QT_CANA_REST1]])</f>
        <v>597.32000000000005</v>
      </c>
      <c r="AF69" s="1">
        <f>IF(ESTIMATIVA[[#This Row],[QT_AREA_REAL]]&gt;0,ESTIMATIVA[[#This Row],[QT_CANA_REAL]],ESTIMATIVA[[#This Row],[QT_CANA_REST2]])</f>
        <v>597.32000000000005</v>
      </c>
      <c r="AG69" s="1" t="str">
        <f>IF(COUNTIFS(GEADA!A:A,VALUE(ESTIMATIVA[[#This Row],[CD_UPNIVEL1]]&amp;TEXT(ESTIMATIVA[[#This Row],[CD_UPNIVEL3]],"0000")))&gt;0,"S","N")</f>
        <v>N</v>
      </c>
      <c r="AH6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9" s="55" t="str">
        <f>IF(ESTIMATIVA[[#This Row],[TP_CULTIVO]]="Irrigado",_xlfn.MAXIFS(IRRIGADO!J:J,IRRIGADO!C:C,ESTIMATIVA[[#This Row],[CD_UPNIVEL1]],IRRIGADO!E:E,ESTIMATIVA[[#This Row],[CD_UPNIVEL3]]),"")</f>
        <v/>
      </c>
      <c r="AJ6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9" s="1">
        <f>COUNTIFS(Apresentação!$E$23:$E$29,ESTIMATIVA[[#This Row],[CD_UPNIVEL1]])</f>
        <v>0</v>
      </c>
    </row>
    <row r="70" spans="1:37" x14ac:dyDescent="0.3">
      <c r="A70">
        <v>10327</v>
      </c>
      <c r="B70" t="s">
        <v>16</v>
      </c>
      <c r="C70">
        <v>5</v>
      </c>
      <c r="D70">
        <v>3</v>
      </c>
      <c r="E70" t="s">
        <v>263</v>
      </c>
      <c r="F70" s="85" t="s">
        <v>331</v>
      </c>
      <c r="G70"/>
      <c r="H70" t="s">
        <v>294</v>
      </c>
      <c r="I70" t="s">
        <v>200</v>
      </c>
      <c r="J70" t="s">
        <v>176</v>
      </c>
      <c r="K70" s="1">
        <v>2.59</v>
      </c>
      <c r="L70" s="1">
        <v>2.59</v>
      </c>
      <c r="M70" s="1">
        <v>0</v>
      </c>
      <c r="N70" s="1">
        <v>2.59</v>
      </c>
      <c r="O70" s="1">
        <v>207.2</v>
      </c>
      <c r="P70" s="1">
        <v>207.2</v>
      </c>
      <c r="Q70" s="1">
        <v>0</v>
      </c>
      <c r="R70" s="1">
        <v>160.57</v>
      </c>
      <c r="S70" t="s">
        <v>12</v>
      </c>
      <c r="T70" s="13">
        <v>45872</v>
      </c>
      <c r="U70" s="1" t="str">
        <f>IF(ESTIMATIVA[[#This Row],[QT_AREA_REAL]]&gt;0,"1- Colhido","2- à Colher")</f>
        <v>1- Colhido</v>
      </c>
      <c r="V70" s="1" t="str">
        <f>IF(ESTIMATIVA[[#This Row],[QT_AREA_REST1]]&gt;0,"Reestimativa 1",IF(ESTIMATIVA[[#This Row],[QT_AREA_REAL]]=0,"Reestimativa 1","Realizado"))</f>
        <v>Reestimativa 1</v>
      </c>
      <c r="W70" s="1" t="str">
        <f>IF(ESTIMATIVA[[#This Row],[QT_AREA_REST2]]&gt;0,"Reestimativa 2",IF(ESTIMATIVA[[#This Row],[QT_AREA_REAL]]=0,"Reestimativa 2","Realizado"))</f>
        <v>Realizado</v>
      </c>
      <c r="X70" s="1">
        <f>ESTIMATIVA[[#This Row],[QT_AREA_EST]]</f>
        <v>2.59</v>
      </c>
      <c r="Y70" s="1">
        <f>IF(ESTIMATIVA[[#This Row],[QT_AREA_REST1]]&gt;0,ESTIMATIVA[[#This Row],[QT_AREA_REST1]],
  IF(ESTIMATIVA[[#This Row],[QT_AREA_REAL]]&gt;0,ESTIMATIVA[[#This Row],[QT_AREA_REAL]],ESTIMATIVA[[#This Row],[QT_AREA_EST]]))</f>
        <v>2.59</v>
      </c>
      <c r="Z7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2.59</v>
      </c>
      <c r="AA70" s="1">
        <f>ESTIMATIVA[[#This Row],[QT_CANA_EST]]</f>
        <v>207.2</v>
      </c>
      <c r="AB70" s="1">
        <f>IF(ESTIMATIVA[[#This Row],[QT_CANA_REST1]]&gt;0,ESTIMATIVA[[#This Row],[QT_CANA_REST1]],
  IF(ESTIMATIVA[[#This Row],[QT_CANA_REAL]]&gt;0,ESTIMATIVA[[#This Row],[QT_CANA_REAL]],ESTIMATIVA[[#This Row],[QT_CANA_EST]]))</f>
        <v>207.2</v>
      </c>
      <c r="AC7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160.57</v>
      </c>
      <c r="AD70" s="1">
        <f>IF(ESTIMATIVA[[#This Row],[QT_AREA_REAL]]&gt;0,ESTIMATIVA[[#This Row],[QT_CANA_REAL]],ESTIMATIVA[[#This Row],[QT_CANA_EST]])</f>
        <v>160.57</v>
      </c>
      <c r="AE70" s="1">
        <f>IF(ESTIMATIVA[[#This Row],[QT_AREA_REAL]]&gt;0,ESTIMATIVA[[#This Row],[QT_CANA_REAL]],ESTIMATIVA[[#This Row],[QT_CANA_REST1]])</f>
        <v>160.57</v>
      </c>
      <c r="AF70" s="1">
        <f>IF(ESTIMATIVA[[#This Row],[QT_AREA_REAL]]&gt;0,ESTIMATIVA[[#This Row],[QT_CANA_REAL]],ESTIMATIVA[[#This Row],[QT_CANA_REST2]])</f>
        <v>160.57</v>
      </c>
      <c r="AG70" s="1" t="str">
        <f>IF(COUNTIFS(GEADA!A:A,VALUE(ESTIMATIVA[[#This Row],[CD_UPNIVEL1]]&amp;TEXT(ESTIMATIVA[[#This Row],[CD_UPNIVEL3]],"0000")))&gt;0,"S","N")</f>
        <v>N</v>
      </c>
      <c r="AH7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0" s="55" t="str">
        <f>IF(ESTIMATIVA[[#This Row],[TP_CULTIVO]]="Irrigado",_xlfn.MAXIFS(IRRIGADO!J:J,IRRIGADO!C:C,ESTIMATIVA[[#This Row],[CD_UPNIVEL1]],IRRIGADO!E:E,ESTIMATIVA[[#This Row],[CD_UPNIVEL3]]),"")</f>
        <v/>
      </c>
      <c r="AJ7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0" s="1">
        <f>COUNTIFS(Apresentação!$E$23:$E$29,ESTIMATIVA[[#This Row],[CD_UPNIVEL1]])</f>
        <v>0</v>
      </c>
    </row>
    <row r="71" spans="1:37" x14ac:dyDescent="0.3">
      <c r="A71">
        <v>10327</v>
      </c>
      <c r="B71" t="s">
        <v>16</v>
      </c>
      <c r="C71">
        <v>6</v>
      </c>
      <c r="D71">
        <v>2</v>
      </c>
      <c r="E71" t="s">
        <v>266</v>
      </c>
      <c r="F71" s="85" t="s">
        <v>331</v>
      </c>
      <c r="G71"/>
      <c r="H71" t="s">
        <v>294</v>
      </c>
      <c r="I71" t="s">
        <v>200</v>
      </c>
      <c r="J71" t="s">
        <v>176</v>
      </c>
      <c r="K71" s="1">
        <v>64.849999999999994</v>
      </c>
      <c r="L71" s="1">
        <v>64.849999999999994</v>
      </c>
      <c r="M71" s="1">
        <v>0</v>
      </c>
      <c r="N71" s="1">
        <v>64.849999999999994</v>
      </c>
      <c r="O71" s="1">
        <v>5706.8</v>
      </c>
      <c r="P71" s="1">
        <v>5836.5</v>
      </c>
      <c r="Q71" s="1">
        <v>0</v>
      </c>
      <c r="R71" s="1">
        <v>7275.48</v>
      </c>
      <c r="S71" t="s">
        <v>12</v>
      </c>
      <c r="T71" s="13">
        <v>45872</v>
      </c>
      <c r="U71" s="1" t="str">
        <f>IF(ESTIMATIVA[[#This Row],[QT_AREA_REAL]]&gt;0,"1- Colhido","2- à Colher")</f>
        <v>1- Colhido</v>
      </c>
      <c r="V71" s="1" t="str">
        <f>IF(ESTIMATIVA[[#This Row],[QT_AREA_REST1]]&gt;0,"Reestimativa 1",IF(ESTIMATIVA[[#This Row],[QT_AREA_REAL]]=0,"Reestimativa 1","Realizado"))</f>
        <v>Reestimativa 1</v>
      </c>
      <c r="W71" s="1" t="str">
        <f>IF(ESTIMATIVA[[#This Row],[QT_AREA_REST2]]&gt;0,"Reestimativa 2",IF(ESTIMATIVA[[#This Row],[QT_AREA_REAL]]=0,"Reestimativa 2","Realizado"))</f>
        <v>Realizado</v>
      </c>
      <c r="X71" s="1">
        <f>ESTIMATIVA[[#This Row],[QT_AREA_EST]]</f>
        <v>64.849999999999994</v>
      </c>
      <c r="Y71" s="1">
        <f>IF(ESTIMATIVA[[#This Row],[QT_AREA_REST1]]&gt;0,ESTIMATIVA[[#This Row],[QT_AREA_REST1]],
  IF(ESTIMATIVA[[#This Row],[QT_AREA_REAL]]&gt;0,ESTIMATIVA[[#This Row],[QT_AREA_REAL]],ESTIMATIVA[[#This Row],[QT_AREA_EST]]))</f>
        <v>64.849999999999994</v>
      </c>
      <c r="Z7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64.849999999999994</v>
      </c>
      <c r="AA71" s="1">
        <f>ESTIMATIVA[[#This Row],[QT_CANA_EST]]</f>
        <v>5706.8</v>
      </c>
      <c r="AB71" s="1">
        <f>IF(ESTIMATIVA[[#This Row],[QT_CANA_REST1]]&gt;0,ESTIMATIVA[[#This Row],[QT_CANA_REST1]],
  IF(ESTIMATIVA[[#This Row],[QT_CANA_REAL]]&gt;0,ESTIMATIVA[[#This Row],[QT_CANA_REAL]],ESTIMATIVA[[#This Row],[QT_CANA_EST]]))</f>
        <v>5836.5</v>
      </c>
      <c r="AC7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7275.48</v>
      </c>
      <c r="AD71" s="1">
        <f>IF(ESTIMATIVA[[#This Row],[QT_AREA_REAL]]&gt;0,ESTIMATIVA[[#This Row],[QT_CANA_REAL]],ESTIMATIVA[[#This Row],[QT_CANA_EST]])</f>
        <v>7275.48</v>
      </c>
      <c r="AE71" s="1">
        <f>IF(ESTIMATIVA[[#This Row],[QT_AREA_REAL]]&gt;0,ESTIMATIVA[[#This Row],[QT_CANA_REAL]],ESTIMATIVA[[#This Row],[QT_CANA_REST1]])</f>
        <v>7275.48</v>
      </c>
      <c r="AF71" s="1">
        <f>IF(ESTIMATIVA[[#This Row],[QT_AREA_REAL]]&gt;0,ESTIMATIVA[[#This Row],[QT_CANA_REAL]],ESTIMATIVA[[#This Row],[QT_CANA_REST2]])</f>
        <v>7275.48</v>
      </c>
      <c r="AG71" s="1" t="str">
        <f>IF(COUNTIFS(GEADA!A:A,VALUE(ESTIMATIVA[[#This Row],[CD_UPNIVEL1]]&amp;TEXT(ESTIMATIVA[[#This Row],[CD_UPNIVEL3]],"0000")))&gt;0,"S","N")</f>
        <v>N</v>
      </c>
      <c r="AH7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1" s="55" t="str">
        <f>IF(ESTIMATIVA[[#This Row],[TP_CULTIVO]]="Irrigado",_xlfn.MAXIFS(IRRIGADO!J:J,IRRIGADO!C:C,ESTIMATIVA[[#This Row],[CD_UPNIVEL1]],IRRIGADO!E:E,ESTIMATIVA[[#This Row],[CD_UPNIVEL3]]),"")</f>
        <v/>
      </c>
      <c r="AJ7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1" s="1">
        <f>COUNTIFS(Apresentação!$E$23:$E$29,ESTIMATIVA[[#This Row],[CD_UPNIVEL1]])</f>
        <v>0</v>
      </c>
    </row>
    <row r="72" spans="1:37" x14ac:dyDescent="0.3">
      <c r="A72">
        <v>10327</v>
      </c>
      <c r="B72" t="s">
        <v>16</v>
      </c>
      <c r="C72">
        <v>7</v>
      </c>
      <c r="D72">
        <v>2</v>
      </c>
      <c r="E72" t="s">
        <v>266</v>
      </c>
      <c r="F72" s="85" t="s">
        <v>331</v>
      </c>
      <c r="G72"/>
      <c r="H72" t="s">
        <v>294</v>
      </c>
      <c r="I72" t="s">
        <v>200</v>
      </c>
      <c r="J72" t="s">
        <v>176</v>
      </c>
      <c r="K72" s="1">
        <v>35.35</v>
      </c>
      <c r="L72" s="1">
        <v>35.35</v>
      </c>
      <c r="M72" s="1">
        <v>0</v>
      </c>
      <c r="N72" s="1">
        <v>35.35</v>
      </c>
      <c r="O72" s="1">
        <v>3110.8</v>
      </c>
      <c r="P72" s="1">
        <v>3181.5</v>
      </c>
      <c r="Q72" s="1">
        <v>0</v>
      </c>
      <c r="R72" s="1">
        <v>3473.68</v>
      </c>
      <c r="S72" t="s">
        <v>12</v>
      </c>
      <c r="T72" s="13">
        <v>45872</v>
      </c>
      <c r="U72" s="1" t="str">
        <f>IF(ESTIMATIVA[[#This Row],[QT_AREA_REAL]]&gt;0,"1- Colhido","2- à Colher")</f>
        <v>1- Colhido</v>
      </c>
      <c r="V72" s="1" t="str">
        <f>IF(ESTIMATIVA[[#This Row],[QT_AREA_REST1]]&gt;0,"Reestimativa 1",IF(ESTIMATIVA[[#This Row],[QT_AREA_REAL]]=0,"Reestimativa 1","Realizado"))</f>
        <v>Reestimativa 1</v>
      </c>
      <c r="W72" s="1" t="str">
        <f>IF(ESTIMATIVA[[#This Row],[QT_AREA_REST2]]&gt;0,"Reestimativa 2",IF(ESTIMATIVA[[#This Row],[QT_AREA_REAL]]=0,"Reestimativa 2","Realizado"))</f>
        <v>Realizado</v>
      </c>
      <c r="X72" s="1">
        <f>ESTIMATIVA[[#This Row],[QT_AREA_EST]]</f>
        <v>35.35</v>
      </c>
      <c r="Y72" s="1">
        <f>IF(ESTIMATIVA[[#This Row],[QT_AREA_REST1]]&gt;0,ESTIMATIVA[[#This Row],[QT_AREA_REST1]],
  IF(ESTIMATIVA[[#This Row],[QT_AREA_REAL]]&gt;0,ESTIMATIVA[[#This Row],[QT_AREA_REAL]],ESTIMATIVA[[#This Row],[QT_AREA_EST]]))</f>
        <v>35.35</v>
      </c>
      <c r="Z7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35.35</v>
      </c>
      <c r="AA72" s="1">
        <f>ESTIMATIVA[[#This Row],[QT_CANA_EST]]</f>
        <v>3110.8</v>
      </c>
      <c r="AB72" s="1">
        <f>IF(ESTIMATIVA[[#This Row],[QT_CANA_REST1]]&gt;0,ESTIMATIVA[[#This Row],[QT_CANA_REST1]],
  IF(ESTIMATIVA[[#This Row],[QT_CANA_REAL]]&gt;0,ESTIMATIVA[[#This Row],[QT_CANA_REAL]],ESTIMATIVA[[#This Row],[QT_CANA_EST]]))</f>
        <v>3181.5</v>
      </c>
      <c r="AC7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3473.68</v>
      </c>
      <c r="AD72" s="1">
        <f>IF(ESTIMATIVA[[#This Row],[QT_AREA_REAL]]&gt;0,ESTIMATIVA[[#This Row],[QT_CANA_REAL]],ESTIMATIVA[[#This Row],[QT_CANA_EST]])</f>
        <v>3473.68</v>
      </c>
      <c r="AE72" s="1">
        <f>IF(ESTIMATIVA[[#This Row],[QT_AREA_REAL]]&gt;0,ESTIMATIVA[[#This Row],[QT_CANA_REAL]],ESTIMATIVA[[#This Row],[QT_CANA_REST1]])</f>
        <v>3473.68</v>
      </c>
      <c r="AF72" s="1">
        <f>IF(ESTIMATIVA[[#This Row],[QT_AREA_REAL]]&gt;0,ESTIMATIVA[[#This Row],[QT_CANA_REAL]],ESTIMATIVA[[#This Row],[QT_CANA_REST2]])</f>
        <v>3473.68</v>
      </c>
      <c r="AG72" s="1" t="str">
        <f>IF(COUNTIFS(GEADA!A:A,VALUE(ESTIMATIVA[[#This Row],[CD_UPNIVEL1]]&amp;TEXT(ESTIMATIVA[[#This Row],[CD_UPNIVEL3]],"0000")))&gt;0,"S","N")</f>
        <v>S</v>
      </c>
      <c r="AH7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2" s="55" t="str">
        <f>IF(ESTIMATIVA[[#This Row],[TP_CULTIVO]]="Irrigado",_xlfn.MAXIFS(IRRIGADO!J:J,IRRIGADO!C:C,ESTIMATIVA[[#This Row],[CD_UPNIVEL1]],IRRIGADO!E:E,ESTIMATIVA[[#This Row],[CD_UPNIVEL3]]),"")</f>
        <v/>
      </c>
      <c r="AJ7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2" s="1">
        <f>COUNTIFS(Apresentação!$E$23:$E$29,ESTIMATIVA[[#This Row],[CD_UPNIVEL1]])</f>
        <v>0</v>
      </c>
    </row>
    <row r="73" spans="1:37" x14ac:dyDescent="0.3">
      <c r="A73">
        <v>10327</v>
      </c>
      <c r="B73" t="s">
        <v>16</v>
      </c>
      <c r="C73">
        <v>8</v>
      </c>
      <c r="D73">
        <v>2</v>
      </c>
      <c r="E73" t="s">
        <v>266</v>
      </c>
      <c r="F73" s="85" t="s">
        <v>331</v>
      </c>
      <c r="G73"/>
      <c r="H73" t="s">
        <v>294</v>
      </c>
      <c r="I73" t="s">
        <v>200</v>
      </c>
      <c r="J73" t="s">
        <v>176</v>
      </c>
      <c r="K73" s="1">
        <v>3.13</v>
      </c>
      <c r="L73" s="1">
        <v>3.13</v>
      </c>
      <c r="M73" s="1">
        <v>0</v>
      </c>
      <c r="N73" s="1">
        <v>3.13</v>
      </c>
      <c r="O73" s="1">
        <v>275.44</v>
      </c>
      <c r="P73" s="1">
        <v>281.7</v>
      </c>
      <c r="Q73" s="1">
        <v>0</v>
      </c>
      <c r="R73" s="1">
        <v>307.64</v>
      </c>
      <c r="S73" t="s">
        <v>12</v>
      </c>
      <c r="T73" s="13">
        <v>45872</v>
      </c>
      <c r="U73" s="1" t="str">
        <f>IF(ESTIMATIVA[[#This Row],[QT_AREA_REAL]]&gt;0,"1- Colhido","2- à Colher")</f>
        <v>1- Colhido</v>
      </c>
      <c r="V73" s="1" t="str">
        <f>IF(ESTIMATIVA[[#This Row],[QT_AREA_REST1]]&gt;0,"Reestimativa 1",IF(ESTIMATIVA[[#This Row],[QT_AREA_REAL]]=0,"Reestimativa 1","Realizado"))</f>
        <v>Reestimativa 1</v>
      </c>
      <c r="W73" s="1" t="str">
        <f>IF(ESTIMATIVA[[#This Row],[QT_AREA_REST2]]&gt;0,"Reestimativa 2",IF(ESTIMATIVA[[#This Row],[QT_AREA_REAL]]=0,"Reestimativa 2","Realizado"))</f>
        <v>Realizado</v>
      </c>
      <c r="X73" s="1">
        <f>ESTIMATIVA[[#This Row],[QT_AREA_EST]]</f>
        <v>3.13</v>
      </c>
      <c r="Y73" s="1">
        <f>IF(ESTIMATIVA[[#This Row],[QT_AREA_REST1]]&gt;0,ESTIMATIVA[[#This Row],[QT_AREA_REST1]],
  IF(ESTIMATIVA[[#This Row],[QT_AREA_REAL]]&gt;0,ESTIMATIVA[[#This Row],[QT_AREA_REAL]],ESTIMATIVA[[#This Row],[QT_AREA_EST]]))</f>
        <v>3.13</v>
      </c>
      <c r="Z7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3.13</v>
      </c>
      <c r="AA73" s="1">
        <f>ESTIMATIVA[[#This Row],[QT_CANA_EST]]</f>
        <v>275.44</v>
      </c>
      <c r="AB73" s="1">
        <f>IF(ESTIMATIVA[[#This Row],[QT_CANA_REST1]]&gt;0,ESTIMATIVA[[#This Row],[QT_CANA_REST1]],
  IF(ESTIMATIVA[[#This Row],[QT_CANA_REAL]]&gt;0,ESTIMATIVA[[#This Row],[QT_CANA_REAL]],ESTIMATIVA[[#This Row],[QT_CANA_EST]]))</f>
        <v>281.7</v>
      </c>
      <c r="AC7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307.64</v>
      </c>
      <c r="AD73" s="1">
        <f>IF(ESTIMATIVA[[#This Row],[QT_AREA_REAL]]&gt;0,ESTIMATIVA[[#This Row],[QT_CANA_REAL]],ESTIMATIVA[[#This Row],[QT_CANA_EST]])</f>
        <v>307.64</v>
      </c>
      <c r="AE73" s="1">
        <f>IF(ESTIMATIVA[[#This Row],[QT_AREA_REAL]]&gt;0,ESTIMATIVA[[#This Row],[QT_CANA_REAL]],ESTIMATIVA[[#This Row],[QT_CANA_REST1]])</f>
        <v>307.64</v>
      </c>
      <c r="AF73" s="1">
        <f>IF(ESTIMATIVA[[#This Row],[QT_AREA_REAL]]&gt;0,ESTIMATIVA[[#This Row],[QT_CANA_REAL]],ESTIMATIVA[[#This Row],[QT_CANA_REST2]])</f>
        <v>307.64</v>
      </c>
      <c r="AG73" s="1" t="str">
        <f>IF(COUNTIFS(GEADA!A:A,VALUE(ESTIMATIVA[[#This Row],[CD_UPNIVEL1]]&amp;TEXT(ESTIMATIVA[[#This Row],[CD_UPNIVEL3]],"0000")))&gt;0,"S","N")</f>
        <v>S</v>
      </c>
      <c r="AH7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3" s="55" t="str">
        <f>IF(ESTIMATIVA[[#This Row],[TP_CULTIVO]]="Irrigado",_xlfn.MAXIFS(IRRIGADO!J:J,IRRIGADO!C:C,ESTIMATIVA[[#This Row],[CD_UPNIVEL1]],IRRIGADO!E:E,ESTIMATIVA[[#This Row],[CD_UPNIVEL3]]),"")</f>
        <v/>
      </c>
      <c r="AJ7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3" s="1">
        <f>COUNTIFS(Apresentação!$E$23:$E$29,ESTIMATIVA[[#This Row],[CD_UPNIVEL1]])</f>
        <v>0</v>
      </c>
    </row>
    <row r="74" spans="1:37" x14ac:dyDescent="0.3">
      <c r="A74">
        <v>10327</v>
      </c>
      <c r="B74" t="s">
        <v>16</v>
      </c>
      <c r="C74">
        <v>12</v>
      </c>
      <c r="D74">
        <v>3</v>
      </c>
      <c r="E74" t="s">
        <v>263</v>
      </c>
      <c r="F74" s="85" t="s">
        <v>331</v>
      </c>
      <c r="G74"/>
      <c r="H74" t="s">
        <v>294</v>
      </c>
      <c r="I74" t="s">
        <v>200</v>
      </c>
      <c r="J74" t="s">
        <v>176</v>
      </c>
      <c r="K74" s="1">
        <v>0.86</v>
      </c>
      <c r="L74" s="1">
        <v>0.86</v>
      </c>
      <c r="M74" s="1">
        <v>0</v>
      </c>
      <c r="N74" s="1">
        <v>0.86</v>
      </c>
      <c r="O74" s="1">
        <v>75.680000000000007</v>
      </c>
      <c r="P74" s="1">
        <v>76.540000000000006</v>
      </c>
      <c r="Q74" s="1">
        <v>0</v>
      </c>
      <c r="R74" s="1">
        <v>85.28</v>
      </c>
      <c r="S74" t="s">
        <v>12</v>
      </c>
      <c r="T74" s="13">
        <v>45872</v>
      </c>
      <c r="U74" s="1" t="str">
        <f>IF(ESTIMATIVA[[#This Row],[QT_AREA_REAL]]&gt;0,"1- Colhido","2- à Colher")</f>
        <v>1- Colhido</v>
      </c>
      <c r="V74" s="1" t="str">
        <f>IF(ESTIMATIVA[[#This Row],[QT_AREA_REST1]]&gt;0,"Reestimativa 1",IF(ESTIMATIVA[[#This Row],[QT_AREA_REAL]]=0,"Reestimativa 1","Realizado"))</f>
        <v>Reestimativa 1</v>
      </c>
      <c r="W74" s="1" t="str">
        <f>IF(ESTIMATIVA[[#This Row],[QT_AREA_REST2]]&gt;0,"Reestimativa 2",IF(ESTIMATIVA[[#This Row],[QT_AREA_REAL]]=0,"Reestimativa 2","Realizado"))</f>
        <v>Realizado</v>
      </c>
      <c r="X74" s="1">
        <f>ESTIMATIVA[[#This Row],[QT_AREA_EST]]</f>
        <v>0.86</v>
      </c>
      <c r="Y74" s="1">
        <f>IF(ESTIMATIVA[[#This Row],[QT_AREA_REST1]]&gt;0,ESTIMATIVA[[#This Row],[QT_AREA_REST1]],
  IF(ESTIMATIVA[[#This Row],[QT_AREA_REAL]]&gt;0,ESTIMATIVA[[#This Row],[QT_AREA_REAL]],ESTIMATIVA[[#This Row],[QT_AREA_EST]]))</f>
        <v>0.86</v>
      </c>
      <c r="Z7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0.86</v>
      </c>
      <c r="AA74" s="1">
        <f>ESTIMATIVA[[#This Row],[QT_CANA_EST]]</f>
        <v>75.680000000000007</v>
      </c>
      <c r="AB74" s="1">
        <f>IF(ESTIMATIVA[[#This Row],[QT_CANA_REST1]]&gt;0,ESTIMATIVA[[#This Row],[QT_CANA_REST1]],
  IF(ESTIMATIVA[[#This Row],[QT_CANA_REAL]]&gt;0,ESTIMATIVA[[#This Row],[QT_CANA_REAL]],ESTIMATIVA[[#This Row],[QT_CANA_EST]]))</f>
        <v>76.540000000000006</v>
      </c>
      <c r="AC7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85.28</v>
      </c>
      <c r="AD74" s="1">
        <f>IF(ESTIMATIVA[[#This Row],[QT_AREA_REAL]]&gt;0,ESTIMATIVA[[#This Row],[QT_CANA_REAL]],ESTIMATIVA[[#This Row],[QT_CANA_EST]])</f>
        <v>85.28</v>
      </c>
      <c r="AE74" s="1">
        <f>IF(ESTIMATIVA[[#This Row],[QT_AREA_REAL]]&gt;0,ESTIMATIVA[[#This Row],[QT_CANA_REAL]],ESTIMATIVA[[#This Row],[QT_CANA_REST1]])</f>
        <v>85.28</v>
      </c>
      <c r="AF74" s="1">
        <f>IF(ESTIMATIVA[[#This Row],[QT_AREA_REAL]]&gt;0,ESTIMATIVA[[#This Row],[QT_CANA_REAL]],ESTIMATIVA[[#This Row],[QT_CANA_REST2]])</f>
        <v>85.28</v>
      </c>
      <c r="AG74" s="1" t="str">
        <f>IF(COUNTIFS(GEADA!A:A,VALUE(ESTIMATIVA[[#This Row],[CD_UPNIVEL1]]&amp;TEXT(ESTIMATIVA[[#This Row],[CD_UPNIVEL3]],"0000")))&gt;0,"S","N")</f>
        <v>N</v>
      </c>
      <c r="AH7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4" s="55" t="str">
        <f>IF(ESTIMATIVA[[#This Row],[TP_CULTIVO]]="Irrigado",_xlfn.MAXIFS(IRRIGADO!J:J,IRRIGADO!C:C,ESTIMATIVA[[#This Row],[CD_UPNIVEL1]],IRRIGADO!E:E,ESTIMATIVA[[#This Row],[CD_UPNIVEL3]]),"")</f>
        <v/>
      </c>
      <c r="AJ7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4" s="1">
        <f>COUNTIFS(Apresentação!$E$23:$E$29,ESTIMATIVA[[#This Row],[CD_UPNIVEL1]])</f>
        <v>0</v>
      </c>
    </row>
    <row r="75" spans="1:37" x14ac:dyDescent="0.3">
      <c r="A75">
        <v>10327</v>
      </c>
      <c r="B75" t="s">
        <v>16</v>
      </c>
      <c r="C75">
        <v>16</v>
      </c>
      <c r="D75">
        <v>3</v>
      </c>
      <c r="E75" t="s">
        <v>263</v>
      </c>
      <c r="F75" s="85" t="s">
        <v>331</v>
      </c>
      <c r="G75"/>
      <c r="H75" t="s">
        <v>294</v>
      </c>
      <c r="I75" t="s">
        <v>200</v>
      </c>
      <c r="J75" t="s">
        <v>176</v>
      </c>
      <c r="K75" s="1">
        <v>2.58</v>
      </c>
      <c r="L75" s="1">
        <v>2.58</v>
      </c>
      <c r="M75" s="1">
        <v>0</v>
      </c>
      <c r="N75" s="1">
        <v>2.58</v>
      </c>
      <c r="O75" s="1">
        <v>227.04</v>
      </c>
      <c r="P75" s="1">
        <v>229.62</v>
      </c>
      <c r="Q75" s="1">
        <v>0</v>
      </c>
      <c r="R75" s="1">
        <v>229.77</v>
      </c>
      <c r="S75" t="s">
        <v>12</v>
      </c>
      <c r="T75" s="13">
        <v>45879</v>
      </c>
      <c r="U75" s="1" t="str">
        <f>IF(ESTIMATIVA[[#This Row],[QT_AREA_REAL]]&gt;0,"1- Colhido","2- à Colher")</f>
        <v>1- Colhido</v>
      </c>
      <c r="V75" s="1" t="str">
        <f>IF(ESTIMATIVA[[#This Row],[QT_AREA_REST1]]&gt;0,"Reestimativa 1",IF(ESTIMATIVA[[#This Row],[QT_AREA_REAL]]=0,"Reestimativa 1","Realizado"))</f>
        <v>Reestimativa 1</v>
      </c>
      <c r="W75" s="1" t="str">
        <f>IF(ESTIMATIVA[[#This Row],[QT_AREA_REST2]]&gt;0,"Reestimativa 2",IF(ESTIMATIVA[[#This Row],[QT_AREA_REAL]]=0,"Reestimativa 2","Realizado"))</f>
        <v>Realizado</v>
      </c>
      <c r="X75" s="1">
        <f>ESTIMATIVA[[#This Row],[QT_AREA_EST]]</f>
        <v>2.58</v>
      </c>
      <c r="Y75" s="1">
        <f>IF(ESTIMATIVA[[#This Row],[QT_AREA_REST1]]&gt;0,ESTIMATIVA[[#This Row],[QT_AREA_REST1]],
  IF(ESTIMATIVA[[#This Row],[QT_AREA_REAL]]&gt;0,ESTIMATIVA[[#This Row],[QT_AREA_REAL]],ESTIMATIVA[[#This Row],[QT_AREA_EST]]))</f>
        <v>2.58</v>
      </c>
      <c r="Z7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2.58</v>
      </c>
      <c r="AA75" s="1">
        <f>ESTIMATIVA[[#This Row],[QT_CANA_EST]]</f>
        <v>227.04</v>
      </c>
      <c r="AB75" s="1">
        <f>IF(ESTIMATIVA[[#This Row],[QT_CANA_REST1]]&gt;0,ESTIMATIVA[[#This Row],[QT_CANA_REST1]],
  IF(ESTIMATIVA[[#This Row],[QT_CANA_REAL]]&gt;0,ESTIMATIVA[[#This Row],[QT_CANA_REAL]],ESTIMATIVA[[#This Row],[QT_CANA_EST]]))</f>
        <v>229.62</v>
      </c>
      <c r="AC7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229.77</v>
      </c>
      <c r="AD75" s="1">
        <f>IF(ESTIMATIVA[[#This Row],[QT_AREA_REAL]]&gt;0,ESTIMATIVA[[#This Row],[QT_CANA_REAL]],ESTIMATIVA[[#This Row],[QT_CANA_EST]])</f>
        <v>229.77</v>
      </c>
      <c r="AE75" s="1">
        <f>IF(ESTIMATIVA[[#This Row],[QT_AREA_REAL]]&gt;0,ESTIMATIVA[[#This Row],[QT_CANA_REAL]],ESTIMATIVA[[#This Row],[QT_CANA_REST1]])</f>
        <v>229.77</v>
      </c>
      <c r="AF75" s="1">
        <f>IF(ESTIMATIVA[[#This Row],[QT_AREA_REAL]]&gt;0,ESTIMATIVA[[#This Row],[QT_CANA_REAL]],ESTIMATIVA[[#This Row],[QT_CANA_REST2]])</f>
        <v>229.77</v>
      </c>
      <c r="AG75" s="1" t="str">
        <f>IF(COUNTIFS(GEADA!A:A,VALUE(ESTIMATIVA[[#This Row],[CD_UPNIVEL1]]&amp;TEXT(ESTIMATIVA[[#This Row],[CD_UPNIVEL3]],"0000")))&gt;0,"S","N")</f>
        <v>N</v>
      </c>
      <c r="AH7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5" s="55" t="str">
        <f>IF(ESTIMATIVA[[#This Row],[TP_CULTIVO]]="Irrigado",_xlfn.MAXIFS(IRRIGADO!J:J,IRRIGADO!C:C,ESTIMATIVA[[#This Row],[CD_UPNIVEL1]],IRRIGADO!E:E,ESTIMATIVA[[#This Row],[CD_UPNIVEL3]]),"")</f>
        <v/>
      </c>
      <c r="AJ7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5" s="1">
        <f>COUNTIFS(Apresentação!$E$23:$E$29,ESTIMATIVA[[#This Row],[CD_UPNIVEL1]])</f>
        <v>0</v>
      </c>
    </row>
    <row r="76" spans="1:37" x14ac:dyDescent="0.3">
      <c r="A76">
        <v>10327</v>
      </c>
      <c r="B76" t="s">
        <v>16</v>
      </c>
      <c r="C76">
        <v>17</v>
      </c>
      <c r="D76">
        <v>3</v>
      </c>
      <c r="E76" t="s">
        <v>263</v>
      </c>
      <c r="F76" s="85" t="s">
        <v>331</v>
      </c>
      <c r="G76"/>
      <c r="H76" t="s">
        <v>294</v>
      </c>
      <c r="I76" t="s">
        <v>200</v>
      </c>
      <c r="J76" t="s">
        <v>176</v>
      </c>
      <c r="K76" s="1">
        <v>3.34</v>
      </c>
      <c r="L76" s="1">
        <v>3.34</v>
      </c>
      <c r="M76" s="1">
        <v>0</v>
      </c>
      <c r="N76" s="1">
        <v>3.34</v>
      </c>
      <c r="O76" s="1">
        <v>293.92</v>
      </c>
      <c r="P76" s="1">
        <v>297.26</v>
      </c>
      <c r="Q76" s="1">
        <v>0</v>
      </c>
      <c r="R76" s="1">
        <v>296.73</v>
      </c>
      <c r="S76" t="s">
        <v>12</v>
      </c>
      <c r="T76" s="13">
        <v>45879</v>
      </c>
      <c r="U76" s="1" t="str">
        <f>IF(ESTIMATIVA[[#This Row],[QT_AREA_REAL]]&gt;0,"1- Colhido","2- à Colher")</f>
        <v>1- Colhido</v>
      </c>
      <c r="V76" s="1" t="str">
        <f>IF(ESTIMATIVA[[#This Row],[QT_AREA_REST1]]&gt;0,"Reestimativa 1",IF(ESTIMATIVA[[#This Row],[QT_AREA_REAL]]=0,"Reestimativa 1","Realizado"))</f>
        <v>Reestimativa 1</v>
      </c>
      <c r="W76" s="1" t="str">
        <f>IF(ESTIMATIVA[[#This Row],[QT_AREA_REST2]]&gt;0,"Reestimativa 2",IF(ESTIMATIVA[[#This Row],[QT_AREA_REAL]]=0,"Reestimativa 2","Realizado"))</f>
        <v>Realizado</v>
      </c>
      <c r="X76" s="1">
        <f>ESTIMATIVA[[#This Row],[QT_AREA_EST]]</f>
        <v>3.34</v>
      </c>
      <c r="Y76" s="1">
        <f>IF(ESTIMATIVA[[#This Row],[QT_AREA_REST1]]&gt;0,ESTIMATIVA[[#This Row],[QT_AREA_REST1]],
  IF(ESTIMATIVA[[#This Row],[QT_AREA_REAL]]&gt;0,ESTIMATIVA[[#This Row],[QT_AREA_REAL]],ESTIMATIVA[[#This Row],[QT_AREA_EST]]))</f>
        <v>3.34</v>
      </c>
      <c r="Z7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3.34</v>
      </c>
      <c r="AA76" s="1">
        <f>ESTIMATIVA[[#This Row],[QT_CANA_EST]]</f>
        <v>293.92</v>
      </c>
      <c r="AB76" s="1">
        <f>IF(ESTIMATIVA[[#This Row],[QT_CANA_REST1]]&gt;0,ESTIMATIVA[[#This Row],[QT_CANA_REST1]],
  IF(ESTIMATIVA[[#This Row],[QT_CANA_REAL]]&gt;0,ESTIMATIVA[[#This Row],[QT_CANA_REAL]],ESTIMATIVA[[#This Row],[QT_CANA_EST]]))</f>
        <v>297.26</v>
      </c>
      <c r="AC7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296.73</v>
      </c>
      <c r="AD76" s="1">
        <f>IF(ESTIMATIVA[[#This Row],[QT_AREA_REAL]]&gt;0,ESTIMATIVA[[#This Row],[QT_CANA_REAL]],ESTIMATIVA[[#This Row],[QT_CANA_EST]])</f>
        <v>296.73</v>
      </c>
      <c r="AE76" s="1">
        <f>IF(ESTIMATIVA[[#This Row],[QT_AREA_REAL]]&gt;0,ESTIMATIVA[[#This Row],[QT_CANA_REAL]],ESTIMATIVA[[#This Row],[QT_CANA_REST1]])</f>
        <v>296.73</v>
      </c>
      <c r="AF76" s="1">
        <f>IF(ESTIMATIVA[[#This Row],[QT_AREA_REAL]]&gt;0,ESTIMATIVA[[#This Row],[QT_CANA_REAL]],ESTIMATIVA[[#This Row],[QT_CANA_REST2]])</f>
        <v>296.73</v>
      </c>
      <c r="AG76" s="1" t="str">
        <f>IF(COUNTIFS(GEADA!A:A,VALUE(ESTIMATIVA[[#This Row],[CD_UPNIVEL1]]&amp;TEXT(ESTIMATIVA[[#This Row],[CD_UPNIVEL3]],"0000")))&gt;0,"S","N")</f>
        <v>N</v>
      </c>
      <c r="AH7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6" s="55" t="str">
        <f>IF(ESTIMATIVA[[#This Row],[TP_CULTIVO]]="Irrigado",_xlfn.MAXIFS(IRRIGADO!J:J,IRRIGADO!C:C,ESTIMATIVA[[#This Row],[CD_UPNIVEL1]],IRRIGADO!E:E,ESTIMATIVA[[#This Row],[CD_UPNIVEL3]]),"")</f>
        <v/>
      </c>
      <c r="AJ7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6" s="1">
        <f>COUNTIFS(Apresentação!$E$23:$E$29,ESTIMATIVA[[#This Row],[CD_UPNIVEL1]])</f>
        <v>0</v>
      </c>
    </row>
    <row r="77" spans="1:37" x14ac:dyDescent="0.3">
      <c r="A77">
        <v>10327</v>
      </c>
      <c r="B77" t="s">
        <v>16</v>
      </c>
      <c r="C77">
        <v>18</v>
      </c>
      <c r="D77">
        <v>6</v>
      </c>
      <c r="E77" t="s">
        <v>261</v>
      </c>
      <c r="F77" s="85" t="s">
        <v>331</v>
      </c>
      <c r="G77"/>
      <c r="H77" t="s">
        <v>294</v>
      </c>
      <c r="I77" t="s">
        <v>201</v>
      </c>
      <c r="J77" t="s">
        <v>176</v>
      </c>
      <c r="K77" s="1">
        <v>10.82</v>
      </c>
      <c r="L77" s="1">
        <v>0</v>
      </c>
      <c r="M77" s="1">
        <v>0</v>
      </c>
      <c r="N77" s="1">
        <v>10.82</v>
      </c>
      <c r="O77" s="1">
        <v>486.9</v>
      </c>
      <c r="P77" s="1">
        <v>0</v>
      </c>
      <c r="Q77" s="1">
        <v>0</v>
      </c>
      <c r="R77" s="1">
        <v>535.82000000000005</v>
      </c>
      <c r="S77" t="s">
        <v>12</v>
      </c>
      <c r="T77" s="13">
        <v>45823</v>
      </c>
      <c r="U77" s="1" t="str">
        <f>IF(ESTIMATIVA[[#This Row],[QT_AREA_REAL]]&gt;0,"1- Colhido","2- à Colher")</f>
        <v>1- Colhido</v>
      </c>
      <c r="V77" s="1" t="str">
        <f>IF(ESTIMATIVA[[#This Row],[QT_AREA_REST1]]&gt;0,"Reestimativa 1",IF(ESTIMATIVA[[#This Row],[QT_AREA_REAL]]=0,"Reestimativa 1","Realizado"))</f>
        <v>Realizado</v>
      </c>
      <c r="W77" s="1" t="str">
        <f>IF(ESTIMATIVA[[#This Row],[QT_AREA_REST2]]&gt;0,"Reestimativa 2",IF(ESTIMATIVA[[#This Row],[QT_AREA_REAL]]=0,"Reestimativa 2","Realizado"))</f>
        <v>Realizado</v>
      </c>
      <c r="X77" s="1">
        <f>ESTIMATIVA[[#This Row],[QT_AREA_EST]]</f>
        <v>10.82</v>
      </c>
      <c r="Y77" s="1">
        <f>IF(ESTIMATIVA[[#This Row],[QT_AREA_REST1]]&gt;0,ESTIMATIVA[[#This Row],[QT_AREA_REST1]],
  IF(ESTIMATIVA[[#This Row],[QT_AREA_REAL]]&gt;0,ESTIMATIVA[[#This Row],[QT_AREA_REAL]],ESTIMATIVA[[#This Row],[QT_AREA_EST]]))</f>
        <v>10.82</v>
      </c>
      <c r="Z7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10.82</v>
      </c>
      <c r="AA77" s="1">
        <f>ESTIMATIVA[[#This Row],[QT_CANA_EST]]</f>
        <v>486.9</v>
      </c>
      <c r="AB77" s="1">
        <f>IF(ESTIMATIVA[[#This Row],[QT_CANA_REST1]]&gt;0,ESTIMATIVA[[#This Row],[QT_CANA_REST1]],
  IF(ESTIMATIVA[[#This Row],[QT_CANA_REAL]]&gt;0,ESTIMATIVA[[#This Row],[QT_CANA_REAL]],ESTIMATIVA[[#This Row],[QT_CANA_EST]]))</f>
        <v>535.82000000000005</v>
      </c>
      <c r="AC7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535.82000000000005</v>
      </c>
      <c r="AD77" s="1">
        <f>IF(ESTIMATIVA[[#This Row],[QT_AREA_REAL]]&gt;0,ESTIMATIVA[[#This Row],[QT_CANA_REAL]],ESTIMATIVA[[#This Row],[QT_CANA_EST]])</f>
        <v>535.82000000000005</v>
      </c>
      <c r="AE77" s="1">
        <f>IF(ESTIMATIVA[[#This Row],[QT_AREA_REAL]]&gt;0,ESTIMATIVA[[#This Row],[QT_CANA_REAL]],ESTIMATIVA[[#This Row],[QT_CANA_REST1]])</f>
        <v>535.82000000000005</v>
      </c>
      <c r="AF77" s="1">
        <f>IF(ESTIMATIVA[[#This Row],[QT_AREA_REAL]]&gt;0,ESTIMATIVA[[#This Row],[QT_CANA_REAL]],ESTIMATIVA[[#This Row],[QT_CANA_REST2]])</f>
        <v>535.82000000000005</v>
      </c>
      <c r="AG77" s="1" t="str">
        <f>IF(COUNTIFS(GEADA!A:A,VALUE(ESTIMATIVA[[#This Row],[CD_UPNIVEL1]]&amp;TEXT(ESTIMATIVA[[#This Row],[CD_UPNIVEL3]],"0000")))&gt;0,"S","N")</f>
        <v>N</v>
      </c>
      <c r="AH7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7" s="55" t="str">
        <f>IF(ESTIMATIVA[[#This Row],[TP_CULTIVO]]="Irrigado",_xlfn.MAXIFS(IRRIGADO!J:J,IRRIGADO!C:C,ESTIMATIVA[[#This Row],[CD_UPNIVEL1]],IRRIGADO!E:E,ESTIMATIVA[[#This Row],[CD_UPNIVEL3]]),"")</f>
        <v/>
      </c>
      <c r="AJ7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7" s="1">
        <f>COUNTIFS(Apresentação!$E$23:$E$29,ESTIMATIVA[[#This Row],[CD_UPNIVEL1]])</f>
        <v>0</v>
      </c>
    </row>
    <row r="78" spans="1:37" x14ac:dyDescent="0.3">
      <c r="A78">
        <v>10327</v>
      </c>
      <c r="B78" t="s">
        <v>16</v>
      </c>
      <c r="C78">
        <v>19</v>
      </c>
      <c r="D78">
        <v>6</v>
      </c>
      <c r="E78" t="s">
        <v>261</v>
      </c>
      <c r="F78" s="85" t="s">
        <v>331</v>
      </c>
      <c r="G78"/>
      <c r="H78" t="s">
        <v>294</v>
      </c>
      <c r="I78" t="s">
        <v>201</v>
      </c>
      <c r="J78" t="s">
        <v>176</v>
      </c>
      <c r="K78" s="1">
        <v>9.0500000000000007</v>
      </c>
      <c r="L78" s="1">
        <v>0</v>
      </c>
      <c r="M78" s="1">
        <v>0</v>
      </c>
      <c r="N78" s="1">
        <v>9.0500000000000007</v>
      </c>
      <c r="O78" s="1">
        <v>407.25</v>
      </c>
      <c r="P78" s="1">
        <v>0</v>
      </c>
      <c r="Q78" s="1">
        <v>0</v>
      </c>
      <c r="R78" s="1">
        <v>448.61</v>
      </c>
      <c r="S78" t="s">
        <v>12</v>
      </c>
      <c r="T78" s="13">
        <v>45823</v>
      </c>
      <c r="U78" s="1" t="str">
        <f>IF(ESTIMATIVA[[#This Row],[QT_AREA_REAL]]&gt;0,"1- Colhido","2- à Colher")</f>
        <v>1- Colhido</v>
      </c>
      <c r="V78" s="1" t="str">
        <f>IF(ESTIMATIVA[[#This Row],[QT_AREA_REST1]]&gt;0,"Reestimativa 1",IF(ESTIMATIVA[[#This Row],[QT_AREA_REAL]]=0,"Reestimativa 1","Realizado"))</f>
        <v>Realizado</v>
      </c>
      <c r="W78" s="1" t="str">
        <f>IF(ESTIMATIVA[[#This Row],[QT_AREA_REST2]]&gt;0,"Reestimativa 2",IF(ESTIMATIVA[[#This Row],[QT_AREA_REAL]]=0,"Reestimativa 2","Realizado"))</f>
        <v>Realizado</v>
      </c>
      <c r="X78" s="1">
        <f>ESTIMATIVA[[#This Row],[QT_AREA_EST]]</f>
        <v>9.0500000000000007</v>
      </c>
      <c r="Y78" s="1">
        <f>IF(ESTIMATIVA[[#This Row],[QT_AREA_REST1]]&gt;0,ESTIMATIVA[[#This Row],[QT_AREA_REST1]],
  IF(ESTIMATIVA[[#This Row],[QT_AREA_REAL]]&gt;0,ESTIMATIVA[[#This Row],[QT_AREA_REAL]],ESTIMATIVA[[#This Row],[QT_AREA_EST]]))</f>
        <v>9.0500000000000007</v>
      </c>
      <c r="Z7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9.0500000000000007</v>
      </c>
      <c r="AA78" s="1">
        <f>ESTIMATIVA[[#This Row],[QT_CANA_EST]]</f>
        <v>407.25</v>
      </c>
      <c r="AB78" s="1">
        <f>IF(ESTIMATIVA[[#This Row],[QT_CANA_REST1]]&gt;0,ESTIMATIVA[[#This Row],[QT_CANA_REST1]],
  IF(ESTIMATIVA[[#This Row],[QT_CANA_REAL]]&gt;0,ESTIMATIVA[[#This Row],[QT_CANA_REAL]],ESTIMATIVA[[#This Row],[QT_CANA_EST]]))</f>
        <v>448.61</v>
      </c>
      <c r="AC7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448.61</v>
      </c>
      <c r="AD78" s="1">
        <f>IF(ESTIMATIVA[[#This Row],[QT_AREA_REAL]]&gt;0,ESTIMATIVA[[#This Row],[QT_CANA_REAL]],ESTIMATIVA[[#This Row],[QT_CANA_EST]])</f>
        <v>448.61</v>
      </c>
      <c r="AE78" s="1">
        <f>IF(ESTIMATIVA[[#This Row],[QT_AREA_REAL]]&gt;0,ESTIMATIVA[[#This Row],[QT_CANA_REAL]],ESTIMATIVA[[#This Row],[QT_CANA_REST1]])</f>
        <v>448.61</v>
      </c>
      <c r="AF78" s="1">
        <f>IF(ESTIMATIVA[[#This Row],[QT_AREA_REAL]]&gt;0,ESTIMATIVA[[#This Row],[QT_CANA_REAL]],ESTIMATIVA[[#This Row],[QT_CANA_REST2]])</f>
        <v>448.61</v>
      </c>
      <c r="AG78" s="1" t="str">
        <f>IF(COUNTIFS(GEADA!A:A,VALUE(ESTIMATIVA[[#This Row],[CD_UPNIVEL1]]&amp;TEXT(ESTIMATIVA[[#This Row],[CD_UPNIVEL3]],"0000")))&gt;0,"S","N")</f>
        <v>N</v>
      </c>
      <c r="AH7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8" s="55" t="str">
        <f>IF(ESTIMATIVA[[#This Row],[TP_CULTIVO]]="Irrigado",_xlfn.MAXIFS(IRRIGADO!J:J,IRRIGADO!C:C,ESTIMATIVA[[#This Row],[CD_UPNIVEL1]],IRRIGADO!E:E,ESTIMATIVA[[#This Row],[CD_UPNIVEL3]]),"")</f>
        <v/>
      </c>
      <c r="AJ7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8" s="1">
        <f>COUNTIFS(Apresentação!$E$23:$E$29,ESTIMATIVA[[#This Row],[CD_UPNIVEL1]])</f>
        <v>0</v>
      </c>
    </row>
    <row r="79" spans="1:37" x14ac:dyDescent="0.3">
      <c r="A79">
        <v>10327</v>
      </c>
      <c r="B79" t="s">
        <v>16</v>
      </c>
      <c r="C79">
        <v>20</v>
      </c>
      <c r="D79">
        <v>6</v>
      </c>
      <c r="E79" t="s">
        <v>261</v>
      </c>
      <c r="F79" s="85" t="s">
        <v>332</v>
      </c>
      <c r="G79"/>
      <c r="H79" t="s">
        <v>294</v>
      </c>
      <c r="I79" t="s">
        <v>201</v>
      </c>
      <c r="J79" t="s">
        <v>176</v>
      </c>
      <c r="K79" s="1">
        <v>21.65</v>
      </c>
      <c r="L79" s="1">
        <v>0</v>
      </c>
      <c r="M79" s="1">
        <v>0</v>
      </c>
      <c r="N79" s="1">
        <v>21.65</v>
      </c>
      <c r="O79" s="1">
        <v>974.25</v>
      </c>
      <c r="P79" s="1">
        <v>0</v>
      </c>
      <c r="Q79" s="1">
        <v>0</v>
      </c>
      <c r="R79" s="1">
        <v>1071.82</v>
      </c>
      <c r="S79" t="s">
        <v>12</v>
      </c>
      <c r="T79" s="13">
        <v>45823</v>
      </c>
      <c r="U79" s="1" t="str">
        <f>IF(ESTIMATIVA[[#This Row],[QT_AREA_REAL]]&gt;0,"1- Colhido","2- à Colher")</f>
        <v>1- Colhido</v>
      </c>
      <c r="V79" s="1" t="str">
        <f>IF(ESTIMATIVA[[#This Row],[QT_AREA_REST1]]&gt;0,"Reestimativa 1",IF(ESTIMATIVA[[#This Row],[QT_AREA_REAL]]=0,"Reestimativa 1","Realizado"))</f>
        <v>Realizado</v>
      </c>
      <c r="W79" s="1" t="str">
        <f>IF(ESTIMATIVA[[#This Row],[QT_AREA_REST2]]&gt;0,"Reestimativa 2",IF(ESTIMATIVA[[#This Row],[QT_AREA_REAL]]=0,"Reestimativa 2","Realizado"))</f>
        <v>Realizado</v>
      </c>
      <c r="X79" s="1">
        <f>ESTIMATIVA[[#This Row],[QT_AREA_EST]]</f>
        <v>21.65</v>
      </c>
      <c r="Y79" s="1">
        <f>IF(ESTIMATIVA[[#This Row],[QT_AREA_REST1]]&gt;0,ESTIMATIVA[[#This Row],[QT_AREA_REST1]],
  IF(ESTIMATIVA[[#This Row],[QT_AREA_REAL]]&gt;0,ESTIMATIVA[[#This Row],[QT_AREA_REAL]],ESTIMATIVA[[#This Row],[QT_AREA_EST]]))</f>
        <v>21.65</v>
      </c>
      <c r="Z7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21.65</v>
      </c>
      <c r="AA79" s="1">
        <f>ESTIMATIVA[[#This Row],[QT_CANA_EST]]</f>
        <v>974.25</v>
      </c>
      <c r="AB79" s="1">
        <f>IF(ESTIMATIVA[[#This Row],[QT_CANA_REST1]]&gt;0,ESTIMATIVA[[#This Row],[QT_CANA_REST1]],
  IF(ESTIMATIVA[[#This Row],[QT_CANA_REAL]]&gt;0,ESTIMATIVA[[#This Row],[QT_CANA_REAL]],ESTIMATIVA[[#This Row],[QT_CANA_EST]]))</f>
        <v>1071.82</v>
      </c>
      <c r="AC7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1071.82</v>
      </c>
      <c r="AD79" s="1">
        <f>IF(ESTIMATIVA[[#This Row],[QT_AREA_REAL]]&gt;0,ESTIMATIVA[[#This Row],[QT_CANA_REAL]],ESTIMATIVA[[#This Row],[QT_CANA_EST]])</f>
        <v>1071.82</v>
      </c>
      <c r="AE79" s="1">
        <f>IF(ESTIMATIVA[[#This Row],[QT_AREA_REAL]]&gt;0,ESTIMATIVA[[#This Row],[QT_CANA_REAL]],ESTIMATIVA[[#This Row],[QT_CANA_REST1]])</f>
        <v>1071.82</v>
      </c>
      <c r="AF79" s="1">
        <f>IF(ESTIMATIVA[[#This Row],[QT_AREA_REAL]]&gt;0,ESTIMATIVA[[#This Row],[QT_CANA_REAL]],ESTIMATIVA[[#This Row],[QT_CANA_REST2]])</f>
        <v>1071.82</v>
      </c>
      <c r="AG79" s="1" t="str">
        <f>IF(COUNTIFS(GEADA!A:A,VALUE(ESTIMATIVA[[#This Row],[CD_UPNIVEL1]]&amp;TEXT(ESTIMATIVA[[#This Row],[CD_UPNIVEL3]],"0000")))&gt;0,"S","N")</f>
        <v>N</v>
      </c>
      <c r="AH7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9" s="55" t="str">
        <f>IF(ESTIMATIVA[[#This Row],[TP_CULTIVO]]="Irrigado",_xlfn.MAXIFS(IRRIGADO!J:J,IRRIGADO!C:C,ESTIMATIVA[[#This Row],[CD_UPNIVEL1]],IRRIGADO!E:E,ESTIMATIVA[[#This Row],[CD_UPNIVEL3]]),"")</f>
        <v/>
      </c>
      <c r="AJ7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9" s="1">
        <f>COUNTIFS(Apresentação!$E$23:$E$29,ESTIMATIVA[[#This Row],[CD_UPNIVEL1]])</f>
        <v>0</v>
      </c>
    </row>
    <row r="80" spans="1:37" x14ac:dyDescent="0.3">
      <c r="A80">
        <v>10327</v>
      </c>
      <c r="B80" t="s">
        <v>16</v>
      </c>
      <c r="C80">
        <v>21</v>
      </c>
      <c r="D80">
        <v>6</v>
      </c>
      <c r="E80" t="s">
        <v>261</v>
      </c>
      <c r="F80" s="85" t="s">
        <v>332</v>
      </c>
      <c r="G80"/>
      <c r="H80" t="s">
        <v>294</v>
      </c>
      <c r="I80" t="s">
        <v>200</v>
      </c>
      <c r="J80" t="s">
        <v>176</v>
      </c>
      <c r="K80" s="1">
        <v>6.28</v>
      </c>
      <c r="L80" s="1">
        <v>0</v>
      </c>
      <c r="M80" s="1">
        <v>0</v>
      </c>
      <c r="N80" s="1">
        <v>6.28</v>
      </c>
      <c r="O80" s="1">
        <v>282.60000000000002</v>
      </c>
      <c r="P80" s="1">
        <v>0</v>
      </c>
      <c r="Q80" s="1">
        <v>0</v>
      </c>
      <c r="R80" s="1">
        <v>311.29000000000002</v>
      </c>
      <c r="S80" t="s">
        <v>12</v>
      </c>
      <c r="T80" s="13">
        <v>45823</v>
      </c>
      <c r="U80" s="1" t="str">
        <f>IF(ESTIMATIVA[[#This Row],[QT_AREA_REAL]]&gt;0,"1- Colhido","2- à Colher")</f>
        <v>1- Colhido</v>
      </c>
      <c r="V80" s="1" t="str">
        <f>IF(ESTIMATIVA[[#This Row],[QT_AREA_REST1]]&gt;0,"Reestimativa 1",IF(ESTIMATIVA[[#This Row],[QT_AREA_REAL]]=0,"Reestimativa 1","Realizado"))</f>
        <v>Realizado</v>
      </c>
      <c r="W80" s="1" t="str">
        <f>IF(ESTIMATIVA[[#This Row],[QT_AREA_REST2]]&gt;0,"Reestimativa 2",IF(ESTIMATIVA[[#This Row],[QT_AREA_REAL]]=0,"Reestimativa 2","Realizado"))</f>
        <v>Realizado</v>
      </c>
      <c r="X80" s="1">
        <f>ESTIMATIVA[[#This Row],[QT_AREA_EST]]</f>
        <v>6.28</v>
      </c>
      <c r="Y80" s="1">
        <f>IF(ESTIMATIVA[[#This Row],[QT_AREA_REST1]]&gt;0,ESTIMATIVA[[#This Row],[QT_AREA_REST1]],
  IF(ESTIMATIVA[[#This Row],[QT_AREA_REAL]]&gt;0,ESTIMATIVA[[#This Row],[QT_AREA_REAL]],ESTIMATIVA[[#This Row],[QT_AREA_EST]]))</f>
        <v>6.28</v>
      </c>
      <c r="Z8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6.28</v>
      </c>
      <c r="AA80" s="1">
        <f>ESTIMATIVA[[#This Row],[QT_CANA_EST]]</f>
        <v>282.60000000000002</v>
      </c>
      <c r="AB80" s="1">
        <f>IF(ESTIMATIVA[[#This Row],[QT_CANA_REST1]]&gt;0,ESTIMATIVA[[#This Row],[QT_CANA_REST1]],
  IF(ESTIMATIVA[[#This Row],[QT_CANA_REAL]]&gt;0,ESTIMATIVA[[#This Row],[QT_CANA_REAL]],ESTIMATIVA[[#This Row],[QT_CANA_EST]]))</f>
        <v>311.29000000000002</v>
      </c>
      <c r="AC8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311.29000000000002</v>
      </c>
      <c r="AD80" s="1">
        <f>IF(ESTIMATIVA[[#This Row],[QT_AREA_REAL]]&gt;0,ESTIMATIVA[[#This Row],[QT_CANA_REAL]],ESTIMATIVA[[#This Row],[QT_CANA_EST]])</f>
        <v>311.29000000000002</v>
      </c>
      <c r="AE80" s="1">
        <f>IF(ESTIMATIVA[[#This Row],[QT_AREA_REAL]]&gt;0,ESTIMATIVA[[#This Row],[QT_CANA_REAL]],ESTIMATIVA[[#This Row],[QT_CANA_REST1]])</f>
        <v>311.29000000000002</v>
      </c>
      <c r="AF80" s="1">
        <f>IF(ESTIMATIVA[[#This Row],[QT_AREA_REAL]]&gt;0,ESTIMATIVA[[#This Row],[QT_CANA_REAL]],ESTIMATIVA[[#This Row],[QT_CANA_REST2]])</f>
        <v>311.29000000000002</v>
      </c>
      <c r="AG80" s="1" t="str">
        <f>IF(COUNTIFS(GEADA!A:A,VALUE(ESTIMATIVA[[#This Row],[CD_UPNIVEL1]]&amp;TEXT(ESTIMATIVA[[#This Row],[CD_UPNIVEL3]],"0000")))&gt;0,"S","N")</f>
        <v>N</v>
      </c>
      <c r="AH8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0" s="55" t="str">
        <f>IF(ESTIMATIVA[[#This Row],[TP_CULTIVO]]="Irrigado",_xlfn.MAXIFS(IRRIGADO!J:J,IRRIGADO!C:C,ESTIMATIVA[[#This Row],[CD_UPNIVEL1]],IRRIGADO!E:E,ESTIMATIVA[[#This Row],[CD_UPNIVEL3]]),"")</f>
        <v/>
      </c>
      <c r="AJ8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0" s="1">
        <f>COUNTIFS(Apresentação!$E$23:$E$29,ESTIMATIVA[[#This Row],[CD_UPNIVEL1]])</f>
        <v>0</v>
      </c>
    </row>
    <row r="81" spans="1:37" x14ac:dyDescent="0.3">
      <c r="A81">
        <v>10327</v>
      </c>
      <c r="B81" t="s">
        <v>16</v>
      </c>
      <c r="C81">
        <v>22</v>
      </c>
      <c r="D81">
        <v>6</v>
      </c>
      <c r="E81" t="s">
        <v>261</v>
      </c>
      <c r="F81" s="85" t="s">
        <v>332</v>
      </c>
      <c r="G81"/>
      <c r="H81" t="s">
        <v>294</v>
      </c>
      <c r="I81" t="s">
        <v>200</v>
      </c>
      <c r="J81" t="s">
        <v>176</v>
      </c>
      <c r="K81" s="1">
        <v>5.98</v>
      </c>
      <c r="L81" s="1">
        <v>0</v>
      </c>
      <c r="M81" s="1">
        <v>0</v>
      </c>
      <c r="N81" s="1">
        <v>5.98</v>
      </c>
      <c r="O81" s="1">
        <v>269.10000000000002</v>
      </c>
      <c r="P81" s="1">
        <v>0</v>
      </c>
      <c r="Q81" s="1">
        <v>0</v>
      </c>
      <c r="R81" s="1">
        <v>296.13</v>
      </c>
      <c r="S81" t="s">
        <v>12</v>
      </c>
      <c r="T81" s="13">
        <v>45823</v>
      </c>
      <c r="U81" s="1" t="str">
        <f>IF(ESTIMATIVA[[#This Row],[QT_AREA_REAL]]&gt;0,"1- Colhido","2- à Colher")</f>
        <v>1- Colhido</v>
      </c>
      <c r="V81" s="1" t="str">
        <f>IF(ESTIMATIVA[[#This Row],[QT_AREA_REST1]]&gt;0,"Reestimativa 1",IF(ESTIMATIVA[[#This Row],[QT_AREA_REAL]]=0,"Reestimativa 1","Realizado"))</f>
        <v>Realizado</v>
      </c>
      <c r="W81" s="1" t="str">
        <f>IF(ESTIMATIVA[[#This Row],[QT_AREA_REST2]]&gt;0,"Reestimativa 2",IF(ESTIMATIVA[[#This Row],[QT_AREA_REAL]]=0,"Reestimativa 2","Realizado"))</f>
        <v>Realizado</v>
      </c>
      <c r="X81" s="1">
        <f>ESTIMATIVA[[#This Row],[QT_AREA_EST]]</f>
        <v>5.98</v>
      </c>
      <c r="Y81" s="1">
        <f>IF(ESTIMATIVA[[#This Row],[QT_AREA_REST1]]&gt;0,ESTIMATIVA[[#This Row],[QT_AREA_REST1]],
  IF(ESTIMATIVA[[#This Row],[QT_AREA_REAL]]&gt;0,ESTIMATIVA[[#This Row],[QT_AREA_REAL]],ESTIMATIVA[[#This Row],[QT_AREA_EST]]))</f>
        <v>5.98</v>
      </c>
      <c r="Z8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5.98</v>
      </c>
      <c r="AA81" s="1">
        <f>ESTIMATIVA[[#This Row],[QT_CANA_EST]]</f>
        <v>269.10000000000002</v>
      </c>
      <c r="AB81" s="1">
        <f>IF(ESTIMATIVA[[#This Row],[QT_CANA_REST1]]&gt;0,ESTIMATIVA[[#This Row],[QT_CANA_REST1]],
  IF(ESTIMATIVA[[#This Row],[QT_CANA_REAL]]&gt;0,ESTIMATIVA[[#This Row],[QT_CANA_REAL]],ESTIMATIVA[[#This Row],[QT_CANA_EST]]))</f>
        <v>296.13</v>
      </c>
      <c r="AC8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296.13</v>
      </c>
      <c r="AD81" s="1">
        <f>IF(ESTIMATIVA[[#This Row],[QT_AREA_REAL]]&gt;0,ESTIMATIVA[[#This Row],[QT_CANA_REAL]],ESTIMATIVA[[#This Row],[QT_CANA_EST]])</f>
        <v>296.13</v>
      </c>
      <c r="AE81" s="1">
        <f>IF(ESTIMATIVA[[#This Row],[QT_AREA_REAL]]&gt;0,ESTIMATIVA[[#This Row],[QT_CANA_REAL]],ESTIMATIVA[[#This Row],[QT_CANA_REST1]])</f>
        <v>296.13</v>
      </c>
      <c r="AF81" s="1">
        <f>IF(ESTIMATIVA[[#This Row],[QT_AREA_REAL]]&gt;0,ESTIMATIVA[[#This Row],[QT_CANA_REAL]],ESTIMATIVA[[#This Row],[QT_CANA_REST2]])</f>
        <v>296.13</v>
      </c>
      <c r="AG81" s="1" t="str">
        <f>IF(COUNTIFS(GEADA!A:A,VALUE(ESTIMATIVA[[#This Row],[CD_UPNIVEL1]]&amp;TEXT(ESTIMATIVA[[#This Row],[CD_UPNIVEL3]],"0000")))&gt;0,"S","N")</f>
        <v>N</v>
      </c>
      <c r="AH8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1" s="55" t="str">
        <f>IF(ESTIMATIVA[[#This Row],[TP_CULTIVO]]="Irrigado",_xlfn.MAXIFS(IRRIGADO!J:J,IRRIGADO!C:C,ESTIMATIVA[[#This Row],[CD_UPNIVEL1]],IRRIGADO!E:E,ESTIMATIVA[[#This Row],[CD_UPNIVEL3]]),"")</f>
        <v/>
      </c>
      <c r="AJ8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1" s="1">
        <f>COUNTIFS(Apresentação!$E$23:$E$29,ESTIMATIVA[[#This Row],[CD_UPNIVEL1]])</f>
        <v>0</v>
      </c>
    </row>
    <row r="82" spans="1:37" x14ac:dyDescent="0.3">
      <c r="A82">
        <v>10327</v>
      </c>
      <c r="B82" t="s">
        <v>16</v>
      </c>
      <c r="C82">
        <v>23</v>
      </c>
      <c r="D82">
        <v>6</v>
      </c>
      <c r="E82" t="s">
        <v>261</v>
      </c>
      <c r="F82" s="85" t="s">
        <v>332</v>
      </c>
      <c r="G82"/>
      <c r="H82" t="s">
        <v>294</v>
      </c>
      <c r="I82" t="s">
        <v>200</v>
      </c>
      <c r="J82" t="s">
        <v>176</v>
      </c>
      <c r="K82" s="1">
        <v>4.47</v>
      </c>
      <c r="L82" s="1">
        <v>0</v>
      </c>
      <c r="M82" s="1">
        <v>0</v>
      </c>
      <c r="N82" s="1">
        <v>4.47</v>
      </c>
      <c r="O82" s="1">
        <v>201.15</v>
      </c>
      <c r="P82" s="1">
        <v>0</v>
      </c>
      <c r="Q82" s="1">
        <v>0</v>
      </c>
      <c r="R82" s="1">
        <v>221.51</v>
      </c>
      <c r="S82" t="s">
        <v>12</v>
      </c>
      <c r="T82" s="13">
        <v>45823</v>
      </c>
      <c r="U82" s="1" t="str">
        <f>IF(ESTIMATIVA[[#This Row],[QT_AREA_REAL]]&gt;0,"1- Colhido","2- à Colher")</f>
        <v>1- Colhido</v>
      </c>
      <c r="V82" s="1" t="str">
        <f>IF(ESTIMATIVA[[#This Row],[QT_AREA_REST1]]&gt;0,"Reestimativa 1",IF(ESTIMATIVA[[#This Row],[QT_AREA_REAL]]=0,"Reestimativa 1","Realizado"))</f>
        <v>Realizado</v>
      </c>
      <c r="W82" s="1" t="str">
        <f>IF(ESTIMATIVA[[#This Row],[QT_AREA_REST2]]&gt;0,"Reestimativa 2",IF(ESTIMATIVA[[#This Row],[QT_AREA_REAL]]=0,"Reestimativa 2","Realizado"))</f>
        <v>Realizado</v>
      </c>
      <c r="X82" s="1">
        <f>ESTIMATIVA[[#This Row],[QT_AREA_EST]]</f>
        <v>4.47</v>
      </c>
      <c r="Y82" s="1">
        <f>IF(ESTIMATIVA[[#This Row],[QT_AREA_REST1]]&gt;0,ESTIMATIVA[[#This Row],[QT_AREA_REST1]],
  IF(ESTIMATIVA[[#This Row],[QT_AREA_REAL]]&gt;0,ESTIMATIVA[[#This Row],[QT_AREA_REAL]],ESTIMATIVA[[#This Row],[QT_AREA_EST]]))</f>
        <v>4.47</v>
      </c>
      <c r="Z8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4.47</v>
      </c>
      <c r="AA82" s="1">
        <f>ESTIMATIVA[[#This Row],[QT_CANA_EST]]</f>
        <v>201.15</v>
      </c>
      <c r="AB82" s="1">
        <f>IF(ESTIMATIVA[[#This Row],[QT_CANA_REST1]]&gt;0,ESTIMATIVA[[#This Row],[QT_CANA_REST1]],
  IF(ESTIMATIVA[[#This Row],[QT_CANA_REAL]]&gt;0,ESTIMATIVA[[#This Row],[QT_CANA_REAL]],ESTIMATIVA[[#This Row],[QT_CANA_EST]]))</f>
        <v>221.51</v>
      </c>
      <c r="AC8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221.51</v>
      </c>
      <c r="AD82" s="1">
        <f>IF(ESTIMATIVA[[#This Row],[QT_AREA_REAL]]&gt;0,ESTIMATIVA[[#This Row],[QT_CANA_REAL]],ESTIMATIVA[[#This Row],[QT_CANA_EST]])</f>
        <v>221.51</v>
      </c>
      <c r="AE82" s="1">
        <f>IF(ESTIMATIVA[[#This Row],[QT_AREA_REAL]]&gt;0,ESTIMATIVA[[#This Row],[QT_CANA_REAL]],ESTIMATIVA[[#This Row],[QT_CANA_REST1]])</f>
        <v>221.51</v>
      </c>
      <c r="AF82" s="1">
        <f>IF(ESTIMATIVA[[#This Row],[QT_AREA_REAL]]&gt;0,ESTIMATIVA[[#This Row],[QT_CANA_REAL]],ESTIMATIVA[[#This Row],[QT_CANA_REST2]])</f>
        <v>221.51</v>
      </c>
      <c r="AG82" s="1" t="str">
        <f>IF(COUNTIFS(GEADA!A:A,VALUE(ESTIMATIVA[[#This Row],[CD_UPNIVEL1]]&amp;TEXT(ESTIMATIVA[[#This Row],[CD_UPNIVEL3]],"0000")))&gt;0,"S","N")</f>
        <v>N</v>
      </c>
      <c r="AH8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2" s="55" t="str">
        <f>IF(ESTIMATIVA[[#This Row],[TP_CULTIVO]]="Irrigado",_xlfn.MAXIFS(IRRIGADO!J:J,IRRIGADO!C:C,ESTIMATIVA[[#This Row],[CD_UPNIVEL1]],IRRIGADO!E:E,ESTIMATIVA[[#This Row],[CD_UPNIVEL3]]),"")</f>
        <v/>
      </c>
      <c r="AJ8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2" s="1">
        <f>COUNTIFS(Apresentação!$E$23:$E$29,ESTIMATIVA[[#This Row],[CD_UPNIVEL1]])</f>
        <v>0</v>
      </c>
    </row>
    <row r="83" spans="1:37" x14ac:dyDescent="0.3">
      <c r="A83">
        <v>10327</v>
      </c>
      <c r="B83" t="s">
        <v>16</v>
      </c>
      <c r="C83">
        <v>24</v>
      </c>
      <c r="D83">
        <v>6</v>
      </c>
      <c r="E83" t="s">
        <v>261</v>
      </c>
      <c r="F83" s="85" t="s">
        <v>332</v>
      </c>
      <c r="G83"/>
      <c r="H83" t="s">
        <v>294</v>
      </c>
      <c r="I83" t="s">
        <v>200</v>
      </c>
      <c r="J83" t="s">
        <v>176</v>
      </c>
      <c r="K83" s="1">
        <v>39.4</v>
      </c>
      <c r="L83" s="1">
        <v>0</v>
      </c>
      <c r="M83" s="1">
        <v>0</v>
      </c>
      <c r="N83" s="1">
        <v>39.4</v>
      </c>
      <c r="O83" s="1">
        <v>1694.2</v>
      </c>
      <c r="P83" s="1">
        <v>0</v>
      </c>
      <c r="Q83" s="1">
        <v>0</v>
      </c>
      <c r="R83" s="1">
        <v>1864.29</v>
      </c>
      <c r="S83" t="s">
        <v>12</v>
      </c>
      <c r="T83" s="13">
        <v>45823</v>
      </c>
      <c r="U83" s="1" t="str">
        <f>IF(ESTIMATIVA[[#This Row],[QT_AREA_REAL]]&gt;0,"1- Colhido","2- à Colher")</f>
        <v>1- Colhido</v>
      </c>
      <c r="V83" s="1" t="str">
        <f>IF(ESTIMATIVA[[#This Row],[QT_AREA_REST1]]&gt;0,"Reestimativa 1",IF(ESTIMATIVA[[#This Row],[QT_AREA_REAL]]=0,"Reestimativa 1","Realizado"))</f>
        <v>Realizado</v>
      </c>
      <c r="W83" s="1" t="str">
        <f>IF(ESTIMATIVA[[#This Row],[QT_AREA_REST2]]&gt;0,"Reestimativa 2",IF(ESTIMATIVA[[#This Row],[QT_AREA_REAL]]=0,"Reestimativa 2","Realizado"))</f>
        <v>Realizado</v>
      </c>
      <c r="X83" s="1">
        <f>ESTIMATIVA[[#This Row],[QT_AREA_EST]]</f>
        <v>39.4</v>
      </c>
      <c r="Y83" s="1">
        <f>IF(ESTIMATIVA[[#This Row],[QT_AREA_REST1]]&gt;0,ESTIMATIVA[[#This Row],[QT_AREA_REST1]],
  IF(ESTIMATIVA[[#This Row],[QT_AREA_REAL]]&gt;0,ESTIMATIVA[[#This Row],[QT_AREA_REAL]],ESTIMATIVA[[#This Row],[QT_AREA_EST]]))</f>
        <v>39.4</v>
      </c>
      <c r="Z8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39.4</v>
      </c>
      <c r="AA83" s="1">
        <f>ESTIMATIVA[[#This Row],[QT_CANA_EST]]</f>
        <v>1694.2</v>
      </c>
      <c r="AB83" s="1">
        <f>IF(ESTIMATIVA[[#This Row],[QT_CANA_REST1]]&gt;0,ESTIMATIVA[[#This Row],[QT_CANA_REST1]],
  IF(ESTIMATIVA[[#This Row],[QT_CANA_REAL]]&gt;0,ESTIMATIVA[[#This Row],[QT_CANA_REAL]],ESTIMATIVA[[#This Row],[QT_CANA_EST]]))</f>
        <v>1864.29</v>
      </c>
      <c r="AC8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1864.29</v>
      </c>
      <c r="AD83" s="1">
        <f>IF(ESTIMATIVA[[#This Row],[QT_AREA_REAL]]&gt;0,ESTIMATIVA[[#This Row],[QT_CANA_REAL]],ESTIMATIVA[[#This Row],[QT_CANA_EST]])</f>
        <v>1864.29</v>
      </c>
      <c r="AE83" s="1">
        <f>IF(ESTIMATIVA[[#This Row],[QT_AREA_REAL]]&gt;0,ESTIMATIVA[[#This Row],[QT_CANA_REAL]],ESTIMATIVA[[#This Row],[QT_CANA_REST1]])</f>
        <v>1864.29</v>
      </c>
      <c r="AF83" s="1">
        <f>IF(ESTIMATIVA[[#This Row],[QT_AREA_REAL]]&gt;0,ESTIMATIVA[[#This Row],[QT_CANA_REAL]],ESTIMATIVA[[#This Row],[QT_CANA_REST2]])</f>
        <v>1864.29</v>
      </c>
      <c r="AG83" s="1" t="str">
        <f>IF(COUNTIFS(GEADA!A:A,VALUE(ESTIMATIVA[[#This Row],[CD_UPNIVEL1]]&amp;TEXT(ESTIMATIVA[[#This Row],[CD_UPNIVEL3]],"0000")))&gt;0,"S","N")</f>
        <v>N</v>
      </c>
      <c r="AH8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3" s="55" t="str">
        <f>IF(ESTIMATIVA[[#This Row],[TP_CULTIVO]]="Irrigado",_xlfn.MAXIFS(IRRIGADO!J:J,IRRIGADO!C:C,ESTIMATIVA[[#This Row],[CD_UPNIVEL1]],IRRIGADO!E:E,ESTIMATIVA[[#This Row],[CD_UPNIVEL3]]),"")</f>
        <v/>
      </c>
      <c r="AJ8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3" s="1">
        <f>COUNTIFS(Apresentação!$E$23:$E$29,ESTIMATIVA[[#This Row],[CD_UPNIVEL1]])</f>
        <v>0</v>
      </c>
    </row>
    <row r="84" spans="1:37" x14ac:dyDescent="0.3">
      <c r="A84">
        <v>10327</v>
      </c>
      <c r="B84" t="s">
        <v>16</v>
      </c>
      <c r="C84">
        <v>25</v>
      </c>
      <c r="D84">
        <v>6</v>
      </c>
      <c r="E84" t="s">
        <v>261</v>
      </c>
      <c r="F84" s="85" t="s">
        <v>332</v>
      </c>
      <c r="G84"/>
      <c r="H84" t="s">
        <v>294</v>
      </c>
      <c r="I84" t="s">
        <v>202</v>
      </c>
      <c r="J84" t="s">
        <v>176</v>
      </c>
      <c r="K84" s="1">
        <v>22.68</v>
      </c>
      <c r="L84" s="1">
        <v>0</v>
      </c>
      <c r="M84" s="1">
        <v>0</v>
      </c>
      <c r="N84" s="1">
        <v>22.68</v>
      </c>
      <c r="O84" s="1">
        <v>975.24</v>
      </c>
      <c r="P84" s="1">
        <v>0</v>
      </c>
      <c r="Q84" s="1">
        <v>0</v>
      </c>
      <c r="R84" s="1">
        <v>1073.45</v>
      </c>
      <c r="S84" t="s">
        <v>12</v>
      </c>
      <c r="T84" s="13">
        <v>45823</v>
      </c>
      <c r="U84" s="1" t="str">
        <f>IF(ESTIMATIVA[[#This Row],[QT_AREA_REAL]]&gt;0,"1- Colhido","2- à Colher")</f>
        <v>1- Colhido</v>
      </c>
      <c r="V84" s="1" t="str">
        <f>IF(ESTIMATIVA[[#This Row],[QT_AREA_REST1]]&gt;0,"Reestimativa 1",IF(ESTIMATIVA[[#This Row],[QT_AREA_REAL]]=0,"Reestimativa 1","Realizado"))</f>
        <v>Realizado</v>
      </c>
      <c r="W84" s="1" t="str">
        <f>IF(ESTIMATIVA[[#This Row],[QT_AREA_REST2]]&gt;0,"Reestimativa 2",IF(ESTIMATIVA[[#This Row],[QT_AREA_REAL]]=0,"Reestimativa 2","Realizado"))</f>
        <v>Realizado</v>
      </c>
      <c r="X84" s="1">
        <f>ESTIMATIVA[[#This Row],[QT_AREA_EST]]</f>
        <v>22.68</v>
      </c>
      <c r="Y84" s="1">
        <f>IF(ESTIMATIVA[[#This Row],[QT_AREA_REST1]]&gt;0,ESTIMATIVA[[#This Row],[QT_AREA_REST1]],
  IF(ESTIMATIVA[[#This Row],[QT_AREA_REAL]]&gt;0,ESTIMATIVA[[#This Row],[QT_AREA_REAL]],ESTIMATIVA[[#This Row],[QT_AREA_EST]]))</f>
        <v>22.68</v>
      </c>
      <c r="Z8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22.68</v>
      </c>
      <c r="AA84" s="1">
        <f>ESTIMATIVA[[#This Row],[QT_CANA_EST]]</f>
        <v>975.24</v>
      </c>
      <c r="AB84" s="1">
        <f>IF(ESTIMATIVA[[#This Row],[QT_CANA_REST1]]&gt;0,ESTIMATIVA[[#This Row],[QT_CANA_REST1]],
  IF(ESTIMATIVA[[#This Row],[QT_CANA_REAL]]&gt;0,ESTIMATIVA[[#This Row],[QT_CANA_REAL]],ESTIMATIVA[[#This Row],[QT_CANA_EST]]))</f>
        <v>1073.45</v>
      </c>
      <c r="AC8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1073.45</v>
      </c>
      <c r="AD84" s="1">
        <f>IF(ESTIMATIVA[[#This Row],[QT_AREA_REAL]]&gt;0,ESTIMATIVA[[#This Row],[QT_CANA_REAL]],ESTIMATIVA[[#This Row],[QT_CANA_EST]])</f>
        <v>1073.45</v>
      </c>
      <c r="AE84" s="1">
        <f>IF(ESTIMATIVA[[#This Row],[QT_AREA_REAL]]&gt;0,ESTIMATIVA[[#This Row],[QT_CANA_REAL]],ESTIMATIVA[[#This Row],[QT_CANA_REST1]])</f>
        <v>1073.45</v>
      </c>
      <c r="AF84" s="1">
        <f>IF(ESTIMATIVA[[#This Row],[QT_AREA_REAL]]&gt;0,ESTIMATIVA[[#This Row],[QT_CANA_REAL]],ESTIMATIVA[[#This Row],[QT_CANA_REST2]])</f>
        <v>1073.45</v>
      </c>
      <c r="AG84" s="1" t="str">
        <f>IF(COUNTIFS(GEADA!A:A,VALUE(ESTIMATIVA[[#This Row],[CD_UPNIVEL1]]&amp;TEXT(ESTIMATIVA[[#This Row],[CD_UPNIVEL3]],"0000")))&gt;0,"S","N")</f>
        <v>N</v>
      </c>
      <c r="AH8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4" s="55" t="str">
        <f>IF(ESTIMATIVA[[#This Row],[TP_CULTIVO]]="Irrigado",_xlfn.MAXIFS(IRRIGADO!J:J,IRRIGADO!C:C,ESTIMATIVA[[#This Row],[CD_UPNIVEL1]],IRRIGADO!E:E,ESTIMATIVA[[#This Row],[CD_UPNIVEL3]]),"")</f>
        <v/>
      </c>
      <c r="AJ8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4" s="1">
        <f>COUNTIFS(Apresentação!$E$23:$E$29,ESTIMATIVA[[#This Row],[CD_UPNIVEL1]])</f>
        <v>0</v>
      </c>
    </row>
    <row r="85" spans="1:37" x14ac:dyDescent="0.3">
      <c r="A85">
        <v>10327</v>
      </c>
      <c r="B85" t="s">
        <v>16</v>
      </c>
      <c r="C85">
        <v>26</v>
      </c>
      <c r="D85">
        <v>6</v>
      </c>
      <c r="E85" t="s">
        <v>261</v>
      </c>
      <c r="F85" s="85" t="s">
        <v>332</v>
      </c>
      <c r="G85"/>
      <c r="H85" t="s">
        <v>294</v>
      </c>
      <c r="I85" t="s">
        <v>202</v>
      </c>
      <c r="J85" t="s">
        <v>176</v>
      </c>
      <c r="K85" s="1">
        <v>21.18</v>
      </c>
      <c r="L85" s="1">
        <v>0</v>
      </c>
      <c r="M85" s="1">
        <v>0</v>
      </c>
      <c r="N85" s="1">
        <v>21.18</v>
      </c>
      <c r="O85" s="1">
        <v>910.74</v>
      </c>
      <c r="P85" s="1">
        <v>0</v>
      </c>
      <c r="Q85" s="1">
        <v>0</v>
      </c>
      <c r="R85" s="1">
        <v>1002.56</v>
      </c>
      <c r="S85" t="s">
        <v>12</v>
      </c>
      <c r="T85" s="13">
        <v>45823</v>
      </c>
      <c r="U85" s="1" t="str">
        <f>IF(ESTIMATIVA[[#This Row],[QT_AREA_REAL]]&gt;0,"1- Colhido","2- à Colher")</f>
        <v>1- Colhido</v>
      </c>
      <c r="V85" s="1" t="str">
        <f>IF(ESTIMATIVA[[#This Row],[QT_AREA_REST1]]&gt;0,"Reestimativa 1",IF(ESTIMATIVA[[#This Row],[QT_AREA_REAL]]=0,"Reestimativa 1","Realizado"))</f>
        <v>Realizado</v>
      </c>
      <c r="W85" s="1" t="str">
        <f>IF(ESTIMATIVA[[#This Row],[QT_AREA_REST2]]&gt;0,"Reestimativa 2",IF(ESTIMATIVA[[#This Row],[QT_AREA_REAL]]=0,"Reestimativa 2","Realizado"))</f>
        <v>Realizado</v>
      </c>
      <c r="X85" s="1">
        <f>ESTIMATIVA[[#This Row],[QT_AREA_EST]]</f>
        <v>21.18</v>
      </c>
      <c r="Y85" s="1">
        <f>IF(ESTIMATIVA[[#This Row],[QT_AREA_REST1]]&gt;0,ESTIMATIVA[[#This Row],[QT_AREA_REST1]],
  IF(ESTIMATIVA[[#This Row],[QT_AREA_REAL]]&gt;0,ESTIMATIVA[[#This Row],[QT_AREA_REAL]],ESTIMATIVA[[#This Row],[QT_AREA_EST]]))</f>
        <v>21.18</v>
      </c>
      <c r="Z8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21.18</v>
      </c>
      <c r="AA85" s="1">
        <f>ESTIMATIVA[[#This Row],[QT_CANA_EST]]</f>
        <v>910.74</v>
      </c>
      <c r="AB85" s="1">
        <f>IF(ESTIMATIVA[[#This Row],[QT_CANA_REST1]]&gt;0,ESTIMATIVA[[#This Row],[QT_CANA_REST1]],
  IF(ESTIMATIVA[[#This Row],[QT_CANA_REAL]]&gt;0,ESTIMATIVA[[#This Row],[QT_CANA_REAL]],ESTIMATIVA[[#This Row],[QT_CANA_EST]]))</f>
        <v>1002.56</v>
      </c>
      <c r="AC8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1002.56</v>
      </c>
      <c r="AD85" s="1">
        <f>IF(ESTIMATIVA[[#This Row],[QT_AREA_REAL]]&gt;0,ESTIMATIVA[[#This Row],[QT_CANA_REAL]],ESTIMATIVA[[#This Row],[QT_CANA_EST]])</f>
        <v>1002.56</v>
      </c>
      <c r="AE85" s="1">
        <f>IF(ESTIMATIVA[[#This Row],[QT_AREA_REAL]]&gt;0,ESTIMATIVA[[#This Row],[QT_CANA_REAL]],ESTIMATIVA[[#This Row],[QT_CANA_REST1]])</f>
        <v>1002.56</v>
      </c>
      <c r="AF85" s="1">
        <f>IF(ESTIMATIVA[[#This Row],[QT_AREA_REAL]]&gt;0,ESTIMATIVA[[#This Row],[QT_CANA_REAL]],ESTIMATIVA[[#This Row],[QT_CANA_REST2]])</f>
        <v>1002.56</v>
      </c>
      <c r="AG85" s="1" t="str">
        <f>IF(COUNTIFS(GEADA!A:A,VALUE(ESTIMATIVA[[#This Row],[CD_UPNIVEL1]]&amp;TEXT(ESTIMATIVA[[#This Row],[CD_UPNIVEL3]],"0000")))&gt;0,"S","N")</f>
        <v>N</v>
      </c>
      <c r="AH8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5" s="55" t="str">
        <f>IF(ESTIMATIVA[[#This Row],[TP_CULTIVO]]="Irrigado",_xlfn.MAXIFS(IRRIGADO!J:J,IRRIGADO!C:C,ESTIMATIVA[[#This Row],[CD_UPNIVEL1]],IRRIGADO!E:E,ESTIMATIVA[[#This Row],[CD_UPNIVEL3]]),"")</f>
        <v/>
      </c>
      <c r="AJ8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5" s="1">
        <f>COUNTIFS(Apresentação!$E$23:$E$29,ESTIMATIVA[[#This Row],[CD_UPNIVEL1]])</f>
        <v>0</v>
      </c>
    </row>
    <row r="86" spans="1:37" x14ac:dyDescent="0.3">
      <c r="A86">
        <v>10327</v>
      </c>
      <c r="B86" t="s">
        <v>16</v>
      </c>
      <c r="C86">
        <v>27</v>
      </c>
      <c r="D86">
        <v>6</v>
      </c>
      <c r="E86" t="s">
        <v>261</v>
      </c>
      <c r="F86" s="85" t="s">
        <v>331</v>
      </c>
      <c r="G86"/>
      <c r="H86" t="s">
        <v>294</v>
      </c>
      <c r="I86" t="s">
        <v>202</v>
      </c>
      <c r="J86" t="s">
        <v>176</v>
      </c>
      <c r="K86" s="1">
        <v>16.420000000000002</v>
      </c>
      <c r="L86" s="1">
        <v>0</v>
      </c>
      <c r="M86" s="1">
        <v>0</v>
      </c>
      <c r="N86" s="1">
        <v>16.420000000000002</v>
      </c>
      <c r="O86" s="1">
        <v>706.06</v>
      </c>
      <c r="P86" s="1">
        <v>0</v>
      </c>
      <c r="Q86" s="1">
        <v>0</v>
      </c>
      <c r="R86" s="1">
        <v>777.12</v>
      </c>
      <c r="S86" t="s">
        <v>12</v>
      </c>
      <c r="T86" s="13">
        <v>45823</v>
      </c>
      <c r="U86" s="1" t="str">
        <f>IF(ESTIMATIVA[[#This Row],[QT_AREA_REAL]]&gt;0,"1- Colhido","2- à Colher")</f>
        <v>1- Colhido</v>
      </c>
      <c r="V86" s="1" t="str">
        <f>IF(ESTIMATIVA[[#This Row],[QT_AREA_REST1]]&gt;0,"Reestimativa 1",IF(ESTIMATIVA[[#This Row],[QT_AREA_REAL]]=0,"Reestimativa 1","Realizado"))</f>
        <v>Realizado</v>
      </c>
      <c r="W86" s="1" t="str">
        <f>IF(ESTIMATIVA[[#This Row],[QT_AREA_REST2]]&gt;0,"Reestimativa 2",IF(ESTIMATIVA[[#This Row],[QT_AREA_REAL]]=0,"Reestimativa 2","Realizado"))</f>
        <v>Realizado</v>
      </c>
      <c r="X86" s="1">
        <f>ESTIMATIVA[[#This Row],[QT_AREA_EST]]</f>
        <v>16.420000000000002</v>
      </c>
      <c r="Y86" s="1">
        <f>IF(ESTIMATIVA[[#This Row],[QT_AREA_REST1]]&gt;0,ESTIMATIVA[[#This Row],[QT_AREA_REST1]],
  IF(ESTIMATIVA[[#This Row],[QT_AREA_REAL]]&gt;0,ESTIMATIVA[[#This Row],[QT_AREA_REAL]],ESTIMATIVA[[#This Row],[QT_AREA_EST]]))</f>
        <v>16.420000000000002</v>
      </c>
      <c r="Z8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16.420000000000002</v>
      </c>
      <c r="AA86" s="1">
        <f>ESTIMATIVA[[#This Row],[QT_CANA_EST]]</f>
        <v>706.06</v>
      </c>
      <c r="AB86" s="1">
        <f>IF(ESTIMATIVA[[#This Row],[QT_CANA_REST1]]&gt;0,ESTIMATIVA[[#This Row],[QT_CANA_REST1]],
  IF(ESTIMATIVA[[#This Row],[QT_CANA_REAL]]&gt;0,ESTIMATIVA[[#This Row],[QT_CANA_REAL]],ESTIMATIVA[[#This Row],[QT_CANA_EST]]))</f>
        <v>777.12</v>
      </c>
      <c r="AC8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777.12</v>
      </c>
      <c r="AD86" s="1">
        <f>IF(ESTIMATIVA[[#This Row],[QT_AREA_REAL]]&gt;0,ESTIMATIVA[[#This Row],[QT_CANA_REAL]],ESTIMATIVA[[#This Row],[QT_CANA_EST]])</f>
        <v>777.12</v>
      </c>
      <c r="AE86" s="1">
        <f>IF(ESTIMATIVA[[#This Row],[QT_AREA_REAL]]&gt;0,ESTIMATIVA[[#This Row],[QT_CANA_REAL]],ESTIMATIVA[[#This Row],[QT_CANA_REST1]])</f>
        <v>777.12</v>
      </c>
      <c r="AF86" s="1">
        <f>IF(ESTIMATIVA[[#This Row],[QT_AREA_REAL]]&gt;0,ESTIMATIVA[[#This Row],[QT_CANA_REAL]],ESTIMATIVA[[#This Row],[QT_CANA_REST2]])</f>
        <v>777.12</v>
      </c>
      <c r="AG86" s="1" t="str">
        <f>IF(COUNTIFS(GEADA!A:A,VALUE(ESTIMATIVA[[#This Row],[CD_UPNIVEL1]]&amp;TEXT(ESTIMATIVA[[#This Row],[CD_UPNIVEL3]],"0000")))&gt;0,"S","N")</f>
        <v>N</v>
      </c>
      <c r="AH8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6" s="55" t="str">
        <f>IF(ESTIMATIVA[[#This Row],[TP_CULTIVO]]="Irrigado",_xlfn.MAXIFS(IRRIGADO!J:J,IRRIGADO!C:C,ESTIMATIVA[[#This Row],[CD_UPNIVEL1]],IRRIGADO!E:E,ESTIMATIVA[[#This Row],[CD_UPNIVEL3]]),"")</f>
        <v/>
      </c>
      <c r="AJ8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6" s="1">
        <f>COUNTIFS(Apresentação!$E$23:$E$29,ESTIMATIVA[[#This Row],[CD_UPNIVEL1]])</f>
        <v>0</v>
      </c>
    </row>
    <row r="87" spans="1:37" x14ac:dyDescent="0.3">
      <c r="A87">
        <v>10327</v>
      </c>
      <c r="B87" t="s">
        <v>16</v>
      </c>
      <c r="C87">
        <v>28</v>
      </c>
      <c r="D87">
        <v>6</v>
      </c>
      <c r="E87" t="s">
        <v>261</v>
      </c>
      <c r="F87" s="85" t="s">
        <v>331</v>
      </c>
      <c r="G87"/>
      <c r="H87" t="s">
        <v>294</v>
      </c>
      <c r="I87" t="s">
        <v>202</v>
      </c>
      <c r="J87" t="s">
        <v>176</v>
      </c>
      <c r="K87" s="1">
        <v>18.39</v>
      </c>
      <c r="L87" s="1">
        <v>0</v>
      </c>
      <c r="M87" s="1">
        <v>0</v>
      </c>
      <c r="N87" s="1">
        <v>18.39</v>
      </c>
      <c r="O87" s="1">
        <v>1195.3499999999999</v>
      </c>
      <c r="P87" s="1">
        <v>0</v>
      </c>
      <c r="Q87" s="1">
        <v>0</v>
      </c>
      <c r="R87" s="1">
        <v>1315.68</v>
      </c>
      <c r="S87" t="s">
        <v>12</v>
      </c>
      <c r="T87" s="13">
        <v>45823</v>
      </c>
      <c r="U87" s="1" t="str">
        <f>IF(ESTIMATIVA[[#This Row],[QT_AREA_REAL]]&gt;0,"1- Colhido","2- à Colher")</f>
        <v>1- Colhido</v>
      </c>
      <c r="V87" s="1" t="str">
        <f>IF(ESTIMATIVA[[#This Row],[QT_AREA_REST1]]&gt;0,"Reestimativa 1",IF(ESTIMATIVA[[#This Row],[QT_AREA_REAL]]=0,"Reestimativa 1","Realizado"))</f>
        <v>Realizado</v>
      </c>
      <c r="W87" s="1" t="str">
        <f>IF(ESTIMATIVA[[#This Row],[QT_AREA_REST2]]&gt;0,"Reestimativa 2",IF(ESTIMATIVA[[#This Row],[QT_AREA_REAL]]=0,"Reestimativa 2","Realizado"))</f>
        <v>Realizado</v>
      </c>
      <c r="X87" s="1">
        <f>ESTIMATIVA[[#This Row],[QT_AREA_EST]]</f>
        <v>18.39</v>
      </c>
      <c r="Y87" s="1">
        <f>IF(ESTIMATIVA[[#This Row],[QT_AREA_REST1]]&gt;0,ESTIMATIVA[[#This Row],[QT_AREA_REST1]],
  IF(ESTIMATIVA[[#This Row],[QT_AREA_REAL]]&gt;0,ESTIMATIVA[[#This Row],[QT_AREA_REAL]],ESTIMATIVA[[#This Row],[QT_AREA_EST]]))</f>
        <v>18.39</v>
      </c>
      <c r="Z8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18.39</v>
      </c>
      <c r="AA87" s="1">
        <f>ESTIMATIVA[[#This Row],[QT_CANA_EST]]</f>
        <v>1195.3499999999999</v>
      </c>
      <c r="AB87" s="1">
        <f>IF(ESTIMATIVA[[#This Row],[QT_CANA_REST1]]&gt;0,ESTIMATIVA[[#This Row],[QT_CANA_REST1]],
  IF(ESTIMATIVA[[#This Row],[QT_CANA_REAL]]&gt;0,ESTIMATIVA[[#This Row],[QT_CANA_REAL]],ESTIMATIVA[[#This Row],[QT_CANA_EST]]))</f>
        <v>1315.68</v>
      </c>
      <c r="AC8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1315.68</v>
      </c>
      <c r="AD87" s="1">
        <f>IF(ESTIMATIVA[[#This Row],[QT_AREA_REAL]]&gt;0,ESTIMATIVA[[#This Row],[QT_CANA_REAL]],ESTIMATIVA[[#This Row],[QT_CANA_EST]])</f>
        <v>1315.68</v>
      </c>
      <c r="AE87" s="1">
        <f>IF(ESTIMATIVA[[#This Row],[QT_AREA_REAL]]&gt;0,ESTIMATIVA[[#This Row],[QT_CANA_REAL]],ESTIMATIVA[[#This Row],[QT_CANA_REST1]])</f>
        <v>1315.68</v>
      </c>
      <c r="AF87" s="1">
        <f>IF(ESTIMATIVA[[#This Row],[QT_AREA_REAL]]&gt;0,ESTIMATIVA[[#This Row],[QT_CANA_REAL]],ESTIMATIVA[[#This Row],[QT_CANA_REST2]])</f>
        <v>1315.68</v>
      </c>
      <c r="AG87" s="1" t="str">
        <f>IF(COUNTIFS(GEADA!A:A,VALUE(ESTIMATIVA[[#This Row],[CD_UPNIVEL1]]&amp;TEXT(ESTIMATIVA[[#This Row],[CD_UPNIVEL3]],"0000")))&gt;0,"S","N")</f>
        <v>N</v>
      </c>
      <c r="AH8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7" s="55" t="str">
        <f>IF(ESTIMATIVA[[#This Row],[TP_CULTIVO]]="Irrigado",_xlfn.MAXIFS(IRRIGADO!J:J,IRRIGADO!C:C,ESTIMATIVA[[#This Row],[CD_UPNIVEL1]],IRRIGADO!E:E,ESTIMATIVA[[#This Row],[CD_UPNIVEL3]]),"")</f>
        <v/>
      </c>
      <c r="AJ8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7" s="1">
        <f>COUNTIFS(Apresentação!$E$23:$E$29,ESTIMATIVA[[#This Row],[CD_UPNIVEL1]])</f>
        <v>0</v>
      </c>
    </row>
    <row r="88" spans="1:37" x14ac:dyDescent="0.3">
      <c r="A88">
        <v>10327</v>
      </c>
      <c r="B88" t="s">
        <v>16</v>
      </c>
      <c r="C88">
        <v>29</v>
      </c>
      <c r="D88">
        <v>6</v>
      </c>
      <c r="E88" t="s">
        <v>261</v>
      </c>
      <c r="F88" s="85" t="s">
        <v>331</v>
      </c>
      <c r="G88"/>
      <c r="H88" t="s">
        <v>294</v>
      </c>
      <c r="I88" t="s">
        <v>202</v>
      </c>
      <c r="J88" t="s">
        <v>176</v>
      </c>
      <c r="K88" s="1">
        <v>28.4</v>
      </c>
      <c r="L88" s="1">
        <v>0</v>
      </c>
      <c r="M88" s="1">
        <v>0</v>
      </c>
      <c r="N88" s="1">
        <v>28.4</v>
      </c>
      <c r="O88" s="1">
        <v>1846</v>
      </c>
      <c r="P88" s="1">
        <v>0</v>
      </c>
      <c r="Q88" s="1">
        <v>0</v>
      </c>
      <c r="R88" s="1">
        <v>2031.91</v>
      </c>
      <c r="S88" t="s">
        <v>12</v>
      </c>
      <c r="T88" s="13">
        <v>45823</v>
      </c>
      <c r="U88" s="1" t="str">
        <f>IF(ESTIMATIVA[[#This Row],[QT_AREA_REAL]]&gt;0,"1- Colhido","2- à Colher")</f>
        <v>1- Colhido</v>
      </c>
      <c r="V88" s="1" t="str">
        <f>IF(ESTIMATIVA[[#This Row],[QT_AREA_REST1]]&gt;0,"Reestimativa 1",IF(ESTIMATIVA[[#This Row],[QT_AREA_REAL]]=0,"Reestimativa 1","Realizado"))</f>
        <v>Realizado</v>
      </c>
      <c r="W88" s="1" t="str">
        <f>IF(ESTIMATIVA[[#This Row],[QT_AREA_REST2]]&gt;0,"Reestimativa 2",IF(ESTIMATIVA[[#This Row],[QT_AREA_REAL]]=0,"Reestimativa 2","Realizado"))</f>
        <v>Realizado</v>
      </c>
      <c r="X88" s="1">
        <f>ESTIMATIVA[[#This Row],[QT_AREA_EST]]</f>
        <v>28.4</v>
      </c>
      <c r="Y88" s="1">
        <f>IF(ESTIMATIVA[[#This Row],[QT_AREA_REST1]]&gt;0,ESTIMATIVA[[#This Row],[QT_AREA_REST1]],
  IF(ESTIMATIVA[[#This Row],[QT_AREA_REAL]]&gt;0,ESTIMATIVA[[#This Row],[QT_AREA_REAL]],ESTIMATIVA[[#This Row],[QT_AREA_EST]]))</f>
        <v>28.4</v>
      </c>
      <c r="Z8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28.4</v>
      </c>
      <c r="AA88" s="1">
        <f>ESTIMATIVA[[#This Row],[QT_CANA_EST]]</f>
        <v>1846</v>
      </c>
      <c r="AB88" s="1">
        <f>IF(ESTIMATIVA[[#This Row],[QT_CANA_REST1]]&gt;0,ESTIMATIVA[[#This Row],[QT_CANA_REST1]],
  IF(ESTIMATIVA[[#This Row],[QT_CANA_REAL]]&gt;0,ESTIMATIVA[[#This Row],[QT_CANA_REAL]],ESTIMATIVA[[#This Row],[QT_CANA_EST]]))</f>
        <v>2031.91</v>
      </c>
      <c r="AC8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2031.91</v>
      </c>
      <c r="AD88" s="1">
        <f>IF(ESTIMATIVA[[#This Row],[QT_AREA_REAL]]&gt;0,ESTIMATIVA[[#This Row],[QT_CANA_REAL]],ESTIMATIVA[[#This Row],[QT_CANA_EST]])</f>
        <v>2031.91</v>
      </c>
      <c r="AE88" s="1">
        <f>IF(ESTIMATIVA[[#This Row],[QT_AREA_REAL]]&gt;0,ESTIMATIVA[[#This Row],[QT_CANA_REAL]],ESTIMATIVA[[#This Row],[QT_CANA_REST1]])</f>
        <v>2031.91</v>
      </c>
      <c r="AF88" s="1">
        <f>IF(ESTIMATIVA[[#This Row],[QT_AREA_REAL]]&gt;0,ESTIMATIVA[[#This Row],[QT_CANA_REAL]],ESTIMATIVA[[#This Row],[QT_CANA_REST2]])</f>
        <v>2031.91</v>
      </c>
      <c r="AG88" s="1" t="str">
        <f>IF(COUNTIFS(GEADA!A:A,VALUE(ESTIMATIVA[[#This Row],[CD_UPNIVEL1]]&amp;TEXT(ESTIMATIVA[[#This Row],[CD_UPNIVEL3]],"0000")))&gt;0,"S","N")</f>
        <v>N</v>
      </c>
      <c r="AH8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8" s="55" t="str">
        <f>IF(ESTIMATIVA[[#This Row],[TP_CULTIVO]]="Irrigado",_xlfn.MAXIFS(IRRIGADO!J:J,IRRIGADO!C:C,ESTIMATIVA[[#This Row],[CD_UPNIVEL1]],IRRIGADO!E:E,ESTIMATIVA[[#This Row],[CD_UPNIVEL3]]),"")</f>
        <v/>
      </c>
      <c r="AJ8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8" s="1">
        <f>COUNTIFS(Apresentação!$E$23:$E$29,ESTIMATIVA[[#This Row],[CD_UPNIVEL1]])</f>
        <v>0</v>
      </c>
    </row>
    <row r="89" spans="1:37" x14ac:dyDescent="0.3">
      <c r="A89">
        <v>10327</v>
      </c>
      <c r="B89" t="s">
        <v>16</v>
      </c>
      <c r="C89">
        <v>30</v>
      </c>
      <c r="D89">
        <v>6</v>
      </c>
      <c r="E89" t="s">
        <v>261</v>
      </c>
      <c r="F89" s="85" t="s">
        <v>331</v>
      </c>
      <c r="G89"/>
      <c r="H89" t="s">
        <v>294</v>
      </c>
      <c r="I89" t="s">
        <v>202</v>
      </c>
      <c r="J89" t="s">
        <v>176</v>
      </c>
      <c r="K89" s="1">
        <v>26.03</v>
      </c>
      <c r="L89" s="1">
        <v>0</v>
      </c>
      <c r="M89" s="1">
        <v>0</v>
      </c>
      <c r="N89" s="1">
        <v>26.03</v>
      </c>
      <c r="O89" s="1">
        <v>1691.95</v>
      </c>
      <c r="P89" s="1">
        <v>0</v>
      </c>
      <c r="Q89" s="1">
        <v>0</v>
      </c>
      <c r="R89" s="1">
        <v>1862.41</v>
      </c>
      <c r="S89" t="s">
        <v>12</v>
      </c>
      <c r="T89" s="13">
        <v>45823</v>
      </c>
      <c r="U89" s="1" t="str">
        <f>IF(ESTIMATIVA[[#This Row],[QT_AREA_REAL]]&gt;0,"1- Colhido","2- à Colher")</f>
        <v>1- Colhido</v>
      </c>
      <c r="V89" s="1" t="str">
        <f>IF(ESTIMATIVA[[#This Row],[QT_AREA_REST1]]&gt;0,"Reestimativa 1",IF(ESTIMATIVA[[#This Row],[QT_AREA_REAL]]=0,"Reestimativa 1","Realizado"))</f>
        <v>Realizado</v>
      </c>
      <c r="W89" s="1" t="str">
        <f>IF(ESTIMATIVA[[#This Row],[QT_AREA_REST2]]&gt;0,"Reestimativa 2",IF(ESTIMATIVA[[#This Row],[QT_AREA_REAL]]=0,"Reestimativa 2","Realizado"))</f>
        <v>Realizado</v>
      </c>
      <c r="X89" s="1">
        <f>ESTIMATIVA[[#This Row],[QT_AREA_EST]]</f>
        <v>26.03</v>
      </c>
      <c r="Y89" s="1">
        <f>IF(ESTIMATIVA[[#This Row],[QT_AREA_REST1]]&gt;0,ESTIMATIVA[[#This Row],[QT_AREA_REST1]],
  IF(ESTIMATIVA[[#This Row],[QT_AREA_REAL]]&gt;0,ESTIMATIVA[[#This Row],[QT_AREA_REAL]],ESTIMATIVA[[#This Row],[QT_AREA_EST]]))</f>
        <v>26.03</v>
      </c>
      <c r="Z8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26.03</v>
      </c>
      <c r="AA89" s="1">
        <f>ESTIMATIVA[[#This Row],[QT_CANA_EST]]</f>
        <v>1691.95</v>
      </c>
      <c r="AB89" s="1">
        <f>IF(ESTIMATIVA[[#This Row],[QT_CANA_REST1]]&gt;0,ESTIMATIVA[[#This Row],[QT_CANA_REST1]],
  IF(ESTIMATIVA[[#This Row],[QT_CANA_REAL]]&gt;0,ESTIMATIVA[[#This Row],[QT_CANA_REAL]],ESTIMATIVA[[#This Row],[QT_CANA_EST]]))</f>
        <v>1862.41</v>
      </c>
      <c r="AC8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1862.41</v>
      </c>
      <c r="AD89" s="1">
        <f>IF(ESTIMATIVA[[#This Row],[QT_AREA_REAL]]&gt;0,ESTIMATIVA[[#This Row],[QT_CANA_REAL]],ESTIMATIVA[[#This Row],[QT_CANA_EST]])</f>
        <v>1862.41</v>
      </c>
      <c r="AE89" s="1">
        <f>IF(ESTIMATIVA[[#This Row],[QT_AREA_REAL]]&gt;0,ESTIMATIVA[[#This Row],[QT_CANA_REAL]],ESTIMATIVA[[#This Row],[QT_CANA_REST1]])</f>
        <v>1862.41</v>
      </c>
      <c r="AF89" s="1">
        <f>IF(ESTIMATIVA[[#This Row],[QT_AREA_REAL]]&gt;0,ESTIMATIVA[[#This Row],[QT_CANA_REAL]],ESTIMATIVA[[#This Row],[QT_CANA_REST2]])</f>
        <v>1862.41</v>
      </c>
      <c r="AG89" s="1" t="str">
        <f>IF(COUNTIFS(GEADA!A:A,VALUE(ESTIMATIVA[[#This Row],[CD_UPNIVEL1]]&amp;TEXT(ESTIMATIVA[[#This Row],[CD_UPNIVEL3]],"0000")))&gt;0,"S","N")</f>
        <v>N</v>
      </c>
      <c r="AH8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9" s="55" t="str">
        <f>IF(ESTIMATIVA[[#This Row],[TP_CULTIVO]]="Irrigado",_xlfn.MAXIFS(IRRIGADO!J:J,IRRIGADO!C:C,ESTIMATIVA[[#This Row],[CD_UPNIVEL1]],IRRIGADO!E:E,ESTIMATIVA[[#This Row],[CD_UPNIVEL3]]),"")</f>
        <v/>
      </c>
      <c r="AJ8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9" s="1">
        <f>COUNTIFS(Apresentação!$E$23:$E$29,ESTIMATIVA[[#This Row],[CD_UPNIVEL1]])</f>
        <v>0</v>
      </c>
    </row>
    <row r="90" spans="1:37" x14ac:dyDescent="0.3">
      <c r="A90">
        <v>10327</v>
      </c>
      <c r="B90" t="s">
        <v>16</v>
      </c>
      <c r="C90">
        <v>31</v>
      </c>
      <c r="D90">
        <v>6</v>
      </c>
      <c r="E90" t="s">
        <v>261</v>
      </c>
      <c r="F90" s="85" t="s">
        <v>331</v>
      </c>
      <c r="G90"/>
      <c r="H90" t="s">
        <v>294</v>
      </c>
      <c r="I90" t="s">
        <v>202</v>
      </c>
      <c r="J90" t="s">
        <v>176</v>
      </c>
      <c r="K90" s="1">
        <v>11.49</v>
      </c>
      <c r="L90" s="1">
        <v>0</v>
      </c>
      <c r="M90" s="1">
        <v>0</v>
      </c>
      <c r="N90" s="1">
        <v>11.49</v>
      </c>
      <c r="O90" s="1">
        <v>746.85</v>
      </c>
      <c r="P90" s="1">
        <v>0</v>
      </c>
      <c r="Q90" s="1">
        <v>0</v>
      </c>
      <c r="R90" s="1">
        <v>823.77</v>
      </c>
      <c r="S90" t="s">
        <v>12</v>
      </c>
      <c r="T90" s="13">
        <v>45823</v>
      </c>
      <c r="U90" s="1" t="str">
        <f>IF(ESTIMATIVA[[#This Row],[QT_AREA_REAL]]&gt;0,"1- Colhido","2- à Colher")</f>
        <v>1- Colhido</v>
      </c>
      <c r="V90" s="1" t="str">
        <f>IF(ESTIMATIVA[[#This Row],[QT_AREA_REST1]]&gt;0,"Reestimativa 1",IF(ESTIMATIVA[[#This Row],[QT_AREA_REAL]]=0,"Reestimativa 1","Realizado"))</f>
        <v>Realizado</v>
      </c>
      <c r="W90" s="1" t="str">
        <f>IF(ESTIMATIVA[[#This Row],[QT_AREA_REST2]]&gt;0,"Reestimativa 2",IF(ESTIMATIVA[[#This Row],[QT_AREA_REAL]]=0,"Reestimativa 2","Realizado"))</f>
        <v>Realizado</v>
      </c>
      <c r="X90" s="1">
        <f>ESTIMATIVA[[#This Row],[QT_AREA_EST]]</f>
        <v>11.49</v>
      </c>
      <c r="Y90" s="1">
        <f>IF(ESTIMATIVA[[#This Row],[QT_AREA_REST1]]&gt;0,ESTIMATIVA[[#This Row],[QT_AREA_REST1]],
  IF(ESTIMATIVA[[#This Row],[QT_AREA_REAL]]&gt;0,ESTIMATIVA[[#This Row],[QT_AREA_REAL]],ESTIMATIVA[[#This Row],[QT_AREA_EST]]))</f>
        <v>11.49</v>
      </c>
      <c r="Z9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11.49</v>
      </c>
      <c r="AA90" s="1">
        <f>ESTIMATIVA[[#This Row],[QT_CANA_EST]]</f>
        <v>746.85</v>
      </c>
      <c r="AB90" s="1">
        <f>IF(ESTIMATIVA[[#This Row],[QT_CANA_REST1]]&gt;0,ESTIMATIVA[[#This Row],[QT_CANA_REST1]],
  IF(ESTIMATIVA[[#This Row],[QT_CANA_REAL]]&gt;0,ESTIMATIVA[[#This Row],[QT_CANA_REAL]],ESTIMATIVA[[#This Row],[QT_CANA_EST]]))</f>
        <v>823.77</v>
      </c>
      <c r="AC9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823.77</v>
      </c>
      <c r="AD90" s="1">
        <f>IF(ESTIMATIVA[[#This Row],[QT_AREA_REAL]]&gt;0,ESTIMATIVA[[#This Row],[QT_CANA_REAL]],ESTIMATIVA[[#This Row],[QT_CANA_EST]])</f>
        <v>823.77</v>
      </c>
      <c r="AE90" s="1">
        <f>IF(ESTIMATIVA[[#This Row],[QT_AREA_REAL]]&gt;0,ESTIMATIVA[[#This Row],[QT_CANA_REAL]],ESTIMATIVA[[#This Row],[QT_CANA_REST1]])</f>
        <v>823.77</v>
      </c>
      <c r="AF90" s="1">
        <f>IF(ESTIMATIVA[[#This Row],[QT_AREA_REAL]]&gt;0,ESTIMATIVA[[#This Row],[QT_CANA_REAL]],ESTIMATIVA[[#This Row],[QT_CANA_REST2]])</f>
        <v>823.77</v>
      </c>
      <c r="AG90" s="1" t="str">
        <f>IF(COUNTIFS(GEADA!A:A,VALUE(ESTIMATIVA[[#This Row],[CD_UPNIVEL1]]&amp;TEXT(ESTIMATIVA[[#This Row],[CD_UPNIVEL3]],"0000")))&gt;0,"S","N")</f>
        <v>N</v>
      </c>
      <c r="AH9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0" s="55" t="str">
        <f>IF(ESTIMATIVA[[#This Row],[TP_CULTIVO]]="Irrigado",_xlfn.MAXIFS(IRRIGADO!J:J,IRRIGADO!C:C,ESTIMATIVA[[#This Row],[CD_UPNIVEL1]],IRRIGADO!E:E,ESTIMATIVA[[#This Row],[CD_UPNIVEL3]]),"")</f>
        <v/>
      </c>
      <c r="AJ9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0" s="1">
        <f>COUNTIFS(Apresentação!$E$23:$E$29,ESTIMATIVA[[#This Row],[CD_UPNIVEL1]])</f>
        <v>0</v>
      </c>
    </row>
    <row r="91" spans="1:37" x14ac:dyDescent="0.3">
      <c r="A91">
        <v>10327</v>
      </c>
      <c r="B91" t="s">
        <v>16</v>
      </c>
      <c r="C91">
        <v>61</v>
      </c>
      <c r="D91">
        <v>3</v>
      </c>
      <c r="E91" t="s">
        <v>263</v>
      </c>
      <c r="F91" s="85" t="s">
        <v>331</v>
      </c>
      <c r="G91"/>
      <c r="H91" t="s">
        <v>294</v>
      </c>
      <c r="I91" t="s">
        <v>200</v>
      </c>
      <c r="J91" t="s">
        <v>176</v>
      </c>
      <c r="K91" s="1">
        <v>11.86</v>
      </c>
      <c r="L91" s="1">
        <v>11.86</v>
      </c>
      <c r="M91" s="1">
        <v>0</v>
      </c>
      <c r="N91" s="1">
        <v>11.86</v>
      </c>
      <c r="O91" s="1">
        <v>1008.1</v>
      </c>
      <c r="P91" s="1">
        <v>1043.68</v>
      </c>
      <c r="Q91" s="1">
        <v>0</v>
      </c>
      <c r="R91" s="1">
        <v>1043.25</v>
      </c>
      <c r="S91" t="s">
        <v>12</v>
      </c>
      <c r="T91" s="13">
        <v>45879</v>
      </c>
      <c r="U91" s="1" t="str">
        <f>IF(ESTIMATIVA[[#This Row],[QT_AREA_REAL]]&gt;0,"1- Colhido","2- à Colher")</f>
        <v>1- Colhido</v>
      </c>
      <c r="V91" s="1" t="str">
        <f>IF(ESTIMATIVA[[#This Row],[QT_AREA_REST1]]&gt;0,"Reestimativa 1",IF(ESTIMATIVA[[#This Row],[QT_AREA_REAL]]=0,"Reestimativa 1","Realizado"))</f>
        <v>Reestimativa 1</v>
      </c>
      <c r="W91" s="1" t="str">
        <f>IF(ESTIMATIVA[[#This Row],[QT_AREA_REST2]]&gt;0,"Reestimativa 2",IF(ESTIMATIVA[[#This Row],[QT_AREA_REAL]]=0,"Reestimativa 2","Realizado"))</f>
        <v>Realizado</v>
      </c>
      <c r="X91" s="1">
        <f>ESTIMATIVA[[#This Row],[QT_AREA_EST]]</f>
        <v>11.86</v>
      </c>
      <c r="Y91" s="1">
        <f>IF(ESTIMATIVA[[#This Row],[QT_AREA_REST1]]&gt;0,ESTIMATIVA[[#This Row],[QT_AREA_REST1]],
  IF(ESTIMATIVA[[#This Row],[QT_AREA_REAL]]&gt;0,ESTIMATIVA[[#This Row],[QT_AREA_REAL]],ESTIMATIVA[[#This Row],[QT_AREA_EST]]))</f>
        <v>11.86</v>
      </c>
      <c r="Z9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11.86</v>
      </c>
      <c r="AA91" s="1">
        <f>ESTIMATIVA[[#This Row],[QT_CANA_EST]]</f>
        <v>1008.1</v>
      </c>
      <c r="AB91" s="1">
        <f>IF(ESTIMATIVA[[#This Row],[QT_CANA_REST1]]&gt;0,ESTIMATIVA[[#This Row],[QT_CANA_REST1]],
  IF(ESTIMATIVA[[#This Row],[QT_CANA_REAL]]&gt;0,ESTIMATIVA[[#This Row],[QT_CANA_REAL]],ESTIMATIVA[[#This Row],[QT_CANA_EST]]))</f>
        <v>1043.68</v>
      </c>
      <c r="AC9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1043.25</v>
      </c>
      <c r="AD91" s="1">
        <f>IF(ESTIMATIVA[[#This Row],[QT_AREA_REAL]]&gt;0,ESTIMATIVA[[#This Row],[QT_CANA_REAL]],ESTIMATIVA[[#This Row],[QT_CANA_EST]])</f>
        <v>1043.25</v>
      </c>
      <c r="AE91" s="1">
        <f>IF(ESTIMATIVA[[#This Row],[QT_AREA_REAL]]&gt;0,ESTIMATIVA[[#This Row],[QT_CANA_REAL]],ESTIMATIVA[[#This Row],[QT_CANA_REST1]])</f>
        <v>1043.25</v>
      </c>
      <c r="AF91" s="1">
        <f>IF(ESTIMATIVA[[#This Row],[QT_AREA_REAL]]&gt;0,ESTIMATIVA[[#This Row],[QT_CANA_REAL]],ESTIMATIVA[[#This Row],[QT_CANA_REST2]])</f>
        <v>1043.25</v>
      </c>
      <c r="AG91" s="1" t="str">
        <f>IF(COUNTIFS(GEADA!A:A,VALUE(ESTIMATIVA[[#This Row],[CD_UPNIVEL1]]&amp;TEXT(ESTIMATIVA[[#This Row],[CD_UPNIVEL3]],"0000")))&gt;0,"S","N")</f>
        <v>N</v>
      </c>
      <c r="AH9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1" s="55" t="str">
        <f>IF(ESTIMATIVA[[#This Row],[TP_CULTIVO]]="Irrigado",_xlfn.MAXIFS(IRRIGADO!J:J,IRRIGADO!C:C,ESTIMATIVA[[#This Row],[CD_UPNIVEL1]],IRRIGADO!E:E,ESTIMATIVA[[#This Row],[CD_UPNIVEL3]]),"")</f>
        <v/>
      </c>
      <c r="AJ9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1" s="1">
        <f>COUNTIFS(Apresentação!$E$23:$E$29,ESTIMATIVA[[#This Row],[CD_UPNIVEL1]])</f>
        <v>0</v>
      </c>
    </row>
    <row r="92" spans="1:37" x14ac:dyDescent="0.3">
      <c r="A92">
        <v>10327</v>
      </c>
      <c r="B92" t="s">
        <v>16</v>
      </c>
      <c r="C92">
        <v>62</v>
      </c>
      <c r="D92">
        <v>3</v>
      </c>
      <c r="E92" t="s">
        <v>263</v>
      </c>
      <c r="F92" s="85" t="s">
        <v>331</v>
      </c>
      <c r="G92"/>
      <c r="H92" t="s">
        <v>294</v>
      </c>
      <c r="I92" t="s">
        <v>200</v>
      </c>
      <c r="J92" t="s">
        <v>176</v>
      </c>
      <c r="K92" s="1">
        <v>9.1</v>
      </c>
      <c r="L92" s="1">
        <v>9.1</v>
      </c>
      <c r="M92" s="1">
        <v>0</v>
      </c>
      <c r="N92" s="1">
        <v>9.1</v>
      </c>
      <c r="O92" s="1">
        <v>773.5</v>
      </c>
      <c r="P92" s="1">
        <v>809.9</v>
      </c>
      <c r="Q92" s="1">
        <v>0</v>
      </c>
      <c r="R92" s="1">
        <v>809.41</v>
      </c>
      <c r="S92" t="s">
        <v>12</v>
      </c>
      <c r="T92" s="13">
        <v>45879</v>
      </c>
      <c r="U92" s="1" t="str">
        <f>IF(ESTIMATIVA[[#This Row],[QT_AREA_REAL]]&gt;0,"1- Colhido","2- à Colher")</f>
        <v>1- Colhido</v>
      </c>
      <c r="V92" s="1" t="str">
        <f>IF(ESTIMATIVA[[#This Row],[QT_AREA_REST1]]&gt;0,"Reestimativa 1",IF(ESTIMATIVA[[#This Row],[QT_AREA_REAL]]=0,"Reestimativa 1","Realizado"))</f>
        <v>Reestimativa 1</v>
      </c>
      <c r="W92" s="1" t="str">
        <f>IF(ESTIMATIVA[[#This Row],[QT_AREA_REST2]]&gt;0,"Reestimativa 2",IF(ESTIMATIVA[[#This Row],[QT_AREA_REAL]]=0,"Reestimativa 2","Realizado"))</f>
        <v>Realizado</v>
      </c>
      <c r="X92" s="1">
        <f>ESTIMATIVA[[#This Row],[QT_AREA_EST]]</f>
        <v>9.1</v>
      </c>
      <c r="Y92" s="1">
        <f>IF(ESTIMATIVA[[#This Row],[QT_AREA_REST1]]&gt;0,ESTIMATIVA[[#This Row],[QT_AREA_REST1]],
  IF(ESTIMATIVA[[#This Row],[QT_AREA_REAL]]&gt;0,ESTIMATIVA[[#This Row],[QT_AREA_REAL]],ESTIMATIVA[[#This Row],[QT_AREA_EST]]))</f>
        <v>9.1</v>
      </c>
      <c r="Z9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9.1</v>
      </c>
      <c r="AA92" s="1">
        <f>ESTIMATIVA[[#This Row],[QT_CANA_EST]]</f>
        <v>773.5</v>
      </c>
      <c r="AB92" s="1">
        <f>IF(ESTIMATIVA[[#This Row],[QT_CANA_REST1]]&gt;0,ESTIMATIVA[[#This Row],[QT_CANA_REST1]],
  IF(ESTIMATIVA[[#This Row],[QT_CANA_REAL]]&gt;0,ESTIMATIVA[[#This Row],[QT_CANA_REAL]],ESTIMATIVA[[#This Row],[QT_CANA_EST]]))</f>
        <v>809.9</v>
      </c>
      <c r="AC9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809.41</v>
      </c>
      <c r="AD92" s="1">
        <f>IF(ESTIMATIVA[[#This Row],[QT_AREA_REAL]]&gt;0,ESTIMATIVA[[#This Row],[QT_CANA_REAL]],ESTIMATIVA[[#This Row],[QT_CANA_EST]])</f>
        <v>809.41</v>
      </c>
      <c r="AE92" s="1">
        <f>IF(ESTIMATIVA[[#This Row],[QT_AREA_REAL]]&gt;0,ESTIMATIVA[[#This Row],[QT_CANA_REAL]],ESTIMATIVA[[#This Row],[QT_CANA_REST1]])</f>
        <v>809.41</v>
      </c>
      <c r="AF92" s="1">
        <f>IF(ESTIMATIVA[[#This Row],[QT_AREA_REAL]]&gt;0,ESTIMATIVA[[#This Row],[QT_CANA_REAL]],ESTIMATIVA[[#This Row],[QT_CANA_REST2]])</f>
        <v>809.41</v>
      </c>
      <c r="AG92" s="1" t="str">
        <f>IF(COUNTIFS(GEADA!A:A,VALUE(ESTIMATIVA[[#This Row],[CD_UPNIVEL1]]&amp;TEXT(ESTIMATIVA[[#This Row],[CD_UPNIVEL3]],"0000")))&gt;0,"S","N")</f>
        <v>N</v>
      </c>
      <c r="AH9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2" s="55" t="str">
        <f>IF(ESTIMATIVA[[#This Row],[TP_CULTIVO]]="Irrigado",_xlfn.MAXIFS(IRRIGADO!J:J,IRRIGADO!C:C,ESTIMATIVA[[#This Row],[CD_UPNIVEL1]],IRRIGADO!E:E,ESTIMATIVA[[#This Row],[CD_UPNIVEL3]]),"")</f>
        <v/>
      </c>
      <c r="AJ9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2" s="1">
        <f>COUNTIFS(Apresentação!$E$23:$E$29,ESTIMATIVA[[#This Row],[CD_UPNIVEL1]])</f>
        <v>0</v>
      </c>
    </row>
    <row r="93" spans="1:37" x14ac:dyDescent="0.3">
      <c r="A93">
        <v>10327</v>
      </c>
      <c r="B93" t="s">
        <v>16</v>
      </c>
      <c r="C93">
        <v>63</v>
      </c>
      <c r="D93">
        <v>3</v>
      </c>
      <c r="E93" t="s">
        <v>263</v>
      </c>
      <c r="F93" s="85" t="s">
        <v>331</v>
      </c>
      <c r="G93"/>
      <c r="H93" t="s">
        <v>294</v>
      </c>
      <c r="I93" t="s">
        <v>200</v>
      </c>
      <c r="J93" t="s">
        <v>176</v>
      </c>
      <c r="K93" s="1">
        <v>5.74</v>
      </c>
      <c r="L93" s="1">
        <v>5.74</v>
      </c>
      <c r="M93" s="1">
        <v>0</v>
      </c>
      <c r="N93" s="1">
        <v>5.74</v>
      </c>
      <c r="O93" s="1">
        <v>487.9</v>
      </c>
      <c r="P93" s="1">
        <v>510.86</v>
      </c>
      <c r="Q93" s="1">
        <v>0</v>
      </c>
      <c r="R93" s="1">
        <v>510.6</v>
      </c>
      <c r="S93" t="s">
        <v>12</v>
      </c>
      <c r="T93" s="13">
        <v>45879</v>
      </c>
      <c r="U93" s="1" t="str">
        <f>IF(ESTIMATIVA[[#This Row],[QT_AREA_REAL]]&gt;0,"1- Colhido","2- à Colher")</f>
        <v>1- Colhido</v>
      </c>
      <c r="V93" s="1" t="str">
        <f>IF(ESTIMATIVA[[#This Row],[QT_AREA_REST1]]&gt;0,"Reestimativa 1",IF(ESTIMATIVA[[#This Row],[QT_AREA_REAL]]=0,"Reestimativa 1","Realizado"))</f>
        <v>Reestimativa 1</v>
      </c>
      <c r="W93" s="1" t="str">
        <f>IF(ESTIMATIVA[[#This Row],[QT_AREA_REST2]]&gt;0,"Reestimativa 2",IF(ESTIMATIVA[[#This Row],[QT_AREA_REAL]]=0,"Reestimativa 2","Realizado"))</f>
        <v>Realizado</v>
      </c>
      <c r="X93" s="1">
        <f>ESTIMATIVA[[#This Row],[QT_AREA_EST]]</f>
        <v>5.74</v>
      </c>
      <c r="Y93" s="1">
        <f>IF(ESTIMATIVA[[#This Row],[QT_AREA_REST1]]&gt;0,ESTIMATIVA[[#This Row],[QT_AREA_REST1]],
  IF(ESTIMATIVA[[#This Row],[QT_AREA_REAL]]&gt;0,ESTIMATIVA[[#This Row],[QT_AREA_REAL]],ESTIMATIVA[[#This Row],[QT_AREA_EST]]))</f>
        <v>5.74</v>
      </c>
      <c r="Z9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5.74</v>
      </c>
      <c r="AA93" s="1">
        <f>ESTIMATIVA[[#This Row],[QT_CANA_EST]]</f>
        <v>487.9</v>
      </c>
      <c r="AB93" s="1">
        <f>IF(ESTIMATIVA[[#This Row],[QT_CANA_REST1]]&gt;0,ESTIMATIVA[[#This Row],[QT_CANA_REST1]],
  IF(ESTIMATIVA[[#This Row],[QT_CANA_REAL]]&gt;0,ESTIMATIVA[[#This Row],[QT_CANA_REAL]],ESTIMATIVA[[#This Row],[QT_CANA_EST]]))</f>
        <v>510.86</v>
      </c>
      <c r="AC9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510.6</v>
      </c>
      <c r="AD93" s="1">
        <f>IF(ESTIMATIVA[[#This Row],[QT_AREA_REAL]]&gt;0,ESTIMATIVA[[#This Row],[QT_CANA_REAL]],ESTIMATIVA[[#This Row],[QT_CANA_EST]])</f>
        <v>510.6</v>
      </c>
      <c r="AE93" s="1">
        <f>IF(ESTIMATIVA[[#This Row],[QT_AREA_REAL]]&gt;0,ESTIMATIVA[[#This Row],[QT_CANA_REAL]],ESTIMATIVA[[#This Row],[QT_CANA_REST1]])</f>
        <v>510.6</v>
      </c>
      <c r="AF93" s="1">
        <f>IF(ESTIMATIVA[[#This Row],[QT_AREA_REAL]]&gt;0,ESTIMATIVA[[#This Row],[QT_CANA_REAL]],ESTIMATIVA[[#This Row],[QT_CANA_REST2]])</f>
        <v>510.6</v>
      </c>
      <c r="AG93" s="1" t="str">
        <f>IF(COUNTIFS(GEADA!A:A,VALUE(ESTIMATIVA[[#This Row],[CD_UPNIVEL1]]&amp;TEXT(ESTIMATIVA[[#This Row],[CD_UPNIVEL3]],"0000")))&gt;0,"S","N")</f>
        <v>N</v>
      </c>
      <c r="AH9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3" s="55" t="str">
        <f>IF(ESTIMATIVA[[#This Row],[TP_CULTIVO]]="Irrigado",_xlfn.MAXIFS(IRRIGADO!J:J,IRRIGADO!C:C,ESTIMATIVA[[#This Row],[CD_UPNIVEL1]],IRRIGADO!E:E,ESTIMATIVA[[#This Row],[CD_UPNIVEL3]]),"")</f>
        <v/>
      </c>
      <c r="AJ9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3" s="1">
        <f>COUNTIFS(Apresentação!$E$23:$E$29,ESTIMATIVA[[#This Row],[CD_UPNIVEL1]])</f>
        <v>0</v>
      </c>
    </row>
    <row r="94" spans="1:37" x14ac:dyDescent="0.3">
      <c r="A94">
        <v>10327</v>
      </c>
      <c r="B94" t="s">
        <v>16</v>
      </c>
      <c r="C94">
        <v>64</v>
      </c>
      <c r="D94">
        <v>3</v>
      </c>
      <c r="E94" t="s">
        <v>263</v>
      </c>
      <c r="F94" s="85" t="s">
        <v>331</v>
      </c>
      <c r="G94"/>
      <c r="H94" t="s">
        <v>294</v>
      </c>
      <c r="I94" t="s">
        <v>200</v>
      </c>
      <c r="J94" t="s">
        <v>176</v>
      </c>
      <c r="K94" s="1">
        <v>9.18</v>
      </c>
      <c r="L94" s="1">
        <v>9.18</v>
      </c>
      <c r="M94" s="1">
        <v>0</v>
      </c>
      <c r="N94" s="1">
        <v>9.18</v>
      </c>
      <c r="O94" s="1">
        <v>780.3</v>
      </c>
      <c r="P94" s="1">
        <v>817.02</v>
      </c>
      <c r="Q94" s="1">
        <v>0</v>
      </c>
      <c r="R94" s="1">
        <v>816.4</v>
      </c>
      <c r="S94" t="s">
        <v>12</v>
      </c>
      <c r="T94" s="13">
        <v>45879</v>
      </c>
      <c r="U94" s="1" t="str">
        <f>IF(ESTIMATIVA[[#This Row],[QT_AREA_REAL]]&gt;0,"1- Colhido","2- à Colher")</f>
        <v>1- Colhido</v>
      </c>
      <c r="V94" s="1" t="str">
        <f>IF(ESTIMATIVA[[#This Row],[QT_AREA_REST1]]&gt;0,"Reestimativa 1",IF(ESTIMATIVA[[#This Row],[QT_AREA_REAL]]=0,"Reestimativa 1","Realizado"))</f>
        <v>Reestimativa 1</v>
      </c>
      <c r="W94" s="1" t="str">
        <f>IF(ESTIMATIVA[[#This Row],[QT_AREA_REST2]]&gt;0,"Reestimativa 2",IF(ESTIMATIVA[[#This Row],[QT_AREA_REAL]]=0,"Reestimativa 2","Realizado"))</f>
        <v>Realizado</v>
      </c>
      <c r="X94" s="1">
        <f>ESTIMATIVA[[#This Row],[QT_AREA_EST]]</f>
        <v>9.18</v>
      </c>
      <c r="Y94" s="1">
        <f>IF(ESTIMATIVA[[#This Row],[QT_AREA_REST1]]&gt;0,ESTIMATIVA[[#This Row],[QT_AREA_REST1]],
  IF(ESTIMATIVA[[#This Row],[QT_AREA_REAL]]&gt;0,ESTIMATIVA[[#This Row],[QT_AREA_REAL]],ESTIMATIVA[[#This Row],[QT_AREA_EST]]))</f>
        <v>9.18</v>
      </c>
      <c r="Z9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9.18</v>
      </c>
      <c r="AA94" s="1">
        <f>ESTIMATIVA[[#This Row],[QT_CANA_EST]]</f>
        <v>780.3</v>
      </c>
      <c r="AB94" s="1">
        <f>IF(ESTIMATIVA[[#This Row],[QT_CANA_REST1]]&gt;0,ESTIMATIVA[[#This Row],[QT_CANA_REST1]],
  IF(ESTIMATIVA[[#This Row],[QT_CANA_REAL]]&gt;0,ESTIMATIVA[[#This Row],[QT_CANA_REAL]],ESTIMATIVA[[#This Row],[QT_CANA_EST]]))</f>
        <v>817.02</v>
      </c>
      <c r="AC9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816.4</v>
      </c>
      <c r="AD94" s="1">
        <f>IF(ESTIMATIVA[[#This Row],[QT_AREA_REAL]]&gt;0,ESTIMATIVA[[#This Row],[QT_CANA_REAL]],ESTIMATIVA[[#This Row],[QT_CANA_EST]])</f>
        <v>816.4</v>
      </c>
      <c r="AE94" s="1">
        <f>IF(ESTIMATIVA[[#This Row],[QT_AREA_REAL]]&gt;0,ESTIMATIVA[[#This Row],[QT_CANA_REAL]],ESTIMATIVA[[#This Row],[QT_CANA_REST1]])</f>
        <v>816.4</v>
      </c>
      <c r="AF94" s="1">
        <f>IF(ESTIMATIVA[[#This Row],[QT_AREA_REAL]]&gt;0,ESTIMATIVA[[#This Row],[QT_CANA_REAL]],ESTIMATIVA[[#This Row],[QT_CANA_REST2]])</f>
        <v>816.4</v>
      </c>
      <c r="AG94" s="1" t="str">
        <f>IF(COUNTIFS(GEADA!A:A,VALUE(ESTIMATIVA[[#This Row],[CD_UPNIVEL1]]&amp;TEXT(ESTIMATIVA[[#This Row],[CD_UPNIVEL3]],"0000")))&gt;0,"S","N")</f>
        <v>N</v>
      </c>
      <c r="AH9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4" s="55" t="str">
        <f>IF(ESTIMATIVA[[#This Row],[TP_CULTIVO]]="Irrigado",_xlfn.MAXIFS(IRRIGADO!J:J,IRRIGADO!C:C,ESTIMATIVA[[#This Row],[CD_UPNIVEL1]],IRRIGADO!E:E,ESTIMATIVA[[#This Row],[CD_UPNIVEL3]]),"")</f>
        <v/>
      </c>
      <c r="AJ9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4" s="1">
        <f>COUNTIFS(Apresentação!$E$23:$E$29,ESTIMATIVA[[#This Row],[CD_UPNIVEL1]])</f>
        <v>0</v>
      </c>
    </row>
    <row r="95" spans="1:37" x14ac:dyDescent="0.3">
      <c r="A95">
        <v>10327</v>
      </c>
      <c r="B95" t="s">
        <v>16</v>
      </c>
      <c r="C95">
        <v>65</v>
      </c>
      <c r="D95">
        <v>3</v>
      </c>
      <c r="E95" t="s">
        <v>263</v>
      </c>
      <c r="F95" s="85" t="s">
        <v>331</v>
      </c>
      <c r="G95"/>
      <c r="H95" t="s">
        <v>294</v>
      </c>
      <c r="I95" t="s">
        <v>200</v>
      </c>
      <c r="J95" t="s">
        <v>176</v>
      </c>
      <c r="K95" s="1">
        <v>8.27</v>
      </c>
      <c r="L95" s="1">
        <v>8.27</v>
      </c>
      <c r="M95" s="1">
        <v>0</v>
      </c>
      <c r="N95" s="1">
        <v>8.27</v>
      </c>
      <c r="O95" s="1">
        <v>702.95</v>
      </c>
      <c r="P95" s="1">
        <v>736.03</v>
      </c>
      <c r="Q95" s="1">
        <v>0</v>
      </c>
      <c r="R95" s="1">
        <v>735.44</v>
      </c>
      <c r="S95" t="s">
        <v>12</v>
      </c>
      <c r="T95" s="13">
        <v>45879</v>
      </c>
      <c r="U95" s="1" t="str">
        <f>IF(ESTIMATIVA[[#This Row],[QT_AREA_REAL]]&gt;0,"1- Colhido","2- à Colher")</f>
        <v>1- Colhido</v>
      </c>
      <c r="V95" s="1" t="str">
        <f>IF(ESTIMATIVA[[#This Row],[QT_AREA_REST1]]&gt;0,"Reestimativa 1",IF(ESTIMATIVA[[#This Row],[QT_AREA_REAL]]=0,"Reestimativa 1","Realizado"))</f>
        <v>Reestimativa 1</v>
      </c>
      <c r="W95" s="1" t="str">
        <f>IF(ESTIMATIVA[[#This Row],[QT_AREA_REST2]]&gt;0,"Reestimativa 2",IF(ESTIMATIVA[[#This Row],[QT_AREA_REAL]]=0,"Reestimativa 2","Realizado"))</f>
        <v>Realizado</v>
      </c>
      <c r="X95" s="1">
        <f>ESTIMATIVA[[#This Row],[QT_AREA_EST]]</f>
        <v>8.27</v>
      </c>
      <c r="Y95" s="1">
        <f>IF(ESTIMATIVA[[#This Row],[QT_AREA_REST1]]&gt;0,ESTIMATIVA[[#This Row],[QT_AREA_REST1]],
  IF(ESTIMATIVA[[#This Row],[QT_AREA_REAL]]&gt;0,ESTIMATIVA[[#This Row],[QT_AREA_REAL]],ESTIMATIVA[[#This Row],[QT_AREA_EST]]))</f>
        <v>8.27</v>
      </c>
      <c r="Z9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8.27</v>
      </c>
      <c r="AA95" s="1">
        <f>ESTIMATIVA[[#This Row],[QT_CANA_EST]]</f>
        <v>702.95</v>
      </c>
      <c r="AB95" s="1">
        <f>IF(ESTIMATIVA[[#This Row],[QT_CANA_REST1]]&gt;0,ESTIMATIVA[[#This Row],[QT_CANA_REST1]],
  IF(ESTIMATIVA[[#This Row],[QT_CANA_REAL]]&gt;0,ESTIMATIVA[[#This Row],[QT_CANA_REAL]],ESTIMATIVA[[#This Row],[QT_CANA_EST]]))</f>
        <v>736.03</v>
      </c>
      <c r="AC9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735.44</v>
      </c>
      <c r="AD95" s="1">
        <f>IF(ESTIMATIVA[[#This Row],[QT_AREA_REAL]]&gt;0,ESTIMATIVA[[#This Row],[QT_CANA_REAL]],ESTIMATIVA[[#This Row],[QT_CANA_EST]])</f>
        <v>735.44</v>
      </c>
      <c r="AE95" s="1">
        <f>IF(ESTIMATIVA[[#This Row],[QT_AREA_REAL]]&gt;0,ESTIMATIVA[[#This Row],[QT_CANA_REAL]],ESTIMATIVA[[#This Row],[QT_CANA_REST1]])</f>
        <v>735.44</v>
      </c>
      <c r="AF95" s="1">
        <f>IF(ESTIMATIVA[[#This Row],[QT_AREA_REAL]]&gt;0,ESTIMATIVA[[#This Row],[QT_CANA_REAL]],ESTIMATIVA[[#This Row],[QT_CANA_REST2]])</f>
        <v>735.44</v>
      </c>
      <c r="AG95" s="1" t="str">
        <f>IF(COUNTIFS(GEADA!A:A,VALUE(ESTIMATIVA[[#This Row],[CD_UPNIVEL1]]&amp;TEXT(ESTIMATIVA[[#This Row],[CD_UPNIVEL3]],"0000")))&gt;0,"S","N")</f>
        <v>N</v>
      </c>
      <c r="AH9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5" s="55" t="str">
        <f>IF(ESTIMATIVA[[#This Row],[TP_CULTIVO]]="Irrigado",_xlfn.MAXIFS(IRRIGADO!J:J,IRRIGADO!C:C,ESTIMATIVA[[#This Row],[CD_UPNIVEL1]],IRRIGADO!E:E,ESTIMATIVA[[#This Row],[CD_UPNIVEL3]]),"")</f>
        <v/>
      </c>
      <c r="AJ9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5" s="1">
        <f>COUNTIFS(Apresentação!$E$23:$E$29,ESTIMATIVA[[#This Row],[CD_UPNIVEL1]])</f>
        <v>0</v>
      </c>
    </row>
    <row r="96" spans="1:37" x14ac:dyDescent="0.3">
      <c r="A96">
        <v>10327</v>
      </c>
      <c r="B96" t="s">
        <v>16</v>
      </c>
      <c r="C96">
        <v>66</v>
      </c>
      <c r="D96">
        <v>3</v>
      </c>
      <c r="E96" t="s">
        <v>263</v>
      </c>
      <c r="F96" s="85" t="s">
        <v>331</v>
      </c>
      <c r="G96"/>
      <c r="H96" t="s">
        <v>294</v>
      </c>
      <c r="I96" t="s">
        <v>200</v>
      </c>
      <c r="J96" t="s">
        <v>176</v>
      </c>
      <c r="K96" s="1">
        <v>7.67</v>
      </c>
      <c r="L96" s="1">
        <v>7.67</v>
      </c>
      <c r="M96" s="1">
        <v>0</v>
      </c>
      <c r="N96" s="1">
        <v>7.67</v>
      </c>
      <c r="O96" s="1">
        <v>651.95000000000005</v>
      </c>
      <c r="P96" s="1">
        <v>682.63</v>
      </c>
      <c r="Q96" s="1">
        <v>0</v>
      </c>
      <c r="R96" s="1">
        <v>682.49</v>
      </c>
      <c r="S96" t="s">
        <v>12</v>
      </c>
      <c r="T96" s="13">
        <v>45879</v>
      </c>
      <c r="U96" s="1" t="str">
        <f>IF(ESTIMATIVA[[#This Row],[QT_AREA_REAL]]&gt;0,"1- Colhido","2- à Colher")</f>
        <v>1- Colhido</v>
      </c>
      <c r="V96" s="1" t="str">
        <f>IF(ESTIMATIVA[[#This Row],[QT_AREA_REST1]]&gt;0,"Reestimativa 1",IF(ESTIMATIVA[[#This Row],[QT_AREA_REAL]]=0,"Reestimativa 1","Realizado"))</f>
        <v>Reestimativa 1</v>
      </c>
      <c r="W96" s="1" t="str">
        <f>IF(ESTIMATIVA[[#This Row],[QT_AREA_REST2]]&gt;0,"Reestimativa 2",IF(ESTIMATIVA[[#This Row],[QT_AREA_REAL]]=0,"Reestimativa 2","Realizado"))</f>
        <v>Realizado</v>
      </c>
      <c r="X96" s="1">
        <f>ESTIMATIVA[[#This Row],[QT_AREA_EST]]</f>
        <v>7.67</v>
      </c>
      <c r="Y96" s="1">
        <f>IF(ESTIMATIVA[[#This Row],[QT_AREA_REST1]]&gt;0,ESTIMATIVA[[#This Row],[QT_AREA_REST1]],
  IF(ESTIMATIVA[[#This Row],[QT_AREA_REAL]]&gt;0,ESTIMATIVA[[#This Row],[QT_AREA_REAL]],ESTIMATIVA[[#This Row],[QT_AREA_EST]]))</f>
        <v>7.67</v>
      </c>
      <c r="Z9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7.67</v>
      </c>
      <c r="AA96" s="1">
        <f>ESTIMATIVA[[#This Row],[QT_CANA_EST]]</f>
        <v>651.95000000000005</v>
      </c>
      <c r="AB96" s="1">
        <f>IF(ESTIMATIVA[[#This Row],[QT_CANA_REST1]]&gt;0,ESTIMATIVA[[#This Row],[QT_CANA_REST1]],
  IF(ESTIMATIVA[[#This Row],[QT_CANA_REAL]]&gt;0,ESTIMATIVA[[#This Row],[QT_CANA_REAL]],ESTIMATIVA[[#This Row],[QT_CANA_EST]]))</f>
        <v>682.63</v>
      </c>
      <c r="AC9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682.49</v>
      </c>
      <c r="AD96" s="1">
        <f>IF(ESTIMATIVA[[#This Row],[QT_AREA_REAL]]&gt;0,ESTIMATIVA[[#This Row],[QT_CANA_REAL]],ESTIMATIVA[[#This Row],[QT_CANA_EST]])</f>
        <v>682.49</v>
      </c>
      <c r="AE96" s="1">
        <f>IF(ESTIMATIVA[[#This Row],[QT_AREA_REAL]]&gt;0,ESTIMATIVA[[#This Row],[QT_CANA_REAL]],ESTIMATIVA[[#This Row],[QT_CANA_REST1]])</f>
        <v>682.49</v>
      </c>
      <c r="AF96" s="1">
        <f>IF(ESTIMATIVA[[#This Row],[QT_AREA_REAL]]&gt;0,ESTIMATIVA[[#This Row],[QT_CANA_REAL]],ESTIMATIVA[[#This Row],[QT_CANA_REST2]])</f>
        <v>682.49</v>
      </c>
      <c r="AG96" s="1" t="str">
        <f>IF(COUNTIFS(GEADA!A:A,VALUE(ESTIMATIVA[[#This Row],[CD_UPNIVEL1]]&amp;TEXT(ESTIMATIVA[[#This Row],[CD_UPNIVEL3]],"0000")))&gt;0,"S","N")</f>
        <v>N</v>
      </c>
      <c r="AH9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6" s="55" t="str">
        <f>IF(ESTIMATIVA[[#This Row],[TP_CULTIVO]]="Irrigado",_xlfn.MAXIFS(IRRIGADO!J:J,IRRIGADO!C:C,ESTIMATIVA[[#This Row],[CD_UPNIVEL1]],IRRIGADO!E:E,ESTIMATIVA[[#This Row],[CD_UPNIVEL3]]),"")</f>
        <v/>
      </c>
      <c r="AJ9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6" s="1">
        <f>COUNTIFS(Apresentação!$E$23:$E$29,ESTIMATIVA[[#This Row],[CD_UPNIVEL1]])</f>
        <v>0</v>
      </c>
    </row>
    <row r="97" spans="1:37" x14ac:dyDescent="0.3">
      <c r="A97">
        <v>10327</v>
      </c>
      <c r="B97" t="s">
        <v>16</v>
      </c>
      <c r="C97">
        <v>67</v>
      </c>
      <c r="D97">
        <v>3</v>
      </c>
      <c r="E97" t="s">
        <v>263</v>
      </c>
      <c r="F97" s="85" t="s">
        <v>331</v>
      </c>
      <c r="G97"/>
      <c r="H97" t="s">
        <v>294</v>
      </c>
      <c r="I97" t="s">
        <v>200</v>
      </c>
      <c r="J97" t="s">
        <v>176</v>
      </c>
      <c r="K97" s="1">
        <v>2.71</v>
      </c>
      <c r="L97" s="1">
        <v>2.71</v>
      </c>
      <c r="M97" s="1">
        <v>0</v>
      </c>
      <c r="N97" s="1">
        <v>2.71</v>
      </c>
      <c r="O97" s="1">
        <v>222.22</v>
      </c>
      <c r="P97" s="1">
        <v>238.48</v>
      </c>
      <c r="Q97" s="1">
        <v>0</v>
      </c>
      <c r="R97" s="1">
        <v>237.76</v>
      </c>
      <c r="S97" t="s">
        <v>12</v>
      </c>
      <c r="T97" s="13">
        <v>45879</v>
      </c>
      <c r="U97" s="1" t="str">
        <f>IF(ESTIMATIVA[[#This Row],[QT_AREA_REAL]]&gt;0,"1- Colhido","2- à Colher")</f>
        <v>1- Colhido</v>
      </c>
      <c r="V97" s="1" t="str">
        <f>IF(ESTIMATIVA[[#This Row],[QT_AREA_REST1]]&gt;0,"Reestimativa 1",IF(ESTIMATIVA[[#This Row],[QT_AREA_REAL]]=0,"Reestimativa 1","Realizado"))</f>
        <v>Reestimativa 1</v>
      </c>
      <c r="W97" s="1" t="str">
        <f>IF(ESTIMATIVA[[#This Row],[QT_AREA_REST2]]&gt;0,"Reestimativa 2",IF(ESTIMATIVA[[#This Row],[QT_AREA_REAL]]=0,"Reestimativa 2","Realizado"))</f>
        <v>Realizado</v>
      </c>
      <c r="X97" s="1">
        <f>ESTIMATIVA[[#This Row],[QT_AREA_EST]]</f>
        <v>2.71</v>
      </c>
      <c r="Y97" s="1">
        <f>IF(ESTIMATIVA[[#This Row],[QT_AREA_REST1]]&gt;0,ESTIMATIVA[[#This Row],[QT_AREA_REST1]],
  IF(ESTIMATIVA[[#This Row],[QT_AREA_REAL]]&gt;0,ESTIMATIVA[[#This Row],[QT_AREA_REAL]],ESTIMATIVA[[#This Row],[QT_AREA_EST]]))</f>
        <v>2.71</v>
      </c>
      <c r="Z9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2.71</v>
      </c>
      <c r="AA97" s="1">
        <f>ESTIMATIVA[[#This Row],[QT_CANA_EST]]</f>
        <v>222.22</v>
      </c>
      <c r="AB97" s="1">
        <f>IF(ESTIMATIVA[[#This Row],[QT_CANA_REST1]]&gt;0,ESTIMATIVA[[#This Row],[QT_CANA_REST1]],
  IF(ESTIMATIVA[[#This Row],[QT_CANA_REAL]]&gt;0,ESTIMATIVA[[#This Row],[QT_CANA_REAL]],ESTIMATIVA[[#This Row],[QT_CANA_EST]]))</f>
        <v>238.48</v>
      </c>
      <c r="AC9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237.76</v>
      </c>
      <c r="AD97" s="1">
        <f>IF(ESTIMATIVA[[#This Row],[QT_AREA_REAL]]&gt;0,ESTIMATIVA[[#This Row],[QT_CANA_REAL]],ESTIMATIVA[[#This Row],[QT_CANA_EST]])</f>
        <v>237.76</v>
      </c>
      <c r="AE97" s="1">
        <f>IF(ESTIMATIVA[[#This Row],[QT_AREA_REAL]]&gt;0,ESTIMATIVA[[#This Row],[QT_CANA_REAL]],ESTIMATIVA[[#This Row],[QT_CANA_REST1]])</f>
        <v>237.76</v>
      </c>
      <c r="AF97" s="1">
        <f>IF(ESTIMATIVA[[#This Row],[QT_AREA_REAL]]&gt;0,ESTIMATIVA[[#This Row],[QT_CANA_REAL]],ESTIMATIVA[[#This Row],[QT_CANA_REST2]])</f>
        <v>237.76</v>
      </c>
      <c r="AG97" s="1" t="str">
        <f>IF(COUNTIFS(GEADA!A:A,VALUE(ESTIMATIVA[[#This Row],[CD_UPNIVEL1]]&amp;TEXT(ESTIMATIVA[[#This Row],[CD_UPNIVEL3]],"0000")))&gt;0,"S","N")</f>
        <v>N</v>
      </c>
      <c r="AH9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7" s="55" t="str">
        <f>IF(ESTIMATIVA[[#This Row],[TP_CULTIVO]]="Irrigado",_xlfn.MAXIFS(IRRIGADO!J:J,IRRIGADO!C:C,ESTIMATIVA[[#This Row],[CD_UPNIVEL1]],IRRIGADO!E:E,ESTIMATIVA[[#This Row],[CD_UPNIVEL3]]),"")</f>
        <v/>
      </c>
      <c r="AJ9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7" s="1">
        <f>COUNTIFS(Apresentação!$E$23:$E$29,ESTIMATIVA[[#This Row],[CD_UPNIVEL1]])</f>
        <v>0</v>
      </c>
    </row>
    <row r="98" spans="1:37" x14ac:dyDescent="0.3">
      <c r="A98">
        <v>10327</v>
      </c>
      <c r="B98" t="s">
        <v>16</v>
      </c>
      <c r="C98">
        <v>68</v>
      </c>
      <c r="D98">
        <v>3</v>
      </c>
      <c r="E98" t="s">
        <v>263</v>
      </c>
      <c r="F98" s="85" t="s">
        <v>331</v>
      </c>
      <c r="G98"/>
      <c r="H98" t="s">
        <v>294</v>
      </c>
      <c r="I98" t="s">
        <v>200</v>
      </c>
      <c r="J98" t="s">
        <v>176</v>
      </c>
      <c r="K98" s="1">
        <v>2.09</v>
      </c>
      <c r="L98" s="1">
        <v>2.09</v>
      </c>
      <c r="M98" s="1">
        <v>0</v>
      </c>
      <c r="N98" s="1">
        <v>2.09</v>
      </c>
      <c r="O98" s="1">
        <v>171.38</v>
      </c>
      <c r="P98" s="1">
        <v>179.74</v>
      </c>
      <c r="Q98" s="1">
        <v>0</v>
      </c>
      <c r="R98" s="1">
        <v>179.8</v>
      </c>
      <c r="S98" t="s">
        <v>12</v>
      </c>
      <c r="T98" s="13">
        <v>45879</v>
      </c>
      <c r="U98" s="1" t="str">
        <f>IF(ESTIMATIVA[[#This Row],[QT_AREA_REAL]]&gt;0,"1- Colhido","2- à Colher")</f>
        <v>1- Colhido</v>
      </c>
      <c r="V98" s="1" t="str">
        <f>IF(ESTIMATIVA[[#This Row],[QT_AREA_REST1]]&gt;0,"Reestimativa 1",IF(ESTIMATIVA[[#This Row],[QT_AREA_REAL]]=0,"Reestimativa 1","Realizado"))</f>
        <v>Reestimativa 1</v>
      </c>
      <c r="W98" s="1" t="str">
        <f>IF(ESTIMATIVA[[#This Row],[QT_AREA_REST2]]&gt;0,"Reestimativa 2",IF(ESTIMATIVA[[#This Row],[QT_AREA_REAL]]=0,"Reestimativa 2","Realizado"))</f>
        <v>Realizado</v>
      </c>
      <c r="X98" s="1">
        <f>ESTIMATIVA[[#This Row],[QT_AREA_EST]]</f>
        <v>2.09</v>
      </c>
      <c r="Y98" s="1">
        <f>IF(ESTIMATIVA[[#This Row],[QT_AREA_REST1]]&gt;0,ESTIMATIVA[[#This Row],[QT_AREA_REST1]],
  IF(ESTIMATIVA[[#This Row],[QT_AREA_REAL]]&gt;0,ESTIMATIVA[[#This Row],[QT_AREA_REAL]],ESTIMATIVA[[#This Row],[QT_AREA_EST]]))</f>
        <v>2.09</v>
      </c>
      <c r="Z9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2.09</v>
      </c>
      <c r="AA98" s="1">
        <f>ESTIMATIVA[[#This Row],[QT_CANA_EST]]</f>
        <v>171.38</v>
      </c>
      <c r="AB98" s="1">
        <f>IF(ESTIMATIVA[[#This Row],[QT_CANA_REST1]]&gt;0,ESTIMATIVA[[#This Row],[QT_CANA_REST1]],
  IF(ESTIMATIVA[[#This Row],[QT_CANA_REAL]]&gt;0,ESTIMATIVA[[#This Row],[QT_CANA_REAL]],ESTIMATIVA[[#This Row],[QT_CANA_EST]]))</f>
        <v>179.74</v>
      </c>
      <c r="AC9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179.8</v>
      </c>
      <c r="AD98" s="1">
        <f>IF(ESTIMATIVA[[#This Row],[QT_AREA_REAL]]&gt;0,ESTIMATIVA[[#This Row],[QT_CANA_REAL]],ESTIMATIVA[[#This Row],[QT_CANA_EST]])</f>
        <v>179.8</v>
      </c>
      <c r="AE98" s="1">
        <f>IF(ESTIMATIVA[[#This Row],[QT_AREA_REAL]]&gt;0,ESTIMATIVA[[#This Row],[QT_CANA_REAL]],ESTIMATIVA[[#This Row],[QT_CANA_REST1]])</f>
        <v>179.8</v>
      </c>
      <c r="AF98" s="1">
        <f>IF(ESTIMATIVA[[#This Row],[QT_AREA_REAL]]&gt;0,ESTIMATIVA[[#This Row],[QT_CANA_REAL]],ESTIMATIVA[[#This Row],[QT_CANA_REST2]])</f>
        <v>179.8</v>
      </c>
      <c r="AG98" s="1" t="str">
        <f>IF(COUNTIFS(GEADA!A:A,VALUE(ESTIMATIVA[[#This Row],[CD_UPNIVEL1]]&amp;TEXT(ESTIMATIVA[[#This Row],[CD_UPNIVEL3]],"0000")))&gt;0,"S","N")</f>
        <v>N</v>
      </c>
      <c r="AH9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8" s="55" t="str">
        <f>IF(ESTIMATIVA[[#This Row],[TP_CULTIVO]]="Irrigado",_xlfn.MAXIFS(IRRIGADO!J:J,IRRIGADO!C:C,ESTIMATIVA[[#This Row],[CD_UPNIVEL1]],IRRIGADO!E:E,ESTIMATIVA[[#This Row],[CD_UPNIVEL3]]),"")</f>
        <v/>
      </c>
      <c r="AJ9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8" s="1">
        <f>COUNTIFS(Apresentação!$E$23:$E$29,ESTIMATIVA[[#This Row],[CD_UPNIVEL1]])</f>
        <v>0</v>
      </c>
    </row>
    <row r="99" spans="1:37" x14ac:dyDescent="0.3">
      <c r="A99">
        <v>10327</v>
      </c>
      <c r="B99" t="s">
        <v>16</v>
      </c>
      <c r="C99">
        <v>69</v>
      </c>
      <c r="D99">
        <v>3</v>
      </c>
      <c r="E99" t="s">
        <v>263</v>
      </c>
      <c r="F99" s="85" t="s">
        <v>331</v>
      </c>
      <c r="G99"/>
      <c r="H99" t="s">
        <v>294</v>
      </c>
      <c r="I99" t="s">
        <v>200</v>
      </c>
      <c r="J99" t="s">
        <v>176</v>
      </c>
      <c r="K99" s="1">
        <v>4.29</v>
      </c>
      <c r="L99" s="1">
        <v>4.29</v>
      </c>
      <c r="M99" s="1">
        <v>0</v>
      </c>
      <c r="N99" s="1">
        <v>4.29</v>
      </c>
      <c r="O99" s="1">
        <v>351.78</v>
      </c>
      <c r="P99" s="1">
        <v>368.94</v>
      </c>
      <c r="Q99" s="1">
        <v>0</v>
      </c>
      <c r="R99" s="1">
        <v>368.68</v>
      </c>
      <c r="S99" t="s">
        <v>12</v>
      </c>
      <c r="T99" s="13">
        <v>45879</v>
      </c>
      <c r="U99" s="1" t="str">
        <f>IF(ESTIMATIVA[[#This Row],[QT_AREA_REAL]]&gt;0,"1- Colhido","2- à Colher")</f>
        <v>1- Colhido</v>
      </c>
      <c r="V99" s="1" t="str">
        <f>IF(ESTIMATIVA[[#This Row],[QT_AREA_REST1]]&gt;0,"Reestimativa 1",IF(ESTIMATIVA[[#This Row],[QT_AREA_REAL]]=0,"Reestimativa 1","Realizado"))</f>
        <v>Reestimativa 1</v>
      </c>
      <c r="W99" s="1" t="str">
        <f>IF(ESTIMATIVA[[#This Row],[QT_AREA_REST2]]&gt;0,"Reestimativa 2",IF(ESTIMATIVA[[#This Row],[QT_AREA_REAL]]=0,"Reestimativa 2","Realizado"))</f>
        <v>Realizado</v>
      </c>
      <c r="X99" s="1">
        <f>ESTIMATIVA[[#This Row],[QT_AREA_EST]]</f>
        <v>4.29</v>
      </c>
      <c r="Y99" s="1">
        <f>IF(ESTIMATIVA[[#This Row],[QT_AREA_REST1]]&gt;0,ESTIMATIVA[[#This Row],[QT_AREA_REST1]],
  IF(ESTIMATIVA[[#This Row],[QT_AREA_REAL]]&gt;0,ESTIMATIVA[[#This Row],[QT_AREA_REAL]],ESTIMATIVA[[#This Row],[QT_AREA_EST]]))</f>
        <v>4.29</v>
      </c>
      <c r="Z9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4.29</v>
      </c>
      <c r="AA99" s="1">
        <f>ESTIMATIVA[[#This Row],[QT_CANA_EST]]</f>
        <v>351.78</v>
      </c>
      <c r="AB99" s="1">
        <f>IF(ESTIMATIVA[[#This Row],[QT_CANA_REST1]]&gt;0,ESTIMATIVA[[#This Row],[QT_CANA_REST1]],
  IF(ESTIMATIVA[[#This Row],[QT_CANA_REAL]]&gt;0,ESTIMATIVA[[#This Row],[QT_CANA_REAL]],ESTIMATIVA[[#This Row],[QT_CANA_EST]]))</f>
        <v>368.94</v>
      </c>
      <c r="AC9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368.68</v>
      </c>
      <c r="AD99" s="1">
        <f>IF(ESTIMATIVA[[#This Row],[QT_AREA_REAL]]&gt;0,ESTIMATIVA[[#This Row],[QT_CANA_REAL]],ESTIMATIVA[[#This Row],[QT_CANA_EST]])</f>
        <v>368.68</v>
      </c>
      <c r="AE99" s="1">
        <f>IF(ESTIMATIVA[[#This Row],[QT_AREA_REAL]]&gt;0,ESTIMATIVA[[#This Row],[QT_CANA_REAL]],ESTIMATIVA[[#This Row],[QT_CANA_REST1]])</f>
        <v>368.68</v>
      </c>
      <c r="AF99" s="1">
        <f>IF(ESTIMATIVA[[#This Row],[QT_AREA_REAL]]&gt;0,ESTIMATIVA[[#This Row],[QT_CANA_REAL]],ESTIMATIVA[[#This Row],[QT_CANA_REST2]])</f>
        <v>368.68</v>
      </c>
      <c r="AG99" s="1" t="str">
        <f>IF(COUNTIFS(GEADA!A:A,VALUE(ESTIMATIVA[[#This Row],[CD_UPNIVEL1]]&amp;TEXT(ESTIMATIVA[[#This Row],[CD_UPNIVEL3]],"0000")))&gt;0,"S","N")</f>
        <v>N</v>
      </c>
      <c r="AH9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9" s="55" t="str">
        <f>IF(ESTIMATIVA[[#This Row],[TP_CULTIVO]]="Irrigado",_xlfn.MAXIFS(IRRIGADO!J:J,IRRIGADO!C:C,ESTIMATIVA[[#This Row],[CD_UPNIVEL1]],IRRIGADO!E:E,ESTIMATIVA[[#This Row],[CD_UPNIVEL3]]),"")</f>
        <v/>
      </c>
      <c r="AJ9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9" s="1">
        <f>COUNTIFS(Apresentação!$E$23:$E$29,ESTIMATIVA[[#This Row],[CD_UPNIVEL1]])</f>
        <v>0</v>
      </c>
    </row>
    <row r="100" spans="1:37" x14ac:dyDescent="0.3">
      <c r="A100">
        <v>10327</v>
      </c>
      <c r="B100" t="s">
        <v>16</v>
      </c>
      <c r="C100">
        <v>70</v>
      </c>
      <c r="D100">
        <v>3</v>
      </c>
      <c r="E100" t="s">
        <v>263</v>
      </c>
      <c r="F100" s="85" t="s">
        <v>331</v>
      </c>
      <c r="G100"/>
      <c r="H100" t="s">
        <v>294</v>
      </c>
      <c r="I100" t="s">
        <v>200</v>
      </c>
      <c r="J100" t="s">
        <v>176</v>
      </c>
      <c r="K100" s="1">
        <v>2.57</v>
      </c>
      <c r="L100" s="1">
        <v>2.57</v>
      </c>
      <c r="M100" s="1">
        <v>0</v>
      </c>
      <c r="N100" s="1">
        <v>2.57</v>
      </c>
      <c r="O100" s="1">
        <v>197.89</v>
      </c>
      <c r="P100" s="1">
        <v>205.6</v>
      </c>
      <c r="Q100" s="1">
        <v>0</v>
      </c>
      <c r="R100" s="1">
        <v>206.84</v>
      </c>
      <c r="S100" t="s">
        <v>12</v>
      </c>
      <c r="T100" s="13">
        <v>45879</v>
      </c>
      <c r="U100" s="1" t="str">
        <f>IF(ESTIMATIVA[[#This Row],[QT_AREA_REAL]]&gt;0,"1- Colhido","2- à Colher")</f>
        <v>1- Colhido</v>
      </c>
      <c r="V100" s="1" t="str">
        <f>IF(ESTIMATIVA[[#This Row],[QT_AREA_REST1]]&gt;0,"Reestimativa 1",IF(ESTIMATIVA[[#This Row],[QT_AREA_REAL]]=0,"Reestimativa 1","Realizado"))</f>
        <v>Reestimativa 1</v>
      </c>
      <c r="W100" s="1" t="str">
        <f>IF(ESTIMATIVA[[#This Row],[QT_AREA_REST2]]&gt;0,"Reestimativa 2",IF(ESTIMATIVA[[#This Row],[QT_AREA_REAL]]=0,"Reestimativa 2","Realizado"))</f>
        <v>Realizado</v>
      </c>
      <c r="X100" s="1">
        <f>ESTIMATIVA[[#This Row],[QT_AREA_EST]]</f>
        <v>2.57</v>
      </c>
      <c r="Y100" s="1">
        <f>IF(ESTIMATIVA[[#This Row],[QT_AREA_REST1]]&gt;0,ESTIMATIVA[[#This Row],[QT_AREA_REST1]],
  IF(ESTIMATIVA[[#This Row],[QT_AREA_REAL]]&gt;0,ESTIMATIVA[[#This Row],[QT_AREA_REAL]],ESTIMATIVA[[#This Row],[QT_AREA_EST]]))</f>
        <v>2.57</v>
      </c>
      <c r="Z10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2.57</v>
      </c>
      <c r="AA100" s="1">
        <f>ESTIMATIVA[[#This Row],[QT_CANA_EST]]</f>
        <v>197.89</v>
      </c>
      <c r="AB100" s="1">
        <f>IF(ESTIMATIVA[[#This Row],[QT_CANA_REST1]]&gt;0,ESTIMATIVA[[#This Row],[QT_CANA_REST1]],
  IF(ESTIMATIVA[[#This Row],[QT_CANA_REAL]]&gt;0,ESTIMATIVA[[#This Row],[QT_CANA_REAL]],ESTIMATIVA[[#This Row],[QT_CANA_EST]]))</f>
        <v>205.6</v>
      </c>
      <c r="AC10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206.84</v>
      </c>
      <c r="AD100" s="1">
        <f>IF(ESTIMATIVA[[#This Row],[QT_AREA_REAL]]&gt;0,ESTIMATIVA[[#This Row],[QT_CANA_REAL]],ESTIMATIVA[[#This Row],[QT_CANA_EST]])</f>
        <v>206.84</v>
      </c>
      <c r="AE100" s="1">
        <f>IF(ESTIMATIVA[[#This Row],[QT_AREA_REAL]]&gt;0,ESTIMATIVA[[#This Row],[QT_CANA_REAL]],ESTIMATIVA[[#This Row],[QT_CANA_REST1]])</f>
        <v>206.84</v>
      </c>
      <c r="AF100" s="1">
        <f>IF(ESTIMATIVA[[#This Row],[QT_AREA_REAL]]&gt;0,ESTIMATIVA[[#This Row],[QT_CANA_REAL]],ESTIMATIVA[[#This Row],[QT_CANA_REST2]])</f>
        <v>206.84</v>
      </c>
      <c r="AG100" s="1" t="str">
        <f>IF(COUNTIFS(GEADA!A:A,VALUE(ESTIMATIVA[[#This Row],[CD_UPNIVEL1]]&amp;TEXT(ESTIMATIVA[[#This Row],[CD_UPNIVEL3]],"0000")))&gt;0,"S","N")</f>
        <v>N</v>
      </c>
      <c r="AH10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0" s="55" t="str">
        <f>IF(ESTIMATIVA[[#This Row],[TP_CULTIVO]]="Irrigado",_xlfn.MAXIFS(IRRIGADO!J:J,IRRIGADO!C:C,ESTIMATIVA[[#This Row],[CD_UPNIVEL1]],IRRIGADO!E:E,ESTIMATIVA[[#This Row],[CD_UPNIVEL3]]),"")</f>
        <v/>
      </c>
      <c r="AJ10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0" s="1">
        <f>COUNTIFS(Apresentação!$E$23:$E$29,ESTIMATIVA[[#This Row],[CD_UPNIVEL1]])</f>
        <v>0</v>
      </c>
    </row>
    <row r="101" spans="1:37" x14ac:dyDescent="0.3">
      <c r="A101">
        <v>10328</v>
      </c>
      <c r="B101" t="s">
        <v>17</v>
      </c>
      <c r="C101">
        <v>1</v>
      </c>
      <c r="D101">
        <v>3</v>
      </c>
      <c r="E101" t="s">
        <v>263</v>
      </c>
      <c r="F101" s="85" t="s">
        <v>333</v>
      </c>
      <c r="G101"/>
      <c r="H101" t="s">
        <v>294</v>
      </c>
      <c r="I101" t="s">
        <v>198</v>
      </c>
      <c r="J101" t="s">
        <v>176</v>
      </c>
      <c r="K101" s="1">
        <v>3.81</v>
      </c>
      <c r="L101" s="1">
        <v>3.81</v>
      </c>
      <c r="M101" s="1">
        <v>3.81</v>
      </c>
      <c r="N101" s="1">
        <v>3.81</v>
      </c>
      <c r="O101" s="1">
        <v>297.18</v>
      </c>
      <c r="P101" s="1">
        <v>297.18</v>
      </c>
      <c r="Q101" s="1">
        <v>228.6</v>
      </c>
      <c r="R101" s="1">
        <v>98.19</v>
      </c>
      <c r="S101" t="s">
        <v>12</v>
      </c>
      <c r="T101" s="13">
        <v>45977</v>
      </c>
      <c r="U101" s="1" t="str">
        <f>IF(ESTIMATIVA[[#This Row],[QT_AREA_REAL]]&gt;0,"1- Colhido","2- à Colher")</f>
        <v>1- Colhido</v>
      </c>
      <c r="V101" s="1" t="str">
        <f>IF(ESTIMATIVA[[#This Row],[QT_AREA_REST1]]&gt;0,"Reestimativa 1",IF(ESTIMATIVA[[#This Row],[QT_AREA_REAL]]=0,"Reestimativa 1","Realizado"))</f>
        <v>Reestimativa 1</v>
      </c>
      <c r="W101" s="1" t="str">
        <f>IF(ESTIMATIVA[[#This Row],[QT_AREA_REST2]]&gt;0,"Reestimativa 2",IF(ESTIMATIVA[[#This Row],[QT_AREA_REAL]]=0,"Reestimativa 2","Realizado"))</f>
        <v>Reestimativa 2</v>
      </c>
      <c r="X101" s="1">
        <f>ESTIMATIVA[[#This Row],[QT_AREA_EST]]</f>
        <v>3.81</v>
      </c>
      <c r="Y101" s="1">
        <f>IF(ESTIMATIVA[[#This Row],[QT_AREA_REST1]]&gt;0,ESTIMATIVA[[#This Row],[QT_AREA_REST1]],
  IF(ESTIMATIVA[[#This Row],[QT_AREA_REAL]]&gt;0,ESTIMATIVA[[#This Row],[QT_AREA_REAL]],ESTIMATIVA[[#This Row],[QT_AREA_EST]]))</f>
        <v>3.81</v>
      </c>
      <c r="Z10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3.81</v>
      </c>
      <c r="AA101" s="1">
        <f>ESTIMATIVA[[#This Row],[QT_CANA_EST]]</f>
        <v>297.18</v>
      </c>
      <c r="AB101" s="1">
        <f>IF(ESTIMATIVA[[#This Row],[QT_CANA_REST1]]&gt;0,ESTIMATIVA[[#This Row],[QT_CANA_REST1]],
  IF(ESTIMATIVA[[#This Row],[QT_CANA_REAL]]&gt;0,ESTIMATIVA[[#This Row],[QT_CANA_REAL]],ESTIMATIVA[[#This Row],[QT_CANA_EST]]))</f>
        <v>297.18</v>
      </c>
      <c r="AC10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228.6</v>
      </c>
      <c r="AD101" s="1">
        <f>IF(ESTIMATIVA[[#This Row],[QT_AREA_REAL]]&gt;0,ESTIMATIVA[[#This Row],[QT_CANA_REAL]],ESTIMATIVA[[#This Row],[QT_CANA_EST]])</f>
        <v>98.19</v>
      </c>
      <c r="AE101" s="1">
        <f>IF(ESTIMATIVA[[#This Row],[QT_AREA_REAL]]&gt;0,ESTIMATIVA[[#This Row],[QT_CANA_REAL]],ESTIMATIVA[[#This Row],[QT_CANA_REST1]])</f>
        <v>98.19</v>
      </c>
      <c r="AF101" s="1">
        <f>IF(ESTIMATIVA[[#This Row],[QT_AREA_REAL]]&gt;0,ESTIMATIVA[[#This Row],[QT_CANA_REAL]],ESTIMATIVA[[#This Row],[QT_CANA_REST2]])</f>
        <v>98.19</v>
      </c>
      <c r="AG101" s="1" t="str">
        <f>IF(COUNTIFS(GEADA!A:A,VALUE(ESTIMATIVA[[#This Row],[CD_UPNIVEL1]]&amp;TEXT(ESTIMATIVA[[#This Row],[CD_UPNIVEL3]],"0000")))&gt;0,"S","N")</f>
        <v>N</v>
      </c>
      <c r="AH10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1" s="55" t="str">
        <f>IF(ESTIMATIVA[[#This Row],[TP_CULTIVO]]="Irrigado",_xlfn.MAXIFS(IRRIGADO!J:J,IRRIGADO!C:C,ESTIMATIVA[[#This Row],[CD_UPNIVEL1]],IRRIGADO!E:E,ESTIMATIVA[[#This Row],[CD_UPNIVEL3]]),"")</f>
        <v/>
      </c>
      <c r="AJ10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1" s="1">
        <f>COUNTIFS(Apresentação!$E$23:$E$29,ESTIMATIVA[[#This Row],[CD_UPNIVEL1]])</f>
        <v>0</v>
      </c>
    </row>
    <row r="102" spans="1:37" x14ac:dyDescent="0.3">
      <c r="A102">
        <v>10328</v>
      </c>
      <c r="B102" t="s">
        <v>17</v>
      </c>
      <c r="C102">
        <v>2</v>
      </c>
      <c r="D102">
        <v>3</v>
      </c>
      <c r="E102" t="s">
        <v>263</v>
      </c>
      <c r="F102" s="85" t="s">
        <v>333</v>
      </c>
      <c r="G102"/>
      <c r="H102" t="s">
        <v>294</v>
      </c>
      <c r="I102" t="s">
        <v>198</v>
      </c>
      <c r="J102" t="s">
        <v>176</v>
      </c>
      <c r="K102" s="1">
        <v>15.86</v>
      </c>
      <c r="L102" s="1">
        <v>0</v>
      </c>
      <c r="M102" s="1">
        <v>0</v>
      </c>
      <c r="N102" s="1">
        <v>15.86</v>
      </c>
      <c r="O102" s="1">
        <v>1141.92</v>
      </c>
      <c r="P102" s="1">
        <v>0</v>
      </c>
      <c r="Q102" s="1">
        <v>0</v>
      </c>
      <c r="R102" s="1">
        <v>1102.8</v>
      </c>
      <c r="S102" t="s">
        <v>12</v>
      </c>
      <c r="T102" s="13">
        <v>45753</v>
      </c>
      <c r="U102" s="1" t="str">
        <f>IF(ESTIMATIVA[[#This Row],[QT_AREA_REAL]]&gt;0,"1- Colhido","2- à Colher")</f>
        <v>1- Colhido</v>
      </c>
      <c r="V102" s="1" t="str">
        <f>IF(ESTIMATIVA[[#This Row],[QT_AREA_REST1]]&gt;0,"Reestimativa 1",IF(ESTIMATIVA[[#This Row],[QT_AREA_REAL]]=0,"Reestimativa 1","Realizado"))</f>
        <v>Realizado</v>
      </c>
      <c r="W102" s="1" t="str">
        <f>IF(ESTIMATIVA[[#This Row],[QT_AREA_REST2]]&gt;0,"Reestimativa 2",IF(ESTIMATIVA[[#This Row],[QT_AREA_REAL]]=0,"Reestimativa 2","Realizado"))</f>
        <v>Realizado</v>
      </c>
      <c r="X102" s="1">
        <f>ESTIMATIVA[[#This Row],[QT_AREA_EST]]</f>
        <v>15.86</v>
      </c>
      <c r="Y102" s="1">
        <f>IF(ESTIMATIVA[[#This Row],[QT_AREA_REST1]]&gt;0,ESTIMATIVA[[#This Row],[QT_AREA_REST1]],
  IF(ESTIMATIVA[[#This Row],[QT_AREA_REAL]]&gt;0,ESTIMATIVA[[#This Row],[QT_AREA_REAL]],ESTIMATIVA[[#This Row],[QT_AREA_EST]]))</f>
        <v>15.86</v>
      </c>
      <c r="Z10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15.86</v>
      </c>
      <c r="AA102" s="1">
        <f>ESTIMATIVA[[#This Row],[QT_CANA_EST]]</f>
        <v>1141.92</v>
      </c>
      <c r="AB102" s="1">
        <f>IF(ESTIMATIVA[[#This Row],[QT_CANA_REST1]]&gt;0,ESTIMATIVA[[#This Row],[QT_CANA_REST1]],
  IF(ESTIMATIVA[[#This Row],[QT_CANA_REAL]]&gt;0,ESTIMATIVA[[#This Row],[QT_CANA_REAL]],ESTIMATIVA[[#This Row],[QT_CANA_EST]]))</f>
        <v>1102.8</v>
      </c>
      <c r="AC10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1102.8</v>
      </c>
      <c r="AD102" s="1">
        <f>IF(ESTIMATIVA[[#This Row],[QT_AREA_REAL]]&gt;0,ESTIMATIVA[[#This Row],[QT_CANA_REAL]],ESTIMATIVA[[#This Row],[QT_CANA_EST]])</f>
        <v>1102.8</v>
      </c>
      <c r="AE102" s="1">
        <f>IF(ESTIMATIVA[[#This Row],[QT_AREA_REAL]]&gt;0,ESTIMATIVA[[#This Row],[QT_CANA_REAL]],ESTIMATIVA[[#This Row],[QT_CANA_REST1]])</f>
        <v>1102.8</v>
      </c>
      <c r="AF102" s="1">
        <f>IF(ESTIMATIVA[[#This Row],[QT_AREA_REAL]]&gt;0,ESTIMATIVA[[#This Row],[QT_CANA_REAL]],ESTIMATIVA[[#This Row],[QT_CANA_REST2]])</f>
        <v>1102.8</v>
      </c>
      <c r="AG102" s="1" t="str">
        <f>IF(COUNTIFS(GEADA!A:A,VALUE(ESTIMATIVA[[#This Row],[CD_UPNIVEL1]]&amp;TEXT(ESTIMATIVA[[#This Row],[CD_UPNIVEL3]],"0000")))&gt;0,"S","N")</f>
        <v>N</v>
      </c>
      <c r="AH10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2" s="55" t="str">
        <f>IF(ESTIMATIVA[[#This Row],[TP_CULTIVO]]="Irrigado",_xlfn.MAXIFS(IRRIGADO!J:J,IRRIGADO!C:C,ESTIMATIVA[[#This Row],[CD_UPNIVEL1]],IRRIGADO!E:E,ESTIMATIVA[[#This Row],[CD_UPNIVEL3]]),"")</f>
        <v/>
      </c>
      <c r="AJ10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2" s="1">
        <f>COUNTIFS(Apresentação!$E$23:$E$29,ESTIMATIVA[[#This Row],[CD_UPNIVEL1]])</f>
        <v>0</v>
      </c>
    </row>
    <row r="103" spans="1:37" x14ac:dyDescent="0.3">
      <c r="A103">
        <v>10328</v>
      </c>
      <c r="B103" t="s">
        <v>17</v>
      </c>
      <c r="C103">
        <v>3</v>
      </c>
      <c r="D103">
        <v>3</v>
      </c>
      <c r="E103" t="s">
        <v>263</v>
      </c>
      <c r="F103" s="85" t="s">
        <v>333</v>
      </c>
      <c r="G103"/>
      <c r="H103" t="s">
        <v>294</v>
      </c>
      <c r="I103" t="s">
        <v>198</v>
      </c>
      <c r="J103" t="s">
        <v>176</v>
      </c>
      <c r="K103" s="1">
        <v>26.39</v>
      </c>
      <c r="L103" s="1">
        <v>0</v>
      </c>
      <c r="M103" s="1">
        <v>0</v>
      </c>
      <c r="N103" s="1">
        <v>26.39</v>
      </c>
      <c r="O103" s="1">
        <v>1900.08</v>
      </c>
      <c r="P103" s="1">
        <v>0</v>
      </c>
      <c r="Q103" s="1">
        <v>0</v>
      </c>
      <c r="R103" s="1">
        <v>1834.84</v>
      </c>
      <c r="S103" t="s">
        <v>12</v>
      </c>
      <c r="T103" s="13">
        <v>45753</v>
      </c>
      <c r="U103" s="1" t="str">
        <f>IF(ESTIMATIVA[[#This Row],[QT_AREA_REAL]]&gt;0,"1- Colhido","2- à Colher")</f>
        <v>1- Colhido</v>
      </c>
      <c r="V103" s="1" t="str">
        <f>IF(ESTIMATIVA[[#This Row],[QT_AREA_REST1]]&gt;0,"Reestimativa 1",IF(ESTIMATIVA[[#This Row],[QT_AREA_REAL]]=0,"Reestimativa 1","Realizado"))</f>
        <v>Realizado</v>
      </c>
      <c r="W103" s="1" t="str">
        <f>IF(ESTIMATIVA[[#This Row],[QT_AREA_REST2]]&gt;0,"Reestimativa 2",IF(ESTIMATIVA[[#This Row],[QT_AREA_REAL]]=0,"Reestimativa 2","Realizado"))</f>
        <v>Realizado</v>
      </c>
      <c r="X103" s="1">
        <f>ESTIMATIVA[[#This Row],[QT_AREA_EST]]</f>
        <v>26.39</v>
      </c>
      <c r="Y103" s="1">
        <f>IF(ESTIMATIVA[[#This Row],[QT_AREA_REST1]]&gt;0,ESTIMATIVA[[#This Row],[QT_AREA_REST1]],
  IF(ESTIMATIVA[[#This Row],[QT_AREA_REAL]]&gt;0,ESTIMATIVA[[#This Row],[QT_AREA_REAL]],ESTIMATIVA[[#This Row],[QT_AREA_EST]]))</f>
        <v>26.39</v>
      </c>
      <c r="Z10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26.39</v>
      </c>
      <c r="AA103" s="1">
        <f>ESTIMATIVA[[#This Row],[QT_CANA_EST]]</f>
        <v>1900.08</v>
      </c>
      <c r="AB103" s="1">
        <f>IF(ESTIMATIVA[[#This Row],[QT_CANA_REST1]]&gt;0,ESTIMATIVA[[#This Row],[QT_CANA_REST1]],
  IF(ESTIMATIVA[[#This Row],[QT_CANA_REAL]]&gt;0,ESTIMATIVA[[#This Row],[QT_CANA_REAL]],ESTIMATIVA[[#This Row],[QT_CANA_EST]]))</f>
        <v>1834.84</v>
      </c>
      <c r="AC10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1834.84</v>
      </c>
      <c r="AD103" s="1">
        <f>IF(ESTIMATIVA[[#This Row],[QT_AREA_REAL]]&gt;0,ESTIMATIVA[[#This Row],[QT_CANA_REAL]],ESTIMATIVA[[#This Row],[QT_CANA_EST]])</f>
        <v>1834.84</v>
      </c>
      <c r="AE103" s="1">
        <f>IF(ESTIMATIVA[[#This Row],[QT_AREA_REAL]]&gt;0,ESTIMATIVA[[#This Row],[QT_CANA_REAL]],ESTIMATIVA[[#This Row],[QT_CANA_REST1]])</f>
        <v>1834.84</v>
      </c>
      <c r="AF103" s="1">
        <f>IF(ESTIMATIVA[[#This Row],[QT_AREA_REAL]]&gt;0,ESTIMATIVA[[#This Row],[QT_CANA_REAL]],ESTIMATIVA[[#This Row],[QT_CANA_REST2]])</f>
        <v>1834.84</v>
      </c>
      <c r="AG103" s="1" t="str">
        <f>IF(COUNTIFS(GEADA!A:A,VALUE(ESTIMATIVA[[#This Row],[CD_UPNIVEL1]]&amp;TEXT(ESTIMATIVA[[#This Row],[CD_UPNIVEL3]],"0000")))&gt;0,"S","N")</f>
        <v>N</v>
      </c>
      <c r="AH10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3" s="55" t="str">
        <f>IF(ESTIMATIVA[[#This Row],[TP_CULTIVO]]="Irrigado",_xlfn.MAXIFS(IRRIGADO!J:J,IRRIGADO!C:C,ESTIMATIVA[[#This Row],[CD_UPNIVEL1]],IRRIGADO!E:E,ESTIMATIVA[[#This Row],[CD_UPNIVEL3]]),"")</f>
        <v/>
      </c>
      <c r="AJ10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3" s="1">
        <f>COUNTIFS(Apresentação!$E$23:$E$29,ESTIMATIVA[[#This Row],[CD_UPNIVEL1]])</f>
        <v>0</v>
      </c>
    </row>
    <row r="104" spans="1:37" x14ac:dyDescent="0.3">
      <c r="A104">
        <v>10328</v>
      </c>
      <c r="B104" t="s">
        <v>17</v>
      </c>
      <c r="C104">
        <v>4</v>
      </c>
      <c r="D104">
        <v>3</v>
      </c>
      <c r="E104" t="s">
        <v>263</v>
      </c>
      <c r="F104" s="85" t="s">
        <v>333</v>
      </c>
      <c r="G104"/>
      <c r="H104" t="s">
        <v>294</v>
      </c>
      <c r="I104" t="s">
        <v>198</v>
      </c>
      <c r="J104" t="s">
        <v>176</v>
      </c>
      <c r="K104" s="1">
        <v>9.4600000000000009</v>
      </c>
      <c r="L104" s="1">
        <v>0</v>
      </c>
      <c r="M104" s="1">
        <v>0</v>
      </c>
      <c r="N104" s="1">
        <v>9.4600000000000009</v>
      </c>
      <c r="O104" s="1">
        <v>681.12</v>
      </c>
      <c r="P104" s="1">
        <v>0</v>
      </c>
      <c r="Q104" s="1">
        <v>0</v>
      </c>
      <c r="R104" s="1">
        <v>657.59</v>
      </c>
      <c r="S104" t="s">
        <v>12</v>
      </c>
      <c r="T104" s="13">
        <v>45753</v>
      </c>
      <c r="U104" s="1" t="str">
        <f>IF(ESTIMATIVA[[#This Row],[QT_AREA_REAL]]&gt;0,"1- Colhido","2- à Colher")</f>
        <v>1- Colhido</v>
      </c>
      <c r="V104" s="1" t="str">
        <f>IF(ESTIMATIVA[[#This Row],[QT_AREA_REST1]]&gt;0,"Reestimativa 1",IF(ESTIMATIVA[[#This Row],[QT_AREA_REAL]]=0,"Reestimativa 1","Realizado"))</f>
        <v>Realizado</v>
      </c>
      <c r="W104" s="1" t="str">
        <f>IF(ESTIMATIVA[[#This Row],[QT_AREA_REST2]]&gt;0,"Reestimativa 2",IF(ESTIMATIVA[[#This Row],[QT_AREA_REAL]]=0,"Reestimativa 2","Realizado"))</f>
        <v>Realizado</v>
      </c>
      <c r="X104" s="1">
        <f>ESTIMATIVA[[#This Row],[QT_AREA_EST]]</f>
        <v>9.4600000000000009</v>
      </c>
      <c r="Y104" s="1">
        <f>IF(ESTIMATIVA[[#This Row],[QT_AREA_REST1]]&gt;0,ESTIMATIVA[[#This Row],[QT_AREA_REST1]],
  IF(ESTIMATIVA[[#This Row],[QT_AREA_REAL]]&gt;0,ESTIMATIVA[[#This Row],[QT_AREA_REAL]],ESTIMATIVA[[#This Row],[QT_AREA_EST]]))</f>
        <v>9.4600000000000009</v>
      </c>
      <c r="Z10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9.4600000000000009</v>
      </c>
      <c r="AA104" s="1">
        <f>ESTIMATIVA[[#This Row],[QT_CANA_EST]]</f>
        <v>681.12</v>
      </c>
      <c r="AB104" s="1">
        <f>IF(ESTIMATIVA[[#This Row],[QT_CANA_REST1]]&gt;0,ESTIMATIVA[[#This Row],[QT_CANA_REST1]],
  IF(ESTIMATIVA[[#This Row],[QT_CANA_REAL]]&gt;0,ESTIMATIVA[[#This Row],[QT_CANA_REAL]],ESTIMATIVA[[#This Row],[QT_CANA_EST]]))</f>
        <v>657.59</v>
      </c>
      <c r="AC10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657.59</v>
      </c>
      <c r="AD104" s="1">
        <f>IF(ESTIMATIVA[[#This Row],[QT_AREA_REAL]]&gt;0,ESTIMATIVA[[#This Row],[QT_CANA_REAL]],ESTIMATIVA[[#This Row],[QT_CANA_EST]])</f>
        <v>657.59</v>
      </c>
      <c r="AE104" s="1">
        <f>IF(ESTIMATIVA[[#This Row],[QT_AREA_REAL]]&gt;0,ESTIMATIVA[[#This Row],[QT_CANA_REAL]],ESTIMATIVA[[#This Row],[QT_CANA_REST1]])</f>
        <v>657.59</v>
      </c>
      <c r="AF104" s="1">
        <f>IF(ESTIMATIVA[[#This Row],[QT_AREA_REAL]]&gt;0,ESTIMATIVA[[#This Row],[QT_CANA_REAL]],ESTIMATIVA[[#This Row],[QT_CANA_REST2]])</f>
        <v>657.59</v>
      </c>
      <c r="AG104" s="1" t="str">
        <f>IF(COUNTIFS(GEADA!A:A,VALUE(ESTIMATIVA[[#This Row],[CD_UPNIVEL1]]&amp;TEXT(ESTIMATIVA[[#This Row],[CD_UPNIVEL3]],"0000")))&gt;0,"S","N")</f>
        <v>N</v>
      </c>
      <c r="AH10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4" s="55" t="str">
        <f>IF(ESTIMATIVA[[#This Row],[TP_CULTIVO]]="Irrigado",_xlfn.MAXIFS(IRRIGADO!J:J,IRRIGADO!C:C,ESTIMATIVA[[#This Row],[CD_UPNIVEL1]],IRRIGADO!E:E,ESTIMATIVA[[#This Row],[CD_UPNIVEL3]]),"")</f>
        <v/>
      </c>
      <c r="AJ10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4" s="1">
        <f>COUNTIFS(Apresentação!$E$23:$E$29,ESTIMATIVA[[#This Row],[CD_UPNIVEL1]])</f>
        <v>0</v>
      </c>
    </row>
    <row r="105" spans="1:37" x14ac:dyDescent="0.3">
      <c r="A105">
        <v>10328</v>
      </c>
      <c r="B105" t="s">
        <v>17</v>
      </c>
      <c r="C105">
        <v>5</v>
      </c>
      <c r="D105">
        <v>3</v>
      </c>
      <c r="E105" t="s">
        <v>263</v>
      </c>
      <c r="F105" s="85" t="s">
        <v>333</v>
      </c>
      <c r="G105"/>
      <c r="H105" t="s">
        <v>294</v>
      </c>
      <c r="I105" t="s">
        <v>198</v>
      </c>
      <c r="J105" t="s">
        <v>176</v>
      </c>
      <c r="K105" s="1">
        <v>2.0299999999999998</v>
      </c>
      <c r="L105" s="1">
        <v>0</v>
      </c>
      <c r="M105" s="1">
        <v>0</v>
      </c>
      <c r="N105" s="1">
        <v>2.0299999999999998</v>
      </c>
      <c r="O105" s="1">
        <v>146.16</v>
      </c>
      <c r="P105" s="1">
        <v>0</v>
      </c>
      <c r="Q105" s="1">
        <v>0</v>
      </c>
      <c r="R105" s="1">
        <v>140.9</v>
      </c>
      <c r="S105" t="s">
        <v>12</v>
      </c>
      <c r="T105" s="13">
        <v>45753</v>
      </c>
      <c r="U105" s="1" t="str">
        <f>IF(ESTIMATIVA[[#This Row],[QT_AREA_REAL]]&gt;0,"1- Colhido","2- à Colher")</f>
        <v>1- Colhido</v>
      </c>
      <c r="V105" s="1" t="str">
        <f>IF(ESTIMATIVA[[#This Row],[QT_AREA_REST1]]&gt;0,"Reestimativa 1",IF(ESTIMATIVA[[#This Row],[QT_AREA_REAL]]=0,"Reestimativa 1","Realizado"))</f>
        <v>Realizado</v>
      </c>
      <c r="W105" s="1" t="str">
        <f>IF(ESTIMATIVA[[#This Row],[QT_AREA_REST2]]&gt;0,"Reestimativa 2",IF(ESTIMATIVA[[#This Row],[QT_AREA_REAL]]=0,"Reestimativa 2","Realizado"))</f>
        <v>Realizado</v>
      </c>
      <c r="X105" s="1">
        <f>ESTIMATIVA[[#This Row],[QT_AREA_EST]]</f>
        <v>2.0299999999999998</v>
      </c>
      <c r="Y105" s="1">
        <f>IF(ESTIMATIVA[[#This Row],[QT_AREA_REST1]]&gt;0,ESTIMATIVA[[#This Row],[QT_AREA_REST1]],
  IF(ESTIMATIVA[[#This Row],[QT_AREA_REAL]]&gt;0,ESTIMATIVA[[#This Row],[QT_AREA_REAL]],ESTIMATIVA[[#This Row],[QT_AREA_EST]]))</f>
        <v>2.0299999999999998</v>
      </c>
      <c r="Z10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2.0299999999999998</v>
      </c>
      <c r="AA105" s="1">
        <f>ESTIMATIVA[[#This Row],[QT_CANA_EST]]</f>
        <v>146.16</v>
      </c>
      <c r="AB105" s="1">
        <f>IF(ESTIMATIVA[[#This Row],[QT_CANA_REST1]]&gt;0,ESTIMATIVA[[#This Row],[QT_CANA_REST1]],
  IF(ESTIMATIVA[[#This Row],[QT_CANA_REAL]]&gt;0,ESTIMATIVA[[#This Row],[QT_CANA_REAL]],ESTIMATIVA[[#This Row],[QT_CANA_EST]]))</f>
        <v>140.9</v>
      </c>
      <c r="AC10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140.9</v>
      </c>
      <c r="AD105" s="1">
        <f>IF(ESTIMATIVA[[#This Row],[QT_AREA_REAL]]&gt;0,ESTIMATIVA[[#This Row],[QT_CANA_REAL]],ESTIMATIVA[[#This Row],[QT_CANA_EST]])</f>
        <v>140.9</v>
      </c>
      <c r="AE105" s="1">
        <f>IF(ESTIMATIVA[[#This Row],[QT_AREA_REAL]]&gt;0,ESTIMATIVA[[#This Row],[QT_CANA_REAL]],ESTIMATIVA[[#This Row],[QT_CANA_REST1]])</f>
        <v>140.9</v>
      </c>
      <c r="AF105" s="1">
        <f>IF(ESTIMATIVA[[#This Row],[QT_AREA_REAL]]&gt;0,ESTIMATIVA[[#This Row],[QT_CANA_REAL]],ESTIMATIVA[[#This Row],[QT_CANA_REST2]])</f>
        <v>140.9</v>
      </c>
      <c r="AG105" s="1" t="str">
        <f>IF(COUNTIFS(GEADA!A:A,VALUE(ESTIMATIVA[[#This Row],[CD_UPNIVEL1]]&amp;TEXT(ESTIMATIVA[[#This Row],[CD_UPNIVEL3]],"0000")))&gt;0,"S","N")</f>
        <v>N</v>
      </c>
      <c r="AH10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5" s="55" t="str">
        <f>IF(ESTIMATIVA[[#This Row],[TP_CULTIVO]]="Irrigado",_xlfn.MAXIFS(IRRIGADO!J:J,IRRIGADO!C:C,ESTIMATIVA[[#This Row],[CD_UPNIVEL1]],IRRIGADO!E:E,ESTIMATIVA[[#This Row],[CD_UPNIVEL3]]),"")</f>
        <v/>
      </c>
      <c r="AJ10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5" s="1">
        <f>COUNTIFS(Apresentação!$E$23:$E$29,ESTIMATIVA[[#This Row],[CD_UPNIVEL1]])</f>
        <v>0</v>
      </c>
    </row>
    <row r="106" spans="1:37" x14ac:dyDescent="0.3">
      <c r="A106">
        <v>10328</v>
      </c>
      <c r="B106" t="s">
        <v>17</v>
      </c>
      <c r="C106">
        <v>6</v>
      </c>
      <c r="D106">
        <v>2</v>
      </c>
      <c r="E106" t="s">
        <v>266</v>
      </c>
      <c r="F106" s="85" t="s">
        <v>331</v>
      </c>
      <c r="G106"/>
      <c r="H106" t="s">
        <v>294</v>
      </c>
      <c r="I106" t="s">
        <v>198</v>
      </c>
      <c r="J106" t="s">
        <v>176</v>
      </c>
      <c r="K106" s="1">
        <v>14.54</v>
      </c>
      <c r="L106" s="1">
        <v>0</v>
      </c>
      <c r="M106" s="1">
        <v>0</v>
      </c>
      <c r="N106" s="1">
        <v>14.54</v>
      </c>
      <c r="O106" s="1">
        <v>1163.2</v>
      </c>
      <c r="P106" s="1">
        <v>0</v>
      </c>
      <c r="Q106" s="1">
        <v>0</v>
      </c>
      <c r="R106" s="1">
        <v>1123.07</v>
      </c>
      <c r="S106" t="s">
        <v>12</v>
      </c>
      <c r="T106" s="13">
        <v>45753</v>
      </c>
      <c r="U106" s="1" t="str">
        <f>IF(ESTIMATIVA[[#This Row],[QT_AREA_REAL]]&gt;0,"1- Colhido","2- à Colher")</f>
        <v>1- Colhido</v>
      </c>
      <c r="V106" s="1" t="str">
        <f>IF(ESTIMATIVA[[#This Row],[QT_AREA_REST1]]&gt;0,"Reestimativa 1",IF(ESTIMATIVA[[#This Row],[QT_AREA_REAL]]=0,"Reestimativa 1","Realizado"))</f>
        <v>Realizado</v>
      </c>
      <c r="W106" s="1" t="str">
        <f>IF(ESTIMATIVA[[#This Row],[QT_AREA_REST2]]&gt;0,"Reestimativa 2",IF(ESTIMATIVA[[#This Row],[QT_AREA_REAL]]=0,"Reestimativa 2","Realizado"))</f>
        <v>Realizado</v>
      </c>
      <c r="X106" s="1">
        <f>ESTIMATIVA[[#This Row],[QT_AREA_EST]]</f>
        <v>14.54</v>
      </c>
      <c r="Y106" s="1">
        <f>IF(ESTIMATIVA[[#This Row],[QT_AREA_REST1]]&gt;0,ESTIMATIVA[[#This Row],[QT_AREA_REST1]],
  IF(ESTIMATIVA[[#This Row],[QT_AREA_REAL]]&gt;0,ESTIMATIVA[[#This Row],[QT_AREA_REAL]],ESTIMATIVA[[#This Row],[QT_AREA_EST]]))</f>
        <v>14.54</v>
      </c>
      <c r="Z10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14.54</v>
      </c>
      <c r="AA106" s="1">
        <f>ESTIMATIVA[[#This Row],[QT_CANA_EST]]</f>
        <v>1163.2</v>
      </c>
      <c r="AB106" s="1">
        <f>IF(ESTIMATIVA[[#This Row],[QT_CANA_REST1]]&gt;0,ESTIMATIVA[[#This Row],[QT_CANA_REST1]],
  IF(ESTIMATIVA[[#This Row],[QT_CANA_REAL]]&gt;0,ESTIMATIVA[[#This Row],[QT_CANA_REAL]],ESTIMATIVA[[#This Row],[QT_CANA_EST]]))</f>
        <v>1123.07</v>
      </c>
      <c r="AC10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1123.07</v>
      </c>
      <c r="AD106" s="1">
        <f>IF(ESTIMATIVA[[#This Row],[QT_AREA_REAL]]&gt;0,ESTIMATIVA[[#This Row],[QT_CANA_REAL]],ESTIMATIVA[[#This Row],[QT_CANA_EST]])</f>
        <v>1123.07</v>
      </c>
      <c r="AE106" s="1">
        <f>IF(ESTIMATIVA[[#This Row],[QT_AREA_REAL]]&gt;0,ESTIMATIVA[[#This Row],[QT_CANA_REAL]],ESTIMATIVA[[#This Row],[QT_CANA_REST1]])</f>
        <v>1123.07</v>
      </c>
      <c r="AF106" s="1">
        <f>IF(ESTIMATIVA[[#This Row],[QT_AREA_REAL]]&gt;0,ESTIMATIVA[[#This Row],[QT_CANA_REAL]],ESTIMATIVA[[#This Row],[QT_CANA_REST2]])</f>
        <v>1123.07</v>
      </c>
      <c r="AG106" s="1" t="str">
        <f>IF(COUNTIFS(GEADA!A:A,VALUE(ESTIMATIVA[[#This Row],[CD_UPNIVEL1]]&amp;TEXT(ESTIMATIVA[[#This Row],[CD_UPNIVEL3]],"0000")))&gt;0,"S","N")</f>
        <v>N</v>
      </c>
      <c r="AH10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6" s="55" t="str">
        <f>IF(ESTIMATIVA[[#This Row],[TP_CULTIVO]]="Irrigado",_xlfn.MAXIFS(IRRIGADO!J:J,IRRIGADO!C:C,ESTIMATIVA[[#This Row],[CD_UPNIVEL1]],IRRIGADO!E:E,ESTIMATIVA[[#This Row],[CD_UPNIVEL3]]),"")</f>
        <v/>
      </c>
      <c r="AJ10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6" s="1">
        <f>COUNTIFS(Apresentação!$E$23:$E$29,ESTIMATIVA[[#This Row],[CD_UPNIVEL1]])</f>
        <v>0</v>
      </c>
    </row>
    <row r="107" spans="1:37" x14ac:dyDescent="0.3">
      <c r="A107">
        <v>10328</v>
      </c>
      <c r="B107" t="s">
        <v>17</v>
      </c>
      <c r="C107">
        <v>7</v>
      </c>
      <c r="D107">
        <v>2</v>
      </c>
      <c r="E107" t="s">
        <v>266</v>
      </c>
      <c r="F107" s="85" t="s">
        <v>331</v>
      </c>
      <c r="G107"/>
      <c r="H107" t="s">
        <v>294</v>
      </c>
      <c r="I107" t="s">
        <v>198</v>
      </c>
      <c r="J107" t="s">
        <v>176</v>
      </c>
      <c r="K107" s="1">
        <v>15.68</v>
      </c>
      <c r="L107" s="1">
        <v>0</v>
      </c>
      <c r="M107" s="1">
        <v>0</v>
      </c>
      <c r="N107" s="1">
        <v>15.68</v>
      </c>
      <c r="O107" s="1">
        <v>1254.4000000000001</v>
      </c>
      <c r="P107" s="1">
        <v>0</v>
      </c>
      <c r="Q107" s="1">
        <v>0</v>
      </c>
      <c r="R107" s="1">
        <v>1211.53</v>
      </c>
      <c r="S107" t="s">
        <v>12</v>
      </c>
      <c r="T107" s="13">
        <v>45753</v>
      </c>
      <c r="U107" s="1" t="str">
        <f>IF(ESTIMATIVA[[#This Row],[QT_AREA_REAL]]&gt;0,"1- Colhido","2- à Colher")</f>
        <v>1- Colhido</v>
      </c>
      <c r="V107" s="1" t="str">
        <f>IF(ESTIMATIVA[[#This Row],[QT_AREA_REST1]]&gt;0,"Reestimativa 1",IF(ESTIMATIVA[[#This Row],[QT_AREA_REAL]]=0,"Reestimativa 1","Realizado"))</f>
        <v>Realizado</v>
      </c>
      <c r="W107" s="1" t="str">
        <f>IF(ESTIMATIVA[[#This Row],[QT_AREA_REST2]]&gt;0,"Reestimativa 2",IF(ESTIMATIVA[[#This Row],[QT_AREA_REAL]]=0,"Reestimativa 2","Realizado"))</f>
        <v>Realizado</v>
      </c>
      <c r="X107" s="1">
        <f>ESTIMATIVA[[#This Row],[QT_AREA_EST]]</f>
        <v>15.68</v>
      </c>
      <c r="Y107" s="1">
        <f>IF(ESTIMATIVA[[#This Row],[QT_AREA_REST1]]&gt;0,ESTIMATIVA[[#This Row],[QT_AREA_REST1]],
  IF(ESTIMATIVA[[#This Row],[QT_AREA_REAL]]&gt;0,ESTIMATIVA[[#This Row],[QT_AREA_REAL]],ESTIMATIVA[[#This Row],[QT_AREA_EST]]))</f>
        <v>15.68</v>
      </c>
      <c r="Z10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15.68</v>
      </c>
      <c r="AA107" s="1">
        <f>ESTIMATIVA[[#This Row],[QT_CANA_EST]]</f>
        <v>1254.4000000000001</v>
      </c>
      <c r="AB107" s="1">
        <f>IF(ESTIMATIVA[[#This Row],[QT_CANA_REST1]]&gt;0,ESTIMATIVA[[#This Row],[QT_CANA_REST1]],
  IF(ESTIMATIVA[[#This Row],[QT_CANA_REAL]]&gt;0,ESTIMATIVA[[#This Row],[QT_CANA_REAL]],ESTIMATIVA[[#This Row],[QT_CANA_EST]]))</f>
        <v>1211.53</v>
      </c>
      <c r="AC10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1211.53</v>
      </c>
      <c r="AD107" s="1">
        <f>IF(ESTIMATIVA[[#This Row],[QT_AREA_REAL]]&gt;0,ESTIMATIVA[[#This Row],[QT_CANA_REAL]],ESTIMATIVA[[#This Row],[QT_CANA_EST]])</f>
        <v>1211.53</v>
      </c>
      <c r="AE107" s="1">
        <f>IF(ESTIMATIVA[[#This Row],[QT_AREA_REAL]]&gt;0,ESTIMATIVA[[#This Row],[QT_CANA_REAL]],ESTIMATIVA[[#This Row],[QT_CANA_REST1]])</f>
        <v>1211.53</v>
      </c>
      <c r="AF107" s="1">
        <f>IF(ESTIMATIVA[[#This Row],[QT_AREA_REAL]]&gt;0,ESTIMATIVA[[#This Row],[QT_CANA_REAL]],ESTIMATIVA[[#This Row],[QT_CANA_REST2]])</f>
        <v>1211.53</v>
      </c>
      <c r="AG107" s="1" t="str">
        <f>IF(COUNTIFS(GEADA!A:A,VALUE(ESTIMATIVA[[#This Row],[CD_UPNIVEL1]]&amp;TEXT(ESTIMATIVA[[#This Row],[CD_UPNIVEL3]],"0000")))&gt;0,"S","N")</f>
        <v>N</v>
      </c>
      <c r="AH10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7" s="55" t="str">
        <f>IF(ESTIMATIVA[[#This Row],[TP_CULTIVO]]="Irrigado",_xlfn.MAXIFS(IRRIGADO!J:J,IRRIGADO!C:C,ESTIMATIVA[[#This Row],[CD_UPNIVEL1]],IRRIGADO!E:E,ESTIMATIVA[[#This Row],[CD_UPNIVEL3]]),"")</f>
        <v/>
      </c>
      <c r="AJ10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7" s="1">
        <f>COUNTIFS(Apresentação!$E$23:$E$29,ESTIMATIVA[[#This Row],[CD_UPNIVEL1]])</f>
        <v>0</v>
      </c>
    </row>
    <row r="108" spans="1:37" x14ac:dyDescent="0.3">
      <c r="A108">
        <v>10328</v>
      </c>
      <c r="B108" t="s">
        <v>17</v>
      </c>
      <c r="C108">
        <v>8</v>
      </c>
      <c r="D108">
        <v>3</v>
      </c>
      <c r="E108" t="s">
        <v>263</v>
      </c>
      <c r="F108" s="85" t="s">
        <v>333</v>
      </c>
      <c r="G108"/>
      <c r="H108" t="s">
        <v>294</v>
      </c>
      <c r="I108" t="s">
        <v>198</v>
      </c>
      <c r="J108" t="s">
        <v>176</v>
      </c>
      <c r="K108" s="1">
        <v>3.18</v>
      </c>
      <c r="L108" s="1">
        <v>0</v>
      </c>
      <c r="M108" s="1">
        <v>0</v>
      </c>
      <c r="N108" s="1">
        <v>3.18</v>
      </c>
      <c r="O108" s="1">
        <v>228.96</v>
      </c>
      <c r="P108" s="1">
        <v>0</v>
      </c>
      <c r="Q108" s="1">
        <v>0</v>
      </c>
      <c r="R108" s="1">
        <v>222.36</v>
      </c>
      <c r="S108" t="s">
        <v>12</v>
      </c>
      <c r="T108" s="13">
        <v>45746</v>
      </c>
      <c r="U108" s="1" t="str">
        <f>IF(ESTIMATIVA[[#This Row],[QT_AREA_REAL]]&gt;0,"1- Colhido","2- à Colher")</f>
        <v>1- Colhido</v>
      </c>
      <c r="V108" s="1" t="str">
        <f>IF(ESTIMATIVA[[#This Row],[QT_AREA_REST1]]&gt;0,"Reestimativa 1",IF(ESTIMATIVA[[#This Row],[QT_AREA_REAL]]=0,"Reestimativa 1","Realizado"))</f>
        <v>Realizado</v>
      </c>
      <c r="W108" s="1" t="str">
        <f>IF(ESTIMATIVA[[#This Row],[QT_AREA_REST2]]&gt;0,"Reestimativa 2",IF(ESTIMATIVA[[#This Row],[QT_AREA_REAL]]=0,"Reestimativa 2","Realizado"))</f>
        <v>Realizado</v>
      </c>
      <c r="X108" s="1">
        <f>ESTIMATIVA[[#This Row],[QT_AREA_EST]]</f>
        <v>3.18</v>
      </c>
      <c r="Y108" s="1">
        <f>IF(ESTIMATIVA[[#This Row],[QT_AREA_REST1]]&gt;0,ESTIMATIVA[[#This Row],[QT_AREA_REST1]],
  IF(ESTIMATIVA[[#This Row],[QT_AREA_REAL]]&gt;0,ESTIMATIVA[[#This Row],[QT_AREA_REAL]],ESTIMATIVA[[#This Row],[QT_AREA_EST]]))</f>
        <v>3.18</v>
      </c>
      <c r="Z10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3.18</v>
      </c>
      <c r="AA108" s="1">
        <f>ESTIMATIVA[[#This Row],[QT_CANA_EST]]</f>
        <v>228.96</v>
      </c>
      <c r="AB108" s="1">
        <f>IF(ESTIMATIVA[[#This Row],[QT_CANA_REST1]]&gt;0,ESTIMATIVA[[#This Row],[QT_CANA_REST1]],
  IF(ESTIMATIVA[[#This Row],[QT_CANA_REAL]]&gt;0,ESTIMATIVA[[#This Row],[QT_CANA_REAL]],ESTIMATIVA[[#This Row],[QT_CANA_EST]]))</f>
        <v>222.36</v>
      </c>
      <c r="AC10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222.36</v>
      </c>
      <c r="AD108" s="1">
        <f>IF(ESTIMATIVA[[#This Row],[QT_AREA_REAL]]&gt;0,ESTIMATIVA[[#This Row],[QT_CANA_REAL]],ESTIMATIVA[[#This Row],[QT_CANA_EST]])</f>
        <v>222.36</v>
      </c>
      <c r="AE108" s="1">
        <f>IF(ESTIMATIVA[[#This Row],[QT_AREA_REAL]]&gt;0,ESTIMATIVA[[#This Row],[QT_CANA_REAL]],ESTIMATIVA[[#This Row],[QT_CANA_REST1]])</f>
        <v>222.36</v>
      </c>
      <c r="AF108" s="1">
        <f>IF(ESTIMATIVA[[#This Row],[QT_AREA_REAL]]&gt;0,ESTIMATIVA[[#This Row],[QT_CANA_REAL]],ESTIMATIVA[[#This Row],[QT_CANA_REST2]])</f>
        <v>222.36</v>
      </c>
      <c r="AG108" s="1" t="str">
        <f>IF(COUNTIFS(GEADA!A:A,VALUE(ESTIMATIVA[[#This Row],[CD_UPNIVEL1]]&amp;TEXT(ESTIMATIVA[[#This Row],[CD_UPNIVEL3]],"0000")))&gt;0,"S","N")</f>
        <v>N</v>
      </c>
      <c r="AH10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8" s="55" t="str">
        <f>IF(ESTIMATIVA[[#This Row],[TP_CULTIVO]]="Irrigado",_xlfn.MAXIFS(IRRIGADO!J:J,IRRIGADO!C:C,ESTIMATIVA[[#This Row],[CD_UPNIVEL1]],IRRIGADO!E:E,ESTIMATIVA[[#This Row],[CD_UPNIVEL3]]),"")</f>
        <v/>
      </c>
      <c r="AJ10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8" s="1">
        <f>COUNTIFS(Apresentação!$E$23:$E$29,ESTIMATIVA[[#This Row],[CD_UPNIVEL1]])</f>
        <v>0</v>
      </c>
    </row>
    <row r="109" spans="1:37" x14ac:dyDescent="0.3">
      <c r="A109">
        <v>10328</v>
      </c>
      <c r="B109" t="s">
        <v>17</v>
      </c>
      <c r="C109">
        <v>9</v>
      </c>
      <c r="D109">
        <v>3</v>
      </c>
      <c r="E109" t="s">
        <v>263</v>
      </c>
      <c r="F109" s="85" t="s">
        <v>333</v>
      </c>
      <c r="G109"/>
      <c r="H109" t="s">
        <v>294</v>
      </c>
      <c r="I109" t="s">
        <v>198</v>
      </c>
      <c r="J109" t="s">
        <v>176</v>
      </c>
      <c r="K109" s="1">
        <v>19.670000000000002</v>
      </c>
      <c r="L109" s="1">
        <v>0</v>
      </c>
      <c r="M109" s="1">
        <v>0</v>
      </c>
      <c r="N109" s="1">
        <v>19.670000000000002</v>
      </c>
      <c r="O109" s="1">
        <v>1416.24</v>
      </c>
      <c r="P109" s="1">
        <v>0</v>
      </c>
      <c r="Q109" s="1">
        <v>0</v>
      </c>
      <c r="R109" s="1">
        <v>1375.14</v>
      </c>
      <c r="S109" t="s">
        <v>12</v>
      </c>
      <c r="T109" s="13">
        <v>45746</v>
      </c>
      <c r="U109" s="1" t="str">
        <f>IF(ESTIMATIVA[[#This Row],[QT_AREA_REAL]]&gt;0,"1- Colhido","2- à Colher")</f>
        <v>1- Colhido</v>
      </c>
      <c r="V109" s="1" t="str">
        <f>IF(ESTIMATIVA[[#This Row],[QT_AREA_REST1]]&gt;0,"Reestimativa 1",IF(ESTIMATIVA[[#This Row],[QT_AREA_REAL]]=0,"Reestimativa 1","Realizado"))</f>
        <v>Realizado</v>
      </c>
      <c r="W109" s="1" t="str">
        <f>IF(ESTIMATIVA[[#This Row],[QT_AREA_REST2]]&gt;0,"Reestimativa 2",IF(ESTIMATIVA[[#This Row],[QT_AREA_REAL]]=0,"Reestimativa 2","Realizado"))</f>
        <v>Realizado</v>
      </c>
      <c r="X109" s="1">
        <f>ESTIMATIVA[[#This Row],[QT_AREA_EST]]</f>
        <v>19.670000000000002</v>
      </c>
      <c r="Y109" s="1">
        <f>IF(ESTIMATIVA[[#This Row],[QT_AREA_REST1]]&gt;0,ESTIMATIVA[[#This Row],[QT_AREA_REST1]],
  IF(ESTIMATIVA[[#This Row],[QT_AREA_REAL]]&gt;0,ESTIMATIVA[[#This Row],[QT_AREA_REAL]],ESTIMATIVA[[#This Row],[QT_AREA_EST]]))</f>
        <v>19.670000000000002</v>
      </c>
      <c r="Z10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19.670000000000002</v>
      </c>
      <c r="AA109" s="1">
        <f>ESTIMATIVA[[#This Row],[QT_CANA_EST]]</f>
        <v>1416.24</v>
      </c>
      <c r="AB109" s="1">
        <f>IF(ESTIMATIVA[[#This Row],[QT_CANA_REST1]]&gt;0,ESTIMATIVA[[#This Row],[QT_CANA_REST1]],
  IF(ESTIMATIVA[[#This Row],[QT_CANA_REAL]]&gt;0,ESTIMATIVA[[#This Row],[QT_CANA_REAL]],ESTIMATIVA[[#This Row],[QT_CANA_EST]]))</f>
        <v>1375.14</v>
      </c>
      <c r="AC10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1375.14</v>
      </c>
      <c r="AD109" s="1">
        <f>IF(ESTIMATIVA[[#This Row],[QT_AREA_REAL]]&gt;0,ESTIMATIVA[[#This Row],[QT_CANA_REAL]],ESTIMATIVA[[#This Row],[QT_CANA_EST]])</f>
        <v>1375.14</v>
      </c>
      <c r="AE109" s="1">
        <f>IF(ESTIMATIVA[[#This Row],[QT_AREA_REAL]]&gt;0,ESTIMATIVA[[#This Row],[QT_CANA_REAL]],ESTIMATIVA[[#This Row],[QT_CANA_REST1]])</f>
        <v>1375.14</v>
      </c>
      <c r="AF109" s="1">
        <f>IF(ESTIMATIVA[[#This Row],[QT_AREA_REAL]]&gt;0,ESTIMATIVA[[#This Row],[QT_CANA_REAL]],ESTIMATIVA[[#This Row],[QT_CANA_REST2]])</f>
        <v>1375.14</v>
      </c>
      <c r="AG109" s="1" t="str">
        <f>IF(COUNTIFS(GEADA!A:A,VALUE(ESTIMATIVA[[#This Row],[CD_UPNIVEL1]]&amp;TEXT(ESTIMATIVA[[#This Row],[CD_UPNIVEL3]],"0000")))&gt;0,"S","N")</f>
        <v>N</v>
      </c>
      <c r="AH10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9" s="55" t="str">
        <f>IF(ESTIMATIVA[[#This Row],[TP_CULTIVO]]="Irrigado",_xlfn.MAXIFS(IRRIGADO!J:J,IRRIGADO!C:C,ESTIMATIVA[[#This Row],[CD_UPNIVEL1]],IRRIGADO!E:E,ESTIMATIVA[[#This Row],[CD_UPNIVEL3]]),"")</f>
        <v/>
      </c>
      <c r="AJ10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9" s="1">
        <f>COUNTIFS(Apresentação!$E$23:$E$29,ESTIMATIVA[[#This Row],[CD_UPNIVEL1]])</f>
        <v>0</v>
      </c>
    </row>
    <row r="110" spans="1:37" x14ac:dyDescent="0.3">
      <c r="A110">
        <v>10328</v>
      </c>
      <c r="B110" t="s">
        <v>17</v>
      </c>
      <c r="C110">
        <v>10</v>
      </c>
      <c r="D110">
        <v>3</v>
      </c>
      <c r="E110" t="s">
        <v>263</v>
      </c>
      <c r="F110" s="85" t="s">
        <v>333</v>
      </c>
      <c r="G110"/>
      <c r="H110" t="s">
        <v>294</v>
      </c>
      <c r="I110" t="s">
        <v>198</v>
      </c>
      <c r="J110" t="s">
        <v>176</v>
      </c>
      <c r="K110" s="1">
        <v>17.760000000000002</v>
      </c>
      <c r="L110" s="1">
        <v>0</v>
      </c>
      <c r="M110" s="1">
        <v>0</v>
      </c>
      <c r="N110" s="1">
        <v>17.760000000000002</v>
      </c>
      <c r="O110" s="1">
        <v>1278.72</v>
      </c>
      <c r="P110" s="1">
        <v>0</v>
      </c>
      <c r="Q110" s="1">
        <v>0</v>
      </c>
      <c r="R110" s="1">
        <v>1148.03</v>
      </c>
      <c r="S110" t="s">
        <v>12</v>
      </c>
      <c r="T110" s="13">
        <v>45746</v>
      </c>
      <c r="U110" s="1" t="str">
        <f>IF(ESTIMATIVA[[#This Row],[QT_AREA_REAL]]&gt;0,"1- Colhido","2- à Colher")</f>
        <v>1- Colhido</v>
      </c>
      <c r="V110" s="1" t="str">
        <f>IF(ESTIMATIVA[[#This Row],[QT_AREA_REST1]]&gt;0,"Reestimativa 1",IF(ESTIMATIVA[[#This Row],[QT_AREA_REAL]]=0,"Reestimativa 1","Realizado"))</f>
        <v>Realizado</v>
      </c>
      <c r="W110" s="1" t="str">
        <f>IF(ESTIMATIVA[[#This Row],[QT_AREA_REST2]]&gt;0,"Reestimativa 2",IF(ESTIMATIVA[[#This Row],[QT_AREA_REAL]]=0,"Reestimativa 2","Realizado"))</f>
        <v>Realizado</v>
      </c>
      <c r="X110" s="1">
        <f>ESTIMATIVA[[#This Row],[QT_AREA_EST]]</f>
        <v>17.760000000000002</v>
      </c>
      <c r="Y110" s="1">
        <f>IF(ESTIMATIVA[[#This Row],[QT_AREA_REST1]]&gt;0,ESTIMATIVA[[#This Row],[QT_AREA_REST1]],
  IF(ESTIMATIVA[[#This Row],[QT_AREA_REAL]]&gt;0,ESTIMATIVA[[#This Row],[QT_AREA_REAL]],ESTIMATIVA[[#This Row],[QT_AREA_EST]]))</f>
        <v>17.760000000000002</v>
      </c>
      <c r="Z11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17.760000000000002</v>
      </c>
      <c r="AA110" s="1">
        <f>ESTIMATIVA[[#This Row],[QT_CANA_EST]]</f>
        <v>1278.72</v>
      </c>
      <c r="AB110" s="1">
        <f>IF(ESTIMATIVA[[#This Row],[QT_CANA_REST1]]&gt;0,ESTIMATIVA[[#This Row],[QT_CANA_REST1]],
  IF(ESTIMATIVA[[#This Row],[QT_CANA_REAL]]&gt;0,ESTIMATIVA[[#This Row],[QT_CANA_REAL]],ESTIMATIVA[[#This Row],[QT_CANA_EST]]))</f>
        <v>1148.03</v>
      </c>
      <c r="AC11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1148.03</v>
      </c>
      <c r="AD110" s="1">
        <f>IF(ESTIMATIVA[[#This Row],[QT_AREA_REAL]]&gt;0,ESTIMATIVA[[#This Row],[QT_CANA_REAL]],ESTIMATIVA[[#This Row],[QT_CANA_EST]])</f>
        <v>1148.03</v>
      </c>
      <c r="AE110" s="1">
        <f>IF(ESTIMATIVA[[#This Row],[QT_AREA_REAL]]&gt;0,ESTIMATIVA[[#This Row],[QT_CANA_REAL]],ESTIMATIVA[[#This Row],[QT_CANA_REST1]])</f>
        <v>1148.03</v>
      </c>
      <c r="AF110" s="1">
        <f>IF(ESTIMATIVA[[#This Row],[QT_AREA_REAL]]&gt;0,ESTIMATIVA[[#This Row],[QT_CANA_REAL]],ESTIMATIVA[[#This Row],[QT_CANA_REST2]])</f>
        <v>1148.03</v>
      </c>
      <c r="AG110" s="1" t="str">
        <f>IF(COUNTIFS(GEADA!A:A,VALUE(ESTIMATIVA[[#This Row],[CD_UPNIVEL1]]&amp;TEXT(ESTIMATIVA[[#This Row],[CD_UPNIVEL3]],"0000")))&gt;0,"S","N")</f>
        <v>N</v>
      </c>
      <c r="AH11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0" s="55" t="str">
        <f>IF(ESTIMATIVA[[#This Row],[TP_CULTIVO]]="Irrigado",_xlfn.MAXIFS(IRRIGADO!J:J,IRRIGADO!C:C,ESTIMATIVA[[#This Row],[CD_UPNIVEL1]],IRRIGADO!E:E,ESTIMATIVA[[#This Row],[CD_UPNIVEL3]]),"")</f>
        <v/>
      </c>
      <c r="AJ11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0" s="1">
        <f>COUNTIFS(Apresentação!$E$23:$E$29,ESTIMATIVA[[#This Row],[CD_UPNIVEL1]])</f>
        <v>0</v>
      </c>
    </row>
    <row r="111" spans="1:37" x14ac:dyDescent="0.3">
      <c r="A111">
        <v>10328</v>
      </c>
      <c r="B111" t="s">
        <v>17</v>
      </c>
      <c r="C111">
        <v>11</v>
      </c>
      <c r="D111">
        <v>3</v>
      </c>
      <c r="E111" t="s">
        <v>263</v>
      </c>
      <c r="F111" s="85" t="s">
        <v>331</v>
      </c>
      <c r="G111"/>
      <c r="H111" t="s">
        <v>294</v>
      </c>
      <c r="I111" t="s">
        <v>195</v>
      </c>
      <c r="J111" t="s">
        <v>176</v>
      </c>
      <c r="K111" s="1">
        <v>12.5</v>
      </c>
      <c r="L111" s="1">
        <v>12.5</v>
      </c>
      <c r="M111" s="1">
        <v>0</v>
      </c>
      <c r="N111" s="1">
        <v>12.5</v>
      </c>
      <c r="O111" s="1">
        <v>875</v>
      </c>
      <c r="P111" s="1">
        <v>375</v>
      </c>
      <c r="Q111" s="1">
        <v>0</v>
      </c>
      <c r="R111" s="1">
        <v>581.9</v>
      </c>
      <c r="S111" t="s">
        <v>12</v>
      </c>
      <c r="T111" s="13">
        <v>45907</v>
      </c>
      <c r="U111" s="1" t="str">
        <f>IF(ESTIMATIVA[[#This Row],[QT_AREA_REAL]]&gt;0,"1- Colhido","2- à Colher")</f>
        <v>1- Colhido</v>
      </c>
      <c r="V111" s="1" t="str">
        <f>IF(ESTIMATIVA[[#This Row],[QT_AREA_REST1]]&gt;0,"Reestimativa 1",IF(ESTIMATIVA[[#This Row],[QT_AREA_REAL]]=0,"Reestimativa 1","Realizado"))</f>
        <v>Reestimativa 1</v>
      </c>
      <c r="W111" s="1" t="str">
        <f>IF(ESTIMATIVA[[#This Row],[QT_AREA_REST2]]&gt;0,"Reestimativa 2",IF(ESTIMATIVA[[#This Row],[QT_AREA_REAL]]=0,"Reestimativa 2","Realizado"))</f>
        <v>Realizado</v>
      </c>
      <c r="X111" s="1">
        <f>ESTIMATIVA[[#This Row],[QT_AREA_EST]]</f>
        <v>12.5</v>
      </c>
      <c r="Y111" s="1">
        <f>IF(ESTIMATIVA[[#This Row],[QT_AREA_REST1]]&gt;0,ESTIMATIVA[[#This Row],[QT_AREA_REST1]],
  IF(ESTIMATIVA[[#This Row],[QT_AREA_REAL]]&gt;0,ESTIMATIVA[[#This Row],[QT_AREA_REAL]],ESTIMATIVA[[#This Row],[QT_AREA_EST]]))</f>
        <v>12.5</v>
      </c>
      <c r="Z11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12.5</v>
      </c>
      <c r="AA111" s="1">
        <f>ESTIMATIVA[[#This Row],[QT_CANA_EST]]</f>
        <v>875</v>
      </c>
      <c r="AB111" s="1">
        <f>IF(ESTIMATIVA[[#This Row],[QT_CANA_REST1]]&gt;0,ESTIMATIVA[[#This Row],[QT_CANA_REST1]],
  IF(ESTIMATIVA[[#This Row],[QT_CANA_REAL]]&gt;0,ESTIMATIVA[[#This Row],[QT_CANA_REAL]],ESTIMATIVA[[#This Row],[QT_CANA_EST]]))</f>
        <v>375</v>
      </c>
      <c r="AC11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581.9</v>
      </c>
      <c r="AD111" s="1">
        <f>IF(ESTIMATIVA[[#This Row],[QT_AREA_REAL]]&gt;0,ESTIMATIVA[[#This Row],[QT_CANA_REAL]],ESTIMATIVA[[#This Row],[QT_CANA_EST]])</f>
        <v>581.9</v>
      </c>
      <c r="AE111" s="1">
        <f>IF(ESTIMATIVA[[#This Row],[QT_AREA_REAL]]&gt;0,ESTIMATIVA[[#This Row],[QT_CANA_REAL]],ESTIMATIVA[[#This Row],[QT_CANA_REST1]])</f>
        <v>581.9</v>
      </c>
      <c r="AF111" s="1">
        <f>IF(ESTIMATIVA[[#This Row],[QT_AREA_REAL]]&gt;0,ESTIMATIVA[[#This Row],[QT_CANA_REAL]],ESTIMATIVA[[#This Row],[QT_CANA_REST2]])</f>
        <v>581.9</v>
      </c>
      <c r="AG111" s="1" t="str">
        <f>IF(COUNTIFS(GEADA!A:A,VALUE(ESTIMATIVA[[#This Row],[CD_UPNIVEL1]]&amp;TEXT(ESTIMATIVA[[#This Row],[CD_UPNIVEL3]],"0000")))&gt;0,"S","N")</f>
        <v>S</v>
      </c>
      <c r="AH11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1" s="55" t="str">
        <f>IF(ESTIMATIVA[[#This Row],[TP_CULTIVO]]="Irrigado",_xlfn.MAXIFS(IRRIGADO!J:J,IRRIGADO!C:C,ESTIMATIVA[[#This Row],[CD_UPNIVEL1]],IRRIGADO!E:E,ESTIMATIVA[[#This Row],[CD_UPNIVEL3]]),"")</f>
        <v/>
      </c>
      <c r="AJ11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1" s="1">
        <f>COUNTIFS(Apresentação!$E$23:$E$29,ESTIMATIVA[[#This Row],[CD_UPNIVEL1]])</f>
        <v>0</v>
      </c>
    </row>
    <row r="112" spans="1:37" x14ac:dyDescent="0.3">
      <c r="A112">
        <v>10328</v>
      </c>
      <c r="B112" t="s">
        <v>17</v>
      </c>
      <c r="C112">
        <v>12</v>
      </c>
      <c r="D112">
        <v>3</v>
      </c>
      <c r="E112" t="s">
        <v>263</v>
      </c>
      <c r="F112" s="85" t="s">
        <v>333</v>
      </c>
      <c r="G112"/>
      <c r="H112" t="s">
        <v>294</v>
      </c>
      <c r="I112" t="s">
        <v>195</v>
      </c>
      <c r="J112" t="s">
        <v>176</v>
      </c>
      <c r="K112" s="1">
        <v>25.72</v>
      </c>
      <c r="L112" s="1">
        <v>25.72</v>
      </c>
      <c r="M112" s="1">
        <v>25.72</v>
      </c>
      <c r="N112" s="1">
        <v>25.72</v>
      </c>
      <c r="O112" s="1">
        <v>1800.4</v>
      </c>
      <c r="P112" s="1">
        <v>823.04</v>
      </c>
      <c r="Q112" s="1">
        <v>977.36</v>
      </c>
      <c r="R112" s="1">
        <v>596.46</v>
      </c>
      <c r="S112" t="s">
        <v>12</v>
      </c>
      <c r="T112" s="13">
        <v>45977</v>
      </c>
      <c r="U112" s="1" t="str">
        <f>IF(ESTIMATIVA[[#This Row],[QT_AREA_REAL]]&gt;0,"1- Colhido","2- à Colher")</f>
        <v>1- Colhido</v>
      </c>
      <c r="V112" s="1" t="str">
        <f>IF(ESTIMATIVA[[#This Row],[QT_AREA_REST1]]&gt;0,"Reestimativa 1",IF(ESTIMATIVA[[#This Row],[QT_AREA_REAL]]=0,"Reestimativa 1","Realizado"))</f>
        <v>Reestimativa 1</v>
      </c>
      <c r="W112" s="1" t="str">
        <f>IF(ESTIMATIVA[[#This Row],[QT_AREA_REST2]]&gt;0,"Reestimativa 2",IF(ESTIMATIVA[[#This Row],[QT_AREA_REAL]]=0,"Reestimativa 2","Realizado"))</f>
        <v>Reestimativa 2</v>
      </c>
      <c r="X112" s="1">
        <f>ESTIMATIVA[[#This Row],[QT_AREA_EST]]</f>
        <v>25.72</v>
      </c>
      <c r="Y112" s="1">
        <f>IF(ESTIMATIVA[[#This Row],[QT_AREA_REST1]]&gt;0,ESTIMATIVA[[#This Row],[QT_AREA_REST1]],
  IF(ESTIMATIVA[[#This Row],[QT_AREA_REAL]]&gt;0,ESTIMATIVA[[#This Row],[QT_AREA_REAL]],ESTIMATIVA[[#This Row],[QT_AREA_EST]]))</f>
        <v>25.72</v>
      </c>
      <c r="Z11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25.72</v>
      </c>
      <c r="AA112" s="1">
        <f>ESTIMATIVA[[#This Row],[QT_CANA_EST]]</f>
        <v>1800.4</v>
      </c>
      <c r="AB112" s="1">
        <f>IF(ESTIMATIVA[[#This Row],[QT_CANA_REST1]]&gt;0,ESTIMATIVA[[#This Row],[QT_CANA_REST1]],
  IF(ESTIMATIVA[[#This Row],[QT_CANA_REAL]]&gt;0,ESTIMATIVA[[#This Row],[QT_CANA_REAL]],ESTIMATIVA[[#This Row],[QT_CANA_EST]]))</f>
        <v>823.04</v>
      </c>
      <c r="AC11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977.36</v>
      </c>
      <c r="AD112" s="1">
        <f>IF(ESTIMATIVA[[#This Row],[QT_AREA_REAL]]&gt;0,ESTIMATIVA[[#This Row],[QT_CANA_REAL]],ESTIMATIVA[[#This Row],[QT_CANA_EST]])</f>
        <v>596.46</v>
      </c>
      <c r="AE112" s="1">
        <f>IF(ESTIMATIVA[[#This Row],[QT_AREA_REAL]]&gt;0,ESTIMATIVA[[#This Row],[QT_CANA_REAL]],ESTIMATIVA[[#This Row],[QT_CANA_REST1]])</f>
        <v>596.46</v>
      </c>
      <c r="AF112" s="1">
        <f>IF(ESTIMATIVA[[#This Row],[QT_AREA_REAL]]&gt;0,ESTIMATIVA[[#This Row],[QT_CANA_REAL]],ESTIMATIVA[[#This Row],[QT_CANA_REST2]])</f>
        <v>596.46</v>
      </c>
      <c r="AG112" s="1" t="str">
        <f>IF(COUNTIFS(GEADA!A:A,VALUE(ESTIMATIVA[[#This Row],[CD_UPNIVEL1]]&amp;TEXT(ESTIMATIVA[[#This Row],[CD_UPNIVEL3]],"0000")))&gt;0,"S","N")</f>
        <v>S</v>
      </c>
      <c r="AH11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2" s="55" t="str">
        <f>IF(ESTIMATIVA[[#This Row],[TP_CULTIVO]]="Irrigado",_xlfn.MAXIFS(IRRIGADO!J:J,IRRIGADO!C:C,ESTIMATIVA[[#This Row],[CD_UPNIVEL1]],IRRIGADO!E:E,ESTIMATIVA[[#This Row],[CD_UPNIVEL3]]),"")</f>
        <v/>
      </c>
      <c r="AJ11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2" s="1">
        <f>COUNTIFS(Apresentação!$E$23:$E$29,ESTIMATIVA[[#This Row],[CD_UPNIVEL1]])</f>
        <v>0</v>
      </c>
    </row>
    <row r="113" spans="1:37" x14ac:dyDescent="0.3">
      <c r="A113">
        <v>10328</v>
      </c>
      <c r="B113" t="s">
        <v>17</v>
      </c>
      <c r="C113">
        <v>13</v>
      </c>
      <c r="D113">
        <v>3</v>
      </c>
      <c r="E113" t="s">
        <v>263</v>
      </c>
      <c r="F113" s="85" t="s">
        <v>331</v>
      </c>
      <c r="G113"/>
      <c r="H113" t="s">
        <v>294</v>
      </c>
      <c r="I113" t="s">
        <v>195</v>
      </c>
      <c r="J113" t="s">
        <v>176</v>
      </c>
      <c r="K113" s="1">
        <v>11.12</v>
      </c>
      <c r="L113" s="1">
        <v>11.12</v>
      </c>
      <c r="M113" s="1">
        <v>11.12</v>
      </c>
      <c r="N113" s="1">
        <v>11.12</v>
      </c>
      <c r="O113" s="1">
        <v>778.4</v>
      </c>
      <c r="P113" s="1">
        <v>778.4</v>
      </c>
      <c r="Q113" s="1">
        <v>778.4</v>
      </c>
      <c r="R113" s="1">
        <v>474.96</v>
      </c>
      <c r="S113" t="s">
        <v>12</v>
      </c>
      <c r="T113" s="13">
        <v>45977</v>
      </c>
      <c r="U113" s="1" t="str">
        <f>IF(ESTIMATIVA[[#This Row],[QT_AREA_REAL]]&gt;0,"1- Colhido","2- à Colher")</f>
        <v>1- Colhido</v>
      </c>
      <c r="V113" s="1" t="str">
        <f>IF(ESTIMATIVA[[#This Row],[QT_AREA_REST1]]&gt;0,"Reestimativa 1",IF(ESTIMATIVA[[#This Row],[QT_AREA_REAL]]=0,"Reestimativa 1","Realizado"))</f>
        <v>Reestimativa 1</v>
      </c>
      <c r="W113" s="1" t="str">
        <f>IF(ESTIMATIVA[[#This Row],[QT_AREA_REST2]]&gt;0,"Reestimativa 2",IF(ESTIMATIVA[[#This Row],[QT_AREA_REAL]]=0,"Reestimativa 2","Realizado"))</f>
        <v>Reestimativa 2</v>
      </c>
      <c r="X113" s="1">
        <f>ESTIMATIVA[[#This Row],[QT_AREA_EST]]</f>
        <v>11.12</v>
      </c>
      <c r="Y113" s="1">
        <f>IF(ESTIMATIVA[[#This Row],[QT_AREA_REST1]]&gt;0,ESTIMATIVA[[#This Row],[QT_AREA_REST1]],
  IF(ESTIMATIVA[[#This Row],[QT_AREA_REAL]]&gt;0,ESTIMATIVA[[#This Row],[QT_AREA_REAL]],ESTIMATIVA[[#This Row],[QT_AREA_EST]]))</f>
        <v>11.12</v>
      </c>
      <c r="Z11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11.12</v>
      </c>
      <c r="AA113" s="1">
        <f>ESTIMATIVA[[#This Row],[QT_CANA_EST]]</f>
        <v>778.4</v>
      </c>
      <c r="AB113" s="1">
        <f>IF(ESTIMATIVA[[#This Row],[QT_CANA_REST1]]&gt;0,ESTIMATIVA[[#This Row],[QT_CANA_REST1]],
  IF(ESTIMATIVA[[#This Row],[QT_CANA_REAL]]&gt;0,ESTIMATIVA[[#This Row],[QT_CANA_REAL]],ESTIMATIVA[[#This Row],[QT_CANA_EST]]))</f>
        <v>778.4</v>
      </c>
      <c r="AC11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778.4</v>
      </c>
      <c r="AD113" s="1">
        <f>IF(ESTIMATIVA[[#This Row],[QT_AREA_REAL]]&gt;0,ESTIMATIVA[[#This Row],[QT_CANA_REAL]],ESTIMATIVA[[#This Row],[QT_CANA_EST]])</f>
        <v>474.96</v>
      </c>
      <c r="AE113" s="1">
        <f>IF(ESTIMATIVA[[#This Row],[QT_AREA_REAL]]&gt;0,ESTIMATIVA[[#This Row],[QT_CANA_REAL]],ESTIMATIVA[[#This Row],[QT_CANA_REST1]])</f>
        <v>474.96</v>
      </c>
      <c r="AF113" s="1">
        <f>IF(ESTIMATIVA[[#This Row],[QT_AREA_REAL]]&gt;0,ESTIMATIVA[[#This Row],[QT_CANA_REAL]],ESTIMATIVA[[#This Row],[QT_CANA_REST2]])</f>
        <v>474.96</v>
      </c>
      <c r="AG113" s="1" t="str">
        <f>IF(COUNTIFS(GEADA!A:A,VALUE(ESTIMATIVA[[#This Row],[CD_UPNIVEL1]]&amp;TEXT(ESTIMATIVA[[#This Row],[CD_UPNIVEL3]],"0000")))&gt;0,"S","N")</f>
        <v>N</v>
      </c>
      <c r="AH11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3" s="55" t="str">
        <f>IF(ESTIMATIVA[[#This Row],[TP_CULTIVO]]="Irrigado",_xlfn.MAXIFS(IRRIGADO!J:J,IRRIGADO!C:C,ESTIMATIVA[[#This Row],[CD_UPNIVEL1]],IRRIGADO!E:E,ESTIMATIVA[[#This Row],[CD_UPNIVEL3]]),"")</f>
        <v/>
      </c>
      <c r="AJ11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3" s="1">
        <f>COUNTIFS(Apresentação!$E$23:$E$29,ESTIMATIVA[[#This Row],[CD_UPNIVEL1]])</f>
        <v>0</v>
      </c>
    </row>
    <row r="114" spans="1:37" x14ac:dyDescent="0.3">
      <c r="A114">
        <v>10328</v>
      </c>
      <c r="B114" t="s">
        <v>17</v>
      </c>
      <c r="C114">
        <v>14</v>
      </c>
      <c r="D114">
        <v>3</v>
      </c>
      <c r="E114" t="s">
        <v>263</v>
      </c>
      <c r="F114" s="85" t="s">
        <v>333</v>
      </c>
      <c r="G114"/>
      <c r="H114" t="s">
        <v>294</v>
      </c>
      <c r="I114" t="s">
        <v>195</v>
      </c>
      <c r="J114" t="s">
        <v>176</v>
      </c>
      <c r="K114" s="1">
        <v>17.36</v>
      </c>
      <c r="L114" s="1">
        <v>17.36</v>
      </c>
      <c r="M114" s="1">
        <v>17.36</v>
      </c>
      <c r="N114" s="1">
        <v>17.36</v>
      </c>
      <c r="O114" s="1">
        <v>1215.2</v>
      </c>
      <c r="P114" s="1">
        <v>1215.2</v>
      </c>
      <c r="Q114" s="1">
        <v>1145.76</v>
      </c>
      <c r="R114" s="1">
        <v>699.73</v>
      </c>
      <c r="S114" t="s">
        <v>12</v>
      </c>
      <c r="T114" s="13">
        <v>45977</v>
      </c>
      <c r="U114" s="1" t="str">
        <f>IF(ESTIMATIVA[[#This Row],[QT_AREA_REAL]]&gt;0,"1- Colhido","2- à Colher")</f>
        <v>1- Colhido</v>
      </c>
      <c r="V114" s="1" t="str">
        <f>IF(ESTIMATIVA[[#This Row],[QT_AREA_REST1]]&gt;0,"Reestimativa 1",IF(ESTIMATIVA[[#This Row],[QT_AREA_REAL]]=0,"Reestimativa 1","Realizado"))</f>
        <v>Reestimativa 1</v>
      </c>
      <c r="W114" s="1" t="str">
        <f>IF(ESTIMATIVA[[#This Row],[QT_AREA_REST2]]&gt;0,"Reestimativa 2",IF(ESTIMATIVA[[#This Row],[QT_AREA_REAL]]=0,"Reestimativa 2","Realizado"))</f>
        <v>Reestimativa 2</v>
      </c>
      <c r="X114" s="1">
        <f>ESTIMATIVA[[#This Row],[QT_AREA_EST]]</f>
        <v>17.36</v>
      </c>
      <c r="Y114" s="1">
        <f>IF(ESTIMATIVA[[#This Row],[QT_AREA_REST1]]&gt;0,ESTIMATIVA[[#This Row],[QT_AREA_REST1]],
  IF(ESTIMATIVA[[#This Row],[QT_AREA_REAL]]&gt;0,ESTIMATIVA[[#This Row],[QT_AREA_REAL]],ESTIMATIVA[[#This Row],[QT_AREA_EST]]))</f>
        <v>17.36</v>
      </c>
      <c r="Z11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17.36</v>
      </c>
      <c r="AA114" s="1">
        <f>ESTIMATIVA[[#This Row],[QT_CANA_EST]]</f>
        <v>1215.2</v>
      </c>
      <c r="AB114" s="1">
        <f>IF(ESTIMATIVA[[#This Row],[QT_CANA_REST1]]&gt;0,ESTIMATIVA[[#This Row],[QT_CANA_REST1]],
  IF(ESTIMATIVA[[#This Row],[QT_CANA_REAL]]&gt;0,ESTIMATIVA[[#This Row],[QT_CANA_REAL]],ESTIMATIVA[[#This Row],[QT_CANA_EST]]))</f>
        <v>1215.2</v>
      </c>
      <c r="AC11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1145.76</v>
      </c>
      <c r="AD114" s="1">
        <f>IF(ESTIMATIVA[[#This Row],[QT_AREA_REAL]]&gt;0,ESTIMATIVA[[#This Row],[QT_CANA_REAL]],ESTIMATIVA[[#This Row],[QT_CANA_EST]])</f>
        <v>699.73</v>
      </c>
      <c r="AE114" s="1">
        <f>IF(ESTIMATIVA[[#This Row],[QT_AREA_REAL]]&gt;0,ESTIMATIVA[[#This Row],[QT_CANA_REAL]],ESTIMATIVA[[#This Row],[QT_CANA_REST1]])</f>
        <v>699.73</v>
      </c>
      <c r="AF114" s="1">
        <f>IF(ESTIMATIVA[[#This Row],[QT_AREA_REAL]]&gt;0,ESTIMATIVA[[#This Row],[QT_CANA_REAL]],ESTIMATIVA[[#This Row],[QT_CANA_REST2]])</f>
        <v>699.73</v>
      </c>
      <c r="AG114" s="1" t="str">
        <f>IF(COUNTIFS(GEADA!A:A,VALUE(ESTIMATIVA[[#This Row],[CD_UPNIVEL1]]&amp;TEXT(ESTIMATIVA[[#This Row],[CD_UPNIVEL3]],"0000")))&gt;0,"S","N")</f>
        <v>N</v>
      </c>
      <c r="AH11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4" s="55" t="str">
        <f>IF(ESTIMATIVA[[#This Row],[TP_CULTIVO]]="Irrigado",_xlfn.MAXIFS(IRRIGADO!J:J,IRRIGADO!C:C,ESTIMATIVA[[#This Row],[CD_UPNIVEL1]],IRRIGADO!E:E,ESTIMATIVA[[#This Row],[CD_UPNIVEL3]]),"")</f>
        <v/>
      </c>
      <c r="AJ11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4" s="1">
        <f>COUNTIFS(Apresentação!$E$23:$E$29,ESTIMATIVA[[#This Row],[CD_UPNIVEL1]])</f>
        <v>0</v>
      </c>
    </row>
    <row r="115" spans="1:37" x14ac:dyDescent="0.3">
      <c r="A115">
        <v>10328</v>
      </c>
      <c r="B115" t="s">
        <v>17</v>
      </c>
      <c r="C115">
        <v>15</v>
      </c>
      <c r="D115">
        <v>3</v>
      </c>
      <c r="E115" t="s">
        <v>263</v>
      </c>
      <c r="F115" s="85" t="s">
        <v>331</v>
      </c>
      <c r="G115"/>
      <c r="H115" t="s">
        <v>294</v>
      </c>
      <c r="I115" t="s">
        <v>195</v>
      </c>
      <c r="J115" t="s">
        <v>176</v>
      </c>
      <c r="K115" s="1">
        <v>5.43</v>
      </c>
      <c r="L115" s="1">
        <v>5.43</v>
      </c>
      <c r="M115" s="1">
        <v>0</v>
      </c>
      <c r="N115" s="1">
        <v>5.43</v>
      </c>
      <c r="O115" s="1">
        <v>380.1</v>
      </c>
      <c r="P115" s="1">
        <v>380.1</v>
      </c>
      <c r="Q115" s="1">
        <v>0</v>
      </c>
      <c r="R115" s="1">
        <v>165.37</v>
      </c>
      <c r="S115" t="s">
        <v>12</v>
      </c>
      <c r="T115" s="13">
        <v>45851</v>
      </c>
      <c r="U115" s="1" t="str">
        <f>IF(ESTIMATIVA[[#This Row],[QT_AREA_REAL]]&gt;0,"1- Colhido","2- à Colher")</f>
        <v>1- Colhido</v>
      </c>
      <c r="V115" s="1" t="str">
        <f>IF(ESTIMATIVA[[#This Row],[QT_AREA_REST1]]&gt;0,"Reestimativa 1",IF(ESTIMATIVA[[#This Row],[QT_AREA_REAL]]=0,"Reestimativa 1","Realizado"))</f>
        <v>Reestimativa 1</v>
      </c>
      <c r="W115" s="1" t="str">
        <f>IF(ESTIMATIVA[[#This Row],[QT_AREA_REST2]]&gt;0,"Reestimativa 2",IF(ESTIMATIVA[[#This Row],[QT_AREA_REAL]]=0,"Reestimativa 2","Realizado"))</f>
        <v>Realizado</v>
      </c>
      <c r="X115" s="1">
        <f>ESTIMATIVA[[#This Row],[QT_AREA_EST]]</f>
        <v>5.43</v>
      </c>
      <c r="Y115" s="1">
        <f>IF(ESTIMATIVA[[#This Row],[QT_AREA_REST1]]&gt;0,ESTIMATIVA[[#This Row],[QT_AREA_REST1]],
  IF(ESTIMATIVA[[#This Row],[QT_AREA_REAL]]&gt;0,ESTIMATIVA[[#This Row],[QT_AREA_REAL]],ESTIMATIVA[[#This Row],[QT_AREA_EST]]))</f>
        <v>5.43</v>
      </c>
      <c r="Z11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5.43</v>
      </c>
      <c r="AA115" s="1">
        <f>ESTIMATIVA[[#This Row],[QT_CANA_EST]]</f>
        <v>380.1</v>
      </c>
      <c r="AB115" s="1">
        <f>IF(ESTIMATIVA[[#This Row],[QT_CANA_REST1]]&gt;0,ESTIMATIVA[[#This Row],[QT_CANA_REST1]],
  IF(ESTIMATIVA[[#This Row],[QT_CANA_REAL]]&gt;0,ESTIMATIVA[[#This Row],[QT_CANA_REAL]],ESTIMATIVA[[#This Row],[QT_CANA_EST]]))</f>
        <v>380.1</v>
      </c>
      <c r="AC11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165.37</v>
      </c>
      <c r="AD115" s="1">
        <f>IF(ESTIMATIVA[[#This Row],[QT_AREA_REAL]]&gt;0,ESTIMATIVA[[#This Row],[QT_CANA_REAL]],ESTIMATIVA[[#This Row],[QT_CANA_EST]])</f>
        <v>165.37</v>
      </c>
      <c r="AE115" s="1">
        <f>IF(ESTIMATIVA[[#This Row],[QT_AREA_REAL]]&gt;0,ESTIMATIVA[[#This Row],[QT_CANA_REAL]],ESTIMATIVA[[#This Row],[QT_CANA_REST1]])</f>
        <v>165.37</v>
      </c>
      <c r="AF115" s="1">
        <f>IF(ESTIMATIVA[[#This Row],[QT_AREA_REAL]]&gt;0,ESTIMATIVA[[#This Row],[QT_CANA_REAL]],ESTIMATIVA[[#This Row],[QT_CANA_REST2]])</f>
        <v>165.37</v>
      </c>
      <c r="AG115" s="1" t="str">
        <f>IF(COUNTIFS(GEADA!A:A,VALUE(ESTIMATIVA[[#This Row],[CD_UPNIVEL1]]&amp;TEXT(ESTIMATIVA[[#This Row],[CD_UPNIVEL3]],"0000")))&gt;0,"S","N")</f>
        <v>S</v>
      </c>
      <c r="AH11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5" s="55" t="str">
        <f>IF(ESTIMATIVA[[#This Row],[TP_CULTIVO]]="Irrigado",_xlfn.MAXIFS(IRRIGADO!J:J,IRRIGADO!C:C,ESTIMATIVA[[#This Row],[CD_UPNIVEL1]],IRRIGADO!E:E,ESTIMATIVA[[#This Row],[CD_UPNIVEL3]]),"")</f>
        <v/>
      </c>
      <c r="AJ11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5" s="1">
        <f>COUNTIFS(Apresentação!$E$23:$E$29,ESTIMATIVA[[#This Row],[CD_UPNIVEL1]])</f>
        <v>0</v>
      </c>
    </row>
    <row r="116" spans="1:37" x14ac:dyDescent="0.3">
      <c r="A116">
        <v>10328</v>
      </c>
      <c r="B116" t="s">
        <v>17</v>
      </c>
      <c r="C116">
        <v>16</v>
      </c>
      <c r="D116">
        <v>3</v>
      </c>
      <c r="E116" t="s">
        <v>263</v>
      </c>
      <c r="F116" s="85" t="s">
        <v>331</v>
      </c>
      <c r="G116"/>
      <c r="H116" t="s">
        <v>294</v>
      </c>
      <c r="I116" t="s">
        <v>198</v>
      </c>
      <c r="J116" t="s">
        <v>176</v>
      </c>
      <c r="K116" s="1">
        <v>26.02</v>
      </c>
      <c r="L116" s="1">
        <v>0</v>
      </c>
      <c r="M116" s="1">
        <v>0</v>
      </c>
      <c r="N116" s="1">
        <v>26.02</v>
      </c>
      <c r="O116" s="1">
        <v>1873.44</v>
      </c>
      <c r="P116" s="1">
        <v>0</v>
      </c>
      <c r="Q116" s="1">
        <v>0</v>
      </c>
      <c r="R116" s="1">
        <v>1634.07</v>
      </c>
      <c r="S116" t="s">
        <v>12</v>
      </c>
      <c r="T116" s="13">
        <v>45753</v>
      </c>
      <c r="U116" s="1" t="str">
        <f>IF(ESTIMATIVA[[#This Row],[QT_AREA_REAL]]&gt;0,"1- Colhido","2- à Colher")</f>
        <v>1- Colhido</v>
      </c>
      <c r="V116" s="1" t="str">
        <f>IF(ESTIMATIVA[[#This Row],[QT_AREA_REST1]]&gt;0,"Reestimativa 1",IF(ESTIMATIVA[[#This Row],[QT_AREA_REAL]]=0,"Reestimativa 1","Realizado"))</f>
        <v>Realizado</v>
      </c>
      <c r="W116" s="1" t="str">
        <f>IF(ESTIMATIVA[[#This Row],[QT_AREA_REST2]]&gt;0,"Reestimativa 2",IF(ESTIMATIVA[[#This Row],[QT_AREA_REAL]]=0,"Reestimativa 2","Realizado"))</f>
        <v>Realizado</v>
      </c>
      <c r="X116" s="1">
        <f>ESTIMATIVA[[#This Row],[QT_AREA_EST]]</f>
        <v>26.02</v>
      </c>
      <c r="Y116" s="1">
        <f>IF(ESTIMATIVA[[#This Row],[QT_AREA_REST1]]&gt;0,ESTIMATIVA[[#This Row],[QT_AREA_REST1]],
  IF(ESTIMATIVA[[#This Row],[QT_AREA_REAL]]&gt;0,ESTIMATIVA[[#This Row],[QT_AREA_REAL]],ESTIMATIVA[[#This Row],[QT_AREA_EST]]))</f>
        <v>26.02</v>
      </c>
      <c r="Z11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26.02</v>
      </c>
      <c r="AA116" s="1">
        <f>ESTIMATIVA[[#This Row],[QT_CANA_EST]]</f>
        <v>1873.44</v>
      </c>
      <c r="AB116" s="1">
        <f>IF(ESTIMATIVA[[#This Row],[QT_CANA_REST1]]&gt;0,ESTIMATIVA[[#This Row],[QT_CANA_REST1]],
  IF(ESTIMATIVA[[#This Row],[QT_CANA_REAL]]&gt;0,ESTIMATIVA[[#This Row],[QT_CANA_REAL]],ESTIMATIVA[[#This Row],[QT_CANA_EST]]))</f>
        <v>1634.07</v>
      </c>
      <c r="AC11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1634.07</v>
      </c>
      <c r="AD116" s="1">
        <f>IF(ESTIMATIVA[[#This Row],[QT_AREA_REAL]]&gt;0,ESTIMATIVA[[#This Row],[QT_CANA_REAL]],ESTIMATIVA[[#This Row],[QT_CANA_EST]])</f>
        <v>1634.07</v>
      </c>
      <c r="AE116" s="1">
        <f>IF(ESTIMATIVA[[#This Row],[QT_AREA_REAL]]&gt;0,ESTIMATIVA[[#This Row],[QT_CANA_REAL]],ESTIMATIVA[[#This Row],[QT_CANA_REST1]])</f>
        <v>1634.07</v>
      </c>
      <c r="AF116" s="1">
        <f>IF(ESTIMATIVA[[#This Row],[QT_AREA_REAL]]&gt;0,ESTIMATIVA[[#This Row],[QT_CANA_REAL]],ESTIMATIVA[[#This Row],[QT_CANA_REST2]])</f>
        <v>1634.07</v>
      </c>
      <c r="AG116" s="1" t="str">
        <f>IF(COUNTIFS(GEADA!A:A,VALUE(ESTIMATIVA[[#This Row],[CD_UPNIVEL1]]&amp;TEXT(ESTIMATIVA[[#This Row],[CD_UPNIVEL3]],"0000")))&gt;0,"S","N")</f>
        <v>N</v>
      </c>
      <c r="AH11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6" s="55" t="str">
        <f>IF(ESTIMATIVA[[#This Row],[TP_CULTIVO]]="Irrigado",_xlfn.MAXIFS(IRRIGADO!J:J,IRRIGADO!C:C,ESTIMATIVA[[#This Row],[CD_UPNIVEL1]],IRRIGADO!E:E,ESTIMATIVA[[#This Row],[CD_UPNIVEL3]]),"")</f>
        <v/>
      </c>
      <c r="AJ11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6" s="1">
        <f>COUNTIFS(Apresentação!$E$23:$E$29,ESTIMATIVA[[#This Row],[CD_UPNIVEL1]])</f>
        <v>0</v>
      </c>
    </row>
    <row r="117" spans="1:37" x14ac:dyDescent="0.3">
      <c r="A117">
        <v>10328</v>
      </c>
      <c r="B117" t="s">
        <v>17</v>
      </c>
      <c r="C117">
        <v>17</v>
      </c>
      <c r="D117">
        <v>3</v>
      </c>
      <c r="E117" t="s">
        <v>263</v>
      </c>
      <c r="F117" s="85" t="s">
        <v>331</v>
      </c>
      <c r="G117"/>
      <c r="H117" t="s">
        <v>294</v>
      </c>
      <c r="I117" t="s">
        <v>198</v>
      </c>
      <c r="J117" t="s">
        <v>176</v>
      </c>
      <c r="K117" s="1">
        <v>11.73</v>
      </c>
      <c r="L117" s="1">
        <v>0</v>
      </c>
      <c r="M117" s="1">
        <v>0</v>
      </c>
      <c r="N117" s="1">
        <v>11.73</v>
      </c>
      <c r="O117" s="1">
        <v>844.56</v>
      </c>
      <c r="P117" s="1">
        <v>0</v>
      </c>
      <c r="Q117" s="1">
        <v>0</v>
      </c>
      <c r="R117" s="1">
        <v>737.19</v>
      </c>
      <c r="S117" t="s">
        <v>12</v>
      </c>
      <c r="T117" s="13">
        <v>45753</v>
      </c>
      <c r="U117" s="1" t="str">
        <f>IF(ESTIMATIVA[[#This Row],[QT_AREA_REAL]]&gt;0,"1- Colhido","2- à Colher")</f>
        <v>1- Colhido</v>
      </c>
      <c r="V117" s="1" t="str">
        <f>IF(ESTIMATIVA[[#This Row],[QT_AREA_REST1]]&gt;0,"Reestimativa 1",IF(ESTIMATIVA[[#This Row],[QT_AREA_REAL]]=0,"Reestimativa 1","Realizado"))</f>
        <v>Realizado</v>
      </c>
      <c r="W117" s="1" t="str">
        <f>IF(ESTIMATIVA[[#This Row],[QT_AREA_REST2]]&gt;0,"Reestimativa 2",IF(ESTIMATIVA[[#This Row],[QT_AREA_REAL]]=0,"Reestimativa 2","Realizado"))</f>
        <v>Realizado</v>
      </c>
      <c r="X117" s="1">
        <f>ESTIMATIVA[[#This Row],[QT_AREA_EST]]</f>
        <v>11.73</v>
      </c>
      <c r="Y117" s="1">
        <f>IF(ESTIMATIVA[[#This Row],[QT_AREA_REST1]]&gt;0,ESTIMATIVA[[#This Row],[QT_AREA_REST1]],
  IF(ESTIMATIVA[[#This Row],[QT_AREA_REAL]]&gt;0,ESTIMATIVA[[#This Row],[QT_AREA_REAL]],ESTIMATIVA[[#This Row],[QT_AREA_EST]]))</f>
        <v>11.73</v>
      </c>
      <c r="Z11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11.73</v>
      </c>
      <c r="AA117" s="1">
        <f>ESTIMATIVA[[#This Row],[QT_CANA_EST]]</f>
        <v>844.56</v>
      </c>
      <c r="AB117" s="1">
        <f>IF(ESTIMATIVA[[#This Row],[QT_CANA_REST1]]&gt;0,ESTIMATIVA[[#This Row],[QT_CANA_REST1]],
  IF(ESTIMATIVA[[#This Row],[QT_CANA_REAL]]&gt;0,ESTIMATIVA[[#This Row],[QT_CANA_REAL]],ESTIMATIVA[[#This Row],[QT_CANA_EST]]))</f>
        <v>737.19</v>
      </c>
      <c r="AC11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737.19</v>
      </c>
      <c r="AD117" s="1">
        <f>IF(ESTIMATIVA[[#This Row],[QT_AREA_REAL]]&gt;0,ESTIMATIVA[[#This Row],[QT_CANA_REAL]],ESTIMATIVA[[#This Row],[QT_CANA_EST]])</f>
        <v>737.19</v>
      </c>
      <c r="AE117" s="1">
        <f>IF(ESTIMATIVA[[#This Row],[QT_AREA_REAL]]&gt;0,ESTIMATIVA[[#This Row],[QT_CANA_REAL]],ESTIMATIVA[[#This Row],[QT_CANA_REST1]])</f>
        <v>737.19</v>
      </c>
      <c r="AF117" s="1">
        <f>IF(ESTIMATIVA[[#This Row],[QT_AREA_REAL]]&gt;0,ESTIMATIVA[[#This Row],[QT_CANA_REAL]],ESTIMATIVA[[#This Row],[QT_CANA_REST2]])</f>
        <v>737.19</v>
      </c>
      <c r="AG117" s="1" t="str">
        <f>IF(COUNTIFS(GEADA!A:A,VALUE(ESTIMATIVA[[#This Row],[CD_UPNIVEL1]]&amp;TEXT(ESTIMATIVA[[#This Row],[CD_UPNIVEL3]],"0000")))&gt;0,"S","N")</f>
        <v>N</v>
      </c>
      <c r="AH11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7" s="55" t="str">
        <f>IF(ESTIMATIVA[[#This Row],[TP_CULTIVO]]="Irrigado",_xlfn.MAXIFS(IRRIGADO!J:J,IRRIGADO!C:C,ESTIMATIVA[[#This Row],[CD_UPNIVEL1]],IRRIGADO!E:E,ESTIMATIVA[[#This Row],[CD_UPNIVEL3]]),"")</f>
        <v/>
      </c>
      <c r="AJ11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7" s="1">
        <f>COUNTIFS(Apresentação!$E$23:$E$29,ESTIMATIVA[[#This Row],[CD_UPNIVEL1]])</f>
        <v>0</v>
      </c>
    </row>
    <row r="118" spans="1:37" x14ac:dyDescent="0.3">
      <c r="A118">
        <v>10328</v>
      </c>
      <c r="B118" t="s">
        <v>17</v>
      </c>
      <c r="C118">
        <v>18</v>
      </c>
      <c r="D118">
        <v>3</v>
      </c>
      <c r="E118" t="s">
        <v>263</v>
      </c>
      <c r="F118" s="85" t="s">
        <v>331</v>
      </c>
      <c r="G118"/>
      <c r="H118" t="s">
        <v>294</v>
      </c>
      <c r="I118" t="s">
        <v>198</v>
      </c>
      <c r="J118" t="s">
        <v>176</v>
      </c>
      <c r="K118" s="1">
        <v>4.8899999999999997</v>
      </c>
      <c r="L118" s="1">
        <v>0</v>
      </c>
      <c r="M118" s="1">
        <v>0</v>
      </c>
      <c r="N118" s="1">
        <v>4.8899999999999997</v>
      </c>
      <c r="O118" s="1">
        <v>352.08</v>
      </c>
      <c r="P118" s="1">
        <v>0</v>
      </c>
      <c r="Q118" s="1">
        <v>0</v>
      </c>
      <c r="R118" s="1">
        <v>307.19</v>
      </c>
      <c r="S118" t="s">
        <v>12</v>
      </c>
      <c r="T118" s="13">
        <v>45753</v>
      </c>
      <c r="U118" s="1" t="str">
        <f>IF(ESTIMATIVA[[#This Row],[QT_AREA_REAL]]&gt;0,"1- Colhido","2- à Colher")</f>
        <v>1- Colhido</v>
      </c>
      <c r="V118" s="1" t="str">
        <f>IF(ESTIMATIVA[[#This Row],[QT_AREA_REST1]]&gt;0,"Reestimativa 1",IF(ESTIMATIVA[[#This Row],[QT_AREA_REAL]]=0,"Reestimativa 1","Realizado"))</f>
        <v>Realizado</v>
      </c>
      <c r="W118" s="1" t="str">
        <f>IF(ESTIMATIVA[[#This Row],[QT_AREA_REST2]]&gt;0,"Reestimativa 2",IF(ESTIMATIVA[[#This Row],[QT_AREA_REAL]]=0,"Reestimativa 2","Realizado"))</f>
        <v>Realizado</v>
      </c>
      <c r="X118" s="1">
        <f>ESTIMATIVA[[#This Row],[QT_AREA_EST]]</f>
        <v>4.8899999999999997</v>
      </c>
      <c r="Y118" s="1">
        <f>IF(ESTIMATIVA[[#This Row],[QT_AREA_REST1]]&gt;0,ESTIMATIVA[[#This Row],[QT_AREA_REST1]],
  IF(ESTIMATIVA[[#This Row],[QT_AREA_REAL]]&gt;0,ESTIMATIVA[[#This Row],[QT_AREA_REAL]],ESTIMATIVA[[#This Row],[QT_AREA_EST]]))</f>
        <v>4.8899999999999997</v>
      </c>
      <c r="Z11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4.8899999999999997</v>
      </c>
      <c r="AA118" s="1">
        <f>ESTIMATIVA[[#This Row],[QT_CANA_EST]]</f>
        <v>352.08</v>
      </c>
      <c r="AB118" s="1">
        <f>IF(ESTIMATIVA[[#This Row],[QT_CANA_REST1]]&gt;0,ESTIMATIVA[[#This Row],[QT_CANA_REST1]],
  IF(ESTIMATIVA[[#This Row],[QT_CANA_REAL]]&gt;0,ESTIMATIVA[[#This Row],[QT_CANA_REAL]],ESTIMATIVA[[#This Row],[QT_CANA_EST]]))</f>
        <v>307.19</v>
      </c>
      <c r="AC11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307.19</v>
      </c>
      <c r="AD118" s="1">
        <f>IF(ESTIMATIVA[[#This Row],[QT_AREA_REAL]]&gt;0,ESTIMATIVA[[#This Row],[QT_CANA_REAL]],ESTIMATIVA[[#This Row],[QT_CANA_EST]])</f>
        <v>307.19</v>
      </c>
      <c r="AE118" s="1">
        <f>IF(ESTIMATIVA[[#This Row],[QT_AREA_REAL]]&gt;0,ESTIMATIVA[[#This Row],[QT_CANA_REAL]],ESTIMATIVA[[#This Row],[QT_CANA_REST1]])</f>
        <v>307.19</v>
      </c>
      <c r="AF118" s="1">
        <f>IF(ESTIMATIVA[[#This Row],[QT_AREA_REAL]]&gt;0,ESTIMATIVA[[#This Row],[QT_CANA_REAL]],ESTIMATIVA[[#This Row],[QT_CANA_REST2]])</f>
        <v>307.19</v>
      </c>
      <c r="AG118" s="1" t="str">
        <f>IF(COUNTIFS(GEADA!A:A,VALUE(ESTIMATIVA[[#This Row],[CD_UPNIVEL1]]&amp;TEXT(ESTIMATIVA[[#This Row],[CD_UPNIVEL3]],"0000")))&gt;0,"S","N")</f>
        <v>N</v>
      </c>
      <c r="AH11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8" s="55" t="str">
        <f>IF(ESTIMATIVA[[#This Row],[TP_CULTIVO]]="Irrigado",_xlfn.MAXIFS(IRRIGADO!J:J,IRRIGADO!C:C,ESTIMATIVA[[#This Row],[CD_UPNIVEL1]],IRRIGADO!E:E,ESTIMATIVA[[#This Row],[CD_UPNIVEL3]]),"")</f>
        <v/>
      </c>
      <c r="AJ11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8" s="1">
        <f>COUNTIFS(Apresentação!$E$23:$E$29,ESTIMATIVA[[#This Row],[CD_UPNIVEL1]])</f>
        <v>0</v>
      </c>
    </row>
    <row r="119" spans="1:37" x14ac:dyDescent="0.3">
      <c r="A119">
        <v>10335</v>
      </c>
      <c r="B119" t="s">
        <v>18</v>
      </c>
      <c r="C119">
        <v>1</v>
      </c>
      <c r="D119">
        <v>3</v>
      </c>
      <c r="E119" t="s">
        <v>263</v>
      </c>
      <c r="F119" s="85" t="s">
        <v>331</v>
      </c>
      <c r="G119"/>
      <c r="H119" t="s">
        <v>294</v>
      </c>
      <c r="I119" t="s">
        <v>203</v>
      </c>
      <c r="J119" t="s">
        <v>176</v>
      </c>
      <c r="K119" s="1">
        <v>4.59</v>
      </c>
      <c r="L119" s="1">
        <v>4.59</v>
      </c>
      <c r="M119" s="1">
        <v>4.59</v>
      </c>
      <c r="N119" s="1">
        <v>4.59</v>
      </c>
      <c r="O119" s="1">
        <v>367.2</v>
      </c>
      <c r="P119" s="1">
        <v>367.2</v>
      </c>
      <c r="Q119" s="1">
        <v>339.66</v>
      </c>
      <c r="R119" s="1">
        <v>258.97000000000003</v>
      </c>
      <c r="S119" t="s">
        <v>12</v>
      </c>
      <c r="T119" s="13">
        <v>45998</v>
      </c>
      <c r="U119" s="1" t="str">
        <f>IF(ESTIMATIVA[[#This Row],[QT_AREA_REAL]]&gt;0,"1- Colhido","2- à Colher")</f>
        <v>1- Colhido</v>
      </c>
      <c r="V119" s="1" t="str">
        <f>IF(ESTIMATIVA[[#This Row],[QT_AREA_REST1]]&gt;0,"Reestimativa 1",IF(ESTIMATIVA[[#This Row],[QT_AREA_REAL]]=0,"Reestimativa 1","Realizado"))</f>
        <v>Reestimativa 1</v>
      </c>
      <c r="W119" s="1" t="str">
        <f>IF(ESTIMATIVA[[#This Row],[QT_AREA_REST2]]&gt;0,"Reestimativa 2",IF(ESTIMATIVA[[#This Row],[QT_AREA_REAL]]=0,"Reestimativa 2","Realizado"))</f>
        <v>Reestimativa 2</v>
      </c>
      <c r="X119" s="1">
        <f>ESTIMATIVA[[#This Row],[QT_AREA_EST]]</f>
        <v>4.59</v>
      </c>
      <c r="Y119" s="1">
        <f>IF(ESTIMATIVA[[#This Row],[QT_AREA_REST1]]&gt;0,ESTIMATIVA[[#This Row],[QT_AREA_REST1]],
  IF(ESTIMATIVA[[#This Row],[QT_AREA_REAL]]&gt;0,ESTIMATIVA[[#This Row],[QT_AREA_REAL]],ESTIMATIVA[[#This Row],[QT_AREA_EST]]))</f>
        <v>4.59</v>
      </c>
      <c r="Z11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4.59</v>
      </c>
      <c r="AA119" s="1">
        <f>ESTIMATIVA[[#This Row],[QT_CANA_EST]]</f>
        <v>367.2</v>
      </c>
      <c r="AB119" s="1">
        <f>IF(ESTIMATIVA[[#This Row],[QT_CANA_REST1]]&gt;0,ESTIMATIVA[[#This Row],[QT_CANA_REST1]],
  IF(ESTIMATIVA[[#This Row],[QT_CANA_REAL]]&gt;0,ESTIMATIVA[[#This Row],[QT_CANA_REAL]],ESTIMATIVA[[#This Row],[QT_CANA_EST]]))</f>
        <v>367.2</v>
      </c>
      <c r="AC11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339.66</v>
      </c>
      <c r="AD119" s="1">
        <f>IF(ESTIMATIVA[[#This Row],[QT_AREA_REAL]]&gt;0,ESTIMATIVA[[#This Row],[QT_CANA_REAL]],ESTIMATIVA[[#This Row],[QT_CANA_EST]])</f>
        <v>258.97000000000003</v>
      </c>
      <c r="AE119" s="1">
        <f>IF(ESTIMATIVA[[#This Row],[QT_AREA_REAL]]&gt;0,ESTIMATIVA[[#This Row],[QT_CANA_REAL]],ESTIMATIVA[[#This Row],[QT_CANA_REST1]])</f>
        <v>258.97000000000003</v>
      </c>
      <c r="AF119" s="1">
        <f>IF(ESTIMATIVA[[#This Row],[QT_AREA_REAL]]&gt;0,ESTIMATIVA[[#This Row],[QT_CANA_REAL]],ESTIMATIVA[[#This Row],[QT_CANA_REST2]])</f>
        <v>258.97000000000003</v>
      </c>
      <c r="AG119" s="1" t="str">
        <f>IF(COUNTIFS(GEADA!A:A,VALUE(ESTIMATIVA[[#This Row],[CD_UPNIVEL1]]&amp;TEXT(ESTIMATIVA[[#This Row],[CD_UPNIVEL3]],"0000")))&gt;0,"S","N")</f>
        <v>N</v>
      </c>
      <c r="AH11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9" s="55" t="str">
        <f>IF(ESTIMATIVA[[#This Row],[TP_CULTIVO]]="Irrigado",_xlfn.MAXIFS(IRRIGADO!J:J,IRRIGADO!C:C,ESTIMATIVA[[#This Row],[CD_UPNIVEL1]],IRRIGADO!E:E,ESTIMATIVA[[#This Row],[CD_UPNIVEL3]]),"")</f>
        <v/>
      </c>
      <c r="AJ11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9" s="1">
        <f>COUNTIFS(Apresentação!$E$23:$E$29,ESTIMATIVA[[#This Row],[CD_UPNIVEL1]])</f>
        <v>0</v>
      </c>
    </row>
    <row r="120" spans="1:37" x14ac:dyDescent="0.3">
      <c r="A120">
        <v>10335</v>
      </c>
      <c r="B120" t="s">
        <v>18</v>
      </c>
      <c r="C120">
        <v>2</v>
      </c>
      <c r="D120">
        <v>3</v>
      </c>
      <c r="E120" t="s">
        <v>263</v>
      </c>
      <c r="F120" s="85" t="s">
        <v>331</v>
      </c>
      <c r="G120"/>
      <c r="H120" t="s">
        <v>294</v>
      </c>
      <c r="I120" t="s">
        <v>203</v>
      </c>
      <c r="J120" t="s">
        <v>176</v>
      </c>
      <c r="K120" s="1">
        <v>16.579999999999998</v>
      </c>
      <c r="L120" s="1">
        <v>16.579999999999998</v>
      </c>
      <c r="M120" s="1">
        <v>16.579999999999998</v>
      </c>
      <c r="N120" s="1">
        <v>16.579999999999998</v>
      </c>
      <c r="O120" s="1">
        <v>1326.4</v>
      </c>
      <c r="P120" s="1">
        <v>1326.4</v>
      </c>
      <c r="Q120" s="1">
        <v>1226.92</v>
      </c>
      <c r="R120" s="1">
        <v>934.66</v>
      </c>
      <c r="S120" t="s">
        <v>12</v>
      </c>
      <c r="T120" s="13">
        <v>45998</v>
      </c>
      <c r="U120" s="1" t="str">
        <f>IF(ESTIMATIVA[[#This Row],[QT_AREA_REAL]]&gt;0,"1- Colhido","2- à Colher")</f>
        <v>1- Colhido</v>
      </c>
      <c r="V120" s="1" t="str">
        <f>IF(ESTIMATIVA[[#This Row],[QT_AREA_REST1]]&gt;0,"Reestimativa 1",IF(ESTIMATIVA[[#This Row],[QT_AREA_REAL]]=0,"Reestimativa 1","Realizado"))</f>
        <v>Reestimativa 1</v>
      </c>
      <c r="W120" s="1" t="str">
        <f>IF(ESTIMATIVA[[#This Row],[QT_AREA_REST2]]&gt;0,"Reestimativa 2",IF(ESTIMATIVA[[#This Row],[QT_AREA_REAL]]=0,"Reestimativa 2","Realizado"))</f>
        <v>Reestimativa 2</v>
      </c>
      <c r="X120" s="1">
        <f>ESTIMATIVA[[#This Row],[QT_AREA_EST]]</f>
        <v>16.579999999999998</v>
      </c>
      <c r="Y120" s="1">
        <f>IF(ESTIMATIVA[[#This Row],[QT_AREA_REST1]]&gt;0,ESTIMATIVA[[#This Row],[QT_AREA_REST1]],
  IF(ESTIMATIVA[[#This Row],[QT_AREA_REAL]]&gt;0,ESTIMATIVA[[#This Row],[QT_AREA_REAL]],ESTIMATIVA[[#This Row],[QT_AREA_EST]]))</f>
        <v>16.579999999999998</v>
      </c>
      <c r="Z12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16.579999999999998</v>
      </c>
      <c r="AA120" s="1">
        <f>ESTIMATIVA[[#This Row],[QT_CANA_EST]]</f>
        <v>1326.4</v>
      </c>
      <c r="AB120" s="1">
        <f>IF(ESTIMATIVA[[#This Row],[QT_CANA_REST1]]&gt;0,ESTIMATIVA[[#This Row],[QT_CANA_REST1]],
  IF(ESTIMATIVA[[#This Row],[QT_CANA_REAL]]&gt;0,ESTIMATIVA[[#This Row],[QT_CANA_REAL]],ESTIMATIVA[[#This Row],[QT_CANA_EST]]))</f>
        <v>1326.4</v>
      </c>
      <c r="AC12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1226.92</v>
      </c>
      <c r="AD120" s="1">
        <f>IF(ESTIMATIVA[[#This Row],[QT_AREA_REAL]]&gt;0,ESTIMATIVA[[#This Row],[QT_CANA_REAL]],ESTIMATIVA[[#This Row],[QT_CANA_EST]])</f>
        <v>934.66</v>
      </c>
      <c r="AE120" s="1">
        <f>IF(ESTIMATIVA[[#This Row],[QT_AREA_REAL]]&gt;0,ESTIMATIVA[[#This Row],[QT_CANA_REAL]],ESTIMATIVA[[#This Row],[QT_CANA_REST1]])</f>
        <v>934.66</v>
      </c>
      <c r="AF120" s="1">
        <f>IF(ESTIMATIVA[[#This Row],[QT_AREA_REAL]]&gt;0,ESTIMATIVA[[#This Row],[QT_CANA_REAL]],ESTIMATIVA[[#This Row],[QT_CANA_REST2]])</f>
        <v>934.66</v>
      </c>
      <c r="AG120" s="1" t="str">
        <f>IF(COUNTIFS(GEADA!A:A,VALUE(ESTIMATIVA[[#This Row],[CD_UPNIVEL1]]&amp;TEXT(ESTIMATIVA[[#This Row],[CD_UPNIVEL3]],"0000")))&gt;0,"S","N")</f>
        <v>N</v>
      </c>
      <c r="AH12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0" s="55" t="str">
        <f>IF(ESTIMATIVA[[#This Row],[TP_CULTIVO]]="Irrigado",_xlfn.MAXIFS(IRRIGADO!J:J,IRRIGADO!C:C,ESTIMATIVA[[#This Row],[CD_UPNIVEL1]],IRRIGADO!E:E,ESTIMATIVA[[#This Row],[CD_UPNIVEL3]]),"")</f>
        <v/>
      </c>
      <c r="AJ12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0" s="1">
        <f>COUNTIFS(Apresentação!$E$23:$E$29,ESTIMATIVA[[#This Row],[CD_UPNIVEL1]])</f>
        <v>0</v>
      </c>
    </row>
    <row r="121" spans="1:37" x14ac:dyDescent="0.3">
      <c r="A121">
        <v>10335</v>
      </c>
      <c r="B121" t="s">
        <v>18</v>
      </c>
      <c r="C121">
        <v>3</v>
      </c>
      <c r="D121">
        <v>3</v>
      </c>
      <c r="E121" t="s">
        <v>263</v>
      </c>
      <c r="F121" s="85" t="s">
        <v>331</v>
      </c>
      <c r="G121"/>
      <c r="H121" t="s">
        <v>294</v>
      </c>
      <c r="I121" t="s">
        <v>200</v>
      </c>
      <c r="J121" t="s">
        <v>176</v>
      </c>
      <c r="K121" s="1">
        <v>12.62</v>
      </c>
      <c r="L121" s="1">
        <v>12.62</v>
      </c>
      <c r="M121" s="1">
        <v>0</v>
      </c>
      <c r="N121" s="1">
        <v>12.62</v>
      </c>
      <c r="O121" s="1">
        <v>1072.7</v>
      </c>
      <c r="P121" s="1">
        <v>1072.7</v>
      </c>
      <c r="Q121" s="1">
        <v>0</v>
      </c>
      <c r="R121" s="1">
        <v>1094.69</v>
      </c>
      <c r="S121" t="s">
        <v>12</v>
      </c>
      <c r="T121" s="13">
        <v>45914</v>
      </c>
      <c r="U121" s="1" t="str">
        <f>IF(ESTIMATIVA[[#This Row],[QT_AREA_REAL]]&gt;0,"1- Colhido","2- à Colher")</f>
        <v>1- Colhido</v>
      </c>
      <c r="V121" s="1" t="str">
        <f>IF(ESTIMATIVA[[#This Row],[QT_AREA_REST1]]&gt;0,"Reestimativa 1",IF(ESTIMATIVA[[#This Row],[QT_AREA_REAL]]=0,"Reestimativa 1","Realizado"))</f>
        <v>Reestimativa 1</v>
      </c>
      <c r="W121" s="1" t="str">
        <f>IF(ESTIMATIVA[[#This Row],[QT_AREA_REST2]]&gt;0,"Reestimativa 2",IF(ESTIMATIVA[[#This Row],[QT_AREA_REAL]]=0,"Reestimativa 2","Realizado"))</f>
        <v>Realizado</v>
      </c>
      <c r="X121" s="1">
        <f>ESTIMATIVA[[#This Row],[QT_AREA_EST]]</f>
        <v>12.62</v>
      </c>
      <c r="Y121" s="1">
        <f>IF(ESTIMATIVA[[#This Row],[QT_AREA_REST1]]&gt;0,ESTIMATIVA[[#This Row],[QT_AREA_REST1]],
  IF(ESTIMATIVA[[#This Row],[QT_AREA_REAL]]&gt;0,ESTIMATIVA[[#This Row],[QT_AREA_REAL]],ESTIMATIVA[[#This Row],[QT_AREA_EST]]))</f>
        <v>12.62</v>
      </c>
      <c r="Z12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12.62</v>
      </c>
      <c r="AA121" s="1">
        <f>ESTIMATIVA[[#This Row],[QT_CANA_EST]]</f>
        <v>1072.7</v>
      </c>
      <c r="AB121" s="1">
        <f>IF(ESTIMATIVA[[#This Row],[QT_CANA_REST1]]&gt;0,ESTIMATIVA[[#This Row],[QT_CANA_REST1]],
  IF(ESTIMATIVA[[#This Row],[QT_CANA_REAL]]&gt;0,ESTIMATIVA[[#This Row],[QT_CANA_REAL]],ESTIMATIVA[[#This Row],[QT_CANA_EST]]))</f>
        <v>1072.7</v>
      </c>
      <c r="AC12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1094.69</v>
      </c>
      <c r="AD121" s="1">
        <f>IF(ESTIMATIVA[[#This Row],[QT_AREA_REAL]]&gt;0,ESTIMATIVA[[#This Row],[QT_CANA_REAL]],ESTIMATIVA[[#This Row],[QT_CANA_EST]])</f>
        <v>1094.69</v>
      </c>
      <c r="AE121" s="1">
        <f>IF(ESTIMATIVA[[#This Row],[QT_AREA_REAL]]&gt;0,ESTIMATIVA[[#This Row],[QT_CANA_REAL]],ESTIMATIVA[[#This Row],[QT_CANA_REST1]])</f>
        <v>1094.69</v>
      </c>
      <c r="AF121" s="1">
        <f>IF(ESTIMATIVA[[#This Row],[QT_AREA_REAL]]&gt;0,ESTIMATIVA[[#This Row],[QT_CANA_REAL]],ESTIMATIVA[[#This Row],[QT_CANA_REST2]])</f>
        <v>1094.69</v>
      </c>
      <c r="AG121" s="1" t="str">
        <f>IF(COUNTIFS(GEADA!A:A,VALUE(ESTIMATIVA[[#This Row],[CD_UPNIVEL1]]&amp;TEXT(ESTIMATIVA[[#This Row],[CD_UPNIVEL3]],"0000")))&gt;0,"S","N")</f>
        <v>N</v>
      </c>
      <c r="AH12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1" s="55" t="str">
        <f>IF(ESTIMATIVA[[#This Row],[TP_CULTIVO]]="Irrigado",_xlfn.MAXIFS(IRRIGADO!J:J,IRRIGADO!C:C,ESTIMATIVA[[#This Row],[CD_UPNIVEL1]],IRRIGADO!E:E,ESTIMATIVA[[#This Row],[CD_UPNIVEL3]]),"")</f>
        <v/>
      </c>
      <c r="AJ12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1" s="1">
        <f>COUNTIFS(Apresentação!$E$23:$E$29,ESTIMATIVA[[#This Row],[CD_UPNIVEL1]])</f>
        <v>0</v>
      </c>
    </row>
    <row r="122" spans="1:37" x14ac:dyDescent="0.3">
      <c r="A122">
        <v>10335</v>
      </c>
      <c r="B122" t="s">
        <v>18</v>
      </c>
      <c r="C122">
        <v>4</v>
      </c>
      <c r="D122">
        <v>3</v>
      </c>
      <c r="E122" t="s">
        <v>263</v>
      </c>
      <c r="F122" s="85" t="s">
        <v>331</v>
      </c>
      <c r="G122"/>
      <c r="H122" t="s">
        <v>294</v>
      </c>
      <c r="I122" t="s">
        <v>200</v>
      </c>
      <c r="J122" t="s">
        <v>176</v>
      </c>
      <c r="K122" s="1">
        <v>13.5</v>
      </c>
      <c r="L122" s="1">
        <v>13.5</v>
      </c>
      <c r="M122" s="1">
        <v>0</v>
      </c>
      <c r="N122" s="1">
        <v>13.5</v>
      </c>
      <c r="O122" s="1">
        <v>1147.5</v>
      </c>
      <c r="P122" s="1">
        <v>1147.5</v>
      </c>
      <c r="Q122" s="1">
        <v>0</v>
      </c>
      <c r="R122" s="1">
        <v>1171.29</v>
      </c>
      <c r="S122" t="s">
        <v>12</v>
      </c>
      <c r="T122" s="13">
        <v>45914</v>
      </c>
      <c r="U122" s="1" t="str">
        <f>IF(ESTIMATIVA[[#This Row],[QT_AREA_REAL]]&gt;0,"1- Colhido","2- à Colher")</f>
        <v>1- Colhido</v>
      </c>
      <c r="V122" s="1" t="str">
        <f>IF(ESTIMATIVA[[#This Row],[QT_AREA_REST1]]&gt;0,"Reestimativa 1",IF(ESTIMATIVA[[#This Row],[QT_AREA_REAL]]=0,"Reestimativa 1","Realizado"))</f>
        <v>Reestimativa 1</v>
      </c>
      <c r="W122" s="1" t="str">
        <f>IF(ESTIMATIVA[[#This Row],[QT_AREA_REST2]]&gt;0,"Reestimativa 2",IF(ESTIMATIVA[[#This Row],[QT_AREA_REAL]]=0,"Reestimativa 2","Realizado"))</f>
        <v>Realizado</v>
      </c>
      <c r="X122" s="1">
        <f>ESTIMATIVA[[#This Row],[QT_AREA_EST]]</f>
        <v>13.5</v>
      </c>
      <c r="Y122" s="1">
        <f>IF(ESTIMATIVA[[#This Row],[QT_AREA_REST1]]&gt;0,ESTIMATIVA[[#This Row],[QT_AREA_REST1]],
  IF(ESTIMATIVA[[#This Row],[QT_AREA_REAL]]&gt;0,ESTIMATIVA[[#This Row],[QT_AREA_REAL]],ESTIMATIVA[[#This Row],[QT_AREA_EST]]))</f>
        <v>13.5</v>
      </c>
      <c r="Z12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13.5</v>
      </c>
      <c r="AA122" s="1">
        <f>ESTIMATIVA[[#This Row],[QT_CANA_EST]]</f>
        <v>1147.5</v>
      </c>
      <c r="AB122" s="1">
        <f>IF(ESTIMATIVA[[#This Row],[QT_CANA_REST1]]&gt;0,ESTIMATIVA[[#This Row],[QT_CANA_REST1]],
  IF(ESTIMATIVA[[#This Row],[QT_CANA_REAL]]&gt;0,ESTIMATIVA[[#This Row],[QT_CANA_REAL]],ESTIMATIVA[[#This Row],[QT_CANA_EST]]))</f>
        <v>1147.5</v>
      </c>
      <c r="AC12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1171.29</v>
      </c>
      <c r="AD122" s="1">
        <f>IF(ESTIMATIVA[[#This Row],[QT_AREA_REAL]]&gt;0,ESTIMATIVA[[#This Row],[QT_CANA_REAL]],ESTIMATIVA[[#This Row],[QT_CANA_EST]])</f>
        <v>1171.29</v>
      </c>
      <c r="AE122" s="1">
        <f>IF(ESTIMATIVA[[#This Row],[QT_AREA_REAL]]&gt;0,ESTIMATIVA[[#This Row],[QT_CANA_REAL]],ESTIMATIVA[[#This Row],[QT_CANA_REST1]])</f>
        <v>1171.29</v>
      </c>
      <c r="AF122" s="1">
        <f>IF(ESTIMATIVA[[#This Row],[QT_AREA_REAL]]&gt;0,ESTIMATIVA[[#This Row],[QT_CANA_REAL]],ESTIMATIVA[[#This Row],[QT_CANA_REST2]])</f>
        <v>1171.29</v>
      </c>
      <c r="AG122" s="1" t="str">
        <f>IF(COUNTIFS(GEADA!A:A,VALUE(ESTIMATIVA[[#This Row],[CD_UPNIVEL1]]&amp;TEXT(ESTIMATIVA[[#This Row],[CD_UPNIVEL3]],"0000")))&gt;0,"S","N")</f>
        <v>N</v>
      </c>
      <c r="AH12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2" s="55" t="str">
        <f>IF(ESTIMATIVA[[#This Row],[TP_CULTIVO]]="Irrigado",_xlfn.MAXIFS(IRRIGADO!J:J,IRRIGADO!C:C,ESTIMATIVA[[#This Row],[CD_UPNIVEL1]],IRRIGADO!E:E,ESTIMATIVA[[#This Row],[CD_UPNIVEL3]]),"")</f>
        <v/>
      </c>
      <c r="AJ12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2" s="1">
        <f>COUNTIFS(Apresentação!$E$23:$E$29,ESTIMATIVA[[#This Row],[CD_UPNIVEL1]])</f>
        <v>0</v>
      </c>
    </row>
    <row r="123" spans="1:37" x14ac:dyDescent="0.3">
      <c r="A123">
        <v>10335</v>
      </c>
      <c r="B123" t="s">
        <v>18</v>
      </c>
      <c r="C123">
        <v>5</v>
      </c>
      <c r="D123">
        <v>3</v>
      </c>
      <c r="E123" t="s">
        <v>263</v>
      </c>
      <c r="F123" s="85" t="s">
        <v>331</v>
      </c>
      <c r="G123"/>
      <c r="H123" t="s">
        <v>294</v>
      </c>
      <c r="I123" t="s">
        <v>200</v>
      </c>
      <c r="J123" t="s">
        <v>176</v>
      </c>
      <c r="K123" s="1">
        <v>17.489999999999998</v>
      </c>
      <c r="L123" s="1">
        <v>17.489999999999998</v>
      </c>
      <c r="M123" s="1">
        <v>0</v>
      </c>
      <c r="N123" s="1">
        <v>17.489999999999998</v>
      </c>
      <c r="O123" s="1">
        <v>1486.65</v>
      </c>
      <c r="P123" s="1">
        <v>1486.65</v>
      </c>
      <c r="Q123" s="1">
        <v>0</v>
      </c>
      <c r="R123" s="1">
        <v>1054.32</v>
      </c>
      <c r="S123" t="s">
        <v>12</v>
      </c>
      <c r="T123" s="13">
        <v>45914</v>
      </c>
      <c r="U123" s="1" t="str">
        <f>IF(ESTIMATIVA[[#This Row],[QT_AREA_REAL]]&gt;0,"1- Colhido","2- à Colher")</f>
        <v>1- Colhido</v>
      </c>
      <c r="V123" s="1" t="str">
        <f>IF(ESTIMATIVA[[#This Row],[QT_AREA_REST1]]&gt;0,"Reestimativa 1",IF(ESTIMATIVA[[#This Row],[QT_AREA_REAL]]=0,"Reestimativa 1","Realizado"))</f>
        <v>Reestimativa 1</v>
      </c>
      <c r="W123" s="1" t="str">
        <f>IF(ESTIMATIVA[[#This Row],[QT_AREA_REST2]]&gt;0,"Reestimativa 2",IF(ESTIMATIVA[[#This Row],[QT_AREA_REAL]]=0,"Reestimativa 2","Realizado"))</f>
        <v>Realizado</v>
      </c>
      <c r="X123" s="1">
        <f>ESTIMATIVA[[#This Row],[QT_AREA_EST]]</f>
        <v>17.489999999999998</v>
      </c>
      <c r="Y123" s="1">
        <f>IF(ESTIMATIVA[[#This Row],[QT_AREA_REST1]]&gt;0,ESTIMATIVA[[#This Row],[QT_AREA_REST1]],
  IF(ESTIMATIVA[[#This Row],[QT_AREA_REAL]]&gt;0,ESTIMATIVA[[#This Row],[QT_AREA_REAL]],ESTIMATIVA[[#This Row],[QT_AREA_EST]]))</f>
        <v>17.489999999999998</v>
      </c>
      <c r="Z12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17.489999999999998</v>
      </c>
      <c r="AA123" s="1">
        <f>ESTIMATIVA[[#This Row],[QT_CANA_EST]]</f>
        <v>1486.65</v>
      </c>
      <c r="AB123" s="1">
        <f>IF(ESTIMATIVA[[#This Row],[QT_CANA_REST1]]&gt;0,ESTIMATIVA[[#This Row],[QT_CANA_REST1]],
  IF(ESTIMATIVA[[#This Row],[QT_CANA_REAL]]&gt;0,ESTIMATIVA[[#This Row],[QT_CANA_REAL]],ESTIMATIVA[[#This Row],[QT_CANA_EST]]))</f>
        <v>1486.65</v>
      </c>
      <c r="AC12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1054.32</v>
      </c>
      <c r="AD123" s="1">
        <f>IF(ESTIMATIVA[[#This Row],[QT_AREA_REAL]]&gt;0,ESTIMATIVA[[#This Row],[QT_CANA_REAL]],ESTIMATIVA[[#This Row],[QT_CANA_EST]])</f>
        <v>1054.32</v>
      </c>
      <c r="AE123" s="1">
        <f>IF(ESTIMATIVA[[#This Row],[QT_AREA_REAL]]&gt;0,ESTIMATIVA[[#This Row],[QT_CANA_REAL]],ESTIMATIVA[[#This Row],[QT_CANA_REST1]])</f>
        <v>1054.32</v>
      </c>
      <c r="AF123" s="1">
        <f>IF(ESTIMATIVA[[#This Row],[QT_AREA_REAL]]&gt;0,ESTIMATIVA[[#This Row],[QT_CANA_REAL]],ESTIMATIVA[[#This Row],[QT_CANA_REST2]])</f>
        <v>1054.32</v>
      </c>
      <c r="AG123" s="1" t="str">
        <f>IF(COUNTIFS(GEADA!A:A,VALUE(ESTIMATIVA[[#This Row],[CD_UPNIVEL1]]&amp;TEXT(ESTIMATIVA[[#This Row],[CD_UPNIVEL3]],"0000")))&gt;0,"S","N")</f>
        <v>N</v>
      </c>
      <c r="AH12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3" s="55" t="str">
        <f>IF(ESTIMATIVA[[#This Row],[TP_CULTIVO]]="Irrigado",_xlfn.MAXIFS(IRRIGADO!J:J,IRRIGADO!C:C,ESTIMATIVA[[#This Row],[CD_UPNIVEL1]],IRRIGADO!E:E,ESTIMATIVA[[#This Row],[CD_UPNIVEL3]]),"")</f>
        <v/>
      </c>
      <c r="AJ12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3" s="1">
        <f>COUNTIFS(Apresentação!$E$23:$E$29,ESTIMATIVA[[#This Row],[CD_UPNIVEL1]])</f>
        <v>0</v>
      </c>
    </row>
    <row r="124" spans="1:37" x14ac:dyDescent="0.3">
      <c r="A124">
        <v>10335</v>
      </c>
      <c r="B124" t="s">
        <v>18</v>
      </c>
      <c r="C124">
        <v>6</v>
      </c>
      <c r="D124">
        <v>3</v>
      </c>
      <c r="E124" t="s">
        <v>263</v>
      </c>
      <c r="F124" s="85" t="s">
        <v>331</v>
      </c>
      <c r="G124"/>
      <c r="H124" t="s">
        <v>294</v>
      </c>
      <c r="I124" t="s">
        <v>200</v>
      </c>
      <c r="J124" t="s">
        <v>176</v>
      </c>
      <c r="K124" s="1">
        <v>23.87</v>
      </c>
      <c r="L124" s="1">
        <v>23.87</v>
      </c>
      <c r="M124" s="1">
        <v>0</v>
      </c>
      <c r="N124" s="1">
        <v>23.87</v>
      </c>
      <c r="O124" s="1">
        <v>2028.95</v>
      </c>
      <c r="P124" s="1">
        <v>2028.95</v>
      </c>
      <c r="Q124" s="1">
        <v>0</v>
      </c>
      <c r="R124" s="1">
        <v>1895.02</v>
      </c>
      <c r="S124" t="s">
        <v>12</v>
      </c>
      <c r="T124" s="13">
        <v>45921</v>
      </c>
      <c r="U124" s="1" t="str">
        <f>IF(ESTIMATIVA[[#This Row],[QT_AREA_REAL]]&gt;0,"1- Colhido","2- à Colher")</f>
        <v>1- Colhido</v>
      </c>
      <c r="V124" s="1" t="str">
        <f>IF(ESTIMATIVA[[#This Row],[QT_AREA_REST1]]&gt;0,"Reestimativa 1",IF(ESTIMATIVA[[#This Row],[QT_AREA_REAL]]=0,"Reestimativa 1","Realizado"))</f>
        <v>Reestimativa 1</v>
      </c>
      <c r="W124" s="1" t="str">
        <f>IF(ESTIMATIVA[[#This Row],[QT_AREA_REST2]]&gt;0,"Reestimativa 2",IF(ESTIMATIVA[[#This Row],[QT_AREA_REAL]]=0,"Reestimativa 2","Realizado"))</f>
        <v>Realizado</v>
      </c>
      <c r="X124" s="1">
        <f>ESTIMATIVA[[#This Row],[QT_AREA_EST]]</f>
        <v>23.87</v>
      </c>
      <c r="Y124" s="1">
        <f>IF(ESTIMATIVA[[#This Row],[QT_AREA_REST1]]&gt;0,ESTIMATIVA[[#This Row],[QT_AREA_REST1]],
  IF(ESTIMATIVA[[#This Row],[QT_AREA_REAL]]&gt;0,ESTIMATIVA[[#This Row],[QT_AREA_REAL]],ESTIMATIVA[[#This Row],[QT_AREA_EST]]))</f>
        <v>23.87</v>
      </c>
      <c r="Z12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23.87</v>
      </c>
      <c r="AA124" s="1">
        <f>ESTIMATIVA[[#This Row],[QT_CANA_EST]]</f>
        <v>2028.95</v>
      </c>
      <c r="AB124" s="1">
        <f>IF(ESTIMATIVA[[#This Row],[QT_CANA_REST1]]&gt;0,ESTIMATIVA[[#This Row],[QT_CANA_REST1]],
  IF(ESTIMATIVA[[#This Row],[QT_CANA_REAL]]&gt;0,ESTIMATIVA[[#This Row],[QT_CANA_REAL]],ESTIMATIVA[[#This Row],[QT_CANA_EST]]))</f>
        <v>2028.95</v>
      </c>
      <c r="AC12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1895.02</v>
      </c>
      <c r="AD124" s="1">
        <f>IF(ESTIMATIVA[[#This Row],[QT_AREA_REAL]]&gt;0,ESTIMATIVA[[#This Row],[QT_CANA_REAL]],ESTIMATIVA[[#This Row],[QT_CANA_EST]])</f>
        <v>1895.02</v>
      </c>
      <c r="AE124" s="1">
        <f>IF(ESTIMATIVA[[#This Row],[QT_AREA_REAL]]&gt;0,ESTIMATIVA[[#This Row],[QT_CANA_REAL]],ESTIMATIVA[[#This Row],[QT_CANA_REST1]])</f>
        <v>1895.02</v>
      </c>
      <c r="AF124" s="1">
        <f>IF(ESTIMATIVA[[#This Row],[QT_AREA_REAL]]&gt;0,ESTIMATIVA[[#This Row],[QT_CANA_REAL]],ESTIMATIVA[[#This Row],[QT_CANA_REST2]])</f>
        <v>1895.02</v>
      </c>
      <c r="AG124" s="1" t="str">
        <f>IF(COUNTIFS(GEADA!A:A,VALUE(ESTIMATIVA[[#This Row],[CD_UPNIVEL1]]&amp;TEXT(ESTIMATIVA[[#This Row],[CD_UPNIVEL3]],"0000")))&gt;0,"S","N")</f>
        <v>N</v>
      </c>
      <c r="AH12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4" s="55" t="str">
        <f>IF(ESTIMATIVA[[#This Row],[TP_CULTIVO]]="Irrigado",_xlfn.MAXIFS(IRRIGADO!J:J,IRRIGADO!C:C,ESTIMATIVA[[#This Row],[CD_UPNIVEL1]],IRRIGADO!E:E,ESTIMATIVA[[#This Row],[CD_UPNIVEL3]]),"")</f>
        <v/>
      </c>
      <c r="AJ12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4" s="1">
        <f>COUNTIFS(Apresentação!$E$23:$E$29,ESTIMATIVA[[#This Row],[CD_UPNIVEL1]])</f>
        <v>0</v>
      </c>
    </row>
    <row r="125" spans="1:37" x14ac:dyDescent="0.3">
      <c r="A125">
        <v>10335</v>
      </c>
      <c r="B125" t="s">
        <v>18</v>
      </c>
      <c r="C125">
        <v>7</v>
      </c>
      <c r="D125">
        <v>3</v>
      </c>
      <c r="E125" t="s">
        <v>263</v>
      </c>
      <c r="F125" s="85" t="s">
        <v>331</v>
      </c>
      <c r="G125"/>
      <c r="H125" t="s">
        <v>294</v>
      </c>
      <c r="I125" t="s">
        <v>200</v>
      </c>
      <c r="J125" t="s">
        <v>176</v>
      </c>
      <c r="K125" s="1">
        <v>16.68</v>
      </c>
      <c r="L125" s="1">
        <v>16.68</v>
      </c>
      <c r="M125" s="1">
        <v>0</v>
      </c>
      <c r="N125" s="1">
        <v>16.68</v>
      </c>
      <c r="O125" s="1">
        <v>1417.8</v>
      </c>
      <c r="P125" s="1">
        <v>1417.8</v>
      </c>
      <c r="Q125" s="1">
        <v>0</v>
      </c>
      <c r="R125" s="1">
        <v>1324.34</v>
      </c>
      <c r="S125" t="s">
        <v>12</v>
      </c>
      <c r="T125" s="13">
        <v>45921</v>
      </c>
      <c r="U125" s="1" t="str">
        <f>IF(ESTIMATIVA[[#This Row],[QT_AREA_REAL]]&gt;0,"1- Colhido","2- à Colher")</f>
        <v>1- Colhido</v>
      </c>
      <c r="V125" s="1" t="str">
        <f>IF(ESTIMATIVA[[#This Row],[QT_AREA_REST1]]&gt;0,"Reestimativa 1",IF(ESTIMATIVA[[#This Row],[QT_AREA_REAL]]=0,"Reestimativa 1","Realizado"))</f>
        <v>Reestimativa 1</v>
      </c>
      <c r="W125" s="1" t="str">
        <f>IF(ESTIMATIVA[[#This Row],[QT_AREA_REST2]]&gt;0,"Reestimativa 2",IF(ESTIMATIVA[[#This Row],[QT_AREA_REAL]]=0,"Reestimativa 2","Realizado"))</f>
        <v>Realizado</v>
      </c>
      <c r="X125" s="1">
        <f>ESTIMATIVA[[#This Row],[QT_AREA_EST]]</f>
        <v>16.68</v>
      </c>
      <c r="Y125" s="1">
        <f>IF(ESTIMATIVA[[#This Row],[QT_AREA_REST1]]&gt;0,ESTIMATIVA[[#This Row],[QT_AREA_REST1]],
  IF(ESTIMATIVA[[#This Row],[QT_AREA_REAL]]&gt;0,ESTIMATIVA[[#This Row],[QT_AREA_REAL]],ESTIMATIVA[[#This Row],[QT_AREA_EST]]))</f>
        <v>16.68</v>
      </c>
      <c r="Z12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16.68</v>
      </c>
      <c r="AA125" s="1">
        <f>ESTIMATIVA[[#This Row],[QT_CANA_EST]]</f>
        <v>1417.8</v>
      </c>
      <c r="AB125" s="1">
        <f>IF(ESTIMATIVA[[#This Row],[QT_CANA_REST1]]&gt;0,ESTIMATIVA[[#This Row],[QT_CANA_REST1]],
  IF(ESTIMATIVA[[#This Row],[QT_CANA_REAL]]&gt;0,ESTIMATIVA[[#This Row],[QT_CANA_REAL]],ESTIMATIVA[[#This Row],[QT_CANA_EST]]))</f>
        <v>1417.8</v>
      </c>
      <c r="AC12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1324.34</v>
      </c>
      <c r="AD125" s="1">
        <f>IF(ESTIMATIVA[[#This Row],[QT_AREA_REAL]]&gt;0,ESTIMATIVA[[#This Row],[QT_CANA_REAL]],ESTIMATIVA[[#This Row],[QT_CANA_EST]])</f>
        <v>1324.34</v>
      </c>
      <c r="AE125" s="1">
        <f>IF(ESTIMATIVA[[#This Row],[QT_AREA_REAL]]&gt;0,ESTIMATIVA[[#This Row],[QT_CANA_REAL]],ESTIMATIVA[[#This Row],[QT_CANA_REST1]])</f>
        <v>1324.34</v>
      </c>
      <c r="AF125" s="1">
        <f>IF(ESTIMATIVA[[#This Row],[QT_AREA_REAL]]&gt;0,ESTIMATIVA[[#This Row],[QT_CANA_REAL]],ESTIMATIVA[[#This Row],[QT_CANA_REST2]])</f>
        <v>1324.34</v>
      </c>
      <c r="AG125" s="1" t="str">
        <f>IF(COUNTIFS(GEADA!A:A,VALUE(ESTIMATIVA[[#This Row],[CD_UPNIVEL1]]&amp;TEXT(ESTIMATIVA[[#This Row],[CD_UPNIVEL3]],"0000")))&gt;0,"S","N")</f>
        <v>N</v>
      </c>
      <c r="AH12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5" s="55" t="str">
        <f>IF(ESTIMATIVA[[#This Row],[TP_CULTIVO]]="Irrigado",_xlfn.MAXIFS(IRRIGADO!J:J,IRRIGADO!C:C,ESTIMATIVA[[#This Row],[CD_UPNIVEL1]],IRRIGADO!E:E,ESTIMATIVA[[#This Row],[CD_UPNIVEL3]]),"")</f>
        <v/>
      </c>
      <c r="AJ12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5" s="1">
        <f>COUNTIFS(Apresentação!$E$23:$E$29,ESTIMATIVA[[#This Row],[CD_UPNIVEL1]])</f>
        <v>0</v>
      </c>
    </row>
    <row r="126" spans="1:37" x14ac:dyDescent="0.3">
      <c r="A126">
        <v>10335</v>
      </c>
      <c r="B126" t="s">
        <v>18</v>
      </c>
      <c r="C126">
        <v>8</v>
      </c>
      <c r="D126">
        <v>3</v>
      </c>
      <c r="E126" t="s">
        <v>263</v>
      </c>
      <c r="F126" s="85" t="s">
        <v>331</v>
      </c>
      <c r="G126"/>
      <c r="H126" t="s">
        <v>294</v>
      </c>
      <c r="I126" t="s">
        <v>200</v>
      </c>
      <c r="J126" t="s">
        <v>176</v>
      </c>
      <c r="K126" s="1">
        <v>29.14</v>
      </c>
      <c r="L126" s="1">
        <v>29.14</v>
      </c>
      <c r="M126" s="1">
        <v>0</v>
      </c>
      <c r="N126" s="1">
        <v>29.14</v>
      </c>
      <c r="O126" s="1">
        <v>2476.9</v>
      </c>
      <c r="P126" s="1">
        <v>2476.9</v>
      </c>
      <c r="Q126" s="1">
        <v>0</v>
      </c>
      <c r="R126" s="1">
        <v>2313.4499999999998</v>
      </c>
      <c r="S126" t="s">
        <v>12</v>
      </c>
      <c r="T126" s="13">
        <v>45921</v>
      </c>
      <c r="U126" s="1" t="str">
        <f>IF(ESTIMATIVA[[#This Row],[QT_AREA_REAL]]&gt;0,"1- Colhido","2- à Colher")</f>
        <v>1- Colhido</v>
      </c>
      <c r="V126" s="1" t="str">
        <f>IF(ESTIMATIVA[[#This Row],[QT_AREA_REST1]]&gt;0,"Reestimativa 1",IF(ESTIMATIVA[[#This Row],[QT_AREA_REAL]]=0,"Reestimativa 1","Realizado"))</f>
        <v>Reestimativa 1</v>
      </c>
      <c r="W126" s="1" t="str">
        <f>IF(ESTIMATIVA[[#This Row],[QT_AREA_REST2]]&gt;0,"Reestimativa 2",IF(ESTIMATIVA[[#This Row],[QT_AREA_REAL]]=0,"Reestimativa 2","Realizado"))</f>
        <v>Realizado</v>
      </c>
      <c r="X126" s="1">
        <f>ESTIMATIVA[[#This Row],[QT_AREA_EST]]</f>
        <v>29.14</v>
      </c>
      <c r="Y126" s="1">
        <f>IF(ESTIMATIVA[[#This Row],[QT_AREA_REST1]]&gt;0,ESTIMATIVA[[#This Row],[QT_AREA_REST1]],
  IF(ESTIMATIVA[[#This Row],[QT_AREA_REAL]]&gt;0,ESTIMATIVA[[#This Row],[QT_AREA_REAL]],ESTIMATIVA[[#This Row],[QT_AREA_EST]]))</f>
        <v>29.14</v>
      </c>
      <c r="Z12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29.14</v>
      </c>
      <c r="AA126" s="1">
        <f>ESTIMATIVA[[#This Row],[QT_CANA_EST]]</f>
        <v>2476.9</v>
      </c>
      <c r="AB126" s="1">
        <f>IF(ESTIMATIVA[[#This Row],[QT_CANA_REST1]]&gt;0,ESTIMATIVA[[#This Row],[QT_CANA_REST1]],
  IF(ESTIMATIVA[[#This Row],[QT_CANA_REAL]]&gt;0,ESTIMATIVA[[#This Row],[QT_CANA_REAL]],ESTIMATIVA[[#This Row],[QT_CANA_EST]]))</f>
        <v>2476.9</v>
      </c>
      <c r="AC12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2313.4499999999998</v>
      </c>
      <c r="AD126" s="1">
        <f>IF(ESTIMATIVA[[#This Row],[QT_AREA_REAL]]&gt;0,ESTIMATIVA[[#This Row],[QT_CANA_REAL]],ESTIMATIVA[[#This Row],[QT_CANA_EST]])</f>
        <v>2313.4499999999998</v>
      </c>
      <c r="AE126" s="1">
        <f>IF(ESTIMATIVA[[#This Row],[QT_AREA_REAL]]&gt;0,ESTIMATIVA[[#This Row],[QT_CANA_REAL]],ESTIMATIVA[[#This Row],[QT_CANA_REST1]])</f>
        <v>2313.4499999999998</v>
      </c>
      <c r="AF126" s="1">
        <f>IF(ESTIMATIVA[[#This Row],[QT_AREA_REAL]]&gt;0,ESTIMATIVA[[#This Row],[QT_CANA_REAL]],ESTIMATIVA[[#This Row],[QT_CANA_REST2]])</f>
        <v>2313.4499999999998</v>
      </c>
      <c r="AG126" s="1" t="str">
        <f>IF(COUNTIFS(GEADA!A:A,VALUE(ESTIMATIVA[[#This Row],[CD_UPNIVEL1]]&amp;TEXT(ESTIMATIVA[[#This Row],[CD_UPNIVEL3]],"0000")))&gt;0,"S","N")</f>
        <v>N</v>
      </c>
      <c r="AH12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6" s="55" t="str">
        <f>IF(ESTIMATIVA[[#This Row],[TP_CULTIVO]]="Irrigado",_xlfn.MAXIFS(IRRIGADO!J:J,IRRIGADO!C:C,ESTIMATIVA[[#This Row],[CD_UPNIVEL1]],IRRIGADO!E:E,ESTIMATIVA[[#This Row],[CD_UPNIVEL3]]),"")</f>
        <v/>
      </c>
      <c r="AJ12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6" s="1">
        <f>COUNTIFS(Apresentação!$E$23:$E$29,ESTIMATIVA[[#This Row],[CD_UPNIVEL1]])</f>
        <v>0</v>
      </c>
    </row>
    <row r="127" spans="1:37" x14ac:dyDescent="0.3">
      <c r="A127">
        <v>10335</v>
      </c>
      <c r="B127" t="s">
        <v>18</v>
      </c>
      <c r="C127">
        <v>9</v>
      </c>
      <c r="D127">
        <v>3</v>
      </c>
      <c r="E127" t="s">
        <v>263</v>
      </c>
      <c r="F127" s="85" t="s">
        <v>331</v>
      </c>
      <c r="G127"/>
      <c r="H127" t="s">
        <v>294</v>
      </c>
      <c r="I127" t="s">
        <v>200</v>
      </c>
      <c r="J127" t="s">
        <v>176</v>
      </c>
      <c r="K127" s="1">
        <v>10.94</v>
      </c>
      <c r="L127" s="1">
        <v>10.94</v>
      </c>
      <c r="M127" s="1">
        <v>0</v>
      </c>
      <c r="N127" s="1">
        <v>10.94</v>
      </c>
      <c r="O127" s="1">
        <v>929.9</v>
      </c>
      <c r="P127" s="1">
        <v>929.9</v>
      </c>
      <c r="Q127" s="1">
        <v>0</v>
      </c>
      <c r="R127" s="1">
        <v>868.52</v>
      </c>
      <c r="S127" t="s">
        <v>12</v>
      </c>
      <c r="T127" s="13">
        <v>45921</v>
      </c>
      <c r="U127" s="1" t="str">
        <f>IF(ESTIMATIVA[[#This Row],[QT_AREA_REAL]]&gt;0,"1- Colhido","2- à Colher")</f>
        <v>1- Colhido</v>
      </c>
      <c r="V127" s="1" t="str">
        <f>IF(ESTIMATIVA[[#This Row],[QT_AREA_REST1]]&gt;0,"Reestimativa 1",IF(ESTIMATIVA[[#This Row],[QT_AREA_REAL]]=0,"Reestimativa 1","Realizado"))</f>
        <v>Reestimativa 1</v>
      </c>
      <c r="W127" s="1" t="str">
        <f>IF(ESTIMATIVA[[#This Row],[QT_AREA_REST2]]&gt;0,"Reestimativa 2",IF(ESTIMATIVA[[#This Row],[QT_AREA_REAL]]=0,"Reestimativa 2","Realizado"))</f>
        <v>Realizado</v>
      </c>
      <c r="X127" s="1">
        <f>ESTIMATIVA[[#This Row],[QT_AREA_EST]]</f>
        <v>10.94</v>
      </c>
      <c r="Y127" s="1">
        <f>IF(ESTIMATIVA[[#This Row],[QT_AREA_REST1]]&gt;0,ESTIMATIVA[[#This Row],[QT_AREA_REST1]],
  IF(ESTIMATIVA[[#This Row],[QT_AREA_REAL]]&gt;0,ESTIMATIVA[[#This Row],[QT_AREA_REAL]],ESTIMATIVA[[#This Row],[QT_AREA_EST]]))</f>
        <v>10.94</v>
      </c>
      <c r="Z12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10.94</v>
      </c>
      <c r="AA127" s="1">
        <f>ESTIMATIVA[[#This Row],[QT_CANA_EST]]</f>
        <v>929.9</v>
      </c>
      <c r="AB127" s="1">
        <f>IF(ESTIMATIVA[[#This Row],[QT_CANA_REST1]]&gt;0,ESTIMATIVA[[#This Row],[QT_CANA_REST1]],
  IF(ESTIMATIVA[[#This Row],[QT_CANA_REAL]]&gt;0,ESTIMATIVA[[#This Row],[QT_CANA_REAL]],ESTIMATIVA[[#This Row],[QT_CANA_EST]]))</f>
        <v>929.9</v>
      </c>
      <c r="AC12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868.52</v>
      </c>
      <c r="AD127" s="1">
        <f>IF(ESTIMATIVA[[#This Row],[QT_AREA_REAL]]&gt;0,ESTIMATIVA[[#This Row],[QT_CANA_REAL]],ESTIMATIVA[[#This Row],[QT_CANA_EST]])</f>
        <v>868.52</v>
      </c>
      <c r="AE127" s="1">
        <f>IF(ESTIMATIVA[[#This Row],[QT_AREA_REAL]]&gt;0,ESTIMATIVA[[#This Row],[QT_CANA_REAL]],ESTIMATIVA[[#This Row],[QT_CANA_REST1]])</f>
        <v>868.52</v>
      </c>
      <c r="AF127" s="1">
        <f>IF(ESTIMATIVA[[#This Row],[QT_AREA_REAL]]&gt;0,ESTIMATIVA[[#This Row],[QT_CANA_REAL]],ESTIMATIVA[[#This Row],[QT_CANA_REST2]])</f>
        <v>868.52</v>
      </c>
      <c r="AG127" s="1" t="str">
        <f>IF(COUNTIFS(GEADA!A:A,VALUE(ESTIMATIVA[[#This Row],[CD_UPNIVEL1]]&amp;TEXT(ESTIMATIVA[[#This Row],[CD_UPNIVEL3]],"0000")))&gt;0,"S","N")</f>
        <v>N</v>
      </c>
      <c r="AH12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7" s="55" t="str">
        <f>IF(ESTIMATIVA[[#This Row],[TP_CULTIVO]]="Irrigado",_xlfn.MAXIFS(IRRIGADO!J:J,IRRIGADO!C:C,ESTIMATIVA[[#This Row],[CD_UPNIVEL1]],IRRIGADO!E:E,ESTIMATIVA[[#This Row],[CD_UPNIVEL3]]),"")</f>
        <v/>
      </c>
      <c r="AJ12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7" s="1">
        <f>COUNTIFS(Apresentação!$E$23:$E$29,ESTIMATIVA[[#This Row],[CD_UPNIVEL1]])</f>
        <v>0</v>
      </c>
    </row>
    <row r="128" spans="1:37" x14ac:dyDescent="0.3">
      <c r="A128">
        <v>10335</v>
      </c>
      <c r="B128" t="s">
        <v>18</v>
      </c>
      <c r="C128">
        <v>10</v>
      </c>
      <c r="D128">
        <v>3</v>
      </c>
      <c r="E128" t="s">
        <v>263</v>
      </c>
      <c r="F128" s="85" t="s">
        <v>331</v>
      </c>
      <c r="G128"/>
      <c r="H128" t="s">
        <v>294</v>
      </c>
      <c r="I128" t="s">
        <v>200</v>
      </c>
      <c r="J128" t="s">
        <v>176</v>
      </c>
      <c r="K128" s="1">
        <v>7.17</v>
      </c>
      <c r="L128" s="1">
        <v>7.17</v>
      </c>
      <c r="M128" s="1">
        <v>0</v>
      </c>
      <c r="N128" s="1">
        <v>7.17</v>
      </c>
      <c r="O128" s="1">
        <v>609.45000000000005</v>
      </c>
      <c r="P128" s="1">
        <v>609.45000000000005</v>
      </c>
      <c r="Q128" s="1">
        <v>0</v>
      </c>
      <c r="R128" s="1">
        <v>569.23</v>
      </c>
      <c r="S128" t="s">
        <v>12</v>
      </c>
      <c r="T128" s="13">
        <v>45921</v>
      </c>
      <c r="U128" s="1" t="str">
        <f>IF(ESTIMATIVA[[#This Row],[QT_AREA_REAL]]&gt;0,"1- Colhido","2- à Colher")</f>
        <v>1- Colhido</v>
      </c>
      <c r="V128" s="1" t="str">
        <f>IF(ESTIMATIVA[[#This Row],[QT_AREA_REST1]]&gt;0,"Reestimativa 1",IF(ESTIMATIVA[[#This Row],[QT_AREA_REAL]]=0,"Reestimativa 1","Realizado"))</f>
        <v>Reestimativa 1</v>
      </c>
      <c r="W128" s="1" t="str">
        <f>IF(ESTIMATIVA[[#This Row],[QT_AREA_REST2]]&gt;0,"Reestimativa 2",IF(ESTIMATIVA[[#This Row],[QT_AREA_REAL]]=0,"Reestimativa 2","Realizado"))</f>
        <v>Realizado</v>
      </c>
      <c r="X128" s="1">
        <f>ESTIMATIVA[[#This Row],[QT_AREA_EST]]</f>
        <v>7.17</v>
      </c>
      <c r="Y128" s="1">
        <f>IF(ESTIMATIVA[[#This Row],[QT_AREA_REST1]]&gt;0,ESTIMATIVA[[#This Row],[QT_AREA_REST1]],
  IF(ESTIMATIVA[[#This Row],[QT_AREA_REAL]]&gt;0,ESTIMATIVA[[#This Row],[QT_AREA_REAL]],ESTIMATIVA[[#This Row],[QT_AREA_EST]]))</f>
        <v>7.17</v>
      </c>
      <c r="Z12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7.17</v>
      </c>
      <c r="AA128" s="1">
        <f>ESTIMATIVA[[#This Row],[QT_CANA_EST]]</f>
        <v>609.45000000000005</v>
      </c>
      <c r="AB128" s="1">
        <f>IF(ESTIMATIVA[[#This Row],[QT_CANA_REST1]]&gt;0,ESTIMATIVA[[#This Row],[QT_CANA_REST1]],
  IF(ESTIMATIVA[[#This Row],[QT_CANA_REAL]]&gt;0,ESTIMATIVA[[#This Row],[QT_CANA_REAL]],ESTIMATIVA[[#This Row],[QT_CANA_EST]]))</f>
        <v>609.45000000000005</v>
      </c>
      <c r="AC12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569.23</v>
      </c>
      <c r="AD128" s="1">
        <f>IF(ESTIMATIVA[[#This Row],[QT_AREA_REAL]]&gt;0,ESTIMATIVA[[#This Row],[QT_CANA_REAL]],ESTIMATIVA[[#This Row],[QT_CANA_EST]])</f>
        <v>569.23</v>
      </c>
      <c r="AE128" s="1">
        <f>IF(ESTIMATIVA[[#This Row],[QT_AREA_REAL]]&gt;0,ESTIMATIVA[[#This Row],[QT_CANA_REAL]],ESTIMATIVA[[#This Row],[QT_CANA_REST1]])</f>
        <v>569.23</v>
      </c>
      <c r="AF128" s="1">
        <f>IF(ESTIMATIVA[[#This Row],[QT_AREA_REAL]]&gt;0,ESTIMATIVA[[#This Row],[QT_CANA_REAL]],ESTIMATIVA[[#This Row],[QT_CANA_REST2]])</f>
        <v>569.23</v>
      </c>
      <c r="AG128" s="1" t="str">
        <f>IF(COUNTIFS(GEADA!A:A,VALUE(ESTIMATIVA[[#This Row],[CD_UPNIVEL1]]&amp;TEXT(ESTIMATIVA[[#This Row],[CD_UPNIVEL3]],"0000")))&gt;0,"S","N")</f>
        <v>N</v>
      </c>
      <c r="AH12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8" s="55" t="str">
        <f>IF(ESTIMATIVA[[#This Row],[TP_CULTIVO]]="Irrigado",_xlfn.MAXIFS(IRRIGADO!J:J,IRRIGADO!C:C,ESTIMATIVA[[#This Row],[CD_UPNIVEL1]],IRRIGADO!E:E,ESTIMATIVA[[#This Row],[CD_UPNIVEL3]]),"")</f>
        <v/>
      </c>
      <c r="AJ12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8" s="1">
        <f>COUNTIFS(Apresentação!$E$23:$E$29,ESTIMATIVA[[#This Row],[CD_UPNIVEL1]])</f>
        <v>0</v>
      </c>
    </row>
    <row r="129" spans="1:37" x14ac:dyDescent="0.3">
      <c r="A129">
        <v>10337</v>
      </c>
      <c r="B129" t="s">
        <v>19</v>
      </c>
      <c r="C129">
        <v>1</v>
      </c>
      <c r="D129">
        <v>3</v>
      </c>
      <c r="E129" t="s">
        <v>263</v>
      </c>
      <c r="F129" s="85" t="s">
        <v>333</v>
      </c>
      <c r="G129"/>
      <c r="H129" t="s">
        <v>294</v>
      </c>
      <c r="I129" t="s">
        <v>201</v>
      </c>
      <c r="J129" t="s">
        <v>176</v>
      </c>
      <c r="K129" s="1">
        <v>24.56</v>
      </c>
      <c r="L129" s="1">
        <v>0</v>
      </c>
      <c r="M129" s="1">
        <v>0</v>
      </c>
      <c r="N129" s="1">
        <v>24.56</v>
      </c>
      <c r="O129" s="1">
        <v>1842</v>
      </c>
      <c r="P129" s="1">
        <v>0</v>
      </c>
      <c r="Q129" s="1">
        <v>0</v>
      </c>
      <c r="R129" s="1">
        <v>1630.66</v>
      </c>
      <c r="S129" t="s">
        <v>12</v>
      </c>
      <c r="T129" s="13">
        <v>45795</v>
      </c>
      <c r="U129" s="1" t="str">
        <f>IF(ESTIMATIVA[[#This Row],[QT_AREA_REAL]]&gt;0,"1- Colhido","2- à Colher")</f>
        <v>1- Colhido</v>
      </c>
      <c r="V129" s="1" t="str">
        <f>IF(ESTIMATIVA[[#This Row],[QT_AREA_REST1]]&gt;0,"Reestimativa 1",IF(ESTIMATIVA[[#This Row],[QT_AREA_REAL]]=0,"Reestimativa 1","Realizado"))</f>
        <v>Realizado</v>
      </c>
      <c r="W129" s="1" t="str">
        <f>IF(ESTIMATIVA[[#This Row],[QT_AREA_REST2]]&gt;0,"Reestimativa 2",IF(ESTIMATIVA[[#This Row],[QT_AREA_REAL]]=0,"Reestimativa 2","Realizado"))</f>
        <v>Realizado</v>
      </c>
      <c r="X129" s="1">
        <f>ESTIMATIVA[[#This Row],[QT_AREA_EST]]</f>
        <v>24.56</v>
      </c>
      <c r="Y129" s="1">
        <f>IF(ESTIMATIVA[[#This Row],[QT_AREA_REST1]]&gt;0,ESTIMATIVA[[#This Row],[QT_AREA_REST1]],
  IF(ESTIMATIVA[[#This Row],[QT_AREA_REAL]]&gt;0,ESTIMATIVA[[#This Row],[QT_AREA_REAL]],ESTIMATIVA[[#This Row],[QT_AREA_EST]]))</f>
        <v>24.56</v>
      </c>
      <c r="Z12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24.56</v>
      </c>
      <c r="AA129" s="1">
        <f>ESTIMATIVA[[#This Row],[QT_CANA_EST]]</f>
        <v>1842</v>
      </c>
      <c r="AB129" s="1">
        <f>IF(ESTIMATIVA[[#This Row],[QT_CANA_REST1]]&gt;0,ESTIMATIVA[[#This Row],[QT_CANA_REST1]],
  IF(ESTIMATIVA[[#This Row],[QT_CANA_REAL]]&gt;0,ESTIMATIVA[[#This Row],[QT_CANA_REAL]],ESTIMATIVA[[#This Row],[QT_CANA_EST]]))</f>
        <v>1630.66</v>
      </c>
      <c r="AC12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1630.66</v>
      </c>
      <c r="AD129" s="1">
        <f>IF(ESTIMATIVA[[#This Row],[QT_AREA_REAL]]&gt;0,ESTIMATIVA[[#This Row],[QT_CANA_REAL]],ESTIMATIVA[[#This Row],[QT_CANA_EST]])</f>
        <v>1630.66</v>
      </c>
      <c r="AE129" s="1">
        <f>IF(ESTIMATIVA[[#This Row],[QT_AREA_REAL]]&gt;0,ESTIMATIVA[[#This Row],[QT_CANA_REAL]],ESTIMATIVA[[#This Row],[QT_CANA_REST1]])</f>
        <v>1630.66</v>
      </c>
      <c r="AF129" s="1">
        <f>IF(ESTIMATIVA[[#This Row],[QT_AREA_REAL]]&gt;0,ESTIMATIVA[[#This Row],[QT_CANA_REAL]],ESTIMATIVA[[#This Row],[QT_CANA_REST2]])</f>
        <v>1630.66</v>
      </c>
      <c r="AG129" s="1" t="str">
        <f>IF(COUNTIFS(GEADA!A:A,VALUE(ESTIMATIVA[[#This Row],[CD_UPNIVEL1]]&amp;TEXT(ESTIMATIVA[[#This Row],[CD_UPNIVEL3]],"0000")))&gt;0,"S","N")</f>
        <v>N</v>
      </c>
      <c r="AH12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9" s="55" t="str">
        <f>IF(ESTIMATIVA[[#This Row],[TP_CULTIVO]]="Irrigado",_xlfn.MAXIFS(IRRIGADO!J:J,IRRIGADO!C:C,ESTIMATIVA[[#This Row],[CD_UPNIVEL1]],IRRIGADO!E:E,ESTIMATIVA[[#This Row],[CD_UPNIVEL3]]),"")</f>
        <v/>
      </c>
      <c r="AJ12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9" s="1">
        <f>COUNTIFS(Apresentação!$E$23:$E$29,ESTIMATIVA[[#This Row],[CD_UPNIVEL1]])</f>
        <v>0</v>
      </c>
    </row>
    <row r="130" spans="1:37" x14ac:dyDescent="0.3">
      <c r="A130">
        <v>10337</v>
      </c>
      <c r="B130" t="s">
        <v>19</v>
      </c>
      <c r="C130">
        <v>2</v>
      </c>
      <c r="D130">
        <v>3</v>
      </c>
      <c r="E130" t="s">
        <v>263</v>
      </c>
      <c r="F130" s="85" t="s">
        <v>333</v>
      </c>
      <c r="G130"/>
      <c r="H130" t="s">
        <v>294</v>
      </c>
      <c r="I130" t="s">
        <v>204</v>
      </c>
      <c r="J130" t="s">
        <v>176</v>
      </c>
      <c r="K130" s="1">
        <v>7.68</v>
      </c>
      <c r="L130" s="1">
        <v>0</v>
      </c>
      <c r="M130" s="1">
        <v>0</v>
      </c>
      <c r="N130" s="1">
        <v>7.68</v>
      </c>
      <c r="O130" s="1">
        <v>552.96</v>
      </c>
      <c r="P130" s="1">
        <v>0</v>
      </c>
      <c r="Q130" s="1">
        <v>0</v>
      </c>
      <c r="R130" s="1">
        <v>590.35</v>
      </c>
      <c r="S130" t="s">
        <v>12</v>
      </c>
      <c r="T130" s="13">
        <v>45795</v>
      </c>
      <c r="U130" s="1" t="str">
        <f>IF(ESTIMATIVA[[#This Row],[QT_AREA_REAL]]&gt;0,"1- Colhido","2- à Colher")</f>
        <v>1- Colhido</v>
      </c>
      <c r="V130" s="1" t="str">
        <f>IF(ESTIMATIVA[[#This Row],[QT_AREA_REST1]]&gt;0,"Reestimativa 1",IF(ESTIMATIVA[[#This Row],[QT_AREA_REAL]]=0,"Reestimativa 1","Realizado"))</f>
        <v>Realizado</v>
      </c>
      <c r="W130" s="1" t="str">
        <f>IF(ESTIMATIVA[[#This Row],[QT_AREA_REST2]]&gt;0,"Reestimativa 2",IF(ESTIMATIVA[[#This Row],[QT_AREA_REAL]]=0,"Reestimativa 2","Realizado"))</f>
        <v>Realizado</v>
      </c>
      <c r="X130" s="1">
        <f>ESTIMATIVA[[#This Row],[QT_AREA_EST]]</f>
        <v>7.68</v>
      </c>
      <c r="Y130" s="1">
        <f>IF(ESTIMATIVA[[#This Row],[QT_AREA_REST1]]&gt;0,ESTIMATIVA[[#This Row],[QT_AREA_REST1]],
  IF(ESTIMATIVA[[#This Row],[QT_AREA_REAL]]&gt;0,ESTIMATIVA[[#This Row],[QT_AREA_REAL]],ESTIMATIVA[[#This Row],[QT_AREA_EST]]))</f>
        <v>7.68</v>
      </c>
      <c r="Z13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7.68</v>
      </c>
      <c r="AA130" s="1">
        <f>ESTIMATIVA[[#This Row],[QT_CANA_EST]]</f>
        <v>552.96</v>
      </c>
      <c r="AB130" s="1">
        <f>IF(ESTIMATIVA[[#This Row],[QT_CANA_REST1]]&gt;0,ESTIMATIVA[[#This Row],[QT_CANA_REST1]],
  IF(ESTIMATIVA[[#This Row],[QT_CANA_REAL]]&gt;0,ESTIMATIVA[[#This Row],[QT_CANA_REAL]],ESTIMATIVA[[#This Row],[QT_CANA_EST]]))</f>
        <v>590.35</v>
      </c>
      <c r="AC13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590.35</v>
      </c>
      <c r="AD130" s="1">
        <f>IF(ESTIMATIVA[[#This Row],[QT_AREA_REAL]]&gt;0,ESTIMATIVA[[#This Row],[QT_CANA_REAL]],ESTIMATIVA[[#This Row],[QT_CANA_EST]])</f>
        <v>590.35</v>
      </c>
      <c r="AE130" s="1">
        <f>IF(ESTIMATIVA[[#This Row],[QT_AREA_REAL]]&gt;0,ESTIMATIVA[[#This Row],[QT_CANA_REAL]],ESTIMATIVA[[#This Row],[QT_CANA_REST1]])</f>
        <v>590.35</v>
      </c>
      <c r="AF130" s="1">
        <f>IF(ESTIMATIVA[[#This Row],[QT_AREA_REAL]]&gt;0,ESTIMATIVA[[#This Row],[QT_CANA_REAL]],ESTIMATIVA[[#This Row],[QT_CANA_REST2]])</f>
        <v>590.35</v>
      </c>
      <c r="AG130" s="1" t="str">
        <f>IF(COUNTIFS(GEADA!A:A,VALUE(ESTIMATIVA[[#This Row],[CD_UPNIVEL1]]&amp;TEXT(ESTIMATIVA[[#This Row],[CD_UPNIVEL3]],"0000")))&gt;0,"S","N")</f>
        <v>N</v>
      </c>
      <c r="AH13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0" s="55" t="str">
        <f>IF(ESTIMATIVA[[#This Row],[TP_CULTIVO]]="Irrigado",_xlfn.MAXIFS(IRRIGADO!J:J,IRRIGADO!C:C,ESTIMATIVA[[#This Row],[CD_UPNIVEL1]],IRRIGADO!E:E,ESTIMATIVA[[#This Row],[CD_UPNIVEL3]]),"")</f>
        <v/>
      </c>
      <c r="AJ13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0" s="1">
        <f>COUNTIFS(Apresentação!$E$23:$E$29,ESTIMATIVA[[#This Row],[CD_UPNIVEL1]])</f>
        <v>0</v>
      </c>
    </row>
    <row r="131" spans="1:37" x14ac:dyDescent="0.3">
      <c r="A131">
        <v>10337</v>
      </c>
      <c r="B131" t="s">
        <v>19</v>
      </c>
      <c r="C131">
        <v>3</v>
      </c>
      <c r="D131">
        <v>3</v>
      </c>
      <c r="E131" t="s">
        <v>263</v>
      </c>
      <c r="F131" s="85" t="s">
        <v>333</v>
      </c>
      <c r="G131"/>
      <c r="H131" t="s">
        <v>294</v>
      </c>
      <c r="I131" t="s">
        <v>204</v>
      </c>
      <c r="J131" t="s">
        <v>176</v>
      </c>
      <c r="K131" s="1">
        <v>20.89</v>
      </c>
      <c r="L131" s="1">
        <v>0</v>
      </c>
      <c r="M131" s="1">
        <v>0</v>
      </c>
      <c r="N131" s="1">
        <v>20.89</v>
      </c>
      <c r="O131" s="1">
        <v>1274.29</v>
      </c>
      <c r="P131" s="1">
        <v>0</v>
      </c>
      <c r="Q131" s="1">
        <v>0</v>
      </c>
      <c r="R131" s="1">
        <v>1360.19</v>
      </c>
      <c r="S131" t="s">
        <v>12</v>
      </c>
      <c r="T131" s="13">
        <v>45795</v>
      </c>
      <c r="U131" s="1" t="str">
        <f>IF(ESTIMATIVA[[#This Row],[QT_AREA_REAL]]&gt;0,"1- Colhido","2- à Colher")</f>
        <v>1- Colhido</v>
      </c>
      <c r="V131" s="1" t="str">
        <f>IF(ESTIMATIVA[[#This Row],[QT_AREA_REST1]]&gt;0,"Reestimativa 1",IF(ESTIMATIVA[[#This Row],[QT_AREA_REAL]]=0,"Reestimativa 1","Realizado"))</f>
        <v>Realizado</v>
      </c>
      <c r="W131" s="1" t="str">
        <f>IF(ESTIMATIVA[[#This Row],[QT_AREA_REST2]]&gt;0,"Reestimativa 2",IF(ESTIMATIVA[[#This Row],[QT_AREA_REAL]]=0,"Reestimativa 2","Realizado"))</f>
        <v>Realizado</v>
      </c>
      <c r="X131" s="1">
        <f>ESTIMATIVA[[#This Row],[QT_AREA_EST]]</f>
        <v>20.89</v>
      </c>
      <c r="Y131" s="1">
        <f>IF(ESTIMATIVA[[#This Row],[QT_AREA_REST1]]&gt;0,ESTIMATIVA[[#This Row],[QT_AREA_REST1]],
  IF(ESTIMATIVA[[#This Row],[QT_AREA_REAL]]&gt;0,ESTIMATIVA[[#This Row],[QT_AREA_REAL]],ESTIMATIVA[[#This Row],[QT_AREA_EST]]))</f>
        <v>20.89</v>
      </c>
      <c r="Z13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20.89</v>
      </c>
      <c r="AA131" s="1">
        <f>ESTIMATIVA[[#This Row],[QT_CANA_EST]]</f>
        <v>1274.29</v>
      </c>
      <c r="AB131" s="1">
        <f>IF(ESTIMATIVA[[#This Row],[QT_CANA_REST1]]&gt;0,ESTIMATIVA[[#This Row],[QT_CANA_REST1]],
  IF(ESTIMATIVA[[#This Row],[QT_CANA_REAL]]&gt;0,ESTIMATIVA[[#This Row],[QT_CANA_REAL]],ESTIMATIVA[[#This Row],[QT_CANA_EST]]))</f>
        <v>1360.19</v>
      </c>
      <c r="AC13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1360.19</v>
      </c>
      <c r="AD131" s="1">
        <f>IF(ESTIMATIVA[[#This Row],[QT_AREA_REAL]]&gt;0,ESTIMATIVA[[#This Row],[QT_CANA_REAL]],ESTIMATIVA[[#This Row],[QT_CANA_EST]])</f>
        <v>1360.19</v>
      </c>
      <c r="AE131" s="1">
        <f>IF(ESTIMATIVA[[#This Row],[QT_AREA_REAL]]&gt;0,ESTIMATIVA[[#This Row],[QT_CANA_REAL]],ESTIMATIVA[[#This Row],[QT_CANA_REST1]])</f>
        <v>1360.19</v>
      </c>
      <c r="AF131" s="1">
        <f>IF(ESTIMATIVA[[#This Row],[QT_AREA_REAL]]&gt;0,ESTIMATIVA[[#This Row],[QT_CANA_REAL]],ESTIMATIVA[[#This Row],[QT_CANA_REST2]])</f>
        <v>1360.19</v>
      </c>
      <c r="AG131" s="1" t="str">
        <f>IF(COUNTIFS(GEADA!A:A,VALUE(ESTIMATIVA[[#This Row],[CD_UPNIVEL1]]&amp;TEXT(ESTIMATIVA[[#This Row],[CD_UPNIVEL3]],"0000")))&gt;0,"S","N")</f>
        <v>N</v>
      </c>
      <c r="AH13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1" s="55" t="str">
        <f>IF(ESTIMATIVA[[#This Row],[TP_CULTIVO]]="Irrigado",_xlfn.MAXIFS(IRRIGADO!J:J,IRRIGADO!C:C,ESTIMATIVA[[#This Row],[CD_UPNIVEL1]],IRRIGADO!E:E,ESTIMATIVA[[#This Row],[CD_UPNIVEL3]]),"")</f>
        <v/>
      </c>
      <c r="AJ13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1" s="1">
        <f>COUNTIFS(Apresentação!$E$23:$E$29,ESTIMATIVA[[#This Row],[CD_UPNIVEL1]])</f>
        <v>0</v>
      </c>
    </row>
    <row r="132" spans="1:37" x14ac:dyDescent="0.3">
      <c r="A132">
        <v>10337</v>
      </c>
      <c r="B132" t="s">
        <v>19</v>
      </c>
      <c r="C132">
        <v>4</v>
      </c>
      <c r="D132">
        <v>3</v>
      </c>
      <c r="E132" t="s">
        <v>263</v>
      </c>
      <c r="F132" s="85" t="s">
        <v>333</v>
      </c>
      <c r="G132"/>
      <c r="H132" t="s">
        <v>294</v>
      </c>
      <c r="I132" t="s">
        <v>204</v>
      </c>
      <c r="J132" t="s">
        <v>176</v>
      </c>
      <c r="K132" s="1">
        <v>30.67</v>
      </c>
      <c r="L132" s="1">
        <v>0</v>
      </c>
      <c r="M132" s="1">
        <v>0</v>
      </c>
      <c r="N132" s="1">
        <v>30.67</v>
      </c>
      <c r="O132" s="1">
        <v>1870.87</v>
      </c>
      <c r="P132" s="1">
        <v>0</v>
      </c>
      <c r="Q132" s="1">
        <v>0</v>
      </c>
      <c r="R132" s="1">
        <v>1997.65</v>
      </c>
      <c r="S132" t="s">
        <v>12</v>
      </c>
      <c r="T132" s="13">
        <v>45795</v>
      </c>
      <c r="U132" s="1" t="str">
        <f>IF(ESTIMATIVA[[#This Row],[QT_AREA_REAL]]&gt;0,"1- Colhido","2- à Colher")</f>
        <v>1- Colhido</v>
      </c>
      <c r="V132" s="1" t="str">
        <f>IF(ESTIMATIVA[[#This Row],[QT_AREA_REST1]]&gt;0,"Reestimativa 1",IF(ESTIMATIVA[[#This Row],[QT_AREA_REAL]]=0,"Reestimativa 1","Realizado"))</f>
        <v>Realizado</v>
      </c>
      <c r="W132" s="1" t="str">
        <f>IF(ESTIMATIVA[[#This Row],[QT_AREA_REST2]]&gt;0,"Reestimativa 2",IF(ESTIMATIVA[[#This Row],[QT_AREA_REAL]]=0,"Reestimativa 2","Realizado"))</f>
        <v>Realizado</v>
      </c>
      <c r="X132" s="1">
        <f>ESTIMATIVA[[#This Row],[QT_AREA_EST]]</f>
        <v>30.67</v>
      </c>
      <c r="Y132" s="1">
        <f>IF(ESTIMATIVA[[#This Row],[QT_AREA_REST1]]&gt;0,ESTIMATIVA[[#This Row],[QT_AREA_REST1]],
  IF(ESTIMATIVA[[#This Row],[QT_AREA_REAL]]&gt;0,ESTIMATIVA[[#This Row],[QT_AREA_REAL]],ESTIMATIVA[[#This Row],[QT_AREA_EST]]))</f>
        <v>30.67</v>
      </c>
      <c r="Z13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30.67</v>
      </c>
      <c r="AA132" s="1">
        <f>ESTIMATIVA[[#This Row],[QT_CANA_EST]]</f>
        <v>1870.87</v>
      </c>
      <c r="AB132" s="1">
        <f>IF(ESTIMATIVA[[#This Row],[QT_CANA_REST1]]&gt;0,ESTIMATIVA[[#This Row],[QT_CANA_REST1]],
  IF(ESTIMATIVA[[#This Row],[QT_CANA_REAL]]&gt;0,ESTIMATIVA[[#This Row],[QT_CANA_REAL]],ESTIMATIVA[[#This Row],[QT_CANA_EST]]))</f>
        <v>1997.65</v>
      </c>
      <c r="AC13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1997.65</v>
      </c>
      <c r="AD132" s="1">
        <f>IF(ESTIMATIVA[[#This Row],[QT_AREA_REAL]]&gt;0,ESTIMATIVA[[#This Row],[QT_CANA_REAL]],ESTIMATIVA[[#This Row],[QT_CANA_EST]])</f>
        <v>1997.65</v>
      </c>
      <c r="AE132" s="1">
        <f>IF(ESTIMATIVA[[#This Row],[QT_AREA_REAL]]&gt;0,ESTIMATIVA[[#This Row],[QT_CANA_REAL]],ESTIMATIVA[[#This Row],[QT_CANA_REST1]])</f>
        <v>1997.65</v>
      </c>
      <c r="AF132" s="1">
        <f>IF(ESTIMATIVA[[#This Row],[QT_AREA_REAL]]&gt;0,ESTIMATIVA[[#This Row],[QT_CANA_REAL]],ESTIMATIVA[[#This Row],[QT_CANA_REST2]])</f>
        <v>1997.65</v>
      </c>
      <c r="AG132" s="1" t="str">
        <f>IF(COUNTIFS(GEADA!A:A,VALUE(ESTIMATIVA[[#This Row],[CD_UPNIVEL1]]&amp;TEXT(ESTIMATIVA[[#This Row],[CD_UPNIVEL3]],"0000")))&gt;0,"S","N")</f>
        <v>N</v>
      </c>
      <c r="AH13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2" s="55" t="str">
        <f>IF(ESTIMATIVA[[#This Row],[TP_CULTIVO]]="Irrigado",_xlfn.MAXIFS(IRRIGADO!J:J,IRRIGADO!C:C,ESTIMATIVA[[#This Row],[CD_UPNIVEL1]],IRRIGADO!E:E,ESTIMATIVA[[#This Row],[CD_UPNIVEL3]]),"")</f>
        <v/>
      </c>
      <c r="AJ13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2" s="1">
        <f>COUNTIFS(Apresentação!$E$23:$E$29,ESTIMATIVA[[#This Row],[CD_UPNIVEL1]])</f>
        <v>0</v>
      </c>
    </row>
    <row r="133" spans="1:37" x14ac:dyDescent="0.3">
      <c r="A133">
        <v>10337</v>
      </c>
      <c r="B133" t="s">
        <v>19</v>
      </c>
      <c r="C133">
        <v>5</v>
      </c>
      <c r="D133">
        <v>3</v>
      </c>
      <c r="E133" t="s">
        <v>263</v>
      </c>
      <c r="F133" s="85" t="s">
        <v>333</v>
      </c>
      <c r="G133"/>
      <c r="H133" t="s">
        <v>294</v>
      </c>
      <c r="I133" t="s">
        <v>204</v>
      </c>
      <c r="J133" t="s">
        <v>176</v>
      </c>
      <c r="K133" s="1">
        <v>1.65</v>
      </c>
      <c r="L133" s="1">
        <v>0</v>
      </c>
      <c r="M133" s="1">
        <v>0</v>
      </c>
      <c r="N133" s="1">
        <v>1.65</v>
      </c>
      <c r="O133" s="1">
        <v>100.65</v>
      </c>
      <c r="P133" s="1">
        <v>0</v>
      </c>
      <c r="Q133" s="1">
        <v>0</v>
      </c>
      <c r="R133" s="1">
        <v>107.72</v>
      </c>
      <c r="S133" t="s">
        <v>12</v>
      </c>
      <c r="T133" s="13">
        <v>45795</v>
      </c>
      <c r="U133" s="1" t="str">
        <f>IF(ESTIMATIVA[[#This Row],[QT_AREA_REAL]]&gt;0,"1- Colhido","2- à Colher")</f>
        <v>1- Colhido</v>
      </c>
      <c r="V133" s="1" t="str">
        <f>IF(ESTIMATIVA[[#This Row],[QT_AREA_REST1]]&gt;0,"Reestimativa 1",IF(ESTIMATIVA[[#This Row],[QT_AREA_REAL]]=0,"Reestimativa 1","Realizado"))</f>
        <v>Realizado</v>
      </c>
      <c r="W133" s="1" t="str">
        <f>IF(ESTIMATIVA[[#This Row],[QT_AREA_REST2]]&gt;0,"Reestimativa 2",IF(ESTIMATIVA[[#This Row],[QT_AREA_REAL]]=0,"Reestimativa 2","Realizado"))</f>
        <v>Realizado</v>
      </c>
      <c r="X133" s="1">
        <f>ESTIMATIVA[[#This Row],[QT_AREA_EST]]</f>
        <v>1.65</v>
      </c>
      <c r="Y133" s="1">
        <f>IF(ESTIMATIVA[[#This Row],[QT_AREA_REST1]]&gt;0,ESTIMATIVA[[#This Row],[QT_AREA_REST1]],
  IF(ESTIMATIVA[[#This Row],[QT_AREA_REAL]]&gt;0,ESTIMATIVA[[#This Row],[QT_AREA_REAL]],ESTIMATIVA[[#This Row],[QT_AREA_EST]]))</f>
        <v>1.65</v>
      </c>
      <c r="Z13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1.65</v>
      </c>
      <c r="AA133" s="1">
        <f>ESTIMATIVA[[#This Row],[QT_CANA_EST]]</f>
        <v>100.65</v>
      </c>
      <c r="AB133" s="1">
        <f>IF(ESTIMATIVA[[#This Row],[QT_CANA_REST1]]&gt;0,ESTIMATIVA[[#This Row],[QT_CANA_REST1]],
  IF(ESTIMATIVA[[#This Row],[QT_CANA_REAL]]&gt;0,ESTIMATIVA[[#This Row],[QT_CANA_REAL]],ESTIMATIVA[[#This Row],[QT_CANA_EST]]))</f>
        <v>107.72</v>
      </c>
      <c r="AC13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107.72</v>
      </c>
      <c r="AD133" s="1">
        <f>IF(ESTIMATIVA[[#This Row],[QT_AREA_REAL]]&gt;0,ESTIMATIVA[[#This Row],[QT_CANA_REAL]],ESTIMATIVA[[#This Row],[QT_CANA_EST]])</f>
        <v>107.72</v>
      </c>
      <c r="AE133" s="1">
        <f>IF(ESTIMATIVA[[#This Row],[QT_AREA_REAL]]&gt;0,ESTIMATIVA[[#This Row],[QT_CANA_REAL]],ESTIMATIVA[[#This Row],[QT_CANA_REST1]])</f>
        <v>107.72</v>
      </c>
      <c r="AF133" s="1">
        <f>IF(ESTIMATIVA[[#This Row],[QT_AREA_REAL]]&gt;0,ESTIMATIVA[[#This Row],[QT_CANA_REAL]],ESTIMATIVA[[#This Row],[QT_CANA_REST2]])</f>
        <v>107.72</v>
      </c>
      <c r="AG133" s="1" t="str">
        <f>IF(COUNTIFS(GEADA!A:A,VALUE(ESTIMATIVA[[#This Row],[CD_UPNIVEL1]]&amp;TEXT(ESTIMATIVA[[#This Row],[CD_UPNIVEL3]],"0000")))&gt;0,"S","N")</f>
        <v>N</v>
      </c>
      <c r="AH13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3" s="55" t="str">
        <f>IF(ESTIMATIVA[[#This Row],[TP_CULTIVO]]="Irrigado",_xlfn.MAXIFS(IRRIGADO!J:J,IRRIGADO!C:C,ESTIMATIVA[[#This Row],[CD_UPNIVEL1]],IRRIGADO!E:E,ESTIMATIVA[[#This Row],[CD_UPNIVEL3]]),"")</f>
        <v/>
      </c>
      <c r="AJ13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3" s="1">
        <f>COUNTIFS(Apresentação!$E$23:$E$29,ESTIMATIVA[[#This Row],[CD_UPNIVEL1]])</f>
        <v>0</v>
      </c>
    </row>
    <row r="134" spans="1:37" x14ac:dyDescent="0.3">
      <c r="A134">
        <v>10337</v>
      </c>
      <c r="B134" t="s">
        <v>19</v>
      </c>
      <c r="C134">
        <v>6</v>
      </c>
      <c r="D134">
        <v>3</v>
      </c>
      <c r="E134" t="s">
        <v>263</v>
      </c>
      <c r="F134" s="85" t="s">
        <v>333</v>
      </c>
      <c r="G134"/>
      <c r="H134" t="s">
        <v>294</v>
      </c>
      <c r="I134" t="s">
        <v>204</v>
      </c>
      <c r="J134" t="s">
        <v>176</v>
      </c>
      <c r="K134" s="1">
        <v>7.49</v>
      </c>
      <c r="L134" s="1">
        <v>0</v>
      </c>
      <c r="M134" s="1">
        <v>0</v>
      </c>
      <c r="N134" s="1">
        <v>7.49</v>
      </c>
      <c r="O134" s="1">
        <v>456.89</v>
      </c>
      <c r="P134" s="1">
        <v>0</v>
      </c>
      <c r="Q134" s="1">
        <v>0</v>
      </c>
      <c r="R134" s="1">
        <v>487.85</v>
      </c>
      <c r="S134" t="s">
        <v>12</v>
      </c>
      <c r="T134" s="13">
        <v>45795</v>
      </c>
      <c r="U134" s="1" t="str">
        <f>IF(ESTIMATIVA[[#This Row],[QT_AREA_REAL]]&gt;0,"1- Colhido","2- à Colher")</f>
        <v>1- Colhido</v>
      </c>
      <c r="V134" s="1" t="str">
        <f>IF(ESTIMATIVA[[#This Row],[QT_AREA_REST1]]&gt;0,"Reestimativa 1",IF(ESTIMATIVA[[#This Row],[QT_AREA_REAL]]=0,"Reestimativa 1","Realizado"))</f>
        <v>Realizado</v>
      </c>
      <c r="W134" s="1" t="str">
        <f>IF(ESTIMATIVA[[#This Row],[QT_AREA_REST2]]&gt;0,"Reestimativa 2",IF(ESTIMATIVA[[#This Row],[QT_AREA_REAL]]=0,"Reestimativa 2","Realizado"))</f>
        <v>Realizado</v>
      </c>
      <c r="X134" s="1">
        <f>ESTIMATIVA[[#This Row],[QT_AREA_EST]]</f>
        <v>7.49</v>
      </c>
      <c r="Y134" s="1">
        <f>IF(ESTIMATIVA[[#This Row],[QT_AREA_REST1]]&gt;0,ESTIMATIVA[[#This Row],[QT_AREA_REST1]],
  IF(ESTIMATIVA[[#This Row],[QT_AREA_REAL]]&gt;0,ESTIMATIVA[[#This Row],[QT_AREA_REAL]],ESTIMATIVA[[#This Row],[QT_AREA_EST]]))</f>
        <v>7.49</v>
      </c>
      <c r="Z13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7.49</v>
      </c>
      <c r="AA134" s="1">
        <f>ESTIMATIVA[[#This Row],[QT_CANA_EST]]</f>
        <v>456.89</v>
      </c>
      <c r="AB134" s="1">
        <f>IF(ESTIMATIVA[[#This Row],[QT_CANA_REST1]]&gt;0,ESTIMATIVA[[#This Row],[QT_CANA_REST1]],
  IF(ESTIMATIVA[[#This Row],[QT_CANA_REAL]]&gt;0,ESTIMATIVA[[#This Row],[QT_CANA_REAL]],ESTIMATIVA[[#This Row],[QT_CANA_EST]]))</f>
        <v>487.85</v>
      </c>
      <c r="AC13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487.85</v>
      </c>
      <c r="AD134" s="1">
        <f>IF(ESTIMATIVA[[#This Row],[QT_AREA_REAL]]&gt;0,ESTIMATIVA[[#This Row],[QT_CANA_REAL]],ESTIMATIVA[[#This Row],[QT_CANA_EST]])</f>
        <v>487.85</v>
      </c>
      <c r="AE134" s="1">
        <f>IF(ESTIMATIVA[[#This Row],[QT_AREA_REAL]]&gt;0,ESTIMATIVA[[#This Row],[QT_CANA_REAL]],ESTIMATIVA[[#This Row],[QT_CANA_REST1]])</f>
        <v>487.85</v>
      </c>
      <c r="AF134" s="1">
        <f>IF(ESTIMATIVA[[#This Row],[QT_AREA_REAL]]&gt;0,ESTIMATIVA[[#This Row],[QT_CANA_REAL]],ESTIMATIVA[[#This Row],[QT_CANA_REST2]])</f>
        <v>487.85</v>
      </c>
      <c r="AG134" s="1" t="str">
        <f>IF(COUNTIFS(GEADA!A:A,VALUE(ESTIMATIVA[[#This Row],[CD_UPNIVEL1]]&amp;TEXT(ESTIMATIVA[[#This Row],[CD_UPNIVEL3]],"0000")))&gt;0,"S","N")</f>
        <v>N</v>
      </c>
      <c r="AH13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4" s="55" t="str">
        <f>IF(ESTIMATIVA[[#This Row],[TP_CULTIVO]]="Irrigado",_xlfn.MAXIFS(IRRIGADO!J:J,IRRIGADO!C:C,ESTIMATIVA[[#This Row],[CD_UPNIVEL1]],IRRIGADO!E:E,ESTIMATIVA[[#This Row],[CD_UPNIVEL3]]),"")</f>
        <v/>
      </c>
      <c r="AJ13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4" s="1">
        <f>COUNTIFS(Apresentação!$E$23:$E$29,ESTIMATIVA[[#This Row],[CD_UPNIVEL1]])</f>
        <v>0</v>
      </c>
    </row>
    <row r="135" spans="1:37" x14ac:dyDescent="0.3">
      <c r="A135">
        <v>10337</v>
      </c>
      <c r="B135" t="s">
        <v>19</v>
      </c>
      <c r="C135">
        <v>7</v>
      </c>
      <c r="D135">
        <v>3</v>
      </c>
      <c r="E135" t="s">
        <v>263</v>
      </c>
      <c r="F135" s="85" t="s">
        <v>333</v>
      </c>
      <c r="G135"/>
      <c r="H135" t="s">
        <v>294</v>
      </c>
      <c r="I135" t="s">
        <v>204</v>
      </c>
      <c r="J135" t="s">
        <v>176</v>
      </c>
      <c r="K135" s="1">
        <v>34.68</v>
      </c>
      <c r="L135" s="1">
        <v>0</v>
      </c>
      <c r="M135" s="1">
        <v>0</v>
      </c>
      <c r="N135" s="1">
        <v>34.68</v>
      </c>
      <c r="O135" s="1">
        <v>2115.48</v>
      </c>
      <c r="P135" s="1">
        <v>0</v>
      </c>
      <c r="Q135" s="1">
        <v>0</v>
      </c>
      <c r="R135" s="1">
        <v>2258.17</v>
      </c>
      <c r="S135" t="s">
        <v>12</v>
      </c>
      <c r="T135" s="13">
        <v>45795</v>
      </c>
      <c r="U135" s="1" t="str">
        <f>IF(ESTIMATIVA[[#This Row],[QT_AREA_REAL]]&gt;0,"1- Colhido","2- à Colher")</f>
        <v>1- Colhido</v>
      </c>
      <c r="V135" s="1" t="str">
        <f>IF(ESTIMATIVA[[#This Row],[QT_AREA_REST1]]&gt;0,"Reestimativa 1",IF(ESTIMATIVA[[#This Row],[QT_AREA_REAL]]=0,"Reestimativa 1","Realizado"))</f>
        <v>Realizado</v>
      </c>
      <c r="W135" s="1" t="str">
        <f>IF(ESTIMATIVA[[#This Row],[QT_AREA_REST2]]&gt;0,"Reestimativa 2",IF(ESTIMATIVA[[#This Row],[QT_AREA_REAL]]=0,"Reestimativa 2","Realizado"))</f>
        <v>Realizado</v>
      </c>
      <c r="X135" s="1">
        <f>ESTIMATIVA[[#This Row],[QT_AREA_EST]]</f>
        <v>34.68</v>
      </c>
      <c r="Y135" s="1">
        <f>IF(ESTIMATIVA[[#This Row],[QT_AREA_REST1]]&gt;0,ESTIMATIVA[[#This Row],[QT_AREA_REST1]],
  IF(ESTIMATIVA[[#This Row],[QT_AREA_REAL]]&gt;0,ESTIMATIVA[[#This Row],[QT_AREA_REAL]],ESTIMATIVA[[#This Row],[QT_AREA_EST]]))</f>
        <v>34.68</v>
      </c>
      <c r="Z13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34.68</v>
      </c>
      <c r="AA135" s="1">
        <f>ESTIMATIVA[[#This Row],[QT_CANA_EST]]</f>
        <v>2115.48</v>
      </c>
      <c r="AB135" s="1">
        <f>IF(ESTIMATIVA[[#This Row],[QT_CANA_REST1]]&gt;0,ESTIMATIVA[[#This Row],[QT_CANA_REST1]],
  IF(ESTIMATIVA[[#This Row],[QT_CANA_REAL]]&gt;0,ESTIMATIVA[[#This Row],[QT_CANA_REAL]],ESTIMATIVA[[#This Row],[QT_CANA_EST]]))</f>
        <v>2258.17</v>
      </c>
      <c r="AC13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2258.17</v>
      </c>
      <c r="AD135" s="1">
        <f>IF(ESTIMATIVA[[#This Row],[QT_AREA_REAL]]&gt;0,ESTIMATIVA[[#This Row],[QT_CANA_REAL]],ESTIMATIVA[[#This Row],[QT_CANA_EST]])</f>
        <v>2258.17</v>
      </c>
      <c r="AE135" s="1">
        <f>IF(ESTIMATIVA[[#This Row],[QT_AREA_REAL]]&gt;0,ESTIMATIVA[[#This Row],[QT_CANA_REAL]],ESTIMATIVA[[#This Row],[QT_CANA_REST1]])</f>
        <v>2258.17</v>
      </c>
      <c r="AF135" s="1">
        <f>IF(ESTIMATIVA[[#This Row],[QT_AREA_REAL]]&gt;0,ESTIMATIVA[[#This Row],[QT_CANA_REAL]],ESTIMATIVA[[#This Row],[QT_CANA_REST2]])</f>
        <v>2258.17</v>
      </c>
      <c r="AG135" s="1" t="str">
        <f>IF(COUNTIFS(GEADA!A:A,VALUE(ESTIMATIVA[[#This Row],[CD_UPNIVEL1]]&amp;TEXT(ESTIMATIVA[[#This Row],[CD_UPNIVEL3]],"0000")))&gt;0,"S","N")</f>
        <v>N</v>
      </c>
      <c r="AH13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5" s="55" t="str">
        <f>IF(ESTIMATIVA[[#This Row],[TP_CULTIVO]]="Irrigado",_xlfn.MAXIFS(IRRIGADO!J:J,IRRIGADO!C:C,ESTIMATIVA[[#This Row],[CD_UPNIVEL1]],IRRIGADO!E:E,ESTIMATIVA[[#This Row],[CD_UPNIVEL3]]),"")</f>
        <v/>
      </c>
      <c r="AJ13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5" s="1">
        <f>COUNTIFS(Apresentação!$E$23:$E$29,ESTIMATIVA[[#This Row],[CD_UPNIVEL1]])</f>
        <v>0</v>
      </c>
    </row>
    <row r="136" spans="1:37" x14ac:dyDescent="0.3">
      <c r="A136">
        <v>10337</v>
      </c>
      <c r="B136" t="s">
        <v>19</v>
      </c>
      <c r="C136">
        <v>8</v>
      </c>
      <c r="D136">
        <v>2</v>
      </c>
      <c r="E136" t="s">
        <v>266</v>
      </c>
      <c r="F136" s="85" t="s">
        <v>333</v>
      </c>
      <c r="G136"/>
      <c r="H136" t="s">
        <v>294</v>
      </c>
      <c r="I136" t="s">
        <v>204</v>
      </c>
      <c r="J136" t="s">
        <v>176</v>
      </c>
      <c r="K136" s="1">
        <v>25.14</v>
      </c>
      <c r="L136" s="1">
        <v>0</v>
      </c>
      <c r="M136" s="1">
        <v>0</v>
      </c>
      <c r="N136" s="1">
        <v>25.14</v>
      </c>
      <c r="O136" s="1">
        <v>1784.94</v>
      </c>
      <c r="P136" s="1">
        <v>0</v>
      </c>
      <c r="Q136" s="1">
        <v>0</v>
      </c>
      <c r="R136" s="1">
        <v>1819.87</v>
      </c>
      <c r="S136" t="s">
        <v>12</v>
      </c>
      <c r="T136" s="13">
        <v>45795</v>
      </c>
      <c r="U136" s="1" t="str">
        <f>IF(ESTIMATIVA[[#This Row],[QT_AREA_REAL]]&gt;0,"1- Colhido","2- à Colher")</f>
        <v>1- Colhido</v>
      </c>
      <c r="V136" s="1" t="str">
        <f>IF(ESTIMATIVA[[#This Row],[QT_AREA_REST1]]&gt;0,"Reestimativa 1",IF(ESTIMATIVA[[#This Row],[QT_AREA_REAL]]=0,"Reestimativa 1","Realizado"))</f>
        <v>Realizado</v>
      </c>
      <c r="W136" s="1" t="str">
        <f>IF(ESTIMATIVA[[#This Row],[QT_AREA_REST2]]&gt;0,"Reestimativa 2",IF(ESTIMATIVA[[#This Row],[QT_AREA_REAL]]=0,"Reestimativa 2","Realizado"))</f>
        <v>Realizado</v>
      </c>
      <c r="X136" s="1">
        <f>ESTIMATIVA[[#This Row],[QT_AREA_EST]]</f>
        <v>25.14</v>
      </c>
      <c r="Y136" s="1">
        <f>IF(ESTIMATIVA[[#This Row],[QT_AREA_REST1]]&gt;0,ESTIMATIVA[[#This Row],[QT_AREA_REST1]],
  IF(ESTIMATIVA[[#This Row],[QT_AREA_REAL]]&gt;0,ESTIMATIVA[[#This Row],[QT_AREA_REAL]],ESTIMATIVA[[#This Row],[QT_AREA_EST]]))</f>
        <v>25.14</v>
      </c>
      <c r="Z13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25.14</v>
      </c>
      <c r="AA136" s="1">
        <f>ESTIMATIVA[[#This Row],[QT_CANA_EST]]</f>
        <v>1784.94</v>
      </c>
      <c r="AB136" s="1">
        <f>IF(ESTIMATIVA[[#This Row],[QT_CANA_REST1]]&gt;0,ESTIMATIVA[[#This Row],[QT_CANA_REST1]],
  IF(ESTIMATIVA[[#This Row],[QT_CANA_REAL]]&gt;0,ESTIMATIVA[[#This Row],[QT_CANA_REAL]],ESTIMATIVA[[#This Row],[QT_CANA_EST]]))</f>
        <v>1819.87</v>
      </c>
      <c r="AC13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1819.87</v>
      </c>
      <c r="AD136" s="1">
        <f>IF(ESTIMATIVA[[#This Row],[QT_AREA_REAL]]&gt;0,ESTIMATIVA[[#This Row],[QT_CANA_REAL]],ESTIMATIVA[[#This Row],[QT_CANA_EST]])</f>
        <v>1819.87</v>
      </c>
      <c r="AE136" s="1">
        <f>IF(ESTIMATIVA[[#This Row],[QT_AREA_REAL]]&gt;0,ESTIMATIVA[[#This Row],[QT_CANA_REAL]],ESTIMATIVA[[#This Row],[QT_CANA_REST1]])</f>
        <v>1819.87</v>
      </c>
      <c r="AF136" s="1">
        <f>IF(ESTIMATIVA[[#This Row],[QT_AREA_REAL]]&gt;0,ESTIMATIVA[[#This Row],[QT_CANA_REAL]],ESTIMATIVA[[#This Row],[QT_CANA_REST2]])</f>
        <v>1819.87</v>
      </c>
      <c r="AG136" s="1" t="str">
        <f>IF(COUNTIFS(GEADA!A:A,VALUE(ESTIMATIVA[[#This Row],[CD_UPNIVEL1]]&amp;TEXT(ESTIMATIVA[[#This Row],[CD_UPNIVEL3]],"0000")))&gt;0,"S","N")</f>
        <v>N</v>
      </c>
      <c r="AH13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6" s="55" t="str">
        <f>IF(ESTIMATIVA[[#This Row],[TP_CULTIVO]]="Irrigado",_xlfn.MAXIFS(IRRIGADO!J:J,IRRIGADO!C:C,ESTIMATIVA[[#This Row],[CD_UPNIVEL1]],IRRIGADO!E:E,ESTIMATIVA[[#This Row],[CD_UPNIVEL3]]),"")</f>
        <v/>
      </c>
      <c r="AJ13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6" s="1">
        <f>COUNTIFS(Apresentação!$E$23:$E$29,ESTIMATIVA[[#This Row],[CD_UPNIVEL1]])</f>
        <v>0</v>
      </c>
    </row>
    <row r="137" spans="1:37" x14ac:dyDescent="0.3">
      <c r="A137">
        <v>10337</v>
      </c>
      <c r="B137" t="s">
        <v>19</v>
      </c>
      <c r="C137">
        <v>9</v>
      </c>
      <c r="D137">
        <v>2</v>
      </c>
      <c r="E137" t="s">
        <v>266</v>
      </c>
      <c r="F137" s="85" t="s">
        <v>333</v>
      </c>
      <c r="G137"/>
      <c r="H137" t="s">
        <v>294</v>
      </c>
      <c r="I137" t="s">
        <v>204</v>
      </c>
      <c r="J137" t="s">
        <v>176</v>
      </c>
      <c r="K137" s="1">
        <v>5.93</v>
      </c>
      <c r="L137" s="1">
        <v>0</v>
      </c>
      <c r="M137" s="1">
        <v>0</v>
      </c>
      <c r="N137" s="1">
        <v>5.93</v>
      </c>
      <c r="O137" s="1">
        <v>415.1</v>
      </c>
      <c r="P137" s="1">
        <v>0</v>
      </c>
      <c r="Q137" s="1">
        <v>0</v>
      </c>
      <c r="R137" s="1">
        <v>424</v>
      </c>
      <c r="S137" t="s">
        <v>12</v>
      </c>
      <c r="T137" s="13">
        <v>45795</v>
      </c>
      <c r="U137" s="1" t="str">
        <f>IF(ESTIMATIVA[[#This Row],[QT_AREA_REAL]]&gt;0,"1- Colhido","2- à Colher")</f>
        <v>1- Colhido</v>
      </c>
      <c r="V137" s="1" t="str">
        <f>IF(ESTIMATIVA[[#This Row],[QT_AREA_REST1]]&gt;0,"Reestimativa 1",IF(ESTIMATIVA[[#This Row],[QT_AREA_REAL]]=0,"Reestimativa 1","Realizado"))</f>
        <v>Realizado</v>
      </c>
      <c r="W137" s="1" t="str">
        <f>IF(ESTIMATIVA[[#This Row],[QT_AREA_REST2]]&gt;0,"Reestimativa 2",IF(ESTIMATIVA[[#This Row],[QT_AREA_REAL]]=0,"Reestimativa 2","Realizado"))</f>
        <v>Realizado</v>
      </c>
      <c r="X137" s="1">
        <f>ESTIMATIVA[[#This Row],[QT_AREA_EST]]</f>
        <v>5.93</v>
      </c>
      <c r="Y137" s="1">
        <f>IF(ESTIMATIVA[[#This Row],[QT_AREA_REST1]]&gt;0,ESTIMATIVA[[#This Row],[QT_AREA_REST1]],
  IF(ESTIMATIVA[[#This Row],[QT_AREA_REAL]]&gt;0,ESTIMATIVA[[#This Row],[QT_AREA_REAL]],ESTIMATIVA[[#This Row],[QT_AREA_EST]]))</f>
        <v>5.93</v>
      </c>
      <c r="Z13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5.93</v>
      </c>
      <c r="AA137" s="1">
        <f>ESTIMATIVA[[#This Row],[QT_CANA_EST]]</f>
        <v>415.1</v>
      </c>
      <c r="AB137" s="1">
        <f>IF(ESTIMATIVA[[#This Row],[QT_CANA_REST1]]&gt;0,ESTIMATIVA[[#This Row],[QT_CANA_REST1]],
  IF(ESTIMATIVA[[#This Row],[QT_CANA_REAL]]&gt;0,ESTIMATIVA[[#This Row],[QT_CANA_REAL]],ESTIMATIVA[[#This Row],[QT_CANA_EST]]))</f>
        <v>424</v>
      </c>
      <c r="AC13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424</v>
      </c>
      <c r="AD137" s="1">
        <f>IF(ESTIMATIVA[[#This Row],[QT_AREA_REAL]]&gt;0,ESTIMATIVA[[#This Row],[QT_CANA_REAL]],ESTIMATIVA[[#This Row],[QT_CANA_EST]])</f>
        <v>424</v>
      </c>
      <c r="AE137" s="1">
        <f>IF(ESTIMATIVA[[#This Row],[QT_AREA_REAL]]&gt;0,ESTIMATIVA[[#This Row],[QT_CANA_REAL]],ESTIMATIVA[[#This Row],[QT_CANA_REST1]])</f>
        <v>424</v>
      </c>
      <c r="AF137" s="1">
        <f>IF(ESTIMATIVA[[#This Row],[QT_AREA_REAL]]&gt;0,ESTIMATIVA[[#This Row],[QT_CANA_REAL]],ESTIMATIVA[[#This Row],[QT_CANA_REST2]])</f>
        <v>424</v>
      </c>
      <c r="AG137" s="1" t="str">
        <f>IF(COUNTIFS(GEADA!A:A,VALUE(ESTIMATIVA[[#This Row],[CD_UPNIVEL1]]&amp;TEXT(ESTIMATIVA[[#This Row],[CD_UPNIVEL3]],"0000")))&gt;0,"S","N")</f>
        <v>N</v>
      </c>
      <c r="AH13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7" s="55" t="str">
        <f>IF(ESTIMATIVA[[#This Row],[TP_CULTIVO]]="Irrigado",_xlfn.MAXIFS(IRRIGADO!J:J,IRRIGADO!C:C,ESTIMATIVA[[#This Row],[CD_UPNIVEL1]],IRRIGADO!E:E,ESTIMATIVA[[#This Row],[CD_UPNIVEL3]]),"")</f>
        <v/>
      </c>
      <c r="AJ13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7" s="1">
        <f>COUNTIFS(Apresentação!$E$23:$E$29,ESTIMATIVA[[#This Row],[CD_UPNIVEL1]])</f>
        <v>0</v>
      </c>
    </row>
    <row r="138" spans="1:37" x14ac:dyDescent="0.3">
      <c r="A138">
        <v>10337</v>
      </c>
      <c r="B138" t="s">
        <v>19</v>
      </c>
      <c r="C138">
        <v>10</v>
      </c>
      <c r="D138">
        <v>2</v>
      </c>
      <c r="E138" t="s">
        <v>266</v>
      </c>
      <c r="F138" s="85" t="s">
        <v>333</v>
      </c>
      <c r="G138"/>
      <c r="H138" t="s">
        <v>294</v>
      </c>
      <c r="I138" t="s">
        <v>204</v>
      </c>
      <c r="J138" t="s">
        <v>176</v>
      </c>
      <c r="K138" s="1">
        <v>15.71</v>
      </c>
      <c r="L138" s="1">
        <v>0</v>
      </c>
      <c r="M138" s="1">
        <v>0</v>
      </c>
      <c r="N138" s="1">
        <v>15.71</v>
      </c>
      <c r="O138" s="1">
        <v>1099.7</v>
      </c>
      <c r="P138" s="1">
        <v>0</v>
      </c>
      <c r="Q138" s="1">
        <v>0</v>
      </c>
      <c r="R138" s="1">
        <v>1121.94</v>
      </c>
      <c r="S138" t="s">
        <v>12</v>
      </c>
      <c r="T138" s="13">
        <v>45795</v>
      </c>
      <c r="U138" s="1" t="str">
        <f>IF(ESTIMATIVA[[#This Row],[QT_AREA_REAL]]&gt;0,"1- Colhido","2- à Colher")</f>
        <v>1- Colhido</v>
      </c>
      <c r="V138" s="1" t="str">
        <f>IF(ESTIMATIVA[[#This Row],[QT_AREA_REST1]]&gt;0,"Reestimativa 1",IF(ESTIMATIVA[[#This Row],[QT_AREA_REAL]]=0,"Reestimativa 1","Realizado"))</f>
        <v>Realizado</v>
      </c>
      <c r="W138" s="1" t="str">
        <f>IF(ESTIMATIVA[[#This Row],[QT_AREA_REST2]]&gt;0,"Reestimativa 2",IF(ESTIMATIVA[[#This Row],[QT_AREA_REAL]]=0,"Reestimativa 2","Realizado"))</f>
        <v>Realizado</v>
      </c>
      <c r="X138" s="1">
        <f>ESTIMATIVA[[#This Row],[QT_AREA_EST]]</f>
        <v>15.71</v>
      </c>
      <c r="Y138" s="1">
        <f>IF(ESTIMATIVA[[#This Row],[QT_AREA_REST1]]&gt;0,ESTIMATIVA[[#This Row],[QT_AREA_REST1]],
  IF(ESTIMATIVA[[#This Row],[QT_AREA_REAL]]&gt;0,ESTIMATIVA[[#This Row],[QT_AREA_REAL]],ESTIMATIVA[[#This Row],[QT_AREA_EST]]))</f>
        <v>15.71</v>
      </c>
      <c r="Z13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15.71</v>
      </c>
      <c r="AA138" s="1">
        <f>ESTIMATIVA[[#This Row],[QT_CANA_EST]]</f>
        <v>1099.7</v>
      </c>
      <c r="AB138" s="1">
        <f>IF(ESTIMATIVA[[#This Row],[QT_CANA_REST1]]&gt;0,ESTIMATIVA[[#This Row],[QT_CANA_REST1]],
  IF(ESTIMATIVA[[#This Row],[QT_CANA_REAL]]&gt;0,ESTIMATIVA[[#This Row],[QT_CANA_REAL]],ESTIMATIVA[[#This Row],[QT_CANA_EST]]))</f>
        <v>1121.94</v>
      </c>
      <c r="AC13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1121.94</v>
      </c>
      <c r="AD138" s="1">
        <f>IF(ESTIMATIVA[[#This Row],[QT_AREA_REAL]]&gt;0,ESTIMATIVA[[#This Row],[QT_CANA_REAL]],ESTIMATIVA[[#This Row],[QT_CANA_EST]])</f>
        <v>1121.94</v>
      </c>
      <c r="AE138" s="1">
        <f>IF(ESTIMATIVA[[#This Row],[QT_AREA_REAL]]&gt;0,ESTIMATIVA[[#This Row],[QT_CANA_REAL]],ESTIMATIVA[[#This Row],[QT_CANA_REST1]])</f>
        <v>1121.94</v>
      </c>
      <c r="AF138" s="1">
        <f>IF(ESTIMATIVA[[#This Row],[QT_AREA_REAL]]&gt;0,ESTIMATIVA[[#This Row],[QT_CANA_REAL]],ESTIMATIVA[[#This Row],[QT_CANA_REST2]])</f>
        <v>1121.94</v>
      </c>
      <c r="AG138" s="1" t="str">
        <f>IF(COUNTIFS(GEADA!A:A,VALUE(ESTIMATIVA[[#This Row],[CD_UPNIVEL1]]&amp;TEXT(ESTIMATIVA[[#This Row],[CD_UPNIVEL3]],"0000")))&gt;0,"S","N")</f>
        <v>N</v>
      </c>
      <c r="AH13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8" s="55" t="str">
        <f>IF(ESTIMATIVA[[#This Row],[TP_CULTIVO]]="Irrigado",_xlfn.MAXIFS(IRRIGADO!J:J,IRRIGADO!C:C,ESTIMATIVA[[#This Row],[CD_UPNIVEL1]],IRRIGADO!E:E,ESTIMATIVA[[#This Row],[CD_UPNIVEL3]]),"")</f>
        <v/>
      </c>
      <c r="AJ13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8" s="1">
        <f>COUNTIFS(Apresentação!$E$23:$E$29,ESTIMATIVA[[#This Row],[CD_UPNIVEL1]])</f>
        <v>0</v>
      </c>
    </row>
    <row r="139" spans="1:37" x14ac:dyDescent="0.3">
      <c r="A139">
        <v>10337</v>
      </c>
      <c r="B139" t="s">
        <v>19</v>
      </c>
      <c r="C139">
        <v>11</v>
      </c>
      <c r="D139">
        <v>2</v>
      </c>
      <c r="E139" t="s">
        <v>266</v>
      </c>
      <c r="F139" s="85" t="s">
        <v>333</v>
      </c>
      <c r="G139"/>
      <c r="H139" t="s">
        <v>294</v>
      </c>
      <c r="I139" t="s">
        <v>204</v>
      </c>
      <c r="J139" t="s">
        <v>176</v>
      </c>
      <c r="K139" s="1">
        <v>18.37</v>
      </c>
      <c r="L139" s="1">
        <v>0</v>
      </c>
      <c r="M139" s="1">
        <v>0</v>
      </c>
      <c r="N139" s="1">
        <v>18.37</v>
      </c>
      <c r="O139" s="1">
        <v>1285.9000000000001</v>
      </c>
      <c r="P139" s="1">
        <v>0</v>
      </c>
      <c r="Q139" s="1">
        <v>0</v>
      </c>
      <c r="R139" s="1">
        <v>1312.61</v>
      </c>
      <c r="S139" t="s">
        <v>12</v>
      </c>
      <c r="T139" s="13">
        <v>45795</v>
      </c>
      <c r="U139" s="1" t="str">
        <f>IF(ESTIMATIVA[[#This Row],[QT_AREA_REAL]]&gt;0,"1- Colhido","2- à Colher")</f>
        <v>1- Colhido</v>
      </c>
      <c r="V139" s="1" t="str">
        <f>IF(ESTIMATIVA[[#This Row],[QT_AREA_REST1]]&gt;0,"Reestimativa 1",IF(ESTIMATIVA[[#This Row],[QT_AREA_REAL]]=0,"Reestimativa 1","Realizado"))</f>
        <v>Realizado</v>
      </c>
      <c r="W139" s="1" t="str">
        <f>IF(ESTIMATIVA[[#This Row],[QT_AREA_REST2]]&gt;0,"Reestimativa 2",IF(ESTIMATIVA[[#This Row],[QT_AREA_REAL]]=0,"Reestimativa 2","Realizado"))</f>
        <v>Realizado</v>
      </c>
      <c r="X139" s="1">
        <f>ESTIMATIVA[[#This Row],[QT_AREA_EST]]</f>
        <v>18.37</v>
      </c>
      <c r="Y139" s="1">
        <f>IF(ESTIMATIVA[[#This Row],[QT_AREA_REST1]]&gt;0,ESTIMATIVA[[#This Row],[QT_AREA_REST1]],
  IF(ESTIMATIVA[[#This Row],[QT_AREA_REAL]]&gt;0,ESTIMATIVA[[#This Row],[QT_AREA_REAL]],ESTIMATIVA[[#This Row],[QT_AREA_EST]]))</f>
        <v>18.37</v>
      </c>
      <c r="Z13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18.37</v>
      </c>
      <c r="AA139" s="1">
        <f>ESTIMATIVA[[#This Row],[QT_CANA_EST]]</f>
        <v>1285.9000000000001</v>
      </c>
      <c r="AB139" s="1">
        <f>IF(ESTIMATIVA[[#This Row],[QT_CANA_REST1]]&gt;0,ESTIMATIVA[[#This Row],[QT_CANA_REST1]],
  IF(ESTIMATIVA[[#This Row],[QT_CANA_REAL]]&gt;0,ESTIMATIVA[[#This Row],[QT_CANA_REAL]],ESTIMATIVA[[#This Row],[QT_CANA_EST]]))</f>
        <v>1312.61</v>
      </c>
      <c r="AC13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1312.61</v>
      </c>
      <c r="AD139" s="1">
        <f>IF(ESTIMATIVA[[#This Row],[QT_AREA_REAL]]&gt;0,ESTIMATIVA[[#This Row],[QT_CANA_REAL]],ESTIMATIVA[[#This Row],[QT_CANA_EST]])</f>
        <v>1312.61</v>
      </c>
      <c r="AE139" s="1">
        <f>IF(ESTIMATIVA[[#This Row],[QT_AREA_REAL]]&gt;0,ESTIMATIVA[[#This Row],[QT_CANA_REAL]],ESTIMATIVA[[#This Row],[QT_CANA_REST1]])</f>
        <v>1312.61</v>
      </c>
      <c r="AF139" s="1">
        <f>IF(ESTIMATIVA[[#This Row],[QT_AREA_REAL]]&gt;0,ESTIMATIVA[[#This Row],[QT_CANA_REAL]],ESTIMATIVA[[#This Row],[QT_CANA_REST2]])</f>
        <v>1312.61</v>
      </c>
      <c r="AG139" s="1" t="str">
        <f>IF(COUNTIFS(GEADA!A:A,VALUE(ESTIMATIVA[[#This Row],[CD_UPNIVEL1]]&amp;TEXT(ESTIMATIVA[[#This Row],[CD_UPNIVEL3]],"0000")))&gt;0,"S","N")</f>
        <v>N</v>
      </c>
      <c r="AH13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9" s="55" t="str">
        <f>IF(ESTIMATIVA[[#This Row],[TP_CULTIVO]]="Irrigado",_xlfn.MAXIFS(IRRIGADO!J:J,IRRIGADO!C:C,ESTIMATIVA[[#This Row],[CD_UPNIVEL1]],IRRIGADO!E:E,ESTIMATIVA[[#This Row],[CD_UPNIVEL3]]),"")</f>
        <v/>
      </c>
      <c r="AJ13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9" s="1">
        <f>COUNTIFS(Apresentação!$E$23:$E$29,ESTIMATIVA[[#This Row],[CD_UPNIVEL1]])</f>
        <v>0</v>
      </c>
    </row>
    <row r="140" spans="1:37" x14ac:dyDescent="0.3">
      <c r="A140">
        <v>10445</v>
      </c>
      <c r="B140" t="s">
        <v>20</v>
      </c>
      <c r="C140">
        <v>1</v>
      </c>
      <c r="D140">
        <v>3</v>
      </c>
      <c r="E140" t="s">
        <v>263</v>
      </c>
      <c r="F140" s="85" t="s">
        <v>333</v>
      </c>
      <c r="G140"/>
      <c r="H140" t="s">
        <v>294</v>
      </c>
      <c r="I140" t="s">
        <v>197</v>
      </c>
      <c r="J140" t="s">
        <v>176</v>
      </c>
      <c r="K140" s="1">
        <v>12.5</v>
      </c>
      <c r="L140" s="1">
        <v>0</v>
      </c>
      <c r="M140" s="1">
        <v>0</v>
      </c>
      <c r="N140" s="1">
        <v>12.5</v>
      </c>
      <c r="O140" s="1">
        <v>312.5</v>
      </c>
      <c r="P140" s="1">
        <v>0</v>
      </c>
      <c r="Q140" s="1">
        <v>0</v>
      </c>
      <c r="R140" s="1">
        <v>648.29</v>
      </c>
      <c r="S140" t="s">
        <v>12</v>
      </c>
      <c r="T140" s="13">
        <v>45746</v>
      </c>
      <c r="U140" s="1" t="str">
        <f>IF(ESTIMATIVA[[#This Row],[QT_AREA_REAL]]&gt;0,"1- Colhido","2- à Colher")</f>
        <v>1- Colhido</v>
      </c>
      <c r="V140" s="1" t="str">
        <f>IF(ESTIMATIVA[[#This Row],[QT_AREA_REST1]]&gt;0,"Reestimativa 1",IF(ESTIMATIVA[[#This Row],[QT_AREA_REAL]]=0,"Reestimativa 1","Realizado"))</f>
        <v>Realizado</v>
      </c>
      <c r="W140" s="1" t="str">
        <f>IF(ESTIMATIVA[[#This Row],[QT_AREA_REST2]]&gt;0,"Reestimativa 2",IF(ESTIMATIVA[[#This Row],[QT_AREA_REAL]]=0,"Reestimativa 2","Realizado"))</f>
        <v>Realizado</v>
      </c>
      <c r="X140" s="1">
        <f>ESTIMATIVA[[#This Row],[QT_AREA_EST]]</f>
        <v>12.5</v>
      </c>
      <c r="Y140" s="1">
        <f>IF(ESTIMATIVA[[#This Row],[QT_AREA_REST1]]&gt;0,ESTIMATIVA[[#This Row],[QT_AREA_REST1]],
  IF(ESTIMATIVA[[#This Row],[QT_AREA_REAL]]&gt;0,ESTIMATIVA[[#This Row],[QT_AREA_REAL]],ESTIMATIVA[[#This Row],[QT_AREA_EST]]))</f>
        <v>12.5</v>
      </c>
      <c r="Z14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12.5</v>
      </c>
      <c r="AA140" s="1">
        <f>ESTIMATIVA[[#This Row],[QT_CANA_EST]]</f>
        <v>312.5</v>
      </c>
      <c r="AB140" s="1">
        <f>IF(ESTIMATIVA[[#This Row],[QT_CANA_REST1]]&gt;0,ESTIMATIVA[[#This Row],[QT_CANA_REST1]],
  IF(ESTIMATIVA[[#This Row],[QT_CANA_REAL]]&gt;0,ESTIMATIVA[[#This Row],[QT_CANA_REAL]],ESTIMATIVA[[#This Row],[QT_CANA_EST]]))</f>
        <v>648.29</v>
      </c>
      <c r="AC14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648.29</v>
      </c>
      <c r="AD140" s="1">
        <f>IF(ESTIMATIVA[[#This Row],[QT_AREA_REAL]]&gt;0,ESTIMATIVA[[#This Row],[QT_CANA_REAL]],ESTIMATIVA[[#This Row],[QT_CANA_EST]])</f>
        <v>648.29</v>
      </c>
      <c r="AE140" s="1">
        <f>IF(ESTIMATIVA[[#This Row],[QT_AREA_REAL]]&gt;0,ESTIMATIVA[[#This Row],[QT_CANA_REAL]],ESTIMATIVA[[#This Row],[QT_CANA_REST1]])</f>
        <v>648.29</v>
      </c>
      <c r="AF140" s="1">
        <f>IF(ESTIMATIVA[[#This Row],[QT_AREA_REAL]]&gt;0,ESTIMATIVA[[#This Row],[QT_CANA_REAL]],ESTIMATIVA[[#This Row],[QT_CANA_REST2]])</f>
        <v>648.29</v>
      </c>
      <c r="AG140" s="1" t="str">
        <f>IF(COUNTIFS(GEADA!A:A,VALUE(ESTIMATIVA[[#This Row],[CD_UPNIVEL1]]&amp;TEXT(ESTIMATIVA[[#This Row],[CD_UPNIVEL3]],"0000")))&gt;0,"S","N")</f>
        <v>N</v>
      </c>
      <c r="AH14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40" s="55" t="str">
        <f>IF(ESTIMATIVA[[#This Row],[TP_CULTIVO]]="Irrigado",_xlfn.MAXIFS(IRRIGADO!J:J,IRRIGADO!C:C,ESTIMATIVA[[#This Row],[CD_UPNIVEL1]],IRRIGADO!E:E,ESTIMATIVA[[#This Row],[CD_UPNIVEL3]]),"")</f>
        <v/>
      </c>
      <c r="AJ14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0" s="1">
        <f>COUNTIFS(Apresentação!$E$23:$E$29,ESTIMATIVA[[#This Row],[CD_UPNIVEL1]])</f>
        <v>0</v>
      </c>
    </row>
    <row r="141" spans="1:37" x14ac:dyDescent="0.3">
      <c r="A141">
        <v>10445</v>
      </c>
      <c r="B141" t="s">
        <v>20</v>
      </c>
      <c r="C141">
        <v>2</v>
      </c>
      <c r="D141">
        <v>3</v>
      </c>
      <c r="E141" t="s">
        <v>263</v>
      </c>
      <c r="F141" s="85" t="s">
        <v>333</v>
      </c>
      <c r="G141"/>
      <c r="H141" t="s">
        <v>294</v>
      </c>
      <c r="I141" t="s">
        <v>197</v>
      </c>
      <c r="J141" t="s">
        <v>176</v>
      </c>
      <c r="K141" s="1">
        <v>21.72</v>
      </c>
      <c r="L141" s="1">
        <v>0</v>
      </c>
      <c r="M141" s="1">
        <v>0</v>
      </c>
      <c r="N141" s="1">
        <v>21.72</v>
      </c>
      <c r="O141" s="1">
        <v>434.4</v>
      </c>
      <c r="P141" s="1">
        <v>0</v>
      </c>
      <c r="Q141" s="1">
        <v>0</v>
      </c>
      <c r="R141" s="1">
        <v>898.94</v>
      </c>
      <c r="S141" t="s">
        <v>12</v>
      </c>
      <c r="T141" s="13">
        <v>45746</v>
      </c>
      <c r="U141" s="1" t="str">
        <f>IF(ESTIMATIVA[[#This Row],[QT_AREA_REAL]]&gt;0,"1- Colhido","2- à Colher")</f>
        <v>1- Colhido</v>
      </c>
      <c r="V141" s="1" t="str">
        <f>IF(ESTIMATIVA[[#This Row],[QT_AREA_REST1]]&gt;0,"Reestimativa 1",IF(ESTIMATIVA[[#This Row],[QT_AREA_REAL]]=0,"Reestimativa 1","Realizado"))</f>
        <v>Realizado</v>
      </c>
      <c r="W141" s="1" t="str">
        <f>IF(ESTIMATIVA[[#This Row],[QT_AREA_REST2]]&gt;0,"Reestimativa 2",IF(ESTIMATIVA[[#This Row],[QT_AREA_REAL]]=0,"Reestimativa 2","Realizado"))</f>
        <v>Realizado</v>
      </c>
      <c r="X141" s="1">
        <f>ESTIMATIVA[[#This Row],[QT_AREA_EST]]</f>
        <v>21.72</v>
      </c>
      <c r="Y141" s="1">
        <f>IF(ESTIMATIVA[[#This Row],[QT_AREA_REST1]]&gt;0,ESTIMATIVA[[#This Row],[QT_AREA_REST1]],
  IF(ESTIMATIVA[[#This Row],[QT_AREA_REAL]]&gt;0,ESTIMATIVA[[#This Row],[QT_AREA_REAL]],ESTIMATIVA[[#This Row],[QT_AREA_EST]]))</f>
        <v>21.72</v>
      </c>
      <c r="Z14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21.72</v>
      </c>
      <c r="AA141" s="1">
        <f>ESTIMATIVA[[#This Row],[QT_CANA_EST]]</f>
        <v>434.4</v>
      </c>
      <c r="AB141" s="1">
        <f>IF(ESTIMATIVA[[#This Row],[QT_CANA_REST1]]&gt;0,ESTIMATIVA[[#This Row],[QT_CANA_REST1]],
  IF(ESTIMATIVA[[#This Row],[QT_CANA_REAL]]&gt;0,ESTIMATIVA[[#This Row],[QT_CANA_REAL]],ESTIMATIVA[[#This Row],[QT_CANA_EST]]))</f>
        <v>898.94</v>
      </c>
      <c r="AC14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898.94</v>
      </c>
      <c r="AD141" s="1">
        <f>IF(ESTIMATIVA[[#This Row],[QT_AREA_REAL]]&gt;0,ESTIMATIVA[[#This Row],[QT_CANA_REAL]],ESTIMATIVA[[#This Row],[QT_CANA_EST]])</f>
        <v>898.94</v>
      </c>
      <c r="AE141" s="1">
        <f>IF(ESTIMATIVA[[#This Row],[QT_AREA_REAL]]&gt;0,ESTIMATIVA[[#This Row],[QT_CANA_REAL]],ESTIMATIVA[[#This Row],[QT_CANA_REST1]])</f>
        <v>898.94</v>
      </c>
      <c r="AF141" s="1">
        <f>IF(ESTIMATIVA[[#This Row],[QT_AREA_REAL]]&gt;0,ESTIMATIVA[[#This Row],[QT_CANA_REAL]],ESTIMATIVA[[#This Row],[QT_CANA_REST2]])</f>
        <v>898.94</v>
      </c>
      <c r="AG141" s="1" t="str">
        <f>IF(COUNTIFS(GEADA!A:A,VALUE(ESTIMATIVA[[#This Row],[CD_UPNIVEL1]]&amp;TEXT(ESTIMATIVA[[#This Row],[CD_UPNIVEL3]],"0000")))&gt;0,"S","N")</f>
        <v>N</v>
      </c>
      <c r="AH14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41" s="55" t="str">
        <f>IF(ESTIMATIVA[[#This Row],[TP_CULTIVO]]="Irrigado",_xlfn.MAXIFS(IRRIGADO!J:J,IRRIGADO!C:C,ESTIMATIVA[[#This Row],[CD_UPNIVEL1]],IRRIGADO!E:E,ESTIMATIVA[[#This Row],[CD_UPNIVEL3]]),"")</f>
        <v/>
      </c>
      <c r="AJ14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1" s="1">
        <f>COUNTIFS(Apresentação!$E$23:$E$29,ESTIMATIVA[[#This Row],[CD_UPNIVEL1]])</f>
        <v>0</v>
      </c>
    </row>
    <row r="142" spans="1:37" x14ac:dyDescent="0.3">
      <c r="A142">
        <v>10445</v>
      </c>
      <c r="B142" t="s">
        <v>20</v>
      </c>
      <c r="C142">
        <v>3</v>
      </c>
      <c r="D142">
        <v>3</v>
      </c>
      <c r="E142" t="s">
        <v>263</v>
      </c>
      <c r="F142" s="85" t="s">
        <v>331</v>
      </c>
      <c r="G142"/>
      <c r="H142" t="s">
        <v>294</v>
      </c>
      <c r="I142" t="s">
        <v>197</v>
      </c>
      <c r="J142" t="s">
        <v>176</v>
      </c>
      <c r="K142" s="1">
        <v>15.67</v>
      </c>
      <c r="L142" s="1">
        <v>0</v>
      </c>
      <c r="M142" s="1">
        <v>0</v>
      </c>
      <c r="N142" s="1">
        <v>15.67</v>
      </c>
      <c r="O142" s="1">
        <v>470.1</v>
      </c>
      <c r="P142" s="1">
        <v>0</v>
      </c>
      <c r="Q142" s="1">
        <v>0</v>
      </c>
      <c r="R142" s="1">
        <v>973.51</v>
      </c>
      <c r="S142" t="s">
        <v>12</v>
      </c>
      <c r="T142" s="13">
        <v>45746</v>
      </c>
      <c r="U142" s="1" t="str">
        <f>IF(ESTIMATIVA[[#This Row],[QT_AREA_REAL]]&gt;0,"1- Colhido","2- à Colher")</f>
        <v>1- Colhido</v>
      </c>
      <c r="V142" s="1" t="str">
        <f>IF(ESTIMATIVA[[#This Row],[QT_AREA_REST1]]&gt;0,"Reestimativa 1",IF(ESTIMATIVA[[#This Row],[QT_AREA_REAL]]=0,"Reestimativa 1","Realizado"))</f>
        <v>Realizado</v>
      </c>
      <c r="W142" s="1" t="str">
        <f>IF(ESTIMATIVA[[#This Row],[QT_AREA_REST2]]&gt;0,"Reestimativa 2",IF(ESTIMATIVA[[#This Row],[QT_AREA_REAL]]=0,"Reestimativa 2","Realizado"))</f>
        <v>Realizado</v>
      </c>
      <c r="X142" s="1">
        <f>ESTIMATIVA[[#This Row],[QT_AREA_EST]]</f>
        <v>15.67</v>
      </c>
      <c r="Y142" s="1">
        <f>IF(ESTIMATIVA[[#This Row],[QT_AREA_REST1]]&gt;0,ESTIMATIVA[[#This Row],[QT_AREA_REST1]],
  IF(ESTIMATIVA[[#This Row],[QT_AREA_REAL]]&gt;0,ESTIMATIVA[[#This Row],[QT_AREA_REAL]],ESTIMATIVA[[#This Row],[QT_AREA_EST]]))</f>
        <v>15.67</v>
      </c>
      <c r="Z14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15.67</v>
      </c>
      <c r="AA142" s="1">
        <f>ESTIMATIVA[[#This Row],[QT_CANA_EST]]</f>
        <v>470.1</v>
      </c>
      <c r="AB142" s="1">
        <f>IF(ESTIMATIVA[[#This Row],[QT_CANA_REST1]]&gt;0,ESTIMATIVA[[#This Row],[QT_CANA_REST1]],
  IF(ESTIMATIVA[[#This Row],[QT_CANA_REAL]]&gt;0,ESTIMATIVA[[#This Row],[QT_CANA_REAL]],ESTIMATIVA[[#This Row],[QT_CANA_EST]]))</f>
        <v>973.51</v>
      </c>
      <c r="AC14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973.51</v>
      </c>
      <c r="AD142" s="1">
        <f>IF(ESTIMATIVA[[#This Row],[QT_AREA_REAL]]&gt;0,ESTIMATIVA[[#This Row],[QT_CANA_REAL]],ESTIMATIVA[[#This Row],[QT_CANA_EST]])</f>
        <v>973.51</v>
      </c>
      <c r="AE142" s="1">
        <f>IF(ESTIMATIVA[[#This Row],[QT_AREA_REAL]]&gt;0,ESTIMATIVA[[#This Row],[QT_CANA_REAL]],ESTIMATIVA[[#This Row],[QT_CANA_REST1]])</f>
        <v>973.51</v>
      </c>
      <c r="AF142" s="1">
        <f>IF(ESTIMATIVA[[#This Row],[QT_AREA_REAL]]&gt;0,ESTIMATIVA[[#This Row],[QT_CANA_REAL]],ESTIMATIVA[[#This Row],[QT_CANA_REST2]])</f>
        <v>973.51</v>
      </c>
      <c r="AG142" s="1" t="str">
        <f>IF(COUNTIFS(GEADA!A:A,VALUE(ESTIMATIVA[[#This Row],[CD_UPNIVEL1]]&amp;TEXT(ESTIMATIVA[[#This Row],[CD_UPNIVEL3]],"0000")))&gt;0,"S","N")</f>
        <v>N</v>
      </c>
      <c r="AH14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42" s="55" t="str">
        <f>IF(ESTIMATIVA[[#This Row],[TP_CULTIVO]]="Irrigado",_xlfn.MAXIFS(IRRIGADO!J:J,IRRIGADO!C:C,ESTIMATIVA[[#This Row],[CD_UPNIVEL1]],IRRIGADO!E:E,ESTIMATIVA[[#This Row],[CD_UPNIVEL3]]),"")</f>
        <v/>
      </c>
      <c r="AJ14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2" s="1">
        <f>COUNTIFS(Apresentação!$E$23:$E$29,ESTIMATIVA[[#This Row],[CD_UPNIVEL1]])</f>
        <v>0</v>
      </c>
    </row>
    <row r="143" spans="1:37" x14ac:dyDescent="0.3">
      <c r="A143">
        <v>10445</v>
      </c>
      <c r="B143" t="s">
        <v>20</v>
      </c>
      <c r="C143">
        <v>4</v>
      </c>
      <c r="D143">
        <v>3</v>
      </c>
      <c r="E143" t="s">
        <v>263</v>
      </c>
      <c r="F143" s="85" t="s">
        <v>331</v>
      </c>
      <c r="G143"/>
      <c r="H143" t="s">
        <v>294</v>
      </c>
      <c r="I143" t="s">
        <v>197</v>
      </c>
      <c r="J143" t="s">
        <v>176</v>
      </c>
      <c r="K143" s="1">
        <v>2.63</v>
      </c>
      <c r="L143" s="1">
        <v>0</v>
      </c>
      <c r="M143" s="1">
        <v>0</v>
      </c>
      <c r="N143" s="1">
        <v>2.63</v>
      </c>
      <c r="O143" s="1">
        <v>65.75</v>
      </c>
      <c r="P143" s="1">
        <v>0</v>
      </c>
      <c r="Q143" s="1">
        <v>0</v>
      </c>
      <c r="R143" s="1">
        <v>136.66</v>
      </c>
      <c r="S143" t="s">
        <v>12</v>
      </c>
      <c r="T143" s="13">
        <v>45746</v>
      </c>
      <c r="U143" s="1" t="str">
        <f>IF(ESTIMATIVA[[#This Row],[QT_AREA_REAL]]&gt;0,"1- Colhido","2- à Colher")</f>
        <v>1- Colhido</v>
      </c>
      <c r="V143" s="1" t="str">
        <f>IF(ESTIMATIVA[[#This Row],[QT_AREA_REST1]]&gt;0,"Reestimativa 1",IF(ESTIMATIVA[[#This Row],[QT_AREA_REAL]]=0,"Reestimativa 1","Realizado"))</f>
        <v>Realizado</v>
      </c>
      <c r="W143" s="1" t="str">
        <f>IF(ESTIMATIVA[[#This Row],[QT_AREA_REST2]]&gt;0,"Reestimativa 2",IF(ESTIMATIVA[[#This Row],[QT_AREA_REAL]]=0,"Reestimativa 2","Realizado"))</f>
        <v>Realizado</v>
      </c>
      <c r="X143" s="1">
        <f>ESTIMATIVA[[#This Row],[QT_AREA_EST]]</f>
        <v>2.63</v>
      </c>
      <c r="Y143" s="1">
        <f>IF(ESTIMATIVA[[#This Row],[QT_AREA_REST1]]&gt;0,ESTIMATIVA[[#This Row],[QT_AREA_REST1]],
  IF(ESTIMATIVA[[#This Row],[QT_AREA_REAL]]&gt;0,ESTIMATIVA[[#This Row],[QT_AREA_REAL]],ESTIMATIVA[[#This Row],[QT_AREA_EST]]))</f>
        <v>2.63</v>
      </c>
      <c r="Z14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2.63</v>
      </c>
      <c r="AA143" s="1">
        <f>ESTIMATIVA[[#This Row],[QT_CANA_EST]]</f>
        <v>65.75</v>
      </c>
      <c r="AB143" s="1">
        <f>IF(ESTIMATIVA[[#This Row],[QT_CANA_REST1]]&gt;0,ESTIMATIVA[[#This Row],[QT_CANA_REST1]],
  IF(ESTIMATIVA[[#This Row],[QT_CANA_REAL]]&gt;0,ESTIMATIVA[[#This Row],[QT_CANA_REAL]],ESTIMATIVA[[#This Row],[QT_CANA_EST]]))</f>
        <v>136.66</v>
      </c>
      <c r="AC14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136.66</v>
      </c>
      <c r="AD143" s="1">
        <f>IF(ESTIMATIVA[[#This Row],[QT_AREA_REAL]]&gt;0,ESTIMATIVA[[#This Row],[QT_CANA_REAL]],ESTIMATIVA[[#This Row],[QT_CANA_EST]])</f>
        <v>136.66</v>
      </c>
      <c r="AE143" s="1">
        <f>IF(ESTIMATIVA[[#This Row],[QT_AREA_REAL]]&gt;0,ESTIMATIVA[[#This Row],[QT_CANA_REAL]],ESTIMATIVA[[#This Row],[QT_CANA_REST1]])</f>
        <v>136.66</v>
      </c>
      <c r="AF143" s="1">
        <f>IF(ESTIMATIVA[[#This Row],[QT_AREA_REAL]]&gt;0,ESTIMATIVA[[#This Row],[QT_CANA_REAL]],ESTIMATIVA[[#This Row],[QT_CANA_REST2]])</f>
        <v>136.66</v>
      </c>
      <c r="AG143" s="1" t="str">
        <f>IF(COUNTIFS(GEADA!A:A,VALUE(ESTIMATIVA[[#This Row],[CD_UPNIVEL1]]&amp;TEXT(ESTIMATIVA[[#This Row],[CD_UPNIVEL3]],"0000")))&gt;0,"S","N")</f>
        <v>N</v>
      </c>
      <c r="AH14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43" s="55" t="str">
        <f>IF(ESTIMATIVA[[#This Row],[TP_CULTIVO]]="Irrigado",_xlfn.MAXIFS(IRRIGADO!J:J,IRRIGADO!C:C,ESTIMATIVA[[#This Row],[CD_UPNIVEL1]],IRRIGADO!E:E,ESTIMATIVA[[#This Row],[CD_UPNIVEL3]]),"")</f>
        <v/>
      </c>
      <c r="AJ14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3" s="1">
        <f>COUNTIFS(Apresentação!$E$23:$E$29,ESTIMATIVA[[#This Row],[CD_UPNIVEL1]])</f>
        <v>0</v>
      </c>
    </row>
    <row r="144" spans="1:37" x14ac:dyDescent="0.3">
      <c r="A144">
        <v>10445</v>
      </c>
      <c r="B144" t="s">
        <v>20</v>
      </c>
      <c r="C144">
        <v>5</v>
      </c>
      <c r="D144">
        <v>3</v>
      </c>
      <c r="E144" t="s">
        <v>263</v>
      </c>
      <c r="F144" s="85" t="s">
        <v>331</v>
      </c>
      <c r="G144"/>
      <c r="H144" t="s">
        <v>294</v>
      </c>
      <c r="I144" t="s">
        <v>197</v>
      </c>
      <c r="J144" t="s">
        <v>176</v>
      </c>
      <c r="K144" s="1">
        <v>12.79</v>
      </c>
      <c r="L144" s="1">
        <v>0</v>
      </c>
      <c r="M144" s="1">
        <v>0</v>
      </c>
      <c r="N144" s="1">
        <v>12.79</v>
      </c>
      <c r="O144" s="1">
        <v>639.5</v>
      </c>
      <c r="P144" s="1">
        <v>0</v>
      </c>
      <c r="Q144" s="1">
        <v>0</v>
      </c>
      <c r="R144" s="1">
        <v>1325.94</v>
      </c>
      <c r="S144" t="s">
        <v>12</v>
      </c>
      <c r="T144" s="13">
        <v>45746</v>
      </c>
      <c r="U144" s="1" t="str">
        <f>IF(ESTIMATIVA[[#This Row],[QT_AREA_REAL]]&gt;0,"1- Colhido","2- à Colher")</f>
        <v>1- Colhido</v>
      </c>
      <c r="V144" s="1" t="str">
        <f>IF(ESTIMATIVA[[#This Row],[QT_AREA_REST1]]&gt;0,"Reestimativa 1",IF(ESTIMATIVA[[#This Row],[QT_AREA_REAL]]=0,"Reestimativa 1","Realizado"))</f>
        <v>Realizado</v>
      </c>
      <c r="W144" s="1" t="str">
        <f>IF(ESTIMATIVA[[#This Row],[QT_AREA_REST2]]&gt;0,"Reestimativa 2",IF(ESTIMATIVA[[#This Row],[QT_AREA_REAL]]=0,"Reestimativa 2","Realizado"))</f>
        <v>Realizado</v>
      </c>
      <c r="X144" s="1">
        <f>ESTIMATIVA[[#This Row],[QT_AREA_EST]]</f>
        <v>12.79</v>
      </c>
      <c r="Y144" s="1">
        <f>IF(ESTIMATIVA[[#This Row],[QT_AREA_REST1]]&gt;0,ESTIMATIVA[[#This Row],[QT_AREA_REST1]],
  IF(ESTIMATIVA[[#This Row],[QT_AREA_REAL]]&gt;0,ESTIMATIVA[[#This Row],[QT_AREA_REAL]],ESTIMATIVA[[#This Row],[QT_AREA_EST]]))</f>
        <v>12.79</v>
      </c>
      <c r="Z14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12.79</v>
      </c>
      <c r="AA144" s="1">
        <f>ESTIMATIVA[[#This Row],[QT_CANA_EST]]</f>
        <v>639.5</v>
      </c>
      <c r="AB144" s="1">
        <f>IF(ESTIMATIVA[[#This Row],[QT_CANA_REST1]]&gt;0,ESTIMATIVA[[#This Row],[QT_CANA_REST1]],
  IF(ESTIMATIVA[[#This Row],[QT_CANA_REAL]]&gt;0,ESTIMATIVA[[#This Row],[QT_CANA_REAL]],ESTIMATIVA[[#This Row],[QT_CANA_EST]]))</f>
        <v>1325.94</v>
      </c>
      <c r="AC14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1325.94</v>
      </c>
      <c r="AD144" s="1">
        <f>IF(ESTIMATIVA[[#This Row],[QT_AREA_REAL]]&gt;0,ESTIMATIVA[[#This Row],[QT_CANA_REAL]],ESTIMATIVA[[#This Row],[QT_CANA_EST]])</f>
        <v>1325.94</v>
      </c>
      <c r="AE144" s="1">
        <f>IF(ESTIMATIVA[[#This Row],[QT_AREA_REAL]]&gt;0,ESTIMATIVA[[#This Row],[QT_CANA_REAL]],ESTIMATIVA[[#This Row],[QT_CANA_REST1]])</f>
        <v>1325.94</v>
      </c>
      <c r="AF144" s="1">
        <f>IF(ESTIMATIVA[[#This Row],[QT_AREA_REAL]]&gt;0,ESTIMATIVA[[#This Row],[QT_CANA_REAL]],ESTIMATIVA[[#This Row],[QT_CANA_REST2]])</f>
        <v>1325.94</v>
      </c>
      <c r="AG144" s="1" t="str">
        <f>IF(COUNTIFS(GEADA!A:A,VALUE(ESTIMATIVA[[#This Row],[CD_UPNIVEL1]]&amp;TEXT(ESTIMATIVA[[#This Row],[CD_UPNIVEL3]],"0000")))&gt;0,"S","N")</f>
        <v>N</v>
      </c>
      <c r="AH14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44" s="55" t="str">
        <f>IF(ESTIMATIVA[[#This Row],[TP_CULTIVO]]="Irrigado",_xlfn.MAXIFS(IRRIGADO!J:J,IRRIGADO!C:C,ESTIMATIVA[[#This Row],[CD_UPNIVEL1]],IRRIGADO!E:E,ESTIMATIVA[[#This Row],[CD_UPNIVEL3]]),"")</f>
        <v/>
      </c>
      <c r="AJ14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4" s="1">
        <f>COUNTIFS(Apresentação!$E$23:$E$29,ESTIMATIVA[[#This Row],[CD_UPNIVEL1]])</f>
        <v>0</v>
      </c>
    </row>
    <row r="145" spans="1:37" x14ac:dyDescent="0.3">
      <c r="A145">
        <v>10445</v>
      </c>
      <c r="B145" t="s">
        <v>20</v>
      </c>
      <c r="C145">
        <v>14</v>
      </c>
      <c r="D145">
        <v>2</v>
      </c>
      <c r="E145" t="s">
        <v>266</v>
      </c>
      <c r="F145" s="85" t="s">
        <v>331</v>
      </c>
      <c r="G145"/>
      <c r="H145" t="s">
        <v>294</v>
      </c>
      <c r="I145" t="s">
        <v>205</v>
      </c>
      <c r="J145" t="s">
        <v>176</v>
      </c>
      <c r="K145" s="1">
        <v>9.6300000000000008</v>
      </c>
      <c r="L145" s="1">
        <v>9.6300000000000008</v>
      </c>
      <c r="M145" s="1">
        <v>0</v>
      </c>
      <c r="N145" s="1">
        <v>9.6300000000000008</v>
      </c>
      <c r="O145" s="1">
        <v>866.7</v>
      </c>
      <c r="P145" s="1">
        <v>712.62</v>
      </c>
      <c r="Q145" s="1">
        <v>0</v>
      </c>
      <c r="R145" s="1">
        <v>804.8</v>
      </c>
      <c r="S145" t="s">
        <v>12</v>
      </c>
      <c r="T145" s="13">
        <v>45900</v>
      </c>
      <c r="U145" s="1" t="str">
        <f>IF(ESTIMATIVA[[#This Row],[QT_AREA_REAL]]&gt;0,"1- Colhido","2- à Colher")</f>
        <v>1- Colhido</v>
      </c>
      <c r="V145" s="1" t="str">
        <f>IF(ESTIMATIVA[[#This Row],[QT_AREA_REST1]]&gt;0,"Reestimativa 1",IF(ESTIMATIVA[[#This Row],[QT_AREA_REAL]]=0,"Reestimativa 1","Realizado"))</f>
        <v>Reestimativa 1</v>
      </c>
      <c r="W145" s="1" t="str">
        <f>IF(ESTIMATIVA[[#This Row],[QT_AREA_REST2]]&gt;0,"Reestimativa 2",IF(ESTIMATIVA[[#This Row],[QT_AREA_REAL]]=0,"Reestimativa 2","Realizado"))</f>
        <v>Realizado</v>
      </c>
      <c r="X145" s="1">
        <f>ESTIMATIVA[[#This Row],[QT_AREA_EST]]</f>
        <v>9.6300000000000008</v>
      </c>
      <c r="Y145" s="1">
        <f>IF(ESTIMATIVA[[#This Row],[QT_AREA_REST1]]&gt;0,ESTIMATIVA[[#This Row],[QT_AREA_REST1]],
  IF(ESTIMATIVA[[#This Row],[QT_AREA_REAL]]&gt;0,ESTIMATIVA[[#This Row],[QT_AREA_REAL]],ESTIMATIVA[[#This Row],[QT_AREA_EST]]))</f>
        <v>9.6300000000000008</v>
      </c>
      <c r="Z14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9.6300000000000008</v>
      </c>
      <c r="AA145" s="1">
        <f>ESTIMATIVA[[#This Row],[QT_CANA_EST]]</f>
        <v>866.7</v>
      </c>
      <c r="AB145" s="1">
        <f>IF(ESTIMATIVA[[#This Row],[QT_CANA_REST1]]&gt;0,ESTIMATIVA[[#This Row],[QT_CANA_REST1]],
  IF(ESTIMATIVA[[#This Row],[QT_CANA_REAL]]&gt;0,ESTIMATIVA[[#This Row],[QT_CANA_REAL]],ESTIMATIVA[[#This Row],[QT_CANA_EST]]))</f>
        <v>712.62</v>
      </c>
      <c r="AC14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804.8</v>
      </c>
      <c r="AD145" s="1">
        <f>IF(ESTIMATIVA[[#This Row],[QT_AREA_REAL]]&gt;0,ESTIMATIVA[[#This Row],[QT_CANA_REAL]],ESTIMATIVA[[#This Row],[QT_CANA_EST]])</f>
        <v>804.8</v>
      </c>
      <c r="AE145" s="1">
        <f>IF(ESTIMATIVA[[#This Row],[QT_AREA_REAL]]&gt;0,ESTIMATIVA[[#This Row],[QT_CANA_REAL]],ESTIMATIVA[[#This Row],[QT_CANA_REST1]])</f>
        <v>804.8</v>
      </c>
      <c r="AF145" s="1">
        <f>IF(ESTIMATIVA[[#This Row],[QT_AREA_REAL]]&gt;0,ESTIMATIVA[[#This Row],[QT_CANA_REAL]],ESTIMATIVA[[#This Row],[QT_CANA_REST2]])</f>
        <v>804.8</v>
      </c>
      <c r="AG145" s="1" t="str">
        <f>IF(COUNTIFS(GEADA!A:A,VALUE(ESTIMATIVA[[#This Row],[CD_UPNIVEL1]]&amp;TEXT(ESTIMATIVA[[#This Row],[CD_UPNIVEL3]],"0000")))&gt;0,"S","N")</f>
        <v>N</v>
      </c>
      <c r="AH14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45" s="55" t="str">
        <f>IF(ESTIMATIVA[[#This Row],[TP_CULTIVO]]="Irrigado",_xlfn.MAXIFS(IRRIGADO!J:J,IRRIGADO!C:C,ESTIMATIVA[[#This Row],[CD_UPNIVEL1]],IRRIGADO!E:E,ESTIMATIVA[[#This Row],[CD_UPNIVEL3]]),"")</f>
        <v/>
      </c>
      <c r="AJ14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5" s="1">
        <f>COUNTIFS(Apresentação!$E$23:$E$29,ESTIMATIVA[[#This Row],[CD_UPNIVEL1]])</f>
        <v>0</v>
      </c>
    </row>
    <row r="146" spans="1:37" x14ac:dyDescent="0.3">
      <c r="A146">
        <v>10445</v>
      </c>
      <c r="B146" t="s">
        <v>20</v>
      </c>
      <c r="C146">
        <v>15</v>
      </c>
      <c r="D146">
        <v>2</v>
      </c>
      <c r="E146" t="s">
        <v>266</v>
      </c>
      <c r="F146" s="85" t="s">
        <v>332</v>
      </c>
      <c r="G146"/>
      <c r="H146" t="s">
        <v>294</v>
      </c>
      <c r="I146" t="s">
        <v>205</v>
      </c>
      <c r="J146" t="s">
        <v>176</v>
      </c>
      <c r="K146" s="1">
        <v>10.37</v>
      </c>
      <c r="L146" s="1">
        <v>10.37</v>
      </c>
      <c r="M146" s="1">
        <v>0</v>
      </c>
      <c r="N146" s="1">
        <v>10.37</v>
      </c>
      <c r="O146" s="1">
        <v>933.3</v>
      </c>
      <c r="P146" s="1">
        <v>767.38</v>
      </c>
      <c r="Q146" s="1">
        <v>0</v>
      </c>
      <c r="R146" s="1">
        <v>865.76</v>
      </c>
      <c r="S146" t="s">
        <v>12</v>
      </c>
      <c r="T146" s="13">
        <v>45900</v>
      </c>
      <c r="U146" s="1" t="str">
        <f>IF(ESTIMATIVA[[#This Row],[QT_AREA_REAL]]&gt;0,"1- Colhido","2- à Colher")</f>
        <v>1- Colhido</v>
      </c>
      <c r="V146" s="1" t="str">
        <f>IF(ESTIMATIVA[[#This Row],[QT_AREA_REST1]]&gt;0,"Reestimativa 1",IF(ESTIMATIVA[[#This Row],[QT_AREA_REAL]]=0,"Reestimativa 1","Realizado"))</f>
        <v>Reestimativa 1</v>
      </c>
      <c r="W146" s="1" t="str">
        <f>IF(ESTIMATIVA[[#This Row],[QT_AREA_REST2]]&gt;0,"Reestimativa 2",IF(ESTIMATIVA[[#This Row],[QT_AREA_REAL]]=0,"Reestimativa 2","Realizado"))</f>
        <v>Realizado</v>
      </c>
      <c r="X146" s="1">
        <f>ESTIMATIVA[[#This Row],[QT_AREA_EST]]</f>
        <v>10.37</v>
      </c>
      <c r="Y146" s="1">
        <f>IF(ESTIMATIVA[[#This Row],[QT_AREA_REST1]]&gt;0,ESTIMATIVA[[#This Row],[QT_AREA_REST1]],
  IF(ESTIMATIVA[[#This Row],[QT_AREA_REAL]]&gt;0,ESTIMATIVA[[#This Row],[QT_AREA_REAL]],ESTIMATIVA[[#This Row],[QT_AREA_EST]]))</f>
        <v>10.37</v>
      </c>
      <c r="Z14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10.37</v>
      </c>
      <c r="AA146" s="1">
        <f>ESTIMATIVA[[#This Row],[QT_CANA_EST]]</f>
        <v>933.3</v>
      </c>
      <c r="AB146" s="1">
        <f>IF(ESTIMATIVA[[#This Row],[QT_CANA_REST1]]&gt;0,ESTIMATIVA[[#This Row],[QT_CANA_REST1]],
  IF(ESTIMATIVA[[#This Row],[QT_CANA_REAL]]&gt;0,ESTIMATIVA[[#This Row],[QT_CANA_REAL]],ESTIMATIVA[[#This Row],[QT_CANA_EST]]))</f>
        <v>767.38</v>
      </c>
      <c r="AC14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865.76</v>
      </c>
      <c r="AD146" s="1">
        <f>IF(ESTIMATIVA[[#This Row],[QT_AREA_REAL]]&gt;0,ESTIMATIVA[[#This Row],[QT_CANA_REAL]],ESTIMATIVA[[#This Row],[QT_CANA_EST]])</f>
        <v>865.76</v>
      </c>
      <c r="AE146" s="1">
        <f>IF(ESTIMATIVA[[#This Row],[QT_AREA_REAL]]&gt;0,ESTIMATIVA[[#This Row],[QT_CANA_REAL]],ESTIMATIVA[[#This Row],[QT_CANA_REST1]])</f>
        <v>865.76</v>
      </c>
      <c r="AF146" s="1">
        <f>IF(ESTIMATIVA[[#This Row],[QT_AREA_REAL]]&gt;0,ESTIMATIVA[[#This Row],[QT_CANA_REAL]],ESTIMATIVA[[#This Row],[QT_CANA_REST2]])</f>
        <v>865.76</v>
      </c>
      <c r="AG146" s="1" t="str">
        <f>IF(COUNTIFS(GEADA!A:A,VALUE(ESTIMATIVA[[#This Row],[CD_UPNIVEL1]]&amp;TEXT(ESTIMATIVA[[#This Row],[CD_UPNIVEL3]],"0000")))&gt;0,"S","N")</f>
        <v>N</v>
      </c>
      <c r="AH14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46" s="55" t="str">
        <f>IF(ESTIMATIVA[[#This Row],[TP_CULTIVO]]="Irrigado",_xlfn.MAXIFS(IRRIGADO!J:J,IRRIGADO!C:C,ESTIMATIVA[[#This Row],[CD_UPNIVEL1]],IRRIGADO!E:E,ESTIMATIVA[[#This Row],[CD_UPNIVEL3]]),"")</f>
        <v/>
      </c>
      <c r="AJ14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6" s="1">
        <f>COUNTIFS(Apresentação!$E$23:$E$29,ESTIMATIVA[[#This Row],[CD_UPNIVEL1]])</f>
        <v>0</v>
      </c>
    </row>
    <row r="147" spans="1:37" x14ac:dyDescent="0.3">
      <c r="A147">
        <v>10445</v>
      </c>
      <c r="B147" t="s">
        <v>20</v>
      </c>
      <c r="C147">
        <v>16</v>
      </c>
      <c r="D147">
        <v>2</v>
      </c>
      <c r="E147" t="s">
        <v>266</v>
      </c>
      <c r="F147" s="85" t="s">
        <v>332</v>
      </c>
      <c r="G147"/>
      <c r="H147" t="s">
        <v>294</v>
      </c>
      <c r="I147" t="s">
        <v>205</v>
      </c>
      <c r="J147" t="s">
        <v>176</v>
      </c>
      <c r="K147" s="1">
        <v>2.34</v>
      </c>
      <c r="L147" s="1">
        <v>2.34</v>
      </c>
      <c r="M147" s="1">
        <v>0</v>
      </c>
      <c r="N147" s="1">
        <v>2.34</v>
      </c>
      <c r="O147" s="1">
        <v>210.6</v>
      </c>
      <c r="P147" s="1">
        <v>173.16</v>
      </c>
      <c r="Q147" s="1">
        <v>0</v>
      </c>
      <c r="R147" s="1">
        <v>195.25</v>
      </c>
      <c r="S147" t="s">
        <v>12</v>
      </c>
      <c r="T147" s="13">
        <v>45900</v>
      </c>
      <c r="U147" s="1" t="str">
        <f>IF(ESTIMATIVA[[#This Row],[QT_AREA_REAL]]&gt;0,"1- Colhido","2- à Colher")</f>
        <v>1- Colhido</v>
      </c>
      <c r="V147" s="1" t="str">
        <f>IF(ESTIMATIVA[[#This Row],[QT_AREA_REST1]]&gt;0,"Reestimativa 1",IF(ESTIMATIVA[[#This Row],[QT_AREA_REAL]]=0,"Reestimativa 1","Realizado"))</f>
        <v>Reestimativa 1</v>
      </c>
      <c r="W147" s="1" t="str">
        <f>IF(ESTIMATIVA[[#This Row],[QT_AREA_REST2]]&gt;0,"Reestimativa 2",IF(ESTIMATIVA[[#This Row],[QT_AREA_REAL]]=0,"Reestimativa 2","Realizado"))</f>
        <v>Realizado</v>
      </c>
      <c r="X147" s="1">
        <f>ESTIMATIVA[[#This Row],[QT_AREA_EST]]</f>
        <v>2.34</v>
      </c>
      <c r="Y147" s="1">
        <f>IF(ESTIMATIVA[[#This Row],[QT_AREA_REST1]]&gt;0,ESTIMATIVA[[#This Row],[QT_AREA_REST1]],
  IF(ESTIMATIVA[[#This Row],[QT_AREA_REAL]]&gt;0,ESTIMATIVA[[#This Row],[QT_AREA_REAL]],ESTIMATIVA[[#This Row],[QT_AREA_EST]]))</f>
        <v>2.34</v>
      </c>
      <c r="Z14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2.34</v>
      </c>
      <c r="AA147" s="1">
        <f>ESTIMATIVA[[#This Row],[QT_CANA_EST]]</f>
        <v>210.6</v>
      </c>
      <c r="AB147" s="1">
        <f>IF(ESTIMATIVA[[#This Row],[QT_CANA_REST1]]&gt;0,ESTIMATIVA[[#This Row],[QT_CANA_REST1]],
  IF(ESTIMATIVA[[#This Row],[QT_CANA_REAL]]&gt;0,ESTIMATIVA[[#This Row],[QT_CANA_REAL]],ESTIMATIVA[[#This Row],[QT_CANA_EST]]))</f>
        <v>173.16</v>
      </c>
      <c r="AC14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195.25</v>
      </c>
      <c r="AD147" s="1">
        <f>IF(ESTIMATIVA[[#This Row],[QT_AREA_REAL]]&gt;0,ESTIMATIVA[[#This Row],[QT_CANA_REAL]],ESTIMATIVA[[#This Row],[QT_CANA_EST]])</f>
        <v>195.25</v>
      </c>
      <c r="AE147" s="1">
        <f>IF(ESTIMATIVA[[#This Row],[QT_AREA_REAL]]&gt;0,ESTIMATIVA[[#This Row],[QT_CANA_REAL]],ESTIMATIVA[[#This Row],[QT_CANA_REST1]])</f>
        <v>195.25</v>
      </c>
      <c r="AF147" s="1">
        <f>IF(ESTIMATIVA[[#This Row],[QT_AREA_REAL]]&gt;0,ESTIMATIVA[[#This Row],[QT_CANA_REAL]],ESTIMATIVA[[#This Row],[QT_CANA_REST2]])</f>
        <v>195.25</v>
      </c>
      <c r="AG147" s="1" t="str">
        <f>IF(COUNTIFS(GEADA!A:A,VALUE(ESTIMATIVA[[#This Row],[CD_UPNIVEL1]]&amp;TEXT(ESTIMATIVA[[#This Row],[CD_UPNIVEL3]],"0000")))&gt;0,"S","N")</f>
        <v>N</v>
      </c>
      <c r="AH14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47" s="55" t="str">
        <f>IF(ESTIMATIVA[[#This Row],[TP_CULTIVO]]="Irrigado",_xlfn.MAXIFS(IRRIGADO!J:J,IRRIGADO!C:C,ESTIMATIVA[[#This Row],[CD_UPNIVEL1]],IRRIGADO!E:E,ESTIMATIVA[[#This Row],[CD_UPNIVEL3]]),"")</f>
        <v/>
      </c>
      <c r="AJ14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7" s="1">
        <f>COUNTIFS(Apresentação!$E$23:$E$29,ESTIMATIVA[[#This Row],[CD_UPNIVEL1]])</f>
        <v>0</v>
      </c>
    </row>
    <row r="148" spans="1:37" x14ac:dyDescent="0.3">
      <c r="A148">
        <v>10445</v>
      </c>
      <c r="B148" t="s">
        <v>20</v>
      </c>
      <c r="C148">
        <v>17</v>
      </c>
      <c r="D148">
        <v>2</v>
      </c>
      <c r="E148" t="s">
        <v>266</v>
      </c>
      <c r="F148" s="85" t="s">
        <v>331</v>
      </c>
      <c r="G148"/>
      <c r="H148" t="s">
        <v>294</v>
      </c>
      <c r="I148" t="s">
        <v>205</v>
      </c>
      <c r="J148" t="s">
        <v>176</v>
      </c>
      <c r="K148" s="1">
        <v>3.13</v>
      </c>
      <c r="L148" s="1">
        <v>3.13</v>
      </c>
      <c r="M148" s="1">
        <v>0</v>
      </c>
      <c r="N148" s="1">
        <v>3.13</v>
      </c>
      <c r="O148" s="1">
        <v>281.7</v>
      </c>
      <c r="P148" s="1">
        <v>231.62</v>
      </c>
      <c r="Q148" s="1">
        <v>0</v>
      </c>
      <c r="R148" s="1">
        <v>261.98</v>
      </c>
      <c r="S148" t="s">
        <v>12</v>
      </c>
      <c r="T148" s="13">
        <v>45900</v>
      </c>
      <c r="U148" s="1" t="str">
        <f>IF(ESTIMATIVA[[#This Row],[QT_AREA_REAL]]&gt;0,"1- Colhido","2- à Colher")</f>
        <v>1- Colhido</v>
      </c>
      <c r="V148" s="1" t="str">
        <f>IF(ESTIMATIVA[[#This Row],[QT_AREA_REST1]]&gt;0,"Reestimativa 1",IF(ESTIMATIVA[[#This Row],[QT_AREA_REAL]]=0,"Reestimativa 1","Realizado"))</f>
        <v>Reestimativa 1</v>
      </c>
      <c r="W148" s="1" t="str">
        <f>IF(ESTIMATIVA[[#This Row],[QT_AREA_REST2]]&gt;0,"Reestimativa 2",IF(ESTIMATIVA[[#This Row],[QT_AREA_REAL]]=0,"Reestimativa 2","Realizado"))</f>
        <v>Realizado</v>
      </c>
      <c r="X148" s="1">
        <f>ESTIMATIVA[[#This Row],[QT_AREA_EST]]</f>
        <v>3.13</v>
      </c>
      <c r="Y148" s="1">
        <f>IF(ESTIMATIVA[[#This Row],[QT_AREA_REST1]]&gt;0,ESTIMATIVA[[#This Row],[QT_AREA_REST1]],
  IF(ESTIMATIVA[[#This Row],[QT_AREA_REAL]]&gt;0,ESTIMATIVA[[#This Row],[QT_AREA_REAL]],ESTIMATIVA[[#This Row],[QT_AREA_EST]]))</f>
        <v>3.13</v>
      </c>
      <c r="Z14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3.13</v>
      </c>
      <c r="AA148" s="1">
        <f>ESTIMATIVA[[#This Row],[QT_CANA_EST]]</f>
        <v>281.7</v>
      </c>
      <c r="AB148" s="1">
        <f>IF(ESTIMATIVA[[#This Row],[QT_CANA_REST1]]&gt;0,ESTIMATIVA[[#This Row],[QT_CANA_REST1]],
  IF(ESTIMATIVA[[#This Row],[QT_CANA_REAL]]&gt;0,ESTIMATIVA[[#This Row],[QT_CANA_REAL]],ESTIMATIVA[[#This Row],[QT_CANA_EST]]))</f>
        <v>231.62</v>
      </c>
      <c r="AC14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261.98</v>
      </c>
      <c r="AD148" s="1">
        <f>IF(ESTIMATIVA[[#This Row],[QT_AREA_REAL]]&gt;0,ESTIMATIVA[[#This Row],[QT_CANA_REAL]],ESTIMATIVA[[#This Row],[QT_CANA_EST]])</f>
        <v>261.98</v>
      </c>
      <c r="AE148" s="1">
        <f>IF(ESTIMATIVA[[#This Row],[QT_AREA_REAL]]&gt;0,ESTIMATIVA[[#This Row],[QT_CANA_REAL]],ESTIMATIVA[[#This Row],[QT_CANA_REST1]])</f>
        <v>261.98</v>
      </c>
      <c r="AF148" s="1">
        <f>IF(ESTIMATIVA[[#This Row],[QT_AREA_REAL]]&gt;0,ESTIMATIVA[[#This Row],[QT_CANA_REAL]],ESTIMATIVA[[#This Row],[QT_CANA_REST2]])</f>
        <v>261.98</v>
      </c>
      <c r="AG148" s="1" t="str">
        <f>IF(COUNTIFS(GEADA!A:A,VALUE(ESTIMATIVA[[#This Row],[CD_UPNIVEL1]]&amp;TEXT(ESTIMATIVA[[#This Row],[CD_UPNIVEL3]],"0000")))&gt;0,"S","N")</f>
        <v>N</v>
      </c>
      <c r="AH14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48" s="55" t="str">
        <f>IF(ESTIMATIVA[[#This Row],[TP_CULTIVO]]="Irrigado",_xlfn.MAXIFS(IRRIGADO!J:J,IRRIGADO!C:C,ESTIMATIVA[[#This Row],[CD_UPNIVEL1]],IRRIGADO!E:E,ESTIMATIVA[[#This Row],[CD_UPNIVEL3]]),"")</f>
        <v/>
      </c>
      <c r="AJ14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8" s="1">
        <f>COUNTIFS(Apresentação!$E$23:$E$29,ESTIMATIVA[[#This Row],[CD_UPNIVEL1]])</f>
        <v>0</v>
      </c>
    </row>
    <row r="149" spans="1:37" x14ac:dyDescent="0.3">
      <c r="A149">
        <v>10445</v>
      </c>
      <c r="B149" t="s">
        <v>20</v>
      </c>
      <c r="C149">
        <v>18</v>
      </c>
      <c r="D149">
        <v>2</v>
      </c>
      <c r="E149" t="s">
        <v>266</v>
      </c>
      <c r="F149" s="85" t="s">
        <v>331</v>
      </c>
      <c r="G149"/>
      <c r="H149" t="s">
        <v>294</v>
      </c>
      <c r="I149" t="s">
        <v>205</v>
      </c>
      <c r="J149" t="s">
        <v>176</v>
      </c>
      <c r="K149" s="1">
        <v>13.44</v>
      </c>
      <c r="L149" s="1">
        <v>13.44</v>
      </c>
      <c r="M149" s="1">
        <v>0</v>
      </c>
      <c r="N149" s="1">
        <v>13.44</v>
      </c>
      <c r="O149" s="1">
        <v>1209.5999999999999</v>
      </c>
      <c r="P149" s="1">
        <v>994.56</v>
      </c>
      <c r="Q149" s="1">
        <v>0</v>
      </c>
      <c r="R149" s="1">
        <v>1281.8900000000001</v>
      </c>
      <c r="S149" t="s">
        <v>12</v>
      </c>
      <c r="T149" s="13">
        <v>45907</v>
      </c>
      <c r="U149" s="1" t="str">
        <f>IF(ESTIMATIVA[[#This Row],[QT_AREA_REAL]]&gt;0,"1- Colhido","2- à Colher")</f>
        <v>1- Colhido</v>
      </c>
      <c r="V149" s="1" t="str">
        <f>IF(ESTIMATIVA[[#This Row],[QT_AREA_REST1]]&gt;0,"Reestimativa 1",IF(ESTIMATIVA[[#This Row],[QT_AREA_REAL]]=0,"Reestimativa 1","Realizado"))</f>
        <v>Reestimativa 1</v>
      </c>
      <c r="W149" s="1" t="str">
        <f>IF(ESTIMATIVA[[#This Row],[QT_AREA_REST2]]&gt;0,"Reestimativa 2",IF(ESTIMATIVA[[#This Row],[QT_AREA_REAL]]=0,"Reestimativa 2","Realizado"))</f>
        <v>Realizado</v>
      </c>
      <c r="X149" s="1">
        <f>ESTIMATIVA[[#This Row],[QT_AREA_EST]]</f>
        <v>13.44</v>
      </c>
      <c r="Y149" s="1">
        <f>IF(ESTIMATIVA[[#This Row],[QT_AREA_REST1]]&gt;0,ESTIMATIVA[[#This Row],[QT_AREA_REST1]],
  IF(ESTIMATIVA[[#This Row],[QT_AREA_REAL]]&gt;0,ESTIMATIVA[[#This Row],[QT_AREA_REAL]],ESTIMATIVA[[#This Row],[QT_AREA_EST]]))</f>
        <v>13.44</v>
      </c>
      <c r="Z14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13.44</v>
      </c>
      <c r="AA149" s="1">
        <f>ESTIMATIVA[[#This Row],[QT_CANA_EST]]</f>
        <v>1209.5999999999999</v>
      </c>
      <c r="AB149" s="1">
        <f>IF(ESTIMATIVA[[#This Row],[QT_CANA_REST1]]&gt;0,ESTIMATIVA[[#This Row],[QT_CANA_REST1]],
  IF(ESTIMATIVA[[#This Row],[QT_CANA_REAL]]&gt;0,ESTIMATIVA[[#This Row],[QT_CANA_REAL]],ESTIMATIVA[[#This Row],[QT_CANA_EST]]))</f>
        <v>994.56</v>
      </c>
      <c r="AC14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1281.8900000000001</v>
      </c>
      <c r="AD149" s="1">
        <f>IF(ESTIMATIVA[[#This Row],[QT_AREA_REAL]]&gt;0,ESTIMATIVA[[#This Row],[QT_CANA_REAL]],ESTIMATIVA[[#This Row],[QT_CANA_EST]])</f>
        <v>1281.8900000000001</v>
      </c>
      <c r="AE149" s="1">
        <f>IF(ESTIMATIVA[[#This Row],[QT_AREA_REAL]]&gt;0,ESTIMATIVA[[#This Row],[QT_CANA_REAL]],ESTIMATIVA[[#This Row],[QT_CANA_REST1]])</f>
        <v>1281.8900000000001</v>
      </c>
      <c r="AF149" s="1">
        <f>IF(ESTIMATIVA[[#This Row],[QT_AREA_REAL]]&gt;0,ESTIMATIVA[[#This Row],[QT_CANA_REAL]],ESTIMATIVA[[#This Row],[QT_CANA_REST2]])</f>
        <v>1281.8900000000001</v>
      </c>
      <c r="AG149" s="1" t="str">
        <f>IF(COUNTIFS(GEADA!A:A,VALUE(ESTIMATIVA[[#This Row],[CD_UPNIVEL1]]&amp;TEXT(ESTIMATIVA[[#This Row],[CD_UPNIVEL3]],"0000")))&gt;0,"S","N")</f>
        <v>N</v>
      </c>
      <c r="AH14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49" s="55" t="str">
        <f>IF(ESTIMATIVA[[#This Row],[TP_CULTIVO]]="Irrigado",_xlfn.MAXIFS(IRRIGADO!J:J,IRRIGADO!C:C,ESTIMATIVA[[#This Row],[CD_UPNIVEL1]],IRRIGADO!E:E,ESTIMATIVA[[#This Row],[CD_UPNIVEL3]]),"")</f>
        <v/>
      </c>
      <c r="AJ14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9" s="1">
        <f>COUNTIFS(Apresentação!$E$23:$E$29,ESTIMATIVA[[#This Row],[CD_UPNIVEL1]])</f>
        <v>0</v>
      </c>
    </row>
    <row r="150" spans="1:37" x14ac:dyDescent="0.3">
      <c r="A150">
        <v>10445</v>
      </c>
      <c r="B150" t="s">
        <v>20</v>
      </c>
      <c r="C150">
        <v>19</v>
      </c>
      <c r="D150">
        <v>2</v>
      </c>
      <c r="E150" t="s">
        <v>266</v>
      </c>
      <c r="F150" s="85" t="s">
        <v>332</v>
      </c>
      <c r="G150"/>
      <c r="H150" t="s">
        <v>294</v>
      </c>
      <c r="I150" t="s">
        <v>205</v>
      </c>
      <c r="J150" t="s">
        <v>176</v>
      </c>
      <c r="K150" s="1">
        <v>12.08</v>
      </c>
      <c r="L150" s="1">
        <v>12.08</v>
      </c>
      <c r="M150" s="1">
        <v>0</v>
      </c>
      <c r="N150" s="1">
        <v>12.08</v>
      </c>
      <c r="O150" s="1">
        <v>1087.2</v>
      </c>
      <c r="P150" s="1">
        <v>893.92</v>
      </c>
      <c r="Q150" s="1">
        <v>0</v>
      </c>
      <c r="R150" s="1">
        <v>1151.76</v>
      </c>
      <c r="S150" t="s">
        <v>12</v>
      </c>
      <c r="T150" s="13">
        <v>45907</v>
      </c>
      <c r="U150" s="1" t="str">
        <f>IF(ESTIMATIVA[[#This Row],[QT_AREA_REAL]]&gt;0,"1- Colhido","2- à Colher")</f>
        <v>1- Colhido</v>
      </c>
      <c r="V150" s="1" t="str">
        <f>IF(ESTIMATIVA[[#This Row],[QT_AREA_REST1]]&gt;0,"Reestimativa 1",IF(ESTIMATIVA[[#This Row],[QT_AREA_REAL]]=0,"Reestimativa 1","Realizado"))</f>
        <v>Reestimativa 1</v>
      </c>
      <c r="W150" s="1" t="str">
        <f>IF(ESTIMATIVA[[#This Row],[QT_AREA_REST2]]&gt;0,"Reestimativa 2",IF(ESTIMATIVA[[#This Row],[QT_AREA_REAL]]=0,"Reestimativa 2","Realizado"))</f>
        <v>Realizado</v>
      </c>
      <c r="X150" s="1">
        <f>ESTIMATIVA[[#This Row],[QT_AREA_EST]]</f>
        <v>12.08</v>
      </c>
      <c r="Y150" s="1">
        <f>IF(ESTIMATIVA[[#This Row],[QT_AREA_REST1]]&gt;0,ESTIMATIVA[[#This Row],[QT_AREA_REST1]],
  IF(ESTIMATIVA[[#This Row],[QT_AREA_REAL]]&gt;0,ESTIMATIVA[[#This Row],[QT_AREA_REAL]],ESTIMATIVA[[#This Row],[QT_AREA_EST]]))</f>
        <v>12.08</v>
      </c>
      <c r="Z15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12.08</v>
      </c>
      <c r="AA150" s="1">
        <f>ESTIMATIVA[[#This Row],[QT_CANA_EST]]</f>
        <v>1087.2</v>
      </c>
      <c r="AB150" s="1">
        <f>IF(ESTIMATIVA[[#This Row],[QT_CANA_REST1]]&gt;0,ESTIMATIVA[[#This Row],[QT_CANA_REST1]],
  IF(ESTIMATIVA[[#This Row],[QT_CANA_REAL]]&gt;0,ESTIMATIVA[[#This Row],[QT_CANA_REAL]],ESTIMATIVA[[#This Row],[QT_CANA_EST]]))</f>
        <v>893.92</v>
      </c>
      <c r="AC15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1151.76</v>
      </c>
      <c r="AD150" s="1">
        <f>IF(ESTIMATIVA[[#This Row],[QT_AREA_REAL]]&gt;0,ESTIMATIVA[[#This Row],[QT_CANA_REAL]],ESTIMATIVA[[#This Row],[QT_CANA_EST]])</f>
        <v>1151.76</v>
      </c>
      <c r="AE150" s="1">
        <f>IF(ESTIMATIVA[[#This Row],[QT_AREA_REAL]]&gt;0,ESTIMATIVA[[#This Row],[QT_CANA_REAL]],ESTIMATIVA[[#This Row],[QT_CANA_REST1]])</f>
        <v>1151.76</v>
      </c>
      <c r="AF150" s="1">
        <f>IF(ESTIMATIVA[[#This Row],[QT_AREA_REAL]]&gt;0,ESTIMATIVA[[#This Row],[QT_CANA_REAL]],ESTIMATIVA[[#This Row],[QT_CANA_REST2]])</f>
        <v>1151.76</v>
      </c>
      <c r="AG150" s="1" t="str">
        <f>IF(COUNTIFS(GEADA!A:A,VALUE(ESTIMATIVA[[#This Row],[CD_UPNIVEL1]]&amp;TEXT(ESTIMATIVA[[#This Row],[CD_UPNIVEL3]],"0000")))&gt;0,"S","N")</f>
        <v>N</v>
      </c>
      <c r="AH15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0" s="55" t="str">
        <f>IF(ESTIMATIVA[[#This Row],[TP_CULTIVO]]="Irrigado",_xlfn.MAXIFS(IRRIGADO!J:J,IRRIGADO!C:C,ESTIMATIVA[[#This Row],[CD_UPNIVEL1]],IRRIGADO!E:E,ESTIMATIVA[[#This Row],[CD_UPNIVEL3]]),"")</f>
        <v/>
      </c>
      <c r="AJ15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0" s="1">
        <f>COUNTIFS(Apresentação!$E$23:$E$29,ESTIMATIVA[[#This Row],[CD_UPNIVEL1]])</f>
        <v>0</v>
      </c>
    </row>
    <row r="151" spans="1:37" x14ac:dyDescent="0.3">
      <c r="A151">
        <v>10445</v>
      </c>
      <c r="B151" t="s">
        <v>20</v>
      </c>
      <c r="C151">
        <v>20</v>
      </c>
      <c r="D151">
        <v>2</v>
      </c>
      <c r="E151" t="s">
        <v>266</v>
      </c>
      <c r="F151" s="85" t="s">
        <v>331</v>
      </c>
      <c r="G151"/>
      <c r="H151" t="s">
        <v>294</v>
      </c>
      <c r="I151" t="s">
        <v>205</v>
      </c>
      <c r="J151" t="s">
        <v>176</v>
      </c>
      <c r="K151" s="1">
        <v>19.899999999999999</v>
      </c>
      <c r="L151" s="1">
        <v>19.899999999999999</v>
      </c>
      <c r="M151" s="1">
        <v>0</v>
      </c>
      <c r="N151" s="1">
        <v>19.899999999999999</v>
      </c>
      <c r="O151" s="1">
        <v>1791</v>
      </c>
      <c r="P151" s="1">
        <v>1472.6</v>
      </c>
      <c r="Q151" s="1">
        <v>0</v>
      </c>
      <c r="R151" s="1">
        <v>1897.77</v>
      </c>
      <c r="S151" t="s">
        <v>12</v>
      </c>
      <c r="T151" s="13">
        <v>45907</v>
      </c>
      <c r="U151" s="1" t="str">
        <f>IF(ESTIMATIVA[[#This Row],[QT_AREA_REAL]]&gt;0,"1- Colhido","2- à Colher")</f>
        <v>1- Colhido</v>
      </c>
      <c r="V151" s="1" t="str">
        <f>IF(ESTIMATIVA[[#This Row],[QT_AREA_REST1]]&gt;0,"Reestimativa 1",IF(ESTIMATIVA[[#This Row],[QT_AREA_REAL]]=0,"Reestimativa 1","Realizado"))</f>
        <v>Reestimativa 1</v>
      </c>
      <c r="W151" s="1" t="str">
        <f>IF(ESTIMATIVA[[#This Row],[QT_AREA_REST2]]&gt;0,"Reestimativa 2",IF(ESTIMATIVA[[#This Row],[QT_AREA_REAL]]=0,"Reestimativa 2","Realizado"))</f>
        <v>Realizado</v>
      </c>
      <c r="X151" s="1">
        <f>ESTIMATIVA[[#This Row],[QT_AREA_EST]]</f>
        <v>19.899999999999999</v>
      </c>
      <c r="Y151" s="1">
        <f>IF(ESTIMATIVA[[#This Row],[QT_AREA_REST1]]&gt;0,ESTIMATIVA[[#This Row],[QT_AREA_REST1]],
  IF(ESTIMATIVA[[#This Row],[QT_AREA_REAL]]&gt;0,ESTIMATIVA[[#This Row],[QT_AREA_REAL]],ESTIMATIVA[[#This Row],[QT_AREA_EST]]))</f>
        <v>19.899999999999999</v>
      </c>
      <c r="Z15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19.899999999999999</v>
      </c>
      <c r="AA151" s="1">
        <f>ESTIMATIVA[[#This Row],[QT_CANA_EST]]</f>
        <v>1791</v>
      </c>
      <c r="AB151" s="1">
        <f>IF(ESTIMATIVA[[#This Row],[QT_CANA_REST1]]&gt;0,ESTIMATIVA[[#This Row],[QT_CANA_REST1]],
  IF(ESTIMATIVA[[#This Row],[QT_CANA_REAL]]&gt;0,ESTIMATIVA[[#This Row],[QT_CANA_REAL]],ESTIMATIVA[[#This Row],[QT_CANA_EST]]))</f>
        <v>1472.6</v>
      </c>
      <c r="AC15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1897.77</v>
      </c>
      <c r="AD151" s="1">
        <f>IF(ESTIMATIVA[[#This Row],[QT_AREA_REAL]]&gt;0,ESTIMATIVA[[#This Row],[QT_CANA_REAL]],ESTIMATIVA[[#This Row],[QT_CANA_EST]])</f>
        <v>1897.77</v>
      </c>
      <c r="AE151" s="1">
        <f>IF(ESTIMATIVA[[#This Row],[QT_AREA_REAL]]&gt;0,ESTIMATIVA[[#This Row],[QT_CANA_REAL]],ESTIMATIVA[[#This Row],[QT_CANA_REST1]])</f>
        <v>1897.77</v>
      </c>
      <c r="AF151" s="1">
        <f>IF(ESTIMATIVA[[#This Row],[QT_AREA_REAL]]&gt;0,ESTIMATIVA[[#This Row],[QT_CANA_REAL]],ESTIMATIVA[[#This Row],[QT_CANA_REST2]])</f>
        <v>1897.77</v>
      </c>
      <c r="AG151" s="1" t="str">
        <f>IF(COUNTIFS(GEADA!A:A,VALUE(ESTIMATIVA[[#This Row],[CD_UPNIVEL1]]&amp;TEXT(ESTIMATIVA[[#This Row],[CD_UPNIVEL3]],"0000")))&gt;0,"S","N")</f>
        <v>N</v>
      </c>
      <c r="AH15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1" s="55" t="str">
        <f>IF(ESTIMATIVA[[#This Row],[TP_CULTIVO]]="Irrigado",_xlfn.MAXIFS(IRRIGADO!J:J,IRRIGADO!C:C,ESTIMATIVA[[#This Row],[CD_UPNIVEL1]],IRRIGADO!E:E,ESTIMATIVA[[#This Row],[CD_UPNIVEL3]]),"")</f>
        <v/>
      </c>
      <c r="AJ15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1" s="1">
        <f>COUNTIFS(Apresentação!$E$23:$E$29,ESTIMATIVA[[#This Row],[CD_UPNIVEL1]])</f>
        <v>0</v>
      </c>
    </row>
    <row r="152" spans="1:37" x14ac:dyDescent="0.3">
      <c r="A152">
        <v>10445</v>
      </c>
      <c r="B152" t="s">
        <v>20</v>
      </c>
      <c r="C152">
        <v>21</v>
      </c>
      <c r="D152">
        <v>2</v>
      </c>
      <c r="E152" t="s">
        <v>266</v>
      </c>
      <c r="F152" s="85" t="s">
        <v>332</v>
      </c>
      <c r="G152"/>
      <c r="H152" t="s">
        <v>294</v>
      </c>
      <c r="I152" t="s">
        <v>205</v>
      </c>
      <c r="J152" t="s">
        <v>176</v>
      </c>
      <c r="K152" s="1">
        <v>8.3699999999999992</v>
      </c>
      <c r="L152" s="1">
        <v>8.3699999999999992</v>
      </c>
      <c r="M152" s="1">
        <v>0</v>
      </c>
      <c r="N152" s="1">
        <v>8.3699999999999992</v>
      </c>
      <c r="O152" s="1">
        <v>753.3</v>
      </c>
      <c r="P152" s="1">
        <v>619.38</v>
      </c>
      <c r="Q152" s="1">
        <v>0</v>
      </c>
      <c r="R152" s="1">
        <v>797.77</v>
      </c>
      <c r="S152" t="s">
        <v>12</v>
      </c>
      <c r="T152" s="13">
        <v>45907</v>
      </c>
      <c r="U152" s="1" t="str">
        <f>IF(ESTIMATIVA[[#This Row],[QT_AREA_REAL]]&gt;0,"1- Colhido","2- à Colher")</f>
        <v>1- Colhido</v>
      </c>
      <c r="V152" s="1" t="str">
        <f>IF(ESTIMATIVA[[#This Row],[QT_AREA_REST1]]&gt;0,"Reestimativa 1",IF(ESTIMATIVA[[#This Row],[QT_AREA_REAL]]=0,"Reestimativa 1","Realizado"))</f>
        <v>Reestimativa 1</v>
      </c>
      <c r="W152" s="1" t="str">
        <f>IF(ESTIMATIVA[[#This Row],[QT_AREA_REST2]]&gt;0,"Reestimativa 2",IF(ESTIMATIVA[[#This Row],[QT_AREA_REAL]]=0,"Reestimativa 2","Realizado"))</f>
        <v>Realizado</v>
      </c>
      <c r="X152" s="1">
        <f>ESTIMATIVA[[#This Row],[QT_AREA_EST]]</f>
        <v>8.3699999999999992</v>
      </c>
      <c r="Y152" s="1">
        <f>IF(ESTIMATIVA[[#This Row],[QT_AREA_REST1]]&gt;0,ESTIMATIVA[[#This Row],[QT_AREA_REST1]],
  IF(ESTIMATIVA[[#This Row],[QT_AREA_REAL]]&gt;0,ESTIMATIVA[[#This Row],[QT_AREA_REAL]],ESTIMATIVA[[#This Row],[QT_AREA_EST]]))</f>
        <v>8.3699999999999992</v>
      </c>
      <c r="Z15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8.3699999999999992</v>
      </c>
      <c r="AA152" s="1">
        <f>ESTIMATIVA[[#This Row],[QT_CANA_EST]]</f>
        <v>753.3</v>
      </c>
      <c r="AB152" s="1">
        <f>IF(ESTIMATIVA[[#This Row],[QT_CANA_REST1]]&gt;0,ESTIMATIVA[[#This Row],[QT_CANA_REST1]],
  IF(ESTIMATIVA[[#This Row],[QT_CANA_REAL]]&gt;0,ESTIMATIVA[[#This Row],[QT_CANA_REAL]],ESTIMATIVA[[#This Row],[QT_CANA_EST]]))</f>
        <v>619.38</v>
      </c>
      <c r="AC15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797.77</v>
      </c>
      <c r="AD152" s="1">
        <f>IF(ESTIMATIVA[[#This Row],[QT_AREA_REAL]]&gt;0,ESTIMATIVA[[#This Row],[QT_CANA_REAL]],ESTIMATIVA[[#This Row],[QT_CANA_EST]])</f>
        <v>797.77</v>
      </c>
      <c r="AE152" s="1">
        <f>IF(ESTIMATIVA[[#This Row],[QT_AREA_REAL]]&gt;0,ESTIMATIVA[[#This Row],[QT_CANA_REAL]],ESTIMATIVA[[#This Row],[QT_CANA_REST1]])</f>
        <v>797.77</v>
      </c>
      <c r="AF152" s="1">
        <f>IF(ESTIMATIVA[[#This Row],[QT_AREA_REAL]]&gt;0,ESTIMATIVA[[#This Row],[QT_CANA_REAL]],ESTIMATIVA[[#This Row],[QT_CANA_REST2]])</f>
        <v>797.77</v>
      </c>
      <c r="AG152" s="1" t="str">
        <f>IF(COUNTIFS(GEADA!A:A,VALUE(ESTIMATIVA[[#This Row],[CD_UPNIVEL1]]&amp;TEXT(ESTIMATIVA[[#This Row],[CD_UPNIVEL3]],"0000")))&gt;0,"S","N")</f>
        <v>N</v>
      </c>
      <c r="AH15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2" s="55" t="str">
        <f>IF(ESTIMATIVA[[#This Row],[TP_CULTIVO]]="Irrigado",_xlfn.MAXIFS(IRRIGADO!J:J,IRRIGADO!C:C,ESTIMATIVA[[#This Row],[CD_UPNIVEL1]],IRRIGADO!E:E,ESTIMATIVA[[#This Row],[CD_UPNIVEL3]]),"")</f>
        <v/>
      </c>
      <c r="AJ15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2" s="1">
        <f>COUNTIFS(Apresentação!$E$23:$E$29,ESTIMATIVA[[#This Row],[CD_UPNIVEL1]])</f>
        <v>0</v>
      </c>
    </row>
    <row r="153" spans="1:37" x14ac:dyDescent="0.3">
      <c r="A153">
        <v>20001</v>
      </c>
      <c r="B153" t="s">
        <v>123</v>
      </c>
      <c r="C153">
        <v>1</v>
      </c>
      <c r="D153">
        <v>5</v>
      </c>
      <c r="E153" t="s">
        <v>268</v>
      </c>
      <c r="F153" s="85" t="s">
        <v>332</v>
      </c>
      <c r="G153"/>
      <c r="H153" t="s">
        <v>294</v>
      </c>
      <c r="I153" t="s">
        <v>206</v>
      </c>
      <c r="J153" t="s">
        <v>174</v>
      </c>
      <c r="K153" s="1">
        <v>1.87</v>
      </c>
      <c r="L153" s="1">
        <v>1.87</v>
      </c>
      <c r="M153" s="1">
        <v>1.87</v>
      </c>
      <c r="N153" s="1">
        <v>1.87</v>
      </c>
      <c r="O153" s="1">
        <v>74.8</v>
      </c>
      <c r="P153" s="1">
        <v>74.8</v>
      </c>
      <c r="Q153" s="1">
        <v>71.06</v>
      </c>
      <c r="R153" s="1">
        <v>66.52</v>
      </c>
      <c r="S153" t="s">
        <v>12</v>
      </c>
      <c r="T153" s="13">
        <v>45956</v>
      </c>
      <c r="U153" s="1" t="str">
        <f>IF(ESTIMATIVA[[#This Row],[QT_AREA_REAL]]&gt;0,"1- Colhido","2- à Colher")</f>
        <v>1- Colhido</v>
      </c>
      <c r="V153" s="1" t="str">
        <f>IF(ESTIMATIVA[[#This Row],[QT_AREA_REST1]]&gt;0,"Reestimativa 1",IF(ESTIMATIVA[[#This Row],[QT_AREA_REAL]]=0,"Reestimativa 1","Realizado"))</f>
        <v>Reestimativa 1</v>
      </c>
      <c r="W153" s="1" t="str">
        <f>IF(ESTIMATIVA[[#This Row],[QT_AREA_REST2]]&gt;0,"Reestimativa 2",IF(ESTIMATIVA[[#This Row],[QT_AREA_REAL]]=0,"Reestimativa 2","Realizado"))</f>
        <v>Reestimativa 2</v>
      </c>
      <c r="X153" s="1">
        <f>ESTIMATIVA[[#This Row],[QT_AREA_EST]]</f>
        <v>1.87</v>
      </c>
      <c r="Y153" s="1">
        <f>IF(ESTIMATIVA[[#This Row],[QT_AREA_REST1]]&gt;0,ESTIMATIVA[[#This Row],[QT_AREA_REST1]],
  IF(ESTIMATIVA[[#This Row],[QT_AREA_REAL]]&gt;0,ESTIMATIVA[[#This Row],[QT_AREA_REAL]],ESTIMATIVA[[#This Row],[QT_AREA_EST]]))</f>
        <v>1.87</v>
      </c>
      <c r="Z15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1.87</v>
      </c>
      <c r="AA153" s="1">
        <f>ESTIMATIVA[[#This Row],[QT_CANA_EST]]</f>
        <v>74.8</v>
      </c>
      <c r="AB153" s="1">
        <f>IF(ESTIMATIVA[[#This Row],[QT_CANA_REST1]]&gt;0,ESTIMATIVA[[#This Row],[QT_CANA_REST1]],
  IF(ESTIMATIVA[[#This Row],[QT_CANA_REAL]]&gt;0,ESTIMATIVA[[#This Row],[QT_CANA_REAL]],ESTIMATIVA[[#This Row],[QT_CANA_EST]]))</f>
        <v>74.8</v>
      </c>
      <c r="AC15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71.06</v>
      </c>
      <c r="AD153" s="1">
        <f>IF(ESTIMATIVA[[#This Row],[QT_AREA_REAL]]&gt;0,ESTIMATIVA[[#This Row],[QT_CANA_REAL]],ESTIMATIVA[[#This Row],[QT_CANA_EST]])</f>
        <v>66.52</v>
      </c>
      <c r="AE153" s="1">
        <f>IF(ESTIMATIVA[[#This Row],[QT_AREA_REAL]]&gt;0,ESTIMATIVA[[#This Row],[QT_CANA_REAL]],ESTIMATIVA[[#This Row],[QT_CANA_REST1]])</f>
        <v>66.52</v>
      </c>
      <c r="AF153" s="1">
        <f>IF(ESTIMATIVA[[#This Row],[QT_AREA_REAL]]&gt;0,ESTIMATIVA[[#This Row],[QT_CANA_REAL]],ESTIMATIVA[[#This Row],[QT_CANA_REST2]])</f>
        <v>66.52</v>
      </c>
      <c r="AG153" s="1" t="str">
        <f>IF(COUNTIFS(GEADA!A:A,VALUE(ESTIMATIVA[[#This Row],[CD_UPNIVEL1]]&amp;TEXT(ESTIMATIVA[[#This Row],[CD_UPNIVEL3]],"0000")))&gt;0,"S","N")</f>
        <v>N</v>
      </c>
      <c r="AH15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3" s="55" t="str">
        <f>IF(ESTIMATIVA[[#This Row],[TP_CULTIVO]]="Irrigado",_xlfn.MAXIFS(IRRIGADO!J:J,IRRIGADO!C:C,ESTIMATIVA[[#This Row],[CD_UPNIVEL1]],IRRIGADO!E:E,ESTIMATIVA[[#This Row],[CD_UPNIVEL3]]),"")</f>
        <v/>
      </c>
      <c r="AJ15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3" s="1">
        <f>COUNTIFS(Apresentação!$E$23:$E$29,ESTIMATIVA[[#This Row],[CD_UPNIVEL1]])</f>
        <v>0</v>
      </c>
    </row>
    <row r="154" spans="1:37" x14ac:dyDescent="0.3">
      <c r="A154">
        <v>20100</v>
      </c>
      <c r="B154" t="s">
        <v>21</v>
      </c>
      <c r="C154">
        <v>1</v>
      </c>
      <c r="D154">
        <v>3</v>
      </c>
      <c r="E154" t="s">
        <v>263</v>
      </c>
      <c r="F154" s="85" t="s">
        <v>333</v>
      </c>
      <c r="G154"/>
      <c r="H154" t="s">
        <v>294</v>
      </c>
      <c r="I154" t="s">
        <v>207</v>
      </c>
      <c r="J154" t="s">
        <v>175</v>
      </c>
      <c r="K154" s="1">
        <v>24.13</v>
      </c>
      <c r="L154" s="1">
        <v>0</v>
      </c>
      <c r="M154" s="1">
        <v>0</v>
      </c>
      <c r="N154" s="1">
        <v>24.13</v>
      </c>
      <c r="O154" s="1">
        <v>1689.1</v>
      </c>
      <c r="P154" s="1">
        <v>0</v>
      </c>
      <c r="Q154" s="1">
        <v>0</v>
      </c>
      <c r="R154" s="1">
        <v>1058.31</v>
      </c>
      <c r="S154" t="s">
        <v>12</v>
      </c>
      <c r="T154" s="13">
        <v>45851</v>
      </c>
      <c r="U154" s="1" t="str">
        <f>IF(ESTIMATIVA[[#This Row],[QT_AREA_REAL]]&gt;0,"1- Colhido","2- à Colher")</f>
        <v>1- Colhido</v>
      </c>
      <c r="V154" s="1" t="str">
        <f>IF(ESTIMATIVA[[#This Row],[QT_AREA_REST1]]&gt;0,"Reestimativa 1",IF(ESTIMATIVA[[#This Row],[QT_AREA_REAL]]=0,"Reestimativa 1","Realizado"))</f>
        <v>Realizado</v>
      </c>
      <c r="W154" s="1" t="str">
        <f>IF(ESTIMATIVA[[#This Row],[QT_AREA_REST2]]&gt;0,"Reestimativa 2",IF(ESTIMATIVA[[#This Row],[QT_AREA_REAL]]=0,"Reestimativa 2","Realizado"))</f>
        <v>Realizado</v>
      </c>
      <c r="X154" s="1">
        <f>ESTIMATIVA[[#This Row],[QT_AREA_EST]]</f>
        <v>24.13</v>
      </c>
      <c r="Y154" s="1">
        <f>IF(ESTIMATIVA[[#This Row],[QT_AREA_REST1]]&gt;0,ESTIMATIVA[[#This Row],[QT_AREA_REST1]],
  IF(ESTIMATIVA[[#This Row],[QT_AREA_REAL]]&gt;0,ESTIMATIVA[[#This Row],[QT_AREA_REAL]],ESTIMATIVA[[#This Row],[QT_AREA_EST]]))</f>
        <v>24.13</v>
      </c>
      <c r="Z15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24.13</v>
      </c>
      <c r="AA154" s="1">
        <f>ESTIMATIVA[[#This Row],[QT_CANA_EST]]</f>
        <v>1689.1</v>
      </c>
      <c r="AB154" s="1">
        <f>IF(ESTIMATIVA[[#This Row],[QT_CANA_REST1]]&gt;0,ESTIMATIVA[[#This Row],[QT_CANA_REST1]],
  IF(ESTIMATIVA[[#This Row],[QT_CANA_REAL]]&gt;0,ESTIMATIVA[[#This Row],[QT_CANA_REAL]],ESTIMATIVA[[#This Row],[QT_CANA_EST]]))</f>
        <v>1058.31</v>
      </c>
      <c r="AC15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1058.31</v>
      </c>
      <c r="AD154" s="1">
        <f>IF(ESTIMATIVA[[#This Row],[QT_AREA_REAL]]&gt;0,ESTIMATIVA[[#This Row],[QT_CANA_REAL]],ESTIMATIVA[[#This Row],[QT_CANA_EST]])</f>
        <v>1058.31</v>
      </c>
      <c r="AE154" s="1">
        <f>IF(ESTIMATIVA[[#This Row],[QT_AREA_REAL]]&gt;0,ESTIMATIVA[[#This Row],[QT_CANA_REAL]],ESTIMATIVA[[#This Row],[QT_CANA_REST1]])</f>
        <v>1058.31</v>
      </c>
      <c r="AF154" s="1">
        <f>IF(ESTIMATIVA[[#This Row],[QT_AREA_REAL]]&gt;0,ESTIMATIVA[[#This Row],[QT_CANA_REAL]],ESTIMATIVA[[#This Row],[QT_CANA_REST2]])</f>
        <v>1058.31</v>
      </c>
      <c r="AG154" s="1" t="str">
        <f>IF(COUNTIFS(GEADA!A:A,VALUE(ESTIMATIVA[[#This Row],[CD_UPNIVEL1]]&amp;TEXT(ESTIMATIVA[[#This Row],[CD_UPNIVEL3]],"0000")))&gt;0,"S","N")</f>
        <v>S</v>
      </c>
      <c r="AH15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4" s="55" t="str">
        <f>IF(ESTIMATIVA[[#This Row],[TP_CULTIVO]]="Irrigado",_xlfn.MAXIFS(IRRIGADO!J:J,IRRIGADO!C:C,ESTIMATIVA[[#This Row],[CD_UPNIVEL1]],IRRIGADO!E:E,ESTIMATIVA[[#This Row],[CD_UPNIVEL3]]),"")</f>
        <v/>
      </c>
      <c r="AJ15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4" s="1">
        <f>COUNTIFS(Apresentação!$E$23:$E$29,ESTIMATIVA[[#This Row],[CD_UPNIVEL1]])</f>
        <v>0</v>
      </c>
    </row>
    <row r="155" spans="1:37" x14ac:dyDescent="0.3">
      <c r="A155">
        <v>20100</v>
      </c>
      <c r="B155" t="s">
        <v>21</v>
      </c>
      <c r="C155">
        <v>2</v>
      </c>
      <c r="D155">
        <v>3</v>
      </c>
      <c r="E155" t="s">
        <v>263</v>
      </c>
      <c r="F155" s="85" t="s">
        <v>331</v>
      </c>
      <c r="G155"/>
      <c r="H155" t="s">
        <v>294</v>
      </c>
      <c r="I155" t="s">
        <v>207</v>
      </c>
      <c r="J155" t="s">
        <v>175</v>
      </c>
      <c r="K155" s="1">
        <v>48.18</v>
      </c>
      <c r="L155" s="1">
        <v>0</v>
      </c>
      <c r="M155" s="1">
        <v>0</v>
      </c>
      <c r="N155" s="1">
        <v>48.18</v>
      </c>
      <c r="O155" s="1">
        <v>3372.6</v>
      </c>
      <c r="P155" s="1">
        <v>0</v>
      </c>
      <c r="Q155" s="1">
        <v>0</v>
      </c>
      <c r="R155" s="1">
        <v>2113.54</v>
      </c>
      <c r="S155" t="s">
        <v>12</v>
      </c>
      <c r="T155" s="13">
        <v>45851</v>
      </c>
      <c r="U155" s="1" t="str">
        <f>IF(ESTIMATIVA[[#This Row],[QT_AREA_REAL]]&gt;0,"1- Colhido","2- à Colher")</f>
        <v>1- Colhido</v>
      </c>
      <c r="V155" s="1" t="str">
        <f>IF(ESTIMATIVA[[#This Row],[QT_AREA_REST1]]&gt;0,"Reestimativa 1",IF(ESTIMATIVA[[#This Row],[QT_AREA_REAL]]=0,"Reestimativa 1","Realizado"))</f>
        <v>Realizado</v>
      </c>
      <c r="W155" s="1" t="str">
        <f>IF(ESTIMATIVA[[#This Row],[QT_AREA_REST2]]&gt;0,"Reestimativa 2",IF(ESTIMATIVA[[#This Row],[QT_AREA_REAL]]=0,"Reestimativa 2","Realizado"))</f>
        <v>Realizado</v>
      </c>
      <c r="X155" s="1">
        <f>ESTIMATIVA[[#This Row],[QT_AREA_EST]]</f>
        <v>48.18</v>
      </c>
      <c r="Y155" s="1">
        <f>IF(ESTIMATIVA[[#This Row],[QT_AREA_REST1]]&gt;0,ESTIMATIVA[[#This Row],[QT_AREA_REST1]],
  IF(ESTIMATIVA[[#This Row],[QT_AREA_REAL]]&gt;0,ESTIMATIVA[[#This Row],[QT_AREA_REAL]],ESTIMATIVA[[#This Row],[QT_AREA_EST]]))</f>
        <v>48.18</v>
      </c>
      <c r="Z15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48.18</v>
      </c>
      <c r="AA155" s="1">
        <f>ESTIMATIVA[[#This Row],[QT_CANA_EST]]</f>
        <v>3372.6</v>
      </c>
      <c r="AB155" s="1">
        <f>IF(ESTIMATIVA[[#This Row],[QT_CANA_REST1]]&gt;0,ESTIMATIVA[[#This Row],[QT_CANA_REST1]],
  IF(ESTIMATIVA[[#This Row],[QT_CANA_REAL]]&gt;0,ESTIMATIVA[[#This Row],[QT_CANA_REAL]],ESTIMATIVA[[#This Row],[QT_CANA_EST]]))</f>
        <v>2113.54</v>
      </c>
      <c r="AC15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2113.54</v>
      </c>
      <c r="AD155" s="1">
        <f>IF(ESTIMATIVA[[#This Row],[QT_AREA_REAL]]&gt;0,ESTIMATIVA[[#This Row],[QT_CANA_REAL]],ESTIMATIVA[[#This Row],[QT_CANA_EST]])</f>
        <v>2113.54</v>
      </c>
      <c r="AE155" s="1">
        <f>IF(ESTIMATIVA[[#This Row],[QT_AREA_REAL]]&gt;0,ESTIMATIVA[[#This Row],[QT_CANA_REAL]],ESTIMATIVA[[#This Row],[QT_CANA_REST1]])</f>
        <v>2113.54</v>
      </c>
      <c r="AF155" s="1">
        <f>IF(ESTIMATIVA[[#This Row],[QT_AREA_REAL]]&gt;0,ESTIMATIVA[[#This Row],[QT_CANA_REAL]],ESTIMATIVA[[#This Row],[QT_CANA_REST2]])</f>
        <v>2113.54</v>
      </c>
      <c r="AG155" s="1" t="str">
        <f>IF(COUNTIFS(GEADA!A:A,VALUE(ESTIMATIVA[[#This Row],[CD_UPNIVEL1]]&amp;TEXT(ESTIMATIVA[[#This Row],[CD_UPNIVEL3]],"0000")))&gt;0,"S","N")</f>
        <v>S</v>
      </c>
      <c r="AH15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5" s="55" t="str">
        <f>IF(ESTIMATIVA[[#This Row],[TP_CULTIVO]]="Irrigado",_xlfn.MAXIFS(IRRIGADO!J:J,IRRIGADO!C:C,ESTIMATIVA[[#This Row],[CD_UPNIVEL1]],IRRIGADO!E:E,ESTIMATIVA[[#This Row],[CD_UPNIVEL3]]),"")</f>
        <v/>
      </c>
      <c r="AJ15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5" s="1">
        <f>COUNTIFS(Apresentação!$E$23:$E$29,ESTIMATIVA[[#This Row],[CD_UPNIVEL1]])</f>
        <v>0</v>
      </c>
    </row>
    <row r="156" spans="1:37" x14ac:dyDescent="0.3">
      <c r="A156">
        <v>20100</v>
      </c>
      <c r="B156" t="s">
        <v>21</v>
      </c>
      <c r="C156">
        <v>3</v>
      </c>
      <c r="D156">
        <v>3</v>
      </c>
      <c r="E156" t="s">
        <v>263</v>
      </c>
      <c r="F156" s="85" t="s">
        <v>331</v>
      </c>
      <c r="G156"/>
      <c r="H156" t="s">
        <v>294</v>
      </c>
      <c r="I156" t="s">
        <v>207</v>
      </c>
      <c r="J156" t="s">
        <v>175</v>
      </c>
      <c r="K156" s="1">
        <v>36.39</v>
      </c>
      <c r="L156" s="1">
        <v>0</v>
      </c>
      <c r="M156" s="1">
        <v>0</v>
      </c>
      <c r="N156" s="1">
        <v>36.39</v>
      </c>
      <c r="O156" s="1">
        <v>2547.3000000000002</v>
      </c>
      <c r="P156" s="1">
        <v>0</v>
      </c>
      <c r="Q156" s="1">
        <v>0</v>
      </c>
      <c r="R156" s="1">
        <v>1596.16</v>
      </c>
      <c r="S156" t="s">
        <v>12</v>
      </c>
      <c r="T156" s="13">
        <v>45851</v>
      </c>
      <c r="U156" s="1" t="str">
        <f>IF(ESTIMATIVA[[#This Row],[QT_AREA_REAL]]&gt;0,"1- Colhido","2- à Colher")</f>
        <v>1- Colhido</v>
      </c>
      <c r="V156" s="1" t="str">
        <f>IF(ESTIMATIVA[[#This Row],[QT_AREA_REST1]]&gt;0,"Reestimativa 1",IF(ESTIMATIVA[[#This Row],[QT_AREA_REAL]]=0,"Reestimativa 1","Realizado"))</f>
        <v>Realizado</v>
      </c>
      <c r="W156" s="1" t="str">
        <f>IF(ESTIMATIVA[[#This Row],[QT_AREA_REST2]]&gt;0,"Reestimativa 2",IF(ESTIMATIVA[[#This Row],[QT_AREA_REAL]]=0,"Reestimativa 2","Realizado"))</f>
        <v>Realizado</v>
      </c>
      <c r="X156" s="1">
        <f>ESTIMATIVA[[#This Row],[QT_AREA_EST]]</f>
        <v>36.39</v>
      </c>
      <c r="Y156" s="1">
        <f>IF(ESTIMATIVA[[#This Row],[QT_AREA_REST1]]&gt;0,ESTIMATIVA[[#This Row],[QT_AREA_REST1]],
  IF(ESTIMATIVA[[#This Row],[QT_AREA_REAL]]&gt;0,ESTIMATIVA[[#This Row],[QT_AREA_REAL]],ESTIMATIVA[[#This Row],[QT_AREA_EST]]))</f>
        <v>36.39</v>
      </c>
      <c r="Z15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36.39</v>
      </c>
      <c r="AA156" s="1">
        <f>ESTIMATIVA[[#This Row],[QT_CANA_EST]]</f>
        <v>2547.3000000000002</v>
      </c>
      <c r="AB156" s="1">
        <f>IF(ESTIMATIVA[[#This Row],[QT_CANA_REST1]]&gt;0,ESTIMATIVA[[#This Row],[QT_CANA_REST1]],
  IF(ESTIMATIVA[[#This Row],[QT_CANA_REAL]]&gt;0,ESTIMATIVA[[#This Row],[QT_CANA_REAL]],ESTIMATIVA[[#This Row],[QT_CANA_EST]]))</f>
        <v>1596.16</v>
      </c>
      <c r="AC15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1596.16</v>
      </c>
      <c r="AD156" s="1">
        <f>IF(ESTIMATIVA[[#This Row],[QT_AREA_REAL]]&gt;0,ESTIMATIVA[[#This Row],[QT_CANA_REAL]],ESTIMATIVA[[#This Row],[QT_CANA_EST]])</f>
        <v>1596.16</v>
      </c>
      <c r="AE156" s="1">
        <f>IF(ESTIMATIVA[[#This Row],[QT_AREA_REAL]]&gt;0,ESTIMATIVA[[#This Row],[QT_CANA_REAL]],ESTIMATIVA[[#This Row],[QT_CANA_REST1]])</f>
        <v>1596.16</v>
      </c>
      <c r="AF156" s="1">
        <f>IF(ESTIMATIVA[[#This Row],[QT_AREA_REAL]]&gt;0,ESTIMATIVA[[#This Row],[QT_CANA_REAL]],ESTIMATIVA[[#This Row],[QT_CANA_REST2]])</f>
        <v>1596.16</v>
      </c>
      <c r="AG156" s="1" t="str">
        <f>IF(COUNTIFS(GEADA!A:A,VALUE(ESTIMATIVA[[#This Row],[CD_UPNIVEL1]]&amp;TEXT(ESTIMATIVA[[#This Row],[CD_UPNIVEL3]],"0000")))&gt;0,"S","N")</f>
        <v>S</v>
      </c>
      <c r="AH15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6" s="55" t="str">
        <f>IF(ESTIMATIVA[[#This Row],[TP_CULTIVO]]="Irrigado",_xlfn.MAXIFS(IRRIGADO!J:J,IRRIGADO!C:C,ESTIMATIVA[[#This Row],[CD_UPNIVEL1]],IRRIGADO!E:E,ESTIMATIVA[[#This Row],[CD_UPNIVEL3]]),"")</f>
        <v/>
      </c>
      <c r="AJ15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6" s="1">
        <f>COUNTIFS(Apresentação!$E$23:$E$29,ESTIMATIVA[[#This Row],[CD_UPNIVEL1]])</f>
        <v>0</v>
      </c>
    </row>
    <row r="157" spans="1:37" x14ac:dyDescent="0.3">
      <c r="A157">
        <v>20100</v>
      </c>
      <c r="B157" t="s">
        <v>21</v>
      </c>
      <c r="C157">
        <v>4</v>
      </c>
      <c r="D157">
        <v>3</v>
      </c>
      <c r="E157" t="s">
        <v>263</v>
      </c>
      <c r="F157" s="85" t="s">
        <v>331</v>
      </c>
      <c r="G157"/>
      <c r="H157" t="s">
        <v>294</v>
      </c>
      <c r="I157" t="s">
        <v>207</v>
      </c>
      <c r="J157" t="s">
        <v>175</v>
      </c>
      <c r="K157" s="1">
        <v>36.61</v>
      </c>
      <c r="L157" s="1">
        <v>36.61</v>
      </c>
      <c r="M157" s="1">
        <v>0</v>
      </c>
      <c r="N157" s="1">
        <v>36.61</v>
      </c>
      <c r="O157" s="1">
        <v>2562.6999999999998</v>
      </c>
      <c r="P157" s="1">
        <v>1976.94</v>
      </c>
      <c r="Q157" s="1">
        <v>0</v>
      </c>
      <c r="R157" s="1">
        <v>1607.28</v>
      </c>
      <c r="S157" t="s">
        <v>12</v>
      </c>
      <c r="T157" s="13">
        <v>45851</v>
      </c>
      <c r="U157" s="1" t="str">
        <f>IF(ESTIMATIVA[[#This Row],[QT_AREA_REAL]]&gt;0,"1- Colhido","2- à Colher")</f>
        <v>1- Colhido</v>
      </c>
      <c r="V157" s="1" t="str">
        <f>IF(ESTIMATIVA[[#This Row],[QT_AREA_REST1]]&gt;0,"Reestimativa 1",IF(ESTIMATIVA[[#This Row],[QT_AREA_REAL]]=0,"Reestimativa 1","Realizado"))</f>
        <v>Reestimativa 1</v>
      </c>
      <c r="W157" s="1" t="str">
        <f>IF(ESTIMATIVA[[#This Row],[QT_AREA_REST2]]&gt;0,"Reestimativa 2",IF(ESTIMATIVA[[#This Row],[QT_AREA_REAL]]=0,"Reestimativa 2","Realizado"))</f>
        <v>Realizado</v>
      </c>
      <c r="X157" s="1">
        <f>ESTIMATIVA[[#This Row],[QT_AREA_EST]]</f>
        <v>36.61</v>
      </c>
      <c r="Y157" s="1">
        <f>IF(ESTIMATIVA[[#This Row],[QT_AREA_REST1]]&gt;0,ESTIMATIVA[[#This Row],[QT_AREA_REST1]],
  IF(ESTIMATIVA[[#This Row],[QT_AREA_REAL]]&gt;0,ESTIMATIVA[[#This Row],[QT_AREA_REAL]],ESTIMATIVA[[#This Row],[QT_AREA_EST]]))</f>
        <v>36.61</v>
      </c>
      <c r="Z15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36.61</v>
      </c>
      <c r="AA157" s="1">
        <f>ESTIMATIVA[[#This Row],[QT_CANA_EST]]</f>
        <v>2562.6999999999998</v>
      </c>
      <c r="AB157" s="1">
        <f>IF(ESTIMATIVA[[#This Row],[QT_CANA_REST1]]&gt;0,ESTIMATIVA[[#This Row],[QT_CANA_REST1]],
  IF(ESTIMATIVA[[#This Row],[QT_CANA_REAL]]&gt;0,ESTIMATIVA[[#This Row],[QT_CANA_REAL]],ESTIMATIVA[[#This Row],[QT_CANA_EST]]))</f>
        <v>1976.94</v>
      </c>
      <c r="AC15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1607.28</v>
      </c>
      <c r="AD157" s="1">
        <f>IF(ESTIMATIVA[[#This Row],[QT_AREA_REAL]]&gt;0,ESTIMATIVA[[#This Row],[QT_CANA_REAL]],ESTIMATIVA[[#This Row],[QT_CANA_EST]])</f>
        <v>1607.28</v>
      </c>
      <c r="AE157" s="1">
        <f>IF(ESTIMATIVA[[#This Row],[QT_AREA_REAL]]&gt;0,ESTIMATIVA[[#This Row],[QT_CANA_REAL]],ESTIMATIVA[[#This Row],[QT_CANA_REST1]])</f>
        <v>1607.28</v>
      </c>
      <c r="AF157" s="1">
        <f>IF(ESTIMATIVA[[#This Row],[QT_AREA_REAL]]&gt;0,ESTIMATIVA[[#This Row],[QT_CANA_REAL]],ESTIMATIVA[[#This Row],[QT_CANA_REST2]])</f>
        <v>1607.28</v>
      </c>
      <c r="AG157" s="1" t="str">
        <f>IF(COUNTIFS(GEADA!A:A,VALUE(ESTIMATIVA[[#This Row],[CD_UPNIVEL1]]&amp;TEXT(ESTIMATIVA[[#This Row],[CD_UPNIVEL3]],"0000")))&gt;0,"S","N")</f>
        <v>S</v>
      </c>
      <c r="AH15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7" s="55" t="str">
        <f>IF(ESTIMATIVA[[#This Row],[TP_CULTIVO]]="Irrigado",_xlfn.MAXIFS(IRRIGADO!J:J,IRRIGADO!C:C,ESTIMATIVA[[#This Row],[CD_UPNIVEL1]],IRRIGADO!E:E,ESTIMATIVA[[#This Row],[CD_UPNIVEL3]]),"")</f>
        <v/>
      </c>
      <c r="AJ15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7" s="1">
        <f>COUNTIFS(Apresentação!$E$23:$E$29,ESTIMATIVA[[#This Row],[CD_UPNIVEL1]])</f>
        <v>0</v>
      </c>
    </row>
    <row r="158" spans="1:37" x14ac:dyDescent="0.3">
      <c r="A158">
        <v>20100</v>
      </c>
      <c r="B158" t="s">
        <v>21</v>
      </c>
      <c r="C158">
        <v>5</v>
      </c>
      <c r="D158">
        <v>3</v>
      </c>
      <c r="E158" t="s">
        <v>263</v>
      </c>
      <c r="F158" s="85" t="s">
        <v>333</v>
      </c>
      <c r="G158"/>
      <c r="H158" t="s">
        <v>294</v>
      </c>
      <c r="I158" t="s">
        <v>207</v>
      </c>
      <c r="J158" t="s">
        <v>175</v>
      </c>
      <c r="K158" s="1">
        <v>36.130000000000003</v>
      </c>
      <c r="L158" s="1">
        <v>36.130000000000003</v>
      </c>
      <c r="M158" s="1">
        <v>0</v>
      </c>
      <c r="N158" s="1">
        <v>36.130000000000003</v>
      </c>
      <c r="O158" s="1">
        <v>2529.1</v>
      </c>
      <c r="P158" s="1">
        <v>1951.02</v>
      </c>
      <c r="Q158" s="1">
        <v>0</v>
      </c>
      <c r="R158" s="1">
        <v>1586.24</v>
      </c>
      <c r="S158" t="s">
        <v>12</v>
      </c>
      <c r="T158" s="13">
        <v>45851</v>
      </c>
      <c r="U158" s="1" t="str">
        <f>IF(ESTIMATIVA[[#This Row],[QT_AREA_REAL]]&gt;0,"1- Colhido","2- à Colher")</f>
        <v>1- Colhido</v>
      </c>
      <c r="V158" s="1" t="str">
        <f>IF(ESTIMATIVA[[#This Row],[QT_AREA_REST1]]&gt;0,"Reestimativa 1",IF(ESTIMATIVA[[#This Row],[QT_AREA_REAL]]=0,"Reestimativa 1","Realizado"))</f>
        <v>Reestimativa 1</v>
      </c>
      <c r="W158" s="1" t="str">
        <f>IF(ESTIMATIVA[[#This Row],[QT_AREA_REST2]]&gt;0,"Reestimativa 2",IF(ESTIMATIVA[[#This Row],[QT_AREA_REAL]]=0,"Reestimativa 2","Realizado"))</f>
        <v>Realizado</v>
      </c>
      <c r="X158" s="1">
        <f>ESTIMATIVA[[#This Row],[QT_AREA_EST]]</f>
        <v>36.130000000000003</v>
      </c>
      <c r="Y158" s="1">
        <f>IF(ESTIMATIVA[[#This Row],[QT_AREA_REST1]]&gt;0,ESTIMATIVA[[#This Row],[QT_AREA_REST1]],
  IF(ESTIMATIVA[[#This Row],[QT_AREA_REAL]]&gt;0,ESTIMATIVA[[#This Row],[QT_AREA_REAL]],ESTIMATIVA[[#This Row],[QT_AREA_EST]]))</f>
        <v>36.130000000000003</v>
      </c>
      <c r="Z15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36.130000000000003</v>
      </c>
      <c r="AA158" s="1">
        <f>ESTIMATIVA[[#This Row],[QT_CANA_EST]]</f>
        <v>2529.1</v>
      </c>
      <c r="AB158" s="1">
        <f>IF(ESTIMATIVA[[#This Row],[QT_CANA_REST1]]&gt;0,ESTIMATIVA[[#This Row],[QT_CANA_REST1]],
  IF(ESTIMATIVA[[#This Row],[QT_CANA_REAL]]&gt;0,ESTIMATIVA[[#This Row],[QT_CANA_REAL]],ESTIMATIVA[[#This Row],[QT_CANA_EST]]))</f>
        <v>1951.02</v>
      </c>
      <c r="AC15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1586.24</v>
      </c>
      <c r="AD158" s="1">
        <f>IF(ESTIMATIVA[[#This Row],[QT_AREA_REAL]]&gt;0,ESTIMATIVA[[#This Row],[QT_CANA_REAL]],ESTIMATIVA[[#This Row],[QT_CANA_EST]])</f>
        <v>1586.24</v>
      </c>
      <c r="AE158" s="1">
        <f>IF(ESTIMATIVA[[#This Row],[QT_AREA_REAL]]&gt;0,ESTIMATIVA[[#This Row],[QT_CANA_REAL]],ESTIMATIVA[[#This Row],[QT_CANA_REST1]])</f>
        <v>1586.24</v>
      </c>
      <c r="AF158" s="1">
        <f>IF(ESTIMATIVA[[#This Row],[QT_AREA_REAL]]&gt;0,ESTIMATIVA[[#This Row],[QT_CANA_REAL]],ESTIMATIVA[[#This Row],[QT_CANA_REST2]])</f>
        <v>1586.24</v>
      </c>
      <c r="AG158" s="1" t="str">
        <f>IF(COUNTIFS(GEADA!A:A,VALUE(ESTIMATIVA[[#This Row],[CD_UPNIVEL1]]&amp;TEXT(ESTIMATIVA[[#This Row],[CD_UPNIVEL3]],"0000")))&gt;0,"S","N")</f>
        <v>S</v>
      </c>
      <c r="AH15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8" s="55" t="str">
        <f>IF(ESTIMATIVA[[#This Row],[TP_CULTIVO]]="Irrigado",_xlfn.MAXIFS(IRRIGADO!J:J,IRRIGADO!C:C,ESTIMATIVA[[#This Row],[CD_UPNIVEL1]],IRRIGADO!E:E,ESTIMATIVA[[#This Row],[CD_UPNIVEL3]]),"")</f>
        <v/>
      </c>
      <c r="AJ15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8" s="1">
        <f>COUNTIFS(Apresentação!$E$23:$E$29,ESTIMATIVA[[#This Row],[CD_UPNIVEL1]])</f>
        <v>0</v>
      </c>
    </row>
    <row r="159" spans="1:37" x14ac:dyDescent="0.3">
      <c r="A159">
        <v>20100</v>
      </c>
      <c r="B159" t="s">
        <v>21</v>
      </c>
      <c r="C159">
        <v>6</v>
      </c>
      <c r="D159">
        <v>3</v>
      </c>
      <c r="E159" t="s">
        <v>263</v>
      </c>
      <c r="F159" s="85" t="s">
        <v>331</v>
      </c>
      <c r="G159"/>
      <c r="H159" t="s">
        <v>294</v>
      </c>
      <c r="I159" t="s">
        <v>207</v>
      </c>
      <c r="J159" t="s">
        <v>175</v>
      </c>
      <c r="K159" s="1">
        <v>28.81</v>
      </c>
      <c r="L159" s="1">
        <v>28.81</v>
      </c>
      <c r="M159" s="1">
        <v>28.81</v>
      </c>
      <c r="N159" s="1">
        <v>28.81</v>
      </c>
      <c r="O159" s="1">
        <v>2016.7</v>
      </c>
      <c r="P159" s="1">
        <v>1555.74</v>
      </c>
      <c r="Q159" s="1">
        <v>1555.74</v>
      </c>
      <c r="R159" s="1">
        <v>1615.07</v>
      </c>
      <c r="S159" t="s">
        <v>12</v>
      </c>
      <c r="T159" s="13">
        <v>45991</v>
      </c>
      <c r="U159" s="1" t="str">
        <f>IF(ESTIMATIVA[[#This Row],[QT_AREA_REAL]]&gt;0,"1- Colhido","2- à Colher")</f>
        <v>1- Colhido</v>
      </c>
      <c r="V159" s="1" t="str">
        <f>IF(ESTIMATIVA[[#This Row],[QT_AREA_REST1]]&gt;0,"Reestimativa 1",IF(ESTIMATIVA[[#This Row],[QT_AREA_REAL]]=0,"Reestimativa 1","Realizado"))</f>
        <v>Reestimativa 1</v>
      </c>
      <c r="W159" s="1" t="str">
        <f>IF(ESTIMATIVA[[#This Row],[QT_AREA_REST2]]&gt;0,"Reestimativa 2",IF(ESTIMATIVA[[#This Row],[QT_AREA_REAL]]=0,"Reestimativa 2","Realizado"))</f>
        <v>Reestimativa 2</v>
      </c>
      <c r="X159" s="1">
        <f>ESTIMATIVA[[#This Row],[QT_AREA_EST]]</f>
        <v>28.81</v>
      </c>
      <c r="Y159" s="1">
        <f>IF(ESTIMATIVA[[#This Row],[QT_AREA_REST1]]&gt;0,ESTIMATIVA[[#This Row],[QT_AREA_REST1]],
  IF(ESTIMATIVA[[#This Row],[QT_AREA_REAL]]&gt;0,ESTIMATIVA[[#This Row],[QT_AREA_REAL]],ESTIMATIVA[[#This Row],[QT_AREA_EST]]))</f>
        <v>28.81</v>
      </c>
      <c r="Z15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28.81</v>
      </c>
      <c r="AA159" s="1">
        <f>ESTIMATIVA[[#This Row],[QT_CANA_EST]]</f>
        <v>2016.7</v>
      </c>
      <c r="AB159" s="1">
        <f>IF(ESTIMATIVA[[#This Row],[QT_CANA_REST1]]&gt;0,ESTIMATIVA[[#This Row],[QT_CANA_REST1]],
  IF(ESTIMATIVA[[#This Row],[QT_CANA_REAL]]&gt;0,ESTIMATIVA[[#This Row],[QT_CANA_REAL]],ESTIMATIVA[[#This Row],[QT_CANA_EST]]))</f>
        <v>1555.74</v>
      </c>
      <c r="AC15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1555.74</v>
      </c>
      <c r="AD159" s="1">
        <f>IF(ESTIMATIVA[[#This Row],[QT_AREA_REAL]]&gt;0,ESTIMATIVA[[#This Row],[QT_CANA_REAL]],ESTIMATIVA[[#This Row],[QT_CANA_EST]])</f>
        <v>1615.07</v>
      </c>
      <c r="AE159" s="1">
        <f>IF(ESTIMATIVA[[#This Row],[QT_AREA_REAL]]&gt;0,ESTIMATIVA[[#This Row],[QT_CANA_REAL]],ESTIMATIVA[[#This Row],[QT_CANA_REST1]])</f>
        <v>1615.07</v>
      </c>
      <c r="AF159" s="1">
        <f>IF(ESTIMATIVA[[#This Row],[QT_AREA_REAL]]&gt;0,ESTIMATIVA[[#This Row],[QT_CANA_REAL]],ESTIMATIVA[[#This Row],[QT_CANA_REST2]])</f>
        <v>1615.07</v>
      </c>
      <c r="AG159" s="1" t="str">
        <f>IF(COUNTIFS(GEADA!A:A,VALUE(ESTIMATIVA[[#This Row],[CD_UPNIVEL1]]&amp;TEXT(ESTIMATIVA[[#This Row],[CD_UPNIVEL3]],"0000")))&gt;0,"S","N")</f>
        <v>N</v>
      </c>
      <c r="AH15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9" s="55" t="str">
        <f>IF(ESTIMATIVA[[#This Row],[TP_CULTIVO]]="Irrigado",_xlfn.MAXIFS(IRRIGADO!J:J,IRRIGADO!C:C,ESTIMATIVA[[#This Row],[CD_UPNIVEL1]],IRRIGADO!E:E,ESTIMATIVA[[#This Row],[CD_UPNIVEL3]]),"")</f>
        <v/>
      </c>
      <c r="AJ15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9" s="1">
        <f>COUNTIFS(Apresentação!$E$23:$E$29,ESTIMATIVA[[#This Row],[CD_UPNIVEL1]])</f>
        <v>0</v>
      </c>
    </row>
    <row r="160" spans="1:37" x14ac:dyDescent="0.3">
      <c r="A160">
        <v>20100</v>
      </c>
      <c r="B160" t="s">
        <v>21</v>
      </c>
      <c r="C160">
        <v>7</v>
      </c>
      <c r="D160">
        <v>3</v>
      </c>
      <c r="E160" t="s">
        <v>263</v>
      </c>
      <c r="F160" s="85" t="s">
        <v>331</v>
      </c>
      <c r="G160"/>
      <c r="H160" t="s">
        <v>294</v>
      </c>
      <c r="I160" t="s">
        <v>207</v>
      </c>
      <c r="J160" t="s">
        <v>175</v>
      </c>
      <c r="K160" s="1">
        <v>45.96</v>
      </c>
      <c r="L160" s="1">
        <v>45.96</v>
      </c>
      <c r="M160" s="1">
        <v>45.96</v>
      </c>
      <c r="N160" s="1">
        <v>45.96</v>
      </c>
      <c r="O160" s="1">
        <v>3217.2</v>
      </c>
      <c r="P160" s="1">
        <v>2481.84</v>
      </c>
      <c r="Q160" s="1">
        <v>2481.84</v>
      </c>
      <c r="R160" s="1">
        <v>2577.79</v>
      </c>
      <c r="S160" t="s">
        <v>12</v>
      </c>
      <c r="T160" s="13">
        <v>45991</v>
      </c>
      <c r="U160" s="1" t="str">
        <f>IF(ESTIMATIVA[[#This Row],[QT_AREA_REAL]]&gt;0,"1- Colhido","2- à Colher")</f>
        <v>1- Colhido</v>
      </c>
      <c r="V160" s="1" t="str">
        <f>IF(ESTIMATIVA[[#This Row],[QT_AREA_REST1]]&gt;0,"Reestimativa 1",IF(ESTIMATIVA[[#This Row],[QT_AREA_REAL]]=0,"Reestimativa 1","Realizado"))</f>
        <v>Reestimativa 1</v>
      </c>
      <c r="W160" s="1" t="str">
        <f>IF(ESTIMATIVA[[#This Row],[QT_AREA_REST2]]&gt;0,"Reestimativa 2",IF(ESTIMATIVA[[#This Row],[QT_AREA_REAL]]=0,"Reestimativa 2","Realizado"))</f>
        <v>Reestimativa 2</v>
      </c>
      <c r="X160" s="1">
        <f>ESTIMATIVA[[#This Row],[QT_AREA_EST]]</f>
        <v>45.96</v>
      </c>
      <c r="Y160" s="1">
        <f>IF(ESTIMATIVA[[#This Row],[QT_AREA_REST1]]&gt;0,ESTIMATIVA[[#This Row],[QT_AREA_REST1]],
  IF(ESTIMATIVA[[#This Row],[QT_AREA_REAL]]&gt;0,ESTIMATIVA[[#This Row],[QT_AREA_REAL]],ESTIMATIVA[[#This Row],[QT_AREA_EST]]))</f>
        <v>45.96</v>
      </c>
      <c r="Z16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45.96</v>
      </c>
      <c r="AA160" s="1">
        <f>ESTIMATIVA[[#This Row],[QT_CANA_EST]]</f>
        <v>3217.2</v>
      </c>
      <c r="AB160" s="1">
        <f>IF(ESTIMATIVA[[#This Row],[QT_CANA_REST1]]&gt;0,ESTIMATIVA[[#This Row],[QT_CANA_REST1]],
  IF(ESTIMATIVA[[#This Row],[QT_CANA_REAL]]&gt;0,ESTIMATIVA[[#This Row],[QT_CANA_REAL]],ESTIMATIVA[[#This Row],[QT_CANA_EST]]))</f>
        <v>2481.84</v>
      </c>
      <c r="AC16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2481.84</v>
      </c>
      <c r="AD160" s="1">
        <f>IF(ESTIMATIVA[[#This Row],[QT_AREA_REAL]]&gt;0,ESTIMATIVA[[#This Row],[QT_CANA_REAL]],ESTIMATIVA[[#This Row],[QT_CANA_EST]])</f>
        <v>2577.79</v>
      </c>
      <c r="AE160" s="1">
        <f>IF(ESTIMATIVA[[#This Row],[QT_AREA_REAL]]&gt;0,ESTIMATIVA[[#This Row],[QT_CANA_REAL]],ESTIMATIVA[[#This Row],[QT_CANA_REST1]])</f>
        <v>2577.79</v>
      </c>
      <c r="AF160" s="1">
        <f>IF(ESTIMATIVA[[#This Row],[QT_AREA_REAL]]&gt;0,ESTIMATIVA[[#This Row],[QT_CANA_REAL]],ESTIMATIVA[[#This Row],[QT_CANA_REST2]])</f>
        <v>2577.79</v>
      </c>
      <c r="AG160" s="1" t="str">
        <f>IF(COUNTIFS(GEADA!A:A,VALUE(ESTIMATIVA[[#This Row],[CD_UPNIVEL1]]&amp;TEXT(ESTIMATIVA[[#This Row],[CD_UPNIVEL3]],"0000")))&gt;0,"S","N")</f>
        <v>S</v>
      </c>
      <c r="AH16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0" s="55" t="str">
        <f>IF(ESTIMATIVA[[#This Row],[TP_CULTIVO]]="Irrigado",_xlfn.MAXIFS(IRRIGADO!J:J,IRRIGADO!C:C,ESTIMATIVA[[#This Row],[CD_UPNIVEL1]],IRRIGADO!E:E,ESTIMATIVA[[#This Row],[CD_UPNIVEL3]]),"")</f>
        <v/>
      </c>
      <c r="AJ16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0" s="1">
        <f>COUNTIFS(Apresentação!$E$23:$E$29,ESTIMATIVA[[#This Row],[CD_UPNIVEL1]])</f>
        <v>0</v>
      </c>
    </row>
    <row r="161" spans="1:37" x14ac:dyDescent="0.3">
      <c r="A161">
        <v>20100</v>
      </c>
      <c r="B161" t="s">
        <v>21</v>
      </c>
      <c r="C161">
        <v>8</v>
      </c>
      <c r="D161">
        <v>3</v>
      </c>
      <c r="E161" t="s">
        <v>263</v>
      </c>
      <c r="F161" s="85" t="s">
        <v>331</v>
      </c>
      <c r="G161"/>
      <c r="H161" t="s">
        <v>294</v>
      </c>
      <c r="I161" t="s">
        <v>207</v>
      </c>
      <c r="J161" t="s">
        <v>175</v>
      </c>
      <c r="K161" s="1">
        <v>33.51</v>
      </c>
      <c r="L161" s="1">
        <v>33.51</v>
      </c>
      <c r="M161" s="1">
        <v>0</v>
      </c>
      <c r="N161" s="1">
        <v>33.51</v>
      </c>
      <c r="O161" s="1">
        <v>2345.6999999999998</v>
      </c>
      <c r="P161" s="1">
        <v>1809.54</v>
      </c>
      <c r="Q161" s="1">
        <v>0</v>
      </c>
      <c r="R161" s="1">
        <v>2664.12</v>
      </c>
      <c r="S161" t="s">
        <v>12</v>
      </c>
      <c r="T161" s="13">
        <v>45851</v>
      </c>
      <c r="U161" s="1" t="str">
        <f>IF(ESTIMATIVA[[#This Row],[QT_AREA_REAL]]&gt;0,"1- Colhido","2- à Colher")</f>
        <v>1- Colhido</v>
      </c>
      <c r="V161" s="1" t="str">
        <f>IF(ESTIMATIVA[[#This Row],[QT_AREA_REST1]]&gt;0,"Reestimativa 1",IF(ESTIMATIVA[[#This Row],[QT_AREA_REAL]]=0,"Reestimativa 1","Realizado"))</f>
        <v>Reestimativa 1</v>
      </c>
      <c r="W161" s="1" t="str">
        <f>IF(ESTIMATIVA[[#This Row],[QT_AREA_REST2]]&gt;0,"Reestimativa 2",IF(ESTIMATIVA[[#This Row],[QT_AREA_REAL]]=0,"Reestimativa 2","Realizado"))</f>
        <v>Realizado</v>
      </c>
      <c r="X161" s="1">
        <f>ESTIMATIVA[[#This Row],[QT_AREA_EST]]</f>
        <v>33.51</v>
      </c>
      <c r="Y161" s="1">
        <f>IF(ESTIMATIVA[[#This Row],[QT_AREA_REST1]]&gt;0,ESTIMATIVA[[#This Row],[QT_AREA_REST1]],
  IF(ESTIMATIVA[[#This Row],[QT_AREA_REAL]]&gt;0,ESTIMATIVA[[#This Row],[QT_AREA_REAL]],ESTIMATIVA[[#This Row],[QT_AREA_EST]]))</f>
        <v>33.51</v>
      </c>
      <c r="Z16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33.51</v>
      </c>
      <c r="AA161" s="1">
        <f>ESTIMATIVA[[#This Row],[QT_CANA_EST]]</f>
        <v>2345.6999999999998</v>
      </c>
      <c r="AB161" s="1">
        <f>IF(ESTIMATIVA[[#This Row],[QT_CANA_REST1]]&gt;0,ESTIMATIVA[[#This Row],[QT_CANA_REST1]],
  IF(ESTIMATIVA[[#This Row],[QT_CANA_REAL]]&gt;0,ESTIMATIVA[[#This Row],[QT_CANA_REAL]],ESTIMATIVA[[#This Row],[QT_CANA_EST]]))</f>
        <v>1809.54</v>
      </c>
      <c r="AC16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2664.12</v>
      </c>
      <c r="AD161" s="1">
        <f>IF(ESTIMATIVA[[#This Row],[QT_AREA_REAL]]&gt;0,ESTIMATIVA[[#This Row],[QT_CANA_REAL]],ESTIMATIVA[[#This Row],[QT_CANA_EST]])</f>
        <v>2664.12</v>
      </c>
      <c r="AE161" s="1">
        <f>IF(ESTIMATIVA[[#This Row],[QT_AREA_REAL]]&gt;0,ESTIMATIVA[[#This Row],[QT_CANA_REAL]],ESTIMATIVA[[#This Row],[QT_CANA_REST1]])</f>
        <v>2664.12</v>
      </c>
      <c r="AF161" s="1">
        <f>IF(ESTIMATIVA[[#This Row],[QT_AREA_REAL]]&gt;0,ESTIMATIVA[[#This Row],[QT_CANA_REAL]],ESTIMATIVA[[#This Row],[QT_CANA_REST2]])</f>
        <v>2664.12</v>
      </c>
      <c r="AG161" s="1" t="str">
        <f>IF(COUNTIFS(GEADA!A:A,VALUE(ESTIMATIVA[[#This Row],[CD_UPNIVEL1]]&amp;TEXT(ESTIMATIVA[[#This Row],[CD_UPNIVEL3]],"0000")))&gt;0,"S","N")</f>
        <v>S</v>
      </c>
      <c r="AH16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1" s="55" t="str">
        <f>IF(ESTIMATIVA[[#This Row],[TP_CULTIVO]]="Irrigado",_xlfn.MAXIFS(IRRIGADO!J:J,IRRIGADO!C:C,ESTIMATIVA[[#This Row],[CD_UPNIVEL1]],IRRIGADO!E:E,ESTIMATIVA[[#This Row],[CD_UPNIVEL3]]),"")</f>
        <v/>
      </c>
      <c r="AJ16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1" s="1">
        <f>COUNTIFS(Apresentação!$E$23:$E$29,ESTIMATIVA[[#This Row],[CD_UPNIVEL1]])</f>
        <v>0</v>
      </c>
    </row>
    <row r="162" spans="1:37" x14ac:dyDescent="0.3">
      <c r="A162">
        <v>20100</v>
      </c>
      <c r="B162" t="s">
        <v>21</v>
      </c>
      <c r="C162">
        <v>9</v>
      </c>
      <c r="D162">
        <v>3</v>
      </c>
      <c r="E162" t="s">
        <v>263</v>
      </c>
      <c r="F162" s="85" t="s">
        <v>331</v>
      </c>
      <c r="G162"/>
      <c r="H162" t="s">
        <v>294</v>
      </c>
      <c r="I162" t="s">
        <v>207</v>
      </c>
      <c r="J162" t="s">
        <v>175</v>
      </c>
      <c r="K162" s="1">
        <v>34.97</v>
      </c>
      <c r="L162" s="1">
        <v>34.97</v>
      </c>
      <c r="M162" s="1">
        <v>34.97</v>
      </c>
      <c r="N162" s="1">
        <v>34.97</v>
      </c>
      <c r="O162" s="1">
        <v>2447.9</v>
      </c>
      <c r="P162" s="1">
        <v>1888.38</v>
      </c>
      <c r="Q162" s="1">
        <v>1888.38</v>
      </c>
      <c r="R162" s="1">
        <v>1960.72</v>
      </c>
      <c r="S162" t="s">
        <v>12</v>
      </c>
      <c r="T162" s="13">
        <v>45991</v>
      </c>
      <c r="U162" s="1" t="str">
        <f>IF(ESTIMATIVA[[#This Row],[QT_AREA_REAL]]&gt;0,"1- Colhido","2- à Colher")</f>
        <v>1- Colhido</v>
      </c>
      <c r="V162" s="1" t="str">
        <f>IF(ESTIMATIVA[[#This Row],[QT_AREA_REST1]]&gt;0,"Reestimativa 1",IF(ESTIMATIVA[[#This Row],[QT_AREA_REAL]]=0,"Reestimativa 1","Realizado"))</f>
        <v>Reestimativa 1</v>
      </c>
      <c r="W162" s="1" t="str">
        <f>IF(ESTIMATIVA[[#This Row],[QT_AREA_REST2]]&gt;0,"Reestimativa 2",IF(ESTIMATIVA[[#This Row],[QT_AREA_REAL]]=0,"Reestimativa 2","Realizado"))</f>
        <v>Reestimativa 2</v>
      </c>
      <c r="X162" s="1">
        <f>ESTIMATIVA[[#This Row],[QT_AREA_EST]]</f>
        <v>34.97</v>
      </c>
      <c r="Y162" s="1">
        <f>IF(ESTIMATIVA[[#This Row],[QT_AREA_REST1]]&gt;0,ESTIMATIVA[[#This Row],[QT_AREA_REST1]],
  IF(ESTIMATIVA[[#This Row],[QT_AREA_REAL]]&gt;0,ESTIMATIVA[[#This Row],[QT_AREA_REAL]],ESTIMATIVA[[#This Row],[QT_AREA_EST]]))</f>
        <v>34.97</v>
      </c>
      <c r="Z16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34.97</v>
      </c>
      <c r="AA162" s="1">
        <f>ESTIMATIVA[[#This Row],[QT_CANA_EST]]</f>
        <v>2447.9</v>
      </c>
      <c r="AB162" s="1">
        <f>IF(ESTIMATIVA[[#This Row],[QT_CANA_REST1]]&gt;0,ESTIMATIVA[[#This Row],[QT_CANA_REST1]],
  IF(ESTIMATIVA[[#This Row],[QT_CANA_REAL]]&gt;0,ESTIMATIVA[[#This Row],[QT_CANA_REAL]],ESTIMATIVA[[#This Row],[QT_CANA_EST]]))</f>
        <v>1888.38</v>
      </c>
      <c r="AC16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1888.38</v>
      </c>
      <c r="AD162" s="1">
        <f>IF(ESTIMATIVA[[#This Row],[QT_AREA_REAL]]&gt;0,ESTIMATIVA[[#This Row],[QT_CANA_REAL]],ESTIMATIVA[[#This Row],[QT_CANA_EST]])</f>
        <v>1960.72</v>
      </c>
      <c r="AE162" s="1">
        <f>IF(ESTIMATIVA[[#This Row],[QT_AREA_REAL]]&gt;0,ESTIMATIVA[[#This Row],[QT_CANA_REAL]],ESTIMATIVA[[#This Row],[QT_CANA_REST1]])</f>
        <v>1960.72</v>
      </c>
      <c r="AF162" s="1">
        <f>IF(ESTIMATIVA[[#This Row],[QT_AREA_REAL]]&gt;0,ESTIMATIVA[[#This Row],[QT_CANA_REAL]],ESTIMATIVA[[#This Row],[QT_CANA_REST2]])</f>
        <v>1960.72</v>
      </c>
      <c r="AG162" s="1" t="str">
        <f>IF(COUNTIFS(GEADA!A:A,VALUE(ESTIMATIVA[[#This Row],[CD_UPNIVEL1]]&amp;TEXT(ESTIMATIVA[[#This Row],[CD_UPNIVEL3]],"0000")))&gt;0,"S","N")</f>
        <v>S</v>
      </c>
      <c r="AH16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2" s="55" t="str">
        <f>IF(ESTIMATIVA[[#This Row],[TP_CULTIVO]]="Irrigado",_xlfn.MAXIFS(IRRIGADO!J:J,IRRIGADO!C:C,ESTIMATIVA[[#This Row],[CD_UPNIVEL1]],IRRIGADO!E:E,ESTIMATIVA[[#This Row],[CD_UPNIVEL3]]),"")</f>
        <v/>
      </c>
      <c r="AJ16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2" s="1">
        <f>COUNTIFS(Apresentação!$E$23:$E$29,ESTIMATIVA[[#This Row],[CD_UPNIVEL1]])</f>
        <v>0</v>
      </c>
    </row>
    <row r="163" spans="1:37" x14ac:dyDescent="0.3">
      <c r="A163">
        <v>20100</v>
      </c>
      <c r="B163" t="s">
        <v>21</v>
      </c>
      <c r="C163">
        <v>10</v>
      </c>
      <c r="D163">
        <v>3</v>
      </c>
      <c r="E163" t="s">
        <v>263</v>
      </c>
      <c r="F163" s="85" t="s">
        <v>331</v>
      </c>
      <c r="G163"/>
      <c r="H163" t="s">
        <v>294</v>
      </c>
      <c r="I163" t="s">
        <v>205</v>
      </c>
      <c r="J163" t="s">
        <v>175</v>
      </c>
      <c r="K163" s="1">
        <v>31.97</v>
      </c>
      <c r="L163" s="1">
        <v>31.97</v>
      </c>
      <c r="M163" s="1">
        <v>0</v>
      </c>
      <c r="N163" s="1">
        <v>31.97</v>
      </c>
      <c r="O163" s="1">
        <v>2685.48</v>
      </c>
      <c r="P163" s="1">
        <v>2813.36</v>
      </c>
      <c r="Q163" s="1">
        <v>0</v>
      </c>
      <c r="R163" s="1">
        <v>2653.19</v>
      </c>
      <c r="S163" t="s">
        <v>12</v>
      </c>
      <c r="T163" s="13">
        <v>45900</v>
      </c>
      <c r="U163" s="1" t="str">
        <f>IF(ESTIMATIVA[[#This Row],[QT_AREA_REAL]]&gt;0,"1- Colhido","2- à Colher")</f>
        <v>1- Colhido</v>
      </c>
      <c r="V163" s="1" t="str">
        <f>IF(ESTIMATIVA[[#This Row],[QT_AREA_REST1]]&gt;0,"Reestimativa 1",IF(ESTIMATIVA[[#This Row],[QT_AREA_REAL]]=0,"Reestimativa 1","Realizado"))</f>
        <v>Reestimativa 1</v>
      </c>
      <c r="W163" s="1" t="str">
        <f>IF(ESTIMATIVA[[#This Row],[QT_AREA_REST2]]&gt;0,"Reestimativa 2",IF(ESTIMATIVA[[#This Row],[QT_AREA_REAL]]=0,"Reestimativa 2","Realizado"))</f>
        <v>Realizado</v>
      </c>
      <c r="X163" s="1">
        <f>ESTIMATIVA[[#This Row],[QT_AREA_EST]]</f>
        <v>31.97</v>
      </c>
      <c r="Y163" s="1">
        <f>IF(ESTIMATIVA[[#This Row],[QT_AREA_REST1]]&gt;0,ESTIMATIVA[[#This Row],[QT_AREA_REST1]],
  IF(ESTIMATIVA[[#This Row],[QT_AREA_REAL]]&gt;0,ESTIMATIVA[[#This Row],[QT_AREA_REAL]],ESTIMATIVA[[#This Row],[QT_AREA_EST]]))</f>
        <v>31.97</v>
      </c>
      <c r="Z16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31.97</v>
      </c>
      <c r="AA163" s="1">
        <f>ESTIMATIVA[[#This Row],[QT_CANA_EST]]</f>
        <v>2685.48</v>
      </c>
      <c r="AB163" s="1">
        <f>IF(ESTIMATIVA[[#This Row],[QT_CANA_REST1]]&gt;0,ESTIMATIVA[[#This Row],[QT_CANA_REST1]],
  IF(ESTIMATIVA[[#This Row],[QT_CANA_REAL]]&gt;0,ESTIMATIVA[[#This Row],[QT_CANA_REAL]],ESTIMATIVA[[#This Row],[QT_CANA_EST]]))</f>
        <v>2813.36</v>
      </c>
      <c r="AC16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2653.19</v>
      </c>
      <c r="AD163" s="1">
        <f>IF(ESTIMATIVA[[#This Row],[QT_AREA_REAL]]&gt;0,ESTIMATIVA[[#This Row],[QT_CANA_REAL]],ESTIMATIVA[[#This Row],[QT_CANA_EST]])</f>
        <v>2653.19</v>
      </c>
      <c r="AE163" s="1">
        <f>IF(ESTIMATIVA[[#This Row],[QT_AREA_REAL]]&gt;0,ESTIMATIVA[[#This Row],[QT_CANA_REAL]],ESTIMATIVA[[#This Row],[QT_CANA_REST1]])</f>
        <v>2653.19</v>
      </c>
      <c r="AF163" s="1">
        <f>IF(ESTIMATIVA[[#This Row],[QT_AREA_REAL]]&gt;0,ESTIMATIVA[[#This Row],[QT_CANA_REAL]],ESTIMATIVA[[#This Row],[QT_CANA_REST2]])</f>
        <v>2653.19</v>
      </c>
      <c r="AG163" s="1" t="str">
        <f>IF(COUNTIFS(GEADA!A:A,VALUE(ESTIMATIVA[[#This Row],[CD_UPNIVEL1]]&amp;TEXT(ESTIMATIVA[[#This Row],[CD_UPNIVEL3]],"0000")))&gt;0,"S","N")</f>
        <v>N</v>
      </c>
      <c r="AH16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3" s="55" t="str">
        <f>IF(ESTIMATIVA[[#This Row],[TP_CULTIVO]]="Irrigado",_xlfn.MAXIFS(IRRIGADO!J:J,IRRIGADO!C:C,ESTIMATIVA[[#This Row],[CD_UPNIVEL1]],IRRIGADO!E:E,ESTIMATIVA[[#This Row],[CD_UPNIVEL3]]),"")</f>
        <v/>
      </c>
      <c r="AJ16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3" s="1">
        <f>COUNTIFS(Apresentação!$E$23:$E$29,ESTIMATIVA[[#This Row],[CD_UPNIVEL1]])</f>
        <v>0</v>
      </c>
    </row>
    <row r="164" spans="1:37" x14ac:dyDescent="0.3">
      <c r="A164">
        <v>20100</v>
      </c>
      <c r="B164" t="s">
        <v>21</v>
      </c>
      <c r="C164">
        <v>11</v>
      </c>
      <c r="D164">
        <v>3</v>
      </c>
      <c r="E164" t="s">
        <v>263</v>
      </c>
      <c r="F164" s="85" t="s">
        <v>331</v>
      </c>
      <c r="G164"/>
      <c r="H164" t="s">
        <v>294</v>
      </c>
      <c r="I164" t="s">
        <v>205</v>
      </c>
      <c r="J164" t="s">
        <v>175</v>
      </c>
      <c r="K164" s="1">
        <v>25.96</v>
      </c>
      <c r="L164" s="1">
        <v>25.96</v>
      </c>
      <c r="M164" s="1">
        <v>0</v>
      </c>
      <c r="N164" s="1">
        <v>25.96</v>
      </c>
      <c r="O164" s="1">
        <v>2180.64</v>
      </c>
      <c r="P164" s="1">
        <v>2284.48</v>
      </c>
      <c r="Q164" s="1">
        <v>0</v>
      </c>
      <c r="R164" s="1">
        <v>2154.38</v>
      </c>
      <c r="S164" t="s">
        <v>12</v>
      </c>
      <c r="T164" s="13">
        <v>45900</v>
      </c>
      <c r="U164" s="1" t="str">
        <f>IF(ESTIMATIVA[[#This Row],[QT_AREA_REAL]]&gt;0,"1- Colhido","2- à Colher")</f>
        <v>1- Colhido</v>
      </c>
      <c r="V164" s="1" t="str">
        <f>IF(ESTIMATIVA[[#This Row],[QT_AREA_REST1]]&gt;0,"Reestimativa 1",IF(ESTIMATIVA[[#This Row],[QT_AREA_REAL]]=0,"Reestimativa 1","Realizado"))</f>
        <v>Reestimativa 1</v>
      </c>
      <c r="W164" s="1" t="str">
        <f>IF(ESTIMATIVA[[#This Row],[QT_AREA_REST2]]&gt;0,"Reestimativa 2",IF(ESTIMATIVA[[#This Row],[QT_AREA_REAL]]=0,"Reestimativa 2","Realizado"))</f>
        <v>Realizado</v>
      </c>
      <c r="X164" s="1">
        <f>ESTIMATIVA[[#This Row],[QT_AREA_EST]]</f>
        <v>25.96</v>
      </c>
      <c r="Y164" s="1">
        <f>IF(ESTIMATIVA[[#This Row],[QT_AREA_REST1]]&gt;0,ESTIMATIVA[[#This Row],[QT_AREA_REST1]],
  IF(ESTIMATIVA[[#This Row],[QT_AREA_REAL]]&gt;0,ESTIMATIVA[[#This Row],[QT_AREA_REAL]],ESTIMATIVA[[#This Row],[QT_AREA_EST]]))</f>
        <v>25.96</v>
      </c>
      <c r="Z16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25.96</v>
      </c>
      <c r="AA164" s="1">
        <f>ESTIMATIVA[[#This Row],[QT_CANA_EST]]</f>
        <v>2180.64</v>
      </c>
      <c r="AB164" s="1">
        <f>IF(ESTIMATIVA[[#This Row],[QT_CANA_REST1]]&gt;0,ESTIMATIVA[[#This Row],[QT_CANA_REST1]],
  IF(ESTIMATIVA[[#This Row],[QT_CANA_REAL]]&gt;0,ESTIMATIVA[[#This Row],[QT_CANA_REAL]],ESTIMATIVA[[#This Row],[QT_CANA_EST]]))</f>
        <v>2284.48</v>
      </c>
      <c r="AC16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2154.38</v>
      </c>
      <c r="AD164" s="1">
        <f>IF(ESTIMATIVA[[#This Row],[QT_AREA_REAL]]&gt;0,ESTIMATIVA[[#This Row],[QT_CANA_REAL]],ESTIMATIVA[[#This Row],[QT_CANA_EST]])</f>
        <v>2154.38</v>
      </c>
      <c r="AE164" s="1">
        <f>IF(ESTIMATIVA[[#This Row],[QT_AREA_REAL]]&gt;0,ESTIMATIVA[[#This Row],[QT_CANA_REAL]],ESTIMATIVA[[#This Row],[QT_CANA_REST1]])</f>
        <v>2154.38</v>
      </c>
      <c r="AF164" s="1">
        <f>IF(ESTIMATIVA[[#This Row],[QT_AREA_REAL]]&gt;0,ESTIMATIVA[[#This Row],[QT_CANA_REAL]],ESTIMATIVA[[#This Row],[QT_CANA_REST2]])</f>
        <v>2154.38</v>
      </c>
      <c r="AG164" s="1" t="str">
        <f>IF(COUNTIFS(GEADA!A:A,VALUE(ESTIMATIVA[[#This Row],[CD_UPNIVEL1]]&amp;TEXT(ESTIMATIVA[[#This Row],[CD_UPNIVEL3]],"0000")))&gt;0,"S","N")</f>
        <v>N</v>
      </c>
      <c r="AH16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4" s="55" t="str">
        <f>IF(ESTIMATIVA[[#This Row],[TP_CULTIVO]]="Irrigado",_xlfn.MAXIFS(IRRIGADO!J:J,IRRIGADO!C:C,ESTIMATIVA[[#This Row],[CD_UPNIVEL1]],IRRIGADO!E:E,ESTIMATIVA[[#This Row],[CD_UPNIVEL3]]),"")</f>
        <v/>
      </c>
      <c r="AJ16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4" s="1">
        <f>COUNTIFS(Apresentação!$E$23:$E$29,ESTIMATIVA[[#This Row],[CD_UPNIVEL1]])</f>
        <v>0</v>
      </c>
    </row>
    <row r="165" spans="1:37" x14ac:dyDescent="0.3">
      <c r="A165">
        <v>20100</v>
      </c>
      <c r="B165" t="s">
        <v>21</v>
      </c>
      <c r="C165">
        <v>12</v>
      </c>
      <c r="D165">
        <v>3</v>
      </c>
      <c r="E165" t="s">
        <v>263</v>
      </c>
      <c r="F165" s="85" t="s">
        <v>333</v>
      </c>
      <c r="G165"/>
      <c r="H165" t="s">
        <v>294</v>
      </c>
      <c r="I165" t="s">
        <v>200</v>
      </c>
      <c r="J165" t="s">
        <v>175</v>
      </c>
      <c r="K165" s="1">
        <v>43.9</v>
      </c>
      <c r="L165" s="1">
        <v>43.9</v>
      </c>
      <c r="M165" s="1">
        <v>43.9</v>
      </c>
      <c r="N165" s="1">
        <v>43.9</v>
      </c>
      <c r="O165" s="1">
        <v>3512</v>
      </c>
      <c r="P165" s="1">
        <v>3687.6</v>
      </c>
      <c r="Q165" s="1">
        <v>3687.6</v>
      </c>
      <c r="R165" s="1">
        <v>3008.15</v>
      </c>
      <c r="S165" t="s">
        <v>12</v>
      </c>
      <c r="T165" s="13">
        <v>46005</v>
      </c>
      <c r="U165" s="1" t="str">
        <f>IF(ESTIMATIVA[[#This Row],[QT_AREA_REAL]]&gt;0,"1- Colhido","2- à Colher")</f>
        <v>1- Colhido</v>
      </c>
      <c r="V165" s="1" t="str">
        <f>IF(ESTIMATIVA[[#This Row],[QT_AREA_REST1]]&gt;0,"Reestimativa 1",IF(ESTIMATIVA[[#This Row],[QT_AREA_REAL]]=0,"Reestimativa 1","Realizado"))</f>
        <v>Reestimativa 1</v>
      </c>
      <c r="W165" s="1" t="str">
        <f>IF(ESTIMATIVA[[#This Row],[QT_AREA_REST2]]&gt;0,"Reestimativa 2",IF(ESTIMATIVA[[#This Row],[QT_AREA_REAL]]=0,"Reestimativa 2","Realizado"))</f>
        <v>Reestimativa 2</v>
      </c>
      <c r="X165" s="1">
        <f>ESTIMATIVA[[#This Row],[QT_AREA_EST]]</f>
        <v>43.9</v>
      </c>
      <c r="Y165" s="1">
        <f>IF(ESTIMATIVA[[#This Row],[QT_AREA_REST1]]&gt;0,ESTIMATIVA[[#This Row],[QT_AREA_REST1]],
  IF(ESTIMATIVA[[#This Row],[QT_AREA_REAL]]&gt;0,ESTIMATIVA[[#This Row],[QT_AREA_REAL]],ESTIMATIVA[[#This Row],[QT_AREA_EST]]))</f>
        <v>43.9</v>
      </c>
      <c r="Z16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43.9</v>
      </c>
      <c r="AA165" s="1">
        <f>ESTIMATIVA[[#This Row],[QT_CANA_EST]]</f>
        <v>3512</v>
      </c>
      <c r="AB165" s="1">
        <f>IF(ESTIMATIVA[[#This Row],[QT_CANA_REST1]]&gt;0,ESTIMATIVA[[#This Row],[QT_CANA_REST1]],
  IF(ESTIMATIVA[[#This Row],[QT_CANA_REAL]]&gt;0,ESTIMATIVA[[#This Row],[QT_CANA_REAL]],ESTIMATIVA[[#This Row],[QT_CANA_EST]]))</f>
        <v>3687.6</v>
      </c>
      <c r="AC16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3687.6</v>
      </c>
      <c r="AD165" s="1">
        <f>IF(ESTIMATIVA[[#This Row],[QT_AREA_REAL]]&gt;0,ESTIMATIVA[[#This Row],[QT_CANA_REAL]],ESTIMATIVA[[#This Row],[QT_CANA_EST]])</f>
        <v>3008.15</v>
      </c>
      <c r="AE165" s="1">
        <f>IF(ESTIMATIVA[[#This Row],[QT_AREA_REAL]]&gt;0,ESTIMATIVA[[#This Row],[QT_CANA_REAL]],ESTIMATIVA[[#This Row],[QT_CANA_REST1]])</f>
        <v>3008.15</v>
      </c>
      <c r="AF165" s="1">
        <f>IF(ESTIMATIVA[[#This Row],[QT_AREA_REAL]]&gt;0,ESTIMATIVA[[#This Row],[QT_CANA_REAL]],ESTIMATIVA[[#This Row],[QT_CANA_REST2]])</f>
        <v>3008.15</v>
      </c>
      <c r="AG165" s="1" t="str">
        <f>IF(COUNTIFS(GEADA!A:A,VALUE(ESTIMATIVA[[#This Row],[CD_UPNIVEL1]]&amp;TEXT(ESTIMATIVA[[#This Row],[CD_UPNIVEL3]],"0000")))&gt;0,"S","N")</f>
        <v>N</v>
      </c>
      <c r="AH16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5" s="55" t="str">
        <f>IF(ESTIMATIVA[[#This Row],[TP_CULTIVO]]="Irrigado",_xlfn.MAXIFS(IRRIGADO!J:J,IRRIGADO!C:C,ESTIMATIVA[[#This Row],[CD_UPNIVEL1]],IRRIGADO!E:E,ESTIMATIVA[[#This Row],[CD_UPNIVEL3]]),"")</f>
        <v/>
      </c>
      <c r="AJ16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5" s="1">
        <f>COUNTIFS(Apresentação!$E$23:$E$29,ESTIMATIVA[[#This Row],[CD_UPNIVEL1]])</f>
        <v>0</v>
      </c>
    </row>
    <row r="166" spans="1:37" x14ac:dyDescent="0.3">
      <c r="A166">
        <v>20100</v>
      </c>
      <c r="B166" t="s">
        <v>21</v>
      </c>
      <c r="C166">
        <v>13</v>
      </c>
      <c r="D166">
        <v>3</v>
      </c>
      <c r="E166" t="s">
        <v>263</v>
      </c>
      <c r="F166" s="85" t="s">
        <v>333</v>
      </c>
      <c r="G166"/>
      <c r="H166" t="s">
        <v>294</v>
      </c>
      <c r="I166" t="s">
        <v>200</v>
      </c>
      <c r="J166" t="s">
        <v>175</v>
      </c>
      <c r="K166" s="1">
        <v>41.48</v>
      </c>
      <c r="L166" s="1">
        <v>41.48</v>
      </c>
      <c r="M166" s="1">
        <v>41.48</v>
      </c>
      <c r="N166" s="1">
        <v>41.48</v>
      </c>
      <c r="O166" s="1">
        <v>3318.4</v>
      </c>
      <c r="P166" s="1">
        <v>3484.32</v>
      </c>
      <c r="Q166" s="1">
        <v>3484.32</v>
      </c>
      <c r="R166" s="1">
        <v>2841.76</v>
      </c>
      <c r="S166" t="s">
        <v>12</v>
      </c>
      <c r="T166" s="13">
        <v>46005</v>
      </c>
      <c r="U166" s="1" t="str">
        <f>IF(ESTIMATIVA[[#This Row],[QT_AREA_REAL]]&gt;0,"1- Colhido","2- à Colher")</f>
        <v>1- Colhido</v>
      </c>
      <c r="V166" s="1" t="str">
        <f>IF(ESTIMATIVA[[#This Row],[QT_AREA_REST1]]&gt;0,"Reestimativa 1",IF(ESTIMATIVA[[#This Row],[QT_AREA_REAL]]=0,"Reestimativa 1","Realizado"))</f>
        <v>Reestimativa 1</v>
      </c>
      <c r="W166" s="1" t="str">
        <f>IF(ESTIMATIVA[[#This Row],[QT_AREA_REST2]]&gt;0,"Reestimativa 2",IF(ESTIMATIVA[[#This Row],[QT_AREA_REAL]]=0,"Reestimativa 2","Realizado"))</f>
        <v>Reestimativa 2</v>
      </c>
      <c r="X166" s="1">
        <f>ESTIMATIVA[[#This Row],[QT_AREA_EST]]</f>
        <v>41.48</v>
      </c>
      <c r="Y166" s="1">
        <f>IF(ESTIMATIVA[[#This Row],[QT_AREA_REST1]]&gt;0,ESTIMATIVA[[#This Row],[QT_AREA_REST1]],
  IF(ESTIMATIVA[[#This Row],[QT_AREA_REAL]]&gt;0,ESTIMATIVA[[#This Row],[QT_AREA_REAL]],ESTIMATIVA[[#This Row],[QT_AREA_EST]]))</f>
        <v>41.48</v>
      </c>
      <c r="Z16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41.48</v>
      </c>
      <c r="AA166" s="1">
        <f>ESTIMATIVA[[#This Row],[QT_CANA_EST]]</f>
        <v>3318.4</v>
      </c>
      <c r="AB166" s="1">
        <f>IF(ESTIMATIVA[[#This Row],[QT_CANA_REST1]]&gt;0,ESTIMATIVA[[#This Row],[QT_CANA_REST1]],
  IF(ESTIMATIVA[[#This Row],[QT_CANA_REAL]]&gt;0,ESTIMATIVA[[#This Row],[QT_CANA_REAL]],ESTIMATIVA[[#This Row],[QT_CANA_EST]]))</f>
        <v>3484.32</v>
      </c>
      <c r="AC16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3484.32</v>
      </c>
      <c r="AD166" s="1">
        <f>IF(ESTIMATIVA[[#This Row],[QT_AREA_REAL]]&gt;0,ESTIMATIVA[[#This Row],[QT_CANA_REAL]],ESTIMATIVA[[#This Row],[QT_CANA_EST]])</f>
        <v>2841.76</v>
      </c>
      <c r="AE166" s="1">
        <f>IF(ESTIMATIVA[[#This Row],[QT_AREA_REAL]]&gt;0,ESTIMATIVA[[#This Row],[QT_CANA_REAL]],ESTIMATIVA[[#This Row],[QT_CANA_REST1]])</f>
        <v>2841.76</v>
      </c>
      <c r="AF166" s="1">
        <f>IF(ESTIMATIVA[[#This Row],[QT_AREA_REAL]]&gt;0,ESTIMATIVA[[#This Row],[QT_CANA_REAL]],ESTIMATIVA[[#This Row],[QT_CANA_REST2]])</f>
        <v>2841.76</v>
      </c>
      <c r="AG166" s="1" t="str">
        <f>IF(COUNTIFS(GEADA!A:A,VALUE(ESTIMATIVA[[#This Row],[CD_UPNIVEL1]]&amp;TEXT(ESTIMATIVA[[#This Row],[CD_UPNIVEL3]],"0000")))&gt;0,"S","N")</f>
        <v>N</v>
      </c>
      <c r="AH16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6" s="55" t="str">
        <f>IF(ESTIMATIVA[[#This Row],[TP_CULTIVO]]="Irrigado",_xlfn.MAXIFS(IRRIGADO!J:J,IRRIGADO!C:C,ESTIMATIVA[[#This Row],[CD_UPNIVEL1]],IRRIGADO!E:E,ESTIMATIVA[[#This Row],[CD_UPNIVEL3]]),"")</f>
        <v/>
      </c>
      <c r="AJ16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6" s="1">
        <f>COUNTIFS(Apresentação!$E$23:$E$29,ESTIMATIVA[[#This Row],[CD_UPNIVEL1]])</f>
        <v>0</v>
      </c>
    </row>
    <row r="167" spans="1:37" x14ac:dyDescent="0.3">
      <c r="A167">
        <v>20100</v>
      </c>
      <c r="B167" t="s">
        <v>21</v>
      </c>
      <c r="C167">
        <v>14</v>
      </c>
      <c r="D167">
        <v>3</v>
      </c>
      <c r="E167" t="s">
        <v>263</v>
      </c>
      <c r="F167" s="85" t="s">
        <v>333</v>
      </c>
      <c r="G167"/>
      <c r="H167" t="s">
        <v>294</v>
      </c>
      <c r="I167" t="s">
        <v>200</v>
      </c>
      <c r="J167" t="s">
        <v>175</v>
      </c>
      <c r="K167" s="1">
        <v>27.25</v>
      </c>
      <c r="L167" s="1">
        <v>27.25</v>
      </c>
      <c r="M167" s="1">
        <v>27.25</v>
      </c>
      <c r="N167" s="1">
        <v>27.25</v>
      </c>
      <c r="O167" s="1">
        <v>2180</v>
      </c>
      <c r="P167" s="1">
        <v>2289</v>
      </c>
      <c r="Q167" s="1">
        <v>2289</v>
      </c>
      <c r="R167" s="1">
        <v>1867.34</v>
      </c>
      <c r="S167" t="s">
        <v>12</v>
      </c>
      <c r="T167" s="13">
        <v>46005</v>
      </c>
      <c r="U167" s="1" t="str">
        <f>IF(ESTIMATIVA[[#This Row],[QT_AREA_REAL]]&gt;0,"1- Colhido","2- à Colher")</f>
        <v>1- Colhido</v>
      </c>
      <c r="V167" s="1" t="str">
        <f>IF(ESTIMATIVA[[#This Row],[QT_AREA_REST1]]&gt;0,"Reestimativa 1",IF(ESTIMATIVA[[#This Row],[QT_AREA_REAL]]=0,"Reestimativa 1","Realizado"))</f>
        <v>Reestimativa 1</v>
      </c>
      <c r="W167" s="1" t="str">
        <f>IF(ESTIMATIVA[[#This Row],[QT_AREA_REST2]]&gt;0,"Reestimativa 2",IF(ESTIMATIVA[[#This Row],[QT_AREA_REAL]]=0,"Reestimativa 2","Realizado"))</f>
        <v>Reestimativa 2</v>
      </c>
      <c r="X167" s="1">
        <f>ESTIMATIVA[[#This Row],[QT_AREA_EST]]</f>
        <v>27.25</v>
      </c>
      <c r="Y167" s="1">
        <f>IF(ESTIMATIVA[[#This Row],[QT_AREA_REST1]]&gt;0,ESTIMATIVA[[#This Row],[QT_AREA_REST1]],
  IF(ESTIMATIVA[[#This Row],[QT_AREA_REAL]]&gt;0,ESTIMATIVA[[#This Row],[QT_AREA_REAL]],ESTIMATIVA[[#This Row],[QT_AREA_EST]]))</f>
        <v>27.25</v>
      </c>
      <c r="Z16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27.25</v>
      </c>
      <c r="AA167" s="1">
        <f>ESTIMATIVA[[#This Row],[QT_CANA_EST]]</f>
        <v>2180</v>
      </c>
      <c r="AB167" s="1">
        <f>IF(ESTIMATIVA[[#This Row],[QT_CANA_REST1]]&gt;0,ESTIMATIVA[[#This Row],[QT_CANA_REST1]],
  IF(ESTIMATIVA[[#This Row],[QT_CANA_REAL]]&gt;0,ESTIMATIVA[[#This Row],[QT_CANA_REAL]],ESTIMATIVA[[#This Row],[QT_CANA_EST]]))</f>
        <v>2289</v>
      </c>
      <c r="AC16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2289</v>
      </c>
      <c r="AD167" s="1">
        <f>IF(ESTIMATIVA[[#This Row],[QT_AREA_REAL]]&gt;0,ESTIMATIVA[[#This Row],[QT_CANA_REAL]],ESTIMATIVA[[#This Row],[QT_CANA_EST]])</f>
        <v>1867.34</v>
      </c>
      <c r="AE167" s="1">
        <f>IF(ESTIMATIVA[[#This Row],[QT_AREA_REAL]]&gt;0,ESTIMATIVA[[#This Row],[QT_CANA_REAL]],ESTIMATIVA[[#This Row],[QT_CANA_REST1]])</f>
        <v>1867.34</v>
      </c>
      <c r="AF167" s="1">
        <f>IF(ESTIMATIVA[[#This Row],[QT_AREA_REAL]]&gt;0,ESTIMATIVA[[#This Row],[QT_CANA_REAL]],ESTIMATIVA[[#This Row],[QT_CANA_REST2]])</f>
        <v>1867.34</v>
      </c>
      <c r="AG167" s="1" t="str">
        <f>IF(COUNTIFS(GEADA!A:A,VALUE(ESTIMATIVA[[#This Row],[CD_UPNIVEL1]]&amp;TEXT(ESTIMATIVA[[#This Row],[CD_UPNIVEL3]],"0000")))&gt;0,"S","N")</f>
        <v>N</v>
      </c>
      <c r="AH16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7" s="55" t="str">
        <f>IF(ESTIMATIVA[[#This Row],[TP_CULTIVO]]="Irrigado",_xlfn.MAXIFS(IRRIGADO!J:J,IRRIGADO!C:C,ESTIMATIVA[[#This Row],[CD_UPNIVEL1]],IRRIGADO!E:E,ESTIMATIVA[[#This Row],[CD_UPNIVEL3]]),"")</f>
        <v/>
      </c>
      <c r="AJ16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7" s="1">
        <f>COUNTIFS(Apresentação!$E$23:$E$29,ESTIMATIVA[[#This Row],[CD_UPNIVEL1]])</f>
        <v>0</v>
      </c>
    </row>
    <row r="168" spans="1:37" x14ac:dyDescent="0.3">
      <c r="A168">
        <v>20100</v>
      </c>
      <c r="B168" t="s">
        <v>21</v>
      </c>
      <c r="C168">
        <v>15</v>
      </c>
      <c r="D168">
        <v>3</v>
      </c>
      <c r="E168" t="s">
        <v>263</v>
      </c>
      <c r="F168" s="85" t="s">
        <v>333</v>
      </c>
      <c r="G168"/>
      <c r="H168" t="s">
        <v>294</v>
      </c>
      <c r="I168" t="s">
        <v>200</v>
      </c>
      <c r="J168" t="s">
        <v>175</v>
      </c>
      <c r="K168" s="1">
        <v>19.04</v>
      </c>
      <c r="L168" s="1">
        <v>19.04</v>
      </c>
      <c r="M168" s="1">
        <v>19.04</v>
      </c>
      <c r="N168" s="1">
        <v>19.04</v>
      </c>
      <c r="O168" s="1">
        <v>1523.2</v>
      </c>
      <c r="P168" s="1">
        <v>1599.36</v>
      </c>
      <c r="Q168" s="1">
        <v>1599.36</v>
      </c>
      <c r="R168" s="1">
        <v>1354.88</v>
      </c>
      <c r="S168" t="s">
        <v>12</v>
      </c>
      <c r="T168" s="13">
        <v>46005</v>
      </c>
      <c r="U168" s="1" t="str">
        <f>IF(ESTIMATIVA[[#This Row],[QT_AREA_REAL]]&gt;0,"1- Colhido","2- à Colher")</f>
        <v>1- Colhido</v>
      </c>
      <c r="V168" s="1" t="str">
        <f>IF(ESTIMATIVA[[#This Row],[QT_AREA_REST1]]&gt;0,"Reestimativa 1",IF(ESTIMATIVA[[#This Row],[QT_AREA_REAL]]=0,"Reestimativa 1","Realizado"))</f>
        <v>Reestimativa 1</v>
      </c>
      <c r="W168" s="1" t="str">
        <f>IF(ESTIMATIVA[[#This Row],[QT_AREA_REST2]]&gt;0,"Reestimativa 2",IF(ESTIMATIVA[[#This Row],[QT_AREA_REAL]]=0,"Reestimativa 2","Realizado"))</f>
        <v>Reestimativa 2</v>
      </c>
      <c r="X168" s="1">
        <f>ESTIMATIVA[[#This Row],[QT_AREA_EST]]</f>
        <v>19.04</v>
      </c>
      <c r="Y168" s="1">
        <f>IF(ESTIMATIVA[[#This Row],[QT_AREA_REST1]]&gt;0,ESTIMATIVA[[#This Row],[QT_AREA_REST1]],
  IF(ESTIMATIVA[[#This Row],[QT_AREA_REAL]]&gt;0,ESTIMATIVA[[#This Row],[QT_AREA_REAL]],ESTIMATIVA[[#This Row],[QT_AREA_EST]]))</f>
        <v>19.04</v>
      </c>
      <c r="Z16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19.04</v>
      </c>
      <c r="AA168" s="1">
        <f>ESTIMATIVA[[#This Row],[QT_CANA_EST]]</f>
        <v>1523.2</v>
      </c>
      <c r="AB168" s="1">
        <f>IF(ESTIMATIVA[[#This Row],[QT_CANA_REST1]]&gt;0,ESTIMATIVA[[#This Row],[QT_CANA_REST1]],
  IF(ESTIMATIVA[[#This Row],[QT_CANA_REAL]]&gt;0,ESTIMATIVA[[#This Row],[QT_CANA_REAL]],ESTIMATIVA[[#This Row],[QT_CANA_EST]]))</f>
        <v>1599.36</v>
      </c>
      <c r="AC16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1599.36</v>
      </c>
      <c r="AD168" s="1">
        <f>IF(ESTIMATIVA[[#This Row],[QT_AREA_REAL]]&gt;0,ESTIMATIVA[[#This Row],[QT_CANA_REAL]],ESTIMATIVA[[#This Row],[QT_CANA_EST]])</f>
        <v>1354.88</v>
      </c>
      <c r="AE168" s="1">
        <f>IF(ESTIMATIVA[[#This Row],[QT_AREA_REAL]]&gt;0,ESTIMATIVA[[#This Row],[QT_CANA_REAL]],ESTIMATIVA[[#This Row],[QT_CANA_REST1]])</f>
        <v>1354.88</v>
      </c>
      <c r="AF168" s="1">
        <f>IF(ESTIMATIVA[[#This Row],[QT_AREA_REAL]]&gt;0,ESTIMATIVA[[#This Row],[QT_CANA_REAL]],ESTIMATIVA[[#This Row],[QT_CANA_REST2]])</f>
        <v>1354.88</v>
      </c>
      <c r="AG168" s="1" t="str">
        <f>IF(COUNTIFS(GEADA!A:A,VALUE(ESTIMATIVA[[#This Row],[CD_UPNIVEL1]]&amp;TEXT(ESTIMATIVA[[#This Row],[CD_UPNIVEL3]],"0000")))&gt;0,"S","N")</f>
        <v>N</v>
      </c>
      <c r="AH16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8" s="55" t="str">
        <f>IF(ESTIMATIVA[[#This Row],[TP_CULTIVO]]="Irrigado",_xlfn.MAXIFS(IRRIGADO!J:J,IRRIGADO!C:C,ESTIMATIVA[[#This Row],[CD_UPNIVEL1]],IRRIGADO!E:E,ESTIMATIVA[[#This Row],[CD_UPNIVEL3]]),"")</f>
        <v/>
      </c>
      <c r="AJ16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8" s="1">
        <f>COUNTIFS(Apresentação!$E$23:$E$29,ESTIMATIVA[[#This Row],[CD_UPNIVEL1]])</f>
        <v>0</v>
      </c>
    </row>
    <row r="169" spans="1:37" x14ac:dyDescent="0.3">
      <c r="A169">
        <v>20100</v>
      </c>
      <c r="B169" t="s">
        <v>21</v>
      </c>
      <c r="C169">
        <v>16</v>
      </c>
      <c r="D169">
        <v>3</v>
      </c>
      <c r="E169" t="s">
        <v>263</v>
      </c>
      <c r="F169" s="85" t="s">
        <v>332</v>
      </c>
      <c r="G169"/>
      <c r="H169" t="s">
        <v>294</v>
      </c>
      <c r="I169" t="s">
        <v>200</v>
      </c>
      <c r="J169" t="s">
        <v>175</v>
      </c>
      <c r="K169" s="1">
        <v>13.37</v>
      </c>
      <c r="L169" s="1">
        <v>13.37</v>
      </c>
      <c r="M169" s="1">
        <v>13.37</v>
      </c>
      <c r="N169" s="1">
        <v>13.37</v>
      </c>
      <c r="O169" s="1">
        <v>1069.5999999999999</v>
      </c>
      <c r="P169" s="1">
        <v>1123.08</v>
      </c>
      <c r="Q169" s="1">
        <v>1123.08</v>
      </c>
      <c r="R169" s="1">
        <v>951.52</v>
      </c>
      <c r="S169" t="s">
        <v>12</v>
      </c>
      <c r="T169" s="13">
        <v>46005</v>
      </c>
      <c r="U169" s="1" t="str">
        <f>IF(ESTIMATIVA[[#This Row],[QT_AREA_REAL]]&gt;0,"1- Colhido","2- à Colher")</f>
        <v>1- Colhido</v>
      </c>
      <c r="V169" s="1" t="str">
        <f>IF(ESTIMATIVA[[#This Row],[QT_AREA_REST1]]&gt;0,"Reestimativa 1",IF(ESTIMATIVA[[#This Row],[QT_AREA_REAL]]=0,"Reestimativa 1","Realizado"))</f>
        <v>Reestimativa 1</v>
      </c>
      <c r="W169" s="1" t="str">
        <f>IF(ESTIMATIVA[[#This Row],[QT_AREA_REST2]]&gt;0,"Reestimativa 2",IF(ESTIMATIVA[[#This Row],[QT_AREA_REAL]]=0,"Reestimativa 2","Realizado"))</f>
        <v>Reestimativa 2</v>
      </c>
      <c r="X169" s="1">
        <f>ESTIMATIVA[[#This Row],[QT_AREA_EST]]</f>
        <v>13.37</v>
      </c>
      <c r="Y169" s="1">
        <f>IF(ESTIMATIVA[[#This Row],[QT_AREA_REST1]]&gt;0,ESTIMATIVA[[#This Row],[QT_AREA_REST1]],
  IF(ESTIMATIVA[[#This Row],[QT_AREA_REAL]]&gt;0,ESTIMATIVA[[#This Row],[QT_AREA_REAL]],ESTIMATIVA[[#This Row],[QT_AREA_EST]]))</f>
        <v>13.37</v>
      </c>
      <c r="Z16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13.37</v>
      </c>
      <c r="AA169" s="1">
        <f>ESTIMATIVA[[#This Row],[QT_CANA_EST]]</f>
        <v>1069.5999999999999</v>
      </c>
      <c r="AB169" s="1">
        <f>IF(ESTIMATIVA[[#This Row],[QT_CANA_REST1]]&gt;0,ESTIMATIVA[[#This Row],[QT_CANA_REST1]],
  IF(ESTIMATIVA[[#This Row],[QT_CANA_REAL]]&gt;0,ESTIMATIVA[[#This Row],[QT_CANA_REAL]],ESTIMATIVA[[#This Row],[QT_CANA_EST]]))</f>
        <v>1123.08</v>
      </c>
      <c r="AC16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1123.08</v>
      </c>
      <c r="AD169" s="1">
        <f>IF(ESTIMATIVA[[#This Row],[QT_AREA_REAL]]&gt;0,ESTIMATIVA[[#This Row],[QT_CANA_REAL]],ESTIMATIVA[[#This Row],[QT_CANA_EST]])</f>
        <v>951.52</v>
      </c>
      <c r="AE169" s="1">
        <f>IF(ESTIMATIVA[[#This Row],[QT_AREA_REAL]]&gt;0,ESTIMATIVA[[#This Row],[QT_CANA_REAL]],ESTIMATIVA[[#This Row],[QT_CANA_REST1]])</f>
        <v>951.52</v>
      </c>
      <c r="AF169" s="1">
        <f>IF(ESTIMATIVA[[#This Row],[QT_AREA_REAL]]&gt;0,ESTIMATIVA[[#This Row],[QT_CANA_REAL]],ESTIMATIVA[[#This Row],[QT_CANA_REST2]])</f>
        <v>951.52</v>
      </c>
      <c r="AG169" s="1" t="str">
        <f>IF(COUNTIFS(GEADA!A:A,VALUE(ESTIMATIVA[[#This Row],[CD_UPNIVEL1]]&amp;TEXT(ESTIMATIVA[[#This Row],[CD_UPNIVEL3]],"0000")))&gt;0,"S","N")</f>
        <v>N</v>
      </c>
      <c r="AH16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9" s="55" t="str">
        <f>IF(ESTIMATIVA[[#This Row],[TP_CULTIVO]]="Irrigado",_xlfn.MAXIFS(IRRIGADO!J:J,IRRIGADO!C:C,ESTIMATIVA[[#This Row],[CD_UPNIVEL1]],IRRIGADO!E:E,ESTIMATIVA[[#This Row],[CD_UPNIVEL3]]),"")</f>
        <v/>
      </c>
      <c r="AJ16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9" s="1">
        <f>COUNTIFS(Apresentação!$E$23:$E$29,ESTIMATIVA[[#This Row],[CD_UPNIVEL1]])</f>
        <v>0</v>
      </c>
    </row>
    <row r="170" spans="1:37" x14ac:dyDescent="0.3">
      <c r="A170">
        <v>20100</v>
      </c>
      <c r="B170" t="s">
        <v>21</v>
      </c>
      <c r="C170">
        <v>17</v>
      </c>
      <c r="D170">
        <v>3</v>
      </c>
      <c r="E170" t="s">
        <v>263</v>
      </c>
      <c r="F170" s="85" t="s">
        <v>332</v>
      </c>
      <c r="G170"/>
      <c r="H170" t="s">
        <v>294</v>
      </c>
      <c r="I170" t="s">
        <v>207</v>
      </c>
      <c r="J170" t="s">
        <v>175</v>
      </c>
      <c r="K170" s="1">
        <v>23.19</v>
      </c>
      <c r="L170" s="1">
        <v>23.19</v>
      </c>
      <c r="M170" s="1">
        <v>23.19</v>
      </c>
      <c r="N170" s="1">
        <v>23.19</v>
      </c>
      <c r="O170" s="1">
        <v>1785.63</v>
      </c>
      <c r="P170" s="1">
        <v>1808.82</v>
      </c>
      <c r="Q170" s="1">
        <v>1808.82</v>
      </c>
      <c r="R170" s="1">
        <v>1532.83</v>
      </c>
      <c r="S170" t="s">
        <v>12</v>
      </c>
      <c r="T170" s="13">
        <v>46005</v>
      </c>
      <c r="U170" s="1" t="str">
        <f>IF(ESTIMATIVA[[#This Row],[QT_AREA_REAL]]&gt;0,"1- Colhido","2- à Colher")</f>
        <v>1- Colhido</v>
      </c>
      <c r="V170" s="1" t="str">
        <f>IF(ESTIMATIVA[[#This Row],[QT_AREA_REST1]]&gt;0,"Reestimativa 1",IF(ESTIMATIVA[[#This Row],[QT_AREA_REAL]]=0,"Reestimativa 1","Realizado"))</f>
        <v>Reestimativa 1</v>
      </c>
      <c r="W170" s="1" t="str">
        <f>IF(ESTIMATIVA[[#This Row],[QT_AREA_REST2]]&gt;0,"Reestimativa 2",IF(ESTIMATIVA[[#This Row],[QT_AREA_REAL]]=0,"Reestimativa 2","Realizado"))</f>
        <v>Reestimativa 2</v>
      </c>
      <c r="X170" s="1">
        <f>ESTIMATIVA[[#This Row],[QT_AREA_EST]]</f>
        <v>23.19</v>
      </c>
      <c r="Y170" s="1">
        <f>IF(ESTIMATIVA[[#This Row],[QT_AREA_REST1]]&gt;0,ESTIMATIVA[[#This Row],[QT_AREA_REST1]],
  IF(ESTIMATIVA[[#This Row],[QT_AREA_REAL]]&gt;0,ESTIMATIVA[[#This Row],[QT_AREA_REAL]],ESTIMATIVA[[#This Row],[QT_AREA_EST]]))</f>
        <v>23.19</v>
      </c>
      <c r="Z17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23.19</v>
      </c>
      <c r="AA170" s="1">
        <f>ESTIMATIVA[[#This Row],[QT_CANA_EST]]</f>
        <v>1785.63</v>
      </c>
      <c r="AB170" s="1">
        <f>IF(ESTIMATIVA[[#This Row],[QT_CANA_REST1]]&gt;0,ESTIMATIVA[[#This Row],[QT_CANA_REST1]],
  IF(ESTIMATIVA[[#This Row],[QT_CANA_REAL]]&gt;0,ESTIMATIVA[[#This Row],[QT_CANA_REAL]],ESTIMATIVA[[#This Row],[QT_CANA_EST]]))</f>
        <v>1808.82</v>
      </c>
      <c r="AC17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1808.82</v>
      </c>
      <c r="AD170" s="1">
        <f>IF(ESTIMATIVA[[#This Row],[QT_AREA_REAL]]&gt;0,ESTIMATIVA[[#This Row],[QT_CANA_REAL]],ESTIMATIVA[[#This Row],[QT_CANA_EST]])</f>
        <v>1532.83</v>
      </c>
      <c r="AE170" s="1">
        <f>IF(ESTIMATIVA[[#This Row],[QT_AREA_REAL]]&gt;0,ESTIMATIVA[[#This Row],[QT_CANA_REAL]],ESTIMATIVA[[#This Row],[QT_CANA_REST1]])</f>
        <v>1532.83</v>
      </c>
      <c r="AF170" s="1">
        <f>IF(ESTIMATIVA[[#This Row],[QT_AREA_REAL]]&gt;0,ESTIMATIVA[[#This Row],[QT_CANA_REAL]],ESTIMATIVA[[#This Row],[QT_CANA_REST2]])</f>
        <v>1532.83</v>
      </c>
      <c r="AG170" s="1" t="str">
        <f>IF(COUNTIFS(GEADA!A:A,VALUE(ESTIMATIVA[[#This Row],[CD_UPNIVEL1]]&amp;TEXT(ESTIMATIVA[[#This Row],[CD_UPNIVEL3]],"0000")))&gt;0,"S","N")</f>
        <v>N</v>
      </c>
      <c r="AH17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0" s="55" t="str">
        <f>IF(ESTIMATIVA[[#This Row],[TP_CULTIVO]]="Irrigado",_xlfn.MAXIFS(IRRIGADO!J:J,IRRIGADO!C:C,ESTIMATIVA[[#This Row],[CD_UPNIVEL1]],IRRIGADO!E:E,ESTIMATIVA[[#This Row],[CD_UPNIVEL3]]),"")</f>
        <v/>
      </c>
      <c r="AJ17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0" s="1">
        <f>COUNTIFS(Apresentação!$E$23:$E$29,ESTIMATIVA[[#This Row],[CD_UPNIVEL1]])</f>
        <v>0</v>
      </c>
    </row>
    <row r="171" spans="1:37" x14ac:dyDescent="0.3">
      <c r="A171">
        <v>20100</v>
      </c>
      <c r="B171" t="s">
        <v>21</v>
      </c>
      <c r="C171">
        <v>18</v>
      </c>
      <c r="D171">
        <v>3</v>
      </c>
      <c r="E171" t="s">
        <v>263</v>
      </c>
      <c r="F171" s="85" t="s">
        <v>333</v>
      </c>
      <c r="G171"/>
      <c r="H171" t="s">
        <v>294</v>
      </c>
      <c r="I171" t="s">
        <v>207</v>
      </c>
      <c r="J171" t="s">
        <v>175</v>
      </c>
      <c r="K171" s="1">
        <v>43.52</v>
      </c>
      <c r="L171" s="1">
        <v>43.52</v>
      </c>
      <c r="M171" s="1">
        <v>43.52</v>
      </c>
      <c r="N171" s="1">
        <v>43.52</v>
      </c>
      <c r="O171" s="1">
        <v>3351.04</v>
      </c>
      <c r="P171" s="1">
        <v>3394.56</v>
      </c>
      <c r="Q171" s="1">
        <v>3394.56</v>
      </c>
      <c r="R171" s="1">
        <v>2877.2</v>
      </c>
      <c r="S171" t="s">
        <v>12</v>
      </c>
      <c r="T171" s="13">
        <v>46005</v>
      </c>
      <c r="U171" s="1" t="str">
        <f>IF(ESTIMATIVA[[#This Row],[QT_AREA_REAL]]&gt;0,"1- Colhido","2- à Colher")</f>
        <v>1- Colhido</v>
      </c>
      <c r="V171" s="1" t="str">
        <f>IF(ESTIMATIVA[[#This Row],[QT_AREA_REST1]]&gt;0,"Reestimativa 1",IF(ESTIMATIVA[[#This Row],[QT_AREA_REAL]]=0,"Reestimativa 1","Realizado"))</f>
        <v>Reestimativa 1</v>
      </c>
      <c r="W171" s="1" t="str">
        <f>IF(ESTIMATIVA[[#This Row],[QT_AREA_REST2]]&gt;0,"Reestimativa 2",IF(ESTIMATIVA[[#This Row],[QT_AREA_REAL]]=0,"Reestimativa 2","Realizado"))</f>
        <v>Reestimativa 2</v>
      </c>
      <c r="X171" s="1">
        <f>ESTIMATIVA[[#This Row],[QT_AREA_EST]]</f>
        <v>43.52</v>
      </c>
      <c r="Y171" s="1">
        <f>IF(ESTIMATIVA[[#This Row],[QT_AREA_REST1]]&gt;0,ESTIMATIVA[[#This Row],[QT_AREA_REST1]],
  IF(ESTIMATIVA[[#This Row],[QT_AREA_REAL]]&gt;0,ESTIMATIVA[[#This Row],[QT_AREA_REAL]],ESTIMATIVA[[#This Row],[QT_AREA_EST]]))</f>
        <v>43.52</v>
      </c>
      <c r="Z17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43.52</v>
      </c>
      <c r="AA171" s="1">
        <f>ESTIMATIVA[[#This Row],[QT_CANA_EST]]</f>
        <v>3351.04</v>
      </c>
      <c r="AB171" s="1">
        <f>IF(ESTIMATIVA[[#This Row],[QT_CANA_REST1]]&gt;0,ESTIMATIVA[[#This Row],[QT_CANA_REST1]],
  IF(ESTIMATIVA[[#This Row],[QT_CANA_REAL]]&gt;0,ESTIMATIVA[[#This Row],[QT_CANA_REAL]],ESTIMATIVA[[#This Row],[QT_CANA_EST]]))</f>
        <v>3394.56</v>
      </c>
      <c r="AC17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3394.56</v>
      </c>
      <c r="AD171" s="1">
        <f>IF(ESTIMATIVA[[#This Row],[QT_AREA_REAL]]&gt;0,ESTIMATIVA[[#This Row],[QT_CANA_REAL]],ESTIMATIVA[[#This Row],[QT_CANA_EST]])</f>
        <v>2877.2</v>
      </c>
      <c r="AE171" s="1">
        <f>IF(ESTIMATIVA[[#This Row],[QT_AREA_REAL]]&gt;0,ESTIMATIVA[[#This Row],[QT_CANA_REAL]],ESTIMATIVA[[#This Row],[QT_CANA_REST1]])</f>
        <v>2877.2</v>
      </c>
      <c r="AF171" s="1">
        <f>IF(ESTIMATIVA[[#This Row],[QT_AREA_REAL]]&gt;0,ESTIMATIVA[[#This Row],[QT_CANA_REAL]],ESTIMATIVA[[#This Row],[QT_CANA_REST2]])</f>
        <v>2877.2</v>
      </c>
      <c r="AG171" s="1" t="str">
        <f>IF(COUNTIFS(GEADA!A:A,VALUE(ESTIMATIVA[[#This Row],[CD_UPNIVEL1]]&amp;TEXT(ESTIMATIVA[[#This Row],[CD_UPNIVEL3]],"0000")))&gt;0,"S","N")</f>
        <v>N</v>
      </c>
      <c r="AH17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1" s="55" t="str">
        <f>IF(ESTIMATIVA[[#This Row],[TP_CULTIVO]]="Irrigado",_xlfn.MAXIFS(IRRIGADO!J:J,IRRIGADO!C:C,ESTIMATIVA[[#This Row],[CD_UPNIVEL1]],IRRIGADO!E:E,ESTIMATIVA[[#This Row],[CD_UPNIVEL3]]),"")</f>
        <v/>
      </c>
      <c r="AJ17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1" s="1">
        <f>COUNTIFS(Apresentação!$E$23:$E$29,ESTIMATIVA[[#This Row],[CD_UPNIVEL1]])</f>
        <v>0</v>
      </c>
    </row>
    <row r="172" spans="1:37" x14ac:dyDescent="0.3">
      <c r="A172">
        <v>20100</v>
      </c>
      <c r="B172" t="s">
        <v>21</v>
      </c>
      <c r="C172">
        <v>19</v>
      </c>
      <c r="D172">
        <v>3</v>
      </c>
      <c r="E172" t="s">
        <v>263</v>
      </c>
      <c r="F172" s="85" t="s">
        <v>332</v>
      </c>
      <c r="G172"/>
      <c r="H172" t="s">
        <v>294</v>
      </c>
      <c r="I172" t="s">
        <v>200</v>
      </c>
      <c r="J172" t="s">
        <v>175</v>
      </c>
      <c r="K172" s="1">
        <v>21.34</v>
      </c>
      <c r="L172" s="1">
        <v>21.34</v>
      </c>
      <c r="M172" s="1">
        <v>21.34</v>
      </c>
      <c r="N172" s="1">
        <v>21.34</v>
      </c>
      <c r="O172" s="1">
        <v>1707.2</v>
      </c>
      <c r="P172" s="1">
        <v>1749.88</v>
      </c>
      <c r="Q172" s="1">
        <v>1749.88</v>
      </c>
      <c r="R172" s="1">
        <v>1690.03</v>
      </c>
      <c r="S172" t="s">
        <v>12</v>
      </c>
      <c r="T172" s="13">
        <v>46005</v>
      </c>
      <c r="U172" s="1" t="str">
        <f>IF(ESTIMATIVA[[#This Row],[QT_AREA_REAL]]&gt;0,"1- Colhido","2- à Colher")</f>
        <v>1- Colhido</v>
      </c>
      <c r="V172" s="1" t="str">
        <f>IF(ESTIMATIVA[[#This Row],[QT_AREA_REST1]]&gt;0,"Reestimativa 1",IF(ESTIMATIVA[[#This Row],[QT_AREA_REAL]]=0,"Reestimativa 1","Realizado"))</f>
        <v>Reestimativa 1</v>
      </c>
      <c r="W172" s="1" t="str">
        <f>IF(ESTIMATIVA[[#This Row],[QT_AREA_REST2]]&gt;0,"Reestimativa 2",IF(ESTIMATIVA[[#This Row],[QT_AREA_REAL]]=0,"Reestimativa 2","Realizado"))</f>
        <v>Reestimativa 2</v>
      </c>
      <c r="X172" s="1">
        <f>ESTIMATIVA[[#This Row],[QT_AREA_EST]]</f>
        <v>21.34</v>
      </c>
      <c r="Y172" s="1">
        <f>IF(ESTIMATIVA[[#This Row],[QT_AREA_REST1]]&gt;0,ESTIMATIVA[[#This Row],[QT_AREA_REST1]],
  IF(ESTIMATIVA[[#This Row],[QT_AREA_REAL]]&gt;0,ESTIMATIVA[[#This Row],[QT_AREA_REAL]],ESTIMATIVA[[#This Row],[QT_AREA_EST]]))</f>
        <v>21.34</v>
      </c>
      <c r="Z17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21.34</v>
      </c>
      <c r="AA172" s="1">
        <f>ESTIMATIVA[[#This Row],[QT_CANA_EST]]</f>
        <v>1707.2</v>
      </c>
      <c r="AB172" s="1">
        <f>IF(ESTIMATIVA[[#This Row],[QT_CANA_REST1]]&gt;0,ESTIMATIVA[[#This Row],[QT_CANA_REST1]],
  IF(ESTIMATIVA[[#This Row],[QT_CANA_REAL]]&gt;0,ESTIMATIVA[[#This Row],[QT_CANA_REAL]],ESTIMATIVA[[#This Row],[QT_CANA_EST]]))</f>
        <v>1749.88</v>
      </c>
      <c r="AC17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1749.88</v>
      </c>
      <c r="AD172" s="1">
        <f>IF(ESTIMATIVA[[#This Row],[QT_AREA_REAL]]&gt;0,ESTIMATIVA[[#This Row],[QT_CANA_REAL]],ESTIMATIVA[[#This Row],[QT_CANA_EST]])</f>
        <v>1690.03</v>
      </c>
      <c r="AE172" s="1">
        <f>IF(ESTIMATIVA[[#This Row],[QT_AREA_REAL]]&gt;0,ESTIMATIVA[[#This Row],[QT_CANA_REAL]],ESTIMATIVA[[#This Row],[QT_CANA_REST1]])</f>
        <v>1690.03</v>
      </c>
      <c r="AF172" s="1">
        <f>IF(ESTIMATIVA[[#This Row],[QT_AREA_REAL]]&gt;0,ESTIMATIVA[[#This Row],[QT_CANA_REAL]],ESTIMATIVA[[#This Row],[QT_CANA_REST2]])</f>
        <v>1690.03</v>
      </c>
      <c r="AG172" s="1" t="str">
        <f>IF(COUNTIFS(GEADA!A:A,VALUE(ESTIMATIVA[[#This Row],[CD_UPNIVEL1]]&amp;TEXT(ESTIMATIVA[[#This Row],[CD_UPNIVEL3]],"0000")))&gt;0,"S","N")</f>
        <v>N</v>
      </c>
      <c r="AH17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2" s="55" t="str">
        <f>IF(ESTIMATIVA[[#This Row],[TP_CULTIVO]]="Irrigado",_xlfn.MAXIFS(IRRIGADO!J:J,IRRIGADO!C:C,ESTIMATIVA[[#This Row],[CD_UPNIVEL1]],IRRIGADO!E:E,ESTIMATIVA[[#This Row],[CD_UPNIVEL3]]),"")</f>
        <v/>
      </c>
      <c r="AJ17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2" s="1">
        <f>COUNTIFS(Apresentação!$E$23:$E$29,ESTIMATIVA[[#This Row],[CD_UPNIVEL1]])</f>
        <v>0</v>
      </c>
    </row>
    <row r="173" spans="1:37" x14ac:dyDescent="0.3">
      <c r="A173">
        <v>20100</v>
      </c>
      <c r="B173" t="s">
        <v>21</v>
      </c>
      <c r="C173">
        <v>34</v>
      </c>
      <c r="D173">
        <v>3</v>
      </c>
      <c r="E173" t="s">
        <v>263</v>
      </c>
      <c r="F173" s="85" t="s">
        <v>331</v>
      </c>
      <c r="G173"/>
      <c r="H173" t="s">
        <v>294</v>
      </c>
      <c r="I173" t="s">
        <v>200</v>
      </c>
      <c r="J173" t="s">
        <v>175</v>
      </c>
      <c r="K173" s="1">
        <v>19.39</v>
      </c>
      <c r="L173" s="1">
        <v>19.39</v>
      </c>
      <c r="M173" s="1">
        <v>19.39</v>
      </c>
      <c r="N173" s="1">
        <v>19.39</v>
      </c>
      <c r="O173" s="1">
        <v>1551.2</v>
      </c>
      <c r="P173" s="1">
        <v>1589.98</v>
      </c>
      <c r="Q173" s="1">
        <v>1589.98</v>
      </c>
      <c r="R173" s="1">
        <v>1535.61</v>
      </c>
      <c r="S173" t="s">
        <v>12</v>
      </c>
      <c r="T173" s="13">
        <v>46005</v>
      </c>
      <c r="U173" s="1" t="str">
        <f>IF(ESTIMATIVA[[#This Row],[QT_AREA_REAL]]&gt;0,"1- Colhido","2- à Colher")</f>
        <v>1- Colhido</v>
      </c>
      <c r="V173" s="1" t="str">
        <f>IF(ESTIMATIVA[[#This Row],[QT_AREA_REST1]]&gt;0,"Reestimativa 1",IF(ESTIMATIVA[[#This Row],[QT_AREA_REAL]]=0,"Reestimativa 1","Realizado"))</f>
        <v>Reestimativa 1</v>
      </c>
      <c r="W173" s="1" t="str">
        <f>IF(ESTIMATIVA[[#This Row],[QT_AREA_REST2]]&gt;0,"Reestimativa 2",IF(ESTIMATIVA[[#This Row],[QT_AREA_REAL]]=0,"Reestimativa 2","Realizado"))</f>
        <v>Reestimativa 2</v>
      </c>
      <c r="X173" s="1">
        <f>ESTIMATIVA[[#This Row],[QT_AREA_EST]]</f>
        <v>19.39</v>
      </c>
      <c r="Y173" s="1">
        <f>IF(ESTIMATIVA[[#This Row],[QT_AREA_REST1]]&gt;0,ESTIMATIVA[[#This Row],[QT_AREA_REST1]],
  IF(ESTIMATIVA[[#This Row],[QT_AREA_REAL]]&gt;0,ESTIMATIVA[[#This Row],[QT_AREA_REAL]],ESTIMATIVA[[#This Row],[QT_AREA_EST]]))</f>
        <v>19.39</v>
      </c>
      <c r="Z17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19.39</v>
      </c>
      <c r="AA173" s="1">
        <f>ESTIMATIVA[[#This Row],[QT_CANA_EST]]</f>
        <v>1551.2</v>
      </c>
      <c r="AB173" s="1">
        <f>IF(ESTIMATIVA[[#This Row],[QT_CANA_REST1]]&gt;0,ESTIMATIVA[[#This Row],[QT_CANA_REST1]],
  IF(ESTIMATIVA[[#This Row],[QT_CANA_REAL]]&gt;0,ESTIMATIVA[[#This Row],[QT_CANA_REAL]],ESTIMATIVA[[#This Row],[QT_CANA_EST]]))</f>
        <v>1589.98</v>
      </c>
      <c r="AC17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1589.98</v>
      </c>
      <c r="AD173" s="1">
        <f>IF(ESTIMATIVA[[#This Row],[QT_AREA_REAL]]&gt;0,ESTIMATIVA[[#This Row],[QT_CANA_REAL]],ESTIMATIVA[[#This Row],[QT_CANA_EST]])</f>
        <v>1535.61</v>
      </c>
      <c r="AE173" s="1">
        <f>IF(ESTIMATIVA[[#This Row],[QT_AREA_REAL]]&gt;0,ESTIMATIVA[[#This Row],[QT_CANA_REAL]],ESTIMATIVA[[#This Row],[QT_CANA_REST1]])</f>
        <v>1535.61</v>
      </c>
      <c r="AF173" s="1">
        <f>IF(ESTIMATIVA[[#This Row],[QT_AREA_REAL]]&gt;0,ESTIMATIVA[[#This Row],[QT_CANA_REAL]],ESTIMATIVA[[#This Row],[QT_CANA_REST2]])</f>
        <v>1535.61</v>
      </c>
      <c r="AG173" s="1" t="str">
        <f>IF(COUNTIFS(GEADA!A:A,VALUE(ESTIMATIVA[[#This Row],[CD_UPNIVEL1]]&amp;TEXT(ESTIMATIVA[[#This Row],[CD_UPNIVEL3]],"0000")))&gt;0,"S","N")</f>
        <v>N</v>
      </c>
      <c r="AH17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3" s="55" t="str">
        <f>IF(ESTIMATIVA[[#This Row],[TP_CULTIVO]]="Irrigado",_xlfn.MAXIFS(IRRIGADO!J:J,IRRIGADO!C:C,ESTIMATIVA[[#This Row],[CD_UPNIVEL1]],IRRIGADO!E:E,ESTIMATIVA[[#This Row],[CD_UPNIVEL3]]),"")</f>
        <v/>
      </c>
      <c r="AJ17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3" s="1">
        <f>COUNTIFS(Apresentação!$E$23:$E$29,ESTIMATIVA[[#This Row],[CD_UPNIVEL1]])</f>
        <v>0</v>
      </c>
    </row>
    <row r="174" spans="1:37" x14ac:dyDescent="0.3">
      <c r="A174">
        <v>20100</v>
      </c>
      <c r="B174" t="s">
        <v>21</v>
      </c>
      <c r="C174">
        <v>35</v>
      </c>
      <c r="D174">
        <v>3</v>
      </c>
      <c r="E174" t="s">
        <v>263</v>
      </c>
      <c r="F174" s="85" t="s">
        <v>331</v>
      </c>
      <c r="G174"/>
      <c r="H174" t="s">
        <v>294</v>
      </c>
      <c r="I174" t="s">
        <v>200</v>
      </c>
      <c r="J174" t="s">
        <v>175</v>
      </c>
      <c r="K174" s="1">
        <v>59.08</v>
      </c>
      <c r="L174" s="1">
        <v>59.08</v>
      </c>
      <c r="M174" s="1">
        <v>59.08</v>
      </c>
      <c r="N174" s="1">
        <v>59.08</v>
      </c>
      <c r="O174" s="1">
        <v>5199.04</v>
      </c>
      <c r="P174" s="1">
        <v>5258.12</v>
      </c>
      <c r="Q174" s="1">
        <v>5258.12</v>
      </c>
      <c r="R174" s="1">
        <v>5426.04</v>
      </c>
      <c r="S174" t="s">
        <v>12</v>
      </c>
      <c r="T174" s="13">
        <v>45991</v>
      </c>
      <c r="U174" s="1" t="str">
        <f>IF(ESTIMATIVA[[#This Row],[QT_AREA_REAL]]&gt;0,"1- Colhido","2- à Colher")</f>
        <v>1- Colhido</v>
      </c>
      <c r="V174" s="1" t="str">
        <f>IF(ESTIMATIVA[[#This Row],[QT_AREA_REST1]]&gt;0,"Reestimativa 1",IF(ESTIMATIVA[[#This Row],[QT_AREA_REAL]]=0,"Reestimativa 1","Realizado"))</f>
        <v>Reestimativa 1</v>
      </c>
      <c r="W174" s="1" t="str">
        <f>IF(ESTIMATIVA[[#This Row],[QT_AREA_REST2]]&gt;0,"Reestimativa 2",IF(ESTIMATIVA[[#This Row],[QT_AREA_REAL]]=0,"Reestimativa 2","Realizado"))</f>
        <v>Reestimativa 2</v>
      </c>
      <c r="X174" s="1">
        <f>ESTIMATIVA[[#This Row],[QT_AREA_EST]]</f>
        <v>59.08</v>
      </c>
      <c r="Y174" s="1">
        <f>IF(ESTIMATIVA[[#This Row],[QT_AREA_REST1]]&gt;0,ESTIMATIVA[[#This Row],[QT_AREA_REST1]],
  IF(ESTIMATIVA[[#This Row],[QT_AREA_REAL]]&gt;0,ESTIMATIVA[[#This Row],[QT_AREA_REAL]],ESTIMATIVA[[#This Row],[QT_AREA_EST]]))</f>
        <v>59.08</v>
      </c>
      <c r="Z17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59.08</v>
      </c>
      <c r="AA174" s="1">
        <f>ESTIMATIVA[[#This Row],[QT_CANA_EST]]</f>
        <v>5199.04</v>
      </c>
      <c r="AB174" s="1">
        <f>IF(ESTIMATIVA[[#This Row],[QT_CANA_REST1]]&gt;0,ESTIMATIVA[[#This Row],[QT_CANA_REST1]],
  IF(ESTIMATIVA[[#This Row],[QT_CANA_REAL]]&gt;0,ESTIMATIVA[[#This Row],[QT_CANA_REAL]],ESTIMATIVA[[#This Row],[QT_CANA_EST]]))</f>
        <v>5258.12</v>
      </c>
      <c r="AC17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5258.12</v>
      </c>
      <c r="AD174" s="1">
        <f>IF(ESTIMATIVA[[#This Row],[QT_AREA_REAL]]&gt;0,ESTIMATIVA[[#This Row],[QT_CANA_REAL]],ESTIMATIVA[[#This Row],[QT_CANA_EST]])</f>
        <v>5426.04</v>
      </c>
      <c r="AE174" s="1">
        <f>IF(ESTIMATIVA[[#This Row],[QT_AREA_REAL]]&gt;0,ESTIMATIVA[[#This Row],[QT_CANA_REAL]],ESTIMATIVA[[#This Row],[QT_CANA_REST1]])</f>
        <v>5426.04</v>
      </c>
      <c r="AF174" s="1">
        <f>IF(ESTIMATIVA[[#This Row],[QT_AREA_REAL]]&gt;0,ESTIMATIVA[[#This Row],[QT_CANA_REAL]],ESTIMATIVA[[#This Row],[QT_CANA_REST2]])</f>
        <v>5426.04</v>
      </c>
      <c r="AG174" s="1" t="str">
        <f>IF(COUNTIFS(GEADA!A:A,VALUE(ESTIMATIVA[[#This Row],[CD_UPNIVEL1]]&amp;TEXT(ESTIMATIVA[[#This Row],[CD_UPNIVEL3]],"0000")))&gt;0,"S","N")</f>
        <v>N</v>
      </c>
      <c r="AH17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4" s="55" t="str">
        <f>IF(ESTIMATIVA[[#This Row],[TP_CULTIVO]]="Irrigado",_xlfn.MAXIFS(IRRIGADO!J:J,IRRIGADO!C:C,ESTIMATIVA[[#This Row],[CD_UPNIVEL1]],IRRIGADO!E:E,ESTIMATIVA[[#This Row],[CD_UPNIVEL3]]),"")</f>
        <v/>
      </c>
      <c r="AJ17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4" s="1">
        <f>COUNTIFS(Apresentação!$E$23:$E$29,ESTIMATIVA[[#This Row],[CD_UPNIVEL1]])</f>
        <v>0</v>
      </c>
    </row>
    <row r="175" spans="1:37" x14ac:dyDescent="0.3">
      <c r="A175">
        <v>20100</v>
      </c>
      <c r="B175" t="s">
        <v>21</v>
      </c>
      <c r="C175">
        <v>36</v>
      </c>
      <c r="D175">
        <v>3</v>
      </c>
      <c r="E175" t="s">
        <v>263</v>
      </c>
      <c r="F175" s="85" t="s">
        <v>331</v>
      </c>
      <c r="G175"/>
      <c r="H175" t="s">
        <v>294</v>
      </c>
      <c r="I175" t="s">
        <v>200</v>
      </c>
      <c r="J175" t="s">
        <v>175</v>
      </c>
      <c r="K175" s="1">
        <v>40.380000000000003</v>
      </c>
      <c r="L175" s="1">
        <v>40.380000000000003</v>
      </c>
      <c r="M175" s="1">
        <v>40.380000000000003</v>
      </c>
      <c r="N175" s="1">
        <v>40.380000000000003</v>
      </c>
      <c r="O175" s="1">
        <v>3553.44</v>
      </c>
      <c r="P175" s="1">
        <v>3593.82</v>
      </c>
      <c r="Q175" s="1">
        <v>3593.82</v>
      </c>
      <c r="R175" s="1">
        <v>3709.08</v>
      </c>
      <c r="S175" t="s">
        <v>12</v>
      </c>
      <c r="T175" s="13">
        <v>45991</v>
      </c>
      <c r="U175" s="1" t="str">
        <f>IF(ESTIMATIVA[[#This Row],[QT_AREA_REAL]]&gt;0,"1- Colhido","2- à Colher")</f>
        <v>1- Colhido</v>
      </c>
      <c r="V175" s="1" t="str">
        <f>IF(ESTIMATIVA[[#This Row],[QT_AREA_REST1]]&gt;0,"Reestimativa 1",IF(ESTIMATIVA[[#This Row],[QT_AREA_REAL]]=0,"Reestimativa 1","Realizado"))</f>
        <v>Reestimativa 1</v>
      </c>
      <c r="W175" s="1" t="str">
        <f>IF(ESTIMATIVA[[#This Row],[QT_AREA_REST2]]&gt;0,"Reestimativa 2",IF(ESTIMATIVA[[#This Row],[QT_AREA_REAL]]=0,"Reestimativa 2","Realizado"))</f>
        <v>Reestimativa 2</v>
      </c>
      <c r="X175" s="1">
        <f>ESTIMATIVA[[#This Row],[QT_AREA_EST]]</f>
        <v>40.380000000000003</v>
      </c>
      <c r="Y175" s="1">
        <f>IF(ESTIMATIVA[[#This Row],[QT_AREA_REST1]]&gt;0,ESTIMATIVA[[#This Row],[QT_AREA_REST1]],
  IF(ESTIMATIVA[[#This Row],[QT_AREA_REAL]]&gt;0,ESTIMATIVA[[#This Row],[QT_AREA_REAL]],ESTIMATIVA[[#This Row],[QT_AREA_EST]]))</f>
        <v>40.380000000000003</v>
      </c>
      <c r="Z17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40.380000000000003</v>
      </c>
      <c r="AA175" s="1">
        <f>ESTIMATIVA[[#This Row],[QT_CANA_EST]]</f>
        <v>3553.44</v>
      </c>
      <c r="AB175" s="1">
        <f>IF(ESTIMATIVA[[#This Row],[QT_CANA_REST1]]&gt;0,ESTIMATIVA[[#This Row],[QT_CANA_REST1]],
  IF(ESTIMATIVA[[#This Row],[QT_CANA_REAL]]&gt;0,ESTIMATIVA[[#This Row],[QT_CANA_REAL]],ESTIMATIVA[[#This Row],[QT_CANA_EST]]))</f>
        <v>3593.82</v>
      </c>
      <c r="AC17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3593.82</v>
      </c>
      <c r="AD175" s="1">
        <f>IF(ESTIMATIVA[[#This Row],[QT_AREA_REAL]]&gt;0,ESTIMATIVA[[#This Row],[QT_CANA_REAL]],ESTIMATIVA[[#This Row],[QT_CANA_EST]])</f>
        <v>3709.08</v>
      </c>
      <c r="AE175" s="1">
        <f>IF(ESTIMATIVA[[#This Row],[QT_AREA_REAL]]&gt;0,ESTIMATIVA[[#This Row],[QT_CANA_REAL]],ESTIMATIVA[[#This Row],[QT_CANA_REST1]])</f>
        <v>3709.08</v>
      </c>
      <c r="AF175" s="1">
        <f>IF(ESTIMATIVA[[#This Row],[QT_AREA_REAL]]&gt;0,ESTIMATIVA[[#This Row],[QT_CANA_REAL]],ESTIMATIVA[[#This Row],[QT_CANA_REST2]])</f>
        <v>3709.08</v>
      </c>
      <c r="AG175" s="1" t="str">
        <f>IF(COUNTIFS(GEADA!A:A,VALUE(ESTIMATIVA[[#This Row],[CD_UPNIVEL1]]&amp;TEXT(ESTIMATIVA[[#This Row],[CD_UPNIVEL3]],"0000")))&gt;0,"S","N")</f>
        <v>N</v>
      </c>
      <c r="AH17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5" s="55" t="str">
        <f>IF(ESTIMATIVA[[#This Row],[TP_CULTIVO]]="Irrigado",_xlfn.MAXIFS(IRRIGADO!J:J,IRRIGADO!C:C,ESTIMATIVA[[#This Row],[CD_UPNIVEL1]],IRRIGADO!E:E,ESTIMATIVA[[#This Row],[CD_UPNIVEL3]]),"")</f>
        <v/>
      </c>
      <c r="AJ17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5" s="1">
        <f>COUNTIFS(Apresentação!$E$23:$E$29,ESTIMATIVA[[#This Row],[CD_UPNIVEL1]])</f>
        <v>0</v>
      </c>
    </row>
    <row r="176" spans="1:37" x14ac:dyDescent="0.3">
      <c r="A176">
        <v>20100</v>
      </c>
      <c r="B176" t="s">
        <v>21</v>
      </c>
      <c r="C176">
        <v>38</v>
      </c>
      <c r="D176">
        <v>3</v>
      </c>
      <c r="E176" t="s">
        <v>263</v>
      </c>
      <c r="F176" s="85" t="s">
        <v>331</v>
      </c>
      <c r="G176"/>
      <c r="H176" t="s">
        <v>294</v>
      </c>
      <c r="I176" t="s">
        <v>207</v>
      </c>
      <c r="J176" t="s">
        <v>175</v>
      </c>
      <c r="K176" s="1">
        <v>40.5</v>
      </c>
      <c r="L176" s="1">
        <v>40.5</v>
      </c>
      <c r="M176" s="1">
        <v>40.5</v>
      </c>
      <c r="N176" s="1">
        <v>40.5</v>
      </c>
      <c r="O176" s="1">
        <v>3240</v>
      </c>
      <c r="P176" s="1">
        <v>3240</v>
      </c>
      <c r="Q176" s="1">
        <v>2916</v>
      </c>
      <c r="R176" s="1">
        <v>2984.92</v>
      </c>
      <c r="S176" t="s">
        <v>12</v>
      </c>
      <c r="T176" s="13">
        <v>45998</v>
      </c>
      <c r="U176" s="1" t="str">
        <f>IF(ESTIMATIVA[[#This Row],[QT_AREA_REAL]]&gt;0,"1- Colhido","2- à Colher")</f>
        <v>1- Colhido</v>
      </c>
      <c r="V176" s="1" t="str">
        <f>IF(ESTIMATIVA[[#This Row],[QT_AREA_REST1]]&gt;0,"Reestimativa 1",IF(ESTIMATIVA[[#This Row],[QT_AREA_REAL]]=0,"Reestimativa 1","Realizado"))</f>
        <v>Reestimativa 1</v>
      </c>
      <c r="W176" s="1" t="str">
        <f>IF(ESTIMATIVA[[#This Row],[QT_AREA_REST2]]&gt;0,"Reestimativa 2",IF(ESTIMATIVA[[#This Row],[QT_AREA_REAL]]=0,"Reestimativa 2","Realizado"))</f>
        <v>Reestimativa 2</v>
      </c>
      <c r="X176" s="1">
        <f>ESTIMATIVA[[#This Row],[QT_AREA_EST]]</f>
        <v>40.5</v>
      </c>
      <c r="Y176" s="1">
        <f>IF(ESTIMATIVA[[#This Row],[QT_AREA_REST1]]&gt;0,ESTIMATIVA[[#This Row],[QT_AREA_REST1]],
  IF(ESTIMATIVA[[#This Row],[QT_AREA_REAL]]&gt;0,ESTIMATIVA[[#This Row],[QT_AREA_REAL]],ESTIMATIVA[[#This Row],[QT_AREA_EST]]))</f>
        <v>40.5</v>
      </c>
      <c r="Z17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40.5</v>
      </c>
      <c r="AA176" s="1">
        <f>ESTIMATIVA[[#This Row],[QT_CANA_EST]]</f>
        <v>3240</v>
      </c>
      <c r="AB176" s="1">
        <f>IF(ESTIMATIVA[[#This Row],[QT_CANA_REST1]]&gt;0,ESTIMATIVA[[#This Row],[QT_CANA_REST1]],
  IF(ESTIMATIVA[[#This Row],[QT_CANA_REAL]]&gt;0,ESTIMATIVA[[#This Row],[QT_CANA_REAL]],ESTIMATIVA[[#This Row],[QT_CANA_EST]]))</f>
        <v>3240</v>
      </c>
      <c r="AC17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2916</v>
      </c>
      <c r="AD176" s="1">
        <f>IF(ESTIMATIVA[[#This Row],[QT_AREA_REAL]]&gt;0,ESTIMATIVA[[#This Row],[QT_CANA_REAL]],ESTIMATIVA[[#This Row],[QT_CANA_EST]])</f>
        <v>2984.92</v>
      </c>
      <c r="AE176" s="1">
        <f>IF(ESTIMATIVA[[#This Row],[QT_AREA_REAL]]&gt;0,ESTIMATIVA[[#This Row],[QT_CANA_REAL]],ESTIMATIVA[[#This Row],[QT_CANA_REST1]])</f>
        <v>2984.92</v>
      </c>
      <c r="AF176" s="1">
        <f>IF(ESTIMATIVA[[#This Row],[QT_AREA_REAL]]&gt;0,ESTIMATIVA[[#This Row],[QT_CANA_REAL]],ESTIMATIVA[[#This Row],[QT_CANA_REST2]])</f>
        <v>2984.92</v>
      </c>
      <c r="AG176" s="1" t="str">
        <f>IF(COUNTIFS(GEADA!A:A,VALUE(ESTIMATIVA[[#This Row],[CD_UPNIVEL1]]&amp;TEXT(ESTIMATIVA[[#This Row],[CD_UPNIVEL3]],"0000")))&gt;0,"S","N")</f>
        <v>N</v>
      </c>
      <c r="AH17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6" s="55" t="str">
        <f>IF(ESTIMATIVA[[#This Row],[TP_CULTIVO]]="Irrigado",_xlfn.MAXIFS(IRRIGADO!J:J,IRRIGADO!C:C,ESTIMATIVA[[#This Row],[CD_UPNIVEL1]],IRRIGADO!E:E,ESTIMATIVA[[#This Row],[CD_UPNIVEL3]]),"")</f>
        <v/>
      </c>
      <c r="AJ17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6" s="1">
        <f>COUNTIFS(Apresentação!$E$23:$E$29,ESTIMATIVA[[#This Row],[CD_UPNIVEL1]])</f>
        <v>0</v>
      </c>
    </row>
    <row r="177" spans="1:37" x14ac:dyDescent="0.3">
      <c r="A177">
        <v>20100</v>
      </c>
      <c r="B177" t="s">
        <v>21</v>
      </c>
      <c r="C177">
        <v>39</v>
      </c>
      <c r="D177">
        <v>3</v>
      </c>
      <c r="E177" t="s">
        <v>263</v>
      </c>
      <c r="F177" s="85" t="s">
        <v>331</v>
      </c>
      <c r="G177"/>
      <c r="H177" t="s">
        <v>294</v>
      </c>
      <c r="I177" t="s">
        <v>207</v>
      </c>
      <c r="J177" t="s">
        <v>175</v>
      </c>
      <c r="K177" s="1">
        <v>46</v>
      </c>
      <c r="L177" s="1">
        <v>46</v>
      </c>
      <c r="M177" s="1">
        <v>46</v>
      </c>
      <c r="N177" s="1">
        <v>46</v>
      </c>
      <c r="O177" s="1">
        <v>3634</v>
      </c>
      <c r="P177" s="1">
        <v>3634</v>
      </c>
      <c r="Q177" s="1">
        <v>3312</v>
      </c>
      <c r="R177" s="1">
        <v>3390.47</v>
      </c>
      <c r="S177" t="s">
        <v>12</v>
      </c>
      <c r="T177" s="13">
        <v>45998</v>
      </c>
      <c r="U177" s="1" t="str">
        <f>IF(ESTIMATIVA[[#This Row],[QT_AREA_REAL]]&gt;0,"1- Colhido","2- à Colher")</f>
        <v>1- Colhido</v>
      </c>
      <c r="V177" s="1" t="str">
        <f>IF(ESTIMATIVA[[#This Row],[QT_AREA_REST1]]&gt;0,"Reestimativa 1",IF(ESTIMATIVA[[#This Row],[QT_AREA_REAL]]=0,"Reestimativa 1","Realizado"))</f>
        <v>Reestimativa 1</v>
      </c>
      <c r="W177" s="1" t="str">
        <f>IF(ESTIMATIVA[[#This Row],[QT_AREA_REST2]]&gt;0,"Reestimativa 2",IF(ESTIMATIVA[[#This Row],[QT_AREA_REAL]]=0,"Reestimativa 2","Realizado"))</f>
        <v>Reestimativa 2</v>
      </c>
      <c r="X177" s="1">
        <f>ESTIMATIVA[[#This Row],[QT_AREA_EST]]</f>
        <v>46</v>
      </c>
      <c r="Y177" s="1">
        <f>IF(ESTIMATIVA[[#This Row],[QT_AREA_REST1]]&gt;0,ESTIMATIVA[[#This Row],[QT_AREA_REST1]],
  IF(ESTIMATIVA[[#This Row],[QT_AREA_REAL]]&gt;0,ESTIMATIVA[[#This Row],[QT_AREA_REAL]],ESTIMATIVA[[#This Row],[QT_AREA_EST]]))</f>
        <v>46</v>
      </c>
      <c r="Z17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46</v>
      </c>
      <c r="AA177" s="1">
        <f>ESTIMATIVA[[#This Row],[QT_CANA_EST]]</f>
        <v>3634</v>
      </c>
      <c r="AB177" s="1">
        <f>IF(ESTIMATIVA[[#This Row],[QT_CANA_REST1]]&gt;0,ESTIMATIVA[[#This Row],[QT_CANA_REST1]],
  IF(ESTIMATIVA[[#This Row],[QT_CANA_REAL]]&gt;0,ESTIMATIVA[[#This Row],[QT_CANA_REAL]],ESTIMATIVA[[#This Row],[QT_CANA_EST]]))</f>
        <v>3634</v>
      </c>
      <c r="AC17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3312</v>
      </c>
      <c r="AD177" s="1">
        <f>IF(ESTIMATIVA[[#This Row],[QT_AREA_REAL]]&gt;0,ESTIMATIVA[[#This Row],[QT_CANA_REAL]],ESTIMATIVA[[#This Row],[QT_CANA_EST]])</f>
        <v>3390.47</v>
      </c>
      <c r="AE177" s="1">
        <f>IF(ESTIMATIVA[[#This Row],[QT_AREA_REAL]]&gt;0,ESTIMATIVA[[#This Row],[QT_CANA_REAL]],ESTIMATIVA[[#This Row],[QT_CANA_REST1]])</f>
        <v>3390.47</v>
      </c>
      <c r="AF177" s="1">
        <f>IF(ESTIMATIVA[[#This Row],[QT_AREA_REAL]]&gt;0,ESTIMATIVA[[#This Row],[QT_CANA_REAL]],ESTIMATIVA[[#This Row],[QT_CANA_REST2]])</f>
        <v>3390.47</v>
      </c>
      <c r="AG177" s="1" t="str">
        <f>IF(COUNTIFS(GEADA!A:A,VALUE(ESTIMATIVA[[#This Row],[CD_UPNIVEL1]]&amp;TEXT(ESTIMATIVA[[#This Row],[CD_UPNIVEL3]],"0000")))&gt;0,"S","N")</f>
        <v>N</v>
      </c>
      <c r="AH17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7" s="55" t="str">
        <f>IF(ESTIMATIVA[[#This Row],[TP_CULTIVO]]="Irrigado",_xlfn.MAXIFS(IRRIGADO!J:J,IRRIGADO!C:C,ESTIMATIVA[[#This Row],[CD_UPNIVEL1]],IRRIGADO!E:E,ESTIMATIVA[[#This Row],[CD_UPNIVEL3]]),"")</f>
        <v/>
      </c>
      <c r="AJ17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7" s="1">
        <f>COUNTIFS(Apresentação!$E$23:$E$29,ESTIMATIVA[[#This Row],[CD_UPNIVEL1]])</f>
        <v>0</v>
      </c>
    </row>
    <row r="178" spans="1:37" x14ac:dyDescent="0.3">
      <c r="A178">
        <v>20100</v>
      </c>
      <c r="B178" t="s">
        <v>21</v>
      </c>
      <c r="C178">
        <v>77</v>
      </c>
      <c r="D178">
        <v>5</v>
      </c>
      <c r="E178" t="s">
        <v>268</v>
      </c>
      <c r="F178" s="85" t="s">
        <v>331</v>
      </c>
      <c r="G178"/>
      <c r="H178" t="s">
        <v>294</v>
      </c>
      <c r="I178" t="s">
        <v>202</v>
      </c>
      <c r="J178" t="s">
        <v>175</v>
      </c>
      <c r="K178" s="1">
        <v>7.83</v>
      </c>
      <c r="L178" s="1">
        <v>7.83</v>
      </c>
      <c r="M178" s="1">
        <v>7.83</v>
      </c>
      <c r="N178" s="1">
        <v>7.83</v>
      </c>
      <c r="O178" s="1">
        <v>469.8</v>
      </c>
      <c r="P178" s="1">
        <v>469.8</v>
      </c>
      <c r="Q178" s="1">
        <v>469.8</v>
      </c>
      <c r="R178" s="1">
        <v>633.08000000000004</v>
      </c>
      <c r="S178" t="s">
        <v>12</v>
      </c>
      <c r="T178" s="13">
        <v>45991</v>
      </c>
      <c r="U178" s="1" t="str">
        <f>IF(ESTIMATIVA[[#This Row],[QT_AREA_REAL]]&gt;0,"1- Colhido","2- à Colher")</f>
        <v>1- Colhido</v>
      </c>
      <c r="V178" s="1" t="str">
        <f>IF(ESTIMATIVA[[#This Row],[QT_AREA_REST1]]&gt;0,"Reestimativa 1",IF(ESTIMATIVA[[#This Row],[QT_AREA_REAL]]=0,"Reestimativa 1","Realizado"))</f>
        <v>Reestimativa 1</v>
      </c>
      <c r="W178" s="1" t="str">
        <f>IF(ESTIMATIVA[[#This Row],[QT_AREA_REST2]]&gt;0,"Reestimativa 2",IF(ESTIMATIVA[[#This Row],[QT_AREA_REAL]]=0,"Reestimativa 2","Realizado"))</f>
        <v>Reestimativa 2</v>
      </c>
      <c r="X178" s="1">
        <f>ESTIMATIVA[[#This Row],[QT_AREA_EST]]</f>
        <v>7.83</v>
      </c>
      <c r="Y178" s="1">
        <f>IF(ESTIMATIVA[[#This Row],[QT_AREA_REST1]]&gt;0,ESTIMATIVA[[#This Row],[QT_AREA_REST1]],
  IF(ESTIMATIVA[[#This Row],[QT_AREA_REAL]]&gt;0,ESTIMATIVA[[#This Row],[QT_AREA_REAL]],ESTIMATIVA[[#This Row],[QT_AREA_EST]]))</f>
        <v>7.83</v>
      </c>
      <c r="Z17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7.83</v>
      </c>
      <c r="AA178" s="1">
        <f>ESTIMATIVA[[#This Row],[QT_CANA_EST]]</f>
        <v>469.8</v>
      </c>
      <c r="AB178" s="1">
        <f>IF(ESTIMATIVA[[#This Row],[QT_CANA_REST1]]&gt;0,ESTIMATIVA[[#This Row],[QT_CANA_REST1]],
  IF(ESTIMATIVA[[#This Row],[QT_CANA_REAL]]&gt;0,ESTIMATIVA[[#This Row],[QT_CANA_REAL]],ESTIMATIVA[[#This Row],[QT_CANA_EST]]))</f>
        <v>469.8</v>
      </c>
      <c r="AC17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469.8</v>
      </c>
      <c r="AD178" s="1">
        <f>IF(ESTIMATIVA[[#This Row],[QT_AREA_REAL]]&gt;0,ESTIMATIVA[[#This Row],[QT_CANA_REAL]],ESTIMATIVA[[#This Row],[QT_CANA_EST]])</f>
        <v>633.08000000000004</v>
      </c>
      <c r="AE178" s="1">
        <f>IF(ESTIMATIVA[[#This Row],[QT_AREA_REAL]]&gt;0,ESTIMATIVA[[#This Row],[QT_CANA_REAL]],ESTIMATIVA[[#This Row],[QT_CANA_REST1]])</f>
        <v>633.08000000000004</v>
      </c>
      <c r="AF178" s="1">
        <f>IF(ESTIMATIVA[[#This Row],[QT_AREA_REAL]]&gt;0,ESTIMATIVA[[#This Row],[QT_CANA_REAL]],ESTIMATIVA[[#This Row],[QT_CANA_REST2]])</f>
        <v>633.08000000000004</v>
      </c>
      <c r="AG178" s="1" t="str">
        <f>IF(COUNTIFS(GEADA!A:A,VALUE(ESTIMATIVA[[#This Row],[CD_UPNIVEL1]]&amp;TEXT(ESTIMATIVA[[#This Row],[CD_UPNIVEL3]],"0000")))&gt;0,"S","N")</f>
        <v>N</v>
      </c>
      <c r="AH17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8" s="55" t="str">
        <f>IF(ESTIMATIVA[[#This Row],[TP_CULTIVO]]="Irrigado",_xlfn.MAXIFS(IRRIGADO!J:J,IRRIGADO!C:C,ESTIMATIVA[[#This Row],[CD_UPNIVEL1]],IRRIGADO!E:E,ESTIMATIVA[[#This Row],[CD_UPNIVEL3]]),"")</f>
        <v/>
      </c>
      <c r="AJ17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8" s="1">
        <f>COUNTIFS(Apresentação!$E$23:$E$29,ESTIMATIVA[[#This Row],[CD_UPNIVEL1]])</f>
        <v>0</v>
      </c>
    </row>
    <row r="179" spans="1:37" x14ac:dyDescent="0.3">
      <c r="A179">
        <v>20101</v>
      </c>
      <c r="B179" t="s">
        <v>124</v>
      </c>
      <c r="C179">
        <v>15</v>
      </c>
      <c r="D179">
        <v>3</v>
      </c>
      <c r="E179" t="s">
        <v>263</v>
      </c>
      <c r="F179" s="85" t="s">
        <v>331</v>
      </c>
      <c r="G179"/>
      <c r="H179" t="s">
        <v>294</v>
      </c>
      <c r="I179" t="s">
        <v>195</v>
      </c>
      <c r="J179" t="s">
        <v>175</v>
      </c>
      <c r="K179" s="1">
        <v>25.77</v>
      </c>
      <c r="L179" s="1">
        <v>25.77</v>
      </c>
      <c r="M179" s="1">
        <v>25.77</v>
      </c>
      <c r="N179" s="1">
        <v>25.77</v>
      </c>
      <c r="O179" s="1">
        <v>1984.29</v>
      </c>
      <c r="P179" s="1">
        <v>2010.06</v>
      </c>
      <c r="Q179" s="1">
        <v>2010.06</v>
      </c>
      <c r="R179" s="1">
        <v>2305.7399999999998</v>
      </c>
      <c r="S179" t="s">
        <v>12</v>
      </c>
      <c r="T179" s="13">
        <v>45998</v>
      </c>
      <c r="U179" s="1" t="str">
        <f>IF(ESTIMATIVA[[#This Row],[QT_AREA_REAL]]&gt;0,"1- Colhido","2- à Colher")</f>
        <v>1- Colhido</v>
      </c>
      <c r="V179" s="1" t="str">
        <f>IF(ESTIMATIVA[[#This Row],[QT_AREA_REST1]]&gt;0,"Reestimativa 1",IF(ESTIMATIVA[[#This Row],[QT_AREA_REAL]]=0,"Reestimativa 1","Realizado"))</f>
        <v>Reestimativa 1</v>
      </c>
      <c r="W179" s="1" t="str">
        <f>IF(ESTIMATIVA[[#This Row],[QT_AREA_REST2]]&gt;0,"Reestimativa 2",IF(ESTIMATIVA[[#This Row],[QT_AREA_REAL]]=0,"Reestimativa 2","Realizado"))</f>
        <v>Reestimativa 2</v>
      </c>
      <c r="X179" s="1">
        <f>ESTIMATIVA[[#This Row],[QT_AREA_EST]]</f>
        <v>25.77</v>
      </c>
      <c r="Y179" s="1">
        <f>IF(ESTIMATIVA[[#This Row],[QT_AREA_REST1]]&gt;0,ESTIMATIVA[[#This Row],[QT_AREA_REST1]],
  IF(ESTIMATIVA[[#This Row],[QT_AREA_REAL]]&gt;0,ESTIMATIVA[[#This Row],[QT_AREA_REAL]],ESTIMATIVA[[#This Row],[QT_AREA_EST]]))</f>
        <v>25.77</v>
      </c>
      <c r="Z17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25.77</v>
      </c>
      <c r="AA179" s="1">
        <f>ESTIMATIVA[[#This Row],[QT_CANA_EST]]</f>
        <v>1984.29</v>
      </c>
      <c r="AB179" s="1">
        <f>IF(ESTIMATIVA[[#This Row],[QT_CANA_REST1]]&gt;0,ESTIMATIVA[[#This Row],[QT_CANA_REST1]],
  IF(ESTIMATIVA[[#This Row],[QT_CANA_REAL]]&gt;0,ESTIMATIVA[[#This Row],[QT_CANA_REAL]],ESTIMATIVA[[#This Row],[QT_CANA_EST]]))</f>
        <v>2010.06</v>
      </c>
      <c r="AC17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2010.06</v>
      </c>
      <c r="AD179" s="1">
        <f>IF(ESTIMATIVA[[#This Row],[QT_AREA_REAL]]&gt;0,ESTIMATIVA[[#This Row],[QT_CANA_REAL]],ESTIMATIVA[[#This Row],[QT_CANA_EST]])</f>
        <v>2305.7399999999998</v>
      </c>
      <c r="AE179" s="1">
        <f>IF(ESTIMATIVA[[#This Row],[QT_AREA_REAL]]&gt;0,ESTIMATIVA[[#This Row],[QT_CANA_REAL]],ESTIMATIVA[[#This Row],[QT_CANA_REST1]])</f>
        <v>2305.7399999999998</v>
      </c>
      <c r="AF179" s="1">
        <f>IF(ESTIMATIVA[[#This Row],[QT_AREA_REAL]]&gt;0,ESTIMATIVA[[#This Row],[QT_CANA_REAL]],ESTIMATIVA[[#This Row],[QT_CANA_REST2]])</f>
        <v>2305.7399999999998</v>
      </c>
      <c r="AG179" s="1" t="str">
        <f>IF(COUNTIFS(GEADA!A:A,VALUE(ESTIMATIVA[[#This Row],[CD_UPNIVEL1]]&amp;TEXT(ESTIMATIVA[[#This Row],[CD_UPNIVEL3]],"0000")))&gt;0,"S","N")</f>
        <v>N</v>
      </c>
      <c r="AH17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9" s="55" t="str">
        <f>IF(ESTIMATIVA[[#This Row],[TP_CULTIVO]]="Irrigado",_xlfn.MAXIFS(IRRIGADO!J:J,IRRIGADO!C:C,ESTIMATIVA[[#This Row],[CD_UPNIVEL1]],IRRIGADO!E:E,ESTIMATIVA[[#This Row],[CD_UPNIVEL3]]),"")</f>
        <v/>
      </c>
      <c r="AJ17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9" s="1">
        <f>COUNTIFS(Apresentação!$E$23:$E$29,ESTIMATIVA[[#This Row],[CD_UPNIVEL1]])</f>
        <v>0</v>
      </c>
    </row>
    <row r="180" spans="1:37" x14ac:dyDescent="0.3">
      <c r="A180">
        <v>20305</v>
      </c>
      <c r="B180" t="s">
        <v>22</v>
      </c>
      <c r="C180">
        <v>1</v>
      </c>
      <c r="D180">
        <v>3</v>
      </c>
      <c r="E180" t="s">
        <v>263</v>
      </c>
      <c r="F180" s="85" t="s">
        <v>332</v>
      </c>
      <c r="G180"/>
      <c r="H180" t="s">
        <v>295</v>
      </c>
      <c r="I180" t="s">
        <v>197</v>
      </c>
      <c r="J180" t="s">
        <v>175</v>
      </c>
      <c r="K180" s="1">
        <v>1.31</v>
      </c>
      <c r="L180" s="1">
        <v>0</v>
      </c>
      <c r="M180" s="1">
        <v>0</v>
      </c>
      <c r="N180" s="1">
        <v>1.31</v>
      </c>
      <c r="O180" s="1">
        <v>113.97</v>
      </c>
      <c r="P180" s="1">
        <v>0</v>
      </c>
      <c r="Q180" s="1">
        <v>0</v>
      </c>
      <c r="R180" s="1">
        <v>89.36</v>
      </c>
      <c r="S180" t="s">
        <v>12</v>
      </c>
      <c r="T180" s="13">
        <v>45823</v>
      </c>
      <c r="U180" s="1" t="str">
        <f>IF(ESTIMATIVA[[#This Row],[QT_AREA_REAL]]&gt;0,"1- Colhido","2- à Colher")</f>
        <v>1- Colhido</v>
      </c>
      <c r="V180" s="1" t="str">
        <f>IF(ESTIMATIVA[[#This Row],[QT_AREA_REST1]]&gt;0,"Reestimativa 1",IF(ESTIMATIVA[[#This Row],[QT_AREA_REAL]]=0,"Reestimativa 1","Realizado"))</f>
        <v>Realizado</v>
      </c>
      <c r="W180" s="1" t="str">
        <f>IF(ESTIMATIVA[[#This Row],[QT_AREA_REST2]]&gt;0,"Reestimativa 2",IF(ESTIMATIVA[[#This Row],[QT_AREA_REAL]]=0,"Reestimativa 2","Realizado"))</f>
        <v>Realizado</v>
      </c>
      <c r="X180" s="1">
        <f>ESTIMATIVA[[#This Row],[QT_AREA_EST]]</f>
        <v>1.31</v>
      </c>
      <c r="Y180" s="1">
        <f>IF(ESTIMATIVA[[#This Row],[QT_AREA_REST1]]&gt;0,ESTIMATIVA[[#This Row],[QT_AREA_REST1]],
  IF(ESTIMATIVA[[#This Row],[QT_AREA_REAL]]&gt;0,ESTIMATIVA[[#This Row],[QT_AREA_REAL]],ESTIMATIVA[[#This Row],[QT_AREA_EST]]))</f>
        <v>1.31</v>
      </c>
      <c r="Z18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1.31</v>
      </c>
      <c r="AA180" s="1">
        <f>ESTIMATIVA[[#This Row],[QT_CANA_EST]]</f>
        <v>113.97</v>
      </c>
      <c r="AB180" s="1">
        <f>IF(ESTIMATIVA[[#This Row],[QT_CANA_REST1]]&gt;0,ESTIMATIVA[[#This Row],[QT_CANA_REST1]],
  IF(ESTIMATIVA[[#This Row],[QT_CANA_REAL]]&gt;0,ESTIMATIVA[[#This Row],[QT_CANA_REAL]],ESTIMATIVA[[#This Row],[QT_CANA_EST]]))</f>
        <v>89.36</v>
      </c>
      <c r="AC18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89.36</v>
      </c>
      <c r="AD180" s="1">
        <f>IF(ESTIMATIVA[[#This Row],[QT_AREA_REAL]]&gt;0,ESTIMATIVA[[#This Row],[QT_CANA_REAL]],ESTIMATIVA[[#This Row],[QT_CANA_EST]])</f>
        <v>89.36</v>
      </c>
      <c r="AE180" s="1">
        <f>IF(ESTIMATIVA[[#This Row],[QT_AREA_REAL]]&gt;0,ESTIMATIVA[[#This Row],[QT_CANA_REAL]],ESTIMATIVA[[#This Row],[QT_CANA_REST1]])</f>
        <v>89.36</v>
      </c>
      <c r="AF180" s="1">
        <f>IF(ESTIMATIVA[[#This Row],[QT_AREA_REAL]]&gt;0,ESTIMATIVA[[#This Row],[QT_CANA_REAL]],ESTIMATIVA[[#This Row],[QT_CANA_REST2]])</f>
        <v>89.36</v>
      </c>
      <c r="AG180" s="1" t="str">
        <f>IF(COUNTIFS(GEADA!A:A,VALUE(ESTIMATIVA[[#This Row],[CD_UPNIVEL1]]&amp;TEXT(ESTIMATIVA[[#This Row],[CD_UPNIVEL3]],"0000")))&gt;0,"S","N")</f>
        <v>N</v>
      </c>
      <c r="AH18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80" s="55" t="str">
        <f>IF(ESTIMATIVA[[#This Row],[TP_CULTIVO]]="Irrigado",_xlfn.MAXIFS(IRRIGADO!J:J,IRRIGADO!C:C,ESTIMATIVA[[#This Row],[CD_UPNIVEL1]],IRRIGADO!E:E,ESTIMATIVA[[#This Row],[CD_UPNIVEL3]]),"")</f>
        <v/>
      </c>
      <c r="AJ18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0" s="1">
        <f>COUNTIFS(Apresentação!$E$23:$E$29,ESTIMATIVA[[#This Row],[CD_UPNIVEL1]])</f>
        <v>0</v>
      </c>
    </row>
    <row r="181" spans="1:37" x14ac:dyDescent="0.3">
      <c r="A181">
        <v>20305</v>
      </c>
      <c r="B181" t="s">
        <v>22</v>
      </c>
      <c r="C181">
        <v>2</v>
      </c>
      <c r="D181">
        <v>3</v>
      </c>
      <c r="E181" t="s">
        <v>263</v>
      </c>
      <c r="F181" s="85" t="s">
        <v>333</v>
      </c>
      <c r="G181"/>
      <c r="H181" t="s">
        <v>295</v>
      </c>
      <c r="I181" t="s">
        <v>197</v>
      </c>
      <c r="J181" t="s">
        <v>175</v>
      </c>
      <c r="K181" s="1">
        <v>4.2699999999999996</v>
      </c>
      <c r="L181" s="1">
        <v>0</v>
      </c>
      <c r="M181" s="1">
        <v>0</v>
      </c>
      <c r="N181" s="1">
        <v>4.2699999999999996</v>
      </c>
      <c r="O181" s="1">
        <v>371.49</v>
      </c>
      <c r="P181" s="1">
        <v>0</v>
      </c>
      <c r="Q181" s="1">
        <v>0</v>
      </c>
      <c r="R181" s="1">
        <v>290.44</v>
      </c>
      <c r="S181" t="s">
        <v>12</v>
      </c>
      <c r="T181" s="13">
        <v>45823</v>
      </c>
      <c r="U181" s="1" t="str">
        <f>IF(ESTIMATIVA[[#This Row],[QT_AREA_REAL]]&gt;0,"1- Colhido","2- à Colher")</f>
        <v>1- Colhido</v>
      </c>
      <c r="V181" s="1" t="str">
        <f>IF(ESTIMATIVA[[#This Row],[QT_AREA_REST1]]&gt;0,"Reestimativa 1",IF(ESTIMATIVA[[#This Row],[QT_AREA_REAL]]=0,"Reestimativa 1","Realizado"))</f>
        <v>Realizado</v>
      </c>
      <c r="W181" s="1" t="str">
        <f>IF(ESTIMATIVA[[#This Row],[QT_AREA_REST2]]&gt;0,"Reestimativa 2",IF(ESTIMATIVA[[#This Row],[QT_AREA_REAL]]=0,"Reestimativa 2","Realizado"))</f>
        <v>Realizado</v>
      </c>
      <c r="X181" s="1">
        <f>ESTIMATIVA[[#This Row],[QT_AREA_EST]]</f>
        <v>4.2699999999999996</v>
      </c>
      <c r="Y181" s="1">
        <f>IF(ESTIMATIVA[[#This Row],[QT_AREA_REST1]]&gt;0,ESTIMATIVA[[#This Row],[QT_AREA_REST1]],
  IF(ESTIMATIVA[[#This Row],[QT_AREA_REAL]]&gt;0,ESTIMATIVA[[#This Row],[QT_AREA_REAL]],ESTIMATIVA[[#This Row],[QT_AREA_EST]]))</f>
        <v>4.2699999999999996</v>
      </c>
      <c r="Z18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4.2699999999999996</v>
      </c>
      <c r="AA181" s="1">
        <f>ESTIMATIVA[[#This Row],[QT_CANA_EST]]</f>
        <v>371.49</v>
      </c>
      <c r="AB181" s="1">
        <f>IF(ESTIMATIVA[[#This Row],[QT_CANA_REST1]]&gt;0,ESTIMATIVA[[#This Row],[QT_CANA_REST1]],
  IF(ESTIMATIVA[[#This Row],[QT_CANA_REAL]]&gt;0,ESTIMATIVA[[#This Row],[QT_CANA_REAL]],ESTIMATIVA[[#This Row],[QT_CANA_EST]]))</f>
        <v>290.44</v>
      </c>
      <c r="AC18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290.44</v>
      </c>
      <c r="AD181" s="1">
        <f>IF(ESTIMATIVA[[#This Row],[QT_AREA_REAL]]&gt;0,ESTIMATIVA[[#This Row],[QT_CANA_REAL]],ESTIMATIVA[[#This Row],[QT_CANA_EST]])</f>
        <v>290.44</v>
      </c>
      <c r="AE181" s="1">
        <f>IF(ESTIMATIVA[[#This Row],[QT_AREA_REAL]]&gt;0,ESTIMATIVA[[#This Row],[QT_CANA_REAL]],ESTIMATIVA[[#This Row],[QT_CANA_REST1]])</f>
        <v>290.44</v>
      </c>
      <c r="AF181" s="1">
        <f>IF(ESTIMATIVA[[#This Row],[QT_AREA_REAL]]&gt;0,ESTIMATIVA[[#This Row],[QT_CANA_REAL]],ESTIMATIVA[[#This Row],[QT_CANA_REST2]])</f>
        <v>290.44</v>
      </c>
      <c r="AG181" s="1" t="str">
        <f>IF(COUNTIFS(GEADA!A:A,VALUE(ESTIMATIVA[[#This Row],[CD_UPNIVEL1]]&amp;TEXT(ESTIMATIVA[[#This Row],[CD_UPNIVEL3]],"0000")))&gt;0,"S","N")</f>
        <v>N</v>
      </c>
      <c r="AH18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81" s="55" t="str">
        <f>IF(ESTIMATIVA[[#This Row],[TP_CULTIVO]]="Irrigado",_xlfn.MAXIFS(IRRIGADO!J:J,IRRIGADO!C:C,ESTIMATIVA[[#This Row],[CD_UPNIVEL1]],IRRIGADO!E:E,ESTIMATIVA[[#This Row],[CD_UPNIVEL3]]),"")</f>
        <v/>
      </c>
      <c r="AJ18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1" s="1">
        <f>COUNTIFS(Apresentação!$E$23:$E$29,ESTIMATIVA[[#This Row],[CD_UPNIVEL1]])</f>
        <v>0</v>
      </c>
    </row>
    <row r="182" spans="1:37" x14ac:dyDescent="0.3">
      <c r="A182">
        <v>20305</v>
      </c>
      <c r="B182" t="s">
        <v>22</v>
      </c>
      <c r="C182">
        <v>3</v>
      </c>
      <c r="D182">
        <v>3</v>
      </c>
      <c r="E182" t="s">
        <v>263</v>
      </c>
      <c r="F182" s="85" t="s">
        <v>333</v>
      </c>
      <c r="G182"/>
      <c r="H182" t="s">
        <v>295</v>
      </c>
      <c r="I182" t="s">
        <v>197</v>
      </c>
      <c r="J182" t="s">
        <v>175</v>
      </c>
      <c r="K182" s="1">
        <v>9.7200000000000006</v>
      </c>
      <c r="L182" s="1">
        <v>0</v>
      </c>
      <c r="M182" s="1">
        <v>0</v>
      </c>
      <c r="N182" s="1">
        <v>9.7200000000000006</v>
      </c>
      <c r="O182" s="1">
        <v>845.64</v>
      </c>
      <c r="P182" s="1">
        <v>0</v>
      </c>
      <c r="Q182" s="1">
        <v>0</v>
      </c>
      <c r="R182" s="1">
        <v>662.61</v>
      </c>
      <c r="S182" t="s">
        <v>12</v>
      </c>
      <c r="T182" s="13">
        <v>45823</v>
      </c>
      <c r="U182" s="1" t="str">
        <f>IF(ESTIMATIVA[[#This Row],[QT_AREA_REAL]]&gt;0,"1- Colhido","2- à Colher")</f>
        <v>1- Colhido</v>
      </c>
      <c r="V182" s="1" t="str">
        <f>IF(ESTIMATIVA[[#This Row],[QT_AREA_REST1]]&gt;0,"Reestimativa 1",IF(ESTIMATIVA[[#This Row],[QT_AREA_REAL]]=0,"Reestimativa 1","Realizado"))</f>
        <v>Realizado</v>
      </c>
      <c r="W182" s="1" t="str">
        <f>IF(ESTIMATIVA[[#This Row],[QT_AREA_REST2]]&gt;0,"Reestimativa 2",IF(ESTIMATIVA[[#This Row],[QT_AREA_REAL]]=0,"Reestimativa 2","Realizado"))</f>
        <v>Realizado</v>
      </c>
      <c r="X182" s="1">
        <f>ESTIMATIVA[[#This Row],[QT_AREA_EST]]</f>
        <v>9.7200000000000006</v>
      </c>
      <c r="Y182" s="1">
        <f>IF(ESTIMATIVA[[#This Row],[QT_AREA_REST1]]&gt;0,ESTIMATIVA[[#This Row],[QT_AREA_REST1]],
  IF(ESTIMATIVA[[#This Row],[QT_AREA_REAL]]&gt;0,ESTIMATIVA[[#This Row],[QT_AREA_REAL]],ESTIMATIVA[[#This Row],[QT_AREA_EST]]))</f>
        <v>9.7200000000000006</v>
      </c>
      <c r="Z18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9.7200000000000006</v>
      </c>
      <c r="AA182" s="1">
        <f>ESTIMATIVA[[#This Row],[QT_CANA_EST]]</f>
        <v>845.64</v>
      </c>
      <c r="AB182" s="1">
        <f>IF(ESTIMATIVA[[#This Row],[QT_CANA_REST1]]&gt;0,ESTIMATIVA[[#This Row],[QT_CANA_REST1]],
  IF(ESTIMATIVA[[#This Row],[QT_CANA_REAL]]&gt;0,ESTIMATIVA[[#This Row],[QT_CANA_REAL]],ESTIMATIVA[[#This Row],[QT_CANA_EST]]))</f>
        <v>662.61</v>
      </c>
      <c r="AC18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662.61</v>
      </c>
      <c r="AD182" s="1">
        <f>IF(ESTIMATIVA[[#This Row],[QT_AREA_REAL]]&gt;0,ESTIMATIVA[[#This Row],[QT_CANA_REAL]],ESTIMATIVA[[#This Row],[QT_CANA_EST]])</f>
        <v>662.61</v>
      </c>
      <c r="AE182" s="1">
        <f>IF(ESTIMATIVA[[#This Row],[QT_AREA_REAL]]&gt;0,ESTIMATIVA[[#This Row],[QT_CANA_REAL]],ESTIMATIVA[[#This Row],[QT_CANA_REST1]])</f>
        <v>662.61</v>
      </c>
      <c r="AF182" s="1">
        <f>IF(ESTIMATIVA[[#This Row],[QT_AREA_REAL]]&gt;0,ESTIMATIVA[[#This Row],[QT_CANA_REAL]],ESTIMATIVA[[#This Row],[QT_CANA_REST2]])</f>
        <v>662.61</v>
      </c>
      <c r="AG182" s="1" t="str">
        <f>IF(COUNTIFS(GEADA!A:A,VALUE(ESTIMATIVA[[#This Row],[CD_UPNIVEL1]]&amp;TEXT(ESTIMATIVA[[#This Row],[CD_UPNIVEL3]],"0000")))&gt;0,"S","N")</f>
        <v>N</v>
      </c>
      <c r="AH18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82" s="55" t="str">
        <f>IF(ESTIMATIVA[[#This Row],[TP_CULTIVO]]="Irrigado",_xlfn.MAXIFS(IRRIGADO!J:J,IRRIGADO!C:C,ESTIMATIVA[[#This Row],[CD_UPNIVEL1]],IRRIGADO!E:E,ESTIMATIVA[[#This Row],[CD_UPNIVEL3]]),"")</f>
        <v/>
      </c>
      <c r="AJ18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2" s="1">
        <f>COUNTIFS(Apresentação!$E$23:$E$29,ESTIMATIVA[[#This Row],[CD_UPNIVEL1]])</f>
        <v>0</v>
      </c>
    </row>
    <row r="183" spans="1:37" x14ac:dyDescent="0.3">
      <c r="A183">
        <v>20305</v>
      </c>
      <c r="B183" t="s">
        <v>22</v>
      </c>
      <c r="C183">
        <v>4</v>
      </c>
      <c r="D183">
        <v>3</v>
      </c>
      <c r="E183" t="s">
        <v>263</v>
      </c>
      <c r="F183" s="85" t="s">
        <v>332</v>
      </c>
      <c r="G183"/>
      <c r="H183" t="s">
        <v>295</v>
      </c>
      <c r="I183" t="s">
        <v>197</v>
      </c>
      <c r="J183" t="s">
        <v>175</v>
      </c>
      <c r="K183" s="1">
        <v>13.25</v>
      </c>
      <c r="L183" s="1">
        <v>0</v>
      </c>
      <c r="M183" s="1">
        <v>0</v>
      </c>
      <c r="N183" s="1">
        <v>13.25</v>
      </c>
      <c r="O183" s="1">
        <v>1152.75</v>
      </c>
      <c r="P183" s="1">
        <v>0</v>
      </c>
      <c r="Q183" s="1">
        <v>0</v>
      </c>
      <c r="R183" s="1">
        <v>903.23</v>
      </c>
      <c r="S183" t="s">
        <v>12</v>
      </c>
      <c r="T183" s="13">
        <v>45823</v>
      </c>
      <c r="U183" s="1" t="str">
        <f>IF(ESTIMATIVA[[#This Row],[QT_AREA_REAL]]&gt;0,"1- Colhido","2- à Colher")</f>
        <v>1- Colhido</v>
      </c>
      <c r="V183" s="1" t="str">
        <f>IF(ESTIMATIVA[[#This Row],[QT_AREA_REST1]]&gt;0,"Reestimativa 1",IF(ESTIMATIVA[[#This Row],[QT_AREA_REAL]]=0,"Reestimativa 1","Realizado"))</f>
        <v>Realizado</v>
      </c>
      <c r="W183" s="1" t="str">
        <f>IF(ESTIMATIVA[[#This Row],[QT_AREA_REST2]]&gt;0,"Reestimativa 2",IF(ESTIMATIVA[[#This Row],[QT_AREA_REAL]]=0,"Reestimativa 2","Realizado"))</f>
        <v>Realizado</v>
      </c>
      <c r="X183" s="1">
        <f>ESTIMATIVA[[#This Row],[QT_AREA_EST]]</f>
        <v>13.25</v>
      </c>
      <c r="Y183" s="1">
        <f>IF(ESTIMATIVA[[#This Row],[QT_AREA_REST1]]&gt;0,ESTIMATIVA[[#This Row],[QT_AREA_REST1]],
  IF(ESTIMATIVA[[#This Row],[QT_AREA_REAL]]&gt;0,ESTIMATIVA[[#This Row],[QT_AREA_REAL]],ESTIMATIVA[[#This Row],[QT_AREA_EST]]))</f>
        <v>13.25</v>
      </c>
      <c r="Z18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13.25</v>
      </c>
      <c r="AA183" s="1">
        <f>ESTIMATIVA[[#This Row],[QT_CANA_EST]]</f>
        <v>1152.75</v>
      </c>
      <c r="AB183" s="1">
        <f>IF(ESTIMATIVA[[#This Row],[QT_CANA_REST1]]&gt;0,ESTIMATIVA[[#This Row],[QT_CANA_REST1]],
  IF(ESTIMATIVA[[#This Row],[QT_CANA_REAL]]&gt;0,ESTIMATIVA[[#This Row],[QT_CANA_REAL]],ESTIMATIVA[[#This Row],[QT_CANA_EST]]))</f>
        <v>903.23</v>
      </c>
      <c r="AC18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903.23</v>
      </c>
      <c r="AD183" s="1">
        <f>IF(ESTIMATIVA[[#This Row],[QT_AREA_REAL]]&gt;0,ESTIMATIVA[[#This Row],[QT_CANA_REAL]],ESTIMATIVA[[#This Row],[QT_CANA_EST]])</f>
        <v>903.23</v>
      </c>
      <c r="AE183" s="1">
        <f>IF(ESTIMATIVA[[#This Row],[QT_AREA_REAL]]&gt;0,ESTIMATIVA[[#This Row],[QT_CANA_REAL]],ESTIMATIVA[[#This Row],[QT_CANA_REST1]])</f>
        <v>903.23</v>
      </c>
      <c r="AF183" s="1">
        <f>IF(ESTIMATIVA[[#This Row],[QT_AREA_REAL]]&gt;0,ESTIMATIVA[[#This Row],[QT_CANA_REAL]],ESTIMATIVA[[#This Row],[QT_CANA_REST2]])</f>
        <v>903.23</v>
      </c>
      <c r="AG183" s="1" t="str">
        <f>IF(COUNTIFS(GEADA!A:A,VALUE(ESTIMATIVA[[#This Row],[CD_UPNIVEL1]]&amp;TEXT(ESTIMATIVA[[#This Row],[CD_UPNIVEL3]],"0000")))&gt;0,"S","N")</f>
        <v>N</v>
      </c>
      <c r="AH18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83" s="55" t="str">
        <f>IF(ESTIMATIVA[[#This Row],[TP_CULTIVO]]="Irrigado",_xlfn.MAXIFS(IRRIGADO!J:J,IRRIGADO!C:C,ESTIMATIVA[[#This Row],[CD_UPNIVEL1]],IRRIGADO!E:E,ESTIMATIVA[[#This Row],[CD_UPNIVEL3]]),"")</f>
        <v/>
      </c>
      <c r="AJ18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3" s="1">
        <f>COUNTIFS(Apresentação!$E$23:$E$29,ESTIMATIVA[[#This Row],[CD_UPNIVEL1]])</f>
        <v>0</v>
      </c>
    </row>
    <row r="184" spans="1:37" x14ac:dyDescent="0.3">
      <c r="A184">
        <v>20305</v>
      </c>
      <c r="B184" t="s">
        <v>22</v>
      </c>
      <c r="C184">
        <v>5</v>
      </c>
      <c r="D184">
        <v>3</v>
      </c>
      <c r="E184" t="s">
        <v>263</v>
      </c>
      <c r="F184" s="85" t="s">
        <v>332</v>
      </c>
      <c r="G184"/>
      <c r="H184" t="s">
        <v>295</v>
      </c>
      <c r="I184" t="s">
        <v>197</v>
      </c>
      <c r="J184" t="s">
        <v>175</v>
      </c>
      <c r="K184" s="1">
        <v>7.47</v>
      </c>
      <c r="L184" s="1">
        <v>0</v>
      </c>
      <c r="M184" s="1">
        <v>0</v>
      </c>
      <c r="N184" s="1">
        <v>7.47</v>
      </c>
      <c r="O184" s="1">
        <v>649.89</v>
      </c>
      <c r="P184" s="1">
        <v>0</v>
      </c>
      <c r="Q184" s="1">
        <v>0</v>
      </c>
      <c r="R184" s="1">
        <v>509.09</v>
      </c>
      <c r="S184" t="s">
        <v>12</v>
      </c>
      <c r="T184" s="13">
        <v>45823</v>
      </c>
      <c r="U184" s="1" t="str">
        <f>IF(ESTIMATIVA[[#This Row],[QT_AREA_REAL]]&gt;0,"1- Colhido","2- à Colher")</f>
        <v>1- Colhido</v>
      </c>
      <c r="V184" s="1" t="str">
        <f>IF(ESTIMATIVA[[#This Row],[QT_AREA_REST1]]&gt;0,"Reestimativa 1",IF(ESTIMATIVA[[#This Row],[QT_AREA_REAL]]=0,"Reestimativa 1","Realizado"))</f>
        <v>Realizado</v>
      </c>
      <c r="W184" s="1" t="str">
        <f>IF(ESTIMATIVA[[#This Row],[QT_AREA_REST2]]&gt;0,"Reestimativa 2",IF(ESTIMATIVA[[#This Row],[QT_AREA_REAL]]=0,"Reestimativa 2","Realizado"))</f>
        <v>Realizado</v>
      </c>
      <c r="X184" s="1">
        <f>ESTIMATIVA[[#This Row],[QT_AREA_EST]]</f>
        <v>7.47</v>
      </c>
      <c r="Y184" s="1">
        <f>IF(ESTIMATIVA[[#This Row],[QT_AREA_REST1]]&gt;0,ESTIMATIVA[[#This Row],[QT_AREA_REST1]],
  IF(ESTIMATIVA[[#This Row],[QT_AREA_REAL]]&gt;0,ESTIMATIVA[[#This Row],[QT_AREA_REAL]],ESTIMATIVA[[#This Row],[QT_AREA_EST]]))</f>
        <v>7.47</v>
      </c>
      <c r="Z18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7.47</v>
      </c>
      <c r="AA184" s="1">
        <f>ESTIMATIVA[[#This Row],[QT_CANA_EST]]</f>
        <v>649.89</v>
      </c>
      <c r="AB184" s="1">
        <f>IF(ESTIMATIVA[[#This Row],[QT_CANA_REST1]]&gt;0,ESTIMATIVA[[#This Row],[QT_CANA_REST1]],
  IF(ESTIMATIVA[[#This Row],[QT_CANA_REAL]]&gt;0,ESTIMATIVA[[#This Row],[QT_CANA_REAL]],ESTIMATIVA[[#This Row],[QT_CANA_EST]]))</f>
        <v>509.09</v>
      </c>
      <c r="AC18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509.09</v>
      </c>
      <c r="AD184" s="1">
        <f>IF(ESTIMATIVA[[#This Row],[QT_AREA_REAL]]&gt;0,ESTIMATIVA[[#This Row],[QT_CANA_REAL]],ESTIMATIVA[[#This Row],[QT_CANA_EST]])</f>
        <v>509.09</v>
      </c>
      <c r="AE184" s="1">
        <f>IF(ESTIMATIVA[[#This Row],[QT_AREA_REAL]]&gt;0,ESTIMATIVA[[#This Row],[QT_CANA_REAL]],ESTIMATIVA[[#This Row],[QT_CANA_REST1]])</f>
        <v>509.09</v>
      </c>
      <c r="AF184" s="1">
        <f>IF(ESTIMATIVA[[#This Row],[QT_AREA_REAL]]&gt;0,ESTIMATIVA[[#This Row],[QT_CANA_REAL]],ESTIMATIVA[[#This Row],[QT_CANA_REST2]])</f>
        <v>509.09</v>
      </c>
      <c r="AG184" s="1" t="str">
        <f>IF(COUNTIFS(GEADA!A:A,VALUE(ESTIMATIVA[[#This Row],[CD_UPNIVEL1]]&amp;TEXT(ESTIMATIVA[[#This Row],[CD_UPNIVEL3]],"0000")))&gt;0,"S","N")</f>
        <v>N</v>
      </c>
      <c r="AH18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84" s="55" t="str">
        <f>IF(ESTIMATIVA[[#This Row],[TP_CULTIVO]]="Irrigado",_xlfn.MAXIFS(IRRIGADO!J:J,IRRIGADO!C:C,ESTIMATIVA[[#This Row],[CD_UPNIVEL1]],IRRIGADO!E:E,ESTIMATIVA[[#This Row],[CD_UPNIVEL3]]),"")</f>
        <v/>
      </c>
      <c r="AJ18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4" s="1">
        <f>COUNTIFS(Apresentação!$E$23:$E$29,ESTIMATIVA[[#This Row],[CD_UPNIVEL1]])</f>
        <v>0</v>
      </c>
    </row>
    <row r="185" spans="1:37" x14ac:dyDescent="0.3">
      <c r="A185">
        <v>20305</v>
      </c>
      <c r="B185" t="s">
        <v>22</v>
      </c>
      <c r="C185">
        <v>9</v>
      </c>
      <c r="D185">
        <v>6</v>
      </c>
      <c r="E185" t="s">
        <v>261</v>
      </c>
      <c r="F185" s="85" t="s">
        <v>332</v>
      </c>
      <c r="G185"/>
      <c r="H185" t="s">
        <v>295</v>
      </c>
      <c r="I185" t="s">
        <v>202</v>
      </c>
      <c r="J185" t="s">
        <v>175</v>
      </c>
      <c r="K185" s="1">
        <v>3.17</v>
      </c>
      <c r="L185" s="1">
        <v>0</v>
      </c>
      <c r="M185" s="1">
        <v>0</v>
      </c>
      <c r="N185" s="1">
        <v>3.17</v>
      </c>
      <c r="O185" s="1">
        <v>126.8</v>
      </c>
      <c r="P185" s="1">
        <v>0</v>
      </c>
      <c r="Q185" s="1">
        <v>0</v>
      </c>
      <c r="R185" s="1">
        <v>98.8</v>
      </c>
      <c r="S185" t="s">
        <v>12</v>
      </c>
      <c r="T185" s="13">
        <v>45823</v>
      </c>
      <c r="U185" s="1" t="str">
        <f>IF(ESTIMATIVA[[#This Row],[QT_AREA_REAL]]&gt;0,"1- Colhido","2- à Colher")</f>
        <v>1- Colhido</v>
      </c>
      <c r="V185" s="1" t="str">
        <f>IF(ESTIMATIVA[[#This Row],[QT_AREA_REST1]]&gt;0,"Reestimativa 1",IF(ESTIMATIVA[[#This Row],[QT_AREA_REAL]]=0,"Reestimativa 1","Realizado"))</f>
        <v>Realizado</v>
      </c>
      <c r="W185" s="1" t="str">
        <f>IF(ESTIMATIVA[[#This Row],[QT_AREA_REST2]]&gt;0,"Reestimativa 2",IF(ESTIMATIVA[[#This Row],[QT_AREA_REAL]]=0,"Reestimativa 2","Realizado"))</f>
        <v>Realizado</v>
      </c>
      <c r="X185" s="1">
        <f>ESTIMATIVA[[#This Row],[QT_AREA_EST]]</f>
        <v>3.17</v>
      </c>
      <c r="Y185" s="1">
        <f>IF(ESTIMATIVA[[#This Row],[QT_AREA_REST1]]&gt;0,ESTIMATIVA[[#This Row],[QT_AREA_REST1]],
  IF(ESTIMATIVA[[#This Row],[QT_AREA_REAL]]&gt;0,ESTIMATIVA[[#This Row],[QT_AREA_REAL]],ESTIMATIVA[[#This Row],[QT_AREA_EST]]))</f>
        <v>3.17</v>
      </c>
      <c r="Z18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3.17</v>
      </c>
      <c r="AA185" s="1">
        <f>ESTIMATIVA[[#This Row],[QT_CANA_EST]]</f>
        <v>126.8</v>
      </c>
      <c r="AB185" s="1">
        <f>IF(ESTIMATIVA[[#This Row],[QT_CANA_REST1]]&gt;0,ESTIMATIVA[[#This Row],[QT_CANA_REST1]],
  IF(ESTIMATIVA[[#This Row],[QT_CANA_REAL]]&gt;0,ESTIMATIVA[[#This Row],[QT_CANA_REAL]],ESTIMATIVA[[#This Row],[QT_CANA_EST]]))</f>
        <v>98.8</v>
      </c>
      <c r="AC18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98.8</v>
      </c>
      <c r="AD185" s="1">
        <f>IF(ESTIMATIVA[[#This Row],[QT_AREA_REAL]]&gt;0,ESTIMATIVA[[#This Row],[QT_CANA_REAL]],ESTIMATIVA[[#This Row],[QT_CANA_EST]])</f>
        <v>98.8</v>
      </c>
      <c r="AE185" s="1">
        <f>IF(ESTIMATIVA[[#This Row],[QT_AREA_REAL]]&gt;0,ESTIMATIVA[[#This Row],[QT_CANA_REAL]],ESTIMATIVA[[#This Row],[QT_CANA_REST1]])</f>
        <v>98.8</v>
      </c>
      <c r="AF185" s="1">
        <f>IF(ESTIMATIVA[[#This Row],[QT_AREA_REAL]]&gt;0,ESTIMATIVA[[#This Row],[QT_CANA_REAL]],ESTIMATIVA[[#This Row],[QT_CANA_REST2]])</f>
        <v>98.8</v>
      </c>
      <c r="AG185" s="1" t="str">
        <f>IF(COUNTIFS(GEADA!A:A,VALUE(ESTIMATIVA[[#This Row],[CD_UPNIVEL1]]&amp;TEXT(ESTIMATIVA[[#This Row],[CD_UPNIVEL3]],"0000")))&gt;0,"S","N")</f>
        <v>N</v>
      </c>
      <c r="AH18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85" s="55" t="str">
        <f>IF(ESTIMATIVA[[#This Row],[TP_CULTIVO]]="Irrigado",_xlfn.MAXIFS(IRRIGADO!J:J,IRRIGADO!C:C,ESTIMATIVA[[#This Row],[CD_UPNIVEL1]],IRRIGADO!E:E,ESTIMATIVA[[#This Row],[CD_UPNIVEL3]]),"")</f>
        <v/>
      </c>
      <c r="AJ18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5" s="1">
        <f>COUNTIFS(Apresentação!$E$23:$E$29,ESTIMATIVA[[#This Row],[CD_UPNIVEL1]])</f>
        <v>0</v>
      </c>
    </row>
    <row r="186" spans="1:37" x14ac:dyDescent="0.3">
      <c r="A186">
        <v>20305</v>
      </c>
      <c r="B186" t="s">
        <v>22</v>
      </c>
      <c r="C186">
        <v>48</v>
      </c>
      <c r="D186">
        <v>4</v>
      </c>
      <c r="E186" t="s">
        <v>265</v>
      </c>
      <c r="F186" s="85" t="s">
        <v>333</v>
      </c>
      <c r="G186"/>
      <c r="H186" t="s">
        <v>295</v>
      </c>
      <c r="I186" t="s">
        <v>208</v>
      </c>
      <c r="J186" t="s">
        <v>175</v>
      </c>
      <c r="K186" s="1">
        <v>9.51</v>
      </c>
      <c r="L186" s="1">
        <v>0</v>
      </c>
      <c r="M186" s="1">
        <v>0</v>
      </c>
      <c r="N186" s="1">
        <v>9.51</v>
      </c>
      <c r="O186" s="1">
        <v>646.67999999999995</v>
      </c>
      <c r="P186" s="1">
        <v>0</v>
      </c>
      <c r="Q186" s="1">
        <v>0</v>
      </c>
      <c r="R186" s="1">
        <v>729.45</v>
      </c>
      <c r="S186" t="s">
        <v>12</v>
      </c>
      <c r="T186" s="13">
        <v>45844</v>
      </c>
      <c r="U186" s="1" t="str">
        <f>IF(ESTIMATIVA[[#This Row],[QT_AREA_REAL]]&gt;0,"1- Colhido","2- à Colher")</f>
        <v>1- Colhido</v>
      </c>
      <c r="V186" s="1" t="str">
        <f>IF(ESTIMATIVA[[#This Row],[QT_AREA_REST1]]&gt;0,"Reestimativa 1",IF(ESTIMATIVA[[#This Row],[QT_AREA_REAL]]=0,"Reestimativa 1","Realizado"))</f>
        <v>Realizado</v>
      </c>
      <c r="W186" s="1" t="str">
        <f>IF(ESTIMATIVA[[#This Row],[QT_AREA_REST2]]&gt;0,"Reestimativa 2",IF(ESTIMATIVA[[#This Row],[QT_AREA_REAL]]=0,"Reestimativa 2","Realizado"))</f>
        <v>Realizado</v>
      </c>
      <c r="X186" s="1">
        <f>ESTIMATIVA[[#This Row],[QT_AREA_EST]]</f>
        <v>9.51</v>
      </c>
      <c r="Y186" s="1">
        <f>IF(ESTIMATIVA[[#This Row],[QT_AREA_REST1]]&gt;0,ESTIMATIVA[[#This Row],[QT_AREA_REST1]],
  IF(ESTIMATIVA[[#This Row],[QT_AREA_REAL]]&gt;0,ESTIMATIVA[[#This Row],[QT_AREA_REAL]],ESTIMATIVA[[#This Row],[QT_AREA_EST]]))</f>
        <v>9.51</v>
      </c>
      <c r="Z18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9.51</v>
      </c>
      <c r="AA186" s="1">
        <f>ESTIMATIVA[[#This Row],[QT_CANA_EST]]</f>
        <v>646.67999999999995</v>
      </c>
      <c r="AB186" s="1">
        <f>IF(ESTIMATIVA[[#This Row],[QT_CANA_REST1]]&gt;0,ESTIMATIVA[[#This Row],[QT_CANA_REST1]],
  IF(ESTIMATIVA[[#This Row],[QT_CANA_REAL]]&gt;0,ESTIMATIVA[[#This Row],[QT_CANA_REAL]],ESTIMATIVA[[#This Row],[QT_CANA_EST]]))</f>
        <v>729.45</v>
      </c>
      <c r="AC18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729.45</v>
      </c>
      <c r="AD186" s="1">
        <f>IF(ESTIMATIVA[[#This Row],[QT_AREA_REAL]]&gt;0,ESTIMATIVA[[#This Row],[QT_CANA_REAL]],ESTIMATIVA[[#This Row],[QT_CANA_EST]])</f>
        <v>729.45</v>
      </c>
      <c r="AE186" s="1">
        <f>IF(ESTIMATIVA[[#This Row],[QT_AREA_REAL]]&gt;0,ESTIMATIVA[[#This Row],[QT_CANA_REAL]],ESTIMATIVA[[#This Row],[QT_CANA_REST1]])</f>
        <v>729.45</v>
      </c>
      <c r="AF186" s="1">
        <f>IF(ESTIMATIVA[[#This Row],[QT_AREA_REAL]]&gt;0,ESTIMATIVA[[#This Row],[QT_CANA_REAL]],ESTIMATIVA[[#This Row],[QT_CANA_REST2]])</f>
        <v>729.45</v>
      </c>
      <c r="AG186" s="1" t="str">
        <f>IF(COUNTIFS(GEADA!A:A,VALUE(ESTIMATIVA[[#This Row],[CD_UPNIVEL1]]&amp;TEXT(ESTIMATIVA[[#This Row],[CD_UPNIVEL3]],"0000")))&gt;0,"S","N")</f>
        <v>N</v>
      </c>
      <c r="AH18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86" s="55" t="str">
        <f>IF(ESTIMATIVA[[#This Row],[TP_CULTIVO]]="Irrigado",_xlfn.MAXIFS(IRRIGADO!J:J,IRRIGADO!C:C,ESTIMATIVA[[#This Row],[CD_UPNIVEL1]],IRRIGADO!E:E,ESTIMATIVA[[#This Row],[CD_UPNIVEL3]]),"")</f>
        <v/>
      </c>
      <c r="AJ18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6" s="1">
        <f>COUNTIFS(Apresentação!$E$23:$E$29,ESTIMATIVA[[#This Row],[CD_UPNIVEL1]])</f>
        <v>0</v>
      </c>
    </row>
    <row r="187" spans="1:37" x14ac:dyDescent="0.3">
      <c r="A187">
        <v>20305</v>
      </c>
      <c r="B187" t="s">
        <v>22</v>
      </c>
      <c r="C187">
        <v>49</v>
      </c>
      <c r="D187">
        <v>4</v>
      </c>
      <c r="E187" t="s">
        <v>265</v>
      </c>
      <c r="F187" s="85" t="s">
        <v>333</v>
      </c>
      <c r="G187"/>
      <c r="H187" t="s">
        <v>295</v>
      </c>
      <c r="I187" t="s">
        <v>208</v>
      </c>
      <c r="J187" t="s">
        <v>175</v>
      </c>
      <c r="K187" s="1">
        <v>11.57</v>
      </c>
      <c r="L187" s="1">
        <v>0</v>
      </c>
      <c r="M187" s="1">
        <v>0</v>
      </c>
      <c r="N187" s="1">
        <v>11.57</v>
      </c>
      <c r="O187" s="1">
        <v>786.76</v>
      </c>
      <c r="P187" s="1">
        <v>0</v>
      </c>
      <c r="Q187" s="1">
        <v>0</v>
      </c>
      <c r="R187" s="1">
        <v>887.34</v>
      </c>
      <c r="S187" t="s">
        <v>12</v>
      </c>
      <c r="T187" s="13">
        <v>45844</v>
      </c>
      <c r="U187" s="1" t="str">
        <f>IF(ESTIMATIVA[[#This Row],[QT_AREA_REAL]]&gt;0,"1- Colhido","2- à Colher")</f>
        <v>1- Colhido</v>
      </c>
      <c r="V187" s="1" t="str">
        <f>IF(ESTIMATIVA[[#This Row],[QT_AREA_REST1]]&gt;0,"Reestimativa 1",IF(ESTIMATIVA[[#This Row],[QT_AREA_REAL]]=0,"Reestimativa 1","Realizado"))</f>
        <v>Realizado</v>
      </c>
      <c r="W187" s="1" t="str">
        <f>IF(ESTIMATIVA[[#This Row],[QT_AREA_REST2]]&gt;0,"Reestimativa 2",IF(ESTIMATIVA[[#This Row],[QT_AREA_REAL]]=0,"Reestimativa 2","Realizado"))</f>
        <v>Realizado</v>
      </c>
      <c r="X187" s="1">
        <f>ESTIMATIVA[[#This Row],[QT_AREA_EST]]</f>
        <v>11.57</v>
      </c>
      <c r="Y187" s="1">
        <f>IF(ESTIMATIVA[[#This Row],[QT_AREA_REST1]]&gt;0,ESTIMATIVA[[#This Row],[QT_AREA_REST1]],
  IF(ESTIMATIVA[[#This Row],[QT_AREA_REAL]]&gt;0,ESTIMATIVA[[#This Row],[QT_AREA_REAL]],ESTIMATIVA[[#This Row],[QT_AREA_EST]]))</f>
        <v>11.57</v>
      </c>
      <c r="Z18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11.57</v>
      </c>
      <c r="AA187" s="1">
        <f>ESTIMATIVA[[#This Row],[QT_CANA_EST]]</f>
        <v>786.76</v>
      </c>
      <c r="AB187" s="1">
        <f>IF(ESTIMATIVA[[#This Row],[QT_CANA_REST1]]&gt;0,ESTIMATIVA[[#This Row],[QT_CANA_REST1]],
  IF(ESTIMATIVA[[#This Row],[QT_CANA_REAL]]&gt;0,ESTIMATIVA[[#This Row],[QT_CANA_REAL]],ESTIMATIVA[[#This Row],[QT_CANA_EST]]))</f>
        <v>887.34</v>
      </c>
      <c r="AC18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887.34</v>
      </c>
      <c r="AD187" s="1">
        <f>IF(ESTIMATIVA[[#This Row],[QT_AREA_REAL]]&gt;0,ESTIMATIVA[[#This Row],[QT_CANA_REAL]],ESTIMATIVA[[#This Row],[QT_CANA_EST]])</f>
        <v>887.34</v>
      </c>
      <c r="AE187" s="1">
        <f>IF(ESTIMATIVA[[#This Row],[QT_AREA_REAL]]&gt;0,ESTIMATIVA[[#This Row],[QT_CANA_REAL]],ESTIMATIVA[[#This Row],[QT_CANA_REST1]])</f>
        <v>887.34</v>
      </c>
      <c r="AF187" s="1">
        <f>IF(ESTIMATIVA[[#This Row],[QT_AREA_REAL]]&gt;0,ESTIMATIVA[[#This Row],[QT_CANA_REAL]],ESTIMATIVA[[#This Row],[QT_CANA_REST2]])</f>
        <v>887.34</v>
      </c>
      <c r="AG187" s="1" t="str">
        <f>IF(COUNTIFS(GEADA!A:A,VALUE(ESTIMATIVA[[#This Row],[CD_UPNIVEL1]]&amp;TEXT(ESTIMATIVA[[#This Row],[CD_UPNIVEL3]],"0000")))&gt;0,"S","N")</f>
        <v>N</v>
      </c>
      <c r="AH18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87" s="55" t="str">
        <f>IF(ESTIMATIVA[[#This Row],[TP_CULTIVO]]="Irrigado",_xlfn.MAXIFS(IRRIGADO!J:J,IRRIGADO!C:C,ESTIMATIVA[[#This Row],[CD_UPNIVEL1]],IRRIGADO!E:E,ESTIMATIVA[[#This Row],[CD_UPNIVEL3]]),"")</f>
        <v/>
      </c>
      <c r="AJ18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7" s="1">
        <f>COUNTIFS(Apresentação!$E$23:$E$29,ESTIMATIVA[[#This Row],[CD_UPNIVEL1]])</f>
        <v>0</v>
      </c>
    </row>
    <row r="188" spans="1:37" x14ac:dyDescent="0.3">
      <c r="A188">
        <v>20305</v>
      </c>
      <c r="B188" t="s">
        <v>22</v>
      </c>
      <c r="C188">
        <v>133</v>
      </c>
      <c r="D188">
        <v>3</v>
      </c>
      <c r="E188" t="s">
        <v>263</v>
      </c>
      <c r="F188" s="85" t="s">
        <v>331</v>
      </c>
      <c r="G188"/>
      <c r="H188" t="s">
        <v>295</v>
      </c>
      <c r="I188" t="s">
        <v>197</v>
      </c>
      <c r="J188" t="s">
        <v>175</v>
      </c>
      <c r="K188" s="1">
        <v>23.97</v>
      </c>
      <c r="L188" s="1">
        <v>0</v>
      </c>
      <c r="M188" s="1">
        <v>0</v>
      </c>
      <c r="N188" s="1">
        <v>23.97</v>
      </c>
      <c r="O188" s="1">
        <v>1869.66</v>
      </c>
      <c r="P188" s="1">
        <v>0</v>
      </c>
      <c r="Q188" s="1">
        <v>0</v>
      </c>
      <c r="R188" s="1">
        <v>1940.19</v>
      </c>
      <c r="S188" t="s">
        <v>12</v>
      </c>
      <c r="T188" s="13">
        <v>45774</v>
      </c>
      <c r="U188" s="1" t="str">
        <f>IF(ESTIMATIVA[[#This Row],[QT_AREA_REAL]]&gt;0,"1- Colhido","2- à Colher")</f>
        <v>1- Colhido</v>
      </c>
      <c r="V188" s="1" t="str">
        <f>IF(ESTIMATIVA[[#This Row],[QT_AREA_REST1]]&gt;0,"Reestimativa 1",IF(ESTIMATIVA[[#This Row],[QT_AREA_REAL]]=0,"Reestimativa 1","Realizado"))</f>
        <v>Realizado</v>
      </c>
      <c r="W188" s="1" t="str">
        <f>IF(ESTIMATIVA[[#This Row],[QT_AREA_REST2]]&gt;0,"Reestimativa 2",IF(ESTIMATIVA[[#This Row],[QT_AREA_REAL]]=0,"Reestimativa 2","Realizado"))</f>
        <v>Realizado</v>
      </c>
      <c r="X188" s="1">
        <f>ESTIMATIVA[[#This Row],[QT_AREA_EST]]</f>
        <v>23.97</v>
      </c>
      <c r="Y188" s="1">
        <f>IF(ESTIMATIVA[[#This Row],[QT_AREA_REST1]]&gt;0,ESTIMATIVA[[#This Row],[QT_AREA_REST1]],
  IF(ESTIMATIVA[[#This Row],[QT_AREA_REAL]]&gt;0,ESTIMATIVA[[#This Row],[QT_AREA_REAL]],ESTIMATIVA[[#This Row],[QT_AREA_EST]]))</f>
        <v>23.97</v>
      </c>
      <c r="Z18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23.97</v>
      </c>
      <c r="AA188" s="1">
        <f>ESTIMATIVA[[#This Row],[QT_CANA_EST]]</f>
        <v>1869.66</v>
      </c>
      <c r="AB188" s="1">
        <f>IF(ESTIMATIVA[[#This Row],[QT_CANA_REST1]]&gt;0,ESTIMATIVA[[#This Row],[QT_CANA_REST1]],
  IF(ESTIMATIVA[[#This Row],[QT_CANA_REAL]]&gt;0,ESTIMATIVA[[#This Row],[QT_CANA_REAL]],ESTIMATIVA[[#This Row],[QT_CANA_EST]]))</f>
        <v>1940.19</v>
      </c>
      <c r="AC18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1940.19</v>
      </c>
      <c r="AD188" s="1">
        <f>IF(ESTIMATIVA[[#This Row],[QT_AREA_REAL]]&gt;0,ESTIMATIVA[[#This Row],[QT_CANA_REAL]],ESTIMATIVA[[#This Row],[QT_CANA_EST]])</f>
        <v>1940.19</v>
      </c>
      <c r="AE188" s="1">
        <f>IF(ESTIMATIVA[[#This Row],[QT_AREA_REAL]]&gt;0,ESTIMATIVA[[#This Row],[QT_CANA_REAL]],ESTIMATIVA[[#This Row],[QT_CANA_REST1]])</f>
        <v>1940.19</v>
      </c>
      <c r="AF188" s="1">
        <f>IF(ESTIMATIVA[[#This Row],[QT_AREA_REAL]]&gt;0,ESTIMATIVA[[#This Row],[QT_CANA_REAL]],ESTIMATIVA[[#This Row],[QT_CANA_REST2]])</f>
        <v>1940.19</v>
      </c>
      <c r="AG188" s="1" t="str">
        <f>IF(COUNTIFS(GEADA!A:A,VALUE(ESTIMATIVA[[#This Row],[CD_UPNIVEL1]]&amp;TEXT(ESTIMATIVA[[#This Row],[CD_UPNIVEL3]],"0000")))&gt;0,"S","N")</f>
        <v>N</v>
      </c>
      <c r="AH18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88" s="55" t="str">
        <f>IF(ESTIMATIVA[[#This Row],[TP_CULTIVO]]="Irrigado",_xlfn.MAXIFS(IRRIGADO!J:J,IRRIGADO!C:C,ESTIMATIVA[[#This Row],[CD_UPNIVEL1]],IRRIGADO!E:E,ESTIMATIVA[[#This Row],[CD_UPNIVEL3]]),"")</f>
        <v/>
      </c>
      <c r="AJ18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8" s="1">
        <f>COUNTIFS(Apresentação!$E$23:$E$29,ESTIMATIVA[[#This Row],[CD_UPNIVEL1]])</f>
        <v>0</v>
      </c>
    </row>
    <row r="189" spans="1:37" x14ac:dyDescent="0.3">
      <c r="A189">
        <v>20305</v>
      </c>
      <c r="B189" t="s">
        <v>22</v>
      </c>
      <c r="C189">
        <v>134</v>
      </c>
      <c r="D189">
        <v>3</v>
      </c>
      <c r="E189" t="s">
        <v>263</v>
      </c>
      <c r="F189" s="85" t="s">
        <v>331</v>
      </c>
      <c r="G189"/>
      <c r="H189" t="s">
        <v>295</v>
      </c>
      <c r="I189" t="s">
        <v>197</v>
      </c>
      <c r="J189" t="s">
        <v>175</v>
      </c>
      <c r="K189" s="1">
        <v>20.2</v>
      </c>
      <c r="L189" s="1">
        <v>0</v>
      </c>
      <c r="M189" s="1">
        <v>0</v>
      </c>
      <c r="N189" s="1">
        <v>20.2</v>
      </c>
      <c r="O189" s="1">
        <v>1979.6</v>
      </c>
      <c r="P189" s="1">
        <v>0</v>
      </c>
      <c r="Q189" s="1">
        <v>0</v>
      </c>
      <c r="R189" s="1">
        <v>2054.3200000000002</v>
      </c>
      <c r="S189" t="s">
        <v>12</v>
      </c>
      <c r="T189" s="13">
        <v>45774</v>
      </c>
      <c r="U189" s="1" t="str">
        <f>IF(ESTIMATIVA[[#This Row],[QT_AREA_REAL]]&gt;0,"1- Colhido","2- à Colher")</f>
        <v>1- Colhido</v>
      </c>
      <c r="V189" s="1" t="str">
        <f>IF(ESTIMATIVA[[#This Row],[QT_AREA_REST1]]&gt;0,"Reestimativa 1",IF(ESTIMATIVA[[#This Row],[QT_AREA_REAL]]=0,"Reestimativa 1","Realizado"))</f>
        <v>Realizado</v>
      </c>
      <c r="W189" s="1" t="str">
        <f>IF(ESTIMATIVA[[#This Row],[QT_AREA_REST2]]&gt;0,"Reestimativa 2",IF(ESTIMATIVA[[#This Row],[QT_AREA_REAL]]=0,"Reestimativa 2","Realizado"))</f>
        <v>Realizado</v>
      </c>
      <c r="X189" s="1">
        <f>ESTIMATIVA[[#This Row],[QT_AREA_EST]]</f>
        <v>20.2</v>
      </c>
      <c r="Y189" s="1">
        <f>IF(ESTIMATIVA[[#This Row],[QT_AREA_REST1]]&gt;0,ESTIMATIVA[[#This Row],[QT_AREA_REST1]],
  IF(ESTIMATIVA[[#This Row],[QT_AREA_REAL]]&gt;0,ESTIMATIVA[[#This Row],[QT_AREA_REAL]],ESTIMATIVA[[#This Row],[QT_AREA_EST]]))</f>
        <v>20.2</v>
      </c>
      <c r="Z18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20.2</v>
      </c>
      <c r="AA189" s="1">
        <f>ESTIMATIVA[[#This Row],[QT_CANA_EST]]</f>
        <v>1979.6</v>
      </c>
      <c r="AB189" s="1">
        <f>IF(ESTIMATIVA[[#This Row],[QT_CANA_REST1]]&gt;0,ESTIMATIVA[[#This Row],[QT_CANA_REST1]],
  IF(ESTIMATIVA[[#This Row],[QT_CANA_REAL]]&gt;0,ESTIMATIVA[[#This Row],[QT_CANA_REAL]],ESTIMATIVA[[#This Row],[QT_CANA_EST]]))</f>
        <v>2054.3200000000002</v>
      </c>
      <c r="AC18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2054.3200000000002</v>
      </c>
      <c r="AD189" s="1">
        <f>IF(ESTIMATIVA[[#This Row],[QT_AREA_REAL]]&gt;0,ESTIMATIVA[[#This Row],[QT_CANA_REAL]],ESTIMATIVA[[#This Row],[QT_CANA_EST]])</f>
        <v>2054.3200000000002</v>
      </c>
      <c r="AE189" s="1">
        <f>IF(ESTIMATIVA[[#This Row],[QT_AREA_REAL]]&gt;0,ESTIMATIVA[[#This Row],[QT_CANA_REAL]],ESTIMATIVA[[#This Row],[QT_CANA_REST1]])</f>
        <v>2054.3200000000002</v>
      </c>
      <c r="AF189" s="1">
        <f>IF(ESTIMATIVA[[#This Row],[QT_AREA_REAL]]&gt;0,ESTIMATIVA[[#This Row],[QT_CANA_REAL]],ESTIMATIVA[[#This Row],[QT_CANA_REST2]])</f>
        <v>2054.3200000000002</v>
      </c>
      <c r="AG189" s="1" t="str">
        <f>IF(COUNTIFS(GEADA!A:A,VALUE(ESTIMATIVA[[#This Row],[CD_UPNIVEL1]]&amp;TEXT(ESTIMATIVA[[#This Row],[CD_UPNIVEL3]],"0000")))&gt;0,"S","N")</f>
        <v>N</v>
      </c>
      <c r="AH18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89" s="55" t="str">
        <f>IF(ESTIMATIVA[[#This Row],[TP_CULTIVO]]="Irrigado",_xlfn.MAXIFS(IRRIGADO!J:J,IRRIGADO!C:C,ESTIMATIVA[[#This Row],[CD_UPNIVEL1]],IRRIGADO!E:E,ESTIMATIVA[[#This Row],[CD_UPNIVEL3]]),"")</f>
        <v/>
      </c>
      <c r="AJ18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9" s="1">
        <f>COUNTIFS(Apresentação!$E$23:$E$29,ESTIMATIVA[[#This Row],[CD_UPNIVEL1]])</f>
        <v>0</v>
      </c>
    </row>
    <row r="190" spans="1:37" x14ac:dyDescent="0.3">
      <c r="A190">
        <v>20305</v>
      </c>
      <c r="B190" t="s">
        <v>22</v>
      </c>
      <c r="C190">
        <v>135</v>
      </c>
      <c r="D190">
        <v>3</v>
      </c>
      <c r="E190" t="s">
        <v>263</v>
      </c>
      <c r="F190" s="85" t="s">
        <v>331</v>
      </c>
      <c r="G190"/>
      <c r="H190" t="s">
        <v>295</v>
      </c>
      <c r="I190" t="s">
        <v>197</v>
      </c>
      <c r="J190" t="s">
        <v>175</v>
      </c>
      <c r="K190" s="1">
        <v>25.52</v>
      </c>
      <c r="L190" s="1">
        <v>0</v>
      </c>
      <c r="M190" s="1">
        <v>0</v>
      </c>
      <c r="N190" s="1">
        <v>25.52</v>
      </c>
      <c r="O190" s="1">
        <v>1990.56</v>
      </c>
      <c r="P190" s="1">
        <v>0</v>
      </c>
      <c r="Q190" s="1">
        <v>0</v>
      </c>
      <c r="R190" s="1">
        <v>2593.96</v>
      </c>
      <c r="S190" t="s">
        <v>12</v>
      </c>
      <c r="T190" s="13">
        <v>45774</v>
      </c>
      <c r="U190" s="1" t="str">
        <f>IF(ESTIMATIVA[[#This Row],[QT_AREA_REAL]]&gt;0,"1- Colhido","2- à Colher")</f>
        <v>1- Colhido</v>
      </c>
      <c r="V190" s="1" t="str">
        <f>IF(ESTIMATIVA[[#This Row],[QT_AREA_REST1]]&gt;0,"Reestimativa 1",IF(ESTIMATIVA[[#This Row],[QT_AREA_REAL]]=0,"Reestimativa 1","Realizado"))</f>
        <v>Realizado</v>
      </c>
      <c r="W190" s="1" t="str">
        <f>IF(ESTIMATIVA[[#This Row],[QT_AREA_REST2]]&gt;0,"Reestimativa 2",IF(ESTIMATIVA[[#This Row],[QT_AREA_REAL]]=0,"Reestimativa 2","Realizado"))</f>
        <v>Realizado</v>
      </c>
      <c r="X190" s="1">
        <f>ESTIMATIVA[[#This Row],[QT_AREA_EST]]</f>
        <v>25.52</v>
      </c>
      <c r="Y190" s="1">
        <f>IF(ESTIMATIVA[[#This Row],[QT_AREA_REST1]]&gt;0,ESTIMATIVA[[#This Row],[QT_AREA_REST1]],
  IF(ESTIMATIVA[[#This Row],[QT_AREA_REAL]]&gt;0,ESTIMATIVA[[#This Row],[QT_AREA_REAL]],ESTIMATIVA[[#This Row],[QT_AREA_EST]]))</f>
        <v>25.52</v>
      </c>
      <c r="Z19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25.52</v>
      </c>
      <c r="AA190" s="1">
        <f>ESTIMATIVA[[#This Row],[QT_CANA_EST]]</f>
        <v>1990.56</v>
      </c>
      <c r="AB190" s="1">
        <f>IF(ESTIMATIVA[[#This Row],[QT_CANA_REST1]]&gt;0,ESTIMATIVA[[#This Row],[QT_CANA_REST1]],
  IF(ESTIMATIVA[[#This Row],[QT_CANA_REAL]]&gt;0,ESTIMATIVA[[#This Row],[QT_CANA_REAL]],ESTIMATIVA[[#This Row],[QT_CANA_EST]]))</f>
        <v>2593.96</v>
      </c>
      <c r="AC19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2593.96</v>
      </c>
      <c r="AD190" s="1">
        <f>IF(ESTIMATIVA[[#This Row],[QT_AREA_REAL]]&gt;0,ESTIMATIVA[[#This Row],[QT_CANA_REAL]],ESTIMATIVA[[#This Row],[QT_CANA_EST]])</f>
        <v>2593.96</v>
      </c>
      <c r="AE190" s="1">
        <f>IF(ESTIMATIVA[[#This Row],[QT_AREA_REAL]]&gt;0,ESTIMATIVA[[#This Row],[QT_CANA_REAL]],ESTIMATIVA[[#This Row],[QT_CANA_REST1]])</f>
        <v>2593.96</v>
      </c>
      <c r="AF190" s="1">
        <f>IF(ESTIMATIVA[[#This Row],[QT_AREA_REAL]]&gt;0,ESTIMATIVA[[#This Row],[QT_CANA_REAL]],ESTIMATIVA[[#This Row],[QT_CANA_REST2]])</f>
        <v>2593.96</v>
      </c>
      <c r="AG190" s="1" t="str">
        <f>IF(COUNTIFS(GEADA!A:A,VALUE(ESTIMATIVA[[#This Row],[CD_UPNIVEL1]]&amp;TEXT(ESTIMATIVA[[#This Row],[CD_UPNIVEL3]],"0000")))&gt;0,"S","N")</f>
        <v>N</v>
      </c>
      <c r="AH19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90" s="55" t="str">
        <f>IF(ESTIMATIVA[[#This Row],[TP_CULTIVO]]="Irrigado",_xlfn.MAXIFS(IRRIGADO!J:J,IRRIGADO!C:C,ESTIMATIVA[[#This Row],[CD_UPNIVEL1]],IRRIGADO!E:E,ESTIMATIVA[[#This Row],[CD_UPNIVEL3]]),"")</f>
        <v/>
      </c>
      <c r="AJ19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0" s="1">
        <f>COUNTIFS(Apresentação!$E$23:$E$29,ESTIMATIVA[[#This Row],[CD_UPNIVEL1]])</f>
        <v>0</v>
      </c>
    </row>
    <row r="191" spans="1:37" x14ac:dyDescent="0.3">
      <c r="A191">
        <v>20305</v>
      </c>
      <c r="B191" t="s">
        <v>22</v>
      </c>
      <c r="C191">
        <v>136</v>
      </c>
      <c r="D191">
        <v>3</v>
      </c>
      <c r="E191" t="s">
        <v>263</v>
      </c>
      <c r="F191" s="85" t="s">
        <v>331</v>
      </c>
      <c r="G191"/>
      <c r="H191" t="s">
        <v>295</v>
      </c>
      <c r="I191" t="s">
        <v>197</v>
      </c>
      <c r="J191" t="s">
        <v>175</v>
      </c>
      <c r="K191" s="1">
        <v>23.19</v>
      </c>
      <c r="L191" s="1">
        <v>0</v>
      </c>
      <c r="M191" s="1">
        <v>0</v>
      </c>
      <c r="N191" s="1">
        <v>23.19</v>
      </c>
      <c r="O191" s="1">
        <v>1808.82</v>
      </c>
      <c r="P191" s="1">
        <v>0</v>
      </c>
      <c r="Q191" s="1">
        <v>0</v>
      </c>
      <c r="R191" s="1">
        <v>2356.8200000000002</v>
      </c>
      <c r="S191" t="s">
        <v>12</v>
      </c>
      <c r="T191" s="13">
        <v>45774</v>
      </c>
      <c r="U191" s="1" t="str">
        <f>IF(ESTIMATIVA[[#This Row],[QT_AREA_REAL]]&gt;0,"1- Colhido","2- à Colher")</f>
        <v>1- Colhido</v>
      </c>
      <c r="V191" s="1" t="str">
        <f>IF(ESTIMATIVA[[#This Row],[QT_AREA_REST1]]&gt;0,"Reestimativa 1",IF(ESTIMATIVA[[#This Row],[QT_AREA_REAL]]=0,"Reestimativa 1","Realizado"))</f>
        <v>Realizado</v>
      </c>
      <c r="W191" s="1" t="str">
        <f>IF(ESTIMATIVA[[#This Row],[QT_AREA_REST2]]&gt;0,"Reestimativa 2",IF(ESTIMATIVA[[#This Row],[QT_AREA_REAL]]=0,"Reestimativa 2","Realizado"))</f>
        <v>Realizado</v>
      </c>
      <c r="X191" s="1">
        <f>ESTIMATIVA[[#This Row],[QT_AREA_EST]]</f>
        <v>23.19</v>
      </c>
      <c r="Y191" s="1">
        <f>IF(ESTIMATIVA[[#This Row],[QT_AREA_REST1]]&gt;0,ESTIMATIVA[[#This Row],[QT_AREA_REST1]],
  IF(ESTIMATIVA[[#This Row],[QT_AREA_REAL]]&gt;0,ESTIMATIVA[[#This Row],[QT_AREA_REAL]],ESTIMATIVA[[#This Row],[QT_AREA_EST]]))</f>
        <v>23.19</v>
      </c>
      <c r="Z19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23.19</v>
      </c>
      <c r="AA191" s="1">
        <f>ESTIMATIVA[[#This Row],[QT_CANA_EST]]</f>
        <v>1808.82</v>
      </c>
      <c r="AB191" s="1">
        <f>IF(ESTIMATIVA[[#This Row],[QT_CANA_REST1]]&gt;0,ESTIMATIVA[[#This Row],[QT_CANA_REST1]],
  IF(ESTIMATIVA[[#This Row],[QT_CANA_REAL]]&gt;0,ESTIMATIVA[[#This Row],[QT_CANA_REAL]],ESTIMATIVA[[#This Row],[QT_CANA_EST]]))</f>
        <v>2356.8200000000002</v>
      </c>
      <c r="AC19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2356.8200000000002</v>
      </c>
      <c r="AD191" s="1">
        <f>IF(ESTIMATIVA[[#This Row],[QT_AREA_REAL]]&gt;0,ESTIMATIVA[[#This Row],[QT_CANA_REAL]],ESTIMATIVA[[#This Row],[QT_CANA_EST]])</f>
        <v>2356.8200000000002</v>
      </c>
      <c r="AE191" s="1">
        <f>IF(ESTIMATIVA[[#This Row],[QT_AREA_REAL]]&gt;0,ESTIMATIVA[[#This Row],[QT_CANA_REAL]],ESTIMATIVA[[#This Row],[QT_CANA_REST1]])</f>
        <v>2356.8200000000002</v>
      </c>
      <c r="AF191" s="1">
        <f>IF(ESTIMATIVA[[#This Row],[QT_AREA_REAL]]&gt;0,ESTIMATIVA[[#This Row],[QT_CANA_REAL]],ESTIMATIVA[[#This Row],[QT_CANA_REST2]])</f>
        <v>2356.8200000000002</v>
      </c>
      <c r="AG191" s="1" t="str">
        <f>IF(COUNTIFS(GEADA!A:A,VALUE(ESTIMATIVA[[#This Row],[CD_UPNIVEL1]]&amp;TEXT(ESTIMATIVA[[#This Row],[CD_UPNIVEL3]],"0000")))&gt;0,"S","N")</f>
        <v>N</v>
      </c>
      <c r="AH19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91" s="55" t="str">
        <f>IF(ESTIMATIVA[[#This Row],[TP_CULTIVO]]="Irrigado",_xlfn.MAXIFS(IRRIGADO!J:J,IRRIGADO!C:C,ESTIMATIVA[[#This Row],[CD_UPNIVEL1]],IRRIGADO!E:E,ESTIMATIVA[[#This Row],[CD_UPNIVEL3]]),"")</f>
        <v/>
      </c>
      <c r="AJ19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1" s="1">
        <f>COUNTIFS(Apresentação!$E$23:$E$29,ESTIMATIVA[[#This Row],[CD_UPNIVEL1]])</f>
        <v>0</v>
      </c>
    </row>
    <row r="192" spans="1:37" x14ac:dyDescent="0.3">
      <c r="A192">
        <v>20305</v>
      </c>
      <c r="B192" t="s">
        <v>22</v>
      </c>
      <c r="C192">
        <v>137</v>
      </c>
      <c r="D192">
        <v>3</v>
      </c>
      <c r="E192" t="s">
        <v>263</v>
      </c>
      <c r="F192" s="85" t="s">
        <v>331</v>
      </c>
      <c r="G192"/>
      <c r="H192" t="s">
        <v>295</v>
      </c>
      <c r="I192" t="s">
        <v>197</v>
      </c>
      <c r="J192" t="s">
        <v>175</v>
      </c>
      <c r="K192" s="1">
        <v>26.61</v>
      </c>
      <c r="L192" s="1">
        <v>0</v>
      </c>
      <c r="M192" s="1">
        <v>0</v>
      </c>
      <c r="N192" s="1">
        <v>26.61</v>
      </c>
      <c r="O192" s="1">
        <v>2075.58</v>
      </c>
      <c r="P192" s="1">
        <v>0</v>
      </c>
      <c r="Q192" s="1">
        <v>0</v>
      </c>
      <c r="R192" s="1">
        <v>2704.71</v>
      </c>
      <c r="S192" t="s">
        <v>12</v>
      </c>
      <c r="T192" s="13">
        <v>45774</v>
      </c>
      <c r="U192" s="1" t="str">
        <f>IF(ESTIMATIVA[[#This Row],[QT_AREA_REAL]]&gt;0,"1- Colhido","2- à Colher")</f>
        <v>1- Colhido</v>
      </c>
      <c r="V192" s="1" t="str">
        <f>IF(ESTIMATIVA[[#This Row],[QT_AREA_REST1]]&gt;0,"Reestimativa 1",IF(ESTIMATIVA[[#This Row],[QT_AREA_REAL]]=0,"Reestimativa 1","Realizado"))</f>
        <v>Realizado</v>
      </c>
      <c r="W192" s="1" t="str">
        <f>IF(ESTIMATIVA[[#This Row],[QT_AREA_REST2]]&gt;0,"Reestimativa 2",IF(ESTIMATIVA[[#This Row],[QT_AREA_REAL]]=0,"Reestimativa 2","Realizado"))</f>
        <v>Realizado</v>
      </c>
      <c r="X192" s="1">
        <f>ESTIMATIVA[[#This Row],[QT_AREA_EST]]</f>
        <v>26.61</v>
      </c>
      <c r="Y192" s="1">
        <f>IF(ESTIMATIVA[[#This Row],[QT_AREA_REST1]]&gt;0,ESTIMATIVA[[#This Row],[QT_AREA_REST1]],
  IF(ESTIMATIVA[[#This Row],[QT_AREA_REAL]]&gt;0,ESTIMATIVA[[#This Row],[QT_AREA_REAL]],ESTIMATIVA[[#This Row],[QT_AREA_EST]]))</f>
        <v>26.61</v>
      </c>
      <c r="Z19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26.61</v>
      </c>
      <c r="AA192" s="1">
        <f>ESTIMATIVA[[#This Row],[QT_CANA_EST]]</f>
        <v>2075.58</v>
      </c>
      <c r="AB192" s="1">
        <f>IF(ESTIMATIVA[[#This Row],[QT_CANA_REST1]]&gt;0,ESTIMATIVA[[#This Row],[QT_CANA_REST1]],
  IF(ESTIMATIVA[[#This Row],[QT_CANA_REAL]]&gt;0,ESTIMATIVA[[#This Row],[QT_CANA_REAL]],ESTIMATIVA[[#This Row],[QT_CANA_EST]]))</f>
        <v>2704.71</v>
      </c>
      <c r="AC19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2704.71</v>
      </c>
      <c r="AD192" s="1">
        <f>IF(ESTIMATIVA[[#This Row],[QT_AREA_REAL]]&gt;0,ESTIMATIVA[[#This Row],[QT_CANA_REAL]],ESTIMATIVA[[#This Row],[QT_CANA_EST]])</f>
        <v>2704.71</v>
      </c>
      <c r="AE192" s="1">
        <f>IF(ESTIMATIVA[[#This Row],[QT_AREA_REAL]]&gt;0,ESTIMATIVA[[#This Row],[QT_CANA_REAL]],ESTIMATIVA[[#This Row],[QT_CANA_REST1]])</f>
        <v>2704.71</v>
      </c>
      <c r="AF192" s="1">
        <f>IF(ESTIMATIVA[[#This Row],[QT_AREA_REAL]]&gt;0,ESTIMATIVA[[#This Row],[QT_CANA_REAL]],ESTIMATIVA[[#This Row],[QT_CANA_REST2]])</f>
        <v>2704.71</v>
      </c>
      <c r="AG192" s="1" t="str">
        <f>IF(COUNTIFS(GEADA!A:A,VALUE(ESTIMATIVA[[#This Row],[CD_UPNIVEL1]]&amp;TEXT(ESTIMATIVA[[#This Row],[CD_UPNIVEL3]],"0000")))&gt;0,"S","N")</f>
        <v>N</v>
      </c>
      <c r="AH19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92" s="55" t="str">
        <f>IF(ESTIMATIVA[[#This Row],[TP_CULTIVO]]="Irrigado",_xlfn.MAXIFS(IRRIGADO!J:J,IRRIGADO!C:C,ESTIMATIVA[[#This Row],[CD_UPNIVEL1]],IRRIGADO!E:E,ESTIMATIVA[[#This Row],[CD_UPNIVEL3]]),"")</f>
        <v/>
      </c>
      <c r="AJ19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2" s="1">
        <f>COUNTIFS(Apresentação!$E$23:$E$29,ESTIMATIVA[[#This Row],[CD_UPNIVEL1]])</f>
        <v>0</v>
      </c>
    </row>
    <row r="193" spans="1:37" x14ac:dyDescent="0.3">
      <c r="A193">
        <v>20305</v>
      </c>
      <c r="B193" t="s">
        <v>22</v>
      </c>
      <c r="C193">
        <v>138</v>
      </c>
      <c r="D193">
        <v>3</v>
      </c>
      <c r="E193" t="s">
        <v>263</v>
      </c>
      <c r="F193" s="85" t="s">
        <v>331</v>
      </c>
      <c r="G193"/>
      <c r="H193" t="s">
        <v>295</v>
      </c>
      <c r="I193" t="s">
        <v>197</v>
      </c>
      <c r="J193" t="s">
        <v>175</v>
      </c>
      <c r="K193" s="1">
        <v>25.8</v>
      </c>
      <c r="L193" s="1">
        <v>0</v>
      </c>
      <c r="M193" s="1">
        <v>0</v>
      </c>
      <c r="N193" s="1">
        <v>25.8</v>
      </c>
      <c r="O193" s="1">
        <v>2322</v>
      </c>
      <c r="P193" s="1">
        <v>0</v>
      </c>
      <c r="Q193" s="1">
        <v>0</v>
      </c>
      <c r="R193" s="1">
        <v>2409.1799999999998</v>
      </c>
      <c r="S193" t="s">
        <v>12</v>
      </c>
      <c r="T193" s="13">
        <v>45774</v>
      </c>
      <c r="U193" s="1" t="str">
        <f>IF(ESTIMATIVA[[#This Row],[QT_AREA_REAL]]&gt;0,"1- Colhido","2- à Colher")</f>
        <v>1- Colhido</v>
      </c>
      <c r="V193" s="1" t="str">
        <f>IF(ESTIMATIVA[[#This Row],[QT_AREA_REST1]]&gt;0,"Reestimativa 1",IF(ESTIMATIVA[[#This Row],[QT_AREA_REAL]]=0,"Reestimativa 1","Realizado"))</f>
        <v>Realizado</v>
      </c>
      <c r="W193" s="1" t="str">
        <f>IF(ESTIMATIVA[[#This Row],[QT_AREA_REST2]]&gt;0,"Reestimativa 2",IF(ESTIMATIVA[[#This Row],[QT_AREA_REAL]]=0,"Reestimativa 2","Realizado"))</f>
        <v>Realizado</v>
      </c>
      <c r="X193" s="1">
        <f>ESTIMATIVA[[#This Row],[QT_AREA_EST]]</f>
        <v>25.8</v>
      </c>
      <c r="Y193" s="1">
        <f>IF(ESTIMATIVA[[#This Row],[QT_AREA_REST1]]&gt;0,ESTIMATIVA[[#This Row],[QT_AREA_REST1]],
  IF(ESTIMATIVA[[#This Row],[QT_AREA_REAL]]&gt;0,ESTIMATIVA[[#This Row],[QT_AREA_REAL]],ESTIMATIVA[[#This Row],[QT_AREA_EST]]))</f>
        <v>25.8</v>
      </c>
      <c r="Z19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25.8</v>
      </c>
      <c r="AA193" s="1">
        <f>ESTIMATIVA[[#This Row],[QT_CANA_EST]]</f>
        <v>2322</v>
      </c>
      <c r="AB193" s="1">
        <f>IF(ESTIMATIVA[[#This Row],[QT_CANA_REST1]]&gt;0,ESTIMATIVA[[#This Row],[QT_CANA_REST1]],
  IF(ESTIMATIVA[[#This Row],[QT_CANA_REAL]]&gt;0,ESTIMATIVA[[#This Row],[QT_CANA_REAL]],ESTIMATIVA[[#This Row],[QT_CANA_EST]]))</f>
        <v>2409.1799999999998</v>
      </c>
      <c r="AC19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2409.1799999999998</v>
      </c>
      <c r="AD193" s="1">
        <f>IF(ESTIMATIVA[[#This Row],[QT_AREA_REAL]]&gt;0,ESTIMATIVA[[#This Row],[QT_CANA_REAL]],ESTIMATIVA[[#This Row],[QT_CANA_EST]])</f>
        <v>2409.1799999999998</v>
      </c>
      <c r="AE193" s="1">
        <f>IF(ESTIMATIVA[[#This Row],[QT_AREA_REAL]]&gt;0,ESTIMATIVA[[#This Row],[QT_CANA_REAL]],ESTIMATIVA[[#This Row],[QT_CANA_REST1]])</f>
        <v>2409.1799999999998</v>
      </c>
      <c r="AF193" s="1">
        <f>IF(ESTIMATIVA[[#This Row],[QT_AREA_REAL]]&gt;0,ESTIMATIVA[[#This Row],[QT_CANA_REAL]],ESTIMATIVA[[#This Row],[QT_CANA_REST2]])</f>
        <v>2409.1799999999998</v>
      </c>
      <c r="AG193" s="1" t="str">
        <f>IF(COUNTIFS(GEADA!A:A,VALUE(ESTIMATIVA[[#This Row],[CD_UPNIVEL1]]&amp;TEXT(ESTIMATIVA[[#This Row],[CD_UPNIVEL3]],"0000")))&gt;0,"S","N")</f>
        <v>N</v>
      </c>
      <c r="AH19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93" s="55" t="str">
        <f>IF(ESTIMATIVA[[#This Row],[TP_CULTIVO]]="Irrigado",_xlfn.MAXIFS(IRRIGADO!J:J,IRRIGADO!C:C,ESTIMATIVA[[#This Row],[CD_UPNIVEL1]],IRRIGADO!E:E,ESTIMATIVA[[#This Row],[CD_UPNIVEL3]]),"")</f>
        <v/>
      </c>
      <c r="AJ19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3" s="1">
        <f>COUNTIFS(Apresentação!$E$23:$E$29,ESTIMATIVA[[#This Row],[CD_UPNIVEL1]])</f>
        <v>0</v>
      </c>
    </row>
    <row r="194" spans="1:37" x14ac:dyDescent="0.3">
      <c r="A194">
        <v>20305</v>
      </c>
      <c r="B194" t="s">
        <v>22</v>
      </c>
      <c r="C194">
        <v>139</v>
      </c>
      <c r="D194">
        <v>3</v>
      </c>
      <c r="E194" t="s">
        <v>263</v>
      </c>
      <c r="F194" s="85" t="s">
        <v>331</v>
      </c>
      <c r="G194"/>
      <c r="H194" t="s">
        <v>295</v>
      </c>
      <c r="I194" t="s">
        <v>197</v>
      </c>
      <c r="J194" t="s">
        <v>175</v>
      </c>
      <c r="K194" s="1">
        <v>11.94</v>
      </c>
      <c r="L194" s="1">
        <v>0</v>
      </c>
      <c r="M194" s="1">
        <v>0</v>
      </c>
      <c r="N194" s="1">
        <v>11.94</v>
      </c>
      <c r="O194" s="1">
        <v>931.32</v>
      </c>
      <c r="P194" s="1">
        <v>0</v>
      </c>
      <c r="Q194" s="1">
        <v>0</v>
      </c>
      <c r="R194" s="1">
        <v>966.31</v>
      </c>
      <c r="S194" t="s">
        <v>12</v>
      </c>
      <c r="T194" s="13">
        <v>45774</v>
      </c>
      <c r="U194" s="1" t="str">
        <f>IF(ESTIMATIVA[[#This Row],[QT_AREA_REAL]]&gt;0,"1- Colhido","2- à Colher")</f>
        <v>1- Colhido</v>
      </c>
      <c r="V194" s="1" t="str">
        <f>IF(ESTIMATIVA[[#This Row],[QT_AREA_REST1]]&gt;0,"Reestimativa 1",IF(ESTIMATIVA[[#This Row],[QT_AREA_REAL]]=0,"Reestimativa 1","Realizado"))</f>
        <v>Realizado</v>
      </c>
      <c r="W194" s="1" t="str">
        <f>IF(ESTIMATIVA[[#This Row],[QT_AREA_REST2]]&gt;0,"Reestimativa 2",IF(ESTIMATIVA[[#This Row],[QT_AREA_REAL]]=0,"Reestimativa 2","Realizado"))</f>
        <v>Realizado</v>
      </c>
      <c r="X194" s="1">
        <f>ESTIMATIVA[[#This Row],[QT_AREA_EST]]</f>
        <v>11.94</v>
      </c>
      <c r="Y194" s="1">
        <f>IF(ESTIMATIVA[[#This Row],[QT_AREA_REST1]]&gt;0,ESTIMATIVA[[#This Row],[QT_AREA_REST1]],
  IF(ESTIMATIVA[[#This Row],[QT_AREA_REAL]]&gt;0,ESTIMATIVA[[#This Row],[QT_AREA_REAL]],ESTIMATIVA[[#This Row],[QT_AREA_EST]]))</f>
        <v>11.94</v>
      </c>
      <c r="Z19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11.94</v>
      </c>
      <c r="AA194" s="1">
        <f>ESTIMATIVA[[#This Row],[QT_CANA_EST]]</f>
        <v>931.32</v>
      </c>
      <c r="AB194" s="1">
        <f>IF(ESTIMATIVA[[#This Row],[QT_CANA_REST1]]&gt;0,ESTIMATIVA[[#This Row],[QT_CANA_REST1]],
  IF(ESTIMATIVA[[#This Row],[QT_CANA_REAL]]&gt;0,ESTIMATIVA[[#This Row],[QT_CANA_REAL]],ESTIMATIVA[[#This Row],[QT_CANA_EST]]))</f>
        <v>966.31</v>
      </c>
      <c r="AC19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966.31</v>
      </c>
      <c r="AD194" s="1">
        <f>IF(ESTIMATIVA[[#This Row],[QT_AREA_REAL]]&gt;0,ESTIMATIVA[[#This Row],[QT_CANA_REAL]],ESTIMATIVA[[#This Row],[QT_CANA_EST]])</f>
        <v>966.31</v>
      </c>
      <c r="AE194" s="1">
        <f>IF(ESTIMATIVA[[#This Row],[QT_AREA_REAL]]&gt;0,ESTIMATIVA[[#This Row],[QT_CANA_REAL]],ESTIMATIVA[[#This Row],[QT_CANA_REST1]])</f>
        <v>966.31</v>
      </c>
      <c r="AF194" s="1">
        <f>IF(ESTIMATIVA[[#This Row],[QT_AREA_REAL]]&gt;0,ESTIMATIVA[[#This Row],[QT_CANA_REAL]],ESTIMATIVA[[#This Row],[QT_CANA_REST2]])</f>
        <v>966.31</v>
      </c>
      <c r="AG194" s="1" t="str">
        <f>IF(COUNTIFS(GEADA!A:A,VALUE(ESTIMATIVA[[#This Row],[CD_UPNIVEL1]]&amp;TEXT(ESTIMATIVA[[#This Row],[CD_UPNIVEL3]],"0000")))&gt;0,"S","N")</f>
        <v>N</v>
      </c>
      <c r="AH19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94" s="55" t="str">
        <f>IF(ESTIMATIVA[[#This Row],[TP_CULTIVO]]="Irrigado",_xlfn.MAXIFS(IRRIGADO!J:J,IRRIGADO!C:C,ESTIMATIVA[[#This Row],[CD_UPNIVEL1]],IRRIGADO!E:E,ESTIMATIVA[[#This Row],[CD_UPNIVEL3]]),"")</f>
        <v/>
      </c>
      <c r="AJ19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4" s="1">
        <f>COUNTIFS(Apresentação!$E$23:$E$29,ESTIMATIVA[[#This Row],[CD_UPNIVEL1]])</f>
        <v>0</v>
      </c>
    </row>
    <row r="195" spans="1:37" x14ac:dyDescent="0.3">
      <c r="A195">
        <v>20305</v>
      </c>
      <c r="B195" t="s">
        <v>22</v>
      </c>
      <c r="C195">
        <v>140</v>
      </c>
      <c r="D195">
        <v>3</v>
      </c>
      <c r="E195" t="s">
        <v>263</v>
      </c>
      <c r="F195" s="85" t="s">
        <v>331</v>
      </c>
      <c r="G195"/>
      <c r="H195" t="s">
        <v>295</v>
      </c>
      <c r="I195" t="s">
        <v>197</v>
      </c>
      <c r="J195" t="s">
        <v>175</v>
      </c>
      <c r="K195" s="1">
        <v>15.53</v>
      </c>
      <c r="L195" s="1">
        <v>0</v>
      </c>
      <c r="M195" s="1">
        <v>0</v>
      </c>
      <c r="N195" s="1">
        <v>15.53</v>
      </c>
      <c r="O195" s="1">
        <v>1242.4000000000001</v>
      </c>
      <c r="P195" s="1">
        <v>0</v>
      </c>
      <c r="Q195" s="1">
        <v>0</v>
      </c>
      <c r="R195" s="1">
        <v>1618.62</v>
      </c>
      <c r="S195" t="s">
        <v>12</v>
      </c>
      <c r="T195" s="13">
        <v>45774</v>
      </c>
      <c r="U195" s="1" t="str">
        <f>IF(ESTIMATIVA[[#This Row],[QT_AREA_REAL]]&gt;0,"1- Colhido","2- à Colher")</f>
        <v>1- Colhido</v>
      </c>
      <c r="V195" s="1" t="str">
        <f>IF(ESTIMATIVA[[#This Row],[QT_AREA_REST1]]&gt;0,"Reestimativa 1",IF(ESTIMATIVA[[#This Row],[QT_AREA_REAL]]=0,"Reestimativa 1","Realizado"))</f>
        <v>Realizado</v>
      </c>
      <c r="W195" s="1" t="str">
        <f>IF(ESTIMATIVA[[#This Row],[QT_AREA_REST2]]&gt;0,"Reestimativa 2",IF(ESTIMATIVA[[#This Row],[QT_AREA_REAL]]=0,"Reestimativa 2","Realizado"))</f>
        <v>Realizado</v>
      </c>
      <c r="X195" s="1">
        <f>ESTIMATIVA[[#This Row],[QT_AREA_EST]]</f>
        <v>15.53</v>
      </c>
      <c r="Y195" s="1">
        <f>IF(ESTIMATIVA[[#This Row],[QT_AREA_REST1]]&gt;0,ESTIMATIVA[[#This Row],[QT_AREA_REST1]],
  IF(ESTIMATIVA[[#This Row],[QT_AREA_REAL]]&gt;0,ESTIMATIVA[[#This Row],[QT_AREA_REAL]],ESTIMATIVA[[#This Row],[QT_AREA_EST]]))</f>
        <v>15.53</v>
      </c>
      <c r="Z19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15.53</v>
      </c>
      <c r="AA195" s="1">
        <f>ESTIMATIVA[[#This Row],[QT_CANA_EST]]</f>
        <v>1242.4000000000001</v>
      </c>
      <c r="AB195" s="1">
        <f>IF(ESTIMATIVA[[#This Row],[QT_CANA_REST1]]&gt;0,ESTIMATIVA[[#This Row],[QT_CANA_REST1]],
  IF(ESTIMATIVA[[#This Row],[QT_CANA_REAL]]&gt;0,ESTIMATIVA[[#This Row],[QT_CANA_REAL]],ESTIMATIVA[[#This Row],[QT_CANA_EST]]))</f>
        <v>1618.62</v>
      </c>
      <c r="AC19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1618.62</v>
      </c>
      <c r="AD195" s="1">
        <f>IF(ESTIMATIVA[[#This Row],[QT_AREA_REAL]]&gt;0,ESTIMATIVA[[#This Row],[QT_CANA_REAL]],ESTIMATIVA[[#This Row],[QT_CANA_EST]])</f>
        <v>1618.62</v>
      </c>
      <c r="AE195" s="1">
        <f>IF(ESTIMATIVA[[#This Row],[QT_AREA_REAL]]&gt;0,ESTIMATIVA[[#This Row],[QT_CANA_REAL]],ESTIMATIVA[[#This Row],[QT_CANA_REST1]])</f>
        <v>1618.62</v>
      </c>
      <c r="AF195" s="1">
        <f>IF(ESTIMATIVA[[#This Row],[QT_AREA_REAL]]&gt;0,ESTIMATIVA[[#This Row],[QT_CANA_REAL]],ESTIMATIVA[[#This Row],[QT_CANA_REST2]])</f>
        <v>1618.62</v>
      </c>
      <c r="AG195" s="1" t="str">
        <f>IF(COUNTIFS(GEADA!A:A,VALUE(ESTIMATIVA[[#This Row],[CD_UPNIVEL1]]&amp;TEXT(ESTIMATIVA[[#This Row],[CD_UPNIVEL3]],"0000")))&gt;0,"S","N")</f>
        <v>N</v>
      </c>
      <c r="AH19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95" s="55" t="str">
        <f>IF(ESTIMATIVA[[#This Row],[TP_CULTIVO]]="Irrigado",_xlfn.MAXIFS(IRRIGADO!J:J,IRRIGADO!C:C,ESTIMATIVA[[#This Row],[CD_UPNIVEL1]],IRRIGADO!E:E,ESTIMATIVA[[#This Row],[CD_UPNIVEL3]]),"")</f>
        <v/>
      </c>
      <c r="AJ19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5" s="1">
        <f>COUNTIFS(Apresentação!$E$23:$E$29,ESTIMATIVA[[#This Row],[CD_UPNIVEL1]])</f>
        <v>0</v>
      </c>
    </row>
    <row r="196" spans="1:37" x14ac:dyDescent="0.3">
      <c r="A196">
        <v>20305</v>
      </c>
      <c r="B196" t="s">
        <v>22</v>
      </c>
      <c r="C196">
        <v>189</v>
      </c>
      <c r="D196">
        <v>4</v>
      </c>
      <c r="E196" t="s">
        <v>265</v>
      </c>
      <c r="F196" s="85" t="s">
        <v>331</v>
      </c>
      <c r="G196"/>
      <c r="H196" t="s">
        <v>295</v>
      </c>
      <c r="I196" t="s">
        <v>209</v>
      </c>
      <c r="J196" t="s">
        <v>175</v>
      </c>
      <c r="K196" s="1">
        <v>15.08</v>
      </c>
      <c r="L196" s="1">
        <v>15.08</v>
      </c>
      <c r="M196" s="1">
        <v>15.08</v>
      </c>
      <c r="N196" s="1">
        <v>15.08</v>
      </c>
      <c r="O196" s="1">
        <v>1206.4000000000001</v>
      </c>
      <c r="P196" s="1">
        <v>1206.4000000000001</v>
      </c>
      <c r="Q196" s="1">
        <v>1055.5999999999999</v>
      </c>
      <c r="R196" s="1">
        <v>1260.02</v>
      </c>
      <c r="S196" t="s">
        <v>12</v>
      </c>
      <c r="T196" s="13">
        <v>45991</v>
      </c>
      <c r="U196" s="1" t="str">
        <f>IF(ESTIMATIVA[[#This Row],[QT_AREA_REAL]]&gt;0,"1- Colhido","2- à Colher")</f>
        <v>1- Colhido</v>
      </c>
      <c r="V196" s="1" t="str">
        <f>IF(ESTIMATIVA[[#This Row],[QT_AREA_REST1]]&gt;0,"Reestimativa 1",IF(ESTIMATIVA[[#This Row],[QT_AREA_REAL]]=0,"Reestimativa 1","Realizado"))</f>
        <v>Reestimativa 1</v>
      </c>
      <c r="W196" s="1" t="str">
        <f>IF(ESTIMATIVA[[#This Row],[QT_AREA_REST2]]&gt;0,"Reestimativa 2",IF(ESTIMATIVA[[#This Row],[QT_AREA_REAL]]=0,"Reestimativa 2","Realizado"))</f>
        <v>Reestimativa 2</v>
      </c>
      <c r="X196" s="1">
        <f>ESTIMATIVA[[#This Row],[QT_AREA_EST]]</f>
        <v>15.08</v>
      </c>
      <c r="Y196" s="1">
        <f>IF(ESTIMATIVA[[#This Row],[QT_AREA_REST1]]&gt;0,ESTIMATIVA[[#This Row],[QT_AREA_REST1]],
  IF(ESTIMATIVA[[#This Row],[QT_AREA_REAL]]&gt;0,ESTIMATIVA[[#This Row],[QT_AREA_REAL]],ESTIMATIVA[[#This Row],[QT_AREA_EST]]))</f>
        <v>15.08</v>
      </c>
      <c r="Z19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15.08</v>
      </c>
      <c r="AA196" s="1">
        <f>ESTIMATIVA[[#This Row],[QT_CANA_EST]]</f>
        <v>1206.4000000000001</v>
      </c>
      <c r="AB196" s="1">
        <f>IF(ESTIMATIVA[[#This Row],[QT_CANA_REST1]]&gt;0,ESTIMATIVA[[#This Row],[QT_CANA_REST1]],
  IF(ESTIMATIVA[[#This Row],[QT_CANA_REAL]]&gt;0,ESTIMATIVA[[#This Row],[QT_CANA_REAL]],ESTIMATIVA[[#This Row],[QT_CANA_EST]]))</f>
        <v>1206.4000000000001</v>
      </c>
      <c r="AC19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1055.5999999999999</v>
      </c>
      <c r="AD196" s="1">
        <f>IF(ESTIMATIVA[[#This Row],[QT_AREA_REAL]]&gt;0,ESTIMATIVA[[#This Row],[QT_CANA_REAL]],ESTIMATIVA[[#This Row],[QT_CANA_EST]])</f>
        <v>1260.02</v>
      </c>
      <c r="AE196" s="1">
        <f>IF(ESTIMATIVA[[#This Row],[QT_AREA_REAL]]&gt;0,ESTIMATIVA[[#This Row],[QT_CANA_REAL]],ESTIMATIVA[[#This Row],[QT_CANA_REST1]])</f>
        <v>1260.02</v>
      </c>
      <c r="AF196" s="1">
        <f>IF(ESTIMATIVA[[#This Row],[QT_AREA_REAL]]&gt;0,ESTIMATIVA[[#This Row],[QT_CANA_REAL]],ESTIMATIVA[[#This Row],[QT_CANA_REST2]])</f>
        <v>1260.02</v>
      </c>
      <c r="AG196" s="1" t="str">
        <f>IF(COUNTIFS(GEADA!A:A,VALUE(ESTIMATIVA[[#This Row],[CD_UPNIVEL1]]&amp;TEXT(ESTIMATIVA[[#This Row],[CD_UPNIVEL3]],"0000")))&gt;0,"S","N")</f>
        <v>N</v>
      </c>
      <c r="AH196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96" s="55">
        <f>IF(ESTIMATIVA[[#This Row],[TP_CULTIVO]]="Irrigado",_xlfn.MAXIFS(IRRIGADO!J:J,IRRIGADO!C:C,ESTIMATIVA[[#This Row],[CD_UPNIVEL1]],IRRIGADO!E:E,ESTIMATIVA[[#This Row],[CD_UPNIVEL3]]),"")</f>
        <v>45626</v>
      </c>
      <c r="AJ196" s="1">
        <f>IF(ESTIMATIVA[[#This Row],[TP_CULTIVO]]&lt;&gt;"Irrigado",0,AVERAGEIFS(IRRIGADO!G:G,IRRIGADO!C:C,ESTIMATIVA[[#This Row],[CD_UPNIVEL1]],IRRIGADO!E:E,ESTIMATIVA[[#This Row],[CD_UPNIVEL3]])*ESTIMATIVA[[#This Row],[QT_AREA_REAL]])</f>
        <v>301.60000000000002</v>
      </c>
      <c r="AK196" s="1">
        <f>COUNTIFS(Apresentação!$E$23:$E$29,ESTIMATIVA[[#This Row],[CD_UPNIVEL1]])</f>
        <v>0</v>
      </c>
    </row>
    <row r="197" spans="1:37" x14ac:dyDescent="0.3">
      <c r="A197">
        <v>20305</v>
      </c>
      <c r="B197" t="s">
        <v>22</v>
      </c>
      <c r="C197">
        <v>190</v>
      </c>
      <c r="D197">
        <v>4</v>
      </c>
      <c r="E197" t="s">
        <v>265</v>
      </c>
      <c r="F197" s="85" t="s">
        <v>331</v>
      </c>
      <c r="G197"/>
      <c r="H197" t="s">
        <v>295</v>
      </c>
      <c r="I197" t="s">
        <v>200</v>
      </c>
      <c r="J197" t="s">
        <v>175</v>
      </c>
      <c r="K197" s="1">
        <v>41.45</v>
      </c>
      <c r="L197" s="1">
        <v>41.45</v>
      </c>
      <c r="M197" s="1">
        <v>41.45</v>
      </c>
      <c r="N197" s="1">
        <v>41.45</v>
      </c>
      <c r="O197" s="1">
        <v>3316</v>
      </c>
      <c r="P197" s="1">
        <v>3316</v>
      </c>
      <c r="Q197" s="1">
        <v>2901.5</v>
      </c>
      <c r="R197" s="1">
        <v>3462.94</v>
      </c>
      <c r="S197" t="s">
        <v>12</v>
      </c>
      <c r="T197" s="13">
        <v>45991</v>
      </c>
      <c r="U197" s="1" t="str">
        <f>IF(ESTIMATIVA[[#This Row],[QT_AREA_REAL]]&gt;0,"1- Colhido","2- à Colher")</f>
        <v>1- Colhido</v>
      </c>
      <c r="V197" s="1" t="str">
        <f>IF(ESTIMATIVA[[#This Row],[QT_AREA_REST1]]&gt;0,"Reestimativa 1",IF(ESTIMATIVA[[#This Row],[QT_AREA_REAL]]=0,"Reestimativa 1","Realizado"))</f>
        <v>Reestimativa 1</v>
      </c>
      <c r="W197" s="1" t="str">
        <f>IF(ESTIMATIVA[[#This Row],[QT_AREA_REST2]]&gt;0,"Reestimativa 2",IF(ESTIMATIVA[[#This Row],[QT_AREA_REAL]]=0,"Reestimativa 2","Realizado"))</f>
        <v>Reestimativa 2</v>
      </c>
      <c r="X197" s="1">
        <f>ESTIMATIVA[[#This Row],[QT_AREA_EST]]</f>
        <v>41.45</v>
      </c>
      <c r="Y197" s="1">
        <f>IF(ESTIMATIVA[[#This Row],[QT_AREA_REST1]]&gt;0,ESTIMATIVA[[#This Row],[QT_AREA_REST1]],
  IF(ESTIMATIVA[[#This Row],[QT_AREA_REAL]]&gt;0,ESTIMATIVA[[#This Row],[QT_AREA_REAL]],ESTIMATIVA[[#This Row],[QT_AREA_EST]]))</f>
        <v>41.45</v>
      </c>
      <c r="Z19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41.45</v>
      </c>
      <c r="AA197" s="1">
        <f>ESTIMATIVA[[#This Row],[QT_CANA_EST]]</f>
        <v>3316</v>
      </c>
      <c r="AB197" s="1">
        <f>IF(ESTIMATIVA[[#This Row],[QT_CANA_REST1]]&gt;0,ESTIMATIVA[[#This Row],[QT_CANA_REST1]],
  IF(ESTIMATIVA[[#This Row],[QT_CANA_REAL]]&gt;0,ESTIMATIVA[[#This Row],[QT_CANA_REAL]],ESTIMATIVA[[#This Row],[QT_CANA_EST]]))</f>
        <v>3316</v>
      </c>
      <c r="AC19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2901.5</v>
      </c>
      <c r="AD197" s="1">
        <f>IF(ESTIMATIVA[[#This Row],[QT_AREA_REAL]]&gt;0,ESTIMATIVA[[#This Row],[QT_CANA_REAL]],ESTIMATIVA[[#This Row],[QT_CANA_EST]])</f>
        <v>3462.94</v>
      </c>
      <c r="AE197" s="1">
        <f>IF(ESTIMATIVA[[#This Row],[QT_AREA_REAL]]&gt;0,ESTIMATIVA[[#This Row],[QT_CANA_REAL]],ESTIMATIVA[[#This Row],[QT_CANA_REST1]])</f>
        <v>3462.94</v>
      </c>
      <c r="AF197" s="1">
        <f>IF(ESTIMATIVA[[#This Row],[QT_AREA_REAL]]&gt;0,ESTIMATIVA[[#This Row],[QT_CANA_REAL]],ESTIMATIVA[[#This Row],[QT_CANA_REST2]])</f>
        <v>3462.94</v>
      </c>
      <c r="AG197" s="1" t="str">
        <f>IF(COUNTIFS(GEADA!A:A,VALUE(ESTIMATIVA[[#This Row],[CD_UPNIVEL1]]&amp;TEXT(ESTIMATIVA[[#This Row],[CD_UPNIVEL3]],"0000")))&gt;0,"S","N")</f>
        <v>N</v>
      </c>
      <c r="AH197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97" s="55">
        <f>IF(ESTIMATIVA[[#This Row],[TP_CULTIVO]]="Irrigado",_xlfn.MAXIFS(IRRIGADO!J:J,IRRIGADO!C:C,ESTIMATIVA[[#This Row],[CD_UPNIVEL1]],IRRIGADO!E:E,ESTIMATIVA[[#This Row],[CD_UPNIVEL3]]),"")</f>
        <v>45626</v>
      </c>
      <c r="AJ197" s="1">
        <f>IF(ESTIMATIVA[[#This Row],[TP_CULTIVO]]&lt;&gt;"Irrigado",0,AVERAGEIFS(IRRIGADO!G:G,IRRIGADO!C:C,ESTIMATIVA[[#This Row],[CD_UPNIVEL1]],IRRIGADO!E:E,ESTIMATIVA[[#This Row],[CD_UPNIVEL3]])*ESTIMATIVA[[#This Row],[QT_AREA_REAL]])</f>
        <v>829</v>
      </c>
      <c r="AK197" s="1">
        <f>COUNTIFS(Apresentação!$E$23:$E$29,ESTIMATIVA[[#This Row],[CD_UPNIVEL1]])</f>
        <v>0</v>
      </c>
    </row>
    <row r="198" spans="1:37" x14ac:dyDescent="0.3">
      <c r="A198">
        <v>20305</v>
      </c>
      <c r="B198" t="s">
        <v>22</v>
      </c>
      <c r="C198">
        <v>191</v>
      </c>
      <c r="D198">
        <v>4</v>
      </c>
      <c r="E198" t="s">
        <v>265</v>
      </c>
      <c r="F198" s="85" t="s">
        <v>331</v>
      </c>
      <c r="G198"/>
      <c r="H198" t="s">
        <v>295</v>
      </c>
      <c r="I198" t="s">
        <v>200</v>
      </c>
      <c r="J198" t="s">
        <v>175</v>
      </c>
      <c r="K198" s="1">
        <v>47.63</v>
      </c>
      <c r="L198" s="1">
        <v>47.63</v>
      </c>
      <c r="M198" s="1">
        <v>47.63</v>
      </c>
      <c r="N198" s="1">
        <v>47.63</v>
      </c>
      <c r="O198" s="1">
        <v>3429.36</v>
      </c>
      <c r="P198" s="1">
        <v>3524.62</v>
      </c>
      <c r="Q198" s="1">
        <v>3334.1</v>
      </c>
      <c r="R198" s="1">
        <v>3126.82</v>
      </c>
      <c r="S198" t="s">
        <v>12</v>
      </c>
      <c r="T198" s="13">
        <v>45991</v>
      </c>
      <c r="U198" s="1" t="str">
        <f>IF(ESTIMATIVA[[#This Row],[QT_AREA_REAL]]&gt;0,"1- Colhido","2- à Colher")</f>
        <v>1- Colhido</v>
      </c>
      <c r="V198" s="1" t="str">
        <f>IF(ESTIMATIVA[[#This Row],[QT_AREA_REST1]]&gt;0,"Reestimativa 1",IF(ESTIMATIVA[[#This Row],[QT_AREA_REAL]]=0,"Reestimativa 1","Realizado"))</f>
        <v>Reestimativa 1</v>
      </c>
      <c r="W198" s="1" t="str">
        <f>IF(ESTIMATIVA[[#This Row],[QT_AREA_REST2]]&gt;0,"Reestimativa 2",IF(ESTIMATIVA[[#This Row],[QT_AREA_REAL]]=0,"Reestimativa 2","Realizado"))</f>
        <v>Reestimativa 2</v>
      </c>
      <c r="X198" s="1">
        <f>ESTIMATIVA[[#This Row],[QT_AREA_EST]]</f>
        <v>47.63</v>
      </c>
      <c r="Y198" s="1">
        <f>IF(ESTIMATIVA[[#This Row],[QT_AREA_REST1]]&gt;0,ESTIMATIVA[[#This Row],[QT_AREA_REST1]],
  IF(ESTIMATIVA[[#This Row],[QT_AREA_REAL]]&gt;0,ESTIMATIVA[[#This Row],[QT_AREA_REAL]],ESTIMATIVA[[#This Row],[QT_AREA_EST]]))</f>
        <v>47.63</v>
      </c>
      <c r="Z19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47.63</v>
      </c>
      <c r="AA198" s="1">
        <f>ESTIMATIVA[[#This Row],[QT_CANA_EST]]</f>
        <v>3429.36</v>
      </c>
      <c r="AB198" s="1">
        <f>IF(ESTIMATIVA[[#This Row],[QT_CANA_REST1]]&gt;0,ESTIMATIVA[[#This Row],[QT_CANA_REST1]],
  IF(ESTIMATIVA[[#This Row],[QT_CANA_REAL]]&gt;0,ESTIMATIVA[[#This Row],[QT_CANA_REAL]],ESTIMATIVA[[#This Row],[QT_CANA_EST]]))</f>
        <v>3524.62</v>
      </c>
      <c r="AC19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3334.1</v>
      </c>
      <c r="AD198" s="1">
        <f>IF(ESTIMATIVA[[#This Row],[QT_AREA_REAL]]&gt;0,ESTIMATIVA[[#This Row],[QT_CANA_REAL]],ESTIMATIVA[[#This Row],[QT_CANA_EST]])</f>
        <v>3126.82</v>
      </c>
      <c r="AE198" s="1">
        <f>IF(ESTIMATIVA[[#This Row],[QT_AREA_REAL]]&gt;0,ESTIMATIVA[[#This Row],[QT_CANA_REAL]],ESTIMATIVA[[#This Row],[QT_CANA_REST1]])</f>
        <v>3126.82</v>
      </c>
      <c r="AF198" s="1">
        <f>IF(ESTIMATIVA[[#This Row],[QT_AREA_REAL]]&gt;0,ESTIMATIVA[[#This Row],[QT_CANA_REAL]],ESTIMATIVA[[#This Row],[QT_CANA_REST2]])</f>
        <v>3126.82</v>
      </c>
      <c r="AG198" s="1" t="str">
        <f>IF(COUNTIFS(GEADA!A:A,VALUE(ESTIMATIVA[[#This Row],[CD_UPNIVEL1]]&amp;TEXT(ESTIMATIVA[[#This Row],[CD_UPNIVEL3]],"0000")))&gt;0,"S","N")</f>
        <v>N</v>
      </c>
      <c r="AH198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98" s="55">
        <f>IF(ESTIMATIVA[[#This Row],[TP_CULTIVO]]="Irrigado",_xlfn.MAXIFS(IRRIGADO!J:J,IRRIGADO!C:C,ESTIMATIVA[[#This Row],[CD_UPNIVEL1]],IRRIGADO!E:E,ESTIMATIVA[[#This Row],[CD_UPNIVEL3]]),"")</f>
        <v>45626</v>
      </c>
      <c r="AJ198" s="1">
        <f>IF(ESTIMATIVA[[#This Row],[TP_CULTIVO]]&lt;&gt;"Irrigado",0,AVERAGEIFS(IRRIGADO!G:G,IRRIGADO!C:C,ESTIMATIVA[[#This Row],[CD_UPNIVEL1]],IRRIGADO!E:E,ESTIMATIVA[[#This Row],[CD_UPNIVEL3]])*ESTIMATIVA[[#This Row],[QT_AREA_REAL]])</f>
        <v>952.6</v>
      </c>
      <c r="AK198" s="1">
        <f>COUNTIFS(Apresentação!$E$23:$E$29,ESTIMATIVA[[#This Row],[CD_UPNIVEL1]])</f>
        <v>0</v>
      </c>
    </row>
    <row r="199" spans="1:37" x14ac:dyDescent="0.3">
      <c r="A199">
        <v>20305</v>
      </c>
      <c r="B199" t="s">
        <v>22</v>
      </c>
      <c r="C199">
        <v>192</v>
      </c>
      <c r="D199">
        <v>4</v>
      </c>
      <c r="E199" t="s">
        <v>265</v>
      </c>
      <c r="F199" s="85" t="s">
        <v>331</v>
      </c>
      <c r="G199"/>
      <c r="H199" t="s">
        <v>295</v>
      </c>
      <c r="I199" t="s">
        <v>200</v>
      </c>
      <c r="J199" t="s">
        <v>175</v>
      </c>
      <c r="K199" s="1">
        <v>26.84</v>
      </c>
      <c r="L199" s="1">
        <v>26.84</v>
      </c>
      <c r="M199" s="1">
        <v>26.84</v>
      </c>
      <c r="N199" s="1">
        <v>26.84</v>
      </c>
      <c r="O199" s="1">
        <v>1959.32</v>
      </c>
      <c r="P199" s="1">
        <v>2039.84</v>
      </c>
      <c r="Q199" s="1">
        <v>1878.8</v>
      </c>
      <c r="R199" s="1">
        <v>1762.35</v>
      </c>
      <c r="S199" t="s">
        <v>12</v>
      </c>
      <c r="T199" s="13">
        <v>45991</v>
      </c>
      <c r="U199" s="1" t="str">
        <f>IF(ESTIMATIVA[[#This Row],[QT_AREA_REAL]]&gt;0,"1- Colhido","2- à Colher")</f>
        <v>1- Colhido</v>
      </c>
      <c r="V199" s="1" t="str">
        <f>IF(ESTIMATIVA[[#This Row],[QT_AREA_REST1]]&gt;0,"Reestimativa 1",IF(ESTIMATIVA[[#This Row],[QT_AREA_REAL]]=0,"Reestimativa 1","Realizado"))</f>
        <v>Reestimativa 1</v>
      </c>
      <c r="W199" s="1" t="str">
        <f>IF(ESTIMATIVA[[#This Row],[QT_AREA_REST2]]&gt;0,"Reestimativa 2",IF(ESTIMATIVA[[#This Row],[QT_AREA_REAL]]=0,"Reestimativa 2","Realizado"))</f>
        <v>Reestimativa 2</v>
      </c>
      <c r="X199" s="1">
        <f>ESTIMATIVA[[#This Row],[QT_AREA_EST]]</f>
        <v>26.84</v>
      </c>
      <c r="Y199" s="1">
        <f>IF(ESTIMATIVA[[#This Row],[QT_AREA_REST1]]&gt;0,ESTIMATIVA[[#This Row],[QT_AREA_REST1]],
  IF(ESTIMATIVA[[#This Row],[QT_AREA_REAL]]&gt;0,ESTIMATIVA[[#This Row],[QT_AREA_REAL]],ESTIMATIVA[[#This Row],[QT_AREA_EST]]))</f>
        <v>26.84</v>
      </c>
      <c r="Z19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26.84</v>
      </c>
      <c r="AA199" s="1">
        <f>ESTIMATIVA[[#This Row],[QT_CANA_EST]]</f>
        <v>1959.32</v>
      </c>
      <c r="AB199" s="1">
        <f>IF(ESTIMATIVA[[#This Row],[QT_CANA_REST1]]&gt;0,ESTIMATIVA[[#This Row],[QT_CANA_REST1]],
  IF(ESTIMATIVA[[#This Row],[QT_CANA_REAL]]&gt;0,ESTIMATIVA[[#This Row],[QT_CANA_REAL]],ESTIMATIVA[[#This Row],[QT_CANA_EST]]))</f>
        <v>2039.84</v>
      </c>
      <c r="AC19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1878.8</v>
      </c>
      <c r="AD199" s="1">
        <f>IF(ESTIMATIVA[[#This Row],[QT_AREA_REAL]]&gt;0,ESTIMATIVA[[#This Row],[QT_CANA_REAL]],ESTIMATIVA[[#This Row],[QT_CANA_EST]])</f>
        <v>1762.35</v>
      </c>
      <c r="AE199" s="1">
        <f>IF(ESTIMATIVA[[#This Row],[QT_AREA_REAL]]&gt;0,ESTIMATIVA[[#This Row],[QT_CANA_REAL]],ESTIMATIVA[[#This Row],[QT_CANA_REST1]])</f>
        <v>1762.35</v>
      </c>
      <c r="AF199" s="1">
        <f>IF(ESTIMATIVA[[#This Row],[QT_AREA_REAL]]&gt;0,ESTIMATIVA[[#This Row],[QT_CANA_REAL]],ESTIMATIVA[[#This Row],[QT_CANA_REST2]])</f>
        <v>1762.35</v>
      </c>
      <c r="AG199" s="1" t="str">
        <f>IF(COUNTIFS(GEADA!A:A,VALUE(ESTIMATIVA[[#This Row],[CD_UPNIVEL1]]&amp;TEXT(ESTIMATIVA[[#This Row],[CD_UPNIVEL3]],"0000")))&gt;0,"S","N")</f>
        <v>N</v>
      </c>
      <c r="AH199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99" s="55">
        <f>IF(ESTIMATIVA[[#This Row],[TP_CULTIVO]]="Irrigado",_xlfn.MAXIFS(IRRIGADO!J:J,IRRIGADO!C:C,ESTIMATIVA[[#This Row],[CD_UPNIVEL1]],IRRIGADO!E:E,ESTIMATIVA[[#This Row],[CD_UPNIVEL3]]),"")</f>
        <v>45626</v>
      </c>
      <c r="AJ199" s="1">
        <f>IF(ESTIMATIVA[[#This Row],[TP_CULTIVO]]&lt;&gt;"Irrigado",0,AVERAGEIFS(IRRIGADO!G:G,IRRIGADO!C:C,ESTIMATIVA[[#This Row],[CD_UPNIVEL1]],IRRIGADO!E:E,ESTIMATIVA[[#This Row],[CD_UPNIVEL3]])*ESTIMATIVA[[#This Row],[QT_AREA_REAL]])</f>
        <v>536.79999999999995</v>
      </c>
      <c r="AK199" s="1">
        <f>COUNTIFS(Apresentação!$E$23:$E$29,ESTIMATIVA[[#This Row],[CD_UPNIVEL1]])</f>
        <v>0</v>
      </c>
    </row>
    <row r="200" spans="1:37" x14ac:dyDescent="0.3">
      <c r="A200">
        <v>20305</v>
      </c>
      <c r="B200" t="s">
        <v>22</v>
      </c>
      <c r="C200">
        <v>263</v>
      </c>
      <c r="D200">
        <v>3</v>
      </c>
      <c r="E200" t="s">
        <v>263</v>
      </c>
      <c r="F200" s="85" t="s">
        <v>331</v>
      </c>
      <c r="G200"/>
      <c r="H200" t="s">
        <v>295</v>
      </c>
      <c r="I200" t="s">
        <v>208</v>
      </c>
      <c r="J200" t="s">
        <v>175</v>
      </c>
      <c r="K200" s="1">
        <v>21.45</v>
      </c>
      <c r="L200" s="1">
        <v>0</v>
      </c>
      <c r="M200" s="1">
        <v>0</v>
      </c>
      <c r="N200" s="1">
        <v>21.45</v>
      </c>
      <c r="O200" s="1">
        <v>1930.5</v>
      </c>
      <c r="P200" s="1">
        <v>0</v>
      </c>
      <c r="Q200" s="1">
        <v>0</v>
      </c>
      <c r="R200" s="1">
        <v>2057.79</v>
      </c>
      <c r="S200" t="s">
        <v>12</v>
      </c>
      <c r="T200" s="13">
        <v>45851</v>
      </c>
      <c r="U200" s="1" t="str">
        <f>IF(ESTIMATIVA[[#This Row],[QT_AREA_REAL]]&gt;0,"1- Colhido","2- à Colher")</f>
        <v>1- Colhido</v>
      </c>
      <c r="V200" s="1" t="str">
        <f>IF(ESTIMATIVA[[#This Row],[QT_AREA_REST1]]&gt;0,"Reestimativa 1",IF(ESTIMATIVA[[#This Row],[QT_AREA_REAL]]=0,"Reestimativa 1","Realizado"))</f>
        <v>Realizado</v>
      </c>
      <c r="W200" s="1" t="str">
        <f>IF(ESTIMATIVA[[#This Row],[QT_AREA_REST2]]&gt;0,"Reestimativa 2",IF(ESTIMATIVA[[#This Row],[QT_AREA_REAL]]=0,"Reestimativa 2","Realizado"))</f>
        <v>Realizado</v>
      </c>
      <c r="X200" s="1">
        <f>ESTIMATIVA[[#This Row],[QT_AREA_EST]]</f>
        <v>21.45</v>
      </c>
      <c r="Y200" s="1">
        <f>IF(ESTIMATIVA[[#This Row],[QT_AREA_REST1]]&gt;0,ESTIMATIVA[[#This Row],[QT_AREA_REST1]],
  IF(ESTIMATIVA[[#This Row],[QT_AREA_REAL]]&gt;0,ESTIMATIVA[[#This Row],[QT_AREA_REAL]],ESTIMATIVA[[#This Row],[QT_AREA_EST]]))</f>
        <v>21.45</v>
      </c>
      <c r="Z20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21.45</v>
      </c>
      <c r="AA200" s="1">
        <f>ESTIMATIVA[[#This Row],[QT_CANA_EST]]</f>
        <v>1930.5</v>
      </c>
      <c r="AB200" s="1">
        <f>IF(ESTIMATIVA[[#This Row],[QT_CANA_REST1]]&gt;0,ESTIMATIVA[[#This Row],[QT_CANA_REST1]],
  IF(ESTIMATIVA[[#This Row],[QT_CANA_REAL]]&gt;0,ESTIMATIVA[[#This Row],[QT_CANA_REAL]],ESTIMATIVA[[#This Row],[QT_CANA_EST]]))</f>
        <v>2057.79</v>
      </c>
      <c r="AC20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2057.79</v>
      </c>
      <c r="AD200" s="1">
        <f>IF(ESTIMATIVA[[#This Row],[QT_AREA_REAL]]&gt;0,ESTIMATIVA[[#This Row],[QT_CANA_REAL]],ESTIMATIVA[[#This Row],[QT_CANA_EST]])</f>
        <v>2057.79</v>
      </c>
      <c r="AE200" s="1">
        <f>IF(ESTIMATIVA[[#This Row],[QT_AREA_REAL]]&gt;0,ESTIMATIVA[[#This Row],[QT_CANA_REAL]],ESTIMATIVA[[#This Row],[QT_CANA_REST1]])</f>
        <v>2057.79</v>
      </c>
      <c r="AF200" s="1">
        <f>IF(ESTIMATIVA[[#This Row],[QT_AREA_REAL]]&gt;0,ESTIMATIVA[[#This Row],[QT_CANA_REAL]],ESTIMATIVA[[#This Row],[QT_CANA_REST2]])</f>
        <v>2057.79</v>
      </c>
      <c r="AG200" s="1" t="str">
        <f>IF(COUNTIFS(GEADA!A:A,VALUE(ESTIMATIVA[[#This Row],[CD_UPNIVEL1]]&amp;TEXT(ESTIMATIVA[[#This Row],[CD_UPNIVEL3]],"0000")))&gt;0,"S","N")</f>
        <v>N</v>
      </c>
      <c r="AH20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00" s="55" t="str">
        <f>IF(ESTIMATIVA[[#This Row],[TP_CULTIVO]]="Irrigado",_xlfn.MAXIFS(IRRIGADO!J:J,IRRIGADO!C:C,ESTIMATIVA[[#This Row],[CD_UPNIVEL1]],IRRIGADO!E:E,ESTIMATIVA[[#This Row],[CD_UPNIVEL3]]),"")</f>
        <v/>
      </c>
      <c r="AJ20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0" s="1">
        <f>COUNTIFS(Apresentação!$E$23:$E$29,ESTIMATIVA[[#This Row],[CD_UPNIVEL1]])</f>
        <v>0</v>
      </c>
    </row>
    <row r="201" spans="1:37" x14ac:dyDescent="0.3">
      <c r="A201">
        <v>20305</v>
      </c>
      <c r="B201" t="s">
        <v>22</v>
      </c>
      <c r="C201">
        <v>264</v>
      </c>
      <c r="D201">
        <v>3</v>
      </c>
      <c r="E201" t="s">
        <v>263</v>
      </c>
      <c r="F201" s="85" t="s">
        <v>331</v>
      </c>
      <c r="G201"/>
      <c r="H201" t="s">
        <v>295</v>
      </c>
      <c r="I201" t="s">
        <v>208</v>
      </c>
      <c r="J201" t="s">
        <v>175</v>
      </c>
      <c r="K201" s="1">
        <v>46.76</v>
      </c>
      <c r="L201" s="1">
        <v>0</v>
      </c>
      <c r="M201" s="1">
        <v>0</v>
      </c>
      <c r="N201" s="1">
        <v>46.76</v>
      </c>
      <c r="O201" s="1">
        <v>4208.3999999999996</v>
      </c>
      <c r="P201" s="1">
        <v>0</v>
      </c>
      <c r="Q201" s="1">
        <v>0</v>
      </c>
      <c r="R201" s="1">
        <v>4484.45</v>
      </c>
      <c r="S201" t="s">
        <v>12</v>
      </c>
      <c r="T201" s="13">
        <v>45851</v>
      </c>
      <c r="U201" s="1" t="str">
        <f>IF(ESTIMATIVA[[#This Row],[QT_AREA_REAL]]&gt;0,"1- Colhido","2- à Colher")</f>
        <v>1- Colhido</v>
      </c>
      <c r="V201" s="1" t="str">
        <f>IF(ESTIMATIVA[[#This Row],[QT_AREA_REST1]]&gt;0,"Reestimativa 1",IF(ESTIMATIVA[[#This Row],[QT_AREA_REAL]]=0,"Reestimativa 1","Realizado"))</f>
        <v>Realizado</v>
      </c>
      <c r="W201" s="1" t="str">
        <f>IF(ESTIMATIVA[[#This Row],[QT_AREA_REST2]]&gt;0,"Reestimativa 2",IF(ESTIMATIVA[[#This Row],[QT_AREA_REAL]]=0,"Reestimativa 2","Realizado"))</f>
        <v>Realizado</v>
      </c>
      <c r="X201" s="1">
        <f>ESTIMATIVA[[#This Row],[QT_AREA_EST]]</f>
        <v>46.76</v>
      </c>
      <c r="Y201" s="1">
        <f>IF(ESTIMATIVA[[#This Row],[QT_AREA_REST1]]&gt;0,ESTIMATIVA[[#This Row],[QT_AREA_REST1]],
  IF(ESTIMATIVA[[#This Row],[QT_AREA_REAL]]&gt;0,ESTIMATIVA[[#This Row],[QT_AREA_REAL]],ESTIMATIVA[[#This Row],[QT_AREA_EST]]))</f>
        <v>46.76</v>
      </c>
      <c r="Z20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46.76</v>
      </c>
      <c r="AA201" s="1">
        <f>ESTIMATIVA[[#This Row],[QT_CANA_EST]]</f>
        <v>4208.3999999999996</v>
      </c>
      <c r="AB201" s="1">
        <f>IF(ESTIMATIVA[[#This Row],[QT_CANA_REST1]]&gt;0,ESTIMATIVA[[#This Row],[QT_CANA_REST1]],
  IF(ESTIMATIVA[[#This Row],[QT_CANA_REAL]]&gt;0,ESTIMATIVA[[#This Row],[QT_CANA_REAL]],ESTIMATIVA[[#This Row],[QT_CANA_EST]]))</f>
        <v>4484.45</v>
      </c>
      <c r="AC20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4484.45</v>
      </c>
      <c r="AD201" s="1">
        <f>IF(ESTIMATIVA[[#This Row],[QT_AREA_REAL]]&gt;0,ESTIMATIVA[[#This Row],[QT_CANA_REAL]],ESTIMATIVA[[#This Row],[QT_CANA_EST]])</f>
        <v>4484.45</v>
      </c>
      <c r="AE201" s="1">
        <f>IF(ESTIMATIVA[[#This Row],[QT_AREA_REAL]]&gt;0,ESTIMATIVA[[#This Row],[QT_CANA_REAL]],ESTIMATIVA[[#This Row],[QT_CANA_REST1]])</f>
        <v>4484.45</v>
      </c>
      <c r="AF201" s="1">
        <f>IF(ESTIMATIVA[[#This Row],[QT_AREA_REAL]]&gt;0,ESTIMATIVA[[#This Row],[QT_CANA_REAL]],ESTIMATIVA[[#This Row],[QT_CANA_REST2]])</f>
        <v>4484.45</v>
      </c>
      <c r="AG201" s="1" t="str">
        <f>IF(COUNTIFS(GEADA!A:A,VALUE(ESTIMATIVA[[#This Row],[CD_UPNIVEL1]]&amp;TEXT(ESTIMATIVA[[#This Row],[CD_UPNIVEL3]],"0000")))&gt;0,"S","N")</f>
        <v>N</v>
      </c>
      <c r="AH20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01" s="55" t="str">
        <f>IF(ESTIMATIVA[[#This Row],[TP_CULTIVO]]="Irrigado",_xlfn.MAXIFS(IRRIGADO!J:J,IRRIGADO!C:C,ESTIMATIVA[[#This Row],[CD_UPNIVEL1]],IRRIGADO!E:E,ESTIMATIVA[[#This Row],[CD_UPNIVEL3]]),"")</f>
        <v/>
      </c>
      <c r="AJ20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1" s="1">
        <f>COUNTIFS(Apresentação!$E$23:$E$29,ESTIMATIVA[[#This Row],[CD_UPNIVEL1]])</f>
        <v>0</v>
      </c>
    </row>
    <row r="202" spans="1:37" x14ac:dyDescent="0.3">
      <c r="A202">
        <v>20305</v>
      </c>
      <c r="B202" t="s">
        <v>22</v>
      </c>
      <c r="C202">
        <v>280</v>
      </c>
      <c r="D202">
        <v>3</v>
      </c>
      <c r="E202" t="s">
        <v>263</v>
      </c>
      <c r="F202" s="85" t="s">
        <v>331</v>
      </c>
      <c r="G202"/>
      <c r="H202" t="s">
        <v>295</v>
      </c>
      <c r="I202" t="s">
        <v>208</v>
      </c>
      <c r="J202" t="s">
        <v>175</v>
      </c>
      <c r="K202" s="1">
        <v>23.85</v>
      </c>
      <c r="L202" s="1">
        <v>23.85</v>
      </c>
      <c r="M202" s="1">
        <v>0</v>
      </c>
      <c r="N202" s="1">
        <v>23.85</v>
      </c>
      <c r="O202" s="1">
        <v>2146.5</v>
      </c>
      <c r="P202" s="1">
        <v>2194.1999999999998</v>
      </c>
      <c r="Q202" s="1">
        <v>0</v>
      </c>
      <c r="R202" s="1">
        <v>1965.24</v>
      </c>
      <c r="S202" t="s">
        <v>12</v>
      </c>
      <c r="T202" s="13">
        <v>45872</v>
      </c>
      <c r="U202" s="1" t="str">
        <f>IF(ESTIMATIVA[[#This Row],[QT_AREA_REAL]]&gt;0,"1- Colhido","2- à Colher")</f>
        <v>1- Colhido</v>
      </c>
      <c r="V202" s="1" t="str">
        <f>IF(ESTIMATIVA[[#This Row],[QT_AREA_REST1]]&gt;0,"Reestimativa 1",IF(ESTIMATIVA[[#This Row],[QT_AREA_REAL]]=0,"Reestimativa 1","Realizado"))</f>
        <v>Reestimativa 1</v>
      </c>
      <c r="W202" s="1" t="str">
        <f>IF(ESTIMATIVA[[#This Row],[QT_AREA_REST2]]&gt;0,"Reestimativa 2",IF(ESTIMATIVA[[#This Row],[QT_AREA_REAL]]=0,"Reestimativa 2","Realizado"))</f>
        <v>Realizado</v>
      </c>
      <c r="X202" s="1">
        <f>ESTIMATIVA[[#This Row],[QT_AREA_EST]]</f>
        <v>23.85</v>
      </c>
      <c r="Y202" s="1">
        <f>IF(ESTIMATIVA[[#This Row],[QT_AREA_REST1]]&gt;0,ESTIMATIVA[[#This Row],[QT_AREA_REST1]],
  IF(ESTIMATIVA[[#This Row],[QT_AREA_REAL]]&gt;0,ESTIMATIVA[[#This Row],[QT_AREA_REAL]],ESTIMATIVA[[#This Row],[QT_AREA_EST]]))</f>
        <v>23.85</v>
      </c>
      <c r="Z20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23.85</v>
      </c>
      <c r="AA202" s="1">
        <f>ESTIMATIVA[[#This Row],[QT_CANA_EST]]</f>
        <v>2146.5</v>
      </c>
      <c r="AB202" s="1">
        <f>IF(ESTIMATIVA[[#This Row],[QT_CANA_REST1]]&gt;0,ESTIMATIVA[[#This Row],[QT_CANA_REST1]],
  IF(ESTIMATIVA[[#This Row],[QT_CANA_REAL]]&gt;0,ESTIMATIVA[[#This Row],[QT_CANA_REAL]],ESTIMATIVA[[#This Row],[QT_CANA_EST]]))</f>
        <v>2194.1999999999998</v>
      </c>
      <c r="AC20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1965.24</v>
      </c>
      <c r="AD202" s="1">
        <f>IF(ESTIMATIVA[[#This Row],[QT_AREA_REAL]]&gt;0,ESTIMATIVA[[#This Row],[QT_CANA_REAL]],ESTIMATIVA[[#This Row],[QT_CANA_EST]])</f>
        <v>1965.24</v>
      </c>
      <c r="AE202" s="1">
        <f>IF(ESTIMATIVA[[#This Row],[QT_AREA_REAL]]&gt;0,ESTIMATIVA[[#This Row],[QT_CANA_REAL]],ESTIMATIVA[[#This Row],[QT_CANA_REST1]])</f>
        <v>1965.24</v>
      </c>
      <c r="AF202" s="1">
        <f>IF(ESTIMATIVA[[#This Row],[QT_AREA_REAL]]&gt;0,ESTIMATIVA[[#This Row],[QT_CANA_REAL]],ESTIMATIVA[[#This Row],[QT_CANA_REST2]])</f>
        <v>1965.24</v>
      </c>
      <c r="AG202" s="1" t="str">
        <f>IF(COUNTIFS(GEADA!A:A,VALUE(ESTIMATIVA[[#This Row],[CD_UPNIVEL1]]&amp;TEXT(ESTIMATIVA[[#This Row],[CD_UPNIVEL3]],"0000")))&gt;0,"S","N")</f>
        <v>N</v>
      </c>
      <c r="AH20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02" s="55" t="str">
        <f>IF(ESTIMATIVA[[#This Row],[TP_CULTIVO]]="Irrigado",_xlfn.MAXIFS(IRRIGADO!J:J,IRRIGADO!C:C,ESTIMATIVA[[#This Row],[CD_UPNIVEL1]],IRRIGADO!E:E,ESTIMATIVA[[#This Row],[CD_UPNIVEL3]]),"")</f>
        <v/>
      </c>
      <c r="AJ20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2" s="1">
        <f>COUNTIFS(Apresentação!$E$23:$E$29,ESTIMATIVA[[#This Row],[CD_UPNIVEL1]])</f>
        <v>0</v>
      </c>
    </row>
    <row r="203" spans="1:37" x14ac:dyDescent="0.3">
      <c r="A203">
        <v>20305</v>
      </c>
      <c r="B203" t="s">
        <v>22</v>
      </c>
      <c r="C203">
        <v>281</v>
      </c>
      <c r="D203">
        <v>3</v>
      </c>
      <c r="E203" t="s">
        <v>263</v>
      </c>
      <c r="F203" s="85" t="s">
        <v>331</v>
      </c>
      <c r="G203"/>
      <c r="H203" t="s">
        <v>295</v>
      </c>
      <c r="I203" t="s">
        <v>208</v>
      </c>
      <c r="J203" t="s">
        <v>175</v>
      </c>
      <c r="K203" s="1">
        <v>17.78</v>
      </c>
      <c r="L203" s="1">
        <v>17.78</v>
      </c>
      <c r="M203" s="1">
        <v>0</v>
      </c>
      <c r="N203" s="1">
        <v>17.78</v>
      </c>
      <c r="O203" s="1">
        <v>1600.2</v>
      </c>
      <c r="P203" s="1">
        <v>1635.76</v>
      </c>
      <c r="Q203" s="1">
        <v>0</v>
      </c>
      <c r="R203" s="1">
        <v>1465.61</v>
      </c>
      <c r="S203" t="s">
        <v>12</v>
      </c>
      <c r="T203" s="13">
        <v>45872</v>
      </c>
      <c r="U203" s="1" t="str">
        <f>IF(ESTIMATIVA[[#This Row],[QT_AREA_REAL]]&gt;0,"1- Colhido","2- à Colher")</f>
        <v>1- Colhido</v>
      </c>
      <c r="V203" s="1" t="str">
        <f>IF(ESTIMATIVA[[#This Row],[QT_AREA_REST1]]&gt;0,"Reestimativa 1",IF(ESTIMATIVA[[#This Row],[QT_AREA_REAL]]=0,"Reestimativa 1","Realizado"))</f>
        <v>Reestimativa 1</v>
      </c>
      <c r="W203" s="1" t="str">
        <f>IF(ESTIMATIVA[[#This Row],[QT_AREA_REST2]]&gt;0,"Reestimativa 2",IF(ESTIMATIVA[[#This Row],[QT_AREA_REAL]]=0,"Reestimativa 2","Realizado"))</f>
        <v>Realizado</v>
      </c>
      <c r="X203" s="1">
        <f>ESTIMATIVA[[#This Row],[QT_AREA_EST]]</f>
        <v>17.78</v>
      </c>
      <c r="Y203" s="1">
        <f>IF(ESTIMATIVA[[#This Row],[QT_AREA_REST1]]&gt;0,ESTIMATIVA[[#This Row],[QT_AREA_REST1]],
  IF(ESTIMATIVA[[#This Row],[QT_AREA_REAL]]&gt;0,ESTIMATIVA[[#This Row],[QT_AREA_REAL]],ESTIMATIVA[[#This Row],[QT_AREA_EST]]))</f>
        <v>17.78</v>
      </c>
      <c r="Z20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17.78</v>
      </c>
      <c r="AA203" s="1">
        <f>ESTIMATIVA[[#This Row],[QT_CANA_EST]]</f>
        <v>1600.2</v>
      </c>
      <c r="AB203" s="1">
        <f>IF(ESTIMATIVA[[#This Row],[QT_CANA_REST1]]&gt;0,ESTIMATIVA[[#This Row],[QT_CANA_REST1]],
  IF(ESTIMATIVA[[#This Row],[QT_CANA_REAL]]&gt;0,ESTIMATIVA[[#This Row],[QT_CANA_REAL]],ESTIMATIVA[[#This Row],[QT_CANA_EST]]))</f>
        <v>1635.76</v>
      </c>
      <c r="AC20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1465.61</v>
      </c>
      <c r="AD203" s="1">
        <f>IF(ESTIMATIVA[[#This Row],[QT_AREA_REAL]]&gt;0,ESTIMATIVA[[#This Row],[QT_CANA_REAL]],ESTIMATIVA[[#This Row],[QT_CANA_EST]])</f>
        <v>1465.61</v>
      </c>
      <c r="AE203" s="1">
        <f>IF(ESTIMATIVA[[#This Row],[QT_AREA_REAL]]&gt;0,ESTIMATIVA[[#This Row],[QT_CANA_REAL]],ESTIMATIVA[[#This Row],[QT_CANA_REST1]])</f>
        <v>1465.61</v>
      </c>
      <c r="AF203" s="1">
        <f>IF(ESTIMATIVA[[#This Row],[QT_AREA_REAL]]&gt;0,ESTIMATIVA[[#This Row],[QT_CANA_REAL]],ESTIMATIVA[[#This Row],[QT_CANA_REST2]])</f>
        <v>1465.61</v>
      </c>
      <c r="AG203" s="1" t="str">
        <f>IF(COUNTIFS(GEADA!A:A,VALUE(ESTIMATIVA[[#This Row],[CD_UPNIVEL1]]&amp;TEXT(ESTIMATIVA[[#This Row],[CD_UPNIVEL3]],"0000")))&gt;0,"S","N")</f>
        <v>N</v>
      </c>
      <c r="AH20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03" s="55" t="str">
        <f>IF(ESTIMATIVA[[#This Row],[TP_CULTIVO]]="Irrigado",_xlfn.MAXIFS(IRRIGADO!J:J,IRRIGADO!C:C,ESTIMATIVA[[#This Row],[CD_UPNIVEL1]],IRRIGADO!E:E,ESTIMATIVA[[#This Row],[CD_UPNIVEL3]]),"")</f>
        <v/>
      </c>
      <c r="AJ20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3" s="1">
        <f>COUNTIFS(Apresentação!$E$23:$E$29,ESTIMATIVA[[#This Row],[CD_UPNIVEL1]])</f>
        <v>0</v>
      </c>
    </row>
    <row r="204" spans="1:37" x14ac:dyDescent="0.3">
      <c r="A204">
        <v>20305</v>
      </c>
      <c r="B204" t="s">
        <v>22</v>
      </c>
      <c r="C204">
        <v>292</v>
      </c>
      <c r="D204">
        <v>2</v>
      </c>
      <c r="E204" t="s">
        <v>266</v>
      </c>
      <c r="F204" s="85" t="s">
        <v>332</v>
      </c>
      <c r="G204"/>
      <c r="H204" t="s">
        <v>295</v>
      </c>
      <c r="I204" t="s">
        <v>210</v>
      </c>
      <c r="J204" t="s">
        <v>175</v>
      </c>
      <c r="K204" s="1">
        <v>23.77</v>
      </c>
      <c r="L204" s="1">
        <v>23.77</v>
      </c>
      <c r="M204" s="1">
        <v>0</v>
      </c>
      <c r="N204" s="1">
        <v>23.77</v>
      </c>
      <c r="O204" s="1">
        <v>2234.38</v>
      </c>
      <c r="P204" s="1">
        <v>2258.15</v>
      </c>
      <c r="Q204" s="1">
        <v>0</v>
      </c>
      <c r="R204" s="1">
        <v>2856.05</v>
      </c>
      <c r="S204" t="s">
        <v>12</v>
      </c>
      <c r="T204" s="13">
        <v>45879</v>
      </c>
      <c r="U204" s="1" t="str">
        <f>IF(ESTIMATIVA[[#This Row],[QT_AREA_REAL]]&gt;0,"1- Colhido","2- à Colher")</f>
        <v>1- Colhido</v>
      </c>
      <c r="V204" s="1" t="str">
        <f>IF(ESTIMATIVA[[#This Row],[QT_AREA_REST1]]&gt;0,"Reestimativa 1",IF(ESTIMATIVA[[#This Row],[QT_AREA_REAL]]=0,"Reestimativa 1","Realizado"))</f>
        <v>Reestimativa 1</v>
      </c>
      <c r="W204" s="1" t="str">
        <f>IF(ESTIMATIVA[[#This Row],[QT_AREA_REST2]]&gt;0,"Reestimativa 2",IF(ESTIMATIVA[[#This Row],[QT_AREA_REAL]]=0,"Reestimativa 2","Realizado"))</f>
        <v>Realizado</v>
      </c>
      <c r="X204" s="1">
        <f>ESTIMATIVA[[#This Row],[QT_AREA_EST]]</f>
        <v>23.77</v>
      </c>
      <c r="Y204" s="1">
        <f>IF(ESTIMATIVA[[#This Row],[QT_AREA_REST1]]&gt;0,ESTIMATIVA[[#This Row],[QT_AREA_REST1]],
  IF(ESTIMATIVA[[#This Row],[QT_AREA_REAL]]&gt;0,ESTIMATIVA[[#This Row],[QT_AREA_REAL]],ESTIMATIVA[[#This Row],[QT_AREA_EST]]))</f>
        <v>23.77</v>
      </c>
      <c r="Z20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23.77</v>
      </c>
      <c r="AA204" s="1">
        <f>ESTIMATIVA[[#This Row],[QT_CANA_EST]]</f>
        <v>2234.38</v>
      </c>
      <c r="AB204" s="1">
        <f>IF(ESTIMATIVA[[#This Row],[QT_CANA_REST1]]&gt;0,ESTIMATIVA[[#This Row],[QT_CANA_REST1]],
  IF(ESTIMATIVA[[#This Row],[QT_CANA_REAL]]&gt;0,ESTIMATIVA[[#This Row],[QT_CANA_REAL]],ESTIMATIVA[[#This Row],[QT_CANA_EST]]))</f>
        <v>2258.15</v>
      </c>
      <c r="AC20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2856.05</v>
      </c>
      <c r="AD204" s="1">
        <f>IF(ESTIMATIVA[[#This Row],[QT_AREA_REAL]]&gt;0,ESTIMATIVA[[#This Row],[QT_CANA_REAL]],ESTIMATIVA[[#This Row],[QT_CANA_EST]])</f>
        <v>2856.05</v>
      </c>
      <c r="AE204" s="1">
        <f>IF(ESTIMATIVA[[#This Row],[QT_AREA_REAL]]&gt;0,ESTIMATIVA[[#This Row],[QT_CANA_REAL]],ESTIMATIVA[[#This Row],[QT_CANA_REST1]])</f>
        <v>2856.05</v>
      </c>
      <c r="AF204" s="1">
        <f>IF(ESTIMATIVA[[#This Row],[QT_AREA_REAL]]&gt;0,ESTIMATIVA[[#This Row],[QT_CANA_REAL]],ESTIMATIVA[[#This Row],[QT_CANA_REST2]])</f>
        <v>2856.05</v>
      </c>
      <c r="AG204" s="1" t="str">
        <f>IF(COUNTIFS(GEADA!A:A,VALUE(ESTIMATIVA[[#This Row],[CD_UPNIVEL1]]&amp;TEXT(ESTIMATIVA[[#This Row],[CD_UPNIVEL3]],"0000")))&gt;0,"S","N")</f>
        <v>N</v>
      </c>
      <c r="AH20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04" s="55" t="str">
        <f>IF(ESTIMATIVA[[#This Row],[TP_CULTIVO]]="Irrigado",_xlfn.MAXIFS(IRRIGADO!J:J,IRRIGADO!C:C,ESTIMATIVA[[#This Row],[CD_UPNIVEL1]],IRRIGADO!E:E,ESTIMATIVA[[#This Row],[CD_UPNIVEL3]]),"")</f>
        <v/>
      </c>
      <c r="AJ20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4" s="1">
        <f>COUNTIFS(Apresentação!$E$23:$E$29,ESTIMATIVA[[#This Row],[CD_UPNIVEL1]])</f>
        <v>0</v>
      </c>
    </row>
    <row r="205" spans="1:37" x14ac:dyDescent="0.3">
      <c r="A205">
        <v>20305</v>
      </c>
      <c r="B205" t="s">
        <v>22</v>
      </c>
      <c r="C205">
        <v>293</v>
      </c>
      <c r="D205">
        <v>2</v>
      </c>
      <c r="E205" t="s">
        <v>266</v>
      </c>
      <c r="F205" s="85" t="s">
        <v>332</v>
      </c>
      <c r="G205"/>
      <c r="H205" t="s">
        <v>295</v>
      </c>
      <c r="I205" t="s">
        <v>210</v>
      </c>
      <c r="J205" t="s">
        <v>175</v>
      </c>
      <c r="K205" s="1">
        <v>18.7</v>
      </c>
      <c r="L205" s="1">
        <v>18.7</v>
      </c>
      <c r="M205" s="1">
        <v>0</v>
      </c>
      <c r="N205" s="1">
        <v>18.7</v>
      </c>
      <c r="O205" s="1">
        <v>1757.8</v>
      </c>
      <c r="P205" s="1">
        <v>1776.5</v>
      </c>
      <c r="Q205" s="1">
        <v>0</v>
      </c>
      <c r="R205" s="1">
        <v>2247.62</v>
      </c>
      <c r="S205" t="s">
        <v>12</v>
      </c>
      <c r="T205" s="13">
        <v>45879</v>
      </c>
      <c r="U205" s="1" t="str">
        <f>IF(ESTIMATIVA[[#This Row],[QT_AREA_REAL]]&gt;0,"1- Colhido","2- à Colher")</f>
        <v>1- Colhido</v>
      </c>
      <c r="V205" s="1" t="str">
        <f>IF(ESTIMATIVA[[#This Row],[QT_AREA_REST1]]&gt;0,"Reestimativa 1",IF(ESTIMATIVA[[#This Row],[QT_AREA_REAL]]=0,"Reestimativa 1","Realizado"))</f>
        <v>Reestimativa 1</v>
      </c>
      <c r="W205" s="1" t="str">
        <f>IF(ESTIMATIVA[[#This Row],[QT_AREA_REST2]]&gt;0,"Reestimativa 2",IF(ESTIMATIVA[[#This Row],[QT_AREA_REAL]]=0,"Reestimativa 2","Realizado"))</f>
        <v>Realizado</v>
      </c>
      <c r="X205" s="1">
        <f>ESTIMATIVA[[#This Row],[QT_AREA_EST]]</f>
        <v>18.7</v>
      </c>
      <c r="Y205" s="1">
        <f>IF(ESTIMATIVA[[#This Row],[QT_AREA_REST1]]&gt;0,ESTIMATIVA[[#This Row],[QT_AREA_REST1]],
  IF(ESTIMATIVA[[#This Row],[QT_AREA_REAL]]&gt;0,ESTIMATIVA[[#This Row],[QT_AREA_REAL]],ESTIMATIVA[[#This Row],[QT_AREA_EST]]))</f>
        <v>18.7</v>
      </c>
      <c r="Z20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18.7</v>
      </c>
      <c r="AA205" s="1">
        <f>ESTIMATIVA[[#This Row],[QT_CANA_EST]]</f>
        <v>1757.8</v>
      </c>
      <c r="AB205" s="1">
        <f>IF(ESTIMATIVA[[#This Row],[QT_CANA_REST1]]&gt;0,ESTIMATIVA[[#This Row],[QT_CANA_REST1]],
  IF(ESTIMATIVA[[#This Row],[QT_CANA_REAL]]&gt;0,ESTIMATIVA[[#This Row],[QT_CANA_REAL]],ESTIMATIVA[[#This Row],[QT_CANA_EST]]))</f>
        <v>1776.5</v>
      </c>
      <c r="AC20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2247.62</v>
      </c>
      <c r="AD205" s="1">
        <f>IF(ESTIMATIVA[[#This Row],[QT_AREA_REAL]]&gt;0,ESTIMATIVA[[#This Row],[QT_CANA_REAL]],ESTIMATIVA[[#This Row],[QT_CANA_EST]])</f>
        <v>2247.62</v>
      </c>
      <c r="AE205" s="1">
        <f>IF(ESTIMATIVA[[#This Row],[QT_AREA_REAL]]&gt;0,ESTIMATIVA[[#This Row],[QT_CANA_REAL]],ESTIMATIVA[[#This Row],[QT_CANA_REST1]])</f>
        <v>2247.62</v>
      </c>
      <c r="AF205" s="1">
        <f>IF(ESTIMATIVA[[#This Row],[QT_AREA_REAL]]&gt;0,ESTIMATIVA[[#This Row],[QT_CANA_REAL]],ESTIMATIVA[[#This Row],[QT_CANA_REST2]])</f>
        <v>2247.62</v>
      </c>
      <c r="AG205" s="1" t="str">
        <f>IF(COUNTIFS(GEADA!A:A,VALUE(ESTIMATIVA[[#This Row],[CD_UPNIVEL1]]&amp;TEXT(ESTIMATIVA[[#This Row],[CD_UPNIVEL3]],"0000")))&gt;0,"S","N")</f>
        <v>N</v>
      </c>
      <c r="AH20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05" s="55" t="str">
        <f>IF(ESTIMATIVA[[#This Row],[TP_CULTIVO]]="Irrigado",_xlfn.MAXIFS(IRRIGADO!J:J,IRRIGADO!C:C,ESTIMATIVA[[#This Row],[CD_UPNIVEL1]],IRRIGADO!E:E,ESTIMATIVA[[#This Row],[CD_UPNIVEL3]]),"")</f>
        <v/>
      </c>
      <c r="AJ20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5" s="1">
        <f>COUNTIFS(Apresentação!$E$23:$E$29,ESTIMATIVA[[#This Row],[CD_UPNIVEL1]])</f>
        <v>0</v>
      </c>
    </row>
    <row r="206" spans="1:37" x14ac:dyDescent="0.3">
      <c r="A206">
        <v>20305</v>
      </c>
      <c r="B206" t="s">
        <v>22</v>
      </c>
      <c r="C206">
        <v>294</v>
      </c>
      <c r="D206">
        <v>2</v>
      </c>
      <c r="E206" t="s">
        <v>266</v>
      </c>
      <c r="F206" s="85" t="s">
        <v>332</v>
      </c>
      <c r="G206"/>
      <c r="H206" t="s">
        <v>295</v>
      </c>
      <c r="I206" t="s">
        <v>210</v>
      </c>
      <c r="J206" t="s">
        <v>175</v>
      </c>
      <c r="K206" s="1">
        <v>19.690000000000001</v>
      </c>
      <c r="L206" s="1">
        <v>19.690000000000001</v>
      </c>
      <c r="M206" s="1">
        <v>0</v>
      </c>
      <c r="N206" s="1">
        <v>19.690000000000001</v>
      </c>
      <c r="O206" s="1">
        <v>1850.86</v>
      </c>
      <c r="P206" s="1">
        <v>1870.55</v>
      </c>
      <c r="Q206" s="1">
        <v>0</v>
      </c>
      <c r="R206" s="1">
        <v>2366.52</v>
      </c>
      <c r="S206" t="s">
        <v>12</v>
      </c>
      <c r="T206" s="13">
        <v>45879</v>
      </c>
      <c r="U206" s="1" t="str">
        <f>IF(ESTIMATIVA[[#This Row],[QT_AREA_REAL]]&gt;0,"1- Colhido","2- à Colher")</f>
        <v>1- Colhido</v>
      </c>
      <c r="V206" s="1" t="str">
        <f>IF(ESTIMATIVA[[#This Row],[QT_AREA_REST1]]&gt;0,"Reestimativa 1",IF(ESTIMATIVA[[#This Row],[QT_AREA_REAL]]=0,"Reestimativa 1","Realizado"))</f>
        <v>Reestimativa 1</v>
      </c>
      <c r="W206" s="1" t="str">
        <f>IF(ESTIMATIVA[[#This Row],[QT_AREA_REST2]]&gt;0,"Reestimativa 2",IF(ESTIMATIVA[[#This Row],[QT_AREA_REAL]]=0,"Reestimativa 2","Realizado"))</f>
        <v>Realizado</v>
      </c>
      <c r="X206" s="1">
        <f>ESTIMATIVA[[#This Row],[QT_AREA_EST]]</f>
        <v>19.690000000000001</v>
      </c>
      <c r="Y206" s="1">
        <f>IF(ESTIMATIVA[[#This Row],[QT_AREA_REST1]]&gt;0,ESTIMATIVA[[#This Row],[QT_AREA_REST1]],
  IF(ESTIMATIVA[[#This Row],[QT_AREA_REAL]]&gt;0,ESTIMATIVA[[#This Row],[QT_AREA_REAL]],ESTIMATIVA[[#This Row],[QT_AREA_EST]]))</f>
        <v>19.690000000000001</v>
      </c>
      <c r="Z20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19.690000000000001</v>
      </c>
      <c r="AA206" s="1">
        <f>ESTIMATIVA[[#This Row],[QT_CANA_EST]]</f>
        <v>1850.86</v>
      </c>
      <c r="AB206" s="1">
        <f>IF(ESTIMATIVA[[#This Row],[QT_CANA_REST1]]&gt;0,ESTIMATIVA[[#This Row],[QT_CANA_REST1]],
  IF(ESTIMATIVA[[#This Row],[QT_CANA_REAL]]&gt;0,ESTIMATIVA[[#This Row],[QT_CANA_REAL]],ESTIMATIVA[[#This Row],[QT_CANA_EST]]))</f>
        <v>1870.55</v>
      </c>
      <c r="AC20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2366.52</v>
      </c>
      <c r="AD206" s="1">
        <f>IF(ESTIMATIVA[[#This Row],[QT_AREA_REAL]]&gt;0,ESTIMATIVA[[#This Row],[QT_CANA_REAL]],ESTIMATIVA[[#This Row],[QT_CANA_EST]])</f>
        <v>2366.52</v>
      </c>
      <c r="AE206" s="1">
        <f>IF(ESTIMATIVA[[#This Row],[QT_AREA_REAL]]&gt;0,ESTIMATIVA[[#This Row],[QT_CANA_REAL]],ESTIMATIVA[[#This Row],[QT_CANA_REST1]])</f>
        <v>2366.52</v>
      </c>
      <c r="AF206" s="1">
        <f>IF(ESTIMATIVA[[#This Row],[QT_AREA_REAL]]&gt;0,ESTIMATIVA[[#This Row],[QT_CANA_REAL]],ESTIMATIVA[[#This Row],[QT_CANA_REST2]])</f>
        <v>2366.52</v>
      </c>
      <c r="AG206" s="1" t="str">
        <f>IF(COUNTIFS(GEADA!A:A,VALUE(ESTIMATIVA[[#This Row],[CD_UPNIVEL1]]&amp;TEXT(ESTIMATIVA[[#This Row],[CD_UPNIVEL3]],"0000")))&gt;0,"S","N")</f>
        <v>N</v>
      </c>
      <c r="AH20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06" s="55" t="str">
        <f>IF(ESTIMATIVA[[#This Row],[TP_CULTIVO]]="Irrigado",_xlfn.MAXIFS(IRRIGADO!J:J,IRRIGADO!C:C,ESTIMATIVA[[#This Row],[CD_UPNIVEL1]],IRRIGADO!E:E,ESTIMATIVA[[#This Row],[CD_UPNIVEL3]]),"")</f>
        <v/>
      </c>
      <c r="AJ20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6" s="1">
        <f>COUNTIFS(Apresentação!$E$23:$E$29,ESTIMATIVA[[#This Row],[CD_UPNIVEL1]])</f>
        <v>0</v>
      </c>
    </row>
    <row r="207" spans="1:37" x14ac:dyDescent="0.3">
      <c r="A207">
        <v>20305</v>
      </c>
      <c r="B207" t="s">
        <v>22</v>
      </c>
      <c r="C207">
        <v>295</v>
      </c>
      <c r="D207">
        <v>2</v>
      </c>
      <c r="E207" t="s">
        <v>266</v>
      </c>
      <c r="F207" s="85" t="s">
        <v>332</v>
      </c>
      <c r="G207"/>
      <c r="H207" t="s">
        <v>295</v>
      </c>
      <c r="I207" t="s">
        <v>210</v>
      </c>
      <c r="J207" t="s">
        <v>175</v>
      </c>
      <c r="K207" s="1">
        <v>28.02</v>
      </c>
      <c r="L207" s="1">
        <v>28.02</v>
      </c>
      <c r="M207" s="1">
        <v>0</v>
      </c>
      <c r="N207" s="1">
        <v>28.02</v>
      </c>
      <c r="O207" s="1">
        <v>2633.88</v>
      </c>
      <c r="P207" s="1">
        <v>2661.9</v>
      </c>
      <c r="Q207" s="1">
        <v>0</v>
      </c>
      <c r="R207" s="1">
        <v>3367.77</v>
      </c>
      <c r="S207" t="s">
        <v>12</v>
      </c>
      <c r="T207" s="13">
        <v>45879</v>
      </c>
      <c r="U207" s="1" t="str">
        <f>IF(ESTIMATIVA[[#This Row],[QT_AREA_REAL]]&gt;0,"1- Colhido","2- à Colher")</f>
        <v>1- Colhido</v>
      </c>
      <c r="V207" s="1" t="str">
        <f>IF(ESTIMATIVA[[#This Row],[QT_AREA_REST1]]&gt;0,"Reestimativa 1",IF(ESTIMATIVA[[#This Row],[QT_AREA_REAL]]=0,"Reestimativa 1","Realizado"))</f>
        <v>Reestimativa 1</v>
      </c>
      <c r="W207" s="1" t="str">
        <f>IF(ESTIMATIVA[[#This Row],[QT_AREA_REST2]]&gt;0,"Reestimativa 2",IF(ESTIMATIVA[[#This Row],[QT_AREA_REAL]]=0,"Reestimativa 2","Realizado"))</f>
        <v>Realizado</v>
      </c>
      <c r="X207" s="1">
        <f>ESTIMATIVA[[#This Row],[QT_AREA_EST]]</f>
        <v>28.02</v>
      </c>
      <c r="Y207" s="1">
        <f>IF(ESTIMATIVA[[#This Row],[QT_AREA_REST1]]&gt;0,ESTIMATIVA[[#This Row],[QT_AREA_REST1]],
  IF(ESTIMATIVA[[#This Row],[QT_AREA_REAL]]&gt;0,ESTIMATIVA[[#This Row],[QT_AREA_REAL]],ESTIMATIVA[[#This Row],[QT_AREA_EST]]))</f>
        <v>28.02</v>
      </c>
      <c r="Z20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28.02</v>
      </c>
      <c r="AA207" s="1">
        <f>ESTIMATIVA[[#This Row],[QT_CANA_EST]]</f>
        <v>2633.88</v>
      </c>
      <c r="AB207" s="1">
        <f>IF(ESTIMATIVA[[#This Row],[QT_CANA_REST1]]&gt;0,ESTIMATIVA[[#This Row],[QT_CANA_REST1]],
  IF(ESTIMATIVA[[#This Row],[QT_CANA_REAL]]&gt;0,ESTIMATIVA[[#This Row],[QT_CANA_REAL]],ESTIMATIVA[[#This Row],[QT_CANA_EST]]))</f>
        <v>2661.9</v>
      </c>
      <c r="AC20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3367.77</v>
      </c>
      <c r="AD207" s="1">
        <f>IF(ESTIMATIVA[[#This Row],[QT_AREA_REAL]]&gt;0,ESTIMATIVA[[#This Row],[QT_CANA_REAL]],ESTIMATIVA[[#This Row],[QT_CANA_EST]])</f>
        <v>3367.77</v>
      </c>
      <c r="AE207" s="1">
        <f>IF(ESTIMATIVA[[#This Row],[QT_AREA_REAL]]&gt;0,ESTIMATIVA[[#This Row],[QT_CANA_REAL]],ESTIMATIVA[[#This Row],[QT_CANA_REST1]])</f>
        <v>3367.77</v>
      </c>
      <c r="AF207" s="1">
        <f>IF(ESTIMATIVA[[#This Row],[QT_AREA_REAL]]&gt;0,ESTIMATIVA[[#This Row],[QT_CANA_REAL]],ESTIMATIVA[[#This Row],[QT_CANA_REST2]])</f>
        <v>3367.77</v>
      </c>
      <c r="AG207" s="1" t="str">
        <f>IF(COUNTIFS(GEADA!A:A,VALUE(ESTIMATIVA[[#This Row],[CD_UPNIVEL1]]&amp;TEXT(ESTIMATIVA[[#This Row],[CD_UPNIVEL3]],"0000")))&gt;0,"S","N")</f>
        <v>N</v>
      </c>
      <c r="AH20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07" s="55" t="str">
        <f>IF(ESTIMATIVA[[#This Row],[TP_CULTIVO]]="Irrigado",_xlfn.MAXIFS(IRRIGADO!J:J,IRRIGADO!C:C,ESTIMATIVA[[#This Row],[CD_UPNIVEL1]],IRRIGADO!E:E,ESTIMATIVA[[#This Row],[CD_UPNIVEL3]]),"")</f>
        <v/>
      </c>
      <c r="AJ20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7" s="1">
        <f>COUNTIFS(Apresentação!$E$23:$E$29,ESTIMATIVA[[#This Row],[CD_UPNIVEL1]])</f>
        <v>0</v>
      </c>
    </row>
    <row r="208" spans="1:37" x14ac:dyDescent="0.3">
      <c r="A208">
        <v>20305</v>
      </c>
      <c r="B208" t="s">
        <v>22</v>
      </c>
      <c r="C208">
        <v>296</v>
      </c>
      <c r="D208">
        <v>1</v>
      </c>
      <c r="E208" t="s">
        <v>269</v>
      </c>
      <c r="F208" s="85" t="s">
        <v>333</v>
      </c>
      <c r="G208"/>
      <c r="H208" t="s">
        <v>295</v>
      </c>
      <c r="I208" t="s">
        <v>199</v>
      </c>
      <c r="J208" t="s">
        <v>175</v>
      </c>
      <c r="K208" s="1">
        <v>3.56</v>
      </c>
      <c r="L208" s="1">
        <v>0</v>
      </c>
      <c r="M208" s="1">
        <v>0</v>
      </c>
      <c r="N208" s="1">
        <v>3.56</v>
      </c>
      <c r="O208" s="1">
        <v>231.4</v>
      </c>
      <c r="P208" s="1">
        <v>0</v>
      </c>
      <c r="Q208" s="1">
        <v>0</v>
      </c>
      <c r="R208" s="1">
        <v>231.25</v>
      </c>
      <c r="S208" t="s">
        <v>12</v>
      </c>
      <c r="T208" s="13">
        <v>46005</v>
      </c>
      <c r="U208" s="1" t="str">
        <f>IF(ESTIMATIVA[[#This Row],[QT_AREA_REAL]]&gt;0,"1- Colhido","2- à Colher")</f>
        <v>1- Colhido</v>
      </c>
      <c r="V208" s="1" t="str">
        <f>IF(ESTIMATIVA[[#This Row],[QT_AREA_REST1]]&gt;0,"Reestimativa 1",IF(ESTIMATIVA[[#This Row],[QT_AREA_REAL]]=0,"Reestimativa 1","Realizado"))</f>
        <v>Realizado</v>
      </c>
      <c r="W208" s="1" t="str">
        <f>IF(ESTIMATIVA[[#This Row],[QT_AREA_REST2]]&gt;0,"Reestimativa 2",IF(ESTIMATIVA[[#This Row],[QT_AREA_REAL]]=0,"Reestimativa 2","Realizado"))</f>
        <v>Realizado</v>
      </c>
      <c r="X208" s="1">
        <f>ESTIMATIVA[[#This Row],[QT_AREA_EST]]</f>
        <v>3.56</v>
      </c>
      <c r="Y208" s="1">
        <f>IF(ESTIMATIVA[[#This Row],[QT_AREA_REST1]]&gt;0,ESTIMATIVA[[#This Row],[QT_AREA_REST1]],
  IF(ESTIMATIVA[[#This Row],[QT_AREA_REAL]]&gt;0,ESTIMATIVA[[#This Row],[QT_AREA_REAL]],ESTIMATIVA[[#This Row],[QT_AREA_EST]]))</f>
        <v>3.56</v>
      </c>
      <c r="Z20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3.56</v>
      </c>
      <c r="AA208" s="1">
        <f>ESTIMATIVA[[#This Row],[QT_CANA_EST]]</f>
        <v>231.4</v>
      </c>
      <c r="AB208" s="1">
        <f>IF(ESTIMATIVA[[#This Row],[QT_CANA_REST1]]&gt;0,ESTIMATIVA[[#This Row],[QT_CANA_REST1]],
  IF(ESTIMATIVA[[#This Row],[QT_CANA_REAL]]&gt;0,ESTIMATIVA[[#This Row],[QT_CANA_REAL]],ESTIMATIVA[[#This Row],[QT_CANA_EST]]))</f>
        <v>231.25</v>
      </c>
      <c r="AC20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231.25</v>
      </c>
      <c r="AD208" s="1">
        <f>IF(ESTIMATIVA[[#This Row],[QT_AREA_REAL]]&gt;0,ESTIMATIVA[[#This Row],[QT_CANA_REAL]],ESTIMATIVA[[#This Row],[QT_CANA_EST]])</f>
        <v>231.25</v>
      </c>
      <c r="AE208" s="1">
        <f>IF(ESTIMATIVA[[#This Row],[QT_AREA_REAL]]&gt;0,ESTIMATIVA[[#This Row],[QT_CANA_REAL]],ESTIMATIVA[[#This Row],[QT_CANA_REST1]])</f>
        <v>231.25</v>
      </c>
      <c r="AF208" s="1">
        <f>IF(ESTIMATIVA[[#This Row],[QT_AREA_REAL]]&gt;0,ESTIMATIVA[[#This Row],[QT_CANA_REAL]],ESTIMATIVA[[#This Row],[QT_CANA_REST2]])</f>
        <v>231.25</v>
      </c>
      <c r="AG208" s="1" t="str">
        <f>IF(COUNTIFS(GEADA!A:A,VALUE(ESTIMATIVA[[#This Row],[CD_UPNIVEL1]]&amp;TEXT(ESTIMATIVA[[#This Row],[CD_UPNIVEL3]],"0000")))&gt;0,"S","N")</f>
        <v>N</v>
      </c>
      <c r="AH20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08" s="55" t="str">
        <f>IF(ESTIMATIVA[[#This Row],[TP_CULTIVO]]="Irrigado",_xlfn.MAXIFS(IRRIGADO!J:J,IRRIGADO!C:C,ESTIMATIVA[[#This Row],[CD_UPNIVEL1]],IRRIGADO!E:E,ESTIMATIVA[[#This Row],[CD_UPNIVEL3]]),"")</f>
        <v/>
      </c>
      <c r="AJ20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8" s="1">
        <f>COUNTIFS(Apresentação!$E$23:$E$29,ESTIMATIVA[[#This Row],[CD_UPNIVEL1]])</f>
        <v>0</v>
      </c>
    </row>
    <row r="209" spans="1:37" x14ac:dyDescent="0.3">
      <c r="A209">
        <v>20305</v>
      </c>
      <c r="B209" t="s">
        <v>22</v>
      </c>
      <c r="C209">
        <v>297</v>
      </c>
      <c r="D209">
        <v>1</v>
      </c>
      <c r="E209" t="s">
        <v>269</v>
      </c>
      <c r="F209" s="85" t="s">
        <v>333</v>
      </c>
      <c r="G209"/>
      <c r="H209" t="s">
        <v>295</v>
      </c>
      <c r="I209" t="s">
        <v>199</v>
      </c>
      <c r="J209" t="s">
        <v>175</v>
      </c>
      <c r="K209" s="1">
        <v>1.46</v>
      </c>
      <c r="L209" s="1">
        <v>0</v>
      </c>
      <c r="M209" s="1">
        <v>0</v>
      </c>
      <c r="N209" s="1">
        <v>1.46</v>
      </c>
      <c r="O209" s="1">
        <v>94.9</v>
      </c>
      <c r="P209" s="1">
        <v>0</v>
      </c>
      <c r="Q209" s="1">
        <v>0</v>
      </c>
      <c r="R209" s="1">
        <v>94.66</v>
      </c>
      <c r="S209" t="s">
        <v>12</v>
      </c>
      <c r="T209" s="13">
        <v>46005</v>
      </c>
      <c r="U209" s="1" t="str">
        <f>IF(ESTIMATIVA[[#This Row],[QT_AREA_REAL]]&gt;0,"1- Colhido","2- à Colher")</f>
        <v>1- Colhido</v>
      </c>
      <c r="V209" s="1" t="str">
        <f>IF(ESTIMATIVA[[#This Row],[QT_AREA_REST1]]&gt;0,"Reestimativa 1",IF(ESTIMATIVA[[#This Row],[QT_AREA_REAL]]=0,"Reestimativa 1","Realizado"))</f>
        <v>Realizado</v>
      </c>
      <c r="W209" s="1" t="str">
        <f>IF(ESTIMATIVA[[#This Row],[QT_AREA_REST2]]&gt;0,"Reestimativa 2",IF(ESTIMATIVA[[#This Row],[QT_AREA_REAL]]=0,"Reestimativa 2","Realizado"))</f>
        <v>Realizado</v>
      </c>
      <c r="X209" s="1">
        <f>ESTIMATIVA[[#This Row],[QT_AREA_EST]]</f>
        <v>1.46</v>
      </c>
      <c r="Y209" s="1">
        <f>IF(ESTIMATIVA[[#This Row],[QT_AREA_REST1]]&gt;0,ESTIMATIVA[[#This Row],[QT_AREA_REST1]],
  IF(ESTIMATIVA[[#This Row],[QT_AREA_REAL]]&gt;0,ESTIMATIVA[[#This Row],[QT_AREA_REAL]],ESTIMATIVA[[#This Row],[QT_AREA_EST]]))</f>
        <v>1.46</v>
      </c>
      <c r="Z20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1.46</v>
      </c>
      <c r="AA209" s="1">
        <f>ESTIMATIVA[[#This Row],[QT_CANA_EST]]</f>
        <v>94.9</v>
      </c>
      <c r="AB209" s="1">
        <f>IF(ESTIMATIVA[[#This Row],[QT_CANA_REST1]]&gt;0,ESTIMATIVA[[#This Row],[QT_CANA_REST1]],
  IF(ESTIMATIVA[[#This Row],[QT_CANA_REAL]]&gt;0,ESTIMATIVA[[#This Row],[QT_CANA_REAL]],ESTIMATIVA[[#This Row],[QT_CANA_EST]]))</f>
        <v>94.66</v>
      </c>
      <c r="AC20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94.66</v>
      </c>
      <c r="AD209" s="1">
        <f>IF(ESTIMATIVA[[#This Row],[QT_AREA_REAL]]&gt;0,ESTIMATIVA[[#This Row],[QT_CANA_REAL]],ESTIMATIVA[[#This Row],[QT_CANA_EST]])</f>
        <v>94.66</v>
      </c>
      <c r="AE209" s="1">
        <f>IF(ESTIMATIVA[[#This Row],[QT_AREA_REAL]]&gt;0,ESTIMATIVA[[#This Row],[QT_CANA_REAL]],ESTIMATIVA[[#This Row],[QT_CANA_REST1]])</f>
        <v>94.66</v>
      </c>
      <c r="AF209" s="1">
        <f>IF(ESTIMATIVA[[#This Row],[QT_AREA_REAL]]&gt;0,ESTIMATIVA[[#This Row],[QT_CANA_REAL]],ESTIMATIVA[[#This Row],[QT_CANA_REST2]])</f>
        <v>94.66</v>
      </c>
      <c r="AG209" s="1" t="str">
        <f>IF(COUNTIFS(GEADA!A:A,VALUE(ESTIMATIVA[[#This Row],[CD_UPNIVEL1]]&amp;TEXT(ESTIMATIVA[[#This Row],[CD_UPNIVEL3]],"0000")))&gt;0,"S","N")</f>
        <v>N</v>
      </c>
      <c r="AH20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09" s="55" t="str">
        <f>IF(ESTIMATIVA[[#This Row],[TP_CULTIVO]]="Irrigado",_xlfn.MAXIFS(IRRIGADO!J:J,IRRIGADO!C:C,ESTIMATIVA[[#This Row],[CD_UPNIVEL1]],IRRIGADO!E:E,ESTIMATIVA[[#This Row],[CD_UPNIVEL3]]),"")</f>
        <v/>
      </c>
      <c r="AJ20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9" s="1">
        <f>COUNTIFS(Apresentação!$E$23:$E$29,ESTIMATIVA[[#This Row],[CD_UPNIVEL1]])</f>
        <v>0</v>
      </c>
    </row>
    <row r="210" spans="1:37" x14ac:dyDescent="0.3">
      <c r="A210">
        <v>20305</v>
      </c>
      <c r="B210" t="s">
        <v>22</v>
      </c>
      <c r="C210">
        <v>298</v>
      </c>
      <c r="D210">
        <v>1</v>
      </c>
      <c r="E210" t="s">
        <v>269</v>
      </c>
      <c r="F210" s="85" t="s">
        <v>331</v>
      </c>
      <c r="G210"/>
      <c r="H210" t="s">
        <v>295</v>
      </c>
      <c r="I210" t="s">
        <v>199</v>
      </c>
      <c r="J210" t="s">
        <v>175</v>
      </c>
      <c r="K210" s="1">
        <v>8</v>
      </c>
      <c r="L210" s="1">
        <v>0</v>
      </c>
      <c r="M210" s="1">
        <v>0</v>
      </c>
      <c r="N210" s="1">
        <v>8</v>
      </c>
      <c r="O210" s="1">
        <v>520</v>
      </c>
      <c r="P210" s="1">
        <v>0</v>
      </c>
      <c r="Q210" s="1">
        <v>0</v>
      </c>
      <c r="R210" s="1">
        <v>520.34</v>
      </c>
      <c r="S210" t="s">
        <v>12</v>
      </c>
      <c r="T210" s="13">
        <v>46005</v>
      </c>
      <c r="U210" s="1" t="str">
        <f>IF(ESTIMATIVA[[#This Row],[QT_AREA_REAL]]&gt;0,"1- Colhido","2- à Colher")</f>
        <v>1- Colhido</v>
      </c>
      <c r="V210" s="1" t="str">
        <f>IF(ESTIMATIVA[[#This Row],[QT_AREA_REST1]]&gt;0,"Reestimativa 1",IF(ESTIMATIVA[[#This Row],[QT_AREA_REAL]]=0,"Reestimativa 1","Realizado"))</f>
        <v>Realizado</v>
      </c>
      <c r="W210" s="1" t="str">
        <f>IF(ESTIMATIVA[[#This Row],[QT_AREA_REST2]]&gt;0,"Reestimativa 2",IF(ESTIMATIVA[[#This Row],[QT_AREA_REAL]]=0,"Reestimativa 2","Realizado"))</f>
        <v>Realizado</v>
      </c>
      <c r="X210" s="1">
        <f>ESTIMATIVA[[#This Row],[QT_AREA_EST]]</f>
        <v>8</v>
      </c>
      <c r="Y210" s="1">
        <f>IF(ESTIMATIVA[[#This Row],[QT_AREA_REST1]]&gt;0,ESTIMATIVA[[#This Row],[QT_AREA_REST1]],
  IF(ESTIMATIVA[[#This Row],[QT_AREA_REAL]]&gt;0,ESTIMATIVA[[#This Row],[QT_AREA_REAL]],ESTIMATIVA[[#This Row],[QT_AREA_EST]]))</f>
        <v>8</v>
      </c>
      <c r="Z21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</v>
      </c>
      <c r="AA210" s="1">
        <f>ESTIMATIVA[[#This Row],[QT_CANA_EST]]</f>
        <v>520</v>
      </c>
      <c r="AB210" s="1">
        <f>IF(ESTIMATIVA[[#This Row],[QT_CANA_REST1]]&gt;0,ESTIMATIVA[[#This Row],[QT_CANA_REST1]],
  IF(ESTIMATIVA[[#This Row],[QT_CANA_REAL]]&gt;0,ESTIMATIVA[[#This Row],[QT_CANA_REAL]],ESTIMATIVA[[#This Row],[QT_CANA_EST]]))</f>
        <v>520.34</v>
      </c>
      <c r="AC21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520.34</v>
      </c>
      <c r="AD210" s="1">
        <f>IF(ESTIMATIVA[[#This Row],[QT_AREA_REAL]]&gt;0,ESTIMATIVA[[#This Row],[QT_CANA_REAL]],ESTIMATIVA[[#This Row],[QT_CANA_EST]])</f>
        <v>520.34</v>
      </c>
      <c r="AE210" s="1">
        <f>IF(ESTIMATIVA[[#This Row],[QT_AREA_REAL]]&gt;0,ESTIMATIVA[[#This Row],[QT_CANA_REAL]],ESTIMATIVA[[#This Row],[QT_CANA_REST1]])</f>
        <v>520.34</v>
      </c>
      <c r="AF210" s="1">
        <f>IF(ESTIMATIVA[[#This Row],[QT_AREA_REAL]]&gt;0,ESTIMATIVA[[#This Row],[QT_CANA_REAL]],ESTIMATIVA[[#This Row],[QT_CANA_REST2]])</f>
        <v>520.34</v>
      </c>
      <c r="AG210" s="1" t="str">
        <f>IF(COUNTIFS(GEADA!A:A,VALUE(ESTIMATIVA[[#This Row],[CD_UPNIVEL1]]&amp;TEXT(ESTIMATIVA[[#This Row],[CD_UPNIVEL3]],"0000")))&gt;0,"S","N")</f>
        <v>N</v>
      </c>
      <c r="AH21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10" s="55" t="str">
        <f>IF(ESTIMATIVA[[#This Row],[TP_CULTIVO]]="Irrigado",_xlfn.MAXIFS(IRRIGADO!J:J,IRRIGADO!C:C,ESTIMATIVA[[#This Row],[CD_UPNIVEL1]],IRRIGADO!E:E,ESTIMATIVA[[#This Row],[CD_UPNIVEL3]]),"")</f>
        <v/>
      </c>
      <c r="AJ21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10" s="1">
        <f>COUNTIFS(Apresentação!$E$23:$E$29,ESTIMATIVA[[#This Row],[CD_UPNIVEL1]])</f>
        <v>0</v>
      </c>
    </row>
    <row r="211" spans="1:37" x14ac:dyDescent="0.3">
      <c r="A211">
        <v>20305</v>
      </c>
      <c r="B211" t="s">
        <v>22</v>
      </c>
      <c r="C211">
        <v>299</v>
      </c>
      <c r="D211">
        <v>1</v>
      </c>
      <c r="E211" t="s">
        <v>269</v>
      </c>
      <c r="F211" s="85" t="s">
        <v>331</v>
      </c>
      <c r="G211"/>
      <c r="H211" t="s">
        <v>295</v>
      </c>
      <c r="I211" t="s">
        <v>199</v>
      </c>
      <c r="J211" t="s">
        <v>175</v>
      </c>
      <c r="K211" s="1">
        <v>6.44</v>
      </c>
      <c r="L211" s="1">
        <v>0</v>
      </c>
      <c r="M211" s="1">
        <v>0</v>
      </c>
      <c r="N211" s="1">
        <v>6.44</v>
      </c>
      <c r="O211" s="1">
        <v>418.6</v>
      </c>
      <c r="P211" s="1">
        <v>0</v>
      </c>
      <c r="Q211" s="1">
        <v>0</v>
      </c>
      <c r="R211" s="1">
        <v>418.44</v>
      </c>
      <c r="S211" t="s">
        <v>12</v>
      </c>
      <c r="T211" s="13">
        <v>46005</v>
      </c>
      <c r="U211" s="1" t="str">
        <f>IF(ESTIMATIVA[[#This Row],[QT_AREA_REAL]]&gt;0,"1- Colhido","2- à Colher")</f>
        <v>1- Colhido</v>
      </c>
      <c r="V211" s="1" t="str">
        <f>IF(ESTIMATIVA[[#This Row],[QT_AREA_REST1]]&gt;0,"Reestimativa 1",IF(ESTIMATIVA[[#This Row],[QT_AREA_REAL]]=0,"Reestimativa 1","Realizado"))</f>
        <v>Realizado</v>
      </c>
      <c r="W211" s="1" t="str">
        <f>IF(ESTIMATIVA[[#This Row],[QT_AREA_REST2]]&gt;0,"Reestimativa 2",IF(ESTIMATIVA[[#This Row],[QT_AREA_REAL]]=0,"Reestimativa 2","Realizado"))</f>
        <v>Realizado</v>
      </c>
      <c r="X211" s="1">
        <f>ESTIMATIVA[[#This Row],[QT_AREA_EST]]</f>
        <v>6.44</v>
      </c>
      <c r="Y211" s="1">
        <f>IF(ESTIMATIVA[[#This Row],[QT_AREA_REST1]]&gt;0,ESTIMATIVA[[#This Row],[QT_AREA_REST1]],
  IF(ESTIMATIVA[[#This Row],[QT_AREA_REAL]]&gt;0,ESTIMATIVA[[#This Row],[QT_AREA_REAL]],ESTIMATIVA[[#This Row],[QT_AREA_EST]]))</f>
        <v>6.44</v>
      </c>
      <c r="Z21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6.44</v>
      </c>
      <c r="AA211" s="1">
        <f>ESTIMATIVA[[#This Row],[QT_CANA_EST]]</f>
        <v>418.6</v>
      </c>
      <c r="AB211" s="1">
        <f>IF(ESTIMATIVA[[#This Row],[QT_CANA_REST1]]&gt;0,ESTIMATIVA[[#This Row],[QT_CANA_REST1]],
  IF(ESTIMATIVA[[#This Row],[QT_CANA_REAL]]&gt;0,ESTIMATIVA[[#This Row],[QT_CANA_REAL]],ESTIMATIVA[[#This Row],[QT_CANA_EST]]))</f>
        <v>418.44</v>
      </c>
      <c r="AC21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418.44</v>
      </c>
      <c r="AD211" s="1">
        <f>IF(ESTIMATIVA[[#This Row],[QT_AREA_REAL]]&gt;0,ESTIMATIVA[[#This Row],[QT_CANA_REAL]],ESTIMATIVA[[#This Row],[QT_CANA_EST]])</f>
        <v>418.44</v>
      </c>
      <c r="AE211" s="1">
        <f>IF(ESTIMATIVA[[#This Row],[QT_AREA_REAL]]&gt;0,ESTIMATIVA[[#This Row],[QT_CANA_REAL]],ESTIMATIVA[[#This Row],[QT_CANA_REST1]])</f>
        <v>418.44</v>
      </c>
      <c r="AF211" s="1">
        <f>IF(ESTIMATIVA[[#This Row],[QT_AREA_REAL]]&gt;0,ESTIMATIVA[[#This Row],[QT_CANA_REAL]],ESTIMATIVA[[#This Row],[QT_CANA_REST2]])</f>
        <v>418.44</v>
      </c>
      <c r="AG211" s="1" t="str">
        <f>IF(COUNTIFS(GEADA!A:A,VALUE(ESTIMATIVA[[#This Row],[CD_UPNIVEL1]]&amp;TEXT(ESTIMATIVA[[#This Row],[CD_UPNIVEL3]],"0000")))&gt;0,"S","N")</f>
        <v>N</v>
      </c>
      <c r="AH21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11" s="55" t="str">
        <f>IF(ESTIMATIVA[[#This Row],[TP_CULTIVO]]="Irrigado",_xlfn.MAXIFS(IRRIGADO!J:J,IRRIGADO!C:C,ESTIMATIVA[[#This Row],[CD_UPNIVEL1]],IRRIGADO!E:E,ESTIMATIVA[[#This Row],[CD_UPNIVEL3]]),"")</f>
        <v/>
      </c>
      <c r="AJ21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11" s="1">
        <f>COUNTIFS(Apresentação!$E$23:$E$29,ESTIMATIVA[[#This Row],[CD_UPNIVEL1]])</f>
        <v>0</v>
      </c>
    </row>
    <row r="212" spans="1:37" x14ac:dyDescent="0.3">
      <c r="A212">
        <v>20305</v>
      </c>
      <c r="B212" t="s">
        <v>22</v>
      </c>
      <c r="C212">
        <v>300</v>
      </c>
      <c r="D212">
        <v>1</v>
      </c>
      <c r="E212" t="s">
        <v>269</v>
      </c>
      <c r="F212" s="85" t="s">
        <v>331</v>
      </c>
      <c r="G212"/>
      <c r="H212" t="s">
        <v>295</v>
      </c>
      <c r="I212" t="s">
        <v>199</v>
      </c>
      <c r="J212" t="s">
        <v>175</v>
      </c>
      <c r="K212" s="1">
        <v>3.7</v>
      </c>
      <c r="L212" s="1">
        <v>0</v>
      </c>
      <c r="M212" s="1">
        <v>0</v>
      </c>
      <c r="N212" s="1">
        <v>3.7</v>
      </c>
      <c r="O212" s="1">
        <v>240.5</v>
      </c>
      <c r="P212" s="1">
        <v>0</v>
      </c>
      <c r="Q212" s="1">
        <v>0</v>
      </c>
      <c r="R212" s="1">
        <v>240.77</v>
      </c>
      <c r="S212" t="s">
        <v>12</v>
      </c>
      <c r="T212" s="13">
        <v>46005</v>
      </c>
      <c r="U212" s="1" t="str">
        <f>IF(ESTIMATIVA[[#This Row],[QT_AREA_REAL]]&gt;0,"1- Colhido","2- à Colher")</f>
        <v>1- Colhido</v>
      </c>
      <c r="V212" s="1" t="str">
        <f>IF(ESTIMATIVA[[#This Row],[QT_AREA_REST1]]&gt;0,"Reestimativa 1",IF(ESTIMATIVA[[#This Row],[QT_AREA_REAL]]=0,"Reestimativa 1","Realizado"))</f>
        <v>Realizado</v>
      </c>
      <c r="W212" s="1" t="str">
        <f>IF(ESTIMATIVA[[#This Row],[QT_AREA_REST2]]&gt;0,"Reestimativa 2",IF(ESTIMATIVA[[#This Row],[QT_AREA_REAL]]=0,"Reestimativa 2","Realizado"))</f>
        <v>Realizado</v>
      </c>
      <c r="X212" s="1">
        <f>ESTIMATIVA[[#This Row],[QT_AREA_EST]]</f>
        <v>3.7</v>
      </c>
      <c r="Y212" s="1">
        <f>IF(ESTIMATIVA[[#This Row],[QT_AREA_REST1]]&gt;0,ESTIMATIVA[[#This Row],[QT_AREA_REST1]],
  IF(ESTIMATIVA[[#This Row],[QT_AREA_REAL]]&gt;0,ESTIMATIVA[[#This Row],[QT_AREA_REAL]],ESTIMATIVA[[#This Row],[QT_AREA_EST]]))</f>
        <v>3.7</v>
      </c>
      <c r="Z21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3.7</v>
      </c>
      <c r="AA212" s="1">
        <f>ESTIMATIVA[[#This Row],[QT_CANA_EST]]</f>
        <v>240.5</v>
      </c>
      <c r="AB212" s="1">
        <f>IF(ESTIMATIVA[[#This Row],[QT_CANA_REST1]]&gt;0,ESTIMATIVA[[#This Row],[QT_CANA_REST1]],
  IF(ESTIMATIVA[[#This Row],[QT_CANA_REAL]]&gt;0,ESTIMATIVA[[#This Row],[QT_CANA_REAL]],ESTIMATIVA[[#This Row],[QT_CANA_EST]]))</f>
        <v>240.77</v>
      </c>
      <c r="AC21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240.77</v>
      </c>
      <c r="AD212" s="1">
        <f>IF(ESTIMATIVA[[#This Row],[QT_AREA_REAL]]&gt;0,ESTIMATIVA[[#This Row],[QT_CANA_REAL]],ESTIMATIVA[[#This Row],[QT_CANA_EST]])</f>
        <v>240.77</v>
      </c>
      <c r="AE212" s="1">
        <f>IF(ESTIMATIVA[[#This Row],[QT_AREA_REAL]]&gt;0,ESTIMATIVA[[#This Row],[QT_CANA_REAL]],ESTIMATIVA[[#This Row],[QT_CANA_REST1]])</f>
        <v>240.77</v>
      </c>
      <c r="AF212" s="1">
        <f>IF(ESTIMATIVA[[#This Row],[QT_AREA_REAL]]&gt;0,ESTIMATIVA[[#This Row],[QT_CANA_REAL]],ESTIMATIVA[[#This Row],[QT_CANA_REST2]])</f>
        <v>240.77</v>
      </c>
      <c r="AG212" s="1" t="str">
        <f>IF(COUNTIFS(GEADA!A:A,VALUE(ESTIMATIVA[[#This Row],[CD_UPNIVEL1]]&amp;TEXT(ESTIMATIVA[[#This Row],[CD_UPNIVEL3]],"0000")))&gt;0,"S","N")</f>
        <v>N</v>
      </c>
      <c r="AH21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12" s="55" t="str">
        <f>IF(ESTIMATIVA[[#This Row],[TP_CULTIVO]]="Irrigado",_xlfn.MAXIFS(IRRIGADO!J:J,IRRIGADO!C:C,ESTIMATIVA[[#This Row],[CD_UPNIVEL1]],IRRIGADO!E:E,ESTIMATIVA[[#This Row],[CD_UPNIVEL3]]),"")</f>
        <v/>
      </c>
      <c r="AJ21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12" s="1">
        <f>COUNTIFS(Apresentação!$E$23:$E$29,ESTIMATIVA[[#This Row],[CD_UPNIVEL1]])</f>
        <v>0</v>
      </c>
    </row>
    <row r="213" spans="1:37" x14ac:dyDescent="0.3">
      <c r="A213">
        <v>20305</v>
      </c>
      <c r="B213" t="s">
        <v>22</v>
      </c>
      <c r="C213">
        <v>352</v>
      </c>
      <c r="D213">
        <v>4</v>
      </c>
      <c r="E213" t="s">
        <v>265</v>
      </c>
      <c r="F213" s="85" t="s">
        <v>332</v>
      </c>
      <c r="G213"/>
      <c r="H213" t="s">
        <v>295</v>
      </c>
      <c r="I213" t="s">
        <v>197</v>
      </c>
      <c r="J213" t="s">
        <v>175</v>
      </c>
      <c r="K213" s="1">
        <v>12.4</v>
      </c>
      <c r="L213" s="1">
        <v>12.4</v>
      </c>
      <c r="M213" s="1">
        <v>0</v>
      </c>
      <c r="N213" s="1">
        <v>12.4</v>
      </c>
      <c r="O213" s="1">
        <v>868</v>
      </c>
      <c r="P213" s="1">
        <v>917.6</v>
      </c>
      <c r="Q213" s="1">
        <v>0</v>
      </c>
      <c r="R213" s="1">
        <v>757.08</v>
      </c>
      <c r="S213" t="s">
        <v>12</v>
      </c>
      <c r="T213" s="13">
        <v>45900</v>
      </c>
      <c r="U213" s="1" t="str">
        <f>IF(ESTIMATIVA[[#This Row],[QT_AREA_REAL]]&gt;0,"1- Colhido","2- à Colher")</f>
        <v>1- Colhido</v>
      </c>
      <c r="V213" s="1" t="str">
        <f>IF(ESTIMATIVA[[#This Row],[QT_AREA_REST1]]&gt;0,"Reestimativa 1",IF(ESTIMATIVA[[#This Row],[QT_AREA_REAL]]=0,"Reestimativa 1","Realizado"))</f>
        <v>Reestimativa 1</v>
      </c>
      <c r="W213" s="1" t="str">
        <f>IF(ESTIMATIVA[[#This Row],[QT_AREA_REST2]]&gt;0,"Reestimativa 2",IF(ESTIMATIVA[[#This Row],[QT_AREA_REAL]]=0,"Reestimativa 2","Realizado"))</f>
        <v>Realizado</v>
      </c>
      <c r="X213" s="1">
        <f>ESTIMATIVA[[#This Row],[QT_AREA_EST]]</f>
        <v>12.4</v>
      </c>
      <c r="Y213" s="1">
        <f>IF(ESTIMATIVA[[#This Row],[QT_AREA_REST1]]&gt;0,ESTIMATIVA[[#This Row],[QT_AREA_REST1]],
  IF(ESTIMATIVA[[#This Row],[QT_AREA_REAL]]&gt;0,ESTIMATIVA[[#This Row],[QT_AREA_REAL]],ESTIMATIVA[[#This Row],[QT_AREA_EST]]))</f>
        <v>12.4</v>
      </c>
      <c r="Z21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12.4</v>
      </c>
      <c r="AA213" s="1">
        <f>ESTIMATIVA[[#This Row],[QT_CANA_EST]]</f>
        <v>868</v>
      </c>
      <c r="AB213" s="1">
        <f>IF(ESTIMATIVA[[#This Row],[QT_CANA_REST1]]&gt;0,ESTIMATIVA[[#This Row],[QT_CANA_REST1]],
  IF(ESTIMATIVA[[#This Row],[QT_CANA_REAL]]&gt;0,ESTIMATIVA[[#This Row],[QT_CANA_REAL]],ESTIMATIVA[[#This Row],[QT_CANA_EST]]))</f>
        <v>917.6</v>
      </c>
      <c r="AC21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757.08</v>
      </c>
      <c r="AD213" s="1">
        <f>IF(ESTIMATIVA[[#This Row],[QT_AREA_REAL]]&gt;0,ESTIMATIVA[[#This Row],[QT_CANA_REAL]],ESTIMATIVA[[#This Row],[QT_CANA_EST]])</f>
        <v>757.08</v>
      </c>
      <c r="AE213" s="1">
        <f>IF(ESTIMATIVA[[#This Row],[QT_AREA_REAL]]&gt;0,ESTIMATIVA[[#This Row],[QT_CANA_REAL]],ESTIMATIVA[[#This Row],[QT_CANA_REST1]])</f>
        <v>757.08</v>
      </c>
      <c r="AF213" s="1">
        <f>IF(ESTIMATIVA[[#This Row],[QT_AREA_REAL]]&gt;0,ESTIMATIVA[[#This Row],[QT_CANA_REAL]],ESTIMATIVA[[#This Row],[QT_CANA_REST2]])</f>
        <v>757.08</v>
      </c>
      <c r="AG213" s="1" t="str">
        <f>IF(COUNTIFS(GEADA!A:A,VALUE(ESTIMATIVA[[#This Row],[CD_UPNIVEL1]]&amp;TEXT(ESTIMATIVA[[#This Row],[CD_UPNIVEL3]],"0000")))&gt;0,"S","N")</f>
        <v>N</v>
      </c>
      <c r="AH21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13" s="55" t="str">
        <f>IF(ESTIMATIVA[[#This Row],[TP_CULTIVO]]="Irrigado",_xlfn.MAXIFS(IRRIGADO!J:J,IRRIGADO!C:C,ESTIMATIVA[[#This Row],[CD_UPNIVEL1]],IRRIGADO!E:E,ESTIMATIVA[[#This Row],[CD_UPNIVEL3]]),"")</f>
        <v/>
      </c>
      <c r="AJ21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13" s="1">
        <f>COUNTIFS(Apresentação!$E$23:$E$29,ESTIMATIVA[[#This Row],[CD_UPNIVEL1]])</f>
        <v>0</v>
      </c>
    </row>
    <row r="214" spans="1:37" x14ac:dyDescent="0.3">
      <c r="A214">
        <v>20305</v>
      </c>
      <c r="B214" t="s">
        <v>22</v>
      </c>
      <c r="C214">
        <v>353</v>
      </c>
      <c r="D214">
        <v>4</v>
      </c>
      <c r="E214" t="s">
        <v>265</v>
      </c>
      <c r="F214" s="85" t="s">
        <v>331</v>
      </c>
      <c r="G214"/>
      <c r="H214" t="s">
        <v>295</v>
      </c>
      <c r="I214" t="s">
        <v>197</v>
      </c>
      <c r="J214" t="s">
        <v>175</v>
      </c>
      <c r="K214" s="1">
        <v>19</v>
      </c>
      <c r="L214" s="1">
        <v>19</v>
      </c>
      <c r="M214" s="1">
        <v>0</v>
      </c>
      <c r="N214" s="1">
        <v>19</v>
      </c>
      <c r="O214" s="1">
        <v>1330</v>
      </c>
      <c r="P214" s="1">
        <v>1406</v>
      </c>
      <c r="Q214" s="1">
        <v>0</v>
      </c>
      <c r="R214" s="1">
        <v>1159.5999999999999</v>
      </c>
      <c r="S214" t="s">
        <v>12</v>
      </c>
      <c r="T214" s="13">
        <v>45900</v>
      </c>
      <c r="U214" s="1" t="str">
        <f>IF(ESTIMATIVA[[#This Row],[QT_AREA_REAL]]&gt;0,"1- Colhido","2- à Colher")</f>
        <v>1- Colhido</v>
      </c>
      <c r="V214" s="1" t="str">
        <f>IF(ESTIMATIVA[[#This Row],[QT_AREA_REST1]]&gt;0,"Reestimativa 1",IF(ESTIMATIVA[[#This Row],[QT_AREA_REAL]]=0,"Reestimativa 1","Realizado"))</f>
        <v>Reestimativa 1</v>
      </c>
      <c r="W214" s="1" t="str">
        <f>IF(ESTIMATIVA[[#This Row],[QT_AREA_REST2]]&gt;0,"Reestimativa 2",IF(ESTIMATIVA[[#This Row],[QT_AREA_REAL]]=0,"Reestimativa 2","Realizado"))</f>
        <v>Realizado</v>
      </c>
      <c r="X214" s="1">
        <f>ESTIMATIVA[[#This Row],[QT_AREA_EST]]</f>
        <v>19</v>
      </c>
      <c r="Y214" s="1">
        <f>IF(ESTIMATIVA[[#This Row],[QT_AREA_REST1]]&gt;0,ESTIMATIVA[[#This Row],[QT_AREA_REST1]],
  IF(ESTIMATIVA[[#This Row],[QT_AREA_REAL]]&gt;0,ESTIMATIVA[[#This Row],[QT_AREA_REAL]],ESTIMATIVA[[#This Row],[QT_AREA_EST]]))</f>
        <v>19</v>
      </c>
      <c r="Z21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</v>
      </c>
      <c r="AA214" s="1">
        <f>ESTIMATIVA[[#This Row],[QT_CANA_EST]]</f>
        <v>1330</v>
      </c>
      <c r="AB214" s="1">
        <f>IF(ESTIMATIVA[[#This Row],[QT_CANA_REST1]]&gt;0,ESTIMATIVA[[#This Row],[QT_CANA_REST1]],
  IF(ESTIMATIVA[[#This Row],[QT_CANA_REAL]]&gt;0,ESTIMATIVA[[#This Row],[QT_CANA_REAL]],ESTIMATIVA[[#This Row],[QT_CANA_EST]]))</f>
        <v>1406</v>
      </c>
      <c r="AC21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1159.5999999999999</v>
      </c>
      <c r="AD214" s="1">
        <f>IF(ESTIMATIVA[[#This Row],[QT_AREA_REAL]]&gt;0,ESTIMATIVA[[#This Row],[QT_CANA_REAL]],ESTIMATIVA[[#This Row],[QT_CANA_EST]])</f>
        <v>1159.5999999999999</v>
      </c>
      <c r="AE214" s="1">
        <f>IF(ESTIMATIVA[[#This Row],[QT_AREA_REAL]]&gt;0,ESTIMATIVA[[#This Row],[QT_CANA_REAL]],ESTIMATIVA[[#This Row],[QT_CANA_REST1]])</f>
        <v>1159.5999999999999</v>
      </c>
      <c r="AF214" s="1">
        <f>IF(ESTIMATIVA[[#This Row],[QT_AREA_REAL]]&gt;0,ESTIMATIVA[[#This Row],[QT_CANA_REAL]],ESTIMATIVA[[#This Row],[QT_CANA_REST2]])</f>
        <v>1159.5999999999999</v>
      </c>
      <c r="AG214" s="1" t="str">
        <f>IF(COUNTIFS(GEADA!A:A,VALUE(ESTIMATIVA[[#This Row],[CD_UPNIVEL1]]&amp;TEXT(ESTIMATIVA[[#This Row],[CD_UPNIVEL3]],"0000")))&gt;0,"S","N")</f>
        <v>N</v>
      </c>
      <c r="AH21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14" s="55" t="str">
        <f>IF(ESTIMATIVA[[#This Row],[TP_CULTIVO]]="Irrigado",_xlfn.MAXIFS(IRRIGADO!J:J,IRRIGADO!C:C,ESTIMATIVA[[#This Row],[CD_UPNIVEL1]],IRRIGADO!E:E,ESTIMATIVA[[#This Row],[CD_UPNIVEL3]]),"")</f>
        <v/>
      </c>
      <c r="AJ21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14" s="1">
        <f>COUNTIFS(Apresentação!$E$23:$E$29,ESTIMATIVA[[#This Row],[CD_UPNIVEL1]])</f>
        <v>0</v>
      </c>
    </row>
    <row r="215" spans="1:37" x14ac:dyDescent="0.3">
      <c r="A215">
        <v>20305</v>
      </c>
      <c r="B215" t="s">
        <v>22</v>
      </c>
      <c r="C215">
        <v>354</v>
      </c>
      <c r="D215">
        <v>4</v>
      </c>
      <c r="E215" t="s">
        <v>265</v>
      </c>
      <c r="F215" s="85" t="s">
        <v>331</v>
      </c>
      <c r="G215"/>
      <c r="H215" t="s">
        <v>295</v>
      </c>
      <c r="I215" t="s">
        <v>197</v>
      </c>
      <c r="J215" t="s">
        <v>175</v>
      </c>
      <c r="K215" s="1">
        <v>16.96</v>
      </c>
      <c r="L215" s="1">
        <v>16.96</v>
      </c>
      <c r="M215" s="1">
        <v>0</v>
      </c>
      <c r="N215" s="1">
        <v>16.96</v>
      </c>
      <c r="O215" s="1">
        <v>1187.2</v>
      </c>
      <c r="P215" s="1">
        <v>1255.04</v>
      </c>
      <c r="Q215" s="1">
        <v>0</v>
      </c>
      <c r="R215" s="1">
        <v>1035.05</v>
      </c>
      <c r="S215" t="s">
        <v>12</v>
      </c>
      <c r="T215" s="13">
        <v>45900</v>
      </c>
      <c r="U215" s="1" t="str">
        <f>IF(ESTIMATIVA[[#This Row],[QT_AREA_REAL]]&gt;0,"1- Colhido","2- à Colher")</f>
        <v>1- Colhido</v>
      </c>
      <c r="V215" s="1" t="str">
        <f>IF(ESTIMATIVA[[#This Row],[QT_AREA_REST1]]&gt;0,"Reestimativa 1",IF(ESTIMATIVA[[#This Row],[QT_AREA_REAL]]=0,"Reestimativa 1","Realizado"))</f>
        <v>Reestimativa 1</v>
      </c>
      <c r="W215" s="1" t="str">
        <f>IF(ESTIMATIVA[[#This Row],[QT_AREA_REST2]]&gt;0,"Reestimativa 2",IF(ESTIMATIVA[[#This Row],[QT_AREA_REAL]]=0,"Reestimativa 2","Realizado"))</f>
        <v>Realizado</v>
      </c>
      <c r="X215" s="1">
        <f>ESTIMATIVA[[#This Row],[QT_AREA_EST]]</f>
        <v>16.96</v>
      </c>
      <c r="Y215" s="1">
        <f>IF(ESTIMATIVA[[#This Row],[QT_AREA_REST1]]&gt;0,ESTIMATIVA[[#This Row],[QT_AREA_REST1]],
  IF(ESTIMATIVA[[#This Row],[QT_AREA_REAL]]&gt;0,ESTIMATIVA[[#This Row],[QT_AREA_REAL]],ESTIMATIVA[[#This Row],[QT_AREA_EST]]))</f>
        <v>16.96</v>
      </c>
      <c r="Z21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16.96</v>
      </c>
      <c r="AA215" s="1">
        <f>ESTIMATIVA[[#This Row],[QT_CANA_EST]]</f>
        <v>1187.2</v>
      </c>
      <c r="AB215" s="1">
        <f>IF(ESTIMATIVA[[#This Row],[QT_CANA_REST1]]&gt;0,ESTIMATIVA[[#This Row],[QT_CANA_REST1]],
  IF(ESTIMATIVA[[#This Row],[QT_CANA_REAL]]&gt;0,ESTIMATIVA[[#This Row],[QT_CANA_REAL]],ESTIMATIVA[[#This Row],[QT_CANA_EST]]))</f>
        <v>1255.04</v>
      </c>
      <c r="AC21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1035.05</v>
      </c>
      <c r="AD215" s="1">
        <f>IF(ESTIMATIVA[[#This Row],[QT_AREA_REAL]]&gt;0,ESTIMATIVA[[#This Row],[QT_CANA_REAL]],ESTIMATIVA[[#This Row],[QT_CANA_EST]])</f>
        <v>1035.05</v>
      </c>
      <c r="AE215" s="1">
        <f>IF(ESTIMATIVA[[#This Row],[QT_AREA_REAL]]&gt;0,ESTIMATIVA[[#This Row],[QT_CANA_REAL]],ESTIMATIVA[[#This Row],[QT_CANA_REST1]])</f>
        <v>1035.05</v>
      </c>
      <c r="AF215" s="1">
        <f>IF(ESTIMATIVA[[#This Row],[QT_AREA_REAL]]&gt;0,ESTIMATIVA[[#This Row],[QT_CANA_REAL]],ESTIMATIVA[[#This Row],[QT_CANA_REST2]])</f>
        <v>1035.05</v>
      </c>
      <c r="AG215" s="1" t="str">
        <f>IF(COUNTIFS(GEADA!A:A,VALUE(ESTIMATIVA[[#This Row],[CD_UPNIVEL1]]&amp;TEXT(ESTIMATIVA[[#This Row],[CD_UPNIVEL3]],"0000")))&gt;0,"S","N")</f>
        <v>N</v>
      </c>
      <c r="AH21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15" s="55" t="str">
        <f>IF(ESTIMATIVA[[#This Row],[TP_CULTIVO]]="Irrigado",_xlfn.MAXIFS(IRRIGADO!J:J,IRRIGADO!C:C,ESTIMATIVA[[#This Row],[CD_UPNIVEL1]],IRRIGADO!E:E,ESTIMATIVA[[#This Row],[CD_UPNIVEL3]]),"")</f>
        <v/>
      </c>
      <c r="AJ21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15" s="1">
        <f>COUNTIFS(Apresentação!$E$23:$E$29,ESTIMATIVA[[#This Row],[CD_UPNIVEL1]])</f>
        <v>0</v>
      </c>
    </row>
    <row r="216" spans="1:37" x14ac:dyDescent="0.3">
      <c r="A216">
        <v>20305</v>
      </c>
      <c r="B216" t="s">
        <v>22</v>
      </c>
      <c r="C216">
        <v>355</v>
      </c>
      <c r="D216">
        <v>4</v>
      </c>
      <c r="E216" t="s">
        <v>265</v>
      </c>
      <c r="F216" s="85" t="s">
        <v>331</v>
      </c>
      <c r="G216"/>
      <c r="H216" t="s">
        <v>295</v>
      </c>
      <c r="I216" t="s">
        <v>208</v>
      </c>
      <c r="J216" t="s">
        <v>175</v>
      </c>
      <c r="K216" s="1">
        <v>23.93</v>
      </c>
      <c r="L216" s="1">
        <v>23.93</v>
      </c>
      <c r="M216" s="1">
        <v>0</v>
      </c>
      <c r="N216" s="1">
        <v>23.93</v>
      </c>
      <c r="O216" s="1">
        <v>1675.1</v>
      </c>
      <c r="P216" s="1">
        <v>1770.82</v>
      </c>
      <c r="Q216" s="1">
        <v>0</v>
      </c>
      <c r="R216" s="1">
        <v>1460.65</v>
      </c>
      <c r="S216" t="s">
        <v>12</v>
      </c>
      <c r="T216" s="13">
        <v>45900</v>
      </c>
      <c r="U216" s="1" t="str">
        <f>IF(ESTIMATIVA[[#This Row],[QT_AREA_REAL]]&gt;0,"1- Colhido","2- à Colher")</f>
        <v>1- Colhido</v>
      </c>
      <c r="V216" s="1" t="str">
        <f>IF(ESTIMATIVA[[#This Row],[QT_AREA_REST1]]&gt;0,"Reestimativa 1",IF(ESTIMATIVA[[#This Row],[QT_AREA_REAL]]=0,"Reestimativa 1","Realizado"))</f>
        <v>Reestimativa 1</v>
      </c>
      <c r="W216" s="1" t="str">
        <f>IF(ESTIMATIVA[[#This Row],[QT_AREA_REST2]]&gt;0,"Reestimativa 2",IF(ESTIMATIVA[[#This Row],[QT_AREA_REAL]]=0,"Reestimativa 2","Realizado"))</f>
        <v>Realizado</v>
      </c>
      <c r="X216" s="1">
        <f>ESTIMATIVA[[#This Row],[QT_AREA_EST]]</f>
        <v>23.93</v>
      </c>
      <c r="Y216" s="1">
        <f>IF(ESTIMATIVA[[#This Row],[QT_AREA_REST1]]&gt;0,ESTIMATIVA[[#This Row],[QT_AREA_REST1]],
  IF(ESTIMATIVA[[#This Row],[QT_AREA_REAL]]&gt;0,ESTIMATIVA[[#This Row],[QT_AREA_REAL]],ESTIMATIVA[[#This Row],[QT_AREA_EST]]))</f>
        <v>23.93</v>
      </c>
      <c r="Z21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23.93</v>
      </c>
      <c r="AA216" s="1">
        <f>ESTIMATIVA[[#This Row],[QT_CANA_EST]]</f>
        <v>1675.1</v>
      </c>
      <c r="AB216" s="1">
        <f>IF(ESTIMATIVA[[#This Row],[QT_CANA_REST1]]&gt;0,ESTIMATIVA[[#This Row],[QT_CANA_REST1]],
  IF(ESTIMATIVA[[#This Row],[QT_CANA_REAL]]&gt;0,ESTIMATIVA[[#This Row],[QT_CANA_REAL]],ESTIMATIVA[[#This Row],[QT_CANA_EST]]))</f>
        <v>1770.82</v>
      </c>
      <c r="AC21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1460.65</v>
      </c>
      <c r="AD216" s="1">
        <f>IF(ESTIMATIVA[[#This Row],[QT_AREA_REAL]]&gt;0,ESTIMATIVA[[#This Row],[QT_CANA_REAL]],ESTIMATIVA[[#This Row],[QT_CANA_EST]])</f>
        <v>1460.65</v>
      </c>
      <c r="AE216" s="1">
        <f>IF(ESTIMATIVA[[#This Row],[QT_AREA_REAL]]&gt;0,ESTIMATIVA[[#This Row],[QT_CANA_REAL]],ESTIMATIVA[[#This Row],[QT_CANA_REST1]])</f>
        <v>1460.65</v>
      </c>
      <c r="AF216" s="1">
        <f>IF(ESTIMATIVA[[#This Row],[QT_AREA_REAL]]&gt;0,ESTIMATIVA[[#This Row],[QT_CANA_REAL]],ESTIMATIVA[[#This Row],[QT_CANA_REST2]])</f>
        <v>1460.65</v>
      </c>
      <c r="AG216" s="1" t="str">
        <f>IF(COUNTIFS(GEADA!A:A,VALUE(ESTIMATIVA[[#This Row],[CD_UPNIVEL1]]&amp;TEXT(ESTIMATIVA[[#This Row],[CD_UPNIVEL3]],"0000")))&gt;0,"S","N")</f>
        <v>N</v>
      </c>
      <c r="AH21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16" s="55" t="str">
        <f>IF(ESTIMATIVA[[#This Row],[TP_CULTIVO]]="Irrigado",_xlfn.MAXIFS(IRRIGADO!J:J,IRRIGADO!C:C,ESTIMATIVA[[#This Row],[CD_UPNIVEL1]],IRRIGADO!E:E,ESTIMATIVA[[#This Row],[CD_UPNIVEL3]]),"")</f>
        <v/>
      </c>
      <c r="AJ21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16" s="1">
        <f>COUNTIFS(Apresentação!$E$23:$E$29,ESTIMATIVA[[#This Row],[CD_UPNIVEL1]])</f>
        <v>0</v>
      </c>
    </row>
    <row r="217" spans="1:37" x14ac:dyDescent="0.3">
      <c r="A217">
        <v>20305</v>
      </c>
      <c r="B217" t="s">
        <v>22</v>
      </c>
      <c r="C217">
        <v>356</v>
      </c>
      <c r="D217">
        <v>4</v>
      </c>
      <c r="E217" t="s">
        <v>265</v>
      </c>
      <c r="F217" s="85" t="s">
        <v>332</v>
      </c>
      <c r="G217"/>
      <c r="H217" t="s">
        <v>295</v>
      </c>
      <c r="I217" t="s">
        <v>208</v>
      </c>
      <c r="J217" t="s">
        <v>175</v>
      </c>
      <c r="K217" s="1">
        <v>12.28</v>
      </c>
      <c r="L217" s="1">
        <v>12.28</v>
      </c>
      <c r="M217" s="1">
        <v>0</v>
      </c>
      <c r="N217" s="1">
        <v>12.28</v>
      </c>
      <c r="O217" s="1">
        <v>859.6</v>
      </c>
      <c r="P217" s="1">
        <v>908.72</v>
      </c>
      <c r="Q217" s="1">
        <v>0</v>
      </c>
      <c r="R217" s="1">
        <v>750.1</v>
      </c>
      <c r="S217" t="s">
        <v>12</v>
      </c>
      <c r="T217" s="13">
        <v>45900</v>
      </c>
      <c r="U217" s="1" t="str">
        <f>IF(ESTIMATIVA[[#This Row],[QT_AREA_REAL]]&gt;0,"1- Colhido","2- à Colher")</f>
        <v>1- Colhido</v>
      </c>
      <c r="V217" s="1" t="str">
        <f>IF(ESTIMATIVA[[#This Row],[QT_AREA_REST1]]&gt;0,"Reestimativa 1",IF(ESTIMATIVA[[#This Row],[QT_AREA_REAL]]=0,"Reestimativa 1","Realizado"))</f>
        <v>Reestimativa 1</v>
      </c>
      <c r="W217" s="1" t="str">
        <f>IF(ESTIMATIVA[[#This Row],[QT_AREA_REST2]]&gt;0,"Reestimativa 2",IF(ESTIMATIVA[[#This Row],[QT_AREA_REAL]]=0,"Reestimativa 2","Realizado"))</f>
        <v>Realizado</v>
      </c>
      <c r="X217" s="1">
        <f>ESTIMATIVA[[#This Row],[QT_AREA_EST]]</f>
        <v>12.28</v>
      </c>
      <c r="Y217" s="1">
        <f>IF(ESTIMATIVA[[#This Row],[QT_AREA_REST1]]&gt;0,ESTIMATIVA[[#This Row],[QT_AREA_REST1]],
  IF(ESTIMATIVA[[#This Row],[QT_AREA_REAL]]&gt;0,ESTIMATIVA[[#This Row],[QT_AREA_REAL]],ESTIMATIVA[[#This Row],[QT_AREA_EST]]))</f>
        <v>12.28</v>
      </c>
      <c r="Z21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12.28</v>
      </c>
      <c r="AA217" s="1">
        <f>ESTIMATIVA[[#This Row],[QT_CANA_EST]]</f>
        <v>859.6</v>
      </c>
      <c r="AB217" s="1">
        <f>IF(ESTIMATIVA[[#This Row],[QT_CANA_REST1]]&gt;0,ESTIMATIVA[[#This Row],[QT_CANA_REST1]],
  IF(ESTIMATIVA[[#This Row],[QT_CANA_REAL]]&gt;0,ESTIMATIVA[[#This Row],[QT_CANA_REAL]],ESTIMATIVA[[#This Row],[QT_CANA_EST]]))</f>
        <v>908.72</v>
      </c>
      <c r="AC21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750.1</v>
      </c>
      <c r="AD217" s="1">
        <f>IF(ESTIMATIVA[[#This Row],[QT_AREA_REAL]]&gt;0,ESTIMATIVA[[#This Row],[QT_CANA_REAL]],ESTIMATIVA[[#This Row],[QT_CANA_EST]])</f>
        <v>750.1</v>
      </c>
      <c r="AE217" s="1">
        <f>IF(ESTIMATIVA[[#This Row],[QT_AREA_REAL]]&gt;0,ESTIMATIVA[[#This Row],[QT_CANA_REAL]],ESTIMATIVA[[#This Row],[QT_CANA_REST1]])</f>
        <v>750.1</v>
      </c>
      <c r="AF217" s="1">
        <f>IF(ESTIMATIVA[[#This Row],[QT_AREA_REAL]]&gt;0,ESTIMATIVA[[#This Row],[QT_CANA_REAL]],ESTIMATIVA[[#This Row],[QT_CANA_REST2]])</f>
        <v>750.1</v>
      </c>
      <c r="AG217" s="1" t="str">
        <f>IF(COUNTIFS(GEADA!A:A,VALUE(ESTIMATIVA[[#This Row],[CD_UPNIVEL1]]&amp;TEXT(ESTIMATIVA[[#This Row],[CD_UPNIVEL3]],"0000")))&gt;0,"S","N")</f>
        <v>N</v>
      </c>
      <c r="AH21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17" s="55" t="str">
        <f>IF(ESTIMATIVA[[#This Row],[TP_CULTIVO]]="Irrigado",_xlfn.MAXIFS(IRRIGADO!J:J,IRRIGADO!C:C,ESTIMATIVA[[#This Row],[CD_UPNIVEL1]],IRRIGADO!E:E,ESTIMATIVA[[#This Row],[CD_UPNIVEL3]]),"")</f>
        <v/>
      </c>
      <c r="AJ21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17" s="1">
        <f>COUNTIFS(Apresentação!$E$23:$E$29,ESTIMATIVA[[#This Row],[CD_UPNIVEL1]])</f>
        <v>0</v>
      </c>
    </row>
    <row r="218" spans="1:37" x14ac:dyDescent="0.3">
      <c r="A218">
        <v>20305</v>
      </c>
      <c r="B218" t="s">
        <v>22</v>
      </c>
      <c r="C218">
        <v>378</v>
      </c>
      <c r="D218">
        <v>3</v>
      </c>
      <c r="E218" t="s">
        <v>263</v>
      </c>
      <c r="F218" s="85" t="s">
        <v>331</v>
      </c>
      <c r="G218"/>
      <c r="H218" t="s">
        <v>295</v>
      </c>
      <c r="I218" t="s">
        <v>197</v>
      </c>
      <c r="J218" t="s">
        <v>175</v>
      </c>
      <c r="K218" s="1">
        <v>16.18</v>
      </c>
      <c r="L218" s="1">
        <v>0</v>
      </c>
      <c r="M218" s="1">
        <v>0</v>
      </c>
      <c r="N218" s="1">
        <v>16.18</v>
      </c>
      <c r="O218" s="1">
        <v>1456.2</v>
      </c>
      <c r="P218" s="1">
        <v>0</v>
      </c>
      <c r="Q218" s="1">
        <v>0</v>
      </c>
      <c r="R218" s="1">
        <v>1239.93</v>
      </c>
      <c r="S218" t="s">
        <v>12</v>
      </c>
      <c r="T218" s="13">
        <v>45760</v>
      </c>
      <c r="U218" s="1" t="str">
        <f>IF(ESTIMATIVA[[#This Row],[QT_AREA_REAL]]&gt;0,"1- Colhido","2- à Colher")</f>
        <v>1- Colhido</v>
      </c>
      <c r="V218" s="1" t="str">
        <f>IF(ESTIMATIVA[[#This Row],[QT_AREA_REST1]]&gt;0,"Reestimativa 1",IF(ESTIMATIVA[[#This Row],[QT_AREA_REAL]]=0,"Reestimativa 1","Realizado"))</f>
        <v>Realizado</v>
      </c>
      <c r="W218" s="1" t="str">
        <f>IF(ESTIMATIVA[[#This Row],[QT_AREA_REST2]]&gt;0,"Reestimativa 2",IF(ESTIMATIVA[[#This Row],[QT_AREA_REAL]]=0,"Reestimativa 2","Realizado"))</f>
        <v>Realizado</v>
      </c>
      <c r="X218" s="1">
        <f>ESTIMATIVA[[#This Row],[QT_AREA_EST]]</f>
        <v>16.18</v>
      </c>
      <c r="Y218" s="1">
        <f>IF(ESTIMATIVA[[#This Row],[QT_AREA_REST1]]&gt;0,ESTIMATIVA[[#This Row],[QT_AREA_REST1]],
  IF(ESTIMATIVA[[#This Row],[QT_AREA_REAL]]&gt;0,ESTIMATIVA[[#This Row],[QT_AREA_REAL]],ESTIMATIVA[[#This Row],[QT_AREA_EST]]))</f>
        <v>16.18</v>
      </c>
      <c r="Z21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16.18</v>
      </c>
      <c r="AA218" s="1">
        <f>ESTIMATIVA[[#This Row],[QT_CANA_EST]]</f>
        <v>1456.2</v>
      </c>
      <c r="AB218" s="1">
        <f>IF(ESTIMATIVA[[#This Row],[QT_CANA_REST1]]&gt;0,ESTIMATIVA[[#This Row],[QT_CANA_REST1]],
  IF(ESTIMATIVA[[#This Row],[QT_CANA_REAL]]&gt;0,ESTIMATIVA[[#This Row],[QT_CANA_REAL]],ESTIMATIVA[[#This Row],[QT_CANA_EST]]))</f>
        <v>1239.93</v>
      </c>
      <c r="AC21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1239.93</v>
      </c>
      <c r="AD218" s="1">
        <f>IF(ESTIMATIVA[[#This Row],[QT_AREA_REAL]]&gt;0,ESTIMATIVA[[#This Row],[QT_CANA_REAL]],ESTIMATIVA[[#This Row],[QT_CANA_EST]])</f>
        <v>1239.93</v>
      </c>
      <c r="AE218" s="1">
        <f>IF(ESTIMATIVA[[#This Row],[QT_AREA_REAL]]&gt;0,ESTIMATIVA[[#This Row],[QT_CANA_REAL]],ESTIMATIVA[[#This Row],[QT_CANA_REST1]])</f>
        <v>1239.93</v>
      </c>
      <c r="AF218" s="1">
        <f>IF(ESTIMATIVA[[#This Row],[QT_AREA_REAL]]&gt;0,ESTIMATIVA[[#This Row],[QT_CANA_REAL]],ESTIMATIVA[[#This Row],[QT_CANA_REST2]])</f>
        <v>1239.93</v>
      </c>
      <c r="AG218" s="1" t="str">
        <f>IF(COUNTIFS(GEADA!A:A,VALUE(ESTIMATIVA[[#This Row],[CD_UPNIVEL1]]&amp;TEXT(ESTIMATIVA[[#This Row],[CD_UPNIVEL3]],"0000")))&gt;0,"S","N")</f>
        <v>N</v>
      </c>
      <c r="AH21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18" s="55" t="str">
        <f>IF(ESTIMATIVA[[#This Row],[TP_CULTIVO]]="Irrigado",_xlfn.MAXIFS(IRRIGADO!J:J,IRRIGADO!C:C,ESTIMATIVA[[#This Row],[CD_UPNIVEL1]],IRRIGADO!E:E,ESTIMATIVA[[#This Row],[CD_UPNIVEL3]]),"")</f>
        <v/>
      </c>
      <c r="AJ21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18" s="1">
        <f>COUNTIFS(Apresentação!$E$23:$E$29,ESTIMATIVA[[#This Row],[CD_UPNIVEL1]])</f>
        <v>0</v>
      </c>
    </row>
    <row r="219" spans="1:37" x14ac:dyDescent="0.3">
      <c r="A219">
        <v>20305</v>
      </c>
      <c r="B219" t="s">
        <v>22</v>
      </c>
      <c r="C219">
        <v>381</v>
      </c>
      <c r="D219">
        <v>2</v>
      </c>
      <c r="E219" t="s">
        <v>266</v>
      </c>
      <c r="F219" s="85" t="s">
        <v>332</v>
      </c>
      <c r="G219"/>
      <c r="H219" t="s">
        <v>295</v>
      </c>
      <c r="I219" t="s">
        <v>211</v>
      </c>
      <c r="J219" t="s">
        <v>175</v>
      </c>
      <c r="K219" s="1">
        <v>5.77</v>
      </c>
      <c r="L219" s="1">
        <v>0</v>
      </c>
      <c r="M219" s="1">
        <v>0</v>
      </c>
      <c r="N219" s="1">
        <v>5.77</v>
      </c>
      <c r="O219" s="1">
        <v>519.29999999999995</v>
      </c>
      <c r="P219" s="1">
        <v>0</v>
      </c>
      <c r="Q219" s="1">
        <v>0</v>
      </c>
      <c r="R219" s="1">
        <v>536.04</v>
      </c>
      <c r="S219" t="s">
        <v>12</v>
      </c>
      <c r="T219" s="13">
        <v>45816</v>
      </c>
      <c r="U219" s="1" t="str">
        <f>IF(ESTIMATIVA[[#This Row],[QT_AREA_REAL]]&gt;0,"1- Colhido","2- à Colher")</f>
        <v>1- Colhido</v>
      </c>
      <c r="V219" s="1" t="str">
        <f>IF(ESTIMATIVA[[#This Row],[QT_AREA_REST1]]&gt;0,"Reestimativa 1",IF(ESTIMATIVA[[#This Row],[QT_AREA_REAL]]=0,"Reestimativa 1","Realizado"))</f>
        <v>Realizado</v>
      </c>
      <c r="W219" s="1" t="str">
        <f>IF(ESTIMATIVA[[#This Row],[QT_AREA_REST2]]&gt;0,"Reestimativa 2",IF(ESTIMATIVA[[#This Row],[QT_AREA_REAL]]=0,"Reestimativa 2","Realizado"))</f>
        <v>Realizado</v>
      </c>
      <c r="X219" s="1">
        <f>ESTIMATIVA[[#This Row],[QT_AREA_EST]]</f>
        <v>5.77</v>
      </c>
      <c r="Y219" s="1">
        <f>IF(ESTIMATIVA[[#This Row],[QT_AREA_REST1]]&gt;0,ESTIMATIVA[[#This Row],[QT_AREA_REST1]],
  IF(ESTIMATIVA[[#This Row],[QT_AREA_REAL]]&gt;0,ESTIMATIVA[[#This Row],[QT_AREA_REAL]],ESTIMATIVA[[#This Row],[QT_AREA_EST]]))</f>
        <v>5.77</v>
      </c>
      <c r="Z21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5.77</v>
      </c>
      <c r="AA219" s="1">
        <f>ESTIMATIVA[[#This Row],[QT_CANA_EST]]</f>
        <v>519.29999999999995</v>
      </c>
      <c r="AB219" s="1">
        <f>IF(ESTIMATIVA[[#This Row],[QT_CANA_REST1]]&gt;0,ESTIMATIVA[[#This Row],[QT_CANA_REST1]],
  IF(ESTIMATIVA[[#This Row],[QT_CANA_REAL]]&gt;0,ESTIMATIVA[[#This Row],[QT_CANA_REAL]],ESTIMATIVA[[#This Row],[QT_CANA_EST]]))</f>
        <v>536.04</v>
      </c>
      <c r="AC21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536.04</v>
      </c>
      <c r="AD219" s="1">
        <f>IF(ESTIMATIVA[[#This Row],[QT_AREA_REAL]]&gt;0,ESTIMATIVA[[#This Row],[QT_CANA_REAL]],ESTIMATIVA[[#This Row],[QT_CANA_EST]])</f>
        <v>536.04</v>
      </c>
      <c r="AE219" s="1">
        <f>IF(ESTIMATIVA[[#This Row],[QT_AREA_REAL]]&gt;0,ESTIMATIVA[[#This Row],[QT_CANA_REAL]],ESTIMATIVA[[#This Row],[QT_CANA_REST1]])</f>
        <v>536.04</v>
      </c>
      <c r="AF219" s="1">
        <f>IF(ESTIMATIVA[[#This Row],[QT_AREA_REAL]]&gt;0,ESTIMATIVA[[#This Row],[QT_CANA_REAL]],ESTIMATIVA[[#This Row],[QT_CANA_REST2]])</f>
        <v>536.04</v>
      </c>
      <c r="AG219" s="1" t="str">
        <f>IF(COUNTIFS(GEADA!A:A,VALUE(ESTIMATIVA[[#This Row],[CD_UPNIVEL1]]&amp;TEXT(ESTIMATIVA[[#This Row],[CD_UPNIVEL3]],"0000")))&gt;0,"S","N")</f>
        <v>N</v>
      </c>
      <c r="AH21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19" s="55" t="str">
        <f>IF(ESTIMATIVA[[#This Row],[TP_CULTIVO]]="Irrigado",_xlfn.MAXIFS(IRRIGADO!J:J,IRRIGADO!C:C,ESTIMATIVA[[#This Row],[CD_UPNIVEL1]],IRRIGADO!E:E,ESTIMATIVA[[#This Row],[CD_UPNIVEL3]]),"")</f>
        <v/>
      </c>
      <c r="AJ21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19" s="1">
        <f>COUNTIFS(Apresentação!$E$23:$E$29,ESTIMATIVA[[#This Row],[CD_UPNIVEL1]])</f>
        <v>0</v>
      </c>
    </row>
    <row r="220" spans="1:37" x14ac:dyDescent="0.3">
      <c r="A220">
        <v>20305</v>
      </c>
      <c r="B220" t="s">
        <v>22</v>
      </c>
      <c r="C220">
        <v>382</v>
      </c>
      <c r="D220">
        <v>2</v>
      </c>
      <c r="E220" t="s">
        <v>266</v>
      </c>
      <c r="F220" s="85" t="s">
        <v>332</v>
      </c>
      <c r="G220"/>
      <c r="H220" t="s">
        <v>295</v>
      </c>
      <c r="I220" t="s">
        <v>211</v>
      </c>
      <c r="J220" t="s">
        <v>175</v>
      </c>
      <c r="K220" s="1">
        <v>36.39</v>
      </c>
      <c r="L220" s="1">
        <v>0</v>
      </c>
      <c r="M220" s="1">
        <v>0</v>
      </c>
      <c r="N220" s="1">
        <v>36.39</v>
      </c>
      <c r="O220" s="1">
        <v>3275.1</v>
      </c>
      <c r="P220" s="1">
        <v>0</v>
      </c>
      <c r="Q220" s="1">
        <v>0</v>
      </c>
      <c r="R220" s="1">
        <v>3566.67</v>
      </c>
      <c r="S220" t="s">
        <v>12</v>
      </c>
      <c r="T220" s="13">
        <v>45809</v>
      </c>
      <c r="U220" s="1" t="str">
        <f>IF(ESTIMATIVA[[#This Row],[QT_AREA_REAL]]&gt;0,"1- Colhido","2- à Colher")</f>
        <v>1- Colhido</v>
      </c>
      <c r="V220" s="1" t="str">
        <f>IF(ESTIMATIVA[[#This Row],[QT_AREA_REST1]]&gt;0,"Reestimativa 1",IF(ESTIMATIVA[[#This Row],[QT_AREA_REAL]]=0,"Reestimativa 1","Realizado"))</f>
        <v>Realizado</v>
      </c>
      <c r="W220" s="1" t="str">
        <f>IF(ESTIMATIVA[[#This Row],[QT_AREA_REST2]]&gt;0,"Reestimativa 2",IF(ESTIMATIVA[[#This Row],[QT_AREA_REAL]]=0,"Reestimativa 2","Realizado"))</f>
        <v>Realizado</v>
      </c>
      <c r="X220" s="1">
        <f>ESTIMATIVA[[#This Row],[QT_AREA_EST]]</f>
        <v>36.39</v>
      </c>
      <c r="Y220" s="1">
        <f>IF(ESTIMATIVA[[#This Row],[QT_AREA_REST1]]&gt;0,ESTIMATIVA[[#This Row],[QT_AREA_REST1]],
  IF(ESTIMATIVA[[#This Row],[QT_AREA_REAL]]&gt;0,ESTIMATIVA[[#This Row],[QT_AREA_REAL]],ESTIMATIVA[[#This Row],[QT_AREA_EST]]))</f>
        <v>36.39</v>
      </c>
      <c r="Z22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36.39</v>
      </c>
      <c r="AA220" s="1">
        <f>ESTIMATIVA[[#This Row],[QT_CANA_EST]]</f>
        <v>3275.1</v>
      </c>
      <c r="AB220" s="1">
        <f>IF(ESTIMATIVA[[#This Row],[QT_CANA_REST1]]&gt;0,ESTIMATIVA[[#This Row],[QT_CANA_REST1]],
  IF(ESTIMATIVA[[#This Row],[QT_CANA_REAL]]&gt;0,ESTIMATIVA[[#This Row],[QT_CANA_REAL]],ESTIMATIVA[[#This Row],[QT_CANA_EST]]))</f>
        <v>3566.67</v>
      </c>
      <c r="AC22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3566.67</v>
      </c>
      <c r="AD220" s="1">
        <f>IF(ESTIMATIVA[[#This Row],[QT_AREA_REAL]]&gt;0,ESTIMATIVA[[#This Row],[QT_CANA_REAL]],ESTIMATIVA[[#This Row],[QT_CANA_EST]])</f>
        <v>3566.67</v>
      </c>
      <c r="AE220" s="1">
        <f>IF(ESTIMATIVA[[#This Row],[QT_AREA_REAL]]&gt;0,ESTIMATIVA[[#This Row],[QT_CANA_REAL]],ESTIMATIVA[[#This Row],[QT_CANA_REST1]])</f>
        <v>3566.67</v>
      </c>
      <c r="AF220" s="1">
        <f>IF(ESTIMATIVA[[#This Row],[QT_AREA_REAL]]&gt;0,ESTIMATIVA[[#This Row],[QT_CANA_REAL]],ESTIMATIVA[[#This Row],[QT_CANA_REST2]])</f>
        <v>3566.67</v>
      </c>
      <c r="AG220" s="1" t="str">
        <f>IF(COUNTIFS(GEADA!A:A,VALUE(ESTIMATIVA[[#This Row],[CD_UPNIVEL1]]&amp;TEXT(ESTIMATIVA[[#This Row],[CD_UPNIVEL3]],"0000")))&gt;0,"S","N")</f>
        <v>N</v>
      </c>
      <c r="AH22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20" s="55" t="str">
        <f>IF(ESTIMATIVA[[#This Row],[TP_CULTIVO]]="Irrigado",_xlfn.MAXIFS(IRRIGADO!J:J,IRRIGADO!C:C,ESTIMATIVA[[#This Row],[CD_UPNIVEL1]],IRRIGADO!E:E,ESTIMATIVA[[#This Row],[CD_UPNIVEL3]]),"")</f>
        <v/>
      </c>
      <c r="AJ22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20" s="1">
        <f>COUNTIFS(Apresentação!$E$23:$E$29,ESTIMATIVA[[#This Row],[CD_UPNIVEL1]])</f>
        <v>0</v>
      </c>
    </row>
    <row r="221" spans="1:37" x14ac:dyDescent="0.3">
      <c r="A221">
        <v>20305</v>
      </c>
      <c r="B221" t="s">
        <v>22</v>
      </c>
      <c r="C221">
        <v>383</v>
      </c>
      <c r="D221">
        <v>2</v>
      </c>
      <c r="E221" t="s">
        <v>266</v>
      </c>
      <c r="F221" s="85" t="s">
        <v>332</v>
      </c>
      <c r="G221"/>
      <c r="H221" t="s">
        <v>295</v>
      </c>
      <c r="I221" t="s">
        <v>211</v>
      </c>
      <c r="J221" t="s">
        <v>175</v>
      </c>
      <c r="K221" s="1">
        <v>15.54</v>
      </c>
      <c r="L221" s="1">
        <v>0</v>
      </c>
      <c r="M221" s="1">
        <v>0</v>
      </c>
      <c r="N221" s="1">
        <v>15.54</v>
      </c>
      <c r="O221" s="1">
        <v>1398.6</v>
      </c>
      <c r="P221" s="1">
        <v>0</v>
      </c>
      <c r="Q221" s="1">
        <v>0</v>
      </c>
      <c r="R221" s="1">
        <v>1523.53</v>
      </c>
      <c r="S221" t="s">
        <v>12</v>
      </c>
      <c r="T221" s="13">
        <v>45809</v>
      </c>
      <c r="U221" s="1" t="str">
        <f>IF(ESTIMATIVA[[#This Row],[QT_AREA_REAL]]&gt;0,"1- Colhido","2- à Colher")</f>
        <v>1- Colhido</v>
      </c>
      <c r="V221" s="1" t="str">
        <f>IF(ESTIMATIVA[[#This Row],[QT_AREA_REST1]]&gt;0,"Reestimativa 1",IF(ESTIMATIVA[[#This Row],[QT_AREA_REAL]]=0,"Reestimativa 1","Realizado"))</f>
        <v>Realizado</v>
      </c>
      <c r="W221" s="1" t="str">
        <f>IF(ESTIMATIVA[[#This Row],[QT_AREA_REST2]]&gt;0,"Reestimativa 2",IF(ESTIMATIVA[[#This Row],[QT_AREA_REAL]]=0,"Reestimativa 2","Realizado"))</f>
        <v>Realizado</v>
      </c>
      <c r="X221" s="1">
        <f>ESTIMATIVA[[#This Row],[QT_AREA_EST]]</f>
        <v>15.54</v>
      </c>
      <c r="Y221" s="1">
        <f>IF(ESTIMATIVA[[#This Row],[QT_AREA_REST1]]&gt;0,ESTIMATIVA[[#This Row],[QT_AREA_REST1]],
  IF(ESTIMATIVA[[#This Row],[QT_AREA_REAL]]&gt;0,ESTIMATIVA[[#This Row],[QT_AREA_REAL]],ESTIMATIVA[[#This Row],[QT_AREA_EST]]))</f>
        <v>15.54</v>
      </c>
      <c r="Z22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15.54</v>
      </c>
      <c r="AA221" s="1">
        <f>ESTIMATIVA[[#This Row],[QT_CANA_EST]]</f>
        <v>1398.6</v>
      </c>
      <c r="AB221" s="1">
        <f>IF(ESTIMATIVA[[#This Row],[QT_CANA_REST1]]&gt;0,ESTIMATIVA[[#This Row],[QT_CANA_REST1]],
  IF(ESTIMATIVA[[#This Row],[QT_CANA_REAL]]&gt;0,ESTIMATIVA[[#This Row],[QT_CANA_REAL]],ESTIMATIVA[[#This Row],[QT_CANA_EST]]))</f>
        <v>1523.53</v>
      </c>
      <c r="AC22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1523.53</v>
      </c>
      <c r="AD221" s="1">
        <f>IF(ESTIMATIVA[[#This Row],[QT_AREA_REAL]]&gt;0,ESTIMATIVA[[#This Row],[QT_CANA_REAL]],ESTIMATIVA[[#This Row],[QT_CANA_EST]])</f>
        <v>1523.53</v>
      </c>
      <c r="AE221" s="1">
        <f>IF(ESTIMATIVA[[#This Row],[QT_AREA_REAL]]&gt;0,ESTIMATIVA[[#This Row],[QT_CANA_REAL]],ESTIMATIVA[[#This Row],[QT_CANA_REST1]])</f>
        <v>1523.53</v>
      </c>
      <c r="AF221" s="1">
        <f>IF(ESTIMATIVA[[#This Row],[QT_AREA_REAL]]&gt;0,ESTIMATIVA[[#This Row],[QT_CANA_REAL]],ESTIMATIVA[[#This Row],[QT_CANA_REST2]])</f>
        <v>1523.53</v>
      </c>
      <c r="AG221" s="1" t="str">
        <f>IF(COUNTIFS(GEADA!A:A,VALUE(ESTIMATIVA[[#This Row],[CD_UPNIVEL1]]&amp;TEXT(ESTIMATIVA[[#This Row],[CD_UPNIVEL3]],"0000")))&gt;0,"S","N")</f>
        <v>N</v>
      </c>
      <c r="AH22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21" s="55" t="str">
        <f>IF(ESTIMATIVA[[#This Row],[TP_CULTIVO]]="Irrigado",_xlfn.MAXIFS(IRRIGADO!J:J,IRRIGADO!C:C,ESTIMATIVA[[#This Row],[CD_UPNIVEL1]],IRRIGADO!E:E,ESTIMATIVA[[#This Row],[CD_UPNIVEL3]]),"")</f>
        <v/>
      </c>
      <c r="AJ22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21" s="1">
        <f>COUNTIFS(Apresentação!$E$23:$E$29,ESTIMATIVA[[#This Row],[CD_UPNIVEL1]])</f>
        <v>0</v>
      </c>
    </row>
    <row r="222" spans="1:37" x14ac:dyDescent="0.3">
      <c r="A222">
        <v>20305</v>
      </c>
      <c r="B222" t="s">
        <v>22</v>
      </c>
      <c r="C222">
        <v>384</v>
      </c>
      <c r="D222">
        <v>2</v>
      </c>
      <c r="E222" t="s">
        <v>266</v>
      </c>
      <c r="F222" s="85" t="s">
        <v>332</v>
      </c>
      <c r="G222"/>
      <c r="H222" t="s">
        <v>295</v>
      </c>
      <c r="I222" t="s">
        <v>211</v>
      </c>
      <c r="J222" t="s">
        <v>175</v>
      </c>
      <c r="K222" s="1">
        <v>14.25</v>
      </c>
      <c r="L222" s="1">
        <v>0</v>
      </c>
      <c r="M222" s="1">
        <v>0</v>
      </c>
      <c r="N222" s="1">
        <v>14.25</v>
      </c>
      <c r="O222" s="1">
        <v>1282.5</v>
      </c>
      <c r="P222" s="1">
        <v>0</v>
      </c>
      <c r="Q222" s="1">
        <v>0</v>
      </c>
      <c r="R222" s="1">
        <v>1397.61</v>
      </c>
      <c r="S222" t="s">
        <v>12</v>
      </c>
      <c r="T222" s="13">
        <v>45809</v>
      </c>
      <c r="U222" s="1" t="str">
        <f>IF(ESTIMATIVA[[#This Row],[QT_AREA_REAL]]&gt;0,"1- Colhido","2- à Colher")</f>
        <v>1- Colhido</v>
      </c>
      <c r="V222" s="1" t="str">
        <f>IF(ESTIMATIVA[[#This Row],[QT_AREA_REST1]]&gt;0,"Reestimativa 1",IF(ESTIMATIVA[[#This Row],[QT_AREA_REAL]]=0,"Reestimativa 1","Realizado"))</f>
        <v>Realizado</v>
      </c>
      <c r="W222" s="1" t="str">
        <f>IF(ESTIMATIVA[[#This Row],[QT_AREA_REST2]]&gt;0,"Reestimativa 2",IF(ESTIMATIVA[[#This Row],[QT_AREA_REAL]]=0,"Reestimativa 2","Realizado"))</f>
        <v>Realizado</v>
      </c>
      <c r="X222" s="1">
        <f>ESTIMATIVA[[#This Row],[QT_AREA_EST]]</f>
        <v>14.25</v>
      </c>
      <c r="Y222" s="1">
        <f>IF(ESTIMATIVA[[#This Row],[QT_AREA_REST1]]&gt;0,ESTIMATIVA[[#This Row],[QT_AREA_REST1]],
  IF(ESTIMATIVA[[#This Row],[QT_AREA_REAL]]&gt;0,ESTIMATIVA[[#This Row],[QT_AREA_REAL]],ESTIMATIVA[[#This Row],[QT_AREA_EST]]))</f>
        <v>14.25</v>
      </c>
      <c r="Z22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14.25</v>
      </c>
      <c r="AA222" s="1">
        <f>ESTIMATIVA[[#This Row],[QT_CANA_EST]]</f>
        <v>1282.5</v>
      </c>
      <c r="AB222" s="1">
        <f>IF(ESTIMATIVA[[#This Row],[QT_CANA_REST1]]&gt;0,ESTIMATIVA[[#This Row],[QT_CANA_REST1]],
  IF(ESTIMATIVA[[#This Row],[QT_CANA_REAL]]&gt;0,ESTIMATIVA[[#This Row],[QT_CANA_REAL]],ESTIMATIVA[[#This Row],[QT_CANA_EST]]))</f>
        <v>1397.61</v>
      </c>
      <c r="AC22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1397.61</v>
      </c>
      <c r="AD222" s="1">
        <f>IF(ESTIMATIVA[[#This Row],[QT_AREA_REAL]]&gt;0,ESTIMATIVA[[#This Row],[QT_CANA_REAL]],ESTIMATIVA[[#This Row],[QT_CANA_EST]])</f>
        <v>1397.61</v>
      </c>
      <c r="AE222" s="1">
        <f>IF(ESTIMATIVA[[#This Row],[QT_AREA_REAL]]&gt;0,ESTIMATIVA[[#This Row],[QT_CANA_REAL]],ESTIMATIVA[[#This Row],[QT_CANA_REST1]])</f>
        <v>1397.61</v>
      </c>
      <c r="AF222" s="1">
        <f>IF(ESTIMATIVA[[#This Row],[QT_AREA_REAL]]&gt;0,ESTIMATIVA[[#This Row],[QT_CANA_REAL]],ESTIMATIVA[[#This Row],[QT_CANA_REST2]])</f>
        <v>1397.61</v>
      </c>
      <c r="AG222" s="1" t="str">
        <f>IF(COUNTIFS(GEADA!A:A,VALUE(ESTIMATIVA[[#This Row],[CD_UPNIVEL1]]&amp;TEXT(ESTIMATIVA[[#This Row],[CD_UPNIVEL3]],"0000")))&gt;0,"S","N")</f>
        <v>N</v>
      </c>
      <c r="AH22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22" s="55" t="str">
        <f>IF(ESTIMATIVA[[#This Row],[TP_CULTIVO]]="Irrigado",_xlfn.MAXIFS(IRRIGADO!J:J,IRRIGADO!C:C,ESTIMATIVA[[#This Row],[CD_UPNIVEL1]],IRRIGADO!E:E,ESTIMATIVA[[#This Row],[CD_UPNIVEL3]]),"")</f>
        <v/>
      </c>
      <c r="AJ22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22" s="1">
        <f>COUNTIFS(Apresentação!$E$23:$E$29,ESTIMATIVA[[#This Row],[CD_UPNIVEL1]])</f>
        <v>0</v>
      </c>
    </row>
    <row r="223" spans="1:37" x14ac:dyDescent="0.3">
      <c r="A223">
        <v>20305</v>
      </c>
      <c r="B223" t="s">
        <v>22</v>
      </c>
      <c r="C223">
        <v>400</v>
      </c>
      <c r="D223">
        <v>4</v>
      </c>
      <c r="E223" t="s">
        <v>265</v>
      </c>
      <c r="F223" s="85" t="s">
        <v>331</v>
      </c>
      <c r="G223"/>
      <c r="H223" t="s">
        <v>295</v>
      </c>
      <c r="I223" t="s">
        <v>204</v>
      </c>
      <c r="J223" t="s">
        <v>175</v>
      </c>
      <c r="K223" s="1">
        <v>23.16</v>
      </c>
      <c r="L223" s="1">
        <v>0</v>
      </c>
      <c r="M223" s="1">
        <v>0</v>
      </c>
      <c r="N223" s="1">
        <v>23.16</v>
      </c>
      <c r="O223" s="1">
        <v>1852.8</v>
      </c>
      <c r="P223" s="1">
        <v>0</v>
      </c>
      <c r="Q223" s="1">
        <v>0</v>
      </c>
      <c r="R223" s="1">
        <v>1765.57</v>
      </c>
      <c r="S223" t="s">
        <v>12</v>
      </c>
      <c r="T223" s="13">
        <v>45802</v>
      </c>
      <c r="U223" s="1" t="str">
        <f>IF(ESTIMATIVA[[#This Row],[QT_AREA_REAL]]&gt;0,"1- Colhido","2- à Colher")</f>
        <v>1- Colhido</v>
      </c>
      <c r="V223" s="1" t="str">
        <f>IF(ESTIMATIVA[[#This Row],[QT_AREA_REST1]]&gt;0,"Reestimativa 1",IF(ESTIMATIVA[[#This Row],[QT_AREA_REAL]]=0,"Reestimativa 1","Realizado"))</f>
        <v>Realizado</v>
      </c>
      <c r="W223" s="1" t="str">
        <f>IF(ESTIMATIVA[[#This Row],[QT_AREA_REST2]]&gt;0,"Reestimativa 2",IF(ESTIMATIVA[[#This Row],[QT_AREA_REAL]]=0,"Reestimativa 2","Realizado"))</f>
        <v>Realizado</v>
      </c>
      <c r="X223" s="1">
        <f>ESTIMATIVA[[#This Row],[QT_AREA_EST]]</f>
        <v>23.16</v>
      </c>
      <c r="Y223" s="1">
        <f>IF(ESTIMATIVA[[#This Row],[QT_AREA_REST1]]&gt;0,ESTIMATIVA[[#This Row],[QT_AREA_REST1]],
  IF(ESTIMATIVA[[#This Row],[QT_AREA_REAL]]&gt;0,ESTIMATIVA[[#This Row],[QT_AREA_REAL]],ESTIMATIVA[[#This Row],[QT_AREA_EST]]))</f>
        <v>23.16</v>
      </c>
      <c r="Z22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23.16</v>
      </c>
      <c r="AA223" s="1">
        <f>ESTIMATIVA[[#This Row],[QT_CANA_EST]]</f>
        <v>1852.8</v>
      </c>
      <c r="AB223" s="1">
        <f>IF(ESTIMATIVA[[#This Row],[QT_CANA_REST1]]&gt;0,ESTIMATIVA[[#This Row],[QT_CANA_REST1]],
  IF(ESTIMATIVA[[#This Row],[QT_CANA_REAL]]&gt;0,ESTIMATIVA[[#This Row],[QT_CANA_REAL]],ESTIMATIVA[[#This Row],[QT_CANA_EST]]))</f>
        <v>1765.57</v>
      </c>
      <c r="AC22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1765.57</v>
      </c>
      <c r="AD223" s="1">
        <f>IF(ESTIMATIVA[[#This Row],[QT_AREA_REAL]]&gt;0,ESTIMATIVA[[#This Row],[QT_CANA_REAL]],ESTIMATIVA[[#This Row],[QT_CANA_EST]])</f>
        <v>1765.57</v>
      </c>
      <c r="AE223" s="1">
        <f>IF(ESTIMATIVA[[#This Row],[QT_AREA_REAL]]&gt;0,ESTIMATIVA[[#This Row],[QT_CANA_REAL]],ESTIMATIVA[[#This Row],[QT_CANA_REST1]])</f>
        <v>1765.57</v>
      </c>
      <c r="AF223" s="1">
        <f>IF(ESTIMATIVA[[#This Row],[QT_AREA_REAL]]&gt;0,ESTIMATIVA[[#This Row],[QT_CANA_REAL]],ESTIMATIVA[[#This Row],[QT_CANA_REST2]])</f>
        <v>1765.57</v>
      </c>
      <c r="AG223" s="1" t="str">
        <f>IF(COUNTIFS(GEADA!A:A,VALUE(ESTIMATIVA[[#This Row],[CD_UPNIVEL1]]&amp;TEXT(ESTIMATIVA[[#This Row],[CD_UPNIVEL3]],"0000")))&gt;0,"S","N")</f>
        <v>N</v>
      </c>
      <c r="AH22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23" s="55" t="str">
        <f>IF(ESTIMATIVA[[#This Row],[TP_CULTIVO]]="Irrigado",_xlfn.MAXIFS(IRRIGADO!J:J,IRRIGADO!C:C,ESTIMATIVA[[#This Row],[CD_UPNIVEL1]],IRRIGADO!E:E,ESTIMATIVA[[#This Row],[CD_UPNIVEL3]]),"")</f>
        <v/>
      </c>
      <c r="AJ22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23" s="1">
        <f>COUNTIFS(Apresentação!$E$23:$E$29,ESTIMATIVA[[#This Row],[CD_UPNIVEL1]])</f>
        <v>0</v>
      </c>
    </row>
    <row r="224" spans="1:37" x14ac:dyDescent="0.3">
      <c r="A224">
        <v>20305</v>
      </c>
      <c r="B224" t="s">
        <v>22</v>
      </c>
      <c r="C224">
        <v>401</v>
      </c>
      <c r="D224">
        <v>4</v>
      </c>
      <c r="E224" t="s">
        <v>265</v>
      </c>
      <c r="F224" s="85" t="s">
        <v>332</v>
      </c>
      <c r="G224"/>
      <c r="H224" t="s">
        <v>295</v>
      </c>
      <c r="I224" t="s">
        <v>204</v>
      </c>
      <c r="J224" t="s">
        <v>175</v>
      </c>
      <c r="K224" s="1">
        <v>51.94</v>
      </c>
      <c r="L224" s="1">
        <v>0</v>
      </c>
      <c r="M224" s="1">
        <v>0</v>
      </c>
      <c r="N224" s="1">
        <v>51.94</v>
      </c>
      <c r="O224" s="1">
        <v>4414.8999999999996</v>
      </c>
      <c r="P224" s="1">
        <v>0</v>
      </c>
      <c r="Q224" s="1">
        <v>0</v>
      </c>
      <c r="R224" s="1">
        <v>4384.57</v>
      </c>
      <c r="S224" t="s">
        <v>12</v>
      </c>
      <c r="T224" s="13">
        <v>45802</v>
      </c>
      <c r="U224" s="1" t="str">
        <f>IF(ESTIMATIVA[[#This Row],[QT_AREA_REAL]]&gt;0,"1- Colhido","2- à Colher")</f>
        <v>1- Colhido</v>
      </c>
      <c r="V224" s="1" t="str">
        <f>IF(ESTIMATIVA[[#This Row],[QT_AREA_REST1]]&gt;0,"Reestimativa 1",IF(ESTIMATIVA[[#This Row],[QT_AREA_REAL]]=0,"Reestimativa 1","Realizado"))</f>
        <v>Realizado</v>
      </c>
      <c r="W224" s="1" t="str">
        <f>IF(ESTIMATIVA[[#This Row],[QT_AREA_REST2]]&gt;0,"Reestimativa 2",IF(ESTIMATIVA[[#This Row],[QT_AREA_REAL]]=0,"Reestimativa 2","Realizado"))</f>
        <v>Realizado</v>
      </c>
      <c r="X224" s="1">
        <f>ESTIMATIVA[[#This Row],[QT_AREA_EST]]</f>
        <v>51.94</v>
      </c>
      <c r="Y224" s="1">
        <f>IF(ESTIMATIVA[[#This Row],[QT_AREA_REST1]]&gt;0,ESTIMATIVA[[#This Row],[QT_AREA_REST1]],
  IF(ESTIMATIVA[[#This Row],[QT_AREA_REAL]]&gt;0,ESTIMATIVA[[#This Row],[QT_AREA_REAL]],ESTIMATIVA[[#This Row],[QT_AREA_EST]]))</f>
        <v>51.94</v>
      </c>
      <c r="Z22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51.94</v>
      </c>
      <c r="AA224" s="1">
        <f>ESTIMATIVA[[#This Row],[QT_CANA_EST]]</f>
        <v>4414.8999999999996</v>
      </c>
      <c r="AB224" s="1">
        <f>IF(ESTIMATIVA[[#This Row],[QT_CANA_REST1]]&gt;0,ESTIMATIVA[[#This Row],[QT_CANA_REST1]],
  IF(ESTIMATIVA[[#This Row],[QT_CANA_REAL]]&gt;0,ESTIMATIVA[[#This Row],[QT_CANA_REAL]],ESTIMATIVA[[#This Row],[QT_CANA_EST]]))</f>
        <v>4384.57</v>
      </c>
      <c r="AC22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4384.57</v>
      </c>
      <c r="AD224" s="1">
        <f>IF(ESTIMATIVA[[#This Row],[QT_AREA_REAL]]&gt;0,ESTIMATIVA[[#This Row],[QT_CANA_REAL]],ESTIMATIVA[[#This Row],[QT_CANA_EST]])</f>
        <v>4384.57</v>
      </c>
      <c r="AE224" s="1">
        <f>IF(ESTIMATIVA[[#This Row],[QT_AREA_REAL]]&gt;0,ESTIMATIVA[[#This Row],[QT_CANA_REAL]],ESTIMATIVA[[#This Row],[QT_CANA_REST1]])</f>
        <v>4384.57</v>
      </c>
      <c r="AF224" s="1">
        <f>IF(ESTIMATIVA[[#This Row],[QT_AREA_REAL]]&gt;0,ESTIMATIVA[[#This Row],[QT_CANA_REAL]],ESTIMATIVA[[#This Row],[QT_CANA_REST2]])</f>
        <v>4384.57</v>
      </c>
      <c r="AG224" s="1" t="str">
        <f>IF(COUNTIFS(GEADA!A:A,VALUE(ESTIMATIVA[[#This Row],[CD_UPNIVEL1]]&amp;TEXT(ESTIMATIVA[[#This Row],[CD_UPNIVEL3]],"0000")))&gt;0,"S","N")</f>
        <v>N</v>
      </c>
      <c r="AH22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24" s="55" t="str">
        <f>IF(ESTIMATIVA[[#This Row],[TP_CULTIVO]]="Irrigado",_xlfn.MAXIFS(IRRIGADO!J:J,IRRIGADO!C:C,ESTIMATIVA[[#This Row],[CD_UPNIVEL1]],IRRIGADO!E:E,ESTIMATIVA[[#This Row],[CD_UPNIVEL3]]),"")</f>
        <v/>
      </c>
      <c r="AJ22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24" s="1">
        <f>COUNTIFS(Apresentação!$E$23:$E$29,ESTIMATIVA[[#This Row],[CD_UPNIVEL1]])</f>
        <v>0</v>
      </c>
    </row>
    <row r="225" spans="1:37" x14ac:dyDescent="0.3">
      <c r="A225">
        <v>20305</v>
      </c>
      <c r="B225" t="s">
        <v>22</v>
      </c>
      <c r="C225">
        <v>402</v>
      </c>
      <c r="D225">
        <v>4</v>
      </c>
      <c r="E225" t="s">
        <v>265</v>
      </c>
      <c r="F225" s="85" t="s">
        <v>331</v>
      </c>
      <c r="G225"/>
      <c r="H225" t="s">
        <v>295</v>
      </c>
      <c r="I225" t="s">
        <v>204</v>
      </c>
      <c r="J225" t="s">
        <v>175</v>
      </c>
      <c r="K225" s="1">
        <v>30.76</v>
      </c>
      <c r="L225" s="1">
        <v>0</v>
      </c>
      <c r="M225" s="1">
        <v>0</v>
      </c>
      <c r="N225" s="1">
        <v>30.76</v>
      </c>
      <c r="O225" s="1">
        <v>2614.6</v>
      </c>
      <c r="P225" s="1">
        <v>0</v>
      </c>
      <c r="Q225" s="1">
        <v>0</v>
      </c>
      <c r="R225" s="1">
        <v>2597.15</v>
      </c>
      <c r="S225" t="s">
        <v>12</v>
      </c>
      <c r="T225" s="13">
        <v>45802</v>
      </c>
      <c r="U225" s="1" t="str">
        <f>IF(ESTIMATIVA[[#This Row],[QT_AREA_REAL]]&gt;0,"1- Colhido","2- à Colher")</f>
        <v>1- Colhido</v>
      </c>
      <c r="V225" s="1" t="str">
        <f>IF(ESTIMATIVA[[#This Row],[QT_AREA_REST1]]&gt;0,"Reestimativa 1",IF(ESTIMATIVA[[#This Row],[QT_AREA_REAL]]=0,"Reestimativa 1","Realizado"))</f>
        <v>Realizado</v>
      </c>
      <c r="W225" s="1" t="str">
        <f>IF(ESTIMATIVA[[#This Row],[QT_AREA_REST2]]&gt;0,"Reestimativa 2",IF(ESTIMATIVA[[#This Row],[QT_AREA_REAL]]=0,"Reestimativa 2","Realizado"))</f>
        <v>Realizado</v>
      </c>
      <c r="X225" s="1">
        <f>ESTIMATIVA[[#This Row],[QT_AREA_EST]]</f>
        <v>30.76</v>
      </c>
      <c r="Y225" s="1">
        <f>IF(ESTIMATIVA[[#This Row],[QT_AREA_REST1]]&gt;0,ESTIMATIVA[[#This Row],[QT_AREA_REST1]],
  IF(ESTIMATIVA[[#This Row],[QT_AREA_REAL]]&gt;0,ESTIMATIVA[[#This Row],[QT_AREA_REAL]],ESTIMATIVA[[#This Row],[QT_AREA_EST]]))</f>
        <v>30.76</v>
      </c>
      <c r="Z22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30.76</v>
      </c>
      <c r="AA225" s="1">
        <f>ESTIMATIVA[[#This Row],[QT_CANA_EST]]</f>
        <v>2614.6</v>
      </c>
      <c r="AB225" s="1">
        <f>IF(ESTIMATIVA[[#This Row],[QT_CANA_REST1]]&gt;0,ESTIMATIVA[[#This Row],[QT_CANA_REST1]],
  IF(ESTIMATIVA[[#This Row],[QT_CANA_REAL]]&gt;0,ESTIMATIVA[[#This Row],[QT_CANA_REAL]],ESTIMATIVA[[#This Row],[QT_CANA_EST]]))</f>
        <v>2597.15</v>
      </c>
      <c r="AC22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2597.15</v>
      </c>
      <c r="AD225" s="1">
        <f>IF(ESTIMATIVA[[#This Row],[QT_AREA_REAL]]&gt;0,ESTIMATIVA[[#This Row],[QT_CANA_REAL]],ESTIMATIVA[[#This Row],[QT_CANA_EST]])</f>
        <v>2597.15</v>
      </c>
      <c r="AE225" s="1">
        <f>IF(ESTIMATIVA[[#This Row],[QT_AREA_REAL]]&gt;0,ESTIMATIVA[[#This Row],[QT_CANA_REAL]],ESTIMATIVA[[#This Row],[QT_CANA_REST1]])</f>
        <v>2597.15</v>
      </c>
      <c r="AF225" s="1">
        <f>IF(ESTIMATIVA[[#This Row],[QT_AREA_REAL]]&gt;0,ESTIMATIVA[[#This Row],[QT_CANA_REAL]],ESTIMATIVA[[#This Row],[QT_CANA_REST2]])</f>
        <v>2597.15</v>
      </c>
      <c r="AG225" s="1" t="str">
        <f>IF(COUNTIFS(GEADA!A:A,VALUE(ESTIMATIVA[[#This Row],[CD_UPNIVEL1]]&amp;TEXT(ESTIMATIVA[[#This Row],[CD_UPNIVEL3]],"0000")))&gt;0,"S","N")</f>
        <v>N</v>
      </c>
      <c r="AH22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25" s="55" t="str">
        <f>IF(ESTIMATIVA[[#This Row],[TP_CULTIVO]]="Irrigado",_xlfn.MAXIFS(IRRIGADO!J:J,IRRIGADO!C:C,ESTIMATIVA[[#This Row],[CD_UPNIVEL1]],IRRIGADO!E:E,ESTIMATIVA[[#This Row],[CD_UPNIVEL3]]),"")</f>
        <v/>
      </c>
      <c r="AJ22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25" s="1">
        <f>COUNTIFS(Apresentação!$E$23:$E$29,ESTIMATIVA[[#This Row],[CD_UPNIVEL1]])</f>
        <v>0</v>
      </c>
    </row>
    <row r="226" spans="1:37" x14ac:dyDescent="0.3">
      <c r="A226">
        <v>20305</v>
      </c>
      <c r="B226" t="s">
        <v>22</v>
      </c>
      <c r="C226">
        <v>403</v>
      </c>
      <c r="D226">
        <v>4</v>
      </c>
      <c r="E226" t="s">
        <v>265</v>
      </c>
      <c r="F226" s="85" t="s">
        <v>331</v>
      </c>
      <c r="G226"/>
      <c r="H226" t="s">
        <v>295</v>
      </c>
      <c r="I226" t="s">
        <v>204</v>
      </c>
      <c r="J226" t="s">
        <v>175</v>
      </c>
      <c r="K226" s="1">
        <v>21.46</v>
      </c>
      <c r="L226" s="1">
        <v>0</v>
      </c>
      <c r="M226" s="1">
        <v>0</v>
      </c>
      <c r="N226" s="1">
        <v>21.46</v>
      </c>
      <c r="O226" s="1">
        <v>1824.1</v>
      </c>
      <c r="P226" s="1">
        <v>0</v>
      </c>
      <c r="Q226" s="1">
        <v>0</v>
      </c>
      <c r="R226" s="1">
        <v>1941.18</v>
      </c>
      <c r="S226" t="s">
        <v>12</v>
      </c>
      <c r="T226" s="13">
        <v>45809</v>
      </c>
      <c r="U226" s="1" t="str">
        <f>IF(ESTIMATIVA[[#This Row],[QT_AREA_REAL]]&gt;0,"1- Colhido","2- à Colher")</f>
        <v>1- Colhido</v>
      </c>
      <c r="V226" s="1" t="str">
        <f>IF(ESTIMATIVA[[#This Row],[QT_AREA_REST1]]&gt;0,"Reestimativa 1",IF(ESTIMATIVA[[#This Row],[QT_AREA_REAL]]=0,"Reestimativa 1","Realizado"))</f>
        <v>Realizado</v>
      </c>
      <c r="W226" s="1" t="str">
        <f>IF(ESTIMATIVA[[#This Row],[QT_AREA_REST2]]&gt;0,"Reestimativa 2",IF(ESTIMATIVA[[#This Row],[QT_AREA_REAL]]=0,"Reestimativa 2","Realizado"))</f>
        <v>Realizado</v>
      </c>
      <c r="X226" s="1">
        <f>ESTIMATIVA[[#This Row],[QT_AREA_EST]]</f>
        <v>21.46</v>
      </c>
      <c r="Y226" s="1">
        <f>IF(ESTIMATIVA[[#This Row],[QT_AREA_REST1]]&gt;0,ESTIMATIVA[[#This Row],[QT_AREA_REST1]],
  IF(ESTIMATIVA[[#This Row],[QT_AREA_REAL]]&gt;0,ESTIMATIVA[[#This Row],[QT_AREA_REAL]],ESTIMATIVA[[#This Row],[QT_AREA_EST]]))</f>
        <v>21.46</v>
      </c>
      <c r="Z22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21.46</v>
      </c>
      <c r="AA226" s="1">
        <f>ESTIMATIVA[[#This Row],[QT_CANA_EST]]</f>
        <v>1824.1</v>
      </c>
      <c r="AB226" s="1">
        <f>IF(ESTIMATIVA[[#This Row],[QT_CANA_REST1]]&gt;0,ESTIMATIVA[[#This Row],[QT_CANA_REST1]],
  IF(ESTIMATIVA[[#This Row],[QT_CANA_REAL]]&gt;0,ESTIMATIVA[[#This Row],[QT_CANA_REAL]],ESTIMATIVA[[#This Row],[QT_CANA_EST]]))</f>
        <v>1941.18</v>
      </c>
      <c r="AC22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1941.18</v>
      </c>
      <c r="AD226" s="1">
        <f>IF(ESTIMATIVA[[#This Row],[QT_AREA_REAL]]&gt;0,ESTIMATIVA[[#This Row],[QT_CANA_REAL]],ESTIMATIVA[[#This Row],[QT_CANA_EST]])</f>
        <v>1941.18</v>
      </c>
      <c r="AE226" s="1">
        <f>IF(ESTIMATIVA[[#This Row],[QT_AREA_REAL]]&gt;0,ESTIMATIVA[[#This Row],[QT_CANA_REAL]],ESTIMATIVA[[#This Row],[QT_CANA_REST1]])</f>
        <v>1941.18</v>
      </c>
      <c r="AF226" s="1">
        <f>IF(ESTIMATIVA[[#This Row],[QT_AREA_REAL]]&gt;0,ESTIMATIVA[[#This Row],[QT_CANA_REAL]],ESTIMATIVA[[#This Row],[QT_CANA_REST2]])</f>
        <v>1941.18</v>
      </c>
      <c r="AG226" s="1" t="str">
        <f>IF(COUNTIFS(GEADA!A:A,VALUE(ESTIMATIVA[[#This Row],[CD_UPNIVEL1]]&amp;TEXT(ESTIMATIVA[[#This Row],[CD_UPNIVEL3]],"0000")))&gt;0,"S","N")</f>
        <v>N</v>
      </c>
      <c r="AH22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26" s="55" t="str">
        <f>IF(ESTIMATIVA[[#This Row],[TP_CULTIVO]]="Irrigado",_xlfn.MAXIFS(IRRIGADO!J:J,IRRIGADO!C:C,ESTIMATIVA[[#This Row],[CD_UPNIVEL1]],IRRIGADO!E:E,ESTIMATIVA[[#This Row],[CD_UPNIVEL3]]),"")</f>
        <v/>
      </c>
      <c r="AJ22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26" s="1">
        <f>COUNTIFS(Apresentação!$E$23:$E$29,ESTIMATIVA[[#This Row],[CD_UPNIVEL1]])</f>
        <v>0</v>
      </c>
    </row>
    <row r="227" spans="1:37" x14ac:dyDescent="0.3">
      <c r="A227">
        <v>20305</v>
      </c>
      <c r="B227" t="s">
        <v>22</v>
      </c>
      <c r="C227">
        <v>404</v>
      </c>
      <c r="D227">
        <v>4</v>
      </c>
      <c r="E227" t="s">
        <v>265</v>
      </c>
      <c r="F227" s="85" t="s">
        <v>331</v>
      </c>
      <c r="G227"/>
      <c r="H227" t="s">
        <v>295</v>
      </c>
      <c r="I227" t="s">
        <v>204</v>
      </c>
      <c r="J227" t="s">
        <v>175</v>
      </c>
      <c r="K227" s="1">
        <v>48.33</v>
      </c>
      <c r="L227" s="1">
        <v>0</v>
      </c>
      <c r="M227" s="1">
        <v>0</v>
      </c>
      <c r="N227" s="1">
        <v>48.33</v>
      </c>
      <c r="O227" s="1">
        <v>4108.05</v>
      </c>
      <c r="P227" s="1">
        <v>0</v>
      </c>
      <c r="Q227" s="1">
        <v>0</v>
      </c>
      <c r="R227" s="1">
        <v>3915.99</v>
      </c>
      <c r="S227" t="s">
        <v>12</v>
      </c>
      <c r="T227" s="13">
        <v>45802</v>
      </c>
      <c r="U227" s="1" t="str">
        <f>IF(ESTIMATIVA[[#This Row],[QT_AREA_REAL]]&gt;0,"1- Colhido","2- à Colher")</f>
        <v>1- Colhido</v>
      </c>
      <c r="V227" s="1" t="str">
        <f>IF(ESTIMATIVA[[#This Row],[QT_AREA_REST1]]&gt;0,"Reestimativa 1",IF(ESTIMATIVA[[#This Row],[QT_AREA_REAL]]=0,"Reestimativa 1","Realizado"))</f>
        <v>Realizado</v>
      </c>
      <c r="W227" s="1" t="str">
        <f>IF(ESTIMATIVA[[#This Row],[QT_AREA_REST2]]&gt;0,"Reestimativa 2",IF(ESTIMATIVA[[#This Row],[QT_AREA_REAL]]=0,"Reestimativa 2","Realizado"))</f>
        <v>Realizado</v>
      </c>
      <c r="X227" s="1">
        <f>ESTIMATIVA[[#This Row],[QT_AREA_EST]]</f>
        <v>48.33</v>
      </c>
      <c r="Y227" s="1">
        <f>IF(ESTIMATIVA[[#This Row],[QT_AREA_REST1]]&gt;0,ESTIMATIVA[[#This Row],[QT_AREA_REST1]],
  IF(ESTIMATIVA[[#This Row],[QT_AREA_REAL]]&gt;0,ESTIMATIVA[[#This Row],[QT_AREA_REAL]],ESTIMATIVA[[#This Row],[QT_AREA_EST]]))</f>
        <v>48.33</v>
      </c>
      <c r="Z22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48.33</v>
      </c>
      <c r="AA227" s="1">
        <f>ESTIMATIVA[[#This Row],[QT_CANA_EST]]</f>
        <v>4108.05</v>
      </c>
      <c r="AB227" s="1">
        <f>IF(ESTIMATIVA[[#This Row],[QT_CANA_REST1]]&gt;0,ESTIMATIVA[[#This Row],[QT_CANA_REST1]],
  IF(ESTIMATIVA[[#This Row],[QT_CANA_REAL]]&gt;0,ESTIMATIVA[[#This Row],[QT_CANA_REAL]],ESTIMATIVA[[#This Row],[QT_CANA_EST]]))</f>
        <v>3915.99</v>
      </c>
      <c r="AC22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3915.99</v>
      </c>
      <c r="AD227" s="1">
        <f>IF(ESTIMATIVA[[#This Row],[QT_AREA_REAL]]&gt;0,ESTIMATIVA[[#This Row],[QT_CANA_REAL]],ESTIMATIVA[[#This Row],[QT_CANA_EST]])</f>
        <v>3915.99</v>
      </c>
      <c r="AE227" s="1">
        <f>IF(ESTIMATIVA[[#This Row],[QT_AREA_REAL]]&gt;0,ESTIMATIVA[[#This Row],[QT_CANA_REAL]],ESTIMATIVA[[#This Row],[QT_CANA_REST1]])</f>
        <v>3915.99</v>
      </c>
      <c r="AF227" s="1">
        <f>IF(ESTIMATIVA[[#This Row],[QT_AREA_REAL]]&gt;0,ESTIMATIVA[[#This Row],[QT_CANA_REAL]],ESTIMATIVA[[#This Row],[QT_CANA_REST2]])</f>
        <v>3915.99</v>
      </c>
      <c r="AG227" s="1" t="str">
        <f>IF(COUNTIFS(GEADA!A:A,VALUE(ESTIMATIVA[[#This Row],[CD_UPNIVEL1]]&amp;TEXT(ESTIMATIVA[[#This Row],[CD_UPNIVEL3]],"0000")))&gt;0,"S","N")</f>
        <v>N</v>
      </c>
      <c r="AH22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27" s="55" t="str">
        <f>IF(ESTIMATIVA[[#This Row],[TP_CULTIVO]]="Irrigado",_xlfn.MAXIFS(IRRIGADO!J:J,IRRIGADO!C:C,ESTIMATIVA[[#This Row],[CD_UPNIVEL1]],IRRIGADO!E:E,ESTIMATIVA[[#This Row],[CD_UPNIVEL3]]),"")</f>
        <v/>
      </c>
      <c r="AJ22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27" s="1">
        <f>COUNTIFS(Apresentação!$E$23:$E$29,ESTIMATIVA[[#This Row],[CD_UPNIVEL1]])</f>
        <v>0</v>
      </c>
    </row>
    <row r="228" spans="1:37" x14ac:dyDescent="0.3">
      <c r="A228">
        <v>20305</v>
      </c>
      <c r="B228" t="s">
        <v>22</v>
      </c>
      <c r="C228">
        <v>405</v>
      </c>
      <c r="D228">
        <v>4</v>
      </c>
      <c r="E228" t="s">
        <v>265</v>
      </c>
      <c r="F228" s="85" t="s">
        <v>331</v>
      </c>
      <c r="G228"/>
      <c r="H228" t="s">
        <v>295</v>
      </c>
      <c r="I228" t="s">
        <v>204</v>
      </c>
      <c r="J228" t="s">
        <v>175</v>
      </c>
      <c r="K228" s="1">
        <v>50.23</v>
      </c>
      <c r="L228" s="1">
        <v>0</v>
      </c>
      <c r="M228" s="1">
        <v>0</v>
      </c>
      <c r="N228" s="1">
        <v>50.23</v>
      </c>
      <c r="O228" s="1">
        <v>4269.55</v>
      </c>
      <c r="P228" s="1">
        <v>0</v>
      </c>
      <c r="Q228" s="1">
        <v>0</v>
      </c>
      <c r="R228" s="1">
        <v>3985.67</v>
      </c>
      <c r="S228" t="s">
        <v>12</v>
      </c>
      <c r="T228" s="13">
        <v>45802</v>
      </c>
      <c r="U228" s="1" t="str">
        <f>IF(ESTIMATIVA[[#This Row],[QT_AREA_REAL]]&gt;0,"1- Colhido","2- à Colher")</f>
        <v>1- Colhido</v>
      </c>
      <c r="V228" s="1" t="str">
        <f>IF(ESTIMATIVA[[#This Row],[QT_AREA_REST1]]&gt;0,"Reestimativa 1",IF(ESTIMATIVA[[#This Row],[QT_AREA_REAL]]=0,"Reestimativa 1","Realizado"))</f>
        <v>Realizado</v>
      </c>
      <c r="W228" s="1" t="str">
        <f>IF(ESTIMATIVA[[#This Row],[QT_AREA_REST2]]&gt;0,"Reestimativa 2",IF(ESTIMATIVA[[#This Row],[QT_AREA_REAL]]=0,"Reestimativa 2","Realizado"))</f>
        <v>Realizado</v>
      </c>
      <c r="X228" s="1">
        <f>ESTIMATIVA[[#This Row],[QT_AREA_EST]]</f>
        <v>50.23</v>
      </c>
      <c r="Y228" s="1">
        <f>IF(ESTIMATIVA[[#This Row],[QT_AREA_REST1]]&gt;0,ESTIMATIVA[[#This Row],[QT_AREA_REST1]],
  IF(ESTIMATIVA[[#This Row],[QT_AREA_REAL]]&gt;0,ESTIMATIVA[[#This Row],[QT_AREA_REAL]],ESTIMATIVA[[#This Row],[QT_AREA_EST]]))</f>
        <v>50.23</v>
      </c>
      <c r="Z22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50.23</v>
      </c>
      <c r="AA228" s="1">
        <f>ESTIMATIVA[[#This Row],[QT_CANA_EST]]</f>
        <v>4269.55</v>
      </c>
      <c r="AB228" s="1">
        <f>IF(ESTIMATIVA[[#This Row],[QT_CANA_REST1]]&gt;0,ESTIMATIVA[[#This Row],[QT_CANA_REST1]],
  IF(ESTIMATIVA[[#This Row],[QT_CANA_REAL]]&gt;0,ESTIMATIVA[[#This Row],[QT_CANA_REAL]],ESTIMATIVA[[#This Row],[QT_CANA_EST]]))</f>
        <v>3985.67</v>
      </c>
      <c r="AC22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3985.67</v>
      </c>
      <c r="AD228" s="1">
        <f>IF(ESTIMATIVA[[#This Row],[QT_AREA_REAL]]&gt;0,ESTIMATIVA[[#This Row],[QT_CANA_REAL]],ESTIMATIVA[[#This Row],[QT_CANA_EST]])</f>
        <v>3985.67</v>
      </c>
      <c r="AE228" s="1">
        <f>IF(ESTIMATIVA[[#This Row],[QT_AREA_REAL]]&gt;0,ESTIMATIVA[[#This Row],[QT_CANA_REAL]],ESTIMATIVA[[#This Row],[QT_CANA_REST1]])</f>
        <v>3985.67</v>
      </c>
      <c r="AF228" s="1">
        <f>IF(ESTIMATIVA[[#This Row],[QT_AREA_REAL]]&gt;0,ESTIMATIVA[[#This Row],[QT_CANA_REAL]],ESTIMATIVA[[#This Row],[QT_CANA_REST2]])</f>
        <v>3985.67</v>
      </c>
      <c r="AG228" s="1" t="str">
        <f>IF(COUNTIFS(GEADA!A:A,VALUE(ESTIMATIVA[[#This Row],[CD_UPNIVEL1]]&amp;TEXT(ESTIMATIVA[[#This Row],[CD_UPNIVEL3]],"0000")))&gt;0,"S","N")</f>
        <v>N</v>
      </c>
      <c r="AH22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28" s="55" t="str">
        <f>IF(ESTIMATIVA[[#This Row],[TP_CULTIVO]]="Irrigado",_xlfn.MAXIFS(IRRIGADO!J:J,IRRIGADO!C:C,ESTIMATIVA[[#This Row],[CD_UPNIVEL1]],IRRIGADO!E:E,ESTIMATIVA[[#This Row],[CD_UPNIVEL3]]),"")</f>
        <v/>
      </c>
      <c r="AJ22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28" s="1">
        <f>COUNTIFS(Apresentação!$E$23:$E$29,ESTIMATIVA[[#This Row],[CD_UPNIVEL1]])</f>
        <v>0</v>
      </c>
    </row>
    <row r="229" spans="1:37" x14ac:dyDescent="0.3">
      <c r="A229">
        <v>20305</v>
      </c>
      <c r="B229" t="s">
        <v>22</v>
      </c>
      <c r="C229">
        <v>406</v>
      </c>
      <c r="D229">
        <v>4</v>
      </c>
      <c r="E229" t="s">
        <v>265</v>
      </c>
      <c r="F229" s="85" t="s">
        <v>331</v>
      </c>
      <c r="G229"/>
      <c r="H229" t="s">
        <v>295</v>
      </c>
      <c r="I229" t="s">
        <v>204</v>
      </c>
      <c r="J229" t="s">
        <v>175</v>
      </c>
      <c r="K229" s="1">
        <v>58.98</v>
      </c>
      <c r="L229" s="1">
        <v>0</v>
      </c>
      <c r="M229" s="1">
        <v>0</v>
      </c>
      <c r="N229" s="1">
        <v>58.98</v>
      </c>
      <c r="O229" s="1">
        <v>5013.3</v>
      </c>
      <c r="P229" s="1">
        <v>0</v>
      </c>
      <c r="Q229" s="1">
        <v>0</v>
      </c>
      <c r="R229" s="1">
        <v>4778.9799999999996</v>
      </c>
      <c r="S229" t="s">
        <v>12</v>
      </c>
      <c r="T229" s="13">
        <v>45802</v>
      </c>
      <c r="U229" s="1" t="str">
        <f>IF(ESTIMATIVA[[#This Row],[QT_AREA_REAL]]&gt;0,"1- Colhido","2- à Colher")</f>
        <v>1- Colhido</v>
      </c>
      <c r="V229" s="1" t="str">
        <f>IF(ESTIMATIVA[[#This Row],[QT_AREA_REST1]]&gt;0,"Reestimativa 1",IF(ESTIMATIVA[[#This Row],[QT_AREA_REAL]]=0,"Reestimativa 1","Realizado"))</f>
        <v>Realizado</v>
      </c>
      <c r="W229" s="1" t="str">
        <f>IF(ESTIMATIVA[[#This Row],[QT_AREA_REST2]]&gt;0,"Reestimativa 2",IF(ESTIMATIVA[[#This Row],[QT_AREA_REAL]]=0,"Reestimativa 2","Realizado"))</f>
        <v>Realizado</v>
      </c>
      <c r="X229" s="1">
        <f>ESTIMATIVA[[#This Row],[QT_AREA_EST]]</f>
        <v>58.98</v>
      </c>
      <c r="Y229" s="1">
        <f>IF(ESTIMATIVA[[#This Row],[QT_AREA_REST1]]&gt;0,ESTIMATIVA[[#This Row],[QT_AREA_REST1]],
  IF(ESTIMATIVA[[#This Row],[QT_AREA_REAL]]&gt;0,ESTIMATIVA[[#This Row],[QT_AREA_REAL]],ESTIMATIVA[[#This Row],[QT_AREA_EST]]))</f>
        <v>58.98</v>
      </c>
      <c r="Z22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58.98</v>
      </c>
      <c r="AA229" s="1">
        <f>ESTIMATIVA[[#This Row],[QT_CANA_EST]]</f>
        <v>5013.3</v>
      </c>
      <c r="AB229" s="1">
        <f>IF(ESTIMATIVA[[#This Row],[QT_CANA_REST1]]&gt;0,ESTIMATIVA[[#This Row],[QT_CANA_REST1]],
  IF(ESTIMATIVA[[#This Row],[QT_CANA_REAL]]&gt;0,ESTIMATIVA[[#This Row],[QT_CANA_REAL]],ESTIMATIVA[[#This Row],[QT_CANA_EST]]))</f>
        <v>4778.9799999999996</v>
      </c>
      <c r="AC22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4778.9799999999996</v>
      </c>
      <c r="AD229" s="1">
        <f>IF(ESTIMATIVA[[#This Row],[QT_AREA_REAL]]&gt;0,ESTIMATIVA[[#This Row],[QT_CANA_REAL]],ESTIMATIVA[[#This Row],[QT_CANA_EST]])</f>
        <v>4778.9799999999996</v>
      </c>
      <c r="AE229" s="1">
        <f>IF(ESTIMATIVA[[#This Row],[QT_AREA_REAL]]&gt;0,ESTIMATIVA[[#This Row],[QT_CANA_REAL]],ESTIMATIVA[[#This Row],[QT_CANA_REST1]])</f>
        <v>4778.9799999999996</v>
      </c>
      <c r="AF229" s="1">
        <f>IF(ESTIMATIVA[[#This Row],[QT_AREA_REAL]]&gt;0,ESTIMATIVA[[#This Row],[QT_CANA_REAL]],ESTIMATIVA[[#This Row],[QT_CANA_REST2]])</f>
        <v>4778.9799999999996</v>
      </c>
      <c r="AG229" s="1" t="str">
        <f>IF(COUNTIFS(GEADA!A:A,VALUE(ESTIMATIVA[[#This Row],[CD_UPNIVEL1]]&amp;TEXT(ESTIMATIVA[[#This Row],[CD_UPNIVEL3]],"0000")))&gt;0,"S","N")</f>
        <v>N</v>
      </c>
      <c r="AH22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29" s="55" t="str">
        <f>IF(ESTIMATIVA[[#This Row],[TP_CULTIVO]]="Irrigado",_xlfn.MAXIFS(IRRIGADO!J:J,IRRIGADO!C:C,ESTIMATIVA[[#This Row],[CD_UPNIVEL1]],IRRIGADO!E:E,ESTIMATIVA[[#This Row],[CD_UPNIVEL3]]),"")</f>
        <v/>
      </c>
      <c r="AJ22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29" s="1">
        <f>COUNTIFS(Apresentação!$E$23:$E$29,ESTIMATIVA[[#This Row],[CD_UPNIVEL1]])</f>
        <v>0</v>
      </c>
    </row>
    <row r="230" spans="1:37" x14ac:dyDescent="0.3">
      <c r="A230">
        <v>20305</v>
      </c>
      <c r="B230" t="s">
        <v>22</v>
      </c>
      <c r="C230">
        <v>407</v>
      </c>
      <c r="D230">
        <v>4</v>
      </c>
      <c r="E230" t="s">
        <v>265</v>
      </c>
      <c r="F230" s="85" t="s">
        <v>331</v>
      </c>
      <c r="G230"/>
      <c r="H230" t="s">
        <v>295</v>
      </c>
      <c r="I230" t="s">
        <v>204</v>
      </c>
      <c r="J230" t="s">
        <v>175</v>
      </c>
      <c r="K230" s="1">
        <v>69</v>
      </c>
      <c r="L230" s="1">
        <v>0</v>
      </c>
      <c r="M230" s="1">
        <v>0</v>
      </c>
      <c r="N230" s="1">
        <v>69</v>
      </c>
      <c r="O230" s="1">
        <v>5865</v>
      </c>
      <c r="P230" s="1">
        <v>0</v>
      </c>
      <c r="Q230" s="1">
        <v>0</v>
      </c>
      <c r="R230" s="1">
        <v>5475.86</v>
      </c>
      <c r="S230" t="s">
        <v>12</v>
      </c>
      <c r="T230" s="13">
        <v>45802</v>
      </c>
      <c r="U230" s="1" t="str">
        <f>IF(ESTIMATIVA[[#This Row],[QT_AREA_REAL]]&gt;0,"1- Colhido","2- à Colher")</f>
        <v>1- Colhido</v>
      </c>
      <c r="V230" s="1" t="str">
        <f>IF(ESTIMATIVA[[#This Row],[QT_AREA_REST1]]&gt;0,"Reestimativa 1",IF(ESTIMATIVA[[#This Row],[QT_AREA_REAL]]=0,"Reestimativa 1","Realizado"))</f>
        <v>Realizado</v>
      </c>
      <c r="W230" s="1" t="str">
        <f>IF(ESTIMATIVA[[#This Row],[QT_AREA_REST2]]&gt;0,"Reestimativa 2",IF(ESTIMATIVA[[#This Row],[QT_AREA_REAL]]=0,"Reestimativa 2","Realizado"))</f>
        <v>Realizado</v>
      </c>
      <c r="X230" s="1">
        <f>ESTIMATIVA[[#This Row],[QT_AREA_EST]]</f>
        <v>69</v>
      </c>
      <c r="Y230" s="1">
        <f>IF(ESTIMATIVA[[#This Row],[QT_AREA_REST1]]&gt;0,ESTIMATIVA[[#This Row],[QT_AREA_REST1]],
  IF(ESTIMATIVA[[#This Row],[QT_AREA_REAL]]&gt;0,ESTIMATIVA[[#This Row],[QT_AREA_REAL]],ESTIMATIVA[[#This Row],[QT_AREA_EST]]))</f>
        <v>69</v>
      </c>
      <c r="Z23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69</v>
      </c>
      <c r="AA230" s="1">
        <f>ESTIMATIVA[[#This Row],[QT_CANA_EST]]</f>
        <v>5865</v>
      </c>
      <c r="AB230" s="1">
        <f>IF(ESTIMATIVA[[#This Row],[QT_CANA_REST1]]&gt;0,ESTIMATIVA[[#This Row],[QT_CANA_REST1]],
  IF(ESTIMATIVA[[#This Row],[QT_CANA_REAL]]&gt;0,ESTIMATIVA[[#This Row],[QT_CANA_REAL]],ESTIMATIVA[[#This Row],[QT_CANA_EST]]))</f>
        <v>5475.86</v>
      </c>
      <c r="AC23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5475.86</v>
      </c>
      <c r="AD230" s="1">
        <f>IF(ESTIMATIVA[[#This Row],[QT_AREA_REAL]]&gt;0,ESTIMATIVA[[#This Row],[QT_CANA_REAL]],ESTIMATIVA[[#This Row],[QT_CANA_EST]])</f>
        <v>5475.86</v>
      </c>
      <c r="AE230" s="1">
        <f>IF(ESTIMATIVA[[#This Row],[QT_AREA_REAL]]&gt;0,ESTIMATIVA[[#This Row],[QT_CANA_REAL]],ESTIMATIVA[[#This Row],[QT_CANA_REST1]])</f>
        <v>5475.86</v>
      </c>
      <c r="AF230" s="1">
        <f>IF(ESTIMATIVA[[#This Row],[QT_AREA_REAL]]&gt;0,ESTIMATIVA[[#This Row],[QT_CANA_REAL]],ESTIMATIVA[[#This Row],[QT_CANA_REST2]])</f>
        <v>5475.86</v>
      </c>
      <c r="AG230" s="1" t="str">
        <f>IF(COUNTIFS(GEADA!A:A,VALUE(ESTIMATIVA[[#This Row],[CD_UPNIVEL1]]&amp;TEXT(ESTIMATIVA[[#This Row],[CD_UPNIVEL3]],"0000")))&gt;0,"S","N")</f>
        <v>N</v>
      </c>
      <c r="AH23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30" s="55" t="str">
        <f>IF(ESTIMATIVA[[#This Row],[TP_CULTIVO]]="Irrigado",_xlfn.MAXIFS(IRRIGADO!J:J,IRRIGADO!C:C,ESTIMATIVA[[#This Row],[CD_UPNIVEL1]],IRRIGADO!E:E,ESTIMATIVA[[#This Row],[CD_UPNIVEL3]]),"")</f>
        <v/>
      </c>
      <c r="AJ23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30" s="1">
        <f>COUNTIFS(Apresentação!$E$23:$E$29,ESTIMATIVA[[#This Row],[CD_UPNIVEL1]])</f>
        <v>0</v>
      </c>
    </row>
    <row r="231" spans="1:37" x14ac:dyDescent="0.3">
      <c r="A231">
        <v>20305</v>
      </c>
      <c r="B231" t="s">
        <v>22</v>
      </c>
      <c r="C231">
        <v>408</v>
      </c>
      <c r="D231">
        <v>4</v>
      </c>
      <c r="E231" t="s">
        <v>265</v>
      </c>
      <c r="F231" s="85" t="s">
        <v>331</v>
      </c>
      <c r="G231"/>
      <c r="H231" t="s">
        <v>295</v>
      </c>
      <c r="I231" t="s">
        <v>197</v>
      </c>
      <c r="J231" t="s">
        <v>175</v>
      </c>
      <c r="K231" s="1">
        <v>22.98</v>
      </c>
      <c r="L231" s="1">
        <v>0</v>
      </c>
      <c r="M231" s="1">
        <v>0</v>
      </c>
      <c r="N231" s="1">
        <v>22.98</v>
      </c>
      <c r="O231" s="1">
        <v>1953.3</v>
      </c>
      <c r="P231" s="1">
        <v>0</v>
      </c>
      <c r="Q231" s="1">
        <v>0</v>
      </c>
      <c r="R231" s="1">
        <v>1824.75</v>
      </c>
      <c r="S231" t="s">
        <v>12</v>
      </c>
      <c r="T231" s="13">
        <v>45802</v>
      </c>
      <c r="U231" s="1" t="str">
        <f>IF(ESTIMATIVA[[#This Row],[QT_AREA_REAL]]&gt;0,"1- Colhido","2- à Colher")</f>
        <v>1- Colhido</v>
      </c>
      <c r="V231" s="1" t="str">
        <f>IF(ESTIMATIVA[[#This Row],[QT_AREA_REST1]]&gt;0,"Reestimativa 1",IF(ESTIMATIVA[[#This Row],[QT_AREA_REAL]]=0,"Reestimativa 1","Realizado"))</f>
        <v>Realizado</v>
      </c>
      <c r="W231" s="1" t="str">
        <f>IF(ESTIMATIVA[[#This Row],[QT_AREA_REST2]]&gt;0,"Reestimativa 2",IF(ESTIMATIVA[[#This Row],[QT_AREA_REAL]]=0,"Reestimativa 2","Realizado"))</f>
        <v>Realizado</v>
      </c>
      <c r="X231" s="1">
        <f>ESTIMATIVA[[#This Row],[QT_AREA_EST]]</f>
        <v>22.98</v>
      </c>
      <c r="Y231" s="1">
        <f>IF(ESTIMATIVA[[#This Row],[QT_AREA_REST1]]&gt;0,ESTIMATIVA[[#This Row],[QT_AREA_REST1]],
  IF(ESTIMATIVA[[#This Row],[QT_AREA_REAL]]&gt;0,ESTIMATIVA[[#This Row],[QT_AREA_REAL]],ESTIMATIVA[[#This Row],[QT_AREA_EST]]))</f>
        <v>22.98</v>
      </c>
      <c r="Z23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22.98</v>
      </c>
      <c r="AA231" s="1">
        <f>ESTIMATIVA[[#This Row],[QT_CANA_EST]]</f>
        <v>1953.3</v>
      </c>
      <c r="AB231" s="1">
        <f>IF(ESTIMATIVA[[#This Row],[QT_CANA_REST1]]&gt;0,ESTIMATIVA[[#This Row],[QT_CANA_REST1]],
  IF(ESTIMATIVA[[#This Row],[QT_CANA_REAL]]&gt;0,ESTIMATIVA[[#This Row],[QT_CANA_REAL]],ESTIMATIVA[[#This Row],[QT_CANA_EST]]))</f>
        <v>1824.75</v>
      </c>
      <c r="AC23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1824.75</v>
      </c>
      <c r="AD231" s="1">
        <f>IF(ESTIMATIVA[[#This Row],[QT_AREA_REAL]]&gt;0,ESTIMATIVA[[#This Row],[QT_CANA_REAL]],ESTIMATIVA[[#This Row],[QT_CANA_EST]])</f>
        <v>1824.75</v>
      </c>
      <c r="AE231" s="1">
        <f>IF(ESTIMATIVA[[#This Row],[QT_AREA_REAL]]&gt;0,ESTIMATIVA[[#This Row],[QT_CANA_REAL]],ESTIMATIVA[[#This Row],[QT_CANA_REST1]])</f>
        <v>1824.75</v>
      </c>
      <c r="AF231" s="1">
        <f>IF(ESTIMATIVA[[#This Row],[QT_AREA_REAL]]&gt;0,ESTIMATIVA[[#This Row],[QT_CANA_REAL]],ESTIMATIVA[[#This Row],[QT_CANA_REST2]])</f>
        <v>1824.75</v>
      </c>
      <c r="AG231" s="1" t="str">
        <f>IF(COUNTIFS(GEADA!A:A,VALUE(ESTIMATIVA[[#This Row],[CD_UPNIVEL1]]&amp;TEXT(ESTIMATIVA[[#This Row],[CD_UPNIVEL3]],"0000")))&gt;0,"S","N")</f>
        <v>N</v>
      </c>
      <c r="AH23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31" s="55" t="str">
        <f>IF(ESTIMATIVA[[#This Row],[TP_CULTIVO]]="Irrigado",_xlfn.MAXIFS(IRRIGADO!J:J,IRRIGADO!C:C,ESTIMATIVA[[#This Row],[CD_UPNIVEL1]],IRRIGADO!E:E,ESTIMATIVA[[#This Row],[CD_UPNIVEL3]]),"")</f>
        <v/>
      </c>
      <c r="AJ23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31" s="1">
        <f>COUNTIFS(Apresentação!$E$23:$E$29,ESTIMATIVA[[#This Row],[CD_UPNIVEL1]])</f>
        <v>0</v>
      </c>
    </row>
    <row r="232" spans="1:37" x14ac:dyDescent="0.3">
      <c r="A232">
        <v>20305</v>
      </c>
      <c r="B232" t="s">
        <v>22</v>
      </c>
      <c r="C232">
        <v>409</v>
      </c>
      <c r="D232">
        <v>4</v>
      </c>
      <c r="E232" t="s">
        <v>265</v>
      </c>
      <c r="F232" s="85" t="s">
        <v>331</v>
      </c>
      <c r="G232"/>
      <c r="H232" t="s">
        <v>295</v>
      </c>
      <c r="I232" t="s">
        <v>204</v>
      </c>
      <c r="J232" t="s">
        <v>175</v>
      </c>
      <c r="K232" s="1">
        <v>71.14</v>
      </c>
      <c r="L232" s="1">
        <v>0</v>
      </c>
      <c r="M232" s="1">
        <v>0</v>
      </c>
      <c r="N232" s="1">
        <v>71.14</v>
      </c>
      <c r="O232" s="1">
        <v>5691.2</v>
      </c>
      <c r="P232" s="1">
        <v>0</v>
      </c>
      <c r="Q232" s="1">
        <v>0</v>
      </c>
      <c r="R232" s="1">
        <v>6101.79</v>
      </c>
      <c r="S232" t="s">
        <v>12</v>
      </c>
      <c r="T232" s="13">
        <v>45795</v>
      </c>
      <c r="U232" s="1" t="str">
        <f>IF(ESTIMATIVA[[#This Row],[QT_AREA_REAL]]&gt;0,"1- Colhido","2- à Colher")</f>
        <v>1- Colhido</v>
      </c>
      <c r="V232" s="1" t="str">
        <f>IF(ESTIMATIVA[[#This Row],[QT_AREA_REST1]]&gt;0,"Reestimativa 1",IF(ESTIMATIVA[[#This Row],[QT_AREA_REAL]]=0,"Reestimativa 1","Realizado"))</f>
        <v>Realizado</v>
      </c>
      <c r="W232" s="1" t="str">
        <f>IF(ESTIMATIVA[[#This Row],[QT_AREA_REST2]]&gt;0,"Reestimativa 2",IF(ESTIMATIVA[[#This Row],[QT_AREA_REAL]]=0,"Reestimativa 2","Realizado"))</f>
        <v>Realizado</v>
      </c>
      <c r="X232" s="1">
        <f>ESTIMATIVA[[#This Row],[QT_AREA_EST]]</f>
        <v>71.14</v>
      </c>
      <c r="Y232" s="1">
        <f>IF(ESTIMATIVA[[#This Row],[QT_AREA_REST1]]&gt;0,ESTIMATIVA[[#This Row],[QT_AREA_REST1]],
  IF(ESTIMATIVA[[#This Row],[QT_AREA_REAL]]&gt;0,ESTIMATIVA[[#This Row],[QT_AREA_REAL]],ESTIMATIVA[[#This Row],[QT_AREA_EST]]))</f>
        <v>71.14</v>
      </c>
      <c r="Z23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71.14</v>
      </c>
      <c r="AA232" s="1">
        <f>ESTIMATIVA[[#This Row],[QT_CANA_EST]]</f>
        <v>5691.2</v>
      </c>
      <c r="AB232" s="1">
        <f>IF(ESTIMATIVA[[#This Row],[QT_CANA_REST1]]&gt;0,ESTIMATIVA[[#This Row],[QT_CANA_REST1]],
  IF(ESTIMATIVA[[#This Row],[QT_CANA_REAL]]&gt;0,ESTIMATIVA[[#This Row],[QT_CANA_REAL]],ESTIMATIVA[[#This Row],[QT_CANA_EST]]))</f>
        <v>6101.79</v>
      </c>
      <c r="AC23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6101.79</v>
      </c>
      <c r="AD232" s="1">
        <f>IF(ESTIMATIVA[[#This Row],[QT_AREA_REAL]]&gt;0,ESTIMATIVA[[#This Row],[QT_CANA_REAL]],ESTIMATIVA[[#This Row],[QT_CANA_EST]])</f>
        <v>6101.79</v>
      </c>
      <c r="AE232" s="1">
        <f>IF(ESTIMATIVA[[#This Row],[QT_AREA_REAL]]&gt;0,ESTIMATIVA[[#This Row],[QT_CANA_REAL]],ESTIMATIVA[[#This Row],[QT_CANA_REST1]])</f>
        <v>6101.79</v>
      </c>
      <c r="AF232" s="1">
        <f>IF(ESTIMATIVA[[#This Row],[QT_AREA_REAL]]&gt;0,ESTIMATIVA[[#This Row],[QT_CANA_REAL]],ESTIMATIVA[[#This Row],[QT_CANA_REST2]])</f>
        <v>6101.79</v>
      </c>
      <c r="AG232" s="1" t="str">
        <f>IF(COUNTIFS(GEADA!A:A,VALUE(ESTIMATIVA[[#This Row],[CD_UPNIVEL1]]&amp;TEXT(ESTIMATIVA[[#This Row],[CD_UPNIVEL3]],"0000")))&gt;0,"S","N")</f>
        <v>N</v>
      </c>
      <c r="AH23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32" s="55" t="str">
        <f>IF(ESTIMATIVA[[#This Row],[TP_CULTIVO]]="Irrigado",_xlfn.MAXIFS(IRRIGADO!J:J,IRRIGADO!C:C,ESTIMATIVA[[#This Row],[CD_UPNIVEL1]],IRRIGADO!E:E,ESTIMATIVA[[#This Row],[CD_UPNIVEL3]]),"")</f>
        <v/>
      </c>
      <c r="AJ23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32" s="1">
        <f>COUNTIFS(Apresentação!$E$23:$E$29,ESTIMATIVA[[#This Row],[CD_UPNIVEL1]])</f>
        <v>0</v>
      </c>
    </row>
    <row r="233" spans="1:37" x14ac:dyDescent="0.3">
      <c r="A233">
        <v>20305</v>
      </c>
      <c r="B233" t="s">
        <v>22</v>
      </c>
      <c r="C233">
        <v>410</v>
      </c>
      <c r="D233">
        <v>4</v>
      </c>
      <c r="E233" t="s">
        <v>265</v>
      </c>
      <c r="F233" s="85" t="s">
        <v>331</v>
      </c>
      <c r="G233"/>
      <c r="H233" t="s">
        <v>295</v>
      </c>
      <c r="I233" t="s">
        <v>204</v>
      </c>
      <c r="J233" t="s">
        <v>175</v>
      </c>
      <c r="K233" s="1">
        <v>55.77</v>
      </c>
      <c r="L233" s="1">
        <v>0</v>
      </c>
      <c r="M233" s="1">
        <v>0</v>
      </c>
      <c r="N233" s="1">
        <v>55.77</v>
      </c>
      <c r="O233" s="1">
        <v>4461.6000000000004</v>
      </c>
      <c r="P233" s="1">
        <v>0</v>
      </c>
      <c r="Q233" s="1">
        <v>0</v>
      </c>
      <c r="R233" s="1">
        <v>4834.96</v>
      </c>
      <c r="S233" t="s">
        <v>12</v>
      </c>
      <c r="T233" s="13">
        <v>45795</v>
      </c>
      <c r="U233" s="1" t="str">
        <f>IF(ESTIMATIVA[[#This Row],[QT_AREA_REAL]]&gt;0,"1- Colhido","2- à Colher")</f>
        <v>1- Colhido</v>
      </c>
      <c r="V233" s="1" t="str">
        <f>IF(ESTIMATIVA[[#This Row],[QT_AREA_REST1]]&gt;0,"Reestimativa 1",IF(ESTIMATIVA[[#This Row],[QT_AREA_REAL]]=0,"Reestimativa 1","Realizado"))</f>
        <v>Realizado</v>
      </c>
      <c r="W233" s="1" t="str">
        <f>IF(ESTIMATIVA[[#This Row],[QT_AREA_REST2]]&gt;0,"Reestimativa 2",IF(ESTIMATIVA[[#This Row],[QT_AREA_REAL]]=0,"Reestimativa 2","Realizado"))</f>
        <v>Realizado</v>
      </c>
      <c r="X233" s="1">
        <f>ESTIMATIVA[[#This Row],[QT_AREA_EST]]</f>
        <v>55.77</v>
      </c>
      <c r="Y233" s="1">
        <f>IF(ESTIMATIVA[[#This Row],[QT_AREA_REST1]]&gt;0,ESTIMATIVA[[#This Row],[QT_AREA_REST1]],
  IF(ESTIMATIVA[[#This Row],[QT_AREA_REAL]]&gt;0,ESTIMATIVA[[#This Row],[QT_AREA_REAL]],ESTIMATIVA[[#This Row],[QT_AREA_EST]]))</f>
        <v>55.77</v>
      </c>
      <c r="Z23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55.77</v>
      </c>
      <c r="AA233" s="1">
        <f>ESTIMATIVA[[#This Row],[QT_CANA_EST]]</f>
        <v>4461.6000000000004</v>
      </c>
      <c r="AB233" s="1">
        <f>IF(ESTIMATIVA[[#This Row],[QT_CANA_REST1]]&gt;0,ESTIMATIVA[[#This Row],[QT_CANA_REST1]],
  IF(ESTIMATIVA[[#This Row],[QT_CANA_REAL]]&gt;0,ESTIMATIVA[[#This Row],[QT_CANA_REAL]],ESTIMATIVA[[#This Row],[QT_CANA_EST]]))</f>
        <v>4834.96</v>
      </c>
      <c r="AC23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4834.96</v>
      </c>
      <c r="AD233" s="1">
        <f>IF(ESTIMATIVA[[#This Row],[QT_AREA_REAL]]&gt;0,ESTIMATIVA[[#This Row],[QT_CANA_REAL]],ESTIMATIVA[[#This Row],[QT_CANA_EST]])</f>
        <v>4834.96</v>
      </c>
      <c r="AE233" s="1">
        <f>IF(ESTIMATIVA[[#This Row],[QT_AREA_REAL]]&gt;0,ESTIMATIVA[[#This Row],[QT_CANA_REAL]],ESTIMATIVA[[#This Row],[QT_CANA_REST1]])</f>
        <v>4834.96</v>
      </c>
      <c r="AF233" s="1">
        <f>IF(ESTIMATIVA[[#This Row],[QT_AREA_REAL]]&gt;0,ESTIMATIVA[[#This Row],[QT_CANA_REAL]],ESTIMATIVA[[#This Row],[QT_CANA_REST2]])</f>
        <v>4834.96</v>
      </c>
      <c r="AG233" s="1" t="str">
        <f>IF(COUNTIFS(GEADA!A:A,VALUE(ESTIMATIVA[[#This Row],[CD_UPNIVEL1]]&amp;TEXT(ESTIMATIVA[[#This Row],[CD_UPNIVEL3]],"0000")))&gt;0,"S","N")</f>
        <v>N</v>
      </c>
      <c r="AH23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33" s="55" t="str">
        <f>IF(ESTIMATIVA[[#This Row],[TP_CULTIVO]]="Irrigado",_xlfn.MAXIFS(IRRIGADO!J:J,IRRIGADO!C:C,ESTIMATIVA[[#This Row],[CD_UPNIVEL1]],IRRIGADO!E:E,ESTIMATIVA[[#This Row],[CD_UPNIVEL3]]),"")</f>
        <v/>
      </c>
      <c r="AJ23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33" s="1">
        <f>COUNTIFS(Apresentação!$E$23:$E$29,ESTIMATIVA[[#This Row],[CD_UPNIVEL1]])</f>
        <v>0</v>
      </c>
    </row>
    <row r="234" spans="1:37" x14ac:dyDescent="0.3">
      <c r="A234">
        <v>20305</v>
      </c>
      <c r="B234" t="s">
        <v>22</v>
      </c>
      <c r="C234">
        <v>411</v>
      </c>
      <c r="D234">
        <v>4</v>
      </c>
      <c r="E234" t="s">
        <v>265</v>
      </c>
      <c r="F234" s="85" t="s">
        <v>331</v>
      </c>
      <c r="G234"/>
      <c r="H234" t="s">
        <v>295</v>
      </c>
      <c r="I234" t="s">
        <v>197</v>
      </c>
      <c r="J234" t="s">
        <v>175</v>
      </c>
      <c r="K234" s="1">
        <v>34.26</v>
      </c>
      <c r="L234" s="1">
        <v>0</v>
      </c>
      <c r="M234" s="1">
        <v>0</v>
      </c>
      <c r="N234" s="1">
        <v>34.26</v>
      </c>
      <c r="O234" s="1">
        <v>2740.8</v>
      </c>
      <c r="P234" s="1">
        <v>0</v>
      </c>
      <c r="Q234" s="1">
        <v>0</v>
      </c>
      <c r="R234" s="1">
        <v>3062.36</v>
      </c>
      <c r="S234" t="s">
        <v>12</v>
      </c>
      <c r="T234" s="13">
        <v>45795</v>
      </c>
      <c r="U234" s="1" t="str">
        <f>IF(ESTIMATIVA[[#This Row],[QT_AREA_REAL]]&gt;0,"1- Colhido","2- à Colher")</f>
        <v>1- Colhido</v>
      </c>
      <c r="V234" s="1" t="str">
        <f>IF(ESTIMATIVA[[#This Row],[QT_AREA_REST1]]&gt;0,"Reestimativa 1",IF(ESTIMATIVA[[#This Row],[QT_AREA_REAL]]=0,"Reestimativa 1","Realizado"))</f>
        <v>Realizado</v>
      </c>
      <c r="W234" s="1" t="str">
        <f>IF(ESTIMATIVA[[#This Row],[QT_AREA_REST2]]&gt;0,"Reestimativa 2",IF(ESTIMATIVA[[#This Row],[QT_AREA_REAL]]=0,"Reestimativa 2","Realizado"))</f>
        <v>Realizado</v>
      </c>
      <c r="X234" s="1">
        <f>ESTIMATIVA[[#This Row],[QT_AREA_EST]]</f>
        <v>34.26</v>
      </c>
      <c r="Y234" s="1">
        <f>IF(ESTIMATIVA[[#This Row],[QT_AREA_REST1]]&gt;0,ESTIMATIVA[[#This Row],[QT_AREA_REST1]],
  IF(ESTIMATIVA[[#This Row],[QT_AREA_REAL]]&gt;0,ESTIMATIVA[[#This Row],[QT_AREA_REAL]],ESTIMATIVA[[#This Row],[QT_AREA_EST]]))</f>
        <v>34.26</v>
      </c>
      <c r="Z23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34.26</v>
      </c>
      <c r="AA234" s="1">
        <f>ESTIMATIVA[[#This Row],[QT_CANA_EST]]</f>
        <v>2740.8</v>
      </c>
      <c r="AB234" s="1">
        <f>IF(ESTIMATIVA[[#This Row],[QT_CANA_REST1]]&gt;0,ESTIMATIVA[[#This Row],[QT_CANA_REST1]],
  IF(ESTIMATIVA[[#This Row],[QT_CANA_REAL]]&gt;0,ESTIMATIVA[[#This Row],[QT_CANA_REAL]],ESTIMATIVA[[#This Row],[QT_CANA_EST]]))</f>
        <v>3062.36</v>
      </c>
      <c r="AC23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3062.36</v>
      </c>
      <c r="AD234" s="1">
        <f>IF(ESTIMATIVA[[#This Row],[QT_AREA_REAL]]&gt;0,ESTIMATIVA[[#This Row],[QT_CANA_REAL]],ESTIMATIVA[[#This Row],[QT_CANA_EST]])</f>
        <v>3062.36</v>
      </c>
      <c r="AE234" s="1">
        <f>IF(ESTIMATIVA[[#This Row],[QT_AREA_REAL]]&gt;0,ESTIMATIVA[[#This Row],[QT_CANA_REAL]],ESTIMATIVA[[#This Row],[QT_CANA_REST1]])</f>
        <v>3062.36</v>
      </c>
      <c r="AF234" s="1">
        <f>IF(ESTIMATIVA[[#This Row],[QT_AREA_REAL]]&gt;0,ESTIMATIVA[[#This Row],[QT_CANA_REAL]],ESTIMATIVA[[#This Row],[QT_CANA_REST2]])</f>
        <v>3062.36</v>
      </c>
      <c r="AG234" s="1" t="str">
        <f>IF(COUNTIFS(GEADA!A:A,VALUE(ESTIMATIVA[[#This Row],[CD_UPNIVEL1]]&amp;TEXT(ESTIMATIVA[[#This Row],[CD_UPNIVEL3]],"0000")))&gt;0,"S","N")</f>
        <v>N</v>
      </c>
      <c r="AH23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34" s="55" t="str">
        <f>IF(ESTIMATIVA[[#This Row],[TP_CULTIVO]]="Irrigado",_xlfn.MAXIFS(IRRIGADO!J:J,IRRIGADO!C:C,ESTIMATIVA[[#This Row],[CD_UPNIVEL1]],IRRIGADO!E:E,ESTIMATIVA[[#This Row],[CD_UPNIVEL3]]),"")</f>
        <v/>
      </c>
      <c r="AJ23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34" s="1">
        <f>COUNTIFS(Apresentação!$E$23:$E$29,ESTIMATIVA[[#This Row],[CD_UPNIVEL1]])</f>
        <v>0</v>
      </c>
    </row>
    <row r="235" spans="1:37" x14ac:dyDescent="0.3">
      <c r="A235">
        <v>20305</v>
      </c>
      <c r="B235" t="s">
        <v>22</v>
      </c>
      <c r="C235">
        <v>412</v>
      </c>
      <c r="D235">
        <v>4</v>
      </c>
      <c r="E235" t="s">
        <v>265</v>
      </c>
      <c r="F235" s="85" t="s">
        <v>331</v>
      </c>
      <c r="G235"/>
      <c r="H235" t="s">
        <v>295</v>
      </c>
      <c r="I235" t="s">
        <v>204</v>
      </c>
      <c r="J235" t="s">
        <v>175</v>
      </c>
      <c r="K235" s="1">
        <v>31.57</v>
      </c>
      <c r="L235" s="1">
        <v>0</v>
      </c>
      <c r="M235" s="1">
        <v>0</v>
      </c>
      <c r="N235" s="1">
        <v>31.57</v>
      </c>
      <c r="O235" s="1">
        <v>2525.6</v>
      </c>
      <c r="P235" s="1">
        <v>0</v>
      </c>
      <c r="Q235" s="1">
        <v>0</v>
      </c>
      <c r="R235" s="1">
        <v>2841.3</v>
      </c>
      <c r="S235" t="s">
        <v>12</v>
      </c>
      <c r="T235" s="13">
        <v>45795</v>
      </c>
      <c r="U235" s="1" t="str">
        <f>IF(ESTIMATIVA[[#This Row],[QT_AREA_REAL]]&gt;0,"1- Colhido","2- à Colher")</f>
        <v>1- Colhido</v>
      </c>
      <c r="V235" s="1" t="str">
        <f>IF(ESTIMATIVA[[#This Row],[QT_AREA_REST1]]&gt;0,"Reestimativa 1",IF(ESTIMATIVA[[#This Row],[QT_AREA_REAL]]=0,"Reestimativa 1","Realizado"))</f>
        <v>Realizado</v>
      </c>
      <c r="W235" s="1" t="str">
        <f>IF(ESTIMATIVA[[#This Row],[QT_AREA_REST2]]&gt;0,"Reestimativa 2",IF(ESTIMATIVA[[#This Row],[QT_AREA_REAL]]=0,"Reestimativa 2","Realizado"))</f>
        <v>Realizado</v>
      </c>
      <c r="X235" s="1">
        <f>ESTIMATIVA[[#This Row],[QT_AREA_EST]]</f>
        <v>31.57</v>
      </c>
      <c r="Y235" s="1">
        <f>IF(ESTIMATIVA[[#This Row],[QT_AREA_REST1]]&gt;0,ESTIMATIVA[[#This Row],[QT_AREA_REST1]],
  IF(ESTIMATIVA[[#This Row],[QT_AREA_REAL]]&gt;0,ESTIMATIVA[[#This Row],[QT_AREA_REAL]],ESTIMATIVA[[#This Row],[QT_AREA_EST]]))</f>
        <v>31.57</v>
      </c>
      <c r="Z23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31.57</v>
      </c>
      <c r="AA235" s="1">
        <f>ESTIMATIVA[[#This Row],[QT_CANA_EST]]</f>
        <v>2525.6</v>
      </c>
      <c r="AB235" s="1">
        <f>IF(ESTIMATIVA[[#This Row],[QT_CANA_REST1]]&gt;0,ESTIMATIVA[[#This Row],[QT_CANA_REST1]],
  IF(ESTIMATIVA[[#This Row],[QT_CANA_REAL]]&gt;0,ESTIMATIVA[[#This Row],[QT_CANA_REAL]],ESTIMATIVA[[#This Row],[QT_CANA_EST]]))</f>
        <v>2841.3</v>
      </c>
      <c r="AC23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2841.3</v>
      </c>
      <c r="AD235" s="1">
        <f>IF(ESTIMATIVA[[#This Row],[QT_AREA_REAL]]&gt;0,ESTIMATIVA[[#This Row],[QT_CANA_REAL]],ESTIMATIVA[[#This Row],[QT_CANA_EST]])</f>
        <v>2841.3</v>
      </c>
      <c r="AE235" s="1">
        <f>IF(ESTIMATIVA[[#This Row],[QT_AREA_REAL]]&gt;0,ESTIMATIVA[[#This Row],[QT_CANA_REAL]],ESTIMATIVA[[#This Row],[QT_CANA_REST1]])</f>
        <v>2841.3</v>
      </c>
      <c r="AF235" s="1">
        <f>IF(ESTIMATIVA[[#This Row],[QT_AREA_REAL]]&gt;0,ESTIMATIVA[[#This Row],[QT_CANA_REAL]],ESTIMATIVA[[#This Row],[QT_CANA_REST2]])</f>
        <v>2841.3</v>
      </c>
      <c r="AG235" s="1" t="str">
        <f>IF(COUNTIFS(GEADA!A:A,VALUE(ESTIMATIVA[[#This Row],[CD_UPNIVEL1]]&amp;TEXT(ESTIMATIVA[[#This Row],[CD_UPNIVEL3]],"0000")))&gt;0,"S","N")</f>
        <v>N</v>
      </c>
      <c r="AH23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35" s="55" t="str">
        <f>IF(ESTIMATIVA[[#This Row],[TP_CULTIVO]]="Irrigado",_xlfn.MAXIFS(IRRIGADO!J:J,IRRIGADO!C:C,ESTIMATIVA[[#This Row],[CD_UPNIVEL1]],IRRIGADO!E:E,ESTIMATIVA[[#This Row],[CD_UPNIVEL3]]),"")</f>
        <v/>
      </c>
      <c r="AJ23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35" s="1">
        <f>COUNTIFS(Apresentação!$E$23:$E$29,ESTIMATIVA[[#This Row],[CD_UPNIVEL1]])</f>
        <v>0</v>
      </c>
    </row>
    <row r="236" spans="1:37" x14ac:dyDescent="0.3">
      <c r="A236">
        <v>20305</v>
      </c>
      <c r="B236" t="s">
        <v>22</v>
      </c>
      <c r="C236">
        <v>413</v>
      </c>
      <c r="D236">
        <v>4</v>
      </c>
      <c r="E236" t="s">
        <v>265</v>
      </c>
      <c r="F236" s="85" t="s">
        <v>331</v>
      </c>
      <c r="G236"/>
      <c r="H236" t="s">
        <v>295</v>
      </c>
      <c r="I236" t="s">
        <v>197</v>
      </c>
      <c r="J236" t="s">
        <v>175</v>
      </c>
      <c r="K236" s="1">
        <v>26.36</v>
      </c>
      <c r="L236" s="1">
        <v>26.36</v>
      </c>
      <c r="M236" s="1">
        <v>0</v>
      </c>
      <c r="N236" s="1">
        <v>26.36</v>
      </c>
      <c r="O236" s="1">
        <v>2108.8000000000002</v>
      </c>
      <c r="P236" s="1">
        <v>2266.96</v>
      </c>
      <c r="Q236" s="1">
        <v>0</v>
      </c>
      <c r="R236" s="1">
        <v>2065.8200000000002</v>
      </c>
      <c r="S236" t="s">
        <v>12</v>
      </c>
      <c r="T236" s="13">
        <v>45872</v>
      </c>
      <c r="U236" s="1" t="str">
        <f>IF(ESTIMATIVA[[#This Row],[QT_AREA_REAL]]&gt;0,"1- Colhido","2- à Colher")</f>
        <v>1- Colhido</v>
      </c>
      <c r="V236" s="1" t="str">
        <f>IF(ESTIMATIVA[[#This Row],[QT_AREA_REST1]]&gt;0,"Reestimativa 1",IF(ESTIMATIVA[[#This Row],[QT_AREA_REAL]]=0,"Reestimativa 1","Realizado"))</f>
        <v>Reestimativa 1</v>
      </c>
      <c r="W236" s="1" t="str">
        <f>IF(ESTIMATIVA[[#This Row],[QT_AREA_REST2]]&gt;0,"Reestimativa 2",IF(ESTIMATIVA[[#This Row],[QT_AREA_REAL]]=0,"Reestimativa 2","Realizado"))</f>
        <v>Realizado</v>
      </c>
      <c r="X236" s="1">
        <f>ESTIMATIVA[[#This Row],[QT_AREA_EST]]</f>
        <v>26.36</v>
      </c>
      <c r="Y236" s="1">
        <f>IF(ESTIMATIVA[[#This Row],[QT_AREA_REST1]]&gt;0,ESTIMATIVA[[#This Row],[QT_AREA_REST1]],
  IF(ESTIMATIVA[[#This Row],[QT_AREA_REAL]]&gt;0,ESTIMATIVA[[#This Row],[QT_AREA_REAL]],ESTIMATIVA[[#This Row],[QT_AREA_EST]]))</f>
        <v>26.36</v>
      </c>
      <c r="Z23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26.36</v>
      </c>
      <c r="AA236" s="1">
        <f>ESTIMATIVA[[#This Row],[QT_CANA_EST]]</f>
        <v>2108.8000000000002</v>
      </c>
      <c r="AB236" s="1">
        <f>IF(ESTIMATIVA[[#This Row],[QT_CANA_REST1]]&gt;0,ESTIMATIVA[[#This Row],[QT_CANA_REST1]],
  IF(ESTIMATIVA[[#This Row],[QT_CANA_REAL]]&gt;0,ESTIMATIVA[[#This Row],[QT_CANA_REAL]],ESTIMATIVA[[#This Row],[QT_CANA_EST]]))</f>
        <v>2266.96</v>
      </c>
      <c r="AC23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2065.8200000000002</v>
      </c>
      <c r="AD236" s="1">
        <f>IF(ESTIMATIVA[[#This Row],[QT_AREA_REAL]]&gt;0,ESTIMATIVA[[#This Row],[QT_CANA_REAL]],ESTIMATIVA[[#This Row],[QT_CANA_EST]])</f>
        <v>2065.8200000000002</v>
      </c>
      <c r="AE236" s="1">
        <f>IF(ESTIMATIVA[[#This Row],[QT_AREA_REAL]]&gt;0,ESTIMATIVA[[#This Row],[QT_CANA_REAL]],ESTIMATIVA[[#This Row],[QT_CANA_REST1]])</f>
        <v>2065.8200000000002</v>
      </c>
      <c r="AF236" s="1">
        <f>IF(ESTIMATIVA[[#This Row],[QT_AREA_REAL]]&gt;0,ESTIMATIVA[[#This Row],[QT_CANA_REAL]],ESTIMATIVA[[#This Row],[QT_CANA_REST2]])</f>
        <v>2065.8200000000002</v>
      </c>
      <c r="AG236" s="1" t="str">
        <f>IF(COUNTIFS(GEADA!A:A,VALUE(ESTIMATIVA[[#This Row],[CD_UPNIVEL1]]&amp;TEXT(ESTIMATIVA[[#This Row],[CD_UPNIVEL3]],"0000")))&gt;0,"S","N")</f>
        <v>N</v>
      </c>
      <c r="AH23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36" s="55" t="str">
        <f>IF(ESTIMATIVA[[#This Row],[TP_CULTIVO]]="Irrigado",_xlfn.MAXIFS(IRRIGADO!J:J,IRRIGADO!C:C,ESTIMATIVA[[#This Row],[CD_UPNIVEL1]],IRRIGADO!E:E,ESTIMATIVA[[#This Row],[CD_UPNIVEL3]]),"")</f>
        <v/>
      </c>
      <c r="AJ23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36" s="1">
        <f>COUNTIFS(Apresentação!$E$23:$E$29,ESTIMATIVA[[#This Row],[CD_UPNIVEL1]])</f>
        <v>0</v>
      </c>
    </row>
    <row r="237" spans="1:37" x14ac:dyDescent="0.3">
      <c r="A237">
        <v>20305</v>
      </c>
      <c r="B237" t="s">
        <v>22</v>
      </c>
      <c r="C237">
        <v>414</v>
      </c>
      <c r="D237">
        <v>5</v>
      </c>
      <c r="E237" t="s">
        <v>268</v>
      </c>
      <c r="F237" s="85" t="s">
        <v>331</v>
      </c>
      <c r="G237"/>
      <c r="H237" t="s">
        <v>295</v>
      </c>
      <c r="I237" t="s">
        <v>207</v>
      </c>
      <c r="J237" t="s">
        <v>175</v>
      </c>
      <c r="K237" s="1">
        <v>54.24</v>
      </c>
      <c r="L237" s="1">
        <v>54.24</v>
      </c>
      <c r="M237" s="1">
        <v>54.24</v>
      </c>
      <c r="N237" s="1">
        <v>54.24</v>
      </c>
      <c r="O237" s="1">
        <v>4339.2</v>
      </c>
      <c r="P237" s="1">
        <v>4664.6400000000003</v>
      </c>
      <c r="Q237" s="1">
        <v>4664.6400000000003</v>
      </c>
      <c r="R237" s="1">
        <v>2157.02</v>
      </c>
      <c r="S237" t="s">
        <v>12</v>
      </c>
      <c r="T237" s="13">
        <v>45956</v>
      </c>
      <c r="U237" s="1" t="str">
        <f>IF(ESTIMATIVA[[#This Row],[QT_AREA_REAL]]&gt;0,"1- Colhido","2- à Colher")</f>
        <v>1- Colhido</v>
      </c>
      <c r="V237" s="1" t="str">
        <f>IF(ESTIMATIVA[[#This Row],[QT_AREA_REST1]]&gt;0,"Reestimativa 1",IF(ESTIMATIVA[[#This Row],[QT_AREA_REAL]]=0,"Reestimativa 1","Realizado"))</f>
        <v>Reestimativa 1</v>
      </c>
      <c r="W237" s="1" t="str">
        <f>IF(ESTIMATIVA[[#This Row],[QT_AREA_REST2]]&gt;0,"Reestimativa 2",IF(ESTIMATIVA[[#This Row],[QT_AREA_REAL]]=0,"Reestimativa 2","Realizado"))</f>
        <v>Reestimativa 2</v>
      </c>
      <c r="X237" s="1">
        <f>ESTIMATIVA[[#This Row],[QT_AREA_EST]]</f>
        <v>54.24</v>
      </c>
      <c r="Y237" s="1">
        <f>IF(ESTIMATIVA[[#This Row],[QT_AREA_REST1]]&gt;0,ESTIMATIVA[[#This Row],[QT_AREA_REST1]],
  IF(ESTIMATIVA[[#This Row],[QT_AREA_REAL]]&gt;0,ESTIMATIVA[[#This Row],[QT_AREA_REAL]],ESTIMATIVA[[#This Row],[QT_AREA_EST]]))</f>
        <v>54.24</v>
      </c>
      <c r="Z23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54.24</v>
      </c>
      <c r="AA237" s="1">
        <f>ESTIMATIVA[[#This Row],[QT_CANA_EST]]</f>
        <v>4339.2</v>
      </c>
      <c r="AB237" s="1">
        <f>IF(ESTIMATIVA[[#This Row],[QT_CANA_REST1]]&gt;0,ESTIMATIVA[[#This Row],[QT_CANA_REST1]],
  IF(ESTIMATIVA[[#This Row],[QT_CANA_REAL]]&gt;0,ESTIMATIVA[[#This Row],[QT_CANA_REAL]],ESTIMATIVA[[#This Row],[QT_CANA_EST]]))</f>
        <v>4664.6400000000003</v>
      </c>
      <c r="AC23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4664.6400000000003</v>
      </c>
      <c r="AD237" s="1">
        <f>IF(ESTIMATIVA[[#This Row],[QT_AREA_REAL]]&gt;0,ESTIMATIVA[[#This Row],[QT_CANA_REAL]],ESTIMATIVA[[#This Row],[QT_CANA_EST]])</f>
        <v>2157.02</v>
      </c>
      <c r="AE237" s="1">
        <f>IF(ESTIMATIVA[[#This Row],[QT_AREA_REAL]]&gt;0,ESTIMATIVA[[#This Row],[QT_CANA_REAL]],ESTIMATIVA[[#This Row],[QT_CANA_REST1]])</f>
        <v>2157.02</v>
      </c>
      <c r="AF237" s="1">
        <f>IF(ESTIMATIVA[[#This Row],[QT_AREA_REAL]]&gt;0,ESTIMATIVA[[#This Row],[QT_CANA_REAL]],ESTIMATIVA[[#This Row],[QT_CANA_REST2]])</f>
        <v>2157.02</v>
      </c>
      <c r="AG237" s="1" t="str">
        <f>IF(COUNTIFS(GEADA!A:A,VALUE(ESTIMATIVA[[#This Row],[CD_UPNIVEL1]]&amp;TEXT(ESTIMATIVA[[#This Row],[CD_UPNIVEL3]],"0000")))&gt;0,"S","N")</f>
        <v>N</v>
      </c>
      <c r="AH23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37" s="55" t="str">
        <f>IF(ESTIMATIVA[[#This Row],[TP_CULTIVO]]="Irrigado",_xlfn.MAXIFS(IRRIGADO!J:J,IRRIGADO!C:C,ESTIMATIVA[[#This Row],[CD_UPNIVEL1]],IRRIGADO!E:E,ESTIMATIVA[[#This Row],[CD_UPNIVEL3]]),"")</f>
        <v/>
      </c>
      <c r="AJ23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37" s="1">
        <f>COUNTIFS(Apresentação!$E$23:$E$29,ESTIMATIVA[[#This Row],[CD_UPNIVEL1]])</f>
        <v>0</v>
      </c>
    </row>
    <row r="238" spans="1:37" x14ac:dyDescent="0.3">
      <c r="A238">
        <v>20305</v>
      </c>
      <c r="B238" t="s">
        <v>22</v>
      </c>
      <c r="C238">
        <v>415</v>
      </c>
      <c r="D238">
        <v>4</v>
      </c>
      <c r="E238" t="s">
        <v>265</v>
      </c>
      <c r="F238" s="85" t="s">
        <v>331</v>
      </c>
      <c r="G238"/>
      <c r="H238" t="s">
        <v>295</v>
      </c>
      <c r="I238" t="s">
        <v>197</v>
      </c>
      <c r="J238" t="s">
        <v>175</v>
      </c>
      <c r="K238" s="1">
        <v>16.350000000000001</v>
      </c>
      <c r="L238" s="1">
        <v>16.350000000000001</v>
      </c>
      <c r="M238" s="1">
        <v>0</v>
      </c>
      <c r="N238" s="1">
        <v>16.350000000000001</v>
      </c>
      <c r="O238" s="1">
        <v>1308</v>
      </c>
      <c r="P238" s="1">
        <v>1406.1</v>
      </c>
      <c r="Q238" s="1">
        <v>0</v>
      </c>
      <c r="R238" s="1">
        <v>1595.92</v>
      </c>
      <c r="S238" t="s">
        <v>12</v>
      </c>
      <c r="T238" s="13">
        <v>45879</v>
      </c>
      <c r="U238" s="1" t="str">
        <f>IF(ESTIMATIVA[[#This Row],[QT_AREA_REAL]]&gt;0,"1- Colhido","2- à Colher")</f>
        <v>1- Colhido</v>
      </c>
      <c r="V238" s="1" t="str">
        <f>IF(ESTIMATIVA[[#This Row],[QT_AREA_REST1]]&gt;0,"Reestimativa 1",IF(ESTIMATIVA[[#This Row],[QT_AREA_REAL]]=0,"Reestimativa 1","Realizado"))</f>
        <v>Reestimativa 1</v>
      </c>
      <c r="W238" s="1" t="str">
        <f>IF(ESTIMATIVA[[#This Row],[QT_AREA_REST2]]&gt;0,"Reestimativa 2",IF(ESTIMATIVA[[#This Row],[QT_AREA_REAL]]=0,"Reestimativa 2","Realizado"))</f>
        <v>Realizado</v>
      </c>
      <c r="X238" s="1">
        <f>ESTIMATIVA[[#This Row],[QT_AREA_EST]]</f>
        <v>16.350000000000001</v>
      </c>
      <c r="Y238" s="1">
        <f>IF(ESTIMATIVA[[#This Row],[QT_AREA_REST1]]&gt;0,ESTIMATIVA[[#This Row],[QT_AREA_REST1]],
  IF(ESTIMATIVA[[#This Row],[QT_AREA_REAL]]&gt;0,ESTIMATIVA[[#This Row],[QT_AREA_REAL]],ESTIMATIVA[[#This Row],[QT_AREA_EST]]))</f>
        <v>16.350000000000001</v>
      </c>
      <c r="Z23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16.350000000000001</v>
      </c>
      <c r="AA238" s="1">
        <f>ESTIMATIVA[[#This Row],[QT_CANA_EST]]</f>
        <v>1308</v>
      </c>
      <c r="AB238" s="1">
        <f>IF(ESTIMATIVA[[#This Row],[QT_CANA_REST1]]&gt;0,ESTIMATIVA[[#This Row],[QT_CANA_REST1]],
  IF(ESTIMATIVA[[#This Row],[QT_CANA_REAL]]&gt;0,ESTIMATIVA[[#This Row],[QT_CANA_REAL]],ESTIMATIVA[[#This Row],[QT_CANA_EST]]))</f>
        <v>1406.1</v>
      </c>
      <c r="AC23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1595.92</v>
      </c>
      <c r="AD238" s="1">
        <f>IF(ESTIMATIVA[[#This Row],[QT_AREA_REAL]]&gt;0,ESTIMATIVA[[#This Row],[QT_CANA_REAL]],ESTIMATIVA[[#This Row],[QT_CANA_EST]])</f>
        <v>1595.92</v>
      </c>
      <c r="AE238" s="1">
        <f>IF(ESTIMATIVA[[#This Row],[QT_AREA_REAL]]&gt;0,ESTIMATIVA[[#This Row],[QT_CANA_REAL]],ESTIMATIVA[[#This Row],[QT_CANA_REST1]])</f>
        <v>1595.92</v>
      </c>
      <c r="AF238" s="1">
        <f>IF(ESTIMATIVA[[#This Row],[QT_AREA_REAL]]&gt;0,ESTIMATIVA[[#This Row],[QT_CANA_REAL]],ESTIMATIVA[[#This Row],[QT_CANA_REST2]])</f>
        <v>1595.92</v>
      </c>
      <c r="AG238" s="1" t="str">
        <f>IF(COUNTIFS(GEADA!A:A,VALUE(ESTIMATIVA[[#This Row],[CD_UPNIVEL1]]&amp;TEXT(ESTIMATIVA[[#This Row],[CD_UPNIVEL3]],"0000")))&gt;0,"S","N")</f>
        <v>N</v>
      </c>
      <c r="AH23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38" s="55" t="str">
        <f>IF(ESTIMATIVA[[#This Row],[TP_CULTIVO]]="Irrigado",_xlfn.MAXIFS(IRRIGADO!J:J,IRRIGADO!C:C,ESTIMATIVA[[#This Row],[CD_UPNIVEL1]],IRRIGADO!E:E,ESTIMATIVA[[#This Row],[CD_UPNIVEL3]]),"")</f>
        <v/>
      </c>
      <c r="AJ23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38" s="1">
        <f>COUNTIFS(Apresentação!$E$23:$E$29,ESTIMATIVA[[#This Row],[CD_UPNIVEL1]])</f>
        <v>0</v>
      </c>
    </row>
    <row r="239" spans="1:37" x14ac:dyDescent="0.3">
      <c r="A239">
        <v>20305</v>
      </c>
      <c r="B239" t="s">
        <v>22</v>
      </c>
      <c r="C239">
        <v>416</v>
      </c>
      <c r="D239">
        <v>4</v>
      </c>
      <c r="E239" t="s">
        <v>265</v>
      </c>
      <c r="F239" s="85" t="s">
        <v>331</v>
      </c>
      <c r="G239"/>
      <c r="H239" t="s">
        <v>295</v>
      </c>
      <c r="I239" t="s">
        <v>197</v>
      </c>
      <c r="J239" t="s">
        <v>175</v>
      </c>
      <c r="K239" s="1">
        <v>27.2</v>
      </c>
      <c r="L239" s="1">
        <v>27.2</v>
      </c>
      <c r="M239" s="1">
        <v>0</v>
      </c>
      <c r="N239" s="1">
        <v>27.2</v>
      </c>
      <c r="O239" s="1">
        <v>2176</v>
      </c>
      <c r="P239" s="1">
        <v>2339.1999999999998</v>
      </c>
      <c r="Q239" s="1">
        <v>0</v>
      </c>
      <c r="R239" s="1">
        <v>2655.1</v>
      </c>
      <c r="S239" t="s">
        <v>12</v>
      </c>
      <c r="T239" s="13">
        <v>45879</v>
      </c>
      <c r="U239" s="1" t="str">
        <f>IF(ESTIMATIVA[[#This Row],[QT_AREA_REAL]]&gt;0,"1- Colhido","2- à Colher")</f>
        <v>1- Colhido</v>
      </c>
      <c r="V239" s="1" t="str">
        <f>IF(ESTIMATIVA[[#This Row],[QT_AREA_REST1]]&gt;0,"Reestimativa 1",IF(ESTIMATIVA[[#This Row],[QT_AREA_REAL]]=0,"Reestimativa 1","Realizado"))</f>
        <v>Reestimativa 1</v>
      </c>
      <c r="W239" s="1" t="str">
        <f>IF(ESTIMATIVA[[#This Row],[QT_AREA_REST2]]&gt;0,"Reestimativa 2",IF(ESTIMATIVA[[#This Row],[QT_AREA_REAL]]=0,"Reestimativa 2","Realizado"))</f>
        <v>Realizado</v>
      </c>
      <c r="X239" s="1">
        <f>ESTIMATIVA[[#This Row],[QT_AREA_EST]]</f>
        <v>27.2</v>
      </c>
      <c r="Y239" s="1">
        <f>IF(ESTIMATIVA[[#This Row],[QT_AREA_REST1]]&gt;0,ESTIMATIVA[[#This Row],[QT_AREA_REST1]],
  IF(ESTIMATIVA[[#This Row],[QT_AREA_REAL]]&gt;0,ESTIMATIVA[[#This Row],[QT_AREA_REAL]],ESTIMATIVA[[#This Row],[QT_AREA_EST]]))</f>
        <v>27.2</v>
      </c>
      <c r="Z23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27.2</v>
      </c>
      <c r="AA239" s="1">
        <f>ESTIMATIVA[[#This Row],[QT_CANA_EST]]</f>
        <v>2176</v>
      </c>
      <c r="AB239" s="1">
        <f>IF(ESTIMATIVA[[#This Row],[QT_CANA_REST1]]&gt;0,ESTIMATIVA[[#This Row],[QT_CANA_REST1]],
  IF(ESTIMATIVA[[#This Row],[QT_CANA_REAL]]&gt;0,ESTIMATIVA[[#This Row],[QT_CANA_REAL]],ESTIMATIVA[[#This Row],[QT_CANA_EST]]))</f>
        <v>2339.1999999999998</v>
      </c>
      <c r="AC23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2655.1</v>
      </c>
      <c r="AD239" s="1">
        <f>IF(ESTIMATIVA[[#This Row],[QT_AREA_REAL]]&gt;0,ESTIMATIVA[[#This Row],[QT_CANA_REAL]],ESTIMATIVA[[#This Row],[QT_CANA_EST]])</f>
        <v>2655.1</v>
      </c>
      <c r="AE239" s="1">
        <f>IF(ESTIMATIVA[[#This Row],[QT_AREA_REAL]]&gt;0,ESTIMATIVA[[#This Row],[QT_CANA_REAL]],ESTIMATIVA[[#This Row],[QT_CANA_REST1]])</f>
        <v>2655.1</v>
      </c>
      <c r="AF239" s="1">
        <f>IF(ESTIMATIVA[[#This Row],[QT_AREA_REAL]]&gt;0,ESTIMATIVA[[#This Row],[QT_CANA_REAL]],ESTIMATIVA[[#This Row],[QT_CANA_REST2]])</f>
        <v>2655.1</v>
      </c>
      <c r="AG239" s="1" t="str">
        <f>IF(COUNTIFS(GEADA!A:A,VALUE(ESTIMATIVA[[#This Row],[CD_UPNIVEL1]]&amp;TEXT(ESTIMATIVA[[#This Row],[CD_UPNIVEL3]],"0000")))&gt;0,"S","N")</f>
        <v>N</v>
      </c>
      <c r="AH23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39" s="55" t="str">
        <f>IF(ESTIMATIVA[[#This Row],[TP_CULTIVO]]="Irrigado",_xlfn.MAXIFS(IRRIGADO!J:J,IRRIGADO!C:C,ESTIMATIVA[[#This Row],[CD_UPNIVEL1]],IRRIGADO!E:E,ESTIMATIVA[[#This Row],[CD_UPNIVEL3]]),"")</f>
        <v/>
      </c>
      <c r="AJ23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39" s="1">
        <f>COUNTIFS(Apresentação!$E$23:$E$29,ESTIMATIVA[[#This Row],[CD_UPNIVEL1]])</f>
        <v>0</v>
      </c>
    </row>
    <row r="240" spans="1:37" x14ac:dyDescent="0.3">
      <c r="A240">
        <v>20305</v>
      </c>
      <c r="B240" t="s">
        <v>22</v>
      </c>
      <c r="C240">
        <v>417</v>
      </c>
      <c r="D240">
        <v>4</v>
      </c>
      <c r="E240" t="s">
        <v>265</v>
      </c>
      <c r="F240" s="85" t="s">
        <v>331</v>
      </c>
      <c r="G240"/>
      <c r="H240" t="s">
        <v>295</v>
      </c>
      <c r="I240" t="s">
        <v>197</v>
      </c>
      <c r="J240" t="s">
        <v>175</v>
      </c>
      <c r="K240" s="1">
        <v>45.43</v>
      </c>
      <c r="L240" s="1">
        <v>45.43</v>
      </c>
      <c r="M240" s="1">
        <v>0</v>
      </c>
      <c r="N240" s="1">
        <v>45.43</v>
      </c>
      <c r="O240" s="1">
        <v>3634.4</v>
      </c>
      <c r="P240" s="1">
        <v>3906.98</v>
      </c>
      <c r="Q240" s="1">
        <v>0</v>
      </c>
      <c r="R240" s="1">
        <v>4435.17</v>
      </c>
      <c r="S240" t="s">
        <v>12</v>
      </c>
      <c r="T240" s="13">
        <v>45879</v>
      </c>
      <c r="U240" s="1" t="str">
        <f>IF(ESTIMATIVA[[#This Row],[QT_AREA_REAL]]&gt;0,"1- Colhido","2- à Colher")</f>
        <v>1- Colhido</v>
      </c>
      <c r="V240" s="1" t="str">
        <f>IF(ESTIMATIVA[[#This Row],[QT_AREA_REST1]]&gt;0,"Reestimativa 1",IF(ESTIMATIVA[[#This Row],[QT_AREA_REAL]]=0,"Reestimativa 1","Realizado"))</f>
        <v>Reestimativa 1</v>
      </c>
      <c r="W240" s="1" t="str">
        <f>IF(ESTIMATIVA[[#This Row],[QT_AREA_REST2]]&gt;0,"Reestimativa 2",IF(ESTIMATIVA[[#This Row],[QT_AREA_REAL]]=0,"Reestimativa 2","Realizado"))</f>
        <v>Realizado</v>
      </c>
      <c r="X240" s="1">
        <f>ESTIMATIVA[[#This Row],[QT_AREA_EST]]</f>
        <v>45.43</v>
      </c>
      <c r="Y240" s="1">
        <f>IF(ESTIMATIVA[[#This Row],[QT_AREA_REST1]]&gt;0,ESTIMATIVA[[#This Row],[QT_AREA_REST1]],
  IF(ESTIMATIVA[[#This Row],[QT_AREA_REAL]]&gt;0,ESTIMATIVA[[#This Row],[QT_AREA_REAL]],ESTIMATIVA[[#This Row],[QT_AREA_EST]]))</f>
        <v>45.43</v>
      </c>
      <c r="Z24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45.43</v>
      </c>
      <c r="AA240" s="1">
        <f>ESTIMATIVA[[#This Row],[QT_CANA_EST]]</f>
        <v>3634.4</v>
      </c>
      <c r="AB240" s="1">
        <f>IF(ESTIMATIVA[[#This Row],[QT_CANA_REST1]]&gt;0,ESTIMATIVA[[#This Row],[QT_CANA_REST1]],
  IF(ESTIMATIVA[[#This Row],[QT_CANA_REAL]]&gt;0,ESTIMATIVA[[#This Row],[QT_CANA_REAL]],ESTIMATIVA[[#This Row],[QT_CANA_EST]]))</f>
        <v>3906.98</v>
      </c>
      <c r="AC24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4435.17</v>
      </c>
      <c r="AD240" s="1">
        <f>IF(ESTIMATIVA[[#This Row],[QT_AREA_REAL]]&gt;0,ESTIMATIVA[[#This Row],[QT_CANA_REAL]],ESTIMATIVA[[#This Row],[QT_CANA_EST]])</f>
        <v>4435.17</v>
      </c>
      <c r="AE240" s="1">
        <f>IF(ESTIMATIVA[[#This Row],[QT_AREA_REAL]]&gt;0,ESTIMATIVA[[#This Row],[QT_CANA_REAL]],ESTIMATIVA[[#This Row],[QT_CANA_REST1]])</f>
        <v>4435.17</v>
      </c>
      <c r="AF240" s="1">
        <f>IF(ESTIMATIVA[[#This Row],[QT_AREA_REAL]]&gt;0,ESTIMATIVA[[#This Row],[QT_CANA_REAL]],ESTIMATIVA[[#This Row],[QT_CANA_REST2]])</f>
        <v>4435.17</v>
      </c>
      <c r="AG240" s="1" t="str">
        <f>IF(COUNTIFS(GEADA!A:A,VALUE(ESTIMATIVA[[#This Row],[CD_UPNIVEL1]]&amp;TEXT(ESTIMATIVA[[#This Row],[CD_UPNIVEL3]],"0000")))&gt;0,"S","N")</f>
        <v>N</v>
      </c>
      <c r="AH24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40" s="55" t="str">
        <f>IF(ESTIMATIVA[[#This Row],[TP_CULTIVO]]="Irrigado",_xlfn.MAXIFS(IRRIGADO!J:J,IRRIGADO!C:C,ESTIMATIVA[[#This Row],[CD_UPNIVEL1]],IRRIGADO!E:E,ESTIMATIVA[[#This Row],[CD_UPNIVEL3]]),"")</f>
        <v/>
      </c>
      <c r="AJ24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40" s="1">
        <f>COUNTIFS(Apresentação!$E$23:$E$29,ESTIMATIVA[[#This Row],[CD_UPNIVEL1]])</f>
        <v>0</v>
      </c>
    </row>
    <row r="241" spans="1:37" x14ac:dyDescent="0.3">
      <c r="A241">
        <v>20305</v>
      </c>
      <c r="B241" t="s">
        <v>22</v>
      </c>
      <c r="C241">
        <v>418</v>
      </c>
      <c r="D241">
        <v>4</v>
      </c>
      <c r="E241" t="s">
        <v>265</v>
      </c>
      <c r="F241" s="85" t="s">
        <v>331</v>
      </c>
      <c r="G241"/>
      <c r="H241" t="s">
        <v>295</v>
      </c>
      <c r="I241" t="s">
        <v>197</v>
      </c>
      <c r="J241" t="s">
        <v>175</v>
      </c>
      <c r="K241" s="1">
        <v>32.68</v>
      </c>
      <c r="L241" s="1">
        <v>32.68</v>
      </c>
      <c r="M241" s="1">
        <v>0</v>
      </c>
      <c r="N241" s="1">
        <v>32.68</v>
      </c>
      <c r="O241" s="1">
        <v>2614.4</v>
      </c>
      <c r="P241" s="1">
        <v>2679.76</v>
      </c>
      <c r="Q241" s="1">
        <v>0</v>
      </c>
      <c r="R241" s="1">
        <v>3042.22</v>
      </c>
      <c r="S241" t="s">
        <v>12</v>
      </c>
      <c r="T241" s="13">
        <v>45879</v>
      </c>
      <c r="U241" s="1" t="str">
        <f>IF(ESTIMATIVA[[#This Row],[QT_AREA_REAL]]&gt;0,"1- Colhido","2- à Colher")</f>
        <v>1- Colhido</v>
      </c>
      <c r="V241" s="1" t="str">
        <f>IF(ESTIMATIVA[[#This Row],[QT_AREA_REST1]]&gt;0,"Reestimativa 1",IF(ESTIMATIVA[[#This Row],[QT_AREA_REAL]]=0,"Reestimativa 1","Realizado"))</f>
        <v>Reestimativa 1</v>
      </c>
      <c r="W241" s="1" t="str">
        <f>IF(ESTIMATIVA[[#This Row],[QT_AREA_REST2]]&gt;0,"Reestimativa 2",IF(ESTIMATIVA[[#This Row],[QT_AREA_REAL]]=0,"Reestimativa 2","Realizado"))</f>
        <v>Realizado</v>
      </c>
      <c r="X241" s="1">
        <f>ESTIMATIVA[[#This Row],[QT_AREA_EST]]</f>
        <v>32.68</v>
      </c>
      <c r="Y241" s="1">
        <f>IF(ESTIMATIVA[[#This Row],[QT_AREA_REST1]]&gt;0,ESTIMATIVA[[#This Row],[QT_AREA_REST1]],
  IF(ESTIMATIVA[[#This Row],[QT_AREA_REAL]]&gt;0,ESTIMATIVA[[#This Row],[QT_AREA_REAL]],ESTIMATIVA[[#This Row],[QT_AREA_EST]]))</f>
        <v>32.68</v>
      </c>
      <c r="Z24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32.68</v>
      </c>
      <c r="AA241" s="1">
        <f>ESTIMATIVA[[#This Row],[QT_CANA_EST]]</f>
        <v>2614.4</v>
      </c>
      <c r="AB241" s="1">
        <f>IF(ESTIMATIVA[[#This Row],[QT_CANA_REST1]]&gt;0,ESTIMATIVA[[#This Row],[QT_CANA_REST1]],
  IF(ESTIMATIVA[[#This Row],[QT_CANA_REAL]]&gt;0,ESTIMATIVA[[#This Row],[QT_CANA_REAL]],ESTIMATIVA[[#This Row],[QT_CANA_EST]]))</f>
        <v>2679.76</v>
      </c>
      <c r="AC24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3042.22</v>
      </c>
      <c r="AD241" s="1">
        <f>IF(ESTIMATIVA[[#This Row],[QT_AREA_REAL]]&gt;0,ESTIMATIVA[[#This Row],[QT_CANA_REAL]],ESTIMATIVA[[#This Row],[QT_CANA_EST]])</f>
        <v>3042.22</v>
      </c>
      <c r="AE241" s="1">
        <f>IF(ESTIMATIVA[[#This Row],[QT_AREA_REAL]]&gt;0,ESTIMATIVA[[#This Row],[QT_CANA_REAL]],ESTIMATIVA[[#This Row],[QT_CANA_REST1]])</f>
        <v>3042.22</v>
      </c>
      <c r="AF241" s="1">
        <f>IF(ESTIMATIVA[[#This Row],[QT_AREA_REAL]]&gt;0,ESTIMATIVA[[#This Row],[QT_CANA_REAL]],ESTIMATIVA[[#This Row],[QT_CANA_REST2]])</f>
        <v>3042.22</v>
      </c>
      <c r="AG241" s="1" t="str">
        <f>IF(COUNTIFS(GEADA!A:A,VALUE(ESTIMATIVA[[#This Row],[CD_UPNIVEL1]]&amp;TEXT(ESTIMATIVA[[#This Row],[CD_UPNIVEL3]],"0000")))&gt;0,"S","N")</f>
        <v>N</v>
      </c>
      <c r="AH24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41" s="55" t="str">
        <f>IF(ESTIMATIVA[[#This Row],[TP_CULTIVO]]="Irrigado",_xlfn.MAXIFS(IRRIGADO!J:J,IRRIGADO!C:C,ESTIMATIVA[[#This Row],[CD_UPNIVEL1]],IRRIGADO!E:E,ESTIMATIVA[[#This Row],[CD_UPNIVEL3]]),"")</f>
        <v/>
      </c>
      <c r="AJ24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41" s="1">
        <f>COUNTIFS(Apresentação!$E$23:$E$29,ESTIMATIVA[[#This Row],[CD_UPNIVEL1]])</f>
        <v>0</v>
      </c>
    </row>
    <row r="242" spans="1:37" x14ac:dyDescent="0.3">
      <c r="A242">
        <v>20305</v>
      </c>
      <c r="B242" t="s">
        <v>22</v>
      </c>
      <c r="C242">
        <v>419</v>
      </c>
      <c r="D242">
        <v>4</v>
      </c>
      <c r="E242" t="s">
        <v>265</v>
      </c>
      <c r="F242" s="85" t="s">
        <v>331</v>
      </c>
      <c r="G242"/>
      <c r="H242" t="s">
        <v>295</v>
      </c>
      <c r="I242" t="s">
        <v>197</v>
      </c>
      <c r="J242" t="s">
        <v>175</v>
      </c>
      <c r="K242" s="1">
        <v>36.909999999999997</v>
      </c>
      <c r="L242" s="1">
        <v>36.909999999999997</v>
      </c>
      <c r="M242" s="1">
        <v>0</v>
      </c>
      <c r="N242" s="1">
        <v>36.909999999999997</v>
      </c>
      <c r="O242" s="1">
        <v>2952.8</v>
      </c>
      <c r="P242" s="1">
        <v>3026.62</v>
      </c>
      <c r="Q242" s="1">
        <v>0</v>
      </c>
      <c r="R242" s="1">
        <v>3437.27</v>
      </c>
      <c r="S242" t="s">
        <v>12</v>
      </c>
      <c r="T242" s="13">
        <v>45879</v>
      </c>
      <c r="U242" s="1" t="str">
        <f>IF(ESTIMATIVA[[#This Row],[QT_AREA_REAL]]&gt;0,"1- Colhido","2- à Colher")</f>
        <v>1- Colhido</v>
      </c>
      <c r="V242" s="1" t="str">
        <f>IF(ESTIMATIVA[[#This Row],[QT_AREA_REST1]]&gt;0,"Reestimativa 1",IF(ESTIMATIVA[[#This Row],[QT_AREA_REAL]]=0,"Reestimativa 1","Realizado"))</f>
        <v>Reestimativa 1</v>
      </c>
      <c r="W242" s="1" t="str">
        <f>IF(ESTIMATIVA[[#This Row],[QT_AREA_REST2]]&gt;0,"Reestimativa 2",IF(ESTIMATIVA[[#This Row],[QT_AREA_REAL]]=0,"Reestimativa 2","Realizado"))</f>
        <v>Realizado</v>
      </c>
      <c r="X242" s="1">
        <f>ESTIMATIVA[[#This Row],[QT_AREA_EST]]</f>
        <v>36.909999999999997</v>
      </c>
      <c r="Y242" s="1">
        <f>IF(ESTIMATIVA[[#This Row],[QT_AREA_REST1]]&gt;0,ESTIMATIVA[[#This Row],[QT_AREA_REST1]],
  IF(ESTIMATIVA[[#This Row],[QT_AREA_REAL]]&gt;0,ESTIMATIVA[[#This Row],[QT_AREA_REAL]],ESTIMATIVA[[#This Row],[QT_AREA_EST]]))</f>
        <v>36.909999999999997</v>
      </c>
      <c r="Z24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36.909999999999997</v>
      </c>
      <c r="AA242" s="1">
        <f>ESTIMATIVA[[#This Row],[QT_CANA_EST]]</f>
        <v>2952.8</v>
      </c>
      <c r="AB242" s="1">
        <f>IF(ESTIMATIVA[[#This Row],[QT_CANA_REST1]]&gt;0,ESTIMATIVA[[#This Row],[QT_CANA_REST1]],
  IF(ESTIMATIVA[[#This Row],[QT_CANA_REAL]]&gt;0,ESTIMATIVA[[#This Row],[QT_CANA_REAL]],ESTIMATIVA[[#This Row],[QT_CANA_EST]]))</f>
        <v>3026.62</v>
      </c>
      <c r="AC24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3437.27</v>
      </c>
      <c r="AD242" s="1">
        <f>IF(ESTIMATIVA[[#This Row],[QT_AREA_REAL]]&gt;0,ESTIMATIVA[[#This Row],[QT_CANA_REAL]],ESTIMATIVA[[#This Row],[QT_CANA_EST]])</f>
        <v>3437.27</v>
      </c>
      <c r="AE242" s="1">
        <f>IF(ESTIMATIVA[[#This Row],[QT_AREA_REAL]]&gt;0,ESTIMATIVA[[#This Row],[QT_CANA_REAL]],ESTIMATIVA[[#This Row],[QT_CANA_REST1]])</f>
        <v>3437.27</v>
      </c>
      <c r="AF242" s="1">
        <f>IF(ESTIMATIVA[[#This Row],[QT_AREA_REAL]]&gt;0,ESTIMATIVA[[#This Row],[QT_CANA_REAL]],ESTIMATIVA[[#This Row],[QT_CANA_REST2]])</f>
        <v>3437.27</v>
      </c>
      <c r="AG242" s="1" t="str">
        <f>IF(COUNTIFS(GEADA!A:A,VALUE(ESTIMATIVA[[#This Row],[CD_UPNIVEL1]]&amp;TEXT(ESTIMATIVA[[#This Row],[CD_UPNIVEL3]],"0000")))&gt;0,"S","N")</f>
        <v>N</v>
      </c>
      <c r="AH24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42" s="55" t="str">
        <f>IF(ESTIMATIVA[[#This Row],[TP_CULTIVO]]="Irrigado",_xlfn.MAXIFS(IRRIGADO!J:J,IRRIGADO!C:C,ESTIMATIVA[[#This Row],[CD_UPNIVEL1]],IRRIGADO!E:E,ESTIMATIVA[[#This Row],[CD_UPNIVEL3]]),"")</f>
        <v/>
      </c>
      <c r="AJ24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42" s="1">
        <f>COUNTIFS(Apresentação!$E$23:$E$29,ESTIMATIVA[[#This Row],[CD_UPNIVEL1]])</f>
        <v>0</v>
      </c>
    </row>
    <row r="243" spans="1:37" x14ac:dyDescent="0.3">
      <c r="A243">
        <v>20305</v>
      </c>
      <c r="B243" t="s">
        <v>22</v>
      </c>
      <c r="C243">
        <v>420</v>
      </c>
      <c r="D243">
        <v>4</v>
      </c>
      <c r="E243" t="s">
        <v>265</v>
      </c>
      <c r="F243" s="85" t="s">
        <v>331</v>
      </c>
      <c r="G243"/>
      <c r="H243" t="s">
        <v>295</v>
      </c>
      <c r="I243" t="s">
        <v>197</v>
      </c>
      <c r="J243" t="s">
        <v>175</v>
      </c>
      <c r="K243" s="1">
        <v>30.76</v>
      </c>
      <c r="L243" s="1">
        <v>30.76</v>
      </c>
      <c r="M243" s="1">
        <v>0</v>
      </c>
      <c r="N243" s="1">
        <v>30.76</v>
      </c>
      <c r="O243" s="1">
        <v>2460.8000000000002</v>
      </c>
      <c r="P243" s="1">
        <v>2522.3200000000002</v>
      </c>
      <c r="Q243" s="1">
        <v>0</v>
      </c>
      <c r="R243" s="1">
        <v>2395.7600000000002</v>
      </c>
      <c r="S243" t="s">
        <v>12</v>
      </c>
      <c r="T243" s="13">
        <v>45858</v>
      </c>
      <c r="U243" s="1" t="str">
        <f>IF(ESTIMATIVA[[#This Row],[QT_AREA_REAL]]&gt;0,"1- Colhido","2- à Colher")</f>
        <v>1- Colhido</v>
      </c>
      <c r="V243" s="1" t="str">
        <f>IF(ESTIMATIVA[[#This Row],[QT_AREA_REST1]]&gt;0,"Reestimativa 1",IF(ESTIMATIVA[[#This Row],[QT_AREA_REAL]]=0,"Reestimativa 1","Realizado"))</f>
        <v>Reestimativa 1</v>
      </c>
      <c r="W243" s="1" t="str">
        <f>IF(ESTIMATIVA[[#This Row],[QT_AREA_REST2]]&gt;0,"Reestimativa 2",IF(ESTIMATIVA[[#This Row],[QT_AREA_REAL]]=0,"Reestimativa 2","Realizado"))</f>
        <v>Realizado</v>
      </c>
      <c r="X243" s="1">
        <f>ESTIMATIVA[[#This Row],[QT_AREA_EST]]</f>
        <v>30.76</v>
      </c>
      <c r="Y243" s="1">
        <f>IF(ESTIMATIVA[[#This Row],[QT_AREA_REST1]]&gt;0,ESTIMATIVA[[#This Row],[QT_AREA_REST1]],
  IF(ESTIMATIVA[[#This Row],[QT_AREA_REAL]]&gt;0,ESTIMATIVA[[#This Row],[QT_AREA_REAL]],ESTIMATIVA[[#This Row],[QT_AREA_EST]]))</f>
        <v>30.76</v>
      </c>
      <c r="Z24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30.76</v>
      </c>
      <c r="AA243" s="1">
        <f>ESTIMATIVA[[#This Row],[QT_CANA_EST]]</f>
        <v>2460.8000000000002</v>
      </c>
      <c r="AB243" s="1">
        <f>IF(ESTIMATIVA[[#This Row],[QT_CANA_REST1]]&gt;0,ESTIMATIVA[[#This Row],[QT_CANA_REST1]],
  IF(ESTIMATIVA[[#This Row],[QT_CANA_REAL]]&gt;0,ESTIMATIVA[[#This Row],[QT_CANA_REAL]],ESTIMATIVA[[#This Row],[QT_CANA_EST]]))</f>
        <v>2522.3200000000002</v>
      </c>
      <c r="AC24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2395.7600000000002</v>
      </c>
      <c r="AD243" s="1">
        <f>IF(ESTIMATIVA[[#This Row],[QT_AREA_REAL]]&gt;0,ESTIMATIVA[[#This Row],[QT_CANA_REAL]],ESTIMATIVA[[#This Row],[QT_CANA_EST]])</f>
        <v>2395.7600000000002</v>
      </c>
      <c r="AE243" s="1">
        <f>IF(ESTIMATIVA[[#This Row],[QT_AREA_REAL]]&gt;0,ESTIMATIVA[[#This Row],[QT_CANA_REAL]],ESTIMATIVA[[#This Row],[QT_CANA_REST1]])</f>
        <v>2395.7600000000002</v>
      </c>
      <c r="AF243" s="1">
        <f>IF(ESTIMATIVA[[#This Row],[QT_AREA_REAL]]&gt;0,ESTIMATIVA[[#This Row],[QT_CANA_REAL]],ESTIMATIVA[[#This Row],[QT_CANA_REST2]])</f>
        <v>2395.7600000000002</v>
      </c>
      <c r="AG243" s="1" t="str">
        <f>IF(COUNTIFS(GEADA!A:A,VALUE(ESTIMATIVA[[#This Row],[CD_UPNIVEL1]]&amp;TEXT(ESTIMATIVA[[#This Row],[CD_UPNIVEL3]],"0000")))&gt;0,"S","N")</f>
        <v>N</v>
      </c>
      <c r="AH24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43" s="55" t="str">
        <f>IF(ESTIMATIVA[[#This Row],[TP_CULTIVO]]="Irrigado",_xlfn.MAXIFS(IRRIGADO!J:J,IRRIGADO!C:C,ESTIMATIVA[[#This Row],[CD_UPNIVEL1]],IRRIGADO!E:E,ESTIMATIVA[[#This Row],[CD_UPNIVEL3]]),"")</f>
        <v/>
      </c>
      <c r="AJ24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43" s="1">
        <f>COUNTIFS(Apresentação!$E$23:$E$29,ESTIMATIVA[[#This Row],[CD_UPNIVEL1]])</f>
        <v>0</v>
      </c>
    </row>
    <row r="244" spans="1:37" x14ac:dyDescent="0.3">
      <c r="A244">
        <v>20305</v>
      </c>
      <c r="B244" t="s">
        <v>22</v>
      </c>
      <c r="C244">
        <v>421</v>
      </c>
      <c r="D244">
        <v>4</v>
      </c>
      <c r="E244" t="s">
        <v>265</v>
      </c>
      <c r="F244" s="85" t="s">
        <v>331</v>
      </c>
      <c r="G244"/>
      <c r="H244" t="s">
        <v>295</v>
      </c>
      <c r="I244" t="s">
        <v>197</v>
      </c>
      <c r="J244" t="s">
        <v>175</v>
      </c>
      <c r="K244" s="1">
        <v>28.99</v>
      </c>
      <c r="L244" s="1">
        <v>28.99</v>
      </c>
      <c r="M244" s="1">
        <v>0</v>
      </c>
      <c r="N244" s="1">
        <v>28.99</v>
      </c>
      <c r="O244" s="1">
        <v>2319.1999999999998</v>
      </c>
      <c r="P244" s="1">
        <v>2377.1799999999998</v>
      </c>
      <c r="Q244" s="1">
        <v>0</v>
      </c>
      <c r="R244" s="1">
        <v>2258.0100000000002</v>
      </c>
      <c r="S244" t="s">
        <v>12</v>
      </c>
      <c r="T244" s="13">
        <v>45858</v>
      </c>
      <c r="U244" s="1" t="str">
        <f>IF(ESTIMATIVA[[#This Row],[QT_AREA_REAL]]&gt;0,"1- Colhido","2- à Colher")</f>
        <v>1- Colhido</v>
      </c>
      <c r="V244" s="1" t="str">
        <f>IF(ESTIMATIVA[[#This Row],[QT_AREA_REST1]]&gt;0,"Reestimativa 1",IF(ESTIMATIVA[[#This Row],[QT_AREA_REAL]]=0,"Reestimativa 1","Realizado"))</f>
        <v>Reestimativa 1</v>
      </c>
      <c r="W244" s="1" t="str">
        <f>IF(ESTIMATIVA[[#This Row],[QT_AREA_REST2]]&gt;0,"Reestimativa 2",IF(ESTIMATIVA[[#This Row],[QT_AREA_REAL]]=0,"Reestimativa 2","Realizado"))</f>
        <v>Realizado</v>
      </c>
      <c r="X244" s="1">
        <f>ESTIMATIVA[[#This Row],[QT_AREA_EST]]</f>
        <v>28.99</v>
      </c>
      <c r="Y244" s="1">
        <f>IF(ESTIMATIVA[[#This Row],[QT_AREA_REST1]]&gt;0,ESTIMATIVA[[#This Row],[QT_AREA_REST1]],
  IF(ESTIMATIVA[[#This Row],[QT_AREA_REAL]]&gt;0,ESTIMATIVA[[#This Row],[QT_AREA_REAL]],ESTIMATIVA[[#This Row],[QT_AREA_EST]]))</f>
        <v>28.99</v>
      </c>
      <c r="Z24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28.99</v>
      </c>
      <c r="AA244" s="1">
        <f>ESTIMATIVA[[#This Row],[QT_CANA_EST]]</f>
        <v>2319.1999999999998</v>
      </c>
      <c r="AB244" s="1">
        <f>IF(ESTIMATIVA[[#This Row],[QT_CANA_REST1]]&gt;0,ESTIMATIVA[[#This Row],[QT_CANA_REST1]],
  IF(ESTIMATIVA[[#This Row],[QT_CANA_REAL]]&gt;0,ESTIMATIVA[[#This Row],[QT_CANA_REAL]],ESTIMATIVA[[#This Row],[QT_CANA_EST]]))</f>
        <v>2377.1799999999998</v>
      </c>
      <c r="AC24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2258.0100000000002</v>
      </c>
      <c r="AD244" s="1">
        <f>IF(ESTIMATIVA[[#This Row],[QT_AREA_REAL]]&gt;0,ESTIMATIVA[[#This Row],[QT_CANA_REAL]],ESTIMATIVA[[#This Row],[QT_CANA_EST]])</f>
        <v>2258.0100000000002</v>
      </c>
      <c r="AE244" s="1">
        <f>IF(ESTIMATIVA[[#This Row],[QT_AREA_REAL]]&gt;0,ESTIMATIVA[[#This Row],[QT_CANA_REAL]],ESTIMATIVA[[#This Row],[QT_CANA_REST1]])</f>
        <v>2258.0100000000002</v>
      </c>
      <c r="AF244" s="1">
        <f>IF(ESTIMATIVA[[#This Row],[QT_AREA_REAL]]&gt;0,ESTIMATIVA[[#This Row],[QT_CANA_REAL]],ESTIMATIVA[[#This Row],[QT_CANA_REST2]])</f>
        <v>2258.0100000000002</v>
      </c>
      <c r="AG244" s="1" t="str">
        <f>IF(COUNTIFS(GEADA!A:A,VALUE(ESTIMATIVA[[#This Row],[CD_UPNIVEL1]]&amp;TEXT(ESTIMATIVA[[#This Row],[CD_UPNIVEL3]],"0000")))&gt;0,"S","N")</f>
        <v>N</v>
      </c>
      <c r="AH24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44" s="55" t="str">
        <f>IF(ESTIMATIVA[[#This Row],[TP_CULTIVO]]="Irrigado",_xlfn.MAXIFS(IRRIGADO!J:J,IRRIGADO!C:C,ESTIMATIVA[[#This Row],[CD_UPNIVEL1]],IRRIGADO!E:E,ESTIMATIVA[[#This Row],[CD_UPNIVEL3]]),"")</f>
        <v/>
      </c>
      <c r="AJ24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44" s="1">
        <f>COUNTIFS(Apresentação!$E$23:$E$29,ESTIMATIVA[[#This Row],[CD_UPNIVEL1]])</f>
        <v>0</v>
      </c>
    </row>
    <row r="245" spans="1:37" x14ac:dyDescent="0.3">
      <c r="A245">
        <v>20305</v>
      </c>
      <c r="B245" t="s">
        <v>22</v>
      </c>
      <c r="C245">
        <v>422</v>
      </c>
      <c r="D245">
        <v>4</v>
      </c>
      <c r="E245" t="s">
        <v>265</v>
      </c>
      <c r="F245" s="85" t="s">
        <v>332</v>
      </c>
      <c r="G245"/>
      <c r="H245" t="s">
        <v>295</v>
      </c>
      <c r="I245" t="s">
        <v>197</v>
      </c>
      <c r="J245" t="s">
        <v>175</v>
      </c>
      <c r="K245" s="1">
        <v>28.36</v>
      </c>
      <c r="L245" s="1">
        <v>28.36</v>
      </c>
      <c r="M245" s="1">
        <v>0</v>
      </c>
      <c r="N245" s="1">
        <v>28.36</v>
      </c>
      <c r="O245" s="1">
        <v>2268.8000000000002</v>
      </c>
      <c r="P245" s="1">
        <v>2325.52</v>
      </c>
      <c r="Q245" s="1">
        <v>0</v>
      </c>
      <c r="R245" s="1">
        <v>2209.56</v>
      </c>
      <c r="S245" t="s">
        <v>12</v>
      </c>
      <c r="T245" s="13">
        <v>45858</v>
      </c>
      <c r="U245" s="1" t="str">
        <f>IF(ESTIMATIVA[[#This Row],[QT_AREA_REAL]]&gt;0,"1- Colhido","2- à Colher")</f>
        <v>1- Colhido</v>
      </c>
      <c r="V245" s="1" t="str">
        <f>IF(ESTIMATIVA[[#This Row],[QT_AREA_REST1]]&gt;0,"Reestimativa 1",IF(ESTIMATIVA[[#This Row],[QT_AREA_REAL]]=0,"Reestimativa 1","Realizado"))</f>
        <v>Reestimativa 1</v>
      </c>
      <c r="W245" s="1" t="str">
        <f>IF(ESTIMATIVA[[#This Row],[QT_AREA_REST2]]&gt;0,"Reestimativa 2",IF(ESTIMATIVA[[#This Row],[QT_AREA_REAL]]=0,"Reestimativa 2","Realizado"))</f>
        <v>Realizado</v>
      </c>
      <c r="X245" s="1">
        <f>ESTIMATIVA[[#This Row],[QT_AREA_EST]]</f>
        <v>28.36</v>
      </c>
      <c r="Y245" s="1">
        <f>IF(ESTIMATIVA[[#This Row],[QT_AREA_REST1]]&gt;0,ESTIMATIVA[[#This Row],[QT_AREA_REST1]],
  IF(ESTIMATIVA[[#This Row],[QT_AREA_REAL]]&gt;0,ESTIMATIVA[[#This Row],[QT_AREA_REAL]],ESTIMATIVA[[#This Row],[QT_AREA_EST]]))</f>
        <v>28.36</v>
      </c>
      <c r="Z24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28.36</v>
      </c>
      <c r="AA245" s="1">
        <f>ESTIMATIVA[[#This Row],[QT_CANA_EST]]</f>
        <v>2268.8000000000002</v>
      </c>
      <c r="AB245" s="1">
        <f>IF(ESTIMATIVA[[#This Row],[QT_CANA_REST1]]&gt;0,ESTIMATIVA[[#This Row],[QT_CANA_REST1]],
  IF(ESTIMATIVA[[#This Row],[QT_CANA_REAL]]&gt;0,ESTIMATIVA[[#This Row],[QT_CANA_REAL]],ESTIMATIVA[[#This Row],[QT_CANA_EST]]))</f>
        <v>2325.52</v>
      </c>
      <c r="AC24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2209.56</v>
      </c>
      <c r="AD245" s="1">
        <f>IF(ESTIMATIVA[[#This Row],[QT_AREA_REAL]]&gt;0,ESTIMATIVA[[#This Row],[QT_CANA_REAL]],ESTIMATIVA[[#This Row],[QT_CANA_EST]])</f>
        <v>2209.56</v>
      </c>
      <c r="AE245" s="1">
        <f>IF(ESTIMATIVA[[#This Row],[QT_AREA_REAL]]&gt;0,ESTIMATIVA[[#This Row],[QT_CANA_REAL]],ESTIMATIVA[[#This Row],[QT_CANA_REST1]])</f>
        <v>2209.56</v>
      </c>
      <c r="AF245" s="1">
        <f>IF(ESTIMATIVA[[#This Row],[QT_AREA_REAL]]&gt;0,ESTIMATIVA[[#This Row],[QT_CANA_REAL]],ESTIMATIVA[[#This Row],[QT_CANA_REST2]])</f>
        <v>2209.56</v>
      </c>
      <c r="AG245" s="1" t="str">
        <f>IF(COUNTIFS(GEADA!A:A,VALUE(ESTIMATIVA[[#This Row],[CD_UPNIVEL1]]&amp;TEXT(ESTIMATIVA[[#This Row],[CD_UPNIVEL3]],"0000")))&gt;0,"S","N")</f>
        <v>N</v>
      </c>
      <c r="AH24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45" s="55" t="str">
        <f>IF(ESTIMATIVA[[#This Row],[TP_CULTIVO]]="Irrigado",_xlfn.MAXIFS(IRRIGADO!J:J,IRRIGADO!C:C,ESTIMATIVA[[#This Row],[CD_UPNIVEL1]],IRRIGADO!E:E,ESTIMATIVA[[#This Row],[CD_UPNIVEL3]]),"")</f>
        <v/>
      </c>
      <c r="AJ24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45" s="1">
        <f>COUNTIFS(Apresentação!$E$23:$E$29,ESTIMATIVA[[#This Row],[CD_UPNIVEL1]])</f>
        <v>0</v>
      </c>
    </row>
    <row r="246" spans="1:37" x14ac:dyDescent="0.3">
      <c r="A246">
        <v>20305</v>
      </c>
      <c r="B246" t="s">
        <v>22</v>
      </c>
      <c r="C246">
        <v>423</v>
      </c>
      <c r="D246">
        <v>4</v>
      </c>
      <c r="E246" t="s">
        <v>265</v>
      </c>
      <c r="F246" s="85" t="s">
        <v>331</v>
      </c>
      <c r="G246"/>
      <c r="H246" t="s">
        <v>295</v>
      </c>
      <c r="I246" t="s">
        <v>197</v>
      </c>
      <c r="J246" t="s">
        <v>175</v>
      </c>
      <c r="K246" s="1">
        <v>23.39</v>
      </c>
      <c r="L246" s="1">
        <v>0</v>
      </c>
      <c r="M246" s="1">
        <v>0</v>
      </c>
      <c r="N246" s="1">
        <v>23.39</v>
      </c>
      <c r="O246" s="1">
        <v>1871.2</v>
      </c>
      <c r="P246" s="1">
        <v>0</v>
      </c>
      <c r="Q246" s="1">
        <v>0</v>
      </c>
      <c r="R246" s="1">
        <v>2081.81</v>
      </c>
      <c r="S246" t="s">
        <v>12</v>
      </c>
      <c r="T246" s="13">
        <v>45858</v>
      </c>
      <c r="U246" s="1" t="str">
        <f>IF(ESTIMATIVA[[#This Row],[QT_AREA_REAL]]&gt;0,"1- Colhido","2- à Colher")</f>
        <v>1- Colhido</v>
      </c>
      <c r="V246" s="1" t="str">
        <f>IF(ESTIMATIVA[[#This Row],[QT_AREA_REST1]]&gt;0,"Reestimativa 1",IF(ESTIMATIVA[[#This Row],[QT_AREA_REAL]]=0,"Reestimativa 1","Realizado"))</f>
        <v>Realizado</v>
      </c>
      <c r="W246" s="1" t="str">
        <f>IF(ESTIMATIVA[[#This Row],[QT_AREA_REST2]]&gt;0,"Reestimativa 2",IF(ESTIMATIVA[[#This Row],[QT_AREA_REAL]]=0,"Reestimativa 2","Realizado"))</f>
        <v>Realizado</v>
      </c>
      <c r="X246" s="1">
        <f>ESTIMATIVA[[#This Row],[QT_AREA_EST]]</f>
        <v>23.39</v>
      </c>
      <c r="Y246" s="1">
        <f>IF(ESTIMATIVA[[#This Row],[QT_AREA_REST1]]&gt;0,ESTIMATIVA[[#This Row],[QT_AREA_REST1]],
  IF(ESTIMATIVA[[#This Row],[QT_AREA_REAL]]&gt;0,ESTIMATIVA[[#This Row],[QT_AREA_REAL]],ESTIMATIVA[[#This Row],[QT_AREA_EST]]))</f>
        <v>23.39</v>
      </c>
      <c r="Z24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23.39</v>
      </c>
      <c r="AA246" s="1">
        <f>ESTIMATIVA[[#This Row],[QT_CANA_EST]]</f>
        <v>1871.2</v>
      </c>
      <c r="AB246" s="1">
        <f>IF(ESTIMATIVA[[#This Row],[QT_CANA_REST1]]&gt;0,ESTIMATIVA[[#This Row],[QT_CANA_REST1]],
  IF(ESTIMATIVA[[#This Row],[QT_CANA_REAL]]&gt;0,ESTIMATIVA[[#This Row],[QT_CANA_REAL]],ESTIMATIVA[[#This Row],[QT_CANA_EST]]))</f>
        <v>2081.81</v>
      </c>
      <c r="AC24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2081.81</v>
      </c>
      <c r="AD246" s="1">
        <f>IF(ESTIMATIVA[[#This Row],[QT_AREA_REAL]]&gt;0,ESTIMATIVA[[#This Row],[QT_CANA_REAL]],ESTIMATIVA[[#This Row],[QT_CANA_EST]])</f>
        <v>2081.81</v>
      </c>
      <c r="AE246" s="1">
        <f>IF(ESTIMATIVA[[#This Row],[QT_AREA_REAL]]&gt;0,ESTIMATIVA[[#This Row],[QT_CANA_REAL]],ESTIMATIVA[[#This Row],[QT_CANA_REST1]])</f>
        <v>2081.81</v>
      </c>
      <c r="AF246" s="1">
        <f>IF(ESTIMATIVA[[#This Row],[QT_AREA_REAL]]&gt;0,ESTIMATIVA[[#This Row],[QT_CANA_REAL]],ESTIMATIVA[[#This Row],[QT_CANA_REST2]])</f>
        <v>2081.81</v>
      </c>
      <c r="AG246" s="1" t="str">
        <f>IF(COUNTIFS(GEADA!A:A,VALUE(ESTIMATIVA[[#This Row],[CD_UPNIVEL1]]&amp;TEXT(ESTIMATIVA[[#This Row],[CD_UPNIVEL3]],"0000")))&gt;0,"S","N")</f>
        <v>N</v>
      </c>
      <c r="AH24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46" s="55" t="str">
        <f>IF(ESTIMATIVA[[#This Row],[TP_CULTIVO]]="Irrigado",_xlfn.MAXIFS(IRRIGADO!J:J,IRRIGADO!C:C,ESTIMATIVA[[#This Row],[CD_UPNIVEL1]],IRRIGADO!E:E,ESTIMATIVA[[#This Row],[CD_UPNIVEL3]]),"")</f>
        <v/>
      </c>
      <c r="AJ24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46" s="1">
        <f>COUNTIFS(Apresentação!$E$23:$E$29,ESTIMATIVA[[#This Row],[CD_UPNIVEL1]])</f>
        <v>0</v>
      </c>
    </row>
    <row r="247" spans="1:37" x14ac:dyDescent="0.3">
      <c r="A247">
        <v>20305</v>
      </c>
      <c r="B247" t="s">
        <v>22</v>
      </c>
      <c r="C247">
        <v>424</v>
      </c>
      <c r="D247">
        <v>4</v>
      </c>
      <c r="E247" t="s">
        <v>265</v>
      </c>
      <c r="F247" s="85" t="s">
        <v>331</v>
      </c>
      <c r="G247"/>
      <c r="H247" t="s">
        <v>295</v>
      </c>
      <c r="I247" t="s">
        <v>197</v>
      </c>
      <c r="J247" t="s">
        <v>175</v>
      </c>
      <c r="K247" s="1">
        <v>36.380000000000003</v>
      </c>
      <c r="L247" s="1">
        <v>36.380000000000003</v>
      </c>
      <c r="M247" s="1">
        <v>0</v>
      </c>
      <c r="N247" s="1">
        <v>36.380000000000003</v>
      </c>
      <c r="O247" s="1">
        <v>2910.4</v>
      </c>
      <c r="P247" s="1">
        <v>2983.16</v>
      </c>
      <c r="Q247" s="1">
        <v>0</v>
      </c>
      <c r="R247" s="1">
        <v>2834.52</v>
      </c>
      <c r="S247" t="s">
        <v>12</v>
      </c>
      <c r="T247" s="13">
        <v>45858</v>
      </c>
      <c r="U247" s="1" t="str">
        <f>IF(ESTIMATIVA[[#This Row],[QT_AREA_REAL]]&gt;0,"1- Colhido","2- à Colher")</f>
        <v>1- Colhido</v>
      </c>
      <c r="V247" s="1" t="str">
        <f>IF(ESTIMATIVA[[#This Row],[QT_AREA_REST1]]&gt;0,"Reestimativa 1",IF(ESTIMATIVA[[#This Row],[QT_AREA_REAL]]=0,"Reestimativa 1","Realizado"))</f>
        <v>Reestimativa 1</v>
      </c>
      <c r="W247" s="1" t="str">
        <f>IF(ESTIMATIVA[[#This Row],[QT_AREA_REST2]]&gt;0,"Reestimativa 2",IF(ESTIMATIVA[[#This Row],[QT_AREA_REAL]]=0,"Reestimativa 2","Realizado"))</f>
        <v>Realizado</v>
      </c>
      <c r="X247" s="1">
        <f>ESTIMATIVA[[#This Row],[QT_AREA_EST]]</f>
        <v>36.380000000000003</v>
      </c>
      <c r="Y247" s="1">
        <f>IF(ESTIMATIVA[[#This Row],[QT_AREA_REST1]]&gt;0,ESTIMATIVA[[#This Row],[QT_AREA_REST1]],
  IF(ESTIMATIVA[[#This Row],[QT_AREA_REAL]]&gt;0,ESTIMATIVA[[#This Row],[QT_AREA_REAL]],ESTIMATIVA[[#This Row],[QT_AREA_EST]]))</f>
        <v>36.380000000000003</v>
      </c>
      <c r="Z24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36.380000000000003</v>
      </c>
      <c r="AA247" s="1">
        <f>ESTIMATIVA[[#This Row],[QT_CANA_EST]]</f>
        <v>2910.4</v>
      </c>
      <c r="AB247" s="1">
        <f>IF(ESTIMATIVA[[#This Row],[QT_CANA_REST1]]&gt;0,ESTIMATIVA[[#This Row],[QT_CANA_REST1]],
  IF(ESTIMATIVA[[#This Row],[QT_CANA_REAL]]&gt;0,ESTIMATIVA[[#This Row],[QT_CANA_REAL]],ESTIMATIVA[[#This Row],[QT_CANA_EST]]))</f>
        <v>2983.16</v>
      </c>
      <c r="AC24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2834.52</v>
      </c>
      <c r="AD247" s="1">
        <f>IF(ESTIMATIVA[[#This Row],[QT_AREA_REAL]]&gt;0,ESTIMATIVA[[#This Row],[QT_CANA_REAL]],ESTIMATIVA[[#This Row],[QT_CANA_EST]])</f>
        <v>2834.52</v>
      </c>
      <c r="AE247" s="1">
        <f>IF(ESTIMATIVA[[#This Row],[QT_AREA_REAL]]&gt;0,ESTIMATIVA[[#This Row],[QT_CANA_REAL]],ESTIMATIVA[[#This Row],[QT_CANA_REST1]])</f>
        <v>2834.52</v>
      </c>
      <c r="AF247" s="1">
        <f>IF(ESTIMATIVA[[#This Row],[QT_AREA_REAL]]&gt;0,ESTIMATIVA[[#This Row],[QT_CANA_REAL]],ESTIMATIVA[[#This Row],[QT_CANA_REST2]])</f>
        <v>2834.52</v>
      </c>
      <c r="AG247" s="1" t="str">
        <f>IF(COUNTIFS(GEADA!A:A,VALUE(ESTIMATIVA[[#This Row],[CD_UPNIVEL1]]&amp;TEXT(ESTIMATIVA[[#This Row],[CD_UPNIVEL3]],"0000")))&gt;0,"S","N")</f>
        <v>N</v>
      </c>
      <c r="AH24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47" s="55" t="str">
        <f>IF(ESTIMATIVA[[#This Row],[TP_CULTIVO]]="Irrigado",_xlfn.MAXIFS(IRRIGADO!J:J,IRRIGADO!C:C,ESTIMATIVA[[#This Row],[CD_UPNIVEL1]],IRRIGADO!E:E,ESTIMATIVA[[#This Row],[CD_UPNIVEL3]]),"")</f>
        <v/>
      </c>
      <c r="AJ24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47" s="1">
        <f>COUNTIFS(Apresentação!$E$23:$E$29,ESTIMATIVA[[#This Row],[CD_UPNIVEL1]])</f>
        <v>0</v>
      </c>
    </row>
    <row r="248" spans="1:37" x14ac:dyDescent="0.3">
      <c r="A248">
        <v>20305</v>
      </c>
      <c r="B248" t="s">
        <v>22</v>
      </c>
      <c r="C248">
        <v>425</v>
      </c>
      <c r="D248">
        <v>4</v>
      </c>
      <c r="E248" t="s">
        <v>265</v>
      </c>
      <c r="F248" s="85" t="s">
        <v>331</v>
      </c>
      <c r="G248"/>
      <c r="H248" t="s">
        <v>295</v>
      </c>
      <c r="I248" t="s">
        <v>197</v>
      </c>
      <c r="J248" t="s">
        <v>175</v>
      </c>
      <c r="K248" s="1">
        <v>9.8699999999999992</v>
      </c>
      <c r="L248" s="1">
        <v>0</v>
      </c>
      <c r="M248" s="1">
        <v>0</v>
      </c>
      <c r="N248" s="1">
        <v>9.8699999999999992</v>
      </c>
      <c r="O248" s="1">
        <v>789.6</v>
      </c>
      <c r="P248" s="1">
        <v>0</v>
      </c>
      <c r="Q248" s="1">
        <v>0</v>
      </c>
      <c r="R248" s="1">
        <v>841.79</v>
      </c>
      <c r="S248" t="s">
        <v>12</v>
      </c>
      <c r="T248" s="13">
        <v>45851</v>
      </c>
      <c r="U248" s="1" t="str">
        <f>IF(ESTIMATIVA[[#This Row],[QT_AREA_REAL]]&gt;0,"1- Colhido","2- à Colher")</f>
        <v>1- Colhido</v>
      </c>
      <c r="V248" s="1" t="str">
        <f>IF(ESTIMATIVA[[#This Row],[QT_AREA_REST1]]&gt;0,"Reestimativa 1",IF(ESTIMATIVA[[#This Row],[QT_AREA_REAL]]=0,"Reestimativa 1","Realizado"))</f>
        <v>Realizado</v>
      </c>
      <c r="W248" s="1" t="str">
        <f>IF(ESTIMATIVA[[#This Row],[QT_AREA_REST2]]&gt;0,"Reestimativa 2",IF(ESTIMATIVA[[#This Row],[QT_AREA_REAL]]=0,"Reestimativa 2","Realizado"))</f>
        <v>Realizado</v>
      </c>
      <c r="X248" s="1">
        <f>ESTIMATIVA[[#This Row],[QT_AREA_EST]]</f>
        <v>9.8699999999999992</v>
      </c>
      <c r="Y248" s="1">
        <f>IF(ESTIMATIVA[[#This Row],[QT_AREA_REST1]]&gt;0,ESTIMATIVA[[#This Row],[QT_AREA_REST1]],
  IF(ESTIMATIVA[[#This Row],[QT_AREA_REAL]]&gt;0,ESTIMATIVA[[#This Row],[QT_AREA_REAL]],ESTIMATIVA[[#This Row],[QT_AREA_EST]]))</f>
        <v>9.8699999999999992</v>
      </c>
      <c r="Z24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9.8699999999999992</v>
      </c>
      <c r="AA248" s="1">
        <f>ESTIMATIVA[[#This Row],[QT_CANA_EST]]</f>
        <v>789.6</v>
      </c>
      <c r="AB248" s="1">
        <f>IF(ESTIMATIVA[[#This Row],[QT_CANA_REST1]]&gt;0,ESTIMATIVA[[#This Row],[QT_CANA_REST1]],
  IF(ESTIMATIVA[[#This Row],[QT_CANA_REAL]]&gt;0,ESTIMATIVA[[#This Row],[QT_CANA_REAL]],ESTIMATIVA[[#This Row],[QT_CANA_EST]]))</f>
        <v>841.79</v>
      </c>
      <c r="AC24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841.79</v>
      </c>
      <c r="AD248" s="1">
        <f>IF(ESTIMATIVA[[#This Row],[QT_AREA_REAL]]&gt;0,ESTIMATIVA[[#This Row],[QT_CANA_REAL]],ESTIMATIVA[[#This Row],[QT_CANA_EST]])</f>
        <v>841.79</v>
      </c>
      <c r="AE248" s="1">
        <f>IF(ESTIMATIVA[[#This Row],[QT_AREA_REAL]]&gt;0,ESTIMATIVA[[#This Row],[QT_CANA_REAL]],ESTIMATIVA[[#This Row],[QT_CANA_REST1]])</f>
        <v>841.79</v>
      </c>
      <c r="AF248" s="1">
        <f>IF(ESTIMATIVA[[#This Row],[QT_AREA_REAL]]&gt;0,ESTIMATIVA[[#This Row],[QT_CANA_REAL]],ESTIMATIVA[[#This Row],[QT_CANA_REST2]])</f>
        <v>841.79</v>
      </c>
      <c r="AG248" s="1" t="str">
        <f>IF(COUNTIFS(GEADA!A:A,VALUE(ESTIMATIVA[[#This Row],[CD_UPNIVEL1]]&amp;TEXT(ESTIMATIVA[[#This Row],[CD_UPNIVEL3]],"0000")))&gt;0,"S","N")</f>
        <v>N</v>
      </c>
      <c r="AH24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48" s="55" t="str">
        <f>IF(ESTIMATIVA[[#This Row],[TP_CULTIVO]]="Irrigado",_xlfn.MAXIFS(IRRIGADO!J:J,IRRIGADO!C:C,ESTIMATIVA[[#This Row],[CD_UPNIVEL1]],IRRIGADO!E:E,ESTIMATIVA[[#This Row],[CD_UPNIVEL3]]),"")</f>
        <v/>
      </c>
      <c r="AJ24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48" s="1">
        <f>COUNTIFS(Apresentação!$E$23:$E$29,ESTIMATIVA[[#This Row],[CD_UPNIVEL1]])</f>
        <v>0</v>
      </c>
    </row>
    <row r="249" spans="1:37" x14ac:dyDescent="0.3">
      <c r="A249">
        <v>20305</v>
      </c>
      <c r="B249" t="s">
        <v>22</v>
      </c>
      <c r="C249">
        <v>426</v>
      </c>
      <c r="D249">
        <v>4</v>
      </c>
      <c r="E249" t="s">
        <v>265</v>
      </c>
      <c r="F249" s="85" t="s">
        <v>331</v>
      </c>
      <c r="G249"/>
      <c r="H249" t="s">
        <v>295</v>
      </c>
      <c r="I249" t="s">
        <v>197</v>
      </c>
      <c r="J249" t="s">
        <v>175</v>
      </c>
      <c r="K249" s="1">
        <v>24.74</v>
      </c>
      <c r="L249" s="1">
        <v>0</v>
      </c>
      <c r="M249" s="1">
        <v>0</v>
      </c>
      <c r="N249" s="1">
        <v>24.74</v>
      </c>
      <c r="O249" s="1">
        <v>1979.2</v>
      </c>
      <c r="P249" s="1">
        <v>0</v>
      </c>
      <c r="Q249" s="1">
        <v>0</v>
      </c>
      <c r="R249" s="1">
        <v>2109.4899999999998</v>
      </c>
      <c r="S249" t="s">
        <v>12</v>
      </c>
      <c r="T249" s="13">
        <v>45851</v>
      </c>
      <c r="U249" s="1" t="str">
        <f>IF(ESTIMATIVA[[#This Row],[QT_AREA_REAL]]&gt;0,"1- Colhido","2- à Colher")</f>
        <v>1- Colhido</v>
      </c>
      <c r="V249" s="1" t="str">
        <f>IF(ESTIMATIVA[[#This Row],[QT_AREA_REST1]]&gt;0,"Reestimativa 1",IF(ESTIMATIVA[[#This Row],[QT_AREA_REAL]]=0,"Reestimativa 1","Realizado"))</f>
        <v>Realizado</v>
      </c>
      <c r="W249" s="1" t="str">
        <f>IF(ESTIMATIVA[[#This Row],[QT_AREA_REST2]]&gt;0,"Reestimativa 2",IF(ESTIMATIVA[[#This Row],[QT_AREA_REAL]]=0,"Reestimativa 2","Realizado"))</f>
        <v>Realizado</v>
      </c>
      <c r="X249" s="1">
        <f>ESTIMATIVA[[#This Row],[QT_AREA_EST]]</f>
        <v>24.74</v>
      </c>
      <c r="Y249" s="1">
        <f>IF(ESTIMATIVA[[#This Row],[QT_AREA_REST1]]&gt;0,ESTIMATIVA[[#This Row],[QT_AREA_REST1]],
  IF(ESTIMATIVA[[#This Row],[QT_AREA_REAL]]&gt;0,ESTIMATIVA[[#This Row],[QT_AREA_REAL]],ESTIMATIVA[[#This Row],[QT_AREA_EST]]))</f>
        <v>24.74</v>
      </c>
      <c r="Z24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24.74</v>
      </c>
      <c r="AA249" s="1">
        <f>ESTIMATIVA[[#This Row],[QT_CANA_EST]]</f>
        <v>1979.2</v>
      </c>
      <c r="AB249" s="1">
        <f>IF(ESTIMATIVA[[#This Row],[QT_CANA_REST1]]&gt;0,ESTIMATIVA[[#This Row],[QT_CANA_REST1]],
  IF(ESTIMATIVA[[#This Row],[QT_CANA_REAL]]&gt;0,ESTIMATIVA[[#This Row],[QT_CANA_REAL]],ESTIMATIVA[[#This Row],[QT_CANA_EST]]))</f>
        <v>2109.4899999999998</v>
      </c>
      <c r="AC24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2109.4899999999998</v>
      </c>
      <c r="AD249" s="1">
        <f>IF(ESTIMATIVA[[#This Row],[QT_AREA_REAL]]&gt;0,ESTIMATIVA[[#This Row],[QT_CANA_REAL]],ESTIMATIVA[[#This Row],[QT_CANA_EST]])</f>
        <v>2109.4899999999998</v>
      </c>
      <c r="AE249" s="1">
        <f>IF(ESTIMATIVA[[#This Row],[QT_AREA_REAL]]&gt;0,ESTIMATIVA[[#This Row],[QT_CANA_REAL]],ESTIMATIVA[[#This Row],[QT_CANA_REST1]])</f>
        <v>2109.4899999999998</v>
      </c>
      <c r="AF249" s="1">
        <f>IF(ESTIMATIVA[[#This Row],[QT_AREA_REAL]]&gt;0,ESTIMATIVA[[#This Row],[QT_CANA_REAL]],ESTIMATIVA[[#This Row],[QT_CANA_REST2]])</f>
        <v>2109.4899999999998</v>
      </c>
      <c r="AG249" s="1" t="str">
        <f>IF(COUNTIFS(GEADA!A:A,VALUE(ESTIMATIVA[[#This Row],[CD_UPNIVEL1]]&amp;TEXT(ESTIMATIVA[[#This Row],[CD_UPNIVEL3]],"0000")))&gt;0,"S","N")</f>
        <v>N</v>
      </c>
      <c r="AH24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49" s="55" t="str">
        <f>IF(ESTIMATIVA[[#This Row],[TP_CULTIVO]]="Irrigado",_xlfn.MAXIFS(IRRIGADO!J:J,IRRIGADO!C:C,ESTIMATIVA[[#This Row],[CD_UPNIVEL1]],IRRIGADO!E:E,ESTIMATIVA[[#This Row],[CD_UPNIVEL3]]),"")</f>
        <v/>
      </c>
      <c r="AJ24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49" s="1">
        <f>COUNTIFS(Apresentação!$E$23:$E$29,ESTIMATIVA[[#This Row],[CD_UPNIVEL1]])</f>
        <v>0</v>
      </c>
    </row>
    <row r="250" spans="1:37" x14ac:dyDescent="0.3">
      <c r="A250">
        <v>20305</v>
      </c>
      <c r="B250" t="s">
        <v>22</v>
      </c>
      <c r="C250">
        <v>427</v>
      </c>
      <c r="D250">
        <v>4</v>
      </c>
      <c r="E250" t="s">
        <v>265</v>
      </c>
      <c r="F250" s="85" t="s">
        <v>331</v>
      </c>
      <c r="G250"/>
      <c r="H250" t="s">
        <v>295</v>
      </c>
      <c r="I250" t="s">
        <v>197</v>
      </c>
      <c r="J250" t="s">
        <v>175</v>
      </c>
      <c r="K250" s="1">
        <v>10.14</v>
      </c>
      <c r="L250" s="1">
        <v>0</v>
      </c>
      <c r="M250" s="1">
        <v>0</v>
      </c>
      <c r="N250" s="1">
        <v>10.14</v>
      </c>
      <c r="O250" s="1">
        <v>861.9</v>
      </c>
      <c r="P250" s="1">
        <v>0</v>
      </c>
      <c r="Q250" s="1">
        <v>0</v>
      </c>
      <c r="R250" s="1">
        <v>884.94</v>
      </c>
      <c r="S250" t="s">
        <v>12</v>
      </c>
      <c r="T250" s="13">
        <v>45760</v>
      </c>
      <c r="U250" s="1" t="str">
        <f>IF(ESTIMATIVA[[#This Row],[QT_AREA_REAL]]&gt;0,"1- Colhido","2- à Colher")</f>
        <v>1- Colhido</v>
      </c>
      <c r="V250" s="1" t="str">
        <f>IF(ESTIMATIVA[[#This Row],[QT_AREA_REST1]]&gt;0,"Reestimativa 1",IF(ESTIMATIVA[[#This Row],[QT_AREA_REAL]]=0,"Reestimativa 1","Realizado"))</f>
        <v>Realizado</v>
      </c>
      <c r="W250" s="1" t="str">
        <f>IF(ESTIMATIVA[[#This Row],[QT_AREA_REST2]]&gt;0,"Reestimativa 2",IF(ESTIMATIVA[[#This Row],[QT_AREA_REAL]]=0,"Reestimativa 2","Realizado"))</f>
        <v>Realizado</v>
      </c>
      <c r="X250" s="1">
        <f>ESTIMATIVA[[#This Row],[QT_AREA_EST]]</f>
        <v>10.14</v>
      </c>
      <c r="Y250" s="1">
        <f>IF(ESTIMATIVA[[#This Row],[QT_AREA_REST1]]&gt;0,ESTIMATIVA[[#This Row],[QT_AREA_REST1]],
  IF(ESTIMATIVA[[#This Row],[QT_AREA_REAL]]&gt;0,ESTIMATIVA[[#This Row],[QT_AREA_REAL]],ESTIMATIVA[[#This Row],[QT_AREA_EST]]))</f>
        <v>10.14</v>
      </c>
      <c r="Z25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10.14</v>
      </c>
      <c r="AA250" s="1">
        <f>ESTIMATIVA[[#This Row],[QT_CANA_EST]]</f>
        <v>861.9</v>
      </c>
      <c r="AB250" s="1">
        <f>IF(ESTIMATIVA[[#This Row],[QT_CANA_REST1]]&gt;0,ESTIMATIVA[[#This Row],[QT_CANA_REST1]],
  IF(ESTIMATIVA[[#This Row],[QT_CANA_REAL]]&gt;0,ESTIMATIVA[[#This Row],[QT_CANA_REAL]],ESTIMATIVA[[#This Row],[QT_CANA_EST]]))</f>
        <v>884.94</v>
      </c>
      <c r="AC25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884.94</v>
      </c>
      <c r="AD250" s="1">
        <f>IF(ESTIMATIVA[[#This Row],[QT_AREA_REAL]]&gt;0,ESTIMATIVA[[#This Row],[QT_CANA_REAL]],ESTIMATIVA[[#This Row],[QT_CANA_EST]])</f>
        <v>884.94</v>
      </c>
      <c r="AE250" s="1">
        <f>IF(ESTIMATIVA[[#This Row],[QT_AREA_REAL]]&gt;0,ESTIMATIVA[[#This Row],[QT_CANA_REAL]],ESTIMATIVA[[#This Row],[QT_CANA_REST1]])</f>
        <v>884.94</v>
      </c>
      <c r="AF250" s="1">
        <f>IF(ESTIMATIVA[[#This Row],[QT_AREA_REAL]]&gt;0,ESTIMATIVA[[#This Row],[QT_CANA_REAL]],ESTIMATIVA[[#This Row],[QT_CANA_REST2]])</f>
        <v>884.94</v>
      </c>
      <c r="AG250" s="1" t="str">
        <f>IF(COUNTIFS(GEADA!A:A,VALUE(ESTIMATIVA[[#This Row],[CD_UPNIVEL1]]&amp;TEXT(ESTIMATIVA[[#This Row],[CD_UPNIVEL3]],"0000")))&gt;0,"S","N")</f>
        <v>N</v>
      </c>
      <c r="AH25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50" s="55" t="str">
        <f>IF(ESTIMATIVA[[#This Row],[TP_CULTIVO]]="Irrigado",_xlfn.MAXIFS(IRRIGADO!J:J,IRRIGADO!C:C,ESTIMATIVA[[#This Row],[CD_UPNIVEL1]],IRRIGADO!E:E,ESTIMATIVA[[#This Row],[CD_UPNIVEL3]]),"")</f>
        <v/>
      </c>
      <c r="AJ25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50" s="1">
        <f>COUNTIFS(Apresentação!$E$23:$E$29,ESTIMATIVA[[#This Row],[CD_UPNIVEL1]])</f>
        <v>0</v>
      </c>
    </row>
    <row r="251" spans="1:37" x14ac:dyDescent="0.3">
      <c r="A251">
        <v>20305</v>
      </c>
      <c r="B251" t="s">
        <v>22</v>
      </c>
      <c r="C251">
        <v>428</v>
      </c>
      <c r="D251">
        <v>4</v>
      </c>
      <c r="E251" t="s">
        <v>265</v>
      </c>
      <c r="F251" s="85" t="s">
        <v>331</v>
      </c>
      <c r="G251"/>
      <c r="H251" t="s">
        <v>295</v>
      </c>
      <c r="I251" t="s">
        <v>197</v>
      </c>
      <c r="J251" t="s">
        <v>175</v>
      </c>
      <c r="K251" s="1">
        <v>5.35</v>
      </c>
      <c r="L251" s="1">
        <v>0</v>
      </c>
      <c r="M251" s="1">
        <v>0</v>
      </c>
      <c r="N251" s="1">
        <v>5.35</v>
      </c>
      <c r="O251" s="1">
        <v>454.75</v>
      </c>
      <c r="P251" s="1">
        <v>0</v>
      </c>
      <c r="Q251" s="1">
        <v>0</v>
      </c>
      <c r="R251" s="1">
        <v>467.07</v>
      </c>
      <c r="S251" t="s">
        <v>12</v>
      </c>
      <c r="T251" s="13">
        <v>45760</v>
      </c>
      <c r="U251" s="1" t="str">
        <f>IF(ESTIMATIVA[[#This Row],[QT_AREA_REAL]]&gt;0,"1- Colhido","2- à Colher")</f>
        <v>1- Colhido</v>
      </c>
      <c r="V251" s="1" t="str">
        <f>IF(ESTIMATIVA[[#This Row],[QT_AREA_REST1]]&gt;0,"Reestimativa 1",IF(ESTIMATIVA[[#This Row],[QT_AREA_REAL]]=0,"Reestimativa 1","Realizado"))</f>
        <v>Realizado</v>
      </c>
      <c r="W251" s="1" t="str">
        <f>IF(ESTIMATIVA[[#This Row],[QT_AREA_REST2]]&gt;0,"Reestimativa 2",IF(ESTIMATIVA[[#This Row],[QT_AREA_REAL]]=0,"Reestimativa 2","Realizado"))</f>
        <v>Realizado</v>
      </c>
      <c r="X251" s="1">
        <f>ESTIMATIVA[[#This Row],[QT_AREA_EST]]</f>
        <v>5.35</v>
      </c>
      <c r="Y251" s="1">
        <f>IF(ESTIMATIVA[[#This Row],[QT_AREA_REST1]]&gt;0,ESTIMATIVA[[#This Row],[QT_AREA_REST1]],
  IF(ESTIMATIVA[[#This Row],[QT_AREA_REAL]]&gt;0,ESTIMATIVA[[#This Row],[QT_AREA_REAL]],ESTIMATIVA[[#This Row],[QT_AREA_EST]]))</f>
        <v>5.35</v>
      </c>
      <c r="Z25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5.35</v>
      </c>
      <c r="AA251" s="1">
        <f>ESTIMATIVA[[#This Row],[QT_CANA_EST]]</f>
        <v>454.75</v>
      </c>
      <c r="AB251" s="1">
        <f>IF(ESTIMATIVA[[#This Row],[QT_CANA_REST1]]&gt;0,ESTIMATIVA[[#This Row],[QT_CANA_REST1]],
  IF(ESTIMATIVA[[#This Row],[QT_CANA_REAL]]&gt;0,ESTIMATIVA[[#This Row],[QT_CANA_REAL]],ESTIMATIVA[[#This Row],[QT_CANA_EST]]))</f>
        <v>467.07</v>
      </c>
      <c r="AC25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467.07</v>
      </c>
      <c r="AD251" s="1">
        <f>IF(ESTIMATIVA[[#This Row],[QT_AREA_REAL]]&gt;0,ESTIMATIVA[[#This Row],[QT_CANA_REAL]],ESTIMATIVA[[#This Row],[QT_CANA_EST]])</f>
        <v>467.07</v>
      </c>
      <c r="AE251" s="1">
        <f>IF(ESTIMATIVA[[#This Row],[QT_AREA_REAL]]&gt;0,ESTIMATIVA[[#This Row],[QT_CANA_REAL]],ESTIMATIVA[[#This Row],[QT_CANA_REST1]])</f>
        <v>467.07</v>
      </c>
      <c r="AF251" s="1">
        <f>IF(ESTIMATIVA[[#This Row],[QT_AREA_REAL]]&gt;0,ESTIMATIVA[[#This Row],[QT_CANA_REAL]],ESTIMATIVA[[#This Row],[QT_CANA_REST2]])</f>
        <v>467.07</v>
      </c>
      <c r="AG251" s="1" t="str">
        <f>IF(COUNTIFS(GEADA!A:A,VALUE(ESTIMATIVA[[#This Row],[CD_UPNIVEL1]]&amp;TEXT(ESTIMATIVA[[#This Row],[CD_UPNIVEL3]],"0000")))&gt;0,"S","N")</f>
        <v>N</v>
      </c>
      <c r="AH25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51" s="55" t="str">
        <f>IF(ESTIMATIVA[[#This Row],[TP_CULTIVO]]="Irrigado",_xlfn.MAXIFS(IRRIGADO!J:J,IRRIGADO!C:C,ESTIMATIVA[[#This Row],[CD_UPNIVEL1]],IRRIGADO!E:E,ESTIMATIVA[[#This Row],[CD_UPNIVEL3]]),"")</f>
        <v/>
      </c>
      <c r="AJ25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51" s="1">
        <f>COUNTIFS(Apresentação!$E$23:$E$29,ESTIMATIVA[[#This Row],[CD_UPNIVEL1]])</f>
        <v>0</v>
      </c>
    </row>
    <row r="252" spans="1:37" x14ac:dyDescent="0.3">
      <c r="A252">
        <v>20305</v>
      </c>
      <c r="B252" t="s">
        <v>22</v>
      </c>
      <c r="C252">
        <v>429</v>
      </c>
      <c r="D252">
        <v>4</v>
      </c>
      <c r="E252" t="s">
        <v>265</v>
      </c>
      <c r="F252" s="85" t="s">
        <v>331</v>
      </c>
      <c r="G252"/>
      <c r="H252" t="s">
        <v>295</v>
      </c>
      <c r="I252" t="s">
        <v>197</v>
      </c>
      <c r="J252" t="s">
        <v>175</v>
      </c>
      <c r="K252" s="1">
        <v>5.07</v>
      </c>
      <c r="L252" s="1">
        <v>0</v>
      </c>
      <c r="M252" s="1">
        <v>0</v>
      </c>
      <c r="N252" s="1">
        <v>5.07</v>
      </c>
      <c r="O252" s="1">
        <v>430.95</v>
      </c>
      <c r="P252" s="1">
        <v>0</v>
      </c>
      <c r="Q252" s="1">
        <v>0</v>
      </c>
      <c r="R252" s="1">
        <v>442.43</v>
      </c>
      <c r="S252" t="s">
        <v>12</v>
      </c>
      <c r="T252" s="13">
        <v>45760</v>
      </c>
      <c r="U252" s="1" t="str">
        <f>IF(ESTIMATIVA[[#This Row],[QT_AREA_REAL]]&gt;0,"1- Colhido","2- à Colher")</f>
        <v>1- Colhido</v>
      </c>
      <c r="V252" s="1" t="str">
        <f>IF(ESTIMATIVA[[#This Row],[QT_AREA_REST1]]&gt;0,"Reestimativa 1",IF(ESTIMATIVA[[#This Row],[QT_AREA_REAL]]=0,"Reestimativa 1","Realizado"))</f>
        <v>Realizado</v>
      </c>
      <c r="W252" s="1" t="str">
        <f>IF(ESTIMATIVA[[#This Row],[QT_AREA_REST2]]&gt;0,"Reestimativa 2",IF(ESTIMATIVA[[#This Row],[QT_AREA_REAL]]=0,"Reestimativa 2","Realizado"))</f>
        <v>Realizado</v>
      </c>
      <c r="X252" s="1">
        <f>ESTIMATIVA[[#This Row],[QT_AREA_EST]]</f>
        <v>5.07</v>
      </c>
      <c r="Y252" s="1">
        <f>IF(ESTIMATIVA[[#This Row],[QT_AREA_REST1]]&gt;0,ESTIMATIVA[[#This Row],[QT_AREA_REST1]],
  IF(ESTIMATIVA[[#This Row],[QT_AREA_REAL]]&gt;0,ESTIMATIVA[[#This Row],[QT_AREA_REAL]],ESTIMATIVA[[#This Row],[QT_AREA_EST]]))</f>
        <v>5.07</v>
      </c>
      <c r="Z25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5.07</v>
      </c>
      <c r="AA252" s="1">
        <f>ESTIMATIVA[[#This Row],[QT_CANA_EST]]</f>
        <v>430.95</v>
      </c>
      <c r="AB252" s="1">
        <f>IF(ESTIMATIVA[[#This Row],[QT_CANA_REST1]]&gt;0,ESTIMATIVA[[#This Row],[QT_CANA_REST1]],
  IF(ESTIMATIVA[[#This Row],[QT_CANA_REAL]]&gt;0,ESTIMATIVA[[#This Row],[QT_CANA_REAL]],ESTIMATIVA[[#This Row],[QT_CANA_EST]]))</f>
        <v>442.43</v>
      </c>
      <c r="AC25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442.43</v>
      </c>
      <c r="AD252" s="1">
        <f>IF(ESTIMATIVA[[#This Row],[QT_AREA_REAL]]&gt;0,ESTIMATIVA[[#This Row],[QT_CANA_REAL]],ESTIMATIVA[[#This Row],[QT_CANA_EST]])</f>
        <v>442.43</v>
      </c>
      <c r="AE252" s="1">
        <f>IF(ESTIMATIVA[[#This Row],[QT_AREA_REAL]]&gt;0,ESTIMATIVA[[#This Row],[QT_CANA_REAL]],ESTIMATIVA[[#This Row],[QT_CANA_REST1]])</f>
        <v>442.43</v>
      </c>
      <c r="AF252" s="1">
        <f>IF(ESTIMATIVA[[#This Row],[QT_AREA_REAL]]&gt;0,ESTIMATIVA[[#This Row],[QT_CANA_REAL]],ESTIMATIVA[[#This Row],[QT_CANA_REST2]])</f>
        <v>442.43</v>
      </c>
      <c r="AG252" s="1" t="str">
        <f>IF(COUNTIFS(GEADA!A:A,VALUE(ESTIMATIVA[[#This Row],[CD_UPNIVEL1]]&amp;TEXT(ESTIMATIVA[[#This Row],[CD_UPNIVEL3]],"0000")))&gt;0,"S","N")</f>
        <v>N</v>
      </c>
      <c r="AH25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52" s="55" t="str">
        <f>IF(ESTIMATIVA[[#This Row],[TP_CULTIVO]]="Irrigado",_xlfn.MAXIFS(IRRIGADO!J:J,IRRIGADO!C:C,ESTIMATIVA[[#This Row],[CD_UPNIVEL1]],IRRIGADO!E:E,ESTIMATIVA[[#This Row],[CD_UPNIVEL3]]),"")</f>
        <v/>
      </c>
      <c r="AJ25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52" s="1">
        <f>COUNTIFS(Apresentação!$E$23:$E$29,ESTIMATIVA[[#This Row],[CD_UPNIVEL1]])</f>
        <v>0</v>
      </c>
    </row>
    <row r="253" spans="1:37" x14ac:dyDescent="0.3">
      <c r="A253">
        <v>20305</v>
      </c>
      <c r="B253" t="s">
        <v>22</v>
      </c>
      <c r="C253">
        <v>430</v>
      </c>
      <c r="D253">
        <v>4</v>
      </c>
      <c r="E253" t="s">
        <v>265</v>
      </c>
      <c r="F253" s="85" t="s">
        <v>331</v>
      </c>
      <c r="G253"/>
      <c r="H253" t="s">
        <v>295</v>
      </c>
      <c r="I253" t="s">
        <v>197</v>
      </c>
      <c r="J253" t="s">
        <v>175</v>
      </c>
      <c r="K253" s="1">
        <v>12.25</v>
      </c>
      <c r="L253" s="1">
        <v>0</v>
      </c>
      <c r="M253" s="1">
        <v>0</v>
      </c>
      <c r="N253" s="1">
        <v>12.25</v>
      </c>
      <c r="O253" s="1">
        <v>1041.25</v>
      </c>
      <c r="P253" s="1">
        <v>0</v>
      </c>
      <c r="Q253" s="1">
        <v>0</v>
      </c>
      <c r="R253" s="1">
        <v>1068.73</v>
      </c>
      <c r="S253" t="s">
        <v>12</v>
      </c>
      <c r="T253" s="13">
        <v>45760</v>
      </c>
      <c r="U253" s="1" t="str">
        <f>IF(ESTIMATIVA[[#This Row],[QT_AREA_REAL]]&gt;0,"1- Colhido","2- à Colher")</f>
        <v>1- Colhido</v>
      </c>
      <c r="V253" s="1" t="str">
        <f>IF(ESTIMATIVA[[#This Row],[QT_AREA_REST1]]&gt;0,"Reestimativa 1",IF(ESTIMATIVA[[#This Row],[QT_AREA_REAL]]=0,"Reestimativa 1","Realizado"))</f>
        <v>Realizado</v>
      </c>
      <c r="W253" s="1" t="str">
        <f>IF(ESTIMATIVA[[#This Row],[QT_AREA_REST2]]&gt;0,"Reestimativa 2",IF(ESTIMATIVA[[#This Row],[QT_AREA_REAL]]=0,"Reestimativa 2","Realizado"))</f>
        <v>Realizado</v>
      </c>
      <c r="X253" s="1">
        <f>ESTIMATIVA[[#This Row],[QT_AREA_EST]]</f>
        <v>12.25</v>
      </c>
      <c r="Y253" s="1">
        <f>IF(ESTIMATIVA[[#This Row],[QT_AREA_REST1]]&gt;0,ESTIMATIVA[[#This Row],[QT_AREA_REST1]],
  IF(ESTIMATIVA[[#This Row],[QT_AREA_REAL]]&gt;0,ESTIMATIVA[[#This Row],[QT_AREA_REAL]],ESTIMATIVA[[#This Row],[QT_AREA_EST]]))</f>
        <v>12.25</v>
      </c>
      <c r="Z25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12.25</v>
      </c>
      <c r="AA253" s="1">
        <f>ESTIMATIVA[[#This Row],[QT_CANA_EST]]</f>
        <v>1041.25</v>
      </c>
      <c r="AB253" s="1">
        <f>IF(ESTIMATIVA[[#This Row],[QT_CANA_REST1]]&gt;0,ESTIMATIVA[[#This Row],[QT_CANA_REST1]],
  IF(ESTIMATIVA[[#This Row],[QT_CANA_REAL]]&gt;0,ESTIMATIVA[[#This Row],[QT_CANA_REAL]],ESTIMATIVA[[#This Row],[QT_CANA_EST]]))</f>
        <v>1068.73</v>
      </c>
      <c r="AC25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1068.73</v>
      </c>
      <c r="AD253" s="1">
        <f>IF(ESTIMATIVA[[#This Row],[QT_AREA_REAL]]&gt;0,ESTIMATIVA[[#This Row],[QT_CANA_REAL]],ESTIMATIVA[[#This Row],[QT_CANA_EST]])</f>
        <v>1068.73</v>
      </c>
      <c r="AE253" s="1">
        <f>IF(ESTIMATIVA[[#This Row],[QT_AREA_REAL]]&gt;0,ESTIMATIVA[[#This Row],[QT_CANA_REAL]],ESTIMATIVA[[#This Row],[QT_CANA_REST1]])</f>
        <v>1068.73</v>
      </c>
      <c r="AF253" s="1">
        <f>IF(ESTIMATIVA[[#This Row],[QT_AREA_REAL]]&gt;0,ESTIMATIVA[[#This Row],[QT_CANA_REAL]],ESTIMATIVA[[#This Row],[QT_CANA_REST2]])</f>
        <v>1068.73</v>
      </c>
      <c r="AG253" s="1" t="str">
        <f>IF(COUNTIFS(GEADA!A:A,VALUE(ESTIMATIVA[[#This Row],[CD_UPNIVEL1]]&amp;TEXT(ESTIMATIVA[[#This Row],[CD_UPNIVEL3]],"0000")))&gt;0,"S","N")</f>
        <v>N</v>
      </c>
      <c r="AH25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53" s="55" t="str">
        <f>IF(ESTIMATIVA[[#This Row],[TP_CULTIVO]]="Irrigado",_xlfn.MAXIFS(IRRIGADO!J:J,IRRIGADO!C:C,ESTIMATIVA[[#This Row],[CD_UPNIVEL1]],IRRIGADO!E:E,ESTIMATIVA[[#This Row],[CD_UPNIVEL3]]),"")</f>
        <v/>
      </c>
      <c r="AJ25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53" s="1">
        <f>COUNTIFS(Apresentação!$E$23:$E$29,ESTIMATIVA[[#This Row],[CD_UPNIVEL1]])</f>
        <v>0</v>
      </c>
    </row>
    <row r="254" spans="1:37" x14ac:dyDescent="0.3">
      <c r="A254">
        <v>20305</v>
      </c>
      <c r="B254" t="s">
        <v>22</v>
      </c>
      <c r="C254">
        <v>431</v>
      </c>
      <c r="D254">
        <v>4</v>
      </c>
      <c r="E254" t="s">
        <v>265</v>
      </c>
      <c r="F254" s="85" t="s">
        <v>331</v>
      </c>
      <c r="G254"/>
      <c r="H254" t="s">
        <v>295</v>
      </c>
      <c r="I254" t="s">
        <v>197</v>
      </c>
      <c r="J254" t="s">
        <v>175</v>
      </c>
      <c r="K254" s="1">
        <v>21.55</v>
      </c>
      <c r="L254" s="1">
        <v>0</v>
      </c>
      <c r="M254" s="1">
        <v>0</v>
      </c>
      <c r="N254" s="1">
        <v>21.55</v>
      </c>
      <c r="O254" s="1">
        <v>1831.75</v>
      </c>
      <c r="P254" s="1">
        <v>0</v>
      </c>
      <c r="Q254" s="1">
        <v>0</v>
      </c>
      <c r="R254" s="1">
        <v>1880.86</v>
      </c>
      <c r="S254" t="s">
        <v>12</v>
      </c>
      <c r="T254" s="13">
        <v>45760</v>
      </c>
      <c r="U254" s="1" t="str">
        <f>IF(ESTIMATIVA[[#This Row],[QT_AREA_REAL]]&gt;0,"1- Colhido","2- à Colher")</f>
        <v>1- Colhido</v>
      </c>
      <c r="V254" s="1" t="str">
        <f>IF(ESTIMATIVA[[#This Row],[QT_AREA_REST1]]&gt;0,"Reestimativa 1",IF(ESTIMATIVA[[#This Row],[QT_AREA_REAL]]=0,"Reestimativa 1","Realizado"))</f>
        <v>Realizado</v>
      </c>
      <c r="W254" s="1" t="str">
        <f>IF(ESTIMATIVA[[#This Row],[QT_AREA_REST2]]&gt;0,"Reestimativa 2",IF(ESTIMATIVA[[#This Row],[QT_AREA_REAL]]=0,"Reestimativa 2","Realizado"))</f>
        <v>Realizado</v>
      </c>
      <c r="X254" s="1">
        <f>ESTIMATIVA[[#This Row],[QT_AREA_EST]]</f>
        <v>21.55</v>
      </c>
      <c r="Y254" s="1">
        <f>IF(ESTIMATIVA[[#This Row],[QT_AREA_REST1]]&gt;0,ESTIMATIVA[[#This Row],[QT_AREA_REST1]],
  IF(ESTIMATIVA[[#This Row],[QT_AREA_REAL]]&gt;0,ESTIMATIVA[[#This Row],[QT_AREA_REAL]],ESTIMATIVA[[#This Row],[QT_AREA_EST]]))</f>
        <v>21.55</v>
      </c>
      <c r="Z25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21.55</v>
      </c>
      <c r="AA254" s="1">
        <f>ESTIMATIVA[[#This Row],[QT_CANA_EST]]</f>
        <v>1831.75</v>
      </c>
      <c r="AB254" s="1">
        <f>IF(ESTIMATIVA[[#This Row],[QT_CANA_REST1]]&gt;0,ESTIMATIVA[[#This Row],[QT_CANA_REST1]],
  IF(ESTIMATIVA[[#This Row],[QT_CANA_REAL]]&gt;0,ESTIMATIVA[[#This Row],[QT_CANA_REAL]],ESTIMATIVA[[#This Row],[QT_CANA_EST]]))</f>
        <v>1880.86</v>
      </c>
      <c r="AC25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1880.86</v>
      </c>
      <c r="AD254" s="1">
        <f>IF(ESTIMATIVA[[#This Row],[QT_AREA_REAL]]&gt;0,ESTIMATIVA[[#This Row],[QT_CANA_REAL]],ESTIMATIVA[[#This Row],[QT_CANA_EST]])</f>
        <v>1880.86</v>
      </c>
      <c r="AE254" s="1">
        <f>IF(ESTIMATIVA[[#This Row],[QT_AREA_REAL]]&gt;0,ESTIMATIVA[[#This Row],[QT_CANA_REAL]],ESTIMATIVA[[#This Row],[QT_CANA_REST1]])</f>
        <v>1880.86</v>
      </c>
      <c r="AF254" s="1">
        <f>IF(ESTIMATIVA[[#This Row],[QT_AREA_REAL]]&gt;0,ESTIMATIVA[[#This Row],[QT_CANA_REAL]],ESTIMATIVA[[#This Row],[QT_CANA_REST2]])</f>
        <v>1880.86</v>
      </c>
      <c r="AG254" s="1" t="str">
        <f>IF(COUNTIFS(GEADA!A:A,VALUE(ESTIMATIVA[[#This Row],[CD_UPNIVEL1]]&amp;TEXT(ESTIMATIVA[[#This Row],[CD_UPNIVEL3]],"0000")))&gt;0,"S","N")</f>
        <v>N</v>
      </c>
      <c r="AH25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54" s="55" t="str">
        <f>IF(ESTIMATIVA[[#This Row],[TP_CULTIVO]]="Irrigado",_xlfn.MAXIFS(IRRIGADO!J:J,IRRIGADO!C:C,ESTIMATIVA[[#This Row],[CD_UPNIVEL1]],IRRIGADO!E:E,ESTIMATIVA[[#This Row],[CD_UPNIVEL3]]),"")</f>
        <v/>
      </c>
      <c r="AJ25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54" s="1">
        <f>COUNTIFS(Apresentação!$E$23:$E$29,ESTIMATIVA[[#This Row],[CD_UPNIVEL1]])</f>
        <v>0</v>
      </c>
    </row>
    <row r="255" spans="1:37" x14ac:dyDescent="0.3">
      <c r="A255">
        <v>20305</v>
      </c>
      <c r="B255" t="s">
        <v>22</v>
      </c>
      <c r="C255">
        <v>432</v>
      </c>
      <c r="D255">
        <v>4</v>
      </c>
      <c r="E255" t="s">
        <v>265</v>
      </c>
      <c r="F255" s="85" t="s">
        <v>333</v>
      </c>
      <c r="G255"/>
      <c r="H255" t="s">
        <v>295</v>
      </c>
      <c r="I255" t="s">
        <v>197</v>
      </c>
      <c r="J255" t="s">
        <v>175</v>
      </c>
      <c r="K255" s="1">
        <v>10.39</v>
      </c>
      <c r="L255" s="1">
        <v>0</v>
      </c>
      <c r="M255" s="1">
        <v>0</v>
      </c>
      <c r="N255" s="1">
        <v>10.39</v>
      </c>
      <c r="O255" s="1">
        <v>883.15</v>
      </c>
      <c r="P255" s="1">
        <v>0</v>
      </c>
      <c r="Q255" s="1">
        <v>0</v>
      </c>
      <c r="R255" s="1">
        <v>907.02</v>
      </c>
      <c r="S255" t="s">
        <v>12</v>
      </c>
      <c r="T255" s="13">
        <v>45760</v>
      </c>
      <c r="U255" s="1" t="str">
        <f>IF(ESTIMATIVA[[#This Row],[QT_AREA_REAL]]&gt;0,"1- Colhido","2- à Colher")</f>
        <v>1- Colhido</v>
      </c>
      <c r="V255" s="1" t="str">
        <f>IF(ESTIMATIVA[[#This Row],[QT_AREA_REST1]]&gt;0,"Reestimativa 1",IF(ESTIMATIVA[[#This Row],[QT_AREA_REAL]]=0,"Reestimativa 1","Realizado"))</f>
        <v>Realizado</v>
      </c>
      <c r="W255" s="1" t="str">
        <f>IF(ESTIMATIVA[[#This Row],[QT_AREA_REST2]]&gt;0,"Reestimativa 2",IF(ESTIMATIVA[[#This Row],[QT_AREA_REAL]]=0,"Reestimativa 2","Realizado"))</f>
        <v>Realizado</v>
      </c>
      <c r="X255" s="1">
        <f>ESTIMATIVA[[#This Row],[QT_AREA_EST]]</f>
        <v>10.39</v>
      </c>
      <c r="Y255" s="1">
        <f>IF(ESTIMATIVA[[#This Row],[QT_AREA_REST1]]&gt;0,ESTIMATIVA[[#This Row],[QT_AREA_REST1]],
  IF(ESTIMATIVA[[#This Row],[QT_AREA_REAL]]&gt;0,ESTIMATIVA[[#This Row],[QT_AREA_REAL]],ESTIMATIVA[[#This Row],[QT_AREA_EST]]))</f>
        <v>10.39</v>
      </c>
      <c r="Z25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10.39</v>
      </c>
      <c r="AA255" s="1">
        <f>ESTIMATIVA[[#This Row],[QT_CANA_EST]]</f>
        <v>883.15</v>
      </c>
      <c r="AB255" s="1">
        <f>IF(ESTIMATIVA[[#This Row],[QT_CANA_REST1]]&gt;0,ESTIMATIVA[[#This Row],[QT_CANA_REST1]],
  IF(ESTIMATIVA[[#This Row],[QT_CANA_REAL]]&gt;0,ESTIMATIVA[[#This Row],[QT_CANA_REAL]],ESTIMATIVA[[#This Row],[QT_CANA_EST]]))</f>
        <v>907.02</v>
      </c>
      <c r="AC25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907.02</v>
      </c>
      <c r="AD255" s="1">
        <f>IF(ESTIMATIVA[[#This Row],[QT_AREA_REAL]]&gt;0,ESTIMATIVA[[#This Row],[QT_CANA_REAL]],ESTIMATIVA[[#This Row],[QT_CANA_EST]])</f>
        <v>907.02</v>
      </c>
      <c r="AE255" s="1">
        <f>IF(ESTIMATIVA[[#This Row],[QT_AREA_REAL]]&gt;0,ESTIMATIVA[[#This Row],[QT_CANA_REAL]],ESTIMATIVA[[#This Row],[QT_CANA_REST1]])</f>
        <v>907.02</v>
      </c>
      <c r="AF255" s="1">
        <f>IF(ESTIMATIVA[[#This Row],[QT_AREA_REAL]]&gt;0,ESTIMATIVA[[#This Row],[QT_CANA_REAL]],ESTIMATIVA[[#This Row],[QT_CANA_REST2]])</f>
        <v>907.02</v>
      </c>
      <c r="AG255" s="1" t="str">
        <f>IF(COUNTIFS(GEADA!A:A,VALUE(ESTIMATIVA[[#This Row],[CD_UPNIVEL1]]&amp;TEXT(ESTIMATIVA[[#This Row],[CD_UPNIVEL3]],"0000")))&gt;0,"S","N")</f>
        <v>N</v>
      </c>
      <c r="AH25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55" s="55" t="str">
        <f>IF(ESTIMATIVA[[#This Row],[TP_CULTIVO]]="Irrigado",_xlfn.MAXIFS(IRRIGADO!J:J,IRRIGADO!C:C,ESTIMATIVA[[#This Row],[CD_UPNIVEL1]],IRRIGADO!E:E,ESTIMATIVA[[#This Row],[CD_UPNIVEL3]]),"")</f>
        <v/>
      </c>
      <c r="AJ25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55" s="1">
        <f>COUNTIFS(Apresentação!$E$23:$E$29,ESTIMATIVA[[#This Row],[CD_UPNIVEL1]])</f>
        <v>0</v>
      </c>
    </row>
    <row r="256" spans="1:37" x14ac:dyDescent="0.3">
      <c r="A256">
        <v>20306</v>
      </c>
      <c r="B256" t="s">
        <v>23</v>
      </c>
      <c r="C256">
        <v>1</v>
      </c>
      <c r="D256">
        <v>1</v>
      </c>
      <c r="E256" t="s">
        <v>264</v>
      </c>
      <c r="F256" s="85" t="s">
        <v>331</v>
      </c>
      <c r="G256"/>
      <c r="H256" t="s">
        <v>294</v>
      </c>
      <c r="I256" t="s">
        <v>204</v>
      </c>
      <c r="J256" t="s">
        <v>176</v>
      </c>
      <c r="K256" s="1">
        <v>36.65</v>
      </c>
      <c r="L256" s="1">
        <v>0</v>
      </c>
      <c r="M256" s="1">
        <v>0</v>
      </c>
      <c r="N256" s="1">
        <v>36.65</v>
      </c>
      <c r="O256" s="1">
        <v>4104.8</v>
      </c>
      <c r="P256" s="1">
        <v>0</v>
      </c>
      <c r="Q256" s="1">
        <v>0</v>
      </c>
      <c r="R256" s="1">
        <v>2730.92</v>
      </c>
      <c r="S256" t="s">
        <v>12</v>
      </c>
      <c r="T256" s="13">
        <v>45788</v>
      </c>
      <c r="U256" s="1" t="str">
        <f>IF(ESTIMATIVA[[#This Row],[QT_AREA_REAL]]&gt;0,"1- Colhido","2- à Colher")</f>
        <v>1- Colhido</v>
      </c>
      <c r="V256" s="1" t="str">
        <f>IF(ESTIMATIVA[[#This Row],[QT_AREA_REST1]]&gt;0,"Reestimativa 1",IF(ESTIMATIVA[[#This Row],[QT_AREA_REAL]]=0,"Reestimativa 1","Realizado"))</f>
        <v>Realizado</v>
      </c>
      <c r="W256" s="1" t="str">
        <f>IF(ESTIMATIVA[[#This Row],[QT_AREA_REST2]]&gt;0,"Reestimativa 2",IF(ESTIMATIVA[[#This Row],[QT_AREA_REAL]]=0,"Reestimativa 2","Realizado"))</f>
        <v>Realizado</v>
      </c>
      <c r="X256" s="1">
        <f>ESTIMATIVA[[#This Row],[QT_AREA_EST]]</f>
        <v>36.65</v>
      </c>
      <c r="Y256" s="1">
        <f>IF(ESTIMATIVA[[#This Row],[QT_AREA_REST1]]&gt;0,ESTIMATIVA[[#This Row],[QT_AREA_REST1]],
  IF(ESTIMATIVA[[#This Row],[QT_AREA_REAL]]&gt;0,ESTIMATIVA[[#This Row],[QT_AREA_REAL]],ESTIMATIVA[[#This Row],[QT_AREA_EST]]))</f>
        <v>36.65</v>
      </c>
      <c r="Z25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36.65</v>
      </c>
      <c r="AA256" s="1">
        <f>ESTIMATIVA[[#This Row],[QT_CANA_EST]]</f>
        <v>4104.8</v>
      </c>
      <c r="AB256" s="1">
        <f>IF(ESTIMATIVA[[#This Row],[QT_CANA_REST1]]&gt;0,ESTIMATIVA[[#This Row],[QT_CANA_REST1]],
  IF(ESTIMATIVA[[#This Row],[QT_CANA_REAL]]&gt;0,ESTIMATIVA[[#This Row],[QT_CANA_REAL]],ESTIMATIVA[[#This Row],[QT_CANA_EST]]))</f>
        <v>2730.92</v>
      </c>
      <c r="AC25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2730.92</v>
      </c>
      <c r="AD256" s="1">
        <f>IF(ESTIMATIVA[[#This Row],[QT_AREA_REAL]]&gt;0,ESTIMATIVA[[#This Row],[QT_CANA_REAL]],ESTIMATIVA[[#This Row],[QT_CANA_EST]])</f>
        <v>2730.92</v>
      </c>
      <c r="AE256" s="1">
        <f>IF(ESTIMATIVA[[#This Row],[QT_AREA_REAL]]&gt;0,ESTIMATIVA[[#This Row],[QT_CANA_REAL]],ESTIMATIVA[[#This Row],[QT_CANA_REST1]])</f>
        <v>2730.92</v>
      </c>
      <c r="AF256" s="1">
        <f>IF(ESTIMATIVA[[#This Row],[QT_AREA_REAL]]&gt;0,ESTIMATIVA[[#This Row],[QT_CANA_REAL]],ESTIMATIVA[[#This Row],[QT_CANA_REST2]])</f>
        <v>2730.92</v>
      </c>
      <c r="AG256" s="1" t="str">
        <f>IF(COUNTIFS(GEADA!A:A,VALUE(ESTIMATIVA[[#This Row],[CD_UPNIVEL1]]&amp;TEXT(ESTIMATIVA[[#This Row],[CD_UPNIVEL3]],"0000")))&gt;0,"S","N")</f>
        <v>N</v>
      </c>
      <c r="AH25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56" s="55" t="str">
        <f>IF(ESTIMATIVA[[#This Row],[TP_CULTIVO]]="Irrigado",_xlfn.MAXIFS(IRRIGADO!J:J,IRRIGADO!C:C,ESTIMATIVA[[#This Row],[CD_UPNIVEL1]],IRRIGADO!E:E,ESTIMATIVA[[#This Row],[CD_UPNIVEL3]]),"")</f>
        <v/>
      </c>
      <c r="AJ25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56" s="1">
        <f>COUNTIFS(Apresentação!$E$23:$E$29,ESTIMATIVA[[#This Row],[CD_UPNIVEL1]])</f>
        <v>0</v>
      </c>
    </row>
    <row r="257" spans="1:37" x14ac:dyDescent="0.3">
      <c r="A257">
        <v>20306</v>
      </c>
      <c r="B257" t="s">
        <v>23</v>
      </c>
      <c r="C257">
        <v>2</v>
      </c>
      <c r="D257">
        <v>1</v>
      </c>
      <c r="E257" t="s">
        <v>264</v>
      </c>
      <c r="F257" s="85" t="s">
        <v>331</v>
      </c>
      <c r="G257"/>
      <c r="H257" t="s">
        <v>294</v>
      </c>
      <c r="I257" t="s">
        <v>204</v>
      </c>
      <c r="J257" t="s">
        <v>176</v>
      </c>
      <c r="K257" s="1">
        <v>53.32</v>
      </c>
      <c r="L257" s="1">
        <v>0</v>
      </c>
      <c r="M257" s="1">
        <v>0</v>
      </c>
      <c r="N257" s="1">
        <v>53.32</v>
      </c>
      <c r="O257" s="1">
        <v>6238.44</v>
      </c>
      <c r="P257" s="1">
        <v>0</v>
      </c>
      <c r="Q257" s="1">
        <v>0</v>
      </c>
      <c r="R257" s="1">
        <v>4150.95</v>
      </c>
      <c r="S257" t="s">
        <v>12</v>
      </c>
      <c r="T257" s="13">
        <v>45788</v>
      </c>
      <c r="U257" s="1" t="str">
        <f>IF(ESTIMATIVA[[#This Row],[QT_AREA_REAL]]&gt;0,"1- Colhido","2- à Colher")</f>
        <v>1- Colhido</v>
      </c>
      <c r="V257" s="1" t="str">
        <f>IF(ESTIMATIVA[[#This Row],[QT_AREA_REST1]]&gt;0,"Reestimativa 1",IF(ESTIMATIVA[[#This Row],[QT_AREA_REAL]]=0,"Reestimativa 1","Realizado"))</f>
        <v>Realizado</v>
      </c>
      <c r="W257" s="1" t="str">
        <f>IF(ESTIMATIVA[[#This Row],[QT_AREA_REST2]]&gt;0,"Reestimativa 2",IF(ESTIMATIVA[[#This Row],[QT_AREA_REAL]]=0,"Reestimativa 2","Realizado"))</f>
        <v>Realizado</v>
      </c>
      <c r="X257" s="1">
        <f>ESTIMATIVA[[#This Row],[QT_AREA_EST]]</f>
        <v>53.32</v>
      </c>
      <c r="Y257" s="1">
        <f>IF(ESTIMATIVA[[#This Row],[QT_AREA_REST1]]&gt;0,ESTIMATIVA[[#This Row],[QT_AREA_REST1]],
  IF(ESTIMATIVA[[#This Row],[QT_AREA_REAL]]&gt;0,ESTIMATIVA[[#This Row],[QT_AREA_REAL]],ESTIMATIVA[[#This Row],[QT_AREA_EST]]))</f>
        <v>53.32</v>
      </c>
      <c r="Z25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53.32</v>
      </c>
      <c r="AA257" s="1">
        <f>ESTIMATIVA[[#This Row],[QT_CANA_EST]]</f>
        <v>6238.44</v>
      </c>
      <c r="AB257" s="1">
        <f>IF(ESTIMATIVA[[#This Row],[QT_CANA_REST1]]&gt;0,ESTIMATIVA[[#This Row],[QT_CANA_REST1]],
  IF(ESTIMATIVA[[#This Row],[QT_CANA_REAL]]&gt;0,ESTIMATIVA[[#This Row],[QT_CANA_REAL]],ESTIMATIVA[[#This Row],[QT_CANA_EST]]))</f>
        <v>4150.95</v>
      </c>
      <c r="AC25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4150.95</v>
      </c>
      <c r="AD257" s="1">
        <f>IF(ESTIMATIVA[[#This Row],[QT_AREA_REAL]]&gt;0,ESTIMATIVA[[#This Row],[QT_CANA_REAL]],ESTIMATIVA[[#This Row],[QT_CANA_EST]])</f>
        <v>4150.95</v>
      </c>
      <c r="AE257" s="1">
        <f>IF(ESTIMATIVA[[#This Row],[QT_AREA_REAL]]&gt;0,ESTIMATIVA[[#This Row],[QT_CANA_REAL]],ESTIMATIVA[[#This Row],[QT_CANA_REST1]])</f>
        <v>4150.95</v>
      </c>
      <c r="AF257" s="1">
        <f>IF(ESTIMATIVA[[#This Row],[QT_AREA_REAL]]&gt;0,ESTIMATIVA[[#This Row],[QT_CANA_REAL]],ESTIMATIVA[[#This Row],[QT_CANA_REST2]])</f>
        <v>4150.95</v>
      </c>
      <c r="AG257" s="1" t="str">
        <f>IF(COUNTIFS(GEADA!A:A,VALUE(ESTIMATIVA[[#This Row],[CD_UPNIVEL1]]&amp;TEXT(ESTIMATIVA[[#This Row],[CD_UPNIVEL3]],"0000")))&gt;0,"S","N")</f>
        <v>N</v>
      </c>
      <c r="AH25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57" s="55" t="str">
        <f>IF(ESTIMATIVA[[#This Row],[TP_CULTIVO]]="Irrigado",_xlfn.MAXIFS(IRRIGADO!J:J,IRRIGADO!C:C,ESTIMATIVA[[#This Row],[CD_UPNIVEL1]],IRRIGADO!E:E,ESTIMATIVA[[#This Row],[CD_UPNIVEL3]]),"")</f>
        <v/>
      </c>
      <c r="AJ25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57" s="1">
        <f>COUNTIFS(Apresentação!$E$23:$E$29,ESTIMATIVA[[#This Row],[CD_UPNIVEL1]])</f>
        <v>0</v>
      </c>
    </row>
    <row r="258" spans="1:37" x14ac:dyDescent="0.3">
      <c r="A258">
        <v>20306</v>
      </c>
      <c r="B258" t="s">
        <v>23</v>
      </c>
      <c r="C258">
        <v>3</v>
      </c>
      <c r="D258">
        <v>1</v>
      </c>
      <c r="E258" t="s">
        <v>264</v>
      </c>
      <c r="F258" s="85" t="s">
        <v>331</v>
      </c>
      <c r="G258"/>
      <c r="H258" t="s">
        <v>294</v>
      </c>
      <c r="I258" t="s">
        <v>210</v>
      </c>
      <c r="J258" t="s">
        <v>176</v>
      </c>
      <c r="K258" s="1">
        <v>33.79</v>
      </c>
      <c r="L258" s="1">
        <v>0</v>
      </c>
      <c r="M258" s="1">
        <v>0</v>
      </c>
      <c r="N258" s="1">
        <v>33.79</v>
      </c>
      <c r="O258" s="1">
        <v>3514.16</v>
      </c>
      <c r="P258" s="1">
        <v>0</v>
      </c>
      <c r="Q258" s="1">
        <v>0</v>
      </c>
      <c r="R258" s="1">
        <v>4037.74</v>
      </c>
      <c r="S258" t="s">
        <v>12</v>
      </c>
      <c r="T258" s="13">
        <v>45788</v>
      </c>
      <c r="U258" s="1" t="str">
        <f>IF(ESTIMATIVA[[#This Row],[QT_AREA_REAL]]&gt;0,"1- Colhido","2- à Colher")</f>
        <v>1- Colhido</v>
      </c>
      <c r="V258" s="1" t="str">
        <f>IF(ESTIMATIVA[[#This Row],[QT_AREA_REST1]]&gt;0,"Reestimativa 1",IF(ESTIMATIVA[[#This Row],[QT_AREA_REAL]]=0,"Reestimativa 1","Realizado"))</f>
        <v>Realizado</v>
      </c>
      <c r="W258" s="1" t="str">
        <f>IF(ESTIMATIVA[[#This Row],[QT_AREA_REST2]]&gt;0,"Reestimativa 2",IF(ESTIMATIVA[[#This Row],[QT_AREA_REAL]]=0,"Reestimativa 2","Realizado"))</f>
        <v>Realizado</v>
      </c>
      <c r="X258" s="1">
        <f>ESTIMATIVA[[#This Row],[QT_AREA_EST]]</f>
        <v>33.79</v>
      </c>
      <c r="Y258" s="1">
        <f>IF(ESTIMATIVA[[#This Row],[QT_AREA_REST1]]&gt;0,ESTIMATIVA[[#This Row],[QT_AREA_REST1]],
  IF(ESTIMATIVA[[#This Row],[QT_AREA_REAL]]&gt;0,ESTIMATIVA[[#This Row],[QT_AREA_REAL]],ESTIMATIVA[[#This Row],[QT_AREA_EST]]))</f>
        <v>33.79</v>
      </c>
      <c r="Z25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33.79</v>
      </c>
      <c r="AA258" s="1">
        <f>ESTIMATIVA[[#This Row],[QT_CANA_EST]]</f>
        <v>3514.16</v>
      </c>
      <c r="AB258" s="1">
        <f>IF(ESTIMATIVA[[#This Row],[QT_CANA_REST1]]&gt;0,ESTIMATIVA[[#This Row],[QT_CANA_REST1]],
  IF(ESTIMATIVA[[#This Row],[QT_CANA_REAL]]&gt;0,ESTIMATIVA[[#This Row],[QT_CANA_REAL]],ESTIMATIVA[[#This Row],[QT_CANA_EST]]))</f>
        <v>4037.74</v>
      </c>
      <c r="AC25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4037.74</v>
      </c>
      <c r="AD258" s="1">
        <f>IF(ESTIMATIVA[[#This Row],[QT_AREA_REAL]]&gt;0,ESTIMATIVA[[#This Row],[QT_CANA_REAL]],ESTIMATIVA[[#This Row],[QT_CANA_EST]])</f>
        <v>4037.74</v>
      </c>
      <c r="AE258" s="1">
        <f>IF(ESTIMATIVA[[#This Row],[QT_AREA_REAL]]&gt;0,ESTIMATIVA[[#This Row],[QT_CANA_REAL]],ESTIMATIVA[[#This Row],[QT_CANA_REST1]])</f>
        <v>4037.74</v>
      </c>
      <c r="AF258" s="1">
        <f>IF(ESTIMATIVA[[#This Row],[QT_AREA_REAL]]&gt;0,ESTIMATIVA[[#This Row],[QT_CANA_REAL]],ESTIMATIVA[[#This Row],[QT_CANA_REST2]])</f>
        <v>4037.74</v>
      </c>
      <c r="AG258" s="1" t="str">
        <f>IF(COUNTIFS(GEADA!A:A,VALUE(ESTIMATIVA[[#This Row],[CD_UPNIVEL1]]&amp;TEXT(ESTIMATIVA[[#This Row],[CD_UPNIVEL3]],"0000")))&gt;0,"S","N")</f>
        <v>N</v>
      </c>
      <c r="AH25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58" s="55" t="str">
        <f>IF(ESTIMATIVA[[#This Row],[TP_CULTIVO]]="Irrigado",_xlfn.MAXIFS(IRRIGADO!J:J,IRRIGADO!C:C,ESTIMATIVA[[#This Row],[CD_UPNIVEL1]],IRRIGADO!E:E,ESTIMATIVA[[#This Row],[CD_UPNIVEL3]]),"")</f>
        <v/>
      </c>
      <c r="AJ25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58" s="1">
        <f>COUNTIFS(Apresentação!$E$23:$E$29,ESTIMATIVA[[#This Row],[CD_UPNIVEL1]])</f>
        <v>0</v>
      </c>
    </row>
    <row r="259" spans="1:37" x14ac:dyDescent="0.3">
      <c r="A259">
        <v>20306</v>
      </c>
      <c r="B259" t="s">
        <v>23</v>
      </c>
      <c r="C259">
        <v>9</v>
      </c>
      <c r="D259">
        <v>3</v>
      </c>
      <c r="E259" t="s">
        <v>263</v>
      </c>
      <c r="F259" s="85" t="s">
        <v>332</v>
      </c>
      <c r="G259"/>
      <c r="H259" t="s">
        <v>294</v>
      </c>
      <c r="I259" t="s">
        <v>204</v>
      </c>
      <c r="J259" t="s">
        <v>176</v>
      </c>
      <c r="K259" s="1">
        <v>46.25</v>
      </c>
      <c r="L259" s="1">
        <v>0</v>
      </c>
      <c r="M259" s="1">
        <v>0</v>
      </c>
      <c r="N259" s="1">
        <v>46.25</v>
      </c>
      <c r="O259" s="1">
        <v>3700</v>
      </c>
      <c r="P259" s="1">
        <v>0</v>
      </c>
      <c r="Q259" s="1">
        <v>0</v>
      </c>
      <c r="R259" s="1">
        <v>2047.86</v>
      </c>
      <c r="S259" t="s">
        <v>12</v>
      </c>
      <c r="T259" s="13">
        <v>45795</v>
      </c>
      <c r="U259" s="1" t="str">
        <f>IF(ESTIMATIVA[[#This Row],[QT_AREA_REAL]]&gt;0,"1- Colhido","2- à Colher")</f>
        <v>1- Colhido</v>
      </c>
      <c r="V259" s="1" t="str">
        <f>IF(ESTIMATIVA[[#This Row],[QT_AREA_REST1]]&gt;0,"Reestimativa 1",IF(ESTIMATIVA[[#This Row],[QT_AREA_REAL]]=0,"Reestimativa 1","Realizado"))</f>
        <v>Realizado</v>
      </c>
      <c r="W259" s="1" t="str">
        <f>IF(ESTIMATIVA[[#This Row],[QT_AREA_REST2]]&gt;0,"Reestimativa 2",IF(ESTIMATIVA[[#This Row],[QT_AREA_REAL]]=0,"Reestimativa 2","Realizado"))</f>
        <v>Realizado</v>
      </c>
      <c r="X259" s="1">
        <f>ESTIMATIVA[[#This Row],[QT_AREA_EST]]</f>
        <v>46.25</v>
      </c>
      <c r="Y259" s="1">
        <f>IF(ESTIMATIVA[[#This Row],[QT_AREA_REST1]]&gt;0,ESTIMATIVA[[#This Row],[QT_AREA_REST1]],
  IF(ESTIMATIVA[[#This Row],[QT_AREA_REAL]]&gt;0,ESTIMATIVA[[#This Row],[QT_AREA_REAL]],ESTIMATIVA[[#This Row],[QT_AREA_EST]]))</f>
        <v>46.25</v>
      </c>
      <c r="Z25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46.25</v>
      </c>
      <c r="AA259" s="1">
        <f>ESTIMATIVA[[#This Row],[QT_CANA_EST]]</f>
        <v>3700</v>
      </c>
      <c r="AB259" s="1">
        <f>IF(ESTIMATIVA[[#This Row],[QT_CANA_REST1]]&gt;0,ESTIMATIVA[[#This Row],[QT_CANA_REST1]],
  IF(ESTIMATIVA[[#This Row],[QT_CANA_REAL]]&gt;0,ESTIMATIVA[[#This Row],[QT_CANA_REAL]],ESTIMATIVA[[#This Row],[QT_CANA_EST]]))</f>
        <v>2047.86</v>
      </c>
      <c r="AC25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2047.86</v>
      </c>
      <c r="AD259" s="1">
        <f>IF(ESTIMATIVA[[#This Row],[QT_AREA_REAL]]&gt;0,ESTIMATIVA[[#This Row],[QT_CANA_REAL]],ESTIMATIVA[[#This Row],[QT_CANA_EST]])</f>
        <v>2047.86</v>
      </c>
      <c r="AE259" s="1">
        <f>IF(ESTIMATIVA[[#This Row],[QT_AREA_REAL]]&gt;0,ESTIMATIVA[[#This Row],[QT_CANA_REAL]],ESTIMATIVA[[#This Row],[QT_CANA_REST1]])</f>
        <v>2047.86</v>
      </c>
      <c r="AF259" s="1">
        <f>IF(ESTIMATIVA[[#This Row],[QT_AREA_REAL]]&gt;0,ESTIMATIVA[[#This Row],[QT_CANA_REAL]],ESTIMATIVA[[#This Row],[QT_CANA_REST2]])</f>
        <v>2047.86</v>
      </c>
      <c r="AG259" s="1" t="str">
        <f>IF(COUNTIFS(GEADA!A:A,VALUE(ESTIMATIVA[[#This Row],[CD_UPNIVEL1]]&amp;TEXT(ESTIMATIVA[[#This Row],[CD_UPNIVEL3]],"0000")))&gt;0,"S","N")</f>
        <v>N</v>
      </c>
      <c r="AH25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59" s="55" t="str">
        <f>IF(ESTIMATIVA[[#This Row],[TP_CULTIVO]]="Irrigado",_xlfn.MAXIFS(IRRIGADO!J:J,IRRIGADO!C:C,ESTIMATIVA[[#This Row],[CD_UPNIVEL1]],IRRIGADO!E:E,ESTIMATIVA[[#This Row],[CD_UPNIVEL3]]),"")</f>
        <v/>
      </c>
      <c r="AJ25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59" s="1">
        <f>COUNTIFS(Apresentação!$E$23:$E$29,ESTIMATIVA[[#This Row],[CD_UPNIVEL1]])</f>
        <v>0</v>
      </c>
    </row>
    <row r="260" spans="1:37" x14ac:dyDescent="0.3">
      <c r="A260">
        <v>20306</v>
      </c>
      <c r="B260" t="s">
        <v>23</v>
      </c>
      <c r="C260">
        <v>10</v>
      </c>
      <c r="D260">
        <v>3</v>
      </c>
      <c r="E260" t="s">
        <v>263</v>
      </c>
      <c r="F260" s="85" t="s">
        <v>331</v>
      </c>
      <c r="G260"/>
      <c r="H260" t="s">
        <v>294</v>
      </c>
      <c r="I260" t="s">
        <v>208</v>
      </c>
      <c r="J260" t="s">
        <v>176</v>
      </c>
      <c r="K260" s="1">
        <v>9.14</v>
      </c>
      <c r="L260" s="1">
        <v>0</v>
      </c>
      <c r="M260" s="1">
        <v>0</v>
      </c>
      <c r="N260" s="1">
        <v>9.14</v>
      </c>
      <c r="O260" s="1">
        <v>731.2</v>
      </c>
      <c r="P260" s="1">
        <v>0</v>
      </c>
      <c r="Q260" s="1">
        <v>0</v>
      </c>
      <c r="R260" s="1">
        <v>404.55</v>
      </c>
      <c r="S260" t="s">
        <v>12</v>
      </c>
      <c r="T260" s="13">
        <v>45795</v>
      </c>
      <c r="U260" s="1" t="str">
        <f>IF(ESTIMATIVA[[#This Row],[QT_AREA_REAL]]&gt;0,"1- Colhido","2- à Colher")</f>
        <v>1- Colhido</v>
      </c>
      <c r="V260" s="1" t="str">
        <f>IF(ESTIMATIVA[[#This Row],[QT_AREA_REST1]]&gt;0,"Reestimativa 1",IF(ESTIMATIVA[[#This Row],[QT_AREA_REAL]]=0,"Reestimativa 1","Realizado"))</f>
        <v>Realizado</v>
      </c>
      <c r="W260" s="1" t="str">
        <f>IF(ESTIMATIVA[[#This Row],[QT_AREA_REST2]]&gt;0,"Reestimativa 2",IF(ESTIMATIVA[[#This Row],[QT_AREA_REAL]]=0,"Reestimativa 2","Realizado"))</f>
        <v>Realizado</v>
      </c>
      <c r="X260" s="1">
        <f>ESTIMATIVA[[#This Row],[QT_AREA_EST]]</f>
        <v>9.14</v>
      </c>
      <c r="Y260" s="1">
        <f>IF(ESTIMATIVA[[#This Row],[QT_AREA_REST1]]&gt;0,ESTIMATIVA[[#This Row],[QT_AREA_REST1]],
  IF(ESTIMATIVA[[#This Row],[QT_AREA_REAL]]&gt;0,ESTIMATIVA[[#This Row],[QT_AREA_REAL]],ESTIMATIVA[[#This Row],[QT_AREA_EST]]))</f>
        <v>9.14</v>
      </c>
      <c r="Z26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9.14</v>
      </c>
      <c r="AA260" s="1">
        <f>ESTIMATIVA[[#This Row],[QT_CANA_EST]]</f>
        <v>731.2</v>
      </c>
      <c r="AB260" s="1">
        <f>IF(ESTIMATIVA[[#This Row],[QT_CANA_REST1]]&gt;0,ESTIMATIVA[[#This Row],[QT_CANA_REST1]],
  IF(ESTIMATIVA[[#This Row],[QT_CANA_REAL]]&gt;0,ESTIMATIVA[[#This Row],[QT_CANA_REAL]],ESTIMATIVA[[#This Row],[QT_CANA_EST]]))</f>
        <v>404.55</v>
      </c>
      <c r="AC26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404.55</v>
      </c>
      <c r="AD260" s="1">
        <f>IF(ESTIMATIVA[[#This Row],[QT_AREA_REAL]]&gt;0,ESTIMATIVA[[#This Row],[QT_CANA_REAL]],ESTIMATIVA[[#This Row],[QT_CANA_EST]])</f>
        <v>404.55</v>
      </c>
      <c r="AE260" s="1">
        <f>IF(ESTIMATIVA[[#This Row],[QT_AREA_REAL]]&gt;0,ESTIMATIVA[[#This Row],[QT_CANA_REAL]],ESTIMATIVA[[#This Row],[QT_CANA_REST1]])</f>
        <v>404.55</v>
      </c>
      <c r="AF260" s="1">
        <f>IF(ESTIMATIVA[[#This Row],[QT_AREA_REAL]]&gt;0,ESTIMATIVA[[#This Row],[QT_CANA_REAL]],ESTIMATIVA[[#This Row],[QT_CANA_REST2]])</f>
        <v>404.55</v>
      </c>
      <c r="AG260" s="1" t="str">
        <f>IF(COUNTIFS(GEADA!A:A,VALUE(ESTIMATIVA[[#This Row],[CD_UPNIVEL1]]&amp;TEXT(ESTIMATIVA[[#This Row],[CD_UPNIVEL3]],"0000")))&gt;0,"S","N")</f>
        <v>N</v>
      </c>
      <c r="AH26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60" s="55" t="str">
        <f>IF(ESTIMATIVA[[#This Row],[TP_CULTIVO]]="Irrigado",_xlfn.MAXIFS(IRRIGADO!J:J,IRRIGADO!C:C,ESTIMATIVA[[#This Row],[CD_UPNIVEL1]],IRRIGADO!E:E,ESTIMATIVA[[#This Row],[CD_UPNIVEL3]]),"")</f>
        <v/>
      </c>
      <c r="AJ26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60" s="1">
        <f>COUNTIFS(Apresentação!$E$23:$E$29,ESTIMATIVA[[#This Row],[CD_UPNIVEL1]])</f>
        <v>0</v>
      </c>
    </row>
    <row r="261" spans="1:37" x14ac:dyDescent="0.3">
      <c r="A261">
        <v>20306</v>
      </c>
      <c r="B261" t="s">
        <v>23</v>
      </c>
      <c r="C261">
        <v>11</v>
      </c>
      <c r="D261">
        <v>2</v>
      </c>
      <c r="E261" t="s">
        <v>266</v>
      </c>
      <c r="F261" s="85" t="s">
        <v>332</v>
      </c>
      <c r="G261"/>
      <c r="H261" t="s">
        <v>294</v>
      </c>
      <c r="I261" t="s">
        <v>204</v>
      </c>
      <c r="J261" t="s">
        <v>176</v>
      </c>
      <c r="K261" s="1">
        <v>52.82</v>
      </c>
      <c r="L261" s="1">
        <v>0</v>
      </c>
      <c r="M261" s="1">
        <v>0</v>
      </c>
      <c r="N261" s="1">
        <v>52.82</v>
      </c>
      <c r="O261" s="1">
        <v>4648.16</v>
      </c>
      <c r="P261" s="1">
        <v>0</v>
      </c>
      <c r="Q261" s="1">
        <v>0</v>
      </c>
      <c r="R261" s="1">
        <v>3644</v>
      </c>
      <c r="S261" t="s">
        <v>12</v>
      </c>
      <c r="T261" s="13">
        <v>45795</v>
      </c>
      <c r="U261" s="1" t="str">
        <f>IF(ESTIMATIVA[[#This Row],[QT_AREA_REAL]]&gt;0,"1- Colhido","2- à Colher")</f>
        <v>1- Colhido</v>
      </c>
      <c r="V261" s="1" t="str">
        <f>IF(ESTIMATIVA[[#This Row],[QT_AREA_REST1]]&gt;0,"Reestimativa 1",IF(ESTIMATIVA[[#This Row],[QT_AREA_REAL]]=0,"Reestimativa 1","Realizado"))</f>
        <v>Realizado</v>
      </c>
      <c r="W261" s="1" t="str">
        <f>IF(ESTIMATIVA[[#This Row],[QT_AREA_REST2]]&gt;0,"Reestimativa 2",IF(ESTIMATIVA[[#This Row],[QT_AREA_REAL]]=0,"Reestimativa 2","Realizado"))</f>
        <v>Realizado</v>
      </c>
      <c r="X261" s="1">
        <f>ESTIMATIVA[[#This Row],[QT_AREA_EST]]</f>
        <v>52.82</v>
      </c>
      <c r="Y261" s="1">
        <f>IF(ESTIMATIVA[[#This Row],[QT_AREA_REST1]]&gt;0,ESTIMATIVA[[#This Row],[QT_AREA_REST1]],
  IF(ESTIMATIVA[[#This Row],[QT_AREA_REAL]]&gt;0,ESTIMATIVA[[#This Row],[QT_AREA_REAL]],ESTIMATIVA[[#This Row],[QT_AREA_EST]]))</f>
        <v>52.82</v>
      </c>
      <c r="Z26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52.82</v>
      </c>
      <c r="AA261" s="1">
        <f>ESTIMATIVA[[#This Row],[QT_CANA_EST]]</f>
        <v>4648.16</v>
      </c>
      <c r="AB261" s="1">
        <f>IF(ESTIMATIVA[[#This Row],[QT_CANA_REST1]]&gt;0,ESTIMATIVA[[#This Row],[QT_CANA_REST1]],
  IF(ESTIMATIVA[[#This Row],[QT_CANA_REAL]]&gt;0,ESTIMATIVA[[#This Row],[QT_CANA_REAL]],ESTIMATIVA[[#This Row],[QT_CANA_EST]]))</f>
        <v>3644</v>
      </c>
      <c r="AC26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3644</v>
      </c>
      <c r="AD261" s="1">
        <f>IF(ESTIMATIVA[[#This Row],[QT_AREA_REAL]]&gt;0,ESTIMATIVA[[#This Row],[QT_CANA_REAL]],ESTIMATIVA[[#This Row],[QT_CANA_EST]])</f>
        <v>3644</v>
      </c>
      <c r="AE261" s="1">
        <f>IF(ESTIMATIVA[[#This Row],[QT_AREA_REAL]]&gt;0,ESTIMATIVA[[#This Row],[QT_CANA_REAL]],ESTIMATIVA[[#This Row],[QT_CANA_REST1]])</f>
        <v>3644</v>
      </c>
      <c r="AF261" s="1">
        <f>IF(ESTIMATIVA[[#This Row],[QT_AREA_REAL]]&gt;0,ESTIMATIVA[[#This Row],[QT_CANA_REAL]],ESTIMATIVA[[#This Row],[QT_CANA_REST2]])</f>
        <v>3644</v>
      </c>
      <c r="AG261" s="1" t="str">
        <f>IF(COUNTIFS(GEADA!A:A,VALUE(ESTIMATIVA[[#This Row],[CD_UPNIVEL1]]&amp;TEXT(ESTIMATIVA[[#This Row],[CD_UPNIVEL3]],"0000")))&gt;0,"S","N")</f>
        <v>N</v>
      </c>
      <c r="AH26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61" s="55" t="str">
        <f>IF(ESTIMATIVA[[#This Row],[TP_CULTIVO]]="Irrigado",_xlfn.MAXIFS(IRRIGADO!J:J,IRRIGADO!C:C,ESTIMATIVA[[#This Row],[CD_UPNIVEL1]],IRRIGADO!E:E,ESTIMATIVA[[#This Row],[CD_UPNIVEL3]]),"")</f>
        <v/>
      </c>
      <c r="AJ26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61" s="1">
        <f>COUNTIFS(Apresentação!$E$23:$E$29,ESTIMATIVA[[#This Row],[CD_UPNIVEL1]])</f>
        <v>0</v>
      </c>
    </row>
    <row r="262" spans="1:37" x14ac:dyDescent="0.3">
      <c r="A262">
        <v>20306</v>
      </c>
      <c r="B262" t="s">
        <v>23</v>
      </c>
      <c r="C262">
        <v>12</v>
      </c>
      <c r="D262">
        <v>2</v>
      </c>
      <c r="E262" t="s">
        <v>266</v>
      </c>
      <c r="F262" s="85" t="s">
        <v>332</v>
      </c>
      <c r="G262"/>
      <c r="H262" t="s">
        <v>294</v>
      </c>
      <c r="I262" t="s">
        <v>210</v>
      </c>
      <c r="J262" t="s">
        <v>176</v>
      </c>
      <c r="K262" s="1">
        <v>36.64</v>
      </c>
      <c r="L262" s="1">
        <v>0</v>
      </c>
      <c r="M262" s="1">
        <v>0</v>
      </c>
      <c r="N262" s="1">
        <v>36.64</v>
      </c>
      <c r="O262" s="1">
        <v>3297.6</v>
      </c>
      <c r="P262" s="1">
        <v>0</v>
      </c>
      <c r="Q262" s="1">
        <v>0</v>
      </c>
      <c r="R262" s="1">
        <v>3435.96</v>
      </c>
      <c r="S262" t="s">
        <v>12</v>
      </c>
      <c r="T262" s="13">
        <v>45788</v>
      </c>
      <c r="U262" s="1" t="str">
        <f>IF(ESTIMATIVA[[#This Row],[QT_AREA_REAL]]&gt;0,"1- Colhido","2- à Colher")</f>
        <v>1- Colhido</v>
      </c>
      <c r="V262" s="1" t="str">
        <f>IF(ESTIMATIVA[[#This Row],[QT_AREA_REST1]]&gt;0,"Reestimativa 1",IF(ESTIMATIVA[[#This Row],[QT_AREA_REAL]]=0,"Reestimativa 1","Realizado"))</f>
        <v>Realizado</v>
      </c>
      <c r="W262" s="1" t="str">
        <f>IF(ESTIMATIVA[[#This Row],[QT_AREA_REST2]]&gt;0,"Reestimativa 2",IF(ESTIMATIVA[[#This Row],[QT_AREA_REAL]]=0,"Reestimativa 2","Realizado"))</f>
        <v>Realizado</v>
      </c>
      <c r="X262" s="1">
        <f>ESTIMATIVA[[#This Row],[QT_AREA_EST]]</f>
        <v>36.64</v>
      </c>
      <c r="Y262" s="1">
        <f>IF(ESTIMATIVA[[#This Row],[QT_AREA_REST1]]&gt;0,ESTIMATIVA[[#This Row],[QT_AREA_REST1]],
  IF(ESTIMATIVA[[#This Row],[QT_AREA_REAL]]&gt;0,ESTIMATIVA[[#This Row],[QT_AREA_REAL]],ESTIMATIVA[[#This Row],[QT_AREA_EST]]))</f>
        <v>36.64</v>
      </c>
      <c r="Z26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36.64</v>
      </c>
      <c r="AA262" s="1">
        <f>ESTIMATIVA[[#This Row],[QT_CANA_EST]]</f>
        <v>3297.6</v>
      </c>
      <c r="AB262" s="1">
        <f>IF(ESTIMATIVA[[#This Row],[QT_CANA_REST1]]&gt;0,ESTIMATIVA[[#This Row],[QT_CANA_REST1]],
  IF(ESTIMATIVA[[#This Row],[QT_CANA_REAL]]&gt;0,ESTIMATIVA[[#This Row],[QT_CANA_REAL]],ESTIMATIVA[[#This Row],[QT_CANA_EST]]))</f>
        <v>3435.96</v>
      </c>
      <c r="AC26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3435.96</v>
      </c>
      <c r="AD262" s="1">
        <f>IF(ESTIMATIVA[[#This Row],[QT_AREA_REAL]]&gt;0,ESTIMATIVA[[#This Row],[QT_CANA_REAL]],ESTIMATIVA[[#This Row],[QT_CANA_EST]])</f>
        <v>3435.96</v>
      </c>
      <c r="AE262" s="1">
        <f>IF(ESTIMATIVA[[#This Row],[QT_AREA_REAL]]&gt;0,ESTIMATIVA[[#This Row],[QT_CANA_REAL]],ESTIMATIVA[[#This Row],[QT_CANA_REST1]])</f>
        <v>3435.96</v>
      </c>
      <c r="AF262" s="1">
        <f>IF(ESTIMATIVA[[#This Row],[QT_AREA_REAL]]&gt;0,ESTIMATIVA[[#This Row],[QT_CANA_REAL]],ESTIMATIVA[[#This Row],[QT_CANA_REST2]])</f>
        <v>3435.96</v>
      </c>
      <c r="AG262" s="1" t="str">
        <f>IF(COUNTIFS(GEADA!A:A,VALUE(ESTIMATIVA[[#This Row],[CD_UPNIVEL1]]&amp;TEXT(ESTIMATIVA[[#This Row],[CD_UPNIVEL3]],"0000")))&gt;0,"S","N")</f>
        <v>N</v>
      </c>
      <c r="AH26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62" s="55" t="str">
        <f>IF(ESTIMATIVA[[#This Row],[TP_CULTIVO]]="Irrigado",_xlfn.MAXIFS(IRRIGADO!J:J,IRRIGADO!C:C,ESTIMATIVA[[#This Row],[CD_UPNIVEL1]],IRRIGADO!E:E,ESTIMATIVA[[#This Row],[CD_UPNIVEL3]]),"")</f>
        <v/>
      </c>
      <c r="AJ26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62" s="1">
        <f>COUNTIFS(Apresentação!$E$23:$E$29,ESTIMATIVA[[#This Row],[CD_UPNIVEL1]])</f>
        <v>0</v>
      </c>
    </row>
    <row r="263" spans="1:37" x14ac:dyDescent="0.3">
      <c r="A263">
        <v>20306</v>
      </c>
      <c r="B263" t="s">
        <v>23</v>
      </c>
      <c r="C263">
        <v>13</v>
      </c>
      <c r="D263">
        <v>2</v>
      </c>
      <c r="E263" t="s">
        <v>266</v>
      </c>
      <c r="F263" s="85" t="s">
        <v>331</v>
      </c>
      <c r="G263"/>
      <c r="H263" t="s">
        <v>294</v>
      </c>
      <c r="I263" t="s">
        <v>204</v>
      </c>
      <c r="J263" t="s">
        <v>176</v>
      </c>
      <c r="K263" s="1">
        <v>36.11</v>
      </c>
      <c r="L263" s="1">
        <v>0</v>
      </c>
      <c r="M263" s="1">
        <v>0</v>
      </c>
      <c r="N263" s="1">
        <v>36.11</v>
      </c>
      <c r="O263" s="1">
        <v>3394.34</v>
      </c>
      <c r="P263" s="1">
        <v>0</v>
      </c>
      <c r="Q263" s="1">
        <v>0</v>
      </c>
      <c r="R263" s="1">
        <v>3536.23</v>
      </c>
      <c r="S263" t="s">
        <v>12</v>
      </c>
      <c r="T263" s="13">
        <v>45788</v>
      </c>
      <c r="U263" s="1" t="str">
        <f>IF(ESTIMATIVA[[#This Row],[QT_AREA_REAL]]&gt;0,"1- Colhido","2- à Colher")</f>
        <v>1- Colhido</v>
      </c>
      <c r="V263" s="1" t="str">
        <f>IF(ESTIMATIVA[[#This Row],[QT_AREA_REST1]]&gt;0,"Reestimativa 1",IF(ESTIMATIVA[[#This Row],[QT_AREA_REAL]]=0,"Reestimativa 1","Realizado"))</f>
        <v>Realizado</v>
      </c>
      <c r="W263" s="1" t="str">
        <f>IF(ESTIMATIVA[[#This Row],[QT_AREA_REST2]]&gt;0,"Reestimativa 2",IF(ESTIMATIVA[[#This Row],[QT_AREA_REAL]]=0,"Reestimativa 2","Realizado"))</f>
        <v>Realizado</v>
      </c>
      <c r="X263" s="1">
        <f>ESTIMATIVA[[#This Row],[QT_AREA_EST]]</f>
        <v>36.11</v>
      </c>
      <c r="Y263" s="1">
        <f>IF(ESTIMATIVA[[#This Row],[QT_AREA_REST1]]&gt;0,ESTIMATIVA[[#This Row],[QT_AREA_REST1]],
  IF(ESTIMATIVA[[#This Row],[QT_AREA_REAL]]&gt;0,ESTIMATIVA[[#This Row],[QT_AREA_REAL]],ESTIMATIVA[[#This Row],[QT_AREA_EST]]))</f>
        <v>36.11</v>
      </c>
      <c r="Z26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36.11</v>
      </c>
      <c r="AA263" s="1">
        <f>ESTIMATIVA[[#This Row],[QT_CANA_EST]]</f>
        <v>3394.34</v>
      </c>
      <c r="AB263" s="1">
        <f>IF(ESTIMATIVA[[#This Row],[QT_CANA_REST1]]&gt;0,ESTIMATIVA[[#This Row],[QT_CANA_REST1]],
  IF(ESTIMATIVA[[#This Row],[QT_CANA_REAL]]&gt;0,ESTIMATIVA[[#This Row],[QT_CANA_REAL]],ESTIMATIVA[[#This Row],[QT_CANA_EST]]))</f>
        <v>3536.23</v>
      </c>
      <c r="AC26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3536.23</v>
      </c>
      <c r="AD263" s="1">
        <f>IF(ESTIMATIVA[[#This Row],[QT_AREA_REAL]]&gt;0,ESTIMATIVA[[#This Row],[QT_CANA_REAL]],ESTIMATIVA[[#This Row],[QT_CANA_EST]])</f>
        <v>3536.23</v>
      </c>
      <c r="AE263" s="1">
        <f>IF(ESTIMATIVA[[#This Row],[QT_AREA_REAL]]&gt;0,ESTIMATIVA[[#This Row],[QT_CANA_REAL]],ESTIMATIVA[[#This Row],[QT_CANA_REST1]])</f>
        <v>3536.23</v>
      </c>
      <c r="AF263" s="1">
        <f>IF(ESTIMATIVA[[#This Row],[QT_AREA_REAL]]&gt;0,ESTIMATIVA[[#This Row],[QT_CANA_REAL]],ESTIMATIVA[[#This Row],[QT_CANA_REST2]])</f>
        <v>3536.23</v>
      </c>
      <c r="AG263" s="1" t="str">
        <f>IF(COUNTIFS(GEADA!A:A,VALUE(ESTIMATIVA[[#This Row],[CD_UPNIVEL1]]&amp;TEXT(ESTIMATIVA[[#This Row],[CD_UPNIVEL3]],"0000")))&gt;0,"S","N")</f>
        <v>N</v>
      </c>
      <c r="AH26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63" s="55" t="str">
        <f>IF(ESTIMATIVA[[#This Row],[TP_CULTIVO]]="Irrigado",_xlfn.MAXIFS(IRRIGADO!J:J,IRRIGADO!C:C,ESTIMATIVA[[#This Row],[CD_UPNIVEL1]],IRRIGADO!E:E,ESTIMATIVA[[#This Row],[CD_UPNIVEL3]]),"")</f>
        <v/>
      </c>
      <c r="AJ26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63" s="1">
        <f>COUNTIFS(Apresentação!$E$23:$E$29,ESTIMATIVA[[#This Row],[CD_UPNIVEL1]])</f>
        <v>0</v>
      </c>
    </row>
    <row r="264" spans="1:37" x14ac:dyDescent="0.3">
      <c r="A264">
        <v>20306</v>
      </c>
      <c r="B264" t="s">
        <v>23</v>
      </c>
      <c r="C264">
        <v>901</v>
      </c>
      <c r="D264">
        <v>1</v>
      </c>
      <c r="E264" t="s">
        <v>264</v>
      </c>
      <c r="F264" s="85" t="s">
        <v>331</v>
      </c>
      <c r="G264"/>
      <c r="H264" t="s">
        <v>294</v>
      </c>
      <c r="I264" t="s">
        <v>204</v>
      </c>
      <c r="J264" t="s">
        <v>176</v>
      </c>
      <c r="K264" s="1">
        <v>20.79</v>
      </c>
      <c r="L264" s="1">
        <v>0</v>
      </c>
      <c r="M264" s="1">
        <v>0</v>
      </c>
      <c r="N264" s="1">
        <v>20.79</v>
      </c>
      <c r="O264" s="1">
        <v>1871.1</v>
      </c>
      <c r="P264" s="1">
        <v>0</v>
      </c>
      <c r="Q264" s="1">
        <v>0</v>
      </c>
      <c r="R264" s="1">
        <v>1035.69</v>
      </c>
      <c r="S264" t="s">
        <v>12</v>
      </c>
      <c r="T264" s="13">
        <v>45795</v>
      </c>
      <c r="U264" s="1" t="str">
        <f>IF(ESTIMATIVA[[#This Row],[QT_AREA_REAL]]&gt;0,"1- Colhido","2- à Colher")</f>
        <v>1- Colhido</v>
      </c>
      <c r="V264" s="1" t="str">
        <f>IF(ESTIMATIVA[[#This Row],[QT_AREA_REST1]]&gt;0,"Reestimativa 1",IF(ESTIMATIVA[[#This Row],[QT_AREA_REAL]]=0,"Reestimativa 1","Realizado"))</f>
        <v>Realizado</v>
      </c>
      <c r="W264" s="1" t="str">
        <f>IF(ESTIMATIVA[[#This Row],[QT_AREA_REST2]]&gt;0,"Reestimativa 2",IF(ESTIMATIVA[[#This Row],[QT_AREA_REAL]]=0,"Reestimativa 2","Realizado"))</f>
        <v>Realizado</v>
      </c>
      <c r="X264" s="1">
        <f>ESTIMATIVA[[#This Row],[QT_AREA_EST]]</f>
        <v>20.79</v>
      </c>
      <c r="Y264" s="1">
        <f>IF(ESTIMATIVA[[#This Row],[QT_AREA_REST1]]&gt;0,ESTIMATIVA[[#This Row],[QT_AREA_REST1]],
  IF(ESTIMATIVA[[#This Row],[QT_AREA_REAL]]&gt;0,ESTIMATIVA[[#This Row],[QT_AREA_REAL]],ESTIMATIVA[[#This Row],[QT_AREA_EST]]))</f>
        <v>20.79</v>
      </c>
      <c r="Z26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20.79</v>
      </c>
      <c r="AA264" s="1">
        <f>ESTIMATIVA[[#This Row],[QT_CANA_EST]]</f>
        <v>1871.1</v>
      </c>
      <c r="AB264" s="1">
        <f>IF(ESTIMATIVA[[#This Row],[QT_CANA_REST1]]&gt;0,ESTIMATIVA[[#This Row],[QT_CANA_REST1]],
  IF(ESTIMATIVA[[#This Row],[QT_CANA_REAL]]&gt;0,ESTIMATIVA[[#This Row],[QT_CANA_REAL]],ESTIMATIVA[[#This Row],[QT_CANA_EST]]))</f>
        <v>1035.69</v>
      </c>
      <c r="AC26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1035.69</v>
      </c>
      <c r="AD264" s="1">
        <f>IF(ESTIMATIVA[[#This Row],[QT_AREA_REAL]]&gt;0,ESTIMATIVA[[#This Row],[QT_CANA_REAL]],ESTIMATIVA[[#This Row],[QT_CANA_EST]])</f>
        <v>1035.69</v>
      </c>
      <c r="AE264" s="1">
        <f>IF(ESTIMATIVA[[#This Row],[QT_AREA_REAL]]&gt;0,ESTIMATIVA[[#This Row],[QT_CANA_REAL]],ESTIMATIVA[[#This Row],[QT_CANA_REST1]])</f>
        <v>1035.69</v>
      </c>
      <c r="AF264" s="1">
        <f>IF(ESTIMATIVA[[#This Row],[QT_AREA_REAL]]&gt;0,ESTIMATIVA[[#This Row],[QT_CANA_REAL]],ESTIMATIVA[[#This Row],[QT_CANA_REST2]])</f>
        <v>1035.69</v>
      </c>
      <c r="AG264" s="1" t="str">
        <f>IF(COUNTIFS(GEADA!A:A,VALUE(ESTIMATIVA[[#This Row],[CD_UPNIVEL1]]&amp;TEXT(ESTIMATIVA[[#This Row],[CD_UPNIVEL3]],"0000")))&gt;0,"S","N")</f>
        <v>N</v>
      </c>
      <c r="AH26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64" s="55" t="str">
        <f>IF(ESTIMATIVA[[#This Row],[TP_CULTIVO]]="Irrigado",_xlfn.MAXIFS(IRRIGADO!J:J,IRRIGADO!C:C,ESTIMATIVA[[#This Row],[CD_UPNIVEL1]],IRRIGADO!E:E,ESTIMATIVA[[#This Row],[CD_UPNIVEL3]]),"")</f>
        <v/>
      </c>
      <c r="AJ26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64" s="1">
        <f>COUNTIFS(Apresentação!$E$23:$E$29,ESTIMATIVA[[#This Row],[CD_UPNIVEL1]])</f>
        <v>0</v>
      </c>
    </row>
    <row r="265" spans="1:37" x14ac:dyDescent="0.3">
      <c r="A265">
        <v>20307</v>
      </c>
      <c r="B265" t="s">
        <v>24</v>
      </c>
      <c r="C265">
        <v>1</v>
      </c>
      <c r="D265">
        <v>4</v>
      </c>
      <c r="E265" t="s">
        <v>265</v>
      </c>
      <c r="F265" s="85" t="s">
        <v>331</v>
      </c>
      <c r="G265"/>
      <c r="H265" t="s">
        <v>295</v>
      </c>
      <c r="I265" t="s">
        <v>209</v>
      </c>
      <c r="J265" t="s">
        <v>176</v>
      </c>
      <c r="K265" s="1">
        <v>31.41</v>
      </c>
      <c r="L265" s="1">
        <v>0</v>
      </c>
      <c r="M265" s="1">
        <v>0</v>
      </c>
      <c r="N265" s="1">
        <v>31.41</v>
      </c>
      <c r="O265" s="1">
        <v>2512.8000000000002</v>
      </c>
      <c r="P265" s="1">
        <v>0</v>
      </c>
      <c r="Q265" s="1">
        <v>0</v>
      </c>
      <c r="R265" s="1">
        <v>1782.79</v>
      </c>
      <c r="S265" t="s">
        <v>12</v>
      </c>
      <c r="T265" s="13">
        <v>45830</v>
      </c>
      <c r="U265" s="1" t="str">
        <f>IF(ESTIMATIVA[[#This Row],[QT_AREA_REAL]]&gt;0,"1- Colhido","2- à Colher")</f>
        <v>1- Colhido</v>
      </c>
      <c r="V265" s="1" t="str">
        <f>IF(ESTIMATIVA[[#This Row],[QT_AREA_REST1]]&gt;0,"Reestimativa 1",IF(ESTIMATIVA[[#This Row],[QT_AREA_REAL]]=0,"Reestimativa 1","Realizado"))</f>
        <v>Realizado</v>
      </c>
      <c r="W265" s="1" t="str">
        <f>IF(ESTIMATIVA[[#This Row],[QT_AREA_REST2]]&gt;0,"Reestimativa 2",IF(ESTIMATIVA[[#This Row],[QT_AREA_REAL]]=0,"Reestimativa 2","Realizado"))</f>
        <v>Realizado</v>
      </c>
      <c r="X265" s="1">
        <f>ESTIMATIVA[[#This Row],[QT_AREA_EST]]</f>
        <v>31.41</v>
      </c>
      <c r="Y265" s="1">
        <f>IF(ESTIMATIVA[[#This Row],[QT_AREA_REST1]]&gt;0,ESTIMATIVA[[#This Row],[QT_AREA_REST1]],
  IF(ESTIMATIVA[[#This Row],[QT_AREA_REAL]]&gt;0,ESTIMATIVA[[#This Row],[QT_AREA_REAL]],ESTIMATIVA[[#This Row],[QT_AREA_EST]]))</f>
        <v>31.41</v>
      </c>
      <c r="Z26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31.41</v>
      </c>
      <c r="AA265" s="1">
        <f>ESTIMATIVA[[#This Row],[QT_CANA_EST]]</f>
        <v>2512.8000000000002</v>
      </c>
      <c r="AB265" s="1">
        <f>IF(ESTIMATIVA[[#This Row],[QT_CANA_REST1]]&gt;0,ESTIMATIVA[[#This Row],[QT_CANA_REST1]],
  IF(ESTIMATIVA[[#This Row],[QT_CANA_REAL]]&gt;0,ESTIMATIVA[[#This Row],[QT_CANA_REAL]],ESTIMATIVA[[#This Row],[QT_CANA_EST]]))</f>
        <v>1782.79</v>
      </c>
      <c r="AC26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1782.79</v>
      </c>
      <c r="AD265" s="1">
        <f>IF(ESTIMATIVA[[#This Row],[QT_AREA_REAL]]&gt;0,ESTIMATIVA[[#This Row],[QT_CANA_REAL]],ESTIMATIVA[[#This Row],[QT_CANA_EST]])</f>
        <v>1782.79</v>
      </c>
      <c r="AE265" s="1">
        <f>IF(ESTIMATIVA[[#This Row],[QT_AREA_REAL]]&gt;0,ESTIMATIVA[[#This Row],[QT_CANA_REAL]],ESTIMATIVA[[#This Row],[QT_CANA_REST1]])</f>
        <v>1782.79</v>
      </c>
      <c r="AF265" s="1">
        <f>IF(ESTIMATIVA[[#This Row],[QT_AREA_REAL]]&gt;0,ESTIMATIVA[[#This Row],[QT_CANA_REAL]],ESTIMATIVA[[#This Row],[QT_CANA_REST2]])</f>
        <v>1782.79</v>
      </c>
      <c r="AG265" s="1" t="str">
        <f>IF(COUNTIFS(GEADA!A:A,VALUE(ESTIMATIVA[[#This Row],[CD_UPNIVEL1]]&amp;TEXT(ESTIMATIVA[[#This Row],[CD_UPNIVEL3]],"0000")))&gt;0,"S","N")</f>
        <v>N</v>
      </c>
      <c r="AH26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65" s="55" t="str">
        <f>IF(ESTIMATIVA[[#This Row],[TP_CULTIVO]]="Irrigado",_xlfn.MAXIFS(IRRIGADO!J:J,IRRIGADO!C:C,ESTIMATIVA[[#This Row],[CD_UPNIVEL1]],IRRIGADO!E:E,ESTIMATIVA[[#This Row],[CD_UPNIVEL3]]),"")</f>
        <v/>
      </c>
      <c r="AJ26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65" s="1">
        <f>COUNTIFS(Apresentação!$E$23:$E$29,ESTIMATIVA[[#This Row],[CD_UPNIVEL1]])</f>
        <v>0</v>
      </c>
    </row>
    <row r="266" spans="1:37" x14ac:dyDescent="0.3">
      <c r="A266">
        <v>20307</v>
      </c>
      <c r="B266" t="s">
        <v>24</v>
      </c>
      <c r="C266">
        <v>2</v>
      </c>
      <c r="D266">
        <v>4</v>
      </c>
      <c r="E266" t="s">
        <v>265</v>
      </c>
      <c r="F266" s="85" t="s">
        <v>332</v>
      </c>
      <c r="G266"/>
      <c r="H266" t="s">
        <v>295</v>
      </c>
      <c r="I266" t="s">
        <v>204</v>
      </c>
      <c r="J266" t="s">
        <v>176</v>
      </c>
      <c r="K266" s="1">
        <v>35.79</v>
      </c>
      <c r="L266" s="1">
        <v>0</v>
      </c>
      <c r="M266" s="1">
        <v>0</v>
      </c>
      <c r="N266" s="1">
        <v>35.79</v>
      </c>
      <c r="O266" s="1">
        <v>2863.2</v>
      </c>
      <c r="P266" s="1">
        <v>0</v>
      </c>
      <c r="Q266" s="1">
        <v>0</v>
      </c>
      <c r="R266" s="1">
        <v>2031.63</v>
      </c>
      <c r="S266" t="s">
        <v>12</v>
      </c>
      <c r="T266" s="13">
        <v>45830</v>
      </c>
      <c r="U266" s="1" t="str">
        <f>IF(ESTIMATIVA[[#This Row],[QT_AREA_REAL]]&gt;0,"1- Colhido","2- à Colher")</f>
        <v>1- Colhido</v>
      </c>
      <c r="V266" s="1" t="str">
        <f>IF(ESTIMATIVA[[#This Row],[QT_AREA_REST1]]&gt;0,"Reestimativa 1",IF(ESTIMATIVA[[#This Row],[QT_AREA_REAL]]=0,"Reestimativa 1","Realizado"))</f>
        <v>Realizado</v>
      </c>
      <c r="W266" s="1" t="str">
        <f>IF(ESTIMATIVA[[#This Row],[QT_AREA_REST2]]&gt;0,"Reestimativa 2",IF(ESTIMATIVA[[#This Row],[QT_AREA_REAL]]=0,"Reestimativa 2","Realizado"))</f>
        <v>Realizado</v>
      </c>
      <c r="X266" s="1">
        <f>ESTIMATIVA[[#This Row],[QT_AREA_EST]]</f>
        <v>35.79</v>
      </c>
      <c r="Y266" s="1">
        <f>IF(ESTIMATIVA[[#This Row],[QT_AREA_REST1]]&gt;0,ESTIMATIVA[[#This Row],[QT_AREA_REST1]],
  IF(ESTIMATIVA[[#This Row],[QT_AREA_REAL]]&gt;0,ESTIMATIVA[[#This Row],[QT_AREA_REAL]],ESTIMATIVA[[#This Row],[QT_AREA_EST]]))</f>
        <v>35.79</v>
      </c>
      <c r="Z26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35.79</v>
      </c>
      <c r="AA266" s="1">
        <f>ESTIMATIVA[[#This Row],[QT_CANA_EST]]</f>
        <v>2863.2</v>
      </c>
      <c r="AB266" s="1">
        <f>IF(ESTIMATIVA[[#This Row],[QT_CANA_REST1]]&gt;0,ESTIMATIVA[[#This Row],[QT_CANA_REST1]],
  IF(ESTIMATIVA[[#This Row],[QT_CANA_REAL]]&gt;0,ESTIMATIVA[[#This Row],[QT_CANA_REAL]],ESTIMATIVA[[#This Row],[QT_CANA_EST]]))</f>
        <v>2031.63</v>
      </c>
      <c r="AC26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2031.63</v>
      </c>
      <c r="AD266" s="1">
        <f>IF(ESTIMATIVA[[#This Row],[QT_AREA_REAL]]&gt;0,ESTIMATIVA[[#This Row],[QT_CANA_REAL]],ESTIMATIVA[[#This Row],[QT_CANA_EST]])</f>
        <v>2031.63</v>
      </c>
      <c r="AE266" s="1">
        <f>IF(ESTIMATIVA[[#This Row],[QT_AREA_REAL]]&gt;0,ESTIMATIVA[[#This Row],[QT_CANA_REAL]],ESTIMATIVA[[#This Row],[QT_CANA_REST1]])</f>
        <v>2031.63</v>
      </c>
      <c r="AF266" s="1">
        <f>IF(ESTIMATIVA[[#This Row],[QT_AREA_REAL]]&gt;0,ESTIMATIVA[[#This Row],[QT_CANA_REAL]],ESTIMATIVA[[#This Row],[QT_CANA_REST2]])</f>
        <v>2031.63</v>
      </c>
      <c r="AG266" s="1" t="str">
        <f>IF(COUNTIFS(GEADA!A:A,VALUE(ESTIMATIVA[[#This Row],[CD_UPNIVEL1]]&amp;TEXT(ESTIMATIVA[[#This Row],[CD_UPNIVEL3]],"0000")))&gt;0,"S","N")</f>
        <v>N</v>
      </c>
      <c r="AH26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66" s="55" t="str">
        <f>IF(ESTIMATIVA[[#This Row],[TP_CULTIVO]]="Irrigado",_xlfn.MAXIFS(IRRIGADO!J:J,IRRIGADO!C:C,ESTIMATIVA[[#This Row],[CD_UPNIVEL1]],IRRIGADO!E:E,ESTIMATIVA[[#This Row],[CD_UPNIVEL3]]),"")</f>
        <v/>
      </c>
      <c r="AJ26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66" s="1">
        <f>COUNTIFS(Apresentação!$E$23:$E$29,ESTIMATIVA[[#This Row],[CD_UPNIVEL1]])</f>
        <v>0</v>
      </c>
    </row>
    <row r="267" spans="1:37" x14ac:dyDescent="0.3">
      <c r="A267">
        <v>20307</v>
      </c>
      <c r="B267" t="s">
        <v>24</v>
      </c>
      <c r="C267">
        <v>3</v>
      </c>
      <c r="D267">
        <v>4</v>
      </c>
      <c r="E267" t="s">
        <v>265</v>
      </c>
      <c r="F267" s="85" t="s">
        <v>331</v>
      </c>
      <c r="G267"/>
      <c r="H267" t="s">
        <v>295</v>
      </c>
      <c r="I267" t="s">
        <v>204</v>
      </c>
      <c r="J267" t="s">
        <v>176</v>
      </c>
      <c r="K267" s="1">
        <v>4.53</v>
      </c>
      <c r="L267" s="1">
        <v>0</v>
      </c>
      <c r="M267" s="1">
        <v>0</v>
      </c>
      <c r="N267" s="1">
        <v>4.53</v>
      </c>
      <c r="O267" s="1">
        <v>362.4</v>
      </c>
      <c r="P267" s="1">
        <v>0</v>
      </c>
      <c r="Q267" s="1">
        <v>0</v>
      </c>
      <c r="R267" s="1">
        <v>257.18</v>
      </c>
      <c r="S267" t="s">
        <v>12</v>
      </c>
      <c r="T267" s="13">
        <v>45830</v>
      </c>
      <c r="U267" s="1" t="str">
        <f>IF(ESTIMATIVA[[#This Row],[QT_AREA_REAL]]&gt;0,"1- Colhido","2- à Colher")</f>
        <v>1- Colhido</v>
      </c>
      <c r="V267" s="1" t="str">
        <f>IF(ESTIMATIVA[[#This Row],[QT_AREA_REST1]]&gt;0,"Reestimativa 1",IF(ESTIMATIVA[[#This Row],[QT_AREA_REAL]]=0,"Reestimativa 1","Realizado"))</f>
        <v>Realizado</v>
      </c>
      <c r="W267" s="1" t="str">
        <f>IF(ESTIMATIVA[[#This Row],[QT_AREA_REST2]]&gt;0,"Reestimativa 2",IF(ESTIMATIVA[[#This Row],[QT_AREA_REAL]]=0,"Reestimativa 2","Realizado"))</f>
        <v>Realizado</v>
      </c>
      <c r="X267" s="1">
        <f>ESTIMATIVA[[#This Row],[QT_AREA_EST]]</f>
        <v>4.53</v>
      </c>
      <c r="Y267" s="1">
        <f>IF(ESTIMATIVA[[#This Row],[QT_AREA_REST1]]&gt;0,ESTIMATIVA[[#This Row],[QT_AREA_REST1]],
  IF(ESTIMATIVA[[#This Row],[QT_AREA_REAL]]&gt;0,ESTIMATIVA[[#This Row],[QT_AREA_REAL]],ESTIMATIVA[[#This Row],[QT_AREA_EST]]))</f>
        <v>4.53</v>
      </c>
      <c r="Z26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4.53</v>
      </c>
      <c r="AA267" s="1">
        <f>ESTIMATIVA[[#This Row],[QT_CANA_EST]]</f>
        <v>362.4</v>
      </c>
      <c r="AB267" s="1">
        <f>IF(ESTIMATIVA[[#This Row],[QT_CANA_REST1]]&gt;0,ESTIMATIVA[[#This Row],[QT_CANA_REST1]],
  IF(ESTIMATIVA[[#This Row],[QT_CANA_REAL]]&gt;0,ESTIMATIVA[[#This Row],[QT_CANA_REAL]],ESTIMATIVA[[#This Row],[QT_CANA_EST]]))</f>
        <v>257.18</v>
      </c>
      <c r="AC26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257.18</v>
      </c>
      <c r="AD267" s="1">
        <f>IF(ESTIMATIVA[[#This Row],[QT_AREA_REAL]]&gt;0,ESTIMATIVA[[#This Row],[QT_CANA_REAL]],ESTIMATIVA[[#This Row],[QT_CANA_EST]])</f>
        <v>257.18</v>
      </c>
      <c r="AE267" s="1">
        <f>IF(ESTIMATIVA[[#This Row],[QT_AREA_REAL]]&gt;0,ESTIMATIVA[[#This Row],[QT_CANA_REAL]],ESTIMATIVA[[#This Row],[QT_CANA_REST1]])</f>
        <v>257.18</v>
      </c>
      <c r="AF267" s="1">
        <f>IF(ESTIMATIVA[[#This Row],[QT_AREA_REAL]]&gt;0,ESTIMATIVA[[#This Row],[QT_CANA_REAL]],ESTIMATIVA[[#This Row],[QT_CANA_REST2]])</f>
        <v>257.18</v>
      </c>
      <c r="AG267" s="1" t="str">
        <f>IF(COUNTIFS(GEADA!A:A,VALUE(ESTIMATIVA[[#This Row],[CD_UPNIVEL1]]&amp;TEXT(ESTIMATIVA[[#This Row],[CD_UPNIVEL3]],"0000")))&gt;0,"S","N")</f>
        <v>N</v>
      </c>
      <c r="AH26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67" s="55" t="str">
        <f>IF(ESTIMATIVA[[#This Row],[TP_CULTIVO]]="Irrigado",_xlfn.MAXIFS(IRRIGADO!J:J,IRRIGADO!C:C,ESTIMATIVA[[#This Row],[CD_UPNIVEL1]],IRRIGADO!E:E,ESTIMATIVA[[#This Row],[CD_UPNIVEL3]]),"")</f>
        <v/>
      </c>
      <c r="AJ26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67" s="1">
        <f>COUNTIFS(Apresentação!$E$23:$E$29,ESTIMATIVA[[#This Row],[CD_UPNIVEL1]])</f>
        <v>0</v>
      </c>
    </row>
    <row r="268" spans="1:37" x14ac:dyDescent="0.3">
      <c r="A268">
        <v>20307</v>
      </c>
      <c r="B268" t="s">
        <v>24</v>
      </c>
      <c r="C268">
        <v>4</v>
      </c>
      <c r="D268">
        <v>4</v>
      </c>
      <c r="E268" t="s">
        <v>265</v>
      </c>
      <c r="F268" s="85" t="s">
        <v>332</v>
      </c>
      <c r="G268"/>
      <c r="H268" t="s">
        <v>295</v>
      </c>
      <c r="I268" t="s">
        <v>204</v>
      </c>
      <c r="J268" t="s">
        <v>176</v>
      </c>
      <c r="K268" s="1">
        <v>45.97</v>
      </c>
      <c r="L268" s="1">
        <v>0</v>
      </c>
      <c r="M268" s="1">
        <v>0</v>
      </c>
      <c r="N268" s="1">
        <v>45.97</v>
      </c>
      <c r="O268" s="1">
        <v>3401.78</v>
      </c>
      <c r="P268" s="1">
        <v>0</v>
      </c>
      <c r="Q268" s="1">
        <v>0</v>
      </c>
      <c r="R268" s="1">
        <v>2413.7199999999998</v>
      </c>
      <c r="S268" t="s">
        <v>12</v>
      </c>
      <c r="T268" s="13">
        <v>45830</v>
      </c>
      <c r="U268" s="1" t="str">
        <f>IF(ESTIMATIVA[[#This Row],[QT_AREA_REAL]]&gt;0,"1- Colhido","2- à Colher")</f>
        <v>1- Colhido</v>
      </c>
      <c r="V268" s="1" t="str">
        <f>IF(ESTIMATIVA[[#This Row],[QT_AREA_REST1]]&gt;0,"Reestimativa 1",IF(ESTIMATIVA[[#This Row],[QT_AREA_REAL]]=0,"Reestimativa 1","Realizado"))</f>
        <v>Realizado</v>
      </c>
      <c r="W268" s="1" t="str">
        <f>IF(ESTIMATIVA[[#This Row],[QT_AREA_REST2]]&gt;0,"Reestimativa 2",IF(ESTIMATIVA[[#This Row],[QT_AREA_REAL]]=0,"Reestimativa 2","Realizado"))</f>
        <v>Realizado</v>
      </c>
      <c r="X268" s="1">
        <f>ESTIMATIVA[[#This Row],[QT_AREA_EST]]</f>
        <v>45.97</v>
      </c>
      <c r="Y268" s="1">
        <f>IF(ESTIMATIVA[[#This Row],[QT_AREA_REST1]]&gt;0,ESTIMATIVA[[#This Row],[QT_AREA_REST1]],
  IF(ESTIMATIVA[[#This Row],[QT_AREA_REAL]]&gt;0,ESTIMATIVA[[#This Row],[QT_AREA_REAL]],ESTIMATIVA[[#This Row],[QT_AREA_EST]]))</f>
        <v>45.97</v>
      </c>
      <c r="Z26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45.97</v>
      </c>
      <c r="AA268" s="1">
        <f>ESTIMATIVA[[#This Row],[QT_CANA_EST]]</f>
        <v>3401.78</v>
      </c>
      <c r="AB268" s="1">
        <f>IF(ESTIMATIVA[[#This Row],[QT_CANA_REST1]]&gt;0,ESTIMATIVA[[#This Row],[QT_CANA_REST1]],
  IF(ESTIMATIVA[[#This Row],[QT_CANA_REAL]]&gt;0,ESTIMATIVA[[#This Row],[QT_CANA_REAL]],ESTIMATIVA[[#This Row],[QT_CANA_EST]]))</f>
        <v>2413.7199999999998</v>
      </c>
      <c r="AC26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2413.7199999999998</v>
      </c>
      <c r="AD268" s="1">
        <f>IF(ESTIMATIVA[[#This Row],[QT_AREA_REAL]]&gt;0,ESTIMATIVA[[#This Row],[QT_CANA_REAL]],ESTIMATIVA[[#This Row],[QT_CANA_EST]])</f>
        <v>2413.7199999999998</v>
      </c>
      <c r="AE268" s="1">
        <f>IF(ESTIMATIVA[[#This Row],[QT_AREA_REAL]]&gt;0,ESTIMATIVA[[#This Row],[QT_CANA_REAL]],ESTIMATIVA[[#This Row],[QT_CANA_REST1]])</f>
        <v>2413.7199999999998</v>
      </c>
      <c r="AF268" s="1">
        <f>IF(ESTIMATIVA[[#This Row],[QT_AREA_REAL]]&gt;0,ESTIMATIVA[[#This Row],[QT_CANA_REAL]],ESTIMATIVA[[#This Row],[QT_CANA_REST2]])</f>
        <v>2413.7199999999998</v>
      </c>
      <c r="AG268" s="1" t="str">
        <f>IF(COUNTIFS(GEADA!A:A,VALUE(ESTIMATIVA[[#This Row],[CD_UPNIVEL1]]&amp;TEXT(ESTIMATIVA[[#This Row],[CD_UPNIVEL3]],"0000")))&gt;0,"S","N")</f>
        <v>N</v>
      </c>
      <c r="AH26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68" s="55" t="str">
        <f>IF(ESTIMATIVA[[#This Row],[TP_CULTIVO]]="Irrigado",_xlfn.MAXIFS(IRRIGADO!J:J,IRRIGADO!C:C,ESTIMATIVA[[#This Row],[CD_UPNIVEL1]],IRRIGADO!E:E,ESTIMATIVA[[#This Row],[CD_UPNIVEL3]]),"")</f>
        <v/>
      </c>
      <c r="AJ26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68" s="1">
        <f>COUNTIFS(Apresentação!$E$23:$E$29,ESTIMATIVA[[#This Row],[CD_UPNIVEL1]])</f>
        <v>0</v>
      </c>
    </row>
    <row r="269" spans="1:37" x14ac:dyDescent="0.3">
      <c r="A269">
        <v>20307</v>
      </c>
      <c r="B269" t="s">
        <v>24</v>
      </c>
      <c r="C269">
        <v>5</v>
      </c>
      <c r="D269">
        <v>4</v>
      </c>
      <c r="E269" t="s">
        <v>265</v>
      </c>
      <c r="F269" s="85" t="s">
        <v>331</v>
      </c>
      <c r="G269"/>
      <c r="H269" t="s">
        <v>295</v>
      </c>
      <c r="I269" t="s">
        <v>204</v>
      </c>
      <c r="J269" t="s">
        <v>176</v>
      </c>
      <c r="K269" s="1">
        <v>17.55</v>
      </c>
      <c r="L269" s="1">
        <v>0</v>
      </c>
      <c r="M269" s="1">
        <v>0</v>
      </c>
      <c r="N269" s="1">
        <v>17.55</v>
      </c>
      <c r="O269" s="1">
        <v>1298.7</v>
      </c>
      <c r="P269" s="1">
        <v>0</v>
      </c>
      <c r="Q269" s="1">
        <v>0</v>
      </c>
      <c r="R269" s="1">
        <v>921.98</v>
      </c>
      <c r="S269" t="s">
        <v>12</v>
      </c>
      <c r="T269" s="13">
        <v>45830</v>
      </c>
      <c r="U269" s="1" t="str">
        <f>IF(ESTIMATIVA[[#This Row],[QT_AREA_REAL]]&gt;0,"1- Colhido","2- à Colher")</f>
        <v>1- Colhido</v>
      </c>
      <c r="V269" s="1" t="str">
        <f>IF(ESTIMATIVA[[#This Row],[QT_AREA_REST1]]&gt;0,"Reestimativa 1",IF(ESTIMATIVA[[#This Row],[QT_AREA_REAL]]=0,"Reestimativa 1","Realizado"))</f>
        <v>Realizado</v>
      </c>
      <c r="W269" s="1" t="str">
        <f>IF(ESTIMATIVA[[#This Row],[QT_AREA_REST2]]&gt;0,"Reestimativa 2",IF(ESTIMATIVA[[#This Row],[QT_AREA_REAL]]=0,"Reestimativa 2","Realizado"))</f>
        <v>Realizado</v>
      </c>
      <c r="X269" s="1">
        <f>ESTIMATIVA[[#This Row],[QT_AREA_EST]]</f>
        <v>17.55</v>
      </c>
      <c r="Y269" s="1">
        <f>IF(ESTIMATIVA[[#This Row],[QT_AREA_REST1]]&gt;0,ESTIMATIVA[[#This Row],[QT_AREA_REST1]],
  IF(ESTIMATIVA[[#This Row],[QT_AREA_REAL]]&gt;0,ESTIMATIVA[[#This Row],[QT_AREA_REAL]],ESTIMATIVA[[#This Row],[QT_AREA_EST]]))</f>
        <v>17.55</v>
      </c>
      <c r="Z26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17.55</v>
      </c>
      <c r="AA269" s="1">
        <f>ESTIMATIVA[[#This Row],[QT_CANA_EST]]</f>
        <v>1298.7</v>
      </c>
      <c r="AB269" s="1">
        <f>IF(ESTIMATIVA[[#This Row],[QT_CANA_REST1]]&gt;0,ESTIMATIVA[[#This Row],[QT_CANA_REST1]],
  IF(ESTIMATIVA[[#This Row],[QT_CANA_REAL]]&gt;0,ESTIMATIVA[[#This Row],[QT_CANA_REAL]],ESTIMATIVA[[#This Row],[QT_CANA_EST]]))</f>
        <v>921.98</v>
      </c>
      <c r="AC26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921.98</v>
      </c>
      <c r="AD269" s="1">
        <f>IF(ESTIMATIVA[[#This Row],[QT_AREA_REAL]]&gt;0,ESTIMATIVA[[#This Row],[QT_CANA_REAL]],ESTIMATIVA[[#This Row],[QT_CANA_EST]])</f>
        <v>921.98</v>
      </c>
      <c r="AE269" s="1">
        <f>IF(ESTIMATIVA[[#This Row],[QT_AREA_REAL]]&gt;0,ESTIMATIVA[[#This Row],[QT_CANA_REAL]],ESTIMATIVA[[#This Row],[QT_CANA_REST1]])</f>
        <v>921.98</v>
      </c>
      <c r="AF269" s="1">
        <f>IF(ESTIMATIVA[[#This Row],[QT_AREA_REAL]]&gt;0,ESTIMATIVA[[#This Row],[QT_CANA_REAL]],ESTIMATIVA[[#This Row],[QT_CANA_REST2]])</f>
        <v>921.98</v>
      </c>
      <c r="AG269" s="1" t="str">
        <f>IF(COUNTIFS(GEADA!A:A,VALUE(ESTIMATIVA[[#This Row],[CD_UPNIVEL1]]&amp;TEXT(ESTIMATIVA[[#This Row],[CD_UPNIVEL3]],"0000")))&gt;0,"S","N")</f>
        <v>N</v>
      </c>
      <c r="AH26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69" s="55" t="str">
        <f>IF(ESTIMATIVA[[#This Row],[TP_CULTIVO]]="Irrigado",_xlfn.MAXIFS(IRRIGADO!J:J,IRRIGADO!C:C,ESTIMATIVA[[#This Row],[CD_UPNIVEL1]],IRRIGADO!E:E,ESTIMATIVA[[#This Row],[CD_UPNIVEL3]]),"")</f>
        <v/>
      </c>
      <c r="AJ26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69" s="1">
        <f>COUNTIFS(Apresentação!$E$23:$E$29,ESTIMATIVA[[#This Row],[CD_UPNIVEL1]])</f>
        <v>0</v>
      </c>
    </row>
    <row r="270" spans="1:37" x14ac:dyDescent="0.3">
      <c r="A270">
        <v>20307</v>
      </c>
      <c r="B270" t="s">
        <v>24</v>
      </c>
      <c r="C270">
        <v>6</v>
      </c>
      <c r="D270">
        <v>4</v>
      </c>
      <c r="E270" t="s">
        <v>265</v>
      </c>
      <c r="F270" s="85" t="s">
        <v>331</v>
      </c>
      <c r="G270"/>
      <c r="H270" t="s">
        <v>295</v>
      </c>
      <c r="I270" t="s">
        <v>204</v>
      </c>
      <c r="J270" t="s">
        <v>176</v>
      </c>
      <c r="K270" s="1">
        <v>12.01</v>
      </c>
      <c r="L270" s="1">
        <v>12.01</v>
      </c>
      <c r="M270" s="1">
        <v>0</v>
      </c>
      <c r="N270" s="1">
        <v>12.01</v>
      </c>
      <c r="O270" s="1">
        <v>888.74</v>
      </c>
      <c r="P270" s="1">
        <v>840.7</v>
      </c>
      <c r="Q270" s="1">
        <v>0</v>
      </c>
      <c r="R270" s="1">
        <v>784.82</v>
      </c>
      <c r="S270" t="s">
        <v>12</v>
      </c>
      <c r="T270" s="13">
        <v>45879</v>
      </c>
      <c r="U270" s="1" t="str">
        <f>IF(ESTIMATIVA[[#This Row],[QT_AREA_REAL]]&gt;0,"1- Colhido","2- à Colher")</f>
        <v>1- Colhido</v>
      </c>
      <c r="V270" s="1" t="str">
        <f>IF(ESTIMATIVA[[#This Row],[QT_AREA_REST1]]&gt;0,"Reestimativa 1",IF(ESTIMATIVA[[#This Row],[QT_AREA_REAL]]=0,"Reestimativa 1","Realizado"))</f>
        <v>Reestimativa 1</v>
      </c>
      <c r="W270" s="1" t="str">
        <f>IF(ESTIMATIVA[[#This Row],[QT_AREA_REST2]]&gt;0,"Reestimativa 2",IF(ESTIMATIVA[[#This Row],[QT_AREA_REAL]]=0,"Reestimativa 2","Realizado"))</f>
        <v>Realizado</v>
      </c>
      <c r="X270" s="1">
        <f>ESTIMATIVA[[#This Row],[QT_AREA_EST]]</f>
        <v>12.01</v>
      </c>
      <c r="Y270" s="1">
        <f>IF(ESTIMATIVA[[#This Row],[QT_AREA_REST1]]&gt;0,ESTIMATIVA[[#This Row],[QT_AREA_REST1]],
  IF(ESTIMATIVA[[#This Row],[QT_AREA_REAL]]&gt;0,ESTIMATIVA[[#This Row],[QT_AREA_REAL]],ESTIMATIVA[[#This Row],[QT_AREA_EST]]))</f>
        <v>12.01</v>
      </c>
      <c r="Z27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12.01</v>
      </c>
      <c r="AA270" s="1">
        <f>ESTIMATIVA[[#This Row],[QT_CANA_EST]]</f>
        <v>888.74</v>
      </c>
      <c r="AB270" s="1">
        <f>IF(ESTIMATIVA[[#This Row],[QT_CANA_REST1]]&gt;0,ESTIMATIVA[[#This Row],[QT_CANA_REST1]],
  IF(ESTIMATIVA[[#This Row],[QT_CANA_REAL]]&gt;0,ESTIMATIVA[[#This Row],[QT_CANA_REAL]],ESTIMATIVA[[#This Row],[QT_CANA_EST]]))</f>
        <v>840.7</v>
      </c>
      <c r="AC27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784.82</v>
      </c>
      <c r="AD270" s="1">
        <f>IF(ESTIMATIVA[[#This Row],[QT_AREA_REAL]]&gt;0,ESTIMATIVA[[#This Row],[QT_CANA_REAL]],ESTIMATIVA[[#This Row],[QT_CANA_EST]])</f>
        <v>784.82</v>
      </c>
      <c r="AE270" s="1">
        <f>IF(ESTIMATIVA[[#This Row],[QT_AREA_REAL]]&gt;0,ESTIMATIVA[[#This Row],[QT_CANA_REAL]],ESTIMATIVA[[#This Row],[QT_CANA_REST1]])</f>
        <v>784.82</v>
      </c>
      <c r="AF270" s="1">
        <f>IF(ESTIMATIVA[[#This Row],[QT_AREA_REAL]]&gt;0,ESTIMATIVA[[#This Row],[QT_CANA_REAL]],ESTIMATIVA[[#This Row],[QT_CANA_REST2]])</f>
        <v>784.82</v>
      </c>
      <c r="AG270" s="1" t="str">
        <f>IF(COUNTIFS(GEADA!A:A,VALUE(ESTIMATIVA[[#This Row],[CD_UPNIVEL1]]&amp;TEXT(ESTIMATIVA[[#This Row],[CD_UPNIVEL3]],"0000")))&gt;0,"S","N")</f>
        <v>N</v>
      </c>
      <c r="AH27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70" s="55" t="str">
        <f>IF(ESTIMATIVA[[#This Row],[TP_CULTIVO]]="Irrigado",_xlfn.MAXIFS(IRRIGADO!J:J,IRRIGADO!C:C,ESTIMATIVA[[#This Row],[CD_UPNIVEL1]],IRRIGADO!E:E,ESTIMATIVA[[#This Row],[CD_UPNIVEL3]]),"")</f>
        <v/>
      </c>
      <c r="AJ27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70" s="1">
        <f>COUNTIFS(Apresentação!$E$23:$E$29,ESTIMATIVA[[#This Row],[CD_UPNIVEL1]])</f>
        <v>0</v>
      </c>
    </row>
    <row r="271" spans="1:37" x14ac:dyDescent="0.3">
      <c r="A271">
        <v>20307</v>
      </c>
      <c r="B271" t="s">
        <v>24</v>
      </c>
      <c r="C271">
        <v>7</v>
      </c>
      <c r="D271">
        <v>4</v>
      </c>
      <c r="E271" t="s">
        <v>265</v>
      </c>
      <c r="F271" s="85" t="s">
        <v>331</v>
      </c>
      <c r="G271"/>
      <c r="H271" t="s">
        <v>295</v>
      </c>
      <c r="I271" t="s">
        <v>197</v>
      </c>
      <c r="J271" t="s">
        <v>176</v>
      </c>
      <c r="K271" s="1">
        <v>28.11</v>
      </c>
      <c r="L271" s="1">
        <v>0</v>
      </c>
      <c r="M271" s="1">
        <v>0</v>
      </c>
      <c r="N271" s="1">
        <v>28.11</v>
      </c>
      <c r="O271" s="1">
        <v>2080.14</v>
      </c>
      <c r="P271" s="1">
        <v>0</v>
      </c>
      <c r="Q271" s="1">
        <v>0</v>
      </c>
      <c r="R271" s="1">
        <v>1716.13</v>
      </c>
      <c r="S271" t="s">
        <v>12</v>
      </c>
      <c r="T271" s="13">
        <v>45837</v>
      </c>
      <c r="U271" s="1" t="str">
        <f>IF(ESTIMATIVA[[#This Row],[QT_AREA_REAL]]&gt;0,"1- Colhido","2- à Colher")</f>
        <v>1- Colhido</v>
      </c>
      <c r="V271" s="1" t="str">
        <f>IF(ESTIMATIVA[[#This Row],[QT_AREA_REST1]]&gt;0,"Reestimativa 1",IF(ESTIMATIVA[[#This Row],[QT_AREA_REAL]]=0,"Reestimativa 1","Realizado"))</f>
        <v>Realizado</v>
      </c>
      <c r="W271" s="1" t="str">
        <f>IF(ESTIMATIVA[[#This Row],[QT_AREA_REST2]]&gt;0,"Reestimativa 2",IF(ESTIMATIVA[[#This Row],[QT_AREA_REAL]]=0,"Reestimativa 2","Realizado"))</f>
        <v>Realizado</v>
      </c>
      <c r="X271" s="1">
        <f>ESTIMATIVA[[#This Row],[QT_AREA_EST]]</f>
        <v>28.11</v>
      </c>
      <c r="Y271" s="1">
        <f>IF(ESTIMATIVA[[#This Row],[QT_AREA_REST1]]&gt;0,ESTIMATIVA[[#This Row],[QT_AREA_REST1]],
  IF(ESTIMATIVA[[#This Row],[QT_AREA_REAL]]&gt;0,ESTIMATIVA[[#This Row],[QT_AREA_REAL]],ESTIMATIVA[[#This Row],[QT_AREA_EST]]))</f>
        <v>28.11</v>
      </c>
      <c r="Z27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28.11</v>
      </c>
      <c r="AA271" s="1">
        <f>ESTIMATIVA[[#This Row],[QT_CANA_EST]]</f>
        <v>2080.14</v>
      </c>
      <c r="AB271" s="1">
        <f>IF(ESTIMATIVA[[#This Row],[QT_CANA_REST1]]&gt;0,ESTIMATIVA[[#This Row],[QT_CANA_REST1]],
  IF(ESTIMATIVA[[#This Row],[QT_CANA_REAL]]&gt;0,ESTIMATIVA[[#This Row],[QT_CANA_REAL]],ESTIMATIVA[[#This Row],[QT_CANA_EST]]))</f>
        <v>1716.13</v>
      </c>
      <c r="AC27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1716.13</v>
      </c>
      <c r="AD271" s="1">
        <f>IF(ESTIMATIVA[[#This Row],[QT_AREA_REAL]]&gt;0,ESTIMATIVA[[#This Row],[QT_CANA_REAL]],ESTIMATIVA[[#This Row],[QT_CANA_EST]])</f>
        <v>1716.13</v>
      </c>
      <c r="AE271" s="1">
        <f>IF(ESTIMATIVA[[#This Row],[QT_AREA_REAL]]&gt;0,ESTIMATIVA[[#This Row],[QT_CANA_REAL]],ESTIMATIVA[[#This Row],[QT_CANA_REST1]])</f>
        <v>1716.13</v>
      </c>
      <c r="AF271" s="1">
        <f>IF(ESTIMATIVA[[#This Row],[QT_AREA_REAL]]&gt;0,ESTIMATIVA[[#This Row],[QT_CANA_REAL]],ESTIMATIVA[[#This Row],[QT_CANA_REST2]])</f>
        <v>1716.13</v>
      </c>
      <c r="AG271" s="1" t="str">
        <f>IF(COUNTIFS(GEADA!A:A,VALUE(ESTIMATIVA[[#This Row],[CD_UPNIVEL1]]&amp;TEXT(ESTIMATIVA[[#This Row],[CD_UPNIVEL3]],"0000")))&gt;0,"S","N")</f>
        <v>N</v>
      </c>
      <c r="AH27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71" s="55" t="str">
        <f>IF(ESTIMATIVA[[#This Row],[TP_CULTIVO]]="Irrigado",_xlfn.MAXIFS(IRRIGADO!J:J,IRRIGADO!C:C,ESTIMATIVA[[#This Row],[CD_UPNIVEL1]],IRRIGADO!E:E,ESTIMATIVA[[#This Row],[CD_UPNIVEL3]]),"")</f>
        <v/>
      </c>
      <c r="AJ27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71" s="1">
        <f>COUNTIFS(Apresentação!$E$23:$E$29,ESTIMATIVA[[#This Row],[CD_UPNIVEL1]])</f>
        <v>0</v>
      </c>
    </row>
    <row r="272" spans="1:37" x14ac:dyDescent="0.3">
      <c r="A272">
        <v>20307</v>
      </c>
      <c r="B272" t="s">
        <v>24</v>
      </c>
      <c r="C272">
        <v>8</v>
      </c>
      <c r="D272">
        <v>4</v>
      </c>
      <c r="E272" t="s">
        <v>265</v>
      </c>
      <c r="F272" s="85" t="s">
        <v>331</v>
      </c>
      <c r="G272"/>
      <c r="H272" t="s">
        <v>295</v>
      </c>
      <c r="I272" t="s">
        <v>197</v>
      </c>
      <c r="J272" t="s">
        <v>176</v>
      </c>
      <c r="K272" s="1">
        <v>17.97</v>
      </c>
      <c r="L272" s="1">
        <v>0</v>
      </c>
      <c r="M272" s="1">
        <v>0</v>
      </c>
      <c r="N272" s="1">
        <v>17.97</v>
      </c>
      <c r="O272" s="1">
        <v>1329.78</v>
      </c>
      <c r="P272" s="1">
        <v>0</v>
      </c>
      <c r="Q272" s="1">
        <v>0</v>
      </c>
      <c r="R272" s="1">
        <v>1097.31</v>
      </c>
      <c r="S272" t="s">
        <v>12</v>
      </c>
      <c r="T272" s="13">
        <v>45837</v>
      </c>
      <c r="U272" s="1" t="str">
        <f>IF(ESTIMATIVA[[#This Row],[QT_AREA_REAL]]&gt;0,"1- Colhido","2- à Colher")</f>
        <v>1- Colhido</v>
      </c>
      <c r="V272" s="1" t="str">
        <f>IF(ESTIMATIVA[[#This Row],[QT_AREA_REST1]]&gt;0,"Reestimativa 1",IF(ESTIMATIVA[[#This Row],[QT_AREA_REAL]]=0,"Reestimativa 1","Realizado"))</f>
        <v>Realizado</v>
      </c>
      <c r="W272" s="1" t="str">
        <f>IF(ESTIMATIVA[[#This Row],[QT_AREA_REST2]]&gt;0,"Reestimativa 2",IF(ESTIMATIVA[[#This Row],[QT_AREA_REAL]]=0,"Reestimativa 2","Realizado"))</f>
        <v>Realizado</v>
      </c>
      <c r="X272" s="1">
        <f>ESTIMATIVA[[#This Row],[QT_AREA_EST]]</f>
        <v>17.97</v>
      </c>
      <c r="Y272" s="1">
        <f>IF(ESTIMATIVA[[#This Row],[QT_AREA_REST1]]&gt;0,ESTIMATIVA[[#This Row],[QT_AREA_REST1]],
  IF(ESTIMATIVA[[#This Row],[QT_AREA_REAL]]&gt;0,ESTIMATIVA[[#This Row],[QT_AREA_REAL]],ESTIMATIVA[[#This Row],[QT_AREA_EST]]))</f>
        <v>17.97</v>
      </c>
      <c r="Z27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17.97</v>
      </c>
      <c r="AA272" s="1">
        <f>ESTIMATIVA[[#This Row],[QT_CANA_EST]]</f>
        <v>1329.78</v>
      </c>
      <c r="AB272" s="1">
        <f>IF(ESTIMATIVA[[#This Row],[QT_CANA_REST1]]&gt;0,ESTIMATIVA[[#This Row],[QT_CANA_REST1]],
  IF(ESTIMATIVA[[#This Row],[QT_CANA_REAL]]&gt;0,ESTIMATIVA[[#This Row],[QT_CANA_REAL]],ESTIMATIVA[[#This Row],[QT_CANA_EST]]))</f>
        <v>1097.31</v>
      </c>
      <c r="AC27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1097.31</v>
      </c>
      <c r="AD272" s="1">
        <f>IF(ESTIMATIVA[[#This Row],[QT_AREA_REAL]]&gt;0,ESTIMATIVA[[#This Row],[QT_CANA_REAL]],ESTIMATIVA[[#This Row],[QT_CANA_EST]])</f>
        <v>1097.31</v>
      </c>
      <c r="AE272" s="1">
        <f>IF(ESTIMATIVA[[#This Row],[QT_AREA_REAL]]&gt;0,ESTIMATIVA[[#This Row],[QT_CANA_REAL]],ESTIMATIVA[[#This Row],[QT_CANA_REST1]])</f>
        <v>1097.31</v>
      </c>
      <c r="AF272" s="1">
        <f>IF(ESTIMATIVA[[#This Row],[QT_AREA_REAL]]&gt;0,ESTIMATIVA[[#This Row],[QT_CANA_REAL]],ESTIMATIVA[[#This Row],[QT_CANA_REST2]])</f>
        <v>1097.31</v>
      </c>
      <c r="AG272" s="1" t="str">
        <f>IF(COUNTIFS(GEADA!A:A,VALUE(ESTIMATIVA[[#This Row],[CD_UPNIVEL1]]&amp;TEXT(ESTIMATIVA[[#This Row],[CD_UPNIVEL3]],"0000")))&gt;0,"S","N")</f>
        <v>N</v>
      </c>
      <c r="AH27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72" s="55" t="str">
        <f>IF(ESTIMATIVA[[#This Row],[TP_CULTIVO]]="Irrigado",_xlfn.MAXIFS(IRRIGADO!J:J,IRRIGADO!C:C,ESTIMATIVA[[#This Row],[CD_UPNIVEL1]],IRRIGADO!E:E,ESTIMATIVA[[#This Row],[CD_UPNIVEL3]]),"")</f>
        <v/>
      </c>
      <c r="AJ27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72" s="1">
        <f>COUNTIFS(Apresentação!$E$23:$E$29,ESTIMATIVA[[#This Row],[CD_UPNIVEL1]])</f>
        <v>0</v>
      </c>
    </row>
    <row r="273" spans="1:37" x14ac:dyDescent="0.3">
      <c r="A273">
        <v>20307</v>
      </c>
      <c r="B273" t="s">
        <v>24</v>
      </c>
      <c r="C273">
        <v>9</v>
      </c>
      <c r="D273">
        <v>4</v>
      </c>
      <c r="E273" t="s">
        <v>265</v>
      </c>
      <c r="F273" s="85" t="s">
        <v>331</v>
      </c>
      <c r="G273"/>
      <c r="H273" t="s">
        <v>295</v>
      </c>
      <c r="I273" t="s">
        <v>197</v>
      </c>
      <c r="J273" t="s">
        <v>176</v>
      </c>
      <c r="K273" s="1">
        <v>12.28</v>
      </c>
      <c r="L273" s="1">
        <v>0</v>
      </c>
      <c r="M273" s="1">
        <v>0</v>
      </c>
      <c r="N273" s="1">
        <v>12.28</v>
      </c>
      <c r="O273" s="1">
        <v>908.72</v>
      </c>
      <c r="P273" s="1">
        <v>0</v>
      </c>
      <c r="Q273" s="1">
        <v>0</v>
      </c>
      <c r="R273" s="1">
        <v>749.95</v>
      </c>
      <c r="S273" t="s">
        <v>12</v>
      </c>
      <c r="T273" s="13">
        <v>45837</v>
      </c>
      <c r="U273" s="1" t="str">
        <f>IF(ESTIMATIVA[[#This Row],[QT_AREA_REAL]]&gt;0,"1- Colhido","2- à Colher")</f>
        <v>1- Colhido</v>
      </c>
      <c r="V273" s="1" t="str">
        <f>IF(ESTIMATIVA[[#This Row],[QT_AREA_REST1]]&gt;0,"Reestimativa 1",IF(ESTIMATIVA[[#This Row],[QT_AREA_REAL]]=0,"Reestimativa 1","Realizado"))</f>
        <v>Realizado</v>
      </c>
      <c r="W273" s="1" t="str">
        <f>IF(ESTIMATIVA[[#This Row],[QT_AREA_REST2]]&gt;0,"Reestimativa 2",IF(ESTIMATIVA[[#This Row],[QT_AREA_REAL]]=0,"Reestimativa 2","Realizado"))</f>
        <v>Realizado</v>
      </c>
      <c r="X273" s="1">
        <f>ESTIMATIVA[[#This Row],[QT_AREA_EST]]</f>
        <v>12.28</v>
      </c>
      <c r="Y273" s="1">
        <f>IF(ESTIMATIVA[[#This Row],[QT_AREA_REST1]]&gt;0,ESTIMATIVA[[#This Row],[QT_AREA_REST1]],
  IF(ESTIMATIVA[[#This Row],[QT_AREA_REAL]]&gt;0,ESTIMATIVA[[#This Row],[QT_AREA_REAL]],ESTIMATIVA[[#This Row],[QT_AREA_EST]]))</f>
        <v>12.28</v>
      </c>
      <c r="Z27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12.28</v>
      </c>
      <c r="AA273" s="1">
        <f>ESTIMATIVA[[#This Row],[QT_CANA_EST]]</f>
        <v>908.72</v>
      </c>
      <c r="AB273" s="1">
        <f>IF(ESTIMATIVA[[#This Row],[QT_CANA_REST1]]&gt;0,ESTIMATIVA[[#This Row],[QT_CANA_REST1]],
  IF(ESTIMATIVA[[#This Row],[QT_CANA_REAL]]&gt;0,ESTIMATIVA[[#This Row],[QT_CANA_REAL]],ESTIMATIVA[[#This Row],[QT_CANA_EST]]))</f>
        <v>749.95</v>
      </c>
      <c r="AC27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749.95</v>
      </c>
      <c r="AD273" s="1">
        <f>IF(ESTIMATIVA[[#This Row],[QT_AREA_REAL]]&gt;0,ESTIMATIVA[[#This Row],[QT_CANA_REAL]],ESTIMATIVA[[#This Row],[QT_CANA_EST]])</f>
        <v>749.95</v>
      </c>
      <c r="AE273" s="1">
        <f>IF(ESTIMATIVA[[#This Row],[QT_AREA_REAL]]&gt;0,ESTIMATIVA[[#This Row],[QT_CANA_REAL]],ESTIMATIVA[[#This Row],[QT_CANA_REST1]])</f>
        <v>749.95</v>
      </c>
      <c r="AF273" s="1">
        <f>IF(ESTIMATIVA[[#This Row],[QT_AREA_REAL]]&gt;0,ESTIMATIVA[[#This Row],[QT_CANA_REAL]],ESTIMATIVA[[#This Row],[QT_CANA_REST2]])</f>
        <v>749.95</v>
      </c>
      <c r="AG273" s="1" t="str">
        <f>IF(COUNTIFS(GEADA!A:A,VALUE(ESTIMATIVA[[#This Row],[CD_UPNIVEL1]]&amp;TEXT(ESTIMATIVA[[#This Row],[CD_UPNIVEL3]],"0000")))&gt;0,"S","N")</f>
        <v>N</v>
      </c>
      <c r="AH27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73" s="55" t="str">
        <f>IF(ESTIMATIVA[[#This Row],[TP_CULTIVO]]="Irrigado",_xlfn.MAXIFS(IRRIGADO!J:J,IRRIGADO!C:C,ESTIMATIVA[[#This Row],[CD_UPNIVEL1]],IRRIGADO!E:E,ESTIMATIVA[[#This Row],[CD_UPNIVEL3]]),"")</f>
        <v/>
      </c>
      <c r="AJ27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73" s="1">
        <f>COUNTIFS(Apresentação!$E$23:$E$29,ESTIMATIVA[[#This Row],[CD_UPNIVEL1]])</f>
        <v>0</v>
      </c>
    </row>
    <row r="274" spans="1:37" x14ac:dyDescent="0.3">
      <c r="A274">
        <v>20307</v>
      </c>
      <c r="B274" t="s">
        <v>24</v>
      </c>
      <c r="C274">
        <v>10</v>
      </c>
      <c r="D274">
        <v>4</v>
      </c>
      <c r="E274" t="s">
        <v>265</v>
      </c>
      <c r="F274" s="85" t="s">
        <v>331</v>
      </c>
      <c r="G274"/>
      <c r="H274" t="s">
        <v>295</v>
      </c>
      <c r="I274" t="s">
        <v>197</v>
      </c>
      <c r="J274" t="s">
        <v>176</v>
      </c>
      <c r="K274" s="1">
        <v>7.12</v>
      </c>
      <c r="L274" s="1">
        <v>0</v>
      </c>
      <c r="M274" s="1">
        <v>0</v>
      </c>
      <c r="N274" s="1">
        <v>7.12</v>
      </c>
      <c r="O274" s="1">
        <v>526.88</v>
      </c>
      <c r="P274" s="1">
        <v>0</v>
      </c>
      <c r="Q274" s="1">
        <v>0</v>
      </c>
      <c r="R274" s="1">
        <v>435.01</v>
      </c>
      <c r="S274" t="s">
        <v>12</v>
      </c>
      <c r="T274" s="13">
        <v>45837</v>
      </c>
      <c r="U274" s="1" t="str">
        <f>IF(ESTIMATIVA[[#This Row],[QT_AREA_REAL]]&gt;0,"1- Colhido","2- à Colher")</f>
        <v>1- Colhido</v>
      </c>
      <c r="V274" s="1" t="str">
        <f>IF(ESTIMATIVA[[#This Row],[QT_AREA_REST1]]&gt;0,"Reestimativa 1",IF(ESTIMATIVA[[#This Row],[QT_AREA_REAL]]=0,"Reestimativa 1","Realizado"))</f>
        <v>Realizado</v>
      </c>
      <c r="W274" s="1" t="str">
        <f>IF(ESTIMATIVA[[#This Row],[QT_AREA_REST2]]&gt;0,"Reestimativa 2",IF(ESTIMATIVA[[#This Row],[QT_AREA_REAL]]=0,"Reestimativa 2","Realizado"))</f>
        <v>Realizado</v>
      </c>
      <c r="X274" s="1">
        <f>ESTIMATIVA[[#This Row],[QT_AREA_EST]]</f>
        <v>7.12</v>
      </c>
      <c r="Y274" s="1">
        <f>IF(ESTIMATIVA[[#This Row],[QT_AREA_REST1]]&gt;0,ESTIMATIVA[[#This Row],[QT_AREA_REST1]],
  IF(ESTIMATIVA[[#This Row],[QT_AREA_REAL]]&gt;0,ESTIMATIVA[[#This Row],[QT_AREA_REAL]],ESTIMATIVA[[#This Row],[QT_AREA_EST]]))</f>
        <v>7.12</v>
      </c>
      <c r="Z27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7.12</v>
      </c>
      <c r="AA274" s="1">
        <f>ESTIMATIVA[[#This Row],[QT_CANA_EST]]</f>
        <v>526.88</v>
      </c>
      <c r="AB274" s="1">
        <f>IF(ESTIMATIVA[[#This Row],[QT_CANA_REST1]]&gt;0,ESTIMATIVA[[#This Row],[QT_CANA_REST1]],
  IF(ESTIMATIVA[[#This Row],[QT_CANA_REAL]]&gt;0,ESTIMATIVA[[#This Row],[QT_CANA_REAL]],ESTIMATIVA[[#This Row],[QT_CANA_EST]]))</f>
        <v>435.01</v>
      </c>
      <c r="AC27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435.01</v>
      </c>
      <c r="AD274" s="1">
        <f>IF(ESTIMATIVA[[#This Row],[QT_AREA_REAL]]&gt;0,ESTIMATIVA[[#This Row],[QT_CANA_REAL]],ESTIMATIVA[[#This Row],[QT_CANA_EST]])</f>
        <v>435.01</v>
      </c>
      <c r="AE274" s="1">
        <f>IF(ESTIMATIVA[[#This Row],[QT_AREA_REAL]]&gt;0,ESTIMATIVA[[#This Row],[QT_CANA_REAL]],ESTIMATIVA[[#This Row],[QT_CANA_REST1]])</f>
        <v>435.01</v>
      </c>
      <c r="AF274" s="1">
        <f>IF(ESTIMATIVA[[#This Row],[QT_AREA_REAL]]&gt;0,ESTIMATIVA[[#This Row],[QT_CANA_REAL]],ESTIMATIVA[[#This Row],[QT_CANA_REST2]])</f>
        <v>435.01</v>
      </c>
      <c r="AG274" s="1" t="str">
        <f>IF(COUNTIFS(GEADA!A:A,VALUE(ESTIMATIVA[[#This Row],[CD_UPNIVEL1]]&amp;TEXT(ESTIMATIVA[[#This Row],[CD_UPNIVEL3]],"0000")))&gt;0,"S","N")</f>
        <v>N</v>
      </c>
      <c r="AH27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74" s="55" t="str">
        <f>IF(ESTIMATIVA[[#This Row],[TP_CULTIVO]]="Irrigado",_xlfn.MAXIFS(IRRIGADO!J:J,IRRIGADO!C:C,ESTIMATIVA[[#This Row],[CD_UPNIVEL1]],IRRIGADO!E:E,ESTIMATIVA[[#This Row],[CD_UPNIVEL3]]),"")</f>
        <v/>
      </c>
      <c r="AJ27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74" s="1">
        <f>COUNTIFS(Apresentação!$E$23:$E$29,ESTIMATIVA[[#This Row],[CD_UPNIVEL1]])</f>
        <v>0</v>
      </c>
    </row>
    <row r="275" spans="1:37" x14ac:dyDescent="0.3">
      <c r="A275">
        <v>20307</v>
      </c>
      <c r="B275" t="s">
        <v>24</v>
      </c>
      <c r="C275">
        <v>11</v>
      </c>
      <c r="D275">
        <v>4</v>
      </c>
      <c r="E275" t="s">
        <v>265</v>
      </c>
      <c r="F275" s="85" t="s">
        <v>331</v>
      </c>
      <c r="G275"/>
      <c r="H275" t="s">
        <v>295</v>
      </c>
      <c r="I275" t="s">
        <v>204</v>
      </c>
      <c r="J275" t="s">
        <v>176</v>
      </c>
      <c r="K275" s="1">
        <v>11.34</v>
      </c>
      <c r="L275" s="1">
        <v>11.34</v>
      </c>
      <c r="M275" s="1">
        <v>0</v>
      </c>
      <c r="N275" s="1">
        <v>11.34</v>
      </c>
      <c r="O275" s="1">
        <v>612.36</v>
      </c>
      <c r="P275" s="1">
        <v>612.36</v>
      </c>
      <c r="Q275" s="1">
        <v>0</v>
      </c>
      <c r="R275" s="1">
        <v>571.16</v>
      </c>
      <c r="S275" t="s">
        <v>12</v>
      </c>
      <c r="T275" s="13">
        <v>45879</v>
      </c>
      <c r="U275" s="1" t="str">
        <f>IF(ESTIMATIVA[[#This Row],[QT_AREA_REAL]]&gt;0,"1- Colhido","2- à Colher")</f>
        <v>1- Colhido</v>
      </c>
      <c r="V275" s="1" t="str">
        <f>IF(ESTIMATIVA[[#This Row],[QT_AREA_REST1]]&gt;0,"Reestimativa 1",IF(ESTIMATIVA[[#This Row],[QT_AREA_REAL]]=0,"Reestimativa 1","Realizado"))</f>
        <v>Reestimativa 1</v>
      </c>
      <c r="W275" s="1" t="str">
        <f>IF(ESTIMATIVA[[#This Row],[QT_AREA_REST2]]&gt;0,"Reestimativa 2",IF(ESTIMATIVA[[#This Row],[QT_AREA_REAL]]=0,"Reestimativa 2","Realizado"))</f>
        <v>Realizado</v>
      </c>
      <c r="X275" s="1">
        <f>ESTIMATIVA[[#This Row],[QT_AREA_EST]]</f>
        <v>11.34</v>
      </c>
      <c r="Y275" s="1">
        <f>IF(ESTIMATIVA[[#This Row],[QT_AREA_REST1]]&gt;0,ESTIMATIVA[[#This Row],[QT_AREA_REST1]],
  IF(ESTIMATIVA[[#This Row],[QT_AREA_REAL]]&gt;0,ESTIMATIVA[[#This Row],[QT_AREA_REAL]],ESTIMATIVA[[#This Row],[QT_AREA_EST]]))</f>
        <v>11.34</v>
      </c>
      <c r="Z27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11.34</v>
      </c>
      <c r="AA275" s="1">
        <f>ESTIMATIVA[[#This Row],[QT_CANA_EST]]</f>
        <v>612.36</v>
      </c>
      <c r="AB275" s="1">
        <f>IF(ESTIMATIVA[[#This Row],[QT_CANA_REST1]]&gt;0,ESTIMATIVA[[#This Row],[QT_CANA_REST1]],
  IF(ESTIMATIVA[[#This Row],[QT_CANA_REAL]]&gt;0,ESTIMATIVA[[#This Row],[QT_CANA_REAL]],ESTIMATIVA[[#This Row],[QT_CANA_EST]]))</f>
        <v>612.36</v>
      </c>
      <c r="AC27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571.16</v>
      </c>
      <c r="AD275" s="1">
        <f>IF(ESTIMATIVA[[#This Row],[QT_AREA_REAL]]&gt;0,ESTIMATIVA[[#This Row],[QT_CANA_REAL]],ESTIMATIVA[[#This Row],[QT_CANA_EST]])</f>
        <v>571.16</v>
      </c>
      <c r="AE275" s="1">
        <f>IF(ESTIMATIVA[[#This Row],[QT_AREA_REAL]]&gt;0,ESTIMATIVA[[#This Row],[QT_CANA_REAL]],ESTIMATIVA[[#This Row],[QT_CANA_REST1]])</f>
        <v>571.16</v>
      </c>
      <c r="AF275" s="1">
        <f>IF(ESTIMATIVA[[#This Row],[QT_AREA_REAL]]&gt;0,ESTIMATIVA[[#This Row],[QT_CANA_REAL]],ESTIMATIVA[[#This Row],[QT_CANA_REST2]])</f>
        <v>571.16</v>
      </c>
      <c r="AG275" s="1" t="str">
        <f>IF(COUNTIFS(GEADA!A:A,VALUE(ESTIMATIVA[[#This Row],[CD_UPNIVEL1]]&amp;TEXT(ESTIMATIVA[[#This Row],[CD_UPNIVEL3]],"0000")))&gt;0,"S","N")</f>
        <v>N</v>
      </c>
      <c r="AH27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75" s="55" t="str">
        <f>IF(ESTIMATIVA[[#This Row],[TP_CULTIVO]]="Irrigado",_xlfn.MAXIFS(IRRIGADO!J:J,IRRIGADO!C:C,ESTIMATIVA[[#This Row],[CD_UPNIVEL1]],IRRIGADO!E:E,ESTIMATIVA[[#This Row],[CD_UPNIVEL3]]),"")</f>
        <v/>
      </c>
      <c r="AJ27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75" s="1">
        <f>COUNTIFS(Apresentação!$E$23:$E$29,ESTIMATIVA[[#This Row],[CD_UPNIVEL1]])</f>
        <v>0</v>
      </c>
    </row>
    <row r="276" spans="1:37" x14ac:dyDescent="0.3">
      <c r="A276">
        <v>20307</v>
      </c>
      <c r="B276" t="s">
        <v>24</v>
      </c>
      <c r="C276">
        <v>12</v>
      </c>
      <c r="D276">
        <v>4</v>
      </c>
      <c r="E276" t="s">
        <v>265</v>
      </c>
      <c r="F276" s="85" t="s">
        <v>332</v>
      </c>
      <c r="G276"/>
      <c r="H276" t="s">
        <v>295</v>
      </c>
      <c r="I276" t="s">
        <v>204</v>
      </c>
      <c r="J276" t="s">
        <v>176</v>
      </c>
      <c r="K276" s="1">
        <v>14.61</v>
      </c>
      <c r="L276" s="1">
        <v>14.61</v>
      </c>
      <c r="M276" s="1">
        <v>0</v>
      </c>
      <c r="N276" s="1">
        <v>14.61</v>
      </c>
      <c r="O276" s="1">
        <v>876.6</v>
      </c>
      <c r="P276" s="1">
        <v>876.6</v>
      </c>
      <c r="Q276" s="1">
        <v>0</v>
      </c>
      <c r="R276" s="1">
        <v>818.34</v>
      </c>
      <c r="S276" t="s">
        <v>12</v>
      </c>
      <c r="T276" s="13">
        <v>45858</v>
      </c>
      <c r="U276" s="1" t="str">
        <f>IF(ESTIMATIVA[[#This Row],[QT_AREA_REAL]]&gt;0,"1- Colhido","2- à Colher")</f>
        <v>1- Colhido</v>
      </c>
      <c r="V276" s="1" t="str">
        <f>IF(ESTIMATIVA[[#This Row],[QT_AREA_REST1]]&gt;0,"Reestimativa 1",IF(ESTIMATIVA[[#This Row],[QT_AREA_REAL]]=0,"Reestimativa 1","Realizado"))</f>
        <v>Reestimativa 1</v>
      </c>
      <c r="W276" s="1" t="str">
        <f>IF(ESTIMATIVA[[#This Row],[QT_AREA_REST2]]&gt;0,"Reestimativa 2",IF(ESTIMATIVA[[#This Row],[QT_AREA_REAL]]=0,"Reestimativa 2","Realizado"))</f>
        <v>Realizado</v>
      </c>
      <c r="X276" s="1">
        <f>ESTIMATIVA[[#This Row],[QT_AREA_EST]]</f>
        <v>14.61</v>
      </c>
      <c r="Y276" s="1">
        <f>IF(ESTIMATIVA[[#This Row],[QT_AREA_REST1]]&gt;0,ESTIMATIVA[[#This Row],[QT_AREA_REST1]],
  IF(ESTIMATIVA[[#This Row],[QT_AREA_REAL]]&gt;0,ESTIMATIVA[[#This Row],[QT_AREA_REAL]],ESTIMATIVA[[#This Row],[QT_AREA_EST]]))</f>
        <v>14.61</v>
      </c>
      <c r="Z27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14.61</v>
      </c>
      <c r="AA276" s="1">
        <f>ESTIMATIVA[[#This Row],[QT_CANA_EST]]</f>
        <v>876.6</v>
      </c>
      <c r="AB276" s="1">
        <f>IF(ESTIMATIVA[[#This Row],[QT_CANA_REST1]]&gt;0,ESTIMATIVA[[#This Row],[QT_CANA_REST1]],
  IF(ESTIMATIVA[[#This Row],[QT_CANA_REAL]]&gt;0,ESTIMATIVA[[#This Row],[QT_CANA_REAL]],ESTIMATIVA[[#This Row],[QT_CANA_EST]]))</f>
        <v>876.6</v>
      </c>
      <c r="AC27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818.34</v>
      </c>
      <c r="AD276" s="1">
        <f>IF(ESTIMATIVA[[#This Row],[QT_AREA_REAL]]&gt;0,ESTIMATIVA[[#This Row],[QT_CANA_REAL]],ESTIMATIVA[[#This Row],[QT_CANA_EST]])</f>
        <v>818.34</v>
      </c>
      <c r="AE276" s="1">
        <f>IF(ESTIMATIVA[[#This Row],[QT_AREA_REAL]]&gt;0,ESTIMATIVA[[#This Row],[QT_CANA_REAL]],ESTIMATIVA[[#This Row],[QT_CANA_REST1]])</f>
        <v>818.34</v>
      </c>
      <c r="AF276" s="1">
        <f>IF(ESTIMATIVA[[#This Row],[QT_AREA_REAL]]&gt;0,ESTIMATIVA[[#This Row],[QT_CANA_REAL]],ESTIMATIVA[[#This Row],[QT_CANA_REST2]])</f>
        <v>818.34</v>
      </c>
      <c r="AG276" s="1" t="str">
        <f>IF(COUNTIFS(GEADA!A:A,VALUE(ESTIMATIVA[[#This Row],[CD_UPNIVEL1]]&amp;TEXT(ESTIMATIVA[[#This Row],[CD_UPNIVEL3]],"0000")))&gt;0,"S","N")</f>
        <v>N</v>
      </c>
      <c r="AH27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76" s="55" t="str">
        <f>IF(ESTIMATIVA[[#This Row],[TP_CULTIVO]]="Irrigado",_xlfn.MAXIFS(IRRIGADO!J:J,IRRIGADO!C:C,ESTIMATIVA[[#This Row],[CD_UPNIVEL1]],IRRIGADO!E:E,ESTIMATIVA[[#This Row],[CD_UPNIVEL3]]),"")</f>
        <v/>
      </c>
      <c r="AJ27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76" s="1">
        <f>COUNTIFS(Apresentação!$E$23:$E$29,ESTIMATIVA[[#This Row],[CD_UPNIVEL1]])</f>
        <v>0</v>
      </c>
    </row>
    <row r="277" spans="1:37" x14ac:dyDescent="0.3">
      <c r="A277">
        <v>20307</v>
      </c>
      <c r="B277" t="s">
        <v>24</v>
      </c>
      <c r="C277">
        <v>13</v>
      </c>
      <c r="D277">
        <v>4</v>
      </c>
      <c r="E277" t="s">
        <v>265</v>
      </c>
      <c r="F277" s="85" t="s">
        <v>331</v>
      </c>
      <c r="G277"/>
      <c r="H277" t="s">
        <v>295</v>
      </c>
      <c r="I277" t="s">
        <v>204</v>
      </c>
      <c r="J277" t="s">
        <v>176</v>
      </c>
      <c r="K277" s="1">
        <v>12.3</v>
      </c>
      <c r="L277" s="1">
        <v>12.3</v>
      </c>
      <c r="M277" s="1">
        <v>0</v>
      </c>
      <c r="N277" s="1">
        <v>12.3</v>
      </c>
      <c r="O277" s="1">
        <v>738</v>
      </c>
      <c r="P277" s="1">
        <v>676.5</v>
      </c>
      <c r="Q277" s="1">
        <v>0</v>
      </c>
      <c r="R277" s="1">
        <v>631.70000000000005</v>
      </c>
      <c r="S277" t="s">
        <v>12</v>
      </c>
      <c r="T277" s="13">
        <v>45858</v>
      </c>
      <c r="U277" s="1" t="str">
        <f>IF(ESTIMATIVA[[#This Row],[QT_AREA_REAL]]&gt;0,"1- Colhido","2- à Colher")</f>
        <v>1- Colhido</v>
      </c>
      <c r="V277" s="1" t="str">
        <f>IF(ESTIMATIVA[[#This Row],[QT_AREA_REST1]]&gt;0,"Reestimativa 1",IF(ESTIMATIVA[[#This Row],[QT_AREA_REAL]]=0,"Reestimativa 1","Realizado"))</f>
        <v>Reestimativa 1</v>
      </c>
      <c r="W277" s="1" t="str">
        <f>IF(ESTIMATIVA[[#This Row],[QT_AREA_REST2]]&gt;0,"Reestimativa 2",IF(ESTIMATIVA[[#This Row],[QT_AREA_REAL]]=0,"Reestimativa 2","Realizado"))</f>
        <v>Realizado</v>
      </c>
      <c r="X277" s="1">
        <f>ESTIMATIVA[[#This Row],[QT_AREA_EST]]</f>
        <v>12.3</v>
      </c>
      <c r="Y277" s="1">
        <f>IF(ESTIMATIVA[[#This Row],[QT_AREA_REST1]]&gt;0,ESTIMATIVA[[#This Row],[QT_AREA_REST1]],
  IF(ESTIMATIVA[[#This Row],[QT_AREA_REAL]]&gt;0,ESTIMATIVA[[#This Row],[QT_AREA_REAL]],ESTIMATIVA[[#This Row],[QT_AREA_EST]]))</f>
        <v>12.3</v>
      </c>
      <c r="Z27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12.3</v>
      </c>
      <c r="AA277" s="1">
        <f>ESTIMATIVA[[#This Row],[QT_CANA_EST]]</f>
        <v>738</v>
      </c>
      <c r="AB277" s="1">
        <f>IF(ESTIMATIVA[[#This Row],[QT_CANA_REST1]]&gt;0,ESTIMATIVA[[#This Row],[QT_CANA_REST1]],
  IF(ESTIMATIVA[[#This Row],[QT_CANA_REAL]]&gt;0,ESTIMATIVA[[#This Row],[QT_CANA_REAL]],ESTIMATIVA[[#This Row],[QT_CANA_EST]]))</f>
        <v>676.5</v>
      </c>
      <c r="AC27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631.70000000000005</v>
      </c>
      <c r="AD277" s="1">
        <f>IF(ESTIMATIVA[[#This Row],[QT_AREA_REAL]]&gt;0,ESTIMATIVA[[#This Row],[QT_CANA_REAL]],ESTIMATIVA[[#This Row],[QT_CANA_EST]])</f>
        <v>631.70000000000005</v>
      </c>
      <c r="AE277" s="1">
        <f>IF(ESTIMATIVA[[#This Row],[QT_AREA_REAL]]&gt;0,ESTIMATIVA[[#This Row],[QT_CANA_REAL]],ESTIMATIVA[[#This Row],[QT_CANA_REST1]])</f>
        <v>631.70000000000005</v>
      </c>
      <c r="AF277" s="1">
        <f>IF(ESTIMATIVA[[#This Row],[QT_AREA_REAL]]&gt;0,ESTIMATIVA[[#This Row],[QT_CANA_REAL]],ESTIMATIVA[[#This Row],[QT_CANA_REST2]])</f>
        <v>631.70000000000005</v>
      </c>
      <c r="AG277" s="1" t="str">
        <f>IF(COUNTIFS(GEADA!A:A,VALUE(ESTIMATIVA[[#This Row],[CD_UPNIVEL1]]&amp;TEXT(ESTIMATIVA[[#This Row],[CD_UPNIVEL3]],"0000")))&gt;0,"S","N")</f>
        <v>N</v>
      </c>
      <c r="AH27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77" s="55" t="str">
        <f>IF(ESTIMATIVA[[#This Row],[TP_CULTIVO]]="Irrigado",_xlfn.MAXIFS(IRRIGADO!J:J,IRRIGADO!C:C,ESTIMATIVA[[#This Row],[CD_UPNIVEL1]],IRRIGADO!E:E,ESTIMATIVA[[#This Row],[CD_UPNIVEL3]]),"")</f>
        <v/>
      </c>
      <c r="AJ27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77" s="1">
        <f>COUNTIFS(Apresentação!$E$23:$E$29,ESTIMATIVA[[#This Row],[CD_UPNIVEL1]])</f>
        <v>0</v>
      </c>
    </row>
    <row r="278" spans="1:37" x14ac:dyDescent="0.3">
      <c r="A278">
        <v>20307</v>
      </c>
      <c r="B278" t="s">
        <v>24</v>
      </c>
      <c r="C278">
        <v>14</v>
      </c>
      <c r="D278">
        <v>4</v>
      </c>
      <c r="E278" t="s">
        <v>265</v>
      </c>
      <c r="F278" s="85" t="s">
        <v>331</v>
      </c>
      <c r="G278"/>
      <c r="H278" t="s">
        <v>295</v>
      </c>
      <c r="I278" t="s">
        <v>204</v>
      </c>
      <c r="J278" t="s">
        <v>176</v>
      </c>
      <c r="K278" s="1">
        <v>10.86</v>
      </c>
      <c r="L278" s="1">
        <v>10.86</v>
      </c>
      <c r="M278" s="1">
        <v>0</v>
      </c>
      <c r="N278" s="1">
        <v>10.86</v>
      </c>
      <c r="O278" s="1">
        <v>651.6</v>
      </c>
      <c r="P278" s="1">
        <v>597.29999999999995</v>
      </c>
      <c r="Q278" s="1">
        <v>0</v>
      </c>
      <c r="R278" s="1">
        <v>557.04999999999995</v>
      </c>
      <c r="S278" t="s">
        <v>12</v>
      </c>
      <c r="T278" s="13">
        <v>45858</v>
      </c>
      <c r="U278" s="1" t="str">
        <f>IF(ESTIMATIVA[[#This Row],[QT_AREA_REAL]]&gt;0,"1- Colhido","2- à Colher")</f>
        <v>1- Colhido</v>
      </c>
      <c r="V278" s="1" t="str">
        <f>IF(ESTIMATIVA[[#This Row],[QT_AREA_REST1]]&gt;0,"Reestimativa 1",IF(ESTIMATIVA[[#This Row],[QT_AREA_REAL]]=0,"Reestimativa 1","Realizado"))</f>
        <v>Reestimativa 1</v>
      </c>
      <c r="W278" s="1" t="str">
        <f>IF(ESTIMATIVA[[#This Row],[QT_AREA_REST2]]&gt;0,"Reestimativa 2",IF(ESTIMATIVA[[#This Row],[QT_AREA_REAL]]=0,"Reestimativa 2","Realizado"))</f>
        <v>Realizado</v>
      </c>
      <c r="X278" s="1">
        <f>ESTIMATIVA[[#This Row],[QT_AREA_EST]]</f>
        <v>10.86</v>
      </c>
      <c r="Y278" s="1">
        <f>IF(ESTIMATIVA[[#This Row],[QT_AREA_REST1]]&gt;0,ESTIMATIVA[[#This Row],[QT_AREA_REST1]],
  IF(ESTIMATIVA[[#This Row],[QT_AREA_REAL]]&gt;0,ESTIMATIVA[[#This Row],[QT_AREA_REAL]],ESTIMATIVA[[#This Row],[QT_AREA_EST]]))</f>
        <v>10.86</v>
      </c>
      <c r="Z27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10.86</v>
      </c>
      <c r="AA278" s="1">
        <f>ESTIMATIVA[[#This Row],[QT_CANA_EST]]</f>
        <v>651.6</v>
      </c>
      <c r="AB278" s="1">
        <f>IF(ESTIMATIVA[[#This Row],[QT_CANA_REST1]]&gt;0,ESTIMATIVA[[#This Row],[QT_CANA_REST1]],
  IF(ESTIMATIVA[[#This Row],[QT_CANA_REAL]]&gt;0,ESTIMATIVA[[#This Row],[QT_CANA_REAL]],ESTIMATIVA[[#This Row],[QT_CANA_EST]]))</f>
        <v>597.29999999999995</v>
      </c>
      <c r="AC27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557.04999999999995</v>
      </c>
      <c r="AD278" s="1">
        <f>IF(ESTIMATIVA[[#This Row],[QT_AREA_REAL]]&gt;0,ESTIMATIVA[[#This Row],[QT_CANA_REAL]],ESTIMATIVA[[#This Row],[QT_CANA_EST]])</f>
        <v>557.04999999999995</v>
      </c>
      <c r="AE278" s="1">
        <f>IF(ESTIMATIVA[[#This Row],[QT_AREA_REAL]]&gt;0,ESTIMATIVA[[#This Row],[QT_CANA_REAL]],ESTIMATIVA[[#This Row],[QT_CANA_REST1]])</f>
        <v>557.04999999999995</v>
      </c>
      <c r="AF278" s="1">
        <f>IF(ESTIMATIVA[[#This Row],[QT_AREA_REAL]]&gt;0,ESTIMATIVA[[#This Row],[QT_CANA_REAL]],ESTIMATIVA[[#This Row],[QT_CANA_REST2]])</f>
        <v>557.04999999999995</v>
      </c>
      <c r="AG278" s="1" t="str">
        <f>IF(COUNTIFS(GEADA!A:A,VALUE(ESTIMATIVA[[#This Row],[CD_UPNIVEL1]]&amp;TEXT(ESTIMATIVA[[#This Row],[CD_UPNIVEL3]],"0000")))&gt;0,"S","N")</f>
        <v>N</v>
      </c>
      <c r="AH27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78" s="55" t="str">
        <f>IF(ESTIMATIVA[[#This Row],[TP_CULTIVO]]="Irrigado",_xlfn.MAXIFS(IRRIGADO!J:J,IRRIGADO!C:C,ESTIMATIVA[[#This Row],[CD_UPNIVEL1]],IRRIGADO!E:E,ESTIMATIVA[[#This Row],[CD_UPNIVEL3]]),"")</f>
        <v/>
      </c>
      <c r="AJ27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78" s="1">
        <f>COUNTIFS(Apresentação!$E$23:$E$29,ESTIMATIVA[[#This Row],[CD_UPNIVEL1]])</f>
        <v>0</v>
      </c>
    </row>
    <row r="279" spans="1:37" x14ac:dyDescent="0.3">
      <c r="A279">
        <v>20307</v>
      </c>
      <c r="B279" t="s">
        <v>24</v>
      </c>
      <c r="C279">
        <v>15</v>
      </c>
      <c r="D279">
        <v>4</v>
      </c>
      <c r="E279" t="s">
        <v>265</v>
      </c>
      <c r="F279" s="85" t="s">
        <v>332</v>
      </c>
      <c r="G279"/>
      <c r="H279" t="s">
        <v>295</v>
      </c>
      <c r="I279" t="s">
        <v>204</v>
      </c>
      <c r="J279" t="s">
        <v>176</v>
      </c>
      <c r="K279" s="1">
        <v>16.100000000000001</v>
      </c>
      <c r="L279" s="1">
        <v>16.100000000000001</v>
      </c>
      <c r="M279" s="1">
        <v>0</v>
      </c>
      <c r="N279" s="1">
        <v>16.100000000000001</v>
      </c>
      <c r="O279" s="1">
        <v>966</v>
      </c>
      <c r="P279" s="1">
        <v>885.5</v>
      </c>
      <c r="Q279" s="1">
        <v>0</v>
      </c>
      <c r="R279" s="1">
        <v>826.74</v>
      </c>
      <c r="S279" t="s">
        <v>12</v>
      </c>
      <c r="T279" s="13">
        <v>45858</v>
      </c>
      <c r="U279" s="1" t="str">
        <f>IF(ESTIMATIVA[[#This Row],[QT_AREA_REAL]]&gt;0,"1- Colhido","2- à Colher")</f>
        <v>1- Colhido</v>
      </c>
      <c r="V279" s="1" t="str">
        <f>IF(ESTIMATIVA[[#This Row],[QT_AREA_REST1]]&gt;0,"Reestimativa 1",IF(ESTIMATIVA[[#This Row],[QT_AREA_REAL]]=0,"Reestimativa 1","Realizado"))</f>
        <v>Reestimativa 1</v>
      </c>
      <c r="W279" s="1" t="str">
        <f>IF(ESTIMATIVA[[#This Row],[QT_AREA_REST2]]&gt;0,"Reestimativa 2",IF(ESTIMATIVA[[#This Row],[QT_AREA_REAL]]=0,"Reestimativa 2","Realizado"))</f>
        <v>Realizado</v>
      </c>
      <c r="X279" s="1">
        <f>ESTIMATIVA[[#This Row],[QT_AREA_EST]]</f>
        <v>16.100000000000001</v>
      </c>
      <c r="Y279" s="1">
        <f>IF(ESTIMATIVA[[#This Row],[QT_AREA_REST1]]&gt;0,ESTIMATIVA[[#This Row],[QT_AREA_REST1]],
  IF(ESTIMATIVA[[#This Row],[QT_AREA_REAL]]&gt;0,ESTIMATIVA[[#This Row],[QT_AREA_REAL]],ESTIMATIVA[[#This Row],[QT_AREA_EST]]))</f>
        <v>16.100000000000001</v>
      </c>
      <c r="Z27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16.100000000000001</v>
      </c>
      <c r="AA279" s="1">
        <f>ESTIMATIVA[[#This Row],[QT_CANA_EST]]</f>
        <v>966</v>
      </c>
      <c r="AB279" s="1">
        <f>IF(ESTIMATIVA[[#This Row],[QT_CANA_REST1]]&gt;0,ESTIMATIVA[[#This Row],[QT_CANA_REST1]],
  IF(ESTIMATIVA[[#This Row],[QT_CANA_REAL]]&gt;0,ESTIMATIVA[[#This Row],[QT_CANA_REAL]],ESTIMATIVA[[#This Row],[QT_CANA_EST]]))</f>
        <v>885.5</v>
      </c>
      <c r="AC27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826.74</v>
      </c>
      <c r="AD279" s="1">
        <f>IF(ESTIMATIVA[[#This Row],[QT_AREA_REAL]]&gt;0,ESTIMATIVA[[#This Row],[QT_CANA_REAL]],ESTIMATIVA[[#This Row],[QT_CANA_EST]])</f>
        <v>826.74</v>
      </c>
      <c r="AE279" s="1">
        <f>IF(ESTIMATIVA[[#This Row],[QT_AREA_REAL]]&gt;0,ESTIMATIVA[[#This Row],[QT_CANA_REAL]],ESTIMATIVA[[#This Row],[QT_CANA_REST1]])</f>
        <v>826.74</v>
      </c>
      <c r="AF279" s="1">
        <f>IF(ESTIMATIVA[[#This Row],[QT_AREA_REAL]]&gt;0,ESTIMATIVA[[#This Row],[QT_CANA_REAL]],ESTIMATIVA[[#This Row],[QT_CANA_REST2]])</f>
        <v>826.74</v>
      </c>
      <c r="AG279" s="1" t="str">
        <f>IF(COUNTIFS(GEADA!A:A,VALUE(ESTIMATIVA[[#This Row],[CD_UPNIVEL1]]&amp;TEXT(ESTIMATIVA[[#This Row],[CD_UPNIVEL3]],"0000")))&gt;0,"S","N")</f>
        <v>N</v>
      </c>
      <c r="AH27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79" s="55" t="str">
        <f>IF(ESTIMATIVA[[#This Row],[TP_CULTIVO]]="Irrigado",_xlfn.MAXIFS(IRRIGADO!J:J,IRRIGADO!C:C,ESTIMATIVA[[#This Row],[CD_UPNIVEL1]],IRRIGADO!E:E,ESTIMATIVA[[#This Row],[CD_UPNIVEL3]]),"")</f>
        <v/>
      </c>
      <c r="AJ27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79" s="1">
        <f>COUNTIFS(Apresentação!$E$23:$E$29,ESTIMATIVA[[#This Row],[CD_UPNIVEL1]])</f>
        <v>0</v>
      </c>
    </row>
    <row r="280" spans="1:37" x14ac:dyDescent="0.3">
      <c r="A280">
        <v>20307</v>
      </c>
      <c r="B280" t="s">
        <v>24</v>
      </c>
      <c r="C280">
        <v>16</v>
      </c>
      <c r="D280">
        <v>4</v>
      </c>
      <c r="E280" t="s">
        <v>265</v>
      </c>
      <c r="F280" s="85" t="s">
        <v>331</v>
      </c>
      <c r="G280"/>
      <c r="H280" t="s">
        <v>295</v>
      </c>
      <c r="I280" t="s">
        <v>204</v>
      </c>
      <c r="J280" t="s">
        <v>176</v>
      </c>
      <c r="K280" s="1">
        <v>15.94</v>
      </c>
      <c r="L280" s="1">
        <v>15.94</v>
      </c>
      <c r="M280" s="1">
        <v>0</v>
      </c>
      <c r="N280" s="1">
        <v>15.94</v>
      </c>
      <c r="O280" s="1">
        <v>956.4</v>
      </c>
      <c r="P280" s="1">
        <v>876.7</v>
      </c>
      <c r="Q280" s="1">
        <v>0</v>
      </c>
      <c r="R280" s="1">
        <v>818.34</v>
      </c>
      <c r="S280" t="s">
        <v>12</v>
      </c>
      <c r="T280" s="13">
        <v>45858</v>
      </c>
      <c r="U280" s="1" t="str">
        <f>IF(ESTIMATIVA[[#This Row],[QT_AREA_REAL]]&gt;0,"1- Colhido","2- à Colher")</f>
        <v>1- Colhido</v>
      </c>
      <c r="V280" s="1" t="str">
        <f>IF(ESTIMATIVA[[#This Row],[QT_AREA_REST1]]&gt;0,"Reestimativa 1",IF(ESTIMATIVA[[#This Row],[QT_AREA_REAL]]=0,"Reestimativa 1","Realizado"))</f>
        <v>Reestimativa 1</v>
      </c>
      <c r="W280" s="1" t="str">
        <f>IF(ESTIMATIVA[[#This Row],[QT_AREA_REST2]]&gt;0,"Reestimativa 2",IF(ESTIMATIVA[[#This Row],[QT_AREA_REAL]]=0,"Reestimativa 2","Realizado"))</f>
        <v>Realizado</v>
      </c>
      <c r="X280" s="1">
        <f>ESTIMATIVA[[#This Row],[QT_AREA_EST]]</f>
        <v>15.94</v>
      </c>
      <c r="Y280" s="1">
        <f>IF(ESTIMATIVA[[#This Row],[QT_AREA_REST1]]&gt;0,ESTIMATIVA[[#This Row],[QT_AREA_REST1]],
  IF(ESTIMATIVA[[#This Row],[QT_AREA_REAL]]&gt;0,ESTIMATIVA[[#This Row],[QT_AREA_REAL]],ESTIMATIVA[[#This Row],[QT_AREA_EST]]))</f>
        <v>15.94</v>
      </c>
      <c r="Z28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15.94</v>
      </c>
      <c r="AA280" s="1">
        <f>ESTIMATIVA[[#This Row],[QT_CANA_EST]]</f>
        <v>956.4</v>
      </c>
      <c r="AB280" s="1">
        <f>IF(ESTIMATIVA[[#This Row],[QT_CANA_REST1]]&gt;0,ESTIMATIVA[[#This Row],[QT_CANA_REST1]],
  IF(ESTIMATIVA[[#This Row],[QT_CANA_REAL]]&gt;0,ESTIMATIVA[[#This Row],[QT_CANA_REAL]],ESTIMATIVA[[#This Row],[QT_CANA_EST]]))</f>
        <v>876.7</v>
      </c>
      <c r="AC28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818.34</v>
      </c>
      <c r="AD280" s="1">
        <f>IF(ESTIMATIVA[[#This Row],[QT_AREA_REAL]]&gt;0,ESTIMATIVA[[#This Row],[QT_CANA_REAL]],ESTIMATIVA[[#This Row],[QT_CANA_EST]])</f>
        <v>818.34</v>
      </c>
      <c r="AE280" s="1">
        <f>IF(ESTIMATIVA[[#This Row],[QT_AREA_REAL]]&gt;0,ESTIMATIVA[[#This Row],[QT_CANA_REAL]],ESTIMATIVA[[#This Row],[QT_CANA_REST1]])</f>
        <v>818.34</v>
      </c>
      <c r="AF280" s="1">
        <f>IF(ESTIMATIVA[[#This Row],[QT_AREA_REAL]]&gt;0,ESTIMATIVA[[#This Row],[QT_CANA_REAL]],ESTIMATIVA[[#This Row],[QT_CANA_REST2]])</f>
        <v>818.34</v>
      </c>
      <c r="AG280" s="1" t="str">
        <f>IF(COUNTIFS(GEADA!A:A,VALUE(ESTIMATIVA[[#This Row],[CD_UPNIVEL1]]&amp;TEXT(ESTIMATIVA[[#This Row],[CD_UPNIVEL3]],"0000")))&gt;0,"S","N")</f>
        <v>N</v>
      </c>
      <c r="AH28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80" s="55" t="str">
        <f>IF(ESTIMATIVA[[#This Row],[TP_CULTIVO]]="Irrigado",_xlfn.MAXIFS(IRRIGADO!J:J,IRRIGADO!C:C,ESTIMATIVA[[#This Row],[CD_UPNIVEL1]],IRRIGADO!E:E,ESTIMATIVA[[#This Row],[CD_UPNIVEL3]]),"")</f>
        <v/>
      </c>
      <c r="AJ28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80" s="1">
        <f>COUNTIFS(Apresentação!$E$23:$E$29,ESTIMATIVA[[#This Row],[CD_UPNIVEL1]])</f>
        <v>0</v>
      </c>
    </row>
    <row r="281" spans="1:37" x14ac:dyDescent="0.3">
      <c r="A281">
        <v>20307</v>
      </c>
      <c r="B281" t="s">
        <v>24</v>
      </c>
      <c r="C281">
        <v>17</v>
      </c>
      <c r="D281">
        <v>4</v>
      </c>
      <c r="E281" t="s">
        <v>265</v>
      </c>
      <c r="F281" s="85" t="s">
        <v>331</v>
      </c>
      <c r="G281"/>
      <c r="H281" t="s">
        <v>295</v>
      </c>
      <c r="I281" t="s">
        <v>204</v>
      </c>
      <c r="J281" t="s">
        <v>176</v>
      </c>
      <c r="K281" s="1">
        <v>9.32</v>
      </c>
      <c r="L281" s="1">
        <v>9.32</v>
      </c>
      <c r="M281" s="1">
        <v>0</v>
      </c>
      <c r="N281" s="1">
        <v>9.32</v>
      </c>
      <c r="O281" s="1">
        <v>559.20000000000005</v>
      </c>
      <c r="P281" s="1">
        <v>559.20000000000005</v>
      </c>
      <c r="Q281" s="1">
        <v>0</v>
      </c>
      <c r="R281" s="1">
        <v>521.98</v>
      </c>
      <c r="S281" t="s">
        <v>12</v>
      </c>
      <c r="T281" s="13">
        <v>45858</v>
      </c>
      <c r="U281" s="1" t="str">
        <f>IF(ESTIMATIVA[[#This Row],[QT_AREA_REAL]]&gt;0,"1- Colhido","2- à Colher")</f>
        <v>1- Colhido</v>
      </c>
      <c r="V281" s="1" t="str">
        <f>IF(ESTIMATIVA[[#This Row],[QT_AREA_REST1]]&gt;0,"Reestimativa 1",IF(ESTIMATIVA[[#This Row],[QT_AREA_REAL]]=0,"Reestimativa 1","Realizado"))</f>
        <v>Reestimativa 1</v>
      </c>
      <c r="W281" s="1" t="str">
        <f>IF(ESTIMATIVA[[#This Row],[QT_AREA_REST2]]&gt;0,"Reestimativa 2",IF(ESTIMATIVA[[#This Row],[QT_AREA_REAL]]=0,"Reestimativa 2","Realizado"))</f>
        <v>Realizado</v>
      </c>
      <c r="X281" s="1">
        <f>ESTIMATIVA[[#This Row],[QT_AREA_EST]]</f>
        <v>9.32</v>
      </c>
      <c r="Y281" s="1">
        <f>IF(ESTIMATIVA[[#This Row],[QT_AREA_REST1]]&gt;0,ESTIMATIVA[[#This Row],[QT_AREA_REST1]],
  IF(ESTIMATIVA[[#This Row],[QT_AREA_REAL]]&gt;0,ESTIMATIVA[[#This Row],[QT_AREA_REAL]],ESTIMATIVA[[#This Row],[QT_AREA_EST]]))</f>
        <v>9.32</v>
      </c>
      <c r="Z28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9.32</v>
      </c>
      <c r="AA281" s="1">
        <f>ESTIMATIVA[[#This Row],[QT_CANA_EST]]</f>
        <v>559.20000000000005</v>
      </c>
      <c r="AB281" s="1">
        <f>IF(ESTIMATIVA[[#This Row],[QT_CANA_REST1]]&gt;0,ESTIMATIVA[[#This Row],[QT_CANA_REST1]],
  IF(ESTIMATIVA[[#This Row],[QT_CANA_REAL]]&gt;0,ESTIMATIVA[[#This Row],[QT_CANA_REAL]],ESTIMATIVA[[#This Row],[QT_CANA_EST]]))</f>
        <v>559.20000000000005</v>
      </c>
      <c r="AC28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521.98</v>
      </c>
      <c r="AD281" s="1">
        <f>IF(ESTIMATIVA[[#This Row],[QT_AREA_REAL]]&gt;0,ESTIMATIVA[[#This Row],[QT_CANA_REAL]],ESTIMATIVA[[#This Row],[QT_CANA_EST]])</f>
        <v>521.98</v>
      </c>
      <c r="AE281" s="1">
        <f>IF(ESTIMATIVA[[#This Row],[QT_AREA_REAL]]&gt;0,ESTIMATIVA[[#This Row],[QT_CANA_REAL]],ESTIMATIVA[[#This Row],[QT_CANA_REST1]])</f>
        <v>521.98</v>
      </c>
      <c r="AF281" s="1">
        <f>IF(ESTIMATIVA[[#This Row],[QT_AREA_REAL]]&gt;0,ESTIMATIVA[[#This Row],[QT_CANA_REAL]],ESTIMATIVA[[#This Row],[QT_CANA_REST2]])</f>
        <v>521.98</v>
      </c>
      <c r="AG281" s="1" t="str">
        <f>IF(COUNTIFS(GEADA!A:A,VALUE(ESTIMATIVA[[#This Row],[CD_UPNIVEL1]]&amp;TEXT(ESTIMATIVA[[#This Row],[CD_UPNIVEL3]],"0000")))&gt;0,"S","N")</f>
        <v>N</v>
      </c>
      <c r="AH28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81" s="55" t="str">
        <f>IF(ESTIMATIVA[[#This Row],[TP_CULTIVO]]="Irrigado",_xlfn.MAXIFS(IRRIGADO!J:J,IRRIGADO!C:C,ESTIMATIVA[[#This Row],[CD_UPNIVEL1]],IRRIGADO!E:E,ESTIMATIVA[[#This Row],[CD_UPNIVEL3]]),"")</f>
        <v/>
      </c>
      <c r="AJ28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81" s="1">
        <f>COUNTIFS(Apresentação!$E$23:$E$29,ESTIMATIVA[[#This Row],[CD_UPNIVEL1]])</f>
        <v>0</v>
      </c>
    </row>
    <row r="282" spans="1:37" x14ac:dyDescent="0.3">
      <c r="A282">
        <v>20307</v>
      </c>
      <c r="B282" t="s">
        <v>24</v>
      </c>
      <c r="C282">
        <v>18</v>
      </c>
      <c r="D282">
        <v>4</v>
      </c>
      <c r="E282" t="s">
        <v>265</v>
      </c>
      <c r="F282" s="85" t="s">
        <v>331</v>
      </c>
      <c r="G282"/>
      <c r="H282" t="s">
        <v>295</v>
      </c>
      <c r="I282" t="s">
        <v>204</v>
      </c>
      <c r="J282" t="s">
        <v>176</v>
      </c>
      <c r="K282" s="1">
        <v>31.91</v>
      </c>
      <c r="L282" s="1">
        <v>31.91</v>
      </c>
      <c r="M282" s="1">
        <v>0</v>
      </c>
      <c r="N282" s="1">
        <v>31.91</v>
      </c>
      <c r="O282" s="1">
        <v>2233.6999999999998</v>
      </c>
      <c r="P282" s="1">
        <v>2233.6999999999998</v>
      </c>
      <c r="Q282" s="1">
        <v>0</v>
      </c>
      <c r="R282" s="1">
        <v>1956.02</v>
      </c>
      <c r="S282" t="s">
        <v>12</v>
      </c>
      <c r="T282" s="13">
        <v>45858</v>
      </c>
      <c r="U282" s="1" t="str">
        <f>IF(ESTIMATIVA[[#This Row],[QT_AREA_REAL]]&gt;0,"1- Colhido","2- à Colher")</f>
        <v>1- Colhido</v>
      </c>
      <c r="V282" s="1" t="str">
        <f>IF(ESTIMATIVA[[#This Row],[QT_AREA_REST1]]&gt;0,"Reestimativa 1",IF(ESTIMATIVA[[#This Row],[QT_AREA_REAL]]=0,"Reestimativa 1","Realizado"))</f>
        <v>Reestimativa 1</v>
      </c>
      <c r="W282" s="1" t="str">
        <f>IF(ESTIMATIVA[[#This Row],[QT_AREA_REST2]]&gt;0,"Reestimativa 2",IF(ESTIMATIVA[[#This Row],[QT_AREA_REAL]]=0,"Reestimativa 2","Realizado"))</f>
        <v>Realizado</v>
      </c>
      <c r="X282" s="1">
        <f>ESTIMATIVA[[#This Row],[QT_AREA_EST]]</f>
        <v>31.91</v>
      </c>
      <c r="Y282" s="1">
        <f>IF(ESTIMATIVA[[#This Row],[QT_AREA_REST1]]&gt;0,ESTIMATIVA[[#This Row],[QT_AREA_REST1]],
  IF(ESTIMATIVA[[#This Row],[QT_AREA_REAL]]&gt;0,ESTIMATIVA[[#This Row],[QT_AREA_REAL]],ESTIMATIVA[[#This Row],[QT_AREA_EST]]))</f>
        <v>31.91</v>
      </c>
      <c r="Z28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31.91</v>
      </c>
      <c r="AA282" s="1">
        <f>ESTIMATIVA[[#This Row],[QT_CANA_EST]]</f>
        <v>2233.6999999999998</v>
      </c>
      <c r="AB282" s="1">
        <f>IF(ESTIMATIVA[[#This Row],[QT_CANA_REST1]]&gt;0,ESTIMATIVA[[#This Row],[QT_CANA_REST1]],
  IF(ESTIMATIVA[[#This Row],[QT_CANA_REAL]]&gt;0,ESTIMATIVA[[#This Row],[QT_CANA_REAL]],ESTIMATIVA[[#This Row],[QT_CANA_EST]]))</f>
        <v>2233.6999999999998</v>
      </c>
      <c r="AC28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1956.02</v>
      </c>
      <c r="AD282" s="1">
        <f>IF(ESTIMATIVA[[#This Row],[QT_AREA_REAL]]&gt;0,ESTIMATIVA[[#This Row],[QT_CANA_REAL]],ESTIMATIVA[[#This Row],[QT_CANA_EST]])</f>
        <v>1956.02</v>
      </c>
      <c r="AE282" s="1">
        <f>IF(ESTIMATIVA[[#This Row],[QT_AREA_REAL]]&gt;0,ESTIMATIVA[[#This Row],[QT_CANA_REAL]],ESTIMATIVA[[#This Row],[QT_CANA_REST1]])</f>
        <v>1956.02</v>
      </c>
      <c r="AF282" s="1">
        <f>IF(ESTIMATIVA[[#This Row],[QT_AREA_REAL]]&gt;0,ESTIMATIVA[[#This Row],[QT_CANA_REAL]],ESTIMATIVA[[#This Row],[QT_CANA_REST2]])</f>
        <v>1956.02</v>
      </c>
      <c r="AG282" s="1" t="str">
        <f>IF(COUNTIFS(GEADA!A:A,VALUE(ESTIMATIVA[[#This Row],[CD_UPNIVEL1]]&amp;TEXT(ESTIMATIVA[[#This Row],[CD_UPNIVEL3]],"0000")))&gt;0,"S","N")</f>
        <v>N</v>
      </c>
      <c r="AH28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82" s="55" t="str">
        <f>IF(ESTIMATIVA[[#This Row],[TP_CULTIVO]]="Irrigado",_xlfn.MAXIFS(IRRIGADO!J:J,IRRIGADO!C:C,ESTIMATIVA[[#This Row],[CD_UPNIVEL1]],IRRIGADO!E:E,ESTIMATIVA[[#This Row],[CD_UPNIVEL3]]),"")</f>
        <v/>
      </c>
      <c r="AJ28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82" s="1">
        <f>COUNTIFS(Apresentação!$E$23:$E$29,ESTIMATIVA[[#This Row],[CD_UPNIVEL1]])</f>
        <v>0</v>
      </c>
    </row>
    <row r="283" spans="1:37" x14ac:dyDescent="0.3">
      <c r="A283">
        <v>20309</v>
      </c>
      <c r="B283" t="s">
        <v>25</v>
      </c>
      <c r="C283">
        <v>1</v>
      </c>
      <c r="D283">
        <v>6</v>
      </c>
      <c r="E283" t="s">
        <v>261</v>
      </c>
      <c r="F283" s="85" t="s">
        <v>331</v>
      </c>
      <c r="G283"/>
      <c r="H283" t="s">
        <v>295</v>
      </c>
      <c r="I283" t="s">
        <v>197</v>
      </c>
      <c r="J283" t="s">
        <v>176</v>
      </c>
      <c r="K283" s="1">
        <v>8.59</v>
      </c>
      <c r="L283" s="1">
        <v>0</v>
      </c>
      <c r="M283" s="1">
        <v>0</v>
      </c>
      <c r="N283" s="1">
        <v>8.59</v>
      </c>
      <c r="O283" s="1">
        <v>523.99</v>
      </c>
      <c r="P283" s="1">
        <v>0</v>
      </c>
      <c r="Q283" s="1">
        <v>0</v>
      </c>
      <c r="R283" s="1">
        <v>501.02</v>
      </c>
      <c r="S283" t="s">
        <v>12</v>
      </c>
      <c r="T283" s="13">
        <v>45781</v>
      </c>
      <c r="U283" s="1" t="str">
        <f>IF(ESTIMATIVA[[#This Row],[QT_AREA_REAL]]&gt;0,"1- Colhido","2- à Colher")</f>
        <v>1- Colhido</v>
      </c>
      <c r="V283" s="1" t="str">
        <f>IF(ESTIMATIVA[[#This Row],[QT_AREA_REST1]]&gt;0,"Reestimativa 1",IF(ESTIMATIVA[[#This Row],[QT_AREA_REAL]]=0,"Reestimativa 1","Realizado"))</f>
        <v>Realizado</v>
      </c>
      <c r="W283" s="1" t="str">
        <f>IF(ESTIMATIVA[[#This Row],[QT_AREA_REST2]]&gt;0,"Reestimativa 2",IF(ESTIMATIVA[[#This Row],[QT_AREA_REAL]]=0,"Reestimativa 2","Realizado"))</f>
        <v>Realizado</v>
      </c>
      <c r="X283" s="1">
        <f>ESTIMATIVA[[#This Row],[QT_AREA_EST]]</f>
        <v>8.59</v>
      </c>
      <c r="Y283" s="1">
        <f>IF(ESTIMATIVA[[#This Row],[QT_AREA_REST1]]&gt;0,ESTIMATIVA[[#This Row],[QT_AREA_REST1]],
  IF(ESTIMATIVA[[#This Row],[QT_AREA_REAL]]&gt;0,ESTIMATIVA[[#This Row],[QT_AREA_REAL]],ESTIMATIVA[[#This Row],[QT_AREA_EST]]))</f>
        <v>8.59</v>
      </c>
      <c r="Z28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8.59</v>
      </c>
      <c r="AA283" s="1">
        <f>ESTIMATIVA[[#This Row],[QT_CANA_EST]]</f>
        <v>523.99</v>
      </c>
      <c r="AB283" s="1">
        <f>IF(ESTIMATIVA[[#This Row],[QT_CANA_REST1]]&gt;0,ESTIMATIVA[[#This Row],[QT_CANA_REST1]],
  IF(ESTIMATIVA[[#This Row],[QT_CANA_REAL]]&gt;0,ESTIMATIVA[[#This Row],[QT_CANA_REAL]],ESTIMATIVA[[#This Row],[QT_CANA_EST]]))</f>
        <v>501.02</v>
      </c>
      <c r="AC28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501.02</v>
      </c>
      <c r="AD283" s="1">
        <f>IF(ESTIMATIVA[[#This Row],[QT_AREA_REAL]]&gt;0,ESTIMATIVA[[#This Row],[QT_CANA_REAL]],ESTIMATIVA[[#This Row],[QT_CANA_EST]])</f>
        <v>501.02</v>
      </c>
      <c r="AE283" s="1">
        <f>IF(ESTIMATIVA[[#This Row],[QT_AREA_REAL]]&gt;0,ESTIMATIVA[[#This Row],[QT_CANA_REAL]],ESTIMATIVA[[#This Row],[QT_CANA_REST1]])</f>
        <v>501.02</v>
      </c>
      <c r="AF283" s="1">
        <f>IF(ESTIMATIVA[[#This Row],[QT_AREA_REAL]]&gt;0,ESTIMATIVA[[#This Row],[QT_CANA_REAL]],ESTIMATIVA[[#This Row],[QT_CANA_REST2]])</f>
        <v>501.02</v>
      </c>
      <c r="AG283" s="1" t="str">
        <f>IF(COUNTIFS(GEADA!A:A,VALUE(ESTIMATIVA[[#This Row],[CD_UPNIVEL1]]&amp;TEXT(ESTIMATIVA[[#This Row],[CD_UPNIVEL3]],"0000")))&gt;0,"S","N")</f>
        <v>N</v>
      </c>
      <c r="AH28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83" s="55" t="str">
        <f>IF(ESTIMATIVA[[#This Row],[TP_CULTIVO]]="Irrigado",_xlfn.MAXIFS(IRRIGADO!J:J,IRRIGADO!C:C,ESTIMATIVA[[#This Row],[CD_UPNIVEL1]],IRRIGADO!E:E,ESTIMATIVA[[#This Row],[CD_UPNIVEL3]]),"")</f>
        <v/>
      </c>
      <c r="AJ28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83" s="1">
        <f>COUNTIFS(Apresentação!$E$23:$E$29,ESTIMATIVA[[#This Row],[CD_UPNIVEL1]])</f>
        <v>0</v>
      </c>
    </row>
    <row r="284" spans="1:37" x14ac:dyDescent="0.3">
      <c r="A284">
        <v>20309</v>
      </c>
      <c r="B284" t="s">
        <v>25</v>
      </c>
      <c r="C284">
        <v>2</v>
      </c>
      <c r="D284">
        <v>6</v>
      </c>
      <c r="E284" t="s">
        <v>261</v>
      </c>
      <c r="F284" s="85" t="s">
        <v>331</v>
      </c>
      <c r="G284"/>
      <c r="H284" t="s">
        <v>295</v>
      </c>
      <c r="I284" t="s">
        <v>197</v>
      </c>
      <c r="J284" t="s">
        <v>176</v>
      </c>
      <c r="K284" s="1">
        <v>21.15</v>
      </c>
      <c r="L284" s="1">
        <v>0</v>
      </c>
      <c r="M284" s="1">
        <v>0</v>
      </c>
      <c r="N284" s="1">
        <v>21.15</v>
      </c>
      <c r="O284" s="1">
        <v>1290.1500000000001</v>
      </c>
      <c r="P284" s="1">
        <v>0</v>
      </c>
      <c r="Q284" s="1">
        <v>0</v>
      </c>
      <c r="R284" s="1">
        <v>1233.48</v>
      </c>
      <c r="S284" t="s">
        <v>12</v>
      </c>
      <c r="T284" s="13">
        <v>45781</v>
      </c>
      <c r="U284" s="1" t="str">
        <f>IF(ESTIMATIVA[[#This Row],[QT_AREA_REAL]]&gt;0,"1- Colhido","2- à Colher")</f>
        <v>1- Colhido</v>
      </c>
      <c r="V284" s="1" t="str">
        <f>IF(ESTIMATIVA[[#This Row],[QT_AREA_REST1]]&gt;0,"Reestimativa 1",IF(ESTIMATIVA[[#This Row],[QT_AREA_REAL]]=0,"Reestimativa 1","Realizado"))</f>
        <v>Realizado</v>
      </c>
      <c r="W284" s="1" t="str">
        <f>IF(ESTIMATIVA[[#This Row],[QT_AREA_REST2]]&gt;0,"Reestimativa 2",IF(ESTIMATIVA[[#This Row],[QT_AREA_REAL]]=0,"Reestimativa 2","Realizado"))</f>
        <v>Realizado</v>
      </c>
      <c r="X284" s="1">
        <f>ESTIMATIVA[[#This Row],[QT_AREA_EST]]</f>
        <v>21.15</v>
      </c>
      <c r="Y284" s="1">
        <f>IF(ESTIMATIVA[[#This Row],[QT_AREA_REST1]]&gt;0,ESTIMATIVA[[#This Row],[QT_AREA_REST1]],
  IF(ESTIMATIVA[[#This Row],[QT_AREA_REAL]]&gt;0,ESTIMATIVA[[#This Row],[QT_AREA_REAL]],ESTIMATIVA[[#This Row],[QT_AREA_EST]]))</f>
        <v>21.15</v>
      </c>
      <c r="Z28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21.15</v>
      </c>
      <c r="AA284" s="1">
        <f>ESTIMATIVA[[#This Row],[QT_CANA_EST]]</f>
        <v>1290.1500000000001</v>
      </c>
      <c r="AB284" s="1">
        <f>IF(ESTIMATIVA[[#This Row],[QT_CANA_REST1]]&gt;0,ESTIMATIVA[[#This Row],[QT_CANA_REST1]],
  IF(ESTIMATIVA[[#This Row],[QT_CANA_REAL]]&gt;0,ESTIMATIVA[[#This Row],[QT_CANA_REAL]],ESTIMATIVA[[#This Row],[QT_CANA_EST]]))</f>
        <v>1233.48</v>
      </c>
      <c r="AC28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1233.48</v>
      </c>
      <c r="AD284" s="1">
        <f>IF(ESTIMATIVA[[#This Row],[QT_AREA_REAL]]&gt;0,ESTIMATIVA[[#This Row],[QT_CANA_REAL]],ESTIMATIVA[[#This Row],[QT_CANA_EST]])</f>
        <v>1233.48</v>
      </c>
      <c r="AE284" s="1">
        <f>IF(ESTIMATIVA[[#This Row],[QT_AREA_REAL]]&gt;0,ESTIMATIVA[[#This Row],[QT_CANA_REAL]],ESTIMATIVA[[#This Row],[QT_CANA_REST1]])</f>
        <v>1233.48</v>
      </c>
      <c r="AF284" s="1">
        <f>IF(ESTIMATIVA[[#This Row],[QT_AREA_REAL]]&gt;0,ESTIMATIVA[[#This Row],[QT_CANA_REAL]],ESTIMATIVA[[#This Row],[QT_CANA_REST2]])</f>
        <v>1233.48</v>
      </c>
      <c r="AG284" s="1" t="str">
        <f>IF(COUNTIFS(GEADA!A:A,VALUE(ESTIMATIVA[[#This Row],[CD_UPNIVEL1]]&amp;TEXT(ESTIMATIVA[[#This Row],[CD_UPNIVEL3]],"0000")))&gt;0,"S","N")</f>
        <v>N</v>
      </c>
      <c r="AH28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84" s="55" t="str">
        <f>IF(ESTIMATIVA[[#This Row],[TP_CULTIVO]]="Irrigado",_xlfn.MAXIFS(IRRIGADO!J:J,IRRIGADO!C:C,ESTIMATIVA[[#This Row],[CD_UPNIVEL1]],IRRIGADO!E:E,ESTIMATIVA[[#This Row],[CD_UPNIVEL3]]),"")</f>
        <v/>
      </c>
      <c r="AJ28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84" s="1">
        <f>COUNTIFS(Apresentação!$E$23:$E$29,ESTIMATIVA[[#This Row],[CD_UPNIVEL1]])</f>
        <v>0</v>
      </c>
    </row>
    <row r="285" spans="1:37" x14ac:dyDescent="0.3">
      <c r="A285">
        <v>20309</v>
      </c>
      <c r="B285" t="s">
        <v>25</v>
      </c>
      <c r="C285">
        <v>3</v>
      </c>
      <c r="D285">
        <v>6</v>
      </c>
      <c r="E285" t="s">
        <v>261</v>
      </c>
      <c r="F285" s="85" t="s">
        <v>331</v>
      </c>
      <c r="G285"/>
      <c r="H285" t="s">
        <v>295</v>
      </c>
      <c r="I285" t="s">
        <v>208</v>
      </c>
      <c r="J285" t="s">
        <v>176</v>
      </c>
      <c r="K285" s="1">
        <v>14.91</v>
      </c>
      <c r="L285" s="1">
        <v>0</v>
      </c>
      <c r="M285" s="1">
        <v>0</v>
      </c>
      <c r="N285" s="1">
        <v>14.91</v>
      </c>
      <c r="O285" s="1">
        <v>909.51</v>
      </c>
      <c r="P285" s="1">
        <v>0</v>
      </c>
      <c r="Q285" s="1">
        <v>0</v>
      </c>
      <c r="R285" s="1">
        <v>870.23</v>
      </c>
      <c r="S285" t="s">
        <v>12</v>
      </c>
      <c r="T285" s="13">
        <v>45781</v>
      </c>
      <c r="U285" s="1" t="str">
        <f>IF(ESTIMATIVA[[#This Row],[QT_AREA_REAL]]&gt;0,"1- Colhido","2- à Colher")</f>
        <v>1- Colhido</v>
      </c>
      <c r="V285" s="1" t="str">
        <f>IF(ESTIMATIVA[[#This Row],[QT_AREA_REST1]]&gt;0,"Reestimativa 1",IF(ESTIMATIVA[[#This Row],[QT_AREA_REAL]]=0,"Reestimativa 1","Realizado"))</f>
        <v>Realizado</v>
      </c>
      <c r="W285" s="1" t="str">
        <f>IF(ESTIMATIVA[[#This Row],[QT_AREA_REST2]]&gt;0,"Reestimativa 2",IF(ESTIMATIVA[[#This Row],[QT_AREA_REAL]]=0,"Reestimativa 2","Realizado"))</f>
        <v>Realizado</v>
      </c>
      <c r="X285" s="1">
        <f>ESTIMATIVA[[#This Row],[QT_AREA_EST]]</f>
        <v>14.91</v>
      </c>
      <c r="Y285" s="1">
        <f>IF(ESTIMATIVA[[#This Row],[QT_AREA_REST1]]&gt;0,ESTIMATIVA[[#This Row],[QT_AREA_REST1]],
  IF(ESTIMATIVA[[#This Row],[QT_AREA_REAL]]&gt;0,ESTIMATIVA[[#This Row],[QT_AREA_REAL]],ESTIMATIVA[[#This Row],[QT_AREA_EST]]))</f>
        <v>14.91</v>
      </c>
      <c r="Z28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14.91</v>
      </c>
      <c r="AA285" s="1">
        <f>ESTIMATIVA[[#This Row],[QT_CANA_EST]]</f>
        <v>909.51</v>
      </c>
      <c r="AB285" s="1">
        <f>IF(ESTIMATIVA[[#This Row],[QT_CANA_REST1]]&gt;0,ESTIMATIVA[[#This Row],[QT_CANA_REST1]],
  IF(ESTIMATIVA[[#This Row],[QT_CANA_REAL]]&gt;0,ESTIMATIVA[[#This Row],[QT_CANA_REAL]],ESTIMATIVA[[#This Row],[QT_CANA_EST]]))</f>
        <v>870.23</v>
      </c>
      <c r="AC28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870.23</v>
      </c>
      <c r="AD285" s="1">
        <f>IF(ESTIMATIVA[[#This Row],[QT_AREA_REAL]]&gt;0,ESTIMATIVA[[#This Row],[QT_CANA_REAL]],ESTIMATIVA[[#This Row],[QT_CANA_EST]])</f>
        <v>870.23</v>
      </c>
      <c r="AE285" s="1">
        <f>IF(ESTIMATIVA[[#This Row],[QT_AREA_REAL]]&gt;0,ESTIMATIVA[[#This Row],[QT_CANA_REAL]],ESTIMATIVA[[#This Row],[QT_CANA_REST1]])</f>
        <v>870.23</v>
      </c>
      <c r="AF285" s="1">
        <f>IF(ESTIMATIVA[[#This Row],[QT_AREA_REAL]]&gt;0,ESTIMATIVA[[#This Row],[QT_CANA_REAL]],ESTIMATIVA[[#This Row],[QT_CANA_REST2]])</f>
        <v>870.23</v>
      </c>
      <c r="AG285" s="1" t="str">
        <f>IF(COUNTIFS(GEADA!A:A,VALUE(ESTIMATIVA[[#This Row],[CD_UPNIVEL1]]&amp;TEXT(ESTIMATIVA[[#This Row],[CD_UPNIVEL3]],"0000")))&gt;0,"S","N")</f>
        <v>N</v>
      </c>
      <c r="AH28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85" s="55" t="str">
        <f>IF(ESTIMATIVA[[#This Row],[TP_CULTIVO]]="Irrigado",_xlfn.MAXIFS(IRRIGADO!J:J,IRRIGADO!C:C,ESTIMATIVA[[#This Row],[CD_UPNIVEL1]],IRRIGADO!E:E,ESTIMATIVA[[#This Row],[CD_UPNIVEL3]]),"")</f>
        <v/>
      </c>
      <c r="AJ28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85" s="1">
        <f>COUNTIFS(Apresentação!$E$23:$E$29,ESTIMATIVA[[#This Row],[CD_UPNIVEL1]])</f>
        <v>0</v>
      </c>
    </row>
    <row r="286" spans="1:37" x14ac:dyDescent="0.3">
      <c r="A286">
        <v>20309</v>
      </c>
      <c r="B286" t="s">
        <v>25</v>
      </c>
      <c r="C286">
        <v>4</v>
      </c>
      <c r="D286">
        <v>6</v>
      </c>
      <c r="E286" t="s">
        <v>261</v>
      </c>
      <c r="F286" s="85" t="s">
        <v>331</v>
      </c>
      <c r="G286"/>
      <c r="H286" t="s">
        <v>295</v>
      </c>
      <c r="I286" t="s">
        <v>208</v>
      </c>
      <c r="J286" t="s">
        <v>176</v>
      </c>
      <c r="K286" s="1">
        <v>14.78</v>
      </c>
      <c r="L286" s="1">
        <v>0</v>
      </c>
      <c r="M286" s="1">
        <v>0</v>
      </c>
      <c r="N286" s="1">
        <v>14.78</v>
      </c>
      <c r="O286" s="1">
        <v>679.88</v>
      </c>
      <c r="P286" s="1">
        <v>0</v>
      </c>
      <c r="Q286" s="1">
        <v>0</v>
      </c>
      <c r="R286" s="1">
        <v>724.43</v>
      </c>
      <c r="S286" t="s">
        <v>12</v>
      </c>
      <c r="T286" s="13">
        <v>45781</v>
      </c>
      <c r="U286" s="1" t="str">
        <f>IF(ESTIMATIVA[[#This Row],[QT_AREA_REAL]]&gt;0,"1- Colhido","2- à Colher")</f>
        <v>1- Colhido</v>
      </c>
      <c r="V286" s="1" t="str">
        <f>IF(ESTIMATIVA[[#This Row],[QT_AREA_REST1]]&gt;0,"Reestimativa 1",IF(ESTIMATIVA[[#This Row],[QT_AREA_REAL]]=0,"Reestimativa 1","Realizado"))</f>
        <v>Realizado</v>
      </c>
      <c r="W286" s="1" t="str">
        <f>IF(ESTIMATIVA[[#This Row],[QT_AREA_REST2]]&gt;0,"Reestimativa 2",IF(ESTIMATIVA[[#This Row],[QT_AREA_REAL]]=0,"Reestimativa 2","Realizado"))</f>
        <v>Realizado</v>
      </c>
      <c r="X286" s="1">
        <f>ESTIMATIVA[[#This Row],[QT_AREA_EST]]</f>
        <v>14.78</v>
      </c>
      <c r="Y286" s="1">
        <f>IF(ESTIMATIVA[[#This Row],[QT_AREA_REST1]]&gt;0,ESTIMATIVA[[#This Row],[QT_AREA_REST1]],
  IF(ESTIMATIVA[[#This Row],[QT_AREA_REAL]]&gt;0,ESTIMATIVA[[#This Row],[QT_AREA_REAL]],ESTIMATIVA[[#This Row],[QT_AREA_EST]]))</f>
        <v>14.78</v>
      </c>
      <c r="Z28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14.78</v>
      </c>
      <c r="AA286" s="1">
        <f>ESTIMATIVA[[#This Row],[QT_CANA_EST]]</f>
        <v>679.88</v>
      </c>
      <c r="AB286" s="1">
        <f>IF(ESTIMATIVA[[#This Row],[QT_CANA_REST1]]&gt;0,ESTIMATIVA[[#This Row],[QT_CANA_REST1]],
  IF(ESTIMATIVA[[#This Row],[QT_CANA_REAL]]&gt;0,ESTIMATIVA[[#This Row],[QT_CANA_REAL]],ESTIMATIVA[[#This Row],[QT_CANA_EST]]))</f>
        <v>724.43</v>
      </c>
      <c r="AC28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724.43</v>
      </c>
      <c r="AD286" s="1">
        <f>IF(ESTIMATIVA[[#This Row],[QT_AREA_REAL]]&gt;0,ESTIMATIVA[[#This Row],[QT_CANA_REAL]],ESTIMATIVA[[#This Row],[QT_CANA_EST]])</f>
        <v>724.43</v>
      </c>
      <c r="AE286" s="1">
        <f>IF(ESTIMATIVA[[#This Row],[QT_AREA_REAL]]&gt;0,ESTIMATIVA[[#This Row],[QT_CANA_REAL]],ESTIMATIVA[[#This Row],[QT_CANA_REST1]])</f>
        <v>724.43</v>
      </c>
      <c r="AF286" s="1">
        <f>IF(ESTIMATIVA[[#This Row],[QT_AREA_REAL]]&gt;0,ESTIMATIVA[[#This Row],[QT_CANA_REAL]],ESTIMATIVA[[#This Row],[QT_CANA_REST2]])</f>
        <v>724.43</v>
      </c>
      <c r="AG286" s="1" t="str">
        <f>IF(COUNTIFS(GEADA!A:A,VALUE(ESTIMATIVA[[#This Row],[CD_UPNIVEL1]]&amp;TEXT(ESTIMATIVA[[#This Row],[CD_UPNIVEL3]],"0000")))&gt;0,"S","N")</f>
        <v>N</v>
      </c>
      <c r="AH28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86" s="55" t="str">
        <f>IF(ESTIMATIVA[[#This Row],[TP_CULTIVO]]="Irrigado",_xlfn.MAXIFS(IRRIGADO!J:J,IRRIGADO!C:C,ESTIMATIVA[[#This Row],[CD_UPNIVEL1]],IRRIGADO!E:E,ESTIMATIVA[[#This Row],[CD_UPNIVEL3]]),"")</f>
        <v/>
      </c>
      <c r="AJ28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86" s="1">
        <f>COUNTIFS(Apresentação!$E$23:$E$29,ESTIMATIVA[[#This Row],[CD_UPNIVEL1]])</f>
        <v>0</v>
      </c>
    </row>
    <row r="287" spans="1:37" x14ac:dyDescent="0.3">
      <c r="A287">
        <v>20309</v>
      </c>
      <c r="B287" t="s">
        <v>25</v>
      </c>
      <c r="C287">
        <v>5</v>
      </c>
      <c r="D287">
        <v>6</v>
      </c>
      <c r="E287" t="s">
        <v>261</v>
      </c>
      <c r="F287" s="85" t="s">
        <v>331</v>
      </c>
      <c r="G287"/>
      <c r="H287" t="s">
        <v>295</v>
      </c>
      <c r="I287" t="s">
        <v>208</v>
      </c>
      <c r="J287" t="s">
        <v>176</v>
      </c>
      <c r="K287" s="1">
        <v>5.8</v>
      </c>
      <c r="L287" s="1">
        <v>0</v>
      </c>
      <c r="M287" s="1">
        <v>0</v>
      </c>
      <c r="N287" s="1">
        <v>5.8</v>
      </c>
      <c r="O287" s="1">
        <v>266.8</v>
      </c>
      <c r="P287" s="1">
        <v>0</v>
      </c>
      <c r="Q287" s="1">
        <v>0</v>
      </c>
      <c r="R287" s="1">
        <v>284.39999999999998</v>
      </c>
      <c r="S287" t="s">
        <v>12</v>
      </c>
      <c r="T287" s="13">
        <v>45781</v>
      </c>
      <c r="U287" s="1" t="str">
        <f>IF(ESTIMATIVA[[#This Row],[QT_AREA_REAL]]&gt;0,"1- Colhido","2- à Colher")</f>
        <v>1- Colhido</v>
      </c>
      <c r="V287" s="1" t="str">
        <f>IF(ESTIMATIVA[[#This Row],[QT_AREA_REST1]]&gt;0,"Reestimativa 1",IF(ESTIMATIVA[[#This Row],[QT_AREA_REAL]]=0,"Reestimativa 1","Realizado"))</f>
        <v>Realizado</v>
      </c>
      <c r="W287" s="1" t="str">
        <f>IF(ESTIMATIVA[[#This Row],[QT_AREA_REST2]]&gt;0,"Reestimativa 2",IF(ESTIMATIVA[[#This Row],[QT_AREA_REAL]]=0,"Reestimativa 2","Realizado"))</f>
        <v>Realizado</v>
      </c>
      <c r="X287" s="1">
        <f>ESTIMATIVA[[#This Row],[QT_AREA_EST]]</f>
        <v>5.8</v>
      </c>
      <c r="Y287" s="1">
        <f>IF(ESTIMATIVA[[#This Row],[QT_AREA_REST1]]&gt;0,ESTIMATIVA[[#This Row],[QT_AREA_REST1]],
  IF(ESTIMATIVA[[#This Row],[QT_AREA_REAL]]&gt;0,ESTIMATIVA[[#This Row],[QT_AREA_REAL]],ESTIMATIVA[[#This Row],[QT_AREA_EST]]))</f>
        <v>5.8</v>
      </c>
      <c r="Z28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5.8</v>
      </c>
      <c r="AA287" s="1">
        <f>ESTIMATIVA[[#This Row],[QT_CANA_EST]]</f>
        <v>266.8</v>
      </c>
      <c r="AB287" s="1">
        <f>IF(ESTIMATIVA[[#This Row],[QT_CANA_REST1]]&gt;0,ESTIMATIVA[[#This Row],[QT_CANA_REST1]],
  IF(ESTIMATIVA[[#This Row],[QT_CANA_REAL]]&gt;0,ESTIMATIVA[[#This Row],[QT_CANA_REAL]],ESTIMATIVA[[#This Row],[QT_CANA_EST]]))</f>
        <v>284.39999999999998</v>
      </c>
      <c r="AC28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284.39999999999998</v>
      </c>
      <c r="AD287" s="1">
        <f>IF(ESTIMATIVA[[#This Row],[QT_AREA_REAL]]&gt;0,ESTIMATIVA[[#This Row],[QT_CANA_REAL]],ESTIMATIVA[[#This Row],[QT_CANA_EST]])</f>
        <v>284.39999999999998</v>
      </c>
      <c r="AE287" s="1">
        <f>IF(ESTIMATIVA[[#This Row],[QT_AREA_REAL]]&gt;0,ESTIMATIVA[[#This Row],[QT_CANA_REAL]],ESTIMATIVA[[#This Row],[QT_CANA_REST1]])</f>
        <v>284.39999999999998</v>
      </c>
      <c r="AF287" s="1">
        <f>IF(ESTIMATIVA[[#This Row],[QT_AREA_REAL]]&gt;0,ESTIMATIVA[[#This Row],[QT_CANA_REAL]],ESTIMATIVA[[#This Row],[QT_CANA_REST2]])</f>
        <v>284.39999999999998</v>
      </c>
      <c r="AG287" s="1" t="str">
        <f>IF(COUNTIFS(GEADA!A:A,VALUE(ESTIMATIVA[[#This Row],[CD_UPNIVEL1]]&amp;TEXT(ESTIMATIVA[[#This Row],[CD_UPNIVEL3]],"0000")))&gt;0,"S","N")</f>
        <v>N</v>
      </c>
      <c r="AH28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87" s="55" t="str">
        <f>IF(ESTIMATIVA[[#This Row],[TP_CULTIVO]]="Irrigado",_xlfn.MAXIFS(IRRIGADO!J:J,IRRIGADO!C:C,ESTIMATIVA[[#This Row],[CD_UPNIVEL1]],IRRIGADO!E:E,ESTIMATIVA[[#This Row],[CD_UPNIVEL3]]),"")</f>
        <v/>
      </c>
      <c r="AJ28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87" s="1">
        <f>COUNTIFS(Apresentação!$E$23:$E$29,ESTIMATIVA[[#This Row],[CD_UPNIVEL1]])</f>
        <v>0</v>
      </c>
    </row>
    <row r="288" spans="1:37" x14ac:dyDescent="0.3">
      <c r="A288">
        <v>20309</v>
      </c>
      <c r="B288" t="s">
        <v>25</v>
      </c>
      <c r="C288">
        <v>6</v>
      </c>
      <c r="D288">
        <v>6</v>
      </c>
      <c r="E288" t="s">
        <v>261</v>
      </c>
      <c r="F288" s="85" t="s">
        <v>331</v>
      </c>
      <c r="G288"/>
      <c r="H288" t="s">
        <v>295</v>
      </c>
      <c r="I288" t="s">
        <v>208</v>
      </c>
      <c r="J288" t="s">
        <v>176</v>
      </c>
      <c r="K288" s="1">
        <v>7.25</v>
      </c>
      <c r="L288" s="1">
        <v>0</v>
      </c>
      <c r="M288" s="1">
        <v>0</v>
      </c>
      <c r="N288" s="1">
        <v>7.25</v>
      </c>
      <c r="O288" s="1">
        <v>333.5</v>
      </c>
      <c r="P288" s="1">
        <v>0</v>
      </c>
      <c r="Q288" s="1">
        <v>0</v>
      </c>
      <c r="R288" s="1">
        <v>355.78</v>
      </c>
      <c r="S288" t="s">
        <v>12</v>
      </c>
      <c r="T288" s="13">
        <v>45781</v>
      </c>
      <c r="U288" s="1" t="str">
        <f>IF(ESTIMATIVA[[#This Row],[QT_AREA_REAL]]&gt;0,"1- Colhido","2- à Colher")</f>
        <v>1- Colhido</v>
      </c>
      <c r="V288" s="1" t="str">
        <f>IF(ESTIMATIVA[[#This Row],[QT_AREA_REST1]]&gt;0,"Reestimativa 1",IF(ESTIMATIVA[[#This Row],[QT_AREA_REAL]]=0,"Reestimativa 1","Realizado"))</f>
        <v>Realizado</v>
      </c>
      <c r="W288" s="1" t="str">
        <f>IF(ESTIMATIVA[[#This Row],[QT_AREA_REST2]]&gt;0,"Reestimativa 2",IF(ESTIMATIVA[[#This Row],[QT_AREA_REAL]]=0,"Reestimativa 2","Realizado"))</f>
        <v>Realizado</v>
      </c>
      <c r="X288" s="1">
        <f>ESTIMATIVA[[#This Row],[QT_AREA_EST]]</f>
        <v>7.25</v>
      </c>
      <c r="Y288" s="1">
        <f>IF(ESTIMATIVA[[#This Row],[QT_AREA_REST1]]&gt;0,ESTIMATIVA[[#This Row],[QT_AREA_REST1]],
  IF(ESTIMATIVA[[#This Row],[QT_AREA_REAL]]&gt;0,ESTIMATIVA[[#This Row],[QT_AREA_REAL]],ESTIMATIVA[[#This Row],[QT_AREA_EST]]))</f>
        <v>7.25</v>
      </c>
      <c r="Z28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7.25</v>
      </c>
      <c r="AA288" s="1">
        <f>ESTIMATIVA[[#This Row],[QT_CANA_EST]]</f>
        <v>333.5</v>
      </c>
      <c r="AB288" s="1">
        <f>IF(ESTIMATIVA[[#This Row],[QT_CANA_REST1]]&gt;0,ESTIMATIVA[[#This Row],[QT_CANA_REST1]],
  IF(ESTIMATIVA[[#This Row],[QT_CANA_REAL]]&gt;0,ESTIMATIVA[[#This Row],[QT_CANA_REAL]],ESTIMATIVA[[#This Row],[QT_CANA_EST]]))</f>
        <v>355.78</v>
      </c>
      <c r="AC28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355.78</v>
      </c>
      <c r="AD288" s="1">
        <f>IF(ESTIMATIVA[[#This Row],[QT_AREA_REAL]]&gt;0,ESTIMATIVA[[#This Row],[QT_CANA_REAL]],ESTIMATIVA[[#This Row],[QT_CANA_EST]])</f>
        <v>355.78</v>
      </c>
      <c r="AE288" s="1">
        <f>IF(ESTIMATIVA[[#This Row],[QT_AREA_REAL]]&gt;0,ESTIMATIVA[[#This Row],[QT_CANA_REAL]],ESTIMATIVA[[#This Row],[QT_CANA_REST1]])</f>
        <v>355.78</v>
      </c>
      <c r="AF288" s="1">
        <f>IF(ESTIMATIVA[[#This Row],[QT_AREA_REAL]]&gt;0,ESTIMATIVA[[#This Row],[QT_CANA_REAL]],ESTIMATIVA[[#This Row],[QT_CANA_REST2]])</f>
        <v>355.78</v>
      </c>
      <c r="AG288" s="1" t="str">
        <f>IF(COUNTIFS(GEADA!A:A,VALUE(ESTIMATIVA[[#This Row],[CD_UPNIVEL1]]&amp;TEXT(ESTIMATIVA[[#This Row],[CD_UPNIVEL3]],"0000")))&gt;0,"S","N")</f>
        <v>N</v>
      </c>
      <c r="AH28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88" s="55" t="str">
        <f>IF(ESTIMATIVA[[#This Row],[TP_CULTIVO]]="Irrigado",_xlfn.MAXIFS(IRRIGADO!J:J,IRRIGADO!C:C,ESTIMATIVA[[#This Row],[CD_UPNIVEL1]],IRRIGADO!E:E,ESTIMATIVA[[#This Row],[CD_UPNIVEL3]]),"")</f>
        <v/>
      </c>
      <c r="AJ28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88" s="1">
        <f>COUNTIFS(Apresentação!$E$23:$E$29,ESTIMATIVA[[#This Row],[CD_UPNIVEL1]])</f>
        <v>0</v>
      </c>
    </row>
    <row r="289" spans="1:37" x14ac:dyDescent="0.3">
      <c r="A289">
        <v>20309</v>
      </c>
      <c r="B289" t="s">
        <v>25</v>
      </c>
      <c r="C289">
        <v>7</v>
      </c>
      <c r="D289">
        <v>6</v>
      </c>
      <c r="E289" t="s">
        <v>261</v>
      </c>
      <c r="F289" s="85" t="s">
        <v>331</v>
      </c>
      <c r="G289"/>
      <c r="H289" t="s">
        <v>295</v>
      </c>
      <c r="I289" t="s">
        <v>208</v>
      </c>
      <c r="J289" t="s">
        <v>176</v>
      </c>
      <c r="K289" s="1">
        <v>6.41</v>
      </c>
      <c r="L289" s="1">
        <v>0</v>
      </c>
      <c r="M289" s="1">
        <v>0</v>
      </c>
      <c r="N289" s="1">
        <v>6.41</v>
      </c>
      <c r="O289" s="1">
        <v>294.86</v>
      </c>
      <c r="P289" s="1">
        <v>0</v>
      </c>
      <c r="Q289" s="1">
        <v>0</v>
      </c>
      <c r="R289" s="1">
        <v>314.24</v>
      </c>
      <c r="S289" t="s">
        <v>12</v>
      </c>
      <c r="T289" s="13">
        <v>45781</v>
      </c>
      <c r="U289" s="1" t="str">
        <f>IF(ESTIMATIVA[[#This Row],[QT_AREA_REAL]]&gt;0,"1- Colhido","2- à Colher")</f>
        <v>1- Colhido</v>
      </c>
      <c r="V289" s="1" t="str">
        <f>IF(ESTIMATIVA[[#This Row],[QT_AREA_REST1]]&gt;0,"Reestimativa 1",IF(ESTIMATIVA[[#This Row],[QT_AREA_REAL]]=0,"Reestimativa 1","Realizado"))</f>
        <v>Realizado</v>
      </c>
      <c r="W289" s="1" t="str">
        <f>IF(ESTIMATIVA[[#This Row],[QT_AREA_REST2]]&gt;0,"Reestimativa 2",IF(ESTIMATIVA[[#This Row],[QT_AREA_REAL]]=0,"Reestimativa 2","Realizado"))</f>
        <v>Realizado</v>
      </c>
      <c r="X289" s="1">
        <f>ESTIMATIVA[[#This Row],[QT_AREA_EST]]</f>
        <v>6.41</v>
      </c>
      <c r="Y289" s="1">
        <f>IF(ESTIMATIVA[[#This Row],[QT_AREA_REST1]]&gt;0,ESTIMATIVA[[#This Row],[QT_AREA_REST1]],
  IF(ESTIMATIVA[[#This Row],[QT_AREA_REAL]]&gt;0,ESTIMATIVA[[#This Row],[QT_AREA_REAL]],ESTIMATIVA[[#This Row],[QT_AREA_EST]]))</f>
        <v>6.41</v>
      </c>
      <c r="Z28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6.41</v>
      </c>
      <c r="AA289" s="1">
        <f>ESTIMATIVA[[#This Row],[QT_CANA_EST]]</f>
        <v>294.86</v>
      </c>
      <c r="AB289" s="1">
        <f>IF(ESTIMATIVA[[#This Row],[QT_CANA_REST1]]&gt;0,ESTIMATIVA[[#This Row],[QT_CANA_REST1]],
  IF(ESTIMATIVA[[#This Row],[QT_CANA_REAL]]&gt;0,ESTIMATIVA[[#This Row],[QT_CANA_REAL]],ESTIMATIVA[[#This Row],[QT_CANA_EST]]))</f>
        <v>314.24</v>
      </c>
      <c r="AC28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314.24</v>
      </c>
      <c r="AD289" s="1">
        <f>IF(ESTIMATIVA[[#This Row],[QT_AREA_REAL]]&gt;0,ESTIMATIVA[[#This Row],[QT_CANA_REAL]],ESTIMATIVA[[#This Row],[QT_CANA_EST]])</f>
        <v>314.24</v>
      </c>
      <c r="AE289" s="1">
        <f>IF(ESTIMATIVA[[#This Row],[QT_AREA_REAL]]&gt;0,ESTIMATIVA[[#This Row],[QT_CANA_REAL]],ESTIMATIVA[[#This Row],[QT_CANA_REST1]])</f>
        <v>314.24</v>
      </c>
      <c r="AF289" s="1">
        <f>IF(ESTIMATIVA[[#This Row],[QT_AREA_REAL]]&gt;0,ESTIMATIVA[[#This Row],[QT_CANA_REAL]],ESTIMATIVA[[#This Row],[QT_CANA_REST2]])</f>
        <v>314.24</v>
      </c>
      <c r="AG289" s="1" t="str">
        <f>IF(COUNTIFS(GEADA!A:A,VALUE(ESTIMATIVA[[#This Row],[CD_UPNIVEL1]]&amp;TEXT(ESTIMATIVA[[#This Row],[CD_UPNIVEL3]],"0000")))&gt;0,"S","N")</f>
        <v>N</v>
      </c>
      <c r="AH28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89" s="55" t="str">
        <f>IF(ESTIMATIVA[[#This Row],[TP_CULTIVO]]="Irrigado",_xlfn.MAXIFS(IRRIGADO!J:J,IRRIGADO!C:C,ESTIMATIVA[[#This Row],[CD_UPNIVEL1]],IRRIGADO!E:E,ESTIMATIVA[[#This Row],[CD_UPNIVEL3]]),"")</f>
        <v/>
      </c>
      <c r="AJ28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89" s="1">
        <f>COUNTIFS(Apresentação!$E$23:$E$29,ESTIMATIVA[[#This Row],[CD_UPNIVEL1]])</f>
        <v>0</v>
      </c>
    </row>
    <row r="290" spans="1:37" x14ac:dyDescent="0.3">
      <c r="A290">
        <v>20309</v>
      </c>
      <c r="B290" t="s">
        <v>25</v>
      </c>
      <c r="C290">
        <v>16</v>
      </c>
      <c r="D290">
        <v>6</v>
      </c>
      <c r="E290" t="s">
        <v>261</v>
      </c>
      <c r="F290" s="85" t="s">
        <v>331</v>
      </c>
      <c r="G290"/>
      <c r="H290" t="s">
        <v>295</v>
      </c>
      <c r="I290" t="s">
        <v>208</v>
      </c>
      <c r="J290" t="s">
        <v>176</v>
      </c>
      <c r="K290" s="1">
        <v>13.79</v>
      </c>
      <c r="L290" s="1">
        <v>0</v>
      </c>
      <c r="M290" s="1">
        <v>0</v>
      </c>
      <c r="N290" s="1">
        <v>13.79</v>
      </c>
      <c r="O290" s="1">
        <v>634.34</v>
      </c>
      <c r="P290" s="1">
        <v>0</v>
      </c>
      <c r="Q290" s="1">
        <v>0</v>
      </c>
      <c r="R290" s="1">
        <v>675.42</v>
      </c>
      <c r="S290" t="s">
        <v>12</v>
      </c>
      <c r="T290" s="13">
        <v>45781</v>
      </c>
      <c r="U290" s="1" t="str">
        <f>IF(ESTIMATIVA[[#This Row],[QT_AREA_REAL]]&gt;0,"1- Colhido","2- à Colher")</f>
        <v>1- Colhido</v>
      </c>
      <c r="V290" s="1" t="str">
        <f>IF(ESTIMATIVA[[#This Row],[QT_AREA_REST1]]&gt;0,"Reestimativa 1",IF(ESTIMATIVA[[#This Row],[QT_AREA_REAL]]=0,"Reestimativa 1","Realizado"))</f>
        <v>Realizado</v>
      </c>
      <c r="W290" s="1" t="str">
        <f>IF(ESTIMATIVA[[#This Row],[QT_AREA_REST2]]&gt;0,"Reestimativa 2",IF(ESTIMATIVA[[#This Row],[QT_AREA_REAL]]=0,"Reestimativa 2","Realizado"))</f>
        <v>Realizado</v>
      </c>
      <c r="X290" s="1">
        <f>ESTIMATIVA[[#This Row],[QT_AREA_EST]]</f>
        <v>13.79</v>
      </c>
      <c r="Y290" s="1">
        <f>IF(ESTIMATIVA[[#This Row],[QT_AREA_REST1]]&gt;0,ESTIMATIVA[[#This Row],[QT_AREA_REST1]],
  IF(ESTIMATIVA[[#This Row],[QT_AREA_REAL]]&gt;0,ESTIMATIVA[[#This Row],[QT_AREA_REAL]],ESTIMATIVA[[#This Row],[QT_AREA_EST]]))</f>
        <v>13.79</v>
      </c>
      <c r="Z29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13.79</v>
      </c>
      <c r="AA290" s="1">
        <f>ESTIMATIVA[[#This Row],[QT_CANA_EST]]</f>
        <v>634.34</v>
      </c>
      <c r="AB290" s="1">
        <f>IF(ESTIMATIVA[[#This Row],[QT_CANA_REST1]]&gt;0,ESTIMATIVA[[#This Row],[QT_CANA_REST1]],
  IF(ESTIMATIVA[[#This Row],[QT_CANA_REAL]]&gt;0,ESTIMATIVA[[#This Row],[QT_CANA_REAL]],ESTIMATIVA[[#This Row],[QT_CANA_EST]]))</f>
        <v>675.42</v>
      </c>
      <c r="AC29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675.42</v>
      </c>
      <c r="AD290" s="1">
        <f>IF(ESTIMATIVA[[#This Row],[QT_AREA_REAL]]&gt;0,ESTIMATIVA[[#This Row],[QT_CANA_REAL]],ESTIMATIVA[[#This Row],[QT_CANA_EST]])</f>
        <v>675.42</v>
      </c>
      <c r="AE290" s="1">
        <f>IF(ESTIMATIVA[[#This Row],[QT_AREA_REAL]]&gt;0,ESTIMATIVA[[#This Row],[QT_CANA_REAL]],ESTIMATIVA[[#This Row],[QT_CANA_REST1]])</f>
        <v>675.42</v>
      </c>
      <c r="AF290" s="1">
        <f>IF(ESTIMATIVA[[#This Row],[QT_AREA_REAL]]&gt;0,ESTIMATIVA[[#This Row],[QT_CANA_REAL]],ESTIMATIVA[[#This Row],[QT_CANA_REST2]])</f>
        <v>675.42</v>
      </c>
      <c r="AG290" s="1" t="str">
        <f>IF(COUNTIFS(GEADA!A:A,VALUE(ESTIMATIVA[[#This Row],[CD_UPNIVEL1]]&amp;TEXT(ESTIMATIVA[[#This Row],[CD_UPNIVEL3]],"0000")))&gt;0,"S","N")</f>
        <v>N</v>
      </c>
      <c r="AH29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90" s="55" t="str">
        <f>IF(ESTIMATIVA[[#This Row],[TP_CULTIVO]]="Irrigado",_xlfn.MAXIFS(IRRIGADO!J:J,IRRIGADO!C:C,ESTIMATIVA[[#This Row],[CD_UPNIVEL1]],IRRIGADO!E:E,ESTIMATIVA[[#This Row],[CD_UPNIVEL3]]),"")</f>
        <v/>
      </c>
      <c r="AJ29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90" s="1">
        <f>COUNTIFS(Apresentação!$E$23:$E$29,ESTIMATIVA[[#This Row],[CD_UPNIVEL1]])</f>
        <v>0</v>
      </c>
    </row>
    <row r="291" spans="1:37" x14ac:dyDescent="0.3">
      <c r="A291">
        <v>20309</v>
      </c>
      <c r="B291" t="s">
        <v>25</v>
      </c>
      <c r="C291">
        <v>17</v>
      </c>
      <c r="D291">
        <v>6</v>
      </c>
      <c r="E291" t="s">
        <v>261</v>
      </c>
      <c r="F291" s="85" t="s">
        <v>331</v>
      </c>
      <c r="G291"/>
      <c r="H291" t="s">
        <v>295</v>
      </c>
      <c r="I291" t="s">
        <v>208</v>
      </c>
      <c r="J291" t="s">
        <v>176</v>
      </c>
      <c r="K291" s="1">
        <v>23.32</v>
      </c>
      <c r="L291" s="1">
        <v>0</v>
      </c>
      <c r="M291" s="1">
        <v>0</v>
      </c>
      <c r="N291" s="1">
        <v>23.32</v>
      </c>
      <c r="O291" s="1">
        <v>1072.72</v>
      </c>
      <c r="P291" s="1">
        <v>0</v>
      </c>
      <c r="Q291" s="1">
        <v>0</v>
      </c>
      <c r="R291" s="1">
        <v>1143.1300000000001</v>
      </c>
      <c r="S291" t="s">
        <v>12</v>
      </c>
      <c r="T291" s="13">
        <v>45781</v>
      </c>
      <c r="U291" s="1" t="str">
        <f>IF(ESTIMATIVA[[#This Row],[QT_AREA_REAL]]&gt;0,"1- Colhido","2- à Colher")</f>
        <v>1- Colhido</v>
      </c>
      <c r="V291" s="1" t="str">
        <f>IF(ESTIMATIVA[[#This Row],[QT_AREA_REST1]]&gt;0,"Reestimativa 1",IF(ESTIMATIVA[[#This Row],[QT_AREA_REAL]]=0,"Reestimativa 1","Realizado"))</f>
        <v>Realizado</v>
      </c>
      <c r="W291" s="1" t="str">
        <f>IF(ESTIMATIVA[[#This Row],[QT_AREA_REST2]]&gt;0,"Reestimativa 2",IF(ESTIMATIVA[[#This Row],[QT_AREA_REAL]]=0,"Reestimativa 2","Realizado"))</f>
        <v>Realizado</v>
      </c>
      <c r="X291" s="1">
        <f>ESTIMATIVA[[#This Row],[QT_AREA_EST]]</f>
        <v>23.32</v>
      </c>
      <c r="Y291" s="1">
        <f>IF(ESTIMATIVA[[#This Row],[QT_AREA_REST1]]&gt;0,ESTIMATIVA[[#This Row],[QT_AREA_REST1]],
  IF(ESTIMATIVA[[#This Row],[QT_AREA_REAL]]&gt;0,ESTIMATIVA[[#This Row],[QT_AREA_REAL]],ESTIMATIVA[[#This Row],[QT_AREA_EST]]))</f>
        <v>23.32</v>
      </c>
      <c r="Z29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23.32</v>
      </c>
      <c r="AA291" s="1">
        <f>ESTIMATIVA[[#This Row],[QT_CANA_EST]]</f>
        <v>1072.72</v>
      </c>
      <c r="AB291" s="1">
        <f>IF(ESTIMATIVA[[#This Row],[QT_CANA_REST1]]&gt;0,ESTIMATIVA[[#This Row],[QT_CANA_REST1]],
  IF(ESTIMATIVA[[#This Row],[QT_CANA_REAL]]&gt;0,ESTIMATIVA[[#This Row],[QT_CANA_REAL]],ESTIMATIVA[[#This Row],[QT_CANA_EST]]))</f>
        <v>1143.1300000000001</v>
      </c>
      <c r="AC29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1143.1300000000001</v>
      </c>
      <c r="AD291" s="1">
        <f>IF(ESTIMATIVA[[#This Row],[QT_AREA_REAL]]&gt;0,ESTIMATIVA[[#This Row],[QT_CANA_REAL]],ESTIMATIVA[[#This Row],[QT_CANA_EST]])</f>
        <v>1143.1300000000001</v>
      </c>
      <c r="AE291" s="1">
        <f>IF(ESTIMATIVA[[#This Row],[QT_AREA_REAL]]&gt;0,ESTIMATIVA[[#This Row],[QT_CANA_REAL]],ESTIMATIVA[[#This Row],[QT_CANA_REST1]])</f>
        <v>1143.1300000000001</v>
      </c>
      <c r="AF291" s="1">
        <f>IF(ESTIMATIVA[[#This Row],[QT_AREA_REAL]]&gt;0,ESTIMATIVA[[#This Row],[QT_CANA_REAL]],ESTIMATIVA[[#This Row],[QT_CANA_REST2]])</f>
        <v>1143.1300000000001</v>
      </c>
      <c r="AG291" s="1" t="str">
        <f>IF(COUNTIFS(GEADA!A:A,VALUE(ESTIMATIVA[[#This Row],[CD_UPNIVEL1]]&amp;TEXT(ESTIMATIVA[[#This Row],[CD_UPNIVEL3]],"0000")))&gt;0,"S","N")</f>
        <v>N</v>
      </c>
      <c r="AH29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91" s="55" t="str">
        <f>IF(ESTIMATIVA[[#This Row],[TP_CULTIVO]]="Irrigado",_xlfn.MAXIFS(IRRIGADO!J:J,IRRIGADO!C:C,ESTIMATIVA[[#This Row],[CD_UPNIVEL1]],IRRIGADO!E:E,ESTIMATIVA[[#This Row],[CD_UPNIVEL3]]),"")</f>
        <v/>
      </c>
      <c r="AJ29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91" s="1">
        <f>COUNTIFS(Apresentação!$E$23:$E$29,ESTIMATIVA[[#This Row],[CD_UPNIVEL1]])</f>
        <v>0</v>
      </c>
    </row>
    <row r="292" spans="1:37" x14ac:dyDescent="0.3">
      <c r="A292">
        <v>20309</v>
      </c>
      <c r="B292" t="s">
        <v>25</v>
      </c>
      <c r="C292">
        <v>18</v>
      </c>
      <c r="D292">
        <v>6</v>
      </c>
      <c r="E292" t="s">
        <v>261</v>
      </c>
      <c r="F292" s="85" t="s">
        <v>331</v>
      </c>
      <c r="G292"/>
      <c r="H292" t="s">
        <v>295</v>
      </c>
      <c r="I292" t="s">
        <v>208</v>
      </c>
      <c r="J292" t="s">
        <v>176</v>
      </c>
      <c r="K292" s="1">
        <v>5.21</v>
      </c>
      <c r="L292" s="1">
        <v>0</v>
      </c>
      <c r="M292" s="1">
        <v>0</v>
      </c>
      <c r="N292" s="1">
        <v>5.21</v>
      </c>
      <c r="O292" s="1">
        <v>239.66</v>
      </c>
      <c r="P292" s="1">
        <v>0</v>
      </c>
      <c r="Q292" s="1">
        <v>0</v>
      </c>
      <c r="R292" s="1">
        <v>256.05</v>
      </c>
      <c r="S292" t="s">
        <v>12</v>
      </c>
      <c r="T292" s="13">
        <v>45781</v>
      </c>
      <c r="U292" s="1" t="str">
        <f>IF(ESTIMATIVA[[#This Row],[QT_AREA_REAL]]&gt;0,"1- Colhido","2- à Colher")</f>
        <v>1- Colhido</v>
      </c>
      <c r="V292" s="1" t="str">
        <f>IF(ESTIMATIVA[[#This Row],[QT_AREA_REST1]]&gt;0,"Reestimativa 1",IF(ESTIMATIVA[[#This Row],[QT_AREA_REAL]]=0,"Reestimativa 1","Realizado"))</f>
        <v>Realizado</v>
      </c>
      <c r="W292" s="1" t="str">
        <f>IF(ESTIMATIVA[[#This Row],[QT_AREA_REST2]]&gt;0,"Reestimativa 2",IF(ESTIMATIVA[[#This Row],[QT_AREA_REAL]]=0,"Reestimativa 2","Realizado"))</f>
        <v>Realizado</v>
      </c>
      <c r="X292" s="1">
        <f>ESTIMATIVA[[#This Row],[QT_AREA_EST]]</f>
        <v>5.21</v>
      </c>
      <c r="Y292" s="1">
        <f>IF(ESTIMATIVA[[#This Row],[QT_AREA_REST1]]&gt;0,ESTIMATIVA[[#This Row],[QT_AREA_REST1]],
  IF(ESTIMATIVA[[#This Row],[QT_AREA_REAL]]&gt;0,ESTIMATIVA[[#This Row],[QT_AREA_REAL]],ESTIMATIVA[[#This Row],[QT_AREA_EST]]))</f>
        <v>5.21</v>
      </c>
      <c r="Z29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5.21</v>
      </c>
      <c r="AA292" s="1">
        <f>ESTIMATIVA[[#This Row],[QT_CANA_EST]]</f>
        <v>239.66</v>
      </c>
      <c r="AB292" s="1">
        <f>IF(ESTIMATIVA[[#This Row],[QT_CANA_REST1]]&gt;0,ESTIMATIVA[[#This Row],[QT_CANA_REST1]],
  IF(ESTIMATIVA[[#This Row],[QT_CANA_REAL]]&gt;0,ESTIMATIVA[[#This Row],[QT_CANA_REAL]],ESTIMATIVA[[#This Row],[QT_CANA_EST]]))</f>
        <v>256.05</v>
      </c>
      <c r="AC29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256.05</v>
      </c>
      <c r="AD292" s="1">
        <f>IF(ESTIMATIVA[[#This Row],[QT_AREA_REAL]]&gt;0,ESTIMATIVA[[#This Row],[QT_CANA_REAL]],ESTIMATIVA[[#This Row],[QT_CANA_EST]])</f>
        <v>256.05</v>
      </c>
      <c r="AE292" s="1">
        <f>IF(ESTIMATIVA[[#This Row],[QT_AREA_REAL]]&gt;0,ESTIMATIVA[[#This Row],[QT_CANA_REAL]],ESTIMATIVA[[#This Row],[QT_CANA_REST1]])</f>
        <v>256.05</v>
      </c>
      <c r="AF292" s="1">
        <f>IF(ESTIMATIVA[[#This Row],[QT_AREA_REAL]]&gt;0,ESTIMATIVA[[#This Row],[QT_CANA_REAL]],ESTIMATIVA[[#This Row],[QT_CANA_REST2]])</f>
        <v>256.05</v>
      </c>
      <c r="AG292" s="1" t="str">
        <f>IF(COUNTIFS(GEADA!A:A,VALUE(ESTIMATIVA[[#This Row],[CD_UPNIVEL1]]&amp;TEXT(ESTIMATIVA[[#This Row],[CD_UPNIVEL3]],"0000")))&gt;0,"S","N")</f>
        <v>N</v>
      </c>
      <c r="AH29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292" s="55" t="str">
        <f>IF(ESTIMATIVA[[#This Row],[TP_CULTIVO]]="Irrigado",_xlfn.MAXIFS(IRRIGADO!J:J,IRRIGADO!C:C,ESTIMATIVA[[#This Row],[CD_UPNIVEL1]],IRRIGADO!E:E,ESTIMATIVA[[#This Row],[CD_UPNIVEL3]]),"")</f>
        <v/>
      </c>
      <c r="AJ29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92" s="1">
        <f>COUNTIFS(Apresentação!$E$23:$E$29,ESTIMATIVA[[#This Row],[CD_UPNIVEL1]])</f>
        <v>0</v>
      </c>
    </row>
    <row r="293" spans="1:37" x14ac:dyDescent="0.3">
      <c r="A293">
        <v>20313</v>
      </c>
      <c r="B293" t="s">
        <v>26</v>
      </c>
      <c r="C293">
        <v>1</v>
      </c>
      <c r="D293">
        <v>6</v>
      </c>
      <c r="E293" t="s">
        <v>261</v>
      </c>
      <c r="F293" s="85" t="s">
        <v>331</v>
      </c>
      <c r="G293"/>
      <c r="H293" t="s">
        <v>294</v>
      </c>
      <c r="I293" t="s">
        <v>202</v>
      </c>
      <c r="J293" t="s">
        <v>176</v>
      </c>
      <c r="K293" s="1">
        <v>6.65</v>
      </c>
      <c r="L293" s="1">
        <v>0</v>
      </c>
      <c r="M293" s="1">
        <v>0</v>
      </c>
      <c r="N293" s="1">
        <v>6.65</v>
      </c>
      <c r="O293" s="1">
        <v>199.5</v>
      </c>
      <c r="P293" s="1">
        <v>0</v>
      </c>
      <c r="Q293" s="1">
        <v>0</v>
      </c>
      <c r="R293" s="1">
        <v>143.38999999999999</v>
      </c>
      <c r="S293" t="s">
        <v>12</v>
      </c>
      <c r="T293" s="13">
        <v>45732</v>
      </c>
      <c r="U293" s="1" t="str">
        <f>IF(ESTIMATIVA[[#This Row],[QT_AREA_REAL]]&gt;0,"1- Colhido","2- à Colher")</f>
        <v>1- Colhido</v>
      </c>
      <c r="V293" s="1" t="str">
        <f>IF(ESTIMATIVA[[#This Row],[QT_AREA_REST1]]&gt;0,"Reestimativa 1",IF(ESTIMATIVA[[#This Row],[QT_AREA_REAL]]=0,"Reestimativa 1","Realizado"))</f>
        <v>Realizado</v>
      </c>
      <c r="W293" s="1" t="str">
        <f>IF(ESTIMATIVA[[#This Row],[QT_AREA_REST2]]&gt;0,"Reestimativa 2",IF(ESTIMATIVA[[#This Row],[QT_AREA_REAL]]=0,"Reestimativa 2","Realizado"))</f>
        <v>Realizado</v>
      </c>
      <c r="X293" s="1">
        <f>ESTIMATIVA[[#This Row],[QT_AREA_EST]]</f>
        <v>6.65</v>
      </c>
      <c r="Y293" s="1">
        <f>IF(ESTIMATIVA[[#This Row],[QT_AREA_REST1]]&gt;0,ESTIMATIVA[[#This Row],[QT_AREA_REST1]],
  IF(ESTIMATIVA[[#This Row],[QT_AREA_REAL]]&gt;0,ESTIMATIVA[[#This Row],[QT_AREA_REAL]],ESTIMATIVA[[#This Row],[QT_AREA_EST]]))</f>
        <v>6.65</v>
      </c>
      <c r="Z29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6.65</v>
      </c>
      <c r="AA293" s="1">
        <f>ESTIMATIVA[[#This Row],[QT_CANA_EST]]</f>
        <v>199.5</v>
      </c>
      <c r="AB293" s="1">
        <f>IF(ESTIMATIVA[[#This Row],[QT_CANA_REST1]]&gt;0,ESTIMATIVA[[#This Row],[QT_CANA_REST1]],
  IF(ESTIMATIVA[[#This Row],[QT_CANA_REAL]]&gt;0,ESTIMATIVA[[#This Row],[QT_CANA_REAL]],ESTIMATIVA[[#This Row],[QT_CANA_EST]]))</f>
        <v>143.38999999999999</v>
      </c>
      <c r="AC29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143.38999999999999</v>
      </c>
      <c r="AD293" s="1">
        <f>IF(ESTIMATIVA[[#This Row],[QT_AREA_REAL]]&gt;0,ESTIMATIVA[[#This Row],[QT_CANA_REAL]],ESTIMATIVA[[#This Row],[QT_CANA_EST]])</f>
        <v>143.38999999999999</v>
      </c>
      <c r="AE293" s="1">
        <f>IF(ESTIMATIVA[[#This Row],[QT_AREA_REAL]]&gt;0,ESTIMATIVA[[#This Row],[QT_CANA_REAL]],ESTIMATIVA[[#This Row],[QT_CANA_REST1]])</f>
        <v>143.38999999999999</v>
      </c>
      <c r="AF293" s="1">
        <f>IF(ESTIMATIVA[[#This Row],[QT_AREA_REAL]]&gt;0,ESTIMATIVA[[#This Row],[QT_CANA_REAL]],ESTIMATIVA[[#This Row],[QT_CANA_REST2]])</f>
        <v>143.38999999999999</v>
      </c>
      <c r="AG293" s="1" t="str">
        <f>IF(COUNTIFS(GEADA!A:A,VALUE(ESTIMATIVA[[#This Row],[CD_UPNIVEL1]]&amp;TEXT(ESTIMATIVA[[#This Row],[CD_UPNIVEL3]],"0000")))&gt;0,"S","N")</f>
        <v>N</v>
      </c>
      <c r="AH29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93" s="55" t="str">
        <f>IF(ESTIMATIVA[[#This Row],[TP_CULTIVO]]="Irrigado",_xlfn.MAXIFS(IRRIGADO!J:J,IRRIGADO!C:C,ESTIMATIVA[[#This Row],[CD_UPNIVEL1]],IRRIGADO!E:E,ESTIMATIVA[[#This Row],[CD_UPNIVEL3]]),"")</f>
        <v/>
      </c>
      <c r="AJ29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93" s="1">
        <f>COUNTIFS(Apresentação!$E$23:$E$29,ESTIMATIVA[[#This Row],[CD_UPNIVEL1]])</f>
        <v>0</v>
      </c>
    </row>
    <row r="294" spans="1:37" x14ac:dyDescent="0.3">
      <c r="A294">
        <v>20313</v>
      </c>
      <c r="B294" t="s">
        <v>26</v>
      </c>
      <c r="C294">
        <v>2</v>
      </c>
      <c r="D294">
        <v>6</v>
      </c>
      <c r="E294" t="s">
        <v>261</v>
      </c>
      <c r="F294" s="85" t="s">
        <v>331</v>
      </c>
      <c r="G294"/>
      <c r="H294" t="s">
        <v>294</v>
      </c>
      <c r="I294" t="s">
        <v>202</v>
      </c>
      <c r="J294" t="s">
        <v>176</v>
      </c>
      <c r="K294" s="1">
        <v>15.85</v>
      </c>
      <c r="L294" s="1">
        <v>0</v>
      </c>
      <c r="M294" s="1">
        <v>0</v>
      </c>
      <c r="N294" s="1">
        <v>15.85</v>
      </c>
      <c r="O294" s="1">
        <v>475.5</v>
      </c>
      <c r="P294" s="1">
        <v>0</v>
      </c>
      <c r="Q294" s="1">
        <v>0</v>
      </c>
      <c r="R294" s="1">
        <v>341.31</v>
      </c>
      <c r="S294" t="s">
        <v>12</v>
      </c>
      <c r="T294" s="13">
        <v>45732</v>
      </c>
      <c r="U294" s="1" t="str">
        <f>IF(ESTIMATIVA[[#This Row],[QT_AREA_REAL]]&gt;0,"1- Colhido","2- à Colher")</f>
        <v>1- Colhido</v>
      </c>
      <c r="V294" s="1" t="str">
        <f>IF(ESTIMATIVA[[#This Row],[QT_AREA_REST1]]&gt;0,"Reestimativa 1",IF(ESTIMATIVA[[#This Row],[QT_AREA_REAL]]=0,"Reestimativa 1","Realizado"))</f>
        <v>Realizado</v>
      </c>
      <c r="W294" s="1" t="str">
        <f>IF(ESTIMATIVA[[#This Row],[QT_AREA_REST2]]&gt;0,"Reestimativa 2",IF(ESTIMATIVA[[#This Row],[QT_AREA_REAL]]=0,"Reestimativa 2","Realizado"))</f>
        <v>Realizado</v>
      </c>
      <c r="X294" s="1">
        <f>ESTIMATIVA[[#This Row],[QT_AREA_EST]]</f>
        <v>15.85</v>
      </c>
      <c r="Y294" s="1">
        <f>IF(ESTIMATIVA[[#This Row],[QT_AREA_REST1]]&gt;0,ESTIMATIVA[[#This Row],[QT_AREA_REST1]],
  IF(ESTIMATIVA[[#This Row],[QT_AREA_REAL]]&gt;0,ESTIMATIVA[[#This Row],[QT_AREA_REAL]],ESTIMATIVA[[#This Row],[QT_AREA_EST]]))</f>
        <v>15.85</v>
      </c>
      <c r="Z29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15.85</v>
      </c>
      <c r="AA294" s="1">
        <f>ESTIMATIVA[[#This Row],[QT_CANA_EST]]</f>
        <v>475.5</v>
      </c>
      <c r="AB294" s="1">
        <f>IF(ESTIMATIVA[[#This Row],[QT_CANA_REST1]]&gt;0,ESTIMATIVA[[#This Row],[QT_CANA_REST1]],
  IF(ESTIMATIVA[[#This Row],[QT_CANA_REAL]]&gt;0,ESTIMATIVA[[#This Row],[QT_CANA_REAL]],ESTIMATIVA[[#This Row],[QT_CANA_EST]]))</f>
        <v>341.31</v>
      </c>
      <c r="AC29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341.31</v>
      </c>
      <c r="AD294" s="1">
        <f>IF(ESTIMATIVA[[#This Row],[QT_AREA_REAL]]&gt;0,ESTIMATIVA[[#This Row],[QT_CANA_REAL]],ESTIMATIVA[[#This Row],[QT_CANA_EST]])</f>
        <v>341.31</v>
      </c>
      <c r="AE294" s="1">
        <f>IF(ESTIMATIVA[[#This Row],[QT_AREA_REAL]]&gt;0,ESTIMATIVA[[#This Row],[QT_CANA_REAL]],ESTIMATIVA[[#This Row],[QT_CANA_REST1]])</f>
        <v>341.31</v>
      </c>
      <c r="AF294" s="1">
        <f>IF(ESTIMATIVA[[#This Row],[QT_AREA_REAL]]&gt;0,ESTIMATIVA[[#This Row],[QT_CANA_REAL]],ESTIMATIVA[[#This Row],[QT_CANA_REST2]])</f>
        <v>341.31</v>
      </c>
      <c r="AG294" s="1" t="str">
        <f>IF(COUNTIFS(GEADA!A:A,VALUE(ESTIMATIVA[[#This Row],[CD_UPNIVEL1]]&amp;TEXT(ESTIMATIVA[[#This Row],[CD_UPNIVEL3]],"0000")))&gt;0,"S","N")</f>
        <v>N</v>
      </c>
      <c r="AH29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94" s="55" t="str">
        <f>IF(ESTIMATIVA[[#This Row],[TP_CULTIVO]]="Irrigado",_xlfn.MAXIFS(IRRIGADO!J:J,IRRIGADO!C:C,ESTIMATIVA[[#This Row],[CD_UPNIVEL1]],IRRIGADO!E:E,ESTIMATIVA[[#This Row],[CD_UPNIVEL3]]),"")</f>
        <v/>
      </c>
      <c r="AJ29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94" s="1">
        <f>COUNTIFS(Apresentação!$E$23:$E$29,ESTIMATIVA[[#This Row],[CD_UPNIVEL1]])</f>
        <v>0</v>
      </c>
    </row>
    <row r="295" spans="1:37" x14ac:dyDescent="0.3">
      <c r="A295">
        <v>20313</v>
      </c>
      <c r="B295" t="s">
        <v>26</v>
      </c>
      <c r="C295">
        <v>3</v>
      </c>
      <c r="D295">
        <v>6</v>
      </c>
      <c r="E295" t="s">
        <v>261</v>
      </c>
      <c r="F295" s="85" t="s">
        <v>331</v>
      </c>
      <c r="G295"/>
      <c r="H295" t="s">
        <v>294</v>
      </c>
      <c r="I295" t="s">
        <v>202</v>
      </c>
      <c r="J295" t="s">
        <v>176</v>
      </c>
      <c r="K295" s="1">
        <v>16.59</v>
      </c>
      <c r="L295" s="1">
        <v>0</v>
      </c>
      <c r="M295" s="1">
        <v>0</v>
      </c>
      <c r="N295" s="1">
        <v>16.59</v>
      </c>
      <c r="O295" s="1">
        <v>497.7</v>
      </c>
      <c r="P295" s="1">
        <v>0</v>
      </c>
      <c r="Q295" s="1">
        <v>0</v>
      </c>
      <c r="R295" s="1">
        <v>357.08</v>
      </c>
      <c r="S295" t="s">
        <v>12</v>
      </c>
      <c r="T295" s="13">
        <v>45732</v>
      </c>
      <c r="U295" s="1" t="str">
        <f>IF(ESTIMATIVA[[#This Row],[QT_AREA_REAL]]&gt;0,"1- Colhido","2- à Colher")</f>
        <v>1- Colhido</v>
      </c>
      <c r="V295" s="1" t="str">
        <f>IF(ESTIMATIVA[[#This Row],[QT_AREA_REST1]]&gt;0,"Reestimativa 1",IF(ESTIMATIVA[[#This Row],[QT_AREA_REAL]]=0,"Reestimativa 1","Realizado"))</f>
        <v>Realizado</v>
      </c>
      <c r="W295" s="1" t="str">
        <f>IF(ESTIMATIVA[[#This Row],[QT_AREA_REST2]]&gt;0,"Reestimativa 2",IF(ESTIMATIVA[[#This Row],[QT_AREA_REAL]]=0,"Reestimativa 2","Realizado"))</f>
        <v>Realizado</v>
      </c>
      <c r="X295" s="1">
        <f>ESTIMATIVA[[#This Row],[QT_AREA_EST]]</f>
        <v>16.59</v>
      </c>
      <c r="Y295" s="1">
        <f>IF(ESTIMATIVA[[#This Row],[QT_AREA_REST1]]&gt;0,ESTIMATIVA[[#This Row],[QT_AREA_REST1]],
  IF(ESTIMATIVA[[#This Row],[QT_AREA_REAL]]&gt;0,ESTIMATIVA[[#This Row],[QT_AREA_REAL]],ESTIMATIVA[[#This Row],[QT_AREA_EST]]))</f>
        <v>16.59</v>
      </c>
      <c r="Z29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16.59</v>
      </c>
      <c r="AA295" s="1">
        <f>ESTIMATIVA[[#This Row],[QT_CANA_EST]]</f>
        <v>497.7</v>
      </c>
      <c r="AB295" s="1">
        <f>IF(ESTIMATIVA[[#This Row],[QT_CANA_REST1]]&gt;0,ESTIMATIVA[[#This Row],[QT_CANA_REST1]],
  IF(ESTIMATIVA[[#This Row],[QT_CANA_REAL]]&gt;0,ESTIMATIVA[[#This Row],[QT_CANA_REAL]],ESTIMATIVA[[#This Row],[QT_CANA_EST]]))</f>
        <v>357.08</v>
      </c>
      <c r="AC29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357.08</v>
      </c>
      <c r="AD295" s="1">
        <f>IF(ESTIMATIVA[[#This Row],[QT_AREA_REAL]]&gt;0,ESTIMATIVA[[#This Row],[QT_CANA_REAL]],ESTIMATIVA[[#This Row],[QT_CANA_EST]])</f>
        <v>357.08</v>
      </c>
      <c r="AE295" s="1">
        <f>IF(ESTIMATIVA[[#This Row],[QT_AREA_REAL]]&gt;0,ESTIMATIVA[[#This Row],[QT_CANA_REAL]],ESTIMATIVA[[#This Row],[QT_CANA_REST1]])</f>
        <v>357.08</v>
      </c>
      <c r="AF295" s="1">
        <f>IF(ESTIMATIVA[[#This Row],[QT_AREA_REAL]]&gt;0,ESTIMATIVA[[#This Row],[QT_CANA_REAL]],ESTIMATIVA[[#This Row],[QT_CANA_REST2]])</f>
        <v>357.08</v>
      </c>
      <c r="AG295" s="1" t="str">
        <f>IF(COUNTIFS(GEADA!A:A,VALUE(ESTIMATIVA[[#This Row],[CD_UPNIVEL1]]&amp;TEXT(ESTIMATIVA[[#This Row],[CD_UPNIVEL3]],"0000")))&gt;0,"S","N")</f>
        <v>N</v>
      </c>
      <c r="AH29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95" s="55" t="str">
        <f>IF(ESTIMATIVA[[#This Row],[TP_CULTIVO]]="Irrigado",_xlfn.MAXIFS(IRRIGADO!J:J,IRRIGADO!C:C,ESTIMATIVA[[#This Row],[CD_UPNIVEL1]],IRRIGADO!E:E,ESTIMATIVA[[#This Row],[CD_UPNIVEL3]]),"")</f>
        <v/>
      </c>
      <c r="AJ29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95" s="1">
        <f>COUNTIFS(Apresentação!$E$23:$E$29,ESTIMATIVA[[#This Row],[CD_UPNIVEL1]])</f>
        <v>0</v>
      </c>
    </row>
    <row r="296" spans="1:37" x14ac:dyDescent="0.3">
      <c r="A296">
        <v>20313</v>
      </c>
      <c r="B296" t="s">
        <v>26</v>
      </c>
      <c r="C296">
        <v>4</v>
      </c>
      <c r="D296">
        <v>6</v>
      </c>
      <c r="E296" t="s">
        <v>261</v>
      </c>
      <c r="F296" s="85" t="s">
        <v>331</v>
      </c>
      <c r="G296"/>
      <c r="H296" t="s">
        <v>294</v>
      </c>
      <c r="I296" t="s">
        <v>202</v>
      </c>
      <c r="J296" t="s">
        <v>176</v>
      </c>
      <c r="K296" s="1">
        <v>15.95</v>
      </c>
      <c r="L296" s="1">
        <v>0</v>
      </c>
      <c r="M296" s="1">
        <v>0</v>
      </c>
      <c r="N296" s="1">
        <v>15.95</v>
      </c>
      <c r="O296" s="1">
        <v>478.5</v>
      </c>
      <c r="P296" s="1">
        <v>0</v>
      </c>
      <c r="Q296" s="1">
        <v>0</v>
      </c>
      <c r="R296" s="1">
        <v>246.01</v>
      </c>
      <c r="S296" t="s">
        <v>12</v>
      </c>
      <c r="T296" s="13">
        <v>45725</v>
      </c>
      <c r="U296" s="1" t="str">
        <f>IF(ESTIMATIVA[[#This Row],[QT_AREA_REAL]]&gt;0,"1- Colhido","2- à Colher")</f>
        <v>1- Colhido</v>
      </c>
      <c r="V296" s="1" t="str">
        <f>IF(ESTIMATIVA[[#This Row],[QT_AREA_REST1]]&gt;0,"Reestimativa 1",IF(ESTIMATIVA[[#This Row],[QT_AREA_REAL]]=0,"Reestimativa 1","Realizado"))</f>
        <v>Realizado</v>
      </c>
      <c r="W296" s="1" t="str">
        <f>IF(ESTIMATIVA[[#This Row],[QT_AREA_REST2]]&gt;0,"Reestimativa 2",IF(ESTIMATIVA[[#This Row],[QT_AREA_REAL]]=0,"Reestimativa 2","Realizado"))</f>
        <v>Realizado</v>
      </c>
      <c r="X296" s="1">
        <f>ESTIMATIVA[[#This Row],[QT_AREA_EST]]</f>
        <v>15.95</v>
      </c>
      <c r="Y296" s="1">
        <f>IF(ESTIMATIVA[[#This Row],[QT_AREA_REST1]]&gt;0,ESTIMATIVA[[#This Row],[QT_AREA_REST1]],
  IF(ESTIMATIVA[[#This Row],[QT_AREA_REAL]]&gt;0,ESTIMATIVA[[#This Row],[QT_AREA_REAL]],ESTIMATIVA[[#This Row],[QT_AREA_EST]]))</f>
        <v>15.95</v>
      </c>
      <c r="Z29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15.95</v>
      </c>
      <c r="AA296" s="1">
        <f>ESTIMATIVA[[#This Row],[QT_CANA_EST]]</f>
        <v>478.5</v>
      </c>
      <c r="AB296" s="1">
        <f>IF(ESTIMATIVA[[#This Row],[QT_CANA_REST1]]&gt;0,ESTIMATIVA[[#This Row],[QT_CANA_REST1]],
  IF(ESTIMATIVA[[#This Row],[QT_CANA_REAL]]&gt;0,ESTIMATIVA[[#This Row],[QT_CANA_REAL]],ESTIMATIVA[[#This Row],[QT_CANA_EST]]))</f>
        <v>246.01</v>
      </c>
      <c r="AC29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246.01</v>
      </c>
      <c r="AD296" s="1">
        <f>IF(ESTIMATIVA[[#This Row],[QT_AREA_REAL]]&gt;0,ESTIMATIVA[[#This Row],[QT_CANA_REAL]],ESTIMATIVA[[#This Row],[QT_CANA_EST]])</f>
        <v>246.01</v>
      </c>
      <c r="AE296" s="1">
        <f>IF(ESTIMATIVA[[#This Row],[QT_AREA_REAL]]&gt;0,ESTIMATIVA[[#This Row],[QT_CANA_REAL]],ESTIMATIVA[[#This Row],[QT_CANA_REST1]])</f>
        <v>246.01</v>
      </c>
      <c r="AF296" s="1">
        <f>IF(ESTIMATIVA[[#This Row],[QT_AREA_REAL]]&gt;0,ESTIMATIVA[[#This Row],[QT_CANA_REAL]],ESTIMATIVA[[#This Row],[QT_CANA_REST2]])</f>
        <v>246.01</v>
      </c>
      <c r="AG296" s="1" t="str">
        <f>IF(COUNTIFS(GEADA!A:A,VALUE(ESTIMATIVA[[#This Row],[CD_UPNIVEL1]]&amp;TEXT(ESTIMATIVA[[#This Row],[CD_UPNIVEL3]],"0000")))&gt;0,"S","N")</f>
        <v>N</v>
      </c>
      <c r="AH29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96" s="55" t="str">
        <f>IF(ESTIMATIVA[[#This Row],[TP_CULTIVO]]="Irrigado",_xlfn.MAXIFS(IRRIGADO!J:J,IRRIGADO!C:C,ESTIMATIVA[[#This Row],[CD_UPNIVEL1]],IRRIGADO!E:E,ESTIMATIVA[[#This Row],[CD_UPNIVEL3]]),"")</f>
        <v/>
      </c>
      <c r="AJ29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96" s="1">
        <f>COUNTIFS(Apresentação!$E$23:$E$29,ESTIMATIVA[[#This Row],[CD_UPNIVEL1]])</f>
        <v>0</v>
      </c>
    </row>
    <row r="297" spans="1:37" x14ac:dyDescent="0.3">
      <c r="A297">
        <v>20313</v>
      </c>
      <c r="B297" t="s">
        <v>26</v>
      </c>
      <c r="C297">
        <v>5</v>
      </c>
      <c r="D297">
        <v>6</v>
      </c>
      <c r="E297" t="s">
        <v>261</v>
      </c>
      <c r="F297" s="85" t="s">
        <v>331</v>
      </c>
      <c r="G297"/>
      <c r="H297" t="s">
        <v>294</v>
      </c>
      <c r="I297" t="s">
        <v>202</v>
      </c>
      <c r="J297" t="s">
        <v>176</v>
      </c>
      <c r="K297" s="1">
        <v>2.77</v>
      </c>
      <c r="L297" s="1">
        <v>0</v>
      </c>
      <c r="M297" s="1">
        <v>0</v>
      </c>
      <c r="N297" s="1">
        <v>2.77</v>
      </c>
      <c r="O297" s="1">
        <v>83.1</v>
      </c>
      <c r="P297" s="1">
        <v>0</v>
      </c>
      <c r="Q297" s="1">
        <v>0</v>
      </c>
      <c r="R297" s="1">
        <v>42.61</v>
      </c>
      <c r="S297" t="s">
        <v>12</v>
      </c>
      <c r="T297" s="13">
        <v>45725</v>
      </c>
      <c r="U297" s="1" t="str">
        <f>IF(ESTIMATIVA[[#This Row],[QT_AREA_REAL]]&gt;0,"1- Colhido","2- à Colher")</f>
        <v>1- Colhido</v>
      </c>
      <c r="V297" s="1" t="str">
        <f>IF(ESTIMATIVA[[#This Row],[QT_AREA_REST1]]&gt;0,"Reestimativa 1",IF(ESTIMATIVA[[#This Row],[QT_AREA_REAL]]=0,"Reestimativa 1","Realizado"))</f>
        <v>Realizado</v>
      </c>
      <c r="W297" s="1" t="str">
        <f>IF(ESTIMATIVA[[#This Row],[QT_AREA_REST2]]&gt;0,"Reestimativa 2",IF(ESTIMATIVA[[#This Row],[QT_AREA_REAL]]=0,"Reestimativa 2","Realizado"))</f>
        <v>Realizado</v>
      </c>
      <c r="X297" s="1">
        <f>ESTIMATIVA[[#This Row],[QT_AREA_EST]]</f>
        <v>2.77</v>
      </c>
      <c r="Y297" s="1">
        <f>IF(ESTIMATIVA[[#This Row],[QT_AREA_REST1]]&gt;0,ESTIMATIVA[[#This Row],[QT_AREA_REST1]],
  IF(ESTIMATIVA[[#This Row],[QT_AREA_REAL]]&gt;0,ESTIMATIVA[[#This Row],[QT_AREA_REAL]],ESTIMATIVA[[#This Row],[QT_AREA_EST]]))</f>
        <v>2.77</v>
      </c>
      <c r="Z29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2.77</v>
      </c>
      <c r="AA297" s="1">
        <f>ESTIMATIVA[[#This Row],[QT_CANA_EST]]</f>
        <v>83.1</v>
      </c>
      <c r="AB297" s="1">
        <f>IF(ESTIMATIVA[[#This Row],[QT_CANA_REST1]]&gt;0,ESTIMATIVA[[#This Row],[QT_CANA_REST1]],
  IF(ESTIMATIVA[[#This Row],[QT_CANA_REAL]]&gt;0,ESTIMATIVA[[#This Row],[QT_CANA_REAL]],ESTIMATIVA[[#This Row],[QT_CANA_EST]]))</f>
        <v>42.61</v>
      </c>
      <c r="AC29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42.61</v>
      </c>
      <c r="AD297" s="1">
        <f>IF(ESTIMATIVA[[#This Row],[QT_AREA_REAL]]&gt;0,ESTIMATIVA[[#This Row],[QT_CANA_REAL]],ESTIMATIVA[[#This Row],[QT_CANA_EST]])</f>
        <v>42.61</v>
      </c>
      <c r="AE297" s="1">
        <f>IF(ESTIMATIVA[[#This Row],[QT_AREA_REAL]]&gt;0,ESTIMATIVA[[#This Row],[QT_CANA_REAL]],ESTIMATIVA[[#This Row],[QT_CANA_REST1]])</f>
        <v>42.61</v>
      </c>
      <c r="AF297" s="1">
        <f>IF(ESTIMATIVA[[#This Row],[QT_AREA_REAL]]&gt;0,ESTIMATIVA[[#This Row],[QT_CANA_REAL]],ESTIMATIVA[[#This Row],[QT_CANA_REST2]])</f>
        <v>42.61</v>
      </c>
      <c r="AG297" s="1" t="str">
        <f>IF(COUNTIFS(GEADA!A:A,VALUE(ESTIMATIVA[[#This Row],[CD_UPNIVEL1]]&amp;TEXT(ESTIMATIVA[[#This Row],[CD_UPNIVEL3]],"0000")))&gt;0,"S","N")</f>
        <v>N</v>
      </c>
      <c r="AH29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97" s="55" t="str">
        <f>IF(ESTIMATIVA[[#This Row],[TP_CULTIVO]]="Irrigado",_xlfn.MAXIFS(IRRIGADO!J:J,IRRIGADO!C:C,ESTIMATIVA[[#This Row],[CD_UPNIVEL1]],IRRIGADO!E:E,ESTIMATIVA[[#This Row],[CD_UPNIVEL3]]),"")</f>
        <v/>
      </c>
      <c r="AJ29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97" s="1">
        <f>COUNTIFS(Apresentação!$E$23:$E$29,ESTIMATIVA[[#This Row],[CD_UPNIVEL1]])</f>
        <v>0</v>
      </c>
    </row>
    <row r="298" spans="1:37" x14ac:dyDescent="0.3">
      <c r="A298">
        <v>20313</v>
      </c>
      <c r="B298" t="s">
        <v>26</v>
      </c>
      <c r="C298">
        <v>6</v>
      </c>
      <c r="D298">
        <v>6</v>
      </c>
      <c r="E298" t="s">
        <v>261</v>
      </c>
      <c r="F298" s="85" t="s">
        <v>331</v>
      </c>
      <c r="G298"/>
      <c r="H298" t="s">
        <v>294</v>
      </c>
      <c r="I298" t="s">
        <v>202</v>
      </c>
      <c r="J298" t="s">
        <v>176</v>
      </c>
      <c r="K298" s="1">
        <v>10.41</v>
      </c>
      <c r="L298" s="1">
        <v>0</v>
      </c>
      <c r="M298" s="1">
        <v>0</v>
      </c>
      <c r="N298" s="1">
        <v>10.41</v>
      </c>
      <c r="O298" s="1">
        <v>312.3</v>
      </c>
      <c r="P298" s="1">
        <v>0</v>
      </c>
      <c r="Q298" s="1">
        <v>0</v>
      </c>
      <c r="R298" s="1">
        <v>160.22999999999999</v>
      </c>
      <c r="S298" t="s">
        <v>12</v>
      </c>
      <c r="T298" s="13">
        <v>45725</v>
      </c>
      <c r="U298" s="1" t="str">
        <f>IF(ESTIMATIVA[[#This Row],[QT_AREA_REAL]]&gt;0,"1- Colhido","2- à Colher")</f>
        <v>1- Colhido</v>
      </c>
      <c r="V298" s="1" t="str">
        <f>IF(ESTIMATIVA[[#This Row],[QT_AREA_REST1]]&gt;0,"Reestimativa 1",IF(ESTIMATIVA[[#This Row],[QT_AREA_REAL]]=0,"Reestimativa 1","Realizado"))</f>
        <v>Realizado</v>
      </c>
      <c r="W298" s="1" t="str">
        <f>IF(ESTIMATIVA[[#This Row],[QT_AREA_REST2]]&gt;0,"Reestimativa 2",IF(ESTIMATIVA[[#This Row],[QT_AREA_REAL]]=0,"Reestimativa 2","Realizado"))</f>
        <v>Realizado</v>
      </c>
      <c r="X298" s="1">
        <f>ESTIMATIVA[[#This Row],[QT_AREA_EST]]</f>
        <v>10.41</v>
      </c>
      <c r="Y298" s="1">
        <f>IF(ESTIMATIVA[[#This Row],[QT_AREA_REST1]]&gt;0,ESTIMATIVA[[#This Row],[QT_AREA_REST1]],
  IF(ESTIMATIVA[[#This Row],[QT_AREA_REAL]]&gt;0,ESTIMATIVA[[#This Row],[QT_AREA_REAL]],ESTIMATIVA[[#This Row],[QT_AREA_EST]]))</f>
        <v>10.41</v>
      </c>
      <c r="Z29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10.41</v>
      </c>
      <c r="AA298" s="1">
        <f>ESTIMATIVA[[#This Row],[QT_CANA_EST]]</f>
        <v>312.3</v>
      </c>
      <c r="AB298" s="1">
        <f>IF(ESTIMATIVA[[#This Row],[QT_CANA_REST1]]&gt;0,ESTIMATIVA[[#This Row],[QT_CANA_REST1]],
  IF(ESTIMATIVA[[#This Row],[QT_CANA_REAL]]&gt;0,ESTIMATIVA[[#This Row],[QT_CANA_REAL]],ESTIMATIVA[[#This Row],[QT_CANA_EST]]))</f>
        <v>160.22999999999999</v>
      </c>
      <c r="AC29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160.22999999999999</v>
      </c>
      <c r="AD298" s="1">
        <f>IF(ESTIMATIVA[[#This Row],[QT_AREA_REAL]]&gt;0,ESTIMATIVA[[#This Row],[QT_CANA_REAL]],ESTIMATIVA[[#This Row],[QT_CANA_EST]])</f>
        <v>160.22999999999999</v>
      </c>
      <c r="AE298" s="1">
        <f>IF(ESTIMATIVA[[#This Row],[QT_AREA_REAL]]&gt;0,ESTIMATIVA[[#This Row],[QT_CANA_REAL]],ESTIMATIVA[[#This Row],[QT_CANA_REST1]])</f>
        <v>160.22999999999999</v>
      </c>
      <c r="AF298" s="1">
        <f>IF(ESTIMATIVA[[#This Row],[QT_AREA_REAL]]&gt;0,ESTIMATIVA[[#This Row],[QT_CANA_REAL]],ESTIMATIVA[[#This Row],[QT_CANA_REST2]])</f>
        <v>160.22999999999999</v>
      </c>
      <c r="AG298" s="1" t="str">
        <f>IF(COUNTIFS(GEADA!A:A,VALUE(ESTIMATIVA[[#This Row],[CD_UPNIVEL1]]&amp;TEXT(ESTIMATIVA[[#This Row],[CD_UPNIVEL3]],"0000")))&gt;0,"S","N")</f>
        <v>N</v>
      </c>
      <c r="AH29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98" s="55" t="str">
        <f>IF(ESTIMATIVA[[#This Row],[TP_CULTIVO]]="Irrigado",_xlfn.MAXIFS(IRRIGADO!J:J,IRRIGADO!C:C,ESTIMATIVA[[#This Row],[CD_UPNIVEL1]],IRRIGADO!E:E,ESTIMATIVA[[#This Row],[CD_UPNIVEL3]]),"")</f>
        <v/>
      </c>
      <c r="AJ29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98" s="1">
        <f>COUNTIFS(Apresentação!$E$23:$E$29,ESTIMATIVA[[#This Row],[CD_UPNIVEL1]])</f>
        <v>0</v>
      </c>
    </row>
    <row r="299" spans="1:37" x14ac:dyDescent="0.3">
      <c r="A299">
        <v>20313</v>
      </c>
      <c r="B299" t="s">
        <v>26</v>
      </c>
      <c r="C299">
        <v>7</v>
      </c>
      <c r="D299">
        <v>6</v>
      </c>
      <c r="E299" t="s">
        <v>261</v>
      </c>
      <c r="F299" s="85" t="s">
        <v>331</v>
      </c>
      <c r="G299"/>
      <c r="H299" t="s">
        <v>294</v>
      </c>
      <c r="I299" t="s">
        <v>202</v>
      </c>
      <c r="J299" t="s">
        <v>176</v>
      </c>
      <c r="K299" s="1">
        <v>27.23</v>
      </c>
      <c r="L299" s="1">
        <v>0</v>
      </c>
      <c r="M299" s="1">
        <v>0</v>
      </c>
      <c r="N299" s="1">
        <v>27.23</v>
      </c>
      <c r="O299" s="1">
        <v>816.9</v>
      </c>
      <c r="P299" s="1">
        <v>0</v>
      </c>
      <c r="Q299" s="1">
        <v>0</v>
      </c>
      <c r="R299" s="1">
        <v>419.62</v>
      </c>
      <c r="S299" t="s">
        <v>12</v>
      </c>
      <c r="T299" s="13">
        <v>45725</v>
      </c>
      <c r="U299" s="1" t="str">
        <f>IF(ESTIMATIVA[[#This Row],[QT_AREA_REAL]]&gt;0,"1- Colhido","2- à Colher")</f>
        <v>1- Colhido</v>
      </c>
      <c r="V299" s="1" t="str">
        <f>IF(ESTIMATIVA[[#This Row],[QT_AREA_REST1]]&gt;0,"Reestimativa 1",IF(ESTIMATIVA[[#This Row],[QT_AREA_REAL]]=0,"Reestimativa 1","Realizado"))</f>
        <v>Realizado</v>
      </c>
      <c r="W299" s="1" t="str">
        <f>IF(ESTIMATIVA[[#This Row],[QT_AREA_REST2]]&gt;0,"Reestimativa 2",IF(ESTIMATIVA[[#This Row],[QT_AREA_REAL]]=0,"Reestimativa 2","Realizado"))</f>
        <v>Realizado</v>
      </c>
      <c r="X299" s="1">
        <f>ESTIMATIVA[[#This Row],[QT_AREA_EST]]</f>
        <v>27.23</v>
      </c>
      <c r="Y299" s="1">
        <f>IF(ESTIMATIVA[[#This Row],[QT_AREA_REST1]]&gt;0,ESTIMATIVA[[#This Row],[QT_AREA_REST1]],
  IF(ESTIMATIVA[[#This Row],[QT_AREA_REAL]]&gt;0,ESTIMATIVA[[#This Row],[QT_AREA_REAL]],ESTIMATIVA[[#This Row],[QT_AREA_EST]]))</f>
        <v>27.23</v>
      </c>
      <c r="Z29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27.23</v>
      </c>
      <c r="AA299" s="1">
        <f>ESTIMATIVA[[#This Row],[QT_CANA_EST]]</f>
        <v>816.9</v>
      </c>
      <c r="AB299" s="1">
        <f>IF(ESTIMATIVA[[#This Row],[QT_CANA_REST1]]&gt;0,ESTIMATIVA[[#This Row],[QT_CANA_REST1]],
  IF(ESTIMATIVA[[#This Row],[QT_CANA_REAL]]&gt;0,ESTIMATIVA[[#This Row],[QT_CANA_REAL]],ESTIMATIVA[[#This Row],[QT_CANA_EST]]))</f>
        <v>419.62</v>
      </c>
      <c r="AC29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419.62</v>
      </c>
      <c r="AD299" s="1">
        <f>IF(ESTIMATIVA[[#This Row],[QT_AREA_REAL]]&gt;0,ESTIMATIVA[[#This Row],[QT_CANA_REAL]],ESTIMATIVA[[#This Row],[QT_CANA_EST]])</f>
        <v>419.62</v>
      </c>
      <c r="AE299" s="1">
        <f>IF(ESTIMATIVA[[#This Row],[QT_AREA_REAL]]&gt;0,ESTIMATIVA[[#This Row],[QT_CANA_REAL]],ESTIMATIVA[[#This Row],[QT_CANA_REST1]])</f>
        <v>419.62</v>
      </c>
      <c r="AF299" s="1">
        <f>IF(ESTIMATIVA[[#This Row],[QT_AREA_REAL]]&gt;0,ESTIMATIVA[[#This Row],[QT_CANA_REAL]],ESTIMATIVA[[#This Row],[QT_CANA_REST2]])</f>
        <v>419.62</v>
      </c>
      <c r="AG299" s="1" t="str">
        <f>IF(COUNTIFS(GEADA!A:A,VALUE(ESTIMATIVA[[#This Row],[CD_UPNIVEL1]]&amp;TEXT(ESTIMATIVA[[#This Row],[CD_UPNIVEL3]],"0000")))&gt;0,"S","N")</f>
        <v>N</v>
      </c>
      <c r="AH29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99" s="55" t="str">
        <f>IF(ESTIMATIVA[[#This Row],[TP_CULTIVO]]="Irrigado",_xlfn.MAXIFS(IRRIGADO!J:J,IRRIGADO!C:C,ESTIMATIVA[[#This Row],[CD_UPNIVEL1]],IRRIGADO!E:E,ESTIMATIVA[[#This Row],[CD_UPNIVEL3]]),"")</f>
        <v/>
      </c>
      <c r="AJ29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99" s="1">
        <f>COUNTIFS(Apresentação!$E$23:$E$29,ESTIMATIVA[[#This Row],[CD_UPNIVEL1]])</f>
        <v>0</v>
      </c>
    </row>
    <row r="300" spans="1:37" x14ac:dyDescent="0.3">
      <c r="A300">
        <v>20313</v>
      </c>
      <c r="B300" t="s">
        <v>26</v>
      </c>
      <c r="C300">
        <v>8</v>
      </c>
      <c r="D300">
        <v>6</v>
      </c>
      <c r="E300" t="s">
        <v>261</v>
      </c>
      <c r="F300" s="85" t="s">
        <v>331</v>
      </c>
      <c r="G300"/>
      <c r="H300" t="s">
        <v>294</v>
      </c>
      <c r="I300" t="s">
        <v>202</v>
      </c>
      <c r="J300" t="s">
        <v>176</v>
      </c>
      <c r="K300" s="1">
        <v>28.46</v>
      </c>
      <c r="L300" s="1">
        <v>0</v>
      </c>
      <c r="M300" s="1">
        <v>0</v>
      </c>
      <c r="N300" s="1">
        <v>28.46</v>
      </c>
      <c r="O300" s="1">
        <v>853.8</v>
      </c>
      <c r="P300" s="1">
        <v>0</v>
      </c>
      <c r="Q300" s="1">
        <v>0</v>
      </c>
      <c r="R300" s="1">
        <v>612.37</v>
      </c>
      <c r="S300" t="s">
        <v>12</v>
      </c>
      <c r="T300" s="13">
        <v>45732</v>
      </c>
      <c r="U300" s="1" t="str">
        <f>IF(ESTIMATIVA[[#This Row],[QT_AREA_REAL]]&gt;0,"1- Colhido","2- à Colher")</f>
        <v>1- Colhido</v>
      </c>
      <c r="V300" s="1" t="str">
        <f>IF(ESTIMATIVA[[#This Row],[QT_AREA_REST1]]&gt;0,"Reestimativa 1",IF(ESTIMATIVA[[#This Row],[QT_AREA_REAL]]=0,"Reestimativa 1","Realizado"))</f>
        <v>Realizado</v>
      </c>
      <c r="W300" s="1" t="str">
        <f>IF(ESTIMATIVA[[#This Row],[QT_AREA_REST2]]&gt;0,"Reestimativa 2",IF(ESTIMATIVA[[#This Row],[QT_AREA_REAL]]=0,"Reestimativa 2","Realizado"))</f>
        <v>Realizado</v>
      </c>
      <c r="X300" s="1">
        <f>ESTIMATIVA[[#This Row],[QT_AREA_EST]]</f>
        <v>28.46</v>
      </c>
      <c r="Y300" s="1">
        <f>IF(ESTIMATIVA[[#This Row],[QT_AREA_REST1]]&gt;0,ESTIMATIVA[[#This Row],[QT_AREA_REST1]],
  IF(ESTIMATIVA[[#This Row],[QT_AREA_REAL]]&gt;0,ESTIMATIVA[[#This Row],[QT_AREA_REAL]],ESTIMATIVA[[#This Row],[QT_AREA_EST]]))</f>
        <v>28.46</v>
      </c>
      <c r="Z30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28.46</v>
      </c>
      <c r="AA300" s="1">
        <f>ESTIMATIVA[[#This Row],[QT_CANA_EST]]</f>
        <v>853.8</v>
      </c>
      <c r="AB300" s="1">
        <f>IF(ESTIMATIVA[[#This Row],[QT_CANA_REST1]]&gt;0,ESTIMATIVA[[#This Row],[QT_CANA_REST1]],
  IF(ESTIMATIVA[[#This Row],[QT_CANA_REAL]]&gt;0,ESTIMATIVA[[#This Row],[QT_CANA_REAL]],ESTIMATIVA[[#This Row],[QT_CANA_EST]]))</f>
        <v>612.37</v>
      </c>
      <c r="AC30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612.37</v>
      </c>
      <c r="AD300" s="1">
        <f>IF(ESTIMATIVA[[#This Row],[QT_AREA_REAL]]&gt;0,ESTIMATIVA[[#This Row],[QT_CANA_REAL]],ESTIMATIVA[[#This Row],[QT_CANA_EST]])</f>
        <v>612.37</v>
      </c>
      <c r="AE300" s="1">
        <f>IF(ESTIMATIVA[[#This Row],[QT_AREA_REAL]]&gt;0,ESTIMATIVA[[#This Row],[QT_CANA_REAL]],ESTIMATIVA[[#This Row],[QT_CANA_REST1]])</f>
        <v>612.37</v>
      </c>
      <c r="AF300" s="1">
        <f>IF(ESTIMATIVA[[#This Row],[QT_AREA_REAL]]&gt;0,ESTIMATIVA[[#This Row],[QT_CANA_REAL]],ESTIMATIVA[[#This Row],[QT_CANA_REST2]])</f>
        <v>612.37</v>
      </c>
      <c r="AG300" s="1" t="str">
        <f>IF(COUNTIFS(GEADA!A:A,VALUE(ESTIMATIVA[[#This Row],[CD_UPNIVEL1]]&amp;TEXT(ESTIMATIVA[[#This Row],[CD_UPNIVEL3]],"0000")))&gt;0,"S","N")</f>
        <v>N</v>
      </c>
      <c r="AH30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300" s="55" t="str">
        <f>IF(ESTIMATIVA[[#This Row],[TP_CULTIVO]]="Irrigado",_xlfn.MAXIFS(IRRIGADO!J:J,IRRIGADO!C:C,ESTIMATIVA[[#This Row],[CD_UPNIVEL1]],IRRIGADO!E:E,ESTIMATIVA[[#This Row],[CD_UPNIVEL3]]),"")</f>
        <v/>
      </c>
      <c r="AJ30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00" s="1">
        <f>COUNTIFS(Apresentação!$E$23:$E$29,ESTIMATIVA[[#This Row],[CD_UPNIVEL1]])</f>
        <v>0</v>
      </c>
    </row>
    <row r="301" spans="1:37" x14ac:dyDescent="0.3">
      <c r="A301">
        <v>20313</v>
      </c>
      <c r="B301" t="s">
        <v>26</v>
      </c>
      <c r="C301">
        <v>9</v>
      </c>
      <c r="D301">
        <v>6</v>
      </c>
      <c r="E301" t="s">
        <v>261</v>
      </c>
      <c r="F301" s="85" t="s">
        <v>331</v>
      </c>
      <c r="G301"/>
      <c r="H301" t="s">
        <v>294</v>
      </c>
      <c r="I301" t="s">
        <v>202</v>
      </c>
      <c r="J301" t="s">
        <v>176</v>
      </c>
      <c r="K301" s="1">
        <v>28.18</v>
      </c>
      <c r="L301" s="1">
        <v>0</v>
      </c>
      <c r="M301" s="1">
        <v>0</v>
      </c>
      <c r="N301" s="1">
        <v>28.18</v>
      </c>
      <c r="O301" s="1">
        <v>845.4</v>
      </c>
      <c r="P301" s="1">
        <v>0</v>
      </c>
      <c r="Q301" s="1">
        <v>0</v>
      </c>
      <c r="R301" s="1">
        <v>606.1</v>
      </c>
      <c r="S301" t="s">
        <v>12</v>
      </c>
      <c r="T301" s="13">
        <v>45732</v>
      </c>
      <c r="U301" s="1" t="str">
        <f>IF(ESTIMATIVA[[#This Row],[QT_AREA_REAL]]&gt;0,"1- Colhido","2- à Colher")</f>
        <v>1- Colhido</v>
      </c>
      <c r="V301" s="1" t="str">
        <f>IF(ESTIMATIVA[[#This Row],[QT_AREA_REST1]]&gt;0,"Reestimativa 1",IF(ESTIMATIVA[[#This Row],[QT_AREA_REAL]]=0,"Reestimativa 1","Realizado"))</f>
        <v>Realizado</v>
      </c>
      <c r="W301" s="1" t="str">
        <f>IF(ESTIMATIVA[[#This Row],[QT_AREA_REST2]]&gt;0,"Reestimativa 2",IF(ESTIMATIVA[[#This Row],[QT_AREA_REAL]]=0,"Reestimativa 2","Realizado"))</f>
        <v>Realizado</v>
      </c>
      <c r="X301" s="1">
        <f>ESTIMATIVA[[#This Row],[QT_AREA_EST]]</f>
        <v>28.18</v>
      </c>
      <c r="Y301" s="1">
        <f>IF(ESTIMATIVA[[#This Row],[QT_AREA_REST1]]&gt;0,ESTIMATIVA[[#This Row],[QT_AREA_REST1]],
  IF(ESTIMATIVA[[#This Row],[QT_AREA_REAL]]&gt;0,ESTIMATIVA[[#This Row],[QT_AREA_REAL]],ESTIMATIVA[[#This Row],[QT_AREA_EST]]))</f>
        <v>28.18</v>
      </c>
      <c r="Z30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28.18</v>
      </c>
      <c r="AA301" s="1">
        <f>ESTIMATIVA[[#This Row],[QT_CANA_EST]]</f>
        <v>845.4</v>
      </c>
      <c r="AB301" s="1">
        <f>IF(ESTIMATIVA[[#This Row],[QT_CANA_REST1]]&gt;0,ESTIMATIVA[[#This Row],[QT_CANA_REST1]],
  IF(ESTIMATIVA[[#This Row],[QT_CANA_REAL]]&gt;0,ESTIMATIVA[[#This Row],[QT_CANA_REAL]],ESTIMATIVA[[#This Row],[QT_CANA_EST]]))</f>
        <v>606.1</v>
      </c>
      <c r="AC30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606.1</v>
      </c>
      <c r="AD301" s="1">
        <f>IF(ESTIMATIVA[[#This Row],[QT_AREA_REAL]]&gt;0,ESTIMATIVA[[#This Row],[QT_CANA_REAL]],ESTIMATIVA[[#This Row],[QT_CANA_EST]])</f>
        <v>606.1</v>
      </c>
      <c r="AE301" s="1">
        <f>IF(ESTIMATIVA[[#This Row],[QT_AREA_REAL]]&gt;0,ESTIMATIVA[[#This Row],[QT_CANA_REAL]],ESTIMATIVA[[#This Row],[QT_CANA_REST1]])</f>
        <v>606.1</v>
      </c>
      <c r="AF301" s="1">
        <f>IF(ESTIMATIVA[[#This Row],[QT_AREA_REAL]]&gt;0,ESTIMATIVA[[#This Row],[QT_CANA_REAL]],ESTIMATIVA[[#This Row],[QT_CANA_REST2]])</f>
        <v>606.1</v>
      </c>
      <c r="AG301" s="1" t="str">
        <f>IF(COUNTIFS(GEADA!A:A,VALUE(ESTIMATIVA[[#This Row],[CD_UPNIVEL1]]&amp;TEXT(ESTIMATIVA[[#This Row],[CD_UPNIVEL3]],"0000")))&gt;0,"S","N")</f>
        <v>N</v>
      </c>
      <c r="AH30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301" s="55" t="str">
        <f>IF(ESTIMATIVA[[#This Row],[TP_CULTIVO]]="Irrigado",_xlfn.MAXIFS(IRRIGADO!J:J,IRRIGADO!C:C,ESTIMATIVA[[#This Row],[CD_UPNIVEL1]],IRRIGADO!E:E,ESTIMATIVA[[#This Row],[CD_UPNIVEL3]]),"")</f>
        <v/>
      </c>
      <c r="AJ30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01" s="1">
        <f>COUNTIFS(Apresentação!$E$23:$E$29,ESTIMATIVA[[#This Row],[CD_UPNIVEL1]])</f>
        <v>0</v>
      </c>
    </row>
    <row r="302" spans="1:37" x14ac:dyDescent="0.3">
      <c r="A302">
        <v>20313</v>
      </c>
      <c r="B302" t="s">
        <v>26</v>
      </c>
      <c r="C302">
        <v>10</v>
      </c>
      <c r="D302">
        <v>6</v>
      </c>
      <c r="E302" t="s">
        <v>261</v>
      </c>
      <c r="F302" s="85" t="s">
        <v>331</v>
      </c>
      <c r="G302"/>
      <c r="H302" t="s">
        <v>294</v>
      </c>
      <c r="I302" t="s">
        <v>202</v>
      </c>
      <c r="J302" t="s">
        <v>176</v>
      </c>
      <c r="K302" s="1">
        <v>19.489999999999998</v>
      </c>
      <c r="L302" s="1">
        <v>0</v>
      </c>
      <c r="M302" s="1">
        <v>0</v>
      </c>
      <c r="N302" s="1">
        <v>19.489999999999998</v>
      </c>
      <c r="O302" s="1">
        <v>584.70000000000005</v>
      </c>
      <c r="P302" s="1">
        <v>0</v>
      </c>
      <c r="Q302" s="1">
        <v>0</v>
      </c>
      <c r="R302" s="1">
        <v>300.54000000000002</v>
      </c>
      <c r="S302" t="s">
        <v>12</v>
      </c>
      <c r="T302" s="13">
        <v>45725</v>
      </c>
      <c r="U302" s="1" t="str">
        <f>IF(ESTIMATIVA[[#This Row],[QT_AREA_REAL]]&gt;0,"1- Colhido","2- à Colher")</f>
        <v>1- Colhido</v>
      </c>
      <c r="V302" s="1" t="str">
        <f>IF(ESTIMATIVA[[#This Row],[QT_AREA_REST1]]&gt;0,"Reestimativa 1",IF(ESTIMATIVA[[#This Row],[QT_AREA_REAL]]=0,"Reestimativa 1","Realizado"))</f>
        <v>Realizado</v>
      </c>
      <c r="W302" s="1" t="str">
        <f>IF(ESTIMATIVA[[#This Row],[QT_AREA_REST2]]&gt;0,"Reestimativa 2",IF(ESTIMATIVA[[#This Row],[QT_AREA_REAL]]=0,"Reestimativa 2","Realizado"))</f>
        <v>Realizado</v>
      </c>
      <c r="X302" s="1">
        <f>ESTIMATIVA[[#This Row],[QT_AREA_EST]]</f>
        <v>19.489999999999998</v>
      </c>
      <c r="Y302" s="1">
        <f>IF(ESTIMATIVA[[#This Row],[QT_AREA_REST1]]&gt;0,ESTIMATIVA[[#This Row],[QT_AREA_REST1]],
  IF(ESTIMATIVA[[#This Row],[QT_AREA_REAL]]&gt;0,ESTIMATIVA[[#This Row],[QT_AREA_REAL]],ESTIMATIVA[[#This Row],[QT_AREA_EST]]))</f>
        <v>19.489999999999998</v>
      </c>
      <c r="Z30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19.489999999999998</v>
      </c>
      <c r="AA302" s="1">
        <f>ESTIMATIVA[[#This Row],[QT_CANA_EST]]</f>
        <v>584.70000000000005</v>
      </c>
      <c r="AB302" s="1">
        <f>IF(ESTIMATIVA[[#This Row],[QT_CANA_REST1]]&gt;0,ESTIMATIVA[[#This Row],[QT_CANA_REST1]],
  IF(ESTIMATIVA[[#This Row],[QT_CANA_REAL]]&gt;0,ESTIMATIVA[[#This Row],[QT_CANA_REAL]],ESTIMATIVA[[#This Row],[QT_CANA_EST]]))</f>
        <v>300.54000000000002</v>
      </c>
      <c r="AC30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300.54000000000002</v>
      </c>
      <c r="AD302" s="1">
        <f>IF(ESTIMATIVA[[#This Row],[QT_AREA_REAL]]&gt;0,ESTIMATIVA[[#This Row],[QT_CANA_REAL]],ESTIMATIVA[[#This Row],[QT_CANA_EST]])</f>
        <v>300.54000000000002</v>
      </c>
      <c r="AE302" s="1">
        <f>IF(ESTIMATIVA[[#This Row],[QT_AREA_REAL]]&gt;0,ESTIMATIVA[[#This Row],[QT_CANA_REAL]],ESTIMATIVA[[#This Row],[QT_CANA_REST1]])</f>
        <v>300.54000000000002</v>
      </c>
      <c r="AF302" s="1">
        <f>IF(ESTIMATIVA[[#This Row],[QT_AREA_REAL]]&gt;0,ESTIMATIVA[[#This Row],[QT_CANA_REAL]],ESTIMATIVA[[#This Row],[QT_CANA_REST2]])</f>
        <v>300.54000000000002</v>
      </c>
      <c r="AG302" s="1" t="str">
        <f>IF(COUNTIFS(GEADA!A:A,VALUE(ESTIMATIVA[[#This Row],[CD_UPNIVEL1]]&amp;TEXT(ESTIMATIVA[[#This Row],[CD_UPNIVEL3]],"0000")))&gt;0,"S","N")</f>
        <v>N</v>
      </c>
      <c r="AH30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302" s="55" t="str">
        <f>IF(ESTIMATIVA[[#This Row],[TP_CULTIVO]]="Irrigado",_xlfn.MAXIFS(IRRIGADO!J:J,IRRIGADO!C:C,ESTIMATIVA[[#This Row],[CD_UPNIVEL1]],IRRIGADO!E:E,ESTIMATIVA[[#This Row],[CD_UPNIVEL3]]),"")</f>
        <v/>
      </c>
      <c r="AJ30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02" s="1">
        <f>COUNTIFS(Apresentação!$E$23:$E$29,ESTIMATIVA[[#This Row],[CD_UPNIVEL1]])</f>
        <v>0</v>
      </c>
    </row>
    <row r="303" spans="1:37" x14ac:dyDescent="0.3">
      <c r="A303">
        <v>20314</v>
      </c>
      <c r="B303" t="s">
        <v>27</v>
      </c>
      <c r="C303">
        <v>1</v>
      </c>
      <c r="D303">
        <v>4</v>
      </c>
      <c r="E303" t="s">
        <v>265</v>
      </c>
      <c r="F303" s="85" t="s">
        <v>332</v>
      </c>
      <c r="G303"/>
      <c r="H303" t="s">
        <v>295</v>
      </c>
      <c r="I303" t="s">
        <v>208</v>
      </c>
      <c r="J303" t="s">
        <v>176</v>
      </c>
      <c r="K303" s="1">
        <v>11.66</v>
      </c>
      <c r="L303" s="1">
        <v>11.66</v>
      </c>
      <c r="M303" s="1">
        <v>0</v>
      </c>
      <c r="N303" s="1">
        <v>11.66</v>
      </c>
      <c r="O303" s="1">
        <v>1014.42</v>
      </c>
      <c r="P303" s="1">
        <v>1014.42</v>
      </c>
      <c r="Q303" s="1">
        <v>0</v>
      </c>
      <c r="R303" s="1">
        <v>841.26</v>
      </c>
      <c r="S303" t="s">
        <v>12</v>
      </c>
      <c r="T303" s="13">
        <v>45886</v>
      </c>
      <c r="U303" s="1" t="str">
        <f>IF(ESTIMATIVA[[#This Row],[QT_AREA_REAL]]&gt;0,"1- Colhido","2- à Colher")</f>
        <v>1- Colhido</v>
      </c>
      <c r="V303" s="1" t="str">
        <f>IF(ESTIMATIVA[[#This Row],[QT_AREA_REST1]]&gt;0,"Reestimativa 1",IF(ESTIMATIVA[[#This Row],[QT_AREA_REAL]]=0,"Reestimativa 1","Realizado"))</f>
        <v>Reestimativa 1</v>
      </c>
      <c r="W303" s="1" t="str">
        <f>IF(ESTIMATIVA[[#This Row],[QT_AREA_REST2]]&gt;0,"Reestimativa 2",IF(ESTIMATIVA[[#This Row],[QT_AREA_REAL]]=0,"Reestimativa 2","Realizado"))</f>
        <v>Realizado</v>
      </c>
      <c r="X303" s="1">
        <f>ESTIMATIVA[[#This Row],[QT_AREA_EST]]</f>
        <v>11.66</v>
      </c>
      <c r="Y303" s="1">
        <f>IF(ESTIMATIVA[[#This Row],[QT_AREA_REST1]]&gt;0,ESTIMATIVA[[#This Row],[QT_AREA_REST1]],
  IF(ESTIMATIVA[[#This Row],[QT_AREA_REAL]]&gt;0,ESTIMATIVA[[#This Row],[QT_AREA_REAL]],ESTIMATIVA[[#This Row],[QT_AREA_EST]]))</f>
        <v>11.66</v>
      </c>
      <c r="Z30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11.66</v>
      </c>
      <c r="AA303" s="1">
        <f>ESTIMATIVA[[#This Row],[QT_CANA_EST]]</f>
        <v>1014.42</v>
      </c>
      <c r="AB303" s="1">
        <f>IF(ESTIMATIVA[[#This Row],[QT_CANA_REST1]]&gt;0,ESTIMATIVA[[#This Row],[QT_CANA_REST1]],
  IF(ESTIMATIVA[[#This Row],[QT_CANA_REAL]]&gt;0,ESTIMATIVA[[#This Row],[QT_CANA_REAL]],ESTIMATIVA[[#This Row],[QT_CANA_EST]]))</f>
        <v>1014.42</v>
      </c>
      <c r="AC30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841.26</v>
      </c>
      <c r="AD303" s="1">
        <f>IF(ESTIMATIVA[[#This Row],[QT_AREA_REAL]]&gt;0,ESTIMATIVA[[#This Row],[QT_CANA_REAL]],ESTIMATIVA[[#This Row],[QT_CANA_EST]])</f>
        <v>841.26</v>
      </c>
      <c r="AE303" s="1">
        <f>IF(ESTIMATIVA[[#This Row],[QT_AREA_REAL]]&gt;0,ESTIMATIVA[[#This Row],[QT_CANA_REAL]],ESTIMATIVA[[#This Row],[QT_CANA_REST1]])</f>
        <v>841.26</v>
      </c>
      <c r="AF303" s="1">
        <f>IF(ESTIMATIVA[[#This Row],[QT_AREA_REAL]]&gt;0,ESTIMATIVA[[#This Row],[QT_CANA_REAL]],ESTIMATIVA[[#This Row],[QT_CANA_REST2]])</f>
        <v>841.26</v>
      </c>
      <c r="AG303" s="1" t="str">
        <f>IF(COUNTIFS(GEADA!A:A,VALUE(ESTIMATIVA[[#This Row],[CD_UPNIVEL1]]&amp;TEXT(ESTIMATIVA[[#This Row],[CD_UPNIVEL3]],"0000")))&gt;0,"S","N")</f>
        <v>N</v>
      </c>
      <c r="AH30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03" s="55" t="str">
        <f>IF(ESTIMATIVA[[#This Row],[TP_CULTIVO]]="Irrigado",_xlfn.MAXIFS(IRRIGADO!J:J,IRRIGADO!C:C,ESTIMATIVA[[#This Row],[CD_UPNIVEL1]],IRRIGADO!E:E,ESTIMATIVA[[#This Row],[CD_UPNIVEL3]]),"")</f>
        <v/>
      </c>
      <c r="AJ30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03" s="1">
        <f>COUNTIFS(Apresentação!$E$23:$E$29,ESTIMATIVA[[#This Row],[CD_UPNIVEL1]])</f>
        <v>0</v>
      </c>
    </row>
    <row r="304" spans="1:37" x14ac:dyDescent="0.3">
      <c r="A304">
        <v>20314</v>
      </c>
      <c r="B304" t="s">
        <v>27</v>
      </c>
      <c r="C304">
        <v>7</v>
      </c>
      <c r="D304">
        <v>6</v>
      </c>
      <c r="E304" t="s">
        <v>261</v>
      </c>
      <c r="F304" s="85" t="s">
        <v>332</v>
      </c>
      <c r="G304"/>
      <c r="H304" t="s">
        <v>295</v>
      </c>
      <c r="I304" t="s">
        <v>197</v>
      </c>
      <c r="J304" t="s">
        <v>176</v>
      </c>
      <c r="K304" s="1">
        <v>1.87</v>
      </c>
      <c r="L304" s="1">
        <v>1.87</v>
      </c>
      <c r="M304" s="1">
        <v>0</v>
      </c>
      <c r="N304" s="1">
        <v>1.87</v>
      </c>
      <c r="O304" s="1">
        <v>130.9</v>
      </c>
      <c r="P304" s="1">
        <v>132.77000000000001</v>
      </c>
      <c r="Q304" s="1">
        <v>0</v>
      </c>
      <c r="R304" s="1">
        <v>110.28</v>
      </c>
      <c r="S304" t="s">
        <v>12</v>
      </c>
      <c r="T304" s="13">
        <v>45886</v>
      </c>
      <c r="U304" s="1" t="str">
        <f>IF(ESTIMATIVA[[#This Row],[QT_AREA_REAL]]&gt;0,"1- Colhido","2- à Colher")</f>
        <v>1- Colhido</v>
      </c>
      <c r="V304" s="1" t="str">
        <f>IF(ESTIMATIVA[[#This Row],[QT_AREA_REST1]]&gt;0,"Reestimativa 1",IF(ESTIMATIVA[[#This Row],[QT_AREA_REAL]]=0,"Reestimativa 1","Realizado"))</f>
        <v>Reestimativa 1</v>
      </c>
      <c r="W304" s="1" t="str">
        <f>IF(ESTIMATIVA[[#This Row],[QT_AREA_REST2]]&gt;0,"Reestimativa 2",IF(ESTIMATIVA[[#This Row],[QT_AREA_REAL]]=0,"Reestimativa 2","Realizado"))</f>
        <v>Realizado</v>
      </c>
      <c r="X304" s="1">
        <f>ESTIMATIVA[[#This Row],[QT_AREA_EST]]</f>
        <v>1.87</v>
      </c>
      <c r="Y304" s="1">
        <f>IF(ESTIMATIVA[[#This Row],[QT_AREA_REST1]]&gt;0,ESTIMATIVA[[#This Row],[QT_AREA_REST1]],
  IF(ESTIMATIVA[[#This Row],[QT_AREA_REAL]]&gt;0,ESTIMATIVA[[#This Row],[QT_AREA_REAL]],ESTIMATIVA[[#This Row],[QT_AREA_EST]]))</f>
        <v>1.87</v>
      </c>
      <c r="Z30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1.87</v>
      </c>
      <c r="AA304" s="1">
        <f>ESTIMATIVA[[#This Row],[QT_CANA_EST]]</f>
        <v>130.9</v>
      </c>
      <c r="AB304" s="1">
        <f>IF(ESTIMATIVA[[#This Row],[QT_CANA_REST1]]&gt;0,ESTIMATIVA[[#This Row],[QT_CANA_REST1]],
  IF(ESTIMATIVA[[#This Row],[QT_CANA_REAL]]&gt;0,ESTIMATIVA[[#This Row],[QT_CANA_REAL]],ESTIMATIVA[[#This Row],[QT_CANA_EST]]))</f>
        <v>132.77000000000001</v>
      </c>
      <c r="AC30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110.28</v>
      </c>
      <c r="AD304" s="1">
        <f>IF(ESTIMATIVA[[#This Row],[QT_AREA_REAL]]&gt;0,ESTIMATIVA[[#This Row],[QT_CANA_REAL]],ESTIMATIVA[[#This Row],[QT_CANA_EST]])</f>
        <v>110.28</v>
      </c>
      <c r="AE304" s="1">
        <f>IF(ESTIMATIVA[[#This Row],[QT_AREA_REAL]]&gt;0,ESTIMATIVA[[#This Row],[QT_CANA_REAL]],ESTIMATIVA[[#This Row],[QT_CANA_REST1]])</f>
        <v>110.28</v>
      </c>
      <c r="AF304" s="1">
        <f>IF(ESTIMATIVA[[#This Row],[QT_AREA_REAL]]&gt;0,ESTIMATIVA[[#This Row],[QT_CANA_REAL]],ESTIMATIVA[[#This Row],[QT_CANA_REST2]])</f>
        <v>110.28</v>
      </c>
      <c r="AG304" s="1" t="str">
        <f>IF(COUNTIFS(GEADA!A:A,VALUE(ESTIMATIVA[[#This Row],[CD_UPNIVEL1]]&amp;TEXT(ESTIMATIVA[[#This Row],[CD_UPNIVEL3]],"0000")))&gt;0,"S","N")</f>
        <v>N</v>
      </c>
      <c r="AH30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04" s="55" t="str">
        <f>IF(ESTIMATIVA[[#This Row],[TP_CULTIVO]]="Irrigado",_xlfn.MAXIFS(IRRIGADO!J:J,IRRIGADO!C:C,ESTIMATIVA[[#This Row],[CD_UPNIVEL1]],IRRIGADO!E:E,ESTIMATIVA[[#This Row],[CD_UPNIVEL3]]),"")</f>
        <v/>
      </c>
      <c r="AJ30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04" s="1">
        <f>COUNTIFS(Apresentação!$E$23:$E$29,ESTIMATIVA[[#This Row],[CD_UPNIVEL1]])</f>
        <v>0</v>
      </c>
    </row>
    <row r="305" spans="1:37" x14ac:dyDescent="0.3">
      <c r="A305">
        <v>20314</v>
      </c>
      <c r="B305" t="s">
        <v>27</v>
      </c>
      <c r="C305">
        <v>8</v>
      </c>
      <c r="D305">
        <v>6</v>
      </c>
      <c r="E305" t="s">
        <v>261</v>
      </c>
      <c r="F305" s="85" t="s">
        <v>332</v>
      </c>
      <c r="G305"/>
      <c r="H305" t="s">
        <v>295</v>
      </c>
      <c r="I305" t="s">
        <v>197</v>
      </c>
      <c r="J305" t="s">
        <v>176</v>
      </c>
      <c r="K305" s="1">
        <v>1.76</v>
      </c>
      <c r="L305" s="1">
        <v>1.76</v>
      </c>
      <c r="M305" s="1">
        <v>0</v>
      </c>
      <c r="N305" s="1">
        <v>1.76</v>
      </c>
      <c r="O305" s="1">
        <v>123.2</v>
      </c>
      <c r="P305" s="1">
        <v>124.96</v>
      </c>
      <c r="Q305" s="1">
        <v>0</v>
      </c>
      <c r="R305" s="1">
        <v>103.64</v>
      </c>
      <c r="S305" t="s">
        <v>12</v>
      </c>
      <c r="T305" s="13">
        <v>45886</v>
      </c>
      <c r="U305" s="1" t="str">
        <f>IF(ESTIMATIVA[[#This Row],[QT_AREA_REAL]]&gt;0,"1- Colhido","2- à Colher")</f>
        <v>1- Colhido</v>
      </c>
      <c r="V305" s="1" t="str">
        <f>IF(ESTIMATIVA[[#This Row],[QT_AREA_REST1]]&gt;0,"Reestimativa 1",IF(ESTIMATIVA[[#This Row],[QT_AREA_REAL]]=0,"Reestimativa 1","Realizado"))</f>
        <v>Reestimativa 1</v>
      </c>
      <c r="W305" s="1" t="str">
        <f>IF(ESTIMATIVA[[#This Row],[QT_AREA_REST2]]&gt;0,"Reestimativa 2",IF(ESTIMATIVA[[#This Row],[QT_AREA_REAL]]=0,"Reestimativa 2","Realizado"))</f>
        <v>Realizado</v>
      </c>
      <c r="X305" s="1">
        <f>ESTIMATIVA[[#This Row],[QT_AREA_EST]]</f>
        <v>1.76</v>
      </c>
      <c r="Y305" s="1">
        <f>IF(ESTIMATIVA[[#This Row],[QT_AREA_REST1]]&gt;0,ESTIMATIVA[[#This Row],[QT_AREA_REST1]],
  IF(ESTIMATIVA[[#This Row],[QT_AREA_REAL]]&gt;0,ESTIMATIVA[[#This Row],[QT_AREA_REAL]],ESTIMATIVA[[#This Row],[QT_AREA_EST]]))</f>
        <v>1.76</v>
      </c>
      <c r="Z30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1.76</v>
      </c>
      <c r="AA305" s="1">
        <f>ESTIMATIVA[[#This Row],[QT_CANA_EST]]</f>
        <v>123.2</v>
      </c>
      <c r="AB305" s="1">
        <f>IF(ESTIMATIVA[[#This Row],[QT_CANA_REST1]]&gt;0,ESTIMATIVA[[#This Row],[QT_CANA_REST1]],
  IF(ESTIMATIVA[[#This Row],[QT_CANA_REAL]]&gt;0,ESTIMATIVA[[#This Row],[QT_CANA_REAL]],ESTIMATIVA[[#This Row],[QT_CANA_EST]]))</f>
        <v>124.96</v>
      </c>
      <c r="AC30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103.64</v>
      </c>
      <c r="AD305" s="1">
        <f>IF(ESTIMATIVA[[#This Row],[QT_AREA_REAL]]&gt;0,ESTIMATIVA[[#This Row],[QT_CANA_REAL]],ESTIMATIVA[[#This Row],[QT_CANA_EST]])</f>
        <v>103.64</v>
      </c>
      <c r="AE305" s="1">
        <f>IF(ESTIMATIVA[[#This Row],[QT_AREA_REAL]]&gt;0,ESTIMATIVA[[#This Row],[QT_CANA_REAL]],ESTIMATIVA[[#This Row],[QT_CANA_REST1]])</f>
        <v>103.64</v>
      </c>
      <c r="AF305" s="1">
        <f>IF(ESTIMATIVA[[#This Row],[QT_AREA_REAL]]&gt;0,ESTIMATIVA[[#This Row],[QT_CANA_REAL]],ESTIMATIVA[[#This Row],[QT_CANA_REST2]])</f>
        <v>103.64</v>
      </c>
      <c r="AG305" s="1" t="str">
        <f>IF(COUNTIFS(GEADA!A:A,VALUE(ESTIMATIVA[[#This Row],[CD_UPNIVEL1]]&amp;TEXT(ESTIMATIVA[[#This Row],[CD_UPNIVEL3]],"0000")))&gt;0,"S","N")</f>
        <v>N</v>
      </c>
      <c r="AH30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05" s="55" t="str">
        <f>IF(ESTIMATIVA[[#This Row],[TP_CULTIVO]]="Irrigado",_xlfn.MAXIFS(IRRIGADO!J:J,IRRIGADO!C:C,ESTIMATIVA[[#This Row],[CD_UPNIVEL1]],IRRIGADO!E:E,ESTIMATIVA[[#This Row],[CD_UPNIVEL3]]),"")</f>
        <v/>
      </c>
      <c r="AJ30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05" s="1">
        <f>COUNTIFS(Apresentação!$E$23:$E$29,ESTIMATIVA[[#This Row],[CD_UPNIVEL1]])</f>
        <v>0</v>
      </c>
    </row>
    <row r="306" spans="1:37" x14ac:dyDescent="0.3">
      <c r="A306">
        <v>20314</v>
      </c>
      <c r="B306" t="s">
        <v>27</v>
      </c>
      <c r="C306">
        <v>9</v>
      </c>
      <c r="D306">
        <v>6</v>
      </c>
      <c r="E306" t="s">
        <v>261</v>
      </c>
      <c r="F306" s="85" t="s">
        <v>332</v>
      </c>
      <c r="G306"/>
      <c r="H306" t="s">
        <v>295</v>
      </c>
      <c r="I306" t="s">
        <v>197</v>
      </c>
      <c r="J306" t="s">
        <v>176</v>
      </c>
      <c r="K306" s="1">
        <v>3.34</v>
      </c>
      <c r="L306" s="1">
        <v>3.34</v>
      </c>
      <c r="M306" s="1">
        <v>0</v>
      </c>
      <c r="N306" s="1">
        <v>3.34</v>
      </c>
      <c r="O306" s="1">
        <v>233.8</v>
      </c>
      <c r="P306" s="1">
        <v>237.14</v>
      </c>
      <c r="Q306" s="1">
        <v>0</v>
      </c>
      <c r="R306" s="1">
        <v>196.57</v>
      </c>
      <c r="S306" t="s">
        <v>12</v>
      </c>
      <c r="T306" s="13">
        <v>45886</v>
      </c>
      <c r="U306" s="1" t="str">
        <f>IF(ESTIMATIVA[[#This Row],[QT_AREA_REAL]]&gt;0,"1- Colhido","2- à Colher")</f>
        <v>1- Colhido</v>
      </c>
      <c r="V306" s="1" t="str">
        <f>IF(ESTIMATIVA[[#This Row],[QT_AREA_REST1]]&gt;0,"Reestimativa 1",IF(ESTIMATIVA[[#This Row],[QT_AREA_REAL]]=0,"Reestimativa 1","Realizado"))</f>
        <v>Reestimativa 1</v>
      </c>
      <c r="W306" s="1" t="str">
        <f>IF(ESTIMATIVA[[#This Row],[QT_AREA_REST2]]&gt;0,"Reestimativa 2",IF(ESTIMATIVA[[#This Row],[QT_AREA_REAL]]=0,"Reestimativa 2","Realizado"))</f>
        <v>Realizado</v>
      </c>
      <c r="X306" s="1">
        <f>ESTIMATIVA[[#This Row],[QT_AREA_EST]]</f>
        <v>3.34</v>
      </c>
      <c r="Y306" s="1">
        <f>IF(ESTIMATIVA[[#This Row],[QT_AREA_REST1]]&gt;0,ESTIMATIVA[[#This Row],[QT_AREA_REST1]],
  IF(ESTIMATIVA[[#This Row],[QT_AREA_REAL]]&gt;0,ESTIMATIVA[[#This Row],[QT_AREA_REAL]],ESTIMATIVA[[#This Row],[QT_AREA_EST]]))</f>
        <v>3.34</v>
      </c>
      <c r="Z30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3.34</v>
      </c>
      <c r="AA306" s="1">
        <f>ESTIMATIVA[[#This Row],[QT_CANA_EST]]</f>
        <v>233.8</v>
      </c>
      <c r="AB306" s="1">
        <f>IF(ESTIMATIVA[[#This Row],[QT_CANA_REST1]]&gt;0,ESTIMATIVA[[#This Row],[QT_CANA_REST1]],
  IF(ESTIMATIVA[[#This Row],[QT_CANA_REAL]]&gt;0,ESTIMATIVA[[#This Row],[QT_CANA_REAL]],ESTIMATIVA[[#This Row],[QT_CANA_EST]]))</f>
        <v>237.14</v>
      </c>
      <c r="AC30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196.57</v>
      </c>
      <c r="AD306" s="1">
        <f>IF(ESTIMATIVA[[#This Row],[QT_AREA_REAL]]&gt;0,ESTIMATIVA[[#This Row],[QT_CANA_REAL]],ESTIMATIVA[[#This Row],[QT_CANA_EST]])</f>
        <v>196.57</v>
      </c>
      <c r="AE306" s="1">
        <f>IF(ESTIMATIVA[[#This Row],[QT_AREA_REAL]]&gt;0,ESTIMATIVA[[#This Row],[QT_CANA_REAL]],ESTIMATIVA[[#This Row],[QT_CANA_REST1]])</f>
        <v>196.57</v>
      </c>
      <c r="AF306" s="1">
        <f>IF(ESTIMATIVA[[#This Row],[QT_AREA_REAL]]&gt;0,ESTIMATIVA[[#This Row],[QT_CANA_REAL]],ESTIMATIVA[[#This Row],[QT_CANA_REST2]])</f>
        <v>196.57</v>
      </c>
      <c r="AG306" s="1" t="str">
        <f>IF(COUNTIFS(GEADA!A:A,VALUE(ESTIMATIVA[[#This Row],[CD_UPNIVEL1]]&amp;TEXT(ESTIMATIVA[[#This Row],[CD_UPNIVEL3]],"0000")))&gt;0,"S","N")</f>
        <v>N</v>
      </c>
      <c r="AH30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06" s="55" t="str">
        <f>IF(ESTIMATIVA[[#This Row],[TP_CULTIVO]]="Irrigado",_xlfn.MAXIFS(IRRIGADO!J:J,IRRIGADO!C:C,ESTIMATIVA[[#This Row],[CD_UPNIVEL1]],IRRIGADO!E:E,ESTIMATIVA[[#This Row],[CD_UPNIVEL3]]),"")</f>
        <v/>
      </c>
      <c r="AJ30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06" s="1">
        <f>COUNTIFS(Apresentação!$E$23:$E$29,ESTIMATIVA[[#This Row],[CD_UPNIVEL1]])</f>
        <v>0</v>
      </c>
    </row>
    <row r="307" spans="1:37" x14ac:dyDescent="0.3">
      <c r="A307">
        <v>20314</v>
      </c>
      <c r="B307" t="s">
        <v>27</v>
      </c>
      <c r="C307">
        <v>10</v>
      </c>
      <c r="D307">
        <v>6</v>
      </c>
      <c r="E307" t="s">
        <v>261</v>
      </c>
      <c r="F307" s="85" t="s">
        <v>332</v>
      </c>
      <c r="G307"/>
      <c r="H307" t="s">
        <v>295</v>
      </c>
      <c r="I307" t="s">
        <v>197</v>
      </c>
      <c r="J307" t="s">
        <v>176</v>
      </c>
      <c r="K307" s="1">
        <v>6.33</v>
      </c>
      <c r="L307" s="1">
        <v>6.33</v>
      </c>
      <c r="M307" s="1">
        <v>0</v>
      </c>
      <c r="N307" s="1">
        <v>6.33</v>
      </c>
      <c r="O307" s="1">
        <v>443.1</v>
      </c>
      <c r="P307" s="1">
        <v>449.43</v>
      </c>
      <c r="Q307" s="1">
        <v>0</v>
      </c>
      <c r="R307" s="1">
        <v>372.47</v>
      </c>
      <c r="S307" t="s">
        <v>12</v>
      </c>
      <c r="T307" s="13">
        <v>45886</v>
      </c>
      <c r="U307" s="1" t="str">
        <f>IF(ESTIMATIVA[[#This Row],[QT_AREA_REAL]]&gt;0,"1- Colhido","2- à Colher")</f>
        <v>1- Colhido</v>
      </c>
      <c r="V307" s="1" t="str">
        <f>IF(ESTIMATIVA[[#This Row],[QT_AREA_REST1]]&gt;0,"Reestimativa 1",IF(ESTIMATIVA[[#This Row],[QT_AREA_REAL]]=0,"Reestimativa 1","Realizado"))</f>
        <v>Reestimativa 1</v>
      </c>
      <c r="W307" s="1" t="str">
        <f>IF(ESTIMATIVA[[#This Row],[QT_AREA_REST2]]&gt;0,"Reestimativa 2",IF(ESTIMATIVA[[#This Row],[QT_AREA_REAL]]=0,"Reestimativa 2","Realizado"))</f>
        <v>Realizado</v>
      </c>
      <c r="X307" s="1">
        <f>ESTIMATIVA[[#This Row],[QT_AREA_EST]]</f>
        <v>6.33</v>
      </c>
      <c r="Y307" s="1">
        <f>IF(ESTIMATIVA[[#This Row],[QT_AREA_REST1]]&gt;0,ESTIMATIVA[[#This Row],[QT_AREA_REST1]],
  IF(ESTIMATIVA[[#This Row],[QT_AREA_REAL]]&gt;0,ESTIMATIVA[[#This Row],[QT_AREA_REAL]],ESTIMATIVA[[#This Row],[QT_AREA_EST]]))</f>
        <v>6.33</v>
      </c>
      <c r="Z30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6.33</v>
      </c>
      <c r="AA307" s="1">
        <f>ESTIMATIVA[[#This Row],[QT_CANA_EST]]</f>
        <v>443.1</v>
      </c>
      <c r="AB307" s="1">
        <f>IF(ESTIMATIVA[[#This Row],[QT_CANA_REST1]]&gt;0,ESTIMATIVA[[#This Row],[QT_CANA_REST1]],
  IF(ESTIMATIVA[[#This Row],[QT_CANA_REAL]]&gt;0,ESTIMATIVA[[#This Row],[QT_CANA_REAL]],ESTIMATIVA[[#This Row],[QT_CANA_EST]]))</f>
        <v>449.43</v>
      </c>
      <c r="AC30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372.47</v>
      </c>
      <c r="AD307" s="1">
        <f>IF(ESTIMATIVA[[#This Row],[QT_AREA_REAL]]&gt;0,ESTIMATIVA[[#This Row],[QT_CANA_REAL]],ESTIMATIVA[[#This Row],[QT_CANA_EST]])</f>
        <v>372.47</v>
      </c>
      <c r="AE307" s="1">
        <f>IF(ESTIMATIVA[[#This Row],[QT_AREA_REAL]]&gt;0,ESTIMATIVA[[#This Row],[QT_CANA_REAL]],ESTIMATIVA[[#This Row],[QT_CANA_REST1]])</f>
        <v>372.47</v>
      </c>
      <c r="AF307" s="1">
        <f>IF(ESTIMATIVA[[#This Row],[QT_AREA_REAL]]&gt;0,ESTIMATIVA[[#This Row],[QT_CANA_REAL]],ESTIMATIVA[[#This Row],[QT_CANA_REST2]])</f>
        <v>372.47</v>
      </c>
      <c r="AG307" s="1" t="str">
        <f>IF(COUNTIFS(GEADA!A:A,VALUE(ESTIMATIVA[[#This Row],[CD_UPNIVEL1]]&amp;TEXT(ESTIMATIVA[[#This Row],[CD_UPNIVEL3]],"0000")))&gt;0,"S","N")</f>
        <v>N</v>
      </c>
      <c r="AH30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07" s="55" t="str">
        <f>IF(ESTIMATIVA[[#This Row],[TP_CULTIVO]]="Irrigado",_xlfn.MAXIFS(IRRIGADO!J:J,IRRIGADO!C:C,ESTIMATIVA[[#This Row],[CD_UPNIVEL1]],IRRIGADO!E:E,ESTIMATIVA[[#This Row],[CD_UPNIVEL3]]),"")</f>
        <v/>
      </c>
      <c r="AJ30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07" s="1">
        <f>COUNTIFS(Apresentação!$E$23:$E$29,ESTIMATIVA[[#This Row],[CD_UPNIVEL1]])</f>
        <v>0</v>
      </c>
    </row>
    <row r="308" spans="1:37" x14ac:dyDescent="0.3">
      <c r="A308">
        <v>20314</v>
      </c>
      <c r="B308" t="s">
        <v>27</v>
      </c>
      <c r="C308">
        <v>11</v>
      </c>
      <c r="D308">
        <v>6</v>
      </c>
      <c r="E308" t="s">
        <v>261</v>
      </c>
      <c r="F308" s="85" t="s">
        <v>332</v>
      </c>
      <c r="G308"/>
      <c r="H308" t="s">
        <v>295</v>
      </c>
      <c r="I308" t="s">
        <v>197</v>
      </c>
      <c r="J308" t="s">
        <v>176</v>
      </c>
      <c r="K308" s="1">
        <v>4.59</v>
      </c>
      <c r="L308" s="1">
        <v>4.59</v>
      </c>
      <c r="M308" s="1">
        <v>0</v>
      </c>
      <c r="N308" s="1">
        <v>4.59</v>
      </c>
      <c r="O308" s="1">
        <v>321.3</v>
      </c>
      <c r="P308" s="1">
        <v>325.89</v>
      </c>
      <c r="Q308" s="1">
        <v>0</v>
      </c>
      <c r="R308" s="1">
        <v>270.41000000000003</v>
      </c>
      <c r="S308" t="s">
        <v>12</v>
      </c>
      <c r="T308" s="13">
        <v>45886</v>
      </c>
      <c r="U308" s="1" t="str">
        <f>IF(ESTIMATIVA[[#This Row],[QT_AREA_REAL]]&gt;0,"1- Colhido","2- à Colher")</f>
        <v>1- Colhido</v>
      </c>
      <c r="V308" s="1" t="str">
        <f>IF(ESTIMATIVA[[#This Row],[QT_AREA_REST1]]&gt;0,"Reestimativa 1",IF(ESTIMATIVA[[#This Row],[QT_AREA_REAL]]=0,"Reestimativa 1","Realizado"))</f>
        <v>Reestimativa 1</v>
      </c>
      <c r="W308" s="1" t="str">
        <f>IF(ESTIMATIVA[[#This Row],[QT_AREA_REST2]]&gt;0,"Reestimativa 2",IF(ESTIMATIVA[[#This Row],[QT_AREA_REAL]]=0,"Reestimativa 2","Realizado"))</f>
        <v>Realizado</v>
      </c>
      <c r="X308" s="1">
        <f>ESTIMATIVA[[#This Row],[QT_AREA_EST]]</f>
        <v>4.59</v>
      </c>
      <c r="Y308" s="1">
        <f>IF(ESTIMATIVA[[#This Row],[QT_AREA_REST1]]&gt;0,ESTIMATIVA[[#This Row],[QT_AREA_REST1]],
  IF(ESTIMATIVA[[#This Row],[QT_AREA_REAL]]&gt;0,ESTIMATIVA[[#This Row],[QT_AREA_REAL]],ESTIMATIVA[[#This Row],[QT_AREA_EST]]))</f>
        <v>4.59</v>
      </c>
      <c r="Z30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4.59</v>
      </c>
      <c r="AA308" s="1">
        <f>ESTIMATIVA[[#This Row],[QT_CANA_EST]]</f>
        <v>321.3</v>
      </c>
      <c r="AB308" s="1">
        <f>IF(ESTIMATIVA[[#This Row],[QT_CANA_REST1]]&gt;0,ESTIMATIVA[[#This Row],[QT_CANA_REST1]],
  IF(ESTIMATIVA[[#This Row],[QT_CANA_REAL]]&gt;0,ESTIMATIVA[[#This Row],[QT_CANA_REAL]],ESTIMATIVA[[#This Row],[QT_CANA_EST]]))</f>
        <v>325.89</v>
      </c>
      <c r="AC30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270.41000000000003</v>
      </c>
      <c r="AD308" s="1">
        <f>IF(ESTIMATIVA[[#This Row],[QT_AREA_REAL]]&gt;0,ESTIMATIVA[[#This Row],[QT_CANA_REAL]],ESTIMATIVA[[#This Row],[QT_CANA_EST]])</f>
        <v>270.41000000000003</v>
      </c>
      <c r="AE308" s="1">
        <f>IF(ESTIMATIVA[[#This Row],[QT_AREA_REAL]]&gt;0,ESTIMATIVA[[#This Row],[QT_CANA_REAL]],ESTIMATIVA[[#This Row],[QT_CANA_REST1]])</f>
        <v>270.41000000000003</v>
      </c>
      <c r="AF308" s="1">
        <f>IF(ESTIMATIVA[[#This Row],[QT_AREA_REAL]]&gt;0,ESTIMATIVA[[#This Row],[QT_CANA_REAL]],ESTIMATIVA[[#This Row],[QT_CANA_REST2]])</f>
        <v>270.41000000000003</v>
      </c>
      <c r="AG308" s="1" t="str">
        <f>IF(COUNTIFS(GEADA!A:A,VALUE(ESTIMATIVA[[#This Row],[CD_UPNIVEL1]]&amp;TEXT(ESTIMATIVA[[#This Row],[CD_UPNIVEL3]],"0000")))&gt;0,"S","N")</f>
        <v>N</v>
      </c>
      <c r="AH30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08" s="55" t="str">
        <f>IF(ESTIMATIVA[[#This Row],[TP_CULTIVO]]="Irrigado",_xlfn.MAXIFS(IRRIGADO!J:J,IRRIGADO!C:C,ESTIMATIVA[[#This Row],[CD_UPNIVEL1]],IRRIGADO!E:E,ESTIMATIVA[[#This Row],[CD_UPNIVEL3]]),"")</f>
        <v/>
      </c>
      <c r="AJ30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08" s="1">
        <f>COUNTIFS(Apresentação!$E$23:$E$29,ESTIMATIVA[[#This Row],[CD_UPNIVEL1]])</f>
        <v>0</v>
      </c>
    </row>
    <row r="309" spans="1:37" x14ac:dyDescent="0.3">
      <c r="A309">
        <v>20314</v>
      </c>
      <c r="B309" t="s">
        <v>27</v>
      </c>
      <c r="C309">
        <v>12</v>
      </c>
      <c r="D309">
        <v>6</v>
      </c>
      <c r="E309" t="s">
        <v>261</v>
      </c>
      <c r="F309" s="85" t="s">
        <v>332</v>
      </c>
      <c r="G309"/>
      <c r="H309" t="s">
        <v>295</v>
      </c>
      <c r="I309" t="s">
        <v>197</v>
      </c>
      <c r="J309" t="s">
        <v>176</v>
      </c>
      <c r="K309" s="1">
        <v>5.0999999999999996</v>
      </c>
      <c r="L309" s="1">
        <v>5.0999999999999996</v>
      </c>
      <c r="M309" s="1">
        <v>0</v>
      </c>
      <c r="N309" s="1">
        <v>5.0999999999999996</v>
      </c>
      <c r="O309" s="1">
        <v>357</v>
      </c>
      <c r="P309" s="1">
        <v>362.1</v>
      </c>
      <c r="Q309" s="1">
        <v>0</v>
      </c>
      <c r="R309" s="1">
        <v>300.27999999999997</v>
      </c>
      <c r="S309" t="s">
        <v>12</v>
      </c>
      <c r="T309" s="13">
        <v>45886</v>
      </c>
      <c r="U309" s="1" t="str">
        <f>IF(ESTIMATIVA[[#This Row],[QT_AREA_REAL]]&gt;0,"1- Colhido","2- à Colher")</f>
        <v>1- Colhido</v>
      </c>
      <c r="V309" s="1" t="str">
        <f>IF(ESTIMATIVA[[#This Row],[QT_AREA_REST1]]&gt;0,"Reestimativa 1",IF(ESTIMATIVA[[#This Row],[QT_AREA_REAL]]=0,"Reestimativa 1","Realizado"))</f>
        <v>Reestimativa 1</v>
      </c>
      <c r="W309" s="1" t="str">
        <f>IF(ESTIMATIVA[[#This Row],[QT_AREA_REST2]]&gt;0,"Reestimativa 2",IF(ESTIMATIVA[[#This Row],[QT_AREA_REAL]]=0,"Reestimativa 2","Realizado"))</f>
        <v>Realizado</v>
      </c>
      <c r="X309" s="1">
        <f>ESTIMATIVA[[#This Row],[QT_AREA_EST]]</f>
        <v>5.0999999999999996</v>
      </c>
      <c r="Y309" s="1">
        <f>IF(ESTIMATIVA[[#This Row],[QT_AREA_REST1]]&gt;0,ESTIMATIVA[[#This Row],[QT_AREA_REST1]],
  IF(ESTIMATIVA[[#This Row],[QT_AREA_REAL]]&gt;0,ESTIMATIVA[[#This Row],[QT_AREA_REAL]],ESTIMATIVA[[#This Row],[QT_AREA_EST]]))</f>
        <v>5.0999999999999996</v>
      </c>
      <c r="Z30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5.0999999999999996</v>
      </c>
      <c r="AA309" s="1">
        <f>ESTIMATIVA[[#This Row],[QT_CANA_EST]]</f>
        <v>357</v>
      </c>
      <c r="AB309" s="1">
        <f>IF(ESTIMATIVA[[#This Row],[QT_CANA_REST1]]&gt;0,ESTIMATIVA[[#This Row],[QT_CANA_REST1]],
  IF(ESTIMATIVA[[#This Row],[QT_CANA_REAL]]&gt;0,ESTIMATIVA[[#This Row],[QT_CANA_REAL]],ESTIMATIVA[[#This Row],[QT_CANA_EST]]))</f>
        <v>362.1</v>
      </c>
      <c r="AC30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300.27999999999997</v>
      </c>
      <c r="AD309" s="1">
        <f>IF(ESTIMATIVA[[#This Row],[QT_AREA_REAL]]&gt;0,ESTIMATIVA[[#This Row],[QT_CANA_REAL]],ESTIMATIVA[[#This Row],[QT_CANA_EST]])</f>
        <v>300.27999999999997</v>
      </c>
      <c r="AE309" s="1">
        <f>IF(ESTIMATIVA[[#This Row],[QT_AREA_REAL]]&gt;0,ESTIMATIVA[[#This Row],[QT_CANA_REAL]],ESTIMATIVA[[#This Row],[QT_CANA_REST1]])</f>
        <v>300.27999999999997</v>
      </c>
      <c r="AF309" s="1">
        <f>IF(ESTIMATIVA[[#This Row],[QT_AREA_REAL]]&gt;0,ESTIMATIVA[[#This Row],[QT_CANA_REAL]],ESTIMATIVA[[#This Row],[QT_CANA_REST2]])</f>
        <v>300.27999999999997</v>
      </c>
      <c r="AG309" s="1" t="str">
        <f>IF(COUNTIFS(GEADA!A:A,VALUE(ESTIMATIVA[[#This Row],[CD_UPNIVEL1]]&amp;TEXT(ESTIMATIVA[[#This Row],[CD_UPNIVEL3]],"0000")))&gt;0,"S","N")</f>
        <v>N</v>
      </c>
      <c r="AH30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09" s="55" t="str">
        <f>IF(ESTIMATIVA[[#This Row],[TP_CULTIVO]]="Irrigado",_xlfn.MAXIFS(IRRIGADO!J:J,IRRIGADO!C:C,ESTIMATIVA[[#This Row],[CD_UPNIVEL1]],IRRIGADO!E:E,ESTIMATIVA[[#This Row],[CD_UPNIVEL3]]),"")</f>
        <v/>
      </c>
      <c r="AJ30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09" s="1">
        <f>COUNTIFS(Apresentação!$E$23:$E$29,ESTIMATIVA[[#This Row],[CD_UPNIVEL1]])</f>
        <v>0</v>
      </c>
    </row>
    <row r="310" spans="1:37" x14ac:dyDescent="0.3">
      <c r="A310">
        <v>20314</v>
      </c>
      <c r="B310" t="s">
        <v>27</v>
      </c>
      <c r="C310">
        <v>13</v>
      </c>
      <c r="D310">
        <v>6</v>
      </c>
      <c r="E310" t="s">
        <v>261</v>
      </c>
      <c r="F310" s="85" t="s">
        <v>332</v>
      </c>
      <c r="G310"/>
      <c r="H310" t="s">
        <v>295</v>
      </c>
      <c r="I310" t="s">
        <v>197</v>
      </c>
      <c r="J310" t="s">
        <v>176</v>
      </c>
      <c r="K310" s="1">
        <v>9.3699999999999992</v>
      </c>
      <c r="L310" s="1">
        <v>9.3699999999999992</v>
      </c>
      <c r="M310" s="1">
        <v>0</v>
      </c>
      <c r="N310" s="1">
        <v>9.3699999999999992</v>
      </c>
      <c r="O310" s="1">
        <v>693.38</v>
      </c>
      <c r="P310" s="1">
        <v>693.38</v>
      </c>
      <c r="Q310" s="1">
        <v>0</v>
      </c>
      <c r="R310" s="1">
        <v>574.91999999999996</v>
      </c>
      <c r="S310" t="s">
        <v>12</v>
      </c>
      <c r="T310" s="13">
        <v>45886</v>
      </c>
      <c r="U310" s="1" t="str">
        <f>IF(ESTIMATIVA[[#This Row],[QT_AREA_REAL]]&gt;0,"1- Colhido","2- à Colher")</f>
        <v>1- Colhido</v>
      </c>
      <c r="V310" s="1" t="str">
        <f>IF(ESTIMATIVA[[#This Row],[QT_AREA_REST1]]&gt;0,"Reestimativa 1",IF(ESTIMATIVA[[#This Row],[QT_AREA_REAL]]=0,"Reestimativa 1","Realizado"))</f>
        <v>Reestimativa 1</v>
      </c>
      <c r="W310" s="1" t="str">
        <f>IF(ESTIMATIVA[[#This Row],[QT_AREA_REST2]]&gt;0,"Reestimativa 2",IF(ESTIMATIVA[[#This Row],[QT_AREA_REAL]]=0,"Reestimativa 2","Realizado"))</f>
        <v>Realizado</v>
      </c>
      <c r="X310" s="1">
        <f>ESTIMATIVA[[#This Row],[QT_AREA_EST]]</f>
        <v>9.3699999999999992</v>
      </c>
      <c r="Y310" s="1">
        <f>IF(ESTIMATIVA[[#This Row],[QT_AREA_REST1]]&gt;0,ESTIMATIVA[[#This Row],[QT_AREA_REST1]],
  IF(ESTIMATIVA[[#This Row],[QT_AREA_REAL]]&gt;0,ESTIMATIVA[[#This Row],[QT_AREA_REAL]],ESTIMATIVA[[#This Row],[QT_AREA_EST]]))</f>
        <v>9.3699999999999992</v>
      </c>
      <c r="Z31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9.3699999999999992</v>
      </c>
      <c r="AA310" s="1">
        <f>ESTIMATIVA[[#This Row],[QT_CANA_EST]]</f>
        <v>693.38</v>
      </c>
      <c r="AB310" s="1">
        <f>IF(ESTIMATIVA[[#This Row],[QT_CANA_REST1]]&gt;0,ESTIMATIVA[[#This Row],[QT_CANA_REST1]],
  IF(ESTIMATIVA[[#This Row],[QT_CANA_REAL]]&gt;0,ESTIMATIVA[[#This Row],[QT_CANA_REAL]],ESTIMATIVA[[#This Row],[QT_CANA_EST]]))</f>
        <v>693.38</v>
      </c>
      <c r="AC31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574.91999999999996</v>
      </c>
      <c r="AD310" s="1">
        <f>IF(ESTIMATIVA[[#This Row],[QT_AREA_REAL]]&gt;0,ESTIMATIVA[[#This Row],[QT_CANA_REAL]],ESTIMATIVA[[#This Row],[QT_CANA_EST]])</f>
        <v>574.91999999999996</v>
      </c>
      <c r="AE310" s="1">
        <f>IF(ESTIMATIVA[[#This Row],[QT_AREA_REAL]]&gt;0,ESTIMATIVA[[#This Row],[QT_CANA_REAL]],ESTIMATIVA[[#This Row],[QT_CANA_REST1]])</f>
        <v>574.91999999999996</v>
      </c>
      <c r="AF310" s="1">
        <f>IF(ESTIMATIVA[[#This Row],[QT_AREA_REAL]]&gt;0,ESTIMATIVA[[#This Row],[QT_CANA_REAL]],ESTIMATIVA[[#This Row],[QT_CANA_REST2]])</f>
        <v>574.91999999999996</v>
      </c>
      <c r="AG310" s="1" t="str">
        <f>IF(COUNTIFS(GEADA!A:A,VALUE(ESTIMATIVA[[#This Row],[CD_UPNIVEL1]]&amp;TEXT(ESTIMATIVA[[#This Row],[CD_UPNIVEL3]],"0000")))&gt;0,"S","N")</f>
        <v>N</v>
      </c>
      <c r="AH31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10" s="55" t="str">
        <f>IF(ESTIMATIVA[[#This Row],[TP_CULTIVO]]="Irrigado",_xlfn.MAXIFS(IRRIGADO!J:J,IRRIGADO!C:C,ESTIMATIVA[[#This Row],[CD_UPNIVEL1]],IRRIGADO!E:E,ESTIMATIVA[[#This Row],[CD_UPNIVEL3]]),"")</f>
        <v/>
      </c>
      <c r="AJ31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10" s="1">
        <f>COUNTIFS(Apresentação!$E$23:$E$29,ESTIMATIVA[[#This Row],[CD_UPNIVEL1]])</f>
        <v>0</v>
      </c>
    </row>
    <row r="311" spans="1:37" x14ac:dyDescent="0.3">
      <c r="A311">
        <v>20314</v>
      </c>
      <c r="B311" t="s">
        <v>27</v>
      </c>
      <c r="C311">
        <v>14</v>
      </c>
      <c r="D311">
        <v>6</v>
      </c>
      <c r="E311" t="s">
        <v>261</v>
      </c>
      <c r="F311" s="85" t="s">
        <v>332</v>
      </c>
      <c r="G311"/>
      <c r="H311" t="s">
        <v>295</v>
      </c>
      <c r="I311" t="s">
        <v>197</v>
      </c>
      <c r="J311" t="s">
        <v>176</v>
      </c>
      <c r="K311" s="1">
        <v>3.69</v>
      </c>
      <c r="L311" s="1">
        <v>3.69</v>
      </c>
      <c r="M311" s="1">
        <v>0</v>
      </c>
      <c r="N311" s="1">
        <v>3.69</v>
      </c>
      <c r="O311" s="1">
        <v>273.06</v>
      </c>
      <c r="P311" s="1">
        <v>273.06</v>
      </c>
      <c r="Q311" s="1">
        <v>0</v>
      </c>
      <c r="R311" s="1">
        <v>226.43</v>
      </c>
      <c r="S311" t="s">
        <v>12</v>
      </c>
      <c r="T311" s="13">
        <v>45886</v>
      </c>
      <c r="U311" s="1" t="str">
        <f>IF(ESTIMATIVA[[#This Row],[QT_AREA_REAL]]&gt;0,"1- Colhido","2- à Colher")</f>
        <v>1- Colhido</v>
      </c>
      <c r="V311" s="1" t="str">
        <f>IF(ESTIMATIVA[[#This Row],[QT_AREA_REST1]]&gt;0,"Reestimativa 1",IF(ESTIMATIVA[[#This Row],[QT_AREA_REAL]]=0,"Reestimativa 1","Realizado"))</f>
        <v>Reestimativa 1</v>
      </c>
      <c r="W311" s="1" t="str">
        <f>IF(ESTIMATIVA[[#This Row],[QT_AREA_REST2]]&gt;0,"Reestimativa 2",IF(ESTIMATIVA[[#This Row],[QT_AREA_REAL]]=0,"Reestimativa 2","Realizado"))</f>
        <v>Realizado</v>
      </c>
      <c r="X311" s="1">
        <f>ESTIMATIVA[[#This Row],[QT_AREA_EST]]</f>
        <v>3.69</v>
      </c>
      <c r="Y311" s="1">
        <f>IF(ESTIMATIVA[[#This Row],[QT_AREA_REST1]]&gt;0,ESTIMATIVA[[#This Row],[QT_AREA_REST1]],
  IF(ESTIMATIVA[[#This Row],[QT_AREA_REAL]]&gt;0,ESTIMATIVA[[#This Row],[QT_AREA_REAL]],ESTIMATIVA[[#This Row],[QT_AREA_EST]]))</f>
        <v>3.69</v>
      </c>
      <c r="Z31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3.69</v>
      </c>
      <c r="AA311" s="1">
        <f>ESTIMATIVA[[#This Row],[QT_CANA_EST]]</f>
        <v>273.06</v>
      </c>
      <c r="AB311" s="1">
        <f>IF(ESTIMATIVA[[#This Row],[QT_CANA_REST1]]&gt;0,ESTIMATIVA[[#This Row],[QT_CANA_REST1]],
  IF(ESTIMATIVA[[#This Row],[QT_CANA_REAL]]&gt;0,ESTIMATIVA[[#This Row],[QT_CANA_REAL]],ESTIMATIVA[[#This Row],[QT_CANA_EST]]))</f>
        <v>273.06</v>
      </c>
      <c r="AC31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226.43</v>
      </c>
      <c r="AD311" s="1">
        <f>IF(ESTIMATIVA[[#This Row],[QT_AREA_REAL]]&gt;0,ESTIMATIVA[[#This Row],[QT_CANA_REAL]],ESTIMATIVA[[#This Row],[QT_CANA_EST]])</f>
        <v>226.43</v>
      </c>
      <c r="AE311" s="1">
        <f>IF(ESTIMATIVA[[#This Row],[QT_AREA_REAL]]&gt;0,ESTIMATIVA[[#This Row],[QT_CANA_REAL]],ESTIMATIVA[[#This Row],[QT_CANA_REST1]])</f>
        <v>226.43</v>
      </c>
      <c r="AF311" s="1">
        <f>IF(ESTIMATIVA[[#This Row],[QT_AREA_REAL]]&gt;0,ESTIMATIVA[[#This Row],[QT_CANA_REAL]],ESTIMATIVA[[#This Row],[QT_CANA_REST2]])</f>
        <v>226.43</v>
      </c>
      <c r="AG311" s="1" t="str">
        <f>IF(COUNTIFS(GEADA!A:A,VALUE(ESTIMATIVA[[#This Row],[CD_UPNIVEL1]]&amp;TEXT(ESTIMATIVA[[#This Row],[CD_UPNIVEL3]],"0000")))&gt;0,"S","N")</f>
        <v>N</v>
      </c>
      <c r="AH31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11" s="55" t="str">
        <f>IF(ESTIMATIVA[[#This Row],[TP_CULTIVO]]="Irrigado",_xlfn.MAXIFS(IRRIGADO!J:J,IRRIGADO!C:C,ESTIMATIVA[[#This Row],[CD_UPNIVEL1]],IRRIGADO!E:E,ESTIMATIVA[[#This Row],[CD_UPNIVEL3]]),"")</f>
        <v/>
      </c>
      <c r="AJ31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11" s="1">
        <f>COUNTIFS(Apresentação!$E$23:$E$29,ESTIMATIVA[[#This Row],[CD_UPNIVEL1]])</f>
        <v>0</v>
      </c>
    </row>
    <row r="312" spans="1:37" x14ac:dyDescent="0.3">
      <c r="A312">
        <v>20314</v>
      </c>
      <c r="B312" t="s">
        <v>27</v>
      </c>
      <c r="C312">
        <v>15</v>
      </c>
      <c r="D312">
        <v>6</v>
      </c>
      <c r="E312" t="s">
        <v>261</v>
      </c>
      <c r="F312" s="85" t="s">
        <v>332</v>
      </c>
      <c r="G312"/>
      <c r="H312" t="s">
        <v>295</v>
      </c>
      <c r="I312" t="s">
        <v>197</v>
      </c>
      <c r="J312" t="s">
        <v>176</v>
      </c>
      <c r="K312" s="1">
        <v>11.58</v>
      </c>
      <c r="L312" s="1">
        <v>11.58</v>
      </c>
      <c r="M312" s="1">
        <v>0</v>
      </c>
      <c r="N312" s="1">
        <v>11.58</v>
      </c>
      <c r="O312" s="1">
        <v>856.92</v>
      </c>
      <c r="P312" s="1">
        <v>856.92</v>
      </c>
      <c r="Q312" s="1">
        <v>0</v>
      </c>
      <c r="R312" s="1">
        <v>710.99</v>
      </c>
      <c r="S312" t="s">
        <v>12</v>
      </c>
      <c r="T312" s="13">
        <v>45886</v>
      </c>
      <c r="U312" s="1" t="str">
        <f>IF(ESTIMATIVA[[#This Row],[QT_AREA_REAL]]&gt;0,"1- Colhido","2- à Colher")</f>
        <v>1- Colhido</v>
      </c>
      <c r="V312" s="1" t="str">
        <f>IF(ESTIMATIVA[[#This Row],[QT_AREA_REST1]]&gt;0,"Reestimativa 1",IF(ESTIMATIVA[[#This Row],[QT_AREA_REAL]]=0,"Reestimativa 1","Realizado"))</f>
        <v>Reestimativa 1</v>
      </c>
      <c r="W312" s="1" t="str">
        <f>IF(ESTIMATIVA[[#This Row],[QT_AREA_REST2]]&gt;0,"Reestimativa 2",IF(ESTIMATIVA[[#This Row],[QT_AREA_REAL]]=0,"Reestimativa 2","Realizado"))</f>
        <v>Realizado</v>
      </c>
      <c r="X312" s="1">
        <f>ESTIMATIVA[[#This Row],[QT_AREA_EST]]</f>
        <v>11.58</v>
      </c>
      <c r="Y312" s="1">
        <f>IF(ESTIMATIVA[[#This Row],[QT_AREA_REST1]]&gt;0,ESTIMATIVA[[#This Row],[QT_AREA_REST1]],
  IF(ESTIMATIVA[[#This Row],[QT_AREA_REAL]]&gt;0,ESTIMATIVA[[#This Row],[QT_AREA_REAL]],ESTIMATIVA[[#This Row],[QT_AREA_EST]]))</f>
        <v>11.58</v>
      </c>
      <c r="Z31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11.58</v>
      </c>
      <c r="AA312" s="1">
        <f>ESTIMATIVA[[#This Row],[QT_CANA_EST]]</f>
        <v>856.92</v>
      </c>
      <c r="AB312" s="1">
        <f>IF(ESTIMATIVA[[#This Row],[QT_CANA_REST1]]&gt;0,ESTIMATIVA[[#This Row],[QT_CANA_REST1]],
  IF(ESTIMATIVA[[#This Row],[QT_CANA_REAL]]&gt;0,ESTIMATIVA[[#This Row],[QT_CANA_REAL]],ESTIMATIVA[[#This Row],[QT_CANA_EST]]))</f>
        <v>856.92</v>
      </c>
      <c r="AC31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710.99</v>
      </c>
      <c r="AD312" s="1">
        <f>IF(ESTIMATIVA[[#This Row],[QT_AREA_REAL]]&gt;0,ESTIMATIVA[[#This Row],[QT_CANA_REAL]],ESTIMATIVA[[#This Row],[QT_CANA_EST]])</f>
        <v>710.99</v>
      </c>
      <c r="AE312" s="1">
        <f>IF(ESTIMATIVA[[#This Row],[QT_AREA_REAL]]&gt;0,ESTIMATIVA[[#This Row],[QT_CANA_REAL]],ESTIMATIVA[[#This Row],[QT_CANA_REST1]])</f>
        <v>710.99</v>
      </c>
      <c r="AF312" s="1">
        <f>IF(ESTIMATIVA[[#This Row],[QT_AREA_REAL]]&gt;0,ESTIMATIVA[[#This Row],[QT_CANA_REAL]],ESTIMATIVA[[#This Row],[QT_CANA_REST2]])</f>
        <v>710.99</v>
      </c>
      <c r="AG312" s="1" t="str">
        <f>IF(COUNTIFS(GEADA!A:A,VALUE(ESTIMATIVA[[#This Row],[CD_UPNIVEL1]]&amp;TEXT(ESTIMATIVA[[#This Row],[CD_UPNIVEL3]],"0000")))&gt;0,"S","N")</f>
        <v>N</v>
      </c>
      <c r="AH31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12" s="55" t="str">
        <f>IF(ESTIMATIVA[[#This Row],[TP_CULTIVO]]="Irrigado",_xlfn.MAXIFS(IRRIGADO!J:J,IRRIGADO!C:C,ESTIMATIVA[[#This Row],[CD_UPNIVEL1]],IRRIGADO!E:E,ESTIMATIVA[[#This Row],[CD_UPNIVEL3]]),"")</f>
        <v/>
      </c>
      <c r="AJ31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12" s="1">
        <f>COUNTIFS(Apresentação!$E$23:$E$29,ESTIMATIVA[[#This Row],[CD_UPNIVEL1]])</f>
        <v>0</v>
      </c>
    </row>
    <row r="313" spans="1:37" x14ac:dyDescent="0.3">
      <c r="A313">
        <v>20314</v>
      </c>
      <c r="B313" t="s">
        <v>27</v>
      </c>
      <c r="C313">
        <v>16</v>
      </c>
      <c r="D313">
        <v>6</v>
      </c>
      <c r="E313" t="s">
        <v>261</v>
      </c>
      <c r="F313" s="85" t="s">
        <v>332</v>
      </c>
      <c r="G313"/>
      <c r="H313" t="s">
        <v>295</v>
      </c>
      <c r="I313" t="s">
        <v>197</v>
      </c>
      <c r="J313" t="s">
        <v>176</v>
      </c>
      <c r="K313" s="1">
        <v>10.97</v>
      </c>
      <c r="L313" s="1">
        <v>10.97</v>
      </c>
      <c r="M313" s="1">
        <v>0</v>
      </c>
      <c r="N313" s="1">
        <v>10.97</v>
      </c>
      <c r="O313" s="1">
        <v>811.78</v>
      </c>
      <c r="P313" s="1">
        <v>855.66</v>
      </c>
      <c r="Q313" s="1">
        <v>0</v>
      </c>
      <c r="R313" s="1">
        <v>710.16</v>
      </c>
      <c r="S313" t="s">
        <v>12</v>
      </c>
      <c r="T313" s="13">
        <v>45886</v>
      </c>
      <c r="U313" s="1" t="str">
        <f>IF(ESTIMATIVA[[#This Row],[QT_AREA_REAL]]&gt;0,"1- Colhido","2- à Colher")</f>
        <v>1- Colhido</v>
      </c>
      <c r="V313" s="1" t="str">
        <f>IF(ESTIMATIVA[[#This Row],[QT_AREA_REST1]]&gt;0,"Reestimativa 1",IF(ESTIMATIVA[[#This Row],[QT_AREA_REAL]]=0,"Reestimativa 1","Realizado"))</f>
        <v>Reestimativa 1</v>
      </c>
      <c r="W313" s="1" t="str">
        <f>IF(ESTIMATIVA[[#This Row],[QT_AREA_REST2]]&gt;0,"Reestimativa 2",IF(ESTIMATIVA[[#This Row],[QT_AREA_REAL]]=0,"Reestimativa 2","Realizado"))</f>
        <v>Realizado</v>
      </c>
      <c r="X313" s="1">
        <f>ESTIMATIVA[[#This Row],[QT_AREA_EST]]</f>
        <v>10.97</v>
      </c>
      <c r="Y313" s="1">
        <f>IF(ESTIMATIVA[[#This Row],[QT_AREA_REST1]]&gt;0,ESTIMATIVA[[#This Row],[QT_AREA_REST1]],
  IF(ESTIMATIVA[[#This Row],[QT_AREA_REAL]]&gt;0,ESTIMATIVA[[#This Row],[QT_AREA_REAL]],ESTIMATIVA[[#This Row],[QT_AREA_EST]]))</f>
        <v>10.97</v>
      </c>
      <c r="Z31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10.97</v>
      </c>
      <c r="AA313" s="1">
        <f>ESTIMATIVA[[#This Row],[QT_CANA_EST]]</f>
        <v>811.78</v>
      </c>
      <c r="AB313" s="1">
        <f>IF(ESTIMATIVA[[#This Row],[QT_CANA_REST1]]&gt;0,ESTIMATIVA[[#This Row],[QT_CANA_REST1]],
  IF(ESTIMATIVA[[#This Row],[QT_CANA_REAL]]&gt;0,ESTIMATIVA[[#This Row],[QT_CANA_REAL]],ESTIMATIVA[[#This Row],[QT_CANA_EST]]))</f>
        <v>855.66</v>
      </c>
      <c r="AC31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710.16</v>
      </c>
      <c r="AD313" s="1">
        <f>IF(ESTIMATIVA[[#This Row],[QT_AREA_REAL]]&gt;0,ESTIMATIVA[[#This Row],[QT_CANA_REAL]],ESTIMATIVA[[#This Row],[QT_CANA_EST]])</f>
        <v>710.16</v>
      </c>
      <c r="AE313" s="1">
        <f>IF(ESTIMATIVA[[#This Row],[QT_AREA_REAL]]&gt;0,ESTIMATIVA[[#This Row],[QT_CANA_REAL]],ESTIMATIVA[[#This Row],[QT_CANA_REST1]])</f>
        <v>710.16</v>
      </c>
      <c r="AF313" s="1">
        <f>IF(ESTIMATIVA[[#This Row],[QT_AREA_REAL]]&gt;0,ESTIMATIVA[[#This Row],[QT_CANA_REAL]],ESTIMATIVA[[#This Row],[QT_CANA_REST2]])</f>
        <v>710.16</v>
      </c>
      <c r="AG313" s="1" t="str">
        <f>IF(COUNTIFS(GEADA!A:A,VALUE(ESTIMATIVA[[#This Row],[CD_UPNIVEL1]]&amp;TEXT(ESTIMATIVA[[#This Row],[CD_UPNIVEL3]],"0000")))&gt;0,"S","N")</f>
        <v>N</v>
      </c>
      <c r="AH31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13" s="55" t="str">
        <f>IF(ESTIMATIVA[[#This Row],[TP_CULTIVO]]="Irrigado",_xlfn.MAXIFS(IRRIGADO!J:J,IRRIGADO!C:C,ESTIMATIVA[[#This Row],[CD_UPNIVEL1]],IRRIGADO!E:E,ESTIMATIVA[[#This Row],[CD_UPNIVEL3]]),"")</f>
        <v/>
      </c>
      <c r="AJ31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13" s="1">
        <f>COUNTIFS(Apresentação!$E$23:$E$29,ESTIMATIVA[[#This Row],[CD_UPNIVEL1]])</f>
        <v>0</v>
      </c>
    </row>
    <row r="314" spans="1:37" x14ac:dyDescent="0.3">
      <c r="A314">
        <v>20314</v>
      </c>
      <c r="B314" t="s">
        <v>27</v>
      </c>
      <c r="C314">
        <v>17</v>
      </c>
      <c r="D314">
        <v>6</v>
      </c>
      <c r="E314" t="s">
        <v>261</v>
      </c>
      <c r="F314" s="85" t="s">
        <v>332</v>
      </c>
      <c r="G314"/>
      <c r="H314" t="s">
        <v>295</v>
      </c>
      <c r="I314" t="s">
        <v>197</v>
      </c>
      <c r="J314" t="s">
        <v>176</v>
      </c>
      <c r="K314" s="1">
        <v>9.74</v>
      </c>
      <c r="L314" s="1">
        <v>9.74</v>
      </c>
      <c r="M314" s="1">
        <v>0</v>
      </c>
      <c r="N314" s="1">
        <v>9.74</v>
      </c>
      <c r="O314" s="1">
        <v>720.76</v>
      </c>
      <c r="P314" s="1">
        <v>759.72</v>
      </c>
      <c r="Q314" s="1">
        <v>0</v>
      </c>
      <c r="R314" s="1">
        <v>631.38</v>
      </c>
      <c r="S314" t="s">
        <v>12</v>
      </c>
      <c r="T314" s="13">
        <v>45886</v>
      </c>
      <c r="U314" s="1" t="str">
        <f>IF(ESTIMATIVA[[#This Row],[QT_AREA_REAL]]&gt;0,"1- Colhido","2- à Colher")</f>
        <v>1- Colhido</v>
      </c>
      <c r="V314" s="1" t="str">
        <f>IF(ESTIMATIVA[[#This Row],[QT_AREA_REST1]]&gt;0,"Reestimativa 1",IF(ESTIMATIVA[[#This Row],[QT_AREA_REAL]]=0,"Reestimativa 1","Realizado"))</f>
        <v>Reestimativa 1</v>
      </c>
      <c r="W314" s="1" t="str">
        <f>IF(ESTIMATIVA[[#This Row],[QT_AREA_REST2]]&gt;0,"Reestimativa 2",IF(ESTIMATIVA[[#This Row],[QT_AREA_REAL]]=0,"Reestimativa 2","Realizado"))</f>
        <v>Realizado</v>
      </c>
      <c r="X314" s="1">
        <f>ESTIMATIVA[[#This Row],[QT_AREA_EST]]</f>
        <v>9.74</v>
      </c>
      <c r="Y314" s="1">
        <f>IF(ESTIMATIVA[[#This Row],[QT_AREA_REST1]]&gt;0,ESTIMATIVA[[#This Row],[QT_AREA_REST1]],
  IF(ESTIMATIVA[[#This Row],[QT_AREA_REAL]]&gt;0,ESTIMATIVA[[#This Row],[QT_AREA_REAL]],ESTIMATIVA[[#This Row],[QT_AREA_EST]]))</f>
        <v>9.74</v>
      </c>
      <c r="Z31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9.74</v>
      </c>
      <c r="AA314" s="1">
        <f>ESTIMATIVA[[#This Row],[QT_CANA_EST]]</f>
        <v>720.76</v>
      </c>
      <c r="AB314" s="1">
        <f>IF(ESTIMATIVA[[#This Row],[QT_CANA_REST1]]&gt;0,ESTIMATIVA[[#This Row],[QT_CANA_REST1]],
  IF(ESTIMATIVA[[#This Row],[QT_CANA_REAL]]&gt;0,ESTIMATIVA[[#This Row],[QT_CANA_REAL]],ESTIMATIVA[[#This Row],[QT_CANA_EST]]))</f>
        <v>759.72</v>
      </c>
      <c r="AC31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631.38</v>
      </c>
      <c r="AD314" s="1">
        <f>IF(ESTIMATIVA[[#This Row],[QT_AREA_REAL]]&gt;0,ESTIMATIVA[[#This Row],[QT_CANA_REAL]],ESTIMATIVA[[#This Row],[QT_CANA_EST]])</f>
        <v>631.38</v>
      </c>
      <c r="AE314" s="1">
        <f>IF(ESTIMATIVA[[#This Row],[QT_AREA_REAL]]&gt;0,ESTIMATIVA[[#This Row],[QT_CANA_REAL]],ESTIMATIVA[[#This Row],[QT_CANA_REST1]])</f>
        <v>631.38</v>
      </c>
      <c r="AF314" s="1">
        <f>IF(ESTIMATIVA[[#This Row],[QT_AREA_REAL]]&gt;0,ESTIMATIVA[[#This Row],[QT_CANA_REAL]],ESTIMATIVA[[#This Row],[QT_CANA_REST2]])</f>
        <v>631.38</v>
      </c>
      <c r="AG314" s="1" t="str">
        <f>IF(COUNTIFS(GEADA!A:A,VALUE(ESTIMATIVA[[#This Row],[CD_UPNIVEL1]]&amp;TEXT(ESTIMATIVA[[#This Row],[CD_UPNIVEL3]],"0000")))&gt;0,"S","N")</f>
        <v>N</v>
      </c>
      <c r="AH31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14" s="55" t="str">
        <f>IF(ESTIMATIVA[[#This Row],[TP_CULTIVO]]="Irrigado",_xlfn.MAXIFS(IRRIGADO!J:J,IRRIGADO!C:C,ESTIMATIVA[[#This Row],[CD_UPNIVEL1]],IRRIGADO!E:E,ESTIMATIVA[[#This Row],[CD_UPNIVEL3]]),"")</f>
        <v/>
      </c>
      <c r="AJ31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14" s="1">
        <f>COUNTIFS(Apresentação!$E$23:$E$29,ESTIMATIVA[[#This Row],[CD_UPNIVEL1]])</f>
        <v>0</v>
      </c>
    </row>
    <row r="315" spans="1:37" x14ac:dyDescent="0.3">
      <c r="A315">
        <v>20314</v>
      </c>
      <c r="B315" t="s">
        <v>27</v>
      </c>
      <c r="C315">
        <v>18</v>
      </c>
      <c r="D315">
        <v>4</v>
      </c>
      <c r="E315" t="s">
        <v>265</v>
      </c>
      <c r="F315" s="85" t="s">
        <v>332</v>
      </c>
      <c r="G315"/>
      <c r="H315" t="s">
        <v>295</v>
      </c>
      <c r="I315" t="s">
        <v>208</v>
      </c>
      <c r="J315" t="s">
        <v>176</v>
      </c>
      <c r="K315" s="1">
        <v>37.31</v>
      </c>
      <c r="L315" s="1">
        <v>37.31</v>
      </c>
      <c r="M315" s="1">
        <v>0</v>
      </c>
      <c r="N315" s="1">
        <v>37.31</v>
      </c>
      <c r="O315" s="1">
        <v>3134.04</v>
      </c>
      <c r="P315" s="1">
        <v>3171.35</v>
      </c>
      <c r="Q315" s="1">
        <v>0</v>
      </c>
      <c r="R315" s="1">
        <v>2282.71</v>
      </c>
      <c r="S315" t="s">
        <v>12</v>
      </c>
      <c r="T315" s="13">
        <v>45886</v>
      </c>
      <c r="U315" s="1" t="str">
        <f>IF(ESTIMATIVA[[#This Row],[QT_AREA_REAL]]&gt;0,"1- Colhido","2- à Colher")</f>
        <v>1- Colhido</v>
      </c>
      <c r="V315" s="1" t="str">
        <f>IF(ESTIMATIVA[[#This Row],[QT_AREA_REST1]]&gt;0,"Reestimativa 1",IF(ESTIMATIVA[[#This Row],[QT_AREA_REAL]]=0,"Reestimativa 1","Realizado"))</f>
        <v>Reestimativa 1</v>
      </c>
      <c r="W315" s="1" t="str">
        <f>IF(ESTIMATIVA[[#This Row],[QT_AREA_REST2]]&gt;0,"Reestimativa 2",IF(ESTIMATIVA[[#This Row],[QT_AREA_REAL]]=0,"Reestimativa 2","Realizado"))</f>
        <v>Realizado</v>
      </c>
      <c r="X315" s="1">
        <f>ESTIMATIVA[[#This Row],[QT_AREA_EST]]</f>
        <v>37.31</v>
      </c>
      <c r="Y315" s="1">
        <f>IF(ESTIMATIVA[[#This Row],[QT_AREA_REST1]]&gt;0,ESTIMATIVA[[#This Row],[QT_AREA_REST1]],
  IF(ESTIMATIVA[[#This Row],[QT_AREA_REAL]]&gt;0,ESTIMATIVA[[#This Row],[QT_AREA_REAL]],ESTIMATIVA[[#This Row],[QT_AREA_EST]]))</f>
        <v>37.31</v>
      </c>
      <c r="Z31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37.31</v>
      </c>
      <c r="AA315" s="1">
        <f>ESTIMATIVA[[#This Row],[QT_CANA_EST]]</f>
        <v>3134.04</v>
      </c>
      <c r="AB315" s="1">
        <f>IF(ESTIMATIVA[[#This Row],[QT_CANA_REST1]]&gt;0,ESTIMATIVA[[#This Row],[QT_CANA_REST1]],
  IF(ESTIMATIVA[[#This Row],[QT_CANA_REAL]]&gt;0,ESTIMATIVA[[#This Row],[QT_CANA_REAL]],ESTIMATIVA[[#This Row],[QT_CANA_EST]]))</f>
        <v>3171.35</v>
      </c>
      <c r="AC31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2282.71</v>
      </c>
      <c r="AD315" s="1">
        <f>IF(ESTIMATIVA[[#This Row],[QT_AREA_REAL]]&gt;0,ESTIMATIVA[[#This Row],[QT_CANA_REAL]],ESTIMATIVA[[#This Row],[QT_CANA_EST]])</f>
        <v>2282.71</v>
      </c>
      <c r="AE315" s="1">
        <f>IF(ESTIMATIVA[[#This Row],[QT_AREA_REAL]]&gt;0,ESTIMATIVA[[#This Row],[QT_CANA_REAL]],ESTIMATIVA[[#This Row],[QT_CANA_REST1]])</f>
        <v>2282.71</v>
      </c>
      <c r="AF315" s="1">
        <f>IF(ESTIMATIVA[[#This Row],[QT_AREA_REAL]]&gt;0,ESTIMATIVA[[#This Row],[QT_CANA_REAL]],ESTIMATIVA[[#This Row],[QT_CANA_REST2]])</f>
        <v>2282.71</v>
      </c>
      <c r="AG315" s="1" t="str">
        <f>IF(COUNTIFS(GEADA!A:A,VALUE(ESTIMATIVA[[#This Row],[CD_UPNIVEL1]]&amp;TEXT(ESTIMATIVA[[#This Row],[CD_UPNIVEL3]],"0000")))&gt;0,"S","N")</f>
        <v>N</v>
      </c>
      <c r="AH31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15" s="55" t="str">
        <f>IF(ESTIMATIVA[[#This Row],[TP_CULTIVO]]="Irrigado",_xlfn.MAXIFS(IRRIGADO!J:J,IRRIGADO!C:C,ESTIMATIVA[[#This Row],[CD_UPNIVEL1]],IRRIGADO!E:E,ESTIMATIVA[[#This Row],[CD_UPNIVEL3]]),"")</f>
        <v/>
      </c>
      <c r="AJ31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15" s="1">
        <f>COUNTIFS(Apresentação!$E$23:$E$29,ESTIMATIVA[[#This Row],[CD_UPNIVEL1]])</f>
        <v>0</v>
      </c>
    </row>
    <row r="316" spans="1:37" x14ac:dyDescent="0.3">
      <c r="A316">
        <v>20314</v>
      </c>
      <c r="B316" t="s">
        <v>27</v>
      </c>
      <c r="C316">
        <v>19</v>
      </c>
      <c r="D316">
        <v>4</v>
      </c>
      <c r="E316" t="s">
        <v>265</v>
      </c>
      <c r="F316" s="85" t="s">
        <v>332</v>
      </c>
      <c r="G316"/>
      <c r="H316" t="s">
        <v>295</v>
      </c>
      <c r="I316" t="s">
        <v>204</v>
      </c>
      <c r="J316" t="s">
        <v>176</v>
      </c>
      <c r="K316" s="1">
        <v>52.83</v>
      </c>
      <c r="L316" s="1">
        <v>52.83</v>
      </c>
      <c r="M316" s="1">
        <v>0</v>
      </c>
      <c r="N316" s="1">
        <v>52.83</v>
      </c>
      <c r="O316" s="1">
        <v>4437.72</v>
      </c>
      <c r="P316" s="1">
        <v>4490.55</v>
      </c>
      <c r="Q316" s="1">
        <v>0</v>
      </c>
      <c r="R316" s="1">
        <v>3233.01</v>
      </c>
      <c r="S316" t="s">
        <v>12</v>
      </c>
      <c r="T316" s="13">
        <v>45886</v>
      </c>
      <c r="U316" s="1" t="str">
        <f>IF(ESTIMATIVA[[#This Row],[QT_AREA_REAL]]&gt;0,"1- Colhido","2- à Colher")</f>
        <v>1- Colhido</v>
      </c>
      <c r="V316" s="1" t="str">
        <f>IF(ESTIMATIVA[[#This Row],[QT_AREA_REST1]]&gt;0,"Reestimativa 1",IF(ESTIMATIVA[[#This Row],[QT_AREA_REAL]]=0,"Reestimativa 1","Realizado"))</f>
        <v>Reestimativa 1</v>
      </c>
      <c r="W316" s="1" t="str">
        <f>IF(ESTIMATIVA[[#This Row],[QT_AREA_REST2]]&gt;0,"Reestimativa 2",IF(ESTIMATIVA[[#This Row],[QT_AREA_REAL]]=0,"Reestimativa 2","Realizado"))</f>
        <v>Realizado</v>
      </c>
      <c r="X316" s="1">
        <f>ESTIMATIVA[[#This Row],[QT_AREA_EST]]</f>
        <v>52.83</v>
      </c>
      <c r="Y316" s="1">
        <f>IF(ESTIMATIVA[[#This Row],[QT_AREA_REST1]]&gt;0,ESTIMATIVA[[#This Row],[QT_AREA_REST1]],
  IF(ESTIMATIVA[[#This Row],[QT_AREA_REAL]]&gt;0,ESTIMATIVA[[#This Row],[QT_AREA_REAL]],ESTIMATIVA[[#This Row],[QT_AREA_EST]]))</f>
        <v>52.83</v>
      </c>
      <c r="Z31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52.83</v>
      </c>
      <c r="AA316" s="1">
        <f>ESTIMATIVA[[#This Row],[QT_CANA_EST]]</f>
        <v>4437.72</v>
      </c>
      <c r="AB316" s="1">
        <f>IF(ESTIMATIVA[[#This Row],[QT_CANA_REST1]]&gt;0,ESTIMATIVA[[#This Row],[QT_CANA_REST1]],
  IF(ESTIMATIVA[[#This Row],[QT_CANA_REAL]]&gt;0,ESTIMATIVA[[#This Row],[QT_CANA_REAL]],ESTIMATIVA[[#This Row],[QT_CANA_EST]]))</f>
        <v>4490.55</v>
      </c>
      <c r="AC31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3233.01</v>
      </c>
      <c r="AD316" s="1">
        <f>IF(ESTIMATIVA[[#This Row],[QT_AREA_REAL]]&gt;0,ESTIMATIVA[[#This Row],[QT_CANA_REAL]],ESTIMATIVA[[#This Row],[QT_CANA_EST]])</f>
        <v>3233.01</v>
      </c>
      <c r="AE316" s="1">
        <f>IF(ESTIMATIVA[[#This Row],[QT_AREA_REAL]]&gt;0,ESTIMATIVA[[#This Row],[QT_CANA_REAL]],ESTIMATIVA[[#This Row],[QT_CANA_REST1]])</f>
        <v>3233.01</v>
      </c>
      <c r="AF316" s="1">
        <f>IF(ESTIMATIVA[[#This Row],[QT_AREA_REAL]]&gt;0,ESTIMATIVA[[#This Row],[QT_CANA_REAL]],ESTIMATIVA[[#This Row],[QT_CANA_REST2]])</f>
        <v>3233.01</v>
      </c>
      <c r="AG316" s="1" t="str">
        <f>IF(COUNTIFS(GEADA!A:A,VALUE(ESTIMATIVA[[#This Row],[CD_UPNIVEL1]]&amp;TEXT(ESTIMATIVA[[#This Row],[CD_UPNIVEL3]],"0000")))&gt;0,"S","N")</f>
        <v>N</v>
      </c>
      <c r="AH31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16" s="55" t="str">
        <f>IF(ESTIMATIVA[[#This Row],[TP_CULTIVO]]="Irrigado",_xlfn.MAXIFS(IRRIGADO!J:J,IRRIGADO!C:C,ESTIMATIVA[[#This Row],[CD_UPNIVEL1]],IRRIGADO!E:E,ESTIMATIVA[[#This Row],[CD_UPNIVEL3]]),"")</f>
        <v/>
      </c>
      <c r="AJ31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16" s="1">
        <f>COUNTIFS(Apresentação!$E$23:$E$29,ESTIMATIVA[[#This Row],[CD_UPNIVEL1]])</f>
        <v>0</v>
      </c>
    </row>
    <row r="317" spans="1:37" x14ac:dyDescent="0.3">
      <c r="A317">
        <v>20314</v>
      </c>
      <c r="B317" t="s">
        <v>27</v>
      </c>
      <c r="C317">
        <v>20</v>
      </c>
      <c r="D317">
        <v>4</v>
      </c>
      <c r="E317" t="s">
        <v>265</v>
      </c>
      <c r="F317" s="85" t="s">
        <v>332</v>
      </c>
      <c r="G317"/>
      <c r="H317" t="s">
        <v>295</v>
      </c>
      <c r="I317" t="s">
        <v>208</v>
      </c>
      <c r="J317" t="s">
        <v>176</v>
      </c>
      <c r="K317" s="1">
        <v>45.53</v>
      </c>
      <c r="L317" s="1">
        <v>45.53</v>
      </c>
      <c r="M317" s="1">
        <v>0</v>
      </c>
      <c r="N317" s="1">
        <v>45.53</v>
      </c>
      <c r="O317" s="1">
        <v>3824.52</v>
      </c>
      <c r="P317" s="1">
        <v>3870.05</v>
      </c>
      <c r="Q317" s="1">
        <v>0</v>
      </c>
      <c r="R317" s="1">
        <v>2785.94</v>
      </c>
      <c r="S317" t="s">
        <v>12</v>
      </c>
      <c r="T317" s="13">
        <v>45886</v>
      </c>
      <c r="U317" s="1" t="str">
        <f>IF(ESTIMATIVA[[#This Row],[QT_AREA_REAL]]&gt;0,"1- Colhido","2- à Colher")</f>
        <v>1- Colhido</v>
      </c>
      <c r="V317" s="1" t="str">
        <f>IF(ESTIMATIVA[[#This Row],[QT_AREA_REST1]]&gt;0,"Reestimativa 1",IF(ESTIMATIVA[[#This Row],[QT_AREA_REAL]]=0,"Reestimativa 1","Realizado"))</f>
        <v>Reestimativa 1</v>
      </c>
      <c r="W317" s="1" t="str">
        <f>IF(ESTIMATIVA[[#This Row],[QT_AREA_REST2]]&gt;0,"Reestimativa 2",IF(ESTIMATIVA[[#This Row],[QT_AREA_REAL]]=0,"Reestimativa 2","Realizado"))</f>
        <v>Realizado</v>
      </c>
      <c r="X317" s="1">
        <f>ESTIMATIVA[[#This Row],[QT_AREA_EST]]</f>
        <v>45.53</v>
      </c>
      <c r="Y317" s="1">
        <f>IF(ESTIMATIVA[[#This Row],[QT_AREA_REST1]]&gt;0,ESTIMATIVA[[#This Row],[QT_AREA_REST1]],
  IF(ESTIMATIVA[[#This Row],[QT_AREA_REAL]]&gt;0,ESTIMATIVA[[#This Row],[QT_AREA_REAL]],ESTIMATIVA[[#This Row],[QT_AREA_EST]]))</f>
        <v>45.53</v>
      </c>
      <c r="Z31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45.53</v>
      </c>
      <c r="AA317" s="1">
        <f>ESTIMATIVA[[#This Row],[QT_CANA_EST]]</f>
        <v>3824.52</v>
      </c>
      <c r="AB317" s="1">
        <f>IF(ESTIMATIVA[[#This Row],[QT_CANA_REST1]]&gt;0,ESTIMATIVA[[#This Row],[QT_CANA_REST1]],
  IF(ESTIMATIVA[[#This Row],[QT_CANA_REAL]]&gt;0,ESTIMATIVA[[#This Row],[QT_CANA_REAL]],ESTIMATIVA[[#This Row],[QT_CANA_EST]]))</f>
        <v>3870.05</v>
      </c>
      <c r="AC31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2785.94</v>
      </c>
      <c r="AD317" s="1">
        <f>IF(ESTIMATIVA[[#This Row],[QT_AREA_REAL]]&gt;0,ESTIMATIVA[[#This Row],[QT_CANA_REAL]],ESTIMATIVA[[#This Row],[QT_CANA_EST]])</f>
        <v>2785.94</v>
      </c>
      <c r="AE317" s="1">
        <f>IF(ESTIMATIVA[[#This Row],[QT_AREA_REAL]]&gt;0,ESTIMATIVA[[#This Row],[QT_CANA_REAL]],ESTIMATIVA[[#This Row],[QT_CANA_REST1]])</f>
        <v>2785.94</v>
      </c>
      <c r="AF317" s="1">
        <f>IF(ESTIMATIVA[[#This Row],[QT_AREA_REAL]]&gt;0,ESTIMATIVA[[#This Row],[QT_CANA_REAL]],ESTIMATIVA[[#This Row],[QT_CANA_REST2]])</f>
        <v>2785.94</v>
      </c>
      <c r="AG317" s="1" t="str">
        <f>IF(COUNTIFS(GEADA!A:A,VALUE(ESTIMATIVA[[#This Row],[CD_UPNIVEL1]]&amp;TEXT(ESTIMATIVA[[#This Row],[CD_UPNIVEL3]],"0000")))&gt;0,"S","N")</f>
        <v>N</v>
      </c>
      <c r="AH31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17" s="55" t="str">
        <f>IF(ESTIMATIVA[[#This Row],[TP_CULTIVO]]="Irrigado",_xlfn.MAXIFS(IRRIGADO!J:J,IRRIGADO!C:C,ESTIMATIVA[[#This Row],[CD_UPNIVEL1]],IRRIGADO!E:E,ESTIMATIVA[[#This Row],[CD_UPNIVEL3]]),"")</f>
        <v/>
      </c>
      <c r="AJ31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17" s="1">
        <f>COUNTIFS(Apresentação!$E$23:$E$29,ESTIMATIVA[[#This Row],[CD_UPNIVEL1]])</f>
        <v>0</v>
      </c>
    </row>
    <row r="318" spans="1:37" x14ac:dyDescent="0.3">
      <c r="A318">
        <v>20314</v>
      </c>
      <c r="B318" t="s">
        <v>27</v>
      </c>
      <c r="C318">
        <v>35</v>
      </c>
      <c r="D318">
        <v>6</v>
      </c>
      <c r="E318" t="s">
        <v>261</v>
      </c>
      <c r="F318" s="85" t="s">
        <v>332</v>
      </c>
      <c r="G318"/>
      <c r="H318" t="s">
        <v>295</v>
      </c>
      <c r="I318" t="s">
        <v>197</v>
      </c>
      <c r="J318" t="s">
        <v>176</v>
      </c>
      <c r="K318" s="1">
        <v>6.62</v>
      </c>
      <c r="L318" s="1">
        <v>6.62</v>
      </c>
      <c r="M318" s="1">
        <v>0</v>
      </c>
      <c r="N318" s="1">
        <v>6.62</v>
      </c>
      <c r="O318" s="1">
        <v>503.12</v>
      </c>
      <c r="P318" s="1">
        <v>503.12</v>
      </c>
      <c r="Q318" s="1">
        <v>0</v>
      </c>
      <c r="R318" s="1">
        <v>535.97</v>
      </c>
      <c r="S318" t="s">
        <v>12</v>
      </c>
      <c r="T318" s="13">
        <v>45886</v>
      </c>
      <c r="U318" s="1" t="str">
        <f>IF(ESTIMATIVA[[#This Row],[QT_AREA_REAL]]&gt;0,"1- Colhido","2- à Colher")</f>
        <v>1- Colhido</v>
      </c>
      <c r="V318" s="1" t="str">
        <f>IF(ESTIMATIVA[[#This Row],[QT_AREA_REST1]]&gt;0,"Reestimativa 1",IF(ESTIMATIVA[[#This Row],[QT_AREA_REAL]]=0,"Reestimativa 1","Realizado"))</f>
        <v>Reestimativa 1</v>
      </c>
      <c r="W318" s="1" t="str">
        <f>IF(ESTIMATIVA[[#This Row],[QT_AREA_REST2]]&gt;0,"Reestimativa 2",IF(ESTIMATIVA[[#This Row],[QT_AREA_REAL]]=0,"Reestimativa 2","Realizado"))</f>
        <v>Realizado</v>
      </c>
      <c r="X318" s="1">
        <f>ESTIMATIVA[[#This Row],[QT_AREA_EST]]</f>
        <v>6.62</v>
      </c>
      <c r="Y318" s="1">
        <f>IF(ESTIMATIVA[[#This Row],[QT_AREA_REST1]]&gt;0,ESTIMATIVA[[#This Row],[QT_AREA_REST1]],
  IF(ESTIMATIVA[[#This Row],[QT_AREA_REAL]]&gt;0,ESTIMATIVA[[#This Row],[QT_AREA_REAL]],ESTIMATIVA[[#This Row],[QT_AREA_EST]]))</f>
        <v>6.62</v>
      </c>
      <c r="Z31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6.62</v>
      </c>
      <c r="AA318" s="1">
        <f>ESTIMATIVA[[#This Row],[QT_CANA_EST]]</f>
        <v>503.12</v>
      </c>
      <c r="AB318" s="1">
        <f>IF(ESTIMATIVA[[#This Row],[QT_CANA_REST1]]&gt;0,ESTIMATIVA[[#This Row],[QT_CANA_REST1]],
  IF(ESTIMATIVA[[#This Row],[QT_CANA_REAL]]&gt;0,ESTIMATIVA[[#This Row],[QT_CANA_REAL]],ESTIMATIVA[[#This Row],[QT_CANA_EST]]))</f>
        <v>503.12</v>
      </c>
      <c r="AC31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535.97</v>
      </c>
      <c r="AD318" s="1">
        <f>IF(ESTIMATIVA[[#This Row],[QT_AREA_REAL]]&gt;0,ESTIMATIVA[[#This Row],[QT_CANA_REAL]],ESTIMATIVA[[#This Row],[QT_CANA_EST]])</f>
        <v>535.97</v>
      </c>
      <c r="AE318" s="1">
        <f>IF(ESTIMATIVA[[#This Row],[QT_AREA_REAL]]&gt;0,ESTIMATIVA[[#This Row],[QT_CANA_REAL]],ESTIMATIVA[[#This Row],[QT_CANA_REST1]])</f>
        <v>535.97</v>
      </c>
      <c r="AF318" s="1">
        <f>IF(ESTIMATIVA[[#This Row],[QT_AREA_REAL]]&gt;0,ESTIMATIVA[[#This Row],[QT_CANA_REAL]],ESTIMATIVA[[#This Row],[QT_CANA_REST2]])</f>
        <v>535.97</v>
      </c>
      <c r="AG318" s="1" t="str">
        <f>IF(COUNTIFS(GEADA!A:A,VALUE(ESTIMATIVA[[#This Row],[CD_UPNIVEL1]]&amp;TEXT(ESTIMATIVA[[#This Row],[CD_UPNIVEL3]],"0000")))&gt;0,"S","N")</f>
        <v>N</v>
      </c>
      <c r="AH31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18" s="55" t="str">
        <f>IF(ESTIMATIVA[[#This Row],[TP_CULTIVO]]="Irrigado",_xlfn.MAXIFS(IRRIGADO!J:J,IRRIGADO!C:C,ESTIMATIVA[[#This Row],[CD_UPNIVEL1]],IRRIGADO!E:E,ESTIMATIVA[[#This Row],[CD_UPNIVEL3]]),"")</f>
        <v/>
      </c>
      <c r="AJ31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18" s="1">
        <f>COUNTIFS(Apresentação!$E$23:$E$29,ESTIMATIVA[[#This Row],[CD_UPNIVEL1]])</f>
        <v>0</v>
      </c>
    </row>
    <row r="319" spans="1:37" x14ac:dyDescent="0.3">
      <c r="A319">
        <v>20314</v>
      </c>
      <c r="B319" t="s">
        <v>27</v>
      </c>
      <c r="C319">
        <v>36</v>
      </c>
      <c r="D319">
        <v>6</v>
      </c>
      <c r="E319" t="s">
        <v>261</v>
      </c>
      <c r="F319" s="85" t="s">
        <v>332</v>
      </c>
      <c r="G319"/>
      <c r="H319" t="s">
        <v>295</v>
      </c>
      <c r="I319" t="s">
        <v>197</v>
      </c>
      <c r="J319" t="s">
        <v>176</v>
      </c>
      <c r="K319" s="1">
        <v>4.54</v>
      </c>
      <c r="L319" s="1">
        <v>4.54</v>
      </c>
      <c r="M319" s="1">
        <v>0</v>
      </c>
      <c r="N319" s="1">
        <v>4.54</v>
      </c>
      <c r="O319" s="1">
        <v>345.04</v>
      </c>
      <c r="P319" s="1">
        <v>345.04</v>
      </c>
      <c r="Q319" s="1">
        <v>0</v>
      </c>
      <c r="R319" s="1">
        <v>367.6</v>
      </c>
      <c r="S319" t="s">
        <v>12</v>
      </c>
      <c r="T319" s="13">
        <v>45886</v>
      </c>
      <c r="U319" s="1" t="str">
        <f>IF(ESTIMATIVA[[#This Row],[QT_AREA_REAL]]&gt;0,"1- Colhido","2- à Colher")</f>
        <v>1- Colhido</v>
      </c>
      <c r="V319" s="1" t="str">
        <f>IF(ESTIMATIVA[[#This Row],[QT_AREA_REST1]]&gt;0,"Reestimativa 1",IF(ESTIMATIVA[[#This Row],[QT_AREA_REAL]]=0,"Reestimativa 1","Realizado"))</f>
        <v>Reestimativa 1</v>
      </c>
      <c r="W319" s="1" t="str">
        <f>IF(ESTIMATIVA[[#This Row],[QT_AREA_REST2]]&gt;0,"Reestimativa 2",IF(ESTIMATIVA[[#This Row],[QT_AREA_REAL]]=0,"Reestimativa 2","Realizado"))</f>
        <v>Realizado</v>
      </c>
      <c r="X319" s="1">
        <f>ESTIMATIVA[[#This Row],[QT_AREA_EST]]</f>
        <v>4.54</v>
      </c>
      <c r="Y319" s="1">
        <f>IF(ESTIMATIVA[[#This Row],[QT_AREA_REST1]]&gt;0,ESTIMATIVA[[#This Row],[QT_AREA_REST1]],
  IF(ESTIMATIVA[[#This Row],[QT_AREA_REAL]]&gt;0,ESTIMATIVA[[#This Row],[QT_AREA_REAL]],ESTIMATIVA[[#This Row],[QT_AREA_EST]]))</f>
        <v>4.54</v>
      </c>
      <c r="Z31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4.54</v>
      </c>
      <c r="AA319" s="1">
        <f>ESTIMATIVA[[#This Row],[QT_CANA_EST]]</f>
        <v>345.04</v>
      </c>
      <c r="AB319" s="1">
        <f>IF(ESTIMATIVA[[#This Row],[QT_CANA_REST1]]&gt;0,ESTIMATIVA[[#This Row],[QT_CANA_REST1]],
  IF(ESTIMATIVA[[#This Row],[QT_CANA_REAL]]&gt;0,ESTIMATIVA[[#This Row],[QT_CANA_REAL]],ESTIMATIVA[[#This Row],[QT_CANA_EST]]))</f>
        <v>345.04</v>
      </c>
      <c r="AC31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367.6</v>
      </c>
      <c r="AD319" s="1">
        <f>IF(ESTIMATIVA[[#This Row],[QT_AREA_REAL]]&gt;0,ESTIMATIVA[[#This Row],[QT_CANA_REAL]],ESTIMATIVA[[#This Row],[QT_CANA_EST]])</f>
        <v>367.6</v>
      </c>
      <c r="AE319" s="1">
        <f>IF(ESTIMATIVA[[#This Row],[QT_AREA_REAL]]&gt;0,ESTIMATIVA[[#This Row],[QT_CANA_REAL]],ESTIMATIVA[[#This Row],[QT_CANA_REST1]])</f>
        <v>367.6</v>
      </c>
      <c r="AF319" s="1">
        <f>IF(ESTIMATIVA[[#This Row],[QT_AREA_REAL]]&gt;0,ESTIMATIVA[[#This Row],[QT_CANA_REAL]],ESTIMATIVA[[#This Row],[QT_CANA_REST2]])</f>
        <v>367.6</v>
      </c>
      <c r="AG319" s="1" t="str">
        <f>IF(COUNTIFS(GEADA!A:A,VALUE(ESTIMATIVA[[#This Row],[CD_UPNIVEL1]]&amp;TEXT(ESTIMATIVA[[#This Row],[CD_UPNIVEL3]],"0000")))&gt;0,"S","N")</f>
        <v>N</v>
      </c>
      <c r="AH31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19" s="55" t="str">
        <f>IF(ESTIMATIVA[[#This Row],[TP_CULTIVO]]="Irrigado",_xlfn.MAXIFS(IRRIGADO!J:J,IRRIGADO!C:C,ESTIMATIVA[[#This Row],[CD_UPNIVEL1]],IRRIGADO!E:E,ESTIMATIVA[[#This Row],[CD_UPNIVEL3]]),"")</f>
        <v/>
      </c>
      <c r="AJ31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19" s="1">
        <f>COUNTIFS(Apresentação!$E$23:$E$29,ESTIMATIVA[[#This Row],[CD_UPNIVEL1]])</f>
        <v>0</v>
      </c>
    </row>
    <row r="320" spans="1:37" x14ac:dyDescent="0.3">
      <c r="A320">
        <v>20314</v>
      </c>
      <c r="B320" t="s">
        <v>27</v>
      </c>
      <c r="C320">
        <v>37</v>
      </c>
      <c r="D320">
        <v>6</v>
      </c>
      <c r="E320" t="s">
        <v>261</v>
      </c>
      <c r="F320" s="85" t="s">
        <v>332</v>
      </c>
      <c r="G320"/>
      <c r="H320" t="s">
        <v>295</v>
      </c>
      <c r="I320" t="s">
        <v>197</v>
      </c>
      <c r="J320" t="s">
        <v>176</v>
      </c>
      <c r="K320" s="1">
        <v>8.33</v>
      </c>
      <c r="L320" s="1">
        <v>8.33</v>
      </c>
      <c r="M320" s="1">
        <v>0</v>
      </c>
      <c r="N320" s="1">
        <v>8.33</v>
      </c>
      <c r="O320" s="1">
        <v>633.08000000000004</v>
      </c>
      <c r="P320" s="1">
        <v>633.08000000000004</v>
      </c>
      <c r="Q320" s="1">
        <v>0</v>
      </c>
      <c r="R320" s="1">
        <v>674.51</v>
      </c>
      <c r="S320" t="s">
        <v>12</v>
      </c>
      <c r="T320" s="13">
        <v>45886</v>
      </c>
      <c r="U320" s="1" t="str">
        <f>IF(ESTIMATIVA[[#This Row],[QT_AREA_REAL]]&gt;0,"1- Colhido","2- à Colher")</f>
        <v>1- Colhido</v>
      </c>
      <c r="V320" s="1" t="str">
        <f>IF(ESTIMATIVA[[#This Row],[QT_AREA_REST1]]&gt;0,"Reestimativa 1",IF(ESTIMATIVA[[#This Row],[QT_AREA_REAL]]=0,"Reestimativa 1","Realizado"))</f>
        <v>Reestimativa 1</v>
      </c>
      <c r="W320" s="1" t="str">
        <f>IF(ESTIMATIVA[[#This Row],[QT_AREA_REST2]]&gt;0,"Reestimativa 2",IF(ESTIMATIVA[[#This Row],[QT_AREA_REAL]]=0,"Reestimativa 2","Realizado"))</f>
        <v>Realizado</v>
      </c>
      <c r="X320" s="1">
        <f>ESTIMATIVA[[#This Row],[QT_AREA_EST]]</f>
        <v>8.33</v>
      </c>
      <c r="Y320" s="1">
        <f>IF(ESTIMATIVA[[#This Row],[QT_AREA_REST1]]&gt;0,ESTIMATIVA[[#This Row],[QT_AREA_REST1]],
  IF(ESTIMATIVA[[#This Row],[QT_AREA_REAL]]&gt;0,ESTIMATIVA[[#This Row],[QT_AREA_REAL]],ESTIMATIVA[[#This Row],[QT_AREA_EST]]))</f>
        <v>8.33</v>
      </c>
      <c r="Z32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8.33</v>
      </c>
      <c r="AA320" s="1">
        <f>ESTIMATIVA[[#This Row],[QT_CANA_EST]]</f>
        <v>633.08000000000004</v>
      </c>
      <c r="AB320" s="1">
        <f>IF(ESTIMATIVA[[#This Row],[QT_CANA_REST1]]&gt;0,ESTIMATIVA[[#This Row],[QT_CANA_REST1]],
  IF(ESTIMATIVA[[#This Row],[QT_CANA_REAL]]&gt;0,ESTIMATIVA[[#This Row],[QT_CANA_REAL]],ESTIMATIVA[[#This Row],[QT_CANA_EST]]))</f>
        <v>633.08000000000004</v>
      </c>
      <c r="AC32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674.51</v>
      </c>
      <c r="AD320" s="1">
        <f>IF(ESTIMATIVA[[#This Row],[QT_AREA_REAL]]&gt;0,ESTIMATIVA[[#This Row],[QT_CANA_REAL]],ESTIMATIVA[[#This Row],[QT_CANA_EST]])</f>
        <v>674.51</v>
      </c>
      <c r="AE320" s="1">
        <f>IF(ESTIMATIVA[[#This Row],[QT_AREA_REAL]]&gt;0,ESTIMATIVA[[#This Row],[QT_CANA_REAL]],ESTIMATIVA[[#This Row],[QT_CANA_REST1]])</f>
        <v>674.51</v>
      </c>
      <c r="AF320" s="1">
        <f>IF(ESTIMATIVA[[#This Row],[QT_AREA_REAL]]&gt;0,ESTIMATIVA[[#This Row],[QT_CANA_REAL]],ESTIMATIVA[[#This Row],[QT_CANA_REST2]])</f>
        <v>674.51</v>
      </c>
      <c r="AG320" s="1" t="str">
        <f>IF(COUNTIFS(GEADA!A:A,VALUE(ESTIMATIVA[[#This Row],[CD_UPNIVEL1]]&amp;TEXT(ESTIMATIVA[[#This Row],[CD_UPNIVEL3]],"0000")))&gt;0,"S","N")</f>
        <v>N</v>
      </c>
      <c r="AH32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20" s="55" t="str">
        <f>IF(ESTIMATIVA[[#This Row],[TP_CULTIVO]]="Irrigado",_xlfn.MAXIFS(IRRIGADO!J:J,IRRIGADO!C:C,ESTIMATIVA[[#This Row],[CD_UPNIVEL1]],IRRIGADO!E:E,ESTIMATIVA[[#This Row],[CD_UPNIVEL3]]),"")</f>
        <v/>
      </c>
      <c r="AJ32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20" s="1">
        <f>COUNTIFS(Apresentação!$E$23:$E$29,ESTIMATIVA[[#This Row],[CD_UPNIVEL1]])</f>
        <v>0</v>
      </c>
    </row>
    <row r="321" spans="1:37" x14ac:dyDescent="0.3">
      <c r="A321">
        <v>20314</v>
      </c>
      <c r="B321" t="s">
        <v>27</v>
      </c>
      <c r="C321">
        <v>38</v>
      </c>
      <c r="D321">
        <v>6</v>
      </c>
      <c r="E321" t="s">
        <v>261</v>
      </c>
      <c r="F321" s="85" t="s">
        <v>332</v>
      </c>
      <c r="G321"/>
      <c r="H321" t="s">
        <v>295</v>
      </c>
      <c r="I321" t="s">
        <v>197</v>
      </c>
      <c r="J321" t="s">
        <v>176</v>
      </c>
      <c r="K321" s="1">
        <v>7.95</v>
      </c>
      <c r="L321" s="1">
        <v>7.95</v>
      </c>
      <c r="M321" s="1">
        <v>0</v>
      </c>
      <c r="N321" s="1">
        <v>7.95</v>
      </c>
      <c r="O321" s="1">
        <v>604.20000000000005</v>
      </c>
      <c r="P321" s="1">
        <v>604.20000000000005</v>
      </c>
      <c r="Q321" s="1">
        <v>0</v>
      </c>
      <c r="R321" s="1">
        <v>643.6</v>
      </c>
      <c r="S321" t="s">
        <v>12</v>
      </c>
      <c r="T321" s="13">
        <v>45886</v>
      </c>
      <c r="U321" s="1" t="str">
        <f>IF(ESTIMATIVA[[#This Row],[QT_AREA_REAL]]&gt;0,"1- Colhido","2- à Colher")</f>
        <v>1- Colhido</v>
      </c>
      <c r="V321" s="1" t="str">
        <f>IF(ESTIMATIVA[[#This Row],[QT_AREA_REST1]]&gt;0,"Reestimativa 1",IF(ESTIMATIVA[[#This Row],[QT_AREA_REAL]]=0,"Reestimativa 1","Realizado"))</f>
        <v>Reestimativa 1</v>
      </c>
      <c r="W321" s="1" t="str">
        <f>IF(ESTIMATIVA[[#This Row],[QT_AREA_REST2]]&gt;0,"Reestimativa 2",IF(ESTIMATIVA[[#This Row],[QT_AREA_REAL]]=0,"Reestimativa 2","Realizado"))</f>
        <v>Realizado</v>
      </c>
      <c r="X321" s="1">
        <f>ESTIMATIVA[[#This Row],[QT_AREA_EST]]</f>
        <v>7.95</v>
      </c>
      <c r="Y321" s="1">
        <f>IF(ESTIMATIVA[[#This Row],[QT_AREA_REST1]]&gt;0,ESTIMATIVA[[#This Row],[QT_AREA_REST1]],
  IF(ESTIMATIVA[[#This Row],[QT_AREA_REAL]]&gt;0,ESTIMATIVA[[#This Row],[QT_AREA_REAL]],ESTIMATIVA[[#This Row],[QT_AREA_EST]]))</f>
        <v>7.95</v>
      </c>
      <c r="Z32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7.95</v>
      </c>
      <c r="AA321" s="1">
        <f>ESTIMATIVA[[#This Row],[QT_CANA_EST]]</f>
        <v>604.20000000000005</v>
      </c>
      <c r="AB321" s="1">
        <f>IF(ESTIMATIVA[[#This Row],[QT_CANA_REST1]]&gt;0,ESTIMATIVA[[#This Row],[QT_CANA_REST1]],
  IF(ESTIMATIVA[[#This Row],[QT_CANA_REAL]]&gt;0,ESTIMATIVA[[#This Row],[QT_CANA_REAL]],ESTIMATIVA[[#This Row],[QT_CANA_EST]]))</f>
        <v>604.20000000000005</v>
      </c>
      <c r="AC32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643.6</v>
      </c>
      <c r="AD321" s="1">
        <f>IF(ESTIMATIVA[[#This Row],[QT_AREA_REAL]]&gt;0,ESTIMATIVA[[#This Row],[QT_CANA_REAL]],ESTIMATIVA[[#This Row],[QT_CANA_EST]])</f>
        <v>643.6</v>
      </c>
      <c r="AE321" s="1">
        <f>IF(ESTIMATIVA[[#This Row],[QT_AREA_REAL]]&gt;0,ESTIMATIVA[[#This Row],[QT_CANA_REAL]],ESTIMATIVA[[#This Row],[QT_CANA_REST1]])</f>
        <v>643.6</v>
      </c>
      <c r="AF321" s="1">
        <f>IF(ESTIMATIVA[[#This Row],[QT_AREA_REAL]]&gt;0,ESTIMATIVA[[#This Row],[QT_CANA_REAL]],ESTIMATIVA[[#This Row],[QT_CANA_REST2]])</f>
        <v>643.6</v>
      </c>
      <c r="AG321" s="1" t="str">
        <f>IF(COUNTIFS(GEADA!A:A,VALUE(ESTIMATIVA[[#This Row],[CD_UPNIVEL1]]&amp;TEXT(ESTIMATIVA[[#This Row],[CD_UPNIVEL3]],"0000")))&gt;0,"S","N")</f>
        <v>N</v>
      </c>
      <c r="AH32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21" s="55" t="str">
        <f>IF(ESTIMATIVA[[#This Row],[TP_CULTIVO]]="Irrigado",_xlfn.MAXIFS(IRRIGADO!J:J,IRRIGADO!C:C,ESTIMATIVA[[#This Row],[CD_UPNIVEL1]],IRRIGADO!E:E,ESTIMATIVA[[#This Row],[CD_UPNIVEL3]]),"")</f>
        <v/>
      </c>
      <c r="AJ32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21" s="1">
        <f>COUNTIFS(Apresentação!$E$23:$E$29,ESTIMATIVA[[#This Row],[CD_UPNIVEL1]])</f>
        <v>0</v>
      </c>
    </row>
    <row r="322" spans="1:37" x14ac:dyDescent="0.3">
      <c r="A322">
        <v>20314</v>
      </c>
      <c r="B322" t="s">
        <v>27</v>
      </c>
      <c r="C322">
        <v>39</v>
      </c>
      <c r="D322">
        <v>6</v>
      </c>
      <c r="E322" t="s">
        <v>261</v>
      </c>
      <c r="F322" s="85" t="s">
        <v>332</v>
      </c>
      <c r="G322"/>
      <c r="H322" t="s">
        <v>295</v>
      </c>
      <c r="I322" t="s">
        <v>197</v>
      </c>
      <c r="J322" t="s">
        <v>176</v>
      </c>
      <c r="K322" s="1">
        <v>5.54</v>
      </c>
      <c r="L322" s="1">
        <v>5.54</v>
      </c>
      <c r="M322" s="1">
        <v>0</v>
      </c>
      <c r="N322" s="1">
        <v>5.54</v>
      </c>
      <c r="O322" s="1">
        <v>421.04</v>
      </c>
      <c r="P322" s="1">
        <v>421.04</v>
      </c>
      <c r="Q322" s="1">
        <v>0</v>
      </c>
      <c r="R322" s="1">
        <v>448.59</v>
      </c>
      <c r="S322" t="s">
        <v>12</v>
      </c>
      <c r="T322" s="13">
        <v>45886</v>
      </c>
      <c r="U322" s="1" t="str">
        <f>IF(ESTIMATIVA[[#This Row],[QT_AREA_REAL]]&gt;0,"1- Colhido","2- à Colher")</f>
        <v>1- Colhido</v>
      </c>
      <c r="V322" s="1" t="str">
        <f>IF(ESTIMATIVA[[#This Row],[QT_AREA_REST1]]&gt;0,"Reestimativa 1",IF(ESTIMATIVA[[#This Row],[QT_AREA_REAL]]=0,"Reestimativa 1","Realizado"))</f>
        <v>Reestimativa 1</v>
      </c>
      <c r="W322" s="1" t="str">
        <f>IF(ESTIMATIVA[[#This Row],[QT_AREA_REST2]]&gt;0,"Reestimativa 2",IF(ESTIMATIVA[[#This Row],[QT_AREA_REAL]]=0,"Reestimativa 2","Realizado"))</f>
        <v>Realizado</v>
      </c>
      <c r="X322" s="1">
        <f>ESTIMATIVA[[#This Row],[QT_AREA_EST]]</f>
        <v>5.54</v>
      </c>
      <c r="Y322" s="1">
        <f>IF(ESTIMATIVA[[#This Row],[QT_AREA_REST1]]&gt;0,ESTIMATIVA[[#This Row],[QT_AREA_REST1]],
  IF(ESTIMATIVA[[#This Row],[QT_AREA_REAL]]&gt;0,ESTIMATIVA[[#This Row],[QT_AREA_REAL]],ESTIMATIVA[[#This Row],[QT_AREA_EST]]))</f>
        <v>5.54</v>
      </c>
      <c r="Z32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5.54</v>
      </c>
      <c r="AA322" s="1">
        <f>ESTIMATIVA[[#This Row],[QT_CANA_EST]]</f>
        <v>421.04</v>
      </c>
      <c r="AB322" s="1">
        <f>IF(ESTIMATIVA[[#This Row],[QT_CANA_REST1]]&gt;0,ESTIMATIVA[[#This Row],[QT_CANA_REST1]],
  IF(ESTIMATIVA[[#This Row],[QT_CANA_REAL]]&gt;0,ESTIMATIVA[[#This Row],[QT_CANA_REAL]],ESTIMATIVA[[#This Row],[QT_CANA_EST]]))</f>
        <v>421.04</v>
      </c>
      <c r="AC32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448.59</v>
      </c>
      <c r="AD322" s="1">
        <f>IF(ESTIMATIVA[[#This Row],[QT_AREA_REAL]]&gt;0,ESTIMATIVA[[#This Row],[QT_CANA_REAL]],ESTIMATIVA[[#This Row],[QT_CANA_EST]])</f>
        <v>448.59</v>
      </c>
      <c r="AE322" s="1">
        <f>IF(ESTIMATIVA[[#This Row],[QT_AREA_REAL]]&gt;0,ESTIMATIVA[[#This Row],[QT_CANA_REAL]],ESTIMATIVA[[#This Row],[QT_CANA_REST1]])</f>
        <v>448.59</v>
      </c>
      <c r="AF322" s="1">
        <f>IF(ESTIMATIVA[[#This Row],[QT_AREA_REAL]]&gt;0,ESTIMATIVA[[#This Row],[QT_CANA_REAL]],ESTIMATIVA[[#This Row],[QT_CANA_REST2]])</f>
        <v>448.59</v>
      </c>
      <c r="AG322" s="1" t="str">
        <f>IF(COUNTIFS(GEADA!A:A,VALUE(ESTIMATIVA[[#This Row],[CD_UPNIVEL1]]&amp;TEXT(ESTIMATIVA[[#This Row],[CD_UPNIVEL3]],"0000")))&gt;0,"S","N")</f>
        <v>N</v>
      </c>
      <c r="AH32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22" s="55" t="str">
        <f>IF(ESTIMATIVA[[#This Row],[TP_CULTIVO]]="Irrigado",_xlfn.MAXIFS(IRRIGADO!J:J,IRRIGADO!C:C,ESTIMATIVA[[#This Row],[CD_UPNIVEL1]],IRRIGADO!E:E,ESTIMATIVA[[#This Row],[CD_UPNIVEL3]]),"")</f>
        <v/>
      </c>
      <c r="AJ32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22" s="1">
        <f>COUNTIFS(Apresentação!$E$23:$E$29,ESTIMATIVA[[#This Row],[CD_UPNIVEL1]])</f>
        <v>0</v>
      </c>
    </row>
    <row r="323" spans="1:37" x14ac:dyDescent="0.3">
      <c r="A323">
        <v>20314</v>
      </c>
      <c r="B323" t="s">
        <v>27</v>
      </c>
      <c r="C323">
        <v>40</v>
      </c>
      <c r="D323">
        <v>6</v>
      </c>
      <c r="E323" t="s">
        <v>261</v>
      </c>
      <c r="F323" s="85" t="s">
        <v>332</v>
      </c>
      <c r="G323"/>
      <c r="H323" t="s">
        <v>295</v>
      </c>
      <c r="I323" t="s">
        <v>197</v>
      </c>
      <c r="J323" t="s">
        <v>176</v>
      </c>
      <c r="K323" s="1">
        <v>6.42</v>
      </c>
      <c r="L323" s="1">
        <v>6.42</v>
      </c>
      <c r="M323" s="1">
        <v>0</v>
      </c>
      <c r="N323" s="1">
        <v>6.42</v>
      </c>
      <c r="O323" s="1">
        <v>487.92</v>
      </c>
      <c r="P323" s="1">
        <v>487.92</v>
      </c>
      <c r="Q323" s="1">
        <v>0</v>
      </c>
      <c r="R323" s="1">
        <v>519.99</v>
      </c>
      <c r="S323" t="s">
        <v>12</v>
      </c>
      <c r="T323" s="13">
        <v>45886</v>
      </c>
      <c r="U323" s="1" t="str">
        <f>IF(ESTIMATIVA[[#This Row],[QT_AREA_REAL]]&gt;0,"1- Colhido","2- à Colher")</f>
        <v>1- Colhido</v>
      </c>
      <c r="V323" s="1" t="str">
        <f>IF(ESTIMATIVA[[#This Row],[QT_AREA_REST1]]&gt;0,"Reestimativa 1",IF(ESTIMATIVA[[#This Row],[QT_AREA_REAL]]=0,"Reestimativa 1","Realizado"))</f>
        <v>Reestimativa 1</v>
      </c>
      <c r="W323" s="1" t="str">
        <f>IF(ESTIMATIVA[[#This Row],[QT_AREA_REST2]]&gt;0,"Reestimativa 2",IF(ESTIMATIVA[[#This Row],[QT_AREA_REAL]]=0,"Reestimativa 2","Realizado"))</f>
        <v>Realizado</v>
      </c>
      <c r="X323" s="1">
        <f>ESTIMATIVA[[#This Row],[QT_AREA_EST]]</f>
        <v>6.42</v>
      </c>
      <c r="Y323" s="1">
        <f>IF(ESTIMATIVA[[#This Row],[QT_AREA_REST1]]&gt;0,ESTIMATIVA[[#This Row],[QT_AREA_REST1]],
  IF(ESTIMATIVA[[#This Row],[QT_AREA_REAL]]&gt;0,ESTIMATIVA[[#This Row],[QT_AREA_REAL]],ESTIMATIVA[[#This Row],[QT_AREA_EST]]))</f>
        <v>6.42</v>
      </c>
      <c r="Z32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6.42</v>
      </c>
      <c r="AA323" s="1">
        <f>ESTIMATIVA[[#This Row],[QT_CANA_EST]]</f>
        <v>487.92</v>
      </c>
      <c r="AB323" s="1">
        <f>IF(ESTIMATIVA[[#This Row],[QT_CANA_REST1]]&gt;0,ESTIMATIVA[[#This Row],[QT_CANA_REST1]],
  IF(ESTIMATIVA[[#This Row],[QT_CANA_REAL]]&gt;0,ESTIMATIVA[[#This Row],[QT_CANA_REAL]],ESTIMATIVA[[#This Row],[QT_CANA_EST]]))</f>
        <v>487.92</v>
      </c>
      <c r="AC32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519.99</v>
      </c>
      <c r="AD323" s="1">
        <f>IF(ESTIMATIVA[[#This Row],[QT_AREA_REAL]]&gt;0,ESTIMATIVA[[#This Row],[QT_CANA_REAL]],ESTIMATIVA[[#This Row],[QT_CANA_EST]])</f>
        <v>519.99</v>
      </c>
      <c r="AE323" s="1">
        <f>IF(ESTIMATIVA[[#This Row],[QT_AREA_REAL]]&gt;0,ESTIMATIVA[[#This Row],[QT_CANA_REAL]],ESTIMATIVA[[#This Row],[QT_CANA_REST1]])</f>
        <v>519.99</v>
      </c>
      <c r="AF323" s="1">
        <f>IF(ESTIMATIVA[[#This Row],[QT_AREA_REAL]]&gt;0,ESTIMATIVA[[#This Row],[QT_CANA_REAL]],ESTIMATIVA[[#This Row],[QT_CANA_REST2]])</f>
        <v>519.99</v>
      </c>
      <c r="AG323" s="1" t="str">
        <f>IF(COUNTIFS(GEADA!A:A,VALUE(ESTIMATIVA[[#This Row],[CD_UPNIVEL1]]&amp;TEXT(ESTIMATIVA[[#This Row],[CD_UPNIVEL3]],"0000")))&gt;0,"S","N")</f>
        <v>N</v>
      </c>
      <c r="AH32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23" s="55" t="str">
        <f>IF(ESTIMATIVA[[#This Row],[TP_CULTIVO]]="Irrigado",_xlfn.MAXIFS(IRRIGADO!J:J,IRRIGADO!C:C,ESTIMATIVA[[#This Row],[CD_UPNIVEL1]],IRRIGADO!E:E,ESTIMATIVA[[#This Row],[CD_UPNIVEL3]]),"")</f>
        <v/>
      </c>
      <c r="AJ32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23" s="1">
        <f>COUNTIFS(Apresentação!$E$23:$E$29,ESTIMATIVA[[#This Row],[CD_UPNIVEL1]])</f>
        <v>0</v>
      </c>
    </row>
    <row r="324" spans="1:37" x14ac:dyDescent="0.3">
      <c r="A324">
        <v>20314</v>
      </c>
      <c r="B324" t="s">
        <v>27</v>
      </c>
      <c r="C324">
        <v>41</v>
      </c>
      <c r="D324">
        <v>6</v>
      </c>
      <c r="E324" t="s">
        <v>261</v>
      </c>
      <c r="F324" s="85" t="s">
        <v>332</v>
      </c>
      <c r="G324"/>
      <c r="H324" t="s">
        <v>295</v>
      </c>
      <c r="I324" t="s">
        <v>197</v>
      </c>
      <c r="J324" t="s">
        <v>176</v>
      </c>
      <c r="K324" s="1">
        <v>4.53</v>
      </c>
      <c r="L324" s="1">
        <v>4.53</v>
      </c>
      <c r="M324" s="1">
        <v>0</v>
      </c>
      <c r="N324" s="1">
        <v>4.53</v>
      </c>
      <c r="O324" s="1">
        <v>344.28</v>
      </c>
      <c r="P324" s="1">
        <v>344.28</v>
      </c>
      <c r="Q324" s="1">
        <v>0</v>
      </c>
      <c r="R324" s="1">
        <v>366.54</v>
      </c>
      <c r="S324" t="s">
        <v>12</v>
      </c>
      <c r="T324" s="13">
        <v>45886</v>
      </c>
      <c r="U324" s="1" t="str">
        <f>IF(ESTIMATIVA[[#This Row],[QT_AREA_REAL]]&gt;0,"1- Colhido","2- à Colher")</f>
        <v>1- Colhido</v>
      </c>
      <c r="V324" s="1" t="str">
        <f>IF(ESTIMATIVA[[#This Row],[QT_AREA_REST1]]&gt;0,"Reestimativa 1",IF(ESTIMATIVA[[#This Row],[QT_AREA_REAL]]=0,"Reestimativa 1","Realizado"))</f>
        <v>Reestimativa 1</v>
      </c>
      <c r="W324" s="1" t="str">
        <f>IF(ESTIMATIVA[[#This Row],[QT_AREA_REST2]]&gt;0,"Reestimativa 2",IF(ESTIMATIVA[[#This Row],[QT_AREA_REAL]]=0,"Reestimativa 2","Realizado"))</f>
        <v>Realizado</v>
      </c>
      <c r="X324" s="1">
        <f>ESTIMATIVA[[#This Row],[QT_AREA_EST]]</f>
        <v>4.53</v>
      </c>
      <c r="Y324" s="1">
        <f>IF(ESTIMATIVA[[#This Row],[QT_AREA_REST1]]&gt;0,ESTIMATIVA[[#This Row],[QT_AREA_REST1]],
  IF(ESTIMATIVA[[#This Row],[QT_AREA_REAL]]&gt;0,ESTIMATIVA[[#This Row],[QT_AREA_REAL]],ESTIMATIVA[[#This Row],[QT_AREA_EST]]))</f>
        <v>4.53</v>
      </c>
      <c r="Z32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4.53</v>
      </c>
      <c r="AA324" s="1">
        <f>ESTIMATIVA[[#This Row],[QT_CANA_EST]]</f>
        <v>344.28</v>
      </c>
      <c r="AB324" s="1">
        <f>IF(ESTIMATIVA[[#This Row],[QT_CANA_REST1]]&gt;0,ESTIMATIVA[[#This Row],[QT_CANA_REST1]],
  IF(ESTIMATIVA[[#This Row],[QT_CANA_REAL]]&gt;0,ESTIMATIVA[[#This Row],[QT_CANA_REAL]],ESTIMATIVA[[#This Row],[QT_CANA_EST]]))</f>
        <v>344.28</v>
      </c>
      <c r="AC32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366.54</v>
      </c>
      <c r="AD324" s="1">
        <f>IF(ESTIMATIVA[[#This Row],[QT_AREA_REAL]]&gt;0,ESTIMATIVA[[#This Row],[QT_CANA_REAL]],ESTIMATIVA[[#This Row],[QT_CANA_EST]])</f>
        <v>366.54</v>
      </c>
      <c r="AE324" s="1">
        <f>IF(ESTIMATIVA[[#This Row],[QT_AREA_REAL]]&gt;0,ESTIMATIVA[[#This Row],[QT_CANA_REAL]],ESTIMATIVA[[#This Row],[QT_CANA_REST1]])</f>
        <v>366.54</v>
      </c>
      <c r="AF324" s="1">
        <f>IF(ESTIMATIVA[[#This Row],[QT_AREA_REAL]]&gt;0,ESTIMATIVA[[#This Row],[QT_CANA_REAL]],ESTIMATIVA[[#This Row],[QT_CANA_REST2]])</f>
        <v>366.54</v>
      </c>
      <c r="AG324" s="1" t="str">
        <f>IF(COUNTIFS(GEADA!A:A,VALUE(ESTIMATIVA[[#This Row],[CD_UPNIVEL1]]&amp;TEXT(ESTIMATIVA[[#This Row],[CD_UPNIVEL3]],"0000")))&gt;0,"S","N")</f>
        <v>N</v>
      </c>
      <c r="AH32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24" s="55" t="str">
        <f>IF(ESTIMATIVA[[#This Row],[TP_CULTIVO]]="Irrigado",_xlfn.MAXIFS(IRRIGADO!J:J,IRRIGADO!C:C,ESTIMATIVA[[#This Row],[CD_UPNIVEL1]],IRRIGADO!E:E,ESTIMATIVA[[#This Row],[CD_UPNIVEL3]]),"")</f>
        <v/>
      </c>
      <c r="AJ32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24" s="1">
        <f>COUNTIFS(Apresentação!$E$23:$E$29,ESTIMATIVA[[#This Row],[CD_UPNIVEL1]])</f>
        <v>0</v>
      </c>
    </row>
    <row r="325" spans="1:37" x14ac:dyDescent="0.3">
      <c r="A325">
        <v>20314</v>
      </c>
      <c r="B325" t="s">
        <v>27</v>
      </c>
      <c r="C325">
        <v>42</v>
      </c>
      <c r="D325">
        <v>6</v>
      </c>
      <c r="E325" t="s">
        <v>261</v>
      </c>
      <c r="F325" s="85" t="s">
        <v>332</v>
      </c>
      <c r="G325"/>
      <c r="H325" t="s">
        <v>295</v>
      </c>
      <c r="I325" t="s">
        <v>197</v>
      </c>
      <c r="J325" t="s">
        <v>176</v>
      </c>
      <c r="K325" s="1">
        <v>3.4</v>
      </c>
      <c r="L325" s="1">
        <v>3.4</v>
      </c>
      <c r="M325" s="1">
        <v>0</v>
      </c>
      <c r="N325" s="1">
        <v>3.4</v>
      </c>
      <c r="O325" s="1">
        <v>258.39999999999998</v>
      </c>
      <c r="P325" s="1">
        <v>258.39999999999998</v>
      </c>
      <c r="Q325" s="1">
        <v>0</v>
      </c>
      <c r="R325" s="1">
        <v>275.35000000000002</v>
      </c>
      <c r="S325" t="s">
        <v>12</v>
      </c>
      <c r="T325" s="13">
        <v>45886</v>
      </c>
      <c r="U325" s="1" t="str">
        <f>IF(ESTIMATIVA[[#This Row],[QT_AREA_REAL]]&gt;0,"1- Colhido","2- à Colher")</f>
        <v>1- Colhido</v>
      </c>
      <c r="V325" s="1" t="str">
        <f>IF(ESTIMATIVA[[#This Row],[QT_AREA_REST1]]&gt;0,"Reestimativa 1",IF(ESTIMATIVA[[#This Row],[QT_AREA_REAL]]=0,"Reestimativa 1","Realizado"))</f>
        <v>Reestimativa 1</v>
      </c>
      <c r="W325" s="1" t="str">
        <f>IF(ESTIMATIVA[[#This Row],[QT_AREA_REST2]]&gt;0,"Reestimativa 2",IF(ESTIMATIVA[[#This Row],[QT_AREA_REAL]]=0,"Reestimativa 2","Realizado"))</f>
        <v>Realizado</v>
      </c>
      <c r="X325" s="1">
        <f>ESTIMATIVA[[#This Row],[QT_AREA_EST]]</f>
        <v>3.4</v>
      </c>
      <c r="Y325" s="1">
        <f>IF(ESTIMATIVA[[#This Row],[QT_AREA_REST1]]&gt;0,ESTIMATIVA[[#This Row],[QT_AREA_REST1]],
  IF(ESTIMATIVA[[#This Row],[QT_AREA_REAL]]&gt;0,ESTIMATIVA[[#This Row],[QT_AREA_REAL]],ESTIMATIVA[[#This Row],[QT_AREA_EST]]))</f>
        <v>3.4</v>
      </c>
      <c r="Z32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3.4</v>
      </c>
      <c r="AA325" s="1">
        <f>ESTIMATIVA[[#This Row],[QT_CANA_EST]]</f>
        <v>258.39999999999998</v>
      </c>
      <c r="AB325" s="1">
        <f>IF(ESTIMATIVA[[#This Row],[QT_CANA_REST1]]&gt;0,ESTIMATIVA[[#This Row],[QT_CANA_REST1]],
  IF(ESTIMATIVA[[#This Row],[QT_CANA_REAL]]&gt;0,ESTIMATIVA[[#This Row],[QT_CANA_REAL]],ESTIMATIVA[[#This Row],[QT_CANA_EST]]))</f>
        <v>258.39999999999998</v>
      </c>
      <c r="AC32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275.35000000000002</v>
      </c>
      <c r="AD325" s="1">
        <f>IF(ESTIMATIVA[[#This Row],[QT_AREA_REAL]]&gt;0,ESTIMATIVA[[#This Row],[QT_CANA_REAL]],ESTIMATIVA[[#This Row],[QT_CANA_EST]])</f>
        <v>275.35000000000002</v>
      </c>
      <c r="AE325" s="1">
        <f>IF(ESTIMATIVA[[#This Row],[QT_AREA_REAL]]&gt;0,ESTIMATIVA[[#This Row],[QT_CANA_REAL]],ESTIMATIVA[[#This Row],[QT_CANA_REST1]])</f>
        <v>275.35000000000002</v>
      </c>
      <c r="AF325" s="1">
        <f>IF(ESTIMATIVA[[#This Row],[QT_AREA_REAL]]&gt;0,ESTIMATIVA[[#This Row],[QT_CANA_REAL]],ESTIMATIVA[[#This Row],[QT_CANA_REST2]])</f>
        <v>275.35000000000002</v>
      </c>
      <c r="AG325" s="1" t="str">
        <f>IF(COUNTIFS(GEADA!A:A,VALUE(ESTIMATIVA[[#This Row],[CD_UPNIVEL1]]&amp;TEXT(ESTIMATIVA[[#This Row],[CD_UPNIVEL3]],"0000")))&gt;0,"S","N")</f>
        <v>N</v>
      </c>
      <c r="AH32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25" s="55" t="str">
        <f>IF(ESTIMATIVA[[#This Row],[TP_CULTIVO]]="Irrigado",_xlfn.MAXIFS(IRRIGADO!J:J,IRRIGADO!C:C,ESTIMATIVA[[#This Row],[CD_UPNIVEL1]],IRRIGADO!E:E,ESTIMATIVA[[#This Row],[CD_UPNIVEL3]]),"")</f>
        <v/>
      </c>
      <c r="AJ32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25" s="1">
        <f>COUNTIFS(Apresentação!$E$23:$E$29,ESTIMATIVA[[#This Row],[CD_UPNIVEL1]])</f>
        <v>0</v>
      </c>
    </row>
    <row r="326" spans="1:37" x14ac:dyDescent="0.3">
      <c r="A326">
        <v>20314</v>
      </c>
      <c r="B326" t="s">
        <v>27</v>
      </c>
      <c r="C326">
        <v>43</v>
      </c>
      <c r="D326">
        <v>6</v>
      </c>
      <c r="E326" t="s">
        <v>261</v>
      </c>
      <c r="F326" s="85" t="s">
        <v>332</v>
      </c>
      <c r="G326"/>
      <c r="H326" t="s">
        <v>295</v>
      </c>
      <c r="I326" t="s">
        <v>197</v>
      </c>
      <c r="J326" t="s">
        <v>176</v>
      </c>
      <c r="K326" s="1">
        <v>3.19</v>
      </c>
      <c r="L326" s="1">
        <v>3.19</v>
      </c>
      <c r="M326" s="1">
        <v>0</v>
      </c>
      <c r="N326" s="1">
        <v>3.19</v>
      </c>
      <c r="O326" s="1">
        <v>242.44</v>
      </c>
      <c r="P326" s="1">
        <v>242.44</v>
      </c>
      <c r="Q326" s="1">
        <v>0</v>
      </c>
      <c r="R326" s="1">
        <v>180.37</v>
      </c>
      <c r="S326" t="s">
        <v>12</v>
      </c>
      <c r="T326" s="13">
        <v>45879</v>
      </c>
      <c r="U326" s="1" t="str">
        <f>IF(ESTIMATIVA[[#This Row],[QT_AREA_REAL]]&gt;0,"1- Colhido","2- à Colher")</f>
        <v>1- Colhido</v>
      </c>
      <c r="V326" s="1" t="str">
        <f>IF(ESTIMATIVA[[#This Row],[QT_AREA_REST1]]&gt;0,"Reestimativa 1",IF(ESTIMATIVA[[#This Row],[QT_AREA_REAL]]=0,"Reestimativa 1","Realizado"))</f>
        <v>Reestimativa 1</v>
      </c>
      <c r="W326" s="1" t="str">
        <f>IF(ESTIMATIVA[[#This Row],[QT_AREA_REST2]]&gt;0,"Reestimativa 2",IF(ESTIMATIVA[[#This Row],[QT_AREA_REAL]]=0,"Reestimativa 2","Realizado"))</f>
        <v>Realizado</v>
      </c>
      <c r="X326" s="1">
        <f>ESTIMATIVA[[#This Row],[QT_AREA_EST]]</f>
        <v>3.19</v>
      </c>
      <c r="Y326" s="1">
        <f>IF(ESTIMATIVA[[#This Row],[QT_AREA_REST1]]&gt;0,ESTIMATIVA[[#This Row],[QT_AREA_REST1]],
  IF(ESTIMATIVA[[#This Row],[QT_AREA_REAL]]&gt;0,ESTIMATIVA[[#This Row],[QT_AREA_REAL]],ESTIMATIVA[[#This Row],[QT_AREA_EST]]))</f>
        <v>3.19</v>
      </c>
      <c r="Z32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3.19</v>
      </c>
      <c r="AA326" s="1">
        <f>ESTIMATIVA[[#This Row],[QT_CANA_EST]]</f>
        <v>242.44</v>
      </c>
      <c r="AB326" s="1">
        <f>IF(ESTIMATIVA[[#This Row],[QT_CANA_REST1]]&gt;0,ESTIMATIVA[[#This Row],[QT_CANA_REST1]],
  IF(ESTIMATIVA[[#This Row],[QT_CANA_REAL]]&gt;0,ESTIMATIVA[[#This Row],[QT_CANA_REAL]],ESTIMATIVA[[#This Row],[QT_CANA_EST]]))</f>
        <v>242.44</v>
      </c>
      <c r="AC32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180.37</v>
      </c>
      <c r="AD326" s="1">
        <f>IF(ESTIMATIVA[[#This Row],[QT_AREA_REAL]]&gt;0,ESTIMATIVA[[#This Row],[QT_CANA_REAL]],ESTIMATIVA[[#This Row],[QT_CANA_EST]])</f>
        <v>180.37</v>
      </c>
      <c r="AE326" s="1">
        <f>IF(ESTIMATIVA[[#This Row],[QT_AREA_REAL]]&gt;0,ESTIMATIVA[[#This Row],[QT_CANA_REAL]],ESTIMATIVA[[#This Row],[QT_CANA_REST1]])</f>
        <v>180.37</v>
      </c>
      <c r="AF326" s="1">
        <f>IF(ESTIMATIVA[[#This Row],[QT_AREA_REAL]]&gt;0,ESTIMATIVA[[#This Row],[QT_CANA_REAL]],ESTIMATIVA[[#This Row],[QT_CANA_REST2]])</f>
        <v>180.37</v>
      </c>
      <c r="AG326" s="1" t="str">
        <f>IF(COUNTIFS(GEADA!A:A,VALUE(ESTIMATIVA[[#This Row],[CD_UPNIVEL1]]&amp;TEXT(ESTIMATIVA[[#This Row],[CD_UPNIVEL3]],"0000")))&gt;0,"S","N")</f>
        <v>N</v>
      </c>
      <c r="AH32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26" s="55" t="str">
        <f>IF(ESTIMATIVA[[#This Row],[TP_CULTIVO]]="Irrigado",_xlfn.MAXIFS(IRRIGADO!J:J,IRRIGADO!C:C,ESTIMATIVA[[#This Row],[CD_UPNIVEL1]],IRRIGADO!E:E,ESTIMATIVA[[#This Row],[CD_UPNIVEL3]]),"")</f>
        <v/>
      </c>
      <c r="AJ32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26" s="1">
        <f>COUNTIFS(Apresentação!$E$23:$E$29,ESTIMATIVA[[#This Row],[CD_UPNIVEL1]])</f>
        <v>0</v>
      </c>
    </row>
    <row r="327" spans="1:37" x14ac:dyDescent="0.3">
      <c r="A327">
        <v>20314</v>
      </c>
      <c r="B327" t="s">
        <v>27</v>
      </c>
      <c r="C327">
        <v>44</v>
      </c>
      <c r="D327">
        <v>6</v>
      </c>
      <c r="E327" t="s">
        <v>261</v>
      </c>
      <c r="F327" s="85" t="s">
        <v>332</v>
      </c>
      <c r="G327"/>
      <c r="H327" t="s">
        <v>295</v>
      </c>
      <c r="I327" t="s">
        <v>197</v>
      </c>
      <c r="J327" t="s">
        <v>176</v>
      </c>
      <c r="K327" s="1">
        <v>5.01</v>
      </c>
      <c r="L327" s="1">
        <v>5.01</v>
      </c>
      <c r="M327" s="1">
        <v>0</v>
      </c>
      <c r="N327" s="1">
        <v>5.01</v>
      </c>
      <c r="O327" s="1">
        <v>380.76</v>
      </c>
      <c r="P327" s="1">
        <v>380.76</v>
      </c>
      <c r="Q327" s="1">
        <v>0</v>
      </c>
      <c r="R327" s="1">
        <v>284</v>
      </c>
      <c r="S327" t="s">
        <v>12</v>
      </c>
      <c r="T327" s="13">
        <v>45879</v>
      </c>
      <c r="U327" s="1" t="str">
        <f>IF(ESTIMATIVA[[#This Row],[QT_AREA_REAL]]&gt;0,"1- Colhido","2- à Colher")</f>
        <v>1- Colhido</v>
      </c>
      <c r="V327" s="1" t="str">
        <f>IF(ESTIMATIVA[[#This Row],[QT_AREA_REST1]]&gt;0,"Reestimativa 1",IF(ESTIMATIVA[[#This Row],[QT_AREA_REAL]]=0,"Reestimativa 1","Realizado"))</f>
        <v>Reestimativa 1</v>
      </c>
      <c r="W327" s="1" t="str">
        <f>IF(ESTIMATIVA[[#This Row],[QT_AREA_REST2]]&gt;0,"Reestimativa 2",IF(ESTIMATIVA[[#This Row],[QT_AREA_REAL]]=0,"Reestimativa 2","Realizado"))</f>
        <v>Realizado</v>
      </c>
      <c r="X327" s="1">
        <f>ESTIMATIVA[[#This Row],[QT_AREA_EST]]</f>
        <v>5.01</v>
      </c>
      <c r="Y327" s="1">
        <f>IF(ESTIMATIVA[[#This Row],[QT_AREA_REST1]]&gt;0,ESTIMATIVA[[#This Row],[QT_AREA_REST1]],
  IF(ESTIMATIVA[[#This Row],[QT_AREA_REAL]]&gt;0,ESTIMATIVA[[#This Row],[QT_AREA_REAL]],ESTIMATIVA[[#This Row],[QT_AREA_EST]]))</f>
        <v>5.01</v>
      </c>
      <c r="Z32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5.01</v>
      </c>
      <c r="AA327" s="1">
        <f>ESTIMATIVA[[#This Row],[QT_CANA_EST]]</f>
        <v>380.76</v>
      </c>
      <c r="AB327" s="1">
        <f>IF(ESTIMATIVA[[#This Row],[QT_CANA_REST1]]&gt;0,ESTIMATIVA[[#This Row],[QT_CANA_REST1]],
  IF(ESTIMATIVA[[#This Row],[QT_CANA_REAL]]&gt;0,ESTIMATIVA[[#This Row],[QT_CANA_REAL]],ESTIMATIVA[[#This Row],[QT_CANA_EST]]))</f>
        <v>380.76</v>
      </c>
      <c r="AC32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284</v>
      </c>
      <c r="AD327" s="1">
        <f>IF(ESTIMATIVA[[#This Row],[QT_AREA_REAL]]&gt;0,ESTIMATIVA[[#This Row],[QT_CANA_REAL]],ESTIMATIVA[[#This Row],[QT_CANA_EST]])</f>
        <v>284</v>
      </c>
      <c r="AE327" s="1">
        <f>IF(ESTIMATIVA[[#This Row],[QT_AREA_REAL]]&gt;0,ESTIMATIVA[[#This Row],[QT_CANA_REAL]],ESTIMATIVA[[#This Row],[QT_CANA_REST1]])</f>
        <v>284</v>
      </c>
      <c r="AF327" s="1">
        <f>IF(ESTIMATIVA[[#This Row],[QT_AREA_REAL]]&gt;0,ESTIMATIVA[[#This Row],[QT_CANA_REAL]],ESTIMATIVA[[#This Row],[QT_CANA_REST2]])</f>
        <v>284</v>
      </c>
      <c r="AG327" s="1" t="str">
        <f>IF(COUNTIFS(GEADA!A:A,VALUE(ESTIMATIVA[[#This Row],[CD_UPNIVEL1]]&amp;TEXT(ESTIMATIVA[[#This Row],[CD_UPNIVEL3]],"0000")))&gt;0,"S","N")</f>
        <v>N</v>
      </c>
      <c r="AH32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27" s="55" t="str">
        <f>IF(ESTIMATIVA[[#This Row],[TP_CULTIVO]]="Irrigado",_xlfn.MAXIFS(IRRIGADO!J:J,IRRIGADO!C:C,ESTIMATIVA[[#This Row],[CD_UPNIVEL1]],IRRIGADO!E:E,ESTIMATIVA[[#This Row],[CD_UPNIVEL3]]),"")</f>
        <v/>
      </c>
      <c r="AJ32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27" s="1">
        <f>COUNTIFS(Apresentação!$E$23:$E$29,ESTIMATIVA[[#This Row],[CD_UPNIVEL1]])</f>
        <v>0</v>
      </c>
    </row>
    <row r="328" spans="1:37" x14ac:dyDescent="0.3">
      <c r="A328">
        <v>20314</v>
      </c>
      <c r="B328" t="s">
        <v>27</v>
      </c>
      <c r="C328">
        <v>45</v>
      </c>
      <c r="D328">
        <v>6</v>
      </c>
      <c r="E328" t="s">
        <v>261</v>
      </c>
      <c r="F328" s="85" t="s">
        <v>332</v>
      </c>
      <c r="G328"/>
      <c r="H328" t="s">
        <v>295</v>
      </c>
      <c r="I328" t="s">
        <v>197</v>
      </c>
      <c r="J328" t="s">
        <v>176</v>
      </c>
      <c r="K328" s="1">
        <v>3.18</v>
      </c>
      <c r="L328" s="1">
        <v>3.18</v>
      </c>
      <c r="M328" s="1">
        <v>0</v>
      </c>
      <c r="N328" s="1">
        <v>3.18</v>
      </c>
      <c r="O328" s="1">
        <v>241.68</v>
      </c>
      <c r="P328" s="1">
        <v>241.68</v>
      </c>
      <c r="Q328" s="1">
        <v>0</v>
      </c>
      <c r="R328" s="1">
        <v>180.37</v>
      </c>
      <c r="S328" t="s">
        <v>12</v>
      </c>
      <c r="T328" s="13">
        <v>45879</v>
      </c>
      <c r="U328" s="1" t="str">
        <f>IF(ESTIMATIVA[[#This Row],[QT_AREA_REAL]]&gt;0,"1- Colhido","2- à Colher")</f>
        <v>1- Colhido</v>
      </c>
      <c r="V328" s="1" t="str">
        <f>IF(ESTIMATIVA[[#This Row],[QT_AREA_REST1]]&gt;0,"Reestimativa 1",IF(ESTIMATIVA[[#This Row],[QT_AREA_REAL]]=0,"Reestimativa 1","Realizado"))</f>
        <v>Reestimativa 1</v>
      </c>
      <c r="W328" s="1" t="str">
        <f>IF(ESTIMATIVA[[#This Row],[QT_AREA_REST2]]&gt;0,"Reestimativa 2",IF(ESTIMATIVA[[#This Row],[QT_AREA_REAL]]=0,"Reestimativa 2","Realizado"))</f>
        <v>Realizado</v>
      </c>
      <c r="X328" s="1">
        <f>ESTIMATIVA[[#This Row],[QT_AREA_EST]]</f>
        <v>3.18</v>
      </c>
      <c r="Y328" s="1">
        <f>IF(ESTIMATIVA[[#This Row],[QT_AREA_REST1]]&gt;0,ESTIMATIVA[[#This Row],[QT_AREA_REST1]],
  IF(ESTIMATIVA[[#This Row],[QT_AREA_REAL]]&gt;0,ESTIMATIVA[[#This Row],[QT_AREA_REAL]],ESTIMATIVA[[#This Row],[QT_AREA_EST]]))</f>
        <v>3.18</v>
      </c>
      <c r="Z32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3.18</v>
      </c>
      <c r="AA328" s="1">
        <f>ESTIMATIVA[[#This Row],[QT_CANA_EST]]</f>
        <v>241.68</v>
      </c>
      <c r="AB328" s="1">
        <f>IF(ESTIMATIVA[[#This Row],[QT_CANA_REST1]]&gt;0,ESTIMATIVA[[#This Row],[QT_CANA_REST1]],
  IF(ESTIMATIVA[[#This Row],[QT_CANA_REAL]]&gt;0,ESTIMATIVA[[#This Row],[QT_CANA_REAL]],ESTIMATIVA[[#This Row],[QT_CANA_EST]]))</f>
        <v>241.68</v>
      </c>
      <c r="AC32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180.37</v>
      </c>
      <c r="AD328" s="1">
        <f>IF(ESTIMATIVA[[#This Row],[QT_AREA_REAL]]&gt;0,ESTIMATIVA[[#This Row],[QT_CANA_REAL]],ESTIMATIVA[[#This Row],[QT_CANA_EST]])</f>
        <v>180.37</v>
      </c>
      <c r="AE328" s="1">
        <f>IF(ESTIMATIVA[[#This Row],[QT_AREA_REAL]]&gt;0,ESTIMATIVA[[#This Row],[QT_CANA_REAL]],ESTIMATIVA[[#This Row],[QT_CANA_REST1]])</f>
        <v>180.37</v>
      </c>
      <c r="AF328" s="1">
        <f>IF(ESTIMATIVA[[#This Row],[QT_AREA_REAL]]&gt;0,ESTIMATIVA[[#This Row],[QT_CANA_REAL]],ESTIMATIVA[[#This Row],[QT_CANA_REST2]])</f>
        <v>180.37</v>
      </c>
      <c r="AG328" s="1" t="str">
        <f>IF(COUNTIFS(GEADA!A:A,VALUE(ESTIMATIVA[[#This Row],[CD_UPNIVEL1]]&amp;TEXT(ESTIMATIVA[[#This Row],[CD_UPNIVEL3]],"0000")))&gt;0,"S","N")</f>
        <v>N</v>
      </c>
      <c r="AH32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28" s="55" t="str">
        <f>IF(ESTIMATIVA[[#This Row],[TP_CULTIVO]]="Irrigado",_xlfn.MAXIFS(IRRIGADO!J:J,IRRIGADO!C:C,ESTIMATIVA[[#This Row],[CD_UPNIVEL1]],IRRIGADO!E:E,ESTIMATIVA[[#This Row],[CD_UPNIVEL3]]),"")</f>
        <v/>
      </c>
      <c r="AJ32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28" s="1">
        <f>COUNTIFS(Apresentação!$E$23:$E$29,ESTIMATIVA[[#This Row],[CD_UPNIVEL1]])</f>
        <v>0</v>
      </c>
    </row>
    <row r="329" spans="1:37" x14ac:dyDescent="0.3">
      <c r="A329">
        <v>20314</v>
      </c>
      <c r="B329" t="s">
        <v>27</v>
      </c>
      <c r="C329">
        <v>46</v>
      </c>
      <c r="D329">
        <v>6</v>
      </c>
      <c r="E329" t="s">
        <v>261</v>
      </c>
      <c r="F329" s="85" t="s">
        <v>332</v>
      </c>
      <c r="G329"/>
      <c r="H329" t="s">
        <v>295</v>
      </c>
      <c r="I329" t="s">
        <v>197</v>
      </c>
      <c r="J329" t="s">
        <v>176</v>
      </c>
      <c r="K329" s="1">
        <v>2.5099999999999998</v>
      </c>
      <c r="L329" s="1">
        <v>2.5099999999999998</v>
      </c>
      <c r="M329" s="1">
        <v>0</v>
      </c>
      <c r="N329" s="1">
        <v>2.5099999999999998</v>
      </c>
      <c r="O329" s="1">
        <v>190.76</v>
      </c>
      <c r="P329" s="1">
        <v>190.76</v>
      </c>
      <c r="Q329" s="1">
        <v>0</v>
      </c>
      <c r="R329" s="1">
        <v>142.34</v>
      </c>
      <c r="S329" t="s">
        <v>12</v>
      </c>
      <c r="T329" s="13">
        <v>45879</v>
      </c>
      <c r="U329" s="1" t="str">
        <f>IF(ESTIMATIVA[[#This Row],[QT_AREA_REAL]]&gt;0,"1- Colhido","2- à Colher")</f>
        <v>1- Colhido</v>
      </c>
      <c r="V329" s="1" t="str">
        <f>IF(ESTIMATIVA[[#This Row],[QT_AREA_REST1]]&gt;0,"Reestimativa 1",IF(ESTIMATIVA[[#This Row],[QT_AREA_REAL]]=0,"Reestimativa 1","Realizado"))</f>
        <v>Reestimativa 1</v>
      </c>
      <c r="W329" s="1" t="str">
        <f>IF(ESTIMATIVA[[#This Row],[QT_AREA_REST2]]&gt;0,"Reestimativa 2",IF(ESTIMATIVA[[#This Row],[QT_AREA_REAL]]=0,"Reestimativa 2","Realizado"))</f>
        <v>Realizado</v>
      </c>
      <c r="X329" s="1">
        <f>ESTIMATIVA[[#This Row],[QT_AREA_EST]]</f>
        <v>2.5099999999999998</v>
      </c>
      <c r="Y329" s="1">
        <f>IF(ESTIMATIVA[[#This Row],[QT_AREA_REST1]]&gt;0,ESTIMATIVA[[#This Row],[QT_AREA_REST1]],
  IF(ESTIMATIVA[[#This Row],[QT_AREA_REAL]]&gt;0,ESTIMATIVA[[#This Row],[QT_AREA_REAL]],ESTIMATIVA[[#This Row],[QT_AREA_EST]]))</f>
        <v>2.5099999999999998</v>
      </c>
      <c r="Z32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2.5099999999999998</v>
      </c>
      <c r="AA329" s="1">
        <f>ESTIMATIVA[[#This Row],[QT_CANA_EST]]</f>
        <v>190.76</v>
      </c>
      <c r="AB329" s="1">
        <f>IF(ESTIMATIVA[[#This Row],[QT_CANA_REST1]]&gt;0,ESTIMATIVA[[#This Row],[QT_CANA_REST1]],
  IF(ESTIMATIVA[[#This Row],[QT_CANA_REAL]]&gt;0,ESTIMATIVA[[#This Row],[QT_CANA_REAL]],ESTIMATIVA[[#This Row],[QT_CANA_EST]]))</f>
        <v>190.76</v>
      </c>
      <c r="AC32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142.34</v>
      </c>
      <c r="AD329" s="1">
        <f>IF(ESTIMATIVA[[#This Row],[QT_AREA_REAL]]&gt;0,ESTIMATIVA[[#This Row],[QT_CANA_REAL]],ESTIMATIVA[[#This Row],[QT_CANA_EST]])</f>
        <v>142.34</v>
      </c>
      <c r="AE329" s="1">
        <f>IF(ESTIMATIVA[[#This Row],[QT_AREA_REAL]]&gt;0,ESTIMATIVA[[#This Row],[QT_CANA_REAL]],ESTIMATIVA[[#This Row],[QT_CANA_REST1]])</f>
        <v>142.34</v>
      </c>
      <c r="AF329" s="1">
        <f>IF(ESTIMATIVA[[#This Row],[QT_AREA_REAL]]&gt;0,ESTIMATIVA[[#This Row],[QT_CANA_REAL]],ESTIMATIVA[[#This Row],[QT_CANA_REST2]])</f>
        <v>142.34</v>
      </c>
      <c r="AG329" s="1" t="str">
        <f>IF(COUNTIFS(GEADA!A:A,VALUE(ESTIMATIVA[[#This Row],[CD_UPNIVEL1]]&amp;TEXT(ESTIMATIVA[[#This Row],[CD_UPNIVEL3]],"0000")))&gt;0,"S","N")</f>
        <v>N</v>
      </c>
      <c r="AH32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29" s="55" t="str">
        <f>IF(ESTIMATIVA[[#This Row],[TP_CULTIVO]]="Irrigado",_xlfn.MAXIFS(IRRIGADO!J:J,IRRIGADO!C:C,ESTIMATIVA[[#This Row],[CD_UPNIVEL1]],IRRIGADO!E:E,ESTIMATIVA[[#This Row],[CD_UPNIVEL3]]),"")</f>
        <v/>
      </c>
      <c r="AJ32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29" s="1">
        <f>COUNTIFS(Apresentação!$E$23:$E$29,ESTIMATIVA[[#This Row],[CD_UPNIVEL1]])</f>
        <v>0</v>
      </c>
    </row>
    <row r="330" spans="1:37" x14ac:dyDescent="0.3">
      <c r="A330">
        <v>20314</v>
      </c>
      <c r="B330" t="s">
        <v>27</v>
      </c>
      <c r="C330">
        <v>47</v>
      </c>
      <c r="D330">
        <v>6</v>
      </c>
      <c r="E330" t="s">
        <v>261</v>
      </c>
      <c r="F330" s="85" t="s">
        <v>332</v>
      </c>
      <c r="G330"/>
      <c r="H330" t="s">
        <v>295</v>
      </c>
      <c r="I330" t="s">
        <v>197</v>
      </c>
      <c r="J330" t="s">
        <v>176</v>
      </c>
      <c r="K330" s="1">
        <v>2.2999999999999998</v>
      </c>
      <c r="L330" s="1">
        <v>2.2999999999999998</v>
      </c>
      <c r="M330" s="1">
        <v>0</v>
      </c>
      <c r="N330" s="1">
        <v>2.2999999999999998</v>
      </c>
      <c r="O330" s="1">
        <v>174.8</v>
      </c>
      <c r="P330" s="1">
        <v>174.8</v>
      </c>
      <c r="Q330" s="1">
        <v>0</v>
      </c>
      <c r="R330" s="1">
        <v>130.41999999999999</v>
      </c>
      <c r="S330" t="s">
        <v>12</v>
      </c>
      <c r="T330" s="13">
        <v>45879</v>
      </c>
      <c r="U330" s="1" t="str">
        <f>IF(ESTIMATIVA[[#This Row],[QT_AREA_REAL]]&gt;0,"1- Colhido","2- à Colher")</f>
        <v>1- Colhido</v>
      </c>
      <c r="V330" s="1" t="str">
        <f>IF(ESTIMATIVA[[#This Row],[QT_AREA_REST1]]&gt;0,"Reestimativa 1",IF(ESTIMATIVA[[#This Row],[QT_AREA_REAL]]=0,"Reestimativa 1","Realizado"))</f>
        <v>Reestimativa 1</v>
      </c>
      <c r="W330" s="1" t="str">
        <f>IF(ESTIMATIVA[[#This Row],[QT_AREA_REST2]]&gt;0,"Reestimativa 2",IF(ESTIMATIVA[[#This Row],[QT_AREA_REAL]]=0,"Reestimativa 2","Realizado"))</f>
        <v>Realizado</v>
      </c>
      <c r="X330" s="1">
        <f>ESTIMATIVA[[#This Row],[QT_AREA_EST]]</f>
        <v>2.2999999999999998</v>
      </c>
      <c r="Y330" s="1">
        <f>IF(ESTIMATIVA[[#This Row],[QT_AREA_REST1]]&gt;0,ESTIMATIVA[[#This Row],[QT_AREA_REST1]],
  IF(ESTIMATIVA[[#This Row],[QT_AREA_REAL]]&gt;0,ESTIMATIVA[[#This Row],[QT_AREA_REAL]],ESTIMATIVA[[#This Row],[QT_AREA_EST]]))</f>
        <v>2.2999999999999998</v>
      </c>
      <c r="Z33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2.2999999999999998</v>
      </c>
      <c r="AA330" s="1">
        <f>ESTIMATIVA[[#This Row],[QT_CANA_EST]]</f>
        <v>174.8</v>
      </c>
      <c r="AB330" s="1">
        <f>IF(ESTIMATIVA[[#This Row],[QT_CANA_REST1]]&gt;0,ESTIMATIVA[[#This Row],[QT_CANA_REST1]],
  IF(ESTIMATIVA[[#This Row],[QT_CANA_REAL]]&gt;0,ESTIMATIVA[[#This Row],[QT_CANA_REAL]],ESTIMATIVA[[#This Row],[QT_CANA_EST]]))</f>
        <v>174.8</v>
      </c>
      <c r="AC33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130.41999999999999</v>
      </c>
      <c r="AD330" s="1">
        <f>IF(ESTIMATIVA[[#This Row],[QT_AREA_REAL]]&gt;0,ESTIMATIVA[[#This Row],[QT_CANA_REAL]],ESTIMATIVA[[#This Row],[QT_CANA_EST]])</f>
        <v>130.41999999999999</v>
      </c>
      <c r="AE330" s="1">
        <f>IF(ESTIMATIVA[[#This Row],[QT_AREA_REAL]]&gt;0,ESTIMATIVA[[#This Row],[QT_CANA_REAL]],ESTIMATIVA[[#This Row],[QT_CANA_REST1]])</f>
        <v>130.41999999999999</v>
      </c>
      <c r="AF330" s="1">
        <f>IF(ESTIMATIVA[[#This Row],[QT_AREA_REAL]]&gt;0,ESTIMATIVA[[#This Row],[QT_CANA_REAL]],ESTIMATIVA[[#This Row],[QT_CANA_REST2]])</f>
        <v>130.41999999999999</v>
      </c>
      <c r="AG330" s="1" t="str">
        <f>IF(COUNTIFS(GEADA!A:A,VALUE(ESTIMATIVA[[#This Row],[CD_UPNIVEL1]]&amp;TEXT(ESTIMATIVA[[#This Row],[CD_UPNIVEL3]],"0000")))&gt;0,"S","N")</f>
        <v>N</v>
      </c>
      <c r="AH33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30" s="55" t="str">
        <f>IF(ESTIMATIVA[[#This Row],[TP_CULTIVO]]="Irrigado",_xlfn.MAXIFS(IRRIGADO!J:J,IRRIGADO!C:C,ESTIMATIVA[[#This Row],[CD_UPNIVEL1]],IRRIGADO!E:E,ESTIMATIVA[[#This Row],[CD_UPNIVEL3]]),"")</f>
        <v/>
      </c>
      <c r="AJ33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30" s="1">
        <f>COUNTIFS(Apresentação!$E$23:$E$29,ESTIMATIVA[[#This Row],[CD_UPNIVEL1]])</f>
        <v>0</v>
      </c>
    </row>
    <row r="331" spans="1:37" x14ac:dyDescent="0.3">
      <c r="A331">
        <v>20314</v>
      </c>
      <c r="B331" t="s">
        <v>27</v>
      </c>
      <c r="C331">
        <v>48</v>
      </c>
      <c r="D331">
        <v>6</v>
      </c>
      <c r="E331" t="s">
        <v>261</v>
      </c>
      <c r="F331" s="85" t="s">
        <v>332</v>
      </c>
      <c r="G331"/>
      <c r="H331" t="s">
        <v>295</v>
      </c>
      <c r="I331" t="s">
        <v>197</v>
      </c>
      <c r="J331" t="s">
        <v>176</v>
      </c>
      <c r="K331" s="1">
        <v>2.2999999999999998</v>
      </c>
      <c r="L331" s="1">
        <v>2.2999999999999998</v>
      </c>
      <c r="M331" s="1">
        <v>0</v>
      </c>
      <c r="N331" s="1">
        <v>2.2999999999999998</v>
      </c>
      <c r="O331" s="1">
        <v>174.8</v>
      </c>
      <c r="P331" s="1">
        <v>174.8</v>
      </c>
      <c r="Q331" s="1">
        <v>0</v>
      </c>
      <c r="R331" s="1">
        <v>130.41999999999999</v>
      </c>
      <c r="S331" t="s">
        <v>12</v>
      </c>
      <c r="T331" s="13">
        <v>45879</v>
      </c>
      <c r="U331" s="1" t="str">
        <f>IF(ESTIMATIVA[[#This Row],[QT_AREA_REAL]]&gt;0,"1- Colhido","2- à Colher")</f>
        <v>1- Colhido</v>
      </c>
      <c r="V331" s="1" t="str">
        <f>IF(ESTIMATIVA[[#This Row],[QT_AREA_REST1]]&gt;0,"Reestimativa 1",IF(ESTIMATIVA[[#This Row],[QT_AREA_REAL]]=0,"Reestimativa 1","Realizado"))</f>
        <v>Reestimativa 1</v>
      </c>
      <c r="W331" s="1" t="str">
        <f>IF(ESTIMATIVA[[#This Row],[QT_AREA_REST2]]&gt;0,"Reestimativa 2",IF(ESTIMATIVA[[#This Row],[QT_AREA_REAL]]=0,"Reestimativa 2","Realizado"))</f>
        <v>Realizado</v>
      </c>
      <c r="X331" s="1">
        <f>ESTIMATIVA[[#This Row],[QT_AREA_EST]]</f>
        <v>2.2999999999999998</v>
      </c>
      <c r="Y331" s="1">
        <f>IF(ESTIMATIVA[[#This Row],[QT_AREA_REST1]]&gt;0,ESTIMATIVA[[#This Row],[QT_AREA_REST1]],
  IF(ESTIMATIVA[[#This Row],[QT_AREA_REAL]]&gt;0,ESTIMATIVA[[#This Row],[QT_AREA_REAL]],ESTIMATIVA[[#This Row],[QT_AREA_EST]]))</f>
        <v>2.2999999999999998</v>
      </c>
      <c r="Z33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2.2999999999999998</v>
      </c>
      <c r="AA331" s="1">
        <f>ESTIMATIVA[[#This Row],[QT_CANA_EST]]</f>
        <v>174.8</v>
      </c>
      <c r="AB331" s="1">
        <f>IF(ESTIMATIVA[[#This Row],[QT_CANA_REST1]]&gt;0,ESTIMATIVA[[#This Row],[QT_CANA_REST1]],
  IF(ESTIMATIVA[[#This Row],[QT_CANA_REAL]]&gt;0,ESTIMATIVA[[#This Row],[QT_CANA_REAL]],ESTIMATIVA[[#This Row],[QT_CANA_EST]]))</f>
        <v>174.8</v>
      </c>
      <c r="AC33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130.41999999999999</v>
      </c>
      <c r="AD331" s="1">
        <f>IF(ESTIMATIVA[[#This Row],[QT_AREA_REAL]]&gt;0,ESTIMATIVA[[#This Row],[QT_CANA_REAL]],ESTIMATIVA[[#This Row],[QT_CANA_EST]])</f>
        <v>130.41999999999999</v>
      </c>
      <c r="AE331" s="1">
        <f>IF(ESTIMATIVA[[#This Row],[QT_AREA_REAL]]&gt;0,ESTIMATIVA[[#This Row],[QT_CANA_REAL]],ESTIMATIVA[[#This Row],[QT_CANA_REST1]])</f>
        <v>130.41999999999999</v>
      </c>
      <c r="AF331" s="1">
        <f>IF(ESTIMATIVA[[#This Row],[QT_AREA_REAL]]&gt;0,ESTIMATIVA[[#This Row],[QT_CANA_REAL]],ESTIMATIVA[[#This Row],[QT_CANA_REST2]])</f>
        <v>130.41999999999999</v>
      </c>
      <c r="AG331" s="1" t="str">
        <f>IF(COUNTIFS(GEADA!A:A,VALUE(ESTIMATIVA[[#This Row],[CD_UPNIVEL1]]&amp;TEXT(ESTIMATIVA[[#This Row],[CD_UPNIVEL3]],"0000")))&gt;0,"S","N")</f>
        <v>N</v>
      </c>
      <c r="AH33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31" s="55" t="str">
        <f>IF(ESTIMATIVA[[#This Row],[TP_CULTIVO]]="Irrigado",_xlfn.MAXIFS(IRRIGADO!J:J,IRRIGADO!C:C,ESTIMATIVA[[#This Row],[CD_UPNIVEL1]],IRRIGADO!E:E,ESTIMATIVA[[#This Row],[CD_UPNIVEL3]]),"")</f>
        <v/>
      </c>
      <c r="AJ33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31" s="1">
        <f>COUNTIFS(Apresentação!$E$23:$E$29,ESTIMATIVA[[#This Row],[CD_UPNIVEL1]])</f>
        <v>0</v>
      </c>
    </row>
    <row r="332" spans="1:37" x14ac:dyDescent="0.3">
      <c r="A332">
        <v>20314</v>
      </c>
      <c r="B332" t="s">
        <v>27</v>
      </c>
      <c r="C332">
        <v>49</v>
      </c>
      <c r="D332">
        <v>6</v>
      </c>
      <c r="E332" t="s">
        <v>261</v>
      </c>
      <c r="F332" s="85" t="s">
        <v>332</v>
      </c>
      <c r="G332"/>
      <c r="H332" t="s">
        <v>295</v>
      </c>
      <c r="I332" t="s">
        <v>197</v>
      </c>
      <c r="J332" t="s">
        <v>176</v>
      </c>
      <c r="K332" s="1">
        <v>1.02</v>
      </c>
      <c r="L332" s="1">
        <v>1.02</v>
      </c>
      <c r="M332" s="1">
        <v>0</v>
      </c>
      <c r="N332" s="1">
        <v>1.02</v>
      </c>
      <c r="O332" s="1">
        <v>77.52</v>
      </c>
      <c r="P332" s="1">
        <v>77.52</v>
      </c>
      <c r="Q332" s="1">
        <v>0</v>
      </c>
      <c r="R332" s="1">
        <v>58.09</v>
      </c>
      <c r="S332" t="s">
        <v>12</v>
      </c>
      <c r="T332" s="13">
        <v>45879</v>
      </c>
      <c r="U332" s="1" t="str">
        <f>IF(ESTIMATIVA[[#This Row],[QT_AREA_REAL]]&gt;0,"1- Colhido","2- à Colher")</f>
        <v>1- Colhido</v>
      </c>
      <c r="V332" s="1" t="str">
        <f>IF(ESTIMATIVA[[#This Row],[QT_AREA_REST1]]&gt;0,"Reestimativa 1",IF(ESTIMATIVA[[#This Row],[QT_AREA_REAL]]=0,"Reestimativa 1","Realizado"))</f>
        <v>Reestimativa 1</v>
      </c>
      <c r="W332" s="1" t="str">
        <f>IF(ESTIMATIVA[[#This Row],[QT_AREA_REST2]]&gt;0,"Reestimativa 2",IF(ESTIMATIVA[[#This Row],[QT_AREA_REAL]]=0,"Reestimativa 2","Realizado"))</f>
        <v>Realizado</v>
      </c>
      <c r="X332" s="1">
        <f>ESTIMATIVA[[#This Row],[QT_AREA_EST]]</f>
        <v>1.02</v>
      </c>
      <c r="Y332" s="1">
        <f>IF(ESTIMATIVA[[#This Row],[QT_AREA_REST1]]&gt;0,ESTIMATIVA[[#This Row],[QT_AREA_REST1]],
  IF(ESTIMATIVA[[#This Row],[QT_AREA_REAL]]&gt;0,ESTIMATIVA[[#This Row],[QT_AREA_REAL]],ESTIMATIVA[[#This Row],[QT_AREA_EST]]))</f>
        <v>1.02</v>
      </c>
      <c r="Z33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1.02</v>
      </c>
      <c r="AA332" s="1">
        <f>ESTIMATIVA[[#This Row],[QT_CANA_EST]]</f>
        <v>77.52</v>
      </c>
      <c r="AB332" s="1">
        <f>IF(ESTIMATIVA[[#This Row],[QT_CANA_REST1]]&gt;0,ESTIMATIVA[[#This Row],[QT_CANA_REST1]],
  IF(ESTIMATIVA[[#This Row],[QT_CANA_REAL]]&gt;0,ESTIMATIVA[[#This Row],[QT_CANA_REAL]],ESTIMATIVA[[#This Row],[QT_CANA_EST]]))</f>
        <v>77.52</v>
      </c>
      <c r="AC33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58.09</v>
      </c>
      <c r="AD332" s="1">
        <f>IF(ESTIMATIVA[[#This Row],[QT_AREA_REAL]]&gt;0,ESTIMATIVA[[#This Row],[QT_CANA_REAL]],ESTIMATIVA[[#This Row],[QT_CANA_EST]])</f>
        <v>58.09</v>
      </c>
      <c r="AE332" s="1">
        <f>IF(ESTIMATIVA[[#This Row],[QT_AREA_REAL]]&gt;0,ESTIMATIVA[[#This Row],[QT_CANA_REAL]],ESTIMATIVA[[#This Row],[QT_CANA_REST1]])</f>
        <v>58.09</v>
      </c>
      <c r="AF332" s="1">
        <f>IF(ESTIMATIVA[[#This Row],[QT_AREA_REAL]]&gt;0,ESTIMATIVA[[#This Row],[QT_CANA_REAL]],ESTIMATIVA[[#This Row],[QT_CANA_REST2]])</f>
        <v>58.09</v>
      </c>
      <c r="AG332" s="1" t="str">
        <f>IF(COUNTIFS(GEADA!A:A,VALUE(ESTIMATIVA[[#This Row],[CD_UPNIVEL1]]&amp;TEXT(ESTIMATIVA[[#This Row],[CD_UPNIVEL3]],"0000")))&gt;0,"S","N")</f>
        <v>N</v>
      </c>
      <c r="AH33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32" s="55" t="str">
        <f>IF(ESTIMATIVA[[#This Row],[TP_CULTIVO]]="Irrigado",_xlfn.MAXIFS(IRRIGADO!J:J,IRRIGADO!C:C,ESTIMATIVA[[#This Row],[CD_UPNIVEL1]],IRRIGADO!E:E,ESTIMATIVA[[#This Row],[CD_UPNIVEL3]]),"")</f>
        <v/>
      </c>
      <c r="AJ33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32" s="1">
        <f>COUNTIFS(Apresentação!$E$23:$E$29,ESTIMATIVA[[#This Row],[CD_UPNIVEL1]])</f>
        <v>0</v>
      </c>
    </row>
    <row r="333" spans="1:37" x14ac:dyDescent="0.3">
      <c r="A333">
        <v>20314</v>
      </c>
      <c r="B333" t="s">
        <v>27</v>
      </c>
      <c r="C333">
        <v>50</v>
      </c>
      <c r="D333">
        <v>6</v>
      </c>
      <c r="E333" t="s">
        <v>261</v>
      </c>
      <c r="F333" s="85" t="s">
        <v>332</v>
      </c>
      <c r="G333"/>
      <c r="H333" t="s">
        <v>295</v>
      </c>
      <c r="I333" t="s">
        <v>197</v>
      </c>
      <c r="J333" t="s">
        <v>176</v>
      </c>
      <c r="K333" s="1">
        <v>2.41</v>
      </c>
      <c r="L333" s="1">
        <v>2.41</v>
      </c>
      <c r="M333" s="1">
        <v>0</v>
      </c>
      <c r="N333" s="1">
        <v>2.41</v>
      </c>
      <c r="O333" s="1">
        <v>183.16</v>
      </c>
      <c r="P333" s="1">
        <v>183.16</v>
      </c>
      <c r="Q333" s="1">
        <v>0</v>
      </c>
      <c r="R333" s="1">
        <v>136.38</v>
      </c>
      <c r="S333" t="s">
        <v>12</v>
      </c>
      <c r="T333" s="13">
        <v>45879</v>
      </c>
      <c r="U333" s="1" t="str">
        <f>IF(ESTIMATIVA[[#This Row],[QT_AREA_REAL]]&gt;0,"1- Colhido","2- à Colher")</f>
        <v>1- Colhido</v>
      </c>
      <c r="V333" s="1" t="str">
        <f>IF(ESTIMATIVA[[#This Row],[QT_AREA_REST1]]&gt;0,"Reestimativa 1",IF(ESTIMATIVA[[#This Row],[QT_AREA_REAL]]=0,"Reestimativa 1","Realizado"))</f>
        <v>Reestimativa 1</v>
      </c>
      <c r="W333" s="1" t="str">
        <f>IF(ESTIMATIVA[[#This Row],[QT_AREA_REST2]]&gt;0,"Reestimativa 2",IF(ESTIMATIVA[[#This Row],[QT_AREA_REAL]]=0,"Reestimativa 2","Realizado"))</f>
        <v>Realizado</v>
      </c>
      <c r="X333" s="1">
        <f>ESTIMATIVA[[#This Row],[QT_AREA_EST]]</f>
        <v>2.41</v>
      </c>
      <c r="Y333" s="1">
        <f>IF(ESTIMATIVA[[#This Row],[QT_AREA_REST1]]&gt;0,ESTIMATIVA[[#This Row],[QT_AREA_REST1]],
  IF(ESTIMATIVA[[#This Row],[QT_AREA_REAL]]&gt;0,ESTIMATIVA[[#This Row],[QT_AREA_REAL]],ESTIMATIVA[[#This Row],[QT_AREA_EST]]))</f>
        <v>2.41</v>
      </c>
      <c r="Z33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2.41</v>
      </c>
      <c r="AA333" s="1">
        <f>ESTIMATIVA[[#This Row],[QT_CANA_EST]]</f>
        <v>183.16</v>
      </c>
      <c r="AB333" s="1">
        <f>IF(ESTIMATIVA[[#This Row],[QT_CANA_REST1]]&gt;0,ESTIMATIVA[[#This Row],[QT_CANA_REST1]],
  IF(ESTIMATIVA[[#This Row],[QT_CANA_REAL]]&gt;0,ESTIMATIVA[[#This Row],[QT_CANA_REAL]],ESTIMATIVA[[#This Row],[QT_CANA_EST]]))</f>
        <v>183.16</v>
      </c>
      <c r="AC33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136.38</v>
      </c>
      <c r="AD333" s="1">
        <f>IF(ESTIMATIVA[[#This Row],[QT_AREA_REAL]]&gt;0,ESTIMATIVA[[#This Row],[QT_CANA_REAL]],ESTIMATIVA[[#This Row],[QT_CANA_EST]])</f>
        <v>136.38</v>
      </c>
      <c r="AE333" s="1">
        <f>IF(ESTIMATIVA[[#This Row],[QT_AREA_REAL]]&gt;0,ESTIMATIVA[[#This Row],[QT_CANA_REAL]],ESTIMATIVA[[#This Row],[QT_CANA_REST1]])</f>
        <v>136.38</v>
      </c>
      <c r="AF333" s="1">
        <f>IF(ESTIMATIVA[[#This Row],[QT_AREA_REAL]]&gt;0,ESTIMATIVA[[#This Row],[QT_CANA_REAL]],ESTIMATIVA[[#This Row],[QT_CANA_REST2]])</f>
        <v>136.38</v>
      </c>
      <c r="AG333" s="1" t="str">
        <f>IF(COUNTIFS(GEADA!A:A,VALUE(ESTIMATIVA[[#This Row],[CD_UPNIVEL1]]&amp;TEXT(ESTIMATIVA[[#This Row],[CD_UPNIVEL3]],"0000")))&gt;0,"S","N")</f>
        <v>N</v>
      </c>
      <c r="AH33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33" s="55" t="str">
        <f>IF(ESTIMATIVA[[#This Row],[TP_CULTIVO]]="Irrigado",_xlfn.MAXIFS(IRRIGADO!J:J,IRRIGADO!C:C,ESTIMATIVA[[#This Row],[CD_UPNIVEL1]],IRRIGADO!E:E,ESTIMATIVA[[#This Row],[CD_UPNIVEL3]]),"")</f>
        <v/>
      </c>
      <c r="AJ33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33" s="1">
        <f>COUNTIFS(Apresentação!$E$23:$E$29,ESTIMATIVA[[#This Row],[CD_UPNIVEL1]])</f>
        <v>0</v>
      </c>
    </row>
    <row r="334" spans="1:37" x14ac:dyDescent="0.3">
      <c r="A334">
        <v>20314</v>
      </c>
      <c r="B334" t="s">
        <v>27</v>
      </c>
      <c r="C334">
        <v>51</v>
      </c>
      <c r="D334">
        <v>6</v>
      </c>
      <c r="E334" t="s">
        <v>261</v>
      </c>
      <c r="F334" s="85" t="s">
        <v>332</v>
      </c>
      <c r="G334"/>
      <c r="H334" t="s">
        <v>295</v>
      </c>
      <c r="I334" t="s">
        <v>197</v>
      </c>
      <c r="J334" t="s">
        <v>176</v>
      </c>
      <c r="K334" s="1">
        <v>1.41</v>
      </c>
      <c r="L334" s="1">
        <v>1.41</v>
      </c>
      <c r="M334" s="1">
        <v>0</v>
      </c>
      <c r="N334" s="1">
        <v>1.41</v>
      </c>
      <c r="O334" s="1">
        <v>107.16</v>
      </c>
      <c r="P334" s="1">
        <v>107.16</v>
      </c>
      <c r="Q334" s="1">
        <v>0</v>
      </c>
      <c r="R334" s="1">
        <v>79.709999999999994</v>
      </c>
      <c r="S334" t="s">
        <v>12</v>
      </c>
      <c r="T334" s="13">
        <v>45879</v>
      </c>
      <c r="U334" s="1" t="str">
        <f>IF(ESTIMATIVA[[#This Row],[QT_AREA_REAL]]&gt;0,"1- Colhido","2- à Colher")</f>
        <v>1- Colhido</v>
      </c>
      <c r="V334" s="1" t="str">
        <f>IF(ESTIMATIVA[[#This Row],[QT_AREA_REST1]]&gt;0,"Reestimativa 1",IF(ESTIMATIVA[[#This Row],[QT_AREA_REAL]]=0,"Reestimativa 1","Realizado"))</f>
        <v>Reestimativa 1</v>
      </c>
      <c r="W334" s="1" t="str">
        <f>IF(ESTIMATIVA[[#This Row],[QT_AREA_REST2]]&gt;0,"Reestimativa 2",IF(ESTIMATIVA[[#This Row],[QT_AREA_REAL]]=0,"Reestimativa 2","Realizado"))</f>
        <v>Realizado</v>
      </c>
      <c r="X334" s="1">
        <f>ESTIMATIVA[[#This Row],[QT_AREA_EST]]</f>
        <v>1.41</v>
      </c>
      <c r="Y334" s="1">
        <f>IF(ESTIMATIVA[[#This Row],[QT_AREA_REST1]]&gt;0,ESTIMATIVA[[#This Row],[QT_AREA_REST1]],
  IF(ESTIMATIVA[[#This Row],[QT_AREA_REAL]]&gt;0,ESTIMATIVA[[#This Row],[QT_AREA_REAL]],ESTIMATIVA[[#This Row],[QT_AREA_EST]]))</f>
        <v>1.41</v>
      </c>
      <c r="Z33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1.41</v>
      </c>
      <c r="AA334" s="1">
        <f>ESTIMATIVA[[#This Row],[QT_CANA_EST]]</f>
        <v>107.16</v>
      </c>
      <c r="AB334" s="1">
        <f>IF(ESTIMATIVA[[#This Row],[QT_CANA_REST1]]&gt;0,ESTIMATIVA[[#This Row],[QT_CANA_REST1]],
  IF(ESTIMATIVA[[#This Row],[QT_CANA_REAL]]&gt;0,ESTIMATIVA[[#This Row],[QT_CANA_REAL]],ESTIMATIVA[[#This Row],[QT_CANA_EST]]))</f>
        <v>107.16</v>
      </c>
      <c r="AC33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79.709999999999994</v>
      </c>
      <c r="AD334" s="1">
        <f>IF(ESTIMATIVA[[#This Row],[QT_AREA_REAL]]&gt;0,ESTIMATIVA[[#This Row],[QT_CANA_REAL]],ESTIMATIVA[[#This Row],[QT_CANA_EST]])</f>
        <v>79.709999999999994</v>
      </c>
      <c r="AE334" s="1">
        <f>IF(ESTIMATIVA[[#This Row],[QT_AREA_REAL]]&gt;0,ESTIMATIVA[[#This Row],[QT_CANA_REAL]],ESTIMATIVA[[#This Row],[QT_CANA_REST1]])</f>
        <v>79.709999999999994</v>
      </c>
      <c r="AF334" s="1">
        <f>IF(ESTIMATIVA[[#This Row],[QT_AREA_REAL]]&gt;0,ESTIMATIVA[[#This Row],[QT_CANA_REAL]],ESTIMATIVA[[#This Row],[QT_CANA_REST2]])</f>
        <v>79.709999999999994</v>
      </c>
      <c r="AG334" s="1" t="str">
        <f>IF(COUNTIFS(GEADA!A:A,VALUE(ESTIMATIVA[[#This Row],[CD_UPNIVEL1]]&amp;TEXT(ESTIMATIVA[[#This Row],[CD_UPNIVEL3]],"0000")))&gt;0,"S","N")</f>
        <v>N</v>
      </c>
      <c r="AH33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34" s="55" t="str">
        <f>IF(ESTIMATIVA[[#This Row],[TP_CULTIVO]]="Irrigado",_xlfn.MAXIFS(IRRIGADO!J:J,IRRIGADO!C:C,ESTIMATIVA[[#This Row],[CD_UPNIVEL1]],IRRIGADO!E:E,ESTIMATIVA[[#This Row],[CD_UPNIVEL3]]),"")</f>
        <v/>
      </c>
      <c r="AJ33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34" s="1">
        <f>COUNTIFS(Apresentação!$E$23:$E$29,ESTIMATIVA[[#This Row],[CD_UPNIVEL1]])</f>
        <v>0</v>
      </c>
    </row>
    <row r="335" spans="1:37" x14ac:dyDescent="0.3">
      <c r="A335">
        <v>20314</v>
      </c>
      <c r="B335" t="s">
        <v>27</v>
      </c>
      <c r="C335">
        <v>52</v>
      </c>
      <c r="D335">
        <v>6</v>
      </c>
      <c r="E335" t="s">
        <v>261</v>
      </c>
      <c r="F335" s="85" t="s">
        <v>332</v>
      </c>
      <c r="G335"/>
      <c r="H335" t="s">
        <v>295</v>
      </c>
      <c r="I335" t="s">
        <v>197</v>
      </c>
      <c r="J335" t="s">
        <v>176</v>
      </c>
      <c r="K335" s="1">
        <v>0.91</v>
      </c>
      <c r="L335" s="1">
        <v>0.91</v>
      </c>
      <c r="M335" s="1">
        <v>0</v>
      </c>
      <c r="N335" s="1">
        <v>0.91</v>
      </c>
      <c r="O335" s="1">
        <v>69.16</v>
      </c>
      <c r="P335" s="1">
        <v>69.16</v>
      </c>
      <c r="Q335" s="1">
        <v>0</v>
      </c>
      <c r="R335" s="1">
        <v>51.38</v>
      </c>
      <c r="S335" t="s">
        <v>12</v>
      </c>
      <c r="T335" s="13">
        <v>45879</v>
      </c>
      <c r="U335" s="1" t="str">
        <f>IF(ESTIMATIVA[[#This Row],[QT_AREA_REAL]]&gt;0,"1- Colhido","2- à Colher")</f>
        <v>1- Colhido</v>
      </c>
      <c r="V335" s="1" t="str">
        <f>IF(ESTIMATIVA[[#This Row],[QT_AREA_REST1]]&gt;0,"Reestimativa 1",IF(ESTIMATIVA[[#This Row],[QT_AREA_REAL]]=0,"Reestimativa 1","Realizado"))</f>
        <v>Reestimativa 1</v>
      </c>
      <c r="W335" s="1" t="str">
        <f>IF(ESTIMATIVA[[#This Row],[QT_AREA_REST2]]&gt;0,"Reestimativa 2",IF(ESTIMATIVA[[#This Row],[QT_AREA_REAL]]=0,"Reestimativa 2","Realizado"))</f>
        <v>Realizado</v>
      </c>
      <c r="X335" s="1">
        <f>ESTIMATIVA[[#This Row],[QT_AREA_EST]]</f>
        <v>0.91</v>
      </c>
      <c r="Y335" s="1">
        <f>IF(ESTIMATIVA[[#This Row],[QT_AREA_REST1]]&gt;0,ESTIMATIVA[[#This Row],[QT_AREA_REST1]],
  IF(ESTIMATIVA[[#This Row],[QT_AREA_REAL]]&gt;0,ESTIMATIVA[[#This Row],[QT_AREA_REAL]],ESTIMATIVA[[#This Row],[QT_AREA_EST]]))</f>
        <v>0.91</v>
      </c>
      <c r="Z33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0.91</v>
      </c>
      <c r="AA335" s="1">
        <f>ESTIMATIVA[[#This Row],[QT_CANA_EST]]</f>
        <v>69.16</v>
      </c>
      <c r="AB335" s="1">
        <f>IF(ESTIMATIVA[[#This Row],[QT_CANA_REST1]]&gt;0,ESTIMATIVA[[#This Row],[QT_CANA_REST1]],
  IF(ESTIMATIVA[[#This Row],[QT_CANA_REAL]]&gt;0,ESTIMATIVA[[#This Row],[QT_CANA_REAL]],ESTIMATIVA[[#This Row],[QT_CANA_EST]]))</f>
        <v>69.16</v>
      </c>
      <c r="AC33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51.38</v>
      </c>
      <c r="AD335" s="1">
        <f>IF(ESTIMATIVA[[#This Row],[QT_AREA_REAL]]&gt;0,ESTIMATIVA[[#This Row],[QT_CANA_REAL]],ESTIMATIVA[[#This Row],[QT_CANA_EST]])</f>
        <v>51.38</v>
      </c>
      <c r="AE335" s="1">
        <f>IF(ESTIMATIVA[[#This Row],[QT_AREA_REAL]]&gt;0,ESTIMATIVA[[#This Row],[QT_CANA_REAL]],ESTIMATIVA[[#This Row],[QT_CANA_REST1]])</f>
        <v>51.38</v>
      </c>
      <c r="AF335" s="1">
        <f>IF(ESTIMATIVA[[#This Row],[QT_AREA_REAL]]&gt;0,ESTIMATIVA[[#This Row],[QT_CANA_REAL]],ESTIMATIVA[[#This Row],[QT_CANA_REST2]])</f>
        <v>51.38</v>
      </c>
      <c r="AG335" s="1" t="str">
        <f>IF(COUNTIFS(GEADA!A:A,VALUE(ESTIMATIVA[[#This Row],[CD_UPNIVEL1]]&amp;TEXT(ESTIMATIVA[[#This Row],[CD_UPNIVEL3]],"0000")))&gt;0,"S","N")</f>
        <v>N</v>
      </c>
      <c r="AH33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35" s="55" t="str">
        <f>IF(ESTIMATIVA[[#This Row],[TP_CULTIVO]]="Irrigado",_xlfn.MAXIFS(IRRIGADO!J:J,IRRIGADO!C:C,ESTIMATIVA[[#This Row],[CD_UPNIVEL1]],IRRIGADO!E:E,ESTIMATIVA[[#This Row],[CD_UPNIVEL3]]),"")</f>
        <v/>
      </c>
      <c r="AJ33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35" s="1">
        <f>COUNTIFS(Apresentação!$E$23:$E$29,ESTIMATIVA[[#This Row],[CD_UPNIVEL1]])</f>
        <v>0</v>
      </c>
    </row>
    <row r="336" spans="1:37" x14ac:dyDescent="0.3">
      <c r="A336">
        <v>20314</v>
      </c>
      <c r="B336" t="s">
        <v>27</v>
      </c>
      <c r="C336">
        <v>53</v>
      </c>
      <c r="D336">
        <v>6</v>
      </c>
      <c r="E336" t="s">
        <v>261</v>
      </c>
      <c r="F336" s="85" t="s">
        <v>332</v>
      </c>
      <c r="G336"/>
      <c r="H336" t="s">
        <v>295</v>
      </c>
      <c r="I336" t="s">
        <v>197</v>
      </c>
      <c r="J336" t="s">
        <v>176</v>
      </c>
      <c r="K336" s="1">
        <v>4.13</v>
      </c>
      <c r="L336" s="1">
        <v>4.13</v>
      </c>
      <c r="M336" s="1">
        <v>0</v>
      </c>
      <c r="N336" s="1">
        <v>4.13</v>
      </c>
      <c r="O336" s="1">
        <v>301.49</v>
      </c>
      <c r="P336" s="1">
        <v>305.62</v>
      </c>
      <c r="Q336" s="1">
        <v>0</v>
      </c>
      <c r="R336" s="1">
        <v>228.09</v>
      </c>
      <c r="S336" t="s">
        <v>12</v>
      </c>
      <c r="T336" s="13">
        <v>45879</v>
      </c>
      <c r="U336" s="1" t="str">
        <f>IF(ESTIMATIVA[[#This Row],[QT_AREA_REAL]]&gt;0,"1- Colhido","2- à Colher")</f>
        <v>1- Colhido</v>
      </c>
      <c r="V336" s="1" t="str">
        <f>IF(ESTIMATIVA[[#This Row],[QT_AREA_REST1]]&gt;0,"Reestimativa 1",IF(ESTIMATIVA[[#This Row],[QT_AREA_REAL]]=0,"Reestimativa 1","Realizado"))</f>
        <v>Reestimativa 1</v>
      </c>
      <c r="W336" s="1" t="str">
        <f>IF(ESTIMATIVA[[#This Row],[QT_AREA_REST2]]&gt;0,"Reestimativa 2",IF(ESTIMATIVA[[#This Row],[QT_AREA_REAL]]=0,"Reestimativa 2","Realizado"))</f>
        <v>Realizado</v>
      </c>
      <c r="X336" s="1">
        <f>ESTIMATIVA[[#This Row],[QT_AREA_EST]]</f>
        <v>4.13</v>
      </c>
      <c r="Y336" s="1">
        <f>IF(ESTIMATIVA[[#This Row],[QT_AREA_REST1]]&gt;0,ESTIMATIVA[[#This Row],[QT_AREA_REST1]],
  IF(ESTIMATIVA[[#This Row],[QT_AREA_REAL]]&gt;0,ESTIMATIVA[[#This Row],[QT_AREA_REAL]],ESTIMATIVA[[#This Row],[QT_AREA_EST]]))</f>
        <v>4.13</v>
      </c>
      <c r="Z33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4.13</v>
      </c>
      <c r="AA336" s="1">
        <f>ESTIMATIVA[[#This Row],[QT_CANA_EST]]</f>
        <v>301.49</v>
      </c>
      <c r="AB336" s="1">
        <f>IF(ESTIMATIVA[[#This Row],[QT_CANA_REST1]]&gt;0,ESTIMATIVA[[#This Row],[QT_CANA_REST1]],
  IF(ESTIMATIVA[[#This Row],[QT_CANA_REAL]]&gt;0,ESTIMATIVA[[#This Row],[QT_CANA_REAL]],ESTIMATIVA[[#This Row],[QT_CANA_EST]]))</f>
        <v>305.62</v>
      </c>
      <c r="AC33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228.09</v>
      </c>
      <c r="AD336" s="1">
        <f>IF(ESTIMATIVA[[#This Row],[QT_AREA_REAL]]&gt;0,ESTIMATIVA[[#This Row],[QT_CANA_REAL]],ESTIMATIVA[[#This Row],[QT_CANA_EST]])</f>
        <v>228.09</v>
      </c>
      <c r="AE336" s="1">
        <f>IF(ESTIMATIVA[[#This Row],[QT_AREA_REAL]]&gt;0,ESTIMATIVA[[#This Row],[QT_CANA_REAL]],ESTIMATIVA[[#This Row],[QT_CANA_REST1]])</f>
        <v>228.09</v>
      </c>
      <c r="AF336" s="1">
        <f>IF(ESTIMATIVA[[#This Row],[QT_AREA_REAL]]&gt;0,ESTIMATIVA[[#This Row],[QT_CANA_REAL]],ESTIMATIVA[[#This Row],[QT_CANA_REST2]])</f>
        <v>228.09</v>
      </c>
      <c r="AG336" s="1" t="str">
        <f>IF(COUNTIFS(GEADA!A:A,VALUE(ESTIMATIVA[[#This Row],[CD_UPNIVEL1]]&amp;TEXT(ESTIMATIVA[[#This Row],[CD_UPNIVEL3]],"0000")))&gt;0,"S","N")</f>
        <v>N</v>
      </c>
      <c r="AH33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36" s="55" t="str">
        <f>IF(ESTIMATIVA[[#This Row],[TP_CULTIVO]]="Irrigado",_xlfn.MAXIFS(IRRIGADO!J:J,IRRIGADO!C:C,ESTIMATIVA[[#This Row],[CD_UPNIVEL1]],IRRIGADO!E:E,ESTIMATIVA[[#This Row],[CD_UPNIVEL3]]),"")</f>
        <v/>
      </c>
      <c r="AJ33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36" s="1">
        <f>COUNTIFS(Apresentação!$E$23:$E$29,ESTIMATIVA[[#This Row],[CD_UPNIVEL1]])</f>
        <v>0</v>
      </c>
    </row>
    <row r="337" spans="1:37" x14ac:dyDescent="0.3">
      <c r="A337">
        <v>20314</v>
      </c>
      <c r="B337" t="s">
        <v>27</v>
      </c>
      <c r="C337">
        <v>54</v>
      </c>
      <c r="D337">
        <v>6</v>
      </c>
      <c r="E337" t="s">
        <v>261</v>
      </c>
      <c r="F337" s="85" t="s">
        <v>332</v>
      </c>
      <c r="G337"/>
      <c r="H337" t="s">
        <v>295</v>
      </c>
      <c r="I337" t="s">
        <v>197</v>
      </c>
      <c r="J337" t="s">
        <v>176</v>
      </c>
      <c r="K337" s="1">
        <v>2.2799999999999998</v>
      </c>
      <c r="L337" s="1">
        <v>2.2799999999999998</v>
      </c>
      <c r="M337" s="1">
        <v>0</v>
      </c>
      <c r="N337" s="1">
        <v>2.2799999999999998</v>
      </c>
      <c r="O337" s="1">
        <v>166.44</v>
      </c>
      <c r="P337" s="1">
        <v>168.72</v>
      </c>
      <c r="Q337" s="1">
        <v>0</v>
      </c>
      <c r="R337" s="1">
        <v>125.94</v>
      </c>
      <c r="S337" t="s">
        <v>12</v>
      </c>
      <c r="T337" s="13">
        <v>45879</v>
      </c>
      <c r="U337" s="1" t="str">
        <f>IF(ESTIMATIVA[[#This Row],[QT_AREA_REAL]]&gt;0,"1- Colhido","2- à Colher")</f>
        <v>1- Colhido</v>
      </c>
      <c r="V337" s="1" t="str">
        <f>IF(ESTIMATIVA[[#This Row],[QT_AREA_REST1]]&gt;0,"Reestimativa 1",IF(ESTIMATIVA[[#This Row],[QT_AREA_REAL]]=0,"Reestimativa 1","Realizado"))</f>
        <v>Reestimativa 1</v>
      </c>
      <c r="W337" s="1" t="str">
        <f>IF(ESTIMATIVA[[#This Row],[QT_AREA_REST2]]&gt;0,"Reestimativa 2",IF(ESTIMATIVA[[#This Row],[QT_AREA_REAL]]=0,"Reestimativa 2","Realizado"))</f>
        <v>Realizado</v>
      </c>
      <c r="X337" s="1">
        <f>ESTIMATIVA[[#This Row],[QT_AREA_EST]]</f>
        <v>2.2799999999999998</v>
      </c>
      <c r="Y337" s="1">
        <f>IF(ESTIMATIVA[[#This Row],[QT_AREA_REST1]]&gt;0,ESTIMATIVA[[#This Row],[QT_AREA_REST1]],
  IF(ESTIMATIVA[[#This Row],[QT_AREA_REAL]]&gt;0,ESTIMATIVA[[#This Row],[QT_AREA_REAL]],ESTIMATIVA[[#This Row],[QT_AREA_EST]]))</f>
        <v>2.2799999999999998</v>
      </c>
      <c r="Z33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2.2799999999999998</v>
      </c>
      <c r="AA337" s="1">
        <f>ESTIMATIVA[[#This Row],[QT_CANA_EST]]</f>
        <v>166.44</v>
      </c>
      <c r="AB337" s="1">
        <f>IF(ESTIMATIVA[[#This Row],[QT_CANA_REST1]]&gt;0,ESTIMATIVA[[#This Row],[QT_CANA_REST1]],
  IF(ESTIMATIVA[[#This Row],[QT_CANA_REAL]]&gt;0,ESTIMATIVA[[#This Row],[QT_CANA_REAL]],ESTIMATIVA[[#This Row],[QT_CANA_EST]]))</f>
        <v>168.72</v>
      </c>
      <c r="AC33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125.94</v>
      </c>
      <c r="AD337" s="1">
        <f>IF(ESTIMATIVA[[#This Row],[QT_AREA_REAL]]&gt;0,ESTIMATIVA[[#This Row],[QT_CANA_REAL]],ESTIMATIVA[[#This Row],[QT_CANA_EST]])</f>
        <v>125.94</v>
      </c>
      <c r="AE337" s="1">
        <f>IF(ESTIMATIVA[[#This Row],[QT_AREA_REAL]]&gt;0,ESTIMATIVA[[#This Row],[QT_CANA_REAL]],ESTIMATIVA[[#This Row],[QT_CANA_REST1]])</f>
        <v>125.94</v>
      </c>
      <c r="AF337" s="1">
        <f>IF(ESTIMATIVA[[#This Row],[QT_AREA_REAL]]&gt;0,ESTIMATIVA[[#This Row],[QT_CANA_REAL]],ESTIMATIVA[[#This Row],[QT_CANA_REST2]])</f>
        <v>125.94</v>
      </c>
      <c r="AG337" s="1" t="str">
        <f>IF(COUNTIFS(GEADA!A:A,VALUE(ESTIMATIVA[[#This Row],[CD_UPNIVEL1]]&amp;TEXT(ESTIMATIVA[[#This Row],[CD_UPNIVEL3]],"0000")))&gt;0,"S","N")</f>
        <v>N</v>
      </c>
      <c r="AH33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37" s="55" t="str">
        <f>IF(ESTIMATIVA[[#This Row],[TP_CULTIVO]]="Irrigado",_xlfn.MAXIFS(IRRIGADO!J:J,IRRIGADO!C:C,ESTIMATIVA[[#This Row],[CD_UPNIVEL1]],IRRIGADO!E:E,ESTIMATIVA[[#This Row],[CD_UPNIVEL3]]),"")</f>
        <v/>
      </c>
      <c r="AJ33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37" s="1">
        <f>COUNTIFS(Apresentação!$E$23:$E$29,ESTIMATIVA[[#This Row],[CD_UPNIVEL1]])</f>
        <v>0</v>
      </c>
    </row>
    <row r="338" spans="1:37" x14ac:dyDescent="0.3">
      <c r="A338">
        <v>20314</v>
      </c>
      <c r="B338" t="s">
        <v>27</v>
      </c>
      <c r="C338">
        <v>55</v>
      </c>
      <c r="D338">
        <v>6</v>
      </c>
      <c r="E338" t="s">
        <v>261</v>
      </c>
      <c r="F338" s="85" t="s">
        <v>332</v>
      </c>
      <c r="G338"/>
      <c r="H338" t="s">
        <v>295</v>
      </c>
      <c r="I338" t="s">
        <v>197</v>
      </c>
      <c r="J338" t="s">
        <v>176</v>
      </c>
      <c r="K338" s="1">
        <v>4.84</v>
      </c>
      <c r="L338" s="1">
        <v>4.84</v>
      </c>
      <c r="M338" s="1">
        <v>0</v>
      </c>
      <c r="N338" s="1">
        <v>4.84</v>
      </c>
      <c r="O338" s="1">
        <v>353.32</v>
      </c>
      <c r="P338" s="1">
        <v>358.16</v>
      </c>
      <c r="Q338" s="1">
        <v>0</v>
      </c>
      <c r="R338" s="1">
        <v>266.86</v>
      </c>
      <c r="S338" t="s">
        <v>12</v>
      </c>
      <c r="T338" s="13">
        <v>45879</v>
      </c>
      <c r="U338" s="1" t="str">
        <f>IF(ESTIMATIVA[[#This Row],[QT_AREA_REAL]]&gt;0,"1- Colhido","2- à Colher")</f>
        <v>1- Colhido</v>
      </c>
      <c r="V338" s="1" t="str">
        <f>IF(ESTIMATIVA[[#This Row],[QT_AREA_REST1]]&gt;0,"Reestimativa 1",IF(ESTIMATIVA[[#This Row],[QT_AREA_REAL]]=0,"Reestimativa 1","Realizado"))</f>
        <v>Reestimativa 1</v>
      </c>
      <c r="W338" s="1" t="str">
        <f>IF(ESTIMATIVA[[#This Row],[QT_AREA_REST2]]&gt;0,"Reestimativa 2",IF(ESTIMATIVA[[#This Row],[QT_AREA_REAL]]=0,"Reestimativa 2","Realizado"))</f>
        <v>Realizado</v>
      </c>
      <c r="X338" s="1">
        <f>ESTIMATIVA[[#This Row],[QT_AREA_EST]]</f>
        <v>4.84</v>
      </c>
      <c r="Y338" s="1">
        <f>IF(ESTIMATIVA[[#This Row],[QT_AREA_REST1]]&gt;0,ESTIMATIVA[[#This Row],[QT_AREA_REST1]],
  IF(ESTIMATIVA[[#This Row],[QT_AREA_REAL]]&gt;0,ESTIMATIVA[[#This Row],[QT_AREA_REAL]],ESTIMATIVA[[#This Row],[QT_AREA_EST]]))</f>
        <v>4.84</v>
      </c>
      <c r="Z33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4.84</v>
      </c>
      <c r="AA338" s="1">
        <f>ESTIMATIVA[[#This Row],[QT_CANA_EST]]</f>
        <v>353.32</v>
      </c>
      <c r="AB338" s="1">
        <f>IF(ESTIMATIVA[[#This Row],[QT_CANA_REST1]]&gt;0,ESTIMATIVA[[#This Row],[QT_CANA_REST1]],
  IF(ESTIMATIVA[[#This Row],[QT_CANA_REAL]]&gt;0,ESTIMATIVA[[#This Row],[QT_CANA_REAL]],ESTIMATIVA[[#This Row],[QT_CANA_EST]]))</f>
        <v>358.16</v>
      </c>
      <c r="AC33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266.86</v>
      </c>
      <c r="AD338" s="1">
        <f>IF(ESTIMATIVA[[#This Row],[QT_AREA_REAL]]&gt;0,ESTIMATIVA[[#This Row],[QT_CANA_REAL]],ESTIMATIVA[[#This Row],[QT_CANA_EST]])</f>
        <v>266.86</v>
      </c>
      <c r="AE338" s="1">
        <f>IF(ESTIMATIVA[[#This Row],[QT_AREA_REAL]]&gt;0,ESTIMATIVA[[#This Row],[QT_CANA_REAL]],ESTIMATIVA[[#This Row],[QT_CANA_REST1]])</f>
        <v>266.86</v>
      </c>
      <c r="AF338" s="1">
        <f>IF(ESTIMATIVA[[#This Row],[QT_AREA_REAL]]&gt;0,ESTIMATIVA[[#This Row],[QT_CANA_REAL]],ESTIMATIVA[[#This Row],[QT_CANA_REST2]])</f>
        <v>266.86</v>
      </c>
      <c r="AG338" s="1" t="str">
        <f>IF(COUNTIFS(GEADA!A:A,VALUE(ESTIMATIVA[[#This Row],[CD_UPNIVEL1]]&amp;TEXT(ESTIMATIVA[[#This Row],[CD_UPNIVEL3]],"0000")))&gt;0,"S","N")</f>
        <v>N</v>
      </c>
      <c r="AH33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38" s="55" t="str">
        <f>IF(ESTIMATIVA[[#This Row],[TP_CULTIVO]]="Irrigado",_xlfn.MAXIFS(IRRIGADO!J:J,IRRIGADO!C:C,ESTIMATIVA[[#This Row],[CD_UPNIVEL1]],IRRIGADO!E:E,ESTIMATIVA[[#This Row],[CD_UPNIVEL3]]),"")</f>
        <v/>
      </c>
      <c r="AJ33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38" s="1">
        <f>COUNTIFS(Apresentação!$E$23:$E$29,ESTIMATIVA[[#This Row],[CD_UPNIVEL1]])</f>
        <v>0</v>
      </c>
    </row>
    <row r="339" spans="1:37" x14ac:dyDescent="0.3">
      <c r="A339">
        <v>20314</v>
      </c>
      <c r="B339" t="s">
        <v>27</v>
      </c>
      <c r="C339">
        <v>56</v>
      </c>
      <c r="D339">
        <v>6</v>
      </c>
      <c r="E339" t="s">
        <v>261</v>
      </c>
      <c r="F339" s="85" t="s">
        <v>332</v>
      </c>
      <c r="G339"/>
      <c r="H339" t="s">
        <v>295</v>
      </c>
      <c r="I339" t="s">
        <v>197</v>
      </c>
      <c r="J339" t="s">
        <v>176</v>
      </c>
      <c r="K339" s="1">
        <v>7.31</v>
      </c>
      <c r="L339" s="1">
        <v>7.31</v>
      </c>
      <c r="M339" s="1">
        <v>0</v>
      </c>
      <c r="N339" s="1">
        <v>7.31</v>
      </c>
      <c r="O339" s="1">
        <v>533.63</v>
      </c>
      <c r="P339" s="1">
        <v>540.94000000000005</v>
      </c>
      <c r="Q339" s="1">
        <v>0</v>
      </c>
      <c r="R339" s="1">
        <v>403.29</v>
      </c>
      <c r="S339" t="s">
        <v>12</v>
      </c>
      <c r="T339" s="13">
        <v>45879</v>
      </c>
      <c r="U339" s="1" t="str">
        <f>IF(ESTIMATIVA[[#This Row],[QT_AREA_REAL]]&gt;0,"1- Colhido","2- à Colher")</f>
        <v>1- Colhido</v>
      </c>
      <c r="V339" s="1" t="str">
        <f>IF(ESTIMATIVA[[#This Row],[QT_AREA_REST1]]&gt;0,"Reestimativa 1",IF(ESTIMATIVA[[#This Row],[QT_AREA_REAL]]=0,"Reestimativa 1","Realizado"))</f>
        <v>Reestimativa 1</v>
      </c>
      <c r="W339" s="1" t="str">
        <f>IF(ESTIMATIVA[[#This Row],[QT_AREA_REST2]]&gt;0,"Reestimativa 2",IF(ESTIMATIVA[[#This Row],[QT_AREA_REAL]]=0,"Reestimativa 2","Realizado"))</f>
        <v>Realizado</v>
      </c>
      <c r="X339" s="1">
        <f>ESTIMATIVA[[#This Row],[QT_AREA_EST]]</f>
        <v>7.31</v>
      </c>
      <c r="Y339" s="1">
        <f>IF(ESTIMATIVA[[#This Row],[QT_AREA_REST1]]&gt;0,ESTIMATIVA[[#This Row],[QT_AREA_REST1]],
  IF(ESTIMATIVA[[#This Row],[QT_AREA_REAL]]&gt;0,ESTIMATIVA[[#This Row],[QT_AREA_REAL]],ESTIMATIVA[[#This Row],[QT_AREA_EST]]))</f>
        <v>7.31</v>
      </c>
      <c r="Z33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7.31</v>
      </c>
      <c r="AA339" s="1">
        <f>ESTIMATIVA[[#This Row],[QT_CANA_EST]]</f>
        <v>533.63</v>
      </c>
      <c r="AB339" s="1">
        <f>IF(ESTIMATIVA[[#This Row],[QT_CANA_REST1]]&gt;0,ESTIMATIVA[[#This Row],[QT_CANA_REST1]],
  IF(ESTIMATIVA[[#This Row],[QT_CANA_REAL]]&gt;0,ESTIMATIVA[[#This Row],[QT_CANA_REAL]],ESTIMATIVA[[#This Row],[QT_CANA_EST]]))</f>
        <v>540.94000000000005</v>
      </c>
      <c r="AC33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403.29</v>
      </c>
      <c r="AD339" s="1">
        <f>IF(ESTIMATIVA[[#This Row],[QT_AREA_REAL]]&gt;0,ESTIMATIVA[[#This Row],[QT_CANA_REAL]],ESTIMATIVA[[#This Row],[QT_CANA_EST]])</f>
        <v>403.29</v>
      </c>
      <c r="AE339" s="1">
        <f>IF(ESTIMATIVA[[#This Row],[QT_AREA_REAL]]&gt;0,ESTIMATIVA[[#This Row],[QT_CANA_REAL]],ESTIMATIVA[[#This Row],[QT_CANA_REST1]])</f>
        <v>403.29</v>
      </c>
      <c r="AF339" s="1">
        <f>IF(ESTIMATIVA[[#This Row],[QT_AREA_REAL]]&gt;0,ESTIMATIVA[[#This Row],[QT_CANA_REAL]],ESTIMATIVA[[#This Row],[QT_CANA_REST2]])</f>
        <v>403.29</v>
      </c>
      <c r="AG339" s="1" t="str">
        <f>IF(COUNTIFS(GEADA!A:A,VALUE(ESTIMATIVA[[#This Row],[CD_UPNIVEL1]]&amp;TEXT(ESTIMATIVA[[#This Row],[CD_UPNIVEL3]],"0000")))&gt;0,"S","N")</f>
        <v>N</v>
      </c>
      <c r="AH33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39" s="55" t="str">
        <f>IF(ESTIMATIVA[[#This Row],[TP_CULTIVO]]="Irrigado",_xlfn.MAXIFS(IRRIGADO!J:J,IRRIGADO!C:C,ESTIMATIVA[[#This Row],[CD_UPNIVEL1]],IRRIGADO!E:E,ESTIMATIVA[[#This Row],[CD_UPNIVEL3]]),"")</f>
        <v/>
      </c>
      <c r="AJ33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39" s="1">
        <f>COUNTIFS(Apresentação!$E$23:$E$29,ESTIMATIVA[[#This Row],[CD_UPNIVEL1]])</f>
        <v>0</v>
      </c>
    </row>
    <row r="340" spans="1:37" x14ac:dyDescent="0.3">
      <c r="A340">
        <v>20314</v>
      </c>
      <c r="B340" t="s">
        <v>27</v>
      </c>
      <c r="C340">
        <v>57</v>
      </c>
      <c r="D340">
        <v>6</v>
      </c>
      <c r="E340" t="s">
        <v>261</v>
      </c>
      <c r="F340" s="85" t="s">
        <v>332</v>
      </c>
      <c r="G340"/>
      <c r="H340" t="s">
        <v>295</v>
      </c>
      <c r="I340" t="s">
        <v>197</v>
      </c>
      <c r="J340" t="s">
        <v>176</v>
      </c>
      <c r="K340" s="1">
        <v>8.2899999999999991</v>
      </c>
      <c r="L340" s="1">
        <v>8.2899999999999991</v>
      </c>
      <c r="M340" s="1">
        <v>0</v>
      </c>
      <c r="N340" s="1">
        <v>8.2899999999999991</v>
      </c>
      <c r="O340" s="1">
        <v>605.16999999999996</v>
      </c>
      <c r="P340" s="1">
        <v>613.46</v>
      </c>
      <c r="Q340" s="1">
        <v>0</v>
      </c>
      <c r="R340" s="1">
        <v>456.97</v>
      </c>
      <c r="S340" t="s">
        <v>12</v>
      </c>
      <c r="T340" s="13">
        <v>45879</v>
      </c>
      <c r="U340" s="1" t="str">
        <f>IF(ESTIMATIVA[[#This Row],[QT_AREA_REAL]]&gt;0,"1- Colhido","2- à Colher")</f>
        <v>1- Colhido</v>
      </c>
      <c r="V340" s="1" t="str">
        <f>IF(ESTIMATIVA[[#This Row],[QT_AREA_REST1]]&gt;0,"Reestimativa 1",IF(ESTIMATIVA[[#This Row],[QT_AREA_REAL]]=0,"Reestimativa 1","Realizado"))</f>
        <v>Reestimativa 1</v>
      </c>
      <c r="W340" s="1" t="str">
        <f>IF(ESTIMATIVA[[#This Row],[QT_AREA_REST2]]&gt;0,"Reestimativa 2",IF(ESTIMATIVA[[#This Row],[QT_AREA_REAL]]=0,"Reestimativa 2","Realizado"))</f>
        <v>Realizado</v>
      </c>
      <c r="X340" s="1">
        <f>ESTIMATIVA[[#This Row],[QT_AREA_EST]]</f>
        <v>8.2899999999999991</v>
      </c>
      <c r="Y340" s="1">
        <f>IF(ESTIMATIVA[[#This Row],[QT_AREA_REST1]]&gt;0,ESTIMATIVA[[#This Row],[QT_AREA_REST1]],
  IF(ESTIMATIVA[[#This Row],[QT_AREA_REAL]]&gt;0,ESTIMATIVA[[#This Row],[QT_AREA_REAL]],ESTIMATIVA[[#This Row],[QT_AREA_EST]]))</f>
        <v>8.2899999999999991</v>
      </c>
      <c r="Z34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8.2899999999999991</v>
      </c>
      <c r="AA340" s="1">
        <f>ESTIMATIVA[[#This Row],[QT_CANA_EST]]</f>
        <v>605.16999999999996</v>
      </c>
      <c r="AB340" s="1">
        <f>IF(ESTIMATIVA[[#This Row],[QT_CANA_REST1]]&gt;0,ESTIMATIVA[[#This Row],[QT_CANA_REST1]],
  IF(ESTIMATIVA[[#This Row],[QT_CANA_REAL]]&gt;0,ESTIMATIVA[[#This Row],[QT_CANA_REAL]],ESTIMATIVA[[#This Row],[QT_CANA_EST]]))</f>
        <v>613.46</v>
      </c>
      <c r="AC34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456.97</v>
      </c>
      <c r="AD340" s="1">
        <f>IF(ESTIMATIVA[[#This Row],[QT_AREA_REAL]]&gt;0,ESTIMATIVA[[#This Row],[QT_CANA_REAL]],ESTIMATIVA[[#This Row],[QT_CANA_EST]])</f>
        <v>456.97</v>
      </c>
      <c r="AE340" s="1">
        <f>IF(ESTIMATIVA[[#This Row],[QT_AREA_REAL]]&gt;0,ESTIMATIVA[[#This Row],[QT_CANA_REAL]],ESTIMATIVA[[#This Row],[QT_CANA_REST1]])</f>
        <v>456.97</v>
      </c>
      <c r="AF340" s="1">
        <f>IF(ESTIMATIVA[[#This Row],[QT_AREA_REAL]]&gt;0,ESTIMATIVA[[#This Row],[QT_CANA_REAL]],ESTIMATIVA[[#This Row],[QT_CANA_REST2]])</f>
        <v>456.97</v>
      </c>
      <c r="AG340" s="1" t="str">
        <f>IF(COUNTIFS(GEADA!A:A,VALUE(ESTIMATIVA[[#This Row],[CD_UPNIVEL1]]&amp;TEXT(ESTIMATIVA[[#This Row],[CD_UPNIVEL3]],"0000")))&gt;0,"S","N")</f>
        <v>N</v>
      </c>
      <c r="AH34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40" s="55" t="str">
        <f>IF(ESTIMATIVA[[#This Row],[TP_CULTIVO]]="Irrigado",_xlfn.MAXIFS(IRRIGADO!J:J,IRRIGADO!C:C,ESTIMATIVA[[#This Row],[CD_UPNIVEL1]],IRRIGADO!E:E,ESTIMATIVA[[#This Row],[CD_UPNIVEL3]]),"")</f>
        <v/>
      </c>
      <c r="AJ34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40" s="1">
        <f>COUNTIFS(Apresentação!$E$23:$E$29,ESTIMATIVA[[#This Row],[CD_UPNIVEL1]])</f>
        <v>0</v>
      </c>
    </row>
    <row r="341" spans="1:37" x14ac:dyDescent="0.3">
      <c r="A341">
        <v>20314</v>
      </c>
      <c r="B341" t="s">
        <v>27</v>
      </c>
      <c r="C341">
        <v>58</v>
      </c>
      <c r="D341">
        <v>6</v>
      </c>
      <c r="E341" t="s">
        <v>261</v>
      </c>
      <c r="F341" s="85" t="s">
        <v>332</v>
      </c>
      <c r="G341"/>
      <c r="H341" t="s">
        <v>295</v>
      </c>
      <c r="I341" t="s">
        <v>197</v>
      </c>
      <c r="J341" t="s">
        <v>176</v>
      </c>
      <c r="K341" s="1">
        <v>10.14</v>
      </c>
      <c r="L341" s="1">
        <v>10.14</v>
      </c>
      <c r="M341" s="1">
        <v>0</v>
      </c>
      <c r="N341" s="1">
        <v>10.14</v>
      </c>
      <c r="O341" s="1">
        <v>740.22</v>
      </c>
      <c r="P341" s="1">
        <v>750.36</v>
      </c>
      <c r="Q341" s="1">
        <v>0</v>
      </c>
      <c r="R341" s="1">
        <v>559.12</v>
      </c>
      <c r="S341" t="s">
        <v>12</v>
      </c>
      <c r="T341" s="13">
        <v>45879</v>
      </c>
      <c r="U341" s="1" t="str">
        <f>IF(ESTIMATIVA[[#This Row],[QT_AREA_REAL]]&gt;0,"1- Colhido","2- à Colher")</f>
        <v>1- Colhido</v>
      </c>
      <c r="V341" s="1" t="str">
        <f>IF(ESTIMATIVA[[#This Row],[QT_AREA_REST1]]&gt;0,"Reestimativa 1",IF(ESTIMATIVA[[#This Row],[QT_AREA_REAL]]=0,"Reestimativa 1","Realizado"))</f>
        <v>Reestimativa 1</v>
      </c>
      <c r="W341" s="1" t="str">
        <f>IF(ESTIMATIVA[[#This Row],[QT_AREA_REST2]]&gt;0,"Reestimativa 2",IF(ESTIMATIVA[[#This Row],[QT_AREA_REAL]]=0,"Reestimativa 2","Realizado"))</f>
        <v>Realizado</v>
      </c>
      <c r="X341" s="1">
        <f>ESTIMATIVA[[#This Row],[QT_AREA_EST]]</f>
        <v>10.14</v>
      </c>
      <c r="Y341" s="1">
        <f>IF(ESTIMATIVA[[#This Row],[QT_AREA_REST1]]&gt;0,ESTIMATIVA[[#This Row],[QT_AREA_REST1]],
  IF(ESTIMATIVA[[#This Row],[QT_AREA_REAL]]&gt;0,ESTIMATIVA[[#This Row],[QT_AREA_REAL]],ESTIMATIVA[[#This Row],[QT_AREA_EST]]))</f>
        <v>10.14</v>
      </c>
      <c r="Z34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10.14</v>
      </c>
      <c r="AA341" s="1">
        <f>ESTIMATIVA[[#This Row],[QT_CANA_EST]]</f>
        <v>740.22</v>
      </c>
      <c r="AB341" s="1">
        <f>IF(ESTIMATIVA[[#This Row],[QT_CANA_REST1]]&gt;0,ESTIMATIVA[[#This Row],[QT_CANA_REST1]],
  IF(ESTIMATIVA[[#This Row],[QT_CANA_REAL]]&gt;0,ESTIMATIVA[[#This Row],[QT_CANA_REAL]],ESTIMATIVA[[#This Row],[QT_CANA_EST]]))</f>
        <v>750.36</v>
      </c>
      <c r="AC34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559.12</v>
      </c>
      <c r="AD341" s="1">
        <f>IF(ESTIMATIVA[[#This Row],[QT_AREA_REAL]]&gt;0,ESTIMATIVA[[#This Row],[QT_CANA_REAL]],ESTIMATIVA[[#This Row],[QT_CANA_EST]])</f>
        <v>559.12</v>
      </c>
      <c r="AE341" s="1">
        <f>IF(ESTIMATIVA[[#This Row],[QT_AREA_REAL]]&gt;0,ESTIMATIVA[[#This Row],[QT_CANA_REAL]],ESTIMATIVA[[#This Row],[QT_CANA_REST1]])</f>
        <v>559.12</v>
      </c>
      <c r="AF341" s="1">
        <f>IF(ESTIMATIVA[[#This Row],[QT_AREA_REAL]]&gt;0,ESTIMATIVA[[#This Row],[QT_CANA_REAL]],ESTIMATIVA[[#This Row],[QT_CANA_REST2]])</f>
        <v>559.12</v>
      </c>
      <c r="AG341" s="1" t="str">
        <f>IF(COUNTIFS(GEADA!A:A,VALUE(ESTIMATIVA[[#This Row],[CD_UPNIVEL1]]&amp;TEXT(ESTIMATIVA[[#This Row],[CD_UPNIVEL3]],"0000")))&gt;0,"S","N")</f>
        <v>N</v>
      </c>
      <c r="AH34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41" s="55" t="str">
        <f>IF(ESTIMATIVA[[#This Row],[TP_CULTIVO]]="Irrigado",_xlfn.MAXIFS(IRRIGADO!J:J,IRRIGADO!C:C,ESTIMATIVA[[#This Row],[CD_UPNIVEL1]],IRRIGADO!E:E,ESTIMATIVA[[#This Row],[CD_UPNIVEL3]]),"")</f>
        <v/>
      </c>
      <c r="AJ34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41" s="1">
        <f>COUNTIFS(Apresentação!$E$23:$E$29,ESTIMATIVA[[#This Row],[CD_UPNIVEL1]])</f>
        <v>0</v>
      </c>
    </row>
    <row r="342" spans="1:37" x14ac:dyDescent="0.3">
      <c r="A342">
        <v>20314</v>
      </c>
      <c r="B342" t="s">
        <v>27</v>
      </c>
      <c r="C342">
        <v>59</v>
      </c>
      <c r="D342">
        <v>6</v>
      </c>
      <c r="E342" t="s">
        <v>261</v>
      </c>
      <c r="F342" s="85" t="s">
        <v>332</v>
      </c>
      <c r="G342"/>
      <c r="H342" t="s">
        <v>295</v>
      </c>
      <c r="I342" t="s">
        <v>197</v>
      </c>
      <c r="J342" t="s">
        <v>176</v>
      </c>
      <c r="K342" s="1">
        <v>12.07</v>
      </c>
      <c r="L342" s="1">
        <v>12.07</v>
      </c>
      <c r="M342" s="1">
        <v>0</v>
      </c>
      <c r="N342" s="1">
        <v>12.07</v>
      </c>
      <c r="O342" s="1">
        <v>881.11</v>
      </c>
      <c r="P342" s="1">
        <v>893.18</v>
      </c>
      <c r="Q342" s="1">
        <v>0</v>
      </c>
      <c r="R342" s="1">
        <v>666.77</v>
      </c>
      <c r="S342" t="s">
        <v>12</v>
      </c>
      <c r="T342" s="13">
        <v>45879</v>
      </c>
      <c r="U342" s="1" t="str">
        <f>IF(ESTIMATIVA[[#This Row],[QT_AREA_REAL]]&gt;0,"1- Colhido","2- à Colher")</f>
        <v>1- Colhido</v>
      </c>
      <c r="V342" s="1" t="str">
        <f>IF(ESTIMATIVA[[#This Row],[QT_AREA_REST1]]&gt;0,"Reestimativa 1",IF(ESTIMATIVA[[#This Row],[QT_AREA_REAL]]=0,"Reestimativa 1","Realizado"))</f>
        <v>Reestimativa 1</v>
      </c>
      <c r="W342" s="1" t="str">
        <f>IF(ESTIMATIVA[[#This Row],[QT_AREA_REST2]]&gt;0,"Reestimativa 2",IF(ESTIMATIVA[[#This Row],[QT_AREA_REAL]]=0,"Reestimativa 2","Realizado"))</f>
        <v>Realizado</v>
      </c>
      <c r="X342" s="1">
        <f>ESTIMATIVA[[#This Row],[QT_AREA_EST]]</f>
        <v>12.07</v>
      </c>
      <c r="Y342" s="1">
        <f>IF(ESTIMATIVA[[#This Row],[QT_AREA_REST1]]&gt;0,ESTIMATIVA[[#This Row],[QT_AREA_REST1]],
  IF(ESTIMATIVA[[#This Row],[QT_AREA_REAL]]&gt;0,ESTIMATIVA[[#This Row],[QT_AREA_REAL]],ESTIMATIVA[[#This Row],[QT_AREA_EST]]))</f>
        <v>12.07</v>
      </c>
      <c r="Z34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12.07</v>
      </c>
      <c r="AA342" s="1">
        <f>ESTIMATIVA[[#This Row],[QT_CANA_EST]]</f>
        <v>881.11</v>
      </c>
      <c r="AB342" s="1">
        <f>IF(ESTIMATIVA[[#This Row],[QT_CANA_REST1]]&gt;0,ESTIMATIVA[[#This Row],[QT_CANA_REST1]],
  IF(ESTIMATIVA[[#This Row],[QT_CANA_REAL]]&gt;0,ESTIMATIVA[[#This Row],[QT_CANA_REAL]],ESTIMATIVA[[#This Row],[QT_CANA_EST]]))</f>
        <v>893.18</v>
      </c>
      <c r="AC34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666.77</v>
      </c>
      <c r="AD342" s="1">
        <f>IF(ESTIMATIVA[[#This Row],[QT_AREA_REAL]]&gt;0,ESTIMATIVA[[#This Row],[QT_CANA_REAL]],ESTIMATIVA[[#This Row],[QT_CANA_EST]])</f>
        <v>666.77</v>
      </c>
      <c r="AE342" s="1">
        <f>IF(ESTIMATIVA[[#This Row],[QT_AREA_REAL]]&gt;0,ESTIMATIVA[[#This Row],[QT_CANA_REAL]],ESTIMATIVA[[#This Row],[QT_CANA_REST1]])</f>
        <v>666.77</v>
      </c>
      <c r="AF342" s="1">
        <f>IF(ESTIMATIVA[[#This Row],[QT_AREA_REAL]]&gt;0,ESTIMATIVA[[#This Row],[QT_CANA_REAL]],ESTIMATIVA[[#This Row],[QT_CANA_REST2]])</f>
        <v>666.77</v>
      </c>
      <c r="AG342" s="1" t="str">
        <f>IF(COUNTIFS(GEADA!A:A,VALUE(ESTIMATIVA[[#This Row],[CD_UPNIVEL1]]&amp;TEXT(ESTIMATIVA[[#This Row],[CD_UPNIVEL3]],"0000")))&gt;0,"S","N")</f>
        <v>N</v>
      </c>
      <c r="AH34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42" s="55" t="str">
        <f>IF(ESTIMATIVA[[#This Row],[TP_CULTIVO]]="Irrigado",_xlfn.MAXIFS(IRRIGADO!J:J,IRRIGADO!C:C,ESTIMATIVA[[#This Row],[CD_UPNIVEL1]],IRRIGADO!E:E,ESTIMATIVA[[#This Row],[CD_UPNIVEL3]]),"")</f>
        <v/>
      </c>
      <c r="AJ34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42" s="1">
        <f>COUNTIFS(Apresentação!$E$23:$E$29,ESTIMATIVA[[#This Row],[CD_UPNIVEL1]])</f>
        <v>0</v>
      </c>
    </row>
    <row r="343" spans="1:37" x14ac:dyDescent="0.3">
      <c r="A343">
        <v>20314</v>
      </c>
      <c r="B343" t="s">
        <v>27</v>
      </c>
      <c r="C343">
        <v>60</v>
      </c>
      <c r="D343">
        <v>6</v>
      </c>
      <c r="E343" t="s">
        <v>261</v>
      </c>
      <c r="F343" s="85" t="s">
        <v>332</v>
      </c>
      <c r="G343"/>
      <c r="H343" t="s">
        <v>295</v>
      </c>
      <c r="I343" t="s">
        <v>197</v>
      </c>
      <c r="J343" t="s">
        <v>176</v>
      </c>
      <c r="K343" s="1">
        <v>9.65</v>
      </c>
      <c r="L343" s="1">
        <v>9.65</v>
      </c>
      <c r="M343" s="1">
        <v>0</v>
      </c>
      <c r="N343" s="1">
        <v>9.65</v>
      </c>
      <c r="O343" s="1">
        <v>704.45</v>
      </c>
      <c r="P343" s="1">
        <v>714.1</v>
      </c>
      <c r="Q343" s="1">
        <v>0</v>
      </c>
      <c r="R343" s="1">
        <v>514.45000000000005</v>
      </c>
      <c r="S343" t="s">
        <v>12</v>
      </c>
      <c r="T343" s="13">
        <v>45886</v>
      </c>
      <c r="U343" s="1" t="str">
        <f>IF(ESTIMATIVA[[#This Row],[QT_AREA_REAL]]&gt;0,"1- Colhido","2- à Colher")</f>
        <v>1- Colhido</v>
      </c>
      <c r="V343" s="1" t="str">
        <f>IF(ESTIMATIVA[[#This Row],[QT_AREA_REST1]]&gt;0,"Reestimativa 1",IF(ESTIMATIVA[[#This Row],[QT_AREA_REAL]]=0,"Reestimativa 1","Realizado"))</f>
        <v>Reestimativa 1</v>
      </c>
      <c r="W343" s="1" t="str">
        <f>IF(ESTIMATIVA[[#This Row],[QT_AREA_REST2]]&gt;0,"Reestimativa 2",IF(ESTIMATIVA[[#This Row],[QT_AREA_REAL]]=0,"Reestimativa 2","Realizado"))</f>
        <v>Realizado</v>
      </c>
      <c r="X343" s="1">
        <f>ESTIMATIVA[[#This Row],[QT_AREA_EST]]</f>
        <v>9.65</v>
      </c>
      <c r="Y343" s="1">
        <f>IF(ESTIMATIVA[[#This Row],[QT_AREA_REST1]]&gt;0,ESTIMATIVA[[#This Row],[QT_AREA_REST1]],
  IF(ESTIMATIVA[[#This Row],[QT_AREA_REAL]]&gt;0,ESTIMATIVA[[#This Row],[QT_AREA_REAL]],ESTIMATIVA[[#This Row],[QT_AREA_EST]]))</f>
        <v>9.65</v>
      </c>
      <c r="Z34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9.65</v>
      </c>
      <c r="AA343" s="1">
        <f>ESTIMATIVA[[#This Row],[QT_CANA_EST]]</f>
        <v>704.45</v>
      </c>
      <c r="AB343" s="1">
        <f>IF(ESTIMATIVA[[#This Row],[QT_CANA_REST1]]&gt;0,ESTIMATIVA[[#This Row],[QT_CANA_REST1]],
  IF(ESTIMATIVA[[#This Row],[QT_CANA_REAL]]&gt;0,ESTIMATIVA[[#This Row],[QT_CANA_REAL]],ESTIMATIVA[[#This Row],[QT_CANA_EST]]))</f>
        <v>714.1</v>
      </c>
      <c r="AC34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514.45000000000005</v>
      </c>
      <c r="AD343" s="1">
        <f>IF(ESTIMATIVA[[#This Row],[QT_AREA_REAL]]&gt;0,ESTIMATIVA[[#This Row],[QT_CANA_REAL]],ESTIMATIVA[[#This Row],[QT_CANA_EST]])</f>
        <v>514.45000000000005</v>
      </c>
      <c r="AE343" s="1">
        <f>IF(ESTIMATIVA[[#This Row],[QT_AREA_REAL]]&gt;0,ESTIMATIVA[[#This Row],[QT_CANA_REAL]],ESTIMATIVA[[#This Row],[QT_CANA_REST1]])</f>
        <v>514.45000000000005</v>
      </c>
      <c r="AF343" s="1">
        <f>IF(ESTIMATIVA[[#This Row],[QT_AREA_REAL]]&gt;0,ESTIMATIVA[[#This Row],[QT_CANA_REAL]],ESTIMATIVA[[#This Row],[QT_CANA_REST2]])</f>
        <v>514.45000000000005</v>
      </c>
      <c r="AG343" s="1" t="str">
        <f>IF(COUNTIFS(GEADA!A:A,VALUE(ESTIMATIVA[[#This Row],[CD_UPNIVEL1]]&amp;TEXT(ESTIMATIVA[[#This Row],[CD_UPNIVEL3]],"0000")))&gt;0,"S","N")</f>
        <v>N</v>
      </c>
      <c r="AH34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43" s="55" t="str">
        <f>IF(ESTIMATIVA[[#This Row],[TP_CULTIVO]]="Irrigado",_xlfn.MAXIFS(IRRIGADO!J:J,IRRIGADO!C:C,ESTIMATIVA[[#This Row],[CD_UPNIVEL1]],IRRIGADO!E:E,ESTIMATIVA[[#This Row],[CD_UPNIVEL3]]),"")</f>
        <v/>
      </c>
      <c r="AJ34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43" s="1">
        <f>COUNTIFS(Apresentação!$E$23:$E$29,ESTIMATIVA[[#This Row],[CD_UPNIVEL1]])</f>
        <v>0</v>
      </c>
    </row>
    <row r="344" spans="1:37" x14ac:dyDescent="0.3">
      <c r="A344">
        <v>20314</v>
      </c>
      <c r="B344" t="s">
        <v>27</v>
      </c>
      <c r="C344">
        <v>84</v>
      </c>
      <c r="D344">
        <v>8</v>
      </c>
      <c r="E344" t="s">
        <v>262</v>
      </c>
      <c r="F344" s="85" t="s">
        <v>332</v>
      </c>
      <c r="G344"/>
      <c r="H344" t="s">
        <v>295</v>
      </c>
      <c r="I344" t="s">
        <v>212</v>
      </c>
      <c r="J344" t="s">
        <v>176</v>
      </c>
      <c r="K344" s="1">
        <v>1.1399999999999999</v>
      </c>
      <c r="L344" s="1">
        <v>1.1399999999999999</v>
      </c>
      <c r="M344" s="1">
        <v>1.1399999999999999</v>
      </c>
      <c r="N344" s="1">
        <v>1.1399999999999999</v>
      </c>
      <c r="O344" s="1">
        <v>62.7</v>
      </c>
      <c r="P344" s="1">
        <v>62.7</v>
      </c>
      <c r="Q344" s="1">
        <v>57</v>
      </c>
      <c r="R344" s="1">
        <v>55.58</v>
      </c>
      <c r="S344" t="s">
        <v>12</v>
      </c>
      <c r="T344" s="13">
        <v>45963</v>
      </c>
      <c r="U344" s="1" t="str">
        <f>IF(ESTIMATIVA[[#This Row],[QT_AREA_REAL]]&gt;0,"1- Colhido","2- à Colher")</f>
        <v>1- Colhido</v>
      </c>
      <c r="V344" s="1" t="str">
        <f>IF(ESTIMATIVA[[#This Row],[QT_AREA_REST1]]&gt;0,"Reestimativa 1",IF(ESTIMATIVA[[#This Row],[QT_AREA_REAL]]=0,"Reestimativa 1","Realizado"))</f>
        <v>Reestimativa 1</v>
      </c>
      <c r="W344" s="1" t="str">
        <f>IF(ESTIMATIVA[[#This Row],[QT_AREA_REST2]]&gt;0,"Reestimativa 2",IF(ESTIMATIVA[[#This Row],[QT_AREA_REAL]]=0,"Reestimativa 2","Realizado"))</f>
        <v>Reestimativa 2</v>
      </c>
      <c r="X344" s="1">
        <f>ESTIMATIVA[[#This Row],[QT_AREA_EST]]</f>
        <v>1.1399999999999999</v>
      </c>
      <c r="Y344" s="1">
        <f>IF(ESTIMATIVA[[#This Row],[QT_AREA_REST1]]&gt;0,ESTIMATIVA[[#This Row],[QT_AREA_REST1]],
  IF(ESTIMATIVA[[#This Row],[QT_AREA_REAL]]&gt;0,ESTIMATIVA[[#This Row],[QT_AREA_REAL]],ESTIMATIVA[[#This Row],[QT_AREA_EST]]))</f>
        <v>1.1399999999999999</v>
      </c>
      <c r="Z34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1.1399999999999999</v>
      </c>
      <c r="AA344" s="1">
        <f>ESTIMATIVA[[#This Row],[QT_CANA_EST]]</f>
        <v>62.7</v>
      </c>
      <c r="AB344" s="1">
        <f>IF(ESTIMATIVA[[#This Row],[QT_CANA_REST1]]&gt;0,ESTIMATIVA[[#This Row],[QT_CANA_REST1]],
  IF(ESTIMATIVA[[#This Row],[QT_CANA_REAL]]&gt;0,ESTIMATIVA[[#This Row],[QT_CANA_REAL]],ESTIMATIVA[[#This Row],[QT_CANA_EST]]))</f>
        <v>62.7</v>
      </c>
      <c r="AC34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57</v>
      </c>
      <c r="AD344" s="1">
        <f>IF(ESTIMATIVA[[#This Row],[QT_AREA_REAL]]&gt;0,ESTIMATIVA[[#This Row],[QT_CANA_REAL]],ESTIMATIVA[[#This Row],[QT_CANA_EST]])</f>
        <v>55.58</v>
      </c>
      <c r="AE344" s="1">
        <f>IF(ESTIMATIVA[[#This Row],[QT_AREA_REAL]]&gt;0,ESTIMATIVA[[#This Row],[QT_CANA_REAL]],ESTIMATIVA[[#This Row],[QT_CANA_REST1]])</f>
        <v>55.58</v>
      </c>
      <c r="AF344" s="1">
        <f>IF(ESTIMATIVA[[#This Row],[QT_AREA_REAL]]&gt;0,ESTIMATIVA[[#This Row],[QT_CANA_REAL]],ESTIMATIVA[[#This Row],[QT_CANA_REST2]])</f>
        <v>55.58</v>
      </c>
      <c r="AG344" s="1" t="str">
        <f>IF(COUNTIFS(GEADA!A:A,VALUE(ESTIMATIVA[[#This Row],[CD_UPNIVEL1]]&amp;TEXT(ESTIMATIVA[[#This Row],[CD_UPNIVEL3]],"0000")))&gt;0,"S","N")</f>
        <v>N</v>
      </c>
      <c r="AH34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44" s="55" t="str">
        <f>IF(ESTIMATIVA[[#This Row],[TP_CULTIVO]]="Irrigado",_xlfn.MAXIFS(IRRIGADO!J:J,IRRIGADO!C:C,ESTIMATIVA[[#This Row],[CD_UPNIVEL1]],IRRIGADO!E:E,ESTIMATIVA[[#This Row],[CD_UPNIVEL3]]),"")</f>
        <v/>
      </c>
      <c r="AJ34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44" s="1">
        <f>COUNTIFS(Apresentação!$E$23:$E$29,ESTIMATIVA[[#This Row],[CD_UPNIVEL1]])</f>
        <v>0</v>
      </c>
    </row>
    <row r="345" spans="1:37" x14ac:dyDescent="0.3">
      <c r="A345">
        <v>20314</v>
      </c>
      <c r="B345" t="s">
        <v>27</v>
      </c>
      <c r="C345">
        <v>85</v>
      </c>
      <c r="D345">
        <v>8</v>
      </c>
      <c r="E345" t="s">
        <v>262</v>
      </c>
      <c r="F345" s="85" t="s">
        <v>332</v>
      </c>
      <c r="G345"/>
      <c r="H345" t="s">
        <v>295</v>
      </c>
      <c r="I345" t="s">
        <v>213</v>
      </c>
      <c r="J345" t="s">
        <v>176</v>
      </c>
      <c r="K345" s="1">
        <v>10.86</v>
      </c>
      <c r="L345" s="1">
        <v>10.86</v>
      </c>
      <c r="M345" s="1">
        <v>10.86</v>
      </c>
      <c r="N345" s="1">
        <v>10.86</v>
      </c>
      <c r="O345" s="1">
        <v>597.29999999999995</v>
      </c>
      <c r="P345" s="1">
        <v>597.29999999999995</v>
      </c>
      <c r="Q345" s="1">
        <v>477.84</v>
      </c>
      <c r="R345" s="1">
        <v>466.52</v>
      </c>
      <c r="S345" t="s">
        <v>12</v>
      </c>
      <c r="T345" s="13">
        <v>45963</v>
      </c>
      <c r="U345" s="1" t="str">
        <f>IF(ESTIMATIVA[[#This Row],[QT_AREA_REAL]]&gt;0,"1- Colhido","2- à Colher")</f>
        <v>1- Colhido</v>
      </c>
      <c r="V345" s="1" t="str">
        <f>IF(ESTIMATIVA[[#This Row],[QT_AREA_REST1]]&gt;0,"Reestimativa 1",IF(ESTIMATIVA[[#This Row],[QT_AREA_REAL]]=0,"Reestimativa 1","Realizado"))</f>
        <v>Reestimativa 1</v>
      </c>
      <c r="W345" s="1" t="str">
        <f>IF(ESTIMATIVA[[#This Row],[QT_AREA_REST2]]&gt;0,"Reestimativa 2",IF(ESTIMATIVA[[#This Row],[QT_AREA_REAL]]=0,"Reestimativa 2","Realizado"))</f>
        <v>Reestimativa 2</v>
      </c>
      <c r="X345" s="1">
        <f>ESTIMATIVA[[#This Row],[QT_AREA_EST]]</f>
        <v>10.86</v>
      </c>
      <c r="Y345" s="1">
        <f>IF(ESTIMATIVA[[#This Row],[QT_AREA_REST1]]&gt;0,ESTIMATIVA[[#This Row],[QT_AREA_REST1]],
  IF(ESTIMATIVA[[#This Row],[QT_AREA_REAL]]&gt;0,ESTIMATIVA[[#This Row],[QT_AREA_REAL]],ESTIMATIVA[[#This Row],[QT_AREA_EST]]))</f>
        <v>10.86</v>
      </c>
      <c r="Z34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10.86</v>
      </c>
      <c r="AA345" s="1">
        <f>ESTIMATIVA[[#This Row],[QT_CANA_EST]]</f>
        <v>597.29999999999995</v>
      </c>
      <c r="AB345" s="1">
        <f>IF(ESTIMATIVA[[#This Row],[QT_CANA_REST1]]&gt;0,ESTIMATIVA[[#This Row],[QT_CANA_REST1]],
  IF(ESTIMATIVA[[#This Row],[QT_CANA_REAL]]&gt;0,ESTIMATIVA[[#This Row],[QT_CANA_REAL]],ESTIMATIVA[[#This Row],[QT_CANA_EST]]))</f>
        <v>597.29999999999995</v>
      </c>
      <c r="AC34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477.84</v>
      </c>
      <c r="AD345" s="1">
        <f>IF(ESTIMATIVA[[#This Row],[QT_AREA_REAL]]&gt;0,ESTIMATIVA[[#This Row],[QT_CANA_REAL]],ESTIMATIVA[[#This Row],[QT_CANA_EST]])</f>
        <v>466.52</v>
      </c>
      <c r="AE345" s="1">
        <f>IF(ESTIMATIVA[[#This Row],[QT_AREA_REAL]]&gt;0,ESTIMATIVA[[#This Row],[QT_CANA_REAL]],ESTIMATIVA[[#This Row],[QT_CANA_REST1]])</f>
        <v>466.52</v>
      </c>
      <c r="AF345" s="1">
        <f>IF(ESTIMATIVA[[#This Row],[QT_AREA_REAL]]&gt;0,ESTIMATIVA[[#This Row],[QT_CANA_REAL]],ESTIMATIVA[[#This Row],[QT_CANA_REST2]])</f>
        <v>466.52</v>
      </c>
      <c r="AG345" s="1" t="str">
        <f>IF(COUNTIFS(GEADA!A:A,VALUE(ESTIMATIVA[[#This Row],[CD_UPNIVEL1]]&amp;TEXT(ESTIMATIVA[[#This Row],[CD_UPNIVEL3]],"0000")))&gt;0,"S","N")</f>
        <v>N</v>
      </c>
      <c r="AH34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45" s="55" t="str">
        <f>IF(ESTIMATIVA[[#This Row],[TP_CULTIVO]]="Irrigado",_xlfn.MAXIFS(IRRIGADO!J:J,IRRIGADO!C:C,ESTIMATIVA[[#This Row],[CD_UPNIVEL1]],IRRIGADO!E:E,ESTIMATIVA[[#This Row],[CD_UPNIVEL3]]),"")</f>
        <v/>
      </c>
      <c r="AJ34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45" s="1">
        <f>COUNTIFS(Apresentação!$E$23:$E$29,ESTIMATIVA[[#This Row],[CD_UPNIVEL1]])</f>
        <v>0</v>
      </c>
    </row>
    <row r="346" spans="1:37" x14ac:dyDescent="0.3">
      <c r="A346">
        <v>20314</v>
      </c>
      <c r="B346" t="s">
        <v>27</v>
      </c>
      <c r="C346">
        <v>86</v>
      </c>
      <c r="D346">
        <v>8</v>
      </c>
      <c r="E346" t="s">
        <v>262</v>
      </c>
      <c r="F346" s="85" t="s">
        <v>332</v>
      </c>
      <c r="G346"/>
      <c r="H346" t="s">
        <v>295</v>
      </c>
      <c r="I346" t="s">
        <v>203</v>
      </c>
      <c r="J346" t="s">
        <v>176</v>
      </c>
      <c r="K346" s="1">
        <v>10.16</v>
      </c>
      <c r="L346" s="1">
        <v>10.16</v>
      </c>
      <c r="M346" s="1">
        <v>10.16</v>
      </c>
      <c r="N346" s="1">
        <v>10.16</v>
      </c>
      <c r="O346" s="1">
        <v>558.79999999999995</v>
      </c>
      <c r="P346" s="1">
        <v>558.79999999999995</v>
      </c>
      <c r="Q346" s="1">
        <v>508</v>
      </c>
      <c r="R346" s="1">
        <v>495.81</v>
      </c>
      <c r="S346" t="s">
        <v>12</v>
      </c>
      <c r="T346" s="13">
        <v>45963</v>
      </c>
      <c r="U346" s="1" t="str">
        <f>IF(ESTIMATIVA[[#This Row],[QT_AREA_REAL]]&gt;0,"1- Colhido","2- à Colher")</f>
        <v>1- Colhido</v>
      </c>
      <c r="V346" s="1" t="str">
        <f>IF(ESTIMATIVA[[#This Row],[QT_AREA_REST1]]&gt;0,"Reestimativa 1",IF(ESTIMATIVA[[#This Row],[QT_AREA_REAL]]=0,"Reestimativa 1","Realizado"))</f>
        <v>Reestimativa 1</v>
      </c>
      <c r="W346" s="1" t="str">
        <f>IF(ESTIMATIVA[[#This Row],[QT_AREA_REST2]]&gt;0,"Reestimativa 2",IF(ESTIMATIVA[[#This Row],[QT_AREA_REAL]]=0,"Reestimativa 2","Realizado"))</f>
        <v>Reestimativa 2</v>
      </c>
      <c r="X346" s="1">
        <f>ESTIMATIVA[[#This Row],[QT_AREA_EST]]</f>
        <v>10.16</v>
      </c>
      <c r="Y346" s="1">
        <f>IF(ESTIMATIVA[[#This Row],[QT_AREA_REST1]]&gt;0,ESTIMATIVA[[#This Row],[QT_AREA_REST1]],
  IF(ESTIMATIVA[[#This Row],[QT_AREA_REAL]]&gt;0,ESTIMATIVA[[#This Row],[QT_AREA_REAL]],ESTIMATIVA[[#This Row],[QT_AREA_EST]]))</f>
        <v>10.16</v>
      </c>
      <c r="Z34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10.16</v>
      </c>
      <c r="AA346" s="1">
        <f>ESTIMATIVA[[#This Row],[QT_CANA_EST]]</f>
        <v>558.79999999999995</v>
      </c>
      <c r="AB346" s="1">
        <f>IF(ESTIMATIVA[[#This Row],[QT_CANA_REST1]]&gt;0,ESTIMATIVA[[#This Row],[QT_CANA_REST1]],
  IF(ESTIMATIVA[[#This Row],[QT_CANA_REAL]]&gt;0,ESTIMATIVA[[#This Row],[QT_CANA_REAL]],ESTIMATIVA[[#This Row],[QT_CANA_EST]]))</f>
        <v>558.79999999999995</v>
      </c>
      <c r="AC34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508</v>
      </c>
      <c r="AD346" s="1">
        <f>IF(ESTIMATIVA[[#This Row],[QT_AREA_REAL]]&gt;0,ESTIMATIVA[[#This Row],[QT_CANA_REAL]],ESTIMATIVA[[#This Row],[QT_CANA_EST]])</f>
        <v>495.81</v>
      </c>
      <c r="AE346" s="1">
        <f>IF(ESTIMATIVA[[#This Row],[QT_AREA_REAL]]&gt;0,ESTIMATIVA[[#This Row],[QT_CANA_REAL]],ESTIMATIVA[[#This Row],[QT_CANA_REST1]])</f>
        <v>495.81</v>
      </c>
      <c r="AF346" s="1">
        <f>IF(ESTIMATIVA[[#This Row],[QT_AREA_REAL]]&gt;0,ESTIMATIVA[[#This Row],[QT_CANA_REAL]],ESTIMATIVA[[#This Row],[QT_CANA_REST2]])</f>
        <v>495.81</v>
      </c>
      <c r="AG346" s="1" t="str">
        <f>IF(COUNTIFS(GEADA!A:A,VALUE(ESTIMATIVA[[#This Row],[CD_UPNIVEL1]]&amp;TEXT(ESTIMATIVA[[#This Row],[CD_UPNIVEL3]],"0000")))&gt;0,"S","N")</f>
        <v>N</v>
      </c>
      <c r="AH34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46" s="55" t="str">
        <f>IF(ESTIMATIVA[[#This Row],[TP_CULTIVO]]="Irrigado",_xlfn.MAXIFS(IRRIGADO!J:J,IRRIGADO!C:C,ESTIMATIVA[[#This Row],[CD_UPNIVEL1]],IRRIGADO!E:E,ESTIMATIVA[[#This Row],[CD_UPNIVEL3]]),"")</f>
        <v/>
      </c>
      <c r="AJ34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46" s="1">
        <f>COUNTIFS(Apresentação!$E$23:$E$29,ESTIMATIVA[[#This Row],[CD_UPNIVEL1]])</f>
        <v>0</v>
      </c>
    </row>
    <row r="347" spans="1:37" x14ac:dyDescent="0.3">
      <c r="A347">
        <v>20314</v>
      </c>
      <c r="B347" t="s">
        <v>27</v>
      </c>
      <c r="C347">
        <v>87</v>
      </c>
      <c r="D347">
        <v>8</v>
      </c>
      <c r="E347" t="s">
        <v>262</v>
      </c>
      <c r="F347" s="85" t="s">
        <v>332</v>
      </c>
      <c r="G347"/>
      <c r="H347" t="s">
        <v>295</v>
      </c>
      <c r="I347" t="s">
        <v>199</v>
      </c>
      <c r="J347" t="s">
        <v>176</v>
      </c>
      <c r="K347" s="1">
        <v>12.3</v>
      </c>
      <c r="L347" s="1">
        <v>12.3</v>
      </c>
      <c r="M347" s="1">
        <v>12.3</v>
      </c>
      <c r="N347" s="1">
        <v>12.3</v>
      </c>
      <c r="O347" s="1">
        <v>676.5</v>
      </c>
      <c r="P347" s="1">
        <v>676.5</v>
      </c>
      <c r="Q347" s="1">
        <v>615</v>
      </c>
      <c r="R347" s="1">
        <v>600.25</v>
      </c>
      <c r="S347" t="s">
        <v>12</v>
      </c>
      <c r="T347" s="13">
        <v>45963</v>
      </c>
      <c r="U347" s="1" t="str">
        <f>IF(ESTIMATIVA[[#This Row],[QT_AREA_REAL]]&gt;0,"1- Colhido","2- à Colher")</f>
        <v>1- Colhido</v>
      </c>
      <c r="V347" s="1" t="str">
        <f>IF(ESTIMATIVA[[#This Row],[QT_AREA_REST1]]&gt;0,"Reestimativa 1",IF(ESTIMATIVA[[#This Row],[QT_AREA_REAL]]=0,"Reestimativa 1","Realizado"))</f>
        <v>Reestimativa 1</v>
      </c>
      <c r="W347" s="1" t="str">
        <f>IF(ESTIMATIVA[[#This Row],[QT_AREA_REST2]]&gt;0,"Reestimativa 2",IF(ESTIMATIVA[[#This Row],[QT_AREA_REAL]]=0,"Reestimativa 2","Realizado"))</f>
        <v>Reestimativa 2</v>
      </c>
      <c r="X347" s="1">
        <f>ESTIMATIVA[[#This Row],[QT_AREA_EST]]</f>
        <v>12.3</v>
      </c>
      <c r="Y347" s="1">
        <f>IF(ESTIMATIVA[[#This Row],[QT_AREA_REST1]]&gt;0,ESTIMATIVA[[#This Row],[QT_AREA_REST1]],
  IF(ESTIMATIVA[[#This Row],[QT_AREA_REAL]]&gt;0,ESTIMATIVA[[#This Row],[QT_AREA_REAL]],ESTIMATIVA[[#This Row],[QT_AREA_EST]]))</f>
        <v>12.3</v>
      </c>
      <c r="Z34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12.3</v>
      </c>
      <c r="AA347" s="1">
        <f>ESTIMATIVA[[#This Row],[QT_CANA_EST]]</f>
        <v>676.5</v>
      </c>
      <c r="AB347" s="1">
        <f>IF(ESTIMATIVA[[#This Row],[QT_CANA_REST1]]&gt;0,ESTIMATIVA[[#This Row],[QT_CANA_REST1]],
  IF(ESTIMATIVA[[#This Row],[QT_CANA_REAL]]&gt;0,ESTIMATIVA[[#This Row],[QT_CANA_REAL]],ESTIMATIVA[[#This Row],[QT_CANA_EST]]))</f>
        <v>676.5</v>
      </c>
      <c r="AC34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615</v>
      </c>
      <c r="AD347" s="1">
        <f>IF(ESTIMATIVA[[#This Row],[QT_AREA_REAL]]&gt;0,ESTIMATIVA[[#This Row],[QT_CANA_REAL]],ESTIMATIVA[[#This Row],[QT_CANA_EST]])</f>
        <v>600.25</v>
      </c>
      <c r="AE347" s="1">
        <f>IF(ESTIMATIVA[[#This Row],[QT_AREA_REAL]]&gt;0,ESTIMATIVA[[#This Row],[QT_CANA_REAL]],ESTIMATIVA[[#This Row],[QT_CANA_REST1]])</f>
        <v>600.25</v>
      </c>
      <c r="AF347" s="1">
        <f>IF(ESTIMATIVA[[#This Row],[QT_AREA_REAL]]&gt;0,ESTIMATIVA[[#This Row],[QT_CANA_REAL]],ESTIMATIVA[[#This Row],[QT_CANA_REST2]])</f>
        <v>600.25</v>
      </c>
      <c r="AG347" s="1" t="str">
        <f>IF(COUNTIFS(GEADA!A:A,VALUE(ESTIMATIVA[[#This Row],[CD_UPNIVEL1]]&amp;TEXT(ESTIMATIVA[[#This Row],[CD_UPNIVEL3]],"0000")))&gt;0,"S","N")</f>
        <v>N</v>
      </c>
      <c r="AH34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47" s="55" t="str">
        <f>IF(ESTIMATIVA[[#This Row],[TP_CULTIVO]]="Irrigado",_xlfn.MAXIFS(IRRIGADO!J:J,IRRIGADO!C:C,ESTIMATIVA[[#This Row],[CD_UPNIVEL1]],IRRIGADO!E:E,ESTIMATIVA[[#This Row],[CD_UPNIVEL3]]),"")</f>
        <v/>
      </c>
      <c r="AJ34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47" s="1">
        <f>COUNTIFS(Apresentação!$E$23:$E$29,ESTIMATIVA[[#This Row],[CD_UPNIVEL1]])</f>
        <v>0</v>
      </c>
    </row>
    <row r="348" spans="1:37" x14ac:dyDescent="0.3">
      <c r="A348">
        <v>20314</v>
      </c>
      <c r="B348" t="s">
        <v>27</v>
      </c>
      <c r="C348">
        <v>88</v>
      </c>
      <c r="D348">
        <v>8</v>
      </c>
      <c r="E348" t="s">
        <v>262</v>
      </c>
      <c r="F348" s="85" t="s">
        <v>332</v>
      </c>
      <c r="G348"/>
      <c r="H348" t="s">
        <v>295</v>
      </c>
      <c r="I348" t="s">
        <v>199</v>
      </c>
      <c r="J348" t="s">
        <v>176</v>
      </c>
      <c r="K348" s="1">
        <v>10.64</v>
      </c>
      <c r="L348" s="1">
        <v>10.64</v>
      </c>
      <c r="M348" s="1">
        <v>10.64</v>
      </c>
      <c r="N348" s="1">
        <v>10.64</v>
      </c>
      <c r="O348" s="1">
        <v>585.20000000000005</v>
      </c>
      <c r="P348" s="1">
        <v>585.20000000000005</v>
      </c>
      <c r="Q348" s="1">
        <v>532</v>
      </c>
      <c r="R348" s="1">
        <v>383.26</v>
      </c>
      <c r="S348" t="s">
        <v>12</v>
      </c>
      <c r="T348" s="13">
        <v>45977</v>
      </c>
      <c r="U348" s="1" t="str">
        <f>IF(ESTIMATIVA[[#This Row],[QT_AREA_REAL]]&gt;0,"1- Colhido","2- à Colher")</f>
        <v>1- Colhido</v>
      </c>
      <c r="V348" s="1" t="str">
        <f>IF(ESTIMATIVA[[#This Row],[QT_AREA_REST1]]&gt;0,"Reestimativa 1",IF(ESTIMATIVA[[#This Row],[QT_AREA_REAL]]=0,"Reestimativa 1","Realizado"))</f>
        <v>Reestimativa 1</v>
      </c>
      <c r="W348" s="1" t="str">
        <f>IF(ESTIMATIVA[[#This Row],[QT_AREA_REST2]]&gt;0,"Reestimativa 2",IF(ESTIMATIVA[[#This Row],[QT_AREA_REAL]]=0,"Reestimativa 2","Realizado"))</f>
        <v>Reestimativa 2</v>
      </c>
      <c r="X348" s="1">
        <f>ESTIMATIVA[[#This Row],[QT_AREA_EST]]</f>
        <v>10.64</v>
      </c>
      <c r="Y348" s="1">
        <f>IF(ESTIMATIVA[[#This Row],[QT_AREA_REST1]]&gt;0,ESTIMATIVA[[#This Row],[QT_AREA_REST1]],
  IF(ESTIMATIVA[[#This Row],[QT_AREA_REAL]]&gt;0,ESTIMATIVA[[#This Row],[QT_AREA_REAL]],ESTIMATIVA[[#This Row],[QT_AREA_EST]]))</f>
        <v>10.64</v>
      </c>
      <c r="Z34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10.64</v>
      </c>
      <c r="AA348" s="1">
        <f>ESTIMATIVA[[#This Row],[QT_CANA_EST]]</f>
        <v>585.20000000000005</v>
      </c>
      <c r="AB348" s="1">
        <f>IF(ESTIMATIVA[[#This Row],[QT_CANA_REST1]]&gt;0,ESTIMATIVA[[#This Row],[QT_CANA_REST1]],
  IF(ESTIMATIVA[[#This Row],[QT_CANA_REAL]]&gt;0,ESTIMATIVA[[#This Row],[QT_CANA_REAL]],ESTIMATIVA[[#This Row],[QT_CANA_EST]]))</f>
        <v>585.20000000000005</v>
      </c>
      <c r="AC34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532</v>
      </c>
      <c r="AD348" s="1">
        <f>IF(ESTIMATIVA[[#This Row],[QT_AREA_REAL]]&gt;0,ESTIMATIVA[[#This Row],[QT_CANA_REAL]],ESTIMATIVA[[#This Row],[QT_CANA_EST]])</f>
        <v>383.26</v>
      </c>
      <c r="AE348" s="1">
        <f>IF(ESTIMATIVA[[#This Row],[QT_AREA_REAL]]&gt;0,ESTIMATIVA[[#This Row],[QT_CANA_REAL]],ESTIMATIVA[[#This Row],[QT_CANA_REST1]])</f>
        <v>383.26</v>
      </c>
      <c r="AF348" s="1">
        <f>IF(ESTIMATIVA[[#This Row],[QT_AREA_REAL]]&gt;0,ESTIMATIVA[[#This Row],[QT_CANA_REAL]],ESTIMATIVA[[#This Row],[QT_CANA_REST2]])</f>
        <v>383.26</v>
      </c>
      <c r="AG348" s="1" t="str">
        <f>IF(COUNTIFS(GEADA!A:A,VALUE(ESTIMATIVA[[#This Row],[CD_UPNIVEL1]]&amp;TEXT(ESTIMATIVA[[#This Row],[CD_UPNIVEL3]],"0000")))&gt;0,"S","N")</f>
        <v>N</v>
      </c>
      <c r="AH34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48" s="55" t="str">
        <f>IF(ESTIMATIVA[[#This Row],[TP_CULTIVO]]="Irrigado",_xlfn.MAXIFS(IRRIGADO!J:J,IRRIGADO!C:C,ESTIMATIVA[[#This Row],[CD_UPNIVEL1]],IRRIGADO!E:E,ESTIMATIVA[[#This Row],[CD_UPNIVEL3]]),"")</f>
        <v/>
      </c>
      <c r="AJ34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48" s="1">
        <f>COUNTIFS(Apresentação!$E$23:$E$29,ESTIMATIVA[[#This Row],[CD_UPNIVEL1]])</f>
        <v>0</v>
      </c>
    </row>
    <row r="349" spans="1:37" x14ac:dyDescent="0.3">
      <c r="A349">
        <v>20314</v>
      </c>
      <c r="B349" t="s">
        <v>27</v>
      </c>
      <c r="C349">
        <v>89</v>
      </c>
      <c r="D349">
        <v>8</v>
      </c>
      <c r="E349" t="s">
        <v>262</v>
      </c>
      <c r="F349" s="85" t="s">
        <v>332</v>
      </c>
      <c r="G349"/>
      <c r="H349" t="s">
        <v>295</v>
      </c>
      <c r="I349" t="s">
        <v>203</v>
      </c>
      <c r="J349" t="s">
        <v>176</v>
      </c>
      <c r="K349" s="1">
        <v>7.04</v>
      </c>
      <c r="L349" s="1">
        <v>7.04</v>
      </c>
      <c r="M349" s="1">
        <v>7.04</v>
      </c>
      <c r="N349" s="1">
        <v>7.04</v>
      </c>
      <c r="O349" s="1">
        <v>387.2</v>
      </c>
      <c r="P349" s="1">
        <v>387.2</v>
      </c>
      <c r="Q349" s="1">
        <v>352</v>
      </c>
      <c r="R349" s="1">
        <v>343.53</v>
      </c>
      <c r="S349" t="s">
        <v>12</v>
      </c>
      <c r="T349" s="13">
        <v>45963</v>
      </c>
      <c r="U349" s="1" t="str">
        <f>IF(ESTIMATIVA[[#This Row],[QT_AREA_REAL]]&gt;0,"1- Colhido","2- à Colher")</f>
        <v>1- Colhido</v>
      </c>
      <c r="V349" s="1" t="str">
        <f>IF(ESTIMATIVA[[#This Row],[QT_AREA_REST1]]&gt;0,"Reestimativa 1",IF(ESTIMATIVA[[#This Row],[QT_AREA_REAL]]=0,"Reestimativa 1","Realizado"))</f>
        <v>Reestimativa 1</v>
      </c>
      <c r="W349" s="1" t="str">
        <f>IF(ESTIMATIVA[[#This Row],[QT_AREA_REST2]]&gt;0,"Reestimativa 2",IF(ESTIMATIVA[[#This Row],[QT_AREA_REAL]]=0,"Reestimativa 2","Realizado"))</f>
        <v>Reestimativa 2</v>
      </c>
      <c r="X349" s="1">
        <f>ESTIMATIVA[[#This Row],[QT_AREA_EST]]</f>
        <v>7.04</v>
      </c>
      <c r="Y349" s="1">
        <f>IF(ESTIMATIVA[[#This Row],[QT_AREA_REST1]]&gt;0,ESTIMATIVA[[#This Row],[QT_AREA_REST1]],
  IF(ESTIMATIVA[[#This Row],[QT_AREA_REAL]]&gt;0,ESTIMATIVA[[#This Row],[QT_AREA_REAL]],ESTIMATIVA[[#This Row],[QT_AREA_EST]]))</f>
        <v>7.04</v>
      </c>
      <c r="Z34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7.04</v>
      </c>
      <c r="AA349" s="1">
        <f>ESTIMATIVA[[#This Row],[QT_CANA_EST]]</f>
        <v>387.2</v>
      </c>
      <c r="AB349" s="1">
        <f>IF(ESTIMATIVA[[#This Row],[QT_CANA_REST1]]&gt;0,ESTIMATIVA[[#This Row],[QT_CANA_REST1]],
  IF(ESTIMATIVA[[#This Row],[QT_CANA_REAL]]&gt;0,ESTIMATIVA[[#This Row],[QT_CANA_REAL]],ESTIMATIVA[[#This Row],[QT_CANA_EST]]))</f>
        <v>387.2</v>
      </c>
      <c r="AC34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352</v>
      </c>
      <c r="AD349" s="1">
        <f>IF(ESTIMATIVA[[#This Row],[QT_AREA_REAL]]&gt;0,ESTIMATIVA[[#This Row],[QT_CANA_REAL]],ESTIMATIVA[[#This Row],[QT_CANA_EST]])</f>
        <v>343.53</v>
      </c>
      <c r="AE349" s="1">
        <f>IF(ESTIMATIVA[[#This Row],[QT_AREA_REAL]]&gt;0,ESTIMATIVA[[#This Row],[QT_CANA_REAL]],ESTIMATIVA[[#This Row],[QT_CANA_REST1]])</f>
        <v>343.53</v>
      </c>
      <c r="AF349" s="1">
        <f>IF(ESTIMATIVA[[#This Row],[QT_AREA_REAL]]&gt;0,ESTIMATIVA[[#This Row],[QT_CANA_REAL]],ESTIMATIVA[[#This Row],[QT_CANA_REST2]])</f>
        <v>343.53</v>
      </c>
      <c r="AG349" s="1" t="str">
        <f>IF(COUNTIFS(GEADA!A:A,VALUE(ESTIMATIVA[[#This Row],[CD_UPNIVEL1]]&amp;TEXT(ESTIMATIVA[[#This Row],[CD_UPNIVEL3]],"0000")))&gt;0,"S","N")</f>
        <v>N</v>
      </c>
      <c r="AH34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49" s="55" t="str">
        <f>IF(ESTIMATIVA[[#This Row],[TP_CULTIVO]]="Irrigado",_xlfn.MAXIFS(IRRIGADO!J:J,IRRIGADO!C:C,ESTIMATIVA[[#This Row],[CD_UPNIVEL1]],IRRIGADO!E:E,ESTIMATIVA[[#This Row],[CD_UPNIVEL3]]),"")</f>
        <v/>
      </c>
      <c r="AJ34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49" s="1">
        <f>COUNTIFS(Apresentação!$E$23:$E$29,ESTIMATIVA[[#This Row],[CD_UPNIVEL1]])</f>
        <v>0</v>
      </c>
    </row>
    <row r="350" spans="1:37" x14ac:dyDescent="0.3">
      <c r="A350">
        <v>20314</v>
      </c>
      <c r="B350" t="s">
        <v>27</v>
      </c>
      <c r="C350">
        <v>90</v>
      </c>
      <c r="D350">
        <v>8</v>
      </c>
      <c r="E350" t="s">
        <v>262</v>
      </c>
      <c r="F350" s="85" t="s">
        <v>332</v>
      </c>
      <c r="G350"/>
      <c r="H350" t="s">
        <v>295</v>
      </c>
      <c r="I350" t="s">
        <v>213</v>
      </c>
      <c r="J350" t="s">
        <v>176</v>
      </c>
      <c r="K350" s="1">
        <v>12.51</v>
      </c>
      <c r="L350" s="1">
        <v>12.51</v>
      </c>
      <c r="M350" s="1">
        <v>12.51</v>
      </c>
      <c r="N350" s="1">
        <v>12.51</v>
      </c>
      <c r="O350" s="1">
        <v>688.05</v>
      </c>
      <c r="P350" s="1">
        <v>688.05</v>
      </c>
      <c r="Q350" s="1">
        <v>550.44000000000005</v>
      </c>
      <c r="R350" s="1">
        <v>402.51</v>
      </c>
      <c r="S350" t="s">
        <v>12</v>
      </c>
      <c r="T350" s="13">
        <v>45977</v>
      </c>
      <c r="U350" s="1" t="str">
        <f>IF(ESTIMATIVA[[#This Row],[QT_AREA_REAL]]&gt;0,"1- Colhido","2- à Colher")</f>
        <v>1- Colhido</v>
      </c>
      <c r="V350" s="1" t="str">
        <f>IF(ESTIMATIVA[[#This Row],[QT_AREA_REST1]]&gt;0,"Reestimativa 1",IF(ESTIMATIVA[[#This Row],[QT_AREA_REAL]]=0,"Reestimativa 1","Realizado"))</f>
        <v>Reestimativa 1</v>
      </c>
      <c r="W350" s="1" t="str">
        <f>IF(ESTIMATIVA[[#This Row],[QT_AREA_REST2]]&gt;0,"Reestimativa 2",IF(ESTIMATIVA[[#This Row],[QT_AREA_REAL]]=0,"Reestimativa 2","Realizado"))</f>
        <v>Reestimativa 2</v>
      </c>
      <c r="X350" s="1">
        <f>ESTIMATIVA[[#This Row],[QT_AREA_EST]]</f>
        <v>12.51</v>
      </c>
      <c r="Y350" s="1">
        <f>IF(ESTIMATIVA[[#This Row],[QT_AREA_REST1]]&gt;0,ESTIMATIVA[[#This Row],[QT_AREA_REST1]],
  IF(ESTIMATIVA[[#This Row],[QT_AREA_REAL]]&gt;0,ESTIMATIVA[[#This Row],[QT_AREA_REAL]],ESTIMATIVA[[#This Row],[QT_AREA_EST]]))</f>
        <v>12.51</v>
      </c>
      <c r="Z35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12.51</v>
      </c>
      <c r="AA350" s="1">
        <f>ESTIMATIVA[[#This Row],[QT_CANA_EST]]</f>
        <v>688.05</v>
      </c>
      <c r="AB350" s="1">
        <f>IF(ESTIMATIVA[[#This Row],[QT_CANA_REST1]]&gt;0,ESTIMATIVA[[#This Row],[QT_CANA_REST1]],
  IF(ESTIMATIVA[[#This Row],[QT_CANA_REAL]]&gt;0,ESTIMATIVA[[#This Row],[QT_CANA_REAL]],ESTIMATIVA[[#This Row],[QT_CANA_EST]]))</f>
        <v>688.05</v>
      </c>
      <c r="AC35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550.44000000000005</v>
      </c>
      <c r="AD350" s="1">
        <f>IF(ESTIMATIVA[[#This Row],[QT_AREA_REAL]]&gt;0,ESTIMATIVA[[#This Row],[QT_CANA_REAL]],ESTIMATIVA[[#This Row],[QT_CANA_EST]])</f>
        <v>402.51</v>
      </c>
      <c r="AE350" s="1">
        <f>IF(ESTIMATIVA[[#This Row],[QT_AREA_REAL]]&gt;0,ESTIMATIVA[[#This Row],[QT_CANA_REAL]],ESTIMATIVA[[#This Row],[QT_CANA_REST1]])</f>
        <v>402.51</v>
      </c>
      <c r="AF350" s="1">
        <f>IF(ESTIMATIVA[[#This Row],[QT_AREA_REAL]]&gt;0,ESTIMATIVA[[#This Row],[QT_CANA_REAL]],ESTIMATIVA[[#This Row],[QT_CANA_REST2]])</f>
        <v>402.51</v>
      </c>
      <c r="AG350" s="1" t="str">
        <f>IF(COUNTIFS(GEADA!A:A,VALUE(ESTIMATIVA[[#This Row],[CD_UPNIVEL1]]&amp;TEXT(ESTIMATIVA[[#This Row],[CD_UPNIVEL3]],"0000")))&gt;0,"S","N")</f>
        <v>N</v>
      </c>
      <c r="AH35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50" s="55" t="str">
        <f>IF(ESTIMATIVA[[#This Row],[TP_CULTIVO]]="Irrigado",_xlfn.MAXIFS(IRRIGADO!J:J,IRRIGADO!C:C,ESTIMATIVA[[#This Row],[CD_UPNIVEL1]],IRRIGADO!E:E,ESTIMATIVA[[#This Row],[CD_UPNIVEL3]]),"")</f>
        <v/>
      </c>
      <c r="AJ35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50" s="1">
        <f>COUNTIFS(Apresentação!$E$23:$E$29,ESTIMATIVA[[#This Row],[CD_UPNIVEL1]])</f>
        <v>0</v>
      </c>
    </row>
    <row r="351" spans="1:37" x14ac:dyDescent="0.3">
      <c r="A351">
        <v>20314</v>
      </c>
      <c r="B351" t="s">
        <v>27</v>
      </c>
      <c r="C351">
        <v>91</v>
      </c>
      <c r="D351">
        <v>8</v>
      </c>
      <c r="E351" t="s">
        <v>262</v>
      </c>
      <c r="F351" s="85" t="s">
        <v>332</v>
      </c>
      <c r="G351"/>
      <c r="H351" t="s">
        <v>295</v>
      </c>
      <c r="I351" t="s">
        <v>199</v>
      </c>
      <c r="J351" t="s">
        <v>176</v>
      </c>
      <c r="K351" s="1">
        <v>15.77</v>
      </c>
      <c r="L351" s="1">
        <v>15.77</v>
      </c>
      <c r="M351" s="1">
        <v>15.77</v>
      </c>
      <c r="N351" s="1">
        <v>15.77</v>
      </c>
      <c r="O351" s="1">
        <v>867.35</v>
      </c>
      <c r="P351" s="1">
        <v>867.35</v>
      </c>
      <c r="Q351" s="1">
        <v>788.5</v>
      </c>
      <c r="R351" s="1">
        <v>568.58000000000004</v>
      </c>
      <c r="S351" t="s">
        <v>12</v>
      </c>
      <c r="T351" s="13">
        <v>45977</v>
      </c>
      <c r="U351" s="1" t="str">
        <f>IF(ESTIMATIVA[[#This Row],[QT_AREA_REAL]]&gt;0,"1- Colhido","2- à Colher")</f>
        <v>1- Colhido</v>
      </c>
      <c r="V351" s="1" t="str">
        <f>IF(ESTIMATIVA[[#This Row],[QT_AREA_REST1]]&gt;0,"Reestimativa 1",IF(ESTIMATIVA[[#This Row],[QT_AREA_REAL]]=0,"Reestimativa 1","Realizado"))</f>
        <v>Reestimativa 1</v>
      </c>
      <c r="W351" s="1" t="str">
        <f>IF(ESTIMATIVA[[#This Row],[QT_AREA_REST2]]&gt;0,"Reestimativa 2",IF(ESTIMATIVA[[#This Row],[QT_AREA_REAL]]=0,"Reestimativa 2","Realizado"))</f>
        <v>Reestimativa 2</v>
      </c>
      <c r="X351" s="1">
        <f>ESTIMATIVA[[#This Row],[QT_AREA_EST]]</f>
        <v>15.77</v>
      </c>
      <c r="Y351" s="1">
        <f>IF(ESTIMATIVA[[#This Row],[QT_AREA_REST1]]&gt;0,ESTIMATIVA[[#This Row],[QT_AREA_REST1]],
  IF(ESTIMATIVA[[#This Row],[QT_AREA_REAL]]&gt;0,ESTIMATIVA[[#This Row],[QT_AREA_REAL]],ESTIMATIVA[[#This Row],[QT_AREA_EST]]))</f>
        <v>15.77</v>
      </c>
      <c r="Z35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15.77</v>
      </c>
      <c r="AA351" s="1">
        <f>ESTIMATIVA[[#This Row],[QT_CANA_EST]]</f>
        <v>867.35</v>
      </c>
      <c r="AB351" s="1">
        <f>IF(ESTIMATIVA[[#This Row],[QT_CANA_REST1]]&gt;0,ESTIMATIVA[[#This Row],[QT_CANA_REST1]],
  IF(ESTIMATIVA[[#This Row],[QT_CANA_REAL]]&gt;0,ESTIMATIVA[[#This Row],[QT_CANA_REAL]],ESTIMATIVA[[#This Row],[QT_CANA_EST]]))</f>
        <v>867.35</v>
      </c>
      <c r="AC35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788.5</v>
      </c>
      <c r="AD351" s="1">
        <f>IF(ESTIMATIVA[[#This Row],[QT_AREA_REAL]]&gt;0,ESTIMATIVA[[#This Row],[QT_CANA_REAL]],ESTIMATIVA[[#This Row],[QT_CANA_EST]])</f>
        <v>568.58000000000004</v>
      </c>
      <c r="AE351" s="1">
        <f>IF(ESTIMATIVA[[#This Row],[QT_AREA_REAL]]&gt;0,ESTIMATIVA[[#This Row],[QT_CANA_REAL]],ESTIMATIVA[[#This Row],[QT_CANA_REST1]])</f>
        <v>568.58000000000004</v>
      </c>
      <c r="AF351" s="1">
        <f>IF(ESTIMATIVA[[#This Row],[QT_AREA_REAL]]&gt;0,ESTIMATIVA[[#This Row],[QT_CANA_REAL]],ESTIMATIVA[[#This Row],[QT_CANA_REST2]])</f>
        <v>568.58000000000004</v>
      </c>
      <c r="AG351" s="1" t="str">
        <f>IF(COUNTIFS(GEADA!A:A,VALUE(ESTIMATIVA[[#This Row],[CD_UPNIVEL1]]&amp;TEXT(ESTIMATIVA[[#This Row],[CD_UPNIVEL3]],"0000")))&gt;0,"S","N")</f>
        <v>N</v>
      </c>
      <c r="AH35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51" s="55" t="str">
        <f>IF(ESTIMATIVA[[#This Row],[TP_CULTIVO]]="Irrigado",_xlfn.MAXIFS(IRRIGADO!J:J,IRRIGADO!C:C,ESTIMATIVA[[#This Row],[CD_UPNIVEL1]],IRRIGADO!E:E,ESTIMATIVA[[#This Row],[CD_UPNIVEL3]]),"")</f>
        <v/>
      </c>
      <c r="AJ35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51" s="1">
        <f>COUNTIFS(Apresentação!$E$23:$E$29,ESTIMATIVA[[#This Row],[CD_UPNIVEL1]])</f>
        <v>0</v>
      </c>
    </row>
    <row r="352" spans="1:37" x14ac:dyDescent="0.3">
      <c r="A352">
        <v>20314</v>
      </c>
      <c r="B352" t="s">
        <v>27</v>
      </c>
      <c r="C352">
        <v>92</v>
      </c>
      <c r="D352">
        <v>8</v>
      </c>
      <c r="E352" t="s">
        <v>262</v>
      </c>
      <c r="F352" s="85" t="s">
        <v>332</v>
      </c>
      <c r="G352"/>
      <c r="H352" t="s">
        <v>295</v>
      </c>
      <c r="I352" t="s">
        <v>199</v>
      </c>
      <c r="J352" t="s">
        <v>176</v>
      </c>
      <c r="K352" s="1">
        <v>12.97</v>
      </c>
      <c r="L352" s="1">
        <v>12.97</v>
      </c>
      <c r="M352" s="1">
        <v>12.97</v>
      </c>
      <c r="N352" s="1">
        <v>12.97</v>
      </c>
      <c r="O352" s="1">
        <v>713.35</v>
      </c>
      <c r="P352" s="1">
        <v>713.35</v>
      </c>
      <c r="Q352" s="1">
        <v>648.5</v>
      </c>
      <c r="R352" s="1">
        <v>467.22</v>
      </c>
      <c r="S352" t="s">
        <v>12</v>
      </c>
      <c r="T352" s="13">
        <v>45977</v>
      </c>
      <c r="U352" s="1" t="str">
        <f>IF(ESTIMATIVA[[#This Row],[QT_AREA_REAL]]&gt;0,"1- Colhido","2- à Colher")</f>
        <v>1- Colhido</v>
      </c>
      <c r="V352" s="1" t="str">
        <f>IF(ESTIMATIVA[[#This Row],[QT_AREA_REST1]]&gt;0,"Reestimativa 1",IF(ESTIMATIVA[[#This Row],[QT_AREA_REAL]]=0,"Reestimativa 1","Realizado"))</f>
        <v>Reestimativa 1</v>
      </c>
      <c r="W352" s="1" t="str">
        <f>IF(ESTIMATIVA[[#This Row],[QT_AREA_REST2]]&gt;0,"Reestimativa 2",IF(ESTIMATIVA[[#This Row],[QT_AREA_REAL]]=0,"Reestimativa 2","Realizado"))</f>
        <v>Reestimativa 2</v>
      </c>
      <c r="X352" s="1">
        <f>ESTIMATIVA[[#This Row],[QT_AREA_EST]]</f>
        <v>12.97</v>
      </c>
      <c r="Y352" s="1">
        <f>IF(ESTIMATIVA[[#This Row],[QT_AREA_REST1]]&gt;0,ESTIMATIVA[[#This Row],[QT_AREA_REST1]],
  IF(ESTIMATIVA[[#This Row],[QT_AREA_REAL]]&gt;0,ESTIMATIVA[[#This Row],[QT_AREA_REAL]],ESTIMATIVA[[#This Row],[QT_AREA_EST]]))</f>
        <v>12.97</v>
      </c>
      <c r="Z35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12.97</v>
      </c>
      <c r="AA352" s="1">
        <f>ESTIMATIVA[[#This Row],[QT_CANA_EST]]</f>
        <v>713.35</v>
      </c>
      <c r="AB352" s="1">
        <f>IF(ESTIMATIVA[[#This Row],[QT_CANA_REST1]]&gt;0,ESTIMATIVA[[#This Row],[QT_CANA_REST1]],
  IF(ESTIMATIVA[[#This Row],[QT_CANA_REAL]]&gt;0,ESTIMATIVA[[#This Row],[QT_CANA_REAL]],ESTIMATIVA[[#This Row],[QT_CANA_EST]]))</f>
        <v>713.35</v>
      </c>
      <c r="AC35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648.5</v>
      </c>
      <c r="AD352" s="1">
        <f>IF(ESTIMATIVA[[#This Row],[QT_AREA_REAL]]&gt;0,ESTIMATIVA[[#This Row],[QT_CANA_REAL]],ESTIMATIVA[[#This Row],[QT_CANA_EST]])</f>
        <v>467.22</v>
      </c>
      <c r="AE352" s="1">
        <f>IF(ESTIMATIVA[[#This Row],[QT_AREA_REAL]]&gt;0,ESTIMATIVA[[#This Row],[QT_CANA_REAL]],ESTIMATIVA[[#This Row],[QT_CANA_REST1]])</f>
        <v>467.22</v>
      </c>
      <c r="AF352" s="1">
        <f>IF(ESTIMATIVA[[#This Row],[QT_AREA_REAL]]&gt;0,ESTIMATIVA[[#This Row],[QT_CANA_REAL]],ESTIMATIVA[[#This Row],[QT_CANA_REST2]])</f>
        <v>467.22</v>
      </c>
      <c r="AG352" s="1" t="str">
        <f>IF(COUNTIFS(GEADA!A:A,VALUE(ESTIMATIVA[[#This Row],[CD_UPNIVEL1]]&amp;TEXT(ESTIMATIVA[[#This Row],[CD_UPNIVEL3]],"0000")))&gt;0,"S","N")</f>
        <v>N</v>
      </c>
      <c r="AH35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52" s="55" t="str">
        <f>IF(ESTIMATIVA[[#This Row],[TP_CULTIVO]]="Irrigado",_xlfn.MAXIFS(IRRIGADO!J:J,IRRIGADO!C:C,ESTIMATIVA[[#This Row],[CD_UPNIVEL1]],IRRIGADO!E:E,ESTIMATIVA[[#This Row],[CD_UPNIVEL3]]),"")</f>
        <v/>
      </c>
      <c r="AJ35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52" s="1">
        <f>COUNTIFS(Apresentação!$E$23:$E$29,ESTIMATIVA[[#This Row],[CD_UPNIVEL1]])</f>
        <v>0</v>
      </c>
    </row>
    <row r="353" spans="1:37" x14ac:dyDescent="0.3">
      <c r="A353">
        <v>20314</v>
      </c>
      <c r="B353" t="s">
        <v>27</v>
      </c>
      <c r="C353">
        <v>93</v>
      </c>
      <c r="D353">
        <v>8</v>
      </c>
      <c r="E353" t="s">
        <v>262</v>
      </c>
      <c r="F353" s="85" t="s">
        <v>332</v>
      </c>
      <c r="G353"/>
      <c r="H353" t="s">
        <v>295</v>
      </c>
      <c r="I353" t="s">
        <v>199</v>
      </c>
      <c r="J353" t="s">
        <v>176</v>
      </c>
      <c r="K353" s="1">
        <v>11.87</v>
      </c>
      <c r="L353" s="1">
        <v>11.87</v>
      </c>
      <c r="M353" s="1">
        <v>11.87</v>
      </c>
      <c r="N353" s="1">
        <v>11.87</v>
      </c>
      <c r="O353" s="1">
        <v>652.85</v>
      </c>
      <c r="P353" s="1">
        <v>652.85</v>
      </c>
      <c r="Q353" s="1">
        <v>593.5</v>
      </c>
      <c r="R353" s="1">
        <v>427.93</v>
      </c>
      <c r="S353" t="s">
        <v>12</v>
      </c>
      <c r="T353" s="13">
        <v>45977</v>
      </c>
      <c r="U353" s="1" t="str">
        <f>IF(ESTIMATIVA[[#This Row],[QT_AREA_REAL]]&gt;0,"1- Colhido","2- à Colher")</f>
        <v>1- Colhido</v>
      </c>
      <c r="V353" s="1" t="str">
        <f>IF(ESTIMATIVA[[#This Row],[QT_AREA_REST1]]&gt;0,"Reestimativa 1",IF(ESTIMATIVA[[#This Row],[QT_AREA_REAL]]=0,"Reestimativa 1","Realizado"))</f>
        <v>Reestimativa 1</v>
      </c>
      <c r="W353" s="1" t="str">
        <f>IF(ESTIMATIVA[[#This Row],[QT_AREA_REST2]]&gt;0,"Reestimativa 2",IF(ESTIMATIVA[[#This Row],[QT_AREA_REAL]]=0,"Reestimativa 2","Realizado"))</f>
        <v>Reestimativa 2</v>
      </c>
      <c r="X353" s="1">
        <f>ESTIMATIVA[[#This Row],[QT_AREA_EST]]</f>
        <v>11.87</v>
      </c>
      <c r="Y353" s="1">
        <f>IF(ESTIMATIVA[[#This Row],[QT_AREA_REST1]]&gt;0,ESTIMATIVA[[#This Row],[QT_AREA_REST1]],
  IF(ESTIMATIVA[[#This Row],[QT_AREA_REAL]]&gt;0,ESTIMATIVA[[#This Row],[QT_AREA_REAL]],ESTIMATIVA[[#This Row],[QT_AREA_EST]]))</f>
        <v>11.87</v>
      </c>
      <c r="Z35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11.87</v>
      </c>
      <c r="AA353" s="1">
        <f>ESTIMATIVA[[#This Row],[QT_CANA_EST]]</f>
        <v>652.85</v>
      </c>
      <c r="AB353" s="1">
        <f>IF(ESTIMATIVA[[#This Row],[QT_CANA_REST1]]&gt;0,ESTIMATIVA[[#This Row],[QT_CANA_REST1]],
  IF(ESTIMATIVA[[#This Row],[QT_CANA_REAL]]&gt;0,ESTIMATIVA[[#This Row],[QT_CANA_REAL]],ESTIMATIVA[[#This Row],[QT_CANA_EST]]))</f>
        <v>652.85</v>
      </c>
      <c r="AC35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593.5</v>
      </c>
      <c r="AD353" s="1">
        <f>IF(ESTIMATIVA[[#This Row],[QT_AREA_REAL]]&gt;0,ESTIMATIVA[[#This Row],[QT_CANA_REAL]],ESTIMATIVA[[#This Row],[QT_CANA_EST]])</f>
        <v>427.93</v>
      </c>
      <c r="AE353" s="1">
        <f>IF(ESTIMATIVA[[#This Row],[QT_AREA_REAL]]&gt;0,ESTIMATIVA[[#This Row],[QT_CANA_REAL]],ESTIMATIVA[[#This Row],[QT_CANA_REST1]])</f>
        <v>427.93</v>
      </c>
      <c r="AF353" s="1">
        <f>IF(ESTIMATIVA[[#This Row],[QT_AREA_REAL]]&gt;0,ESTIMATIVA[[#This Row],[QT_CANA_REAL]],ESTIMATIVA[[#This Row],[QT_CANA_REST2]])</f>
        <v>427.93</v>
      </c>
      <c r="AG353" s="1" t="str">
        <f>IF(COUNTIFS(GEADA!A:A,VALUE(ESTIMATIVA[[#This Row],[CD_UPNIVEL1]]&amp;TEXT(ESTIMATIVA[[#This Row],[CD_UPNIVEL3]],"0000")))&gt;0,"S","N")</f>
        <v>N</v>
      </c>
      <c r="AH35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53" s="55" t="str">
        <f>IF(ESTIMATIVA[[#This Row],[TP_CULTIVO]]="Irrigado",_xlfn.MAXIFS(IRRIGADO!J:J,IRRIGADO!C:C,ESTIMATIVA[[#This Row],[CD_UPNIVEL1]],IRRIGADO!E:E,ESTIMATIVA[[#This Row],[CD_UPNIVEL3]]),"")</f>
        <v/>
      </c>
      <c r="AJ35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53" s="1">
        <f>COUNTIFS(Apresentação!$E$23:$E$29,ESTIMATIVA[[#This Row],[CD_UPNIVEL1]])</f>
        <v>0</v>
      </c>
    </row>
    <row r="354" spans="1:37" x14ac:dyDescent="0.3">
      <c r="A354">
        <v>20314</v>
      </c>
      <c r="B354" t="s">
        <v>27</v>
      </c>
      <c r="C354">
        <v>94</v>
      </c>
      <c r="D354">
        <v>8</v>
      </c>
      <c r="E354" t="s">
        <v>262</v>
      </c>
      <c r="F354" s="85" t="s">
        <v>332</v>
      </c>
      <c r="G354"/>
      <c r="H354" t="s">
        <v>295</v>
      </c>
      <c r="I354" t="s">
        <v>199</v>
      </c>
      <c r="J354" t="s">
        <v>176</v>
      </c>
      <c r="K354" s="1">
        <v>11.44</v>
      </c>
      <c r="L354" s="1">
        <v>11.44</v>
      </c>
      <c r="M354" s="1">
        <v>11.44</v>
      </c>
      <c r="N354" s="1">
        <v>11.44</v>
      </c>
      <c r="O354" s="1">
        <v>629.20000000000005</v>
      </c>
      <c r="P354" s="1">
        <v>629.20000000000005</v>
      </c>
      <c r="Q354" s="1">
        <v>572</v>
      </c>
      <c r="R354" s="1">
        <v>558.28</v>
      </c>
      <c r="S354" t="s">
        <v>12</v>
      </c>
      <c r="T354" s="13">
        <v>45963</v>
      </c>
      <c r="U354" s="1" t="str">
        <f>IF(ESTIMATIVA[[#This Row],[QT_AREA_REAL]]&gt;0,"1- Colhido","2- à Colher")</f>
        <v>1- Colhido</v>
      </c>
      <c r="V354" s="1" t="str">
        <f>IF(ESTIMATIVA[[#This Row],[QT_AREA_REST1]]&gt;0,"Reestimativa 1",IF(ESTIMATIVA[[#This Row],[QT_AREA_REAL]]=0,"Reestimativa 1","Realizado"))</f>
        <v>Reestimativa 1</v>
      </c>
      <c r="W354" s="1" t="str">
        <f>IF(ESTIMATIVA[[#This Row],[QT_AREA_REST2]]&gt;0,"Reestimativa 2",IF(ESTIMATIVA[[#This Row],[QT_AREA_REAL]]=0,"Reestimativa 2","Realizado"))</f>
        <v>Reestimativa 2</v>
      </c>
      <c r="X354" s="1">
        <f>ESTIMATIVA[[#This Row],[QT_AREA_EST]]</f>
        <v>11.44</v>
      </c>
      <c r="Y354" s="1">
        <f>IF(ESTIMATIVA[[#This Row],[QT_AREA_REST1]]&gt;0,ESTIMATIVA[[#This Row],[QT_AREA_REST1]],
  IF(ESTIMATIVA[[#This Row],[QT_AREA_REAL]]&gt;0,ESTIMATIVA[[#This Row],[QT_AREA_REAL]],ESTIMATIVA[[#This Row],[QT_AREA_EST]]))</f>
        <v>11.44</v>
      </c>
      <c r="Z35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11.44</v>
      </c>
      <c r="AA354" s="1">
        <f>ESTIMATIVA[[#This Row],[QT_CANA_EST]]</f>
        <v>629.20000000000005</v>
      </c>
      <c r="AB354" s="1">
        <f>IF(ESTIMATIVA[[#This Row],[QT_CANA_REST1]]&gt;0,ESTIMATIVA[[#This Row],[QT_CANA_REST1]],
  IF(ESTIMATIVA[[#This Row],[QT_CANA_REAL]]&gt;0,ESTIMATIVA[[#This Row],[QT_CANA_REAL]],ESTIMATIVA[[#This Row],[QT_CANA_EST]]))</f>
        <v>629.20000000000005</v>
      </c>
      <c r="AC35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572</v>
      </c>
      <c r="AD354" s="1">
        <f>IF(ESTIMATIVA[[#This Row],[QT_AREA_REAL]]&gt;0,ESTIMATIVA[[#This Row],[QT_CANA_REAL]],ESTIMATIVA[[#This Row],[QT_CANA_EST]])</f>
        <v>558.28</v>
      </c>
      <c r="AE354" s="1">
        <f>IF(ESTIMATIVA[[#This Row],[QT_AREA_REAL]]&gt;0,ESTIMATIVA[[#This Row],[QT_CANA_REAL]],ESTIMATIVA[[#This Row],[QT_CANA_REST1]])</f>
        <v>558.28</v>
      </c>
      <c r="AF354" s="1">
        <f>IF(ESTIMATIVA[[#This Row],[QT_AREA_REAL]]&gt;0,ESTIMATIVA[[#This Row],[QT_CANA_REAL]],ESTIMATIVA[[#This Row],[QT_CANA_REST2]])</f>
        <v>558.28</v>
      </c>
      <c r="AG354" s="1" t="str">
        <f>IF(COUNTIFS(GEADA!A:A,VALUE(ESTIMATIVA[[#This Row],[CD_UPNIVEL1]]&amp;TEXT(ESTIMATIVA[[#This Row],[CD_UPNIVEL3]],"0000")))&gt;0,"S","N")</f>
        <v>N</v>
      </c>
      <c r="AH35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54" s="55" t="str">
        <f>IF(ESTIMATIVA[[#This Row],[TP_CULTIVO]]="Irrigado",_xlfn.MAXIFS(IRRIGADO!J:J,IRRIGADO!C:C,ESTIMATIVA[[#This Row],[CD_UPNIVEL1]],IRRIGADO!E:E,ESTIMATIVA[[#This Row],[CD_UPNIVEL3]]),"")</f>
        <v/>
      </c>
      <c r="AJ35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54" s="1">
        <f>COUNTIFS(Apresentação!$E$23:$E$29,ESTIMATIVA[[#This Row],[CD_UPNIVEL1]])</f>
        <v>0</v>
      </c>
    </row>
    <row r="355" spans="1:37" x14ac:dyDescent="0.3">
      <c r="A355">
        <v>20314</v>
      </c>
      <c r="B355" t="s">
        <v>27</v>
      </c>
      <c r="C355">
        <v>95</v>
      </c>
      <c r="D355">
        <v>8</v>
      </c>
      <c r="E355" t="s">
        <v>262</v>
      </c>
      <c r="F355" s="85" t="s">
        <v>332</v>
      </c>
      <c r="G355"/>
      <c r="H355" t="s">
        <v>295</v>
      </c>
      <c r="I355" t="s">
        <v>213</v>
      </c>
      <c r="J355" t="s">
        <v>176</v>
      </c>
      <c r="K355" s="1">
        <v>13.44</v>
      </c>
      <c r="L355" s="1">
        <v>13.44</v>
      </c>
      <c r="M355" s="1">
        <v>13.44</v>
      </c>
      <c r="N355" s="1">
        <v>13.44</v>
      </c>
      <c r="O355" s="1">
        <v>739.2</v>
      </c>
      <c r="P355" s="1">
        <v>739.2</v>
      </c>
      <c r="Q355" s="1">
        <v>672</v>
      </c>
      <c r="R355" s="1">
        <v>655.89</v>
      </c>
      <c r="S355" t="s">
        <v>12</v>
      </c>
      <c r="T355" s="13">
        <v>45963</v>
      </c>
      <c r="U355" s="1" t="str">
        <f>IF(ESTIMATIVA[[#This Row],[QT_AREA_REAL]]&gt;0,"1- Colhido","2- à Colher")</f>
        <v>1- Colhido</v>
      </c>
      <c r="V355" s="1" t="str">
        <f>IF(ESTIMATIVA[[#This Row],[QT_AREA_REST1]]&gt;0,"Reestimativa 1",IF(ESTIMATIVA[[#This Row],[QT_AREA_REAL]]=0,"Reestimativa 1","Realizado"))</f>
        <v>Reestimativa 1</v>
      </c>
      <c r="W355" s="1" t="str">
        <f>IF(ESTIMATIVA[[#This Row],[QT_AREA_REST2]]&gt;0,"Reestimativa 2",IF(ESTIMATIVA[[#This Row],[QT_AREA_REAL]]=0,"Reestimativa 2","Realizado"))</f>
        <v>Reestimativa 2</v>
      </c>
      <c r="X355" s="1">
        <f>ESTIMATIVA[[#This Row],[QT_AREA_EST]]</f>
        <v>13.44</v>
      </c>
      <c r="Y355" s="1">
        <f>IF(ESTIMATIVA[[#This Row],[QT_AREA_REST1]]&gt;0,ESTIMATIVA[[#This Row],[QT_AREA_REST1]],
  IF(ESTIMATIVA[[#This Row],[QT_AREA_REAL]]&gt;0,ESTIMATIVA[[#This Row],[QT_AREA_REAL]],ESTIMATIVA[[#This Row],[QT_AREA_EST]]))</f>
        <v>13.44</v>
      </c>
      <c r="Z35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13.44</v>
      </c>
      <c r="AA355" s="1">
        <f>ESTIMATIVA[[#This Row],[QT_CANA_EST]]</f>
        <v>739.2</v>
      </c>
      <c r="AB355" s="1">
        <f>IF(ESTIMATIVA[[#This Row],[QT_CANA_REST1]]&gt;0,ESTIMATIVA[[#This Row],[QT_CANA_REST1]],
  IF(ESTIMATIVA[[#This Row],[QT_CANA_REAL]]&gt;0,ESTIMATIVA[[#This Row],[QT_CANA_REAL]],ESTIMATIVA[[#This Row],[QT_CANA_EST]]))</f>
        <v>739.2</v>
      </c>
      <c r="AC35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672</v>
      </c>
      <c r="AD355" s="1">
        <f>IF(ESTIMATIVA[[#This Row],[QT_AREA_REAL]]&gt;0,ESTIMATIVA[[#This Row],[QT_CANA_REAL]],ESTIMATIVA[[#This Row],[QT_CANA_EST]])</f>
        <v>655.89</v>
      </c>
      <c r="AE355" s="1">
        <f>IF(ESTIMATIVA[[#This Row],[QT_AREA_REAL]]&gt;0,ESTIMATIVA[[#This Row],[QT_CANA_REAL]],ESTIMATIVA[[#This Row],[QT_CANA_REST1]])</f>
        <v>655.89</v>
      </c>
      <c r="AF355" s="1">
        <f>IF(ESTIMATIVA[[#This Row],[QT_AREA_REAL]]&gt;0,ESTIMATIVA[[#This Row],[QT_CANA_REAL]],ESTIMATIVA[[#This Row],[QT_CANA_REST2]])</f>
        <v>655.89</v>
      </c>
      <c r="AG355" s="1" t="str">
        <f>IF(COUNTIFS(GEADA!A:A,VALUE(ESTIMATIVA[[#This Row],[CD_UPNIVEL1]]&amp;TEXT(ESTIMATIVA[[#This Row],[CD_UPNIVEL3]],"0000")))&gt;0,"S","N")</f>
        <v>N</v>
      </c>
      <c r="AH35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55" s="55" t="str">
        <f>IF(ESTIMATIVA[[#This Row],[TP_CULTIVO]]="Irrigado",_xlfn.MAXIFS(IRRIGADO!J:J,IRRIGADO!C:C,ESTIMATIVA[[#This Row],[CD_UPNIVEL1]],IRRIGADO!E:E,ESTIMATIVA[[#This Row],[CD_UPNIVEL3]]),"")</f>
        <v/>
      </c>
      <c r="AJ35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55" s="1">
        <f>COUNTIFS(Apresentação!$E$23:$E$29,ESTIMATIVA[[#This Row],[CD_UPNIVEL1]])</f>
        <v>0</v>
      </c>
    </row>
    <row r="356" spans="1:37" x14ac:dyDescent="0.3">
      <c r="A356">
        <v>20314</v>
      </c>
      <c r="B356" t="s">
        <v>27</v>
      </c>
      <c r="C356">
        <v>96</v>
      </c>
      <c r="D356">
        <v>8</v>
      </c>
      <c r="E356" t="s">
        <v>262</v>
      </c>
      <c r="F356" s="85" t="s">
        <v>329</v>
      </c>
      <c r="G356"/>
      <c r="H356" t="s">
        <v>295</v>
      </c>
      <c r="I356" t="s">
        <v>213</v>
      </c>
      <c r="J356" t="s">
        <v>176</v>
      </c>
      <c r="K356" s="1">
        <v>11.55</v>
      </c>
      <c r="L356" s="1">
        <v>11.55</v>
      </c>
      <c r="M356" s="1">
        <v>11.55</v>
      </c>
      <c r="N356" s="1">
        <v>11.55</v>
      </c>
      <c r="O356" s="1">
        <v>635.25</v>
      </c>
      <c r="P356" s="1">
        <v>635.25</v>
      </c>
      <c r="Q356" s="1">
        <v>577.5</v>
      </c>
      <c r="R356" s="1">
        <v>564.62</v>
      </c>
      <c r="S356" t="s">
        <v>12</v>
      </c>
      <c r="T356" s="13">
        <v>45963</v>
      </c>
      <c r="U356" s="1" t="str">
        <f>IF(ESTIMATIVA[[#This Row],[QT_AREA_REAL]]&gt;0,"1- Colhido","2- à Colher")</f>
        <v>1- Colhido</v>
      </c>
      <c r="V356" s="1" t="str">
        <f>IF(ESTIMATIVA[[#This Row],[QT_AREA_REST1]]&gt;0,"Reestimativa 1",IF(ESTIMATIVA[[#This Row],[QT_AREA_REAL]]=0,"Reestimativa 1","Realizado"))</f>
        <v>Reestimativa 1</v>
      </c>
      <c r="W356" s="1" t="str">
        <f>IF(ESTIMATIVA[[#This Row],[QT_AREA_REST2]]&gt;0,"Reestimativa 2",IF(ESTIMATIVA[[#This Row],[QT_AREA_REAL]]=0,"Reestimativa 2","Realizado"))</f>
        <v>Reestimativa 2</v>
      </c>
      <c r="X356" s="1">
        <f>ESTIMATIVA[[#This Row],[QT_AREA_EST]]</f>
        <v>11.55</v>
      </c>
      <c r="Y356" s="1">
        <f>IF(ESTIMATIVA[[#This Row],[QT_AREA_REST1]]&gt;0,ESTIMATIVA[[#This Row],[QT_AREA_REST1]],
  IF(ESTIMATIVA[[#This Row],[QT_AREA_REAL]]&gt;0,ESTIMATIVA[[#This Row],[QT_AREA_REAL]],ESTIMATIVA[[#This Row],[QT_AREA_EST]]))</f>
        <v>11.55</v>
      </c>
      <c r="Z35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11.55</v>
      </c>
      <c r="AA356" s="1">
        <f>ESTIMATIVA[[#This Row],[QT_CANA_EST]]</f>
        <v>635.25</v>
      </c>
      <c r="AB356" s="1">
        <f>IF(ESTIMATIVA[[#This Row],[QT_CANA_REST1]]&gt;0,ESTIMATIVA[[#This Row],[QT_CANA_REST1]],
  IF(ESTIMATIVA[[#This Row],[QT_CANA_REAL]]&gt;0,ESTIMATIVA[[#This Row],[QT_CANA_REAL]],ESTIMATIVA[[#This Row],[QT_CANA_EST]]))</f>
        <v>635.25</v>
      </c>
      <c r="AC35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577.5</v>
      </c>
      <c r="AD356" s="1">
        <f>IF(ESTIMATIVA[[#This Row],[QT_AREA_REAL]]&gt;0,ESTIMATIVA[[#This Row],[QT_CANA_REAL]],ESTIMATIVA[[#This Row],[QT_CANA_EST]])</f>
        <v>564.62</v>
      </c>
      <c r="AE356" s="1">
        <f>IF(ESTIMATIVA[[#This Row],[QT_AREA_REAL]]&gt;0,ESTIMATIVA[[#This Row],[QT_CANA_REAL]],ESTIMATIVA[[#This Row],[QT_CANA_REST1]])</f>
        <v>564.62</v>
      </c>
      <c r="AF356" s="1">
        <f>IF(ESTIMATIVA[[#This Row],[QT_AREA_REAL]]&gt;0,ESTIMATIVA[[#This Row],[QT_CANA_REAL]],ESTIMATIVA[[#This Row],[QT_CANA_REST2]])</f>
        <v>564.62</v>
      </c>
      <c r="AG356" s="1" t="str">
        <f>IF(COUNTIFS(GEADA!A:A,VALUE(ESTIMATIVA[[#This Row],[CD_UPNIVEL1]]&amp;TEXT(ESTIMATIVA[[#This Row],[CD_UPNIVEL3]],"0000")))&gt;0,"S","N")</f>
        <v>N</v>
      </c>
      <c r="AH35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56" s="55" t="str">
        <f>IF(ESTIMATIVA[[#This Row],[TP_CULTIVO]]="Irrigado",_xlfn.MAXIFS(IRRIGADO!J:J,IRRIGADO!C:C,ESTIMATIVA[[#This Row],[CD_UPNIVEL1]],IRRIGADO!E:E,ESTIMATIVA[[#This Row],[CD_UPNIVEL3]]),"")</f>
        <v/>
      </c>
      <c r="AJ35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56" s="1">
        <f>COUNTIFS(Apresentação!$E$23:$E$29,ESTIMATIVA[[#This Row],[CD_UPNIVEL1]])</f>
        <v>0</v>
      </c>
    </row>
    <row r="357" spans="1:37" x14ac:dyDescent="0.3">
      <c r="A357">
        <v>20314</v>
      </c>
      <c r="B357" t="s">
        <v>27</v>
      </c>
      <c r="C357">
        <v>97</v>
      </c>
      <c r="D357">
        <v>8</v>
      </c>
      <c r="E357" t="s">
        <v>262</v>
      </c>
      <c r="F357" s="85" t="s">
        <v>329</v>
      </c>
      <c r="G357"/>
      <c r="H357" t="s">
        <v>295</v>
      </c>
      <c r="I357" t="s">
        <v>199</v>
      </c>
      <c r="J357" t="s">
        <v>176</v>
      </c>
      <c r="K357" s="1">
        <v>17.809999999999999</v>
      </c>
      <c r="L357" s="1">
        <v>17.809999999999999</v>
      </c>
      <c r="M357" s="1">
        <v>17.809999999999999</v>
      </c>
      <c r="N357" s="1">
        <v>17.809999999999999</v>
      </c>
      <c r="O357" s="1">
        <v>890.5</v>
      </c>
      <c r="P357" s="1">
        <v>908.31</v>
      </c>
      <c r="Q357" s="1">
        <v>890.5</v>
      </c>
      <c r="R357" s="1">
        <v>653.61</v>
      </c>
      <c r="S357" t="s">
        <v>12</v>
      </c>
      <c r="T357" s="13">
        <v>45963</v>
      </c>
      <c r="U357" s="1" t="str">
        <f>IF(ESTIMATIVA[[#This Row],[QT_AREA_REAL]]&gt;0,"1- Colhido","2- à Colher")</f>
        <v>1- Colhido</v>
      </c>
      <c r="V357" s="1" t="str">
        <f>IF(ESTIMATIVA[[#This Row],[QT_AREA_REST1]]&gt;0,"Reestimativa 1",IF(ESTIMATIVA[[#This Row],[QT_AREA_REAL]]=0,"Reestimativa 1","Realizado"))</f>
        <v>Reestimativa 1</v>
      </c>
      <c r="W357" s="1" t="str">
        <f>IF(ESTIMATIVA[[#This Row],[QT_AREA_REST2]]&gt;0,"Reestimativa 2",IF(ESTIMATIVA[[#This Row],[QT_AREA_REAL]]=0,"Reestimativa 2","Realizado"))</f>
        <v>Reestimativa 2</v>
      </c>
      <c r="X357" s="1">
        <f>ESTIMATIVA[[#This Row],[QT_AREA_EST]]</f>
        <v>17.809999999999999</v>
      </c>
      <c r="Y357" s="1">
        <f>IF(ESTIMATIVA[[#This Row],[QT_AREA_REST1]]&gt;0,ESTIMATIVA[[#This Row],[QT_AREA_REST1]],
  IF(ESTIMATIVA[[#This Row],[QT_AREA_REAL]]&gt;0,ESTIMATIVA[[#This Row],[QT_AREA_REAL]],ESTIMATIVA[[#This Row],[QT_AREA_EST]]))</f>
        <v>17.809999999999999</v>
      </c>
      <c r="Z35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17.809999999999999</v>
      </c>
      <c r="AA357" s="1">
        <f>ESTIMATIVA[[#This Row],[QT_CANA_EST]]</f>
        <v>890.5</v>
      </c>
      <c r="AB357" s="1">
        <f>IF(ESTIMATIVA[[#This Row],[QT_CANA_REST1]]&gt;0,ESTIMATIVA[[#This Row],[QT_CANA_REST1]],
  IF(ESTIMATIVA[[#This Row],[QT_CANA_REAL]]&gt;0,ESTIMATIVA[[#This Row],[QT_CANA_REAL]],ESTIMATIVA[[#This Row],[QT_CANA_EST]]))</f>
        <v>908.31</v>
      </c>
      <c r="AC35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890.5</v>
      </c>
      <c r="AD357" s="1">
        <f>IF(ESTIMATIVA[[#This Row],[QT_AREA_REAL]]&gt;0,ESTIMATIVA[[#This Row],[QT_CANA_REAL]],ESTIMATIVA[[#This Row],[QT_CANA_EST]])</f>
        <v>653.61</v>
      </c>
      <c r="AE357" s="1">
        <f>IF(ESTIMATIVA[[#This Row],[QT_AREA_REAL]]&gt;0,ESTIMATIVA[[#This Row],[QT_CANA_REAL]],ESTIMATIVA[[#This Row],[QT_CANA_REST1]])</f>
        <v>653.61</v>
      </c>
      <c r="AF357" s="1">
        <f>IF(ESTIMATIVA[[#This Row],[QT_AREA_REAL]]&gt;0,ESTIMATIVA[[#This Row],[QT_CANA_REAL]],ESTIMATIVA[[#This Row],[QT_CANA_REST2]])</f>
        <v>653.61</v>
      </c>
      <c r="AG357" s="1" t="str">
        <f>IF(COUNTIFS(GEADA!A:A,VALUE(ESTIMATIVA[[#This Row],[CD_UPNIVEL1]]&amp;TEXT(ESTIMATIVA[[#This Row],[CD_UPNIVEL3]],"0000")))&gt;0,"S","N")</f>
        <v>N</v>
      </c>
      <c r="AH35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57" s="55" t="str">
        <f>IF(ESTIMATIVA[[#This Row],[TP_CULTIVO]]="Irrigado",_xlfn.MAXIFS(IRRIGADO!J:J,IRRIGADO!C:C,ESTIMATIVA[[#This Row],[CD_UPNIVEL1]],IRRIGADO!E:E,ESTIMATIVA[[#This Row],[CD_UPNIVEL3]]),"")</f>
        <v/>
      </c>
      <c r="AJ35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57" s="1">
        <f>COUNTIFS(Apresentação!$E$23:$E$29,ESTIMATIVA[[#This Row],[CD_UPNIVEL1]])</f>
        <v>0</v>
      </c>
    </row>
    <row r="358" spans="1:37" x14ac:dyDescent="0.3">
      <c r="A358">
        <v>20314</v>
      </c>
      <c r="B358" t="s">
        <v>27</v>
      </c>
      <c r="C358">
        <v>98</v>
      </c>
      <c r="D358">
        <v>8</v>
      </c>
      <c r="E358" t="s">
        <v>262</v>
      </c>
      <c r="F358" s="85" t="s">
        <v>329</v>
      </c>
      <c r="G358"/>
      <c r="H358" t="s">
        <v>295</v>
      </c>
      <c r="I358" t="s">
        <v>199</v>
      </c>
      <c r="J358" t="s">
        <v>176</v>
      </c>
      <c r="K358" s="1">
        <v>16.41</v>
      </c>
      <c r="L358" s="1">
        <v>16.41</v>
      </c>
      <c r="M358" s="1">
        <v>16.41</v>
      </c>
      <c r="N358" s="1">
        <v>16.41</v>
      </c>
      <c r="O358" s="1">
        <v>820.5</v>
      </c>
      <c r="P358" s="1">
        <v>836.91</v>
      </c>
      <c r="Q358" s="1">
        <v>820.5</v>
      </c>
      <c r="R358" s="1">
        <v>602.27</v>
      </c>
      <c r="S358" t="s">
        <v>12</v>
      </c>
      <c r="T358" s="13">
        <v>45963</v>
      </c>
      <c r="U358" s="1" t="str">
        <f>IF(ESTIMATIVA[[#This Row],[QT_AREA_REAL]]&gt;0,"1- Colhido","2- à Colher")</f>
        <v>1- Colhido</v>
      </c>
      <c r="V358" s="1" t="str">
        <f>IF(ESTIMATIVA[[#This Row],[QT_AREA_REST1]]&gt;0,"Reestimativa 1",IF(ESTIMATIVA[[#This Row],[QT_AREA_REAL]]=0,"Reestimativa 1","Realizado"))</f>
        <v>Reestimativa 1</v>
      </c>
      <c r="W358" s="1" t="str">
        <f>IF(ESTIMATIVA[[#This Row],[QT_AREA_REST2]]&gt;0,"Reestimativa 2",IF(ESTIMATIVA[[#This Row],[QT_AREA_REAL]]=0,"Reestimativa 2","Realizado"))</f>
        <v>Reestimativa 2</v>
      </c>
      <c r="X358" s="1">
        <f>ESTIMATIVA[[#This Row],[QT_AREA_EST]]</f>
        <v>16.41</v>
      </c>
      <c r="Y358" s="1">
        <f>IF(ESTIMATIVA[[#This Row],[QT_AREA_REST1]]&gt;0,ESTIMATIVA[[#This Row],[QT_AREA_REST1]],
  IF(ESTIMATIVA[[#This Row],[QT_AREA_REAL]]&gt;0,ESTIMATIVA[[#This Row],[QT_AREA_REAL]],ESTIMATIVA[[#This Row],[QT_AREA_EST]]))</f>
        <v>16.41</v>
      </c>
      <c r="Z35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16.41</v>
      </c>
      <c r="AA358" s="1">
        <f>ESTIMATIVA[[#This Row],[QT_CANA_EST]]</f>
        <v>820.5</v>
      </c>
      <c r="AB358" s="1">
        <f>IF(ESTIMATIVA[[#This Row],[QT_CANA_REST1]]&gt;0,ESTIMATIVA[[#This Row],[QT_CANA_REST1]],
  IF(ESTIMATIVA[[#This Row],[QT_CANA_REAL]]&gt;0,ESTIMATIVA[[#This Row],[QT_CANA_REAL]],ESTIMATIVA[[#This Row],[QT_CANA_EST]]))</f>
        <v>836.91</v>
      </c>
      <c r="AC35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820.5</v>
      </c>
      <c r="AD358" s="1">
        <f>IF(ESTIMATIVA[[#This Row],[QT_AREA_REAL]]&gt;0,ESTIMATIVA[[#This Row],[QT_CANA_REAL]],ESTIMATIVA[[#This Row],[QT_CANA_EST]])</f>
        <v>602.27</v>
      </c>
      <c r="AE358" s="1">
        <f>IF(ESTIMATIVA[[#This Row],[QT_AREA_REAL]]&gt;0,ESTIMATIVA[[#This Row],[QT_CANA_REAL]],ESTIMATIVA[[#This Row],[QT_CANA_REST1]])</f>
        <v>602.27</v>
      </c>
      <c r="AF358" s="1">
        <f>IF(ESTIMATIVA[[#This Row],[QT_AREA_REAL]]&gt;0,ESTIMATIVA[[#This Row],[QT_CANA_REAL]],ESTIMATIVA[[#This Row],[QT_CANA_REST2]])</f>
        <v>602.27</v>
      </c>
      <c r="AG358" s="1" t="str">
        <f>IF(COUNTIFS(GEADA!A:A,VALUE(ESTIMATIVA[[#This Row],[CD_UPNIVEL1]]&amp;TEXT(ESTIMATIVA[[#This Row],[CD_UPNIVEL3]],"0000")))&gt;0,"S","N")</f>
        <v>N</v>
      </c>
      <c r="AH35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58" s="55" t="str">
        <f>IF(ESTIMATIVA[[#This Row],[TP_CULTIVO]]="Irrigado",_xlfn.MAXIFS(IRRIGADO!J:J,IRRIGADO!C:C,ESTIMATIVA[[#This Row],[CD_UPNIVEL1]],IRRIGADO!E:E,ESTIMATIVA[[#This Row],[CD_UPNIVEL3]]),"")</f>
        <v/>
      </c>
      <c r="AJ35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58" s="1">
        <f>COUNTIFS(Apresentação!$E$23:$E$29,ESTIMATIVA[[#This Row],[CD_UPNIVEL1]])</f>
        <v>0</v>
      </c>
    </row>
    <row r="359" spans="1:37" x14ac:dyDescent="0.3">
      <c r="A359">
        <v>20314</v>
      </c>
      <c r="B359" t="s">
        <v>27</v>
      </c>
      <c r="C359">
        <v>99</v>
      </c>
      <c r="D359">
        <v>8</v>
      </c>
      <c r="E359" t="s">
        <v>262</v>
      </c>
      <c r="F359" s="85" t="s">
        <v>329</v>
      </c>
      <c r="G359"/>
      <c r="H359" t="s">
        <v>295</v>
      </c>
      <c r="I359" t="s">
        <v>212</v>
      </c>
      <c r="J359" t="s">
        <v>176</v>
      </c>
      <c r="K359" s="1">
        <v>8.9600000000000009</v>
      </c>
      <c r="L359" s="1">
        <v>8.9600000000000009</v>
      </c>
      <c r="M359" s="1">
        <v>8.9600000000000009</v>
      </c>
      <c r="N359" s="1">
        <v>8.9600000000000009</v>
      </c>
      <c r="O359" s="1">
        <v>573.44000000000005</v>
      </c>
      <c r="P359" s="1">
        <v>591.36</v>
      </c>
      <c r="Q359" s="1">
        <v>627.20000000000005</v>
      </c>
      <c r="R359" s="1">
        <v>459.94</v>
      </c>
      <c r="S359" t="s">
        <v>12</v>
      </c>
      <c r="T359" s="13">
        <v>45963</v>
      </c>
      <c r="U359" s="1" t="str">
        <f>IF(ESTIMATIVA[[#This Row],[QT_AREA_REAL]]&gt;0,"1- Colhido","2- à Colher")</f>
        <v>1- Colhido</v>
      </c>
      <c r="V359" s="1" t="str">
        <f>IF(ESTIMATIVA[[#This Row],[QT_AREA_REST1]]&gt;0,"Reestimativa 1",IF(ESTIMATIVA[[#This Row],[QT_AREA_REAL]]=0,"Reestimativa 1","Realizado"))</f>
        <v>Reestimativa 1</v>
      </c>
      <c r="W359" s="1" t="str">
        <f>IF(ESTIMATIVA[[#This Row],[QT_AREA_REST2]]&gt;0,"Reestimativa 2",IF(ESTIMATIVA[[#This Row],[QT_AREA_REAL]]=0,"Reestimativa 2","Realizado"))</f>
        <v>Reestimativa 2</v>
      </c>
      <c r="X359" s="1">
        <f>ESTIMATIVA[[#This Row],[QT_AREA_EST]]</f>
        <v>8.9600000000000009</v>
      </c>
      <c r="Y359" s="1">
        <f>IF(ESTIMATIVA[[#This Row],[QT_AREA_REST1]]&gt;0,ESTIMATIVA[[#This Row],[QT_AREA_REST1]],
  IF(ESTIMATIVA[[#This Row],[QT_AREA_REAL]]&gt;0,ESTIMATIVA[[#This Row],[QT_AREA_REAL]],ESTIMATIVA[[#This Row],[QT_AREA_EST]]))</f>
        <v>8.9600000000000009</v>
      </c>
      <c r="Z35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8.9600000000000009</v>
      </c>
      <c r="AA359" s="1">
        <f>ESTIMATIVA[[#This Row],[QT_CANA_EST]]</f>
        <v>573.44000000000005</v>
      </c>
      <c r="AB359" s="1">
        <f>IF(ESTIMATIVA[[#This Row],[QT_CANA_REST1]]&gt;0,ESTIMATIVA[[#This Row],[QT_CANA_REST1]],
  IF(ESTIMATIVA[[#This Row],[QT_CANA_REAL]]&gt;0,ESTIMATIVA[[#This Row],[QT_CANA_REAL]],ESTIMATIVA[[#This Row],[QT_CANA_EST]]))</f>
        <v>591.36</v>
      </c>
      <c r="AC35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627.20000000000005</v>
      </c>
      <c r="AD359" s="1">
        <f>IF(ESTIMATIVA[[#This Row],[QT_AREA_REAL]]&gt;0,ESTIMATIVA[[#This Row],[QT_CANA_REAL]],ESTIMATIVA[[#This Row],[QT_CANA_EST]])</f>
        <v>459.94</v>
      </c>
      <c r="AE359" s="1">
        <f>IF(ESTIMATIVA[[#This Row],[QT_AREA_REAL]]&gt;0,ESTIMATIVA[[#This Row],[QT_CANA_REAL]],ESTIMATIVA[[#This Row],[QT_CANA_REST1]])</f>
        <v>459.94</v>
      </c>
      <c r="AF359" s="1">
        <f>IF(ESTIMATIVA[[#This Row],[QT_AREA_REAL]]&gt;0,ESTIMATIVA[[#This Row],[QT_CANA_REAL]],ESTIMATIVA[[#This Row],[QT_CANA_REST2]])</f>
        <v>459.94</v>
      </c>
      <c r="AG359" s="1" t="str">
        <f>IF(COUNTIFS(GEADA!A:A,VALUE(ESTIMATIVA[[#This Row],[CD_UPNIVEL1]]&amp;TEXT(ESTIMATIVA[[#This Row],[CD_UPNIVEL3]],"0000")))&gt;0,"S","N")</f>
        <v>N</v>
      </c>
      <c r="AH35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59" s="55" t="str">
        <f>IF(ESTIMATIVA[[#This Row],[TP_CULTIVO]]="Irrigado",_xlfn.MAXIFS(IRRIGADO!J:J,IRRIGADO!C:C,ESTIMATIVA[[#This Row],[CD_UPNIVEL1]],IRRIGADO!E:E,ESTIMATIVA[[#This Row],[CD_UPNIVEL3]]),"")</f>
        <v/>
      </c>
      <c r="AJ35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59" s="1">
        <f>COUNTIFS(Apresentação!$E$23:$E$29,ESTIMATIVA[[#This Row],[CD_UPNIVEL1]])</f>
        <v>0</v>
      </c>
    </row>
    <row r="360" spans="1:37" x14ac:dyDescent="0.3">
      <c r="A360">
        <v>20314</v>
      </c>
      <c r="B360" t="s">
        <v>27</v>
      </c>
      <c r="C360">
        <v>100</v>
      </c>
      <c r="D360">
        <v>8</v>
      </c>
      <c r="E360" t="s">
        <v>262</v>
      </c>
      <c r="F360" s="85" t="s">
        <v>329</v>
      </c>
      <c r="G360"/>
      <c r="H360" t="s">
        <v>295</v>
      </c>
      <c r="I360" t="s">
        <v>212</v>
      </c>
      <c r="J360" t="s">
        <v>176</v>
      </c>
      <c r="K360" s="1">
        <v>10.26</v>
      </c>
      <c r="L360" s="1">
        <v>10.26</v>
      </c>
      <c r="M360" s="1">
        <v>10.26</v>
      </c>
      <c r="N360" s="1">
        <v>10.26</v>
      </c>
      <c r="O360" s="1">
        <v>656.64</v>
      </c>
      <c r="P360" s="1">
        <v>677.16</v>
      </c>
      <c r="Q360" s="1">
        <v>718.2</v>
      </c>
      <c r="R360" s="1">
        <v>527</v>
      </c>
      <c r="S360" t="s">
        <v>12</v>
      </c>
      <c r="T360" s="13">
        <v>45970</v>
      </c>
      <c r="U360" s="1" t="str">
        <f>IF(ESTIMATIVA[[#This Row],[QT_AREA_REAL]]&gt;0,"1- Colhido","2- à Colher")</f>
        <v>1- Colhido</v>
      </c>
      <c r="V360" s="1" t="str">
        <f>IF(ESTIMATIVA[[#This Row],[QT_AREA_REST1]]&gt;0,"Reestimativa 1",IF(ESTIMATIVA[[#This Row],[QT_AREA_REAL]]=0,"Reestimativa 1","Realizado"))</f>
        <v>Reestimativa 1</v>
      </c>
      <c r="W360" s="1" t="str">
        <f>IF(ESTIMATIVA[[#This Row],[QT_AREA_REST2]]&gt;0,"Reestimativa 2",IF(ESTIMATIVA[[#This Row],[QT_AREA_REAL]]=0,"Reestimativa 2","Realizado"))</f>
        <v>Reestimativa 2</v>
      </c>
      <c r="X360" s="1">
        <f>ESTIMATIVA[[#This Row],[QT_AREA_EST]]</f>
        <v>10.26</v>
      </c>
      <c r="Y360" s="1">
        <f>IF(ESTIMATIVA[[#This Row],[QT_AREA_REST1]]&gt;0,ESTIMATIVA[[#This Row],[QT_AREA_REST1]],
  IF(ESTIMATIVA[[#This Row],[QT_AREA_REAL]]&gt;0,ESTIMATIVA[[#This Row],[QT_AREA_REAL]],ESTIMATIVA[[#This Row],[QT_AREA_EST]]))</f>
        <v>10.26</v>
      </c>
      <c r="Z36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10.26</v>
      </c>
      <c r="AA360" s="1">
        <f>ESTIMATIVA[[#This Row],[QT_CANA_EST]]</f>
        <v>656.64</v>
      </c>
      <c r="AB360" s="1">
        <f>IF(ESTIMATIVA[[#This Row],[QT_CANA_REST1]]&gt;0,ESTIMATIVA[[#This Row],[QT_CANA_REST1]],
  IF(ESTIMATIVA[[#This Row],[QT_CANA_REAL]]&gt;0,ESTIMATIVA[[#This Row],[QT_CANA_REAL]],ESTIMATIVA[[#This Row],[QT_CANA_EST]]))</f>
        <v>677.16</v>
      </c>
      <c r="AC36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718.2</v>
      </c>
      <c r="AD360" s="1">
        <f>IF(ESTIMATIVA[[#This Row],[QT_AREA_REAL]]&gt;0,ESTIMATIVA[[#This Row],[QT_CANA_REAL]],ESTIMATIVA[[#This Row],[QT_CANA_EST]])</f>
        <v>527</v>
      </c>
      <c r="AE360" s="1">
        <f>IF(ESTIMATIVA[[#This Row],[QT_AREA_REAL]]&gt;0,ESTIMATIVA[[#This Row],[QT_CANA_REAL]],ESTIMATIVA[[#This Row],[QT_CANA_REST1]])</f>
        <v>527</v>
      </c>
      <c r="AF360" s="1">
        <f>IF(ESTIMATIVA[[#This Row],[QT_AREA_REAL]]&gt;0,ESTIMATIVA[[#This Row],[QT_CANA_REAL]],ESTIMATIVA[[#This Row],[QT_CANA_REST2]])</f>
        <v>527</v>
      </c>
      <c r="AG360" s="1" t="str">
        <f>IF(COUNTIFS(GEADA!A:A,VALUE(ESTIMATIVA[[#This Row],[CD_UPNIVEL1]]&amp;TEXT(ESTIMATIVA[[#This Row],[CD_UPNIVEL3]],"0000")))&gt;0,"S","N")</f>
        <v>N</v>
      </c>
      <c r="AH36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60" s="55" t="str">
        <f>IF(ESTIMATIVA[[#This Row],[TP_CULTIVO]]="Irrigado",_xlfn.MAXIFS(IRRIGADO!J:J,IRRIGADO!C:C,ESTIMATIVA[[#This Row],[CD_UPNIVEL1]],IRRIGADO!E:E,ESTIMATIVA[[#This Row],[CD_UPNIVEL3]]),"")</f>
        <v/>
      </c>
      <c r="AJ36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60" s="1">
        <f>COUNTIFS(Apresentação!$E$23:$E$29,ESTIMATIVA[[#This Row],[CD_UPNIVEL1]])</f>
        <v>0</v>
      </c>
    </row>
    <row r="361" spans="1:37" x14ac:dyDescent="0.3">
      <c r="A361">
        <v>20314</v>
      </c>
      <c r="B361" t="s">
        <v>27</v>
      </c>
      <c r="C361">
        <v>101</v>
      </c>
      <c r="D361">
        <v>8</v>
      </c>
      <c r="E361" t="s">
        <v>262</v>
      </c>
      <c r="F361" s="85" t="s">
        <v>329</v>
      </c>
      <c r="G361"/>
      <c r="H361" t="s">
        <v>295</v>
      </c>
      <c r="I361" t="s">
        <v>212</v>
      </c>
      <c r="J361" t="s">
        <v>176</v>
      </c>
      <c r="K361" s="1">
        <v>12.48</v>
      </c>
      <c r="L361" s="1">
        <v>12.48</v>
      </c>
      <c r="M361" s="1">
        <v>12.48</v>
      </c>
      <c r="N361" s="1">
        <v>12.48</v>
      </c>
      <c r="O361" s="1">
        <v>798.72</v>
      </c>
      <c r="P361" s="1">
        <v>823.68</v>
      </c>
      <c r="Q361" s="1">
        <v>823.68</v>
      </c>
      <c r="R361" s="1">
        <v>617.74</v>
      </c>
      <c r="S361" t="s">
        <v>12</v>
      </c>
      <c r="T361" s="13">
        <v>45970</v>
      </c>
      <c r="U361" s="1" t="str">
        <f>IF(ESTIMATIVA[[#This Row],[QT_AREA_REAL]]&gt;0,"1- Colhido","2- à Colher")</f>
        <v>1- Colhido</v>
      </c>
      <c r="V361" s="1" t="str">
        <f>IF(ESTIMATIVA[[#This Row],[QT_AREA_REST1]]&gt;0,"Reestimativa 1",IF(ESTIMATIVA[[#This Row],[QT_AREA_REAL]]=0,"Reestimativa 1","Realizado"))</f>
        <v>Reestimativa 1</v>
      </c>
      <c r="W361" s="1" t="str">
        <f>IF(ESTIMATIVA[[#This Row],[QT_AREA_REST2]]&gt;0,"Reestimativa 2",IF(ESTIMATIVA[[#This Row],[QT_AREA_REAL]]=0,"Reestimativa 2","Realizado"))</f>
        <v>Reestimativa 2</v>
      </c>
      <c r="X361" s="1">
        <f>ESTIMATIVA[[#This Row],[QT_AREA_EST]]</f>
        <v>12.48</v>
      </c>
      <c r="Y361" s="1">
        <f>IF(ESTIMATIVA[[#This Row],[QT_AREA_REST1]]&gt;0,ESTIMATIVA[[#This Row],[QT_AREA_REST1]],
  IF(ESTIMATIVA[[#This Row],[QT_AREA_REAL]]&gt;0,ESTIMATIVA[[#This Row],[QT_AREA_REAL]],ESTIMATIVA[[#This Row],[QT_AREA_EST]]))</f>
        <v>12.48</v>
      </c>
      <c r="Z36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12.48</v>
      </c>
      <c r="AA361" s="1">
        <f>ESTIMATIVA[[#This Row],[QT_CANA_EST]]</f>
        <v>798.72</v>
      </c>
      <c r="AB361" s="1">
        <f>IF(ESTIMATIVA[[#This Row],[QT_CANA_REST1]]&gt;0,ESTIMATIVA[[#This Row],[QT_CANA_REST1]],
  IF(ESTIMATIVA[[#This Row],[QT_CANA_REAL]]&gt;0,ESTIMATIVA[[#This Row],[QT_CANA_REAL]],ESTIMATIVA[[#This Row],[QT_CANA_EST]]))</f>
        <v>823.68</v>
      </c>
      <c r="AC36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823.68</v>
      </c>
      <c r="AD361" s="1">
        <f>IF(ESTIMATIVA[[#This Row],[QT_AREA_REAL]]&gt;0,ESTIMATIVA[[#This Row],[QT_CANA_REAL]],ESTIMATIVA[[#This Row],[QT_CANA_EST]])</f>
        <v>617.74</v>
      </c>
      <c r="AE361" s="1">
        <f>IF(ESTIMATIVA[[#This Row],[QT_AREA_REAL]]&gt;0,ESTIMATIVA[[#This Row],[QT_CANA_REAL]],ESTIMATIVA[[#This Row],[QT_CANA_REST1]])</f>
        <v>617.74</v>
      </c>
      <c r="AF361" s="1">
        <f>IF(ESTIMATIVA[[#This Row],[QT_AREA_REAL]]&gt;0,ESTIMATIVA[[#This Row],[QT_CANA_REAL]],ESTIMATIVA[[#This Row],[QT_CANA_REST2]])</f>
        <v>617.74</v>
      </c>
      <c r="AG361" s="1" t="str">
        <f>IF(COUNTIFS(GEADA!A:A,VALUE(ESTIMATIVA[[#This Row],[CD_UPNIVEL1]]&amp;TEXT(ESTIMATIVA[[#This Row],[CD_UPNIVEL3]],"0000")))&gt;0,"S","N")</f>
        <v>N</v>
      </c>
      <c r="AH36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61" s="55" t="str">
        <f>IF(ESTIMATIVA[[#This Row],[TP_CULTIVO]]="Irrigado",_xlfn.MAXIFS(IRRIGADO!J:J,IRRIGADO!C:C,ESTIMATIVA[[#This Row],[CD_UPNIVEL1]],IRRIGADO!E:E,ESTIMATIVA[[#This Row],[CD_UPNIVEL3]]),"")</f>
        <v/>
      </c>
      <c r="AJ36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61" s="1">
        <f>COUNTIFS(Apresentação!$E$23:$E$29,ESTIMATIVA[[#This Row],[CD_UPNIVEL1]])</f>
        <v>0</v>
      </c>
    </row>
    <row r="362" spans="1:37" x14ac:dyDescent="0.3">
      <c r="A362">
        <v>20314</v>
      </c>
      <c r="B362" t="s">
        <v>27</v>
      </c>
      <c r="C362">
        <v>102</v>
      </c>
      <c r="D362">
        <v>8</v>
      </c>
      <c r="E362" t="s">
        <v>262</v>
      </c>
      <c r="F362" s="85" t="s">
        <v>329</v>
      </c>
      <c r="G362"/>
      <c r="H362" t="s">
        <v>295</v>
      </c>
      <c r="I362" t="s">
        <v>212</v>
      </c>
      <c r="J362" t="s">
        <v>176</v>
      </c>
      <c r="K362" s="1">
        <v>9.24</v>
      </c>
      <c r="L362" s="1">
        <v>9.24</v>
      </c>
      <c r="M362" s="1">
        <v>9.24</v>
      </c>
      <c r="N362" s="1">
        <v>9.24</v>
      </c>
      <c r="O362" s="1">
        <v>591.36</v>
      </c>
      <c r="P362" s="1">
        <v>609.84</v>
      </c>
      <c r="Q362" s="1">
        <v>609.84</v>
      </c>
      <c r="R362" s="1">
        <v>457.34</v>
      </c>
      <c r="S362" t="s">
        <v>12</v>
      </c>
      <c r="T362" s="13">
        <v>45970</v>
      </c>
      <c r="U362" s="1" t="str">
        <f>IF(ESTIMATIVA[[#This Row],[QT_AREA_REAL]]&gt;0,"1- Colhido","2- à Colher")</f>
        <v>1- Colhido</v>
      </c>
      <c r="V362" s="1" t="str">
        <f>IF(ESTIMATIVA[[#This Row],[QT_AREA_REST1]]&gt;0,"Reestimativa 1",IF(ESTIMATIVA[[#This Row],[QT_AREA_REAL]]=0,"Reestimativa 1","Realizado"))</f>
        <v>Reestimativa 1</v>
      </c>
      <c r="W362" s="1" t="str">
        <f>IF(ESTIMATIVA[[#This Row],[QT_AREA_REST2]]&gt;0,"Reestimativa 2",IF(ESTIMATIVA[[#This Row],[QT_AREA_REAL]]=0,"Reestimativa 2","Realizado"))</f>
        <v>Reestimativa 2</v>
      </c>
      <c r="X362" s="1">
        <f>ESTIMATIVA[[#This Row],[QT_AREA_EST]]</f>
        <v>9.24</v>
      </c>
      <c r="Y362" s="1">
        <f>IF(ESTIMATIVA[[#This Row],[QT_AREA_REST1]]&gt;0,ESTIMATIVA[[#This Row],[QT_AREA_REST1]],
  IF(ESTIMATIVA[[#This Row],[QT_AREA_REAL]]&gt;0,ESTIMATIVA[[#This Row],[QT_AREA_REAL]],ESTIMATIVA[[#This Row],[QT_AREA_EST]]))</f>
        <v>9.24</v>
      </c>
      <c r="Z36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9.24</v>
      </c>
      <c r="AA362" s="1">
        <f>ESTIMATIVA[[#This Row],[QT_CANA_EST]]</f>
        <v>591.36</v>
      </c>
      <c r="AB362" s="1">
        <f>IF(ESTIMATIVA[[#This Row],[QT_CANA_REST1]]&gt;0,ESTIMATIVA[[#This Row],[QT_CANA_REST1]],
  IF(ESTIMATIVA[[#This Row],[QT_CANA_REAL]]&gt;0,ESTIMATIVA[[#This Row],[QT_CANA_REAL]],ESTIMATIVA[[#This Row],[QT_CANA_EST]]))</f>
        <v>609.84</v>
      </c>
      <c r="AC36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609.84</v>
      </c>
      <c r="AD362" s="1">
        <f>IF(ESTIMATIVA[[#This Row],[QT_AREA_REAL]]&gt;0,ESTIMATIVA[[#This Row],[QT_CANA_REAL]],ESTIMATIVA[[#This Row],[QT_CANA_EST]])</f>
        <v>457.34</v>
      </c>
      <c r="AE362" s="1">
        <f>IF(ESTIMATIVA[[#This Row],[QT_AREA_REAL]]&gt;0,ESTIMATIVA[[#This Row],[QT_CANA_REAL]],ESTIMATIVA[[#This Row],[QT_CANA_REST1]])</f>
        <v>457.34</v>
      </c>
      <c r="AF362" s="1">
        <f>IF(ESTIMATIVA[[#This Row],[QT_AREA_REAL]]&gt;0,ESTIMATIVA[[#This Row],[QT_CANA_REAL]],ESTIMATIVA[[#This Row],[QT_CANA_REST2]])</f>
        <v>457.34</v>
      </c>
      <c r="AG362" s="1" t="str">
        <f>IF(COUNTIFS(GEADA!A:A,VALUE(ESTIMATIVA[[#This Row],[CD_UPNIVEL1]]&amp;TEXT(ESTIMATIVA[[#This Row],[CD_UPNIVEL3]],"0000")))&gt;0,"S","N")</f>
        <v>N</v>
      </c>
      <c r="AH36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62" s="55" t="str">
        <f>IF(ESTIMATIVA[[#This Row],[TP_CULTIVO]]="Irrigado",_xlfn.MAXIFS(IRRIGADO!J:J,IRRIGADO!C:C,ESTIMATIVA[[#This Row],[CD_UPNIVEL1]],IRRIGADO!E:E,ESTIMATIVA[[#This Row],[CD_UPNIVEL3]]),"")</f>
        <v/>
      </c>
      <c r="AJ36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62" s="1">
        <f>COUNTIFS(Apresentação!$E$23:$E$29,ESTIMATIVA[[#This Row],[CD_UPNIVEL1]])</f>
        <v>0</v>
      </c>
    </row>
    <row r="363" spans="1:37" x14ac:dyDescent="0.3">
      <c r="A363">
        <v>20314</v>
      </c>
      <c r="B363" t="s">
        <v>27</v>
      </c>
      <c r="C363">
        <v>103</v>
      </c>
      <c r="D363">
        <v>8</v>
      </c>
      <c r="E363" t="s">
        <v>262</v>
      </c>
      <c r="F363" s="85" t="s">
        <v>329</v>
      </c>
      <c r="G363"/>
      <c r="H363" t="s">
        <v>295</v>
      </c>
      <c r="I363" t="s">
        <v>212</v>
      </c>
      <c r="J363" t="s">
        <v>176</v>
      </c>
      <c r="K363" s="1">
        <v>7</v>
      </c>
      <c r="L363" s="1">
        <v>7</v>
      </c>
      <c r="M363" s="1">
        <v>7</v>
      </c>
      <c r="N363" s="1">
        <v>7</v>
      </c>
      <c r="O363" s="1">
        <v>448</v>
      </c>
      <c r="P363" s="1">
        <v>462</v>
      </c>
      <c r="Q363" s="1">
        <v>539</v>
      </c>
      <c r="R363" s="1">
        <v>380.47</v>
      </c>
      <c r="S363" t="s">
        <v>12</v>
      </c>
      <c r="T363" s="13">
        <v>45970</v>
      </c>
      <c r="U363" s="1" t="str">
        <f>IF(ESTIMATIVA[[#This Row],[QT_AREA_REAL]]&gt;0,"1- Colhido","2- à Colher")</f>
        <v>1- Colhido</v>
      </c>
      <c r="V363" s="1" t="str">
        <f>IF(ESTIMATIVA[[#This Row],[QT_AREA_REST1]]&gt;0,"Reestimativa 1",IF(ESTIMATIVA[[#This Row],[QT_AREA_REAL]]=0,"Reestimativa 1","Realizado"))</f>
        <v>Reestimativa 1</v>
      </c>
      <c r="W363" s="1" t="str">
        <f>IF(ESTIMATIVA[[#This Row],[QT_AREA_REST2]]&gt;0,"Reestimativa 2",IF(ESTIMATIVA[[#This Row],[QT_AREA_REAL]]=0,"Reestimativa 2","Realizado"))</f>
        <v>Reestimativa 2</v>
      </c>
      <c r="X363" s="1">
        <f>ESTIMATIVA[[#This Row],[QT_AREA_EST]]</f>
        <v>7</v>
      </c>
      <c r="Y363" s="1">
        <f>IF(ESTIMATIVA[[#This Row],[QT_AREA_REST1]]&gt;0,ESTIMATIVA[[#This Row],[QT_AREA_REST1]],
  IF(ESTIMATIVA[[#This Row],[QT_AREA_REAL]]&gt;0,ESTIMATIVA[[#This Row],[QT_AREA_REAL]],ESTIMATIVA[[#This Row],[QT_AREA_EST]]))</f>
        <v>7</v>
      </c>
      <c r="Z36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</v>
      </c>
      <c r="AA363" s="1">
        <f>ESTIMATIVA[[#This Row],[QT_CANA_EST]]</f>
        <v>448</v>
      </c>
      <c r="AB363" s="1">
        <f>IF(ESTIMATIVA[[#This Row],[QT_CANA_REST1]]&gt;0,ESTIMATIVA[[#This Row],[QT_CANA_REST1]],
  IF(ESTIMATIVA[[#This Row],[QT_CANA_REAL]]&gt;0,ESTIMATIVA[[#This Row],[QT_CANA_REAL]],ESTIMATIVA[[#This Row],[QT_CANA_EST]]))</f>
        <v>462</v>
      </c>
      <c r="AC36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539</v>
      </c>
      <c r="AD363" s="1">
        <f>IF(ESTIMATIVA[[#This Row],[QT_AREA_REAL]]&gt;0,ESTIMATIVA[[#This Row],[QT_CANA_REAL]],ESTIMATIVA[[#This Row],[QT_CANA_EST]])</f>
        <v>380.47</v>
      </c>
      <c r="AE363" s="1">
        <f>IF(ESTIMATIVA[[#This Row],[QT_AREA_REAL]]&gt;0,ESTIMATIVA[[#This Row],[QT_CANA_REAL]],ESTIMATIVA[[#This Row],[QT_CANA_REST1]])</f>
        <v>380.47</v>
      </c>
      <c r="AF363" s="1">
        <f>IF(ESTIMATIVA[[#This Row],[QT_AREA_REAL]]&gt;0,ESTIMATIVA[[#This Row],[QT_CANA_REAL]],ESTIMATIVA[[#This Row],[QT_CANA_REST2]])</f>
        <v>380.47</v>
      </c>
      <c r="AG363" s="1" t="str">
        <f>IF(COUNTIFS(GEADA!A:A,VALUE(ESTIMATIVA[[#This Row],[CD_UPNIVEL1]]&amp;TEXT(ESTIMATIVA[[#This Row],[CD_UPNIVEL3]],"0000")))&gt;0,"S","N")</f>
        <v>N</v>
      </c>
      <c r="AH36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63" s="55" t="str">
        <f>IF(ESTIMATIVA[[#This Row],[TP_CULTIVO]]="Irrigado",_xlfn.MAXIFS(IRRIGADO!J:J,IRRIGADO!C:C,ESTIMATIVA[[#This Row],[CD_UPNIVEL1]],IRRIGADO!E:E,ESTIMATIVA[[#This Row],[CD_UPNIVEL3]]),"")</f>
        <v/>
      </c>
      <c r="AJ36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63" s="1">
        <f>COUNTIFS(Apresentação!$E$23:$E$29,ESTIMATIVA[[#This Row],[CD_UPNIVEL1]])</f>
        <v>0</v>
      </c>
    </row>
    <row r="364" spans="1:37" x14ac:dyDescent="0.3">
      <c r="A364">
        <v>20314</v>
      </c>
      <c r="B364" t="s">
        <v>27</v>
      </c>
      <c r="C364">
        <v>104</v>
      </c>
      <c r="D364">
        <v>8</v>
      </c>
      <c r="E364" t="s">
        <v>262</v>
      </c>
      <c r="F364" s="85" t="s">
        <v>329</v>
      </c>
      <c r="G364"/>
      <c r="H364" t="s">
        <v>295</v>
      </c>
      <c r="I364" t="s">
        <v>212</v>
      </c>
      <c r="J364" t="s">
        <v>176</v>
      </c>
      <c r="K364" s="1">
        <v>13.97</v>
      </c>
      <c r="L364" s="1">
        <v>13.97</v>
      </c>
      <c r="M364" s="1">
        <v>13.97</v>
      </c>
      <c r="N364" s="1">
        <v>13.97</v>
      </c>
      <c r="O364" s="1">
        <v>894.08</v>
      </c>
      <c r="P364" s="1">
        <v>922.02</v>
      </c>
      <c r="Q364" s="1">
        <v>1075.69</v>
      </c>
      <c r="R364" s="1">
        <v>759.43</v>
      </c>
      <c r="S364" t="s">
        <v>12</v>
      </c>
      <c r="T364" s="13">
        <v>45970</v>
      </c>
      <c r="U364" s="1" t="str">
        <f>IF(ESTIMATIVA[[#This Row],[QT_AREA_REAL]]&gt;0,"1- Colhido","2- à Colher")</f>
        <v>1- Colhido</v>
      </c>
      <c r="V364" s="1" t="str">
        <f>IF(ESTIMATIVA[[#This Row],[QT_AREA_REST1]]&gt;0,"Reestimativa 1",IF(ESTIMATIVA[[#This Row],[QT_AREA_REAL]]=0,"Reestimativa 1","Realizado"))</f>
        <v>Reestimativa 1</v>
      </c>
      <c r="W364" s="1" t="str">
        <f>IF(ESTIMATIVA[[#This Row],[QT_AREA_REST2]]&gt;0,"Reestimativa 2",IF(ESTIMATIVA[[#This Row],[QT_AREA_REAL]]=0,"Reestimativa 2","Realizado"))</f>
        <v>Reestimativa 2</v>
      </c>
      <c r="X364" s="1">
        <f>ESTIMATIVA[[#This Row],[QT_AREA_EST]]</f>
        <v>13.97</v>
      </c>
      <c r="Y364" s="1">
        <f>IF(ESTIMATIVA[[#This Row],[QT_AREA_REST1]]&gt;0,ESTIMATIVA[[#This Row],[QT_AREA_REST1]],
  IF(ESTIMATIVA[[#This Row],[QT_AREA_REAL]]&gt;0,ESTIMATIVA[[#This Row],[QT_AREA_REAL]],ESTIMATIVA[[#This Row],[QT_AREA_EST]]))</f>
        <v>13.97</v>
      </c>
      <c r="Z36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13.97</v>
      </c>
      <c r="AA364" s="1">
        <f>ESTIMATIVA[[#This Row],[QT_CANA_EST]]</f>
        <v>894.08</v>
      </c>
      <c r="AB364" s="1">
        <f>IF(ESTIMATIVA[[#This Row],[QT_CANA_REST1]]&gt;0,ESTIMATIVA[[#This Row],[QT_CANA_REST1]],
  IF(ESTIMATIVA[[#This Row],[QT_CANA_REAL]]&gt;0,ESTIMATIVA[[#This Row],[QT_CANA_REAL]],ESTIMATIVA[[#This Row],[QT_CANA_EST]]))</f>
        <v>922.02</v>
      </c>
      <c r="AC36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1075.69</v>
      </c>
      <c r="AD364" s="1">
        <f>IF(ESTIMATIVA[[#This Row],[QT_AREA_REAL]]&gt;0,ESTIMATIVA[[#This Row],[QT_CANA_REAL]],ESTIMATIVA[[#This Row],[QT_CANA_EST]])</f>
        <v>759.43</v>
      </c>
      <c r="AE364" s="1">
        <f>IF(ESTIMATIVA[[#This Row],[QT_AREA_REAL]]&gt;0,ESTIMATIVA[[#This Row],[QT_CANA_REAL]],ESTIMATIVA[[#This Row],[QT_CANA_REST1]])</f>
        <v>759.43</v>
      </c>
      <c r="AF364" s="1">
        <f>IF(ESTIMATIVA[[#This Row],[QT_AREA_REAL]]&gt;0,ESTIMATIVA[[#This Row],[QT_CANA_REAL]],ESTIMATIVA[[#This Row],[QT_CANA_REST2]])</f>
        <v>759.43</v>
      </c>
      <c r="AG364" s="1" t="str">
        <f>IF(COUNTIFS(GEADA!A:A,VALUE(ESTIMATIVA[[#This Row],[CD_UPNIVEL1]]&amp;TEXT(ESTIMATIVA[[#This Row],[CD_UPNIVEL3]],"0000")))&gt;0,"S","N")</f>
        <v>N</v>
      </c>
      <c r="AH36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64" s="55" t="str">
        <f>IF(ESTIMATIVA[[#This Row],[TP_CULTIVO]]="Irrigado",_xlfn.MAXIFS(IRRIGADO!J:J,IRRIGADO!C:C,ESTIMATIVA[[#This Row],[CD_UPNIVEL1]],IRRIGADO!E:E,ESTIMATIVA[[#This Row],[CD_UPNIVEL3]]),"")</f>
        <v/>
      </c>
      <c r="AJ36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64" s="1">
        <f>COUNTIFS(Apresentação!$E$23:$E$29,ESTIMATIVA[[#This Row],[CD_UPNIVEL1]])</f>
        <v>0</v>
      </c>
    </row>
    <row r="365" spans="1:37" x14ac:dyDescent="0.3">
      <c r="A365">
        <v>20314</v>
      </c>
      <c r="B365" t="s">
        <v>27</v>
      </c>
      <c r="C365">
        <v>105</v>
      </c>
      <c r="D365">
        <v>8</v>
      </c>
      <c r="E365" t="s">
        <v>262</v>
      </c>
      <c r="F365" s="85" t="s">
        <v>329</v>
      </c>
      <c r="G365"/>
      <c r="H365" t="s">
        <v>295</v>
      </c>
      <c r="I365" t="s">
        <v>212</v>
      </c>
      <c r="J365" t="s">
        <v>176</v>
      </c>
      <c r="K365" s="1">
        <v>11.07</v>
      </c>
      <c r="L365" s="1">
        <v>11.07</v>
      </c>
      <c r="M365" s="1">
        <v>11.07</v>
      </c>
      <c r="N365" s="1">
        <v>11.07</v>
      </c>
      <c r="O365" s="1">
        <v>708.48</v>
      </c>
      <c r="P365" s="1">
        <v>730.62</v>
      </c>
      <c r="Q365" s="1">
        <v>885.6</v>
      </c>
      <c r="R365" s="1">
        <v>614.55999999999995</v>
      </c>
      <c r="S365" t="s">
        <v>12</v>
      </c>
      <c r="T365" s="13">
        <v>45970</v>
      </c>
      <c r="U365" s="1" t="str">
        <f>IF(ESTIMATIVA[[#This Row],[QT_AREA_REAL]]&gt;0,"1- Colhido","2- à Colher")</f>
        <v>1- Colhido</v>
      </c>
      <c r="V365" s="1" t="str">
        <f>IF(ESTIMATIVA[[#This Row],[QT_AREA_REST1]]&gt;0,"Reestimativa 1",IF(ESTIMATIVA[[#This Row],[QT_AREA_REAL]]=0,"Reestimativa 1","Realizado"))</f>
        <v>Reestimativa 1</v>
      </c>
      <c r="W365" s="1" t="str">
        <f>IF(ESTIMATIVA[[#This Row],[QT_AREA_REST2]]&gt;0,"Reestimativa 2",IF(ESTIMATIVA[[#This Row],[QT_AREA_REAL]]=0,"Reestimativa 2","Realizado"))</f>
        <v>Reestimativa 2</v>
      </c>
      <c r="X365" s="1">
        <f>ESTIMATIVA[[#This Row],[QT_AREA_EST]]</f>
        <v>11.07</v>
      </c>
      <c r="Y365" s="1">
        <f>IF(ESTIMATIVA[[#This Row],[QT_AREA_REST1]]&gt;0,ESTIMATIVA[[#This Row],[QT_AREA_REST1]],
  IF(ESTIMATIVA[[#This Row],[QT_AREA_REAL]]&gt;0,ESTIMATIVA[[#This Row],[QT_AREA_REAL]],ESTIMATIVA[[#This Row],[QT_AREA_EST]]))</f>
        <v>11.07</v>
      </c>
      <c r="Z36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11.07</v>
      </c>
      <c r="AA365" s="1">
        <f>ESTIMATIVA[[#This Row],[QT_CANA_EST]]</f>
        <v>708.48</v>
      </c>
      <c r="AB365" s="1">
        <f>IF(ESTIMATIVA[[#This Row],[QT_CANA_REST1]]&gt;0,ESTIMATIVA[[#This Row],[QT_CANA_REST1]],
  IF(ESTIMATIVA[[#This Row],[QT_CANA_REAL]]&gt;0,ESTIMATIVA[[#This Row],[QT_CANA_REAL]],ESTIMATIVA[[#This Row],[QT_CANA_EST]]))</f>
        <v>730.62</v>
      </c>
      <c r="AC36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885.6</v>
      </c>
      <c r="AD365" s="1">
        <f>IF(ESTIMATIVA[[#This Row],[QT_AREA_REAL]]&gt;0,ESTIMATIVA[[#This Row],[QT_CANA_REAL]],ESTIMATIVA[[#This Row],[QT_CANA_EST]])</f>
        <v>614.55999999999995</v>
      </c>
      <c r="AE365" s="1">
        <f>IF(ESTIMATIVA[[#This Row],[QT_AREA_REAL]]&gt;0,ESTIMATIVA[[#This Row],[QT_CANA_REAL]],ESTIMATIVA[[#This Row],[QT_CANA_REST1]])</f>
        <v>614.55999999999995</v>
      </c>
      <c r="AF365" s="1">
        <f>IF(ESTIMATIVA[[#This Row],[QT_AREA_REAL]]&gt;0,ESTIMATIVA[[#This Row],[QT_CANA_REAL]],ESTIMATIVA[[#This Row],[QT_CANA_REST2]])</f>
        <v>614.55999999999995</v>
      </c>
      <c r="AG365" s="1" t="str">
        <f>IF(COUNTIFS(GEADA!A:A,VALUE(ESTIMATIVA[[#This Row],[CD_UPNIVEL1]]&amp;TEXT(ESTIMATIVA[[#This Row],[CD_UPNIVEL3]],"0000")))&gt;0,"S","N")</f>
        <v>N</v>
      </c>
      <c r="AH36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65" s="55" t="str">
        <f>IF(ESTIMATIVA[[#This Row],[TP_CULTIVO]]="Irrigado",_xlfn.MAXIFS(IRRIGADO!J:J,IRRIGADO!C:C,ESTIMATIVA[[#This Row],[CD_UPNIVEL1]],IRRIGADO!E:E,ESTIMATIVA[[#This Row],[CD_UPNIVEL3]]),"")</f>
        <v/>
      </c>
      <c r="AJ36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65" s="1">
        <f>COUNTIFS(Apresentação!$E$23:$E$29,ESTIMATIVA[[#This Row],[CD_UPNIVEL1]])</f>
        <v>0</v>
      </c>
    </row>
    <row r="366" spans="1:37" x14ac:dyDescent="0.3">
      <c r="A366">
        <v>20314</v>
      </c>
      <c r="B366" t="s">
        <v>27</v>
      </c>
      <c r="C366">
        <v>106</v>
      </c>
      <c r="D366">
        <v>8</v>
      </c>
      <c r="E366" t="s">
        <v>262</v>
      </c>
      <c r="F366" s="85" t="s">
        <v>329</v>
      </c>
      <c r="G366"/>
      <c r="H366" t="s">
        <v>295</v>
      </c>
      <c r="I366" t="s">
        <v>212</v>
      </c>
      <c r="J366" t="s">
        <v>176</v>
      </c>
      <c r="K366" s="1">
        <v>7.61</v>
      </c>
      <c r="L366" s="1">
        <v>7.61</v>
      </c>
      <c r="M366" s="1">
        <v>7.61</v>
      </c>
      <c r="N366" s="1">
        <v>7.61</v>
      </c>
      <c r="O366" s="1">
        <v>563.14</v>
      </c>
      <c r="P366" s="1">
        <v>585.97</v>
      </c>
      <c r="Q366" s="1">
        <v>608.79999999999995</v>
      </c>
      <c r="R366" s="1">
        <v>446.73</v>
      </c>
      <c r="S366" t="s">
        <v>12</v>
      </c>
      <c r="T366" s="13">
        <v>45963</v>
      </c>
      <c r="U366" s="1" t="str">
        <f>IF(ESTIMATIVA[[#This Row],[QT_AREA_REAL]]&gt;0,"1- Colhido","2- à Colher")</f>
        <v>1- Colhido</v>
      </c>
      <c r="V366" s="1" t="str">
        <f>IF(ESTIMATIVA[[#This Row],[QT_AREA_REST1]]&gt;0,"Reestimativa 1",IF(ESTIMATIVA[[#This Row],[QT_AREA_REAL]]=0,"Reestimativa 1","Realizado"))</f>
        <v>Reestimativa 1</v>
      </c>
      <c r="W366" s="1" t="str">
        <f>IF(ESTIMATIVA[[#This Row],[QT_AREA_REST2]]&gt;0,"Reestimativa 2",IF(ESTIMATIVA[[#This Row],[QT_AREA_REAL]]=0,"Reestimativa 2","Realizado"))</f>
        <v>Reestimativa 2</v>
      </c>
      <c r="X366" s="1">
        <f>ESTIMATIVA[[#This Row],[QT_AREA_EST]]</f>
        <v>7.61</v>
      </c>
      <c r="Y366" s="1">
        <f>IF(ESTIMATIVA[[#This Row],[QT_AREA_REST1]]&gt;0,ESTIMATIVA[[#This Row],[QT_AREA_REST1]],
  IF(ESTIMATIVA[[#This Row],[QT_AREA_REAL]]&gt;0,ESTIMATIVA[[#This Row],[QT_AREA_REAL]],ESTIMATIVA[[#This Row],[QT_AREA_EST]]))</f>
        <v>7.61</v>
      </c>
      <c r="Z36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7.61</v>
      </c>
      <c r="AA366" s="1">
        <f>ESTIMATIVA[[#This Row],[QT_CANA_EST]]</f>
        <v>563.14</v>
      </c>
      <c r="AB366" s="1">
        <f>IF(ESTIMATIVA[[#This Row],[QT_CANA_REST1]]&gt;0,ESTIMATIVA[[#This Row],[QT_CANA_REST1]],
  IF(ESTIMATIVA[[#This Row],[QT_CANA_REAL]]&gt;0,ESTIMATIVA[[#This Row],[QT_CANA_REAL]],ESTIMATIVA[[#This Row],[QT_CANA_EST]]))</f>
        <v>585.97</v>
      </c>
      <c r="AC36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608.79999999999995</v>
      </c>
      <c r="AD366" s="1">
        <f>IF(ESTIMATIVA[[#This Row],[QT_AREA_REAL]]&gt;0,ESTIMATIVA[[#This Row],[QT_CANA_REAL]],ESTIMATIVA[[#This Row],[QT_CANA_EST]])</f>
        <v>446.73</v>
      </c>
      <c r="AE366" s="1">
        <f>IF(ESTIMATIVA[[#This Row],[QT_AREA_REAL]]&gt;0,ESTIMATIVA[[#This Row],[QT_CANA_REAL]],ESTIMATIVA[[#This Row],[QT_CANA_REST1]])</f>
        <v>446.73</v>
      </c>
      <c r="AF366" s="1">
        <f>IF(ESTIMATIVA[[#This Row],[QT_AREA_REAL]]&gt;0,ESTIMATIVA[[#This Row],[QT_CANA_REAL]],ESTIMATIVA[[#This Row],[QT_CANA_REST2]])</f>
        <v>446.73</v>
      </c>
      <c r="AG366" s="1" t="str">
        <f>IF(COUNTIFS(GEADA!A:A,VALUE(ESTIMATIVA[[#This Row],[CD_UPNIVEL1]]&amp;TEXT(ESTIMATIVA[[#This Row],[CD_UPNIVEL3]],"0000")))&gt;0,"S","N")</f>
        <v>N</v>
      </c>
      <c r="AH36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66" s="55" t="str">
        <f>IF(ESTIMATIVA[[#This Row],[TP_CULTIVO]]="Irrigado",_xlfn.MAXIFS(IRRIGADO!J:J,IRRIGADO!C:C,ESTIMATIVA[[#This Row],[CD_UPNIVEL1]],IRRIGADO!E:E,ESTIMATIVA[[#This Row],[CD_UPNIVEL3]]),"")</f>
        <v/>
      </c>
      <c r="AJ36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66" s="1">
        <f>COUNTIFS(Apresentação!$E$23:$E$29,ESTIMATIVA[[#This Row],[CD_UPNIVEL1]])</f>
        <v>0</v>
      </c>
    </row>
    <row r="367" spans="1:37" x14ac:dyDescent="0.3">
      <c r="A367">
        <v>20314</v>
      </c>
      <c r="B367" t="s">
        <v>27</v>
      </c>
      <c r="C367">
        <v>107</v>
      </c>
      <c r="D367">
        <v>8</v>
      </c>
      <c r="E367" t="s">
        <v>262</v>
      </c>
      <c r="F367" s="85" t="s">
        <v>329</v>
      </c>
      <c r="G367"/>
      <c r="H367" t="s">
        <v>295</v>
      </c>
      <c r="I367" t="s">
        <v>212</v>
      </c>
      <c r="J367" t="s">
        <v>176</v>
      </c>
      <c r="K367" s="1">
        <v>9.57</v>
      </c>
      <c r="L367" s="1">
        <v>9.57</v>
      </c>
      <c r="M367" s="1">
        <v>9.57</v>
      </c>
      <c r="N367" s="1">
        <v>9.57</v>
      </c>
      <c r="O367" s="1">
        <v>708.18</v>
      </c>
      <c r="P367" s="1">
        <v>736.89</v>
      </c>
      <c r="Q367" s="1">
        <v>765.6</v>
      </c>
      <c r="R367" s="1">
        <v>561.91</v>
      </c>
      <c r="S367" t="s">
        <v>12</v>
      </c>
      <c r="T367" s="13">
        <v>45963</v>
      </c>
      <c r="U367" s="1" t="str">
        <f>IF(ESTIMATIVA[[#This Row],[QT_AREA_REAL]]&gt;0,"1- Colhido","2- à Colher")</f>
        <v>1- Colhido</v>
      </c>
      <c r="V367" s="1" t="str">
        <f>IF(ESTIMATIVA[[#This Row],[QT_AREA_REST1]]&gt;0,"Reestimativa 1",IF(ESTIMATIVA[[#This Row],[QT_AREA_REAL]]=0,"Reestimativa 1","Realizado"))</f>
        <v>Reestimativa 1</v>
      </c>
      <c r="W367" s="1" t="str">
        <f>IF(ESTIMATIVA[[#This Row],[QT_AREA_REST2]]&gt;0,"Reestimativa 2",IF(ESTIMATIVA[[#This Row],[QT_AREA_REAL]]=0,"Reestimativa 2","Realizado"))</f>
        <v>Reestimativa 2</v>
      </c>
      <c r="X367" s="1">
        <f>ESTIMATIVA[[#This Row],[QT_AREA_EST]]</f>
        <v>9.57</v>
      </c>
      <c r="Y367" s="1">
        <f>IF(ESTIMATIVA[[#This Row],[QT_AREA_REST1]]&gt;0,ESTIMATIVA[[#This Row],[QT_AREA_REST1]],
  IF(ESTIMATIVA[[#This Row],[QT_AREA_REAL]]&gt;0,ESTIMATIVA[[#This Row],[QT_AREA_REAL]],ESTIMATIVA[[#This Row],[QT_AREA_EST]]))</f>
        <v>9.57</v>
      </c>
      <c r="Z36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9.57</v>
      </c>
      <c r="AA367" s="1">
        <f>ESTIMATIVA[[#This Row],[QT_CANA_EST]]</f>
        <v>708.18</v>
      </c>
      <c r="AB367" s="1">
        <f>IF(ESTIMATIVA[[#This Row],[QT_CANA_REST1]]&gt;0,ESTIMATIVA[[#This Row],[QT_CANA_REST1]],
  IF(ESTIMATIVA[[#This Row],[QT_CANA_REAL]]&gt;0,ESTIMATIVA[[#This Row],[QT_CANA_REAL]],ESTIMATIVA[[#This Row],[QT_CANA_EST]]))</f>
        <v>736.89</v>
      </c>
      <c r="AC36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765.6</v>
      </c>
      <c r="AD367" s="1">
        <f>IF(ESTIMATIVA[[#This Row],[QT_AREA_REAL]]&gt;0,ESTIMATIVA[[#This Row],[QT_CANA_REAL]],ESTIMATIVA[[#This Row],[QT_CANA_EST]])</f>
        <v>561.91</v>
      </c>
      <c r="AE367" s="1">
        <f>IF(ESTIMATIVA[[#This Row],[QT_AREA_REAL]]&gt;0,ESTIMATIVA[[#This Row],[QT_CANA_REAL]],ESTIMATIVA[[#This Row],[QT_CANA_REST1]])</f>
        <v>561.91</v>
      </c>
      <c r="AF367" s="1">
        <f>IF(ESTIMATIVA[[#This Row],[QT_AREA_REAL]]&gt;0,ESTIMATIVA[[#This Row],[QT_CANA_REAL]],ESTIMATIVA[[#This Row],[QT_CANA_REST2]])</f>
        <v>561.91</v>
      </c>
      <c r="AG367" s="1" t="str">
        <f>IF(COUNTIFS(GEADA!A:A,VALUE(ESTIMATIVA[[#This Row],[CD_UPNIVEL1]]&amp;TEXT(ESTIMATIVA[[#This Row],[CD_UPNIVEL3]],"0000")))&gt;0,"S","N")</f>
        <v>N</v>
      </c>
      <c r="AH36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67" s="55" t="str">
        <f>IF(ESTIMATIVA[[#This Row],[TP_CULTIVO]]="Irrigado",_xlfn.MAXIFS(IRRIGADO!J:J,IRRIGADO!C:C,ESTIMATIVA[[#This Row],[CD_UPNIVEL1]],IRRIGADO!E:E,ESTIMATIVA[[#This Row],[CD_UPNIVEL3]]),"")</f>
        <v/>
      </c>
      <c r="AJ36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67" s="1">
        <f>COUNTIFS(Apresentação!$E$23:$E$29,ESTIMATIVA[[#This Row],[CD_UPNIVEL1]])</f>
        <v>0</v>
      </c>
    </row>
    <row r="368" spans="1:37" x14ac:dyDescent="0.3">
      <c r="A368">
        <v>20314</v>
      </c>
      <c r="B368" t="s">
        <v>27</v>
      </c>
      <c r="C368">
        <v>108</v>
      </c>
      <c r="D368">
        <v>8</v>
      </c>
      <c r="E368" t="s">
        <v>262</v>
      </c>
      <c r="F368" s="85" t="s">
        <v>329</v>
      </c>
      <c r="G368"/>
      <c r="H368" t="s">
        <v>295</v>
      </c>
      <c r="I368" t="s">
        <v>212</v>
      </c>
      <c r="J368" t="s">
        <v>176</v>
      </c>
      <c r="K368" s="1">
        <v>8.39</v>
      </c>
      <c r="L368" s="1">
        <v>8.39</v>
      </c>
      <c r="M368" s="1">
        <v>8.39</v>
      </c>
      <c r="N368" s="1">
        <v>8.39</v>
      </c>
      <c r="O368" s="1">
        <v>620.86</v>
      </c>
      <c r="P368" s="1">
        <v>646.03</v>
      </c>
      <c r="Q368" s="1">
        <v>671.2</v>
      </c>
      <c r="R368" s="1">
        <v>492.53</v>
      </c>
      <c r="S368" t="s">
        <v>12</v>
      </c>
      <c r="T368" s="13">
        <v>45963</v>
      </c>
      <c r="U368" s="1" t="str">
        <f>IF(ESTIMATIVA[[#This Row],[QT_AREA_REAL]]&gt;0,"1- Colhido","2- à Colher")</f>
        <v>1- Colhido</v>
      </c>
      <c r="V368" s="1" t="str">
        <f>IF(ESTIMATIVA[[#This Row],[QT_AREA_REST1]]&gt;0,"Reestimativa 1",IF(ESTIMATIVA[[#This Row],[QT_AREA_REAL]]=0,"Reestimativa 1","Realizado"))</f>
        <v>Reestimativa 1</v>
      </c>
      <c r="W368" s="1" t="str">
        <f>IF(ESTIMATIVA[[#This Row],[QT_AREA_REST2]]&gt;0,"Reestimativa 2",IF(ESTIMATIVA[[#This Row],[QT_AREA_REAL]]=0,"Reestimativa 2","Realizado"))</f>
        <v>Reestimativa 2</v>
      </c>
      <c r="X368" s="1">
        <f>ESTIMATIVA[[#This Row],[QT_AREA_EST]]</f>
        <v>8.39</v>
      </c>
      <c r="Y368" s="1">
        <f>IF(ESTIMATIVA[[#This Row],[QT_AREA_REST1]]&gt;0,ESTIMATIVA[[#This Row],[QT_AREA_REST1]],
  IF(ESTIMATIVA[[#This Row],[QT_AREA_REAL]]&gt;0,ESTIMATIVA[[#This Row],[QT_AREA_REAL]],ESTIMATIVA[[#This Row],[QT_AREA_EST]]))</f>
        <v>8.39</v>
      </c>
      <c r="Z36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8.39</v>
      </c>
      <c r="AA368" s="1">
        <f>ESTIMATIVA[[#This Row],[QT_CANA_EST]]</f>
        <v>620.86</v>
      </c>
      <c r="AB368" s="1">
        <f>IF(ESTIMATIVA[[#This Row],[QT_CANA_REST1]]&gt;0,ESTIMATIVA[[#This Row],[QT_CANA_REST1]],
  IF(ESTIMATIVA[[#This Row],[QT_CANA_REAL]]&gt;0,ESTIMATIVA[[#This Row],[QT_CANA_REAL]],ESTIMATIVA[[#This Row],[QT_CANA_EST]]))</f>
        <v>646.03</v>
      </c>
      <c r="AC36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671.2</v>
      </c>
      <c r="AD368" s="1">
        <f>IF(ESTIMATIVA[[#This Row],[QT_AREA_REAL]]&gt;0,ESTIMATIVA[[#This Row],[QT_CANA_REAL]],ESTIMATIVA[[#This Row],[QT_CANA_EST]])</f>
        <v>492.53</v>
      </c>
      <c r="AE368" s="1">
        <f>IF(ESTIMATIVA[[#This Row],[QT_AREA_REAL]]&gt;0,ESTIMATIVA[[#This Row],[QT_CANA_REAL]],ESTIMATIVA[[#This Row],[QT_CANA_REST1]])</f>
        <v>492.53</v>
      </c>
      <c r="AF368" s="1">
        <f>IF(ESTIMATIVA[[#This Row],[QT_AREA_REAL]]&gt;0,ESTIMATIVA[[#This Row],[QT_CANA_REAL]],ESTIMATIVA[[#This Row],[QT_CANA_REST2]])</f>
        <v>492.53</v>
      </c>
      <c r="AG368" s="1" t="str">
        <f>IF(COUNTIFS(GEADA!A:A,VALUE(ESTIMATIVA[[#This Row],[CD_UPNIVEL1]]&amp;TEXT(ESTIMATIVA[[#This Row],[CD_UPNIVEL3]],"0000")))&gt;0,"S","N")</f>
        <v>N</v>
      </c>
      <c r="AH36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68" s="55" t="str">
        <f>IF(ESTIMATIVA[[#This Row],[TP_CULTIVO]]="Irrigado",_xlfn.MAXIFS(IRRIGADO!J:J,IRRIGADO!C:C,ESTIMATIVA[[#This Row],[CD_UPNIVEL1]],IRRIGADO!E:E,ESTIMATIVA[[#This Row],[CD_UPNIVEL3]]),"")</f>
        <v/>
      </c>
      <c r="AJ36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68" s="1">
        <f>COUNTIFS(Apresentação!$E$23:$E$29,ESTIMATIVA[[#This Row],[CD_UPNIVEL1]])</f>
        <v>0</v>
      </c>
    </row>
    <row r="369" spans="1:37" x14ac:dyDescent="0.3">
      <c r="A369">
        <v>20314</v>
      </c>
      <c r="B369" t="s">
        <v>27</v>
      </c>
      <c r="C369">
        <v>109</v>
      </c>
      <c r="D369">
        <v>8</v>
      </c>
      <c r="E369" t="s">
        <v>262</v>
      </c>
      <c r="F369" s="85" t="s">
        <v>329</v>
      </c>
      <c r="G369"/>
      <c r="H369" t="s">
        <v>295</v>
      </c>
      <c r="I369" t="s">
        <v>212</v>
      </c>
      <c r="J369" t="s">
        <v>176</v>
      </c>
      <c r="K369" s="1">
        <v>9.18</v>
      </c>
      <c r="L369" s="1">
        <v>9.18</v>
      </c>
      <c r="M369" s="1">
        <v>9.18</v>
      </c>
      <c r="N369" s="1">
        <v>9.18</v>
      </c>
      <c r="O369" s="1">
        <v>734.4</v>
      </c>
      <c r="P369" s="1">
        <v>734.4</v>
      </c>
      <c r="Q369" s="1">
        <v>734.4</v>
      </c>
      <c r="R369" s="1">
        <v>648.70000000000005</v>
      </c>
      <c r="S369" t="s">
        <v>12</v>
      </c>
      <c r="T369" s="13">
        <v>45963</v>
      </c>
      <c r="U369" s="1" t="str">
        <f>IF(ESTIMATIVA[[#This Row],[QT_AREA_REAL]]&gt;0,"1- Colhido","2- à Colher")</f>
        <v>1- Colhido</v>
      </c>
      <c r="V369" s="1" t="str">
        <f>IF(ESTIMATIVA[[#This Row],[QT_AREA_REST1]]&gt;0,"Reestimativa 1",IF(ESTIMATIVA[[#This Row],[QT_AREA_REAL]]=0,"Reestimativa 1","Realizado"))</f>
        <v>Reestimativa 1</v>
      </c>
      <c r="W369" s="1" t="str">
        <f>IF(ESTIMATIVA[[#This Row],[QT_AREA_REST2]]&gt;0,"Reestimativa 2",IF(ESTIMATIVA[[#This Row],[QT_AREA_REAL]]=0,"Reestimativa 2","Realizado"))</f>
        <v>Reestimativa 2</v>
      </c>
      <c r="X369" s="1">
        <f>ESTIMATIVA[[#This Row],[QT_AREA_EST]]</f>
        <v>9.18</v>
      </c>
      <c r="Y369" s="1">
        <f>IF(ESTIMATIVA[[#This Row],[QT_AREA_REST1]]&gt;0,ESTIMATIVA[[#This Row],[QT_AREA_REST1]],
  IF(ESTIMATIVA[[#This Row],[QT_AREA_REAL]]&gt;0,ESTIMATIVA[[#This Row],[QT_AREA_REAL]],ESTIMATIVA[[#This Row],[QT_AREA_EST]]))</f>
        <v>9.18</v>
      </c>
      <c r="Z36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9.18</v>
      </c>
      <c r="AA369" s="1">
        <f>ESTIMATIVA[[#This Row],[QT_CANA_EST]]</f>
        <v>734.4</v>
      </c>
      <c r="AB369" s="1">
        <f>IF(ESTIMATIVA[[#This Row],[QT_CANA_REST1]]&gt;0,ESTIMATIVA[[#This Row],[QT_CANA_REST1]],
  IF(ESTIMATIVA[[#This Row],[QT_CANA_REAL]]&gt;0,ESTIMATIVA[[#This Row],[QT_CANA_REAL]],ESTIMATIVA[[#This Row],[QT_CANA_EST]]))</f>
        <v>734.4</v>
      </c>
      <c r="AC36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734.4</v>
      </c>
      <c r="AD369" s="1">
        <f>IF(ESTIMATIVA[[#This Row],[QT_AREA_REAL]]&gt;0,ESTIMATIVA[[#This Row],[QT_CANA_REAL]],ESTIMATIVA[[#This Row],[QT_CANA_EST]])</f>
        <v>648.70000000000005</v>
      </c>
      <c r="AE369" s="1">
        <f>IF(ESTIMATIVA[[#This Row],[QT_AREA_REAL]]&gt;0,ESTIMATIVA[[#This Row],[QT_CANA_REAL]],ESTIMATIVA[[#This Row],[QT_CANA_REST1]])</f>
        <v>648.70000000000005</v>
      </c>
      <c r="AF369" s="1">
        <f>IF(ESTIMATIVA[[#This Row],[QT_AREA_REAL]]&gt;0,ESTIMATIVA[[#This Row],[QT_CANA_REAL]],ESTIMATIVA[[#This Row],[QT_CANA_REST2]])</f>
        <v>648.70000000000005</v>
      </c>
      <c r="AG369" s="1" t="str">
        <f>IF(COUNTIFS(GEADA!A:A,VALUE(ESTIMATIVA[[#This Row],[CD_UPNIVEL1]]&amp;TEXT(ESTIMATIVA[[#This Row],[CD_UPNIVEL3]],"0000")))&gt;0,"S","N")</f>
        <v>N</v>
      </c>
      <c r="AH36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69" s="55" t="str">
        <f>IF(ESTIMATIVA[[#This Row],[TP_CULTIVO]]="Irrigado",_xlfn.MAXIFS(IRRIGADO!J:J,IRRIGADO!C:C,ESTIMATIVA[[#This Row],[CD_UPNIVEL1]],IRRIGADO!E:E,ESTIMATIVA[[#This Row],[CD_UPNIVEL3]]),"")</f>
        <v/>
      </c>
      <c r="AJ36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69" s="1">
        <f>COUNTIFS(Apresentação!$E$23:$E$29,ESTIMATIVA[[#This Row],[CD_UPNIVEL1]])</f>
        <v>0</v>
      </c>
    </row>
    <row r="370" spans="1:37" x14ac:dyDescent="0.3">
      <c r="A370">
        <v>20314</v>
      </c>
      <c r="B370" t="s">
        <v>27</v>
      </c>
      <c r="C370">
        <v>110</v>
      </c>
      <c r="D370">
        <v>8</v>
      </c>
      <c r="E370" t="s">
        <v>262</v>
      </c>
      <c r="F370" s="85" t="s">
        <v>329</v>
      </c>
      <c r="G370"/>
      <c r="H370" t="s">
        <v>295</v>
      </c>
      <c r="I370" t="s">
        <v>213</v>
      </c>
      <c r="J370" t="s">
        <v>176</v>
      </c>
      <c r="K370" s="1">
        <v>8.73</v>
      </c>
      <c r="L370" s="1">
        <v>8.73</v>
      </c>
      <c r="M370" s="1">
        <v>8.73</v>
      </c>
      <c r="N370" s="1">
        <v>8.73</v>
      </c>
      <c r="O370" s="1">
        <v>698.4</v>
      </c>
      <c r="P370" s="1">
        <v>698.4</v>
      </c>
      <c r="Q370" s="1">
        <v>698.4</v>
      </c>
      <c r="R370" s="1">
        <v>616.87</v>
      </c>
      <c r="S370" t="s">
        <v>12</v>
      </c>
      <c r="T370" s="13">
        <v>45963</v>
      </c>
      <c r="U370" s="1" t="str">
        <f>IF(ESTIMATIVA[[#This Row],[QT_AREA_REAL]]&gt;0,"1- Colhido","2- à Colher")</f>
        <v>1- Colhido</v>
      </c>
      <c r="V370" s="1" t="str">
        <f>IF(ESTIMATIVA[[#This Row],[QT_AREA_REST1]]&gt;0,"Reestimativa 1",IF(ESTIMATIVA[[#This Row],[QT_AREA_REAL]]=0,"Reestimativa 1","Realizado"))</f>
        <v>Reestimativa 1</v>
      </c>
      <c r="W370" s="1" t="str">
        <f>IF(ESTIMATIVA[[#This Row],[QT_AREA_REST2]]&gt;0,"Reestimativa 2",IF(ESTIMATIVA[[#This Row],[QT_AREA_REAL]]=0,"Reestimativa 2","Realizado"))</f>
        <v>Reestimativa 2</v>
      </c>
      <c r="X370" s="1">
        <f>ESTIMATIVA[[#This Row],[QT_AREA_EST]]</f>
        <v>8.73</v>
      </c>
      <c r="Y370" s="1">
        <f>IF(ESTIMATIVA[[#This Row],[QT_AREA_REST1]]&gt;0,ESTIMATIVA[[#This Row],[QT_AREA_REST1]],
  IF(ESTIMATIVA[[#This Row],[QT_AREA_REAL]]&gt;0,ESTIMATIVA[[#This Row],[QT_AREA_REAL]],ESTIMATIVA[[#This Row],[QT_AREA_EST]]))</f>
        <v>8.73</v>
      </c>
      <c r="Z37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8.73</v>
      </c>
      <c r="AA370" s="1">
        <f>ESTIMATIVA[[#This Row],[QT_CANA_EST]]</f>
        <v>698.4</v>
      </c>
      <c r="AB370" s="1">
        <f>IF(ESTIMATIVA[[#This Row],[QT_CANA_REST1]]&gt;0,ESTIMATIVA[[#This Row],[QT_CANA_REST1]],
  IF(ESTIMATIVA[[#This Row],[QT_CANA_REAL]]&gt;0,ESTIMATIVA[[#This Row],[QT_CANA_REAL]],ESTIMATIVA[[#This Row],[QT_CANA_EST]]))</f>
        <v>698.4</v>
      </c>
      <c r="AC37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698.4</v>
      </c>
      <c r="AD370" s="1">
        <f>IF(ESTIMATIVA[[#This Row],[QT_AREA_REAL]]&gt;0,ESTIMATIVA[[#This Row],[QT_CANA_REAL]],ESTIMATIVA[[#This Row],[QT_CANA_EST]])</f>
        <v>616.87</v>
      </c>
      <c r="AE370" s="1">
        <f>IF(ESTIMATIVA[[#This Row],[QT_AREA_REAL]]&gt;0,ESTIMATIVA[[#This Row],[QT_CANA_REAL]],ESTIMATIVA[[#This Row],[QT_CANA_REST1]])</f>
        <v>616.87</v>
      </c>
      <c r="AF370" s="1">
        <f>IF(ESTIMATIVA[[#This Row],[QT_AREA_REAL]]&gt;0,ESTIMATIVA[[#This Row],[QT_CANA_REAL]],ESTIMATIVA[[#This Row],[QT_CANA_REST2]])</f>
        <v>616.87</v>
      </c>
      <c r="AG370" s="1" t="str">
        <f>IF(COUNTIFS(GEADA!A:A,VALUE(ESTIMATIVA[[#This Row],[CD_UPNIVEL1]]&amp;TEXT(ESTIMATIVA[[#This Row],[CD_UPNIVEL3]],"0000")))&gt;0,"S","N")</f>
        <v>N</v>
      </c>
      <c r="AH37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70" s="55" t="str">
        <f>IF(ESTIMATIVA[[#This Row],[TP_CULTIVO]]="Irrigado",_xlfn.MAXIFS(IRRIGADO!J:J,IRRIGADO!C:C,ESTIMATIVA[[#This Row],[CD_UPNIVEL1]],IRRIGADO!E:E,ESTIMATIVA[[#This Row],[CD_UPNIVEL3]]),"")</f>
        <v/>
      </c>
      <c r="AJ37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70" s="1">
        <f>COUNTIFS(Apresentação!$E$23:$E$29,ESTIMATIVA[[#This Row],[CD_UPNIVEL1]])</f>
        <v>0</v>
      </c>
    </row>
    <row r="371" spans="1:37" x14ac:dyDescent="0.3">
      <c r="A371">
        <v>20314</v>
      </c>
      <c r="B371" t="s">
        <v>27</v>
      </c>
      <c r="C371">
        <v>111</v>
      </c>
      <c r="D371">
        <v>8</v>
      </c>
      <c r="E371" t="s">
        <v>262</v>
      </c>
      <c r="F371" s="85" t="s">
        <v>329</v>
      </c>
      <c r="G371"/>
      <c r="H371" t="s">
        <v>295</v>
      </c>
      <c r="I371" t="s">
        <v>213</v>
      </c>
      <c r="J371" t="s">
        <v>176</v>
      </c>
      <c r="K371" s="1">
        <v>7.32</v>
      </c>
      <c r="L371" s="1">
        <v>7.32</v>
      </c>
      <c r="M371" s="1">
        <v>7.32</v>
      </c>
      <c r="N371" s="1">
        <v>7.32</v>
      </c>
      <c r="O371" s="1">
        <v>585.6</v>
      </c>
      <c r="P371" s="1">
        <v>585.6</v>
      </c>
      <c r="Q371" s="1">
        <v>585.6</v>
      </c>
      <c r="R371" s="1">
        <v>517.89</v>
      </c>
      <c r="S371" t="s">
        <v>12</v>
      </c>
      <c r="T371" s="13">
        <v>45963</v>
      </c>
      <c r="U371" s="1" t="str">
        <f>IF(ESTIMATIVA[[#This Row],[QT_AREA_REAL]]&gt;0,"1- Colhido","2- à Colher")</f>
        <v>1- Colhido</v>
      </c>
      <c r="V371" s="1" t="str">
        <f>IF(ESTIMATIVA[[#This Row],[QT_AREA_REST1]]&gt;0,"Reestimativa 1",IF(ESTIMATIVA[[#This Row],[QT_AREA_REAL]]=0,"Reestimativa 1","Realizado"))</f>
        <v>Reestimativa 1</v>
      </c>
      <c r="W371" s="1" t="str">
        <f>IF(ESTIMATIVA[[#This Row],[QT_AREA_REST2]]&gt;0,"Reestimativa 2",IF(ESTIMATIVA[[#This Row],[QT_AREA_REAL]]=0,"Reestimativa 2","Realizado"))</f>
        <v>Reestimativa 2</v>
      </c>
      <c r="X371" s="1">
        <f>ESTIMATIVA[[#This Row],[QT_AREA_EST]]</f>
        <v>7.32</v>
      </c>
      <c r="Y371" s="1">
        <f>IF(ESTIMATIVA[[#This Row],[QT_AREA_REST1]]&gt;0,ESTIMATIVA[[#This Row],[QT_AREA_REST1]],
  IF(ESTIMATIVA[[#This Row],[QT_AREA_REAL]]&gt;0,ESTIMATIVA[[#This Row],[QT_AREA_REAL]],ESTIMATIVA[[#This Row],[QT_AREA_EST]]))</f>
        <v>7.32</v>
      </c>
      <c r="Z37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7.32</v>
      </c>
      <c r="AA371" s="1">
        <f>ESTIMATIVA[[#This Row],[QT_CANA_EST]]</f>
        <v>585.6</v>
      </c>
      <c r="AB371" s="1">
        <f>IF(ESTIMATIVA[[#This Row],[QT_CANA_REST1]]&gt;0,ESTIMATIVA[[#This Row],[QT_CANA_REST1]],
  IF(ESTIMATIVA[[#This Row],[QT_CANA_REAL]]&gt;0,ESTIMATIVA[[#This Row],[QT_CANA_REAL]],ESTIMATIVA[[#This Row],[QT_CANA_EST]]))</f>
        <v>585.6</v>
      </c>
      <c r="AC37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585.6</v>
      </c>
      <c r="AD371" s="1">
        <f>IF(ESTIMATIVA[[#This Row],[QT_AREA_REAL]]&gt;0,ESTIMATIVA[[#This Row],[QT_CANA_REAL]],ESTIMATIVA[[#This Row],[QT_CANA_EST]])</f>
        <v>517.89</v>
      </c>
      <c r="AE371" s="1">
        <f>IF(ESTIMATIVA[[#This Row],[QT_AREA_REAL]]&gt;0,ESTIMATIVA[[#This Row],[QT_CANA_REAL]],ESTIMATIVA[[#This Row],[QT_CANA_REST1]])</f>
        <v>517.89</v>
      </c>
      <c r="AF371" s="1">
        <f>IF(ESTIMATIVA[[#This Row],[QT_AREA_REAL]]&gt;0,ESTIMATIVA[[#This Row],[QT_CANA_REAL]],ESTIMATIVA[[#This Row],[QT_CANA_REST2]])</f>
        <v>517.89</v>
      </c>
      <c r="AG371" s="1" t="str">
        <f>IF(COUNTIFS(GEADA!A:A,VALUE(ESTIMATIVA[[#This Row],[CD_UPNIVEL1]]&amp;TEXT(ESTIMATIVA[[#This Row],[CD_UPNIVEL3]],"0000")))&gt;0,"S","N")</f>
        <v>N</v>
      </c>
      <c r="AH37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71" s="55" t="str">
        <f>IF(ESTIMATIVA[[#This Row],[TP_CULTIVO]]="Irrigado",_xlfn.MAXIFS(IRRIGADO!J:J,IRRIGADO!C:C,ESTIMATIVA[[#This Row],[CD_UPNIVEL1]],IRRIGADO!E:E,ESTIMATIVA[[#This Row],[CD_UPNIVEL3]]),"")</f>
        <v/>
      </c>
      <c r="AJ37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71" s="1">
        <f>COUNTIFS(Apresentação!$E$23:$E$29,ESTIMATIVA[[#This Row],[CD_UPNIVEL1]])</f>
        <v>0</v>
      </c>
    </row>
    <row r="372" spans="1:37" x14ac:dyDescent="0.3">
      <c r="A372">
        <v>20314</v>
      </c>
      <c r="B372" t="s">
        <v>27</v>
      </c>
      <c r="C372">
        <v>112</v>
      </c>
      <c r="D372">
        <v>8</v>
      </c>
      <c r="E372" t="s">
        <v>262</v>
      </c>
      <c r="F372" s="85" t="s">
        <v>332</v>
      </c>
      <c r="G372"/>
      <c r="H372" t="s">
        <v>295</v>
      </c>
      <c r="I372" t="s">
        <v>213</v>
      </c>
      <c r="J372" t="s">
        <v>176</v>
      </c>
      <c r="K372" s="1">
        <v>3.93</v>
      </c>
      <c r="L372" s="1">
        <v>3.93</v>
      </c>
      <c r="M372" s="1">
        <v>3.93</v>
      </c>
      <c r="N372" s="1">
        <v>3.93</v>
      </c>
      <c r="O372" s="1">
        <v>314.39999999999998</v>
      </c>
      <c r="P372" s="1">
        <v>314.39999999999998</v>
      </c>
      <c r="Q372" s="1">
        <v>314.39999999999998</v>
      </c>
      <c r="R372" s="1">
        <v>277.48</v>
      </c>
      <c r="S372" t="s">
        <v>12</v>
      </c>
      <c r="T372" s="13">
        <v>45963</v>
      </c>
      <c r="U372" s="1" t="str">
        <f>IF(ESTIMATIVA[[#This Row],[QT_AREA_REAL]]&gt;0,"1- Colhido","2- à Colher")</f>
        <v>1- Colhido</v>
      </c>
      <c r="V372" s="1" t="str">
        <f>IF(ESTIMATIVA[[#This Row],[QT_AREA_REST1]]&gt;0,"Reestimativa 1",IF(ESTIMATIVA[[#This Row],[QT_AREA_REAL]]=0,"Reestimativa 1","Realizado"))</f>
        <v>Reestimativa 1</v>
      </c>
      <c r="W372" s="1" t="str">
        <f>IF(ESTIMATIVA[[#This Row],[QT_AREA_REST2]]&gt;0,"Reestimativa 2",IF(ESTIMATIVA[[#This Row],[QT_AREA_REAL]]=0,"Reestimativa 2","Realizado"))</f>
        <v>Reestimativa 2</v>
      </c>
      <c r="X372" s="1">
        <f>ESTIMATIVA[[#This Row],[QT_AREA_EST]]</f>
        <v>3.93</v>
      </c>
      <c r="Y372" s="1">
        <f>IF(ESTIMATIVA[[#This Row],[QT_AREA_REST1]]&gt;0,ESTIMATIVA[[#This Row],[QT_AREA_REST1]],
  IF(ESTIMATIVA[[#This Row],[QT_AREA_REAL]]&gt;0,ESTIMATIVA[[#This Row],[QT_AREA_REAL]],ESTIMATIVA[[#This Row],[QT_AREA_EST]]))</f>
        <v>3.93</v>
      </c>
      <c r="Z37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3.93</v>
      </c>
      <c r="AA372" s="1">
        <f>ESTIMATIVA[[#This Row],[QT_CANA_EST]]</f>
        <v>314.39999999999998</v>
      </c>
      <c r="AB372" s="1">
        <f>IF(ESTIMATIVA[[#This Row],[QT_CANA_REST1]]&gt;0,ESTIMATIVA[[#This Row],[QT_CANA_REST1]],
  IF(ESTIMATIVA[[#This Row],[QT_CANA_REAL]]&gt;0,ESTIMATIVA[[#This Row],[QT_CANA_REAL]],ESTIMATIVA[[#This Row],[QT_CANA_EST]]))</f>
        <v>314.39999999999998</v>
      </c>
      <c r="AC37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314.39999999999998</v>
      </c>
      <c r="AD372" s="1">
        <f>IF(ESTIMATIVA[[#This Row],[QT_AREA_REAL]]&gt;0,ESTIMATIVA[[#This Row],[QT_CANA_REAL]],ESTIMATIVA[[#This Row],[QT_CANA_EST]])</f>
        <v>277.48</v>
      </c>
      <c r="AE372" s="1">
        <f>IF(ESTIMATIVA[[#This Row],[QT_AREA_REAL]]&gt;0,ESTIMATIVA[[#This Row],[QT_CANA_REAL]],ESTIMATIVA[[#This Row],[QT_CANA_REST1]])</f>
        <v>277.48</v>
      </c>
      <c r="AF372" s="1">
        <f>IF(ESTIMATIVA[[#This Row],[QT_AREA_REAL]]&gt;0,ESTIMATIVA[[#This Row],[QT_CANA_REAL]],ESTIMATIVA[[#This Row],[QT_CANA_REST2]])</f>
        <v>277.48</v>
      </c>
      <c r="AG372" s="1" t="str">
        <f>IF(COUNTIFS(GEADA!A:A,VALUE(ESTIMATIVA[[#This Row],[CD_UPNIVEL1]]&amp;TEXT(ESTIMATIVA[[#This Row],[CD_UPNIVEL3]],"0000")))&gt;0,"S","N")</f>
        <v>N</v>
      </c>
      <c r="AH37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72" s="55" t="str">
        <f>IF(ESTIMATIVA[[#This Row],[TP_CULTIVO]]="Irrigado",_xlfn.MAXIFS(IRRIGADO!J:J,IRRIGADO!C:C,ESTIMATIVA[[#This Row],[CD_UPNIVEL1]],IRRIGADO!E:E,ESTIMATIVA[[#This Row],[CD_UPNIVEL3]]),"")</f>
        <v/>
      </c>
      <c r="AJ37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72" s="1">
        <f>COUNTIFS(Apresentação!$E$23:$E$29,ESTIMATIVA[[#This Row],[CD_UPNIVEL1]])</f>
        <v>0</v>
      </c>
    </row>
    <row r="373" spans="1:37" x14ac:dyDescent="0.3">
      <c r="A373">
        <v>20314</v>
      </c>
      <c r="B373" t="s">
        <v>27</v>
      </c>
      <c r="C373">
        <v>113</v>
      </c>
      <c r="D373">
        <v>8</v>
      </c>
      <c r="E373" t="s">
        <v>262</v>
      </c>
      <c r="F373" s="85" t="s">
        <v>329</v>
      </c>
      <c r="G373"/>
      <c r="H373" t="s">
        <v>295</v>
      </c>
      <c r="I373" t="s">
        <v>212</v>
      </c>
      <c r="J373" t="s">
        <v>176</v>
      </c>
      <c r="K373" s="1">
        <v>8.14</v>
      </c>
      <c r="L373" s="1">
        <v>8.14</v>
      </c>
      <c r="M373" s="1">
        <v>8.14</v>
      </c>
      <c r="N373" s="1">
        <v>8.14</v>
      </c>
      <c r="O373" s="1">
        <v>651.20000000000005</v>
      </c>
      <c r="P373" s="1">
        <v>651.20000000000005</v>
      </c>
      <c r="Q373" s="1">
        <v>651.20000000000005</v>
      </c>
      <c r="R373" s="1">
        <v>575.34</v>
      </c>
      <c r="S373" t="s">
        <v>12</v>
      </c>
      <c r="T373" s="13">
        <v>45963</v>
      </c>
      <c r="U373" s="1" t="str">
        <f>IF(ESTIMATIVA[[#This Row],[QT_AREA_REAL]]&gt;0,"1- Colhido","2- à Colher")</f>
        <v>1- Colhido</v>
      </c>
      <c r="V373" s="1" t="str">
        <f>IF(ESTIMATIVA[[#This Row],[QT_AREA_REST1]]&gt;0,"Reestimativa 1",IF(ESTIMATIVA[[#This Row],[QT_AREA_REAL]]=0,"Reestimativa 1","Realizado"))</f>
        <v>Reestimativa 1</v>
      </c>
      <c r="W373" s="1" t="str">
        <f>IF(ESTIMATIVA[[#This Row],[QT_AREA_REST2]]&gt;0,"Reestimativa 2",IF(ESTIMATIVA[[#This Row],[QT_AREA_REAL]]=0,"Reestimativa 2","Realizado"))</f>
        <v>Reestimativa 2</v>
      </c>
      <c r="X373" s="1">
        <f>ESTIMATIVA[[#This Row],[QT_AREA_EST]]</f>
        <v>8.14</v>
      </c>
      <c r="Y373" s="1">
        <f>IF(ESTIMATIVA[[#This Row],[QT_AREA_REST1]]&gt;0,ESTIMATIVA[[#This Row],[QT_AREA_REST1]],
  IF(ESTIMATIVA[[#This Row],[QT_AREA_REAL]]&gt;0,ESTIMATIVA[[#This Row],[QT_AREA_REAL]],ESTIMATIVA[[#This Row],[QT_AREA_EST]]))</f>
        <v>8.14</v>
      </c>
      <c r="Z37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8.14</v>
      </c>
      <c r="AA373" s="1">
        <f>ESTIMATIVA[[#This Row],[QT_CANA_EST]]</f>
        <v>651.20000000000005</v>
      </c>
      <c r="AB373" s="1">
        <f>IF(ESTIMATIVA[[#This Row],[QT_CANA_REST1]]&gt;0,ESTIMATIVA[[#This Row],[QT_CANA_REST1]],
  IF(ESTIMATIVA[[#This Row],[QT_CANA_REAL]]&gt;0,ESTIMATIVA[[#This Row],[QT_CANA_REAL]],ESTIMATIVA[[#This Row],[QT_CANA_EST]]))</f>
        <v>651.20000000000005</v>
      </c>
      <c r="AC37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651.20000000000005</v>
      </c>
      <c r="AD373" s="1">
        <f>IF(ESTIMATIVA[[#This Row],[QT_AREA_REAL]]&gt;0,ESTIMATIVA[[#This Row],[QT_CANA_REAL]],ESTIMATIVA[[#This Row],[QT_CANA_EST]])</f>
        <v>575.34</v>
      </c>
      <c r="AE373" s="1">
        <f>IF(ESTIMATIVA[[#This Row],[QT_AREA_REAL]]&gt;0,ESTIMATIVA[[#This Row],[QT_CANA_REAL]],ESTIMATIVA[[#This Row],[QT_CANA_REST1]])</f>
        <v>575.34</v>
      </c>
      <c r="AF373" s="1">
        <f>IF(ESTIMATIVA[[#This Row],[QT_AREA_REAL]]&gt;0,ESTIMATIVA[[#This Row],[QT_CANA_REAL]],ESTIMATIVA[[#This Row],[QT_CANA_REST2]])</f>
        <v>575.34</v>
      </c>
      <c r="AG373" s="1" t="str">
        <f>IF(COUNTIFS(GEADA!A:A,VALUE(ESTIMATIVA[[#This Row],[CD_UPNIVEL1]]&amp;TEXT(ESTIMATIVA[[#This Row],[CD_UPNIVEL3]],"0000")))&gt;0,"S","N")</f>
        <v>N</v>
      </c>
      <c r="AH37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73" s="55" t="str">
        <f>IF(ESTIMATIVA[[#This Row],[TP_CULTIVO]]="Irrigado",_xlfn.MAXIFS(IRRIGADO!J:J,IRRIGADO!C:C,ESTIMATIVA[[#This Row],[CD_UPNIVEL1]],IRRIGADO!E:E,ESTIMATIVA[[#This Row],[CD_UPNIVEL3]]),"")</f>
        <v/>
      </c>
      <c r="AJ37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73" s="1">
        <f>COUNTIFS(Apresentação!$E$23:$E$29,ESTIMATIVA[[#This Row],[CD_UPNIVEL1]])</f>
        <v>0</v>
      </c>
    </row>
    <row r="374" spans="1:37" x14ac:dyDescent="0.3">
      <c r="A374">
        <v>20314</v>
      </c>
      <c r="B374" t="s">
        <v>27</v>
      </c>
      <c r="C374">
        <v>114</v>
      </c>
      <c r="D374">
        <v>8</v>
      </c>
      <c r="E374" t="s">
        <v>262</v>
      </c>
      <c r="F374" s="85" t="s">
        <v>329</v>
      </c>
      <c r="G374"/>
      <c r="H374" t="s">
        <v>295</v>
      </c>
      <c r="I374" t="s">
        <v>212</v>
      </c>
      <c r="J374" t="s">
        <v>176</v>
      </c>
      <c r="K374" s="1">
        <v>6.84</v>
      </c>
      <c r="L374" s="1">
        <v>6.84</v>
      </c>
      <c r="M374" s="1">
        <v>6.84</v>
      </c>
      <c r="N374" s="1">
        <v>6.84</v>
      </c>
      <c r="O374" s="1">
        <v>478.8</v>
      </c>
      <c r="P374" s="1">
        <v>478.8</v>
      </c>
      <c r="Q374" s="1">
        <v>478.8</v>
      </c>
      <c r="R374" s="1">
        <v>423.31</v>
      </c>
      <c r="S374" t="s">
        <v>12</v>
      </c>
      <c r="T374" s="13">
        <v>45963</v>
      </c>
      <c r="U374" s="1" t="str">
        <f>IF(ESTIMATIVA[[#This Row],[QT_AREA_REAL]]&gt;0,"1- Colhido","2- à Colher")</f>
        <v>1- Colhido</v>
      </c>
      <c r="V374" s="1" t="str">
        <f>IF(ESTIMATIVA[[#This Row],[QT_AREA_REST1]]&gt;0,"Reestimativa 1",IF(ESTIMATIVA[[#This Row],[QT_AREA_REAL]]=0,"Reestimativa 1","Realizado"))</f>
        <v>Reestimativa 1</v>
      </c>
      <c r="W374" s="1" t="str">
        <f>IF(ESTIMATIVA[[#This Row],[QT_AREA_REST2]]&gt;0,"Reestimativa 2",IF(ESTIMATIVA[[#This Row],[QT_AREA_REAL]]=0,"Reestimativa 2","Realizado"))</f>
        <v>Reestimativa 2</v>
      </c>
      <c r="X374" s="1">
        <f>ESTIMATIVA[[#This Row],[QT_AREA_EST]]</f>
        <v>6.84</v>
      </c>
      <c r="Y374" s="1">
        <f>IF(ESTIMATIVA[[#This Row],[QT_AREA_REST1]]&gt;0,ESTIMATIVA[[#This Row],[QT_AREA_REST1]],
  IF(ESTIMATIVA[[#This Row],[QT_AREA_REAL]]&gt;0,ESTIMATIVA[[#This Row],[QT_AREA_REAL]],ESTIMATIVA[[#This Row],[QT_AREA_EST]]))</f>
        <v>6.84</v>
      </c>
      <c r="Z37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6.84</v>
      </c>
      <c r="AA374" s="1">
        <f>ESTIMATIVA[[#This Row],[QT_CANA_EST]]</f>
        <v>478.8</v>
      </c>
      <c r="AB374" s="1">
        <f>IF(ESTIMATIVA[[#This Row],[QT_CANA_REST1]]&gt;0,ESTIMATIVA[[#This Row],[QT_CANA_REST1]],
  IF(ESTIMATIVA[[#This Row],[QT_CANA_REAL]]&gt;0,ESTIMATIVA[[#This Row],[QT_CANA_REAL]],ESTIMATIVA[[#This Row],[QT_CANA_EST]]))</f>
        <v>478.8</v>
      </c>
      <c r="AC37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478.8</v>
      </c>
      <c r="AD374" s="1">
        <f>IF(ESTIMATIVA[[#This Row],[QT_AREA_REAL]]&gt;0,ESTIMATIVA[[#This Row],[QT_CANA_REAL]],ESTIMATIVA[[#This Row],[QT_CANA_EST]])</f>
        <v>423.31</v>
      </c>
      <c r="AE374" s="1">
        <f>IF(ESTIMATIVA[[#This Row],[QT_AREA_REAL]]&gt;0,ESTIMATIVA[[#This Row],[QT_CANA_REAL]],ESTIMATIVA[[#This Row],[QT_CANA_REST1]])</f>
        <v>423.31</v>
      </c>
      <c r="AF374" s="1">
        <f>IF(ESTIMATIVA[[#This Row],[QT_AREA_REAL]]&gt;0,ESTIMATIVA[[#This Row],[QT_CANA_REAL]],ESTIMATIVA[[#This Row],[QT_CANA_REST2]])</f>
        <v>423.31</v>
      </c>
      <c r="AG374" s="1" t="str">
        <f>IF(COUNTIFS(GEADA!A:A,VALUE(ESTIMATIVA[[#This Row],[CD_UPNIVEL1]]&amp;TEXT(ESTIMATIVA[[#This Row],[CD_UPNIVEL3]],"0000")))&gt;0,"S","N")</f>
        <v>N</v>
      </c>
      <c r="AH37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74" s="55" t="str">
        <f>IF(ESTIMATIVA[[#This Row],[TP_CULTIVO]]="Irrigado",_xlfn.MAXIFS(IRRIGADO!J:J,IRRIGADO!C:C,ESTIMATIVA[[#This Row],[CD_UPNIVEL1]],IRRIGADO!E:E,ESTIMATIVA[[#This Row],[CD_UPNIVEL3]]),"")</f>
        <v/>
      </c>
      <c r="AJ37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74" s="1">
        <f>COUNTIFS(Apresentação!$E$23:$E$29,ESTIMATIVA[[#This Row],[CD_UPNIVEL1]])</f>
        <v>0</v>
      </c>
    </row>
    <row r="375" spans="1:37" x14ac:dyDescent="0.3">
      <c r="A375">
        <v>20314</v>
      </c>
      <c r="B375" t="s">
        <v>27</v>
      </c>
      <c r="C375">
        <v>115</v>
      </c>
      <c r="D375">
        <v>8</v>
      </c>
      <c r="E375" t="s">
        <v>262</v>
      </c>
      <c r="F375" s="85" t="s">
        <v>332</v>
      </c>
      <c r="G375"/>
      <c r="H375" t="s">
        <v>295</v>
      </c>
      <c r="I375" t="s">
        <v>212</v>
      </c>
      <c r="J375" t="s">
        <v>176</v>
      </c>
      <c r="K375" s="1">
        <v>8.16</v>
      </c>
      <c r="L375" s="1">
        <v>8.16</v>
      </c>
      <c r="M375" s="1">
        <v>8.16</v>
      </c>
      <c r="N375" s="1">
        <v>8.16</v>
      </c>
      <c r="O375" s="1">
        <v>538.55999999999995</v>
      </c>
      <c r="P375" s="1">
        <v>538.55999999999995</v>
      </c>
      <c r="Q375" s="1">
        <v>538.55999999999995</v>
      </c>
      <c r="R375" s="1">
        <v>476.35</v>
      </c>
      <c r="S375" t="s">
        <v>12</v>
      </c>
      <c r="T375" s="13">
        <v>45963</v>
      </c>
      <c r="U375" s="1" t="str">
        <f>IF(ESTIMATIVA[[#This Row],[QT_AREA_REAL]]&gt;0,"1- Colhido","2- à Colher")</f>
        <v>1- Colhido</v>
      </c>
      <c r="V375" s="1" t="str">
        <f>IF(ESTIMATIVA[[#This Row],[QT_AREA_REST1]]&gt;0,"Reestimativa 1",IF(ESTIMATIVA[[#This Row],[QT_AREA_REAL]]=0,"Reestimativa 1","Realizado"))</f>
        <v>Reestimativa 1</v>
      </c>
      <c r="W375" s="1" t="str">
        <f>IF(ESTIMATIVA[[#This Row],[QT_AREA_REST2]]&gt;0,"Reestimativa 2",IF(ESTIMATIVA[[#This Row],[QT_AREA_REAL]]=0,"Reestimativa 2","Realizado"))</f>
        <v>Reestimativa 2</v>
      </c>
      <c r="X375" s="1">
        <f>ESTIMATIVA[[#This Row],[QT_AREA_EST]]</f>
        <v>8.16</v>
      </c>
      <c r="Y375" s="1">
        <f>IF(ESTIMATIVA[[#This Row],[QT_AREA_REST1]]&gt;0,ESTIMATIVA[[#This Row],[QT_AREA_REST1]],
  IF(ESTIMATIVA[[#This Row],[QT_AREA_REAL]]&gt;0,ESTIMATIVA[[#This Row],[QT_AREA_REAL]],ESTIMATIVA[[#This Row],[QT_AREA_EST]]))</f>
        <v>8.16</v>
      </c>
      <c r="Z37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8.16</v>
      </c>
      <c r="AA375" s="1">
        <f>ESTIMATIVA[[#This Row],[QT_CANA_EST]]</f>
        <v>538.55999999999995</v>
      </c>
      <c r="AB375" s="1">
        <f>IF(ESTIMATIVA[[#This Row],[QT_CANA_REST1]]&gt;0,ESTIMATIVA[[#This Row],[QT_CANA_REST1]],
  IF(ESTIMATIVA[[#This Row],[QT_CANA_REAL]]&gt;0,ESTIMATIVA[[#This Row],[QT_CANA_REAL]],ESTIMATIVA[[#This Row],[QT_CANA_EST]]))</f>
        <v>538.55999999999995</v>
      </c>
      <c r="AC37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538.55999999999995</v>
      </c>
      <c r="AD375" s="1">
        <f>IF(ESTIMATIVA[[#This Row],[QT_AREA_REAL]]&gt;0,ESTIMATIVA[[#This Row],[QT_CANA_REAL]],ESTIMATIVA[[#This Row],[QT_CANA_EST]])</f>
        <v>476.35</v>
      </c>
      <c r="AE375" s="1">
        <f>IF(ESTIMATIVA[[#This Row],[QT_AREA_REAL]]&gt;0,ESTIMATIVA[[#This Row],[QT_CANA_REAL]],ESTIMATIVA[[#This Row],[QT_CANA_REST1]])</f>
        <v>476.35</v>
      </c>
      <c r="AF375" s="1">
        <f>IF(ESTIMATIVA[[#This Row],[QT_AREA_REAL]]&gt;0,ESTIMATIVA[[#This Row],[QT_CANA_REAL]],ESTIMATIVA[[#This Row],[QT_CANA_REST2]])</f>
        <v>476.35</v>
      </c>
      <c r="AG375" s="1" t="str">
        <f>IF(COUNTIFS(GEADA!A:A,VALUE(ESTIMATIVA[[#This Row],[CD_UPNIVEL1]]&amp;TEXT(ESTIMATIVA[[#This Row],[CD_UPNIVEL3]],"0000")))&gt;0,"S","N")</f>
        <v>N</v>
      </c>
      <c r="AH37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75" s="55" t="str">
        <f>IF(ESTIMATIVA[[#This Row],[TP_CULTIVO]]="Irrigado",_xlfn.MAXIFS(IRRIGADO!J:J,IRRIGADO!C:C,ESTIMATIVA[[#This Row],[CD_UPNIVEL1]],IRRIGADO!E:E,ESTIMATIVA[[#This Row],[CD_UPNIVEL3]]),"")</f>
        <v/>
      </c>
      <c r="AJ37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75" s="1">
        <f>COUNTIFS(Apresentação!$E$23:$E$29,ESTIMATIVA[[#This Row],[CD_UPNIVEL1]])</f>
        <v>0</v>
      </c>
    </row>
    <row r="376" spans="1:37" x14ac:dyDescent="0.3">
      <c r="A376">
        <v>20314</v>
      </c>
      <c r="B376" t="s">
        <v>27</v>
      </c>
      <c r="C376">
        <v>116</v>
      </c>
      <c r="D376">
        <v>8</v>
      </c>
      <c r="E376" t="s">
        <v>262</v>
      </c>
      <c r="F376" s="85" t="s">
        <v>332</v>
      </c>
      <c r="G376"/>
      <c r="H376" t="s">
        <v>295</v>
      </c>
      <c r="I376" t="s">
        <v>199</v>
      </c>
      <c r="J376" t="s">
        <v>176</v>
      </c>
      <c r="K376" s="1">
        <v>3.17</v>
      </c>
      <c r="L376" s="1">
        <v>3.17</v>
      </c>
      <c r="M376" s="1">
        <v>3.17</v>
      </c>
      <c r="N376" s="1">
        <v>3.17</v>
      </c>
      <c r="O376" s="1">
        <v>209.22</v>
      </c>
      <c r="P376" s="1">
        <v>209.22</v>
      </c>
      <c r="Q376" s="1">
        <v>209.22</v>
      </c>
      <c r="R376" s="1">
        <v>185.15</v>
      </c>
      <c r="S376" t="s">
        <v>12</v>
      </c>
      <c r="T376" s="13">
        <v>45963</v>
      </c>
      <c r="U376" s="1" t="str">
        <f>IF(ESTIMATIVA[[#This Row],[QT_AREA_REAL]]&gt;0,"1- Colhido","2- à Colher")</f>
        <v>1- Colhido</v>
      </c>
      <c r="V376" s="1" t="str">
        <f>IF(ESTIMATIVA[[#This Row],[QT_AREA_REST1]]&gt;0,"Reestimativa 1",IF(ESTIMATIVA[[#This Row],[QT_AREA_REAL]]=0,"Reestimativa 1","Realizado"))</f>
        <v>Reestimativa 1</v>
      </c>
      <c r="W376" s="1" t="str">
        <f>IF(ESTIMATIVA[[#This Row],[QT_AREA_REST2]]&gt;0,"Reestimativa 2",IF(ESTIMATIVA[[#This Row],[QT_AREA_REAL]]=0,"Reestimativa 2","Realizado"))</f>
        <v>Reestimativa 2</v>
      </c>
      <c r="X376" s="1">
        <f>ESTIMATIVA[[#This Row],[QT_AREA_EST]]</f>
        <v>3.17</v>
      </c>
      <c r="Y376" s="1">
        <f>IF(ESTIMATIVA[[#This Row],[QT_AREA_REST1]]&gt;0,ESTIMATIVA[[#This Row],[QT_AREA_REST1]],
  IF(ESTIMATIVA[[#This Row],[QT_AREA_REAL]]&gt;0,ESTIMATIVA[[#This Row],[QT_AREA_REAL]],ESTIMATIVA[[#This Row],[QT_AREA_EST]]))</f>
        <v>3.17</v>
      </c>
      <c r="Z37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3.17</v>
      </c>
      <c r="AA376" s="1">
        <f>ESTIMATIVA[[#This Row],[QT_CANA_EST]]</f>
        <v>209.22</v>
      </c>
      <c r="AB376" s="1">
        <f>IF(ESTIMATIVA[[#This Row],[QT_CANA_REST1]]&gt;0,ESTIMATIVA[[#This Row],[QT_CANA_REST1]],
  IF(ESTIMATIVA[[#This Row],[QT_CANA_REAL]]&gt;0,ESTIMATIVA[[#This Row],[QT_CANA_REAL]],ESTIMATIVA[[#This Row],[QT_CANA_EST]]))</f>
        <v>209.22</v>
      </c>
      <c r="AC37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209.22</v>
      </c>
      <c r="AD376" s="1">
        <f>IF(ESTIMATIVA[[#This Row],[QT_AREA_REAL]]&gt;0,ESTIMATIVA[[#This Row],[QT_CANA_REAL]],ESTIMATIVA[[#This Row],[QT_CANA_EST]])</f>
        <v>185.15</v>
      </c>
      <c r="AE376" s="1">
        <f>IF(ESTIMATIVA[[#This Row],[QT_AREA_REAL]]&gt;0,ESTIMATIVA[[#This Row],[QT_CANA_REAL]],ESTIMATIVA[[#This Row],[QT_CANA_REST1]])</f>
        <v>185.15</v>
      </c>
      <c r="AF376" s="1">
        <f>IF(ESTIMATIVA[[#This Row],[QT_AREA_REAL]]&gt;0,ESTIMATIVA[[#This Row],[QT_CANA_REAL]],ESTIMATIVA[[#This Row],[QT_CANA_REST2]])</f>
        <v>185.15</v>
      </c>
      <c r="AG376" s="1" t="str">
        <f>IF(COUNTIFS(GEADA!A:A,VALUE(ESTIMATIVA[[#This Row],[CD_UPNIVEL1]]&amp;TEXT(ESTIMATIVA[[#This Row],[CD_UPNIVEL3]],"0000")))&gt;0,"S","N")</f>
        <v>N</v>
      </c>
      <c r="AH37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76" s="55" t="str">
        <f>IF(ESTIMATIVA[[#This Row],[TP_CULTIVO]]="Irrigado",_xlfn.MAXIFS(IRRIGADO!J:J,IRRIGADO!C:C,ESTIMATIVA[[#This Row],[CD_UPNIVEL1]],IRRIGADO!E:E,ESTIMATIVA[[#This Row],[CD_UPNIVEL3]]),"")</f>
        <v/>
      </c>
      <c r="AJ37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76" s="1">
        <f>COUNTIFS(Apresentação!$E$23:$E$29,ESTIMATIVA[[#This Row],[CD_UPNIVEL1]])</f>
        <v>0</v>
      </c>
    </row>
    <row r="377" spans="1:37" x14ac:dyDescent="0.3">
      <c r="A377">
        <v>20314</v>
      </c>
      <c r="B377" t="s">
        <v>27</v>
      </c>
      <c r="C377">
        <v>117</v>
      </c>
      <c r="D377">
        <v>8</v>
      </c>
      <c r="E377" t="s">
        <v>262</v>
      </c>
      <c r="F377" s="85" t="s">
        <v>332</v>
      </c>
      <c r="G377"/>
      <c r="H377" t="s">
        <v>295</v>
      </c>
      <c r="I377" t="s">
        <v>212</v>
      </c>
      <c r="J377" t="s">
        <v>176</v>
      </c>
      <c r="K377" s="1">
        <v>4.5</v>
      </c>
      <c r="L377" s="1">
        <v>4.5</v>
      </c>
      <c r="M377" s="1">
        <v>4.5</v>
      </c>
      <c r="N377" s="1">
        <v>4.5</v>
      </c>
      <c r="O377" s="1">
        <v>324</v>
      </c>
      <c r="P377" s="1">
        <v>333</v>
      </c>
      <c r="Q377" s="1">
        <v>333</v>
      </c>
      <c r="R377" s="1">
        <v>264.64999999999998</v>
      </c>
      <c r="S377" t="s">
        <v>12</v>
      </c>
      <c r="T377" s="13">
        <v>45963</v>
      </c>
      <c r="U377" s="1" t="str">
        <f>IF(ESTIMATIVA[[#This Row],[QT_AREA_REAL]]&gt;0,"1- Colhido","2- à Colher")</f>
        <v>1- Colhido</v>
      </c>
      <c r="V377" s="1" t="str">
        <f>IF(ESTIMATIVA[[#This Row],[QT_AREA_REST1]]&gt;0,"Reestimativa 1",IF(ESTIMATIVA[[#This Row],[QT_AREA_REAL]]=0,"Reestimativa 1","Realizado"))</f>
        <v>Reestimativa 1</v>
      </c>
      <c r="W377" s="1" t="str">
        <f>IF(ESTIMATIVA[[#This Row],[QT_AREA_REST2]]&gt;0,"Reestimativa 2",IF(ESTIMATIVA[[#This Row],[QT_AREA_REAL]]=0,"Reestimativa 2","Realizado"))</f>
        <v>Reestimativa 2</v>
      </c>
      <c r="X377" s="1">
        <f>ESTIMATIVA[[#This Row],[QT_AREA_EST]]</f>
        <v>4.5</v>
      </c>
      <c r="Y377" s="1">
        <f>IF(ESTIMATIVA[[#This Row],[QT_AREA_REST1]]&gt;0,ESTIMATIVA[[#This Row],[QT_AREA_REST1]],
  IF(ESTIMATIVA[[#This Row],[QT_AREA_REAL]]&gt;0,ESTIMATIVA[[#This Row],[QT_AREA_REAL]],ESTIMATIVA[[#This Row],[QT_AREA_EST]]))</f>
        <v>4.5</v>
      </c>
      <c r="Z37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4.5</v>
      </c>
      <c r="AA377" s="1">
        <f>ESTIMATIVA[[#This Row],[QT_CANA_EST]]</f>
        <v>324</v>
      </c>
      <c r="AB377" s="1">
        <f>IF(ESTIMATIVA[[#This Row],[QT_CANA_REST1]]&gt;0,ESTIMATIVA[[#This Row],[QT_CANA_REST1]],
  IF(ESTIMATIVA[[#This Row],[QT_CANA_REAL]]&gt;0,ESTIMATIVA[[#This Row],[QT_CANA_REAL]],ESTIMATIVA[[#This Row],[QT_CANA_EST]]))</f>
        <v>333</v>
      </c>
      <c r="AC37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333</v>
      </c>
      <c r="AD377" s="1">
        <f>IF(ESTIMATIVA[[#This Row],[QT_AREA_REAL]]&gt;0,ESTIMATIVA[[#This Row],[QT_CANA_REAL]],ESTIMATIVA[[#This Row],[QT_CANA_EST]])</f>
        <v>264.64999999999998</v>
      </c>
      <c r="AE377" s="1">
        <f>IF(ESTIMATIVA[[#This Row],[QT_AREA_REAL]]&gt;0,ESTIMATIVA[[#This Row],[QT_CANA_REAL]],ESTIMATIVA[[#This Row],[QT_CANA_REST1]])</f>
        <v>264.64999999999998</v>
      </c>
      <c r="AF377" s="1">
        <f>IF(ESTIMATIVA[[#This Row],[QT_AREA_REAL]]&gt;0,ESTIMATIVA[[#This Row],[QT_CANA_REAL]],ESTIMATIVA[[#This Row],[QT_CANA_REST2]])</f>
        <v>264.64999999999998</v>
      </c>
      <c r="AG377" s="1" t="str">
        <f>IF(COUNTIFS(GEADA!A:A,VALUE(ESTIMATIVA[[#This Row],[CD_UPNIVEL1]]&amp;TEXT(ESTIMATIVA[[#This Row],[CD_UPNIVEL3]],"0000")))&gt;0,"S","N")</f>
        <v>N</v>
      </c>
      <c r="AH37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77" s="55" t="str">
        <f>IF(ESTIMATIVA[[#This Row],[TP_CULTIVO]]="Irrigado",_xlfn.MAXIFS(IRRIGADO!J:J,IRRIGADO!C:C,ESTIMATIVA[[#This Row],[CD_UPNIVEL1]],IRRIGADO!E:E,ESTIMATIVA[[#This Row],[CD_UPNIVEL3]]),"")</f>
        <v/>
      </c>
      <c r="AJ37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77" s="1">
        <f>COUNTIFS(Apresentação!$E$23:$E$29,ESTIMATIVA[[#This Row],[CD_UPNIVEL1]])</f>
        <v>0</v>
      </c>
    </row>
    <row r="378" spans="1:37" x14ac:dyDescent="0.3">
      <c r="A378">
        <v>20314</v>
      </c>
      <c r="B378" t="s">
        <v>27</v>
      </c>
      <c r="C378">
        <v>118</v>
      </c>
      <c r="D378">
        <v>8</v>
      </c>
      <c r="E378" t="s">
        <v>262</v>
      </c>
      <c r="F378" s="85" t="s">
        <v>332</v>
      </c>
      <c r="G378"/>
      <c r="H378" t="s">
        <v>295</v>
      </c>
      <c r="I378" t="s">
        <v>212</v>
      </c>
      <c r="J378" t="s">
        <v>176</v>
      </c>
      <c r="K378" s="1">
        <v>7.05</v>
      </c>
      <c r="L378" s="1">
        <v>7.05</v>
      </c>
      <c r="M378" s="1">
        <v>7.05</v>
      </c>
      <c r="N378" s="1">
        <v>7.05</v>
      </c>
      <c r="O378" s="1">
        <v>507.6</v>
      </c>
      <c r="P378" s="1">
        <v>521.70000000000005</v>
      </c>
      <c r="Q378" s="1">
        <v>521.70000000000005</v>
      </c>
      <c r="R378" s="1">
        <v>414.89</v>
      </c>
      <c r="S378" t="s">
        <v>12</v>
      </c>
      <c r="T378" s="13">
        <v>45963</v>
      </c>
      <c r="U378" s="1" t="str">
        <f>IF(ESTIMATIVA[[#This Row],[QT_AREA_REAL]]&gt;0,"1- Colhido","2- à Colher")</f>
        <v>1- Colhido</v>
      </c>
      <c r="V378" s="1" t="str">
        <f>IF(ESTIMATIVA[[#This Row],[QT_AREA_REST1]]&gt;0,"Reestimativa 1",IF(ESTIMATIVA[[#This Row],[QT_AREA_REAL]]=0,"Reestimativa 1","Realizado"))</f>
        <v>Reestimativa 1</v>
      </c>
      <c r="W378" s="1" t="str">
        <f>IF(ESTIMATIVA[[#This Row],[QT_AREA_REST2]]&gt;0,"Reestimativa 2",IF(ESTIMATIVA[[#This Row],[QT_AREA_REAL]]=0,"Reestimativa 2","Realizado"))</f>
        <v>Reestimativa 2</v>
      </c>
      <c r="X378" s="1">
        <f>ESTIMATIVA[[#This Row],[QT_AREA_EST]]</f>
        <v>7.05</v>
      </c>
      <c r="Y378" s="1">
        <f>IF(ESTIMATIVA[[#This Row],[QT_AREA_REST1]]&gt;0,ESTIMATIVA[[#This Row],[QT_AREA_REST1]],
  IF(ESTIMATIVA[[#This Row],[QT_AREA_REAL]]&gt;0,ESTIMATIVA[[#This Row],[QT_AREA_REAL]],ESTIMATIVA[[#This Row],[QT_AREA_EST]]))</f>
        <v>7.05</v>
      </c>
      <c r="Z37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7.05</v>
      </c>
      <c r="AA378" s="1">
        <f>ESTIMATIVA[[#This Row],[QT_CANA_EST]]</f>
        <v>507.6</v>
      </c>
      <c r="AB378" s="1">
        <f>IF(ESTIMATIVA[[#This Row],[QT_CANA_REST1]]&gt;0,ESTIMATIVA[[#This Row],[QT_CANA_REST1]],
  IF(ESTIMATIVA[[#This Row],[QT_CANA_REAL]]&gt;0,ESTIMATIVA[[#This Row],[QT_CANA_REAL]],ESTIMATIVA[[#This Row],[QT_CANA_EST]]))</f>
        <v>521.70000000000005</v>
      </c>
      <c r="AC37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521.70000000000005</v>
      </c>
      <c r="AD378" s="1">
        <f>IF(ESTIMATIVA[[#This Row],[QT_AREA_REAL]]&gt;0,ESTIMATIVA[[#This Row],[QT_CANA_REAL]],ESTIMATIVA[[#This Row],[QT_CANA_EST]])</f>
        <v>414.89</v>
      </c>
      <c r="AE378" s="1">
        <f>IF(ESTIMATIVA[[#This Row],[QT_AREA_REAL]]&gt;0,ESTIMATIVA[[#This Row],[QT_CANA_REAL]],ESTIMATIVA[[#This Row],[QT_CANA_REST1]])</f>
        <v>414.89</v>
      </c>
      <c r="AF378" s="1">
        <f>IF(ESTIMATIVA[[#This Row],[QT_AREA_REAL]]&gt;0,ESTIMATIVA[[#This Row],[QT_CANA_REAL]],ESTIMATIVA[[#This Row],[QT_CANA_REST2]])</f>
        <v>414.89</v>
      </c>
      <c r="AG378" s="1" t="str">
        <f>IF(COUNTIFS(GEADA!A:A,VALUE(ESTIMATIVA[[#This Row],[CD_UPNIVEL1]]&amp;TEXT(ESTIMATIVA[[#This Row],[CD_UPNIVEL3]],"0000")))&gt;0,"S","N")</f>
        <v>N</v>
      </c>
      <c r="AH37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78" s="55" t="str">
        <f>IF(ESTIMATIVA[[#This Row],[TP_CULTIVO]]="Irrigado",_xlfn.MAXIFS(IRRIGADO!J:J,IRRIGADO!C:C,ESTIMATIVA[[#This Row],[CD_UPNIVEL1]],IRRIGADO!E:E,ESTIMATIVA[[#This Row],[CD_UPNIVEL3]]),"")</f>
        <v/>
      </c>
      <c r="AJ37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78" s="1">
        <f>COUNTIFS(Apresentação!$E$23:$E$29,ESTIMATIVA[[#This Row],[CD_UPNIVEL1]])</f>
        <v>0</v>
      </c>
    </row>
    <row r="379" spans="1:37" x14ac:dyDescent="0.3">
      <c r="A379">
        <v>20314</v>
      </c>
      <c r="B379" t="s">
        <v>27</v>
      </c>
      <c r="C379">
        <v>119</v>
      </c>
      <c r="D379">
        <v>8</v>
      </c>
      <c r="E379" t="s">
        <v>262</v>
      </c>
      <c r="F379" s="85" t="s">
        <v>332</v>
      </c>
      <c r="G379"/>
      <c r="H379" t="s">
        <v>295</v>
      </c>
      <c r="I379" t="s">
        <v>212</v>
      </c>
      <c r="J379" t="s">
        <v>176</v>
      </c>
      <c r="K379" s="1">
        <v>6.76</v>
      </c>
      <c r="L379" s="1">
        <v>6.76</v>
      </c>
      <c r="M379" s="1">
        <v>6.76</v>
      </c>
      <c r="N379" s="1">
        <v>6.76</v>
      </c>
      <c r="O379" s="1">
        <v>486.72</v>
      </c>
      <c r="P379" s="1">
        <v>500.24</v>
      </c>
      <c r="Q379" s="1">
        <v>500.24</v>
      </c>
      <c r="R379" s="1">
        <v>397.41</v>
      </c>
      <c r="S379" t="s">
        <v>12</v>
      </c>
      <c r="T379" s="13">
        <v>45963</v>
      </c>
      <c r="U379" s="1" t="str">
        <f>IF(ESTIMATIVA[[#This Row],[QT_AREA_REAL]]&gt;0,"1- Colhido","2- à Colher")</f>
        <v>1- Colhido</v>
      </c>
      <c r="V379" s="1" t="str">
        <f>IF(ESTIMATIVA[[#This Row],[QT_AREA_REST1]]&gt;0,"Reestimativa 1",IF(ESTIMATIVA[[#This Row],[QT_AREA_REAL]]=0,"Reestimativa 1","Realizado"))</f>
        <v>Reestimativa 1</v>
      </c>
      <c r="W379" s="1" t="str">
        <f>IF(ESTIMATIVA[[#This Row],[QT_AREA_REST2]]&gt;0,"Reestimativa 2",IF(ESTIMATIVA[[#This Row],[QT_AREA_REAL]]=0,"Reestimativa 2","Realizado"))</f>
        <v>Reestimativa 2</v>
      </c>
      <c r="X379" s="1">
        <f>ESTIMATIVA[[#This Row],[QT_AREA_EST]]</f>
        <v>6.76</v>
      </c>
      <c r="Y379" s="1">
        <f>IF(ESTIMATIVA[[#This Row],[QT_AREA_REST1]]&gt;0,ESTIMATIVA[[#This Row],[QT_AREA_REST1]],
  IF(ESTIMATIVA[[#This Row],[QT_AREA_REAL]]&gt;0,ESTIMATIVA[[#This Row],[QT_AREA_REAL]],ESTIMATIVA[[#This Row],[QT_AREA_EST]]))</f>
        <v>6.76</v>
      </c>
      <c r="Z37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6.76</v>
      </c>
      <c r="AA379" s="1">
        <f>ESTIMATIVA[[#This Row],[QT_CANA_EST]]</f>
        <v>486.72</v>
      </c>
      <c r="AB379" s="1">
        <f>IF(ESTIMATIVA[[#This Row],[QT_CANA_REST1]]&gt;0,ESTIMATIVA[[#This Row],[QT_CANA_REST1]],
  IF(ESTIMATIVA[[#This Row],[QT_CANA_REAL]]&gt;0,ESTIMATIVA[[#This Row],[QT_CANA_REAL]],ESTIMATIVA[[#This Row],[QT_CANA_EST]]))</f>
        <v>500.24</v>
      </c>
      <c r="AC37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500.24</v>
      </c>
      <c r="AD379" s="1">
        <f>IF(ESTIMATIVA[[#This Row],[QT_AREA_REAL]]&gt;0,ESTIMATIVA[[#This Row],[QT_CANA_REAL]],ESTIMATIVA[[#This Row],[QT_CANA_EST]])</f>
        <v>397.41</v>
      </c>
      <c r="AE379" s="1">
        <f>IF(ESTIMATIVA[[#This Row],[QT_AREA_REAL]]&gt;0,ESTIMATIVA[[#This Row],[QT_CANA_REAL]],ESTIMATIVA[[#This Row],[QT_CANA_REST1]])</f>
        <v>397.41</v>
      </c>
      <c r="AF379" s="1">
        <f>IF(ESTIMATIVA[[#This Row],[QT_AREA_REAL]]&gt;0,ESTIMATIVA[[#This Row],[QT_CANA_REAL]],ESTIMATIVA[[#This Row],[QT_CANA_REST2]])</f>
        <v>397.41</v>
      </c>
      <c r="AG379" s="1" t="str">
        <f>IF(COUNTIFS(GEADA!A:A,VALUE(ESTIMATIVA[[#This Row],[CD_UPNIVEL1]]&amp;TEXT(ESTIMATIVA[[#This Row],[CD_UPNIVEL3]],"0000")))&gt;0,"S","N")</f>
        <v>N</v>
      </c>
      <c r="AH37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79" s="55" t="str">
        <f>IF(ESTIMATIVA[[#This Row],[TP_CULTIVO]]="Irrigado",_xlfn.MAXIFS(IRRIGADO!J:J,IRRIGADO!C:C,ESTIMATIVA[[#This Row],[CD_UPNIVEL1]],IRRIGADO!E:E,ESTIMATIVA[[#This Row],[CD_UPNIVEL3]]),"")</f>
        <v/>
      </c>
      <c r="AJ37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79" s="1">
        <f>COUNTIFS(Apresentação!$E$23:$E$29,ESTIMATIVA[[#This Row],[CD_UPNIVEL1]])</f>
        <v>0</v>
      </c>
    </row>
    <row r="380" spans="1:37" x14ac:dyDescent="0.3">
      <c r="A380">
        <v>20314</v>
      </c>
      <c r="B380" t="s">
        <v>27</v>
      </c>
      <c r="C380">
        <v>120</v>
      </c>
      <c r="D380">
        <v>8</v>
      </c>
      <c r="E380" t="s">
        <v>262</v>
      </c>
      <c r="F380" s="85" t="s">
        <v>332</v>
      </c>
      <c r="G380"/>
      <c r="H380" t="s">
        <v>295</v>
      </c>
      <c r="I380" t="s">
        <v>212</v>
      </c>
      <c r="J380" t="s">
        <v>176</v>
      </c>
      <c r="K380" s="1">
        <v>4.0999999999999996</v>
      </c>
      <c r="L380" s="1">
        <v>4.0999999999999996</v>
      </c>
      <c r="M380" s="1">
        <v>4.0999999999999996</v>
      </c>
      <c r="N380" s="1">
        <v>4.0999999999999996</v>
      </c>
      <c r="O380" s="1">
        <v>295.2</v>
      </c>
      <c r="P380" s="1">
        <v>303.39999999999998</v>
      </c>
      <c r="Q380" s="1">
        <v>303.39999999999998</v>
      </c>
      <c r="R380" s="1">
        <v>240.81</v>
      </c>
      <c r="S380" t="s">
        <v>12</v>
      </c>
      <c r="T380" s="13">
        <v>45963</v>
      </c>
      <c r="U380" s="1" t="str">
        <f>IF(ESTIMATIVA[[#This Row],[QT_AREA_REAL]]&gt;0,"1- Colhido","2- à Colher")</f>
        <v>1- Colhido</v>
      </c>
      <c r="V380" s="1" t="str">
        <f>IF(ESTIMATIVA[[#This Row],[QT_AREA_REST1]]&gt;0,"Reestimativa 1",IF(ESTIMATIVA[[#This Row],[QT_AREA_REAL]]=0,"Reestimativa 1","Realizado"))</f>
        <v>Reestimativa 1</v>
      </c>
      <c r="W380" s="1" t="str">
        <f>IF(ESTIMATIVA[[#This Row],[QT_AREA_REST2]]&gt;0,"Reestimativa 2",IF(ESTIMATIVA[[#This Row],[QT_AREA_REAL]]=0,"Reestimativa 2","Realizado"))</f>
        <v>Reestimativa 2</v>
      </c>
      <c r="X380" s="1">
        <f>ESTIMATIVA[[#This Row],[QT_AREA_EST]]</f>
        <v>4.0999999999999996</v>
      </c>
      <c r="Y380" s="1">
        <f>IF(ESTIMATIVA[[#This Row],[QT_AREA_REST1]]&gt;0,ESTIMATIVA[[#This Row],[QT_AREA_REST1]],
  IF(ESTIMATIVA[[#This Row],[QT_AREA_REAL]]&gt;0,ESTIMATIVA[[#This Row],[QT_AREA_REAL]],ESTIMATIVA[[#This Row],[QT_AREA_EST]]))</f>
        <v>4.0999999999999996</v>
      </c>
      <c r="Z38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4.0999999999999996</v>
      </c>
      <c r="AA380" s="1">
        <f>ESTIMATIVA[[#This Row],[QT_CANA_EST]]</f>
        <v>295.2</v>
      </c>
      <c r="AB380" s="1">
        <f>IF(ESTIMATIVA[[#This Row],[QT_CANA_REST1]]&gt;0,ESTIMATIVA[[#This Row],[QT_CANA_REST1]],
  IF(ESTIMATIVA[[#This Row],[QT_CANA_REAL]]&gt;0,ESTIMATIVA[[#This Row],[QT_CANA_REAL]],ESTIMATIVA[[#This Row],[QT_CANA_EST]]))</f>
        <v>303.39999999999998</v>
      </c>
      <c r="AC38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303.39999999999998</v>
      </c>
      <c r="AD380" s="1">
        <f>IF(ESTIMATIVA[[#This Row],[QT_AREA_REAL]]&gt;0,ESTIMATIVA[[#This Row],[QT_CANA_REAL]],ESTIMATIVA[[#This Row],[QT_CANA_EST]])</f>
        <v>240.81</v>
      </c>
      <c r="AE380" s="1">
        <f>IF(ESTIMATIVA[[#This Row],[QT_AREA_REAL]]&gt;0,ESTIMATIVA[[#This Row],[QT_CANA_REAL]],ESTIMATIVA[[#This Row],[QT_CANA_REST1]])</f>
        <v>240.81</v>
      </c>
      <c r="AF380" s="1">
        <f>IF(ESTIMATIVA[[#This Row],[QT_AREA_REAL]]&gt;0,ESTIMATIVA[[#This Row],[QT_CANA_REAL]],ESTIMATIVA[[#This Row],[QT_CANA_REST2]])</f>
        <v>240.81</v>
      </c>
      <c r="AG380" s="1" t="str">
        <f>IF(COUNTIFS(GEADA!A:A,VALUE(ESTIMATIVA[[#This Row],[CD_UPNIVEL1]]&amp;TEXT(ESTIMATIVA[[#This Row],[CD_UPNIVEL3]],"0000")))&gt;0,"S","N")</f>
        <v>N</v>
      </c>
      <c r="AH38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80" s="55" t="str">
        <f>IF(ESTIMATIVA[[#This Row],[TP_CULTIVO]]="Irrigado",_xlfn.MAXIFS(IRRIGADO!J:J,IRRIGADO!C:C,ESTIMATIVA[[#This Row],[CD_UPNIVEL1]],IRRIGADO!E:E,ESTIMATIVA[[#This Row],[CD_UPNIVEL3]]),"")</f>
        <v/>
      </c>
      <c r="AJ38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80" s="1">
        <f>COUNTIFS(Apresentação!$E$23:$E$29,ESTIMATIVA[[#This Row],[CD_UPNIVEL1]])</f>
        <v>0</v>
      </c>
    </row>
    <row r="381" spans="1:37" x14ac:dyDescent="0.3">
      <c r="A381">
        <v>20314</v>
      </c>
      <c r="B381" t="s">
        <v>27</v>
      </c>
      <c r="C381">
        <v>121</v>
      </c>
      <c r="D381">
        <v>8</v>
      </c>
      <c r="E381" t="s">
        <v>262</v>
      </c>
      <c r="F381" s="85" t="s">
        <v>332</v>
      </c>
      <c r="G381"/>
      <c r="H381" t="s">
        <v>295</v>
      </c>
      <c r="I381" t="s">
        <v>212</v>
      </c>
      <c r="J381" t="s">
        <v>176</v>
      </c>
      <c r="K381" s="1">
        <v>4.46</v>
      </c>
      <c r="L381" s="1">
        <v>4.46</v>
      </c>
      <c r="M381" s="1">
        <v>4.46</v>
      </c>
      <c r="N381" s="1">
        <v>4.46</v>
      </c>
      <c r="O381" s="1">
        <v>321.12</v>
      </c>
      <c r="P381" s="1">
        <v>330.04</v>
      </c>
      <c r="Q381" s="1">
        <v>330.04</v>
      </c>
      <c r="R381" s="1">
        <v>262.27999999999997</v>
      </c>
      <c r="S381" t="s">
        <v>12</v>
      </c>
      <c r="T381" s="13">
        <v>45963</v>
      </c>
      <c r="U381" s="1" t="str">
        <f>IF(ESTIMATIVA[[#This Row],[QT_AREA_REAL]]&gt;0,"1- Colhido","2- à Colher")</f>
        <v>1- Colhido</v>
      </c>
      <c r="V381" s="1" t="str">
        <f>IF(ESTIMATIVA[[#This Row],[QT_AREA_REST1]]&gt;0,"Reestimativa 1",IF(ESTIMATIVA[[#This Row],[QT_AREA_REAL]]=0,"Reestimativa 1","Realizado"))</f>
        <v>Reestimativa 1</v>
      </c>
      <c r="W381" s="1" t="str">
        <f>IF(ESTIMATIVA[[#This Row],[QT_AREA_REST2]]&gt;0,"Reestimativa 2",IF(ESTIMATIVA[[#This Row],[QT_AREA_REAL]]=0,"Reestimativa 2","Realizado"))</f>
        <v>Reestimativa 2</v>
      </c>
      <c r="X381" s="1">
        <f>ESTIMATIVA[[#This Row],[QT_AREA_EST]]</f>
        <v>4.46</v>
      </c>
      <c r="Y381" s="1">
        <f>IF(ESTIMATIVA[[#This Row],[QT_AREA_REST1]]&gt;0,ESTIMATIVA[[#This Row],[QT_AREA_REST1]],
  IF(ESTIMATIVA[[#This Row],[QT_AREA_REAL]]&gt;0,ESTIMATIVA[[#This Row],[QT_AREA_REAL]],ESTIMATIVA[[#This Row],[QT_AREA_EST]]))</f>
        <v>4.46</v>
      </c>
      <c r="Z38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4.46</v>
      </c>
      <c r="AA381" s="1">
        <f>ESTIMATIVA[[#This Row],[QT_CANA_EST]]</f>
        <v>321.12</v>
      </c>
      <c r="AB381" s="1">
        <f>IF(ESTIMATIVA[[#This Row],[QT_CANA_REST1]]&gt;0,ESTIMATIVA[[#This Row],[QT_CANA_REST1]],
  IF(ESTIMATIVA[[#This Row],[QT_CANA_REAL]]&gt;0,ESTIMATIVA[[#This Row],[QT_CANA_REAL]],ESTIMATIVA[[#This Row],[QT_CANA_EST]]))</f>
        <v>330.04</v>
      </c>
      <c r="AC38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330.04</v>
      </c>
      <c r="AD381" s="1">
        <f>IF(ESTIMATIVA[[#This Row],[QT_AREA_REAL]]&gt;0,ESTIMATIVA[[#This Row],[QT_CANA_REAL]],ESTIMATIVA[[#This Row],[QT_CANA_EST]])</f>
        <v>262.27999999999997</v>
      </c>
      <c r="AE381" s="1">
        <f>IF(ESTIMATIVA[[#This Row],[QT_AREA_REAL]]&gt;0,ESTIMATIVA[[#This Row],[QT_CANA_REAL]],ESTIMATIVA[[#This Row],[QT_CANA_REST1]])</f>
        <v>262.27999999999997</v>
      </c>
      <c r="AF381" s="1">
        <f>IF(ESTIMATIVA[[#This Row],[QT_AREA_REAL]]&gt;0,ESTIMATIVA[[#This Row],[QT_CANA_REAL]],ESTIMATIVA[[#This Row],[QT_CANA_REST2]])</f>
        <v>262.27999999999997</v>
      </c>
      <c r="AG381" s="1" t="str">
        <f>IF(COUNTIFS(GEADA!A:A,VALUE(ESTIMATIVA[[#This Row],[CD_UPNIVEL1]]&amp;TEXT(ESTIMATIVA[[#This Row],[CD_UPNIVEL3]],"0000")))&gt;0,"S","N")</f>
        <v>N</v>
      </c>
      <c r="AH38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81" s="55" t="str">
        <f>IF(ESTIMATIVA[[#This Row],[TP_CULTIVO]]="Irrigado",_xlfn.MAXIFS(IRRIGADO!J:J,IRRIGADO!C:C,ESTIMATIVA[[#This Row],[CD_UPNIVEL1]],IRRIGADO!E:E,ESTIMATIVA[[#This Row],[CD_UPNIVEL3]]),"")</f>
        <v/>
      </c>
      <c r="AJ38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81" s="1">
        <f>COUNTIFS(Apresentação!$E$23:$E$29,ESTIMATIVA[[#This Row],[CD_UPNIVEL1]])</f>
        <v>0</v>
      </c>
    </row>
    <row r="382" spans="1:37" x14ac:dyDescent="0.3">
      <c r="A382">
        <v>20314</v>
      </c>
      <c r="B382" t="s">
        <v>27</v>
      </c>
      <c r="C382">
        <v>122</v>
      </c>
      <c r="D382">
        <v>8</v>
      </c>
      <c r="E382" t="s">
        <v>262</v>
      </c>
      <c r="F382" s="85" t="s">
        <v>332</v>
      </c>
      <c r="G382"/>
      <c r="H382" t="s">
        <v>295</v>
      </c>
      <c r="I382" t="s">
        <v>212</v>
      </c>
      <c r="J382" t="s">
        <v>176</v>
      </c>
      <c r="K382" s="1">
        <v>7.37</v>
      </c>
      <c r="L382" s="1">
        <v>7.37</v>
      </c>
      <c r="M382" s="1">
        <v>7.37</v>
      </c>
      <c r="N382" s="1">
        <v>7.37</v>
      </c>
      <c r="O382" s="1">
        <v>530.64</v>
      </c>
      <c r="P382" s="1">
        <v>545.38</v>
      </c>
      <c r="Q382" s="1">
        <v>545.38</v>
      </c>
      <c r="R382" s="1">
        <v>433.18</v>
      </c>
      <c r="S382" t="s">
        <v>12</v>
      </c>
      <c r="T382" s="13">
        <v>45963</v>
      </c>
      <c r="U382" s="1" t="str">
        <f>IF(ESTIMATIVA[[#This Row],[QT_AREA_REAL]]&gt;0,"1- Colhido","2- à Colher")</f>
        <v>1- Colhido</v>
      </c>
      <c r="V382" s="1" t="str">
        <f>IF(ESTIMATIVA[[#This Row],[QT_AREA_REST1]]&gt;0,"Reestimativa 1",IF(ESTIMATIVA[[#This Row],[QT_AREA_REAL]]=0,"Reestimativa 1","Realizado"))</f>
        <v>Reestimativa 1</v>
      </c>
      <c r="W382" s="1" t="str">
        <f>IF(ESTIMATIVA[[#This Row],[QT_AREA_REST2]]&gt;0,"Reestimativa 2",IF(ESTIMATIVA[[#This Row],[QT_AREA_REAL]]=0,"Reestimativa 2","Realizado"))</f>
        <v>Reestimativa 2</v>
      </c>
      <c r="X382" s="1">
        <f>ESTIMATIVA[[#This Row],[QT_AREA_EST]]</f>
        <v>7.37</v>
      </c>
      <c r="Y382" s="1">
        <f>IF(ESTIMATIVA[[#This Row],[QT_AREA_REST1]]&gt;0,ESTIMATIVA[[#This Row],[QT_AREA_REST1]],
  IF(ESTIMATIVA[[#This Row],[QT_AREA_REAL]]&gt;0,ESTIMATIVA[[#This Row],[QT_AREA_REAL]],ESTIMATIVA[[#This Row],[QT_AREA_EST]]))</f>
        <v>7.37</v>
      </c>
      <c r="Z38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7.37</v>
      </c>
      <c r="AA382" s="1">
        <f>ESTIMATIVA[[#This Row],[QT_CANA_EST]]</f>
        <v>530.64</v>
      </c>
      <c r="AB382" s="1">
        <f>IF(ESTIMATIVA[[#This Row],[QT_CANA_REST1]]&gt;0,ESTIMATIVA[[#This Row],[QT_CANA_REST1]],
  IF(ESTIMATIVA[[#This Row],[QT_CANA_REAL]]&gt;0,ESTIMATIVA[[#This Row],[QT_CANA_REAL]],ESTIMATIVA[[#This Row],[QT_CANA_EST]]))</f>
        <v>545.38</v>
      </c>
      <c r="AC38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545.38</v>
      </c>
      <c r="AD382" s="1">
        <f>IF(ESTIMATIVA[[#This Row],[QT_AREA_REAL]]&gt;0,ESTIMATIVA[[#This Row],[QT_CANA_REAL]],ESTIMATIVA[[#This Row],[QT_CANA_EST]])</f>
        <v>433.18</v>
      </c>
      <c r="AE382" s="1">
        <f>IF(ESTIMATIVA[[#This Row],[QT_AREA_REAL]]&gt;0,ESTIMATIVA[[#This Row],[QT_CANA_REAL]],ESTIMATIVA[[#This Row],[QT_CANA_REST1]])</f>
        <v>433.18</v>
      </c>
      <c r="AF382" s="1">
        <f>IF(ESTIMATIVA[[#This Row],[QT_AREA_REAL]]&gt;0,ESTIMATIVA[[#This Row],[QT_CANA_REAL]],ESTIMATIVA[[#This Row],[QT_CANA_REST2]])</f>
        <v>433.18</v>
      </c>
      <c r="AG382" s="1" t="str">
        <f>IF(COUNTIFS(GEADA!A:A,VALUE(ESTIMATIVA[[#This Row],[CD_UPNIVEL1]]&amp;TEXT(ESTIMATIVA[[#This Row],[CD_UPNIVEL3]],"0000")))&gt;0,"S","N")</f>
        <v>N</v>
      </c>
      <c r="AH38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82" s="55" t="str">
        <f>IF(ESTIMATIVA[[#This Row],[TP_CULTIVO]]="Irrigado",_xlfn.MAXIFS(IRRIGADO!J:J,IRRIGADO!C:C,ESTIMATIVA[[#This Row],[CD_UPNIVEL1]],IRRIGADO!E:E,ESTIMATIVA[[#This Row],[CD_UPNIVEL3]]),"")</f>
        <v/>
      </c>
      <c r="AJ38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82" s="1">
        <f>COUNTIFS(Apresentação!$E$23:$E$29,ESTIMATIVA[[#This Row],[CD_UPNIVEL1]])</f>
        <v>0</v>
      </c>
    </row>
    <row r="383" spans="1:37" x14ac:dyDescent="0.3">
      <c r="A383">
        <v>20314</v>
      </c>
      <c r="B383" t="s">
        <v>27</v>
      </c>
      <c r="C383">
        <v>123</v>
      </c>
      <c r="D383">
        <v>8</v>
      </c>
      <c r="E383" t="s">
        <v>262</v>
      </c>
      <c r="F383" s="85" t="s">
        <v>332</v>
      </c>
      <c r="G383"/>
      <c r="H383" t="s">
        <v>295</v>
      </c>
      <c r="I383" t="s">
        <v>212</v>
      </c>
      <c r="J383" t="s">
        <v>176</v>
      </c>
      <c r="K383" s="1">
        <v>4.96</v>
      </c>
      <c r="L383" s="1">
        <v>4.96</v>
      </c>
      <c r="M383" s="1">
        <v>4.96</v>
      </c>
      <c r="N383" s="1">
        <v>4.96</v>
      </c>
      <c r="O383" s="1">
        <v>357.12</v>
      </c>
      <c r="P383" s="1">
        <v>367.04</v>
      </c>
      <c r="Q383" s="1">
        <v>347.2</v>
      </c>
      <c r="R383" s="1">
        <v>275.77999999999997</v>
      </c>
      <c r="S383" t="s">
        <v>12</v>
      </c>
      <c r="T383" s="13">
        <v>45963</v>
      </c>
      <c r="U383" s="1" t="str">
        <f>IF(ESTIMATIVA[[#This Row],[QT_AREA_REAL]]&gt;0,"1- Colhido","2- à Colher")</f>
        <v>1- Colhido</v>
      </c>
      <c r="V383" s="1" t="str">
        <f>IF(ESTIMATIVA[[#This Row],[QT_AREA_REST1]]&gt;0,"Reestimativa 1",IF(ESTIMATIVA[[#This Row],[QT_AREA_REAL]]=0,"Reestimativa 1","Realizado"))</f>
        <v>Reestimativa 1</v>
      </c>
      <c r="W383" s="1" t="str">
        <f>IF(ESTIMATIVA[[#This Row],[QT_AREA_REST2]]&gt;0,"Reestimativa 2",IF(ESTIMATIVA[[#This Row],[QT_AREA_REAL]]=0,"Reestimativa 2","Realizado"))</f>
        <v>Reestimativa 2</v>
      </c>
      <c r="X383" s="1">
        <f>ESTIMATIVA[[#This Row],[QT_AREA_EST]]</f>
        <v>4.96</v>
      </c>
      <c r="Y383" s="1">
        <f>IF(ESTIMATIVA[[#This Row],[QT_AREA_REST1]]&gt;0,ESTIMATIVA[[#This Row],[QT_AREA_REST1]],
  IF(ESTIMATIVA[[#This Row],[QT_AREA_REAL]]&gt;0,ESTIMATIVA[[#This Row],[QT_AREA_REAL]],ESTIMATIVA[[#This Row],[QT_AREA_EST]]))</f>
        <v>4.96</v>
      </c>
      <c r="Z38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4.96</v>
      </c>
      <c r="AA383" s="1">
        <f>ESTIMATIVA[[#This Row],[QT_CANA_EST]]</f>
        <v>357.12</v>
      </c>
      <c r="AB383" s="1">
        <f>IF(ESTIMATIVA[[#This Row],[QT_CANA_REST1]]&gt;0,ESTIMATIVA[[#This Row],[QT_CANA_REST1]],
  IF(ESTIMATIVA[[#This Row],[QT_CANA_REAL]]&gt;0,ESTIMATIVA[[#This Row],[QT_CANA_REAL]],ESTIMATIVA[[#This Row],[QT_CANA_EST]]))</f>
        <v>367.04</v>
      </c>
      <c r="AC38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347.2</v>
      </c>
      <c r="AD383" s="1">
        <f>IF(ESTIMATIVA[[#This Row],[QT_AREA_REAL]]&gt;0,ESTIMATIVA[[#This Row],[QT_CANA_REAL]],ESTIMATIVA[[#This Row],[QT_CANA_EST]])</f>
        <v>275.77999999999997</v>
      </c>
      <c r="AE383" s="1">
        <f>IF(ESTIMATIVA[[#This Row],[QT_AREA_REAL]]&gt;0,ESTIMATIVA[[#This Row],[QT_CANA_REAL]],ESTIMATIVA[[#This Row],[QT_CANA_REST1]])</f>
        <v>275.77999999999997</v>
      </c>
      <c r="AF383" s="1">
        <f>IF(ESTIMATIVA[[#This Row],[QT_AREA_REAL]]&gt;0,ESTIMATIVA[[#This Row],[QT_CANA_REAL]],ESTIMATIVA[[#This Row],[QT_CANA_REST2]])</f>
        <v>275.77999999999997</v>
      </c>
      <c r="AG383" s="1" t="str">
        <f>IF(COUNTIFS(GEADA!A:A,VALUE(ESTIMATIVA[[#This Row],[CD_UPNIVEL1]]&amp;TEXT(ESTIMATIVA[[#This Row],[CD_UPNIVEL3]],"0000")))&gt;0,"S","N")</f>
        <v>N</v>
      </c>
      <c r="AH38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83" s="55" t="str">
        <f>IF(ESTIMATIVA[[#This Row],[TP_CULTIVO]]="Irrigado",_xlfn.MAXIFS(IRRIGADO!J:J,IRRIGADO!C:C,ESTIMATIVA[[#This Row],[CD_UPNIVEL1]],IRRIGADO!E:E,ESTIMATIVA[[#This Row],[CD_UPNIVEL3]]),"")</f>
        <v/>
      </c>
      <c r="AJ38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83" s="1">
        <f>COUNTIFS(Apresentação!$E$23:$E$29,ESTIMATIVA[[#This Row],[CD_UPNIVEL1]])</f>
        <v>0</v>
      </c>
    </row>
    <row r="384" spans="1:37" x14ac:dyDescent="0.3">
      <c r="A384">
        <v>20314</v>
      </c>
      <c r="B384" t="s">
        <v>27</v>
      </c>
      <c r="C384">
        <v>124</v>
      </c>
      <c r="D384">
        <v>8</v>
      </c>
      <c r="E384" t="s">
        <v>262</v>
      </c>
      <c r="F384" s="85" t="s">
        <v>332</v>
      </c>
      <c r="G384"/>
      <c r="H384" t="s">
        <v>295</v>
      </c>
      <c r="I384" t="s">
        <v>212</v>
      </c>
      <c r="J384" t="s">
        <v>176</v>
      </c>
      <c r="K384" s="1">
        <v>9.34</v>
      </c>
      <c r="L384" s="1">
        <v>9.34</v>
      </c>
      <c r="M384" s="1">
        <v>9.34</v>
      </c>
      <c r="N384" s="1">
        <v>9.34</v>
      </c>
      <c r="O384" s="1">
        <v>672.48</v>
      </c>
      <c r="P384" s="1">
        <v>691.16</v>
      </c>
      <c r="Q384" s="1">
        <v>653.79999999999995</v>
      </c>
      <c r="R384" s="1">
        <v>519.82000000000005</v>
      </c>
      <c r="S384" t="s">
        <v>12</v>
      </c>
      <c r="T384" s="13">
        <v>45963</v>
      </c>
      <c r="U384" s="1" t="str">
        <f>IF(ESTIMATIVA[[#This Row],[QT_AREA_REAL]]&gt;0,"1- Colhido","2- à Colher")</f>
        <v>1- Colhido</v>
      </c>
      <c r="V384" s="1" t="str">
        <f>IF(ESTIMATIVA[[#This Row],[QT_AREA_REST1]]&gt;0,"Reestimativa 1",IF(ESTIMATIVA[[#This Row],[QT_AREA_REAL]]=0,"Reestimativa 1","Realizado"))</f>
        <v>Reestimativa 1</v>
      </c>
      <c r="W384" s="1" t="str">
        <f>IF(ESTIMATIVA[[#This Row],[QT_AREA_REST2]]&gt;0,"Reestimativa 2",IF(ESTIMATIVA[[#This Row],[QT_AREA_REAL]]=0,"Reestimativa 2","Realizado"))</f>
        <v>Reestimativa 2</v>
      </c>
      <c r="X384" s="1">
        <f>ESTIMATIVA[[#This Row],[QT_AREA_EST]]</f>
        <v>9.34</v>
      </c>
      <c r="Y384" s="1">
        <f>IF(ESTIMATIVA[[#This Row],[QT_AREA_REST1]]&gt;0,ESTIMATIVA[[#This Row],[QT_AREA_REST1]],
  IF(ESTIMATIVA[[#This Row],[QT_AREA_REAL]]&gt;0,ESTIMATIVA[[#This Row],[QT_AREA_REAL]],ESTIMATIVA[[#This Row],[QT_AREA_EST]]))</f>
        <v>9.34</v>
      </c>
      <c r="Z38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9.34</v>
      </c>
      <c r="AA384" s="1">
        <f>ESTIMATIVA[[#This Row],[QT_CANA_EST]]</f>
        <v>672.48</v>
      </c>
      <c r="AB384" s="1">
        <f>IF(ESTIMATIVA[[#This Row],[QT_CANA_REST1]]&gt;0,ESTIMATIVA[[#This Row],[QT_CANA_REST1]],
  IF(ESTIMATIVA[[#This Row],[QT_CANA_REAL]]&gt;0,ESTIMATIVA[[#This Row],[QT_CANA_REAL]],ESTIMATIVA[[#This Row],[QT_CANA_EST]]))</f>
        <v>691.16</v>
      </c>
      <c r="AC38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653.79999999999995</v>
      </c>
      <c r="AD384" s="1">
        <f>IF(ESTIMATIVA[[#This Row],[QT_AREA_REAL]]&gt;0,ESTIMATIVA[[#This Row],[QT_CANA_REAL]],ESTIMATIVA[[#This Row],[QT_CANA_EST]])</f>
        <v>519.82000000000005</v>
      </c>
      <c r="AE384" s="1">
        <f>IF(ESTIMATIVA[[#This Row],[QT_AREA_REAL]]&gt;0,ESTIMATIVA[[#This Row],[QT_CANA_REAL]],ESTIMATIVA[[#This Row],[QT_CANA_REST1]])</f>
        <v>519.82000000000005</v>
      </c>
      <c r="AF384" s="1">
        <f>IF(ESTIMATIVA[[#This Row],[QT_AREA_REAL]]&gt;0,ESTIMATIVA[[#This Row],[QT_CANA_REAL]],ESTIMATIVA[[#This Row],[QT_CANA_REST2]])</f>
        <v>519.82000000000005</v>
      </c>
      <c r="AG384" s="1" t="str">
        <f>IF(COUNTIFS(GEADA!A:A,VALUE(ESTIMATIVA[[#This Row],[CD_UPNIVEL1]]&amp;TEXT(ESTIMATIVA[[#This Row],[CD_UPNIVEL3]],"0000")))&gt;0,"S","N")</f>
        <v>N</v>
      </c>
      <c r="AH38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84" s="55" t="str">
        <f>IF(ESTIMATIVA[[#This Row],[TP_CULTIVO]]="Irrigado",_xlfn.MAXIFS(IRRIGADO!J:J,IRRIGADO!C:C,ESTIMATIVA[[#This Row],[CD_UPNIVEL1]],IRRIGADO!E:E,ESTIMATIVA[[#This Row],[CD_UPNIVEL3]]),"")</f>
        <v/>
      </c>
      <c r="AJ38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84" s="1">
        <f>COUNTIFS(Apresentação!$E$23:$E$29,ESTIMATIVA[[#This Row],[CD_UPNIVEL1]])</f>
        <v>0</v>
      </c>
    </row>
    <row r="385" spans="1:37" x14ac:dyDescent="0.3">
      <c r="A385">
        <v>20314</v>
      </c>
      <c r="B385" t="s">
        <v>27</v>
      </c>
      <c r="C385">
        <v>125</v>
      </c>
      <c r="D385">
        <v>8</v>
      </c>
      <c r="E385" t="s">
        <v>262</v>
      </c>
      <c r="F385" s="85" t="s">
        <v>332</v>
      </c>
      <c r="G385"/>
      <c r="H385" t="s">
        <v>295</v>
      </c>
      <c r="I385" t="s">
        <v>212</v>
      </c>
      <c r="J385" t="s">
        <v>176</v>
      </c>
      <c r="K385" s="1">
        <v>3.32</v>
      </c>
      <c r="L385" s="1">
        <v>3.32</v>
      </c>
      <c r="M385" s="1">
        <v>3.32</v>
      </c>
      <c r="N385" s="1">
        <v>3.32</v>
      </c>
      <c r="O385" s="1">
        <v>239.04</v>
      </c>
      <c r="P385" s="1">
        <v>245.68</v>
      </c>
      <c r="Q385" s="1">
        <v>209.16</v>
      </c>
      <c r="R385" s="1">
        <v>166.54</v>
      </c>
      <c r="S385" t="s">
        <v>12</v>
      </c>
      <c r="T385" s="13">
        <v>45963</v>
      </c>
      <c r="U385" s="1" t="str">
        <f>IF(ESTIMATIVA[[#This Row],[QT_AREA_REAL]]&gt;0,"1- Colhido","2- à Colher")</f>
        <v>1- Colhido</v>
      </c>
      <c r="V385" s="1" t="str">
        <f>IF(ESTIMATIVA[[#This Row],[QT_AREA_REST1]]&gt;0,"Reestimativa 1",IF(ESTIMATIVA[[#This Row],[QT_AREA_REAL]]=0,"Reestimativa 1","Realizado"))</f>
        <v>Reestimativa 1</v>
      </c>
      <c r="W385" s="1" t="str">
        <f>IF(ESTIMATIVA[[#This Row],[QT_AREA_REST2]]&gt;0,"Reestimativa 2",IF(ESTIMATIVA[[#This Row],[QT_AREA_REAL]]=0,"Reestimativa 2","Realizado"))</f>
        <v>Reestimativa 2</v>
      </c>
      <c r="X385" s="1">
        <f>ESTIMATIVA[[#This Row],[QT_AREA_EST]]</f>
        <v>3.32</v>
      </c>
      <c r="Y385" s="1">
        <f>IF(ESTIMATIVA[[#This Row],[QT_AREA_REST1]]&gt;0,ESTIMATIVA[[#This Row],[QT_AREA_REST1]],
  IF(ESTIMATIVA[[#This Row],[QT_AREA_REAL]]&gt;0,ESTIMATIVA[[#This Row],[QT_AREA_REAL]],ESTIMATIVA[[#This Row],[QT_AREA_EST]]))</f>
        <v>3.32</v>
      </c>
      <c r="Z38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3.32</v>
      </c>
      <c r="AA385" s="1">
        <f>ESTIMATIVA[[#This Row],[QT_CANA_EST]]</f>
        <v>239.04</v>
      </c>
      <c r="AB385" s="1">
        <f>IF(ESTIMATIVA[[#This Row],[QT_CANA_REST1]]&gt;0,ESTIMATIVA[[#This Row],[QT_CANA_REST1]],
  IF(ESTIMATIVA[[#This Row],[QT_CANA_REAL]]&gt;0,ESTIMATIVA[[#This Row],[QT_CANA_REAL]],ESTIMATIVA[[#This Row],[QT_CANA_EST]]))</f>
        <v>245.68</v>
      </c>
      <c r="AC38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209.16</v>
      </c>
      <c r="AD385" s="1">
        <f>IF(ESTIMATIVA[[#This Row],[QT_AREA_REAL]]&gt;0,ESTIMATIVA[[#This Row],[QT_CANA_REAL]],ESTIMATIVA[[#This Row],[QT_CANA_EST]])</f>
        <v>166.54</v>
      </c>
      <c r="AE385" s="1">
        <f>IF(ESTIMATIVA[[#This Row],[QT_AREA_REAL]]&gt;0,ESTIMATIVA[[#This Row],[QT_CANA_REAL]],ESTIMATIVA[[#This Row],[QT_CANA_REST1]])</f>
        <v>166.54</v>
      </c>
      <c r="AF385" s="1">
        <f>IF(ESTIMATIVA[[#This Row],[QT_AREA_REAL]]&gt;0,ESTIMATIVA[[#This Row],[QT_CANA_REAL]],ESTIMATIVA[[#This Row],[QT_CANA_REST2]])</f>
        <v>166.54</v>
      </c>
      <c r="AG385" s="1" t="str">
        <f>IF(COUNTIFS(GEADA!A:A,VALUE(ESTIMATIVA[[#This Row],[CD_UPNIVEL1]]&amp;TEXT(ESTIMATIVA[[#This Row],[CD_UPNIVEL3]],"0000")))&gt;0,"S","N")</f>
        <v>N</v>
      </c>
      <c r="AH38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85" s="55" t="str">
        <f>IF(ESTIMATIVA[[#This Row],[TP_CULTIVO]]="Irrigado",_xlfn.MAXIFS(IRRIGADO!J:J,IRRIGADO!C:C,ESTIMATIVA[[#This Row],[CD_UPNIVEL1]],IRRIGADO!E:E,ESTIMATIVA[[#This Row],[CD_UPNIVEL3]]),"")</f>
        <v/>
      </c>
      <c r="AJ38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85" s="1">
        <f>COUNTIFS(Apresentação!$E$23:$E$29,ESTIMATIVA[[#This Row],[CD_UPNIVEL1]])</f>
        <v>0</v>
      </c>
    </row>
    <row r="386" spans="1:37" x14ac:dyDescent="0.3">
      <c r="A386">
        <v>20314</v>
      </c>
      <c r="B386" t="s">
        <v>27</v>
      </c>
      <c r="C386">
        <v>126</v>
      </c>
      <c r="D386">
        <v>8</v>
      </c>
      <c r="E386" t="s">
        <v>262</v>
      </c>
      <c r="F386" s="85" t="s">
        <v>332</v>
      </c>
      <c r="G386"/>
      <c r="H386" t="s">
        <v>295</v>
      </c>
      <c r="I386" t="s">
        <v>212</v>
      </c>
      <c r="J386" t="s">
        <v>176</v>
      </c>
      <c r="K386" s="1">
        <v>11.26</v>
      </c>
      <c r="L386" s="1">
        <v>11.26</v>
      </c>
      <c r="M386" s="1">
        <v>11.26</v>
      </c>
      <c r="N386" s="1">
        <v>11.26</v>
      </c>
      <c r="O386" s="1">
        <v>810.72</v>
      </c>
      <c r="P386" s="1">
        <v>833.24</v>
      </c>
      <c r="Q386" s="1">
        <v>709.38</v>
      </c>
      <c r="R386" s="1">
        <v>481.04</v>
      </c>
      <c r="S386" t="s">
        <v>12</v>
      </c>
      <c r="T386" s="13">
        <v>45963</v>
      </c>
      <c r="U386" s="1" t="str">
        <f>IF(ESTIMATIVA[[#This Row],[QT_AREA_REAL]]&gt;0,"1- Colhido","2- à Colher")</f>
        <v>1- Colhido</v>
      </c>
      <c r="V386" s="1" t="str">
        <f>IF(ESTIMATIVA[[#This Row],[QT_AREA_REST1]]&gt;0,"Reestimativa 1",IF(ESTIMATIVA[[#This Row],[QT_AREA_REAL]]=0,"Reestimativa 1","Realizado"))</f>
        <v>Reestimativa 1</v>
      </c>
      <c r="W386" s="1" t="str">
        <f>IF(ESTIMATIVA[[#This Row],[QT_AREA_REST2]]&gt;0,"Reestimativa 2",IF(ESTIMATIVA[[#This Row],[QT_AREA_REAL]]=0,"Reestimativa 2","Realizado"))</f>
        <v>Reestimativa 2</v>
      </c>
      <c r="X386" s="1">
        <f>ESTIMATIVA[[#This Row],[QT_AREA_EST]]</f>
        <v>11.26</v>
      </c>
      <c r="Y386" s="1">
        <f>IF(ESTIMATIVA[[#This Row],[QT_AREA_REST1]]&gt;0,ESTIMATIVA[[#This Row],[QT_AREA_REST1]],
  IF(ESTIMATIVA[[#This Row],[QT_AREA_REAL]]&gt;0,ESTIMATIVA[[#This Row],[QT_AREA_REAL]],ESTIMATIVA[[#This Row],[QT_AREA_EST]]))</f>
        <v>11.26</v>
      </c>
      <c r="Z38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11.26</v>
      </c>
      <c r="AA386" s="1">
        <f>ESTIMATIVA[[#This Row],[QT_CANA_EST]]</f>
        <v>810.72</v>
      </c>
      <c r="AB386" s="1">
        <f>IF(ESTIMATIVA[[#This Row],[QT_CANA_REST1]]&gt;0,ESTIMATIVA[[#This Row],[QT_CANA_REST1]],
  IF(ESTIMATIVA[[#This Row],[QT_CANA_REAL]]&gt;0,ESTIMATIVA[[#This Row],[QT_CANA_REAL]],ESTIMATIVA[[#This Row],[QT_CANA_EST]]))</f>
        <v>833.24</v>
      </c>
      <c r="AC38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709.38</v>
      </c>
      <c r="AD386" s="1">
        <f>IF(ESTIMATIVA[[#This Row],[QT_AREA_REAL]]&gt;0,ESTIMATIVA[[#This Row],[QT_CANA_REAL]],ESTIMATIVA[[#This Row],[QT_CANA_EST]])</f>
        <v>481.04</v>
      </c>
      <c r="AE386" s="1">
        <f>IF(ESTIMATIVA[[#This Row],[QT_AREA_REAL]]&gt;0,ESTIMATIVA[[#This Row],[QT_CANA_REAL]],ESTIMATIVA[[#This Row],[QT_CANA_REST1]])</f>
        <v>481.04</v>
      </c>
      <c r="AF386" s="1">
        <f>IF(ESTIMATIVA[[#This Row],[QT_AREA_REAL]]&gt;0,ESTIMATIVA[[#This Row],[QT_CANA_REAL]],ESTIMATIVA[[#This Row],[QT_CANA_REST2]])</f>
        <v>481.04</v>
      </c>
      <c r="AG386" s="1" t="str">
        <f>IF(COUNTIFS(GEADA!A:A,VALUE(ESTIMATIVA[[#This Row],[CD_UPNIVEL1]]&amp;TEXT(ESTIMATIVA[[#This Row],[CD_UPNIVEL3]],"0000")))&gt;0,"S","N")</f>
        <v>N</v>
      </c>
      <c r="AH38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86" s="55" t="str">
        <f>IF(ESTIMATIVA[[#This Row],[TP_CULTIVO]]="Irrigado",_xlfn.MAXIFS(IRRIGADO!J:J,IRRIGADO!C:C,ESTIMATIVA[[#This Row],[CD_UPNIVEL1]],IRRIGADO!E:E,ESTIMATIVA[[#This Row],[CD_UPNIVEL3]]),"")</f>
        <v/>
      </c>
      <c r="AJ38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86" s="1">
        <f>COUNTIFS(Apresentação!$E$23:$E$29,ESTIMATIVA[[#This Row],[CD_UPNIVEL1]])</f>
        <v>0</v>
      </c>
    </row>
    <row r="387" spans="1:37" x14ac:dyDescent="0.3">
      <c r="A387">
        <v>20314</v>
      </c>
      <c r="B387" t="s">
        <v>27</v>
      </c>
      <c r="C387">
        <v>127</v>
      </c>
      <c r="D387">
        <v>8</v>
      </c>
      <c r="E387" t="s">
        <v>262</v>
      </c>
      <c r="F387" s="85" t="s">
        <v>332</v>
      </c>
      <c r="G387"/>
      <c r="H387" t="s">
        <v>295</v>
      </c>
      <c r="I387" t="s">
        <v>212</v>
      </c>
      <c r="J387" t="s">
        <v>176</v>
      </c>
      <c r="K387" s="1">
        <v>4.53</v>
      </c>
      <c r="L387" s="1">
        <v>4.53</v>
      </c>
      <c r="M387" s="1">
        <v>4.53</v>
      </c>
      <c r="N387" s="1">
        <v>4.53</v>
      </c>
      <c r="O387" s="1">
        <v>326.16000000000003</v>
      </c>
      <c r="P387" s="1">
        <v>335.22</v>
      </c>
      <c r="Q387" s="1">
        <v>285.39</v>
      </c>
      <c r="R387" s="1">
        <v>193.35</v>
      </c>
      <c r="S387" t="s">
        <v>12</v>
      </c>
      <c r="T387" s="13">
        <v>45963</v>
      </c>
      <c r="U387" s="1" t="str">
        <f>IF(ESTIMATIVA[[#This Row],[QT_AREA_REAL]]&gt;0,"1- Colhido","2- à Colher")</f>
        <v>1- Colhido</v>
      </c>
      <c r="V387" s="1" t="str">
        <f>IF(ESTIMATIVA[[#This Row],[QT_AREA_REST1]]&gt;0,"Reestimativa 1",IF(ESTIMATIVA[[#This Row],[QT_AREA_REAL]]=0,"Reestimativa 1","Realizado"))</f>
        <v>Reestimativa 1</v>
      </c>
      <c r="W387" s="1" t="str">
        <f>IF(ESTIMATIVA[[#This Row],[QT_AREA_REST2]]&gt;0,"Reestimativa 2",IF(ESTIMATIVA[[#This Row],[QT_AREA_REAL]]=0,"Reestimativa 2","Realizado"))</f>
        <v>Reestimativa 2</v>
      </c>
      <c r="X387" s="1">
        <f>ESTIMATIVA[[#This Row],[QT_AREA_EST]]</f>
        <v>4.53</v>
      </c>
      <c r="Y387" s="1">
        <f>IF(ESTIMATIVA[[#This Row],[QT_AREA_REST1]]&gt;0,ESTIMATIVA[[#This Row],[QT_AREA_REST1]],
  IF(ESTIMATIVA[[#This Row],[QT_AREA_REAL]]&gt;0,ESTIMATIVA[[#This Row],[QT_AREA_REAL]],ESTIMATIVA[[#This Row],[QT_AREA_EST]]))</f>
        <v>4.53</v>
      </c>
      <c r="Z38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4.53</v>
      </c>
      <c r="AA387" s="1">
        <f>ESTIMATIVA[[#This Row],[QT_CANA_EST]]</f>
        <v>326.16000000000003</v>
      </c>
      <c r="AB387" s="1">
        <f>IF(ESTIMATIVA[[#This Row],[QT_CANA_REST1]]&gt;0,ESTIMATIVA[[#This Row],[QT_CANA_REST1]],
  IF(ESTIMATIVA[[#This Row],[QT_CANA_REAL]]&gt;0,ESTIMATIVA[[#This Row],[QT_CANA_REAL]],ESTIMATIVA[[#This Row],[QT_CANA_EST]]))</f>
        <v>335.22</v>
      </c>
      <c r="AC38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285.39</v>
      </c>
      <c r="AD387" s="1">
        <f>IF(ESTIMATIVA[[#This Row],[QT_AREA_REAL]]&gt;0,ESTIMATIVA[[#This Row],[QT_CANA_REAL]],ESTIMATIVA[[#This Row],[QT_CANA_EST]])</f>
        <v>193.35</v>
      </c>
      <c r="AE387" s="1">
        <f>IF(ESTIMATIVA[[#This Row],[QT_AREA_REAL]]&gt;0,ESTIMATIVA[[#This Row],[QT_CANA_REAL]],ESTIMATIVA[[#This Row],[QT_CANA_REST1]])</f>
        <v>193.35</v>
      </c>
      <c r="AF387" s="1">
        <f>IF(ESTIMATIVA[[#This Row],[QT_AREA_REAL]]&gt;0,ESTIMATIVA[[#This Row],[QT_CANA_REAL]],ESTIMATIVA[[#This Row],[QT_CANA_REST2]])</f>
        <v>193.35</v>
      </c>
      <c r="AG387" s="1" t="str">
        <f>IF(COUNTIFS(GEADA!A:A,VALUE(ESTIMATIVA[[#This Row],[CD_UPNIVEL1]]&amp;TEXT(ESTIMATIVA[[#This Row],[CD_UPNIVEL3]],"0000")))&gt;0,"S","N")</f>
        <v>N</v>
      </c>
      <c r="AH38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87" s="55" t="str">
        <f>IF(ESTIMATIVA[[#This Row],[TP_CULTIVO]]="Irrigado",_xlfn.MAXIFS(IRRIGADO!J:J,IRRIGADO!C:C,ESTIMATIVA[[#This Row],[CD_UPNIVEL1]],IRRIGADO!E:E,ESTIMATIVA[[#This Row],[CD_UPNIVEL3]]),"")</f>
        <v/>
      </c>
      <c r="AJ38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87" s="1">
        <f>COUNTIFS(Apresentação!$E$23:$E$29,ESTIMATIVA[[#This Row],[CD_UPNIVEL1]])</f>
        <v>0</v>
      </c>
    </row>
    <row r="388" spans="1:37" x14ac:dyDescent="0.3">
      <c r="A388">
        <v>20314</v>
      </c>
      <c r="B388" t="s">
        <v>27</v>
      </c>
      <c r="C388">
        <v>128</v>
      </c>
      <c r="D388">
        <v>8</v>
      </c>
      <c r="E388" t="s">
        <v>262</v>
      </c>
      <c r="F388" s="85" t="s">
        <v>332</v>
      </c>
      <c r="G388"/>
      <c r="H388" t="s">
        <v>295</v>
      </c>
      <c r="I388" t="s">
        <v>212</v>
      </c>
      <c r="J388" t="s">
        <v>176</v>
      </c>
      <c r="K388" s="1">
        <v>1.21</v>
      </c>
      <c r="L388" s="1">
        <v>1.21</v>
      </c>
      <c r="M388" s="1">
        <v>1.21</v>
      </c>
      <c r="N388" s="1">
        <v>1.21</v>
      </c>
      <c r="O388" s="1">
        <v>87.12</v>
      </c>
      <c r="P388" s="1">
        <v>89.54</v>
      </c>
      <c r="Q388" s="1">
        <v>76.23</v>
      </c>
      <c r="R388" s="1">
        <v>51.53</v>
      </c>
      <c r="S388" t="s">
        <v>12</v>
      </c>
      <c r="T388" s="13">
        <v>45963</v>
      </c>
      <c r="U388" s="1" t="str">
        <f>IF(ESTIMATIVA[[#This Row],[QT_AREA_REAL]]&gt;0,"1- Colhido","2- à Colher")</f>
        <v>1- Colhido</v>
      </c>
      <c r="V388" s="1" t="str">
        <f>IF(ESTIMATIVA[[#This Row],[QT_AREA_REST1]]&gt;0,"Reestimativa 1",IF(ESTIMATIVA[[#This Row],[QT_AREA_REAL]]=0,"Reestimativa 1","Realizado"))</f>
        <v>Reestimativa 1</v>
      </c>
      <c r="W388" s="1" t="str">
        <f>IF(ESTIMATIVA[[#This Row],[QT_AREA_REST2]]&gt;0,"Reestimativa 2",IF(ESTIMATIVA[[#This Row],[QT_AREA_REAL]]=0,"Reestimativa 2","Realizado"))</f>
        <v>Reestimativa 2</v>
      </c>
      <c r="X388" s="1">
        <f>ESTIMATIVA[[#This Row],[QT_AREA_EST]]</f>
        <v>1.21</v>
      </c>
      <c r="Y388" s="1">
        <f>IF(ESTIMATIVA[[#This Row],[QT_AREA_REST1]]&gt;0,ESTIMATIVA[[#This Row],[QT_AREA_REST1]],
  IF(ESTIMATIVA[[#This Row],[QT_AREA_REAL]]&gt;0,ESTIMATIVA[[#This Row],[QT_AREA_REAL]],ESTIMATIVA[[#This Row],[QT_AREA_EST]]))</f>
        <v>1.21</v>
      </c>
      <c r="Z38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1.21</v>
      </c>
      <c r="AA388" s="1">
        <f>ESTIMATIVA[[#This Row],[QT_CANA_EST]]</f>
        <v>87.12</v>
      </c>
      <c r="AB388" s="1">
        <f>IF(ESTIMATIVA[[#This Row],[QT_CANA_REST1]]&gt;0,ESTIMATIVA[[#This Row],[QT_CANA_REST1]],
  IF(ESTIMATIVA[[#This Row],[QT_CANA_REAL]]&gt;0,ESTIMATIVA[[#This Row],[QT_CANA_REAL]],ESTIMATIVA[[#This Row],[QT_CANA_EST]]))</f>
        <v>89.54</v>
      </c>
      <c r="AC38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76.23</v>
      </c>
      <c r="AD388" s="1">
        <f>IF(ESTIMATIVA[[#This Row],[QT_AREA_REAL]]&gt;0,ESTIMATIVA[[#This Row],[QT_CANA_REAL]],ESTIMATIVA[[#This Row],[QT_CANA_EST]])</f>
        <v>51.53</v>
      </c>
      <c r="AE388" s="1">
        <f>IF(ESTIMATIVA[[#This Row],[QT_AREA_REAL]]&gt;0,ESTIMATIVA[[#This Row],[QT_CANA_REAL]],ESTIMATIVA[[#This Row],[QT_CANA_REST1]])</f>
        <v>51.53</v>
      </c>
      <c r="AF388" s="1">
        <f>IF(ESTIMATIVA[[#This Row],[QT_AREA_REAL]]&gt;0,ESTIMATIVA[[#This Row],[QT_CANA_REAL]],ESTIMATIVA[[#This Row],[QT_CANA_REST2]])</f>
        <v>51.53</v>
      </c>
      <c r="AG388" s="1" t="str">
        <f>IF(COUNTIFS(GEADA!A:A,VALUE(ESTIMATIVA[[#This Row],[CD_UPNIVEL1]]&amp;TEXT(ESTIMATIVA[[#This Row],[CD_UPNIVEL3]],"0000")))&gt;0,"S","N")</f>
        <v>N</v>
      </c>
      <c r="AH38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88" s="55" t="str">
        <f>IF(ESTIMATIVA[[#This Row],[TP_CULTIVO]]="Irrigado",_xlfn.MAXIFS(IRRIGADO!J:J,IRRIGADO!C:C,ESTIMATIVA[[#This Row],[CD_UPNIVEL1]],IRRIGADO!E:E,ESTIMATIVA[[#This Row],[CD_UPNIVEL3]]),"")</f>
        <v/>
      </c>
      <c r="AJ38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88" s="1">
        <f>COUNTIFS(Apresentação!$E$23:$E$29,ESTIMATIVA[[#This Row],[CD_UPNIVEL1]])</f>
        <v>0</v>
      </c>
    </row>
    <row r="389" spans="1:37" x14ac:dyDescent="0.3">
      <c r="A389">
        <v>20314</v>
      </c>
      <c r="B389" t="s">
        <v>27</v>
      </c>
      <c r="C389">
        <v>129</v>
      </c>
      <c r="D389">
        <v>8</v>
      </c>
      <c r="E389" t="s">
        <v>262</v>
      </c>
      <c r="F389" s="85" t="s">
        <v>332</v>
      </c>
      <c r="G389"/>
      <c r="H389" t="s">
        <v>295</v>
      </c>
      <c r="I389" t="s">
        <v>212</v>
      </c>
      <c r="J389" t="s">
        <v>176</v>
      </c>
      <c r="K389" s="1">
        <v>4.21</v>
      </c>
      <c r="L389" s="1">
        <v>4.21</v>
      </c>
      <c r="M389" s="1">
        <v>4.21</v>
      </c>
      <c r="N389" s="1">
        <v>4.21</v>
      </c>
      <c r="O389" s="1">
        <v>303.12</v>
      </c>
      <c r="P389" s="1">
        <v>311.54000000000002</v>
      </c>
      <c r="Q389" s="1">
        <v>286.27999999999997</v>
      </c>
      <c r="R389" s="1">
        <v>194.02</v>
      </c>
      <c r="S389" t="s">
        <v>12</v>
      </c>
      <c r="T389" s="13">
        <v>45963</v>
      </c>
      <c r="U389" s="1" t="str">
        <f>IF(ESTIMATIVA[[#This Row],[QT_AREA_REAL]]&gt;0,"1- Colhido","2- à Colher")</f>
        <v>1- Colhido</v>
      </c>
      <c r="V389" s="1" t="str">
        <f>IF(ESTIMATIVA[[#This Row],[QT_AREA_REST1]]&gt;0,"Reestimativa 1",IF(ESTIMATIVA[[#This Row],[QT_AREA_REAL]]=0,"Reestimativa 1","Realizado"))</f>
        <v>Reestimativa 1</v>
      </c>
      <c r="W389" s="1" t="str">
        <f>IF(ESTIMATIVA[[#This Row],[QT_AREA_REST2]]&gt;0,"Reestimativa 2",IF(ESTIMATIVA[[#This Row],[QT_AREA_REAL]]=0,"Reestimativa 2","Realizado"))</f>
        <v>Reestimativa 2</v>
      </c>
      <c r="X389" s="1">
        <f>ESTIMATIVA[[#This Row],[QT_AREA_EST]]</f>
        <v>4.21</v>
      </c>
      <c r="Y389" s="1">
        <f>IF(ESTIMATIVA[[#This Row],[QT_AREA_REST1]]&gt;0,ESTIMATIVA[[#This Row],[QT_AREA_REST1]],
  IF(ESTIMATIVA[[#This Row],[QT_AREA_REAL]]&gt;0,ESTIMATIVA[[#This Row],[QT_AREA_REAL]],ESTIMATIVA[[#This Row],[QT_AREA_EST]]))</f>
        <v>4.21</v>
      </c>
      <c r="Z38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4.21</v>
      </c>
      <c r="AA389" s="1">
        <f>ESTIMATIVA[[#This Row],[QT_CANA_EST]]</f>
        <v>303.12</v>
      </c>
      <c r="AB389" s="1">
        <f>IF(ESTIMATIVA[[#This Row],[QT_CANA_REST1]]&gt;0,ESTIMATIVA[[#This Row],[QT_CANA_REST1]],
  IF(ESTIMATIVA[[#This Row],[QT_CANA_REAL]]&gt;0,ESTIMATIVA[[#This Row],[QT_CANA_REAL]],ESTIMATIVA[[#This Row],[QT_CANA_EST]]))</f>
        <v>311.54000000000002</v>
      </c>
      <c r="AC38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286.27999999999997</v>
      </c>
      <c r="AD389" s="1">
        <f>IF(ESTIMATIVA[[#This Row],[QT_AREA_REAL]]&gt;0,ESTIMATIVA[[#This Row],[QT_CANA_REAL]],ESTIMATIVA[[#This Row],[QT_CANA_EST]])</f>
        <v>194.02</v>
      </c>
      <c r="AE389" s="1">
        <f>IF(ESTIMATIVA[[#This Row],[QT_AREA_REAL]]&gt;0,ESTIMATIVA[[#This Row],[QT_CANA_REAL]],ESTIMATIVA[[#This Row],[QT_CANA_REST1]])</f>
        <v>194.02</v>
      </c>
      <c r="AF389" s="1">
        <f>IF(ESTIMATIVA[[#This Row],[QT_AREA_REAL]]&gt;0,ESTIMATIVA[[#This Row],[QT_CANA_REAL]],ESTIMATIVA[[#This Row],[QT_CANA_REST2]])</f>
        <v>194.02</v>
      </c>
      <c r="AG389" s="1" t="str">
        <f>IF(COUNTIFS(GEADA!A:A,VALUE(ESTIMATIVA[[#This Row],[CD_UPNIVEL1]]&amp;TEXT(ESTIMATIVA[[#This Row],[CD_UPNIVEL3]],"0000")))&gt;0,"S","N")</f>
        <v>N</v>
      </c>
      <c r="AH38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89" s="55" t="str">
        <f>IF(ESTIMATIVA[[#This Row],[TP_CULTIVO]]="Irrigado",_xlfn.MAXIFS(IRRIGADO!J:J,IRRIGADO!C:C,ESTIMATIVA[[#This Row],[CD_UPNIVEL1]],IRRIGADO!E:E,ESTIMATIVA[[#This Row],[CD_UPNIVEL3]]),"")</f>
        <v/>
      </c>
      <c r="AJ38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89" s="1">
        <f>COUNTIFS(Apresentação!$E$23:$E$29,ESTIMATIVA[[#This Row],[CD_UPNIVEL1]])</f>
        <v>0</v>
      </c>
    </row>
    <row r="390" spans="1:37" x14ac:dyDescent="0.3">
      <c r="A390">
        <v>20314</v>
      </c>
      <c r="B390" t="s">
        <v>27</v>
      </c>
      <c r="C390">
        <v>130</v>
      </c>
      <c r="D390">
        <v>8</v>
      </c>
      <c r="E390" t="s">
        <v>262</v>
      </c>
      <c r="F390" s="85" t="s">
        <v>332</v>
      </c>
      <c r="G390"/>
      <c r="H390" t="s">
        <v>295</v>
      </c>
      <c r="I390" t="s">
        <v>212</v>
      </c>
      <c r="J390" t="s">
        <v>176</v>
      </c>
      <c r="K390" s="1">
        <v>5.24</v>
      </c>
      <c r="L390" s="1">
        <v>5.24</v>
      </c>
      <c r="M390" s="1">
        <v>5.24</v>
      </c>
      <c r="N390" s="1">
        <v>5.24</v>
      </c>
      <c r="O390" s="1">
        <v>377.28</v>
      </c>
      <c r="P390" s="1">
        <v>387.76</v>
      </c>
      <c r="Q390" s="1">
        <v>356.32</v>
      </c>
      <c r="R390" s="1">
        <v>241.52</v>
      </c>
      <c r="S390" t="s">
        <v>12</v>
      </c>
      <c r="T390" s="13">
        <v>45963</v>
      </c>
      <c r="U390" s="1" t="str">
        <f>IF(ESTIMATIVA[[#This Row],[QT_AREA_REAL]]&gt;0,"1- Colhido","2- à Colher")</f>
        <v>1- Colhido</v>
      </c>
      <c r="V390" s="1" t="str">
        <f>IF(ESTIMATIVA[[#This Row],[QT_AREA_REST1]]&gt;0,"Reestimativa 1",IF(ESTIMATIVA[[#This Row],[QT_AREA_REAL]]=0,"Reestimativa 1","Realizado"))</f>
        <v>Reestimativa 1</v>
      </c>
      <c r="W390" s="1" t="str">
        <f>IF(ESTIMATIVA[[#This Row],[QT_AREA_REST2]]&gt;0,"Reestimativa 2",IF(ESTIMATIVA[[#This Row],[QT_AREA_REAL]]=0,"Reestimativa 2","Realizado"))</f>
        <v>Reestimativa 2</v>
      </c>
      <c r="X390" s="1">
        <f>ESTIMATIVA[[#This Row],[QT_AREA_EST]]</f>
        <v>5.24</v>
      </c>
      <c r="Y390" s="1">
        <f>IF(ESTIMATIVA[[#This Row],[QT_AREA_REST1]]&gt;0,ESTIMATIVA[[#This Row],[QT_AREA_REST1]],
  IF(ESTIMATIVA[[#This Row],[QT_AREA_REAL]]&gt;0,ESTIMATIVA[[#This Row],[QT_AREA_REAL]],ESTIMATIVA[[#This Row],[QT_AREA_EST]]))</f>
        <v>5.24</v>
      </c>
      <c r="Z39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5.24</v>
      </c>
      <c r="AA390" s="1">
        <f>ESTIMATIVA[[#This Row],[QT_CANA_EST]]</f>
        <v>377.28</v>
      </c>
      <c r="AB390" s="1">
        <f>IF(ESTIMATIVA[[#This Row],[QT_CANA_REST1]]&gt;0,ESTIMATIVA[[#This Row],[QT_CANA_REST1]],
  IF(ESTIMATIVA[[#This Row],[QT_CANA_REAL]]&gt;0,ESTIMATIVA[[#This Row],[QT_CANA_REAL]],ESTIMATIVA[[#This Row],[QT_CANA_EST]]))</f>
        <v>387.76</v>
      </c>
      <c r="AC39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356.32</v>
      </c>
      <c r="AD390" s="1">
        <f>IF(ESTIMATIVA[[#This Row],[QT_AREA_REAL]]&gt;0,ESTIMATIVA[[#This Row],[QT_CANA_REAL]],ESTIMATIVA[[#This Row],[QT_CANA_EST]])</f>
        <v>241.52</v>
      </c>
      <c r="AE390" s="1">
        <f>IF(ESTIMATIVA[[#This Row],[QT_AREA_REAL]]&gt;0,ESTIMATIVA[[#This Row],[QT_CANA_REAL]],ESTIMATIVA[[#This Row],[QT_CANA_REST1]])</f>
        <v>241.52</v>
      </c>
      <c r="AF390" s="1">
        <f>IF(ESTIMATIVA[[#This Row],[QT_AREA_REAL]]&gt;0,ESTIMATIVA[[#This Row],[QT_CANA_REAL]],ESTIMATIVA[[#This Row],[QT_CANA_REST2]])</f>
        <v>241.52</v>
      </c>
      <c r="AG390" s="1" t="str">
        <f>IF(COUNTIFS(GEADA!A:A,VALUE(ESTIMATIVA[[#This Row],[CD_UPNIVEL1]]&amp;TEXT(ESTIMATIVA[[#This Row],[CD_UPNIVEL3]],"0000")))&gt;0,"S","N")</f>
        <v>N</v>
      </c>
      <c r="AH39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90" s="55" t="str">
        <f>IF(ESTIMATIVA[[#This Row],[TP_CULTIVO]]="Irrigado",_xlfn.MAXIFS(IRRIGADO!J:J,IRRIGADO!C:C,ESTIMATIVA[[#This Row],[CD_UPNIVEL1]],IRRIGADO!E:E,ESTIMATIVA[[#This Row],[CD_UPNIVEL3]]),"")</f>
        <v/>
      </c>
      <c r="AJ39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90" s="1">
        <f>COUNTIFS(Apresentação!$E$23:$E$29,ESTIMATIVA[[#This Row],[CD_UPNIVEL1]])</f>
        <v>0</v>
      </c>
    </row>
    <row r="391" spans="1:37" x14ac:dyDescent="0.3">
      <c r="A391">
        <v>20314</v>
      </c>
      <c r="B391" t="s">
        <v>27</v>
      </c>
      <c r="C391">
        <v>131</v>
      </c>
      <c r="D391">
        <v>8</v>
      </c>
      <c r="E391" t="s">
        <v>262</v>
      </c>
      <c r="F391" s="85" t="s">
        <v>332</v>
      </c>
      <c r="G391"/>
      <c r="H391" t="s">
        <v>295</v>
      </c>
      <c r="I391" t="s">
        <v>213</v>
      </c>
      <c r="J391" t="s">
        <v>176</v>
      </c>
      <c r="K391" s="1">
        <v>17.010000000000002</v>
      </c>
      <c r="L391" s="1">
        <v>17.010000000000002</v>
      </c>
      <c r="M391" s="1">
        <v>17.010000000000002</v>
      </c>
      <c r="N391" s="1">
        <v>17.010000000000002</v>
      </c>
      <c r="O391" s="1">
        <v>1156.68</v>
      </c>
      <c r="P391" s="1">
        <v>1156.68</v>
      </c>
      <c r="Q391" s="1">
        <v>952.56</v>
      </c>
      <c r="R391" s="1">
        <v>646.61</v>
      </c>
      <c r="S391" t="s">
        <v>12</v>
      </c>
      <c r="T391" s="13">
        <v>45963</v>
      </c>
      <c r="U391" s="1" t="str">
        <f>IF(ESTIMATIVA[[#This Row],[QT_AREA_REAL]]&gt;0,"1- Colhido","2- à Colher")</f>
        <v>1- Colhido</v>
      </c>
      <c r="V391" s="1" t="str">
        <f>IF(ESTIMATIVA[[#This Row],[QT_AREA_REST1]]&gt;0,"Reestimativa 1",IF(ESTIMATIVA[[#This Row],[QT_AREA_REAL]]=0,"Reestimativa 1","Realizado"))</f>
        <v>Reestimativa 1</v>
      </c>
      <c r="W391" s="1" t="str">
        <f>IF(ESTIMATIVA[[#This Row],[QT_AREA_REST2]]&gt;0,"Reestimativa 2",IF(ESTIMATIVA[[#This Row],[QT_AREA_REAL]]=0,"Reestimativa 2","Realizado"))</f>
        <v>Reestimativa 2</v>
      </c>
      <c r="X391" s="1">
        <f>ESTIMATIVA[[#This Row],[QT_AREA_EST]]</f>
        <v>17.010000000000002</v>
      </c>
      <c r="Y391" s="1">
        <f>IF(ESTIMATIVA[[#This Row],[QT_AREA_REST1]]&gt;0,ESTIMATIVA[[#This Row],[QT_AREA_REST1]],
  IF(ESTIMATIVA[[#This Row],[QT_AREA_REAL]]&gt;0,ESTIMATIVA[[#This Row],[QT_AREA_REAL]],ESTIMATIVA[[#This Row],[QT_AREA_EST]]))</f>
        <v>17.010000000000002</v>
      </c>
      <c r="Z39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17.010000000000002</v>
      </c>
      <c r="AA391" s="1">
        <f>ESTIMATIVA[[#This Row],[QT_CANA_EST]]</f>
        <v>1156.68</v>
      </c>
      <c r="AB391" s="1">
        <f>IF(ESTIMATIVA[[#This Row],[QT_CANA_REST1]]&gt;0,ESTIMATIVA[[#This Row],[QT_CANA_REST1]],
  IF(ESTIMATIVA[[#This Row],[QT_CANA_REAL]]&gt;0,ESTIMATIVA[[#This Row],[QT_CANA_REAL]],ESTIMATIVA[[#This Row],[QT_CANA_EST]]))</f>
        <v>1156.68</v>
      </c>
      <c r="AC39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952.56</v>
      </c>
      <c r="AD391" s="1">
        <f>IF(ESTIMATIVA[[#This Row],[QT_AREA_REAL]]&gt;0,ESTIMATIVA[[#This Row],[QT_CANA_REAL]],ESTIMATIVA[[#This Row],[QT_CANA_EST]])</f>
        <v>646.61</v>
      </c>
      <c r="AE391" s="1">
        <f>IF(ESTIMATIVA[[#This Row],[QT_AREA_REAL]]&gt;0,ESTIMATIVA[[#This Row],[QT_CANA_REAL]],ESTIMATIVA[[#This Row],[QT_CANA_REST1]])</f>
        <v>646.61</v>
      </c>
      <c r="AF391" s="1">
        <f>IF(ESTIMATIVA[[#This Row],[QT_AREA_REAL]]&gt;0,ESTIMATIVA[[#This Row],[QT_CANA_REAL]],ESTIMATIVA[[#This Row],[QT_CANA_REST2]])</f>
        <v>646.61</v>
      </c>
      <c r="AG391" s="1" t="str">
        <f>IF(COUNTIFS(GEADA!A:A,VALUE(ESTIMATIVA[[#This Row],[CD_UPNIVEL1]]&amp;TEXT(ESTIMATIVA[[#This Row],[CD_UPNIVEL3]],"0000")))&gt;0,"S","N")</f>
        <v>N</v>
      </c>
      <c r="AH39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91" s="55" t="str">
        <f>IF(ESTIMATIVA[[#This Row],[TP_CULTIVO]]="Irrigado",_xlfn.MAXIFS(IRRIGADO!J:J,IRRIGADO!C:C,ESTIMATIVA[[#This Row],[CD_UPNIVEL1]],IRRIGADO!E:E,ESTIMATIVA[[#This Row],[CD_UPNIVEL3]]),"")</f>
        <v/>
      </c>
      <c r="AJ39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91" s="1">
        <f>COUNTIFS(Apresentação!$E$23:$E$29,ESTIMATIVA[[#This Row],[CD_UPNIVEL1]])</f>
        <v>0</v>
      </c>
    </row>
    <row r="392" spans="1:37" x14ac:dyDescent="0.3">
      <c r="A392">
        <v>20314</v>
      </c>
      <c r="B392" t="s">
        <v>27</v>
      </c>
      <c r="C392">
        <v>132</v>
      </c>
      <c r="D392">
        <v>8</v>
      </c>
      <c r="E392" t="s">
        <v>262</v>
      </c>
      <c r="F392" s="85" t="s">
        <v>332</v>
      </c>
      <c r="G392"/>
      <c r="H392" t="s">
        <v>295</v>
      </c>
      <c r="I392" t="s">
        <v>212</v>
      </c>
      <c r="J392" t="s">
        <v>176</v>
      </c>
      <c r="K392" s="1">
        <v>4.92</v>
      </c>
      <c r="L392" s="1">
        <v>4.92</v>
      </c>
      <c r="M392" s="1">
        <v>4.92</v>
      </c>
      <c r="N392" s="1">
        <v>4.92</v>
      </c>
      <c r="O392" s="1">
        <v>334.56</v>
      </c>
      <c r="P392" s="1">
        <v>344.4</v>
      </c>
      <c r="Q392" s="1">
        <v>344.4</v>
      </c>
      <c r="R392" s="1">
        <v>233.63</v>
      </c>
      <c r="S392" t="s">
        <v>12</v>
      </c>
      <c r="T392" s="13">
        <v>45963</v>
      </c>
      <c r="U392" s="1" t="str">
        <f>IF(ESTIMATIVA[[#This Row],[QT_AREA_REAL]]&gt;0,"1- Colhido","2- à Colher")</f>
        <v>1- Colhido</v>
      </c>
      <c r="V392" s="1" t="str">
        <f>IF(ESTIMATIVA[[#This Row],[QT_AREA_REST1]]&gt;0,"Reestimativa 1",IF(ESTIMATIVA[[#This Row],[QT_AREA_REAL]]=0,"Reestimativa 1","Realizado"))</f>
        <v>Reestimativa 1</v>
      </c>
      <c r="W392" s="1" t="str">
        <f>IF(ESTIMATIVA[[#This Row],[QT_AREA_REST2]]&gt;0,"Reestimativa 2",IF(ESTIMATIVA[[#This Row],[QT_AREA_REAL]]=0,"Reestimativa 2","Realizado"))</f>
        <v>Reestimativa 2</v>
      </c>
      <c r="X392" s="1">
        <f>ESTIMATIVA[[#This Row],[QT_AREA_EST]]</f>
        <v>4.92</v>
      </c>
      <c r="Y392" s="1">
        <f>IF(ESTIMATIVA[[#This Row],[QT_AREA_REST1]]&gt;0,ESTIMATIVA[[#This Row],[QT_AREA_REST1]],
  IF(ESTIMATIVA[[#This Row],[QT_AREA_REAL]]&gt;0,ESTIMATIVA[[#This Row],[QT_AREA_REAL]],ESTIMATIVA[[#This Row],[QT_AREA_EST]]))</f>
        <v>4.92</v>
      </c>
      <c r="Z39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4.92</v>
      </c>
      <c r="AA392" s="1">
        <f>ESTIMATIVA[[#This Row],[QT_CANA_EST]]</f>
        <v>334.56</v>
      </c>
      <c r="AB392" s="1">
        <f>IF(ESTIMATIVA[[#This Row],[QT_CANA_REST1]]&gt;0,ESTIMATIVA[[#This Row],[QT_CANA_REST1]],
  IF(ESTIMATIVA[[#This Row],[QT_CANA_REAL]]&gt;0,ESTIMATIVA[[#This Row],[QT_CANA_REAL]],ESTIMATIVA[[#This Row],[QT_CANA_EST]]))</f>
        <v>344.4</v>
      </c>
      <c r="AC39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344.4</v>
      </c>
      <c r="AD392" s="1">
        <f>IF(ESTIMATIVA[[#This Row],[QT_AREA_REAL]]&gt;0,ESTIMATIVA[[#This Row],[QT_CANA_REAL]],ESTIMATIVA[[#This Row],[QT_CANA_EST]])</f>
        <v>233.63</v>
      </c>
      <c r="AE392" s="1">
        <f>IF(ESTIMATIVA[[#This Row],[QT_AREA_REAL]]&gt;0,ESTIMATIVA[[#This Row],[QT_CANA_REAL]],ESTIMATIVA[[#This Row],[QT_CANA_REST1]])</f>
        <v>233.63</v>
      </c>
      <c r="AF392" s="1">
        <f>IF(ESTIMATIVA[[#This Row],[QT_AREA_REAL]]&gt;0,ESTIMATIVA[[#This Row],[QT_CANA_REAL]],ESTIMATIVA[[#This Row],[QT_CANA_REST2]])</f>
        <v>233.63</v>
      </c>
      <c r="AG392" s="1" t="str">
        <f>IF(COUNTIFS(GEADA!A:A,VALUE(ESTIMATIVA[[#This Row],[CD_UPNIVEL1]]&amp;TEXT(ESTIMATIVA[[#This Row],[CD_UPNIVEL3]],"0000")))&gt;0,"S","N")</f>
        <v>N</v>
      </c>
      <c r="AH39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92" s="55" t="str">
        <f>IF(ESTIMATIVA[[#This Row],[TP_CULTIVO]]="Irrigado",_xlfn.MAXIFS(IRRIGADO!J:J,IRRIGADO!C:C,ESTIMATIVA[[#This Row],[CD_UPNIVEL1]],IRRIGADO!E:E,ESTIMATIVA[[#This Row],[CD_UPNIVEL3]]),"")</f>
        <v/>
      </c>
      <c r="AJ39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92" s="1">
        <f>COUNTIFS(Apresentação!$E$23:$E$29,ESTIMATIVA[[#This Row],[CD_UPNIVEL1]])</f>
        <v>0</v>
      </c>
    </row>
    <row r="393" spans="1:37" x14ac:dyDescent="0.3">
      <c r="A393">
        <v>20314</v>
      </c>
      <c r="B393" t="s">
        <v>27</v>
      </c>
      <c r="C393">
        <v>135</v>
      </c>
      <c r="D393">
        <v>1</v>
      </c>
      <c r="E393" t="s">
        <v>267</v>
      </c>
      <c r="F393" s="85" t="s">
        <v>329</v>
      </c>
      <c r="G393"/>
      <c r="H393" t="s">
        <v>295</v>
      </c>
      <c r="I393" t="s">
        <v>214</v>
      </c>
      <c r="J393" t="s">
        <v>176</v>
      </c>
      <c r="K393" s="1">
        <v>50.74</v>
      </c>
      <c r="L393" s="1">
        <v>50.74</v>
      </c>
      <c r="M393" s="1">
        <v>50.74</v>
      </c>
      <c r="N393" s="1">
        <v>50.74</v>
      </c>
      <c r="O393" s="1">
        <v>5378.44</v>
      </c>
      <c r="P393" s="1">
        <v>5479.92</v>
      </c>
      <c r="Q393" s="1">
        <v>5479.92</v>
      </c>
      <c r="R393" s="1">
        <v>6060.56</v>
      </c>
      <c r="S393" t="s">
        <v>12</v>
      </c>
      <c r="T393" s="13">
        <v>45991</v>
      </c>
      <c r="U393" s="1" t="str">
        <f>IF(ESTIMATIVA[[#This Row],[QT_AREA_REAL]]&gt;0,"1- Colhido","2- à Colher")</f>
        <v>1- Colhido</v>
      </c>
      <c r="V393" s="1" t="str">
        <f>IF(ESTIMATIVA[[#This Row],[QT_AREA_REST1]]&gt;0,"Reestimativa 1",IF(ESTIMATIVA[[#This Row],[QT_AREA_REAL]]=0,"Reestimativa 1","Realizado"))</f>
        <v>Reestimativa 1</v>
      </c>
      <c r="W393" s="1" t="str">
        <f>IF(ESTIMATIVA[[#This Row],[QT_AREA_REST2]]&gt;0,"Reestimativa 2",IF(ESTIMATIVA[[#This Row],[QT_AREA_REAL]]=0,"Reestimativa 2","Realizado"))</f>
        <v>Reestimativa 2</v>
      </c>
      <c r="X393" s="1">
        <f>ESTIMATIVA[[#This Row],[QT_AREA_EST]]</f>
        <v>50.74</v>
      </c>
      <c r="Y393" s="1">
        <f>IF(ESTIMATIVA[[#This Row],[QT_AREA_REST1]]&gt;0,ESTIMATIVA[[#This Row],[QT_AREA_REST1]],
  IF(ESTIMATIVA[[#This Row],[QT_AREA_REAL]]&gt;0,ESTIMATIVA[[#This Row],[QT_AREA_REAL]],ESTIMATIVA[[#This Row],[QT_AREA_EST]]))</f>
        <v>50.74</v>
      </c>
      <c r="Z39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50.74</v>
      </c>
      <c r="AA393" s="1">
        <f>ESTIMATIVA[[#This Row],[QT_CANA_EST]]</f>
        <v>5378.44</v>
      </c>
      <c r="AB393" s="1">
        <f>IF(ESTIMATIVA[[#This Row],[QT_CANA_REST1]]&gt;0,ESTIMATIVA[[#This Row],[QT_CANA_REST1]],
  IF(ESTIMATIVA[[#This Row],[QT_CANA_REAL]]&gt;0,ESTIMATIVA[[#This Row],[QT_CANA_REAL]],ESTIMATIVA[[#This Row],[QT_CANA_EST]]))</f>
        <v>5479.92</v>
      </c>
      <c r="AC39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5479.92</v>
      </c>
      <c r="AD393" s="1">
        <f>IF(ESTIMATIVA[[#This Row],[QT_AREA_REAL]]&gt;0,ESTIMATIVA[[#This Row],[QT_CANA_REAL]],ESTIMATIVA[[#This Row],[QT_CANA_EST]])</f>
        <v>6060.56</v>
      </c>
      <c r="AE393" s="1">
        <f>IF(ESTIMATIVA[[#This Row],[QT_AREA_REAL]]&gt;0,ESTIMATIVA[[#This Row],[QT_CANA_REAL]],ESTIMATIVA[[#This Row],[QT_CANA_REST1]])</f>
        <v>6060.56</v>
      </c>
      <c r="AF393" s="1">
        <f>IF(ESTIMATIVA[[#This Row],[QT_AREA_REAL]]&gt;0,ESTIMATIVA[[#This Row],[QT_CANA_REAL]],ESTIMATIVA[[#This Row],[QT_CANA_REST2]])</f>
        <v>6060.56</v>
      </c>
      <c r="AG393" s="1" t="str">
        <f>IF(COUNTIFS(GEADA!A:A,VALUE(ESTIMATIVA[[#This Row],[CD_UPNIVEL1]]&amp;TEXT(ESTIMATIVA[[#This Row],[CD_UPNIVEL3]],"0000")))&gt;0,"S","N")</f>
        <v>N</v>
      </c>
      <c r="AH393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393" s="55">
        <f>IF(ESTIMATIVA[[#This Row],[TP_CULTIVO]]="Irrigado",_xlfn.MAXIFS(IRRIGADO!J:J,IRRIGADO!C:C,ESTIMATIVA[[#This Row],[CD_UPNIVEL1]],IRRIGADO!E:E,ESTIMATIVA[[#This Row],[CD_UPNIVEL3]]),"")</f>
        <v>45535</v>
      </c>
      <c r="AJ393" s="1">
        <f>IF(ESTIMATIVA[[#This Row],[TP_CULTIVO]]&lt;&gt;"Irrigado",0,AVERAGEIFS(IRRIGADO!G:G,IRRIGADO!C:C,ESTIMATIVA[[#This Row],[CD_UPNIVEL1]],IRRIGADO!E:E,ESTIMATIVA[[#This Row],[CD_UPNIVEL3]])*ESTIMATIVA[[#This Row],[QT_AREA_REAL]])</f>
        <v>1725.16</v>
      </c>
      <c r="AK393" s="1">
        <f>COUNTIFS(Apresentação!$E$23:$E$29,ESTIMATIVA[[#This Row],[CD_UPNIVEL1]])</f>
        <v>0</v>
      </c>
    </row>
    <row r="394" spans="1:37" x14ac:dyDescent="0.3">
      <c r="A394">
        <v>20314</v>
      </c>
      <c r="B394" t="s">
        <v>27</v>
      </c>
      <c r="C394">
        <v>136</v>
      </c>
      <c r="D394">
        <v>1</v>
      </c>
      <c r="E394" t="s">
        <v>267</v>
      </c>
      <c r="F394" s="85" t="s">
        <v>332</v>
      </c>
      <c r="G394"/>
      <c r="H394" t="s">
        <v>295</v>
      </c>
      <c r="I394" t="s">
        <v>214</v>
      </c>
      <c r="J394" t="s">
        <v>176</v>
      </c>
      <c r="K394" s="1">
        <v>68.88</v>
      </c>
      <c r="L394" s="1">
        <v>68.88</v>
      </c>
      <c r="M394" s="1">
        <v>68.88</v>
      </c>
      <c r="N394" s="1">
        <v>68.88</v>
      </c>
      <c r="O394" s="1">
        <v>7301.28</v>
      </c>
      <c r="P394" s="1">
        <v>7439.04</v>
      </c>
      <c r="Q394" s="1">
        <v>7439.04</v>
      </c>
      <c r="R394" s="1">
        <v>8226.5499999999993</v>
      </c>
      <c r="S394" t="s">
        <v>12</v>
      </c>
      <c r="T394" s="13">
        <v>45991</v>
      </c>
      <c r="U394" s="1" t="str">
        <f>IF(ESTIMATIVA[[#This Row],[QT_AREA_REAL]]&gt;0,"1- Colhido","2- à Colher")</f>
        <v>1- Colhido</v>
      </c>
      <c r="V394" s="1" t="str">
        <f>IF(ESTIMATIVA[[#This Row],[QT_AREA_REST1]]&gt;0,"Reestimativa 1",IF(ESTIMATIVA[[#This Row],[QT_AREA_REAL]]=0,"Reestimativa 1","Realizado"))</f>
        <v>Reestimativa 1</v>
      </c>
      <c r="W394" s="1" t="str">
        <f>IF(ESTIMATIVA[[#This Row],[QT_AREA_REST2]]&gt;0,"Reestimativa 2",IF(ESTIMATIVA[[#This Row],[QT_AREA_REAL]]=0,"Reestimativa 2","Realizado"))</f>
        <v>Reestimativa 2</v>
      </c>
      <c r="X394" s="1">
        <f>ESTIMATIVA[[#This Row],[QT_AREA_EST]]</f>
        <v>68.88</v>
      </c>
      <c r="Y394" s="1">
        <f>IF(ESTIMATIVA[[#This Row],[QT_AREA_REST1]]&gt;0,ESTIMATIVA[[#This Row],[QT_AREA_REST1]],
  IF(ESTIMATIVA[[#This Row],[QT_AREA_REAL]]&gt;0,ESTIMATIVA[[#This Row],[QT_AREA_REAL]],ESTIMATIVA[[#This Row],[QT_AREA_EST]]))</f>
        <v>68.88</v>
      </c>
      <c r="Z39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68.88</v>
      </c>
      <c r="AA394" s="1">
        <f>ESTIMATIVA[[#This Row],[QT_CANA_EST]]</f>
        <v>7301.28</v>
      </c>
      <c r="AB394" s="1">
        <f>IF(ESTIMATIVA[[#This Row],[QT_CANA_REST1]]&gt;0,ESTIMATIVA[[#This Row],[QT_CANA_REST1]],
  IF(ESTIMATIVA[[#This Row],[QT_CANA_REAL]]&gt;0,ESTIMATIVA[[#This Row],[QT_CANA_REAL]],ESTIMATIVA[[#This Row],[QT_CANA_EST]]))</f>
        <v>7439.04</v>
      </c>
      <c r="AC39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7439.04</v>
      </c>
      <c r="AD394" s="1">
        <f>IF(ESTIMATIVA[[#This Row],[QT_AREA_REAL]]&gt;0,ESTIMATIVA[[#This Row],[QT_CANA_REAL]],ESTIMATIVA[[#This Row],[QT_CANA_EST]])</f>
        <v>8226.5499999999993</v>
      </c>
      <c r="AE394" s="1">
        <f>IF(ESTIMATIVA[[#This Row],[QT_AREA_REAL]]&gt;0,ESTIMATIVA[[#This Row],[QT_CANA_REAL]],ESTIMATIVA[[#This Row],[QT_CANA_REST1]])</f>
        <v>8226.5499999999993</v>
      </c>
      <c r="AF394" s="1">
        <f>IF(ESTIMATIVA[[#This Row],[QT_AREA_REAL]]&gt;0,ESTIMATIVA[[#This Row],[QT_CANA_REAL]],ESTIMATIVA[[#This Row],[QT_CANA_REST2]])</f>
        <v>8226.5499999999993</v>
      </c>
      <c r="AG394" s="1" t="str">
        <f>IF(COUNTIFS(GEADA!A:A,VALUE(ESTIMATIVA[[#This Row],[CD_UPNIVEL1]]&amp;TEXT(ESTIMATIVA[[#This Row],[CD_UPNIVEL3]],"0000")))&gt;0,"S","N")</f>
        <v>N</v>
      </c>
      <c r="AH394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394" s="55">
        <f>IF(ESTIMATIVA[[#This Row],[TP_CULTIVO]]="Irrigado",_xlfn.MAXIFS(IRRIGADO!J:J,IRRIGADO!C:C,ESTIMATIVA[[#This Row],[CD_UPNIVEL1]],IRRIGADO!E:E,ESTIMATIVA[[#This Row],[CD_UPNIVEL3]]),"")</f>
        <v>45535</v>
      </c>
      <c r="AJ394" s="1">
        <f>IF(ESTIMATIVA[[#This Row],[TP_CULTIVO]]&lt;&gt;"Irrigado",0,AVERAGEIFS(IRRIGADO!G:G,IRRIGADO!C:C,ESTIMATIVA[[#This Row],[CD_UPNIVEL1]],IRRIGADO!E:E,ESTIMATIVA[[#This Row],[CD_UPNIVEL3]])*ESTIMATIVA[[#This Row],[QT_AREA_REAL]])</f>
        <v>2341.92</v>
      </c>
      <c r="AK394" s="1">
        <f>COUNTIFS(Apresentação!$E$23:$E$29,ESTIMATIVA[[#This Row],[CD_UPNIVEL1]])</f>
        <v>0</v>
      </c>
    </row>
    <row r="395" spans="1:37" x14ac:dyDescent="0.3">
      <c r="A395">
        <v>20314</v>
      </c>
      <c r="B395" t="s">
        <v>27</v>
      </c>
      <c r="C395">
        <v>137</v>
      </c>
      <c r="D395">
        <v>1</v>
      </c>
      <c r="E395" t="s">
        <v>267</v>
      </c>
      <c r="F395" s="85" t="s">
        <v>332</v>
      </c>
      <c r="G395"/>
      <c r="H395" t="s">
        <v>295</v>
      </c>
      <c r="I395" t="s">
        <v>214</v>
      </c>
      <c r="J395" t="s">
        <v>176</v>
      </c>
      <c r="K395" s="1">
        <v>45.95</v>
      </c>
      <c r="L395" s="1">
        <v>45.95</v>
      </c>
      <c r="M395" s="1">
        <v>45.95</v>
      </c>
      <c r="N395" s="1">
        <v>45.95</v>
      </c>
      <c r="O395" s="1">
        <v>4870.7</v>
      </c>
      <c r="P395" s="1">
        <v>4962.6000000000004</v>
      </c>
      <c r="Q395" s="1">
        <v>4962.6000000000004</v>
      </c>
      <c r="R395" s="1">
        <v>4581.84</v>
      </c>
      <c r="S395" t="s">
        <v>12</v>
      </c>
      <c r="T395" s="13">
        <v>45942</v>
      </c>
      <c r="U395" s="1" t="str">
        <f>IF(ESTIMATIVA[[#This Row],[QT_AREA_REAL]]&gt;0,"1- Colhido","2- à Colher")</f>
        <v>1- Colhido</v>
      </c>
      <c r="V395" s="1" t="str">
        <f>IF(ESTIMATIVA[[#This Row],[QT_AREA_REST1]]&gt;0,"Reestimativa 1",IF(ESTIMATIVA[[#This Row],[QT_AREA_REAL]]=0,"Reestimativa 1","Realizado"))</f>
        <v>Reestimativa 1</v>
      </c>
      <c r="W395" s="1" t="str">
        <f>IF(ESTIMATIVA[[#This Row],[QT_AREA_REST2]]&gt;0,"Reestimativa 2",IF(ESTIMATIVA[[#This Row],[QT_AREA_REAL]]=0,"Reestimativa 2","Realizado"))</f>
        <v>Reestimativa 2</v>
      </c>
      <c r="X395" s="1">
        <f>ESTIMATIVA[[#This Row],[QT_AREA_EST]]</f>
        <v>45.95</v>
      </c>
      <c r="Y395" s="1">
        <f>IF(ESTIMATIVA[[#This Row],[QT_AREA_REST1]]&gt;0,ESTIMATIVA[[#This Row],[QT_AREA_REST1]],
  IF(ESTIMATIVA[[#This Row],[QT_AREA_REAL]]&gt;0,ESTIMATIVA[[#This Row],[QT_AREA_REAL]],ESTIMATIVA[[#This Row],[QT_AREA_EST]]))</f>
        <v>45.95</v>
      </c>
      <c r="Z39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45.95</v>
      </c>
      <c r="AA395" s="1">
        <f>ESTIMATIVA[[#This Row],[QT_CANA_EST]]</f>
        <v>4870.7</v>
      </c>
      <c r="AB395" s="1">
        <f>IF(ESTIMATIVA[[#This Row],[QT_CANA_REST1]]&gt;0,ESTIMATIVA[[#This Row],[QT_CANA_REST1]],
  IF(ESTIMATIVA[[#This Row],[QT_CANA_REAL]]&gt;0,ESTIMATIVA[[#This Row],[QT_CANA_REAL]],ESTIMATIVA[[#This Row],[QT_CANA_EST]]))</f>
        <v>4962.6000000000004</v>
      </c>
      <c r="AC39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4962.6000000000004</v>
      </c>
      <c r="AD395" s="1">
        <f>IF(ESTIMATIVA[[#This Row],[QT_AREA_REAL]]&gt;0,ESTIMATIVA[[#This Row],[QT_CANA_REAL]],ESTIMATIVA[[#This Row],[QT_CANA_EST]])</f>
        <v>4581.84</v>
      </c>
      <c r="AE395" s="1">
        <f>IF(ESTIMATIVA[[#This Row],[QT_AREA_REAL]]&gt;0,ESTIMATIVA[[#This Row],[QT_CANA_REAL]],ESTIMATIVA[[#This Row],[QT_CANA_REST1]])</f>
        <v>4581.84</v>
      </c>
      <c r="AF395" s="1">
        <f>IF(ESTIMATIVA[[#This Row],[QT_AREA_REAL]]&gt;0,ESTIMATIVA[[#This Row],[QT_CANA_REAL]],ESTIMATIVA[[#This Row],[QT_CANA_REST2]])</f>
        <v>4581.84</v>
      </c>
      <c r="AG395" s="1" t="str">
        <f>IF(COUNTIFS(GEADA!A:A,VALUE(ESTIMATIVA[[#This Row],[CD_UPNIVEL1]]&amp;TEXT(ESTIMATIVA[[#This Row],[CD_UPNIVEL3]],"0000")))&gt;0,"S","N")</f>
        <v>N</v>
      </c>
      <c r="AH39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95" s="55" t="str">
        <f>IF(ESTIMATIVA[[#This Row],[TP_CULTIVO]]="Irrigado",_xlfn.MAXIFS(IRRIGADO!J:J,IRRIGADO!C:C,ESTIMATIVA[[#This Row],[CD_UPNIVEL1]],IRRIGADO!E:E,ESTIMATIVA[[#This Row],[CD_UPNIVEL3]]),"")</f>
        <v/>
      </c>
      <c r="AJ39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95" s="1">
        <f>COUNTIFS(Apresentação!$E$23:$E$29,ESTIMATIVA[[#This Row],[CD_UPNIVEL1]])</f>
        <v>0</v>
      </c>
    </row>
    <row r="396" spans="1:37" x14ac:dyDescent="0.3">
      <c r="A396">
        <v>20314</v>
      </c>
      <c r="B396" t="s">
        <v>27</v>
      </c>
      <c r="C396">
        <v>138</v>
      </c>
      <c r="D396">
        <v>1</v>
      </c>
      <c r="E396" t="s">
        <v>267</v>
      </c>
      <c r="F396" s="85" t="s">
        <v>330</v>
      </c>
      <c r="G396"/>
      <c r="H396" t="s">
        <v>295</v>
      </c>
      <c r="I396" t="s">
        <v>214</v>
      </c>
      <c r="J396" t="s">
        <v>176</v>
      </c>
      <c r="K396" s="1">
        <v>43.34</v>
      </c>
      <c r="L396" s="1">
        <v>43.34</v>
      </c>
      <c r="M396" s="1">
        <v>43.34</v>
      </c>
      <c r="N396" s="1">
        <v>43.34</v>
      </c>
      <c r="O396" s="1">
        <v>4594.04</v>
      </c>
      <c r="P396" s="1">
        <v>4680.72</v>
      </c>
      <c r="Q396" s="1">
        <v>4680.72</v>
      </c>
      <c r="R396" s="1">
        <v>5610.4</v>
      </c>
      <c r="S396" t="s">
        <v>12</v>
      </c>
      <c r="T396" s="13">
        <v>45998</v>
      </c>
      <c r="U396" s="1" t="str">
        <f>IF(ESTIMATIVA[[#This Row],[QT_AREA_REAL]]&gt;0,"1- Colhido","2- à Colher")</f>
        <v>1- Colhido</v>
      </c>
      <c r="V396" s="1" t="str">
        <f>IF(ESTIMATIVA[[#This Row],[QT_AREA_REST1]]&gt;0,"Reestimativa 1",IF(ESTIMATIVA[[#This Row],[QT_AREA_REAL]]=0,"Reestimativa 1","Realizado"))</f>
        <v>Reestimativa 1</v>
      </c>
      <c r="W396" s="1" t="str">
        <f>IF(ESTIMATIVA[[#This Row],[QT_AREA_REST2]]&gt;0,"Reestimativa 2",IF(ESTIMATIVA[[#This Row],[QT_AREA_REAL]]=0,"Reestimativa 2","Realizado"))</f>
        <v>Reestimativa 2</v>
      </c>
      <c r="X396" s="1">
        <f>ESTIMATIVA[[#This Row],[QT_AREA_EST]]</f>
        <v>43.34</v>
      </c>
      <c r="Y396" s="1">
        <f>IF(ESTIMATIVA[[#This Row],[QT_AREA_REST1]]&gt;0,ESTIMATIVA[[#This Row],[QT_AREA_REST1]],
  IF(ESTIMATIVA[[#This Row],[QT_AREA_REAL]]&gt;0,ESTIMATIVA[[#This Row],[QT_AREA_REAL]],ESTIMATIVA[[#This Row],[QT_AREA_EST]]))</f>
        <v>43.34</v>
      </c>
      <c r="Z39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43.34</v>
      </c>
      <c r="AA396" s="1">
        <f>ESTIMATIVA[[#This Row],[QT_CANA_EST]]</f>
        <v>4594.04</v>
      </c>
      <c r="AB396" s="1">
        <f>IF(ESTIMATIVA[[#This Row],[QT_CANA_REST1]]&gt;0,ESTIMATIVA[[#This Row],[QT_CANA_REST1]],
  IF(ESTIMATIVA[[#This Row],[QT_CANA_REAL]]&gt;0,ESTIMATIVA[[#This Row],[QT_CANA_REAL]],ESTIMATIVA[[#This Row],[QT_CANA_EST]]))</f>
        <v>4680.72</v>
      </c>
      <c r="AC39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4680.72</v>
      </c>
      <c r="AD396" s="1">
        <f>IF(ESTIMATIVA[[#This Row],[QT_AREA_REAL]]&gt;0,ESTIMATIVA[[#This Row],[QT_CANA_REAL]],ESTIMATIVA[[#This Row],[QT_CANA_EST]])</f>
        <v>5610.4</v>
      </c>
      <c r="AE396" s="1">
        <f>IF(ESTIMATIVA[[#This Row],[QT_AREA_REAL]]&gt;0,ESTIMATIVA[[#This Row],[QT_CANA_REAL]],ESTIMATIVA[[#This Row],[QT_CANA_REST1]])</f>
        <v>5610.4</v>
      </c>
      <c r="AF396" s="1">
        <f>IF(ESTIMATIVA[[#This Row],[QT_AREA_REAL]]&gt;0,ESTIMATIVA[[#This Row],[QT_CANA_REAL]],ESTIMATIVA[[#This Row],[QT_CANA_REST2]])</f>
        <v>5610.4</v>
      </c>
      <c r="AG396" s="1" t="str">
        <f>IF(COUNTIFS(GEADA!A:A,VALUE(ESTIMATIVA[[#This Row],[CD_UPNIVEL1]]&amp;TEXT(ESTIMATIVA[[#This Row],[CD_UPNIVEL3]],"0000")))&gt;0,"S","N")</f>
        <v>N</v>
      </c>
      <c r="AH396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396" s="55">
        <f>IF(ESTIMATIVA[[#This Row],[TP_CULTIVO]]="Irrigado",_xlfn.MAXIFS(IRRIGADO!J:J,IRRIGADO!C:C,ESTIMATIVA[[#This Row],[CD_UPNIVEL1]],IRRIGADO!E:E,ESTIMATIVA[[#This Row],[CD_UPNIVEL3]]),"")</f>
        <v>45535</v>
      </c>
      <c r="AJ396" s="1">
        <f>IF(ESTIMATIVA[[#This Row],[TP_CULTIVO]]&lt;&gt;"Irrigado",0,AVERAGEIFS(IRRIGADO!G:G,IRRIGADO!C:C,ESTIMATIVA[[#This Row],[CD_UPNIVEL1]],IRRIGADO!E:E,ESTIMATIVA[[#This Row],[CD_UPNIVEL3]])*ESTIMATIVA[[#This Row],[QT_AREA_REAL]])</f>
        <v>1473.5600000000002</v>
      </c>
      <c r="AK396" s="1">
        <f>COUNTIFS(Apresentação!$E$23:$E$29,ESTIMATIVA[[#This Row],[CD_UPNIVEL1]])</f>
        <v>0</v>
      </c>
    </row>
    <row r="397" spans="1:37" x14ac:dyDescent="0.3">
      <c r="A397">
        <v>20314</v>
      </c>
      <c r="B397" t="s">
        <v>27</v>
      </c>
      <c r="C397">
        <v>139</v>
      </c>
      <c r="D397">
        <v>1</v>
      </c>
      <c r="E397" t="s">
        <v>267</v>
      </c>
      <c r="F397" s="85" t="s">
        <v>330</v>
      </c>
      <c r="G397"/>
      <c r="H397" t="s">
        <v>295</v>
      </c>
      <c r="I397" t="s">
        <v>200</v>
      </c>
      <c r="J397" t="s">
        <v>176</v>
      </c>
      <c r="K397" s="1">
        <v>39.659999999999997</v>
      </c>
      <c r="L397" s="1">
        <v>39.659999999999997</v>
      </c>
      <c r="M397" s="1">
        <v>39.659999999999997</v>
      </c>
      <c r="N397" s="1">
        <v>39.659999999999997</v>
      </c>
      <c r="O397" s="1">
        <v>4203.96</v>
      </c>
      <c r="P397" s="1">
        <v>4283.28</v>
      </c>
      <c r="Q397" s="1">
        <v>4283.28</v>
      </c>
      <c r="R397" s="1">
        <v>5550.99</v>
      </c>
      <c r="S397" t="s">
        <v>12</v>
      </c>
      <c r="T397" s="13">
        <v>45998</v>
      </c>
      <c r="U397" s="1" t="str">
        <f>IF(ESTIMATIVA[[#This Row],[QT_AREA_REAL]]&gt;0,"1- Colhido","2- à Colher")</f>
        <v>1- Colhido</v>
      </c>
      <c r="V397" s="1" t="str">
        <f>IF(ESTIMATIVA[[#This Row],[QT_AREA_REST1]]&gt;0,"Reestimativa 1",IF(ESTIMATIVA[[#This Row],[QT_AREA_REAL]]=0,"Reestimativa 1","Realizado"))</f>
        <v>Reestimativa 1</v>
      </c>
      <c r="W397" s="1" t="str">
        <f>IF(ESTIMATIVA[[#This Row],[QT_AREA_REST2]]&gt;0,"Reestimativa 2",IF(ESTIMATIVA[[#This Row],[QT_AREA_REAL]]=0,"Reestimativa 2","Realizado"))</f>
        <v>Reestimativa 2</v>
      </c>
      <c r="X397" s="1">
        <f>ESTIMATIVA[[#This Row],[QT_AREA_EST]]</f>
        <v>39.659999999999997</v>
      </c>
      <c r="Y397" s="1">
        <f>IF(ESTIMATIVA[[#This Row],[QT_AREA_REST1]]&gt;0,ESTIMATIVA[[#This Row],[QT_AREA_REST1]],
  IF(ESTIMATIVA[[#This Row],[QT_AREA_REAL]]&gt;0,ESTIMATIVA[[#This Row],[QT_AREA_REAL]],ESTIMATIVA[[#This Row],[QT_AREA_EST]]))</f>
        <v>39.659999999999997</v>
      </c>
      <c r="Z39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39.659999999999997</v>
      </c>
      <c r="AA397" s="1">
        <f>ESTIMATIVA[[#This Row],[QT_CANA_EST]]</f>
        <v>4203.96</v>
      </c>
      <c r="AB397" s="1">
        <f>IF(ESTIMATIVA[[#This Row],[QT_CANA_REST1]]&gt;0,ESTIMATIVA[[#This Row],[QT_CANA_REST1]],
  IF(ESTIMATIVA[[#This Row],[QT_CANA_REAL]]&gt;0,ESTIMATIVA[[#This Row],[QT_CANA_REAL]],ESTIMATIVA[[#This Row],[QT_CANA_EST]]))</f>
        <v>4283.28</v>
      </c>
      <c r="AC39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4283.28</v>
      </c>
      <c r="AD397" s="1">
        <f>IF(ESTIMATIVA[[#This Row],[QT_AREA_REAL]]&gt;0,ESTIMATIVA[[#This Row],[QT_CANA_REAL]],ESTIMATIVA[[#This Row],[QT_CANA_EST]])</f>
        <v>5550.99</v>
      </c>
      <c r="AE397" s="1">
        <f>IF(ESTIMATIVA[[#This Row],[QT_AREA_REAL]]&gt;0,ESTIMATIVA[[#This Row],[QT_CANA_REAL]],ESTIMATIVA[[#This Row],[QT_CANA_REST1]])</f>
        <v>5550.99</v>
      </c>
      <c r="AF397" s="1">
        <f>IF(ESTIMATIVA[[#This Row],[QT_AREA_REAL]]&gt;0,ESTIMATIVA[[#This Row],[QT_CANA_REAL]],ESTIMATIVA[[#This Row],[QT_CANA_REST2]])</f>
        <v>5550.99</v>
      </c>
      <c r="AG397" s="1" t="str">
        <f>IF(COUNTIFS(GEADA!A:A,VALUE(ESTIMATIVA[[#This Row],[CD_UPNIVEL1]]&amp;TEXT(ESTIMATIVA[[#This Row],[CD_UPNIVEL3]],"0000")))&gt;0,"S","N")</f>
        <v>N</v>
      </c>
      <c r="AH397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397" s="55">
        <f>IF(ESTIMATIVA[[#This Row],[TP_CULTIVO]]="Irrigado",_xlfn.MAXIFS(IRRIGADO!J:J,IRRIGADO!C:C,ESTIMATIVA[[#This Row],[CD_UPNIVEL1]],IRRIGADO!E:E,ESTIMATIVA[[#This Row],[CD_UPNIVEL3]]),"")</f>
        <v>45535</v>
      </c>
      <c r="AJ397" s="1">
        <f>IF(ESTIMATIVA[[#This Row],[TP_CULTIVO]]&lt;&gt;"Irrigado",0,AVERAGEIFS(IRRIGADO!G:G,IRRIGADO!C:C,ESTIMATIVA[[#This Row],[CD_UPNIVEL1]],IRRIGADO!E:E,ESTIMATIVA[[#This Row],[CD_UPNIVEL3]])*ESTIMATIVA[[#This Row],[QT_AREA_REAL]])</f>
        <v>1348.4399999999998</v>
      </c>
      <c r="AK397" s="1">
        <f>COUNTIFS(Apresentação!$E$23:$E$29,ESTIMATIVA[[#This Row],[CD_UPNIVEL1]])</f>
        <v>0</v>
      </c>
    </row>
    <row r="398" spans="1:37" x14ac:dyDescent="0.3">
      <c r="A398">
        <v>20314</v>
      </c>
      <c r="B398" t="s">
        <v>27</v>
      </c>
      <c r="C398">
        <v>179</v>
      </c>
      <c r="D398">
        <v>4</v>
      </c>
      <c r="E398" t="s">
        <v>265</v>
      </c>
      <c r="F398" s="85" t="s">
        <v>330</v>
      </c>
      <c r="G398"/>
      <c r="H398" t="s">
        <v>295</v>
      </c>
      <c r="I398" t="s">
        <v>210</v>
      </c>
      <c r="J398" t="s">
        <v>176</v>
      </c>
      <c r="K398" s="1">
        <v>30.34</v>
      </c>
      <c r="L398" s="1">
        <v>0</v>
      </c>
      <c r="M398" s="1">
        <v>0</v>
      </c>
      <c r="N398" s="1">
        <v>30.34</v>
      </c>
      <c r="O398" s="1">
        <v>2123.8000000000002</v>
      </c>
      <c r="P398" s="1">
        <v>0</v>
      </c>
      <c r="Q398" s="1">
        <v>0</v>
      </c>
      <c r="R398" s="1">
        <v>2009.11</v>
      </c>
      <c r="S398" t="s">
        <v>12</v>
      </c>
      <c r="T398" s="13">
        <v>45809</v>
      </c>
      <c r="U398" s="1" t="str">
        <f>IF(ESTIMATIVA[[#This Row],[QT_AREA_REAL]]&gt;0,"1- Colhido","2- à Colher")</f>
        <v>1- Colhido</v>
      </c>
      <c r="V398" s="1" t="str">
        <f>IF(ESTIMATIVA[[#This Row],[QT_AREA_REST1]]&gt;0,"Reestimativa 1",IF(ESTIMATIVA[[#This Row],[QT_AREA_REAL]]=0,"Reestimativa 1","Realizado"))</f>
        <v>Realizado</v>
      </c>
      <c r="W398" s="1" t="str">
        <f>IF(ESTIMATIVA[[#This Row],[QT_AREA_REST2]]&gt;0,"Reestimativa 2",IF(ESTIMATIVA[[#This Row],[QT_AREA_REAL]]=0,"Reestimativa 2","Realizado"))</f>
        <v>Realizado</v>
      </c>
      <c r="X398" s="1">
        <f>ESTIMATIVA[[#This Row],[QT_AREA_EST]]</f>
        <v>30.34</v>
      </c>
      <c r="Y398" s="1">
        <f>IF(ESTIMATIVA[[#This Row],[QT_AREA_REST1]]&gt;0,ESTIMATIVA[[#This Row],[QT_AREA_REST1]],
  IF(ESTIMATIVA[[#This Row],[QT_AREA_REAL]]&gt;0,ESTIMATIVA[[#This Row],[QT_AREA_REAL]],ESTIMATIVA[[#This Row],[QT_AREA_EST]]))</f>
        <v>30.34</v>
      </c>
      <c r="Z39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30.34</v>
      </c>
      <c r="AA398" s="1">
        <f>ESTIMATIVA[[#This Row],[QT_CANA_EST]]</f>
        <v>2123.8000000000002</v>
      </c>
      <c r="AB398" s="1">
        <f>IF(ESTIMATIVA[[#This Row],[QT_CANA_REST1]]&gt;0,ESTIMATIVA[[#This Row],[QT_CANA_REST1]],
  IF(ESTIMATIVA[[#This Row],[QT_CANA_REAL]]&gt;0,ESTIMATIVA[[#This Row],[QT_CANA_REAL]],ESTIMATIVA[[#This Row],[QT_CANA_EST]]))</f>
        <v>2009.11</v>
      </c>
      <c r="AC39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2009.11</v>
      </c>
      <c r="AD398" s="1">
        <f>IF(ESTIMATIVA[[#This Row],[QT_AREA_REAL]]&gt;0,ESTIMATIVA[[#This Row],[QT_CANA_REAL]],ESTIMATIVA[[#This Row],[QT_CANA_EST]])</f>
        <v>2009.11</v>
      </c>
      <c r="AE398" s="1">
        <f>IF(ESTIMATIVA[[#This Row],[QT_AREA_REAL]]&gt;0,ESTIMATIVA[[#This Row],[QT_CANA_REAL]],ESTIMATIVA[[#This Row],[QT_CANA_REST1]])</f>
        <v>2009.11</v>
      </c>
      <c r="AF398" s="1">
        <f>IF(ESTIMATIVA[[#This Row],[QT_AREA_REAL]]&gt;0,ESTIMATIVA[[#This Row],[QT_CANA_REAL]],ESTIMATIVA[[#This Row],[QT_CANA_REST2]])</f>
        <v>2009.11</v>
      </c>
      <c r="AG398" s="1" t="str">
        <f>IF(COUNTIFS(GEADA!A:A,VALUE(ESTIMATIVA[[#This Row],[CD_UPNIVEL1]]&amp;TEXT(ESTIMATIVA[[#This Row],[CD_UPNIVEL3]],"0000")))&gt;0,"S","N")</f>
        <v>N</v>
      </c>
      <c r="AH39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98" s="55" t="str">
        <f>IF(ESTIMATIVA[[#This Row],[TP_CULTIVO]]="Irrigado",_xlfn.MAXIFS(IRRIGADO!J:J,IRRIGADO!C:C,ESTIMATIVA[[#This Row],[CD_UPNIVEL1]],IRRIGADO!E:E,ESTIMATIVA[[#This Row],[CD_UPNIVEL3]]),"")</f>
        <v/>
      </c>
      <c r="AJ39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98" s="1">
        <f>COUNTIFS(Apresentação!$E$23:$E$29,ESTIMATIVA[[#This Row],[CD_UPNIVEL1]])</f>
        <v>0</v>
      </c>
    </row>
    <row r="399" spans="1:37" x14ac:dyDescent="0.3">
      <c r="A399">
        <v>20314</v>
      </c>
      <c r="B399" t="s">
        <v>27</v>
      </c>
      <c r="C399">
        <v>180</v>
      </c>
      <c r="D399">
        <v>4</v>
      </c>
      <c r="E399" t="s">
        <v>265</v>
      </c>
      <c r="F399" s="85" t="s">
        <v>330</v>
      </c>
      <c r="G399"/>
      <c r="H399" t="s">
        <v>295</v>
      </c>
      <c r="I399" t="s">
        <v>210</v>
      </c>
      <c r="J399" t="s">
        <v>176</v>
      </c>
      <c r="K399" s="1">
        <v>35.71</v>
      </c>
      <c r="L399" s="1">
        <v>0</v>
      </c>
      <c r="M399" s="1">
        <v>0</v>
      </c>
      <c r="N399" s="1">
        <v>35.71</v>
      </c>
      <c r="O399" s="1">
        <v>2499.6999999999998</v>
      </c>
      <c r="P399" s="1">
        <v>0</v>
      </c>
      <c r="Q399" s="1">
        <v>0</v>
      </c>
      <c r="R399" s="1">
        <v>2425.4699999999998</v>
      </c>
      <c r="S399" t="s">
        <v>12</v>
      </c>
      <c r="T399" s="13">
        <v>45802</v>
      </c>
      <c r="U399" s="1" t="str">
        <f>IF(ESTIMATIVA[[#This Row],[QT_AREA_REAL]]&gt;0,"1- Colhido","2- à Colher")</f>
        <v>1- Colhido</v>
      </c>
      <c r="V399" s="1" t="str">
        <f>IF(ESTIMATIVA[[#This Row],[QT_AREA_REST1]]&gt;0,"Reestimativa 1",IF(ESTIMATIVA[[#This Row],[QT_AREA_REAL]]=0,"Reestimativa 1","Realizado"))</f>
        <v>Realizado</v>
      </c>
      <c r="W399" s="1" t="str">
        <f>IF(ESTIMATIVA[[#This Row],[QT_AREA_REST2]]&gt;0,"Reestimativa 2",IF(ESTIMATIVA[[#This Row],[QT_AREA_REAL]]=0,"Reestimativa 2","Realizado"))</f>
        <v>Realizado</v>
      </c>
      <c r="X399" s="1">
        <f>ESTIMATIVA[[#This Row],[QT_AREA_EST]]</f>
        <v>35.71</v>
      </c>
      <c r="Y399" s="1">
        <f>IF(ESTIMATIVA[[#This Row],[QT_AREA_REST1]]&gt;0,ESTIMATIVA[[#This Row],[QT_AREA_REST1]],
  IF(ESTIMATIVA[[#This Row],[QT_AREA_REAL]]&gt;0,ESTIMATIVA[[#This Row],[QT_AREA_REAL]],ESTIMATIVA[[#This Row],[QT_AREA_EST]]))</f>
        <v>35.71</v>
      </c>
      <c r="Z39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35.71</v>
      </c>
      <c r="AA399" s="1">
        <f>ESTIMATIVA[[#This Row],[QT_CANA_EST]]</f>
        <v>2499.6999999999998</v>
      </c>
      <c r="AB399" s="1">
        <f>IF(ESTIMATIVA[[#This Row],[QT_CANA_REST1]]&gt;0,ESTIMATIVA[[#This Row],[QT_CANA_REST1]],
  IF(ESTIMATIVA[[#This Row],[QT_CANA_REAL]]&gt;0,ESTIMATIVA[[#This Row],[QT_CANA_REAL]],ESTIMATIVA[[#This Row],[QT_CANA_EST]]))</f>
        <v>2425.4699999999998</v>
      </c>
      <c r="AC39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2425.4699999999998</v>
      </c>
      <c r="AD399" s="1">
        <f>IF(ESTIMATIVA[[#This Row],[QT_AREA_REAL]]&gt;0,ESTIMATIVA[[#This Row],[QT_CANA_REAL]],ESTIMATIVA[[#This Row],[QT_CANA_EST]])</f>
        <v>2425.4699999999998</v>
      </c>
      <c r="AE399" s="1">
        <f>IF(ESTIMATIVA[[#This Row],[QT_AREA_REAL]]&gt;0,ESTIMATIVA[[#This Row],[QT_CANA_REAL]],ESTIMATIVA[[#This Row],[QT_CANA_REST1]])</f>
        <v>2425.4699999999998</v>
      </c>
      <c r="AF399" s="1">
        <f>IF(ESTIMATIVA[[#This Row],[QT_AREA_REAL]]&gt;0,ESTIMATIVA[[#This Row],[QT_CANA_REAL]],ESTIMATIVA[[#This Row],[QT_CANA_REST2]])</f>
        <v>2425.4699999999998</v>
      </c>
      <c r="AG399" s="1" t="str">
        <f>IF(COUNTIFS(GEADA!A:A,VALUE(ESTIMATIVA[[#This Row],[CD_UPNIVEL1]]&amp;TEXT(ESTIMATIVA[[#This Row],[CD_UPNIVEL3]],"0000")))&gt;0,"S","N")</f>
        <v>N</v>
      </c>
      <c r="AH39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399" s="55" t="str">
        <f>IF(ESTIMATIVA[[#This Row],[TP_CULTIVO]]="Irrigado",_xlfn.MAXIFS(IRRIGADO!J:J,IRRIGADO!C:C,ESTIMATIVA[[#This Row],[CD_UPNIVEL1]],IRRIGADO!E:E,ESTIMATIVA[[#This Row],[CD_UPNIVEL3]]),"")</f>
        <v/>
      </c>
      <c r="AJ39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399" s="1">
        <f>COUNTIFS(Apresentação!$E$23:$E$29,ESTIMATIVA[[#This Row],[CD_UPNIVEL1]])</f>
        <v>0</v>
      </c>
    </row>
    <row r="400" spans="1:37" x14ac:dyDescent="0.3">
      <c r="A400">
        <v>20314</v>
      </c>
      <c r="B400" t="s">
        <v>27</v>
      </c>
      <c r="C400">
        <v>181</v>
      </c>
      <c r="D400">
        <v>4</v>
      </c>
      <c r="E400" t="s">
        <v>265</v>
      </c>
      <c r="F400" s="85" t="s">
        <v>332</v>
      </c>
      <c r="G400"/>
      <c r="H400" t="s">
        <v>295</v>
      </c>
      <c r="I400" t="s">
        <v>210</v>
      </c>
      <c r="J400" t="s">
        <v>176</v>
      </c>
      <c r="K400" s="1">
        <v>8.35</v>
      </c>
      <c r="L400" s="1">
        <v>0</v>
      </c>
      <c r="M400" s="1">
        <v>0</v>
      </c>
      <c r="N400" s="1">
        <v>8.35</v>
      </c>
      <c r="O400" s="1">
        <v>584.5</v>
      </c>
      <c r="P400" s="1">
        <v>0</v>
      </c>
      <c r="Q400" s="1">
        <v>0</v>
      </c>
      <c r="R400" s="1">
        <v>567.46</v>
      </c>
      <c r="S400" t="s">
        <v>12</v>
      </c>
      <c r="T400" s="13">
        <v>45802</v>
      </c>
      <c r="U400" s="1" t="str">
        <f>IF(ESTIMATIVA[[#This Row],[QT_AREA_REAL]]&gt;0,"1- Colhido","2- à Colher")</f>
        <v>1- Colhido</v>
      </c>
      <c r="V400" s="1" t="str">
        <f>IF(ESTIMATIVA[[#This Row],[QT_AREA_REST1]]&gt;0,"Reestimativa 1",IF(ESTIMATIVA[[#This Row],[QT_AREA_REAL]]=0,"Reestimativa 1","Realizado"))</f>
        <v>Realizado</v>
      </c>
      <c r="W400" s="1" t="str">
        <f>IF(ESTIMATIVA[[#This Row],[QT_AREA_REST2]]&gt;0,"Reestimativa 2",IF(ESTIMATIVA[[#This Row],[QT_AREA_REAL]]=0,"Reestimativa 2","Realizado"))</f>
        <v>Realizado</v>
      </c>
      <c r="X400" s="1">
        <f>ESTIMATIVA[[#This Row],[QT_AREA_EST]]</f>
        <v>8.35</v>
      </c>
      <c r="Y400" s="1">
        <f>IF(ESTIMATIVA[[#This Row],[QT_AREA_REST1]]&gt;0,ESTIMATIVA[[#This Row],[QT_AREA_REST1]],
  IF(ESTIMATIVA[[#This Row],[QT_AREA_REAL]]&gt;0,ESTIMATIVA[[#This Row],[QT_AREA_REAL]],ESTIMATIVA[[#This Row],[QT_AREA_EST]]))</f>
        <v>8.35</v>
      </c>
      <c r="Z40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8.35</v>
      </c>
      <c r="AA400" s="1">
        <f>ESTIMATIVA[[#This Row],[QT_CANA_EST]]</f>
        <v>584.5</v>
      </c>
      <c r="AB400" s="1">
        <f>IF(ESTIMATIVA[[#This Row],[QT_CANA_REST1]]&gt;0,ESTIMATIVA[[#This Row],[QT_CANA_REST1]],
  IF(ESTIMATIVA[[#This Row],[QT_CANA_REAL]]&gt;0,ESTIMATIVA[[#This Row],[QT_CANA_REAL]],ESTIMATIVA[[#This Row],[QT_CANA_EST]]))</f>
        <v>567.46</v>
      </c>
      <c r="AC40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567.46</v>
      </c>
      <c r="AD400" s="1">
        <f>IF(ESTIMATIVA[[#This Row],[QT_AREA_REAL]]&gt;0,ESTIMATIVA[[#This Row],[QT_CANA_REAL]],ESTIMATIVA[[#This Row],[QT_CANA_EST]])</f>
        <v>567.46</v>
      </c>
      <c r="AE400" s="1">
        <f>IF(ESTIMATIVA[[#This Row],[QT_AREA_REAL]]&gt;0,ESTIMATIVA[[#This Row],[QT_CANA_REAL]],ESTIMATIVA[[#This Row],[QT_CANA_REST1]])</f>
        <v>567.46</v>
      </c>
      <c r="AF400" s="1">
        <f>IF(ESTIMATIVA[[#This Row],[QT_AREA_REAL]]&gt;0,ESTIMATIVA[[#This Row],[QT_CANA_REAL]],ESTIMATIVA[[#This Row],[QT_CANA_REST2]])</f>
        <v>567.46</v>
      </c>
      <c r="AG400" s="1" t="str">
        <f>IF(COUNTIFS(GEADA!A:A,VALUE(ESTIMATIVA[[#This Row],[CD_UPNIVEL1]]&amp;TEXT(ESTIMATIVA[[#This Row],[CD_UPNIVEL3]],"0000")))&gt;0,"S","N")</f>
        <v>N</v>
      </c>
      <c r="AH40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00" s="55" t="str">
        <f>IF(ESTIMATIVA[[#This Row],[TP_CULTIVO]]="Irrigado",_xlfn.MAXIFS(IRRIGADO!J:J,IRRIGADO!C:C,ESTIMATIVA[[#This Row],[CD_UPNIVEL1]],IRRIGADO!E:E,ESTIMATIVA[[#This Row],[CD_UPNIVEL3]]),"")</f>
        <v/>
      </c>
      <c r="AJ40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00" s="1">
        <f>COUNTIFS(Apresentação!$E$23:$E$29,ESTIMATIVA[[#This Row],[CD_UPNIVEL1]])</f>
        <v>0</v>
      </c>
    </row>
    <row r="401" spans="1:37" x14ac:dyDescent="0.3">
      <c r="A401">
        <v>20314</v>
      </c>
      <c r="B401" t="s">
        <v>27</v>
      </c>
      <c r="C401">
        <v>182</v>
      </c>
      <c r="D401">
        <v>4</v>
      </c>
      <c r="E401" t="s">
        <v>265</v>
      </c>
      <c r="F401" s="85" t="s">
        <v>332</v>
      </c>
      <c r="G401"/>
      <c r="H401" t="s">
        <v>295</v>
      </c>
      <c r="I401" t="s">
        <v>210</v>
      </c>
      <c r="J401" t="s">
        <v>176</v>
      </c>
      <c r="K401" s="1">
        <v>13.33</v>
      </c>
      <c r="L401" s="1">
        <v>0</v>
      </c>
      <c r="M401" s="1">
        <v>0</v>
      </c>
      <c r="N401" s="1">
        <v>13.33</v>
      </c>
      <c r="O401" s="1">
        <v>933.1</v>
      </c>
      <c r="P401" s="1">
        <v>0</v>
      </c>
      <c r="Q401" s="1">
        <v>0</v>
      </c>
      <c r="R401" s="1">
        <v>905.11</v>
      </c>
      <c r="S401" t="s">
        <v>12</v>
      </c>
      <c r="T401" s="13">
        <v>45802</v>
      </c>
      <c r="U401" s="1" t="str">
        <f>IF(ESTIMATIVA[[#This Row],[QT_AREA_REAL]]&gt;0,"1- Colhido","2- à Colher")</f>
        <v>1- Colhido</v>
      </c>
      <c r="V401" s="1" t="str">
        <f>IF(ESTIMATIVA[[#This Row],[QT_AREA_REST1]]&gt;0,"Reestimativa 1",IF(ESTIMATIVA[[#This Row],[QT_AREA_REAL]]=0,"Reestimativa 1","Realizado"))</f>
        <v>Realizado</v>
      </c>
      <c r="W401" s="1" t="str">
        <f>IF(ESTIMATIVA[[#This Row],[QT_AREA_REST2]]&gt;0,"Reestimativa 2",IF(ESTIMATIVA[[#This Row],[QT_AREA_REAL]]=0,"Reestimativa 2","Realizado"))</f>
        <v>Realizado</v>
      </c>
      <c r="X401" s="1">
        <f>ESTIMATIVA[[#This Row],[QT_AREA_EST]]</f>
        <v>13.33</v>
      </c>
      <c r="Y401" s="1">
        <f>IF(ESTIMATIVA[[#This Row],[QT_AREA_REST1]]&gt;0,ESTIMATIVA[[#This Row],[QT_AREA_REST1]],
  IF(ESTIMATIVA[[#This Row],[QT_AREA_REAL]]&gt;0,ESTIMATIVA[[#This Row],[QT_AREA_REAL]],ESTIMATIVA[[#This Row],[QT_AREA_EST]]))</f>
        <v>13.33</v>
      </c>
      <c r="Z40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13.33</v>
      </c>
      <c r="AA401" s="1">
        <f>ESTIMATIVA[[#This Row],[QT_CANA_EST]]</f>
        <v>933.1</v>
      </c>
      <c r="AB401" s="1">
        <f>IF(ESTIMATIVA[[#This Row],[QT_CANA_REST1]]&gt;0,ESTIMATIVA[[#This Row],[QT_CANA_REST1]],
  IF(ESTIMATIVA[[#This Row],[QT_CANA_REAL]]&gt;0,ESTIMATIVA[[#This Row],[QT_CANA_REAL]],ESTIMATIVA[[#This Row],[QT_CANA_EST]]))</f>
        <v>905.11</v>
      </c>
      <c r="AC40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905.11</v>
      </c>
      <c r="AD401" s="1">
        <f>IF(ESTIMATIVA[[#This Row],[QT_AREA_REAL]]&gt;0,ESTIMATIVA[[#This Row],[QT_CANA_REAL]],ESTIMATIVA[[#This Row],[QT_CANA_EST]])</f>
        <v>905.11</v>
      </c>
      <c r="AE401" s="1">
        <f>IF(ESTIMATIVA[[#This Row],[QT_AREA_REAL]]&gt;0,ESTIMATIVA[[#This Row],[QT_CANA_REAL]],ESTIMATIVA[[#This Row],[QT_CANA_REST1]])</f>
        <v>905.11</v>
      </c>
      <c r="AF401" s="1">
        <f>IF(ESTIMATIVA[[#This Row],[QT_AREA_REAL]]&gt;0,ESTIMATIVA[[#This Row],[QT_CANA_REAL]],ESTIMATIVA[[#This Row],[QT_CANA_REST2]])</f>
        <v>905.11</v>
      </c>
      <c r="AG401" s="1" t="str">
        <f>IF(COUNTIFS(GEADA!A:A,VALUE(ESTIMATIVA[[#This Row],[CD_UPNIVEL1]]&amp;TEXT(ESTIMATIVA[[#This Row],[CD_UPNIVEL3]],"0000")))&gt;0,"S","N")</f>
        <v>N</v>
      </c>
      <c r="AH40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01" s="55" t="str">
        <f>IF(ESTIMATIVA[[#This Row],[TP_CULTIVO]]="Irrigado",_xlfn.MAXIFS(IRRIGADO!J:J,IRRIGADO!C:C,ESTIMATIVA[[#This Row],[CD_UPNIVEL1]],IRRIGADO!E:E,ESTIMATIVA[[#This Row],[CD_UPNIVEL3]]),"")</f>
        <v/>
      </c>
      <c r="AJ40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01" s="1">
        <f>COUNTIFS(Apresentação!$E$23:$E$29,ESTIMATIVA[[#This Row],[CD_UPNIVEL1]])</f>
        <v>0</v>
      </c>
    </row>
    <row r="402" spans="1:37" x14ac:dyDescent="0.3">
      <c r="A402">
        <v>20314</v>
      </c>
      <c r="B402" t="s">
        <v>27</v>
      </c>
      <c r="C402">
        <v>183</v>
      </c>
      <c r="D402">
        <v>4</v>
      </c>
      <c r="E402" t="s">
        <v>265</v>
      </c>
      <c r="F402" s="85" t="s">
        <v>332</v>
      </c>
      <c r="G402"/>
      <c r="H402" t="s">
        <v>295</v>
      </c>
      <c r="I402" t="s">
        <v>210</v>
      </c>
      <c r="J402" t="s">
        <v>176</v>
      </c>
      <c r="K402" s="1">
        <v>19.600000000000001</v>
      </c>
      <c r="L402" s="1">
        <v>0</v>
      </c>
      <c r="M402" s="1">
        <v>0</v>
      </c>
      <c r="N402" s="1">
        <v>19.600000000000001</v>
      </c>
      <c r="O402" s="1">
        <v>1372</v>
      </c>
      <c r="P402" s="1">
        <v>0</v>
      </c>
      <c r="Q402" s="1">
        <v>0</v>
      </c>
      <c r="R402" s="1">
        <v>1331.04</v>
      </c>
      <c r="S402" t="s">
        <v>12</v>
      </c>
      <c r="T402" s="13">
        <v>45802</v>
      </c>
      <c r="U402" s="1" t="str">
        <f>IF(ESTIMATIVA[[#This Row],[QT_AREA_REAL]]&gt;0,"1- Colhido","2- à Colher")</f>
        <v>1- Colhido</v>
      </c>
      <c r="V402" s="1" t="str">
        <f>IF(ESTIMATIVA[[#This Row],[QT_AREA_REST1]]&gt;0,"Reestimativa 1",IF(ESTIMATIVA[[#This Row],[QT_AREA_REAL]]=0,"Reestimativa 1","Realizado"))</f>
        <v>Realizado</v>
      </c>
      <c r="W402" s="1" t="str">
        <f>IF(ESTIMATIVA[[#This Row],[QT_AREA_REST2]]&gt;0,"Reestimativa 2",IF(ESTIMATIVA[[#This Row],[QT_AREA_REAL]]=0,"Reestimativa 2","Realizado"))</f>
        <v>Realizado</v>
      </c>
      <c r="X402" s="1">
        <f>ESTIMATIVA[[#This Row],[QT_AREA_EST]]</f>
        <v>19.600000000000001</v>
      </c>
      <c r="Y402" s="1">
        <f>IF(ESTIMATIVA[[#This Row],[QT_AREA_REST1]]&gt;0,ESTIMATIVA[[#This Row],[QT_AREA_REST1]],
  IF(ESTIMATIVA[[#This Row],[QT_AREA_REAL]]&gt;0,ESTIMATIVA[[#This Row],[QT_AREA_REAL]],ESTIMATIVA[[#This Row],[QT_AREA_EST]]))</f>
        <v>19.600000000000001</v>
      </c>
      <c r="Z40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19.600000000000001</v>
      </c>
      <c r="AA402" s="1">
        <f>ESTIMATIVA[[#This Row],[QT_CANA_EST]]</f>
        <v>1372</v>
      </c>
      <c r="AB402" s="1">
        <f>IF(ESTIMATIVA[[#This Row],[QT_CANA_REST1]]&gt;0,ESTIMATIVA[[#This Row],[QT_CANA_REST1]],
  IF(ESTIMATIVA[[#This Row],[QT_CANA_REAL]]&gt;0,ESTIMATIVA[[#This Row],[QT_CANA_REAL]],ESTIMATIVA[[#This Row],[QT_CANA_EST]]))</f>
        <v>1331.04</v>
      </c>
      <c r="AC40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1331.04</v>
      </c>
      <c r="AD402" s="1">
        <f>IF(ESTIMATIVA[[#This Row],[QT_AREA_REAL]]&gt;0,ESTIMATIVA[[#This Row],[QT_CANA_REAL]],ESTIMATIVA[[#This Row],[QT_CANA_EST]])</f>
        <v>1331.04</v>
      </c>
      <c r="AE402" s="1">
        <f>IF(ESTIMATIVA[[#This Row],[QT_AREA_REAL]]&gt;0,ESTIMATIVA[[#This Row],[QT_CANA_REAL]],ESTIMATIVA[[#This Row],[QT_CANA_REST1]])</f>
        <v>1331.04</v>
      </c>
      <c r="AF402" s="1">
        <f>IF(ESTIMATIVA[[#This Row],[QT_AREA_REAL]]&gt;0,ESTIMATIVA[[#This Row],[QT_CANA_REAL]],ESTIMATIVA[[#This Row],[QT_CANA_REST2]])</f>
        <v>1331.04</v>
      </c>
      <c r="AG402" s="1" t="str">
        <f>IF(COUNTIFS(GEADA!A:A,VALUE(ESTIMATIVA[[#This Row],[CD_UPNIVEL1]]&amp;TEXT(ESTIMATIVA[[#This Row],[CD_UPNIVEL3]],"0000")))&gt;0,"S","N")</f>
        <v>N</v>
      </c>
      <c r="AH40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02" s="55" t="str">
        <f>IF(ESTIMATIVA[[#This Row],[TP_CULTIVO]]="Irrigado",_xlfn.MAXIFS(IRRIGADO!J:J,IRRIGADO!C:C,ESTIMATIVA[[#This Row],[CD_UPNIVEL1]],IRRIGADO!E:E,ESTIMATIVA[[#This Row],[CD_UPNIVEL3]]),"")</f>
        <v/>
      </c>
      <c r="AJ40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02" s="1">
        <f>COUNTIFS(Apresentação!$E$23:$E$29,ESTIMATIVA[[#This Row],[CD_UPNIVEL1]])</f>
        <v>0</v>
      </c>
    </row>
    <row r="403" spans="1:37" x14ac:dyDescent="0.3">
      <c r="A403">
        <v>20314</v>
      </c>
      <c r="B403" t="s">
        <v>27</v>
      </c>
      <c r="C403">
        <v>184</v>
      </c>
      <c r="D403">
        <v>4</v>
      </c>
      <c r="E403" t="s">
        <v>265</v>
      </c>
      <c r="F403" s="85" t="s">
        <v>332</v>
      </c>
      <c r="G403"/>
      <c r="H403" t="s">
        <v>295</v>
      </c>
      <c r="I403" t="s">
        <v>210</v>
      </c>
      <c r="J403" t="s">
        <v>176</v>
      </c>
      <c r="K403" s="1">
        <v>31.62</v>
      </c>
      <c r="L403" s="1">
        <v>0</v>
      </c>
      <c r="M403" s="1">
        <v>0</v>
      </c>
      <c r="N403" s="1">
        <v>31.62</v>
      </c>
      <c r="O403" s="1">
        <v>2213.4</v>
      </c>
      <c r="P403" s="1">
        <v>0</v>
      </c>
      <c r="Q403" s="1">
        <v>0</v>
      </c>
      <c r="R403" s="1">
        <v>2093.44</v>
      </c>
      <c r="S403" t="s">
        <v>12</v>
      </c>
      <c r="T403" s="13">
        <v>45809</v>
      </c>
      <c r="U403" s="1" t="str">
        <f>IF(ESTIMATIVA[[#This Row],[QT_AREA_REAL]]&gt;0,"1- Colhido","2- à Colher")</f>
        <v>1- Colhido</v>
      </c>
      <c r="V403" s="1" t="str">
        <f>IF(ESTIMATIVA[[#This Row],[QT_AREA_REST1]]&gt;0,"Reestimativa 1",IF(ESTIMATIVA[[#This Row],[QT_AREA_REAL]]=0,"Reestimativa 1","Realizado"))</f>
        <v>Realizado</v>
      </c>
      <c r="W403" s="1" t="str">
        <f>IF(ESTIMATIVA[[#This Row],[QT_AREA_REST2]]&gt;0,"Reestimativa 2",IF(ESTIMATIVA[[#This Row],[QT_AREA_REAL]]=0,"Reestimativa 2","Realizado"))</f>
        <v>Realizado</v>
      </c>
      <c r="X403" s="1">
        <f>ESTIMATIVA[[#This Row],[QT_AREA_EST]]</f>
        <v>31.62</v>
      </c>
      <c r="Y403" s="1">
        <f>IF(ESTIMATIVA[[#This Row],[QT_AREA_REST1]]&gt;0,ESTIMATIVA[[#This Row],[QT_AREA_REST1]],
  IF(ESTIMATIVA[[#This Row],[QT_AREA_REAL]]&gt;0,ESTIMATIVA[[#This Row],[QT_AREA_REAL]],ESTIMATIVA[[#This Row],[QT_AREA_EST]]))</f>
        <v>31.62</v>
      </c>
      <c r="Z40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31.62</v>
      </c>
      <c r="AA403" s="1">
        <f>ESTIMATIVA[[#This Row],[QT_CANA_EST]]</f>
        <v>2213.4</v>
      </c>
      <c r="AB403" s="1">
        <f>IF(ESTIMATIVA[[#This Row],[QT_CANA_REST1]]&gt;0,ESTIMATIVA[[#This Row],[QT_CANA_REST1]],
  IF(ESTIMATIVA[[#This Row],[QT_CANA_REAL]]&gt;0,ESTIMATIVA[[#This Row],[QT_CANA_REAL]],ESTIMATIVA[[#This Row],[QT_CANA_EST]]))</f>
        <v>2093.44</v>
      </c>
      <c r="AC40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2093.44</v>
      </c>
      <c r="AD403" s="1">
        <f>IF(ESTIMATIVA[[#This Row],[QT_AREA_REAL]]&gt;0,ESTIMATIVA[[#This Row],[QT_CANA_REAL]],ESTIMATIVA[[#This Row],[QT_CANA_EST]])</f>
        <v>2093.44</v>
      </c>
      <c r="AE403" s="1">
        <f>IF(ESTIMATIVA[[#This Row],[QT_AREA_REAL]]&gt;0,ESTIMATIVA[[#This Row],[QT_CANA_REAL]],ESTIMATIVA[[#This Row],[QT_CANA_REST1]])</f>
        <v>2093.44</v>
      </c>
      <c r="AF403" s="1">
        <f>IF(ESTIMATIVA[[#This Row],[QT_AREA_REAL]]&gt;0,ESTIMATIVA[[#This Row],[QT_CANA_REAL]],ESTIMATIVA[[#This Row],[QT_CANA_REST2]])</f>
        <v>2093.44</v>
      </c>
      <c r="AG403" s="1" t="str">
        <f>IF(COUNTIFS(GEADA!A:A,VALUE(ESTIMATIVA[[#This Row],[CD_UPNIVEL1]]&amp;TEXT(ESTIMATIVA[[#This Row],[CD_UPNIVEL3]],"0000")))&gt;0,"S","N")</f>
        <v>N</v>
      </c>
      <c r="AH40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03" s="55" t="str">
        <f>IF(ESTIMATIVA[[#This Row],[TP_CULTIVO]]="Irrigado",_xlfn.MAXIFS(IRRIGADO!J:J,IRRIGADO!C:C,ESTIMATIVA[[#This Row],[CD_UPNIVEL1]],IRRIGADO!E:E,ESTIMATIVA[[#This Row],[CD_UPNIVEL3]]),"")</f>
        <v/>
      </c>
      <c r="AJ40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03" s="1">
        <f>COUNTIFS(Apresentação!$E$23:$E$29,ESTIMATIVA[[#This Row],[CD_UPNIVEL1]])</f>
        <v>0</v>
      </c>
    </row>
    <row r="404" spans="1:37" x14ac:dyDescent="0.3">
      <c r="A404">
        <v>20314</v>
      </c>
      <c r="B404" t="s">
        <v>27</v>
      </c>
      <c r="C404">
        <v>185</v>
      </c>
      <c r="D404">
        <v>3</v>
      </c>
      <c r="E404" t="s">
        <v>263</v>
      </c>
      <c r="F404" s="85" t="s">
        <v>332</v>
      </c>
      <c r="G404"/>
      <c r="H404" t="s">
        <v>295</v>
      </c>
      <c r="I404" t="s">
        <v>210</v>
      </c>
      <c r="J404" t="s">
        <v>176</v>
      </c>
      <c r="K404" s="1">
        <v>18.11</v>
      </c>
      <c r="L404" s="1">
        <v>0</v>
      </c>
      <c r="M404" s="1">
        <v>0</v>
      </c>
      <c r="N404" s="1">
        <v>18.11</v>
      </c>
      <c r="O404" s="1">
        <v>1412.58</v>
      </c>
      <c r="P404" s="1">
        <v>0</v>
      </c>
      <c r="Q404" s="1">
        <v>0</v>
      </c>
      <c r="R404" s="1">
        <v>1370.82</v>
      </c>
      <c r="S404" t="s">
        <v>12</v>
      </c>
      <c r="T404" s="13">
        <v>45802</v>
      </c>
      <c r="U404" s="1" t="str">
        <f>IF(ESTIMATIVA[[#This Row],[QT_AREA_REAL]]&gt;0,"1- Colhido","2- à Colher")</f>
        <v>1- Colhido</v>
      </c>
      <c r="V404" s="1" t="str">
        <f>IF(ESTIMATIVA[[#This Row],[QT_AREA_REST1]]&gt;0,"Reestimativa 1",IF(ESTIMATIVA[[#This Row],[QT_AREA_REAL]]=0,"Reestimativa 1","Realizado"))</f>
        <v>Realizado</v>
      </c>
      <c r="W404" s="1" t="str">
        <f>IF(ESTIMATIVA[[#This Row],[QT_AREA_REST2]]&gt;0,"Reestimativa 2",IF(ESTIMATIVA[[#This Row],[QT_AREA_REAL]]=0,"Reestimativa 2","Realizado"))</f>
        <v>Realizado</v>
      </c>
      <c r="X404" s="1">
        <f>ESTIMATIVA[[#This Row],[QT_AREA_EST]]</f>
        <v>18.11</v>
      </c>
      <c r="Y404" s="1">
        <f>IF(ESTIMATIVA[[#This Row],[QT_AREA_REST1]]&gt;0,ESTIMATIVA[[#This Row],[QT_AREA_REST1]],
  IF(ESTIMATIVA[[#This Row],[QT_AREA_REAL]]&gt;0,ESTIMATIVA[[#This Row],[QT_AREA_REAL]],ESTIMATIVA[[#This Row],[QT_AREA_EST]]))</f>
        <v>18.11</v>
      </c>
      <c r="Z40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18.11</v>
      </c>
      <c r="AA404" s="1">
        <f>ESTIMATIVA[[#This Row],[QT_CANA_EST]]</f>
        <v>1412.58</v>
      </c>
      <c r="AB404" s="1">
        <f>IF(ESTIMATIVA[[#This Row],[QT_CANA_REST1]]&gt;0,ESTIMATIVA[[#This Row],[QT_CANA_REST1]],
  IF(ESTIMATIVA[[#This Row],[QT_CANA_REAL]]&gt;0,ESTIMATIVA[[#This Row],[QT_CANA_REAL]],ESTIMATIVA[[#This Row],[QT_CANA_EST]]))</f>
        <v>1370.82</v>
      </c>
      <c r="AC40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1370.82</v>
      </c>
      <c r="AD404" s="1">
        <f>IF(ESTIMATIVA[[#This Row],[QT_AREA_REAL]]&gt;0,ESTIMATIVA[[#This Row],[QT_CANA_REAL]],ESTIMATIVA[[#This Row],[QT_CANA_EST]])</f>
        <v>1370.82</v>
      </c>
      <c r="AE404" s="1">
        <f>IF(ESTIMATIVA[[#This Row],[QT_AREA_REAL]]&gt;0,ESTIMATIVA[[#This Row],[QT_CANA_REAL]],ESTIMATIVA[[#This Row],[QT_CANA_REST1]])</f>
        <v>1370.82</v>
      </c>
      <c r="AF404" s="1">
        <f>IF(ESTIMATIVA[[#This Row],[QT_AREA_REAL]]&gt;0,ESTIMATIVA[[#This Row],[QT_CANA_REAL]],ESTIMATIVA[[#This Row],[QT_CANA_REST2]])</f>
        <v>1370.82</v>
      </c>
      <c r="AG404" s="1" t="str">
        <f>IF(COUNTIFS(GEADA!A:A,VALUE(ESTIMATIVA[[#This Row],[CD_UPNIVEL1]]&amp;TEXT(ESTIMATIVA[[#This Row],[CD_UPNIVEL3]],"0000")))&gt;0,"S","N")</f>
        <v>N</v>
      </c>
      <c r="AH40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04" s="55" t="str">
        <f>IF(ESTIMATIVA[[#This Row],[TP_CULTIVO]]="Irrigado",_xlfn.MAXIFS(IRRIGADO!J:J,IRRIGADO!C:C,ESTIMATIVA[[#This Row],[CD_UPNIVEL1]],IRRIGADO!E:E,ESTIMATIVA[[#This Row],[CD_UPNIVEL3]]),"")</f>
        <v/>
      </c>
      <c r="AJ40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04" s="1">
        <f>COUNTIFS(Apresentação!$E$23:$E$29,ESTIMATIVA[[#This Row],[CD_UPNIVEL1]])</f>
        <v>0</v>
      </c>
    </row>
    <row r="405" spans="1:37" x14ac:dyDescent="0.3">
      <c r="A405">
        <v>20314</v>
      </c>
      <c r="B405" t="s">
        <v>27</v>
      </c>
      <c r="C405">
        <v>186</v>
      </c>
      <c r="D405">
        <v>3</v>
      </c>
      <c r="E405" t="s">
        <v>263</v>
      </c>
      <c r="F405" s="85" t="s">
        <v>332</v>
      </c>
      <c r="G405"/>
      <c r="H405" t="s">
        <v>295</v>
      </c>
      <c r="I405" t="s">
        <v>210</v>
      </c>
      <c r="J405" t="s">
        <v>176</v>
      </c>
      <c r="K405" s="1">
        <v>12.86</v>
      </c>
      <c r="L405" s="1">
        <v>0</v>
      </c>
      <c r="M405" s="1">
        <v>0</v>
      </c>
      <c r="N405" s="1">
        <v>12.86</v>
      </c>
      <c r="O405" s="1">
        <v>1003.08</v>
      </c>
      <c r="P405" s="1">
        <v>0</v>
      </c>
      <c r="Q405" s="1">
        <v>0</v>
      </c>
      <c r="R405" s="1">
        <v>973.74</v>
      </c>
      <c r="S405" t="s">
        <v>12</v>
      </c>
      <c r="T405" s="13">
        <v>45802</v>
      </c>
      <c r="U405" s="1" t="str">
        <f>IF(ESTIMATIVA[[#This Row],[QT_AREA_REAL]]&gt;0,"1- Colhido","2- à Colher")</f>
        <v>1- Colhido</v>
      </c>
      <c r="V405" s="1" t="str">
        <f>IF(ESTIMATIVA[[#This Row],[QT_AREA_REST1]]&gt;0,"Reestimativa 1",IF(ESTIMATIVA[[#This Row],[QT_AREA_REAL]]=0,"Reestimativa 1","Realizado"))</f>
        <v>Realizado</v>
      </c>
      <c r="W405" s="1" t="str">
        <f>IF(ESTIMATIVA[[#This Row],[QT_AREA_REST2]]&gt;0,"Reestimativa 2",IF(ESTIMATIVA[[#This Row],[QT_AREA_REAL]]=0,"Reestimativa 2","Realizado"))</f>
        <v>Realizado</v>
      </c>
      <c r="X405" s="1">
        <f>ESTIMATIVA[[#This Row],[QT_AREA_EST]]</f>
        <v>12.86</v>
      </c>
      <c r="Y405" s="1">
        <f>IF(ESTIMATIVA[[#This Row],[QT_AREA_REST1]]&gt;0,ESTIMATIVA[[#This Row],[QT_AREA_REST1]],
  IF(ESTIMATIVA[[#This Row],[QT_AREA_REAL]]&gt;0,ESTIMATIVA[[#This Row],[QT_AREA_REAL]],ESTIMATIVA[[#This Row],[QT_AREA_EST]]))</f>
        <v>12.86</v>
      </c>
      <c r="Z40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12.86</v>
      </c>
      <c r="AA405" s="1">
        <f>ESTIMATIVA[[#This Row],[QT_CANA_EST]]</f>
        <v>1003.08</v>
      </c>
      <c r="AB405" s="1">
        <f>IF(ESTIMATIVA[[#This Row],[QT_CANA_REST1]]&gt;0,ESTIMATIVA[[#This Row],[QT_CANA_REST1]],
  IF(ESTIMATIVA[[#This Row],[QT_CANA_REAL]]&gt;0,ESTIMATIVA[[#This Row],[QT_CANA_REAL]],ESTIMATIVA[[#This Row],[QT_CANA_EST]]))</f>
        <v>973.74</v>
      </c>
      <c r="AC40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973.74</v>
      </c>
      <c r="AD405" s="1">
        <f>IF(ESTIMATIVA[[#This Row],[QT_AREA_REAL]]&gt;0,ESTIMATIVA[[#This Row],[QT_CANA_REAL]],ESTIMATIVA[[#This Row],[QT_CANA_EST]])</f>
        <v>973.74</v>
      </c>
      <c r="AE405" s="1">
        <f>IF(ESTIMATIVA[[#This Row],[QT_AREA_REAL]]&gt;0,ESTIMATIVA[[#This Row],[QT_CANA_REAL]],ESTIMATIVA[[#This Row],[QT_CANA_REST1]])</f>
        <v>973.74</v>
      </c>
      <c r="AF405" s="1">
        <f>IF(ESTIMATIVA[[#This Row],[QT_AREA_REAL]]&gt;0,ESTIMATIVA[[#This Row],[QT_CANA_REAL]],ESTIMATIVA[[#This Row],[QT_CANA_REST2]])</f>
        <v>973.74</v>
      </c>
      <c r="AG405" s="1" t="str">
        <f>IF(COUNTIFS(GEADA!A:A,VALUE(ESTIMATIVA[[#This Row],[CD_UPNIVEL1]]&amp;TEXT(ESTIMATIVA[[#This Row],[CD_UPNIVEL3]],"0000")))&gt;0,"S","N")</f>
        <v>N</v>
      </c>
      <c r="AH40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05" s="55" t="str">
        <f>IF(ESTIMATIVA[[#This Row],[TP_CULTIVO]]="Irrigado",_xlfn.MAXIFS(IRRIGADO!J:J,IRRIGADO!C:C,ESTIMATIVA[[#This Row],[CD_UPNIVEL1]],IRRIGADO!E:E,ESTIMATIVA[[#This Row],[CD_UPNIVEL3]]),"")</f>
        <v/>
      </c>
      <c r="AJ40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05" s="1">
        <f>COUNTIFS(Apresentação!$E$23:$E$29,ESTIMATIVA[[#This Row],[CD_UPNIVEL1]])</f>
        <v>0</v>
      </c>
    </row>
    <row r="406" spans="1:37" x14ac:dyDescent="0.3">
      <c r="A406">
        <v>20314</v>
      </c>
      <c r="B406" t="s">
        <v>27</v>
      </c>
      <c r="C406">
        <v>195</v>
      </c>
      <c r="D406">
        <v>3</v>
      </c>
      <c r="E406" t="s">
        <v>263</v>
      </c>
      <c r="F406" s="85" t="s">
        <v>332</v>
      </c>
      <c r="G406"/>
      <c r="H406" t="s">
        <v>295</v>
      </c>
      <c r="I406" t="s">
        <v>208</v>
      </c>
      <c r="J406" t="s">
        <v>176</v>
      </c>
      <c r="K406" s="1">
        <v>39.83</v>
      </c>
      <c r="L406" s="1">
        <v>39.83</v>
      </c>
      <c r="M406" s="1">
        <v>0</v>
      </c>
      <c r="N406" s="1">
        <v>39.83</v>
      </c>
      <c r="O406" s="1">
        <v>3465.21</v>
      </c>
      <c r="P406" s="1">
        <v>3505.04</v>
      </c>
      <c r="Q406" s="1">
        <v>0</v>
      </c>
      <c r="R406" s="1">
        <v>4133.25</v>
      </c>
      <c r="S406" t="s">
        <v>12</v>
      </c>
      <c r="T406" s="13">
        <v>45886</v>
      </c>
      <c r="U406" s="1" t="str">
        <f>IF(ESTIMATIVA[[#This Row],[QT_AREA_REAL]]&gt;0,"1- Colhido","2- à Colher")</f>
        <v>1- Colhido</v>
      </c>
      <c r="V406" s="1" t="str">
        <f>IF(ESTIMATIVA[[#This Row],[QT_AREA_REST1]]&gt;0,"Reestimativa 1",IF(ESTIMATIVA[[#This Row],[QT_AREA_REAL]]=0,"Reestimativa 1","Realizado"))</f>
        <v>Reestimativa 1</v>
      </c>
      <c r="W406" s="1" t="str">
        <f>IF(ESTIMATIVA[[#This Row],[QT_AREA_REST2]]&gt;0,"Reestimativa 2",IF(ESTIMATIVA[[#This Row],[QT_AREA_REAL]]=0,"Reestimativa 2","Realizado"))</f>
        <v>Realizado</v>
      </c>
      <c r="X406" s="1">
        <f>ESTIMATIVA[[#This Row],[QT_AREA_EST]]</f>
        <v>39.83</v>
      </c>
      <c r="Y406" s="1">
        <f>IF(ESTIMATIVA[[#This Row],[QT_AREA_REST1]]&gt;0,ESTIMATIVA[[#This Row],[QT_AREA_REST1]],
  IF(ESTIMATIVA[[#This Row],[QT_AREA_REAL]]&gt;0,ESTIMATIVA[[#This Row],[QT_AREA_REAL]],ESTIMATIVA[[#This Row],[QT_AREA_EST]]))</f>
        <v>39.83</v>
      </c>
      <c r="Z40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39.83</v>
      </c>
      <c r="AA406" s="1">
        <f>ESTIMATIVA[[#This Row],[QT_CANA_EST]]</f>
        <v>3465.21</v>
      </c>
      <c r="AB406" s="1">
        <f>IF(ESTIMATIVA[[#This Row],[QT_CANA_REST1]]&gt;0,ESTIMATIVA[[#This Row],[QT_CANA_REST1]],
  IF(ESTIMATIVA[[#This Row],[QT_CANA_REAL]]&gt;0,ESTIMATIVA[[#This Row],[QT_CANA_REAL]],ESTIMATIVA[[#This Row],[QT_CANA_EST]]))</f>
        <v>3505.04</v>
      </c>
      <c r="AC40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4133.25</v>
      </c>
      <c r="AD406" s="1">
        <f>IF(ESTIMATIVA[[#This Row],[QT_AREA_REAL]]&gt;0,ESTIMATIVA[[#This Row],[QT_CANA_REAL]],ESTIMATIVA[[#This Row],[QT_CANA_EST]])</f>
        <v>4133.25</v>
      </c>
      <c r="AE406" s="1">
        <f>IF(ESTIMATIVA[[#This Row],[QT_AREA_REAL]]&gt;0,ESTIMATIVA[[#This Row],[QT_CANA_REAL]],ESTIMATIVA[[#This Row],[QT_CANA_REST1]])</f>
        <v>4133.25</v>
      </c>
      <c r="AF406" s="1">
        <f>IF(ESTIMATIVA[[#This Row],[QT_AREA_REAL]]&gt;0,ESTIMATIVA[[#This Row],[QT_CANA_REAL]],ESTIMATIVA[[#This Row],[QT_CANA_REST2]])</f>
        <v>4133.25</v>
      </c>
      <c r="AG406" s="1" t="str">
        <f>IF(COUNTIFS(GEADA!A:A,VALUE(ESTIMATIVA[[#This Row],[CD_UPNIVEL1]]&amp;TEXT(ESTIMATIVA[[#This Row],[CD_UPNIVEL3]],"0000")))&gt;0,"S","N")</f>
        <v>N</v>
      </c>
      <c r="AH40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06" s="55" t="str">
        <f>IF(ESTIMATIVA[[#This Row],[TP_CULTIVO]]="Irrigado",_xlfn.MAXIFS(IRRIGADO!J:J,IRRIGADO!C:C,ESTIMATIVA[[#This Row],[CD_UPNIVEL1]],IRRIGADO!E:E,ESTIMATIVA[[#This Row],[CD_UPNIVEL3]]),"")</f>
        <v/>
      </c>
      <c r="AJ40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06" s="1">
        <f>COUNTIFS(Apresentação!$E$23:$E$29,ESTIMATIVA[[#This Row],[CD_UPNIVEL1]])</f>
        <v>0</v>
      </c>
    </row>
    <row r="407" spans="1:37" x14ac:dyDescent="0.3">
      <c r="A407">
        <v>20314</v>
      </c>
      <c r="B407" t="s">
        <v>27</v>
      </c>
      <c r="C407">
        <v>200</v>
      </c>
      <c r="D407">
        <v>2</v>
      </c>
      <c r="E407" t="s">
        <v>266</v>
      </c>
      <c r="F407" s="85" t="s">
        <v>332</v>
      </c>
      <c r="G407"/>
      <c r="H407" t="s">
        <v>295</v>
      </c>
      <c r="I407" t="s">
        <v>215</v>
      </c>
      <c r="J407" t="s">
        <v>176</v>
      </c>
      <c r="K407" s="1">
        <v>8.8699999999999992</v>
      </c>
      <c r="L407" s="1">
        <v>8.8699999999999992</v>
      </c>
      <c r="M407" s="1">
        <v>8.8699999999999992</v>
      </c>
      <c r="N407" s="1">
        <v>8.8699999999999992</v>
      </c>
      <c r="O407" s="1">
        <v>753.95</v>
      </c>
      <c r="P407" s="1">
        <v>807.17</v>
      </c>
      <c r="Q407" s="1">
        <v>745.08</v>
      </c>
      <c r="R407" s="1">
        <v>557.51</v>
      </c>
      <c r="S407" t="s">
        <v>12</v>
      </c>
      <c r="T407" s="13">
        <v>45956</v>
      </c>
      <c r="U407" s="1" t="str">
        <f>IF(ESTIMATIVA[[#This Row],[QT_AREA_REAL]]&gt;0,"1- Colhido","2- à Colher")</f>
        <v>1- Colhido</v>
      </c>
      <c r="V407" s="1" t="str">
        <f>IF(ESTIMATIVA[[#This Row],[QT_AREA_REST1]]&gt;0,"Reestimativa 1",IF(ESTIMATIVA[[#This Row],[QT_AREA_REAL]]=0,"Reestimativa 1","Realizado"))</f>
        <v>Reestimativa 1</v>
      </c>
      <c r="W407" s="1" t="str">
        <f>IF(ESTIMATIVA[[#This Row],[QT_AREA_REST2]]&gt;0,"Reestimativa 2",IF(ESTIMATIVA[[#This Row],[QT_AREA_REAL]]=0,"Reestimativa 2","Realizado"))</f>
        <v>Reestimativa 2</v>
      </c>
      <c r="X407" s="1">
        <f>ESTIMATIVA[[#This Row],[QT_AREA_EST]]</f>
        <v>8.8699999999999992</v>
      </c>
      <c r="Y407" s="1">
        <f>IF(ESTIMATIVA[[#This Row],[QT_AREA_REST1]]&gt;0,ESTIMATIVA[[#This Row],[QT_AREA_REST1]],
  IF(ESTIMATIVA[[#This Row],[QT_AREA_REAL]]&gt;0,ESTIMATIVA[[#This Row],[QT_AREA_REAL]],ESTIMATIVA[[#This Row],[QT_AREA_EST]]))</f>
        <v>8.8699999999999992</v>
      </c>
      <c r="Z40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8.8699999999999992</v>
      </c>
      <c r="AA407" s="1">
        <f>ESTIMATIVA[[#This Row],[QT_CANA_EST]]</f>
        <v>753.95</v>
      </c>
      <c r="AB407" s="1">
        <f>IF(ESTIMATIVA[[#This Row],[QT_CANA_REST1]]&gt;0,ESTIMATIVA[[#This Row],[QT_CANA_REST1]],
  IF(ESTIMATIVA[[#This Row],[QT_CANA_REAL]]&gt;0,ESTIMATIVA[[#This Row],[QT_CANA_REAL]],ESTIMATIVA[[#This Row],[QT_CANA_EST]]))</f>
        <v>807.17</v>
      </c>
      <c r="AC40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745.08</v>
      </c>
      <c r="AD407" s="1">
        <f>IF(ESTIMATIVA[[#This Row],[QT_AREA_REAL]]&gt;0,ESTIMATIVA[[#This Row],[QT_CANA_REAL]],ESTIMATIVA[[#This Row],[QT_CANA_EST]])</f>
        <v>557.51</v>
      </c>
      <c r="AE407" s="1">
        <f>IF(ESTIMATIVA[[#This Row],[QT_AREA_REAL]]&gt;0,ESTIMATIVA[[#This Row],[QT_CANA_REAL]],ESTIMATIVA[[#This Row],[QT_CANA_REST1]])</f>
        <v>557.51</v>
      </c>
      <c r="AF407" s="1">
        <f>IF(ESTIMATIVA[[#This Row],[QT_AREA_REAL]]&gt;0,ESTIMATIVA[[#This Row],[QT_CANA_REAL]],ESTIMATIVA[[#This Row],[QT_CANA_REST2]])</f>
        <v>557.51</v>
      </c>
      <c r="AG407" s="1" t="str">
        <f>IF(COUNTIFS(GEADA!A:A,VALUE(ESTIMATIVA[[#This Row],[CD_UPNIVEL1]]&amp;TEXT(ESTIMATIVA[[#This Row],[CD_UPNIVEL3]],"0000")))&gt;0,"S","N")</f>
        <v>N</v>
      </c>
      <c r="AH40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07" s="55" t="str">
        <f>IF(ESTIMATIVA[[#This Row],[TP_CULTIVO]]="Irrigado",_xlfn.MAXIFS(IRRIGADO!J:J,IRRIGADO!C:C,ESTIMATIVA[[#This Row],[CD_UPNIVEL1]],IRRIGADO!E:E,ESTIMATIVA[[#This Row],[CD_UPNIVEL3]]),"")</f>
        <v/>
      </c>
      <c r="AJ40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07" s="1">
        <f>COUNTIFS(Apresentação!$E$23:$E$29,ESTIMATIVA[[#This Row],[CD_UPNIVEL1]])</f>
        <v>0</v>
      </c>
    </row>
    <row r="408" spans="1:37" x14ac:dyDescent="0.3">
      <c r="A408">
        <v>20314</v>
      </c>
      <c r="B408" t="s">
        <v>27</v>
      </c>
      <c r="C408">
        <v>201</v>
      </c>
      <c r="D408">
        <v>2</v>
      </c>
      <c r="E408" t="s">
        <v>266</v>
      </c>
      <c r="F408" s="85" t="s">
        <v>332</v>
      </c>
      <c r="G408"/>
      <c r="H408" t="s">
        <v>295</v>
      </c>
      <c r="I408" t="s">
        <v>216</v>
      </c>
      <c r="J408" t="s">
        <v>176</v>
      </c>
      <c r="K408" s="1">
        <v>15.05</v>
      </c>
      <c r="L408" s="1">
        <v>15.05</v>
      </c>
      <c r="M408" s="1">
        <v>15.05</v>
      </c>
      <c r="N408" s="1">
        <v>15.05</v>
      </c>
      <c r="O408" s="1">
        <v>1279.25</v>
      </c>
      <c r="P408" s="1">
        <v>1369.55</v>
      </c>
      <c r="Q408" s="1">
        <v>1234.0999999999999</v>
      </c>
      <c r="R408" s="1">
        <v>923.49</v>
      </c>
      <c r="S408" t="s">
        <v>12</v>
      </c>
      <c r="T408" s="13">
        <v>45956</v>
      </c>
      <c r="U408" s="1" t="str">
        <f>IF(ESTIMATIVA[[#This Row],[QT_AREA_REAL]]&gt;0,"1- Colhido","2- à Colher")</f>
        <v>1- Colhido</v>
      </c>
      <c r="V408" s="1" t="str">
        <f>IF(ESTIMATIVA[[#This Row],[QT_AREA_REST1]]&gt;0,"Reestimativa 1",IF(ESTIMATIVA[[#This Row],[QT_AREA_REAL]]=0,"Reestimativa 1","Realizado"))</f>
        <v>Reestimativa 1</v>
      </c>
      <c r="W408" s="1" t="str">
        <f>IF(ESTIMATIVA[[#This Row],[QT_AREA_REST2]]&gt;0,"Reestimativa 2",IF(ESTIMATIVA[[#This Row],[QT_AREA_REAL]]=0,"Reestimativa 2","Realizado"))</f>
        <v>Reestimativa 2</v>
      </c>
      <c r="X408" s="1">
        <f>ESTIMATIVA[[#This Row],[QT_AREA_EST]]</f>
        <v>15.05</v>
      </c>
      <c r="Y408" s="1">
        <f>IF(ESTIMATIVA[[#This Row],[QT_AREA_REST1]]&gt;0,ESTIMATIVA[[#This Row],[QT_AREA_REST1]],
  IF(ESTIMATIVA[[#This Row],[QT_AREA_REAL]]&gt;0,ESTIMATIVA[[#This Row],[QT_AREA_REAL]],ESTIMATIVA[[#This Row],[QT_AREA_EST]]))</f>
        <v>15.05</v>
      </c>
      <c r="Z40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15.05</v>
      </c>
      <c r="AA408" s="1">
        <f>ESTIMATIVA[[#This Row],[QT_CANA_EST]]</f>
        <v>1279.25</v>
      </c>
      <c r="AB408" s="1">
        <f>IF(ESTIMATIVA[[#This Row],[QT_CANA_REST1]]&gt;0,ESTIMATIVA[[#This Row],[QT_CANA_REST1]],
  IF(ESTIMATIVA[[#This Row],[QT_CANA_REAL]]&gt;0,ESTIMATIVA[[#This Row],[QT_CANA_REAL]],ESTIMATIVA[[#This Row],[QT_CANA_EST]]))</f>
        <v>1369.55</v>
      </c>
      <c r="AC40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1234.0999999999999</v>
      </c>
      <c r="AD408" s="1">
        <f>IF(ESTIMATIVA[[#This Row],[QT_AREA_REAL]]&gt;0,ESTIMATIVA[[#This Row],[QT_CANA_REAL]],ESTIMATIVA[[#This Row],[QT_CANA_EST]])</f>
        <v>923.49</v>
      </c>
      <c r="AE408" s="1">
        <f>IF(ESTIMATIVA[[#This Row],[QT_AREA_REAL]]&gt;0,ESTIMATIVA[[#This Row],[QT_CANA_REAL]],ESTIMATIVA[[#This Row],[QT_CANA_REST1]])</f>
        <v>923.49</v>
      </c>
      <c r="AF408" s="1">
        <f>IF(ESTIMATIVA[[#This Row],[QT_AREA_REAL]]&gt;0,ESTIMATIVA[[#This Row],[QT_CANA_REAL]],ESTIMATIVA[[#This Row],[QT_CANA_REST2]])</f>
        <v>923.49</v>
      </c>
      <c r="AG408" s="1" t="str">
        <f>IF(COUNTIFS(GEADA!A:A,VALUE(ESTIMATIVA[[#This Row],[CD_UPNIVEL1]]&amp;TEXT(ESTIMATIVA[[#This Row],[CD_UPNIVEL3]],"0000")))&gt;0,"S","N")</f>
        <v>N</v>
      </c>
      <c r="AH40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08" s="55" t="str">
        <f>IF(ESTIMATIVA[[#This Row],[TP_CULTIVO]]="Irrigado",_xlfn.MAXIFS(IRRIGADO!J:J,IRRIGADO!C:C,ESTIMATIVA[[#This Row],[CD_UPNIVEL1]],IRRIGADO!E:E,ESTIMATIVA[[#This Row],[CD_UPNIVEL3]]),"")</f>
        <v/>
      </c>
      <c r="AJ40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08" s="1">
        <f>COUNTIFS(Apresentação!$E$23:$E$29,ESTIMATIVA[[#This Row],[CD_UPNIVEL1]])</f>
        <v>0</v>
      </c>
    </row>
    <row r="409" spans="1:37" x14ac:dyDescent="0.3">
      <c r="A409">
        <v>20314</v>
      </c>
      <c r="B409" t="s">
        <v>27</v>
      </c>
      <c r="C409">
        <v>202</v>
      </c>
      <c r="D409">
        <v>2</v>
      </c>
      <c r="E409" t="s">
        <v>266</v>
      </c>
      <c r="F409" s="85" t="s">
        <v>332</v>
      </c>
      <c r="G409"/>
      <c r="H409" t="s">
        <v>295</v>
      </c>
      <c r="I409" t="s">
        <v>217</v>
      </c>
      <c r="J409" t="s">
        <v>176</v>
      </c>
      <c r="K409" s="1">
        <v>24.76</v>
      </c>
      <c r="L409" s="1">
        <v>24.76</v>
      </c>
      <c r="M409" s="1">
        <v>24.76</v>
      </c>
      <c r="N409" s="1">
        <v>24.76</v>
      </c>
      <c r="O409" s="1">
        <v>2253.16</v>
      </c>
      <c r="P409" s="1">
        <v>2302.6799999999998</v>
      </c>
      <c r="Q409" s="1">
        <v>2030.32</v>
      </c>
      <c r="R409" s="1">
        <v>1519.37</v>
      </c>
      <c r="S409" t="s">
        <v>12</v>
      </c>
      <c r="T409" s="13">
        <v>45956</v>
      </c>
      <c r="U409" s="1" t="str">
        <f>IF(ESTIMATIVA[[#This Row],[QT_AREA_REAL]]&gt;0,"1- Colhido","2- à Colher")</f>
        <v>1- Colhido</v>
      </c>
      <c r="V409" s="1" t="str">
        <f>IF(ESTIMATIVA[[#This Row],[QT_AREA_REST1]]&gt;0,"Reestimativa 1",IF(ESTIMATIVA[[#This Row],[QT_AREA_REAL]]=0,"Reestimativa 1","Realizado"))</f>
        <v>Reestimativa 1</v>
      </c>
      <c r="W409" s="1" t="str">
        <f>IF(ESTIMATIVA[[#This Row],[QT_AREA_REST2]]&gt;0,"Reestimativa 2",IF(ESTIMATIVA[[#This Row],[QT_AREA_REAL]]=0,"Reestimativa 2","Realizado"))</f>
        <v>Reestimativa 2</v>
      </c>
      <c r="X409" s="1">
        <f>ESTIMATIVA[[#This Row],[QT_AREA_EST]]</f>
        <v>24.76</v>
      </c>
      <c r="Y409" s="1">
        <f>IF(ESTIMATIVA[[#This Row],[QT_AREA_REST1]]&gt;0,ESTIMATIVA[[#This Row],[QT_AREA_REST1]],
  IF(ESTIMATIVA[[#This Row],[QT_AREA_REAL]]&gt;0,ESTIMATIVA[[#This Row],[QT_AREA_REAL]],ESTIMATIVA[[#This Row],[QT_AREA_EST]]))</f>
        <v>24.76</v>
      </c>
      <c r="Z40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24.76</v>
      </c>
      <c r="AA409" s="1">
        <f>ESTIMATIVA[[#This Row],[QT_CANA_EST]]</f>
        <v>2253.16</v>
      </c>
      <c r="AB409" s="1">
        <f>IF(ESTIMATIVA[[#This Row],[QT_CANA_REST1]]&gt;0,ESTIMATIVA[[#This Row],[QT_CANA_REST1]],
  IF(ESTIMATIVA[[#This Row],[QT_CANA_REAL]]&gt;0,ESTIMATIVA[[#This Row],[QT_CANA_REAL]],ESTIMATIVA[[#This Row],[QT_CANA_EST]]))</f>
        <v>2302.6799999999998</v>
      </c>
      <c r="AC40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2030.32</v>
      </c>
      <c r="AD409" s="1">
        <f>IF(ESTIMATIVA[[#This Row],[QT_AREA_REAL]]&gt;0,ESTIMATIVA[[#This Row],[QT_CANA_REAL]],ESTIMATIVA[[#This Row],[QT_CANA_EST]])</f>
        <v>1519.37</v>
      </c>
      <c r="AE409" s="1">
        <f>IF(ESTIMATIVA[[#This Row],[QT_AREA_REAL]]&gt;0,ESTIMATIVA[[#This Row],[QT_CANA_REAL]],ESTIMATIVA[[#This Row],[QT_CANA_REST1]])</f>
        <v>1519.37</v>
      </c>
      <c r="AF409" s="1">
        <f>IF(ESTIMATIVA[[#This Row],[QT_AREA_REAL]]&gt;0,ESTIMATIVA[[#This Row],[QT_CANA_REAL]],ESTIMATIVA[[#This Row],[QT_CANA_REST2]])</f>
        <v>1519.37</v>
      </c>
      <c r="AG409" s="1" t="str">
        <f>IF(COUNTIFS(GEADA!A:A,VALUE(ESTIMATIVA[[#This Row],[CD_UPNIVEL1]]&amp;TEXT(ESTIMATIVA[[#This Row],[CD_UPNIVEL3]],"0000")))&gt;0,"S","N")</f>
        <v>N</v>
      </c>
      <c r="AH40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09" s="55" t="str">
        <f>IF(ESTIMATIVA[[#This Row],[TP_CULTIVO]]="Irrigado",_xlfn.MAXIFS(IRRIGADO!J:J,IRRIGADO!C:C,ESTIMATIVA[[#This Row],[CD_UPNIVEL1]],IRRIGADO!E:E,ESTIMATIVA[[#This Row],[CD_UPNIVEL3]]),"")</f>
        <v/>
      </c>
      <c r="AJ40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09" s="1">
        <f>COUNTIFS(Apresentação!$E$23:$E$29,ESTIMATIVA[[#This Row],[CD_UPNIVEL1]])</f>
        <v>0</v>
      </c>
    </row>
    <row r="410" spans="1:37" x14ac:dyDescent="0.3">
      <c r="A410">
        <v>20314</v>
      </c>
      <c r="B410" t="s">
        <v>27</v>
      </c>
      <c r="C410">
        <v>203</v>
      </c>
      <c r="D410">
        <v>2</v>
      </c>
      <c r="E410" t="s">
        <v>266</v>
      </c>
      <c r="F410" s="85" t="s">
        <v>332</v>
      </c>
      <c r="G410"/>
      <c r="H410" t="s">
        <v>295</v>
      </c>
      <c r="I410" t="s">
        <v>217</v>
      </c>
      <c r="J410" t="s">
        <v>176</v>
      </c>
      <c r="K410" s="1">
        <v>9.11</v>
      </c>
      <c r="L410" s="1">
        <v>9.11</v>
      </c>
      <c r="M410" s="1">
        <v>9.11</v>
      </c>
      <c r="N410" s="1">
        <v>9.11</v>
      </c>
      <c r="O410" s="1">
        <v>829.01</v>
      </c>
      <c r="P410" s="1">
        <v>847.23</v>
      </c>
      <c r="Q410" s="1">
        <v>747.02</v>
      </c>
      <c r="R410" s="1">
        <v>568.66</v>
      </c>
      <c r="S410" t="s">
        <v>12</v>
      </c>
      <c r="T410" s="13">
        <v>45963</v>
      </c>
      <c r="U410" s="1" t="str">
        <f>IF(ESTIMATIVA[[#This Row],[QT_AREA_REAL]]&gt;0,"1- Colhido","2- à Colher")</f>
        <v>1- Colhido</v>
      </c>
      <c r="V410" s="1" t="str">
        <f>IF(ESTIMATIVA[[#This Row],[QT_AREA_REST1]]&gt;0,"Reestimativa 1",IF(ESTIMATIVA[[#This Row],[QT_AREA_REAL]]=0,"Reestimativa 1","Realizado"))</f>
        <v>Reestimativa 1</v>
      </c>
      <c r="W410" s="1" t="str">
        <f>IF(ESTIMATIVA[[#This Row],[QT_AREA_REST2]]&gt;0,"Reestimativa 2",IF(ESTIMATIVA[[#This Row],[QT_AREA_REAL]]=0,"Reestimativa 2","Realizado"))</f>
        <v>Reestimativa 2</v>
      </c>
      <c r="X410" s="1">
        <f>ESTIMATIVA[[#This Row],[QT_AREA_EST]]</f>
        <v>9.11</v>
      </c>
      <c r="Y410" s="1">
        <f>IF(ESTIMATIVA[[#This Row],[QT_AREA_REST1]]&gt;0,ESTIMATIVA[[#This Row],[QT_AREA_REST1]],
  IF(ESTIMATIVA[[#This Row],[QT_AREA_REAL]]&gt;0,ESTIMATIVA[[#This Row],[QT_AREA_REAL]],ESTIMATIVA[[#This Row],[QT_AREA_EST]]))</f>
        <v>9.11</v>
      </c>
      <c r="Z41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9.11</v>
      </c>
      <c r="AA410" s="1">
        <f>ESTIMATIVA[[#This Row],[QT_CANA_EST]]</f>
        <v>829.01</v>
      </c>
      <c r="AB410" s="1">
        <f>IF(ESTIMATIVA[[#This Row],[QT_CANA_REST1]]&gt;0,ESTIMATIVA[[#This Row],[QT_CANA_REST1]],
  IF(ESTIMATIVA[[#This Row],[QT_CANA_REAL]]&gt;0,ESTIMATIVA[[#This Row],[QT_CANA_REAL]],ESTIMATIVA[[#This Row],[QT_CANA_EST]]))</f>
        <v>847.23</v>
      </c>
      <c r="AC41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747.02</v>
      </c>
      <c r="AD410" s="1">
        <f>IF(ESTIMATIVA[[#This Row],[QT_AREA_REAL]]&gt;0,ESTIMATIVA[[#This Row],[QT_CANA_REAL]],ESTIMATIVA[[#This Row],[QT_CANA_EST]])</f>
        <v>568.66</v>
      </c>
      <c r="AE410" s="1">
        <f>IF(ESTIMATIVA[[#This Row],[QT_AREA_REAL]]&gt;0,ESTIMATIVA[[#This Row],[QT_CANA_REAL]],ESTIMATIVA[[#This Row],[QT_CANA_REST1]])</f>
        <v>568.66</v>
      </c>
      <c r="AF410" s="1">
        <f>IF(ESTIMATIVA[[#This Row],[QT_AREA_REAL]]&gt;0,ESTIMATIVA[[#This Row],[QT_CANA_REAL]],ESTIMATIVA[[#This Row],[QT_CANA_REST2]])</f>
        <v>568.66</v>
      </c>
      <c r="AG410" s="1" t="str">
        <f>IF(COUNTIFS(GEADA!A:A,VALUE(ESTIMATIVA[[#This Row],[CD_UPNIVEL1]]&amp;TEXT(ESTIMATIVA[[#This Row],[CD_UPNIVEL3]],"0000")))&gt;0,"S","N")</f>
        <v>N</v>
      </c>
      <c r="AH41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10" s="55" t="str">
        <f>IF(ESTIMATIVA[[#This Row],[TP_CULTIVO]]="Irrigado",_xlfn.MAXIFS(IRRIGADO!J:J,IRRIGADO!C:C,ESTIMATIVA[[#This Row],[CD_UPNIVEL1]],IRRIGADO!E:E,ESTIMATIVA[[#This Row],[CD_UPNIVEL3]]),"")</f>
        <v/>
      </c>
      <c r="AJ41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10" s="1">
        <f>COUNTIFS(Apresentação!$E$23:$E$29,ESTIMATIVA[[#This Row],[CD_UPNIVEL1]])</f>
        <v>0</v>
      </c>
    </row>
    <row r="411" spans="1:37" x14ac:dyDescent="0.3">
      <c r="A411">
        <v>20314</v>
      </c>
      <c r="B411" t="s">
        <v>27</v>
      </c>
      <c r="C411">
        <v>204</v>
      </c>
      <c r="D411">
        <v>2</v>
      </c>
      <c r="E411" t="s">
        <v>266</v>
      </c>
      <c r="F411" s="85" t="s">
        <v>332</v>
      </c>
      <c r="G411"/>
      <c r="H411" t="s">
        <v>295</v>
      </c>
      <c r="I411" t="s">
        <v>217</v>
      </c>
      <c r="J411" t="s">
        <v>176</v>
      </c>
      <c r="K411" s="1">
        <v>15.73</v>
      </c>
      <c r="L411" s="1">
        <v>15.73</v>
      </c>
      <c r="M411" s="1">
        <v>15.73</v>
      </c>
      <c r="N411" s="1">
        <v>15.73</v>
      </c>
      <c r="O411" s="1">
        <v>1431.43</v>
      </c>
      <c r="P411" s="1">
        <v>1462.89</v>
      </c>
      <c r="Q411" s="1">
        <v>1289.8599999999999</v>
      </c>
      <c r="R411" s="1">
        <v>982.07</v>
      </c>
      <c r="S411" t="s">
        <v>12</v>
      </c>
      <c r="T411" s="13">
        <v>45963</v>
      </c>
      <c r="U411" s="1" t="str">
        <f>IF(ESTIMATIVA[[#This Row],[QT_AREA_REAL]]&gt;0,"1- Colhido","2- à Colher")</f>
        <v>1- Colhido</v>
      </c>
      <c r="V411" s="1" t="str">
        <f>IF(ESTIMATIVA[[#This Row],[QT_AREA_REST1]]&gt;0,"Reestimativa 1",IF(ESTIMATIVA[[#This Row],[QT_AREA_REAL]]=0,"Reestimativa 1","Realizado"))</f>
        <v>Reestimativa 1</v>
      </c>
      <c r="W411" s="1" t="str">
        <f>IF(ESTIMATIVA[[#This Row],[QT_AREA_REST2]]&gt;0,"Reestimativa 2",IF(ESTIMATIVA[[#This Row],[QT_AREA_REAL]]=0,"Reestimativa 2","Realizado"))</f>
        <v>Reestimativa 2</v>
      </c>
      <c r="X411" s="1">
        <f>ESTIMATIVA[[#This Row],[QT_AREA_EST]]</f>
        <v>15.73</v>
      </c>
      <c r="Y411" s="1">
        <f>IF(ESTIMATIVA[[#This Row],[QT_AREA_REST1]]&gt;0,ESTIMATIVA[[#This Row],[QT_AREA_REST1]],
  IF(ESTIMATIVA[[#This Row],[QT_AREA_REAL]]&gt;0,ESTIMATIVA[[#This Row],[QT_AREA_REAL]],ESTIMATIVA[[#This Row],[QT_AREA_EST]]))</f>
        <v>15.73</v>
      </c>
      <c r="Z41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15.73</v>
      </c>
      <c r="AA411" s="1">
        <f>ESTIMATIVA[[#This Row],[QT_CANA_EST]]</f>
        <v>1431.43</v>
      </c>
      <c r="AB411" s="1">
        <f>IF(ESTIMATIVA[[#This Row],[QT_CANA_REST1]]&gt;0,ESTIMATIVA[[#This Row],[QT_CANA_REST1]],
  IF(ESTIMATIVA[[#This Row],[QT_CANA_REAL]]&gt;0,ESTIMATIVA[[#This Row],[QT_CANA_REAL]],ESTIMATIVA[[#This Row],[QT_CANA_EST]]))</f>
        <v>1462.89</v>
      </c>
      <c r="AC41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1289.8599999999999</v>
      </c>
      <c r="AD411" s="1">
        <f>IF(ESTIMATIVA[[#This Row],[QT_AREA_REAL]]&gt;0,ESTIMATIVA[[#This Row],[QT_CANA_REAL]],ESTIMATIVA[[#This Row],[QT_CANA_EST]])</f>
        <v>982.07</v>
      </c>
      <c r="AE411" s="1">
        <f>IF(ESTIMATIVA[[#This Row],[QT_AREA_REAL]]&gt;0,ESTIMATIVA[[#This Row],[QT_CANA_REAL]],ESTIMATIVA[[#This Row],[QT_CANA_REST1]])</f>
        <v>982.07</v>
      </c>
      <c r="AF411" s="1">
        <f>IF(ESTIMATIVA[[#This Row],[QT_AREA_REAL]]&gt;0,ESTIMATIVA[[#This Row],[QT_CANA_REAL]],ESTIMATIVA[[#This Row],[QT_CANA_REST2]])</f>
        <v>982.07</v>
      </c>
      <c r="AG411" s="1" t="str">
        <f>IF(COUNTIFS(GEADA!A:A,VALUE(ESTIMATIVA[[#This Row],[CD_UPNIVEL1]]&amp;TEXT(ESTIMATIVA[[#This Row],[CD_UPNIVEL3]],"0000")))&gt;0,"S","N")</f>
        <v>N</v>
      </c>
      <c r="AH41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11" s="55" t="str">
        <f>IF(ESTIMATIVA[[#This Row],[TP_CULTIVO]]="Irrigado",_xlfn.MAXIFS(IRRIGADO!J:J,IRRIGADO!C:C,ESTIMATIVA[[#This Row],[CD_UPNIVEL1]],IRRIGADO!E:E,ESTIMATIVA[[#This Row],[CD_UPNIVEL3]]),"")</f>
        <v/>
      </c>
      <c r="AJ41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11" s="1">
        <f>COUNTIFS(Apresentação!$E$23:$E$29,ESTIMATIVA[[#This Row],[CD_UPNIVEL1]])</f>
        <v>0</v>
      </c>
    </row>
    <row r="412" spans="1:37" x14ac:dyDescent="0.3">
      <c r="A412">
        <v>20314</v>
      </c>
      <c r="B412" t="s">
        <v>27</v>
      </c>
      <c r="C412">
        <v>205</v>
      </c>
      <c r="D412">
        <v>2</v>
      </c>
      <c r="E412" t="s">
        <v>266</v>
      </c>
      <c r="F412" s="85" t="s">
        <v>332</v>
      </c>
      <c r="G412"/>
      <c r="H412" t="s">
        <v>295</v>
      </c>
      <c r="I412" t="s">
        <v>217</v>
      </c>
      <c r="J412" t="s">
        <v>176</v>
      </c>
      <c r="K412" s="1">
        <v>20.18</v>
      </c>
      <c r="L412" s="1">
        <v>20.18</v>
      </c>
      <c r="M412" s="1">
        <v>20.18</v>
      </c>
      <c r="N412" s="1">
        <v>20.18</v>
      </c>
      <c r="O412" s="1">
        <v>1836.38</v>
      </c>
      <c r="P412" s="1">
        <v>1876.74</v>
      </c>
      <c r="Q412" s="1">
        <v>1654.76</v>
      </c>
      <c r="R412" s="1">
        <v>1259.96</v>
      </c>
      <c r="S412" t="s">
        <v>12</v>
      </c>
      <c r="T412" s="13">
        <v>45963</v>
      </c>
      <c r="U412" s="1" t="str">
        <f>IF(ESTIMATIVA[[#This Row],[QT_AREA_REAL]]&gt;0,"1- Colhido","2- à Colher")</f>
        <v>1- Colhido</v>
      </c>
      <c r="V412" s="1" t="str">
        <f>IF(ESTIMATIVA[[#This Row],[QT_AREA_REST1]]&gt;0,"Reestimativa 1",IF(ESTIMATIVA[[#This Row],[QT_AREA_REAL]]=0,"Reestimativa 1","Realizado"))</f>
        <v>Reestimativa 1</v>
      </c>
      <c r="W412" s="1" t="str">
        <f>IF(ESTIMATIVA[[#This Row],[QT_AREA_REST2]]&gt;0,"Reestimativa 2",IF(ESTIMATIVA[[#This Row],[QT_AREA_REAL]]=0,"Reestimativa 2","Realizado"))</f>
        <v>Reestimativa 2</v>
      </c>
      <c r="X412" s="1">
        <f>ESTIMATIVA[[#This Row],[QT_AREA_EST]]</f>
        <v>20.18</v>
      </c>
      <c r="Y412" s="1">
        <f>IF(ESTIMATIVA[[#This Row],[QT_AREA_REST1]]&gt;0,ESTIMATIVA[[#This Row],[QT_AREA_REST1]],
  IF(ESTIMATIVA[[#This Row],[QT_AREA_REAL]]&gt;0,ESTIMATIVA[[#This Row],[QT_AREA_REAL]],ESTIMATIVA[[#This Row],[QT_AREA_EST]]))</f>
        <v>20.18</v>
      </c>
      <c r="Z41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20.18</v>
      </c>
      <c r="AA412" s="1">
        <f>ESTIMATIVA[[#This Row],[QT_CANA_EST]]</f>
        <v>1836.38</v>
      </c>
      <c r="AB412" s="1">
        <f>IF(ESTIMATIVA[[#This Row],[QT_CANA_REST1]]&gt;0,ESTIMATIVA[[#This Row],[QT_CANA_REST1]],
  IF(ESTIMATIVA[[#This Row],[QT_CANA_REAL]]&gt;0,ESTIMATIVA[[#This Row],[QT_CANA_REAL]],ESTIMATIVA[[#This Row],[QT_CANA_EST]]))</f>
        <v>1876.74</v>
      </c>
      <c r="AC41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1654.76</v>
      </c>
      <c r="AD412" s="1">
        <f>IF(ESTIMATIVA[[#This Row],[QT_AREA_REAL]]&gt;0,ESTIMATIVA[[#This Row],[QT_CANA_REAL]],ESTIMATIVA[[#This Row],[QT_CANA_EST]])</f>
        <v>1259.96</v>
      </c>
      <c r="AE412" s="1">
        <f>IF(ESTIMATIVA[[#This Row],[QT_AREA_REAL]]&gt;0,ESTIMATIVA[[#This Row],[QT_CANA_REAL]],ESTIMATIVA[[#This Row],[QT_CANA_REST1]])</f>
        <v>1259.96</v>
      </c>
      <c r="AF412" s="1">
        <f>IF(ESTIMATIVA[[#This Row],[QT_AREA_REAL]]&gt;0,ESTIMATIVA[[#This Row],[QT_CANA_REAL]],ESTIMATIVA[[#This Row],[QT_CANA_REST2]])</f>
        <v>1259.96</v>
      </c>
      <c r="AG412" s="1" t="str">
        <f>IF(COUNTIFS(GEADA!A:A,VALUE(ESTIMATIVA[[#This Row],[CD_UPNIVEL1]]&amp;TEXT(ESTIMATIVA[[#This Row],[CD_UPNIVEL3]],"0000")))&gt;0,"S","N")</f>
        <v>N</v>
      </c>
      <c r="AH41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12" s="55" t="str">
        <f>IF(ESTIMATIVA[[#This Row],[TP_CULTIVO]]="Irrigado",_xlfn.MAXIFS(IRRIGADO!J:J,IRRIGADO!C:C,ESTIMATIVA[[#This Row],[CD_UPNIVEL1]],IRRIGADO!E:E,ESTIMATIVA[[#This Row],[CD_UPNIVEL3]]),"")</f>
        <v/>
      </c>
      <c r="AJ41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12" s="1">
        <f>COUNTIFS(Apresentação!$E$23:$E$29,ESTIMATIVA[[#This Row],[CD_UPNIVEL1]])</f>
        <v>0</v>
      </c>
    </row>
    <row r="413" spans="1:37" x14ac:dyDescent="0.3">
      <c r="A413">
        <v>20314</v>
      </c>
      <c r="B413" t="s">
        <v>27</v>
      </c>
      <c r="C413">
        <v>206</v>
      </c>
      <c r="D413">
        <v>2</v>
      </c>
      <c r="E413" t="s">
        <v>266</v>
      </c>
      <c r="F413" s="85" t="s">
        <v>332</v>
      </c>
      <c r="G413"/>
      <c r="H413" t="s">
        <v>295</v>
      </c>
      <c r="I413" t="s">
        <v>217</v>
      </c>
      <c r="J413" t="s">
        <v>176</v>
      </c>
      <c r="K413" s="1">
        <v>16.059999999999999</v>
      </c>
      <c r="L413" s="1">
        <v>16.059999999999999</v>
      </c>
      <c r="M413" s="1">
        <v>16.059999999999999</v>
      </c>
      <c r="N413" s="1">
        <v>16.059999999999999</v>
      </c>
      <c r="O413" s="1">
        <v>1461.46</v>
      </c>
      <c r="P413" s="1">
        <v>1493.58</v>
      </c>
      <c r="Q413" s="1">
        <v>1156.32</v>
      </c>
      <c r="R413" s="1">
        <v>880.29</v>
      </c>
      <c r="S413" t="s">
        <v>12</v>
      </c>
      <c r="T413" s="13">
        <v>45963</v>
      </c>
      <c r="U413" s="1" t="str">
        <f>IF(ESTIMATIVA[[#This Row],[QT_AREA_REAL]]&gt;0,"1- Colhido","2- à Colher")</f>
        <v>1- Colhido</v>
      </c>
      <c r="V413" s="1" t="str">
        <f>IF(ESTIMATIVA[[#This Row],[QT_AREA_REST1]]&gt;0,"Reestimativa 1",IF(ESTIMATIVA[[#This Row],[QT_AREA_REAL]]=0,"Reestimativa 1","Realizado"))</f>
        <v>Reestimativa 1</v>
      </c>
      <c r="W413" s="1" t="str">
        <f>IF(ESTIMATIVA[[#This Row],[QT_AREA_REST2]]&gt;0,"Reestimativa 2",IF(ESTIMATIVA[[#This Row],[QT_AREA_REAL]]=0,"Reestimativa 2","Realizado"))</f>
        <v>Reestimativa 2</v>
      </c>
      <c r="X413" s="1">
        <f>ESTIMATIVA[[#This Row],[QT_AREA_EST]]</f>
        <v>16.059999999999999</v>
      </c>
      <c r="Y413" s="1">
        <f>IF(ESTIMATIVA[[#This Row],[QT_AREA_REST1]]&gt;0,ESTIMATIVA[[#This Row],[QT_AREA_REST1]],
  IF(ESTIMATIVA[[#This Row],[QT_AREA_REAL]]&gt;0,ESTIMATIVA[[#This Row],[QT_AREA_REAL]],ESTIMATIVA[[#This Row],[QT_AREA_EST]]))</f>
        <v>16.059999999999999</v>
      </c>
      <c r="Z41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16.059999999999999</v>
      </c>
      <c r="AA413" s="1">
        <f>ESTIMATIVA[[#This Row],[QT_CANA_EST]]</f>
        <v>1461.46</v>
      </c>
      <c r="AB413" s="1">
        <f>IF(ESTIMATIVA[[#This Row],[QT_CANA_REST1]]&gt;0,ESTIMATIVA[[#This Row],[QT_CANA_REST1]],
  IF(ESTIMATIVA[[#This Row],[QT_CANA_REAL]]&gt;0,ESTIMATIVA[[#This Row],[QT_CANA_REAL]],ESTIMATIVA[[#This Row],[QT_CANA_EST]]))</f>
        <v>1493.58</v>
      </c>
      <c r="AC41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1156.32</v>
      </c>
      <c r="AD413" s="1">
        <f>IF(ESTIMATIVA[[#This Row],[QT_AREA_REAL]]&gt;0,ESTIMATIVA[[#This Row],[QT_CANA_REAL]],ESTIMATIVA[[#This Row],[QT_CANA_EST]])</f>
        <v>880.29</v>
      </c>
      <c r="AE413" s="1">
        <f>IF(ESTIMATIVA[[#This Row],[QT_AREA_REAL]]&gt;0,ESTIMATIVA[[#This Row],[QT_CANA_REAL]],ESTIMATIVA[[#This Row],[QT_CANA_REST1]])</f>
        <v>880.29</v>
      </c>
      <c r="AF413" s="1">
        <f>IF(ESTIMATIVA[[#This Row],[QT_AREA_REAL]]&gt;0,ESTIMATIVA[[#This Row],[QT_CANA_REAL]],ESTIMATIVA[[#This Row],[QT_CANA_REST2]])</f>
        <v>880.29</v>
      </c>
      <c r="AG413" s="1" t="str">
        <f>IF(COUNTIFS(GEADA!A:A,VALUE(ESTIMATIVA[[#This Row],[CD_UPNIVEL1]]&amp;TEXT(ESTIMATIVA[[#This Row],[CD_UPNIVEL3]],"0000")))&gt;0,"S","N")</f>
        <v>N</v>
      </c>
      <c r="AH41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13" s="55" t="str">
        <f>IF(ESTIMATIVA[[#This Row],[TP_CULTIVO]]="Irrigado",_xlfn.MAXIFS(IRRIGADO!J:J,IRRIGADO!C:C,ESTIMATIVA[[#This Row],[CD_UPNIVEL1]],IRRIGADO!E:E,ESTIMATIVA[[#This Row],[CD_UPNIVEL3]]),"")</f>
        <v/>
      </c>
      <c r="AJ41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13" s="1">
        <f>COUNTIFS(Apresentação!$E$23:$E$29,ESTIMATIVA[[#This Row],[CD_UPNIVEL1]])</f>
        <v>0</v>
      </c>
    </row>
    <row r="414" spans="1:37" x14ac:dyDescent="0.3">
      <c r="A414">
        <v>20314</v>
      </c>
      <c r="B414" t="s">
        <v>27</v>
      </c>
      <c r="C414">
        <v>207</v>
      </c>
      <c r="D414">
        <v>2</v>
      </c>
      <c r="E414" t="s">
        <v>266</v>
      </c>
      <c r="F414" s="85" t="s">
        <v>332</v>
      </c>
      <c r="G414"/>
      <c r="H414" t="s">
        <v>295</v>
      </c>
      <c r="I414" t="s">
        <v>210</v>
      </c>
      <c r="J414" t="s">
        <v>176</v>
      </c>
      <c r="K414" s="1">
        <v>31.72</v>
      </c>
      <c r="L414" s="1">
        <v>0</v>
      </c>
      <c r="M414" s="1">
        <v>0</v>
      </c>
      <c r="N414" s="1">
        <v>31.72</v>
      </c>
      <c r="O414" s="1">
        <v>3172</v>
      </c>
      <c r="P414" s="1">
        <v>0</v>
      </c>
      <c r="Q414" s="1">
        <v>0</v>
      </c>
      <c r="R414" s="1">
        <v>3650.75</v>
      </c>
      <c r="S414" t="s">
        <v>12</v>
      </c>
      <c r="T414" s="13">
        <v>45795</v>
      </c>
      <c r="U414" s="1" t="str">
        <f>IF(ESTIMATIVA[[#This Row],[QT_AREA_REAL]]&gt;0,"1- Colhido","2- à Colher")</f>
        <v>1- Colhido</v>
      </c>
      <c r="V414" s="1" t="str">
        <f>IF(ESTIMATIVA[[#This Row],[QT_AREA_REST1]]&gt;0,"Reestimativa 1",IF(ESTIMATIVA[[#This Row],[QT_AREA_REAL]]=0,"Reestimativa 1","Realizado"))</f>
        <v>Realizado</v>
      </c>
      <c r="W414" s="1" t="str">
        <f>IF(ESTIMATIVA[[#This Row],[QT_AREA_REST2]]&gt;0,"Reestimativa 2",IF(ESTIMATIVA[[#This Row],[QT_AREA_REAL]]=0,"Reestimativa 2","Realizado"))</f>
        <v>Realizado</v>
      </c>
      <c r="X414" s="1">
        <f>ESTIMATIVA[[#This Row],[QT_AREA_EST]]</f>
        <v>31.72</v>
      </c>
      <c r="Y414" s="1">
        <f>IF(ESTIMATIVA[[#This Row],[QT_AREA_REST1]]&gt;0,ESTIMATIVA[[#This Row],[QT_AREA_REST1]],
  IF(ESTIMATIVA[[#This Row],[QT_AREA_REAL]]&gt;0,ESTIMATIVA[[#This Row],[QT_AREA_REAL]],ESTIMATIVA[[#This Row],[QT_AREA_EST]]))</f>
        <v>31.72</v>
      </c>
      <c r="Z41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31.72</v>
      </c>
      <c r="AA414" s="1">
        <f>ESTIMATIVA[[#This Row],[QT_CANA_EST]]</f>
        <v>3172</v>
      </c>
      <c r="AB414" s="1">
        <f>IF(ESTIMATIVA[[#This Row],[QT_CANA_REST1]]&gt;0,ESTIMATIVA[[#This Row],[QT_CANA_REST1]],
  IF(ESTIMATIVA[[#This Row],[QT_CANA_REAL]]&gt;0,ESTIMATIVA[[#This Row],[QT_CANA_REAL]],ESTIMATIVA[[#This Row],[QT_CANA_EST]]))</f>
        <v>3650.75</v>
      </c>
      <c r="AC41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3650.75</v>
      </c>
      <c r="AD414" s="1">
        <f>IF(ESTIMATIVA[[#This Row],[QT_AREA_REAL]]&gt;0,ESTIMATIVA[[#This Row],[QT_CANA_REAL]],ESTIMATIVA[[#This Row],[QT_CANA_EST]])</f>
        <v>3650.75</v>
      </c>
      <c r="AE414" s="1">
        <f>IF(ESTIMATIVA[[#This Row],[QT_AREA_REAL]]&gt;0,ESTIMATIVA[[#This Row],[QT_CANA_REAL]],ESTIMATIVA[[#This Row],[QT_CANA_REST1]])</f>
        <v>3650.75</v>
      </c>
      <c r="AF414" s="1">
        <f>IF(ESTIMATIVA[[#This Row],[QT_AREA_REAL]]&gt;0,ESTIMATIVA[[#This Row],[QT_CANA_REAL]],ESTIMATIVA[[#This Row],[QT_CANA_REST2]])</f>
        <v>3650.75</v>
      </c>
      <c r="AG414" s="1" t="str">
        <f>IF(COUNTIFS(GEADA!A:A,VALUE(ESTIMATIVA[[#This Row],[CD_UPNIVEL1]]&amp;TEXT(ESTIMATIVA[[#This Row],[CD_UPNIVEL3]],"0000")))&gt;0,"S","N")</f>
        <v>N</v>
      </c>
      <c r="AH41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14" s="55" t="str">
        <f>IF(ESTIMATIVA[[#This Row],[TP_CULTIVO]]="Irrigado",_xlfn.MAXIFS(IRRIGADO!J:J,IRRIGADO!C:C,ESTIMATIVA[[#This Row],[CD_UPNIVEL1]],IRRIGADO!E:E,ESTIMATIVA[[#This Row],[CD_UPNIVEL3]]),"")</f>
        <v/>
      </c>
      <c r="AJ41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14" s="1">
        <f>COUNTIFS(Apresentação!$E$23:$E$29,ESTIMATIVA[[#This Row],[CD_UPNIVEL1]])</f>
        <v>0</v>
      </c>
    </row>
    <row r="415" spans="1:37" x14ac:dyDescent="0.3">
      <c r="A415">
        <v>20314</v>
      </c>
      <c r="B415" t="s">
        <v>27</v>
      </c>
      <c r="C415">
        <v>208</v>
      </c>
      <c r="D415">
        <v>2</v>
      </c>
      <c r="E415" t="s">
        <v>266</v>
      </c>
      <c r="F415" s="85" t="s">
        <v>332</v>
      </c>
      <c r="G415"/>
      <c r="H415" t="s">
        <v>295</v>
      </c>
      <c r="I415" t="s">
        <v>199</v>
      </c>
      <c r="J415" t="s">
        <v>176</v>
      </c>
      <c r="K415" s="1">
        <v>29.8</v>
      </c>
      <c r="L415" s="1">
        <v>0</v>
      </c>
      <c r="M415" s="1">
        <v>0</v>
      </c>
      <c r="N415" s="1">
        <v>29.8</v>
      </c>
      <c r="O415" s="1">
        <v>2890.6</v>
      </c>
      <c r="P415" s="1">
        <v>0</v>
      </c>
      <c r="Q415" s="1">
        <v>0</v>
      </c>
      <c r="R415" s="1">
        <v>3327.55</v>
      </c>
      <c r="S415" t="s">
        <v>12</v>
      </c>
      <c r="T415" s="13">
        <v>45795</v>
      </c>
      <c r="U415" s="1" t="str">
        <f>IF(ESTIMATIVA[[#This Row],[QT_AREA_REAL]]&gt;0,"1- Colhido","2- à Colher")</f>
        <v>1- Colhido</v>
      </c>
      <c r="V415" s="1" t="str">
        <f>IF(ESTIMATIVA[[#This Row],[QT_AREA_REST1]]&gt;0,"Reestimativa 1",IF(ESTIMATIVA[[#This Row],[QT_AREA_REAL]]=0,"Reestimativa 1","Realizado"))</f>
        <v>Realizado</v>
      </c>
      <c r="W415" s="1" t="str">
        <f>IF(ESTIMATIVA[[#This Row],[QT_AREA_REST2]]&gt;0,"Reestimativa 2",IF(ESTIMATIVA[[#This Row],[QT_AREA_REAL]]=0,"Reestimativa 2","Realizado"))</f>
        <v>Realizado</v>
      </c>
      <c r="X415" s="1">
        <f>ESTIMATIVA[[#This Row],[QT_AREA_EST]]</f>
        <v>29.8</v>
      </c>
      <c r="Y415" s="1">
        <f>IF(ESTIMATIVA[[#This Row],[QT_AREA_REST1]]&gt;0,ESTIMATIVA[[#This Row],[QT_AREA_REST1]],
  IF(ESTIMATIVA[[#This Row],[QT_AREA_REAL]]&gt;0,ESTIMATIVA[[#This Row],[QT_AREA_REAL]],ESTIMATIVA[[#This Row],[QT_AREA_EST]]))</f>
        <v>29.8</v>
      </c>
      <c r="Z41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29.8</v>
      </c>
      <c r="AA415" s="1">
        <f>ESTIMATIVA[[#This Row],[QT_CANA_EST]]</f>
        <v>2890.6</v>
      </c>
      <c r="AB415" s="1">
        <f>IF(ESTIMATIVA[[#This Row],[QT_CANA_REST1]]&gt;0,ESTIMATIVA[[#This Row],[QT_CANA_REST1]],
  IF(ESTIMATIVA[[#This Row],[QT_CANA_REAL]]&gt;0,ESTIMATIVA[[#This Row],[QT_CANA_REAL]],ESTIMATIVA[[#This Row],[QT_CANA_EST]]))</f>
        <v>3327.55</v>
      </c>
      <c r="AC41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3327.55</v>
      </c>
      <c r="AD415" s="1">
        <f>IF(ESTIMATIVA[[#This Row],[QT_AREA_REAL]]&gt;0,ESTIMATIVA[[#This Row],[QT_CANA_REAL]],ESTIMATIVA[[#This Row],[QT_CANA_EST]])</f>
        <v>3327.55</v>
      </c>
      <c r="AE415" s="1">
        <f>IF(ESTIMATIVA[[#This Row],[QT_AREA_REAL]]&gt;0,ESTIMATIVA[[#This Row],[QT_CANA_REAL]],ESTIMATIVA[[#This Row],[QT_CANA_REST1]])</f>
        <v>3327.55</v>
      </c>
      <c r="AF415" s="1">
        <f>IF(ESTIMATIVA[[#This Row],[QT_AREA_REAL]]&gt;0,ESTIMATIVA[[#This Row],[QT_CANA_REAL]],ESTIMATIVA[[#This Row],[QT_CANA_REST2]])</f>
        <v>3327.55</v>
      </c>
      <c r="AG415" s="1" t="str">
        <f>IF(COUNTIFS(GEADA!A:A,VALUE(ESTIMATIVA[[#This Row],[CD_UPNIVEL1]]&amp;TEXT(ESTIMATIVA[[#This Row],[CD_UPNIVEL3]],"0000")))&gt;0,"S","N")</f>
        <v>N</v>
      </c>
      <c r="AH41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15" s="55" t="str">
        <f>IF(ESTIMATIVA[[#This Row],[TP_CULTIVO]]="Irrigado",_xlfn.MAXIFS(IRRIGADO!J:J,IRRIGADO!C:C,ESTIMATIVA[[#This Row],[CD_UPNIVEL1]],IRRIGADO!E:E,ESTIMATIVA[[#This Row],[CD_UPNIVEL3]]),"")</f>
        <v/>
      </c>
      <c r="AJ41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15" s="1">
        <f>COUNTIFS(Apresentação!$E$23:$E$29,ESTIMATIVA[[#This Row],[CD_UPNIVEL1]])</f>
        <v>0</v>
      </c>
    </row>
    <row r="416" spans="1:37" x14ac:dyDescent="0.3">
      <c r="A416">
        <v>20314</v>
      </c>
      <c r="B416" t="s">
        <v>27</v>
      </c>
      <c r="C416">
        <v>209</v>
      </c>
      <c r="D416">
        <v>2</v>
      </c>
      <c r="E416" t="s">
        <v>266</v>
      </c>
      <c r="F416" s="85" t="s">
        <v>332</v>
      </c>
      <c r="G416"/>
      <c r="H416" t="s">
        <v>295</v>
      </c>
      <c r="I416" t="s">
        <v>210</v>
      </c>
      <c r="J416" t="s">
        <v>176</v>
      </c>
      <c r="K416" s="1">
        <v>28.61</v>
      </c>
      <c r="L416" s="1">
        <v>0</v>
      </c>
      <c r="M416" s="1">
        <v>0</v>
      </c>
      <c r="N416" s="1">
        <v>28.61</v>
      </c>
      <c r="O416" s="1">
        <v>2861</v>
      </c>
      <c r="P416" s="1">
        <v>0</v>
      </c>
      <c r="Q416" s="1">
        <v>0</v>
      </c>
      <c r="R416" s="1">
        <v>3243.57</v>
      </c>
      <c r="S416" t="s">
        <v>12</v>
      </c>
      <c r="T416" s="13">
        <v>45802</v>
      </c>
      <c r="U416" s="1" t="str">
        <f>IF(ESTIMATIVA[[#This Row],[QT_AREA_REAL]]&gt;0,"1- Colhido","2- à Colher")</f>
        <v>1- Colhido</v>
      </c>
      <c r="V416" s="1" t="str">
        <f>IF(ESTIMATIVA[[#This Row],[QT_AREA_REST1]]&gt;0,"Reestimativa 1",IF(ESTIMATIVA[[#This Row],[QT_AREA_REAL]]=0,"Reestimativa 1","Realizado"))</f>
        <v>Realizado</v>
      </c>
      <c r="W416" s="1" t="str">
        <f>IF(ESTIMATIVA[[#This Row],[QT_AREA_REST2]]&gt;0,"Reestimativa 2",IF(ESTIMATIVA[[#This Row],[QT_AREA_REAL]]=0,"Reestimativa 2","Realizado"))</f>
        <v>Realizado</v>
      </c>
      <c r="X416" s="1">
        <f>ESTIMATIVA[[#This Row],[QT_AREA_EST]]</f>
        <v>28.61</v>
      </c>
      <c r="Y416" s="1">
        <f>IF(ESTIMATIVA[[#This Row],[QT_AREA_REST1]]&gt;0,ESTIMATIVA[[#This Row],[QT_AREA_REST1]],
  IF(ESTIMATIVA[[#This Row],[QT_AREA_REAL]]&gt;0,ESTIMATIVA[[#This Row],[QT_AREA_REAL]],ESTIMATIVA[[#This Row],[QT_AREA_EST]]))</f>
        <v>28.61</v>
      </c>
      <c r="Z41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28.61</v>
      </c>
      <c r="AA416" s="1">
        <f>ESTIMATIVA[[#This Row],[QT_CANA_EST]]</f>
        <v>2861</v>
      </c>
      <c r="AB416" s="1">
        <f>IF(ESTIMATIVA[[#This Row],[QT_CANA_REST1]]&gt;0,ESTIMATIVA[[#This Row],[QT_CANA_REST1]],
  IF(ESTIMATIVA[[#This Row],[QT_CANA_REAL]]&gt;0,ESTIMATIVA[[#This Row],[QT_CANA_REAL]],ESTIMATIVA[[#This Row],[QT_CANA_EST]]))</f>
        <v>3243.57</v>
      </c>
      <c r="AC41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3243.57</v>
      </c>
      <c r="AD416" s="1">
        <f>IF(ESTIMATIVA[[#This Row],[QT_AREA_REAL]]&gt;0,ESTIMATIVA[[#This Row],[QT_CANA_REAL]],ESTIMATIVA[[#This Row],[QT_CANA_EST]])</f>
        <v>3243.57</v>
      </c>
      <c r="AE416" s="1">
        <f>IF(ESTIMATIVA[[#This Row],[QT_AREA_REAL]]&gt;0,ESTIMATIVA[[#This Row],[QT_CANA_REAL]],ESTIMATIVA[[#This Row],[QT_CANA_REST1]])</f>
        <v>3243.57</v>
      </c>
      <c r="AF416" s="1">
        <f>IF(ESTIMATIVA[[#This Row],[QT_AREA_REAL]]&gt;0,ESTIMATIVA[[#This Row],[QT_CANA_REAL]],ESTIMATIVA[[#This Row],[QT_CANA_REST2]])</f>
        <v>3243.57</v>
      </c>
      <c r="AG416" s="1" t="str">
        <f>IF(COUNTIFS(GEADA!A:A,VALUE(ESTIMATIVA[[#This Row],[CD_UPNIVEL1]]&amp;TEXT(ESTIMATIVA[[#This Row],[CD_UPNIVEL3]],"0000")))&gt;0,"S","N")</f>
        <v>N</v>
      </c>
      <c r="AH41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16" s="55" t="str">
        <f>IF(ESTIMATIVA[[#This Row],[TP_CULTIVO]]="Irrigado",_xlfn.MAXIFS(IRRIGADO!J:J,IRRIGADO!C:C,ESTIMATIVA[[#This Row],[CD_UPNIVEL1]],IRRIGADO!E:E,ESTIMATIVA[[#This Row],[CD_UPNIVEL3]]),"")</f>
        <v/>
      </c>
      <c r="AJ41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16" s="1">
        <f>COUNTIFS(Apresentação!$E$23:$E$29,ESTIMATIVA[[#This Row],[CD_UPNIVEL1]])</f>
        <v>0</v>
      </c>
    </row>
    <row r="417" spans="1:37" x14ac:dyDescent="0.3">
      <c r="A417">
        <v>20314</v>
      </c>
      <c r="B417" t="s">
        <v>27</v>
      </c>
      <c r="C417">
        <v>210</v>
      </c>
      <c r="D417">
        <v>2</v>
      </c>
      <c r="E417" t="s">
        <v>266</v>
      </c>
      <c r="F417" s="85" t="s">
        <v>332</v>
      </c>
      <c r="G417"/>
      <c r="H417" t="s">
        <v>295</v>
      </c>
      <c r="I417" t="s">
        <v>210</v>
      </c>
      <c r="J417" t="s">
        <v>176</v>
      </c>
      <c r="K417" s="1">
        <v>32.049999999999997</v>
      </c>
      <c r="L417" s="1">
        <v>0</v>
      </c>
      <c r="M417" s="1">
        <v>0</v>
      </c>
      <c r="N417" s="1">
        <v>32.049999999999997</v>
      </c>
      <c r="O417" s="1">
        <v>3237.05</v>
      </c>
      <c r="P417" s="1">
        <v>0</v>
      </c>
      <c r="Q417" s="1">
        <v>0</v>
      </c>
      <c r="R417" s="1">
        <v>3670.08</v>
      </c>
      <c r="S417" t="s">
        <v>12</v>
      </c>
      <c r="T417" s="13">
        <v>45802</v>
      </c>
      <c r="U417" s="1" t="str">
        <f>IF(ESTIMATIVA[[#This Row],[QT_AREA_REAL]]&gt;0,"1- Colhido","2- à Colher")</f>
        <v>1- Colhido</v>
      </c>
      <c r="V417" s="1" t="str">
        <f>IF(ESTIMATIVA[[#This Row],[QT_AREA_REST1]]&gt;0,"Reestimativa 1",IF(ESTIMATIVA[[#This Row],[QT_AREA_REAL]]=0,"Reestimativa 1","Realizado"))</f>
        <v>Realizado</v>
      </c>
      <c r="W417" s="1" t="str">
        <f>IF(ESTIMATIVA[[#This Row],[QT_AREA_REST2]]&gt;0,"Reestimativa 2",IF(ESTIMATIVA[[#This Row],[QT_AREA_REAL]]=0,"Reestimativa 2","Realizado"))</f>
        <v>Realizado</v>
      </c>
      <c r="X417" s="1">
        <f>ESTIMATIVA[[#This Row],[QT_AREA_EST]]</f>
        <v>32.049999999999997</v>
      </c>
      <c r="Y417" s="1">
        <f>IF(ESTIMATIVA[[#This Row],[QT_AREA_REST1]]&gt;0,ESTIMATIVA[[#This Row],[QT_AREA_REST1]],
  IF(ESTIMATIVA[[#This Row],[QT_AREA_REAL]]&gt;0,ESTIMATIVA[[#This Row],[QT_AREA_REAL]],ESTIMATIVA[[#This Row],[QT_AREA_EST]]))</f>
        <v>32.049999999999997</v>
      </c>
      <c r="Z41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32.049999999999997</v>
      </c>
      <c r="AA417" s="1">
        <f>ESTIMATIVA[[#This Row],[QT_CANA_EST]]</f>
        <v>3237.05</v>
      </c>
      <c r="AB417" s="1">
        <f>IF(ESTIMATIVA[[#This Row],[QT_CANA_REST1]]&gt;0,ESTIMATIVA[[#This Row],[QT_CANA_REST1]],
  IF(ESTIMATIVA[[#This Row],[QT_CANA_REAL]]&gt;0,ESTIMATIVA[[#This Row],[QT_CANA_REAL]],ESTIMATIVA[[#This Row],[QT_CANA_EST]]))</f>
        <v>3670.08</v>
      </c>
      <c r="AC41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3670.08</v>
      </c>
      <c r="AD417" s="1">
        <f>IF(ESTIMATIVA[[#This Row],[QT_AREA_REAL]]&gt;0,ESTIMATIVA[[#This Row],[QT_CANA_REAL]],ESTIMATIVA[[#This Row],[QT_CANA_EST]])</f>
        <v>3670.08</v>
      </c>
      <c r="AE417" s="1">
        <f>IF(ESTIMATIVA[[#This Row],[QT_AREA_REAL]]&gt;0,ESTIMATIVA[[#This Row],[QT_CANA_REAL]],ESTIMATIVA[[#This Row],[QT_CANA_REST1]])</f>
        <v>3670.08</v>
      </c>
      <c r="AF417" s="1">
        <f>IF(ESTIMATIVA[[#This Row],[QT_AREA_REAL]]&gt;0,ESTIMATIVA[[#This Row],[QT_CANA_REAL]],ESTIMATIVA[[#This Row],[QT_CANA_REST2]])</f>
        <v>3670.08</v>
      </c>
      <c r="AG417" s="1" t="str">
        <f>IF(COUNTIFS(GEADA!A:A,VALUE(ESTIMATIVA[[#This Row],[CD_UPNIVEL1]]&amp;TEXT(ESTIMATIVA[[#This Row],[CD_UPNIVEL3]],"0000")))&gt;0,"S","N")</f>
        <v>N</v>
      </c>
      <c r="AH41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17" s="55" t="str">
        <f>IF(ESTIMATIVA[[#This Row],[TP_CULTIVO]]="Irrigado",_xlfn.MAXIFS(IRRIGADO!J:J,IRRIGADO!C:C,ESTIMATIVA[[#This Row],[CD_UPNIVEL1]],IRRIGADO!E:E,ESTIMATIVA[[#This Row],[CD_UPNIVEL3]]),"")</f>
        <v/>
      </c>
      <c r="AJ41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17" s="1">
        <f>COUNTIFS(Apresentação!$E$23:$E$29,ESTIMATIVA[[#This Row],[CD_UPNIVEL1]])</f>
        <v>0</v>
      </c>
    </row>
    <row r="418" spans="1:37" x14ac:dyDescent="0.3">
      <c r="A418">
        <v>20314</v>
      </c>
      <c r="B418" t="s">
        <v>27</v>
      </c>
      <c r="C418">
        <v>211</v>
      </c>
      <c r="D418">
        <v>2</v>
      </c>
      <c r="E418" t="s">
        <v>266</v>
      </c>
      <c r="F418" s="85" t="s">
        <v>332</v>
      </c>
      <c r="G418"/>
      <c r="H418" t="s">
        <v>295</v>
      </c>
      <c r="I418" t="s">
        <v>210</v>
      </c>
      <c r="J418" t="s">
        <v>176</v>
      </c>
      <c r="K418" s="1">
        <v>41.11</v>
      </c>
      <c r="L418" s="1">
        <v>0</v>
      </c>
      <c r="M418" s="1">
        <v>0</v>
      </c>
      <c r="N418" s="1">
        <v>41.11</v>
      </c>
      <c r="O418" s="1">
        <v>4275.4399999999996</v>
      </c>
      <c r="P418" s="1">
        <v>0</v>
      </c>
      <c r="Q418" s="1">
        <v>0</v>
      </c>
      <c r="R418" s="1">
        <v>5216.7</v>
      </c>
      <c r="S418" t="s">
        <v>12</v>
      </c>
      <c r="T418" s="13">
        <v>45802</v>
      </c>
      <c r="U418" s="1" t="str">
        <f>IF(ESTIMATIVA[[#This Row],[QT_AREA_REAL]]&gt;0,"1- Colhido","2- à Colher")</f>
        <v>1- Colhido</v>
      </c>
      <c r="V418" s="1" t="str">
        <f>IF(ESTIMATIVA[[#This Row],[QT_AREA_REST1]]&gt;0,"Reestimativa 1",IF(ESTIMATIVA[[#This Row],[QT_AREA_REAL]]=0,"Reestimativa 1","Realizado"))</f>
        <v>Realizado</v>
      </c>
      <c r="W418" s="1" t="str">
        <f>IF(ESTIMATIVA[[#This Row],[QT_AREA_REST2]]&gt;0,"Reestimativa 2",IF(ESTIMATIVA[[#This Row],[QT_AREA_REAL]]=0,"Reestimativa 2","Realizado"))</f>
        <v>Realizado</v>
      </c>
      <c r="X418" s="1">
        <f>ESTIMATIVA[[#This Row],[QT_AREA_EST]]</f>
        <v>41.11</v>
      </c>
      <c r="Y418" s="1">
        <f>IF(ESTIMATIVA[[#This Row],[QT_AREA_REST1]]&gt;0,ESTIMATIVA[[#This Row],[QT_AREA_REST1]],
  IF(ESTIMATIVA[[#This Row],[QT_AREA_REAL]]&gt;0,ESTIMATIVA[[#This Row],[QT_AREA_REAL]],ESTIMATIVA[[#This Row],[QT_AREA_EST]]))</f>
        <v>41.11</v>
      </c>
      <c r="Z41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41.11</v>
      </c>
      <c r="AA418" s="1">
        <f>ESTIMATIVA[[#This Row],[QT_CANA_EST]]</f>
        <v>4275.4399999999996</v>
      </c>
      <c r="AB418" s="1">
        <f>IF(ESTIMATIVA[[#This Row],[QT_CANA_REST1]]&gt;0,ESTIMATIVA[[#This Row],[QT_CANA_REST1]],
  IF(ESTIMATIVA[[#This Row],[QT_CANA_REAL]]&gt;0,ESTIMATIVA[[#This Row],[QT_CANA_REAL]],ESTIMATIVA[[#This Row],[QT_CANA_EST]]))</f>
        <v>5216.7</v>
      </c>
      <c r="AC41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5216.7</v>
      </c>
      <c r="AD418" s="1">
        <f>IF(ESTIMATIVA[[#This Row],[QT_AREA_REAL]]&gt;0,ESTIMATIVA[[#This Row],[QT_CANA_REAL]],ESTIMATIVA[[#This Row],[QT_CANA_EST]])</f>
        <v>5216.7</v>
      </c>
      <c r="AE418" s="1">
        <f>IF(ESTIMATIVA[[#This Row],[QT_AREA_REAL]]&gt;0,ESTIMATIVA[[#This Row],[QT_CANA_REAL]],ESTIMATIVA[[#This Row],[QT_CANA_REST1]])</f>
        <v>5216.7</v>
      </c>
      <c r="AF418" s="1">
        <f>IF(ESTIMATIVA[[#This Row],[QT_AREA_REAL]]&gt;0,ESTIMATIVA[[#This Row],[QT_CANA_REAL]],ESTIMATIVA[[#This Row],[QT_CANA_REST2]])</f>
        <v>5216.7</v>
      </c>
      <c r="AG418" s="1" t="str">
        <f>IF(COUNTIFS(GEADA!A:A,VALUE(ESTIMATIVA[[#This Row],[CD_UPNIVEL1]]&amp;TEXT(ESTIMATIVA[[#This Row],[CD_UPNIVEL3]],"0000")))&gt;0,"S","N")</f>
        <v>N</v>
      </c>
      <c r="AH41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18" s="55" t="str">
        <f>IF(ESTIMATIVA[[#This Row],[TP_CULTIVO]]="Irrigado",_xlfn.MAXIFS(IRRIGADO!J:J,IRRIGADO!C:C,ESTIMATIVA[[#This Row],[CD_UPNIVEL1]],IRRIGADO!E:E,ESTIMATIVA[[#This Row],[CD_UPNIVEL3]]),"")</f>
        <v/>
      </c>
      <c r="AJ41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18" s="1">
        <f>COUNTIFS(Apresentação!$E$23:$E$29,ESTIMATIVA[[#This Row],[CD_UPNIVEL1]])</f>
        <v>0</v>
      </c>
    </row>
    <row r="419" spans="1:37" x14ac:dyDescent="0.3">
      <c r="A419">
        <v>20314</v>
      </c>
      <c r="B419" t="s">
        <v>27</v>
      </c>
      <c r="C419">
        <v>212</v>
      </c>
      <c r="D419">
        <v>2</v>
      </c>
      <c r="E419" t="s">
        <v>266</v>
      </c>
      <c r="F419" s="85" t="s">
        <v>331</v>
      </c>
      <c r="G419"/>
      <c r="H419" t="s">
        <v>295</v>
      </c>
      <c r="I419" t="s">
        <v>210</v>
      </c>
      <c r="J419" t="s">
        <v>176</v>
      </c>
      <c r="K419" s="1">
        <v>23.31</v>
      </c>
      <c r="L419" s="1">
        <v>0</v>
      </c>
      <c r="M419" s="1">
        <v>0</v>
      </c>
      <c r="N419" s="1">
        <v>23.31</v>
      </c>
      <c r="O419" s="1">
        <v>2097.9</v>
      </c>
      <c r="P419" s="1">
        <v>0</v>
      </c>
      <c r="Q419" s="1">
        <v>0</v>
      </c>
      <c r="R419" s="1">
        <v>2539.64</v>
      </c>
      <c r="S419" t="s">
        <v>12</v>
      </c>
      <c r="T419" s="13">
        <v>45802</v>
      </c>
      <c r="U419" s="1" t="str">
        <f>IF(ESTIMATIVA[[#This Row],[QT_AREA_REAL]]&gt;0,"1- Colhido","2- à Colher")</f>
        <v>1- Colhido</v>
      </c>
      <c r="V419" s="1" t="str">
        <f>IF(ESTIMATIVA[[#This Row],[QT_AREA_REST1]]&gt;0,"Reestimativa 1",IF(ESTIMATIVA[[#This Row],[QT_AREA_REAL]]=0,"Reestimativa 1","Realizado"))</f>
        <v>Realizado</v>
      </c>
      <c r="W419" s="1" t="str">
        <f>IF(ESTIMATIVA[[#This Row],[QT_AREA_REST2]]&gt;0,"Reestimativa 2",IF(ESTIMATIVA[[#This Row],[QT_AREA_REAL]]=0,"Reestimativa 2","Realizado"))</f>
        <v>Realizado</v>
      </c>
      <c r="X419" s="1">
        <f>ESTIMATIVA[[#This Row],[QT_AREA_EST]]</f>
        <v>23.31</v>
      </c>
      <c r="Y419" s="1">
        <f>IF(ESTIMATIVA[[#This Row],[QT_AREA_REST1]]&gt;0,ESTIMATIVA[[#This Row],[QT_AREA_REST1]],
  IF(ESTIMATIVA[[#This Row],[QT_AREA_REAL]]&gt;0,ESTIMATIVA[[#This Row],[QT_AREA_REAL]],ESTIMATIVA[[#This Row],[QT_AREA_EST]]))</f>
        <v>23.31</v>
      </c>
      <c r="Z41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23.31</v>
      </c>
      <c r="AA419" s="1">
        <f>ESTIMATIVA[[#This Row],[QT_CANA_EST]]</f>
        <v>2097.9</v>
      </c>
      <c r="AB419" s="1">
        <f>IF(ESTIMATIVA[[#This Row],[QT_CANA_REST1]]&gt;0,ESTIMATIVA[[#This Row],[QT_CANA_REST1]],
  IF(ESTIMATIVA[[#This Row],[QT_CANA_REAL]]&gt;0,ESTIMATIVA[[#This Row],[QT_CANA_REAL]],ESTIMATIVA[[#This Row],[QT_CANA_EST]]))</f>
        <v>2539.64</v>
      </c>
      <c r="AC41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2539.64</v>
      </c>
      <c r="AD419" s="1">
        <f>IF(ESTIMATIVA[[#This Row],[QT_AREA_REAL]]&gt;0,ESTIMATIVA[[#This Row],[QT_CANA_REAL]],ESTIMATIVA[[#This Row],[QT_CANA_EST]])</f>
        <v>2539.64</v>
      </c>
      <c r="AE419" s="1">
        <f>IF(ESTIMATIVA[[#This Row],[QT_AREA_REAL]]&gt;0,ESTIMATIVA[[#This Row],[QT_CANA_REAL]],ESTIMATIVA[[#This Row],[QT_CANA_REST1]])</f>
        <v>2539.64</v>
      </c>
      <c r="AF419" s="1">
        <f>IF(ESTIMATIVA[[#This Row],[QT_AREA_REAL]]&gt;0,ESTIMATIVA[[#This Row],[QT_CANA_REAL]],ESTIMATIVA[[#This Row],[QT_CANA_REST2]])</f>
        <v>2539.64</v>
      </c>
      <c r="AG419" s="1" t="str">
        <f>IF(COUNTIFS(GEADA!A:A,VALUE(ESTIMATIVA[[#This Row],[CD_UPNIVEL1]]&amp;TEXT(ESTIMATIVA[[#This Row],[CD_UPNIVEL3]],"0000")))&gt;0,"S","N")</f>
        <v>N</v>
      </c>
      <c r="AH41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19" s="55" t="str">
        <f>IF(ESTIMATIVA[[#This Row],[TP_CULTIVO]]="Irrigado",_xlfn.MAXIFS(IRRIGADO!J:J,IRRIGADO!C:C,ESTIMATIVA[[#This Row],[CD_UPNIVEL1]],IRRIGADO!E:E,ESTIMATIVA[[#This Row],[CD_UPNIVEL3]]),"")</f>
        <v/>
      </c>
      <c r="AJ41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19" s="1">
        <f>COUNTIFS(Apresentação!$E$23:$E$29,ESTIMATIVA[[#This Row],[CD_UPNIVEL1]])</f>
        <v>0</v>
      </c>
    </row>
    <row r="420" spans="1:37" x14ac:dyDescent="0.3">
      <c r="A420">
        <v>20314</v>
      </c>
      <c r="B420" t="s">
        <v>27</v>
      </c>
      <c r="C420">
        <v>271</v>
      </c>
      <c r="D420">
        <v>3</v>
      </c>
      <c r="E420" t="s">
        <v>263</v>
      </c>
      <c r="F420" s="85" t="s">
        <v>332</v>
      </c>
      <c r="G420"/>
      <c r="H420" t="s">
        <v>295</v>
      </c>
      <c r="I420" t="s">
        <v>210</v>
      </c>
      <c r="J420" t="s">
        <v>176</v>
      </c>
      <c r="K420" s="1">
        <v>9.8000000000000007</v>
      </c>
      <c r="L420" s="1">
        <v>0</v>
      </c>
      <c r="M420" s="1">
        <v>0</v>
      </c>
      <c r="N420" s="1">
        <v>9.8000000000000007</v>
      </c>
      <c r="O420" s="1">
        <v>872.2</v>
      </c>
      <c r="P420" s="1">
        <v>0</v>
      </c>
      <c r="Q420" s="1">
        <v>0</v>
      </c>
      <c r="R420" s="1">
        <v>773.81</v>
      </c>
      <c r="S420" t="s">
        <v>12</v>
      </c>
      <c r="T420" s="13">
        <v>45725</v>
      </c>
      <c r="U420" s="1" t="str">
        <f>IF(ESTIMATIVA[[#This Row],[QT_AREA_REAL]]&gt;0,"1- Colhido","2- à Colher")</f>
        <v>1- Colhido</v>
      </c>
      <c r="V420" s="1" t="str">
        <f>IF(ESTIMATIVA[[#This Row],[QT_AREA_REST1]]&gt;0,"Reestimativa 1",IF(ESTIMATIVA[[#This Row],[QT_AREA_REAL]]=0,"Reestimativa 1","Realizado"))</f>
        <v>Realizado</v>
      </c>
      <c r="W420" s="1" t="str">
        <f>IF(ESTIMATIVA[[#This Row],[QT_AREA_REST2]]&gt;0,"Reestimativa 2",IF(ESTIMATIVA[[#This Row],[QT_AREA_REAL]]=0,"Reestimativa 2","Realizado"))</f>
        <v>Realizado</v>
      </c>
      <c r="X420" s="1">
        <f>ESTIMATIVA[[#This Row],[QT_AREA_EST]]</f>
        <v>9.8000000000000007</v>
      </c>
      <c r="Y420" s="1">
        <f>IF(ESTIMATIVA[[#This Row],[QT_AREA_REST1]]&gt;0,ESTIMATIVA[[#This Row],[QT_AREA_REST1]],
  IF(ESTIMATIVA[[#This Row],[QT_AREA_REAL]]&gt;0,ESTIMATIVA[[#This Row],[QT_AREA_REAL]],ESTIMATIVA[[#This Row],[QT_AREA_EST]]))</f>
        <v>9.8000000000000007</v>
      </c>
      <c r="Z42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9.8000000000000007</v>
      </c>
      <c r="AA420" s="1">
        <f>ESTIMATIVA[[#This Row],[QT_CANA_EST]]</f>
        <v>872.2</v>
      </c>
      <c r="AB420" s="1">
        <f>IF(ESTIMATIVA[[#This Row],[QT_CANA_REST1]]&gt;0,ESTIMATIVA[[#This Row],[QT_CANA_REST1]],
  IF(ESTIMATIVA[[#This Row],[QT_CANA_REAL]]&gt;0,ESTIMATIVA[[#This Row],[QT_CANA_REAL]],ESTIMATIVA[[#This Row],[QT_CANA_EST]]))</f>
        <v>773.81</v>
      </c>
      <c r="AC42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773.81</v>
      </c>
      <c r="AD420" s="1">
        <f>IF(ESTIMATIVA[[#This Row],[QT_AREA_REAL]]&gt;0,ESTIMATIVA[[#This Row],[QT_CANA_REAL]],ESTIMATIVA[[#This Row],[QT_CANA_EST]])</f>
        <v>773.81</v>
      </c>
      <c r="AE420" s="1">
        <f>IF(ESTIMATIVA[[#This Row],[QT_AREA_REAL]]&gt;0,ESTIMATIVA[[#This Row],[QT_CANA_REAL]],ESTIMATIVA[[#This Row],[QT_CANA_REST1]])</f>
        <v>773.81</v>
      </c>
      <c r="AF420" s="1">
        <f>IF(ESTIMATIVA[[#This Row],[QT_AREA_REAL]]&gt;0,ESTIMATIVA[[#This Row],[QT_CANA_REAL]],ESTIMATIVA[[#This Row],[QT_CANA_REST2]])</f>
        <v>773.81</v>
      </c>
      <c r="AG420" s="1" t="str">
        <f>IF(COUNTIFS(GEADA!A:A,VALUE(ESTIMATIVA[[#This Row],[CD_UPNIVEL1]]&amp;TEXT(ESTIMATIVA[[#This Row],[CD_UPNIVEL3]],"0000")))&gt;0,"S","N")</f>
        <v>N</v>
      </c>
      <c r="AH42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20" s="55" t="str">
        <f>IF(ESTIMATIVA[[#This Row],[TP_CULTIVO]]="Irrigado",_xlfn.MAXIFS(IRRIGADO!J:J,IRRIGADO!C:C,ESTIMATIVA[[#This Row],[CD_UPNIVEL1]],IRRIGADO!E:E,ESTIMATIVA[[#This Row],[CD_UPNIVEL3]]),"")</f>
        <v/>
      </c>
      <c r="AJ42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20" s="1">
        <f>COUNTIFS(Apresentação!$E$23:$E$29,ESTIMATIVA[[#This Row],[CD_UPNIVEL1]])</f>
        <v>0</v>
      </c>
    </row>
    <row r="421" spans="1:37" x14ac:dyDescent="0.3">
      <c r="A421">
        <v>20314</v>
      </c>
      <c r="B421" t="s">
        <v>27</v>
      </c>
      <c r="C421">
        <v>272</v>
      </c>
      <c r="D421">
        <v>3</v>
      </c>
      <c r="E421" t="s">
        <v>263</v>
      </c>
      <c r="F421" s="85" t="s">
        <v>332</v>
      </c>
      <c r="G421"/>
      <c r="H421" t="s">
        <v>295</v>
      </c>
      <c r="I421" t="s">
        <v>210</v>
      </c>
      <c r="J421" t="s">
        <v>176</v>
      </c>
      <c r="K421" s="1">
        <v>21.65</v>
      </c>
      <c r="L421" s="1">
        <v>0</v>
      </c>
      <c r="M421" s="1">
        <v>0</v>
      </c>
      <c r="N421" s="1">
        <v>21.65</v>
      </c>
      <c r="O421" s="1">
        <v>1926.85</v>
      </c>
      <c r="P421" s="1">
        <v>0</v>
      </c>
      <c r="Q421" s="1">
        <v>0</v>
      </c>
      <c r="R421" s="1">
        <v>1710.13</v>
      </c>
      <c r="S421" t="s">
        <v>12</v>
      </c>
      <c r="T421" s="13">
        <v>45725</v>
      </c>
      <c r="U421" s="1" t="str">
        <f>IF(ESTIMATIVA[[#This Row],[QT_AREA_REAL]]&gt;0,"1- Colhido","2- à Colher")</f>
        <v>1- Colhido</v>
      </c>
      <c r="V421" s="1" t="str">
        <f>IF(ESTIMATIVA[[#This Row],[QT_AREA_REST1]]&gt;0,"Reestimativa 1",IF(ESTIMATIVA[[#This Row],[QT_AREA_REAL]]=0,"Reestimativa 1","Realizado"))</f>
        <v>Realizado</v>
      </c>
      <c r="W421" s="1" t="str">
        <f>IF(ESTIMATIVA[[#This Row],[QT_AREA_REST2]]&gt;0,"Reestimativa 2",IF(ESTIMATIVA[[#This Row],[QT_AREA_REAL]]=0,"Reestimativa 2","Realizado"))</f>
        <v>Realizado</v>
      </c>
      <c r="X421" s="1">
        <f>ESTIMATIVA[[#This Row],[QT_AREA_EST]]</f>
        <v>21.65</v>
      </c>
      <c r="Y421" s="1">
        <f>IF(ESTIMATIVA[[#This Row],[QT_AREA_REST1]]&gt;0,ESTIMATIVA[[#This Row],[QT_AREA_REST1]],
  IF(ESTIMATIVA[[#This Row],[QT_AREA_REAL]]&gt;0,ESTIMATIVA[[#This Row],[QT_AREA_REAL]],ESTIMATIVA[[#This Row],[QT_AREA_EST]]))</f>
        <v>21.65</v>
      </c>
      <c r="Z42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21.65</v>
      </c>
      <c r="AA421" s="1">
        <f>ESTIMATIVA[[#This Row],[QT_CANA_EST]]</f>
        <v>1926.85</v>
      </c>
      <c r="AB421" s="1">
        <f>IF(ESTIMATIVA[[#This Row],[QT_CANA_REST1]]&gt;0,ESTIMATIVA[[#This Row],[QT_CANA_REST1]],
  IF(ESTIMATIVA[[#This Row],[QT_CANA_REAL]]&gt;0,ESTIMATIVA[[#This Row],[QT_CANA_REAL]],ESTIMATIVA[[#This Row],[QT_CANA_EST]]))</f>
        <v>1710.13</v>
      </c>
      <c r="AC42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1710.13</v>
      </c>
      <c r="AD421" s="1">
        <f>IF(ESTIMATIVA[[#This Row],[QT_AREA_REAL]]&gt;0,ESTIMATIVA[[#This Row],[QT_CANA_REAL]],ESTIMATIVA[[#This Row],[QT_CANA_EST]])</f>
        <v>1710.13</v>
      </c>
      <c r="AE421" s="1">
        <f>IF(ESTIMATIVA[[#This Row],[QT_AREA_REAL]]&gt;0,ESTIMATIVA[[#This Row],[QT_CANA_REAL]],ESTIMATIVA[[#This Row],[QT_CANA_REST1]])</f>
        <v>1710.13</v>
      </c>
      <c r="AF421" s="1">
        <f>IF(ESTIMATIVA[[#This Row],[QT_AREA_REAL]]&gt;0,ESTIMATIVA[[#This Row],[QT_CANA_REAL]],ESTIMATIVA[[#This Row],[QT_CANA_REST2]])</f>
        <v>1710.13</v>
      </c>
      <c r="AG421" s="1" t="str">
        <f>IF(COUNTIFS(GEADA!A:A,VALUE(ESTIMATIVA[[#This Row],[CD_UPNIVEL1]]&amp;TEXT(ESTIMATIVA[[#This Row],[CD_UPNIVEL3]],"0000")))&gt;0,"S","N")</f>
        <v>N</v>
      </c>
      <c r="AH42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21" s="55" t="str">
        <f>IF(ESTIMATIVA[[#This Row],[TP_CULTIVO]]="Irrigado",_xlfn.MAXIFS(IRRIGADO!J:J,IRRIGADO!C:C,ESTIMATIVA[[#This Row],[CD_UPNIVEL1]],IRRIGADO!E:E,ESTIMATIVA[[#This Row],[CD_UPNIVEL3]]),"")</f>
        <v/>
      </c>
      <c r="AJ42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21" s="1">
        <f>COUNTIFS(Apresentação!$E$23:$E$29,ESTIMATIVA[[#This Row],[CD_UPNIVEL1]])</f>
        <v>0</v>
      </c>
    </row>
    <row r="422" spans="1:37" x14ac:dyDescent="0.3">
      <c r="A422">
        <v>20314</v>
      </c>
      <c r="B422" t="s">
        <v>27</v>
      </c>
      <c r="C422">
        <v>273</v>
      </c>
      <c r="D422">
        <v>3</v>
      </c>
      <c r="E422" t="s">
        <v>263</v>
      </c>
      <c r="F422" s="85" t="s">
        <v>332</v>
      </c>
      <c r="G422"/>
      <c r="H422" t="s">
        <v>295</v>
      </c>
      <c r="I422" t="s">
        <v>210</v>
      </c>
      <c r="J422" t="s">
        <v>176</v>
      </c>
      <c r="K422" s="1">
        <v>25.76</v>
      </c>
      <c r="L422" s="1">
        <v>0</v>
      </c>
      <c r="M422" s="1">
        <v>0</v>
      </c>
      <c r="N422" s="1">
        <v>25.76</v>
      </c>
      <c r="O422" s="1">
        <v>2292.64</v>
      </c>
      <c r="P422" s="1">
        <v>0</v>
      </c>
      <c r="Q422" s="1">
        <v>0</v>
      </c>
      <c r="R422" s="1">
        <v>1699.29</v>
      </c>
      <c r="S422" t="s">
        <v>12</v>
      </c>
      <c r="T422" s="13">
        <v>45732</v>
      </c>
      <c r="U422" s="1" t="str">
        <f>IF(ESTIMATIVA[[#This Row],[QT_AREA_REAL]]&gt;0,"1- Colhido","2- à Colher")</f>
        <v>1- Colhido</v>
      </c>
      <c r="V422" s="1" t="str">
        <f>IF(ESTIMATIVA[[#This Row],[QT_AREA_REST1]]&gt;0,"Reestimativa 1",IF(ESTIMATIVA[[#This Row],[QT_AREA_REAL]]=0,"Reestimativa 1","Realizado"))</f>
        <v>Realizado</v>
      </c>
      <c r="W422" s="1" t="str">
        <f>IF(ESTIMATIVA[[#This Row],[QT_AREA_REST2]]&gt;0,"Reestimativa 2",IF(ESTIMATIVA[[#This Row],[QT_AREA_REAL]]=0,"Reestimativa 2","Realizado"))</f>
        <v>Realizado</v>
      </c>
      <c r="X422" s="1">
        <f>ESTIMATIVA[[#This Row],[QT_AREA_EST]]</f>
        <v>25.76</v>
      </c>
      <c r="Y422" s="1">
        <f>IF(ESTIMATIVA[[#This Row],[QT_AREA_REST1]]&gt;0,ESTIMATIVA[[#This Row],[QT_AREA_REST1]],
  IF(ESTIMATIVA[[#This Row],[QT_AREA_REAL]]&gt;0,ESTIMATIVA[[#This Row],[QT_AREA_REAL]],ESTIMATIVA[[#This Row],[QT_AREA_EST]]))</f>
        <v>25.76</v>
      </c>
      <c r="Z42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25.76</v>
      </c>
      <c r="AA422" s="1">
        <f>ESTIMATIVA[[#This Row],[QT_CANA_EST]]</f>
        <v>2292.64</v>
      </c>
      <c r="AB422" s="1">
        <f>IF(ESTIMATIVA[[#This Row],[QT_CANA_REST1]]&gt;0,ESTIMATIVA[[#This Row],[QT_CANA_REST1]],
  IF(ESTIMATIVA[[#This Row],[QT_CANA_REAL]]&gt;0,ESTIMATIVA[[#This Row],[QT_CANA_REAL]],ESTIMATIVA[[#This Row],[QT_CANA_EST]]))</f>
        <v>1699.29</v>
      </c>
      <c r="AC42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1699.29</v>
      </c>
      <c r="AD422" s="1">
        <f>IF(ESTIMATIVA[[#This Row],[QT_AREA_REAL]]&gt;0,ESTIMATIVA[[#This Row],[QT_CANA_REAL]],ESTIMATIVA[[#This Row],[QT_CANA_EST]])</f>
        <v>1699.29</v>
      </c>
      <c r="AE422" s="1">
        <f>IF(ESTIMATIVA[[#This Row],[QT_AREA_REAL]]&gt;0,ESTIMATIVA[[#This Row],[QT_CANA_REAL]],ESTIMATIVA[[#This Row],[QT_CANA_REST1]])</f>
        <v>1699.29</v>
      </c>
      <c r="AF422" s="1">
        <f>IF(ESTIMATIVA[[#This Row],[QT_AREA_REAL]]&gt;0,ESTIMATIVA[[#This Row],[QT_CANA_REAL]],ESTIMATIVA[[#This Row],[QT_CANA_REST2]])</f>
        <v>1699.29</v>
      </c>
      <c r="AG422" s="1" t="str">
        <f>IF(COUNTIFS(GEADA!A:A,VALUE(ESTIMATIVA[[#This Row],[CD_UPNIVEL1]]&amp;TEXT(ESTIMATIVA[[#This Row],[CD_UPNIVEL3]],"0000")))&gt;0,"S","N")</f>
        <v>N</v>
      </c>
      <c r="AH42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22" s="55" t="str">
        <f>IF(ESTIMATIVA[[#This Row],[TP_CULTIVO]]="Irrigado",_xlfn.MAXIFS(IRRIGADO!J:J,IRRIGADO!C:C,ESTIMATIVA[[#This Row],[CD_UPNIVEL1]],IRRIGADO!E:E,ESTIMATIVA[[#This Row],[CD_UPNIVEL3]]),"")</f>
        <v/>
      </c>
      <c r="AJ42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22" s="1">
        <f>COUNTIFS(Apresentação!$E$23:$E$29,ESTIMATIVA[[#This Row],[CD_UPNIVEL1]])</f>
        <v>0</v>
      </c>
    </row>
    <row r="423" spans="1:37" x14ac:dyDescent="0.3">
      <c r="A423">
        <v>20314</v>
      </c>
      <c r="B423" t="s">
        <v>27</v>
      </c>
      <c r="C423">
        <v>274</v>
      </c>
      <c r="D423">
        <v>3</v>
      </c>
      <c r="E423" t="s">
        <v>263</v>
      </c>
      <c r="F423" s="85" t="s">
        <v>332</v>
      </c>
      <c r="G423"/>
      <c r="H423" t="s">
        <v>295</v>
      </c>
      <c r="I423" t="s">
        <v>210</v>
      </c>
      <c r="J423" t="s">
        <v>176</v>
      </c>
      <c r="K423" s="1">
        <v>8.69</v>
      </c>
      <c r="L423" s="1">
        <v>0</v>
      </c>
      <c r="M423" s="1">
        <v>0</v>
      </c>
      <c r="N423" s="1">
        <v>8.69</v>
      </c>
      <c r="O423" s="1">
        <v>773.41</v>
      </c>
      <c r="P423" s="1">
        <v>0</v>
      </c>
      <c r="Q423" s="1">
        <v>0</v>
      </c>
      <c r="R423" s="1">
        <v>1025.45</v>
      </c>
      <c r="S423" t="s">
        <v>12</v>
      </c>
      <c r="T423" s="13">
        <v>45732</v>
      </c>
      <c r="U423" s="1" t="str">
        <f>IF(ESTIMATIVA[[#This Row],[QT_AREA_REAL]]&gt;0,"1- Colhido","2- à Colher")</f>
        <v>1- Colhido</v>
      </c>
      <c r="V423" s="1" t="str">
        <f>IF(ESTIMATIVA[[#This Row],[QT_AREA_REST1]]&gt;0,"Reestimativa 1",IF(ESTIMATIVA[[#This Row],[QT_AREA_REAL]]=0,"Reestimativa 1","Realizado"))</f>
        <v>Realizado</v>
      </c>
      <c r="W423" s="1" t="str">
        <f>IF(ESTIMATIVA[[#This Row],[QT_AREA_REST2]]&gt;0,"Reestimativa 2",IF(ESTIMATIVA[[#This Row],[QT_AREA_REAL]]=0,"Reestimativa 2","Realizado"))</f>
        <v>Realizado</v>
      </c>
      <c r="X423" s="1">
        <f>ESTIMATIVA[[#This Row],[QT_AREA_EST]]</f>
        <v>8.69</v>
      </c>
      <c r="Y423" s="1">
        <f>IF(ESTIMATIVA[[#This Row],[QT_AREA_REST1]]&gt;0,ESTIMATIVA[[#This Row],[QT_AREA_REST1]],
  IF(ESTIMATIVA[[#This Row],[QT_AREA_REAL]]&gt;0,ESTIMATIVA[[#This Row],[QT_AREA_REAL]],ESTIMATIVA[[#This Row],[QT_AREA_EST]]))</f>
        <v>8.69</v>
      </c>
      <c r="Z42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8.69</v>
      </c>
      <c r="AA423" s="1">
        <f>ESTIMATIVA[[#This Row],[QT_CANA_EST]]</f>
        <v>773.41</v>
      </c>
      <c r="AB423" s="1">
        <f>IF(ESTIMATIVA[[#This Row],[QT_CANA_REST1]]&gt;0,ESTIMATIVA[[#This Row],[QT_CANA_REST1]],
  IF(ESTIMATIVA[[#This Row],[QT_CANA_REAL]]&gt;0,ESTIMATIVA[[#This Row],[QT_CANA_REAL]],ESTIMATIVA[[#This Row],[QT_CANA_EST]]))</f>
        <v>1025.45</v>
      </c>
      <c r="AC42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1025.45</v>
      </c>
      <c r="AD423" s="1">
        <f>IF(ESTIMATIVA[[#This Row],[QT_AREA_REAL]]&gt;0,ESTIMATIVA[[#This Row],[QT_CANA_REAL]],ESTIMATIVA[[#This Row],[QT_CANA_EST]])</f>
        <v>1025.45</v>
      </c>
      <c r="AE423" s="1">
        <f>IF(ESTIMATIVA[[#This Row],[QT_AREA_REAL]]&gt;0,ESTIMATIVA[[#This Row],[QT_CANA_REAL]],ESTIMATIVA[[#This Row],[QT_CANA_REST1]])</f>
        <v>1025.45</v>
      </c>
      <c r="AF423" s="1">
        <f>IF(ESTIMATIVA[[#This Row],[QT_AREA_REAL]]&gt;0,ESTIMATIVA[[#This Row],[QT_CANA_REAL]],ESTIMATIVA[[#This Row],[QT_CANA_REST2]])</f>
        <v>1025.45</v>
      </c>
      <c r="AG423" s="1" t="str">
        <f>IF(COUNTIFS(GEADA!A:A,VALUE(ESTIMATIVA[[#This Row],[CD_UPNIVEL1]]&amp;TEXT(ESTIMATIVA[[#This Row],[CD_UPNIVEL3]],"0000")))&gt;0,"S","N")</f>
        <v>N</v>
      </c>
      <c r="AH42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23" s="55" t="str">
        <f>IF(ESTIMATIVA[[#This Row],[TP_CULTIVO]]="Irrigado",_xlfn.MAXIFS(IRRIGADO!J:J,IRRIGADO!C:C,ESTIMATIVA[[#This Row],[CD_UPNIVEL1]],IRRIGADO!E:E,ESTIMATIVA[[#This Row],[CD_UPNIVEL3]]),"")</f>
        <v/>
      </c>
      <c r="AJ42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23" s="1">
        <f>COUNTIFS(Apresentação!$E$23:$E$29,ESTIMATIVA[[#This Row],[CD_UPNIVEL1]])</f>
        <v>0</v>
      </c>
    </row>
    <row r="424" spans="1:37" x14ac:dyDescent="0.3">
      <c r="A424">
        <v>20314</v>
      </c>
      <c r="B424" t="s">
        <v>27</v>
      </c>
      <c r="C424">
        <v>275</v>
      </c>
      <c r="D424">
        <v>3</v>
      </c>
      <c r="E424" t="s">
        <v>263</v>
      </c>
      <c r="F424" s="85" t="s">
        <v>332</v>
      </c>
      <c r="G424"/>
      <c r="H424" t="s">
        <v>295</v>
      </c>
      <c r="I424" t="s">
        <v>210</v>
      </c>
      <c r="J424" t="s">
        <v>176</v>
      </c>
      <c r="K424" s="1">
        <v>26.99</v>
      </c>
      <c r="L424" s="1">
        <v>0</v>
      </c>
      <c r="M424" s="1">
        <v>0</v>
      </c>
      <c r="N424" s="1">
        <v>26.99</v>
      </c>
      <c r="O424" s="1">
        <v>2402.11</v>
      </c>
      <c r="P424" s="1">
        <v>0</v>
      </c>
      <c r="Q424" s="1">
        <v>0</v>
      </c>
      <c r="R424" s="1">
        <v>1780.16</v>
      </c>
      <c r="S424" t="s">
        <v>12</v>
      </c>
      <c r="T424" s="13">
        <v>45732</v>
      </c>
      <c r="U424" s="1" t="str">
        <f>IF(ESTIMATIVA[[#This Row],[QT_AREA_REAL]]&gt;0,"1- Colhido","2- à Colher")</f>
        <v>1- Colhido</v>
      </c>
      <c r="V424" s="1" t="str">
        <f>IF(ESTIMATIVA[[#This Row],[QT_AREA_REST1]]&gt;0,"Reestimativa 1",IF(ESTIMATIVA[[#This Row],[QT_AREA_REAL]]=0,"Reestimativa 1","Realizado"))</f>
        <v>Realizado</v>
      </c>
      <c r="W424" s="1" t="str">
        <f>IF(ESTIMATIVA[[#This Row],[QT_AREA_REST2]]&gt;0,"Reestimativa 2",IF(ESTIMATIVA[[#This Row],[QT_AREA_REAL]]=0,"Reestimativa 2","Realizado"))</f>
        <v>Realizado</v>
      </c>
      <c r="X424" s="1">
        <f>ESTIMATIVA[[#This Row],[QT_AREA_EST]]</f>
        <v>26.99</v>
      </c>
      <c r="Y424" s="1">
        <f>IF(ESTIMATIVA[[#This Row],[QT_AREA_REST1]]&gt;0,ESTIMATIVA[[#This Row],[QT_AREA_REST1]],
  IF(ESTIMATIVA[[#This Row],[QT_AREA_REAL]]&gt;0,ESTIMATIVA[[#This Row],[QT_AREA_REAL]],ESTIMATIVA[[#This Row],[QT_AREA_EST]]))</f>
        <v>26.99</v>
      </c>
      <c r="Z42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26.99</v>
      </c>
      <c r="AA424" s="1">
        <f>ESTIMATIVA[[#This Row],[QT_CANA_EST]]</f>
        <v>2402.11</v>
      </c>
      <c r="AB424" s="1">
        <f>IF(ESTIMATIVA[[#This Row],[QT_CANA_REST1]]&gt;0,ESTIMATIVA[[#This Row],[QT_CANA_REST1]],
  IF(ESTIMATIVA[[#This Row],[QT_CANA_REAL]]&gt;0,ESTIMATIVA[[#This Row],[QT_CANA_REAL]],ESTIMATIVA[[#This Row],[QT_CANA_EST]]))</f>
        <v>1780.16</v>
      </c>
      <c r="AC42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1780.16</v>
      </c>
      <c r="AD424" s="1">
        <f>IF(ESTIMATIVA[[#This Row],[QT_AREA_REAL]]&gt;0,ESTIMATIVA[[#This Row],[QT_CANA_REAL]],ESTIMATIVA[[#This Row],[QT_CANA_EST]])</f>
        <v>1780.16</v>
      </c>
      <c r="AE424" s="1">
        <f>IF(ESTIMATIVA[[#This Row],[QT_AREA_REAL]]&gt;0,ESTIMATIVA[[#This Row],[QT_CANA_REAL]],ESTIMATIVA[[#This Row],[QT_CANA_REST1]])</f>
        <v>1780.16</v>
      </c>
      <c r="AF424" s="1">
        <f>IF(ESTIMATIVA[[#This Row],[QT_AREA_REAL]]&gt;0,ESTIMATIVA[[#This Row],[QT_CANA_REAL]],ESTIMATIVA[[#This Row],[QT_CANA_REST2]])</f>
        <v>1780.16</v>
      </c>
      <c r="AG424" s="1" t="str">
        <f>IF(COUNTIFS(GEADA!A:A,VALUE(ESTIMATIVA[[#This Row],[CD_UPNIVEL1]]&amp;TEXT(ESTIMATIVA[[#This Row],[CD_UPNIVEL3]],"0000")))&gt;0,"S","N")</f>
        <v>N</v>
      </c>
      <c r="AH42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24" s="55" t="str">
        <f>IF(ESTIMATIVA[[#This Row],[TP_CULTIVO]]="Irrigado",_xlfn.MAXIFS(IRRIGADO!J:J,IRRIGADO!C:C,ESTIMATIVA[[#This Row],[CD_UPNIVEL1]],IRRIGADO!E:E,ESTIMATIVA[[#This Row],[CD_UPNIVEL3]]),"")</f>
        <v/>
      </c>
      <c r="AJ42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24" s="1">
        <f>COUNTIFS(Apresentação!$E$23:$E$29,ESTIMATIVA[[#This Row],[CD_UPNIVEL1]])</f>
        <v>0</v>
      </c>
    </row>
    <row r="425" spans="1:37" x14ac:dyDescent="0.3">
      <c r="A425">
        <v>20314</v>
      </c>
      <c r="B425" t="s">
        <v>27</v>
      </c>
      <c r="C425">
        <v>276</v>
      </c>
      <c r="D425">
        <v>3</v>
      </c>
      <c r="E425" t="s">
        <v>263</v>
      </c>
      <c r="F425" s="85" t="s">
        <v>332</v>
      </c>
      <c r="G425"/>
      <c r="H425" t="s">
        <v>295</v>
      </c>
      <c r="I425" t="s">
        <v>210</v>
      </c>
      <c r="J425" t="s">
        <v>176</v>
      </c>
      <c r="K425" s="1">
        <v>12.64</v>
      </c>
      <c r="L425" s="1">
        <v>0</v>
      </c>
      <c r="M425" s="1">
        <v>0</v>
      </c>
      <c r="N425" s="1">
        <v>12.64</v>
      </c>
      <c r="O425" s="1">
        <v>1124.96</v>
      </c>
      <c r="P425" s="1">
        <v>0</v>
      </c>
      <c r="Q425" s="1">
        <v>0</v>
      </c>
      <c r="R425" s="1">
        <v>1492.51</v>
      </c>
      <c r="S425" t="s">
        <v>12</v>
      </c>
      <c r="T425" s="13">
        <v>45732</v>
      </c>
      <c r="U425" s="1" t="str">
        <f>IF(ESTIMATIVA[[#This Row],[QT_AREA_REAL]]&gt;0,"1- Colhido","2- à Colher")</f>
        <v>1- Colhido</v>
      </c>
      <c r="V425" s="1" t="str">
        <f>IF(ESTIMATIVA[[#This Row],[QT_AREA_REST1]]&gt;0,"Reestimativa 1",IF(ESTIMATIVA[[#This Row],[QT_AREA_REAL]]=0,"Reestimativa 1","Realizado"))</f>
        <v>Realizado</v>
      </c>
      <c r="W425" s="1" t="str">
        <f>IF(ESTIMATIVA[[#This Row],[QT_AREA_REST2]]&gt;0,"Reestimativa 2",IF(ESTIMATIVA[[#This Row],[QT_AREA_REAL]]=0,"Reestimativa 2","Realizado"))</f>
        <v>Realizado</v>
      </c>
      <c r="X425" s="1">
        <f>ESTIMATIVA[[#This Row],[QT_AREA_EST]]</f>
        <v>12.64</v>
      </c>
      <c r="Y425" s="1">
        <f>IF(ESTIMATIVA[[#This Row],[QT_AREA_REST1]]&gt;0,ESTIMATIVA[[#This Row],[QT_AREA_REST1]],
  IF(ESTIMATIVA[[#This Row],[QT_AREA_REAL]]&gt;0,ESTIMATIVA[[#This Row],[QT_AREA_REAL]],ESTIMATIVA[[#This Row],[QT_AREA_EST]]))</f>
        <v>12.64</v>
      </c>
      <c r="Z42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12.64</v>
      </c>
      <c r="AA425" s="1">
        <f>ESTIMATIVA[[#This Row],[QT_CANA_EST]]</f>
        <v>1124.96</v>
      </c>
      <c r="AB425" s="1">
        <f>IF(ESTIMATIVA[[#This Row],[QT_CANA_REST1]]&gt;0,ESTIMATIVA[[#This Row],[QT_CANA_REST1]],
  IF(ESTIMATIVA[[#This Row],[QT_CANA_REAL]]&gt;0,ESTIMATIVA[[#This Row],[QT_CANA_REAL]],ESTIMATIVA[[#This Row],[QT_CANA_EST]]))</f>
        <v>1492.51</v>
      </c>
      <c r="AC42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1492.51</v>
      </c>
      <c r="AD425" s="1">
        <f>IF(ESTIMATIVA[[#This Row],[QT_AREA_REAL]]&gt;0,ESTIMATIVA[[#This Row],[QT_CANA_REAL]],ESTIMATIVA[[#This Row],[QT_CANA_EST]])</f>
        <v>1492.51</v>
      </c>
      <c r="AE425" s="1">
        <f>IF(ESTIMATIVA[[#This Row],[QT_AREA_REAL]]&gt;0,ESTIMATIVA[[#This Row],[QT_CANA_REAL]],ESTIMATIVA[[#This Row],[QT_CANA_REST1]])</f>
        <v>1492.51</v>
      </c>
      <c r="AF425" s="1">
        <f>IF(ESTIMATIVA[[#This Row],[QT_AREA_REAL]]&gt;0,ESTIMATIVA[[#This Row],[QT_CANA_REAL]],ESTIMATIVA[[#This Row],[QT_CANA_REST2]])</f>
        <v>1492.51</v>
      </c>
      <c r="AG425" s="1" t="str">
        <f>IF(COUNTIFS(GEADA!A:A,VALUE(ESTIMATIVA[[#This Row],[CD_UPNIVEL1]]&amp;TEXT(ESTIMATIVA[[#This Row],[CD_UPNIVEL3]],"0000")))&gt;0,"S","N")</f>
        <v>N</v>
      </c>
      <c r="AH42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25" s="55" t="str">
        <f>IF(ESTIMATIVA[[#This Row],[TP_CULTIVO]]="Irrigado",_xlfn.MAXIFS(IRRIGADO!J:J,IRRIGADO!C:C,ESTIMATIVA[[#This Row],[CD_UPNIVEL1]],IRRIGADO!E:E,ESTIMATIVA[[#This Row],[CD_UPNIVEL3]]),"")</f>
        <v/>
      </c>
      <c r="AJ42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25" s="1">
        <f>COUNTIFS(Apresentação!$E$23:$E$29,ESTIMATIVA[[#This Row],[CD_UPNIVEL1]])</f>
        <v>0</v>
      </c>
    </row>
    <row r="426" spans="1:37" x14ac:dyDescent="0.3">
      <c r="A426">
        <v>20314</v>
      </c>
      <c r="B426" t="s">
        <v>27</v>
      </c>
      <c r="C426">
        <v>277</v>
      </c>
      <c r="D426">
        <v>3</v>
      </c>
      <c r="E426" t="s">
        <v>263</v>
      </c>
      <c r="F426" s="85" t="s">
        <v>332</v>
      </c>
      <c r="G426"/>
      <c r="H426" t="s">
        <v>295</v>
      </c>
      <c r="I426" t="s">
        <v>210</v>
      </c>
      <c r="J426" t="s">
        <v>176</v>
      </c>
      <c r="K426" s="1">
        <v>23.15</v>
      </c>
      <c r="L426" s="1">
        <v>0</v>
      </c>
      <c r="M426" s="1">
        <v>0</v>
      </c>
      <c r="N426" s="1">
        <v>23.15</v>
      </c>
      <c r="O426" s="1">
        <v>2060.35</v>
      </c>
      <c r="P426" s="1">
        <v>0</v>
      </c>
      <c r="Q426" s="1">
        <v>0</v>
      </c>
      <c r="R426" s="1">
        <v>2006.29</v>
      </c>
      <c r="S426" t="s">
        <v>12</v>
      </c>
      <c r="T426" s="13">
        <v>45739</v>
      </c>
      <c r="U426" s="1" t="str">
        <f>IF(ESTIMATIVA[[#This Row],[QT_AREA_REAL]]&gt;0,"1- Colhido","2- à Colher")</f>
        <v>1- Colhido</v>
      </c>
      <c r="V426" s="1" t="str">
        <f>IF(ESTIMATIVA[[#This Row],[QT_AREA_REST1]]&gt;0,"Reestimativa 1",IF(ESTIMATIVA[[#This Row],[QT_AREA_REAL]]=0,"Reestimativa 1","Realizado"))</f>
        <v>Realizado</v>
      </c>
      <c r="W426" s="1" t="str">
        <f>IF(ESTIMATIVA[[#This Row],[QT_AREA_REST2]]&gt;0,"Reestimativa 2",IF(ESTIMATIVA[[#This Row],[QT_AREA_REAL]]=0,"Reestimativa 2","Realizado"))</f>
        <v>Realizado</v>
      </c>
      <c r="X426" s="1">
        <f>ESTIMATIVA[[#This Row],[QT_AREA_EST]]</f>
        <v>23.15</v>
      </c>
      <c r="Y426" s="1">
        <f>IF(ESTIMATIVA[[#This Row],[QT_AREA_REST1]]&gt;0,ESTIMATIVA[[#This Row],[QT_AREA_REST1]],
  IF(ESTIMATIVA[[#This Row],[QT_AREA_REAL]]&gt;0,ESTIMATIVA[[#This Row],[QT_AREA_REAL]],ESTIMATIVA[[#This Row],[QT_AREA_EST]]))</f>
        <v>23.15</v>
      </c>
      <c r="Z42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23.15</v>
      </c>
      <c r="AA426" s="1">
        <f>ESTIMATIVA[[#This Row],[QT_CANA_EST]]</f>
        <v>2060.35</v>
      </c>
      <c r="AB426" s="1">
        <f>IF(ESTIMATIVA[[#This Row],[QT_CANA_REST1]]&gt;0,ESTIMATIVA[[#This Row],[QT_CANA_REST1]],
  IF(ESTIMATIVA[[#This Row],[QT_CANA_REAL]]&gt;0,ESTIMATIVA[[#This Row],[QT_CANA_REAL]],ESTIMATIVA[[#This Row],[QT_CANA_EST]]))</f>
        <v>2006.29</v>
      </c>
      <c r="AC42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2006.29</v>
      </c>
      <c r="AD426" s="1">
        <f>IF(ESTIMATIVA[[#This Row],[QT_AREA_REAL]]&gt;0,ESTIMATIVA[[#This Row],[QT_CANA_REAL]],ESTIMATIVA[[#This Row],[QT_CANA_EST]])</f>
        <v>2006.29</v>
      </c>
      <c r="AE426" s="1">
        <f>IF(ESTIMATIVA[[#This Row],[QT_AREA_REAL]]&gt;0,ESTIMATIVA[[#This Row],[QT_CANA_REAL]],ESTIMATIVA[[#This Row],[QT_CANA_REST1]])</f>
        <v>2006.29</v>
      </c>
      <c r="AF426" s="1">
        <f>IF(ESTIMATIVA[[#This Row],[QT_AREA_REAL]]&gt;0,ESTIMATIVA[[#This Row],[QT_CANA_REAL]],ESTIMATIVA[[#This Row],[QT_CANA_REST2]])</f>
        <v>2006.29</v>
      </c>
      <c r="AG426" s="1" t="str">
        <f>IF(COUNTIFS(GEADA!A:A,VALUE(ESTIMATIVA[[#This Row],[CD_UPNIVEL1]]&amp;TEXT(ESTIMATIVA[[#This Row],[CD_UPNIVEL3]],"0000")))&gt;0,"S","N")</f>
        <v>N</v>
      </c>
      <c r="AH42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26" s="55" t="str">
        <f>IF(ESTIMATIVA[[#This Row],[TP_CULTIVO]]="Irrigado",_xlfn.MAXIFS(IRRIGADO!J:J,IRRIGADO!C:C,ESTIMATIVA[[#This Row],[CD_UPNIVEL1]],IRRIGADO!E:E,ESTIMATIVA[[#This Row],[CD_UPNIVEL3]]),"")</f>
        <v/>
      </c>
      <c r="AJ42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26" s="1">
        <f>COUNTIFS(Apresentação!$E$23:$E$29,ESTIMATIVA[[#This Row],[CD_UPNIVEL1]])</f>
        <v>0</v>
      </c>
    </row>
    <row r="427" spans="1:37" x14ac:dyDescent="0.3">
      <c r="A427">
        <v>20314</v>
      </c>
      <c r="B427" t="s">
        <v>27</v>
      </c>
      <c r="C427">
        <v>278</v>
      </c>
      <c r="D427">
        <v>3</v>
      </c>
      <c r="E427" t="s">
        <v>263</v>
      </c>
      <c r="F427" s="85" t="s">
        <v>332</v>
      </c>
      <c r="G427"/>
      <c r="H427" t="s">
        <v>295</v>
      </c>
      <c r="I427" t="s">
        <v>210</v>
      </c>
      <c r="J427" t="s">
        <v>176</v>
      </c>
      <c r="K427" s="1">
        <v>6.15</v>
      </c>
      <c r="L427" s="1">
        <v>0</v>
      </c>
      <c r="M427" s="1">
        <v>0</v>
      </c>
      <c r="N427" s="1">
        <v>6.15</v>
      </c>
      <c r="O427" s="1">
        <v>547.35</v>
      </c>
      <c r="P427" s="1">
        <v>0</v>
      </c>
      <c r="Q427" s="1">
        <v>0</v>
      </c>
      <c r="R427" s="1">
        <v>532.66</v>
      </c>
      <c r="S427" t="s">
        <v>12</v>
      </c>
      <c r="T427" s="13">
        <v>45739</v>
      </c>
      <c r="U427" s="1" t="str">
        <f>IF(ESTIMATIVA[[#This Row],[QT_AREA_REAL]]&gt;0,"1- Colhido","2- à Colher")</f>
        <v>1- Colhido</v>
      </c>
      <c r="V427" s="1" t="str">
        <f>IF(ESTIMATIVA[[#This Row],[QT_AREA_REST1]]&gt;0,"Reestimativa 1",IF(ESTIMATIVA[[#This Row],[QT_AREA_REAL]]=0,"Reestimativa 1","Realizado"))</f>
        <v>Realizado</v>
      </c>
      <c r="W427" s="1" t="str">
        <f>IF(ESTIMATIVA[[#This Row],[QT_AREA_REST2]]&gt;0,"Reestimativa 2",IF(ESTIMATIVA[[#This Row],[QT_AREA_REAL]]=0,"Reestimativa 2","Realizado"))</f>
        <v>Realizado</v>
      </c>
      <c r="X427" s="1">
        <f>ESTIMATIVA[[#This Row],[QT_AREA_EST]]</f>
        <v>6.15</v>
      </c>
      <c r="Y427" s="1">
        <f>IF(ESTIMATIVA[[#This Row],[QT_AREA_REST1]]&gt;0,ESTIMATIVA[[#This Row],[QT_AREA_REST1]],
  IF(ESTIMATIVA[[#This Row],[QT_AREA_REAL]]&gt;0,ESTIMATIVA[[#This Row],[QT_AREA_REAL]],ESTIMATIVA[[#This Row],[QT_AREA_EST]]))</f>
        <v>6.15</v>
      </c>
      <c r="Z42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6.15</v>
      </c>
      <c r="AA427" s="1">
        <f>ESTIMATIVA[[#This Row],[QT_CANA_EST]]</f>
        <v>547.35</v>
      </c>
      <c r="AB427" s="1">
        <f>IF(ESTIMATIVA[[#This Row],[QT_CANA_REST1]]&gt;0,ESTIMATIVA[[#This Row],[QT_CANA_REST1]],
  IF(ESTIMATIVA[[#This Row],[QT_CANA_REAL]]&gt;0,ESTIMATIVA[[#This Row],[QT_CANA_REAL]],ESTIMATIVA[[#This Row],[QT_CANA_EST]]))</f>
        <v>532.66</v>
      </c>
      <c r="AC42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532.66</v>
      </c>
      <c r="AD427" s="1">
        <f>IF(ESTIMATIVA[[#This Row],[QT_AREA_REAL]]&gt;0,ESTIMATIVA[[#This Row],[QT_CANA_REAL]],ESTIMATIVA[[#This Row],[QT_CANA_EST]])</f>
        <v>532.66</v>
      </c>
      <c r="AE427" s="1">
        <f>IF(ESTIMATIVA[[#This Row],[QT_AREA_REAL]]&gt;0,ESTIMATIVA[[#This Row],[QT_CANA_REAL]],ESTIMATIVA[[#This Row],[QT_CANA_REST1]])</f>
        <v>532.66</v>
      </c>
      <c r="AF427" s="1">
        <f>IF(ESTIMATIVA[[#This Row],[QT_AREA_REAL]]&gt;0,ESTIMATIVA[[#This Row],[QT_CANA_REAL]],ESTIMATIVA[[#This Row],[QT_CANA_REST2]])</f>
        <v>532.66</v>
      </c>
      <c r="AG427" s="1" t="str">
        <f>IF(COUNTIFS(GEADA!A:A,VALUE(ESTIMATIVA[[#This Row],[CD_UPNIVEL1]]&amp;TEXT(ESTIMATIVA[[#This Row],[CD_UPNIVEL3]],"0000")))&gt;0,"S","N")</f>
        <v>N</v>
      </c>
      <c r="AH42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27" s="55" t="str">
        <f>IF(ESTIMATIVA[[#This Row],[TP_CULTIVO]]="Irrigado",_xlfn.MAXIFS(IRRIGADO!J:J,IRRIGADO!C:C,ESTIMATIVA[[#This Row],[CD_UPNIVEL1]],IRRIGADO!E:E,ESTIMATIVA[[#This Row],[CD_UPNIVEL3]]),"")</f>
        <v/>
      </c>
      <c r="AJ42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27" s="1">
        <f>COUNTIFS(Apresentação!$E$23:$E$29,ESTIMATIVA[[#This Row],[CD_UPNIVEL1]])</f>
        <v>0</v>
      </c>
    </row>
    <row r="428" spans="1:37" x14ac:dyDescent="0.3">
      <c r="A428">
        <v>20314</v>
      </c>
      <c r="B428" t="s">
        <v>27</v>
      </c>
      <c r="C428">
        <v>279</v>
      </c>
      <c r="D428">
        <v>3</v>
      </c>
      <c r="E428" t="s">
        <v>263</v>
      </c>
      <c r="F428" s="85" t="s">
        <v>332</v>
      </c>
      <c r="G428"/>
      <c r="H428" t="s">
        <v>295</v>
      </c>
      <c r="I428" t="s">
        <v>210</v>
      </c>
      <c r="J428" t="s">
        <v>176</v>
      </c>
      <c r="K428" s="1">
        <v>2.99</v>
      </c>
      <c r="L428" s="1">
        <v>0</v>
      </c>
      <c r="M428" s="1">
        <v>0</v>
      </c>
      <c r="N428" s="1">
        <v>2.99</v>
      </c>
      <c r="O428" s="1">
        <v>266.11</v>
      </c>
      <c r="P428" s="1">
        <v>0</v>
      </c>
      <c r="Q428" s="1">
        <v>0</v>
      </c>
      <c r="R428" s="1">
        <v>251.2</v>
      </c>
      <c r="S428" t="s">
        <v>12</v>
      </c>
      <c r="T428" s="13">
        <v>45739</v>
      </c>
      <c r="U428" s="1" t="str">
        <f>IF(ESTIMATIVA[[#This Row],[QT_AREA_REAL]]&gt;0,"1- Colhido","2- à Colher")</f>
        <v>1- Colhido</v>
      </c>
      <c r="V428" s="1" t="str">
        <f>IF(ESTIMATIVA[[#This Row],[QT_AREA_REST1]]&gt;0,"Reestimativa 1",IF(ESTIMATIVA[[#This Row],[QT_AREA_REAL]]=0,"Reestimativa 1","Realizado"))</f>
        <v>Realizado</v>
      </c>
      <c r="W428" s="1" t="str">
        <f>IF(ESTIMATIVA[[#This Row],[QT_AREA_REST2]]&gt;0,"Reestimativa 2",IF(ESTIMATIVA[[#This Row],[QT_AREA_REAL]]=0,"Reestimativa 2","Realizado"))</f>
        <v>Realizado</v>
      </c>
      <c r="X428" s="1">
        <f>ESTIMATIVA[[#This Row],[QT_AREA_EST]]</f>
        <v>2.99</v>
      </c>
      <c r="Y428" s="1">
        <f>IF(ESTIMATIVA[[#This Row],[QT_AREA_REST1]]&gt;0,ESTIMATIVA[[#This Row],[QT_AREA_REST1]],
  IF(ESTIMATIVA[[#This Row],[QT_AREA_REAL]]&gt;0,ESTIMATIVA[[#This Row],[QT_AREA_REAL]],ESTIMATIVA[[#This Row],[QT_AREA_EST]]))</f>
        <v>2.99</v>
      </c>
      <c r="Z42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2.99</v>
      </c>
      <c r="AA428" s="1">
        <f>ESTIMATIVA[[#This Row],[QT_CANA_EST]]</f>
        <v>266.11</v>
      </c>
      <c r="AB428" s="1">
        <f>IF(ESTIMATIVA[[#This Row],[QT_CANA_REST1]]&gt;0,ESTIMATIVA[[#This Row],[QT_CANA_REST1]],
  IF(ESTIMATIVA[[#This Row],[QT_CANA_REAL]]&gt;0,ESTIMATIVA[[#This Row],[QT_CANA_REAL]],ESTIMATIVA[[#This Row],[QT_CANA_EST]]))</f>
        <v>251.2</v>
      </c>
      <c r="AC42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251.2</v>
      </c>
      <c r="AD428" s="1">
        <f>IF(ESTIMATIVA[[#This Row],[QT_AREA_REAL]]&gt;0,ESTIMATIVA[[#This Row],[QT_CANA_REAL]],ESTIMATIVA[[#This Row],[QT_CANA_EST]])</f>
        <v>251.2</v>
      </c>
      <c r="AE428" s="1">
        <f>IF(ESTIMATIVA[[#This Row],[QT_AREA_REAL]]&gt;0,ESTIMATIVA[[#This Row],[QT_CANA_REAL]],ESTIMATIVA[[#This Row],[QT_CANA_REST1]])</f>
        <v>251.2</v>
      </c>
      <c r="AF428" s="1">
        <f>IF(ESTIMATIVA[[#This Row],[QT_AREA_REAL]]&gt;0,ESTIMATIVA[[#This Row],[QT_CANA_REAL]],ESTIMATIVA[[#This Row],[QT_CANA_REST2]])</f>
        <v>251.2</v>
      </c>
      <c r="AG428" s="1" t="str">
        <f>IF(COUNTIFS(GEADA!A:A,VALUE(ESTIMATIVA[[#This Row],[CD_UPNIVEL1]]&amp;TEXT(ESTIMATIVA[[#This Row],[CD_UPNIVEL3]],"0000")))&gt;0,"S","N")</f>
        <v>N</v>
      </c>
      <c r="AH42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28" s="55" t="str">
        <f>IF(ESTIMATIVA[[#This Row],[TP_CULTIVO]]="Irrigado",_xlfn.MAXIFS(IRRIGADO!J:J,IRRIGADO!C:C,ESTIMATIVA[[#This Row],[CD_UPNIVEL1]],IRRIGADO!E:E,ESTIMATIVA[[#This Row],[CD_UPNIVEL3]]),"")</f>
        <v/>
      </c>
      <c r="AJ42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28" s="1">
        <f>COUNTIFS(Apresentação!$E$23:$E$29,ESTIMATIVA[[#This Row],[CD_UPNIVEL1]])</f>
        <v>0</v>
      </c>
    </row>
    <row r="429" spans="1:37" x14ac:dyDescent="0.3">
      <c r="A429">
        <v>20314</v>
      </c>
      <c r="B429" t="s">
        <v>27</v>
      </c>
      <c r="C429">
        <v>280</v>
      </c>
      <c r="D429">
        <v>3</v>
      </c>
      <c r="E429" t="s">
        <v>263</v>
      </c>
      <c r="F429" s="85" t="s">
        <v>332</v>
      </c>
      <c r="G429"/>
      <c r="H429" t="s">
        <v>295</v>
      </c>
      <c r="I429" t="s">
        <v>203</v>
      </c>
      <c r="J429" t="s">
        <v>176</v>
      </c>
      <c r="K429" s="1">
        <v>17.690000000000001</v>
      </c>
      <c r="L429" s="1">
        <v>0</v>
      </c>
      <c r="M429" s="1">
        <v>0</v>
      </c>
      <c r="N429" s="1">
        <v>17.690000000000001</v>
      </c>
      <c r="O429" s="1">
        <v>1574.41</v>
      </c>
      <c r="P429" s="1">
        <v>0</v>
      </c>
      <c r="Q429" s="1">
        <v>0</v>
      </c>
      <c r="R429" s="1">
        <v>1486.96</v>
      </c>
      <c r="S429" t="s">
        <v>12</v>
      </c>
      <c r="T429" s="13">
        <v>45739</v>
      </c>
      <c r="U429" s="1" t="str">
        <f>IF(ESTIMATIVA[[#This Row],[QT_AREA_REAL]]&gt;0,"1- Colhido","2- à Colher")</f>
        <v>1- Colhido</v>
      </c>
      <c r="V429" s="1" t="str">
        <f>IF(ESTIMATIVA[[#This Row],[QT_AREA_REST1]]&gt;0,"Reestimativa 1",IF(ESTIMATIVA[[#This Row],[QT_AREA_REAL]]=0,"Reestimativa 1","Realizado"))</f>
        <v>Realizado</v>
      </c>
      <c r="W429" s="1" t="str">
        <f>IF(ESTIMATIVA[[#This Row],[QT_AREA_REST2]]&gt;0,"Reestimativa 2",IF(ESTIMATIVA[[#This Row],[QT_AREA_REAL]]=0,"Reestimativa 2","Realizado"))</f>
        <v>Realizado</v>
      </c>
      <c r="X429" s="1">
        <f>ESTIMATIVA[[#This Row],[QT_AREA_EST]]</f>
        <v>17.690000000000001</v>
      </c>
      <c r="Y429" s="1">
        <f>IF(ESTIMATIVA[[#This Row],[QT_AREA_REST1]]&gt;0,ESTIMATIVA[[#This Row],[QT_AREA_REST1]],
  IF(ESTIMATIVA[[#This Row],[QT_AREA_REAL]]&gt;0,ESTIMATIVA[[#This Row],[QT_AREA_REAL]],ESTIMATIVA[[#This Row],[QT_AREA_EST]]))</f>
        <v>17.690000000000001</v>
      </c>
      <c r="Z42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17.690000000000001</v>
      </c>
      <c r="AA429" s="1">
        <f>ESTIMATIVA[[#This Row],[QT_CANA_EST]]</f>
        <v>1574.41</v>
      </c>
      <c r="AB429" s="1">
        <f>IF(ESTIMATIVA[[#This Row],[QT_CANA_REST1]]&gt;0,ESTIMATIVA[[#This Row],[QT_CANA_REST1]],
  IF(ESTIMATIVA[[#This Row],[QT_CANA_REAL]]&gt;0,ESTIMATIVA[[#This Row],[QT_CANA_REAL]],ESTIMATIVA[[#This Row],[QT_CANA_EST]]))</f>
        <v>1486.96</v>
      </c>
      <c r="AC42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1486.96</v>
      </c>
      <c r="AD429" s="1">
        <f>IF(ESTIMATIVA[[#This Row],[QT_AREA_REAL]]&gt;0,ESTIMATIVA[[#This Row],[QT_CANA_REAL]],ESTIMATIVA[[#This Row],[QT_CANA_EST]])</f>
        <v>1486.96</v>
      </c>
      <c r="AE429" s="1">
        <f>IF(ESTIMATIVA[[#This Row],[QT_AREA_REAL]]&gt;0,ESTIMATIVA[[#This Row],[QT_CANA_REAL]],ESTIMATIVA[[#This Row],[QT_CANA_REST1]])</f>
        <v>1486.96</v>
      </c>
      <c r="AF429" s="1">
        <f>IF(ESTIMATIVA[[#This Row],[QT_AREA_REAL]]&gt;0,ESTIMATIVA[[#This Row],[QT_CANA_REAL]],ESTIMATIVA[[#This Row],[QT_CANA_REST2]])</f>
        <v>1486.96</v>
      </c>
      <c r="AG429" s="1" t="str">
        <f>IF(COUNTIFS(GEADA!A:A,VALUE(ESTIMATIVA[[#This Row],[CD_UPNIVEL1]]&amp;TEXT(ESTIMATIVA[[#This Row],[CD_UPNIVEL3]],"0000")))&gt;0,"S","N")</f>
        <v>N</v>
      </c>
      <c r="AH42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29" s="55" t="str">
        <f>IF(ESTIMATIVA[[#This Row],[TP_CULTIVO]]="Irrigado",_xlfn.MAXIFS(IRRIGADO!J:J,IRRIGADO!C:C,ESTIMATIVA[[#This Row],[CD_UPNIVEL1]],IRRIGADO!E:E,ESTIMATIVA[[#This Row],[CD_UPNIVEL3]]),"")</f>
        <v/>
      </c>
      <c r="AJ42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29" s="1">
        <f>COUNTIFS(Apresentação!$E$23:$E$29,ESTIMATIVA[[#This Row],[CD_UPNIVEL1]])</f>
        <v>0</v>
      </c>
    </row>
    <row r="430" spans="1:37" x14ac:dyDescent="0.3">
      <c r="A430">
        <v>20314</v>
      </c>
      <c r="B430" t="s">
        <v>27</v>
      </c>
      <c r="C430">
        <v>281</v>
      </c>
      <c r="D430">
        <v>3</v>
      </c>
      <c r="E430" t="s">
        <v>263</v>
      </c>
      <c r="F430" s="85" t="s">
        <v>332</v>
      </c>
      <c r="G430"/>
      <c r="H430" t="s">
        <v>295</v>
      </c>
      <c r="I430" t="s">
        <v>203</v>
      </c>
      <c r="J430" t="s">
        <v>176</v>
      </c>
      <c r="K430" s="1">
        <v>21.2</v>
      </c>
      <c r="L430" s="1">
        <v>0</v>
      </c>
      <c r="M430" s="1">
        <v>0</v>
      </c>
      <c r="N430" s="1">
        <v>21.2</v>
      </c>
      <c r="O430" s="1">
        <v>1886.8</v>
      </c>
      <c r="P430" s="1">
        <v>0</v>
      </c>
      <c r="Q430" s="1">
        <v>0</v>
      </c>
      <c r="R430" s="1">
        <v>1782.68</v>
      </c>
      <c r="S430" t="s">
        <v>12</v>
      </c>
      <c r="T430" s="13">
        <v>45739</v>
      </c>
      <c r="U430" s="1" t="str">
        <f>IF(ESTIMATIVA[[#This Row],[QT_AREA_REAL]]&gt;0,"1- Colhido","2- à Colher")</f>
        <v>1- Colhido</v>
      </c>
      <c r="V430" s="1" t="str">
        <f>IF(ESTIMATIVA[[#This Row],[QT_AREA_REST1]]&gt;0,"Reestimativa 1",IF(ESTIMATIVA[[#This Row],[QT_AREA_REAL]]=0,"Reestimativa 1","Realizado"))</f>
        <v>Realizado</v>
      </c>
      <c r="W430" s="1" t="str">
        <f>IF(ESTIMATIVA[[#This Row],[QT_AREA_REST2]]&gt;0,"Reestimativa 2",IF(ESTIMATIVA[[#This Row],[QT_AREA_REAL]]=0,"Reestimativa 2","Realizado"))</f>
        <v>Realizado</v>
      </c>
      <c r="X430" s="1">
        <f>ESTIMATIVA[[#This Row],[QT_AREA_EST]]</f>
        <v>21.2</v>
      </c>
      <c r="Y430" s="1">
        <f>IF(ESTIMATIVA[[#This Row],[QT_AREA_REST1]]&gt;0,ESTIMATIVA[[#This Row],[QT_AREA_REST1]],
  IF(ESTIMATIVA[[#This Row],[QT_AREA_REAL]]&gt;0,ESTIMATIVA[[#This Row],[QT_AREA_REAL]],ESTIMATIVA[[#This Row],[QT_AREA_EST]]))</f>
        <v>21.2</v>
      </c>
      <c r="Z43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21.2</v>
      </c>
      <c r="AA430" s="1">
        <f>ESTIMATIVA[[#This Row],[QT_CANA_EST]]</f>
        <v>1886.8</v>
      </c>
      <c r="AB430" s="1">
        <f>IF(ESTIMATIVA[[#This Row],[QT_CANA_REST1]]&gt;0,ESTIMATIVA[[#This Row],[QT_CANA_REST1]],
  IF(ESTIMATIVA[[#This Row],[QT_CANA_REAL]]&gt;0,ESTIMATIVA[[#This Row],[QT_CANA_REAL]],ESTIMATIVA[[#This Row],[QT_CANA_EST]]))</f>
        <v>1782.68</v>
      </c>
      <c r="AC43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1782.68</v>
      </c>
      <c r="AD430" s="1">
        <f>IF(ESTIMATIVA[[#This Row],[QT_AREA_REAL]]&gt;0,ESTIMATIVA[[#This Row],[QT_CANA_REAL]],ESTIMATIVA[[#This Row],[QT_CANA_EST]])</f>
        <v>1782.68</v>
      </c>
      <c r="AE430" s="1">
        <f>IF(ESTIMATIVA[[#This Row],[QT_AREA_REAL]]&gt;0,ESTIMATIVA[[#This Row],[QT_CANA_REAL]],ESTIMATIVA[[#This Row],[QT_CANA_REST1]])</f>
        <v>1782.68</v>
      </c>
      <c r="AF430" s="1">
        <f>IF(ESTIMATIVA[[#This Row],[QT_AREA_REAL]]&gt;0,ESTIMATIVA[[#This Row],[QT_CANA_REAL]],ESTIMATIVA[[#This Row],[QT_CANA_REST2]])</f>
        <v>1782.68</v>
      </c>
      <c r="AG430" s="1" t="str">
        <f>IF(COUNTIFS(GEADA!A:A,VALUE(ESTIMATIVA[[#This Row],[CD_UPNIVEL1]]&amp;TEXT(ESTIMATIVA[[#This Row],[CD_UPNIVEL3]],"0000")))&gt;0,"S","N")</f>
        <v>N</v>
      </c>
      <c r="AH43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30" s="55" t="str">
        <f>IF(ESTIMATIVA[[#This Row],[TP_CULTIVO]]="Irrigado",_xlfn.MAXIFS(IRRIGADO!J:J,IRRIGADO!C:C,ESTIMATIVA[[#This Row],[CD_UPNIVEL1]],IRRIGADO!E:E,ESTIMATIVA[[#This Row],[CD_UPNIVEL3]]),"")</f>
        <v/>
      </c>
      <c r="AJ43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30" s="1">
        <f>COUNTIFS(Apresentação!$E$23:$E$29,ESTIMATIVA[[#This Row],[CD_UPNIVEL1]])</f>
        <v>0</v>
      </c>
    </row>
    <row r="431" spans="1:37" x14ac:dyDescent="0.3">
      <c r="A431">
        <v>20314</v>
      </c>
      <c r="B431" t="s">
        <v>27</v>
      </c>
      <c r="C431">
        <v>282</v>
      </c>
      <c r="D431">
        <v>3</v>
      </c>
      <c r="E431" t="s">
        <v>263</v>
      </c>
      <c r="F431" s="85" t="s">
        <v>332</v>
      </c>
      <c r="G431"/>
      <c r="H431" t="s">
        <v>295</v>
      </c>
      <c r="I431" t="s">
        <v>197</v>
      </c>
      <c r="J431" t="s">
        <v>176</v>
      </c>
      <c r="K431" s="1">
        <v>26.9</v>
      </c>
      <c r="L431" s="1">
        <v>0</v>
      </c>
      <c r="M431" s="1">
        <v>0</v>
      </c>
      <c r="N431" s="1">
        <v>26.9</v>
      </c>
      <c r="O431" s="1">
        <v>2394.1</v>
      </c>
      <c r="P431" s="1">
        <v>0</v>
      </c>
      <c r="Q431" s="1">
        <v>0</v>
      </c>
      <c r="R431" s="1">
        <v>2261.69</v>
      </c>
      <c r="S431" t="s">
        <v>12</v>
      </c>
      <c r="T431" s="13">
        <v>45739</v>
      </c>
      <c r="U431" s="1" t="str">
        <f>IF(ESTIMATIVA[[#This Row],[QT_AREA_REAL]]&gt;0,"1- Colhido","2- à Colher")</f>
        <v>1- Colhido</v>
      </c>
      <c r="V431" s="1" t="str">
        <f>IF(ESTIMATIVA[[#This Row],[QT_AREA_REST1]]&gt;0,"Reestimativa 1",IF(ESTIMATIVA[[#This Row],[QT_AREA_REAL]]=0,"Reestimativa 1","Realizado"))</f>
        <v>Realizado</v>
      </c>
      <c r="W431" s="1" t="str">
        <f>IF(ESTIMATIVA[[#This Row],[QT_AREA_REST2]]&gt;0,"Reestimativa 2",IF(ESTIMATIVA[[#This Row],[QT_AREA_REAL]]=0,"Reestimativa 2","Realizado"))</f>
        <v>Realizado</v>
      </c>
      <c r="X431" s="1">
        <f>ESTIMATIVA[[#This Row],[QT_AREA_EST]]</f>
        <v>26.9</v>
      </c>
      <c r="Y431" s="1">
        <f>IF(ESTIMATIVA[[#This Row],[QT_AREA_REST1]]&gt;0,ESTIMATIVA[[#This Row],[QT_AREA_REST1]],
  IF(ESTIMATIVA[[#This Row],[QT_AREA_REAL]]&gt;0,ESTIMATIVA[[#This Row],[QT_AREA_REAL]],ESTIMATIVA[[#This Row],[QT_AREA_EST]]))</f>
        <v>26.9</v>
      </c>
      <c r="Z43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26.9</v>
      </c>
      <c r="AA431" s="1">
        <f>ESTIMATIVA[[#This Row],[QT_CANA_EST]]</f>
        <v>2394.1</v>
      </c>
      <c r="AB431" s="1">
        <f>IF(ESTIMATIVA[[#This Row],[QT_CANA_REST1]]&gt;0,ESTIMATIVA[[#This Row],[QT_CANA_REST1]],
  IF(ESTIMATIVA[[#This Row],[QT_CANA_REAL]]&gt;0,ESTIMATIVA[[#This Row],[QT_CANA_REAL]],ESTIMATIVA[[#This Row],[QT_CANA_EST]]))</f>
        <v>2261.69</v>
      </c>
      <c r="AC43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2261.69</v>
      </c>
      <c r="AD431" s="1">
        <f>IF(ESTIMATIVA[[#This Row],[QT_AREA_REAL]]&gt;0,ESTIMATIVA[[#This Row],[QT_CANA_REAL]],ESTIMATIVA[[#This Row],[QT_CANA_EST]])</f>
        <v>2261.69</v>
      </c>
      <c r="AE431" s="1">
        <f>IF(ESTIMATIVA[[#This Row],[QT_AREA_REAL]]&gt;0,ESTIMATIVA[[#This Row],[QT_CANA_REAL]],ESTIMATIVA[[#This Row],[QT_CANA_REST1]])</f>
        <v>2261.69</v>
      </c>
      <c r="AF431" s="1">
        <f>IF(ESTIMATIVA[[#This Row],[QT_AREA_REAL]]&gt;0,ESTIMATIVA[[#This Row],[QT_CANA_REAL]],ESTIMATIVA[[#This Row],[QT_CANA_REST2]])</f>
        <v>2261.69</v>
      </c>
      <c r="AG431" s="1" t="str">
        <f>IF(COUNTIFS(GEADA!A:A,VALUE(ESTIMATIVA[[#This Row],[CD_UPNIVEL1]]&amp;TEXT(ESTIMATIVA[[#This Row],[CD_UPNIVEL3]],"0000")))&gt;0,"S","N")</f>
        <v>N</v>
      </c>
      <c r="AH43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31" s="55" t="str">
        <f>IF(ESTIMATIVA[[#This Row],[TP_CULTIVO]]="Irrigado",_xlfn.MAXIFS(IRRIGADO!J:J,IRRIGADO!C:C,ESTIMATIVA[[#This Row],[CD_UPNIVEL1]],IRRIGADO!E:E,ESTIMATIVA[[#This Row],[CD_UPNIVEL3]]),"")</f>
        <v/>
      </c>
      <c r="AJ43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31" s="1">
        <f>COUNTIFS(Apresentação!$E$23:$E$29,ESTIMATIVA[[#This Row],[CD_UPNIVEL1]])</f>
        <v>0</v>
      </c>
    </row>
    <row r="432" spans="1:37" x14ac:dyDescent="0.3">
      <c r="A432">
        <v>20314</v>
      </c>
      <c r="B432" t="s">
        <v>27</v>
      </c>
      <c r="C432">
        <v>283</v>
      </c>
      <c r="D432">
        <v>3</v>
      </c>
      <c r="E432" t="s">
        <v>263</v>
      </c>
      <c r="F432" s="85" t="s">
        <v>332</v>
      </c>
      <c r="G432"/>
      <c r="H432" t="s">
        <v>295</v>
      </c>
      <c r="I432" t="s">
        <v>197</v>
      </c>
      <c r="J432" t="s">
        <v>176</v>
      </c>
      <c r="K432" s="1">
        <v>16.7</v>
      </c>
      <c r="L432" s="1">
        <v>0</v>
      </c>
      <c r="M432" s="1">
        <v>0</v>
      </c>
      <c r="N432" s="1">
        <v>16.7</v>
      </c>
      <c r="O432" s="1">
        <v>1486.3</v>
      </c>
      <c r="P432" s="1">
        <v>0</v>
      </c>
      <c r="Q432" s="1">
        <v>0</v>
      </c>
      <c r="R432" s="1">
        <v>1404.39</v>
      </c>
      <c r="S432" t="s">
        <v>12</v>
      </c>
      <c r="T432" s="13">
        <v>45739</v>
      </c>
      <c r="U432" s="1" t="str">
        <f>IF(ESTIMATIVA[[#This Row],[QT_AREA_REAL]]&gt;0,"1- Colhido","2- à Colher")</f>
        <v>1- Colhido</v>
      </c>
      <c r="V432" s="1" t="str">
        <f>IF(ESTIMATIVA[[#This Row],[QT_AREA_REST1]]&gt;0,"Reestimativa 1",IF(ESTIMATIVA[[#This Row],[QT_AREA_REAL]]=0,"Reestimativa 1","Realizado"))</f>
        <v>Realizado</v>
      </c>
      <c r="W432" s="1" t="str">
        <f>IF(ESTIMATIVA[[#This Row],[QT_AREA_REST2]]&gt;0,"Reestimativa 2",IF(ESTIMATIVA[[#This Row],[QT_AREA_REAL]]=0,"Reestimativa 2","Realizado"))</f>
        <v>Realizado</v>
      </c>
      <c r="X432" s="1">
        <f>ESTIMATIVA[[#This Row],[QT_AREA_EST]]</f>
        <v>16.7</v>
      </c>
      <c r="Y432" s="1">
        <f>IF(ESTIMATIVA[[#This Row],[QT_AREA_REST1]]&gt;0,ESTIMATIVA[[#This Row],[QT_AREA_REST1]],
  IF(ESTIMATIVA[[#This Row],[QT_AREA_REAL]]&gt;0,ESTIMATIVA[[#This Row],[QT_AREA_REAL]],ESTIMATIVA[[#This Row],[QT_AREA_EST]]))</f>
        <v>16.7</v>
      </c>
      <c r="Z43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16.7</v>
      </c>
      <c r="AA432" s="1">
        <f>ESTIMATIVA[[#This Row],[QT_CANA_EST]]</f>
        <v>1486.3</v>
      </c>
      <c r="AB432" s="1">
        <f>IF(ESTIMATIVA[[#This Row],[QT_CANA_REST1]]&gt;0,ESTIMATIVA[[#This Row],[QT_CANA_REST1]],
  IF(ESTIMATIVA[[#This Row],[QT_CANA_REAL]]&gt;0,ESTIMATIVA[[#This Row],[QT_CANA_REAL]],ESTIMATIVA[[#This Row],[QT_CANA_EST]]))</f>
        <v>1404.39</v>
      </c>
      <c r="AC43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1404.39</v>
      </c>
      <c r="AD432" s="1">
        <f>IF(ESTIMATIVA[[#This Row],[QT_AREA_REAL]]&gt;0,ESTIMATIVA[[#This Row],[QT_CANA_REAL]],ESTIMATIVA[[#This Row],[QT_CANA_EST]])</f>
        <v>1404.39</v>
      </c>
      <c r="AE432" s="1">
        <f>IF(ESTIMATIVA[[#This Row],[QT_AREA_REAL]]&gt;0,ESTIMATIVA[[#This Row],[QT_CANA_REAL]],ESTIMATIVA[[#This Row],[QT_CANA_REST1]])</f>
        <v>1404.39</v>
      </c>
      <c r="AF432" s="1">
        <f>IF(ESTIMATIVA[[#This Row],[QT_AREA_REAL]]&gt;0,ESTIMATIVA[[#This Row],[QT_CANA_REAL]],ESTIMATIVA[[#This Row],[QT_CANA_REST2]])</f>
        <v>1404.39</v>
      </c>
      <c r="AG432" s="1" t="str">
        <f>IF(COUNTIFS(GEADA!A:A,VALUE(ESTIMATIVA[[#This Row],[CD_UPNIVEL1]]&amp;TEXT(ESTIMATIVA[[#This Row],[CD_UPNIVEL3]],"0000")))&gt;0,"S","N")</f>
        <v>N</v>
      </c>
      <c r="AH43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32" s="55" t="str">
        <f>IF(ESTIMATIVA[[#This Row],[TP_CULTIVO]]="Irrigado",_xlfn.MAXIFS(IRRIGADO!J:J,IRRIGADO!C:C,ESTIMATIVA[[#This Row],[CD_UPNIVEL1]],IRRIGADO!E:E,ESTIMATIVA[[#This Row],[CD_UPNIVEL3]]),"")</f>
        <v/>
      </c>
      <c r="AJ43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32" s="1">
        <f>COUNTIFS(Apresentação!$E$23:$E$29,ESTIMATIVA[[#This Row],[CD_UPNIVEL1]])</f>
        <v>0</v>
      </c>
    </row>
    <row r="433" spans="1:37" x14ac:dyDescent="0.3">
      <c r="A433">
        <v>20314</v>
      </c>
      <c r="B433" t="s">
        <v>27</v>
      </c>
      <c r="C433">
        <v>284</v>
      </c>
      <c r="D433">
        <v>3</v>
      </c>
      <c r="E433" t="s">
        <v>263</v>
      </c>
      <c r="F433" s="85" t="s">
        <v>332</v>
      </c>
      <c r="G433"/>
      <c r="H433" t="s">
        <v>295</v>
      </c>
      <c r="I433" t="s">
        <v>197</v>
      </c>
      <c r="J433" t="s">
        <v>176</v>
      </c>
      <c r="K433" s="1">
        <v>19.75</v>
      </c>
      <c r="L433" s="1">
        <v>0</v>
      </c>
      <c r="M433" s="1">
        <v>0</v>
      </c>
      <c r="N433" s="1">
        <v>19.75</v>
      </c>
      <c r="O433" s="1">
        <v>1738</v>
      </c>
      <c r="P433" s="1">
        <v>0</v>
      </c>
      <c r="Q433" s="1">
        <v>0</v>
      </c>
      <c r="R433" s="1">
        <v>1692.67</v>
      </c>
      <c r="S433" t="s">
        <v>12</v>
      </c>
      <c r="T433" s="13">
        <v>45739</v>
      </c>
      <c r="U433" s="1" t="str">
        <f>IF(ESTIMATIVA[[#This Row],[QT_AREA_REAL]]&gt;0,"1- Colhido","2- à Colher")</f>
        <v>1- Colhido</v>
      </c>
      <c r="V433" s="1" t="str">
        <f>IF(ESTIMATIVA[[#This Row],[QT_AREA_REST1]]&gt;0,"Reestimativa 1",IF(ESTIMATIVA[[#This Row],[QT_AREA_REAL]]=0,"Reestimativa 1","Realizado"))</f>
        <v>Realizado</v>
      </c>
      <c r="W433" s="1" t="str">
        <f>IF(ESTIMATIVA[[#This Row],[QT_AREA_REST2]]&gt;0,"Reestimativa 2",IF(ESTIMATIVA[[#This Row],[QT_AREA_REAL]]=0,"Reestimativa 2","Realizado"))</f>
        <v>Realizado</v>
      </c>
      <c r="X433" s="1">
        <f>ESTIMATIVA[[#This Row],[QT_AREA_EST]]</f>
        <v>19.75</v>
      </c>
      <c r="Y433" s="1">
        <f>IF(ESTIMATIVA[[#This Row],[QT_AREA_REST1]]&gt;0,ESTIMATIVA[[#This Row],[QT_AREA_REST1]],
  IF(ESTIMATIVA[[#This Row],[QT_AREA_REAL]]&gt;0,ESTIMATIVA[[#This Row],[QT_AREA_REAL]],ESTIMATIVA[[#This Row],[QT_AREA_EST]]))</f>
        <v>19.75</v>
      </c>
      <c r="Z43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19.75</v>
      </c>
      <c r="AA433" s="1">
        <f>ESTIMATIVA[[#This Row],[QT_CANA_EST]]</f>
        <v>1738</v>
      </c>
      <c r="AB433" s="1">
        <f>IF(ESTIMATIVA[[#This Row],[QT_CANA_REST1]]&gt;0,ESTIMATIVA[[#This Row],[QT_CANA_REST1]],
  IF(ESTIMATIVA[[#This Row],[QT_CANA_REAL]]&gt;0,ESTIMATIVA[[#This Row],[QT_CANA_REAL]],ESTIMATIVA[[#This Row],[QT_CANA_EST]]))</f>
        <v>1692.67</v>
      </c>
      <c r="AC43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1692.67</v>
      </c>
      <c r="AD433" s="1">
        <f>IF(ESTIMATIVA[[#This Row],[QT_AREA_REAL]]&gt;0,ESTIMATIVA[[#This Row],[QT_CANA_REAL]],ESTIMATIVA[[#This Row],[QT_CANA_EST]])</f>
        <v>1692.67</v>
      </c>
      <c r="AE433" s="1">
        <f>IF(ESTIMATIVA[[#This Row],[QT_AREA_REAL]]&gt;0,ESTIMATIVA[[#This Row],[QT_CANA_REAL]],ESTIMATIVA[[#This Row],[QT_CANA_REST1]])</f>
        <v>1692.67</v>
      </c>
      <c r="AF433" s="1">
        <f>IF(ESTIMATIVA[[#This Row],[QT_AREA_REAL]]&gt;0,ESTIMATIVA[[#This Row],[QT_CANA_REAL]],ESTIMATIVA[[#This Row],[QT_CANA_REST2]])</f>
        <v>1692.67</v>
      </c>
      <c r="AG433" s="1" t="str">
        <f>IF(COUNTIFS(GEADA!A:A,VALUE(ESTIMATIVA[[#This Row],[CD_UPNIVEL1]]&amp;TEXT(ESTIMATIVA[[#This Row],[CD_UPNIVEL3]],"0000")))&gt;0,"S","N")</f>
        <v>N</v>
      </c>
      <c r="AH43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33" s="55" t="str">
        <f>IF(ESTIMATIVA[[#This Row],[TP_CULTIVO]]="Irrigado",_xlfn.MAXIFS(IRRIGADO!J:J,IRRIGADO!C:C,ESTIMATIVA[[#This Row],[CD_UPNIVEL1]],IRRIGADO!E:E,ESTIMATIVA[[#This Row],[CD_UPNIVEL3]]),"")</f>
        <v/>
      </c>
      <c r="AJ43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33" s="1">
        <f>COUNTIFS(Apresentação!$E$23:$E$29,ESTIMATIVA[[#This Row],[CD_UPNIVEL1]])</f>
        <v>0</v>
      </c>
    </row>
    <row r="434" spans="1:37" x14ac:dyDescent="0.3">
      <c r="A434">
        <v>20314</v>
      </c>
      <c r="B434" t="s">
        <v>27</v>
      </c>
      <c r="C434">
        <v>285</v>
      </c>
      <c r="D434">
        <v>3</v>
      </c>
      <c r="E434" t="s">
        <v>263</v>
      </c>
      <c r="F434" s="85" t="s">
        <v>332</v>
      </c>
      <c r="G434"/>
      <c r="H434" t="s">
        <v>295</v>
      </c>
      <c r="I434" t="s">
        <v>218</v>
      </c>
      <c r="J434" t="s">
        <v>176</v>
      </c>
      <c r="K434" s="1">
        <v>25.77</v>
      </c>
      <c r="L434" s="1">
        <v>0</v>
      </c>
      <c r="M434" s="1">
        <v>0</v>
      </c>
      <c r="N434" s="1">
        <v>25.77</v>
      </c>
      <c r="O434" s="1">
        <v>2267.7600000000002</v>
      </c>
      <c r="P434" s="1">
        <v>0</v>
      </c>
      <c r="Q434" s="1">
        <v>0</v>
      </c>
      <c r="R434" s="1">
        <v>2209.2800000000002</v>
      </c>
      <c r="S434" t="s">
        <v>12</v>
      </c>
      <c r="T434" s="13">
        <v>45739</v>
      </c>
      <c r="U434" s="1" t="str">
        <f>IF(ESTIMATIVA[[#This Row],[QT_AREA_REAL]]&gt;0,"1- Colhido","2- à Colher")</f>
        <v>1- Colhido</v>
      </c>
      <c r="V434" s="1" t="str">
        <f>IF(ESTIMATIVA[[#This Row],[QT_AREA_REST1]]&gt;0,"Reestimativa 1",IF(ESTIMATIVA[[#This Row],[QT_AREA_REAL]]=0,"Reestimativa 1","Realizado"))</f>
        <v>Realizado</v>
      </c>
      <c r="W434" s="1" t="str">
        <f>IF(ESTIMATIVA[[#This Row],[QT_AREA_REST2]]&gt;0,"Reestimativa 2",IF(ESTIMATIVA[[#This Row],[QT_AREA_REAL]]=0,"Reestimativa 2","Realizado"))</f>
        <v>Realizado</v>
      </c>
      <c r="X434" s="1">
        <f>ESTIMATIVA[[#This Row],[QT_AREA_EST]]</f>
        <v>25.77</v>
      </c>
      <c r="Y434" s="1">
        <f>IF(ESTIMATIVA[[#This Row],[QT_AREA_REST1]]&gt;0,ESTIMATIVA[[#This Row],[QT_AREA_REST1]],
  IF(ESTIMATIVA[[#This Row],[QT_AREA_REAL]]&gt;0,ESTIMATIVA[[#This Row],[QT_AREA_REAL]],ESTIMATIVA[[#This Row],[QT_AREA_EST]]))</f>
        <v>25.77</v>
      </c>
      <c r="Z43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25.77</v>
      </c>
      <c r="AA434" s="1">
        <f>ESTIMATIVA[[#This Row],[QT_CANA_EST]]</f>
        <v>2267.7600000000002</v>
      </c>
      <c r="AB434" s="1">
        <f>IF(ESTIMATIVA[[#This Row],[QT_CANA_REST1]]&gt;0,ESTIMATIVA[[#This Row],[QT_CANA_REST1]],
  IF(ESTIMATIVA[[#This Row],[QT_CANA_REAL]]&gt;0,ESTIMATIVA[[#This Row],[QT_CANA_REAL]],ESTIMATIVA[[#This Row],[QT_CANA_EST]]))</f>
        <v>2209.2800000000002</v>
      </c>
      <c r="AC43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2209.2800000000002</v>
      </c>
      <c r="AD434" s="1">
        <f>IF(ESTIMATIVA[[#This Row],[QT_AREA_REAL]]&gt;0,ESTIMATIVA[[#This Row],[QT_CANA_REAL]],ESTIMATIVA[[#This Row],[QT_CANA_EST]])</f>
        <v>2209.2800000000002</v>
      </c>
      <c r="AE434" s="1">
        <f>IF(ESTIMATIVA[[#This Row],[QT_AREA_REAL]]&gt;0,ESTIMATIVA[[#This Row],[QT_CANA_REAL]],ESTIMATIVA[[#This Row],[QT_CANA_REST1]])</f>
        <v>2209.2800000000002</v>
      </c>
      <c r="AF434" s="1">
        <f>IF(ESTIMATIVA[[#This Row],[QT_AREA_REAL]]&gt;0,ESTIMATIVA[[#This Row],[QT_CANA_REAL]],ESTIMATIVA[[#This Row],[QT_CANA_REST2]])</f>
        <v>2209.2800000000002</v>
      </c>
      <c r="AG434" s="1" t="str">
        <f>IF(COUNTIFS(GEADA!A:A,VALUE(ESTIMATIVA[[#This Row],[CD_UPNIVEL1]]&amp;TEXT(ESTIMATIVA[[#This Row],[CD_UPNIVEL3]],"0000")))&gt;0,"S","N")</f>
        <v>N</v>
      </c>
      <c r="AH43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34" s="55" t="str">
        <f>IF(ESTIMATIVA[[#This Row],[TP_CULTIVO]]="Irrigado",_xlfn.MAXIFS(IRRIGADO!J:J,IRRIGADO!C:C,ESTIMATIVA[[#This Row],[CD_UPNIVEL1]],IRRIGADO!E:E,ESTIMATIVA[[#This Row],[CD_UPNIVEL3]]),"")</f>
        <v/>
      </c>
      <c r="AJ43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34" s="1">
        <f>COUNTIFS(Apresentação!$E$23:$E$29,ESTIMATIVA[[#This Row],[CD_UPNIVEL1]])</f>
        <v>0</v>
      </c>
    </row>
    <row r="435" spans="1:37" x14ac:dyDescent="0.3">
      <c r="A435">
        <v>20314</v>
      </c>
      <c r="B435" t="s">
        <v>27</v>
      </c>
      <c r="C435">
        <v>286</v>
      </c>
      <c r="D435">
        <v>3</v>
      </c>
      <c r="E435" t="s">
        <v>263</v>
      </c>
      <c r="F435" s="85" t="s">
        <v>332</v>
      </c>
      <c r="G435"/>
      <c r="H435" t="s">
        <v>295</v>
      </c>
      <c r="I435" t="s">
        <v>210</v>
      </c>
      <c r="J435" t="s">
        <v>176</v>
      </c>
      <c r="K435" s="1">
        <v>30.19</v>
      </c>
      <c r="L435" s="1">
        <v>0</v>
      </c>
      <c r="M435" s="1">
        <v>0</v>
      </c>
      <c r="N435" s="1">
        <v>30.19</v>
      </c>
      <c r="O435" s="1">
        <v>2656.72</v>
      </c>
      <c r="P435" s="1">
        <v>0</v>
      </c>
      <c r="Q435" s="1">
        <v>0</v>
      </c>
      <c r="R435" s="1">
        <v>2427.19</v>
      </c>
      <c r="S435" t="s">
        <v>12</v>
      </c>
      <c r="T435" s="13">
        <v>45732</v>
      </c>
      <c r="U435" s="1" t="str">
        <f>IF(ESTIMATIVA[[#This Row],[QT_AREA_REAL]]&gt;0,"1- Colhido","2- à Colher")</f>
        <v>1- Colhido</v>
      </c>
      <c r="V435" s="1" t="str">
        <f>IF(ESTIMATIVA[[#This Row],[QT_AREA_REST1]]&gt;0,"Reestimativa 1",IF(ESTIMATIVA[[#This Row],[QT_AREA_REAL]]=0,"Reestimativa 1","Realizado"))</f>
        <v>Realizado</v>
      </c>
      <c r="W435" s="1" t="str">
        <f>IF(ESTIMATIVA[[#This Row],[QT_AREA_REST2]]&gt;0,"Reestimativa 2",IF(ESTIMATIVA[[#This Row],[QT_AREA_REAL]]=0,"Reestimativa 2","Realizado"))</f>
        <v>Realizado</v>
      </c>
      <c r="X435" s="1">
        <f>ESTIMATIVA[[#This Row],[QT_AREA_EST]]</f>
        <v>30.19</v>
      </c>
      <c r="Y435" s="1">
        <f>IF(ESTIMATIVA[[#This Row],[QT_AREA_REST1]]&gt;0,ESTIMATIVA[[#This Row],[QT_AREA_REST1]],
  IF(ESTIMATIVA[[#This Row],[QT_AREA_REAL]]&gt;0,ESTIMATIVA[[#This Row],[QT_AREA_REAL]],ESTIMATIVA[[#This Row],[QT_AREA_EST]]))</f>
        <v>30.19</v>
      </c>
      <c r="Z43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30.19</v>
      </c>
      <c r="AA435" s="1">
        <f>ESTIMATIVA[[#This Row],[QT_CANA_EST]]</f>
        <v>2656.72</v>
      </c>
      <c r="AB435" s="1">
        <f>IF(ESTIMATIVA[[#This Row],[QT_CANA_REST1]]&gt;0,ESTIMATIVA[[#This Row],[QT_CANA_REST1]],
  IF(ESTIMATIVA[[#This Row],[QT_CANA_REAL]]&gt;0,ESTIMATIVA[[#This Row],[QT_CANA_REAL]],ESTIMATIVA[[#This Row],[QT_CANA_EST]]))</f>
        <v>2427.19</v>
      </c>
      <c r="AC43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2427.19</v>
      </c>
      <c r="AD435" s="1">
        <f>IF(ESTIMATIVA[[#This Row],[QT_AREA_REAL]]&gt;0,ESTIMATIVA[[#This Row],[QT_CANA_REAL]],ESTIMATIVA[[#This Row],[QT_CANA_EST]])</f>
        <v>2427.19</v>
      </c>
      <c r="AE435" s="1">
        <f>IF(ESTIMATIVA[[#This Row],[QT_AREA_REAL]]&gt;0,ESTIMATIVA[[#This Row],[QT_CANA_REAL]],ESTIMATIVA[[#This Row],[QT_CANA_REST1]])</f>
        <v>2427.19</v>
      </c>
      <c r="AF435" s="1">
        <f>IF(ESTIMATIVA[[#This Row],[QT_AREA_REAL]]&gt;0,ESTIMATIVA[[#This Row],[QT_CANA_REAL]],ESTIMATIVA[[#This Row],[QT_CANA_REST2]])</f>
        <v>2427.19</v>
      </c>
      <c r="AG435" s="1" t="str">
        <f>IF(COUNTIFS(GEADA!A:A,VALUE(ESTIMATIVA[[#This Row],[CD_UPNIVEL1]]&amp;TEXT(ESTIMATIVA[[#This Row],[CD_UPNIVEL3]],"0000")))&gt;0,"S","N")</f>
        <v>N</v>
      </c>
      <c r="AH43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35" s="55" t="str">
        <f>IF(ESTIMATIVA[[#This Row],[TP_CULTIVO]]="Irrigado",_xlfn.MAXIFS(IRRIGADO!J:J,IRRIGADO!C:C,ESTIMATIVA[[#This Row],[CD_UPNIVEL1]],IRRIGADO!E:E,ESTIMATIVA[[#This Row],[CD_UPNIVEL3]]),"")</f>
        <v/>
      </c>
      <c r="AJ43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35" s="1">
        <f>COUNTIFS(Apresentação!$E$23:$E$29,ESTIMATIVA[[#This Row],[CD_UPNIVEL1]])</f>
        <v>0</v>
      </c>
    </row>
    <row r="436" spans="1:37" x14ac:dyDescent="0.3">
      <c r="A436">
        <v>20314</v>
      </c>
      <c r="B436" t="s">
        <v>27</v>
      </c>
      <c r="C436">
        <v>287</v>
      </c>
      <c r="D436">
        <v>3</v>
      </c>
      <c r="E436" t="s">
        <v>263</v>
      </c>
      <c r="F436" s="85" t="s">
        <v>332</v>
      </c>
      <c r="G436"/>
      <c r="H436" t="s">
        <v>295</v>
      </c>
      <c r="I436" t="s">
        <v>210</v>
      </c>
      <c r="J436" t="s">
        <v>176</v>
      </c>
      <c r="K436" s="1">
        <v>18.510000000000002</v>
      </c>
      <c r="L436" s="1">
        <v>0</v>
      </c>
      <c r="M436" s="1">
        <v>0</v>
      </c>
      <c r="N436" s="1">
        <v>18.510000000000002</v>
      </c>
      <c r="O436" s="1">
        <v>1628.88</v>
      </c>
      <c r="P436" s="1">
        <v>0</v>
      </c>
      <c r="Q436" s="1">
        <v>0</v>
      </c>
      <c r="R436" s="1">
        <v>1488.07</v>
      </c>
      <c r="S436" t="s">
        <v>12</v>
      </c>
      <c r="T436" s="13">
        <v>45732</v>
      </c>
      <c r="U436" s="1" t="str">
        <f>IF(ESTIMATIVA[[#This Row],[QT_AREA_REAL]]&gt;0,"1- Colhido","2- à Colher")</f>
        <v>1- Colhido</v>
      </c>
      <c r="V436" s="1" t="str">
        <f>IF(ESTIMATIVA[[#This Row],[QT_AREA_REST1]]&gt;0,"Reestimativa 1",IF(ESTIMATIVA[[#This Row],[QT_AREA_REAL]]=0,"Reestimativa 1","Realizado"))</f>
        <v>Realizado</v>
      </c>
      <c r="W436" s="1" t="str">
        <f>IF(ESTIMATIVA[[#This Row],[QT_AREA_REST2]]&gt;0,"Reestimativa 2",IF(ESTIMATIVA[[#This Row],[QT_AREA_REAL]]=0,"Reestimativa 2","Realizado"))</f>
        <v>Realizado</v>
      </c>
      <c r="X436" s="1">
        <f>ESTIMATIVA[[#This Row],[QT_AREA_EST]]</f>
        <v>18.510000000000002</v>
      </c>
      <c r="Y436" s="1">
        <f>IF(ESTIMATIVA[[#This Row],[QT_AREA_REST1]]&gt;0,ESTIMATIVA[[#This Row],[QT_AREA_REST1]],
  IF(ESTIMATIVA[[#This Row],[QT_AREA_REAL]]&gt;0,ESTIMATIVA[[#This Row],[QT_AREA_REAL]],ESTIMATIVA[[#This Row],[QT_AREA_EST]]))</f>
        <v>18.510000000000002</v>
      </c>
      <c r="Z43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18.510000000000002</v>
      </c>
      <c r="AA436" s="1">
        <f>ESTIMATIVA[[#This Row],[QT_CANA_EST]]</f>
        <v>1628.88</v>
      </c>
      <c r="AB436" s="1">
        <f>IF(ESTIMATIVA[[#This Row],[QT_CANA_REST1]]&gt;0,ESTIMATIVA[[#This Row],[QT_CANA_REST1]],
  IF(ESTIMATIVA[[#This Row],[QT_CANA_REAL]]&gt;0,ESTIMATIVA[[#This Row],[QT_CANA_REAL]],ESTIMATIVA[[#This Row],[QT_CANA_EST]]))</f>
        <v>1488.07</v>
      </c>
      <c r="AC43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1488.07</v>
      </c>
      <c r="AD436" s="1">
        <f>IF(ESTIMATIVA[[#This Row],[QT_AREA_REAL]]&gt;0,ESTIMATIVA[[#This Row],[QT_CANA_REAL]],ESTIMATIVA[[#This Row],[QT_CANA_EST]])</f>
        <v>1488.07</v>
      </c>
      <c r="AE436" s="1">
        <f>IF(ESTIMATIVA[[#This Row],[QT_AREA_REAL]]&gt;0,ESTIMATIVA[[#This Row],[QT_CANA_REAL]],ESTIMATIVA[[#This Row],[QT_CANA_REST1]])</f>
        <v>1488.07</v>
      </c>
      <c r="AF436" s="1">
        <f>IF(ESTIMATIVA[[#This Row],[QT_AREA_REAL]]&gt;0,ESTIMATIVA[[#This Row],[QT_CANA_REAL]],ESTIMATIVA[[#This Row],[QT_CANA_REST2]])</f>
        <v>1488.07</v>
      </c>
      <c r="AG436" s="1" t="str">
        <f>IF(COUNTIFS(GEADA!A:A,VALUE(ESTIMATIVA[[#This Row],[CD_UPNIVEL1]]&amp;TEXT(ESTIMATIVA[[#This Row],[CD_UPNIVEL3]],"0000")))&gt;0,"S","N")</f>
        <v>N</v>
      </c>
      <c r="AH43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36" s="55" t="str">
        <f>IF(ESTIMATIVA[[#This Row],[TP_CULTIVO]]="Irrigado",_xlfn.MAXIFS(IRRIGADO!J:J,IRRIGADO!C:C,ESTIMATIVA[[#This Row],[CD_UPNIVEL1]],IRRIGADO!E:E,ESTIMATIVA[[#This Row],[CD_UPNIVEL3]]),"")</f>
        <v/>
      </c>
      <c r="AJ43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36" s="1">
        <f>COUNTIFS(Apresentação!$E$23:$E$29,ESTIMATIVA[[#This Row],[CD_UPNIVEL1]])</f>
        <v>0</v>
      </c>
    </row>
    <row r="437" spans="1:37" x14ac:dyDescent="0.3">
      <c r="A437">
        <v>20314</v>
      </c>
      <c r="B437" t="s">
        <v>27</v>
      </c>
      <c r="C437">
        <v>288</v>
      </c>
      <c r="D437">
        <v>3</v>
      </c>
      <c r="E437" t="s">
        <v>263</v>
      </c>
      <c r="F437" s="85" t="s">
        <v>332</v>
      </c>
      <c r="G437"/>
      <c r="H437" t="s">
        <v>295</v>
      </c>
      <c r="I437" t="s">
        <v>210</v>
      </c>
      <c r="J437" t="s">
        <v>176</v>
      </c>
      <c r="K437" s="1">
        <v>5.09</v>
      </c>
      <c r="L437" s="1">
        <v>0</v>
      </c>
      <c r="M437" s="1">
        <v>0</v>
      </c>
      <c r="N437" s="1">
        <v>5.09</v>
      </c>
      <c r="O437" s="1">
        <v>447.92</v>
      </c>
      <c r="P437" s="1">
        <v>0</v>
      </c>
      <c r="Q437" s="1">
        <v>0</v>
      </c>
      <c r="R437" s="1">
        <v>432.78</v>
      </c>
      <c r="S437" t="s">
        <v>12</v>
      </c>
      <c r="T437" s="13">
        <v>45732</v>
      </c>
      <c r="U437" s="1" t="str">
        <f>IF(ESTIMATIVA[[#This Row],[QT_AREA_REAL]]&gt;0,"1- Colhido","2- à Colher")</f>
        <v>1- Colhido</v>
      </c>
      <c r="V437" s="1" t="str">
        <f>IF(ESTIMATIVA[[#This Row],[QT_AREA_REST1]]&gt;0,"Reestimativa 1",IF(ESTIMATIVA[[#This Row],[QT_AREA_REAL]]=0,"Reestimativa 1","Realizado"))</f>
        <v>Realizado</v>
      </c>
      <c r="W437" s="1" t="str">
        <f>IF(ESTIMATIVA[[#This Row],[QT_AREA_REST2]]&gt;0,"Reestimativa 2",IF(ESTIMATIVA[[#This Row],[QT_AREA_REAL]]=0,"Reestimativa 2","Realizado"))</f>
        <v>Realizado</v>
      </c>
      <c r="X437" s="1">
        <f>ESTIMATIVA[[#This Row],[QT_AREA_EST]]</f>
        <v>5.09</v>
      </c>
      <c r="Y437" s="1">
        <f>IF(ESTIMATIVA[[#This Row],[QT_AREA_REST1]]&gt;0,ESTIMATIVA[[#This Row],[QT_AREA_REST1]],
  IF(ESTIMATIVA[[#This Row],[QT_AREA_REAL]]&gt;0,ESTIMATIVA[[#This Row],[QT_AREA_REAL]],ESTIMATIVA[[#This Row],[QT_AREA_EST]]))</f>
        <v>5.09</v>
      </c>
      <c r="Z43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5.09</v>
      </c>
      <c r="AA437" s="1">
        <f>ESTIMATIVA[[#This Row],[QT_CANA_EST]]</f>
        <v>447.92</v>
      </c>
      <c r="AB437" s="1">
        <f>IF(ESTIMATIVA[[#This Row],[QT_CANA_REST1]]&gt;0,ESTIMATIVA[[#This Row],[QT_CANA_REST1]],
  IF(ESTIMATIVA[[#This Row],[QT_CANA_REAL]]&gt;0,ESTIMATIVA[[#This Row],[QT_CANA_REAL]],ESTIMATIVA[[#This Row],[QT_CANA_EST]]))</f>
        <v>432.78</v>
      </c>
      <c r="AC43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432.78</v>
      </c>
      <c r="AD437" s="1">
        <f>IF(ESTIMATIVA[[#This Row],[QT_AREA_REAL]]&gt;0,ESTIMATIVA[[#This Row],[QT_CANA_REAL]],ESTIMATIVA[[#This Row],[QT_CANA_EST]])</f>
        <v>432.78</v>
      </c>
      <c r="AE437" s="1">
        <f>IF(ESTIMATIVA[[#This Row],[QT_AREA_REAL]]&gt;0,ESTIMATIVA[[#This Row],[QT_CANA_REAL]],ESTIMATIVA[[#This Row],[QT_CANA_REST1]])</f>
        <v>432.78</v>
      </c>
      <c r="AF437" s="1">
        <f>IF(ESTIMATIVA[[#This Row],[QT_AREA_REAL]]&gt;0,ESTIMATIVA[[#This Row],[QT_CANA_REAL]],ESTIMATIVA[[#This Row],[QT_CANA_REST2]])</f>
        <v>432.78</v>
      </c>
      <c r="AG437" s="1" t="str">
        <f>IF(COUNTIFS(GEADA!A:A,VALUE(ESTIMATIVA[[#This Row],[CD_UPNIVEL1]]&amp;TEXT(ESTIMATIVA[[#This Row],[CD_UPNIVEL3]],"0000")))&gt;0,"S","N")</f>
        <v>N</v>
      </c>
      <c r="AH43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37" s="55" t="str">
        <f>IF(ESTIMATIVA[[#This Row],[TP_CULTIVO]]="Irrigado",_xlfn.MAXIFS(IRRIGADO!J:J,IRRIGADO!C:C,ESTIMATIVA[[#This Row],[CD_UPNIVEL1]],IRRIGADO!E:E,ESTIMATIVA[[#This Row],[CD_UPNIVEL3]]),"")</f>
        <v/>
      </c>
      <c r="AJ43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37" s="1">
        <f>COUNTIFS(Apresentação!$E$23:$E$29,ESTIMATIVA[[#This Row],[CD_UPNIVEL1]])</f>
        <v>0</v>
      </c>
    </row>
    <row r="438" spans="1:37" x14ac:dyDescent="0.3">
      <c r="A438">
        <v>20314</v>
      </c>
      <c r="B438" t="s">
        <v>27</v>
      </c>
      <c r="C438">
        <v>291</v>
      </c>
      <c r="D438">
        <v>3</v>
      </c>
      <c r="E438" t="s">
        <v>263</v>
      </c>
      <c r="F438" s="85" t="s">
        <v>332</v>
      </c>
      <c r="G438"/>
      <c r="H438" t="s">
        <v>295</v>
      </c>
      <c r="I438" t="s">
        <v>210</v>
      </c>
      <c r="J438" t="s">
        <v>176</v>
      </c>
      <c r="K438" s="1">
        <v>37.58</v>
      </c>
      <c r="L438" s="1">
        <v>0</v>
      </c>
      <c r="M438" s="1">
        <v>0</v>
      </c>
      <c r="N438" s="1">
        <v>37.58</v>
      </c>
      <c r="O438" s="1">
        <v>3307.04</v>
      </c>
      <c r="P438" s="1">
        <v>0</v>
      </c>
      <c r="Q438" s="1">
        <v>0</v>
      </c>
      <c r="R438" s="1">
        <v>3237.92</v>
      </c>
      <c r="S438" t="s">
        <v>12</v>
      </c>
      <c r="T438" s="13">
        <v>45732</v>
      </c>
      <c r="U438" s="1" t="str">
        <f>IF(ESTIMATIVA[[#This Row],[QT_AREA_REAL]]&gt;0,"1- Colhido","2- à Colher")</f>
        <v>1- Colhido</v>
      </c>
      <c r="V438" s="1" t="str">
        <f>IF(ESTIMATIVA[[#This Row],[QT_AREA_REST1]]&gt;0,"Reestimativa 1",IF(ESTIMATIVA[[#This Row],[QT_AREA_REAL]]=0,"Reestimativa 1","Realizado"))</f>
        <v>Realizado</v>
      </c>
      <c r="W438" s="1" t="str">
        <f>IF(ESTIMATIVA[[#This Row],[QT_AREA_REST2]]&gt;0,"Reestimativa 2",IF(ESTIMATIVA[[#This Row],[QT_AREA_REAL]]=0,"Reestimativa 2","Realizado"))</f>
        <v>Realizado</v>
      </c>
      <c r="X438" s="1">
        <f>ESTIMATIVA[[#This Row],[QT_AREA_EST]]</f>
        <v>37.58</v>
      </c>
      <c r="Y438" s="1">
        <f>IF(ESTIMATIVA[[#This Row],[QT_AREA_REST1]]&gt;0,ESTIMATIVA[[#This Row],[QT_AREA_REST1]],
  IF(ESTIMATIVA[[#This Row],[QT_AREA_REAL]]&gt;0,ESTIMATIVA[[#This Row],[QT_AREA_REAL]],ESTIMATIVA[[#This Row],[QT_AREA_EST]]))</f>
        <v>37.58</v>
      </c>
      <c r="Z43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37.58</v>
      </c>
      <c r="AA438" s="1">
        <f>ESTIMATIVA[[#This Row],[QT_CANA_EST]]</f>
        <v>3307.04</v>
      </c>
      <c r="AB438" s="1">
        <f>IF(ESTIMATIVA[[#This Row],[QT_CANA_REST1]]&gt;0,ESTIMATIVA[[#This Row],[QT_CANA_REST1]],
  IF(ESTIMATIVA[[#This Row],[QT_CANA_REAL]]&gt;0,ESTIMATIVA[[#This Row],[QT_CANA_REAL]],ESTIMATIVA[[#This Row],[QT_CANA_EST]]))</f>
        <v>3237.92</v>
      </c>
      <c r="AC43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3237.92</v>
      </c>
      <c r="AD438" s="1">
        <f>IF(ESTIMATIVA[[#This Row],[QT_AREA_REAL]]&gt;0,ESTIMATIVA[[#This Row],[QT_CANA_REAL]],ESTIMATIVA[[#This Row],[QT_CANA_EST]])</f>
        <v>3237.92</v>
      </c>
      <c r="AE438" s="1">
        <f>IF(ESTIMATIVA[[#This Row],[QT_AREA_REAL]]&gt;0,ESTIMATIVA[[#This Row],[QT_CANA_REAL]],ESTIMATIVA[[#This Row],[QT_CANA_REST1]])</f>
        <v>3237.92</v>
      </c>
      <c r="AF438" s="1">
        <f>IF(ESTIMATIVA[[#This Row],[QT_AREA_REAL]]&gt;0,ESTIMATIVA[[#This Row],[QT_CANA_REAL]],ESTIMATIVA[[#This Row],[QT_CANA_REST2]])</f>
        <v>3237.92</v>
      </c>
      <c r="AG438" s="1" t="str">
        <f>IF(COUNTIFS(GEADA!A:A,VALUE(ESTIMATIVA[[#This Row],[CD_UPNIVEL1]]&amp;TEXT(ESTIMATIVA[[#This Row],[CD_UPNIVEL3]],"0000")))&gt;0,"S","N")</f>
        <v>N</v>
      </c>
      <c r="AH43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38" s="55" t="str">
        <f>IF(ESTIMATIVA[[#This Row],[TP_CULTIVO]]="Irrigado",_xlfn.MAXIFS(IRRIGADO!J:J,IRRIGADO!C:C,ESTIMATIVA[[#This Row],[CD_UPNIVEL1]],IRRIGADO!E:E,ESTIMATIVA[[#This Row],[CD_UPNIVEL3]]),"")</f>
        <v/>
      </c>
      <c r="AJ43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38" s="1">
        <f>COUNTIFS(Apresentação!$E$23:$E$29,ESTIMATIVA[[#This Row],[CD_UPNIVEL1]])</f>
        <v>0</v>
      </c>
    </row>
    <row r="439" spans="1:37" x14ac:dyDescent="0.3">
      <c r="A439">
        <v>20314</v>
      </c>
      <c r="B439" t="s">
        <v>27</v>
      </c>
      <c r="C439">
        <v>292</v>
      </c>
      <c r="D439">
        <v>3</v>
      </c>
      <c r="E439" t="s">
        <v>263</v>
      </c>
      <c r="F439" s="85" t="s">
        <v>332</v>
      </c>
      <c r="G439"/>
      <c r="H439" t="s">
        <v>295</v>
      </c>
      <c r="I439" t="s">
        <v>210</v>
      </c>
      <c r="J439" t="s">
        <v>176</v>
      </c>
      <c r="K439" s="1">
        <v>48.12</v>
      </c>
      <c r="L439" s="1">
        <v>0</v>
      </c>
      <c r="M439" s="1">
        <v>0</v>
      </c>
      <c r="N439" s="1">
        <v>48.12</v>
      </c>
      <c r="O439" s="1">
        <v>4234.5600000000004</v>
      </c>
      <c r="P439" s="1">
        <v>0</v>
      </c>
      <c r="Q439" s="1">
        <v>0</v>
      </c>
      <c r="R439" s="1">
        <v>4146.79</v>
      </c>
      <c r="S439" t="s">
        <v>12</v>
      </c>
      <c r="T439" s="13">
        <v>45732</v>
      </c>
      <c r="U439" s="1" t="str">
        <f>IF(ESTIMATIVA[[#This Row],[QT_AREA_REAL]]&gt;0,"1- Colhido","2- à Colher")</f>
        <v>1- Colhido</v>
      </c>
      <c r="V439" s="1" t="str">
        <f>IF(ESTIMATIVA[[#This Row],[QT_AREA_REST1]]&gt;0,"Reestimativa 1",IF(ESTIMATIVA[[#This Row],[QT_AREA_REAL]]=0,"Reestimativa 1","Realizado"))</f>
        <v>Realizado</v>
      </c>
      <c r="W439" s="1" t="str">
        <f>IF(ESTIMATIVA[[#This Row],[QT_AREA_REST2]]&gt;0,"Reestimativa 2",IF(ESTIMATIVA[[#This Row],[QT_AREA_REAL]]=0,"Reestimativa 2","Realizado"))</f>
        <v>Realizado</v>
      </c>
      <c r="X439" s="1">
        <f>ESTIMATIVA[[#This Row],[QT_AREA_EST]]</f>
        <v>48.12</v>
      </c>
      <c r="Y439" s="1">
        <f>IF(ESTIMATIVA[[#This Row],[QT_AREA_REST1]]&gt;0,ESTIMATIVA[[#This Row],[QT_AREA_REST1]],
  IF(ESTIMATIVA[[#This Row],[QT_AREA_REAL]]&gt;0,ESTIMATIVA[[#This Row],[QT_AREA_REAL]],ESTIMATIVA[[#This Row],[QT_AREA_EST]]))</f>
        <v>48.12</v>
      </c>
      <c r="Z43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48.12</v>
      </c>
      <c r="AA439" s="1">
        <f>ESTIMATIVA[[#This Row],[QT_CANA_EST]]</f>
        <v>4234.5600000000004</v>
      </c>
      <c r="AB439" s="1">
        <f>IF(ESTIMATIVA[[#This Row],[QT_CANA_REST1]]&gt;0,ESTIMATIVA[[#This Row],[QT_CANA_REST1]],
  IF(ESTIMATIVA[[#This Row],[QT_CANA_REAL]]&gt;0,ESTIMATIVA[[#This Row],[QT_CANA_REAL]],ESTIMATIVA[[#This Row],[QT_CANA_EST]]))</f>
        <v>4146.79</v>
      </c>
      <c r="AC43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4146.79</v>
      </c>
      <c r="AD439" s="1">
        <f>IF(ESTIMATIVA[[#This Row],[QT_AREA_REAL]]&gt;0,ESTIMATIVA[[#This Row],[QT_CANA_REAL]],ESTIMATIVA[[#This Row],[QT_CANA_EST]])</f>
        <v>4146.79</v>
      </c>
      <c r="AE439" s="1">
        <f>IF(ESTIMATIVA[[#This Row],[QT_AREA_REAL]]&gt;0,ESTIMATIVA[[#This Row],[QT_CANA_REAL]],ESTIMATIVA[[#This Row],[QT_CANA_REST1]])</f>
        <v>4146.79</v>
      </c>
      <c r="AF439" s="1">
        <f>IF(ESTIMATIVA[[#This Row],[QT_AREA_REAL]]&gt;0,ESTIMATIVA[[#This Row],[QT_CANA_REAL]],ESTIMATIVA[[#This Row],[QT_CANA_REST2]])</f>
        <v>4146.79</v>
      </c>
      <c r="AG439" s="1" t="str">
        <f>IF(COUNTIFS(GEADA!A:A,VALUE(ESTIMATIVA[[#This Row],[CD_UPNIVEL1]]&amp;TEXT(ESTIMATIVA[[#This Row],[CD_UPNIVEL3]],"0000")))&gt;0,"S","N")</f>
        <v>N</v>
      </c>
      <c r="AH43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39" s="55" t="str">
        <f>IF(ESTIMATIVA[[#This Row],[TP_CULTIVO]]="Irrigado",_xlfn.MAXIFS(IRRIGADO!J:J,IRRIGADO!C:C,ESTIMATIVA[[#This Row],[CD_UPNIVEL1]],IRRIGADO!E:E,ESTIMATIVA[[#This Row],[CD_UPNIVEL3]]),"")</f>
        <v/>
      </c>
      <c r="AJ43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39" s="1">
        <f>COUNTIFS(Apresentação!$E$23:$E$29,ESTIMATIVA[[#This Row],[CD_UPNIVEL1]])</f>
        <v>0</v>
      </c>
    </row>
    <row r="440" spans="1:37" x14ac:dyDescent="0.3">
      <c r="A440">
        <v>20314</v>
      </c>
      <c r="B440" t="s">
        <v>27</v>
      </c>
      <c r="C440">
        <v>293</v>
      </c>
      <c r="D440">
        <v>3</v>
      </c>
      <c r="E440" t="s">
        <v>263</v>
      </c>
      <c r="F440" s="85" t="s">
        <v>332</v>
      </c>
      <c r="G440"/>
      <c r="H440" t="s">
        <v>295</v>
      </c>
      <c r="I440" t="s">
        <v>210</v>
      </c>
      <c r="J440" t="s">
        <v>176</v>
      </c>
      <c r="K440" s="1">
        <v>12.89</v>
      </c>
      <c r="L440" s="1">
        <v>0</v>
      </c>
      <c r="M440" s="1">
        <v>0</v>
      </c>
      <c r="N440" s="1">
        <v>12.89</v>
      </c>
      <c r="O440" s="1">
        <v>1134.32</v>
      </c>
      <c r="P440" s="1">
        <v>0</v>
      </c>
      <c r="Q440" s="1">
        <v>0</v>
      </c>
      <c r="R440" s="1">
        <v>1095.5899999999999</v>
      </c>
      <c r="S440" t="s">
        <v>12</v>
      </c>
      <c r="T440" s="13">
        <v>45732</v>
      </c>
      <c r="U440" s="1" t="str">
        <f>IF(ESTIMATIVA[[#This Row],[QT_AREA_REAL]]&gt;0,"1- Colhido","2- à Colher")</f>
        <v>1- Colhido</v>
      </c>
      <c r="V440" s="1" t="str">
        <f>IF(ESTIMATIVA[[#This Row],[QT_AREA_REST1]]&gt;0,"Reestimativa 1",IF(ESTIMATIVA[[#This Row],[QT_AREA_REAL]]=0,"Reestimativa 1","Realizado"))</f>
        <v>Realizado</v>
      </c>
      <c r="W440" s="1" t="str">
        <f>IF(ESTIMATIVA[[#This Row],[QT_AREA_REST2]]&gt;0,"Reestimativa 2",IF(ESTIMATIVA[[#This Row],[QT_AREA_REAL]]=0,"Reestimativa 2","Realizado"))</f>
        <v>Realizado</v>
      </c>
      <c r="X440" s="1">
        <f>ESTIMATIVA[[#This Row],[QT_AREA_EST]]</f>
        <v>12.89</v>
      </c>
      <c r="Y440" s="1">
        <f>IF(ESTIMATIVA[[#This Row],[QT_AREA_REST1]]&gt;0,ESTIMATIVA[[#This Row],[QT_AREA_REST1]],
  IF(ESTIMATIVA[[#This Row],[QT_AREA_REAL]]&gt;0,ESTIMATIVA[[#This Row],[QT_AREA_REAL]],ESTIMATIVA[[#This Row],[QT_AREA_EST]]))</f>
        <v>12.89</v>
      </c>
      <c r="Z44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12.89</v>
      </c>
      <c r="AA440" s="1">
        <f>ESTIMATIVA[[#This Row],[QT_CANA_EST]]</f>
        <v>1134.32</v>
      </c>
      <c r="AB440" s="1">
        <f>IF(ESTIMATIVA[[#This Row],[QT_CANA_REST1]]&gt;0,ESTIMATIVA[[#This Row],[QT_CANA_REST1]],
  IF(ESTIMATIVA[[#This Row],[QT_CANA_REAL]]&gt;0,ESTIMATIVA[[#This Row],[QT_CANA_REAL]],ESTIMATIVA[[#This Row],[QT_CANA_EST]]))</f>
        <v>1095.5899999999999</v>
      </c>
      <c r="AC44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1095.5899999999999</v>
      </c>
      <c r="AD440" s="1">
        <f>IF(ESTIMATIVA[[#This Row],[QT_AREA_REAL]]&gt;0,ESTIMATIVA[[#This Row],[QT_CANA_REAL]],ESTIMATIVA[[#This Row],[QT_CANA_EST]])</f>
        <v>1095.5899999999999</v>
      </c>
      <c r="AE440" s="1">
        <f>IF(ESTIMATIVA[[#This Row],[QT_AREA_REAL]]&gt;0,ESTIMATIVA[[#This Row],[QT_CANA_REAL]],ESTIMATIVA[[#This Row],[QT_CANA_REST1]])</f>
        <v>1095.5899999999999</v>
      </c>
      <c r="AF440" s="1">
        <f>IF(ESTIMATIVA[[#This Row],[QT_AREA_REAL]]&gt;0,ESTIMATIVA[[#This Row],[QT_CANA_REAL]],ESTIMATIVA[[#This Row],[QT_CANA_REST2]])</f>
        <v>1095.5899999999999</v>
      </c>
      <c r="AG440" s="1" t="str">
        <f>IF(COUNTIFS(GEADA!A:A,VALUE(ESTIMATIVA[[#This Row],[CD_UPNIVEL1]]&amp;TEXT(ESTIMATIVA[[#This Row],[CD_UPNIVEL3]],"0000")))&gt;0,"S","N")</f>
        <v>N</v>
      </c>
      <c r="AH44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40" s="55" t="str">
        <f>IF(ESTIMATIVA[[#This Row],[TP_CULTIVO]]="Irrigado",_xlfn.MAXIFS(IRRIGADO!J:J,IRRIGADO!C:C,ESTIMATIVA[[#This Row],[CD_UPNIVEL1]],IRRIGADO!E:E,ESTIMATIVA[[#This Row],[CD_UPNIVEL3]]),"")</f>
        <v/>
      </c>
      <c r="AJ44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40" s="1">
        <f>COUNTIFS(Apresentação!$E$23:$E$29,ESTIMATIVA[[#This Row],[CD_UPNIVEL1]])</f>
        <v>0</v>
      </c>
    </row>
    <row r="441" spans="1:37" x14ac:dyDescent="0.3">
      <c r="A441">
        <v>20314</v>
      </c>
      <c r="B441" t="s">
        <v>27</v>
      </c>
      <c r="C441">
        <v>294</v>
      </c>
      <c r="D441">
        <v>3</v>
      </c>
      <c r="E441" t="s">
        <v>263</v>
      </c>
      <c r="F441" s="85" t="s">
        <v>332</v>
      </c>
      <c r="G441"/>
      <c r="H441" t="s">
        <v>295</v>
      </c>
      <c r="I441" t="s">
        <v>210</v>
      </c>
      <c r="J441" t="s">
        <v>176</v>
      </c>
      <c r="K441" s="1">
        <v>18.809999999999999</v>
      </c>
      <c r="L441" s="1">
        <v>0</v>
      </c>
      <c r="M441" s="1">
        <v>0</v>
      </c>
      <c r="N441" s="1">
        <v>18.809999999999999</v>
      </c>
      <c r="O441" s="1">
        <v>1655.28</v>
      </c>
      <c r="P441" s="1">
        <v>0</v>
      </c>
      <c r="Q441" s="1">
        <v>0</v>
      </c>
      <c r="R441" s="1">
        <v>1598.96</v>
      </c>
      <c r="S441" t="s">
        <v>12</v>
      </c>
      <c r="T441" s="13">
        <v>45732</v>
      </c>
      <c r="U441" s="1" t="str">
        <f>IF(ESTIMATIVA[[#This Row],[QT_AREA_REAL]]&gt;0,"1- Colhido","2- à Colher")</f>
        <v>1- Colhido</v>
      </c>
      <c r="V441" s="1" t="str">
        <f>IF(ESTIMATIVA[[#This Row],[QT_AREA_REST1]]&gt;0,"Reestimativa 1",IF(ESTIMATIVA[[#This Row],[QT_AREA_REAL]]=0,"Reestimativa 1","Realizado"))</f>
        <v>Realizado</v>
      </c>
      <c r="W441" s="1" t="str">
        <f>IF(ESTIMATIVA[[#This Row],[QT_AREA_REST2]]&gt;0,"Reestimativa 2",IF(ESTIMATIVA[[#This Row],[QT_AREA_REAL]]=0,"Reestimativa 2","Realizado"))</f>
        <v>Realizado</v>
      </c>
      <c r="X441" s="1">
        <f>ESTIMATIVA[[#This Row],[QT_AREA_EST]]</f>
        <v>18.809999999999999</v>
      </c>
      <c r="Y441" s="1">
        <f>IF(ESTIMATIVA[[#This Row],[QT_AREA_REST1]]&gt;0,ESTIMATIVA[[#This Row],[QT_AREA_REST1]],
  IF(ESTIMATIVA[[#This Row],[QT_AREA_REAL]]&gt;0,ESTIMATIVA[[#This Row],[QT_AREA_REAL]],ESTIMATIVA[[#This Row],[QT_AREA_EST]]))</f>
        <v>18.809999999999999</v>
      </c>
      <c r="Z44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18.809999999999999</v>
      </c>
      <c r="AA441" s="1">
        <f>ESTIMATIVA[[#This Row],[QT_CANA_EST]]</f>
        <v>1655.28</v>
      </c>
      <c r="AB441" s="1">
        <f>IF(ESTIMATIVA[[#This Row],[QT_CANA_REST1]]&gt;0,ESTIMATIVA[[#This Row],[QT_CANA_REST1]],
  IF(ESTIMATIVA[[#This Row],[QT_CANA_REAL]]&gt;0,ESTIMATIVA[[#This Row],[QT_CANA_REAL]],ESTIMATIVA[[#This Row],[QT_CANA_EST]]))</f>
        <v>1598.96</v>
      </c>
      <c r="AC44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1598.96</v>
      </c>
      <c r="AD441" s="1">
        <f>IF(ESTIMATIVA[[#This Row],[QT_AREA_REAL]]&gt;0,ESTIMATIVA[[#This Row],[QT_CANA_REAL]],ESTIMATIVA[[#This Row],[QT_CANA_EST]])</f>
        <v>1598.96</v>
      </c>
      <c r="AE441" s="1">
        <f>IF(ESTIMATIVA[[#This Row],[QT_AREA_REAL]]&gt;0,ESTIMATIVA[[#This Row],[QT_CANA_REAL]],ESTIMATIVA[[#This Row],[QT_CANA_REST1]])</f>
        <v>1598.96</v>
      </c>
      <c r="AF441" s="1">
        <f>IF(ESTIMATIVA[[#This Row],[QT_AREA_REAL]]&gt;0,ESTIMATIVA[[#This Row],[QT_CANA_REAL]],ESTIMATIVA[[#This Row],[QT_CANA_REST2]])</f>
        <v>1598.96</v>
      </c>
      <c r="AG441" s="1" t="str">
        <f>IF(COUNTIFS(GEADA!A:A,VALUE(ESTIMATIVA[[#This Row],[CD_UPNIVEL1]]&amp;TEXT(ESTIMATIVA[[#This Row],[CD_UPNIVEL3]],"0000")))&gt;0,"S","N")</f>
        <v>N</v>
      </c>
      <c r="AH44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41" s="55" t="str">
        <f>IF(ESTIMATIVA[[#This Row],[TP_CULTIVO]]="Irrigado",_xlfn.MAXIFS(IRRIGADO!J:J,IRRIGADO!C:C,ESTIMATIVA[[#This Row],[CD_UPNIVEL1]],IRRIGADO!E:E,ESTIMATIVA[[#This Row],[CD_UPNIVEL3]]),"")</f>
        <v/>
      </c>
      <c r="AJ44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41" s="1">
        <f>COUNTIFS(Apresentação!$E$23:$E$29,ESTIMATIVA[[#This Row],[CD_UPNIVEL1]])</f>
        <v>0</v>
      </c>
    </row>
    <row r="442" spans="1:37" x14ac:dyDescent="0.3">
      <c r="A442">
        <v>20314</v>
      </c>
      <c r="B442" t="s">
        <v>27</v>
      </c>
      <c r="C442">
        <v>295</v>
      </c>
      <c r="D442">
        <v>3</v>
      </c>
      <c r="E442" t="s">
        <v>263</v>
      </c>
      <c r="F442" s="85" t="s">
        <v>332</v>
      </c>
      <c r="G442"/>
      <c r="H442" t="s">
        <v>295</v>
      </c>
      <c r="I442" t="s">
        <v>210</v>
      </c>
      <c r="J442" t="s">
        <v>176</v>
      </c>
      <c r="K442" s="1">
        <v>4.68</v>
      </c>
      <c r="L442" s="1">
        <v>0</v>
      </c>
      <c r="M442" s="1">
        <v>0</v>
      </c>
      <c r="N442" s="1">
        <v>4.68</v>
      </c>
      <c r="O442" s="1">
        <v>411.84</v>
      </c>
      <c r="P442" s="1">
        <v>0</v>
      </c>
      <c r="Q442" s="1">
        <v>0</v>
      </c>
      <c r="R442" s="1">
        <v>398.23</v>
      </c>
      <c r="S442" t="s">
        <v>12</v>
      </c>
      <c r="T442" s="13">
        <v>45732</v>
      </c>
      <c r="U442" s="1" t="str">
        <f>IF(ESTIMATIVA[[#This Row],[QT_AREA_REAL]]&gt;0,"1- Colhido","2- à Colher")</f>
        <v>1- Colhido</v>
      </c>
      <c r="V442" s="1" t="str">
        <f>IF(ESTIMATIVA[[#This Row],[QT_AREA_REST1]]&gt;0,"Reestimativa 1",IF(ESTIMATIVA[[#This Row],[QT_AREA_REAL]]=0,"Reestimativa 1","Realizado"))</f>
        <v>Realizado</v>
      </c>
      <c r="W442" s="1" t="str">
        <f>IF(ESTIMATIVA[[#This Row],[QT_AREA_REST2]]&gt;0,"Reestimativa 2",IF(ESTIMATIVA[[#This Row],[QT_AREA_REAL]]=0,"Reestimativa 2","Realizado"))</f>
        <v>Realizado</v>
      </c>
      <c r="X442" s="1">
        <f>ESTIMATIVA[[#This Row],[QT_AREA_EST]]</f>
        <v>4.68</v>
      </c>
      <c r="Y442" s="1">
        <f>IF(ESTIMATIVA[[#This Row],[QT_AREA_REST1]]&gt;0,ESTIMATIVA[[#This Row],[QT_AREA_REST1]],
  IF(ESTIMATIVA[[#This Row],[QT_AREA_REAL]]&gt;0,ESTIMATIVA[[#This Row],[QT_AREA_REAL]],ESTIMATIVA[[#This Row],[QT_AREA_EST]]))</f>
        <v>4.68</v>
      </c>
      <c r="Z44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4.68</v>
      </c>
      <c r="AA442" s="1">
        <f>ESTIMATIVA[[#This Row],[QT_CANA_EST]]</f>
        <v>411.84</v>
      </c>
      <c r="AB442" s="1">
        <f>IF(ESTIMATIVA[[#This Row],[QT_CANA_REST1]]&gt;0,ESTIMATIVA[[#This Row],[QT_CANA_REST1]],
  IF(ESTIMATIVA[[#This Row],[QT_CANA_REAL]]&gt;0,ESTIMATIVA[[#This Row],[QT_CANA_REAL]],ESTIMATIVA[[#This Row],[QT_CANA_EST]]))</f>
        <v>398.23</v>
      </c>
      <c r="AC44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398.23</v>
      </c>
      <c r="AD442" s="1">
        <f>IF(ESTIMATIVA[[#This Row],[QT_AREA_REAL]]&gt;0,ESTIMATIVA[[#This Row],[QT_CANA_REAL]],ESTIMATIVA[[#This Row],[QT_CANA_EST]])</f>
        <v>398.23</v>
      </c>
      <c r="AE442" s="1">
        <f>IF(ESTIMATIVA[[#This Row],[QT_AREA_REAL]]&gt;0,ESTIMATIVA[[#This Row],[QT_CANA_REAL]],ESTIMATIVA[[#This Row],[QT_CANA_REST1]])</f>
        <v>398.23</v>
      </c>
      <c r="AF442" s="1">
        <f>IF(ESTIMATIVA[[#This Row],[QT_AREA_REAL]]&gt;0,ESTIMATIVA[[#This Row],[QT_CANA_REAL]],ESTIMATIVA[[#This Row],[QT_CANA_REST2]])</f>
        <v>398.23</v>
      </c>
      <c r="AG442" s="1" t="str">
        <f>IF(COUNTIFS(GEADA!A:A,VALUE(ESTIMATIVA[[#This Row],[CD_UPNIVEL1]]&amp;TEXT(ESTIMATIVA[[#This Row],[CD_UPNIVEL3]],"0000")))&gt;0,"S","N")</f>
        <v>N</v>
      </c>
      <c r="AH44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42" s="55" t="str">
        <f>IF(ESTIMATIVA[[#This Row],[TP_CULTIVO]]="Irrigado",_xlfn.MAXIFS(IRRIGADO!J:J,IRRIGADO!C:C,ESTIMATIVA[[#This Row],[CD_UPNIVEL1]],IRRIGADO!E:E,ESTIMATIVA[[#This Row],[CD_UPNIVEL3]]),"")</f>
        <v/>
      </c>
      <c r="AJ44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42" s="1">
        <f>COUNTIFS(Apresentação!$E$23:$E$29,ESTIMATIVA[[#This Row],[CD_UPNIVEL1]])</f>
        <v>0</v>
      </c>
    </row>
    <row r="443" spans="1:37" x14ac:dyDescent="0.3">
      <c r="A443">
        <v>20314</v>
      </c>
      <c r="B443" t="s">
        <v>27</v>
      </c>
      <c r="C443">
        <v>296</v>
      </c>
      <c r="D443">
        <v>3</v>
      </c>
      <c r="E443" t="s">
        <v>263</v>
      </c>
      <c r="F443" s="85" t="s">
        <v>332</v>
      </c>
      <c r="G443"/>
      <c r="H443" t="s">
        <v>295</v>
      </c>
      <c r="I443" t="s">
        <v>210</v>
      </c>
      <c r="J443" t="s">
        <v>176</v>
      </c>
      <c r="K443" s="1">
        <v>18.05</v>
      </c>
      <c r="L443" s="1">
        <v>0</v>
      </c>
      <c r="M443" s="1">
        <v>0</v>
      </c>
      <c r="N443" s="1">
        <v>18.05</v>
      </c>
      <c r="O443" s="1">
        <v>1588.4</v>
      </c>
      <c r="P443" s="1">
        <v>0</v>
      </c>
      <c r="Q443" s="1">
        <v>0</v>
      </c>
      <c r="R443" s="1">
        <v>1450.87</v>
      </c>
      <c r="S443" t="s">
        <v>12</v>
      </c>
      <c r="T443" s="13">
        <v>45732</v>
      </c>
      <c r="U443" s="1" t="str">
        <f>IF(ESTIMATIVA[[#This Row],[QT_AREA_REAL]]&gt;0,"1- Colhido","2- à Colher")</f>
        <v>1- Colhido</v>
      </c>
      <c r="V443" s="1" t="str">
        <f>IF(ESTIMATIVA[[#This Row],[QT_AREA_REST1]]&gt;0,"Reestimativa 1",IF(ESTIMATIVA[[#This Row],[QT_AREA_REAL]]=0,"Reestimativa 1","Realizado"))</f>
        <v>Realizado</v>
      </c>
      <c r="W443" s="1" t="str">
        <f>IF(ESTIMATIVA[[#This Row],[QT_AREA_REST2]]&gt;0,"Reestimativa 2",IF(ESTIMATIVA[[#This Row],[QT_AREA_REAL]]=0,"Reestimativa 2","Realizado"))</f>
        <v>Realizado</v>
      </c>
      <c r="X443" s="1">
        <f>ESTIMATIVA[[#This Row],[QT_AREA_EST]]</f>
        <v>18.05</v>
      </c>
      <c r="Y443" s="1">
        <f>IF(ESTIMATIVA[[#This Row],[QT_AREA_REST1]]&gt;0,ESTIMATIVA[[#This Row],[QT_AREA_REST1]],
  IF(ESTIMATIVA[[#This Row],[QT_AREA_REAL]]&gt;0,ESTIMATIVA[[#This Row],[QT_AREA_REAL]],ESTIMATIVA[[#This Row],[QT_AREA_EST]]))</f>
        <v>18.05</v>
      </c>
      <c r="Z44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18.05</v>
      </c>
      <c r="AA443" s="1">
        <f>ESTIMATIVA[[#This Row],[QT_CANA_EST]]</f>
        <v>1588.4</v>
      </c>
      <c r="AB443" s="1">
        <f>IF(ESTIMATIVA[[#This Row],[QT_CANA_REST1]]&gt;0,ESTIMATIVA[[#This Row],[QT_CANA_REST1]],
  IF(ESTIMATIVA[[#This Row],[QT_CANA_REAL]]&gt;0,ESTIMATIVA[[#This Row],[QT_CANA_REAL]],ESTIMATIVA[[#This Row],[QT_CANA_EST]]))</f>
        <v>1450.87</v>
      </c>
      <c r="AC44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1450.87</v>
      </c>
      <c r="AD443" s="1">
        <f>IF(ESTIMATIVA[[#This Row],[QT_AREA_REAL]]&gt;0,ESTIMATIVA[[#This Row],[QT_CANA_REAL]],ESTIMATIVA[[#This Row],[QT_CANA_EST]])</f>
        <v>1450.87</v>
      </c>
      <c r="AE443" s="1">
        <f>IF(ESTIMATIVA[[#This Row],[QT_AREA_REAL]]&gt;0,ESTIMATIVA[[#This Row],[QT_CANA_REAL]],ESTIMATIVA[[#This Row],[QT_CANA_REST1]])</f>
        <v>1450.87</v>
      </c>
      <c r="AF443" s="1">
        <f>IF(ESTIMATIVA[[#This Row],[QT_AREA_REAL]]&gt;0,ESTIMATIVA[[#This Row],[QT_CANA_REAL]],ESTIMATIVA[[#This Row],[QT_CANA_REST2]])</f>
        <v>1450.87</v>
      </c>
      <c r="AG443" s="1" t="str">
        <f>IF(COUNTIFS(GEADA!A:A,VALUE(ESTIMATIVA[[#This Row],[CD_UPNIVEL1]]&amp;TEXT(ESTIMATIVA[[#This Row],[CD_UPNIVEL3]],"0000")))&gt;0,"S","N")</f>
        <v>N</v>
      </c>
      <c r="AH44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43" s="55" t="str">
        <f>IF(ESTIMATIVA[[#This Row],[TP_CULTIVO]]="Irrigado",_xlfn.MAXIFS(IRRIGADO!J:J,IRRIGADO!C:C,ESTIMATIVA[[#This Row],[CD_UPNIVEL1]],IRRIGADO!E:E,ESTIMATIVA[[#This Row],[CD_UPNIVEL3]]),"")</f>
        <v/>
      </c>
      <c r="AJ44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43" s="1">
        <f>COUNTIFS(Apresentação!$E$23:$E$29,ESTIMATIVA[[#This Row],[CD_UPNIVEL1]])</f>
        <v>0</v>
      </c>
    </row>
    <row r="444" spans="1:37" x14ac:dyDescent="0.3">
      <c r="A444">
        <v>20314</v>
      </c>
      <c r="B444" t="s">
        <v>27</v>
      </c>
      <c r="C444">
        <v>297</v>
      </c>
      <c r="D444">
        <v>3</v>
      </c>
      <c r="E444" t="s">
        <v>263</v>
      </c>
      <c r="F444" s="85" t="s">
        <v>332</v>
      </c>
      <c r="G444"/>
      <c r="H444" t="s">
        <v>295</v>
      </c>
      <c r="I444" t="s">
        <v>211</v>
      </c>
      <c r="J444" t="s">
        <v>176</v>
      </c>
      <c r="K444" s="1">
        <v>23.32</v>
      </c>
      <c r="L444" s="1">
        <v>0</v>
      </c>
      <c r="M444" s="1">
        <v>0</v>
      </c>
      <c r="N444" s="1">
        <v>23.32</v>
      </c>
      <c r="O444" s="1">
        <v>2052.16</v>
      </c>
      <c r="P444" s="1">
        <v>0</v>
      </c>
      <c r="Q444" s="1">
        <v>0</v>
      </c>
      <c r="R444" s="1">
        <v>1713.71</v>
      </c>
      <c r="S444" t="s">
        <v>12</v>
      </c>
      <c r="T444" s="13">
        <v>45739</v>
      </c>
      <c r="U444" s="1" t="str">
        <f>IF(ESTIMATIVA[[#This Row],[QT_AREA_REAL]]&gt;0,"1- Colhido","2- à Colher")</f>
        <v>1- Colhido</v>
      </c>
      <c r="V444" s="1" t="str">
        <f>IF(ESTIMATIVA[[#This Row],[QT_AREA_REST1]]&gt;0,"Reestimativa 1",IF(ESTIMATIVA[[#This Row],[QT_AREA_REAL]]=0,"Reestimativa 1","Realizado"))</f>
        <v>Realizado</v>
      </c>
      <c r="W444" s="1" t="str">
        <f>IF(ESTIMATIVA[[#This Row],[QT_AREA_REST2]]&gt;0,"Reestimativa 2",IF(ESTIMATIVA[[#This Row],[QT_AREA_REAL]]=0,"Reestimativa 2","Realizado"))</f>
        <v>Realizado</v>
      </c>
      <c r="X444" s="1">
        <f>ESTIMATIVA[[#This Row],[QT_AREA_EST]]</f>
        <v>23.32</v>
      </c>
      <c r="Y444" s="1">
        <f>IF(ESTIMATIVA[[#This Row],[QT_AREA_REST1]]&gt;0,ESTIMATIVA[[#This Row],[QT_AREA_REST1]],
  IF(ESTIMATIVA[[#This Row],[QT_AREA_REAL]]&gt;0,ESTIMATIVA[[#This Row],[QT_AREA_REAL]],ESTIMATIVA[[#This Row],[QT_AREA_EST]]))</f>
        <v>23.32</v>
      </c>
      <c r="Z44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23.32</v>
      </c>
      <c r="AA444" s="1">
        <f>ESTIMATIVA[[#This Row],[QT_CANA_EST]]</f>
        <v>2052.16</v>
      </c>
      <c r="AB444" s="1">
        <f>IF(ESTIMATIVA[[#This Row],[QT_CANA_REST1]]&gt;0,ESTIMATIVA[[#This Row],[QT_CANA_REST1]],
  IF(ESTIMATIVA[[#This Row],[QT_CANA_REAL]]&gt;0,ESTIMATIVA[[#This Row],[QT_CANA_REAL]],ESTIMATIVA[[#This Row],[QT_CANA_EST]]))</f>
        <v>1713.71</v>
      </c>
      <c r="AC44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1713.71</v>
      </c>
      <c r="AD444" s="1">
        <f>IF(ESTIMATIVA[[#This Row],[QT_AREA_REAL]]&gt;0,ESTIMATIVA[[#This Row],[QT_CANA_REAL]],ESTIMATIVA[[#This Row],[QT_CANA_EST]])</f>
        <v>1713.71</v>
      </c>
      <c r="AE444" s="1">
        <f>IF(ESTIMATIVA[[#This Row],[QT_AREA_REAL]]&gt;0,ESTIMATIVA[[#This Row],[QT_CANA_REAL]],ESTIMATIVA[[#This Row],[QT_CANA_REST1]])</f>
        <v>1713.71</v>
      </c>
      <c r="AF444" s="1">
        <f>IF(ESTIMATIVA[[#This Row],[QT_AREA_REAL]]&gt;0,ESTIMATIVA[[#This Row],[QT_CANA_REAL]],ESTIMATIVA[[#This Row],[QT_CANA_REST2]])</f>
        <v>1713.71</v>
      </c>
      <c r="AG444" s="1" t="str">
        <f>IF(COUNTIFS(GEADA!A:A,VALUE(ESTIMATIVA[[#This Row],[CD_UPNIVEL1]]&amp;TEXT(ESTIMATIVA[[#This Row],[CD_UPNIVEL3]],"0000")))&gt;0,"S","N")</f>
        <v>N</v>
      </c>
      <c r="AH44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44" s="55" t="str">
        <f>IF(ESTIMATIVA[[#This Row],[TP_CULTIVO]]="Irrigado",_xlfn.MAXIFS(IRRIGADO!J:J,IRRIGADO!C:C,ESTIMATIVA[[#This Row],[CD_UPNIVEL1]],IRRIGADO!E:E,ESTIMATIVA[[#This Row],[CD_UPNIVEL3]]),"")</f>
        <v/>
      </c>
      <c r="AJ44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44" s="1">
        <f>COUNTIFS(Apresentação!$E$23:$E$29,ESTIMATIVA[[#This Row],[CD_UPNIVEL1]])</f>
        <v>0</v>
      </c>
    </row>
    <row r="445" spans="1:37" x14ac:dyDescent="0.3">
      <c r="A445">
        <v>20314</v>
      </c>
      <c r="B445" t="s">
        <v>27</v>
      </c>
      <c r="C445">
        <v>298</v>
      </c>
      <c r="D445">
        <v>3</v>
      </c>
      <c r="E445" t="s">
        <v>263</v>
      </c>
      <c r="F445" s="85" t="s">
        <v>332</v>
      </c>
      <c r="G445"/>
      <c r="H445" t="s">
        <v>295</v>
      </c>
      <c r="I445" t="s">
        <v>211</v>
      </c>
      <c r="J445" t="s">
        <v>176</v>
      </c>
      <c r="K445" s="1">
        <v>21.21</v>
      </c>
      <c r="L445" s="1">
        <v>0</v>
      </c>
      <c r="M445" s="1">
        <v>0</v>
      </c>
      <c r="N445" s="1">
        <v>21.21</v>
      </c>
      <c r="O445" s="1">
        <v>1866.48</v>
      </c>
      <c r="P445" s="1">
        <v>0</v>
      </c>
      <c r="Q445" s="1">
        <v>0</v>
      </c>
      <c r="R445" s="1">
        <v>1558.47</v>
      </c>
      <c r="S445" t="s">
        <v>12</v>
      </c>
      <c r="T445" s="13">
        <v>45739</v>
      </c>
      <c r="U445" s="1" t="str">
        <f>IF(ESTIMATIVA[[#This Row],[QT_AREA_REAL]]&gt;0,"1- Colhido","2- à Colher")</f>
        <v>1- Colhido</v>
      </c>
      <c r="V445" s="1" t="str">
        <f>IF(ESTIMATIVA[[#This Row],[QT_AREA_REST1]]&gt;0,"Reestimativa 1",IF(ESTIMATIVA[[#This Row],[QT_AREA_REAL]]=0,"Reestimativa 1","Realizado"))</f>
        <v>Realizado</v>
      </c>
      <c r="W445" s="1" t="str">
        <f>IF(ESTIMATIVA[[#This Row],[QT_AREA_REST2]]&gt;0,"Reestimativa 2",IF(ESTIMATIVA[[#This Row],[QT_AREA_REAL]]=0,"Reestimativa 2","Realizado"))</f>
        <v>Realizado</v>
      </c>
      <c r="X445" s="1">
        <f>ESTIMATIVA[[#This Row],[QT_AREA_EST]]</f>
        <v>21.21</v>
      </c>
      <c r="Y445" s="1">
        <f>IF(ESTIMATIVA[[#This Row],[QT_AREA_REST1]]&gt;0,ESTIMATIVA[[#This Row],[QT_AREA_REST1]],
  IF(ESTIMATIVA[[#This Row],[QT_AREA_REAL]]&gt;0,ESTIMATIVA[[#This Row],[QT_AREA_REAL]],ESTIMATIVA[[#This Row],[QT_AREA_EST]]))</f>
        <v>21.21</v>
      </c>
      <c r="Z44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21.21</v>
      </c>
      <c r="AA445" s="1">
        <f>ESTIMATIVA[[#This Row],[QT_CANA_EST]]</f>
        <v>1866.48</v>
      </c>
      <c r="AB445" s="1">
        <f>IF(ESTIMATIVA[[#This Row],[QT_CANA_REST1]]&gt;0,ESTIMATIVA[[#This Row],[QT_CANA_REST1]],
  IF(ESTIMATIVA[[#This Row],[QT_CANA_REAL]]&gt;0,ESTIMATIVA[[#This Row],[QT_CANA_REAL]],ESTIMATIVA[[#This Row],[QT_CANA_EST]]))</f>
        <v>1558.47</v>
      </c>
      <c r="AC44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1558.47</v>
      </c>
      <c r="AD445" s="1">
        <f>IF(ESTIMATIVA[[#This Row],[QT_AREA_REAL]]&gt;0,ESTIMATIVA[[#This Row],[QT_CANA_REAL]],ESTIMATIVA[[#This Row],[QT_CANA_EST]])</f>
        <v>1558.47</v>
      </c>
      <c r="AE445" s="1">
        <f>IF(ESTIMATIVA[[#This Row],[QT_AREA_REAL]]&gt;0,ESTIMATIVA[[#This Row],[QT_CANA_REAL]],ESTIMATIVA[[#This Row],[QT_CANA_REST1]])</f>
        <v>1558.47</v>
      </c>
      <c r="AF445" s="1">
        <f>IF(ESTIMATIVA[[#This Row],[QT_AREA_REAL]]&gt;0,ESTIMATIVA[[#This Row],[QT_CANA_REAL]],ESTIMATIVA[[#This Row],[QT_CANA_REST2]])</f>
        <v>1558.47</v>
      </c>
      <c r="AG445" s="1" t="str">
        <f>IF(COUNTIFS(GEADA!A:A,VALUE(ESTIMATIVA[[#This Row],[CD_UPNIVEL1]]&amp;TEXT(ESTIMATIVA[[#This Row],[CD_UPNIVEL3]],"0000")))&gt;0,"S","N")</f>
        <v>N</v>
      </c>
      <c r="AH44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45" s="55" t="str">
        <f>IF(ESTIMATIVA[[#This Row],[TP_CULTIVO]]="Irrigado",_xlfn.MAXIFS(IRRIGADO!J:J,IRRIGADO!C:C,ESTIMATIVA[[#This Row],[CD_UPNIVEL1]],IRRIGADO!E:E,ESTIMATIVA[[#This Row],[CD_UPNIVEL3]]),"")</f>
        <v/>
      </c>
      <c r="AJ44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45" s="1">
        <f>COUNTIFS(Apresentação!$E$23:$E$29,ESTIMATIVA[[#This Row],[CD_UPNIVEL1]])</f>
        <v>0</v>
      </c>
    </row>
    <row r="446" spans="1:37" x14ac:dyDescent="0.3">
      <c r="A446">
        <v>20314</v>
      </c>
      <c r="B446" t="s">
        <v>27</v>
      </c>
      <c r="C446">
        <v>299</v>
      </c>
      <c r="D446">
        <v>3</v>
      </c>
      <c r="E446" t="s">
        <v>263</v>
      </c>
      <c r="F446" s="85" t="s">
        <v>329</v>
      </c>
      <c r="G446"/>
      <c r="H446" t="s">
        <v>295</v>
      </c>
      <c r="I446" t="s">
        <v>211</v>
      </c>
      <c r="J446" t="s">
        <v>176</v>
      </c>
      <c r="K446" s="1">
        <v>19.57</v>
      </c>
      <c r="L446" s="1">
        <v>0</v>
      </c>
      <c r="M446" s="1">
        <v>0</v>
      </c>
      <c r="N446" s="1">
        <v>19.57</v>
      </c>
      <c r="O446" s="1">
        <v>1722.16</v>
      </c>
      <c r="P446" s="1">
        <v>0</v>
      </c>
      <c r="Q446" s="1">
        <v>0</v>
      </c>
      <c r="R446" s="1">
        <v>1798.81</v>
      </c>
      <c r="S446" t="s">
        <v>12</v>
      </c>
      <c r="T446" s="13">
        <v>45739</v>
      </c>
      <c r="U446" s="1" t="str">
        <f>IF(ESTIMATIVA[[#This Row],[QT_AREA_REAL]]&gt;0,"1- Colhido","2- à Colher")</f>
        <v>1- Colhido</v>
      </c>
      <c r="V446" s="1" t="str">
        <f>IF(ESTIMATIVA[[#This Row],[QT_AREA_REST1]]&gt;0,"Reestimativa 1",IF(ESTIMATIVA[[#This Row],[QT_AREA_REAL]]=0,"Reestimativa 1","Realizado"))</f>
        <v>Realizado</v>
      </c>
      <c r="W446" s="1" t="str">
        <f>IF(ESTIMATIVA[[#This Row],[QT_AREA_REST2]]&gt;0,"Reestimativa 2",IF(ESTIMATIVA[[#This Row],[QT_AREA_REAL]]=0,"Reestimativa 2","Realizado"))</f>
        <v>Realizado</v>
      </c>
      <c r="X446" s="1">
        <f>ESTIMATIVA[[#This Row],[QT_AREA_EST]]</f>
        <v>19.57</v>
      </c>
      <c r="Y446" s="1">
        <f>IF(ESTIMATIVA[[#This Row],[QT_AREA_REST1]]&gt;0,ESTIMATIVA[[#This Row],[QT_AREA_REST1]],
  IF(ESTIMATIVA[[#This Row],[QT_AREA_REAL]]&gt;0,ESTIMATIVA[[#This Row],[QT_AREA_REAL]],ESTIMATIVA[[#This Row],[QT_AREA_EST]]))</f>
        <v>19.57</v>
      </c>
      <c r="Z44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19.57</v>
      </c>
      <c r="AA446" s="1">
        <f>ESTIMATIVA[[#This Row],[QT_CANA_EST]]</f>
        <v>1722.16</v>
      </c>
      <c r="AB446" s="1">
        <f>IF(ESTIMATIVA[[#This Row],[QT_CANA_REST1]]&gt;0,ESTIMATIVA[[#This Row],[QT_CANA_REST1]],
  IF(ESTIMATIVA[[#This Row],[QT_CANA_REAL]]&gt;0,ESTIMATIVA[[#This Row],[QT_CANA_REAL]],ESTIMATIVA[[#This Row],[QT_CANA_EST]]))</f>
        <v>1798.81</v>
      </c>
      <c r="AC44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1798.81</v>
      </c>
      <c r="AD446" s="1">
        <f>IF(ESTIMATIVA[[#This Row],[QT_AREA_REAL]]&gt;0,ESTIMATIVA[[#This Row],[QT_CANA_REAL]],ESTIMATIVA[[#This Row],[QT_CANA_EST]])</f>
        <v>1798.81</v>
      </c>
      <c r="AE446" s="1">
        <f>IF(ESTIMATIVA[[#This Row],[QT_AREA_REAL]]&gt;0,ESTIMATIVA[[#This Row],[QT_CANA_REAL]],ESTIMATIVA[[#This Row],[QT_CANA_REST1]])</f>
        <v>1798.81</v>
      </c>
      <c r="AF446" s="1">
        <f>IF(ESTIMATIVA[[#This Row],[QT_AREA_REAL]]&gt;0,ESTIMATIVA[[#This Row],[QT_CANA_REAL]],ESTIMATIVA[[#This Row],[QT_CANA_REST2]])</f>
        <v>1798.81</v>
      </c>
      <c r="AG446" s="1" t="str">
        <f>IF(COUNTIFS(GEADA!A:A,VALUE(ESTIMATIVA[[#This Row],[CD_UPNIVEL1]]&amp;TEXT(ESTIMATIVA[[#This Row],[CD_UPNIVEL3]],"0000")))&gt;0,"S","N")</f>
        <v>N</v>
      </c>
      <c r="AH44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46" s="55" t="str">
        <f>IF(ESTIMATIVA[[#This Row],[TP_CULTIVO]]="Irrigado",_xlfn.MAXIFS(IRRIGADO!J:J,IRRIGADO!C:C,ESTIMATIVA[[#This Row],[CD_UPNIVEL1]],IRRIGADO!E:E,ESTIMATIVA[[#This Row],[CD_UPNIVEL3]]),"")</f>
        <v/>
      </c>
      <c r="AJ44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46" s="1">
        <f>COUNTIFS(Apresentação!$E$23:$E$29,ESTIMATIVA[[#This Row],[CD_UPNIVEL1]])</f>
        <v>0</v>
      </c>
    </row>
    <row r="447" spans="1:37" x14ac:dyDescent="0.3">
      <c r="A447">
        <v>20314</v>
      </c>
      <c r="B447" t="s">
        <v>27</v>
      </c>
      <c r="C447">
        <v>300</v>
      </c>
      <c r="D447">
        <v>3</v>
      </c>
      <c r="E447" t="s">
        <v>263</v>
      </c>
      <c r="F447" s="85" t="s">
        <v>329</v>
      </c>
      <c r="G447"/>
      <c r="H447" t="s">
        <v>295</v>
      </c>
      <c r="I447" t="s">
        <v>211</v>
      </c>
      <c r="J447" t="s">
        <v>176</v>
      </c>
      <c r="K447" s="1">
        <v>9.14</v>
      </c>
      <c r="L447" s="1">
        <v>0</v>
      </c>
      <c r="M447" s="1">
        <v>0</v>
      </c>
      <c r="N447" s="1">
        <v>9.14</v>
      </c>
      <c r="O447" s="1">
        <v>804.32</v>
      </c>
      <c r="P447" s="1">
        <v>0</v>
      </c>
      <c r="Q447" s="1">
        <v>0</v>
      </c>
      <c r="R447" s="1">
        <v>839.92</v>
      </c>
      <c r="S447" t="s">
        <v>12</v>
      </c>
      <c r="T447" s="13">
        <v>45739</v>
      </c>
      <c r="U447" s="1" t="str">
        <f>IF(ESTIMATIVA[[#This Row],[QT_AREA_REAL]]&gt;0,"1- Colhido","2- à Colher")</f>
        <v>1- Colhido</v>
      </c>
      <c r="V447" s="1" t="str">
        <f>IF(ESTIMATIVA[[#This Row],[QT_AREA_REST1]]&gt;0,"Reestimativa 1",IF(ESTIMATIVA[[#This Row],[QT_AREA_REAL]]=0,"Reestimativa 1","Realizado"))</f>
        <v>Realizado</v>
      </c>
      <c r="W447" s="1" t="str">
        <f>IF(ESTIMATIVA[[#This Row],[QT_AREA_REST2]]&gt;0,"Reestimativa 2",IF(ESTIMATIVA[[#This Row],[QT_AREA_REAL]]=0,"Reestimativa 2","Realizado"))</f>
        <v>Realizado</v>
      </c>
      <c r="X447" s="1">
        <f>ESTIMATIVA[[#This Row],[QT_AREA_EST]]</f>
        <v>9.14</v>
      </c>
      <c r="Y447" s="1">
        <f>IF(ESTIMATIVA[[#This Row],[QT_AREA_REST1]]&gt;0,ESTIMATIVA[[#This Row],[QT_AREA_REST1]],
  IF(ESTIMATIVA[[#This Row],[QT_AREA_REAL]]&gt;0,ESTIMATIVA[[#This Row],[QT_AREA_REAL]],ESTIMATIVA[[#This Row],[QT_AREA_EST]]))</f>
        <v>9.14</v>
      </c>
      <c r="Z44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9.14</v>
      </c>
      <c r="AA447" s="1">
        <f>ESTIMATIVA[[#This Row],[QT_CANA_EST]]</f>
        <v>804.32</v>
      </c>
      <c r="AB447" s="1">
        <f>IF(ESTIMATIVA[[#This Row],[QT_CANA_REST1]]&gt;0,ESTIMATIVA[[#This Row],[QT_CANA_REST1]],
  IF(ESTIMATIVA[[#This Row],[QT_CANA_REAL]]&gt;0,ESTIMATIVA[[#This Row],[QT_CANA_REAL]],ESTIMATIVA[[#This Row],[QT_CANA_EST]]))</f>
        <v>839.92</v>
      </c>
      <c r="AC44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839.92</v>
      </c>
      <c r="AD447" s="1">
        <f>IF(ESTIMATIVA[[#This Row],[QT_AREA_REAL]]&gt;0,ESTIMATIVA[[#This Row],[QT_CANA_REAL]],ESTIMATIVA[[#This Row],[QT_CANA_EST]])</f>
        <v>839.92</v>
      </c>
      <c r="AE447" s="1">
        <f>IF(ESTIMATIVA[[#This Row],[QT_AREA_REAL]]&gt;0,ESTIMATIVA[[#This Row],[QT_CANA_REAL]],ESTIMATIVA[[#This Row],[QT_CANA_REST1]])</f>
        <v>839.92</v>
      </c>
      <c r="AF447" s="1">
        <f>IF(ESTIMATIVA[[#This Row],[QT_AREA_REAL]]&gt;0,ESTIMATIVA[[#This Row],[QT_CANA_REAL]],ESTIMATIVA[[#This Row],[QT_CANA_REST2]])</f>
        <v>839.92</v>
      </c>
      <c r="AG447" s="1" t="str">
        <f>IF(COUNTIFS(GEADA!A:A,VALUE(ESTIMATIVA[[#This Row],[CD_UPNIVEL1]]&amp;TEXT(ESTIMATIVA[[#This Row],[CD_UPNIVEL3]],"0000")))&gt;0,"S","N")</f>
        <v>N</v>
      </c>
      <c r="AH44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47" s="55" t="str">
        <f>IF(ESTIMATIVA[[#This Row],[TP_CULTIVO]]="Irrigado",_xlfn.MAXIFS(IRRIGADO!J:J,IRRIGADO!C:C,ESTIMATIVA[[#This Row],[CD_UPNIVEL1]],IRRIGADO!E:E,ESTIMATIVA[[#This Row],[CD_UPNIVEL3]]),"")</f>
        <v/>
      </c>
      <c r="AJ44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47" s="1">
        <f>COUNTIFS(Apresentação!$E$23:$E$29,ESTIMATIVA[[#This Row],[CD_UPNIVEL1]])</f>
        <v>0</v>
      </c>
    </row>
    <row r="448" spans="1:37" x14ac:dyDescent="0.3">
      <c r="A448">
        <v>20314</v>
      </c>
      <c r="B448" t="s">
        <v>27</v>
      </c>
      <c r="C448">
        <v>301</v>
      </c>
      <c r="D448">
        <v>3</v>
      </c>
      <c r="E448" t="s">
        <v>263</v>
      </c>
      <c r="F448" s="85" t="s">
        <v>330</v>
      </c>
      <c r="G448"/>
      <c r="H448" t="s">
        <v>295</v>
      </c>
      <c r="I448" t="s">
        <v>203</v>
      </c>
      <c r="J448" t="s">
        <v>176</v>
      </c>
      <c r="K448" s="1">
        <v>13.8</v>
      </c>
      <c r="L448" s="1">
        <v>13.8</v>
      </c>
      <c r="M448" s="1">
        <v>0</v>
      </c>
      <c r="N448" s="1">
        <v>13.8</v>
      </c>
      <c r="O448" s="1">
        <v>1104</v>
      </c>
      <c r="P448" s="1">
        <v>1159.2</v>
      </c>
      <c r="Q448" s="1">
        <v>0</v>
      </c>
      <c r="R448" s="1">
        <v>1835.87</v>
      </c>
      <c r="S448" t="s">
        <v>12</v>
      </c>
      <c r="T448" s="13">
        <v>45879</v>
      </c>
      <c r="U448" s="1" t="str">
        <f>IF(ESTIMATIVA[[#This Row],[QT_AREA_REAL]]&gt;0,"1- Colhido","2- à Colher")</f>
        <v>1- Colhido</v>
      </c>
      <c r="V448" s="1" t="str">
        <f>IF(ESTIMATIVA[[#This Row],[QT_AREA_REST1]]&gt;0,"Reestimativa 1",IF(ESTIMATIVA[[#This Row],[QT_AREA_REAL]]=0,"Reestimativa 1","Realizado"))</f>
        <v>Reestimativa 1</v>
      </c>
      <c r="W448" s="1" t="str">
        <f>IF(ESTIMATIVA[[#This Row],[QT_AREA_REST2]]&gt;0,"Reestimativa 2",IF(ESTIMATIVA[[#This Row],[QT_AREA_REAL]]=0,"Reestimativa 2","Realizado"))</f>
        <v>Realizado</v>
      </c>
      <c r="X448" s="1">
        <f>ESTIMATIVA[[#This Row],[QT_AREA_EST]]</f>
        <v>13.8</v>
      </c>
      <c r="Y448" s="1">
        <f>IF(ESTIMATIVA[[#This Row],[QT_AREA_REST1]]&gt;0,ESTIMATIVA[[#This Row],[QT_AREA_REST1]],
  IF(ESTIMATIVA[[#This Row],[QT_AREA_REAL]]&gt;0,ESTIMATIVA[[#This Row],[QT_AREA_REAL]],ESTIMATIVA[[#This Row],[QT_AREA_EST]]))</f>
        <v>13.8</v>
      </c>
      <c r="Z44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13.8</v>
      </c>
      <c r="AA448" s="1">
        <f>ESTIMATIVA[[#This Row],[QT_CANA_EST]]</f>
        <v>1104</v>
      </c>
      <c r="AB448" s="1">
        <f>IF(ESTIMATIVA[[#This Row],[QT_CANA_REST1]]&gt;0,ESTIMATIVA[[#This Row],[QT_CANA_REST1]],
  IF(ESTIMATIVA[[#This Row],[QT_CANA_REAL]]&gt;0,ESTIMATIVA[[#This Row],[QT_CANA_REAL]],ESTIMATIVA[[#This Row],[QT_CANA_EST]]))</f>
        <v>1159.2</v>
      </c>
      <c r="AC44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1835.87</v>
      </c>
      <c r="AD448" s="1">
        <f>IF(ESTIMATIVA[[#This Row],[QT_AREA_REAL]]&gt;0,ESTIMATIVA[[#This Row],[QT_CANA_REAL]],ESTIMATIVA[[#This Row],[QT_CANA_EST]])</f>
        <v>1835.87</v>
      </c>
      <c r="AE448" s="1">
        <f>IF(ESTIMATIVA[[#This Row],[QT_AREA_REAL]]&gt;0,ESTIMATIVA[[#This Row],[QT_CANA_REAL]],ESTIMATIVA[[#This Row],[QT_CANA_REST1]])</f>
        <v>1835.87</v>
      </c>
      <c r="AF448" s="1">
        <f>IF(ESTIMATIVA[[#This Row],[QT_AREA_REAL]]&gt;0,ESTIMATIVA[[#This Row],[QT_CANA_REAL]],ESTIMATIVA[[#This Row],[QT_CANA_REST2]])</f>
        <v>1835.87</v>
      </c>
      <c r="AG448" s="1" t="str">
        <f>IF(COUNTIFS(GEADA!A:A,VALUE(ESTIMATIVA[[#This Row],[CD_UPNIVEL1]]&amp;TEXT(ESTIMATIVA[[#This Row],[CD_UPNIVEL3]],"0000")))&gt;0,"S","N")</f>
        <v>N</v>
      </c>
      <c r="AH44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48" s="55" t="str">
        <f>IF(ESTIMATIVA[[#This Row],[TP_CULTIVO]]="Irrigado",_xlfn.MAXIFS(IRRIGADO!J:J,IRRIGADO!C:C,ESTIMATIVA[[#This Row],[CD_UPNIVEL1]],IRRIGADO!E:E,ESTIMATIVA[[#This Row],[CD_UPNIVEL3]]),"")</f>
        <v/>
      </c>
      <c r="AJ44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48" s="1">
        <f>COUNTIFS(Apresentação!$E$23:$E$29,ESTIMATIVA[[#This Row],[CD_UPNIVEL1]])</f>
        <v>0</v>
      </c>
    </row>
    <row r="449" spans="1:37" x14ac:dyDescent="0.3">
      <c r="A449">
        <v>20314</v>
      </c>
      <c r="B449" t="s">
        <v>27</v>
      </c>
      <c r="C449">
        <v>302</v>
      </c>
      <c r="D449">
        <v>3</v>
      </c>
      <c r="E449" t="s">
        <v>263</v>
      </c>
      <c r="F449" s="85" t="s">
        <v>330</v>
      </c>
      <c r="G449"/>
      <c r="H449" t="s">
        <v>295</v>
      </c>
      <c r="I449" t="s">
        <v>217</v>
      </c>
      <c r="J449" t="s">
        <v>176</v>
      </c>
      <c r="K449" s="1">
        <v>13.47</v>
      </c>
      <c r="L449" s="1">
        <v>13.47</v>
      </c>
      <c r="M449" s="1">
        <v>0</v>
      </c>
      <c r="N449" s="1">
        <v>13.47</v>
      </c>
      <c r="O449" s="1">
        <v>1077.5999999999999</v>
      </c>
      <c r="P449" s="1">
        <v>1131.48</v>
      </c>
      <c r="Q449" s="1">
        <v>0</v>
      </c>
      <c r="R449" s="1">
        <v>1791.62</v>
      </c>
      <c r="S449" t="s">
        <v>12</v>
      </c>
      <c r="T449" s="13">
        <v>45879</v>
      </c>
      <c r="U449" s="1" t="str">
        <f>IF(ESTIMATIVA[[#This Row],[QT_AREA_REAL]]&gt;0,"1- Colhido","2- à Colher")</f>
        <v>1- Colhido</v>
      </c>
      <c r="V449" s="1" t="str">
        <f>IF(ESTIMATIVA[[#This Row],[QT_AREA_REST1]]&gt;0,"Reestimativa 1",IF(ESTIMATIVA[[#This Row],[QT_AREA_REAL]]=0,"Reestimativa 1","Realizado"))</f>
        <v>Reestimativa 1</v>
      </c>
      <c r="W449" s="1" t="str">
        <f>IF(ESTIMATIVA[[#This Row],[QT_AREA_REST2]]&gt;0,"Reestimativa 2",IF(ESTIMATIVA[[#This Row],[QT_AREA_REAL]]=0,"Reestimativa 2","Realizado"))</f>
        <v>Realizado</v>
      </c>
      <c r="X449" s="1">
        <f>ESTIMATIVA[[#This Row],[QT_AREA_EST]]</f>
        <v>13.47</v>
      </c>
      <c r="Y449" s="1">
        <f>IF(ESTIMATIVA[[#This Row],[QT_AREA_REST1]]&gt;0,ESTIMATIVA[[#This Row],[QT_AREA_REST1]],
  IF(ESTIMATIVA[[#This Row],[QT_AREA_REAL]]&gt;0,ESTIMATIVA[[#This Row],[QT_AREA_REAL]],ESTIMATIVA[[#This Row],[QT_AREA_EST]]))</f>
        <v>13.47</v>
      </c>
      <c r="Z44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13.47</v>
      </c>
      <c r="AA449" s="1">
        <f>ESTIMATIVA[[#This Row],[QT_CANA_EST]]</f>
        <v>1077.5999999999999</v>
      </c>
      <c r="AB449" s="1">
        <f>IF(ESTIMATIVA[[#This Row],[QT_CANA_REST1]]&gt;0,ESTIMATIVA[[#This Row],[QT_CANA_REST1]],
  IF(ESTIMATIVA[[#This Row],[QT_CANA_REAL]]&gt;0,ESTIMATIVA[[#This Row],[QT_CANA_REAL]],ESTIMATIVA[[#This Row],[QT_CANA_EST]]))</f>
        <v>1131.48</v>
      </c>
      <c r="AC44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1791.62</v>
      </c>
      <c r="AD449" s="1">
        <f>IF(ESTIMATIVA[[#This Row],[QT_AREA_REAL]]&gt;0,ESTIMATIVA[[#This Row],[QT_CANA_REAL]],ESTIMATIVA[[#This Row],[QT_CANA_EST]])</f>
        <v>1791.62</v>
      </c>
      <c r="AE449" s="1">
        <f>IF(ESTIMATIVA[[#This Row],[QT_AREA_REAL]]&gt;0,ESTIMATIVA[[#This Row],[QT_CANA_REAL]],ESTIMATIVA[[#This Row],[QT_CANA_REST1]])</f>
        <v>1791.62</v>
      </c>
      <c r="AF449" s="1">
        <f>IF(ESTIMATIVA[[#This Row],[QT_AREA_REAL]]&gt;0,ESTIMATIVA[[#This Row],[QT_CANA_REAL]],ESTIMATIVA[[#This Row],[QT_CANA_REST2]])</f>
        <v>1791.62</v>
      </c>
      <c r="AG449" s="1" t="str">
        <f>IF(COUNTIFS(GEADA!A:A,VALUE(ESTIMATIVA[[#This Row],[CD_UPNIVEL1]]&amp;TEXT(ESTIMATIVA[[#This Row],[CD_UPNIVEL3]],"0000")))&gt;0,"S","N")</f>
        <v>N</v>
      </c>
      <c r="AH44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49" s="55" t="str">
        <f>IF(ESTIMATIVA[[#This Row],[TP_CULTIVO]]="Irrigado",_xlfn.MAXIFS(IRRIGADO!J:J,IRRIGADO!C:C,ESTIMATIVA[[#This Row],[CD_UPNIVEL1]],IRRIGADO!E:E,ESTIMATIVA[[#This Row],[CD_UPNIVEL3]]),"")</f>
        <v/>
      </c>
      <c r="AJ44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49" s="1">
        <f>COUNTIFS(Apresentação!$E$23:$E$29,ESTIMATIVA[[#This Row],[CD_UPNIVEL1]])</f>
        <v>0</v>
      </c>
    </row>
    <row r="450" spans="1:37" x14ac:dyDescent="0.3">
      <c r="A450">
        <v>20314</v>
      </c>
      <c r="B450" t="s">
        <v>27</v>
      </c>
      <c r="C450">
        <v>377</v>
      </c>
      <c r="D450">
        <v>2</v>
      </c>
      <c r="E450" t="s">
        <v>266</v>
      </c>
      <c r="F450" s="85" t="s">
        <v>331</v>
      </c>
      <c r="G450"/>
      <c r="H450" t="s">
        <v>295</v>
      </c>
      <c r="I450" t="s">
        <v>200</v>
      </c>
      <c r="J450" t="s">
        <v>176</v>
      </c>
      <c r="K450" s="1">
        <v>42.14</v>
      </c>
      <c r="L450" s="1">
        <v>42.14</v>
      </c>
      <c r="M450" s="1">
        <v>0</v>
      </c>
      <c r="N450" s="1">
        <v>42.14</v>
      </c>
      <c r="O450" s="1">
        <v>3961.16</v>
      </c>
      <c r="P450" s="1">
        <v>4003.3</v>
      </c>
      <c r="Q450" s="1">
        <v>0</v>
      </c>
      <c r="R450" s="1">
        <v>3974.97</v>
      </c>
      <c r="S450" t="s">
        <v>12</v>
      </c>
      <c r="T450" s="13">
        <v>45914</v>
      </c>
      <c r="U450" s="1" t="str">
        <f>IF(ESTIMATIVA[[#This Row],[QT_AREA_REAL]]&gt;0,"1- Colhido","2- à Colher")</f>
        <v>1- Colhido</v>
      </c>
      <c r="V450" s="1" t="str">
        <f>IF(ESTIMATIVA[[#This Row],[QT_AREA_REST1]]&gt;0,"Reestimativa 1",IF(ESTIMATIVA[[#This Row],[QT_AREA_REAL]]=0,"Reestimativa 1","Realizado"))</f>
        <v>Reestimativa 1</v>
      </c>
      <c r="W450" s="1" t="str">
        <f>IF(ESTIMATIVA[[#This Row],[QT_AREA_REST2]]&gt;0,"Reestimativa 2",IF(ESTIMATIVA[[#This Row],[QT_AREA_REAL]]=0,"Reestimativa 2","Realizado"))</f>
        <v>Realizado</v>
      </c>
      <c r="X450" s="1">
        <f>ESTIMATIVA[[#This Row],[QT_AREA_EST]]</f>
        <v>42.14</v>
      </c>
      <c r="Y450" s="1">
        <f>IF(ESTIMATIVA[[#This Row],[QT_AREA_REST1]]&gt;0,ESTIMATIVA[[#This Row],[QT_AREA_REST1]],
  IF(ESTIMATIVA[[#This Row],[QT_AREA_REAL]]&gt;0,ESTIMATIVA[[#This Row],[QT_AREA_REAL]],ESTIMATIVA[[#This Row],[QT_AREA_EST]]))</f>
        <v>42.14</v>
      </c>
      <c r="Z45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42.14</v>
      </c>
      <c r="AA450" s="1">
        <f>ESTIMATIVA[[#This Row],[QT_CANA_EST]]</f>
        <v>3961.16</v>
      </c>
      <c r="AB450" s="1">
        <f>IF(ESTIMATIVA[[#This Row],[QT_CANA_REST1]]&gt;0,ESTIMATIVA[[#This Row],[QT_CANA_REST1]],
  IF(ESTIMATIVA[[#This Row],[QT_CANA_REAL]]&gt;0,ESTIMATIVA[[#This Row],[QT_CANA_REAL]],ESTIMATIVA[[#This Row],[QT_CANA_EST]]))</f>
        <v>4003.3</v>
      </c>
      <c r="AC45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3974.97</v>
      </c>
      <c r="AD450" s="1">
        <f>IF(ESTIMATIVA[[#This Row],[QT_AREA_REAL]]&gt;0,ESTIMATIVA[[#This Row],[QT_CANA_REAL]],ESTIMATIVA[[#This Row],[QT_CANA_EST]])</f>
        <v>3974.97</v>
      </c>
      <c r="AE450" s="1">
        <f>IF(ESTIMATIVA[[#This Row],[QT_AREA_REAL]]&gt;0,ESTIMATIVA[[#This Row],[QT_CANA_REAL]],ESTIMATIVA[[#This Row],[QT_CANA_REST1]])</f>
        <v>3974.97</v>
      </c>
      <c r="AF450" s="1">
        <f>IF(ESTIMATIVA[[#This Row],[QT_AREA_REAL]]&gt;0,ESTIMATIVA[[#This Row],[QT_CANA_REAL]],ESTIMATIVA[[#This Row],[QT_CANA_REST2]])</f>
        <v>3974.97</v>
      </c>
      <c r="AG450" s="1" t="str">
        <f>IF(COUNTIFS(GEADA!A:A,VALUE(ESTIMATIVA[[#This Row],[CD_UPNIVEL1]]&amp;TEXT(ESTIMATIVA[[#This Row],[CD_UPNIVEL3]],"0000")))&gt;0,"S","N")</f>
        <v>N</v>
      </c>
      <c r="AH45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50" s="55" t="str">
        <f>IF(ESTIMATIVA[[#This Row],[TP_CULTIVO]]="Irrigado",_xlfn.MAXIFS(IRRIGADO!J:J,IRRIGADO!C:C,ESTIMATIVA[[#This Row],[CD_UPNIVEL1]],IRRIGADO!E:E,ESTIMATIVA[[#This Row],[CD_UPNIVEL3]]),"")</f>
        <v/>
      </c>
      <c r="AJ45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50" s="1">
        <f>COUNTIFS(Apresentação!$E$23:$E$29,ESTIMATIVA[[#This Row],[CD_UPNIVEL1]])</f>
        <v>0</v>
      </c>
    </row>
    <row r="451" spans="1:37" x14ac:dyDescent="0.3">
      <c r="A451">
        <v>20314</v>
      </c>
      <c r="B451" t="s">
        <v>27</v>
      </c>
      <c r="C451">
        <v>378</v>
      </c>
      <c r="D451">
        <v>2</v>
      </c>
      <c r="E451" t="s">
        <v>266</v>
      </c>
      <c r="F451" s="85" t="s">
        <v>331</v>
      </c>
      <c r="G451"/>
      <c r="H451" t="s">
        <v>295</v>
      </c>
      <c r="I451" t="s">
        <v>200</v>
      </c>
      <c r="J451" t="s">
        <v>176</v>
      </c>
      <c r="K451" s="1">
        <v>38.89</v>
      </c>
      <c r="L451" s="1">
        <v>38.89</v>
      </c>
      <c r="M451" s="1">
        <v>0</v>
      </c>
      <c r="N451" s="1">
        <v>38.89</v>
      </c>
      <c r="O451" s="1">
        <v>3655.66</v>
      </c>
      <c r="P451" s="1">
        <v>3694.55</v>
      </c>
      <c r="Q451" s="1">
        <v>0</v>
      </c>
      <c r="R451" s="1">
        <v>3669.1</v>
      </c>
      <c r="S451" t="s">
        <v>12</v>
      </c>
      <c r="T451" s="13">
        <v>45914</v>
      </c>
      <c r="U451" s="1" t="str">
        <f>IF(ESTIMATIVA[[#This Row],[QT_AREA_REAL]]&gt;0,"1- Colhido","2- à Colher")</f>
        <v>1- Colhido</v>
      </c>
      <c r="V451" s="1" t="str">
        <f>IF(ESTIMATIVA[[#This Row],[QT_AREA_REST1]]&gt;0,"Reestimativa 1",IF(ESTIMATIVA[[#This Row],[QT_AREA_REAL]]=0,"Reestimativa 1","Realizado"))</f>
        <v>Reestimativa 1</v>
      </c>
      <c r="W451" s="1" t="str">
        <f>IF(ESTIMATIVA[[#This Row],[QT_AREA_REST2]]&gt;0,"Reestimativa 2",IF(ESTIMATIVA[[#This Row],[QT_AREA_REAL]]=0,"Reestimativa 2","Realizado"))</f>
        <v>Realizado</v>
      </c>
      <c r="X451" s="1">
        <f>ESTIMATIVA[[#This Row],[QT_AREA_EST]]</f>
        <v>38.89</v>
      </c>
      <c r="Y451" s="1">
        <f>IF(ESTIMATIVA[[#This Row],[QT_AREA_REST1]]&gt;0,ESTIMATIVA[[#This Row],[QT_AREA_REST1]],
  IF(ESTIMATIVA[[#This Row],[QT_AREA_REAL]]&gt;0,ESTIMATIVA[[#This Row],[QT_AREA_REAL]],ESTIMATIVA[[#This Row],[QT_AREA_EST]]))</f>
        <v>38.89</v>
      </c>
      <c r="Z45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38.89</v>
      </c>
      <c r="AA451" s="1">
        <f>ESTIMATIVA[[#This Row],[QT_CANA_EST]]</f>
        <v>3655.66</v>
      </c>
      <c r="AB451" s="1">
        <f>IF(ESTIMATIVA[[#This Row],[QT_CANA_REST1]]&gt;0,ESTIMATIVA[[#This Row],[QT_CANA_REST1]],
  IF(ESTIMATIVA[[#This Row],[QT_CANA_REAL]]&gt;0,ESTIMATIVA[[#This Row],[QT_CANA_REAL]],ESTIMATIVA[[#This Row],[QT_CANA_EST]]))</f>
        <v>3694.55</v>
      </c>
      <c r="AC45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3669.1</v>
      </c>
      <c r="AD451" s="1">
        <f>IF(ESTIMATIVA[[#This Row],[QT_AREA_REAL]]&gt;0,ESTIMATIVA[[#This Row],[QT_CANA_REAL]],ESTIMATIVA[[#This Row],[QT_CANA_EST]])</f>
        <v>3669.1</v>
      </c>
      <c r="AE451" s="1">
        <f>IF(ESTIMATIVA[[#This Row],[QT_AREA_REAL]]&gt;0,ESTIMATIVA[[#This Row],[QT_CANA_REAL]],ESTIMATIVA[[#This Row],[QT_CANA_REST1]])</f>
        <v>3669.1</v>
      </c>
      <c r="AF451" s="1">
        <f>IF(ESTIMATIVA[[#This Row],[QT_AREA_REAL]]&gt;0,ESTIMATIVA[[#This Row],[QT_CANA_REAL]],ESTIMATIVA[[#This Row],[QT_CANA_REST2]])</f>
        <v>3669.1</v>
      </c>
      <c r="AG451" s="1" t="str">
        <f>IF(COUNTIFS(GEADA!A:A,VALUE(ESTIMATIVA[[#This Row],[CD_UPNIVEL1]]&amp;TEXT(ESTIMATIVA[[#This Row],[CD_UPNIVEL3]],"0000")))&gt;0,"S","N")</f>
        <v>N</v>
      </c>
      <c r="AH45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51" s="55" t="str">
        <f>IF(ESTIMATIVA[[#This Row],[TP_CULTIVO]]="Irrigado",_xlfn.MAXIFS(IRRIGADO!J:J,IRRIGADO!C:C,ESTIMATIVA[[#This Row],[CD_UPNIVEL1]],IRRIGADO!E:E,ESTIMATIVA[[#This Row],[CD_UPNIVEL3]]),"")</f>
        <v/>
      </c>
      <c r="AJ45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51" s="1">
        <f>COUNTIFS(Apresentação!$E$23:$E$29,ESTIMATIVA[[#This Row],[CD_UPNIVEL1]])</f>
        <v>0</v>
      </c>
    </row>
    <row r="452" spans="1:37" x14ac:dyDescent="0.3">
      <c r="A452">
        <v>20314</v>
      </c>
      <c r="B452" t="s">
        <v>27</v>
      </c>
      <c r="C452">
        <v>379</v>
      </c>
      <c r="D452">
        <v>2</v>
      </c>
      <c r="E452" t="s">
        <v>266</v>
      </c>
      <c r="F452" s="85" t="s">
        <v>331</v>
      </c>
      <c r="G452"/>
      <c r="H452" t="s">
        <v>295</v>
      </c>
      <c r="I452" t="s">
        <v>200</v>
      </c>
      <c r="J452" t="s">
        <v>176</v>
      </c>
      <c r="K452" s="1">
        <v>30.53</v>
      </c>
      <c r="L452" s="1">
        <v>30.53</v>
      </c>
      <c r="M452" s="1">
        <v>0</v>
      </c>
      <c r="N452" s="1">
        <v>30.53</v>
      </c>
      <c r="O452" s="1">
        <v>2869.82</v>
      </c>
      <c r="P452" s="1">
        <v>2900.35</v>
      </c>
      <c r="Q452" s="1">
        <v>0</v>
      </c>
      <c r="R452" s="1">
        <v>2880.13</v>
      </c>
      <c r="S452" t="s">
        <v>12</v>
      </c>
      <c r="T452" s="13">
        <v>45914</v>
      </c>
      <c r="U452" s="1" t="str">
        <f>IF(ESTIMATIVA[[#This Row],[QT_AREA_REAL]]&gt;0,"1- Colhido","2- à Colher")</f>
        <v>1- Colhido</v>
      </c>
      <c r="V452" s="1" t="str">
        <f>IF(ESTIMATIVA[[#This Row],[QT_AREA_REST1]]&gt;0,"Reestimativa 1",IF(ESTIMATIVA[[#This Row],[QT_AREA_REAL]]=0,"Reestimativa 1","Realizado"))</f>
        <v>Reestimativa 1</v>
      </c>
      <c r="W452" s="1" t="str">
        <f>IF(ESTIMATIVA[[#This Row],[QT_AREA_REST2]]&gt;0,"Reestimativa 2",IF(ESTIMATIVA[[#This Row],[QT_AREA_REAL]]=0,"Reestimativa 2","Realizado"))</f>
        <v>Realizado</v>
      </c>
      <c r="X452" s="1">
        <f>ESTIMATIVA[[#This Row],[QT_AREA_EST]]</f>
        <v>30.53</v>
      </c>
      <c r="Y452" s="1">
        <f>IF(ESTIMATIVA[[#This Row],[QT_AREA_REST1]]&gt;0,ESTIMATIVA[[#This Row],[QT_AREA_REST1]],
  IF(ESTIMATIVA[[#This Row],[QT_AREA_REAL]]&gt;0,ESTIMATIVA[[#This Row],[QT_AREA_REAL]],ESTIMATIVA[[#This Row],[QT_AREA_EST]]))</f>
        <v>30.53</v>
      </c>
      <c r="Z45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30.53</v>
      </c>
      <c r="AA452" s="1">
        <f>ESTIMATIVA[[#This Row],[QT_CANA_EST]]</f>
        <v>2869.82</v>
      </c>
      <c r="AB452" s="1">
        <f>IF(ESTIMATIVA[[#This Row],[QT_CANA_REST1]]&gt;0,ESTIMATIVA[[#This Row],[QT_CANA_REST1]],
  IF(ESTIMATIVA[[#This Row],[QT_CANA_REAL]]&gt;0,ESTIMATIVA[[#This Row],[QT_CANA_REAL]],ESTIMATIVA[[#This Row],[QT_CANA_EST]]))</f>
        <v>2900.35</v>
      </c>
      <c r="AC45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2880.13</v>
      </c>
      <c r="AD452" s="1">
        <f>IF(ESTIMATIVA[[#This Row],[QT_AREA_REAL]]&gt;0,ESTIMATIVA[[#This Row],[QT_CANA_REAL]],ESTIMATIVA[[#This Row],[QT_CANA_EST]])</f>
        <v>2880.13</v>
      </c>
      <c r="AE452" s="1">
        <f>IF(ESTIMATIVA[[#This Row],[QT_AREA_REAL]]&gt;0,ESTIMATIVA[[#This Row],[QT_CANA_REAL]],ESTIMATIVA[[#This Row],[QT_CANA_REST1]])</f>
        <v>2880.13</v>
      </c>
      <c r="AF452" s="1">
        <f>IF(ESTIMATIVA[[#This Row],[QT_AREA_REAL]]&gt;0,ESTIMATIVA[[#This Row],[QT_CANA_REAL]],ESTIMATIVA[[#This Row],[QT_CANA_REST2]])</f>
        <v>2880.13</v>
      </c>
      <c r="AG452" s="1" t="str">
        <f>IF(COUNTIFS(GEADA!A:A,VALUE(ESTIMATIVA[[#This Row],[CD_UPNIVEL1]]&amp;TEXT(ESTIMATIVA[[#This Row],[CD_UPNIVEL3]],"0000")))&gt;0,"S","N")</f>
        <v>N</v>
      </c>
      <c r="AH45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52" s="55" t="str">
        <f>IF(ESTIMATIVA[[#This Row],[TP_CULTIVO]]="Irrigado",_xlfn.MAXIFS(IRRIGADO!J:J,IRRIGADO!C:C,ESTIMATIVA[[#This Row],[CD_UPNIVEL1]],IRRIGADO!E:E,ESTIMATIVA[[#This Row],[CD_UPNIVEL3]]),"")</f>
        <v/>
      </c>
      <c r="AJ45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52" s="1">
        <f>COUNTIFS(Apresentação!$E$23:$E$29,ESTIMATIVA[[#This Row],[CD_UPNIVEL1]])</f>
        <v>0</v>
      </c>
    </row>
    <row r="453" spans="1:37" x14ac:dyDescent="0.3">
      <c r="A453">
        <v>20314</v>
      </c>
      <c r="B453" t="s">
        <v>27</v>
      </c>
      <c r="C453">
        <v>380</v>
      </c>
      <c r="D453">
        <v>2</v>
      </c>
      <c r="E453" t="s">
        <v>266</v>
      </c>
      <c r="F453" s="85" t="s">
        <v>331</v>
      </c>
      <c r="G453"/>
      <c r="H453" t="s">
        <v>295</v>
      </c>
      <c r="I453" t="s">
        <v>200</v>
      </c>
      <c r="J453" t="s">
        <v>176</v>
      </c>
      <c r="K453" s="1">
        <v>16.13</v>
      </c>
      <c r="L453" s="1">
        <v>16.13</v>
      </c>
      <c r="M453" s="1">
        <v>0</v>
      </c>
      <c r="N453" s="1">
        <v>16.13</v>
      </c>
      <c r="O453" s="1">
        <v>1516.22</v>
      </c>
      <c r="P453" s="1">
        <v>1532.35</v>
      </c>
      <c r="Q453" s="1">
        <v>0</v>
      </c>
      <c r="R453" s="1">
        <v>1808.89</v>
      </c>
      <c r="S453" t="s">
        <v>12</v>
      </c>
      <c r="T453" s="13">
        <v>45907</v>
      </c>
      <c r="U453" s="1" t="str">
        <f>IF(ESTIMATIVA[[#This Row],[QT_AREA_REAL]]&gt;0,"1- Colhido","2- à Colher")</f>
        <v>1- Colhido</v>
      </c>
      <c r="V453" s="1" t="str">
        <f>IF(ESTIMATIVA[[#This Row],[QT_AREA_REST1]]&gt;0,"Reestimativa 1",IF(ESTIMATIVA[[#This Row],[QT_AREA_REAL]]=0,"Reestimativa 1","Realizado"))</f>
        <v>Reestimativa 1</v>
      </c>
      <c r="W453" s="1" t="str">
        <f>IF(ESTIMATIVA[[#This Row],[QT_AREA_REST2]]&gt;0,"Reestimativa 2",IF(ESTIMATIVA[[#This Row],[QT_AREA_REAL]]=0,"Reestimativa 2","Realizado"))</f>
        <v>Realizado</v>
      </c>
      <c r="X453" s="1">
        <f>ESTIMATIVA[[#This Row],[QT_AREA_EST]]</f>
        <v>16.13</v>
      </c>
      <c r="Y453" s="1">
        <f>IF(ESTIMATIVA[[#This Row],[QT_AREA_REST1]]&gt;0,ESTIMATIVA[[#This Row],[QT_AREA_REST1]],
  IF(ESTIMATIVA[[#This Row],[QT_AREA_REAL]]&gt;0,ESTIMATIVA[[#This Row],[QT_AREA_REAL]],ESTIMATIVA[[#This Row],[QT_AREA_EST]]))</f>
        <v>16.13</v>
      </c>
      <c r="Z45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16.13</v>
      </c>
      <c r="AA453" s="1">
        <f>ESTIMATIVA[[#This Row],[QT_CANA_EST]]</f>
        <v>1516.22</v>
      </c>
      <c r="AB453" s="1">
        <f>IF(ESTIMATIVA[[#This Row],[QT_CANA_REST1]]&gt;0,ESTIMATIVA[[#This Row],[QT_CANA_REST1]],
  IF(ESTIMATIVA[[#This Row],[QT_CANA_REAL]]&gt;0,ESTIMATIVA[[#This Row],[QT_CANA_REAL]],ESTIMATIVA[[#This Row],[QT_CANA_EST]]))</f>
        <v>1532.35</v>
      </c>
      <c r="AC45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1808.89</v>
      </c>
      <c r="AD453" s="1">
        <f>IF(ESTIMATIVA[[#This Row],[QT_AREA_REAL]]&gt;0,ESTIMATIVA[[#This Row],[QT_CANA_REAL]],ESTIMATIVA[[#This Row],[QT_CANA_EST]])</f>
        <v>1808.89</v>
      </c>
      <c r="AE453" s="1">
        <f>IF(ESTIMATIVA[[#This Row],[QT_AREA_REAL]]&gt;0,ESTIMATIVA[[#This Row],[QT_CANA_REAL]],ESTIMATIVA[[#This Row],[QT_CANA_REST1]])</f>
        <v>1808.89</v>
      </c>
      <c r="AF453" s="1">
        <f>IF(ESTIMATIVA[[#This Row],[QT_AREA_REAL]]&gt;0,ESTIMATIVA[[#This Row],[QT_CANA_REAL]],ESTIMATIVA[[#This Row],[QT_CANA_REST2]])</f>
        <v>1808.89</v>
      </c>
      <c r="AG453" s="1" t="str">
        <f>IF(COUNTIFS(GEADA!A:A,VALUE(ESTIMATIVA[[#This Row],[CD_UPNIVEL1]]&amp;TEXT(ESTIMATIVA[[#This Row],[CD_UPNIVEL3]],"0000")))&gt;0,"S","N")</f>
        <v>N</v>
      </c>
      <c r="AH45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53" s="55" t="str">
        <f>IF(ESTIMATIVA[[#This Row],[TP_CULTIVO]]="Irrigado",_xlfn.MAXIFS(IRRIGADO!J:J,IRRIGADO!C:C,ESTIMATIVA[[#This Row],[CD_UPNIVEL1]],IRRIGADO!E:E,ESTIMATIVA[[#This Row],[CD_UPNIVEL3]]),"")</f>
        <v/>
      </c>
      <c r="AJ45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53" s="1">
        <f>COUNTIFS(Apresentação!$E$23:$E$29,ESTIMATIVA[[#This Row],[CD_UPNIVEL1]])</f>
        <v>0</v>
      </c>
    </row>
    <row r="454" spans="1:37" x14ac:dyDescent="0.3">
      <c r="A454">
        <v>20314</v>
      </c>
      <c r="B454" t="s">
        <v>27</v>
      </c>
      <c r="C454">
        <v>381</v>
      </c>
      <c r="D454">
        <v>2</v>
      </c>
      <c r="E454" t="s">
        <v>266</v>
      </c>
      <c r="F454" s="85" t="s">
        <v>331</v>
      </c>
      <c r="G454"/>
      <c r="H454" t="s">
        <v>295</v>
      </c>
      <c r="I454" t="s">
        <v>200</v>
      </c>
      <c r="J454" t="s">
        <v>176</v>
      </c>
      <c r="K454" s="1">
        <v>27.93</v>
      </c>
      <c r="L454" s="1">
        <v>27.93</v>
      </c>
      <c r="M454" s="1">
        <v>0</v>
      </c>
      <c r="N454" s="1">
        <v>27.93</v>
      </c>
      <c r="O454" s="1">
        <v>2625.42</v>
      </c>
      <c r="P454" s="1">
        <v>2653.35</v>
      </c>
      <c r="Q454" s="1">
        <v>0</v>
      </c>
      <c r="R454" s="1">
        <v>2295.5</v>
      </c>
      <c r="S454" t="s">
        <v>12</v>
      </c>
      <c r="T454" s="13">
        <v>45921</v>
      </c>
      <c r="U454" s="1" t="str">
        <f>IF(ESTIMATIVA[[#This Row],[QT_AREA_REAL]]&gt;0,"1- Colhido","2- à Colher")</f>
        <v>1- Colhido</v>
      </c>
      <c r="V454" s="1" t="str">
        <f>IF(ESTIMATIVA[[#This Row],[QT_AREA_REST1]]&gt;0,"Reestimativa 1",IF(ESTIMATIVA[[#This Row],[QT_AREA_REAL]]=0,"Reestimativa 1","Realizado"))</f>
        <v>Reestimativa 1</v>
      </c>
      <c r="W454" s="1" t="str">
        <f>IF(ESTIMATIVA[[#This Row],[QT_AREA_REST2]]&gt;0,"Reestimativa 2",IF(ESTIMATIVA[[#This Row],[QT_AREA_REAL]]=0,"Reestimativa 2","Realizado"))</f>
        <v>Realizado</v>
      </c>
      <c r="X454" s="1">
        <f>ESTIMATIVA[[#This Row],[QT_AREA_EST]]</f>
        <v>27.93</v>
      </c>
      <c r="Y454" s="1">
        <f>IF(ESTIMATIVA[[#This Row],[QT_AREA_REST1]]&gt;0,ESTIMATIVA[[#This Row],[QT_AREA_REST1]],
  IF(ESTIMATIVA[[#This Row],[QT_AREA_REAL]]&gt;0,ESTIMATIVA[[#This Row],[QT_AREA_REAL]],ESTIMATIVA[[#This Row],[QT_AREA_EST]]))</f>
        <v>27.93</v>
      </c>
      <c r="Z45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27.93</v>
      </c>
      <c r="AA454" s="1">
        <f>ESTIMATIVA[[#This Row],[QT_CANA_EST]]</f>
        <v>2625.42</v>
      </c>
      <c r="AB454" s="1">
        <f>IF(ESTIMATIVA[[#This Row],[QT_CANA_REST1]]&gt;0,ESTIMATIVA[[#This Row],[QT_CANA_REST1]],
  IF(ESTIMATIVA[[#This Row],[QT_CANA_REAL]]&gt;0,ESTIMATIVA[[#This Row],[QT_CANA_REAL]],ESTIMATIVA[[#This Row],[QT_CANA_EST]]))</f>
        <v>2653.35</v>
      </c>
      <c r="AC45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2295.5</v>
      </c>
      <c r="AD454" s="1">
        <f>IF(ESTIMATIVA[[#This Row],[QT_AREA_REAL]]&gt;0,ESTIMATIVA[[#This Row],[QT_CANA_REAL]],ESTIMATIVA[[#This Row],[QT_CANA_EST]])</f>
        <v>2295.5</v>
      </c>
      <c r="AE454" s="1">
        <f>IF(ESTIMATIVA[[#This Row],[QT_AREA_REAL]]&gt;0,ESTIMATIVA[[#This Row],[QT_CANA_REAL]],ESTIMATIVA[[#This Row],[QT_CANA_REST1]])</f>
        <v>2295.5</v>
      </c>
      <c r="AF454" s="1">
        <f>IF(ESTIMATIVA[[#This Row],[QT_AREA_REAL]]&gt;0,ESTIMATIVA[[#This Row],[QT_CANA_REAL]],ESTIMATIVA[[#This Row],[QT_CANA_REST2]])</f>
        <v>2295.5</v>
      </c>
      <c r="AG454" s="1" t="str">
        <f>IF(COUNTIFS(GEADA!A:A,VALUE(ESTIMATIVA[[#This Row],[CD_UPNIVEL1]]&amp;TEXT(ESTIMATIVA[[#This Row],[CD_UPNIVEL3]],"0000")))&gt;0,"S","N")</f>
        <v>N</v>
      </c>
      <c r="AH45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54" s="55" t="str">
        <f>IF(ESTIMATIVA[[#This Row],[TP_CULTIVO]]="Irrigado",_xlfn.MAXIFS(IRRIGADO!J:J,IRRIGADO!C:C,ESTIMATIVA[[#This Row],[CD_UPNIVEL1]],IRRIGADO!E:E,ESTIMATIVA[[#This Row],[CD_UPNIVEL3]]),"")</f>
        <v/>
      </c>
      <c r="AJ45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54" s="1">
        <f>COUNTIFS(Apresentação!$E$23:$E$29,ESTIMATIVA[[#This Row],[CD_UPNIVEL1]])</f>
        <v>0</v>
      </c>
    </row>
    <row r="455" spans="1:37" x14ac:dyDescent="0.3">
      <c r="A455">
        <v>20314</v>
      </c>
      <c r="B455" t="s">
        <v>27</v>
      </c>
      <c r="C455">
        <v>382</v>
      </c>
      <c r="D455">
        <v>2</v>
      </c>
      <c r="E455" t="s">
        <v>266</v>
      </c>
      <c r="F455" s="85" t="s">
        <v>331</v>
      </c>
      <c r="G455"/>
      <c r="H455" t="s">
        <v>295</v>
      </c>
      <c r="I455" t="s">
        <v>200</v>
      </c>
      <c r="J455" t="s">
        <v>176</v>
      </c>
      <c r="K455" s="1">
        <v>45.4</v>
      </c>
      <c r="L455" s="1">
        <v>45.4</v>
      </c>
      <c r="M455" s="1">
        <v>0</v>
      </c>
      <c r="N455" s="1">
        <v>45.4</v>
      </c>
      <c r="O455" s="1">
        <v>4267.6000000000004</v>
      </c>
      <c r="P455" s="1">
        <v>4540</v>
      </c>
      <c r="Q455" s="1">
        <v>0</v>
      </c>
      <c r="R455" s="1">
        <v>5623.68</v>
      </c>
      <c r="S455" t="s">
        <v>12</v>
      </c>
      <c r="T455" s="13">
        <v>45907</v>
      </c>
      <c r="U455" s="1" t="str">
        <f>IF(ESTIMATIVA[[#This Row],[QT_AREA_REAL]]&gt;0,"1- Colhido","2- à Colher")</f>
        <v>1- Colhido</v>
      </c>
      <c r="V455" s="1" t="str">
        <f>IF(ESTIMATIVA[[#This Row],[QT_AREA_REST1]]&gt;0,"Reestimativa 1",IF(ESTIMATIVA[[#This Row],[QT_AREA_REAL]]=0,"Reestimativa 1","Realizado"))</f>
        <v>Reestimativa 1</v>
      </c>
      <c r="W455" s="1" t="str">
        <f>IF(ESTIMATIVA[[#This Row],[QT_AREA_REST2]]&gt;0,"Reestimativa 2",IF(ESTIMATIVA[[#This Row],[QT_AREA_REAL]]=0,"Reestimativa 2","Realizado"))</f>
        <v>Realizado</v>
      </c>
      <c r="X455" s="1">
        <f>ESTIMATIVA[[#This Row],[QT_AREA_EST]]</f>
        <v>45.4</v>
      </c>
      <c r="Y455" s="1">
        <f>IF(ESTIMATIVA[[#This Row],[QT_AREA_REST1]]&gt;0,ESTIMATIVA[[#This Row],[QT_AREA_REST1]],
  IF(ESTIMATIVA[[#This Row],[QT_AREA_REAL]]&gt;0,ESTIMATIVA[[#This Row],[QT_AREA_REAL]],ESTIMATIVA[[#This Row],[QT_AREA_EST]]))</f>
        <v>45.4</v>
      </c>
      <c r="Z45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45.4</v>
      </c>
      <c r="AA455" s="1">
        <f>ESTIMATIVA[[#This Row],[QT_CANA_EST]]</f>
        <v>4267.6000000000004</v>
      </c>
      <c r="AB455" s="1">
        <f>IF(ESTIMATIVA[[#This Row],[QT_CANA_REST1]]&gt;0,ESTIMATIVA[[#This Row],[QT_CANA_REST1]],
  IF(ESTIMATIVA[[#This Row],[QT_CANA_REAL]]&gt;0,ESTIMATIVA[[#This Row],[QT_CANA_REAL]],ESTIMATIVA[[#This Row],[QT_CANA_EST]]))</f>
        <v>4540</v>
      </c>
      <c r="AC45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5623.68</v>
      </c>
      <c r="AD455" s="1">
        <f>IF(ESTIMATIVA[[#This Row],[QT_AREA_REAL]]&gt;0,ESTIMATIVA[[#This Row],[QT_CANA_REAL]],ESTIMATIVA[[#This Row],[QT_CANA_EST]])</f>
        <v>5623.68</v>
      </c>
      <c r="AE455" s="1">
        <f>IF(ESTIMATIVA[[#This Row],[QT_AREA_REAL]]&gt;0,ESTIMATIVA[[#This Row],[QT_CANA_REAL]],ESTIMATIVA[[#This Row],[QT_CANA_REST1]])</f>
        <v>5623.68</v>
      </c>
      <c r="AF455" s="1">
        <f>IF(ESTIMATIVA[[#This Row],[QT_AREA_REAL]]&gt;0,ESTIMATIVA[[#This Row],[QT_CANA_REAL]],ESTIMATIVA[[#This Row],[QT_CANA_REST2]])</f>
        <v>5623.68</v>
      </c>
      <c r="AG455" s="1" t="str">
        <f>IF(COUNTIFS(GEADA!A:A,VALUE(ESTIMATIVA[[#This Row],[CD_UPNIVEL1]]&amp;TEXT(ESTIMATIVA[[#This Row],[CD_UPNIVEL3]],"0000")))&gt;0,"S","N")</f>
        <v>N</v>
      </c>
      <c r="AH45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55" s="55" t="str">
        <f>IF(ESTIMATIVA[[#This Row],[TP_CULTIVO]]="Irrigado",_xlfn.MAXIFS(IRRIGADO!J:J,IRRIGADO!C:C,ESTIMATIVA[[#This Row],[CD_UPNIVEL1]],IRRIGADO!E:E,ESTIMATIVA[[#This Row],[CD_UPNIVEL3]]),"")</f>
        <v/>
      </c>
      <c r="AJ45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55" s="1">
        <f>COUNTIFS(Apresentação!$E$23:$E$29,ESTIMATIVA[[#This Row],[CD_UPNIVEL1]])</f>
        <v>0</v>
      </c>
    </row>
    <row r="456" spans="1:37" x14ac:dyDescent="0.3">
      <c r="A456">
        <v>20314</v>
      </c>
      <c r="B456" t="s">
        <v>27</v>
      </c>
      <c r="C456">
        <v>383</v>
      </c>
      <c r="D456">
        <v>2</v>
      </c>
      <c r="E456" t="s">
        <v>266</v>
      </c>
      <c r="F456" s="85" t="s">
        <v>332</v>
      </c>
      <c r="G456"/>
      <c r="H456" t="s">
        <v>295</v>
      </c>
      <c r="I456" t="s">
        <v>200</v>
      </c>
      <c r="J456" t="s">
        <v>176</v>
      </c>
      <c r="K456" s="1">
        <v>35.03</v>
      </c>
      <c r="L456" s="1">
        <v>35.03</v>
      </c>
      <c r="M456" s="1">
        <v>35.03</v>
      </c>
      <c r="N456" s="1">
        <v>35.03</v>
      </c>
      <c r="O456" s="1">
        <v>3292.82</v>
      </c>
      <c r="P456" s="1">
        <v>3503</v>
      </c>
      <c r="Q456" s="1">
        <v>3503</v>
      </c>
      <c r="R456" s="1">
        <v>2616.9499999999998</v>
      </c>
      <c r="S456" t="s">
        <v>12</v>
      </c>
      <c r="T456" s="13">
        <v>45928</v>
      </c>
      <c r="U456" s="1" t="str">
        <f>IF(ESTIMATIVA[[#This Row],[QT_AREA_REAL]]&gt;0,"1- Colhido","2- à Colher")</f>
        <v>1- Colhido</v>
      </c>
      <c r="V456" s="1" t="str">
        <f>IF(ESTIMATIVA[[#This Row],[QT_AREA_REST1]]&gt;0,"Reestimativa 1",IF(ESTIMATIVA[[#This Row],[QT_AREA_REAL]]=0,"Reestimativa 1","Realizado"))</f>
        <v>Reestimativa 1</v>
      </c>
      <c r="W456" s="1" t="str">
        <f>IF(ESTIMATIVA[[#This Row],[QT_AREA_REST2]]&gt;0,"Reestimativa 2",IF(ESTIMATIVA[[#This Row],[QT_AREA_REAL]]=0,"Reestimativa 2","Realizado"))</f>
        <v>Reestimativa 2</v>
      </c>
      <c r="X456" s="1">
        <f>ESTIMATIVA[[#This Row],[QT_AREA_EST]]</f>
        <v>35.03</v>
      </c>
      <c r="Y456" s="1">
        <f>IF(ESTIMATIVA[[#This Row],[QT_AREA_REST1]]&gt;0,ESTIMATIVA[[#This Row],[QT_AREA_REST1]],
  IF(ESTIMATIVA[[#This Row],[QT_AREA_REAL]]&gt;0,ESTIMATIVA[[#This Row],[QT_AREA_REAL]],ESTIMATIVA[[#This Row],[QT_AREA_EST]]))</f>
        <v>35.03</v>
      </c>
      <c r="Z45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35.03</v>
      </c>
      <c r="AA456" s="1">
        <f>ESTIMATIVA[[#This Row],[QT_CANA_EST]]</f>
        <v>3292.82</v>
      </c>
      <c r="AB456" s="1">
        <f>IF(ESTIMATIVA[[#This Row],[QT_CANA_REST1]]&gt;0,ESTIMATIVA[[#This Row],[QT_CANA_REST1]],
  IF(ESTIMATIVA[[#This Row],[QT_CANA_REAL]]&gt;0,ESTIMATIVA[[#This Row],[QT_CANA_REAL]],ESTIMATIVA[[#This Row],[QT_CANA_EST]]))</f>
        <v>3503</v>
      </c>
      <c r="AC45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3503</v>
      </c>
      <c r="AD456" s="1">
        <f>IF(ESTIMATIVA[[#This Row],[QT_AREA_REAL]]&gt;0,ESTIMATIVA[[#This Row],[QT_CANA_REAL]],ESTIMATIVA[[#This Row],[QT_CANA_EST]])</f>
        <v>2616.9499999999998</v>
      </c>
      <c r="AE456" s="1">
        <f>IF(ESTIMATIVA[[#This Row],[QT_AREA_REAL]]&gt;0,ESTIMATIVA[[#This Row],[QT_CANA_REAL]],ESTIMATIVA[[#This Row],[QT_CANA_REST1]])</f>
        <v>2616.9499999999998</v>
      </c>
      <c r="AF456" s="1">
        <f>IF(ESTIMATIVA[[#This Row],[QT_AREA_REAL]]&gt;0,ESTIMATIVA[[#This Row],[QT_CANA_REAL]],ESTIMATIVA[[#This Row],[QT_CANA_REST2]])</f>
        <v>2616.9499999999998</v>
      </c>
      <c r="AG456" s="1" t="str">
        <f>IF(COUNTIFS(GEADA!A:A,VALUE(ESTIMATIVA[[#This Row],[CD_UPNIVEL1]]&amp;TEXT(ESTIMATIVA[[#This Row],[CD_UPNIVEL3]],"0000")))&gt;0,"S","N")</f>
        <v>N</v>
      </c>
      <c r="AH45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56" s="55" t="str">
        <f>IF(ESTIMATIVA[[#This Row],[TP_CULTIVO]]="Irrigado",_xlfn.MAXIFS(IRRIGADO!J:J,IRRIGADO!C:C,ESTIMATIVA[[#This Row],[CD_UPNIVEL1]],IRRIGADO!E:E,ESTIMATIVA[[#This Row],[CD_UPNIVEL3]]),"")</f>
        <v/>
      </c>
      <c r="AJ45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56" s="1">
        <f>COUNTIFS(Apresentação!$E$23:$E$29,ESTIMATIVA[[#This Row],[CD_UPNIVEL1]])</f>
        <v>0</v>
      </c>
    </row>
    <row r="457" spans="1:37" x14ac:dyDescent="0.3">
      <c r="A457">
        <v>20314</v>
      </c>
      <c r="B457" t="s">
        <v>27</v>
      </c>
      <c r="C457">
        <v>384</v>
      </c>
      <c r="D457">
        <v>1</v>
      </c>
      <c r="E457" t="s">
        <v>264</v>
      </c>
      <c r="F457" s="85" t="s">
        <v>332</v>
      </c>
      <c r="G457"/>
      <c r="H457" t="s">
        <v>295</v>
      </c>
      <c r="I457" t="s">
        <v>200</v>
      </c>
      <c r="J457" t="s">
        <v>176</v>
      </c>
      <c r="K457" s="1">
        <v>23.37</v>
      </c>
      <c r="L457" s="1">
        <v>23.37</v>
      </c>
      <c r="M457" s="1">
        <v>0</v>
      </c>
      <c r="N457" s="1">
        <v>23.37</v>
      </c>
      <c r="O457" s="1">
        <v>2991.36</v>
      </c>
      <c r="P457" s="1">
        <v>3014.73</v>
      </c>
      <c r="Q457" s="1">
        <v>0</v>
      </c>
      <c r="R457" s="1">
        <v>3130.85</v>
      </c>
      <c r="S457" t="s">
        <v>12</v>
      </c>
      <c r="T457" s="13">
        <v>45914</v>
      </c>
      <c r="U457" s="1" t="str">
        <f>IF(ESTIMATIVA[[#This Row],[QT_AREA_REAL]]&gt;0,"1- Colhido","2- à Colher")</f>
        <v>1- Colhido</v>
      </c>
      <c r="V457" s="1" t="str">
        <f>IF(ESTIMATIVA[[#This Row],[QT_AREA_REST1]]&gt;0,"Reestimativa 1",IF(ESTIMATIVA[[#This Row],[QT_AREA_REAL]]=0,"Reestimativa 1","Realizado"))</f>
        <v>Reestimativa 1</v>
      </c>
      <c r="W457" s="1" t="str">
        <f>IF(ESTIMATIVA[[#This Row],[QT_AREA_REST2]]&gt;0,"Reestimativa 2",IF(ESTIMATIVA[[#This Row],[QT_AREA_REAL]]=0,"Reestimativa 2","Realizado"))</f>
        <v>Realizado</v>
      </c>
      <c r="X457" s="1">
        <f>ESTIMATIVA[[#This Row],[QT_AREA_EST]]</f>
        <v>23.37</v>
      </c>
      <c r="Y457" s="1">
        <f>IF(ESTIMATIVA[[#This Row],[QT_AREA_REST1]]&gt;0,ESTIMATIVA[[#This Row],[QT_AREA_REST1]],
  IF(ESTIMATIVA[[#This Row],[QT_AREA_REAL]]&gt;0,ESTIMATIVA[[#This Row],[QT_AREA_REAL]],ESTIMATIVA[[#This Row],[QT_AREA_EST]]))</f>
        <v>23.37</v>
      </c>
      <c r="Z45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23.37</v>
      </c>
      <c r="AA457" s="1">
        <f>ESTIMATIVA[[#This Row],[QT_CANA_EST]]</f>
        <v>2991.36</v>
      </c>
      <c r="AB457" s="1">
        <f>IF(ESTIMATIVA[[#This Row],[QT_CANA_REST1]]&gt;0,ESTIMATIVA[[#This Row],[QT_CANA_REST1]],
  IF(ESTIMATIVA[[#This Row],[QT_CANA_REAL]]&gt;0,ESTIMATIVA[[#This Row],[QT_CANA_REAL]],ESTIMATIVA[[#This Row],[QT_CANA_EST]]))</f>
        <v>3014.73</v>
      </c>
      <c r="AC45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3130.85</v>
      </c>
      <c r="AD457" s="1">
        <f>IF(ESTIMATIVA[[#This Row],[QT_AREA_REAL]]&gt;0,ESTIMATIVA[[#This Row],[QT_CANA_REAL]],ESTIMATIVA[[#This Row],[QT_CANA_EST]])</f>
        <v>3130.85</v>
      </c>
      <c r="AE457" s="1">
        <f>IF(ESTIMATIVA[[#This Row],[QT_AREA_REAL]]&gt;0,ESTIMATIVA[[#This Row],[QT_CANA_REAL]],ESTIMATIVA[[#This Row],[QT_CANA_REST1]])</f>
        <v>3130.85</v>
      </c>
      <c r="AF457" s="1">
        <f>IF(ESTIMATIVA[[#This Row],[QT_AREA_REAL]]&gt;0,ESTIMATIVA[[#This Row],[QT_CANA_REAL]],ESTIMATIVA[[#This Row],[QT_CANA_REST2]])</f>
        <v>3130.85</v>
      </c>
      <c r="AG457" s="1" t="str">
        <f>IF(COUNTIFS(GEADA!A:A,VALUE(ESTIMATIVA[[#This Row],[CD_UPNIVEL1]]&amp;TEXT(ESTIMATIVA[[#This Row],[CD_UPNIVEL3]],"0000")))&gt;0,"S","N")</f>
        <v>N</v>
      </c>
      <c r="AH45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57" s="55" t="str">
        <f>IF(ESTIMATIVA[[#This Row],[TP_CULTIVO]]="Irrigado",_xlfn.MAXIFS(IRRIGADO!J:J,IRRIGADO!C:C,ESTIMATIVA[[#This Row],[CD_UPNIVEL1]],IRRIGADO!E:E,ESTIMATIVA[[#This Row],[CD_UPNIVEL3]]),"")</f>
        <v/>
      </c>
      <c r="AJ45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57" s="1">
        <f>COUNTIFS(Apresentação!$E$23:$E$29,ESTIMATIVA[[#This Row],[CD_UPNIVEL1]])</f>
        <v>0</v>
      </c>
    </row>
    <row r="458" spans="1:37" x14ac:dyDescent="0.3">
      <c r="A458">
        <v>20314</v>
      </c>
      <c r="B458" t="s">
        <v>27</v>
      </c>
      <c r="C458">
        <v>385</v>
      </c>
      <c r="D458">
        <v>1</v>
      </c>
      <c r="E458" t="s">
        <v>264</v>
      </c>
      <c r="F458" s="85" t="s">
        <v>331</v>
      </c>
      <c r="G458"/>
      <c r="H458" t="s">
        <v>295</v>
      </c>
      <c r="I458" t="s">
        <v>200</v>
      </c>
      <c r="J458" t="s">
        <v>176</v>
      </c>
      <c r="K458" s="1">
        <v>26.01</v>
      </c>
      <c r="L458" s="1">
        <v>26.01</v>
      </c>
      <c r="M458" s="1">
        <v>0</v>
      </c>
      <c r="N458" s="1">
        <v>26.01</v>
      </c>
      <c r="O458" s="1">
        <v>3329.28</v>
      </c>
      <c r="P458" s="1">
        <v>3355.29</v>
      </c>
      <c r="Q458" s="1">
        <v>0</v>
      </c>
      <c r="R458" s="1">
        <v>3586.17</v>
      </c>
      <c r="S458" t="s">
        <v>12</v>
      </c>
      <c r="T458" s="13">
        <v>45914</v>
      </c>
      <c r="U458" s="1" t="str">
        <f>IF(ESTIMATIVA[[#This Row],[QT_AREA_REAL]]&gt;0,"1- Colhido","2- à Colher")</f>
        <v>1- Colhido</v>
      </c>
      <c r="V458" s="1" t="str">
        <f>IF(ESTIMATIVA[[#This Row],[QT_AREA_REST1]]&gt;0,"Reestimativa 1",IF(ESTIMATIVA[[#This Row],[QT_AREA_REAL]]=0,"Reestimativa 1","Realizado"))</f>
        <v>Reestimativa 1</v>
      </c>
      <c r="W458" s="1" t="str">
        <f>IF(ESTIMATIVA[[#This Row],[QT_AREA_REST2]]&gt;0,"Reestimativa 2",IF(ESTIMATIVA[[#This Row],[QT_AREA_REAL]]=0,"Reestimativa 2","Realizado"))</f>
        <v>Realizado</v>
      </c>
      <c r="X458" s="1">
        <f>ESTIMATIVA[[#This Row],[QT_AREA_EST]]</f>
        <v>26.01</v>
      </c>
      <c r="Y458" s="1">
        <f>IF(ESTIMATIVA[[#This Row],[QT_AREA_REST1]]&gt;0,ESTIMATIVA[[#This Row],[QT_AREA_REST1]],
  IF(ESTIMATIVA[[#This Row],[QT_AREA_REAL]]&gt;0,ESTIMATIVA[[#This Row],[QT_AREA_REAL]],ESTIMATIVA[[#This Row],[QT_AREA_EST]]))</f>
        <v>26.01</v>
      </c>
      <c r="Z45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26.01</v>
      </c>
      <c r="AA458" s="1">
        <f>ESTIMATIVA[[#This Row],[QT_CANA_EST]]</f>
        <v>3329.28</v>
      </c>
      <c r="AB458" s="1">
        <f>IF(ESTIMATIVA[[#This Row],[QT_CANA_REST1]]&gt;0,ESTIMATIVA[[#This Row],[QT_CANA_REST1]],
  IF(ESTIMATIVA[[#This Row],[QT_CANA_REAL]]&gt;0,ESTIMATIVA[[#This Row],[QT_CANA_REAL]],ESTIMATIVA[[#This Row],[QT_CANA_EST]]))</f>
        <v>3355.29</v>
      </c>
      <c r="AC45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3586.17</v>
      </c>
      <c r="AD458" s="1">
        <f>IF(ESTIMATIVA[[#This Row],[QT_AREA_REAL]]&gt;0,ESTIMATIVA[[#This Row],[QT_CANA_REAL]],ESTIMATIVA[[#This Row],[QT_CANA_EST]])</f>
        <v>3586.17</v>
      </c>
      <c r="AE458" s="1">
        <f>IF(ESTIMATIVA[[#This Row],[QT_AREA_REAL]]&gt;0,ESTIMATIVA[[#This Row],[QT_CANA_REAL]],ESTIMATIVA[[#This Row],[QT_CANA_REST1]])</f>
        <v>3586.17</v>
      </c>
      <c r="AF458" s="1">
        <f>IF(ESTIMATIVA[[#This Row],[QT_AREA_REAL]]&gt;0,ESTIMATIVA[[#This Row],[QT_CANA_REAL]],ESTIMATIVA[[#This Row],[QT_CANA_REST2]])</f>
        <v>3586.17</v>
      </c>
      <c r="AG458" s="1" t="str">
        <f>IF(COUNTIFS(GEADA!A:A,VALUE(ESTIMATIVA[[#This Row],[CD_UPNIVEL1]]&amp;TEXT(ESTIMATIVA[[#This Row],[CD_UPNIVEL3]],"0000")))&gt;0,"S","N")</f>
        <v>N</v>
      </c>
      <c r="AH45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58" s="55" t="str">
        <f>IF(ESTIMATIVA[[#This Row],[TP_CULTIVO]]="Irrigado",_xlfn.MAXIFS(IRRIGADO!J:J,IRRIGADO!C:C,ESTIMATIVA[[#This Row],[CD_UPNIVEL1]],IRRIGADO!E:E,ESTIMATIVA[[#This Row],[CD_UPNIVEL3]]),"")</f>
        <v/>
      </c>
      <c r="AJ45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58" s="1">
        <f>COUNTIFS(Apresentação!$E$23:$E$29,ESTIMATIVA[[#This Row],[CD_UPNIVEL1]])</f>
        <v>0</v>
      </c>
    </row>
    <row r="459" spans="1:37" x14ac:dyDescent="0.3">
      <c r="A459">
        <v>20314</v>
      </c>
      <c r="B459" t="s">
        <v>27</v>
      </c>
      <c r="C459">
        <v>386</v>
      </c>
      <c r="D459">
        <v>1</v>
      </c>
      <c r="E459" t="s">
        <v>264</v>
      </c>
      <c r="F459" s="85" t="s">
        <v>329</v>
      </c>
      <c r="G459"/>
      <c r="H459" t="s">
        <v>295</v>
      </c>
      <c r="I459" t="s">
        <v>200</v>
      </c>
      <c r="J459" t="s">
        <v>176</v>
      </c>
      <c r="K459" s="1">
        <v>22.48</v>
      </c>
      <c r="L459" s="1">
        <v>22.48</v>
      </c>
      <c r="M459" s="1">
        <v>0</v>
      </c>
      <c r="N459" s="1">
        <v>22.48</v>
      </c>
      <c r="O459" s="1">
        <v>2877.44</v>
      </c>
      <c r="P459" s="1">
        <v>2899.92</v>
      </c>
      <c r="Q459" s="1">
        <v>0</v>
      </c>
      <c r="R459" s="1">
        <v>3100</v>
      </c>
      <c r="S459" t="s">
        <v>12</v>
      </c>
      <c r="T459" s="13">
        <v>45914</v>
      </c>
      <c r="U459" s="1" t="str">
        <f>IF(ESTIMATIVA[[#This Row],[QT_AREA_REAL]]&gt;0,"1- Colhido","2- à Colher")</f>
        <v>1- Colhido</v>
      </c>
      <c r="V459" s="1" t="str">
        <f>IF(ESTIMATIVA[[#This Row],[QT_AREA_REST1]]&gt;0,"Reestimativa 1",IF(ESTIMATIVA[[#This Row],[QT_AREA_REAL]]=0,"Reestimativa 1","Realizado"))</f>
        <v>Reestimativa 1</v>
      </c>
      <c r="W459" s="1" t="str">
        <f>IF(ESTIMATIVA[[#This Row],[QT_AREA_REST2]]&gt;0,"Reestimativa 2",IF(ESTIMATIVA[[#This Row],[QT_AREA_REAL]]=0,"Reestimativa 2","Realizado"))</f>
        <v>Realizado</v>
      </c>
      <c r="X459" s="1">
        <f>ESTIMATIVA[[#This Row],[QT_AREA_EST]]</f>
        <v>22.48</v>
      </c>
      <c r="Y459" s="1">
        <f>IF(ESTIMATIVA[[#This Row],[QT_AREA_REST1]]&gt;0,ESTIMATIVA[[#This Row],[QT_AREA_REST1]],
  IF(ESTIMATIVA[[#This Row],[QT_AREA_REAL]]&gt;0,ESTIMATIVA[[#This Row],[QT_AREA_REAL]],ESTIMATIVA[[#This Row],[QT_AREA_EST]]))</f>
        <v>22.48</v>
      </c>
      <c r="Z45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22.48</v>
      </c>
      <c r="AA459" s="1">
        <f>ESTIMATIVA[[#This Row],[QT_CANA_EST]]</f>
        <v>2877.44</v>
      </c>
      <c r="AB459" s="1">
        <f>IF(ESTIMATIVA[[#This Row],[QT_CANA_REST1]]&gt;0,ESTIMATIVA[[#This Row],[QT_CANA_REST1]],
  IF(ESTIMATIVA[[#This Row],[QT_CANA_REAL]]&gt;0,ESTIMATIVA[[#This Row],[QT_CANA_REAL]],ESTIMATIVA[[#This Row],[QT_CANA_EST]]))</f>
        <v>2899.92</v>
      </c>
      <c r="AC45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3100</v>
      </c>
      <c r="AD459" s="1">
        <f>IF(ESTIMATIVA[[#This Row],[QT_AREA_REAL]]&gt;0,ESTIMATIVA[[#This Row],[QT_CANA_REAL]],ESTIMATIVA[[#This Row],[QT_CANA_EST]])</f>
        <v>3100</v>
      </c>
      <c r="AE459" s="1">
        <f>IF(ESTIMATIVA[[#This Row],[QT_AREA_REAL]]&gt;0,ESTIMATIVA[[#This Row],[QT_CANA_REAL]],ESTIMATIVA[[#This Row],[QT_CANA_REST1]])</f>
        <v>3100</v>
      </c>
      <c r="AF459" s="1">
        <f>IF(ESTIMATIVA[[#This Row],[QT_AREA_REAL]]&gt;0,ESTIMATIVA[[#This Row],[QT_CANA_REAL]],ESTIMATIVA[[#This Row],[QT_CANA_REST2]])</f>
        <v>3100</v>
      </c>
      <c r="AG459" s="1" t="str">
        <f>IF(COUNTIFS(GEADA!A:A,VALUE(ESTIMATIVA[[#This Row],[CD_UPNIVEL1]]&amp;TEXT(ESTIMATIVA[[#This Row],[CD_UPNIVEL3]],"0000")))&gt;0,"S","N")</f>
        <v>N</v>
      </c>
      <c r="AH45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59" s="55" t="str">
        <f>IF(ESTIMATIVA[[#This Row],[TP_CULTIVO]]="Irrigado",_xlfn.MAXIFS(IRRIGADO!J:J,IRRIGADO!C:C,ESTIMATIVA[[#This Row],[CD_UPNIVEL1]],IRRIGADO!E:E,ESTIMATIVA[[#This Row],[CD_UPNIVEL3]]),"")</f>
        <v/>
      </c>
      <c r="AJ45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59" s="1">
        <f>COUNTIFS(Apresentação!$E$23:$E$29,ESTIMATIVA[[#This Row],[CD_UPNIVEL1]])</f>
        <v>0</v>
      </c>
    </row>
    <row r="460" spans="1:37" x14ac:dyDescent="0.3">
      <c r="A460">
        <v>20314</v>
      </c>
      <c r="B460" t="s">
        <v>27</v>
      </c>
      <c r="C460">
        <v>387</v>
      </c>
      <c r="D460">
        <v>1</v>
      </c>
      <c r="E460" t="s">
        <v>264</v>
      </c>
      <c r="F460" s="85" t="s">
        <v>331</v>
      </c>
      <c r="G460"/>
      <c r="H460" t="s">
        <v>295</v>
      </c>
      <c r="I460" t="s">
        <v>200</v>
      </c>
      <c r="J460" t="s">
        <v>176</v>
      </c>
      <c r="K460" s="1">
        <v>19.55</v>
      </c>
      <c r="L460" s="1">
        <v>19.55</v>
      </c>
      <c r="M460" s="1">
        <v>0</v>
      </c>
      <c r="N460" s="1">
        <v>19.55</v>
      </c>
      <c r="O460" s="1">
        <v>2502.4</v>
      </c>
      <c r="P460" s="1">
        <v>2521.9499999999998</v>
      </c>
      <c r="Q460" s="1">
        <v>0</v>
      </c>
      <c r="R460" s="1">
        <v>2269.79</v>
      </c>
      <c r="S460" t="s">
        <v>12</v>
      </c>
      <c r="T460" s="13">
        <v>45914</v>
      </c>
      <c r="U460" s="1" t="str">
        <f>IF(ESTIMATIVA[[#This Row],[QT_AREA_REAL]]&gt;0,"1- Colhido","2- à Colher")</f>
        <v>1- Colhido</v>
      </c>
      <c r="V460" s="1" t="str">
        <f>IF(ESTIMATIVA[[#This Row],[QT_AREA_REST1]]&gt;0,"Reestimativa 1",IF(ESTIMATIVA[[#This Row],[QT_AREA_REAL]]=0,"Reestimativa 1","Realizado"))</f>
        <v>Reestimativa 1</v>
      </c>
      <c r="W460" s="1" t="str">
        <f>IF(ESTIMATIVA[[#This Row],[QT_AREA_REST2]]&gt;0,"Reestimativa 2",IF(ESTIMATIVA[[#This Row],[QT_AREA_REAL]]=0,"Reestimativa 2","Realizado"))</f>
        <v>Realizado</v>
      </c>
      <c r="X460" s="1">
        <f>ESTIMATIVA[[#This Row],[QT_AREA_EST]]</f>
        <v>19.55</v>
      </c>
      <c r="Y460" s="1">
        <f>IF(ESTIMATIVA[[#This Row],[QT_AREA_REST1]]&gt;0,ESTIMATIVA[[#This Row],[QT_AREA_REST1]],
  IF(ESTIMATIVA[[#This Row],[QT_AREA_REAL]]&gt;0,ESTIMATIVA[[#This Row],[QT_AREA_REAL]],ESTIMATIVA[[#This Row],[QT_AREA_EST]]))</f>
        <v>19.55</v>
      </c>
      <c r="Z46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19.55</v>
      </c>
      <c r="AA460" s="1">
        <f>ESTIMATIVA[[#This Row],[QT_CANA_EST]]</f>
        <v>2502.4</v>
      </c>
      <c r="AB460" s="1">
        <f>IF(ESTIMATIVA[[#This Row],[QT_CANA_REST1]]&gt;0,ESTIMATIVA[[#This Row],[QT_CANA_REST1]],
  IF(ESTIMATIVA[[#This Row],[QT_CANA_REAL]]&gt;0,ESTIMATIVA[[#This Row],[QT_CANA_REAL]],ESTIMATIVA[[#This Row],[QT_CANA_EST]]))</f>
        <v>2521.9499999999998</v>
      </c>
      <c r="AC46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2269.79</v>
      </c>
      <c r="AD460" s="1">
        <f>IF(ESTIMATIVA[[#This Row],[QT_AREA_REAL]]&gt;0,ESTIMATIVA[[#This Row],[QT_CANA_REAL]],ESTIMATIVA[[#This Row],[QT_CANA_EST]])</f>
        <v>2269.79</v>
      </c>
      <c r="AE460" s="1">
        <f>IF(ESTIMATIVA[[#This Row],[QT_AREA_REAL]]&gt;0,ESTIMATIVA[[#This Row],[QT_CANA_REAL]],ESTIMATIVA[[#This Row],[QT_CANA_REST1]])</f>
        <v>2269.79</v>
      </c>
      <c r="AF460" s="1">
        <f>IF(ESTIMATIVA[[#This Row],[QT_AREA_REAL]]&gt;0,ESTIMATIVA[[#This Row],[QT_CANA_REAL]],ESTIMATIVA[[#This Row],[QT_CANA_REST2]])</f>
        <v>2269.79</v>
      </c>
      <c r="AG460" s="1" t="str">
        <f>IF(COUNTIFS(GEADA!A:A,VALUE(ESTIMATIVA[[#This Row],[CD_UPNIVEL1]]&amp;TEXT(ESTIMATIVA[[#This Row],[CD_UPNIVEL3]],"0000")))&gt;0,"S","N")</f>
        <v>N</v>
      </c>
      <c r="AH46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60" s="55" t="str">
        <f>IF(ESTIMATIVA[[#This Row],[TP_CULTIVO]]="Irrigado",_xlfn.MAXIFS(IRRIGADO!J:J,IRRIGADO!C:C,ESTIMATIVA[[#This Row],[CD_UPNIVEL1]],IRRIGADO!E:E,ESTIMATIVA[[#This Row],[CD_UPNIVEL3]]),"")</f>
        <v/>
      </c>
      <c r="AJ46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60" s="1">
        <f>COUNTIFS(Apresentação!$E$23:$E$29,ESTIMATIVA[[#This Row],[CD_UPNIVEL1]])</f>
        <v>0</v>
      </c>
    </row>
    <row r="461" spans="1:37" x14ac:dyDescent="0.3">
      <c r="A461">
        <v>20314</v>
      </c>
      <c r="B461" t="s">
        <v>27</v>
      </c>
      <c r="C461">
        <v>388</v>
      </c>
      <c r="D461">
        <v>1</v>
      </c>
      <c r="E461" t="s">
        <v>264</v>
      </c>
      <c r="F461" s="85" t="s">
        <v>329</v>
      </c>
      <c r="G461"/>
      <c r="H461" t="s">
        <v>295</v>
      </c>
      <c r="I461" t="s">
        <v>212</v>
      </c>
      <c r="J461" t="s">
        <v>176</v>
      </c>
      <c r="K461" s="1">
        <v>14.36</v>
      </c>
      <c r="L461" s="1">
        <v>14.36</v>
      </c>
      <c r="M461" s="1">
        <v>0</v>
      </c>
      <c r="N461" s="1">
        <v>14.36</v>
      </c>
      <c r="O461" s="1">
        <v>1637.04</v>
      </c>
      <c r="P461" s="1">
        <v>1694.48</v>
      </c>
      <c r="Q461" s="1">
        <v>0</v>
      </c>
      <c r="R461" s="1">
        <v>1778.52</v>
      </c>
      <c r="S461" t="s">
        <v>12</v>
      </c>
      <c r="T461" s="13">
        <v>45921</v>
      </c>
      <c r="U461" s="1" t="str">
        <f>IF(ESTIMATIVA[[#This Row],[QT_AREA_REAL]]&gt;0,"1- Colhido","2- à Colher")</f>
        <v>1- Colhido</v>
      </c>
      <c r="V461" s="1" t="str">
        <f>IF(ESTIMATIVA[[#This Row],[QT_AREA_REST1]]&gt;0,"Reestimativa 1",IF(ESTIMATIVA[[#This Row],[QT_AREA_REAL]]=0,"Reestimativa 1","Realizado"))</f>
        <v>Reestimativa 1</v>
      </c>
      <c r="W461" s="1" t="str">
        <f>IF(ESTIMATIVA[[#This Row],[QT_AREA_REST2]]&gt;0,"Reestimativa 2",IF(ESTIMATIVA[[#This Row],[QT_AREA_REAL]]=0,"Reestimativa 2","Realizado"))</f>
        <v>Realizado</v>
      </c>
      <c r="X461" s="1">
        <f>ESTIMATIVA[[#This Row],[QT_AREA_EST]]</f>
        <v>14.36</v>
      </c>
      <c r="Y461" s="1">
        <f>IF(ESTIMATIVA[[#This Row],[QT_AREA_REST1]]&gt;0,ESTIMATIVA[[#This Row],[QT_AREA_REST1]],
  IF(ESTIMATIVA[[#This Row],[QT_AREA_REAL]]&gt;0,ESTIMATIVA[[#This Row],[QT_AREA_REAL]],ESTIMATIVA[[#This Row],[QT_AREA_EST]]))</f>
        <v>14.36</v>
      </c>
      <c r="Z46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14.36</v>
      </c>
      <c r="AA461" s="1">
        <f>ESTIMATIVA[[#This Row],[QT_CANA_EST]]</f>
        <v>1637.04</v>
      </c>
      <c r="AB461" s="1">
        <f>IF(ESTIMATIVA[[#This Row],[QT_CANA_REST1]]&gt;0,ESTIMATIVA[[#This Row],[QT_CANA_REST1]],
  IF(ESTIMATIVA[[#This Row],[QT_CANA_REAL]]&gt;0,ESTIMATIVA[[#This Row],[QT_CANA_REAL]],ESTIMATIVA[[#This Row],[QT_CANA_EST]]))</f>
        <v>1694.48</v>
      </c>
      <c r="AC46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1778.52</v>
      </c>
      <c r="AD461" s="1">
        <f>IF(ESTIMATIVA[[#This Row],[QT_AREA_REAL]]&gt;0,ESTIMATIVA[[#This Row],[QT_CANA_REAL]],ESTIMATIVA[[#This Row],[QT_CANA_EST]])</f>
        <v>1778.52</v>
      </c>
      <c r="AE461" s="1">
        <f>IF(ESTIMATIVA[[#This Row],[QT_AREA_REAL]]&gt;0,ESTIMATIVA[[#This Row],[QT_CANA_REAL]],ESTIMATIVA[[#This Row],[QT_CANA_REST1]])</f>
        <v>1778.52</v>
      </c>
      <c r="AF461" s="1">
        <f>IF(ESTIMATIVA[[#This Row],[QT_AREA_REAL]]&gt;0,ESTIMATIVA[[#This Row],[QT_CANA_REAL]],ESTIMATIVA[[#This Row],[QT_CANA_REST2]])</f>
        <v>1778.52</v>
      </c>
      <c r="AG461" s="1" t="str">
        <f>IF(COUNTIFS(GEADA!A:A,VALUE(ESTIMATIVA[[#This Row],[CD_UPNIVEL1]]&amp;TEXT(ESTIMATIVA[[#This Row],[CD_UPNIVEL3]],"0000")))&gt;0,"S","N")</f>
        <v>N</v>
      </c>
      <c r="AH461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461" s="55">
        <f>IF(ESTIMATIVA[[#This Row],[TP_CULTIVO]]="Irrigado",_xlfn.MAXIFS(IRRIGADO!J:J,IRRIGADO!C:C,ESTIMATIVA[[#This Row],[CD_UPNIVEL1]],IRRIGADO!E:E,ESTIMATIVA[[#This Row],[CD_UPNIVEL3]]),"")</f>
        <v>45504</v>
      </c>
      <c r="AJ461" s="1">
        <f>IF(ESTIMATIVA[[#This Row],[TP_CULTIVO]]&lt;&gt;"Irrigado",0,AVERAGEIFS(IRRIGADO!G:G,IRRIGADO!C:C,ESTIMATIVA[[#This Row],[CD_UPNIVEL1]],IRRIGADO!E:E,ESTIMATIVA[[#This Row],[CD_UPNIVEL3]])*ESTIMATIVA[[#This Row],[QT_AREA_REAL]])</f>
        <v>488.24</v>
      </c>
      <c r="AK461" s="1">
        <f>COUNTIFS(Apresentação!$E$23:$E$29,ESTIMATIVA[[#This Row],[CD_UPNIVEL1]])</f>
        <v>0</v>
      </c>
    </row>
    <row r="462" spans="1:37" x14ac:dyDescent="0.3">
      <c r="A462">
        <v>20314</v>
      </c>
      <c r="B462" t="s">
        <v>27</v>
      </c>
      <c r="C462">
        <v>389</v>
      </c>
      <c r="D462">
        <v>1</v>
      </c>
      <c r="E462" t="s">
        <v>264</v>
      </c>
      <c r="F462" s="85" t="s">
        <v>329</v>
      </c>
      <c r="G462"/>
      <c r="H462" t="s">
        <v>295</v>
      </c>
      <c r="I462" t="s">
        <v>212</v>
      </c>
      <c r="J462" t="s">
        <v>176</v>
      </c>
      <c r="K462" s="1">
        <v>22.92</v>
      </c>
      <c r="L462" s="1">
        <v>22.92</v>
      </c>
      <c r="M462" s="1">
        <v>0</v>
      </c>
      <c r="N462" s="1">
        <v>22.92</v>
      </c>
      <c r="O462" s="1">
        <v>2612.88</v>
      </c>
      <c r="P462" s="1">
        <v>2704.56</v>
      </c>
      <c r="Q462" s="1">
        <v>0</v>
      </c>
      <c r="R462" s="1">
        <v>2840.13</v>
      </c>
      <c r="S462" t="s">
        <v>12</v>
      </c>
      <c r="T462" s="13">
        <v>45921</v>
      </c>
      <c r="U462" s="1" t="str">
        <f>IF(ESTIMATIVA[[#This Row],[QT_AREA_REAL]]&gt;0,"1- Colhido","2- à Colher")</f>
        <v>1- Colhido</v>
      </c>
      <c r="V462" s="1" t="str">
        <f>IF(ESTIMATIVA[[#This Row],[QT_AREA_REST1]]&gt;0,"Reestimativa 1",IF(ESTIMATIVA[[#This Row],[QT_AREA_REAL]]=0,"Reestimativa 1","Realizado"))</f>
        <v>Reestimativa 1</v>
      </c>
      <c r="W462" s="1" t="str">
        <f>IF(ESTIMATIVA[[#This Row],[QT_AREA_REST2]]&gt;0,"Reestimativa 2",IF(ESTIMATIVA[[#This Row],[QT_AREA_REAL]]=0,"Reestimativa 2","Realizado"))</f>
        <v>Realizado</v>
      </c>
      <c r="X462" s="1">
        <f>ESTIMATIVA[[#This Row],[QT_AREA_EST]]</f>
        <v>22.92</v>
      </c>
      <c r="Y462" s="1">
        <f>IF(ESTIMATIVA[[#This Row],[QT_AREA_REST1]]&gt;0,ESTIMATIVA[[#This Row],[QT_AREA_REST1]],
  IF(ESTIMATIVA[[#This Row],[QT_AREA_REAL]]&gt;0,ESTIMATIVA[[#This Row],[QT_AREA_REAL]],ESTIMATIVA[[#This Row],[QT_AREA_EST]]))</f>
        <v>22.92</v>
      </c>
      <c r="Z46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22.92</v>
      </c>
      <c r="AA462" s="1">
        <f>ESTIMATIVA[[#This Row],[QT_CANA_EST]]</f>
        <v>2612.88</v>
      </c>
      <c r="AB462" s="1">
        <f>IF(ESTIMATIVA[[#This Row],[QT_CANA_REST1]]&gt;0,ESTIMATIVA[[#This Row],[QT_CANA_REST1]],
  IF(ESTIMATIVA[[#This Row],[QT_CANA_REAL]]&gt;0,ESTIMATIVA[[#This Row],[QT_CANA_REAL]],ESTIMATIVA[[#This Row],[QT_CANA_EST]]))</f>
        <v>2704.56</v>
      </c>
      <c r="AC46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2840.13</v>
      </c>
      <c r="AD462" s="1">
        <f>IF(ESTIMATIVA[[#This Row],[QT_AREA_REAL]]&gt;0,ESTIMATIVA[[#This Row],[QT_CANA_REAL]],ESTIMATIVA[[#This Row],[QT_CANA_EST]])</f>
        <v>2840.13</v>
      </c>
      <c r="AE462" s="1">
        <f>IF(ESTIMATIVA[[#This Row],[QT_AREA_REAL]]&gt;0,ESTIMATIVA[[#This Row],[QT_CANA_REAL]],ESTIMATIVA[[#This Row],[QT_CANA_REST1]])</f>
        <v>2840.13</v>
      </c>
      <c r="AF462" s="1">
        <f>IF(ESTIMATIVA[[#This Row],[QT_AREA_REAL]]&gt;0,ESTIMATIVA[[#This Row],[QT_CANA_REAL]],ESTIMATIVA[[#This Row],[QT_CANA_REST2]])</f>
        <v>2840.13</v>
      </c>
      <c r="AG462" s="1" t="str">
        <f>IF(COUNTIFS(GEADA!A:A,VALUE(ESTIMATIVA[[#This Row],[CD_UPNIVEL1]]&amp;TEXT(ESTIMATIVA[[#This Row],[CD_UPNIVEL3]],"0000")))&gt;0,"S","N")</f>
        <v>N</v>
      </c>
      <c r="AH462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462" s="55">
        <f>IF(ESTIMATIVA[[#This Row],[TP_CULTIVO]]="Irrigado",_xlfn.MAXIFS(IRRIGADO!J:J,IRRIGADO!C:C,ESTIMATIVA[[#This Row],[CD_UPNIVEL1]],IRRIGADO!E:E,ESTIMATIVA[[#This Row],[CD_UPNIVEL3]]),"")</f>
        <v>45504</v>
      </c>
      <c r="AJ462" s="1">
        <f>IF(ESTIMATIVA[[#This Row],[TP_CULTIVO]]&lt;&gt;"Irrigado",0,AVERAGEIFS(IRRIGADO!G:G,IRRIGADO!C:C,ESTIMATIVA[[#This Row],[CD_UPNIVEL1]],IRRIGADO!E:E,ESTIMATIVA[[#This Row],[CD_UPNIVEL3]])*ESTIMATIVA[[#This Row],[QT_AREA_REAL]])</f>
        <v>779.28000000000009</v>
      </c>
      <c r="AK462" s="1">
        <f>COUNTIFS(Apresentação!$E$23:$E$29,ESTIMATIVA[[#This Row],[CD_UPNIVEL1]])</f>
        <v>0</v>
      </c>
    </row>
    <row r="463" spans="1:37" x14ac:dyDescent="0.3">
      <c r="A463">
        <v>20314</v>
      </c>
      <c r="B463" t="s">
        <v>27</v>
      </c>
      <c r="C463">
        <v>390</v>
      </c>
      <c r="D463">
        <v>1</v>
      </c>
      <c r="E463" t="s">
        <v>264</v>
      </c>
      <c r="F463" s="85" t="s">
        <v>329</v>
      </c>
      <c r="G463"/>
      <c r="H463" t="s">
        <v>295</v>
      </c>
      <c r="I463" t="s">
        <v>200</v>
      </c>
      <c r="J463" t="s">
        <v>176</v>
      </c>
      <c r="K463" s="1">
        <v>15.17</v>
      </c>
      <c r="L463" s="1">
        <v>15.17</v>
      </c>
      <c r="M463" s="1">
        <v>0</v>
      </c>
      <c r="N463" s="1">
        <v>15.17</v>
      </c>
      <c r="O463" s="1">
        <v>1941.76</v>
      </c>
      <c r="P463" s="1">
        <v>1956.93</v>
      </c>
      <c r="Q463" s="1">
        <v>0</v>
      </c>
      <c r="R463" s="1">
        <v>1787.94</v>
      </c>
      <c r="S463" t="s">
        <v>12</v>
      </c>
      <c r="T463" s="13">
        <v>45921</v>
      </c>
      <c r="U463" s="1" t="str">
        <f>IF(ESTIMATIVA[[#This Row],[QT_AREA_REAL]]&gt;0,"1- Colhido","2- à Colher")</f>
        <v>1- Colhido</v>
      </c>
      <c r="V463" s="1" t="str">
        <f>IF(ESTIMATIVA[[#This Row],[QT_AREA_REST1]]&gt;0,"Reestimativa 1",IF(ESTIMATIVA[[#This Row],[QT_AREA_REAL]]=0,"Reestimativa 1","Realizado"))</f>
        <v>Reestimativa 1</v>
      </c>
      <c r="W463" s="1" t="str">
        <f>IF(ESTIMATIVA[[#This Row],[QT_AREA_REST2]]&gt;0,"Reestimativa 2",IF(ESTIMATIVA[[#This Row],[QT_AREA_REAL]]=0,"Reestimativa 2","Realizado"))</f>
        <v>Realizado</v>
      </c>
      <c r="X463" s="1">
        <f>ESTIMATIVA[[#This Row],[QT_AREA_EST]]</f>
        <v>15.17</v>
      </c>
      <c r="Y463" s="1">
        <f>IF(ESTIMATIVA[[#This Row],[QT_AREA_REST1]]&gt;0,ESTIMATIVA[[#This Row],[QT_AREA_REST1]],
  IF(ESTIMATIVA[[#This Row],[QT_AREA_REAL]]&gt;0,ESTIMATIVA[[#This Row],[QT_AREA_REAL]],ESTIMATIVA[[#This Row],[QT_AREA_EST]]))</f>
        <v>15.17</v>
      </c>
      <c r="Z46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15.17</v>
      </c>
      <c r="AA463" s="1">
        <f>ESTIMATIVA[[#This Row],[QT_CANA_EST]]</f>
        <v>1941.76</v>
      </c>
      <c r="AB463" s="1">
        <f>IF(ESTIMATIVA[[#This Row],[QT_CANA_REST1]]&gt;0,ESTIMATIVA[[#This Row],[QT_CANA_REST1]],
  IF(ESTIMATIVA[[#This Row],[QT_CANA_REAL]]&gt;0,ESTIMATIVA[[#This Row],[QT_CANA_REAL]],ESTIMATIVA[[#This Row],[QT_CANA_EST]]))</f>
        <v>1956.93</v>
      </c>
      <c r="AC46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1787.94</v>
      </c>
      <c r="AD463" s="1">
        <f>IF(ESTIMATIVA[[#This Row],[QT_AREA_REAL]]&gt;0,ESTIMATIVA[[#This Row],[QT_CANA_REAL]],ESTIMATIVA[[#This Row],[QT_CANA_EST]])</f>
        <v>1787.94</v>
      </c>
      <c r="AE463" s="1">
        <f>IF(ESTIMATIVA[[#This Row],[QT_AREA_REAL]]&gt;0,ESTIMATIVA[[#This Row],[QT_CANA_REAL]],ESTIMATIVA[[#This Row],[QT_CANA_REST1]])</f>
        <v>1787.94</v>
      </c>
      <c r="AF463" s="1">
        <f>IF(ESTIMATIVA[[#This Row],[QT_AREA_REAL]]&gt;0,ESTIMATIVA[[#This Row],[QT_CANA_REAL]],ESTIMATIVA[[#This Row],[QT_CANA_REST2]])</f>
        <v>1787.94</v>
      </c>
      <c r="AG463" s="1" t="str">
        <f>IF(COUNTIFS(GEADA!A:A,VALUE(ESTIMATIVA[[#This Row],[CD_UPNIVEL1]]&amp;TEXT(ESTIMATIVA[[#This Row],[CD_UPNIVEL3]],"0000")))&gt;0,"S","N")</f>
        <v>N</v>
      </c>
      <c r="AH46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63" s="55" t="str">
        <f>IF(ESTIMATIVA[[#This Row],[TP_CULTIVO]]="Irrigado",_xlfn.MAXIFS(IRRIGADO!J:J,IRRIGADO!C:C,ESTIMATIVA[[#This Row],[CD_UPNIVEL1]],IRRIGADO!E:E,ESTIMATIVA[[#This Row],[CD_UPNIVEL3]]),"")</f>
        <v/>
      </c>
      <c r="AJ46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63" s="1">
        <f>COUNTIFS(Apresentação!$E$23:$E$29,ESTIMATIVA[[#This Row],[CD_UPNIVEL1]])</f>
        <v>0</v>
      </c>
    </row>
    <row r="464" spans="1:37" x14ac:dyDescent="0.3">
      <c r="A464">
        <v>20314</v>
      </c>
      <c r="B464" t="s">
        <v>27</v>
      </c>
      <c r="C464">
        <v>391</v>
      </c>
      <c r="D464">
        <v>1</v>
      </c>
      <c r="E464" t="s">
        <v>264</v>
      </c>
      <c r="F464" s="85" t="s">
        <v>331</v>
      </c>
      <c r="G464"/>
      <c r="H464" t="s">
        <v>295</v>
      </c>
      <c r="I464" t="s">
        <v>200</v>
      </c>
      <c r="J464" t="s">
        <v>176</v>
      </c>
      <c r="K464" s="1">
        <v>26.42</v>
      </c>
      <c r="L464" s="1">
        <v>26.42</v>
      </c>
      <c r="M464" s="1">
        <v>0</v>
      </c>
      <c r="N464" s="1">
        <v>26.42</v>
      </c>
      <c r="O464" s="1">
        <v>3381.76</v>
      </c>
      <c r="P464" s="1">
        <v>3408.18</v>
      </c>
      <c r="Q464" s="1">
        <v>0</v>
      </c>
      <c r="R464" s="1">
        <v>3113.76</v>
      </c>
      <c r="S464" t="s">
        <v>12</v>
      </c>
      <c r="T464" s="13">
        <v>45921</v>
      </c>
      <c r="U464" s="1" t="str">
        <f>IF(ESTIMATIVA[[#This Row],[QT_AREA_REAL]]&gt;0,"1- Colhido","2- à Colher")</f>
        <v>1- Colhido</v>
      </c>
      <c r="V464" s="1" t="str">
        <f>IF(ESTIMATIVA[[#This Row],[QT_AREA_REST1]]&gt;0,"Reestimativa 1",IF(ESTIMATIVA[[#This Row],[QT_AREA_REAL]]=0,"Reestimativa 1","Realizado"))</f>
        <v>Reestimativa 1</v>
      </c>
      <c r="W464" s="1" t="str">
        <f>IF(ESTIMATIVA[[#This Row],[QT_AREA_REST2]]&gt;0,"Reestimativa 2",IF(ESTIMATIVA[[#This Row],[QT_AREA_REAL]]=0,"Reestimativa 2","Realizado"))</f>
        <v>Realizado</v>
      </c>
      <c r="X464" s="1">
        <f>ESTIMATIVA[[#This Row],[QT_AREA_EST]]</f>
        <v>26.42</v>
      </c>
      <c r="Y464" s="1">
        <f>IF(ESTIMATIVA[[#This Row],[QT_AREA_REST1]]&gt;0,ESTIMATIVA[[#This Row],[QT_AREA_REST1]],
  IF(ESTIMATIVA[[#This Row],[QT_AREA_REAL]]&gt;0,ESTIMATIVA[[#This Row],[QT_AREA_REAL]],ESTIMATIVA[[#This Row],[QT_AREA_EST]]))</f>
        <v>26.42</v>
      </c>
      <c r="Z46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26.42</v>
      </c>
      <c r="AA464" s="1">
        <f>ESTIMATIVA[[#This Row],[QT_CANA_EST]]</f>
        <v>3381.76</v>
      </c>
      <c r="AB464" s="1">
        <f>IF(ESTIMATIVA[[#This Row],[QT_CANA_REST1]]&gt;0,ESTIMATIVA[[#This Row],[QT_CANA_REST1]],
  IF(ESTIMATIVA[[#This Row],[QT_CANA_REAL]]&gt;0,ESTIMATIVA[[#This Row],[QT_CANA_REAL]],ESTIMATIVA[[#This Row],[QT_CANA_EST]]))</f>
        <v>3408.18</v>
      </c>
      <c r="AC46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3113.76</v>
      </c>
      <c r="AD464" s="1">
        <f>IF(ESTIMATIVA[[#This Row],[QT_AREA_REAL]]&gt;0,ESTIMATIVA[[#This Row],[QT_CANA_REAL]],ESTIMATIVA[[#This Row],[QT_CANA_EST]])</f>
        <v>3113.76</v>
      </c>
      <c r="AE464" s="1">
        <f>IF(ESTIMATIVA[[#This Row],[QT_AREA_REAL]]&gt;0,ESTIMATIVA[[#This Row],[QT_CANA_REAL]],ESTIMATIVA[[#This Row],[QT_CANA_REST1]])</f>
        <v>3113.76</v>
      </c>
      <c r="AF464" s="1">
        <f>IF(ESTIMATIVA[[#This Row],[QT_AREA_REAL]]&gt;0,ESTIMATIVA[[#This Row],[QT_CANA_REAL]],ESTIMATIVA[[#This Row],[QT_CANA_REST2]])</f>
        <v>3113.76</v>
      </c>
      <c r="AG464" s="1" t="str">
        <f>IF(COUNTIFS(GEADA!A:A,VALUE(ESTIMATIVA[[#This Row],[CD_UPNIVEL1]]&amp;TEXT(ESTIMATIVA[[#This Row],[CD_UPNIVEL3]],"0000")))&gt;0,"S","N")</f>
        <v>N</v>
      </c>
      <c r="AH46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64" s="55" t="str">
        <f>IF(ESTIMATIVA[[#This Row],[TP_CULTIVO]]="Irrigado",_xlfn.MAXIFS(IRRIGADO!J:J,IRRIGADO!C:C,ESTIMATIVA[[#This Row],[CD_UPNIVEL1]],IRRIGADO!E:E,ESTIMATIVA[[#This Row],[CD_UPNIVEL3]]),"")</f>
        <v/>
      </c>
      <c r="AJ46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64" s="1">
        <f>COUNTIFS(Apresentação!$E$23:$E$29,ESTIMATIVA[[#This Row],[CD_UPNIVEL1]])</f>
        <v>0</v>
      </c>
    </row>
    <row r="465" spans="1:37" x14ac:dyDescent="0.3">
      <c r="A465">
        <v>20314</v>
      </c>
      <c r="B465" t="s">
        <v>27</v>
      </c>
      <c r="C465">
        <v>392</v>
      </c>
      <c r="D465">
        <v>1</v>
      </c>
      <c r="E465" t="s">
        <v>264</v>
      </c>
      <c r="F465" s="85" t="s">
        <v>329</v>
      </c>
      <c r="G465"/>
      <c r="H465" t="s">
        <v>295</v>
      </c>
      <c r="I465" t="s">
        <v>200</v>
      </c>
      <c r="J465" t="s">
        <v>176</v>
      </c>
      <c r="K465" s="1">
        <v>24.88</v>
      </c>
      <c r="L465" s="1">
        <v>24.88</v>
      </c>
      <c r="M465" s="1">
        <v>0</v>
      </c>
      <c r="N465" s="1">
        <v>24.88</v>
      </c>
      <c r="O465" s="1">
        <v>3184.64</v>
      </c>
      <c r="P465" s="1">
        <v>3209.52</v>
      </c>
      <c r="Q465" s="1">
        <v>0</v>
      </c>
      <c r="R465" s="1">
        <v>2901.82</v>
      </c>
      <c r="S465" t="s">
        <v>12</v>
      </c>
      <c r="T465" s="13">
        <v>45928</v>
      </c>
      <c r="U465" s="1" t="str">
        <f>IF(ESTIMATIVA[[#This Row],[QT_AREA_REAL]]&gt;0,"1- Colhido","2- à Colher")</f>
        <v>1- Colhido</v>
      </c>
      <c r="V465" s="1" t="str">
        <f>IF(ESTIMATIVA[[#This Row],[QT_AREA_REST1]]&gt;0,"Reestimativa 1",IF(ESTIMATIVA[[#This Row],[QT_AREA_REAL]]=0,"Reestimativa 1","Realizado"))</f>
        <v>Reestimativa 1</v>
      </c>
      <c r="W465" s="1" t="str">
        <f>IF(ESTIMATIVA[[#This Row],[QT_AREA_REST2]]&gt;0,"Reestimativa 2",IF(ESTIMATIVA[[#This Row],[QT_AREA_REAL]]=0,"Reestimativa 2","Realizado"))</f>
        <v>Realizado</v>
      </c>
      <c r="X465" s="1">
        <f>ESTIMATIVA[[#This Row],[QT_AREA_EST]]</f>
        <v>24.88</v>
      </c>
      <c r="Y465" s="1">
        <f>IF(ESTIMATIVA[[#This Row],[QT_AREA_REST1]]&gt;0,ESTIMATIVA[[#This Row],[QT_AREA_REST1]],
  IF(ESTIMATIVA[[#This Row],[QT_AREA_REAL]]&gt;0,ESTIMATIVA[[#This Row],[QT_AREA_REAL]],ESTIMATIVA[[#This Row],[QT_AREA_EST]]))</f>
        <v>24.88</v>
      </c>
      <c r="Z46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24.88</v>
      </c>
      <c r="AA465" s="1">
        <f>ESTIMATIVA[[#This Row],[QT_CANA_EST]]</f>
        <v>3184.64</v>
      </c>
      <c r="AB465" s="1">
        <f>IF(ESTIMATIVA[[#This Row],[QT_CANA_REST1]]&gt;0,ESTIMATIVA[[#This Row],[QT_CANA_REST1]],
  IF(ESTIMATIVA[[#This Row],[QT_CANA_REAL]]&gt;0,ESTIMATIVA[[#This Row],[QT_CANA_REAL]],ESTIMATIVA[[#This Row],[QT_CANA_EST]]))</f>
        <v>3209.52</v>
      </c>
      <c r="AC46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2901.82</v>
      </c>
      <c r="AD465" s="1">
        <f>IF(ESTIMATIVA[[#This Row],[QT_AREA_REAL]]&gt;0,ESTIMATIVA[[#This Row],[QT_CANA_REAL]],ESTIMATIVA[[#This Row],[QT_CANA_EST]])</f>
        <v>2901.82</v>
      </c>
      <c r="AE465" s="1">
        <f>IF(ESTIMATIVA[[#This Row],[QT_AREA_REAL]]&gt;0,ESTIMATIVA[[#This Row],[QT_CANA_REAL]],ESTIMATIVA[[#This Row],[QT_CANA_REST1]])</f>
        <v>2901.82</v>
      </c>
      <c r="AF465" s="1">
        <f>IF(ESTIMATIVA[[#This Row],[QT_AREA_REAL]]&gt;0,ESTIMATIVA[[#This Row],[QT_CANA_REAL]],ESTIMATIVA[[#This Row],[QT_CANA_REST2]])</f>
        <v>2901.82</v>
      </c>
      <c r="AG465" s="1" t="str">
        <f>IF(COUNTIFS(GEADA!A:A,VALUE(ESTIMATIVA[[#This Row],[CD_UPNIVEL1]]&amp;TEXT(ESTIMATIVA[[#This Row],[CD_UPNIVEL3]],"0000")))&gt;0,"S","N")</f>
        <v>N</v>
      </c>
      <c r="AH465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465" s="55">
        <f>IF(ESTIMATIVA[[#This Row],[TP_CULTIVO]]="Irrigado",_xlfn.MAXIFS(IRRIGADO!J:J,IRRIGADO!C:C,ESTIMATIVA[[#This Row],[CD_UPNIVEL1]],IRRIGADO!E:E,ESTIMATIVA[[#This Row],[CD_UPNIVEL3]]),"")</f>
        <v>45504</v>
      </c>
      <c r="AJ465" s="1">
        <f>IF(ESTIMATIVA[[#This Row],[TP_CULTIVO]]&lt;&gt;"Irrigado",0,AVERAGEIFS(IRRIGADO!G:G,IRRIGADO!C:C,ESTIMATIVA[[#This Row],[CD_UPNIVEL1]],IRRIGADO!E:E,ESTIMATIVA[[#This Row],[CD_UPNIVEL3]])*ESTIMATIVA[[#This Row],[QT_AREA_REAL]])</f>
        <v>845.92</v>
      </c>
      <c r="AK465" s="1">
        <f>COUNTIFS(Apresentação!$E$23:$E$29,ESTIMATIVA[[#This Row],[CD_UPNIVEL1]])</f>
        <v>0</v>
      </c>
    </row>
    <row r="466" spans="1:37" x14ac:dyDescent="0.3">
      <c r="A466">
        <v>20314</v>
      </c>
      <c r="B466" t="s">
        <v>27</v>
      </c>
      <c r="C466">
        <v>393</v>
      </c>
      <c r="D466">
        <v>1</v>
      </c>
      <c r="E466" t="s">
        <v>264</v>
      </c>
      <c r="F466" s="85" t="s">
        <v>329</v>
      </c>
      <c r="G466"/>
      <c r="H466" t="s">
        <v>295</v>
      </c>
      <c r="I466" t="s">
        <v>200</v>
      </c>
      <c r="J466" t="s">
        <v>176</v>
      </c>
      <c r="K466" s="1">
        <v>21.33</v>
      </c>
      <c r="L466" s="1">
        <v>21.33</v>
      </c>
      <c r="M466" s="1">
        <v>0</v>
      </c>
      <c r="N466" s="1">
        <v>21.33</v>
      </c>
      <c r="O466" s="1">
        <v>2730.24</v>
      </c>
      <c r="P466" s="1">
        <v>2751.57</v>
      </c>
      <c r="Q466" s="1">
        <v>0</v>
      </c>
      <c r="R466" s="1">
        <v>2487.7800000000002</v>
      </c>
      <c r="S466" t="s">
        <v>12</v>
      </c>
      <c r="T466" s="13">
        <v>45928</v>
      </c>
      <c r="U466" s="1" t="str">
        <f>IF(ESTIMATIVA[[#This Row],[QT_AREA_REAL]]&gt;0,"1- Colhido","2- à Colher")</f>
        <v>1- Colhido</v>
      </c>
      <c r="V466" s="1" t="str">
        <f>IF(ESTIMATIVA[[#This Row],[QT_AREA_REST1]]&gt;0,"Reestimativa 1",IF(ESTIMATIVA[[#This Row],[QT_AREA_REAL]]=0,"Reestimativa 1","Realizado"))</f>
        <v>Reestimativa 1</v>
      </c>
      <c r="W466" s="1" t="str">
        <f>IF(ESTIMATIVA[[#This Row],[QT_AREA_REST2]]&gt;0,"Reestimativa 2",IF(ESTIMATIVA[[#This Row],[QT_AREA_REAL]]=0,"Reestimativa 2","Realizado"))</f>
        <v>Realizado</v>
      </c>
      <c r="X466" s="1">
        <f>ESTIMATIVA[[#This Row],[QT_AREA_EST]]</f>
        <v>21.33</v>
      </c>
      <c r="Y466" s="1">
        <f>IF(ESTIMATIVA[[#This Row],[QT_AREA_REST1]]&gt;0,ESTIMATIVA[[#This Row],[QT_AREA_REST1]],
  IF(ESTIMATIVA[[#This Row],[QT_AREA_REAL]]&gt;0,ESTIMATIVA[[#This Row],[QT_AREA_REAL]],ESTIMATIVA[[#This Row],[QT_AREA_EST]]))</f>
        <v>21.33</v>
      </c>
      <c r="Z46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21.33</v>
      </c>
      <c r="AA466" s="1">
        <f>ESTIMATIVA[[#This Row],[QT_CANA_EST]]</f>
        <v>2730.24</v>
      </c>
      <c r="AB466" s="1">
        <f>IF(ESTIMATIVA[[#This Row],[QT_CANA_REST1]]&gt;0,ESTIMATIVA[[#This Row],[QT_CANA_REST1]],
  IF(ESTIMATIVA[[#This Row],[QT_CANA_REAL]]&gt;0,ESTIMATIVA[[#This Row],[QT_CANA_REAL]],ESTIMATIVA[[#This Row],[QT_CANA_EST]]))</f>
        <v>2751.57</v>
      </c>
      <c r="AC46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2487.7800000000002</v>
      </c>
      <c r="AD466" s="1">
        <f>IF(ESTIMATIVA[[#This Row],[QT_AREA_REAL]]&gt;0,ESTIMATIVA[[#This Row],[QT_CANA_REAL]],ESTIMATIVA[[#This Row],[QT_CANA_EST]])</f>
        <v>2487.7800000000002</v>
      </c>
      <c r="AE466" s="1">
        <f>IF(ESTIMATIVA[[#This Row],[QT_AREA_REAL]]&gt;0,ESTIMATIVA[[#This Row],[QT_CANA_REAL]],ESTIMATIVA[[#This Row],[QT_CANA_REST1]])</f>
        <v>2487.7800000000002</v>
      </c>
      <c r="AF466" s="1">
        <f>IF(ESTIMATIVA[[#This Row],[QT_AREA_REAL]]&gt;0,ESTIMATIVA[[#This Row],[QT_CANA_REAL]],ESTIMATIVA[[#This Row],[QT_CANA_REST2]])</f>
        <v>2487.7800000000002</v>
      </c>
      <c r="AG466" s="1" t="str">
        <f>IF(COUNTIFS(GEADA!A:A,VALUE(ESTIMATIVA[[#This Row],[CD_UPNIVEL1]]&amp;TEXT(ESTIMATIVA[[#This Row],[CD_UPNIVEL3]],"0000")))&gt;0,"S","N")</f>
        <v>N</v>
      </c>
      <c r="AH46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66" s="55" t="str">
        <f>IF(ESTIMATIVA[[#This Row],[TP_CULTIVO]]="Irrigado",_xlfn.MAXIFS(IRRIGADO!J:J,IRRIGADO!C:C,ESTIMATIVA[[#This Row],[CD_UPNIVEL1]],IRRIGADO!E:E,ESTIMATIVA[[#This Row],[CD_UPNIVEL3]]),"")</f>
        <v/>
      </c>
      <c r="AJ46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66" s="1">
        <f>COUNTIFS(Apresentação!$E$23:$E$29,ESTIMATIVA[[#This Row],[CD_UPNIVEL1]])</f>
        <v>0</v>
      </c>
    </row>
    <row r="467" spans="1:37" x14ac:dyDescent="0.3">
      <c r="A467">
        <v>20314</v>
      </c>
      <c r="B467" t="s">
        <v>27</v>
      </c>
      <c r="C467">
        <v>394</v>
      </c>
      <c r="D467">
        <v>1</v>
      </c>
      <c r="E467" t="s">
        <v>264</v>
      </c>
      <c r="F467" s="85" t="s">
        <v>329</v>
      </c>
      <c r="G467"/>
      <c r="H467" t="s">
        <v>295</v>
      </c>
      <c r="I467" t="s">
        <v>212</v>
      </c>
      <c r="J467" t="s">
        <v>176</v>
      </c>
      <c r="K467" s="1">
        <v>7.61</v>
      </c>
      <c r="L467" s="1">
        <v>7.61</v>
      </c>
      <c r="M467" s="1">
        <v>0</v>
      </c>
      <c r="N467" s="1">
        <v>7.61</v>
      </c>
      <c r="O467" s="1">
        <v>936.03</v>
      </c>
      <c r="P467" s="1">
        <v>936.03</v>
      </c>
      <c r="Q467" s="1">
        <v>0</v>
      </c>
      <c r="R467" s="1">
        <v>846.05</v>
      </c>
      <c r="S467" t="s">
        <v>12</v>
      </c>
      <c r="T467" s="13">
        <v>45928</v>
      </c>
      <c r="U467" s="1" t="str">
        <f>IF(ESTIMATIVA[[#This Row],[QT_AREA_REAL]]&gt;0,"1- Colhido","2- à Colher")</f>
        <v>1- Colhido</v>
      </c>
      <c r="V467" s="1" t="str">
        <f>IF(ESTIMATIVA[[#This Row],[QT_AREA_REST1]]&gt;0,"Reestimativa 1",IF(ESTIMATIVA[[#This Row],[QT_AREA_REAL]]=0,"Reestimativa 1","Realizado"))</f>
        <v>Reestimativa 1</v>
      </c>
      <c r="W467" s="1" t="str">
        <f>IF(ESTIMATIVA[[#This Row],[QT_AREA_REST2]]&gt;0,"Reestimativa 2",IF(ESTIMATIVA[[#This Row],[QT_AREA_REAL]]=0,"Reestimativa 2","Realizado"))</f>
        <v>Realizado</v>
      </c>
      <c r="X467" s="1">
        <f>ESTIMATIVA[[#This Row],[QT_AREA_EST]]</f>
        <v>7.61</v>
      </c>
      <c r="Y467" s="1">
        <f>IF(ESTIMATIVA[[#This Row],[QT_AREA_REST1]]&gt;0,ESTIMATIVA[[#This Row],[QT_AREA_REST1]],
  IF(ESTIMATIVA[[#This Row],[QT_AREA_REAL]]&gt;0,ESTIMATIVA[[#This Row],[QT_AREA_REAL]],ESTIMATIVA[[#This Row],[QT_AREA_EST]]))</f>
        <v>7.61</v>
      </c>
      <c r="Z46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7.61</v>
      </c>
      <c r="AA467" s="1">
        <f>ESTIMATIVA[[#This Row],[QT_CANA_EST]]</f>
        <v>936.03</v>
      </c>
      <c r="AB467" s="1">
        <f>IF(ESTIMATIVA[[#This Row],[QT_CANA_REST1]]&gt;0,ESTIMATIVA[[#This Row],[QT_CANA_REST1]],
  IF(ESTIMATIVA[[#This Row],[QT_CANA_REAL]]&gt;0,ESTIMATIVA[[#This Row],[QT_CANA_REAL]],ESTIMATIVA[[#This Row],[QT_CANA_EST]]))</f>
        <v>936.03</v>
      </c>
      <c r="AC46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846.05</v>
      </c>
      <c r="AD467" s="1">
        <f>IF(ESTIMATIVA[[#This Row],[QT_AREA_REAL]]&gt;0,ESTIMATIVA[[#This Row],[QT_CANA_REAL]],ESTIMATIVA[[#This Row],[QT_CANA_EST]])</f>
        <v>846.05</v>
      </c>
      <c r="AE467" s="1">
        <f>IF(ESTIMATIVA[[#This Row],[QT_AREA_REAL]]&gt;0,ESTIMATIVA[[#This Row],[QT_CANA_REAL]],ESTIMATIVA[[#This Row],[QT_CANA_REST1]])</f>
        <v>846.05</v>
      </c>
      <c r="AF467" s="1">
        <f>IF(ESTIMATIVA[[#This Row],[QT_AREA_REAL]]&gt;0,ESTIMATIVA[[#This Row],[QT_CANA_REAL]],ESTIMATIVA[[#This Row],[QT_CANA_REST2]])</f>
        <v>846.05</v>
      </c>
      <c r="AG467" s="1" t="str">
        <f>IF(COUNTIFS(GEADA!A:A,VALUE(ESTIMATIVA[[#This Row],[CD_UPNIVEL1]]&amp;TEXT(ESTIMATIVA[[#This Row],[CD_UPNIVEL3]],"0000")))&gt;0,"S","N")</f>
        <v>N</v>
      </c>
      <c r="AH467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467" s="55">
        <f>IF(ESTIMATIVA[[#This Row],[TP_CULTIVO]]="Irrigado",_xlfn.MAXIFS(IRRIGADO!J:J,IRRIGADO!C:C,ESTIMATIVA[[#This Row],[CD_UPNIVEL1]],IRRIGADO!E:E,ESTIMATIVA[[#This Row],[CD_UPNIVEL3]]),"")</f>
        <v>45504</v>
      </c>
      <c r="AJ467" s="1">
        <f>IF(ESTIMATIVA[[#This Row],[TP_CULTIVO]]&lt;&gt;"Irrigado",0,AVERAGEIFS(IRRIGADO!G:G,IRRIGADO!C:C,ESTIMATIVA[[#This Row],[CD_UPNIVEL1]],IRRIGADO!E:E,ESTIMATIVA[[#This Row],[CD_UPNIVEL3]])*ESTIMATIVA[[#This Row],[QT_AREA_REAL]])</f>
        <v>258.74</v>
      </c>
      <c r="AK467" s="1">
        <f>COUNTIFS(Apresentação!$E$23:$E$29,ESTIMATIVA[[#This Row],[CD_UPNIVEL1]])</f>
        <v>0</v>
      </c>
    </row>
    <row r="468" spans="1:37" x14ac:dyDescent="0.3">
      <c r="A468">
        <v>20314</v>
      </c>
      <c r="B468" t="s">
        <v>27</v>
      </c>
      <c r="C468">
        <v>395</v>
      </c>
      <c r="D468">
        <v>1</v>
      </c>
      <c r="E468" t="s">
        <v>264</v>
      </c>
      <c r="F468" s="85" t="s">
        <v>331</v>
      </c>
      <c r="G468"/>
      <c r="H468" t="s">
        <v>295</v>
      </c>
      <c r="I468" t="s">
        <v>200</v>
      </c>
      <c r="J468" t="s">
        <v>176</v>
      </c>
      <c r="K468" s="1">
        <v>26</v>
      </c>
      <c r="L468" s="1">
        <v>26</v>
      </c>
      <c r="M468" s="1">
        <v>0</v>
      </c>
      <c r="N468" s="1">
        <v>26</v>
      </c>
      <c r="O468" s="1">
        <v>3328</v>
      </c>
      <c r="P468" s="1">
        <v>3380</v>
      </c>
      <c r="Q468" s="1">
        <v>0</v>
      </c>
      <c r="R468" s="1">
        <v>3056.07</v>
      </c>
      <c r="S468" t="s">
        <v>12</v>
      </c>
      <c r="T468" s="13">
        <v>45928</v>
      </c>
      <c r="U468" s="1" t="str">
        <f>IF(ESTIMATIVA[[#This Row],[QT_AREA_REAL]]&gt;0,"1- Colhido","2- à Colher")</f>
        <v>1- Colhido</v>
      </c>
      <c r="V468" s="1" t="str">
        <f>IF(ESTIMATIVA[[#This Row],[QT_AREA_REST1]]&gt;0,"Reestimativa 1",IF(ESTIMATIVA[[#This Row],[QT_AREA_REAL]]=0,"Reestimativa 1","Realizado"))</f>
        <v>Reestimativa 1</v>
      </c>
      <c r="W468" s="1" t="str">
        <f>IF(ESTIMATIVA[[#This Row],[QT_AREA_REST2]]&gt;0,"Reestimativa 2",IF(ESTIMATIVA[[#This Row],[QT_AREA_REAL]]=0,"Reestimativa 2","Realizado"))</f>
        <v>Realizado</v>
      </c>
      <c r="X468" s="1">
        <f>ESTIMATIVA[[#This Row],[QT_AREA_EST]]</f>
        <v>26</v>
      </c>
      <c r="Y468" s="1">
        <f>IF(ESTIMATIVA[[#This Row],[QT_AREA_REST1]]&gt;0,ESTIMATIVA[[#This Row],[QT_AREA_REST1]],
  IF(ESTIMATIVA[[#This Row],[QT_AREA_REAL]]&gt;0,ESTIMATIVA[[#This Row],[QT_AREA_REAL]],ESTIMATIVA[[#This Row],[QT_AREA_EST]]))</f>
        <v>26</v>
      </c>
      <c r="Z46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</v>
      </c>
      <c r="AA468" s="1">
        <f>ESTIMATIVA[[#This Row],[QT_CANA_EST]]</f>
        <v>3328</v>
      </c>
      <c r="AB468" s="1">
        <f>IF(ESTIMATIVA[[#This Row],[QT_CANA_REST1]]&gt;0,ESTIMATIVA[[#This Row],[QT_CANA_REST1]],
  IF(ESTIMATIVA[[#This Row],[QT_CANA_REAL]]&gt;0,ESTIMATIVA[[#This Row],[QT_CANA_REAL]],ESTIMATIVA[[#This Row],[QT_CANA_EST]]))</f>
        <v>3380</v>
      </c>
      <c r="AC46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3056.07</v>
      </c>
      <c r="AD468" s="1">
        <f>IF(ESTIMATIVA[[#This Row],[QT_AREA_REAL]]&gt;0,ESTIMATIVA[[#This Row],[QT_CANA_REAL]],ESTIMATIVA[[#This Row],[QT_CANA_EST]])</f>
        <v>3056.07</v>
      </c>
      <c r="AE468" s="1">
        <f>IF(ESTIMATIVA[[#This Row],[QT_AREA_REAL]]&gt;0,ESTIMATIVA[[#This Row],[QT_CANA_REAL]],ESTIMATIVA[[#This Row],[QT_CANA_REST1]])</f>
        <v>3056.07</v>
      </c>
      <c r="AF468" s="1">
        <f>IF(ESTIMATIVA[[#This Row],[QT_AREA_REAL]]&gt;0,ESTIMATIVA[[#This Row],[QT_CANA_REAL]],ESTIMATIVA[[#This Row],[QT_CANA_REST2]])</f>
        <v>3056.07</v>
      </c>
      <c r="AG468" s="1" t="str">
        <f>IF(COUNTIFS(GEADA!A:A,VALUE(ESTIMATIVA[[#This Row],[CD_UPNIVEL1]]&amp;TEXT(ESTIMATIVA[[#This Row],[CD_UPNIVEL3]],"0000")))&gt;0,"S","N")</f>
        <v>N</v>
      </c>
      <c r="AH46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68" s="55" t="str">
        <f>IF(ESTIMATIVA[[#This Row],[TP_CULTIVO]]="Irrigado",_xlfn.MAXIFS(IRRIGADO!J:J,IRRIGADO!C:C,ESTIMATIVA[[#This Row],[CD_UPNIVEL1]],IRRIGADO!E:E,ESTIMATIVA[[#This Row],[CD_UPNIVEL3]]),"")</f>
        <v/>
      </c>
      <c r="AJ46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68" s="1">
        <f>COUNTIFS(Apresentação!$E$23:$E$29,ESTIMATIVA[[#This Row],[CD_UPNIVEL1]])</f>
        <v>0</v>
      </c>
    </row>
    <row r="469" spans="1:37" x14ac:dyDescent="0.3">
      <c r="A469">
        <v>20314</v>
      </c>
      <c r="B469" t="s">
        <v>27</v>
      </c>
      <c r="C469">
        <v>396</v>
      </c>
      <c r="D469">
        <v>1</v>
      </c>
      <c r="E469" t="s">
        <v>264</v>
      </c>
      <c r="F469" s="85" t="s">
        <v>332</v>
      </c>
      <c r="G469"/>
      <c r="H469" t="s">
        <v>295</v>
      </c>
      <c r="I469" t="s">
        <v>200</v>
      </c>
      <c r="J469" t="s">
        <v>176</v>
      </c>
      <c r="K469" s="1">
        <v>18.05</v>
      </c>
      <c r="L469" s="1">
        <v>18.05</v>
      </c>
      <c r="M469" s="1">
        <v>18.05</v>
      </c>
      <c r="N469" s="1">
        <v>18.05</v>
      </c>
      <c r="O469" s="1">
        <v>2310.4</v>
      </c>
      <c r="P469" s="1">
        <v>2346.5</v>
      </c>
      <c r="Q469" s="1">
        <v>2346.5</v>
      </c>
      <c r="R469" s="1">
        <v>2721.98</v>
      </c>
      <c r="S469" t="s">
        <v>12</v>
      </c>
      <c r="T469" s="13">
        <v>45928</v>
      </c>
      <c r="U469" s="1" t="str">
        <f>IF(ESTIMATIVA[[#This Row],[QT_AREA_REAL]]&gt;0,"1- Colhido","2- à Colher")</f>
        <v>1- Colhido</v>
      </c>
      <c r="V469" s="1" t="str">
        <f>IF(ESTIMATIVA[[#This Row],[QT_AREA_REST1]]&gt;0,"Reestimativa 1",IF(ESTIMATIVA[[#This Row],[QT_AREA_REAL]]=0,"Reestimativa 1","Realizado"))</f>
        <v>Reestimativa 1</v>
      </c>
      <c r="W469" s="1" t="str">
        <f>IF(ESTIMATIVA[[#This Row],[QT_AREA_REST2]]&gt;0,"Reestimativa 2",IF(ESTIMATIVA[[#This Row],[QT_AREA_REAL]]=0,"Reestimativa 2","Realizado"))</f>
        <v>Reestimativa 2</v>
      </c>
      <c r="X469" s="1">
        <f>ESTIMATIVA[[#This Row],[QT_AREA_EST]]</f>
        <v>18.05</v>
      </c>
      <c r="Y469" s="1">
        <f>IF(ESTIMATIVA[[#This Row],[QT_AREA_REST1]]&gt;0,ESTIMATIVA[[#This Row],[QT_AREA_REST1]],
  IF(ESTIMATIVA[[#This Row],[QT_AREA_REAL]]&gt;0,ESTIMATIVA[[#This Row],[QT_AREA_REAL]],ESTIMATIVA[[#This Row],[QT_AREA_EST]]))</f>
        <v>18.05</v>
      </c>
      <c r="Z46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18.05</v>
      </c>
      <c r="AA469" s="1">
        <f>ESTIMATIVA[[#This Row],[QT_CANA_EST]]</f>
        <v>2310.4</v>
      </c>
      <c r="AB469" s="1">
        <f>IF(ESTIMATIVA[[#This Row],[QT_CANA_REST1]]&gt;0,ESTIMATIVA[[#This Row],[QT_CANA_REST1]],
  IF(ESTIMATIVA[[#This Row],[QT_CANA_REAL]]&gt;0,ESTIMATIVA[[#This Row],[QT_CANA_REAL]],ESTIMATIVA[[#This Row],[QT_CANA_EST]]))</f>
        <v>2346.5</v>
      </c>
      <c r="AC46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2346.5</v>
      </c>
      <c r="AD469" s="1">
        <f>IF(ESTIMATIVA[[#This Row],[QT_AREA_REAL]]&gt;0,ESTIMATIVA[[#This Row],[QT_CANA_REAL]],ESTIMATIVA[[#This Row],[QT_CANA_EST]])</f>
        <v>2721.98</v>
      </c>
      <c r="AE469" s="1">
        <f>IF(ESTIMATIVA[[#This Row],[QT_AREA_REAL]]&gt;0,ESTIMATIVA[[#This Row],[QT_CANA_REAL]],ESTIMATIVA[[#This Row],[QT_CANA_REST1]])</f>
        <v>2721.98</v>
      </c>
      <c r="AF469" s="1">
        <f>IF(ESTIMATIVA[[#This Row],[QT_AREA_REAL]]&gt;0,ESTIMATIVA[[#This Row],[QT_CANA_REAL]],ESTIMATIVA[[#This Row],[QT_CANA_REST2]])</f>
        <v>2721.98</v>
      </c>
      <c r="AG469" s="1" t="str">
        <f>IF(COUNTIFS(GEADA!A:A,VALUE(ESTIMATIVA[[#This Row],[CD_UPNIVEL1]]&amp;TEXT(ESTIMATIVA[[#This Row],[CD_UPNIVEL3]],"0000")))&gt;0,"S","N")</f>
        <v>N</v>
      </c>
      <c r="AH46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69" s="55" t="str">
        <f>IF(ESTIMATIVA[[#This Row],[TP_CULTIVO]]="Irrigado",_xlfn.MAXIFS(IRRIGADO!J:J,IRRIGADO!C:C,ESTIMATIVA[[#This Row],[CD_UPNIVEL1]],IRRIGADO!E:E,ESTIMATIVA[[#This Row],[CD_UPNIVEL3]]),"")</f>
        <v/>
      </c>
      <c r="AJ46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69" s="1">
        <f>COUNTIFS(Apresentação!$E$23:$E$29,ESTIMATIVA[[#This Row],[CD_UPNIVEL1]])</f>
        <v>0</v>
      </c>
    </row>
    <row r="470" spans="1:37" x14ac:dyDescent="0.3">
      <c r="A470">
        <v>20314</v>
      </c>
      <c r="B470" t="s">
        <v>27</v>
      </c>
      <c r="C470">
        <v>397</v>
      </c>
      <c r="D470">
        <v>1</v>
      </c>
      <c r="E470" t="s">
        <v>264</v>
      </c>
      <c r="F470" s="85" t="s">
        <v>330</v>
      </c>
      <c r="G470"/>
      <c r="H470" t="s">
        <v>295</v>
      </c>
      <c r="I470" t="s">
        <v>200</v>
      </c>
      <c r="J470" t="s">
        <v>176</v>
      </c>
      <c r="K470" s="1">
        <v>15.17</v>
      </c>
      <c r="L470" s="1">
        <v>15.17</v>
      </c>
      <c r="M470" s="1">
        <v>15.17</v>
      </c>
      <c r="N470" s="1">
        <v>15.17</v>
      </c>
      <c r="O470" s="1">
        <v>1820.4</v>
      </c>
      <c r="P470" s="1">
        <v>1881.08</v>
      </c>
      <c r="Q470" s="1">
        <v>1881.08</v>
      </c>
      <c r="R470" s="1">
        <v>2181.6799999999998</v>
      </c>
      <c r="S470" t="s">
        <v>12</v>
      </c>
      <c r="T470" s="13">
        <v>45928</v>
      </c>
      <c r="U470" s="1" t="str">
        <f>IF(ESTIMATIVA[[#This Row],[QT_AREA_REAL]]&gt;0,"1- Colhido","2- à Colher")</f>
        <v>1- Colhido</v>
      </c>
      <c r="V470" s="1" t="str">
        <f>IF(ESTIMATIVA[[#This Row],[QT_AREA_REST1]]&gt;0,"Reestimativa 1",IF(ESTIMATIVA[[#This Row],[QT_AREA_REAL]]=0,"Reestimativa 1","Realizado"))</f>
        <v>Reestimativa 1</v>
      </c>
      <c r="W470" s="1" t="str">
        <f>IF(ESTIMATIVA[[#This Row],[QT_AREA_REST2]]&gt;0,"Reestimativa 2",IF(ESTIMATIVA[[#This Row],[QT_AREA_REAL]]=0,"Reestimativa 2","Realizado"))</f>
        <v>Reestimativa 2</v>
      </c>
      <c r="X470" s="1">
        <f>ESTIMATIVA[[#This Row],[QT_AREA_EST]]</f>
        <v>15.17</v>
      </c>
      <c r="Y470" s="1">
        <f>IF(ESTIMATIVA[[#This Row],[QT_AREA_REST1]]&gt;0,ESTIMATIVA[[#This Row],[QT_AREA_REST1]],
  IF(ESTIMATIVA[[#This Row],[QT_AREA_REAL]]&gt;0,ESTIMATIVA[[#This Row],[QT_AREA_REAL]],ESTIMATIVA[[#This Row],[QT_AREA_EST]]))</f>
        <v>15.17</v>
      </c>
      <c r="Z47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15.17</v>
      </c>
      <c r="AA470" s="1">
        <f>ESTIMATIVA[[#This Row],[QT_CANA_EST]]</f>
        <v>1820.4</v>
      </c>
      <c r="AB470" s="1">
        <f>IF(ESTIMATIVA[[#This Row],[QT_CANA_REST1]]&gt;0,ESTIMATIVA[[#This Row],[QT_CANA_REST1]],
  IF(ESTIMATIVA[[#This Row],[QT_CANA_REAL]]&gt;0,ESTIMATIVA[[#This Row],[QT_CANA_REAL]],ESTIMATIVA[[#This Row],[QT_CANA_EST]]))</f>
        <v>1881.08</v>
      </c>
      <c r="AC47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1881.08</v>
      </c>
      <c r="AD470" s="1">
        <f>IF(ESTIMATIVA[[#This Row],[QT_AREA_REAL]]&gt;0,ESTIMATIVA[[#This Row],[QT_CANA_REAL]],ESTIMATIVA[[#This Row],[QT_CANA_EST]])</f>
        <v>2181.6799999999998</v>
      </c>
      <c r="AE470" s="1">
        <f>IF(ESTIMATIVA[[#This Row],[QT_AREA_REAL]]&gt;0,ESTIMATIVA[[#This Row],[QT_CANA_REAL]],ESTIMATIVA[[#This Row],[QT_CANA_REST1]])</f>
        <v>2181.6799999999998</v>
      </c>
      <c r="AF470" s="1">
        <f>IF(ESTIMATIVA[[#This Row],[QT_AREA_REAL]]&gt;0,ESTIMATIVA[[#This Row],[QT_CANA_REAL]],ESTIMATIVA[[#This Row],[QT_CANA_REST2]])</f>
        <v>2181.6799999999998</v>
      </c>
      <c r="AG470" s="1" t="str">
        <f>IF(COUNTIFS(GEADA!A:A,VALUE(ESTIMATIVA[[#This Row],[CD_UPNIVEL1]]&amp;TEXT(ESTIMATIVA[[#This Row],[CD_UPNIVEL3]],"0000")))&gt;0,"S","N")</f>
        <v>N</v>
      </c>
      <c r="AH47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70" s="55" t="str">
        <f>IF(ESTIMATIVA[[#This Row],[TP_CULTIVO]]="Irrigado",_xlfn.MAXIFS(IRRIGADO!J:J,IRRIGADO!C:C,ESTIMATIVA[[#This Row],[CD_UPNIVEL1]],IRRIGADO!E:E,ESTIMATIVA[[#This Row],[CD_UPNIVEL3]]),"")</f>
        <v/>
      </c>
      <c r="AJ47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70" s="1">
        <f>COUNTIFS(Apresentação!$E$23:$E$29,ESTIMATIVA[[#This Row],[CD_UPNIVEL1]])</f>
        <v>0</v>
      </c>
    </row>
    <row r="471" spans="1:37" x14ac:dyDescent="0.3">
      <c r="A471">
        <v>20314</v>
      </c>
      <c r="B471" t="s">
        <v>27</v>
      </c>
      <c r="C471">
        <v>398</v>
      </c>
      <c r="D471">
        <v>1</v>
      </c>
      <c r="E471" t="s">
        <v>264</v>
      </c>
      <c r="F471" s="85" t="s">
        <v>331</v>
      </c>
      <c r="G471"/>
      <c r="H471" t="s">
        <v>295</v>
      </c>
      <c r="I471" t="s">
        <v>200</v>
      </c>
      <c r="J471" t="s">
        <v>176</v>
      </c>
      <c r="K471" s="1">
        <v>22.92</v>
      </c>
      <c r="L471" s="1">
        <v>22.92</v>
      </c>
      <c r="M471" s="1">
        <v>22.92</v>
      </c>
      <c r="N471" s="1">
        <v>22.92</v>
      </c>
      <c r="O471" s="1">
        <v>2750.4</v>
      </c>
      <c r="P471" s="1">
        <v>2842.08</v>
      </c>
      <c r="Q471" s="1">
        <v>2842.08</v>
      </c>
      <c r="R471" s="1">
        <v>3033.86</v>
      </c>
      <c r="S471" t="s">
        <v>12</v>
      </c>
      <c r="T471" s="13">
        <v>45928</v>
      </c>
      <c r="U471" s="1" t="str">
        <f>IF(ESTIMATIVA[[#This Row],[QT_AREA_REAL]]&gt;0,"1- Colhido","2- à Colher")</f>
        <v>1- Colhido</v>
      </c>
      <c r="V471" s="1" t="str">
        <f>IF(ESTIMATIVA[[#This Row],[QT_AREA_REST1]]&gt;0,"Reestimativa 1",IF(ESTIMATIVA[[#This Row],[QT_AREA_REAL]]=0,"Reestimativa 1","Realizado"))</f>
        <v>Reestimativa 1</v>
      </c>
      <c r="W471" s="1" t="str">
        <f>IF(ESTIMATIVA[[#This Row],[QT_AREA_REST2]]&gt;0,"Reestimativa 2",IF(ESTIMATIVA[[#This Row],[QT_AREA_REAL]]=0,"Reestimativa 2","Realizado"))</f>
        <v>Reestimativa 2</v>
      </c>
      <c r="X471" s="1">
        <f>ESTIMATIVA[[#This Row],[QT_AREA_EST]]</f>
        <v>22.92</v>
      </c>
      <c r="Y471" s="1">
        <f>IF(ESTIMATIVA[[#This Row],[QT_AREA_REST1]]&gt;0,ESTIMATIVA[[#This Row],[QT_AREA_REST1]],
  IF(ESTIMATIVA[[#This Row],[QT_AREA_REAL]]&gt;0,ESTIMATIVA[[#This Row],[QT_AREA_REAL]],ESTIMATIVA[[#This Row],[QT_AREA_EST]]))</f>
        <v>22.92</v>
      </c>
      <c r="Z47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22.92</v>
      </c>
      <c r="AA471" s="1">
        <f>ESTIMATIVA[[#This Row],[QT_CANA_EST]]</f>
        <v>2750.4</v>
      </c>
      <c r="AB471" s="1">
        <f>IF(ESTIMATIVA[[#This Row],[QT_CANA_REST1]]&gt;0,ESTIMATIVA[[#This Row],[QT_CANA_REST1]],
  IF(ESTIMATIVA[[#This Row],[QT_CANA_REAL]]&gt;0,ESTIMATIVA[[#This Row],[QT_CANA_REAL]],ESTIMATIVA[[#This Row],[QT_CANA_EST]]))</f>
        <v>2842.08</v>
      </c>
      <c r="AC47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2842.08</v>
      </c>
      <c r="AD471" s="1">
        <f>IF(ESTIMATIVA[[#This Row],[QT_AREA_REAL]]&gt;0,ESTIMATIVA[[#This Row],[QT_CANA_REAL]],ESTIMATIVA[[#This Row],[QT_CANA_EST]])</f>
        <v>3033.86</v>
      </c>
      <c r="AE471" s="1">
        <f>IF(ESTIMATIVA[[#This Row],[QT_AREA_REAL]]&gt;0,ESTIMATIVA[[#This Row],[QT_CANA_REAL]],ESTIMATIVA[[#This Row],[QT_CANA_REST1]])</f>
        <v>3033.86</v>
      </c>
      <c r="AF471" s="1">
        <f>IF(ESTIMATIVA[[#This Row],[QT_AREA_REAL]]&gt;0,ESTIMATIVA[[#This Row],[QT_CANA_REAL]],ESTIMATIVA[[#This Row],[QT_CANA_REST2]])</f>
        <v>3033.86</v>
      </c>
      <c r="AG471" s="1" t="str">
        <f>IF(COUNTIFS(GEADA!A:A,VALUE(ESTIMATIVA[[#This Row],[CD_UPNIVEL1]]&amp;TEXT(ESTIMATIVA[[#This Row],[CD_UPNIVEL3]],"0000")))&gt;0,"S","N")</f>
        <v>N</v>
      </c>
      <c r="AH47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71" s="55" t="str">
        <f>IF(ESTIMATIVA[[#This Row],[TP_CULTIVO]]="Irrigado",_xlfn.MAXIFS(IRRIGADO!J:J,IRRIGADO!C:C,ESTIMATIVA[[#This Row],[CD_UPNIVEL1]],IRRIGADO!E:E,ESTIMATIVA[[#This Row],[CD_UPNIVEL3]]),"")</f>
        <v/>
      </c>
      <c r="AJ47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71" s="1">
        <f>COUNTIFS(Apresentação!$E$23:$E$29,ESTIMATIVA[[#This Row],[CD_UPNIVEL1]])</f>
        <v>0</v>
      </c>
    </row>
    <row r="472" spans="1:37" x14ac:dyDescent="0.3">
      <c r="A472">
        <v>20314</v>
      </c>
      <c r="B472" t="s">
        <v>27</v>
      </c>
      <c r="C472">
        <v>486</v>
      </c>
      <c r="D472">
        <v>2</v>
      </c>
      <c r="E472" t="s">
        <v>266</v>
      </c>
      <c r="F472" s="85" t="s">
        <v>332</v>
      </c>
      <c r="G472"/>
      <c r="H472" t="s">
        <v>295</v>
      </c>
      <c r="I472" t="s">
        <v>203</v>
      </c>
      <c r="J472" t="s">
        <v>176</v>
      </c>
      <c r="K472" s="1">
        <v>17.77</v>
      </c>
      <c r="L472" s="1">
        <v>17.77</v>
      </c>
      <c r="M472" s="1">
        <v>0</v>
      </c>
      <c r="N472" s="1">
        <v>17.77</v>
      </c>
      <c r="O472" s="1">
        <v>1599.3</v>
      </c>
      <c r="P472" s="1">
        <v>1688.15</v>
      </c>
      <c r="Q472" s="1">
        <v>0</v>
      </c>
      <c r="R472" s="1">
        <v>1819.82</v>
      </c>
      <c r="S472" t="s">
        <v>12</v>
      </c>
      <c r="T472" s="13">
        <v>45879</v>
      </c>
      <c r="U472" s="1" t="str">
        <f>IF(ESTIMATIVA[[#This Row],[QT_AREA_REAL]]&gt;0,"1- Colhido","2- à Colher")</f>
        <v>1- Colhido</v>
      </c>
      <c r="V472" s="1" t="str">
        <f>IF(ESTIMATIVA[[#This Row],[QT_AREA_REST1]]&gt;0,"Reestimativa 1",IF(ESTIMATIVA[[#This Row],[QT_AREA_REAL]]=0,"Reestimativa 1","Realizado"))</f>
        <v>Reestimativa 1</v>
      </c>
      <c r="W472" s="1" t="str">
        <f>IF(ESTIMATIVA[[#This Row],[QT_AREA_REST2]]&gt;0,"Reestimativa 2",IF(ESTIMATIVA[[#This Row],[QT_AREA_REAL]]=0,"Reestimativa 2","Realizado"))</f>
        <v>Realizado</v>
      </c>
      <c r="X472" s="1">
        <f>ESTIMATIVA[[#This Row],[QT_AREA_EST]]</f>
        <v>17.77</v>
      </c>
      <c r="Y472" s="1">
        <f>IF(ESTIMATIVA[[#This Row],[QT_AREA_REST1]]&gt;0,ESTIMATIVA[[#This Row],[QT_AREA_REST1]],
  IF(ESTIMATIVA[[#This Row],[QT_AREA_REAL]]&gt;0,ESTIMATIVA[[#This Row],[QT_AREA_REAL]],ESTIMATIVA[[#This Row],[QT_AREA_EST]]))</f>
        <v>17.77</v>
      </c>
      <c r="Z47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17.77</v>
      </c>
      <c r="AA472" s="1">
        <f>ESTIMATIVA[[#This Row],[QT_CANA_EST]]</f>
        <v>1599.3</v>
      </c>
      <c r="AB472" s="1">
        <f>IF(ESTIMATIVA[[#This Row],[QT_CANA_REST1]]&gt;0,ESTIMATIVA[[#This Row],[QT_CANA_REST1]],
  IF(ESTIMATIVA[[#This Row],[QT_CANA_REAL]]&gt;0,ESTIMATIVA[[#This Row],[QT_CANA_REAL]],ESTIMATIVA[[#This Row],[QT_CANA_EST]]))</f>
        <v>1688.15</v>
      </c>
      <c r="AC47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1819.82</v>
      </c>
      <c r="AD472" s="1">
        <f>IF(ESTIMATIVA[[#This Row],[QT_AREA_REAL]]&gt;0,ESTIMATIVA[[#This Row],[QT_CANA_REAL]],ESTIMATIVA[[#This Row],[QT_CANA_EST]])</f>
        <v>1819.82</v>
      </c>
      <c r="AE472" s="1">
        <f>IF(ESTIMATIVA[[#This Row],[QT_AREA_REAL]]&gt;0,ESTIMATIVA[[#This Row],[QT_CANA_REAL]],ESTIMATIVA[[#This Row],[QT_CANA_REST1]])</f>
        <v>1819.82</v>
      </c>
      <c r="AF472" s="1">
        <f>IF(ESTIMATIVA[[#This Row],[QT_AREA_REAL]]&gt;0,ESTIMATIVA[[#This Row],[QT_CANA_REAL]],ESTIMATIVA[[#This Row],[QT_CANA_REST2]])</f>
        <v>1819.82</v>
      </c>
      <c r="AG472" s="1" t="str">
        <f>IF(COUNTIFS(GEADA!A:A,VALUE(ESTIMATIVA[[#This Row],[CD_UPNIVEL1]]&amp;TEXT(ESTIMATIVA[[#This Row],[CD_UPNIVEL3]],"0000")))&gt;0,"S","N")</f>
        <v>N</v>
      </c>
      <c r="AH47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72" s="55" t="str">
        <f>IF(ESTIMATIVA[[#This Row],[TP_CULTIVO]]="Irrigado",_xlfn.MAXIFS(IRRIGADO!J:J,IRRIGADO!C:C,ESTIMATIVA[[#This Row],[CD_UPNIVEL1]],IRRIGADO!E:E,ESTIMATIVA[[#This Row],[CD_UPNIVEL3]]),"")</f>
        <v/>
      </c>
      <c r="AJ47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72" s="1">
        <f>COUNTIFS(Apresentação!$E$23:$E$29,ESTIMATIVA[[#This Row],[CD_UPNIVEL1]])</f>
        <v>0</v>
      </c>
    </row>
    <row r="473" spans="1:37" x14ac:dyDescent="0.3">
      <c r="A473">
        <v>20314</v>
      </c>
      <c r="B473" t="s">
        <v>27</v>
      </c>
      <c r="C473">
        <v>487</v>
      </c>
      <c r="D473">
        <v>2</v>
      </c>
      <c r="E473" t="s">
        <v>266</v>
      </c>
      <c r="F473" s="85" t="s">
        <v>332</v>
      </c>
      <c r="G473"/>
      <c r="H473" t="s">
        <v>295</v>
      </c>
      <c r="I473" t="s">
        <v>203</v>
      </c>
      <c r="J473" t="s">
        <v>176</v>
      </c>
      <c r="K473" s="1">
        <v>22.79</v>
      </c>
      <c r="L473" s="1">
        <v>22.79</v>
      </c>
      <c r="M473" s="1">
        <v>0</v>
      </c>
      <c r="N473" s="1">
        <v>22.79</v>
      </c>
      <c r="O473" s="1">
        <v>2051.1</v>
      </c>
      <c r="P473" s="1">
        <v>2165.0500000000002</v>
      </c>
      <c r="Q473" s="1">
        <v>0</v>
      </c>
      <c r="R473" s="1">
        <v>2334.21</v>
      </c>
      <c r="S473" t="s">
        <v>12</v>
      </c>
      <c r="T473" s="13">
        <v>45879</v>
      </c>
      <c r="U473" s="1" t="str">
        <f>IF(ESTIMATIVA[[#This Row],[QT_AREA_REAL]]&gt;0,"1- Colhido","2- à Colher")</f>
        <v>1- Colhido</v>
      </c>
      <c r="V473" s="1" t="str">
        <f>IF(ESTIMATIVA[[#This Row],[QT_AREA_REST1]]&gt;0,"Reestimativa 1",IF(ESTIMATIVA[[#This Row],[QT_AREA_REAL]]=0,"Reestimativa 1","Realizado"))</f>
        <v>Reestimativa 1</v>
      </c>
      <c r="W473" s="1" t="str">
        <f>IF(ESTIMATIVA[[#This Row],[QT_AREA_REST2]]&gt;0,"Reestimativa 2",IF(ESTIMATIVA[[#This Row],[QT_AREA_REAL]]=0,"Reestimativa 2","Realizado"))</f>
        <v>Realizado</v>
      </c>
      <c r="X473" s="1">
        <f>ESTIMATIVA[[#This Row],[QT_AREA_EST]]</f>
        <v>22.79</v>
      </c>
      <c r="Y473" s="1">
        <f>IF(ESTIMATIVA[[#This Row],[QT_AREA_REST1]]&gt;0,ESTIMATIVA[[#This Row],[QT_AREA_REST1]],
  IF(ESTIMATIVA[[#This Row],[QT_AREA_REAL]]&gt;0,ESTIMATIVA[[#This Row],[QT_AREA_REAL]],ESTIMATIVA[[#This Row],[QT_AREA_EST]]))</f>
        <v>22.79</v>
      </c>
      <c r="Z47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22.79</v>
      </c>
      <c r="AA473" s="1">
        <f>ESTIMATIVA[[#This Row],[QT_CANA_EST]]</f>
        <v>2051.1</v>
      </c>
      <c r="AB473" s="1">
        <f>IF(ESTIMATIVA[[#This Row],[QT_CANA_REST1]]&gt;0,ESTIMATIVA[[#This Row],[QT_CANA_REST1]],
  IF(ESTIMATIVA[[#This Row],[QT_CANA_REAL]]&gt;0,ESTIMATIVA[[#This Row],[QT_CANA_REAL]],ESTIMATIVA[[#This Row],[QT_CANA_EST]]))</f>
        <v>2165.0500000000002</v>
      </c>
      <c r="AC47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2334.21</v>
      </c>
      <c r="AD473" s="1">
        <f>IF(ESTIMATIVA[[#This Row],[QT_AREA_REAL]]&gt;0,ESTIMATIVA[[#This Row],[QT_CANA_REAL]],ESTIMATIVA[[#This Row],[QT_CANA_EST]])</f>
        <v>2334.21</v>
      </c>
      <c r="AE473" s="1">
        <f>IF(ESTIMATIVA[[#This Row],[QT_AREA_REAL]]&gt;0,ESTIMATIVA[[#This Row],[QT_CANA_REAL]],ESTIMATIVA[[#This Row],[QT_CANA_REST1]])</f>
        <v>2334.21</v>
      </c>
      <c r="AF473" s="1">
        <f>IF(ESTIMATIVA[[#This Row],[QT_AREA_REAL]]&gt;0,ESTIMATIVA[[#This Row],[QT_CANA_REAL]],ESTIMATIVA[[#This Row],[QT_CANA_REST2]])</f>
        <v>2334.21</v>
      </c>
      <c r="AG473" s="1" t="str">
        <f>IF(COUNTIFS(GEADA!A:A,VALUE(ESTIMATIVA[[#This Row],[CD_UPNIVEL1]]&amp;TEXT(ESTIMATIVA[[#This Row],[CD_UPNIVEL3]],"0000")))&gt;0,"S","N")</f>
        <v>N</v>
      </c>
      <c r="AH47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73" s="55" t="str">
        <f>IF(ESTIMATIVA[[#This Row],[TP_CULTIVO]]="Irrigado",_xlfn.MAXIFS(IRRIGADO!J:J,IRRIGADO!C:C,ESTIMATIVA[[#This Row],[CD_UPNIVEL1]],IRRIGADO!E:E,ESTIMATIVA[[#This Row],[CD_UPNIVEL3]]),"")</f>
        <v/>
      </c>
      <c r="AJ47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73" s="1">
        <f>COUNTIFS(Apresentação!$E$23:$E$29,ESTIMATIVA[[#This Row],[CD_UPNIVEL1]])</f>
        <v>0</v>
      </c>
    </row>
    <row r="474" spans="1:37" x14ac:dyDescent="0.3">
      <c r="A474">
        <v>20314</v>
      </c>
      <c r="B474" t="s">
        <v>27</v>
      </c>
      <c r="C474">
        <v>500</v>
      </c>
      <c r="D474">
        <v>2</v>
      </c>
      <c r="E474" t="s">
        <v>266</v>
      </c>
      <c r="F474" s="85" t="s">
        <v>332</v>
      </c>
      <c r="G474"/>
      <c r="H474" t="s">
        <v>295</v>
      </c>
      <c r="I474" t="s">
        <v>210</v>
      </c>
      <c r="J474" t="s">
        <v>176</v>
      </c>
      <c r="K474" s="1">
        <v>17.8</v>
      </c>
      <c r="L474" s="1">
        <v>17.8</v>
      </c>
      <c r="M474" s="1">
        <v>0</v>
      </c>
      <c r="N474" s="1">
        <v>17.8</v>
      </c>
      <c r="O474" s="1">
        <v>1726.6</v>
      </c>
      <c r="P474" s="1">
        <v>1744.4</v>
      </c>
      <c r="Q474" s="1">
        <v>0</v>
      </c>
      <c r="R474" s="1">
        <v>1680.27</v>
      </c>
      <c r="S474" t="s">
        <v>12</v>
      </c>
      <c r="T474" s="13">
        <v>45872</v>
      </c>
      <c r="U474" s="1" t="str">
        <f>IF(ESTIMATIVA[[#This Row],[QT_AREA_REAL]]&gt;0,"1- Colhido","2- à Colher")</f>
        <v>1- Colhido</v>
      </c>
      <c r="V474" s="1" t="str">
        <f>IF(ESTIMATIVA[[#This Row],[QT_AREA_REST1]]&gt;0,"Reestimativa 1",IF(ESTIMATIVA[[#This Row],[QT_AREA_REAL]]=0,"Reestimativa 1","Realizado"))</f>
        <v>Reestimativa 1</v>
      </c>
      <c r="W474" s="1" t="str">
        <f>IF(ESTIMATIVA[[#This Row],[QT_AREA_REST2]]&gt;0,"Reestimativa 2",IF(ESTIMATIVA[[#This Row],[QT_AREA_REAL]]=0,"Reestimativa 2","Realizado"))</f>
        <v>Realizado</v>
      </c>
      <c r="X474" s="1">
        <f>ESTIMATIVA[[#This Row],[QT_AREA_EST]]</f>
        <v>17.8</v>
      </c>
      <c r="Y474" s="1">
        <f>IF(ESTIMATIVA[[#This Row],[QT_AREA_REST1]]&gt;0,ESTIMATIVA[[#This Row],[QT_AREA_REST1]],
  IF(ESTIMATIVA[[#This Row],[QT_AREA_REAL]]&gt;0,ESTIMATIVA[[#This Row],[QT_AREA_REAL]],ESTIMATIVA[[#This Row],[QT_AREA_EST]]))</f>
        <v>17.8</v>
      </c>
      <c r="Z47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17.8</v>
      </c>
      <c r="AA474" s="1">
        <f>ESTIMATIVA[[#This Row],[QT_CANA_EST]]</f>
        <v>1726.6</v>
      </c>
      <c r="AB474" s="1">
        <f>IF(ESTIMATIVA[[#This Row],[QT_CANA_REST1]]&gt;0,ESTIMATIVA[[#This Row],[QT_CANA_REST1]],
  IF(ESTIMATIVA[[#This Row],[QT_CANA_REAL]]&gt;0,ESTIMATIVA[[#This Row],[QT_CANA_REAL]],ESTIMATIVA[[#This Row],[QT_CANA_EST]]))</f>
        <v>1744.4</v>
      </c>
      <c r="AC47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1680.27</v>
      </c>
      <c r="AD474" s="1">
        <f>IF(ESTIMATIVA[[#This Row],[QT_AREA_REAL]]&gt;0,ESTIMATIVA[[#This Row],[QT_CANA_REAL]],ESTIMATIVA[[#This Row],[QT_CANA_EST]])</f>
        <v>1680.27</v>
      </c>
      <c r="AE474" s="1">
        <f>IF(ESTIMATIVA[[#This Row],[QT_AREA_REAL]]&gt;0,ESTIMATIVA[[#This Row],[QT_CANA_REAL]],ESTIMATIVA[[#This Row],[QT_CANA_REST1]])</f>
        <v>1680.27</v>
      </c>
      <c r="AF474" s="1">
        <f>IF(ESTIMATIVA[[#This Row],[QT_AREA_REAL]]&gt;0,ESTIMATIVA[[#This Row],[QT_CANA_REAL]],ESTIMATIVA[[#This Row],[QT_CANA_REST2]])</f>
        <v>1680.27</v>
      </c>
      <c r="AG474" s="1" t="str">
        <f>IF(COUNTIFS(GEADA!A:A,VALUE(ESTIMATIVA[[#This Row],[CD_UPNIVEL1]]&amp;TEXT(ESTIMATIVA[[#This Row],[CD_UPNIVEL3]],"0000")))&gt;0,"S","N")</f>
        <v>N</v>
      </c>
      <c r="AH47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74" s="55" t="str">
        <f>IF(ESTIMATIVA[[#This Row],[TP_CULTIVO]]="Irrigado",_xlfn.MAXIFS(IRRIGADO!J:J,IRRIGADO!C:C,ESTIMATIVA[[#This Row],[CD_UPNIVEL1]],IRRIGADO!E:E,ESTIMATIVA[[#This Row],[CD_UPNIVEL3]]),"")</f>
        <v/>
      </c>
      <c r="AJ47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74" s="1">
        <f>COUNTIFS(Apresentação!$E$23:$E$29,ESTIMATIVA[[#This Row],[CD_UPNIVEL1]])</f>
        <v>0</v>
      </c>
    </row>
    <row r="475" spans="1:37" x14ac:dyDescent="0.3">
      <c r="A475">
        <v>20314</v>
      </c>
      <c r="B475" t="s">
        <v>27</v>
      </c>
      <c r="C475">
        <v>501</v>
      </c>
      <c r="D475">
        <v>2</v>
      </c>
      <c r="E475" t="s">
        <v>266</v>
      </c>
      <c r="F475" s="85" t="s">
        <v>330</v>
      </c>
      <c r="G475"/>
      <c r="H475" t="s">
        <v>295</v>
      </c>
      <c r="I475" t="s">
        <v>210</v>
      </c>
      <c r="J475" t="s">
        <v>176</v>
      </c>
      <c r="K475" s="1">
        <v>26</v>
      </c>
      <c r="L475" s="1">
        <v>26</v>
      </c>
      <c r="M475" s="1">
        <v>0</v>
      </c>
      <c r="N475" s="1">
        <v>26</v>
      </c>
      <c r="O475" s="1">
        <v>2522</v>
      </c>
      <c r="P475" s="1">
        <v>2548</v>
      </c>
      <c r="Q475" s="1">
        <v>0</v>
      </c>
      <c r="R475" s="1">
        <v>2507.5500000000002</v>
      </c>
      <c r="S475" t="s">
        <v>12</v>
      </c>
      <c r="T475" s="13">
        <v>45872</v>
      </c>
      <c r="U475" s="1" t="str">
        <f>IF(ESTIMATIVA[[#This Row],[QT_AREA_REAL]]&gt;0,"1- Colhido","2- à Colher")</f>
        <v>1- Colhido</v>
      </c>
      <c r="V475" s="1" t="str">
        <f>IF(ESTIMATIVA[[#This Row],[QT_AREA_REST1]]&gt;0,"Reestimativa 1",IF(ESTIMATIVA[[#This Row],[QT_AREA_REAL]]=0,"Reestimativa 1","Realizado"))</f>
        <v>Reestimativa 1</v>
      </c>
      <c r="W475" s="1" t="str">
        <f>IF(ESTIMATIVA[[#This Row],[QT_AREA_REST2]]&gt;0,"Reestimativa 2",IF(ESTIMATIVA[[#This Row],[QT_AREA_REAL]]=0,"Reestimativa 2","Realizado"))</f>
        <v>Realizado</v>
      </c>
      <c r="X475" s="1">
        <f>ESTIMATIVA[[#This Row],[QT_AREA_EST]]</f>
        <v>26</v>
      </c>
      <c r="Y475" s="1">
        <f>IF(ESTIMATIVA[[#This Row],[QT_AREA_REST1]]&gt;0,ESTIMATIVA[[#This Row],[QT_AREA_REST1]],
  IF(ESTIMATIVA[[#This Row],[QT_AREA_REAL]]&gt;0,ESTIMATIVA[[#This Row],[QT_AREA_REAL]],ESTIMATIVA[[#This Row],[QT_AREA_EST]]))</f>
        <v>26</v>
      </c>
      <c r="Z47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</v>
      </c>
      <c r="AA475" s="1">
        <f>ESTIMATIVA[[#This Row],[QT_CANA_EST]]</f>
        <v>2522</v>
      </c>
      <c r="AB475" s="1">
        <f>IF(ESTIMATIVA[[#This Row],[QT_CANA_REST1]]&gt;0,ESTIMATIVA[[#This Row],[QT_CANA_REST1]],
  IF(ESTIMATIVA[[#This Row],[QT_CANA_REAL]]&gt;0,ESTIMATIVA[[#This Row],[QT_CANA_REAL]],ESTIMATIVA[[#This Row],[QT_CANA_EST]]))</f>
        <v>2548</v>
      </c>
      <c r="AC47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2507.5500000000002</v>
      </c>
      <c r="AD475" s="1">
        <f>IF(ESTIMATIVA[[#This Row],[QT_AREA_REAL]]&gt;0,ESTIMATIVA[[#This Row],[QT_CANA_REAL]],ESTIMATIVA[[#This Row],[QT_CANA_EST]])</f>
        <v>2507.5500000000002</v>
      </c>
      <c r="AE475" s="1">
        <f>IF(ESTIMATIVA[[#This Row],[QT_AREA_REAL]]&gt;0,ESTIMATIVA[[#This Row],[QT_CANA_REAL]],ESTIMATIVA[[#This Row],[QT_CANA_REST1]])</f>
        <v>2507.5500000000002</v>
      </c>
      <c r="AF475" s="1">
        <f>IF(ESTIMATIVA[[#This Row],[QT_AREA_REAL]]&gt;0,ESTIMATIVA[[#This Row],[QT_CANA_REAL]],ESTIMATIVA[[#This Row],[QT_CANA_REST2]])</f>
        <v>2507.5500000000002</v>
      </c>
      <c r="AG475" s="1" t="str">
        <f>IF(COUNTIFS(GEADA!A:A,VALUE(ESTIMATIVA[[#This Row],[CD_UPNIVEL1]]&amp;TEXT(ESTIMATIVA[[#This Row],[CD_UPNIVEL3]],"0000")))&gt;0,"S","N")</f>
        <v>N</v>
      </c>
      <c r="AH475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475" s="55">
        <f>IF(ESTIMATIVA[[#This Row],[TP_CULTIVO]]="Irrigado",_xlfn.MAXIFS(IRRIGADO!J:J,IRRIGADO!C:C,ESTIMATIVA[[#This Row],[CD_UPNIVEL1]],IRRIGADO!E:E,ESTIMATIVA[[#This Row],[CD_UPNIVEL3]]),"")</f>
        <v>45565</v>
      </c>
      <c r="AJ475" s="1">
        <f>IF(ESTIMATIVA[[#This Row],[TP_CULTIVO]]&lt;&gt;"Irrigado",0,AVERAGEIFS(IRRIGADO!G:G,IRRIGADO!C:C,ESTIMATIVA[[#This Row],[CD_UPNIVEL1]],IRRIGADO!E:E,ESTIMATIVA[[#This Row],[CD_UPNIVEL3]])*ESTIMATIVA[[#This Row],[QT_AREA_REAL]])</f>
        <v>884</v>
      </c>
      <c r="AK475" s="1">
        <f>COUNTIFS(Apresentação!$E$23:$E$29,ESTIMATIVA[[#This Row],[CD_UPNIVEL1]])</f>
        <v>0</v>
      </c>
    </row>
    <row r="476" spans="1:37" x14ac:dyDescent="0.3">
      <c r="A476">
        <v>20314</v>
      </c>
      <c r="B476" t="s">
        <v>27</v>
      </c>
      <c r="C476">
        <v>502</v>
      </c>
      <c r="D476">
        <v>2</v>
      </c>
      <c r="E476" t="s">
        <v>266</v>
      </c>
      <c r="F476" s="85" t="s">
        <v>330</v>
      </c>
      <c r="G476"/>
      <c r="H476" t="s">
        <v>295</v>
      </c>
      <c r="I476" t="s">
        <v>211</v>
      </c>
      <c r="J476" t="s">
        <v>176</v>
      </c>
      <c r="K476" s="1">
        <v>23.84</v>
      </c>
      <c r="L476" s="1">
        <v>23.84</v>
      </c>
      <c r="M476" s="1">
        <v>0</v>
      </c>
      <c r="N476" s="1">
        <v>23.84</v>
      </c>
      <c r="O476" s="1">
        <v>2312.48</v>
      </c>
      <c r="P476" s="1">
        <v>2336.3200000000002</v>
      </c>
      <c r="Q476" s="1">
        <v>0</v>
      </c>
      <c r="R476" s="1">
        <v>2450.8000000000002</v>
      </c>
      <c r="S476" t="s">
        <v>12</v>
      </c>
      <c r="T476" s="13">
        <v>45879</v>
      </c>
      <c r="U476" s="1" t="str">
        <f>IF(ESTIMATIVA[[#This Row],[QT_AREA_REAL]]&gt;0,"1- Colhido","2- à Colher")</f>
        <v>1- Colhido</v>
      </c>
      <c r="V476" s="1" t="str">
        <f>IF(ESTIMATIVA[[#This Row],[QT_AREA_REST1]]&gt;0,"Reestimativa 1",IF(ESTIMATIVA[[#This Row],[QT_AREA_REAL]]=0,"Reestimativa 1","Realizado"))</f>
        <v>Reestimativa 1</v>
      </c>
      <c r="W476" s="1" t="str">
        <f>IF(ESTIMATIVA[[#This Row],[QT_AREA_REST2]]&gt;0,"Reestimativa 2",IF(ESTIMATIVA[[#This Row],[QT_AREA_REAL]]=0,"Reestimativa 2","Realizado"))</f>
        <v>Realizado</v>
      </c>
      <c r="X476" s="1">
        <f>ESTIMATIVA[[#This Row],[QT_AREA_EST]]</f>
        <v>23.84</v>
      </c>
      <c r="Y476" s="1">
        <f>IF(ESTIMATIVA[[#This Row],[QT_AREA_REST1]]&gt;0,ESTIMATIVA[[#This Row],[QT_AREA_REST1]],
  IF(ESTIMATIVA[[#This Row],[QT_AREA_REAL]]&gt;0,ESTIMATIVA[[#This Row],[QT_AREA_REAL]],ESTIMATIVA[[#This Row],[QT_AREA_EST]]))</f>
        <v>23.84</v>
      </c>
      <c r="Z47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23.84</v>
      </c>
      <c r="AA476" s="1">
        <f>ESTIMATIVA[[#This Row],[QT_CANA_EST]]</f>
        <v>2312.48</v>
      </c>
      <c r="AB476" s="1">
        <f>IF(ESTIMATIVA[[#This Row],[QT_CANA_REST1]]&gt;0,ESTIMATIVA[[#This Row],[QT_CANA_REST1]],
  IF(ESTIMATIVA[[#This Row],[QT_CANA_REAL]]&gt;0,ESTIMATIVA[[#This Row],[QT_CANA_REAL]],ESTIMATIVA[[#This Row],[QT_CANA_EST]]))</f>
        <v>2336.3200000000002</v>
      </c>
      <c r="AC47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2450.8000000000002</v>
      </c>
      <c r="AD476" s="1">
        <f>IF(ESTIMATIVA[[#This Row],[QT_AREA_REAL]]&gt;0,ESTIMATIVA[[#This Row],[QT_CANA_REAL]],ESTIMATIVA[[#This Row],[QT_CANA_EST]])</f>
        <v>2450.8000000000002</v>
      </c>
      <c r="AE476" s="1">
        <f>IF(ESTIMATIVA[[#This Row],[QT_AREA_REAL]]&gt;0,ESTIMATIVA[[#This Row],[QT_CANA_REAL]],ESTIMATIVA[[#This Row],[QT_CANA_REST1]])</f>
        <v>2450.8000000000002</v>
      </c>
      <c r="AF476" s="1">
        <f>IF(ESTIMATIVA[[#This Row],[QT_AREA_REAL]]&gt;0,ESTIMATIVA[[#This Row],[QT_CANA_REAL]],ESTIMATIVA[[#This Row],[QT_CANA_REST2]])</f>
        <v>2450.8000000000002</v>
      </c>
      <c r="AG476" s="1" t="str">
        <f>IF(COUNTIFS(GEADA!A:A,VALUE(ESTIMATIVA[[#This Row],[CD_UPNIVEL1]]&amp;TEXT(ESTIMATIVA[[#This Row],[CD_UPNIVEL3]],"0000")))&gt;0,"S","N")</f>
        <v>N</v>
      </c>
      <c r="AH476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476" s="55">
        <f>IF(ESTIMATIVA[[#This Row],[TP_CULTIVO]]="Irrigado",_xlfn.MAXIFS(IRRIGADO!J:J,IRRIGADO!C:C,ESTIMATIVA[[#This Row],[CD_UPNIVEL1]],IRRIGADO!E:E,ESTIMATIVA[[#This Row],[CD_UPNIVEL3]]),"")</f>
        <v>45535</v>
      </c>
      <c r="AJ476" s="1">
        <f>IF(ESTIMATIVA[[#This Row],[TP_CULTIVO]]&lt;&gt;"Irrigado",0,AVERAGEIFS(IRRIGADO!G:G,IRRIGADO!C:C,ESTIMATIVA[[#This Row],[CD_UPNIVEL1]],IRRIGADO!E:E,ESTIMATIVA[[#This Row],[CD_UPNIVEL3]])*ESTIMATIVA[[#This Row],[QT_AREA_REAL]])</f>
        <v>810.56</v>
      </c>
      <c r="AK476" s="1">
        <f>COUNTIFS(Apresentação!$E$23:$E$29,ESTIMATIVA[[#This Row],[CD_UPNIVEL1]])</f>
        <v>0</v>
      </c>
    </row>
    <row r="477" spans="1:37" x14ac:dyDescent="0.3">
      <c r="A477">
        <v>20314</v>
      </c>
      <c r="B477" t="s">
        <v>27</v>
      </c>
      <c r="C477">
        <v>503</v>
      </c>
      <c r="D477">
        <v>2</v>
      </c>
      <c r="E477" t="s">
        <v>266</v>
      </c>
      <c r="F477" s="85" t="s">
        <v>330</v>
      </c>
      <c r="G477"/>
      <c r="H477" t="s">
        <v>295</v>
      </c>
      <c r="I477" t="s">
        <v>210</v>
      </c>
      <c r="J477" t="s">
        <v>176</v>
      </c>
      <c r="K477" s="1">
        <v>28.93</v>
      </c>
      <c r="L477" s="1">
        <v>28.93</v>
      </c>
      <c r="M477" s="1">
        <v>0</v>
      </c>
      <c r="N477" s="1">
        <v>28.93</v>
      </c>
      <c r="O477" s="1">
        <v>2806.21</v>
      </c>
      <c r="P477" s="1">
        <v>2835.14</v>
      </c>
      <c r="Q477" s="1">
        <v>0</v>
      </c>
      <c r="R477" s="1">
        <v>2790.01</v>
      </c>
      <c r="S477" t="s">
        <v>12</v>
      </c>
      <c r="T477" s="13">
        <v>45872</v>
      </c>
      <c r="U477" s="1" t="str">
        <f>IF(ESTIMATIVA[[#This Row],[QT_AREA_REAL]]&gt;0,"1- Colhido","2- à Colher")</f>
        <v>1- Colhido</v>
      </c>
      <c r="V477" s="1" t="str">
        <f>IF(ESTIMATIVA[[#This Row],[QT_AREA_REST1]]&gt;0,"Reestimativa 1",IF(ESTIMATIVA[[#This Row],[QT_AREA_REAL]]=0,"Reestimativa 1","Realizado"))</f>
        <v>Reestimativa 1</v>
      </c>
      <c r="W477" s="1" t="str">
        <f>IF(ESTIMATIVA[[#This Row],[QT_AREA_REST2]]&gt;0,"Reestimativa 2",IF(ESTIMATIVA[[#This Row],[QT_AREA_REAL]]=0,"Reestimativa 2","Realizado"))</f>
        <v>Realizado</v>
      </c>
      <c r="X477" s="1">
        <f>ESTIMATIVA[[#This Row],[QT_AREA_EST]]</f>
        <v>28.93</v>
      </c>
      <c r="Y477" s="1">
        <f>IF(ESTIMATIVA[[#This Row],[QT_AREA_REST1]]&gt;0,ESTIMATIVA[[#This Row],[QT_AREA_REST1]],
  IF(ESTIMATIVA[[#This Row],[QT_AREA_REAL]]&gt;0,ESTIMATIVA[[#This Row],[QT_AREA_REAL]],ESTIMATIVA[[#This Row],[QT_AREA_EST]]))</f>
        <v>28.93</v>
      </c>
      <c r="Z47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28.93</v>
      </c>
      <c r="AA477" s="1">
        <f>ESTIMATIVA[[#This Row],[QT_CANA_EST]]</f>
        <v>2806.21</v>
      </c>
      <c r="AB477" s="1">
        <f>IF(ESTIMATIVA[[#This Row],[QT_CANA_REST1]]&gt;0,ESTIMATIVA[[#This Row],[QT_CANA_REST1]],
  IF(ESTIMATIVA[[#This Row],[QT_CANA_REAL]]&gt;0,ESTIMATIVA[[#This Row],[QT_CANA_REAL]],ESTIMATIVA[[#This Row],[QT_CANA_EST]]))</f>
        <v>2835.14</v>
      </c>
      <c r="AC47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2790.01</v>
      </c>
      <c r="AD477" s="1">
        <f>IF(ESTIMATIVA[[#This Row],[QT_AREA_REAL]]&gt;0,ESTIMATIVA[[#This Row],[QT_CANA_REAL]],ESTIMATIVA[[#This Row],[QT_CANA_EST]])</f>
        <v>2790.01</v>
      </c>
      <c r="AE477" s="1">
        <f>IF(ESTIMATIVA[[#This Row],[QT_AREA_REAL]]&gt;0,ESTIMATIVA[[#This Row],[QT_CANA_REAL]],ESTIMATIVA[[#This Row],[QT_CANA_REST1]])</f>
        <v>2790.01</v>
      </c>
      <c r="AF477" s="1">
        <f>IF(ESTIMATIVA[[#This Row],[QT_AREA_REAL]]&gt;0,ESTIMATIVA[[#This Row],[QT_CANA_REAL]],ESTIMATIVA[[#This Row],[QT_CANA_REST2]])</f>
        <v>2790.01</v>
      </c>
      <c r="AG477" s="1" t="str">
        <f>IF(COUNTIFS(GEADA!A:A,VALUE(ESTIMATIVA[[#This Row],[CD_UPNIVEL1]]&amp;TEXT(ESTIMATIVA[[#This Row],[CD_UPNIVEL3]],"0000")))&gt;0,"S","N")</f>
        <v>N</v>
      </c>
      <c r="AH477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477" s="55">
        <f>IF(ESTIMATIVA[[#This Row],[TP_CULTIVO]]="Irrigado",_xlfn.MAXIFS(IRRIGADO!J:J,IRRIGADO!C:C,ESTIMATIVA[[#This Row],[CD_UPNIVEL1]],IRRIGADO!E:E,ESTIMATIVA[[#This Row],[CD_UPNIVEL3]]),"")</f>
        <v>45535</v>
      </c>
      <c r="AJ477" s="1">
        <f>IF(ESTIMATIVA[[#This Row],[TP_CULTIVO]]&lt;&gt;"Irrigado",0,AVERAGEIFS(IRRIGADO!G:G,IRRIGADO!C:C,ESTIMATIVA[[#This Row],[CD_UPNIVEL1]],IRRIGADO!E:E,ESTIMATIVA[[#This Row],[CD_UPNIVEL3]])*ESTIMATIVA[[#This Row],[QT_AREA_REAL]])</f>
        <v>983.62</v>
      </c>
      <c r="AK477" s="1">
        <f>COUNTIFS(Apresentação!$E$23:$E$29,ESTIMATIVA[[#This Row],[CD_UPNIVEL1]])</f>
        <v>0</v>
      </c>
    </row>
    <row r="478" spans="1:37" x14ac:dyDescent="0.3">
      <c r="A478">
        <v>20314</v>
      </c>
      <c r="B478" t="s">
        <v>27</v>
      </c>
      <c r="C478">
        <v>504</v>
      </c>
      <c r="D478">
        <v>2</v>
      </c>
      <c r="E478" t="s">
        <v>266</v>
      </c>
      <c r="F478" s="85" t="s">
        <v>332</v>
      </c>
      <c r="G478"/>
      <c r="H478" t="s">
        <v>295</v>
      </c>
      <c r="I478" t="s">
        <v>210</v>
      </c>
      <c r="J478" t="s">
        <v>176</v>
      </c>
      <c r="K478" s="1">
        <v>30.27</v>
      </c>
      <c r="L478" s="1">
        <v>30.27</v>
      </c>
      <c r="M478" s="1">
        <v>0</v>
      </c>
      <c r="N478" s="1">
        <v>30.27</v>
      </c>
      <c r="O478" s="1">
        <v>2936.19</v>
      </c>
      <c r="P478" s="1">
        <v>2966.46</v>
      </c>
      <c r="Q478" s="1">
        <v>0</v>
      </c>
      <c r="R478" s="1">
        <v>2857.66</v>
      </c>
      <c r="S478" t="s">
        <v>12</v>
      </c>
      <c r="T478" s="13">
        <v>45872</v>
      </c>
      <c r="U478" s="1" t="str">
        <f>IF(ESTIMATIVA[[#This Row],[QT_AREA_REAL]]&gt;0,"1- Colhido","2- à Colher")</f>
        <v>1- Colhido</v>
      </c>
      <c r="V478" s="1" t="str">
        <f>IF(ESTIMATIVA[[#This Row],[QT_AREA_REST1]]&gt;0,"Reestimativa 1",IF(ESTIMATIVA[[#This Row],[QT_AREA_REAL]]=0,"Reestimativa 1","Realizado"))</f>
        <v>Reestimativa 1</v>
      </c>
      <c r="W478" s="1" t="str">
        <f>IF(ESTIMATIVA[[#This Row],[QT_AREA_REST2]]&gt;0,"Reestimativa 2",IF(ESTIMATIVA[[#This Row],[QT_AREA_REAL]]=0,"Reestimativa 2","Realizado"))</f>
        <v>Realizado</v>
      </c>
      <c r="X478" s="1">
        <f>ESTIMATIVA[[#This Row],[QT_AREA_EST]]</f>
        <v>30.27</v>
      </c>
      <c r="Y478" s="1">
        <f>IF(ESTIMATIVA[[#This Row],[QT_AREA_REST1]]&gt;0,ESTIMATIVA[[#This Row],[QT_AREA_REST1]],
  IF(ESTIMATIVA[[#This Row],[QT_AREA_REAL]]&gt;0,ESTIMATIVA[[#This Row],[QT_AREA_REAL]],ESTIMATIVA[[#This Row],[QT_AREA_EST]]))</f>
        <v>30.27</v>
      </c>
      <c r="Z47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30.27</v>
      </c>
      <c r="AA478" s="1">
        <f>ESTIMATIVA[[#This Row],[QT_CANA_EST]]</f>
        <v>2936.19</v>
      </c>
      <c r="AB478" s="1">
        <f>IF(ESTIMATIVA[[#This Row],[QT_CANA_REST1]]&gt;0,ESTIMATIVA[[#This Row],[QT_CANA_REST1]],
  IF(ESTIMATIVA[[#This Row],[QT_CANA_REAL]]&gt;0,ESTIMATIVA[[#This Row],[QT_CANA_REAL]],ESTIMATIVA[[#This Row],[QT_CANA_EST]]))</f>
        <v>2966.46</v>
      </c>
      <c r="AC47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2857.66</v>
      </c>
      <c r="AD478" s="1">
        <f>IF(ESTIMATIVA[[#This Row],[QT_AREA_REAL]]&gt;0,ESTIMATIVA[[#This Row],[QT_CANA_REAL]],ESTIMATIVA[[#This Row],[QT_CANA_EST]])</f>
        <v>2857.66</v>
      </c>
      <c r="AE478" s="1">
        <f>IF(ESTIMATIVA[[#This Row],[QT_AREA_REAL]]&gt;0,ESTIMATIVA[[#This Row],[QT_CANA_REAL]],ESTIMATIVA[[#This Row],[QT_CANA_REST1]])</f>
        <v>2857.66</v>
      </c>
      <c r="AF478" s="1">
        <f>IF(ESTIMATIVA[[#This Row],[QT_AREA_REAL]]&gt;0,ESTIMATIVA[[#This Row],[QT_CANA_REAL]],ESTIMATIVA[[#This Row],[QT_CANA_REST2]])</f>
        <v>2857.66</v>
      </c>
      <c r="AG478" s="1" t="str">
        <f>IF(COUNTIFS(GEADA!A:A,VALUE(ESTIMATIVA[[#This Row],[CD_UPNIVEL1]]&amp;TEXT(ESTIMATIVA[[#This Row],[CD_UPNIVEL3]],"0000")))&gt;0,"S","N")</f>
        <v>N</v>
      </c>
      <c r="AH47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78" s="55" t="str">
        <f>IF(ESTIMATIVA[[#This Row],[TP_CULTIVO]]="Irrigado",_xlfn.MAXIFS(IRRIGADO!J:J,IRRIGADO!C:C,ESTIMATIVA[[#This Row],[CD_UPNIVEL1]],IRRIGADO!E:E,ESTIMATIVA[[#This Row],[CD_UPNIVEL3]]),"")</f>
        <v/>
      </c>
      <c r="AJ47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78" s="1">
        <f>COUNTIFS(Apresentação!$E$23:$E$29,ESTIMATIVA[[#This Row],[CD_UPNIVEL1]])</f>
        <v>0</v>
      </c>
    </row>
    <row r="479" spans="1:37" x14ac:dyDescent="0.3">
      <c r="A479">
        <v>20314</v>
      </c>
      <c r="B479" t="s">
        <v>27</v>
      </c>
      <c r="C479">
        <v>505</v>
      </c>
      <c r="D479">
        <v>2</v>
      </c>
      <c r="E479" t="s">
        <v>266</v>
      </c>
      <c r="F479" s="85" t="s">
        <v>332</v>
      </c>
      <c r="G479"/>
      <c r="H479" t="s">
        <v>295</v>
      </c>
      <c r="I479" t="s">
        <v>210</v>
      </c>
      <c r="J479" t="s">
        <v>176</v>
      </c>
      <c r="K479" s="1">
        <v>17.98</v>
      </c>
      <c r="L479" s="1">
        <v>17.98</v>
      </c>
      <c r="M479" s="1">
        <v>0</v>
      </c>
      <c r="N479" s="1">
        <v>17.98</v>
      </c>
      <c r="O479" s="1">
        <v>1744.06</v>
      </c>
      <c r="P479" s="1">
        <v>1762.04</v>
      </c>
      <c r="Q479" s="1">
        <v>0</v>
      </c>
      <c r="R479" s="1">
        <v>1697.89</v>
      </c>
      <c r="S479" t="s">
        <v>12</v>
      </c>
      <c r="T479" s="13">
        <v>45872</v>
      </c>
      <c r="U479" s="1" t="str">
        <f>IF(ESTIMATIVA[[#This Row],[QT_AREA_REAL]]&gt;0,"1- Colhido","2- à Colher")</f>
        <v>1- Colhido</v>
      </c>
      <c r="V479" s="1" t="str">
        <f>IF(ESTIMATIVA[[#This Row],[QT_AREA_REST1]]&gt;0,"Reestimativa 1",IF(ESTIMATIVA[[#This Row],[QT_AREA_REAL]]=0,"Reestimativa 1","Realizado"))</f>
        <v>Reestimativa 1</v>
      </c>
      <c r="W479" s="1" t="str">
        <f>IF(ESTIMATIVA[[#This Row],[QT_AREA_REST2]]&gt;0,"Reestimativa 2",IF(ESTIMATIVA[[#This Row],[QT_AREA_REAL]]=0,"Reestimativa 2","Realizado"))</f>
        <v>Realizado</v>
      </c>
      <c r="X479" s="1">
        <f>ESTIMATIVA[[#This Row],[QT_AREA_EST]]</f>
        <v>17.98</v>
      </c>
      <c r="Y479" s="1">
        <f>IF(ESTIMATIVA[[#This Row],[QT_AREA_REST1]]&gt;0,ESTIMATIVA[[#This Row],[QT_AREA_REST1]],
  IF(ESTIMATIVA[[#This Row],[QT_AREA_REAL]]&gt;0,ESTIMATIVA[[#This Row],[QT_AREA_REAL]],ESTIMATIVA[[#This Row],[QT_AREA_EST]]))</f>
        <v>17.98</v>
      </c>
      <c r="Z47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17.98</v>
      </c>
      <c r="AA479" s="1">
        <f>ESTIMATIVA[[#This Row],[QT_CANA_EST]]</f>
        <v>1744.06</v>
      </c>
      <c r="AB479" s="1">
        <f>IF(ESTIMATIVA[[#This Row],[QT_CANA_REST1]]&gt;0,ESTIMATIVA[[#This Row],[QT_CANA_REST1]],
  IF(ESTIMATIVA[[#This Row],[QT_CANA_REAL]]&gt;0,ESTIMATIVA[[#This Row],[QT_CANA_REAL]],ESTIMATIVA[[#This Row],[QT_CANA_EST]]))</f>
        <v>1762.04</v>
      </c>
      <c r="AC47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1697.89</v>
      </c>
      <c r="AD479" s="1">
        <f>IF(ESTIMATIVA[[#This Row],[QT_AREA_REAL]]&gt;0,ESTIMATIVA[[#This Row],[QT_CANA_REAL]],ESTIMATIVA[[#This Row],[QT_CANA_EST]])</f>
        <v>1697.89</v>
      </c>
      <c r="AE479" s="1">
        <f>IF(ESTIMATIVA[[#This Row],[QT_AREA_REAL]]&gt;0,ESTIMATIVA[[#This Row],[QT_CANA_REAL]],ESTIMATIVA[[#This Row],[QT_CANA_REST1]])</f>
        <v>1697.89</v>
      </c>
      <c r="AF479" s="1">
        <f>IF(ESTIMATIVA[[#This Row],[QT_AREA_REAL]]&gt;0,ESTIMATIVA[[#This Row],[QT_CANA_REAL]],ESTIMATIVA[[#This Row],[QT_CANA_REST2]])</f>
        <v>1697.89</v>
      </c>
      <c r="AG479" s="1" t="str">
        <f>IF(COUNTIFS(GEADA!A:A,VALUE(ESTIMATIVA[[#This Row],[CD_UPNIVEL1]]&amp;TEXT(ESTIMATIVA[[#This Row],[CD_UPNIVEL3]],"0000")))&gt;0,"S","N")</f>
        <v>N</v>
      </c>
      <c r="AH47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79" s="55" t="str">
        <f>IF(ESTIMATIVA[[#This Row],[TP_CULTIVO]]="Irrigado",_xlfn.MAXIFS(IRRIGADO!J:J,IRRIGADO!C:C,ESTIMATIVA[[#This Row],[CD_UPNIVEL1]],IRRIGADO!E:E,ESTIMATIVA[[#This Row],[CD_UPNIVEL3]]),"")</f>
        <v/>
      </c>
      <c r="AJ47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79" s="1">
        <f>COUNTIFS(Apresentação!$E$23:$E$29,ESTIMATIVA[[#This Row],[CD_UPNIVEL1]])</f>
        <v>0</v>
      </c>
    </row>
    <row r="480" spans="1:37" x14ac:dyDescent="0.3">
      <c r="A480">
        <v>20314</v>
      </c>
      <c r="B480" t="s">
        <v>27</v>
      </c>
      <c r="C480">
        <v>506</v>
      </c>
      <c r="D480">
        <v>2</v>
      </c>
      <c r="E480" t="s">
        <v>266</v>
      </c>
      <c r="F480" s="85" t="s">
        <v>332</v>
      </c>
      <c r="G480"/>
      <c r="H480" t="s">
        <v>295</v>
      </c>
      <c r="I480" t="s">
        <v>210</v>
      </c>
      <c r="J480" t="s">
        <v>176</v>
      </c>
      <c r="K480" s="1">
        <v>38.81</v>
      </c>
      <c r="L480" s="1">
        <v>38.81</v>
      </c>
      <c r="M480" s="1">
        <v>0</v>
      </c>
      <c r="N480" s="1">
        <v>38.81</v>
      </c>
      <c r="O480" s="1">
        <v>3764.57</v>
      </c>
      <c r="P480" s="1">
        <v>3803.38</v>
      </c>
      <c r="Q480" s="1">
        <v>0</v>
      </c>
      <c r="R480" s="1">
        <v>3743.11</v>
      </c>
      <c r="S480" t="s">
        <v>12</v>
      </c>
      <c r="T480" s="13">
        <v>45872</v>
      </c>
      <c r="U480" s="1" t="str">
        <f>IF(ESTIMATIVA[[#This Row],[QT_AREA_REAL]]&gt;0,"1- Colhido","2- à Colher")</f>
        <v>1- Colhido</v>
      </c>
      <c r="V480" s="1" t="str">
        <f>IF(ESTIMATIVA[[#This Row],[QT_AREA_REST1]]&gt;0,"Reestimativa 1",IF(ESTIMATIVA[[#This Row],[QT_AREA_REAL]]=0,"Reestimativa 1","Realizado"))</f>
        <v>Reestimativa 1</v>
      </c>
      <c r="W480" s="1" t="str">
        <f>IF(ESTIMATIVA[[#This Row],[QT_AREA_REST2]]&gt;0,"Reestimativa 2",IF(ESTIMATIVA[[#This Row],[QT_AREA_REAL]]=0,"Reestimativa 2","Realizado"))</f>
        <v>Realizado</v>
      </c>
      <c r="X480" s="1">
        <f>ESTIMATIVA[[#This Row],[QT_AREA_EST]]</f>
        <v>38.81</v>
      </c>
      <c r="Y480" s="1">
        <f>IF(ESTIMATIVA[[#This Row],[QT_AREA_REST1]]&gt;0,ESTIMATIVA[[#This Row],[QT_AREA_REST1]],
  IF(ESTIMATIVA[[#This Row],[QT_AREA_REAL]]&gt;0,ESTIMATIVA[[#This Row],[QT_AREA_REAL]],ESTIMATIVA[[#This Row],[QT_AREA_EST]]))</f>
        <v>38.81</v>
      </c>
      <c r="Z48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38.81</v>
      </c>
      <c r="AA480" s="1">
        <f>ESTIMATIVA[[#This Row],[QT_CANA_EST]]</f>
        <v>3764.57</v>
      </c>
      <c r="AB480" s="1">
        <f>IF(ESTIMATIVA[[#This Row],[QT_CANA_REST1]]&gt;0,ESTIMATIVA[[#This Row],[QT_CANA_REST1]],
  IF(ESTIMATIVA[[#This Row],[QT_CANA_REAL]]&gt;0,ESTIMATIVA[[#This Row],[QT_CANA_REAL]],ESTIMATIVA[[#This Row],[QT_CANA_EST]]))</f>
        <v>3803.38</v>
      </c>
      <c r="AC48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3743.11</v>
      </c>
      <c r="AD480" s="1">
        <f>IF(ESTIMATIVA[[#This Row],[QT_AREA_REAL]]&gt;0,ESTIMATIVA[[#This Row],[QT_CANA_REAL]],ESTIMATIVA[[#This Row],[QT_CANA_EST]])</f>
        <v>3743.11</v>
      </c>
      <c r="AE480" s="1">
        <f>IF(ESTIMATIVA[[#This Row],[QT_AREA_REAL]]&gt;0,ESTIMATIVA[[#This Row],[QT_CANA_REAL]],ESTIMATIVA[[#This Row],[QT_CANA_REST1]])</f>
        <v>3743.11</v>
      </c>
      <c r="AF480" s="1">
        <f>IF(ESTIMATIVA[[#This Row],[QT_AREA_REAL]]&gt;0,ESTIMATIVA[[#This Row],[QT_CANA_REAL]],ESTIMATIVA[[#This Row],[QT_CANA_REST2]])</f>
        <v>3743.11</v>
      </c>
      <c r="AG480" s="1" t="str">
        <f>IF(COUNTIFS(GEADA!A:A,VALUE(ESTIMATIVA[[#This Row],[CD_UPNIVEL1]]&amp;TEXT(ESTIMATIVA[[#This Row],[CD_UPNIVEL3]],"0000")))&gt;0,"S","N")</f>
        <v>N</v>
      </c>
      <c r="AH48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80" s="55" t="str">
        <f>IF(ESTIMATIVA[[#This Row],[TP_CULTIVO]]="Irrigado",_xlfn.MAXIFS(IRRIGADO!J:J,IRRIGADO!C:C,ESTIMATIVA[[#This Row],[CD_UPNIVEL1]],IRRIGADO!E:E,ESTIMATIVA[[#This Row],[CD_UPNIVEL3]]),"")</f>
        <v/>
      </c>
      <c r="AJ48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80" s="1">
        <f>COUNTIFS(Apresentação!$E$23:$E$29,ESTIMATIVA[[#This Row],[CD_UPNIVEL1]])</f>
        <v>0</v>
      </c>
    </row>
    <row r="481" spans="1:37" x14ac:dyDescent="0.3">
      <c r="A481">
        <v>20314</v>
      </c>
      <c r="B481" t="s">
        <v>27</v>
      </c>
      <c r="C481">
        <v>507</v>
      </c>
      <c r="D481">
        <v>2</v>
      </c>
      <c r="E481" t="s">
        <v>266</v>
      </c>
      <c r="F481" s="85" t="s">
        <v>329</v>
      </c>
      <c r="G481"/>
      <c r="H481" t="s">
        <v>295</v>
      </c>
      <c r="I481" t="s">
        <v>211</v>
      </c>
      <c r="J481" t="s">
        <v>176</v>
      </c>
      <c r="K481" s="1">
        <v>29.75</v>
      </c>
      <c r="L481" s="1">
        <v>29.75</v>
      </c>
      <c r="M481" s="1">
        <v>0</v>
      </c>
      <c r="N481" s="1">
        <v>29.75</v>
      </c>
      <c r="O481" s="1">
        <v>2885.75</v>
      </c>
      <c r="P481" s="1">
        <v>2915.5</v>
      </c>
      <c r="Q481" s="1">
        <v>0</v>
      </c>
      <c r="R481" s="1">
        <v>3059.32</v>
      </c>
      <c r="S481" t="s">
        <v>12</v>
      </c>
      <c r="T481" s="13">
        <v>45879</v>
      </c>
      <c r="U481" s="1" t="str">
        <f>IF(ESTIMATIVA[[#This Row],[QT_AREA_REAL]]&gt;0,"1- Colhido","2- à Colher")</f>
        <v>1- Colhido</v>
      </c>
      <c r="V481" s="1" t="str">
        <f>IF(ESTIMATIVA[[#This Row],[QT_AREA_REST1]]&gt;0,"Reestimativa 1",IF(ESTIMATIVA[[#This Row],[QT_AREA_REAL]]=0,"Reestimativa 1","Realizado"))</f>
        <v>Reestimativa 1</v>
      </c>
      <c r="W481" s="1" t="str">
        <f>IF(ESTIMATIVA[[#This Row],[QT_AREA_REST2]]&gt;0,"Reestimativa 2",IF(ESTIMATIVA[[#This Row],[QT_AREA_REAL]]=0,"Reestimativa 2","Realizado"))</f>
        <v>Realizado</v>
      </c>
      <c r="X481" s="1">
        <f>ESTIMATIVA[[#This Row],[QT_AREA_EST]]</f>
        <v>29.75</v>
      </c>
      <c r="Y481" s="1">
        <f>IF(ESTIMATIVA[[#This Row],[QT_AREA_REST1]]&gt;0,ESTIMATIVA[[#This Row],[QT_AREA_REST1]],
  IF(ESTIMATIVA[[#This Row],[QT_AREA_REAL]]&gt;0,ESTIMATIVA[[#This Row],[QT_AREA_REAL]],ESTIMATIVA[[#This Row],[QT_AREA_EST]]))</f>
        <v>29.75</v>
      </c>
      <c r="Z48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29.75</v>
      </c>
      <c r="AA481" s="1">
        <f>ESTIMATIVA[[#This Row],[QT_CANA_EST]]</f>
        <v>2885.75</v>
      </c>
      <c r="AB481" s="1">
        <f>IF(ESTIMATIVA[[#This Row],[QT_CANA_REST1]]&gt;0,ESTIMATIVA[[#This Row],[QT_CANA_REST1]],
  IF(ESTIMATIVA[[#This Row],[QT_CANA_REAL]]&gt;0,ESTIMATIVA[[#This Row],[QT_CANA_REAL]],ESTIMATIVA[[#This Row],[QT_CANA_EST]]))</f>
        <v>2915.5</v>
      </c>
      <c r="AC48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3059.32</v>
      </c>
      <c r="AD481" s="1">
        <f>IF(ESTIMATIVA[[#This Row],[QT_AREA_REAL]]&gt;0,ESTIMATIVA[[#This Row],[QT_CANA_REAL]],ESTIMATIVA[[#This Row],[QT_CANA_EST]])</f>
        <v>3059.32</v>
      </c>
      <c r="AE481" s="1">
        <f>IF(ESTIMATIVA[[#This Row],[QT_AREA_REAL]]&gt;0,ESTIMATIVA[[#This Row],[QT_CANA_REAL]],ESTIMATIVA[[#This Row],[QT_CANA_REST1]])</f>
        <v>3059.32</v>
      </c>
      <c r="AF481" s="1">
        <f>IF(ESTIMATIVA[[#This Row],[QT_AREA_REAL]]&gt;0,ESTIMATIVA[[#This Row],[QT_CANA_REAL]],ESTIMATIVA[[#This Row],[QT_CANA_REST2]])</f>
        <v>3059.32</v>
      </c>
      <c r="AG481" s="1" t="str">
        <f>IF(COUNTIFS(GEADA!A:A,VALUE(ESTIMATIVA[[#This Row],[CD_UPNIVEL1]]&amp;TEXT(ESTIMATIVA[[#This Row],[CD_UPNIVEL3]],"0000")))&gt;0,"S","N")</f>
        <v>N</v>
      </c>
      <c r="AH481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481" s="55">
        <f>IF(ESTIMATIVA[[#This Row],[TP_CULTIVO]]="Irrigado",_xlfn.MAXIFS(IRRIGADO!J:J,IRRIGADO!C:C,ESTIMATIVA[[#This Row],[CD_UPNIVEL1]],IRRIGADO!E:E,ESTIMATIVA[[#This Row],[CD_UPNIVEL3]]),"")</f>
        <v>45535</v>
      </c>
      <c r="AJ481" s="1">
        <f>IF(ESTIMATIVA[[#This Row],[TP_CULTIVO]]&lt;&gt;"Irrigado",0,AVERAGEIFS(IRRIGADO!G:G,IRRIGADO!C:C,ESTIMATIVA[[#This Row],[CD_UPNIVEL1]],IRRIGADO!E:E,ESTIMATIVA[[#This Row],[CD_UPNIVEL3]])*ESTIMATIVA[[#This Row],[QT_AREA_REAL]])</f>
        <v>1011.5</v>
      </c>
      <c r="AK481" s="1">
        <f>COUNTIFS(Apresentação!$E$23:$E$29,ESTIMATIVA[[#This Row],[CD_UPNIVEL1]])</f>
        <v>0</v>
      </c>
    </row>
    <row r="482" spans="1:37" x14ac:dyDescent="0.3">
      <c r="A482">
        <v>20314</v>
      </c>
      <c r="B482" t="s">
        <v>27</v>
      </c>
      <c r="C482">
        <v>508</v>
      </c>
      <c r="D482">
        <v>2</v>
      </c>
      <c r="E482" t="s">
        <v>266</v>
      </c>
      <c r="F482" s="85" t="s">
        <v>330</v>
      </c>
      <c r="G482"/>
      <c r="H482" t="s">
        <v>295</v>
      </c>
      <c r="I482" t="s">
        <v>211</v>
      </c>
      <c r="J482" t="s">
        <v>176</v>
      </c>
      <c r="K482" s="1">
        <v>18.28</v>
      </c>
      <c r="L482" s="1">
        <v>18.28</v>
      </c>
      <c r="M482" s="1">
        <v>0</v>
      </c>
      <c r="N482" s="1">
        <v>18.28</v>
      </c>
      <c r="O482" s="1">
        <v>1773.16</v>
      </c>
      <c r="P482" s="1">
        <v>1791.44</v>
      </c>
      <c r="Q482" s="1">
        <v>0</v>
      </c>
      <c r="R482" s="1">
        <v>1879.32</v>
      </c>
      <c r="S482" t="s">
        <v>12</v>
      </c>
      <c r="T482" s="13">
        <v>45879</v>
      </c>
      <c r="U482" s="1" t="str">
        <f>IF(ESTIMATIVA[[#This Row],[QT_AREA_REAL]]&gt;0,"1- Colhido","2- à Colher")</f>
        <v>1- Colhido</v>
      </c>
      <c r="V482" s="1" t="str">
        <f>IF(ESTIMATIVA[[#This Row],[QT_AREA_REST1]]&gt;0,"Reestimativa 1",IF(ESTIMATIVA[[#This Row],[QT_AREA_REAL]]=0,"Reestimativa 1","Realizado"))</f>
        <v>Reestimativa 1</v>
      </c>
      <c r="W482" s="1" t="str">
        <f>IF(ESTIMATIVA[[#This Row],[QT_AREA_REST2]]&gt;0,"Reestimativa 2",IF(ESTIMATIVA[[#This Row],[QT_AREA_REAL]]=0,"Reestimativa 2","Realizado"))</f>
        <v>Realizado</v>
      </c>
      <c r="X482" s="1">
        <f>ESTIMATIVA[[#This Row],[QT_AREA_EST]]</f>
        <v>18.28</v>
      </c>
      <c r="Y482" s="1">
        <f>IF(ESTIMATIVA[[#This Row],[QT_AREA_REST1]]&gt;0,ESTIMATIVA[[#This Row],[QT_AREA_REST1]],
  IF(ESTIMATIVA[[#This Row],[QT_AREA_REAL]]&gt;0,ESTIMATIVA[[#This Row],[QT_AREA_REAL]],ESTIMATIVA[[#This Row],[QT_AREA_EST]]))</f>
        <v>18.28</v>
      </c>
      <c r="Z48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18.28</v>
      </c>
      <c r="AA482" s="1">
        <f>ESTIMATIVA[[#This Row],[QT_CANA_EST]]</f>
        <v>1773.16</v>
      </c>
      <c r="AB482" s="1">
        <f>IF(ESTIMATIVA[[#This Row],[QT_CANA_REST1]]&gt;0,ESTIMATIVA[[#This Row],[QT_CANA_REST1]],
  IF(ESTIMATIVA[[#This Row],[QT_CANA_REAL]]&gt;0,ESTIMATIVA[[#This Row],[QT_CANA_REAL]],ESTIMATIVA[[#This Row],[QT_CANA_EST]]))</f>
        <v>1791.44</v>
      </c>
      <c r="AC48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1879.32</v>
      </c>
      <c r="AD482" s="1">
        <f>IF(ESTIMATIVA[[#This Row],[QT_AREA_REAL]]&gt;0,ESTIMATIVA[[#This Row],[QT_CANA_REAL]],ESTIMATIVA[[#This Row],[QT_CANA_EST]])</f>
        <v>1879.32</v>
      </c>
      <c r="AE482" s="1">
        <f>IF(ESTIMATIVA[[#This Row],[QT_AREA_REAL]]&gt;0,ESTIMATIVA[[#This Row],[QT_CANA_REAL]],ESTIMATIVA[[#This Row],[QT_CANA_REST1]])</f>
        <v>1879.32</v>
      </c>
      <c r="AF482" s="1">
        <f>IF(ESTIMATIVA[[#This Row],[QT_AREA_REAL]]&gt;0,ESTIMATIVA[[#This Row],[QT_CANA_REAL]],ESTIMATIVA[[#This Row],[QT_CANA_REST2]])</f>
        <v>1879.32</v>
      </c>
      <c r="AG482" s="1" t="str">
        <f>IF(COUNTIFS(GEADA!A:A,VALUE(ESTIMATIVA[[#This Row],[CD_UPNIVEL1]]&amp;TEXT(ESTIMATIVA[[#This Row],[CD_UPNIVEL3]],"0000")))&gt;0,"S","N")</f>
        <v>N</v>
      </c>
      <c r="AH482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482" s="55">
        <f>IF(ESTIMATIVA[[#This Row],[TP_CULTIVO]]="Irrigado",_xlfn.MAXIFS(IRRIGADO!J:J,IRRIGADO!C:C,ESTIMATIVA[[#This Row],[CD_UPNIVEL1]],IRRIGADO!E:E,ESTIMATIVA[[#This Row],[CD_UPNIVEL3]]),"")</f>
        <v>45565</v>
      </c>
      <c r="AJ482" s="1">
        <f>IF(ESTIMATIVA[[#This Row],[TP_CULTIVO]]&lt;&gt;"Irrigado",0,AVERAGEIFS(IRRIGADO!G:G,IRRIGADO!C:C,ESTIMATIVA[[#This Row],[CD_UPNIVEL1]],IRRIGADO!E:E,ESTIMATIVA[[#This Row],[CD_UPNIVEL3]])*ESTIMATIVA[[#This Row],[QT_AREA_REAL]])</f>
        <v>621.52</v>
      </c>
      <c r="AK482" s="1">
        <f>COUNTIFS(Apresentação!$E$23:$E$29,ESTIMATIVA[[#This Row],[CD_UPNIVEL1]])</f>
        <v>0</v>
      </c>
    </row>
    <row r="483" spans="1:37" x14ac:dyDescent="0.3">
      <c r="A483">
        <v>20314</v>
      </c>
      <c r="B483" t="s">
        <v>27</v>
      </c>
      <c r="C483">
        <v>521</v>
      </c>
      <c r="D483">
        <v>4</v>
      </c>
      <c r="E483" t="s">
        <v>265</v>
      </c>
      <c r="F483" s="85" t="s">
        <v>331</v>
      </c>
      <c r="G483"/>
      <c r="H483" t="s">
        <v>295</v>
      </c>
      <c r="I483" t="s">
        <v>204</v>
      </c>
      <c r="J483" t="s">
        <v>176</v>
      </c>
      <c r="K483" s="1">
        <v>10.220000000000001</v>
      </c>
      <c r="L483" s="1">
        <v>0</v>
      </c>
      <c r="M483" s="1">
        <v>0</v>
      </c>
      <c r="N483" s="1">
        <v>10.220000000000001</v>
      </c>
      <c r="O483" s="1">
        <v>654.08000000000004</v>
      </c>
      <c r="P483" s="1">
        <v>0</v>
      </c>
      <c r="Q483" s="1">
        <v>0</v>
      </c>
      <c r="R483" s="1">
        <v>598.71</v>
      </c>
      <c r="S483" t="s">
        <v>12</v>
      </c>
      <c r="T483" s="13">
        <v>45837</v>
      </c>
      <c r="U483" s="1" t="str">
        <f>IF(ESTIMATIVA[[#This Row],[QT_AREA_REAL]]&gt;0,"1- Colhido","2- à Colher")</f>
        <v>1- Colhido</v>
      </c>
      <c r="V483" s="1" t="str">
        <f>IF(ESTIMATIVA[[#This Row],[QT_AREA_REST1]]&gt;0,"Reestimativa 1",IF(ESTIMATIVA[[#This Row],[QT_AREA_REAL]]=0,"Reestimativa 1","Realizado"))</f>
        <v>Realizado</v>
      </c>
      <c r="W483" s="1" t="str">
        <f>IF(ESTIMATIVA[[#This Row],[QT_AREA_REST2]]&gt;0,"Reestimativa 2",IF(ESTIMATIVA[[#This Row],[QT_AREA_REAL]]=0,"Reestimativa 2","Realizado"))</f>
        <v>Realizado</v>
      </c>
      <c r="X483" s="1">
        <f>ESTIMATIVA[[#This Row],[QT_AREA_EST]]</f>
        <v>10.220000000000001</v>
      </c>
      <c r="Y483" s="1">
        <f>IF(ESTIMATIVA[[#This Row],[QT_AREA_REST1]]&gt;0,ESTIMATIVA[[#This Row],[QT_AREA_REST1]],
  IF(ESTIMATIVA[[#This Row],[QT_AREA_REAL]]&gt;0,ESTIMATIVA[[#This Row],[QT_AREA_REAL]],ESTIMATIVA[[#This Row],[QT_AREA_EST]]))</f>
        <v>10.220000000000001</v>
      </c>
      <c r="Z48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10.220000000000001</v>
      </c>
      <c r="AA483" s="1">
        <f>ESTIMATIVA[[#This Row],[QT_CANA_EST]]</f>
        <v>654.08000000000004</v>
      </c>
      <c r="AB483" s="1">
        <f>IF(ESTIMATIVA[[#This Row],[QT_CANA_REST1]]&gt;0,ESTIMATIVA[[#This Row],[QT_CANA_REST1]],
  IF(ESTIMATIVA[[#This Row],[QT_CANA_REAL]]&gt;0,ESTIMATIVA[[#This Row],[QT_CANA_REAL]],ESTIMATIVA[[#This Row],[QT_CANA_EST]]))</f>
        <v>598.71</v>
      </c>
      <c r="AC48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598.71</v>
      </c>
      <c r="AD483" s="1">
        <f>IF(ESTIMATIVA[[#This Row],[QT_AREA_REAL]]&gt;0,ESTIMATIVA[[#This Row],[QT_CANA_REAL]],ESTIMATIVA[[#This Row],[QT_CANA_EST]])</f>
        <v>598.71</v>
      </c>
      <c r="AE483" s="1">
        <f>IF(ESTIMATIVA[[#This Row],[QT_AREA_REAL]]&gt;0,ESTIMATIVA[[#This Row],[QT_CANA_REAL]],ESTIMATIVA[[#This Row],[QT_CANA_REST1]])</f>
        <v>598.71</v>
      </c>
      <c r="AF483" s="1">
        <f>IF(ESTIMATIVA[[#This Row],[QT_AREA_REAL]]&gt;0,ESTIMATIVA[[#This Row],[QT_CANA_REAL]],ESTIMATIVA[[#This Row],[QT_CANA_REST2]])</f>
        <v>598.71</v>
      </c>
      <c r="AG483" s="1" t="str">
        <f>IF(COUNTIFS(GEADA!A:A,VALUE(ESTIMATIVA[[#This Row],[CD_UPNIVEL1]]&amp;TEXT(ESTIMATIVA[[#This Row],[CD_UPNIVEL3]],"0000")))&gt;0,"S","N")</f>
        <v>N</v>
      </c>
      <c r="AH48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83" s="55" t="str">
        <f>IF(ESTIMATIVA[[#This Row],[TP_CULTIVO]]="Irrigado",_xlfn.MAXIFS(IRRIGADO!J:J,IRRIGADO!C:C,ESTIMATIVA[[#This Row],[CD_UPNIVEL1]],IRRIGADO!E:E,ESTIMATIVA[[#This Row],[CD_UPNIVEL3]]),"")</f>
        <v/>
      </c>
      <c r="AJ48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83" s="1">
        <f>COUNTIFS(Apresentação!$E$23:$E$29,ESTIMATIVA[[#This Row],[CD_UPNIVEL1]])</f>
        <v>0</v>
      </c>
    </row>
    <row r="484" spans="1:37" x14ac:dyDescent="0.3">
      <c r="A484">
        <v>20314</v>
      </c>
      <c r="B484" t="s">
        <v>27</v>
      </c>
      <c r="C484">
        <v>522</v>
      </c>
      <c r="D484">
        <v>4</v>
      </c>
      <c r="E484" t="s">
        <v>265</v>
      </c>
      <c r="F484" s="85" t="s">
        <v>331</v>
      </c>
      <c r="G484"/>
      <c r="H484" t="s">
        <v>295</v>
      </c>
      <c r="I484" t="s">
        <v>204</v>
      </c>
      <c r="J484" t="s">
        <v>176</v>
      </c>
      <c r="K484" s="1">
        <v>28.88</v>
      </c>
      <c r="L484" s="1">
        <v>0</v>
      </c>
      <c r="M484" s="1">
        <v>0</v>
      </c>
      <c r="N484" s="1">
        <v>28.88</v>
      </c>
      <c r="O484" s="1">
        <v>1848.32</v>
      </c>
      <c r="P484" s="1">
        <v>0</v>
      </c>
      <c r="Q484" s="1">
        <v>0</v>
      </c>
      <c r="R484" s="1">
        <v>1691.94</v>
      </c>
      <c r="S484" t="s">
        <v>12</v>
      </c>
      <c r="T484" s="13">
        <v>45837</v>
      </c>
      <c r="U484" s="1" t="str">
        <f>IF(ESTIMATIVA[[#This Row],[QT_AREA_REAL]]&gt;0,"1- Colhido","2- à Colher")</f>
        <v>1- Colhido</v>
      </c>
      <c r="V484" s="1" t="str">
        <f>IF(ESTIMATIVA[[#This Row],[QT_AREA_REST1]]&gt;0,"Reestimativa 1",IF(ESTIMATIVA[[#This Row],[QT_AREA_REAL]]=0,"Reestimativa 1","Realizado"))</f>
        <v>Realizado</v>
      </c>
      <c r="W484" s="1" t="str">
        <f>IF(ESTIMATIVA[[#This Row],[QT_AREA_REST2]]&gt;0,"Reestimativa 2",IF(ESTIMATIVA[[#This Row],[QT_AREA_REAL]]=0,"Reestimativa 2","Realizado"))</f>
        <v>Realizado</v>
      </c>
      <c r="X484" s="1">
        <f>ESTIMATIVA[[#This Row],[QT_AREA_EST]]</f>
        <v>28.88</v>
      </c>
      <c r="Y484" s="1">
        <f>IF(ESTIMATIVA[[#This Row],[QT_AREA_REST1]]&gt;0,ESTIMATIVA[[#This Row],[QT_AREA_REST1]],
  IF(ESTIMATIVA[[#This Row],[QT_AREA_REAL]]&gt;0,ESTIMATIVA[[#This Row],[QT_AREA_REAL]],ESTIMATIVA[[#This Row],[QT_AREA_EST]]))</f>
        <v>28.88</v>
      </c>
      <c r="Z48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28.88</v>
      </c>
      <c r="AA484" s="1">
        <f>ESTIMATIVA[[#This Row],[QT_CANA_EST]]</f>
        <v>1848.32</v>
      </c>
      <c r="AB484" s="1">
        <f>IF(ESTIMATIVA[[#This Row],[QT_CANA_REST1]]&gt;0,ESTIMATIVA[[#This Row],[QT_CANA_REST1]],
  IF(ESTIMATIVA[[#This Row],[QT_CANA_REAL]]&gt;0,ESTIMATIVA[[#This Row],[QT_CANA_REAL]],ESTIMATIVA[[#This Row],[QT_CANA_EST]]))</f>
        <v>1691.94</v>
      </c>
      <c r="AC48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1691.94</v>
      </c>
      <c r="AD484" s="1">
        <f>IF(ESTIMATIVA[[#This Row],[QT_AREA_REAL]]&gt;0,ESTIMATIVA[[#This Row],[QT_CANA_REAL]],ESTIMATIVA[[#This Row],[QT_CANA_EST]])</f>
        <v>1691.94</v>
      </c>
      <c r="AE484" s="1">
        <f>IF(ESTIMATIVA[[#This Row],[QT_AREA_REAL]]&gt;0,ESTIMATIVA[[#This Row],[QT_CANA_REAL]],ESTIMATIVA[[#This Row],[QT_CANA_REST1]])</f>
        <v>1691.94</v>
      </c>
      <c r="AF484" s="1">
        <f>IF(ESTIMATIVA[[#This Row],[QT_AREA_REAL]]&gt;0,ESTIMATIVA[[#This Row],[QT_CANA_REAL]],ESTIMATIVA[[#This Row],[QT_CANA_REST2]])</f>
        <v>1691.94</v>
      </c>
      <c r="AG484" s="1" t="str">
        <f>IF(COUNTIFS(GEADA!A:A,VALUE(ESTIMATIVA[[#This Row],[CD_UPNIVEL1]]&amp;TEXT(ESTIMATIVA[[#This Row],[CD_UPNIVEL3]],"0000")))&gt;0,"S","N")</f>
        <v>N</v>
      </c>
      <c r="AH48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84" s="55" t="str">
        <f>IF(ESTIMATIVA[[#This Row],[TP_CULTIVO]]="Irrigado",_xlfn.MAXIFS(IRRIGADO!J:J,IRRIGADO!C:C,ESTIMATIVA[[#This Row],[CD_UPNIVEL1]],IRRIGADO!E:E,ESTIMATIVA[[#This Row],[CD_UPNIVEL3]]),"")</f>
        <v/>
      </c>
      <c r="AJ48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84" s="1">
        <f>COUNTIFS(Apresentação!$E$23:$E$29,ESTIMATIVA[[#This Row],[CD_UPNIVEL1]])</f>
        <v>0</v>
      </c>
    </row>
    <row r="485" spans="1:37" x14ac:dyDescent="0.3">
      <c r="A485">
        <v>20314</v>
      </c>
      <c r="B485" t="s">
        <v>27</v>
      </c>
      <c r="C485">
        <v>523</v>
      </c>
      <c r="D485">
        <v>4</v>
      </c>
      <c r="E485" t="s">
        <v>265</v>
      </c>
      <c r="F485" s="85" t="s">
        <v>331</v>
      </c>
      <c r="G485"/>
      <c r="H485" t="s">
        <v>295</v>
      </c>
      <c r="I485" t="s">
        <v>204</v>
      </c>
      <c r="J485" t="s">
        <v>176</v>
      </c>
      <c r="K485" s="1">
        <v>49.75</v>
      </c>
      <c r="L485" s="1">
        <v>0</v>
      </c>
      <c r="M485" s="1">
        <v>0</v>
      </c>
      <c r="N485" s="1">
        <v>49.75</v>
      </c>
      <c r="O485" s="1">
        <v>2985</v>
      </c>
      <c r="P485" s="1">
        <v>0</v>
      </c>
      <c r="Q485" s="1">
        <v>0</v>
      </c>
      <c r="R485" s="1">
        <v>2733.2</v>
      </c>
      <c r="S485" t="s">
        <v>12</v>
      </c>
      <c r="T485" s="13">
        <v>45837</v>
      </c>
      <c r="U485" s="1" t="str">
        <f>IF(ESTIMATIVA[[#This Row],[QT_AREA_REAL]]&gt;0,"1- Colhido","2- à Colher")</f>
        <v>1- Colhido</v>
      </c>
      <c r="V485" s="1" t="str">
        <f>IF(ESTIMATIVA[[#This Row],[QT_AREA_REST1]]&gt;0,"Reestimativa 1",IF(ESTIMATIVA[[#This Row],[QT_AREA_REAL]]=0,"Reestimativa 1","Realizado"))</f>
        <v>Realizado</v>
      </c>
      <c r="W485" s="1" t="str">
        <f>IF(ESTIMATIVA[[#This Row],[QT_AREA_REST2]]&gt;0,"Reestimativa 2",IF(ESTIMATIVA[[#This Row],[QT_AREA_REAL]]=0,"Reestimativa 2","Realizado"))</f>
        <v>Realizado</v>
      </c>
      <c r="X485" s="1">
        <f>ESTIMATIVA[[#This Row],[QT_AREA_EST]]</f>
        <v>49.75</v>
      </c>
      <c r="Y485" s="1">
        <f>IF(ESTIMATIVA[[#This Row],[QT_AREA_REST1]]&gt;0,ESTIMATIVA[[#This Row],[QT_AREA_REST1]],
  IF(ESTIMATIVA[[#This Row],[QT_AREA_REAL]]&gt;0,ESTIMATIVA[[#This Row],[QT_AREA_REAL]],ESTIMATIVA[[#This Row],[QT_AREA_EST]]))</f>
        <v>49.75</v>
      </c>
      <c r="Z48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49.75</v>
      </c>
      <c r="AA485" s="1">
        <f>ESTIMATIVA[[#This Row],[QT_CANA_EST]]</f>
        <v>2985</v>
      </c>
      <c r="AB485" s="1">
        <f>IF(ESTIMATIVA[[#This Row],[QT_CANA_REST1]]&gt;0,ESTIMATIVA[[#This Row],[QT_CANA_REST1]],
  IF(ESTIMATIVA[[#This Row],[QT_CANA_REAL]]&gt;0,ESTIMATIVA[[#This Row],[QT_CANA_REAL]],ESTIMATIVA[[#This Row],[QT_CANA_EST]]))</f>
        <v>2733.2</v>
      </c>
      <c r="AC48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2733.2</v>
      </c>
      <c r="AD485" s="1">
        <f>IF(ESTIMATIVA[[#This Row],[QT_AREA_REAL]]&gt;0,ESTIMATIVA[[#This Row],[QT_CANA_REAL]],ESTIMATIVA[[#This Row],[QT_CANA_EST]])</f>
        <v>2733.2</v>
      </c>
      <c r="AE485" s="1">
        <f>IF(ESTIMATIVA[[#This Row],[QT_AREA_REAL]]&gt;0,ESTIMATIVA[[#This Row],[QT_CANA_REAL]],ESTIMATIVA[[#This Row],[QT_CANA_REST1]])</f>
        <v>2733.2</v>
      </c>
      <c r="AF485" s="1">
        <f>IF(ESTIMATIVA[[#This Row],[QT_AREA_REAL]]&gt;0,ESTIMATIVA[[#This Row],[QT_CANA_REAL]],ESTIMATIVA[[#This Row],[QT_CANA_REST2]])</f>
        <v>2733.2</v>
      </c>
      <c r="AG485" s="1" t="str">
        <f>IF(COUNTIFS(GEADA!A:A,VALUE(ESTIMATIVA[[#This Row],[CD_UPNIVEL1]]&amp;TEXT(ESTIMATIVA[[#This Row],[CD_UPNIVEL3]],"0000")))&gt;0,"S","N")</f>
        <v>N</v>
      </c>
      <c r="AH48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85" s="55" t="str">
        <f>IF(ESTIMATIVA[[#This Row],[TP_CULTIVO]]="Irrigado",_xlfn.MAXIFS(IRRIGADO!J:J,IRRIGADO!C:C,ESTIMATIVA[[#This Row],[CD_UPNIVEL1]],IRRIGADO!E:E,ESTIMATIVA[[#This Row],[CD_UPNIVEL3]]),"")</f>
        <v/>
      </c>
      <c r="AJ48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85" s="1">
        <f>COUNTIFS(Apresentação!$E$23:$E$29,ESTIMATIVA[[#This Row],[CD_UPNIVEL1]])</f>
        <v>0</v>
      </c>
    </row>
    <row r="486" spans="1:37" x14ac:dyDescent="0.3">
      <c r="A486">
        <v>20314</v>
      </c>
      <c r="B486" t="s">
        <v>27</v>
      </c>
      <c r="C486">
        <v>524</v>
      </c>
      <c r="D486">
        <v>4</v>
      </c>
      <c r="E486" t="s">
        <v>265</v>
      </c>
      <c r="F486" s="85" t="s">
        <v>332</v>
      </c>
      <c r="G486"/>
      <c r="H486" t="s">
        <v>295</v>
      </c>
      <c r="I486" t="s">
        <v>204</v>
      </c>
      <c r="J486" t="s">
        <v>176</v>
      </c>
      <c r="K486" s="1">
        <v>49.59</v>
      </c>
      <c r="L486" s="1">
        <v>0</v>
      </c>
      <c r="M486" s="1">
        <v>0</v>
      </c>
      <c r="N486" s="1">
        <v>49.59</v>
      </c>
      <c r="O486" s="1">
        <v>3471.3</v>
      </c>
      <c r="P486" s="1">
        <v>0</v>
      </c>
      <c r="Q486" s="1">
        <v>0</v>
      </c>
      <c r="R486" s="1">
        <v>2451.52</v>
      </c>
      <c r="S486" t="s">
        <v>12</v>
      </c>
      <c r="T486" s="13">
        <v>45844</v>
      </c>
      <c r="U486" s="1" t="str">
        <f>IF(ESTIMATIVA[[#This Row],[QT_AREA_REAL]]&gt;0,"1- Colhido","2- à Colher")</f>
        <v>1- Colhido</v>
      </c>
      <c r="V486" s="1" t="str">
        <f>IF(ESTIMATIVA[[#This Row],[QT_AREA_REST1]]&gt;0,"Reestimativa 1",IF(ESTIMATIVA[[#This Row],[QT_AREA_REAL]]=0,"Reestimativa 1","Realizado"))</f>
        <v>Realizado</v>
      </c>
      <c r="W486" s="1" t="str">
        <f>IF(ESTIMATIVA[[#This Row],[QT_AREA_REST2]]&gt;0,"Reestimativa 2",IF(ESTIMATIVA[[#This Row],[QT_AREA_REAL]]=0,"Reestimativa 2","Realizado"))</f>
        <v>Realizado</v>
      </c>
      <c r="X486" s="1">
        <f>ESTIMATIVA[[#This Row],[QT_AREA_EST]]</f>
        <v>49.59</v>
      </c>
      <c r="Y486" s="1">
        <f>IF(ESTIMATIVA[[#This Row],[QT_AREA_REST1]]&gt;0,ESTIMATIVA[[#This Row],[QT_AREA_REST1]],
  IF(ESTIMATIVA[[#This Row],[QT_AREA_REAL]]&gt;0,ESTIMATIVA[[#This Row],[QT_AREA_REAL]],ESTIMATIVA[[#This Row],[QT_AREA_EST]]))</f>
        <v>49.59</v>
      </c>
      <c r="Z48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49.59</v>
      </c>
      <c r="AA486" s="1">
        <f>ESTIMATIVA[[#This Row],[QT_CANA_EST]]</f>
        <v>3471.3</v>
      </c>
      <c r="AB486" s="1">
        <f>IF(ESTIMATIVA[[#This Row],[QT_CANA_REST1]]&gt;0,ESTIMATIVA[[#This Row],[QT_CANA_REST1]],
  IF(ESTIMATIVA[[#This Row],[QT_CANA_REAL]]&gt;0,ESTIMATIVA[[#This Row],[QT_CANA_REAL]],ESTIMATIVA[[#This Row],[QT_CANA_EST]]))</f>
        <v>2451.52</v>
      </c>
      <c r="AC48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2451.52</v>
      </c>
      <c r="AD486" s="1">
        <f>IF(ESTIMATIVA[[#This Row],[QT_AREA_REAL]]&gt;0,ESTIMATIVA[[#This Row],[QT_CANA_REAL]],ESTIMATIVA[[#This Row],[QT_CANA_EST]])</f>
        <v>2451.52</v>
      </c>
      <c r="AE486" s="1">
        <f>IF(ESTIMATIVA[[#This Row],[QT_AREA_REAL]]&gt;0,ESTIMATIVA[[#This Row],[QT_CANA_REAL]],ESTIMATIVA[[#This Row],[QT_CANA_REST1]])</f>
        <v>2451.52</v>
      </c>
      <c r="AF486" s="1">
        <f>IF(ESTIMATIVA[[#This Row],[QT_AREA_REAL]]&gt;0,ESTIMATIVA[[#This Row],[QT_CANA_REAL]],ESTIMATIVA[[#This Row],[QT_CANA_REST2]])</f>
        <v>2451.52</v>
      </c>
      <c r="AG486" s="1" t="str">
        <f>IF(COUNTIFS(GEADA!A:A,VALUE(ESTIMATIVA[[#This Row],[CD_UPNIVEL1]]&amp;TEXT(ESTIMATIVA[[#This Row],[CD_UPNIVEL3]],"0000")))&gt;0,"S","N")</f>
        <v>N</v>
      </c>
      <c r="AH48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86" s="55" t="str">
        <f>IF(ESTIMATIVA[[#This Row],[TP_CULTIVO]]="Irrigado",_xlfn.MAXIFS(IRRIGADO!J:J,IRRIGADO!C:C,ESTIMATIVA[[#This Row],[CD_UPNIVEL1]],IRRIGADO!E:E,ESTIMATIVA[[#This Row],[CD_UPNIVEL3]]),"")</f>
        <v/>
      </c>
      <c r="AJ48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86" s="1">
        <f>COUNTIFS(Apresentação!$E$23:$E$29,ESTIMATIVA[[#This Row],[CD_UPNIVEL1]])</f>
        <v>0</v>
      </c>
    </row>
    <row r="487" spans="1:37" x14ac:dyDescent="0.3">
      <c r="A487">
        <v>20314</v>
      </c>
      <c r="B487" t="s">
        <v>27</v>
      </c>
      <c r="C487">
        <v>525</v>
      </c>
      <c r="D487">
        <v>4</v>
      </c>
      <c r="E487" t="s">
        <v>265</v>
      </c>
      <c r="F487" s="85" t="s">
        <v>331</v>
      </c>
      <c r="G487"/>
      <c r="H487" t="s">
        <v>295</v>
      </c>
      <c r="I487" t="s">
        <v>204</v>
      </c>
      <c r="J487" t="s">
        <v>176</v>
      </c>
      <c r="K487" s="1">
        <v>15.26</v>
      </c>
      <c r="L487" s="1">
        <v>0</v>
      </c>
      <c r="M487" s="1">
        <v>0</v>
      </c>
      <c r="N487" s="1">
        <v>15.26</v>
      </c>
      <c r="O487" s="1">
        <v>915.6</v>
      </c>
      <c r="P487" s="1">
        <v>0</v>
      </c>
      <c r="Q487" s="1">
        <v>0</v>
      </c>
      <c r="R487" s="1">
        <v>1054.73</v>
      </c>
      <c r="S487" t="s">
        <v>12</v>
      </c>
      <c r="T487" s="13">
        <v>45837</v>
      </c>
      <c r="U487" s="1" t="str">
        <f>IF(ESTIMATIVA[[#This Row],[QT_AREA_REAL]]&gt;0,"1- Colhido","2- à Colher")</f>
        <v>1- Colhido</v>
      </c>
      <c r="V487" s="1" t="str">
        <f>IF(ESTIMATIVA[[#This Row],[QT_AREA_REST1]]&gt;0,"Reestimativa 1",IF(ESTIMATIVA[[#This Row],[QT_AREA_REAL]]=0,"Reestimativa 1","Realizado"))</f>
        <v>Realizado</v>
      </c>
      <c r="W487" s="1" t="str">
        <f>IF(ESTIMATIVA[[#This Row],[QT_AREA_REST2]]&gt;0,"Reestimativa 2",IF(ESTIMATIVA[[#This Row],[QT_AREA_REAL]]=0,"Reestimativa 2","Realizado"))</f>
        <v>Realizado</v>
      </c>
      <c r="X487" s="1">
        <f>ESTIMATIVA[[#This Row],[QT_AREA_EST]]</f>
        <v>15.26</v>
      </c>
      <c r="Y487" s="1">
        <f>IF(ESTIMATIVA[[#This Row],[QT_AREA_REST1]]&gt;0,ESTIMATIVA[[#This Row],[QT_AREA_REST1]],
  IF(ESTIMATIVA[[#This Row],[QT_AREA_REAL]]&gt;0,ESTIMATIVA[[#This Row],[QT_AREA_REAL]],ESTIMATIVA[[#This Row],[QT_AREA_EST]]))</f>
        <v>15.26</v>
      </c>
      <c r="Z48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15.26</v>
      </c>
      <c r="AA487" s="1">
        <f>ESTIMATIVA[[#This Row],[QT_CANA_EST]]</f>
        <v>915.6</v>
      </c>
      <c r="AB487" s="1">
        <f>IF(ESTIMATIVA[[#This Row],[QT_CANA_REST1]]&gt;0,ESTIMATIVA[[#This Row],[QT_CANA_REST1]],
  IF(ESTIMATIVA[[#This Row],[QT_CANA_REAL]]&gt;0,ESTIMATIVA[[#This Row],[QT_CANA_REAL]],ESTIMATIVA[[#This Row],[QT_CANA_EST]]))</f>
        <v>1054.73</v>
      </c>
      <c r="AC48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1054.73</v>
      </c>
      <c r="AD487" s="1">
        <f>IF(ESTIMATIVA[[#This Row],[QT_AREA_REAL]]&gt;0,ESTIMATIVA[[#This Row],[QT_CANA_REAL]],ESTIMATIVA[[#This Row],[QT_CANA_EST]])</f>
        <v>1054.73</v>
      </c>
      <c r="AE487" s="1">
        <f>IF(ESTIMATIVA[[#This Row],[QT_AREA_REAL]]&gt;0,ESTIMATIVA[[#This Row],[QT_CANA_REAL]],ESTIMATIVA[[#This Row],[QT_CANA_REST1]])</f>
        <v>1054.73</v>
      </c>
      <c r="AF487" s="1">
        <f>IF(ESTIMATIVA[[#This Row],[QT_AREA_REAL]]&gt;0,ESTIMATIVA[[#This Row],[QT_CANA_REAL]],ESTIMATIVA[[#This Row],[QT_CANA_REST2]])</f>
        <v>1054.73</v>
      </c>
      <c r="AG487" s="1" t="str">
        <f>IF(COUNTIFS(GEADA!A:A,VALUE(ESTIMATIVA[[#This Row],[CD_UPNIVEL1]]&amp;TEXT(ESTIMATIVA[[#This Row],[CD_UPNIVEL3]],"0000")))&gt;0,"S","N")</f>
        <v>N</v>
      </c>
      <c r="AH48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87" s="55" t="str">
        <f>IF(ESTIMATIVA[[#This Row],[TP_CULTIVO]]="Irrigado",_xlfn.MAXIFS(IRRIGADO!J:J,IRRIGADO!C:C,ESTIMATIVA[[#This Row],[CD_UPNIVEL1]],IRRIGADO!E:E,ESTIMATIVA[[#This Row],[CD_UPNIVEL3]]),"")</f>
        <v/>
      </c>
      <c r="AJ48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87" s="1">
        <f>COUNTIFS(Apresentação!$E$23:$E$29,ESTIMATIVA[[#This Row],[CD_UPNIVEL1]])</f>
        <v>0</v>
      </c>
    </row>
    <row r="488" spans="1:37" x14ac:dyDescent="0.3">
      <c r="A488">
        <v>20314</v>
      </c>
      <c r="B488" t="s">
        <v>27</v>
      </c>
      <c r="C488">
        <v>526</v>
      </c>
      <c r="D488">
        <v>4</v>
      </c>
      <c r="E488" t="s">
        <v>265</v>
      </c>
      <c r="F488" s="85" t="s">
        <v>331</v>
      </c>
      <c r="G488"/>
      <c r="H488" t="s">
        <v>295</v>
      </c>
      <c r="I488" t="s">
        <v>204</v>
      </c>
      <c r="J488" t="s">
        <v>176</v>
      </c>
      <c r="K488" s="1">
        <v>16.420000000000002</v>
      </c>
      <c r="L488" s="1">
        <v>0</v>
      </c>
      <c r="M488" s="1">
        <v>0</v>
      </c>
      <c r="N488" s="1">
        <v>16.420000000000002</v>
      </c>
      <c r="O488" s="1">
        <v>985.2</v>
      </c>
      <c r="P488" s="1">
        <v>0</v>
      </c>
      <c r="Q488" s="1">
        <v>0</v>
      </c>
      <c r="R488" s="1">
        <v>1134.18</v>
      </c>
      <c r="S488" t="s">
        <v>12</v>
      </c>
      <c r="T488" s="13">
        <v>45837</v>
      </c>
      <c r="U488" s="1" t="str">
        <f>IF(ESTIMATIVA[[#This Row],[QT_AREA_REAL]]&gt;0,"1- Colhido","2- à Colher")</f>
        <v>1- Colhido</v>
      </c>
      <c r="V488" s="1" t="str">
        <f>IF(ESTIMATIVA[[#This Row],[QT_AREA_REST1]]&gt;0,"Reestimativa 1",IF(ESTIMATIVA[[#This Row],[QT_AREA_REAL]]=0,"Reestimativa 1","Realizado"))</f>
        <v>Realizado</v>
      </c>
      <c r="W488" s="1" t="str">
        <f>IF(ESTIMATIVA[[#This Row],[QT_AREA_REST2]]&gt;0,"Reestimativa 2",IF(ESTIMATIVA[[#This Row],[QT_AREA_REAL]]=0,"Reestimativa 2","Realizado"))</f>
        <v>Realizado</v>
      </c>
      <c r="X488" s="1">
        <f>ESTIMATIVA[[#This Row],[QT_AREA_EST]]</f>
        <v>16.420000000000002</v>
      </c>
      <c r="Y488" s="1">
        <f>IF(ESTIMATIVA[[#This Row],[QT_AREA_REST1]]&gt;0,ESTIMATIVA[[#This Row],[QT_AREA_REST1]],
  IF(ESTIMATIVA[[#This Row],[QT_AREA_REAL]]&gt;0,ESTIMATIVA[[#This Row],[QT_AREA_REAL]],ESTIMATIVA[[#This Row],[QT_AREA_EST]]))</f>
        <v>16.420000000000002</v>
      </c>
      <c r="Z48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16.420000000000002</v>
      </c>
      <c r="AA488" s="1">
        <f>ESTIMATIVA[[#This Row],[QT_CANA_EST]]</f>
        <v>985.2</v>
      </c>
      <c r="AB488" s="1">
        <f>IF(ESTIMATIVA[[#This Row],[QT_CANA_REST1]]&gt;0,ESTIMATIVA[[#This Row],[QT_CANA_REST1]],
  IF(ESTIMATIVA[[#This Row],[QT_CANA_REAL]]&gt;0,ESTIMATIVA[[#This Row],[QT_CANA_REAL]],ESTIMATIVA[[#This Row],[QT_CANA_EST]]))</f>
        <v>1134.18</v>
      </c>
      <c r="AC48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1134.18</v>
      </c>
      <c r="AD488" s="1">
        <f>IF(ESTIMATIVA[[#This Row],[QT_AREA_REAL]]&gt;0,ESTIMATIVA[[#This Row],[QT_CANA_REAL]],ESTIMATIVA[[#This Row],[QT_CANA_EST]])</f>
        <v>1134.18</v>
      </c>
      <c r="AE488" s="1">
        <f>IF(ESTIMATIVA[[#This Row],[QT_AREA_REAL]]&gt;0,ESTIMATIVA[[#This Row],[QT_CANA_REAL]],ESTIMATIVA[[#This Row],[QT_CANA_REST1]])</f>
        <v>1134.18</v>
      </c>
      <c r="AF488" s="1">
        <f>IF(ESTIMATIVA[[#This Row],[QT_AREA_REAL]]&gt;0,ESTIMATIVA[[#This Row],[QT_CANA_REAL]],ESTIMATIVA[[#This Row],[QT_CANA_REST2]])</f>
        <v>1134.18</v>
      </c>
      <c r="AG488" s="1" t="str">
        <f>IF(COUNTIFS(GEADA!A:A,VALUE(ESTIMATIVA[[#This Row],[CD_UPNIVEL1]]&amp;TEXT(ESTIMATIVA[[#This Row],[CD_UPNIVEL3]],"0000")))&gt;0,"S","N")</f>
        <v>N</v>
      </c>
      <c r="AH48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88" s="55" t="str">
        <f>IF(ESTIMATIVA[[#This Row],[TP_CULTIVO]]="Irrigado",_xlfn.MAXIFS(IRRIGADO!J:J,IRRIGADO!C:C,ESTIMATIVA[[#This Row],[CD_UPNIVEL1]],IRRIGADO!E:E,ESTIMATIVA[[#This Row],[CD_UPNIVEL3]]),"")</f>
        <v/>
      </c>
      <c r="AJ48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88" s="1">
        <f>COUNTIFS(Apresentação!$E$23:$E$29,ESTIMATIVA[[#This Row],[CD_UPNIVEL1]])</f>
        <v>0</v>
      </c>
    </row>
    <row r="489" spans="1:37" x14ac:dyDescent="0.3">
      <c r="A489">
        <v>20314</v>
      </c>
      <c r="B489" t="s">
        <v>27</v>
      </c>
      <c r="C489">
        <v>527</v>
      </c>
      <c r="D489">
        <v>4</v>
      </c>
      <c r="E489" t="s">
        <v>265</v>
      </c>
      <c r="F489" s="85" t="s">
        <v>331</v>
      </c>
      <c r="G489"/>
      <c r="H489" t="s">
        <v>295</v>
      </c>
      <c r="I489" t="s">
        <v>204</v>
      </c>
      <c r="J489" t="s">
        <v>176</v>
      </c>
      <c r="K489" s="1">
        <v>15.62</v>
      </c>
      <c r="L489" s="1">
        <v>0</v>
      </c>
      <c r="M489" s="1">
        <v>0</v>
      </c>
      <c r="N489" s="1">
        <v>15.62</v>
      </c>
      <c r="O489" s="1">
        <v>937.2</v>
      </c>
      <c r="P489" s="1">
        <v>0</v>
      </c>
      <c r="Q489" s="1">
        <v>0</v>
      </c>
      <c r="R489" s="1">
        <v>1078.9100000000001</v>
      </c>
      <c r="S489" t="s">
        <v>12</v>
      </c>
      <c r="T489" s="13">
        <v>45837</v>
      </c>
      <c r="U489" s="1" t="str">
        <f>IF(ESTIMATIVA[[#This Row],[QT_AREA_REAL]]&gt;0,"1- Colhido","2- à Colher")</f>
        <v>1- Colhido</v>
      </c>
      <c r="V489" s="1" t="str">
        <f>IF(ESTIMATIVA[[#This Row],[QT_AREA_REST1]]&gt;0,"Reestimativa 1",IF(ESTIMATIVA[[#This Row],[QT_AREA_REAL]]=0,"Reestimativa 1","Realizado"))</f>
        <v>Realizado</v>
      </c>
      <c r="W489" s="1" t="str">
        <f>IF(ESTIMATIVA[[#This Row],[QT_AREA_REST2]]&gt;0,"Reestimativa 2",IF(ESTIMATIVA[[#This Row],[QT_AREA_REAL]]=0,"Reestimativa 2","Realizado"))</f>
        <v>Realizado</v>
      </c>
      <c r="X489" s="1">
        <f>ESTIMATIVA[[#This Row],[QT_AREA_EST]]</f>
        <v>15.62</v>
      </c>
      <c r="Y489" s="1">
        <f>IF(ESTIMATIVA[[#This Row],[QT_AREA_REST1]]&gt;0,ESTIMATIVA[[#This Row],[QT_AREA_REST1]],
  IF(ESTIMATIVA[[#This Row],[QT_AREA_REAL]]&gt;0,ESTIMATIVA[[#This Row],[QT_AREA_REAL]],ESTIMATIVA[[#This Row],[QT_AREA_EST]]))</f>
        <v>15.62</v>
      </c>
      <c r="Z48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15.62</v>
      </c>
      <c r="AA489" s="1">
        <f>ESTIMATIVA[[#This Row],[QT_CANA_EST]]</f>
        <v>937.2</v>
      </c>
      <c r="AB489" s="1">
        <f>IF(ESTIMATIVA[[#This Row],[QT_CANA_REST1]]&gt;0,ESTIMATIVA[[#This Row],[QT_CANA_REST1]],
  IF(ESTIMATIVA[[#This Row],[QT_CANA_REAL]]&gt;0,ESTIMATIVA[[#This Row],[QT_CANA_REAL]],ESTIMATIVA[[#This Row],[QT_CANA_EST]]))</f>
        <v>1078.9100000000001</v>
      </c>
      <c r="AC48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1078.9100000000001</v>
      </c>
      <c r="AD489" s="1">
        <f>IF(ESTIMATIVA[[#This Row],[QT_AREA_REAL]]&gt;0,ESTIMATIVA[[#This Row],[QT_CANA_REAL]],ESTIMATIVA[[#This Row],[QT_CANA_EST]])</f>
        <v>1078.9100000000001</v>
      </c>
      <c r="AE489" s="1">
        <f>IF(ESTIMATIVA[[#This Row],[QT_AREA_REAL]]&gt;0,ESTIMATIVA[[#This Row],[QT_CANA_REAL]],ESTIMATIVA[[#This Row],[QT_CANA_REST1]])</f>
        <v>1078.9100000000001</v>
      </c>
      <c r="AF489" s="1">
        <f>IF(ESTIMATIVA[[#This Row],[QT_AREA_REAL]]&gt;0,ESTIMATIVA[[#This Row],[QT_CANA_REAL]],ESTIMATIVA[[#This Row],[QT_CANA_REST2]])</f>
        <v>1078.9100000000001</v>
      </c>
      <c r="AG489" s="1" t="str">
        <f>IF(COUNTIFS(GEADA!A:A,VALUE(ESTIMATIVA[[#This Row],[CD_UPNIVEL1]]&amp;TEXT(ESTIMATIVA[[#This Row],[CD_UPNIVEL3]],"0000")))&gt;0,"S","N")</f>
        <v>N</v>
      </c>
      <c r="AH48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89" s="55" t="str">
        <f>IF(ESTIMATIVA[[#This Row],[TP_CULTIVO]]="Irrigado",_xlfn.MAXIFS(IRRIGADO!J:J,IRRIGADO!C:C,ESTIMATIVA[[#This Row],[CD_UPNIVEL1]],IRRIGADO!E:E,ESTIMATIVA[[#This Row],[CD_UPNIVEL3]]),"")</f>
        <v/>
      </c>
      <c r="AJ48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89" s="1">
        <f>COUNTIFS(Apresentação!$E$23:$E$29,ESTIMATIVA[[#This Row],[CD_UPNIVEL1]])</f>
        <v>0</v>
      </c>
    </row>
    <row r="490" spans="1:37" x14ac:dyDescent="0.3">
      <c r="A490">
        <v>20314</v>
      </c>
      <c r="B490" t="s">
        <v>27</v>
      </c>
      <c r="C490">
        <v>528</v>
      </c>
      <c r="D490">
        <v>4</v>
      </c>
      <c r="E490" t="s">
        <v>265</v>
      </c>
      <c r="F490" s="85" t="s">
        <v>331</v>
      </c>
      <c r="G490"/>
      <c r="H490" t="s">
        <v>295</v>
      </c>
      <c r="I490" t="s">
        <v>204</v>
      </c>
      <c r="J490" t="s">
        <v>176</v>
      </c>
      <c r="K490" s="1">
        <v>7.89</v>
      </c>
      <c r="L490" s="1">
        <v>0</v>
      </c>
      <c r="M490" s="1">
        <v>0</v>
      </c>
      <c r="N490" s="1">
        <v>7.89</v>
      </c>
      <c r="O490" s="1">
        <v>473.4</v>
      </c>
      <c r="P490" s="1">
        <v>0</v>
      </c>
      <c r="Q490" s="1">
        <v>0</v>
      </c>
      <c r="R490" s="1">
        <v>544.58000000000004</v>
      </c>
      <c r="S490" t="s">
        <v>12</v>
      </c>
      <c r="T490" s="13">
        <v>45837</v>
      </c>
      <c r="U490" s="1" t="str">
        <f>IF(ESTIMATIVA[[#This Row],[QT_AREA_REAL]]&gt;0,"1- Colhido","2- à Colher")</f>
        <v>1- Colhido</v>
      </c>
      <c r="V490" s="1" t="str">
        <f>IF(ESTIMATIVA[[#This Row],[QT_AREA_REST1]]&gt;0,"Reestimativa 1",IF(ESTIMATIVA[[#This Row],[QT_AREA_REAL]]=0,"Reestimativa 1","Realizado"))</f>
        <v>Realizado</v>
      </c>
      <c r="W490" s="1" t="str">
        <f>IF(ESTIMATIVA[[#This Row],[QT_AREA_REST2]]&gt;0,"Reestimativa 2",IF(ESTIMATIVA[[#This Row],[QT_AREA_REAL]]=0,"Reestimativa 2","Realizado"))</f>
        <v>Realizado</v>
      </c>
      <c r="X490" s="1">
        <f>ESTIMATIVA[[#This Row],[QT_AREA_EST]]</f>
        <v>7.89</v>
      </c>
      <c r="Y490" s="1">
        <f>IF(ESTIMATIVA[[#This Row],[QT_AREA_REST1]]&gt;0,ESTIMATIVA[[#This Row],[QT_AREA_REST1]],
  IF(ESTIMATIVA[[#This Row],[QT_AREA_REAL]]&gt;0,ESTIMATIVA[[#This Row],[QT_AREA_REAL]],ESTIMATIVA[[#This Row],[QT_AREA_EST]]))</f>
        <v>7.89</v>
      </c>
      <c r="Z49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7.89</v>
      </c>
      <c r="AA490" s="1">
        <f>ESTIMATIVA[[#This Row],[QT_CANA_EST]]</f>
        <v>473.4</v>
      </c>
      <c r="AB490" s="1">
        <f>IF(ESTIMATIVA[[#This Row],[QT_CANA_REST1]]&gt;0,ESTIMATIVA[[#This Row],[QT_CANA_REST1]],
  IF(ESTIMATIVA[[#This Row],[QT_CANA_REAL]]&gt;0,ESTIMATIVA[[#This Row],[QT_CANA_REAL]],ESTIMATIVA[[#This Row],[QT_CANA_EST]]))</f>
        <v>544.58000000000004</v>
      </c>
      <c r="AC49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544.58000000000004</v>
      </c>
      <c r="AD490" s="1">
        <f>IF(ESTIMATIVA[[#This Row],[QT_AREA_REAL]]&gt;0,ESTIMATIVA[[#This Row],[QT_CANA_REAL]],ESTIMATIVA[[#This Row],[QT_CANA_EST]])</f>
        <v>544.58000000000004</v>
      </c>
      <c r="AE490" s="1">
        <f>IF(ESTIMATIVA[[#This Row],[QT_AREA_REAL]]&gt;0,ESTIMATIVA[[#This Row],[QT_CANA_REAL]],ESTIMATIVA[[#This Row],[QT_CANA_REST1]])</f>
        <v>544.58000000000004</v>
      </c>
      <c r="AF490" s="1">
        <f>IF(ESTIMATIVA[[#This Row],[QT_AREA_REAL]]&gt;0,ESTIMATIVA[[#This Row],[QT_CANA_REAL]],ESTIMATIVA[[#This Row],[QT_CANA_REST2]])</f>
        <v>544.58000000000004</v>
      </c>
      <c r="AG490" s="1" t="str">
        <f>IF(COUNTIFS(GEADA!A:A,VALUE(ESTIMATIVA[[#This Row],[CD_UPNIVEL1]]&amp;TEXT(ESTIMATIVA[[#This Row],[CD_UPNIVEL3]],"0000")))&gt;0,"S","N")</f>
        <v>N</v>
      </c>
      <c r="AH49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90" s="55" t="str">
        <f>IF(ESTIMATIVA[[#This Row],[TP_CULTIVO]]="Irrigado",_xlfn.MAXIFS(IRRIGADO!J:J,IRRIGADO!C:C,ESTIMATIVA[[#This Row],[CD_UPNIVEL1]],IRRIGADO!E:E,ESTIMATIVA[[#This Row],[CD_UPNIVEL3]]),"")</f>
        <v/>
      </c>
      <c r="AJ49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90" s="1">
        <f>COUNTIFS(Apresentação!$E$23:$E$29,ESTIMATIVA[[#This Row],[CD_UPNIVEL1]])</f>
        <v>0</v>
      </c>
    </row>
    <row r="491" spans="1:37" x14ac:dyDescent="0.3">
      <c r="A491">
        <v>20314</v>
      </c>
      <c r="B491" t="s">
        <v>27</v>
      </c>
      <c r="C491">
        <v>529</v>
      </c>
      <c r="D491">
        <v>4</v>
      </c>
      <c r="E491" t="s">
        <v>265</v>
      </c>
      <c r="F491" s="85" t="s">
        <v>331</v>
      </c>
      <c r="G491"/>
      <c r="H491" t="s">
        <v>295</v>
      </c>
      <c r="I491" t="s">
        <v>204</v>
      </c>
      <c r="J491" t="s">
        <v>176</v>
      </c>
      <c r="K491" s="1">
        <v>23.53</v>
      </c>
      <c r="L491" s="1">
        <v>0</v>
      </c>
      <c r="M491" s="1">
        <v>0</v>
      </c>
      <c r="N491" s="1">
        <v>23.53</v>
      </c>
      <c r="O491" s="1">
        <v>1411.8</v>
      </c>
      <c r="P491" s="1">
        <v>0</v>
      </c>
      <c r="Q491" s="1">
        <v>0</v>
      </c>
      <c r="R491" s="1">
        <v>1626.34</v>
      </c>
      <c r="S491" t="s">
        <v>12</v>
      </c>
      <c r="T491" s="13">
        <v>45837</v>
      </c>
      <c r="U491" s="1" t="str">
        <f>IF(ESTIMATIVA[[#This Row],[QT_AREA_REAL]]&gt;0,"1- Colhido","2- à Colher")</f>
        <v>1- Colhido</v>
      </c>
      <c r="V491" s="1" t="str">
        <f>IF(ESTIMATIVA[[#This Row],[QT_AREA_REST1]]&gt;0,"Reestimativa 1",IF(ESTIMATIVA[[#This Row],[QT_AREA_REAL]]=0,"Reestimativa 1","Realizado"))</f>
        <v>Realizado</v>
      </c>
      <c r="W491" s="1" t="str">
        <f>IF(ESTIMATIVA[[#This Row],[QT_AREA_REST2]]&gt;0,"Reestimativa 2",IF(ESTIMATIVA[[#This Row],[QT_AREA_REAL]]=0,"Reestimativa 2","Realizado"))</f>
        <v>Realizado</v>
      </c>
      <c r="X491" s="1">
        <f>ESTIMATIVA[[#This Row],[QT_AREA_EST]]</f>
        <v>23.53</v>
      </c>
      <c r="Y491" s="1">
        <f>IF(ESTIMATIVA[[#This Row],[QT_AREA_REST1]]&gt;0,ESTIMATIVA[[#This Row],[QT_AREA_REST1]],
  IF(ESTIMATIVA[[#This Row],[QT_AREA_REAL]]&gt;0,ESTIMATIVA[[#This Row],[QT_AREA_REAL]],ESTIMATIVA[[#This Row],[QT_AREA_EST]]))</f>
        <v>23.53</v>
      </c>
      <c r="Z49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23.53</v>
      </c>
      <c r="AA491" s="1">
        <f>ESTIMATIVA[[#This Row],[QT_CANA_EST]]</f>
        <v>1411.8</v>
      </c>
      <c r="AB491" s="1">
        <f>IF(ESTIMATIVA[[#This Row],[QT_CANA_REST1]]&gt;0,ESTIMATIVA[[#This Row],[QT_CANA_REST1]],
  IF(ESTIMATIVA[[#This Row],[QT_CANA_REAL]]&gt;0,ESTIMATIVA[[#This Row],[QT_CANA_REAL]],ESTIMATIVA[[#This Row],[QT_CANA_EST]]))</f>
        <v>1626.34</v>
      </c>
      <c r="AC49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1626.34</v>
      </c>
      <c r="AD491" s="1">
        <f>IF(ESTIMATIVA[[#This Row],[QT_AREA_REAL]]&gt;0,ESTIMATIVA[[#This Row],[QT_CANA_REAL]],ESTIMATIVA[[#This Row],[QT_CANA_EST]])</f>
        <v>1626.34</v>
      </c>
      <c r="AE491" s="1">
        <f>IF(ESTIMATIVA[[#This Row],[QT_AREA_REAL]]&gt;0,ESTIMATIVA[[#This Row],[QT_CANA_REAL]],ESTIMATIVA[[#This Row],[QT_CANA_REST1]])</f>
        <v>1626.34</v>
      </c>
      <c r="AF491" s="1">
        <f>IF(ESTIMATIVA[[#This Row],[QT_AREA_REAL]]&gt;0,ESTIMATIVA[[#This Row],[QT_CANA_REAL]],ESTIMATIVA[[#This Row],[QT_CANA_REST2]])</f>
        <v>1626.34</v>
      </c>
      <c r="AG491" s="1" t="str">
        <f>IF(COUNTIFS(GEADA!A:A,VALUE(ESTIMATIVA[[#This Row],[CD_UPNIVEL1]]&amp;TEXT(ESTIMATIVA[[#This Row],[CD_UPNIVEL3]],"0000")))&gt;0,"S","N")</f>
        <v>N</v>
      </c>
      <c r="AH49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91" s="55" t="str">
        <f>IF(ESTIMATIVA[[#This Row],[TP_CULTIVO]]="Irrigado",_xlfn.MAXIFS(IRRIGADO!J:J,IRRIGADO!C:C,ESTIMATIVA[[#This Row],[CD_UPNIVEL1]],IRRIGADO!E:E,ESTIMATIVA[[#This Row],[CD_UPNIVEL3]]),"")</f>
        <v/>
      </c>
      <c r="AJ49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91" s="1">
        <f>COUNTIFS(Apresentação!$E$23:$E$29,ESTIMATIVA[[#This Row],[CD_UPNIVEL1]])</f>
        <v>0</v>
      </c>
    </row>
    <row r="492" spans="1:37" x14ac:dyDescent="0.3">
      <c r="A492">
        <v>20314</v>
      </c>
      <c r="B492" t="s">
        <v>27</v>
      </c>
      <c r="C492">
        <v>530</v>
      </c>
      <c r="D492">
        <v>4</v>
      </c>
      <c r="E492" t="s">
        <v>265</v>
      </c>
      <c r="F492" s="85" t="s">
        <v>331</v>
      </c>
      <c r="G492"/>
      <c r="H492" t="s">
        <v>295</v>
      </c>
      <c r="I492" t="s">
        <v>197</v>
      </c>
      <c r="J492" t="s">
        <v>176</v>
      </c>
      <c r="K492" s="1">
        <v>26.2</v>
      </c>
      <c r="L492" s="1">
        <v>0</v>
      </c>
      <c r="M492" s="1">
        <v>0</v>
      </c>
      <c r="N492" s="1">
        <v>26.2</v>
      </c>
      <c r="O492" s="1">
        <v>1572</v>
      </c>
      <c r="P492" s="1">
        <v>0</v>
      </c>
      <c r="Q492" s="1">
        <v>0</v>
      </c>
      <c r="R492" s="1">
        <v>1941.48</v>
      </c>
      <c r="S492" t="s">
        <v>12</v>
      </c>
      <c r="T492" s="13">
        <v>45837</v>
      </c>
      <c r="U492" s="1" t="str">
        <f>IF(ESTIMATIVA[[#This Row],[QT_AREA_REAL]]&gt;0,"1- Colhido","2- à Colher")</f>
        <v>1- Colhido</v>
      </c>
      <c r="V492" s="1" t="str">
        <f>IF(ESTIMATIVA[[#This Row],[QT_AREA_REST1]]&gt;0,"Reestimativa 1",IF(ESTIMATIVA[[#This Row],[QT_AREA_REAL]]=0,"Reestimativa 1","Realizado"))</f>
        <v>Realizado</v>
      </c>
      <c r="W492" s="1" t="str">
        <f>IF(ESTIMATIVA[[#This Row],[QT_AREA_REST2]]&gt;0,"Reestimativa 2",IF(ESTIMATIVA[[#This Row],[QT_AREA_REAL]]=0,"Reestimativa 2","Realizado"))</f>
        <v>Realizado</v>
      </c>
      <c r="X492" s="1">
        <f>ESTIMATIVA[[#This Row],[QT_AREA_EST]]</f>
        <v>26.2</v>
      </c>
      <c r="Y492" s="1">
        <f>IF(ESTIMATIVA[[#This Row],[QT_AREA_REST1]]&gt;0,ESTIMATIVA[[#This Row],[QT_AREA_REST1]],
  IF(ESTIMATIVA[[#This Row],[QT_AREA_REAL]]&gt;0,ESTIMATIVA[[#This Row],[QT_AREA_REAL]],ESTIMATIVA[[#This Row],[QT_AREA_EST]]))</f>
        <v>26.2</v>
      </c>
      <c r="Z49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26.2</v>
      </c>
      <c r="AA492" s="1">
        <f>ESTIMATIVA[[#This Row],[QT_CANA_EST]]</f>
        <v>1572</v>
      </c>
      <c r="AB492" s="1">
        <f>IF(ESTIMATIVA[[#This Row],[QT_CANA_REST1]]&gt;0,ESTIMATIVA[[#This Row],[QT_CANA_REST1]],
  IF(ESTIMATIVA[[#This Row],[QT_CANA_REAL]]&gt;0,ESTIMATIVA[[#This Row],[QT_CANA_REAL]],ESTIMATIVA[[#This Row],[QT_CANA_EST]]))</f>
        <v>1941.48</v>
      </c>
      <c r="AC49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1941.48</v>
      </c>
      <c r="AD492" s="1">
        <f>IF(ESTIMATIVA[[#This Row],[QT_AREA_REAL]]&gt;0,ESTIMATIVA[[#This Row],[QT_CANA_REAL]],ESTIMATIVA[[#This Row],[QT_CANA_EST]])</f>
        <v>1941.48</v>
      </c>
      <c r="AE492" s="1">
        <f>IF(ESTIMATIVA[[#This Row],[QT_AREA_REAL]]&gt;0,ESTIMATIVA[[#This Row],[QT_CANA_REAL]],ESTIMATIVA[[#This Row],[QT_CANA_REST1]])</f>
        <v>1941.48</v>
      </c>
      <c r="AF492" s="1">
        <f>IF(ESTIMATIVA[[#This Row],[QT_AREA_REAL]]&gt;0,ESTIMATIVA[[#This Row],[QT_CANA_REAL]],ESTIMATIVA[[#This Row],[QT_CANA_REST2]])</f>
        <v>1941.48</v>
      </c>
      <c r="AG492" s="1" t="str">
        <f>IF(COUNTIFS(GEADA!A:A,VALUE(ESTIMATIVA[[#This Row],[CD_UPNIVEL1]]&amp;TEXT(ESTIMATIVA[[#This Row],[CD_UPNIVEL3]],"0000")))&gt;0,"S","N")</f>
        <v>N</v>
      </c>
      <c r="AH49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92" s="55" t="str">
        <f>IF(ESTIMATIVA[[#This Row],[TP_CULTIVO]]="Irrigado",_xlfn.MAXIFS(IRRIGADO!J:J,IRRIGADO!C:C,ESTIMATIVA[[#This Row],[CD_UPNIVEL1]],IRRIGADO!E:E,ESTIMATIVA[[#This Row],[CD_UPNIVEL3]]),"")</f>
        <v/>
      </c>
      <c r="AJ49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92" s="1">
        <f>COUNTIFS(Apresentação!$E$23:$E$29,ESTIMATIVA[[#This Row],[CD_UPNIVEL1]])</f>
        <v>0</v>
      </c>
    </row>
    <row r="493" spans="1:37" x14ac:dyDescent="0.3">
      <c r="A493">
        <v>20314</v>
      </c>
      <c r="B493" t="s">
        <v>27</v>
      </c>
      <c r="C493">
        <v>531</v>
      </c>
      <c r="D493">
        <v>4</v>
      </c>
      <c r="E493" t="s">
        <v>265</v>
      </c>
      <c r="F493" s="85" t="s">
        <v>331</v>
      </c>
      <c r="G493"/>
      <c r="H493" t="s">
        <v>295</v>
      </c>
      <c r="I493" t="s">
        <v>197</v>
      </c>
      <c r="J493" t="s">
        <v>176</v>
      </c>
      <c r="K493" s="1">
        <v>40.700000000000003</v>
      </c>
      <c r="L493" s="1">
        <v>0</v>
      </c>
      <c r="M493" s="1">
        <v>0</v>
      </c>
      <c r="N493" s="1">
        <v>40.700000000000003</v>
      </c>
      <c r="O493" s="1">
        <v>2442</v>
      </c>
      <c r="P493" s="1">
        <v>0</v>
      </c>
      <c r="Q493" s="1">
        <v>0</v>
      </c>
      <c r="R493" s="1">
        <v>3016.14</v>
      </c>
      <c r="S493" t="s">
        <v>12</v>
      </c>
      <c r="T493" s="13">
        <v>45837</v>
      </c>
      <c r="U493" s="1" t="str">
        <f>IF(ESTIMATIVA[[#This Row],[QT_AREA_REAL]]&gt;0,"1- Colhido","2- à Colher")</f>
        <v>1- Colhido</v>
      </c>
      <c r="V493" s="1" t="str">
        <f>IF(ESTIMATIVA[[#This Row],[QT_AREA_REST1]]&gt;0,"Reestimativa 1",IF(ESTIMATIVA[[#This Row],[QT_AREA_REAL]]=0,"Reestimativa 1","Realizado"))</f>
        <v>Realizado</v>
      </c>
      <c r="W493" s="1" t="str">
        <f>IF(ESTIMATIVA[[#This Row],[QT_AREA_REST2]]&gt;0,"Reestimativa 2",IF(ESTIMATIVA[[#This Row],[QT_AREA_REAL]]=0,"Reestimativa 2","Realizado"))</f>
        <v>Realizado</v>
      </c>
      <c r="X493" s="1">
        <f>ESTIMATIVA[[#This Row],[QT_AREA_EST]]</f>
        <v>40.700000000000003</v>
      </c>
      <c r="Y493" s="1">
        <f>IF(ESTIMATIVA[[#This Row],[QT_AREA_REST1]]&gt;0,ESTIMATIVA[[#This Row],[QT_AREA_REST1]],
  IF(ESTIMATIVA[[#This Row],[QT_AREA_REAL]]&gt;0,ESTIMATIVA[[#This Row],[QT_AREA_REAL]],ESTIMATIVA[[#This Row],[QT_AREA_EST]]))</f>
        <v>40.700000000000003</v>
      </c>
      <c r="Z49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40.700000000000003</v>
      </c>
      <c r="AA493" s="1">
        <f>ESTIMATIVA[[#This Row],[QT_CANA_EST]]</f>
        <v>2442</v>
      </c>
      <c r="AB493" s="1">
        <f>IF(ESTIMATIVA[[#This Row],[QT_CANA_REST1]]&gt;0,ESTIMATIVA[[#This Row],[QT_CANA_REST1]],
  IF(ESTIMATIVA[[#This Row],[QT_CANA_REAL]]&gt;0,ESTIMATIVA[[#This Row],[QT_CANA_REAL]],ESTIMATIVA[[#This Row],[QT_CANA_EST]]))</f>
        <v>3016.14</v>
      </c>
      <c r="AC49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3016.14</v>
      </c>
      <c r="AD493" s="1">
        <f>IF(ESTIMATIVA[[#This Row],[QT_AREA_REAL]]&gt;0,ESTIMATIVA[[#This Row],[QT_CANA_REAL]],ESTIMATIVA[[#This Row],[QT_CANA_EST]])</f>
        <v>3016.14</v>
      </c>
      <c r="AE493" s="1">
        <f>IF(ESTIMATIVA[[#This Row],[QT_AREA_REAL]]&gt;0,ESTIMATIVA[[#This Row],[QT_CANA_REAL]],ESTIMATIVA[[#This Row],[QT_CANA_REST1]])</f>
        <v>3016.14</v>
      </c>
      <c r="AF493" s="1">
        <f>IF(ESTIMATIVA[[#This Row],[QT_AREA_REAL]]&gt;0,ESTIMATIVA[[#This Row],[QT_CANA_REAL]],ESTIMATIVA[[#This Row],[QT_CANA_REST2]])</f>
        <v>3016.14</v>
      </c>
      <c r="AG493" s="1" t="str">
        <f>IF(COUNTIFS(GEADA!A:A,VALUE(ESTIMATIVA[[#This Row],[CD_UPNIVEL1]]&amp;TEXT(ESTIMATIVA[[#This Row],[CD_UPNIVEL3]],"0000")))&gt;0,"S","N")</f>
        <v>N</v>
      </c>
      <c r="AH49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93" s="55" t="str">
        <f>IF(ESTIMATIVA[[#This Row],[TP_CULTIVO]]="Irrigado",_xlfn.MAXIFS(IRRIGADO!J:J,IRRIGADO!C:C,ESTIMATIVA[[#This Row],[CD_UPNIVEL1]],IRRIGADO!E:E,ESTIMATIVA[[#This Row],[CD_UPNIVEL3]]),"")</f>
        <v/>
      </c>
      <c r="AJ49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93" s="1">
        <f>COUNTIFS(Apresentação!$E$23:$E$29,ESTIMATIVA[[#This Row],[CD_UPNIVEL1]])</f>
        <v>0</v>
      </c>
    </row>
    <row r="494" spans="1:37" x14ac:dyDescent="0.3">
      <c r="A494">
        <v>20314</v>
      </c>
      <c r="B494" t="s">
        <v>27</v>
      </c>
      <c r="C494">
        <v>532</v>
      </c>
      <c r="D494">
        <v>4</v>
      </c>
      <c r="E494" t="s">
        <v>265</v>
      </c>
      <c r="F494" s="85" t="s">
        <v>329</v>
      </c>
      <c r="G494"/>
      <c r="H494" t="s">
        <v>295</v>
      </c>
      <c r="I494" t="s">
        <v>197</v>
      </c>
      <c r="J494" t="s">
        <v>176</v>
      </c>
      <c r="K494" s="1">
        <v>21.29</v>
      </c>
      <c r="L494" s="1">
        <v>0</v>
      </c>
      <c r="M494" s="1">
        <v>0</v>
      </c>
      <c r="N494" s="1">
        <v>21.29</v>
      </c>
      <c r="O494" s="1">
        <v>1830.94</v>
      </c>
      <c r="P494" s="1">
        <v>0</v>
      </c>
      <c r="Q494" s="1">
        <v>0</v>
      </c>
      <c r="R494" s="1">
        <v>1821.63</v>
      </c>
      <c r="S494" t="s">
        <v>12</v>
      </c>
      <c r="T494" s="13">
        <v>45844</v>
      </c>
      <c r="U494" s="1" t="str">
        <f>IF(ESTIMATIVA[[#This Row],[QT_AREA_REAL]]&gt;0,"1- Colhido","2- à Colher")</f>
        <v>1- Colhido</v>
      </c>
      <c r="V494" s="1" t="str">
        <f>IF(ESTIMATIVA[[#This Row],[QT_AREA_REST1]]&gt;0,"Reestimativa 1",IF(ESTIMATIVA[[#This Row],[QT_AREA_REAL]]=0,"Reestimativa 1","Realizado"))</f>
        <v>Realizado</v>
      </c>
      <c r="W494" s="1" t="str">
        <f>IF(ESTIMATIVA[[#This Row],[QT_AREA_REST2]]&gt;0,"Reestimativa 2",IF(ESTIMATIVA[[#This Row],[QT_AREA_REAL]]=0,"Reestimativa 2","Realizado"))</f>
        <v>Realizado</v>
      </c>
      <c r="X494" s="1">
        <f>ESTIMATIVA[[#This Row],[QT_AREA_EST]]</f>
        <v>21.29</v>
      </c>
      <c r="Y494" s="1">
        <f>IF(ESTIMATIVA[[#This Row],[QT_AREA_REST1]]&gt;0,ESTIMATIVA[[#This Row],[QT_AREA_REST1]],
  IF(ESTIMATIVA[[#This Row],[QT_AREA_REAL]]&gt;0,ESTIMATIVA[[#This Row],[QT_AREA_REAL]],ESTIMATIVA[[#This Row],[QT_AREA_EST]]))</f>
        <v>21.29</v>
      </c>
      <c r="Z49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21.29</v>
      </c>
      <c r="AA494" s="1">
        <f>ESTIMATIVA[[#This Row],[QT_CANA_EST]]</f>
        <v>1830.94</v>
      </c>
      <c r="AB494" s="1">
        <f>IF(ESTIMATIVA[[#This Row],[QT_CANA_REST1]]&gt;0,ESTIMATIVA[[#This Row],[QT_CANA_REST1]],
  IF(ESTIMATIVA[[#This Row],[QT_CANA_REAL]]&gt;0,ESTIMATIVA[[#This Row],[QT_CANA_REAL]],ESTIMATIVA[[#This Row],[QT_CANA_EST]]))</f>
        <v>1821.63</v>
      </c>
      <c r="AC49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1821.63</v>
      </c>
      <c r="AD494" s="1">
        <f>IF(ESTIMATIVA[[#This Row],[QT_AREA_REAL]]&gt;0,ESTIMATIVA[[#This Row],[QT_CANA_REAL]],ESTIMATIVA[[#This Row],[QT_CANA_EST]])</f>
        <v>1821.63</v>
      </c>
      <c r="AE494" s="1">
        <f>IF(ESTIMATIVA[[#This Row],[QT_AREA_REAL]]&gt;0,ESTIMATIVA[[#This Row],[QT_CANA_REAL]],ESTIMATIVA[[#This Row],[QT_CANA_REST1]])</f>
        <v>1821.63</v>
      </c>
      <c r="AF494" s="1">
        <f>IF(ESTIMATIVA[[#This Row],[QT_AREA_REAL]]&gt;0,ESTIMATIVA[[#This Row],[QT_CANA_REAL]],ESTIMATIVA[[#This Row],[QT_CANA_REST2]])</f>
        <v>1821.63</v>
      </c>
      <c r="AG494" s="1" t="str">
        <f>IF(COUNTIFS(GEADA!A:A,VALUE(ESTIMATIVA[[#This Row],[CD_UPNIVEL1]]&amp;TEXT(ESTIMATIVA[[#This Row],[CD_UPNIVEL3]],"0000")))&gt;0,"S","N")</f>
        <v>N</v>
      </c>
      <c r="AH49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94" s="55" t="str">
        <f>IF(ESTIMATIVA[[#This Row],[TP_CULTIVO]]="Irrigado",_xlfn.MAXIFS(IRRIGADO!J:J,IRRIGADO!C:C,ESTIMATIVA[[#This Row],[CD_UPNIVEL1]],IRRIGADO!E:E,ESTIMATIVA[[#This Row],[CD_UPNIVEL3]]),"")</f>
        <v/>
      </c>
      <c r="AJ49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94" s="1">
        <f>COUNTIFS(Apresentação!$E$23:$E$29,ESTIMATIVA[[#This Row],[CD_UPNIVEL1]])</f>
        <v>0</v>
      </c>
    </row>
    <row r="495" spans="1:37" x14ac:dyDescent="0.3">
      <c r="A495">
        <v>20314</v>
      </c>
      <c r="B495" t="s">
        <v>27</v>
      </c>
      <c r="C495">
        <v>533</v>
      </c>
      <c r="D495">
        <v>4</v>
      </c>
      <c r="E495" t="s">
        <v>265</v>
      </c>
      <c r="F495" s="85" t="s">
        <v>329</v>
      </c>
      <c r="G495"/>
      <c r="H495" t="s">
        <v>295</v>
      </c>
      <c r="I495" t="s">
        <v>204</v>
      </c>
      <c r="J495" t="s">
        <v>176</v>
      </c>
      <c r="K495" s="1">
        <v>26.74</v>
      </c>
      <c r="L495" s="1">
        <v>0</v>
      </c>
      <c r="M495" s="1">
        <v>0</v>
      </c>
      <c r="N495" s="1">
        <v>26.74</v>
      </c>
      <c r="O495" s="1">
        <v>2299.64</v>
      </c>
      <c r="P495" s="1">
        <v>0</v>
      </c>
      <c r="Q495" s="1">
        <v>0</v>
      </c>
      <c r="R495" s="1">
        <v>2288.2600000000002</v>
      </c>
      <c r="S495" t="s">
        <v>12</v>
      </c>
      <c r="T495" s="13">
        <v>45844</v>
      </c>
      <c r="U495" s="1" t="str">
        <f>IF(ESTIMATIVA[[#This Row],[QT_AREA_REAL]]&gt;0,"1- Colhido","2- à Colher")</f>
        <v>1- Colhido</v>
      </c>
      <c r="V495" s="1" t="str">
        <f>IF(ESTIMATIVA[[#This Row],[QT_AREA_REST1]]&gt;0,"Reestimativa 1",IF(ESTIMATIVA[[#This Row],[QT_AREA_REAL]]=0,"Reestimativa 1","Realizado"))</f>
        <v>Realizado</v>
      </c>
      <c r="W495" s="1" t="str">
        <f>IF(ESTIMATIVA[[#This Row],[QT_AREA_REST2]]&gt;0,"Reestimativa 2",IF(ESTIMATIVA[[#This Row],[QT_AREA_REAL]]=0,"Reestimativa 2","Realizado"))</f>
        <v>Realizado</v>
      </c>
      <c r="X495" s="1">
        <f>ESTIMATIVA[[#This Row],[QT_AREA_EST]]</f>
        <v>26.74</v>
      </c>
      <c r="Y495" s="1">
        <f>IF(ESTIMATIVA[[#This Row],[QT_AREA_REST1]]&gt;0,ESTIMATIVA[[#This Row],[QT_AREA_REST1]],
  IF(ESTIMATIVA[[#This Row],[QT_AREA_REAL]]&gt;0,ESTIMATIVA[[#This Row],[QT_AREA_REAL]],ESTIMATIVA[[#This Row],[QT_AREA_EST]]))</f>
        <v>26.74</v>
      </c>
      <c r="Z49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26.74</v>
      </c>
      <c r="AA495" s="1">
        <f>ESTIMATIVA[[#This Row],[QT_CANA_EST]]</f>
        <v>2299.64</v>
      </c>
      <c r="AB495" s="1">
        <f>IF(ESTIMATIVA[[#This Row],[QT_CANA_REST1]]&gt;0,ESTIMATIVA[[#This Row],[QT_CANA_REST1]],
  IF(ESTIMATIVA[[#This Row],[QT_CANA_REAL]]&gt;0,ESTIMATIVA[[#This Row],[QT_CANA_REAL]],ESTIMATIVA[[#This Row],[QT_CANA_EST]]))</f>
        <v>2288.2600000000002</v>
      </c>
      <c r="AC49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2288.2600000000002</v>
      </c>
      <c r="AD495" s="1">
        <f>IF(ESTIMATIVA[[#This Row],[QT_AREA_REAL]]&gt;0,ESTIMATIVA[[#This Row],[QT_CANA_REAL]],ESTIMATIVA[[#This Row],[QT_CANA_EST]])</f>
        <v>2288.2600000000002</v>
      </c>
      <c r="AE495" s="1">
        <f>IF(ESTIMATIVA[[#This Row],[QT_AREA_REAL]]&gt;0,ESTIMATIVA[[#This Row],[QT_CANA_REAL]],ESTIMATIVA[[#This Row],[QT_CANA_REST1]])</f>
        <v>2288.2600000000002</v>
      </c>
      <c r="AF495" s="1">
        <f>IF(ESTIMATIVA[[#This Row],[QT_AREA_REAL]]&gt;0,ESTIMATIVA[[#This Row],[QT_CANA_REAL]],ESTIMATIVA[[#This Row],[QT_CANA_REST2]])</f>
        <v>2288.2600000000002</v>
      </c>
      <c r="AG495" s="1" t="str">
        <f>IF(COUNTIFS(GEADA!A:A,VALUE(ESTIMATIVA[[#This Row],[CD_UPNIVEL1]]&amp;TEXT(ESTIMATIVA[[#This Row],[CD_UPNIVEL3]],"0000")))&gt;0,"S","N")</f>
        <v>N</v>
      </c>
      <c r="AH49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95" s="55" t="str">
        <f>IF(ESTIMATIVA[[#This Row],[TP_CULTIVO]]="Irrigado",_xlfn.MAXIFS(IRRIGADO!J:J,IRRIGADO!C:C,ESTIMATIVA[[#This Row],[CD_UPNIVEL1]],IRRIGADO!E:E,ESTIMATIVA[[#This Row],[CD_UPNIVEL3]]),"")</f>
        <v/>
      </c>
      <c r="AJ49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95" s="1">
        <f>COUNTIFS(Apresentação!$E$23:$E$29,ESTIMATIVA[[#This Row],[CD_UPNIVEL1]])</f>
        <v>0</v>
      </c>
    </row>
    <row r="496" spans="1:37" x14ac:dyDescent="0.3">
      <c r="A496">
        <v>20314</v>
      </c>
      <c r="B496" t="s">
        <v>27</v>
      </c>
      <c r="C496">
        <v>534</v>
      </c>
      <c r="D496">
        <v>4</v>
      </c>
      <c r="E496" t="s">
        <v>265</v>
      </c>
      <c r="F496" s="85" t="s">
        <v>332</v>
      </c>
      <c r="G496"/>
      <c r="H496" t="s">
        <v>295</v>
      </c>
      <c r="I496" t="s">
        <v>204</v>
      </c>
      <c r="J496" t="s">
        <v>176</v>
      </c>
      <c r="K496" s="1">
        <v>24.73</v>
      </c>
      <c r="L496" s="1">
        <v>0</v>
      </c>
      <c r="M496" s="1">
        <v>0</v>
      </c>
      <c r="N496" s="1">
        <v>24.73</v>
      </c>
      <c r="O496" s="1">
        <v>2126.7800000000002</v>
      </c>
      <c r="P496" s="1">
        <v>0</v>
      </c>
      <c r="Q496" s="1">
        <v>0</v>
      </c>
      <c r="R496" s="1">
        <v>2116.14</v>
      </c>
      <c r="S496" t="s">
        <v>12</v>
      </c>
      <c r="T496" s="13">
        <v>45844</v>
      </c>
      <c r="U496" s="1" t="str">
        <f>IF(ESTIMATIVA[[#This Row],[QT_AREA_REAL]]&gt;0,"1- Colhido","2- à Colher")</f>
        <v>1- Colhido</v>
      </c>
      <c r="V496" s="1" t="str">
        <f>IF(ESTIMATIVA[[#This Row],[QT_AREA_REST1]]&gt;0,"Reestimativa 1",IF(ESTIMATIVA[[#This Row],[QT_AREA_REAL]]=0,"Reestimativa 1","Realizado"))</f>
        <v>Realizado</v>
      </c>
      <c r="W496" s="1" t="str">
        <f>IF(ESTIMATIVA[[#This Row],[QT_AREA_REST2]]&gt;0,"Reestimativa 2",IF(ESTIMATIVA[[#This Row],[QT_AREA_REAL]]=0,"Reestimativa 2","Realizado"))</f>
        <v>Realizado</v>
      </c>
      <c r="X496" s="1">
        <f>ESTIMATIVA[[#This Row],[QT_AREA_EST]]</f>
        <v>24.73</v>
      </c>
      <c r="Y496" s="1">
        <f>IF(ESTIMATIVA[[#This Row],[QT_AREA_REST1]]&gt;0,ESTIMATIVA[[#This Row],[QT_AREA_REST1]],
  IF(ESTIMATIVA[[#This Row],[QT_AREA_REAL]]&gt;0,ESTIMATIVA[[#This Row],[QT_AREA_REAL]],ESTIMATIVA[[#This Row],[QT_AREA_EST]]))</f>
        <v>24.73</v>
      </c>
      <c r="Z49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24.73</v>
      </c>
      <c r="AA496" s="1">
        <f>ESTIMATIVA[[#This Row],[QT_CANA_EST]]</f>
        <v>2126.7800000000002</v>
      </c>
      <c r="AB496" s="1">
        <f>IF(ESTIMATIVA[[#This Row],[QT_CANA_REST1]]&gt;0,ESTIMATIVA[[#This Row],[QT_CANA_REST1]],
  IF(ESTIMATIVA[[#This Row],[QT_CANA_REAL]]&gt;0,ESTIMATIVA[[#This Row],[QT_CANA_REAL]],ESTIMATIVA[[#This Row],[QT_CANA_EST]]))</f>
        <v>2116.14</v>
      </c>
      <c r="AC49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2116.14</v>
      </c>
      <c r="AD496" s="1">
        <f>IF(ESTIMATIVA[[#This Row],[QT_AREA_REAL]]&gt;0,ESTIMATIVA[[#This Row],[QT_CANA_REAL]],ESTIMATIVA[[#This Row],[QT_CANA_EST]])</f>
        <v>2116.14</v>
      </c>
      <c r="AE496" s="1">
        <f>IF(ESTIMATIVA[[#This Row],[QT_AREA_REAL]]&gt;0,ESTIMATIVA[[#This Row],[QT_CANA_REAL]],ESTIMATIVA[[#This Row],[QT_CANA_REST1]])</f>
        <v>2116.14</v>
      </c>
      <c r="AF496" s="1">
        <f>IF(ESTIMATIVA[[#This Row],[QT_AREA_REAL]]&gt;0,ESTIMATIVA[[#This Row],[QT_CANA_REAL]],ESTIMATIVA[[#This Row],[QT_CANA_REST2]])</f>
        <v>2116.14</v>
      </c>
      <c r="AG496" s="1" t="str">
        <f>IF(COUNTIFS(GEADA!A:A,VALUE(ESTIMATIVA[[#This Row],[CD_UPNIVEL1]]&amp;TEXT(ESTIMATIVA[[#This Row],[CD_UPNIVEL3]],"0000")))&gt;0,"S","N")</f>
        <v>N</v>
      </c>
      <c r="AH49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96" s="55" t="str">
        <f>IF(ESTIMATIVA[[#This Row],[TP_CULTIVO]]="Irrigado",_xlfn.MAXIFS(IRRIGADO!J:J,IRRIGADO!C:C,ESTIMATIVA[[#This Row],[CD_UPNIVEL1]],IRRIGADO!E:E,ESTIMATIVA[[#This Row],[CD_UPNIVEL3]]),"")</f>
        <v/>
      </c>
      <c r="AJ49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96" s="1">
        <f>COUNTIFS(Apresentação!$E$23:$E$29,ESTIMATIVA[[#This Row],[CD_UPNIVEL1]])</f>
        <v>0</v>
      </c>
    </row>
    <row r="497" spans="1:37" x14ac:dyDescent="0.3">
      <c r="A497">
        <v>20314</v>
      </c>
      <c r="B497" t="s">
        <v>27</v>
      </c>
      <c r="C497">
        <v>535</v>
      </c>
      <c r="D497">
        <v>4</v>
      </c>
      <c r="E497" t="s">
        <v>265</v>
      </c>
      <c r="F497" s="85" t="s">
        <v>332</v>
      </c>
      <c r="G497"/>
      <c r="H497" t="s">
        <v>295</v>
      </c>
      <c r="I497" t="s">
        <v>204</v>
      </c>
      <c r="J497" t="s">
        <v>176</v>
      </c>
      <c r="K497" s="1">
        <v>34.270000000000003</v>
      </c>
      <c r="L497" s="1">
        <v>0</v>
      </c>
      <c r="M497" s="1">
        <v>0</v>
      </c>
      <c r="N497" s="1">
        <v>34.270000000000003</v>
      </c>
      <c r="O497" s="1">
        <v>2947.22</v>
      </c>
      <c r="P497" s="1">
        <v>0</v>
      </c>
      <c r="Q497" s="1">
        <v>0</v>
      </c>
      <c r="R497" s="1">
        <v>2932.59</v>
      </c>
      <c r="S497" t="s">
        <v>12</v>
      </c>
      <c r="T497" s="13">
        <v>45844</v>
      </c>
      <c r="U497" s="1" t="str">
        <f>IF(ESTIMATIVA[[#This Row],[QT_AREA_REAL]]&gt;0,"1- Colhido","2- à Colher")</f>
        <v>1- Colhido</v>
      </c>
      <c r="V497" s="1" t="str">
        <f>IF(ESTIMATIVA[[#This Row],[QT_AREA_REST1]]&gt;0,"Reestimativa 1",IF(ESTIMATIVA[[#This Row],[QT_AREA_REAL]]=0,"Reestimativa 1","Realizado"))</f>
        <v>Realizado</v>
      </c>
      <c r="W497" s="1" t="str">
        <f>IF(ESTIMATIVA[[#This Row],[QT_AREA_REST2]]&gt;0,"Reestimativa 2",IF(ESTIMATIVA[[#This Row],[QT_AREA_REAL]]=0,"Reestimativa 2","Realizado"))</f>
        <v>Realizado</v>
      </c>
      <c r="X497" s="1">
        <f>ESTIMATIVA[[#This Row],[QT_AREA_EST]]</f>
        <v>34.270000000000003</v>
      </c>
      <c r="Y497" s="1">
        <f>IF(ESTIMATIVA[[#This Row],[QT_AREA_REST1]]&gt;0,ESTIMATIVA[[#This Row],[QT_AREA_REST1]],
  IF(ESTIMATIVA[[#This Row],[QT_AREA_REAL]]&gt;0,ESTIMATIVA[[#This Row],[QT_AREA_REAL]],ESTIMATIVA[[#This Row],[QT_AREA_EST]]))</f>
        <v>34.270000000000003</v>
      </c>
      <c r="Z49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34.270000000000003</v>
      </c>
      <c r="AA497" s="1">
        <f>ESTIMATIVA[[#This Row],[QT_CANA_EST]]</f>
        <v>2947.22</v>
      </c>
      <c r="AB497" s="1">
        <f>IF(ESTIMATIVA[[#This Row],[QT_CANA_REST1]]&gt;0,ESTIMATIVA[[#This Row],[QT_CANA_REST1]],
  IF(ESTIMATIVA[[#This Row],[QT_CANA_REAL]]&gt;0,ESTIMATIVA[[#This Row],[QT_CANA_REAL]],ESTIMATIVA[[#This Row],[QT_CANA_EST]]))</f>
        <v>2932.59</v>
      </c>
      <c r="AC49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2932.59</v>
      </c>
      <c r="AD497" s="1">
        <f>IF(ESTIMATIVA[[#This Row],[QT_AREA_REAL]]&gt;0,ESTIMATIVA[[#This Row],[QT_CANA_REAL]],ESTIMATIVA[[#This Row],[QT_CANA_EST]])</f>
        <v>2932.59</v>
      </c>
      <c r="AE497" s="1">
        <f>IF(ESTIMATIVA[[#This Row],[QT_AREA_REAL]]&gt;0,ESTIMATIVA[[#This Row],[QT_CANA_REAL]],ESTIMATIVA[[#This Row],[QT_CANA_REST1]])</f>
        <v>2932.59</v>
      </c>
      <c r="AF497" s="1">
        <f>IF(ESTIMATIVA[[#This Row],[QT_AREA_REAL]]&gt;0,ESTIMATIVA[[#This Row],[QT_CANA_REAL]],ESTIMATIVA[[#This Row],[QT_CANA_REST2]])</f>
        <v>2932.59</v>
      </c>
      <c r="AG497" s="1" t="str">
        <f>IF(COUNTIFS(GEADA!A:A,VALUE(ESTIMATIVA[[#This Row],[CD_UPNIVEL1]]&amp;TEXT(ESTIMATIVA[[#This Row],[CD_UPNIVEL3]],"0000")))&gt;0,"S","N")</f>
        <v>N</v>
      </c>
      <c r="AH49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97" s="55" t="str">
        <f>IF(ESTIMATIVA[[#This Row],[TP_CULTIVO]]="Irrigado",_xlfn.MAXIFS(IRRIGADO!J:J,IRRIGADO!C:C,ESTIMATIVA[[#This Row],[CD_UPNIVEL1]],IRRIGADO!E:E,ESTIMATIVA[[#This Row],[CD_UPNIVEL3]]),"")</f>
        <v/>
      </c>
      <c r="AJ49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97" s="1">
        <f>COUNTIFS(Apresentação!$E$23:$E$29,ESTIMATIVA[[#This Row],[CD_UPNIVEL1]])</f>
        <v>0</v>
      </c>
    </row>
    <row r="498" spans="1:37" x14ac:dyDescent="0.3">
      <c r="A498">
        <v>20314</v>
      </c>
      <c r="B498" t="s">
        <v>27</v>
      </c>
      <c r="C498">
        <v>601</v>
      </c>
      <c r="D498">
        <v>2</v>
      </c>
      <c r="E498" t="s">
        <v>266</v>
      </c>
      <c r="F498" s="85" t="s">
        <v>333</v>
      </c>
      <c r="G498"/>
      <c r="H498" t="s">
        <v>295</v>
      </c>
      <c r="I498" t="s">
        <v>205</v>
      </c>
      <c r="J498" t="s">
        <v>176</v>
      </c>
      <c r="K498" s="1">
        <v>8</v>
      </c>
      <c r="L498" s="1">
        <v>8</v>
      </c>
      <c r="M498" s="1">
        <v>0</v>
      </c>
      <c r="N498" s="1">
        <v>8</v>
      </c>
      <c r="O498" s="1">
        <v>688</v>
      </c>
      <c r="P498" s="1">
        <v>688</v>
      </c>
      <c r="Q498" s="1">
        <v>0</v>
      </c>
      <c r="R498" s="1">
        <v>830.05</v>
      </c>
      <c r="S498" t="s">
        <v>12</v>
      </c>
      <c r="T498" s="13">
        <v>45872</v>
      </c>
      <c r="U498" s="1" t="str">
        <f>IF(ESTIMATIVA[[#This Row],[QT_AREA_REAL]]&gt;0,"1- Colhido","2- à Colher")</f>
        <v>1- Colhido</v>
      </c>
      <c r="V498" s="1" t="str">
        <f>IF(ESTIMATIVA[[#This Row],[QT_AREA_REST1]]&gt;0,"Reestimativa 1",IF(ESTIMATIVA[[#This Row],[QT_AREA_REAL]]=0,"Reestimativa 1","Realizado"))</f>
        <v>Reestimativa 1</v>
      </c>
      <c r="W498" s="1" t="str">
        <f>IF(ESTIMATIVA[[#This Row],[QT_AREA_REST2]]&gt;0,"Reestimativa 2",IF(ESTIMATIVA[[#This Row],[QT_AREA_REAL]]=0,"Reestimativa 2","Realizado"))</f>
        <v>Realizado</v>
      </c>
      <c r="X498" s="1">
        <f>ESTIMATIVA[[#This Row],[QT_AREA_EST]]</f>
        <v>8</v>
      </c>
      <c r="Y498" s="1">
        <f>IF(ESTIMATIVA[[#This Row],[QT_AREA_REST1]]&gt;0,ESTIMATIVA[[#This Row],[QT_AREA_REST1]],
  IF(ESTIMATIVA[[#This Row],[QT_AREA_REAL]]&gt;0,ESTIMATIVA[[#This Row],[QT_AREA_REAL]],ESTIMATIVA[[#This Row],[QT_AREA_EST]]))</f>
        <v>8</v>
      </c>
      <c r="Z49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</v>
      </c>
      <c r="AA498" s="1">
        <f>ESTIMATIVA[[#This Row],[QT_CANA_EST]]</f>
        <v>688</v>
      </c>
      <c r="AB498" s="1">
        <f>IF(ESTIMATIVA[[#This Row],[QT_CANA_REST1]]&gt;0,ESTIMATIVA[[#This Row],[QT_CANA_REST1]],
  IF(ESTIMATIVA[[#This Row],[QT_CANA_REAL]]&gt;0,ESTIMATIVA[[#This Row],[QT_CANA_REAL]],ESTIMATIVA[[#This Row],[QT_CANA_EST]]))</f>
        <v>688</v>
      </c>
      <c r="AC49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830.05</v>
      </c>
      <c r="AD498" s="1">
        <f>IF(ESTIMATIVA[[#This Row],[QT_AREA_REAL]]&gt;0,ESTIMATIVA[[#This Row],[QT_CANA_REAL]],ESTIMATIVA[[#This Row],[QT_CANA_EST]])</f>
        <v>830.05</v>
      </c>
      <c r="AE498" s="1">
        <f>IF(ESTIMATIVA[[#This Row],[QT_AREA_REAL]]&gt;0,ESTIMATIVA[[#This Row],[QT_CANA_REAL]],ESTIMATIVA[[#This Row],[QT_CANA_REST1]])</f>
        <v>830.05</v>
      </c>
      <c r="AF498" s="1">
        <f>IF(ESTIMATIVA[[#This Row],[QT_AREA_REAL]]&gt;0,ESTIMATIVA[[#This Row],[QT_CANA_REAL]],ESTIMATIVA[[#This Row],[QT_CANA_REST2]])</f>
        <v>830.05</v>
      </c>
      <c r="AG498" s="1" t="str">
        <f>IF(COUNTIFS(GEADA!A:A,VALUE(ESTIMATIVA[[#This Row],[CD_UPNIVEL1]]&amp;TEXT(ESTIMATIVA[[#This Row],[CD_UPNIVEL3]],"0000")))&gt;0,"S","N")</f>
        <v>N</v>
      </c>
      <c r="AH49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98" s="55" t="str">
        <f>IF(ESTIMATIVA[[#This Row],[TP_CULTIVO]]="Irrigado",_xlfn.MAXIFS(IRRIGADO!J:J,IRRIGADO!C:C,ESTIMATIVA[[#This Row],[CD_UPNIVEL1]],IRRIGADO!E:E,ESTIMATIVA[[#This Row],[CD_UPNIVEL3]]),"")</f>
        <v/>
      </c>
      <c r="AJ49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98" s="1">
        <f>COUNTIFS(Apresentação!$E$23:$E$29,ESTIMATIVA[[#This Row],[CD_UPNIVEL1]])</f>
        <v>0</v>
      </c>
    </row>
    <row r="499" spans="1:37" x14ac:dyDescent="0.3">
      <c r="A499">
        <v>20314</v>
      </c>
      <c r="B499" t="s">
        <v>27</v>
      </c>
      <c r="C499">
        <v>602</v>
      </c>
      <c r="D499">
        <v>2</v>
      </c>
      <c r="E499" t="s">
        <v>266</v>
      </c>
      <c r="F499" s="85" t="s">
        <v>332</v>
      </c>
      <c r="G499"/>
      <c r="H499" t="s">
        <v>295</v>
      </c>
      <c r="I499" t="s">
        <v>205</v>
      </c>
      <c r="J499" t="s">
        <v>176</v>
      </c>
      <c r="K499" s="1">
        <v>4.03</v>
      </c>
      <c r="L499" s="1">
        <v>4.03</v>
      </c>
      <c r="M499" s="1">
        <v>0</v>
      </c>
      <c r="N499" s="1">
        <v>4.03</v>
      </c>
      <c r="O499" s="1">
        <v>346.58</v>
      </c>
      <c r="P499" s="1">
        <v>346.58</v>
      </c>
      <c r="Q499" s="1">
        <v>0</v>
      </c>
      <c r="R499" s="1">
        <v>418.67</v>
      </c>
      <c r="S499" t="s">
        <v>12</v>
      </c>
      <c r="T499" s="13">
        <v>45872</v>
      </c>
      <c r="U499" s="1" t="str">
        <f>IF(ESTIMATIVA[[#This Row],[QT_AREA_REAL]]&gt;0,"1- Colhido","2- à Colher")</f>
        <v>1- Colhido</v>
      </c>
      <c r="V499" s="1" t="str">
        <f>IF(ESTIMATIVA[[#This Row],[QT_AREA_REST1]]&gt;0,"Reestimativa 1",IF(ESTIMATIVA[[#This Row],[QT_AREA_REAL]]=0,"Reestimativa 1","Realizado"))</f>
        <v>Reestimativa 1</v>
      </c>
      <c r="W499" s="1" t="str">
        <f>IF(ESTIMATIVA[[#This Row],[QT_AREA_REST2]]&gt;0,"Reestimativa 2",IF(ESTIMATIVA[[#This Row],[QT_AREA_REAL]]=0,"Reestimativa 2","Realizado"))</f>
        <v>Realizado</v>
      </c>
      <c r="X499" s="1">
        <f>ESTIMATIVA[[#This Row],[QT_AREA_EST]]</f>
        <v>4.03</v>
      </c>
      <c r="Y499" s="1">
        <f>IF(ESTIMATIVA[[#This Row],[QT_AREA_REST1]]&gt;0,ESTIMATIVA[[#This Row],[QT_AREA_REST1]],
  IF(ESTIMATIVA[[#This Row],[QT_AREA_REAL]]&gt;0,ESTIMATIVA[[#This Row],[QT_AREA_REAL]],ESTIMATIVA[[#This Row],[QT_AREA_EST]]))</f>
        <v>4.03</v>
      </c>
      <c r="Z49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4.03</v>
      </c>
      <c r="AA499" s="1">
        <f>ESTIMATIVA[[#This Row],[QT_CANA_EST]]</f>
        <v>346.58</v>
      </c>
      <c r="AB499" s="1">
        <f>IF(ESTIMATIVA[[#This Row],[QT_CANA_REST1]]&gt;0,ESTIMATIVA[[#This Row],[QT_CANA_REST1]],
  IF(ESTIMATIVA[[#This Row],[QT_CANA_REAL]]&gt;0,ESTIMATIVA[[#This Row],[QT_CANA_REAL]],ESTIMATIVA[[#This Row],[QT_CANA_EST]]))</f>
        <v>346.58</v>
      </c>
      <c r="AC49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418.67</v>
      </c>
      <c r="AD499" s="1">
        <f>IF(ESTIMATIVA[[#This Row],[QT_AREA_REAL]]&gt;0,ESTIMATIVA[[#This Row],[QT_CANA_REAL]],ESTIMATIVA[[#This Row],[QT_CANA_EST]])</f>
        <v>418.67</v>
      </c>
      <c r="AE499" s="1">
        <f>IF(ESTIMATIVA[[#This Row],[QT_AREA_REAL]]&gt;0,ESTIMATIVA[[#This Row],[QT_CANA_REAL]],ESTIMATIVA[[#This Row],[QT_CANA_REST1]])</f>
        <v>418.67</v>
      </c>
      <c r="AF499" s="1">
        <f>IF(ESTIMATIVA[[#This Row],[QT_AREA_REAL]]&gt;0,ESTIMATIVA[[#This Row],[QT_CANA_REAL]],ESTIMATIVA[[#This Row],[QT_CANA_REST2]])</f>
        <v>418.67</v>
      </c>
      <c r="AG499" s="1" t="str">
        <f>IF(COUNTIFS(GEADA!A:A,VALUE(ESTIMATIVA[[#This Row],[CD_UPNIVEL1]]&amp;TEXT(ESTIMATIVA[[#This Row],[CD_UPNIVEL3]],"0000")))&gt;0,"S","N")</f>
        <v>N</v>
      </c>
      <c r="AH49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499" s="55" t="str">
        <f>IF(ESTIMATIVA[[#This Row],[TP_CULTIVO]]="Irrigado",_xlfn.MAXIFS(IRRIGADO!J:J,IRRIGADO!C:C,ESTIMATIVA[[#This Row],[CD_UPNIVEL1]],IRRIGADO!E:E,ESTIMATIVA[[#This Row],[CD_UPNIVEL3]]),"")</f>
        <v/>
      </c>
      <c r="AJ49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499" s="1">
        <f>COUNTIFS(Apresentação!$E$23:$E$29,ESTIMATIVA[[#This Row],[CD_UPNIVEL1]])</f>
        <v>0</v>
      </c>
    </row>
    <row r="500" spans="1:37" x14ac:dyDescent="0.3">
      <c r="A500">
        <v>20314</v>
      </c>
      <c r="B500" t="s">
        <v>27</v>
      </c>
      <c r="C500">
        <v>5271</v>
      </c>
      <c r="D500">
        <v>4</v>
      </c>
      <c r="E500" t="s">
        <v>265</v>
      </c>
      <c r="F500" s="85" t="s">
        <v>332</v>
      </c>
      <c r="G500"/>
      <c r="H500" t="s">
        <v>295</v>
      </c>
      <c r="I500" t="s">
        <v>210</v>
      </c>
      <c r="J500" t="s">
        <v>176</v>
      </c>
      <c r="K500" s="1">
        <v>1.37</v>
      </c>
      <c r="L500" s="1">
        <v>0</v>
      </c>
      <c r="M500" s="1">
        <v>0</v>
      </c>
      <c r="N500" s="1">
        <v>1.37</v>
      </c>
      <c r="O500" s="1">
        <v>52.06</v>
      </c>
      <c r="P500" s="1">
        <v>0</v>
      </c>
      <c r="Q500" s="1">
        <v>0</v>
      </c>
      <c r="R500" s="1">
        <v>109.53</v>
      </c>
      <c r="S500" t="s">
        <v>12</v>
      </c>
      <c r="T500" s="13">
        <v>45998</v>
      </c>
      <c r="U500" s="1" t="str">
        <f>IF(ESTIMATIVA[[#This Row],[QT_AREA_REAL]]&gt;0,"1- Colhido","2- à Colher")</f>
        <v>1- Colhido</v>
      </c>
      <c r="V500" s="1" t="str">
        <f>IF(ESTIMATIVA[[#This Row],[QT_AREA_REST1]]&gt;0,"Reestimativa 1",IF(ESTIMATIVA[[#This Row],[QT_AREA_REAL]]=0,"Reestimativa 1","Realizado"))</f>
        <v>Realizado</v>
      </c>
      <c r="W500" s="1" t="str">
        <f>IF(ESTIMATIVA[[#This Row],[QT_AREA_REST2]]&gt;0,"Reestimativa 2",IF(ESTIMATIVA[[#This Row],[QT_AREA_REAL]]=0,"Reestimativa 2","Realizado"))</f>
        <v>Realizado</v>
      </c>
      <c r="X500" s="1">
        <f>ESTIMATIVA[[#This Row],[QT_AREA_EST]]</f>
        <v>1.37</v>
      </c>
      <c r="Y500" s="1">
        <f>IF(ESTIMATIVA[[#This Row],[QT_AREA_REST1]]&gt;0,ESTIMATIVA[[#This Row],[QT_AREA_REST1]],
  IF(ESTIMATIVA[[#This Row],[QT_AREA_REAL]]&gt;0,ESTIMATIVA[[#This Row],[QT_AREA_REAL]],ESTIMATIVA[[#This Row],[QT_AREA_EST]]))</f>
        <v>1.37</v>
      </c>
      <c r="Z50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1.37</v>
      </c>
      <c r="AA500" s="1">
        <f>ESTIMATIVA[[#This Row],[QT_CANA_EST]]</f>
        <v>52.06</v>
      </c>
      <c r="AB500" s="1">
        <f>IF(ESTIMATIVA[[#This Row],[QT_CANA_REST1]]&gt;0,ESTIMATIVA[[#This Row],[QT_CANA_REST1]],
  IF(ESTIMATIVA[[#This Row],[QT_CANA_REAL]]&gt;0,ESTIMATIVA[[#This Row],[QT_CANA_REAL]],ESTIMATIVA[[#This Row],[QT_CANA_EST]]))</f>
        <v>109.53</v>
      </c>
      <c r="AC50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109.53</v>
      </c>
      <c r="AD500" s="1">
        <f>IF(ESTIMATIVA[[#This Row],[QT_AREA_REAL]]&gt;0,ESTIMATIVA[[#This Row],[QT_CANA_REAL]],ESTIMATIVA[[#This Row],[QT_CANA_EST]])</f>
        <v>109.53</v>
      </c>
      <c r="AE500" s="1">
        <f>IF(ESTIMATIVA[[#This Row],[QT_AREA_REAL]]&gt;0,ESTIMATIVA[[#This Row],[QT_CANA_REAL]],ESTIMATIVA[[#This Row],[QT_CANA_REST1]])</f>
        <v>109.53</v>
      </c>
      <c r="AF500" s="1">
        <f>IF(ESTIMATIVA[[#This Row],[QT_AREA_REAL]]&gt;0,ESTIMATIVA[[#This Row],[QT_CANA_REAL]],ESTIMATIVA[[#This Row],[QT_CANA_REST2]])</f>
        <v>109.53</v>
      </c>
      <c r="AG500" s="1" t="str">
        <f>IF(COUNTIFS(GEADA!A:A,VALUE(ESTIMATIVA[[#This Row],[CD_UPNIVEL1]]&amp;TEXT(ESTIMATIVA[[#This Row],[CD_UPNIVEL3]],"0000")))&gt;0,"S","N")</f>
        <v>N</v>
      </c>
      <c r="AH50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00" s="55" t="str">
        <f>IF(ESTIMATIVA[[#This Row],[TP_CULTIVO]]="Irrigado",_xlfn.MAXIFS(IRRIGADO!J:J,IRRIGADO!C:C,ESTIMATIVA[[#This Row],[CD_UPNIVEL1]],IRRIGADO!E:E,ESTIMATIVA[[#This Row],[CD_UPNIVEL3]]),"")</f>
        <v/>
      </c>
      <c r="AJ50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00" s="1">
        <f>COUNTIFS(Apresentação!$E$23:$E$29,ESTIMATIVA[[#This Row],[CD_UPNIVEL1]])</f>
        <v>0</v>
      </c>
    </row>
    <row r="501" spans="1:37" x14ac:dyDescent="0.3">
      <c r="A501">
        <v>20314</v>
      </c>
      <c r="B501" t="s">
        <v>27</v>
      </c>
      <c r="C501">
        <v>5272</v>
      </c>
      <c r="D501">
        <v>4</v>
      </c>
      <c r="E501" t="s">
        <v>265</v>
      </c>
      <c r="F501" s="85" t="s">
        <v>332</v>
      </c>
      <c r="G501"/>
      <c r="H501" t="s">
        <v>295</v>
      </c>
      <c r="I501" t="s">
        <v>210</v>
      </c>
      <c r="J501" t="s">
        <v>176</v>
      </c>
      <c r="K501" s="1">
        <v>7.91</v>
      </c>
      <c r="L501" s="1">
        <v>0</v>
      </c>
      <c r="M501" s="1">
        <v>0</v>
      </c>
      <c r="N501" s="1">
        <v>7.91</v>
      </c>
      <c r="O501" s="1">
        <v>300.58</v>
      </c>
      <c r="P501" s="1">
        <v>0</v>
      </c>
      <c r="Q501" s="1">
        <v>0</v>
      </c>
      <c r="R501" s="1">
        <v>634.03</v>
      </c>
      <c r="S501" t="s">
        <v>12</v>
      </c>
      <c r="T501" s="13">
        <v>45998</v>
      </c>
      <c r="U501" s="1" t="str">
        <f>IF(ESTIMATIVA[[#This Row],[QT_AREA_REAL]]&gt;0,"1- Colhido","2- à Colher")</f>
        <v>1- Colhido</v>
      </c>
      <c r="V501" s="1" t="str">
        <f>IF(ESTIMATIVA[[#This Row],[QT_AREA_REST1]]&gt;0,"Reestimativa 1",IF(ESTIMATIVA[[#This Row],[QT_AREA_REAL]]=0,"Reestimativa 1","Realizado"))</f>
        <v>Realizado</v>
      </c>
      <c r="W501" s="1" t="str">
        <f>IF(ESTIMATIVA[[#This Row],[QT_AREA_REST2]]&gt;0,"Reestimativa 2",IF(ESTIMATIVA[[#This Row],[QT_AREA_REAL]]=0,"Reestimativa 2","Realizado"))</f>
        <v>Realizado</v>
      </c>
      <c r="X501" s="1">
        <f>ESTIMATIVA[[#This Row],[QT_AREA_EST]]</f>
        <v>7.91</v>
      </c>
      <c r="Y501" s="1">
        <f>IF(ESTIMATIVA[[#This Row],[QT_AREA_REST1]]&gt;0,ESTIMATIVA[[#This Row],[QT_AREA_REST1]],
  IF(ESTIMATIVA[[#This Row],[QT_AREA_REAL]]&gt;0,ESTIMATIVA[[#This Row],[QT_AREA_REAL]],ESTIMATIVA[[#This Row],[QT_AREA_EST]]))</f>
        <v>7.91</v>
      </c>
      <c r="Z50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7.91</v>
      </c>
      <c r="AA501" s="1">
        <f>ESTIMATIVA[[#This Row],[QT_CANA_EST]]</f>
        <v>300.58</v>
      </c>
      <c r="AB501" s="1">
        <f>IF(ESTIMATIVA[[#This Row],[QT_CANA_REST1]]&gt;0,ESTIMATIVA[[#This Row],[QT_CANA_REST1]],
  IF(ESTIMATIVA[[#This Row],[QT_CANA_REAL]]&gt;0,ESTIMATIVA[[#This Row],[QT_CANA_REAL]],ESTIMATIVA[[#This Row],[QT_CANA_EST]]))</f>
        <v>634.03</v>
      </c>
      <c r="AC50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634.03</v>
      </c>
      <c r="AD501" s="1">
        <f>IF(ESTIMATIVA[[#This Row],[QT_AREA_REAL]]&gt;0,ESTIMATIVA[[#This Row],[QT_CANA_REAL]],ESTIMATIVA[[#This Row],[QT_CANA_EST]])</f>
        <v>634.03</v>
      </c>
      <c r="AE501" s="1">
        <f>IF(ESTIMATIVA[[#This Row],[QT_AREA_REAL]]&gt;0,ESTIMATIVA[[#This Row],[QT_CANA_REAL]],ESTIMATIVA[[#This Row],[QT_CANA_REST1]])</f>
        <v>634.03</v>
      </c>
      <c r="AF501" s="1">
        <f>IF(ESTIMATIVA[[#This Row],[QT_AREA_REAL]]&gt;0,ESTIMATIVA[[#This Row],[QT_CANA_REAL]],ESTIMATIVA[[#This Row],[QT_CANA_REST2]])</f>
        <v>634.03</v>
      </c>
      <c r="AG501" s="1" t="str">
        <f>IF(COUNTIFS(GEADA!A:A,VALUE(ESTIMATIVA[[#This Row],[CD_UPNIVEL1]]&amp;TEXT(ESTIMATIVA[[#This Row],[CD_UPNIVEL3]],"0000")))&gt;0,"S","N")</f>
        <v>N</v>
      </c>
      <c r="AH50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01" s="55" t="str">
        <f>IF(ESTIMATIVA[[#This Row],[TP_CULTIVO]]="Irrigado",_xlfn.MAXIFS(IRRIGADO!J:J,IRRIGADO!C:C,ESTIMATIVA[[#This Row],[CD_UPNIVEL1]],IRRIGADO!E:E,ESTIMATIVA[[#This Row],[CD_UPNIVEL3]]),"")</f>
        <v/>
      </c>
      <c r="AJ50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01" s="1">
        <f>COUNTIFS(Apresentação!$E$23:$E$29,ESTIMATIVA[[#This Row],[CD_UPNIVEL1]])</f>
        <v>0</v>
      </c>
    </row>
    <row r="502" spans="1:37" x14ac:dyDescent="0.3">
      <c r="A502">
        <v>20314</v>
      </c>
      <c r="B502" t="s">
        <v>27</v>
      </c>
      <c r="C502">
        <v>5273</v>
      </c>
      <c r="D502">
        <v>4</v>
      </c>
      <c r="E502" t="s">
        <v>265</v>
      </c>
      <c r="F502" s="85" t="s">
        <v>332</v>
      </c>
      <c r="G502"/>
      <c r="H502" t="s">
        <v>295</v>
      </c>
      <c r="I502" t="s">
        <v>210</v>
      </c>
      <c r="J502" t="s">
        <v>176</v>
      </c>
      <c r="K502" s="1">
        <v>9.4</v>
      </c>
      <c r="L502" s="1">
        <v>0</v>
      </c>
      <c r="M502" s="1">
        <v>0</v>
      </c>
      <c r="N502" s="1">
        <v>9.4</v>
      </c>
      <c r="O502" s="1">
        <v>357.2</v>
      </c>
      <c r="P502" s="1">
        <v>0</v>
      </c>
      <c r="Q502" s="1">
        <v>0</v>
      </c>
      <c r="R502" s="1">
        <v>752.18</v>
      </c>
      <c r="S502" t="s">
        <v>12</v>
      </c>
      <c r="T502" s="13">
        <v>45998</v>
      </c>
      <c r="U502" s="1" t="str">
        <f>IF(ESTIMATIVA[[#This Row],[QT_AREA_REAL]]&gt;0,"1- Colhido","2- à Colher")</f>
        <v>1- Colhido</v>
      </c>
      <c r="V502" s="1" t="str">
        <f>IF(ESTIMATIVA[[#This Row],[QT_AREA_REST1]]&gt;0,"Reestimativa 1",IF(ESTIMATIVA[[#This Row],[QT_AREA_REAL]]=0,"Reestimativa 1","Realizado"))</f>
        <v>Realizado</v>
      </c>
      <c r="W502" s="1" t="str">
        <f>IF(ESTIMATIVA[[#This Row],[QT_AREA_REST2]]&gt;0,"Reestimativa 2",IF(ESTIMATIVA[[#This Row],[QT_AREA_REAL]]=0,"Reestimativa 2","Realizado"))</f>
        <v>Realizado</v>
      </c>
      <c r="X502" s="1">
        <f>ESTIMATIVA[[#This Row],[QT_AREA_EST]]</f>
        <v>9.4</v>
      </c>
      <c r="Y502" s="1">
        <f>IF(ESTIMATIVA[[#This Row],[QT_AREA_REST1]]&gt;0,ESTIMATIVA[[#This Row],[QT_AREA_REST1]],
  IF(ESTIMATIVA[[#This Row],[QT_AREA_REAL]]&gt;0,ESTIMATIVA[[#This Row],[QT_AREA_REAL]],ESTIMATIVA[[#This Row],[QT_AREA_EST]]))</f>
        <v>9.4</v>
      </c>
      <c r="Z50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9.4</v>
      </c>
      <c r="AA502" s="1">
        <f>ESTIMATIVA[[#This Row],[QT_CANA_EST]]</f>
        <v>357.2</v>
      </c>
      <c r="AB502" s="1">
        <f>IF(ESTIMATIVA[[#This Row],[QT_CANA_REST1]]&gt;0,ESTIMATIVA[[#This Row],[QT_CANA_REST1]],
  IF(ESTIMATIVA[[#This Row],[QT_CANA_REAL]]&gt;0,ESTIMATIVA[[#This Row],[QT_CANA_REAL]],ESTIMATIVA[[#This Row],[QT_CANA_EST]]))</f>
        <v>752.18</v>
      </c>
      <c r="AC50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752.18</v>
      </c>
      <c r="AD502" s="1">
        <f>IF(ESTIMATIVA[[#This Row],[QT_AREA_REAL]]&gt;0,ESTIMATIVA[[#This Row],[QT_CANA_REAL]],ESTIMATIVA[[#This Row],[QT_CANA_EST]])</f>
        <v>752.18</v>
      </c>
      <c r="AE502" s="1">
        <f>IF(ESTIMATIVA[[#This Row],[QT_AREA_REAL]]&gt;0,ESTIMATIVA[[#This Row],[QT_CANA_REAL]],ESTIMATIVA[[#This Row],[QT_CANA_REST1]])</f>
        <v>752.18</v>
      </c>
      <c r="AF502" s="1">
        <f>IF(ESTIMATIVA[[#This Row],[QT_AREA_REAL]]&gt;0,ESTIMATIVA[[#This Row],[QT_CANA_REAL]],ESTIMATIVA[[#This Row],[QT_CANA_REST2]])</f>
        <v>752.18</v>
      </c>
      <c r="AG502" s="1" t="str">
        <f>IF(COUNTIFS(GEADA!A:A,VALUE(ESTIMATIVA[[#This Row],[CD_UPNIVEL1]]&amp;TEXT(ESTIMATIVA[[#This Row],[CD_UPNIVEL3]],"0000")))&gt;0,"S","N")</f>
        <v>N</v>
      </c>
      <c r="AH50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02" s="55" t="str">
        <f>IF(ESTIMATIVA[[#This Row],[TP_CULTIVO]]="Irrigado",_xlfn.MAXIFS(IRRIGADO!J:J,IRRIGADO!C:C,ESTIMATIVA[[#This Row],[CD_UPNIVEL1]],IRRIGADO!E:E,ESTIMATIVA[[#This Row],[CD_UPNIVEL3]]),"")</f>
        <v/>
      </c>
      <c r="AJ50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02" s="1">
        <f>COUNTIFS(Apresentação!$E$23:$E$29,ESTIMATIVA[[#This Row],[CD_UPNIVEL1]])</f>
        <v>0</v>
      </c>
    </row>
    <row r="503" spans="1:37" x14ac:dyDescent="0.3">
      <c r="A503">
        <v>20314</v>
      </c>
      <c r="B503" t="s">
        <v>27</v>
      </c>
      <c r="C503">
        <v>5274</v>
      </c>
      <c r="D503">
        <v>4</v>
      </c>
      <c r="E503" t="s">
        <v>265</v>
      </c>
      <c r="F503" s="85" t="s">
        <v>332</v>
      </c>
      <c r="G503"/>
      <c r="H503" t="s">
        <v>295</v>
      </c>
      <c r="I503" t="s">
        <v>210</v>
      </c>
      <c r="J503" t="s">
        <v>176</v>
      </c>
      <c r="K503" s="1">
        <v>3.17</v>
      </c>
      <c r="L503" s="1">
        <v>0</v>
      </c>
      <c r="M503" s="1">
        <v>0</v>
      </c>
      <c r="N503" s="1">
        <v>3.17</v>
      </c>
      <c r="O503" s="1">
        <v>120.46</v>
      </c>
      <c r="P503" s="1">
        <v>0</v>
      </c>
      <c r="Q503" s="1">
        <v>0</v>
      </c>
      <c r="R503" s="1">
        <v>252.84</v>
      </c>
      <c r="S503" t="s">
        <v>12</v>
      </c>
      <c r="T503" s="13">
        <v>45998</v>
      </c>
      <c r="U503" s="1" t="str">
        <f>IF(ESTIMATIVA[[#This Row],[QT_AREA_REAL]]&gt;0,"1- Colhido","2- à Colher")</f>
        <v>1- Colhido</v>
      </c>
      <c r="V503" s="1" t="str">
        <f>IF(ESTIMATIVA[[#This Row],[QT_AREA_REST1]]&gt;0,"Reestimativa 1",IF(ESTIMATIVA[[#This Row],[QT_AREA_REAL]]=0,"Reestimativa 1","Realizado"))</f>
        <v>Realizado</v>
      </c>
      <c r="W503" s="1" t="str">
        <f>IF(ESTIMATIVA[[#This Row],[QT_AREA_REST2]]&gt;0,"Reestimativa 2",IF(ESTIMATIVA[[#This Row],[QT_AREA_REAL]]=0,"Reestimativa 2","Realizado"))</f>
        <v>Realizado</v>
      </c>
      <c r="X503" s="1">
        <f>ESTIMATIVA[[#This Row],[QT_AREA_EST]]</f>
        <v>3.17</v>
      </c>
      <c r="Y503" s="1">
        <f>IF(ESTIMATIVA[[#This Row],[QT_AREA_REST1]]&gt;0,ESTIMATIVA[[#This Row],[QT_AREA_REST1]],
  IF(ESTIMATIVA[[#This Row],[QT_AREA_REAL]]&gt;0,ESTIMATIVA[[#This Row],[QT_AREA_REAL]],ESTIMATIVA[[#This Row],[QT_AREA_EST]]))</f>
        <v>3.17</v>
      </c>
      <c r="Z50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3.17</v>
      </c>
      <c r="AA503" s="1">
        <f>ESTIMATIVA[[#This Row],[QT_CANA_EST]]</f>
        <v>120.46</v>
      </c>
      <c r="AB503" s="1">
        <f>IF(ESTIMATIVA[[#This Row],[QT_CANA_REST1]]&gt;0,ESTIMATIVA[[#This Row],[QT_CANA_REST1]],
  IF(ESTIMATIVA[[#This Row],[QT_CANA_REAL]]&gt;0,ESTIMATIVA[[#This Row],[QT_CANA_REAL]],ESTIMATIVA[[#This Row],[QT_CANA_EST]]))</f>
        <v>252.84</v>
      </c>
      <c r="AC50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252.84</v>
      </c>
      <c r="AD503" s="1">
        <f>IF(ESTIMATIVA[[#This Row],[QT_AREA_REAL]]&gt;0,ESTIMATIVA[[#This Row],[QT_CANA_REAL]],ESTIMATIVA[[#This Row],[QT_CANA_EST]])</f>
        <v>252.84</v>
      </c>
      <c r="AE503" s="1">
        <f>IF(ESTIMATIVA[[#This Row],[QT_AREA_REAL]]&gt;0,ESTIMATIVA[[#This Row],[QT_CANA_REAL]],ESTIMATIVA[[#This Row],[QT_CANA_REST1]])</f>
        <v>252.84</v>
      </c>
      <c r="AF503" s="1">
        <f>IF(ESTIMATIVA[[#This Row],[QT_AREA_REAL]]&gt;0,ESTIMATIVA[[#This Row],[QT_CANA_REAL]],ESTIMATIVA[[#This Row],[QT_CANA_REST2]])</f>
        <v>252.84</v>
      </c>
      <c r="AG503" s="1" t="str">
        <f>IF(COUNTIFS(GEADA!A:A,VALUE(ESTIMATIVA[[#This Row],[CD_UPNIVEL1]]&amp;TEXT(ESTIMATIVA[[#This Row],[CD_UPNIVEL3]],"0000")))&gt;0,"S","N")</f>
        <v>N</v>
      </c>
      <c r="AH50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03" s="55" t="str">
        <f>IF(ESTIMATIVA[[#This Row],[TP_CULTIVO]]="Irrigado",_xlfn.MAXIFS(IRRIGADO!J:J,IRRIGADO!C:C,ESTIMATIVA[[#This Row],[CD_UPNIVEL1]],IRRIGADO!E:E,ESTIMATIVA[[#This Row],[CD_UPNIVEL3]]),"")</f>
        <v/>
      </c>
      <c r="AJ50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03" s="1">
        <f>COUNTIFS(Apresentação!$E$23:$E$29,ESTIMATIVA[[#This Row],[CD_UPNIVEL1]])</f>
        <v>0</v>
      </c>
    </row>
    <row r="504" spans="1:37" x14ac:dyDescent="0.3">
      <c r="A504">
        <v>20314</v>
      </c>
      <c r="B504" t="s">
        <v>27</v>
      </c>
      <c r="C504">
        <v>5275</v>
      </c>
      <c r="D504">
        <v>4</v>
      </c>
      <c r="E504" t="s">
        <v>265</v>
      </c>
      <c r="F504" s="85" t="s">
        <v>332</v>
      </c>
      <c r="G504"/>
      <c r="H504" t="s">
        <v>295</v>
      </c>
      <c r="I504" t="s">
        <v>210</v>
      </c>
      <c r="J504" t="s">
        <v>176</v>
      </c>
      <c r="K504" s="1">
        <v>9.86</v>
      </c>
      <c r="L504" s="1">
        <v>0</v>
      </c>
      <c r="M504" s="1">
        <v>0</v>
      </c>
      <c r="N504" s="1">
        <v>9.86</v>
      </c>
      <c r="O504" s="1">
        <v>374.68</v>
      </c>
      <c r="P504" s="1">
        <v>0</v>
      </c>
      <c r="Q504" s="1">
        <v>0</v>
      </c>
      <c r="R504" s="1">
        <v>789.97</v>
      </c>
      <c r="S504" t="s">
        <v>12</v>
      </c>
      <c r="T504" s="13">
        <v>45998</v>
      </c>
      <c r="U504" s="1" t="str">
        <f>IF(ESTIMATIVA[[#This Row],[QT_AREA_REAL]]&gt;0,"1- Colhido","2- à Colher")</f>
        <v>1- Colhido</v>
      </c>
      <c r="V504" s="1" t="str">
        <f>IF(ESTIMATIVA[[#This Row],[QT_AREA_REST1]]&gt;0,"Reestimativa 1",IF(ESTIMATIVA[[#This Row],[QT_AREA_REAL]]=0,"Reestimativa 1","Realizado"))</f>
        <v>Realizado</v>
      </c>
      <c r="W504" s="1" t="str">
        <f>IF(ESTIMATIVA[[#This Row],[QT_AREA_REST2]]&gt;0,"Reestimativa 2",IF(ESTIMATIVA[[#This Row],[QT_AREA_REAL]]=0,"Reestimativa 2","Realizado"))</f>
        <v>Realizado</v>
      </c>
      <c r="X504" s="1">
        <f>ESTIMATIVA[[#This Row],[QT_AREA_EST]]</f>
        <v>9.86</v>
      </c>
      <c r="Y504" s="1">
        <f>IF(ESTIMATIVA[[#This Row],[QT_AREA_REST1]]&gt;0,ESTIMATIVA[[#This Row],[QT_AREA_REST1]],
  IF(ESTIMATIVA[[#This Row],[QT_AREA_REAL]]&gt;0,ESTIMATIVA[[#This Row],[QT_AREA_REAL]],ESTIMATIVA[[#This Row],[QT_AREA_EST]]))</f>
        <v>9.86</v>
      </c>
      <c r="Z50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9.86</v>
      </c>
      <c r="AA504" s="1">
        <f>ESTIMATIVA[[#This Row],[QT_CANA_EST]]</f>
        <v>374.68</v>
      </c>
      <c r="AB504" s="1">
        <f>IF(ESTIMATIVA[[#This Row],[QT_CANA_REST1]]&gt;0,ESTIMATIVA[[#This Row],[QT_CANA_REST1]],
  IF(ESTIMATIVA[[#This Row],[QT_CANA_REAL]]&gt;0,ESTIMATIVA[[#This Row],[QT_CANA_REAL]],ESTIMATIVA[[#This Row],[QT_CANA_EST]]))</f>
        <v>789.97</v>
      </c>
      <c r="AC50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789.97</v>
      </c>
      <c r="AD504" s="1">
        <f>IF(ESTIMATIVA[[#This Row],[QT_AREA_REAL]]&gt;0,ESTIMATIVA[[#This Row],[QT_CANA_REAL]],ESTIMATIVA[[#This Row],[QT_CANA_EST]])</f>
        <v>789.97</v>
      </c>
      <c r="AE504" s="1">
        <f>IF(ESTIMATIVA[[#This Row],[QT_AREA_REAL]]&gt;0,ESTIMATIVA[[#This Row],[QT_CANA_REAL]],ESTIMATIVA[[#This Row],[QT_CANA_REST1]])</f>
        <v>789.97</v>
      </c>
      <c r="AF504" s="1">
        <f>IF(ESTIMATIVA[[#This Row],[QT_AREA_REAL]]&gt;0,ESTIMATIVA[[#This Row],[QT_CANA_REAL]],ESTIMATIVA[[#This Row],[QT_CANA_REST2]])</f>
        <v>789.97</v>
      </c>
      <c r="AG504" s="1" t="str">
        <f>IF(COUNTIFS(GEADA!A:A,VALUE(ESTIMATIVA[[#This Row],[CD_UPNIVEL1]]&amp;TEXT(ESTIMATIVA[[#This Row],[CD_UPNIVEL3]],"0000")))&gt;0,"S","N")</f>
        <v>N</v>
      </c>
      <c r="AH50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04" s="55" t="str">
        <f>IF(ESTIMATIVA[[#This Row],[TP_CULTIVO]]="Irrigado",_xlfn.MAXIFS(IRRIGADO!J:J,IRRIGADO!C:C,ESTIMATIVA[[#This Row],[CD_UPNIVEL1]],IRRIGADO!E:E,ESTIMATIVA[[#This Row],[CD_UPNIVEL3]]),"")</f>
        <v/>
      </c>
      <c r="AJ50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04" s="1">
        <f>COUNTIFS(Apresentação!$E$23:$E$29,ESTIMATIVA[[#This Row],[CD_UPNIVEL1]])</f>
        <v>0</v>
      </c>
    </row>
    <row r="505" spans="1:37" x14ac:dyDescent="0.3">
      <c r="A505">
        <v>20314</v>
      </c>
      <c r="B505" t="s">
        <v>27</v>
      </c>
      <c r="C505">
        <v>5276</v>
      </c>
      <c r="D505">
        <v>4</v>
      </c>
      <c r="E505" t="s">
        <v>265</v>
      </c>
      <c r="F505" s="85" t="s">
        <v>332</v>
      </c>
      <c r="G505"/>
      <c r="H505" t="s">
        <v>295</v>
      </c>
      <c r="I505" t="s">
        <v>210</v>
      </c>
      <c r="J505" t="s">
        <v>176</v>
      </c>
      <c r="K505" s="1">
        <v>4.6100000000000003</v>
      </c>
      <c r="L505" s="1">
        <v>0</v>
      </c>
      <c r="M505" s="1">
        <v>0</v>
      </c>
      <c r="N505" s="1">
        <v>4.6100000000000003</v>
      </c>
      <c r="O505" s="1">
        <v>175.18</v>
      </c>
      <c r="P505" s="1">
        <v>0</v>
      </c>
      <c r="Q505" s="1">
        <v>0</v>
      </c>
      <c r="R505" s="1">
        <v>368.68</v>
      </c>
      <c r="S505" t="s">
        <v>12</v>
      </c>
      <c r="T505" s="13">
        <v>45998</v>
      </c>
      <c r="U505" s="1" t="str">
        <f>IF(ESTIMATIVA[[#This Row],[QT_AREA_REAL]]&gt;0,"1- Colhido","2- à Colher")</f>
        <v>1- Colhido</v>
      </c>
      <c r="V505" s="1" t="str">
        <f>IF(ESTIMATIVA[[#This Row],[QT_AREA_REST1]]&gt;0,"Reestimativa 1",IF(ESTIMATIVA[[#This Row],[QT_AREA_REAL]]=0,"Reestimativa 1","Realizado"))</f>
        <v>Realizado</v>
      </c>
      <c r="W505" s="1" t="str">
        <f>IF(ESTIMATIVA[[#This Row],[QT_AREA_REST2]]&gt;0,"Reestimativa 2",IF(ESTIMATIVA[[#This Row],[QT_AREA_REAL]]=0,"Reestimativa 2","Realizado"))</f>
        <v>Realizado</v>
      </c>
      <c r="X505" s="1">
        <f>ESTIMATIVA[[#This Row],[QT_AREA_EST]]</f>
        <v>4.6100000000000003</v>
      </c>
      <c r="Y505" s="1">
        <f>IF(ESTIMATIVA[[#This Row],[QT_AREA_REST1]]&gt;0,ESTIMATIVA[[#This Row],[QT_AREA_REST1]],
  IF(ESTIMATIVA[[#This Row],[QT_AREA_REAL]]&gt;0,ESTIMATIVA[[#This Row],[QT_AREA_REAL]],ESTIMATIVA[[#This Row],[QT_AREA_EST]]))</f>
        <v>4.6100000000000003</v>
      </c>
      <c r="Z50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4.6100000000000003</v>
      </c>
      <c r="AA505" s="1">
        <f>ESTIMATIVA[[#This Row],[QT_CANA_EST]]</f>
        <v>175.18</v>
      </c>
      <c r="AB505" s="1">
        <f>IF(ESTIMATIVA[[#This Row],[QT_CANA_REST1]]&gt;0,ESTIMATIVA[[#This Row],[QT_CANA_REST1]],
  IF(ESTIMATIVA[[#This Row],[QT_CANA_REAL]]&gt;0,ESTIMATIVA[[#This Row],[QT_CANA_REAL]],ESTIMATIVA[[#This Row],[QT_CANA_EST]]))</f>
        <v>368.68</v>
      </c>
      <c r="AC50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368.68</v>
      </c>
      <c r="AD505" s="1">
        <f>IF(ESTIMATIVA[[#This Row],[QT_AREA_REAL]]&gt;0,ESTIMATIVA[[#This Row],[QT_CANA_REAL]],ESTIMATIVA[[#This Row],[QT_CANA_EST]])</f>
        <v>368.68</v>
      </c>
      <c r="AE505" s="1">
        <f>IF(ESTIMATIVA[[#This Row],[QT_AREA_REAL]]&gt;0,ESTIMATIVA[[#This Row],[QT_CANA_REAL]],ESTIMATIVA[[#This Row],[QT_CANA_REST1]])</f>
        <v>368.68</v>
      </c>
      <c r="AF505" s="1">
        <f>IF(ESTIMATIVA[[#This Row],[QT_AREA_REAL]]&gt;0,ESTIMATIVA[[#This Row],[QT_CANA_REAL]],ESTIMATIVA[[#This Row],[QT_CANA_REST2]])</f>
        <v>368.68</v>
      </c>
      <c r="AG505" s="1" t="str">
        <f>IF(COUNTIFS(GEADA!A:A,VALUE(ESTIMATIVA[[#This Row],[CD_UPNIVEL1]]&amp;TEXT(ESTIMATIVA[[#This Row],[CD_UPNIVEL3]],"0000")))&gt;0,"S","N")</f>
        <v>N</v>
      </c>
      <c r="AH50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05" s="55" t="str">
        <f>IF(ESTIMATIVA[[#This Row],[TP_CULTIVO]]="Irrigado",_xlfn.MAXIFS(IRRIGADO!J:J,IRRIGADO!C:C,ESTIMATIVA[[#This Row],[CD_UPNIVEL1]],IRRIGADO!E:E,ESTIMATIVA[[#This Row],[CD_UPNIVEL3]]),"")</f>
        <v/>
      </c>
      <c r="AJ50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05" s="1">
        <f>COUNTIFS(Apresentação!$E$23:$E$29,ESTIMATIVA[[#This Row],[CD_UPNIVEL1]])</f>
        <v>0</v>
      </c>
    </row>
    <row r="506" spans="1:37" x14ac:dyDescent="0.3">
      <c r="A506">
        <v>20314</v>
      </c>
      <c r="B506" t="s">
        <v>27</v>
      </c>
      <c r="C506">
        <v>5277</v>
      </c>
      <c r="D506">
        <v>4</v>
      </c>
      <c r="E506" t="s">
        <v>265</v>
      </c>
      <c r="F506" s="85" t="s">
        <v>332</v>
      </c>
      <c r="G506"/>
      <c r="H506" t="s">
        <v>295</v>
      </c>
      <c r="I506" t="s">
        <v>210</v>
      </c>
      <c r="J506" t="s">
        <v>176</v>
      </c>
      <c r="K506" s="1">
        <v>8.4499999999999993</v>
      </c>
      <c r="L506" s="1">
        <v>0</v>
      </c>
      <c r="M506" s="1">
        <v>0</v>
      </c>
      <c r="N506" s="1">
        <v>8.4499999999999993</v>
      </c>
      <c r="O506" s="1">
        <v>321.10000000000002</v>
      </c>
      <c r="P506" s="1">
        <v>0</v>
      </c>
      <c r="Q506" s="1">
        <v>0</v>
      </c>
      <c r="R506" s="1">
        <v>676.31</v>
      </c>
      <c r="S506" t="s">
        <v>12</v>
      </c>
      <c r="T506" s="13">
        <v>45998</v>
      </c>
      <c r="U506" s="1" t="str">
        <f>IF(ESTIMATIVA[[#This Row],[QT_AREA_REAL]]&gt;0,"1- Colhido","2- à Colher")</f>
        <v>1- Colhido</v>
      </c>
      <c r="V506" s="1" t="str">
        <f>IF(ESTIMATIVA[[#This Row],[QT_AREA_REST1]]&gt;0,"Reestimativa 1",IF(ESTIMATIVA[[#This Row],[QT_AREA_REAL]]=0,"Reestimativa 1","Realizado"))</f>
        <v>Realizado</v>
      </c>
      <c r="W506" s="1" t="str">
        <f>IF(ESTIMATIVA[[#This Row],[QT_AREA_REST2]]&gt;0,"Reestimativa 2",IF(ESTIMATIVA[[#This Row],[QT_AREA_REAL]]=0,"Reestimativa 2","Realizado"))</f>
        <v>Realizado</v>
      </c>
      <c r="X506" s="1">
        <f>ESTIMATIVA[[#This Row],[QT_AREA_EST]]</f>
        <v>8.4499999999999993</v>
      </c>
      <c r="Y506" s="1">
        <f>IF(ESTIMATIVA[[#This Row],[QT_AREA_REST1]]&gt;0,ESTIMATIVA[[#This Row],[QT_AREA_REST1]],
  IF(ESTIMATIVA[[#This Row],[QT_AREA_REAL]]&gt;0,ESTIMATIVA[[#This Row],[QT_AREA_REAL]],ESTIMATIVA[[#This Row],[QT_AREA_EST]]))</f>
        <v>8.4499999999999993</v>
      </c>
      <c r="Z50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8.4499999999999993</v>
      </c>
      <c r="AA506" s="1">
        <f>ESTIMATIVA[[#This Row],[QT_CANA_EST]]</f>
        <v>321.10000000000002</v>
      </c>
      <c r="AB506" s="1">
        <f>IF(ESTIMATIVA[[#This Row],[QT_CANA_REST1]]&gt;0,ESTIMATIVA[[#This Row],[QT_CANA_REST1]],
  IF(ESTIMATIVA[[#This Row],[QT_CANA_REAL]]&gt;0,ESTIMATIVA[[#This Row],[QT_CANA_REAL]],ESTIMATIVA[[#This Row],[QT_CANA_EST]]))</f>
        <v>676.31</v>
      </c>
      <c r="AC50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676.31</v>
      </c>
      <c r="AD506" s="1">
        <f>IF(ESTIMATIVA[[#This Row],[QT_AREA_REAL]]&gt;0,ESTIMATIVA[[#This Row],[QT_CANA_REAL]],ESTIMATIVA[[#This Row],[QT_CANA_EST]])</f>
        <v>676.31</v>
      </c>
      <c r="AE506" s="1">
        <f>IF(ESTIMATIVA[[#This Row],[QT_AREA_REAL]]&gt;0,ESTIMATIVA[[#This Row],[QT_CANA_REAL]],ESTIMATIVA[[#This Row],[QT_CANA_REST1]])</f>
        <v>676.31</v>
      </c>
      <c r="AF506" s="1">
        <f>IF(ESTIMATIVA[[#This Row],[QT_AREA_REAL]]&gt;0,ESTIMATIVA[[#This Row],[QT_CANA_REAL]],ESTIMATIVA[[#This Row],[QT_CANA_REST2]])</f>
        <v>676.31</v>
      </c>
      <c r="AG506" s="1" t="str">
        <f>IF(COUNTIFS(GEADA!A:A,VALUE(ESTIMATIVA[[#This Row],[CD_UPNIVEL1]]&amp;TEXT(ESTIMATIVA[[#This Row],[CD_UPNIVEL3]],"0000")))&gt;0,"S","N")</f>
        <v>N</v>
      </c>
      <c r="AH50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06" s="55" t="str">
        <f>IF(ESTIMATIVA[[#This Row],[TP_CULTIVO]]="Irrigado",_xlfn.MAXIFS(IRRIGADO!J:J,IRRIGADO!C:C,ESTIMATIVA[[#This Row],[CD_UPNIVEL1]],IRRIGADO!E:E,ESTIMATIVA[[#This Row],[CD_UPNIVEL3]]),"")</f>
        <v/>
      </c>
      <c r="AJ50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06" s="1">
        <f>COUNTIFS(Apresentação!$E$23:$E$29,ESTIMATIVA[[#This Row],[CD_UPNIVEL1]])</f>
        <v>0</v>
      </c>
    </row>
    <row r="507" spans="1:37" x14ac:dyDescent="0.3">
      <c r="A507">
        <v>20314</v>
      </c>
      <c r="B507" t="s">
        <v>27</v>
      </c>
      <c r="C507">
        <v>5285</v>
      </c>
      <c r="D507">
        <v>4</v>
      </c>
      <c r="E507" t="s">
        <v>265</v>
      </c>
      <c r="F507" s="85" t="s">
        <v>332</v>
      </c>
      <c r="G507"/>
      <c r="H507" t="s">
        <v>295</v>
      </c>
      <c r="I507" t="s">
        <v>218</v>
      </c>
      <c r="J507" t="s">
        <v>176</v>
      </c>
      <c r="K507" s="1">
        <v>9.07</v>
      </c>
      <c r="L507" s="1">
        <v>0</v>
      </c>
      <c r="M507" s="1">
        <v>0</v>
      </c>
      <c r="N507" s="1">
        <v>9.07</v>
      </c>
      <c r="O507" s="1">
        <v>344.66</v>
      </c>
      <c r="P507" s="1">
        <v>0</v>
      </c>
      <c r="Q507" s="1">
        <v>0</v>
      </c>
      <c r="R507" s="1">
        <v>726.37</v>
      </c>
      <c r="S507" t="s">
        <v>12</v>
      </c>
      <c r="T507" s="13">
        <v>45998</v>
      </c>
      <c r="U507" s="1" t="str">
        <f>IF(ESTIMATIVA[[#This Row],[QT_AREA_REAL]]&gt;0,"1- Colhido","2- à Colher")</f>
        <v>1- Colhido</v>
      </c>
      <c r="V507" s="1" t="str">
        <f>IF(ESTIMATIVA[[#This Row],[QT_AREA_REST1]]&gt;0,"Reestimativa 1",IF(ESTIMATIVA[[#This Row],[QT_AREA_REAL]]=0,"Reestimativa 1","Realizado"))</f>
        <v>Realizado</v>
      </c>
      <c r="W507" s="1" t="str">
        <f>IF(ESTIMATIVA[[#This Row],[QT_AREA_REST2]]&gt;0,"Reestimativa 2",IF(ESTIMATIVA[[#This Row],[QT_AREA_REAL]]=0,"Reestimativa 2","Realizado"))</f>
        <v>Realizado</v>
      </c>
      <c r="X507" s="1">
        <f>ESTIMATIVA[[#This Row],[QT_AREA_EST]]</f>
        <v>9.07</v>
      </c>
      <c r="Y507" s="1">
        <f>IF(ESTIMATIVA[[#This Row],[QT_AREA_REST1]]&gt;0,ESTIMATIVA[[#This Row],[QT_AREA_REST1]],
  IF(ESTIMATIVA[[#This Row],[QT_AREA_REAL]]&gt;0,ESTIMATIVA[[#This Row],[QT_AREA_REAL]],ESTIMATIVA[[#This Row],[QT_AREA_EST]]))</f>
        <v>9.07</v>
      </c>
      <c r="Z50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9.07</v>
      </c>
      <c r="AA507" s="1">
        <f>ESTIMATIVA[[#This Row],[QT_CANA_EST]]</f>
        <v>344.66</v>
      </c>
      <c r="AB507" s="1">
        <f>IF(ESTIMATIVA[[#This Row],[QT_CANA_REST1]]&gt;0,ESTIMATIVA[[#This Row],[QT_CANA_REST1]],
  IF(ESTIMATIVA[[#This Row],[QT_CANA_REAL]]&gt;0,ESTIMATIVA[[#This Row],[QT_CANA_REAL]],ESTIMATIVA[[#This Row],[QT_CANA_EST]]))</f>
        <v>726.37</v>
      </c>
      <c r="AC50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726.37</v>
      </c>
      <c r="AD507" s="1">
        <f>IF(ESTIMATIVA[[#This Row],[QT_AREA_REAL]]&gt;0,ESTIMATIVA[[#This Row],[QT_CANA_REAL]],ESTIMATIVA[[#This Row],[QT_CANA_EST]])</f>
        <v>726.37</v>
      </c>
      <c r="AE507" s="1">
        <f>IF(ESTIMATIVA[[#This Row],[QT_AREA_REAL]]&gt;0,ESTIMATIVA[[#This Row],[QT_CANA_REAL]],ESTIMATIVA[[#This Row],[QT_CANA_REST1]])</f>
        <v>726.37</v>
      </c>
      <c r="AF507" s="1">
        <f>IF(ESTIMATIVA[[#This Row],[QT_AREA_REAL]]&gt;0,ESTIMATIVA[[#This Row],[QT_CANA_REAL]],ESTIMATIVA[[#This Row],[QT_CANA_REST2]])</f>
        <v>726.37</v>
      </c>
      <c r="AG507" s="1" t="str">
        <f>IF(COUNTIFS(GEADA!A:A,VALUE(ESTIMATIVA[[#This Row],[CD_UPNIVEL1]]&amp;TEXT(ESTIMATIVA[[#This Row],[CD_UPNIVEL3]],"0000")))&gt;0,"S","N")</f>
        <v>N</v>
      </c>
      <c r="AH50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07" s="55" t="str">
        <f>IF(ESTIMATIVA[[#This Row],[TP_CULTIVO]]="Irrigado",_xlfn.MAXIFS(IRRIGADO!J:J,IRRIGADO!C:C,ESTIMATIVA[[#This Row],[CD_UPNIVEL1]],IRRIGADO!E:E,ESTIMATIVA[[#This Row],[CD_UPNIVEL3]]),"")</f>
        <v/>
      </c>
      <c r="AJ50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07" s="1">
        <f>COUNTIFS(Apresentação!$E$23:$E$29,ESTIMATIVA[[#This Row],[CD_UPNIVEL1]])</f>
        <v>0</v>
      </c>
    </row>
    <row r="508" spans="1:37" x14ac:dyDescent="0.3">
      <c r="A508">
        <v>20314</v>
      </c>
      <c r="B508" t="s">
        <v>27</v>
      </c>
      <c r="C508">
        <v>5286</v>
      </c>
      <c r="D508">
        <v>4</v>
      </c>
      <c r="E508" t="s">
        <v>265</v>
      </c>
      <c r="F508" s="85" t="s">
        <v>332</v>
      </c>
      <c r="G508"/>
      <c r="H508" t="s">
        <v>295</v>
      </c>
      <c r="I508" t="s">
        <v>210</v>
      </c>
      <c r="J508" t="s">
        <v>176</v>
      </c>
      <c r="K508" s="1">
        <v>10.63</v>
      </c>
      <c r="L508" s="1">
        <v>0</v>
      </c>
      <c r="M508" s="1">
        <v>0</v>
      </c>
      <c r="N508" s="1">
        <v>10.63</v>
      </c>
      <c r="O508" s="1">
        <v>403.94</v>
      </c>
      <c r="P508" s="1">
        <v>0</v>
      </c>
      <c r="Q508" s="1">
        <v>0</v>
      </c>
      <c r="R508" s="1">
        <v>850.6</v>
      </c>
      <c r="S508" t="s">
        <v>12</v>
      </c>
      <c r="T508" s="13">
        <v>45998</v>
      </c>
      <c r="U508" s="1" t="str">
        <f>IF(ESTIMATIVA[[#This Row],[QT_AREA_REAL]]&gt;0,"1- Colhido","2- à Colher")</f>
        <v>1- Colhido</v>
      </c>
      <c r="V508" s="1" t="str">
        <f>IF(ESTIMATIVA[[#This Row],[QT_AREA_REST1]]&gt;0,"Reestimativa 1",IF(ESTIMATIVA[[#This Row],[QT_AREA_REAL]]=0,"Reestimativa 1","Realizado"))</f>
        <v>Realizado</v>
      </c>
      <c r="W508" s="1" t="str">
        <f>IF(ESTIMATIVA[[#This Row],[QT_AREA_REST2]]&gt;0,"Reestimativa 2",IF(ESTIMATIVA[[#This Row],[QT_AREA_REAL]]=0,"Reestimativa 2","Realizado"))</f>
        <v>Realizado</v>
      </c>
      <c r="X508" s="1">
        <f>ESTIMATIVA[[#This Row],[QT_AREA_EST]]</f>
        <v>10.63</v>
      </c>
      <c r="Y508" s="1">
        <f>IF(ESTIMATIVA[[#This Row],[QT_AREA_REST1]]&gt;0,ESTIMATIVA[[#This Row],[QT_AREA_REST1]],
  IF(ESTIMATIVA[[#This Row],[QT_AREA_REAL]]&gt;0,ESTIMATIVA[[#This Row],[QT_AREA_REAL]],ESTIMATIVA[[#This Row],[QT_AREA_EST]]))</f>
        <v>10.63</v>
      </c>
      <c r="Z50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10.63</v>
      </c>
      <c r="AA508" s="1">
        <f>ESTIMATIVA[[#This Row],[QT_CANA_EST]]</f>
        <v>403.94</v>
      </c>
      <c r="AB508" s="1">
        <f>IF(ESTIMATIVA[[#This Row],[QT_CANA_REST1]]&gt;0,ESTIMATIVA[[#This Row],[QT_CANA_REST1]],
  IF(ESTIMATIVA[[#This Row],[QT_CANA_REAL]]&gt;0,ESTIMATIVA[[#This Row],[QT_CANA_REAL]],ESTIMATIVA[[#This Row],[QT_CANA_EST]]))</f>
        <v>850.6</v>
      </c>
      <c r="AC50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850.6</v>
      </c>
      <c r="AD508" s="1">
        <f>IF(ESTIMATIVA[[#This Row],[QT_AREA_REAL]]&gt;0,ESTIMATIVA[[#This Row],[QT_CANA_REAL]],ESTIMATIVA[[#This Row],[QT_CANA_EST]])</f>
        <v>850.6</v>
      </c>
      <c r="AE508" s="1">
        <f>IF(ESTIMATIVA[[#This Row],[QT_AREA_REAL]]&gt;0,ESTIMATIVA[[#This Row],[QT_CANA_REAL]],ESTIMATIVA[[#This Row],[QT_CANA_REST1]])</f>
        <v>850.6</v>
      </c>
      <c r="AF508" s="1">
        <f>IF(ESTIMATIVA[[#This Row],[QT_AREA_REAL]]&gt;0,ESTIMATIVA[[#This Row],[QT_CANA_REAL]],ESTIMATIVA[[#This Row],[QT_CANA_REST2]])</f>
        <v>850.6</v>
      </c>
      <c r="AG508" s="1" t="str">
        <f>IF(COUNTIFS(GEADA!A:A,VALUE(ESTIMATIVA[[#This Row],[CD_UPNIVEL1]]&amp;TEXT(ESTIMATIVA[[#This Row],[CD_UPNIVEL3]],"0000")))&gt;0,"S","N")</f>
        <v>N</v>
      </c>
      <c r="AH50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08" s="55" t="str">
        <f>IF(ESTIMATIVA[[#This Row],[TP_CULTIVO]]="Irrigado",_xlfn.MAXIFS(IRRIGADO!J:J,IRRIGADO!C:C,ESTIMATIVA[[#This Row],[CD_UPNIVEL1]],IRRIGADO!E:E,ESTIMATIVA[[#This Row],[CD_UPNIVEL3]]),"")</f>
        <v/>
      </c>
      <c r="AJ50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08" s="1">
        <f>COUNTIFS(Apresentação!$E$23:$E$29,ESTIMATIVA[[#This Row],[CD_UPNIVEL1]])</f>
        <v>0</v>
      </c>
    </row>
    <row r="509" spans="1:37" x14ac:dyDescent="0.3">
      <c r="A509">
        <v>20314</v>
      </c>
      <c r="B509" t="s">
        <v>27</v>
      </c>
      <c r="C509">
        <v>5287</v>
      </c>
      <c r="D509">
        <v>4</v>
      </c>
      <c r="E509" t="s">
        <v>265</v>
      </c>
      <c r="F509" s="85" t="s">
        <v>332</v>
      </c>
      <c r="G509"/>
      <c r="H509" t="s">
        <v>295</v>
      </c>
      <c r="I509" t="s">
        <v>210</v>
      </c>
      <c r="J509" t="s">
        <v>176</v>
      </c>
      <c r="K509" s="1">
        <v>6.75</v>
      </c>
      <c r="L509" s="1">
        <v>0</v>
      </c>
      <c r="M509" s="1">
        <v>0</v>
      </c>
      <c r="N509" s="1">
        <v>6.75</v>
      </c>
      <c r="O509" s="1">
        <v>256.5</v>
      </c>
      <c r="P509" s="1">
        <v>0</v>
      </c>
      <c r="Q509" s="1">
        <v>0</v>
      </c>
      <c r="R509" s="1">
        <v>539.41999999999996</v>
      </c>
      <c r="S509" t="s">
        <v>12</v>
      </c>
      <c r="T509" s="13">
        <v>45998</v>
      </c>
      <c r="U509" s="1" t="str">
        <f>IF(ESTIMATIVA[[#This Row],[QT_AREA_REAL]]&gt;0,"1- Colhido","2- à Colher")</f>
        <v>1- Colhido</v>
      </c>
      <c r="V509" s="1" t="str">
        <f>IF(ESTIMATIVA[[#This Row],[QT_AREA_REST1]]&gt;0,"Reestimativa 1",IF(ESTIMATIVA[[#This Row],[QT_AREA_REAL]]=0,"Reestimativa 1","Realizado"))</f>
        <v>Realizado</v>
      </c>
      <c r="W509" s="1" t="str">
        <f>IF(ESTIMATIVA[[#This Row],[QT_AREA_REST2]]&gt;0,"Reestimativa 2",IF(ESTIMATIVA[[#This Row],[QT_AREA_REAL]]=0,"Reestimativa 2","Realizado"))</f>
        <v>Realizado</v>
      </c>
      <c r="X509" s="1">
        <f>ESTIMATIVA[[#This Row],[QT_AREA_EST]]</f>
        <v>6.75</v>
      </c>
      <c r="Y509" s="1">
        <f>IF(ESTIMATIVA[[#This Row],[QT_AREA_REST1]]&gt;0,ESTIMATIVA[[#This Row],[QT_AREA_REST1]],
  IF(ESTIMATIVA[[#This Row],[QT_AREA_REAL]]&gt;0,ESTIMATIVA[[#This Row],[QT_AREA_REAL]],ESTIMATIVA[[#This Row],[QT_AREA_EST]]))</f>
        <v>6.75</v>
      </c>
      <c r="Z50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6.75</v>
      </c>
      <c r="AA509" s="1">
        <f>ESTIMATIVA[[#This Row],[QT_CANA_EST]]</f>
        <v>256.5</v>
      </c>
      <c r="AB509" s="1">
        <f>IF(ESTIMATIVA[[#This Row],[QT_CANA_REST1]]&gt;0,ESTIMATIVA[[#This Row],[QT_CANA_REST1]],
  IF(ESTIMATIVA[[#This Row],[QT_CANA_REAL]]&gt;0,ESTIMATIVA[[#This Row],[QT_CANA_REAL]],ESTIMATIVA[[#This Row],[QT_CANA_EST]]))</f>
        <v>539.41999999999996</v>
      </c>
      <c r="AC50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539.41999999999996</v>
      </c>
      <c r="AD509" s="1">
        <f>IF(ESTIMATIVA[[#This Row],[QT_AREA_REAL]]&gt;0,ESTIMATIVA[[#This Row],[QT_CANA_REAL]],ESTIMATIVA[[#This Row],[QT_CANA_EST]])</f>
        <v>539.41999999999996</v>
      </c>
      <c r="AE509" s="1">
        <f>IF(ESTIMATIVA[[#This Row],[QT_AREA_REAL]]&gt;0,ESTIMATIVA[[#This Row],[QT_CANA_REAL]],ESTIMATIVA[[#This Row],[QT_CANA_REST1]])</f>
        <v>539.41999999999996</v>
      </c>
      <c r="AF509" s="1">
        <f>IF(ESTIMATIVA[[#This Row],[QT_AREA_REAL]]&gt;0,ESTIMATIVA[[#This Row],[QT_CANA_REAL]],ESTIMATIVA[[#This Row],[QT_CANA_REST2]])</f>
        <v>539.41999999999996</v>
      </c>
      <c r="AG509" s="1" t="str">
        <f>IF(COUNTIFS(GEADA!A:A,VALUE(ESTIMATIVA[[#This Row],[CD_UPNIVEL1]]&amp;TEXT(ESTIMATIVA[[#This Row],[CD_UPNIVEL3]],"0000")))&gt;0,"S","N")</f>
        <v>N</v>
      </c>
      <c r="AH50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09" s="55" t="str">
        <f>IF(ESTIMATIVA[[#This Row],[TP_CULTIVO]]="Irrigado",_xlfn.MAXIFS(IRRIGADO!J:J,IRRIGADO!C:C,ESTIMATIVA[[#This Row],[CD_UPNIVEL1]],IRRIGADO!E:E,ESTIMATIVA[[#This Row],[CD_UPNIVEL3]]),"")</f>
        <v/>
      </c>
      <c r="AJ50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09" s="1">
        <f>COUNTIFS(Apresentação!$E$23:$E$29,ESTIMATIVA[[#This Row],[CD_UPNIVEL1]])</f>
        <v>0</v>
      </c>
    </row>
    <row r="510" spans="1:37" x14ac:dyDescent="0.3">
      <c r="A510">
        <v>20314</v>
      </c>
      <c r="B510" t="s">
        <v>27</v>
      </c>
      <c r="C510">
        <v>5288</v>
      </c>
      <c r="D510">
        <v>4</v>
      </c>
      <c r="E510" t="s">
        <v>265</v>
      </c>
      <c r="F510" s="85" t="s">
        <v>332</v>
      </c>
      <c r="G510"/>
      <c r="H510" t="s">
        <v>295</v>
      </c>
      <c r="I510" t="s">
        <v>210</v>
      </c>
      <c r="J510" t="s">
        <v>176</v>
      </c>
      <c r="K510" s="1">
        <v>1.86</v>
      </c>
      <c r="L510" s="1">
        <v>0</v>
      </c>
      <c r="M510" s="1">
        <v>0</v>
      </c>
      <c r="N510" s="1">
        <v>1.86</v>
      </c>
      <c r="O510" s="1">
        <v>70.680000000000007</v>
      </c>
      <c r="P510" s="1">
        <v>0</v>
      </c>
      <c r="Q510" s="1">
        <v>0</v>
      </c>
      <c r="R510" s="1">
        <v>150.08000000000001</v>
      </c>
      <c r="S510" t="s">
        <v>12</v>
      </c>
      <c r="T510" s="13">
        <v>45998</v>
      </c>
      <c r="U510" s="1" t="str">
        <f>IF(ESTIMATIVA[[#This Row],[QT_AREA_REAL]]&gt;0,"1- Colhido","2- à Colher")</f>
        <v>1- Colhido</v>
      </c>
      <c r="V510" s="1" t="str">
        <f>IF(ESTIMATIVA[[#This Row],[QT_AREA_REST1]]&gt;0,"Reestimativa 1",IF(ESTIMATIVA[[#This Row],[QT_AREA_REAL]]=0,"Reestimativa 1","Realizado"))</f>
        <v>Realizado</v>
      </c>
      <c r="W510" s="1" t="str">
        <f>IF(ESTIMATIVA[[#This Row],[QT_AREA_REST2]]&gt;0,"Reestimativa 2",IF(ESTIMATIVA[[#This Row],[QT_AREA_REAL]]=0,"Reestimativa 2","Realizado"))</f>
        <v>Realizado</v>
      </c>
      <c r="X510" s="1">
        <f>ESTIMATIVA[[#This Row],[QT_AREA_EST]]</f>
        <v>1.86</v>
      </c>
      <c r="Y510" s="1">
        <f>IF(ESTIMATIVA[[#This Row],[QT_AREA_REST1]]&gt;0,ESTIMATIVA[[#This Row],[QT_AREA_REST1]],
  IF(ESTIMATIVA[[#This Row],[QT_AREA_REAL]]&gt;0,ESTIMATIVA[[#This Row],[QT_AREA_REAL]],ESTIMATIVA[[#This Row],[QT_AREA_EST]]))</f>
        <v>1.86</v>
      </c>
      <c r="Z51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1.86</v>
      </c>
      <c r="AA510" s="1">
        <f>ESTIMATIVA[[#This Row],[QT_CANA_EST]]</f>
        <v>70.680000000000007</v>
      </c>
      <c r="AB510" s="1">
        <f>IF(ESTIMATIVA[[#This Row],[QT_CANA_REST1]]&gt;0,ESTIMATIVA[[#This Row],[QT_CANA_REST1]],
  IF(ESTIMATIVA[[#This Row],[QT_CANA_REAL]]&gt;0,ESTIMATIVA[[#This Row],[QT_CANA_REAL]],ESTIMATIVA[[#This Row],[QT_CANA_EST]]))</f>
        <v>150.08000000000001</v>
      </c>
      <c r="AC51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150.08000000000001</v>
      </c>
      <c r="AD510" s="1">
        <f>IF(ESTIMATIVA[[#This Row],[QT_AREA_REAL]]&gt;0,ESTIMATIVA[[#This Row],[QT_CANA_REAL]],ESTIMATIVA[[#This Row],[QT_CANA_EST]])</f>
        <v>150.08000000000001</v>
      </c>
      <c r="AE510" s="1">
        <f>IF(ESTIMATIVA[[#This Row],[QT_AREA_REAL]]&gt;0,ESTIMATIVA[[#This Row],[QT_CANA_REAL]],ESTIMATIVA[[#This Row],[QT_CANA_REST1]])</f>
        <v>150.08000000000001</v>
      </c>
      <c r="AF510" s="1">
        <f>IF(ESTIMATIVA[[#This Row],[QT_AREA_REAL]]&gt;0,ESTIMATIVA[[#This Row],[QT_CANA_REAL]],ESTIMATIVA[[#This Row],[QT_CANA_REST2]])</f>
        <v>150.08000000000001</v>
      </c>
      <c r="AG510" s="1" t="str">
        <f>IF(COUNTIFS(GEADA!A:A,VALUE(ESTIMATIVA[[#This Row],[CD_UPNIVEL1]]&amp;TEXT(ESTIMATIVA[[#This Row],[CD_UPNIVEL3]],"0000")))&gt;0,"S","N")</f>
        <v>N</v>
      </c>
      <c r="AH51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10" s="55" t="str">
        <f>IF(ESTIMATIVA[[#This Row],[TP_CULTIVO]]="Irrigado",_xlfn.MAXIFS(IRRIGADO!J:J,IRRIGADO!C:C,ESTIMATIVA[[#This Row],[CD_UPNIVEL1]],IRRIGADO!E:E,ESTIMATIVA[[#This Row],[CD_UPNIVEL3]]),"")</f>
        <v/>
      </c>
      <c r="AJ51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10" s="1">
        <f>COUNTIFS(Apresentação!$E$23:$E$29,ESTIMATIVA[[#This Row],[CD_UPNIVEL1]])</f>
        <v>0</v>
      </c>
    </row>
    <row r="511" spans="1:37" x14ac:dyDescent="0.3">
      <c r="A511">
        <v>20314</v>
      </c>
      <c r="B511" t="s">
        <v>27</v>
      </c>
      <c r="C511">
        <v>5296</v>
      </c>
      <c r="D511">
        <v>4</v>
      </c>
      <c r="E511" t="s">
        <v>265</v>
      </c>
      <c r="F511" s="85" t="s">
        <v>332</v>
      </c>
      <c r="G511"/>
      <c r="H511" t="s">
        <v>295</v>
      </c>
      <c r="I511" t="s">
        <v>210</v>
      </c>
      <c r="J511" t="s">
        <v>176</v>
      </c>
      <c r="K511" s="1">
        <v>6.36</v>
      </c>
      <c r="L511" s="1">
        <v>0</v>
      </c>
      <c r="M511" s="1">
        <v>0</v>
      </c>
      <c r="N511" s="1">
        <v>6.36</v>
      </c>
      <c r="O511" s="1">
        <v>241.68</v>
      </c>
      <c r="P511" s="1">
        <v>0</v>
      </c>
      <c r="Q511" s="1">
        <v>0</v>
      </c>
      <c r="R511" s="1">
        <v>509.5</v>
      </c>
      <c r="S511" t="s">
        <v>12</v>
      </c>
      <c r="T511" s="13">
        <v>45998</v>
      </c>
      <c r="U511" s="1" t="str">
        <f>IF(ESTIMATIVA[[#This Row],[QT_AREA_REAL]]&gt;0,"1- Colhido","2- à Colher")</f>
        <v>1- Colhido</v>
      </c>
      <c r="V511" s="1" t="str">
        <f>IF(ESTIMATIVA[[#This Row],[QT_AREA_REST1]]&gt;0,"Reestimativa 1",IF(ESTIMATIVA[[#This Row],[QT_AREA_REAL]]=0,"Reestimativa 1","Realizado"))</f>
        <v>Realizado</v>
      </c>
      <c r="W511" s="1" t="str">
        <f>IF(ESTIMATIVA[[#This Row],[QT_AREA_REST2]]&gt;0,"Reestimativa 2",IF(ESTIMATIVA[[#This Row],[QT_AREA_REAL]]=0,"Reestimativa 2","Realizado"))</f>
        <v>Realizado</v>
      </c>
      <c r="X511" s="1">
        <f>ESTIMATIVA[[#This Row],[QT_AREA_EST]]</f>
        <v>6.36</v>
      </c>
      <c r="Y511" s="1">
        <f>IF(ESTIMATIVA[[#This Row],[QT_AREA_REST1]]&gt;0,ESTIMATIVA[[#This Row],[QT_AREA_REST1]],
  IF(ESTIMATIVA[[#This Row],[QT_AREA_REAL]]&gt;0,ESTIMATIVA[[#This Row],[QT_AREA_REAL]],ESTIMATIVA[[#This Row],[QT_AREA_EST]]))</f>
        <v>6.36</v>
      </c>
      <c r="Z51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6.36</v>
      </c>
      <c r="AA511" s="1">
        <f>ESTIMATIVA[[#This Row],[QT_CANA_EST]]</f>
        <v>241.68</v>
      </c>
      <c r="AB511" s="1">
        <f>IF(ESTIMATIVA[[#This Row],[QT_CANA_REST1]]&gt;0,ESTIMATIVA[[#This Row],[QT_CANA_REST1]],
  IF(ESTIMATIVA[[#This Row],[QT_CANA_REAL]]&gt;0,ESTIMATIVA[[#This Row],[QT_CANA_REAL]],ESTIMATIVA[[#This Row],[QT_CANA_EST]]))</f>
        <v>509.5</v>
      </c>
      <c r="AC51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509.5</v>
      </c>
      <c r="AD511" s="1">
        <f>IF(ESTIMATIVA[[#This Row],[QT_AREA_REAL]]&gt;0,ESTIMATIVA[[#This Row],[QT_CANA_REAL]],ESTIMATIVA[[#This Row],[QT_CANA_EST]])</f>
        <v>509.5</v>
      </c>
      <c r="AE511" s="1">
        <f>IF(ESTIMATIVA[[#This Row],[QT_AREA_REAL]]&gt;0,ESTIMATIVA[[#This Row],[QT_CANA_REAL]],ESTIMATIVA[[#This Row],[QT_CANA_REST1]])</f>
        <v>509.5</v>
      </c>
      <c r="AF511" s="1">
        <f>IF(ESTIMATIVA[[#This Row],[QT_AREA_REAL]]&gt;0,ESTIMATIVA[[#This Row],[QT_CANA_REAL]],ESTIMATIVA[[#This Row],[QT_CANA_REST2]])</f>
        <v>509.5</v>
      </c>
      <c r="AG511" s="1" t="str">
        <f>IF(COUNTIFS(GEADA!A:A,VALUE(ESTIMATIVA[[#This Row],[CD_UPNIVEL1]]&amp;TEXT(ESTIMATIVA[[#This Row],[CD_UPNIVEL3]],"0000")))&gt;0,"S","N")</f>
        <v>N</v>
      </c>
      <c r="AH51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11" s="55" t="str">
        <f>IF(ESTIMATIVA[[#This Row],[TP_CULTIVO]]="Irrigado",_xlfn.MAXIFS(IRRIGADO!J:J,IRRIGADO!C:C,ESTIMATIVA[[#This Row],[CD_UPNIVEL1]],IRRIGADO!E:E,ESTIMATIVA[[#This Row],[CD_UPNIVEL3]]),"")</f>
        <v/>
      </c>
      <c r="AJ51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11" s="1">
        <f>COUNTIFS(Apresentação!$E$23:$E$29,ESTIMATIVA[[#This Row],[CD_UPNIVEL1]])</f>
        <v>0</v>
      </c>
    </row>
    <row r="512" spans="1:37" x14ac:dyDescent="0.3">
      <c r="A512">
        <v>20314</v>
      </c>
      <c r="B512" t="s">
        <v>27</v>
      </c>
      <c r="C512">
        <v>5297</v>
      </c>
      <c r="D512">
        <v>4</v>
      </c>
      <c r="E512" t="s">
        <v>265</v>
      </c>
      <c r="F512" s="85" t="s">
        <v>332</v>
      </c>
      <c r="G512"/>
      <c r="H512" t="s">
        <v>295</v>
      </c>
      <c r="I512" t="s">
        <v>211</v>
      </c>
      <c r="J512" t="s">
        <v>176</v>
      </c>
      <c r="K512" s="1">
        <v>8.2100000000000009</v>
      </c>
      <c r="L512" s="1">
        <v>0</v>
      </c>
      <c r="M512" s="1">
        <v>0</v>
      </c>
      <c r="N512" s="1">
        <v>8.2100000000000009</v>
      </c>
      <c r="O512" s="1">
        <v>311.98</v>
      </c>
      <c r="P512" s="1">
        <v>0</v>
      </c>
      <c r="Q512" s="1">
        <v>0</v>
      </c>
      <c r="R512" s="1">
        <v>657.07</v>
      </c>
      <c r="S512" t="s">
        <v>12</v>
      </c>
      <c r="T512" s="13">
        <v>45998</v>
      </c>
      <c r="U512" s="1" t="str">
        <f>IF(ESTIMATIVA[[#This Row],[QT_AREA_REAL]]&gt;0,"1- Colhido","2- à Colher")</f>
        <v>1- Colhido</v>
      </c>
      <c r="V512" s="1" t="str">
        <f>IF(ESTIMATIVA[[#This Row],[QT_AREA_REST1]]&gt;0,"Reestimativa 1",IF(ESTIMATIVA[[#This Row],[QT_AREA_REAL]]=0,"Reestimativa 1","Realizado"))</f>
        <v>Realizado</v>
      </c>
      <c r="W512" s="1" t="str">
        <f>IF(ESTIMATIVA[[#This Row],[QT_AREA_REST2]]&gt;0,"Reestimativa 2",IF(ESTIMATIVA[[#This Row],[QT_AREA_REAL]]=0,"Reestimativa 2","Realizado"))</f>
        <v>Realizado</v>
      </c>
      <c r="X512" s="1">
        <f>ESTIMATIVA[[#This Row],[QT_AREA_EST]]</f>
        <v>8.2100000000000009</v>
      </c>
      <c r="Y512" s="1">
        <f>IF(ESTIMATIVA[[#This Row],[QT_AREA_REST1]]&gt;0,ESTIMATIVA[[#This Row],[QT_AREA_REST1]],
  IF(ESTIMATIVA[[#This Row],[QT_AREA_REAL]]&gt;0,ESTIMATIVA[[#This Row],[QT_AREA_REAL]],ESTIMATIVA[[#This Row],[QT_AREA_EST]]))</f>
        <v>8.2100000000000009</v>
      </c>
      <c r="Z51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8.2100000000000009</v>
      </c>
      <c r="AA512" s="1">
        <f>ESTIMATIVA[[#This Row],[QT_CANA_EST]]</f>
        <v>311.98</v>
      </c>
      <c r="AB512" s="1">
        <f>IF(ESTIMATIVA[[#This Row],[QT_CANA_REST1]]&gt;0,ESTIMATIVA[[#This Row],[QT_CANA_REST1]],
  IF(ESTIMATIVA[[#This Row],[QT_CANA_REAL]]&gt;0,ESTIMATIVA[[#This Row],[QT_CANA_REAL]],ESTIMATIVA[[#This Row],[QT_CANA_EST]]))</f>
        <v>657.07</v>
      </c>
      <c r="AC51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657.07</v>
      </c>
      <c r="AD512" s="1">
        <f>IF(ESTIMATIVA[[#This Row],[QT_AREA_REAL]]&gt;0,ESTIMATIVA[[#This Row],[QT_CANA_REAL]],ESTIMATIVA[[#This Row],[QT_CANA_EST]])</f>
        <v>657.07</v>
      </c>
      <c r="AE512" s="1">
        <f>IF(ESTIMATIVA[[#This Row],[QT_AREA_REAL]]&gt;0,ESTIMATIVA[[#This Row],[QT_CANA_REAL]],ESTIMATIVA[[#This Row],[QT_CANA_REST1]])</f>
        <v>657.07</v>
      </c>
      <c r="AF512" s="1">
        <f>IF(ESTIMATIVA[[#This Row],[QT_AREA_REAL]]&gt;0,ESTIMATIVA[[#This Row],[QT_CANA_REAL]],ESTIMATIVA[[#This Row],[QT_CANA_REST2]])</f>
        <v>657.07</v>
      </c>
      <c r="AG512" s="1" t="str">
        <f>IF(COUNTIFS(GEADA!A:A,VALUE(ESTIMATIVA[[#This Row],[CD_UPNIVEL1]]&amp;TEXT(ESTIMATIVA[[#This Row],[CD_UPNIVEL3]],"0000")))&gt;0,"S","N")</f>
        <v>N</v>
      </c>
      <c r="AH51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12" s="55" t="str">
        <f>IF(ESTIMATIVA[[#This Row],[TP_CULTIVO]]="Irrigado",_xlfn.MAXIFS(IRRIGADO!J:J,IRRIGADO!C:C,ESTIMATIVA[[#This Row],[CD_UPNIVEL1]],IRRIGADO!E:E,ESTIMATIVA[[#This Row],[CD_UPNIVEL3]]),"")</f>
        <v/>
      </c>
      <c r="AJ51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12" s="1">
        <f>COUNTIFS(Apresentação!$E$23:$E$29,ESTIMATIVA[[#This Row],[CD_UPNIVEL1]])</f>
        <v>0</v>
      </c>
    </row>
    <row r="513" spans="1:37" x14ac:dyDescent="0.3">
      <c r="A513">
        <v>20315</v>
      </c>
      <c r="B513" t="s">
        <v>28</v>
      </c>
      <c r="C513">
        <v>1</v>
      </c>
      <c r="D513">
        <v>3</v>
      </c>
      <c r="E513" t="s">
        <v>263</v>
      </c>
      <c r="F513" s="85" t="s">
        <v>331</v>
      </c>
      <c r="G513"/>
      <c r="H513" t="s">
        <v>295</v>
      </c>
      <c r="I513" t="s">
        <v>203</v>
      </c>
      <c r="J513" t="s">
        <v>174</v>
      </c>
      <c r="K513" s="1">
        <v>3.95</v>
      </c>
      <c r="L513" s="1">
        <v>3.95</v>
      </c>
      <c r="M513" s="1">
        <v>0</v>
      </c>
      <c r="N513" s="1">
        <v>3.95</v>
      </c>
      <c r="O513" s="1">
        <v>371.3</v>
      </c>
      <c r="P513" s="1">
        <v>434.5</v>
      </c>
      <c r="Q513" s="1">
        <v>0</v>
      </c>
      <c r="R513" s="1">
        <v>355.41</v>
      </c>
      <c r="S513" t="s">
        <v>12</v>
      </c>
      <c r="T513" s="13">
        <v>45851</v>
      </c>
      <c r="U513" s="1" t="str">
        <f>IF(ESTIMATIVA[[#This Row],[QT_AREA_REAL]]&gt;0,"1- Colhido","2- à Colher")</f>
        <v>1- Colhido</v>
      </c>
      <c r="V513" s="1" t="str">
        <f>IF(ESTIMATIVA[[#This Row],[QT_AREA_REST1]]&gt;0,"Reestimativa 1",IF(ESTIMATIVA[[#This Row],[QT_AREA_REAL]]=0,"Reestimativa 1","Realizado"))</f>
        <v>Reestimativa 1</v>
      </c>
      <c r="W513" s="1" t="str">
        <f>IF(ESTIMATIVA[[#This Row],[QT_AREA_REST2]]&gt;0,"Reestimativa 2",IF(ESTIMATIVA[[#This Row],[QT_AREA_REAL]]=0,"Reestimativa 2","Realizado"))</f>
        <v>Realizado</v>
      </c>
      <c r="X513" s="1">
        <f>ESTIMATIVA[[#This Row],[QT_AREA_EST]]</f>
        <v>3.95</v>
      </c>
      <c r="Y513" s="1">
        <f>IF(ESTIMATIVA[[#This Row],[QT_AREA_REST1]]&gt;0,ESTIMATIVA[[#This Row],[QT_AREA_REST1]],
  IF(ESTIMATIVA[[#This Row],[QT_AREA_REAL]]&gt;0,ESTIMATIVA[[#This Row],[QT_AREA_REAL]],ESTIMATIVA[[#This Row],[QT_AREA_EST]]))</f>
        <v>3.95</v>
      </c>
      <c r="Z51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3.95</v>
      </c>
      <c r="AA513" s="1">
        <f>ESTIMATIVA[[#This Row],[QT_CANA_EST]]</f>
        <v>371.3</v>
      </c>
      <c r="AB513" s="1">
        <f>IF(ESTIMATIVA[[#This Row],[QT_CANA_REST1]]&gt;0,ESTIMATIVA[[#This Row],[QT_CANA_REST1]],
  IF(ESTIMATIVA[[#This Row],[QT_CANA_REAL]]&gt;0,ESTIMATIVA[[#This Row],[QT_CANA_REAL]],ESTIMATIVA[[#This Row],[QT_CANA_EST]]))</f>
        <v>434.5</v>
      </c>
      <c r="AC51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355.41</v>
      </c>
      <c r="AD513" s="1">
        <f>IF(ESTIMATIVA[[#This Row],[QT_AREA_REAL]]&gt;0,ESTIMATIVA[[#This Row],[QT_CANA_REAL]],ESTIMATIVA[[#This Row],[QT_CANA_EST]])</f>
        <v>355.41</v>
      </c>
      <c r="AE513" s="1">
        <f>IF(ESTIMATIVA[[#This Row],[QT_AREA_REAL]]&gt;0,ESTIMATIVA[[#This Row],[QT_CANA_REAL]],ESTIMATIVA[[#This Row],[QT_CANA_REST1]])</f>
        <v>355.41</v>
      </c>
      <c r="AF513" s="1">
        <f>IF(ESTIMATIVA[[#This Row],[QT_AREA_REAL]]&gt;0,ESTIMATIVA[[#This Row],[QT_CANA_REAL]],ESTIMATIVA[[#This Row],[QT_CANA_REST2]])</f>
        <v>355.41</v>
      </c>
      <c r="AG513" s="1" t="str">
        <f>IF(COUNTIFS(GEADA!A:A,VALUE(ESTIMATIVA[[#This Row],[CD_UPNIVEL1]]&amp;TEXT(ESTIMATIVA[[#This Row],[CD_UPNIVEL3]],"0000")))&gt;0,"S","N")</f>
        <v>N</v>
      </c>
      <c r="AH51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13" s="55" t="str">
        <f>IF(ESTIMATIVA[[#This Row],[TP_CULTIVO]]="Irrigado",_xlfn.MAXIFS(IRRIGADO!J:J,IRRIGADO!C:C,ESTIMATIVA[[#This Row],[CD_UPNIVEL1]],IRRIGADO!E:E,ESTIMATIVA[[#This Row],[CD_UPNIVEL3]]),"")</f>
        <v/>
      </c>
      <c r="AJ51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13" s="1">
        <f>COUNTIFS(Apresentação!$E$23:$E$29,ESTIMATIVA[[#This Row],[CD_UPNIVEL1]])</f>
        <v>0</v>
      </c>
    </row>
    <row r="514" spans="1:37" x14ac:dyDescent="0.3">
      <c r="A514">
        <v>20315</v>
      </c>
      <c r="B514" t="s">
        <v>28</v>
      </c>
      <c r="C514">
        <v>2</v>
      </c>
      <c r="D514">
        <v>1</v>
      </c>
      <c r="E514" t="s">
        <v>264</v>
      </c>
      <c r="F514" s="85" t="s">
        <v>331</v>
      </c>
      <c r="G514"/>
      <c r="H514" t="s">
        <v>295</v>
      </c>
      <c r="I514" t="s">
        <v>211</v>
      </c>
      <c r="J514" t="s">
        <v>174</v>
      </c>
      <c r="K514" s="1">
        <v>3.22</v>
      </c>
      <c r="L514" s="1">
        <v>0</v>
      </c>
      <c r="M514" s="1">
        <v>0</v>
      </c>
      <c r="N514" s="1">
        <v>3.22</v>
      </c>
      <c r="O514" s="1">
        <v>312.33999999999997</v>
      </c>
      <c r="P514" s="1">
        <v>0</v>
      </c>
      <c r="Q514" s="1">
        <v>0</v>
      </c>
      <c r="R514" s="1">
        <v>354.22</v>
      </c>
      <c r="S514" t="s">
        <v>12</v>
      </c>
      <c r="T514" s="13">
        <v>45753</v>
      </c>
      <c r="U514" s="1" t="str">
        <f>IF(ESTIMATIVA[[#This Row],[QT_AREA_REAL]]&gt;0,"1- Colhido","2- à Colher")</f>
        <v>1- Colhido</v>
      </c>
      <c r="V514" s="1" t="str">
        <f>IF(ESTIMATIVA[[#This Row],[QT_AREA_REST1]]&gt;0,"Reestimativa 1",IF(ESTIMATIVA[[#This Row],[QT_AREA_REAL]]=0,"Reestimativa 1","Realizado"))</f>
        <v>Realizado</v>
      </c>
      <c r="W514" s="1" t="str">
        <f>IF(ESTIMATIVA[[#This Row],[QT_AREA_REST2]]&gt;0,"Reestimativa 2",IF(ESTIMATIVA[[#This Row],[QT_AREA_REAL]]=0,"Reestimativa 2","Realizado"))</f>
        <v>Realizado</v>
      </c>
      <c r="X514" s="1">
        <f>ESTIMATIVA[[#This Row],[QT_AREA_EST]]</f>
        <v>3.22</v>
      </c>
      <c r="Y514" s="1">
        <f>IF(ESTIMATIVA[[#This Row],[QT_AREA_REST1]]&gt;0,ESTIMATIVA[[#This Row],[QT_AREA_REST1]],
  IF(ESTIMATIVA[[#This Row],[QT_AREA_REAL]]&gt;0,ESTIMATIVA[[#This Row],[QT_AREA_REAL]],ESTIMATIVA[[#This Row],[QT_AREA_EST]]))</f>
        <v>3.22</v>
      </c>
      <c r="Z51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3.22</v>
      </c>
      <c r="AA514" s="1">
        <f>ESTIMATIVA[[#This Row],[QT_CANA_EST]]</f>
        <v>312.33999999999997</v>
      </c>
      <c r="AB514" s="1">
        <f>IF(ESTIMATIVA[[#This Row],[QT_CANA_REST1]]&gt;0,ESTIMATIVA[[#This Row],[QT_CANA_REST1]],
  IF(ESTIMATIVA[[#This Row],[QT_CANA_REAL]]&gt;0,ESTIMATIVA[[#This Row],[QT_CANA_REAL]],ESTIMATIVA[[#This Row],[QT_CANA_EST]]))</f>
        <v>354.22</v>
      </c>
      <c r="AC51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354.22</v>
      </c>
      <c r="AD514" s="1">
        <f>IF(ESTIMATIVA[[#This Row],[QT_AREA_REAL]]&gt;0,ESTIMATIVA[[#This Row],[QT_CANA_REAL]],ESTIMATIVA[[#This Row],[QT_CANA_EST]])</f>
        <v>354.22</v>
      </c>
      <c r="AE514" s="1">
        <f>IF(ESTIMATIVA[[#This Row],[QT_AREA_REAL]]&gt;0,ESTIMATIVA[[#This Row],[QT_CANA_REAL]],ESTIMATIVA[[#This Row],[QT_CANA_REST1]])</f>
        <v>354.22</v>
      </c>
      <c r="AF514" s="1">
        <f>IF(ESTIMATIVA[[#This Row],[QT_AREA_REAL]]&gt;0,ESTIMATIVA[[#This Row],[QT_CANA_REAL]],ESTIMATIVA[[#This Row],[QT_CANA_REST2]])</f>
        <v>354.22</v>
      </c>
      <c r="AG514" s="1" t="str">
        <f>IF(COUNTIFS(GEADA!A:A,VALUE(ESTIMATIVA[[#This Row],[CD_UPNIVEL1]]&amp;TEXT(ESTIMATIVA[[#This Row],[CD_UPNIVEL3]],"0000")))&gt;0,"S","N")</f>
        <v>N</v>
      </c>
      <c r="AH51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14" s="55" t="str">
        <f>IF(ESTIMATIVA[[#This Row],[TP_CULTIVO]]="Irrigado",_xlfn.MAXIFS(IRRIGADO!J:J,IRRIGADO!C:C,ESTIMATIVA[[#This Row],[CD_UPNIVEL1]],IRRIGADO!E:E,ESTIMATIVA[[#This Row],[CD_UPNIVEL3]]),"")</f>
        <v/>
      </c>
      <c r="AJ51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14" s="1">
        <f>COUNTIFS(Apresentação!$E$23:$E$29,ESTIMATIVA[[#This Row],[CD_UPNIVEL1]])</f>
        <v>0</v>
      </c>
    </row>
    <row r="515" spans="1:37" x14ac:dyDescent="0.3">
      <c r="A515">
        <v>20315</v>
      </c>
      <c r="B515" t="s">
        <v>28</v>
      </c>
      <c r="C515">
        <v>3</v>
      </c>
      <c r="D515">
        <v>1</v>
      </c>
      <c r="E515" t="s">
        <v>264</v>
      </c>
      <c r="F515" s="85" t="s">
        <v>331</v>
      </c>
      <c r="G515"/>
      <c r="H515" t="s">
        <v>295</v>
      </c>
      <c r="I515" t="s">
        <v>211</v>
      </c>
      <c r="J515" t="s">
        <v>174</v>
      </c>
      <c r="K515" s="1">
        <v>3.27</v>
      </c>
      <c r="L515" s="1">
        <v>0</v>
      </c>
      <c r="M515" s="1">
        <v>0</v>
      </c>
      <c r="N515" s="1">
        <v>3.27</v>
      </c>
      <c r="O515" s="1">
        <v>317.19</v>
      </c>
      <c r="P515" s="1">
        <v>0</v>
      </c>
      <c r="Q515" s="1">
        <v>0</v>
      </c>
      <c r="R515" s="1">
        <v>359.88</v>
      </c>
      <c r="S515" t="s">
        <v>12</v>
      </c>
      <c r="T515" s="13">
        <v>45753</v>
      </c>
      <c r="U515" s="1" t="str">
        <f>IF(ESTIMATIVA[[#This Row],[QT_AREA_REAL]]&gt;0,"1- Colhido","2- à Colher")</f>
        <v>1- Colhido</v>
      </c>
      <c r="V515" s="1" t="str">
        <f>IF(ESTIMATIVA[[#This Row],[QT_AREA_REST1]]&gt;0,"Reestimativa 1",IF(ESTIMATIVA[[#This Row],[QT_AREA_REAL]]=0,"Reestimativa 1","Realizado"))</f>
        <v>Realizado</v>
      </c>
      <c r="W515" s="1" t="str">
        <f>IF(ESTIMATIVA[[#This Row],[QT_AREA_REST2]]&gt;0,"Reestimativa 2",IF(ESTIMATIVA[[#This Row],[QT_AREA_REAL]]=0,"Reestimativa 2","Realizado"))</f>
        <v>Realizado</v>
      </c>
      <c r="X515" s="1">
        <f>ESTIMATIVA[[#This Row],[QT_AREA_EST]]</f>
        <v>3.27</v>
      </c>
      <c r="Y515" s="1">
        <f>IF(ESTIMATIVA[[#This Row],[QT_AREA_REST1]]&gt;0,ESTIMATIVA[[#This Row],[QT_AREA_REST1]],
  IF(ESTIMATIVA[[#This Row],[QT_AREA_REAL]]&gt;0,ESTIMATIVA[[#This Row],[QT_AREA_REAL]],ESTIMATIVA[[#This Row],[QT_AREA_EST]]))</f>
        <v>3.27</v>
      </c>
      <c r="Z51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3.27</v>
      </c>
      <c r="AA515" s="1">
        <f>ESTIMATIVA[[#This Row],[QT_CANA_EST]]</f>
        <v>317.19</v>
      </c>
      <c r="AB515" s="1">
        <f>IF(ESTIMATIVA[[#This Row],[QT_CANA_REST1]]&gt;0,ESTIMATIVA[[#This Row],[QT_CANA_REST1]],
  IF(ESTIMATIVA[[#This Row],[QT_CANA_REAL]]&gt;0,ESTIMATIVA[[#This Row],[QT_CANA_REAL]],ESTIMATIVA[[#This Row],[QT_CANA_EST]]))</f>
        <v>359.88</v>
      </c>
      <c r="AC51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359.88</v>
      </c>
      <c r="AD515" s="1">
        <f>IF(ESTIMATIVA[[#This Row],[QT_AREA_REAL]]&gt;0,ESTIMATIVA[[#This Row],[QT_CANA_REAL]],ESTIMATIVA[[#This Row],[QT_CANA_EST]])</f>
        <v>359.88</v>
      </c>
      <c r="AE515" s="1">
        <f>IF(ESTIMATIVA[[#This Row],[QT_AREA_REAL]]&gt;0,ESTIMATIVA[[#This Row],[QT_CANA_REAL]],ESTIMATIVA[[#This Row],[QT_CANA_REST1]])</f>
        <v>359.88</v>
      </c>
      <c r="AF515" s="1">
        <f>IF(ESTIMATIVA[[#This Row],[QT_AREA_REAL]]&gt;0,ESTIMATIVA[[#This Row],[QT_CANA_REAL]],ESTIMATIVA[[#This Row],[QT_CANA_REST2]])</f>
        <v>359.88</v>
      </c>
      <c r="AG515" s="1" t="str">
        <f>IF(COUNTIFS(GEADA!A:A,VALUE(ESTIMATIVA[[#This Row],[CD_UPNIVEL1]]&amp;TEXT(ESTIMATIVA[[#This Row],[CD_UPNIVEL3]],"0000")))&gt;0,"S","N")</f>
        <v>N</v>
      </c>
      <c r="AH51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15" s="55" t="str">
        <f>IF(ESTIMATIVA[[#This Row],[TP_CULTIVO]]="Irrigado",_xlfn.MAXIFS(IRRIGADO!J:J,IRRIGADO!C:C,ESTIMATIVA[[#This Row],[CD_UPNIVEL1]],IRRIGADO!E:E,ESTIMATIVA[[#This Row],[CD_UPNIVEL3]]),"")</f>
        <v/>
      </c>
      <c r="AJ51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15" s="1">
        <f>COUNTIFS(Apresentação!$E$23:$E$29,ESTIMATIVA[[#This Row],[CD_UPNIVEL1]])</f>
        <v>0</v>
      </c>
    </row>
    <row r="516" spans="1:37" x14ac:dyDescent="0.3">
      <c r="A516">
        <v>20315</v>
      </c>
      <c r="B516" t="s">
        <v>28</v>
      </c>
      <c r="C516">
        <v>4</v>
      </c>
      <c r="D516">
        <v>1</v>
      </c>
      <c r="E516" t="s">
        <v>264</v>
      </c>
      <c r="F516" s="85" t="s">
        <v>332</v>
      </c>
      <c r="G516"/>
      <c r="H516" t="s">
        <v>295</v>
      </c>
      <c r="I516" t="s">
        <v>211</v>
      </c>
      <c r="J516" t="s">
        <v>174</v>
      </c>
      <c r="K516" s="1">
        <v>9.6199999999999992</v>
      </c>
      <c r="L516" s="1">
        <v>0</v>
      </c>
      <c r="M516" s="1">
        <v>0</v>
      </c>
      <c r="N516" s="1">
        <v>9.6199999999999992</v>
      </c>
      <c r="O516" s="1">
        <v>933.14</v>
      </c>
      <c r="P516" s="1">
        <v>0</v>
      </c>
      <c r="Q516" s="1">
        <v>0</v>
      </c>
      <c r="R516" s="1">
        <v>1057.25</v>
      </c>
      <c r="S516" t="s">
        <v>12</v>
      </c>
      <c r="T516" s="13">
        <v>45753</v>
      </c>
      <c r="U516" s="1" t="str">
        <f>IF(ESTIMATIVA[[#This Row],[QT_AREA_REAL]]&gt;0,"1- Colhido","2- à Colher")</f>
        <v>1- Colhido</v>
      </c>
      <c r="V516" s="1" t="str">
        <f>IF(ESTIMATIVA[[#This Row],[QT_AREA_REST1]]&gt;0,"Reestimativa 1",IF(ESTIMATIVA[[#This Row],[QT_AREA_REAL]]=0,"Reestimativa 1","Realizado"))</f>
        <v>Realizado</v>
      </c>
      <c r="W516" s="1" t="str">
        <f>IF(ESTIMATIVA[[#This Row],[QT_AREA_REST2]]&gt;0,"Reestimativa 2",IF(ESTIMATIVA[[#This Row],[QT_AREA_REAL]]=0,"Reestimativa 2","Realizado"))</f>
        <v>Realizado</v>
      </c>
      <c r="X516" s="1">
        <f>ESTIMATIVA[[#This Row],[QT_AREA_EST]]</f>
        <v>9.6199999999999992</v>
      </c>
      <c r="Y516" s="1">
        <f>IF(ESTIMATIVA[[#This Row],[QT_AREA_REST1]]&gt;0,ESTIMATIVA[[#This Row],[QT_AREA_REST1]],
  IF(ESTIMATIVA[[#This Row],[QT_AREA_REAL]]&gt;0,ESTIMATIVA[[#This Row],[QT_AREA_REAL]],ESTIMATIVA[[#This Row],[QT_AREA_EST]]))</f>
        <v>9.6199999999999992</v>
      </c>
      <c r="Z51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9.6199999999999992</v>
      </c>
      <c r="AA516" s="1">
        <f>ESTIMATIVA[[#This Row],[QT_CANA_EST]]</f>
        <v>933.14</v>
      </c>
      <c r="AB516" s="1">
        <f>IF(ESTIMATIVA[[#This Row],[QT_CANA_REST1]]&gt;0,ESTIMATIVA[[#This Row],[QT_CANA_REST1]],
  IF(ESTIMATIVA[[#This Row],[QT_CANA_REAL]]&gt;0,ESTIMATIVA[[#This Row],[QT_CANA_REAL]],ESTIMATIVA[[#This Row],[QT_CANA_EST]]))</f>
        <v>1057.25</v>
      </c>
      <c r="AC51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1057.25</v>
      </c>
      <c r="AD516" s="1">
        <f>IF(ESTIMATIVA[[#This Row],[QT_AREA_REAL]]&gt;0,ESTIMATIVA[[#This Row],[QT_CANA_REAL]],ESTIMATIVA[[#This Row],[QT_CANA_EST]])</f>
        <v>1057.25</v>
      </c>
      <c r="AE516" s="1">
        <f>IF(ESTIMATIVA[[#This Row],[QT_AREA_REAL]]&gt;0,ESTIMATIVA[[#This Row],[QT_CANA_REAL]],ESTIMATIVA[[#This Row],[QT_CANA_REST1]])</f>
        <v>1057.25</v>
      </c>
      <c r="AF516" s="1">
        <f>IF(ESTIMATIVA[[#This Row],[QT_AREA_REAL]]&gt;0,ESTIMATIVA[[#This Row],[QT_CANA_REAL]],ESTIMATIVA[[#This Row],[QT_CANA_REST2]])</f>
        <v>1057.25</v>
      </c>
      <c r="AG516" s="1" t="str">
        <f>IF(COUNTIFS(GEADA!A:A,VALUE(ESTIMATIVA[[#This Row],[CD_UPNIVEL1]]&amp;TEXT(ESTIMATIVA[[#This Row],[CD_UPNIVEL3]],"0000")))&gt;0,"S","N")</f>
        <v>N</v>
      </c>
      <c r="AH51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16" s="55" t="str">
        <f>IF(ESTIMATIVA[[#This Row],[TP_CULTIVO]]="Irrigado",_xlfn.MAXIFS(IRRIGADO!J:J,IRRIGADO!C:C,ESTIMATIVA[[#This Row],[CD_UPNIVEL1]],IRRIGADO!E:E,ESTIMATIVA[[#This Row],[CD_UPNIVEL3]]),"")</f>
        <v/>
      </c>
      <c r="AJ51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16" s="1">
        <f>COUNTIFS(Apresentação!$E$23:$E$29,ESTIMATIVA[[#This Row],[CD_UPNIVEL1]])</f>
        <v>0</v>
      </c>
    </row>
    <row r="517" spans="1:37" x14ac:dyDescent="0.3">
      <c r="A517">
        <v>20315</v>
      </c>
      <c r="B517" t="s">
        <v>28</v>
      </c>
      <c r="C517">
        <v>5</v>
      </c>
      <c r="D517">
        <v>1</v>
      </c>
      <c r="E517" t="s">
        <v>264</v>
      </c>
      <c r="F517" s="85" t="s">
        <v>332</v>
      </c>
      <c r="G517"/>
      <c r="H517" t="s">
        <v>295</v>
      </c>
      <c r="I517" t="s">
        <v>211</v>
      </c>
      <c r="J517" t="s">
        <v>174</v>
      </c>
      <c r="K517" s="1">
        <v>30.59</v>
      </c>
      <c r="L517" s="1">
        <v>0</v>
      </c>
      <c r="M517" s="1">
        <v>0</v>
      </c>
      <c r="N517" s="1">
        <v>30.59</v>
      </c>
      <c r="O517" s="1">
        <v>2967.23</v>
      </c>
      <c r="P517" s="1">
        <v>0</v>
      </c>
      <c r="Q517" s="1">
        <v>0</v>
      </c>
      <c r="R517" s="1">
        <v>3359.99</v>
      </c>
      <c r="S517" t="s">
        <v>12</v>
      </c>
      <c r="T517" s="13">
        <v>45753</v>
      </c>
      <c r="U517" s="1" t="str">
        <f>IF(ESTIMATIVA[[#This Row],[QT_AREA_REAL]]&gt;0,"1- Colhido","2- à Colher")</f>
        <v>1- Colhido</v>
      </c>
      <c r="V517" s="1" t="str">
        <f>IF(ESTIMATIVA[[#This Row],[QT_AREA_REST1]]&gt;0,"Reestimativa 1",IF(ESTIMATIVA[[#This Row],[QT_AREA_REAL]]=0,"Reestimativa 1","Realizado"))</f>
        <v>Realizado</v>
      </c>
      <c r="W517" s="1" t="str">
        <f>IF(ESTIMATIVA[[#This Row],[QT_AREA_REST2]]&gt;0,"Reestimativa 2",IF(ESTIMATIVA[[#This Row],[QT_AREA_REAL]]=0,"Reestimativa 2","Realizado"))</f>
        <v>Realizado</v>
      </c>
      <c r="X517" s="1">
        <f>ESTIMATIVA[[#This Row],[QT_AREA_EST]]</f>
        <v>30.59</v>
      </c>
      <c r="Y517" s="1">
        <f>IF(ESTIMATIVA[[#This Row],[QT_AREA_REST1]]&gt;0,ESTIMATIVA[[#This Row],[QT_AREA_REST1]],
  IF(ESTIMATIVA[[#This Row],[QT_AREA_REAL]]&gt;0,ESTIMATIVA[[#This Row],[QT_AREA_REAL]],ESTIMATIVA[[#This Row],[QT_AREA_EST]]))</f>
        <v>30.59</v>
      </c>
      <c r="Z51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30.59</v>
      </c>
      <c r="AA517" s="1">
        <f>ESTIMATIVA[[#This Row],[QT_CANA_EST]]</f>
        <v>2967.23</v>
      </c>
      <c r="AB517" s="1">
        <f>IF(ESTIMATIVA[[#This Row],[QT_CANA_REST1]]&gt;0,ESTIMATIVA[[#This Row],[QT_CANA_REST1]],
  IF(ESTIMATIVA[[#This Row],[QT_CANA_REAL]]&gt;0,ESTIMATIVA[[#This Row],[QT_CANA_REAL]],ESTIMATIVA[[#This Row],[QT_CANA_EST]]))</f>
        <v>3359.99</v>
      </c>
      <c r="AC51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3359.99</v>
      </c>
      <c r="AD517" s="1">
        <f>IF(ESTIMATIVA[[#This Row],[QT_AREA_REAL]]&gt;0,ESTIMATIVA[[#This Row],[QT_CANA_REAL]],ESTIMATIVA[[#This Row],[QT_CANA_EST]])</f>
        <v>3359.99</v>
      </c>
      <c r="AE517" s="1">
        <f>IF(ESTIMATIVA[[#This Row],[QT_AREA_REAL]]&gt;0,ESTIMATIVA[[#This Row],[QT_CANA_REAL]],ESTIMATIVA[[#This Row],[QT_CANA_REST1]])</f>
        <v>3359.99</v>
      </c>
      <c r="AF517" s="1">
        <f>IF(ESTIMATIVA[[#This Row],[QT_AREA_REAL]]&gt;0,ESTIMATIVA[[#This Row],[QT_CANA_REAL]],ESTIMATIVA[[#This Row],[QT_CANA_REST2]])</f>
        <v>3359.99</v>
      </c>
      <c r="AG517" s="1" t="str">
        <f>IF(COUNTIFS(GEADA!A:A,VALUE(ESTIMATIVA[[#This Row],[CD_UPNIVEL1]]&amp;TEXT(ESTIMATIVA[[#This Row],[CD_UPNIVEL3]],"0000")))&gt;0,"S","N")</f>
        <v>N</v>
      </c>
      <c r="AH51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17" s="55" t="str">
        <f>IF(ESTIMATIVA[[#This Row],[TP_CULTIVO]]="Irrigado",_xlfn.MAXIFS(IRRIGADO!J:J,IRRIGADO!C:C,ESTIMATIVA[[#This Row],[CD_UPNIVEL1]],IRRIGADO!E:E,ESTIMATIVA[[#This Row],[CD_UPNIVEL3]]),"")</f>
        <v/>
      </c>
      <c r="AJ51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17" s="1">
        <f>COUNTIFS(Apresentação!$E$23:$E$29,ESTIMATIVA[[#This Row],[CD_UPNIVEL1]])</f>
        <v>0</v>
      </c>
    </row>
    <row r="518" spans="1:37" x14ac:dyDescent="0.3">
      <c r="A518">
        <v>20315</v>
      </c>
      <c r="B518" t="s">
        <v>28</v>
      </c>
      <c r="C518">
        <v>6</v>
      </c>
      <c r="D518">
        <v>1</v>
      </c>
      <c r="E518" t="s">
        <v>264</v>
      </c>
      <c r="F518" s="85" t="s">
        <v>332</v>
      </c>
      <c r="G518"/>
      <c r="H518" t="s">
        <v>295</v>
      </c>
      <c r="I518" t="s">
        <v>211</v>
      </c>
      <c r="J518" t="s">
        <v>174</v>
      </c>
      <c r="K518" s="1">
        <v>45.53</v>
      </c>
      <c r="L518" s="1">
        <v>0</v>
      </c>
      <c r="M518" s="1">
        <v>0</v>
      </c>
      <c r="N518" s="1">
        <v>45.53</v>
      </c>
      <c r="O518" s="1">
        <v>4416.41</v>
      </c>
      <c r="P518" s="1">
        <v>0</v>
      </c>
      <c r="Q518" s="1">
        <v>0</v>
      </c>
      <c r="R518" s="1">
        <v>5001.1099999999997</v>
      </c>
      <c r="S518" t="s">
        <v>12</v>
      </c>
      <c r="T518" s="13">
        <v>45753</v>
      </c>
      <c r="U518" s="1" t="str">
        <f>IF(ESTIMATIVA[[#This Row],[QT_AREA_REAL]]&gt;0,"1- Colhido","2- à Colher")</f>
        <v>1- Colhido</v>
      </c>
      <c r="V518" s="1" t="str">
        <f>IF(ESTIMATIVA[[#This Row],[QT_AREA_REST1]]&gt;0,"Reestimativa 1",IF(ESTIMATIVA[[#This Row],[QT_AREA_REAL]]=0,"Reestimativa 1","Realizado"))</f>
        <v>Realizado</v>
      </c>
      <c r="W518" s="1" t="str">
        <f>IF(ESTIMATIVA[[#This Row],[QT_AREA_REST2]]&gt;0,"Reestimativa 2",IF(ESTIMATIVA[[#This Row],[QT_AREA_REAL]]=0,"Reestimativa 2","Realizado"))</f>
        <v>Realizado</v>
      </c>
      <c r="X518" s="1">
        <f>ESTIMATIVA[[#This Row],[QT_AREA_EST]]</f>
        <v>45.53</v>
      </c>
      <c r="Y518" s="1">
        <f>IF(ESTIMATIVA[[#This Row],[QT_AREA_REST1]]&gt;0,ESTIMATIVA[[#This Row],[QT_AREA_REST1]],
  IF(ESTIMATIVA[[#This Row],[QT_AREA_REAL]]&gt;0,ESTIMATIVA[[#This Row],[QT_AREA_REAL]],ESTIMATIVA[[#This Row],[QT_AREA_EST]]))</f>
        <v>45.53</v>
      </c>
      <c r="Z51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45.53</v>
      </c>
      <c r="AA518" s="1">
        <f>ESTIMATIVA[[#This Row],[QT_CANA_EST]]</f>
        <v>4416.41</v>
      </c>
      <c r="AB518" s="1">
        <f>IF(ESTIMATIVA[[#This Row],[QT_CANA_REST1]]&gt;0,ESTIMATIVA[[#This Row],[QT_CANA_REST1]],
  IF(ESTIMATIVA[[#This Row],[QT_CANA_REAL]]&gt;0,ESTIMATIVA[[#This Row],[QT_CANA_REAL]],ESTIMATIVA[[#This Row],[QT_CANA_EST]]))</f>
        <v>5001.1099999999997</v>
      </c>
      <c r="AC51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5001.1099999999997</v>
      </c>
      <c r="AD518" s="1">
        <f>IF(ESTIMATIVA[[#This Row],[QT_AREA_REAL]]&gt;0,ESTIMATIVA[[#This Row],[QT_CANA_REAL]],ESTIMATIVA[[#This Row],[QT_CANA_EST]])</f>
        <v>5001.1099999999997</v>
      </c>
      <c r="AE518" s="1">
        <f>IF(ESTIMATIVA[[#This Row],[QT_AREA_REAL]]&gt;0,ESTIMATIVA[[#This Row],[QT_CANA_REAL]],ESTIMATIVA[[#This Row],[QT_CANA_REST1]])</f>
        <v>5001.1099999999997</v>
      </c>
      <c r="AF518" s="1">
        <f>IF(ESTIMATIVA[[#This Row],[QT_AREA_REAL]]&gt;0,ESTIMATIVA[[#This Row],[QT_CANA_REAL]],ESTIMATIVA[[#This Row],[QT_CANA_REST2]])</f>
        <v>5001.1099999999997</v>
      </c>
      <c r="AG518" s="1" t="str">
        <f>IF(COUNTIFS(GEADA!A:A,VALUE(ESTIMATIVA[[#This Row],[CD_UPNIVEL1]]&amp;TEXT(ESTIMATIVA[[#This Row],[CD_UPNIVEL3]],"0000")))&gt;0,"S","N")</f>
        <v>N</v>
      </c>
      <c r="AH51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18" s="55" t="str">
        <f>IF(ESTIMATIVA[[#This Row],[TP_CULTIVO]]="Irrigado",_xlfn.MAXIFS(IRRIGADO!J:J,IRRIGADO!C:C,ESTIMATIVA[[#This Row],[CD_UPNIVEL1]],IRRIGADO!E:E,ESTIMATIVA[[#This Row],[CD_UPNIVEL3]]),"")</f>
        <v/>
      </c>
      <c r="AJ51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18" s="1">
        <f>COUNTIFS(Apresentação!$E$23:$E$29,ESTIMATIVA[[#This Row],[CD_UPNIVEL1]])</f>
        <v>0</v>
      </c>
    </row>
    <row r="519" spans="1:37" x14ac:dyDescent="0.3">
      <c r="A519">
        <v>20315</v>
      </c>
      <c r="B519" t="s">
        <v>28</v>
      </c>
      <c r="C519">
        <v>7</v>
      </c>
      <c r="D519">
        <v>1</v>
      </c>
      <c r="E519" t="s">
        <v>264</v>
      </c>
      <c r="F519" s="85" t="s">
        <v>332</v>
      </c>
      <c r="G519"/>
      <c r="H519" t="s">
        <v>295</v>
      </c>
      <c r="I519" t="s">
        <v>211</v>
      </c>
      <c r="J519" t="s">
        <v>174</v>
      </c>
      <c r="K519" s="1">
        <v>57.84</v>
      </c>
      <c r="L519" s="1">
        <v>0</v>
      </c>
      <c r="M519" s="1">
        <v>0</v>
      </c>
      <c r="N519" s="1">
        <v>57.84</v>
      </c>
      <c r="O519" s="1">
        <v>5494.8</v>
      </c>
      <c r="P519" s="1">
        <v>0</v>
      </c>
      <c r="Q519" s="1">
        <v>0</v>
      </c>
      <c r="R519" s="1">
        <v>5987.96</v>
      </c>
      <c r="S519" t="s">
        <v>12</v>
      </c>
      <c r="T519" s="13">
        <v>45753</v>
      </c>
      <c r="U519" s="1" t="str">
        <f>IF(ESTIMATIVA[[#This Row],[QT_AREA_REAL]]&gt;0,"1- Colhido","2- à Colher")</f>
        <v>1- Colhido</v>
      </c>
      <c r="V519" s="1" t="str">
        <f>IF(ESTIMATIVA[[#This Row],[QT_AREA_REST1]]&gt;0,"Reestimativa 1",IF(ESTIMATIVA[[#This Row],[QT_AREA_REAL]]=0,"Reestimativa 1","Realizado"))</f>
        <v>Realizado</v>
      </c>
      <c r="W519" s="1" t="str">
        <f>IF(ESTIMATIVA[[#This Row],[QT_AREA_REST2]]&gt;0,"Reestimativa 2",IF(ESTIMATIVA[[#This Row],[QT_AREA_REAL]]=0,"Reestimativa 2","Realizado"))</f>
        <v>Realizado</v>
      </c>
      <c r="X519" s="1">
        <f>ESTIMATIVA[[#This Row],[QT_AREA_EST]]</f>
        <v>57.84</v>
      </c>
      <c r="Y519" s="1">
        <f>IF(ESTIMATIVA[[#This Row],[QT_AREA_REST1]]&gt;0,ESTIMATIVA[[#This Row],[QT_AREA_REST1]],
  IF(ESTIMATIVA[[#This Row],[QT_AREA_REAL]]&gt;0,ESTIMATIVA[[#This Row],[QT_AREA_REAL]],ESTIMATIVA[[#This Row],[QT_AREA_EST]]))</f>
        <v>57.84</v>
      </c>
      <c r="Z51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57.84</v>
      </c>
      <c r="AA519" s="1">
        <f>ESTIMATIVA[[#This Row],[QT_CANA_EST]]</f>
        <v>5494.8</v>
      </c>
      <c r="AB519" s="1">
        <f>IF(ESTIMATIVA[[#This Row],[QT_CANA_REST1]]&gt;0,ESTIMATIVA[[#This Row],[QT_CANA_REST1]],
  IF(ESTIMATIVA[[#This Row],[QT_CANA_REAL]]&gt;0,ESTIMATIVA[[#This Row],[QT_CANA_REAL]],ESTIMATIVA[[#This Row],[QT_CANA_EST]]))</f>
        <v>5987.96</v>
      </c>
      <c r="AC51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5987.96</v>
      </c>
      <c r="AD519" s="1">
        <f>IF(ESTIMATIVA[[#This Row],[QT_AREA_REAL]]&gt;0,ESTIMATIVA[[#This Row],[QT_CANA_REAL]],ESTIMATIVA[[#This Row],[QT_CANA_EST]])</f>
        <v>5987.96</v>
      </c>
      <c r="AE519" s="1">
        <f>IF(ESTIMATIVA[[#This Row],[QT_AREA_REAL]]&gt;0,ESTIMATIVA[[#This Row],[QT_CANA_REAL]],ESTIMATIVA[[#This Row],[QT_CANA_REST1]])</f>
        <v>5987.96</v>
      </c>
      <c r="AF519" s="1">
        <f>IF(ESTIMATIVA[[#This Row],[QT_AREA_REAL]]&gt;0,ESTIMATIVA[[#This Row],[QT_CANA_REAL]],ESTIMATIVA[[#This Row],[QT_CANA_REST2]])</f>
        <v>5987.96</v>
      </c>
      <c r="AG519" s="1" t="str">
        <f>IF(COUNTIFS(GEADA!A:A,VALUE(ESTIMATIVA[[#This Row],[CD_UPNIVEL1]]&amp;TEXT(ESTIMATIVA[[#This Row],[CD_UPNIVEL3]],"0000")))&gt;0,"S","N")</f>
        <v>N</v>
      </c>
      <c r="AH51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19" s="55" t="str">
        <f>IF(ESTIMATIVA[[#This Row],[TP_CULTIVO]]="Irrigado",_xlfn.MAXIFS(IRRIGADO!J:J,IRRIGADO!C:C,ESTIMATIVA[[#This Row],[CD_UPNIVEL1]],IRRIGADO!E:E,ESTIMATIVA[[#This Row],[CD_UPNIVEL3]]),"")</f>
        <v/>
      </c>
      <c r="AJ51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19" s="1">
        <f>COUNTIFS(Apresentação!$E$23:$E$29,ESTIMATIVA[[#This Row],[CD_UPNIVEL1]])</f>
        <v>0</v>
      </c>
    </row>
    <row r="520" spans="1:37" x14ac:dyDescent="0.3">
      <c r="A520">
        <v>20315</v>
      </c>
      <c r="B520" t="s">
        <v>28</v>
      </c>
      <c r="C520">
        <v>8</v>
      </c>
      <c r="D520">
        <v>1</v>
      </c>
      <c r="E520" t="s">
        <v>264</v>
      </c>
      <c r="F520" s="85" t="s">
        <v>332</v>
      </c>
      <c r="G520"/>
      <c r="H520" t="s">
        <v>295</v>
      </c>
      <c r="I520" t="s">
        <v>211</v>
      </c>
      <c r="J520" t="s">
        <v>174</v>
      </c>
      <c r="K520" s="1">
        <v>35.270000000000003</v>
      </c>
      <c r="L520" s="1">
        <v>0</v>
      </c>
      <c r="M520" s="1">
        <v>0</v>
      </c>
      <c r="N520" s="1">
        <v>35.270000000000003</v>
      </c>
      <c r="O520" s="1">
        <v>3174.3</v>
      </c>
      <c r="P520" s="1">
        <v>0</v>
      </c>
      <c r="Q520" s="1">
        <v>0</v>
      </c>
      <c r="R520" s="1">
        <v>3460.63</v>
      </c>
      <c r="S520" t="s">
        <v>12</v>
      </c>
      <c r="T520" s="13">
        <v>45753</v>
      </c>
      <c r="U520" s="1" t="str">
        <f>IF(ESTIMATIVA[[#This Row],[QT_AREA_REAL]]&gt;0,"1- Colhido","2- à Colher")</f>
        <v>1- Colhido</v>
      </c>
      <c r="V520" s="1" t="str">
        <f>IF(ESTIMATIVA[[#This Row],[QT_AREA_REST1]]&gt;0,"Reestimativa 1",IF(ESTIMATIVA[[#This Row],[QT_AREA_REAL]]=0,"Reestimativa 1","Realizado"))</f>
        <v>Realizado</v>
      </c>
      <c r="W520" s="1" t="str">
        <f>IF(ESTIMATIVA[[#This Row],[QT_AREA_REST2]]&gt;0,"Reestimativa 2",IF(ESTIMATIVA[[#This Row],[QT_AREA_REAL]]=0,"Reestimativa 2","Realizado"))</f>
        <v>Realizado</v>
      </c>
      <c r="X520" s="1">
        <f>ESTIMATIVA[[#This Row],[QT_AREA_EST]]</f>
        <v>35.270000000000003</v>
      </c>
      <c r="Y520" s="1">
        <f>IF(ESTIMATIVA[[#This Row],[QT_AREA_REST1]]&gt;0,ESTIMATIVA[[#This Row],[QT_AREA_REST1]],
  IF(ESTIMATIVA[[#This Row],[QT_AREA_REAL]]&gt;0,ESTIMATIVA[[#This Row],[QT_AREA_REAL]],ESTIMATIVA[[#This Row],[QT_AREA_EST]]))</f>
        <v>35.270000000000003</v>
      </c>
      <c r="Z52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35.270000000000003</v>
      </c>
      <c r="AA520" s="1">
        <f>ESTIMATIVA[[#This Row],[QT_CANA_EST]]</f>
        <v>3174.3</v>
      </c>
      <c r="AB520" s="1">
        <f>IF(ESTIMATIVA[[#This Row],[QT_CANA_REST1]]&gt;0,ESTIMATIVA[[#This Row],[QT_CANA_REST1]],
  IF(ESTIMATIVA[[#This Row],[QT_CANA_REAL]]&gt;0,ESTIMATIVA[[#This Row],[QT_CANA_REAL]],ESTIMATIVA[[#This Row],[QT_CANA_EST]]))</f>
        <v>3460.63</v>
      </c>
      <c r="AC52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3460.63</v>
      </c>
      <c r="AD520" s="1">
        <f>IF(ESTIMATIVA[[#This Row],[QT_AREA_REAL]]&gt;0,ESTIMATIVA[[#This Row],[QT_CANA_REAL]],ESTIMATIVA[[#This Row],[QT_CANA_EST]])</f>
        <v>3460.63</v>
      </c>
      <c r="AE520" s="1">
        <f>IF(ESTIMATIVA[[#This Row],[QT_AREA_REAL]]&gt;0,ESTIMATIVA[[#This Row],[QT_CANA_REAL]],ESTIMATIVA[[#This Row],[QT_CANA_REST1]])</f>
        <v>3460.63</v>
      </c>
      <c r="AF520" s="1">
        <f>IF(ESTIMATIVA[[#This Row],[QT_AREA_REAL]]&gt;0,ESTIMATIVA[[#This Row],[QT_CANA_REAL]],ESTIMATIVA[[#This Row],[QT_CANA_REST2]])</f>
        <v>3460.63</v>
      </c>
      <c r="AG520" s="1" t="str">
        <f>IF(COUNTIFS(GEADA!A:A,VALUE(ESTIMATIVA[[#This Row],[CD_UPNIVEL1]]&amp;TEXT(ESTIMATIVA[[#This Row],[CD_UPNIVEL3]],"0000")))&gt;0,"S","N")</f>
        <v>N</v>
      </c>
      <c r="AH52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20" s="55" t="str">
        <f>IF(ESTIMATIVA[[#This Row],[TP_CULTIVO]]="Irrigado",_xlfn.MAXIFS(IRRIGADO!J:J,IRRIGADO!C:C,ESTIMATIVA[[#This Row],[CD_UPNIVEL1]],IRRIGADO!E:E,ESTIMATIVA[[#This Row],[CD_UPNIVEL3]]),"")</f>
        <v/>
      </c>
      <c r="AJ52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20" s="1">
        <f>COUNTIFS(Apresentação!$E$23:$E$29,ESTIMATIVA[[#This Row],[CD_UPNIVEL1]])</f>
        <v>0</v>
      </c>
    </row>
    <row r="521" spans="1:37" x14ac:dyDescent="0.3">
      <c r="A521">
        <v>20315</v>
      </c>
      <c r="B521" t="s">
        <v>28</v>
      </c>
      <c r="C521">
        <v>15</v>
      </c>
      <c r="D521">
        <v>2</v>
      </c>
      <c r="E521" t="s">
        <v>266</v>
      </c>
      <c r="F521" s="85" t="s">
        <v>332</v>
      </c>
      <c r="G521"/>
      <c r="H521" t="s">
        <v>295</v>
      </c>
      <c r="I521" t="s">
        <v>211</v>
      </c>
      <c r="J521" t="s">
        <v>174</v>
      </c>
      <c r="K521" s="1">
        <v>22.76</v>
      </c>
      <c r="L521" s="1">
        <v>0</v>
      </c>
      <c r="M521" s="1">
        <v>0</v>
      </c>
      <c r="N521" s="1">
        <v>22.76</v>
      </c>
      <c r="O521" s="1">
        <v>2139.44</v>
      </c>
      <c r="P521" s="1">
        <v>0</v>
      </c>
      <c r="Q521" s="1">
        <v>0</v>
      </c>
      <c r="R521" s="1">
        <v>2212.1</v>
      </c>
      <c r="S521" t="s">
        <v>12</v>
      </c>
      <c r="T521" s="13">
        <v>45753</v>
      </c>
      <c r="U521" s="1" t="str">
        <f>IF(ESTIMATIVA[[#This Row],[QT_AREA_REAL]]&gt;0,"1- Colhido","2- à Colher")</f>
        <v>1- Colhido</v>
      </c>
      <c r="V521" s="1" t="str">
        <f>IF(ESTIMATIVA[[#This Row],[QT_AREA_REST1]]&gt;0,"Reestimativa 1",IF(ESTIMATIVA[[#This Row],[QT_AREA_REAL]]=0,"Reestimativa 1","Realizado"))</f>
        <v>Realizado</v>
      </c>
      <c r="W521" s="1" t="str">
        <f>IF(ESTIMATIVA[[#This Row],[QT_AREA_REST2]]&gt;0,"Reestimativa 2",IF(ESTIMATIVA[[#This Row],[QT_AREA_REAL]]=0,"Reestimativa 2","Realizado"))</f>
        <v>Realizado</v>
      </c>
      <c r="X521" s="1">
        <f>ESTIMATIVA[[#This Row],[QT_AREA_EST]]</f>
        <v>22.76</v>
      </c>
      <c r="Y521" s="1">
        <f>IF(ESTIMATIVA[[#This Row],[QT_AREA_REST1]]&gt;0,ESTIMATIVA[[#This Row],[QT_AREA_REST1]],
  IF(ESTIMATIVA[[#This Row],[QT_AREA_REAL]]&gt;0,ESTIMATIVA[[#This Row],[QT_AREA_REAL]],ESTIMATIVA[[#This Row],[QT_AREA_EST]]))</f>
        <v>22.76</v>
      </c>
      <c r="Z52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22.76</v>
      </c>
      <c r="AA521" s="1">
        <f>ESTIMATIVA[[#This Row],[QT_CANA_EST]]</f>
        <v>2139.44</v>
      </c>
      <c r="AB521" s="1">
        <f>IF(ESTIMATIVA[[#This Row],[QT_CANA_REST1]]&gt;0,ESTIMATIVA[[#This Row],[QT_CANA_REST1]],
  IF(ESTIMATIVA[[#This Row],[QT_CANA_REAL]]&gt;0,ESTIMATIVA[[#This Row],[QT_CANA_REAL]],ESTIMATIVA[[#This Row],[QT_CANA_EST]]))</f>
        <v>2212.1</v>
      </c>
      <c r="AC52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2212.1</v>
      </c>
      <c r="AD521" s="1">
        <f>IF(ESTIMATIVA[[#This Row],[QT_AREA_REAL]]&gt;0,ESTIMATIVA[[#This Row],[QT_CANA_REAL]],ESTIMATIVA[[#This Row],[QT_CANA_EST]])</f>
        <v>2212.1</v>
      </c>
      <c r="AE521" s="1">
        <f>IF(ESTIMATIVA[[#This Row],[QT_AREA_REAL]]&gt;0,ESTIMATIVA[[#This Row],[QT_CANA_REAL]],ESTIMATIVA[[#This Row],[QT_CANA_REST1]])</f>
        <v>2212.1</v>
      </c>
      <c r="AF521" s="1">
        <f>IF(ESTIMATIVA[[#This Row],[QT_AREA_REAL]]&gt;0,ESTIMATIVA[[#This Row],[QT_CANA_REAL]],ESTIMATIVA[[#This Row],[QT_CANA_REST2]])</f>
        <v>2212.1</v>
      </c>
      <c r="AG521" s="1" t="str">
        <f>IF(COUNTIFS(GEADA!A:A,VALUE(ESTIMATIVA[[#This Row],[CD_UPNIVEL1]]&amp;TEXT(ESTIMATIVA[[#This Row],[CD_UPNIVEL3]],"0000")))&gt;0,"S","N")</f>
        <v>N</v>
      </c>
      <c r="AH52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21" s="55" t="str">
        <f>IF(ESTIMATIVA[[#This Row],[TP_CULTIVO]]="Irrigado",_xlfn.MAXIFS(IRRIGADO!J:J,IRRIGADO!C:C,ESTIMATIVA[[#This Row],[CD_UPNIVEL1]],IRRIGADO!E:E,ESTIMATIVA[[#This Row],[CD_UPNIVEL3]]),"")</f>
        <v/>
      </c>
      <c r="AJ52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21" s="1">
        <f>COUNTIFS(Apresentação!$E$23:$E$29,ESTIMATIVA[[#This Row],[CD_UPNIVEL1]])</f>
        <v>0</v>
      </c>
    </row>
    <row r="522" spans="1:37" x14ac:dyDescent="0.3">
      <c r="A522">
        <v>20315</v>
      </c>
      <c r="B522" t="s">
        <v>28</v>
      </c>
      <c r="C522">
        <v>16</v>
      </c>
      <c r="D522">
        <v>2</v>
      </c>
      <c r="E522" t="s">
        <v>266</v>
      </c>
      <c r="F522" s="85" t="s">
        <v>332</v>
      </c>
      <c r="G522"/>
      <c r="H522" t="s">
        <v>295</v>
      </c>
      <c r="I522" t="s">
        <v>211</v>
      </c>
      <c r="J522" t="s">
        <v>174</v>
      </c>
      <c r="K522" s="1">
        <v>15.25</v>
      </c>
      <c r="L522" s="1">
        <v>0</v>
      </c>
      <c r="M522" s="1">
        <v>0</v>
      </c>
      <c r="N522" s="1">
        <v>15.25</v>
      </c>
      <c r="O522" s="1">
        <v>1433.5</v>
      </c>
      <c r="P522" s="1">
        <v>0</v>
      </c>
      <c r="Q522" s="1">
        <v>0</v>
      </c>
      <c r="R522" s="1">
        <v>1482.9</v>
      </c>
      <c r="S522" t="s">
        <v>12</v>
      </c>
      <c r="T522" s="13">
        <v>45753</v>
      </c>
      <c r="U522" s="1" t="str">
        <f>IF(ESTIMATIVA[[#This Row],[QT_AREA_REAL]]&gt;0,"1- Colhido","2- à Colher")</f>
        <v>1- Colhido</v>
      </c>
      <c r="V522" s="1" t="str">
        <f>IF(ESTIMATIVA[[#This Row],[QT_AREA_REST1]]&gt;0,"Reestimativa 1",IF(ESTIMATIVA[[#This Row],[QT_AREA_REAL]]=0,"Reestimativa 1","Realizado"))</f>
        <v>Realizado</v>
      </c>
      <c r="W522" s="1" t="str">
        <f>IF(ESTIMATIVA[[#This Row],[QT_AREA_REST2]]&gt;0,"Reestimativa 2",IF(ESTIMATIVA[[#This Row],[QT_AREA_REAL]]=0,"Reestimativa 2","Realizado"))</f>
        <v>Realizado</v>
      </c>
      <c r="X522" s="1">
        <f>ESTIMATIVA[[#This Row],[QT_AREA_EST]]</f>
        <v>15.25</v>
      </c>
      <c r="Y522" s="1">
        <f>IF(ESTIMATIVA[[#This Row],[QT_AREA_REST1]]&gt;0,ESTIMATIVA[[#This Row],[QT_AREA_REST1]],
  IF(ESTIMATIVA[[#This Row],[QT_AREA_REAL]]&gt;0,ESTIMATIVA[[#This Row],[QT_AREA_REAL]],ESTIMATIVA[[#This Row],[QT_AREA_EST]]))</f>
        <v>15.25</v>
      </c>
      <c r="Z52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15.25</v>
      </c>
      <c r="AA522" s="1">
        <f>ESTIMATIVA[[#This Row],[QT_CANA_EST]]</f>
        <v>1433.5</v>
      </c>
      <c r="AB522" s="1">
        <f>IF(ESTIMATIVA[[#This Row],[QT_CANA_REST1]]&gt;0,ESTIMATIVA[[#This Row],[QT_CANA_REST1]],
  IF(ESTIMATIVA[[#This Row],[QT_CANA_REAL]]&gt;0,ESTIMATIVA[[#This Row],[QT_CANA_REAL]],ESTIMATIVA[[#This Row],[QT_CANA_EST]]))</f>
        <v>1482.9</v>
      </c>
      <c r="AC52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1482.9</v>
      </c>
      <c r="AD522" s="1">
        <f>IF(ESTIMATIVA[[#This Row],[QT_AREA_REAL]]&gt;0,ESTIMATIVA[[#This Row],[QT_CANA_REAL]],ESTIMATIVA[[#This Row],[QT_CANA_EST]])</f>
        <v>1482.9</v>
      </c>
      <c r="AE522" s="1">
        <f>IF(ESTIMATIVA[[#This Row],[QT_AREA_REAL]]&gt;0,ESTIMATIVA[[#This Row],[QT_CANA_REAL]],ESTIMATIVA[[#This Row],[QT_CANA_REST1]])</f>
        <v>1482.9</v>
      </c>
      <c r="AF522" s="1">
        <f>IF(ESTIMATIVA[[#This Row],[QT_AREA_REAL]]&gt;0,ESTIMATIVA[[#This Row],[QT_CANA_REAL]],ESTIMATIVA[[#This Row],[QT_CANA_REST2]])</f>
        <v>1482.9</v>
      </c>
      <c r="AG522" s="1" t="str">
        <f>IF(COUNTIFS(GEADA!A:A,VALUE(ESTIMATIVA[[#This Row],[CD_UPNIVEL1]]&amp;TEXT(ESTIMATIVA[[#This Row],[CD_UPNIVEL3]],"0000")))&gt;0,"S","N")</f>
        <v>N</v>
      </c>
      <c r="AH52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22" s="55" t="str">
        <f>IF(ESTIMATIVA[[#This Row],[TP_CULTIVO]]="Irrigado",_xlfn.MAXIFS(IRRIGADO!J:J,IRRIGADO!C:C,ESTIMATIVA[[#This Row],[CD_UPNIVEL1]],IRRIGADO!E:E,ESTIMATIVA[[#This Row],[CD_UPNIVEL3]]),"")</f>
        <v/>
      </c>
      <c r="AJ52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22" s="1">
        <f>COUNTIFS(Apresentação!$E$23:$E$29,ESTIMATIVA[[#This Row],[CD_UPNIVEL1]])</f>
        <v>0</v>
      </c>
    </row>
    <row r="523" spans="1:37" x14ac:dyDescent="0.3">
      <c r="A523">
        <v>20315</v>
      </c>
      <c r="B523" t="s">
        <v>28</v>
      </c>
      <c r="C523">
        <v>17</v>
      </c>
      <c r="D523">
        <v>2</v>
      </c>
      <c r="E523" t="s">
        <v>266</v>
      </c>
      <c r="F523" s="85" t="s">
        <v>332</v>
      </c>
      <c r="G523"/>
      <c r="H523" t="s">
        <v>295</v>
      </c>
      <c r="I523" t="s">
        <v>211</v>
      </c>
      <c r="J523" t="s">
        <v>174</v>
      </c>
      <c r="K523" s="1">
        <v>17.940000000000001</v>
      </c>
      <c r="L523" s="1">
        <v>0</v>
      </c>
      <c r="M523" s="1">
        <v>0</v>
      </c>
      <c r="N523" s="1">
        <v>17.940000000000001</v>
      </c>
      <c r="O523" s="1">
        <v>1686.36</v>
      </c>
      <c r="P523" s="1">
        <v>0</v>
      </c>
      <c r="Q523" s="1">
        <v>0</v>
      </c>
      <c r="R523" s="1">
        <v>1743.64</v>
      </c>
      <c r="S523" t="s">
        <v>12</v>
      </c>
      <c r="T523" s="13">
        <v>45753</v>
      </c>
      <c r="U523" s="1" t="str">
        <f>IF(ESTIMATIVA[[#This Row],[QT_AREA_REAL]]&gt;0,"1- Colhido","2- à Colher")</f>
        <v>1- Colhido</v>
      </c>
      <c r="V523" s="1" t="str">
        <f>IF(ESTIMATIVA[[#This Row],[QT_AREA_REST1]]&gt;0,"Reestimativa 1",IF(ESTIMATIVA[[#This Row],[QT_AREA_REAL]]=0,"Reestimativa 1","Realizado"))</f>
        <v>Realizado</v>
      </c>
      <c r="W523" s="1" t="str">
        <f>IF(ESTIMATIVA[[#This Row],[QT_AREA_REST2]]&gt;0,"Reestimativa 2",IF(ESTIMATIVA[[#This Row],[QT_AREA_REAL]]=0,"Reestimativa 2","Realizado"))</f>
        <v>Realizado</v>
      </c>
      <c r="X523" s="1">
        <f>ESTIMATIVA[[#This Row],[QT_AREA_EST]]</f>
        <v>17.940000000000001</v>
      </c>
      <c r="Y523" s="1">
        <f>IF(ESTIMATIVA[[#This Row],[QT_AREA_REST1]]&gt;0,ESTIMATIVA[[#This Row],[QT_AREA_REST1]],
  IF(ESTIMATIVA[[#This Row],[QT_AREA_REAL]]&gt;0,ESTIMATIVA[[#This Row],[QT_AREA_REAL]],ESTIMATIVA[[#This Row],[QT_AREA_EST]]))</f>
        <v>17.940000000000001</v>
      </c>
      <c r="Z52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17.940000000000001</v>
      </c>
      <c r="AA523" s="1">
        <f>ESTIMATIVA[[#This Row],[QT_CANA_EST]]</f>
        <v>1686.36</v>
      </c>
      <c r="AB523" s="1">
        <f>IF(ESTIMATIVA[[#This Row],[QT_CANA_REST1]]&gt;0,ESTIMATIVA[[#This Row],[QT_CANA_REST1]],
  IF(ESTIMATIVA[[#This Row],[QT_CANA_REAL]]&gt;0,ESTIMATIVA[[#This Row],[QT_CANA_REAL]],ESTIMATIVA[[#This Row],[QT_CANA_EST]]))</f>
        <v>1743.64</v>
      </c>
      <c r="AC52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1743.64</v>
      </c>
      <c r="AD523" s="1">
        <f>IF(ESTIMATIVA[[#This Row],[QT_AREA_REAL]]&gt;0,ESTIMATIVA[[#This Row],[QT_CANA_REAL]],ESTIMATIVA[[#This Row],[QT_CANA_EST]])</f>
        <v>1743.64</v>
      </c>
      <c r="AE523" s="1">
        <f>IF(ESTIMATIVA[[#This Row],[QT_AREA_REAL]]&gt;0,ESTIMATIVA[[#This Row],[QT_CANA_REAL]],ESTIMATIVA[[#This Row],[QT_CANA_REST1]])</f>
        <v>1743.64</v>
      </c>
      <c r="AF523" s="1">
        <f>IF(ESTIMATIVA[[#This Row],[QT_AREA_REAL]]&gt;0,ESTIMATIVA[[#This Row],[QT_CANA_REAL]],ESTIMATIVA[[#This Row],[QT_CANA_REST2]])</f>
        <v>1743.64</v>
      </c>
      <c r="AG523" s="1" t="str">
        <f>IF(COUNTIFS(GEADA!A:A,VALUE(ESTIMATIVA[[#This Row],[CD_UPNIVEL1]]&amp;TEXT(ESTIMATIVA[[#This Row],[CD_UPNIVEL3]],"0000")))&gt;0,"S","N")</f>
        <v>N</v>
      </c>
      <c r="AH52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23" s="55" t="str">
        <f>IF(ESTIMATIVA[[#This Row],[TP_CULTIVO]]="Irrigado",_xlfn.MAXIFS(IRRIGADO!J:J,IRRIGADO!C:C,ESTIMATIVA[[#This Row],[CD_UPNIVEL1]],IRRIGADO!E:E,ESTIMATIVA[[#This Row],[CD_UPNIVEL3]]),"")</f>
        <v/>
      </c>
      <c r="AJ52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23" s="1">
        <f>COUNTIFS(Apresentação!$E$23:$E$29,ESTIMATIVA[[#This Row],[CD_UPNIVEL1]])</f>
        <v>0</v>
      </c>
    </row>
    <row r="524" spans="1:37" x14ac:dyDescent="0.3">
      <c r="A524">
        <v>20315</v>
      </c>
      <c r="B524" t="s">
        <v>28</v>
      </c>
      <c r="C524">
        <v>18</v>
      </c>
      <c r="D524">
        <v>2</v>
      </c>
      <c r="E524" t="s">
        <v>266</v>
      </c>
      <c r="F524" s="85" t="s">
        <v>330</v>
      </c>
      <c r="G524"/>
      <c r="H524" t="s">
        <v>295</v>
      </c>
      <c r="I524" t="s">
        <v>211</v>
      </c>
      <c r="J524" t="s">
        <v>174</v>
      </c>
      <c r="K524" s="1">
        <v>14.2</v>
      </c>
      <c r="L524" s="1">
        <v>0</v>
      </c>
      <c r="M524" s="1">
        <v>0</v>
      </c>
      <c r="N524" s="1">
        <v>14.2</v>
      </c>
      <c r="O524" s="1">
        <v>1334.8</v>
      </c>
      <c r="P524" s="1">
        <v>0</v>
      </c>
      <c r="Q524" s="1">
        <v>0</v>
      </c>
      <c r="R524" s="1">
        <v>1380.52</v>
      </c>
      <c r="S524" t="s">
        <v>12</v>
      </c>
      <c r="T524" s="13">
        <v>45753</v>
      </c>
      <c r="U524" s="1" t="str">
        <f>IF(ESTIMATIVA[[#This Row],[QT_AREA_REAL]]&gt;0,"1- Colhido","2- à Colher")</f>
        <v>1- Colhido</v>
      </c>
      <c r="V524" s="1" t="str">
        <f>IF(ESTIMATIVA[[#This Row],[QT_AREA_REST1]]&gt;0,"Reestimativa 1",IF(ESTIMATIVA[[#This Row],[QT_AREA_REAL]]=0,"Reestimativa 1","Realizado"))</f>
        <v>Realizado</v>
      </c>
      <c r="W524" s="1" t="str">
        <f>IF(ESTIMATIVA[[#This Row],[QT_AREA_REST2]]&gt;0,"Reestimativa 2",IF(ESTIMATIVA[[#This Row],[QT_AREA_REAL]]=0,"Reestimativa 2","Realizado"))</f>
        <v>Realizado</v>
      </c>
      <c r="X524" s="1">
        <f>ESTIMATIVA[[#This Row],[QT_AREA_EST]]</f>
        <v>14.2</v>
      </c>
      <c r="Y524" s="1">
        <f>IF(ESTIMATIVA[[#This Row],[QT_AREA_REST1]]&gt;0,ESTIMATIVA[[#This Row],[QT_AREA_REST1]],
  IF(ESTIMATIVA[[#This Row],[QT_AREA_REAL]]&gt;0,ESTIMATIVA[[#This Row],[QT_AREA_REAL]],ESTIMATIVA[[#This Row],[QT_AREA_EST]]))</f>
        <v>14.2</v>
      </c>
      <c r="Z52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14.2</v>
      </c>
      <c r="AA524" s="1">
        <f>ESTIMATIVA[[#This Row],[QT_CANA_EST]]</f>
        <v>1334.8</v>
      </c>
      <c r="AB524" s="1">
        <f>IF(ESTIMATIVA[[#This Row],[QT_CANA_REST1]]&gt;0,ESTIMATIVA[[#This Row],[QT_CANA_REST1]],
  IF(ESTIMATIVA[[#This Row],[QT_CANA_REAL]]&gt;0,ESTIMATIVA[[#This Row],[QT_CANA_REAL]],ESTIMATIVA[[#This Row],[QT_CANA_EST]]))</f>
        <v>1380.52</v>
      </c>
      <c r="AC52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1380.52</v>
      </c>
      <c r="AD524" s="1">
        <f>IF(ESTIMATIVA[[#This Row],[QT_AREA_REAL]]&gt;0,ESTIMATIVA[[#This Row],[QT_CANA_REAL]],ESTIMATIVA[[#This Row],[QT_CANA_EST]])</f>
        <v>1380.52</v>
      </c>
      <c r="AE524" s="1">
        <f>IF(ESTIMATIVA[[#This Row],[QT_AREA_REAL]]&gt;0,ESTIMATIVA[[#This Row],[QT_CANA_REAL]],ESTIMATIVA[[#This Row],[QT_CANA_REST1]])</f>
        <v>1380.52</v>
      </c>
      <c r="AF524" s="1">
        <f>IF(ESTIMATIVA[[#This Row],[QT_AREA_REAL]]&gt;0,ESTIMATIVA[[#This Row],[QT_CANA_REAL]],ESTIMATIVA[[#This Row],[QT_CANA_REST2]])</f>
        <v>1380.52</v>
      </c>
      <c r="AG524" s="1" t="str">
        <f>IF(COUNTIFS(GEADA!A:A,VALUE(ESTIMATIVA[[#This Row],[CD_UPNIVEL1]]&amp;TEXT(ESTIMATIVA[[#This Row],[CD_UPNIVEL3]],"0000")))&gt;0,"S","N")</f>
        <v>N</v>
      </c>
      <c r="AH52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24" s="55" t="str">
        <f>IF(ESTIMATIVA[[#This Row],[TP_CULTIVO]]="Irrigado",_xlfn.MAXIFS(IRRIGADO!J:J,IRRIGADO!C:C,ESTIMATIVA[[#This Row],[CD_UPNIVEL1]],IRRIGADO!E:E,ESTIMATIVA[[#This Row],[CD_UPNIVEL3]]),"")</f>
        <v/>
      </c>
      <c r="AJ52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24" s="1">
        <f>COUNTIFS(Apresentação!$E$23:$E$29,ESTIMATIVA[[#This Row],[CD_UPNIVEL1]])</f>
        <v>0</v>
      </c>
    </row>
    <row r="525" spans="1:37" x14ac:dyDescent="0.3">
      <c r="A525">
        <v>20315</v>
      </c>
      <c r="B525" t="s">
        <v>28</v>
      </c>
      <c r="C525">
        <v>19</v>
      </c>
      <c r="D525">
        <v>2</v>
      </c>
      <c r="E525" t="s">
        <v>266</v>
      </c>
      <c r="F525" s="85" t="s">
        <v>332</v>
      </c>
      <c r="G525"/>
      <c r="H525" t="s">
        <v>295</v>
      </c>
      <c r="I525" t="s">
        <v>211</v>
      </c>
      <c r="J525" t="s">
        <v>174</v>
      </c>
      <c r="K525" s="1">
        <v>2.08</v>
      </c>
      <c r="L525" s="1">
        <v>0</v>
      </c>
      <c r="M525" s="1">
        <v>0</v>
      </c>
      <c r="N525" s="1">
        <v>2.08</v>
      </c>
      <c r="O525" s="1">
        <v>195.52</v>
      </c>
      <c r="P525" s="1">
        <v>0</v>
      </c>
      <c r="Q525" s="1">
        <v>0</v>
      </c>
      <c r="R525" s="1">
        <v>202.06</v>
      </c>
      <c r="S525" t="s">
        <v>12</v>
      </c>
      <c r="T525" s="13">
        <v>45753</v>
      </c>
      <c r="U525" s="1" t="str">
        <f>IF(ESTIMATIVA[[#This Row],[QT_AREA_REAL]]&gt;0,"1- Colhido","2- à Colher")</f>
        <v>1- Colhido</v>
      </c>
      <c r="V525" s="1" t="str">
        <f>IF(ESTIMATIVA[[#This Row],[QT_AREA_REST1]]&gt;0,"Reestimativa 1",IF(ESTIMATIVA[[#This Row],[QT_AREA_REAL]]=0,"Reestimativa 1","Realizado"))</f>
        <v>Realizado</v>
      </c>
      <c r="W525" s="1" t="str">
        <f>IF(ESTIMATIVA[[#This Row],[QT_AREA_REST2]]&gt;0,"Reestimativa 2",IF(ESTIMATIVA[[#This Row],[QT_AREA_REAL]]=0,"Reestimativa 2","Realizado"))</f>
        <v>Realizado</v>
      </c>
      <c r="X525" s="1">
        <f>ESTIMATIVA[[#This Row],[QT_AREA_EST]]</f>
        <v>2.08</v>
      </c>
      <c r="Y525" s="1">
        <f>IF(ESTIMATIVA[[#This Row],[QT_AREA_REST1]]&gt;0,ESTIMATIVA[[#This Row],[QT_AREA_REST1]],
  IF(ESTIMATIVA[[#This Row],[QT_AREA_REAL]]&gt;0,ESTIMATIVA[[#This Row],[QT_AREA_REAL]],ESTIMATIVA[[#This Row],[QT_AREA_EST]]))</f>
        <v>2.08</v>
      </c>
      <c r="Z52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2.08</v>
      </c>
      <c r="AA525" s="1">
        <f>ESTIMATIVA[[#This Row],[QT_CANA_EST]]</f>
        <v>195.52</v>
      </c>
      <c r="AB525" s="1">
        <f>IF(ESTIMATIVA[[#This Row],[QT_CANA_REST1]]&gt;0,ESTIMATIVA[[#This Row],[QT_CANA_REST1]],
  IF(ESTIMATIVA[[#This Row],[QT_CANA_REAL]]&gt;0,ESTIMATIVA[[#This Row],[QT_CANA_REAL]],ESTIMATIVA[[#This Row],[QT_CANA_EST]]))</f>
        <v>202.06</v>
      </c>
      <c r="AC52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202.06</v>
      </c>
      <c r="AD525" s="1">
        <f>IF(ESTIMATIVA[[#This Row],[QT_AREA_REAL]]&gt;0,ESTIMATIVA[[#This Row],[QT_CANA_REAL]],ESTIMATIVA[[#This Row],[QT_CANA_EST]])</f>
        <v>202.06</v>
      </c>
      <c r="AE525" s="1">
        <f>IF(ESTIMATIVA[[#This Row],[QT_AREA_REAL]]&gt;0,ESTIMATIVA[[#This Row],[QT_CANA_REAL]],ESTIMATIVA[[#This Row],[QT_CANA_REST1]])</f>
        <v>202.06</v>
      </c>
      <c r="AF525" s="1">
        <f>IF(ESTIMATIVA[[#This Row],[QT_AREA_REAL]]&gt;0,ESTIMATIVA[[#This Row],[QT_CANA_REAL]],ESTIMATIVA[[#This Row],[QT_CANA_REST2]])</f>
        <v>202.06</v>
      </c>
      <c r="AG525" s="1" t="str">
        <f>IF(COUNTIFS(GEADA!A:A,VALUE(ESTIMATIVA[[#This Row],[CD_UPNIVEL1]]&amp;TEXT(ESTIMATIVA[[#This Row],[CD_UPNIVEL3]],"0000")))&gt;0,"S","N")</f>
        <v>N</v>
      </c>
      <c r="AH52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25" s="55" t="str">
        <f>IF(ESTIMATIVA[[#This Row],[TP_CULTIVO]]="Irrigado",_xlfn.MAXIFS(IRRIGADO!J:J,IRRIGADO!C:C,ESTIMATIVA[[#This Row],[CD_UPNIVEL1]],IRRIGADO!E:E,ESTIMATIVA[[#This Row],[CD_UPNIVEL3]]),"")</f>
        <v/>
      </c>
      <c r="AJ52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25" s="1">
        <f>COUNTIFS(Apresentação!$E$23:$E$29,ESTIMATIVA[[#This Row],[CD_UPNIVEL1]])</f>
        <v>0</v>
      </c>
    </row>
    <row r="526" spans="1:37" x14ac:dyDescent="0.3">
      <c r="A526">
        <v>20315</v>
      </c>
      <c r="B526" t="s">
        <v>28</v>
      </c>
      <c r="C526">
        <v>33</v>
      </c>
      <c r="D526">
        <v>3</v>
      </c>
      <c r="E526" t="s">
        <v>263</v>
      </c>
      <c r="F526" s="85" t="s">
        <v>332</v>
      </c>
      <c r="G526"/>
      <c r="H526" t="s">
        <v>295</v>
      </c>
      <c r="I526" t="s">
        <v>197</v>
      </c>
      <c r="J526" t="s">
        <v>174</v>
      </c>
      <c r="K526" s="1">
        <v>11.97</v>
      </c>
      <c r="L526" s="1">
        <v>11.97</v>
      </c>
      <c r="M526" s="1">
        <v>0</v>
      </c>
      <c r="N526" s="1">
        <v>11.97</v>
      </c>
      <c r="O526" s="1">
        <v>1077.3</v>
      </c>
      <c r="P526" s="1">
        <v>1089.27</v>
      </c>
      <c r="Q526" s="1">
        <v>0</v>
      </c>
      <c r="R526" s="1">
        <v>1119.29</v>
      </c>
      <c r="S526" t="s">
        <v>12</v>
      </c>
      <c r="T526" s="13">
        <v>45893</v>
      </c>
      <c r="U526" s="1" t="str">
        <f>IF(ESTIMATIVA[[#This Row],[QT_AREA_REAL]]&gt;0,"1- Colhido","2- à Colher")</f>
        <v>1- Colhido</v>
      </c>
      <c r="V526" s="1" t="str">
        <f>IF(ESTIMATIVA[[#This Row],[QT_AREA_REST1]]&gt;0,"Reestimativa 1",IF(ESTIMATIVA[[#This Row],[QT_AREA_REAL]]=0,"Reestimativa 1","Realizado"))</f>
        <v>Reestimativa 1</v>
      </c>
      <c r="W526" s="1" t="str">
        <f>IF(ESTIMATIVA[[#This Row],[QT_AREA_REST2]]&gt;0,"Reestimativa 2",IF(ESTIMATIVA[[#This Row],[QT_AREA_REAL]]=0,"Reestimativa 2","Realizado"))</f>
        <v>Realizado</v>
      </c>
      <c r="X526" s="1">
        <f>ESTIMATIVA[[#This Row],[QT_AREA_EST]]</f>
        <v>11.97</v>
      </c>
      <c r="Y526" s="1">
        <f>IF(ESTIMATIVA[[#This Row],[QT_AREA_REST1]]&gt;0,ESTIMATIVA[[#This Row],[QT_AREA_REST1]],
  IF(ESTIMATIVA[[#This Row],[QT_AREA_REAL]]&gt;0,ESTIMATIVA[[#This Row],[QT_AREA_REAL]],ESTIMATIVA[[#This Row],[QT_AREA_EST]]))</f>
        <v>11.97</v>
      </c>
      <c r="Z52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11.97</v>
      </c>
      <c r="AA526" s="1">
        <f>ESTIMATIVA[[#This Row],[QT_CANA_EST]]</f>
        <v>1077.3</v>
      </c>
      <c r="AB526" s="1">
        <f>IF(ESTIMATIVA[[#This Row],[QT_CANA_REST1]]&gt;0,ESTIMATIVA[[#This Row],[QT_CANA_REST1]],
  IF(ESTIMATIVA[[#This Row],[QT_CANA_REAL]]&gt;0,ESTIMATIVA[[#This Row],[QT_CANA_REAL]],ESTIMATIVA[[#This Row],[QT_CANA_EST]]))</f>
        <v>1089.27</v>
      </c>
      <c r="AC52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1119.29</v>
      </c>
      <c r="AD526" s="1">
        <f>IF(ESTIMATIVA[[#This Row],[QT_AREA_REAL]]&gt;0,ESTIMATIVA[[#This Row],[QT_CANA_REAL]],ESTIMATIVA[[#This Row],[QT_CANA_EST]])</f>
        <v>1119.29</v>
      </c>
      <c r="AE526" s="1">
        <f>IF(ESTIMATIVA[[#This Row],[QT_AREA_REAL]]&gt;0,ESTIMATIVA[[#This Row],[QT_CANA_REAL]],ESTIMATIVA[[#This Row],[QT_CANA_REST1]])</f>
        <v>1119.29</v>
      </c>
      <c r="AF526" s="1">
        <f>IF(ESTIMATIVA[[#This Row],[QT_AREA_REAL]]&gt;0,ESTIMATIVA[[#This Row],[QT_CANA_REAL]],ESTIMATIVA[[#This Row],[QT_CANA_REST2]])</f>
        <v>1119.29</v>
      </c>
      <c r="AG526" s="1" t="str">
        <f>IF(COUNTIFS(GEADA!A:A,VALUE(ESTIMATIVA[[#This Row],[CD_UPNIVEL1]]&amp;TEXT(ESTIMATIVA[[#This Row],[CD_UPNIVEL3]],"0000")))&gt;0,"S","N")</f>
        <v>N</v>
      </c>
      <c r="AH52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26" s="55" t="str">
        <f>IF(ESTIMATIVA[[#This Row],[TP_CULTIVO]]="Irrigado",_xlfn.MAXIFS(IRRIGADO!J:J,IRRIGADO!C:C,ESTIMATIVA[[#This Row],[CD_UPNIVEL1]],IRRIGADO!E:E,ESTIMATIVA[[#This Row],[CD_UPNIVEL3]]),"")</f>
        <v/>
      </c>
      <c r="AJ52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26" s="1">
        <f>COUNTIFS(Apresentação!$E$23:$E$29,ESTIMATIVA[[#This Row],[CD_UPNIVEL1]])</f>
        <v>0</v>
      </c>
    </row>
    <row r="527" spans="1:37" x14ac:dyDescent="0.3">
      <c r="A527">
        <v>20315</v>
      </c>
      <c r="B527" t="s">
        <v>28</v>
      </c>
      <c r="C527">
        <v>34</v>
      </c>
      <c r="D527">
        <v>3</v>
      </c>
      <c r="E527" t="s">
        <v>263</v>
      </c>
      <c r="F527" s="85" t="s">
        <v>330</v>
      </c>
      <c r="G527"/>
      <c r="H527" t="s">
        <v>295</v>
      </c>
      <c r="I527" t="s">
        <v>197</v>
      </c>
      <c r="J527" t="s">
        <v>174</v>
      </c>
      <c r="K527" s="1">
        <v>36.090000000000003</v>
      </c>
      <c r="L527" s="1">
        <v>36.090000000000003</v>
      </c>
      <c r="M527" s="1">
        <v>0</v>
      </c>
      <c r="N527" s="1">
        <v>36.090000000000003</v>
      </c>
      <c r="O527" s="1">
        <v>3248.1</v>
      </c>
      <c r="P527" s="1">
        <v>3284.19</v>
      </c>
      <c r="Q527" s="1">
        <v>0</v>
      </c>
      <c r="R527" s="1">
        <v>3375.74</v>
      </c>
      <c r="S527" t="s">
        <v>12</v>
      </c>
      <c r="T527" s="13">
        <v>45893</v>
      </c>
      <c r="U527" s="1" t="str">
        <f>IF(ESTIMATIVA[[#This Row],[QT_AREA_REAL]]&gt;0,"1- Colhido","2- à Colher")</f>
        <v>1- Colhido</v>
      </c>
      <c r="V527" s="1" t="str">
        <f>IF(ESTIMATIVA[[#This Row],[QT_AREA_REST1]]&gt;0,"Reestimativa 1",IF(ESTIMATIVA[[#This Row],[QT_AREA_REAL]]=0,"Reestimativa 1","Realizado"))</f>
        <v>Reestimativa 1</v>
      </c>
      <c r="W527" s="1" t="str">
        <f>IF(ESTIMATIVA[[#This Row],[QT_AREA_REST2]]&gt;0,"Reestimativa 2",IF(ESTIMATIVA[[#This Row],[QT_AREA_REAL]]=0,"Reestimativa 2","Realizado"))</f>
        <v>Realizado</v>
      </c>
      <c r="X527" s="1">
        <f>ESTIMATIVA[[#This Row],[QT_AREA_EST]]</f>
        <v>36.090000000000003</v>
      </c>
      <c r="Y527" s="1">
        <f>IF(ESTIMATIVA[[#This Row],[QT_AREA_REST1]]&gt;0,ESTIMATIVA[[#This Row],[QT_AREA_REST1]],
  IF(ESTIMATIVA[[#This Row],[QT_AREA_REAL]]&gt;0,ESTIMATIVA[[#This Row],[QT_AREA_REAL]],ESTIMATIVA[[#This Row],[QT_AREA_EST]]))</f>
        <v>36.090000000000003</v>
      </c>
      <c r="Z52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36.090000000000003</v>
      </c>
      <c r="AA527" s="1">
        <f>ESTIMATIVA[[#This Row],[QT_CANA_EST]]</f>
        <v>3248.1</v>
      </c>
      <c r="AB527" s="1">
        <f>IF(ESTIMATIVA[[#This Row],[QT_CANA_REST1]]&gt;0,ESTIMATIVA[[#This Row],[QT_CANA_REST1]],
  IF(ESTIMATIVA[[#This Row],[QT_CANA_REAL]]&gt;0,ESTIMATIVA[[#This Row],[QT_CANA_REAL]],ESTIMATIVA[[#This Row],[QT_CANA_EST]]))</f>
        <v>3284.19</v>
      </c>
      <c r="AC52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3375.74</v>
      </c>
      <c r="AD527" s="1">
        <f>IF(ESTIMATIVA[[#This Row],[QT_AREA_REAL]]&gt;0,ESTIMATIVA[[#This Row],[QT_CANA_REAL]],ESTIMATIVA[[#This Row],[QT_CANA_EST]])</f>
        <v>3375.74</v>
      </c>
      <c r="AE527" s="1">
        <f>IF(ESTIMATIVA[[#This Row],[QT_AREA_REAL]]&gt;0,ESTIMATIVA[[#This Row],[QT_CANA_REAL]],ESTIMATIVA[[#This Row],[QT_CANA_REST1]])</f>
        <v>3375.74</v>
      </c>
      <c r="AF527" s="1">
        <f>IF(ESTIMATIVA[[#This Row],[QT_AREA_REAL]]&gt;0,ESTIMATIVA[[#This Row],[QT_CANA_REAL]],ESTIMATIVA[[#This Row],[QT_CANA_REST2]])</f>
        <v>3375.74</v>
      </c>
      <c r="AG527" s="1" t="str">
        <f>IF(COUNTIFS(GEADA!A:A,VALUE(ESTIMATIVA[[#This Row],[CD_UPNIVEL1]]&amp;TEXT(ESTIMATIVA[[#This Row],[CD_UPNIVEL3]],"0000")))&gt;0,"S","N")</f>
        <v>N</v>
      </c>
      <c r="AH52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27" s="55" t="str">
        <f>IF(ESTIMATIVA[[#This Row],[TP_CULTIVO]]="Irrigado",_xlfn.MAXIFS(IRRIGADO!J:J,IRRIGADO!C:C,ESTIMATIVA[[#This Row],[CD_UPNIVEL1]],IRRIGADO!E:E,ESTIMATIVA[[#This Row],[CD_UPNIVEL3]]),"")</f>
        <v/>
      </c>
      <c r="AJ52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27" s="1">
        <f>COUNTIFS(Apresentação!$E$23:$E$29,ESTIMATIVA[[#This Row],[CD_UPNIVEL1]])</f>
        <v>0</v>
      </c>
    </row>
    <row r="528" spans="1:37" x14ac:dyDescent="0.3">
      <c r="A528">
        <v>20315</v>
      </c>
      <c r="B528" t="s">
        <v>28</v>
      </c>
      <c r="C528">
        <v>35</v>
      </c>
      <c r="D528">
        <v>3</v>
      </c>
      <c r="E528" t="s">
        <v>263</v>
      </c>
      <c r="F528" s="85" t="s">
        <v>330</v>
      </c>
      <c r="G528"/>
      <c r="H528" t="s">
        <v>295</v>
      </c>
      <c r="I528" t="s">
        <v>197</v>
      </c>
      <c r="J528" t="s">
        <v>174</v>
      </c>
      <c r="K528" s="1">
        <v>18.04</v>
      </c>
      <c r="L528" s="1">
        <v>18.04</v>
      </c>
      <c r="M528" s="1">
        <v>0</v>
      </c>
      <c r="N528" s="1">
        <v>18.04</v>
      </c>
      <c r="O528" s="1">
        <v>1623.6</v>
      </c>
      <c r="P528" s="1">
        <v>1641.64</v>
      </c>
      <c r="Q528" s="1">
        <v>0</v>
      </c>
      <c r="R528" s="1">
        <v>1687.78</v>
      </c>
      <c r="S528" t="s">
        <v>12</v>
      </c>
      <c r="T528" s="13">
        <v>45893</v>
      </c>
      <c r="U528" s="1" t="str">
        <f>IF(ESTIMATIVA[[#This Row],[QT_AREA_REAL]]&gt;0,"1- Colhido","2- à Colher")</f>
        <v>1- Colhido</v>
      </c>
      <c r="V528" s="1" t="str">
        <f>IF(ESTIMATIVA[[#This Row],[QT_AREA_REST1]]&gt;0,"Reestimativa 1",IF(ESTIMATIVA[[#This Row],[QT_AREA_REAL]]=0,"Reestimativa 1","Realizado"))</f>
        <v>Reestimativa 1</v>
      </c>
      <c r="W528" s="1" t="str">
        <f>IF(ESTIMATIVA[[#This Row],[QT_AREA_REST2]]&gt;0,"Reestimativa 2",IF(ESTIMATIVA[[#This Row],[QT_AREA_REAL]]=0,"Reestimativa 2","Realizado"))</f>
        <v>Realizado</v>
      </c>
      <c r="X528" s="1">
        <f>ESTIMATIVA[[#This Row],[QT_AREA_EST]]</f>
        <v>18.04</v>
      </c>
      <c r="Y528" s="1">
        <f>IF(ESTIMATIVA[[#This Row],[QT_AREA_REST1]]&gt;0,ESTIMATIVA[[#This Row],[QT_AREA_REST1]],
  IF(ESTIMATIVA[[#This Row],[QT_AREA_REAL]]&gt;0,ESTIMATIVA[[#This Row],[QT_AREA_REAL]],ESTIMATIVA[[#This Row],[QT_AREA_EST]]))</f>
        <v>18.04</v>
      </c>
      <c r="Z52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18.04</v>
      </c>
      <c r="AA528" s="1">
        <f>ESTIMATIVA[[#This Row],[QT_CANA_EST]]</f>
        <v>1623.6</v>
      </c>
      <c r="AB528" s="1">
        <f>IF(ESTIMATIVA[[#This Row],[QT_CANA_REST1]]&gt;0,ESTIMATIVA[[#This Row],[QT_CANA_REST1]],
  IF(ESTIMATIVA[[#This Row],[QT_CANA_REAL]]&gt;0,ESTIMATIVA[[#This Row],[QT_CANA_REAL]],ESTIMATIVA[[#This Row],[QT_CANA_EST]]))</f>
        <v>1641.64</v>
      </c>
      <c r="AC52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1687.78</v>
      </c>
      <c r="AD528" s="1">
        <f>IF(ESTIMATIVA[[#This Row],[QT_AREA_REAL]]&gt;0,ESTIMATIVA[[#This Row],[QT_CANA_REAL]],ESTIMATIVA[[#This Row],[QT_CANA_EST]])</f>
        <v>1687.78</v>
      </c>
      <c r="AE528" s="1">
        <f>IF(ESTIMATIVA[[#This Row],[QT_AREA_REAL]]&gt;0,ESTIMATIVA[[#This Row],[QT_CANA_REAL]],ESTIMATIVA[[#This Row],[QT_CANA_REST1]])</f>
        <v>1687.78</v>
      </c>
      <c r="AF528" s="1">
        <f>IF(ESTIMATIVA[[#This Row],[QT_AREA_REAL]]&gt;0,ESTIMATIVA[[#This Row],[QT_CANA_REAL]],ESTIMATIVA[[#This Row],[QT_CANA_REST2]])</f>
        <v>1687.78</v>
      </c>
      <c r="AG528" s="1" t="str">
        <f>IF(COUNTIFS(GEADA!A:A,VALUE(ESTIMATIVA[[#This Row],[CD_UPNIVEL1]]&amp;TEXT(ESTIMATIVA[[#This Row],[CD_UPNIVEL3]],"0000")))&gt;0,"S","N")</f>
        <v>N</v>
      </c>
      <c r="AH52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28" s="55" t="str">
        <f>IF(ESTIMATIVA[[#This Row],[TP_CULTIVO]]="Irrigado",_xlfn.MAXIFS(IRRIGADO!J:J,IRRIGADO!C:C,ESTIMATIVA[[#This Row],[CD_UPNIVEL1]],IRRIGADO!E:E,ESTIMATIVA[[#This Row],[CD_UPNIVEL3]]),"")</f>
        <v/>
      </c>
      <c r="AJ52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28" s="1">
        <f>COUNTIFS(Apresentação!$E$23:$E$29,ESTIMATIVA[[#This Row],[CD_UPNIVEL1]])</f>
        <v>0</v>
      </c>
    </row>
    <row r="529" spans="1:37" x14ac:dyDescent="0.3">
      <c r="A529">
        <v>20315</v>
      </c>
      <c r="B529" t="s">
        <v>28</v>
      </c>
      <c r="C529">
        <v>36</v>
      </c>
      <c r="D529">
        <v>3</v>
      </c>
      <c r="E529" t="s">
        <v>263</v>
      </c>
      <c r="F529" s="85" t="s">
        <v>330</v>
      </c>
      <c r="G529"/>
      <c r="H529" t="s">
        <v>295</v>
      </c>
      <c r="I529" t="s">
        <v>197</v>
      </c>
      <c r="J529" t="s">
        <v>174</v>
      </c>
      <c r="K529" s="1">
        <v>24.19</v>
      </c>
      <c r="L529" s="1">
        <v>24.19</v>
      </c>
      <c r="M529" s="1">
        <v>0</v>
      </c>
      <c r="N529" s="1">
        <v>24.19</v>
      </c>
      <c r="O529" s="1">
        <v>2177.1</v>
      </c>
      <c r="P529" s="1">
        <v>2201.29</v>
      </c>
      <c r="Q529" s="1">
        <v>0</v>
      </c>
      <c r="R529" s="1">
        <v>2262.42</v>
      </c>
      <c r="S529" t="s">
        <v>12</v>
      </c>
      <c r="T529" s="13">
        <v>45893</v>
      </c>
      <c r="U529" s="1" t="str">
        <f>IF(ESTIMATIVA[[#This Row],[QT_AREA_REAL]]&gt;0,"1- Colhido","2- à Colher")</f>
        <v>1- Colhido</v>
      </c>
      <c r="V529" s="1" t="str">
        <f>IF(ESTIMATIVA[[#This Row],[QT_AREA_REST1]]&gt;0,"Reestimativa 1",IF(ESTIMATIVA[[#This Row],[QT_AREA_REAL]]=0,"Reestimativa 1","Realizado"))</f>
        <v>Reestimativa 1</v>
      </c>
      <c r="W529" s="1" t="str">
        <f>IF(ESTIMATIVA[[#This Row],[QT_AREA_REST2]]&gt;0,"Reestimativa 2",IF(ESTIMATIVA[[#This Row],[QT_AREA_REAL]]=0,"Reestimativa 2","Realizado"))</f>
        <v>Realizado</v>
      </c>
      <c r="X529" s="1">
        <f>ESTIMATIVA[[#This Row],[QT_AREA_EST]]</f>
        <v>24.19</v>
      </c>
      <c r="Y529" s="1">
        <f>IF(ESTIMATIVA[[#This Row],[QT_AREA_REST1]]&gt;0,ESTIMATIVA[[#This Row],[QT_AREA_REST1]],
  IF(ESTIMATIVA[[#This Row],[QT_AREA_REAL]]&gt;0,ESTIMATIVA[[#This Row],[QT_AREA_REAL]],ESTIMATIVA[[#This Row],[QT_AREA_EST]]))</f>
        <v>24.19</v>
      </c>
      <c r="Z52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24.19</v>
      </c>
      <c r="AA529" s="1">
        <f>ESTIMATIVA[[#This Row],[QT_CANA_EST]]</f>
        <v>2177.1</v>
      </c>
      <c r="AB529" s="1">
        <f>IF(ESTIMATIVA[[#This Row],[QT_CANA_REST1]]&gt;0,ESTIMATIVA[[#This Row],[QT_CANA_REST1]],
  IF(ESTIMATIVA[[#This Row],[QT_CANA_REAL]]&gt;0,ESTIMATIVA[[#This Row],[QT_CANA_REAL]],ESTIMATIVA[[#This Row],[QT_CANA_EST]]))</f>
        <v>2201.29</v>
      </c>
      <c r="AC52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2262.42</v>
      </c>
      <c r="AD529" s="1">
        <f>IF(ESTIMATIVA[[#This Row],[QT_AREA_REAL]]&gt;0,ESTIMATIVA[[#This Row],[QT_CANA_REAL]],ESTIMATIVA[[#This Row],[QT_CANA_EST]])</f>
        <v>2262.42</v>
      </c>
      <c r="AE529" s="1">
        <f>IF(ESTIMATIVA[[#This Row],[QT_AREA_REAL]]&gt;0,ESTIMATIVA[[#This Row],[QT_CANA_REAL]],ESTIMATIVA[[#This Row],[QT_CANA_REST1]])</f>
        <v>2262.42</v>
      </c>
      <c r="AF529" s="1">
        <f>IF(ESTIMATIVA[[#This Row],[QT_AREA_REAL]]&gt;0,ESTIMATIVA[[#This Row],[QT_CANA_REAL]],ESTIMATIVA[[#This Row],[QT_CANA_REST2]])</f>
        <v>2262.42</v>
      </c>
      <c r="AG529" s="1" t="str">
        <f>IF(COUNTIFS(GEADA!A:A,VALUE(ESTIMATIVA[[#This Row],[CD_UPNIVEL1]]&amp;TEXT(ESTIMATIVA[[#This Row],[CD_UPNIVEL3]],"0000")))&gt;0,"S","N")</f>
        <v>N</v>
      </c>
      <c r="AH52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29" s="55" t="str">
        <f>IF(ESTIMATIVA[[#This Row],[TP_CULTIVO]]="Irrigado",_xlfn.MAXIFS(IRRIGADO!J:J,IRRIGADO!C:C,ESTIMATIVA[[#This Row],[CD_UPNIVEL1]],IRRIGADO!E:E,ESTIMATIVA[[#This Row],[CD_UPNIVEL3]]),"")</f>
        <v/>
      </c>
      <c r="AJ52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29" s="1">
        <f>COUNTIFS(Apresentação!$E$23:$E$29,ESTIMATIVA[[#This Row],[CD_UPNIVEL1]])</f>
        <v>0</v>
      </c>
    </row>
    <row r="530" spans="1:37" x14ac:dyDescent="0.3">
      <c r="A530">
        <v>20315</v>
      </c>
      <c r="B530" t="s">
        <v>28</v>
      </c>
      <c r="C530">
        <v>37</v>
      </c>
      <c r="D530">
        <v>3</v>
      </c>
      <c r="E530" t="s">
        <v>263</v>
      </c>
      <c r="F530" s="85" t="s">
        <v>332</v>
      </c>
      <c r="G530"/>
      <c r="H530" t="s">
        <v>295</v>
      </c>
      <c r="I530" t="s">
        <v>197</v>
      </c>
      <c r="J530" t="s">
        <v>174</v>
      </c>
      <c r="K530" s="1">
        <v>26.08</v>
      </c>
      <c r="L530" s="1">
        <v>26.08</v>
      </c>
      <c r="M530" s="1">
        <v>0</v>
      </c>
      <c r="N530" s="1">
        <v>26.08</v>
      </c>
      <c r="O530" s="1">
        <v>2086.4</v>
      </c>
      <c r="P530" s="1">
        <v>2138.56</v>
      </c>
      <c r="Q530" s="1">
        <v>0</v>
      </c>
      <c r="R530" s="1">
        <v>2198.67</v>
      </c>
      <c r="S530" t="s">
        <v>12</v>
      </c>
      <c r="T530" s="13">
        <v>45893</v>
      </c>
      <c r="U530" s="1" t="str">
        <f>IF(ESTIMATIVA[[#This Row],[QT_AREA_REAL]]&gt;0,"1- Colhido","2- à Colher")</f>
        <v>1- Colhido</v>
      </c>
      <c r="V530" s="1" t="str">
        <f>IF(ESTIMATIVA[[#This Row],[QT_AREA_REST1]]&gt;0,"Reestimativa 1",IF(ESTIMATIVA[[#This Row],[QT_AREA_REAL]]=0,"Reestimativa 1","Realizado"))</f>
        <v>Reestimativa 1</v>
      </c>
      <c r="W530" s="1" t="str">
        <f>IF(ESTIMATIVA[[#This Row],[QT_AREA_REST2]]&gt;0,"Reestimativa 2",IF(ESTIMATIVA[[#This Row],[QT_AREA_REAL]]=0,"Reestimativa 2","Realizado"))</f>
        <v>Realizado</v>
      </c>
      <c r="X530" s="1">
        <f>ESTIMATIVA[[#This Row],[QT_AREA_EST]]</f>
        <v>26.08</v>
      </c>
      <c r="Y530" s="1">
        <f>IF(ESTIMATIVA[[#This Row],[QT_AREA_REST1]]&gt;0,ESTIMATIVA[[#This Row],[QT_AREA_REST1]],
  IF(ESTIMATIVA[[#This Row],[QT_AREA_REAL]]&gt;0,ESTIMATIVA[[#This Row],[QT_AREA_REAL]],ESTIMATIVA[[#This Row],[QT_AREA_EST]]))</f>
        <v>26.08</v>
      </c>
      <c r="Z53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26.08</v>
      </c>
      <c r="AA530" s="1">
        <f>ESTIMATIVA[[#This Row],[QT_CANA_EST]]</f>
        <v>2086.4</v>
      </c>
      <c r="AB530" s="1">
        <f>IF(ESTIMATIVA[[#This Row],[QT_CANA_REST1]]&gt;0,ESTIMATIVA[[#This Row],[QT_CANA_REST1]],
  IF(ESTIMATIVA[[#This Row],[QT_CANA_REAL]]&gt;0,ESTIMATIVA[[#This Row],[QT_CANA_REAL]],ESTIMATIVA[[#This Row],[QT_CANA_EST]]))</f>
        <v>2138.56</v>
      </c>
      <c r="AC53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2198.67</v>
      </c>
      <c r="AD530" s="1">
        <f>IF(ESTIMATIVA[[#This Row],[QT_AREA_REAL]]&gt;0,ESTIMATIVA[[#This Row],[QT_CANA_REAL]],ESTIMATIVA[[#This Row],[QT_CANA_EST]])</f>
        <v>2198.67</v>
      </c>
      <c r="AE530" s="1">
        <f>IF(ESTIMATIVA[[#This Row],[QT_AREA_REAL]]&gt;0,ESTIMATIVA[[#This Row],[QT_CANA_REAL]],ESTIMATIVA[[#This Row],[QT_CANA_REST1]])</f>
        <v>2198.67</v>
      </c>
      <c r="AF530" s="1">
        <f>IF(ESTIMATIVA[[#This Row],[QT_AREA_REAL]]&gt;0,ESTIMATIVA[[#This Row],[QT_CANA_REAL]],ESTIMATIVA[[#This Row],[QT_CANA_REST2]])</f>
        <v>2198.67</v>
      </c>
      <c r="AG530" s="1" t="str">
        <f>IF(COUNTIFS(GEADA!A:A,VALUE(ESTIMATIVA[[#This Row],[CD_UPNIVEL1]]&amp;TEXT(ESTIMATIVA[[#This Row],[CD_UPNIVEL3]],"0000")))&gt;0,"S","N")</f>
        <v>N</v>
      </c>
      <c r="AH53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30" s="55" t="str">
        <f>IF(ESTIMATIVA[[#This Row],[TP_CULTIVO]]="Irrigado",_xlfn.MAXIFS(IRRIGADO!J:J,IRRIGADO!C:C,ESTIMATIVA[[#This Row],[CD_UPNIVEL1]],IRRIGADO!E:E,ESTIMATIVA[[#This Row],[CD_UPNIVEL3]]),"")</f>
        <v/>
      </c>
      <c r="AJ53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30" s="1">
        <f>COUNTIFS(Apresentação!$E$23:$E$29,ESTIMATIVA[[#This Row],[CD_UPNIVEL1]])</f>
        <v>0</v>
      </c>
    </row>
    <row r="531" spans="1:37" x14ac:dyDescent="0.3">
      <c r="A531">
        <v>20315</v>
      </c>
      <c r="B531" t="s">
        <v>28</v>
      </c>
      <c r="C531">
        <v>38</v>
      </c>
      <c r="D531">
        <v>3</v>
      </c>
      <c r="E531" t="s">
        <v>263</v>
      </c>
      <c r="F531" s="85" t="s">
        <v>332</v>
      </c>
      <c r="G531"/>
      <c r="H531" t="s">
        <v>295</v>
      </c>
      <c r="I531" t="s">
        <v>197</v>
      </c>
      <c r="J531" t="s">
        <v>174</v>
      </c>
      <c r="K531" s="1">
        <v>11.22</v>
      </c>
      <c r="L531" s="1">
        <v>11.22</v>
      </c>
      <c r="M531" s="1">
        <v>0</v>
      </c>
      <c r="N531" s="1">
        <v>11.22</v>
      </c>
      <c r="O531" s="1">
        <v>897.6</v>
      </c>
      <c r="P531" s="1">
        <v>920.04</v>
      </c>
      <c r="Q531" s="1">
        <v>0</v>
      </c>
      <c r="R531" s="1">
        <v>945.57</v>
      </c>
      <c r="S531" t="s">
        <v>12</v>
      </c>
      <c r="T531" s="13">
        <v>45893</v>
      </c>
      <c r="U531" s="1" t="str">
        <f>IF(ESTIMATIVA[[#This Row],[QT_AREA_REAL]]&gt;0,"1- Colhido","2- à Colher")</f>
        <v>1- Colhido</v>
      </c>
      <c r="V531" s="1" t="str">
        <f>IF(ESTIMATIVA[[#This Row],[QT_AREA_REST1]]&gt;0,"Reestimativa 1",IF(ESTIMATIVA[[#This Row],[QT_AREA_REAL]]=0,"Reestimativa 1","Realizado"))</f>
        <v>Reestimativa 1</v>
      </c>
      <c r="W531" s="1" t="str">
        <f>IF(ESTIMATIVA[[#This Row],[QT_AREA_REST2]]&gt;0,"Reestimativa 2",IF(ESTIMATIVA[[#This Row],[QT_AREA_REAL]]=0,"Reestimativa 2","Realizado"))</f>
        <v>Realizado</v>
      </c>
      <c r="X531" s="1">
        <f>ESTIMATIVA[[#This Row],[QT_AREA_EST]]</f>
        <v>11.22</v>
      </c>
      <c r="Y531" s="1">
        <f>IF(ESTIMATIVA[[#This Row],[QT_AREA_REST1]]&gt;0,ESTIMATIVA[[#This Row],[QT_AREA_REST1]],
  IF(ESTIMATIVA[[#This Row],[QT_AREA_REAL]]&gt;0,ESTIMATIVA[[#This Row],[QT_AREA_REAL]],ESTIMATIVA[[#This Row],[QT_AREA_EST]]))</f>
        <v>11.22</v>
      </c>
      <c r="Z53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11.22</v>
      </c>
      <c r="AA531" s="1">
        <f>ESTIMATIVA[[#This Row],[QT_CANA_EST]]</f>
        <v>897.6</v>
      </c>
      <c r="AB531" s="1">
        <f>IF(ESTIMATIVA[[#This Row],[QT_CANA_REST1]]&gt;0,ESTIMATIVA[[#This Row],[QT_CANA_REST1]],
  IF(ESTIMATIVA[[#This Row],[QT_CANA_REAL]]&gt;0,ESTIMATIVA[[#This Row],[QT_CANA_REAL]],ESTIMATIVA[[#This Row],[QT_CANA_EST]]))</f>
        <v>920.04</v>
      </c>
      <c r="AC53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945.57</v>
      </c>
      <c r="AD531" s="1">
        <f>IF(ESTIMATIVA[[#This Row],[QT_AREA_REAL]]&gt;0,ESTIMATIVA[[#This Row],[QT_CANA_REAL]],ESTIMATIVA[[#This Row],[QT_CANA_EST]])</f>
        <v>945.57</v>
      </c>
      <c r="AE531" s="1">
        <f>IF(ESTIMATIVA[[#This Row],[QT_AREA_REAL]]&gt;0,ESTIMATIVA[[#This Row],[QT_CANA_REAL]],ESTIMATIVA[[#This Row],[QT_CANA_REST1]])</f>
        <v>945.57</v>
      </c>
      <c r="AF531" s="1">
        <f>IF(ESTIMATIVA[[#This Row],[QT_AREA_REAL]]&gt;0,ESTIMATIVA[[#This Row],[QT_CANA_REAL]],ESTIMATIVA[[#This Row],[QT_CANA_REST2]])</f>
        <v>945.57</v>
      </c>
      <c r="AG531" s="1" t="str">
        <f>IF(COUNTIFS(GEADA!A:A,VALUE(ESTIMATIVA[[#This Row],[CD_UPNIVEL1]]&amp;TEXT(ESTIMATIVA[[#This Row],[CD_UPNIVEL3]],"0000")))&gt;0,"S","N")</f>
        <v>N</v>
      </c>
      <c r="AH53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31" s="55" t="str">
        <f>IF(ESTIMATIVA[[#This Row],[TP_CULTIVO]]="Irrigado",_xlfn.MAXIFS(IRRIGADO!J:J,IRRIGADO!C:C,ESTIMATIVA[[#This Row],[CD_UPNIVEL1]],IRRIGADO!E:E,ESTIMATIVA[[#This Row],[CD_UPNIVEL3]]),"")</f>
        <v/>
      </c>
      <c r="AJ53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31" s="1">
        <f>COUNTIFS(Apresentação!$E$23:$E$29,ESTIMATIVA[[#This Row],[CD_UPNIVEL1]])</f>
        <v>0</v>
      </c>
    </row>
    <row r="532" spans="1:37" x14ac:dyDescent="0.3">
      <c r="A532">
        <v>20315</v>
      </c>
      <c r="B532" t="s">
        <v>28</v>
      </c>
      <c r="C532">
        <v>39</v>
      </c>
      <c r="D532">
        <v>3</v>
      </c>
      <c r="E532" t="s">
        <v>263</v>
      </c>
      <c r="F532" s="85" t="s">
        <v>332</v>
      </c>
      <c r="G532"/>
      <c r="H532" t="s">
        <v>295</v>
      </c>
      <c r="I532" t="s">
        <v>197</v>
      </c>
      <c r="J532" t="s">
        <v>174</v>
      </c>
      <c r="K532" s="1">
        <v>10.36</v>
      </c>
      <c r="L532" s="1">
        <v>10.36</v>
      </c>
      <c r="M532" s="1">
        <v>0</v>
      </c>
      <c r="N532" s="1">
        <v>10.36</v>
      </c>
      <c r="O532" s="1">
        <v>828.8</v>
      </c>
      <c r="P532" s="1">
        <v>849.52</v>
      </c>
      <c r="Q532" s="1">
        <v>0</v>
      </c>
      <c r="R532" s="1">
        <v>778.9</v>
      </c>
      <c r="S532" t="s">
        <v>12</v>
      </c>
      <c r="T532" s="13">
        <v>45893</v>
      </c>
      <c r="U532" s="1" t="str">
        <f>IF(ESTIMATIVA[[#This Row],[QT_AREA_REAL]]&gt;0,"1- Colhido","2- à Colher")</f>
        <v>1- Colhido</v>
      </c>
      <c r="V532" s="1" t="str">
        <f>IF(ESTIMATIVA[[#This Row],[QT_AREA_REST1]]&gt;0,"Reestimativa 1",IF(ESTIMATIVA[[#This Row],[QT_AREA_REAL]]=0,"Reestimativa 1","Realizado"))</f>
        <v>Reestimativa 1</v>
      </c>
      <c r="W532" s="1" t="str">
        <f>IF(ESTIMATIVA[[#This Row],[QT_AREA_REST2]]&gt;0,"Reestimativa 2",IF(ESTIMATIVA[[#This Row],[QT_AREA_REAL]]=0,"Reestimativa 2","Realizado"))</f>
        <v>Realizado</v>
      </c>
      <c r="X532" s="1">
        <f>ESTIMATIVA[[#This Row],[QT_AREA_EST]]</f>
        <v>10.36</v>
      </c>
      <c r="Y532" s="1">
        <f>IF(ESTIMATIVA[[#This Row],[QT_AREA_REST1]]&gt;0,ESTIMATIVA[[#This Row],[QT_AREA_REST1]],
  IF(ESTIMATIVA[[#This Row],[QT_AREA_REAL]]&gt;0,ESTIMATIVA[[#This Row],[QT_AREA_REAL]],ESTIMATIVA[[#This Row],[QT_AREA_EST]]))</f>
        <v>10.36</v>
      </c>
      <c r="Z53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10.36</v>
      </c>
      <c r="AA532" s="1">
        <f>ESTIMATIVA[[#This Row],[QT_CANA_EST]]</f>
        <v>828.8</v>
      </c>
      <c r="AB532" s="1">
        <f>IF(ESTIMATIVA[[#This Row],[QT_CANA_REST1]]&gt;0,ESTIMATIVA[[#This Row],[QT_CANA_REST1]],
  IF(ESTIMATIVA[[#This Row],[QT_CANA_REAL]]&gt;0,ESTIMATIVA[[#This Row],[QT_CANA_REAL]],ESTIMATIVA[[#This Row],[QT_CANA_EST]]))</f>
        <v>849.52</v>
      </c>
      <c r="AC53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778.9</v>
      </c>
      <c r="AD532" s="1">
        <f>IF(ESTIMATIVA[[#This Row],[QT_AREA_REAL]]&gt;0,ESTIMATIVA[[#This Row],[QT_CANA_REAL]],ESTIMATIVA[[#This Row],[QT_CANA_EST]])</f>
        <v>778.9</v>
      </c>
      <c r="AE532" s="1">
        <f>IF(ESTIMATIVA[[#This Row],[QT_AREA_REAL]]&gt;0,ESTIMATIVA[[#This Row],[QT_CANA_REAL]],ESTIMATIVA[[#This Row],[QT_CANA_REST1]])</f>
        <v>778.9</v>
      </c>
      <c r="AF532" s="1">
        <f>IF(ESTIMATIVA[[#This Row],[QT_AREA_REAL]]&gt;0,ESTIMATIVA[[#This Row],[QT_CANA_REAL]],ESTIMATIVA[[#This Row],[QT_CANA_REST2]])</f>
        <v>778.9</v>
      </c>
      <c r="AG532" s="1" t="str">
        <f>IF(COUNTIFS(GEADA!A:A,VALUE(ESTIMATIVA[[#This Row],[CD_UPNIVEL1]]&amp;TEXT(ESTIMATIVA[[#This Row],[CD_UPNIVEL3]],"0000")))&gt;0,"S","N")</f>
        <v>N</v>
      </c>
      <c r="AH53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32" s="55" t="str">
        <f>IF(ESTIMATIVA[[#This Row],[TP_CULTIVO]]="Irrigado",_xlfn.MAXIFS(IRRIGADO!J:J,IRRIGADO!C:C,ESTIMATIVA[[#This Row],[CD_UPNIVEL1]],IRRIGADO!E:E,ESTIMATIVA[[#This Row],[CD_UPNIVEL3]]),"")</f>
        <v/>
      </c>
      <c r="AJ53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32" s="1">
        <f>COUNTIFS(Apresentação!$E$23:$E$29,ESTIMATIVA[[#This Row],[CD_UPNIVEL1]])</f>
        <v>0</v>
      </c>
    </row>
    <row r="533" spans="1:37" x14ac:dyDescent="0.3">
      <c r="A533">
        <v>20315</v>
      </c>
      <c r="B533" t="s">
        <v>28</v>
      </c>
      <c r="C533">
        <v>40</v>
      </c>
      <c r="D533">
        <v>3</v>
      </c>
      <c r="E533" t="s">
        <v>263</v>
      </c>
      <c r="F533" s="85" t="s">
        <v>332</v>
      </c>
      <c r="G533"/>
      <c r="H533" t="s">
        <v>295</v>
      </c>
      <c r="I533" t="s">
        <v>197</v>
      </c>
      <c r="J533" t="s">
        <v>174</v>
      </c>
      <c r="K533" s="1">
        <v>21.56</v>
      </c>
      <c r="L533" s="1">
        <v>21.56</v>
      </c>
      <c r="M533" s="1">
        <v>0</v>
      </c>
      <c r="N533" s="1">
        <v>21.56</v>
      </c>
      <c r="O533" s="1">
        <v>1724.8</v>
      </c>
      <c r="P533" s="1">
        <v>1767.92</v>
      </c>
      <c r="Q533" s="1">
        <v>0</v>
      </c>
      <c r="R533" s="1">
        <v>1620.19</v>
      </c>
      <c r="S533" t="s">
        <v>12</v>
      </c>
      <c r="T533" s="13">
        <v>45893</v>
      </c>
      <c r="U533" s="1" t="str">
        <f>IF(ESTIMATIVA[[#This Row],[QT_AREA_REAL]]&gt;0,"1- Colhido","2- à Colher")</f>
        <v>1- Colhido</v>
      </c>
      <c r="V533" s="1" t="str">
        <f>IF(ESTIMATIVA[[#This Row],[QT_AREA_REST1]]&gt;0,"Reestimativa 1",IF(ESTIMATIVA[[#This Row],[QT_AREA_REAL]]=0,"Reestimativa 1","Realizado"))</f>
        <v>Reestimativa 1</v>
      </c>
      <c r="W533" s="1" t="str">
        <f>IF(ESTIMATIVA[[#This Row],[QT_AREA_REST2]]&gt;0,"Reestimativa 2",IF(ESTIMATIVA[[#This Row],[QT_AREA_REAL]]=0,"Reestimativa 2","Realizado"))</f>
        <v>Realizado</v>
      </c>
      <c r="X533" s="1">
        <f>ESTIMATIVA[[#This Row],[QT_AREA_EST]]</f>
        <v>21.56</v>
      </c>
      <c r="Y533" s="1">
        <f>IF(ESTIMATIVA[[#This Row],[QT_AREA_REST1]]&gt;0,ESTIMATIVA[[#This Row],[QT_AREA_REST1]],
  IF(ESTIMATIVA[[#This Row],[QT_AREA_REAL]]&gt;0,ESTIMATIVA[[#This Row],[QT_AREA_REAL]],ESTIMATIVA[[#This Row],[QT_AREA_EST]]))</f>
        <v>21.56</v>
      </c>
      <c r="Z53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21.56</v>
      </c>
      <c r="AA533" s="1">
        <f>ESTIMATIVA[[#This Row],[QT_CANA_EST]]</f>
        <v>1724.8</v>
      </c>
      <c r="AB533" s="1">
        <f>IF(ESTIMATIVA[[#This Row],[QT_CANA_REST1]]&gt;0,ESTIMATIVA[[#This Row],[QT_CANA_REST1]],
  IF(ESTIMATIVA[[#This Row],[QT_CANA_REAL]]&gt;0,ESTIMATIVA[[#This Row],[QT_CANA_REAL]],ESTIMATIVA[[#This Row],[QT_CANA_EST]]))</f>
        <v>1767.92</v>
      </c>
      <c r="AC53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1620.19</v>
      </c>
      <c r="AD533" s="1">
        <f>IF(ESTIMATIVA[[#This Row],[QT_AREA_REAL]]&gt;0,ESTIMATIVA[[#This Row],[QT_CANA_REAL]],ESTIMATIVA[[#This Row],[QT_CANA_EST]])</f>
        <v>1620.19</v>
      </c>
      <c r="AE533" s="1">
        <f>IF(ESTIMATIVA[[#This Row],[QT_AREA_REAL]]&gt;0,ESTIMATIVA[[#This Row],[QT_CANA_REAL]],ESTIMATIVA[[#This Row],[QT_CANA_REST1]])</f>
        <v>1620.19</v>
      </c>
      <c r="AF533" s="1">
        <f>IF(ESTIMATIVA[[#This Row],[QT_AREA_REAL]]&gt;0,ESTIMATIVA[[#This Row],[QT_CANA_REAL]],ESTIMATIVA[[#This Row],[QT_CANA_REST2]])</f>
        <v>1620.19</v>
      </c>
      <c r="AG533" s="1" t="str">
        <f>IF(COUNTIFS(GEADA!A:A,VALUE(ESTIMATIVA[[#This Row],[CD_UPNIVEL1]]&amp;TEXT(ESTIMATIVA[[#This Row],[CD_UPNIVEL3]],"0000")))&gt;0,"S","N")</f>
        <v>N</v>
      </c>
      <c r="AH53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33" s="55" t="str">
        <f>IF(ESTIMATIVA[[#This Row],[TP_CULTIVO]]="Irrigado",_xlfn.MAXIFS(IRRIGADO!J:J,IRRIGADO!C:C,ESTIMATIVA[[#This Row],[CD_UPNIVEL1]],IRRIGADO!E:E,ESTIMATIVA[[#This Row],[CD_UPNIVEL3]]),"")</f>
        <v/>
      </c>
      <c r="AJ53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33" s="1">
        <f>COUNTIFS(Apresentação!$E$23:$E$29,ESTIMATIVA[[#This Row],[CD_UPNIVEL1]])</f>
        <v>0</v>
      </c>
    </row>
    <row r="534" spans="1:37" x14ac:dyDescent="0.3">
      <c r="A534">
        <v>20315</v>
      </c>
      <c r="B534" t="s">
        <v>28</v>
      </c>
      <c r="C534">
        <v>41</v>
      </c>
      <c r="D534">
        <v>3</v>
      </c>
      <c r="E534" t="s">
        <v>263</v>
      </c>
      <c r="F534" s="85" t="s">
        <v>332</v>
      </c>
      <c r="G534"/>
      <c r="H534" t="s">
        <v>295</v>
      </c>
      <c r="I534" t="s">
        <v>197</v>
      </c>
      <c r="J534" t="s">
        <v>174</v>
      </c>
      <c r="K534" s="1">
        <v>17.75</v>
      </c>
      <c r="L534" s="1">
        <v>17.75</v>
      </c>
      <c r="M534" s="1">
        <v>0</v>
      </c>
      <c r="N534" s="1">
        <v>17.75</v>
      </c>
      <c r="O534" s="1">
        <v>1597.5</v>
      </c>
      <c r="P534" s="1">
        <v>1615.25</v>
      </c>
      <c r="Q534" s="1">
        <v>0</v>
      </c>
      <c r="R534" s="1">
        <v>1451.01</v>
      </c>
      <c r="S534" t="s">
        <v>12</v>
      </c>
      <c r="T534" s="13">
        <v>45893</v>
      </c>
      <c r="U534" s="1" t="str">
        <f>IF(ESTIMATIVA[[#This Row],[QT_AREA_REAL]]&gt;0,"1- Colhido","2- à Colher")</f>
        <v>1- Colhido</v>
      </c>
      <c r="V534" s="1" t="str">
        <f>IF(ESTIMATIVA[[#This Row],[QT_AREA_REST1]]&gt;0,"Reestimativa 1",IF(ESTIMATIVA[[#This Row],[QT_AREA_REAL]]=0,"Reestimativa 1","Realizado"))</f>
        <v>Reestimativa 1</v>
      </c>
      <c r="W534" s="1" t="str">
        <f>IF(ESTIMATIVA[[#This Row],[QT_AREA_REST2]]&gt;0,"Reestimativa 2",IF(ESTIMATIVA[[#This Row],[QT_AREA_REAL]]=0,"Reestimativa 2","Realizado"))</f>
        <v>Realizado</v>
      </c>
      <c r="X534" s="1">
        <f>ESTIMATIVA[[#This Row],[QT_AREA_EST]]</f>
        <v>17.75</v>
      </c>
      <c r="Y534" s="1">
        <f>IF(ESTIMATIVA[[#This Row],[QT_AREA_REST1]]&gt;0,ESTIMATIVA[[#This Row],[QT_AREA_REST1]],
  IF(ESTIMATIVA[[#This Row],[QT_AREA_REAL]]&gt;0,ESTIMATIVA[[#This Row],[QT_AREA_REAL]],ESTIMATIVA[[#This Row],[QT_AREA_EST]]))</f>
        <v>17.75</v>
      </c>
      <c r="Z53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17.75</v>
      </c>
      <c r="AA534" s="1">
        <f>ESTIMATIVA[[#This Row],[QT_CANA_EST]]</f>
        <v>1597.5</v>
      </c>
      <c r="AB534" s="1">
        <f>IF(ESTIMATIVA[[#This Row],[QT_CANA_REST1]]&gt;0,ESTIMATIVA[[#This Row],[QT_CANA_REST1]],
  IF(ESTIMATIVA[[#This Row],[QT_CANA_REAL]]&gt;0,ESTIMATIVA[[#This Row],[QT_CANA_REAL]],ESTIMATIVA[[#This Row],[QT_CANA_EST]]))</f>
        <v>1615.25</v>
      </c>
      <c r="AC53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1451.01</v>
      </c>
      <c r="AD534" s="1">
        <f>IF(ESTIMATIVA[[#This Row],[QT_AREA_REAL]]&gt;0,ESTIMATIVA[[#This Row],[QT_CANA_REAL]],ESTIMATIVA[[#This Row],[QT_CANA_EST]])</f>
        <v>1451.01</v>
      </c>
      <c r="AE534" s="1">
        <f>IF(ESTIMATIVA[[#This Row],[QT_AREA_REAL]]&gt;0,ESTIMATIVA[[#This Row],[QT_CANA_REAL]],ESTIMATIVA[[#This Row],[QT_CANA_REST1]])</f>
        <v>1451.01</v>
      </c>
      <c r="AF534" s="1">
        <f>IF(ESTIMATIVA[[#This Row],[QT_AREA_REAL]]&gt;0,ESTIMATIVA[[#This Row],[QT_CANA_REAL]],ESTIMATIVA[[#This Row],[QT_CANA_REST2]])</f>
        <v>1451.01</v>
      </c>
      <c r="AG534" s="1" t="str">
        <f>IF(COUNTIFS(GEADA!A:A,VALUE(ESTIMATIVA[[#This Row],[CD_UPNIVEL1]]&amp;TEXT(ESTIMATIVA[[#This Row],[CD_UPNIVEL3]],"0000")))&gt;0,"S","N")</f>
        <v>N</v>
      </c>
      <c r="AH53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34" s="55" t="str">
        <f>IF(ESTIMATIVA[[#This Row],[TP_CULTIVO]]="Irrigado",_xlfn.MAXIFS(IRRIGADO!J:J,IRRIGADO!C:C,ESTIMATIVA[[#This Row],[CD_UPNIVEL1]],IRRIGADO!E:E,ESTIMATIVA[[#This Row],[CD_UPNIVEL3]]),"")</f>
        <v/>
      </c>
      <c r="AJ53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34" s="1">
        <f>COUNTIFS(Apresentação!$E$23:$E$29,ESTIMATIVA[[#This Row],[CD_UPNIVEL1]])</f>
        <v>0</v>
      </c>
    </row>
    <row r="535" spans="1:37" x14ac:dyDescent="0.3">
      <c r="A535">
        <v>20315</v>
      </c>
      <c r="B535" t="s">
        <v>28</v>
      </c>
      <c r="C535">
        <v>42</v>
      </c>
      <c r="D535">
        <v>3</v>
      </c>
      <c r="E535" t="s">
        <v>263</v>
      </c>
      <c r="F535" s="85" t="s">
        <v>332</v>
      </c>
      <c r="G535"/>
      <c r="H535" t="s">
        <v>295</v>
      </c>
      <c r="I535" t="s">
        <v>197</v>
      </c>
      <c r="J535" t="s">
        <v>174</v>
      </c>
      <c r="K535" s="1">
        <v>8.25</v>
      </c>
      <c r="L535" s="1">
        <v>8.25</v>
      </c>
      <c r="M535" s="1">
        <v>0</v>
      </c>
      <c r="N535" s="1">
        <v>8.25</v>
      </c>
      <c r="O535" s="1">
        <v>742.5</v>
      </c>
      <c r="P535" s="1">
        <v>750.75</v>
      </c>
      <c r="Q535" s="1">
        <v>0</v>
      </c>
      <c r="R535" s="1">
        <v>674.68</v>
      </c>
      <c r="S535" t="s">
        <v>12</v>
      </c>
      <c r="T535" s="13">
        <v>45893</v>
      </c>
      <c r="U535" s="1" t="str">
        <f>IF(ESTIMATIVA[[#This Row],[QT_AREA_REAL]]&gt;0,"1- Colhido","2- à Colher")</f>
        <v>1- Colhido</v>
      </c>
      <c r="V535" s="1" t="str">
        <f>IF(ESTIMATIVA[[#This Row],[QT_AREA_REST1]]&gt;0,"Reestimativa 1",IF(ESTIMATIVA[[#This Row],[QT_AREA_REAL]]=0,"Reestimativa 1","Realizado"))</f>
        <v>Reestimativa 1</v>
      </c>
      <c r="W535" s="1" t="str">
        <f>IF(ESTIMATIVA[[#This Row],[QT_AREA_REST2]]&gt;0,"Reestimativa 2",IF(ESTIMATIVA[[#This Row],[QT_AREA_REAL]]=0,"Reestimativa 2","Realizado"))</f>
        <v>Realizado</v>
      </c>
      <c r="X535" s="1">
        <f>ESTIMATIVA[[#This Row],[QT_AREA_EST]]</f>
        <v>8.25</v>
      </c>
      <c r="Y535" s="1">
        <f>IF(ESTIMATIVA[[#This Row],[QT_AREA_REST1]]&gt;0,ESTIMATIVA[[#This Row],[QT_AREA_REST1]],
  IF(ESTIMATIVA[[#This Row],[QT_AREA_REAL]]&gt;0,ESTIMATIVA[[#This Row],[QT_AREA_REAL]],ESTIMATIVA[[#This Row],[QT_AREA_EST]]))</f>
        <v>8.25</v>
      </c>
      <c r="Z53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8.25</v>
      </c>
      <c r="AA535" s="1">
        <f>ESTIMATIVA[[#This Row],[QT_CANA_EST]]</f>
        <v>742.5</v>
      </c>
      <c r="AB535" s="1">
        <f>IF(ESTIMATIVA[[#This Row],[QT_CANA_REST1]]&gt;0,ESTIMATIVA[[#This Row],[QT_CANA_REST1]],
  IF(ESTIMATIVA[[#This Row],[QT_CANA_REAL]]&gt;0,ESTIMATIVA[[#This Row],[QT_CANA_REAL]],ESTIMATIVA[[#This Row],[QT_CANA_EST]]))</f>
        <v>750.75</v>
      </c>
      <c r="AC53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674.68</v>
      </c>
      <c r="AD535" s="1">
        <f>IF(ESTIMATIVA[[#This Row],[QT_AREA_REAL]]&gt;0,ESTIMATIVA[[#This Row],[QT_CANA_REAL]],ESTIMATIVA[[#This Row],[QT_CANA_EST]])</f>
        <v>674.68</v>
      </c>
      <c r="AE535" s="1">
        <f>IF(ESTIMATIVA[[#This Row],[QT_AREA_REAL]]&gt;0,ESTIMATIVA[[#This Row],[QT_CANA_REAL]],ESTIMATIVA[[#This Row],[QT_CANA_REST1]])</f>
        <v>674.68</v>
      </c>
      <c r="AF535" s="1">
        <f>IF(ESTIMATIVA[[#This Row],[QT_AREA_REAL]]&gt;0,ESTIMATIVA[[#This Row],[QT_CANA_REAL]],ESTIMATIVA[[#This Row],[QT_CANA_REST2]])</f>
        <v>674.68</v>
      </c>
      <c r="AG535" s="1" t="str">
        <f>IF(COUNTIFS(GEADA!A:A,VALUE(ESTIMATIVA[[#This Row],[CD_UPNIVEL1]]&amp;TEXT(ESTIMATIVA[[#This Row],[CD_UPNIVEL3]],"0000")))&gt;0,"S","N")</f>
        <v>N</v>
      </c>
      <c r="AH53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35" s="55" t="str">
        <f>IF(ESTIMATIVA[[#This Row],[TP_CULTIVO]]="Irrigado",_xlfn.MAXIFS(IRRIGADO!J:J,IRRIGADO!C:C,ESTIMATIVA[[#This Row],[CD_UPNIVEL1]],IRRIGADO!E:E,ESTIMATIVA[[#This Row],[CD_UPNIVEL3]]),"")</f>
        <v/>
      </c>
      <c r="AJ53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35" s="1">
        <f>COUNTIFS(Apresentação!$E$23:$E$29,ESTIMATIVA[[#This Row],[CD_UPNIVEL1]])</f>
        <v>0</v>
      </c>
    </row>
    <row r="536" spans="1:37" x14ac:dyDescent="0.3">
      <c r="A536">
        <v>20315</v>
      </c>
      <c r="B536" t="s">
        <v>28</v>
      </c>
      <c r="C536">
        <v>43</v>
      </c>
      <c r="D536">
        <v>3</v>
      </c>
      <c r="E536" t="s">
        <v>263</v>
      </c>
      <c r="F536" s="85" t="s">
        <v>332</v>
      </c>
      <c r="G536"/>
      <c r="H536" t="s">
        <v>295</v>
      </c>
      <c r="I536" t="s">
        <v>197</v>
      </c>
      <c r="J536" t="s">
        <v>174</v>
      </c>
      <c r="K536" s="1">
        <v>26.07</v>
      </c>
      <c r="L536" s="1">
        <v>26.07</v>
      </c>
      <c r="M536" s="1">
        <v>0</v>
      </c>
      <c r="N536" s="1">
        <v>26.07</v>
      </c>
      <c r="O536" s="1">
        <v>2346.3000000000002</v>
      </c>
      <c r="P536" s="1">
        <v>2372.37</v>
      </c>
      <c r="Q536" s="1">
        <v>0</v>
      </c>
      <c r="R536" s="1">
        <v>2131.21</v>
      </c>
      <c r="S536" t="s">
        <v>12</v>
      </c>
      <c r="T536" s="13">
        <v>45893</v>
      </c>
      <c r="U536" s="1" t="str">
        <f>IF(ESTIMATIVA[[#This Row],[QT_AREA_REAL]]&gt;0,"1- Colhido","2- à Colher")</f>
        <v>1- Colhido</v>
      </c>
      <c r="V536" s="1" t="str">
        <f>IF(ESTIMATIVA[[#This Row],[QT_AREA_REST1]]&gt;0,"Reestimativa 1",IF(ESTIMATIVA[[#This Row],[QT_AREA_REAL]]=0,"Reestimativa 1","Realizado"))</f>
        <v>Reestimativa 1</v>
      </c>
      <c r="W536" s="1" t="str">
        <f>IF(ESTIMATIVA[[#This Row],[QT_AREA_REST2]]&gt;0,"Reestimativa 2",IF(ESTIMATIVA[[#This Row],[QT_AREA_REAL]]=0,"Reestimativa 2","Realizado"))</f>
        <v>Realizado</v>
      </c>
      <c r="X536" s="1">
        <f>ESTIMATIVA[[#This Row],[QT_AREA_EST]]</f>
        <v>26.07</v>
      </c>
      <c r="Y536" s="1">
        <f>IF(ESTIMATIVA[[#This Row],[QT_AREA_REST1]]&gt;0,ESTIMATIVA[[#This Row],[QT_AREA_REST1]],
  IF(ESTIMATIVA[[#This Row],[QT_AREA_REAL]]&gt;0,ESTIMATIVA[[#This Row],[QT_AREA_REAL]],ESTIMATIVA[[#This Row],[QT_AREA_EST]]))</f>
        <v>26.07</v>
      </c>
      <c r="Z53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26.07</v>
      </c>
      <c r="AA536" s="1">
        <f>ESTIMATIVA[[#This Row],[QT_CANA_EST]]</f>
        <v>2346.3000000000002</v>
      </c>
      <c r="AB536" s="1">
        <f>IF(ESTIMATIVA[[#This Row],[QT_CANA_REST1]]&gt;0,ESTIMATIVA[[#This Row],[QT_CANA_REST1]],
  IF(ESTIMATIVA[[#This Row],[QT_CANA_REAL]]&gt;0,ESTIMATIVA[[#This Row],[QT_CANA_REAL]],ESTIMATIVA[[#This Row],[QT_CANA_EST]]))</f>
        <v>2372.37</v>
      </c>
      <c r="AC53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2131.21</v>
      </c>
      <c r="AD536" s="1">
        <f>IF(ESTIMATIVA[[#This Row],[QT_AREA_REAL]]&gt;0,ESTIMATIVA[[#This Row],[QT_CANA_REAL]],ESTIMATIVA[[#This Row],[QT_CANA_EST]])</f>
        <v>2131.21</v>
      </c>
      <c r="AE536" s="1">
        <f>IF(ESTIMATIVA[[#This Row],[QT_AREA_REAL]]&gt;0,ESTIMATIVA[[#This Row],[QT_CANA_REAL]],ESTIMATIVA[[#This Row],[QT_CANA_REST1]])</f>
        <v>2131.21</v>
      </c>
      <c r="AF536" s="1">
        <f>IF(ESTIMATIVA[[#This Row],[QT_AREA_REAL]]&gt;0,ESTIMATIVA[[#This Row],[QT_CANA_REAL]],ESTIMATIVA[[#This Row],[QT_CANA_REST2]])</f>
        <v>2131.21</v>
      </c>
      <c r="AG536" s="1" t="str">
        <f>IF(COUNTIFS(GEADA!A:A,VALUE(ESTIMATIVA[[#This Row],[CD_UPNIVEL1]]&amp;TEXT(ESTIMATIVA[[#This Row],[CD_UPNIVEL3]],"0000")))&gt;0,"S","N")</f>
        <v>N</v>
      </c>
      <c r="AH53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36" s="55" t="str">
        <f>IF(ESTIMATIVA[[#This Row],[TP_CULTIVO]]="Irrigado",_xlfn.MAXIFS(IRRIGADO!J:J,IRRIGADO!C:C,ESTIMATIVA[[#This Row],[CD_UPNIVEL1]],IRRIGADO!E:E,ESTIMATIVA[[#This Row],[CD_UPNIVEL3]]),"")</f>
        <v/>
      </c>
      <c r="AJ53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36" s="1">
        <f>COUNTIFS(Apresentação!$E$23:$E$29,ESTIMATIVA[[#This Row],[CD_UPNIVEL1]])</f>
        <v>0</v>
      </c>
    </row>
    <row r="537" spans="1:37" x14ac:dyDescent="0.3">
      <c r="A537">
        <v>20315</v>
      </c>
      <c r="B537" t="s">
        <v>28</v>
      </c>
      <c r="C537">
        <v>44</v>
      </c>
      <c r="D537">
        <v>3</v>
      </c>
      <c r="E537" t="s">
        <v>263</v>
      </c>
      <c r="F537" s="85" t="s">
        <v>332</v>
      </c>
      <c r="G537"/>
      <c r="H537" t="s">
        <v>295</v>
      </c>
      <c r="I537" t="s">
        <v>197</v>
      </c>
      <c r="J537" t="s">
        <v>174</v>
      </c>
      <c r="K537" s="1">
        <v>33.119999999999997</v>
      </c>
      <c r="L537" s="1">
        <v>33.119999999999997</v>
      </c>
      <c r="M537" s="1">
        <v>0</v>
      </c>
      <c r="N537" s="1">
        <v>33.119999999999997</v>
      </c>
      <c r="O537" s="1">
        <v>2980.8</v>
      </c>
      <c r="P537" s="1">
        <v>3013.92</v>
      </c>
      <c r="Q537" s="1">
        <v>0</v>
      </c>
      <c r="R537" s="1">
        <v>2708.49</v>
      </c>
      <c r="S537" t="s">
        <v>12</v>
      </c>
      <c r="T537" s="13">
        <v>45893</v>
      </c>
      <c r="U537" s="1" t="str">
        <f>IF(ESTIMATIVA[[#This Row],[QT_AREA_REAL]]&gt;0,"1- Colhido","2- à Colher")</f>
        <v>1- Colhido</v>
      </c>
      <c r="V537" s="1" t="str">
        <f>IF(ESTIMATIVA[[#This Row],[QT_AREA_REST1]]&gt;0,"Reestimativa 1",IF(ESTIMATIVA[[#This Row],[QT_AREA_REAL]]=0,"Reestimativa 1","Realizado"))</f>
        <v>Reestimativa 1</v>
      </c>
      <c r="W537" s="1" t="str">
        <f>IF(ESTIMATIVA[[#This Row],[QT_AREA_REST2]]&gt;0,"Reestimativa 2",IF(ESTIMATIVA[[#This Row],[QT_AREA_REAL]]=0,"Reestimativa 2","Realizado"))</f>
        <v>Realizado</v>
      </c>
      <c r="X537" s="1">
        <f>ESTIMATIVA[[#This Row],[QT_AREA_EST]]</f>
        <v>33.119999999999997</v>
      </c>
      <c r="Y537" s="1">
        <f>IF(ESTIMATIVA[[#This Row],[QT_AREA_REST1]]&gt;0,ESTIMATIVA[[#This Row],[QT_AREA_REST1]],
  IF(ESTIMATIVA[[#This Row],[QT_AREA_REAL]]&gt;0,ESTIMATIVA[[#This Row],[QT_AREA_REAL]],ESTIMATIVA[[#This Row],[QT_AREA_EST]]))</f>
        <v>33.119999999999997</v>
      </c>
      <c r="Z53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33.119999999999997</v>
      </c>
      <c r="AA537" s="1">
        <f>ESTIMATIVA[[#This Row],[QT_CANA_EST]]</f>
        <v>2980.8</v>
      </c>
      <c r="AB537" s="1">
        <f>IF(ESTIMATIVA[[#This Row],[QT_CANA_REST1]]&gt;0,ESTIMATIVA[[#This Row],[QT_CANA_REST1]],
  IF(ESTIMATIVA[[#This Row],[QT_CANA_REAL]]&gt;0,ESTIMATIVA[[#This Row],[QT_CANA_REAL]],ESTIMATIVA[[#This Row],[QT_CANA_EST]]))</f>
        <v>3013.92</v>
      </c>
      <c r="AC53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2708.49</v>
      </c>
      <c r="AD537" s="1">
        <f>IF(ESTIMATIVA[[#This Row],[QT_AREA_REAL]]&gt;0,ESTIMATIVA[[#This Row],[QT_CANA_REAL]],ESTIMATIVA[[#This Row],[QT_CANA_EST]])</f>
        <v>2708.49</v>
      </c>
      <c r="AE537" s="1">
        <f>IF(ESTIMATIVA[[#This Row],[QT_AREA_REAL]]&gt;0,ESTIMATIVA[[#This Row],[QT_CANA_REAL]],ESTIMATIVA[[#This Row],[QT_CANA_REST1]])</f>
        <v>2708.49</v>
      </c>
      <c r="AF537" s="1">
        <f>IF(ESTIMATIVA[[#This Row],[QT_AREA_REAL]]&gt;0,ESTIMATIVA[[#This Row],[QT_CANA_REAL]],ESTIMATIVA[[#This Row],[QT_CANA_REST2]])</f>
        <v>2708.49</v>
      </c>
      <c r="AG537" s="1" t="str">
        <f>IF(COUNTIFS(GEADA!A:A,VALUE(ESTIMATIVA[[#This Row],[CD_UPNIVEL1]]&amp;TEXT(ESTIMATIVA[[#This Row],[CD_UPNIVEL3]],"0000")))&gt;0,"S","N")</f>
        <v>S</v>
      </c>
      <c r="AH53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37" s="55" t="str">
        <f>IF(ESTIMATIVA[[#This Row],[TP_CULTIVO]]="Irrigado",_xlfn.MAXIFS(IRRIGADO!J:J,IRRIGADO!C:C,ESTIMATIVA[[#This Row],[CD_UPNIVEL1]],IRRIGADO!E:E,ESTIMATIVA[[#This Row],[CD_UPNIVEL3]]),"")</f>
        <v/>
      </c>
      <c r="AJ53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37" s="1">
        <f>COUNTIFS(Apresentação!$E$23:$E$29,ESTIMATIVA[[#This Row],[CD_UPNIVEL1]])</f>
        <v>0</v>
      </c>
    </row>
    <row r="538" spans="1:37" x14ac:dyDescent="0.3">
      <c r="A538">
        <v>20315</v>
      </c>
      <c r="B538" t="s">
        <v>28</v>
      </c>
      <c r="C538">
        <v>45</v>
      </c>
      <c r="D538">
        <v>3</v>
      </c>
      <c r="E538" t="s">
        <v>263</v>
      </c>
      <c r="F538" s="85" t="s">
        <v>332</v>
      </c>
      <c r="G538"/>
      <c r="H538" t="s">
        <v>295</v>
      </c>
      <c r="I538" t="s">
        <v>197</v>
      </c>
      <c r="J538" t="s">
        <v>174</v>
      </c>
      <c r="K538" s="1">
        <v>27.2</v>
      </c>
      <c r="L538" s="1">
        <v>27.2</v>
      </c>
      <c r="M538" s="1">
        <v>0</v>
      </c>
      <c r="N538" s="1">
        <v>27.2</v>
      </c>
      <c r="O538" s="1">
        <v>2448</v>
      </c>
      <c r="P538" s="1">
        <v>2475.1999999999998</v>
      </c>
      <c r="Q538" s="1">
        <v>0</v>
      </c>
      <c r="R538" s="1">
        <v>2268.11</v>
      </c>
      <c r="S538" t="s">
        <v>12</v>
      </c>
      <c r="T538" s="13">
        <v>45893</v>
      </c>
      <c r="U538" s="1" t="str">
        <f>IF(ESTIMATIVA[[#This Row],[QT_AREA_REAL]]&gt;0,"1- Colhido","2- à Colher")</f>
        <v>1- Colhido</v>
      </c>
      <c r="V538" s="1" t="str">
        <f>IF(ESTIMATIVA[[#This Row],[QT_AREA_REST1]]&gt;0,"Reestimativa 1",IF(ESTIMATIVA[[#This Row],[QT_AREA_REAL]]=0,"Reestimativa 1","Realizado"))</f>
        <v>Reestimativa 1</v>
      </c>
      <c r="W538" s="1" t="str">
        <f>IF(ESTIMATIVA[[#This Row],[QT_AREA_REST2]]&gt;0,"Reestimativa 2",IF(ESTIMATIVA[[#This Row],[QT_AREA_REAL]]=0,"Reestimativa 2","Realizado"))</f>
        <v>Realizado</v>
      </c>
      <c r="X538" s="1">
        <f>ESTIMATIVA[[#This Row],[QT_AREA_EST]]</f>
        <v>27.2</v>
      </c>
      <c r="Y538" s="1">
        <f>IF(ESTIMATIVA[[#This Row],[QT_AREA_REST1]]&gt;0,ESTIMATIVA[[#This Row],[QT_AREA_REST1]],
  IF(ESTIMATIVA[[#This Row],[QT_AREA_REAL]]&gt;0,ESTIMATIVA[[#This Row],[QT_AREA_REAL]],ESTIMATIVA[[#This Row],[QT_AREA_EST]]))</f>
        <v>27.2</v>
      </c>
      <c r="Z53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27.2</v>
      </c>
      <c r="AA538" s="1">
        <f>ESTIMATIVA[[#This Row],[QT_CANA_EST]]</f>
        <v>2448</v>
      </c>
      <c r="AB538" s="1">
        <f>IF(ESTIMATIVA[[#This Row],[QT_CANA_REST1]]&gt;0,ESTIMATIVA[[#This Row],[QT_CANA_REST1]],
  IF(ESTIMATIVA[[#This Row],[QT_CANA_REAL]]&gt;0,ESTIMATIVA[[#This Row],[QT_CANA_REAL]],ESTIMATIVA[[#This Row],[QT_CANA_EST]]))</f>
        <v>2475.1999999999998</v>
      </c>
      <c r="AC53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2268.11</v>
      </c>
      <c r="AD538" s="1">
        <f>IF(ESTIMATIVA[[#This Row],[QT_AREA_REAL]]&gt;0,ESTIMATIVA[[#This Row],[QT_CANA_REAL]],ESTIMATIVA[[#This Row],[QT_CANA_EST]])</f>
        <v>2268.11</v>
      </c>
      <c r="AE538" s="1">
        <f>IF(ESTIMATIVA[[#This Row],[QT_AREA_REAL]]&gt;0,ESTIMATIVA[[#This Row],[QT_CANA_REAL]],ESTIMATIVA[[#This Row],[QT_CANA_REST1]])</f>
        <v>2268.11</v>
      </c>
      <c r="AF538" s="1">
        <f>IF(ESTIMATIVA[[#This Row],[QT_AREA_REAL]]&gt;0,ESTIMATIVA[[#This Row],[QT_CANA_REAL]],ESTIMATIVA[[#This Row],[QT_CANA_REST2]])</f>
        <v>2268.11</v>
      </c>
      <c r="AG538" s="1" t="str">
        <f>IF(COUNTIFS(GEADA!A:A,VALUE(ESTIMATIVA[[#This Row],[CD_UPNIVEL1]]&amp;TEXT(ESTIMATIVA[[#This Row],[CD_UPNIVEL3]],"0000")))&gt;0,"S","N")</f>
        <v>N</v>
      </c>
      <c r="AH53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38" s="55" t="str">
        <f>IF(ESTIMATIVA[[#This Row],[TP_CULTIVO]]="Irrigado",_xlfn.MAXIFS(IRRIGADO!J:J,IRRIGADO!C:C,ESTIMATIVA[[#This Row],[CD_UPNIVEL1]],IRRIGADO!E:E,ESTIMATIVA[[#This Row],[CD_UPNIVEL3]]),"")</f>
        <v/>
      </c>
      <c r="AJ53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38" s="1">
        <f>COUNTIFS(Apresentação!$E$23:$E$29,ESTIMATIVA[[#This Row],[CD_UPNIVEL1]])</f>
        <v>0</v>
      </c>
    </row>
    <row r="539" spans="1:37" x14ac:dyDescent="0.3">
      <c r="A539">
        <v>20315</v>
      </c>
      <c r="B539" t="s">
        <v>28</v>
      </c>
      <c r="C539">
        <v>46</v>
      </c>
      <c r="D539">
        <v>3</v>
      </c>
      <c r="E539" t="s">
        <v>263</v>
      </c>
      <c r="F539" s="85" t="s">
        <v>332</v>
      </c>
      <c r="G539"/>
      <c r="H539" t="s">
        <v>295</v>
      </c>
      <c r="I539" t="s">
        <v>197</v>
      </c>
      <c r="J539" t="s">
        <v>174</v>
      </c>
      <c r="K539" s="1">
        <v>10.38</v>
      </c>
      <c r="L539" s="1">
        <v>10.38</v>
      </c>
      <c r="M539" s="1">
        <v>0</v>
      </c>
      <c r="N539" s="1">
        <v>10.38</v>
      </c>
      <c r="O539" s="1">
        <v>934.2</v>
      </c>
      <c r="P539" s="1">
        <v>944.58</v>
      </c>
      <c r="Q539" s="1">
        <v>0</v>
      </c>
      <c r="R539" s="1">
        <v>866.28</v>
      </c>
      <c r="S539" t="s">
        <v>12</v>
      </c>
      <c r="T539" s="13">
        <v>45893</v>
      </c>
      <c r="U539" s="1" t="str">
        <f>IF(ESTIMATIVA[[#This Row],[QT_AREA_REAL]]&gt;0,"1- Colhido","2- à Colher")</f>
        <v>1- Colhido</v>
      </c>
      <c r="V539" s="1" t="str">
        <f>IF(ESTIMATIVA[[#This Row],[QT_AREA_REST1]]&gt;0,"Reestimativa 1",IF(ESTIMATIVA[[#This Row],[QT_AREA_REAL]]=0,"Reestimativa 1","Realizado"))</f>
        <v>Reestimativa 1</v>
      </c>
      <c r="W539" s="1" t="str">
        <f>IF(ESTIMATIVA[[#This Row],[QT_AREA_REST2]]&gt;0,"Reestimativa 2",IF(ESTIMATIVA[[#This Row],[QT_AREA_REAL]]=0,"Reestimativa 2","Realizado"))</f>
        <v>Realizado</v>
      </c>
      <c r="X539" s="1">
        <f>ESTIMATIVA[[#This Row],[QT_AREA_EST]]</f>
        <v>10.38</v>
      </c>
      <c r="Y539" s="1">
        <f>IF(ESTIMATIVA[[#This Row],[QT_AREA_REST1]]&gt;0,ESTIMATIVA[[#This Row],[QT_AREA_REST1]],
  IF(ESTIMATIVA[[#This Row],[QT_AREA_REAL]]&gt;0,ESTIMATIVA[[#This Row],[QT_AREA_REAL]],ESTIMATIVA[[#This Row],[QT_AREA_EST]]))</f>
        <v>10.38</v>
      </c>
      <c r="Z53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10.38</v>
      </c>
      <c r="AA539" s="1">
        <f>ESTIMATIVA[[#This Row],[QT_CANA_EST]]</f>
        <v>934.2</v>
      </c>
      <c r="AB539" s="1">
        <f>IF(ESTIMATIVA[[#This Row],[QT_CANA_REST1]]&gt;0,ESTIMATIVA[[#This Row],[QT_CANA_REST1]],
  IF(ESTIMATIVA[[#This Row],[QT_CANA_REAL]]&gt;0,ESTIMATIVA[[#This Row],[QT_CANA_REAL]],ESTIMATIVA[[#This Row],[QT_CANA_EST]]))</f>
        <v>944.58</v>
      </c>
      <c r="AC53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866.28</v>
      </c>
      <c r="AD539" s="1">
        <f>IF(ESTIMATIVA[[#This Row],[QT_AREA_REAL]]&gt;0,ESTIMATIVA[[#This Row],[QT_CANA_REAL]],ESTIMATIVA[[#This Row],[QT_CANA_EST]])</f>
        <v>866.28</v>
      </c>
      <c r="AE539" s="1">
        <f>IF(ESTIMATIVA[[#This Row],[QT_AREA_REAL]]&gt;0,ESTIMATIVA[[#This Row],[QT_CANA_REAL]],ESTIMATIVA[[#This Row],[QT_CANA_REST1]])</f>
        <v>866.28</v>
      </c>
      <c r="AF539" s="1">
        <f>IF(ESTIMATIVA[[#This Row],[QT_AREA_REAL]]&gt;0,ESTIMATIVA[[#This Row],[QT_CANA_REAL]],ESTIMATIVA[[#This Row],[QT_CANA_REST2]])</f>
        <v>866.28</v>
      </c>
      <c r="AG539" s="1" t="str">
        <f>IF(COUNTIFS(GEADA!A:A,VALUE(ESTIMATIVA[[#This Row],[CD_UPNIVEL1]]&amp;TEXT(ESTIMATIVA[[#This Row],[CD_UPNIVEL3]],"0000")))&gt;0,"S","N")</f>
        <v>N</v>
      </c>
      <c r="AH53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39" s="55" t="str">
        <f>IF(ESTIMATIVA[[#This Row],[TP_CULTIVO]]="Irrigado",_xlfn.MAXIFS(IRRIGADO!J:J,IRRIGADO!C:C,ESTIMATIVA[[#This Row],[CD_UPNIVEL1]],IRRIGADO!E:E,ESTIMATIVA[[#This Row],[CD_UPNIVEL3]]),"")</f>
        <v/>
      </c>
      <c r="AJ53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39" s="1">
        <f>COUNTIFS(Apresentação!$E$23:$E$29,ESTIMATIVA[[#This Row],[CD_UPNIVEL1]])</f>
        <v>0</v>
      </c>
    </row>
    <row r="540" spans="1:37" x14ac:dyDescent="0.3">
      <c r="A540">
        <v>20315</v>
      </c>
      <c r="B540" t="s">
        <v>28</v>
      </c>
      <c r="C540">
        <v>47</v>
      </c>
      <c r="D540">
        <v>3</v>
      </c>
      <c r="E540" t="s">
        <v>263</v>
      </c>
      <c r="F540" s="85" t="s">
        <v>332</v>
      </c>
      <c r="G540"/>
      <c r="H540" t="s">
        <v>295</v>
      </c>
      <c r="I540" t="s">
        <v>197</v>
      </c>
      <c r="J540" t="s">
        <v>174</v>
      </c>
      <c r="K540" s="1">
        <v>19.7</v>
      </c>
      <c r="L540" s="1">
        <v>19.7</v>
      </c>
      <c r="M540" s="1">
        <v>0</v>
      </c>
      <c r="N540" s="1">
        <v>19.7</v>
      </c>
      <c r="O540" s="1">
        <v>1773</v>
      </c>
      <c r="P540" s="1">
        <v>1792.7</v>
      </c>
      <c r="Q540" s="1">
        <v>0</v>
      </c>
      <c r="R540" s="1">
        <v>1767.23</v>
      </c>
      <c r="S540" t="s">
        <v>12</v>
      </c>
      <c r="T540" s="13">
        <v>45893</v>
      </c>
      <c r="U540" s="1" t="str">
        <f>IF(ESTIMATIVA[[#This Row],[QT_AREA_REAL]]&gt;0,"1- Colhido","2- à Colher")</f>
        <v>1- Colhido</v>
      </c>
      <c r="V540" s="1" t="str">
        <f>IF(ESTIMATIVA[[#This Row],[QT_AREA_REST1]]&gt;0,"Reestimativa 1",IF(ESTIMATIVA[[#This Row],[QT_AREA_REAL]]=0,"Reestimativa 1","Realizado"))</f>
        <v>Reestimativa 1</v>
      </c>
      <c r="W540" s="1" t="str">
        <f>IF(ESTIMATIVA[[#This Row],[QT_AREA_REST2]]&gt;0,"Reestimativa 2",IF(ESTIMATIVA[[#This Row],[QT_AREA_REAL]]=0,"Reestimativa 2","Realizado"))</f>
        <v>Realizado</v>
      </c>
      <c r="X540" s="1">
        <f>ESTIMATIVA[[#This Row],[QT_AREA_EST]]</f>
        <v>19.7</v>
      </c>
      <c r="Y540" s="1">
        <f>IF(ESTIMATIVA[[#This Row],[QT_AREA_REST1]]&gt;0,ESTIMATIVA[[#This Row],[QT_AREA_REST1]],
  IF(ESTIMATIVA[[#This Row],[QT_AREA_REAL]]&gt;0,ESTIMATIVA[[#This Row],[QT_AREA_REAL]],ESTIMATIVA[[#This Row],[QT_AREA_EST]]))</f>
        <v>19.7</v>
      </c>
      <c r="Z54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19.7</v>
      </c>
      <c r="AA540" s="1">
        <f>ESTIMATIVA[[#This Row],[QT_CANA_EST]]</f>
        <v>1773</v>
      </c>
      <c r="AB540" s="1">
        <f>IF(ESTIMATIVA[[#This Row],[QT_CANA_REST1]]&gt;0,ESTIMATIVA[[#This Row],[QT_CANA_REST1]],
  IF(ESTIMATIVA[[#This Row],[QT_CANA_REAL]]&gt;0,ESTIMATIVA[[#This Row],[QT_CANA_REAL]],ESTIMATIVA[[#This Row],[QT_CANA_EST]]))</f>
        <v>1792.7</v>
      </c>
      <c r="AC54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1767.23</v>
      </c>
      <c r="AD540" s="1">
        <f>IF(ESTIMATIVA[[#This Row],[QT_AREA_REAL]]&gt;0,ESTIMATIVA[[#This Row],[QT_CANA_REAL]],ESTIMATIVA[[#This Row],[QT_CANA_EST]])</f>
        <v>1767.23</v>
      </c>
      <c r="AE540" s="1">
        <f>IF(ESTIMATIVA[[#This Row],[QT_AREA_REAL]]&gt;0,ESTIMATIVA[[#This Row],[QT_CANA_REAL]],ESTIMATIVA[[#This Row],[QT_CANA_REST1]])</f>
        <v>1767.23</v>
      </c>
      <c r="AF540" s="1">
        <f>IF(ESTIMATIVA[[#This Row],[QT_AREA_REAL]]&gt;0,ESTIMATIVA[[#This Row],[QT_CANA_REAL]],ESTIMATIVA[[#This Row],[QT_CANA_REST2]])</f>
        <v>1767.23</v>
      </c>
      <c r="AG540" s="1" t="str">
        <f>IF(COUNTIFS(GEADA!A:A,VALUE(ESTIMATIVA[[#This Row],[CD_UPNIVEL1]]&amp;TEXT(ESTIMATIVA[[#This Row],[CD_UPNIVEL3]],"0000")))&gt;0,"S","N")</f>
        <v>N</v>
      </c>
      <c r="AH54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40" s="55" t="str">
        <f>IF(ESTIMATIVA[[#This Row],[TP_CULTIVO]]="Irrigado",_xlfn.MAXIFS(IRRIGADO!J:J,IRRIGADO!C:C,ESTIMATIVA[[#This Row],[CD_UPNIVEL1]],IRRIGADO!E:E,ESTIMATIVA[[#This Row],[CD_UPNIVEL3]]),"")</f>
        <v/>
      </c>
      <c r="AJ54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40" s="1">
        <f>COUNTIFS(Apresentação!$E$23:$E$29,ESTIMATIVA[[#This Row],[CD_UPNIVEL1]])</f>
        <v>0</v>
      </c>
    </row>
    <row r="541" spans="1:37" x14ac:dyDescent="0.3">
      <c r="A541">
        <v>20315</v>
      </c>
      <c r="B541" t="s">
        <v>28</v>
      </c>
      <c r="C541">
        <v>48</v>
      </c>
      <c r="D541">
        <v>3</v>
      </c>
      <c r="E541" t="s">
        <v>263</v>
      </c>
      <c r="F541" s="85" t="s">
        <v>332</v>
      </c>
      <c r="G541"/>
      <c r="H541" t="s">
        <v>295</v>
      </c>
      <c r="I541" t="s">
        <v>197</v>
      </c>
      <c r="J541" t="s">
        <v>174</v>
      </c>
      <c r="K541" s="1">
        <v>30.75</v>
      </c>
      <c r="L541" s="1">
        <v>30.75</v>
      </c>
      <c r="M541" s="1">
        <v>0</v>
      </c>
      <c r="N541" s="1">
        <v>30.75</v>
      </c>
      <c r="O541" s="1">
        <v>2767.5</v>
      </c>
      <c r="P541" s="1">
        <v>2798.25</v>
      </c>
      <c r="Q541" s="1">
        <v>0</v>
      </c>
      <c r="R541" s="1">
        <v>2471.35</v>
      </c>
      <c r="S541" t="s">
        <v>12</v>
      </c>
      <c r="T541" s="13">
        <v>45893</v>
      </c>
      <c r="U541" s="1" t="str">
        <f>IF(ESTIMATIVA[[#This Row],[QT_AREA_REAL]]&gt;0,"1- Colhido","2- à Colher")</f>
        <v>1- Colhido</v>
      </c>
      <c r="V541" s="1" t="str">
        <f>IF(ESTIMATIVA[[#This Row],[QT_AREA_REST1]]&gt;0,"Reestimativa 1",IF(ESTIMATIVA[[#This Row],[QT_AREA_REAL]]=0,"Reestimativa 1","Realizado"))</f>
        <v>Reestimativa 1</v>
      </c>
      <c r="W541" s="1" t="str">
        <f>IF(ESTIMATIVA[[#This Row],[QT_AREA_REST2]]&gt;0,"Reestimativa 2",IF(ESTIMATIVA[[#This Row],[QT_AREA_REAL]]=0,"Reestimativa 2","Realizado"))</f>
        <v>Realizado</v>
      </c>
      <c r="X541" s="1">
        <f>ESTIMATIVA[[#This Row],[QT_AREA_EST]]</f>
        <v>30.75</v>
      </c>
      <c r="Y541" s="1">
        <f>IF(ESTIMATIVA[[#This Row],[QT_AREA_REST1]]&gt;0,ESTIMATIVA[[#This Row],[QT_AREA_REST1]],
  IF(ESTIMATIVA[[#This Row],[QT_AREA_REAL]]&gt;0,ESTIMATIVA[[#This Row],[QT_AREA_REAL]],ESTIMATIVA[[#This Row],[QT_AREA_EST]]))</f>
        <v>30.75</v>
      </c>
      <c r="Z54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30.75</v>
      </c>
      <c r="AA541" s="1">
        <f>ESTIMATIVA[[#This Row],[QT_CANA_EST]]</f>
        <v>2767.5</v>
      </c>
      <c r="AB541" s="1">
        <f>IF(ESTIMATIVA[[#This Row],[QT_CANA_REST1]]&gt;0,ESTIMATIVA[[#This Row],[QT_CANA_REST1]],
  IF(ESTIMATIVA[[#This Row],[QT_CANA_REAL]]&gt;0,ESTIMATIVA[[#This Row],[QT_CANA_REAL]],ESTIMATIVA[[#This Row],[QT_CANA_EST]]))</f>
        <v>2798.25</v>
      </c>
      <c r="AC54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2471.35</v>
      </c>
      <c r="AD541" s="1">
        <f>IF(ESTIMATIVA[[#This Row],[QT_AREA_REAL]]&gt;0,ESTIMATIVA[[#This Row],[QT_CANA_REAL]],ESTIMATIVA[[#This Row],[QT_CANA_EST]])</f>
        <v>2471.35</v>
      </c>
      <c r="AE541" s="1">
        <f>IF(ESTIMATIVA[[#This Row],[QT_AREA_REAL]]&gt;0,ESTIMATIVA[[#This Row],[QT_CANA_REAL]],ESTIMATIVA[[#This Row],[QT_CANA_REST1]])</f>
        <v>2471.35</v>
      </c>
      <c r="AF541" s="1">
        <f>IF(ESTIMATIVA[[#This Row],[QT_AREA_REAL]]&gt;0,ESTIMATIVA[[#This Row],[QT_CANA_REAL]],ESTIMATIVA[[#This Row],[QT_CANA_REST2]])</f>
        <v>2471.35</v>
      </c>
      <c r="AG541" s="1" t="str">
        <f>IF(COUNTIFS(GEADA!A:A,VALUE(ESTIMATIVA[[#This Row],[CD_UPNIVEL1]]&amp;TEXT(ESTIMATIVA[[#This Row],[CD_UPNIVEL3]],"0000")))&gt;0,"S","N")</f>
        <v>N</v>
      </c>
      <c r="AH54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41" s="55" t="str">
        <f>IF(ESTIMATIVA[[#This Row],[TP_CULTIVO]]="Irrigado",_xlfn.MAXIFS(IRRIGADO!J:J,IRRIGADO!C:C,ESTIMATIVA[[#This Row],[CD_UPNIVEL1]],IRRIGADO!E:E,ESTIMATIVA[[#This Row],[CD_UPNIVEL3]]),"")</f>
        <v/>
      </c>
      <c r="AJ54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41" s="1">
        <f>COUNTIFS(Apresentação!$E$23:$E$29,ESTIMATIVA[[#This Row],[CD_UPNIVEL1]])</f>
        <v>0</v>
      </c>
    </row>
    <row r="542" spans="1:37" x14ac:dyDescent="0.3">
      <c r="A542">
        <v>20315</v>
      </c>
      <c r="B542" t="s">
        <v>28</v>
      </c>
      <c r="C542">
        <v>49</v>
      </c>
      <c r="D542">
        <v>4</v>
      </c>
      <c r="E542" t="s">
        <v>265</v>
      </c>
      <c r="F542" s="85" t="s">
        <v>330</v>
      </c>
      <c r="G542"/>
      <c r="H542" t="s">
        <v>295</v>
      </c>
      <c r="I542" t="s">
        <v>203</v>
      </c>
      <c r="J542" t="s">
        <v>174</v>
      </c>
      <c r="K542" s="1">
        <v>0.19</v>
      </c>
      <c r="L542" s="1">
        <v>0.19</v>
      </c>
      <c r="M542" s="1">
        <v>0</v>
      </c>
      <c r="N542" s="1">
        <v>0.19</v>
      </c>
      <c r="O542" s="1">
        <v>17.100000000000001</v>
      </c>
      <c r="P542" s="1">
        <v>17.29</v>
      </c>
      <c r="Q542" s="1">
        <v>0</v>
      </c>
      <c r="R542" s="1">
        <v>17.309999999999999</v>
      </c>
      <c r="S542" t="s">
        <v>12</v>
      </c>
      <c r="T542" s="13">
        <v>45893</v>
      </c>
      <c r="U542" s="1" t="str">
        <f>IF(ESTIMATIVA[[#This Row],[QT_AREA_REAL]]&gt;0,"1- Colhido","2- à Colher")</f>
        <v>1- Colhido</v>
      </c>
      <c r="V542" s="1" t="str">
        <f>IF(ESTIMATIVA[[#This Row],[QT_AREA_REST1]]&gt;0,"Reestimativa 1",IF(ESTIMATIVA[[#This Row],[QT_AREA_REAL]]=0,"Reestimativa 1","Realizado"))</f>
        <v>Reestimativa 1</v>
      </c>
      <c r="W542" s="1" t="str">
        <f>IF(ESTIMATIVA[[#This Row],[QT_AREA_REST2]]&gt;0,"Reestimativa 2",IF(ESTIMATIVA[[#This Row],[QT_AREA_REAL]]=0,"Reestimativa 2","Realizado"))</f>
        <v>Realizado</v>
      </c>
      <c r="X542" s="1">
        <f>ESTIMATIVA[[#This Row],[QT_AREA_EST]]</f>
        <v>0.19</v>
      </c>
      <c r="Y542" s="1">
        <f>IF(ESTIMATIVA[[#This Row],[QT_AREA_REST1]]&gt;0,ESTIMATIVA[[#This Row],[QT_AREA_REST1]],
  IF(ESTIMATIVA[[#This Row],[QT_AREA_REAL]]&gt;0,ESTIMATIVA[[#This Row],[QT_AREA_REAL]],ESTIMATIVA[[#This Row],[QT_AREA_EST]]))</f>
        <v>0.19</v>
      </c>
      <c r="Z54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0.19</v>
      </c>
      <c r="AA542" s="1">
        <f>ESTIMATIVA[[#This Row],[QT_CANA_EST]]</f>
        <v>17.100000000000001</v>
      </c>
      <c r="AB542" s="1">
        <f>IF(ESTIMATIVA[[#This Row],[QT_CANA_REST1]]&gt;0,ESTIMATIVA[[#This Row],[QT_CANA_REST1]],
  IF(ESTIMATIVA[[#This Row],[QT_CANA_REAL]]&gt;0,ESTIMATIVA[[#This Row],[QT_CANA_REAL]],ESTIMATIVA[[#This Row],[QT_CANA_EST]]))</f>
        <v>17.29</v>
      </c>
      <c r="AC54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17.309999999999999</v>
      </c>
      <c r="AD542" s="1">
        <f>IF(ESTIMATIVA[[#This Row],[QT_AREA_REAL]]&gt;0,ESTIMATIVA[[#This Row],[QT_CANA_REAL]],ESTIMATIVA[[#This Row],[QT_CANA_EST]])</f>
        <v>17.309999999999999</v>
      </c>
      <c r="AE542" s="1">
        <f>IF(ESTIMATIVA[[#This Row],[QT_AREA_REAL]]&gt;0,ESTIMATIVA[[#This Row],[QT_CANA_REAL]],ESTIMATIVA[[#This Row],[QT_CANA_REST1]])</f>
        <v>17.309999999999999</v>
      </c>
      <c r="AF542" s="1">
        <f>IF(ESTIMATIVA[[#This Row],[QT_AREA_REAL]]&gt;0,ESTIMATIVA[[#This Row],[QT_CANA_REAL]],ESTIMATIVA[[#This Row],[QT_CANA_REST2]])</f>
        <v>17.309999999999999</v>
      </c>
      <c r="AG542" s="1" t="str">
        <f>IF(COUNTIFS(GEADA!A:A,VALUE(ESTIMATIVA[[#This Row],[CD_UPNIVEL1]]&amp;TEXT(ESTIMATIVA[[#This Row],[CD_UPNIVEL3]],"0000")))&gt;0,"S","N")</f>
        <v>N</v>
      </c>
      <c r="AH54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42" s="55" t="str">
        <f>IF(ESTIMATIVA[[#This Row],[TP_CULTIVO]]="Irrigado",_xlfn.MAXIFS(IRRIGADO!J:J,IRRIGADO!C:C,ESTIMATIVA[[#This Row],[CD_UPNIVEL1]],IRRIGADO!E:E,ESTIMATIVA[[#This Row],[CD_UPNIVEL3]]),"")</f>
        <v/>
      </c>
      <c r="AJ54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42" s="1">
        <f>COUNTIFS(Apresentação!$E$23:$E$29,ESTIMATIVA[[#This Row],[CD_UPNIVEL1]])</f>
        <v>0</v>
      </c>
    </row>
    <row r="543" spans="1:37" x14ac:dyDescent="0.3">
      <c r="A543">
        <v>20315</v>
      </c>
      <c r="B543" t="s">
        <v>28</v>
      </c>
      <c r="C543">
        <v>50</v>
      </c>
      <c r="D543">
        <v>4</v>
      </c>
      <c r="E543" t="s">
        <v>265</v>
      </c>
      <c r="F543" s="85" t="s">
        <v>332</v>
      </c>
      <c r="G543"/>
      <c r="H543" t="s">
        <v>295</v>
      </c>
      <c r="I543" t="s">
        <v>203</v>
      </c>
      <c r="J543" t="s">
        <v>174</v>
      </c>
      <c r="K543" s="1">
        <v>0.68</v>
      </c>
      <c r="L543" s="1">
        <v>0.68</v>
      </c>
      <c r="M543" s="1">
        <v>0</v>
      </c>
      <c r="N543" s="1">
        <v>0.68</v>
      </c>
      <c r="O543" s="1">
        <v>61.2</v>
      </c>
      <c r="P543" s="1">
        <v>61.88</v>
      </c>
      <c r="Q543" s="1">
        <v>0</v>
      </c>
      <c r="R543" s="1">
        <v>64.95</v>
      </c>
      <c r="S543" t="s">
        <v>12</v>
      </c>
      <c r="T543" s="13">
        <v>45893</v>
      </c>
      <c r="U543" s="1" t="str">
        <f>IF(ESTIMATIVA[[#This Row],[QT_AREA_REAL]]&gt;0,"1- Colhido","2- à Colher")</f>
        <v>1- Colhido</v>
      </c>
      <c r="V543" s="1" t="str">
        <f>IF(ESTIMATIVA[[#This Row],[QT_AREA_REST1]]&gt;0,"Reestimativa 1",IF(ESTIMATIVA[[#This Row],[QT_AREA_REAL]]=0,"Reestimativa 1","Realizado"))</f>
        <v>Reestimativa 1</v>
      </c>
      <c r="W543" s="1" t="str">
        <f>IF(ESTIMATIVA[[#This Row],[QT_AREA_REST2]]&gt;0,"Reestimativa 2",IF(ESTIMATIVA[[#This Row],[QT_AREA_REAL]]=0,"Reestimativa 2","Realizado"))</f>
        <v>Realizado</v>
      </c>
      <c r="X543" s="1">
        <f>ESTIMATIVA[[#This Row],[QT_AREA_EST]]</f>
        <v>0.68</v>
      </c>
      <c r="Y543" s="1">
        <f>IF(ESTIMATIVA[[#This Row],[QT_AREA_REST1]]&gt;0,ESTIMATIVA[[#This Row],[QT_AREA_REST1]],
  IF(ESTIMATIVA[[#This Row],[QT_AREA_REAL]]&gt;0,ESTIMATIVA[[#This Row],[QT_AREA_REAL]],ESTIMATIVA[[#This Row],[QT_AREA_EST]]))</f>
        <v>0.68</v>
      </c>
      <c r="Z54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0.68</v>
      </c>
      <c r="AA543" s="1">
        <f>ESTIMATIVA[[#This Row],[QT_CANA_EST]]</f>
        <v>61.2</v>
      </c>
      <c r="AB543" s="1">
        <f>IF(ESTIMATIVA[[#This Row],[QT_CANA_REST1]]&gt;0,ESTIMATIVA[[#This Row],[QT_CANA_REST1]],
  IF(ESTIMATIVA[[#This Row],[QT_CANA_REAL]]&gt;0,ESTIMATIVA[[#This Row],[QT_CANA_REAL]],ESTIMATIVA[[#This Row],[QT_CANA_EST]]))</f>
        <v>61.88</v>
      </c>
      <c r="AC54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64.95</v>
      </c>
      <c r="AD543" s="1">
        <f>IF(ESTIMATIVA[[#This Row],[QT_AREA_REAL]]&gt;0,ESTIMATIVA[[#This Row],[QT_CANA_REAL]],ESTIMATIVA[[#This Row],[QT_CANA_EST]])</f>
        <v>64.95</v>
      </c>
      <c r="AE543" s="1">
        <f>IF(ESTIMATIVA[[#This Row],[QT_AREA_REAL]]&gt;0,ESTIMATIVA[[#This Row],[QT_CANA_REAL]],ESTIMATIVA[[#This Row],[QT_CANA_REST1]])</f>
        <v>64.95</v>
      </c>
      <c r="AF543" s="1">
        <f>IF(ESTIMATIVA[[#This Row],[QT_AREA_REAL]]&gt;0,ESTIMATIVA[[#This Row],[QT_CANA_REAL]],ESTIMATIVA[[#This Row],[QT_CANA_REST2]])</f>
        <v>64.95</v>
      </c>
      <c r="AG543" s="1" t="str">
        <f>IF(COUNTIFS(GEADA!A:A,VALUE(ESTIMATIVA[[#This Row],[CD_UPNIVEL1]]&amp;TEXT(ESTIMATIVA[[#This Row],[CD_UPNIVEL3]],"0000")))&gt;0,"S","N")</f>
        <v>N</v>
      </c>
      <c r="AH54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43" s="55" t="str">
        <f>IF(ESTIMATIVA[[#This Row],[TP_CULTIVO]]="Irrigado",_xlfn.MAXIFS(IRRIGADO!J:J,IRRIGADO!C:C,ESTIMATIVA[[#This Row],[CD_UPNIVEL1]],IRRIGADO!E:E,ESTIMATIVA[[#This Row],[CD_UPNIVEL3]]),"")</f>
        <v/>
      </c>
      <c r="AJ54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43" s="1">
        <f>COUNTIFS(Apresentação!$E$23:$E$29,ESTIMATIVA[[#This Row],[CD_UPNIVEL1]])</f>
        <v>0</v>
      </c>
    </row>
    <row r="544" spans="1:37" x14ac:dyDescent="0.3">
      <c r="A544">
        <v>20315</v>
      </c>
      <c r="B544" t="s">
        <v>28</v>
      </c>
      <c r="C544">
        <v>116</v>
      </c>
      <c r="D544">
        <v>6</v>
      </c>
      <c r="E544" t="s">
        <v>261</v>
      </c>
      <c r="F544" s="85" t="s">
        <v>332</v>
      </c>
      <c r="G544"/>
      <c r="H544" t="s">
        <v>295</v>
      </c>
      <c r="I544" t="s">
        <v>202</v>
      </c>
      <c r="J544" t="s">
        <v>174</v>
      </c>
      <c r="K544" s="1">
        <v>3.33</v>
      </c>
      <c r="L544" s="1">
        <v>3.33</v>
      </c>
      <c r="M544" s="1">
        <v>3.33</v>
      </c>
      <c r="N544" s="1">
        <v>3.33</v>
      </c>
      <c r="O544" s="1">
        <v>133.19999999999999</v>
      </c>
      <c r="P544" s="1">
        <v>153.18</v>
      </c>
      <c r="Q544" s="1">
        <v>156.51</v>
      </c>
      <c r="R544" s="1">
        <v>228.18</v>
      </c>
      <c r="S544" t="s">
        <v>12</v>
      </c>
      <c r="T544" s="13">
        <v>45991</v>
      </c>
      <c r="U544" s="1" t="str">
        <f>IF(ESTIMATIVA[[#This Row],[QT_AREA_REAL]]&gt;0,"1- Colhido","2- à Colher")</f>
        <v>1- Colhido</v>
      </c>
      <c r="V544" s="1" t="str">
        <f>IF(ESTIMATIVA[[#This Row],[QT_AREA_REST1]]&gt;0,"Reestimativa 1",IF(ESTIMATIVA[[#This Row],[QT_AREA_REAL]]=0,"Reestimativa 1","Realizado"))</f>
        <v>Reestimativa 1</v>
      </c>
      <c r="W544" s="1" t="str">
        <f>IF(ESTIMATIVA[[#This Row],[QT_AREA_REST2]]&gt;0,"Reestimativa 2",IF(ESTIMATIVA[[#This Row],[QT_AREA_REAL]]=0,"Reestimativa 2","Realizado"))</f>
        <v>Reestimativa 2</v>
      </c>
      <c r="X544" s="1">
        <f>ESTIMATIVA[[#This Row],[QT_AREA_EST]]</f>
        <v>3.33</v>
      </c>
      <c r="Y544" s="1">
        <f>IF(ESTIMATIVA[[#This Row],[QT_AREA_REST1]]&gt;0,ESTIMATIVA[[#This Row],[QT_AREA_REST1]],
  IF(ESTIMATIVA[[#This Row],[QT_AREA_REAL]]&gt;0,ESTIMATIVA[[#This Row],[QT_AREA_REAL]],ESTIMATIVA[[#This Row],[QT_AREA_EST]]))</f>
        <v>3.33</v>
      </c>
      <c r="Z54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3.33</v>
      </c>
      <c r="AA544" s="1">
        <f>ESTIMATIVA[[#This Row],[QT_CANA_EST]]</f>
        <v>133.19999999999999</v>
      </c>
      <c r="AB544" s="1">
        <f>IF(ESTIMATIVA[[#This Row],[QT_CANA_REST1]]&gt;0,ESTIMATIVA[[#This Row],[QT_CANA_REST1]],
  IF(ESTIMATIVA[[#This Row],[QT_CANA_REAL]]&gt;0,ESTIMATIVA[[#This Row],[QT_CANA_REAL]],ESTIMATIVA[[#This Row],[QT_CANA_EST]]))</f>
        <v>153.18</v>
      </c>
      <c r="AC54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156.51</v>
      </c>
      <c r="AD544" s="1">
        <f>IF(ESTIMATIVA[[#This Row],[QT_AREA_REAL]]&gt;0,ESTIMATIVA[[#This Row],[QT_CANA_REAL]],ESTIMATIVA[[#This Row],[QT_CANA_EST]])</f>
        <v>228.18</v>
      </c>
      <c r="AE544" s="1">
        <f>IF(ESTIMATIVA[[#This Row],[QT_AREA_REAL]]&gt;0,ESTIMATIVA[[#This Row],[QT_CANA_REAL]],ESTIMATIVA[[#This Row],[QT_CANA_REST1]])</f>
        <v>228.18</v>
      </c>
      <c r="AF544" s="1">
        <f>IF(ESTIMATIVA[[#This Row],[QT_AREA_REAL]]&gt;0,ESTIMATIVA[[#This Row],[QT_CANA_REAL]],ESTIMATIVA[[#This Row],[QT_CANA_REST2]])</f>
        <v>228.18</v>
      </c>
      <c r="AG544" s="1" t="str">
        <f>IF(COUNTIFS(GEADA!A:A,VALUE(ESTIMATIVA[[#This Row],[CD_UPNIVEL1]]&amp;TEXT(ESTIMATIVA[[#This Row],[CD_UPNIVEL3]],"0000")))&gt;0,"S","N")</f>
        <v>N</v>
      </c>
      <c r="AH54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44" s="55" t="str">
        <f>IF(ESTIMATIVA[[#This Row],[TP_CULTIVO]]="Irrigado",_xlfn.MAXIFS(IRRIGADO!J:J,IRRIGADO!C:C,ESTIMATIVA[[#This Row],[CD_UPNIVEL1]],IRRIGADO!E:E,ESTIMATIVA[[#This Row],[CD_UPNIVEL3]]),"")</f>
        <v/>
      </c>
      <c r="AJ54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44" s="1">
        <f>COUNTIFS(Apresentação!$E$23:$E$29,ESTIMATIVA[[#This Row],[CD_UPNIVEL1]])</f>
        <v>0</v>
      </c>
    </row>
    <row r="545" spans="1:37" x14ac:dyDescent="0.3">
      <c r="A545">
        <v>20319</v>
      </c>
      <c r="B545" t="s">
        <v>125</v>
      </c>
      <c r="C545">
        <v>1</v>
      </c>
      <c r="D545">
        <v>3</v>
      </c>
      <c r="E545" t="s">
        <v>263</v>
      </c>
      <c r="F545" s="85" t="s">
        <v>331</v>
      </c>
      <c r="G545"/>
      <c r="H545" t="s">
        <v>295</v>
      </c>
      <c r="I545" t="s">
        <v>200</v>
      </c>
      <c r="J545" t="s">
        <v>176</v>
      </c>
      <c r="K545" s="1">
        <v>26.53</v>
      </c>
      <c r="L545" s="1">
        <v>26.53</v>
      </c>
      <c r="M545" s="1">
        <v>26.53</v>
      </c>
      <c r="N545" s="1">
        <v>26.53</v>
      </c>
      <c r="O545" s="1">
        <v>2653</v>
      </c>
      <c r="P545" s="1">
        <v>2653</v>
      </c>
      <c r="Q545" s="1">
        <v>2653</v>
      </c>
      <c r="R545" s="1">
        <v>2522.64</v>
      </c>
      <c r="S545" t="s">
        <v>12</v>
      </c>
      <c r="T545" s="13">
        <v>45984</v>
      </c>
      <c r="U545" s="1" t="str">
        <f>IF(ESTIMATIVA[[#This Row],[QT_AREA_REAL]]&gt;0,"1- Colhido","2- à Colher")</f>
        <v>1- Colhido</v>
      </c>
      <c r="V545" s="1" t="str">
        <f>IF(ESTIMATIVA[[#This Row],[QT_AREA_REST1]]&gt;0,"Reestimativa 1",IF(ESTIMATIVA[[#This Row],[QT_AREA_REAL]]=0,"Reestimativa 1","Realizado"))</f>
        <v>Reestimativa 1</v>
      </c>
      <c r="W545" s="1" t="str">
        <f>IF(ESTIMATIVA[[#This Row],[QT_AREA_REST2]]&gt;0,"Reestimativa 2",IF(ESTIMATIVA[[#This Row],[QT_AREA_REAL]]=0,"Reestimativa 2","Realizado"))</f>
        <v>Reestimativa 2</v>
      </c>
      <c r="X545" s="1">
        <f>ESTIMATIVA[[#This Row],[QT_AREA_EST]]</f>
        <v>26.53</v>
      </c>
      <c r="Y545" s="1">
        <f>IF(ESTIMATIVA[[#This Row],[QT_AREA_REST1]]&gt;0,ESTIMATIVA[[#This Row],[QT_AREA_REST1]],
  IF(ESTIMATIVA[[#This Row],[QT_AREA_REAL]]&gt;0,ESTIMATIVA[[#This Row],[QT_AREA_REAL]],ESTIMATIVA[[#This Row],[QT_AREA_EST]]))</f>
        <v>26.53</v>
      </c>
      <c r="Z54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26.53</v>
      </c>
      <c r="AA545" s="1">
        <f>ESTIMATIVA[[#This Row],[QT_CANA_EST]]</f>
        <v>2653</v>
      </c>
      <c r="AB545" s="1">
        <f>IF(ESTIMATIVA[[#This Row],[QT_CANA_REST1]]&gt;0,ESTIMATIVA[[#This Row],[QT_CANA_REST1]],
  IF(ESTIMATIVA[[#This Row],[QT_CANA_REAL]]&gt;0,ESTIMATIVA[[#This Row],[QT_CANA_REAL]],ESTIMATIVA[[#This Row],[QT_CANA_EST]]))</f>
        <v>2653</v>
      </c>
      <c r="AC54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2653</v>
      </c>
      <c r="AD545" s="1">
        <f>IF(ESTIMATIVA[[#This Row],[QT_AREA_REAL]]&gt;0,ESTIMATIVA[[#This Row],[QT_CANA_REAL]],ESTIMATIVA[[#This Row],[QT_CANA_EST]])</f>
        <v>2522.64</v>
      </c>
      <c r="AE545" s="1">
        <f>IF(ESTIMATIVA[[#This Row],[QT_AREA_REAL]]&gt;0,ESTIMATIVA[[#This Row],[QT_CANA_REAL]],ESTIMATIVA[[#This Row],[QT_CANA_REST1]])</f>
        <v>2522.64</v>
      </c>
      <c r="AF545" s="1">
        <f>IF(ESTIMATIVA[[#This Row],[QT_AREA_REAL]]&gt;0,ESTIMATIVA[[#This Row],[QT_CANA_REAL]],ESTIMATIVA[[#This Row],[QT_CANA_REST2]])</f>
        <v>2522.64</v>
      </c>
      <c r="AG545" s="1" t="str">
        <f>IF(COUNTIFS(GEADA!A:A,VALUE(ESTIMATIVA[[#This Row],[CD_UPNIVEL1]]&amp;TEXT(ESTIMATIVA[[#This Row],[CD_UPNIVEL3]],"0000")))&gt;0,"S","N")</f>
        <v>N</v>
      </c>
      <c r="AH54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45" s="55" t="str">
        <f>IF(ESTIMATIVA[[#This Row],[TP_CULTIVO]]="Irrigado",_xlfn.MAXIFS(IRRIGADO!J:J,IRRIGADO!C:C,ESTIMATIVA[[#This Row],[CD_UPNIVEL1]],IRRIGADO!E:E,ESTIMATIVA[[#This Row],[CD_UPNIVEL3]]),"")</f>
        <v/>
      </c>
      <c r="AJ54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45" s="1">
        <f>COUNTIFS(Apresentação!$E$23:$E$29,ESTIMATIVA[[#This Row],[CD_UPNIVEL1]])</f>
        <v>0</v>
      </c>
    </row>
    <row r="546" spans="1:37" x14ac:dyDescent="0.3">
      <c r="A546">
        <v>20319</v>
      </c>
      <c r="B546" t="s">
        <v>125</v>
      </c>
      <c r="C546">
        <v>2</v>
      </c>
      <c r="D546">
        <v>3</v>
      </c>
      <c r="E546" t="s">
        <v>263</v>
      </c>
      <c r="F546" s="85" t="s">
        <v>331</v>
      </c>
      <c r="G546"/>
      <c r="H546" t="s">
        <v>295</v>
      </c>
      <c r="I546" t="s">
        <v>200</v>
      </c>
      <c r="J546" t="s">
        <v>176</v>
      </c>
      <c r="K546" s="1">
        <v>23.5</v>
      </c>
      <c r="L546" s="1">
        <v>23.5</v>
      </c>
      <c r="M546" s="1">
        <v>23.5</v>
      </c>
      <c r="N546" s="1">
        <v>23.5</v>
      </c>
      <c r="O546" s="1">
        <v>2068</v>
      </c>
      <c r="P546" s="1">
        <v>2162</v>
      </c>
      <c r="Q546" s="1">
        <v>2162</v>
      </c>
      <c r="R546" s="1">
        <v>2055.7399999999998</v>
      </c>
      <c r="S546" t="s">
        <v>12</v>
      </c>
      <c r="T546" s="13">
        <v>45984</v>
      </c>
      <c r="U546" s="1" t="str">
        <f>IF(ESTIMATIVA[[#This Row],[QT_AREA_REAL]]&gt;0,"1- Colhido","2- à Colher")</f>
        <v>1- Colhido</v>
      </c>
      <c r="V546" s="1" t="str">
        <f>IF(ESTIMATIVA[[#This Row],[QT_AREA_REST1]]&gt;0,"Reestimativa 1",IF(ESTIMATIVA[[#This Row],[QT_AREA_REAL]]=0,"Reestimativa 1","Realizado"))</f>
        <v>Reestimativa 1</v>
      </c>
      <c r="W546" s="1" t="str">
        <f>IF(ESTIMATIVA[[#This Row],[QT_AREA_REST2]]&gt;0,"Reestimativa 2",IF(ESTIMATIVA[[#This Row],[QT_AREA_REAL]]=0,"Reestimativa 2","Realizado"))</f>
        <v>Reestimativa 2</v>
      </c>
      <c r="X546" s="1">
        <f>ESTIMATIVA[[#This Row],[QT_AREA_EST]]</f>
        <v>23.5</v>
      </c>
      <c r="Y546" s="1">
        <f>IF(ESTIMATIVA[[#This Row],[QT_AREA_REST1]]&gt;0,ESTIMATIVA[[#This Row],[QT_AREA_REST1]],
  IF(ESTIMATIVA[[#This Row],[QT_AREA_REAL]]&gt;0,ESTIMATIVA[[#This Row],[QT_AREA_REAL]],ESTIMATIVA[[#This Row],[QT_AREA_EST]]))</f>
        <v>23.5</v>
      </c>
      <c r="Z54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23.5</v>
      </c>
      <c r="AA546" s="1">
        <f>ESTIMATIVA[[#This Row],[QT_CANA_EST]]</f>
        <v>2068</v>
      </c>
      <c r="AB546" s="1">
        <f>IF(ESTIMATIVA[[#This Row],[QT_CANA_REST1]]&gt;0,ESTIMATIVA[[#This Row],[QT_CANA_REST1]],
  IF(ESTIMATIVA[[#This Row],[QT_CANA_REAL]]&gt;0,ESTIMATIVA[[#This Row],[QT_CANA_REAL]],ESTIMATIVA[[#This Row],[QT_CANA_EST]]))</f>
        <v>2162</v>
      </c>
      <c r="AC54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2162</v>
      </c>
      <c r="AD546" s="1">
        <f>IF(ESTIMATIVA[[#This Row],[QT_AREA_REAL]]&gt;0,ESTIMATIVA[[#This Row],[QT_CANA_REAL]],ESTIMATIVA[[#This Row],[QT_CANA_EST]])</f>
        <v>2055.7399999999998</v>
      </c>
      <c r="AE546" s="1">
        <f>IF(ESTIMATIVA[[#This Row],[QT_AREA_REAL]]&gt;0,ESTIMATIVA[[#This Row],[QT_CANA_REAL]],ESTIMATIVA[[#This Row],[QT_CANA_REST1]])</f>
        <v>2055.7399999999998</v>
      </c>
      <c r="AF546" s="1">
        <f>IF(ESTIMATIVA[[#This Row],[QT_AREA_REAL]]&gt;0,ESTIMATIVA[[#This Row],[QT_CANA_REAL]],ESTIMATIVA[[#This Row],[QT_CANA_REST2]])</f>
        <v>2055.7399999999998</v>
      </c>
      <c r="AG546" s="1" t="str">
        <f>IF(COUNTIFS(GEADA!A:A,VALUE(ESTIMATIVA[[#This Row],[CD_UPNIVEL1]]&amp;TEXT(ESTIMATIVA[[#This Row],[CD_UPNIVEL3]],"0000")))&gt;0,"S","N")</f>
        <v>N</v>
      </c>
      <c r="AH54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46" s="55" t="str">
        <f>IF(ESTIMATIVA[[#This Row],[TP_CULTIVO]]="Irrigado",_xlfn.MAXIFS(IRRIGADO!J:J,IRRIGADO!C:C,ESTIMATIVA[[#This Row],[CD_UPNIVEL1]],IRRIGADO!E:E,ESTIMATIVA[[#This Row],[CD_UPNIVEL3]]),"")</f>
        <v/>
      </c>
      <c r="AJ54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46" s="1">
        <f>COUNTIFS(Apresentação!$E$23:$E$29,ESTIMATIVA[[#This Row],[CD_UPNIVEL1]])</f>
        <v>0</v>
      </c>
    </row>
    <row r="547" spans="1:37" x14ac:dyDescent="0.3">
      <c r="A547">
        <v>20319</v>
      </c>
      <c r="B547" t="s">
        <v>125</v>
      </c>
      <c r="C547">
        <v>3</v>
      </c>
      <c r="D547">
        <v>3</v>
      </c>
      <c r="E547" t="s">
        <v>263</v>
      </c>
      <c r="F547" s="85" t="s">
        <v>332</v>
      </c>
      <c r="G547"/>
      <c r="H547" t="s">
        <v>295</v>
      </c>
      <c r="I547" t="s">
        <v>200</v>
      </c>
      <c r="J547" t="s">
        <v>176</v>
      </c>
      <c r="K547" s="1">
        <v>10.25</v>
      </c>
      <c r="L547" s="1">
        <v>10.25</v>
      </c>
      <c r="M547" s="1">
        <v>10.25</v>
      </c>
      <c r="N547" s="1">
        <v>10.25</v>
      </c>
      <c r="O547" s="1">
        <v>902</v>
      </c>
      <c r="P547" s="1">
        <v>943</v>
      </c>
      <c r="Q547" s="1">
        <v>943</v>
      </c>
      <c r="R547" s="1">
        <v>896.61</v>
      </c>
      <c r="S547" t="s">
        <v>12</v>
      </c>
      <c r="T547" s="13">
        <v>45984</v>
      </c>
      <c r="U547" s="1" t="str">
        <f>IF(ESTIMATIVA[[#This Row],[QT_AREA_REAL]]&gt;0,"1- Colhido","2- à Colher")</f>
        <v>1- Colhido</v>
      </c>
      <c r="V547" s="1" t="str">
        <f>IF(ESTIMATIVA[[#This Row],[QT_AREA_REST1]]&gt;0,"Reestimativa 1",IF(ESTIMATIVA[[#This Row],[QT_AREA_REAL]]=0,"Reestimativa 1","Realizado"))</f>
        <v>Reestimativa 1</v>
      </c>
      <c r="W547" s="1" t="str">
        <f>IF(ESTIMATIVA[[#This Row],[QT_AREA_REST2]]&gt;0,"Reestimativa 2",IF(ESTIMATIVA[[#This Row],[QT_AREA_REAL]]=0,"Reestimativa 2","Realizado"))</f>
        <v>Reestimativa 2</v>
      </c>
      <c r="X547" s="1">
        <f>ESTIMATIVA[[#This Row],[QT_AREA_EST]]</f>
        <v>10.25</v>
      </c>
      <c r="Y547" s="1">
        <f>IF(ESTIMATIVA[[#This Row],[QT_AREA_REST1]]&gt;0,ESTIMATIVA[[#This Row],[QT_AREA_REST1]],
  IF(ESTIMATIVA[[#This Row],[QT_AREA_REAL]]&gt;0,ESTIMATIVA[[#This Row],[QT_AREA_REAL]],ESTIMATIVA[[#This Row],[QT_AREA_EST]]))</f>
        <v>10.25</v>
      </c>
      <c r="Z54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10.25</v>
      </c>
      <c r="AA547" s="1">
        <f>ESTIMATIVA[[#This Row],[QT_CANA_EST]]</f>
        <v>902</v>
      </c>
      <c r="AB547" s="1">
        <f>IF(ESTIMATIVA[[#This Row],[QT_CANA_REST1]]&gt;0,ESTIMATIVA[[#This Row],[QT_CANA_REST1]],
  IF(ESTIMATIVA[[#This Row],[QT_CANA_REAL]]&gt;0,ESTIMATIVA[[#This Row],[QT_CANA_REAL]],ESTIMATIVA[[#This Row],[QT_CANA_EST]]))</f>
        <v>943</v>
      </c>
      <c r="AC54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943</v>
      </c>
      <c r="AD547" s="1">
        <f>IF(ESTIMATIVA[[#This Row],[QT_AREA_REAL]]&gt;0,ESTIMATIVA[[#This Row],[QT_CANA_REAL]],ESTIMATIVA[[#This Row],[QT_CANA_EST]])</f>
        <v>896.61</v>
      </c>
      <c r="AE547" s="1">
        <f>IF(ESTIMATIVA[[#This Row],[QT_AREA_REAL]]&gt;0,ESTIMATIVA[[#This Row],[QT_CANA_REAL]],ESTIMATIVA[[#This Row],[QT_CANA_REST1]])</f>
        <v>896.61</v>
      </c>
      <c r="AF547" s="1">
        <f>IF(ESTIMATIVA[[#This Row],[QT_AREA_REAL]]&gt;0,ESTIMATIVA[[#This Row],[QT_CANA_REAL]],ESTIMATIVA[[#This Row],[QT_CANA_REST2]])</f>
        <v>896.61</v>
      </c>
      <c r="AG547" s="1" t="str">
        <f>IF(COUNTIFS(GEADA!A:A,VALUE(ESTIMATIVA[[#This Row],[CD_UPNIVEL1]]&amp;TEXT(ESTIMATIVA[[#This Row],[CD_UPNIVEL3]],"0000")))&gt;0,"S","N")</f>
        <v>N</v>
      </c>
      <c r="AH54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47" s="55" t="str">
        <f>IF(ESTIMATIVA[[#This Row],[TP_CULTIVO]]="Irrigado",_xlfn.MAXIFS(IRRIGADO!J:J,IRRIGADO!C:C,ESTIMATIVA[[#This Row],[CD_UPNIVEL1]],IRRIGADO!E:E,ESTIMATIVA[[#This Row],[CD_UPNIVEL3]]),"")</f>
        <v/>
      </c>
      <c r="AJ54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47" s="1">
        <f>COUNTIFS(Apresentação!$E$23:$E$29,ESTIMATIVA[[#This Row],[CD_UPNIVEL1]])</f>
        <v>0</v>
      </c>
    </row>
    <row r="548" spans="1:37" x14ac:dyDescent="0.3">
      <c r="A548">
        <v>20319</v>
      </c>
      <c r="B548" t="s">
        <v>125</v>
      </c>
      <c r="C548">
        <v>4</v>
      </c>
      <c r="D548">
        <v>3</v>
      </c>
      <c r="E548" t="s">
        <v>263</v>
      </c>
      <c r="F548" s="85" t="s">
        <v>332</v>
      </c>
      <c r="G548"/>
      <c r="H548" t="s">
        <v>295</v>
      </c>
      <c r="I548" t="s">
        <v>200</v>
      </c>
      <c r="J548" t="s">
        <v>176</v>
      </c>
      <c r="K548" s="1">
        <v>3.11</v>
      </c>
      <c r="L548" s="1">
        <v>3.11</v>
      </c>
      <c r="M548" s="1">
        <v>3.11</v>
      </c>
      <c r="N548" s="1">
        <v>3.11</v>
      </c>
      <c r="O548" s="1">
        <v>279.89999999999998</v>
      </c>
      <c r="P548" s="1">
        <v>292.33999999999997</v>
      </c>
      <c r="Q548" s="1">
        <v>292.33999999999997</v>
      </c>
      <c r="R548" s="1">
        <v>277.94</v>
      </c>
      <c r="S548" t="s">
        <v>12</v>
      </c>
      <c r="T548" s="13">
        <v>45984</v>
      </c>
      <c r="U548" s="1" t="str">
        <f>IF(ESTIMATIVA[[#This Row],[QT_AREA_REAL]]&gt;0,"1- Colhido","2- à Colher")</f>
        <v>1- Colhido</v>
      </c>
      <c r="V548" s="1" t="str">
        <f>IF(ESTIMATIVA[[#This Row],[QT_AREA_REST1]]&gt;0,"Reestimativa 1",IF(ESTIMATIVA[[#This Row],[QT_AREA_REAL]]=0,"Reestimativa 1","Realizado"))</f>
        <v>Reestimativa 1</v>
      </c>
      <c r="W548" s="1" t="str">
        <f>IF(ESTIMATIVA[[#This Row],[QT_AREA_REST2]]&gt;0,"Reestimativa 2",IF(ESTIMATIVA[[#This Row],[QT_AREA_REAL]]=0,"Reestimativa 2","Realizado"))</f>
        <v>Reestimativa 2</v>
      </c>
      <c r="X548" s="1">
        <f>ESTIMATIVA[[#This Row],[QT_AREA_EST]]</f>
        <v>3.11</v>
      </c>
      <c r="Y548" s="1">
        <f>IF(ESTIMATIVA[[#This Row],[QT_AREA_REST1]]&gt;0,ESTIMATIVA[[#This Row],[QT_AREA_REST1]],
  IF(ESTIMATIVA[[#This Row],[QT_AREA_REAL]]&gt;0,ESTIMATIVA[[#This Row],[QT_AREA_REAL]],ESTIMATIVA[[#This Row],[QT_AREA_EST]]))</f>
        <v>3.11</v>
      </c>
      <c r="Z54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3.11</v>
      </c>
      <c r="AA548" s="1">
        <f>ESTIMATIVA[[#This Row],[QT_CANA_EST]]</f>
        <v>279.89999999999998</v>
      </c>
      <c r="AB548" s="1">
        <f>IF(ESTIMATIVA[[#This Row],[QT_CANA_REST1]]&gt;0,ESTIMATIVA[[#This Row],[QT_CANA_REST1]],
  IF(ESTIMATIVA[[#This Row],[QT_CANA_REAL]]&gt;0,ESTIMATIVA[[#This Row],[QT_CANA_REAL]],ESTIMATIVA[[#This Row],[QT_CANA_EST]]))</f>
        <v>292.33999999999997</v>
      </c>
      <c r="AC54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292.33999999999997</v>
      </c>
      <c r="AD548" s="1">
        <f>IF(ESTIMATIVA[[#This Row],[QT_AREA_REAL]]&gt;0,ESTIMATIVA[[#This Row],[QT_CANA_REAL]],ESTIMATIVA[[#This Row],[QT_CANA_EST]])</f>
        <v>277.94</v>
      </c>
      <c r="AE548" s="1">
        <f>IF(ESTIMATIVA[[#This Row],[QT_AREA_REAL]]&gt;0,ESTIMATIVA[[#This Row],[QT_CANA_REAL]],ESTIMATIVA[[#This Row],[QT_CANA_REST1]])</f>
        <v>277.94</v>
      </c>
      <c r="AF548" s="1">
        <f>IF(ESTIMATIVA[[#This Row],[QT_AREA_REAL]]&gt;0,ESTIMATIVA[[#This Row],[QT_CANA_REAL]],ESTIMATIVA[[#This Row],[QT_CANA_REST2]])</f>
        <v>277.94</v>
      </c>
      <c r="AG548" s="1" t="str">
        <f>IF(COUNTIFS(GEADA!A:A,VALUE(ESTIMATIVA[[#This Row],[CD_UPNIVEL1]]&amp;TEXT(ESTIMATIVA[[#This Row],[CD_UPNIVEL3]],"0000")))&gt;0,"S","N")</f>
        <v>N</v>
      </c>
      <c r="AH54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48" s="55" t="str">
        <f>IF(ESTIMATIVA[[#This Row],[TP_CULTIVO]]="Irrigado",_xlfn.MAXIFS(IRRIGADO!J:J,IRRIGADO!C:C,ESTIMATIVA[[#This Row],[CD_UPNIVEL1]],IRRIGADO!E:E,ESTIMATIVA[[#This Row],[CD_UPNIVEL3]]),"")</f>
        <v/>
      </c>
      <c r="AJ54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48" s="1">
        <f>COUNTIFS(Apresentação!$E$23:$E$29,ESTIMATIVA[[#This Row],[CD_UPNIVEL1]])</f>
        <v>0</v>
      </c>
    </row>
    <row r="549" spans="1:37" x14ac:dyDescent="0.3">
      <c r="A549">
        <v>20319</v>
      </c>
      <c r="B549" t="s">
        <v>125</v>
      </c>
      <c r="C549">
        <v>5</v>
      </c>
      <c r="D549">
        <v>3</v>
      </c>
      <c r="E549" t="s">
        <v>263</v>
      </c>
      <c r="F549" s="85" t="s">
        <v>331</v>
      </c>
      <c r="G549"/>
      <c r="H549" t="s">
        <v>295</v>
      </c>
      <c r="I549" t="s">
        <v>200</v>
      </c>
      <c r="J549" t="s">
        <v>176</v>
      </c>
      <c r="K549" s="1">
        <v>8.1999999999999993</v>
      </c>
      <c r="L549" s="1">
        <v>8.1999999999999993</v>
      </c>
      <c r="M549" s="1">
        <v>8.1999999999999993</v>
      </c>
      <c r="N549" s="1">
        <v>0</v>
      </c>
      <c r="O549" s="1">
        <v>656</v>
      </c>
      <c r="P549" s="1">
        <v>705.2</v>
      </c>
      <c r="Q549" s="1">
        <v>656</v>
      </c>
      <c r="R549" s="1">
        <v>0</v>
      </c>
      <c r="S549" t="s">
        <v>12</v>
      </c>
      <c r="T549" s="13"/>
      <c r="U549" s="1" t="str">
        <f>IF(ESTIMATIVA[[#This Row],[QT_AREA_REAL]]&gt;0,"1- Colhido","2- à Colher")</f>
        <v>2- à Colher</v>
      </c>
      <c r="V549" s="1" t="str">
        <f>IF(ESTIMATIVA[[#This Row],[QT_AREA_REST1]]&gt;0,"Reestimativa 1",IF(ESTIMATIVA[[#This Row],[QT_AREA_REAL]]=0,"Reestimativa 1","Realizado"))</f>
        <v>Reestimativa 1</v>
      </c>
      <c r="W549" s="1" t="str">
        <f>IF(ESTIMATIVA[[#This Row],[QT_AREA_REST2]]&gt;0,"Reestimativa 2",IF(ESTIMATIVA[[#This Row],[QT_AREA_REAL]]=0,"Reestimativa 2","Realizado"))</f>
        <v>Reestimativa 2</v>
      </c>
      <c r="X549" s="1">
        <f>ESTIMATIVA[[#This Row],[QT_AREA_EST]]</f>
        <v>8.1999999999999993</v>
      </c>
      <c r="Y549" s="1">
        <f>IF(ESTIMATIVA[[#This Row],[QT_AREA_REST1]]&gt;0,ESTIMATIVA[[#This Row],[QT_AREA_REST1]],
  IF(ESTIMATIVA[[#This Row],[QT_AREA_REAL]]&gt;0,ESTIMATIVA[[#This Row],[QT_AREA_REAL]],ESTIMATIVA[[#This Row],[QT_AREA_EST]]))</f>
        <v>8.1999999999999993</v>
      </c>
      <c r="Z54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8.1999999999999993</v>
      </c>
      <c r="AA549" s="1">
        <f>ESTIMATIVA[[#This Row],[QT_CANA_EST]]</f>
        <v>656</v>
      </c>
      <c r="AB549" s="1">
        <f>IF(ESTIMATIVA[[#This Row],[QT_CANA_REST1]]&gt;0,ESTIMATIVA[[#This Row],[QT_CANA_REST1]],
  IF(ESTIMATIVA[[#This Row],[QT_CANA_REAL]]&gt;0,ESTIMATIVA[[#This Row],[QT_CANA_REAL]],ESTIMATIVA[[#This Row],[QT_CANA_EST]]))</f>
        <v>705.2</v>
      </c>
      <c r="AC54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656</v>
      </c>
      <c r="AD549" s="1">
        <f>IF(ESTIMATIVA[[#This Row],[QT_AREA_REAL]]&gt;0,ESTIMATIVA[[#This Row],[QT_CANA_REAL]],ESTIMATIVA[[#This Row],[QT_CANA_EST]])</f>
        <v>656</v>
      </c>
      <c r="AE549" s="1">
        <f>IF(ESTIMATIVA[[#This Row],[QT_AREA_REAL]]&gt;0,ESTIMATIVA[[#This Row],[QT_CANA_REAL]],ESTIMATIVA[[#This Row],[QT_CANA_REST1]])</f>
        <v>705.2</v>
      </c>
      <c r="AF549" s="1">
        <f>IF(ESTIMATIVA[[#This Row],[QT_AREA_REAL]]&gt;0,ESTIMATIVA[[#This Row],[QT_CANA_REAL]],ESTIMATIVA[[#This Row],[QT_CANA_REST2]])</f>
        <v>656</v>
      </c>
      <c r="AG549" s="1" t="str">
        <f>IF(COUNTIFS(GEADA!A:A,VALUE(ESTIMATIVA[[#This Row],[CD_UPNIVEL1]]&amp;TEXT(ESTIMATIVA[[#This Row],[CD_UPNIVEL3]],"0000")))&gt;0,"S","N")</f>
        <v>N</v>
      </c>
      <c r="AH54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49" s="55" t="str">
        <f>IF(ESTIMATIVA[[#This Row],[TP_CULTIVO]]="Irrigado",_xlfn.MAXIFS(IRRIGADO!J:J,IRRIGADO!C:C,ESTIMATIVA[[#This Row],[CD_UPNIVEL1]],IRRIGADO!E:E,ESTIMATIVA[[#This Row],[CD_UPNIVEL3]]),"")</f>
        <v/>
      </c>
      <c r="AJ54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49" s="1">
        <f>COUNTIFS(Apresentação!$E$23:$E$29,ESTIMATIVA[[#This Row],[CD_UPNIVEL1]])</f>
        <v>0</v>
      </c>
    </row>
    <row r="550" spans="1:37" x14ac:dyDescent="0.3">
      <c r="A550">
        <v>20319</v>
      </c>
      <c r="B550" t="s">
        <v>125</v>
      </c>
      <c r="C550">
        <v>6</v>
      </c>
      <c r="D550">
        <v>3</v>
      </c>
      <c r="E550" t="s">
        <v>263</v>
      </c>
      <c r="F550" s="85" t="s">
        <v>331</v>
      </c>
      <c r="G550"/>
      <c r="H550" t="s">
        <v>295</v>
      </c>
      <c r="I550" t="s">
        <v>200</v>
      </c>
      <c r="J550" t="s">
        <v>176</v>
      </c>
      <c r="K550" s="1">
        <v>14.83</v>
      </c>
      <c r="L550" s="1">
        <v>14.83</v>
      </c>
      <c r="M550" s="1">
        <v>14.83</v>
      </c>
      <c r="N550" s="1">
        <v>14.83</v>
      </c>
      <c r="O550" s="1">
        <v>1186.4000000000001</v>
      </c>
      <c r="P550" s="1">
        <v>1275.3800000000001</v>
      </c>
      <c r="Q550" s="1">
        <v>1186.4000000000001</v>
      </c>
      <c r="R550" s="1">
        <v>267.64</v>
      </c>
      <c r="S550" t="s">
        <v>12</v>
      </c>
      <c r="T550" s="13">
        <v>46005</v>
      </c>
      <c r="U550" s="1" t="str">
        <f>IF(ESTIMATIVA[[#This Row],[QT_AREA_REAL]]&gt;0,"1- Colhido","2- à Colher")</f>
        <v>1- Colhido</v>
      </c>
      <c r="V550" s="1" t="str">
        <f>IF(ESTIMATIVA[[#This Row],[QT_AREA_REST1]]&gt;0,"Reestimativa 1",IF(ESTIMATIVA[[#This Row],[QT_AREA_REAL]]=0,"Reestimativa 1","Realizado"))</f>
        <v>Reestimativa 1</v>
      </c>
      <c r="W550" s="1" t="str">
        <f>IF(ESTIMATIVA[[#This Row],[QT_AREA_REST2]]&gt;0,"Reestimativa 2",IF(ESTIMATIVA[[#This Row],[QT_AREA_REAL]]=0,"Reestimativa 2","Realizado"))</f>
        <v>Reestimativa 2</v>
      </c>
      <c r="X550" s="1">
        <f>ESTIMATIVA[[#This Row],[QT_AREA_EST]]</f>
        <v>14.83</v>
      </c>
      <c r="Y550" s="1">
        <f>IF(ESTIMATIVA[[#This Row],[QT_AREA_REST1]]&gt;0,ESTIMATIVA[[#This Row],[QT_AREA_REST1]],
  IF(ESTIMATIVA[[#This Row],[QT_AREA_REAL]]&gt;0,ESTIMATIVA[[#This Row],[QT_AREA_REAL]],ESTIMATIVA[[#This Row],[QT_AREA_EST]]))</f>
        <v>14.83</v>
      </c>
      <c r="Z55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14.83</v>
      </c>
      <c r="AA550" s="1">
        <f>ESTIMATIVA[[#This Row],[QT_CANA_EST]]</f>
        <v>1186.4000000000001</v>
      </c>
      <c r="AB550" s="1">
        <f>IF(ESTIMATIVA[[#This Row],[QT_CANA_REST1]]&gt;0,ESTIMATIVA[[#This Row],[QT_CANA_REST1]],
  IF(ESTIMATIVA[[#This Row],[QT_CANA_REAL]]&gt;0,ESTIMATIVA[[#This Row],[QT_CANA_REAL]],ESTIMATIVA[[#This Row],[QT_CANA_EST]]))</f>
        <v>1275.3800000000001</v>
      </c>
      <c r="AC55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1186.4000000000001</v>
      </c>
      <c r="AD550" s="1">
        <f>IF(ESTIMATIVA[[#This Row],[QT_AREA_REAL]]&gt;0,ESTIMATIVA[[#This Row],[QT_CANA_REAL]],ESTIMATIVA[[#This Row],[QT_CANA_EST]])</f>
        <v>267.64</v>
      </c>
      <c r="AE550" s="1">
        <f>IF(ESTIMATIVA[[#This Row],[QT_AREA_REAL]]&gt;0,ESTIMATIVA[[#This Row],[QT_CANA_REAL]],ESTIMATIVA[[#This Row],[QT_CANA_REST1]])</f>
        <v>267.64</v>
      </c>
      <c r="AF550" s="1">
        <f>IF(ESTIMATIVA[[#This Row],[QT_AREA_REAL]]&gt;0,ESTIMATIVA[[#This Row],[QT_CANA_REAL]],ESTIMATIVA[[#This Row],[QT_CANA_REST2]])</f>
        <v>267.64</v>
      </c>
      <c r="AG550" s="1" t="str">
        <f>IF(COUNTIFS(GEADA!A:A,VALUE(ESTIMATIVA[[#This Row],[CD_UPNIVEL1]]&amp;TEXT(ESTIMATIVA[[#This Row],[CD_UPNIVEL3]],"0000")))&gt;0,"S","N")</f>
        <v>N</v>
      </c>
      <c r="AH55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50" s="55" t="str">
        <f>IF(ESTIMATIVA[[#This Row],[TP_CULTIVO]]="Irrigado",_xlfn.MAXIFS(IRRIGADO!J:J,IRRIGADO!C:C,ESTIMATIVA[[#This Row],[CD_UPNIVEL1]],IRRIGADO!E:E,ESTIMATIVA[[#This Row],[CD_UPNIVEL3]]),"")</f>
        <v/>
      </c>
      <c r="AJ55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50" s="1">
        <f>COUNTIFS(Apresentação!$E$23:$E$29,ESTIMATIVA[[#This Row],[CD_UPNIVEL1]])</f>
        <v>0</v>
      </c>
    </row>
    <row r="551" spans="1:37" x14ac:dyDescent="0.3">
      <c r="A551">
        <v>20319</v>
      </c>
      <c r="B551" t="s">
        <v>125</v>
      </c>
      <c r="C551">
        <v>7</v>
      </c>
      <c r="D551">
        <v>3</v>
      </c>
      <c r="E551" t="s">
        <v>263</v>
      </c>
      <c r="F551" s="85" t="s">
        <v>331</v>
      </c>
      <c r="G551"/>
      <c r="H551" t="s">
        <v>295</v>
      </c>
      <c r="I551" t="s">
        <v>200</v>
      </c>
      <c r="J551" t="s">
        <v>176</v>
      </c>
      <c r="K551" s="1">
        <v>5.0599999999999996</v>
      </c>
      <c r="L551" s="1">
        <v>5.0599999999999996</v>
      </c>
      <c r="M551" s="1">
        <v>5.0599999999999996</v>
      </c>
      <c r="N551" s="1">
        <v>5.0599999999999996</v>
      </c>
      <c r="O551" s="1">
        <v>399.74</v>
      </c>
      <c r="P551" s="1">
        <v>409.86</v>
      </c>
      <c r="Q551" s="1">
        <v>404.8</v>
      </c>
      <c r="R551" s="1">
        <v>353.36</v>
      </c>
      <c r="S551" t="s">
        <v>12</v>
      </c>
      <c r="T551" s="13">
        <v>46005</v>
      </c>
      <c r="U551" s="1" t="str">
        <f>IF(ESTIMATIVA[[#This Row],[QT_AREA_REAL]]&gt;0,"1- Colhido","2- à Colher")</f>
        <v>1- Colhido</v>
      </c>
      <c r="V551" s="1" t="str">
        <f>IF(ESTIMATIVA[[#This Row],[QT_AREA_REST1]]&gt;0,"Reestimativa 1",IF(ESTIMATIVA[[#This Row],[QT_AREA_REAL]]=0,"Reestimativa 1","Realizado"))</f>
        <v>Reestimativa 1</v>
      </c>
      <c r="W551" s="1" t="str">
        <f>IF(ESTIMATIVA[[#This Row],[QT_AREA_REST2]]&gt;0,"Reestimativa 2",IF(ESTIMATIVA[[#This Row],[QT_AREA_REAL]]=0,"Reestimativa 2","Realizado"))</f>
        <v>Reestimativa 2</v>
      </c>
      <c r="X551" s="1">
        <f>ESTIMATIVA[[#This Row],[QT_AREA_EST]]</f>
        <v>5.0599999999999996</v>
      </c>
      <c r="Y551" s="1">
        <f>IF(ESTIMATIVA[[#This Row],[QT_AREA_REST1]]&gt;0,ESTIMATIVA[[#This Row],[QT_AREA_REST1]],
  IF(ESTIMATIVA[[#This Row],[QT_AREA_REAL]]&gt;0,ESTIMATIVA[[#This Row],[QT_AREA_REAL]],ESTIMATIVA[[#This Row],[QT_AREA_EST]]))</f>
        <v>5.0599999999999996</v>
      </c>
      <c r="Z55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5.0599999999999996</v>
      </c>
      <c r="AA551" s="1">
        <f>ESTIMATIVA[[#This Row],[QT_CANA_EST]]</f>
        <v>399.74</v>
      </c>
      <c r="AB551" s="1">
        <f>IF(ESTIMATIVA[[#This Row],[QT_CANA_REST1]]&gt;0,ESTIMATIVA[[#This Row],[QT_CANA_REST1]],
  IF(ESTIMATIVA[[#This Row],[QT_CANA_REAL]]&gt;0,ESTIMATIVA[[#This Row],[QT_CANA_REAL]],ESTIMATIVA[[#This Row],[QT_CANA_EST]]))</f>
        <v>409.86</v>
      </c>
      <c r="AC55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404.8</v>
      </c>
      <c r="AD551" s="1">
        <f>IF(ESTIMATIVA[[#This Row],[QT_AREA_REAL]]&gt;0,ESTIMATIVA[[#This Row],[QT_CANA_REAL]],ESTIMATIVA[[#This Row],[QT_CANA_EST]])</f>
        <v>353.36</v>
      </c>
      <c r="AE551" s="1">
        <f>IF(ESTIMATIVA[[#This Row],[QT_AREA_REAL]]&gt;0,ESTIMATIVA[[#This Row],[QT_CANA_REAL]],ESTIMATIVA[[#This Row],[QT_CANA_REST1]])</f>
        <v>353.36</v>
      </c>
      <c r="AF551" s="1">
        <f>IF(ESTIMATIVA[[#This Row],[QT_AREA_REAL]]&gt;0,ESTIMATIVA[[#This Row],[QT_CANA_REAL]],ESTIMATIVA[[#This Row],[QT_CANA_REST2]])</f>
        <v>353.36</v>
      </c>
      <c r="AG551" s="1" t="str">
        <f>IF(COUNTIFS(GEADA!A:A,VALUE(ESTIMATIVA[[#This Row],[CD_UPNIVEL1]]&amp;TEXT(ESTIMATIVA[[#This Row],[CD_UPNIVEL3]],"0000")))&gt;0,"S","N")</f>
        <v>N</v>
      </c>
      <c r="AH55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51" s="55" t="str">
        <f>IF(ESTIMATIVA[[#This Row],[TP_CULTIVO]]="Irrigado",_xlfn.MAXIFS(IRRIGADO!J:J,IRRIGADO!C:C,ESTIMATIVA[[#This Row],[CD_UPNIVEL1]],IRRIGADO!E:E,ESTIMATIVA[[#This Row],[CD_UPNIVEL3]]),"")</f>
        <v/>
      </c>
      <c r="AJ55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51" s="1">
        <f>COUNTIFS(Apresentação!$E$23:$E$29,ESTIMATIVA[[#This Row],[CD_UPNIVEL1]])</f>
        <v>0</v>
      </c>
    </row>
    <row r="552" spans="1:37" x14ac:dyDescent="0.3">
      <c r="A552">
        <v>20319</v>
      </c>
      <c r="B552" t="s">
        <v>125</v>
      </c>
      <c r="C552">
        <v>8</v>
      </c>
      <c r="D552">
        <v>3</v>
      </c>
      <c r="E552" t="s">
        <v>263</v>
      </c>
      <c r="F552" s="85" t="s">
        <v>331</v>
      </c>
      <c r="G552"/>
      <c r="H552" t="s">
        <v>295</v>
      </c>
      <c r="I552" t="s">
        <v>200</v>
      </c>
      <c r="J552" t="s">
        <v>176</v>
      </c>
      <c r="K552" s="1">
        <v>29.42</v>
      </c>
      <c r="L552" s="1">
        <v>29.42</v>
      </c>
      <c r="M552" s="1">
        <v>29.42</v>
      </c>
      <c r="N552" s="1">
        <v>29.42</v>
      </c>
      <c r="O552" s="1">
        <v>2324.1799999999998</v>
      </c>
      <c r="P552" s="1">
        <v>2383.02</v>
      </c>
      <c r="Q552" s="1">
        <v>2353.6</v>
      </c>
      <c r="R552" s="1">
        <v>2065.37</v>
      </c>
      <c r="S552" t="s">
        <v>12</v>
      </c>
      <c r="T552" s="13">
        <v>46005</v>
      </c>
      <c r="U552" s="1" t="str">
        <f>IF(ESTIMATIVA[[#This Row],[QT_AREA_REAL]]&gt;0,"1- Colhido","2- à Colher")</f>
        <v>1- Colhido</v>
      </c>
      <c r="V552" s="1" t="str">
        <f>IF(ESTIMATIVA[[#This Row],[QT_AREA_REST1]]&gt;0,"Reestimativa 1",IF(ESTIMATIVA[[#This Row],[QT_AREA_REAL]]=0,"Reestimativa 1","Realizado"))</f>
        <v>Reestimativa 1</v>
      </c>
      <c r="W552" s="1" t="str">
        <f>IF(ESTIMATIVA[[#This Row],[QT_AREA_REST2]]&gt;0,"Reestimativa 2",IF(ESTIMATIVA[[#This Row],[QT_AREA_REAL]]=0,"Reestimativa 2","Realizado"))</f>
        <v>Reestimativa 2</v>
      </c>
      <c r="X552" s="1">
        <f>ESTIMATIVA[[#This Row],[QT_AREA_EST]]</f>
        <v>29.42</v>
      </c>
      <c r="Y552" s="1">
        <f>IF(ESTIMATIVA[[#This Row],[QT_AREA_REST1]]&gt;0,ESTIMATIVA[[#This Row],[QT_AREA_REST1]],
  IF(ESTIMATIVA[[#This Row],[QT_AREA_REAL]]&gt;0,ESTIMATIVA[[#This Row],[QT_AREA_REAL]],ESTIMATIVA[[#This Row],[QT_AREA_EST]]))</f>
        <v>29.42</v>
      </c>
      <c r="Z55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29.42</v>
      </c>
      <c r="AA552" s="1">
        <f>ESTIMATIVA[[#This Row],[QT_CANA_EST]]</f>
        <v>2324.1799999999998</v>
      </c>
      <c r="AB552" s="1">
        <f>IF(ESTIMATIVA[[#This Row],[QT_CANA_REST1]]&gt;0,ESTIMATIVA[[#This Row],[QT_CANA_REST1]],
  IF(ESTIMATIVA[[#This Row],[QT_CANA_REAL]]&gt;0,ESTIMATIVA[[#This Row],[QT_CANA_REAL]],ESTIMATIVA[[#This Row],[QT_CANA_EST]]))</f>
        <v>2383.02</v>
      </c>
      <c r="AC55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2353.6</v>
      </c>
      <c r="AD552" s="1">
        <f>IF(ESTIMATIVA[[#This Row],[QT_AREA_REAL]]&gt;0,ESTIMATIVA[[#This Row],[QT_CANA_REAL]],ESTIMATIVA[[#This Row],[QT_CANA_EST]])</f>
        <v>2065.37</v>
      </c>
      <c r="AE552" s="1">
        <f>IF(ESTIMATIVA[[#This Row],[QT_AREA_REAL]]&gt;0,ESTIMATIVA[[#This Row],[QT_CANA_REAL]],ESTIMATIVA[[#This Row],[QT_CANA_REST1]])</f>
        <v>2065.37</v>
      </c>
      <c r="AF552" s="1">
        <f>IF(ESTIMATIVA[[#This Row],[QT_AREA_REAL]]&gt;0,ESTIMATIVA[[#This Row],[QT_CANA_REAL]],ESTIMATIVA[[#This Row],[QT_CANA_REST2]])</f>
        <v>2065.37</v>
      </c>
      <c r="AG552" s="1" t="str">
        <f>IF(COUNTIFS(GEADA!A:A,VALUE(ESTIMATIVA[[#This Row],[CD_UPNIVEL1]]&amp;TEXT(ESTIMATIVA[[#This Row],[CD_UPNIVEL3]],"0000")))&gt;0,"S","N")</f>
        <v>N</v>
      </c>
      <c r="AH55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52" s="55" t="str">
        <f>IF(ESTIMATIVA[[#This Row],[TP_CULTIVO]]="Irrigado",_xlfn.MAXIFS(IRRIGADO!J:J,IRRIGADO!C:C,ESTIMATIVA[[#This Row],[CD_UPNIVEL1]],IRRIGADO!E:E,ESTIMATIVA[[#This Row],[CD_UPNIVEL3]]),"")</f>
        <v/>
      </c>
      <c r="AJ55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52" s="1">
        <f>COUNTIFS(Apresentação!$E$23:$E$29,ESTIMATIVA[[#This Row],[CD_UPNIVEL1]])</f>
        <v>0</v>
      </c>
    </row>
    <row r="553" spans="1:37" x14ac:dyDescent="0.3">
      <c r="A553">
        <v>20319</v>
      </c>
      <c r="B553" t="s">
        <v>125</v>
      </c>
      <c r="C553">
        <v>9</v>
      </c>
      <c r="D553">
        <v>3</v>
      </c>
      <c r="E553" t="s">
        <v>263</v>
      </c>
      <c r="F553" s="85" t="s">
        <v>331</v>
      </c>
      <c r="G553"/>
      <c r="H553" t="s">
        <v>295</v>
      </c>
      <c r="I553" t="s">
        <v>200</v>
      </c>
      <c r="J553" t="s">
        <v>176</v>
      </c>
      <c r="K553" s="1">
        <v>11.66</v>
      </c>
      <c r="L553" s="1">
        <v>11.66</v>
      </c>
      <c r="M553" s="1">
        <v>11.66</v>
      </c>
      <c r="N553" s="1">
        <v>11.66</v>
      </c>
      <c r="O553" s="1">
        <v>979.44</v>
      </c>
      <c r="P553" s="1">
        <v>1026.08</v>
      </c>
      <c r="Q553" s="1">
        <v>932.8</v>
      </c>
      <c r="R553" s="1">
        <v>782.56</v>
      </c>
      <c r="S553" t="s">
        <v>12</v>
      </c>
      <c r="T553" s="13">
        <v>46005</v>
      </c>
      <c r="U553" s="1" t="str">
        <f>IF(ESTIMATIVA[[#This Row],[QT_AREA_REAL]]&gt;0,"1- Colhido","2- à Colher")</f>
        <v>1- Colhido</v>
      </c>
      <c r="V553" s="1" t="str">
        <f>IF(ESTIMATIVA[[#This Row],[QT_AREA_REST1]]&gt;0,"Reestimativa 1",IF(ESTIMATIVA[[#This Row],[QT_AREA_REAL]]=0,"Reestimativa 1","Realizado"))</f>
        <v>Reestimativa 1</v>
      </c>
      <c r="W553" s="1" t="str">
        <f>IF(ESTIMATIVA[[#This Row],[QT_AREA_REST2]]&gt;0,"Reestimativa 2",IF(ESTIMATIVA[[#This Row],[QT_AREA_REAL]]=0,"Reestimativa 2","Realizado"))</f>
        <v>Reestimativa 2</v>
      </c>
      <c r="X553" s="1">
        <f>ESTIMATIVA[[#This Row],[QT_AREA_EST]]</f>
        <v>11.66</v>
      </c>
      <c r="Y553" s="1">
        <f>IF(ESTIMATIVA[[#This Row],[QT_AREA_REST1]]&gt;0,ESTIMATIVA[[#This Row],[QT_AREA_REST1]],
  IF(ESTIMATIVA[[#This Row],[QT_AREA_REAL]]&gt;0,ESTIMATIVA[[#This Row],[QT_AREA_REAL]],ESTIMATIVA[[#This Row],[QT_AREA_EST]]))</f>
        <v>11.66</v>
      </c>
      <c r="Z55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11.66</v>
      </c>
      <c r="AA553" s="1">
        <f>ESTIMATIVA[[#This Row],[QT_CANA_EST]]</f>
        <v>979.44</v>
      </c>
      <c r="AB553" s="1">
        <f>IF(ESTIMATIVA[[#This Row],[QT_CANA_REST1]]&gt;0,ESTIMATIVA[[#This Row],[QT_CANA_REST1]],
  IF(ESTIMATIVA[[#This Row],[QT_CANA_REAL]]&gt;0,ESTIMATIVA[[#This Row],[QT_CANA_REAL]],ESTIMATIVA[[#This Row],[QT_CANA_EST]]))</f>
        <v>1026.08</v>
      </c>
      <c r="AC55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932.8</v>
      </c>
      <c r="AD553" s="1">
        <f>IF(ESTIMATIVA[[#This Row],[QT_AREA_REAL]]&gt;0,ESTIMATIVA[[#This Row],[QT_CANA_REAL]],ESTIMATIVA[[#This Row],[QT_CANA_EST]])</f>
        <v>782.56</v>
      </c>
      <c r="AE553" s="1">
        <f>IF(ESTIMATIVA[[#This Row],[QT_AREA_REAL]]&gt;0,ESTIMATIVA[[#This Row],[QT_CANA_REAL]],ESTIMATIVA[[#This Row],[QT_CANA_REST1]])</f>
        <v>782.56</v>
      </c>
      <c r="AF553" s="1">
        <f>IF(ESTIMATIVA[[#This Row],[QT_AREA_REAL]]&gt;0,ESTIMATIVA[[#This Row],[QT_CANA_REAL]],ESTIMATIVA[[#This Row],[QT_CANA_REST2]])</f>
        <v>782.56</v>
      </c>
      <c r="AG553" s="1" t="str">
        <f>IF(COUNTIFS(GEADA!A:A,VALUE(ESTIMATIVA[[#This Row],[CD_UPNIVEL1]]&amp;TEXT(ESTIMATIVA[[#This Row],[CD_UPNIVEL3]],"0000")))&gt;0,"S","N")</f>
        <v>N</v>
      </c>
      <c r="AH55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53" s="55" t="str">
        <f>IF(ESTIMATIVA[[#This Row],[TP_CULTIVO]]="Irrigado",_xlfn.MAXIFS(IRRIGADO!J:J,IRRIGADO!C:C,ESTIMATIVA[[#This Row],[CD_UPNIVEL1]],IRRIGADO!E:E,ESTIMATIVA[[#This Row],[CD_UPNIVEL3]]),"")</f>
        <v/>
      </c>
      <c r="AJ55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53" s="1">
        <f>COUNTIFS(Apresentação!$E$23:$E$29,ESTIMATIVA[[#This Row],[CD_UPNIVEL1]])</f>
        <v>0</v>
      </c>
    </row>
    <row r="554" spans="1:37" x14ac:dyDescent="0.3">
      <c r="A554">
        <v>20319</v>
      </c>
      <c r="B554" t="s">
        <v>125</v>
      </c>
      <c r="C554">
        <v>10</v>
      </c>
      <c r="D554">
        <v>3</v>
      </c>
      <c r="E554" t="s">
        <v>263</v>
      </c>
      <c r="F554" s="85" t="s">
        <v>331</v>
      </c>
      <c r="G554"/>
      <c r="H554" t="s">
        <v>295</v>
      </c>
      <c r="I554" t="s">
        <v>200</v>
      </c>
      <c r="J554" t="s">
        <v>176</v>
      </c>
      <c r="K554" s="1">
        <v>19.66</v>
      </c>
      <c r="L554" s="1">
        <v>19.66</v>
      </c>
      <c r="M554" s="1">
        <v>19.66</v>
      </c>
      <c r="N554" s="1">
        <v>19.66</v>
      </c>
      <c r="O554" s="1">
        <v>1651.44</v>
      </c>
      <c r="P554" s="1">
        <v>1730.08</v>
      </c>
      <c r="Q554" s="1">
        <v>1730.08</v>
      </c>
      <c r="R554" s="1">
        <v>1556.96</v>
      </c>
      <c r="S554" t="s">
        <v>12</v>
      </c>
      <c r="T554" s="13">
        <v>46005</v>
      </c>
      <c r="U554" s="1" t="str">
        <f>IF(ESTIMATIVA[[#This Row],[QT_AREA_REAL]]&gt;0,"1- Colhido","2- à Colher")</f>
        <v>1- Colhido</v>
      </c>
      <c r="V554" s="1" t="str">
        <f>IF(ESTIMATIVA[[#This Row],[QT_AREA_REST1]]&gt;0,"Reestimativa 1",IF(ESTIMATIVA[[#This Row],[QT_AREA_REAL]]=0,"Reestimativa 1","Realizado"))</f>
        <v>Reestimativa 1</v>
      </c>
      <c r="W554" s="1" t="str">
        <f>IF(ESTIMATIVA[[#This Row],[QT_AREA_REST2]]&gt;0,"Reestimativa 2",IF(ESTIMATIVA[[#This Row],[QT_AREA_REAL]]=0,"Reestimativa 2","Realizado"))</f>
        <v>Reestimativa 2</v>
      </c>
      <c r="X554" s="1">
        <f>ESTIMATIVA[[#This Row],[QT_AREA_EST]]</f>
        <v>19.66</v>
      </c>
      <c r="Y554" s="1">
        <f>IF(ESTIMATIVA[[#This Row],[QT_AREA_REST1]]&gt;0,ESTIMATIVA[[#This Row],[QT_AREA_REST1]],
  IF(ESTIMATIVA[[#This Row],[QT_AREA_REAL]]&gt;0,ESTIMATIVA[[#This Row],[QT_AREA_REAL]],ESTIMATIVA[[#This Row],[QT_AREA_EST]]))</f>
        <v>19.66</v>
      </c>
      <c r="Z55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19.66</v>
      </c>
      <c r="AA554" s="1">
        <f>ESTIMATIVA[[#This Row],[QT_CANA_EST]]</f>
        <v>1651.44</v>
      </c>
      <c r="AB554" s="1">
        <f>IF(ESTIMATIVA[[#This Row],[QT_CANA_REST1]]&gt;0,ESTIMATIVA[[#This Row],[QT_CANA_REST1]],
  IF(ESTIMATIVA[[#This Row],[QT_CANA_REAL]]&gt;0,ESTIMATIVA[[#This Row],[QT_CANA_REAL]],ESTIMATIVA[[#This Row],[QT_CANA_EST]]))</f>
        <v>1730.08</v>
      </c>
      <c r="AC55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1730.08</v>
      </c>
      <c r="AD554" s="1">
        <f>IF(ESTIMATIVA[[#This Row],[QT_AREA_REAL]]&gt;0,ESTIMATIVA[[#This Row],[QT_CANA_REAL]],ESTIMATIVA[[#This Row],[QT_CANA_EST]])</f>
        <v>1556.96</v>
      </c>
      <c r="AE554" s="1">
        <f>IF(ESTIMATIVA[[#This Row],[QT_AREA_REAL]]&gt;0,ESTIMATIVA[[#This Row],[QT_CANA_REAL]],ESTIMATIVA[[#This Row],[QT_CANA_REST1]])</f>
        <v>1556.96</v>
      </c>
      <c r="AF554" s="1">
        <f>IF(ESTIMATIVA[[#This Row],[QT_AREA_REAL]]&gt;0,ESTIMATIVA[[#This Row],[QT_CANA_REAL]],ESTIMATIVA[[#This Row],[QT_CANA_REST2]])</f>
        <v>1556.96</v>
      </c>
      <c r="AG554" s="1" t="str">
        <f>IF(COUNTIFS(GEADA!A:A,VALUE(ESTIMATIVA[[#This Row],[CD_UPNIVEL1]]&amp;TEXT(ESTIMATIVA[[#This Row],[CD_UPNIVEL3]],"0000")))&gt;0,"S","N")</f>
        <v>N</v>
      </c>
      <c r="AH55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54" s="55" t="str">
        <f>IF(ESTIMATIVA[[#This Row],[TP_CULTIVO]]="Irrigado",_xlfn.MAXIFS(IRRIGADO!J:J,IRRIGADO!C:C,ESTIMATIVA[[#This Row],[CD_UPNIVEL1]],IRRIGADO!E:E,ESTIMATIVA[[#This Row],[CD_UPNIVEL3]]),"")</f>
        <v/>
      </c>
      <c r="AJ55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54" s="1">
        <f>COUNTIFS(Apresentação!$E$23:$E$29,ESTIMATIVA[[#This Row],[CD_UPNIVEL1]])</f>
        <v>0</v>
      </c>
    </row>
    <row r="555" spans="1:37" x14ac:dyDescent="0.3">
      <c r="A555">
        <v>20320</v>
      </c>
      <c r="B555" t="s">
        <v>29</v>
      </c>
      <c r="C555">
        <v>7</v>
      </c>
      <c r="D555">
        <v>2</v>
      </c>
      <c r="E555" t="s">
        <v>266</v>
      </c>
      <c r="F555" s="85" t="s">
        <v>331</v>
      </c>
      <c r="G555"/>
      <c r="H555" t="s">
        <v>295</v>
      </c>
      <c r="I555" t="s">
        <v>208</v>
      </c>
      <c r="J555" t="s">
        <v>176</v>
      </c>
      <c r="K555" s="1">
        <v>16.61</v>
      </c>
      <c r="L555" s="1">
        <v>0</v>
      </c>
      <c r="M555" s="1">
        <v>0</v>
      </c>
      <c r="N555" s="1">
        <v>16.61</v>
      </c>
      <c r="O555" s="1">
        <v>1494.9</v>
      </c>
      <c r="P555" s="1">
        <v>0</v>
      </c>
      <c r="Q555" s="1">
        <v>0</v>
      </c>
      <c r="R555" s="1">
        <v>1492.78</v>
      </c>
      <c r="S555" t="s">
        <v>12</v>
      </c>
      <c r="T555" s="13">
        <v>45809</v>
      </c>
      <c r="U555" s="1" t="str">
        <f>IF(ESTIMATIVA[[#This Row],[QT_AREA_REAL]]&gt;0,"1- Colhido","2- à Colher")</f>
        <v>1- Colhido</v>
      </c>
      <c r="V555" s="1" t="str">
        <f>IF(ESTIMATIVA[[#This Row],[QT_AREA_REST1]]&gt;0,"Reestimativa 1",IF(ESTIMATIVA[[#This Row],[QT_AREA_REAL]]=0,"Reestimativa 1","Realizado"))</f>
        <v>Realizado</v>
      </c>
      <c r="W555" s="1" t="str">
        <f>IF(ESTIMATIVA[[#This Row],[QT_AREA_REST2]]&gt;0,"Reestimativa 2",IF(ESTIMATIVA[[#This Row],[QT_AREA_REAL]]=0,"Reestimativa 2","Realizado"))</f>
        <v>Realizado</v>
      </c>
      <c r="X555" s="1">
        <f>ESTIMATIVA[[#This Row],[QT_AREA_EST]]</f>
        <v>16.61</v>
      </c>
      <c r="Y555" s="1">
        <f>IF(ESTIMATIVA[[#This Row],[QT_AREA_REST1]]&gt;0,ESTIMATIVA[[#This Row],[QT_AREA_REST1]],
  IF(ESTIMATIVA[[#This Row],[QT_AREA_REAL]]&gt;0,ESTIMATIVA[[#This Row],[QT_AREA_REAL]],ESTIMATIVA[[#This Row],[QT_AREA_EST]]))</f>
        <v>16.61</v>
      </c>
      <c r="Z55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16.61</v>
      </c>
      <c r="AA555" s="1">
        <f>ESTIMATIVA[[#This Row],[QT_CANA_EST]]</f>
        <v>1494.9</v>
      </c>
      <c r="AB555" s="1">
        <f>IF(ESTIMATIVA[[#This Row],[QT_CANA_REST1]]&gt;0,ESTIMATIVA[[#This Row],[QT_CANA_REST1]],
  IF(ESTIMATIVA[[#This Row],[QT_CANA_REAL]]&gt;0,ESTIMATIVA[[#This Row],[QT_CANA_REAL]],ESTIMATIVA[[#This Row],[QT_CANA_EST]]))</f>
        <v>1492.78</v>
      </c>
      <c r="AC55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1492.78</v>
      </c>
      <c r="AD555" s="1">
        <f>IF(ESTIMATIVA[[#This Row],[QT_AREA_REAL]]&gt;0,ESTIMATIVA[[#This Row],[QT_CANA_REAL]],ESTIMATIVA[[#This Row],[QT_CANA_EST]])</f>
        <v>1492.78</v>
      </c>
      <c r="AE555" s="1">
        <f>IF(ESTIMATIVA[[#This Row],[QT_AREA_REAL]]&gt;0,ESTIMATIVA[[#This Row],[QT_CANA_REAL]],ESTIMATIVA[[#This Row],[QT_CANA_REST1]])</f>
        <v>1492.78</v>
      </c>
      <c r="AF555" s="1">
        <f>IF(ESTIMATIVA[[#This Row],[QT_AREA_REAL]]&gt;0,ESTIMATIVA[[#This Row],[QT_CANA_REAL]],ESTIMATIVA[[#This Row],[QT_CANA_REST2]])</f>
        <v>1492.78</v>
      </c>
      <c r="AG555" s="1" t="str">
        <f>IF(COUNTIFS(GEADA!A:A,VALUE(ESTIMATIVA[[#This Row],[CD_UPNIVEL1]]&amp;TEXT(ESTIMATIVA[[#This Row],[CD_UPNIVEL3]],"0000")))&gt;0,"S","N")</f>
        <v>N</v>
      </c>
      <c r="AH55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55" s="55" t="str">
        <f>IF(ESTIMATIVA[[#This Row],[TP_CULTIVO]]="Irrigado",_xlfn.MAXIFS(IRRIGADO!J:J,IRRIGADO!C:C,ESTIMATIVA[[#This Row],[CD_UPNIVEL1]],IRRIGADO!E:E,ESTIMATIVA[[#This Row],[CD_UPNIVEL3]]),"")</f>
        <v/>
      </c>
      <c r="AJ55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55" s="1">
        <f>COUNTIFS(Apresentação!$E$23:$E$29,ESTIMATIVA[[#This Row],[CD_UPNIVEL1]])</f>
        <v>0</v>
      </c>
    </row>
    <row r="556" spans="1:37" x14ac:dyDescent="0.3">
      <c r="A556">
        <v>20320</v>
      </c>
      <c r="B556" t="s">
        <v>29</v>
      </c>
      <c r="C556">
        <v>8</v>
      </c>
      <c r="D556">
        <v>2</v>
      </c>
      <c r="E556" t="s">
        <v>266</v>
      </c>
      <c r="F556" s="85" t="s">
        <v>331</v>
      </c>
      <c r="G556"/>
      <c r="H556" t="s">
        <v>295</v>
      </c>
      <c r="I556" t="s">
        <v>208</v>
      </c>
      <c r="J556" t="s">
        <v>176</v>
      </c>
      <c r="K556" s="1">
        <v>5.35</v>
      </c>
      <c r="L556" s="1">
        <v>0</v>
      </c>
      <c r="M556" s="1">
        <v>0</v>
      </c>
      <c r="N556" s="1">
        <v>5.35</v>
      </c>
      <c r="O556" s="1">
        <v>481.5</v>
      </c>
      <c r="P556" s="1">
        <v>0</v>
      </c>
      <c r="Q556" s="1">
        <v>0</v>
      </c>
      <c r="R556" s="1">
        <v>481.26</v>
      </c>
      <c r="S556" t="s">
        <v>12</v>
      </c>
      <c r="T556" s="13">
        <v>45809</v>
      </c>
      <c r="U556" s="1" t="str">
        <f>IF(ESTIMATIVA[[#This Row],[QT_AREA_REAL]]&gt;0,"1- Colhido","2- à Colher")</f>
        <v>1- Colhido</v>
      </c>
      <c r="V556" s="1" t="str">
        <f>IF(ESTIMATIVA[[#This Row],[QT_AREA_REST1]]&gt;0,"Reestimativa 1",IF(ESTIMATIVA[[#This Row],[QT_AREA_REAL]]=0,"Reestimativa 1","Realizado"))</f>
        <v>Realizado</v>
      </c>
      <c r="W556" s="1" t="str">
        <f>IF(ESTIMATIVA[[#This Row],[QT_AREA_REST2]]&gt;0,"Reestimativa 2",IF(ESTIMATIVA[[#This Row],[QT_AREA_REAL]]=0,"Reestimativa 2","Realizado"))</f>
        <v>Realizado</v>
      </c>
      <c r="X556" s="1">
        <f>ESTIMATIVA[[#This Row],[QT_AREA_EST]]</f>
        <v>5.35</v>
      </c>
      <c r="Y556" s="1">
        <f>IF(ESTIMATIVA[[#This Row],[QT_AREA_REST1]]&gt;0,ESTIMATIVA[[#This Row],[QT_AREA_REST1]],
  IF(ESTIMATIVA[[#This Row],[QT_AREA_REAL]]&gt;0,ESTIMATIVA[[#This Row],[QT_AREA_REAL]],ESTIMATIVA[[#This Row],[QT_AREA_EST]]))</f>
        <v>5.35</v>
      </c>
      <c r="Z55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5.35</v>
      </c>
      <c r="AA556" s="1">
        <f>ESTIMATIVA[[#This Row],[QT_CANA_EST]]</f>
        <v>481.5</v>
      </c>
      <c r="AB556" s="1">
        <f>IF(ESTIMATIVA[[#This Row],[QT_CANA_REST1]]&gt;0,ESTIMATIVA[[#This Row],[QT_CANA_REST1]],
  IF(ESTIMATIVA[[#This Row],[QT_CANA_REAL]]&gt;0,ESTIMATIVA[[#This Row],[QT_CANA_REAL]],ESTIMATIVA[[#This Row],[QT_CANA_EST]]))</f>
        <v>481.26</v>
      </c>
      <c r="AC55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481.26</v>
      </c>
      <c r="AD556" s="1">
        <f>IF(ESTIMATIVA[[#This Row],[QT_AREA_REAL]]&gt;0,ESTIMATIVA[[#This Row],[QT_CANA_REAL]],ESTIMATIVA[[#This Row],[QT_CANA_EST]])</f>
        <v>481.26</v>
      </c>
      <c r="AE556" s="1">
        <f>IF(ESTIMATIVA[[#This Row],[QT_AREA_REAL]]&gt;0,ESTIMATIVA[[#This Row],[QT_CANA_REAL]],ESTIMATIVA[[#This Row],[QT_CANA_REST1]])</f>
        <v>481.26</v>
      </c>
      <c r="AF556" s="1">
        <f>IF(ESTIMATIVA[[#This Row],[QT_AREA_REAL]]&gt;0,ESTIMATIVA[[#This Row],[QT_CANA_REAL]],ESTIMATIVA[[#This Row],[QT_CANA_REST2]])</f>
        <v>481.26</v>
      </c>
      <c r="AG556" s="1" t="str">
        <f>IF(COUNTIFS(GEADA!A:A,VALUE(ESTIMATIVA[[#This Row],[CD_UPNIVEL1]]&amp;TEXT(ESTIMATIVA[[#This Row],[CD_UPNIVEL3]],"0000")))&gt;0,"S","N")</f>
        <v>N</v>
      </c>
      <c r="AH55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56" s="55" t="str">
        <f>IF(ESTIMATIVA[[#This Row],[TP_CULTIVO]]="Irrigado",_xlfn.MAXIFS(IRRIGADO!J:J,IRRIGADO!C:C,ESTIMATIVA[[#This Row],[CD_UPNIVEL1]],IRRIGADO!E:E,ESTIMATIVA[[#This Row],[CD_UPNIVEL3]]),"")</f>
        <v/>
      </c>
      <c r="AJ55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56" s="1">
        <f>COUNTIFS(Apresentação!$E$23:$E$29,ESTIMATIVA[[#This Row],[CD_UPNIVEL1]])</f>
        <v>0</v>
      </c>
    </row>
    <row r="557" spans="1:37" x14ac:dyDescent="0.3">
      <c r="A557">
        <v>20320</v>
      </c>
      <c r="B557" t="s">
        <v>29</v>
      </c>
      <c r="C557">
        <v>9</v>
      </c>
      <c r="D557">
        <v>2</v>
      </c>
      <c r="E557" t="s">
        <v>266</v>
      </c>
      <c r="F557" s="85" t="s">
        <v>333</v>
      </c>
      <c r="G557"/>
      <c r="H557" t="s">
        <v>295</v>
      </c>
      <c r="I557" t="s">
        <v>208</v>
      </c>
      <c r="J557" t="s">
        <v>176</v>
      </c>
      <c r="K557" s="1">
        <v>1.4</v>
      </c>
      <c r="L557" s="1">
        <v>0</v>
      </c>
      <c r="M557" s="1">
        <v>0</v>
      </c>
      <c r="N557" s="1">
        <v>1.4</v>
      </c>
      <c r="O557" s="1">
        <v>126</v>
      </c>
      <c r="P557" s="1">
        <v>0</v>
      </c>
      <c r="Q557" s="1">
        <v>0</v>
      </c>
      <c r="R557" s="1">
        <v>125.77</v>
      </c>
      <c r="S557" t="s">
        <v>12</v>
      </c>
      <c r="T557" s="13">
        <v>45809</v>
      </c>
      <c r="U557" s="1" t="str">
        <f>IF(ESTIMATIVA[[#This Row],[QT_AREA_REAL]]&gt;0,"1- Colhido","2- à Colher")</f>
        <v>1- Colhido</v>
      </c>
      <c r="V557" s="1" t="str">
        <f>IF(ESTIMATIVA[[#This Row],[QT_AREA_REST1]]&gt;0,"Reestimativa 1",IF(ESTIMATIVA[[#This Row],[QT_AREA_REAL]]=0,"Reestimativa 1","Realizado"))</f>
        <v>Realizado</v>
      </c>
      <c r="W557" s="1" t="str">
        <f>IF(ESTIMATIVA[[#This Row],[QT_AREA_REST2]]&gt;0,"Reestimativa 2",IF(ESTIMATIVA[[#This Row],[QT_AREA_REAL]]=0,"Reestimativa 2","Realizado"))</f>
        <v>Realizado</v>
      </c>
      <c r="X557" s="1">
        <f>ESTIMATIVA[[#This Row],[QT_AREA_EST]]</f>
        <v>1.4</v>
      </c>
      <c r="Y557" s="1">
        <f>IF(ESTIMATIVA[[#This Row],[QT_AREA_REST1]]&gt;0,ESTIMATIVA[[#This Row],[QT_AREA_REST1]],
  IF(ESTIMATIVA[[#This Row],[QT_AREA_REAL]]&gt;0,ESTIMATIVA[[#This Row],[QT_AREA_REAL]],ESTIMATIVA[[#This Row],[QT_AREA_EST]]))</f>
        <v>1.4</v>
      </c>
      <c r="Z55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1.4</v>
      </c>
      <c r="AA557" s="1">
        <f>ESTIMATIVA[[#This Row],[QT_CANA_EST]]</f>
        <v>126</v>
      </c>
      <c r="AB557" s="1">
        <f>IF(ESTIMATIVA[[#This Row],[QT_CANA_REST1]]&gt;0,ESTIMATIVA[[#This Row],[QT_CANA_REST1]],
  IF(ESTIMATIVA[[#This Row],[QT_CANA_REAL]]&gt;0,ESTIMATIVA[[#This Row],[QT_CANA_REAL]],ESTIMATIVA[[#This Row],[QT_CANA_EST]]))</f>
        <v>125.77</v>
      </c>
      <c r="AC55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125.77</v>
      </c>
      <c r="AD557" s="1">
        <f>IF(ESTIMATIVA[[#This Row],[QT_AREA_REAL]]&gt;0,ESTIMATIVA[[#This Row],[QT_CANA_REAL]],ESTIMATIVA[[#This Row],[QT_CANA_EST]])</f>
        <v>125.77</v>
      </c>
      <c r="AE557" s="1">
        <f>IF(ESTIMATIVA[[#This Row],[QT_AREA_REAL]]&gt;0,ESTIMATIVA[[#This Row],[QT_CANA_REAL]],ESTIMATIVA[[#This Row],[QT_CANA_REST1]])</f>
        <v>125.77</v>
      </c>
      <c r="AF557" s="1">
        <f>IF(ESTIMATIVA[[#This Row],[QT_AREA_REAL]]&gt;0,ESTIMATIVA[[#This Row],[QT_CANA_REAL]],ESTIMATIVA[[#This Row],[QT_CANA_REST2]])</f>
        <v>125.77</v>
      </c>
      <c r="AG557" s="1" t="str">
        <f>IF(COUNTIFS(GEADA!A:A,VALUE(ESTIMATIVA[[#This Row],[CD_UPNIVEL1]]&amp;TEXT(ESTIMATIVA[[#This Row],[CD_UPNIVEL3]],"0000")))&gt;0,"S","N")</f>
        <v>N</v>
      </c>
      <c r="AH55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57" s="55" t="str">
        <f>IF(ESTIMATIVA[[#This Row],[TP_CULTIVO]]="Irrigado",_xlfn.MAXIFS(IRRIGADO!J:J,IRRIGADO!C:C,ESTIMATIVA[[#This Row],[CD_UPNIVEL1]],IRRIGADO!E:E,ESTIMATIVA[[#This Row],[CD_UPNIVEL3]]),"")</f>
        <v/>
      </c>
      <c r="AJ55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57" s="1">
        <f>COUNTIFS(Apresentação!$E$23:$E$29,ESTIMATIVA[[#This Row],[CD_UPNIVEL1]])</f>
        <v>0</v>
      </c>
    </row>
    <row r="558" spans="1:37" x14ac:dyDescent="0.3">
      <c r="A558">
        <v>20320</v>
      </c>
      <c r="B558" t="s">
        <v>29</v>
      </c>
      <c r="C558">
        <v>10</v>
      </c>
      <c r="D558">
        <v>2</v>
      </c>
      <c r="E558" t="s">
        <v>266</v>
      </c>
      <c r="F558" s="85" t="s">
        <v>331</v>
      </c>
      <c r="G558"/>
      <c r="H558" t="s">
        <v>295</v>
      </c>
      <c r="I558" t="s">
        <v>208</v>
      </c>
      <c r="J558" t="s">
        <v>176</v>
      </c>
      <c r="K558" s="1">
        <v>5.15</v>
      </c>
      <c r="L558" s="1">
        <v>0</v>
      </c>
      <c r="M558" s="1">
        <v>0</v>
      </c>
      <c r="N558" s="1">
        <v>5.15</v>
      </c>
      <c r="O558" s="1">
        <v>463.5</v>
      </c>
      <c r="P558" s="1">
        <v>0</v>
      </c>
      <c r="Q558" s="1">
        <v>0</v>
      </c>
      <c r="R558" s="1">
        <v>463.45</v>
      </c>
      <c r="S558" t="s">
        <v>12</v>
      </c>
      <c r="T558" s="13">
        <v>45809</v>
      </c>
      <c r="U558" s="1" t="str">
        <f>IF(ESTIMATIVA[[#This Row],[QT_AREA_REAL]]&gt;0,"1- Colhido","2- à Colher")</f>
        <v>1- Colhido</v>
      </c>
      <c r="V558" s="1" t="str">
        <f>IF(ESTIMATIVA[[#This Row],[QT_AREA_REST1]]&gt;0,"Reestimativa 1",IF(ESTIMATIVA[[#This Row],[QT_AREA_REAL]]=0,"Reestimativa 1","Realizado"))</f>
        <v>Realizado</v>
      </c>
      <c r="W558" s="1" t="str">
        <f>IF(ESTIMATIVA[[#This Row],[QT_AREA_REST2]]&gt;0,"Reestimativa 2",IF(ESTIMATIVA[[#This Row],[QT_AREA_REAL]]=0,"Reestimativa 2","Realizado"))</f>
        <v>Realizado</v>
      </c>
      <c r="X558" s="1">
        <f>ESTIMATIVA[[#This Row],[QT_AREA_EST]]</f>
        <v>5.15</v>
      </c>
      <c r="Y558" s="1">
        <f>IF(ESTIMATIVA[[#This Row],[QT_AREA_REST1]]&gt;0,ESTIMATIVA[[#This Row],[QT_AREA_REST1]],
  IF(ESTIMATIVA[[#This Row],[QT_AREA_REAL]]&gt;0,ESTIMATIVA[[#This Row],[QT_AREA_REAL]],ESTIMATIVA[[#This Row],[QT_AREA_EST]]))</f>
        <v>5.15</v>
      </c>
      <c r="Z55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5.15</v>
      </c>
      <c r="AA558" s="1">
        <f>ESTIMATIVA[[#This Row],[QT_CANA_EST]]</f>
        <v>463.5</v>
      </c>
      <c r="AB558" s="1">
        <f>IF(ESTIMATIVA[[#This Row],[QT_CANA_REST1]]&gt;0,ESTIMATIVA[[#This Row],[QT_CANA_REST1]],
  IF(ESTIMATIVA[[#This Row],[QT_CANA_REAL]]&gt;0,ESTIMATIVA[[#This Row],[QT_CANA_REAL]],ESTIMATIVA[[#This Row],[QT_CANA_EST]]))</f>
        <v>463.45</v>
      </c>
      <c r="AC55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463.45</v>
      </c>
      <c r="AD558" s="1">
        <f>IF(ESTIMATIVA[[#This Row],[QT_AREA_REAL]]&gt;0,ESTIMATIVA[[#This Row],[QT_CANA_REAL]],ESTIMATIVA[[#This Row],[QT_CANA_EST]])</f>
        <v>463.45</v>
      </c>
      <c r="AE558" s="1">
        <f>IF(ESTIMATIVA[[#This Row],[QT_AREA_REAL]]&gt;0,ESTIMATIVA[[#This Row],[QT_CANA_REAL]],ESTIMATIVA[[#This Row],[QT_CANA_REST1]])</f>
        <v>463.45</v>
      </c>
      <c r="AF558" s="1">
        <f>IF(ESTIMATIVA[[#This Row],[QT_AREA_REAL]]&gt;0,ESTIMATIVA[[#This Row],[QT_CANA_REAL]],ESTIMATIVA[[#This Row],[QT_CANA_REST2]])</f>
        <v>463.45</v>
      </c>
      <c r="AG558" s="1" t="str">
        <f>IF(COUNTIFS(GEADA!A:A,VALUE(ESTIMATIVA[[#This Row],[CD_UPNIVEL1]]&amp;TEXT(ESTIMATIVA[[#This Row],[CD_UPNIVEL3]],"0000")))&gt;0,"S","N")</f>
        <v>N</v>
      </c>
      <c r="AH55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58" s="55" t="str">
        <f>IF(ESTIMATIVA[[#This Row],[TP_CULTIVO]]="Irrigado",_xlfn.MAXIFS(IRRIGADO!J:J,IRRIGADO!C:C,ESTIMATIVA[[#This Row],[CD_UPNIVEL1]],IRRIGADO!E:E,ESTIMATIVA[[#This Row],[CD_UPNIVEL3]]),"")</f>
        <v/>
      </c>
      <c r="AJ55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58" s="1">
        <f>COUNTIFS(Apresentação!$E$23:$E$29,ESTIMATIVA[[#This Row],[CD_UPNIVEL1]])</f>
        <v>0</v>
      </c>
    </row>
    <row r="559" spans="1:37" x14ac:dyDescent="0.3">
      <c r="A559">
        <v>20320</v>
      </c>
      <c r="B559" t="s">
        <v>29</v>
      </c>
      <c r="C559">
        <v>11</v>
      </c>
      <c r="D559">
        <v>2</v>
      </c>
      <c r="E559" t="s">
        <v>266</v>
      </c>
      <c r="F559" s="85" t="s">
        <v>331</v>
      </c>
      <c r="G559"/>
      <c r="H559" t="s">
        <v>295</v>
      </c>
      <c r="I559" t="s">
        <v>208</v>
      </c>
      <c r="J559" t="s">
        <v>176</v>
      </c>
      <c r="K559" s="1">
        <v>3.68</v>
      </c>
      <c r="L559" s="1">
        <v>0</v>
      </c>
      <c r="M559" s="1">
        <v>0</v>
      </c>
      <c r="N559" s="1">
        <v>3.68</v>
      </c>
      <c r="O559" s="1">
        <v>294.39999999999998</v>
      </c>
      <c r="P559" s="1">
        <v>0</v>
      </c>
      <c r="Q559" s="1">
        <v>0</v>
      </c>
      <c r="R559" s="1">
        <v>376.95</v>
      </c>
      <c r="S559" t="s">
        <v>12</v>
      </c>
      <c r="T559" s="13">
        <v>45802</v>
      </c>
      <c r="U559" s="1" t="str">
        <f>IF(ESTIMATIVA[[#This Row],[QT_AREA_REAL]]&gt;0,"1- Colhido","2- à Colher")</f>
        <v>1- Colhido</v>
      </c>
      <c r="V559" s="1" t="str">
        <f>IF(ESTIMATIVA[[#This Row],[QT_AREA_REST1]]&gt;0,"Reestimativa 1",IF(ESTIMATIVA[[#This Row],[QT_AREA_REAL]]=0,"Reestimativa 1","Realizado"))</f>
        <v>Realizado</v>
      </c>
      <c r="W559" s="1" t="str">
        <f>IF(ESTIMATIVA[[#This Row],[QT_AREA_REST2]]&gt;0,"Reestimativa 2",IF(ESTIMATIVA[[#This Row],[QT_AREA_REAL]]=0,"Reestimativa 2","Realizado"))</f>
        <v>Realizado</v>
      </c>
      <c r="X559" s="1">
        <f>ESTIMATIVA[[#This Row],[QT_AREA_EST]]</f>
        <v>3.68</v>
      </c>
      <c r="Y559" s="1">
        <f>IF(ESTIMATIVA[[#This Row],[QT_AREA_REST1]]&gt;0,ESTIMATIVA[[#This Row],[QT_AREA_REST1]],
  IF(ESTIMATIVA[[#This Row],[QT_AREA_REAL]]&gt;0,ESTIMATIVA[[#This Row],[QT_AREA_REAL]],ESTIMATIVA[[#This Row],[QT_AREA_EST]]))</f>
        <v>3.68</v>
      </c>
      <c r="Z55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3.68</v>
      </c>
      <c r="AA559" s="1">
        <f>ESTIMATIVA[[#This Row],[QT_CANA_EST]]</f>
        <v>294.39999999999998</v>
      </c>
      <c r="AB559" s="1">
        <f>IF(ESTIMATIVA[[#This Row],[QT_CANA_REST1]]&gt;0,ESTIMATIVA[[#This Row],[QT_CANA_REST1]],
  IF(ESTIMATIVA[[#This Row],[QT_CANA_REAL]]&gt;0,ESTIMATIVA[[#This Row],[QT_CANA_REAL]],ESTIMATIVA[[#This Row],[QT_CANA_EST]]))</f>
        <v>376.95</v>
      </c>
      <c r="AC55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376.95</v>
      </c>
      <c r="AD559" s="1">
        <f>IF(ESTIMATIVA[[#This Row],[QT_AREA_REAL]]&gt;0,ESTIMATIVA[[#This Row],[QT_CANA_REAL]],ESTIMATIVA[[#This Row],[QT_CANA_EST]])</f>
        <v>376.95</v>
      </c>
      <c r="AE559" s="1">
        <f>IF(ESTIMATIVA[[#This Row],[QT_AREA_REAL]]&gt;0,ESTIMATIVA[[#This Row],[QT_CANA_REAL]],ESTIMATIVA[[#This Row],[QT_CANA_REST1]])</f>
        <v>376.95</v>
      </c>
      <c r="AF559" s="1">
        <f>IF(ESTIMATIVA[[#This Row],[QT_AREA_REAL]]&gt;0,ESTIMATIVA[[#This Row],[QT_CANA_REAL]],ESTIMATIVA[[#This Row],[QT_CANA_REST2]])</f>
        <v>376.95</v>
      </c>
      <c r="AG559" s="1" t="str">
        <f>IF(COUNTIFS(GEADA!A:A,VALUE(ESTIMATIVA[[#This Row],[CD_UPNIVEL1]]&amp;TEXT(ESTIMATIVA[[#This Row],[CD_UPNIVEL3]],"0000")))&gt;0,"S","N")</f>
        <v>N</v>
      </c>
      <c r="AH55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59" s="55" t="str">
        <f>IF(ESTIMATIVA[[#This Row],[TP_CULTIVO]]="Irrigado",_xlfn.MAXIFS(IRRIGADO!J:J,IRRIGADO!C:C,ESTIMATIVA[[#This Row],[CD_UPNIVEL1]],IRRIGADO!E:E,ESTIMATIVA[[#This Row],[CD_UPNIVEL3]]),"")</f>
        <v/>
      </c>
      <c r="AJ55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59" s="1">
        <f>COUNTIFS(Apresentação!$E$23:$E$29,ESTIMATIVA[[#This Row],[CD_UPNIVEL1]])</f>
        <v>0</v>
      </c>
    </row>
    <row r="560" spans="1:37" x14ac:dyDescent="0.3">
      <c r="A560">
        <v>20320</v>
      </c>
      <c r="B560" t="s">
        <v>29</v>
      </c>
      <c r="C560">
        <v>12</v>
      </c>
      <c r="D560">
        <v>2</v>
      </c>
      <c r="E560" t="s">
        <v>266</v>
      </c>
      <c r="F560" s="85" t="s">
        <v>331</v>
      </c>
      <c r="G560"/>
      <c r="H560" t="s">
        <v>295</v>
      </c>
      <c r="I560" t="s">
        <v>219</v>
      </c>
      <c r="J560" t="s">
        <v>176</v>
      </c>
      <c r="K560" s="1">
        <v>25.24</v>
      </c>
      <c r="L560" s="1">
        <v>0</v>
      </c>
      <c r="M560" s="1">
        <v>0</v>
      </c>
      <c r="N560" s="1">
        <v>25.24</v>
      </c>
      <c r="O560" s="1">
        <v>1867.76</v>
      </c>
      <c r="P560" s="1">
        <v>0</v>
      </c>
      <c r="Q560" s="1">
        <v>0</v>
      </c>
      <c r="R560" s="1">
        <v>2395.2800000000002</v>
      </c>
      <c r="S560" t="s">
        <v>12</v>
      </c>
      <c r="T560" s="13">
        <v>45802</v>
      </c>
      <c r="U560" s="1" t="str">
        <f>IF(ESTIMATIVA[[#This Row],[QT_AREA_REAL]]&gt;0,"1- Colhido","2- à Colher")</f>
        <v>1- Colhido</v>
      </c>
      <c r="V560" s="1" t="str">
        <f>IF(ESTIMATIVA[[#This Row],[QT_AREA_REST1]]&gt;0,"Reestimativa 1",IF(ESTIMATIVA[[#This Row],[QT_AREA_REAL]]=0,"Reestimativa 1","Realizado"))</f>
        <v>Realizado</v>
      </c>
      <c r="W560" s="1" t="str">
        <f>IF(ESTIMATIVA[[#This Row],[QT_AREA_REST2]]&gt;0,"Reestimativa 2",IF(ESTIMATIVA[[#This Row],[QT_AREA_REAL]]=0,"Reestimativa 2","Realizado"))</f>
        <v>Realizado</v>
      </c>
      <c r="X560" s="1">
        <f>ESTIMATIVA[[#This Row],[QT_AREA_EST]]</f>
        <v>25.24</v>
      </c>
      <c r="Y560" s="1">
        <f>IF(ESTIMATIVA[[#This Row],[QT_AREA_REST1]]&gt;0,ESTIMATIVA[[#This Row],[QT_AREA_REST1]],
  IF(ESTIMATIVA[[#This Row],[QT_AREA_REAL]]&gt;0,ESTIMATIVA[[#This Row],[QT_AREA_REAL]],ESTIMATIVA[[#This Row],[QT_AREA_EST]]))</f>
        <v>25.24</v>
      </c>
      <c r="Z56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25.24</v>
      </c>
      <c r="AA560" s="1">
        <f>ESTIMATIVA[[#This Row],[QT_CANA_EST]]</f>
        <v>1867.76</v>
      </c>
      <c r="AB560" s="1">
        <f>IF(ESTIMATIVA[[#This Row],[QT_CANA_REST1]]&gt;0,ESTIMATIVA[[#This Row],[QT_CANA_REST1]],
  IF(ESTIMATIVA[[#This Row],[QT_CANA_REAL]]&gt;0,ESTIMATIVA[[#This Row],[QT_CANA_REAL]],ESTIMATIVA[[#This Row],[QT_CANA_EST]]))</f>
        <v>2395.2800000000002</v>
      </c>
      <c r="AC56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2395.2800000000002</v>
      </c>
      <c r="AD560" s="1">
        <f>IF(ESTIMATIVA[[#This Row],[QT_AREA_REAL]]&gt;0,ESTIMATIVA[[#This Row],[QT_CANA_REAL]],ESTIMATIVA[[#This Row],[QT_CANA_EST]])</f>
        <v>2395.2800000000002</v>
      </c>
      <c r="AE560" s="1">
        <f>IF(ESTIMATIVA[[#This Row],[QT_AREA_REAL]]&gt;0,ESTIMATIVA[[#This Row],[QT_CANA_REAL]],ESTIMATIVA[[#This Row],[QT_CANA_REST1]])</f>
        <v>2395.2800000000002</v>
      </c>
      <c r="AF560" s="1">
        <f>IF(ESTIMATIVA[[#This Row],[QT_AREA_REAL]]&gt;0,ESTIMATIVA[[#This Row],[QT_CANA_REAL]],ESTIMATIVA[[#This Row],[QT_CANA_REST2]])</f>
        <v>2395.2800000000002</v>
      </c>
      <c r="AG560" s="1" t="str">
        <f>IF(COUNTIFS(GEADA!A:A,VALUE(ESTIMATIVA[[#This Row],[CD_UPNIVEL1]]&amp;TEXT(ESTIMATIVA[[#This Row],[CD_UPNIVEL3]],"0000")))&gt;0,"S","N")</f>
        <v>N</v>
      </c>
      <c r="AH56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60" s="55" t="str">
        <f>IF(ESTIMATIVA[[#This Row],[TP_CULTIVO]]="Irrigado",_xlfn.MAXIFS(IRRIGADO!J:J,IRRIGADO!C:C,ESTIMATIVA[[#This Row],[CD_UPNIVEL1]],IRRIGADO!E:E,ESTIMATIVA[[#This Row],[CD_UPNIVEL3]]),"")</f>
        <v/>
      </c>
      <c r="AJ56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60" s="1">
        <f>COUNTIFS(Apresentação!$E$23:$E$29,ESTIMATIVA[[#This Row],[CD_UPNIVEL1]])</f>
        <v>0</v>
      </c>
    </row>
    <row r="561" spans="1:37" x14ac:dyDescent="0.3">
      <c r="A561">
        <v>20320</v>
      </c>
      <c r="B561" t="s">
        <v>29</v>
      </c>
      <c r="C561">
        <v>13</v>
      </c>
      <c r="D561">
        <v>2</v>
      </c>
      <c r="E561" t="s">
        <v>266</v>
      </c>
      <c r="F561" s="85" t="s">
        <v>331</v>
      </c>
      <c r="G561"/>
      <c r="H561" t="s">
        <v>295</v>
      </c>
      <c r="I561" t="s">
        <v>219</v>
      </c>
      <c r="J561" t="s">
        <v>176</v>
      </c>
      <c r="K561" s="1">
        <v>1.84</v>
      </c>
      <c r="L561" s="1">
        <v>0</v>
      </c>
      <c r="M561" s="1">
        <v>0</v>
      </c>
      <c r="N561" s="1">
        <v>1.84</v>
      </c>
      <c r="O561" s="1">
        <v>136.16</v>
      </c>
      <c r="P561" s="1">
        <v>0</v>
      </c>
      <c r="Q561" s="1">
        <v>0</v>
      </c>
      <c r="R561" s="1">
        <v>174.48</v>
      </c>
      <c r="S561" t="s">
        <v>12</v>
      </c>
      <c r="T561" s="13">
        <v>45802</v>
      </c>
      <c r="U561" s="1" t="str">
        <f>IF(ESTIMATIVA[[#This Row],[QT_AREA_REAL]]&gt;0,"1- Colhido","2- à Colher")</f>
        <v>1- Colhido</v>
      </c>
      <c r="V561" s="1" t="str">
        <f>IF(ESTIMATIVA[[#This Row],[QT_AREA_REST1]]&gt;0,"Reestimativa 1",IF(ESTIMATIVA[[#This Row],[QT_AREA_REAL]]=0,"Reestimativa 1","Realizado"))</f>
        <v>Realizado</v>
      </c>
      <c r="W561" s="1" t="str">
        <f>IF(ESTIMATIVA[[#This Row],[QT_AREA_REST2]]&gt;0,"Reestimativa 2",IF(ESTIMATIVA[[#This Row],[QT_AREA_REAL]]=0,"Reestimativa 2","Realizado"))</f>
        <v>Realizado</v>
      </c>
      <c r="X561" s="1">
        <f>ESTIMATIVA[[#This Row],[QT_AREA_EST]]</f>
        <v>1.84</v>
      </c>
      <c r="Y561" s="1">
        <f>IF(ESTIMATIVA[[#This Row],[QT_AREA_REST1]]&gt;0,ESTIMATIVA[[#This Row],[QT_AREA_REST1]],
  IF(ESTIMATIVA[[#This Row],[QT_AREA_REAL]]&gt;0,ESTIMATIVA[[#This Row],[QT_AREA_REAL]],ESTIMATIVA[[#This Row],[QT_AREA_EST]]))</f>
        <v>1.84</v>
      </c>
      <c r="Z56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1.84</v>
      </c>
      <c r="AA561" s="1">
        <f>ESTIMATIVA[[#This Row],[QT_CANA_EST]]</f>
        <v>136.16</v>
      </c>
      <c r="AB561" s="1">
        <f>IF(ESTIMATIVA[[#This Row],[QT_CANA_REST1]]&gt;0,ESTIMATIVA[[#This Row],[QT_CANA_REST1]],
  IF(ESTIMATIVA[[#This Row],[QT_CANA_REAL]]&gt;0,ESTIMATIVA[[#This Row],[QT_CANA_REAL]],ESTIMATIVA[[#This Row],[QT_CANA_EST]]))</f>
        <v>174.48</v>
      </c>
      <c r="AC56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174.48</v>
      </c>
      <c r="AD561" s="1">
        <f>IF(ESTIMATIVA[[#This Row],[QT_AREA_REAL]]&gt;0,ESTIMATIVA[[#This Row],[QT_CANA_REAL]],ESTIMATIVA[[#This Row],[QT_CANA_EST]])</f>
        <v>174.48</v>
      </c>
      <c r="AE561" s="1">
        <f>IF(ESTIMATIVA[[#This Row],[QT_AREA_REAL]]&gt;0,ESTIMATIVA[[#This Row],[QT_CANA_REAL]],ESTIMATIVA[[#This Row],[QT_CANA_REST1]])</f>
        <v>174.48</v>
      </c>
      <c r="AF561" s="1">
        <f>IF(ESTIMATIVA[[#This Row],[QT_AREA_REAL]]&gt;0,ESTIMATIVA[[#This Row],[QT_CANA_REAL]],ESTIMATIVA[[#This Row],[QT_CANA_REST2]])</f>
        <v>174.48</v>
      </c>
      <c r="AG561" s="1" t="str">
        <f>IF(COUNTIFS(GEADA!A:A,VALUE(ESTIMATIVA[[#This Row],[CD_UPNIVEL1]]&amp;TEXT(ESTIMATIVA[[#This Row],[CD_UPNIVEL3]],"0000")))&gt;0,"S","N")</f>
        <v>N</v>
      </c>
      <c r="AH56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61" s="55" t="str">
        <f>IF(ESTIMATIVA[[#This Row],[TP_CULTIVO]]="Irrigado",_xlfn.MAXIFS(IRRIGADO!J:J,IRRIGADO!C:C,ESTIMATIVA[[#This Row],[CD_UPNIVEL1]],IRRIGADO!E:E,ESTIMATIVA[[#This Row],[CD_UPNIVEL3]]),"")</f>
        <v/>
      </c>
      <c r="AJ56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61" s="1">
        <f>COUNTIFS(Apresentação!$E$23:$E$29,ESTIMATIVA[[#This Row],[CD_UPNIVEL1]])</f>
        <v>0</v>
      </c>
    </row>
    <row r="562" spans="1:37" x14ac:dyDescent="0.3">
      <c r="A562">
        <v>20321</v>
      </c>
      <c r="B562" t="s">
        <v>30</v>
      </c>
      <c r="C562">
        <v>7</v>
      </c>
      <c r="D562">
        <v>4</v>
      </c>
      <c r="E562" t="s">
        <v>265</v>
      </c>
      <c r="F562" s="85" t="s">
        <v>331</v>
      </c>
      <c r="G562"/>
      <c r="H562" t="s">
        <v>295</v>
      </c>
      <c r="I562" t="s">
        <v>208</v>
      </c>
      <c r="J562" t="s">
        <v>176</v>
      </c>
      <c r="K562" s="1">
        <v>19.79</v>
      </c>
      <c r="L562" s="1">
        <v>0</v>
      </c>
      <c r="M562" s="1">
        <v>0</v>
      </c>
      <c r="N562" s="1">
        <v>19.79</v>
      </c>
      <c r="O562" s="1">
        <v>1424.88</v>
      </c>
      <c r="P562" s="1">
        <v>0</v>
      </c>
      <c r="Q562" s="1">
        <v>0</v>
      </c>
      <c r="R562" s="1">
        <v>1294.25</v>
      </c>
      <c r="S562" t="s">
        <v>12</v>
      </c>
      <c r="T562" s="13">
        <v>45760</v>
      </c>
      <c r="U562" s="1" t="str">
        <f>IF(ESTIMATIVA[[#This Row],[QT_AREA_REAL]]&gt;0,"1- Colhido","2- à Colher")</f>
        <v>1- Colhido</v>
      </c>
      <c r="V562" s="1" t="str">
        <f>IF(ESTIMATIVA[[#This Row],[QT_AREA_REST1]]&gt;0,"Reestimativa 1",IF(ESTIMATIVA[[#This Row],[QT_AREA_REAL]]=0,"Reestimativa 1","Realizado"))</f>
        <v>Realizado</v>
      </c>
      <c r="W562" s="1" t="str">
        <f>IF(ESTIMATIVA[[#This Row],[QT_AREA_REST2]]&gt;0,"Reestimativa 2",IF(ESTIMATIVA[[#This Row],[QT_AREA_REAL]]=0,"Reestimativa 2","Realizado"))</f>
        <v>Realizado</v>
      </c>
      <c r="X562" s="1">
        <f>ESTIMATIVA[[#This Row],[QT_AREA_EST]]</f>
        <v>19.79</v>
      </c>
      <c r="Y562" s="1">
        <f>IF(ESTIMATIVA[[#This Row],[QT_AREA_REST1]]&gt;0,ESTIMATIVA[[#This Row],[QT_AREA_REST1]],
  IF(ESTIMATIVA[[#This Row],[QT_AREA_REAL]]&gt;0,ESTIMATIVA[[#This Row],[QT_AREA_REAL]],ESTIMATIVA[[#This Row],[QT_AREA_EST]]))</f>
        <v>19.79</v>
      </c>
      <c r="Z56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19.79</v>
      </c>
      <c r="AA562" s="1">
        <f>ESTIMATIVA[[#This Row],[QT_CANA_EST]]</f>
        <v>1424.88</v>
      </c>
      <c r="AB562" s="1">
        <f>IF(ESTIMATIVA[[#This Row],[QT_CANA_REST1]]&gt;0,ESTIMATIVA[[#This Row],[QT_CANA_REST1]],
  IF(ESTIMATIVA[[#This Row],[QT_CANA_REAL]]&gt;0,ESTIMATIVA[[#This Row],[QT_CANA_REAL]],ESTIMATIVA[[#This Row],[QT_CANA_EST]]))</f>
        <v>1294.25</v>
      </c>
      <c r="AC56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1294.25</v>
      </c>
      <c r="AD562" s="1">
        <f>IF(ESTIMATIVA[[#This Row],[QT_AREA_REAL]]&gt;0,ESTIMATIVA[[#This Row],[QT_CANA_REAL]],ESTIMATIVA[[#This Row],[QT_CANA_EST]])</f>
        <v>1294.25</v>
      </c>
      <c r="AE562" s="1">
        <f>IF(ESTIMATIVA[[#This Row],[QT_AREA_REAL]]&gt;0,ESTIMATIVA[[#This Row],[QT_CANA_REAL]],ESTIMATIVA[[#This Row],[QT_CANA_REST1]])</f>
        <v>1294.25</v>
      </c>
      <c r="AF562" s="1">
        <f>IF(ESTIMATIVA[[#This Row],[QT_AREA_REAL]]&gt;0,ESTIMATIVA[[#This Row],[QT_CANA_REAL]],ESTIMATIVA[[#This Row],[QT_CANA_REST2]])</f>
        <v>1294.25</v>
      </c>
      <c r="AG562" s="1" t="str">
        <f>IF(COUNTIFS(GEADA!A:A,VALUE(ESTIMATIVA[[#This Row],[CD_UPNIVEL1]]&amp;TEXT(ESTIMATIVA[[#This Row],[CD_UPNIVEL3]],"0000")))&gt;0,"S","N")</f>
        <v>N</v>
      </c>
      <c r="AH56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62" s="55" t="str">
        <f>IF(ESTIMATIVA[[#This Row],[TP_CULTIVO]]="Irrigado",_xlfn.MAXIFS(IRRIGADO!J:J,IRRIGADO!C:C,ESTIMATIVA[[#This Row],[CD_UPNIVEL1]],IRRIGADO!E:E,ESTIMATIVA[[#This Row],[CD_UPNIVEL3]]),"")</f>
        <v/>
      </c>
      <c r="AJ56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62" s="1">
        <f>COUNTIFS(Apresentação!$E$23:$E$29,ESTIMATIVA[[#This Row],[CD_UPNIVEL1]])</f>
        <v>0</v>
      </c>
    </row>
    <row r="563" spans="1:37" x14ac:dyDescent="0.3">
      <c r="A563">
        <v>20321</v>
      </c>
      <c r="B563" t="s">
        <v>30</v>
      </c>
      <c r="C563">
        <v>8</v>
      </c>
      <c r="D563">
        <v>4</v>
      </c>
      <c r="E563" t="s">
        <v>265</v>
      </c>
      <c r="F563" s="85" t="s">
        <v>331</v>
      </c>
      <c r="G563"/>
      <c r="H563" t="s">
        <v>295</v>
      </c>
      <c r="I563" t="s">
        <v>208</v>
      </c>
      <c r="J563" t="s">
        <v>176</v>
      </c>
      <c r="K563" s="1">
        <v>25.45</v>
      </c>
      <c r="L563" s="1">
        <v>0</v>
      </c>
      <c r="M563" s="1">
        <v>0</v>
      </c>
      <c r="N563" s="1">
        <v>25.45</v>
      </c>
      <c r="O563" s="1">
        <v>1832.4</v>
      </c>
      <c r="P563" s="1">
        <v>0</v>
      </c>
      <c r="Q563" s="1">
        <v>0</v>
      </c>
      <c r="R563" s="1">
        <v>2123.65</v>
      </c>
      <c r="S563" t="s">
        <v>12</v>
      </c>
      <c r="T563" s="13">
        <v>45760</v>
      </c>
      <c r="U563" s="1" t="str">
        <f>IF(ESTIMATIVA[[#This Row],[QT_AREA_REAL]]&gt;0,"1- Colhido","2- à Colher")</f>
        <v>1- Colhido</v>
      </c>
      <c r="V563" s="1" t="str">
        <f>IF(ESTIMATIVA[[#This Row],[QT_AREA_REST1]]&gt;0,"Reestimativa 1",IF(ESTIMATIVA[[#This Row],[QT_AREA_REAL]]=0,"Reestimativa 1","Realizado"))</f>
        <v>Realizado</v>
      </c>
      <c r="W563" s="1" t="str">
        <f>IF(ESTIMATIVA[[#This Row],[QT_AREA_REST2]]&gt;0,"Reestimativa 2",IF(ESTIMATIVA[[#This Row],[QT_AREA_REAL]]=0,"Reestimativa 2","Realizado"))</f>
        <v>Realizado</v>
      </c>
      <c r="X563" s="1">
        <f>ESTIMATIVA[[#This Row],[QT_AREA_EST]]</f>
        <v>25.45</v>
      </c>
      <c r="Y563" s="1">
        <f>IF(ESTIMATIVA[[#This Row],[QT_AREA_REST1]]&gt;0,ESTIMATIVA[[#This Row],[QT_AREA_REST1]],
  IF(ESTIMATIVA[[#This Row],[QT_AREA_REAL]]&gt;0,ESTIMATIVA[[#This Row],[QT_AREA_REAL]],ESTIMATIVA[[#This Row],[QT_AREA_EST]]))</f>
        <v>25.45</v>
      </c>
      <c r="Z56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25.45</v>
      </c>
      <c r="AA563" s="1">
        <f>ESTIMATIVA[[#This Row],[QT_CANA_EST]]</f>
        <v>1832.4</v>
      </c>
      <c r="AB563" s="1">
        <f>IF(ESTIMATIVA[[#This Row],[QT_CANA_REST1]]&gt;0,ESTIMATIVA[[#This Row],[QT_CANA_REST1]],
  IF(ESTIMATIVA[[#This Row],[QT_CANA_REAL]]&gt;0,ESTIMATIVA[[#This Row],[QT_CANA_REAL]],ESTIMATIVA[[#This Row],[QT_CANA_EST]]))</f>
        <v>2123.65</v>
      </c>
      <c r="AC56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2123.65</v>
      </c>
      <c r="AD563" s="1">
        <f>IF(ESTIMATIVA[[#This Row],[QT_AREA_REAL]]&gt;0,ESTIMATIVA[[#This Row],[QT_CANA_REAL]],ESTIMATIVA[[#This Row],[QT_CANA_EST]])</f>
        <v>2123.65</v>
      </c>
      <c r="AE563" s="1">
        <f>IF(ESTIMATIVA[[#This Row],[QT_AREA_REAL]]&gt;0,ESTIMATIVA[[#This Row],[QT_CANA_REAL]],ESTIMATIVA[[#This Row],[QT_CANA_REST1]])</f>
        <v>2123.65</v>
      </c>
      <c r="AF563" s="1">
        <f>IF(ESTIMATIVA[[#This Row],[QT_AREA_REAL]]&gt;0,ESTIMATIVA[[#This Row],[QT_CANA_REAL]],ESTIMATIVA[[#This Row],[QT_CANA_REST2]])</f>
        <v>2123.65</v>
      </c>
      <c r="AG563" s="1" t="str">
        <f>IF(COUNTIFS(GEADA!A:A,VALUE(ESTIMATIVA[[#This Row],[CD_UPNIVEL1]]&amp;TEXT(ESTIMATIVA[[#This Row],[CD_UPNIVEL3]],"0000")))&gt;0,"S","N")</f>
        <v>N</v>
      </c>
      <c r="AH56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63" s="55" t="str">
        <f>IF(ESTIMATIVA[[#This Row],[TP_CULTIVO]]="Irrigado",_xlfn.MAXIFS(IRRIGADO!J:J,IRRIGADO!C:C,ESTIMATIVA[[#This Row],[CD_UPNIVEL1]],IRRIGADO!E:E,ESTIMATIVA[[#This Row],[CD_UPNIVEL3]]),"")</f>
        <v/>
      </c>
      <c r="AJ56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63" s="1">
        <f>COUNTIFS(Apresentação!$E$23:$E$29,ESTIMATIVA[[#This Row],[CD_UPNIVEL1]])</f>
        <v>0</v>
      </c>
    </row>
    <row r="564" spans="1:37" x14ac:dyDescent="0.3">
      <c r="A564">
        <v>20321</v>
      </c>
      <c r="B564" t="s">
        <v>30</v>
      </c>
      <c r="C564">
        <v>9</v>
      </c>
      <c r="D564">
        <v>4</v>
      </c>
      <c r="E564" t="s">
        <v>265</v>
      </c>
      <c r="F564" s="85" t="s">
        <v>331</v>
      </c>
      <c r="G564"/>
      <c r="H564" t="s">
        <v>295</v>
      </c>
      <c r="I564" t="s">
        <v>208</v>
      </c>
      <c r="J564" t="s">
        <v>176</v>
      </c>
      <c r="K564" s="1">
        <v>13.31</v>
      </c>
      <c r="L564" s="1">
        <v>0</v>
      </c>
      <c r="M564" s="1">
        <v>0</v>
      </c>
      <c r="N564" s="1">
        <v>13.31</v>
      </c>
      <c r="O564" s="1">
        <v>958.32</v>
      </c>
      <c r="P564" s="1">
        <v>0</v>
      </c>
      <c r="Q564" s="1">
        <v>0</v>
      </c>
      <c r="R564" s="1">
        <v>1110.48</v>
      </c>
      <c r="S564" t="s">
        <v>12</v>
      </c>
      <c r="T564" s="13">
        <v>45760</v>
      </c>
      <c r="U564" s="1" t="str">
        <f>IF(ESTIMATIVA[[#This Row],[QT_AREA_REAL]]&gt;0,"1- Colhido","2- à Colher")</f>
        <v>1- Colhido</v>
      </c>
      <c r="V564" s="1" t="str">
        <f>IF(ESTIMATIVA[[#This Row],[QT_AREA_REST1]]&gt;0,"Reestimativa 1",IF(ESTIMATIVA[[#This Row],[QT_AREA_REAL]]=0,"Reestimativa 1","Realizado"))</f>
        <v>Realizado</v>
      </c>
      <c r="W564" s="1" t="str">
        <f>IF(ESTIMATIVA[[#This Row],[QT_AREA_REST2]]&gt;0,"Reestimativa 2",IF(ESTIMATIVA[[#This Row],[QT_AREA_REAL]]=0,"Reestimativa 2","Realizado"))</f>
        <v>Realizado</v>
      </c>
      <c r="X564" s="1">
        <f>ESTIMATIVA[[#This Row],[QT_AREA_EST]]</f>
        <v>13.31</v>
      </c>
      <c r="Y564" s="1">
        <f>IF(ESTIMATIVA[[#This Row],[QT_AREA_REST1]]&gt;0,ESTIMATIVA[[#This Row],[QT_AREA_REST1]],
  IF(ESTIMATIVA[[#This Row],[QT_AREA_REAL]]&gt;0,ESTIMATIVA[[#This Row],[QT_AREA_REAL]],ESTIMATIVA[[#This Row],[QT_AREA_EST]]))</f>
        <v>13.31</v>
      </c>
      <c r="Z56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13.31</v>
      </c>
      <c r="AA564" s="1">
        <f>ESTIMATIVA[[#This Row],[QT_CANA_EST]]</f>
        <v>958.32</v>
      </c>
      <c r="AB564" s="1">
        <f>IF(ESTIMATIVA[[#This Row],[QT_CANA_REST1]]&gt;0,ESTIMATIVA[[#This Row],[QT_CANA_REST1]],
  IF(ESTIMATIVA[[#This Row],[QT_CANA_REAL]]&gt;0,ESTIMATIVA[[#This Row],[QT_CANA_REAL]],ESTIMATIVA[[#This Row],[QT_CANA_EST]]))</f>
        <v>1110.48</v>
      </c>
      <c r="AC56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1110.48</v>
      </c>
      <c r="AD564" s="1">
        <f>IF(ESTIMATIVA[[#This Row],[QT_AREA_REAL]]&gt;0,ESTIMATIVA[[#This Row],[QT_CANA_REAL]],ESTIMATIVA[[#This Row],[QT_CANA_EST]])</f>
        <v>1110.48</v>
      </c>
      <c r="AE564" s="1">
        <f>IF(ESTIMATIVA[[#This Row],[QT_AREA_REAL]]&gt;0,ESTIMATIVA[[#This Row],[QT_CANA_REAL]],ESTIMATIVA[[#This Row],[QT_CANA_REST1]])</f>
        <v>1110.48</v>
      </c>
      <c r="AF564" s="1">
        <f>IF(ESTIMATIVA[[#This Row],[QT_AREA_REAL]]&gt;0,ESTIMATIVA[[#This Row],[QT_CANA_REAL]],ESTIMATIVA[[#This Row],[QT_CANA_REST2]])</f>
        <v>1110.48</v>
      </c>
      <c r="AG564" s="1" t="str">
        <f>IF(COUNTIFS(GEADA!A:A,VALUE(ESTIMATIVA[[#This Row],[CD_UPNIVEL1]]&amp;TEXT(ESTIMATIVA[[#This Row],[CD_UPNIVEL3]],"0000")))&gt;0,"S","N")</f>
        <v>N</v>
      </c>
      <c r="AH56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64" s="55" t="str">
        <f>IF(ESTIMATIVA[[#This Row],[TP_CULTIVO]]="Irrigado",_xlfn.MAXIFS(IRRIGADO!J:J,IRRIGADO!C:C,ESTIMATIVA[[#This Row],[CD_UPNIVEL1]],IRRIGADO!E:E,ESTIMATIVA[[#This Row],[CD_UPNIVEL3]]),"")</f>
        <v/>
      </c>
      <c r="AJ56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64" s="1">
        <f>COUNTIFS(Apresentação!$E$23:$E$29,ESTIMATIVA[[#This Row],[CD_UPNIVEL1]])</f>
        <v>0</v>
      </c>
    </row>
    <row r="565" spans="1:37" x14ac:dyDescent="0.3">
      <c r="A565">
        <v>20321</v>
      </c>
      <c r="B565" t="s">
        <v>30</v>
      </c>
      <c r="C565">
        <v>10</v>
      </c>
      <c r="D565">
        <v>4</v>
      </c>
      <c r="E565" t="s">
        <v>265</v>
      </c>
      <c r="F565" s="85" t="s">
        <v>331</v>
      </c>
      <c r="G565"/>
      <c r="H565" t="s">
        <v>295</v>
      </c>
      <c r="I565" t="s">
        <v>208</v>
      </c>
      <c r="J565" t="s">
        <v>176</v>
      </c>
      <c r="K565" s="1">
        <v>12.55</v>
      </c>
      <c r="L565" s="1">
        <v>0</v>
      </c>
      <c r="M565" s="1">
        <v>0</v>
      </c>
      <c r="N565" s="1">
        <v>12.55</v>
      </c>
      <c r="O565" s="1">
        <v>903.6</v>
      </c>
      <c r="P565" s="1">
        <v>0</v>
      </c>
      <c r="Q565" s="1">
        <v>0</v>
      </c>
      <c r="R565" s="1">
        <v>1047.8800000000001</v>
      </c>
      <c r="S565" t="s">
        <v>12</v>
      </c>
      <c r="T565" s="13">
        <v>45760</v>
      </c>
      <c r="U565" s="1" t="str">
        <f>IF(ESTIMATIVA[[#This Row],[QT_AREA_REAL]]&gt;0,"1- Colhido","2- à Colher")</f>
        <v>1- Colhido</v>
      </c>
      <c r="V565" s="1" t="str">
        <f>IF(ESTIMATIVA[[#This Row],[QT_AREA_REST1]]&gt;0,"Reestimativa 1",IF(ESTIMATIVA[[#This Row],[QT_AREA_REAL]]=0,"Reestimativa 1","Realizado"))</f>
        <v>Realizado</v>
      </c>
      <c r="W565" s="1" t="str">
        <f>IF(ESTIMATIVA[[#This Row],[QT_AREA_REST2]]&gt;0,"Reestimativa 2",IF(ESTIMATIVA[[#This Row],[QT_AREA_REAL]]=0,"Reestimativa 2","Realizado"))</f>
        <v>Realizado</v>
      </c>
      <c r="X565" s="1">
        <f>ESTIMATIVA[[#This Row],[QT_AREA_EST]]</f>
        <v>12.55</v>
      </c>
      <c r="Y565" s="1">
        <f>IF(ESTIMATIVA[[#This Row],[QT_AREA_REST1]]&gt;0,ESTIMATIVA[[#This Row],[QT_AREA_REST1]],
  IF(ESTIMATIVA[[#This Row],[QT_AREA_REAL]]&gt;0,ESTIMATIVA[[#This Row],[QT_AREA_REAL]],ESTIMATIVA[[#This Row],[QT_AREA_EST]]))</f>
        <v>12.55</v>
      </c>
      <c r="Z56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12.55</v>
      </c>
      <c r="AA565" s="1">
        <f>ESTIMATIVA[[#This Row],[QT_CANA_EST]]</f>
        <v>903.6</v>
      </c>
      <c r="AB565" s="1">
        <f>IF(ESTIMATIVA[[#This Row],[QT_CANA_REST1]]&gt;0,ESTIMATIVA[[#This Row],[QT_CANA_REST1]],
  IF(ESTIMATIVA[[#This Row],[QT_CANA_REAL]]&gt;0,ESTIMATIVA[[#This Row],[QT_CANA_REAL]],ESTIMATIVA[[#This Row],[QT_CANA_EST]]))</f>
        <v>1047.8800000000001</v>
      </c>
      <c r="AC56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1047.8800000000001</v>
      </c>
      <c r="AD565" s="1">
        <f>IF(ESTIMATIVA[[#This Row],[QT_AREA_REAL]]&gt;0,ESTIMATIVA[[#This Row],[QT_CANA_REAL]],ESTIMATIVA[[#This Row],[QT_CANA_EST]])</f>
        <v>1047.8800000000001</v>
      </c>
      <c r="AE565" s="1">
        <f>IF(ESTIMATIVA[[#This Row],[QT_AREA_REAL]]&gt;0,ESTIMATIVA[[#This Row],[QT_CANA_REAL]],ESTIMATIVA[[#This Row],[QT_CANA_REST1]])</f>
        <v>1047.8800000000001</v>
      </c>
      <c r="AF565" s="1">
        <f>IF(ESTIMATIVA[[#This Row],[QT_AREA_REAL]]&gt;0,ESTIMATIVA[[#This Row],[QT_CANA_REAL]],ESTIMATIVA[[#This Row],[QT_CANA_REST2]])</f>
        <v>1047.8800000000001</v>
      </c>
      <c r="AG565" s="1" t="str">
        <f>IF(COUNTIFS(GEADA!A:A,VALUE(ESTIMATIVA[[#This Row],[CD_UPNIVEL1]]&amp;TEXT(ESTIMATIVA[[#This Row],[CD_UPNIVEL3]],"0000")))&gt;0,"S","N")</f>
        <v>N</v>
      </c>
      <c r="AH56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65" s="55" t="str">
        <f>IF(ESTIMATIVA[[#This Row],[TP_CULTIVO]]="Irrigado",_xlfn.MAXIFS(IRRIGADO!J:J,IRRIGADO!C:C,ESTIMATIVA[[#This Row],[CD_UPNIVEL1]],IRRIGADO!E:E,ESTIMATIVA[[#This Row],[CD_UPNIVEL3]]),"")</f>
        <v/>
      </c>
      <c r="AJ56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65" s="1">
        <f>COUNTIFS(Apresentação!$E$23:$E$29,ESTIMATIVA[[#This Row],[CD_UPNIVEL1]])</f>
        <v>0</v>
      </c>
    </row>
    <row r="566" spans="1:37" x14ac:dyDescent="0.3">
      <c r="A566">
        <v>20321</v>
      </c>
      <c r="B566" t="s">
        <v>30</v>
      </c>
      <c r="C566">
        <v>11</v>
      </c>
      <c r="D566">
        <v>4</v>
      </c>
      <c r="E566" t="s">
        <v>265</v>
      </c>
      <c r="F566" s="85" t="s">
        <v>331</v>
      </c>
      <c r="G566"/>
      <c r="H566" t="s">
        <v>295</v>
      </c>
      <c r="I566" t="s">
        <v>208</v>
      </c>
      <c r="J566" t="s">
        <v>176</v>
      </c>
      <c r="K566" s="1">
        <v>6.94</v>
      </c>
      <c r="L566" s="1">
        <v>0</v>
      </c>
      <c r="M566" s="1">
        <v>0</v>
      </c>
      <c r="N566" s="1">
        <v>6.94</v>
      </c>
      <c r="O566" s="1">
        <v>499.68</v>
      </c>
      <c r="P566" s="1">
        <v>0</v>
      </c>
      <c r="Q566" s="1">
        <v>0</v>
      </c>
      <c r="R566" s="1">
        <v>579.86</v>
      </c>
      <c r="S566" t="s">
        <v>12</v>
      </c>
      <c r="T566" s="13">
        <v>45760</v>
      </c>
      <c r="U566" s="1" t="str">
        <f>IF(ESTIMATIVA[[#This Row],[QT_AREA_REAL]]&gt;0,"1- Colhido","2- à Colher")</f>
        <v>1- Colhido</v>
      </c>
      <c r="V566" s="1" t="str">
        <f>IF(ESTIMATIVA[[#This Row],[QT_AREA_REST1]]&gt;0,"Reestimativa 1",IF(ESTIMATIVA[[#This Row],[QT_AREA_REAL]]=0,"Reestimativa 1","Realizado"))</f>
        <v>Realizado</v>
      </c>
      <c r="W566" s="1" t="str">
        <f>IF(ESTIMATIVA[[#This Row],[QT_AREA_REST2]]&gt;0,"Reestimativa 2",IF(ESTIMATIVA[[#This Row],[QT_AREA_REAL]]=0,"Reestimativa 2","Realizado"))</f>
        <v>Realizado</v>
      </c>
      <c r="X566" s="1">
        <f>ESTIMATIVA[[#This Row],[QT_AREA_EST]]</f>
        <v>6.94</v>
      </c>
      <c r="Y566" s="1">
        <f>IF(ESTIMATIVA[[#This Row],[QT_AREA_REST1]]&gt;0,ESTIMATIVA[[#This Row],[QT_AREA_REST1]],
  IF(ESTIMATIVA[[#This Row],[QT_AREA_REAL]]&gt;0,ESTIMATIVA[[#This Row],[QT_AREA_REAL]],ESTIMATIVA[[#This Row],[QT_AREA_EST]]))</f>
        <v>6.94</v>
      </c>
      <c r="Z56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6.94</v>
      </c>
      <c r="AA566" s="1">
        <f>ESTIMATIVA[[#This Row],[QT_CANA_EST]]</f>
        <v>499.68</v>
      </c>
      <c r="AB566" s="1">
        <f>IF(ESTIMATIVA[[#This Row],[QT_CANA_REST1]]&gt;0,ESTIMATIVA[[#This Row],[QT_CANA_REST1]],
  IF(ESTIMATIVA[[#This Row],[QT_CANA_REAL]]&gt;0,ESTIMATIVA[[#This Row],[QT_CANA_REAL]],ESTIMATIVA[[#This Row],[QT_CANA_EST]]))</f>
        <v>579.86</v>
      </c>
      <c r="AC56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579.86</v>
      </c>
      <c r="AD566" s="1">
        <f>IF(ESTIMATIVA[[#This Row],[QT_AREA_REAL]]&gt;0,ESTIMATIVA[[#This Row],[QT_CANA_REAL]],ESTIMATIVA[[#This Row],[QT_CANA_EST]])</f>
        <v>579.86</v>
      </c>
      <c r="AE566" s="1">
        <f>IF(ESTIMATIVA[[#This Row],[QT_AREA_REAL]]&gt;0,ESTIMATIVA[[#This Row],[QT_CANA_REAL]],ESTIMATIVA[[#This Row],[QT_CANA_REST1]])</f>
        <v>579.86</v>
      </c>
      <c r="AF566" s="1">
        <f>IF(ESTIMATIVA[[#This Row],[QT_AREA_REAL]]&gt;0,ESTIMATIVA[[#This Row],[QT_CANA_REAL]],ESTIMATIVA[[#This Row],[QT_CANA_REST2]])</f>
        <v>579.86</v>
      </c>
      <c r="AG566" s="1" t="str">
        <f>IF(COUNTIFS(GEADA!A:A,VALUE(ESTIMATIVA[[#This Row],[CD_UPNIVEL1]]&amp;TEXT(ESTIMATIVA[[#This Row],[CD_UPNIVEL3]],"0000")))&gt;0,"S","N")</f>
        <v>N</v>
      </c>
      <c r="AH56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66" s="55" t="str">
        <f>IF(ESTIMATIVA[[#This Row],[TP_CULTIVO]]="Irrigado",_xlfn.MAXIFS(IRRIGADO!J:J,IRRIGADO!C:C,ESTIMATIVA[[#This Row],[CD_UPNIVEL1]],IRRIGADO!E:E,ESTIMATIVA[[#This Row],[CD_UPNIVEL3]]),"")</f>
        <v/>
      </c>
      <c r="AJ56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66" s="1">
        <f>COUNTIFS(Apresentação!$E$23:$E$29,ESTIMATIVA[[#This Row],[CD_UPNIVEL1]])</f>
        <v>0</v>
      </c>
    </row>
    <row r="567" spans="1:37" x14ac:dyDescent="0.3">
      <c r="A567">
        <v>20321</v>
      </c>
      <c r="B567" t="s">
        <v>30</v>
      </c>
      <c r="C567">
        <v>44</v>
      </c>
      <c r="D567">
        <v>1</v>
      </c>
      <c r="E567" t="s">
        <v>267</v>
      </c>
      <c r="F567" s="85" t="s">
        <v>333</v>
      </c>
      <c r="G567"/>
      <c r="H567" t="s">
        <v>295</v>
      </c>
      <c r="I567" t="s">
        <v>207</v>
      </c>
      <c r="J567" t="s">
        <v>176</v>
      </c>
      <c r="K567" s="1">
        <v>18.41</v>
      </c>
      <c r="L567" s="1">
        <v>18.41</v>
      </c>
      <c r="M567" s="1">
        <v>0</v>
      </c>
      <c r="N567" s="1">
        <v>18.41</v>
      </c>
      <c r="O567" s="1">
        <v>1601.67</v>
      </c>
      <c r="P567" s="1">
        <v>1601.67</v>
      </c>
      <c r="Q567" s="1">
        <v>0</v>
      </c>
      <c r="R567" s="1">
        <v>1492.75</v>
      </c>
      <c r="S567" t="s">
        <v>12</v>
      </c>
      <c r="T567" s="13">
        <v>45886</v>
      </c>
      <c r="U567" s="1" t="str">
        <f>IF(ESTIMATIVA[[#This Row],[QT_AREA_REAL]]&gt;0,"1- Colhido","2- à Colher")</f>
        <v>1- Colhido</v>
      </c>
      <c r="V567" s="1" t="str">
        <f>IF(ESTIMATIVA[[#This Row],[QT_AREA_REST1]]&gt;0,"Reestimativa 1",IF(ESTIMATIVA[[#This Row],[QT_AREA_REAL]]=0,"Reestimativa 1","Realizado"))</f>
        <v>Reestimativa 1</v>
      </c>
      <c r="W567" s="1" t="str">
        <f>IF(ESTIMATIVA[[#This Row],[QT_AREA_REST2]]&gt;0,"Reestimativa 2",IF(ESTIMATIVA[[#This Row],[QT_AREA_REAL]]=0,"Reestimativa 2","Realizado"))</f>
        <v>Realizado</v>
      </c>
      <c r="X567" s="1">
        <f>ESTIMATIVA[[#This Row],[QT_AREA_EST]]</f>
        <v>18.41</v>
      </c>
      <c r="Y567" s="1">
        <f>IF(ESTIMATIVA[[#This Row],[QT_AREA_REST1]]&gt;0,ESTIMATIVA[[#This Row],[QT_AREA_REST1]],
  IF(ESTIMATIVA[[#This Row],[QT_AREA_REAL]]&gt;0,ESTIMATIVA[[#This Row],[QT_AREA_REAL]],ESTIMATIVA[[#This Row],[QT_AREA_EST]]))</f>
        <v>18.41</v>
      </c>
      <c r="Z56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18.41</v>
      </c>
      <c r="AA567" s="1">
        <f>ESTIMATIVA[[#This Row],[QT_CANA_EST]]</f>
        <v>1601.67</v>
      </c>
      <c r="AB567" s="1">
        <f>IF(ESTIMATIVA[[#This Row],[QT_CANA_REST1]]&gt;0,ESTIMATIVA[[#This Row],[QT_CANA_REST1]],
  IF(ESTIMATIVA[[#This Row],[QT_CANA_REAL]]&gt;0,ESTIMATIVA[[#This Row],[QT_CANA_REAL]],ESTIMATIVA[[#This Row],[QT_CANA_EST]]))</f>
        <v>1601.67</v>
      </c>
      <c r="AC56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1492.75</v>
      </c>
      <c r="AD567" s="1">
        <f>IF(ESTIMATIVA[[#This Row],[QT_AREA_REAL]]&gt;0,ESTIMATIVA[[#This Row],[QT_CANA_REAL]],ESTIMATIVA[[#This Row],[QT_CANA_EST]])</f>
        <v>1492.75</v>
      </c>
      <c r="AE567" s="1">
        <f>IF(ESTIMATIVA[[#This Row],[QT_AREA_REAL]]&gt;0,ESTIMATIVA[[#This Row],[QT_CANA_REAL]],ESTIMATIVA[[#This Row],[QT_CANA_REST1]])</f>
        <v>1492.75</v>
      </c>
      <c r="AF567" s="1">
        <f>IF(ESTIMATIVA[[#This Row],[QT_AREA_REAL]]&gt;0,ESTIMATIVA[[#This Row],[QT_CANA_REAL]],ESTIMATIVA[[#This Row],[QT_CANA_REST2]])</f>
        <v>1492.75</v>
      </c>
      <c r="AG567" s="1" t="str">
        <f>IF(COUNTIFS(GEADA!A:A,VALUE(ESTIMATIVA[[#This Row],[CD_UPNIVEL1]]&amp;TEXT(ESTIMATIVA[[#This Row],[CD_UPNIVEL3]],"0000")))&gt;0,"S","N")</f>
        <v>N</v>
      </c>
      <c r="AH56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67" s="55" t="str">
        <f>IF(ESTIMATIVA[[#This Row],[TP_CULTIVO]]="Irrigado",_xlfn.MAXIFS(IRRIGADO!J:J,IRRIGADO!C:C,ESTIMATIVA[[#This Row],[CD_UPNIVEL1]],IRRIGADO!E:E,ESTIMATIVA[[#This Row],[CD_UPNIVEL3]]),"")</f>
        <v/>
      </c>
      <c r="AJ56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67" s="1">
        <f>COUNTIFS(Apresentação!$E$23:$E$29,ESTIMATIVA[[#This Row],[CD_UPNIVEL1]])</f>
        <v>0</v>
      </c>
    </row>
    <row r="568" spans="1:37" x14ac:dyDescent="0.3">
      <c r="A568">
        <v>20321</v>
      </c>
      <c r="B568" t="s">
        <v>30</v>
      </c>
      <c r="C568">
        <v>45</v>
      </c>
      <c r="D568">
        <v>1</v>
      </c>
      <c r="E568" t="s">
        <v>267</v>
      </c>
      <c r="F568" s="85" t="s">
        <v>333</v>
      </c>
      <c r="G568"/>
      <c r="H568" t="s">
        <v>295</v>
      </c>
      <c r="I568" t="s">
        <v>207</v>
      </c>
      <c r="J568" t="s">
        <v>176</v>
      </c>
      <c r="K568" s="1">
        <v>20.86</v>
      </c>
      <c r="L568" s="1">
        <v>20.86</v>
      </c>
      <c r="M568" s="1">
        <v>0</v>
      </c>
      <c r="N568" s="1">
        <v>20.86</v>
      </c>
      <c r="O568" s="1">
        <v>1939.98</v>
      </c>
      <c r="P568" s="1">
        <v>1939.98</v>
      </c>
      <c r="Q568" s="1">
        <v>0</v>
      </c>
      <c r="R568" s="1">
        <v>1807.71</v>
      </c>
      <c r="S568" t="s">
        <v>12</v>
      </c>
      <c r="T568" s="13">
        <v>45886</v>
      </c>
      <c r="U568" s="1" t="str">
        <f>IF(ESTIMATIVA[[#This Row],[QT_AREA_REAL]]&gt;0,"1- Colhido","2- à Colher")</f>
        <v>1- Colhido</v>
      </c>
      <c r="V568" s="1" t="str">
        <f>IF(ESTIMATIVA[[#This Row],[QT_AREA_REST1]]&gt;0,"Reestimativa 1",IF(ESTIMATIVA[[#This Row],[QT_AREA_REAL]]=0,"Reestimativa 1","Realizado"))</f>
        <v>Reestimativa 1</v>
      </c>
      <c r="W568" s="1" t="str">
        <f>IF(ESTIMATIVA[[#This Row],[QT_AREA_REST2]]&gt;0,"Reestimativa 2",IF(ESTIMATIVA[[#This Row],[QT_AREA_REAL]]=0,"Reestimativa 2","Realizado"))</f>
        <v>Realizado</v>
      </c>
      <c r="X568" s="1">
        <f>ESTIMATIVA[[#This Row],[QT_AREA_EST]]</f>
        <v>20.86</v>
      </c>
      <c r="Y568" s="1">
        <f>IF(ESTIMATIVA[[#This Row],[QT_AREA_REST1]]&gt;0,ESTIMATIVA[[#This Row],[QT_AREA_REST1]],
  IF(ESTIMATIVA[[#This Row],[QT_AREA_REAL]]&gt;0,ESTIMATIVA[[#This Row],[QT_AREA_REAL]],ESTIMATIVA[[#This Row],[QT_AREA_EST]]))</f>
        <v>20.86</v>
      </c>
      <c r="Z56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20.86</v>
      </c>
      <c r="AA568" s="1">
        <f>ESTIMATIVA[[#This Row],[QT_CANA_EST]]</f>
        <v>1939.98</v>
      </c>
      <c r="AB568" s="1">
        <f>IF(ESTIMATIVA[[#This Row],[QT_CANA_REST1]]&gt;0,ESTIMATIVA[[#This Row],[QT_CANA_REST1]],
  IF(ESTIMATIVA[[#This Row],[QT_CANA_REAL]]&gt;0,ESTIMATIVA[[#This Row],[QT_CANA_REAL]],ESTIMATIVA[[#This Row],[QT_CANA_EST]]))</f>
        <v>1939.98</v>
      </c>
      <c r="AC56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1807.71</v>
      </c>
      <c r="AD568" s="1">
        <f>IF(ESTIMATIVA[[#This Row],[QT_AREA_REAL]]&gt;0,ESTIMATIVA[[#This Row],[QT_CANA_REAL]],ESTIMATIVA[[#This Row],[QT_CANA_EST]])</f>
        <v>1807.71</v>
      </c>
      <c r="AE568" s="1">
        <f>IF(ESTIMATIVA[[#This Row],[QT_AREA_REAL]]&gt;0,ESTIMATIVA[[#This Row],[QT_CANA_REAL]],ESTIMATIVA[[#This Row],[QT_CANA_REST1]])</f>
        <v>1807.71</v>
      </c>
      <c r="AF568" s="1">
        <f>IF(ESTIMATIVA[[#This Row],[QT_AREA_REAL]]&gt;0,ESTIMATIVA[[#This Row],[QT_CANA_REAL]],ESTIMATIVA[[#This Row],[QT_CANA_REST2]])</f>
        <v>1807.71</v>
      </c>
      <c r="AG568" s="1" t="str">
        <f>IF(COUNTIFS(GEADA!A:A,VALUE(ESTIMATIVA[[#This Row],[CD_UPNIVEL1]]&amp;TEXT(ESTIMATIVA[[#This Row],[CD_UPNIVEL3]],"0000")))&gt;0,"S","N")</f>
        <v>N</v>
      </c>
      <c r="AH56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68" s="55" t="str">
        <f>IF(ESTIMATIVA[[#This Row],[TP_CULTIVO]]="Irrigado",_xlfn.MAXIFS(IRRIGADO!J:J,IRRIGADO!C:C,ESTIMATIVA[[#This Row],[CD_UPNIVEL1]],IRRIGADO!E:E,ESTIMATIVA[[#This Row],[CD_UPNIVEL3]]),"")</f>
        <v/>
      </c>
      <c r="AJ56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68" s="1">
        <f>COUNTIFS(Apresentação!$E$23:$E$29,ESTIMATIVA[[#This Row],[CD_UPNIVEL1]])</f>
        <v>0</v>
      </c>
    </row>
    <row r="569" spans="1:37" x14ac:dyDescent="0.3">
      <c r="A569">
        <v>20321</v>
      </c>
      <c r="B569" t="s">
        <v>30</v>
      </c>
      <c r="C569">
        <v>46</v>
      </c>
      <c r="D569">
        <v>1</v>
      </c>
      <c r="E569" t="s">
        <v>267</v>
      </c>
      <c r="F569" s="85" t="s">
        <v>333</v>
      </c>
      <c r="G569"/>
      <c r="H569" t="s">
        <v>295</v>
      </c>
      <c r="I569" t="s">
        <v>207</v>
      </c>
      <c r="J569" t="s">
        <v>176</v>
      </c>
      <c r="K569" s="1">
        <v>13.78</v>
      </c>
      <c r="L569" s="1">
        <v>13.78</v>
      </c>
      <c r="M569" s="1">
        <v>0</v>
      </c>
      <c r="N569" s="1">
        <v>13.78</v>
      </c>
      <c r="O569" s="1">
        <v>1212.6400000000001</v>
      </c>
      <c r="P569" s="1">
        <v>1212.6400000000001</v>
      </c>
      <c r="Q569" s="1">
        <v>0</v>
      </c>
      <c r="R569" s="1">
        <v>1130.47</v>
      </c>
      <c r="S569" t="s">
        <v>12</v>
      </c>
      <c r="T569" s="13">
        <v>45886</v>
      </c>
      <c r="U569" s="1" t="str">
        <f>IF(ESTIMATIVA[[#This Row],[QT_AREA_REAL]]&gt;0,"1- Colhido","2- à Colher")</f>
        <v>1- Colhido</v>
      </c>
      <c r="V569" s="1" t="str">
        <f>IF(ESTIMATIVA[[#This Row],[QT_AREA_REST1]]&gt;0,"Reestimativa 1",IF(ESTIMATIVA[[#This Row],[QT_AREA_REAL]]=0,"Reestimativa 1","Realizado"))</f>
        <v>Reestimativa 1</v>
      </c>
      <c r="W569" s="1" t="str">
        <f>IF(ESTIMATIVA[[#This Row],[QT_AREA_REST2]]&gt;0,"Reestimativa 2",IF(ESTIMATIVA[[#This Row],[QT_AREA_REAL]]=0,"Reestimativa 2","Realizado"))</f>
        <v>Realizado</v>
      </c>
      <c r="X569" s="1">
        <f>ESTIMATIVA[[#This Row],[QT_AREA_EST]]</f>
        <v>13.78</v>
      </c>
      <c r="Y569" s="1">
        <f>IF(ESTIMATIVA[[#This Row],[QT_AREA_REST1]]&gt;0,ESTIMATIVA[[#This Row],[QT_AREA_REST1]],
  IF(ESTIMATIVA[[#This Row],[QT_AREA_REAL]]&gt;0,ESTIMATIVA[[#This Row],[QT_AREA_REAL]],ESTIMATIVA[[#This Row],[QT_AREA_EST]]))</f>
        <v>13.78</v>
      </c>
      <c r="Z56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13.78</v>
      </c>
      <c r="AA569" s="1">
        <f>ESTIMATIVA[[#This Row],[QT_CANA_EST]]</f>
        <v>1212.6400000000001</v>
      </c>
      <c r="AB569" s="1">
        <f>IF(ESTIMATIVA[[#This Row],[QT_CANA_REST1]]&gt;0,ESTIMATIVA[[#This Row],[QT_CANA_REST1]],
  IF(ESTIMATIVA[[#This Row],[QT_CANA_REAL]]&gt;0,ESTIMATIVA[[#This Row],[QT_CANA_REAL]],ESTIMATIVA[[#This Row],[QT_CANA_EST]]))</f>
        <v>1212.6400000000001</v>
      </c>
      <c r="AC56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1130.47</v>
      </c>
      <c r="AD569" s="1">
        <f>IF(ESTIMATIVA[[#This Row],[QT_AREA_REAL]]&gt;0,ESTIMATIVA[[#This Row],[QT_CANA_REAL]],ESTIMATIVA[[#This Row],[QT_CANA_EST]])</f>
        <v>1130.47</v>
      </c>
      <c r="AE569" s="1">
        <f>IF(ESTIMATIVA[[#This Row],[QT_AREA_REAL]]&gt;0,ESTIMATIVA[[#This Row],[QT_CANA_REAL]],ESTIMATIVA[[#This Row],[QT_CANA_REST1]])</f>
        <v>1130.47</v>
      </c>
      <c r="AF569" s="1">
        <f>IF(ESTIMATIVA[[#This Row],[QT_AREA_REAL]]&gt;0,ESTIMATIVA[[#This Row],[QT_CANA_REAL]],ESTIMATIVA[[#This Row],[QT_CANA_REST2]])</f>
        <v>1130.47</v>
      </c>
      <c r="AG569" s="1" t="str">
        <f>IF(COUNTIFS(GEADA!A:A,VALUE(ESTIMATIVA[[#This Row],[CD_UPNIVEL1]]&amp;TEXT(ESTIMATIVA[[#This Row],[CD_UPNIVEL3]],"0000")))&gt;0,"S","N")</f>
        <v>N</v>
      </c>
      <c r="AH56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69" s="55" t="str">
        <f>IF(ESTIMATIVA[[#This Row],[TP_CULTIVO]]="Irrigado",_xlfn.MAXIFS(IRRIGADO!J:J,IRRIGADO!C:C,ESTIMATIVA[[#This Row],[CD_UPNIVEL1]],IRRIGADO!E:E,ESTIMATIVA[[#This Row],[CD_UPNIVEL3]]),"")</f>
        <v/>
      </c>
      <c r="AJ56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69" s="1">
        <f>COUNTIFS(Apresentação!$E$23:$E$29,ESTIMATIVA[[#This Row],[CD_UPNIVEL1]])</f>
        <v>0</v>
      </c>
    </row>
    <row r="570" spans="1:37" x14ac:dyDescent="0.3">
      <c r="A570">
        <v>20322</v>
      </c>
      <c r="B570" t="s">
        <v>126</v>
      </c>
      <c r="C570">
        <v>1</v>
      </c>
      <c r="D570">
        <v>4</v>
      </c>
      <c r="E570" t="s">
        <v>265</v>
      </c>
      <c r="F570" s="85" t="s">
        <v>333</v>
      </c>
      <c r="G570"/>
      <c r="H570" t="s">
        <v>295</v>
      </c>
      <c r="I570" t="s">
        <v>200</v>
      </c>
      <c r="J570" t="s">
        <v>176</v>
      </c>
      <c r="K570" s="1">
        <v>5.49</v>
      </c>
      <c r="L570" s="1">
        <v>5.49</v>
      </c>
      <c r="M570" s="1">
        <v>5.49</v>
      </c>
      <c r="N570" s="1">
        <v>5.49</v>
      </c>
      <c r="O570" s="1">
        <v>258.02999999999997</v>
      </c>
      <c r="P570" s="1">
        <v>274.5</v>
      </c>
      <c r="Q570" s="1">
        <v>301.95</v>
      </c>
      <c r="R570" s="1">
        <v>253.74</v>
      </c>
      <c r="S570" t="s">
        <v>12</v>
      </c>
      <c r="T570" s="13">
        <v>45963</v>
      </c>
      <c r="U570" s="1" t="str">
        <f>IF(ESTIMATIVA[[#This Row],[QT_AREA_REAL]]&gt;0,"1- Colhido","2- à Colher")</f>
        <v>1- Colhido</v>
      </c>
      <c r="V570" s="1" t="str">
        <f>IF(ESTIMATIVA[[#This Row],[QT_AREA_REST1]]&gt;0,"Reestimativa 1",IF(ESTIMATIVA[[#This Row],[QT_AREA_REAL]]=0,"Reestimativa 1","Realizado"))</f>
        <v>Reestimativa 1</v>
      </c>
      <c r="W570" s="1" t="str">
        <f>IF(ESTIMATIVA[[#This Row],[QT_AREA_REST2]]&gt;0,"Reestimativa 2",IF(ESTIMATIVA[[#This Row],[QT_AREA_REAL]]=0,"Reestimativa 2","Realizado"))</f>
        <v>Reestimativa 2</v>
      </c>
      <c r="X570" s="1">
        <f>ESTIMATIVA[[#This Row],[QT_AREA_EST]]</f>
        <v>5.49</v>
      </c>
      <c r="Y570" s="1">
        <f>IF(ESTIMATIVA[[#This Row],[QT_AREA_REST1]]&gt;0,ESTIMATIVA[[#This Row],[QT_AREA_REST1]],
  IF(ESTIMATIVA[[#This Row],[QT_AREA_REAL]]&gt;0,ESTIMATIVA[[#This Row],[QT_AREA_REAL]],ESTIMATIVA[[#This Row],[QT_AREA_EST]]))</f>
        <v>5.49</v>
      </c>
      <c r="Z57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5.49</v>
      </c>
      <c r="AA570" s="1">
        <f>ESTIMATIVA[[#This Row],[QT_CANA_EST]]</f>
        <v>258.02999999999997</v>
      </c>
      <c r="AB570" s="1">
        <f>IF(ESTIMATIVA[[#This Row],[QT_CANA_REST1]]&gt;0,ESTIMATIVA[[#This Row],[QT_CANA_REST1]],
  IF(ESTIMATIVA[[#This Row],[QT_CANA_REAL]]&gt;0,ESTIMATIVA[[#This Row],[QT_CANA_REAL]],ESTIMATIVA[[#This Row],[QT_CANA_EST]]))</f>
        <v>274.5</v>
      </c>
      <c r="AC57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301.95</v>
      </c>
      <c r="AD570" s="1">
        <f>IF(ESTIMATIVA[[#This Row],[QT_AREA_REAL]]&gt;0,ESTIMATIVA[[#This Row],[QT_CANA_REAL]],ESTIMATIVA[[#This Row],[QT_CANA_EST]])</f>
        <v>253.74</v>
      </c>
      <c r="AE570" s="1">
        <f>IF(ESTIMATIVA[[#This Row],[QT_AREA_REAL]]&gt;0,ESTIMATIVA[[#This Row],[QT_CANA_REAL]],ESTIMATIVA[[#This Row],[QT_CANA_REST1]])</f>
        <v>253.74</v>
      </c>
      <c r="AF570" s="1">
        <f>IF(ESTIMATIVA[[#This Row],[QT_AREA_REAL]]&gt;0,ESTIMATIVA[[#This Row],[QT_CANA_REAL]],ESTIMATIVA[[#This Row],[QT_CANA_REST2]])</f>
        <v>253.74</v>
      </c>
      <c r="AG570" s="1" t="str">
        <f>IF(COUNTIFS(GEADA!A:A,VALUE(ESTIMATIVA[[#This Row],[CD_UPNIVEL1]]&amp;TEXT(ESTIMATIVA[[#This Row],[CD_UPNIVEL3]],"0000")))&gt;0,"S","N")</f>
        <v>N</v>
      </c>
      <c r="AH570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570" s="55">
        <f>IF(ESTIMATIVA[[#This Row],[TP_CULTIVO]]="Irrigado",_xlfn.MAXIFS(IRRIGADO!J:J,IRRIGADO!C:C,ESTIMATIVA[[#This Row],[CD_UPNIVEL1]],IRRIGADO!E:E,ESTIMATIVA[[#This Row],[CD_UPNIVEL3]]),"")</f>
        <v>45596</v>
      </c>
      <c r="AJ570" s="1">
        <f>IF(ESTIMATIVA[[#This Row],[TP_CULTIVO]]&lt;&gt;"Irrigado",0,AVERAGEIFS(IRRIGADO!G:G,IRRIGADO!C:C,ESTIMATIVA[[#This Row],[CD_UPNIVEL1]],IRRIGADO!E:E,ESTIMATIVA[[#This Row],[CD_UPNIVEL3]])*ESTIMATIVA[[#This Row],[QT_AREA_REAL]])</f>
        <v>142.74</v>
      </c>
      <c r="AK570" s="1">
        <f>COUNTIFS(Apresentação!$E$23:$E$29,ESTIMATIVA[[#This Row],[CD_UPNIVEL1]])</f>
        <v>1</v>
      </c>
    </row>
    <row r="571" spans="1:37" x14ac:dyDescent="0.3">
      <c r="A571">
        <v>20322</v>
      </c>
      <c r="B571" t="s">
        <v>126</v>
      </c>
      <c r="C571">
        <v>2</v>
      </c>
      <c r="D571">
        <v>4</v>
      </c>
      <c r="E571" t="s">
        <v>265</v>
      </c>
      <c r="F571" s="85" t="s">
        <v>333</v>
      </c>
      <c r="G571"/>
      <c r="H571" t="s">
        <v>295</v>
      </c>
      <c r="I571" t="s">
        <v>207</v>
      </c>
      <c r="J571" t="s">
        <v>176</v>
      </c>
      <c r="K571" s="1">
        <v>3.82</v>
      </c>
      <c r="L571" s="1">
        <v>3.82</v>
      </c>
      <c r="M571" s="1">
        <v>3.82</v>
      </c>
      <c r="N571" s="1">
        <v>3.82</v>
      </c>
      <c r="O571" s="1">
        <v>179.54</v>
      </c>
      <c r="P571" s="1">
        <v>191</v>
      </c>
      <c r="Q571" s="1">
        <v>210.1</v>
      </c>
      <c r="R571" s="1">
        <v>177.2</v>
      </c>
      <c r="S571" t="s">
        <v>12</v>
      </c>
      <c r="T571" s="13">
        <v>45963</v>
      </c>
      <c r="U571" s="1" t="str">
        <f>IF(ESTIMATIVA[[#This Row],[QT_AREA_REAL]]&gt;0,"1- Colhido","2- à Colher")</f>
        <v>1- Colhido</v>
      </c>
      <c r="V571" s="1" t="str">
        <f>IF(ESTIMATIVA[[#This Row],[QT_AREA_REST1]]&gt;0,"Reestimativa 1",IF(ESTIMATIVA[[#This Row],[QT_AREA_REAL]]=0,"Reestimativa 1","Realizado"))</f>
        <v>Reestimativa 1</v>
      </c>
      <c r="W571" s="1" t="str">
        <f>IF(ESTIMATIVA[[#This Row],[QT_AREA_REST2]]&gt;0,"Reestimativa 2",IF(ESTIMATIVA[[#This Row],[QT_AREA_REAL]]=0,"Reestimativa 2","Realizado"))</f>
        <v>Reestimativa 2</v>
      </c>
      <c r="X571" s="1">
        <f>ESTIMATIVA[[#This Row],[QT_AREA_EST]]</f>
        <v>3.82</v>
      </c>
      <c r="Y571" s="1">
        <f>IF(ESTIMATIVA[[#This Row],[QT_AREA_REST1]]&gt;0,ESTIMATIVA[[#This Row],[QT_AREA_REST1]],
  IF(ESTIMATIVA[[#This Row],[QT_AREA_REAL]]&gt;0,ESTIMATIVA[[#This Row],[QT_AREA_REAL]],ESTIMATIVA[[#This Row],[QT_AREA_EST]]))</f>
        <v>3.82</v>
      </c>
      <c r="Z57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3.82</v>
      </c>
      <c r="AA571" s="1">
        <f>ESTIMATIVA[[#This Row],[QT_CANA_EST]]</f>
        <v>179.54</v>
      </c>
      <c r="AB571" s="1">
        <f>IF(ESTIMATIVA[[#This Row],[QT_CANA_REST1]]&gt;0,ESTIMATIVA[[#This Row],[QT_CANA_REST1]],
  IF(ESTIMATIVA[[#This Row],[QT_CANA_REAL]]&gt;0,ESTIMATIVA[[#This Row],[QT_CANA_REAL]],ESTIMATIVA[[#This Row],[QT_CANA_EST]]))</f>
        <v>191</v>
      </c>
      <c r="AC57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210.1</v>
      </c>
      <c r="AD571" s="1">
        <f>IF(ESTIMATIVA[[#This Row],[QT_AREA_REAL]]&gt;0,ESTIMATIVA[[#This Row],[QT_CANA_REAL]],ESTIMATIVA[[#This Row],[QT_CANA_EST]])</f>
        <v>177.2</v>
      </c>
      <c r="AE571" s="1">
        <f>IF(ESTIMATIVA[[#This Row],[QT_AREA_REAL]]&gt;0,ESTIMATIVA[[#This Row],[QT_CANA_REAL]],ESTIMATIVA[[#This Row],[QT_CANA_REST1]])</f>
        <v>177.2</v>
      </c>
      <c r="AF571" s="1">
        <f>IF(ESTIMATIVA[[#This Row],[QT_AREA_REAL]]&gt;0,ESTIMATIVA[[#This Row],[QT_CANA_REAL]],ESTIMATIVA[[#This Row],[QT_CANA_REST2]])</f>
        <v>177.2</v>
      </c>
      <c r="AG571" s="1" t="str">
        <f>IF(COUNTIFS(GEADA!A:A,VALUE(ESTIMATIVA[[#This Row],[CD_UPNIVEL1]]&amp;TEXT(ESTIMATIVA[[#This Row],[CD_UPNIVEL3]],"0000")))&gt;0,"S","N")</f>
        <v>N</v>
      </c>
      <c r="AH571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571" s="55">
        <f>IF(ESTIMATIVA[[#This Row],[TP_CULTIVO]]="Irrigado",_xlfn.MAXIFS(IRRIGADO!J:J,IRRIGADO!C:C,ESTIMATIVA[[#This Row],[CD_UPNIVEL1]],IRRIGADO!E:E,ESTIMATIVA[[#This Row],[CD_UPNIVEL3]]),"")</f>
        <v>45596</v>
      </c>
      <c r="AJ571" s="1">
        <f>IF(ESTIMATIVA[[#This Row],[TP_CULTIVO]]&lt;&gt;"Irrigado",0,AVERAGEIFS(IRRIGADO!G:G,IRRIGADO!C:C,ESTIMATIVA[[#This Row],[CD_UPNIVEL1]],IRRIGADO!E:E,ESTIMATIVA[[#This Row],[CD_UPNIVEL3]])*ESTIMATIVA[[#This Row],[QT_AREA_REAL]])</f>
        <v>99.32</v>
      </c>
      <c r="AK571" s="1">
        <f>COUNTIFS(Apresentação!$E$23:$E$29,ESTIMATIVA[[#This Row],[CD_UPNIVEL1]])</f>
        <v>1</v>
      </c>
    </row>
    <row r="572" spans="1:37" x14ac:dyDescent="0.3">
      <c r="A572">
        <v>20322</v>
      </c>
      <c r="B572" t="s">
        <v>126</v>
      </c>
      <c r="C572">
        <v>3</v>
      </c>
      <c r="D572">
        <v>4</v>
      </c>
      <c r="E572" t="s">
        <v>265</v>
      </c>
      <c r="F572" s="85" t="s">
        <v>333</v>
      </c>
      <c r="G572"/>
      <c r="H572" t="s">
        <v>295</v>
      </c>
      <c r="I572" t="s">
        <v>207</v>
      </c>
      <c r="J572" t="s">
        <v>176</v>
      </c>
      <c r="K572" s="1">
        <v>3.72</v>
      </c>
      <c r="L572" s="1">
        <v>3.72</v>
      </c>
      <c r="M572" s="1">
        <v>3.72</v>
      </c>
      <c r="N572" s="1">
        <v>3.72</v>
      </c>
      <c r="O572" s="1">
        <v>174.84</v>
      </c>
      <c r="P572" s="1">
        <v>186</v>
      </c>
      <c r="Q572" s="1">
        <v>204.6</v>
      </c>
      <c r="R572" s="1">
        <v>171.92</v>
      </c>
      <c r="S572" t="s">
        <v>12</v>
      </c>
      <c r="T572" s="13">
        <v>45963</v>
      </c>
      <c r="U572" s="1" t="str">
        <f>IF(ESTIMATIVA[[#This Row],[QT_AREA_REAL]]&gt;0,"1- Colhido","2- à Colher")</f>
        <v>1- Colhido</v>
      </c>
      <c r="V572" s="1" t="str">
        <f>IF(ESTIMATIVA[[#This Row],[QT_AREA_REST1]]&gt;0,"Reestimativa 1",IF(ESTIMATIVA[[#This Row],[QT_AREA_REAL]]=0,"Reestimativa 1","Realizado"))</f>
        <v>Reestimativa 1</v>
      </c>
      <c r="W572" s="1" t="str">
        <f>IF(ESTIMATIVA[[#This Row],[QT_AREA_REST2]]&gt;0,"Reestimativa 2",IF(ESTIMATIVA[[#This Row],[QT_AREA_REAL]]=0,"Reestimativa 2","Realizado"))</f>
        <v>Reestimativa 2</v>
      </c>
      <c r="X572" s="1">
        <f>ESTIMATIVA[[#This Row],[QT_AREA_EST]]</f>
        <v>3.72</v>
      </c>
      <c r="Y572" s="1">
        <f>IF(ESTIMATIVA[[#This Row],[QT_AREA_REST1]]&gt;0,ESTIMATIVA[[#This Row],[QT_AREA_REST1]],
  IF(ESTIMATIVA[[#This Row],[QT_AREA_REAL]]&gt;0,ESTIMATIVA[[#This Row],[QT_AREA_REAL]],ESTIMATIVA[[#This Row],[QT_AREA_EST]]))</f>
        <v>3.72</v>
      </c>
      <c r="Z57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3.72</v>
      </c>
      <c r="AA572" s="1">
        <f>ESTIMATIVA[[#This Row],[QT_CANA_EST]]</f>
        <v>174.84</v>
      </c>
      <c r="AB572" s="1">
        <f>IF(ESTIMATIVA[[#This Row],[QT_CANA_REST1]]&gt;0,ESTIMATIVA[[#This Row],[QT_CANA_REST1]],
  IF(ESTIMATIVA[[#This Row],[QT_CANA_REAL]]&gt;0,ESTIMATIVA[[#This Row],[QT_CANA_REAL]],ESTIMATIVA[[#This Row],[QT_CANA_EST]]))</f>
        <v>186</v>
      </c>
      <c r="AC57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204.6</v>
      </c>
      <c r="AD572" s="1">
        <f>IF(ESTIMATIVA[[#This Row],[QT_AREA_REAL]]&gt;0,ESTIMATIVA[[#This Row],[QT_CANA_REAL]],ESTIMATIVA[[#This Row],[QT_CANA_EST]])</f>
        <v>171.92</v>
      </c>
      <c r="AE572" s="1">
        <f>IF(ESTIMATIVA[[#This Row],[QT_AREA_REAL]]&gt;0,ESTIMATIVA[[#This Row],[QT_CANA_REAL]],ESTIMATIVA[[#This Row],[QT_CANA_REST1]])</f>
        <v>171.92</v>
      </c>
      <c r="AF572" s="1">
        <f>IF(ESTIMATIVA[[#This Row],[QT_AREA_REAL]]&gt;0,ESTIMATIVA[[#This Row],[QT_CANA_REAL]],ESTIMATIVA[[#This Row],[QT_CANA_REST2]])</f>
        <v>171.92</v>
      </c>
      <c r="AG572" s="1" t="str">
        <f>IF(COUNTIFS(GEADA!A:A,VALUE(ESTIMATIVA[[#This Row],[CD_UPNIVEL1]]&amp;TEXT(ESTIMATIVA[[#This Row],[CD_UPNIVEL3]],"0000")))&gt;0,"S","N")</f>
        <v>S</v>
      </c>
      <c r="AH572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572" s="55">
        <f>IF(ESTIMATIVA[[#This Row],[TP_CULTIVO]]="Irrigado",_xlfn.MAXIFS(IRRIGADO!J:J,IRRIGADO!C:C,ESTIMATIVA[[#This Row],[CD_UPNIVEL1]],IRRIGADO!E:E,ESTIMATIVA[[#This Row],[CD_UPNIVEL3]]),"")</f>
        <v>45596</v>
      </c>
      <c r="AJ572" s="1">
        <f>IF(ESTIMATIVA[[#This Row],[TP_CULTIVO]]&lt;&gt;"Irrigado",0,AVERAGEIFS(IRRIGADO!G:G,IRRIGADO!C:C,ESTIMATIVA[[#This Row],[CD_UPNIVEL1]],IRRIGADO!E:E,ESTIMATIVA[[#This Row],[CD_UPNIVEL3]])*ESTIMATIVA[[#This Row],[QT_AREA_REAL]])</f>
        <v>96.72</v>
      </c>
      <c r="AK572" s="1">
        <f>COUNTIFS(Apresentação!$E$23:$E$29,ESTIMATIVA[[#This Row],[CD_UPNIVEL1]])</f>
        <v>1</v>
      </c>
    </row>
    <row r="573" spans="1:37" x14ac:dyDescent="0.3">
      <c r="A573">
        <v>20322</v>
      </c>
      <c r="B573" t="s">
        <v>126</v>
      </c>
      <c r="C573">
        <v>4</v>
      </c>
      <c r="D573">
        <v>4</v>
      </c>
      <c r="E573" t="s">
        <v>265</v>
      </c>
      <c r="F573" s="85" t="s">
        <v>333</v>
      </c>
      <c r="G573"/>
      <c r="H573" t="s">
        <v>295</v>
      </c>
      <c r="I573" t="s">
        <v>207</v>
      </c>
      <c r="J573" t="s">
        <v>176</v>
      </c>
      <c r="K573" s="1">
        <v>3.93</v>
      </c>
      <c r="L573" s="1">
        <v>3.93</v>
      </c>
      <c r="M573" s="1">
        <v>3.93</v>
      </c>
      <c r="N573" s="1">
        <v>3.93</v>
      </c>
      <c r="O573" s="1">
        <v>184.71</v>
      </c>
      <c r="P573" s="1">
        <v>161.13</v>
      </c>
      <c r="Q573" s="1">
        <v>196.5</v>
      </c>
      <c r="R573" s="1">
        <v>165.95</v>
      </c>
      <c r="S573" t="s">
        <v>12</v>
      </c>
      <c r="T573" s="13">
        <v>45963</v>
      </c>
      <c r="U573" s="1" t="str">
        <f>IF(ESTIMATIVA[[#This Row],[QT_AREA_REAL]]&gt;0,"1- Colhido","2- à Colher")</f>
        <v>1- Colhido</v>
      </c>
      <c r="V573" s="1" t="str">
        <f>IF(ESTIMATIVA[[#This Row],[QT_AREA_REST1]]&gt;0,"Reestimativa 1",IF(ESTIMATIVA[[#This Row],[QT_AREA_REAL]]=0,"Reestimativa 1","Realizado"))</f>
        <v>Reestimativa 1</v>
      </c>
      <c r="W573" s="1" t="str">
        <f>IF(ESTIMATIVA[[#This Row],[QT_AREA_REST2]]&gt;0,"Reestimativa 2",IF(ESTIMATIVA[[#This Row],[QT_AREA_REAL]]=0,"Reestimativa 2","Realizado"))</f>
        <v>Reestimativa 2</v>
      </c>
      <c r="X573" s="1">
        <f>ESTIMATIVA[[#This Row],[QT_AREA_EST]]</f>
        <v>3.93</v>
      </c>
      <c r="Y573" s="1">
        <f>IF(ESTIMATIVA[[#This Row],[QT_AREA_REST1]]&gt;0,ESTIMATIVA[[#This Row],[QT_AREA_REST1]],
  IF(ESTIMATIVA[[#This Row],[QT_AREA_REAL]]&gt;0,ESTIMATIVA[[#This Row],[QT_AREA_REAL]],ESTIMATIVA[[#This Row],[QT_AREA_EST]]))</f>
        <v>3.93</v>
      </c>
      <c r="Z57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3.93</v>
      </c>
      <c r="AA573" s="1">
        <f>ESTIMATIVA[[#This Row],[QT_CANA_EST]]</f>
        <v>184.71</v>
      </c>
      <c r="AB573" s="1">
        <f>IF(ESTIMATIVA[[#This Row],[QT_CANA_REST1]]&gt;0,ESTIMATIVA[[#This Row],[QT_CANA_REST1]],
  IF(ESTIMATIVA[[#This Row],[QT_CANA_REAL]]&gt;0,ESTIMATIVA[[#This Row],[QT_CANA_REAL]],ESTIMATIVA[[#This Row],[QT_CANA_EST]]))</f>
        <v>161.13</v>
      </c>
      <c r="AC57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196.5</v>
      </c>
      <c r="AD573" s="1">
        <f>IF(ESTIMATIVA[[#This Row],[QT_AREA_REAL]]&gt;0,ESTIMATIVA[[#This Row],[QT_CANA_REAL]],ESTIMATIVA[[#This Row],[QT_CANA_EST]])</f>
        <v>165.95</v>
      </c>
      <c r="AE573" s="1">
        <f>IF(ESTIMATIVA[[#This Row],[QT_AREA_REAL]]&gt;0,ESTIMATIVA[[#This Row],[QT_CANA_REAL]],ESTIMATIVA[[#This Row],[QT_CANA_REST1]])</f>
        <v>165.95</v>
      </c>
      <c r="AF573" s="1">
        <f>IF(ESTIMATIVA[[#This Row],[QT_AREA_REAL]]&gt;0,ESTIMATIVA[[#This Row],[QT_CANA_REAL]],ESTIMATIVA[[#This Row],[QT_CANA_REST2]])</f>
        <v>165.95</v>
      </c>
      <c r="AG573" s="1" t="str">
        <f>IF(COUNTIFS(GEADA!A:A,VALUE(ESTIMATIVA[[#This Row],[CD_UPNIVEL1]]&amp;TEXT(ESTIMATIVA[[#This Row],[CD_UPNIVEL3]],"0000")))&gt;0,"S","N")</f>
        <v>S</v>
      </c>
      <c r="AH573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573" s="55">
        <f>IF(ESTIMATIVA[[#This Row],[TP_CULTIVO]]="Irrigado",_xlfn.MAXIFS(IRRIGADO!J:J,IRRIGADO!C:C,ESTIMATIVA[[#This Row],[CD_UPNIVEL1]],IRRIGADO!E:E,ESTIMATIVA[[#This Row],[CD_UPNIVEL3]]),"")</f>
        <v>45596</v>
      </c>
      <c r="AJ573" s="1">
        <f>IF(ESTIMATIVA[[#This Row],[TP_CULTIVO]]&lt;&gt;"Irrigado",0,AVERAGEIFS(IRRIGADO!G:G,IRRIGADO!C:C,ESTIMATIVA[[#This Row],[CD_UPNIVEL1]],IRRIGADO!E:E,ESTIMATIVA[[#This Row],[CD_UPNIVEL3]])*ESTIMATIVA[[#This Row],[QT_AREA_REAL]])</f>
        <v>102.18</v>
      </c>
      <c r="AK573" s="1">
        <f>COUNTIFS(Apresentação!$E$23:$E$29,ESTIMATIVA[[#This Row],[CD_UPNIVEL1]])</f>
        <v>1</v>
      </c>
    </row>
    <row r="574" spans="1:37" x14ac:dyDescent="0.3">
      <c r="A574">
        <v>20322</v>
      </c>
      <c r="B574" t="s">
        <v>126</v>
      </c>
      <c r="C574">
        <v>5</v>
      </c>
      <c r="D574">
        <v>4</v>
      </c>
      <c r="E574" t="s">
        <v>265</v>
      </c>
      <c r="F574" s="85" t="s">
        <v>333</v>
      </c>
      <c r="G574"/>
      <c r="H574" t="s">
        <v>295</v>
      </c>
      <c r="I574" t="s">
        <v>207</v>
      </c>
      <c r="J574" t="s">
        <v>176</v>
      </c>
      <c r="K574" s="1">
        <v>4.41</v>
      </c>
      <c r="L574" s="1">
        <v>4.41</v>
      </c>
      <c r="M574" s="1">
        <v>4.41</v>
      </c>
      <c r="N574" s="1">
        <v>4.41</v>
      </c>
      <c r="O574" s="1">
        <v>207.27</v>
      </c>
      <c r="P574" s="1">
        <v>180.81</v>
      </c>
      <c r="Q574" s="1">
        <v>220.5</v>
      </c>
      <c r="R574" s="1">
        <v>185.6</v>
      </c>
      <c r="S574" t="s">
        <v>12</v>
      </c>
      <c r="T574" s="13">
        <v>45963</v>
      </c>
      <c r="U574" s="1" t="str">
        <f>IF(ESTIMATIVA[[#This Row],[QT_AREA_REAL]]&gt;0,"1- Colhido","2- à Colher")</f>
        <v>1- Colhido</v>
      </c>
      <c r="V574" s="1" t="str">
        <f>IF(ESTIMATIVA[[#This Row],[QT_AREA_REST1]]&gt;0,"Reestimativa 1",IF(ESTIMATIVA[[#This Row],[QT_AREA_REAL]]=0,"Reestimativa 1","Realizado"))</f>
        <v>Reestimativa 1</v>
      </c>
      <c r="W574" s="1" t="str">
        <f>IF(ESTIMATIVA[[#This Row],[QT_AREA_REST2]]&gt;0,"Reestimativa 2",IF(ESTIMATIVA[[#This Row],[QT_AREA_REAL]]=0,"Reestimativa 2","Realizado"))</f>
        <v>Reestimativa 2</v>
      </c>
      <c r="X574" s="1">
        <f>ESTIMATIVA[[#This Row],[QT_AREA_EST]]</f>
        <v>4.41</v>
      </c>
      <c r="Y574" s="1">
        <f>IF(ESTIMATIVA[[#This Row],[QT_AREA_REST1]]&gt;0,ESTIMATIVA[[#This Row],[QT_AREA_REST1]],
  IF(ESTIMATIVA[[#This Row],[QT_AREA_REAL]]&gt;0,ESTIMATIVA[[#This Row],[QT_AREA_REAL]],ESTIMATIVA[[#This Row],[QT_AREA_EST]]))</f>
        <v>4.41</v>
      </c>
      <c r="Z57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4.41</v>
      </c>
      <c r="AA574" s="1">
        <f>ESTIMATIVA[[#This Row],[QT_CANA_EST]]</f>
        <v>207.27</v>
      </c>
      <c r="AB574" s="1">
        <f>IF(ESTIMATIVA[[#This Row],[QT_CANA_REST1]]&gt;0,ESTIMATIVA[[#This Row],[QT_CANA_REST1]],
  IF(ESTIMATIVA[[#This Row],[QT_CANA_REAL]]&gt;0,ESTIMATIVA[[#This Row],[QT_CANA_REAL]],ESTIMATIVA[[#This Row],[QT_CANA_EST]]))</f>
        <v>180.81</v>
      </c>
      <c r="AC57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220.5</v>
      </c>
      <c r="AD574" s="1">
        <f>IF(ESTIMATIVA[[#This Row],[QT_AREA_REAL]]&gt;0,ESTIMATIVA[[#This Row],[QT_CANA_REAL]],ESTIMATIVA[[#This Row],[QT_CANA_EST]])</f>
        <v>185.6</v>
      </c>
      <c r="AE574" s="1">
        <f>IF(ESTIMATIVA[[#This Row],[QT_AREA_REAL]]&gt;0,ESTIMATIVA[[#This Row],[QT_CANA_REAL]],ESTIMATIVA[[#This Row],[QT_CANA_REST1]])</f>
        <v>185.6</v>
      </c>
      <c r="AF574" s="1">
        <f>IF(ESTIMATIVA[[#This Row],[QT_AREA_REAL]]&gt;0,ESTIMATIVA[[#This Row],[QT_CANA_REAL]],ESTIMATIVA[[#This Row],[QT_CANA_REST2]])</f>
        <v>185.6</v>
      </c>
      <c r="AG574" s="1" t="str">
        <f>IF(COUNTIFS(GEADA!A:A,VALUE(ESTIMATIVA[[#This Row],[CD_UPNIVEL1]]&amp;TEXT(ESTIMATIVA[[#This Row],[CD_UPNIVEL3]],"0000")))&gt;0,"S","N")</f>
        <v>S</v>
      </c>
      <c r="AH574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574" s="55">
        <f>IF(ESTIMATIVA[[#This Row],[TP_CULTIVO]]="Irrigado",_xlfn.MAXIFS(IRRIGADO!J:J,IRRIGADO!C:C,ESTIMATIVA[[#This Row],[CD_UPNIVEL1]],IRRIGADO!E:E,ESTIMATIVA[[#This Row],[CD_UPNIVEL3]]),"")</f>
        <v>45596</v>
      </c>
      <c r="AJ574" s="1">
        <f>IF(ESTIMATIVA[[#This Row],[TP_CULTIVO]]&lt;&gt;"Irrigado",0,AVERAGEIFS(IRRIGADO!G:G,IRRIGADO!C:C,ESTIMATIVA[[#This Row],[CD_UPNIVEL1]],IRRIGADO!E:E,ESTIMATIVA[[#This Row],[CD_UPNIVEL3]])*ESTIMATIVA[[#This Row],[QT_AREA_REAL]])</f>
        <v>114.66</v>
      </c>
      <c r="AK574" s="1">
        <f>COUNTIFS(Apresentação!$E$23:$E$29,ESTIMATIVA[[#This Row],[CD_UPNIVEL1]])</f>
        <v>1</v>
      </c>
    </row>
    <row r="575" spans="1:37" x14ac:dyDescent="0.3">
      <c r="A575">
        <v>20322</v>
      </c>
      <c r="B575" t="s">
        <v>126</v>
      </c>
      <c r="C575">
        <v>6</v>
      </c>
      <c r="D575">
        <v>4</v>
      </c>
      <c r="E575" t="s">
        <v>265</v>
      </c>
      <c r="F575" s="85" t="s">
        <v>331</v>
      </c>
      <c r="G575"/>
      <c r="H575" t="s">
        <v>295</v>
      </c>
      <c r="I575" t="s">
        <v>207</v>
      </c>
      <c r="J575" t="s">
        <v>176</v>
      </c>
      <c r="K575" s="1">
        <v>3.48</v>
      </c>
      <c r="L575" s="1">
        <v>3.48</v>
      </c>
      <c r="M575" s="1">
        <v>3.48</v>
      </c>
      <c r="N575" s="1">
        <v>3.48</v>
      </c>
      <c r="O575" s="1">
        <v>163.56</v>
      </c>
      <c r="P575" s="1">
        <v>142.68</v>
      </c>
      <c r="Q575" s="1">
        <v>174</v>
      </c>
      <c r="R575" s="1">
        <v>135.61000000000001</v>
      </c>
      <c r="S575" t="s">
        <v>12</v>
      </c>
      <c r="T575" s="13">
        <v>45942</v>
      </c>
      <c r="U575" s="1" t="str">
        <f>IF(ESTIMATIVA[[#This Row],[QT_AREA_REAL]]&gt;0,"1- Colhido","2- à Colher")</f>
        <v>1- Colhido</v>
      </c>
      <c r="V575" s="1" t="str">
        <f>IF(ESTIMATIVA[[#This Row],[QT_AREA_REST1]]&gt;0,"Reestimativa 1",IF(ESTIMATIVA[[#This Row],[QT_AREA_REAL]]=0,"Reestimativa 1","Realizado"))</f>
        <v>Reestimativa 1</v>
      </c>
      <c r="W575" s="1" t="str">
        <f>IF(ESTIMATIVA[[#This Row],[QT_AREA_REST2]]&gt;0,"Reestimativa 2",IF(ESTIMATIVA[[#This Row],[QT_AREA_REAL]]=0,"Reestimativa 2","Realizado"))</f>
        <v>Reestimativa 2</v>
      </c>
      <c r="X575" s="1">
        <f>ESTIMATIVA[[#This Row],[QT_AREA_EST]]</f>
        <v>3.48</v>
      </c>
      <c r="Y575" s="1">
        <f>IF(ESTIMATIVA[[#This Row],[QT_AREA_REST1]]&gt;0,ESTIMATIVA[[#This Row],[QT_AREA_REST1]],
  IF(ESTIMATIVA[[#This Row],[QT_AREA_REAL]]&gt;0,ESTIMATIVA[[#This Row],[QT_AREA_REAL]],ESTIMATIVA[[#This Row],[QT_AREA_EST]]))</f>
        <v>3.48</v>
      </c>
      <c r="Z57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3.48</v>
      </c>
      <c r="AA575" s="1">
        <f>ESTIMATIVA[[#This Row],[QT_CANA_EST]]</f>
        <v>163.56</v>
      </c>
      <c r="AB575" s="1">
        <f>IF(ESTIMATIVA[[#This Row],[QT_CANA_REST1]]&gt;0,ESTIMATIVA[[#This Row],[QT_CANA_REST1]],
  IF(ESTIMATIVA[[#This Row],[QT_CANA_REAL]]&gt;0,ESTIMATIVA[[#This Row],[QT_CANA_REAL]],ESTIMATIVA[[#This Row],[QT_CANA_EST]]))</f>
        <v>142.68</v>
      </c>
      <c r="AC57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174</v>
      </c>
      <c r="AD575" s="1">
        <f>IF(ESTIMATIVA[[#This Row],[QT_AREA_REAL]]&gt;0,ESTIMATIVA[[#This Row],[QT_CANA_REAL]],ESTIMATIVA[[#This Row],[QT_CANA_EST]])</f>
        <v>135.61000000000001</v>
      </c>
      <c r="AE575" s="1">
        <f>IF(ESTIMATIVA[[#This Row],[QT_AREA_REAL]]&gt;0,ESTIMATIVA[[#This Row],[QT_CANA_REAL]],ESTIMATIVA[[#This Row],[QT_CANA_REST1]])</f>
        <v>135.61000000000001</v>
      </c>
      <c r="AF575" s="1">
        <f>IF(ESTIMATIVA[[#This Row],[QT_AREA_REAL]]&gt;0,ESTIMATIVA[[#This Row],[QT_CANA_REAL]],ESTIMATIVA[[#This Row],[QT_CANA_REST2]])</f>
        <v>135.61000000000001</v>
      </c>
      <c r="AG575" s="1" t="str">
        <f>IF(COUNTIFS(GEADA!A:A,VALUE(ESTIMATIVA[[#This Row],[CD_UPNIVEL1]]&amp;TEXT(ESTIMATIVA[[#This Row],[CD_UPNIVEL3]],"0000")))&gt;0,"S","N")</f>
        <v>S</v>
      </c>
      <c r="AH575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575" s="55">
        <f>IF(ESTIMATIVA[[#This Row],[TP_CULTIVO]]="Irrigado",_xlfn.MAXIFS(IRRIGADO!J:J,IRRIGADO!C:C,ESTIMATIVA[[#This Row],[CD_UPNIVEL1]],IRRIGADO!E:E,ESTIMATIVA[[#This Row],[CD_UPNIVEL3]]),"")</f>
        <v>45596</v>
      </c>
      <c r="AJ575" s="1">
        <f>IF(ESTIMATIVA[[#This Row],[TP_CULTIVO]]&lt;&gt;"Irrigado",0,AVERAGEIFS(IRRIGADO!G:G,IRRIGADO!C:C,ESTIMATIVA[[#This Row],[CD_UPNIVEL1]],IRRIGADO!E:E,ESTIMATIVA[[#This Row],[CD_UPNIVEL3]])*ESTIMATIVA[[#This Row],[QT_AREA_REAL]])</f>
        <v>90.48</v>
      </c>
      <c r="AK575" s="1">
        <f>COUNTIFS(Apresentação!$E$23:$E$29,ESTIMATIVA[[#This Row],[CD_UPNIVEL1]])</f>
        <v>1</v>
      </c>
    </row>
    <row r="576" spans="1:37" x14ac:dyDescent="0.3">
      <c r="A576">
        <v>20322</v>
      </c>
      <c r="B576" t="s">
        <v>126</v>
      </c>
      <c r="C576">
        <v>7</v>
      </c>
      <c r="D576">
        <v>4</v>
      </c>
      <c r="E576" t="s">
        <v>265</v>
      </c>
      <c r="F576" s="85" t="s">
        <v>331</v>
      </c>
      <c r="G576"/>
      <c r="H576" t="s">
        <v>295</v>
      </c>
      <c r="I576" t="s">
        <v>207</v>
      </c>
      <c r="J576" t="s">
        <v>176</v>
      </c>
      <c r="K576" s="1">
        <v>2.8</v>
      </c>
      <c r="L576" s="1">
        <v>2.8</v>
      </c>
      <c r="M576" s="1">
        <v>2.8</v>
      </c>
      <c r="N576" s="1">
        <v>2.8</v>
      </c>
      <c r="O576" s="1">
        <v>131.6</v>
      </c>
      <c r="P576" s="1">
        <v>114.8</v>
      </c>
      <c r="Q576" s="1">
        <v>140</v>
      </c>
      <c r="R576" s="1">
        <v>109.11</v>
      </c>
      <c r="S576" t="s">
        <v>12</v>
      </c>
      <c r="T576" s="13">
        <v>45942</v>
      </c>
      <c r="U576" s="1" t="str">
        <f>IF(ESTIMATIVA[[#This Row],[QT_AREA_REAL]]&gt;0,"1- Colhido","2- à Colher")</f>
        <v>1- Colhido</v>
      </c>
      <c r="V576" s="1" t="str">
        <f>IF(ESTIMATIVA[[#This Row],[QT_AREA_REST1]]&gt;0,"Reestimativa 1",IF(ESTIMATIVA[[#This Row],[QT_AREA_REAL]]=0,"Reestimativa 1","Realizado"))</f>
        <v>Reestimativa 1</v>
      </c>
      <c r="W576" s="1" t="str">
        <f>IF(ESTIMATIVA[[#This Row],[QT_AREA_REST2]]&gt;0,"Reestimativa 2",IF(ESTIMATIVA[[#This Row],[QT_AREA_REAL]]=0,"Reestimativa 2","Realizado"))</f>
        <v>Reestimativa 2</v>
      </c>
      <c r="X576" s="1">
        <f>ESTIMATIVA[[#This Row],[QT_AREA_EST]]</f>
        <v>2.8</v>
      </c>
      <c r="Y576" s="1">
        <f>IF(ESTIMATIVA[[#This Row],[QT_AREA_REST1]]&gt;0,ESTIMATIVA[[#This Row],[QT_AREA_REST1]],
  IF(ESTIMATIVA[[#This Row],[QT_AREA_REAL]]&gt;0,ESTIMATIVA[[#This Row],[QT_AREA_REAL]],ESTIMATIVA[[#This Row],[QT_AREA_EST]]))</f>
        <v>2.8</v>
      </c>
      <c r="Z57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2.8</v>
      </c>
      <c r="AA576" s="1">
        <f>ESTIMATIVA[[#This Row],[QT_CANA_EST]]</f>
        <v>131.6</v>
      </c>
      <c r="AB576" s="1">
        <f>IF(ESTIMATIVA[[#This Row],[QT_CANA_REST1]]&gt;0,ESTIMATIVA[[#This Row],[QT_CANA_REST1]],
  IF(ESTIMATIVA[[#This Row],[QT_CANA_REAL]]&gt;0,ESTIMATIVA[[#This Row],[QT_CANA_REAL]],ESTIMATIVA[[#This Row],[QT_CANA_EST]]))</f>
        <v>114.8</v>
      </c>
      <c r="AC57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140</v>
      </c>
      <c r="AD576" s="1">
        <f>IF(ESTIMATIVA[[#This Row],[QT_AREA_REAL]]&gt;0,ESTIMATIVA[[#This Row],[QT_CANA_REAL]],ESTIMATIVA[[#This Row],[QT_CANA_EST]])</f>
        <v>109.11</v>
      </c>
      <c r="AE576" s="1">
        <f>IF(ESTIMATIVA[[#This Row],[QT_AREA_REAL]]&gt;0,ESTIMATIVA[[#This Row],[QT_CANA_REAL]],ESTIMATIVA[[#This Row],[QT_CANA_REST1]])</f>
        <v>109.11</v>
      </c>
      <c r="AF576" s="1">
        <f>IF(ESTIMATIVA[[#This Row],[QT_AREA_REAL]]&gt;0,ESTIMATIVA[[#This Row],[QT_CANA_REAL]],ESTIMATIVA[[#This Row],[QT_CANA_REST2]])</f>
        <v>109.11</v>
      </c>
      <c r="AG576" s="1" t="str">
        <f>IF(COUNTIFS(GEADA!A:A,VALUE(ESTIMATIVA[[#This Row],[CD_UPNIVEL1]]&amp;TEXT(ESTIMATIVA[[#This Row],[CD_UPNIVEL3]],"0000")))&gt;0,"S","N")</f>
        <v>S</v>
      </c>
      <c r="AH576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576" s="55">
        <f>IF(ESTIMATIVA[[#This Row],[TP_CULTIVO]]="Irrigado",_xlfn.MAXIFS(IRRIGADO!J:J,IRRIGADO!C:C,ESTIMATIVA[[#This Row],[CD_UPNIVEL1]],IRRIGADO!E:E,ESTIMATIVA[[#This Row],[CD_UPNIVEL3]]),"")</f>
        <v>45596</v>
      </c>
      <c r="AJ576" s="1">
        <f>IF(ESTIMATIVA[[#This Row],[TP_CULTIVO]]&lt;&gt;"Irrigado",0,AVERAGEIFS(IRRIGADO!G:G,IRRIGADO!C:C,ESTIMATIVA[[#This Row],[CD_UPNIVEL1]],IRRIGADO!E:E,ESTIMATIVA[[#This Row],[CD_UPNIVEL3]])*ESTIMATIVA[[#This Row],[QT_AREA_REAL]])</f>
        <v>72.8</v>
      </c>
      <c r="AK576" s="1">
        <f>COUNTIFS(Apresentação!$E$23:$E$29,ESTIMATIVA[[#This Row],[CD_UPNIVEL1]])</f>
        <v>1</v>
      </c>
    </row>
    <row r="577" spans="1:37" x14ac:dyDescent="0.3">
      <c r="A577">
        <v>20322</v>
      </c>
      <c r="B577" t="s">
        <v>126</v>
      </c>
      <c r="C577">
        <v>8</v>
      </c>
      <c r="D577">
        <v>4</v>
      </c>
      <c r="E577" t="s">
        <v>265</v>
      </c>
      <c r="F577" s="85" t="s">
        <v>331</v>
      </c>
      <c r="G577"/>
      <c r="H577" t="s">
        <v>295</v>
      </c>
      <c r="I577" t="s">
        <v>207</v>
      </c>
      <c r="J577" t="s">
        <v>176</v>
      </c>
      <c r="K577" s="1">
        <v>3.82</v>
      </c>
      <c r="L577" s="1">
        <v>3.82</v>
      </c>
      <c r="M577" s="1">
        <v>3.82</v>
      </c>
      <c r="N577" s="1">
        <v>3.82</v>
      </c>
      <c r="O577" s="1">
        <v>179.54</v>
      </c>
      <c r="P577" s="1">
        <v>156.62</v>
      </c>
      <c r="Q577" s="1">
        <v>191</v>
      </c>
      <c r="R577" s="1">
        <v>148.88</v>
      </c>
      <c r="S577" t="s">
        <v>12</v>
      </c>
      <c r="T577" s="13">
        <v>45942</v>
      </c>
      <c r="U577" s="1" t="str">
        <f>IF(ESTIMATIVA[[#This Row],[QT_AREA_REAL]]&gt;0,"1- Colhido","2- à Colher")</f>
        <v>1- Colhido</v>
      </c>
      <c r="V577" s="1" t="str">
        <f>IF(ESTIMATIVA[[#This Row],[QT_AREA_REST1]]&gt;0,"Reestimativa 1",IF(ESTIMATIVA[[#This Row],[QT_AREA_REAL]]=0,"Reestimativa 1","Realizado"))</f>
        <v>Reestimativa 1</v>
      </c>
      <c r="W577" s="1" t="str">
        <f>IF(ESTIMATIVA[[#This Row],[QT_AREA_REST2]]&gt;0,"Reestimativa 2",IF(ESTIMATIVA[[#This Row],[QT_AREA_REAL]]=0,"Reestimativa 2","Realizado"))</f>
        <v>Reestimativa 2</v>
      </c>
      <c r="X577" s="1">
        <f>ESTIMATIVA[[#This Row],[QT_AREA_EST]]</f>
        <v>3.82</v>
      </c>
      <c r="Y577" s="1">
        <f>IF(ESTIMATIVA[[#This Row],[QT_AREA_REST1]]&gt;0,ESTIMATIVA[[#This Row],[QT_AREA_REST1]],
  IF(ESTIMATIVA[[#This Row],[QT_AREA_REAL]]&gt;0,ESTIMATIVA[[#This Row],[QT_AREA_REAL]],ESTIMATIVA[[#This Row],[QT_AREA_EST]]))</f>
        <v>3.82</v>
      </c>
      <c r="Z57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3.82</v>
      </c>
      <c r="AA577" s="1">
        <f>ESTIMATIVA[[#This Row],[QT_CANA_EST]]</f>
        <v>179.54</v>
      </c>
      <c r="AB577" s="1">
        <f>IF(ESTIMATIVA[[#This Row],[QT_CANA_REST1]]&gt;0,ESTIMATIVA[[#This Row],[QT_CANA_REST1]],
  IF(ESTIMATIVA[[#This Row],[QT_CANA_REAL]]&gt;0,ESTIMATIVA[[#This Row],[QT_CANA_REAL]],ESTIMATIVA[[#This Row],[QT_CANA_EST]]))</f>
        <v>156.62</v>
      </c>
      <c r="AC57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191</v>
      </c>
      <c r="AD577" s="1">
        <f>IF(ESTIMATIVA[[#This Row],[QT_AREA_REAL]]&gt;0,ESTIMATIVA[[#This Row],[QT_CANA_REAL]],ESTIMATIVA[[#This Row],[QT_CANA_EST]])</f>
        <v>148.88</v>
      </c>
      <c r="AE577" s="1">
        <f>IF(ESTIMATIVA[[#This Row],[QT_AREA_REAL]]&gt;0,ESTIMATIVA[[#This Row],[QT_CANA_REAL]],ESTIMATIVA[[#This Row],[QT_CANA_REST1]])</f>
        <v>148.88</v>
      </c>
      <c r="AF577" s="1">
        <f>IF(ESTIMATIVA[[#This Row],[QT_AREA_REAL]]&gt;0,ESTIMATIVA[[#This Row],[QT_CANA_REAL]],ESTIMATIVA[[#This Row],[QT_CANA_REST2]])</f>
        <v>148.88</v>
      </c>
      <c r="AG577" s="1" t="str">
        <f>IF(COUNTIFS(GEADA!A:A,VALUE(ESTIMATIVA[[#This Row],[CD_UPNIVEL1]]&amp;TEXT(ESTIMATIVA[[#This Row],[CD_UPNIVEL3]],"0000")))&gt;0,"S","N")</f>
        <v>S</v>
      </c>
      <c r="AH577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577" s="55">
        <f>IF(ESTIMATIVA[[#This Row],[TP_CULTIVO]]="Irrigado",_xlfn.MAXIFS(IRRIGADO!J:J,IRRIGADO!C:C,ESTIMATIVA[[#This Row],[CD_UPNIVEL1]],IRRIGADO!E:E,ESTIMATIVA[[#This Row],[CD_UPNIVEL3]]),"")</f>
        <v>45596</v>
      </c>
      <c r="AJ577" s="1">
        <f>IF(ESTIMATIVA[[#This Row],[TP_CULTIVO]]&lt;&gt;"Irrigado",0,AVERAGEIFS(IRRIGADO!G:G,IRRIGADO!C:C,ESTIMATIVA[[#This Row],[CD_UPNIVEL1]],IRRIGADO!E:E,ESTIMATIVA[[#This Row],[CD_UPNIVEL3]])*ESTIMATIVA[[#This Row],[QT_AREA_REAL]])</f>
        <v>99.32</v>
      </c>
      <c r="AK577" s="1">
        <f>COUNTIFS(Apresentação!$E$23:$E$29,ESTIMATIVA[[#This Row],[CD_UPNIVEL1]])</f>
        <v>1</v>
      </c>
    </row>
    <row r="578" spans="1:37" x14ac:dyDescent="0.3">
      <c r="A578">
        <v>20323</v>
      </c>
      <c r="B578" t="s">
        <v>29</v>
      </c>
      <c r="C578">
        <v>1</v>
      </c>
      <c r="D578">
        <v>3</v>
      </c>
      <c r="E578" t="s">
        <v>263</v>
      </c>
      <c r="F578" s="85" t="s">
        <v>331</v>
      </c>
      <c r="G578"/>
      <c r="H578" t="s">
        <v>295</v>
      </c>
      <c r="I578" t="s">
        <v>207</v>
      </c>
      <c r="J578" t="s">
        <v>176</v>
      </c>
      <c r="K578" s="1">
        <v>2.5099999999999998</v>
      </c>
      <c r="L578" s="1">
        <v>2.5099999999999998</v>
      </c>
      <c r="M578" s="1">
        <v>2.5099999999999998</v>
      </c>
      <c r="N578" s="1">
        <v>2.5099999999999998</v>
      </c>
      <c r="O578" s="1">
        <v>175.7</v>
      </c>
      <c r="P578" s="1">
        <v>175.7</v>
      </c>
      <c r="Q578" s="1">
        <v>175.7</v>
      </c>
      <c r="R578" s="1">
        <v>137.07</v>
      </c>
      <c r="S578" t="s">
        <v>12</v>
      </c>
      <c r="T578" s="13">
        <v>45935</v>
      </c>
      <c r="U578" s="1" t="str">
        <f>IF(ESTIMATIVA[[#This Row],[QT_AREA_REAL]]&gt;0,"1- Colhido","2- à Colher")</f>
        <v>1- Colhido</v>
      </c>
      <c r="V578" s="1" t="str">
        <f>IF(ESTIMATIVA[[#This Row],[QT_AREA_REST1]]&gt;0,"Reestimativa 1",IF(ESTIMATIVA[[#This Row],[QT_AREA_REAL]]=0,"Reestimativa 1","Realizado"))</f>
        <v>Reestimativa 1</v>
      </c>
      <c r="W578" s="1" t="str">
        <f>IF(ESTIMATIVA[[#This Row],[QT_AREA_REST2]]&gt;0,"Reestimativa 2",IF(ESTIMATIVA[[#This Row],[QT_AREA_REAL]]=0,"Reestimativa 2","Realizado"))</f>
        <v>Reestimativa 2</v>
      </c>
      <c r="X578" s="1">
        <f>ESTIMATIVA[[#This Row],[QT_AREA_EST]]</f>
        <v>2.5099999999999998</v>
      </c>
      <c r="Y578" s="1">
        <f>IF(ESTIMATIVA[[#This Row],[QT_AREA_REST1]]&gt;0,ESTIMATIVA[[#This Row],[QT_AREA_REST1]],
  IF(ESTIMATIVA[[#This Row],[QT_AREA_REAL]]&gt;0,ESTIMATIVA[[#This Row],[QT_AREA_REAL]],ESTIMATIVA[[#This Row],[QT_AREA_EST]]))</f>
        <v>2.5099999999999998</v>
      </c>
      <c r="Z57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2.5099999999999998</v>
      </c>
      <c r="AA578" s="1">
        <f>ESTIMATIVA[[#This Row],[QT_CANA_EST]]</f>
        <v>175.7</v>
      </c>
      <c r="AB578" s="1">
        <f>IF(ESTIMATIVA[[#This Row],[QT_CANA_REST1]]&gt;0,ESTIMATIVA[[#This Row],[QT_CANA_REST1]],
  IF(ESTIMATIVA[[#This Row],[QT_CANA_REAL]]&gt;0,ESTIMATIVA[[#This Row],[QT_CANA_REAL]],ESTIMATIVA[[#This Row],[QT_CANA_EST]]))</f>
        <v>175.7</v>
      </c>
      <c r="AC57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175.7</v>
      </c>
      <c r="AD578" s="1">
        <f>IF(ESTIMATIVA[[#This Row],[QT_AREA_REAL]]&gt;0,ESTIMATIVA[[#This Row],[QT_CANA_REAL]],ESTIMATIVA[[#This Row],[QT_CANA_EST]])</f>
        <v>137.07</v>
      </c>
      <c r="AE578" s="1">
        <f>IF(ESTIMATIVA[[#This Row],[QT_AREA_REAL]]&gt;0,ESTIMATIVA[[#This Row],[QT_CANA_REAL]],ESTIMATIVA[[#This Row],[QT_CANA_REST1]])</f>
        <v>137.07</v>
      </c>
      <c r="AF578" s="1">
        <f>IF(ESTIMATIVA[[#This Row],[QT_AREA_REAL]]&gt;0,ESTIMATIVA[[#This Row],[QT_CANA_REAL]],ESTIMATIVA[[#This Row],[QT_CANA_REST2]])</f>
        <v>137.07</v>
      </c>
      <c r="AG578" s="1" t="str">
        <f>IF(COUNTIFS(GEADA!A:A,VALUE(ESTIMATIVA[[#This Row],[CD_UPNIVEL1]]&amp;TEXT(ESTIMATIVA[[#This Row],[CD_UPNIVEL3]],"0000")))&gt;0,"S","N")</f>
        <v>N</v>
      </c>
      <c r="AH578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578" s="55">
        <f>IF(ESTIMATIVA[[#This Row],[TP_CULTIVO]]="Irrigado",_xlfn.MAXIFS(IRRIGADO!J:J,IRRIGADO!C:C,ESTIMATIVA[[#This Row],[CD_UPNIVEL1]],IRRIGADO!E:E,ESTIMATIVA[[#This Row],[CD_UPNIVEL3]]),"")</f>
        <v>45626</v>
      </c>
      <c r="AJ578" s="1">
        <f>IF(ESTIMATIVA[[#This Row],[TP_CULTIVO]]&lt;&gt;"Irrigado",0,AVERAGEIFS(IRRIGADO!G:G,IRRIGADO!C:C,ESTIMATIVA[[#This Row],[CD_UPNIVEL1]],IRRIGADO!E:E,ESTIMATIVA[[#This Row],[CD_UPNIVEL3]])*ESTIMATIVA[[#This Row],[QT_AREA_REAL]])</f>
        <v>50.199999999999996</v>
      </c>
      <c r="AK578" s="1">
        <f>COUNTIFS(Apresentação!$E$23:$E$29,ESTIMATIVA[[#This Row],[CD_UPNIVEL1]])</f>
        <v>0</v>
      </c>
    </row>
    <row r="579" spans="1:37" x14ac:dyDescent="0.3">
      <c r="A579">
        <v>20323</v>
      </c>
      <c r="B579" t="s">
        <v>29</v>
      </c>
      <c r="C579">
        <v>2</v>
      </c>
      <c r="D579">
        <v>3</v>
      </c>
      <c r="E579" t="s">
        <v>263</v>
      </c>
      <c r="F579" s="85" t="s">
        <v>331</v>
      </c>
      <c r="G579"/>
      <c r="H579" t="s">
        <v>295</v>
      </c>
      <c r="I579" t="s">
        <v>207</v>
      </c>
      <c r="J579" t="s">
        <v>176</v>
      </c>
      <c r="K579" s="1">
        <v>12.58</v>
      </c>
      <c r="L579" s="1">
        <v>12.58</v>
      </c>
      <c r="M579" s="1">
        <v>12.58</v>
      </c>
      <c r="N579" s="1">
        <v>12.58</v>
      </c>
      <c r="O579" s="1">
        <v>880.6</v>
      </c>
      <c r="P579" s="1">
        <v>880.6</v>
      </c>
      <c r="Q579" s="1">
        <v>880.6</v>
      </c>
      <c r="R579" s="1">
        <v>1057.53</v>
      </c>
      <c r="S579" t="s">
        <v>12</v>
      </c>
      <c r="T579" s="13">
        <v>45991</v>
      </c>
      <c r="U579" s="1" t="str">
        <f>IF(ESTIMATIVA[[#This Row],[QT_AREA_REAL]]&gt;0,"1- Colhido","2- à Colher")</f>
        <v>1- Colhido</v>
      </c>
      <c r="V579" s="1" t="str">
        <f>IF(ESTIMATIVA[[#This Row],[QT_AREA_REST1]]&gt;0,"Reestimativa 1",IF(ESTIMATIVA[[#This Row],[QT_AREA_REAL]]=0,"Reestimativa 1","Realizado"))</f>
        <v>Reestimativa 1</v>
      </c>
      <c r="W579" s="1" t="str">
        <f>IF(ESTIMATIVA[[#This Row],[QT_AREA_REST2]]&gt;0,"Reestimativa 2",IF(ESTIMATIVA[[#This Row],[QT_AREA_REAL]]=0,"Reestimativa 2","Realizado"))</f>
        <v>Reestimativa 2</v>
      </c>
      <c r="X579" s="1">
        <f>ESTIMATIVA[[#This Row],[QT_AREA_EST]]</f>
        <v>12.58</v>
      </c>
      <c r="Y579" s="1">
        <f>IF(ESTIMATIVA[[#This Row],[QT_AREA_REST1]]&gt;0,ESTIMATIVA[[#This Row],[QT_AREA_REST1]],
  IF(ESTIMATIVA[[#This Row],[QT_AREA_REAL]]&gt;0,ESTIMATIVA[[#This Row],[QT_AREA_REAL]],ESTIMATIVA[[#This Row],[QT_AREA_EST]]))</f>
        <v>12.58</v>
      </c>
      <c r="Z57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12.58</v>
      </c>
      <c r="AA579" s="1">
        <f>ESTIMATIVA[[#This Row],[QT_CANA_EST]]</f>
        <v>880.6</v>
      </c>
      <c r="AB579" s="1">
        <f>IF(ESTIMATIVA[[#This Row],[QT_CANA_REST1]]&gt;0,ESTIMATIVA[[#This Row],[QT_CANA_REST1]],
  IF(ESTIMATIVA[[#This Row],[QT_CANA_REAL]]&gt;0,ESTIMATIVA[[#This Row],[QT_CANA_REAL]],ESTIMATIVA[[#This Row],[QT_CANA_EST]]))</f>
        <v>880.6</v>
      </c>
      <c r="AC57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880.6</v>
      </c>
      <c r="AD579" s="1">
        <f>IF(ESTIMATIVA[[#This Row],[QT_AREA_REAL]]&gt;0,ESTIMATIVA[[#This Row],[QT_CANA_REAL]],ESTIMATIVA[[#This Row],[QT_CANA_EST]])</f>
        <v>1057.53</v>
      </c>
      <c r="AE579" s="1">
        <f>IF(ESTIMATIVA[[#This Row],[QT_AREA_REAL]]&gt;0,ESTIMATIVA[[#This Row],[QT_CANA_REAL]],ESTIMATIVA[[#This Row],[QT_CANA_REST1]])</f>
        <v>1057.53</v>
      </c>
      <c r="AF579" s="1">
        <f>IF(ESTIMATIVA[[#This Row],[QT_AREA_REAL]]&gt;0,ESTIMATIVA[[#This Row],[QT_CANA_REAL]],ESTIMATIVA[[#This Row],[QT_CANA_REST2]])</f>
        <v>1057.53</v>
      </c>
      <c r="AG579" s="1" t="str">
        <f>IF(COUNTIFS(GEADA!A:A,VALUE(ESTIMATIVA[[#This Row],[CD_UPNIVEL1]]&amp;TEXT(ESTIMATIVA[[#This Row],[CD_UPNIVEL3]],"0000")))&gt;0,"S","N")</f>
        <v>N</v>
      </c>
      <c r="AH579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579" s="55">
        <f>IF(ESTIMATIVA[[#This Row],[TP_CULTIVO]]="Irrigado",_xlfn.MAXIFS(IRRIGADO!J:J,IRRIGADO!C:C,ESTIMATIVA[[#This Row],[CD_UPNIVEL1]],IRRIGADO!E:E,ESTIMATIVA[[#This Row],[CD_UPNIVEL3]]),"")</f>
        <v>45626</v>
      </c>
      <c r="AJ579" s="1">
        <f>IF(ESTIMATIVA[[#This Row],[TP_CULTIVO]]&lt;&gt;"Irrigado",0,AVERAGEIFS(IRRIGADO!G:G,IRRIGADO!C:C,ESTIMATIVA[[#This Row],[CD_UPNIVEL1]],IRRIGADO!E:E,ESTIMATIVA[[#This Row],[CD_UPNIVEL3]])*ESTIMATIVA[[#This Row],[QT_AREA_REAL]])</f>
        <v>251.6</v>
      </c>
      <c r="AK579" s="1">
        <f>COUNTIFS(Apresentação!$E$23:$E$29,ESTIMATIVA[[#This Row],[CD_UPNIVEL1]])</f>
        <v>0</v>
      </c>
    </row>
    <row r="580" spans="1:37" x14ac:dyDescent="0.3">
      <c r="A580">
        <v>20323</v>
      </c>
      <c r="B580" t="s">
        <v>29</v>
      </c>
      <c r="C580">
        <v>3</v>
      </c>
      <c r="D580">
        <v>3</v>
      </c>
      <c r="E580" t="s">
        <v>263</v>
      </c>
      <c r="F580" s="85" t="s">
        <v>333</v>
      </c>
      <c r="G580"/>
      <c r="H580" t="s">
        <v>295</v>
      </c>
      <c r="I580" t="s">
        <v>207</v>
      </c>
      <c r="J580" t="s">
        <v>176</v>
      </c>
      <c r="K580" s="1">
        <v>24.91</v>
      </c>
      <c r="L580" s="1">
        <v>24.91</v>
      </c>
      <c r="M580" s="1">
        <v>24.91</v>
      </c>
      <c r="N580" s="1">
        <v>24.91</v>
      </c>
      <c r="O580" s="1">
        <v>1743.7</v>
      </c>
      <c r="P580" s="1">
        <v>1494.6</v>
      </c>
      <c r="Q580" s="1">
        <v>1644.06</v>
      </c>
      <c r="R580" s="1">
        <v>1973.49</v>
      </c>
      <c r="S580" t="s">
        <v>12</v>
      </c>
      <c r="T580" s="13">
        <v>45991</v>
      </c>
      <c r="U580" s="1" t="str">
        <f>IF(ESTIMATIVA[[#This Row],[QT_AREA_REAL]]&gt;0,"1- Colhido","2- à Colher")</f>
        <v>1- Colhido</v>
      </c>
      <c r="V580" s="1" t="str">
        <f>IF(ESTIMATIVA[[#This Row],[QT_AREA_REST1]]&gt;0,"Reestimativa 1",IF(ESTIMATIVA[[#This Row],[QT_AREA_REAL]]=0,"Reestimativa 1","Realizado"))</f>
        <v>Reestimativa 1</v>
      </c>
      <c r="W580" s="1" t="str">
        <f>IF(ESTIMATIVA[[#This Row],[QT_AREA_REST2]]&gt;0,"Reestimativa 2",IF(ESTIMATIVA[[#This Row],[QT_AREA_REAL]]=0,"Reestimativa 2","Realizado"))</f>
        <v>Reestimativa 2</v>
      </c>
      <c r="X580" s="1">
        <f>ESTIMATIVA[[#This Row],[QT_AREA_EST]]</f>
        <v>24.91</v>
      </c>
      <c r="Y580" s="1">
        <f>IF(ESTIMATIVA[[#This Row],[QT_AREA_REST1]]&gt;0,ESTIMATIVA[[#This Row],[QT_AREA_REST1]],
  IF(ESTIMATIVA[[#This Row],[QT_AREA_REAL]]&gt;0,ESTIMATIVA[[#This Row],[QT_AREA_REAL]],ESTIMATIVA[[#This Row],[QT_AREA_EST]]))</f>
        <v>24.91</v>
      </c>
      <c r="Z58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24.91</v>
      </c>
      <c r="AA580" s="1">
        <f>ESTIMATIVA[[#This Row],[QT_CANA_EST]]</f>
        <v>1743.7</v>
      </c>
      <c r="AB580" s="1">
        <f>IF(ESTIMATIVA[[#This Row],[QT_CANA_REST1]]&gt;0,ESTIMATIVA[[#This Row],[QT_CANA_REST1]],
  IF(ESTIMATIVA[[#This Row],[QT_CANA_REAL]]&gt;0,ESTIMATIVA[[#This Row],[QT_CANA_REAL]],ESTIMATIVA[[#This Row],[QT_CANA_EST]]))</f>
        <v>1494.6</v>
      </c>
      <c r="AC58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1644.06</v>
      </c>
      <c r="AD580" s="1">
        <f>IF(ESTIMATIVA[[#This Row],[QT_AREA_REAL]]&gt;0,ESTIMATIVA[[#This Row],[QT_CANA_REAL]],ESTIMATIVA[[#This Row],[QT_CANA_EST]])</f>
        <v>1973.49</v>
      </c>
      <c r="AE580" s="1">
        <f>IF(ESTIMATIVA[[#This Row],[QT_AREA_REAL]]&gt;0,ESTIMATIVA[[#This Row],[QT_CANA_REAL]],ESTIMATIVA[[#This Row],[QT_CANA_REST1]])</f>
        <v>1973.49</v>
      </c>
      <c r="AF580" s="1">
        <f>IF(ESTIMATIVA[[#This Row],[QT_AREA_REAL]]&gt;0,ESTIMATIVA[[#This Row],[QT_CANA_REAL]],ESTIMATIVA[[#This Row],[QT_CANA_REST2]])</f>
        <v>1973.49</v>
      </c>
      <c r="AG580" s="1" t="str">
        <f>IF(COUNTIFS(GEADA!A:A,VALUE(ESTIMATIVA[[#This Row],[CD_UPNIVEL1]]&amp;TEXT(ESTIMATIVA[[#This Row],[CD_UPNIVEL3]],"0000")))&gt;0,"S","N")</f>
        <v>S</v>
      </c>
      <c r="AH580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580" s="55">
        <f>IF(ESTIMATIVA[[#This Row],[TP_CULTIVO]]="Irrigado",_xlfn.MAXIFS(IRRIGADO!J:J,IRRIGADO!C:C,ESTIMATIVA[[#This Row],[CD_UPNIVEL1]],IRRIGADO!E:E,ESTIMATIVA[[#This Row],[CD_UPNIVEL3]]),"")</f>
        <v>45626</v>
      </c>
      <c r="AJ580" s="1">
        <f>IF(ESTIMATIVA[[#This Row],[TP_CULTIVO]]&lt;&gt;"Irrigado",0,AVERAGEIFS(IRRIGADO!G:G,IRRIGADO!C:C,ESTIMATIVA[[#This Row],[CD_UPNIVEL1]],IRRIGADO!E:E,ESTIMATIVA[[#This Row],[CD_UPNIVEL3]])*ESTIMATIVA[[#This Row],[QT_AREA_REAL]])</f>
        <v>498.2</v>
      </c>
      <c r="AK580" s="1">
        <f>COUNTIFS(Apresentação!$E$23:$E$29,ESTIMATIVA[[#This Row],[CD_UPNIVEL1]])</f>
        <v>0</v>
      </c>
    </row>
    <row r="581" spans="1:37" x14ac:dyDescent="0.3">
      <c r="A581">
        <v>20323</v>
      </c>
      <c r="B581" t="s">
        <v>29</v>
      </c>
      <c r="C581">
        <v>4</v>
      </c>
      <c r="D581">
        <v>3</v>
      </c>
      <c r="E581" t="s">
        <v>263</v>
      </c>
      <c r="F581" s="85" t="s">
        <v>331</v>
      </c>
      <c r="G581"/>
      <c r="H581" t="s">
        <v>295</v>
      </c>
      <c r="I581" t="s">
        <v>207</v>
      </c>
      <c r="J581" t="s">
        <v>176</v>
      </c>
      <c r="K581" s="1">
        <v>18.3</v>
      </c>
      <c r="L581" s="1">
        <v>18.3</v>
      </c>
      <c r="M581" s="1">
        <v>18.3</v>
      </c>
      <c r="N581" s="1">
        <v>18.3</v>
      </c>
      <c r="O581" s="1">
        <v>1281</v>
      </c>
      <c r="P581" s="1">
        <v>1098</v>
      </c>
      <c r="Q581" s="1">
        <v>1134.5999999999999</v>
      </c>
      <c r="R581" s="1">
        <v>1362.45</v>
      </c>
      <c r="S581" t="s">
        <v>12</v>
      </c>
      <c r="T581" s="13">
        <v>45991</v>
      </c>
      <c r="U581" s="1" t="str">
        <f>IF(ESTIMATIVA[[#This Row],[QT_AREA_REAL]]&gt;0,"1- Colhido","2- à Colher")</f>
        <v>1- Colhido</v>
      </c>
      <c r="V581" s="1" t="str">
        <f>IF(ESTIMATIVA[[#This Row],[QT_AREA_REST1]]&gt;0,"Reestimativa 1",IF(ESTIMATIVA[[#This Row],[QT_AREA_REAL]]=0,"Reestimativa 1","Realizado"))</f>
        <v>Reestimativa 1</v>
      </c>
      <c r="W581" s="1" t="str">
        <f>IF(ESTIMATIVA[[#This Row],[QT_AREA_REST2]]&gt;0,"Reestimativa 2",IF(ESTIMATIVA[[#This Row],[QT_AREA_REAL]]=0,"Reestimativa 2","Realizado"))</f>
        <v>Reestimativa 2</v>
      </c>
      <c r="X581" s="1">
        <f>ESTIMATIVA[[#This Row],[QT_AREA_EST]]</f>
        <v>18.3</v>
      </c>
      <c r="Y581" s="1">
        <f>IF(ESTIMATIVA[[#This Row],[QT_AREA_REST1]]&gt;0,ESTIMATIVA[[#This Row],[QT_AREA_REST1]],
  IF(ESTIMATIVA[[#This Row],[QT_AREA_REAL]]&gt;0,ESTIMATIVA[[#This Row],[QT_AREA_REAL]],ESTIMATIVA[[#This Row],[QT_AREA_EST]]))</f>
        <v>18.3</v>
      </c>
      <c r="Z58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18.3</v>
      </c>
      <c r="AA581" s="1">
        <f>ESTIMATIVA[[#This Row],[QT_CANA_EST]]</f>
        <v>1281</v>
      </c>
      <c r="AB581" s="1">
        <f>IF(ESTIMATIVA[[#This Row],[QT_CANA_REST1]]&gt;0,ESTIMATIVA[[#This Row],[QT_CANA_REST1]],
  IF(ESTIMATIVA[[#This Row],[QT_CANA_REAL]]&gt;0,ESTIMATIVA[[#This Row],[QT_CANA_REAL]],ESTIMATIVA[[#This Row],[QT_CANA_EST]]))</f>
        <v>1098</v>
      </c>
      <c r="AC58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1134.5999999999999</v>
      </c>
      <c r="AD581" s="1">
        <f>IF(ESTIMATIVA[[#This Row],[QT_AREA_REAL]]&gt;0,ESTIMATIVA[[#This Row],[QT_CANA_REAL]],ESTIMATIVA[[#This Row],[QT_CANA_EST]])</f>
        <v>1362.45</v>
      </c>
      <c r="AE581" s="1">
        <f>IF(ESTIMATIVA[[#This Row],[QT_AREA_REAL]]&gt;0,ESTIMATIVA[[#This Row],[QT_CANA_REAL]],ESTIMATIVA[[#This Row],[QT_CANA_REST1]])</f>
        <v>1362.45</v>
      </c>
      <c r="AF581" s="1">
        <f>IF(ESTIMATIVA[[#This Row],[QT_AREA_REAL]]&gt;0,ESTIMATIVA[[#This Row],[QT_CANA_REAL]],ESTIMATIVA[[#This Row],[QT_CANA_REST2]])</f>
        <v>1362.45</v>
      </c>
      <c r="AG581" s="1" t="str">
        <f>IF(COUNTIFS(GEADA!A:A,VALUE(ESTIMATIVA[[#This Row],[CD_UPNIVEL1]]&amp;TEXT(ESTIMATIVA[[#This Row],[CD_UPNIVEL3]],"0000")))&gt;0,"S","N")</f>
        <v>S</v>
      </c>
      <c r="AH581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581" s="55">
        <f>IF(ESTIMATIVA[[#This Row],[TP_CULTIVO]]="Irrigado",_xlfn.MAXIFS(IRRIGADO!J:J,IRRIGADO!C:C,ESTIMATIVA[[#This Row],[CD_UPNIVEL1]],IRRIGADO!E:E,ESTIMATIVA[[#This Row],[CD_UPNIVEL3]]),"")</f>
        <v>45626</v>
      </c>
      <c r="AJ581" s="1">
        <f>IF(ESTIMATIVA[[#This Row],[TP_CULTIVO]]&lt;&gt;"Irrigado",0,AVERAGEIFS(IRRIGADO!G:G,IRRIGADO!C:C,ESTIMATIVA[[#This Row],[CD_UPNIVEL1]],IRRIGADO!E:E,ESTIMATIVA[[#This Row],[CD_UPNIVEL3]])*ESTIMATIVA[[#This Row],[QT_AREA_REAL]])</f>
        <v>366</v>
      </c>
      <c r="AK581" s="1">
        <f>COUNTIFS(Apresentação!$E$23:$E$29,ESTIMATIVA[[#This Row],[CD_UPNIVEL1]])</f>
        <v>0</v>
      </c>
    </row>
    <row r="582" spans="1:37" x14ac:dyDescent="0.3">
      <c r="A582">
        <v>20323</v>
      </c>
      <c r="B582" t="s">
        <v>29</v>
      </c>
      <c r="C582">
        <v>5</v>
      </c>
      <c r="D582">
        <v>3</v>
      </c>
      <c r="E582" t="s">
        <v>263</v>
      </c>
      <c r="F582" s="85" t="s">
        <v>333</v>
      </c>
      <c r="G582"/>
      <c r="H582" t="s">
        <v>295</v>
      </c>
      <c r="I582" t="s">
        <v>207</v>
      </c>
      <c r="J582" t="s">
        <v>176</v>
      </c>
      <c r="K582" s="1">
        <v>6.87</v>
      </c>
      <c r="L582" s="1">
        <v>6.87</v>
      </c>
      <c r="M582" s="1">
        <v>6.87</v>
      </c>
      <c r="N582" s="1">
        <v>6.87</v>
      </c>
      <c r="O582" s="1">
        <v>480.9</v>
      </c>
      <c r="P582" s="1">
        <v>274.8</v>
      </c>
      <c r="Q582" s="1">
        <v>350.37</v>
      </c>
      <c r="R582" s="1">
        <v>420.07</v>
      </c>
      <c r="S582" t="s">
        <v>12</v>
      </c>
      <c r="T582" s="13">
        <v>45991</v>
      </c>
      <c r="U582" s="1" t="str">
        <f>IF(ESTIMATIVA[[#This Row],[QT_AREA_REAL]]&gt;0,"1- Colhido","2- à Colher")</f>
        <v>1- Colhido</v>
      </c>
      <c r="V582" s="1" t="str">
        <f>IF(ESTIMATIVA[[#This Row],[QT_AREA_REST1]]&gt;0,"Reestimativa 1",IF(ESTIMATIVA[[#This Row],[QT_AREA_REAL]]=0,"Reestimativa 1","Realizado"))</f>
        <v>Reestimativa 1</v>
      </c>
      <c r="W582" s="1" t="str">
        <f>IF(ESTIMATIVA[[#This Row],[QT_AREA_REST2]]&gt;0,"Reestimativa 2",IF(ESTIMATIVA[[#This Row],[QT_AREA_REAL]]=0,"Reestimativa 2","Realizado"))</f>
        <v>Reestimativa 2</v>
      </c>
      <c r="X582" s="1">
        <f>ESTIMATIVA[[#This Row],[QT_AREA_EST]]</f>
        <v>6.87</v>
      </c>
      <c r="Y582" s="1">
        <f>IF(ESTIMATIVA[[#This Row],[QT_AREA_REST1]]&gt;0,ESTIMATIVA[[#This Row],[QT_AREA_REST1]],
  IF(ESTIMATIVA[[#This Row],[QT_AREA_REAL]]&gt;0,ESTIMATIVA[[#This Row],[QT_AREA_REAL]],ESTIMATIVA[[#This Row],[QT_AREA_EST]]))</f>
        <v>6.87</v>
      </c>
      <c r="Z58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6.87</v>
      </c>
      <c r="AA582" s="1">
        <f>ESTIMATIVA[[#This Row],[QT_CANA_EST]]</f>
        <v>480.9</v>
      </c>
      <c r="AB582" s="1">
        <f>IF(ESTIMATIVA[[#This Row],[QT_CANA_REST1]]&gt;0,ESTIMATIVA[[#This Row],[QT_CANA_REST1]],
  IF(ESTIMATIVA[[#This Row],[QT_CANA_REAL]]&gt;0,ESTIMATIVA[[#This Row],[QT_CANA_REAL]],ESTIMATIVA[[#This Row],[QT_CANA_EST]]))</f>
        <v>274.8</v>
      </c>
      <c r="AC58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350.37</v>
      </c>
      <c r="AD582" s="1">
        <f>IF(ESTIMATIVA[[#This Row],[QT_AREA_REAL]]&gt;0,ESTIMATIVA[[#This Row],[QT_CANA_REAL]],ESTIMATIVA[[#This Row],[QT_CANA_EST]])</f>
        <v>420.07</v>
      </c>
      <c r="AE582" s="1">
        <f>IF(ESTIMATIVA[[#This Row],[QT_AREA_REAL]]&gt;0,ESTIMATIVA[[#This Row],[QT_CANA_REAL]],ESTIMATIVA[[#This Row],[QT_CANA_REST1]])</f>
        <v>420.07</v>
      </c>
      <c r="AF582" s="1">
        <f>IF(ESTIMATIVA[[#This Row],[QT_AREA_REAL]]&gt;0,ESTIMATIVA[[#This Row],[QT_CANA_REAL]],ESTIMATIVA[[#This Row],[QT_CANA_REST2]])</f>
        <v>420.07</v>
      </c>
      <c r="AG582" s="1" t="str">
        <f>IF(COUNTIFS(GEADA!A:A,VALUE(ESTIMATIVA[[#This Row],[CD_UPNIVEL1]]&amp;TEXT(ESTIMATIVA[[#This Row],[CD_UPNIVEL3]],"0000")))&gt;0,"S","N")</f>
        <v>S</v>
      </c>
      <c r="AH582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582" s="55">
        <f>IF(ESTIMATIVA[[#This Row],[TP_CULTIVO]]="Irrigado",_xlfn.MAXIFS(IRRIGADO!J:J,IRRIGADO!C:C,ESTIMATIVA[[#This Row],[CD_UPNIVEL1]],IRRIGADO!E:E,ESTIMATIVA[[#This Row],[CD_UPNIVEL3]]),"")</f>
        <v>45626</v>
      </c>
      <c r="AJ582" s="1">
        <f>IF(ESTIMATIVA[[#This Row],[TP_CULTIVO]]&lt;&gt;"Irrigado",0,AVERAGEIFS(IRRIGADO!G:G,IRRIGADO!C:C,ESTIMATIVA[[#This Row],[CD_UPNIVEL1]],IRRIGADO!E:E,ESTIMATIVA[[#This Row],[CD_UPNIVEL3]])*ESTIMATIVA[[#This Row],[QT_AREA_REAL]])</f>
        <v>137.4</v>
      </c>
      <c r="AK582" s="1">
        <f>COUNTIFS(Apresentação!$E$23:$E$29,ESTIMATIVA[[#This Row],[CD_UPNIVEL1]])</f>
        <v>0</v>
      </c>
    </row>
    <row r="583" spans="1:37" x14ac:dyDescent="0.3">
      <c r="A583">
        <v>20323</v>
      </c>
      <c r="B583" t="s">
        <v>29</v>
      </c>
      <c r="C583">
        <v>6</v>
      </c>
      <c r="D583">
        <v>3</v>
      </c>
      <c r="E583" t="s">
        <v>263</v>
      </c>
      <c r="F583" s="85" t="s">
        <v>333</v>
      </c>
      <c r="G583"/>
      <c r="H583" t="s">
        <v>295</v>
      </c>
      <c r="I583" t="s">
        <v>207</v>
      </c>
      <c r="J583" t="s">
        <v>176</v>
      </c>
      <c r="K583" s="1">
        <v>11.31</v>
      </c>
      <c r="L583" s="1">
        <v>11.31</v>
      </c>
      <c r="M583" s="1">
        <v>11.31</v>
      </c>
      <c r="N583" s="1">
        <v>11.31</v>
      </c>
      <c r="O583" s="1">
        <v>791.7</v>
      </c>
      <c r="P583" s="1">
        <v>452.4</v>
      </c>
      <c r="Q583" s="1">
        <v>576.80999999999995</v>
      </c>
      <c r="R583" s="1">
        <v>693.03</v>
      </c>
      <c r="S583" t="s">
        <v>12</v>
      </c>
      <c r="T583" s="13">
        <v>45991</v>
      </c>
      <c r="U583" s="1" t="str">
        <f>IF(ESTIMATIVA[[#This Row],[QT_AREA_REAL]]&gt;0,"1- Colhido","2- à Colher")</f>
        <v>1- Colhido</v>
      </c>
      <c r="V583" s="1" t="str">
        <f>IF(ESTIMATIVA[[#This Row],[QT_AREA_REST1]]&gt;0,"Reestimativa 1",IF(ESTIMATIVA[[#This Row],[QT_AREA_REAL]]=0,"Reestimativa 1","Realizado"))</f>
        <v>Reestimativa 1</v>
      </c>
      <c r="W583" s="1" t="str">
        <f>IF(ESTIMATIVA[[#This Row],[QT_AREA_REST2]]&gt;0,"Reestimativa 2",IF(ESTIMATIVA[[#This Row],[QT_AREA_REAL]]=0,"Reestimativa 2","Realizado"))</f>
        <v>Reestimativa 2</v>
      </c>
      <c r="X583" s="1">
        <f>ESTIMATIVA[[#This Row],[QT_AREA_EST]]</f>
        <v>11.31</v>
      </c>
      <c r="Y583" s="1">
        <f>IF(ESTIMATIVA[[#This Row],[QT_AREA_REST1]]&gt;0,ESTIMATIVA[[#This Row],[QT_AREA_REST1]],
  IF(ESTIMATIVA[[#This Row],[QT_AREA_REAL]]&gt;0,ESTIMATIVA[[#This Row],[QT_AREA_REAL]],ESTIMATIVA[[#This Row],[QT_AREA_EST]]))</f>
        <v>11.31</v>
      </c>
      <c r="Z58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11.31</v>
      </c>
      <c r="AA583" s="1">
        <f>ESTIMATIVA[[#This Row],[QT_CANA_EST]]</f>
        <v>791.7</v>
      </c>
      <c r="AB583" s="1">
        <f>IF(ESTIMATIVA[[#This Row],[QT_CANA_REST1]]&gt;0,ESTIMATIVA[[#This Row],[QT_CANA_REST1]],
  IF(ESTIMATIVA[[#This Row],[QT_CANA_REAL]]&gt;0,ESTIMATIVA[[#This Row],[QT_CANA_REAL]],ESTIMATIVA[[#This Row],[QT_CANA_EST]]))</f>
        <v>452.4</v>
      </c>
      <c r="AC58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576.80999999999995</v>
      </c>
      <c r="AD583" s="1">
        <f>IF(ESTIMATIVA[[#This Row],[QT_AREA_REAL]]&gt;0,ESTIMATIVA[[#This Row],[QT_CANA_REAL]],ESTIMATIVA[[#This Row],[QT_CANA_EST]])</f>
        <v>693.03</v>
      </c>
      <c r="AE583" s="1">
        <f>IF(ESTIMATIVA[[#This Row],[QT_AREA_REAL]]&gt;0,ESTIMATIVA[[#This Row],[QT_CANA_REAL]],ESTIMATIVA[[#This Row],[QT_CANA_REST1]])</f>
        <v>693.03</v>
      </c>
      <c r="AF583" s="1">
        <f>IF(ESTIMATIVA[[#This Row],[QT_AREA_REAL]]&gt;0,ESTIMATIVA[[#This Row],[QT_CANA_REAL]],ESTIMATIVA[[#This Row],[QT_CANA_REST2]])</f>
        <v>693.03</v>
      </c>
      <c r="AG583" s="1" t="str">
        <f>IF(COUNTIFS(GEADA!A:A,VALUE(ESTIMATIVA[[#This Row],[CD_UPNIVEL1]]&amp;TEXT(ESTIMATIVA[[#This Row],[CD_UPNIVEL3]],"0000")))&gt;0,"S","N")</f>
        <v>S</v>
      </c>
      <c r="AH583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583" s="55">
        <f>IF(ESTIMATIVA[[#This Row],[TP_CULTIVO]]="Irrigado",_xlfn.MAXIFS(IRRIGADO!J:J,IRRIGADO!C:C,ESTIMATIVA[[#This Row],[CD_UPNIVEL1]],IRRIGADO!E:E,ESTIMATIVA[[#This Row],[CD_UPNIVEL3]]),"")</f>
        <v>45626</v>
      </c>
      <c r="AJ583" s="1">
        <f>IF(ESTIMATIVA[[#This Row],[TP_CULTIVO]]&lt;&gt;"Irrigado",0,AVERAGEIFS(IRRIGADO!G:G,IRRIGADO!C:C,ESTIMATIVA[[#This Row],[CD_UPNIVEL1]],IRRIGADO!E:E,ESTIMATIVA[[#This Row],[CD_UPNIVEL3]])*ESTIMATIVA[[#This Row],[QT_AREA_REAL]])</f>
        <v>226.20000000000002</v>
      </c>
      <c r="AK583" s="1">
        <f>COUNTIFS(Apresentação!$E$23:$E$29,ESTIMATIVA[[#This Row],[CD_UPNIVEL1]])</f>
        <v>0</v>
      </c>
    </row>
    <row r="584" spans="1:37" x14ac:dyDescent="0.3">
      <c r="A584">
        <v>20323</v>
      </c>
      <c r="B584" t="s">
        <v>29</v>
      </c>
      <c r="C584">
        <v>8</v>
      </c>
      <c r="D584">
        <v>2</v>
      </c>
      <c r="E584" t="s">
        <v>266</v>
      </c>
      <c r="F584" s="85" t="s">
        <v>333</v>
      </c>
      <c r="G584"/>
      <c r="H584" t="s">
        <v>295</v>
      </c>
      <c r="I584" t="s">
        <v>207</v>
      </c>
      <c r="J584" t="s">
        <v>176</v>
      </c>
      <c r="K584" s="1">
        <v>22.94</v>
      </c>
      <c r="L584" s="1">
        <v>22.94</v>
      </c>
      <c r="M584" s="1">
        <v>22.94</v>
      </c>
      <c r="N584" s="1">
        <v>22.94</v>
      </c>
      <c r="O584" s="1">
        <v>1605.8</v>
      </c>
      <c r="P584" s="1">
        <v>1376.4</v>
      </c>
      <c r="Q584" s="1">
        <v>1376.4</v>
      </c>
      <c r="R584" s="1">
        <v>1690.36</v>
      </c>
      <c r="S584" t="s">
        <v>12</v>
      </c>
      <c r="T584" s="13">
        <v>45991</v>
      </c>
      <c r="U584" s="1" t="str">
        <f>IF(ESTIMATIVA[[#This Row],[QT_AREA_REAL]]&gt;0,"1- Colhido","2- à Colher")</f>
        <v>1- Colhido</v>
      </c>
      <c r="V584" s="1" t="str">
        <f>IF(ESTIMATIVA[[#This Row],[QT_AREA_REST1]]&gt;0,"Reestimativa 1",IF(ESTIMATIVA[[#This Row],[QT_AREA_REAL]]=0,"Reestimativa 1","Realizado"))</f>
        <v>Reestimativa 1</v>
      </c>
      <c r="W584" s="1" t="str">
        <f>IF(ESTIMATIVA[[#This Row],[QT_AREA_REST2]]&gt;0,"Reestimativa 2",IF(ESTIMATIVA[[#This Row],[QT_AREA_REAL]]=0,"Reestimativa 2","Realizado"))</f>
        <v>Reestimativa 2</v>
      </c>
      <c r="X584" s="1">
        <f>ESTIMATIVA[[#This Row],[QT_AREA_EST]]</f>
        <v>22.94</v>
      </c>
      <c r="Y584" s="1">
        <f>IF(ESTIMATIVA[[#This Row],[QT_AREA_REST1]]&gt;0,ESTIMATIVA[[#This Row],[QT_AREA_REST1]],
  IF(ESTIMATIVA[[#This Row],[QT_AREA_REAL]]&gt;0,ESTIMATIVA[[#This Row],[QT_AREA_REAL]],ESTIMATIVA[[#This Row],[QT_AREA_EST]]))</f>
        <v>22.94</v>
      </c>
      <c r="Z58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22.94</v>
      </c>
      <c r="AA584" s="1">
        <f>ESTIMATIVA[[#This Row],[QT_CANA_EST]]</f>
        <v>1605.8</v>
      </c>
      <c r="AB584" s="1">
        <f>IF(ESTIMATIVA[[#This Row],[QT_CANA_REST1]]&gt;0,ESTIMATIVA[[#This Row],[QT_CANA_REST1]],
  IF(ESTIMATIVA[[#This Row],[QT_CANA_REAL]]&gt;0,ESTIMATIVA[[#This Row],[QT_CANA_REAL]],ESTIMATIVA[[#This Row],[QT_CANA_EST]]))</f>
        <v>1376.4</v>
      </c>
      <c r="AC58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1376.4</v>
      </c>
      <c r="AD584" s="1">
        <f>IF(ESTIMATIVA[[#This Row],[QT_AREA_REAL]]&gt;0,ESTIMATIVA[[#This Row],[QT_CANA_REAL]],ESTIMATIVA[[#This Row],[QT_CANA_EST]])</f>
        <v>1690.36</v>
      </c>
      <c r="AE584" s="1">
        <f>IF(ESTIMATIVA[[#This Row],[QT_AREA_REAL]]&gt;0,ESTIMATIVA[[#This Row],[QT_CANA_REAL]],ESTIMATIVA[[#This Row],[QT_CANA_REST1]])</f>
        <v>1690.36</v>
      </c>
      <c r="AF584" s="1">
        <f>IF(ESTIMATIVA[[#This Row],[QT_AREA_REAL]]&gt;0,ESTIMATIVA[[#This Row],[QT_CANA_REAL]],ESTIMATIVA[[#This Row],[QT_CANA_REST2]])</f>
        <v>1690.36</v>
      </c>
      <c r="AG584" s="1" t="str">
        <f>IF(COUNTIFS(GEADA!A:A,VALUE(ESTIMATIVA[[#This Row],[CD_UPNIVEL1]]&amp;TEXT(ESTIMATIVA[[#This Row],[CD_UPNIVEL3]],"0000")))&gt;0,"S","N")</f>
        <v>S</v>
      </c>
      <c r="AH58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84" s="55" t="str">
        <f>IF(ESTIMATIVA[[#This Row],[TP_CULTIVO]]="Irrigado",_xlfn.MAXIFS(IRRIGADO!J:J,IRRIGADO!C:C,ESTIMATIVA[[#This Row],[CD_UPNIVEL1]],IRRIGADO!E:E,ESTIMATIVA[[#This Row],[CD_UPNIVEL3]]),"")</f>
        <v/>
      </c>
      <c r="AJ58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84" s="1">
        <f>COUNTIFS(Apresentação!$E$23:$E$29,ESTIMATIVA[[#This Row],[CD_UPNIVEL1]])</f>
        <v>0</v>
      </c>
    </row>
    <row r="585" spans="1:37" x14ac:dyDescent="0.3">
      <c r="A585">
        <v>20323</v>
      </c>
      <c r="B585" t="s">
        <v>29</v>
      </c>
      <c r="C585">
        <v>9</v>
      </c>
      <c r="D585">
        <v>2</v>
      </c>
      <c r="E585" t="s">
        <v>266</v>
      </c>
      <c r="F585" s="85" t="s">
        <v>333</v>
      </c>
      <c r="G585"/>
      <c r="H585" t="s">
        <v>295</v>
      </c>
      <c r="I585" t="s">
        <v>202</v>
      </c>
      <c r="J585" t="s">
        <v>176</v>
      </c>
      <c r="K585" s="1">
        <v>30.38</v>
      </c>
      <c r="L585" s="1">
        <v>30.38</v>
      </c>
      <c r="M585" s="1">
        <v>30.38</v>
      </c>
      <c r="N585" s="1">
        <v>30.38</v>
      </c>
      <c r="O585" s="1">
        <v>2126.6</v>
      </c>
      <c r="P585" s="1">
        <v>2126.6</v>
      </c>
      <c r="Q585" s="1">
        <v>1822.8</v>
      </c>
      <c r="R585" s="1">
        <v>2239.52</v>
      </c>
      <c r="S585" t="s">
        <v>12</v>
      </c>
      <c r="T585" s="13">
        <v>45991</v>
      </c>
      <c r="U585" s="1" t="str">
        <f>IF(ESTIMATIVA[[#This Row],[QT_AREA_REAL]]&gt;0,"1- Colhido","2- à Colher")</f>
        <v>1- Colhido</v>
      </c>
      <c r="V585" s="1" t="str">
        <f>IF(ESTIMATIVA[[#This Row],[QT_AREA_REST1]]&gt;0,"Reestimativa 1",IF(ESTIMATIVA[[#This Row],[QT_AREA_REAL]]=0,"Reestimativa 1","Realizado"))</f>
        <v>Reestimativa 1</v>
      </c>
      <c r="W585" s="1" t="str">
        <f>IF(ESTIMATIVA[[#This Row],[QT_AREA_REST2]]&gt;0,"Reestimativa 2",IF(ESTIMATIVA[[#This Row],[QT_AREA_REAL]]=0,"Reestimativa 2","Realizado"))</f>
        <v>Reestimativa 2</v>
      </c>
      <c r="X585" s="1">
        <f>ESTIMATIVA[[#This Row],[QT_AREA_EST]]</f>
        <v>30.38</v>
      </c>
      <c r="Y585" s="1">
        <f>IF(ESTIMATIVA[[#This Row],[QT_AREA_REST1]]&gt;0,ESTIMATIVA[[#This Row],[QT_AREA_REST1]],
  IF(ESTIMATIVA[[#This Row],[QT_AREA_REAL]]&gt;0,ESTIMATIVA[[#This Row],[QT_AREA_REAL]],ESTIMATIVA[[#This Row],[QT_AREA_EST]]))</f>
        <v>30.38</v>
      </c>
      <c r="Z58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30.38</v>
      </c>
      <c r="AA585" s="1">
        <f>ESTIMATIVA[[#This Row],[QT_CANA_EST]]</f>
        <v>2126.6</v>
      </c>
      <c r="AB585" s="1">
        <f>IF(ESTIMATIVA[[#This Row],[QT_CANA_REST1]]&gt;0,ESTIMATIVA[[#This Row],[QT_CANA_REST1]],
  IF(ESTIMATIVA[[#This Row],[QT_CANA_REAL]]&gt;0,ESTIMATIVA[[#This Row],[QT_CANA_REAL]],ESTIMATIVA[[#This Row],[QT_CANA_EST]]))</f>
        <v>2126.6</v>
      </c>
      <c r="AC58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1822.8</v>
      </c>
      <c r="AD585" s="1">
        <f>IF(ESTIMATIVA[[#This Row],[QT_AREA_REAL]]&gt;0,ESTIMATIVA[[#This Row],[QT_CANA_REAL]],ESTIMATIVA[[#This Row],[QT_CANA_EST]])</f>
        <v>2239.52</v>
      </c>
      <c r="AE585" s="1">
        <f>IF(ESTIMATIVA[[#This Row],[QT_AREA_REAL]]&gt;0,ESTIMATIVA[[#This Row],[QT_CANA_REAL]],ESTIMATIVA[[#This Row],[QT_CANA_REST1]])</f>
        <v>2239.52</v>
      </c>
      <c r="AF585" s="1">
        <f>IF(ESTIMATIVA[[#This Row],[QT_AREA_REAL]]&gt;0,ESTIMATIVA[[#This Row],[QT_CANA_REAL]],ESTIMATIVA[[#This Row],[QT_CANA_REST2]])</f>
        <v>2239.52</v>
      </c>
      <c r="AG585" s="1" t="str">
        <f>IF(COUNTIFS(GEADA!A:A,VALUE(ESTIMATIVA[[#This Row],[CD_UPNIVEL1]]&amp;TEXT(ESTIMATIVA[[#This Row],[CD_UPNIVEL3]],"0000")))&gt;0,"S","N")</f>
        <v>N</v>
      </c>
      <c r="AH58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85" s="55" t="str">
        <f>IF(ESTIMATIVA[[#This Row],[TP_CULTIVO]]="Irrigado",_xlfn.MAXIFS(IRRIGADO!J:J,IRRIGADO!C:C,ESTIMATIVA[[#This Row],[CD_UPNIVEL1]],IRRIGADO!E:E,ESTIMATIVA[[#This Row],[CD_UPNIVEL3]]),"")</f>
        <v/>
      </c>
      <c r="AJ58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85" s="1">
        <f>COUNTIFS(Apresentação!$E$23:$E$29,ESTIMATIVA[[#This Row],[CD_UPNIVEL1]])</f>
        <v>0</v>
      </c>
    </row>
    <row r="586" spans="1:37" x14ac:dyDescent="0.3">
      <c r="A586">
        <v>20323</v>
      </c>
      <c r="B586" t="s">
        <v>29</v>
      </c>
      <c r="C586">
        <v>10</v>
      </c>
      <c r="D586">
        <v>2</v>
      </c>
      <c r="E586" t="s">
        <v>266</v>
      </c>
      <c r="F586" s="85" t="s">
        <v>333</v>
      </c>
      <c r="G586"/>
      <c r="H586" t="s">
        <v>295</v>
      </c>
      <c r="I586" t="s">
        <v>202</v>
      </c>
      <c r="J586" t="s">
        <v>176</v>
      </c>
      <c r="K586" s="1">
        <v>25.51</v>
      </c>
      <c r="L586" s="1">
        <v>25.51</v>
      </c>
      <c r="M586" s="1">
        <v>25.51</v>
      </c>
      <c r="N586" s="1">
        <v>25.51</v>
      </c>
      <c r="O586" s="1">
        <v>1785.7</v>
      </c>
      <c r="P586" s="1">
        <v>1785.7</v>
      </c>
      <c r="Q586" s="1">
        <v>1530.6</v>
      </c>
      <c r="R586" s="1">
        <v>1881.05</v>
      </c>
      <c r="S586" t="s">
        <v>12</v>
      </c>
      <c r="T586" s="13">
        <v>45991</v>
      </c>
      <c r="U586" s="1" t="str">
        <f>IF(ESTIMATIVA[[#This Row],[QT_AREA_REAL]]&gt;0,"1- Colhido","2- à Colher")</f>
        <v>1- Colhido</v>
      </c>
      <c r="V586" s="1" t="str">
        <f>IF(ESTIMATIVA[[#This Row],[QT_AREA_REST1]]&gt;0,"Reestimativa 1",IF(ESTIMATIVA[[#This Row],[QT_AREA_REAL]]=0,"Reestimativa 1","Realizado"))</f>
        <v>Reestimativa 1</v>
      </c>
      <c r="W586" s="1" t="str">
        <f>IF(ESTIMATIVA[[#This Row],[QT_AREA_REST2]]&gt;0,"Reestimativa 2",IF(ESTIMATIVA[[#This Row],[QT_AREA_REAL]]=0,"Reestimativa 2","Realizado"))</f>
        <v>Reestimativa 2</v>
      </c>
      <c r="X586" s="1">
        <f>ESTIMATIVA[[#This Row],[QT_AREA_EST]]</f>
        <v>25.51</v>
      </c>
      <c r="Y586" s="1">
        <f>IF(ESTIMATIVA[[#This Row],[QT_AREA_REST1]]&gt;0,ESTIMATIVA[[#This Row],[QT_AREA_REST1]],
  IF(ESTIMATIVA[[#This Row],[QT_AREA_REAL]]&gt;0,ESTIMATIVA[[#This Row],[QT_AREA_REAL]],ESTIMATIVA[[#This Row],[QT_AREA_EST]]))</f>
        <v>25.51</v>
      </c>
      <c r="Z58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25.51</v>
      </c>
      <c r="AA586" s="1">
        <f>ESTIMATIVA[[#This Row],[QT_CANA_EST]]</f>
        <v>1785.7</v>
      </c>
      <c r="AB586" s="1">
        <f>IF(ESTIMATIVA[[#This Row],[QT_CANA_REST1]]&gt;0,ESTIMATIVA[[#This Row],[QT_CANA_REST1]],
  IF(ESTIMATIVA[[#This Row],[QT_CANA_REAL]]&gt;0,ESTIMATIVA[[#This Row],[QT_CANA_REAL]],ESTIMATIVA[[#This Row],[QT_CANA_EST]]))</f>
        <v>1785.7</v>
      </c>
      <c r="AC58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1530.6</v>
      </c>
      <c r="AD586" s="1">
        <f>IF(ESTIMATIVA[[#This Row],[QT_AREA_REAL]]&gt;0,ESTIMATIVA[[#This Row],[QT_CANA_REAL]],ESTIMATIVA[[#This Row],[QT_CANA_EST]])</f>
        <v>1881.05</v>
      </c>
      <c r="AE586" s="1">
        <f>IF(ESTIMATIVA[[#This Row],[QT_AREA_REAL]]&gt;0,ESTIMATIVA[[#This Row],[QT_CANA_REAL]],ESTIMATIVA[[#This Row],[QT_CANA_REST1]])</f>
        <v>1881.05</v>
      </c>
      <c r="AF586" s="1">
        <f>IF(ESTIMATIVA[[#This Row],[QT_AREA_REAL]]&gt;0,ESTIMATIVA[[#This Row],[QT_CANA_REAL]],ESTIMATIVA[[#This Row],[QT_CANA_REST2]])</f>
        <v>1881.05</v>
      </c>
      <c r="AG586" s="1" t="str">
        <f>IF(COUNTIFS(GEADA!A:A,VALUE(ESTIMATIVA[[#This Row],[CD_UPNIVEL1]]&amp;TEXT(ESTIMATIVA[[#This Row],[CD_UPNIVEL3]],"0000")))&gt;0,"S","N")</f>
        <v>N</v>
      </c>
      <c r="AH58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86" s="55" t="str">
        <f>IF(ESTIMATIVA[[#This Row],[TP_CULTIVO]]="Irrigado",_xlfn.MAXIFS(IRRIGADO!J:J,IRRIGADO!C:C,ESTIMATIVA[[#This Row],[CD_UPNIVEL1]],IRRIGADO!E:E,ESTIMATIVA[[#This Row],[CD_UPNIVEL3]]),"")</f>
        <v/>
      </c>
      <c r="AJ58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86" s="1">
        <f>COUNTIFS(Apresentação!$E$23:$E$29,ESTIMATIVA[[#This Row],[CD_UPNIVEL1]])</f>
        <v>0</v>
      </c>
    </row>
    <row r="587" spans="1:37" x14ac:dyDescent="0.3">
      <c r="A587">
        <v>20323</v>
      </c>
      <c r="B587" t="s">
        <v>29</v>
      </c>
      <c r="C587">
        <v>11</v>
      </c>
      <c r="D587">
        <v>2</v>
      </c>
      <c r="E587" t="s">
        <v>266</v>
      </c>
      <c r="F587" s="85" t="s">
        <v>333</v>
      </c>
      <c r="G587"/>
      <c r="H587" t="s">
        <v>295</v>
      </c>
      <c r="I587" t="s">
        <v>202</v>
      </c>
      <c r="J587" t="s">
        <v>176</v>
      </c>
      <c r="K587" s="1">
        <v>29.83</v>
      </c>
      <c r="L587" s="1">
        <v>29.83</v>
      </c>
      <c r="M587" s="1">
        <v>29.83</v>
      </c>
      <c r="N587" s="1">
        <v>29.83</v>
      </c>
      <c r="O587" s="1">
        <v>2088.1</v>
      </c>
      <c r="P587" s="1">
        <v>2088.1</v>
      </c>
      <c r="Q587" s="1">
        <v>1968.78</v>
      </c>
      <c r="R587" s="1">
        <v>1716.19</v>
      </c>
      <c r="S587" t="s">
        <v>12</v>
      </c>
      <c r="T587" s="13">
        <v>45991</v>
      </c>
      <c r="U587" s="1" t="str">
        <f>IF(ESTIMATIVA[[#This Row],[QT_AREA_REAL]]&gt;0,"1- Colhido","2- à Colher")</f>
        <v>1- Colhido</v>
      </c>
      <c r="V587" s="1" t="str">
        <f>IF(ESTIMATIVA[[#This Row],[QT_AREA_REST1]]&gt;0,"Reestimativa 1",IF(ESTIMATIVA[[#This Row],[QT_AREA_REAL]]=0,"Reestimativa 1","Realizado"))</f>
        <v>Reestimativa 1</v>
      </c>
      <c r="W587" s="1" t="str">
        <f>IF(ESTIMATIVA[[#This Row],[QT_AREA_REST2]]&gt;0,"Reestimativa 2",IF(ESTIMATIVA[[#This Row],[QT_AREA_REAL]]=0,"Reestimativa 2","Realizado"))</f>
        <v>Reestimativa 2</v>
      </c>
      <c r="X587" s="1">
        <f>ESTIMATIVA[[#This Row],[QT_AREA_EST]]</f>
        <v>29.83</v>
      </c>
      <c r="Y587" s="1">
        <f>IF(ESTIMATIVA[[#This Row],[QT_AREA_REST1]]&gt;0,ESTIMATIVA[[#This Row],[QT_AREA_REST1]],
  IF(ESTIMATIVA[[#This Row],[QT_AREA_REAL]]&gt;0,ESTIMATIVA[[#This Row],[QT_AREA_REAL]],ESTIMATIVA[[#This Row],[QT_AREA_EST]]))</f>
        <v>29.83</v>
      </c>
      <c r="Z58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29.83</v>
      </c>
      <c r="AA587" s="1">
        <f>ESTIMATIVA[[#This Row],[QT_CANA_EST]]</f>
        <v>2088.1</v>
      </c>
      <c r="AB587" s="1">
        <f>IF(ESTIMATIVA[[#This Row],[QT_CANA_REST1]]&gt;0,ESTIMATIVA[[#This Row],[QT_CANA_REST1]],
  IF(ESTIMATIVA[[#This Row],[QT_CANA_REAL]]&gt;0,ESTIMATIVA[[#This Row],[QT_CANA_REAL]],ESTIMATIVA[[#This Row],[QT_CANA_EST]]))</f>
        <v>2088.1</v>
      </c>
      <c r="AC58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1968.78</v>
      </c>
      <c r="AD587" s="1">
        <f>IF(ESTIMATIVA[[#This Row],[QT_AREA_REAL]]&gt;0,ESTIMATIVA[[#This Row],[QT_CANA_REAL]],ESTIMATIVA[[#This Row],[QT_CANA_EST]])</f>
        <v>1716.19</v>
      </c>
      <c r="AE587" s="1">
        <f>IF(ESTIMATIVA[[#This Row],[QT_AREA_REAL]]&gt;0,ESTIMATIVA[[#This Row],[QT_CANA_REAL]],ESTIMATIVA[[#This Row],[QT_CANA_REST1]])</f>
        <v>1716.19</v>
      </c>
      <c r="AF587" s="1">
        <f>IF(ESTIMATIVA[[#This Row],[QT_AREA_REAL]]&gt;0,ESTIMATIVA[[#This Row],[QT_CANA_REAL]],ESTIMATIVA[[#This Row],[QT_CANA_REST2]])</f>
        <v>1716.19</v>
      </c>
      <c r="AG587" s="1" t="str">
        <f>IF(COUNTIFS(GEADA!A:A,VALUE(ESTIMATIVA[[#This Row],[CD_UPNIVEL1]]&amp;TEXT(ESTIMATIVA[[#This Row],[CD_UPNIVEL3]],"0000")))&gt;0,"S","N")</f>
        <v>N</v>
      </c>
      <c r="AH58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87" s="55" t="str">
        <f>IF(ESTIMATIVA[[#This Row],[TP_CULTIVO]]="Irrigado",_xlfn.MAXIFS(IRRIGADO!J:J,IRRIGADO!C:C,ESTIMATIVA[[#This Row],[CD_UPNIVEL1]],IRRIGADO!E:E,ESTIMATIVA[[#This Row],[CD_UPNIVEL3]]),"")</f>
        <v/>
      </c>
      <c r="AJ58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87" s="1">
        <f>COUNTIFS(Apresentação!$E$23:$E$29,ESTIMATIVA[[#This Row],[CD_UPNIVEL1]])</f>
        <v>0</v>
      </c>
    </row>
    <row r="588" spans="1:37" x14ac:dyDescent="0.3">
      <c r="A588">
        <v>20323</v>
      </c>
      <c r="B588" t="s">
        <v>29</v>
      </c>
      <c r="C588">
        <v>12</v>
      </c>
      <c r="D588">
        <v>2</v>
      </c>
      <c r="E588" t="s">
        <v>266</v>
      </c>
      <c r="F588" s="85" t="s">
        <v>333</v>
      </c>
      <c r="G588"/>
      <c r="H588" t="s">
        <v>295</v>
      </c>
      <c r="I588" t="s">
        <v>202</v>
      </c>
      <c r="J588" t="s">
        <v>176</v>
      </c>
      <c r="K588" s="1">
        <v>29.38</v>
      </c>
      <c r="L588" s="1">
        <v>29.38</v>
      </c>
      <c r="M588" s="1">
        <v>29.38</v>
      </c>
      <c r="N588" s="1">
        <v>29.38</v>
      </c>
      <c r="O588" s="1">
        <v>2056.6</v>
      </c>
      <c r="P588" s="1">
        <v>2056.6</v>
      </c>
      <c r="Q588" s="1">
        <v>1762.8</v>
      </c>
      <c r="R588" s="1">
        <v>1536.73</v>
      </c>
      <c r="S588" t="s">
        <v>12</v>
      </c>
      <c r="T588" s="13">
        <v>45991</v>
      </c>
      <c r="U588" s="1" t="str">
        <f>IF(ESTIMATIVA[[#This Row],[QT_AREA_REAL]]&gt;0,"1- Colhido","2- à Colher")</f>
        <v>1- Colhido</v>
      </c>
      <c r="V588" s="1" t="str">
        <f>IF(ESTIMATIVA[[#This Row],[QT_AREA_REST1]]&gt;0,"Reestimativa 1",IF(ESTIMATIVA[[#This Row],[QT_AREA_REAL]]=0,"Reestimativa 1","Realizado"))</f>
        <v>Reestimativa 1</v>
      </c>
      <c r="W588" s="1" t="str">
        <f>IF(ESTIMATIVA[[#This Row],[QT_AREA_REST2]]&gt;0,"Reestimativa 2",IF(ESTIMATIVA[[#This Row],[QT_AREA_REAL]]=0,"Reestimativa 2","Realizado"))</f>
        <v>Reestimativa 2</v>
      </c>
      <c r="X588" s="1">
        <f>ESTIMATIVA[[#This Row],[QT_AREA_EST]]</f>
        <v>29.38</v>
      </c>
      <c r="Y588" s="1">
        <f>IF(ESTIMATIVA[[#This Row],[QT_AREA_REST1]]&gt;0,ESTIMATIVA[[#This Row],[QT_AREA_REST1]],
  IF(ESTIMATIVA[[#This Row],[QT_AREA_REAL]]&gt;0,ESTIMATIVA[[#This Row],[QT_AREA_REAL]],ESTIMATIVA[[#This Row],[QT_AREA_EST]]))</f>
        <v>29.38</v>
      </c>
      <c r="Z58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29.38</v>
      </c>
      <c r="AA588" s="1">
        <f>ESTIMATIVA[[#This Row],[QT_CANA_EST]]</f>
        <v>2056.6</v>
      </c>
      <c r="AB588" s="1">
        <f>IF(ESTIMATIVA[[#This Row],[QT_CANA_REST1]]&gt;0,ESTIMATIVA[[#This Row],[QT_CANA_REST1]],
  IF(ESTIMATIVA[[#This Row],[QT_CANA_REAL]]&gt;0,ESTIMATIVA[[#This Row],[QT_CANA_REAL]],ESTIMATIVA[[#This Row],[QT_CANA_EST]]))</f>
        <v>2056.6</v>
      </c>
      <c r="AC58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1762.8</v>
      </c>
      <c r="AD588" s="1">
        <f>IF(ESTIMATIVA[[#This Row],[QT_AREA_REAL]]&gt;0,ESTIMATIVA[[#This Row],[QT_CANA_REAL]],ESTIMATIVA[[#This Row],[QT_CANA_EST]])</f>
        <v>1536.73</v>
      </c>
      <c r="AE588" s="1">
        <f>IF(ESTIMATIVA[[#This Row],[QT_AREA_REAL]]&gt;0,ESTIMATIVA[[#This Row],[QT_CANA_REAL]],ESTIMATIVA[[#This Row],[QT_CANA_REST1]])</f>
        <v>1536.73</v>
      </c>
      <c r="AF588" s="1">
        <f>IF(ESTIMATIVA[[#This Row],[QT_AREA_REAL]]&gt;0,ESTIMATIVA[[#This Row],[QT_CANA_REAL]],ESTIMATIVA[[#This Row],[QT_CANA_REST2]])</f>
        <v>1536.73</v>
      </c>
      <c r="AG588" s="1" t="str">
        <f>IF(COUNTIFS(GEADA!A:A,VALUE(ESTIMATIVA[[#This Row],[CD_UPNIVEL1]]&amp;TEXT(ESTIMATIVA[[#This Row],[CD_UPNIVEL3]],"0000")))&gt;0,"S","N")</f>
        <v>N</v>
      </c>
      <c r="AH58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88" s="55" t="str">
        <f>IF(ESTIMATIVA[[#This Row],[TP_CULTIVO]]="Irrigado",_xlfn.MAXIFS(IRRIGADO!J:J,IRRIGADO!C:C,ESTIMATIVA[[#This Row],[CD_UPNIVEL1]],IRRIGADO!E:E,ESTIMATIVA[[#This Row],[CD_UPNIVEL3]]),"")</f>
        <v/>
      </c>
      <c r="AJ58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88" s="1">
        <f>COUNTIFS(Apresentação!$E$23:$E$29,ESTIMATIVA[[#This Row],[CD_UPNIVEL1]])</f>
        <v>0</v>
      </c>
    </row>
    <row r="589" spans="1:37" x14ac:dyDescent="0.3">
      <c r="A589">
        <v>20323</v>
      </c>
      <c r="B589" t="s">
        <v>29</v>
      </c>
      <c r="C589">
        <v>13</v>
      </c>
      <c r="D589">
        <v>2</v>
      </c>
      <c r="E589" t="s">
        <v>266</v>
      </c>
      <c r="F589" s="85" t="s">
        <v>333</v>
      </c>
      <c r="G589"/>
      <c r="H589" t="s">
        <v>295</v>
      </c>
      <c r="I589" t="s">
        <v>202</v>
      </c>
      <c r="J589" t="s">
        <v>176</v>
      </c>
      <c r="K589" s="1">
        <v>23.4</v>
      </c>
      <c r="L589" s="1">
        <v>23.4</v>
      </c>
      <c r="M589" s="1">
        <v>23.4</v>
      </c>
      <c r="N589" s="1">
        <v>23.4</v>
      </c>
      <c r="O589" s="1">
        <v>1638</v>
      </c>
      <c r="P589" s="1">
        <v>1638</v>
      </c>
      <c r="Q589" s="1">
        <v>1404</v>
      </c>
      <c r="R589" s="1">
        <v>1465.15</v>
      </c>
      <c r="S589" t="s">
        <v>12</v>
      </c>
      <c r="T589" s="13">
        <v>45991</v>
      </c>
      <c r="U589" s="1" t="str">
        <f>IF(ESTIMATIVA[[#This Row],[QT_AREA_REAL]]&gt;0,"1- Colhido","2- à Colher")</f>
        <v>1- Colhido</v>
      </c>
      <c r="V589" s="1" t="str">
        <f>IF(ESTIMATIVA[[#This Row],[QT_AREA_REST1]]&gt;0,"Reestimativa 1",IF(ESTIMATIVA[[#This Row],[QT_AREA_REAL]]=0,"Reestimativa 1","Realizado"))</f>
        <v>Reestimativa 1</v>
      </c>
      <c r="W589" s="1" t="str">
        <f>IF(ESTIMATIVA[[#This Row],[QT_AREA_REST2]]&gt;0,"Reestimativa 2",IF(ESTIMATIVA[[#This Row],[QT_AREA_REAL]]=0,"Reestimativa 2","Realizado"))</f>
        <v>Reestimativa 2</v>
      </c>
      <c r="X589" s="1">
        <f>ESTIMATIVA[[#This Row],[QT_AREA_EST]]</f>
        <v>23.4</v>
      </c>
      <c r="Y589" s="1">
        <f>IF(ESTIMATIVA[[#This Row],[QT_AREA_REST1]]&gt;0,ESTIMATIVA[[#This Row],[QT_AREA_REST1]],
  IF(ESTIMATIVA[[#This Row],[QT_AREA_REAL]]&gt;0,ESTIMATIVA[[#This Row],[QT_AREA_REAL]],ESTIMATIVA[[#This Row],[QT_AREA_EST]]))</f>
        <v>23.4</v>
      </c>
      <c r="Z58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23.4</v>
      </c>
      <c r="AA589" s="1">
        <f>ESTIMATIVA[[#This Row],[QT_CANA_EST]]</f>
        <v>1638</v>
      </c>
      <c r="AB589" s="1">
        <f>IF(ESTIMATIVA[[#This Row],[QT_CANA_REST1]]&gt;0,ESTIMATIVA[[#This Row],[QT_CANA_REST1]],
  IF(ESTIMATIVA[[#This Row],[QT_CANA_REAL]]&gt;0,ESTIMATIVA[[#This Row],[QT_CANA_REAL]],ESTIMATIVA[[#This Row],[QT_CANA_EST]]))</f>
        <v>1638</v>
      </c>
      <c r="AC58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1404</v>
      </c>
      <c r="AD589" s="1">
        <f>IF(ESTIMATIVA[[#This Row],[QT_AREA_REAL]]&gt;0,ESTIMATIVA[[#This Row],[QT_CANA_REAL]],ESTIMATIVA[[#This Row],[QT_CANA_EST]])</f>
        <v>1465.15</v>
      </c>
      <c r="AE589" s="1">
        <f>IF(ESTIMATIVA[[#This Row],[QT_AREA_REAL]]&gt;0,ESTIMATIVA[[#This Row],[QT_CANA_REAL]],ESTIMATIVA[[#This Row],[QT_CANA_REST1]])</f>
        <v>1465.15</v>
      </c>
      <c r="AF589" s="1">
        <f>IF(ESTIMATIVA[[#This Row],[QT_AREA_REAL]]&gt;0,ESTIMATIVA[[#This Row],[QT_CANA_REAL]],ESTIMATIVA[[#This Row],[QT_CANA_REST2]])</f>
        <v>1465.15</v>
      </c>
      <c r="AG589" s="1" t="str">
        <f>IF(COUNTIFS(GEADA!A:A,VALUE(ESTIMATIVA[[#This Row],[CD_UPNIVEL1]]&amp;TEXT(ESTIMATIVA[[#This Row],[CD_UPNIVEL3]],"0000")))&gt;0,"S","N")</f>
        <v>N</v>
      </c>
      <c r="AH58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89" s="55" t="str">
        <f>IF(ESTIMATIVA[[#This Row],[TP_CULTIVO]]="Irrigado",_xlfn.MAXIFS(IRRIGADO!J:J,IRRIGADO!C:C,ESTIMATIVA[[#This Row],[CD_UPNIVEL1]],IRRIGADO!E:E,ESTIMATIVA[[#This Row],[CD_UPNIVEL3]]),"")</f>
        <v/>
      </c>
      <c r="AJ58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89" s="1">
        <f>COUNTIFS(Apresentação!$E$23:$E$29,ESTIMATIVA[[#This Row],[CD_UPNIVEL1]])</f>
        <v>0</v>
      </c>
    </row>
    <row r="590" spans="1:37" x14ac:dyDescent="0.3">
      <c r="A590">
        <v>20323</v>
      </c>
      <c r="B590" t="s">
        <v>29</v>
      </c>
      <c r="C590">
        <v>14</v>
      </c>
      <c r="D590">
        <v>2</v>
      </c>
      <c r="E590" t="s">
        <v>266</v>
      </c>
      <c r="F590" s="85" t="s">
        <v>333</v>
      </c>
      <c r="G590"/>
      <c r="H590" t="s">
        <v>295</v>
      </c>
      <c r="I590" t="s">
        <v>202</v>
      </c>
      <c r="J590" t="s">
        <v>176</v>
      </c>
      <c r="K590" s="1">
        <v>40.229999999999997</v>
      </c>
      <c r="L590" s="1">
        <v>40.229999999999997</v>
      </c>
      <c r="M590" s="1">
        <v>40.229999999999997</v>
      </c>
      <c r="N590" s="1">
        <v>40.229999999999997</v>
      </c>
      <c r="O590" s="1">
        <v>2816.1</v>
      </c>
      <c r="P590" s="1">
        <v>2816.1</v>
      </c>
      <c r="Q590" s="1">
        <v>2413.8000000000002</v>
      </c>
      <c r="R590" s="1">
        <v>2519.2199999999998</v>
      </c>
      <c r="S590" t="s">
        <v>12</v>
      </c>
      <c r="T590" s="13">
        <v>45991</v>
      </c>
      <c r="U590" s="1" t="str">
        <f>IF(ESTIMATIVA[[#This Row],[QT_AREA_REAL]]&gt;0,"1- Colhido","2- à Colher")</f>
        <v>1- Colhido</v>
      </c>
      <c r="V590" s="1" t="str">
        <f>IF(ESTIMATIVA[[#This Row],[QT_AREA_REST1]]&gt;0,"Reestimativa 1",IF(ESTIMATIVA[[#This Row],[QT_AREA_REAL]]=0,"Reestimativa 1","Realizado"))</f>
        <v>Reestimativa 1</v>
      </c>
      <c r="W590" s="1" t="str">
        <f>IF(ESTIMATIVA[[#This Row],[QT_AREA_REST2]]&gt;0,"Reestimativa 2",IF(ESTIMATIVA[[#This Row],[QT_AREA_REAL]]=0,"Reestimativa 2","Realizado"))</f>
        <v>Reestimativa 2</v>
      </c>
      <c r="X590" s="1">
        <f>ESTIMATIVA[[#This Row],[QT_AREA_EST]]</f>
        <v>40.229999999999997</v>
      </c>
      <c r="Y590" s="1">
        <f>IF(ESTIMATIVA[[#This Row],[QT_AREA_REST1]]&gt;0,ESTIMATIVA[[#This Row],[QT_AREA_REST1]],
  IF(ESTIMATIVA[[#This Row],[QT_AREA_REAL]]&gt;0,ESTIMATIVA[[#This Row],[QT_AREA_REAL]],ESTIMATIVA[[#This Row],[QT_AREA_EST]]))</f>
        <v>40.229999999999997</v>
      </c>
      <c r="Z59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40.229999999999997</v>
      </c>
      <c r="AA590" s="1">
        <f>ESTIMATIVA[[#This Row],[QT_CANA_EST]]</f>
        <v>2816.1</v>
      </c>
      <c r="AB590" s="1">
        <f>IF(ESTIMATIVA[[#This Row],[QT_CANA_REST1]]&gt;0,ESTIMATIVA[[#This Row],[QT_CANA_REST1]],
  IF(ESTIMATIVA[[#This Row],[QT_CANA_REAL]]&gt;0,ESTIMATIVA[[#This Row],[QT_CANA_REAL]],ESTIMATIVA[[#This Row],[QT_CANA_EST]]))</f>
        <v>2816.1</v>
      </c>
      <c r="AC59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2413.8000000000002</v>
      </c>
      <c r="AD590" s="1">
        <f>IF(ESTIMATIVA[[#This Row],[QT_AREA_REAL]]&gt;0,ESTIMATIVA[[#This Row],[QT_CANA_REAL]],ESTIMATIVA[[#This Row],[QT_CANA_EST]])</f>
        <v>2519.2199999999998</v>
      </c>
      <c r="AE590" s="1">
        <f>IF(ESTIMATIVA[[#This Row],[QT_AREA_REAL]]&gt;0,ESTIMATIVA[[#This Row],[QT_CANA_REAL]],ESTIMATIVA[[#This Row],[QT_CANA_REST1]])</f>
        <v>2519.2199999999998</v>
      </c>
      <c r="AF590" s="1">
        <f>IF(ESTIMATIVA[[#This Row],[QT_AREA_REAL]]&gt;0,ESTIMATIVA[[#This Row],[QT_CANA_REAL]],ESTIMATIVA[[#This Row],[QT_CANA_REST2]])</f>
        <v>2519.2199999999998</v>
      </c>
      <c r="AG590" s="1" t="str">
        <f>IF(COUNTIFS(GEADA!A:A,VALUE(ESTIMATIVA[[#This Row],[CD_UPNIVEL1]]&amp;TEXT(ESTIMATIVA[[#This Row],[CD_UPNIVEL3]],"0000")))&gt;0,"S","N")</f>
        <v>N</v>
      </c>
      <c r="AH59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90" s="55" t="str">
        <f>IF(ESTIMATIVA[[#This Row],[TP_CULTIVO]]="Irrigado",_xlfn.MAXIFS(IRRIGADO!J:J,IRRIGADO!C:C,ESTIMATIVA[[#This Row],[CD_UPNIVEL1]],IRRIGADO!E:E,ESTIMATIVA[[#This Row],[CD_UPNIVEL3]]),"")</f>
        <v/>
      </c>
      <c r="AJ59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90" s="1">
        <f>COUNTIFS(Apresentação!$E$23:$E$29,ESTIMATIVA[[#This Row],[CD_UPNIVEL1]])</f>
        <v>0</v>
      </c>
    </row>
    <row r="591" spans="1:37" x14ac:dyDescent="0.3">
      <c r="A591">
        <v>20323</v>
      </c>
      <c r="B591" t="s">
        <v>29</v>
      </c>
      <c r="C591">
        <v>15</v>
      </c>
      <c r="D591">
        <v>2</v>
      </c>
      <c r="E591" t="s">
        <v>266</v>
      </c>
      <c r="F591" s="85" t="s">
        <v>333</v>
      </c>
      <c r="G591"/>
      <c r="H591" t="s">
        <v>295</v>
      </c>
      <c r="I591" t="s">
        <v>202</v>
      </c>
      <c r="J591" t="s">
        <v>176</v>
      </c>
      <c r="K591" s="1">
        <v>40.44</v>
      </c>
      <c r="L591" s="1">
        <v>40.44</v>
      </c>
      <c r="M591" s="1">
        <v>40.44</v>
      </c>
      <c r="N591" s="1">
        <v>40.44</v>
      </c>
      <c r="O591" s="1">
        <v>3235.2</v>
      </c>
      <c r="P591" s="1">
        <v>3275.64</v>
      </c>
      <c r="Q591" s="1">
        <v>2830.8</v>
      </c>
      <c r="R591" s="1">
        <v>2954.72</v>
      </c>
      <c r="S591" t="s">
        <v>12</v>
      </c>
      <c r="T591" s="13">
        <v>45991</v>
      </c>
      <c r="U591" s="1" t="str">
        <f>IF(ESTIMATIVA[[#This Row],[QT_AREA_REAL]]&gt;0,"1- Colhido","2- à Colher")</f>
        <v>1- Colhido</v>
      </c>
      <c r="V591" s="1" t="str">
        <f>IF(ESTIMATIVA[[#This Row],[QT_AREA_REST1]]&gt;0,"Reestimativa 1",IF(ESTIMATIVA[[#This Row],[QT_AREA_REAL]]=0,"Reestimativa 1","Realizado"))</f>
        <v>Reestimativa 1</v>
      </c>
      <c r="W591" s="1" t="str">
        <f>IF(ESTIMATIVA[[#This Row],[QT_AREA_REST2]]&gt;0,"Reestimativa 2",IF(ESTIMATIVA[[#This Row],[QT_AREA_REAL]]=0,"Reestimativa 2","Realizado"))</f>
        <v>Reestimativa 2</v>
      </c>
      <c r="X591" s="1">
        <f>ESTIMATIVA[[#This Row],[QT_AREA_EST]]</f>
        <v>40.44</v>
      </c>
      <c r="Y591" s="1">
        <f>IF(ESTIMATIVA[[#This Row],[QT_AREA_REST1]]&gt;0,ESTIMATIVA[[#This Row],[QT_AREA_REST1]],
  IF(ESTIMATIVA[[#This Row],[QT_AREA_REAL]]&gt;0,ESTIMATIVA[[#This Row],[QT_AREA_REAL]],ESTIMATIVA[[#This Row],[QT_AREA_EST]]))</f>
        <v>40.44</v>
      </c>
      <c r="Z59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40.44</v>
      </c>
      <c r="AA591" s="1">
        <f>ESTIMATIVA[[#This Row],[QT_CANA_EST]]</f>
        <v>3235.2</v>
      </c>
      <c r="AB591" s="1">
        <f>IF(ESTIMATIVA[[#This Row],[QT_CANA_REST1]]&gt;0,ESTIMATIVA[[#This Row],[QT_CANA_REST1]],
  IF(ESTIMATIVA[[#This Row],[QT_CANA_REAL]]&gt;0,ESTIMATIVA[[#This Row],[QT_CANA_REAL]],ESTIMATIVA[[#This Row],[QT_CANA_EST]]))</f>
        <v>3275.64</v>
      </c>
      <c r="AC59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2830.8</v>
      </c>
      <c r="AD591" s="1">
        <f>IF(ESTIMATIVA[[#This Row],[QT_AREA_REAL]]&gt;0,ESTIMATIVA[[#This Row],[QT_CANA_REAL]],ESTIMATIVA[[#This Row],[QT_CANA_EST]])</f>
        <v>2954.72</v>
      </c>
      <c r="AE591" s="1">
        <f>IF(ESTIMATIVA[[#This Row],[QT_AREA_REAL]]&gt;0,ESTIMATIVA[[#This Row],[QT_CANA_REAL]],ESTIMATIVA[[#This Row],[QT_CANA_REST1]])</f>
        <v>2954.72</v>
      </c>
      <c r="AF591" s="1">
        <f>IF(ESTIMATIVA[[#This Row],[QT_AREA_REAL]]&gt;0,ESTIMATIVA[[#This Row],[QT_CANA_REAL]],ESTIMATIVA[[#This Row],[QT_CANA_REST2]])</f>
        <v>2954.72</v>
      </c>
      <c r="AG591" s="1" t="str">
        <f>IF(COUNTIFS(GEADA!A:A,VALUE(ESTIMATIVA[[#This Row],[CD_UPNIVEL1]]&amp;TEXT(ESTIMATIVA[[#This Row],[CD_UPNIVEL3]],"0000")))&gt;0,"S","N")</f>
        <v>N</v>
      </c>
      <c r="AH59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91" s="55" t="str">
        <f>IF(ESTIMATIVA[[#This Row],[TP_CULTIVO]]="Irrigado",_xlfn.MAXIFS(IRRIGADO!J:J,IRRIGADO!C:C,ESTIMATIVA[[#This Row],[CD_UPNIVEL1]],IRRIGADO!E:E,ESTIMATIVA[[#This Row],[CD_UPNIVEL3]]),"")</f>
        <v/>
      </c>
      <c r="AJ59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91" s="1">
        <f>COUNTIFS(Apresentação!$E$23:$E$29,ESTIMATIVA[[#This Row],[CD_UPNIVEL1]])</f>
        <v>0</v>
      </c>
    </row>
    <row r="592" spans="1:37" x14ac:dyDescent="0.3">
      <c r="A592">
        <v>20325</v>
      </c>
      <c r="B592" t="s">
        <v>31</v>
      </c>
      <c r="C592">
        <v>1</v>
      </c>
      <c r="D592">
        <v>2</v>
      </c>
      <c r="E592" t="s">
        <v>266</v>
      </c>
      <c r="F592" s="85" t="s">
        <v>331</v>
      </c>
      <c r="G592"/>
      <c r="H592" t="s">
        <v>295</v>
      </c>
      <c r="I592" t="s">
        <v>207</v>
      </c>
      <c r="J592" t="s">
        <v>176</v>
      </c>
      <c r="K592" s="1">
        <v>35.92</v>
      </c>
      <c r="L592" s="1">
        <v>35.92</v>
      </c>
      <c r="M592" s="1">
        <v>35.92</v>
      </c>
      <c r="N592" s="1">
        <v>35.92</v>
      </c>
      <c r="O592" s="1">
        <v>2514.4</v>
      </c>
      <c r="P592" s="1">
        <v>2514.4</v>
      </c>
      <c r="Q592" s="1">
        <v>2514.4</v>
      </c>
      <c r="R592" s="1">
        <v>2380.37</v>
      </c>
      <c r="S592" t="s">
        <v>12</v>
      </c>
      <c r="T592" s="13">
        <v>45984</v>
      </c>
      <c r="U592" s="1" t="str">
        <f>IF(ESTIMATIVA[[#This Row],[QT_AREA_REAL]]&gt;0,"1- Colhido","2- à Colher")</f>
        <v>1- Colhido</v>
      </c>
      <c r="V592" s="1" t="str">
        <f>IF(ESTIMATIVA[[#This Row],[QT_AREA_REST1]]&gt;0,"Reestimativa 1",IF(ESTIMATIVA[[#This Row],[QT_AREA_REAL]]=0,"Reestimativa 1","Realizado"))</f>
        <v>Reestimativa 1</v>
      </c>
      <c r="W592" s="1" t="str">
        <f>IF(ESTIMATIVA[[#This Row],[QT_AREA_REST2]]&gt;0,"Reestimativa 2",IF(ESTIMATIVA[[#This Row],[QT_AREA_REAL]]=0,"Reestimativa 2","Realizado"))</f>
        <v>Reestimativa 2</v>
      </c>
      <c r="X592" s="1">
        <f>ESTIMATIVA[[#This Row],[QT_AREA_EST]]</f>
        <v>35.92</v>
      </c>
      <c r="Y592" s="1">
        <f>IF(ESTIMATIVA[[#This Row],[QT_AREA_REST1]]&gt;0,ESTIMATIVA[[#This Row],[QT_AREA_REST1]],
  IF(ESTIMATIVA[[#This Row],[QT_AREA_REAL]]&gt;0,ESTIMATIVA[[#This Row],[QT_AREA_REAL]],ESTIMATIVA[[#This Row],[QT_AREA_EST]]))</f>
        <v>35.92</v>
      </c>
      <c r="Z59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35.92</v>
      </c>
      <c r="AA592" s="1">
        <f>ESTIMATIVA[[#This Row],[QT_CANA_EST]]</f>
        <v>2514.4</v>
      </c>
      <c r="AB592" s="1">
        <f>IF(ESTIMATIVA[[#This Row],[QT_CANA_REST1]]&gt;0,ESTIMATIVA[[#This Row],[QT_CANA_REST1]],
  IF(ESTIMATIVA[[#This Row],[QT_CANA_REAL]]&gt;0,ESTIMATIVA[[#This Row],[QT_CANA_REAL]],ESTIMATIVA[[#This Row],[QT_CANA_EST]]))</f>
        <v>2514.4</v>
      </c>
      <c r="AC59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2514.4</v>
      </c>
      <c r="AD592" s="1">
        <f>IF(ESTIMATIVA[[#This Row],[QT_AREA_REAL]]&gt;0,ESTIMATIVA[[#This Row],[QT_CANA_REAL]],ESTIMATIVA[[#This Row],[QT_CANA_EST]])</f>
        <v>2380.37</v>
      </c>
      <c r="AE592" s="1">
        <f>IF(ESTIMATIVA[[#This Row],[QT_AREA_REAL]]&gt;0,ESTIMATIVA[[#This Row],[QT_CANA_REAL]],ESTIMATIVA[[#This Row],[QT_CANA_REST1]])</f>
        <v>2380.37</v>
      </c>
      <c r="AF592" s="1">
        <f>IF(ESTIMATIVA[[#This Row],[QT_AREA_REAL]]&gt;0,ESTIMATIVA[[#This Row],[QT_CANA_REAL]],ESTIMATIVA[[#This Row],[QT_CANA_REST2]])</f>
        <v>2380.37</v>
      </c>
      <c r="AG592" s="1" t="str">
        <f>IF(COUNTIFS(GEADA!A:A,VALUE(ESTIMATIVA[[#This Row],[CD_UPNIVEL1]]&amp;TEXT(ESTIMATIVA[[#This Row],[CD_UPNIVEL3]],"0000")))&gt;0,"S","N")</f>
        <v>S</v>
      </c>
      <c r="AH592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592" s="55">
        <f>IF(ESTIMATIVA[[#This Row],[TP_CULTIVO]]="Irrigado",_xlfn.MAXIFS(IRRIGADO!J:J,IRRIGADO!C:C,ESTIMATIVA[[#This Row],[CD_UPNIVEL1]],IRRIGADO!E:E,ESTIMATIVA[[#This Row],[CD_UPNIVEL3]]),"")</f>
        <v>45626</v>
      </c>
      <c r="AJ592" s="1">
        <f>IF(ESTIMATIVA[[#This Row],[TP_CULTIVO]]&lt;&gt;"Irrigado",0,AVERAGEIFS(IRRIGADO!G:G,IRRIGADO!C:C,ESTIMATIVA[[#This Row],[CD_UPNIVEL1]],IRRIGADO!E:E,ESTIMATIVA[[#This Row],[CD_UPNIVEL3]])*ESTIMATIVA[[#This Row],[QT_AREA_REAL]])</f>
        <v>718.40000000000009</v>
      </c>
      <c r="AK592" s="1">
        <f>COUNTIFS(Apresentação!$E$23:$E$29,ESTIMATIVA[[#This Row],[CD_UPNIVEL1]])</f>
        <v>0</v>
      </c>
    </row>
    <row r="593" spans="1:37" x14ac:dyDescent="0.3">
      <c r="A593">
        <v>20325</v>
      </c>
      <c r="B593" t="s">
        <v>31</v>
      </c>
      <c r="C593">
        <v>2</v>
      </c>
      <c r="D593">
        <v>2</v>
      </c>
      <c r="E593" t="s">
        <v>266</v>
      </c>
      <c r="F593" s="85" t="s">
        <v>333</v>
      </c>
      <c r="G593"/>
      <c r="H593" t="s">
        <v>295</v>
      </c>
      <c r="I593" t="s">
        <v>207</v>
      </c>
      <c r="J593" t="s">
        <v>176</v>
      </c>
      <c r="K593" s="1">
        <v>30.76</v>
      </c>
      <c r="L593" s="1">
        <v>30.76</v>
      </c>
      <c r="M593" s="1">
        <v>30.76</v>
      </c>
      <c r="N593" s="1">
        <v>30.76</v>
      </c>
      <c r="O593" s="1">
        <v>2153.1999999999998</v>
      </c>
      <c r="P593" s="1">
        <v>2153.1999999999998</v>
      </c>
      <c r="Q593" s="1">
        <v>1968.64</v>
      </c>
      <c r="R593" s="1">
        <v>1864.33</v>
      </c>
      <c r="S593" t="s">
        <v>12</v>
      </c>
      <c r="T593" s="13">
        <v>45984</v>
      </c>
      <c r="U593" s="1" t="str">
        <f>IF(ESTIMATIVA[[#This Row],[QT_AREA_REAL]]&gt;0,"1- Colhido","2- à Colher")</f>
        <v>1- Colhido</v>
      </c>
      <c r="V593" s="1" t="str">
        <f>IF(ESTIMATIVA[[#This Row],[QT_AREA_REST1]]&gt;0,"Reestimativa 1",IF(ESTIMATIVA[[#This Row],[QT_AREA_REAL]]=0,"Reestimativa 1","Realizado"))</f>
        <v>Reestimativa 1</v>
      </c>
      <c r="W593" s="1" t="str">
        <f>IF(ESTIMATIVA[[#This Row],[QT_AREA_REST2]]&gt;0,"Reestimativa 2",IF(ESTIMATIVA[[#This Row],[QT_AREA_REAL]]=0,"Reestimativa 2","Realizado"))</f>
        <v>Reestimativa 2</v>
      </c>
      <c r="X593" s="1">
        <f>ESTIMATIVA[[#This Row],[QT_AREA_EST]]</f>
        <v>30.76</v>
      </c>
      <c r="Y593" s="1">
        <f>IF(ESTIMATIVA[[#This Row],[QT_AREA_REST1]]&gt;0,ESTIMATIVA[[#This Row],[QT_AREA_REST1]],
  IF(ESTIMATIVA[[#This Row],[QT_AREA_REAL]]&gt;0,ESTIMATIVA[[#This Row],[QT_AREA_REAL]],ESTIMATIVA[[#This Row],[QT_AREA_EST]]))</f>
        <v>30.76</v>
      </c>
      <c r="Z59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30.76</v>
      </c>
      <c r="AA593" s="1">
        <f>ESTIMATIVA[[#This Row],[QT_CANA_EST]]</f>
        <v>2153.1999999999998</v>
      </c>
      <c r="AB593" s="1">
        <f>IF(ESTIMATIVA[[#This Row],[QT_CANA_REST1]]&gt;0,ESTIMATIVA[[#This Row],[QT_CANA_REST1]],
  IF(ESTIMATIVA[[#This Row],[QT_CANA_REAL]]&gt;0,ESTIMATIVA[[#This Row],[QT_CANA_REAL]],ESTIMATIVA[[#This Row],[QT_CANA_EST]]))</f>
        <v>2153.1999999999998</v>
      </c>
      <c r="AC59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1968.64</v>
      </c>
      <c r="AD593" s="1">
        <f>IF(ESTIMATIVA[[#This Row],[QT_AREA_REAL]]&gt;0,ESTIMATIVA[[#This Row],[QT_CANA_REAL]],ESTIMATIVA[[#This Row],[QT_CANA_EST]])</f>
        <v>1864.33</v>
      </c>
      <c r="AE593" s="1">
        <f>IF(ESTIMATIVA[[#This Row],[QT_AREA_REAL]]&gt;0,ESTIMATIVA[[#This Row],[QT_CANA_REAL]],ESTIMATIVA[[#This Row],[QT_CANA_REST1]])</f>
        <v>1864.33</v>
      </c>
      <c r="AF593" s="1">
        <f>IF(ESTIMATIVA[[#This Row],[QT_AREA_REAL]]&gt;0,ESTIMATIVA[[#This Row],[QT_CANA_REAL]],ESTIMATIVA[[#This Row],[QT_CANA_REST2]])</f>
        <v>1864.33</v>
      </c>
      <c r="AG593" s="1" t="str">
        <f>IF(COUNTIFS(GEADA!A:A,VALUE(ESTIMATIVA[[#This Row],[CD_UPNIVEL1]]&amp;TEXT(ESTIMATIVA[[#This Row],[CD_UPNIVEL3]],"0000")))&gt;0,"S","N")</f>
        <v>S</v>
      </c>
      <c r="AH593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593" s="55">
        <f>IF(ESTIMATIVA[[#This Row],[TP_CULTIVO]]="Irrigado",_xlfn.MAXIFS(IRRIGADO!J:J,IRRIGADO!C:C,ESTIMATIVA[[#This Row],[CD_UPNIVEL1]],IRRIGADO!E:E,ESTIMATIVA[[#This Row],[CD_UPNIVEL3]]),"")</f>
        <v>45626</v>
      </c>
      <c r="AJ593" s="1">
        <f>IF(ESTIMATIVA[[#This Row],[TP_CULTIVO]]&lt;&gt;"Irrigado",0,AVERAGEIFS(IRRIGADO!G:G,IRRIGADO!C:C,ESTIMATIVA[[#This Row],[CD_UPNIVEL1]],IRRIGADO!E:E,ESTIMATIVA[[#This Row],[CD_UPNIVEL3]])*ESTIMATIVA[[#This Row],[QT_AREA_REAL]])</f>
        <v>615.20000000000005</v>
      </c>
      <c r="AK593" s="1">
        <f>COUNTIFS(Apresentação!$E$23:$E$29,ESTIMATIVA[[#This Row],[CD_UPNIVEL1]])</f>
        <v>0</v>
      </c>
    </row>
    <row r="594" spans="1:37" x14ac:dyDescent="0.3">
      <c r="A594">
        <v>20325</v>
      </c>
      <c r="B594" t="s">
        <v>31</v>
      </c>
      <c r="C594">
        <v>3</v>
      </c>
      <c r="D594">
        <v>2</v>
      </c>
      <c r="E594" t="s">
        <v>266</v>
      </c>
      <c r="F594" s="85" t="s">
        <v>333</v>
      </c>
      <c r="G594"/>
      <c r="H594" t="s">
        <v>295</v>
      </c>
      <c r="I594" t="s">
        <v>207</v>
      </c>
      <c r="J594" t="s">
        <v>176</v>
      </c>
      <c r="K594" s="1">
        <v>23.11</v>
      </c>
      <c r="L594" s="1">
        <v>23.11</v>
      </c>
      <c r="M594" s="1">
        <v>23.11</v>
      </c>
      <c r="N594" s="1">
        <v>23.11</v>
      </c>
      <c r="O594" s="1">
        <v>1617.7</v>
      </c>
      <c r="P594" s="1">
        <v>1617.7</v>
      </c>
      <c r="Q594" s="1">
        <v>1479.04</v>
      </c>
      <c r="R594" s="1">
        <v>1400.6</v>
      </c>
      <c r="S594" t="s">
        <v>12</v>
      </c>
      <c r="T594" s="13">
        <v>45984</v>
      </c>
      <c r="U594" s="1" t="str">
        <f>IF(ESTIMATIVA[[#This Row],[QT_AREA_REAL]]&gt;0,"1- Colhido","2- à Colher")</f>
        <v>1- Colhido</v>
      </c>
      <c r="V594" s="1" t="str">
        <f>IF(ESTIMATIVA[[#This Row],[QT_AREA_REST1]]&gt;0,"Reestimativa 1",IF(ESTIMATIVA[[#This Row],[QT_AREA_REAL]]=0,"Reestimativa 1","Realizado"))</f>
        <v>Reestimativa 1</v>
      </c>
      <c r="W594" s="1" t="str">
        <f>IF(ESTIMATIVA[[#This Row],[QT_AREA_REST2]]&gt;0,"Reestimativa 2",IF(ESTIMATIVA[[#This Row],[QT_AREA_REAL]]=0,"Reestimativa 2","Realizado"))</f>
        <v>Reestimativa 2</v>
      </c>
      <c r="X594" s="1">
        <f>ESTIMATIVA[[#This Row],[QT_AREA_EST]]</f>
        <v>23.11</v>
      </c>
      <c r="Y594" s="1">
        <f>IF(ESTIMATIVA[[#This Row],[QT_AREA_REST1]]&gt;0,ESTIMATIVA[[#This Row],[QT_AREA_REST1]],
  IF(ESTIMATIVA[[#This Row],[QT_AREA_REAL]]&gt;0,ESTIMATIVA[[#This Row],[QT_AREA_REAL]],ESTIMATIVA[[#This Row],[QT_AREA_EST]]))</f>
        <v>23.11</v>
      </c>
      <c r="Z59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23.11</v>
      </c>
      <c r="AA594" s="1">
        <f>ESTIMATIVA[[#This Row],[QT_CANA_EST]]</f>
        <v>1617.7</v>
      </c>
      <c r="AB594" s="1">
        <f>IF(ESTIMATIVA[[#This Row],[QT_CANA_REST1]]&gt;0,ESTIMATIVA[[#This Row],[QT_CANA_REST1]],
  IF(ESTIMATIVA[[#This Row],[QT_CANA_REAL]]&gt;0,ESTIMATIVA[[#This Row],[QT_CANA_REAL]],ESTIMATIVA[[#This Row],[QT_CANA_EST]]))</f>
        <v>1617.7</v>
      </c>
      <c r="AC59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1479.04</v>
      </c>
      <c r="AD594" s="1">
        <f>IF(ESTIMATIVA[[#This Row],[QT_AREA_REAL]]&gt;0,ESTIMATIVA[[#This Row],[QT_CANA_REAL]],ESTIMATIVA[[#This Row],[QT_CANA_EST]])</f>
        <v>1400.6</v>
      </c>
      <c r="AE594" s="1">
        <f>IF(ESTIMATIVA[[#This Row],[QT_AREA_REAL]]&gt;0,ESTIMATIVA[[#This Row],[QT_CANA_REAL]],ESTIMATIVA[[#This Row],[QT_CANA_REST1]])</f>
        <v>1400.6</v>
      </c>
      <c r="AF594" s="1">
        <f>IF(ESTIMATIVA[[#This Row],[QT_AREA_REAL]]&gt;0,ESTIMATIVA[[#This Row],[QT_CANA_REAL]],ESTIMATIVA[[#This Row],[QT_CANA_REST2]])</f>
        <v>1400.6</v>
      </c>
      <c r="AG594" s="1" t="str">
        <f>IF(COUNTIFS(GEADA!A:A,VALUE(ESTIMATIVA[[#This Row],[CD_UPNIVEL1]]&amp;TEXT(ESTIMATIVA[[#This Row],[CD_UPNIVEL3]],"0000")))&gt;0,"S","N")</f>
        <v>N</v>
      </c>
      <c r="AH594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594" s="55">
        <f>IF(ESTIMATIVA[[#This Row],[TP_CULTIVO]]="Irrigado",_xlfn.MAXIFS(IRRIGADO!J:J,IRRIGADO!C:C,ESTIMATIVA[[#This Row],[CD_UPNIVEL1]],IRRIGADO!E:E,ESTIMATIVA[[#This Row],[CD_UPNIVEL3]]),"")</f>
        <v>45626</v>
      </c>
      <c r="AJ594" s="1">
        <f>IF(ESTIMATIVA[[#This Row],[TP_CULTIVO]]&lt;&gt;"Irrigado",0,AVERAGEIFS(IRRIGADO!G:G,IRRIGADO!C:C,ESTIMATIVA[[#This Row],[CD_UPNIVEL1]],IRRIGADO!E:E,ESTIMATIVA[[#This Row],[CD_UPNIVEL3]])*ESTIMATIVA[[#This Row],[QT_AREA_REAL]])</f>
        <v>462.2</v>
      </c>
      <c r="AK594" s="1">
        <f>COUNTIFS(Apresentação!$E$23:$E$29,ESTIMATIVA[[#This Row],[CD_UPNIVEL1]])</f>
        <v>0</v>
      </c>
    </row>
    <row r="595" spans="1:37" x14ac:dyDescent="0.3">
      <c r="A595">
        <v>20325</v>
      </c>
      <c r="B595" t="s">
        <v>31</v>
      </c>
      <c r="C595">
        <v>4</v>
      </c>
      <c r="D595">
        <v>2</v>
      </c>
      <c r="E595" t="s">
        <v>266</v>
      </c>
      <c r="F595" s="85" t="s">
        <v>333</v>
      </c>
      <c r="G595"/>
      <c r="H595" t="s">
        <v>295</v>
      </c>
      <c r="I595" t="s">
        <v>207</v>
      </c>
      <c r="J595" t="s">
        <v>176</v>
      </c>
      <c r="K595" s="1">
        <v>5.22</v>
      </c>
      <c r="L595" s="1">
        <v>5.22</v>
      </c>
      <c r="M595" s="1">
        <v>5.22</v>
      </c>
      <c r="N595" s="1">
        <v>5.22</v>
      </c>
      <c r="O595" s="1">
        <v>365.4</v>
      </c>
      <c r="P595" s="1">
        <v>365.4</v>
      </c>
      <c r="Q595" s="1">
        <v>334.08</v>
      </c>
      <c r="R595" s="1">
        <v>282.67</v>
      </c>
      <c r="S595" t="s">
        <v>12</v>
      </c>
      <c r="T595" s="13">
        <v>45935</v>
      </c>
      <c r="U595" s="1" t="str">
        <f>IF(ESTIMATIVA[[#This Row],[QT_AREA_REAL]]&gt;0,"1- Colhido","2- à Colher")</f>
        <v>1- Colhido</v>
      </c>
      <c r="V595" s="1" t="str">
        <f>IF(ESTIMATIVA[[#This Row],[QT_AREA_REST1]]&gt;0,"Reestimativa 1",IF(ESTIMATIVA[[#This Row],[QT_AREA_REAL]]=0,"Reestimativa 1","Realizado"))</f>
        <v>Reestimativa 1</v>
      </c>
      <c r="W595" s="1" t="str">
        <f>IF(ESTIMATIVA[[#This Row],[QT_AREA_REST2]]&gt;0,"Reestimativa 2",IF(ESTIMATIVA[[#This Row],[QT_AREA_REAL]]=0,"Reestimativa 2","Realizado"))</f>
        <v>Reestimativa 2</v>
      </c>
      <c r="X595" s="1">
        <f>ESTIMATIVA[[#This Row],[QT_AREA_EST]]</f>
        <v>5.22</v>
      </c>
      <c r="Y595" s="1">
        <f>IF(ESTIMATIVA[[#This Row],[QT_AREA_REST1]]&gt;0,ESTIMATIVA[[#This Row],[QT_AREA_REST1]],
  IF(ESTIMATIVA[[#This Row],[QT_AREA_REAL]]&gt;0,ESTIMATIVA[[#This Row],[QT_AREA_REAL]],ESTIMATIVA[[#This Row],[QT_AREA_EST]]))</f>
        <v>5.22</v>
      </c>
      <c r="Z59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5.22</v>
      </c>
      <c r="AA595" s="1">
        <f>ESTIMATIVA[[#This Row],[QT_CANA_EST]]</f>
        <v>365.4</v>
      </c>
      <c r="AB595" s="1">
        <f>IF(ESTIMATIVA[[#This Row],[QT_CANA_REST1]]&gt;0,ESTIMATIVA[[#This Row],[QT_CANA_REST1]],
  IF(ESTIMATIVA[[#This Row],[QT_CANA_REAL]]&gt;0,ESTIMATIVA[[#This Row],[QT_CANA_REAL]],ESTIMATIVA[[#This Row],[QT_CANA_EST]]))</f>
        <v>365.4</v>
      </c>
      <c r="AC59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334.08</v>
      </c>
      <c r="AD595" s="1">
        <f>IF(ESTIMATIVA[[#This Row],[QT_AREA_REAL]]&gt;0,ESTIMATIVA[[#This Row],[QT_CANA_REAL]],ESTIMATIVA[[#This Row],[QT_CANA_EST]])</f>
        <v>282.67</v>
      </c>
      <c r="AE595" s="1">
        <f>IF(ESTIMATIVA[[#This Row],[QT_AREA_REAL]]&gt;0,ESTIMATIVA[[#This Row],[QT_CANA_REAL]],ESTIMATIVA[[#This Row],[QT_CANA_REST1]])</f>
        <v>282.67</v>
      </c>
      <c r="AF595" s="1">
        <f>IF(ESTIMATIVA[[#This Row],[QT_AREA_REAL]]&gt;0,ESTIMATIVA[[#This Row],[QT_CANA_REAL]],ESTIMATIVA[[#This Row],[QT_CANA_REST2]])</f>
        <v>282.67</v>
      </c>
      <c r="AG595" s="1" t="str">
        <f>IF(COUNTIFS(GEADA!A:A,VALUE(ESTIMATIVA[[#This Row],[CD_UPNIVEL1]]&amp;TEXT(ESTIMATIVA[[#This Row],[CD_UPNIVEL3]],"0000")))&gt;0,"S","N")</f>
        <v>N</v>
      </c>
      <c r="AH595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595" s="55">
        <f>IF(ESTIMATIVA[[#This Row],[TP_CULTIVO]]="Irrigado",_xlfn.MAXIFS(IRRIGADO!J:J,IRRIGADO!C:C,ESTIMATIVA[[#This Row],[CD_UPNIVEL1]],IRRIGADO!E:E,ESTIMATIVA[[#This Row],[CD_UPNIVEL3]]),"")</f>
        <v>45626</v>
      </c>
      <c r="AJ595" s="1">
        <f>IF(ESTIMATIVA[[#This Row],[TP_CULTIVO]]&lt;&gt;"Irrigado",0,AVERAGEIFS(IRRIGADO!G:G,IRRIGADO!C:C,ESTIMATIVA[[#This Row],[CD_UPNIVEL1]],IRRIGADO!E:E,ESTIMATIVA[[#This Row],[CD_UPNIVEL3]])*ESTIMATIVA[[#This Row],[QT_AREA_REAL]])</f>
        <v>104.39999999999999</v>
      </c>
      <c r="AK595" s="1">
        <f>COUNTIFS(Apresentação!$E$23:$E$29,ESTIMATIVA[[#This Row],[CD_UPNIVEL1]])</f>
        <v>0</v>
      </c>
    </row>
    <row r="596" spans="1:37" x14ac:dyDescent="0.3">
      <c r="A596">
        <v>20325</v>
      </c>
      <c r="B596" t="s">
        <v>31</v>
      </c>
      <c r="C596">
        <v>5</v>
      </c>
      <c r="D596">
        <v>2</v>
      </c>
      <c r="E596" t="s">
        <v>266</v>
      </c>
      <c r="F596" s="85" t="s">
        <v>333</v>
      </c>
      <c r="G596"/>
      <c r="H596" t="s">
        <v>295</v>
      </c>
      <c r="I596" t="s">
        <v>207</v>
      </c>
      <c r="J596" t="s">
        <v>176</v>
      </c>
      <c r="K596" s="1">
        <v>49.47</v>
      </c>
      <c r="L596" s="1">
        <v>49.47</v>
      </c>
      <c r="M596" s="1">
        <v>49.47</v>
      </c>
      <c r="N596" s="1">
        <v>49.47</v>
      </c>
      <c r="O596" s="1">
        <v>3462.9</v>
      </c>
      <c r="P596" s="1">
        <v>3462.9</v>
      </c>
      <c r="Q596" s="1">
        <v>3166.08</v>
      </c>
      <c r="R596" s="1">
        <v>3320.36</v>
      </c>
      <c r="S596" t="s">
        <v>12</v>
      </c>
      <c r="T596" s="13">
        <v>45984</v>
      </c>
      <c r="U596" s="1" t="str">
        <f>IF(ESTIMATIVA[[#This Row],[QT_AREA_REAL]]&gt;0,"1- Colhido","2- à Colher")</f>
        <v>1- Colhido</v>
      </c>
      <c r="V596" s="1" t="str">
        <f>IF(ESTIMATIVA[[#This Row],[QT_AREA_REST1]]&gt;0,"Reestimativa 1",IF(ESTIMATIVA[[#This Row],[QT_AREA_REAL]]=0,"Reestimativa 1","Realizado"))</f>
        <v>Reestimativa 1</v>
      </c>
      <c r="W596" s="1" t="str">
        <f>IF(ESTIMATIVA[[#This Row],[QT_AREA_REST2]]&gt;0,"Reestimativa 2",IF(ESTIMATIVA[[#This Row],[QT_AREA_REAL]]=0,"Reestimativa 2","Realizado"))</f>
        <v>Reestimativa 2</v>
      </c>
      <c r="X596" s="1">
        <f>ESTIMATIVA[[#This Row],[QT_AREA_EST]]</f>
        <v>49.47</v>
      </c>
      <c r="Y596" s="1">
        <f>IF(ESTIMATIVA[[#This Row],[QT_AREA_REST1]]&gt;0,ESTIMATIVA[[#This Row],[QT_AREA_REST1]],
  IF(ESTIMATIVA[[#This Row],[QT_AREA_REAL]]&gt;0,ESTIMATIVA[[#This Row],[QT_AREA_REAL]],ESTIMATIVA[[#This Row],[QT_AREA_EST]]))</f>
        <v>49.47</v>
      </c>
      <c r="Z59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49.47</v>
      </c>
      <c r="AA596" s="1">
        <f>ESTIMATIVA[[#This Row],[QT_CANA_EST]]</f>
        <v>3462.9</v>
      </c>
      <c r="AB596" s="1">
        <f>IF(ESTIMATIVA[[#This Row],[QT_CANA_REST1]]&gt;0,ESTIMATIVA[[#This Row],[QT_CANA_REST1]],
  IF(ESTIMATIVA[[#This Row],[QT_CANA_REAL]]&gt;0,ESTIMATIVA[[#This Row],[QT_CANA_REAL]],ESTIMATIVA[[#This Row],[QT_CANA_EST]]))</f>
        <v>3462.9</v>
      </c>
      <c r="AC59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3166.08</v>
      </c>
      <c r="AD596" s="1">
        <f>IF(ESTIMATIVA[[#This Row],[QT_AREA_REAL]]&gt;0,ESTIMATIVA[[#This Row],[QT_CANA_REAL]],ESTIMATIVA[[#This Row],[QT_CANA_EST]])</f>
        <v>3320.36</v>
      </c>
      <c r="AE596" s="1">
        <f>IF(ESTIMATIVA[[#This Row],[QT_AREA_REAL]]&gt;0,ESTIMATIVA[[#This Row],[QT_CANA_REAL]],ESTIMATIVA[[#This Row],[QT_CANA_REST1]])</f>
        <v>3320.36</v>
      </c>
      <c r="AF596" s="1">
        <f>IF(ESTIMATIVA[[#This Row],[QT_AREA_REAL]]&gt;0,ESTIMATIVA[[#This Row],[QT_CANA_REAL]],ESTIMATIVA[[#This Row],[QT_CANA_REST2]])</f>
        <v>3320.36</v>
      </c>
      <c r="AG596" s="1" t="str">
        <f>IF(COUNTIFS(GEADA!A:A,VALUE(ESTIMATIVA[[#This Row],[CD_UPNIVEL1]]&amp;TEXT(ESTIMATIVA[[#This Row],[CD_UPNIVEL3]],"0000")))&gt;0,"S","N")</f>
        <v>S</v>
      </c>
      <c r="AH596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596" s="55">
        <f>IF(ESTIMATIVA[[#This Row],[TP_CULTIVO]]="Irrigado",_xlfn.MAXIFS(IRRIGADO!J:J,IRRIGADO!C:C,ESTIMATIVA[[#This Row],[CD_UPNIVEL1]],IRRIGADO!E:E,ESTIMATIVA[[#This Row],[CD_UPNIVEL3]]),"")</f>
        <v>45626</v>
      </c>
      <c r="AJ596" s="1">
        <f>IF(ESTIMATIVA[[#This Row],[TP_CULTIVO]]&lt;&gt;"Irrigado",0,AVERAGEIFS(IRRIGADO!G:G,IRRIGADO!C:C,ESTIMATIVA[[#This Row],[CD_UPNIVEL1]],IRRIGADO!E:E,ESTIMATIVA[[#This Row],[CD_UPNIVEL3]])*ESTIMATIVA[[#This Row],[QT_AREA_REAL]])</f>
        <v>989.4</v>
      </c>
      <c r="AK596" s="1">
        <f>COUNTIFS(Apresentação!$E$23:$E$29,ESTIMATIVA[[#This Row],[CD_UPNIVEL1]])</f>
        <v>0</v>
      </c>
    </row>
    <row r="597" spans="1:37" x14ac:dyDescent="0.3">
      <c r="A597">
        <v>20325</v>
      </c>
      <c r="B597" t="s">
        <v>31</v>
      </c>
      <c r="C597">
        <v>6</v>
      </c>
      <c r="D597">
        <v>1</v>
      </c>
      <c r="E597" t="s">
        <v>267</v>
      </c>
      <c r="F597" s="85" t="s">
        <v>333</v>
      </c>
      <c r="G597"/>
      <c r="H597" t="s">
        <v>295</v>
      </c>
      <c r="I597" t="s">
        <v>207</v>
      </c>
      <c r="J597" t="s">
        <v>176</v>
      </c>
      <c r="K597" s="1">
        <v>2.48</v>
      </c>
      <c r="L597" s="1">
        <v>2.48</v>
      </c>
      <c r="M597" s="1">
        <v>0</v>
      </c>
      <c r="N597" s="1">
        <v>2.48</v>
      </c>
      <c r="O597" s="1">
        <v>233.12</v>
      </c>
      <c r="P597" s="1">
        <v>233.12</v>
      </c>
      <c r="Q597" s="1">
        <v>0</v>
      </c>
      <c r="R597" s="1">
        <v>205.22</v>
      </c>
      <c r="S597" t="s">
        <v>12</v>
      </c>
      <c r="T597" s="13">
        <v>45886</v>
      </c>
      <c r="U597" s="1" t="str">
        <f>IF(ESTIMATIVA[[#This Row],[QT_AREA_REAL]]&gt;0,"1- Colhido","2- à Colher")</f>
        <v>1- Colhido</v>
      </c>
      <c r="V597" s="1" t="str">
        <f>IF(ESTIMATIVA[[#This Row],[QT_AREA_REST1]]&gt;0,"Reestimativa 1",IF(ESTIMATIVA[[#This Row],[QT_AREA_REAL]]=0,"Reestimativa 1","Realizado"))</f>
        <v>Reestimativa 1</v>
      </c>
      <c r="W597" s="1" t="str">
        <f>IF(ESTIMATIVA[[#This Row],[QT_AREA_REST2]]&gt;0,"Reestimativa 2",IF(ESTIMATIVA[[#This Row],[QT_AREA_REAL]]=0,"Reestimativa 2","Realizado"))</f>
        <v>Realizado</v>
      </c>
      <c r="X597" s="1">
        <f>ESTIMATIVA[[#This Row],[QT_AREA_EST]]</f>
        <v>2.48</v>
      </c>
      <c r="Y597" s="1">
        <f>IF(ESTIMATIVA[[#This Row],[QT_AREA_REST1]]&gt;0,ESTIMATIVA[[#This Row],[QT_AREA_REST1]],
  IF(ESTIMATIVA[[#This Row],[QT_AREA_REAL]]&gt;0,ESTIMATIVA[[#This Row],[QT_AREA_REAL]],ESTIMATIVA[[#This Row],[QT_AREA_EST]]))</f>
        <v>2.48</v>
      </c>
      <c r="Z59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2.48</v>
      </c>
      <c r="AA597" s="1">
        <f>ESTIMATIVA[[#This Row],[QT_CANA_EST]]</f>
        <v>233.12</v>
      </c>
      <c r="AB597" s="1">
        <f>IF(ESTIMATIVA[[#This Row],[QT_CANA_REST1]]&gt;0,ESTIMATIVA[[#This Row],[QT_CANA_REST1]],
  IF(ESTIMATIVA[[#This Row],[QT_CANA_REAL]]&gt;0,ESTIMATIVA[[#This Row],[QT_CANA_REAL]],ESTIMATIVA[[#This Row],[QT_CANA_EST]]))</f>
        <v>233.12</v>
      </c>
      <c r="AC59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205.22</v>
      </c>
      <c r="AD597" s="1">
        <f>IF(ESTIMATIVA[[#This Row],[QT_AREA_REAL]]&gt;0,ESTIMATIVA[[#This Row],[QT_CANA_REAL]],ESTIMATIVA[[#This Row],[QT_CANA_EST]])</f>
        <v>205.22</v>
      </c>
      <c r="AE597" s="1">
        <f>IF(ESTIMATIVA[[#This Row],[QT_AREA_REAL]]&gt;0,ESTIMATIVA[[#This Row],[QT_CANA_REAL]],ESTIMATIVA[[#This Row],[QT_CANA_REST1]])</f>
        <v>205.22</v>
      </c>
      <c r="AF597" s="1">
        <f>IF(ESTIMATIVA[[#This Row],[QT_AREA_REAL]]&gt;0,ESTIMATIVA[[#This Row],[QT_CANA_REAL]],ESTIMATIVA[[#This Row],[QT_CANA_REST2]])</f>
        <v>205.22</v>
      </c>
      <c r="AG597" s="1" t="str">
        <f>IF(COUNTIFS(GEADA!A:A,VALUE(ESTIMATIVA[[#This Row],[CD_UPNIVEL1]]&amp;TEXT(ESTIMATIVA[[#This Row],[CD_UPNIVEL3]],"0000")))&gt;0,"S","N")</f>
        <v>N</v>
      </c>
      <c r="AH59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97" s="55" t="str">
        <f>IF(ESTIMATIVA[[#This Row],[TP_CULTIVO]]="Irrigado",_xlfn.MAXIFS(IRRIGADO!J:J,IRRIGADO!C:C,ESTIMATIVA[[#This Row],[CD_UPNIVEL1]],IRRIGADO!E:E,ESTIMATIVA[[#This Row],[CD_UPNIVEL3]]),"")</f>
        <v/>
      </c>
      <c r="AJ59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97" s="1">
        <f>COUNTIFS(Apresentação!$E$23:$E$29,ESTIMATIVA[[#This Row],[CD_UPNIVEL1]])</f>
        <v>0</v>
      </c>
    </row>
    <row r="598" spans="1:37" x14ac:dyDescent="0.3">
      <c r="A598">
        <v>20325</v>
      </c>
      <c r="B598" t="s">
        <v>31</v>
      </c>
      <c r="C598">
        <v>7</v>
      </c>
      <c r="D598">
        <v>1</v>
      </c>
      <c r="E598" t="s">
        <v>267</v>
      </c>
      <c r="F598" s="85" t="s">
        <v>333</v>
      </c>
      <c r="G598"/>
      <c r="H598" t="s">
        <v>295</v>
      </c>
      <c r="I598" t="s">
        <v>207</v>
      </c>
      <c r="J598" t="s">
        <v>176</v>
      </c>
      <c r="K598" s="1">
        <v>13.79</v>
      </c>
      <c r="L598" s="1">
        <v>13.79</v>
      </c>
      <c r="M598" s="1">
        <v>0</v>
      </c>
      <c r="N598" s="1">
        <v>13.79</v>
      </c>
      <c r="O598" s="1">
        <v>1296.26</v>
      </c>
      <c r="P598" s="1">
        <v>1296.26</v>
      </c>
      <c r="Q598" s="1">
        <v>0</v>
      </c>
      <c r="R598" s="1">
        <v>1141.5899999999999</v>
      </c>
      <c r="S598" t="s">
        <v>12</v>
      </c>
      <c r="T598" s="13">
        <v>45886</v>
      </c>
      <c r="U598" s="1" t="str">
        <f>IF(ESTIMATIVA[[#This Row],[QT_AREA_REAL]]&gt;0,"1- Colhido","2- à Colher")</f>
        <v>1- Colhido</v>
      </c>
      <c r="V598" s="1" t="str">
        <f>IF(ESTIMATIVA[[#This Row],[QT_AREA_REST1]]&gt;0,"Reestimativa 1",IF(ESTIMATIVA[[#This Row],[QT_AREA_REAL]]=0,"Reestimativa 1","Realizado"))</f>
        <v>Reestimativa 1</v>
      </c>
      <c r="W598" s="1" t="str">
        <f>IF(ESTIMATIVA[[#This Row],[QT_AREA_REST2]]&gt;0,"Reestimativa 2",IF(ESTIMATIVA[[#This Row],[QT_AREA_REAL]]=0,"Reestimativa 2","Realizado"))</f>
        <v>Realizado</v>
      </c>
      <c r="X598" s="1">
        <f>ESTIMATIVA[[#This Row],[QT_AREA_EST]]</f>
        <v>13.79</v>
      </c>
      <c r="Y598" s="1">
        <f>IF(ESTIMATIVA[[#This Row],[QT_AREA_REST1]]&gt;0,ESTIMATIVA[[#This Row],[QT_AREA_REST1]],
  IF(ESTIMATIVA[[#This Row],[QT_AREA_REAL]]&gt;0,ESTIMATIVA[[#This Row],[QT_AREA_REAL]],ESTIMATIVA[[#This Row],[QT_AREA_EST]]))</f>
        <v>13.79</v>
      </c>
      <c r="Z59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13.79</v>
      </c>
      <c r="AA598" s="1">
        <f>ESTIMATIVA[[#This Row],[QT_CANA_EST]]</f>
        <v>1296.26</v>
      </c>
      <c r="AB598" s="1">
        <f>IF(ESTIMATIVA[[#This Row],[QT_CANA_REST1]]&gt;0,ESTIMATIVA[[#This Row],[QT_CANA_REST1]],
  IF(ESTIMATIVA[[#This Row],[QT_CANA_REAL]]&gt;0,ESTIMATIVA[[#This Row],[QT_CANA_REAL]],ESTIMATIVA[[#This Row],[QT_CANA_EST]]))</f>
        <v>1296.26</v>
      </c>
      <c r="AC59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1141.5899999999999</v>
      </c>
      <c r="AD598" s="1">
        <f>IF(ESTIMATIVA[[#This Row],[QT_AREA_REAL]]&gt;0,ESTIMATIVA[[#This Row],[QT_CANA_REAL]],ESTIMATIVA[[#This Row],[QT_CANA_EST]])</f>
        <v>1141.5899999999999</v>
      </c>
      <c r="AE598" s="1">
        <f>IF(ESTIMATIVA[[#This Row],[QT_AREA_REAL]]&gt;0,ESTIMATIVA[[#This Row],[QT_CANA_REAL]],ESTIMATIVA[[#This Row],[QT_CANA_REST1]])</f>
        <v>1141.5899999999999</v>
      </c>
      <c r="AF598" s="1">
        <f>IF(ESTIMATIVA[[#This Row],[QT_AREA_REAL]]&gt;0,ESTIMATIVA[[#This Row],[QT_CANA_REAL]],ESTIMATIVA[[#This Row],[QT_CANA_REST2]])</f>
        <v>1141.5899999999999</v>
      </c>
      <c r="AG598" s="1" t="str">
        <f>IF(COUNTIFS(GEADA!A:A,VALUE(ESTIMATIVA[[#This Row],[CD_UPNIVEL1]]&amp;TEXT(ESTIMATIVA[[#This Row],[CD_UPNIVEL3]],"0000")))&gt;0,"S","N")</f>
        <v>N</v>
      </c>
      <c r="AH59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98" s="55" t="str">
        <f>IF(ESTIMATIVA[[#This Row],[TP_CULTIVO]]="Irrigado",_xlfn.MAXIFS(IRRIGADO!J:J,IRRIGADO!C:C,ESTIMATIVA[[#This Row],[CD_UPNIVEL1]],IRRIGADO!E:E,ESTIMATIVA[[#This Row],[CD_UPNIVEL3]]),"")</f>
        <v/>
      </c>
      <c r="AJ59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98" s="1">
        <f>COUNTIFS(Apresentação!$E$23:$E$29,ESTIMATIVA[[#This Row],[CD_UPNIVEL1]])</f>
        <v>0</v>
      </c>
    </row>
    <row r="599" spans="1:37" x14ac:dyDescent="0.3">
      <c r="A599">
        <v>20325</v>
      </c>
      <c r="B599" t="s">
        <v>31</v>
      </c>
      <c r="C599">
        <v>8</v>
      </c>
      <c r="D599">
        <v>2</v>
      </c>
      <c r="E599" t="s">
        <v>266</v>
      </c>
      <c r="F599" s="85" t="s">
        <v>331</v>
      </c>
      <c r="G599"/>
      <c r="H599" t="s">
        <v>295</v>
      </c>
      <c r="I599" t="s">
        <v>202</v>
      </c>
      <c r="J599" t="s">
        <v>176</v>
      </c>
      <c r="K599" s="1">
        <v>10.18</v>
      </c>
      <c r="L599" s="1">
        <v>10.18</v>
      </c>
      <c r="M599" s="1">
        <v>10.18</v>
      </c>
      <c r="N599" s="1">
        <v>10.18</v>
      </c>
      <c r="O599" s="1">
        <v>834.76</v>
      </c>
      <c r="P599" s="1">
        <v>834.76</v>
      </c>
      <c r="Q599" s="1">
        <v>753.32</v>
      </c>
      <c r="R599" s="1">
        <v>935.59</v>
      </c>
      <c r="S599" t="s">
        <v>12</v>
      </c>
      <c r="T599" s="13">
        <v>45991</v>
      </c>
      <c r="U599" s="1" t="str">
        <f>IF(ESTIMATIVA[[#This Row],[QT_AREA_REAL]]&gt;0,"1- Colhido","2- à Colher")</f>
        <v>1- Colhido</v>
      </c>
      <c r="V599" s="1" t="str">
        <f>IF(ESTIMATIVA[[#This Row],[QT_AREA_REST1]]&gt;0,"Reestimativa 1",IF(ESTIMATIVA[[#This Row],[QT_AREA_REAL]]=0,"Reestimativa 1","Realizado"))</f>
        <v>Reestimativa 1</v>
      </c>
      <c r="W599" s="1" t="str">
        <f>IF(ESTIMATIVA[[#This Row],[QT_AREA_REST2]]&gt;0,"Reestimativa 2",IF(ESTIMATIVA[[#This Row],[QT_AREA_REAL]]=0,"Reestimativa 2","Realizado"))</f>
        <v>Reestimativa 2</v>
      </c>
      <c r="X599" s="1">
        <f>ESTIMATIVA[[#This Row],[QT_AREA_EST]]</f>
        <v>10.18</v>
      </c>
      <c r="Y599" s="1">
        <f>IF(ESTIMATIVA[[#This Row],[QT_AREA_REST1]]&gt;0,ESTIMATIVA[[#This Row],[QT_AREA_REST1]],
  IF(ESTIMATIVA[[#This Row],[QT_AREA_REAL]]&gt;0,ESTIMATIVA[[#This Row],[QT_AREA_REAL]],ESTIMATIVA[[#This Row],[QT_AREA_EST]]))</f>
        <v>10.18</v>
      </c>
      <c r="Z59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10.18</v>
      </c>
      <c r="AA599" s="1">
        <f>ESTIMATIVA[[#This Row],[QT_CANA_EST]]</f>
        <v>834.76</v>
      </c>
      <c r="AB599" s="1">
        <f>IF(ESTIMATIVA[[#This Row],[QT_CANA_REST1]]&gt;0,ESTIMATIVA[[#This Row],[QT_CANA_REST1]],
  IF(ESTIMATIVA[[#This Row],[QT_CANA_REAL]]&gt;0,ESTIMATIVA[[#This Row],[QT_CANA_REAL]],ESTIMATIVA[[#This Row],[QT_CANA_EST]]))</f>
        <v>834.76</v>
      </c>
      <c r="AC59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753.32</v>
      </c>
      <c r="AD599" s="1">
        <f>IF(ESTIMATIVA[[#This Row],[QT_AREA_REAL]]&gt;0,ESTIMATIVA[[#This Row],[QT_CANA_REAL]],ESTIMATIVA[[#This Row],[QT_CANA_EST]])</f>
        <v>935.59</v>
      </c>
      <c r="AE599" s="1">
        <f>IF(ESTIMATIVA[[#This Row],[QT_AREA_REAL]]&gt;0,ESTIMATIVA[[#This Row],[QT_CANA_REAL]],ESTIMATIVA[[#This Row],[QT_CANA_REST1]])</f>
        <v>935.59</v>
      </c>
      <c r="AF599" s="1">
        <f>IF(ESTIMATIVA[[#This Row],[QT_AREA_REAL]]&gt;0,ESTIMATIVA[[#This Row],[QT_CANA_REAL]],ESTIMATIVA[[#This Row],[QT_CANA_REST2]])</f>
        <v>935.59</v>
      </c>
      <c r="AG599" s="1" t="str">
        <f>IF(COUNTIFS(GEADA!A:A,VALUE(ESTIMATIVA[[#This Row],[CD_UPNIVEL1]]&amp;TEXT(ESTIMATIVA[[#This Row],[CD_UPNIVEL3]],"0000")))&gt;0,"S","N")</f>
        <v>N</v>
      </c>
      <c r="AH59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599" s="55" t="str">
        <f>IF(ESTIMATIVA[[#This Row],[TP_CULTIVO]]="Irrigado",_xlfn.MAXIFS(IRRIGADO!J:J,IRRIGADO!C:C,ESTIMATIVA[[#This Row],[CD_UPNIVEL1]],IRRIGADO!E:E,ESTIMATIVA[[#This Row],[CD_UPNIVEL3]]),"")</f>
        <v/>
      </c>
      <c r="AJ59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599" s="1">
        <f>COUNTIFS(Apresentação!$E$23:$E$29,ESTIMATIVA[[#This Row],[CD_UPNIVEL1]])</f>
        <v>0</v>
      </c>
    </row>
    <row r="600" spans="1:37" x14ac:dyDescent="0.3">
      <c r="A600">
        <v>20327</v>
      </c>
      <c r="B600" t="s">
        <v>127</v>
      </c>
      <c r="C600">
        <v>5</v>
      </c>
      <c r="D600">
        <v>2</v>
      </c>
      <c r="E600" t="s">
        <v>266</v>
      </c>
      <c r="F600" s="85" t="s">
        <v>331</v>
      </c>
      <c r="G600"/>
      <c r="H600" t="s">
        <v>294</v>
      </c>
      <c r="I600" t="s">
        <v>200</v>
      </c>
      <c r="J600" t="s">
        <v>176</v>
      </c>
      <c r="K600" s="1">
        <v>21.93</v>
      </c>
      <c r="L600" s="1">
        <v>21.93</v>
      </c>
      <c r="M600" s="1">
        <v>21.93</v>
      </c>
      <c r="N600" s="1">
        <v>21.93</v>
      </c>
      <c r="O600" s="1">
        <v>2149.14</v>
      </c>
      <c r="P600" s="1">
        <v>2149.14</v>
      </c>
      <c r="Q600" s="1">
        <v>1973.7</v>
      </c>
      <c r="R600" s="1">
        <v>1637.64</v>
      </c>
      <c r="S600" t="s">
        <v>12</v>
      </c>
      <c r="T600" s="13">
        <v>45935</v>
      </c>
      <c r="U600" s="1" t="str">
        <f>IF(ESTIMATIVA[[#This Row],[QT_AREA_REAL]]&gt;0,"1- Colhido","2- à Colher")</f>
        <v>1- Colhido</v>
      </c>
      <c r="V600" s="1" t="str">
        <f>IF(ESTIMATIVA[[#This Row],[QT_AREA_REST1]]&gt;0,"Reestimativa 1",IF(ESTIMATIVA[[#This Row],[QT_AREA_REAL]]=0,"Reestimativa 1","Realizado"))</f>
        <v>Reestimativa 1</v>
      </c>
      <c r="W600" s="1" t="str">
        <f>IF(ESTIMATIVA[[#This Row],[QT_AREA_REST2]]&gt;0,"Reestimativa 2",IF(ESTIMATIVA[[#This Row],[QT_AREA_REAL]]=0,"Reestimativa 2","Realizado"))</f>
        <v>Reestimativa 2</v>
      </c>
      <c r="X600" s="1">
        <f>ESTIMATIVA[[#This Row],[QT_AREA_EST]]</f>
        <v>21.93</v>
      </c>
      <c r="Y600" s="1">
        <f>IF(ESTIMATIVA[[#This Row],[QT_AREA_REST1]]&gt;0,ESTIMATIVA[[#This Row],[QT_AREA_REST1]],
  IF(ESTIMATIVA[[#This Row],[QT_AREA_REAL]]&gt;0,ESTIMATIVA[[#This Row],[QT_AREA_REAL]],ESTIMATIVA[[#This Row],[QT_AREA_EST]]))</f>
        <v>21.93</v>
      </c>
      <c r="Z60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21.93</v>
      </c>
      <c r="AA600" s="1">
        <f>ESTIMATIVA[[#This Row],[QT_CANA_EST]]</f>
        <v>2149.14</v>
      </c>
      <c r="AB600" s="1">
        <f>IF(ESTIMATIVA[[#This Row],[QT_CANA_REST1]]&gt;0,ESTIMATIVA[[#This Row],[QT_CANA_REST1]],
  IF(ESTIMATIVA[[#This Row],[QT_CANA_REAL]]&gt;0,ESTIMATIVA[[#This Row],[QT_CANA_REAL]],ESTIMATIVA[[#This Row],[QT_CANA_EST]]))</f>
        <v>2149.14</v>
      </c>
      <c r="AC60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1973.7</v>
      </c>
      <c r="AD600" s="1">
        <f>IF(ESTIMATIVA[[#This Row],[QT_AREA_REAL]]&gt;0,ESTIMATIVA[[#This Row],[QT_CANA_REAL]],ESTIMATIVA[[#This Row],[QT_CANA_EST]])</f>
        <v>1637.64</v>
      </c>
      <c r="AE600" s="1">
        <f>IF(ESTIMATIVA[[#This Row],[QT_AREA_REAL]]&gt;0,ESTIMATIVA[[#This Row],[QT_CANA_REAL]],ESTIMATIVA[[#This Row],[QT_CANA_REST1]])</f>
        <v>1637.64</v>
      </c>
      <c r="AF600" s="1">
        <f>IF(ESTIMATIVA[[#This Row],[QT_AREA_REAL]]&gt;0,ESTIMATIVA[[#This Row],[QT_CANA_REAL]],ESTIMATIVA[[#This Row],[QT_CANA_REST2]])</f>
        <v>1637.64</v>
      </c>
      <c r="AG600" s="1" t="str">
        <f>IF(COUNTIFS(GEADA!A:A,VALUE(ESTIMATIVA[[#This Row],[CD_UPNIVEL1]]&amp;TEXT(ESTIMATIVA[[#This Row],[CD_UPNIVEL3]],"0000")))&gt;0,"S","N")</f>
        <v>N</v>
      </c>
      <c r="AH60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00" s="55" t="str">
        <f>IF(ESTIMATIVA[[#This Row],[TP_CULTIVO]]="Irrigado",_xlfn.MAXIFS(IRRIGADO!J:J,IRRIGADO!C:C,ESTIMATIVA[[#This Row],[CD_UPNIVEL1]],IRRIGADO!E:E,ESTIMATIVA[[#This Row],[CD_UPNIVEL3]]),"")</f>
        <v/>
      </c>
      <c r="AJ60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00" s="1">
        <f>COUNTIFS(Apresentação!$E$23:$E$29,ESTIMATIVA[[#This Row],[CD_UPNIVEL1]])</f>
        <v>0</v>
      </c>
    </row>
    <row r="601" spans="1:37" x14ac:dyDescent="0.3">
      <c r="A601">
        <v>20327</v>
      </c>
      <c r="B601" t="s">
        <v>127</v>
      </c>
      <c r="C601">
        <v>6</v>
      </c>
      <c r="D601">
        <v>2</v>
      </c>
      <c r="E601" t="s">
        <v>266</v>
      </c>
      <c r="F601" s="85" t="s">
        <v>332</v>
      </c>
      <c r="G601"/>
      <c r="H601" t="s">
        <v>294</v>
      </c>
      <c r="I601" t="s">
        <v>200</v>
      </c>
      <c r="J601" t="s">
        <v>176</v>
      </c>
      <c r="K601" s="1">
        <v>44.82</v>
      </c>
      <c r="L601" s="1">
        <v>44.82</v>
      </c>
      <c r="M601" s="1">
        <v>44.82</v>
      </c>
      <c r="N601" s="1">
        <v>44.82</v>
      </c>
      <c r="O601" s="1">
        <v>4392.3599999999997</v>
      </c>
      <c r="P601" s="1">
        <v>4392.3599999999997</v>
      </c>
      <c r="Q601" s="1">
        <v>4033.8</v>
      </c>
      <c r="R601" s="1">
        <v>3346.79</v>
      </c>
      <c r="S601" t="s">
        <v>12</v>
      </c>
      <c r="T601" s="13">
        <v>45935</v>
      </c>
      <c r="U601" s="1" t="str">
        <f>IF(ESTIMATIVA[[#This Row],[QT_AREA_REAL]]&gt;0,"1- Colhido","2- à Colher")</f>
        <v>1- Colhido</v>
      </c>
      <c r="V601" s="1" t="str">
        <f>IF(ESTIMATIVA[[#This Row],[QT_AREA_REST1]]&gt;0,"Reestimativa 1",IF(ESTIMATIVA[[#This Row],[QT_AREA_REAL]]=0,"Reestimativa 1","Realizado"))</f>
        <v>Reestimativa 1</v>
      </c>
      <c r="W601" s="1" t="str">
        <f>IF(ESTIMATIVA[[#This Row],[QT_AREA_REST2]]&gt;0,"Reestimativa 2",IF(ESTIMATIVA[[#This Row],[QT_AREA_REAL]]=0,"Reestimativa 2","Realizado"))</f>
        <v>Reestimativa 2</v>
      </c>
      <c r="X601" s="1">
        <f>ESTIMATIVA[[#This Row],[QT_AREA_EST]]</f>
        <v>44.82</v>
      </c>
      <c r="Y601" s="1">
        <f>IF(ESTIMATIVA[[#This Row],[QT_AREA_REST1]]&gt;0,ESTIMATIVA[[#This Row],[QT_AREA_REST1]],
  IF(ESTIMATIVA[[#This Row],[QT_AREA_REAL]]&gt;0,ESTIMATIVA[[#This Row],[QT_AREA_REAL]],ESTIMATIVA[[#This Row],[QT_AREA_EST]]))</f>
        <v>44.82</v>
      </c>
      <c r="Z60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44.82</v>
      </c>
      <c r="AA601" s="1">
        <f>ESTIMATIVA[[#This Row],[QT_CANA_EST]]</f>
        <v>4392.3599999999997</v>
      </c>
      <c r="AB601" s="1">
        <f>IF(ESTIMATIVA[[#This Row],[QT_CANA_REST1]]&gt;0,ESTIMATIVA[[#This Row],[QT_CANA_REST1]],
  IF(ESTIMATIVA[[#This Row],[QT_CANA_REAL]]&gt;0,ESTIMATIVA[[#This Row],[QT_CANA_REAL]],ESTIMATIVA[[#This Row],[QT_CANA_EST]]))</f>
        <v>4392.3599999999997</v>
      </c>
      <c r="AC60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4033.8</v>
      </c>
      <c r="AD601" s="1">
        <f>IF(ESTIMATIVA[[#This Row],[QT_AREA_REAL]]&gt;0,ESTIMATIVA[[#This Row],[QT_CANA_REAL]],ESTIMATIVA[[#This Row],[QT_CANA_EST]])</f>
        <v>3346.79</v>
      </c>
      <c r="AE601" s="1">
        <f>IF(ESTIMATIVA[[#This Row],[QT_AREA_REAL]]&gt;0,ESTIMATIVA[[#This Row],[QT_CANA_REAL]],ESTIMATIVA[[#This Row],[QT_CANA_REST1]])</f>
        <v>3346.79</v>
      </c>
      <c r="AF601" s="1">
        <f>IF(ESTIMATIVA[[#This Row],[QT_AREA_REAL]]&gt;0,ESTIMATIVA[[#This Row],[QT_CANA_REAL]],ESTIMATIVA[[#This Row],[QT_CANA_REST2]])</f>
        <v>3346.79</v>
      </c>
      <c r="AG601" s="1" t="str">
        <f>IF(COUNTIFS(GEADA!A:A,VALUE(ESTIMATIVA[[#This Row],[CD_UPNIVEL1]]&amp;TEXT(ESTIMATIVA[[#This Row],[CD_UPNIVEL3]],"0000")))&gt;0,"S","N")</f>
        <v>N</v>
      </c>
      <c r="AH60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01" s="55" t="str">
        <f>IF(ESTIMATIVA[[#This Row],[TP_CULTIVO]]="Irrigado",_xlfn.MAXIFS(IRRIGADO!J:J,IRRIGADO!C:C,ESTIMATIVA[[#This Row],[CD_UPNIVEL1]],IRRIGADO!E:E,ESTIMATIVA[[#This Row],[CD_UPNIVEL3]]),"")</f>
        <v/>
      </c>
      <c r="AJ60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01" s="1">
        <f>COUNTIFS(Apresentação!$E$23:$E$29,ESTIMATIVA[[#This Row],[CD_UPNIVEL1]])</f>
        <v>0</v>
      </c>
    </row>
    <row r="602" spans="1:37" x14ac:dyDescent="0.3">
      <c r="A602">
        <v>20327</v>
      </c>
      <c r="B602" t="s">
        <v>127</v>
      </c>
      <c r="C602">
        <v>7</v>
      </c>
      <c r="D602">
        <v>2</v>
      </c>
      <c r="E602" t="s">
        <v>266</v>
      </c>
      <c r="F602" s="85" t="s">
        <v>331</v>
      </c>
      <c r="G602"/>
      <c r="H602" t="s">
        <v>294</v>
      </c>
      <c r="I602" t="s">
        <v>200</v>
      </c>
      <c r="J602" t="s">
        <v>176</v>
      </c>
      <c r="K602" s="1">
        <v>37.65</v>
      </c>
      <c r="L602" s="1">
        <v>37.65</v>
      </c>
      <c r="M602" s="1">
        <v>37.65</v>
      </c>
      <c r="N602" s="1">
        <v>37.65</v>
      </c>
      <c r="O602" s="1">
        <v>3689.7</v>
      </c>
      <c r="P602" s="1">
        <v>3689.7</v>
      </c>
      <c r="Q602" s="1">
        <v>3388.5</v>
      </c>
      <c r="R602" s="1">
        <v>2811.64</v>
      </c>
      <c r="S602" t="s">
        <v>12</v>
      </c>
      <c r="T602" s="13">
        <v>45935</v>
      </c>
      <c r="U602" s="1" t="str">
        <f>IF(ESTIMATIVA[[#This Row],[QT_AREA_REAL]]&gt;0,"1- Colhido","2- à Colher")</f>
        <v>1- Colhido</v>
      </c>
      <c r="V602" s="1" t="str">
        <f>IF(ESTIMATIVA[[#This Row],[QT_AREA_REST1]]&gt;0,"Reestimativa 1",IF(ESTIMATIVA[[#This Row],[QT_AREA_REAL]]=0,"Reestimativa 1","Realizado"))</f>
        <v>Reestimativa 1</v>
      </c>
      <c r="W602" s="1" t="str">
        <f>IF(ESTIMATIVA[[#This Row],[QT_AREA_REST2]]&gt;0,"Reestimativa 2",IF(ESTIMATIVA[[#This Row],[QT_AREA_REAL]]=0,"Reestimativa 2","Realizado"))</f>
        <v>Reestimativa 2</v>
      </c>
      <c r="X602" s="1">
        <f>ESTIMATIVA[[#This Row],[QT_AREA_EST]]</f>
        <v>37.65</v>
      </c>
      <c r="Y602" s="1">
        <f>IF(ESTIMATIVA[[#This Row],[QT_AREA_REST1]]&gt;0,ESTIMATIVA[[#This Row],[QT_AREA_REST1]],
  IF(ESTIMATIVA[[#This Row],[QT_AREA_REAL]]&gt;0,ESTIMATIVA[[#This Row],[QT_AREA_REAL]],ESTIMATIVA[[#This Row],[QT_AREA_EST]]))</f>
        <v>37.65</v>
      </c>
      <c r="Z60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37.65</v>
      </c>
      <c r="AA602" s="1">
        <f>ESTIMATIVA[[#This Row],[QT_CANA_EST]]</f>
        <v>3689.7</v>
      </c>
      <c r="AB602" s="1">
        <f>IF(ESTIMATIVA[[#This Row],[QT_CANA_REST1]]&gt;0,ESTIMATIVA[[#This Row],[QT_CANA_REST1]],
  IF(ESTIMATIVA[[#This Row],[QT_CANA_REAL]]&gt;0,ESTIMATIVA[[#This Row],[QT_CANA_REAL]],ESTIMATIVA[[#This Row],[QT_CANA_EST]]))</f>
        <v>3689.7</v>
      </c>
      <c r="AC60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3388.5</v>
      </c>
      <c r="AD602" s="1">
        <f>IF(ESTIMATIVA[[#This Row],[QT_AREA_REAL]]&gt;0,ESTIMATIVA[[#This Row],[QT_CANA_REAL]],ESTIMATIVA[[#This Row],[QT_CANA_EST]])</f>
        <v>2811.64</v>
      </c>
      <c r="AE602" s="1">
        <f>IF(ESTIMATIVA[[#This Row],[QT_AREA_REAL]]&gt;0,ESTIMATIVA[[#This Row],[QT_CANA_REAL]],ESTIMATIVA[[#This Row],[QT_CANA_REST1]])</f>
        <v>2811.64</v>
      </c>
      <c r="AF602" s="1">
        <f>IF(ESTIMATIVA[[#This Row],[QT_AREA_REAL]]&gt;0,ESTIMATIVA[[#This Row],[QT_CANA_REAL]],ESTIMATIVA[[#This Row],[QT_CANA_REST2]])</f>
        <v>2811.64</v>
      </c>
      <c r="AG602" s="1" t="str">
        <f>IF(COUNTIFS(GEADA!A:A,VALUE(ESTIMATIVA[[#This Row],[CD_UPNIVEL1]]&amp;TEXT(ESTIMATIVA[[#This Row],[CD_UPNIVEL3]],"0000")))&gt;0,"S","N")</f>
        <v>N</v>
      </c>
      <c r="AH60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02" s="55" t="str">
        <f>IF(ESTIMATIVA[[#This Row],[TP_CULTIVO]]="Irrigado",_xlfn.MAXIFS(IRRIGADO!J:J,IRRIGADO!C:C,ESTIMATIVA[[#This Row],[CD_UPNIVEL1]],IRRIGADO!E:E,ESTIMATIVA[[#This Row],[CD_UPNIVEL3]]),"")</f>
        <v/>
      </c>
      <c r="AJ60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02" s="1">
        <f>COUNTIFS(Apresentação!$E$23:$E$29,ESTIMATIVA[[#This Row],[CD_UPNIVEL1]])</f>
        <v>0</v>
      </c>
    </row>
    <row r="603" spans="1:37" x14ac:dyDescent="0.3">
      <c r="A603">
        <v>20327</v>
      </c>
      <c r="B603" t="s">
        <v>127</v>
      </c>
      <c r="C603">
        <v>8</v>
      </c>
      <c r="D603">
        <v>2</v>
      </c>
      <c r="E603" t="s">
        <v>266</v>
      </c>
      <c r="F603" s="85" t="s">
        <v>332</v>
      </c>
      <c r="G603"/>
      <c r="H603" t="s">
        <v>294</v>
      </c>
      <c r="I603" t="s">
        <v>200</v>
      </c>
      <c r="J603" t="s">
        <v>176</v>
      </c>
      <c r="K603" s="1">
        <v>4.04</v>
      </c>
      <c r="L603" s="1">
        <v>4.04</v>
      </c>
      <c r="M603" s="1">
        <v>4.04</v>
      </c>
      <c r="N603" s="1">
        <v>4.04</v>
      </c>
      <c r="O603" s="1">
        <v>395.92</v>
      </c>
      <c r="P603" s="1">
        <v>404</v>
      </c>
      <c r="Q603" s="1">
        <v>395.92</v>
      </c>
      <c r="R603" s="1">
        <v>328.93</v>
      </c>
      <c r="S603" t="s">
        <v>12</v>
      </c>
      <c r="T603" s="13">
        <v>45935</v>
      </c>
      <c r="U603" s="1" t="str">
        <f>IF(ESTIMATIVA[[#This Row],[QT_AREA_REAL]]&gt;0,"1- Colhido","2- à Colher")</f>
        <v>1- Colhido</v>
      </c>
      <c r="V603" s="1" t="str">
        <f>IF(ESTIMATIVA[[#This Row],[QT_AREA_REST1]]&gt;0,"Reestimativa 1",IF(ESTIMATIVA[[#This Row],[QT_AREA_REAL]]=0,"Reestimativa 1","Realizado"))</f>
        <v>Reestimativa 1</v>
      </c>
      <c r="W603" s="1" t="str">
        <f>IF(ESTIMATIVA[[#This Row],[QT_AREA_REST2]]&gt;0,"Reestimativa 2",IF(ESTIMATIVA[[#This Row],[QT_AREA_REAL]]=0,"Reestimativa 2","Realizado"))</f>
        <v>Reestimativa 2</v>
      </c>
      <c r="X603" s="1">
        <f>ESTIMATIVA[[#This Row],[QT_AREA_EST]]</f>
        <v>4.04</v>
      </c>
      <c r="Y603" s="1">
        <f>IF(ESTIMATIVA[[#This Row],[QT_AREA_REST1]]&gt;0,ESTIMATIVA[[#This Row],[QT_AREA_REST1]],
  IF(ESTIMATIVA[[#This Row],[QT_AREA_REAL]]&gt;0,ESTIMATIVA[[#This Row],[QT_AREA_REAL]],ESTIMATIVA[[#This Row],[QT_AREA_EST]]))</f>
        <v>4.04</v>
      </c>
      <c r="Z60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4.04</v>
      </c>
      <c r="AA603" s="1">
        <f>ESTIMATIVA[[#This Row],[QT_CANA_EST]]</f>
        <v>395.92</v>
      </c>
      <c r="AB603" s="1">
        <f>IF(ESTIMATIVA[[#This Row],[QT_CANA_REST1]]&gt;0,ESTIMATIVA[[#This Row],[QT_CANA_REST1]],
  IF(ESTIMATIVA[[#This Row],[QT_CANA_REAL]]&gt;0,ESTIMATIVA[[#This Row],[QT_CANA_REAL]],ESTIMATIVA[[#This Row],[QT_CANA_EST]]))</f>
        <v>404</v>
      </c>
      <c r="AC60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395.92</v>
      </c>
      <c r="AD603" s="1">
        <f>IF(ESTIMATIVA[[#This Row],[QT_AREA_REAL]]&gt;0,ESTIMATIVA[[#This Row],[QT_CANA_REAL]],ESTIMATIVA[[#This Row],[QT_CANA_EST]])</f>
        <v>328.93</v>
      </c>
      <c r="AE603" s="1">
        <f>IF(ESTIMATIVA[[#This Row],[QT_AREA_REAL]]&gt;0,ESTIMATIVA[[#This Row],[QT_CANA_REAL]],ESTIMATIVA[[#This Row],[QT_CANA_REST1]])</f>
        <v>328.93</v>
      </c>
      <c r="AF603" s="1">
        <f>IF(ESTIMATIVA[[#This Row],[QT_AREA_REAL]]&gt;0,ESTIMATIVA[[#This Row],[QT_CANA_REAL]],ESTIMATIVA[[#This Row],[QT_CANA_REST2]])</f>
        <v>328.93</v>
      </c>
      <c r="AG603" s="1" t="str">
        <f>IF(COUNTIFS(GEADA!A:A,VALUE(ESTIMATIVA[[#This Row],[CD_UPNIVEL1]]&amp;TEXT(ESTIMATIVA[[#This Row],[CD_UPNIVEL3]],"0000")))&gt;0,"S","N")</f>
        <v>N</v>
      </c>
      <c r="AH60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03" s="55" t="str">
        <f>IF(ESTIMATIVA[[#This Row],[TP_CULTIVO]]="Irrigado",_xlfn.MAXIFS(IRRIGADO!J:J,IRRIGADO!C:C,ESTIMATIVA[[#This Row],[CD_UPNIVEL1]],IRRIGADO!E:E,ESTIMATIVA[[#This Row],[CD_UPNIVEL3]]),"")</f>
        <v/>
      </c>
      <c r="AJ60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03" s="1">
        <f>COUNTIFS(Apresentação!$E$23:$E$29,ESTIMATIVA[[#This Row],[CD_UPNIVEL1]])</f>
        <v>0</v>
      </c>
    </row>
    <row r="604" spans="1:37" x14ac:dyDescent="0.3">
      <c r="A604">
        <v>20328</v>
      </c>
      <c r="B604" t="s">
        <v>32</v>
      </c>
      <c r="C604">
        <v>1</v>
      </c>
      <c r="D604">
        <v>3</v>
      </c>
      <c r="E604" t="s">
        <v>263</v>
      </c>
      <c r="F604" s="85" t="s">
        <v>333</v>
      </c>
      <c r="G604"/>
      <c r="H604" t="s">
        <v>294</v>
      </c>
      <c r="I604" t="s">
        <v>207</v>
      </c>
      <c r="J604" t="s">
        <v>176</v>
      </c>
      <c r="K604" s="1">
        <v>30.82</v>
      </c>
      <c r="L604" s="1">
        <v>30.82</v>
      </c>
      <c r="M604" s="1">
        <v>0</v>
      </c>
      <c r="N604" s="1">
        <v>30.82</v>
      </c>
      <c r="O604" s="1">
        <v>1417.72</v>
      </c>
      <c r="P604" s="1">
        <v>1417.72</v>
      </c>
      <c r="Q604" s="1">
        <v>0</v>
      </c>
      <c r="R604" s="1">
        <v>1222.25</v>
      </c>
      <c r="S604" t="s">
        <v>12</v>
      </c>
      <c r="T604" s="13">
        <v>45921</v>
      </c>
      <c r="U604" s="1" t="str">
        <f>IF(ESTIMATIVA[[#This Row],[QT_AREA_REAL]]&gt;0,"1- Colhido","2- à Colher")</f>
        <v>1- Colhido</v>
      </c>
      <c r="V604" s="1" t="str">
        <f>IF(ESTIMATIVA[[#This Row],[QT_AREA_REST1]]&gt;0,"Reestimativa 1",IF(ESTIMATIVA[[#This Row],[QT_AREA_REAL]]=0,"Reestimativa 1","Realizado"))</f>
        <v>Reestimativa 1</v>
      </c>
      <c r="W604" s="1" t="str">
        <f>IF(ESTIMATIVA[[#This Row],[QT_AREA_REST2]]&gt;0,"Reestimativa 2",IF(ESTIMATIVA[[#This Row],[QT_AREA_REAL]]=0,"Reestimativa 2","Realizado"))</f>
        <v>Realizado</v>
      </c>
      <c r="X604" s="1">
        <f>ESTIMATIVA[[#This Row],[QT_AREA_EST]]</f>
        <v>30.82</v>
      </c>
      <c r="Y604" s="1">
        <f>IF(ESTIMATIVA[[#This Row],[QT_AREA_REST1]]&gt;0,ESTIMATIVA[[#This Row],[QT_AREA_REST1]],
  IF(ESTIMATIVA[[#This Row],[QT_AREA_REAL]]&gt;0,ESTIMATIVA[[#This Row],[QT_AREA_REAL]],ESTIMATIVA[[#This Row],[QT_AREA_EST]]))</f>
        <v>30.82</v>
      </c>
      <c r="Z60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30.82</v>
      </c>
      <c r="AA604" s="1">
        <f>ESTIMATIVA[[#This Row],[QT_CANA_EST]]</f>
        <v>1417.72</v>
      </c>
      <c r="AB604" s="1">
        <f>IF(ESTIMATIVA[[#This Row],[QT_CANA_REST1]]&gt;0,ESTIMATIVA[[#This Row],[QT_CANA_REST1]],
  IF(ESTIMATIVA[[#This Row],[QT_CANA_REAL]]&gt;0,ESTIMATIVA[[#This Row],[QT_CANA_REAL]],ESTIMATIVA[[#This Row],[QT_CANA_EST]]))</f>
        <v>1417.72</v>
      </c>
      <c r="AC60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1222.25</v>
      </c>
      <c r="AD604" s="1">
        <f>IF(ESTIMATIVA[[#This Row],[QT_AREA_REAL]]&gt;0,ESTIMATIVA[[#This Row],[QT_CANA_REAL]],ESTIMATIVA[[#This Row],[QT_CANA_EST]])</f>
        <v>1222.25</v>
      </c>
      <c r="AE604" s="1">
        <f>IF(ESTIMATIVA[[#This Row],[QT_AREA_REAL]]&gt;0,ESTIMATIVA[[#This Row],[QT_CANA_REAL]],ESTIMATIVA[[#This Row],[QT_CANA_REST1]])</f>
        <v>1222.25</v>
      </c>
      <c r="AF604" s="1">
        <f>IF(ESTIMATIVA[[#This Row],[QT_AREA_REAL]]&gt;0,ESTIMATIVA[[#This Row],[QT_CANA_REAL]],ESTIMATIVA[[#This Row],[QT_CANA_REST2]])</f>
        <v>1222.25</v>
      </c>
      <c r="AG604" s="1" t="str">
        <f>IF(COUNTIFS(GEADA!A:A,VALUE(ESTIMATIVA[[#This Row],[CD_UPNIVEL1]]&amp;TEXT(ESTIMATIVA[[#This Row],[CD_UPNIVEL3]],"0000")))&gt;0,"S","N")</f>
        <v>N</v>
      </c>
      <c r="AH60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04" s="55" t="str">
        <f>IF(ESTIMATIVA[[#This Row],[TP_CULTIVO]]="Irrigado",_xlfn.MAXIFS(IRRIGADO!J:J,IRRIGADO!C:C,ESTIMATIVA[[#This Row],[CD_UPNIVEL1]],IRRIGADO!E:E,ESTIMATIVA[[#This Row],[CD_UPNIVEL3]]),"")</f>
        <v/>
      </c>
      <c r="AJ60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04" s="1">
        <f>COUNTIFS(Apresentação!$E$23:$E$29,ESTIMATIVA[[#This Row],[CD_UPNIVEL1]])</f>
        <v>0</v>
      </c>
    </row>
    <row r="605" spans="1:37" x14ac:dyDescent="0.3">
      <c r="A605">
        <v>20328</v>
      </c>
      <c r="B605" t="s">
        <v>32</v>
      </c>
      <c r="C605">
        <v>2</v>
      </c>
      <c r="D605">
        <v>3</v>
      </c>
      <c r="E605" t="s">
        <v>263</v>
      </c>
      <c r="F605" s="85" t="s">
        <v>333</v>
      </c>
      <c r="G605"/>
      <c r="H605" t="s">
        <v>294</v>
      </c>
      <c r="I605" t="s">
        <v>207</v>
      </c>
      <c r="J605" t="s">
        <v>176</v>
      </c>
      <c r="K605" s="1">
        <v>14.54</v>
      </c>
      <c r="L605" s="1">
        <v>14.54</v>
      </c>
      <c r="M605" s="1">
        <v>0</v>
      </c>
      <c r="N605" s="1">
        <v>14.54</v>
      </c>
      <c r="O605" s="1">
        <v>872.4</v>
      </c>
      <c r="P605" s="1">
        <v>872.4</v>
      </c>
      <c r="Q605" s="1">
        <v>0</v>
      </c>
      <c r="R605" s="1">
        <v>751.6</v>
      </c>
      <c r="S605" t="s">
        <v>12</v>
      </c>
      <c r="T605" s="13">
        <v>45921</v>
      </c>
      <c r="U605" s="1" t="str">
        <f>IF(ESTIMATIVA[[#This Row],[QT_AREA_REAL]]&gt;0,"1- Colhido","2- à Colher")</f>
        <v>1- Colhido</v>
      </c>
      <c r="V605" s="1" t="str">
        <f>IF(ESTIMATIVA[[#This Row],[QT_AREA_REST1]]&gt;0,"Reestimativa 1",IF(ESTIMATIVA[[#This Row],[QT_AREA_REAL]]=0,"Reestimativa 1","Realizado"))</f>
        <v>Reestimativa 1</v>
      </c>
      <c r="W605" s="1" t="str">
        <f>IF(ESTIMATIVA[[#This Row],[QT_AREA_REST2]]&gt;0,"Reestimativa 2",IF(ESTIMATIVA[[#This Row],[QT_AREA_REAL]]=0,"Reestimativa 2","Realizado"))</f>
        <v>Realizado</v>
      </c>
      <c r="X605" s="1">
        <f>ESTIMATIVA[[#This Row],[QT_AREA_EST]]</f>
        <v>14.54</v>
      </c>
      <c r="Y605" s="1">
        <f>IF(ESTIMATIVA[[#This Row],[QT_AREA_REST1]]&gt;0,ESTIMATIVA[[#This Row],[QT_AREA_REST1]],
  IF(ESTIMATIVA[[#This Row],[QT_AREA_REAL]]&gt;0,ESTIMATIVA[[#This Row],[QT_AREA_REAL]],ESTIMATIVA[[#This Row],[QT_AREA_EST]]))</f>
        <v>14.54</v>
      </c>
      <c r="Z60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14.54</v>
      </c>
      <c r="AA605" s="1">
        <f>ESTIMATIVA[[#This Row],[QT_CANA_EST]]</f>
        <v>872.4</v>
      </c>
      <c r="AB605" s="1">
        <f>IF(ESTIMATIVA[[#This Row],[QT_CANA_REST1]]&gt;0,ESTIMATIVA[[#This Row],[QT_CANA_REST1]],
  IF(ESTIMATIVA[[#This Row],[QT_CANA_REAL]]&gt;0,ESTIMATIVA[[#This Row],[QT_CANA_REAL]],ESTIMATIVA[[#This Row],[QT_CANA_EST]]))</f>
        <v>872.4</v>
      </c>
      <c r="AC60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751.6</v>
      </c>
      <c r="AD605" s="1">
        <f>IF(ESTIMATIVA[[#This Row],[QT_AREA_REAL]]&gt;0,ESTIMATIVA[[#This Row],[QT_CANA_REAL]],ESTIMATIVA[[#This Row],[QT_CANA_EST]])</f>
        <v>751.6</v>
      </c>
      <c r="AE605" s="1">
        <f>IF(ESTIMATIVA[[#This Row],[QT_AREA_REAL]]&gt;0,ESTIMATIVA[[#This Row],[QT_CANA_REAL]],ESTIMATIVA[[#This Row],[QT_CANA_REST1]])</f>
        <v>751.6</v>
      </c>
      <c r="AF605" s="1">
        <f>IF(ESTIMATIVA[[#This Row],[QT_AREA_REAL]]&gt;0,ESTIMATIVA[[#This Row],[QT_CANA_REAL]],ESTIMATIVA[[#This Row],[QT_CANA_REST2]])</f>
        <v>751.6</v>
      </c>
      <c r="AG605" s="1" t="str">
        <f>IF(COUNTIFS(GEADA!A:A,VALUE(ESTIMATIVA[[#This Row],[CD_UPNIVEL1]]&amp;TEXT(ESTIMATIVA[[#This Row],[CD_UPNIVEL3]],"0000")))&gt;0,"S","N")</f>
        <v>N</v>
      </c>
      <c r="AH60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05" s="55" t="str">
        <f>IF(ESTIMATIVA[[#This Row],[TP_CULTIVO]]="Irrigado",_xlfn.MAXIFS(IRRIGADO!J:J,IRRIGADO!C:C,ESTIMATIVA[[#This Row],[CD_UPNIVEL1]],IRRIGADO!E:E,ESTIMATIVA[[#This Row],[CD_UPNIVEL3]]),"")</f>
        <v/>
      </c>
      <c r="AJ60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05" s="1">
        <f>COUNTIFS(Apresentação!$E$23:$E$29,ESTIMATIVA[[#This Row],[CD_UPNIVEL1]])</f>
        <v>0</v>
      </c>
    </row>
    <row r="606" spans="1:37" x14ac:dyDescent="0.3">
      <c r="A606">
        <v>20328</v>
      </c>
      <c r="B606" t="s">
        <v>32</v>
      </c>
      <c r="C606">
        <v>3</v>
      </c>
      <c r="D606">
        <v>3</v>
      </c>
      <c r="E606" t="s">
        <v>263</v>
      </c>
      <c r="F606" s="85" t="s">
        <v>333</v>
      </c>
      <c r="G606"/>
      <c r="H606" t="s">
        <v>294</v>
      </c>
      <c r="I606" t="s">
        <v>207</v>
      </c>
      <c r="J606" t="s">
        <v>176</v>
      </c>
      <c r="K606" s="1">
        <v>5.8</v>
      </c>
      <c r="L606" s="1">
        <v>5.8</v>
      </c>
      <c r="M606" s="1">
        <v>0</v>
      </c>
      <c r="N606" s="1">
        <v>5.8</v>
      </c>
      <c r="O606" s="1">
        <v>348</v>
      </c>
      <c r="P606" s="1">
        <v>348</v>
      </c>
      <c r="Q606" s="1">
        <v>0</v>
      </c>
      <c r="R606" s="1">
        <v>437.73</v>
      </c>
      <c r="S606" t="s">
        <v>12</v>
      </c>
      <c r="T606" s="13">
        <v>45921</v>
      </c>
      <c r="U606" s="1" t="str">
        <f>IF(ESTIMATIVA[[#This Row],[QT_AREA_REAL]]&gt;0,"1- Colhido","2- à Colher")</f>
        <v>1- Colhido</v>
      </c>
      <c r="V606" s="1" t="str">
        <f>IF(ESTIMATIVA[[#This Row],[QT_AREA_REST1]]&gt;0,"Reestimativa 1",IF(ESTIMATIVA[[#This Row],[QT_AREA_REAL]]=0,"Reestimativa 1","Realizado"))</f>
        <v>Reestimativa 1</v>
      </c>
      <c r="W606" s="1" t="str">
        <f>IF(ESTIMATIVA[[#This Row],[QT_AREA_REST2]]&gt;0,"Reestimativa 2",IF(ESTIMATIVA[[#This Row],[QT_AREA_REAL]]=0,"Reestimativa 2","Realizado"))</f>
        <v>Realizado</v>
      </c>
      <c r="X606" s="1">
        <f>ESTIMATIVA[[#This Row],[QT_AREA_EST]]</f>
        <v>5.8</v>
      </c>
      <c r="Y606" s="1">
        <f>IF(ESTIMATIVA[[#This Row],[QT_AREA_REST1]]&gt;0,ESTIMATIVA[[#This Row],[QT_AREA_REST1]],
  IF(ESTIMATIVA[[#This Row],[QT_AREA_REAL]]&gt;0,ESTIMATIVA[[#This Row],[QT_AREA_REAL]],ESTIMATIVA[[#This Row],[QT_AREA_EST]]))</f>
        <v>5.8</v>
      </c>
      <c r="Z60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5.8</v>
      </c>
      <c r="AA606" s="1">
        <f>ESTIMATIVA[[#This Row],[QT_CANA_EST]]</f>
        <v>348</v>
      </c>
      <c r="AB606" s="1">
        <f>IF(ESTIMATIVA[[#This Row],[QT_CANA_REST1]]&gt;0,ESTIMATIVA[[#This Row],[QT_CANA_REST1]],
  IF(ESTIMATIVA[[#This Row],[QT_CANA_REAL]]&gt;0,ESTIMATIVA[[#This Row],[QT_CANA_REAL]],ESTIMATIVA[[#This Row],[QT_CANA_EST]]))</f>
        <v>348</v>
      </c>
      <c r="AC60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437.73</v>
      </c>
      <c r="AD606" s="1">
        <f>IF(ESTIMATIVA[[#This Row],[QT_AREA_REAL]]&gt;0,ESTIMATIVA[[#This Row],[QT_CANA_REAL]],ESTIMATIVA[[#This Row],[QT_CANA_EST]])</f>
        <v>437.73</v>
      </c>
      <c r="AE606" s="1">
        <f>IF(ESTIMATIVA[[#This Row],[QT_AREA_REAL]]&gt;0,ESTIMATIVA[[#This Row],[QT_CANA_REAL]],ESTIMATIVA[[#This Row],[QT_CANA_REST1]])</f>
        <v>437.73</v>
      </c>
      <c r="AF606" s="1">
        <f>IF(ESTIMATIVA[[#This Row],[QT_AREA_REAL]]&gt;0,ESTIMATIVA[[#This Row],[QT_CANA_REAL]],ESTIMATIVA[[#This Row],[QT_CANA_REST2]])</f>
        <v>437.73</v>
      </c>
      <c r="AG606" s="1" t="str">
        <f>IF(COUNTIFS(GEADA!A:A,VALUE(ESTIMATIVA[[#This Row],[CD_UPNIVEL1]]&amp;TEXT(ESTIMATIVA[[#This Row],[CD_UPNIVEL3]],"0000")))&gt;0,"S","N")</f>
        <v>N</v>
      </c>
      <c r="AH60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06" s="55" t="str">
        <f>IF(ESTIMATIVA[[#This Row],[TP_CULTIVO]]="Irrigado",_xlfn.MAXIFS(IRRIGADO!J:J,IRRIGADO!C:C,ESTIMATIVA[[#This Row],[CD_UPNIVEL1]],IRRIGADO!E:E,ESTIMATIVA[[#This Row],[CD_UPNIVEL3]]),"")</f>
        <v/>
      </c>
      <c r="AJ60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06" s="1">
        <f>COUNTIFS(Apresentação!$E$23:$E$29,ESTIMATIVA[[#This Row],[CD_UPNIVEL1]])</f>
        <v>0</v>
      </c>
    </row>
    <row r="607" spans="1:37" x14ac:dyDescent="0.3">
      <c r="A607">
        <v>20328</v>
      </c>
      <c r="B607" t="s">
        <v>32</v>
      </c>
      <c r="C607">
        <v>4</v>
      </c>
      <c r="D607">
        <v>3</v>
      </c>
      <c r="E607" t="s">
        <v>263</v>
      </c>
      <c r="F607" s="85" t="s">
        <v>333</v>
      </c>
      <c r="G607"/>
      <c r="H607" t="s">
        <v>294</v>
      </c>
      <c r="I607" t="s">
        <v>207</v>
      </c>
      <c r="J607" t="s">
        <v>176</v>
      </c>
      <c r="K607" s="1">
        <v>11.98</v>
      </c>
      <c r="L607" s="1">
        <v>11.98</v>
      </c>
      <c r="M607" s="1">
        <v>0</v>
      </c>
      <c r="N607" s="1">
        <v>11.98</v>
      </c>
      <c r="O607" s="1">
        <v>718.8</v>
      </c>
      <c r="P607" s="1">
        <v>718.8</v>
      </c>
      <c r="Q607" s="1">
        <v>0</v>
      </c>
      <c r="R607" s="1">
        <v>904.42</v>
      </c>
      <c r="S607" t="s">
        <v>12</v>
      </c>
      <c r="T607" s="13">
        <v>45921</v>
      </c>
      <c r="U607" s="1" t="str">
        <f>IF(ESTIMATIVA[[#This Row],[QT_AREA_REAL]]&gt;0,"1- Colhido","2- à Colher")</f>
        <v>1- Colhido</v>
      </c>
      <c r="V607" s="1" t="str">
        <f>IF(ESTIMATIVA[[#This Row],[QT_AREA_REST1]]&gt;0,"Reestimativa 1",IF(ESTIMATIVA[[#This Row],[QT_AREA_REAL]]=0,"Reestimativa 1","Realizado"))</f>
        <v>Reestimativa 1</v>
      </c>
      <c r="W607" s="1" t="str">
        <f>IF(ESTIMATIVA[[#This Row],[QT_AREA_REST2]]&gt;0,"Reestimativa 2",IF(ESTIMATIVA[[#This Row],[QT_AREA_REAL]]=0,"Reestimativa 2","Realizado"))</f>
        <v>Realizado</v>
      </c>
      <c r="X607" s="1">
        <f>ESTIMATIVA[[#This Row],[QT_AREA_EST]]</f>
        <v>11.98</v>
      </c>
      <c r="Y607" s="1">
        <f>IF(ESTIMATIVA[[#This Row],[QT_AREA_REST1]]&gt;0,ESTIMATIVA[[#This Row],[QT_AREA_REST1]],
  IF(ESTIMATIVA[[#This Row],[QT_AREA_REAL]]&gt;0,ESTIMATIVA[[#This Row],[QT_AREA_REAL]],ESTIMATIVA[[#This Row],[QT_AREA_EST]]))</f>
        <v>11.98</v>
      </c>
      <c r="Z60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11.98</v>
      </c>
      <c r="AA607" s="1">
        <f>ESTIMATIVA[[#This Row],[QT_CANA_EST]]</f>
        <v>718.8</v>
      </c>
      <c r="AB607" s="1">
        <f>IF(ESTIMATIVA[[#This Row],[QT_CANA_REST1]]&gt;0,ESTIMATIVA[[#This Row],[QT_CANA_REST1]],
  IF(ESTIMATIVA[[#This Row],[QT_CANA_REAL]]&gt;0,ESTIMATIVA[[#This Row],[QT_CANA_REAL]],ESTIMATIVA[[#This Row],[QT_CANA_EST]]))</f>
        <v>718.8</v>
      </c>
      <c r="AC60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904.42</v>
      </c>
      <c r="AD607" s="1">
        <f>IF(ESTIMATIVA[[#This Row],[QT_AREA_REAL]]&gt;0,ESTIMATIVA[[#This Row],[QT_CANA_REAL]],ESTIMATIVA[[#This Row],[QT_CANA_EST]])</f>
        <v>904.42</v>
      </c>
      <c r="AE607" s="1">
        <f>IF(ESTIMATIVA[[#This Row],[QT_AREA_REAL]]&gt;0,ESTIMATIVA[[#This Row],[QT_CANA_REAL]],ESTIMATIVA[[#This Row],[QT_CANA_REST1]])</f>
        <v>904.42</v>
      </c>
      <c r="AF607" s="1">
        <f>IF(ESTIMATIVA[[#This Row],[QT_AREA_REAL]]&gt;0,ESTIMATIVA[[#This Row],[QT_CANA_REAL]],ESTIMATIVA[[#This Row],[QT_CANA_REST2]])</f>
        <v>904.42</v>
      </c>
      <c r="AG607" s="1" t="str">
        <f>IF(COUNTIFS(GEADA!A:A,VALUE(ESTIMATIVA[[#This Row],[CD_UPNIVEL1]]&amp;TEXT(ESTIMATIVA[[#This Row],[CD_UPNIVEL3]],"0000")))&gt;0,"S","N")</f>
        <v>N</v>
      </c>
      <c r="AH60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07" s="55" t="str">
        <f>IF(ESTIMATIVA[[#This Row],[TP_CULTIVO]]="Irrigado",_xlfn.MAXIFS(IRRIGADO!J:J,IRRIGADO!C:C,ESTIMATIVA[[#This Row],[CD_UPNIVEL1]],IRRIGADO!E:E,ESTIMATIVA[[#This Row],[CD_UPNIVEL3]]),"")</f>
        <v/>
      </c>
      <c r="AJ60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07" s="1">
        <f>COUNTIFS(Apresentação!$E$23:$E$29,ESTIMATIVA[[#This Row],[CD_UPNIVEL1]])</f>
        <v>0</v>
      </c>
    </row>
    <row r="608" spans="1:37" x14ac:dyDescent="0.3">
      <c r="A608">
        <v>20328</v>
      </c>
      <c r="B608" t="s">
        <v>32</v>
      </c>
      <c r="C608">
        <v>5</v>
      </c>
      <c r="D608">
        <v>3</v>
      </c>
      <c r="E608" t="s">
        <v>263</v>
      </c>
      <c r="F608" s="85" t="s">
        <v>333</v>
      </c>
      <c r="G608"/>
      <c r="H608" t="s">
        <v>294</v>
      </c>
      <c r="I608" t="s">
        <v>205</v>
      </c>
      <c r="J608" t="s">
        <v>176</v>
      </c>
      <c r="K608" s="1">
        <v>21.35</v>
      </c>
      <c r="L608" s="1">
        <v>21.35</v>
      </c>
      <c r="M608" s="1">
        <v>0</v>
      </c>
      <c r="N608" s="1">
        <v>21.35</v>
      </c>
      <c r="O608" s="1">
        <v>1281</v>
      </c>
      <c r="P608" s="1">
        <v>1067.5</v>
      </c>
      <c r="Q608" s="1">
        <v>0</v>
      </c>
      <c r="R608" s="1">
        <v>1343.57</v>
      </c>
      <c r="S608" t="s">
        <v>12</v>
      </c>
      <c r="T608" s="13">
        <v>45921</v>
      </c>
      <c r="U608" s="1" t="str">
        <f>IF(ESTIMATIVA[[#This Row],[QT_AREA_REAL]]&gt;0,"1- Colhido","2- à Colher")</f>
        <v>1- Colhido</v>
      </c>
      <c r="V608" s="1" t="str">
        <f>IF(ESTIMATIVA[[#This Row],[QT_AREA_REST1]]&gt;0,"Reestimativa 1",IF(ESTIMATIVA[[#This Row],[QT_AREA_REAL]]=0,"Reestimativa 1","Realizado"))</f>
        <v>Reestimativa 1</v>
      </c>
      <c r="W608" s="1" t="str">
        <f>IF(ESTIMATIVA[[#This Row],[QT_AREA_REST2]]&gt;0,"Reestimativa 2",IF(ESTIMATIVA[[#This Row],[QT_AREA_REAL]]=0,"Reestimativa 2","Realizado"))</f>
        <v>Realizado</v>
      </c>
      <c r="X608" s="1">
        <f>ESTIMATIVA[[#This Row],[QT_AREA_EST]]</f>
        <v>21.35</v>
      </c>
      <c r="Y608" s="1">
        <f>IF(ESTIMATIVA[[#This Row],[QT_AREA_REST1]]&gt;0,ESTIMATIVA[[#This Row],[QT_AREA_REST1]],
  IF(ESTIMATIVA[[#This Row],[QT_AREA_REAL]]&gt;0,ESTIMATIVA[[#This Row],[QT_AREA_REAL]],ESTIMATIVA[[#This Row],[QT_AREA_EST]]))</f>
        <v>21.35</v>
      </c>
      <c r="Z60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21.35</v>
      </c>
      <c r="AA608" s="1">
        <f>ESTIMATIVA[[#This Row],[QT_CANA_EST]]</f>
        <v>1281</v>
      </c>
      <c r="AB608" s="1">
        <f>IF(ESTIMATIVA[[#This Row],[QT_CANA_REST1]]&gt;0,ESTIMATIVA[[#This Row],[QT_CANA_REST1]],
  IF(ESTIMATIVA[[#This Row],[QT_CANA_REAL]]&gt;0,ESTIMATIVA[[#This Row],[QT_CANA_REAL]],ESTIMATIVA[[#This Row],[QT_CANA_EST]]))</f>
        <v>1067.5</v>
      </c>
      <c r="AC60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1343.57</v>
      </c>
      <c r="AD608" s="1">
        <f>IF(ESTIMATIVA[[#This Row],[QT_AREA_REAL]]&gt;0,ESTIMATIVA[[#This Row],[QT_CANA_REAL]],ESTIMATIVA[[#This Row],[QT_CANA_EST]])</f>
        <v>1343.57</v>
      </c>
      <c r="AE608" s="1">
        <f>IF(ESTIMATIVA[[#This Row],[QT_AREA_REAL]]&gt;0,ESTIMATIVA[[#This Row],[QT_CANA_REAL]],ESTIMATIVA[[#This Row],[QT_CANA_REST1]])</f>
        <v>1343.57</v>
      </c>
      <c r="AF608" s="1">
        <f>IF(ESTIMATIVA[[#This Row],[QT_AREA_REAL]]&gt;0,ESTIMATIVA[[#This Row],[QT_CANA_REAL]],ESTIMATIVA[[#This Row],[QT_CANA_REST2]])</f>
        <v>1343.57</v>
      </c>
      <c r="AG608" s="1" t="str">
        <f>IF(COUNTIFS(GEADA!A:A,VALUE(ESTIMATIVA[[#This Row],[CD_UPNIVEL1]]&amp;TEXT(ESTIMATIVA[[#This Row],[CD_UPNIVEL3]],"0000")))&gt;0,"S","N")</f>
        <v>S</v>
      </c>
      <c r="AH60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08" s="55" t="str">
        <f>IF(ESTIMATIVA[[#This Row],[TP_CULTIVO]]="Irrigado",_xlfn.MAXIFS(IRRIGADO!J:J,IRRIGADO!C:C,ESTIMATIVA[[#This Row],[CD_UPNIVEL1]],IRRIGADO!E:E,ESTIMATIVA[[#This Row],[CD_UPNIVEL3]]),"")</f>
        <v/>
      </c>
      <c r="AJ60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08" s="1">
        <f>COUNTIFS(Apresentação!$E$23:$E$29,ESTIMATIVA[[#This Row],[CD_UPNIVEL1]])</f>
        <v>0</v>
      </c>
    </row>
    <row r="609" spans="1:37" x14ac:dyDescent="0.3">
      <c r="A609">
        <v>20328</v>
      </c>
      <c r="B609" t="s">
        <v>32</v>
      </c>
      <c r="C609">
        <v>6</v>
      </c>
      <c r="D609">
        <v>3</v>
      </c>
      <c r="E609" t="s">
        <v>263</v>
      </c>
      <c r="F609" s="85" t="s">
        <v>333</v>
      </c>
      <c r="G609"/>
      <c r="H609" t="s">
        <v>294</v>
      </c>
      <c r="I609" t="s">
        <v>207</v>
      </c>
      <c r="J609" t="s">
        <v>176</v>
      </c>
      <c r="K609" s="1">
        <v>21.53</v>
      </c>
      <c r="L609" s="1">
        <v>21.53</v>
      </c>
      <c r="M609" s="1">
        <v>0</v>
      </c>
      <c r="N609" s="1">
        <v>21.53</v>
      </c>
      <c r="O609" s="1">
        <v>1291.8</v>
      </c>
      <c r="P609" s="1">
        <v>1291.8</v>
      </c>
      <c r="Q609" s="1">
        <v>0</v>
      </c>
      <c r="R609" s="1">
        <v>1113.6400000000001</v>
      </c>
      <c r="S609" t="s">
        <v>12</v>
      </c>
      <c r="T609" s="13">
        <v>45921</v>
      </c>
      <c r="U609" s="1" t="str">
        <f>IF(ESTIMATIVA[[#This Row],[QT_AREA_REAL]]&gt;0,"1- Colhido","2- à Colher")</f>
        <v>1- Colhido</v>
      </c>
      <c r="V609" s="1" t="str">
        <f>IF(ESTIMATIVA[[#This Row],[QT_AREA_REST1]]&gt;0,"Reestimativa 1",IF(ESTIMATIVA[[#This Row],[QT_AREA_REAL]]=0,"Reestimativa 1","Realizado"))</f>
        <v>Reestimativa 1</v>
      </c>
      <c r="W609" s="1" t="str">
        <f>IF(ESTIMATIVA[[#This Row],[QT_AREA_REST2]]&gt;0,"Reestimativa 2",IF(ESTIMATIVA[[#This Row],[QT_AREA_REAL]]=0,"Reestimativa 2","Realizado"))</f>
        <v>Realizado</v>
      </c>
      <c r="X609" s="1">
        <f>ESTIMATIVA[[#This Row],[QT_AREA_EST]]</f>
        <v>21.53</v>
      </c>
      <c r="Y609" s="1">
        <f>IF(ESTIMATIVA[[#This Row],[QT_AREA_REST1]]&gt;0,ESTIMATIVA[[#This Row],[QT_AREA_REST1]],
  IF(ESTIMATIVA[[#This Row],[QT_AREA_REAL]]&gt;0,ESTIMATIVA[[#This Row],[QT_AREA_REAL]],ESTIMATIVA[[#This Row],[QT_AREA_EST]]))</f>
        <v>21.53</v>
      </c>
      <c r="Z60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21.53</v>
      </c>
      <c r="AA609" s="1">
        <f>ESTIMATIVA[[#This Row],[QT_CANA_EST]]</f>
        <v>1291.8</v>
      </c>
      <c r="AB609" s="1">
        <f>IF(ESTIMATIVA[[#This Row],[QT_CANA_REST1]]&gt;0,ESTIMATIVA[[#This Row],[QT_CANA_REST1]],
  IF(ESTIMATIVA[[#This Row],[QT_CANA_REAL]]&gt;0,ESTIMATIVA[[#This Row],[QT_CANA_REAL]],ESTIMATIVA[[#This Row],[QT_CANA_EST]]))</f>
        <v>1291.8</v>
      </c>
      <c r="AC60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1113.6400000000001</v>
      </c>
      <c r="AD609" s="1">
        <f>IF(ESTIMATIVA[[#This Row],[QT_AREA_REAL]]&gt;0,ESTIMATIVA[[#This Row],[QT_CANA_REAL]],ESTIMATIVA[[#This Row],[QT_CANA_EST]])</f>
        <v>1113.6400000000001</v>
      </c>
      <c r="AE609" s="1">
        <f>IF(ESTIMATIVA[[#This Row],[QT_AREA_REAL]]&gt;0,ESTIMATIVA[[#This Row],[QT_CANA_REAL]],ESTIMATIVA[[#This Row],[QT_CANA_REST1]])</f>
        <v>1113.6400000000001</v>
      </c>
      <c r="AF609" s="1">
        <f>IF(ESTIMATIVA[[#This Row],[QT_AREA_REAL]]&gt;0,ESTIMATIVA[[#This Row],[QT_CANA_REAL]],ESTIMATIVA[[#This Row],[QT_CANA_REST2]])</f>
        <v>1113.6400000000001</v>
      </c>
      <c r="AG609" s="1" t="str">
        <f>IF(COUNTIFS(GEADA!A:A,VALUE(ESTIMATIVA[[#This Row],[CD_UPNIVEL1]]&amp;TEXT(ESTIMATIVA[[#This Row],[CD_UPNIVEL3]],"0000")))&gt;0,"S","N")</f>
        <v>N</v>
      </c>
      <c r="AH60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09" s="55" t="str">
        <f>IF(ESTIMATIVA[[#This Row],[TP_CULTIVO]]="Irrigado",_xlfn.MAXIFS(IRRIGADO!J:J,IRRIGADO!C:C,ESTIMATIVA[[#This Row],[CD_UPNIVEL1]],IRRIGADO!E:E,ESTIMATIVA[[#This Row],[CD_UPNIVEL3]]),"")</f>
        <v/>
      </c>
      <c r="AJ60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09" s="1">
        <f>COUNTIFS(Apresentação!$E$23:$E$29,ESTIMATIVA[[#This Row],[CD_UPNIVEL1]])</f>
        <v>0</v>
      </c>
    </row>
    <row r="610" spans="1:37" x14ac:dyDescent="0.3">
      <c r="A610">
        <v>20328</v>
      </c>
      <c r="B610" t="s">
        <v>32</v>
      </c>
      <c r="C610">
        <v>7</v>
      </c>
      <c r="D610">
        <v>3</v>
      </c>
      <c r="E610" t="s">
        <v>263</v>
      </c>
      <c r="F610" s="85" t="s">
        <v>333</v>
      </c>
      <c r="G610"/>
      <c r="H610" t="s">
        <v>294</v>
      </c>
      <c r="I610" t="s">
        <v>207</v>
      </c>
      <c r="J610" t="s">
        <v>176</v>
      </c>
      <c r="K610" s="1">
        <v>29.02</v>
      </c>
      <c r="L610" s="1">
        <v>29.02</v>
      </c>
      <c r="M610" s="1">
        <v>0</v>
      </c>
      <c r="N610" s="1">
        <v>29.02</v>
      </c>
      <c r="O610" s="1">
        <v>1741.2</v>
      </c>
      <c r="P610" s="1">
        <v>1741.2</v>
      </c>
      <c r="Q610" s="1">
        <v>0</v>
      </c>
      <c r="R610" s="1">
        <v>1500.94</v>
      </c>
      <c r="S610" t="s">
        <v>12</v>
      </c>
      <c r="T610" s="13">
        <v>45921</v>
      </c>
      <c r="U610" s="1" t="str">
        <f>IF(ESTIMATIVA[[#This Row],[QT_AREA_REAL]]&gt;0,"1- Colhido","2- à Colher")</f>
        <v>1- Colhido</v>
      </c>
      <c r="V610" s="1" t="str">
        <f>IF(ESTIMATIVA[[#This Row],[QT_AREA_REST1]]&gt;0,"Reestimativa 1",IF(ESTIMATIVA[[#This Row],[QT_AREA_REAL]]=0,"Reestimativa 1","Realizado"))</f>
        <v>Reestimativa 1</v>
      </c>
      <c r="W610" s="1" t="str">
        <f>IF(ESTIMATIVA[[#This Row],[QT_AREA_REST2]]&gt;0,"Reestimativa 2",IF(ESTIMATIVA[[#This Row],[QT_AREA_REAL]]=0,"Reestimativa 2","Realizado"))</f>
        <v>Realizado</v>
      </c>
      <c r="X610" s="1">
        <f>ESTIMATIVA[[#This Row],[QT_AREA_EST]]</f>
        <v>29.02</v>
      </c>
      <c r="Y610" s="1">
        <f>IF(ESTIMATIVA[[#This Row],[QT_AREA_REST1]]&gt;0,ESTIMATIVA[[#This Row],[QT_AREA_REST1]],
  IF(ESTIMATIVA[[#This Row],[QT_AREA_REAL]]&gt;0,ESTIMATIVA[[#This Row],[QT_AREA_REAL]],ESTIMATIVA[[#This Row],[QT_AREA_EST]]))</f>
        <v>29.02</v>
      </c>
      <c r="Z61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29.02</v>
      </c>
      <c r="AA610" s="1">
        <f>ESTIMATIVA[[#This Row],[QT_CANA_EST]]</f>
        <v>1741.2</v>
      </c>
      <c r="AB610" s="1">
        <f>IF(ESTIMATIVA[[#This Row],[QT_CANA_REST1]]&gt;0,ESTIMATIVA[[#This Row],[QT_CANA_REST1]],
  IF(ESTIMATIVA[[#This Row],[QT_CANA_REAL]]&gt;0,ESTIMATIVA[[#This Row],[QT_CANA_REAL]],ESTIMATIVA[[#This Row],[QT_CANA_EST]]))</f>
        <v>1741.2</v>
      </c>
      <c r="AC61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1500.94</v>
      </c>
      <c r="AD610" s="1">
        <f>IF(ESTIMATIVA[[#This Row],[QT_AREA_REAL]]&gt;0,ESTIMATIVA[[#This Row],[QT_CANA_REAL]],ESTIMATIVA[[#This Row],[QT_CANA_EST]])</f>
        <v>1500.94</v>
      </c>
      <c r="AE610" s="1">
        <f>IF(ESTIMATIVA[[#This Row],[QT_AREA_REAL]]&gt;0,ESTIMATIVA[[#This Row],[QT_CANA_REAL]],ESTIMATIVA[[#This Row],[QT_CANA_REST1]])</f>
        <v>1500.94</v>
      </c>
      <c r="AF610" s="1">
        <f>IF(ESTIMATIVA[[#This Row],[QT_AREA_REAL]]&gt;0,ESTIMATIVA[[#This Row],[QT_CANA_REAL]],ESTIMATIVA[[#This Row],[QT_CANA_REST2]])</f>
        <v>1500.94</v>
      </c>
      <c r="AG610" s="1" t="str">
        <f>IF(COUNTIFS(GEADA!A:A,VALUE(ESTIMATIVA[[#This Row],[CD_UPNIVEL1]]&amp;TEXT(ESTIMATIVA[[#This Row],[CD_UPNIVEL3]],"0000")))&gt;0,"S","N")</f>
        <v>N</v>
      </c>
      <c r="AH61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10" s="55" t="str">
        <f>IF(ESTIMATIVA[[#This Row],[TP_CULTIVO]]="Irrigado",_xlfn.MAXIFS(IRRIGADO!J:J,IRRIGADO!C:C,ESTIMATIVA[[#This Row],[CD_UPNIVEL1]],IRRIGADO!E:E,ESTIMATIVA[[#This Row],[CD_UPNIVEL3]]),"")</f>
        <v/>
      </c>
      <c r="AJ61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10" s="1">
        <f>COUNTIFS(Apresentação!$E$23:$E$29,ESTIMATIVA[[#This Row],[CD_UPNIVEL1]])</f>
        <v>0</v>
      </c>
    </row>
    <row r="611" spans="1:37" x14ac:dyDescent="0.3">
      <c r="A611">
        <v>20328</v>
      </c>
      <c r="B611" t="s">
        <v>32</v>
      </c>
      <c r="C611">
        <v>8</v>
      </c>
      <c r="D611">
        <v>3</v>
      </c>
      <c r="E611" t="s">
        <v>263</v>
      </c>
      <c r="F611" s="85" t="s">
        <v>333</v>
      </c>
      <c r="G611"/>
      <c r="H611" t="s">
        <v>294</v>
      </c>
      <c r="I611" t="s">
        <v>205</v>
      </c>
      <c r="J611" t="s">
        <v>176</v>
      </c>
      <c r="K611" s="1">
        <v>26.38</v>
      </c>
      <c r="L611" s="1">
        <v>26.38</v>
      </c>
      <c r="M611" s="1">
        <v>0</v>
      </c>
      <c r="N611" s="1">
        <v>26.38</v>
      </c>
      <c r="O611" s="1">
        <v>2110.4</v>
      </c>
      <c r="P611" s="1">
        <v>2110.4</v>
      </c>
      <c r="Q611" s="1">
        <v>0</v>
      </c>
      <c r="R611" s="1">
        <v>1905.86</v>
      </c>
      <c r="S611" t="s">
        <v>12</v>
      </c>
      <c r="T611" s="13">
        <v>45921</v>
      </c>
      <c r="U611" s="1" t="str">
        <f>IF(ESTIMATIVA[[#This Row],[QT_AREA_REAL]]&gt;0,"1- Colhido","2- à Colher")</f>
        <v>1- Colhido</v>
      </c>
      <c r="V611" s="1" t="str">
        <f>IF(ESTIMATIVA[[#This Row],[QT_AREA_REST1]]&gt;0,"Reestimativa 1",IF(ESTIMATIVA[[#This Row],[QT_AREA_REAL]]=0,"Reestimativa 1","Realizado"))</f>
        <v>Reestimativa 1</v>
      </c>
      <c r="W611" s="1" t="str">
        <f>IF(ESTIMATIVA[[#This Row],[QT_AREA_REST2]]&gt;0,"Reestimativa 2",IF(ESTIMATIVA[[#This Row],[QT_AREA_REAL]]=0,"Reestimativa 2","Realizado"))</f>
        <v>Realizado</v>
      </c>
      <c r="X611" s="1">
        <f>ESTIMATIVA[[#This Row],[QT_AREA_EST]]</f>
        <v>26.38</v>
      </c>
      <c r="Y611" s="1">
        <f>IF(ESTIMATIVA[[#This Row],[QT_AREA_REST1]]&gt;0,ESTIMATIVA[[#This Row],[QT_AREA_REST1]],
  IF(ESTIMATIVA[[#This Row],[QT_AREA_REAL]]&gt;0,ESTIMATIVA[[#This Row],[QT_AREA_REAL]],ESTIMATIVA[[#This Row],[QT_AREA_EST]]))</f>
        <v>26.38</v>
      </c>
      <c r="Z61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26.38</v>
      </c>
      <c r="AA611" s="1">
        <f>ESTIMATIVA[[#This Row],[QT_CANA_EST]]</f>
        <v>2110.4</v>
      </c>
      <c r="AB611" s="1">
        <f>IF(ESTIMATIVA[[#This Row],[QT_CANA_REST1]]&gt;0,ESTIMATIVA[[#This Row],[QT_CANA_REST1]],
  IF(ESTIMATIVA[[#This Row],[QT_CANA_REAL]]&gt;0,ESTIMATIVA[[#This Row],[QT_CANA_REAL]],ESTIMATIVA[[#This Row],[QT_CANA_EST]]))</f>
        <v>2110.4</v>
      </c>
      <c r="AC61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1905.86</v>
      </c>
      <c r="AD611" s="1">
        <f>IF(ESTIMATIVA[[#This Row],[QT_AREA_REAL]]&gt;0,ESTIMATIVA[[#This Row],[QT_CANA_REAL]],ESTIMATIVA[[#This Row],[QT_CANA_EST]])</f>
        <v>1905.86</v>
      </c>
      <c r="AE611" s="1">
        <f>IF(ESTIMATIVA[[#This Row],[QT_AREA_REAL]]&gt;0,ESTIMATIVA[[#This Row],[QT_CANA_REAL]],ESTIMATIVA[[#This Row],[QT_CANA_REST1]])</f>
        <v>1905.86</v>
      </c>
      <c r="AF611" s="1">
        <f>IF(ESTIMATIVA[[#This Row],[QT_AREA_REAL]]&gt;0,ESTIMATIVA[[#This Row],[QT_CANA_REAL]],ESTIMATIVA[[#This Row],[QT_CANA_REST2]])</f>
        <v>1905.86</v>
      </c>
      <c r="AG611" s="1" t="str">
        <f>IF(COUNTIFS(GEADA!A:A,VALUE(ESTIMATIVA[[#This Row],[CD_UPNIVEL1]]&amp;TEXT(ESTIMATIVA[[#This Row],[CD_UPNIVEL3]],"0000")))&gt;0,"S","N")</f>
        <v>N</v>
      </c>
      <c r="AH61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11" s="55" t="str">
        <f>IF(ESTIMATIVA[[#This Row],[TP_CULTIVO]]="Irrigado",_xlfn.MAXIFS(IRRIGADO!J:J,IRRIGADO!C:C,ESTIMATIVA[[#This Row],[CD_UPNIVEL1]],IRRIGADO!E:E,ESTIMATIVA[[#This Row],[CD_UPNIVEL3]]),"")</f>
        <v/>
      </c>
      <c r="AJ61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11" s="1">
        <f>COUNTIFS(Apresentação!$E$23:$E$29,ESTIMATIVA[[#This Row],[CD_UPNIVEL1]])</f>
        <v>0</v>
      </c>
    </row>
    <row r="612" spans="1:37" x14ac:dyDescent="0.3">
      <c r="A612">
        <v>20328</v>
      </c>
      <c r="B612" t="s">
        <v>32</v>
      </c>
      <c r="C612">
        <v>9</v>
      </c>
      <c r="D612">
        <v>3</v>
      </c>
      <c r="E612" t="s">
        <v>263</v>
      </c>
      <c r="F612" s="85" t="s">
        <v>332</v>
      </c>
      <c r="G612"/>
      <c r="H612" t="s">
        <v>294</v>
      </c>
      <c r="I612" t="s">
        <v>205</v>
      </c>
      <c r="J612" t="s">
        <v>176</v>
      </c>
      <c r="K612" s="1">
        <v>20.61</v>
      </c>
      <c r="L612" s="1">
        <v>20.61</v>
      </c>
      <c r="M612" s="1">
        <v>0</v>
      </c>
      <c r="N612" s="1">
        <v>20.61</v>
      </c>
      <c r="O612" s="1">
        <v>1648.8</v>
      </c>
      <c r="P612" s="1">
        <v>1442.7</v>
      </c>
      <c r="Q612" s="1">
        <v>0</v>
      </c>
      <c r="R612" s="1">
        <v>1303.3800000000001</v>
      </c>
      <c r="S612" t="s">
        <v>12</v>
      </c>
      <c r="T612" s="13">
        <v>45921</v>
      </c>
      <c r="U612" s="1" t="str">
        <f>IF(ESTIMATIVA[[#This Row],[QT_AREA_REAL]]&gt;0,"1- Colhido","2- à Colher")</f>
        <v>1- Colhido</v>
      </c>
      <c r="V612" s="1" t="str">
        <f>IF(ESTIMATIVA[[#This Row],[QT_AREA_REST1]]&gt;0,"Reestimativa 1",IF(ESTIMATIVA[[#This Row],[QT_AREA_REAL]]=0,"Reestimativa 1","Realizado"))</f>
        <v>Reestimativa 1</v>
      </c>
      <c r="W612" s="1" t="str">
        <f>IF(ESTIMATIVA[[#This Row],[QT_AREA_REST2]]&gt;0,"Reestimativa 2",IF(ESTIMATIVA[[#This Row],[QT_AREA_REAL]]=0,"Reestimativa 2","Realizado"))</f>
        <v>Realizado</v>
      </c>
      <c r="X612" s="1">
        <f>ESTIMATIVA[[#This Row],[QT_AREA_EST]]</f>
        <v>20.61</v>
      </c>
      <c r="Y612" s="1">
        <f>IF(ESTIMATIVA[[#This Row],[QT_AREA_REST1]]&gt;0,ESTIMATIVA[[#This Row],[QT_AREA_REST1]],
  IF(ESTIMATIVA[[#This Row],[QT_AREA_REAL]]&gt;0,ESTIMATIVA[[#This Row],[QT_AREA_REAL]],ESTIMATIVA[[#This Row],[QT_AREA_EST]]))</f>
        <v>20.61</v>
      </c>
      <c r="Z61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20.61</v>
      </c>
      <c r="AA612" s="1">
        <f>ESTIMATIVA[[#This Row],[QT_CANA_EST]]</f>
        <v>1648.8</v>
      </c>
      <c r="AB612" s="1">
        <f>IF(ESTIMATIVA[[#This Row],[QT_CANA_REST1]]&gt;0,ESTIMATIVA[[#This Row],[QT_CANA_REST1]],
  IF(ESTIMATIVA[[#This Row],[QT_CANA_REAL]]&gt;0,ESTIMATIVA[[#This Row],[QT_CANA_REAL]],ESTIMATIVA[[#This Row],[QT_CANA_EST]]))</f>
        <v>1442.7</v>
      </c>
      <c r="AC61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1303.3800000000001</v>
      </c>
      <c r="AD612" s="1">
        <f>IF(ESTIMATIVA[[#This Row],[QT_AREA_REAL]]&gt;0,ESTIMATIVA[[#This Row],[QT_CANA_REAL]],ESTIMATIVA[[#This Row],[QT_CANA_EST]])</f>
        <v>1303.3800000000001</v>
      </c>
      <c r="AE612" s="1">
        <f>IF(ESTIMATIVA[[#This Row],[QT_AREA_REAL]]&gt;0,ESTIMATIVA[[#This Row],[QT_CANA_REAL]],ESTIMATIVA[[#This Row],[QT_CANA_REST1]])</f>
        <v>1303.3800000000001</v>
      </c>
      <c r="AF612" s="1">
        <f>IF(ESTIMATIVA[[#This Row],[QT_AREA_REAL]]&gt;0,ESTIMATIVA[[#This Row],[QT_CANA_REAL]],ESTIMATIVA[[#This Row],[QT_CANA_REST2]])</f>
        <v>1303.3800000000001</v>
      </c>
      <c r="AG612" s="1" t="str">
        <f>IF(COUNTIFS(GEADA!A:A,VALUE(ESTIMATIVA[[#This Row],[CD_UPNIVEL1]]&amp;TEXT(ESTIMATIVA[[#This Row],[CD_UPNIVEL3]],"0000")))&gt;0,"S","N")</f>
        <v>S</v>
      </c>
      <c r="AH61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12" s="55" t="str">
        <f>IF(ESTIMATIVA[[#This Row],[TP_CULTIVO]]="Irrigado",_xlfn.MAXIFS(IRRIGADO!J:J,IRRIGADO!C:C,ESTIMATIVA[[#This Row],[CD_UPNIVEL1]],IRRIGADO!E:E,ESTIMATIVA[[#This Row],[CD_UPNIVEL3]]),"")</f>
        <v/>
      </c>
      <c r="AJ61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12" s="1">
        <f>COUNTIFS(Apresentação!$E$23:$E$29,ESTIMATIVA[[#This Row],[CD_UPNIVEL1]])</f>
        <v>0</v>
      </c>
    </row>
    <row r="613" spans="1:37" x14ac:dyDescent="0.3">
      <c r="A613">
        <v>20328</v>
      </c>
      <c r="B613" t="s">
        <v>32</v>
      </c>
      <c r="C613">
        <v>10</v>
      </c>
      <c r="D613">
        <v>3</v>
      </c>
      <c r="E613" t="s">
        <v>263</v>
      </c>
      <c r="F613" s="85" t="s">
        <v>332</v>
      </c>
      <c r="G613"/>
      <c r="H613" t="s">
        <v>294</v>
      </c>
      <c r="I613" t="s">
        <v>205</v>
      </c>
      <c r="J613" t="s">
        <v>176</v>
      </c>
      <c r="K613" s="1">
        <v>23.37</v>
      </c>
      <c r="L613" s="1">
        <v>23.37</v>
      </c>
      <c r="M613" s="1">
        <v>0</v>
      </c>
      <c r="N613" s="1">
        <v>23.37</v>
      </c>
      <c r="O613" s="1">
        <v>1869.6</v>
      </c>
      <c r="P613" s="1">
        <v>1635.9</v>
      </c>
      <c r="Q613" s="1">
        <v>0</v>
      </c>
      <c r="R613" s="1">
        <v>1477.7</v>
      </c>
      <c r="S613" t="s">
        <v>12</v>
      </c>
      <c r="T613" s="13">
        <v>45921</v>
      </c>
      <c r="U613" s="1" t="str">
        <f>IF(ESTIMATIVA[[#This Row],[QT_AREA_REAL]]&gt;0,"1- Colhido","2- à Colher")</f>
        <v>1- Colhido</v>
      </c>
      <c r="V613" s="1" t="str">
        <f>IF(ESTIMATIVA[[#This Row],[QT_AREA_REST1]]&gt;0,"Reestimativa 1",IF(ESTIMATIVA[[#This Row],[QT_AREA_REAL]]=0,"Reestimativa 1","Realizado"))</f>
        <v>Reestimativa 1</v>
      </c>
      <c r="W613" s="1" t="str">
        <f>IF(ESTIMATIVA[[#This Row],[QT_AREA_REST2]]&gt;0,"Reestimativa 2",IF(ESTIMATIVA[[#This Row],[QT_AREA_REAL]]=0,"Reestimativa 2","Realizado"))</f>
        <v>Realizado</v>
      </c>
      <c r="X613" s="1">
        <f>ESTIMATIVA[[#This Row],[QT_AREA_EST]]</f>
        <v>23.37</v>
      </c>
      <c r="Y613" s="1">
        <f>IF(ESTIMATIVA[[#This Row],[QT_AREA_REST1]]&gt;0,ESTIMATIVA[[#This Row],[QT_AREA_REST1]],
  IF(ESTIMATIVA[[#This Row],[QT_AREA_REAL]]&gt;0,ESTIMATIVA[[#This Row],[QT_AREA_REAL]],ESTIMATIVA[[#This Row],[QT_AREA_EST]]))</f>
        <v>23.37</v>
      </c>
      <c r="Z61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23.37</v>
      </c>
      <c r="AA613" s="1">
        <f>ESTIMATIVA[[#This Row],[QT_CANA_EST]]</f>
        <v>1869.6</v>
      </c>
      <c r="AB613" s="1">
        <f>IF(ESTIMATIVA[[#This Row],[QT_CANA_REST1]]&gt;0,ESTIMATIVA[[#This Row],[QT_CANA_REST1]],
  IF(ESTIMATIVA[[#This Row],[QT_CANA_REAL]]&gt;0,ESTIMATIVA[[#This Row],[QT_CANA_REAL]],ESTIMATIVA[[#This Row],[QT_CANA_EST]]))</f>
        <v>1635.9</v>
      </c>
      <c r="AC61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1477.7</v>
      </c>
      <c r="AD613" s="1">
        <f>IF(ESTIMATIVA[[#This Row],[QT_AREA_REAL]]&gt;0,ESTIMATIVA[[#This Row],[QT_CANA_REAL]],ESTIMATIVA[[#This Row],[QT_CANA_EST]])</f>
        <v>1477.7</v>
      </c>
      <c r="AE613" s="1">
        <f>IF(ESTIMATIVA[[#This Row],[QT_AREA_REAL]]&gt;0,ESTIMATIVA[[#This Row],[QT_CANA_REAL]],ESTIMATIVA[[#This Row],[QT_CANA_REST1]])</f>
        <v>1477.7</v>
      </c>
      <c r="AF613" s="1">
        <f>IF(ESTIMATIVA[[#This Row],[QT_AREA_REAL]]&gt;0,ESTIMATIVA[[#This Row],[QT_CANA_REAL]],ESTIMATIVA[[#This Row],[QT_CANA_REST2]])</f>
        <v>1477.7</v>
      </c>
      <c r="AG613" s="1" t="str">
        <f>IF(COUNTIFS(GEADA!A:A,VALUE(ESTIMATIVA[[#This Row],[CD_UPNIVEL1]]&amp;TEXT(ESTIMATIVA[[#This Row],[CD_UPNIVEL3]],"0000")))&gt;0,"S","N")</f>
        <v>S</v>
      </c>
      <c r="AH61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13" s="55" t="str">
        <f>IF(ESTIMATIVA[[#This Row],[TP_CULTIVO]]="Irrigado",_xlfn.MAXIFS(IRRIGADO!J:J,IRRIGADO!C:C,ESTIMATIVA[[#This Row],[CD_UPNIVEL1]],IRRIGADO!E:E,ESTIMATIVA[[#This Row],[CD_UPNIVEL3]]),"")</f>
        <v/>
      </c>
      <c r="AJ61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13" s="1">
        <f>COUNTIFS(Apresentação!$E$23:$E$29,ESTIMATIVA[[#This Row],[CD_UPNIVEL1]])</f>
        <v>0</v>
      </c>
    </row>
    <row r="614" spans="1:37" x14ac:dyDescent="0.3">
      <c r="A614">
        <v>20328</v>
      </c>
      <c r="B614" t="s">
        <v>32</v>
      </c>
      <c r="C614">
        <v>11</v>
      </c>
      <c r="D614">
        <v>3</v>
      </c>
      <c r="E614" t="s">
        <v>263</v>
      </c>
      <c r="F614" s="85" t="s">
        <v>332</v>
      </c>
      <c r="G614"/>
      <c r="H614" t="s">
        <v>294</v>
      </c>
      <c r="I614" t="s">
        <v>205</v>
      </c>
      <c r="J614" t="s">
        <v>176</v>
      </c>
      <c r="K614" s="1">
        <v>28.23</v>
      </c>
      <c r="L614" s="1">
        <v>28.23</v>
      </c>
      <c r="M614" s="1">
        <v>0</v>
      </c>
      <c r="N614" s="1">
        <v>28.23</v>
      </c>
      <c r="O614" s="1">
        <v>2258.4</v>
      </c>
      <c r="P614" s="1">
        <v>1976.1</v>
      </c>
      <c r="Q614" s="1">
        <v>0</v>
      </c>
      <c r="R614" s="1">
        <v>1785.18</v>
      </c>
      <c r="S614" t="s">
        <v>12</v>
      </c>
      <c r="T614" s="13">
        <v>45921</v>
      </c>
      <c r="U614" s="1" t="str">
        <f>IF(ESTIMATIVA[[#This Row],[QT_AREA_REAL]]&gt;0,"1- Colhido","2- à Colher")</f>
        <v>1- Colhido</v>
      </c>
      <c r="V614" s="1" t="str">
        <f>IF(ESTIMATIVA[[#This Row],[QT_AREA_REST1]]&gt;0,"Reestimativa 1",IF(ESTIMATIVA[[#This Row],[QT_AREA_REAL]]=0,"Reestimativa 1","Realizado"))</f>
        <v>Reestimativa 1</v>
      </c>
      <c r="W614" s="1" t="str">
        <f>IF(ESTIMATIVA[[#This Row],[QT_AREA_REST2]]&gt;0,"Reestimativa 2",IF(ESTIMATIVA[[#This Row],[QT_AREA_REAL]]=0,"Reestimativa 2","Realizado"))</f>
        <v>Realizado</v>
      </c>
      <c r="X614" s="1">
        <f>ESTIMATIVA[[#This Row],[QT_AREA_EST]]</f>
        <v>28.23</v>
      </c>
      <c r="Y614" s="1">
        <f>IF(ESTIMATIVA[[#This Row],[QT_AREA_REST1]]&gt;0,ESTIMATIVA[[#This Row],[QT_AREA_REST1]],
  IF(ESTIMATIVA[[#This Row],[QT_AREA_REAL]]&gt;0,ESTIMATIVA[[#This Row],[QT_AREA_REAL]],ESTIMATIVA[[#This Row],[QT_AREA_EST]]))</f>
        <v>28.23</v>
      </c>
      <c r="Z61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28.23</v>
      </c>
      <c r="AA614" s="1">
        <f>ESTIMATIVA[[#This Row],[QT_CANA_EST]]</f>
        <v>2258.4</v>
      </c>
      <c r="AB614" s="1">
        <f>IF(ESTIMATIVA[[#This Row],[QT_CANA_REST1]]&gt;0,ESTIMATIVA[[#This Row],[QT_CANA_REST1]],
  IF(ESTIMATIVA[[#This Row],[QT_CANA_REAL]]&gt;0,ESTIMATIVA[[#This Row],[QT_CANA_REAL]],ESTIMATIVA[[#This Row],[QT_CANA_EST]]))</f>
        <v>1976.1</v>
      </c>
      <c r="AC61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1785.18</v>
      </c>
      <c r="AD614" s="1">
        <f>IF(ESTIMATIVA[[#This Row],[QT_AREA_REAL]]&gt;0,ESTIMATIVA[[#This Row],[QT_CANA_REAL]],ESTIMATIVA[[#This Row],[QT_CANA_EST]])</f>
        <v>1785.18</v>
      </c>
      <c r="AE614" s="1">
        <f>IF(ESTIMATIVA[[#This Row],[QT_AREA_REAL]]&gt;0,ESTIMATIVA[[#This Row],[QT_CANA_REAL]],ESTIMATIVA[[#This Row],[QT_CANA_REST1]])</f>
        <v>1785.18</v>
      </c>
      <c r="AF614" s="1">
        <f>IF(ESTIMATIVA[[#This Row],[QT_AREA_REAL]]&gt;0,ESTIMATIVA[[#This Row],[QT_CANA_REAL]],ESTIMATIVA[[#This Row],[QT_CANA_REST2]])</f>
        <v>1785.18</v>
      </c>
      <c r="AG614" s="1" t="str">
        <f>IF(COUNTIFS(GEADA!A:A,VALUE(ESTIMATIVA[[#This Row],[CD_UPNIVEL1]]&amp;TEXT(ESTIMATIVA[[#This Row],[CD_UPNIVEL3]],"0000")))&gt;0,"S","N")</f>
        <v>S</v>
      </c>
      <c r="AH61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14" s="55" t="str">
        <f>IF(ESTIMATIVA[[#This Row],[TP_CULTIVO]]="Irrigado",_xlfn.MAXIFS(IRRIGADO!J:J,IRRIGADO!C:C,ESTIMATIVA[[#This Row],[CD_UPNIVEL1]],IRRIGADO!E:E,ESTIMATIVA[[#This Row],[CD_UPNIVEL3]]),"")</f>
        <v/>
      </c>
      <c r="AJ61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14" s="1">
        <f>COUNTIFS(Apresentação!$E$23:$E$29,ESTIMATIVA[[#This Row],[CD_UPNIVEL1]])</f>
        <v>0</v>
      </c>
    </row>
    <row r="615" spans="1:37" x14ac:dyDescent="0.3">
      <c r="A615">
        <v>20328</v>
      </c>
      <c r="B615" t="s">
        <v>32</v>
      </c>
      <c r="C615">
        <v>12</v>
      </c>
      <c r="D615">
        <v>3</v>
      </c>
      <c r="E615" t="s">
        <v>263</v>
      </c>
      <c r="F615" s="85" t="s">
        <v>330</v>
      </c>
      <c r="G615"/>
      <c r="H615" t="s">
        <v>294</v>
      </c>
      <c r="I615" t="s">
        <v>205</v>
      </c>
      <c r="J615" t="s">
        <v>176</v>
      </c>
      <c r="K615" s="1">
        <v>17.02</v>
      </c>
      <c r="L615" s="1">
        <v>17.02</v>
      </c>
      <c r="M615" s="1">
        <v>0</v>
      </c>
      <c r="N615" s="1">
        <v>17.02</v>
      </c>
      <c r="O615" s="1">
        <v>1548.82</v>
      </c>
      <c r="P615" s="1">
        <v>1361.6</v>
      </c>
      <c r="Q615" s="1">
        <v>0</v>
      </c>
      <c r="R615" s="1">
        <v>1126.48</v>
      </c>
      <c r="S615" t="s">
        <v>12</v>
      </c>
      <c r="T615" s="13">
        <v>45921</v>
      </c>
      <c r="U615" s="1" t="str">
        <f>IF(ESTIMATIVA[[#This Row],[QT_AREA_REAL]]&gt;0,"1- Colhido","2- à Colher")</f>
        <v>1- Colhido</v>
      </c>
      <c r="V615" s="1" t="str">
        <f>IF(ESTIMATIVA[[#This Row],[QT_AREA_REST1]]&gt;0,"Reestimativa 1",IF(ESTIMATIVA[[#This Row],[QT_AREA_REAL]]=0,"Reestimativa 1","Realizado"))</f>
        <v>Reestimativa 1</v>
      </c>
      <c r="W615" s="1" t="str">
        <f>IF(ESTIMATIVA[[#This Row],[QT_AREA_REST2]]&gt;0,"Reestimativa 2",IF(ESTIMATIVA[[#This Row],[QT_AREA_REAL]]=0,"Reestimativa 2","Realizado"))</f>
        <v>Realizado</v>
      </c>
      <c r="X615" s="1">
        <f>ESTIMATIVA[[#This Row],[QT_AREA_EST]]</f>
        <v>17.02</v>
      </c>
      <c r="Y615" s="1">
        <f>IF(ESTIMATIVA[[#This Row],[QT_AREA_REST1]]&gt;0,ESTIMATIVA[[#This Row],[QT_AREA_REST1]],
  IF(ESTIMATIVA[[#This Row],[QT_AREA_REAL]]&gt;0,ESTIMATIVA[[#This Row],[QT_AREA_REAL]],ESTIMATIVA[[#This Row],[QT_AREA_EST]]))</f>
        <v>17.02</v>
      </c>
      <c r="Z61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17.02</v>
      </c>
      <c r="AA615" s="1">
        <f>ESTIMATIVA[[#This Row],[QT_CANA_EST]]</f>
        <v>1548.82</v>
      </c>
      <c r="AB615" s="1">
        <f>IF(ESTIMATIVA[[#This Row],[QT_CANA_REST1]]&gt;0,ESTIMATIVA[[#This Row],[QT_CANA_REST1]],
  IF(ESTIMATIVA[[#This Row],[QT_CANA_REAL]]&gt;0,ESTIMATIVA[[#This Row],[QT_CANA_REAL]],ESTIMATIVA[[#This Row],[QT_CANA_EST]]))</f>
        <v>1361.6</v>
      </c>
      <c r="AC61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1126.48</v>
      </c>
      <c r="AD615" s="1">
        <f>IF(ESTIMATIVA[[#This Row],[QT_AREA_REAL]]&gt;0,ESTIMATIVA[[#This Row],[QT_CANA_REAL]],ESTIMATIVA[[#This Row],[QT_CANA_EST]])</f>
        <v>1126.48</v>
      </c>
      <c r="AE615" s="1">
        <f>IF(ESTIMATIVA[[#This Row],[QT_AREA_REAL]]&gt;0,ESTIMATIVA[[#This Row],[QT_CANA_REAL]],ESTIMATIVA[[#This Row],[QT_CANA_REST1]])</f>
        <v>1126.48</v>
      </c>
      <c r="AF615" s="1">
        <f>IF(ESTIMATIVA[[#This Row],[QT_AREA_REAL]]&gt;0,ESTIMATIVA[[#This Row],[QT_CANA_REAL]],ESTIMATIVA[[#This Row],[QT_CANA_REST2]])</f>
        <v>1126.48</v>
      </c>
      <c r="AG615" s="1" t="str">
        <f>IF(COUNTIFS(GEADA!A:A,VALUE(ESTIMATIVA[[#This Row],[CD_UPNIVEL1]]&amp;TEXT(ESTIMATIVA[[#This Row],[CD_UPNIVEL3]],"0000")))&gt;0,"S","N")</f>
        <v>S</v>
      </c>
      <c r="AH61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15" s="55" t="str">
        <f>IF(ESTIMATIVA[[#This Row],[TP_CULTIVO]]="Irrigado",_xlfn.MAXIFS(IRRIGADO!J:J,IRRIGADO!C:C,ESTIMATIVA[[#This Row],[CD_UPNIVEL1]],IRRIGADO!E:E,ESTIMATIVA[[#This Row],[CD_UPNIVEL3]]),"")</f>
        <v/>
      </c>
      <c r="AJ61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15" s="1">
        <f>COUNTIFS(Apresentação!$E$23:$E$29,ESTIMATIVA[[#This Row],[CD_UPNIVEL1]])</f>
        <v>0</v>
      </c>
    </row>
    <row r="616" spans="1:37" x14ac:dyDescent="0.3">
      <c r="A616">
        <v>20328</v>
      </c>
      <c r="B616" t="s">
        <v>32</v>
      </c>
      <c r="C616">
        <v>13</v>
      </c>
      <c r="D616">
        <v>3</v>
      </c>
      <c r="E616" t="s">
        <v>263</v>
      </c>
      <c r="F616" s="85" t="s">
        <v>330</v>
      </c>
      <c r="G616"/>
      <c r="H616" t="s">
        <v>294</v>
      </c>
      <c r="I616" t="s">
        <v>205</v>
      </c>
      <c r="J616" t="s">
        <v>176</v>
      </c>
      <c r="K616" s="1">
        <v>22.73</v>
      </c>
      <c r="L616" s="1">
        <v>22.73</v>
      </c>
      <c r="M616" s="1">
        <v>0</v>
      </c>
      <c r="N616" s="1">
        <v>22.73</v>
      </c>
      <c r="O616" s="1">
        <v>2068.4299999999998</v>
      </c>
      <c r="P616" s="1">
        <v>1818.4</v>
      </c>
      <c r="Q616" s="1">
        <v>0</v>
      </c>
      <c r="R616" s="1">
        <v>1580.58</v>
      </c>
      <c r="S616" t="s">
        <v>12</v>
      </c>
      <c r="T616" s="13">
        <v>45921</v>
      </c>
      <c r="U616" s="1" t="str">
        <f>IF(ESTIMATIVA[[#This Row],[QT_AREA_REAL]]&gt;0,"1- Colhido","2- à Colher")</f>
        <v>1- Colhido</v>
      </c>
      <c r="V616" s="1" t="str">
        <f>IF(ESTIMATIVA[[#This Row],[QT_AREA_REST1]]&gt;0,"Reestimativa 1",IF(ESTIMATIVA[[#This Row],[QT_AREA_REAL]]=0,"Reestimativa 1","Realizado"))</f>
        <v>Reestimativa 1</v>
      </c>
      <c r="W616" s="1" t="str">
        <f>IF(ESTIMATIVA[[#This Row],[QT_AREA_REST2]]&gt;0,"Reestimativa 2",IF(ESTIMATIVA[[#This Row],[QT_AREA_REAL]]=0,"Reestimativa 2","Realizado"))</f>
        <v>Realizado</v>
      </c>
      <c r="X616" s="1">
        <f>ESTIMATIVA[[#This Row],[QT_AREA_EST]]</f>
        <v>22.73</v>
      </c>
      <c r="Y616" s="1">
        <f>IF(ESTIMATIVA[[#This Row],[QT_AREA_REST1]]&gt;0,ESTIMATIVA[[#This Row],[QT_AREA_REST1]],
  IF(ESTIMATIVA[[#This Row],[QT_AREA_REAL]]&gt;0,ESTIMATIVA[[#This Row],[QT_AREA_REAL]],ESTIMATIVA[[#This Row],[QT_AREA_EST]]))</f>
        <v>22.73</v>
      </c>
      <c r="Z61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22.73</v>
      </c>
      <c r="AA616" s="1">
        <f>ESTIMATIVA[[#This Row],[QT_CANA_EST]]</f>
        <v>2068.4299999999998</v>
      </c>
      <c r="AB616" s="1">
        <f>IF(ESTIMATIVA[[#This Row],[QT_CANA_REST1]]&gt;0,ESTIMATIVA[[#This Row],[QT_CANA_REST1]],
  IF(ESTIMATIVA[[#This Row],[QT_CANA_REAL]]&gt;0,ESTIMATIVA[[#This Row],[QT_CANA_REAL]],ESTIMATIVA[[#This Row],[QT_CANA_EST]]))</f>
        <v>1818.4</v>
      </c>
      <c r="AC61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1580.58</v>
      </c>
      <c r="AD616" s="1">
        <f>IF(ESTIMATIVA[[#This Row],[QT_AREA_REAL]]&gt;0,ESTIMATIVA[[#This Row],[QT_CANA_REAL]],ESTIMATIVA[[#This Row],[QT_CANA_EST]])</f>
        <v>1580.58</v>
      </c>
      <c r="AE616" s="1">
        <f>IF(ESTIMATIVA[[#This Row],[QT_AREA_REAL]]&gt;0,ESTIMATIVA[[#This Row],[QT_CANA_REAL]],ESTIMATIVA[[#This Row],[QT_CANA_REST1]])</f>
        <v>1580.58</v>
      </c>
      <c r="AF616" s="1">
        <f>IF(ESTIMATIVA[[#This Row],[QT_AREA_REAL]]&gt;0,ESTIMATIVA[[#This Row],[QT_CANA_REAL]],ESTIMATIVA[[#This Row],[QT_CANA_REST2]])</f>
        <v>1580.58</v>
      </c>
      <c r="AG616" s="1" t="str">
        <f>IF(COUNTIFS(GEADA!A:A,VALUE(ESTIMATIVA[[#This Row],[CD_UPNIVEL1]]&amp;TEXT(ESTIMATIVA[[#This Row],[CD_UPNIVEL3]],"0000")))&gt;0,"S","N")</f>
        <v>S</v>
      </c>
      <c r="AH61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16" s="55" t="str">
        <f>IF(ESTIMATIVA[[#This Row],[TP_CULTIVO]]="Irrigado",_xlfn.MAXIFS(IRRIGADO!J:J,IRRIGADO!C:C,ESTIMATIVA[[#This Row],[CD_UPNIVEL1]],IRRIGADO!E:E,ESTIMATIVA[[#This Row],[CD_UPNIVEL3]]),"")</f>
        <v/>
      </c>
      <c r="AJ61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16" s="1">
        <f>COUNTIFS(Apresentação!$E$23:$E$29,ESTIMATIVA[[#This Row],[CD_UPNIVEL1]])</f>
        <v>0</v>
      </c>
    </row>
    <row r="617" spans="1:37" x14ac:dyDescent="0.3">
      <c r="A617">
        <v>20328</v>
      </c>
      <c r="B617" t="s">
        <v>32</v>
      </c>
      <c r="C617">
        <v>14</v>
      </c>
      <c r="D617">
        <v>3</v>
      </c>
      <c r="E617" t="s">
        <v>263</v>
      </c>
      <c r="F617" s="85" t="s">
        <v>330</v>
      </c>
      <c r="G617"/>
      <c r="H617" t="s">
        <v>294</v>
      </c>
      <c r="I617" t="s">
        <v>205</v>
      </c>
      <c r="J617" t="s">
        <v>176</v>
      </c>
      <c r="K617" s="1">
        <v>21.44</v>
      </c>
      <c r="L617" s="1">
        <v>21.44</v>
      </c>
      <c r="M617" s="1">
        <v>0</v>
      </c>
      <c r="N617" s="1">
        <v>21.44</v>
      </c>
      <c r="O617" s="1">
        <v>1951.04</v>
      </c>
      <c r="P617" s="1">
        <v>1715.2</v>
      </c>
      <c r="Q617" s="1">
        <v>0</v>
      </c>
      <c r="R617" s="1">
        <v>1517.2</v>
      </c>
      <c r="S617" t="s">
        <v>12</v>
      </c>
      <c r="T617" s="13">
        <v>45921</v>
      </c>
      <c r="U617" s="1" t="str">
        <f>IF(ESTIMATIVA[[#This Row],[QT_AREA_REAL]]&gt;0,"1- Colhido","2- à Colher")</f>
        <v>1- Colhido</v>
      </c>
      <c r="V617" s="1" t="str">
        <f>IF(ESTIMATIVA[[#This Row],[QT_AREA_REST1]]&gt;0,"Reestimativa 1",IF(ESTIMATIVA[[#This Row],[QT_AREA_REAL]]=0,"Reestimativa 1","Realizado"))</f>
        <v>Reestimativa 1</v>
      </c>
      <c r="W617" s="1" t="str">
        <f>IF(ESTIMATIVA[[#This Row],[QT_AREA_REST2]]&gt;0,"Reestimativa 2",IF(ESTIMATIVA[[#This Row],[QT_AREA_REAL]]=0,"Reestimativa 2","Realizado"))</f>
        <v>Realizado</v>
      </c>
      <c r="X617" s="1">
        <f>ESTIMATIVA[[#This Row],[QT_AREA_EST]]</f>
        <v>21.44</v>
      </c>
      <c r="Y617" s="1">
        <f>IF(ESTIMATIVA[[#This Row],[QT_AREA_REST1]]&gt;0,ESTIMATIVA[[#This Row],[QT_AREA_REST1]],
  IF(ESTIMATIVA[[#This Row],[QT_AREA_REAL]]&gt;0,ESTIMATIVA[[#This Row],[QT_AREA_REAL]],ESTIMATIVA[[#This Row],[QT_AREA_EST]]))</f>
        <v>21.44</v>
      </c>
      <c r="Z61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21.44</v>
      </c>
      <c r="AA617" s="1">
        <f>ESTIMATIVA[[#This Row],[QT_CANA_EST]]</f>
        <v>1951.04</v>
      </c>
      <c r="AB617" s="1">
        <f>IF(ESTIMATIVA[[#This Row],[QT_CANA_REST1]]&gt;0,ESTIMATIVA[[#This Row],[QT_CANA_REST1]],
  IF(ESTIMATIVA[[#This Row],[QT_CANA_REAL]]&gt;0,ESTIMATIVA[[#This Row],[QT_CANA_REAL]],ESTIMATIVA[[#This Row],[QT_CANA_EST]]))</f>
        <v>1715.2</v>
      </c>
      <c r="AC61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1517.2</v>
      </c>
      <c r="AD617" s="1">
        <f>IF(ESTIMATIVA[[#This Row],[QT_AREA_REAL]]&gt;0,ESTIMATIVA[[#This Row],[QT_CANA_REAL]],ESTIMATIVA[[#This Row],[QT_CANA_EST]])</f>
        <v>1517.2</v>
      </c>
      <c r="AE617" s="1">
        <f>IF(ESTIMATIVA[[#This Row],[QT_AREA_REAL]]&gt;0,ESTIMATIVA[[#This Row],[QT_CANA_REAL]],ESTIMATIVA[[#This Row],[QT_CANA_REST1]])</f>
        <v>1517.2</v>
      </c>
      <c r="AF617" s="1">
        <f>IF(ESTIMATIVA[[#This Row],[QT_AREA_REAL]]&gt;0,ESTIMATIVA[[#This Row],[QT_CANA_REAL]],ESTIMATIVA[[#This Row],[QT_CANA_REST2]])</f>
        <v>1517.2</v>
      </c>
      <c r="AG617" s="1" t="str">
        <f>IF(COUNTIFS(GEADA!A:A,VALUE(ESTIMATIVA[[#This Row],[CD_UPNIVEL1]]&amp;TEXT(ESTIMATIVA[[#This Row],[CD_UPNIVEL3]],"0000")))&gt;0,"S","N")</f>
        <v>S</v>
      </c>
      <c r="AH61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17" s="55" t="str">
        <f>IF(ESTIMATIVA[[#This Row],[TP_CULTIVO]]="Irrigado",_xlfn.MAXIFS(IRRIGADO!J:J,IRRIGADO!C:C,ESTIMATIVA[[#This Row],[CD_UPNIVEL1]],IRRIGADO!E:E,ESTIMATIVA[[#This Row],[CD_UPNIVEL3]]),"")</f>
        <v/>
      </c>
      <c r="AJ61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17" s="1">
        <f>COUNTIFS(Apresentação!$E$23:$E$29,ESTIMATIVA[[#This Row],[CD_UPNIVEL1]])</f>
        <v>0</v>
      </c>
    </row>
    <row r="618" spans="1:37" x14ac:dyDescent="0.3">
      <c r="A618">
        <v>20328</v>
      </c>
      <c r="B618" t="s">
        <v>32</v>
      </c>
      <c r="C618">
        <v>41</v>
      </c>
      <c r="D618">
        <v>2</v>
      </c>
      <c r="E618" t="s">
        <v>266</v>
      </c>
      <c r="F618" s="85" t="s">
        <v>333</v>
      </c>
      <c r="G618"/>
      <c r="H618" t="s">
        <v>294</v>
      </c>
      <c r="I618" t="s">
        <v>198</v>
      </c>
      <c r="J618" t="s">
        <v>176</v>
      </c>
      <c r="K618" s="1">
        <v>33.18</v>
      </c>
      <c r="L618" s="1">
        <v>0</v>
      </c>
      <c r="M618" s="1">
        <v>0</v>
      </c>
      <c r="N618" s="1">
        <v>33.18</v>
      </c>
      <c r="O618" s="1">
        <v>2322.6</v>
      </c>
      <c r="P618" s="1">
        <v>0</v>
      </c>
      <c r="Q618" s="1">
        <v>0</v>
      </c>
      <c r="R618" s="1">
        <v>2937.87</v>
      </c>
      <c r="S618" t="s">
        <v>12</v>
      </c>
      <c r="T618" s="13">
        <v>45774</v>
      </c>
      <c r="U618" s="1" t="str">
        <f>IF(ESTIMATIVA[[#This Row],[QT_AREA_REAL]]&gt;0,"1- Colhido","2- à Colher")</f>
        <v>1- Colhido</v>
      </c>
      <c r="V618" s="1" t="str">
        <f>IF(ESTIMATIVA[[#This Row],[QT_AREA_REST1]]&gt;0,"Reestimativa 1",IF(ESTIMATIVA[[#This Row],[QT_AREA_REAL]]=0,"Reestimativa 1","Realizado"))</f>
        <v>Realizado</v>
      </c>
      <c r="W618" s="1" t="str">
        <f>IF(ESTIMATIVA[[#This Row],[QT_AREA_REST2]]&gt;0,"Reestimativa 2",IF(ESTIMATIVA[[#This Row],[QT_AREA_REAL]]=0,"Reestimativa 2","Realizado"))</f>
        <v>Realizado</v>
      </c>
      <c r="X618" s="1">
        <f>ESTIMATIVA[[#This Row],[QT_AREA_EST]]</f>
        <v>33.18</v>
      </c>
      <c r="Y618" s="1">
        <f>IF(ESTIMATIVA[[#This Row],[QT_AREA_REST1]]&gt;0,ESTIMATIVA[[#This Row],[QT_AREA_REST1]],
  IF(ESTIMATIVA[[#This Row],[QT_AREA_REAL]]&gt;0,ESTIMATIVA[[#This Row],[QT_AREA_REAL]],ESTIMATIVA[[#This Row],[QT_AREA_EST]]))</f>
        <v>33.18</v>
      </c>
      <c r="Z61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33.18</v>
      </c>
      <c r="AA618" s="1">
        <f>ESTIMATIVA[[#This Row],[QT_CANA_EST]]</f>
        <v>2322.6</v>
      </c>
      <c r="AB618" s="1">
        <f>IF(ESTIMATIVA[[#This Row],[QT_CANA_REST1]]&gt;0,ESTIMATIVA[[#This Row],[QT_CANA_REST1]],
  IF(ESTIMATIVA[[#This Row],[QT_CANA_REAL]]&gt;0,ESTIMATIVA[[#This Row],[QT_CANA_REAL]],ESTIMATIVA[[#This Row],[QT_CANA_EST]]))</f>
        <v>2937.87</v>
      </c>
      <c r="AC61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2937.87</v>
      </c>
      <c r="AD618" s="1">
        <f>IF(ESTIMATIVA[[#This Row],[QT_AREA_REAL]]&gt;0,ESTIMATIVA[[#This Row],[QT_CANA_REAL]],ESTIMATIVA[[#This Row],[QT_CANA_EST]])</f>
        <v>2937.87</v>
      </c>
      <c r="AE618" s="1">
        <f>IF(ESTIMATIVA[[#This Row],[QT_AREA_REAL]]&gt;0,ESTIMATIVA[[#This Row],[QT_CANA_REAL]],ESTIMATIVA[[#This Row],[QT_CANA_REST1]])</f>
        <v>2937.87</v>
      </c>
      <c r="AF618" s="1">
        <f>IF(ESTIMATIVA[[#This Row],[QT_AREA_REAL]]&gt;0,ESTIMATIVA[[#This Row],[QT_CANA_REAL]],ESTIMATIVA[[#This Row],[QT_CANA_REST2]])</f>
        <v>2937.87</v>
      </c>
      <c r="AG618" s="1" t="str">
        <f>IF(COUNTIFS(GEADA!A:A,VALUE(ESTIMATIVA[[#This Row],[CD_UPNIVEL1]]&amp;TEXT(ESTIMATIVA[[#This Row],[CD_UPNIVEL3]],"0000")))&gt;0,"S","N")</f>
        <v>N</v>
      </c>
      <c r="AH61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18" s="55" t="str">
        <f>IF(ESTIMATIVA[[#This Row],[TP_CULTIVO]]="Irrigado",_xlfn.MAXIFS(IRRIGADO!J:J,IRRIGADO!C:C,ESTIMATIVA[[#This Row],[CD_UPNIVEL1]],IRRIGADO!E:E,ESTIMATIVA[[#This Row],[CD_UPNIVEL3]]),"")</f>
        <v/>
      </c>
      <c r="AJ61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18" s="1">
        <f>COUNTIFS(Apresentação!$E$23:$E$29,ESTIMATIVA[[#This Row],[CD_UPNIVEL1]])</f>
        <v>0</v>
      </c>
    </row>
    <row r="619" spans="1:37" x14ac:dyDescent="0.3">
      <c r="A619">
        <v>20328</v>
      </c>
      <c r="B619" t="s">
        <v>32</v>
      </c>
      <c r="C619">
        <v>42</v>
      </c>
      <c r="D619">
        <v>2</v>
      </c>
      <c r="E619" t="s">
        <v>266</v>
      </c>
      <c r="F619" s="85" t="s">
        <v>333</v>
      </c>
      <c r="G619"/>
      <c r="H619" t="s">
        <v>294</v>
      </c>
      <c r="I619" t="s">
        <v>198</v>
      </c>
      <c r="J619" t="s">
        <v>176</v>
      </c>
      <c r="K619" s="1">
        <v>32.049999999999997</v>
      </c>
      <c r="L619" s="1">
        <v>0</v>
      </c>
      <c r="M619" s="1">
        <v>0</v>
      </c>
      <c r="N619" s="1">
        <v>32.049999999999997</v>
      </c>
      <c r="O619" s="1">
        <v>2243.5</v>
      </c>
      <c r="P619" s="1">
        <v>0</v>
      </c>
      <c r="Q619" s="1">
        <v>0</v>
      </c>
      <c r="R619" s="1">
        <v>2837.96</v>
      </c>
      <c r="S619" t="s">
        <v>12</v>
      </c>
      <c r="T619" s="13">
        <v>45774</v>
      </c>
      <c r="U619" s="1" t="str">
        <f>IF(ESTIMATIVA[[#This Row],[QT_AREA_REAL]]&gt;0,"1- Colhido","2- à Colher")</f>
        <v>1- Colhido</v>
      </c>
      <c r="V619" s="1" t="str">
        <f>IF(ESTIMATIVA[[#This Row],[QT_AREA_REST1]]&gt;0,"Reestimativa 1",IF(ESTIMATIVA[[#This Row],[QT_AREA_REAL]]=0,"Reestimativa 1","Realizado"))</f>
        <v>Realizado</v>
      </c>
      <c r="W619" s="1" t="str">
        <f>IF(ESTIMATIVA[[#This Row],[QT_AREA_REST2]]&gt;0,"Reestimativa 2",IF(ESTIMATIVA[[#This Row],[QT_AREA_REAL]]=0,"Reestimativa 2","Realizado"))</f>
        <v>Realizado</v>
      </c>
      <c r="X619" s="1">
        <f>ESTIMATIVA[[#This Row],[QT_AREA_EST]]</f>
        <v>32.049999999999997</v>
      </c>
      <c r="Y619" s="1">
        <f>IF(ESTIMATIVA[[#This Row],[QT_AREA_REST1]]&gt;0,ESTIMATIVA[[#This Row],[QT_AREA_REST1]],
  IF(ESTIMATIVA[[#This Row],[QT_AREA_REAL]]&gt;0,ESTIMATIVA[[#This Row],[QT_AREA_REAL]],ESTIMATIVA[[#This Row],[QT_AREA_EST]]))</f>
        <v>32.049999999999997</v>
      </c>
      <c r="Z61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32.049999999999997</v>
      </c>
      <c r="AA619" s="1">
        <f>ESTIMATIVA[[#This Row],[QT_CANA_EST]]</f>
        <v>2243.5</v>
      </c>
      <c r="AB619" s="1">
        <f>IF(ESTIMATIVA[[#This Row],[QT_CANA_REST1]]&gt;0,ESTIMATIVA[[#This Row],[QT_CANA_REST1]],
  IF(ESTIMATIVA[[#This Row],[QT_CANA_REAL]]&gt;0,ESTIMATIVA[[#This Row],[QT_CANA_REAL]],ESTIMATIVA[[#This Row],[QT_CANA_EST]]))</f>
        <v>2837.96</v>
      </c>
      <c r="AC61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2837.96</v>
      </c>
      <c r="AD619" s="1">
        <f>IF(ESTIMATIVA[[#This Row],[QT_AREA_REAL]]&gt;0,ESTIMATIVA[[#This Row],[QT_CANA_REAL]],ESTIMATIVA[[#This Row],[QT_CANA_EST]])</f>
        <v>2837.96</v>
      </c>
      <c r="AE619" s="1">
        <f>IF(ESTIMATIVA[[#This Row],[QT_AREA_REAL]]&gt;0,ESTIMATIVA[[#This Row],[QT_CANA_REAL]],ESTIMATIVA[[#This Row],[QT_CANA_REST1]])</f>
        <v>2837.96</v>
      </c>
      <c r="AF619" s="1">
        <f>IF(ESTIMATIVA[[#This Row],[QT_AREA_REAL]]&gt;0,ESTIMATIVA[[#This Row],[QT_CANA_REAL]],ESTIMATIVA[[#This Row],[QT_CANA_REST2]])</f>
        <v>2837.96</v>
      </c>
      <c r="AG619" s="1" t="str">
        <f>IF(COUNTIFS(GEADA!A:A,VALUE(ESTIMATIVA[[#This Row],[CD_UPNIVEL1]]&amp;TEXT(ESTIMATIVA[[#This Row],[CD_UPNIVEL3]],"0000")))&gt;0,"S","N")</f>
        <v>N</v>
      </c>
      <c r="AH61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19" s="55" t="str">
        <f>IF(ESTIMATIVA[[#This Row],[TP_CULTIVO]]="Irrigado",_xlfn.MAXIFS(IRRIGADO!J:J,IRRIGADO!C:C,ESTIMATIVA[[#This Row],[CD_UPNIVEL1]],IRRIGADO!E:E,ESTIMATIVA[[#This Row],[CD_UPNIVEL3]]),"")</f>
        <v/>
      </c>
      <c r="AJ61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19" s="1">
        <f>COUNTIFS(Apresentação!$E$23:$E$29,ESTIMATIVA[[#This Row],[CD_UPNIVEL1]])</f>
        <v>0</v>
      </c>
    </row>
    <row r="620" spans="1:37" x14ac:dyDescent="0.3">
      <c r="A620">
        <v>20328</v>
      </c>
      <c r="B620" t="s">
        <v>32</v>
      </c>
      <c r="C620">
        <v>43</v>
      </c>
      <c r="D620">
        <v>2</v>
      </c>
      <c r="E620" t="s">
        <v>266</v>
      </c>
      <c r="F620" s="85" t="s">
        <v>333</v>
      </c>
      <c r="G620"/>
      <c r="H620" t="s">
        <v>294</v>
      </c>
      <c r="I620" t="s">
        <v>198</v>
      </c>
      <c r="J620" t="s">
        <v>176</v>
      </c>
      <c r="K620" s="1">
        <v>13.81</v>
      </c>
      <c r="L620" s="1">
        <v>0</v>
      </c>
      <c r="M620" s="1">
        <v>0</v>
      </c>
      <c r="N620" s="1">
        <v>13.81</v>
      </c>
      <c r="O620" s="1">
        <v>966.7</v>
      </c>
      <c r="P620" s="1">
        <v>0</v>
      </c>
      <c r="Q620" s="1">
        <v>0</v>
      </c>
      <c r="R620" s="1">
        <v>1223.22</v>
      </c>
      <c r="S620" t="s">
        <v>12</v>
      </c>
      <c r="T620" s="13">
        <v>45774</v>
      </c>
      <c r="U620" s="1" t="str">
        <f>IF(ESTIMATIVA[[#This Row],[QT_AREA_REAL]]&gt;0,"1- Colhido","2- à Colher")</f>
        <v>1- Colhido</v>
      </c>
      <c r="V620" s="1" t="str">
        <f>IF(ESTIMATIVA[[#This Row],[QT_AREA_REST1]]&gt;0,"Reestimativa 1",IF(ESTIMATIVA[[#This Row],[QT_AREA_REAL]]=0,"Reestimativa 1","Realizado"))</f>
        <v>Realizado</v>
      </c>
      <c r="W620" s="1" t="str">
        <f>IF(ESTIMATIVA[[#This Row],[QT_AREA_REST2]]&gt;0,"Reestimativa 2",IF(ESTIMATIVA[[#This Row],[QT_AREA_REAL]]=0,"Reestimativa 2","Realizado"))</f>
        <v>Realizado</v>
      </c>
      <c r="X620" s="1">
        <f>ESTIMATIVA[[#This Row],[QT_AREA_EST]]</f>
        <v>13.81</v>
      </c>
      <c r="Y620" s="1">
        <f>IF(ESTIMATIVA[[#This Row],[QT_AREA_REST1]]&gt;0,ESTIMATIVA[[#This Row],[QT_AREA_REST1]],
  IF(ESTIMATIVA[[#This Row],[QT_AREA_REAL]]&gt;0,ESTIMATIVA[[#This Row],[QT_AREA_REAL]],ESTIMATIVA[[#This Row],[QT_AREA_EST]]))</f>
        <v>13.81</v>
      </c>
      <c r="Z62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13.81</v>
      </c>
      <c r="AA620" s="1">
        <f>ESTIMATIVA[[#This Row],[QT_CANA_EST]]</f>
        <v>966.7</v>
      </c>
      <c r="AB620" s="1">
        <f>IF(ESTIMATIVA[[#This Row],[QT_CANA_REST1]]&gt;0,ESTIMATIVA[[#This Row],[QT_CANA_REST1]],
  IF(ESTIMATIVA[[#This Row],[QT_CANA_REAL]]&gt;0,ESTIMATIVA[[#This Row],[QT_CANA_REAL]],ESTIMATIVA[[#This Row],[QT_CANA_EST]]))</f>
        <v>1223.22</v>
      </c>
      <c r="AC62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1223.22</v>
      </c>
      <c r="AD620" s="1">
        <f>IF(ESTIMATIVA[[#This Row],[QT_AREA_REAL]]&gt;0,ESTIMATIVA[[#This Row],[QT_CANA_REAL]],ESTIMATIVA[[#This Row],[QT_CANA_EST]])</f>
        <v>1223.22</v>
      </c>
      <c r="AE620" s="1">
        <f>IF(ESTIMATIVA[[#This Row],[QT_AREA_REAL]]&gt;0,ESTIMATIVA[[#This Row],[QT_CANA_REAL]],ESTIMATIVA[[#This Row],[QT_CANA_REST1]])</f>
        <v>1223.22</v>
      </c>
      <c r="AF620" s="1">
        <f>IF(ESTIMATIVA[[#This Row],[QT_AREA_REAL]]&gt;0,ESTIMATIVA[[#This Row],[QT_CANA_REAL]],ESTIMATIVA[[#This Row],[QT_CANA_REST2]])</f>
        <v>1223.22</v>
      </c>
      <c r="AG620" s="1" t="str">
        <f>IF(COUNTIFS(GEADA!A:A,VALUE(ESTIMATIVA[[#This Row],[CD_UPNIVEL1]]&amp;TEXT(ESTIMATIVA[[#This Row],[CD_UPNIVEL3]],"0000")))&gt;0,"S","N")</f>
        <v>N</v>
      </c>
      <c r="AH62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20" s="55" t="str">
        <f>IF(ESTIMATIVA[[#This Row],[TP_CULTIVO]]="Irrigado",_xlfn.MAXIFS(IRRIGADO!J:J,IRRIGADO!C:C,ESTIMATIVA[[#This Row],[CD_UPNIVEL1]],IRRIGADO!E:E,ESTIMATIVA[[#This Row],[CD_UPNIVEL3]]),"")</f>
        <v/>
      </c>
      <c r="AJ62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20" s="1">
        <f>COUNTIFS(Apresentação!$E$23:$E$29,ESTIMATIVA[[#This Row],[CD_UPNIVEL1]])</f>
        <v>0</v>
      </c>
    </row>
    <row r="621" spans="1:37" x14ac:dyDescent="0.3">
      <c r="A621">
        <v>20329</v>
      </c>
      <c r="B621" t="s">
        <v>128</v>
      </c>
      <c r="C621">
        <v>7</v>
      </c>
      <c r="D621">
        <v>4</v>
      </c>
      <c r="E621" t="s">
        <v>265</v>
      </c>
      <c r="F621" s="85" t="s">
        <v>331</v>
      </c>
      <c r="G621"/>
      <c r="H621" t="s">
        <v>294</v>
      </c>
      <c r="I621" t="s">
        <v>202</v>
      </c>
      <c r="J621" t="s">
        <v>176</v>
      </c>
      <c r="K621" s="1">
        <v>16.14</v>
      </c>
      <c r="L621" s="1">
        <v>16.14</v>
      </c>
      <c r="M621" s="1">
        <v>16.14</v>
      </c>
      <c r="N621" s="1">
        <v>16.14</v>
      </c>
      <c r="O621" s="1">
        <v>1065.24</v>
      </c>
      <c r="P621" s="1">
        <v>1097.52</v>
      </c>
      <c r="Q621" s="1">
        <v>919.98</v>
      </c>
      <c r="R621" s="1">
        <v>840.67</v>
      </c>
      <c r="S621" t="s">
        <v>12</v>
      </c>
      <c r="T621" s="13">
        <v>45984</v>
      </c>
      <c r="U621" s="1" t="str">
        <f>IF(ESTIMATIVA[[#This Row],[QT_AREA_REAL]]&gt;0,"1- Colhido","2- à Colher")</f>
        <v>1- Colhido</v>
      </c>
      <c r="V621" s="1" t="str">
        <f>IF(ESTIMATIVA[[#This Row],[QT_AREA_REST1]]&gt;0,"Reestimativa 1",IF(ESTIMATIVA[[#This Row],[QT_AREA_REAL]]=0,"Reestimativa 1","Realizado"))</f>
        <v>Reestimativa 1</v>
      </c>
      <c r="W621" s="1" t="str">
        <f>IF(ESTIMATIVA[[#This Row],[QT_AREA_REST2]]&gt;0,"Reestimativa 2",IF(ESTIMATIVA[[#This Row],[QT_AREA_REAL]]=0,"Reestimativa 2","Realizado"))</f>
        <v>Reestimativa 2</v>
      </c>
      <c r="X621" s="1">
        <f>ESTIMATIVA[[#This Row],[QT_AREA_EST]]</f>
        <v>16.14</v>
      </c>
      <c r="Y621" s="1">
        <f>IF(ESTIMATIVA[[#This Row],[QT_AREA_REST1]]&gt;0,ESTIMATIVA[[#This Row],[QT_AREA_REST1]],
  IF(ESTIMATIVA[[#This Row],[QT_AREA_REAL]]&gt;0,ESTIMATIVA[[#This Row],[QT_AREA_REAL]],ESTIMATIVA[[#This Row],[QT_AREA_EST]]))</f>
        <v>16.14</v>
      </c>
      <c r="Z62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16.14</v>
      </c>
      <c r="AA621" s="1">
        <f>ESTIMATIVA[[#This Row],[QT_CANA_EST]]</f>
        <v>1065.24</v>
      </c>
      <c r="AB621" s="1">
        <f>IF(ESTIMATIVA[[#This Row],[QT_CANA_REST1]]&gt;0,ESTIMATIVA[[#This Row],[QT_CANA_REST1]],
  IF(ESTIMATIVA[[#This Row],[QT_CANA_REAL]]&gt;0,ESTIMATIVA[[#This Row],[QT_CANA_REAL]],ESTIMATIVA[[#This Row],[QT_CANA_EST]]))</f>
        <v>1097.52</v>
      </c>
      <c r="AC62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919.98</v>
      </c>
      <c r="AD621" s="1">
        <f>IF(ESTIMATIVA[[#This Row],[QT_AREA_REAL]]&gt;0,ESTIMATIVA[[#This Row],[QT_CANA_REAL]],ESTIMATIVA[[#This Row],[QT_CANA_EST]])</f>
        <v>840.67</v>
      </c>
      <c r="AE621" s="1">
        <f>IF(ESTIMATIVA[[#This Row],[QT_AREA_REAL]]&gt;0,ESTIMATIVA[[#This Row],[QT_CANA_REAL]],ESTIMATIVA[[#This Row],[QT_CANA_REST1]])</f>
        <v>840.67</v>
      </c>
      <c r="AF621" s="1">
        <f>IF(ESTIMATIVA[[#This Row],[QT_AREA_REAL]]&gt;0,ESTIMATIVA[[#This Row],[QT_CANA_REAL]],ESTIMATIVA[[#This Row],[QT_CANA_REST2]])</f>
        <v>840.67</v>
      </c>
      <c r="AG621" s="1" t="str">
        <f>IF(COUNTIFS(GEADA!A:A,VALUE(ESTIMATIVA[[#This Row],[CD_UPNIVEL1]]&amp;TEXT(ESTIMATIVA[[#This Row],[CD_UPNIVEL3]],"0000")))&gt;0,"S","N")</f>
        <v>N</v>
      </c>
      <c r="AH62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21" s="55" t="str">
        <f>IF(ESTIMATIVA[[#This Row],[TP_CULTIVO]]="Irrigado",_xlfn.MAXIFS(IRRIGADO!J:J,IRRIGADO!C:C,ESTIMATIVA[[#This Row],[CD_UPNIVEL1]],IRRIGADO!E:E,ESTIMATIVA[[#This Row],[CD_UPNIVEL3]]),"")</f>
        <v/>
      </c>
      <c r="AJ62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21" s="1">
        <f>COUNTIFS(Apresentação!$E$23:$E$29,ESTIMATIVA[[#This Row],[CD_UPNIVEL1]])</f>
        <v>0</v>
      </c>
    </row>
    <row r="622" spans="1:37" x14ac:dyDescent="0.3">
      <c r="A622">
        <v>20329</v>
      </c>
      <c r="B622" t="s">
        <v>128</v>
      </c>
      <c r="C622">
        <v>8</v>
      </c>
      <c r="D622">
        <v>4</v>
      </c>
      <c r="E622" t="s">
        <v>265</v>
      </c>
      <c r="F622" s="85" t="s">
        <v>331</v>
      </c>
      <c r="G622"/>
      <c r="H622" t="s">
        <v>294</v>
      </c>
      <c r="I622" t="s">
        <v>202</v>
      </c>
      <c r="J622" t="s">
        <v>176</v>
      </c>
      <c r="K622" s="1">
        <v>20.9</v>
      </c>
      <c r="L622" s="1">
        <v>20.9</v>
      </c>
      <c r="M622" s="1">
        <v>20.9</v>
      </c>
      <c r="N622" s="1">
        <v>20.9</v>
      </c>
      <c r="O622" s="1">
        <v>1379.4</v>
      </c>
      <c r="P622" s="1">
        <v>1421.2</v>
      </c>
      <c r="Q622" s="1">
        <v>1191.3</v>
      </c>
      <c r="R622" s="1">
        <v>1088.31</v>
      </c>
      <c r="S622" t="s">
        <v>12</v>
      </c>
      <c r="T622" s="13">
        <v>45984</v>
      </c>
      <c r="U622" s="1" t="str">
        <f>IF(ESTIMATIVA[[#This Row],[QT_AREA_REAL]]&gt;0,"1- Colhido","2- à Colher")</f>
        <v>1- Colhido</v>
      </c>
      <c r="V622" s="1" t="str">
        <f>IF(ESTIMATIVA[[#This Row],[QT_AREA_REST1]]&gt;0,"Reestimativa 1",IF(ESTIMATIVA[[#This Row],[QT_AREA_REAL]]=0,"Reestimativa 1","Realizado"))</f>
        <v>Reestimativa 1</v>
      </c>
      <c r="W622" s="1" t="str">
        <f>IF(ESTIMATIVA[[#This Row],[QT_AREA_REST2]]&gt;0,"Reestimativa 2",IF(ESTIMATIVA[[#This Row],[QT_AREA_REAL]]=0,"Reestimativa 2","Realizado"))</f>
        <v>Reestimativa 2</v>
      </c>
      <c r="X622" s="1">
        <f>ESTIMATIVA[[#This Row],[QT_AREA_EST]]</f>
        <v>20.9</v>
      </c>
      <c r="Y622" s="1">
        <f>IF(ESTIMATIVA[[#This Row],[QT_AREA_REST1]]&gt;0,ESTIMATIVA[[#This Row],[QT_AREA_REST1]],
  IF(ESTIMATIVA[[#This Row],[QT_AREA_REAL]]&gt;0,ESTIMATIVA[[#This Row],[QT_AREA_REAL]],ESTIMATIVA[[#This Row],[QT_AREA_EST]]))</f>
        <v>20.9</v>
      </c>
      <c r="Z62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20.9</v>
      </c>
      <c r="AA622" s="1">
        <f>ESTIMATIVA[[#This Row],[QT_CANA_EST]]</f>
        <v>1379.4</v>
      </c>
      <c r="AB622" s="1">
        <f>IF(ESTIMATIVA[[#This Row],[QT_CANA_REST1]]&gt;0,ESTIMATIVA[[#This Row],[QT_CANA_REST1]],
  IF(ESTIMATIVA[[#This Row],[QT_CANA_REAL]]&gt;0,ESTIMATIVA[[#This Row],[QT_CANA_REAL]],ESTIMATIVA[[#This Row],[QT_CANA_EST]]))</f>
        <v>1421.2</v>
      </c>
      <c r="AC62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1191.3</v>
      </c>
      <c r="AD622" s="1">
        <f>IF(ESTIMATIVA[[#This Row],[QT_AREA_REAL]]&gt;0,ESTIMATIVA[[#This Row],[QT_CANA_REAL]],ESTIMATIVA[[#This Row],[QT_CANA_EST]])</f>
        <v>1088.31</v>
      </c>
      <c r="AE622" s="1">
        <f>IF(ESTIMATIVA[[#This Row],[QT_AREA_REAL]]&gt;0,ESTIMATIVA[[#This Row],[QT_CANA_REAL]],ESTIMATIVA[[#This Row],[QT_CANA_REST1]])</f>
        <v>1088.31</v>
      </c>
      <c r="AF622" s="1">
        <f>IF(ESTIMATIVA[[#This Row],[QT_AREA_REAL]]&gt;0,ESTIMATIVA[[#This Row],[QT_CANA_REAL]],ESTIMATIVA[[#This Row],[QT_CANA_REST2]])</f>
        <v>1088.31</v>
      </c>
      <c r="AG622" s="1" t="str">
        <f>IF(COUNTIFS(GEADA!A:A,VALUE(ESTIMATIVA[[#This Row],[CD_UPNIVEL1]]&amp;TEXT(ESTIMATIVA[[#This Row],[CD_UPNIVEL3]],"0000")))&gt;0,"S","N")</f>
        <v>N</v>
      </c>
      <c r="AH62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22" s="55" t="str">
        <f>IF(ESTIMATIVA[[#This Row],[TP_CULTIVO]]="Irrigado",_xlfn.MAXIFS(IRRIGADO!J:J,IRRIGADO!C:C,ESTIMATIVA[[#This Row],[CD_UPNIVEL1]],IRRIGADO!E:E,ESTIMATIVA[[#This Row],[CD_UPNIVEL3]]),"")</f>
        <v/>
      </c>
      <c r="AJ62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22" s="1">
        <f>COUNTIFS(Apresentação!$E$23:$E$29,ESTIMATIVA[[#This Row],[CD_UPNIVEL1]])</f>
        <v>0</v>
      </c>
    </row>
    <row r="623" spans="1:37" x14ac:dyDescent="0.3">
      <c r="A623">
        <v>20329</v>
      </c>
      <c r="B623" t="s">
        <v>128</v>
      </c>
      <c r="C623">
        <v>9</v>
      </c>
      <c r="D623">
        <v>4</v>
      </c>
      <c r="E623" t="s">
        <v>265</v>
      </c>
      <c r="F623" s="85" t="s">
        <v>333</v>
      </c>
      <c r="G623"/>
      <c r="H623" t="s">
        <v>294</v>
      </c>
      <c r="I623" t="s">
        <v>202</v>
      </c>
      <c r="J623" t="s">
        <v>176</v>
      </c>
      <c r="K623" s="1">
        <v>11.75</v>
      </c>
      <c r="L623" s="1">
        <v>11.75</v>
      </c>
      <c r="M623" s="1">
        <v>11.75</v>
      </c>
      <c r="N623" s="1">
        <v>11.75</v>
      </c>
      <c r="O623" s="1">
        <v>775.5</v>
      </c>
      <c r="P623" s="1">
        <v>799</v>
      </c>
      <c r="Q623" s="1">
        <v>669.75</v>
      </c>
      <c r="R623" s="1">
        <v>612.33000000000004</v>
      </c>
      <c r="S623" t="s">
        <v>12</v>
      </c>
      <c r="T623" s="13">
        <v>45984</v>
      </c>
      <c r="U623" s="1" t="str">
        <f>IF(ESTIMATIVA[[#This Row],[QT_AREA_REAL]]&gt;0,"1- Colhido","2- à Colher")</f>
        <v>1- Colhido</v>
      </c>
      <c r="V623" s="1" t="str">
        <f>IF(ESTIMATIVA[[#This Row],[QT_AREA_REST1]]&gt;0,"Reestimativa 1",IF(ESTIMATIVA[[#This Row],[QT_AREA_REAL]]=0,"Reestimativa 1","Realizado"))</f>
        <v>Reestimativa 1</v>
      </c>
      <c r="W623" s="1" t="str">
        <f>IF(ESTIMATIVA[[#This Row],[QT_AREA_REST2]]&gt;0,"Reestimativa 2",IF(ESTIMATIVA[[#This Row],[QT_AREA_REAL]]=0,"Reestimativa 2","Realizado"))</f>
        <v>Reestimativa 2</v>
      </c>
      <c r="X623" s="1">
        <f>ESTIMATIVA[[#This Row],[QT_AREA_EST]]</f>
        <v>11.75</v>
      </c>
      <c r="Y623" s="1">
        <f>IF(ESTIMATIVA[[#This Row],[QT_AREA_REST1]]&gt;0,ESTIMATIVA[[#This Row],[QT_AREA_REST1]],
  IF(ESTIMATIVA[[#This Row],[QT_AREA_REAL]]&gt;0,ESTIMATIVA[[#This Row],[QT_AREA_REAL]],ESTIMATIVA[[#This Row],[QT_AREA_EST]]))</f>
        <v>11.75</v>
      </c>
      <c r="Z62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11.75</v>
      </c>
      <c r="AA623" s="1">
        <f>ESTIMATIVA[[#This Row],[QT_CANA_EST]]</f>
        <v>775.5</v>
      </c>
      <c r="AB623" s="1">
        <f>IF(ESTIMATIVA[[#This Row],[QT_CANA_REST1]]&gt;0,ESTIMATIVA[[#This Row],[QT_CANA_REST1]],
  IF(ESTIMATIVA[[#This Row],[QT_CANA_REAL]]&gt;0,ESTIMATIVA[[#This Row],[QT_CANA_REAL]],ESTIMATIVA[[#This Row],[QT_CANA_EST]]))</f>
        <v>799</v>
      </c>
      <c r="AC62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669.75</v>
      </c>
      <c r="AD623" s="1">
        <f>IF(ESTIMATIVA[[#This Row],[QT_AREA_REAL]]&gt;0,ESTIMATIVA[[#This Row],[QT_CANA_REAL]],ESTIMATIVA[[#This Row],[QT_CANA_EST]])</f>
        <v>612.33000000000004</v>
      </c>
      <c r="AE623" s="1">
        <f>IF(ESTIMATIVA[[#This Row],[QT_AREA_REAL]]&gt;0,ESTIMATIVA[[#This Row],[QT_CANA_REAL]],ESTIMATIVA[[#This Row],[QT_CANA_REST1]])</f>
        <v>612.33000000000004</v>
      </c>
      <c r="AF623" s="1">
        <f>IF(ESTIMATIVA[[#This Row],[QT_AREA_REAL]]&gt;0,ESTIMATIVA[[#This Row],[QT_CANA_REAL]],ESTIMATIVA[[#This Row],[QT_CANA_REST2]])</f>
        <v>612.33000000000004</v>
      </c>
      <c r="AG623" s="1" t="str">
        <f>IF(COUNTIFS(GEADA!A:A,VALUE(ESTIMATIVA[[#This Row],[CD_UPNIVEL1]]&amp;TEXT(ESTIMATIVA[[#This Row],[CD_UPNIVEL3]],"0000")))&gt;0,"S","N")</f>
        <v>N</v>
      </c>
      <c r="AH62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23" s="55" t="str">
        <f>IF(ESTIMATIVA[[#This Row],[TP_CULTIVO]]="Irrigado",_xlfn.MAXIFS(IRRIGADO!J:J,IRRIGADO!C:C,ESTIMATIVA[[#This Row],[CD_UPNIVEL1]],IRRIGADO!E:E,ESTIMATIVA[[#This Row],[CD_UPNIVEL3]]),"")</f>
        <v/>
      </c>
      <c r="AJ62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23" s="1">
        <f>COUNTIFS(Apresentação!$E$23:$E$29,ESTIMATIVA[[#This Row],[CD_UPNIVEL1]])</f>
        <v>0</v>
      </c>
    </row>
    <row r="624" spans="1:37" x14ac:dyDescent="0.3">
      <c r="A624">
        <v>20329</v>
      </c>
      <c r="B624" t="s">
        <v>128</v>
      </c>
      <c r="C624">
        <v>10</v>
      </c>
      <c r="D624">
        <v>1</v>
      </c>
      <c r="E624" t="s">
        <v>267</v>
      </c>
      <c r="F624" s="85" t="s">
        <v>331</v>
      </c>
      <c r="G624"/>
      <c r="H624" t="s">
        <v>294</v>
      </c>
      <c r="I624" t="s">
        <v>220</v>
      </c>
      <c r="J624" t="s">
        <v>176</v>
      </c>
      <c r="K624" s="1">
        <v>4.8</v>
      </c>
      <c r="L624" s="1">
        <v>4.8</v>
      </c>
      <c r="M624" s="1">
        <v>4.8</v>
      </c>
      <c r="N624" s="1">
        <v>4.8</v>
      </c>
      <c r="O624" s="1">
        <v>566.4</v>
      </c>
      <c r="P624" s="1">
        <v>571.20000000000005</v>
      </c>
      <c r="Q624" s="1">
        <v>571.20000000000005</v>
      </c>
      <c r="R624" s="1">
        <v>440.73</v>
      </c>
      <c r="S624" t="s">
        <v>12</v>
      </c>
      <c r="T624" s="13">
        <v>45963</v>
      </c>
      <c r="U624" s="1" t="str">
        <f>IF(ESTIMATIVA[[#This Row],[QT_AREA_REAL]]&gt;0,"1- Colhido","2- à Colher")</f>
        <v>1- Colhido</v>
      </c>
      <c r="V624" s="1" t="str">
        <f>IF(ESTIMATIVA[[#This Row],[QT_AREA_REST1]]&gt;0,"Reestimativa 1",IF(ESTIMATIVA[[#This Row],[QT_AREA_REAL]]=0,"Reestimativa 1","Realizado"))</f>
        <v>Reestimativa 1</v>
      </c>
      <c r="W624" s="1" t="str">
        <f>IF(ESTIMATIVA[[#This Row],[QT_AREA_REST2]]&gt;0,"Reestimativa 2",IF(ESTIMATIVA[[#This Row],[QT_AREA_REAL]]=0,"Reestimativa 2","Realizado"))</f>
        <v>Reestimativa 2</v>
      </c>
      <c r="X624" s="1">
        <f>ESTIMATIVA[[#This Row],[QT_AREA_EST]]</f>
        <v>4.8</v>
      </c>
      <c r="Y624" s="1">
        <f>IF(ESTIMATIVA[[#This Row],[QT_AREA_REST1]]&gt;0,ESTIMATIVA[[#This Row],[QT_AREA_REST1]],
  IF(ESTIMATIVA[[#This Row],[QT_AREA_REAL]]&gt;0,ESTIMATIVA[[#This Row],[QT_AREA_REAL]],ESTIMATIVA[[#This Row],[QT_AREA_EST]]))</f>
        <v>4.8</v>
      </c>
      <c r="Z62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4.8</v>
      </c>
      <c r="AA624" s="1">
        <f>ESTIMATIVA[[#This Row],[QT_CANA_EST]]</f>
        <v>566.4</v>
      </c>
      <c r="AB624" s="1">
        <f>IF(ESTIMATIVA[[#This Row],[QT_CANA_REST1]]&gt;0,ESTIMATIVA[[#This Row],[QT_CANA_REST1]],
  IF(ESTIMATIVA[[#This Row],[QT_CANA_REAL]]&gt;0,ESTIMATIVA[[#This Row],[QT_CANA_REAL]],ESTIMATIVA[[#This Row],[QT_CANA_EST]]))</f>
        <v>571.20000000000005</v>
      </c>
      <c r="AC62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571.20000000000005</v>
      </c>
      <c r="AD624" s="1">
        <f>IF(ESTIMATIVA[[#This Row],[QT_AREA_REAL]]&gt;0,ESTIMATIVA[[#This Row],[QT_CANA_REAL]],ESTIMATIVA[[#This Row],[QT_CANA_EST]])</f>
        <v>440.73</v>
      </c>
      <c r="AE624" s="1">
        <f>IF(ESTIMATIVA[[#This Row],[QT_AREA_REAL]]&gt;0,ESTIMATIVA[[#This Row],[QT_CANA_REAL]],ESTIMATIVA[[#This Row],[QT_CANA_REST1]])</f>
        <v>440.73</v>
      </c>
      <c r="AF624" s="1">
        <f>IF(ESTIMATIVA[[#This Row],[QT_AREA_REAL]]&gt;0,ESTIMATIVA[[#This Row],[QT_CANA_REAL]],ESTIMATIVA[[#This Row],[QT_CANA_REST2]])</f>
        <v>440.73</v>
      </c>
      <c r="AG624" s="1" t="str">
        <f>IF(COUNTIFS(GEADA!A:A,VALUE(ESTIMATIVA[[#This Row],[CD_UPNIVEL1]]&amp;TEXT(ESTIMATIVA[[#This Row],[CD_UPNIVEL3]],"0000")))&gt;0,"S","N")</f>
        <v>N</v>
      </c>
      <c r="AH62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24" s="55" t="str">
        <f>IF(ESTIMATIVA[[#This Row],[TP_CULTIVO]]="Irrigado",_xlfn.MAXIFS(IRRIGADO!J:J,IRRIGADO!C:C,ESTIMATIVA[[#This Row],[CD_UPNIVEL1]],IRRIGADO!E:E,ESTIMATIVA[[#This Row],[CD_UPNIVEL3]]),"")</f>
        <v/>
      </c>
      <c r="AJ62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24" s="1">
        <f>COUNTIFS(Apresentação!$E$23:$E$29,ESTIMATIVA[[#This Row],[CD_UPNIVEL1]])</f>
        <v>0</v>
      </c>
    </row>
    <row r="625" spans="1:37" x14ac:dyDescent="0.3">
      <c r="A625">
        <v>20329</v>
      </c>
      <c r="B625" t="s">
        <v>128</v>
      </c>
      <c r="C625">
        <v>11</v>
      </c>
      <c r="D625">
        <v>1</v>
      </c>
      <c r="E625" t="s">
        <v>267</v>
      </c>
      <c r="F625" s="85" t="s">
        <v>331</v>
      </c>
      <c r="G625"/>
      <c r="H625" t="s">
        <v>294</v>
      </c>
      <c r="I625" t="s">
        <v>220</v>
      </c>
      <c r="J625" t="s">
        <v>176</v>
      </c>
      <c r="K625" s="1">
        <v>18.760000000000002</v>
      </c>
      <c r="L625" s="1">
        <v>18.760000000000002</v>
      </c>
      <c r="M625" s="1">
        <v>18.760000000000002</v>
      </c>
      <c r="N625" s="1">
        <v>18.760000000000002</v>
      </c>
      <c r="O625" s="1">
        <v>2213.6799999999998</v>
      </c>
      <c r="P625" s="1">
        <v>2232.44</v>
      </c>
      <c r="Q625" s="1">
        <v>2232.44</v>
      </c>
      <c r="R625" s="1">
        <v>1722.94</v>
      </c>
      <c r="S625" t="s">
        <v>12</v>
      </c>
      <c r="T625" s="13">
        <v>45963</v>
      </c>
      <c r="U625" s="1" t="str">
        <f>IF(ESTIMATIVA[[#This Row],[QT_AREA_REAL]]&gt;0,"1- Colhido","2- à Colher")</f>
        <v>1- Colhido</v>
      </c>
      <c r="V625" s="1" t="str">
        <f>IF(ESTIMATIVA[[#This Row],[QT_AREA_REST1]]&gt;0,"Reestimativa 1",IF(ESTIMATIVA[[#This Row],[QT_AREA_REAL]]=0,"Reestimativa 1","Realizado"))</f>
        <v>Reestimativa 1</v>
      </c>
      <c r="W625" s="1" t="str">
        <f>IF(ESTIMATIVA[[#This Row],[QT_AREA_REST2]]&gt;0,"Reestimativa 2",IF(ESTIMATIVA[[#This Row],[QT_AREA_REAL]]=0,"Reestimativa 2","Realizado"))</f>
        <v>Reestimativa 2</v>
      </c>
      <c r="X625" s="1">
        <f>ESTIMATIVA[[#This Row],[QT_AREA_EST]]</f>
        <v>18.760000000000002</v>
      </c>
      <c r="Y625" s="1">
        <f>IF(ESTIMATIVA[[#This Row],[QT_AREA_REST1]]&gt;0,ESTIMATIVA[[#This Row],[QT_AREA_REST1]],
  IF(ESTIMATIVA[[#This Row],[QT_AREA_REAL]]&gt;0,ESTIMATIVA[[#This Row],[QT_AREA_REAL]],ESTIMATIVA[[#This Row],[QT_AREA_EST]]))</f>
        <v>18.760000000000002</v>
      </c>
      <c r="Z62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18.760000000000002</v>
      </c>
      <c r="AA625" s="1">
        <f>ESTIMATIVA[[#This Row],[QT_CANA_EST]]</f>
        <v>2213.6799999999998</v>
      </c>
      <c r="AB625" s="1">
        <f>IF(ESTIMATIVA[[#This Row],[QT_CANA_REST1]]&gt;0,ESTIMATIVA[[#This Row],[QT_CANA_REST1]],
  IF(ESTIMATIVA[[#This Row],[QT_CANA_REAL]]&gt;0,ESTIMATIVA[[#This Row],[QT_CANA_REAL]],ESTIMATIVA[[#This Row],[QT_CANA_EST]]))</f>
        <v>2232.44</v>
      </c>
      <c r="AC62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2232.44</v>
      </c>
      <c r="AD625" s="1">
        <f>IF(ESTIMATIVA[[#This Row],[QT_AREA_REAL]]&gt;0,ESTIMATIVA[[#This Row],[QT_CANA_REAL]],ESTIMATIVA[[#This Row],[QT_CANA_EST]])</f>
        <v>1722.94</v>
      </c>
      <c r="AE625" s="1">
        <f>IF(ESTIMATIVA[[#This Row],[QT_AREA_REAL]]&gt;0,ESTIMATIVA[[#This Row],[QT_CANA_REAL]],ESTIMATIVA[[#This Row],[QT_CANA_REST1]])</f>
        <v>1722.94</v>
      </c>
      <c r="AF625" s="1">
        <f>IF(ESTIMATIVA[[#This Row],[QT_AREA_REAL]]&gt;0,ESTIMATIVA[[#This Row],[QT_CANA_REAL]],ESTIMATIVA[[#This Row],[QT_CANA_REST2]])</f>
        <v>1722.94</v>
      </c>
      <c r="AG625" s="1" t="str">
        <f>IF(COUNTIFS(GEADA!A:A,VALUE(ESTIMATIVA[[#This Row],[CD_UPNIVEL1]]&amp;TEXT(ESTIMATIVA[[#This Row],[CD_UPNIVEL3]],"0000")))&gt;0,"S","N")</f>
        <v>N</v>
      </c>
      <c r="AH62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25" s="55" t="str">
        <f>IF(ESTIMATIVA[[#This Row],[TP_CULTIVO]]="Irrigado",_xlfn.MAXIFS(IRRIGADO!J:J,IRRIGADO!C:C,ESTIMATIVA[[#This Row],[CD_UPNIVEL1]],IRRIGADO!E:E,ESTIMATIVA[[#This Row],[CD_UPNIVEL3]]),"")</f>
        <v/>
      </c>
      <c r="AJ62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25" s="1">
        <f>COUNTIFS(Apresentação!$E$23:$E$29,ESTIMATIVA[[#This Row],[CD_UPNIVEL1]])</f>
        <v>0</v>
      </c>
    </row>
    <row r="626" spans="1:37" x14ac:dyDescent="0.3">
      <c r="A626">
        <v>20329</v>
      </c>
      <c r="B626" t="s">
        <v>128</v>
      </c>
      <c r="C626">
        <v>12</v>
      </c>
      <c r="D626">
        <v>1</v>
      </c>
      <c r="E626" t="s">
        <v>267</v>
      </c>
      <c r="F626" s="85" t="s">
        <v>331</v>
      </c>
      <c r="G626"/>
      <c r="H626" t="s">
        <v>294</v>
      </c>
      <c r="I626" t="s">
        <v>220</v>
      </c>
      <c r="J626" t="s">
        <v>176</v>
      </c>
      <c r="K626" s="1">
        <v>2.5</v>
      </c>
      <c r="L626" s="1">
        <v>2.5</v>
      </c>
      <c r="M626" s="1">
        <v>2.5</v>
      </c>
      <c r="N626" s="1">
        <v>2.5</v>
      </c>
      <c r="O626" s="1">
        <v>295</v>
      </c>
      <c r="P626" s="1">
        <v>297.5</v>
      </c>
      <c r="Q626" s="1">
        <v>275</v>
      </c>
      <c r="R626" s="1">
        <v>212.22</v>
      </c>
      <c r="S626" t="s">
        <v>12</v>
      </c>
      <c r="T626" s="13">
        <v>45963</v>
      </c>
      <c r="U626" s="1" t="str">
        <f>IF(ESTIMATIVA[[#This Row],[QT_AREA_REAL]]&gt;0,"1- Colhido","2- à Colher")</f>
        <v>1- Colhido</v>
      </c>
      <c r="V626" s="1" t="str">
        <f>IF(ESTIMATIVA[[#This Row],[QT_AREA_REST1]]&gt;0,"Reestimativa 1",IF(ESTIMATIVA[[#This Row],[QT_AREA_REAL]]=0,"Reestimativa 1","Realizado"))</f>
        <v>Reestimativa 1</v>
      </c>
      <c r="W626" s="1" t="str">
        <f>IF(ESTIMATIVA[[#This Row],[QT_AREA_REST2]]&gt;0,"Reestimativa 2",IF(ESTIMATIVA[[#This Row],[QT_AREA_REAL]]=0,"Reestimativa 2","Realizado"))</f>
        <v>Reestimativa 2</v>
      </c>
      <c r="X626" s="1">
        <f>ESTIMATIVA[[#This Row],[QT_AREA_EST]]</f>
        <v>2.5</v>
      </c>
      <c r="Y626" s="1">
        <f>IF(ESTIMATIVA[[#This Row],[QT_AREA_REST1]]&gt;0,ESTIMATIVA[[#This Row],[QT_AREA_REST1]],
  IF(ESTIMATIVA[[#This Row],[QT_AREA_REAL]]&gt;0,ESTIMATIVA[[#This Row],[QT_AREA_REAL]],ESTIMATIVA[[#This Row],[QT_AREA_EST]]))</f>
        <v>2.5</v>
      </c>
      <c r="Z62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2.5</v>
      </c>
      <c r="AA626" s="1">
        <f>ESTIMATIVA[[#This Row],[QT_CANA_EST]]</f>
        <v>295</v>
      </c>
      <c r="AB626" s="1">
        <f>IF(ESTIMATIVA[[#This Row],[QT_CANA_REST1]]&gt;0,ESTIMATIVA[[#This Row],[QT_CANA_REST1]],
  IF(ESTIMATIVA[[#This Row],[QT_CANA_REAL]]&gt;0,ESTIMATIVA[[#This Row],[QT_CANA_REAL]],ESTIMATIVA[[#This Row],[QT_CANA_EST]]))</f>
        <v>297.5</v>
      </c>
      <c r="AC62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275</v>
      </c>
      <c r="AD626" s="1">
        <f>IF(ESTIMATIVA[[#This Row],[QT_AREA_REAL]]&gt;0,ESTIMATIVA[[#This Row],[QT_CANA_REAL]],ESTIMATIVA[[#This Row],[QT_CANA_EST]])</f>
        <v>212.22</v>
      </c>
      <c r="AE626" s="1">
        <f>IF(ESTIMATIVA[[#This Row],[QT_AREA_REAL]]&gt;0,ESTIMATIVA[[#This Row],[QT_CANA_REAL]],ESTIMATIVA[[#This Row],[QT_CANA_REST1]])</f>
        <v>212.22</v>
      </c>
      <c r="AF626" s="1">
        <f>IF(ESTIMATIVA[[#This Row],[QT_AREA_REAL]]&gt;0,ESTIMATIVA[[#This Row],[QT_CANA_REAL]],ESTIMATIVA[[#This Row],[QT_CANA_REST2]])</f>
        <v>212.22</v>
      </c>
      <c r="AG626" s="1" t="str">
        <f>IF(COUNTIFS(GEADA!A:A,VALUE(ESTIMATIVA[[#This Row],[CD_UPNIVEL1]]&amp;TEXT(ESTIMATIVA[[#This Row],[CD_UPNIVEL3]],"0000")))&gt;0,"S","N")</f>
        <v>N</v>
      </c>
      <c r="AH62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26" s="55" t="str">
        <f>IF(ESTIMATIVA[[#This Row],[TP_CULTIVO]]="Irrigado",_xlfn.MAXIFS(IRRIGADO!J:J,IRRIGADO!C:C,ESTIMATIVA[[#This Row],[CD_UPNIVEL1]],IRRIGADO!E:E,ESTIMATIVA[[#This Row],[CD_UPNIVEL3]]),"")</f>
        <v/>
      </c>
      <c r="AJ62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26" s="1">
        <f>COUNTIFS(Apresentação!$E$23:$E$29,ESTIMATIVA[[#This Row],[CD_UPNIVEL1]])</f>
        <v>0</v>
      </c>
    </row>
    <row r="627" spans="1:37" x14ac:dyDescent="0.3">
      <c r="A627">
        <v>20329</v>
      </c>
      <c r="B627" t="s">
        <v>128</v>
      </c>
      <c r="C627">
        <v>13</v>
      </c>
      <c r="D627">
        <v>1</v>
      </c>
      <c r="E627" t="s">
        <v>267</v>
      </c>
      <c r="F627" s="85" t="s">
        <v>333</v>
      </c>
      <c r="G627"/>
      <c r="H627" t="s">
        <v>294</v>
      </c>
      <c r="I627" t="s">
        <v>220</v>
      </c>
      <c r="J627" t="s">
        <v>176</v>
      </c>
      <c r="K627" s="1">
        <v>6.68</v>
      </c>
      <c r="L627" s="1">
        <v>6.68</v>
      </c>
      <c r="M627" s="1">
        <v>6.68</v>
      </c>
      <c r="N627" s="1">
        <v>6.68</v>
      </c>
      <c r="O627" s="1">
        <v>788.24</v>
      </c>
      <c r="P627" s="1">
        <v>794.92</v>
      </c>
      <c r="Q627" s="1">
        <v>794.92</v>
      </c>
      <c r="R627" s="1">
        <v>613.63</v>
      </c>
      <c r="S627" t="s">
        <v>12</v>
      </c>
      <c r="T627" s="13">
        <v>45963</v>
      </c>
      <c r="U627" s="1" t="str">
        <f>IF(ESTIMATIVA[[#This Row],[QT_AREA_REAL]]&gt;0,"1- Colhido","2- à Colher")</f>
        <v>1- Colhido</v>
      </c>
      <c r="V627" s="1" t="str">
        <f>IF(ESTIMATIVA[[#This Row],[QT_AREA_REST1]]&gt;0,"Reestimativa 1",IF(ESTIMATIVA[[#This Row],[QT_AREA_REAL]]=0,"Reestimativa 1","Realizado"))</f>
        <v>Reestimativa 1</v>
      </c>
      <c r="W627" s="1" t="str">
        <f>IF(ESTIMATIVA[[#This Row],[QT_AREA_REST2]]&gt;0,"Reestimativa 2",IF(ESTIMATIVA[[#This Row],[QT_AREA_REAL]]=0,"Reestimativa 2","Realizado"))</f>
        <v>Reestimativa 2</v>
      </c>
      <c r="X627" s="1">
        <f>ESTIMATIVA[[#This Row],[QT_AREA_EST]]</f>
        <v>6.68</v>
      </c>
      <c r="Y627" s="1">
        <f>IF(ESTIMATIVA[[#This Row],[QT_AREA_REST1]]&gt;0,ESTIMATIVA[[#This Row],[QT_AREA_REST1]],
  IF(ESTIMATIVA[[#This Row],[QT_AREA_REAL]]&gt;0,ESTIMATIVA[[#This Row],[QT_AREA_REAL]],ESTIMATIVA[[#This Row],[QT_AREA_EST]]))</f>
        <v>6.68</v>
      </c>
      <c r="Z62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6.68</v>
      </c>
      <c r="AA627" s="1">
        <f>ESTIMATIVA[[#This Row],[QT_CANA_EST]]</f>
        <v>788.24</v>
      </c>
      <c r="AB627" s="1">
        <f>IF(ESTIMATIVA[[#This Row],[QT_CANA_REST1]]&gt;0,ESTIMATIVA[[#This Row],[QT_CANA_REST1]],
  IF(ESTIMATIVA[[#This Row],[QT_CANA_REAL]]&gt;0,ESTIMATIVA[[#This Row],[QT_CANA_REAL]],ESTIMATIVA[[#This Row],[QT_CANA_EST]]))</f>
        <v>794.92</v>
      </c>
      <c r="AC62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794.92</v>
      </c>
      <c r="AD627" s="1">
        <f>IF(ESTIMATIVA[[#This Row],[QT_AREA_REAL]]&gt;0,ESTIMATIVA[[#This Row],[QT_CANA_REAL]],ESTIMATIVA[[#This Row],[QT_CANA_EST]])</f>
        <v>613.63</v>
      </c>
      <c r="AE627" s="1">
        <f>IF(ESTIMATIVA[[#This Row],[QT_AREA_REAL]]&gt;0,ESTIMATIVA[[#This Row],[QT_CANA_REAL]],ESTIMATIVA[[#This Row],[QT_CANA_REST1]])</f>
        <v>613.63</v>
      </c>
      <c r="AF627" s="1">
        <f>IF(ESTIMATIVA[[#This Row],[QT_AREA_REAL]]&gt;0,ESTIMATIVA[[#This Row],[QT_CANA_REAL]],ESTIMATIVA[[#This Row],[QT_CANA_REST2]])</f>
        <v>613.63</v>
      </c>
      <c r="AG627" s="1" t="str">
        <f>IF(COUNTIFS(GEADA!A:A,VALUE(ESTIMATIVA[[#This Row],[CD_UPNIVEL1]]&amp;TEXT(ESTIMATIVA[[#This Row],[CD_UPNIVEL3]],"0000")))&gt;0,"S","N")</f>
        <v>N</v>
      </c>
      <c r="AH62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27" s="55" t="str">
        <f>IF(ESTIMATIVA[[#This Row],[TP_CULTIVO]]="Irrigado",_xlfn.MAXIFS(IRRIGADO!J:J,IRRIGADO!C:C,ESTIMATIVA[[#This Row],[CD_UPNIVEL1]],IRRIGADO!E:E,ESTIMATIVA[[#This Row],[CD_UPNIVEL3]]),"")</f>
        <v/>
      </c>
      <c r="AJ62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27" s="1">
        <f>COUNTIFS(Apresentação!$E$23:$E$29,ESTIMATIVA[[#This Row],[CD_UPNIVEL1]])</f>
        <v>0</v>
      </c>
    </row>
    <row r="628" spans="1:37" x14ac:dyDescent="0.3">
      <c r="A628">
        <v>20329</v>
      </c>
      <c r="B628" t="s">
        <v>128</v>
      </c>
      <c r="C628">
        <v>14</v>
      </c>
      <c r="D628">
        <v>1</v>
      </c>
      <c r="E628" t="s">
        <v>267</v>
      </c>
      <c r="F628" s="85" t="s">
        <v>333</v>
      </c>
      <c r="G628"/>
      <c r="H628" t="s">
        <v>294</v>
      </c>
      <c r="I628" t="s">
        <v>220</v>
      </c>
      <c r="J628" t="s">
        <v>176</v>
      </c>
      <c r="K628" s="1">
        <v>4.82</v>
      </c>
      <c r="L628" s="1">
        <v>4.82</v>
      </c>
      <c r="M628" s="1">
        <v>4.82</v>
      </c>
      <c r="N628" s="1">
        <v>4.82</v>
      </c>
      <c r="O628" s="1">
        <v>568.76</v>
      </c>
      <c r="P628" s="1">
        <v>573.58000000000004</v>
      </c>
      <c r="Q628" s="1">
        <v>573.58000000000004</v>
      </c>
      <c r="R628" s="1">
        <v>443.03</v>
      </c>
      <c r="S628" t="s">
        <v>12</v>
      </c>
      <c r="T628" s="13">
        <v>45963</v>
      </c>
      <c r="U628" s="1" t="str">
        <f>IF(ESTIMATIVA[[#This Row],[QT_AREA_REAL]]&gt;0,"1- Colhido","2- à Colher")</f>
        <v>1- Colhido</v>
      </c>
      <c r="V628" s="1" t="str">
        <f>IF(ESTIMATIVA[[#This Row],[QT_AREA_REST1]]&gt;0,"Reestimativa 1",IF(ESTIMATIVA[[#This Row],[QT_AREA_REAL]]=0,"Reestimativa 1","Realizado"))</f>
        <v>Reestimativa 1</v>
      </c>
      <c r="W628" s="1" t="str">
        <f>IF(ESTIMATIVA[[#This Row],[QT_AREA_REST2]]&gt;0,"Reestimativa 2",IF(ESTIMATIVA[[#This Row],[QT_AREA_REAL]]=0,"Reestimativa 2","Realizado"))</f>
        <v>Reestimativa 2</v>
      </c>
      <c r="X628" s="1">
        <f>ESTIMATIVA[[#This Row],[QT_AREA_EST]]</f>
        <v>4.82</v>
      </c>
      <c r="Y628" s="1">
        <f>IF(ESTIMATIVA[[#This Row],[QT_AREA_REST1]]&gt;0,ESTIMATIVA[[#This Row],[QT_AREA_REST1]],
  IF(ESTIMATIVA[[#This Row],[QT_AREA_REAL]]&gt;0,ESTIMATIVA[[#This Row],[QT_AREA_REAL]],ESTIMATIVA[[#This Row],[QT_AREA_EST]]))</f>
        <v>4.82</v>
      </c>
      <c r="Z62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4.82</v>
      </c>
      <c r="AA628" s="1">
        <f>ESTIMATIVA[[#This Row],[QT_CANA_EST]]</f>
        <v>568.76</v>
      </c>
      <c r="AB628" s="1">
        <f>IF(ESTIMATIVA[[#This Row],[QT_CANA_REST1]]&gt;0,ESTIMATIVA[[#This Row],[QT_CANA_REST1]],
  IF(ESTIMATIVA[[#This Row],[QT_CANA_REAL]]&gt;0,ESTIMATIVA[[#This Row],[QT_CANA_REAL]],ESTIMATIVA[[#This Row],[QT_CANA_EST]]))</f>
        <v>573.58000000000004</v>
      </c>
      <c r="AC62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573.58000000000004</v>
      </c>
      <c r="AD628" s="1">
        <f>IF(ESTIMATIVA[[#This Row],[QT_AREA_REAL]]&gt;0,ESTIMATIVA[[#This Row],[QT_CANA_REAL]],ESTIMATIVA[[#This Row],[QT_CANA_EST]])</f>
        <v>443.03</v>
      </c>
      <c r="AE628" s="1">
        <f>IF(ESTIMATIVA[[#This Row],[QT_AREA_REAL]]&gt;0,ESTIMATIVA[[#This Row],[QT_CANA_REAL]],ESTIMATIVA[[#This Row],[QT_CANA_REST1]])</f>
        <v>443.03</v>
      </c>
      <c r="AF628" s="1">
        <f>IF(ESTIMATIVA[[#This Row],[QT_AREA_REAL]]&gt;0,ESTIMATIVA[[#This Row],[QT_CANA_REAL]],ESTIMATIVA[[#This Row],[QT_CANA_REST2]])</f>
        <v>443.03</v>
      </c>
      <c r="AG628" s="1" t="str">
        <f>IF(COUNTIFS(GEADA!A:A,VALUE(ESTIMATIVA[[#This Row],[CD_UPNIVEL1]]&amp;TEXT(ESTIMATIVA[[#This Row],[CD_UPNIVEL3]],"0000")))&gt;0,"S","N")</f>
        <v>N</v>
      </c>
      <c r="AH62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28" s="55" t="str">
        <f>IF(ESTIMATIVA[[#This Row],[TP_CULTIVO]]="Irrigado",_xlfn.MAXIFS(IRRIGADO!J:J,IRRIGADO!C:C,ESTIMATIVA[[#This Row],[CD_UPNIVEL1]],IRRIGADO!E:E,ESTIMATIVA[[#This Row],[CD_UPNIVEL3]]),"")</f>
        <v/>
      </c>
      <c r="AJ62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28" s="1">
        <f>COUNTIFS(Apresentação!$E$23:$E$29,ESTIMATIVA[[#This Row],[CD_UPNIVEL1]])</f>
        <v>0</v>
      </c>
    </row>
    <row r="629" spans="1:37" x14ac:dyDescent="0.3">
      <c r="A629">
        <v>20329</v>
      </c>
      <c r="B629" t="s">
        <v>128</v>
      </c>
      <c r="C629">
        <v>15</v>
      </c>
      <c r="D629">
        <v>1</v>
      </c>
      <c r="E629" t="s">
        <v>267</v>
      </c>
      <c r="F629" s="85" t="s">
        <v>331</v>
      </c>
      <c r="G629"/>
      <c r="H629" t="s">
        <v>294</v>
      </c>
      <c r="I629" t="s">
        <v>220</v>
      </c>
      <c r="J629" t="s">
        <v>176</v>
      </c>
      <c r="K629" s="1">
        <v>7.81</v>
      </c>
      <c r="L629" s="1">
        <v>7.81</v>
      </c>
      <c r="M629" s="1">
        <v>7.81</v>
      </c>
      <c r="N629" s="1">
        <v>7.81</v>
      </c>
      <c r="O629" s="1">
        <v>921.58</v>
      </c>
      <c r="P629" s="1">
        <v>929.39</v>
      </c>
      <c r="Q629" s="1">
        <v>859.1</v>
      </c>
      <c r="R629" s="1">
        <v>663.47</v>
      </c>
      <c r="S629" t="s">
        <v>12</v>
      </c>
      <c r="T629" s="13">
        <v>45963</v>
      </c>
      <c r="U629" s="1" t="str">
        <f>IF(ESTIMATIVA[[#This Row],[QT_AREA_REAL]]&gt;0,"1- Colhido","2- à Colher")</f>
        <v>1- Colhido</v>
      </c>
      <c r="V629" s="1" t="str">
        <f>IF(ESTIMATIVA[[#This Row],[QT_AREA_REST1]]&gt;0,"Reestimativa 1",IF(ESTIMATIVA[[#This Row],[QT_AREA_REAL]]=0,"Reestimativa 1","Realizado"))</f>
        <v>Reestimativa 1</v>
      </c>
      <c r="W629" s="1" t="str">
        <f>IF(ESTIMATIVA[[#This Row],[QT_AREA_REST2]]&gt;0,"Reestimativa 2",IF(ESTIMATIVA[[#This Row],[QT_AREA_REAL]]=0,"Reestimativa 2","Realizado"))</f>
        <v>Reestimativa 2</v>
      </c>
      <c r="X629" s="1">
        <f>ESTIMATIVA[[#This Row],[QT_AREA_EST]]</f>
        <v>7.81</v>
      </c>
      <c r="Y629" s="1">
        <f>IF(ESTIMATIVA[[#This Row],[QT_AREA_REST1]]&gt;0,ESTIMATIVA[[#This Row],[QT_AREA_REST1]],
  IF(ESTIMATIVA[[#This Row],[QT_AREA_REAL]]&gt;0,ESTIMATIVA[[#This Row],[QT_AREA_REAL]],ESTIMATIVA[[#This Row],[QT_AREA_EST]]))</f>
        <v>7.81</v>
      </c>
      <c r="Z62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7.81</v>
      </c>
      <c r="AA629" s="1">
        <f>ESTIMATIVA[[#This Row],[QT_CANA_EST]]</f>
        <v>921.58</v>
      </c>
      <c r="AB629" s="1">
        <f>IF(ESTIMATIVA[[#This Row],[QT_CANA_REST1]]&gt;0,ESTIMATIVA[[#This Row],[QT_CANA_REST1]],
  IF(ESTIMATIVA[[#This Row],[QT_CANA_REAL]]&gt;0,ESTIMATIVA[[#This Row],[QT_CANA_REAL]],ESTIMATIVA[[#This Row],[QT_CANA_EST]]))</f>
        <v>929.39</v>
      </c>
      <c r="AC62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859.1</v>
      </c>
      <c r="AD629" s="1">
        <f>IF(ESTIMATIVA[[#This Row],[QT_AREA_REAL]]&gt;0,ESTIMATIVA[[#This Row],[QT_CANA_REAL]],ESTIMATIVA[[#This Row],[QT_CANA_EST]])</f>
        <v>663.47</v>
      </c>
      <c r="AE629" s="1">
        <f>IF(ESTIMATIVA[[#This Row],[QT_AREA_REAL]]&gt;0,ESTIMATIVA[[#This Row],[QT_CANA_REAL]],ESTIMATIVA[[#This Row],[QT_CANA_REST1]])</f>
        <v>663.47</v>
      </c>
      <c r="AF629" s="1">
        <f>IF(ESTIMATIVA[[#This Row],[QT_AREA_REAL]]&gt;0,ESTIMATIVA[[#This Row],[QT_CANA_REAL]],ESTIMATIVA[[#This Row],[QT_CANA_REST2]])</f>
        <v>663.47</v>
      </c>
      <c r="AG629" s="1" t="str">
        <f>IF(COUNTIFS(GEADA!A:A,VALUE(ESTIMATIVA[[#This Row],[CD_UPNIVEL1]]&amp;TEXT(ESTIMATIVA[[#This Row],[CD_UPNIVEL3]],"0000")))&gt;0,"S","N")</f>
        <v>N</v>
      </c>
      <c r="AH62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29" s="55" t="str">
        <f>IF(ESTIMATIVA[[#This Row],[TP_CULTIVO]]="Irrigado",_xlfn.MAXIFS(IRRIGADO!J:J,IRRIGADO!C:C,ESTIMATIVA[[#This Row],[CD_UPNIVEL1]],IRRIGADO!E:E,ESTIMATIVA[[#This Row],[CD_UPNIVEL3]]),"")</f>
        <v/>
      </c>
      <c r="AJ62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29" s="1">
        <f>COUNTIFS(Apresentação!$E$23:$E$29,ESTIMATIVA[[#This Row],[CD_UPNIVEL1]])</f>
        <v>0</v>
      </c>
    </row>
    <row r="630" spans="1:37" x14ac:dyDescent="0.3">
      <c r="A630">
        <v>20331</v>
      </c>
      <c r="B630" t="s">
        <v>33</v>
      </c>
      <c r="C630">
        <v>1</v>
      </c>
      <c r="D630">
        <v>6</v>
      </c>
      <c r="E630" t="s">
        <v>261</v>
      </c>
      <c r="F630" s="85" t="s">
        <v>331</v>
      </c>
      <c r="G630"/>
      <c r="H630" t="s">
        <v>294</v>
      </c>
      <c r="I630" t="s">
        <v>202</v>
      </c>
      <c r="J630" t="s">
        <v>176</v>
      </c>
      <c r="K630" s="1">
        <v>27.04</v>
      </c>
      <c r="L630" s="1">
        <v>27.04</v>
      </c>
      <c r="M630" s="1">
        <v>27.04</v>
      </c>
      <c r="N630" s="1">
        <v>27.04</v>
      </c>
      <c r="O630" s="1">
        <v>892.32</v>
      </c>
      <c r="P630" s="1">
        <v>892.32</v>
      </c>
      <c r="Q630" s="1">
        <v>892.32</v>
      </c>
      <c r="R630" s="1">
        <v>898.93</v>
      </c>
      <c r="S630" t="s">
        <v>12</v>
      </c>
      <c r="T630" s="13">
        <v>45970</v>
      </c>
      <c r="U630" s="1" t="str">
        <f>IF(ESTIMATIVA[[#This Row],[QT_AREA_REAL]]&gt;0,"1- Colhido","2- à Colher")</f>
        <v>1- Colhido</v>
      </c>
      <c r="V630" s="1" t="str">
        <f>IF(ESTIMATIVA[[#This Row],[QT_AREA_REST1]]&gt;0,"Reestimativa 1",IF(ESTIMATIVA[[#This Row],[QT_AREA_REAL]]=0,"Reestimativa 1","Realizado"))</f>
        <v>Reestimativa 1</v>
      </c>
      <c r="W630" s="1" t="str">
        <f>IF(ESTIMATIVA[[#This Row],[QT_AREA_REST2]]&gt;0,"Reestimativa 2",IF(ESTIMATIVA[[#This Row],[QT_AREA_REAL]]=0,"Reestimativa 2","Realizado"))</f>
        <v>Reestimativa 2</v>
      </c>
      <c r="X630" s="1">
        <f>ESTIMATIVA[[#This Row],[QT_AREA_EST]]</f>
        <v>27.04</v>
      </c>
      <c r="Y630" s="1">
        <f>IF(ESTIMATIVA[[#This Row],[QT_AREA_REST1]]&gt;0,ESTIMATIVA[[#This Row],[QT_AREA_REST1]],
  IF(ESTIMATIVA[[#This Row],[QT_AREA_REAL]]&gt;0,ESTIMATIVA[[#This Row],[QT_AREA_REAL]],ESTIMATIVA[[#This Row],[QT_AREA_EST]]))</f>
        <v>27.04</v>
      </c>
      <c r="Z63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27.04</v>
      </c>
      <c r="AA630" s="1">
        <f>ESTIMATIVA[[#This Row],[QT_CANA_EST]]</f>
        <v>892.32</v>
      </c>
      <c r="AB630" s="1">
        <f>IF(ESTIMATIVA[[#This Row],[QT_CANA_REST1]]&gt;0,ESTIMATIVA[[#This Row],[QT_CANA_REST1]],
  IF(ESTIMATIVA[[#This Row],[QT_CANA_REAL]]&gt;0,ESTIMATIVA[[#This Row],[QT_CANA_REAL]],ESTIMATIVA[[#This Row],[QT_CANA_EST]]))</f>
        <v>892.32</v>
      </c>
      <c r="AC63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892.32</v>
      </c>
      <c r="AD630" s="1">
        <f>IF(ESTIMATIVA[[#This Row],[QT_AREA_REAL]]&gt;0,ESTIMATIVA[[#This Row],[QT_CANA_REAL]],ESTIMATIVA[[#This Row],[QT_CANA_EST]])</f>
        <v>898.93</v>
      </c>
      <c r="AE630" s="1">
        <f>IF(ESTIMATIVA[[#This Row],[QT_AREA_REAL]]&gt;0,ESTIMATIVA[[#This Row],[QT_CANA_REAL]],ESTIMATIVA[[#This Row],[QT_CANA_REST1]])</f>
        <v>898.93</v>
      </c>
      <c r="AF630" s="1">
        <f>IF(ESTIMATIVA[[#This Row],[QT_AREA_REAL]]&gt;0,ESTIMATIVA[[#This Row],[QT_CANA_REAL]],ESTIMATIVA[[#This Row],[QT_CANA_REST2]])</f>
        <v>898.93</v>
      </c>
      <c r="AG630" s="1" t="str">
        <f>IF(COUNTIFS(GEADA!A:A,VALUE(ESTIMATIVA[[#This Row],[CD_UPNIVEL1]]&amp;TEXT(ESTIMATIVA[[#This Row],[CD_UPNIVEL3]],"0000")))&gt;0,"S","N")</f>
        <v>N</v>
      </c>
      <c r="AH63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30" s="55" t="str">
        <f>IF(ESTIMATIVA[[#This Row],[TP_CULTIVO]]="Irrigado",_xlfn.MAXIFS(IRRIGADO!J:J,IRRIGADO!C:C,ESTIMATIVA[[#This Row],[CD_UPNIVEL1]],IRRIGADO!E:E,ESTIMATIVA[[#This Row],[CD_UPNIVEL3]]),"")</f>
        <v/>
      </c>
      <c r="AJ63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30" s="1">
        <f>COUNTIFS(Apresentação!$E$23:$E$29,ESTIMATIVA[[#This Row],[CD_UPNIVEL1]])</f>
        <v>0</v>
      </c>
    </row>
    <row r="631" spans="1:37" x14ac:dyDescent="0.3">
      <c r="A631">
        <v>20331</v>
      </c>
      <c r="B631" t="s">
        <v>33</v>
      </c>
      <c r="C631">
        <v>2</v>
      </c>
      <c r="D631">
        <v>6</v>
      </c>
      <c r="E631" t="s">
        <v>261</v>
      </c>
      <c r="F631" s="85" t="s">
        <v>331</v>
      </c>
      <c r="G631"/>
      <c r="H631" t="s">
        <v>294</v>
      </c>
      <c r="I631" t="s">
        <v>202</v>
      </c>
      <c r="J631" t="s">
        <v>176</v>
      </c>
      <c r="K631" s="1">
        <v>15.99</v>
      </c>
      <c r="L631" s="1">
        <v>15.99</v>
      </c>
      <c r="M631" s="1">
        <v>15.99</v>
      </c>
      <c r="N631" s="1">
        <v>15.99</v>
      </c>
      <c r="O631" s="1">
        <v>527.66999999999996</v>
      </c>
      <c r="P631" s="1">
        <v>527.66999999999996</v>
      </c>
      <c r="Q631" s="1">
        <v>527.66999999999996</v>
      </c>
      <c r="R631" s="1">
        <v>532.09</v>
      </c>
      <c r="S631" t="s">
        <v>12</v>
      </c>
      <c r="T631" s="13">
        <v>45970</v>
      </c>
      <c r="U631" s="1" t="str">
        <f>IF(ESTIMATIVA[[#This Row],[QT_AREA_REAL]]&gt;0,"1- Colhido","2- à Colher")</f>
        <v>1- Colhido</v>
      </c>
      <c r="V631" s="1" t="str">
        <f>IF(ESTIMATIVA[[#This Row],[QT_AREA_REST1]]&gt;0,"Reestimativa 1",IF(ESTIMATIVA[[#This Row],[QT_AREA_REAL]]=0,"Reestimativa 1","Realizado"))</f>
        <v>Reestimativa 1</v>
      </c>
      <c r="W631" s="1" t="str">
        <f>IF(ESTIMATIVA[[#This Row],[QT_AREA_REST2]]&gt;0,"Reestimativa 2",IF(ESTIMATIVA[[#This Row],[QT_AREA_REAL]]=0,"Reestimativa 2","Realizado"))</f>
        <v>Reestimativa 2</v>
      </c>
      <c r="X631" s="1">
        <f>ESTIMATIVA[[#This Row],[QT_AREA_EST]]</f>
        <v>15.99</v>
      </c>
      <c r="Y631" s="1">
        <f>IF(ESTIMATIVA[[#This Row],[QT_AREA_REST1]]&gt;0,ESTIMATIVA[[#This Row],[QT_AREA_REST1]],
  IF(ESTIMATIVA[[#This Row],[QT_AREA_REAL]]&gt;0,ESTIMATIVA[[#This Row],[QT_AREA_REAL]],ESTIMATIVA[[#This Row],[QT_AREA_EST]]))</f>
        <v>15.99</v>
      </c>
      <c r="Z63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15.99</v>
      </c>
      <c r="AA631" s="1">
        <f>ESTIMATIVA[[#This Row],[QT_CANA_EST]]</f>
        <v>527.66999999999996</v>
      </c>
      <c r="AB631" s="1">
        <f>IF(ESTIMATIVA[[#This Row],[QT_CANA_REST1]]&gt;0,ESTIMATIVA[[#This Row],[QT_CANA_REST1]],
  IF(ESTIMATIVA[[#This Row],[QT_CANA_REAL]]&gt;0,ESTIMATIVA[[#This Row],[QT_CANA_REAL]],ESTIMATIVA[[#This Row],[QT_CANA_EST]]))</f>
        <v>527.66999999999996</v>
      </c>
      <c r="AC63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527.66999999999996</v>
      </c>
      <c r="AD631" s="1">
        <f>IF(ESTIMATIVA[[#This Row],[QT_AREA_REAL]]&gt;0,ESTIMATIVA[[#This Row],[QT_CANA_REAL]],ESTIMATIVA[[#This Row],[QT_CANA_EST]])</f>
        <v>532.09</v>
      </c>
      <c r="AE631" s="1">
        <f>IF(ESTIMATIVA[[#This Row],[QT_AREA_REAL]]&gt;0,ESTIMATIVA[[#This Row],[QT_CANA_REAL]],ESTIMATIVA[[#This Row],[QT_CANA_REST1]])</f>
        <v>532.09</v>
      </c>
      <c r="AF631" s="1">
        <f>IF(ESTIMATIVA[[#This Row],[QT_AREA_REAL]]&gt;0,ESTIMATIVA[[#This Row],[QT_CANA_REAL]],ESTIMATIVA[[#This Row],[QT_CANA_REST2]])</f>
        <v>532.09</v>
      </c>
      <c r="AG631" s="1" t="str">
        <f>IF(COUNTIFS(GEADA!A:A,VALUE(ESTIMATIVA[[#This Row],[CD_UPNIVEL1]]&amp;TEXT(ESTIMATIVA[[#This Row],[CD_UPNIVEL3]],"0000")))&gt;0,"S","N")</f>
        <v>N</v>
      </c>
      <c r="AH63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31" s="55" t="str">
        <f>IF(ESTIMATIVA[[#This Row],[TP_CULTIVO]]="Irrigado",_xlfn.MAXIFS(IRRIGADO!J:J,IRRIGADO!C:C,ESTIMATIVA[[#This Row],[CD_UPNIVEL1]],IRRIGADO!E:E,ESTIMATIVA[[#This Row],[CD_UPNIVEL3]]),"")</f>
        <v/>
      </c>
      <c r="AJ63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31" s="1">
        <f>COUNTIFS(Apresentação!$E$23:$E$29,ESTIMATIVA[[#This Row],[CD_UPNIVEL1]])</f>
        <v>0</v>
      </c>
    </row>
    <row r="632" spans="1:37" x14ac:dyDescent="0.3">
      <c r="A632">
        <v>20331</v>
      </c>
      <c r="B632" t="s">
        <v>33</v>
      </c>
      <c r="C632">
        <v>3</v>
      </c>
      <c r="D632">
        <v>6</v>
      </c>
      <c r="E632" t="s">
        <v>261</v>
      </c>
      <c r="F632" s="85" t="s">
        <v>333</v>
      </c>
      <c r="G632"/>
      <c r="H632" t="s">
        <v>294</v>
      </c>
      <c r="I632" t="s">
        <v>202</v>
      </c>
      <c r="J632" t="s">
        <v>176</v>
      </c>
      <c r="K632" s="1">
        <v>16.579999999999998</v>
      </c>
      <c r="L632" s="1">
        <v>16.579999999999998</v>
      </c>
      <c r="M632" s="1">
        <v>16.579999999999998</v>
      </c>
      <c r="N632" s="1">
        <v>16.579999999999998</v>
      </c>
      <c r="O632" s="1">
        <v>547.14</v>
      </c>
      <c r="P632" s="1">
        <v>331.6</v>
      </c>
      <c r="Q632" s="1">
        <v>497.4</v>
      </c>
      <c r="R632" s="1">
        <v>500.84</v>
      </c>
      <c r="S632" t="s">
        <v>12</v>
      </c>
      <c r="T632" s="13">
        <v>45970</v>
      </c>
      <c r="U632" s="1" t="str">
        <f>IF(ESTIMATIVA[[#This Row],[QT_AREA_REAL]]&gt;0,"1- Colhido","2- à Colher")</f>
        <v>1- Colhido</v>
      </c>
      <c r="V632" s="1" t="str">
        <f>IF(ESTIMATIVA[[#This Row],[QT_AREA_REST1]]&gt;0,"Reestimativa 1",IF(ESTIMATIVA[[#This Row],[QT_AREA_REAL]]=0,"Reestimativa 1","Realizado"))</f>
        <v>Reestimativa 1</v>
      </c>
      <c r="W632" s="1" t="str">
        <f>IF(ESTIMATIVA[[#This Row],[QT_AREA_REST2]]&gt;0,"Reestimativa 2",IF(ESTIMATIVA[[#This Row],[QT_AREA_REAL]]=0,"Reestimativa 2","Realizado"))</f>
        <v>Reestimativa 2</v>
      </c>
      <c r="X632" s="1">
        <f>ESTIMATIVA[[#This Row],[QT_AREA_EST]]</f>
        <v>16.579999999999998</v>
      </c>
      <c r="Y632" s="1">
        <f>IF(ESTIMATIVA[[#This Row],[QT_AREA_REST1]]&gt;0,ESTIMATIVA[[#This Row],[QT_AREA_REST1]],
  IF(ESTIMATIVA[[#This Row],[QT_AREA_REAL]]&gt;0,ESTIMATIVA[[#This Row],[QT_AREA_REAL]],ESTIMATIVA[[#This Row],[QT_AREA_EST]]))</f>
        <v>16.579999999999998</v>
      </c>
      <c r="Z63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16.579999999999998</v>
      </c>
      <c r="AA632" s="1">
        <f>ESTIMATIVA[[#This Row],[QT_CANA_EST]]</f>
        <v>547.14</v>
      </c>
      <c r="AB632" s="1">
        <f>IF(ESTIMATIVA[[#This Row],[QT_CANA_REST1]]&gt;0,ESTIMATIVA[[#This Row],[QT_CANA_REST1]],
  IF(ESTIMATIVA[[#This Row],[QT_CANA_REAL]]&gt;0,ESTIMATIVA[[#This Row],[QT_CANA_REAL]],ESTIMATIVA[[#This Row],[QT_CANA_EST]]))</f>
        <v>331.6</v>
      </c>
      <c r="AC63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497.4</v>
      </c>
      <c r="AD632" s="1">
        <f>IF(ESTIMATIVA[[#This Row],[QT_AREA_REAL]]&gt;0,ESTIMATIVA[[#This Row],[QT_CANA_REAL]],ESTIMATIVA[[#This Row],[QT_CANA_EST]])</f>
        <v>500.84</v>
      </c>
      <c r="AE632" s="1">
        <f>IF(ESTIMATIVA[[#This Row],[QT_AREA_REAL]]&gt;0,ESTIMATIVA[[#This Row],[QT_CANA_REAL]],ESTIMATIVA[[#This Row],[QT_CANA_REST1]])</f>
        <v>500.84</v>
      </c>
      <c r="AF632" s="1">
        <f>IF(ESTIMATIVA[[#This Row],[QT_AREA_REAL]]&gt;0,ESTIMATIVA[[#This Row],[QT_CANA_REAL]],ESTIMATIVA[[#This Row],[QT_CANA_REST2]])</f>
        <v>500.84</v>
      </c>
      <c r="AG632" s="1" t="str">
        <f>IF(COUNTIFS(GEADA!A:A,VALUE(ESTIMATIVA[[#This Row],[CD_UPNIVEL1]]&amp;TEXT(ESTIMATIVA[[#This Row],[CD_UPNIVEL3]],"0000")))&gt;0,"S","N")</f>
        <v>N</v>
      </c>
      <c r="AH63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32" s="55" t="str">
        <f>IF(ESTIMATIVA[[#This Row],[TP_CULTIVO]]="Irrigado",_xlfn.MAXIFS(IRRIGADO!J:J,IRRIGADO!C:C,ESTIMATIVA[[#This Row],[CD_UPNIVEL1]],IRRIGADO!E:E,ESTIMATIVA[[#This Row],[CD_UPNIVEL3]]),"")</f>
        <v/>
      </c>
      <c r="AJ63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32" s="1">
        <f>COUNTIFS(Apresentação!$E$23:$E$29,ESTIMATIVA[[#This Row],[CD_UPNIVEL1]])</f>
        <v>0</v>
      </c>
    </row>
    <row r="633" spans="1:37" x14ac:dyDescent="0.3">
      <c r="A633">
        <v>20331</v>
      </c>
      <c r="B633" t="s">
        <v>33</v>
      </c>
      <c r="C633">
        <v>4</v>
      </c>
      <c r="D633">
        <v>6</v>
      </c>
      <c r="E633" t="s">
        <v>261</v>
      </c>
      <c r="F633" s="85" t="s">
        <v>333</v>
      </c>
      <c r="G633"/>
      <c r="H633" t="s">
        <v>294</v>
      </c>
      <c r="I633" t="s">
        <v>202</v>
      </c>
      <c r="J633" t="s">
        <v>176</v>
      </c>
      <c r="K633" s="1">
        <v>16.97</v>
      </c>
      <c r="L633" s="1">
        <v>16.97</v>
      </c>
      <c r="M633" s="1">
        <v>16.97</v>
      </c>
      <c r="N633" s="1">
        <v>16.97</v>
      </c>
      <c r="O633" s="1">
        <v>560.01</v>
      </c>
      <c r="P633" s="1">
        <v>339.4</v>
      </c>
      <c r="Q633" s="1">
        <v>509.1</v>
      </c>
      <c r="R633" s="1">
        <v>512.92999999999995</v>
      </c>
      <c r="S633" t="s">
        <v>12</v>
      </c>
      <c r="T633" s="13">
        <v>45970</v>
      </c>
      <c r="U633" s="1" t="str">
        <f>IF(ESTIMATIVA[[#This Row],[QT_AREA_REAL]]&gt;0,"1- Colhido","2- à Colher")</f>
        <v>1- Colhido</v>
      </c>
      <c r="V633" s="1" t="str">
        <f>IF(ESTIMATIVA[[#This Row],[QT_AREA_REST1]]&gt;0,"Reestimativa 1",IF(ESTIMATIVA[[#This Row],[QT_AREA_REAL]]=0,"Reestimativa 1","Realizado"))</f>
        <v>Reestimativa 1</v>
      </c>
      <c r="W633" s="1" t="str">
        <f>IF(ESTIMATIVA[[#This Row],[QT_AREA_REST2]]&gt;0,"Reestimativa 2",IF(ESTIMATIVA[[#This Row],[QT_AREA_REAL]]=0,"Reestimativa 2","Realizado"))</f>
        <v>Reestimativa 2</v>
      </c>
      <c r="X633" s="1">
        <f>ESTIMATIVA[[#This Row],[QT_AREA_EST]]</f>
        <v>16.97</v>
      </c>
      <c r="Y633" s="1">
        <f>IF(ESTIMATIVA[[#This Row],[QT_AREA_REST1]]&gt;0,ESTIMATIVA[[#This Row],[QT_AREA_REST1]],
  IF(ESTIMATIVA[[#This Row],[QT_AREA_REAL]]&gt;0,ESTIMATIVA[[#This Row],[QT_AREA_REAL]],ESTIMATIVA[[#This Row],[QT_AREA_EST]]))</f>
        <v>16.97</v>
      </c>
      <c r="Z63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16.97</v>
      </c>
      <c r="AA633" s="1">
        <f>ESTIMATIVA[[#This Row],[QT_CANA_EST]]</f>
        <v>560.01</v>
      </c>
      <c r="AB633" s="1">
        <f>IF(ESTIMATIVA[[#This Row],[QT_CANA_REST1]]&gt;0,ESTIMATIVA[[#This Row],[QT_CANA_REST1]],
  IF(ESTIMATIVA[[#This Row],[QT_CANA_REAL]]&gt;0,ESTIMATIVA[[#This Row],[QT_CANA_REAL]],ESTIMATIVA[[#This Row],[QT_CANA_EST]]))</f>
        <v>339.4</v>
      </c>
      <c r="AC63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509.1</v>
      </c>
      <c r="AD633" s="1">
        <f>IF(ESTIMATIVA[[#This Row],[QT_AREA_REAL]]&gt;0,ESTIMATIVA[[#This Row],[QT_CANA_REAL]],ESTIMATIVA[[#This Row],[QT_CANA_EST]])</f>
        <v>512.92999999999995</v>
      </c>
      <c r="AE633" s="1">
        <f>IF(ESTIMATIVA[[#This Row],[QT_AREA_REAL]]&gt;0,ESTIMATIVA[[#This Row],[QT_CANA_REAL]],ESTIMATIVA[[#This Row],[QT_CANA_REST1]])</f>
        <v>512.92999999999995</v>
      </c>
      <c r="AF633" s="1">
        <f>IF(ESTIMATIVA[[#This Row],[QT_AREA_REAL]]&gt;0,ESTIMATIVA[[#This Row],[QT_CANA_REAL]],ESTIMATIVA[[#This Row],[QT_CANA_REST2]])</f>
        <v>512.92999999999995</v>
      </c>
      <c r="AG633" s="1" t="str">
        <f>IF(COUNTIFS(GEADA!A:A,VALUE(ESTIMATIVA[[#This Row],[CD_UPNIVEL1]]&amp;TEXT(ESTIMATIVA[[#This Row],[CD_UPNIVEL3]],"0000")))&gt;0,"S","N")</f>
        <v>S</v>
      </c>
      <c r="AH63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33" s="55" t="str">
        <f>IF(ESTIMATIVA[[#This Row],[TP_CULTIVO]]="Irrigado",_xlfn.MAXIFS(IRRIGADO!J:J,IRRIGADO!C:C,ESTIMATIVA[[#This Row],[CD_UPNIVEL1]],IRRIGADO!E:E,ESTIMATIVA[[#This Row],[CD_UPNIVEL3]]),"")</f>
        <v/>
      </c>
      <c r="AJ63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33" s="1">
        <f>COUNTIFS(Apresentação!$E$23:$E$29,ESTIMATIVA[[#This Row],[CD_UPNIVEL1]])</f>
        <v>0</v>
      </c>
    </row>
    <row r="634" spans="1:37" x14ac:dyDescent="0.3">
      <c r="A634">
        <v>20331</v>
      </c>
      <c r="B634" t="s">
        <v>33</v>
      </c>
      <c r="C634">
        <v>5</v>
      </c>
      <c r="D634">
        <v>6</v>
      </c>
      <c r="E634" t="s">
        <v>261</v>
      </c>
      <c r="F634" s="85" t="s">
        <v>333</v>
      </c>
      <c r="G634"/>
      <c r="H634" t="s">
        <v>294</v>
      </c>
      <c r="I634" t="s">
        <v>202</v>
      </c>
      <c r="J634" t="s">
        <v>176</v>
      </c>
      <c r="K634" s="1">
        <v>2.78</v>
      </c>
      <c r="L634" s="1">
        <v>2.78</v>
      </c>
      <c r="M634" s="1">
        <v>2.78</v>
      </c>
      <c r="N634" s="1">
        <v>2.78</v>
      </c>
      <c r="O634" s="1">
        <v>91.74</v>
      </c>
      <c r="P634" s="1">
        <v>55.6</v>
      </c>
      <c r="Q634" s="1">
        <v>83.4</v>
      </c>
      <c r="R634" s="1">
        <v>83.6</v>
      </c>
      <c r="S634" t="s">
        <v>12</v>
      </c>
      <c r="T634" s="13">
        <v>45970</v>
      </c>
      <c r="U634" s="1" t="str">
        <f>IF(ESTIMATIVA[[#This Row],[QT_AREA_REAL]]&gt;0,"1- Colhido","2- à Colher")</f>
        <v>1- Colhido</v>
      </c>
      <c r="V634" s="1" t="str">
        <f>IF(ESTIMATIVA[[#This Row],[QT_AREA_REST1]]&gt;0,"Reestimativa 1",IF(ESTIMATIVA[[#This Row],[QT_AREA_REAL]]=0,"Reestimativa 1","Realizado"))</f>
        <v>Reestimativa 1</v>
      </c>
      <c r="W634" s="1" t="str">
        <f>IF(ESTIMATIVA[[#This Row],[QT_AREA_REST2]]&gt;0,"Reestimativa 2",IF(ESTIMATIVA[[#This Row],[QT_AREA_REAL]]=0,"Reestimativa 2","Realizado"))</f>
        <v>Reestimativa 2</v>
      </c>
      <c r="X634" s="1">
        <f>ESTIMATIVA[[#This Row],[QT_AREA_EST]]</f>
        <v>2.78</v>
      </c>
      <c r="Y634" s="1">
        <f>IF(ESTIMATIVA[[#This Row],[QT_AREA_REST1]]&gt;0,ESTIMATIVA[[#This Row],[QT_AREA_REST1]],
  IF(ESTIMATIVA[[#This Row],[QT_AREA_REAL]]&gt;0,ESTIMATIVA[[#This Row],[QT_AREA_REAL]],ESTIMATIVA[[#This Row],[QT_AREA_EST]]))</f>
        <v>2.78</v>
      </c>
      <c r="Z63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2.78</v>
      </c>
      <c r="AA634" s="1">
        <f>ESTIMATIVA[[#This Row],[QT_CANA_EST]]</f>
        <v>91.74</v>
      </c>
      <c r="AB634" s="1">
        <f>IF(ESTIMATIVA[[#This Row],[QT_CANA_REST1]]&gt;0,ESTIMATIVA[[#This Row],[QT_CANA_REST1]],
  IF(ESTIMATIVA[[#This Row],[QT_CANA_REAL]]&gt;0,ESTIMATIVA[[#This Row],[QT_CANA_REAL]],ESTIMATIVA[[#This Row],[QT_CANA_EST]]))</f>
        <v>55.6</v>
      </c>
      <c r="AC63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83.4</v>
      </c>
      <c r="AD634" s="1">
        <f>IF(ESTIMATIVA[[#This Row],[QT_AREA_REAL]]&gt;0,ESTIMATIVA[[#This Row],[QT_CANA_REAL]],ESTIMATIVA[[#This Row],[QT_CANA_EST]])</f>
        <v>83.6</v>
      </c>
      <c r="AE634" s="1">
        <f>IF(ESTIMATIVA[[#This Row],[QT_AREA_REAL]]&gt;0,ESTIMATIVA[[#This Row],[QT_CANA_REAL]],ESTIMATIVA[[#This Row],[QT_CANA_REST1]])</f>
        <v>83.6</v>
      </c>
      <c r="AF634" s="1">
        <f>IF(ESTIMATIVA[[#This Row],[QT_AREA_REAL]]&gt;0,ESTIMATIVA[[#This Row],[QT_CANA_REAL]],ESTIMATIVA[[#This Row],[QT_CANA_REST2]])</f>
        <v>83.6</v>
      </c>
      <c r="AG634" s="1" t="str">
        <f>IF(COUNTIFS(GEADA!A:A,VALUE(ESTIMATIVA[[#This Row],[CD_UPNIVEL1]]&amp;TEXT(ESTIMATIVA[[#This Row],[CD_UPNIVEL3]],"0000")))&gt;0,"S","N")</f>
        <v>S</v>
      </c>
      <c r="AH63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34" s="55" t="str">
        <f>IF(ESTIMATIVA[[#This Row],[TP_CULTIVO]]="Irrigado",_xlfn.MAXIFS(IRRIGADO!J:J,IRRIGADO!C:C,ESTIMATIVA[[#This Row],[CD_UPNIVEL1]],IRRIGADO!E:E,ESTIMATIVA[[#This Row],[CD_UPNIVEL3]]),"")</f>
        <v/>
      </c>
      <c r="AJ63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34" s="1">
        <f>COUNTIFS(Apresentação!$E$23:$E$29,ESTIMATIVA[[#This Row],[CD_UPNIVEL1]])</f>
        <v>0</v>
      </c>
    </row>
    <row r="635" spans="1:37" x14ac:dyDescent="0.3">
      <c r="A635">
        <v>20331</v>
      </c>
      <c r="B635" t="s">
        <v>33</v>
      </c>
      <c r="C635">
        <v>6</v>
      </c>
      <c r="D635">
        <v>6</v>
      </c>
      <c r="E635" t="s">
        <v>261</v>
      </c>
      <c r="F635" s="85" t="s">
        <v>333</v>
      </c>
      <c r="G635"/>
      <c r="H635" t="s">
        <v>294</v>
      </c>
      <c r="I635" t="s">
        <v>202</v>
      </c>
      <c r="J635" t="s">
        <v>176</v>
      </c>
      <c r="K635" s="1">
        <v>2.85</v>
      </c>
      <c r="L635" s="1">
        <v>2.85</v>
      </c>
      <c r="M635" s="1">
        <v>2.85</v>
      </c>
      <c r="N635" s="1">
        <v>2.85</v>
      </c>
      <c r="O635" s="1">
        <v>94.05</v>
      </c>
      <c r="P635" s="1">
        <v>57</v>
      </c>
      <c r="Q635" s="1">
        <v>85.5</v>
      </c>
      <c r="R635" s="1">
        <v>86.62</v>
      </c>
      <c r="S635" t="s">
        <v>12</v>
      </c>
      <c r="T635" s="13">
        <v>45970</v>
      </c>
      <c r="U635" s="1" t="str">
        <f>IF(ESTIMATIVA[[#This Row],[QT_AREA_REAL]]&gt;0,"1- Colhido","2- à Colher")</f>
        <v>1- Colhido</v>
      </c>
      <c r="V635" s="1" t="str">
        <f>IF(ESTIMATIVA[[#This Row],[QT_AREA_REST1]]&gt;0,"Reestimativa 1",IF(ESTIMATIVA[[#This Row],[QT_AREA_REAL]]=0,"Reestimativa 1","Realizado"))</f>
        <v>Reestimativa 1</v>
      </c>
      <c r="W635" s="1" t="str">
        <f>IF(ESTIMATIVA[[#This Row],[QT_AREA_REST2]]&gt;0,"Reestimativa 2",IF(ESTIMATIVA[[#This Row],[QT_AREA_REAL]]=0,"Reestimativa 2","Realizado"))</f>
        <v>Reestimativa 2</v>
      </c>
      <c r="X635" s="1">
        <f>ESTIMATIVA[[#This Row],[QT_AREA_EST]]</f>
        <v>2.85</v>
      </c>
      <c r="Y635" s="1">
        <f>IF(ESTIMATIVA[[#This Row],[QT_AREA_REST1]]&gt;0,ESTIMATIVA[[#This Row],[QT_AREA_REST1]],
  IF(ESTIMATIVA[[#This Row],[QT_AREA_REAL]]&gt;0,ESTIMATIVA[[#This Row],[QT_AREA_REAL]],ESTIMATIVA[[#This Row],[QT_AREA_EST]]))</f>
        <v>2.85</v>
      </c>
      <c r="Z63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2.85</v>
      </c>
      <c r="AA635" s="1">
        <f>ESTIMATIVA[[#This Row],[QT_CANA_EST]]</f>
        <v>94.05</v>
      </c>
      <c r="AB635" s="1">
        <f>IF(ESTIMATIVA[[#This Row],[QT_CANA_REST1]]&gt;0,ESTIMATIVA[[#This Row],[QT_CANA_REST1]],
  IF(ESTIMATIVA[[#This Row],[QT_CANA_REAL]]&gt;0,ESTIMATIVA[[#This Row],[QT_CANA_REAL]],ESTIMATIVA[[#This Row],[QT_CANA_EST]]))</f>
        <v>57</v>
      </c>
      <c r="AC63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85.5</v>
      </c>
      <c r="AD635" s="1">
        <f>IF(ESTIMATIVA[[#This Row],[QT_AREA_REAL]]&gt;0,ESTIMATIVA[[#This Row],[QT_CANA_REAL]],ESTIMATIVA[[#This Row],[QT_CANA_EST]])</f>
        <v>86.62</v>
      </c>
      <c r="AE635" s="1">
        <f>IF(ESTIMATIVA[[#This Row],[QT_AREA_REAL]]&gt;0,ESTIMATIVA[[#This Row],[QT_CANA_REAL]],ESTIMATIVA[[#This Row],[QT_CANA_REST1]])</f>
        <v>86.62</v>
      </c>
      <c r="AF635" s="1">
        <f>IF(ESTIMATIVA[[#This Row],[QT_AREA_REAL]]&gt;0,ESTIMATIVA[[#This Row],[QT_CANA_REAL]],ESTIMATIVA[[#This Row],[QT_CANA_REST2]])</f>
        <v>86.62</v>
      </c>
      <c r="AG635" s="1" t="str">
        <f>IF(COUNTIFS(GEADA!A:A,VALUE(ESTIMATIVA[[#This Row],[CD_UPNIVEL1]]&amp;TEXT(ESTIMATIVA[[#This Row],[CD_UPNIVEL3]],"0000")))&gt;0,"S","N")</f>
        <v>S</v>
      </c>
      <c r="AH63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35" s="55" t="str">
        <f>IF(ESTIMATIVA[[#This Row],[TP_CULTIVO]]="Irrigado",_xlfn.MAXIFS(IRRIGADO!J:J,IRRIGADO!C:C,ESTIMATIVA[[#This Row],[CD_UPNIVEL1]],IRRIGADO!E:E,ESTIMATIVA[[#This Row],[CD_UPNIVEL3]]),"")</f>
        <v/>
      </c>
      <c r="AJ63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35" s="1">
        <f>COUNTIFS(Apresentação!$E$23:$E$29,ESTIMATIVA[[#This Row],[CD_UPNIVEL1]])</f>
        <v>0</v>
      </c>
    </row>
    <row r="636" spans="1:37" x14ac:dyDescent="0.3">
      <c r="A636">
        <v>20331</v>
      </c>
      <c r="B636" t="s">
        <v>33</v>
      </c>
      <c r="C636">
        <v>7</v>
      </c>
      <c r="D636">
        <v>6</v>
      </c>
      <c r="E636" t="s">
        <v>261</v>
      </c>
      <c r="F636" s="85" t="s">
        <v>333</v>
      </c>
      <c r="G636"/>
      <c r="H636" t="s">
        <v>294</v>
      </c>
      <c r="I636" t="s">
        <v>202</v>
      </c>
      <c r="J636" t="s">
        <v>176</v>
      </c>
      <c r="K636" s="1">
        <v>2.4500000000000002</v>
      </c>
      <c r="L636" s="1">
        <v>2.4500000000000002</v>
      </c>
      <c r="M636" s="1">
        <v>2.4500000000000002</v>
      </c>
      <c r="N636" s="1">
        <v>2.4500000000000002</v>
      </c>
      <c r="O636" s="1">
        <v>80.849999999999994</v>
      </c>
      <c r="P636" s="1">
        <v>49</v>
      </c>
      <c r="Q636" s="1">
        <v>73.5</v>
      </c>
      <c r="R636" s="1">
        <v>74.52</v>
      </c>
      <c r="S636" t="s">
        <v>12</v>
      </c>
      <c r="T636" s="13">
        <v>45970</v>
      </c>
      <c r="U636" s="1" t="str">
        <f>IF(ESTIMATIVA[[#This Row],[QT_AREA_REAL]]&gt;0,"1- Colhido","2- à Colher")</f>
        <v>1- Colhido</v>
      </c>
      <c r="V636" s="1" t="str">
        <f>IF(ESTIMATIVA[[#This Row],[QT_AREA_REST1]]&gt;0,"Reestimativa 1",IF(ESTIMATIVA[[#This Row],[QT_AREA_REAL]]=0,"Reestimativa 1","Realizado"))</f>
        <v>Reestimativa 1</v>
      </c>
      <c r="W636" s="1" t="str">
        <f>IF(ESTIMATIVA[[#This Row],[QT_AREA_REST2]]&gt;0,"Reestimativa 2",IF(ESTIMATIVA[[#This Row],[QT_AREA_REAL]]=0,"Reestimativa 2","Realizado"))</f>
        <v>Reestimativa 2</v>
      </c>
      <c r="X636" s="1">
        <f>ESTIMATIVA[[#This Row],[QT_AREA_EST]]</f>
        <v>2.4500000000000002</v>
      </c>
      <c r="Y636" s="1">
        <f>IF(ESTIMATIVA[[#This Row],[QT_AREA_REST1]]&gt;0,ESTIMATIVA[[#This Row],[QT_AREA_REST1]],
  IF(ESTIMATIVA[[#This Row],[QT_AREA_REAL]]&gt;0,ESTIMATIVA[[#This Row],[QT_AREA_REAL]],ESTIMATIVA[[#This Row],[QT_AREA_EST]]))</f>
        <v>2.4500000000000002</v>
      </c>
      <c r="Z63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2.4500000000000002</v>
      </c>
      <c r="AA636" s="1">
        <f>ESTIMATIVA[[#This Row],[QT_CANA_EST]]</f>
        <v>80.849999999999994</v>
      </c>
      <c r="AB636" s="1">
        <f>IF(ESTIMATIVA[[#This Row],[QT_CANA_REST1]]&gt;0,ESTIMATIVA[[#This Row],[QT_CANA_REST1]],
  IF(ESTIMATIVA[[#This Row],[QT_CANA_REAL]]&gt;0,ESTIMATIVA[[#This Row],[QT_CANA_REAL]],ESTIMATIVA[[#This Row],[QT_CANA_EST]]))</f>
        <v>49</v>
      </c>
      <c r="AC63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73.5</v>
      </c>
      <c r="AD636" s="1">
        <f>IF(ESTIMATIVA[[#This Row],[QT_AREA_REAL]]&gt;0,ESTIMATIVA[[#This Row],[QT_CANA_REAL]],ESTIMATIVA[[#This Row],[QT_CANA_EST]])</f>
        <v>74.52</v>
      </c>
      <c r="AE636" s="1">
        <f>IF(ESTIMATIVA[[#This Row],[QT_AREA_REAL]]&gt;0,ESTIMATIVA[[#This Row],[QT_CANA_REAL]],ESTIMATIVA[[#This Row],[QT_CANA_REST1]])</f>
        <v>74.52</v>
      </c>
      <c r="AF636" s="1">
        <f>IF(ESTIMATIVA[[#This Row],[QT_AREA_REAL]]&gt;0,ESTIMATIVA[[#This Row],[QT_CANA_REAL]],ESTIMATIVA[[#This Row],[QT_CANA_REST2]])</f>
        <v>74.52</v>
      </c>
      <c r="AG636" s="1" t="str">
        <f>IF(COUNTIFS(GEADA!A:A,VALUE(ESTIMATIVA[[#This Row],[CD_UPNIVEL1]]&amp;TEXT(ESTIMATIVA[[#This Row],[CD_UPNIVEL3]],"0000")))&gt;0,"S","N")</f>
        <v>S</v>
      </c>
      <c r="AH63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36" s="55" t="str">
        <f>IF(ESTIMATIVA[[#This Row],[TP_CULTIVO]]="Irrigado",_xlfn.MAXIFS(IRRIGADO!J:J,IRRIGADO!C:C,ESTIMATIVA[[#This Row],[CD_UPNIVEL1]],IRRIGADO!E:E,ESTIMATIVA[[#This Row],[CD_UPNIVEL3]]),"")</f>
        <v/>
      </c>
      <c r="AJ63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36" s="1">
        <f>COUNTIFS(Apresentação!$E$23:$E$29,ESTIMATIVA[[#This Row],[CD_UPNIVEL1]])</f>
        <v>0</v>
      </c>
    </row>
    <row r="637" spans="1:37" x14ac:dyDescent="0.3">
      <c r="A637">
        <v>20331</v>
      </c>
      <c r="B637" t="s">
        <v>33</v>
      </c>
      <c r="C637">
        <v>8</v>
      </c>
      <c r="D637">
        <v>6</v>
      </c>
      <c r="E637" t="s">
        <v>261</v>
      </c>
      <c r="F637" s="85" t="s">
        <v>331</v>
      </c>
      <c r="G637"/>
      <c r="H637" t="s">
        <v>294</v>
      </c>
      <c r="I637" t="s">
        <v>202</v>
      </c>
      <c r="J637" t="s">
        <v>176</v>
      </c>
      <c r="K637" s="1">
        <v>1.41</v>
      </c>
      <c r="L637" s="1">
        <v>1.41</v>
      </c>
      <c r="M637" s="1">
        <v>1.41</v>
      </c>
      <c r="N637" s="1">
        <v>1.41</v>
      </c>
      <c r="O637" s="1">
        <v>46.53</v>
      </c>
      <c r="P637" s="1">
        <v>28.2</v>
      </c>
      <c r="Q637" s="1">
        <v>42.3</v>
      </c>
      <c r="R637" s="1">
        <v>42.67</v>
      </c>
      <c r="S637" t="s">
        <v>12</v>
      </c>
      <c r="T637" s="13">
        <v>45970</v>
      </c>
      <c r="U637" s="1" t="str">
        <f>IF(ESTIMATIVA[[#This Row],[QT_AREA_REAL]]&gt;0,"1- Colhido","2- à Colher")</f>
        <v>1- Colhido</v>
      </c>
      <c r="V637" s="1" t="str">
        <f>IF(ESTIMATIVA[[#This Row],[QT_AREA_REST1]]&gt;0,"Reestimativa 1",IF(ESTIMATIVA[[#This Row],[QT_AREA_REAL]]=0,"Reestimativa 1","Realizado"))</f>
        <v>Reestimativa 1</v>
      </c>
      <c r="W637" s="1" t="str">
        <f>IF(ESTIMATIVA[[#This Row],[QT_AREA_REST2]]&gt;0,"Reestimativa 2",IF(ESTIMATIVA[[#This Row],[QT_AREA_REAL]]=0,"Reestimativa 2","Realizado"))</f>
        <v>Reestimativa 2</v>
      </c>
      <c r="X637" s="1">
        <f>ESTIMATIVA[[#This Row],[QT_AREA_EST]]</f>
        <v>1.41</v>
      </c>
      <c r="Y637" s="1">
        <f>IF(ESTIMATIVA[[#This Row],[QT_AREA_REST1]]&gt;0,ESTIMATIVA[[#This Row],[QT_AREA_REST1]],
  IF(ESTIMATIVA[[#This Row],[QT_AREA_REAL]]&gt;0,ESTIMATIVA[[#This Row],[QT_AREA_REAL]],ESTIMATIVA[[#This Row],[QT_AREA_EST]]))</f>
        <v>1.41</v>
      </c>
      <c r="Z63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1.41</v>
      </c>
      <c r="AA637" s="1">
        <f>ESTIMATIVA[[#This Row],[QT_CANA_EST]]</f>
        <v>46.53</v>
      </c>
      <c r="AB637" s="1">
        <f>IF(ESTIMATIVA[[#This Row],[QT_CANA_REST1]]&gt;0,ESTIMATIVA[[#This Row],[QT_CANA_REST1]],
  IF(ESTIMATIVA[[#This Row],[QT_CANA_REAL]]&gt;0,ESTIMATIVA[[#This Row],[QT_CANA_REAL]],ESTIMATIVA[[#This Row],[QT_CANA_EST]]))</f>
        <v>28.2</v>
      </c>
      <c r="AC63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42.3</v>
      </c>
      <c r="AD637" s="1">
        <f>IF(ESTIMATIVA[[#This Row],[QT_AREA_REAL]]&gt;0,ESTIMATIVA[[#This Row],[QT_CANA_REAL]],ESTIMATIVA[[#This Row],[QT_CANA_EST]])</f>
        <v>42.67</v>
      </c>
      <c r="AE637" s="1">
        <f>IF(ESTIMATIVA[[#This Row],[QT_AREA_REAL]]&gt;0,ESTIMATIVA[[#This Row],[QT_CANA_REAL]],ESTIMATIVA[[#This Row],[QT_CANA_REST1]])</f>
        <v>42.67</v>
      </c>
      <c r="AF637" s="1">
        <f>IF(ESTIMATIVA[[#This Row],[QT_AREA_REAL]]&gt;0,ESTIMATIVA[[#This Row],[QT_CANA_REAL]],ESTIMATIVA[[#This Row],[QT_CANA_REST2]])</f>
        <v>42.67</v>
      </c>
      <c r="AG637" s="1" t="str">
        <f>IF(COUNTIFS(GEADA!A:A,VALUE(ESTIMATIVA[[#This Row],[CD_UPNIVEL1]]&amp;TEXT(ESTIMATIVA[[#This Row],[CD_UPNIVEL3]],"0000")))&gt;0,"S","N")</f>
        <v>S</v>
      </c>
      <c r="AH63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37" s="55" t="str">
        <f>IF(ESTIMATIVA[[#This Row],[TP_CULTIVO]]="Irrigado",_xlfn.MAXIFS(IRRIGADO!J:J,IRRIGADO!C:C,ESTIMATIVA[[#This Row],[CD_UPNIVEL1]],IRRIGADO!E:E,ESTIMATIVA[[#This Row],[CD_UPNIVEL3]]),"")</f>
        <v/>
      </c>
      <c r="AJ63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37" s="1">
        <f>COUNTIFS(Apresentação!$E$23:$E$29,ESTIMATIVA[[#This Row],[CD_UPNIVEL1]])</f>
        <v>0</v>
      </c>
    </row>
    <row r="638" spans="1:37" x14ac:dyDescent="0.3">
      <c r="A638">
        <v>20331</v>
      </c>
      <c r="B638" t="s">
        <v>33</v>
      </c>
      <c r="C638">
        <v>9</v>
      </c>
      <c r="D638">
        <v>1</v>
      </c>
      <c r="E638" t="s">
        <v>264</v>
      </c>
      <c r="F638" s="85" t="s">
        <v>333</v>
      </c>
      <c r="G638"/>
      <c r="H638" t="s">
        <v>294</v>
      </c>
      <c r="I638" t="s">
        <v>207</v>
      </c>
      <c r="J638" t="s">
        <v>176</v>
      </c>
      <c r="K638" s="1">
        <v>16.97</v>
      </c>
      <c r="L638" s="1">
        <v>0</v>
      </c>
      <c r="M638" s="1">
        <v>0</v>
      </c>
      <c r="N638" s="1">
        <v>16.97</v>
      </c>
      <c r="O638" s="1">
        <v>1663.06</v>
      </c>
      <c r="P638" s="1">
        <v>0</v>
      </c>
      <c r="Q638" s="1">
        <v>0</v>
      </c>
      <c r="R638" s="1">
        <v>1394.14</v>
      </c>
      <c r="S638" t="s">
        <v>12</v>
      </c>
      <c r="T638" s="13">
        <v>45809</v>
      </c>
      <c r="U638" s="1" t="str">
        <f>IF(ESTIMATIVA[[#This Row],[QT_AREA_REAL]]&gt;0,"1- Colhido","2- à Colher")</f>
        <v>1- Colhido</v>
      </c>
      <c r="V638" s="1" t="str">
        <f>IF(ESTIMATIVA[[#This Row],[QT_AREA_REST1]]&gt;0,"Reestimativa 1",IF(ESTIMATIVA[[#This Row],[QT_AREA_REAL]]=0,"Reestimativa 1","Realizado"))</f>
        <v>Realizado</v>
      </c>
      <c r="W638" s="1" t="str">
        <f>IF(ESTIMATIVA[[#This Row],[QT_AREA_REST2]]&gt;0,"Reestimativa 2",IF(ESTIMATIVA[[#This Row],[QT_AREA_REAL]]=0,"Reestimativa 2","Realizado"))</f>
        <v>Realizado</v>
      </c>
      <c r="X638" s="1">
        <f>ESTIMATIVA[[#This Row],[QT_AREA_EST]]</f>
        <v>16.97</v>
      </c>
      <c r="Y638" s="1">
        <f>IF(ESTIMATIVA[[#This Row],[QT_AREA_REST1]]&gt;0,ESTIMATIVA[[#This Row],[QT_AREA_REST1]],
  IF(ESTIMATIVA[[#This Row],[QT_AREA_REAL]]&gt;0,ESTIMATIVA[[#This Row],[QT_AREA_REAL]],ESTIMATIVA[[#This Row],[QT_AREA_EST]]))</f>
        <v>16.97</v>
      </c>
      <c r="Z63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16.97</v>
      </c>
      <c r="AA638" s="1">
        <f>ESTIMATIVA[[#This Row],[QT_CANA_EST]]</f>
        <v>1663.06</v>
      </c>
      <c r="AB638" s="1">
        <f>IF(ESTIMATIVA[[#This Row],[QT_CANA_REST1]]&gt;0,ESTIMATIVA[[#This Row],[QT_CANA_REST1]],
  IF(ESTIMATIVA[[#This Row],[QT_CANA_REAL]]&gt;0,ESTIMATIVA[[#This Row],[QT_CANA_REAL]],ESTIMATIVA[[#This Row],[QT_CANA_EST]]))</f>
        <v>1394.14</v>
      </c>
      <c r="AC63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1394.14</v>
      </c>
      <c r="AD638" s="1">
        <f>IF(ESTIMATIVA[[#This Row],[QT_AREA_REAL]]&gt;0,ESTIMATIVA[[#This Row],[QT_CANA_REAL]],ESTIMATIVA[[#This Row],[QT_CANA_EST]])</f>
        <v>1394.14</v>
      </c>
      <c r="AE638" s="1">
        <f>IF(ESTIMATIVA[[#This Row],[QT_AREA_REAL]]&gt;0,ESTIMATIVA[[#This Row],[QT_CANA_REAL]],ESTIMATIVA[[#This Row],[QT_CANA_REST1]])</f>
        <v>1394.14</v>
      </c>
      <c r="AF638" s="1">
        <f>IF(ESTIMATIVA[[#This Row],[QT_AREA_REAL]]&gt;0,ESTIMATIVA[[#This Row],[QT_CANA_REAL]],ESTIMATIVA[[#This Row],[QT_CANA_REST2]])</f>
        <v>1394.14</v>
      </c>
      <c r="AG638" s="1" t="str">
        <f>IF(COUNTIFS(GEADA!A:A,VALUE(ESTIMATIVA[[#This Row],[CD_UPNIVEL1]]&amp;TEXT(ESTIMATIVA[[#This Row],[CD_UPNIVEL3]],"0000")))&gt;0,"S","N")</f>
        <v>N</v>
      </c>
      <c r="AH63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38" s="55" t="str">
        <f>IF(ESTIMATIVA[[#This Row],[TP_CULTIVO]]="Irrigado",_xlfn.MAXIFS(IRRIGADO!J:J,IRRIGADO!C:C,ESTIMATIVA[[#This Row],[CD_UPNIVEL1]],IRRIGADO!E:E,ESTIMATIVA[[#This Row],[CD_UPNIVEL3]]),"")</f>
        <v/>
      </c>
      <c r="AJ63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38" s="1">
        <f>COUNTIFS(Apresentação!$E$23:$E$29,ESTIMATIVA[[#This Row],[CD_UPNIVEL1]])</f>
        <v>0</v>
      </c>
    </row>
    <row r="639" spans="1:37" x14ac:dyDescent="0.3">
      <c r="A639">
        <v>20331</v>
      </c>
      <c r="B639" t="s">
        <v>33</v>
      </c>
      <c r="C639">
        <v>10</v>
      </c>
      <c r="D639">
        <v>1</v>
      </c>
      <c r="E639" t="s">
        <v>264</v>
      </c>
      <c r="F639" s="85" t="s">
        <v>333</v>
      </c>
      <c r="G639"/>
      <c r="H639" t="s">
        <v>294</v>
      </c>
      <c r="I639" t="s">
        <v>207</v>
      </c>
      <c r="J639" t="s">
        <v>176</v>
      </c>
      <c r="K639" s="1">
        <v>27.96</v>
      </c>
      <c r="L639" s="1">
        <v>0</v>
      </c>
      <c r="M639" s="1">
        <v>0</v>
      </c>
      <c r="N639" s="1">
        <v>27.96</v>
      </c>
      <c r="O639" s="1">
        <v>2740.08</v>
      </c>
      <c r="P639" s="1">
        <v>0</v>
      </c>
      <c r="Q639" s="1">
        <v>0</v>
      </c>
      <c r="R639" s="1">
        <v>2297.0500000000002</v>
      </c>
      <c r="S639" t="s">
        <v>12</v>
      </c>
      <c r="T639" s="13">
        <v>45809</v>
      </c>
      <c r="U639" s="1" t="str">
        <f>IF(ESTIMATIVA[[#This Row],[QT_AREA_REAL]]&gt;0,"1- Colhido","2- à Colher")</f>
        <v>1- Colhido</v>
      </c>
      <c r="V639" s="1" t="str">
        <f>IF(ESTIMATIVA[[#This Row],[QT_AREA_REST1]]&gt;0,"Reestimativa 1",IF(ESTIMATIVA[[#This Row],[QT_AREA_REAL]]=0,"Reestimativa 1","Realizado"))</f>
        <v>Realizado</v>
      </c>
      <c r="W639" s="1" t="str">
        <f>IF(ESTIMATIVA[[#This Row],[QT_AREA_REST2]]&gt;0,"Reestimativa 2",IF(ESTIMATIVA[[#This Row],[QT_AREA_REAL]]=0,"Reestimativa 2","Realizado"))</f>
        <v>Realizado</v>
      </c>
      <c r="X639" s="1">
        <f>ESTIMATIVA[[#This Row],[QT_AREA_EST]]</f>
        <v>27.96</v>
      </c>
      <c r="Y639" s="1">
        <f>IF(ESTIMATIVA[[#This Row],[QT_AREA_REST1]]&gt;0,ESTIMATIVA[[#This Row],[QT_AREA_REST1]],
  IF(ESTIMATIVA[[#This Row],[QT_AREA_REAL]]&gt;0,ESTIMATIVA[[#This Row],[QT_AREA_REAL]],ESTIMATIVA[[#This Row],[QT_AREA_EST]]))</f>
        <v>27.96</v>
      </c>
      <c r="Z63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27.96</v>
      </c>
      <c r="AA639" s="1">
        <f>ESTIMATIVA[[#This Row],[QT_CANA_EST]]</f>
        <v>2740.08</v>
      </c>
      <c r="AB639" s="1">
        <f>IF(ESTIMATIVA[[#This Row],[QT_CANA_REST1]]&gt;0,ESTIMATIVA[[#This Row],[QT_CANA_REST1]],
  IF(ESTIMATIVA[[#This Row],[QT_CANA_REAL]]&gt;0,ESTIMATIVA[[#This Row],[QT_CANA_REAL]],ESTIMATIVA[[#This Row],[QT_CANA_EST]]))</f>
        <v>2297.0500000000002</v>
      </c>
      <c r="AC63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2297.0500000000002</v>
      </c>
      <c r="AD639" s="1">
        <f>IF(ESTIMATIVA[[#This Row],[QT_AREA_REAL]]&gt;0,ESTIMATIVA[[#This Row],[QT_CANA_REAL]],ESTIMATIVA[[#This Row],[QT_CANA_EST]])</f>
        <v>2297.0500000000002</v>
      </c>
      <c r="AE639" s="1">
        <f>IF(ESTIMATIVA[[#This Row],[QT_AREA_REAL]]&gt;0,ESTIMATIVA[[#This Row],[QT_CANA_REAL]],ESTIMATIVA[[#This Row],[QT_CANA_REST1]])</f>
        <v>2297.0500000000002</v>
      </c>
      <c r="AF639" s="1">
        <f>IF(ESTIMATIVA[[#This Row],[QT_AREA_REAL]]&gt;0,ESTIMATIVA[[#This Row],[QT_CANA_REAL]],ESTIMATIVA[[#This Row],[QT_CANA_REST2]])</f>
        <v>2297.0500000000002</v>
      </c>
      <c r="AG639" s="1" t="str">
        <f>IF(COUNTIFS(GEADA!A:A,VALUE(ESTIMATIVA[[#This Row],[CD_UPNIVEL1]]&amp;TEXT(ESTIMATIVA[[#This Row],[CD_UPNIVEL3]],"0000")))&gt;0,"S","N")</f>
        <v>N</v>
      </c>
      <c r="AH63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39" s="55" t="str">
        <f>IF(ESTIMATIVA[[#This Row],[TP_CULTIVO]]="Irrigado",_xlfn.MAXIFS(IRRIGADO!J:J,IRRIGADO!C:C,ESTIMATIVA[[#This Row],[CD_UPNIVEL1]],IRRIGADO!E:E,ESTIMATIVA[[#This Row],[CD_UPNIVEL3]]),"")</f>
        <v/>
      </c>
      <c r="AJ63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39" s="1">
        <f>COUNTIFS(Apresentação!$E$23:$E$29,ESTIMATIVA[[#This Row],[CD_UPNIVEL1]])</f>
        <v>0</v>
      </c>
    </row>
    <row r="640" spans="1:37" x14ac:dyDescent="0.3">
      <c r="A640">
        <v>20331</v>
      </c>
      <c r="B640" t="s">
        <v>33</v>
      </c>
      <c r="C640">
        <v>11</v>
      </c>
      <c r="D640">
        <v>1</v>
      </c>
      <c r="E640" t="s">
        <v>264</v>
      </c>
      <c r="F640" s="85" t="s">
        <v>333</v>
      </c>
      <c r="G640"/>
      <c r="H640" t="s">
        <v>294</v>
      </c>
      <c r="I640" t="s">
        <v>207</v>
      </c>
      <c r="J640" t="s">
        <v>176</v>
      </c>
      <c r="K640" s="1">
        <v>12.82</v>
      </c>
      <c r="L640" s="1">
        <v>0</v>
      </c>
      <c r="M640" s="1">
        <v>0</v>
      </c>
      <c r="N640" s="1">
        <v>12.82</v>
      </c>
      <c r="O640" s="1">
        <v>1256.3599999999999</v>
      </c>
      <c r="P640" s="1">
        <v>0</v>
      </c>
      <c r="Q640" s="1">
        <v>0</v>
      </c>
      <c r="R640" s="1">
        <v>1053.1199999999999</v>
      </c>
      <c r="S640" t="s">
        <v>12</v>
      </c>
      <c r="T640" s="13">
        <v>45809</v>
      </c>
      <c r="U640" s="1" t="str">
        <f>IF(ESTIMATIVA[[#This Row],[QT_AREA_REAL]]&gt;0,"1- Colhido","2- à Colher")</f>
        <v>1- Colhido</v>
      </c>
      <c r="V640" s="1" t="str">
        <f>IF(ESTIMATIVA[[#This Row],[QT_AREA_REST1]]&gt;0,"Reestimativa 1",IF(ESTIMATIVA[[#This Row],[QT_AREA_REAL]]=0,"Reestimativa 1","Realizado"))</f>
        <v>Realizado</v>
      </c>
      <c r="W640" s="1" t="str">
        <f>IF(ESTIMATIVA[[#This Row],[QT_AREA_REST2]]&gt;0,"Reestimativa 2",IF(ESTIMATIVA[[#This Row],[QT_AREA_REAL]]=0,"Reestimativa 2","Realizado"))</f>
        <v>Realizado</v>
      </c>
      <c r="X640" s="1">
        <f>ESTIMATIVA[[#This Row],[QT_AREA_EST]]</f>
        <v>12.82</v>
      </c>
      <c r="Y640" s="1">
        <f>IF(ESTIMATIVA[[#This Row],[QT_AREA_REST1]]&gt;0,ESTIMATIVA[[#This Row],[QT_AREA_REST1]],
  IF(ESTIMATIVA[[#This Row],[QT_AREA_REAL]]&gt;0,ESTIMATIVA[[#This Row],[QT_AREA_REAL]],ESTIMATIVA[[#This Row],[QT_AREA_EST]]))</f>
        <v>12.82</v>
      </c>
      <c r="Z64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12.82</v>
      </c>
      <c r="AA640" s="1">
        <f>ESTIMATIVA[[#This Row],[QT_CANA_EST]]</f>
        <v>1256.3599999999999</v>
      </c>
      <c r="AB640" s="1">
        <f>IF(ESTIMATIVA[[#This Row],[QT_CANA_REST1]]&gt;0,ESTIMATIVA[[#This Row],[QT_CANA_REST1]],
  IF(ESTIMATIVA[[#This Row],[QT_CANA_REAL]]&gt;0,ESTIMATIVA[[#This Row],[QT_CANA_REAL]],ESTIMATIVA[[#This Row],[QT_CANA_EST]]))</f>
        <v>1053.1199999999999</v>
      </c>
      <c r="AC64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1053.1199999999999</v>
      </c>
      <c r="AD640" s="1">
        <f>IF(ESTIMATIVA[[#This Row],[QT_AREA_REAL]]&gt;0,ESTIMATIVA[[#This Row],[QT_CANA_REAL]],ESTIMATIVA[[#This Row],[QT_CANA_EST]])</f>
        <v>1053.1199999999999</v>
      </c>
      <c r="AE640" s="1">
        <f>IF(ESTIMATIVA[[#This Row],[QT_AREA_REAL]]&gt;0,ESTIMATIVA[[#This Row],[QT_CANA_REAL]],ESTIMATIVA[[#This Row],[QT_CANA_REST1]])</f>
        <v>1053.1199999999999</v>
      </c>
      <c r="AF640" s="1">
        <f>IF(ESTIMATIVA[[#This Row],[QT_AREA_REAL]]&gt;0,ESTIMATIVA[[#This Row],[QT_CANA_REAL]],ESTIMATIVA[[#This Row],[QT_CANA_REST2]])</f>
        <v>1053.1199999999999</v>
      </c>
      <c r="AG640" s="1" t="str">
        <f>IF(COUNTIFS(GEADA!A:A,VALUE(ESTIMATIVA[[#This Row],[CD_UPNIVEL1]]&amp;TEXT(ESTIMATIVA[[#This Row],[CD_UPNIVEL3]],"0000")))&gt;0,"S","N")</f>
        <v>N</v>
      </c>
      <c r="AH64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40" s="55" t="str">
        <f>IF(ESTIMATIVA[[#This Row],[TP_CULTIVO]]="Irrigado",_xlfn.MAXIFS(IRRIGADO!J:J,IRRIGADO!C:C,ESTIMATIVA[[#This Row],[CD_UPNIVEL1]],IRRIGADO!E:E,ESTIMATIVA[[#This Row],[CD_UPNIVEL3]]),"")</f>
        <v/>
      </c>
      <c r="AJ64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40" s="1">
        <f>COUNTIFS(Apresentação!$E$23:$E$29,ESTIMATIVA[[#This Row],[CD_UPNIVEL1]])</f>
        <v>0</v>
      </c>
    </row>
    <row r="641" spans="1:37" x14ac:dyDescent="0.3">
      <c r="A641">
        <v>20334</v>
      </c>
      <c r="B641" t="s">
        <v>17</v>
      </c>
      <c r="C641">
        <v>23</v>
      </c>
      <c r="D641">
        <v>5</v>
      </c>
      <c r="E641" t="s">
        <v>268</v>
      </c>
      <c r="F641" s="85" t="s">
        <v>331</v>
      </c>
      <c r="G641"/>
      <c r="H641" t="s">
        <v>294</v>
      </c>
      <c r="I641" t="s">
        <v>221</v>
      </c>
      <c r="J641" t="s">
        <v>176</v>
      </c>
      <c r="K641" s="1">
        <v>0.48</v>
      </c>
      <c r="L641" s="1">
        <v>0</v>
      </c>
      <c r="M641" s="1">
        <v>0</v>
      </c>
      <c r="N641" s="1">
        <v>0.48</v>
      </c>
      <c r="O641" s="1">
        <v>23.04</v>
      </c>
      <c r="P641" s="1">
        <v>0</v>
      </c>
      <c r="Q641" s="1">
        <v>0</v>
      </c>
      <c r="R641" s="1">
        <v>61.23</v>
      </c>
      <c r="S641" t="s">
        <v>12</v>
      </c>
      <c r="T641" s="13">
        <v>45816</v>
      </c>
      <c r="U641" s="1" t="str">
        <f>IF(ESTIMATIVA[[#This Row],[QT_AREA_REAL]]&gt;0,"1- Colhido","2- à Colher")</f>
        <v>1- Colhido</v>
      </c>
      <c r="V641" s="1" t="str">
        <f>IF(ESTIMATIVA[[#This Row],[QT_AREA_REST1]]&gt;0,"Reestimativa 1",IF(ESTIMATIVA[[#This Row],[QT_AREA_REAL]]=0,"Reestimativa 1","Realizado"))</f>
        <v>Realizado</v>
      </c>
      <c r="W641" s="1" t="str">
        <f>IF(ESTIMATIVA[[#This Row],[QT_AREA_REST2]]&gt;0,"Reestimativa 2",IF(ESTIMATIVA[[#This Row],[QT_AREA_REAL]]=0,"Reestimativa 2","Realizado"))</f>
        <v>Realizado</v>
      </c>
      <c r="X641" s="1">
        <f>ESTIMATIVA[[#This Row],[QT_AREA_EST]]</f>
        <v>0.48</v>
      </c>
      <c r="Y641" s="1">
        <f>IF(ESTIMATIVA[[#This Row],[QT_AREA_REST1]]&gt;0,ESTIMATIVA[[#This Row],[QT_AREA_REST1]],
  IF(ESTIMATIVA[[#This Row],[QT_AREA_REAL]]&gt;0,ESTIMATIVA[[#This Row],[QT_AREA_REAL]],ESTIMATIVA[[#This Row],[QT_AREA_EST]]))</f>
        <v>0.48</v>
      </c>
      <c r="Z64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0.48</v>
      </c>
      <c r="AA641" s="1">
        <f>ESTIMATIVA[[#This Row],[QT_CANA_EST]]</f>
        <v>23.04</v>
      </c>
      <c r="AB641" s="1">
        <f>IF(ESTIMATIVA[[#This Row],[QT_CANA_REST1]]&gt;0,ESTIMATIVA[[#This Row],[QT_CANA_REST1]],
  IF(ESTIMATIVA[[#This Row],[QT_CANA_REAL]]&gt;0,ESTIMATIVA[[#This Row],[QT_CANA_REAL]],ESTIMATIVA[[#This Row],[QT_CANA_EST]]))</f>
        <v>61.23</v>
      </c>
      <c r="AC64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61.23</v>
      </c>
      <c r="AD641" s="1">
        <f>IF(ESTIMATIVA[[#This Row],[QT_AREA_REAL]]&gt;0,ESTIMATIVA[[#This Row],[QT_CANA_REAL]],ESTIMATIVA[[#This Row],[QT_CANA_EST]])</f>
        <v>61.23</v>
      </c>
      <c r="AE641" s="1">
        <f>IF(ESTIMATIVA[[#This Row],[QT_AREA_REAL]]&gt;0,ESTIMATIVA[[#This Row],[QT_CANA_REAL]],ESTIMATIVA[[#This Row],[QT_CANA_REST1]])</f>
        <v>61.23</v>
      </c>
      <c r="AF641" s="1">
        <f>IF(ESTIMATIVA[[#This Row],[QT_AREA_REAL]]&gt;0,ESTIMATIVA[[#This Row],[QT_CANA_REAL]],ESTIMATIVA[[#This Row],[QT_CANA_REST2]])</f>
        <v>61.23</v>
      </c>
      <c r="AG641" s="1" t="str">
        <f>IF(COUNTIFS(GEADA!A:A,VALUE(ESTIMATIVA[[#This Row],[CD_UPNIVEL1]]&amp;TEXT(ESTIMATIVA[[#This Row],[CD_UPNIVEL3]],"0000")))&gt;0,"S","N")</f>
        <v>N</v>
      </c>
      <c r="AH64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41" s="55" t="str">
        <f>IF(ESTIMATIVA[[#This Row],[TP_CULTIVO]]="Irrigado",_xlfn.MAXIFS(IRRIGADO!J:J,IRRIGADO!C:C,ESTIMATIVA[[#This Row],[CD_UPNIVEL1]],IRRIGADO!E:E,ESTIMATIVA[[#This Row],[CD_UPNIVEL3]]),"")</f>
        <v/>
      </c>
      <c r="AJ64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41" s="1">
        <f>COUNTIFS(Apresentação!$E$23:$E$29,ESTIMATIVA[[#This Row],[CD_UPNIVEL1]])</f>
        <v>0</v>
      </c>
    </row>
    <row r="642" spans="1:37" x14ac:dyDescent="0.3">
      <c r="A642">
        <v>20335</v>
      </c>
      <c r="B642" t="s">
        <v>129</v>
      </c>
      <c r="C642">
        <v>1</v>
      </c>
      <c r="D642">
        <v>5</v>
      </c>
      <c r="E642" t="s">
        <v>268</v>
      </c>
      <c r="F642" s="85" t="s">
        <v>331</v>
      </c>
      <c r="G642"/>
      <c r="H642" t="s">
        <v>294</v>
      </c>
      <c r="I642" t="s">
        <v>203</v>
      </c>
      <c r="J642" t="s">
        <v>176</v>
      </c>
      <c r="K642" s="1">
        <v>10.15</v>
      </c>
      <c r="L642" s="1">
        <v>10.15</v>
      </c>
      <c r="M642" s="1">
        <v>10.15</v>
      </c>
      <c r="N642" s="1">
        <v>10.15</v>
      </c>
      <c r="O642" s="1">
        <v>548.1</v>
      </c>
      <c r="P642" s="1">
        <v>548.1</v>
      </c>
      <c r="Q642" s="1">
        <v>507.5</v>
      </c>
      <c r="R642" s="1">
        <v>445.08</v>
      </c>
      <c r="S642" t="s">
        <v>12</v>
      </c>
      <c r="T642" s="13">
        <v>45956</v>
      </c>
      <c r="U642" s="1" t="str">
        <f>IF(ESTIMATIVA[[#This Row],[QT_AREA_REAL]]&gt;0,"1- Colhido","2- à Colher")</f>
        <v>1- Colhido</v>
      </c>
      <c r="V642" s="1" t="str">
        <f>IF(ESTIMATIVA[[#This Row],[QT_AREA_REST1]]&gt;0,"Reestimativa 1",IF(ESTIMATIVA[[#This Row],[QT_AREA_REAL]]=0,"Reestimativa 1","Realizado"))</f>
        <v>Reestimativa 1</v>
      </c>
      <c r="W642" s="1" t="str">
        <f>IF(ESTIMATIVA[[#This Row],[QT_AREA_REST2]]&gt;0,"Reestimativa 2",IF(ESTIMATIVA[[#This Row],[QT_AREA_REAL]]=0,"Reestimativa 2","Realizado"))</f>
        <v>Reestimativa 2</v>
      </c>
      <c r="X642" s="1">
        <f>ESTIMATIVA[[#This Row],[QT_AREA_EST]]</f>
        <v>10.15</v>
      </c>
      <c r="Y642" s="1">
        <f>IF(ESTIMATIVA[[#This Row],[QT_AREA_REST1]]&gt;0,ESTIMATIVA[[#This Row],[QT_AREA_REST1]],
  IF(ESTIMATIVA[[#This Row],[QT_AREA_REAL]]&gt;0,ESTIMATIVA[[#This Row],[QT_AREA_REAL]],ESTIMATIVA[[#This Row],[QT_AREA_EST]]))</f>
        <v>10.15</v>
      </c>
      <c r="Z64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10.15</v>
      </c>
      <c r="AA642" s="1">
        <f>ESTIMATIVA[[#This Row],[QT_CANA_EST]]</f>
        <v>548.1</v>
      </c>
      <c r="AB642" s="1">
        <f>IF(ESTIMATIVA[[#This Row],[QT_CANA_REST1]]&gt;0,ESTIMATIVA[[#This Row],[QT_CANA_REST1]],
  IF(ESTIMATIVA[[#This Row],[QT_CANA_REAL]]&gt;0,ESTIMATIVA[[#This Row],[QT_CANA_REAL]],ESTIMATIVA[[#This Row],[QT_CANA_EST]]))</f>
        <v>548.1</v>
      </c>
      <c r="AC64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507.5</v>
      </c>
      <c r="AD642" s="1">
        <f>IF(ESTIMATIVA[[#This Row],[QT_AREA_REAL]]&gt;0,ESTIMATIVA[[#This Row],[QT_CANA_REAL]],ESTIMATIVA[[#This Row],[QT_CANA_EST]])</f>
        <v>445.08</v>
      </c>
      <c r="AE642" s="1">
        <f>IF(ESTIMATIVA[[#This Row],[QT_AREA_REAL]]&gt;0,ESTIMATIVA[[#This Row],[QT_CANA_REAL]],ESTIMATIVA[[#This Row],[QT_CANA_REST1]])</f>
        <v>445.08</v>
      </c>
      <c r="AF642" s="1">
        <f>IF(ESTIMATIVA[[#This Row],[QT_AREA_REAL]]&gt;0,ESTIMATIVA[[#This Row],[QT_CANA_REAL]],ESTIMATIVA[[#This Row],[QT_CANA_REST2]])</f>
        <v>445.08</v>
      </c>
      <c r="AG642" s="1" t="str">
        <f>IF(COUNTIFS(GEADA!A:A,VALUE(ESTIMATIVA[[#This Row],[CD_UPNIVEL1]]&amp;TEXT(ESTIMATIVA[[#This Row],[CD_UPNIVEL3]],"0000")))&gt;0,"S","N")</f>
        <v>N</v>
      </c>
      <c r="AH64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42" s="55" t="str">
        <f>IF(ESTIMATIVA[[#This Row],[TP_CULTIVO]]="Irrigado",_xlfn.MAXIFS(IRRIGADO!J:J,IRRIGADO!C:C,ESTIMATIVA[[#This Row],[CD_UPNIVEL1]],IRRIGADO!E:E,ESTIMATIVA[[#This Row],[CD_UPNIVEL3]]),"")</f>
        <v/>
      </c>
      <c r="AJ64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42" s="1">
        <f>COUNTIFS(Apresentação!$E$23:$E$29,ESTIMATIVA[[#This Row],[CD_UPNIVEL1]])</f>
        <v>0</v>
      </c>
    </row>
    <row r="643" spans="1:37" x14ac:dyDescent="0.3">
      <c r="A643">
        <v>20335</v>
      </c>
      <c r="B643" t="s">
        <v>129</v>
      </c>
      <c r="C643">
        <v>2</v>
      </c>
      <c r="D643">
        <v>5</v>
      </c>
      <c r="E643" t="s">
        <v>268</v>
      </c>
      <c r="F643" s="85" t="s">
        <v>331</v>
      </c>
      <c r="G643"/>
      <c r="H643" t="s">
        <v>294</v>
      </c>
      <c r="I643" t="s">
        <v>203</v>
      </c>
      <c r="J643" t="s">
        <v>176</v>
      </c>
      <c r="K643" s="1">
        <v>24.09</v>
      </c>
      <c r="L643" s="1">
        <v>24.09</v>
      </c>
      <c r="M643" s="1">
        <v>24.09</v>
      </c>
      <c r="N643" s="1">
        <v>24.09</v>
      </c>
      <c r="O643" s="1">
        <v>1204.5</v>
      </c>
      <c r="P643" s="1">
        <v>1204.5</v>
      </c>
      <c r="Q643" s="1">
        <v>1035.8699999999999</v>
      </c>
      <c r="R643" s="1">
        <v>907.74</v>
      </c>
      <c r="S643" t="s">
        <v>12</v>
      </c>
      <c r="T643" s="13">
        <v>45956</v>
      </c>
      <c r="U643" s="1" t="str">
        <f>IF(ESTIMATIVA[[#This Row],[QT_AREA_REAL]]&gt;0,"1- Colhido","2- à Colher")</f>
        <v>1- Colhido</v>
      </c>
      <c r="V643" s="1" t="str">
        <f>IF(ESTIMATIVA[[#This Row],[QT_AREA_REST1]]&gt;0,"Reestimativa 1",IF(ESTIMATIVA[[#This Row],[QT_AREA_REAL]]=0,"Reestimativa 1","Realizado"))</f>
        <v>Reestimativa 1</v>
      </c>
      <c r="W643" s="1" t="str">
        <f>IF(ESTIMATIVA[[#This Row],[QT_AREA_REST2]]&gt;0,"Reestimativa 2",IF(ESTIMATIVA[[#This Row],[QT_AREA_REAL]]=0,"Reestimativa 2","Realizado"))</f>
        <v>Reestimativa 2</v>
      </c>
      <c r="X643" s="1">
        <f>ESTIMATIVA[[#This Row],[QT_AREA_EST]]</f>
        <v>24.09</v>
      </c>
      <c r="Y643" s="1">
        <f>IF(ESTIMATIVA[[#This Row],[QT_AREA_REST1]]&gt;0,ESTIMATIVA[[#This Row],[QT_AREA_REST1]],
  IF(ESTIMATIVA[[#This Row],[QT_AREA_REAL]]&gt;0,ESTIMATIVA[[#This Row],[QT_AREA_REAL]],ESTIMATIVA[[#This Row],[QT_AREA_EST]]))</f>
        <v>24.09</v>
      </c>
      <c r="Z64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24.09</v>
      </c>
      <c r="AA643" s="1">
        <f>ESTIMATIVA[[#This Row],[QT_CANA_EST]]</f>
        <v>1204.5</v>
      </c>
      <c r="AB643" s="1">
        <f>IF(ESTIMATIVA[[#This Row],[QT_CANA_REST1]]&gt;0,ESTIMATIVA[[#This Row],[QT_CANA_REST1]],
  IF(ESTIMATIVA[[#This Row],[QT_CANA_REAL]]&gt;0,ESTIMATIVA[[#This Row],[QT_CANA_REAL]],ESTIMATIVA[[#This Row],[QT_CANA_EST]]))</f>
        <v>1204.5</v>
      </c>
      <c r="AC64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1035.8699999999999</v>
      </c>
      <c r="AD643" s="1">
        <f>IF(ESTIMATIVA[[#This Row],[QT_AREA_REAL]]&gt;0,ESTIMATIVA[[#This Row],[QT_CANA_REAL]],ESTIMATIVA[[#This Row],[QT_CANA_EST]])</f>
        <v>907.74</v>
      </c>
      <c r="AE643" s="1">
        <f>IF(ESTIMATIVA[[#This Row],[QT_AREA_REAL]]&gt;0,ESTIMATIVA[[#This Row],[QT_CANA_REAL]],ESTIMATIVA[[#This Row],[QT_CANA_REST1]])</f>
        <v>907.74</v>
      </c>
      <c r="AF643" s="1">
        <f>IF(ESTIMATIVA[[#This Row],[QT_AREA_REAL]]&gt;0,ESTIMATIVA[[#This Row],[QT_CANA_REAL]],ESTIMATIVA[[#This Row],[QT_CANA_REST2]])</f>
        <v>907.74</v>
      </c>
      <c r="AG643" s="1" t="str">
        <f>IF(COUNTIFS(GEADA!A:A,VALUE(ESTIMATIVA[[#This Row],[CD_UPNIVEL1]]&amp;TEXT(ESTIMATIVA[[#This Row],[CD_UPNIVEL3]],"0000")))&gt;0,"S","N")</f>
        <v>N</v>
      </c>
      <c r="AH64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43" s="55" t="str">
        <f>IF(ESTIMATIVA[[#This Row],[TP_CULTIVO]]="Irrigado",_xlfn.MAXIFS(IRRIGADO!J:J,IRRIGADO!C:C,ESTIMATIVA[[#This Row],[CD_UPNIVEL1]],IRRIGADO!E:E,ESTIMATIVA[[#This Row],[CD_UPNIVEL3]]),"")</f>
        <v/>
      </c>
      <c r="AJ64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43" s="1">
        <f>COUNTIFS(Apresentação!$E$23:$E$29,ESTIMATIVA[[#This Row],[CD_UPNIVEL1]])</f>
        <v>0</v>
      </c>
    </row>
    <row r="644" spans="1:37" x14ac:dyDescent="0.3">
      <c r="A644">
        <v>20335</v>
      </c>
      <c r="B644" t="s">
        <v>129</v>
      </c>
      <c r="C644">
        <v>3</v>
      </c>
      <c r="D644">
        <v>5</v>
      </c>
      <c r="E644" t="s">
        <v>268</v>
      </c>
      <c r="F644" s="85" t="s">
        <v>331</v>
      </c>
      <c r="G644"/>
      <c r="H644" t="s">
        <v>294</v>
      </c>
      <c r="I644" t="s">
        <v>207</v>
      </c>
      <c r="J644" t="s">
        <v>176</v>
      </c>
      <c r="K644" s="1">
        <v>10.97</v>
      </c>
      <c r="L644" s="1">
        <v>10.97</v>
      </c>
      <c r="M644" s="1">
        <v>10.97</v>
      </c>
      <c r="N644" s="1">
        <v>10.97</v>
      </c>
      <c r="O644" s="1">
        <v>669.17</v>
      </c>
      <c r="P644" s="1">
        <v>669.17</v>
      </c>
      <c r="Q644" s="1">
        <v>548.5</v>
      </c>
      <c r="R644" s="1">
        <v>481.02</v>
      </c>
      <c r="S644" t="s">
        <v>12</v>
      </c>
      <c r="T644" s="13">
        <v>45956</v>
      </c>
      <c r="U644" s="1" t="str">
        <f>IF(ESTIMATIVA[[#This Row],[QT_AREA_REAL]]&gt;0,"1- Colhido","2- à Colher")</f>
        <v>1- Colhido</v>
      </c>
      <c r="V644" s="1" t="str">
        <f>IF(ESTIMATIVA[[#This Row],[QT_AREA_REST1]]&gt;0,"Reestimativa 1",IF(ESTIMATIVA[[#This Row],[QT_AREA_REAL]]=0,"Reestimativa 1","Realizado"))</f>
        <v>Reestimativa 1</v>
      </c>
      <c r="W644" s="1" t="str">
        <f>IF(ESTIMATIVA[[#This Row],[QT_AREA_REST2]]&gt;0,"Reestimativa 2",IF(ESTIMATIVA[[#This Row],[QT_AREA_REAL]]=0,"Reestimativa 2","Realizado"))</f>
        <v>Reestimativa 2</v>
      </c>
      <c r="X644" s="1">
        <f>ESTIMATIVA[[#This Row],[QT_AREA_EST]]</f>
        <v>10.97</v>
      </c>
      <c r="Y644" s="1">
        <f>IF(ESTIMATIVA[[#This Row],[QT_AREA_REST1]]&gt;0,ESTIMATIVA[[#This Row],[QT_AREA_REST1]],
  IF(ESTIMATIVA[[#This Row],[QT_AREA_REAL]]&gt;0,ESTIMATIVA[[#This Row],[QT_AREA_REAL]],ESTIMATIVA[[#This Row],[QT_AREA_EST]]))</f>
        <v>10.97</v>
      </c>
      <c r="Z64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10.97</v>
      </c>
      <c r="AA644" s="1">
        <f>ESTIMATIVA[[#This Row],[QT_CANA_EST]]</f>
        <v>669.17</v>
      </c>
      <c r="AB644" s="1">
        <f>IF(ESTIMATIVA[[#This Row],[QT_CANA_REST1]]&gt;0,ESTIMATIVA[[#This Row],[QT_CANA_REST1]],
  IF(ESTIMATIVA[[#This Row],[QT_CANA_REAL]]&gt;0,ESTIMATIVA[[#This Row],[QT_CANA_REAL]],ESTIMATIVA[[#This Row],[QT_CANA_EST]]))</f>
        <v>669.17</v>
      </c>
      <c r="AC64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548.5</v>
      </c>
      <c r="AD644" s="1">
        <f>IF(ESTIMATIVA[[#This Row],[QT_AREA_REAL]]&gt;0,ESTIMATIVA[[#This Row],[QT_CANA_REAL]],ESTIMATIVA[[#This Row],[QT_CANA_EST]])</f>
        <v>481.02</v>
      </c>
      <c r="AE644" s="1">
        <f>IF(ESTIMATIVA[[#This Row],[QT_AREA_REAL]]&gt;0,ESTIMATIVA[[#This Row],[QT_CANA_REAL]],ESTIMATIVA[[#This Row],[QT_CANA_REST1]])</f>
        <v>481.02</v>
      </c>
      <c r="AF644" s="1">
        <f>IF(ESTIMATIVA[[#This Row],[QT_AREA_REAL]]&gt;0,ESTIMATIVA[[#This Row],[QT_CANA_REAL]],ESTIMATIVA[[#This Row],[QT_CANA_REST2]])</f>
        <v>481.02</v>
      </c>
      <c r="AG644" s="1" t="str">
        <f>IF(COUNTIFS(GEADA!A:A,VALUE(ESTIMATIVA[[#This Row],[CD_UPNIVEL1]]&amp;TEXT(ESTIMATIVA[[#This Row],[CD_UPNIVEL3]],"0000")))&gt;0,"S","N")</f>
        <v>N</v>
      </c>
      <c r="AH64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44" s="55" t="str">
        <f>IF(ESTIMATIVA[[#This Row],[TP_CULTIVO]]="Irrigado",_xlfn.MAXIFS(IRRIGADO!J:J,IRRIGADO!C:C,ESTIMATIVA[[#This Row],[CD_UPNIVEL1]],IRRIGADO!E:E,ESTIMATIVA[[#This Row],[CD_UPNIVEL3]]),"")</f>
        <v/>
      </c>
      <c r="AJ64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44" s="1">
        <f>COUNTIFS(Apresentação!$E$23:$E$29,ESTIMATIVA[[#This Row],[CD_UPNIVEL1]])</f>
        <v>0</v>
      </c>
    </row>
    <row r="645" spans="1:37" x14ac:dyDescent="0.3">
      <c r="A645">
        <v>20335</v>
      </c>
      <c r="B645" t="s">
        <v>129</v>
      </c>
      <c r="C645">
        <v>4</v>
      </c>
      <c r="D645">
        <v>5</v>
      </c>
      <c r="E645" t="s">
        <v>268</v>
      </c>
      <c r="F645" s="85" t="s">
        <v>331</v>
      </c>
      <c r="G645"/>
      <c r="H645" t="s">
        <v>294</v>
      </c>
      <c r="I645" t="s">
        <v>206</v>
      </c>
      <c r="J645" t="s">
        <v>176</v>
      </c>
      <c r="K645" s="1">
        <v>4.95</v>
      </c>
      <c r="L645" s="1">
        <v>4.95</v>
      </c>
      <c r="M645" s="1">
        <v>4.95</v>
      </c>
      <c r="N645" s="1">
        <v>4.95</v>
      </c>
      <c r="O645" s="1">
        <v>297</v>
      </c>
      <c r="P645" s="1">
        <v>297</v>
      </c>
      <c r="Q645" s="1">
        <v>247.5</v>
      </c>
      <c r="R645" s="1">
        <v>217.26</v>
      </c>
      <c r="S645" t="s">
        <v>12</v>
      </c>
      <c r="T645" s="13">
        <v>45956</v>
      </c>
      <c r="U645" s="1" t="str">
        <f>IF(ESTIMATIVA[[#This Row],[QT_AREA_REAL]]&gt;0,"1- Colhido","2- à Colher")</f>
        <v>1- Colhido</v>
      </c>
      <c r="V645" s="1" t="str">
        <f>IF(ESTIMATIVA[[#This Row],[QT_AREA_REST1]]&gt;0,"Reestimativa 1",IF(ESTIMATIVA[[#This Row],[QT_AREA_REAL]]=0,"Reestimativa 1","Realizado"))</f>
        <v>Reestimativa 1</v>
      </c>
      <c r="W645" s="1" t="str">
        <f>IF(ESTIMATIVA[[#This Row],[QT_AREA_REST2]]&gt;0,"Reestimativa 2",IF(ESTIMATIVA[[#This Row],[QT_AREA_REAL]]=0,"Reestimativa 2","Realizado"))</f>
        <v>Reestimativa 2</v>
      </c>
      <c r="X645" s="1">
        <f>ESTIMATIVA[[#This Row],[QT_AREA_EST]]</f>
        <v>4.95</v>
      </c>
      <c r="Y645" s="1">
        <f>IF(ESTIMATIVA[[#This Row],[QT_AREA_REST1]]&gt;0,ESTIMATIVA[[#This Row],[QT_AREA_REST1]],
  IF(ESTIMATIVA[[#This Row],[QT_AREA_REAL]]&gt;0,ESTIMATIVA[[#This Row],[QT_AREA_REAL]],ESTIMATIVA[[#This Row],[QT_AREA_EST]]))</f>
        <v>4.95</v>
      </c>
      <c r="Z64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4.95</v>
      </c>
      <c r="AA645" s="1">
        <f>ESTIMATIVA[[#This Row],[QT_CANA_EST]]</f>
        <v>297</v>
      </c>
      <c r="AB645" s="1">
        <f>IF(ESTIMATIVA[[#This Row],[QT_CANA_REST1]]&gt;0,ESTIMATIVA[[#This Row],[QT_CANA_REST1]],
  IF(ESTIMATIVA[[#This Row],[QT_CANA_REAL]]&gt;0,ESTIMATIVA[[#This Row],[QT_CANA_REAL]],ESTIMATIVA[[#This Row],[QT_CANA_EST]]))</f>
        <v>297</v>
      </c>
      <c r="AC64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247.5</v>
      </c>
      <c r="AD645" s="1">
        <f>IF(ESTIMATIVA[[#This Row],[QT_AREA_REAL]]&gt;0,ESTIMATIVA[[#This Row],[QT_CANA_REAL]],ESTIMATIVA[[#This Row],[QT_CANA_EST]])</f>
        <v>217.26</v>
      </c>
      <c r="AE645" s="1">
        <f>IF(ESTIMATIVA[[#This Row],[QT_AREA_REAL]]&gt;0,ESTIMATIVA[[#This Row],[QT_CANA_REAL]],ESTIMATIVA[[#This Row],[QT_CANA_REST1]])</f>
        <v>217.26</v>
      </c>
      <c r="AF645" s="1">
        <f>IF(ESTIMATIVA[[#This Row],[QT_AREA_REAL]]&gt;0,ESTIMATIVA[[#This Row],[QT_CANA_REAL]],ESTIMATIVA[[#This Row],[QT_CANA_REST2]])</f>
        <v>217.26</v>
      </c>
      <c r="AG645" s="1" t="str">
        <f>IF(COUNTIFS(GEADA!A:A,VALUE(ESTIMATIVA[[#This Row],[CD_UPNIVEL1]]&amp;TEXT(ESTIMATIVA[[#This Row],[CD_UPNIVEL3]],"0000")))&gt;0,"S","N")</f>
        <v>N</v>
      </c>
      <c r="AH64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45" s="55" t="str">
        <f>IF(ESTIMATIVA[[#This Row],[TP_CULTIVO]]="Irrigado",_xlfn.MAXIFS(IRRIGADO!J:J,IRRIGADO!C:C,ESTIMATIVA[[#This Row],[CD_UPNIVEL1]],IRRIGADO!E:E,ESTIMATIVA[[#This Row],[CD_UPNIVEL3]]),"")</f>
        <v/>
      </c>
      <c r="AJ64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45" s="1">
        <f>COUNTIFS(Apresentação!$E$23:$E$29,ESTIMATIVA[[#This Row],[CD_UPNIVEL1]])</f>
        <v>0</v>
      </c>
    </row>
    <row r="646" spans="1:37" x14ac:dyDescent="0.3">
      <c r="A646">
        <v>20335</v>
      </c>
      <c r="B646" t="s">
        <v>129</v>
      </c>
      <c r="C646">
        <v>5</v>
      </c>
      <c r="D646">
        <v>5</v>
      </c>
      <c r="E646" t="s">
        <v>268</v>
      </c>
      <c r="F646" s="85" t="s">
        <v>331</v>
      </c>
      <c r="G646"/>
      <c r="H646" t="s">
        <v>294</v>
      </c>
      <c r="I646" t="s">
        <v>206</v>
      </c>
      <c r="J646" t="s">
        <v>176</v>
      </c>
      <c r="K646" s="1">
        <v>4.7</v>
      </c>
      <c r="L646" s="1">
        <v>4.7</v>
      </c>
      <c r="M646" s="1">
        <v>4.7</v>
      </c>
      <c r="N646" s="1">
        <v>4.7</v>
      </c>
      <c r="O646" s="1">
        <v>267.89999999999998</v>
      </c>
      <c r="P646" s="1">
        <v>267.89999999999998</v>
      </c>
      <c r="Q646" s="1">
        <v>235</v>
      </c>
      <c r="R646" s="1">
        <v>205.88</v>
      </c>
      <c r="S646" t="s">
        <v>12</v>
      </c>
      <c r="T646" s="13">
        <v>45956</v>
      </c>
      <c r="U646" s="1" t="str">
        <f>IF(ESTIMATIVA[[#This Row],[QT_AREA_REAL]]&gt;0,"1- Colhido","2- à Colher")</f>
        <v>1- Colhido</v>
      </c>
      <c r="V646" s="1" t="str">
        <f>IF(ESTIMATIVA[[#This Row],[QT_AREA_REST1]]&gt;0,"Reestimativa 1",IF(ESTIMATIVA[[#This Row],[QT_AREA_REAL]]=0,"Reestimativa 1","Realizado"))</f>
        <v>Reestimativa 1</v>
      </c>
      <c r="W646" s="1" t="str">
        <f>IF(ESTIMATIVA[[#This Row],[QT_AREA_REST2]]&gt;0,"Reestimativa 2",IF(ESTIMATIVA[[#This Row],[QT_AREA_REAL]]=0,"Reestimativa 2","Realizado"))</f>
        <v>Reestimativa 2</v>
      </c>
      <c r="X646" s="1">
        <f>ESTIMATIVA[[#This Row],[QT_AREA_EST]]</f>
        <v>4.7</v>
      </c>
      <c r="Y646" s="1">
        <f>IF(ESTIMATIVA[[#This Row],[QT_AREA_REST1]]&gt;0,ESTIMATIVA[[#This Row],[QT_AREA_REST1]],
  IF(ESTIMATIVA[[#This Row],[QT_AREA_REAL]]&gt;0,ESTIMATIVA[[#This Row],[QT_AREA_REAL]],ESTIMATIVA[[#This Row],[QT_AREA_EST]]))</f>
        <v>4.7</v>
      </c>
      <c r="Z64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4.7</v>
      </c>
      <c r="AA646" s="1">
        <f>ESTIMATIVA[[#This Row],[QT_CANA_EST]]</f>
        <v>267.89999999999998</v>
      </c>
      <c r="AB646" s="1">
        <f>IF(ESTIMATIVA[[#This Row],[QT_CANA_REST1]]&gt;0,ESTIMATIVA[[#This Row],[QT_CANA_REST1]],
  IF(ESTIMATIVA[[#This Row],[QT_CANA_REAL]]&gt;0,ESTIMATIVA[[#This Row],[QT_CANA_REAL]],ESTIMATIVA[[#This Row],[QT_CANA_EST]]))</f>
        <v>267.89999999999998</v>
      </c>
      <c r="AC64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235</v>
      </c>
      <c r="AD646" s="1">
        <f>IF(ESTIMATIVA[[#This Row],[QT_AREA_REAL]]&gt;0,ESTIMATIVA[[#This Row],[QT_CANA_REAL]],ESTIMATIVA[[#This Row],[QT_CANA_EST]])</f>
        <v>205.88</v>
      </c>
      <c r="AE646" s="1">
        <f>IF(ESTIMATIVA[[#This Row],[QT_AREA_REAL]]&gt;0,ESTIMATIVA[[#This Row],[QT_CANA_REAL]],ESTIMATIVA[[#This Row],[QT_CANA_REST1]])</f>
        <v>205.88</v>
      </c>
      <c r="AF646" s="1">
        <f>IF(ESTIMATIVA[[#This Row],[QT_AREA_REAL]]&gt;0,ESTIMATIVA[[#This Row],[QT_CANA_REAL]],ESTIMATIVA[[#This Row],[QT_CANA_REST2]])</f>
        <v>205.88</v>
      </c>
      <c r="AG646" s="1" t="str">
        <f>IF(COUNTIFS(GEADA!A:A,VALUE(ESTIMATIVA[[#This Row],[CD_UPNIVEL1]]&amp;TEXT(ESTIMATIVA[[#This Row],[CD_UPNIVEL3]],"0000")))&gt;0,"S","N")</f>
        <v>N</v>
      </c>
      <c r="AH64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46" s="55" t="str">
        <f>IF(ESTIMATIVA[[#This Row],[TP_CULTIVO]]="Irrigado",_xlfn.MAXIFS(IRRIGADO!J:J,IRRIGADO!C:C,ESTIMATIVA[[#This Row],[CD_UPNIVEL1]],IRRIGADO!E:E,ESTIMATIVA[[#This Row],[CD_UPNIVEL3]]),"")</f>
        <v/>
      </c>
      <c r="AJ64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46" s="1">
        <f>COUNTIFS(Apresentação!$E$23:$E$29,ESTIMATIVA[[#This Row],[CD_UPNIVEL1]])</f>
        <v>0</v>
      </c>
    </row>
    <row r="647" spans="1:37" x14ac:dyDescent="0.3">
      <c r="A647">
        <v>20335</v>
      </c>
      <c r="B647" t="s">
        <v>129</v>
      </c>
      <c r="C647">
        <v>6</v>
      </c>
      <c r="D647">
        <v>5</v>
      </c>
      <c r="E647" t="s">
        <v>268</v>
      </c>
      <c r="F647" s="85" t="s">
        <v>331</v>
      </c>
      <c r="G647"/>
      <c r="H647" t="s">
        <v>294</v>
      </c>
      <c r="I647" t="s">
        <v>206</v>
      </c>
      <c r="J647" t="s">
        <v>176</v>
      </c>
      <c r="K647" s="1">
        <v>2.4700000000000002</v>
      </c>
      <c r="L647" s="1">
        <v>2.4700000000000002</v>
      </c>
      <c r="M647" s="1">
        <v>2.4700000000000002</v>
      </c>
      <c r="N647" s="1">
        <v>2.4700000000000002</v>
      </c>
      <c r="O647" s="1">
        <v>123.5</v>
      </c>
      <c r="P647" s="1">
        <v>123.5</v>
      </c>
      <c r="Q647" s="1">
        <v>106.21</v>
      </c>
      <c r="R647" s="1">
        <v>92.84</v>
      </c>
      <c r="S647" t="s">
        <v>12</v>
      </c>
      <c r="T647" s="13">
        <v>45956</v>
      </c>
      <c r="U647" s="1" t="str">
        <f>IF(ESTIMATIVA[[#This Row],[QT_AREA_REAL]]&gt;0,"1- Colhido","2- à Colher")</f>
        <v>1- Colhido</v>
      </c>
      <c r="V647" s="1" t="str">
        <f>IF(ESTIMATIVA[[#This Row],[QT_AREA_REST1]]&gt;0,"Reestimativa 1",IF(ESTIMATIVA[[#This Row],[QT_AREA_REAL]]=0,"Reestimativa 1","Realizado"))</f>
        <v>Reestimativa 1</v>
      </c>
      <c r="W647" s="1" t="str">
        <f>IF(ESTIMATIVA[[#This Row],[QT_AREA_REST2]]&gt;0,"Reestimativa 2",IF(ESTIMATIVA[[#This Row],[QT_AREA_REAL]]=0,"Reestimativa 2","Realizado"))</f>
        <v>Reestimativa 2</v>
      </c>
      <c r="X647" s="1">
        <f>ESTIMATIVA[[#This Row],[QT_AREA_EST]]</f>
        <v>2.4700000000000002</v>
      </c>
      <c r="Y647" s="1">
        <f>IF(ESTIMATIVA[[#This Row],[QT_AREA_REST1]]&gt;0,ESTIMATIVA[[#This Row],[QT_AREA_REST1]],
  IF(ESTIMATIVA[[#This Row],[QT_AREA_REAL]]&gt;0,ESTIMATIVA[[#This Row],[QT_AREA_REAL]],ESTIMATIVA[[#This Row],[QT_AREA_EST]]))</f>
        <v>2.4700000000000002</v>
      </c>
      <c r="Z64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2.4700000000000002</v>
      </c>
      <c r="AA647" s="1">
        <f>ESTIMATIVA[[#This Row],[QT_CANA_EST]]</f>
        <v>123.5</v>
      </c>
      <c r="AB647" s="1">
        <f>IF(ESTIMATIVA[[#This Row],[QT_CANA_REST1]]&gt;0,ESTIMATIVA[[#This Row],[QT_CANA_REST1]],
  IF(ESTIMATIVA[[#This Row],[QT_CANA_REAL]]&gt;0,ESTIMATIVA[[#This Row],[QT_CANA_REAL]],ESTIMATIVA[[#This Row],[QT_CANA_EST]]))</f>
        <v>123.5</v>
      </c>
      <c r="AC64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106.21</v>
      </c>
      <c r="AD647" s="1">
        <f>IF(ESTIMATIVA[[#This Row],[QT_AREA_REAL]]&gt;0,ESTIMATIVA[[#This Row],[QT_CANA_REAL]],ESTIMATIVA[[#This Row],[QT_CANA_EST]])</f>
        <v>92.84</v>
      </c>
      <c r="AE647" s="1">
        <f>IF(ESTIMATIVA[[#This Row],[QT_AREA_REAL]]&gt;0,ESTIMATIVA[[#This Row],[QT_CANA_REAL]],ESTIMATIVA[[#This Row],[QT_CANA_REST1]])</f>
        <v>92.84</v>
      </c>
      <c r="AF647" s="1">
        <f>IF(ESTIMATIVA[[#This Row],[QT_AREA_REAL]]&gt;0,ESTIMATIVA[[#This Row],[QT_CANA_REAL]],ESTIMATIVA[[#This Row],[QT_CANA_REST2]])</f>
        <v>92.84</v>
      </c>
      <c r="AG647" s="1" t="str">
        <f>IF(COUNTIFS(GEADA!A:A,VALUE(ESTIMATIVA[[#This Row],[CD_UPNIVEL1]]&amp;TEXT(ESTIMATIVA[[#This Row],[CD_UPNIVEL3]],"0000")))&gt;0,"S","N")</f>
        <v>N</v>
      </c>
      <c r="AH64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47" s="55" t="str">
        <f>IF(ESTIMATIVA[[#This Row],[TP_CULTIVO]]="Irrigado",_xlfn.MAXIFS(IRRIGADO!J:J,IRRIGADO!C:C,ESTIMATIVA[[#This Row],[CD_UPNIVEL1]],IRRIGADO!E:E,ESTIMATIVA[[#This Row],[CD_UPNIVEL3]]),"")</f>
        <v/>
      </c>
      <c r="AJ64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47" s="1">
        <f>COUNTIFS(Apresentação!$E$23:$E$29,ESTIMATIVA[[#This Row],[CD_UPNIVEL1]])</f>
        <v>0</v>
      </c>
    </row>
    <row r="648" spans="1:37" x14ac:dyDescent="0.3">
      <c r="A648">
        <v>20335</v>
      </c>
      <c r="B648" t="s">
        <v>129</v>
      </c>
      <c r="C648">
        <v>7</v>
      </c>
      <c r="D648">
        <v>5</v>
      </c>
      <c r="E648" t="s">
        <v>268</v>
      </c>
      <c r="F648" s="85" t="s">
        <v>332</v>
      </c>
      <c r="G648"/>
      <c r="H648" t="s">
        <v>294</v>
      </c>
      <c r="I648" t="s">
        <v>206</v>
      </c>
      <c r="J648" t="s">
        <v>176</v>
      </c>
      <c r="K648" s="1">
        <v>4.46</v>
      </c>
      <c r="L648" s="1">
        <v>4.46</v>
      </c>
      <c r="M648" s="1">
        <v>4.46</v>
      </c>
      <c r="N648" s="1">
        <v>4.46</v>
      </c>
      <c r="O648" s="1">
        <v>254.22</v>
      </c>
      <c r="P648" s="1">
        <v>254.22</v>
      </c>
      <c r="Q648" s="1">
        <v>209.62</v>
      </c>
      <c r="R648" s="1">
        <v>184.27</v>
      </c>
      <c r="S648" t="s">
        <v>12</v>
      </c>
      <c r="T648" s="13">
        <v>45956</v>
      </c>
      <c r="U648" s="1" t="str">
        <f>IF(ESTIMATIVA[[#This Row],[QT_AREA_REAL]]&gt;0,"1- Colhido","2- à Colher")</f>
        <v>1- Colhido</v>
      </c>
      <c r="V648" s="1" t="str">
        <f>IF(ESTIMATIVA[[#This Row],[QT_AREA_REST1]]&gt;0,"Reestimativa 1",IF(ESTIMATIVA[[#This Row],[QT_AREA_REAL]]=0,"Reestimativa 1","Realizado"))</f>
        <v>Reestimativa 1</v>
      </c>
      <c r="W648" s="1" t="str">
        <f>IF(ESTIMATIVA[[#This Row],[QT_AREA_REST2]]&gt;0,"Reestimativa 2",IF(ESTIMATIVA[[#This Row],[QT_AREA_REAL]]=0,"Reestimativa 2","Realizado"))</f>
        <v>Reestimativa 2</v>
      </c>
      <c r="X648" s="1">
        <f>ESTIMATIVA[[#This Row],[QT_AREA_EST]]</f>
        <v>4.46</v>
      </c>
      <c r="Y648" s="1">
        <f>IF(ESTIMATIVA[[#This Row],[QT_AREA_REST1]]&gt;0,ESTIMATIVA[[#This Row],[QT_AREA_REST1]],
  IF(ESTIMATIVA[[#This Row],[QT_AREA_REAL]]&gt;0,ESTIMATIVA[[#This Row],[QT_AREA_REAL]],ESTIMATIVA[[#This Row],[QT_AREA_EST]]))</f>
        <v>4.46</v>
      </c>
      <c r="Z64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4.46</v>
      </c>
      <c r="AA648" s="1">
        <f>ESTIMATIVA[[#This Row],[QT_CANA_EST]]</f>
        <v>254.22</v>
      </c>
      <c r="AB648" s="1">
        <f>IF(ESTIMATIVA[[#This Row],[QT_CANA_REST1]]&gt;0,ESTIMATIVA[[#This Row],[QT_CANA_REST1]],
  IF(ESTIMATIVA[[#This Row],[QT_CANA_REAL]]&gt;0,ESTIMATIVA[[#This Row],[QT_CANA_REAL]],ESTIMATIVA[[#This Row],[QT_CANA_EST]]))</f>
        <v>254.22</v>
      </c>
      <c r="AC64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209.62</v>
      </c>
      <c r="AD648" s="1">
        <f>IF(ESTIMATIVA[[#This Row],[QT_AREA_REAL]]&gt;0,ESTIMATIVA[[#This Row],[QT_CANA_REAL]],ESTIMATIVA[[#This Row],[QT_CANA_EST]])</f>
        <v>184.27</v>
      </c>
      <c r="AE648" s="1">
        <f>IF(ESTIMATIVA[[#This Row],[QT_AREA_REAL]]&gt;0,ESTIMATIVA[[#This Row],[QT_CANA_REAL]],ESTIMATIVA[[#This Row],[QT_CANA_REST1]])</f>
        <v>184.27</v>
      </c>
      <c r="AF648" s="1">
        <f>IF(ESTIMATIVA[[#This Row],[QT_AREA_REAL]]&gt;0,ESTIMATIVA[[#This Row],[QT_CANA_REAL]],ESTIMATIVA[[#This Row],[QT_CANA_REST2]])</f>
        <v>184.27</v>
      </c>
      <c r="AG648" s="1" t="str">
        <f>IF(COUNTIFS(GEADA!A:A,VALUE(ESTIMATIVA[[#This Row],[CD_UPNIVEL1]]&amp;TEXT(ESTIMATIVA[[#This Row],[CD_UPNIVEL3]],"0000")))&gt;0,"S","N")</f>
        <v>N</v>
      </c>
      <c r="AH64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48" s="55" t="str">
        <f>IF(ESTIMATIVA[[#This Row],[TP_CULTIVO]]="Irrigado",_xlfn.MAXIFS(IRRIGADO!J:J,IRRIGADO!C:C,ESTIMATIVA[[#This Row],[CD_UPNIVEL1]],IRRIGADO!E:E,ESTIMATIVA[[#This Row],[CD_UPNIVEL3]]),"")</f>
        <v/>
      </c>
      <c r="AJ64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48" s="1">
        <f>COUNTIFS(Apresentação!$E$23:$E$29,ESTIMATIVA[[#This Row],[CD_UPNIVEL1]])</f>
        <v>0</v>
      </c>
    </row>
    <row r="649" spans="1:37" x14ac:dyDescent="0.3">
      <c r="A649">
        <v>20339</v>
      </c>
      <c r="B649" t="s">
        <v>130</v>
      </c>
      <c r="C649">
        <v>1</v>
      </c>
      <c r="D649">
        <v>4</v>
      </c>
      <c r="E649" t="s">
        <v>265</v>
      </c>
      <c r="F649" s="85" t="s">
        <v>332</v>
      </c>
      <c r="G649"/>
      <c r="H649" t="s">
        <v>295</v>
      </c>
      <c r="I649" t="s">
        <v>212</v>
      </c>
      <c r="J649" t="s">
        <v>176</v>
      </c>
      <c r="K649" s="1">
        <v>6.09</v>
      </c>
      <c r="L649" s="1">
        <v>6.09</v>
      </c>
      <c r="M649" s="1">
        <v>6.09</v>
      </c>
      <c r="N649" s="1">
        <v>6.09</v>
      </c>
      <c r="O649" s="1">
        <v>511.56</v>
      </c>
      <c r="P649" s="1">
        <v>511.56</v>
      </c>
      <c r="Q649" s="1">
        <v>511.56</v>
      </c>
      <c r="R649" s="1">
        <v>591.53</v>
      </c>
      <c r="S649" t="s">
        <v>12</v>
      </c>
      <c r="T649" s="13">
        <v>45977</v>
      </c>
      <c r="U649" s="1" t="str">
        <f>IF(ESTIMATIVA[[#This Row],[QT_AREA_REAL]]&gt;0,"1- Colhido","2- à Colher")</f>
        <v>1- Colhido</v>
      </c>
      <c r="V649" s="1" t="str">
        <f>IF(ESTIMATIVA[[#This Row],[QT_AREA_REST1]]&gt;0,"Reestimativa 1",IF(ESTIMATIVA[[#This Row],[QT_AREA_REAL]]=0,"Reestimativa 1","Realizado"))</f>
        <v>Reestimativa 1</v>
      </c>
      <c r="W649" s="1" t="str">
        <f>IF(ESTIMATIVA[[#This Row],[QT_AREA_REST2]]&gt;0,"Reestimativa 2",IF(ESTIMATIVA[[#This Row],[QT_AREA_REAL]]=0,"Reestimativa 2","Realizado"))</f>
        <v>Reestimativa 2</v>
      </c>
      <c r="X649" s="1">
        <f>ESTIMATIVA[[#This Row],[QT_AREA_EST]]</f>
        <v>6.09</v>
      </c>
      <c r="Y649" s="1">
        <f>IF(ESTIMATIVA[[#This Row],[QT_AREA_REST1]]&gt;0,ESTIMATIVA[[#This Row],[QT_AREA_REST1]],
  IF(ESTIMATIVA[[#This Row],[QT_AREA_REAL]]&gt;0,ESTIMATIVA[[#This Row],[QT_AREA_REAL]],ESTIMATIVA[[#This Row],[QT_AREA_EST]]))</f>
        <v>6.09</v>
      </c>
      <c r="Z64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6.09</v>
      </c>
      <c r="AA649" s="1">
        <f>ESTIMATIVA[[#This Row],[QT_CANA_EST]]</f>
        <v>511.56</v>
      </c>
      <c r="AB649" s="1">
        <f>IF(ESTIMATIVA[[#This Row],[QT_CANA_REST1]]&gt;0,ESTIMATIVA[[#This Row],[QT_CANA_REST1]],
  IF(ESTIMATIVA[[#This Row],[QT_CANA_REAL]]&gt;0,ESTIMATIVA[[#This Row],[QT_CANA_REAL]],ESTIMATIVA[[#This Row],[QT_CANA_EST]]))</f>
        <v>511.56</v>
      </c>
      <c r="AC64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511.56</v>
      </c>
      <c r="AD649" s="1">
        <f>IF(ESTIMATIVA[[#This Row],[QT_AREA_REAL]]&gt;0,ESTIMATIVA[[#This Row],[QT_CANA_REAL]],ESTIMATIVA[[#This Row],[QT_CANA_EST]])</f>
        <v>591.53</v>
      </c>
      <c r="AE649" s="1">
        <f>IF(ESTIMATIVA[[#This Row],[QT_AREA_REAL]]&gt;0,ESTIMATIVA[[#This Row],[QT_CANA_REAL]],ESTIMATIVA[[#This Row],[QT_CANA_REST1]])</f>
        <v>591.53</v>
      </c>
      <c r="AF649" s="1">
        <f>IF(ESTIMATIVA[[#This Row],[QT_AREA_REAL]]&gt;0,ESTIMATIVA[[#This Row],[QT_CANA_REAL]],ESTIMATIVA[[#This Row],[QT_CANA_REST2]])</f>
        <v>591.53</v>
      </c>
      <c r="AG649" s="1" t="str">
        <f>IF(COUNTIFS(GEADA!A:A,VALUE(ESTIMATIVA[[#This Row],[CD_UPNIVEL1]]&amp;TEXT(ESTIMATIVA[[#This Row],[CD_UPNIVEL3]],"0000")))&gt;0,"S","N")</f>
        <v>N</v>
      </c>
      <c r="AH64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649" s="55" t="str">
        <f>IF(ESTIMATIVA[[#This Row],[TP_CULTIVO]]="Irrigado",_xlfn.MAXIFS(IRRIGADO!J:J,IRRIGADO!C:C,ESTIMATIVA[[#This Row],[CD_UPNIVEL1]],IRRIGADO!E:E,ESTIMATIVA[[#This Row],[CD_UPNIVEL3]]),"")</f>
        <v/>
      </c>
      <c r="AJ64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49" s="1">
        <f>COUNTIFS(Apresentação!$E$23:$E$29,ESTIMATIVA[[#This Row],[CD_UPNIVEL1]])</f>
        <v>0</v>
      </c>
    </row>
    <row r="650" spans="1:37" x14ac:dyDescent="0.3">
      <c r="A650">
        <v>20339</v>
      </c>
      <c r="B650" t="s">
        <v>130</v>
      </c>
      <c r="C650">
        <v>2</v>
      </c>
      <c r="D650">
        <v>4</v>
      </c>
      <c r="E650" t="s">
        <v>265</v>
      </c>
      <c r="F650" s="85" t="s">
        <v>332</v>
      </c>
      <c r="G650"/>
      <c r="H650" t="s">
        <v>295</v>
      </c>
      <c r="I650" t="s">
        <v>212</v>
      </c>
      <c r="J650" t="s">
        <v>176</v>
      </c>
      <c r="K650" s="1">
        <v>7.66</v>
      </c>
      <c r="L650" s="1">
        <v>7.66</v>
      </c>
      <c r="M650" s="1">
        <v>7.66</v>
      </c>
      <c r="N650" s="1">
        <v>7.66</v>
      </c>
      <c r="O650" s="1">
        <v>643.44000000000005</v>
      </c>
      <c r="P650" s="1">
        <v>643.44000000000005</v>
      </c>
      <c r="Q650" s="1">
        <v>643.44000000000005</v>
      </c>
      <c r="R650" s="1">
        <v>747.7</v>
      </c>
      <c r="S650" t="s">
        <v>12</v>
      </c>
      <c r="T650" s="13">
        <v>45977</v>
      </c>
      <c r="U650" s="1" t="str">
        <f>IF(ESTIMATIVA[[#This Row],[QT_AREA_REAL]]&gt;0,"1- Colhido","2- à Colher")</f>
        <v>1- Colhido</v>
      </c>
      <c r="V650" s="1" t="str">
        <f>IF(ESTIMATIVA[[#This Row],[QT_AREA_REST1]]&gt;0,"Reestimativa 1",IF(ESTIMATIVA[[#This Row],[QT_AREA_REAL]]=0,"Reestimativa 1","Realizado"))</f>
        <v>Reestimativa 1</v>
      </c>
      <c r="W650" s="1" t="str">
        <f>IF(ESTIMATIVA[[#This Row],[QT_AREA_REST2]]&gt;0,"Reestimativa 2",IF(ESTIMATIVA[[#This Row],[QT_AREA_REAL]]=0,"Reestimativa 2","Realizado"))</f>
        <v>Reestimativa 2</v>
      </c>
      <c r="X650" s="1">
        <f>ESTIMATIVA[[#This Row],[QT_AREA_EST]]</f>
        <v>7.66</v>
      </c>
      <c r="Y650" s="1">
        <f>IF(ESTIMATIVA[[#This Row],[QT_AREA_REST1]]&gt;0,ESTIMATIVA[[#This Row],[QT_AREA_REST1]],
  IF(ESTIMATIVA[[#This Row],[QT_AREA_REAL]]&gt;0,ESTIMATIVA[[#This Row],[QT_AREA_REAL]],ESTIMATIVA[[#This Row],[QT_AREA_EST]]))</f>
        <v>7.66</v>
      </c>
      <c r="Z65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7.66</v>
      </c>
      <c r="AA650" s="1">
        <f>ESTIMATIVA[[#This Row],[QT_CANA_EST]]</f>
        <v>643.44000000000005</v>
      </c>
      <c r="AB650" s="1">
        <f>IF(ESTIMATIVA[[#This Row],[QT_CANA_REST1]]&gt;0,ESTIMATIVA[[#This Row],[QT_CANA_REST1]],
  IF(ESTIMATIVA[[#This Row],[QT_CANA_REAL]]&gt;0,ESTIMATIVA[[#This Row],[QT_CANA_REAL]],ESTIMATIVA[[#This Row],[QT_CANA_EST]]))</f>
        <v>643.44000000000005</v>
      </c>
      <c r="AC65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643.44000000000005</v>
      </c>
      <c r="AD650" s="1">
        <f>IF(ESTIMATIVA[[#This Row],[QT_AREA_REAL]]&gt;0,ESTIMATIVA[[#This Row],[QT_CANA_REAL]],ESTIMATIVA[[#This Row],[QT_CANA_EST]])</f>
        <v>747.7</v>
      </c>
      <c r="AE650" s="1">
        <f>IF(ESTIMATIVA[[#This Row],[QT_AREA_REAL]]&gt;0,ESTIMATIVA[[#This Row],[QT_CANA_REAL]],ESTIMATIVA[[#This Row],[QT_CANA_REST1]])</f>
        <v>747.7</v>
      </c>
      <c r="AF650" s="1">
        <f>IF(ESTIMATIVA[[#This Row],[QT_AREA_REAL]]&gt;0,ESTIMATIVA[[#This Row],[QT_CANA_REAL]],ESTIMATIVA[[#This Row],[QT_CANA_REST2]])</f>
        <v>747.7</v>
      </c>
      <c r="AG650" s="1" t="str">
        <f>IF(COUNTIFS(GEADA!A:A,VALUE(ESTIMATIVA[[#This Row],[CD_UPNIVEL1]]&amp;TEXT(ESTIMATIVA[[#This Row],[CD_UPNIVEL3]],"0000")))&gt;0,"S","N")</f>
        <v>N</v>
      </c>
      <c r="AH65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650" s="55" t="str">
        <f>IF(ESTIMATIVA[[#This Row],[TP_CULTIVO]]="Irrigado",_xlfn.MAXIFS(IRRIGADO!J:J,IRRIGADO!C:C,ESTIMATIVA[[#This Row],[CD_UPNIVEL1]],IRRIGADO!E:E,ESTIMATIVA[[#This Row],[CD_UPNIVEL3]]),"")</f>
        <v/>
      </c>
      <c r="AJ65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50" s="1">
        <f>COUNTIFS(Apresentação!$E$23:$E$29,ESTIMATIVA[[#This Row],[CD_UPNIVEL1]])</f>
        <v>0</v>
      </c>
    </row>
    <row r="651" spans="1:37" x14ac:dyDescent="0.3">
      <c r="A651">
        <v>20339</v>
      </c>
      <c r="B651" t="s">
        <v>130</v>
      </c>
      <c r="C651">
        <v>3</v>
      </c>
      <c r="D651">
        <v>4</v>
      </c>
      <c r="E651" t="s">
        <v>265</v>
      </c>
      <c r="F651" s="85" t="s">
        <v>332</v>
      </c>
      <c r="G651"/>
      <c r="H651" t="s">
        <v>295</v>
      </c>
      <c r="I651" t="s">
        <v>212</v>
      </c>
      <c r="J651" t="s">
        <v>176</v>
      </c>
      <c r="K651" s="1">
        <v>11.7</v>
      </c>
      <c r="L651" s="1">
        <v>11.7</v>
      </c>
      <c r="M651" s="1">
        <v>11.7</v>
      </c>
      <c r="N651" s="1">
        <v>11.7</v>
      </c>
      <c r="O651" s="1">
        <v>982.8</v>
      </c>
      <c r="P651" s="1">
        <v>982.8</v>
      </c>
      <c r="Q651" s="1">
        <v>982.8</v>
      </c>
      <c r="R651" s="1">
        <v>1128.58</v>
      </c>
      <c r="S651" t="s">
        <v>12</v>
      </c>
      <c r="T651" s="13">
        <v>45977</v>
      </c>
      <c r="U651" s="1" t="str">
        <f>IF(ESTIMATIVA[[#This Row],[QT_AREA_REAL]]&gt;0,"1- Colhido","2- à Colher")</f>
        <v>1- Colhido</v>
      </c>
      <c r="V651" s="1" t="str">
        <f>IF(ESTIMATIVA[[#This Row],[QT_AREA_REST1]]&gt;0,"Reestimativa 1",IF(ESTIMATIVA[[#This Row],[QT_AREA_REAL]]=0,"Reestimativa 1","Realizado"))</f>
        <v>Reestimativa 1</v>
      </c>
      <c r="W651" s="1" t="str">
        <f>IF(ESTIMATIVA[[#This Row],[QT_AREA_REST2]]&gt;0,"Reestimativa 2",IF(ESTIMATIVA[[#This Row],[QT_AREA_REAL]]=0,"Reestimativa 2","Realizado"))</f>
        <v>Reestimativa 2</v>
      </c>
      <c r="X651" s="1">
        <f>ESTIMATIVA[[#This Row],[QT_AREA_EST]]</f>
        <v>11.7</v>
      </c>
      <c r="Y651" s="1">
        <f>IF(ESTIMATIVA[[#This Row],[QT_AREA_REST1]]&gt;0,ESTIMATIVA[[#This Row],[QT_AREA_REST1]],
  IF(ESTIMATIVA[[#This Row],[QT_AREA_REAL]]&gt;0,ESTIMATIVA[[#This Row],[QT_AREA_REAL]],ESTIMATIVA[[#This Row],[QT_AREA_EST]]))</f>
        <v>11.7</v>
      </c>
      <c r="Z65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11.7</v>
      </c>
      <c r="AA651" s="1">
        <f>ESTIMATIVA[[#This Row],[QT_CANA_EST]]</f>
        <v>982.8</v>
      </c>
      <c r="AB651" s="1">
        <f>IF(ESTIMATIVA[[#This Row],[QT_CANA_REST1]]&gt;0,ESTIMATIVA[[#This Row],[QT_CANA_REST1]],
  IF(ESTIMATIVA[[#This Row],[QT_CANA_REAL]]&gt;0,ESTIMATIVA[[#This Row],[QT_CANA_REAL]],ESTIMATIVA[[#This Row],[QT_CANA_EST]]))</f>
        <v>982.8</v>
      </c>
      <c r="AC65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982.8</v>
      </c>
      <c r="AD651" s="1">
        <f>IF(ESTIMATIVA[[#This Row],[QT_AREA_REAL]]&gt;0,ESTIMATIVA[[#This Row],[QT_CANA_REAL]],ESTIMATIVA[[#This Row],[QT_CANA_EST]])</f>
        <v>1128.58</v>
      </c>
      <c r="AE651" s="1">
        <f>IF(ESTIMATIVA[[#This Row],[QT_AREA_REAL]]&gt;0,ESTIMATIVA[[#This Row],[QT_CANA_REAL]],ESTIMATIVA[[#This Row],[QT_CANA_REST1]])</f>
        <v>1128.58</v>
      </c>
      <c r="AF651" s="1">
        <f>IF(ESTIMATIVA[[#This Row],[QT_AREA_REAL]]&gt;0,ESTIMATIVA[[#This Row],[QT_CANA_REAL]],ESTIMATIVA[[#This Row],[QT_CANA_REST2]])</f>
        <v>1128.58</v>
      </c>
      <c r="AG651" s="1" t="str">
        <f>IF(COUNTIFS(GEADA!A:A,VALUE(ESTIMATIVA[[#This Row],[CD_UPNIVEL1]]&amp;TEXT(ESTIMATIVA[[#This Row],[CD_UPNIVEL3]],"0000")))&gt;0,"S","N")</f>
        <v>N</v>
      </c>
      <c r="AH65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651" s="55" t="str">
        <f>IF(ESTIMATIVA[[#This Row],[TP_CULTIVO]]="Irrigado",_xlfn.MAXIFS(IRRIGADO!J:J,IRRIGADO!C:C,ESTIMATIVA[[#This Row],[CD_UPNIVEL1]],IRRIGADO!E:E,ESTIMATIVA[[#This Row],[CD_UPNIVEL3]]),"")</f>
        <v/>
      </c>
      <c r="AJ65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51" s="1">
        <f>COUNTIFS(Apresentação!$E$23:$E$29,ESTIMATIVA[[#This Row],[CD_UPNIVEL1]])</f>
        <v>0</v>
      </c>
    </row>
    <row r="652" spans="1:37" x14ac:dyDescent="0.3">
      <c r="A652">
        <v>20339</v>
      </c>
      <c r="B652" t="s">
        <v>130</v>
      </c>
      <c r="C652">
        <v>4</v>
      </c>
      <c r="D652">
        <v>4</v>
      </c>
      <c r="E652" t="s">
        <v>265</v>
      </c>
      <c r="F652" s="85" t="s">
        <v>332</v>
      </c>
      <c r="G652"/>
      <c r="H652" t="s">
        <v>295</v>
      </c>
      <c r="I652" t="s">
        <v>212</v>
      </c>
      <c r="J652" t="s">
        <v>176</v>
      </c>
      <c r="K652" s="1">
        <v>7.89</v>
      </c>
      <c r="L652" s="1">
        <v>7.89</v>
      </c>
      <c r="M652" s="1">
        <v>7.89</v>
      </c>
      <c r="N652" s="1">
        <v>7.89</v>
      </c>
      <c r="O652" s="1">
        <v>615.41999999999996</v>
      </c>
      <c r="P652" s="1">
        <v>615.41999999999996</v>
      </c>
      <c r="Q652" s="1">
        <v>615.41999999999996</v>
      </c>
      <c r="R652" s="1">
        <v>707.47</v>
      </c>
      <c r="S652" t="s">
        <v>12</v>
      </c>
      <c r="T652" s="13">
        <v>45977</v>
      </c>
      <c r="U652" s="1" t="str">
        <f>IF(ESTIMATIVA[[#This Row],[QT_AREA_REAL]]&gt;0,"1- Colhido","2- à Colher")</f>
        <v>1- Colhido</v>
      </c>
      <c r="V652" s="1" t="str">
        <f>IF(ESTIMATIVA[[#This Row],[QT_AREA_REST1]]&gt;0,"Reestimativa 1",IF(ESTIMATIVA[[#This Row],[QT_AREA_REAL]]=0,"Reestimativa 1","Realizado"))</f>
        <v>Reestimativa 1</v>
      </c>
      <c r="W652" s="1" t="str">
        <f>IF(ESTIMATIVA[[#This Row],[QT_AREA_REST2]]&gt;0,"Reestimativa 2",IF(ESTIMATIVA[[#This Row],[QT_AREA_REAL]]=0,"Reestimativa 2","Realizado"))</f>
        <v>Reestimativa 2</v>
      </c>
      <c r="X652" s="1">
        <f>ESTIMATIVA[[#This Row],[QT_AREA_EST]]</f>
        <v>7.89</v>
      </c>
      <c r="Y652" s="1">
        <f>IF(ESTIMATIVA[[#This Row],[QT_AREA_REST1]]&gt;0,ESTIMATIVA[[#This Row],[QT_AREA_REST1]],
  IF(ESTIMATIVA[[#This Row],[QT_AREA_REAL]]&gt;0,ESTIMATIVA[[#This Row],[QT_AREA_REAL]],ESTIMATIVA[[#This Row],[QT_AREA_EST]]))</f>
        <v>7.89</v>
      </c>
      <c r="Z65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7.89</v>
      </c>
      <c r="AA652" s="1">
        <f>ESTIMATIVA[[#This Row],[QT_CANA_EST]]</f>
        <v>615.41999999999996</v>
      </c>
      <c r="AB652" s="1">
        <f>IF(ESTIMATIVA[[#This Row],[QT_CANA_REST1]]&gt;0,ESTIMATIVA[[#This Row],[QT_CANA_REST1]],
  IF(ESTIMATIVA[[#This Row],[QT_CANA_REAL]]&gt;0,ESTIMATIVA[[#This Row],[QT_CANA_REAL]],ESTIMATIVA[[#This Row],[QT_CANA_EST]]))</f>
        <v>615.41999999999996</v>
      </c>
      <c r="AC65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615.41999999999996</v>
      </c>
      <c r="AD652" s="1">
        <f>IF(ESTIMATIVA[[#This Row],[QT_AREA_REAL]]&gt;0,ESTIMATIVA[[#This Row],[QT_CANA_REAL]],ESTIMATIVA[[#This Row],[QT_CANA_EST]])</f>
        <v>707.47</v>
      </c>
      <c r="AE652" s="1">
        <f>IF(ESTIMATIVA[[#This Row],[QT_AREA_REAL]]&gt;0,ESTIMATIVA[[#This Row],[QT_CANA_REAL]],ESTIMATIVA[[#This Row],[QT_CANA_REST1]])</f>
        <v>707.47</v>
      </c>
      <c r="AF652" s="1">
        <f>IF(ESTIMATIVA[[#This Row],[QT_AREA_REAL]]&gt;0,ESTIMATIVA[[#This Row],[QT_CANA_REAL]],ESTIMATIVA[[#This Row],[QT_CANA_REST2]])</f>
        <v>707.47</v>
      </c>
      <c r="AG652" s="1" t="str">
        <f>IF(COUNTIFS(GEADA!A:A,VALUE(ESTIMATIVA[[#This Row],[CD_UPNIVEL1]]&amp;TEXT(ESTIMATIVA[[#This Row],[CD_UPNIVEL3]],"0000")))&gt;0,"S","N")</f>
        <v>N</v>
      </c>
      <c r="AH65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652" s="55" t="str">
        <f>IF(ESTIMATIVA[[#This Row],[TP_CULTIVO]]="Irrigado",_xlfn.MAXIFS(IRRIGADO!J:J,IRRIGADO!C:C,ESTIMATIVA[[#This Row],[CD_UPNIVEL1]],IRRIGADO!E:E,ESTIMATIVA[[#This Row],[CD_UPNIVEL3]]),"")</f>
        <v/>
      </c>
      <c r="AJ65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52" s="1">
        <f>COUNTIFS(Apresentação!$E$23:$E$29,ESTIMATIVA[[#This Row],[CD_UPNIVEL1]])</f>
        <v>0</v>
      </c>
    </row>
    <row r="653" spans="1:37" x14ac:dyDescent="0.3">
      <c r="A653">
        <v>20339</v>
      </c>
      <c r="B653" t="s">
        <v>130</v>
      </c>
      <c r="C653">
        <v>5</v>
      </c>
      <c r="D653">
        <v>4</v>
      </c>
      <c r="E653" t="s">
        <v>265</v>
      </c>
      <c r="F653" s="85" t="s">
        <v>332</v>
      </c>
      <c r="G653"/>
      <c r="H653" t="s">
        <v>295</v>
      </c>
      <c r="I653" t="s">
        <v>212</v>
      </c>
      <c r="J653" t="s">
        <v>176</v>
      </c>
      <c r="K653" s="1">
        <v>4.42</v>
      </c>
      <c r="L653" s="1">
        <v>4.42</v>
      </c>
      <c r="M653" s="1">
        <v>4.42</v>
      </c>
      <c r="N653" s="1">
        <v>4.42</v>
      </c>
      <c r="O653" s="1">
        <v>344.76</v>
      </c>
      <c r="P653" s="1">
        <v>344.76</v>
      </c>
      <c r="Q653" s="1">
        <v>344.76</v>
      </c>
      <c r="R653" s="1">
        <v>400.75</v>
      </c>
      <c r="S653" t="s">
        <v>12</v>
      </c>
      <c r="T653" s="13">
        <v>45977</v>
      </c>
      <c r="U653" s="1" t="str">
        <f>IF(ESTIMATIVA[[#This Row],[QT_AREA_REAL]]&gt;0,"1- Colhido","2- à Colher")</f>
        <v>1- Colhido</v>
      </c>
      <c r="V653" s="1" t="str">
        <f>IF(ESTIMATIVA[[#This Row],[QT_AREA_REST1]]&gt;0,"Reestimativa 1",IF(ESTIMATIVA[[#This Row],[QT_AREA_REAL]]=0,"Reestimativa 1","Realizado"))</f>
        <v>Reestimativa 1</v>
      </c>
      <c r="W653" s="1" t="str">
        <f>IF(ESTIMATIVA[[#This Row],[QT_AREA_REST2]]&gt;0,"Reestimativa 2",IF(ESTIMATIVA[[#This Row],[QT_AREA_REAL]]=0,"Reestimativa 2","Realizado"))</f>
        <v>Reestimativa 2</v>
      </c>
      <c r="X653" s="1">
        <f>ESTIMATIVA[[#This Row],[QT_AREA_EST]]</f>
        <v>4.42</v>
      </c>
      <c r="Y653" s="1">
        <f>IF(ESTIMATIVA[[#This Row],[QT_AREA_REST1]]&gt;0,ESTIMATIVA[[#This Row],[QT_AREA_REST1]],
  IF(ESTIMATIVA[[#This Row],[QT_AREA_REAL]]&gt;0,ESTIMATIVA[[#This Row],[QT_AREA_REAL]],ESTIMATIVA[[#This Row],[QT_AREA_EST]]))</f>
        <v>4.42</v>
      </c>
      <c r="Z65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4.42</v>
      </c>
      <c r="AA653" s="1">
        <f>ESTIMATIVA[[#This Row],[QT_CANA_EST]]</f>
        <v>344.76</v>
      </c>
      <c r="AB653" s="1">
        <f>IF(ESTIMATIVA[[#This Row],[QT_CANA_REST1]]&gt;0,ESTIMATIVA[[#This Row],[QT_CANA_REST1]],
  IF(ESTIMATIVA[[#This Row],[QT_CANA_REAL]]&gt;0,ESTIMATIVA[[#This Row],[QT_CANA_REAL]],ESTIMATIVA[[#This Row],[QT_CANA_EST]]))</f>
        <v>344.76</v>
      </c>
      <c r="AC65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344.76</v>
      </c>
      <c r="AD653" s="1">
        <f>IF(ESTIMATIVA[[#This Row],[QT_AREA_REAL]]&gt;0,ESTIMATIVA[[#This Row],[QT_CANA_REAL]],ESTIMATIVA[[#This Row],[QT_CANA_EST]])</f>
        <v>400.75</v>
      </c>
      <c r="AE653" s="1">
        <f>IF(ESTIMATIVA[[#This Row],[QT_AREA_REAL]]&gt;0,ESTIMATIVA[[#This Row],[QT_CANA_REAL]],ESTIMATIVA[[#This Row],[QT_CANA_REST1]])</f>
        <v>400.75</v>
      </c>
      <c r="AF653" s="1">
        <f>IF(ESTIMATIVA[[#This Row],[QT_AREA_REAL]]&gt;0,ESTIMATIVA[[#This Row],[QT_CANA_REAL]],ESTIMATIVA[[#This Row],[QT_CANA_REST2]])</f>
        <v>400.75</v>
      </c>
      <c r="AG653" s="1" t="str">
        <f>IF(COUNTIFS(GEADA!A:A,VALUE(ESTIMATIVA[[#This Row],[CD_UPNIVEL1]]&amp;TEXT(ESTIMATIVA[[#This Row],[CD_UPNIVEL3]],"0000")))&gt;0,"S","N")</f>
        <v>N</v>
      </c>
      <c r="AH65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653" s="55" t="str">
        <f>IF(ESTIMATIVA[[#This Row],[TP_CULTIVO]]="Irrigado",_xlfn.MAXIFS(IRRIGADO!J:J,IRRIGADO!C:C,ESTIMATIVA[[#This Row],[CD_UPNIVEL1]],IRRIGADO!E:E,ESTIMATIVA[[#This Row],[CD_UPNIVEL3]]),"")</f>
        <v/>
      </c>
      <c r="AJ65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53" s="1">
        <f>COUNTIFS(Apresentação!$E$23:$E$29,ESTIMATIVA[[#This Row],[CD_UPNIVEL1]])</f>
        <v>0</v>
      </c>
    </row>
    <row r="654" spans="1:37" x14ac:dyDescent="0.3">
      <c r="A654">
        <v>20339</v>
      </c>
      <c r="B654" t="s">
        <v>130</v>
      </c>
      <c r="C654">
        <v>6</v>
      </c>
      <c r="D654">
        <v>4</v>
      </c>
      <c r="E654" t="s">
        <v>265</v>
      </c>
      <c r="F654" s="85" t="s">
        <v>332</v>
      </c>
      <c r="G654"/>
      <c r="H654" t="s">
        <v>295</v>
      </c>
      <c r="I654" t="s">
        <v>212</v>
      </c>
      <c r="J654" t="s">
        <v>176</v>
      </c>
      <c r="K654" s="1">
        <v>7.66</v>
      </c>
      <c r="L654" s="1">
        <v>7.66</v>
      </c>
      <c r="M654" s="1">
        <v>7.66</v>
      </c>
      <c r="N654" s="1">
        <v>7.66</v>
      </c>
      <c r="O654" s="1">
        <v>597.48</v>
      </c>
      <c r="P654" s="1">
        <v>597.48</v>
      </c>
      <c r="Q654" s="1">
        <v>597.48</v>
      </c>
      <c r="R654" s="1">
        <v>689.22</v>
      </c>
      <c r="S654" t="s">
        <v>12</v>
      </c>
      <c r="T654" s="13">
        <v>45977</v>
      </c>
      <c r="U654" s="1" t="str">
        <f>IF(ESTIMATIVA[[#This Row],[QT_AREA_REAL]]&gt;0,"1- Colhido","2- à Colher")</f>
        <v>1- Colhido</v>
      </c>
      <c r="V654" s="1" t="str">
        <f>IF(ESTIMATIVA[[#This Row],[QT_AREA_REST1]]&gt;0,"Reestimativa 1",IF(ESTIMATIVA[[#This Row],[QT_AREA_REAL]]=0,"Reestimativa 1","Realizado"))</f>
        <v>Reestimativa 1</v>
      </c>
      <c r="W654" s="1" t="str">
        <f>IF(ESTIMATIVA[[#This Row],[QT_AREA_REST2]]&gt;0,"Reestimativa 2",IF(ESTIMATIVA[[#This Row],[QT_AREA_REAL]]=0,"Reestimativa 2","Realizado"))</f>
        <v>Reestimativa 2</v>
      </c>
      <c r="X654" s="1">
        <f>ESTIMATIVA[[#This Row],[QT_AREA_EST]]</f>
        <v>7.66</v>
      </c>
      <c r="Y654" s="1">
        <f>IF(ESTIMATIVA[[#This Row],[QT_AREA_REST1]]&gt;0,ESTIMATIVA[[#This Row],[QT_AREA_REST1]],
  IF(ESTIMATIVA[[#This Row],[QT_AREA_REAL]]&gt;0,ESTIMATIVA[[#This Row],[QT_AREA_REAL]],ESTIMATIVA[[#This Row],[QT_AREA_EST]]))</f>
        <v>7.66</v>
      </c>
      <c r="Z65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7.66</v>
      </c>
      <c r="AA654" s="1">
        <f>ESTIMATIVA[[#This Row],[QT_CANA_EST]]</f>
        <v>597.48</v>
      </c>
      <c r="AB654" s="1">
        <f>IF(ESTIMATIVA[[#This Row],[QT_CANA_REST1]]&gt;0,ESTIMATIVA[[#This Row],[QT_CANA_REST1]],
  IF(ESTIMATIVA[[#This Row],[QT_CANA_REAL]]&gt;0,ESTIMATIVA[[#This Row],[QT_CANA_REAL]],ESTIMATIVA[[#This Row],[QT_CANA_EST]]))</f>
        <v>597.48</v>
      </c>
      <c r="AC65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597.48</v>
      </c>
      <c r="AD654" s="1">
        <f>IF(ESTIMATIVA[[#This Row],[QT_AREA_REAL]]&gt;0,ESTIMATIVA[[#This Row],[QT_CANA_REAL]],ESTIMATIVA[[#This Row],[QT_CANA_EST]])</f>
        <v>689.22</v>
      </c>
      <c r="AE654" s="1">
        <f>IF(ESTIMATIVA[[#This Row],[QT_AREA_REAL]]&gt;0,ESTIMATIVA[[#This Row],[QT_CANA_REAL]],ESTIMATIVA[[#This Row],[QT_CANA_REST1]])</f>
        <v>689.22</v>
      </c>
      <c r="AF654" s="1">
        <f>IF(ESTIMATIVA[[#This Row],[QT_AREA_REAL]]&gt;0,ESTIMATIVA[[#This Row],[QT_CANA_REAL]],ESTIMATIVA[[#This Row],[QT_CANA_REST2]])</f>
        <v>689.22</v>
      </c>
      <c r="AG654" s="1" t="str">
        <f>IF(COUNTIFS(GEADA!A:A,VALUE(ESTIMATIVA[[#This Row],[CD_UPNIVEL1]]&amp;TEXT(ESTIMATIVA[[#This Row],[CD_UPNIVEL3]],"0000")))&gt;0,"S","N")</f>
        <v>N</v>
      </c>
      <c r="AH65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654" s="55" t="str">
        <f>IF(ESTIMATIVA[[#This Row],[TP_CULTIVO]]="Irrigado",_xlfn.MAXIFS(IRRIGADO!J:J,IRRIGADO!C:C,ESTIMATIVA[[#This Row],[CD_UPNIVEL1]],IRRIGADO!E:E,ESTIMATIVA[[#This Row],[CD_UPNIVEL3]]),"")</f>
        <v/>
      </c>
      <c r="AJ65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54" s="1">
        <f>COUNTIFS(Apresentação!$E$23:$E$29,ESTIMATIVA[[#This Row],[CD_UPNIVEL1]])</f>
        <v>0</v>
      </c>
    </row>
    <row r="655" spans="1:37" x14ac:dyDescent="0.3">
      <c r="A655">
        <v>20339</v>
      </c>
      <c r="B655" t="s">
        <v>130</v>
      </c>
      <c r="C655">
        <v>7</v>
      </c>
      <c r="D655">
        <v>4</v>
      </c>
      <c r="E655" t="s">
        <v>265</v>
      </c>
      <c r="F655" s="85" t="s">
        <v>332</v>
      </c>
      <c r="G655"/>
      <c r="H655" t="s">
        <v>295</v>
      </c>
      <c r="I655" t="s">
        <v>212</v>
      </c>
      <c r="J655" t="s">
        <v>176</v>
      </c>
      <c r="K655" s="1">
        <v>7.53</v>
      </c>
      <c r="L655" s="1">
        <v>7.53</v>
      </c>
      <c r="M655" s="1">
        <v>7.53</v>
      </c>
      <c r="N655" s="1">
        <v>7.53</v>
      </c>
      <c r="O655" s="1">
        <v>587.34</v>
      </c>
      <c r="P655" s="1">
        <v>587.34</v>
      </c>
      <c r="Q655" s="1">
        <v>587.34</v>
      </c>
      <c r="R655" s="1">
        <v>679.5</v>
      </c>
      <c r="S655" t="s">
        <v>12</v>
      </c>
      <c r="T655" s="13">
        <v>45977</v>
      </c>
      <c r="U655" s="1" t="str">
        <f>IF(ESTIMATIVA[[#This Row],[QT_AREA_REAL]]&gt;0,"1- Colhido","2- à Colher")</f>
        <v>1- Colhido</v>
      </c>
      <c r="V655" s="1" t="str">
        <f>IF(ESTIMATIVA[[#This Row],[QT_AREA_REST1]]&gt;0,"Reestimativa 1",IF(ESTIMATIVA[[#This Row],[QT_AREA_REAL]]=0,"Reestimativa 1","Realizado"))</f>
        <v>Reestimativa 1</v>
      </c>
      <c r="W655" s="1" t="str">
        <f>IF(ESTIMATIVA[[#This Row],[QT_AREA_REST2]]&gt;0,"Reestimativa 2",IF(ESTIMATIVA[[#This Row],[QT_AREA_REAL]]=0,"Reestimativa 2","Realizado"))</f>
        <v>Reestimativa 2</v>
      </c>
      <c r="X655" s="1">
        <f>ESTIMATIVA[[#This Row],[QT_AREA_EST]]</f>
        <v>7.53</v>
      </c>
      <c r="Y655" s="1">
        <f>IF(ESTIMATIVA[[#This Row],[QT_AREA_REST1]]&gt;0,ESTIMATIVA[[#This Row],[QT_AREA_REST1]],
  IF(ESTIMATIVA[[#This Row],[QT_AREA_REAL]]&gt;0,ESTIMATIVA[[#This Row],[QT_AREA_REAL]],ESTIMATIVA[[#This Row],[QT_AREA_EST]]))</f>
        <v>7.53</v>
      </c>
      <c r="Z65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7.53</v>
      </c>
      <c r="AA655" s="1">
        <f>ESTIMATIVA[[#This Row],[QT_CANA_EST]]</f>
        <v>587.34</v>
      </c>
      <c r="AB655" s="1">
        <f>IF(ESTIMATIVA[[#This Row],[QT_CANA_REST1]]&gt;0,ESTIMATIVA[[#This Row],[QT_CANA_REST1]],
  IF(ESTIMATIVA[[#This Row],[QT_CANA_REAL]]&gt;0,ESTIMATIVA[[#This Row],[QT_CANA_REAL]],ESTIMATIVA[[#This Row],[QT_CANA_EST]]))</f>
        <v>587.34</v>
      </c>
      <c r="AC65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587.34</v>
      </c>
      <c r="AD655" s="1">
        <f>IF(ESTIMATIVA[[#This Row],[QT_AREA_REAL]]&gt;0,ESTIMATIVA[[#This Row],[QT_CANA_REAL]],ESTIMATIVA[[#This Row],[QT_CANA_EST]])</f>
        <v>679.5</v>
      </c>
      <c r="AE655" s="1">
        <f>IF(ESTIMATIVA[[#This Row],[QT_AREA_REAL]]&gt;0,ESTIMATIVA[[#This Row],[QT_CANA_REAL]],ESTIMATIVA[[#This Row],[QT_CANA_REST1]])</f>
        <v>679.5</v>
      </c>
      <c r="AF655" s="1">
        <f>IF(ESTIMATIVA[[#This Row],[QT_AREA_REAL]]&gt;0,ESTIMATIVA[[#This Row],[QT_CANA_REAL]],ESTIMATIVA[[#This Row],[QT_CANA_REST2]])</f>
        <v>679.5</v>
      </c>
      <c r="AG655" s="1" t="str">
        <f>IF(COUNTIFS(GEADA!A:A,VALUE(ESTIMATIVA[[#This Row],[CD_UPNIVEL1]]&amp;TEXT(ESTIMATIVA[[#This Row],[CD_UPNIVEL3]],"0000")))&gt;0,"S","N")</f>
        <v>N</v>
      </c>
      <c r="AH65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655" s="55" t="str">
        <f>IF(ESTIMATIVA[[#This Row],[TP_CULTIVO]]="Irrigado",_xlfn.MAXIFS(IRRIGADO!J:J,IRRIGADO!C:C,ESTIMATIVA[[#This Row],[CD_UPNIVEL1]],IRRIGADO!E:E,ESTIMATIVA[[#This Row],[CD_UPNIVEL3]]),"")</f>
        <v/>
      </c>
      <c r="AJ65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55" s="1">
        <f>COUNTIFS(Apresentação!$E$23:$E$29,ESTIMATIVA[[#This Row],[CD_UPNIVEL1]])</f>
        <v>0</v>
      </c>
    </row>
    <row r="656" spans="1:37" x14ac:dyDescent="0.3">
      <c r="A656">
        <v>20339</v>
      </c>
      <c r="B656" t="s">
        <v>130</v>
      </c>
      <c r="C656">
        <v>8</v>
      </c>
      <c r="D656">
        <v>4</v>
      </c>
      <c r="E656" t="s">
        <v>265</v>
      </c>
      <c r="F656" s="85" t="s">
        <v>332</v>
      </c>
      <c r="G656"/>
      <c r="H656" t="s">
        <v>295</v>
      </c>
      <c r="I656" t="s">
        <v>212</v>
      </c>
      <c r="J656" t="s">
        <v>176</v>
      </c>
      <c r="K656" s="1">
        <v>2.95</v>
      </c>
      <c r="L656" s="1">
        <v>2.95</v>
      </c>
      <c r="M656" s="1">
        <v>2.95</v>
      </c>
      <c r="N656" s="1">
        <v>2.95</v>
      </c>
      <c r="O656" s="1">
        <v>230.1</v>
      </c>
      <c r="P656" s="1">
        <v>230.1</v>
      </c>
      <c r="Q656" s="1">
        <v>230.1</v>
      </c>
      <c r="R656" s="1">
        <v>259.75</v>
      </c>
      <c r="S656" t="s">
        <v>12</v>
      </c>
      <c r="T656" s="13">
        <v>45977</v>
      </c>
      <c r="U656" s="1" t="str">
        <f>IF(ESTIMATIVA[[#This Row],[QT_AREA_REAL]]&gt;0,"1- Colhido","2- à Colher")</f>
        <v>1- Colhido</v>
      </c>
      <c r="V656" s="1" t="str">
        <f>IF(ESTIMATIVA[[#This Row],[QT_AREA_REST1]]&gt;0,"Reestimativa 1",IF(ESTIMATIVA[[#This Row],[QT_AREA_REAL]]=0,"Reestimativa 1","Realizado"))</f>
        <v>Reestimativa 1</v>
      </c>
      <c r="W656" s="1" t="str">
        <f>IF(ESTIMATIVA[[#This Row],[QT_AREA_REST2]]&gt;0,"Reestimativa 2",IF(ESTIMATIVA[[#This Row],[QT_AREA_REAL]]=0,"Reestimativa 2","Realizado"))</f>
        <v>Reestimativa 2</v>
      </c>
      <c r="X656" s="1">
        <f>ESTIMATIVA[[#This Row],[QT_AREA_EST]]</f>
        <v>2.95</v>
      </c>
      <c r="Y656" s="1">
        <f>IF(ESTIMATIVA[[#This Row],[QT_AREA_REST1]]&gt;0,ESTIMATIVA[[#This Row],[QT_AREA_REST1]],
  IF(ESTIMATIVA[[#This Row],[QT_AREA_REAL]]&gt;0,ESTIMATIVA[[#This Row],[QT_AREA_REAL]],ESTIMATIVA[[#This Row],[QT_AREA_EST]]))</f>
        <v>2.95</v>
      </c>
      <c r="Z65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2.95</v>
      </c>
      <c r="AA656" s="1">
        <f>ESTIMATIVA[[#This Row],[QT_CANA_EST]]</f>
        <v>230.1</v>
      </c>
      <c r="AB656" s="1">
        <f>IF(ESTIMATIVA[[#This Row],[QT_CANA_REST1]]&gt;0,ESTIMATIVA[[#This Row],[QT_CANA_REST1]],
  IF(ESTIMATIVA[[#This Row],[QT_CANA_REAL]]&gt;0,ESTIMATIVA[[#This Row],[QT_CANA_REAL]],ESTIMATIVA[[#This Row],[QT_CANA_EST]]))</f>
        <v>230.1</v>
      </c>
      <c r="AC65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230.1</v>
      </c>
      <c r="AD656" s="1">
        <f>IF(ESTIMATIVA[[#This Row],[QT_AREA_REAL]]&gt;0,ESTIMATIVA[[#This Row],[QT_CANA_REAL]],ESTIMATIVA[[#This Row],[QT_CANA_EST]])</f>
        <v>259.75</v>
      </c>
      <c r="AE656" s="1">
        <f>IF(ESTIMATIVA[[#This Row],[QT_AREA_REAL]]&gt;0,ESTIMATIVA[[#This Row],[QT_CANA_REAL]],ESTIMATIVA[[#This Row],[QT_CANA_REST1]])</f>
        <v>259.75</v>
      </c>
      <c r="AF656" s="1">
        <f>IF(ESTIMATIVA[[#This Row],[QT_AREA_REAL]]&gt;0,ESTIMATIVA[[#This Row],[QT_CANA_REAL]],ESTIMATIVA[[#This Row],[QT_CANA_REST2]])</f>
        <v>259.75</v>
      </c>
      <c r="AG656" s="1" t="str">
        <f>IF(COUNTIFS(GEADA!A:A,VALUE(ESTIMATIVA[[#This Row],[CD_UPNIVEL1]]&amp;TEXT(ESTIMATIVA[[#This Row],[CD_UPNIVEL3]],"0000")))&gt;0,"S","N")</f>
        <v>N</v>
      </c>
      <c r="AH65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656" s="55" t="str">
        <f>IF(ESTIMATIVA[[#This Row],[TP_CULTIVO]]="Irrigado",_xlfn.MAXIFS(IRRIGADO!J:J,IRRIGADO!C:C,ESTIMATIVA[[#This Row],[CD_UPNIVEL1]],IRRIGADO!E:E,ESTIMATIVA[[#This Row],[CD_UPNIVEL3]]),"")</f>
        <v/>
      </c>
      <c r="AJ65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56" s="1">
        <f>COUNTIFS(Apresentação!$E$23:$E$29,ESTIMATIVA[[#This Row],[CD_UPNIVEL1]])</f>
        <v>0</v>
      </c>
    </row>
    <row r="657" spans="1:37" x14ac:dyDescent="0.3">
      <c r="A657">
        <v>20339</v>
      </c>
      <c r="B657" t="s">
        <v>130</v>
      </c>
      <c r="C657">
        <v>9</v>
      </c>
      <c r="D657">
        <v>4</v>
      </c>
      <c r="E657" t="s">
        <v>265</v>
      </c>
      <c r="F657" s="85" t="s">
        <v>332</v>
      </c>
      <c r="G657"/>
      <c r="H657" t="s">
        <v>295</v>
      </c>
      <c r="I657" t="s">
        <v>200</v>
      </c>
      <c r="J657" t="s">
        <v>176</v>
      </c>
      <c r="K657" s="1">
        <v>0.76</v>
      </c>
      <c r="L657" s="1">
        <v>0.76</v>
      </c>
      <c r="M657" s="1">
        <v>0.76</v>
      </c>
      <c r="N657" s="1">
        <v>0.76</v>
      </c>
      <c r="O657" s="1">
        <v>68.400000000000006</v>
      </c>
      <c r="P657" s="1">
        <v>68.400000000000006</v>
      </c>
      <c r="Q657" s="1">
        <v>60.8</v>
      </c>
      <c r="R657" s="1">
        <v>98.75</v>
      </c>
      <c r="S657" t="s">
        <v>12</v>
      </c>
      <c r="T657" s="13">
        <v>45977</v>
      </c>
      <c r="U657" s="1" t="str">
        <f>IF(ESTIMATIVA[[#This Row],[QT_AREA_REAL]]&gt;0,"1- Colhido","2- à Colher")</f>
        <v>1- Colhido</v>
      </c>
      <c r="V657" s="1" t="str">
        <f>IF(ESTIMATIVA[[#This Row],[QT_AREA_REST1]]&gt;0,"Reestimativa 1",IF(ESTIMATIVA[[#This Row],[QT_AREA_REAL]]=0,"Reestimativa 1","Realizado"))</f>
        <v>Reestimativa 1</v>
      </c>
      <c r="W657" s="1" t="str">
        <f>IF(ESTIMATIVA[[#This Row],[QT_AREA_REST2]]&gt;0,"Reestimativa 2",IF(ESTIMATIVA[[#This Row],[QT_AREA_REAL]]=0,"Reestimativa 2","Realizado"))</f>
        <v>Reestimativa 2</v>
      </c>
      <c r="X657" s="1">
        <f>ESTIMATIVA[[#This Row],[QT_AREA_EST]]</f>
        <v>0.76</v>
      </c>
      <c r="Y657" s="1">
        <f>IF(ESTIMATIVA[[#This Row],[QT_AREA_REST1]]&gt;0,ESTIMATIVA[[#This Row],[QT_AREA_REST1]],
  IF(ESTIMATIVA[[#This Row],[QT_AREA_REAL]]&gt;0,ESTIMATIVA[[#This Row],[QT_AREA_REAL]],ESTIMATIVA[[#This Row],[QT_AREA_EST]]))</f>
        <v>0.76</v>
      </c>
      <c r="Z65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0.76</v>
      </c>
      <c r="AA657" s="1">
        <f>ESTIMATIVA[[#This Row],[QT_CANA_EST]]</f>
        <v>68.400000000000006</v>
      </c>
      <c r="AB657" s="1">
        <f>IF(ESTIMATIVA[[#This Row],[QT_CANA_REST1]]&gt;0,ESTIMATIVA[[#This Row],[QT_CANA_REST1]],
  IF(ESTIMATIVA[[#This Row],[QT_CANA_REAL]]&gt;0,ESTIMATIVA[[#This Row],[QT_CANA_REAL]],ESTIMATIVA[[#This Row],[QT_CANA_EST]]))</f>
        <v>68.400000000000006</v>
      </c>
      <c r="AC65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60.8</v>
      </c>
      <c r="AD657" s="1">
        <f>IF(ESTIMATIVA[[#This Row],[QT_AREA_REAL]]&gt;0,ESTIMATIVA[[#This Row],[QT_CANA_REAL]],ESTIMATIVA[[#This Row],[QT_CANA_EST]])</f>
        <v>98.75</v>
      </c>
      <c r="AE657" s="1">
        <f>IF(ESTIMATIVA[[#This Row],[QT_AREA_REAL]]&gt;0,ESTIMATIVA[[#This Row],[QT_CANA_REAL]],ESTIMATIVA[[#This Row],[QT_CANA_REST1]])</f>
        <v>98.75</v>
      </c>
      <c r="AF657" s="1">
        <f>IF(ESTIMATIVA[[#This Row],[QT_AREA_REAL]]&gt;0,ESTIMATIVA[[#This Row],[QT_CANA_REAL]],ESTIMATIVA[[#This Row],[QT_CANA_REST2]])</f>
        <v>98.75</v>
      </c>
      <c r="AG657" s="1" t="str">
        <f>IF(COUNTIFS(GEADA!A:A,VALUE(ESTIMATIVA[[#This Row],[CD_UPNIVEL1]]&amp;TEXT(ESTIMATIVA[[#This Row],[CD_UPNIVEL3]],"0000")))&gt;0,"S","N")</f>
        <v>N</v>
      </c>
      <c r="AH65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657" s="55" t="str">
        <f>IF(ESTIMATIVA[[#This Row],[TP_CULTIVO]]="Irrigado",_xlfn.MAXIFS(IRRIGADO!J:J,IRRIGADO!C:C,ESTIMATIVA[[#This Row],[CD_UPNIVEL1]],IRRIGADO!E:E,ESTIMATIVA[[#This Row],[CD_UPNIVEL3]]),"")</f>
        <v/>
      </c>
      <c r="AJ65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57" s="1">
        <f>COUNTIFS(Apresentação!$E$23:$E$29,ESTIMATIVA[[#This Row],[CD_UPNIVEL1]])</f>
        <v>0</v>
      </c>
    </row>
    <row r="658" spans="1:37" x14ac:dyDescent="0.3">
      <c r="A658">
        <v>20340</v>
      </c>
      <c r="B658" t="s">
        <v>131</v>
      </c>
      <c r="C658">
        <v>1</v>
      </c>
      <c r="D658">
        <v>3</v>
      </c>
      <c r="E658" t="s">
        <v>263</v>
      </c>
      <c r="F658" s="85" t="s">
        <v>331</v>
      </c>
      <c r="G658"/>
      <c r="H658" t="s">
        <v>295</v>
      </c>
      <c r="I658" t="s">
        <v>207</v>
      </c>
      <c r="J658" t="s">
        <v>176</v>
      </c>
      <c r="K658" s="1">
        <v>24.62</v>
      </c>
      <c r="L658" s="1">
        <v>24.62</v>
      </c>
      <c r="M658" s="1">
        <v>24.62</v>
      </c>
      <c r="N658" s="1">
        <v>24.62</v>
      </c>
      <c r="O658" s="1">
        <v>1821.88</v>
      </c>
      <c r="P658" s="1">
        <v>1477.2</v>
      </c>
      <c r="Q658" s="1">
        <v>1600.3</v>
      </c>
      <c r="R658" s="1">
        <v>1588.27</v>
      </c>
      <c r="S658" t="s">
        <v>12</v>
      </c>
      <c r="T658" s="13">
        <v>45942</v>
      </c>
      <c r="U658" s="1" t="str">
        <f>IF(ESTIMATIVA[[#This Row],[QT_AREA_REAL]]&gt;0,"1- Colhido","2- à Colher")</f>
        <v>1- Colhido</v>
      </c>
      <c r="V658" s="1" t="str">
        <f>IF(ESTIMATIVA[[#This Row],[QT_AREA_REST1]]&gt;0,"Reestimativa 1",IF(ESTIMATIVA[[#This Row],[QT_AREA_REAL]]=0,"Reestimativa 1","Realizado"))</f>
        <v>Reestimativa 1</v>
      </c>
      <c r="W658" s="1" t="str">
        <f>IF(ESTIMATIVA[[#This Row],[QT_AREA_REST2]]&gt;0,"Reestimativa 2",IF(ESTIMATIVA[[#This Row],[QT_AREA_REAL]]=0,"Reestimativa 2","Realizado"))</f>
        <v>Reestimativa 2</v>
      </c>
      <c r="X658" s="1">
        <f>ESTIMATIVA[[#This Row],[QT_AREA_EST]]</f>
        <v>24.62</v>
      </c>
      <c r="Y658" s="1">
        <f>IF(ESTIMATIVA[[#This Row],[QT_AREA_REST1]]&gt;0,ESTIMATIVA[[#This Row],[QT_AREA_REST1]],
  IF(ESTIMATIVA[[#This Row],[QT_AREA_REAL]]&gt;0,ESTIMATIVA[[#This Row],[QT_AREA_REAL]],ESTIMATIVA[[#This Row],[QT_AREA_EST]]))</f>
        <v>24.62</v>
      </c>
      <c r="Z65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24.62</v>
      </c>
      <c r="AA658" s="1">
        <f>ESTIMATIVA[[#This Row],[QT_CANA_EST]]</f>
        <v>1821.88</v>
      </c>
      <c r="AB658" s="1">
        <f>IF(ESTIMATIVA[[#This Row],[QT_CANA_REST1]]&gt;0,ESTIMATIVA[[#This Row],[QT_CANA_REST1]],
  IF(ESTIMATIVA[[#This Row],[QT_CANA_REAL]]&gt;0,ESTIMATIVA[[#This Row],[QT_CANA_REAL]],ESTIMATIVA[[#This Row],[QT_CANA_EST]]))</f>
        <v>1477.2</v>
      </c>
      <c r="AC65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1600.3</v>
      </c>
      <c r="AD658" s="1">
        <f>IF(ESTIMATIVA[[#This Row],[QT_AREA_REAL]]&gt;0,ESTIMATIVA[[#This Row],[QT_CANA_REAL]],ESTIMATIVA[[#This Row],[QT_CANA_EST]])</f>
        <v>1588.27</v>
      </c>
      <c r="AE658" s="1">
        <f>IF(ESTIMATIVA[[#This Row],[QT_AREA_REAL]]&gt;0,ESTIMATIVA[[#This Row],[QT_CANA_REAL]],ESTIMATIVA[[#This Row],[QT_CANA_REST1]])</f>
        <v>1588.27</v>
      </c>
      <c r="AF658" s="1">
        <f>IF(ESTIMATIVA[[#This Row],[QT_AREA_REAL]]&gt;0,ESTIMATIVA[[#This Row],[QT_CANA_REAL]],ESTIMATIVA[[#This Row],[QT_CANA_REST2]])</f>
        <v>1588.27</v>
      </c>
      <c r="AG658" s="1" t="str">
        <f>IF(COUNTIFS(GEADA!A:A,VALUE(ESTIMATIVA[[#This Row],[CD_UPNIVEL1]]&amp;TEXT(ESTIMATIVA[[#This Row],[CD_UPNIVEL3]],"0000")))&gt;0,"S","N")</f>
        <v>N</v>
      </c>
      <c r="AH658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658" s="55">
        <f>IF(ESTIMATIVA[[#This Row],[TP_CULTIVO]]="Irrigado",_xlfn.MAXIFS(IRRIGADO!J:J,IRRIGADO!C:C,ESTIMATIVA[[#This Row],[CD_UPNIVEL1]],IRRIGADO!E:E,ESTIMATIVA[[#This Row],[CD_UPNIVEL3]]),"")</f>
        <v>45596</v>
      </c>
      <c r="AJ658" s="1">
        <f>IF(ESTIMATIVA[[#This Row],[TP_CULTIVO]]&lt;&gt;"Irrigado",0,AVERAGEIFS(IRRIGADO!G:G,IRRIGADO!C:C,ESTIMATIVA[[#This Row],[CD_UPNIVEL1]],IRRIGADO!E:E,ESTIMATIVA[[#This Row],[CD_UPNIVEL3]])*ESTIMATIVA[[#This Row],[QT_AREA_REAL]])</f>
        <v>640.12</v>
      </c>
      <c r="AK658" s="1">
        <f>COUNTIFS(Apresentação!$E$23:$E$29,ESTIMATIVA[[#This Row],[CD_UPNIVEL1]])</f>
        <v>1</v>
      </c>
    </row>
    <row r="659" spans="1:37" x14ac:dyDescent="0.3">
      <c r="A659">
        <v>20340</v>
      </c>
      <c r="B659" t="s">
        <v>131</v>
      </c>
      <c r="C659">
        <v>2</v>
      </c>
      <c r="D659">
        <v>3</v>
      </c>
      <c r="E659" t="s">
        <v>263</v>
      </c>
      <c r="F659" s="85" t="s">
        <v>333</v>
      </c>
      <c r="G659"/>
      <c r="H659" t="s">
        <v>295</v>
      </c>
      <c r="I659" t="s">
        <v>207</v>
      </c>
      <c r="J659" t="s">
        <v>176</v>
      </c>
      <c r="K659" s="1">
        <v>10.17</v>
      </c>
      <c r="L659" s="1">
        <v>10.17</v>
      </c>
      <c r="M659" s="1">
        <v>10.17</v>
      </c>
      <c r="N659" s="1">
        <v>10.17</v>
      </c>
      <c r="O659" s="1">
        <v>752.58</v>
      </c>
      <c r="P659" s="1">
        <v>610.20000000000005</v>
      </c>
      <c r="Q659" s="1">
        <v>661.05</v>
      </c>
      <c r="R659" s="1">
        <v>656.21</v>
      </c>
      <c r="S659" t="s">
        <v>12</v>
      </c>
      <c r="T659" s="13">
        <v>45942</v>
      </c>
      <c r="U659" s="1" t="str">
        <f>IF(ESTIMATIVA[[#This Row],[QT_AREA_REAL]]&gt;0,"1- Colhido","2- à Colher")</f>
        <v>1- Colhido</v>
      </c>
      <c r="V659" s="1" t="str">
        <f>IF(ESTIMATIVA[[#This Row],[QT_AREA_REST1]]&gt;0,"Reestimativa 1",IF(ESTIMATIVA[[#This Row],[QT_AREA_REAL]]=0,"Reestimativa 1","Realizado"))</f>
        <v>Reestimativa 1</v>
      </c>
      <c r="W659" s="1" t="str">
        <f>IF(ESTIMATIVA[[#This Row],[QT_AREA_REST2]]&gt;0,"Reestimativa 2",IF(ESTIMATIVA[[#This Row],[QT_AREA_REAL]]=0,"Reestimativa 2","Realizado"))</f>
        <v>Reestimativa 2</v>
      </c>
      <c r="X659" s="1">
        <f>ESTIMATIVA[[#This Row],[QT_AREA_EST]]</f>
        <v>10.17</v>
      </c>
      <c r="Y659" s="1">
        <f>IF(ESTIMATIVA[[#This Row],[QT_AREA_REST1]]&gt;0,ESTIMATIVA[[#This Row],[QT_AREA_REST1]],
  IF(ESTIMATIVA[[#This Row],[QT_AREA_REAL]]&gt;0,ESTIMATIVA[[#This Row],[QT_AREA_REAL]],ESTIMATIVA[[#This Row],[QT_AREA_EST]]))</f>
        <v>10.17</v>
      </c>
      <c r="Z65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10.17</v>
      </c>
      <c r="AA659" s="1">
        <f>ESTIMATIVA[[#This Row],[QT_CANA_EST]]</f>
        <v>752.58</v>
      </c>
      <c r="AB659" s="1">
        <f>IF(ESTIMATIVA[[#This Row],[QT_CANA_REST1]]&gt;0,ESTIMATIVA[[#This Row],[QT_CANA_REST1]],
  IF(ESTIMATIVA[[#This Row],[QT_CANA_REAL]]&gt;0,ESTIMATIVA[[#This Row],[QT_CANA_REAL]],ESTIMATIVA[[#This Row],[QT_CANA_EST]]))</f>
        <v>610.20000000000005</v>
      </c>
      <c r="AC65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661.05</v>
      </c>
      <c r="AD659" s="1">
        <f>IF(ESTIMATIVA[[#This Row],[QT_AREA_REAL]]&gt;0,ESTIMATIVA[[#This Row],[QT_CANA_REAL]],ESTIMATIVA[[#This Row],[QT_CANA_EST]])</f>
        <v>656.21</v>
      </c>
      <c r="AE659" s="1">
        <f>IF(ESTIMATIVA[[#This Row],[QT_AREA_REAL]]&gt;0,ESTIMATIVA[[#This Row],[QT_CANA_REAL]],ESTIMATIVA[[#This Row],[QT_CANA_REST1]])</f>
        <v>656.21</v>
      </c>
      <c r="AF659" s="1">
        <f>IF(ESTIMATIVA[[#This Row],[QT_AREA_REAL]]&gt;0,ESTIMATIVA[[#This Row],[QT_CANA_REAL]],ESTIMATIVA[[#This Row],[QT_CANA_REST2]])</f>
        <v>656.21</v>
      </c>
      <c r="AG659" s="1" t="str">
        <f>IF(COUNTIFS(GEADA!A:A,VALUE(ESTIMATIVA[[#This Row],[CD_UPNIVEL1]]&amp;TEXT(ESTIMATIVA[[#This Row],[CD_UPNIVEL3]],"0000")))&gt;0,"S","N")</f>
        <v>N</v>
      </c>
      <c r="AH659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659" s="55">
        <f>IF(ESTIMATIVA[[#This Row],[TP_CULTIVO]]="Irrigado",_xlfn.MAXIFS(IRRIGADO!J:J,IRRIGADO!C:C,ESTIMATIVA[[#This Row],[CD_UPNIVEL1]],IRRIGADO!E:E,ESTIMATIVA[[#This Row],[CD_UPNIVEL3]]),"")</f>
        <v>45596</v>
      </c>
      <c r="AJ659" s="1">
        <f>IF(ESTIMATIVA[[#This Row],[TP_CULTIVO]]&lt;&gt;"Irrigado",0,AVERAGEIFS(IRRIGADO!G:G,IRRIGADO!C:C,ESTIMATIVA[[#This Row],[CD_UPNIVEL1]],IRRIGADO!E:E,ESTIMATIVA[[#This Row],[CD_UPNIVEL3]])*ESTIMATIVA[[#This Row],[QT_AREA_REAL]])</f>
        <v>264.42</v>
      </c>
      <c r="AK659" s="1">
        <f>COUNTIFS(Apresentação!$E$23:$E$29,ESTIMATIVA[[#This Row],[CD_UPNIVEL1]])</f>
        <v>1</v>
      </c>
    </row>
    <row r="660" spans="1:37" x14ac:dyDescent="0.3">
      <c r="A660">
        <v>20340</v>
      </c>
      <c r="B660" t="s">
        <v>131</v>
      </c>
      <c r="C660">
        <v>3</v>
      </c>
      <c r="D660">
        <v>3</v>
      </c>
      <c r="E660" t="s">
        <v>263</v>
      </c>
      <c r="F660" s="85" t="s">
        <v>333</v>
      </c>
      <c r="G660"/>
      <c r="H660" t="s">
        <v>295</v>
      </c>
      <c r="I660" t="s">
        <v>207</v>
      </c>
      <c r="J660" t="s">
        <v>176</v>
      </c>
      <c r="K660" s="1">
        <v>6.76</v>
      </c>
      <c r="L660" s="1">
        <v>6.76</v>
      </c>
      <c r="M660" s="1">
        <v>6.76</v>
      </c>
      <c r="N660" s="1">
        <v>6.76</v>
      </c>
      <c r="O660" s="1">
        <v>500.24</v>
      </c>
      <c r="P660" s="1">
        <v>405.6</v>
      </c>
      <c r="Q660" s="1">
        <v>439.4</v>
      </c>
      <c r="R660" s="1">
        <v>445.83</v>
      </c>
      <c r="S660" t="s">
        <v>12</v>
      </c>
      <c r="T660" s="13">
        <v>45942</v>
      </c>
      <c r="U660" s="1" t="str">
        <f>IF(ESTIMATIVA[[#This Row],[QT_AREA_REAL]]&gt;0,"1- Colhido","2- à Colher")</f>
        <v>1- Colhido</v>
      </c>
      <c r="V660" s="1" t="str">
        <f>IF(ESTIMATIVA[[#This Row],[QT_AREA_REST1]]&gt;0,"Reestimativa 1",IF(ESTIMATIVA[[#This Row],[QT_AREA_REAL]]=0,"Reestimativa 1","Realizado"))</f>
        <v>Reestimativa 1</v>
      </c>
      <c r="W660" s="1" t="str">
        <f>IF(ESTIMATIVA[[#This Row],[QT_AREA_REST2]]&gt;0,"Reestimativa 2",IF(ESTIMATIVA[[#This Row],[QT_AREA_REAL]]=0,"Reestimativa 2","Realizado"))</f>
        <v>Reestimativa 2</v>
      </c>
      <c r="X660" s="1">
        <f>ESTIMATIVA[[#This Row],[QT_AREA_EST]]</f>
        <v>6.76</v>
      </c>
      <c r="Y660" s="1">
        <f>IF(ESTIMATIVA[[#This Row],[QT_AREA_REST1]]&gt;0,ESTIMATIVA[[#This Row],[QT_AREA_REST1]],
  IF(ESTIMATIVA[[#This Row],[QT_AREA_REAL]]&gt;0,ESTIMATIVA[[#This Row],[QT_AREA_REAL]],ESTIMATIVA[[#This Row],[QT_AREA_EST]]))</f>
        <v>6.76</v>
      </c>
      <c r="Z66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6.76</v>
      </c>
      <c r="AA660" s="1">
        <f>ESTIMATIVA[[#This Row],[QT_CANA_EST]]</f>
        <v>500.24</v>
      </c>
      <c r="AB660" s="1">
        <f>IF(ESTIMATIVA[[#This Row],[QT_CANA_REST1]]&gt;0,ESTIMATIVA[[#This Row],[QT_CANA_REST1]],
  IF(ESTIMATIVA[[#This Row],[QT_CANA_REAL]]&gt;0,ESTIMATIVA[[#This Row],[QT_CANA_REAL]],ESTIMATIVA[[#This Row],[QT_CANA_EST]]))</f>
        <v>405.6</v>
      </c>
      <c r="AC66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439.4</v>
      </c>
      <c r="AD660" s="1">
        <f>IF(ESTIMATIVA[[#This Row],[QT_AREA_REAL]]&gt;0,ESTIMATIVA[[#This Row],[QT_CANA_REAL]],ESTIMATIVA[[#This Row],[QT_CANA_EST]])</f>
        <v>445.83</v>
      </c>
      <c r="AE660" s="1">
        <f>IF(ESTIMATIVA[[#This Row],[QT_AREA_REAL]]&gt;0,ESTIMATIVA[[#This Row],[QT_CANA_REAL]],ESTIMATIVA[[#This Row],[QT_CANA_REST1]])</f>
        <v>445.83</v>
      </c>
      <c r="AF660" s="1">
        <f>IF(ESTIMATIVA[[#This Row],[QT_AREA_REAL]]&gt;0,ESTIMATIVA[[#This Row],[QT_CANA_REAL]],ESTIMATIVA[[#This Row],[QT_CANA_REST2]])</f>
        <v>445.83</v>
      </c>
      <c r="AG660" s="1" t="str">
        <f>IF(COUNTIFS(GEADA!A:A,VALUE(ESTIMATIVA[[#This Row],[CD_UPNIVEL1]]&amp;TEXT(ESTIMATIVA[[#This Row],[CD_UPNIVEL3]],"0000")))&gt;0,"S","N")</f>
        <v>N</v>
      </c>
      <c r="AH660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660" s="55">
        <f>IF(ESTIMATIVA[[#This Row],[TP_CULTIVO]]="Irrigado",_xlfn.MAXIFS(IRRIGADO!J:J,IRRIGADO!C:C,ESTIMATIVA[[#This Row],[CD_UPNIVEL1]],IRRIGADO!E:E,ESTIMATIVA[[#This Row],[CD_UPNIVEL3]]),"")</f>
        <v>45596</v>
      </c>
      <c r="AJ660" s="1">
        <f>IF(ESTIMATIVA[[#This Row],[TP_CULTIVO]]&lt;&gt;"Irrigado",0,AVERAGEIFS(IRRIGADO!G:G,IRRIGADO!C:C,ESTIMATIVA[[#This Row],[CD_UPNIVEL1]],IRRIGADO!E:E,ESTIMATIVA[[#This Row],[CD_UPNIVEL3]])*ESTIMATIVA[[#This Row],[QT_AREA_REAL]])</f>
        <v>175.76</v>
      </c>
      <c r="AK660" s="1">
        <f>COUNTIFS(Apresentação!$E$23:$E$29,ESTIMATIVA[[#This Row],[CD_UPNIVEL1]])</f>
        <v>1</v>
      </c>
    </row>
    <row r="661" spans="1:37" x14ac:dyDescent="0.3">
      <c r="A661">
        <v>20341</v>
      </c>
      <c r="B661" t="s">
        <v>34</v>
      </c>
      <c r="C661">
        <v>14</v>
      </c>
      <c r="D661">
        <v>4</v>
      </c>
      <c r="E661" t="s">
        <v>265</v>
      </c>
      <c r="F661" s="85" t="s">
        <v>331</v>
      </c>
      <c r="G661"/>
      <c r="H661" t="s">
        <v>294</v>
      </c>
      <c r="I661" t="s">
        <v>195</v>
      </c>
      <c r="J661" t="s">
        <v>176</v>
      </c>
      <c r="K661" s="1">
        <v>6.91</v>
      </c>
      <c r="L661" s="1">
        <v>6.91</v>
      </c>
      <c r="M661" s="1">
        <v>6.91</v>
      </c>
      <c r="N661" s="1">
        <v>6.91</v>
      </c>
      <c r="O661" s="1">
        <v>331.68</v>
      </c>
      <c r="P661" s="1">
        <v>331.68</v>
      </c>
      <c r="Q661" s="1">
        <v>331.68</v>
      </c>
      <c r="R661" s="1">
        <v>254.02</v>
      </c>
      <c r="S661" t="s">
        <v>12</v>
      </c>
      <c r="T661" s="13">
        <v>45984</v>
      </c>
      <c r="U661" s="1" t="str">
        <f>IF(ESTIMATIVA[[#This Row],[QT_AREA_REAL]]&gt;0,"1- Colhido","2- à Colher")</f>
        <v>1- Colhido</v>
      </c>
      <c r="V661" s="1" t="str">
        <f>IF(ESTIMATIVA[[#This Row],[QT_AREA_REST1]]&gt;0,"Reestimativa 1",IF(ESTIMATIVA[[#This Row],[QT_AREA_REAL]]=0,"Reestimativa 1","Realizado"))</f>
        <v>Reestimativa 1</v>
      </c>
      <c r="W661" s="1" t="str">
        <f>IF(ESTIMATIVA[[#This Row],[QT_AREA_REST2]]&gt;0,"Reestimativa 2",IF(ESTIMATIVA[[#This Row],[QT_AREA_REAL]]=0,"Reestimativa 2","Realizado"))</f>
        <v>Reestimativa 2</v>
      </c>
      <c r="X661" s="1">
        <f>ESTIMATIVA[[#This Row],[QT_AREA_EST]]</f>
        <v>6.91</v>
      </c>
      <c r="Y661" s="1">
        <f>IF(ESTIMATIVA[[#This Row],[QT_AREA_REST1]]&gt;0,ESTIMATIVA[[#This Row],[QT_AREA_REST1]],
  IF(ESTIMATIVA[[#This Row],[QT_AREA_REAL]]&gt;0,ESTIMATIVA[[#This Row],[QT_AREA_REAL]],ESTIMATIVA[[#This Row],[QT_AREA_EST]]))</f>
        <v>6.91</v>
      </c>
      <c r="Z66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6.91</v>
      </c>
      <c r="AA661" s="1">
        <f>ESTIMATIVA[[#This Row],[QT_CANA_EST]]</f>
        <v>331.68</v>
      </c>
      <c r="AB661" s="1">
        <f>IF(ESTIMATIVA[[#This Row],[QT_CANA_REST1]]&gt;0,ESTIMATIVA[[#This Row],[QT_CANA_REST1]],
  IF(ESTIMATIVA[[#This Row],[QT_CANA_REAL]]&gt;0,ESTIMATIVA[[#This Row],[QT_CANA_REAL]],ESTIMATIVA[[#This Row],[QT_CANA_EST]]))</f>
        <v>331.68</v>
      </c>
      <c r="AC66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331.68</v>
      </c>
      <c r="AD661" s="1">
        <f>IF(ESTIMATIVA[[#This Row],[QT_AREA_REAL]]&gt;0,ESTIMATIVA[[#This Row],[QT_CANA_REAL]],ESTIMATIVA[[#This Row],[QT_CANA_EST]])</f>
        <v>254.02</v>
      </c>
      <c r="AE661" s="1">
        <f>IF(ESTIMATIVA[[#This Row],[QT_AREA_REAL]]&gt;0,ESTIMATIVA[[#This Row],[QT_CANA_REAL]],ESTIMATIVA[[#This Row],[QT_CANA_REST1]])</f>
        <v>254.02</v>
      </c>
      <c r="AF661" s="1">
        <f>IF(ESTIMATIVA[[#This Row],[QT_AREA_REAL]]&gt;0,ESTIMATIVA[[#This Row],[QT_CANA_REAL]],ESTIMATIVA[[#This Row],[QT_CANA_REST2]])</f>
        <v>254.02</v>
      </c>
      <c r="AG661" s="1" t="str">
        <f>IF(COUNTIFS(GEADA!A:A,VALUE(ESTIMATIVA[[#This Row],[CD_UPNIVEL1]]&amp;TEXT(ESTIMATIVA[[#This Row],[CD_UPNIVEL3]],"0000")))&gt;0,"S","N")</f>
        <v>N</v>
      </c>
      <c r="AH66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61" s="55" t="str">
        <f>IF(ESTIMATIVA[[#This Row],[TP_CULTIVO]]="Irrigado",_xlfn.MAXIFS(IRRIGADO!J:J,IRRIGADO!C:C,ESTIMATIVA[[#This Row],[CD_UPNIVEL1]],IRRIGADO!E:E,ESTIMATIVA[[#This Row],[CD_UPNIVEL3]]),"")</f>
        <v/>
      </c>
      <c r="AJ66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61" s="1">
        <f>COUNTIFS(Apresentação!$E$23:$E$29,ESTIMATIVA[[#This Row],[CD_UPNIVEL1]])</f>
        <v>0</v>
      </c>
    </row>
    <row r="662" spans="1:37" x14ac:dyDescent="0.3">
      <c r="A662">
        <v>20341</v>
      </c>
      <c r="B662" t="s">
        <v>34</v>
      </c>
      <c r="C662">
        <v>15</v>
      </c>
      <c r="D662">
        <v>4</v>
      </c>
      <c r="E662" t="s">
        <v>265</v>
      </c>
      <c r="F662" s="85" t="s">
        <v>332</v>
      </c>
      <c r="G662"/>
      <c r="H662" t="s">
        <v>294</v>
      </c>
      <c r="I662" t="s">
        <v>195</v>
      </c>
      <c r="J662" t="s">
        <v>176</v>
      </c>
      <c r="K662" s="1">
        <v>3.31</v>
      </c>
      <c r="L662" s="1">
        <v>3.31</v>
      </c>
      <c r="M662" s="1">
        <v>3.31</v>
      </c>
      <c r="N662" s="1">
        <v>3.31</v>
      </c>
      <c r="O662" s="1">
        <v>158.88</v>
      </c>
      <c r="P662" s="1">
        <v>158.88</v>
      </c>
      <c r="Q662" s="1">
        <v>158.88</v>
      </c>
      <c r="R662" s="1">
        <v>121.65</v>
      </c>
      <c r="S662" t="s">
        <v>12</v>
      </c>
      <c r="T662" s="13">
        <v>45984</v>
      </c>
      <c r="U662" s="1" t="str">
        <f>IF(ESTIMATIVA[[#This Row],[QT_AREA_REAL]]&gt;0,"1- Colhido","2- à Colher")</f>
        <v>1- Colhido</v>
      </c>
      <c r="V662" s="1" t="str">
        <f>IF(ESTIMATIVA[[#This Row],[QT_AREA_REST1]]&gt;0,"Reestimativa 1",IF(ESTIMATIVA[[#This Row],[QT_AREA_REAL]]=0,"Reestimativa 1","Realizado"))</f>
        <v>Reestimativa 1</v>
      </c>
      <c r="W662" s="1" t="str">
        <f>IF(ESTIMATIVA[[#This Row],[QT_AREA_REST2]]&gt;0,"Reestimativa 2",IF(ESTIMATIVA[[#This Row],[QT_AREA_REAL]]=0,"Reestimativa 2","Realizado"))</f>
        <v>Reestimativa 2</v>
      </c>
      <c r="X662" s="1">
        <f>ESTIMATIVA[[#This Row],[QT_AREA_EST]]</f>
        <v>3.31</v>
      </c>
      <c r="Y662" s="1">
        <f>IF(ESTIMATIVA[[#This Row],[QT_AREA_REST1]]&gt;0,ESTIMATIVA[[#This Row],[QT_AREA_REST1]],
  IF(ESTIMATIVA[[#This Row],[QT_AREA_REAL]]&gt;0,ESTIMATIVA[[#This Row],[QT_AREA_REAL]],ESTIMATIVA[[#This Row],[QT_AREA_EST]]))</f>
        <v>3.31</v>
      </c>
      <c r="Z66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3.31</v>
      </c>
      <c r="AA662" s="1">
        <f>ESTIMATIVA[[#This Row],[QT_CANA_EST]]</f>
        <v>158.88</v>
      </c>
      <c r="AB662" s="1">
        <f>IF(ESTIMATIVA[[#This Row],[QT_CANA_REST1]]&gt;0,ESTIMATIVA[[#This Row],[QT_CANA_REST1]],
  IF(ESTIMATIVA[[#This Row],[QT_CANA_REAL]]&gt;0,ESTIMATIVA[[#This Row],[QT_CANA_REAL]],ESTIMATIVA[[#This Row],[QT_CANA_EST]]))</f>
        <v>158.88</v>
      </c>
      <c r="AC66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158.88</v>
      </c>
      <c r="AD662" s="1">
        <f>IF(ESTIMATIVA[[#This Row],[QT_AREA_REAL]]&gt;0,ESTIMATIVA[[#This Row],[QT_CANA_REAL]],ESTIMATIVA[[#This Row],[QT_CANA_EST]])</f>
        <v>121.65</v>
      </c>
      <c r="AE662" s="1">
        <f>IF(ESTIMATIVA[[#This Row],[QT_AREA_REAL]]&gt;0,ESTIMATIVA[[#This Row],[QT_CANA_REAL]],ESTIMATIVA[[#This Row],[QT_CANA_REST1]])</f>
        <v>121.65</v>
      </c>
      <c r="AF662" s="1">
        <f>IF(ESTIMATIVA[[#This Row],[QT_AREA_REAL]]&gt;0,ESTIMATIVA[[#This Row],[QT_CANA_REAL]],ESTIMATIVA[[#This Row],[QT_CANA_REST2]])</f>
        <v>121.65</v>
      </c>
      <c r="AG662" s="1" t="str">
        <f>IF(COUNTIFS(GEADA!A:A,VALUE(ESTIMATIVA[[#This Row],[CD_UPNIVEL1]]&amp;TEXT(ESTIMATIVA[[#This Row],[CD_UPNIVEL3]],"0000")))&gt;0,"S","N")</f>
        <v>N</v>
      </c>
      <c r="AH66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62" s="55" t="str">
        <f>IF(ESTIMATIVA[[#This Row],[TP_CULTIVO]]="Irrigado",_xlfn.MAXIFS(IRRIGADO!J:J,IRRIGADO!C:C,ESTIMATIVA[[#This Row],[CD_UPNIVEL1]],IRRIGADO!E:E,ESTIMATIVA[[#This Row],[CD_UPNIVEL3]]),"")</f>
        <v/>
      </c>
      <c r="AJ66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62" s="1">
        <f>COUNTIFS(Apresentação!$E$23:$E$29,ESTIMATIVA[[#This Row],[CD_UPNIVEL1]])</f>
        <v>0</v>
      </c>
    </row>
    <row r="663" spans="1:37" x14ac:dyDescent="0.3">
      <c r="A663">
        <v>20341</v>
      </c>
      <c r="B663" t="s">
        <v>34</v>
      </c>
      <c r="C663">
        <v>16</v>
      </c>
      <c r="D663">
        <v>4</v>
      </c>
      <c r="E663" t="s">
        <v>265</v>
      </c>
      <c r="F663" s="85" t="s">
        <v>331</v>
      </c>
      <c r="G663"/>
      <c r="H663" t="s">
        <v>294</v>
      </c>
      <c r="I663" t="s">
        <v>195</v>
      </c>
      <c r="J663" t="s">
        <v>176</v>
      </c>
      <c r="K663" s="1">
        <v>4.62</v>
      </c>
      <c r="L663" s="1">
        <v>4.62</v>
      </c>
      <c r="M663" s="1">
        <v>4.62</v>
      </c>
      <c r="N663" s="1">
        <v>4.62</v>
      </c>
      <c r="O663" s="1">
        <v>221.76</v>
      </c>
      <c r="P663" s="1">
        <v>221.76</v>
      </c>
      <c r="Q663" s="1">
        <v>221.76</v>
      </c>
      <c r="R663" s="1">
        <v>169.88</v>
      </c>
      <c r="S663" t="s">
        <v>12</v>
      </c>
      <c r="T663" s="13">
        <v>45984</v>
      </c>
      <c r="U663" s="1" t="str">
        <f>IF(ESTIMATIVA[[#This Row],[QT_AREA_REAL]]&gt;0,"1- Colhido","2- à Colher")</f>
        <v>1- Colhido</v>
      </c>
      <c r="V663" s="1" t="str">
        <f>IF(ESTIMATIVA[[#This Row],[QT_AREA_REST1]]&gt;0,"Reestimativa 1",IF(ESTIMATIVA[[#This Row],[QT_AREA_REAL]]=0,"Reestimativa 1","Realizado"))</f>
        <v>Reestimativa 1</v>
      </c>
      <c r="W663" s="1" t="str">
        <f>IF(ESTIMATIVA[[#This Row],[QT_AREA_REST2]]&gt;0,"Reestimativa 2",IF(ESTIMATIVA[[#This Row],[QT_AREA_REAL]]=0,"Reestimativa 2","Realizado"))</f>
        <v>Reestimativa 2</v>
      </c>
      <c r="X663" s="1">
        <f>ESTIMATIVA[[#This Row],[QT_AREA_EST]]</f>
        <v>4.62</v>
      </c>
      <c r="Y663" s="1">
        <f>IF(ESTIMATIVA[[#This Row],[QT_AREA_REST1]]&gt;0,ESTIMATIVA[[#This Row],[QT_AREA_REST1]],
  IF(ESTIMATIVA[[#This Row],[QT_AREA_REAL]]&gt;0,ESTIMATIVA[[#This Row],[QT_AREA_REAL]],ESTIMATIVA[[#This Row],[QT_AREA_EST]]))</f>
        <v>4.62</v>
      </c>
      <c r="Z66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4.62</v>
      </c>
      <c r="AA663" s="1">
        <f>ESTIMATIVA[[#This Row],[QT_CANA_EST]]</f>
        <v>221.76</v>
      </c>
      <c r="AB663" s="1">
        <f>IF(ESTIMATIVA[[#This Row],[QT_CANA_REST1]]&gt;0,ESTIMATIVA[[#This Row],[QT_CANA_REST1]],
  IF(ESTIMATIVA[[#This Row],[QT_CANA_REAL]]&gt;0,ESTIMATIVA[[#This Row],[QT_CANA_REAL]],ESTIMATIVA[[#This Row],[QT_CANA_EST]]))</f>
        <v>221.76</v>
      </c>
      <c r="AC66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221.76</v>
      </c>
      <c r="AD663" s="1">
        <f>IF(ESTIMATIVA[[#This Row],[QT_AREA_REAL]]&gt;0,ESTIMATIVA[[#This Row],[QT_CANA_REAL]],ESTIMATIVA[[#This Row],[QT_CANA_EST]])</f>
        <v>169.88</v>
      </c>
      <c r="AE663" s="1">
        <f>IF(ESTIMATIVA[[#This Row],[QT_AREA_REAL]]&gt;0,ESTIMATIVA[[#This Row],[QT_CANA_REAL]],ESTIMATIVA[[#This Row],[QT_CANA_REST1]])</f>
        <v>169.88</v>
      </c>
      <c r="AF663" s="1">
        <f>IF(ESTIMATIVA[[#This Row],[QT_AREA_REAL]]&gt;0,ESTIMATIVA[[#This Row],[QT_CANA_REAL]],ESTIMATIVA[[#This Row],[QT_CANA_REST2]])</f>
        <v>169.88</v>
      </c>
      <c r="AG663" s="1" t="str">
        <f>IF(COUNTIFS(GEADA!A:A,VALUE(ESTIMATIVA[[#This Row],[CD_UPNIVEL1]]&amp;TEXT(ESTIMATIVA[[#This Row],[CD_UPNIVEL3]],"0000")))&gt;0,"S","N")</f>
        <v>N</v>
      </c>
      <c r="AH66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63" s="55" t="str">
        <f>IF(ESTIMATIVA[[#This Row],[TP_CULTIVO]]="Irrigado",_xlfn.MAXIFS(IRRIGADO!J:J,IRRIGADO!C:C,ESTIMATIVA[[#This Row],[CD_UPNIVEL1]],IRRIGADO!E:E,ESTIMATIVA[[#This Row],[CD_UPNIVEL3]]),"")</f>
        <v/>
      </c>
      <c r="AJ66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63" s="1">
        <f>COUNTIFS(Apresentação!$E$23:$E$29,ESTIMATIVA[[#This Row],[CD_UPNIVEL1]])</f>
        <v>0</v>
      </c>
    </row>
    <row r="664" spans="1:37" x14ac:dyDescent="0.3">
      <c r="A664">
        <v>20341</v>
      </c>
      <c r="B664" t="s">
        <v>34</v>
      </c>
      <c r="C664">
        <v>17</v>
      </c>
      <c r="D664">
        <v>2</v>
      </c>
      <c r="E664" t="s">
        <v>266</v>
      </c>
      <c r="F664" s="85" t="s">
        <v>331</v>
      </c>
      <c r="G664"/>
      <c r="H664" t="s">
        <v>294</v>
      </c>
      <c r="I664" t="s">
        <v>205</v>
      </c>
      <c r="J664" t="s">
        <v>176</v>
      </c>
      <c r="K664" s="1">
        <v>4.6900000000000004</v>
      </c>
      <c r="L664" s="1">
        <v>4.6900000000000004</v>
      </c>
      <c r="M664" s="1">
        <v>0</v>
      </c>
      <c r="N664" s="1">
        <v>4.6900000000000004</v>
      </c>
      <c r="O664" s="1">
        <v>351.75</v>
      </c>
      <c r="P664" s="1">
        <v>351.75</v>
      </c>
      <c r="Q664" s="1">
        <v>0</v>
      </c>
      <c r="R664" s="1">
        <v>264.67</v>
      </c>
      <c r="S664" t="s">
        <v>12</v>
      </c>
      <c r="T664" s="13">
        <v>45900</v>
      </c>
      <c r="U664" s="1" t="str">
        <f>IF(ESTIMATIVA[[#This Row],[QT_AREA_REAL]]&gt;0,"1- Colhido","2- à Colher")</f>
        <v>1- Colhido</v>
      </c>
      <c r="V664" s="1" t="str">
        <f>IF(ESTIMATIVA[[#This Row],[QT_AREA_REST1]]&gt;0,"Reestimativa 1",IF(ESTIMATIVA[[#This Row],[QT_AREA_REAL]]=0,"Reestimativa 1","Realizado"))</f>
        <v>Reestimativa 1</v>
      </c>
      <c r="W664" s="1" t="str">
        <f>IF(ESTIMATIVA[[#This Row],[QT_AREA_REST2]]&gt;0,"Reestimativa 2",IF(ESTIMATIVA[[#This Row],[QT_AREA_REAL]]=0,"Reestimativa 2","Realizado"))</f>
        <v>Realizado</v>
      </c>
      <c r="X664" s="1">
        <f>ESTIMATIVA[[#This Row],[QT_AREA_EST]]</f>
        <v>4.6900000000000004</v>
      </c>
      <c r="Y664" s="1">
        <f>IF(ESTIMATIVA[[#This Row],[QT_AREA_REST1]]&gt;0,ESTIMATIVA[[#This Row],[QT_AREA_REST1]],
  IF(ESTIMATIVA[[#This Row],[QT_AREA_REAL]]&gt;0,ESTIMATIVA[[#This Row],[QT_AREA_REAL]],ESTIMATIVA[[#This Row],[QT_AREA_EST]]))</f>
        <v>4.6900000000000004</v>
      </c>
      <c r="Z66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4.6900000000000004</v>
      </c>
      <c r="AA664" s="1">
        <f>ESTIMATIVA[[#This Row],[QT_CANA_EST]]</f>
        <v>351.75</v>
      </c>
      <c r="AB664" s="1">
        <f>IF(ESTIMATIVA[[#This Row],[QT_CANA_REST1]]&gt;0,ESTIMATIVA[[#This Row],[QT_CANA_REST1]],
  IF(ESTIMATIVA[[#This Row],[QT_CANA_REAL]]&gt;0,ESTIMATIVA[[#This Row],[QT_CANA_REAL]],ESTIMATIVA[[#This Row],[QT_CANA_EST]]))</f>
        <v>351.75</v>
      </c>
      <c r="AC66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264.67</v>
      </c>
      <c r="AD664" s="1">
        <f>IF(ESTIMATIVA[[#This Row],[QT_AREA_REAL]]&gt;0,ESTIMATIVA[[#This Row],[QT_CANA_REAL]],ESTIMATIVA[[#This Row],[QT_CANA_EST]])</f>
        <v>264.67</v>
      </c>
      <c r="AE664" s="1">
        <f>IF(ESTIMATIVA[[#This Row],[QT_AREA_REAL]]&gt;0,ESTIMATIVA[[#This Row],[QT_CANA_REAL]],ESTIMATIVA[[#This Row],[QT_CANA_REST1]])</f>
        <v>264.67</v>
      </c>
      <c r="AF664" s="1">
        <f>IF(ESTIMATIVA[[#This Row],[QT_AREA_REAL]]&gt;0,ESTIMATIVA[[#This Row],[QT_CANA_REAL]],ESTIMATIVA[[#This Row],[QT_CANA_REST2]])</f>
        <v>264.67</v>
      </c>
      <c r="AG664" s="1" t="str">
        <f>IF(COUNTIFS(GEADA!A:A,VALUE(ESTIMATIVA[[#This Row],[CD_UPNIVEL1]]&amp;TEXT(ESTIMATIVA[[#This Row],[CD_UPNIVEL3]],"0000")))&gt;0,"S","N")</f>
        <v>N</v>
      </c>
      <c r="AH66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64" s="55" t="str">
        <f>IF(ESTIMATIVA[[#This Row],[TP_CULTIVO]]="Irrigado",_xlfn.MAXIFS(IRRIGADO!J:J,IRRIGADO!C:C,ESTIMATIVA[[#This Row],[CD_UPNIVEL1]],IRRIGADO!E:E,ESTIMATIVA[[#This Row],[CD_UPNIVEL3]]),"")</f>
        <v/>
      </c>
      <c r="AJ66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64" s="1">
        <f>COUNTIFS(Apresentação!$E$23:$E$29,ESTIMATIVA[[#This Row],[CD_UPNIVEL1]])</f>
        <v>0</v>
      </c>
    </row>
    <row r="665" spans="1:37" x14ac:dyDescent="0.3">
      <c r="A665">
        <v>20343</v>
      </c>
      <c r="B665" t="s">
        <v>35</v>
      </c>
      <c r="C665">
        <v>1</v>
      </c>
      <c r="D665">
        <v>5</v>
      </c>
      <c r="E665" t="s">
        <v>268</v>
      </c>
      <c r="F665" s="85" t="s">
        <v>331</v>
      </c>
      <c r="G665"/>
      <c r="H665" t="s">
        <v>294</v>
      </c>
      <c r="I665" t="s">
        <v>221</v>
      </c>
      <c r="J665" t="s">
        <v>176</v>
      </c>
      <c r="K665" s="1">
        <v>2.5499999999999998</v>
      </c>
      <c r="L665" s="1">
        <v>0</v>
      </c>
      <c r="M665" s="1">
        <v>0</v>
      </c>
      <c r="N665" s="1">
        <v>2.5499999999999998</v>
      </c>
      <c r="O665" s="1">
        <v>153</v>
      </c>
      <c r="P665" s="1">
        <v>0</v>
      </c>
      <c r="Q665" s="1">
        <v>0</v>
      </c>
      <c r="R665" s="1">
        <v>210.54</v>
      </c>
      <c r="S665" t="s">
        <v>12</v>
      </c>
      <c r="T665" s="13">
        <v>45816</v>
      </c>
      <c r="U665" s="1" t="str">
        <f>IF(ESTIMATIVA[[#This Row],[QT_AREA_REAL]]&gt;0,"1- Colhido","2- à Colher")</f>
        <v>1- Colhido</v>
      </c>
      <c r="V665" s="1" t="str">
        <f>IF(ESTIMATIVA[[#This Row],[QT_AREA_REST1]]&gt;0,"Reestimativa 1",IF(ESTIMATIVA[[#This Row],[QT_AREA_REAL]]=0,"Reestimativa 1","Realizado"))</f>
        <v>Realizado</v>
      </c>
      <c r="W665" s="1" t="str">
        <f>IF(ESTIMATIVA[[#This Row],[QT_AREA_REST2]]&gt;0,"Reestimativa 2",IF(ESTIMATIVA[[#This Row],[QT_AREA_REAL]]=0,"Reestimativa 2","Realizado"))</f>
        <v>Realizado</v>
      </c>
      <c r="X665" s="1">
        <f>ESTIMATIVA[[#This Row],[QT_AREA_EST]]</f>
        <v>2.5499999999999998</v>
      </c>
      <c r="Y665" s="1">
        <f>IF(ESTIMATIVA[[#This Row],[QT_AREA_REST1]]&gt;0,ESTIMATIVA[[#This Row],[QT_AREA_REST1]],
  IF(ESTIMATIVA[[#This Row],[QT_AREA_REAL]]&gt;0,ESTIMATIVA[[#This Row],[QT_AREA_REAL]],ESTIMATIVA[[#This Row],[QT_AREA_EST]]))</f>
        <v>2.5499999999999998</v>
      </c>
      <c r="Z66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2.5499999999999998</v>
      </c>
      <c r="AA665" s="1">
        <f>ESTIMATIVA[[#This Row],[QT_CANA_EST]]</f>
        <v>153</v>
      </c>
      <c r="AB665" s="1">
        <f>IF(ESTIMATIVA[[#This Row],[QT_CANA_REST1]]&gt;0,ESTIMATIVA[[#This Row],[QT_CANA_REST1]],
  IF(ESTIMATIVA[[#This Row],[QT_CANA_REAL]]&gt;0,ESTIMATIVA[[#This Row],[QT_CANA_REAL]],ESTIMATIVA[[#This Row],[QT_CANA_EST]]))</f>
        <v>210.54</v>
      </c>
      <c r="AC66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210.54</v>
      </c>
      <c r="AD665" s="1">
        <f>IF(ESTIMATIVA[[#This Row],[QT_AREA_REAL]]&gt;0,ESTIMATIVA[[#This Row],[QT_CANA_REAL]],ESTIMATIVA[[#This Row],[QT_CANA_EST]])</f>
        <v>210.54</v>
      </c>
      <c r="AE665" s="1">
        <f>IF(ESTIMATIVA[[#This Row],[QT_AREA_REAL]]&gt;0,ESTIMATIVA[[#This Row],[QT_CANA_REAL]],ESTIMATIVA[[#This Row],[QT_CANA_REST1]])</f>
        <v>210.54</v>
      </c>
      <c r="AF665" s="1">
        <f>IF(ESTIMATIVA[[#This Row],[QT_AREA_REAL]]&gt;0,ESTIMATIVA[[#This Row],[QT_CANA_REAL]],ESTIMATIVA[[#This Row],[QT_CANA_REST2]])</f>
        <v>210.54</v>
      </c>
      <c r="AG665" s="1" t="str">
        <f>IF(COUNTIFS(GEADA!A:A,VALUE(ESTIMATIVA[[#This Row],[CD_UPNIVEL1]]&amp;TEXT(ESTIMATIVA[[#This Row],[CD_UPNIVEL3]],"0000")))&gt;0,"S","N")</f>
        <v>N</v>
      </c>
      <c r="AH66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65" s="55" t="str">
        <f>IF(ESTIMATIVA[[#This Row],[TP_CULTIVO]]="Irrigado",_xlfn.MAXIFS(IRRIGADO!J:J,IRRIGADO!C:C,ESTIMATIVA[[#This Row],[CD_UPNIVEL1]],IRRIGADO!E:E,ESTIMATIVA[[#This Row],[CD_UPNIVEL3]]),"")</f>
        <v/>
      </c>
      <c r="AJ66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65" s="1">
        <f>COUNTIFS(Apresentação!$E$23:$E$29,ESTIMATIVA[[#This Row],[CD_UPNIVEL1]])</f>
        <v>0</v>
      </c>
    </row>
    <row r="666" spans="1:37" x14ac:dyDescent="0.3">
      <c r="A666">
        <v>20343</v>
      </c>
      <c r="B666" t="s">
        <v>35</v>
      </c>
      <c r="C666">
        <v>2</v>
      </c>
      <c r="D666">
        <v>5</v>
      </c>
      <c r="E666" t="s">
        <v>268</v>
      </c>
      <c r="F666" s="85" t="s">
        <v>331</v>
      </c>
      <c r="G666"/>
      <c r="H666" t="s">
        <v>294</v>
      </c>
      <c r="I666" t="s">
        <v>221</v>
      </c>
      <c r="J666" t="s">
        <v>176</v>
      </c>
      <c r="K666" s="1">
        <v>2.36</v>
      </c>
      <c r="L666" s="1">
        <v>0</v>
      </c>
      <c r="M666" s="1">
        <v>0</v>
      </c>
      <c r="N666" s="1">
        <v>2.36</v>
      </c>
      <c r="O666" s="1">
        <v>141.6</v>
      </c>
      <c r="P666" s="1">
        <v>0</v>
      </c>
      <c r="Q666" s="1">
        <v>0</v>
      </c>
      <c r="R666" s="1">
        <v>195.39</v>
      </c>
      <c r="S666" t="s">
        <v>12</v>
      </c>
      <c r="T666" s="13">
        <v>45816</v>
      </c>
      <c r="U666" s="1" t="str">
        <f>IF(ESTIMATIVA[[#This Row],[QT_AREA_REAL]]&gt;0,"1- Colhido","2- à Colher")</f>
        <v>1- Colhido</v>
      </c>
      <c r="V666" s="1" t="str">
        <f>IF(ESTIMATIVA[[#This Row],[QT_AREA_REST1]]&gt;0,"Reestimativa 1",IF(ESTIMATIVA[[#This Row],[QT_AREA_REAL]]=0,"Reestimativa 1","Realizado"))</f>
        <v>Realizado</v>
      </c>
      <c r="W666" s="1" t="str">
        <f>IF(ESTIMATIVA[[#This Row],[QT_AREA_REST2]]&gt;0,"Reestimativa 2",IF(ESTIMATIVA[[#This Row],[QT_AREA_REAL]]=0,"Reestimativa 2","Realizado"))</f>
        <v>Realizado</v>
      </c>
      <c r="X666" s="1">
        <f>ESTIMATIVA[[#This Row],[QT_AREA_EST]]</f>
        <v>2.36</v>
      </c>
      <c r="Y666" s="1">
        <f>IF(ESTIMATIVA[[#This Row],[QT_AREA_REST1]]&gt;0,ESTIMATIVA[[#This Row],[QT_AREA_REST1]],
  IF(ESTIMATIVA[[#This Row],[QT_AREA_REAL]]&gt;0,ESTIMATIVA[[#This Row],[QT_AREA_REAL]],ESTIMATIVA[[#This Row],[QT_AREA_EST]]))</f>
        <v>2.36</v>
      </c>
      <c r="Z66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2.36</v>
      </c>
      <c r="AA666" s="1">
        <f>ESTIMATIVA[[#This Row],[QT_CANA_EST]]</f>
        <v>141.6</v>
      </c>
      <c r="AB666" s="1">
        <f>IF(ESTIMATIVA[[#This Row],[QT_CANA_REST1]]&gt;0,ESTIMATIVA[[#This Row],[QT_CANA_REST1]],
  IF(ESTIMATIVA[[#This Row],[QT_CANA_REAL]]&gt;0,ESTIMATIVA[[#This Row],[QT_CANA_REAL]],ESTIMATIVA[[#This Row],[QT_CANA_EST]]))</f>
        <v>195.39</v>
      </c>
      <c r="AC66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195.39</v>
      </c>
      <c r="AD666" s="1">
        <f>IF(ESTIMATIVA[[#This Row],[QT_AREA_REAL]]&gt;0,ESTIMATIVA[[#This Row],[QT_CANA_REAL]],ESTIMATIVA[[#This Row],[QT_CANA_EST]])</f>
        <v>195.39</v>
      </c>
      <c r="AE666" s="1">
        <f>IF(ESTIMATIVA[[#This Row],[QT_AREA_REAL]]&gt;0,ESTIMATIVA[[#This Row],[QT_CANA_REAL]],ESTIMATIVA[[#This Row],[QT_CANA_REST1]])</f>
        <v>195.39</v>
      </c>
      <c r="AF666" s="1">
        <f>IF(ESTIMATIVA[[#This Row],[QT_AREA_REAL]]&gt;0,ESTIMATIVA[[#This Row],[QT_CANA_REAL]],ESTIMATIVA[[#This Row],[QT_CANA_REST2]])</f>
        <v>195.39</v>
      </c>
      <c r="AG666" s="1" t="str">
        <f>IF(COUNTIFS(GEADA!A:A,VALUE(ESTIMATIVA[[#This Row],[CD_UPNIVEL1]]&amp;TEXT(ESTIMATIVA[[#This Row],[CD_UPNIVEL3]],"0000")))&gt;0,"S","N")</f>
        <v>N</v>
      </c>
      <c r="AH66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66" s="55" t="str">
        <f>IF(ESTIMATIVA[[#This Row],[TP_CULTIVO]]="Irrigado",_xlfn.MAXIFS(IRRIGADO!J:J,IRRIGADO!C:C,ESTIMATIVA[[#This Row],[CD_UPNIVEL1]],IRRIGADO!E:E,ESTIMATIVA[[#This Row],[CD_UPNIVEL3]]),"")</f>
        <v/>
      </c>
      <c r="AJ66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66" s="1">
        <f>COUNTIFS(Apresentação!$E$23:$E$29,ESTIMATIVA[[#This Row],[CD_UPNIVEL1]])</f>
        <v>0</v>
      </c>
    </row>
    <row r="667" spans="1:37" x14ac:dyDescent="0.3">
      <c r="A667">
        <v>20343</v>
      </c>
      <c r="B667" t="s">
        <v>35</v>
      </c>
      <c r="C667">
        <v>3</v>
      </c>
      <c r="D667">
        <v>5</v>
      </c>
      <c r="E667" t="s">
        <v>268</v>
      </c>
      <c r="F667" s="85" t="s">
        <v>331</v>
      </c>
      <c r="G667"/>
      <c r="H667" t="s">
        <v>294</v>
      </c>
      <c r="I667" t="s">
        <v>221</v>
      </c>
      <c r="J667" t="s">
        <v>176</v>
      </c>
      <c r="K667" s="1">
        <v>3.55</v>
      </c>
      <c r="L667" s="1">
        <v>0</v>
      </c>
      <c r="M667" s="1">
        <v>0</v>
      </c>
      <c r="N667" s="1">
        <v>3.55</v>
      </c>
      <c r="O667" s="1">
        <v>213</v>
      </c>
      <c r="P667" s="1">
        <v>0</v>
      </c>
      <c r="Q667" s="1">
        <v>0</v>
      </c>
      <c r="R667" s="1">
        <v>293.10000000000002</v>
      </c>
      <c r="S667" t="s">
        <v>12</v>
      </c>
      <c r="T667" s="13">
        <v>45816</v>
      </c>
      <c r="U667" s="1" t="str">
        <f>IF(ESTIMATIVA[[#This Row],[QT_AREA_REAL]]&gt;0,"1- Colhido","2- à Colher")</f>
        <v>1- Colhido</v>
      </c>
      <c r="V667" s="1" t="str">
        <f>IF(ESTIMATIVA[[#This Row],[QT_AREA_REST1]]&gt;0,"Reestimativa 1",IF(ESTIMATIVA[[#This Row],[QT_AREA_REAL]]=0,"Reestimativa 1","Realizado"))</f>
        <v>Realizado</v>
      </c>
      <c r="W667" s="1" t="str">
        <f>IF(ESTIMATIVA[[#This Row],[QT_AREA_REST2]]&gt;0,"Reestimativa 2",IF(ESTIMATIVA[[#This Row],[QT_AREA_REAL]]=0,"Reestimativa 2","Realizado"))</f>
        <v>Realizado</v>
      </c>
      <c r="X667" s="1">
        <f>ESTIMATIVA[[#This Row],[QT_AREA_EST]]</f>
        <v>3.55</v>
      </c>
      <c r="Y667" s="1">
        <f>IF(ESTIMATIVA[[#This Row],[QT_AREA_REST1]]&gt;0,ESTIMATIVA[[#This Row],[QT_AREA_REST1]],
  IF(ESTIMATIVA[[#This Row],[QT_AREA_REAL]]&gt;0,ESTIMATIVA[[#This Row],[QT_AREA_REAL]],ESTIMATIVA[[#This Row],[QT_AREA_EST]]))</f>
        <v>3.55</v>
      </c>
      <c r="Z66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3.55</v>
      </c>
      <c r="AA667" s="1">
        <f>ESTIMATIVA[[#This Row],[QT_CANA_EST]]</f>
        <v>213</v>
      </c>
      <c r="AB667" s="1">
        <f>IF(ESTIMATIVA[[#This Row],[QT_CANA_REST1]]&gt;0,ESTIMATIVA[[#This Row],[QT_CANA_REST1]],
  IF(ESTIMATIVA[[#This Row],[QT_CANA_REAL]]&gt;0,ESTIMATIVA[[#This Row],[QT_CANA_REAL]],ESTIMATIVA[[#This Row],[QT_CANA_EST]]))</f>
        <v>293.10000000000002</v>
      </c>
      <c r="AC66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293.10000000000002</v>
      </c>
      <c r="AD667" s="1">
        <f>IF(ESTIMATIVA[[#This Row],[QT_AREA_REAL]]&gt;0,ESTIMATIVA[[#This Row],[QT_CANA_REAL]],ESTIMATIVA[[#This Row],[QT_CANA_EST]])</f>
        <v>293.10000000000002</v>
      </c>
      <c r="AE667" s="1">
        <f>IF(ESTIMATIVA[[#This Row],[QT_AREA_REAL]]&gt;0,ESTIMATIVA[[#This Row],[QT_CANA_REAL]],ESTIMATIVA[[#This Row],[QT_CANA_REST1]])</f>
        <v>293.10000000000002</v>
      </c>
      <c r="AF667" s="1">
        <f>IF(ESTIMATIVA[[#This Row],[QT_AREA_REAL]]&gt;0,ESTIMATIVA[[#This Row],[QT_CANA_REAL]],ESTIMATIVA[[#This Row],[QT_CANA_REST2]])</f>
        <v>293.10000000000002</v>
      </c>
      <c r="AG667" s="1" t="str">
        <f>IF(COUNTIFS(GEADA!A:A,VALUE(ESTIMATIVA[[#This Row],[CD_UPNIVEL1]]&amp;TEXT(ESTIMATIVA[[#This Row],[CD_UPNIVEL3]],"0000")))&gt;0,"S","N")</f>
        <v>N</v>
      </c>
      <c r="AH66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67" s="55" t="str">
        <f>IF(ESTIMATIVA[[#This Row],[TP_CULTIVO]]="Irrigado",_xlfn.MAXIFS(IRRIGADO!J:J,IRRIGADO!C:C,ESTIMATIVA[[#This Row],[CD_UPNIVEL1]],IRRIGADO!E:E,ESTIMATIVA[[#This Row],[CD_UPNIVEL3]]),"")</f>
        <v/>
      </c>
      <c r="AJ66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67" s="1">
        <f>COUNTIFS(Apresentação!$E$23:$E$29,ESTIMATIVA[[#This Row],[CD_UPNIVEL1]])</f>
        <v>0</v>
      </c>
    </row>
    <row r="668" spans="1:37" x14ac:dyDescent="0.3">
      <c r="A668">
        <v>20343</v>
      </c>
      <c r="B668" t="s">
        <v>35</v>
      </c>
      <c r="C668">
        <v>4</v>
      </c>
      <c r="D668">
        <v>5</v>
      </c>
      <c r="E668" t="s">
        <v>268</v>
      </c>
      <c r="F668" s="85" t="s">
        <v>332</v>
      </c>
      <c r="G668"/>
      <c r="H668" t="s">
        <v>294</v>
      </c>
      <c r="I668" t="s">
        <v>221</v>
      </c>
      <c r="J668" t="s">
        <v>176</v>
      </c>
      <c r="K668" s="1">
        <v>2.5099999999999998</v>
      </c>
      <c r="L668" s="1">
        <v>0</v>
      </c>
      <c r="M668" s="1">
        <v>0</v>
      </c>
      <c r="N668" s="1">
        <v>2.5099999999999998</v>
      </c>
      <c r="O668" s="1">
        <v>150.6</v>
      </c>
      <c r="P668" s="1">
        <v>0</v>
      </c>
      <c r="Q668" s="1">
        <v>0</v>
      </c>
      <c r="R668" s="1">
        <v>207.78</v>
      </c>
      <c r="S668" t="s">
        <v>12</v>
      </c>
      <c r="T668" s="13">
        <v>45816</v>
      </c>
      <c r="U668" s="1" t="str">
        <f>IF(ESTIMATIVA[[#This Row],[QT_AREA_REAL]]&gt;0,"1- Colhido","2- à Colher")</f>
        <v>1- Colhido</v>
      </c>
      <c r="V668" s="1" t="str">
        <f>IF(ESTIMATIVA[[#This Row],[QT_AREA_REST1]]&gt;0,"Reestimativa 1",IF(ESTIMATIVA[[#This Row],[QT_AREA_REAL]]=0,"Reestimativa 1","Realizado"))</f>
        <v>Realizado</v>
      </c>
      <c r="W668" s="1" t="str">
        <f>IF(ESTIMATIVA[[#This Row],[QT_AREA_REST2]]&gt;0,"Reestimativa 2",IF(ESTIMATIVA[[#This Row],[QT_AREA_REAL]]=0,"Reestimativa 2","Realizado"))</f>
        <v>Realizado</v>
      </c>
      <c r="X668" s="1">
        <f>ESTIMATIVA[[#This Row],[QT_AREA_EST]]</f>
        <v>2.5099999999999998</v>
      </c>
      <c r="Y668" s="1">
        <f>IF(ESTIMATIVA[[#This Row],[QT_AREA_REST1]]&gt;0,ESTIMATIVA[[#This Row],[QT_AREA_REST1]],
  IF(ESTIMATIVA[[#This Row],[QT_AREA_REAL]]&gt;0,ESTIMATIVA[[#This Row],[QT_AREA_REAL]],ESTIMATIVA[[#This Row],[QT_AREA_EST]]))</f>
        <v>2.5099999999999998</v>
      </c>
      <c r="Z66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2.5099999999999998</v>
      </c>
      <c r="AA668" s="1">
        <f>ESTIMATIVA[[#This Row],[QT_CANA_EST]]</f>
        <v>150.6</v>
      </c>
      <c r="AB668" s="1">
        <f>IF(ESTIMATIVA[[#This Row],[QT_CANA_REST1]]&gt;0,ESTIMATIVA[[#This Row],[QT_CANA_REST1]],
  IF(ESTIMATIVA[[#This Row],[QT_CANA_REAL]]&gt;0,ESTIMATIVA[[#This Row],[QT_CANA_REAL]],ESTIMATIVA[[#This Row],[QT_CANA_EST]]))</f>
        <v>207.78</v>
      </c>
      <c r="AC66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207.78</v>
      </c>
      <c r="AD668" s="1">
        <f>IF(ESTIMATIVA[[#This Row],[QT_AREA_REAL]]&gt;0,ESTIMATIVA[[#This Row],[QT_CANA_REAL]],ESTIMATIVA[[#This Row],[QT_CANA_EST]])</f>
        <v>207.78</v>
      </c>
      <c r="AE668" s="1">
        <f>IF(ESTIMATIVA[[#This Row],[QT_AREA_REAL]]&gt;0,ESTIMATIVA[[#This Row],[QT_CANA_REAL]],ESTIMATIVA[[#This Row],[QT_CANA_REST1]])</f>
        <v>207.78</v>
      </c>
      <c r="AF668" s="1">
        <f>IF(ESTIMATIVA[[#This Row],[QT_AREA_REAL]]&gt;0,ESTIMATIVA[[#This Row],[QT_CANA_REAL]],ESTIMATIVA[[#This Row],[QT_CANA_REST2]])</f>
        <v>207.78</v>
      </c>
      <c r="AG668" s="1" t="str">
        <f>IF(COUNTIFS(GEADA!A:A,VALUE(ESTIMATIVA[[#This Row],[CD_UPNIVEL1]]&amp;TEXT(ESTIMATIVA[[#This Row],[CD_UPNIVEL3]],"0000")))&gt;0,"S","N")</f>
        <v>N</v>
      </c>
      <c r="AH66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68" s="55" t="str">
        <f>IF(ESTIMATIVA[[#This Row],[TP_CULTIVO]]="Irrigado",_xlfn.MAXIFS(IRRIGADO!J:J,IRRIGADO!C:C,ESTIMATIVA[[#This Row],[CD_UPNIVEL1]],IRRIGADO!E:E,ESTIMATIVA[[#This Row],[CD_UPNIVEL3]]),"")</f>
        <v/>
      </c>
      <c r="AJ66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68" s="1">
        <f>COUNTIFS(Apresentação!$E$23:$E$29,ESTIMATIVA[[#This Row],[CD_UPNIVEL1]])</f>
        <v>0</v>
      </c>
    </row>
    <row r="669" spans="1:37" x14ac:dyDescent="0.3">
      <c r="A669">
        <v>20343</v>
      </c>
      <c r="B669" t="s">
        <v>35</v>
      </c>
      <c r="C669">
        <v>5</v>
      </c>
      <c r="D669">
        <v>5</v>
      </c>
      <c r="E669" t="s">
        <v>268</v>
      </c>
      <c r="F669" s="85" t="s">
        <v>332</v>
      </c>
      <c r="G669"/>
      <c r="H669" t="s">
        <v>294</v>
      </c>
      <c r="I669" t="s">
        <v>221</v>
      </c>
      <c r="J669" t="s">
        <v>176</v>
      </c>
      <c r="K669" s="1">
        <v>2.4300000000000002</v>
      </c>
      <c r="L669" s="1">
        <v>0</v>
      </c>
      <c r="M669" s="1">
        <v>0</v>
      </c>
      <c r="N669" s="1">
        <v>2.4300000000000002</v>
      </c>
      <c r="O669" s="1">
        <v>145.80000000000001</v>
      </c>
      <c r="P669" s="1">
        <v>0</v>
      </c>
      <c r="Q669" s="1">
        <v>0</v>
      </c>
      <c r="R669" s="1">
        <v>200.9</v>
      </c>
      <c r="S669" t="s">
        <v>12</v>
      </c>
      <c r="T669" s="13">
        <v>45816</v>
      </c>
      <c r="U669" s="1" t="str">
        <f>IF(ESTIMATIVA[[#This Row],[QT_AREA_REAL]]&gt;0,"1- Colhido","2- à Colher")</f>
        <v>1- Colhido</v>
      </c>
      <c r="V669" s="1" t="str">
        <f>IF(ESTIMATIVA[[#This Row],[QT_AREA_REST1]]&gt;0,"Reestimativa 1",IF(ESTIMATIVA[[#This Row],[QT_AREA_REAL]]=0,"Reestimativa 1","Realizado"))</f>
        <v>Realizado</v>
      </c>
      <c r="W669" s="1" t="str">
        <f>IF(ESTIMATIVA[[#This Row],[QT_AREA_REST2]]&gt;0,"Reestimativa 2",IF(ESTIMATIVA[[#This Row],[QT_AREA_REAL]]=0,"Reestimativa 2","Realizado"))</f>
        <v>Realizado</v>
      </c>
      <c r="X669" s="1">
        <f>ESTIMATIVA[[#This Row],[QT_AREA_EST]]</f>
        <v>2.4300000000000002</v>
      </c>
      <c r="Y669" s="1">
        <f>IF(ESTIMATIVA[[#This Row],[QT_AREA_REST1]]&gt;0,ESTIMATIVA[[#This Row],[QT_AREA_REST1]],
  IF(ESTIMATIVA[[#This Row],[QT_AREA_REAL]]&gt;0,ESTIMATIVA[[#This Row],[QT_AREA_REAL]],ESTIMATIVA[[#This Row],[QT_AREA_EST]]))</f>
        <v>2.4300000000000002</v>
      </c>
      <c r="Z66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2.4300000000000002</v>
      </c>
      <c r="AA669" s="1">
        <f>ESTIMATIVA[[#This Row],[QT_CANA_EST]]</f>
        <v>145.80000000000001</v>
      </c>
      <c r="AB669" s="1">
        <f>IF(ESTIMATIVA[[#This Row],[QT_CANA_REST1]]&gt;0,ESTIMATIVA[[#This Row],[QT_CANA_REST1]],
  IF(ESTIMATIVA[[#This Row],[QT_CANA_REAL]]&gt;0,ESTIMATIVA[[#This Row],[QT_CANA_REAL]],ESTIMATIVA[[#This Row],[QT_CANA_EST]]))</f>
        <v>200.9</v>
      </c>
      <c r="AC66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200.9</v>
      </c>
      <c r="AD669" s="1">
        <f>IF(ESTIMATIVA[[#This Row],[QT_AREA_REAL]]&gt;0,ESTIMATIVA[[#This Row],[QT_CANA_REAL]],ESTIMATIVA[[#This Row],[QT_CANA_EST]])</f>
        <v>200.9</v>
      </c>
      <c r="AE669" s="1">
        <f>IF(ESTIMATIVA[[#This Row],[QT_AREA_REAL]]&gt;0,ESTIMATIVA[[#This Row],[QT_CANA_REAL]],ESTIMATIVA[[#This Row],[QT_CANA_REST1]])</f>
        <v>200.9</v>
      </c>
      <c r="AF669" s="1">
        <f>IF(ESTIMATIVA[[#This Row],[QT_AREA_REAL]]&gt;0,ESTIMATIVA[[#This Row],[QT_CANA_REAL]],ESTIMATIVA[[#This Row],[QT_CANA_REST2]])</f>
        <v>200.9</v>
      </c>
      <c r="AG669" s="1" t="str">
        <f>IF(COUNTIFS(GEADA!A:A,VALUE(ESTIMATIVA[[#This Row],[CD_UPNIVEL1]]&amp;TEXT(ESTIMATIVA[[#This Row],[CD_UPNIVEL3]],"0000")))&gt;0,"S","N")</f>
        <v>N</v>
      </c>
      <c r="AH66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69" s="55" t="str">
        <f>IF(ESTIMATIVA[[#This Row],[TP_CULTIVO]]="Irrigado",_xlfn.MAXIFS(IRRIGADO!J:J,IRRIGADO!C:C,ESTIMATIVA[[#This Row],[CD_UPNIVEL1]],IRRIGADO!E:E,ESTIMATIVA[[#This Row],[CD_UPNIVEL3]]),"")</f>
        <v/>
      </c>
      <c r="AJ66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69" s="1">
        <f>COUNTIFS(Apresentação!$E$23:$E$29,ESTIMATIVA[[#This Row],[CD_UPNIVEL1]])</f>
        <v>0</v>
      </c>
    </row>
    <row r="670" spans="1:37" x14ac:dyDescent="0.3">
      <c r="A670">
        <v>20343</v>
      </c>
      <c r="B670" t="s">
        <v>35</v>
      </c>
      <c r="C670">
        <v>6</v>
      </c>
      <c r="D670">
        <v>5</v>
      </c>
      <c r="E670" t="s">
        <v>268</v>
      </c>
      <c r="F670" s="85" t="s">
        <v>332</v>
      </c>
      <c r="G670"/>
      <c r="H670" t="s">
        <v>294</v>
      </c>
      <c r="I670" t="s">
        <v>221</v>
      </c>
      <c r="J670" t="s">
        <v>176</v>
      </c>
      <c r="K670" s="1">
        <v>2.96</v>
      </c>
      <c r="L670" s="1">
        <v>0</v>
      </c>
      <c r="M670" s="1">
        <v>0</v>
      </c>
      <c r="N670" s="1">
        <v>2.96</v>
      </c>
      <c r="O670" s="1">
        <v>177.6</v>
      </c>
      <c r="P670" s="1">
        <v>0</v>
      </c>
      <c r="Q670" s="1">
        <v>0</v>
      </c>
      <c r="R670" s="1">
        <v>244.94</v>
      </c>
      <c r="S670" t="s">
        <v>12</v>
      </c>
      <c r="T670" s="13">
        <v>45816</v>
      </c>
      <c r="U670" s="1" t="str">
        <f>IF(ESTIMATIVA[[#This Row],[QT_AREA_REAL]]&gt;0,"1- Colhido","2- à Colher")</f>
        <v>1- Colhido</v>
      </c>
      <c r="V670" s="1" t="str">
        <f>IF(ESTIMATIVA[[#This Row],[QT_AREA_REST1]]&gt;0,"Reestimativa 1",IF(ESTIMATIVA[[#This Row],[QT_AREA_REAL]]=0,"Reestimativa 1","Realizado"))</f>
        <v>Realizado</v>
      </c>
      <c r="W670" s="1" t="str">
        <f>IF(ESTIMATIVA[[#This Row],[QT_AREA_REST2]]&gt;0,"Reestimativa 2",IF(ESTIMATIVA[[#This Row],[QT_AREA_REAL]]=0,"Reestimativa 2","Realizado"))</f>
        <v>Realizado</v>
      </c>
      <c r="X670" s="1">
        <f>ESTIMATIVA[[#This Row],[QT_AREA_EST]]</f>
        <v>2.96</v>
      </c>
      <c r="Y670" s="1">
        <f>IF(ESTIMATIVA[[#This Row],[QT_AREA_REST1]]&gt;0,ESTIMATIVA[[#This Row],[QT_AREA_REST1]],
  IF(ESTIMATIVA[[#This Row],[QT_AREA_REAL]]&gt;0,ESTIMATIVA[[#This Row],[QT_AREA_REAL]],ESTIMATIVA[[#This Row],[QT_AREA_EST]]))</f>
        <v>2.96</v>
      </c>
      <c r="Z67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2.96</v>
      </c>
      <c r="AA670" s="1">
        <f>ESTIMATIVA[[#This Row],[QT_CANA_EST]]</f>
        <v>177.6</v>
      </c>
      <c r="AB670" s="1">
        <f>IF(ESTIMATIVA[[#This Row],[QT_CANA_REST1]]&gt;0,ESTIMATIVA[[#This Row],[QT_CANA_REST1]],
  IF(ESTIMATIVA[[#This Row],[QT_CANA_REAL]]&gt;0,ESTIMATIVA[[#This Row],[QT_CANA_REAL]],ESTIMATIVA[[#This Row],[QT_CANA_EST]]))</f>
        <v>244.94</v>
      </c>
      <c r="AC67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244.94</v>
      </c>
      <c r="AD670" s="1">
        <f>IF(ESTIMATIVA[[#This Row],[QT_AREA_REAL]]&gt;0,ESTIMATIVA[[#This Row],[QT_CANA_REAL]],ESTIMATIVA[[#This Row],[QT_CANA_EST]])</f>
        <v>244.94</v>
      </c>
      <c r="AE670" s="1">
        <f>IF(ESTIMATIVA[[#This Row],[QT_AREA_REAL]]&gt;0,ESTIMATIVA[[#This Row],[QT_CANA_REAL]],ESTIMATIVA[[#This Row],[QT_CANA_REST1]])</f>
        <v>244.94</v>
      </c>
      <c r="AF670" s="1">
        <f>IF(ESTIMATIVA[[#This Row],[QT_AREA_REAL]]&gt;0,ESTIMATIVA[[#This Row],[QT_CANA_REAL]],ESTIMATIVA[[#This Row],[QT_CANA_REST2]])</f>
        <v>244.94</v>
      </c>
      <c r="AG670" s="1" t="str">
        <f>IF(COUNTIFS(GEADA!A:A,VALUE(ESTIMATIVA[[#This Row],[CD_UPNIVEL1]]&amp;TEXT(ESTIMATIVA[[#This Row],[CD_UPNIVEL3]],"0000")))&gt;0,"S","N")</f>
        <v>N</v>
      </c>
      <c r="AH67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70" s="55" t="str">
        <f>IF(ESTIMATIVA[[#This Row],[TP_CULTIVO]]="Irrigado",_xlfn.MAXIFS(IRRIGADO!J:J,IRRIGADO!C:C,ESTIMATIVA[[#This Row],[CD_UPNIVEL1]],IRRIGADO!E:E,ESTIMATIVA[[#This Row],[CD_UPNIVEL3]]),"")</f>
        <v/>
      </c>
      <c r="AJ67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70" s="1">
        <f>COUNTIFS(Apresentação!$E$23:$E$29,ESTIMATIVA[[#This Row],[CD_UPNIVEL1]])</f>
        <v>0</v>
      </c>
    </row>
    <row r="671" spans="1:37" x14ac:dyDescent="0.3">
      <c r="A671">
        <v>20343</v>
      </c>
      <c r="B671" t="s">
        <v>35</v>
      </c>
      <c r="C671">
        <v>7</v>
      </c>
      <c r="D671">
        <v>5</v>
      </c>
      <c r="E671" t="s">
        <v>268</v>
      </c>
      <c r="F671" s="85" t="s">
        <v>332</v>
      </c>
      <c r="G671"/>
      <c r="H671" t="s">
        <v>294</v>
      </c>
      <c r="I671" t="s">
        <v>221</v>
      </c>
      <c r="J671" t="s">
        <v>176</v>
      </c>
      <c r="K671" s="1">
        <v>1.63</v>
      </c>
      <c r="L671" s="1">
        <v>0</v>
      </c>
      <c r="M671" s="1">
        <v>0</v>
      </c>
      <c r="N671" s="1">
        <v>1.63</v>
      </c>
      <c r="O671" s="1">
        <v>97.8</v>
      </c>
      <c r="P671" s="1">
        <v>0</v>
      </c>
      <c r="Q671" s="1">
        <v>0</v>
      </c>
      <c r="R671" s="1">
        <v>135.01</v>
      </c>
      <c r="S671" t="s">
        <v>12</v>
      </c>
      <c r="T671" s="13">
        <v>45816</v>
      </c>
      <c r="U671" s="1" t="str">
        <f>IF(ESTIMATIVA[[#This Row],[QT_AREA_REAL]]&gt;0,"1- Colhido","2- à Colher")</f>
        <v>1- Colhido</v>
      </c>
      <c r="V671" s="1" t="str">
        <f>IF(ESTIMATIVA[[#This Row],[QT_AREA_REST1]]&gt;0,"Reestimativa 1",IF(ESTIMATIVA[[#This Row],[QT_AREA_REAL]]=0,"Reestimativa 1","Realizado"))</f>
        <v>Realizado</v>
      </c>
      <c r="W671" s="1" t="str">
        <f>IF(ESTIMATIVA[[#This Row],[QT_AREA_REST2]]&gt;0,"Reestimativa 2",IF(ESTIMATIVA[[#This Row],[QT_AREA_REAL]]=0,"Reestimativa 2","Realizado"))</f>
        <v>Realizado</v>
      </c>
      <c r="X671" s="1">
        <f>ESTIMATIVA[[#This Row],[QT_AREA_EST]]</f>
        <v>1.63</v>
      </c>
      <c r="Y671" s="1">
        <f>IF(ESTIMATIVA[[#This Row],[QT_AREA_REST1]]&gt;0,ESTIMATIVA[[#This Row],[QT_AREA_REST1]],
  IF(ESTIMATIVA[[#This Row],[QT_AREA_REAL]]&gt;0,ESTIMATIVA[[#This Row],[QT_AREA_REAL]],ESTIMATIVA[[#This Row],[QT_AREA_EST]]))</f>
        <v>1.63</v>
      </c>
      <c r="Z67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1.63</v>
      </c>
      <c r="AA671" s="1">
        <f>ESTIMATIVA[[#This Row],[QT_CANA_EST]]</f>
        <v>97.8</v>
      </c>
      <c r="AB671" s="1">
        <f>IF(ESTIMATIVA[[#This Row],[QT_CANA_REST1]]&gt;0,ESTIMATIVA[[#This Row],[QT_CANA_REST1]],
  IF(ESTIMATIVA[[#This Row],[QT_CANA_REAL]]&gt;0,ESTIMATIVA[[#This Row],[QT_CANA_REAL]],ESTIMATIVA[[#This Row],[QT_CANA_EST]]))</f>
        <v>135.01</v>
      </c>
      <c r="AC67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135.01</v>
      </c>
      <c r="AD671" s="1">
        <f>IF(ESTIMATIVA[[#This Row],[QT_AREA_REAL]]&gt;0,ESTIMATIVA[[#This Row],[QT_CANA_REAL]],ESTIMATIVA[[#This Row],[QT_CANA_EST]])</f>
        <v>135.01</v>
      </c>
      <c r="AE671" s="1">
        <f>IF(ESTIMATIVA[[#This Row],[QT_AREA_REAL]]&gt;0,ESTIMATIVA[[#This Row],[QT_CANA_REAL]],ESTIMATIVA[[#This Row],[QT_CANA_REST1]])</f>
        <v>135.01</v>
      </c>
      <c r="AF671" s="1">
        <f>IF(ESTIMATIVA[[#This Row],[QT_AREA_REAL]]&gt;0,ESTIMATIVA[[#This Row],[QT_CANA_REAL]],ESTIMATIVA[[#This Row],[QT_CANA_REST2]])</f>
        <v>135.01</v>
      </c>
      <c r="AG671" s="1" t="str">
        <f>IF(COUNTIFS(GEADA!A:A,VALUE(ESTIMATIVA[[#This Row],[CD_UPNIVEL1]]&amp;TEXT(ESTIMATIVA[[#This Row],[CD_UPNIVEL3]],"0000")))&gt;0,"S","N")</f>
        <v>N</v>
      </c>
      <c r="AH67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71" s="55" t="str">
        <f>IF(ESTIMATIVA[[#This Row],[TP_CULTIVO]]="Irrigado",_xlfn.MAXIFS(IRRIGADO!J:J,IRRIGADO!C:C,ESTIMATIVA[[#This Row],[CD_UPNIVEL1]],IRRIGADO!E:E,ESTIMATIVA[[#This Row],[CD_UPNIVEL3]]),"")</f>
        <v/>
      </c>
      <c r="AJ67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71" s="1">
        <f>COUNTIFS(Apresentação!$E$23:$E$29,ESTIMATIVA[[#This Row],[CD_UPNIVEL1]])</f>
        <v>0</v>
      </c>
    </row>
    <row r="672" spans="1:37" x14ac:dyDescent="0.3">
      <c r="A672">
        <v>20344</v>
      </c>
      <c r="B672" t="s">
        <v>36</v>
      </c>
      <c r="C672">
        <v>15</v>
      </c>
      <c r="D672">
        <v>5</v>
      </c>
      <c r="E672" t="s">
        <v>268</v>
      </c>
      <c r="F672" s="85" t="s">
        <v>331</v>
      </c>
      <c r="G672"/>
      <c r="H672" t="s">
        <v>294</v>
      </c>
      <c r="I672" t="s">
        <v>202</v>
      </c>
      <c r="J672" t="s">
        <v>176</v>
      </c>
      <c r="K672" s="1">
        <v>51.78</v>
      </c>
      <c r="L672" s="1">
        <v>51.78</v>
      </c>
      <c r="M672" s="1">
        <v>51.78</v>
      </c>
      <c r="N672" s="1">
        <v>51.78</v>
      </c>
      <c r="O672" s="1">
        <v>1967.64</v>
      </c>
      <c r="P672" s="1">
        <v>2071.1999999999998</v>
      </c>
      <c r="Q672" s="1">
        <v>2071.1999999999998</v>
      </c>
      <c r="R672" s="1">
        <v>2156.1999999999998</v>
      </c>
      <c r="S672" t="s">
        <v>12</v>
      </c>
      <c r="T672" s="13">
        <v>45977</v>
      </c>
      <c r="U672" s="1" t="str">
        <f>IF(ESTIMATIVA[[#This Row],[QT_AREA_REAL]]&gt;0,"1- Colhido","2- à Colher")</f>
        <v>1- Colhido</v>
      </c>
      <c r="V672" s="1" t="str">
        <f>IF(ESTIMATIVA[[#This Row],[QT_AREA_REST1]]&gt;0,"Reestimativa 1",IF(ESTIMATIVA[[#This Row],[QT_AREA_REAL]]=0,"Reestimativa 1","Realizado"))</f>
        <v>Reestimativa 1</v>
      </c>
      <c r="W672" s="1" t="str">
        <f>IF(ESTIMATIVA[[#This Row],[QT_AREA_REST2]]&gt;0,"Reestimativa 2",IF(ESTIMATIVA[[#This Row],[QT_AREA_REAL]]=0,"Reestimativa 2","Realizado"))</f>
        <v>Reestimativa 2</v>
      </c>
      <c r="X672" s="1">
        <f>ESTIMATIVA[[#This Row],[QT_AREA_EST]]</f>
        <v>51.78</v>
      </c>
      <c r="Y672" s="1">
        <f>IF(ESTIMATIVA[[#This Row],[QT_AREA_REST1]]&gt;0,ESTIMATIVA[[#This Row],[QT_AREA_REST1]],
  IF(ESTIMATIVA[[#This Row],[QT_AREA_REAL]]&gt;0,ESTIMATIVA[[#This Row],[QT_AREA_REAL]],ESTIMATIVA[[#This Row],[QT_AREA_EST]]))</f>
        <v>51.78</v>
      </c>
      <c r="Z67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51.78</v>
      </c>
      <c r="AA672" s="1">
        <f>ESTIMATIVA[[#This Row],[QT_CANA_EST]]</f>
        <v>1967.64</v>
      </c>
      <c r="AB672" s="1">
        <f>IF(ESTIMATIVA[[#This Row],[QT_CANA_REST1]]&gt;0,ESTIMATIVA[[#This Row],[QT_CANA_REST1]],
  IF(ESTIMATIVA[[#This Row],[QT_CANA_REAL]]&gt;0,ESTIMATIVA[[#This Row],[QT_CANA_REAL]],ESTIMATIVA[[#This Row],[QT_CANA_EST]]))</f>
        <v>2071.1999999999998</v>
      </c>
      <c r="AC67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2071.1999999999998</v>
      </c>
      <c r="AD672" s="1">
        <f>IF(ESTIMATIVA[[#This Row],[QT_AREA_REAL]]&gt;0,ESTIMATIVA[[#This Row],[QT_CANA_REAL]],ESTIMATIVA[[#This Row],[QT_CANA_EST]])</f>
        <v>2156.1999999999998</v>
      </c>
      <c r="AE672" s="1">
        <f>IF(ESTIMATIVA[[#This Row],[QT_AREA_REAL]]&gt;0,ESTIMATIVA[[#This Row],[QT_CANA_REAL]],ESTIMATIVA[[#This Row],[QT_CANA_REST1]])</f>
        <v>2156.1999999999998</v>
      </c>
      <c r="AF672" s="1">
        <f>IF(ESTIMATIVA[[#This Row],[QT_AREA_REAL]]&gt;0,ESTIMATIVA[[#This Row],[QT_CANA_REAL]],ESTIMATIVA[[#This Row],[QT_CANA_REST2]])</f>
        <v>2156.1999999999998</v>
      </c>
      <c r="AG672" s="1" t="str">
        <f>IF(COUNTIFS(GEADA!A:A,VALUE(ESTIMATIVA[[#This Row],[CD_UPNIVEL1]]&amp;TEXT(ESTIMATIVA[[#This Row],[CD_UPNIVEL3]],"0000")))&gt;0,"S","N")</f>
        <v>N</v>
      </c>
      <c r="AH67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72" s="55" t="str">
        <f>IF(ESTIMATIVA[[#This Row],[TP_CULTIVO]]="Irrigado",_xlfn.MAXIFS(IRRIGADO!J:J,IRRIGADO!C:C,ESTIMATIVA[[#This Row],[CD_UPNIVEL1]],IRRIGADO!E:E,ESTIMATIVA[[#This Row],[CD_UPNIVEL3]]),"")</f>
        <v/>
      </c>
      <c r="AJ67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72" s="1">
        <f>COUNTIFS(Apresentação!$E$23:$E$29,ESTIMATIVA[[#This Row],[CD_UPNIVEL1]])</f>
        <v>0</v>
      </c>
    </row>
    <row r="673" spans="1:37" x14ac:dyDescent="0.3">
      <c r="A673">
        <v>20344</v>
      </c>
      <c r="B673" t="s">
        <v>36</v>
      </c>
      <c r="C673">
        <v>16</v>
      </c>
      <c r="D673">
        <v>5</v>
      </c>
      <c r="E673" t="s">
        <v>268</v>
      </c>
      <c r="F673" s="85" t="s">
        <v>331</v>
      </c>
      <c r="G673"/>
      <c r="H673" t="s">
        <v>294</v>
      </c>
      <c r="I673" t="s">
        <v>202</v>
      </c>
      <c r="J673" t="s">
        <v>176</v>
      </c>
      <c r="K673" s="1">
        <v>38.74</v>
      </c>
      <c r="L673" s="1">
        <v>38.74</v>
      </c>
      <c r="M673" s="1">
        <v>38.74</v>
      </c>
      <c r="N673" s="1">
        <v>38.74</v>
      </c>
      <c r="O673" s="1">
        <v>1472.12</v>
      </c>
      <c r="P673" s="1">
        <v>1549.6</v>
      </c>
      <c r="Q673" s="1">
        <v>1549.6</v>
      </c>
      <c r="R673" s="1">
        <v>1613.87</v>
      </c>
      <c r="S673" t="s">
        <v>12</v>
      </c>
      <c r="T673" s="13">
        <v>45977</v>
      </c>
      <c r="U673" s="1" t="str">
        <f>IF(ESTIMATIVA[[#This Row],[QT_AREA_REAL]]&gt;0,"1- Colhido","2- à Colher")</f>
        <v>1- Colhido</v>
      </c>
      <c r="V673" s="1" t="str">
        <f>IF(ESTIMATIVA[[#This Row],[QT_AREA_REST1]]&gt;0,"Reestimativa 1",IF(ESTIMATIVA[[#This Row],[QT_AREA_REAL]]=0,"Reestimativa 1","Realizado"))</f>
        <v>Reestimativa 1</v>
      </c>
      <c r="W673" s="1" t="str">
        <f>IF(ESTIMATIVA[[#This Row],[QT_AREA_REST2]]&gt;0,"Reestimativa 2",IF(ESTIMATIVA[[#This Row],[QT_AREA_REAL]]=0,"Reestimativa 2","Realizado"))</f>
        <v>Reestimativa 2</v>
      </c>
      <c r="X673" s="1">
        <f>ESTIMATIVA[[#This Row],[QT_AREA_EST]]</f>
        <v>38.74</v>
      </c>
      <c r="Y673" s="1">
        <f>IF(ESTIMATIVA[[#This Row],[QT_AREA_REST1]]&gt;0,ESTIMATIVA[[#This Row],[QT_AREA_REST1]],
  IF(ESTIMATIVA[[#This Row],[QT_AREA_REAL]]&gt;0,ESTIMATIVA[[#This Row],[QT_AREA_REAL]],ESTIMATIVA[[#This Row],[QT_AREA_EST]]))</f>
        <v>38.74</v>
      </c>
      <c r="Z67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38.74</v>
      </c>
      <c r="AA673" s="1">
        <f>ESTIMATIVA[[#This Row],[QT_CANA_EST]]</f>
        <v>1472.12</v>
      </c>
      <c r="AB673" s="1">
        <f>IF(ESTIMATIVA[[#This Row],[QT_CANA_REST1]]&gt;0,ESTIMATIVA[[#This Row],[QT_CANA_REST1]],
  IF(ESTIMATIVA[[#This Row],[QT_CANA_REAL]]&gt;0,ESTIMATIVA[[#This Row],[QT_CANA_REAL]],ESTIMATIVA[[#This Row],[QT_CANA_EST]]))</f>
        <v>1549.6</v>
      </c>
      <c r="AC67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1549.6</v>
      </c>
      <c r="AD673" s="1">
        <f>IF(ESTIMATIVA[[#This Row],[QT_AREA_REAL]]&gt;0,ESTIMATIVA[[#This Row],[QT_CANA_REAL]],ESTIMATIVA[[#This Row],[QT_CANA_EST]])</f>
        <v>1613.87</v>
      </c>
      <c r="AE673" s="1">
        <f>IF(ESTIMATIVA[[#This Row],[QT_AREA_REAL]]&gt;0,ESTIMATIVA[[#This Row],[QT_CANA_REAL]],ESTIMATIVA[[#This Row],[QT_CANA_REST1]])</f>
        <v>1613.87</v>
      </c>
      <c r="AF673" s="1">
        <f>IF(ESTIMATIVA[[#This Row],[QT_AREA_REAL]]&gt;0,ESTIMATIVA[[#This Row],[QT_CANA_REAL]],ESTIMATIVA[[#This Row],[QT_CANA_REST2]])</f>
        <v>1613.87</v>
      </c>
      <c r="AG673" s="1" t="str">
        <f>IF(COUNTIFS(GEADA!A:A,VALUE(ESTIMATIVA[[#This Row],[CD_UPNIVEL1]]&amp;TEXT(ESTIMATIVA[[#This Row],[CD_UPNIVEL3]],"0000")))&gt;0,"S","N")</f>
        <v>N</v>
      </c>
      <c r="AH67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73" s="55" t="str">
        <f>IF(ESTIMATIVA[[#This Row],[TP_CULTIVO]]="Irrigado",_xlfn.MAXIFS(IRRIGADO!J:J,IRRIGADO!C:C,ESTIMATIVA[[#This Row],[CD_UPNIVEL1]],IRRIGADO!E:E,ESTIMATIVA[[#This Row],[CD_UPNIVEL3]]),"")</f>
        <v/>
      </c>
      <c r="AJ67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73" s="1">
        <f>COUNTIFS(Apresentação!$E$23:$E$29,ESTIMATIVA[[#This Row],[CD_UPNIVEL1]])</f>
        <v>0</v>
      </c>
    </row>
    <row r="674" spans="1:37" x14ac:dyDescent="0.3">
      <c r="A674">
        <v>20344</v>
      </c>
      <c r="B674" t="s">
        <v>36</v>
      </c>
      <c r="C674">
        <v>17</v>
      </c>
      <c r="D674">
        <v>5</v>
      </c>
      <c r="E674" t="s">
        <v>268</v>
      </c>
      <c r="F674" s="85" t="s">
        <v>332</v>
      </c>
      <c r="G674"/>
      <c r="H674" t="s">
        <v>294</v>
      </c>
      <c r="I674" t="s">
        <v>221</v>
      </c>
      <c r="J674" t="s">
        <v>176</v>
      </c>
      <c r="K674" s="1">
        <v>0.72</v>
      </c>
      <c r="L674" s="1">
        <v>0</v>
      </c>
      <c r="M674" s="1">
        <v>0</v>
      </c>
      <c r="N674" s="1">
        <v>0.72</v>
      </c>
      <c r="O674" s="1">
        <v>25.2</v>
      </c>
      <c r="P674" s="1">
        <v>0</v>
      </c>
      <c r="Q674" s="1">
        <v>0</v>
      </c>
      <c r="R674" s="1">
        <v>29.23</v>
      </c>
      <c r="S674" t="s">
        <v>12</v>
      </c>
      <c r="T674" s="13">
        <v>45816</v>
      </c>
      <c r="U674" s="1" t="str">
        <f>IF(ESTIMATIVA[[#This Row],[QT_AREA_REAL]]&gt;0,"1- Colhido","2- à Colher")</f>
        <v>1- Colhido</v>
      </c>
      <c r="V674" s="1" t="str">
        <f>IF(ESTIMATIVA[[#This Row],[QT_AREA_REST1]]&gt;0,"Reestimativa 1",IF(ESTIMATIVA[[#This Row],[QT_AREA_REAL]]=0,"Reestimativa 1","Realizado"))</f>
        <v>Realizado</v>
      </c>
      <c r="W674" s="1" t="str">
        <f>IF(ESTIMATIVA[[#This Row],[QT_AREA_REST2]]&gt;0,"Reestimativa 2",IF(ESTIMATIVA[[#This Row],[QT_AREA_REAL]]=0,"Reestimativa 2","Realizado"))</f>
        <v>Realizado</v>
      </c>
      <c r="X674" s="1">
        <f>ESTIMATIVA[[#This Row],[QT_AREA_EST]]</f>
        <v>0.72</v>
      </c>
      <c r="Y674" s="1">
        <f>IF(ESTIMATIVA[[#This Row],[QT_AREA_REST1]]&gt;0,ESTIMATIVA[[#This Row],[QT_AREA_REST1]],
  IF(ESTIMATIVA[[#This Row],[QT_AREA_REAL]]&gt;0,ESTIMATIVA[[#This Row],[QT_AREA_REAL]],ESTIMATIVA[[#This Row],[QT_AREA_EST]]))</f>
        <v>0.72</v>
      </c>
      <c r="Z67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0.72</v>
      </c>
      <c r="AA674" s="1">
        <f>ESTIMATIVA[[#This Row],[QT_CANA_EST]]</f>
        <v>25.2</v>
      </c>
      <c r="AB674" s="1">
        <f>IF(ESTIMATIVA[[#This Row],[QT_CANA_REST1]]&gt;0,ESTIMATIVA[[#This Row],[QT_CANA_REST1]],
  IF(ESTIMATIVA[[#This Row],[QT_CANA_REAL]]&gt;0,ESTIMATIVA[[#This Row],[QT_CANA_REAL]],ESTIMATIVA[[#This Row],[QT_CANA_EST]]))</f>
        <v>29.23</v>
      </c>
      <c r="AC67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29.23</v>
      </c>
      <c r="AD674" s="1">
        <f>IF(ESTIMATIVA[[#This Row],[QT_AREA_REAL]]&gt;0,ESTIMATIVA[[#This Row],[QT_CANA_REAL]],ESTIMATIVA[[#This Row],[QT_CANA_EST]])</f>
        <v>29.23</v>
      </c>
      <c r="AE674" s="1">
        <f>IF(ESTIMATIVA[[#This Row],[QT_AREA_REAL]]&gt;0,ESTIMATIVA[[#This Row],[QT_CANA_REAL]],ESTIMATIVA[[#This Row],[QT_CANA_REST1]])</f>
        <v>29.23</v>
      </c>
      <c r="AF674" s="1">
        <f>IF(ESTIMATIVA[[#This Row],[QT_AREA_REAL]]&gt;0,ESTIMATIVA[[#This Row],[QT_CANA_REAL]],ESTIMATIVA[[#This Row],[QT_CANA_REST2]])</f>
        <v>29.23</v>
      </c>
      <c r="AG674" s="1" t="str">
        <f>IF(COUNTIFS(GEADA!A:A,VALUE(ESTIMATIVA[[#This Row],[CD_UPNIVEL1]]&amp;TEXT(ESTIMATIVA[[#This Row],[CD_UPNIVEL3]],"0000")))&gt;0,"S","N")</f>
        <v>N</v>
      </c>
      <c r="AH67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74" s="55" t="str">
        <f>IF(ESTIMATIVA[[#This Row],[TP_CULTIVO]]="Irrigado",_xlfn.MAXIFS(IRRIGADO!J:J,IRRIGADO!C:C,ESTIMATIVA[[#This Row],[CD_UPNIVEL1]],IRRIGADO!E:E,ESTIMATIVA[[#This Row],[CD_UPNIVEL3]]),"")</f>
        <v/>
      </c>
      <c r="AJ67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74" s="1">
        <f>COUNTIFS(Apresentação!$E$23:$E$29,ESTIMATIVA[[#This Row],[CD_UPNIVEL1]])</f>
        <v>0</v>
      </c>
    </row>
    <row r="675" spans="1:37" x14ac:dyDescent="0.3">
      <c r="A675">
        <v>20344</v>
      </c>
      <c r="B675" t="s">
        <v>36</v>
      </c>
      <c r="C675">
        <v>18</v>
      </c>
      <c r="D675">
        <v>5</v>
      </c>
      <c r="E675" t="s">
        <v>268</v>
      </c>
      <c r="F675" s="85" t="s">
        <v>332</v>
      </c>
      <c r="G675"/>
      <c r="H675" t="s">
        <v>294</v>
      </c>
      <c r="I675" t="s">
        <v>221</v>
      </c>
      <c r="J675" t="s">
        <v>176</v>
      </c>
      <c r="K675" s="1">
        <v>4.01</v>
      </c>
      <c r="L675" s="1">
        <v>0</v>
      </c>
      <c r="M675" s="1">
        <v>0</v>
      </c>
      <c r="N675" s="1">
        <v>4.01</v>
      </c>
      <c r="O675" s="1">
        <v>140.35</v>
      </c>
      <c r="P675" s="1">
        <v>0</v>
      </c>
      <c r="Q675" s="1">
        <v>0</v>
      </c>
      <c r="R675" s="1">
        <v>163.78</v>
      </c>
      <c r="S675" t="s">
        <v>12</v>
      </c>
      <c r="T675" s="13">
        <v>45816</v>
      </c>
      <c r="U675" s="1" t="str">
        <f>IF(ESTIMATIVA[[#This Row],[QT_AREA_REAL]]&gt;0,"1- Colhido","2- à Colher")</f>
        <v>1- Colhido</v>
      </c>
      <c r="V675" s="1" t="str">
        <f>IF(ESTIMATIVA[[#This Row],[QT_AREA_REST1]]&gt;0,"Reestimativa 1",IF(ESTIMATIVA[[#This Row],[QT_AREA_REAL]]=0,"Reestimativa 1","Realizado"))</f>
        <v>Realizado</v>
      </c>
      <c r="W675" s="1" t="str">
        <f>IF(ESTIMATIVA[[#This Row],[QT_AREA_REST2]]&gt;0,"Reestimativa 2",IF(ESTIMATIVA[[#This Row],[QT_AREA_REAL]]=0,"Reestimativa 2","Realizado"))</f>
        <v>Realizado</v>
      </c>
      <c r="X675" s="1">
        <f>ESTIMATIVA[[#This Row],[QT_AREA_EST]]</f>
        <v>4.01</v>
      </c>
      <c r="Y675" s="1">
        <f>IF(ESTIMATIVA[[#This Row],[QT_AREA_REST1]]&gt;0,ESTIMATIVA[[#This Row],[QT_AREA_REST1]],
  IF(ESTIMATIVA[[#This Row],[QT_AREA_REAL]]&gt;0,ESTIMATIVA[[#This Row],[QT_AREA_REAL]],ESTIMATIVA[[#This Row],[QT_AREA_EST]]))</f>
        <v>4.01</v>
      </c>
      <c r="Z67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4.01</v>
      </c>
      <c r="AA675" s="1">
        <f>ESTIMATIVA[[#This Row],[QT_CANA_EST]]</f>
        <v>140.35</v>
      </c>
      <c r="AB675" s="1">
        <f>IF(ESTIMATIVA[[#This Row],[QT_CANA_REST1]]&gt;0,ESTIMATIVA[[#This Row],[QT_CANA_REST1]],
  IF(ESTIMATIVA[[#This Row],[QT_CANA_REAL]]&gt;0,ESTIMATIVA[[#This Row],[QT_CANA_REAL]],ESTIMATIVA[[#This Row],[QT_CANA_EST]]))</f>
        <v>163.78</v>
      </c>
      <c r="AC67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163.78</v>
      </c>
      <c r="AD675" s="1">
        <f>IF(ESTIMATIVA[[#This Row],[QT_AREA_REAL]]&gt;0,ESTIMATIVA[[#This Row],[QT_CANA_REAL]],ESTIMATIVA[[#This Row],[QT_CANA_EST]])</f>
        <v>163.78</v>
      </c>
      <c r="AE675" s="1">
        <f>IF(ESTIMATIVA[[#This Row],[QT_AREA_REAL]]&gt;0,ESTIMATIVA[[#This Row],[QT_CANA_REAL]],ESTIMATIVA[[#This Row],[QT_CANA_REST1]])</f>
        <v>163.78</v>
      </c>
      <c r="AF675" s="1">
        <f>IF(ESTIMATIVA[[#This Row],[QT_AREA_REAL]]&gt;0,ESTIMATIVA[[#This Row],[QT_CANA_REAL]],ESTIMATIVA[[#This Row],[QT_CANA_REST2]])</f>
        <v>163.78</v>
      </c>
      <c r="AG675" s="1" t="str">
        <f>IF(COUNTIFS(GEADA!A:A,VALUE(ESTIMATIVA[[#This Row],[CD_UPNIVEL1]]&amp;TEXT(ESTIMATIVA[[#This Row],[CD_UPNIVEL3]],"0000")))&gt;0,"S","N")</f>
        <v>N</v>
      </c>
      <c r="AH67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75" s="55" t="str">
        <f>IF(ESTIMATIVA[[#This Row],[TP_CULTIVO]]="Irrigado",_xlfn.MAXIFS(IRRIGADO!J:J,IRRIGADO!C:C,ESTIMATIVA[[#This Row],[CD_UPNIVEL1]],IRRIGADO!E:E,ESTIMATIVA[[#This Row],[CD_UPNIVEL3]]),"")</f>
        <v/>
      </c>
      <c r="AJ67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75" s="1">
        <f>COUNTIFS(Apresentação!$E$23:$E$29,ESTIMATIVA[[#This Row],[CD_UPNIVEL1]])</f>
        <v>0</v>
      </c>
    </row>
    <row r="676" spans="1:37" x14ac:dyDescent="0.3">
      <c r="A676">
        <v>20344</v>
      </c>
      <c r="B676" t="s">
        <v>36</v>
      </c>
      <c r="C676">
        <v>19</v>
      </c>
      <c r="D676">
        <v>5</v>
      </c>
      <c r="E676" t="s">
        <v>268</v>
      </c>
      <c r="F676" s="85" t="s">
        <v>332</v>
      </c>
      <c r="G676"/>
      <c r="H676" t="s">
        <v>294</v>
      </c>
      <c r="I676" t="s">
        <v>221</v>
      </c>
      <c r="J676" t="s">
        <v>176</v>
      </c>
      <c r="K676" s="1">
        <v>4.87</v>
      </c>
      <c r="L676" s="1">
        <v>0</v>
      </c>
      <c r="M676" s="1">
        <v>0</v>
      </c>
      <c r="N676" s="1">
        <v>4.87</v>
      </c>
      <c r="O676" s="1">
        <v>170.45</v>
      </c>
      <c r="P676" s="1">
        <v>0</v>
      </c>
      <c r="Q676" s="1">
        <v>0</v>
      </c>
      <c r="R676" s="1">
        <v>198.88</v>
      </c>
      <c r="S676" t="s">
        <v>12</v>
      </c>
      <c r="T676" s="13">
        <v>45816</v>
      </c>
      <c r="U676" s="1" t="str">
        <f>IF(ESTIMATIVA[[#This Row],[QT_AREA_REAL]]&gt;0,"1- Colhido","2- à Colher")</f>
        <v>1- Colhido</v>
      </c>
      <c r="V676" s="1" t="str">
        <f>IF(ESTIMATIVA[[#This Row],[QT_AREA_REST1]]&gt;0,"Reestimativa 1",IF(ESTIMATIVA[[#This Row],[QT_AREA_REAL]]=0,"Reestimativa 1","Realizado"))</f>
        <v>Realizado</v>
      </c>
      <c r="W676" s="1" t="str">
        <f>IF(ESTIMATIVA[[#This Row],[QT_AREA_REST2]]&gt;0,"Reestimativa 2",IF(ESTIMATIVA[[#This Row],[QT_AREA_REAL]]=0,"Reestimativa 2","Realizado"))</f>
        <v>Realizado</v>
      </c>
      <c r="X676" s="1">
        <f>ESTIMATIVA[[#This Row],[QT_AREA_EST]]</f>
        <v>4.87</v>
      </c>
      <c r="Y676" s="1">
        <f>IF(ESTIMATIVA[[#This Row],[QT_AREA_REST1]]&gt;0,ESTIMATIVA[[#This Row],[QT_AREA_REST1]],
  IF(ESTIMATIVA[[#This Row],[QT_AREA_REAL]]&gt;0,ESTIMATIVA[[#This Row],[QT_AREA_REAL]],ESTIMATIVA[[#This Row],[QT_AREA_EST]]))</f>
        <v>4.87</v>
      </c>
      <c r="Z67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4.87</v>
      </c>
      <c r="AA676" s="1">
        <f>ESTIMATIVA[[#This Row],[QT_CANA_EST]]</f>
        <v>170.45</v>
      </c>
      <c r="AB676" s="1">
        <f>IF(ESTIMATIVA[[#This Row],[QT_CANA_REST1]]&gt;0,ESTIMATIVA[[#This Row],[QT_CANA_REST1]],
  IF(ESTIMATIVA[[#This Row],[QT_CANA_REAL]]&gt;0,ESTIMATIVA[[#This Row],[QT_CANA_REAL]],ESTIMATIVA[[#This Row],[QT_CANA_EST]]))</f>
        <v>198.88</v>
      </c>
      <c r="AC67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198.88</v>
      </c>
      <c r="AD676" s="1">
        <f>IF(ESTIMATIVA[[#This Row],[QT_AREA_REAL]]&gt;0,ESTIMATIVA[[#This Row],[QT_CANA_REAL]],ESTIMATIVA[[#This Row],[QT_CANA_EST]])</f>
        <v>198.88</v>
      </c>
      <c r="AE676" s="1">
        <f>IF(ESTIMATIVA[[#This Row],[QT_AREA_REAL]]&gt;0,ESTIMATIVA[[#This Row],[QT_CANA_REAL]],ESTIMATIVA[[#This Row],[QT_CANA_REST1]])</f>
        <v>198.88</v>
      </c>
      <c r="AF676" s="1">
        <f>IF(ESTIMATIVA[[#This Row],[QT_AREA_REAL]]&gt;0,ESTIMATIVA[[#This Row],[QT_CANA_REAL]],ESTIMATIVA[[#This Row],[QT_CANA_REST2]])</f>
        <v>198.88</v>
      </c>
      <c r="AG676" s="1" t="str">
        <f>IF(COUNTIFS(GEADA!A:A,VALUE(ESTIMATIVA[[#This Row],[CD_UPNIVEL1]]&amp;TEXT(ESTIMATIVA[[#This Row],[CD_UPNIVEL3]],"0000")))&gt;0,"S","N")</f>
        <v>N</v>
      </c>
      <c r="AH67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76" s="55" t="str">
        <f>IF(ESTIMATIVA[[#This Row],[TP_CULTIVO]]="Irrigado",_xlfn.MAXIFS(IRRIGADO!J:J,IRRIGADO!C:C,ESTIMATIVA[[#This Row],[CD_UPNIVEL1]],IRRIGADO!E:E,ESTIMATIVA[[#This Row],[CD_UPNIVEL3]]),"")</f>
        <v/>
      </c>
      <c r="AJ67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76" s="1">
        <f>COUNTIFS(Apresentação!$E$23:$E$29,ESTIMATIVA[[#This Row],[CD_UPNIVEL1]])</f>
        <v>0</v>
      </c>
    </row>
    <row r="677" spans="1:37" x14ac:dyDescent="0.3">
      <c r="A677">
        <v>20344</v>
      </c>
      <c r="B677" t="s">
        <v>36</v>
      </c>
      <c r="C677">
        <v>20</v>
      </c>
      <c r="D677">
        <v>5</v>
      </c>
      <c r="E677" t="s">
        <v>268</v>
      </c>
      <c r="F677" s="85" t="s">
        <v>332</v>
      </c>
      <c r="G677"/>
      <c r="H677" t="s">
        <v>294</v>
      </c>
      <c r="I677" t="s">
        <v>221</v>
      </c>
      <c r="J677" t="s">
        <v>176</v>
      </c>
      <c r="K677" s="1">
        <v>5.27</v>
      </c>
      <c r="L677" s="1">
        <v>0</v>
      </c>
      <c r="M677" s="1">
        <v>0</v>
      </c>
      <c r="N677" s="1">
        <v>5.27</v>
      </c>
      <c r="O677" s="1">
        <v>184.45</v>
      </c>
      <c r="P677" s="1">
        <v>0</v>
      </c>
      <c r="Q677" s="1">
        <v>0</v>
      </c>
      <c r="R677" s="1">
        <v>215.26</v>
      </c>
      <c r="S677" t="s">
        <v>12</v>
      </c>
      <c r="T677" s="13">
        <v>45816</v>
      </c>
      <c r="U677" s="1" t="str">
        <f>IF(ESTIMATIVA[[#This Row],[QT_AREA_REAL]]&gt;0,"1- Colhido","2- à Colher")</f>
        <v>1- Colhido</v>
      </c>
      <c r="V677" s="1" t="str">
        <f>IF(ESTIMATIVA[[#This Row],[QT_AREA_REST1]]&gt;0,"Reestimativa 1",IF(ESTIMATIVA[[#This Row],[QT_AREA_REAL]]=0,"Reestimativa 1","Realizado"))</f>
        <v>Realizado</v>
      </c>
      <c r="W677" s="1" t="str">
        <f>IF(ESTIMATIVA[[#This Row],[QT_AREA_REST2]]&gt;0,"Reestimativa 2",IF(ESTIMATIVA[[#This Row],[QT_AREA_REAL]]=0,"Reestimativa 2","Realizado"))</f>
        <v>Realizado</v>
      </c>
      <c r="X677" s="1">
        <f>ESTIMATIVA[[#This Row],[QT_AREA_EST]]</f>
        <v>5.27</v>
      </c>
      <c r="Y677" s="1">
        <f>IF(ESTIMATIVA[[#This Row],[QT_AREA_REST1]]&gt;0,ESTIMATIVA[[#This Row],[QT_AREA_REST1]],
  IF(ESTIMATIVA[[#This Row],[QT_AREA_REAL]]&gt;0,ESTIMATIVA[[#This Row],[QT_AREA_REAL]],ESTIMATIVA[[#This Row],[QT_AREA_EST]]))</f>
        <v>5.27</v>
      </c>
      <c r="Z67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5.27</v>
      </c>
      <c r="AA677" s="1">
        <f>ESTIMATIVA[[#This Row],[QT_CANA_EST]]</f>
        <v>184.45</v>
      </c>
      <c r="AB677" s="1">
        <f>IF(ESTIMATIVA[[#This Row],[QT_CANA_REST1]]&gt;0,ESTIMATIVA[[#This Row],[QT_CANA_REST1]],
  IF(ESTIMATIVA[[#This Row],[QT_CANA_REAL]]&gt;0,ESTIMATIVA[[#This Row],[QT_CANA_REAL]],ESTIMATIVA[[#This Row],[QT_CANA_EST]]))</f>
        <v>215.26</v>
      </c>
      <c r="AC67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215.26</v>
      </c>
      <c r="AD677" s="1">
        <f>IF(ESTIMATIVA[[#This Row],[QT_AREA_REAL]]&gt;0,ESTIMATIVA[[#This Row],[QT_CANA_REAL]],ESTIMATIVA[[#This Row],[QT_CANA_EST]])</f>
        <v>215.26</v>
      </c>
      <c r="AE677" s="1">
        <f>IF(ESTIMATIVA[[#This Row],[QT_AREA_REAL]]&gt;0,ESTIMATIVA[[#This Row],[QT_CANA_REAL]],ESTIMATIVA[[#This Row],[QT_CANA_REST1]])</f>
        <v>215.26</v>
      </c>
      <c r="AF677" s="1">
        <f>IF(ESTIMATIVA[[#This Row],[QT_AREA_REAL]]&gt;0,ESTIMATIVA[[#This Row],[QT_CANA_REAL]],ESTIMATIVA[[#This Row],[QT_CANA_REST2]])</f>
        <v>215.26</v>
      </c>
      <c r="AG677" s="1" t="str">
        <f>IF(COUNTIFS(GEADA!A:A,VALUE(ESTIMATIVA[[#This Row],[CD_UPNIVEL1]]&amp;TEXT(ESTIMATIVA[[#This Row],[CD_UPNIVEL3]],"0000")))&gt;0,"S","N")</f>
        <v>N</v>
      </c>
      <c r="AH67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77" s="55" t="str">
        <f>IF(ESTIMATIVA[[#This Row],[TP_CULTIVO]]="Irrigado",_xlfn.MAXIFS(IRRIGADO!J:J,IRRIGADO!C:C,ESTIMATIVA[[#This Row],[CD_UPNIVEL1]],IRRIGADO!E:E,ESTIMATIVA[[#This Row],[CD_UPNIVEL3]]),"")</f>
        <v/>
      </c>
      <c r="AJ67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77" s="1">
        <f>COUNTIFS(Apresentação!$E$23:$E$29,ESTIMATIVA[[#This Row],[CD_UPNIVEL1]])</f>
        <v>0</v>
      </c>
    </row>
    <row r="678" spans="1:37" x14ac:dyDescent="0.3">
      <c r="A678">
        <v>20344</v>
      </c>
      <c r="B678" t="s">
        <v>36</v>
      </c>
      <c r="C678">
        <v>21</v>
      </c>
      <c r="D678">
        <v>5</v>
      </c>
      <c r="E678" t="s">
        <v>268</v>
      </c>
      <c r="F678" s="85" t="s">
        <v>332</v>
      </c>
      <c r="G678"/>
      <c r="H678" t="s">
        <v>294</v>
      </c>
      <c r="I678" t="s">
        <v>221</v>
      </c>
      <c r="J678" t="s">
        <v>176</v>
      </c>
      <c r="K678" s="1">
        <v>3.81</v>
      </c>
      <c r="L678" s="1">
        <v>0</v>
      </c>
      <c r="M678" s="1">
        <v>0</v>
      </c>
      <c r="N678" s="1">
        <v>3.81</v>
      </c>
      <c r="O678" s="1">
        <v>133.35</v>
      </c>
      <c r="P678" s="1">
        <v>0</v>
      </c>
      <c r="Q678" s="1">
        <v>0</v>
      </c>
      <c r="R678" s="1">
        <v>155.59</v>
      </c>
      <c r="S678" t="s">
        <v>12</v>
      </c>
      <c r="T678" s="13">
        <v>45816</v>
      </c>
      <c r="U678" s="1" t="str">
        <f>IF(ESTIMATIVA[[#This Row],[QT_AREA_REAL]]&gt;0,"1- Colhido","2- à Colher")</f>
        <v>1- Colhido</v>
      </c>
      <c r="V678" s="1" t="str">
        <f>IF(ESTIMATIVA[[#This Row],[QT_AREA_REST1]]&gt;0,"Reestimativa 1",IF(ESTIMATIVA[[#This Row],[QT_AREA_REAL]]=0,"Reestimativa 1","Realizado"))</f>
        <v>Realizado</v>
      </c>
      <c r="W678" s="1" t="str">
        <f>IF(ESTIMATIVA[[#This Row],[QT_AREA_REST2]]&gt;0,"Reestimativa 2",IF(ESTIMATIVA[[#This Row],[QT_AREA_REAL]]=0,"Reestimativa 2","Realizado"))</f>
        <v>Realizado</v>
      </c>
      <c r="X678" s="1">
        <f>ESTIMATIVA[[#This Row],[QT_AREA_EST]]</f>
        <v>3.81</v>
      </c>
      <c r="Y678" s="1">
        <f>IF(ESTIMATIVA[[#This Row],[QT_AREA_REST1]]&gt;0,ESTIMATIVA[[#This Row],[QT_AREA_REST1]],
  IF(ESTIMATIVA[[#This Row],[QT_AREA_REAL]]&gt;0,ESTIMATIVA[[#This Row],[QT_AREA_REAL]],ESTIMATIVA[[#This Row],[QT_AREA_EST]]))</f>
        <v>3.81</v>
      </c>
      <c r="Z67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3.81</v>
      </c>
      <c r="AA678" s="1">
        <f>ESTIMATIVA[[#This Row],[QT_CANA_EST]]</f>
        <v>133.35</v>
      </c>
      <c r="AB678" s="1">
        <f>IF(ESTIMATIVA[[#This Row],[QT_CANA_REST1]]&gt;0,ESTIMATIVA[[#This Row],[QT_CANA_REST1]],
  IF(ESTIMATIVA[[#This Row],[QT_CANA_REAL]]&gt;0,ESTIMATIVA[[#This Row],[QT_CANA_REAL]],ESTIMATIVA[[#This Row],[QT_CANA_EST]]))</f>
        <v>155.59</v>
      </c>
      <c r="AC67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155.59</v>
      </c>
      <c r="AD678" s="1">
        <f>IF(ESTIMATIVA[[#This Row],[QT_AREA_REAL]]&gt;0,ESTIMATIVA[[#This Row],[QT_CANA_REAL]],ESTIMATIVA[[#This Row],[QT_CANA_EST]])</f>
        <v>155.59</v>
      </c>
      <c r="AE678" s="1">
        <f>IF(ESTIMATIVA[[#This Row],[QT_AREA_REAL]]&gt;0,ESTIMATIVA[[#This Row],[QT_CANA_REAL]],ESTIMATIVA[[#This Row],[QT_CANA_REST1]])</f>
        <v>155.59</v>
      </c>
      <c r="AF678" s="1">
        <f>IF(ESTIMATIVA[[#This Row],[QT_AREA_REAL]]&gt;0,ESTIMATIVA[[#This Row],[QT_CANA_REAL]],ESTIMATIVA[[#This Row],[QT_CANA_REST2]])</f>
        <v>155.59</v>
      </c>
      <c r="AG678" s="1" t="str">
        <f>IF(COUNTIFS(GEADA!A:A,VALUE(ESTIMATIVA[[#This Row],[CD_UPNIVEL1]]&amp;TEXT(ESTIMATIVA[[#This Row],[CD_UPNIVEL3]],"0000")))&gt;0,"S","N")</f>
        <v>N</v>
      </c>
      <c r="AH67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78" s="55" t="str">
        <f>IF(ESTIMATIVA[[#This Row],[TP_CULTIVO]]="Irrigado",_xlfn.MAXIFS(IRRIGADO!J:J,IRRIGADO!C:C,ESTIMATIVA[[#This Row],[CD_UPNIVEL1]],IRRIGADO!E:E,ESTIMATIVA[[#This Row],[CD_UPNIVEL3]]),"")</f>
        <v/>
      </c>
      <c r="AJ67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78" s="1">
        <f>COUNTIFS(Apresentação!$E$23:$E$29,ESTIMATIVA[[#This Row],[CD_UPNIVEL1]])</f>
        <v>0</v>
      </c>
    </row>
    <row r="679" spans="1:37" x14ac:dyDescent="0.3">
      <c r="A679">
        <v>20344</v>
      </c>
      <c r="B679" t="s">
        <v>36</v>
      </c>
      <c r="C679">
        <v>22</v>
      </c>
      <c r="D679">
        <v>5</v>
      </c>
      <c r="E679" t="s">
        <v>268</v>
      </c>
      <c r="F679" s="85" t="s">
        <v>331</v>
      </c>
      <c r="G679"/>
      <c r="H679" t="s">
        <v>294</v>
      </c>
      <c r="I679" t="s">
        <v>221</v>
      </c>
      <c r="J679" t="s">
        <v>176</v>
      </c>
      <c r="K679" s="1">
        <v>3.32</v>
      </c>
      <c r="L679" s="1">
        <v>0</v>
      </c>
      <c r="M679" s="1">
        <v>0</v>
      </c>
      <c r="N679" s="1">
        <v>3.32</v>
      </c>
      <c r="O679" s="1">
        <v>116.2</v>
      </c>
      <c r="P679" s="1">
        <v>0</v>
      </c>
      <c r="Q679" s="1">
        <v>0</v>
      </c>
      <c r="R679" s="1">
        <v>135.69999999999999</v>
      </c>
      <c r="S679" t="s">
        <v>12</v>
      </c>
      <c r="T679" s="13">
        <v>45816</v>
      </c>
      <c r="U679" s="1" t="str">
        <f>IF(ESTIMATIVA[[#This Row],[QT_AREA_REAL]]&gt;0,"1- Colhido","2- à Colher")</f>
        <v>1- Colhido</v>
      </c>
      <c r="V679" s="1" t="str">
        <f>IF(ESTIMATIVA[[#This Row],[QT_AREA_REST1]]&gt;0,"Reestimativa 1",IF(ESTIMATIVA[[#This Row],[QT_AREA_REAL]]=0,"Reestimativa 1","Realizado"))</f>
        <v>Realizado</v>
      </c>
      <c r="W679" s="1" t="str">
        <f>IF(ESTIMATIVA[[#This Row],[QT_AREA_REST2]]&gt;0,"Reestimativa 2",IF(ESTIMATIVA[[#This Row],[QT_AREA_REAL]]=0,"Reestimativa 2","Realizado"))</f>
        <v>Realizado</v>
      </c>
      <c r="X679" s="1">
        <f>ESTIMATIVA[[#This Row],[QT_AREA_EST]]</f>
        <v>3.32</v>
      </c>
      <c r="Y679" s="1">
        <f>IF(ESTIMATIVA[[#This Row],[QT_AREA_REST1]]&gt;0,ESTIMATIVA[[#This Row],[QT_AREA_REST1]],
  IF(ESTIMATIVA[[#This Row],[QT_AREA_REAL]]&gt;0,ESTIMATIVA[[#This Row],[QT_AREA_REAL]],ESTIMATIVA[[#This Row],[QT_AREA_EST]]))</f>
        <v>3.32</v>
      </c>
      <c r="Z67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3.32</v>
      </c>
      <c r="AA679" s="1">
        <f>ESTIMATIVA[[#This Row],[QT_CANA_EST]]</f>
        <v>116.2</v>
      </c>
      <c r="AB679" s="1">
        <f>IF(ESTIMATIVA[[#This Row],[QT_CANA_REST1]]&gt;0,ESTIMATIVA[[#This Row],[QT_CANA_REST1]],
  IF(ESTIMATIVA[[#This Row],[QT_CANA_REAL]]&gt;0,ESTIMATIVA[[#This Row],[QT_CANA_REAL]],ESTIMATIVA[[#This Row],[QT_CANA_EST]]))</f>
        <v>135.69999999999999</v>
      </c>
      <c r="AC67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135.69999999999999</v>
      </c>
      <c r="AD679" s="1">
        <f>IF(ESTIMATIVA[[#This Row],[QT_AREA_REAL]]&gt;0,ESTIMATIVA[[#This Row],[QT_CANA_REAL]],ESTIMATIVA[[#This Row],[QT_CANA_EST]])</f>
        <v>135.69999999999999</v>
      </c>
      <c r="AE679" s="1">
        <f>IF(ESTIMATIVA[[#This Row],[QT_AREA_REAL]]&gt;0,ESTIMATIVA[[#This Row],[QT_CANA_REAL]],ESTIMATIVA[[#This Row],[QT_CANA_REST1]])</f>
        <v>135.69999999999999</v>
      </c>
      <c r="AF679" s="1">
        <f>IF(ESTIMATIVA[[#This Row],[QT_AREA_REAL]]&gt;0,ESTIMATIVA[[#This Row],[QT_CANA_REAL]],ESTIMATIVA[[#This Row],[QT_CANA_REST2]])</f>
        <v>135.69999999999999</v>
      </c>
      <c r="AG679" s="1" t="str">
        <f>IF(COUNTIFS(GEADA!A:A,VALUE(ESTIMATIVA[[#This Row],[CD_UPNIVEL1]]&amp;TEXT(ESTIMATIVA[[#This Row],[CD_UPNIVEL3]],"0000")))&gt;0,"S","N")</f>
        <v>N</v>
      </c>
      <c r="AH67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79" s="55" t="str">
        <f>IF(ESTIMATIVA[[#This Row],[TP_CULTIVO]]="Irrigado",_xlfn.MAXIFS(IRRIGADO!J:J,IRRIGADO!C:C,ESTIMATIVA[[#This Row],[CD_UPNIVEL1]],IRRIGADO!E:E,ESTIMATIVA[[#This Row],[CD_UPNIVEL3]]),"")</f>
        <v/>
      </c>
      <c r="AJ67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79" s="1">
        <f>COUNTIFS(Apresentação!$E$23:$E$29,ESTIMATIVA[[#This Row],[CD_UPNIVEL1]])</f>
        <v>0</v>
      </c>
    </row>
    <row r="680" spans="1:37" x14ac:dyDescent="0.3">
      <c r="A680">
        <v>20344</v>
      </c>
      <c r="B680" t="s">
        <v>36</v>
      </c>
      <c r="C680">
        <v>23</v>
      </c>
      <c r="D680">
        <v>5</v>
      </c>
      <c r="E680" t="s">
        <v>268</v>
      </c>
      <c r="F680" s="85" t="s">
        <v>331</v>
      </c>
      <c r="G680"/>
      <c r="H680" t="s">
        <v>294</v>
      </c>
      <c r="I680" t="s">
        <v>221</v>
      </c>
      <c r="J680" t="s">
        <v>176</v>
      </c>
      <c r="K680" s="1">
        <v>0.39</v>
      </c>
      <c r="L680" s="1">
        <v>0</v>
      </c>
      <c r="M680" s="1">
        <v>0</v>
      </c>
      <c r="N680" s="1">
        <v>0.39</v>
      </c>
      <c r="O680" s="1">
        <v>13.65</v>
      </c>
      <c r="P680" s="1">
        <v>0</v>
      </c>
      <c r="Q680" s="1">
        <v>0</v>
      </c>
      <c r="R680" s="1">
        <v>16.36</v>
      </c>
      <c r="S680" t="s">
        <v>12</v>
      </c>
      <c r="T680" s="13">
        <v>45816</v>
      </c>
      <c r="U680" s="1" t="str">
        <f>IF(ESTIMATIVA[[#This Row],[QT_AREA_REAL]]&gt;0,"1- Colhido","2- à Colher")</f>
        <v>1- Colhido</v>
      </c>
      <c r="V680" s="1" t="str">
        <f>IF(ESTIMATIVA[[#This Row],[QT_AREA_REST1]]&gt;0,"Reestimativa 1",IF(ESTIMATIVA[[#This Row],[QT_AREA_REAL]]=0,"Reestimativa 1","Realizado"))</f>
        <v>Realizado</v>
      </c>
      <c r="W680" s="1" t="str">
        <f>IF(ESTIMATIVA[[#This Row],[QT_AREA_REST2]]&gt;0,"Reestimativa 2",IF(ESTIMATIVA[[#This Row],[QT_AREA_REAL]]=0,"Reestimativa 2","Realizado"))</f>
        <v>Realizado</v>
      </c>
      <c r="X680" s="1">
        <f>ESTIMATIVA[[#This Row],[QT_AREA_EST]]</f>
        <v>0.39</v>
      </c>
      <c r="Y680" s="1">
        <f>IF(ESTIMATIVA[[#This Row],[QT_AREA_REST1]]&gt;0,ESTIMATIVA[[#This Row],[QT_AREA_REST1]],
  IF(ESTIMATIVA[[#This Row],[QT_AREA_REAL]]&gt;0,ESTIMATIVA[[#This Row],[QT_AREA_REAL]],ESTIMATIVA[[#This Row],[QT_AREA_EST]]))</f>
        <v>0.39</v>
      </c>
      <c r="Z68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0.39</v>
      </c>
      <c r="AA680" s="1">
        <f>ESTIMATIVA[[#This Row],[QT_CANA_EST]]</f>
        <v>13.65</v>
      </c>
      <c r="AB680" s="1">
        <f>IF(ESTIMATIVA[[#This Row],[QT_CANA_REST1]]&gt;0,ESTIMATIVA[[#This Row],[QT_CANA_REST1]],
  IF(ESTIMATIVA[[#This Row],[QT_CANA_REAL]]&gt;0,ESTIMATIVA[[#This Row],[QT_CANA_REAL]],ESTIMATIVA[[#This Row],[QT_CANA_EST]]))</f>
        <v>16.36</v>
      </c>
      <c r="AC68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16.36</v>
      </c>
      <c r="AD680" s="1">
        <f>IF(ESTIMATIVA[[#This Row],[QT_AREA_REAL]]&gt;0,ESTIMATIVA[[#This Row],[QT_CANA_REAL]],ESTIMATIVA[[#This Row],[QT_CANA_EST]])</f>
        <v>16.36</v>
      </c>
      <c r="AE680" s="1">
        <f>IF(ESTIMATIVA[[#This Row],[QT_AREA_REAL]]&gt;0,ESTIMATIVA[[#This Row],[QT_CANA_REAL]],ESTIMATIVA[[#This Row],[QT_CANA_REST1]])</f>
        <v>16.36</v>
      </c>
      <c r="AF680" s="1">
        <f>IF(ESTIMATIVA[[#This Row],[QT_AREA_REAL]]&gt;0,ESTIMATIVA[[#This Row],[QT_CANA_REAL]],ESTIMATIVA[[#This Row],[QT_CANA_REST2]])</f>
        <v>16.36</v>
      </c>
      <c r="AG680" s="1" t="str">
        <f>IF(COUNTIFS(GEADA!A:A,VALUE(ESTIMATIVA[[#This Row],[CD_UPNIVEL1]]&amp;TEXT(ESTIMATIVA[[#This Row],[CD_UPNIVEL3]],"0000")))&gt;0,"S","N")</f>
        <v>N</v>
      </c>
      <c r="AH68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80" s="55" t="str">
        <f>IF(ESTIMATIVA[[#This Row],[TP_CULTIVO]]="Irrigado",_xlfn.MAXIFS(IRRIGADO!J:J,IRRIGADO!C:C,ESTIMATIVA[[#This Row],[CD_UPNIVEL1]],IRRIGADO!E:E,ESTIMATIVA[[#This Row],[CD_UPNIVEL3]]),"")</f>
        <v/>
      </c>
      <c r="AJ68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80" s="1">
        <f>COUNTIFS(Apresentação!$E$23:$E$29,ESTIMATIVA[[#This Row],[CD_UPNIVEL1]])</f>
        <v>0</v>
      </c>
    </row>
    <row r="681" spans="1:37" x14ac:dyDescent="0.3">
      <c r="A681">
        <v>20344</v>
      </c>
      <c r="B681" t="s">
        <v>36</v>
      </c>
      <c r="C681">
        <v>24</v>
      </c>
      <c r="D681">
        <v>5</v>
      </c>
      <c r="E681" t="s">
        <v>268</v>
      </c>
      <c r="F681" s="85" t="s">
        <v>331</v>
      </c>
      <c r="G681"/>
      <c r="H681" t="s">
        <v>294</v>
      </c>
      <c r="I681" t="s">
        <v>221</v>
      </c>
      <c r="J681" t="s">
        <v>176</v>
      </c>
      <c r="K681" s="1">
        <v>4.29</v>
      </c>
      <c r="L681" s="1">
        <v>0</v>
      </c>
      <c r="M681" s="1">
        <v>0</v>
      </c>
      <c r="N681" s="1">
        <v>4.29</v>
      </c>
      <c r="O681" s="1">
        <v>150.15</v>
      </c>
      <c r="P681" s="1">
        <v>0</v>
      </c>
      <c r="Q681" s="1">
        <v>0</v>
      </c>
      <c r="R681" s="1">
        <v>175.48</v>
      </c>
      <c r="S681" t="s">
        <v>12</v>
      </c>
      <c r="T681" s="13">
        <v>45816</v>
      </c>
      <c r="U681" s="1" t="str">
        <f>IF(ESTIMATIVA[[#This Row],[QT_AREA_REAL]]&gt;0,"1- Colhido","2- à Colher")</f>
        <v>1- Colhido</v>
      </c>
      <c r="V681" s="1" t="str">
        <f>IF(ESTIMATIVA[[#This Row],[QT_AREA_REST1]]&gt;0,"Reestimativa 1",IF(ESTIMATIVA[[#This Row],[QT_AREA_REAL]]=0,"Reestimativa 1","Realizado"))</f>
        <v>Realizado</v>
      </c>
      <c r="W681" s="1" t="str">
        <f>IF(ESTIMATIVA[[#This Row],[QT_AREA_REST2]]&gt;0,"Reestimativa 2",IF(ESTIMATIVA[[#This Row],[QT_AREA_REAL]]=0,"Reestimativa 2","Realizado"))</f>
        <v>Realizado</v>
      </c>
      <c r="X681" s="1">
        <f>ESTIMATIVA[[#This Row],[QT_AREA_EST]]</f>
        <v>4.29</v>
      </c>
      <c r="Y681" s="1">
        <f>IF(ESTIMATIVA[[#This Row],[QT_AREA_REST1]]&gt;0,ESTIMATIVA[[#This Row],[QT_AREA_REST1]],
  IF(ESTIMATIVA[[#This Row],[QT_AREA_REAL]]&gt;0,ESTIMATIVA[[#This Row],[QT_AREA_REAL]],ESTIMATIVA[[#This Row],[QT_AREA_EST]]))</f>
        <v>4.29</v>
      </c>
      <c r="Z68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4.29</v>
      </c>
      <c r="AA681" s="1">
        <f>ESTIMATIVA[[#This Row],[QT_CANA_EST]]</f>
        <v>150.15</v>
      </c>
      <c r="AB681" s="1">
        <f>IF(ESTIMATIVA[[#This Row],[QT_CANA_REST1]]&gt;0,ESTIMATIVA[[#This Row],[QT_CANA_REST1]],
  IF(ESTIMATIVA[[#This Row],[QT_CANA_REAL]]&gt;0,ESTIMATIVA[[#This Row],[QT_CANA_REAL]],ESTIMATIVA[[#This Row],[QT_CANA_EST]]))</f>
        <v>175.48</v>
      </c>
      <c r="AC68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175.48</v>
      </c>
      <c r="AD681" s="1">
        <f>IF(ESTIMATIVA[[#This Row],[QT_AREA_REAL]]&gt;0,ESTIMATIVA[[#This Row],[QT_CANA_REAL]],ESTIMATIVA[[#This Row],[QT_CANA_EST]])</f>
        <v>175.48</v>
      </c>
      <c r="AE681" s="1">
        <f>IF(ESTIMATIVA[[#This Row],[QT_AREA_REAL]]&gt;0,ESTIMATIVA[[#This Row],[QT_CANA_REAL]],ESTIMATIVA[[#This Row],[QT_CANA_REST1]])</f>
        <v>175.48</v>
      </c>
      <c r="AF681" s="1">
        <f>IF(ESTIMATIVA[[#This Row],[QT_AREA_REAL]]&gt;0,ESTIMATIVA[[#This Row],[QT_CANA_REAL]],ESTIMATIVA[[#This Row],[QT_CANA_REST2]])</f>
        <v>175.48</v>
      </c>
      <c r="AG681" s="1" t="str">
        <f>IF(COUNTIFS(GEADA!A:A,VALUE(ESTIMATIVA[[#This Row],[CD_UPNIVEL1]]&amp;TEXT(ESTIMATIVA[[#This Row],[CD_UPNIVEL3]],"0000")))&gt;0,"S","N")</f>
        <v>N</v>
      </c>
      <c r="AH68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81" s="55" t="str">
        <f>IF(ESTIMATIVA[[#This Row],[TP_CULTIVO]]="Irrigado",_xlfn.MAXIFS(IRRIGADO!J:J,IRRIGADO!C:C,ESTIMATIVA[[#This Row],[CD_UPNIVEL1]],IRRIGADO!E:E,ESTIMATIVA[[#This Row],[CD_UPNIVEL3]]),"")</f>
        <v/>
      </c>
      <c r="AJ68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81" s="1">
        <f>COUNTIFS(Apresentação!$E$23:$E$29,ESTIMATIVA[[#This Row],[CD_UPNIVEL1]])</f>
        <v>0</v>
      </c>
    </row>
    <row r="682" spans="1:37" x14ac:dyDescent="0.3">
      <c r="A682">
        <v>20344</v>
      </c>
      <c r="B682" t="s">
        <v>36</v>
      </c>
      <c r="C682">
        <v>25</v>
      </c>
      <c r="D682">
        <v>5</v>
      </c>
      <c r="E682" t="s">
        <v>268</v>
      </c>
      <c r="F682" s="85" t="s">
        <v>331</v>
      </c>
      <c r="G682"/>
      <c r="H682" t="s">
        <v>294</v>
      </c>
      <c r="I682" t="s">
        <v>221</v>
      </c>
      <c r="J682" t="s">
        <v>176</v>
      </c>
      <c r="K682" s="1">
        <v>2.5</v>
      </c>
      <c r="L682" s="1">
        <v>0</v>
      </c>
      <c r="M682" s="1">
        <v>0</v>
      </c>
      <c r="N682" s="1">
        <v>2.5</v>
      </c>
      <c r="O682" s="1">
        <v>87.5</v>
      </c>
      <c r="P682" s="1">
        <v>0</v>
      </c>
      <c r="Q682" s="1">
        <v>0</v>
      </c>
      <c r="R682" s="1">
        <v>103.11</v>
      </c>
      <c r="S682" t="s">
        <v>12</v>
      </c>
      <c r="T682" s="13">
        <v>45816</v>
      </c>
      <c r="U682" s="1" t="str">
        <f>IF(ESTIMATIVA[[#This Row],[QT_AREA_REAL]]&gt;0,"1- Colhido","2- à Colher")</f>
        <v>1- Colhido</v>
      </c>
      <c r="V682" s="1" t="str">
        <f>IF(ESTIMATIVA[[#This Row],[QT_AREA_REST1]]&gt;0,"Reestimativa 1",IF(ESTIMATIVA[[#This Row],[QT_AREA_REAL]]=0,"Reestimativa 1","Realizado"))</f>
        <v>Realizado</v>
      </c>
      <c r="W682" s="1" t="str">
        <f>IF(ESTIMATIVA[[#This Row],[QT_AREA_REST2]]&gt;0,"Reestimativa 2",IF(ESTIMATIVA[[#This Row],[QT_AREA_REAL]]=0,"Reestimativa 2","Realizado"))</f>
        <v>Realizado</v>
      </c>
      <c r="X682" s="1">
        <f>ESTIMATIVA[[#This Row],[QT_AREA_EST]]</f>
        <v>2.5</v>
      </c>
      <c r="Y682" s="1">
        <f>IF(ESTIMATIVA[[#This Row],[QT_AREA_REST1]]&gt;0,ESTIMATIVA[[#This Row],[QT_AREA_REST1]],
  IF(ESTIMATIVA[[#This Row],[QT_AREA_REAL]]&gt;0,ESTIMATIVA[[#This Row],[QT_AREA_REAL]],ESTIMATIVA[[#This Row],[QT_AREA_EST]]))</f>
        <v>2.5</v>
      </c>
      <c r="Z68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2.5</v>
      </c>
      <c r="AA682" s="1">
        <f>ESTIMATIVA[[#This Row],[QT_CANA_EST]]</f>
        <v>87.5</v>
      </c>
      <c r="AB682" s="1">
        <f>IF(ESTIMATIVA[[#This Row],[QT_CANA_REST1]]&gt;0,ESTIMATIVA[[#This Row],[QT_CANA_REST1]],
  IF(ESTIMATIVA[[#This Row],[QT_CANA_REAL]]&gt;0,ESTIMATIVA[[#This Row],[QT_CANA_REAL]],ESTIMATIVA[[#This Row],[QT_CANA_EST]]))</f>
        <v>103.11</v>
      </c>
      <c r="AC68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103.11</v>
      </c>
      <c r="AD682" s="1">
        <f>IF(ESTIMATIVA[[#This Row],[QT_AREA_REAL]]&gt;0,ESTIMATIVA[[#This Row],[QT_CANA_REAL]],ESTIMATIVA[[#This Row],[QT_CANA_EST]])</f>
        <v>103.11</v>
      </c>
      <c r="AE682" s="1">
        <f>IF(ESTIMATIVA[[#This Row],[QT_AREA_REAL]]&gt;0,ESTIMATIVA[[#This Row],[QT_CANA_REAL]],ESTIMATIVA[[#This Row],[QT_CANA_REST1]])</f>
        <v>103.11</v>
      </c>
      <c r="AF682" s="1">
        <f>IF(ESTIMATIVA[[#This Row],[QT_AREA_REAL]]&gt;0,ESTIMATIVA[[#This Row],[QT_CANA_REAL]],ESTIMATIVA[[#This Row],[QT_CANA_REST2]])</f>
        <v>103.11</v>
      </c>
      <c r="AG682" s="1" t="str">
        <f>IF(COUNTIFS(GEADA!A:A,VALUE(ESTIMATIVA[[#This Row],[CD_UPNIVEL1]]&amp;TEXT(ESTIMATIVA[[#This Row],[CD_UPNIVEL3]],"0000")))&gt;0,"S","N")</f>
        <v>N</v>
      </c>
      <c r="AH68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82" s="55" t="str">
        <f>IF(ESTIMATIVA[[#This Row],[TP_CULTIVO]]="Irrigado",_xlfn.MAXIFS(IRRIGADO!J:J,IRRIGADO!C:C,ESTIMATIVA[[#This Row],[CD_UPNIVEL1]],IRRIGADO!E:E,ESTIMATIVA[[#This Row],[CD_UPNIVEL3]]),"")</f>
        <v/>
      </c>
      <c r="AJ68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82" s="1">
        <f>COUNTIFS(Apresentação!$E$23:$E$29,ESTIMATIVA[[#This Row],[CD_UPNIVEL1]])</f>
        <v>0</v>
      </c>
    </row>
    <row r="683" spans="1:37" x14ac:dyDescent="0.3">
      <c r="A683">
        <v>20345</v>
      </c>
      <c r="B683" t="s">
        <v>132</v>
      </c>
      <c r="C683">
        <v>1</v>
      </c>
      <c r="D683">
        <v>3</v>
      </c>
      <c r="E683" t="s">
        <v>263</v>
      </c>
      <c r="F683" s="85" t="s">
        <v>333</v>
      </c>
      <c r="G683"/>
      <c r="H683" t="s">
        <v>295</v>
      </c>
      <c r="I683" t="s">
        <v>207</v>
      </c>
      <c r="J683" t="s">
        <v>176</v>
      </c>
      <c r="K683" s="1">
        <v>24.57</v>
      </c>
      <c r="L683" s="1">
        <v>24.57</v>
      </c>
      <c r="M683" s="1">
        <v>24.57</v>
      </c>
      <c r="N683" s="1">
        <v>24.57</v>
      </c>
      <c r="O683" s="1">
        <v>1769.04</v>
      </c>
      <c r="P683" s="1">
        <v>1719.9</v>
      </c>
      <c r="Q683" s="1">
        <v>1719.9</v>
      </c>
      <c r="R683" s="1">
        <v>2449.9699999999998</v>
      </c>
      <c r="S683" t="s">
        <v>12</v>
      </c>
      <c r="T683" s="13">
        <v>45963</v>
      </c>
      <c r="U683" s="1" t="str">
        <f>IF(ESTIMATIVA[[#This Row],[QT_AREA_REAL]]&gt;0,"1- Colhido","2- à Colher")</f>
        <v>1- Colhido</v>
      </c>
      <c r="V683" s="1" t="str">
        <f>IF(ESTIMATIVA[[#This Row],[QT_AREA_REST1]]&gt;0,"Reestimativa 1",IF(ESTIMATIVA[[#This Row],[QT_AREA_REAL]]=0,"Reestimativa 1","Realizado"))</f>
        <v>Reestimativa 1</v>
      </c>
      <c r="W683" s="1" t="str">
        <f>IF(ESTIMATIVA[[#This Row],[QT_AREA_REST2]]&gt;0,"Reestimativa 2",IF(ESTIMATIVA[[#This Row],[QT_AREA_REAL]]=0,"Reestimativa 2","Realizado"))</f>
        <v>Reestimativa 2</v>
      </c>
      <c r="X683" s="1">
        <f>ESTIMATIVA[[#This Row],[QT_AREA_EST]]</f>
        <v>24.57</v>
      </c>
      <c r="Y683" s="1">
        <f>IF(ESTIMATIVA[[#This Row],[QT_AREA_REST1]]&gt;0,ESTIMATIVA[[#This Row],[QT_AREA_REST1]],
  IF(ESTIMATIVA[[#This Row],[QT_AREA_REAL]]&gt;0,ESTIMATIVA[[#This Row],[QT_AREA_REAL]],ESTIMATIVA[[#This Row],[QT_AREA_EST]]))</f>
        <v>24.57</v>
      </c>
      <c r="Z68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24.57</v>
      </c>
      <c r="AA683" s="1">
        <f>ESTIMATIVA[[#This Row],[QT_CANA_EST]]</f>
        <v>1769.04</v>
      </c>
      <c r="AB683" s="1">
        <f>IF(ESTIMATIVA[[#This Row],[QT_CANA_REST1]]&gt;0,ESTIMATIVA[[#This Row],[QT_CANA_REST1]],
  IF(ESTIMATIVA[[#This Row],[QT_CANA_REAL]]&gt;0,ESTIMATIVA[[#This Row],[QT_CANA_REAL]],ESTIMATIVA[[#This Row],[QT_CANA_EST]]))</f>
        <v>1719.9</v>
      </c>
      <c r="AC68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1719.9</v>
      </c>
      <c r="AD683" s="1">
        <f>IF(ESTIMATIVA[[#This Row],[QT_AREA_REAL]]&gt;0,ESTIMATIVA[[#This Row],[QT_CANA_REAL]],ESTIMATIVA[[#This Row],[QT_CANA_EST]])</f>
        <v>2449.9699999999998</v>
      </c>
      <c r="AE683" s="1">
        <f>IF(ESTIMATIVA[[#This Row],[QT_AREA_REAL]]&gt;0,ESTIMATIVA[[#This Row],[QT_CANA_REAL]],ESTIMATIVA[[#This Row],[QT_CANA_REST1]])</f>
        <v>2449.9699999999998</v>
      </c>
      <c r="AF683" s="1">
        <f>IF(ESTIMATIVA[[#This Row],[QT_AREA_REAL]]&gt;0,ESTIMATIVA[[#This Row],[QT_CANA_REAL]],ESTIMATIVA[[#This Row],[QT_CANA_REST2]])</f>
        <v>2449.9699999999998</v>
      </c>
      <c r="AG683" s="1" t="str">
        <f>IF(COUNTIFS(GEADA!A:A,VALUE(ESTIMATIVA[[#This Row],[CD_UPNIVEL1]]&amp;TEXT(ESTIMATIVA[[#This Row],[CD_UPNIVEL3]],"0000")))&gt;0,"S","N")</f>
        <v>N</v>
      </c>
      <c r="AH683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683" s="55">
        <f>IF(ESTIMATIVA[[#This Row],[TP_CULTIVO]]="Irrigado",_xlfn.MAXIFS(IRRIGADO!J:J,IRRIGADO!C:C,ESTIMATIVA[[#This Row],[CD_UPNIVEL1]],IRRIGADO!E:E,ESTIMATIVA[[#This Row],[CD_UPNIVEL3]]),"")</f>
        <v>45596</v>
      </c>
      <c r="AJ683" s="1">
        <f>IF(ESTIMATIVA[[#This Row],[TP_CULTIVO]]&lt;&gt;"Irrigado",0,AVERAGEIFS(IRRIGADO!G:G,IRRIGADO!C:C,ESTIMATIVA[[#This Row],[CD_UPNIVEL1]],IRRIGADO!E:E,ESTIMATIVA[[#This Row],[CD_UPNIVEL3]])*ESTIMATIVA[[#This Row],[QT_AREA_REAL]])</f>
        <v>638.82000000000005</v>
      </c>
      <c r="AK683" s="1">
        <f>COUNTIFS(Apresentação!$E$23:$E$29,ESTIMATIVA[[#This Row],[CD_UPNIVEL1]])</f>
        <v>1</v>
      </c>
    </row>
    <row r="684" spans="1:37" x14ac:dyDescent="0.3">
      <c r="A684">
        <v>20345</v>
      </c>
      <c r="B684" t="s">
        <v>132</v>
      </c>
      <c r="C684">
        <v>2</v>
      </c>
      <c r="D684">
        <v>3</v>
      </c>
      <c r="E684" t="s">
        <v>263</v>
      </c>
      <c r="F684" s="85" t="s">
        <v>333</v>
      </c>
      <c r="G684"/>
      <c r="H684" t="s">
        <v>295</v>
      </c>
      <c r="I684" t="s">
        <v>207</v>
      </c>
      <c r="J684" t="s">
        <v>176</v>
      </c>
      <c r="K684" s="1">
        <v>23.3</v>
      </c>
      <c r="L684" s="1">
        <v>23.3</v>
      </c>
      <c r="M684" s="1">
        <v>23.3</v>
      </c>
      <c r="N684" s="1">
        <v>23.3</v>
      </c>
      <c r="O684" s="1">
        <v>1677.6</v>
      </c>
      <c r="P684" s="1">
        <v>1631</v>
      </c>
      <c r="Q684" s="1">
        <v>1631</v>
      </c>
      <c r="R684" s="1">
        <v>1065.52</v>
      </c>
      <c r="S684" t="s">
        <v>12</v>
      </c>
      <c r="T684" s="13">
        <v>45942</v>
      </c>
      <c r="U684" s="1" t="str">
        <f>IF(ESTIMATIVA[[#This Row],[QT_AREA_REAL]]&gt;0,"1- Colhido","2- à Colher")</f>
        <v>1- Colhido</v>
      </c>
      <c r="V684" s="1" t="str">
        <f>IF(ESTIMATIVA[[#This Row],[QT_AREA_REST1]]&gt;0,"Reestimativa 1",IF(ESTIMATIVA[[#This Row],[QT_AREA_REAL]]=0,"Reestimativa 1","Realizado"))</f>
        <v>Reestimativa 1</v>
      </c>
      <c r="W684" s="1" t="str">
        <f>IF(ESTIMATIVA[[#This Row],[QT_AREA_REST2]]&gt;0,"Reestimativa 2",IF(ESTIMATIVA[[#This Row],[QT_AREA_REAL]]=0,"Reestimativa 2","Realizado"))</f>
        <v>Reestimativa 2</v>
      </c>
      <c r="X684" s="1">
        <f>ESTIMATIVA[[#This Row],[QT_AREA_EST]]</f>
        <v>23.3</v>
      </c>
      <c r="Y684" s="1">
        <f>IF(ESTIMATIVA[[#This Row],[QT_AREA_REST1]]&gt;0,ESTIMATIVA[[#This Row],[QT_AREA_REST1]],
  IF(ESTIMATIVA[[#This Row],[QT_AREA_REAL]]&gt;0,ESTIMATIVA[[#This Row],[QT_AREA_REAL]],ESTIMATIVA[[#This Row],[QT_AREA_EST]]))</f>
        <v>23.3</v>
      </c>
      <c r="Z68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23.3</v>
      </c>
      <c r="AA684" s="1">
        <f>ESTIMATIVA[[#This Row],[QT_CANA_EST]]</f>
        <v>1677.6</v>
      </c>
      <c r="AB684" s="1">
        <f>IF(ESTIMATIVA[[#This Row],[QT_CANA_REST1]]&gt;0,ESTIMATIVA[[#This Row],[QT_CANA_REST1]],
  IF(ESTIMATIVA[[#This Row],[QT_CANA_REAL]]&gt;0,ESTIMATIVA[[#This Row],[QT_CANA_REAL]],ESTIMATIVA[[#This Row],[QT_CANA_EST]]))</f>
        <v>1631</v>
      </c>
      <c r="AC68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1631</v>
      </c>
      <c r="AD684" s="1">
        <f>IF(ESTIMATIVA[[#This Row],[QT_AREA_REAL]]&gt;0,ESTIMATIVA[[#This Row],[QT_CANA_REAL]],ESTIMATIVA[[#This Row],[QT_CANA_EST]])</f>
        <v>1065.52</v>
      </c>
      <c r="AE684" s="1">
        <f>IF(ESTIMATIVA[[#This Row],[QT_AREA_REAL]]&gt;0,ESTIMATIVA[[#This Row],[QT_CANA_REAL]],ESTIMATIVA[[#This Row],[QT_CANA_REST1]])</f>
        <v>1065.52</v>
      </c>
      <c r="AF684" s="1">
        <f>IF(ESTIMATIVA[[#This Row],[QT_AREA_REAL]]&gt;0,ESTIMATIVA[[#This Row],[QT_CANA_REAL]],ESTIMATIVA[[#This Row],[QT_CANA_REST2]])</f>
        <v>1065.52</v>
      </c>
      <c r="AG684" s="1" t="str">
        <f>IF(COUNTIFS(GEADA!A:A,VALUE(ESTIMATIVA[[#This Row],[CD_UPNIVEL1]]&amp;TEXT(ESTIMATIVA[[#This Row],[CD_UPNIVEL3]],"0000")))&gt;0,"S","N")</f>
        <v>N</v>
      </c>
      <c r="AH684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684" s="55">
        <f>IF(ESTIMATIVA[[#This Row],[TP_CULTIVO]]="Irrigado",_xlfn.MAXIFS(IRRIGADO!J:J,IRRIGADO!C:C,ESTIMATIVA[[#This Row],[CD_UPNIVEL1]],IRRIGADO!E:E,ESTIMATIVA[[#This Row],[CD_UPNIVEL3]]),"")</f>
        <v>45596</v>
      </c>
      <c r="AJ684" s="1">
        <f>IF(ESTIMATIVA[[#This Row],[TP_CULTIVO]]&lt;&gt;"Irrigado",0,AVERAGEIFS(IRRIGADO!G:G,IRRIGADO!C:C,ESTIMATIVA[[#This Row],[CD_UPNIVEL1]],IRRIGADO!E:E,ESTIMATIVA[[#This Row],[CD_UPNIVEL3]])*ESTIMATIVA[[#This Row],[QT_AREA_REAL]])</f>
        <v>605.80000000000007</v>
      </c>
      <c r="AK684" s="1">
        <f>COUNTIFS(Apresentação!$E$23:$E$29,ESTIMATIVA[[#This Row],[CD_UPNIVEL1]])</f>
        <v>1</v>
      </c>
    </row>
    <row r="685" spans="1:37" x14ac:dyDescent="0.3">
      <c r="A685">
        <v>20345</v>
      </c>
      <c r="B685" t="s">
        <v>132</v>
      </c>
      <c r="C685">
        <v>3</v>
      </c>
      <c r="D685">
        <v>3</v>
      </c>
      <c r="E685" t="s">
        <v>263</v>
      </c>
      <c r="F685" s="85" t="s">
        <v>333</v>
      </c>
      <c r="G685"/>
      <c r="H685" t="s">
        <v>295</v>
      </c>
      <c r="I685" t="s">
        <v>207</v>
      </c>
      <c r="J685" t="s">
        <v>176</v>
      </c>
      <c r="K685" s="1">
        <v>25.17</v>
      </c>
      <c r="L685" s="1">
        <v>25.17</v>
      </c>
      <c r="M685" s="1">
        <v>25.17</v>
      </c>
      <c r="N685" s="1">
        <v>25.17</v>
      </c>
      <c r="O685" s="1">
        <v>1812.24</v>
      </c>
      <c r="P685" s="1">
        <v>1761.9</v>
      </c>
      <c r="Q685" s="1">
        <v>1761.9</v>
      </c>
      <c r="R685" s="1">
        <v>1151.0999999999999</v>
      </c>
      <c r="S685" t="s">
        <v>12</v>
      </c>
      <c r="T685" s="13">
        <v>45942</v>
      </c>
      <c r="U685" s="1" t="str">
        <f>IF(ESTIMATIVA[[#This Row],[QT_AREA_REAL]]&gt;0,"1- Colhido","2- à Colher")</f>
        <v>1- Colhido</v>
      </c>
      <c r="V685" s="1" t="str">
        <f>IF(ESTIMATIVA[[#This Row],[QT_AREA_REST1]]&gt;0,"Reestimativa 1",IF(ESTIMATIVA[[#This Row],[QT_AREA_REAL]]=0,"Reestimativa 1","Realizado"))</f>
        <v>Reestimativa 1</v>
      </c>
      <c r="W685" s="1" t="str">
        <f>IF(ESTIMATIVA[[#This Row],[QT_AREA_REST2]]&gt;0,"Reestimativa 2",IF(ESTIMATIVA[[#This Row],[QT_AREA_REAL]]=0,"Reestimativa 2","Realizado"))</f>
        <v>Reestimativa 2</v>
      </c>
      <c r="X685" s="1">
        <f>ESTIMATIVA[[#This Row],[QT_AREA_EST]]</f>
        <v>25.17</v>
      </c>
      <c r="Y685" s="1">
        <f>IF(ESTIMATIVA[[#This Row],[QT_AREA_REST1]]&gt;0,ESTIMATIVA[[#This Row],[QT_AREA_REST1]],
  IF(ESTIMATIVA[[#This Row],[QT_AREA_REAL]]&gt;0,ESTIMATIVA[[#This Row],[QT_AREA_REAL]],ESTIMATIVA[[#This Row],[QT_AREA_EST]]))</f>
        <v>25.17</v>
      </c>
      <c r="Z68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25.17</v>
      </c>
      <c r="AA685" s="1">
        <f>ESTIMATIVA[[#This Row],[QT_CANA_EST]]</f>
        <v>1812.24</v>
      </c>
      <c r="AB685" s="1">
        <f>IF(ESTIMATIVA[[#This Row],[QT_CANA_REST1]]&gt;0,ESTIMATIVA[[#This Row],[QT_CANA_REST1]],
  IF(ESTIMATIVA[[#This Row],[QT_CANA_REAL]]&gt;0,ESTIMATIVA[[#This Row],[QT_CANA_REAL]],ESTIMATIVA[[#This Row],[QT_CANA_EST]]))</f>
        <v>1761.9</v>
      </c>
      <c r="AC68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1761.9</v>
      </c>
      <c r="AD685" s="1">
        <f>IF(ESTIMATIVA[[#This Row],[QT_AREA_REAL]]&gt;0,ESTIMATIVA[[#This Row],[QT_CANA_REAL]],ESTIMATIVA[[#This Row],[QT_CANA_EST]])</f>
        <v>1151.0999999999999</v>
      </c>
      <c r="AE685" s="1">
        <f>IF(ESTIMATIVA[[#This Row],[QT_AREA_REAL]]&gt;0,ESTIMATIVA[[#This Row],[QT_CANA_REAL]],ESTIMATIVA[[#This Row],[QT_CANA_REST1]])</f>
        <v>1151.0999999999999</v>
      </c>
      <c r="AF685" s="1">
        <f>IF(ESTIMATIVA[[#This Row],[QT_AREA_REAL]]&gt;0,ESTIMATIVA[[#This Row],[QT_CANA_REAL]],ESTIMATIVA[[#This Row],[QT_CANA_REST2]])</f>
        <v>1151.0999999999999</v>
      </c>
      <c r="AG685" s="1" t="str">
        <f>IF(COUNTIFS(GEADA!A:A,VALUE(ESTIMATIVA[[#This Row],[CD_UPNIVEL1]]&amp;TEXT(ESTIMATIVA[[#This Row],[CD_UPNIVEL3]],"0000")))&gt;0,"S","N")</f>
        <v>N</v>
      </c>
      <c r="AH685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685" s="55">
        <f>IF(ESTIMATIVA[[#This Row],[TP_CULTIVO]]="Irrigado",_xlfn.MAXIFS(IRRIGADO!J:J,IRRIGADO!C:C,ESTIMATIVA[[#This Row],[CD_UPNIVEL1]],IRRIGADO!E:E,ESTIMATIVA[[#This Row],[CD_UPNIVEL3]]),"")</f>
        <v>45596</v>
      </c>
      <c r="AJ685" s="1">
        <f>IF(ESTIMATIVA[[#This Row],[TP_CULTIVO]]&lt;&gt;"Irrigado",0,AVERAGEIFS(IRRIGADO!G:G,IRRIGADO!C:C,ESTIMATIVA[[#This Row],[CD_UPNIVEL1]],IRRIGADO!E:E,ESTIMATIVA[[#This Row],[CD_UPNIVEL3]])*ESTIMATIVA[[#This Row],[QT_AREA_REAL]])</f>
        <v>654.42000000000007</v>
      </c>
      <c r="AK685" s="1">
        <f>COUNTIFS(Apresentação!$E$23:$E$29,ESTIMATIVA[[#This Row],[CD_UPNIVEL1]])</f>
        <v>1</v>
      </c>
    </row>
    <row r="686" spans="1:37" x14ac:dyDescent="0.3">
      <c r="A686">
        <v>20345</v>
      </c>
      <c r="B686" t="s">
        <v>132</v>
      </c>
      <c r="C686">
        <v>4</v>
      </c>
      <c r="D686">
        <v>3</v>
      </c>
      <c r="E686" t="s">
        <v>263</v>
      </c>
      <c r="F686" s="85" t="s">
        <v>331</v>
      </c>
      <c r="G686"/>
      <c r="H686" t="s">
        <v>295</v>
      </c>
      <c r="I686" t="s">
        <v>207</v>
      </c>
      <c r="J686" t="s">
        <v>176</v>
      </c>
      <c r="K686" s="1">
        <v>21.21</v>
      </c>
      <c r="L686" s="1">
        <v>21.21</v>
      </c>
      <c r="M686" s="1">
        <v>21.21</v>
      </c>
      <c r="N686" s="1">
        <v>21.21</v>
      </c>
      <c r="O686" s="1">
        <v>1527.12</v>
      </c>
      <c r="P686" s="1">
        <v>1484.7</v>
      </c>
      <c r="Q686" s="1">
        <v>1399.86</v>
      </c>
      <c r="R686" s="1">
        <v>914.6</v>
      </c>
      <c r="S686" t="s">
        <v>12</v>
      </c>
      <c r="T686" s="13">
        <v>45942</v>
      </c>
      <c r="U686" s="1" t="str">
        <f>IF(ESTIMATIVA[[#This Row],[QT_AREA_REAL]]&gt;0,"1- Colhido","2- à Colher")</f>
        <v>1- Colhido</v>
      </c>
      <c r="V686" s="1" t="str">
        <f>IF(ESTIMATIVA[[#This Row],[QT_AREA_REST1]]&gt;0,"Reestimativa 1",IF(ESTIMATIVA[[#This Row],[QT_AREA_REAL]]=0,"Reestimativa 1","Realizado"))</f>
        <v>Reestimativa 1</v>
      </c>
      <c r="W686" s="1" t="str">
        <f>IF(ESTIMATIVA[[#This Row],[QT_AREA_REST2]]&gt;0,"Reestimativa 2",IF(ESTIMATIVA[[#This Row],[QT_AREA_REAL]]=0,"Reestimativa 2","Realizado"))</f>
        <v>Reestimativa 2</v>
      </c>
      <c r="X686" s="1">
        <f>ESTIMATIVA[[#This Row],[QT_AREA_EST]]</f>
        <v>21.21</v>
      </c>
      <c r="Y686" s="1">
        <f>IF(ESTIMATIVA[[#This Row],[QT_AREA_REST1]]&gt;0,ESTIMATIVA[[#This Row],[QT_AREA_REST1]],
  IF(ESTIMATIVA[[#This Row],[QT_AREA_REAL]]&gt;0,ESTIMATIVA[[#This Row],[QT_AREA_REAL]],ESTIMATIVA[[#This Row],[QT_AREA_EST]]))</f>
        <v>21.21</v>
      </c>
      <c r="Z68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21.21</v>
      </c>
      <c r="AA686" s="1">
        <f>ESTIMATIVA[[#This Row],[QT_CANA_EST]]</f>
        <v>1527.12</v>
      </c>
      <c r="AB686" s="1">
        <f>IF(ESTIMATIVA[[#This Row],[QT_CANA_REST1]]&gt;0,ESTIMATIVA[[#This Row],[QT_CANA_REST1]],
  IF(ESTIMATIVA[[#This Row],[QT_CANA_REAL]]&gt;0,ESTIMATIVA[[#This Row],[QT_CANA_REAL]],ESTIMATIVA[[#This Row],[QT_CANA_EST]]))</f>
        <v>1484.7</v>
      </c>
      <c r="AC68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1399.86</v>
      </c>
      <c r="AD686" s="1">
        <f>IF(ESTIMATIVA[[#This Row],[QT_AREA_REAL]]&gt;0,ESTIMATIVA[[#This Row],[QT_CANA_REAL]],ESTIMATIVA[[#This Row],[QT_CANA_EST]])</f>
        <v>914.6</v>
      </c>
      <c r="AE686" s="1">
        <f>IF(ESTIMATIVA[[#This Row],[QT_AREA_REAL]]&gt;0,ESTIMATIVA[[#This Row],[QT_CANA_REAL]],ESTIMATIVA[[#This Row],[QT_CANA_REST1]])</f>
        <v>914.6</v>
      </c>
      <c r="AF686" s="1">
        <f>IF(ESTIMATIVA[[#This Row],[QT_AREA_REAL]]&gt;0,ESTIMATIVA[[#This Row],[QT_CANA_REAL]],ESTIMATIVA[[#This Row],[QT_CANA_REST2]])</f>
        <v>914.6</v>
      </c>
      <c r="AG686" s="1" t="str">
        <f>IF(COUNTIFS(GEADA!A:A,VALUE(ESTIMATIVA[[#This Row],[CD_UPNIVEL1]]&amp;TEXT(ESTIMATIVA[[#This Row],[CD_UPNIVEL3]],"0000")))&gt;0,"S","N")</f>
        <v>S</v>
      </c>
      <c r="AH686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686" s="55">
        <f>IF(ESTIMATIVA[[#This Row],[TP_CULTIVO]]="Irrigado",_xlfn.MAXIFS(IRRIGADO!J:J,IRRIGADO!C:C,ESTIMATIVA[[#This Row],[CD_UPNIVEL1]],IRRIGADO!E:E,ESTIMATIVA[[#This Row],[CD_UPNIVEL3]]),"")</f>
        <v>45596</v>
      </c>
      <c r="AJ686" s="1">
        <f>IF(ESTIMATIVA[[#This Row],[TP_CULTIVO]]&lt;&gt;"Irrigado",0,AVERAGEIFS(IRRIGADO!G:G,IRRIGADO!C:C,ESTIMATIVA[[#This Row],[CD_UPNIVEL1]],IRRIGADO!E:E,ESTIMATIVA[[#This Row],[CD_UPNIVEL3]])*ESTIMATIVA[[#This Row],[QT_AREA_REAL]])</f>
        <v>551.46</v>
      </c>
      <c r="AK686" s="1">
        <f>COUNTIFS(Apresentação!$E$23:$E$29,ESTIMATIVA[[#This Row],[CD_UPNIVEL1]])</f>
        <v>1</v>
      </c>
    </row>
    <row r="687" spans="1:37" x14ac:dyDescent="0.3">
      <c r="A687">
        <v>20345</v>
      </c>
      <c r="B687" t="s">
        <v>132</v>
      </c>
      <c r="C687">
        <v>5</v>
      </c>
      <c r="D687">
        <v>3</v>
      </c>
      <c r="E687" t="s">
        <v>263</v>
      </c>
      <c r="F687" s="85" t="s">
        <v>331</v>
      </c>
      <c r="G687"/>
      <c r="H687" t="s">
        <v>295</v>
      </c>
      <c r="I687" t="s">
        <v>207</v>
      </c>
      <c r="J687" t="s">
        <v>176</v>
      </c>
      <c r="K687" s="1">
        <v>12.76</v>
      </c>
      <c r="L687" s="1">
        <v>12.76</v>
      </c>
      <c r="M687" s="1">
        <v>12.76</v>
      </c>
      <c r="N687" s="1">
        <v>12.76</v>
      </c>
      <c r="O687" s="1">
        <v>918.72</v>
      </c>
      <c r="P687" s="1">
        <v>893.2</v>
      </c>
      <c r="Q687" s="1">
        <v>842.16</v>
      </c>
      <c r="R687" s="1">
        <v>550.28</v>
      </c>
      <c r="S687" t="s">
        <v>12</v>
      </c>
      <c r="T687" s="13">
        <v>45942</v>
      </c>
      <c r="U687" s="1" t="str">
        <f>IF(ESTIMATIVA[[#This Row],[QT_AREA_REAL]]&gt;0,"1- Colhido","2- à Colher")</f>
        <v>1- Colhido</v>
      </c>
      <c r="V687" s="1" t="str">
        <f>IF(ESTIMATIVA[[#This Row],[QT_AREA_REST1]]&gt;0,"Reestimativa 1",IF(ESTIMATIVA[[#This Row],[QT_AREA_REAL]]=0,"Reestimativa 1","Realizado"))</f>
        <v>Reestimativa 1</v>
      </c>
      <c r="W687" s="1" t="str">
        <f>IF(ESTIMATIVA[[#This Row],[QT_AREA_REST2]]&gt;0,"Reestimativa 2",IF(ESTIMATIVA[[#This Row],[QT_AREA_REAL]]=0,"Reestimativa 2","Realizado"))</f>
        <v>Reestimativa 2</v>
      </c>
      <c r="X687" s="1">
        <f>ESTIMATIVA[[#This Row],[QT_AREA_EST]]</f>
        <v>12.76</v>
      </c>
      <c r="Y687" s="1">
        <f>IF(ESTIMATIVA[[#This Row],[QT_AREA_REST1]]&gt;0,ESTIMATIVA[[#This Row],[QT_AREA_REST1]],
  IF(ESTIMATIVA[[#This Row],[QT_AREA_REAL]]&gt;0,ESTIMATIVA[[#This Row],[QT_AREA_REAL]],ESTIMATIVA[[#This Row],[QT_AREA_EST]]))</f>
        <v>12.76</v>
      </c>
      <c r="Z68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12.76</v>
      </c>
      <c r="AA687" s="1">
        <f>ESTIMATIVA[[#This Row],[QT_CANA_EST]]</f>
        <v>918.72</v>
      </c>
      <c r="AB687" s="1">
        <f>IF(ESTIMATIVA[[#This Row],[QT_CANA_REST1]]&gt;0,ESTIMATIVA[[#This Row],[QT_CANA_REST1]],
  IF(ESTIMATIVA[[#This Row],[QT_CANA_REAL]]&gt;0,ESTIMATIVA[[#This Row],[QT_CANA_REAL]],ESTIMATIVA[[#This Row],[QT_CANA_EST]]))</f>
        <v>893.2</v>
      </c>
      <c r="AC68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842.16</v>
      </c>
      <c r="AD687" s="1">
        <f>IF(ESTIMATIVA[[#This Row],[QT_AREA_REAL]]&gt;0,ESTIMATIVA[[#This Row],[QT_CANA_REAL]],ESTIMATIVA[[#This Row],[QT_CANA_EST]])</f>
        <v>550.28</v>
      </c>
      <c r="AE687" s="1">
        <f>IF(ESTIMATIVA[[#This Row],[QT_AREA_REAL]]&gt;0,ESTIMATIVA[[#This Row],[QT_CANA_REAL]],ESTIMATIVA[[#This Row],[QT_CANA_REST1]])</f>
        <v>550.28</v>
      </c>
      <c r="AF687" s="1">
        <f>IF(ESTIMATIVA[[#This Row],[QT_AREA_REAL]]&gt;0,ESTIMATIVA[[#This Row],[QT_CANA_REAL]],ESTIMATIVA[[#This Row],[QT_CANA_REST2]])</f>
        <v>550.28</v>
      </c>
      <c r="AG687" s="1" t="str">
        <f>IF(COUNTIFS(GEADA!A:A,VALUE(ESTIMATIVA[[#This Row],[CD_UPNIVEL1]]&amp;TEXT(ESTIMATIVA[[#This Row],[CD_UPNIVEL3]],"0000")))&gt;0,"S","N")</f>
        <v>S</v>
      </c>
      <c r="AH687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687" s="55">
        <f>IF(ESTIMATIVA[[#This Row],[TP_CULTIVO]]="Irrigado",_xlfn.MAXIFS(IRRIGADO!J:J,IRRIGADO!C:C,ESTIMATIVA[[#This Row],[CD_UPNIVEL1]],IRRIGADO!E:E,ESTIMATIVA[[#This Row],[CD_UPNIVEL3]]),"")</f>
        <v>45596</v>
      </c>
      <c r="AJ687" s="1">
        <f>IF(ESTIMATIVA[[#This Row],[TP_CULTIVO]]&lt;&gt;"Irrigado",0,AVERAGEIFS(IRRIGADO!G:G,IRRIGADO!C:C,ESTIMATIVA[[#This Row],[CD_UPNIVEL1]],IRRIGADO!E:E,ESTIMATIVA[[#This Row],[CD_UPNIVEL3]])*ESTIMATIVA[[#This Row],[QT_AREA_REAL]])</f>
        <v>331.76</v>
      </c>
      <c r="AK687" s="1">
        <f>COUNTIFS(Apresentação!$E$23:$E$29,ESTIMATIVA[[#This Row],[CD_UPNIVEL1]])</f>
        <v>1</v>
      </c>
    </row>
    <row r="688" spans="1:37" x14ac:dyDescent="0.3">
      <c r="A688">
        <v>20346</v>
      </c>
      <c r="B688" t="s">
        <v>133</v>
      </c>
      <c r="C688">
        <v>1</v>
      </c>
      <c r="D688">
        <v>3</v>
      </c>
      <c r="E688" t="s">
        <v>263</v>
      </c>
      <c r="F688" s="85" t="s">
        <v>331</v>
      </c>
      <c r="G688"/>
      <c r="H688" t="s">
        <v>295</v>
      </c>
      <c r="I688" t="s">
        <v>207</v>
      </c>
      <c r="J688" t="s">
        <v>176</v>
      </c>
      <c r="K688" s="1">
        <v>12.71</v>
      </c>
      <c r="L688" s="1">
        <v>12.71</v>
      </c>
      <c r="M688" s="1">
        <v>12.71</v>
      </c>
      <c r="N688" s="1">
        <v>12.71</v>
      </c>
      <c r="O688" s="1">
        <v>813.44</v>
      </c>
      <c r="P688" s="1">
        <v>813.44</v>
      </c>
      <c r="Q688" s="1">
        <v>813.44</v>
      </c>
      <c r="R688" s="1">
        <v>594</v>
      </c>
      <c r="S688" t="s">
        <v>12</v>
      </c>
      <c r="T688" s="13">
        <v>45942</v>
      </c>
      <c r="U688" s="1" t="str">
        <f>IF(ESTIMATIVA[[#This Row],[QT_AREA_REAL]]&gt;0,"1- Colhido","2- à Colher")</f>
        <v>1- Colhido</v>
      </c>
      <c r="V688" s="1" t="str">
        <f>IF(ESTIMATIVA[[#This Row],[QT_AREA_REST1]]&gt;0,"Reestimativa 1",IF(ESTIMATIVA[[#This Row],[QT_AREA_REAL]]=0,"Reestimativa 1","Realizado"))</f>
        <v>Reestimativa 1</v>
      </c>
      <c r="W688" s="1" t="str">
        <f>IF(ESTIMATIVA[[#This Row],[QT_AREA_REST2]]&gt;0,"Reestimativa 2",IF(ESTIMATIVA[[#This Row],[QT_AREA_REAL]]=0,"Reestimativa 2","Realizado"))</f>
        <v>Reestimativa 2</v>
      </c>
      <c r="X688" s="1">
        <f>ESTIMATIVA[[#This Row],[QT_AREA_EST]]</f>
        <v>12.71</v>
      </c>
      <c r="Y688" s="1">
        <f>IF(ESTIMATIVA[[#This Row],[QT_AREA_REST1]]&gt;0,ESTIMATIVA[[#This Row],[QT_AREA_REST1]],
  IF(ESTIMATIVA[[#This Row],[QT_AREA_REAL]]&gt;0,ESTIMATIVA[[#This Row],[QT_AREA_REAL]],ESTIMATIVA[[#This Row],[QT_AREA_EST]]))</f>
        <v>12.71</v>
      </c>
      <c r="Z68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12.71</v>
      </c>
      <c r="AA688" s="1">
        <f>ESTIMATIVA[[#This Row],[QT_CANA_EST]]</f>
        <v>813.44</v>
      </c>
      <c r="AB688" s="1">
        <f>IF(ESTIMATIVA[[#This Row],[QT_CANA_REST1]]&gt;0,ESTIMATIVA[[#This Row],[QT_CANA_REST1]],
  IF(ESTIMATIVA[[#This Row],[QT_CANA_REAL]]&gt;0,ESTIMATIVA[[#This Row],[QT_CANA_REAL]],ESTIMATIVA[[#This Row],[QT_CANA_EST]]))</f>
        <v>813.44</v>
      </c>
      <c r="AC68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813.44</v>
      </c>
      <c r="AD688" s="1">
        <f>IF(ESTIMATIVA[[#This Row],[QT_AREA_REAL]]&gt;0,ESTIMATIVA[[#This Row],[QT_CANA_REAL]],ESTIMATIVA[[#This Row],[QT_CANA_EST]])</f>
        <v>594</v>
      </c>
      <c r="AE688" s="1">
        <f>IF(ESTIMATIVA[[#This Row],[QT_AREA_REAL]]&gt;0,ESTIMATIVA[[#This Row],[QT_CANA_REAL]],ESTIMATIVA[[#This Row],[QT_CANA_REST1]])</f>
        <v>594</v>
      </c>
      <c r="AF688" s="1">
        <f>IF(ESTIMATIVA[[#This Row],[QT_AREA_REAL]]&gt;0,ESTIMATIVA[[#This Row],[QT_CANA_REAL]],ESTIMATIVA[[#This Row],[QT_CANA_REST2]])</f>
        <v>594</v>
      </c>
      <c r="AG688" s="1" t="str">
        <f>IF(COUNTIFS(GEADA!A:A,VALUE(ESTIMATIVA[[#This Row],[CD_UPNIVEL1]]&amp;TEXT(ESTIMATIVA[[#This Row],[CD_UPNIVEL3]],"0000")))&gt;0,"S","N")</f>
        <v>N</v>
      </c>
      <c r="AH688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688" s="55">
        <f>IF(ESTIMATIVA[[#This Row],[TP_CULTIVO]]="Irrigado",_xlfn.MAXIFS(IRRIGADO!J:J,IRRIGADO!C:C,ESTIMATIVA[[#This Row],[CD_UPNIVEL1]],IRRIGADO!E:E,ESTIMATIVA[[#This Row],[CD_UPNIVEL3]]),"")</f>
        <v>45596</v>
      </c>
      <c r="AJ688" s="1">
        <f>IF(ESTIMATIVA[[#This Row],[TP_CULTIVO]]&lt;&gt;"Irrigado",0,AVERAGEIFS(IRRIGADO!G:G,IRRIGADO!C:C,ESTIMATIVA[[#This Row],[CD_UPNIVEL1]],IRRIGADO!E:E,ESTIMATIVA[[#This Row],[CD_UPNIVEL3]])*ESTIMATIVA[[#This Row],[QT_AREA_REAL]])</f>
        <v>330.46000000000004</v>
      </c>
      <c r="AK688" s="1">
        <f>COUNTIFS(Apresentação!$E$23:$E$29,ESTIMATIVA[[#This Row],[CD_UPNIVEL1]])</f>
        <v>1</v>
      </c>
    </row>
    <row r="689" spans="1:37" x14ac:dyDescent="0.3">
      <c r="A689">
        <v>20346</v>
      </c>
      <c r="B689" t="s">
        <v>133</v>
      </c>
      <c r="C689">
        <v>2</v>
      </c>
      <c r="D689">
        <v>3</v>
      </c>
      <c r="E689" t="s">
        <v>263</v>
      </c>
      <c r="F689" s="85" t="s">
        <v>333</v>
      </c>
      <c r="G689"/>
      <c r="H689" t="s">
        <v>295</v>
      </c>
      <c r="I689" t="s">
        <v>207</v>
      </c>
      <c r="J689" t="s">
        <v>176</v>
      </c>
      <c r="K689" s="1">
        <v>11.15</v>
      </c>
      <c r="L689" s="1">
        <v>11.15</v>
      </c>
      <c r="M689" s="1">
        <v>11.15</v>
      </c>
      <c r="N689" s="1">
        <v>11.15</v>
      </c>
      <c r="O689" s="1">
        <v>713.6</v>
      </c>
      <c r="P689" s="1">
        <v>624.4</v>
      </c>
      <c r="Q689" s="1">
        <v>624.4</v>
      </c>
      <c r="R689" s="1">
        <v>455.94</v>
      </c>
      <c r="S689" t="s">
        <v>12</v>
      </c>
      <c r="T689" s="13">
        <v>45942</v>
      </c>
      <c r="U689" s="1" t="str">
        <f>IF(ESTIMATIVA[[#This Row],[QT_AREA_REAL]]&gt;0,"1- Colhido","2- à Colher")</f>
        <v>1- Colhido</v>
      </c>
      <c r="V689" s="1" t="str">
        <f>IF(ESTIMATIVA[[#This Row],[QT_AREA_REST1]]&gt;0,"Reestimativa 1",IF(ESTIMATIVA[[#This Row],[QT_AREA_REAL]]=0,"Reestimativa 1","Realizado"))</f>
        <v>Reestimativa 1</v>
      </c>
      <c r="W689" s="1" t="str">
        <f>IF(ESTIMATIVA[[#This Row],[QT_AREA_REST2]]&gt;0,"Reestimativa 2",IF(ESTIMATIVA[[#This Row],[QT_AREA_REAL]]=0,"Reestimativa 2","Realizado"))</f>
        <v>Reestimativa 2</v>
      </c>
      <c r="X689" s="1">
        <f>ESTIMATIVA[[#This Row],[QT_AREA_EST]]</f>
        <v>11.15</v>
      </c>
      <c r="Y689" s="1">
        <f>IF(ESTIMATIVA[[#This Row],[QT_AREA_REST1]]&gt;0,ESTIMATIVA[[#This Row],[QT_AREA_REST1]],
  IF(ESTIMATIVA[[#This Row],[QT_AREA_REAL]]&gt;0,ESTIMATIVA[[#This Row],[QT_AREA_REAL]],ESTIMATIVA[[#This Row],[QT_AREA_EST]]))</f>
        <v>11.15</v>
      </c>
      <c r="Z68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11.15</v>
      </c>
      <c r="AA689" s="1">
        <f>ESTIMATIVA[[#This Row],[QT_CANA_EST]]</f>
        <v>713.6</v>
      </c>
      <c r="AB689" s="1">
        <f>IF(ESTIMATIVA[[#This Row],[QT_CANA_REST1]]&gt;0,ESTIMATIVA[[#This Row],[QT_CANA_REST1]],
  IF(ESTIMATIVA[[#This Row],[QT_CANA_REAL]]&gt;0,ESTIMATIVA[[#This Row],[QT_CANA_REAL]],ESTIMATIVA[[#This Row],[QT_CANA_EST]]))</f>
        <v>624.4</v>
      </c>
      <c r="AC68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624.4</v>
      </c>
      <c r="AD689" s="1">
        <f>IF(ESTIMATIVA[[#This Row],[QT_AREA_REAL]]&gt;0,ESTIMATIVA[[#This Row],[QT_CANA_REAL]],ESTIMATIVA[[#This Row],[QT_CANA_EST]])</f>
        <v>455.94</v>
      </c>
      <c r="AE689" s="1">
        <f>IF(ESTIMATIVA[[#This Row],[QT_AREA_REAL]]&gt;0,ESTIMATIVA[[#This Row],[QT_CANA_REAL]],ESTIMATIVA[[#This Row],[QT_CANA_REST1]])</f>
        <v>455.94</v>
      </c>
      <c r="AF689" s="1">
        <f>IF(ESTIMATIVA[[#This Row],[QT_AREA_REAL]]&gt;0,ESTIMATIVA[[#This Row],[QT_CANA_REAL]],ESTIMATIVA[[#This Row],[QT_CANA_REST2]])</f>
        <v>455.94</v>
      </c>
      <c r="AG689" s="1" t="str">
        <f>IF(COUNTIFS(GEADA!A:A,VALUE(ESTIMATIVA[[#This Row],[CD_UPNIVEL1]]&amp;TEXT(ESTIMATIVA[[#This Row],[CD_UPNIVEL3]],"0000")))&gt;0,"S","N")</f>
        <v>N</v>
      </c>
      <c r="AH689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689" s="55">
        <f>IF(ESTIMATIVA[[#This Row],[TP_CULTIVO]]="Irrigado",_xlfn.MAXIFS(IRRIGADO!J:J,IRRIGADO!C:C,ESTIMATIVA[[#This Row],[CD_UPNIVEL1]],IRRIGADO!E:E,ESTIMATIVA[[#This Row],[CD_UPNIVEL3]]),"")</f>
        <v>45596</v>
      </c>
      <c r="AJ689" s="1">
        <f>IF(ESTIMATIVA[[#This Row],[TP_CULTIVO]]&lt;&gt;"Irrigado",0,AVERAGEIFS(IRRIGADO!G:G,IRRIGADO!C:C,ESTIMATIVA[[#This Row],[CD_UPNIVEL1]],IRRIGADO!E:E,ESTIMATIVA[[#This Row],[CD_UPNIVEL3]])*ESTIMATIVA[[#This Row],[QT_AREA_REAL]])</f>
        <v>289.90000000000003</v>
      </c>
      <c r="AK689" s="1">
        <f>COUNTIFS(Apresentação!$E$23:$E$29,ESTIMATIVA[[#This Row],[CD_UPNIVEL1]])</f>
        <v>1</v>
      </c>
    </row>
    <row r="690" spans="1:37" x14ac:dyDescent="0.3">
      <c r="A690">
        <v>20346</v>
      </c>
      <c r="B690" t="s">
        <v>133</v>
      </c>
      <c r="C690">
        <v>3</v>
      </c>
      <c r="D690">
        <v>3</v>
      </c>
      <c r="E690" t="s">
        <v>263</v>
      </c>
      <c r="F690" s="85" t="s">
        <v>333</v>
      </c>
      <c r="G690"/>
      <c r="H690" t="s">
        <v>295</v>
      </c>
      <c r="I690" t="s">
        <v>207</v>
      </c>
      <c r="J690" t="s">
        <v>176</v>
      </c>
      <c r="K690" s="1">
        <v>13.84</v>
      </c>
      <c r="L690" s="1">
        <v>13.84</v>
      </c>
      <c r="M690" s="1">
        <v>13.84</v>
      </c>
      <c r="N690" s="1">
        <v>13.84</v>
      </c>
      <c r="O690" s="1">
        <v>885.76</v>
      </c>
      <c r="P690" s="1">
        <v>775.04</v>
      </c>
      <c r="Q690" s="1">
        <v>775.04</v>
      </c>
      <c r="R690" s="1">
        <v>448.21</v>
      </c>
      <c r="S690" t="s">
        <v>12</v>
      </c>
      <c r="T690" s="13">
        <v>45942</v>
      </c>
      <c r="U690" s="1" t="str">
        <f>IF(ESTIMATIVA[[#This Row],[QT_AREA_REAL]]&gt;0,"1- Colhido","2- à Colher")</f>
        <v>1- Colhido</v>
      </c>
      <c r="V690" s="1" t="str">
        <f>IF(ESTIMATIVA[[#This Row],[QT_AREA_REST1]]&gt;0,"Reestimativa 1",IF(ESTIMATIVA[[#This Row],[QT_AREA_REAL]]=0,"Reestimativa 1","Realizado"))</f>
        <v>Reestimativa 1</v>
      </c>
      <c r="W690" s="1" t="str">
        <f>IF(ESTIMATIVA[[#This Row],[QT_AREA_REST2]]&gt;0,"Reestimativa 2",IF(ESTIMATIVA[[#This Row],[QT_AREA_REAL]]=0,"Reestimativa 2","Realizado"))</f>
        <v>Reestimativa 2</v>
      </c>
      <c r="X690" s="1">
        <f>ESTIMATIVA[[#This Row],[QT_AREA_EST]]</f>
        <v>13.84</v>
      </c>
      <c r="Y690" s="1">
        <f>IF(ESTIMATIVA[[#This Row],[QT_AREA_REST1]]&gt;0,ESTIMATIVA[[#This Row],[QT_AREA_REST1]],
  IF(ESTIMATIVA[[#This Row],[QT_AREA_REAL]]&gt;0,ESTIMATIVA[[#This Row],[QT_AREA_REAL]],ESTIMATIVA[[#This Row],[QT_AREA_EST]]))</f>
        <v>13.84</v>
      </c>
      <c r="Z69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13.84</v>
      </c>
      <c r="AA690" s="1">
        <f>ESTIMATIVA[[#This Row],[QT_CANA_EST]]</f>
        <v>885.76</v>
      </c>
      <c r="AB690" s="1">
        <f>IF(ESTIMATIVA[[#This Row],[QT_CANA_REST1]]&gt;0,ESTIMATIVA[[#This Row],[QT_CANA_REST1]],
  IF(ESTIMATIVA[[#This Row],[QT_CANA_REAL]]&gt;0,ESTIMATIVA[[#This Row],[QT_CANA_REAL]],ESTIMATIVA[[#This Row],[QT_CANA_EST]]))</f>
        <v>775.04</v>
      </c>
      <c r="AC69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775.04</v>
      </c>
      <c r="AD690" s="1">
        <f>IF(ESTIMATIVA[[#This Row],[QT_AREA_REAL]]&gt;0,ESTIMATIVA[[#This Row],[QT_CANA_REAL]],ESTIMATIVA[[#This Row],[QT_CANA_EST]])</f>
        <v>448.21</v>
      </c>
      <c r="AE690" s="1">
        <f>IF(ESTIMATIVA[[#This Row],[QT_AREA_REAL]]&gt;0,ESTIMATIVA[[#This Row],[QT_CANA_REAL]],ESTIMATIVA[[#This Row],[QT_CANA_REST1]])</f>
        <v>448.21</v>
      </c>
      <c r="AF690" s="1">
        <f>IF(ESTIMATIVA[[#This Row],[QT_AREA_REAL]]&gt;0,ESTIMATIVA[[#This Row],[QT_CANA_REAL]],ESTIMATIVA[[#This Row],[QT_CANA_REST2]])</f>
        <v>448.21</v>
      </c>
      <c r="AG690" s="1" t="str">
        <f>IF(COUNTIFS(GEADA!A:A,VALUE(ESTIMATIVA[[#This Row],[CD_UPNIVEL1]]&amp;TEXT(ESTIMATIVA[[#This Row],[CD_UPNIVEL3]],"0000")))&gt;0,"S","N")</f>
        <v>N</v>
      </c>
      <c r="AH690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690" s="55">
        <f>IF(ESTIMATIVA[[#This Row],[TP_CULTIVO]]="Irrigado",_xlfn.MAXIFS(IRRIGADO!J:J,IRRIGADO!C:C,ESTIMATIVA[[#This Row],[CD_UPNIVEL1]],IRRIGADO!E:E,ESTIMATIVA[[#This Row],[CD_UPNIVEL3]]),"")</f>
        <v>45596</v>
      </c>
      <c r="AJ690" s="1">
        <f>IF(ESTIMATIVA[[#This Row],[TP_CULTIVO]]&lt;&gt;"Irrigado",0,AVERAGEIFS(IRRIGADO!G:G,IRRIGADO!C:C,ESTIMATIVA[[#This Row],[CD_UPNIVEL1]],IRRIGADO!E:E,ESTIMATIVA[[#This Row],[CD_UPNIVEL3]])*ESTIMATIVA[[#This Row],[QT_AREA_REAL]])</f>
        <v>359.84</v>
      </c>
      <c r="AK690" s="1">
        <f>COUNTIFS(Apresentação!$E$23:$E$29,ESTIMATIVA[[#This Row],[CD_UPNIVEL1]])</f>
        <v>1</v>
      </c>
    </row>
    <row r="691" spans="1:37" x14ac:dyDescent="0.3">
      <c r="A691">
        <v>20362</v>
      </c>
      <c r="B691" t="s">
        <v>37</v>
      </c>
      <c r="C691">
        <v>8</v>
      </c>
      <c r="D691">
        <v>4</v>
      </c>
      <c r="E691" t="s">
        <v>265</v>
      </c>
      <c r="F691" s="85" t="s">
        <v>332</v>
      </c>
      <c r="G691"/>
      <c r="H691" t="s">
        <v>294</v>
      </c>
      <c r="I691" t="s">
        <v>207</v>
      </c>
      <c r="J691" t="s">
        <v>176</v>
      </c>
      <c r="K691" s="1">
        <v>13.25</v>
      </c>
      <c r="L691" s="1">
        <v>13.25</v>
      </c>
      <c r="M691" s="1">
        <v>0</v>
      </c>
      <c r="N691" s="1">
        <v>13.25</v>
      </c>
      <c r="O691" s="1">
        <v>530</v>
      </c>
      <c r="P691" s="1">
        <v>543.25</v>
      </c>
      <c r="Q691" s="1">
        <v>0</v>
      </c>
      <c r="R691" s="1">
        <v>523.69000000000005</v>
      </c>
      <c r="S691" t="s">
        <v>12</v>
      </c>
      <c r="T691" s="13">
        <v>45907</v>
      </c>
      <c r="U691" s="1" t="str">
        <f>IF(ESTIMATIVA[[#This Row],[QT_AREA_REAL]]&gt;0,"1- Colhido","2- à Colher")</f>
        <v>1- Colhido</v>
      </c>
      <c r="V691" s="1" t="str">
        <f>IF(ESTIMATIVA[[#This Row],[QT_AREA_REST1]]&gt;0,"Reestimativa 1",IF(ESTIMATIVA[[#This Row],[QT_AREA_REAL]]=0,"Reestimativa 1","Realizado"))</f>
        <v>Reestimativa 1</v>
      </c>
      <c r="W691" s="1" t="str">
        <f>IF(ESTIMATIVA[[#This Row],[QT_AREA_REST2]]&gt;0,"Reestimativa 2",IF(ESTIMATIVA[[#This Row],[QT_AREA_REAL]]=0,"Reestimativa 2","Realizado"))</f>
        <v>Realizado</v>
      </c>
      <c r="X691" s="1">
        <f>ESTIMATIVA[[#This Row],[QT_AREA_EST]]</f>
        <v>13.25</v>
      </c>
      <c r="Y691" s="1">
        <f>IF(ESTIMATIVA[[#This Row],[QT_AREA_REST1]]&gt;0,ESTIMATIVA[[#This Row],[QT_AREA_REST1]],
  IF(ESTIMATIVA[[#This Row],[QT_AREA_REAL]]&gt;0,ESTIMATIVA[[#This Row],[QT_AREA_REAL]],ESTIMATIVA[[#This Row],[QT_AREA_EST]]))</f>
        <v>13.25</v>
      </c>
      <c r="Z69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13.25</v>
      </c>
      <c r="AA691" s="1">
        <f>ESTIMATIVA[[#This Row],[QT_CANA_EST]]</f>
        <v>530</v>
      </c>
      <c r="AB691" s="1">
        <f>IF(ESTIMATIVA[[#This Row],[QT_CANA_REST1]]&gt;0,ESTIMATIVA[[#This Row],[QT_CANA_REST1]],
  IF(ESTIMATIVA[[#This Row],[QT_CANA_REAL]]&gt;0,ESTIMATIVA[[#This Row],[QT_CANA_REAL]],ESTIMATIVA[[#This Row],[QT_CANA_EST]]))</f>
        <v>543.25</v>
      </c>
      <c r="AC69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523.69000000000005</v>
      </c>
      <c r="AD691" s="1">
        <f>IF(ESTIMATIVA[[#This Row],[QT_AREA_REAL]]&gt;0,ESTIMATIVA[[#This Row],[QT_CANA_REAL]],ESTIMATIVA[[#This Row],[QT_CANA_EST]])</f>
        <v>523.69000000000005</v>
      </c>
      <c r="AE691" s="1">
        <f>IF(ESTIMATIVA[[#This Row],[QT_AREA_REAL]]&gt;0,ESTIMATIVA[[#This Row],[QT_CANA_REAL]],ESTIMATIVA[[#This Row],[QT_CANA_REST1]])</f>
        <v>523.69000000000005</v>
      </c>
      <c r="AF691" s="1">
        <f>IF(ESTIMATIVA[[#This Row],[QT_AREA_REAL]]&gt;0,ESTIMATIVA[[#This Row],[QT_CANA_REAL]],ESTIMATIVA[[#This Row],[QT_CANA_REST2]])</f>
        <v>523.69000000000005</v>
      </c>
      <c r="AG691" s="1" t="str">
        <f>IF(COUNTIFS(GEADA!A:A,VALUE(ESTIMATIVA[[#This Row],[CD_UPNIVEL1]]&amp;TEXT(ESTIMATIVA[[#This Row],[CD_UPNIVEL3]],"0000")))&gt;0,"S","N")</f>
        <v>N</v>
      </c>
      <c r="AH69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91" s="55" t="str">
        <f>IF(ESTIMATIVA[[#This Row],[TP_CULTIVO]]="Irrigado",_xlfn.MAXIFS(IRRIGADO!J:J,IRRIGADO!C:C,ESTIMATIVA[[#This Row],[CD_UPNIVEL1]],IRRIGADO!E:E,ESTIMATIVA[[#This Row],[CD_UPNIVEL3]]),"")</f>
        <v/>
      </c>
      <c r="AJ69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91" s="1">
        <f>COUNTIFS(Apresentação!$E$23:$E$29,ESTIMATIVA[[#This Row],[CD_UPNIVEL1]])</f>
        <v>0</v>
      </c>
    </row>
    <row r="692" spans="1:37" x14ac:dyDescent="0.3">
      <c r="A692">
        <v>20362</v>
      </c>
      <c r="B692" t="s">
        <v>37</v>
      </c>
      <c r="C692">
        <v>9</v>
      </c>
      <c r="D692">
        <v>4</v>
      </c>
      <c r="E692" t="s">
        <v>265</v>
      </c>
      <c r="F692" s="85" t="s">
        <v>332</v>
      </c>
      <c r="G692"/>
      <c r="H692" t="s">
        <v>294</v>
      </c>
      <c r="I692" t="s">
        <v>207</v>
      </c>
      <c r="J692" t="s">
        <v>176</v>
      </c>
      <c r="K692" s="1">
        <v>6.54</v>
      </c>
      <c r="L692" s="1">
        <v>6.54</v>
      </c>
      <c r="M692" s="1">
        <v>0</v>
      </c>
      <c r="N692" s="1">
        <v>6.54</v>
      </c>
      <c r="O692" s="1">
        <v>261.60000000000002</v>
      </c>
      <c r="P692" s="1">
        <v>268.14</v>
      </c>
      <c r="Q692" s="1">
        <v>0</v>
      </c>
      <c r="R692" s="1">
        <v>258.45999999999998</v>
      </c>
      <c r="S692" t="s">
        <v>12</v>
      </c>
      <c r="T692" s="13">
        <v>45907</v>
      </c>
      <c r="U692" s="1" t="str">
        <f>IF(ESTIMATIVA[[#This Row],[QT_AREA_REAL]]&gt;0,"1- Colhido","2- à Colher")</f>
        <v>1- Colhido</v>
      </c>
      <c r="V692" s="1" t="str">
        <f>IF(ESTIMATIVA[[#This Row],[QT_AREA_REST1]]&gt;0,"Reestimativa 1",IF(ESTIMATIVA[[#This Row],[QT_AREA_REAL]]=0,"Reestimativa 1","Realizado"))</f>
        <v>Reestimativa 1</v>
      </c>
      <c r="W692" s="1" t="str">
        <f>IF(ESTIMATIVA[[#This Row],[QT_AREA_REST2]]&gt;0,"Reestimativa 2",IF(ESTIMATIVA[[#This Row],[QT_AREA_REAL]]=0,"Reestimativa 2","Realizado"))</f>
        <v>Realizado</v>
      </c>
      <c r="X692" s="1">
        <f>ESTIMATIVA[[#This Row],[QT_AREA_EST]]</f>
        <v>6.54</v>
      </c>
      <c r="Y692" s="1">
        <f>IF(ESTIMATIVA[[#This Row],[QT_AREA_REST1]]&gt;0,ESTIMATIVA[[#This Row],[QT_AREA_REST1]],
  IF(ESTIMATIVA[[#This Row],[QT_AREA_REAL]]&gt;0,ESTIMATIVA[[#This Row],[QT_AREA_REAL]],ESTIMATIVA[[#This Row],[QT_AREA_EST]]))</f>
        <v>6.54</v>
      </c>
      <c r="Z69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6.54</v>
      </c>
      <c r="AA692" s="1">
        <f>ESTIMATIVA[[#This Row],[QT_CANA_EST]]</f>
        <v>261.60000000000002</v>
      </c>
      <c r="AB692" s="1">
        <f>IF(ESTIMATIVA[[#This Row],[QT_CANA_REST1]]&gt;0,ESTIMATIVA[[#This Row],[QT_CANA_REST1]],
  IF(ESTIMATIVA[[#This Row],[QT_CANA_REAL]]&gt;0,ESTIMATIVA[[#This Row],[QT_CANA_REAL]],ESTIMATIVA[[#This Row],[QT_CANA_EST]]))</f>
        <v>268.14</v>
      </c>
      <c r="AC69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258.45999999999998</v>
      </c>
      <c r="AD692" s="1">
        <f>IF(ESTIMATIVA[[#This Row],[QT_AREA_REAL]]&gt;0,ESTIMATIVA[[#This Row],[QT_CANA_REAL]],ESTIMATIVA[[#This Row],[QT_CANA_EST]])</f>
        <v>258.45999999999998</v>
      </c>
      <c r="AE692" s="1">
        <f>IF(ESTIMATIVA[[#This Row],[QT_AREA_REAL]]&gt;0,ESTIMATIVA[[#This Row],[QT_CANA_REAL]],ESTIMATIVA[[#This Row],[QT_CANA_REST1]])</f>
        <v>258.45999999999998</v>
      </c>
      <c r="AF692" s="1">
        <f>IF(ESTIMATIVA[[#This Row],[QT_AREA_REAL]]&gt;0,ESTIMATIVA[[#This Row],[QT_CANA_REAL]],ESTIMATIVA[[#This Row],[QT_CANA_REST2]])</f>
        <v>258.45999999999998</v>
      </c>
      <c r="AG692" s="1" t="str">
        <f>IF(COUNTIFS(GEADA!A:A,VALUE(ESTIMATIVA[[#This Row],[CD_UPNIVEL1]]&amp;TEXT(ESTIMATIVA[[#This Row],[CD_UPNIVEL3]],"0000")))&gt;0,"S","N")</f>
        <v>N</v>
      </c>
      <c r="AH69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92" s="55" t="str">
        <f>IF(ESTIMATIVA[[#This Row],[TP_CULTIVO]]="Irrigado",_xlfn.MAXIFS(IRRIGADO!J:J,IRRIGADO!C:C,ESTIMATIVA[[#This Row],[CD_UPNIVEL1]],IRRIGADO!E:E,ESTIMATIVA[[#This Row],[CD_UPNIVEL3]]),"")</f>
        <v/>
      </c>
      <c r="AJ69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92" s="1">
        <f>COUNTIFS(Apresentação!$E$23:$E$29,ESTIMATIVA[[#This Row],[CD_UPNIVEL1]])</f>
        <v>0</v>
      </c>
    </row>
    <row r="693" spans="1:37" x14ac:dyDescent="0.3">
      <c r="A693">
        <v>20362</v>
      </c>
      <c r="B693" t="s">
        <v>37</v>
      </c>
      <c r="C693">
        <v>10</v>
      </c>
      <c r="D693">
        <v>4</v>
      </c>
      <c r="E693" t="s">
        <v>265</v>
      </c>
      <c r="F693" s="85" t="s">
        <v>333</v>
      </c>
      <c r="G693"/>
      <c r="H693" t="s">
        <v>294</v>
      </c>
      <c r="I693" t="s">
        <v>207</v>
      </c>
      <c r="J693" t="s">
        <v>176</v>
      </c>
      <c r="K693" s="1">
        <v>7.25</v>
      </c>
      <c r="L693" s="1">
        <v>7.25</v>
      </c>
      <c r="M693" s="1">
        <v>0</v>
      </c>
      <c r="N693" s="1">
        <v>7.25</v>
      </c>
      <c r="O693" s="1">
        <v>290</v>
      </c>
      <c r="P693" s="1">
        <v>297.25</v>
      </c>
      <c r="Q693" s="1">
        <v>0</v>
      </c>
      <c r="R693" s="1">
        <v>286.42</v>
      </c>
      <c r="S693" t="s">
        <v>12</v>
      </c>
      <c r="T693" s="13">
        <v>45907</v>
      </c>
      <c r="U693" s="1" t="str">
        <f>IF(ESTIMATIVA[[#This Row],[QT_AREA_REAL]]&gt;0,"1- Colhido","2- à Colher")</f>
        <v>1- Colhido</v>
      </c>
      <c r="V693" s="1" t="str">
        <f>IF(ESTIMATIVA[[#This Row],[QT_AREA_REST1]]&gt;0,"Reestimativa 1",IF(ESTIMATIVA[[#This Row],[QT_AREA_REAL]]=0,"Reestimativa 1","Realizado"))</f>
        <v>Reestimativa 1</v>
      </c>
      <c r="W693" s="1" t="str">
        <f>IF(ESTIMATIVA[[#This Row],[QT_AREA_REST2]]&gt;0,"Reestimativa 2",IF(ESTIMATIVA[[#This Row],[QT_AREA_REAL]]=0,"Reestimativa 2","Realizado"))</f>
        <v>Realizado</v>
      </c>
      <c r="X693" s="1">
        <f>ESTIMATIVA[[#This Row],[QT_AREA_EST]]</f>
        <v>7.25</v>
      </c>
      <c r="Y693" s="1">
        <f>IF(ESTIMATIVA[[#This Row],[QT_AREA_REST1]]&gt;0,ESTIMATIVA[[#This Row],[QT_AREA_REST1]],
  IF(ESTIMATIVA[[#This Row],[QT_AREA_REAL]]&gt;0,ESTIMATIVA[[#This Row],[QT_AREA_REAL]],ESTIMATIVA[[#This Row],[QT_AREA_EST]]))</f>
        <v>7.25</v>
      </c>
      <c r="Z69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7.25</v>
      </c>
      <c r="AA693" s="1">
        <f>ESTIMATIVA[[#This Row],[QT_CANA_EST]]</f>
        <v>290</v>
      </c>
      <c r="AB693" s="1">
        <f>IF(ESTIMATIVA[[#This Row],[QT_CANA_REST1]]&gt;0,ESTIMATIVA[[#This Row],[QT_CANA_REST1]],
  IF(ESTIMATIVA[[#This Row],[QT_CANA_REAL]]&gt;0,ESTIMATIVA[[#This Row],[QT_CANA_REAL]],ESTIMATIVA[[#This Row],[QT_CANA_EST]]))</f>
        <v>297.25</v>
      </c>
      <c r="AC69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286.42</v>
      </c>
      <c r="AD693" s="1">
        <f>IF(ESTIMATIVA[[#This Row],[QT_AREA_REAL]]&gt;0,ESTIMATIVA[[#This Row],[QT_CANA_REAL]],ESTIMATIVA[[#This Row],[QT_CANA_EST]])</f>
        <v>286.42</v>
      </c>
      <c r="AE693" s="1">
        <f>IF(ESTIMATIVA[[#This Row],[QT_AREA_REAL]]&gt;0,ESTIMATIVA[[#This Row],[QT_CANA_REAL]],ESTIMATIVA[[#This Row],[QT_CANA_REST1]])</f>
        <v>286.42</v>
      </c>
      <c r="AF693" s="1">
        <f>IF(ESTIMATIVA[[#This Row],[QT_AREA_REAL]]&gt;0,ESTIMATIVA[[#This Row],[QT_CANA_REAL]],ESTIMATIVA[[#This Row],[QT_CANA_REST2]])</f>
        <v>286.42</v>
      </c>
      <c r="AG693" s="1" t="str">
        <f>IF(COUNTIFS(GEADA!A:A,VALUE(ESTIMATIVA[[#This Row],[CD_UPNIVEL1]]&amp;TEXT(ESTIMATIVA[[#This Row],[CD_UPNIVEL3]],"0000")))&gt;0,"S","N")</f>
        <v>N</v>
      </c>
      <c r="AH69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93" s="55" t="str">
        <f>IF(ESTIMATIVA[[#This Row],[TP_CULTIVO]]="Irrigado",_xlfn.MAXIFS(IRRIGADO!J:J,IRRIGADO!C:C,ESTIMATIVA[[#This Row],[CD_UPNIVEL1]],IRRIGADO!E:E,ESTIMATIVA[[#This Row],[CD_UPNIVEL3]]),"")</f>
        <v/>
      </c>
      <c r="AJ69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93" s="1">
        <f>COUNTIFS(Apresentação!$E$23:$E$29,ESTIMATIVA[[#This Row],[CD_UPNIVEL1]])</f>
        <v>0</v>
      </c>
    </row>
    <row r="694" spans="1:37" x14ac:dyDescent="0.3">
      <c r="A694">
        <v>20362</v>
      </c>
      <c r="B694" t="s">
        <v>37</v>
      </c>
      <c r="C694">
        <v>11</v>
      </c>
      <c r="D694">
        <v>4</v>
      </c>
      <c r="E694" t="s">
        <v>265</v>
      </c>
      <c r="F694" s="85" t="s">
        <v>332</v>
      </c>
      <c r="G694"/>
      <c r="H694" t="s">
        <v>294</v>
      </c>
      <c r="I694" t="s">
        <v>207</v>
      </c>
      <c r="J694" t="s">
        <v>176</v>
      </c>
      <c r="K694" s="1">
        <v>2.4</v>
      </c>
      <c r="L694" s="1">
        <v>2.4</v>
      </c>
      <c r="M694" s="1">
        <v>0</v>
      </c>
      <c r="N694" s="1">
        <v>2.4</v>
      </c>
      <c r="O694" s="1">
        <v>96</v>
      </c>
      <c r="P694" s="1">
        <v>98.4</v>
      </c>
      <c r="Q694" s="1">
        <v>0</v>
      </c>
      <c r="R694" s="1">
        <v>94.5</v>
      </c>
      <c r="S694" t="s">
        <v>12</v>
      </c>
      <c r="T694" s="13">
        <v>45907</v>
      </c>
      <c r="U694" s="1" t="str">
        <f>IF(ESTIMATIVA[[#This Row],[QT_AREA_REAL]]&gt;0,"1- Colhido","2- à Colher")</f>
        <v>1- Colhido</v>
      </c>
      <c r="V694" s="1" t="str">
        <f>IF(ESTIMATIVA[[#This Row],[QT_AREA_REST1]]&gt;0,"Reestimativa 1",IF(ESTIMATIVA[[#This Row],[QT_AREA_REAL]]=0,"Reestimativa 1","Realizado"))</f>
        <v>Reestimativa 1</v>
      </c>
      <c r="W694" s="1" t="str">
        <f>IF(ESTIMATIVA[[#This Row],[QT_AREA_REST2]]&gt;0,"Reestimativa 2",IF(ESTIMATIVA[[#This Row],[QT_AREA_REAL]]=0,"Reestimativa 2","Realizado"))</f>
        <v>Realizado</v>
      </c>
      <c r="X694" s="1">
        <f>ESTIMATIVA[[#This Row],[QT_AREA_EST]]</f>
        <v>2.4</v>
      </c>
      <c r="Y694" s="1">
        <f>IF(ESTIMATIVA[[#This Row],[QT_AREA_REST1]]&gt;0,ESTIMATIVA[[#This Row],[QT_AREA_REST1]],
  IF(ESTIMATIVA[[#This Row],[QT_AREA_REAL]]&gt;0,ESTIMATIVA[[#This Row],[QT_AREA_REAL]],ESTIMATIVA[[#This Row],[QT_AREA_EST]]))</f>
        <v>2.4</v>
      </c>
      <c r="Z69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2.4</v>
      </c>
      <c r="AA694" s="1">
        <f>ESTIMATIVA[[#This Row],[QT_CANA_EST]]</f>
        <v>96</v>
      </c>
      <c r="AB694" s="1">
        <f>IF(ESTIMATIVA[[#This Row],[QT_CANA_REST1]]&gt;0,ESTIMATIVA[[#This Row],[QT_CANA_REST1]],
  IF(ESTIMATIVA[[#This Row],[QT_CANA_REAL]]&gt;0,ESTIMATIVA[[#This Row],[QT_CANA_REAL]],ESTIMATIVA[[#This Row],[QT_CANA_EST]]))</f>
        <v>98.4</v>
      </c>
      <c r="AC69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94.5</v>
      </c>
      <c r="AD694" s="1">
        <f>IF(ESTIMATIVA[[#This Row],[QT_AREA_REAL]]&gt;0,ESTIMATIVA[[#This Row],[QT_CANA_REAL]],ESTIMATIVA[[#This Row],[QT_CANA_EST]])</f>
        <v>94.5</v>
      </c>
      <c r="AE694" s="1">
        <f>IF(ESTIMATIVA[[#This Row],[QT_AREA_REAL]]&gt;0,ESTIMATIVA[[#This Row],[QT_CANA_REAL]],ESTIMATIVA[[#This Row],[QT_CANA_REST1]])</f>
        <v>94.5</v>
      </c>
      <c r="AF694" s="1">
        <f>IF(ESTIMATIVA[[#This Row],[QT_AREA_REAL]]&gt;0,ESTIMATIVA[[#This Row],[QT_CANA_REAL]],ESTIMATIVA[[#This Row],[QT_CANA_REST2]])</f>
        <v>94.5</v>
      </c>
      <c r="AG694" s="1" t="str">
        <f>IF(COUNTIFS(GEADA!A:A,VALUE(ESTIMATIVA[[#This Row],[CD_UPNIVEL1]]&amp;TEXT(ESTIMATIVA[[#This Row],[CD_UPNIVEL3]],"0000")))&gt;0,"S","N")</f>
        <v>N</v>
      </c>
      <c r="AH69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94" s="55" t="str">
        <f>IF(ESTIMATIVA[[#This Row],[TP_CULTIVO]]="Irrigado",_xlfn.MAXIFS(IRRIGADO!J:J,IRRIGADO!C:C,ESTIMATIVA[[#This Row],[CD_UPNIVEL1]],IRRIGADO!E:E,ESTIMATIVA[[#This Row],[CD_UPNIVEL3]]),"")</f>
        <v/>
      </c>
      <c r="AJ69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94" s="1">
        <f>COUNTIFS(Apresentação!$E$23:$E$29,ESTIMATIVA[[#This Row],[CD_UPNIVEL1]])</f>
        <v>0</v>
      </c>
    </row>
    <row r="695" spans="1:37" x14ac:dyDescent="0.3">
      <c r="A695">
        <v>20362</v>
      </c>
      <c r="B695" t="s">
        <v>37</v>
      </c>
      <c r="C695">
        <v>12</v>
      </c>
      <c r="D695">
        <v>4</v>
      </c>
      <c r="E695" t="s">
        <v>265</v>
      </c>
      <c r="F695" s="85" t="s">
        <v>333</v>
      </c>
      <c r="G695"/>
      <c r="H695" t="s">
        <v>294</v>
      </c>
      <c r="I695" t="s">
        <v>207</v>
      </c>
      <c r="J695" t="s">
        <v>176</v>
      </c>
      <c r="K695" s="1">
        <v>6.08</v>
      </c>
      <c r="L695" s="1">
        <v>6.08</v>
      </c>
      <c r="M695" s="1">
        <v>0</v>
      </c>
      <c r="N695" s="1">
        <v>6.08</v>
      </c>
      <c r="O695" s="1">
        <v>243.2</v>
      </c>
      <c r="P695" s="1">
        <v>249.28</v>
      </c>
      <c r="Q695" s="1">
        <v>0</v>
      </c>
      <c r="R695" s="1">
        <v>240.25</v>
      </c>
      <c r="S695" t="s">
        <v>12</v>
      </c>
      <c r="T695" s="13">
        <v>45907</v>
      </c>
      <c r="U695" s="1" t="str">
        <f>IF(ESTIMATIVA[[#This Row],[QT_AREA_REAL]]&gt;0,"1- Colhido","2- à Colher")</f>
        <v>1- Colhido</v>
      </c>
      <c r="V695" s="1" t="str">
        <f>IF(ESTIMATIVA[[#This Row],[QT_AREA_REST1]]&gt;0,"Reestimativa 1",IF(ESTIMATIVA[[#This Row],[QT_AREA_REAL]]=0,"Reestimativa 1","Realizado"))</f>
        <v>Reestimativa 1</v>
      </c>
      <c r="W695" s="1" t="str">
        <f>IF(ESTIMATIVA[[#This Row],[QT_AREA_REST2]]&gt;0,"Reestimativa 2",IF(ESTIMATIVA[[#This Row],[QT_AREA_REAL]]=0,"Reestimativa 2","Realizado"))</f>
        <v>Realizado</v>
      </c>
      <c r="X695" s="1">
        <f>ESTIMATIVA[[#This Row],[QT_AREA_EST]]</f>
        <v>6.08</v>
      </c>
      <c r="Y695" s="1">
        <f>IF(ESTIMATIVA[[#This Row],[QT_AREA_REST1]]&gt;0,ESTIMATIVA[[#This Row],[QT_AREA_REST1]],
  IF(ESTIMATIVA[[#This Row],[QT_AREA_REAL]]&gt;0,ESTIMATIVA[[#This Row],[QT_AREA_REAL]],ESTIMATIVA[[#This Row],[QT_AREA_EST]]))</f>
        <v>6.08</v>
      </c>
      <c r="Z69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6.08</v>
      </c>
      <c r="AA695" s="1">
        <f>ESTIMATIVA[[#This Row],[QT_CANA_EST]]</f>
        <v>243.2</v>
      </c>
      <c r="AB695" s="1">
        <f>IF(ESTIMATIVA[[#This Row],[QT_CANA_REST1]]&gt;0,ESTIMATIVA[[#This Row],[QT_CANA_REST1]],
  IF(ESTIMATIVA[[#This Row],[QT_CANA_REAL]]&gt;0,ESTIMATIVA[[#This Row],[QT_CANA_REAL]],ESTIMATIVA[[#This Row],[QT_CANA_EST]]))</f>
        <v>249.28</v>
      </c>
      <c r="AC69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240.25</v>
      </c>
      <c r="AD695" s="1">
        <f>IF(ESTIMATIVA[[#This Row],[QT_AREA_REAL]]&gt;0,ESTIMATIVA[[#This Row],[QT_CANA_REAL]],ESTIMATIVA[[#This Row],[QT_CANA_EST]])</f>
        <v>240.25</v>
      </c>
      <c r="AE695" s="1">
        <f>IF(ESTIMATIVA[[#This Row],[QT_AREA_REAL]]&gt;0,ESTIMATIVA[[#This Row],[QT_CANA_REAL]],ESTIMATIVA[[#This Row],[QT_CANA_REST1]])</f>
        <v>240.25</v>
      </c>
      <c r="AF695" s="1">
        <f>IF(ESTIMATIVA[[#This Row],[QT_AREA_REAL]]&gt;0,ESTIMATIVA[[#This Row],[QT_CANA_REAL]],ESTIMATIVA[[#This Row],[QT_CANA_REST2]])</f>
        <v>240.25</v>
      </c>
      <c r="AG695" s="1" t="str">
        <f>IF(COUNTIFS(GEADA!A:A,VALUE(ESTIMATIVA[[#This Row],[CD_UPNIVEL1]]&amp;TEXT(ESTIMATIVA[[#This Row],[CD_UPNIVEL3]],"0000")))&gt;0,"S","N")</f>
        <v>N</v>
      </c>
      <c r="AH69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695" s="55" t="str">
        <f>IF(ESTIMATIVA[[#This Row],[TP_CULTIVO]]="Irrigado",_xlfn.MAXIFS(IRRIGADO!J:J,IRRIGADO!C:C,ESTIMATIVA[[#This Row],[CD_UPNIVEL1]],IRRIGADO!E:E,ESTIMATIVA[[#This Row],[CD_UPNIVEL3]]),"")</f>
        <v/>
      </c>
      <c r="AJ69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95" s="1">
        <f>COUNTIFS(Apresentação!$E$23:$E$29,ESTIMATIVA[[#This Row],[CD_UPNIVEL1]])</f>
        <v>0</v>
      </c>
    </row>
    <row r="696" spans="1:37" x14ac:dyDescent="0.3">
      <c r="A696">
        <v>20392</v>
      </c>
      <c r="B696" t="s">
        <v>38</v>
      </c>
      <c r="C696">
        <v>1</v>
      </c>
      <c r="D696">
        <v>5</v>
      </c>
      <c r="E696" t="s">
        <v>268</v>
      </c>
      <c r="F696" s="85" t="s">
        <v>331</v>
      </c>
      <c r="G696"/>
      <c r="H696" t="s">
        <v>295</v>
      </c>
      <c r="I696" t="s">
        <v>197</v>
      </c>
      <c r="J696" t="s">
        <v>176</v>
      </c>
      <c r="K696" s="1">
        <v>16.68</v>
      </c>
      <c r="L696" s="1">
        <v>0</v>
      </c>
      <c r="M696" s="1">
        <v>0</v>
      </c>
      <c r="N696" s="1">
        <v>16.68</v>
      </c>
      <c r="O696" s="1">
        <v>667.2</v>
      </c>
      <c r="P696" s="1">
        <v>0</v>
      </c>
      <c r="Q696" s="1">
        <v>0</v>
      </c>
      <c r="R696" s="1">
        <v>857.48</v>
      </c>
      <c r="S696" t="s">
        <v>12</v>
      </c>
      <c r="T696" s="13">
        <v>45732</v>
      </c>
      <c r="U696" s="1" t="str">
        <f>IF(ESTIMATIVA[[#This Row],[QT_AREA_REAL]]&gt;0,"1- Colhido","2- à Colher")</f>
        <v>1- Colhido</v>
      </c>
      <c r="V696" s="1" t="str">
        <f>IF(ESTIMATIVA[[#This Row],[QT_AREA_REST1]]&gt;0,"Reestimativa 1",IF(ESTIMATIVA[[#This Row],[QT_AREA_REAL]]=0,"Reestimativa 1","Realizado"))</f>
        <v>Realizado</v>
      </c>
      <c r="W696" s="1" t="str">
        <f>IF(ESTIMATIVA[[#This Row],[QT_AREA_REST2]]&gt;0,"Reestimativa 2",IF(ESTIMATIVA[[#This Row],[QT_AREA_REAL]]=0,"Reestimativa 2","Realizado"))</f>
        <v>Realizado</v>
      </c>
      <c r="X696" s="1">
        <f>ESTIMATIVA[[#This Row],[QT_AREA_EST]]</f>
        <v>16.68</v>
      </c>
      <c r="Y696" s="1">
        <f>IF(ESTIMATIVA[[#This Row],[QT_AREA_REST1]]&gt;0,ESTIMATIVA[[#This Row],[QT_AREA_REST1]],
  IF(ESTIMATIVA[[#This Row],[QT_AREA_REAL]]&gt;0,ESTIMATIVA[[#This Row],[QT_AREA_REAL]],ESTIMATIVA[[#This Row],[QT_AREA_EST]]))</f>
        <v>16.68</v>
      </c>
      <c r="Z69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16.68</v>
      </c>
      <c r="AA696" s="1">
        <f>ESTIMATIVA[[#This Row],[QT_CANA_EST]]</f>
        <v>667.2</v>
      </c>
      <c r="AB696" s="1">
        <f>IF(ESTIMATIVA[[#This Row],[QT_CANA_REST1]]&gt;0,ESTIMATIVA[[#This Row],[QT_CANA_REST1]],
  IF(ESTIMATIVA[[#This Row],[QT_CANA_REAL]]&gt;0,ESTIMATIVA[[#This Row],[QT_CANA_REAL]],ESTIMATIVA[[#This Row],[QT_CANA_EST]]))</f>
        <v>857.48</v>
      </c>
      <c r="AC69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857.48</v>
      </c>
      <c r="AD696" s="1">
        <f>IF(ESTIMATIVA[[#This Row],[QT_AREA_REAL]]&gt;0,ESTIMATIVA[[#This Row],[QT_CANA_REAL]],ESTIMATIVA[[#This Row],[QT_CANA_EST]])</f>
        <v>857.48</v>
      </c>
      <c r="AE696" s="1">
        <f>IF(ESTIMATIVA[[#This Row],[QT_AREA_REAL]]&gt;0,ESTIMATIVA[[#This Row],[QT_CANA_REAL]],ESTIMATIVA[[#This Row],[QT_CANA_REST1]])</f>
        <v>857.48</v>
      </c>
      <c r="AF696" s="1">
        <f>IF(ESTIMATIVA[[#This Row],[QT_AREA_REAL]]&gt;0,ESTIMATIVA[[#This Row],[QT_CANA_REAL]],ESTIMATIVA[[#This Row],[QT_CANA_REST2]])</f>
        <v>857.48</v>
      </c>
      <c r="AG696" s="1" t="str">
        <f>IF(COUNTIFS(GEADA!A:A,VALUE(ESTIMATIVA[[#This Row],[CD_UPNIVEL1]]&amp;TEXT(ESTIMATIVA[[#This Row],[CD_UPNIVEL3]],"0000")))&gt;0,"S","N")</f>
        <v>N</v>
      </c>
      <c r="AH69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696" s="55" t="str">
        <f>IF(ESTIMATIVA[[#This Row],[TP_CULTIVO]]="Irrigado",_xlfn.MAXIFS(IRRIGADO!J:J,IRRIGADO!C:C,ESTIMATIVA[[#This Row],[CD_UPNIVEL1]],IRRIGADO!E:E,ESTIMATIVA[[#This Row],[CD_UPNIVEL3]]),"")</f>
        <v/>
      </c>
      <c r="AJ69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96" s="1">
        <f>COUNTIFS(Apresentação!$E$23:$E$29,ESTIMATIVA[[#This Row],[CD_UPNIVEL1]])</f>
        <v>0</v>
      </c>
    </row>
    <row r="697" spans="1:37" x14ac:dyDescent="0.3">
      <c r="A697">
        <v>20392</v>
      </c>
      <c r="B697" t="s">
        <v>38</v>
      </c>
      <c r="C697">
        <v>2</v>
      </c>
      <c r="D697">
        <v>5</v>
      </c>
      <c r="E697" t="s">
        <v>268</v>
      </c>
      <c r="F697" s="85" t="s">
        <v>331</v>
      </c>
      <c r="G697"/>
      <c r="H697" t="s">
        <v>295</v>
      </c>
      <c r="I697" t="s">
        <v>197</v>
      </c>
      <c r="J697" t="s">
        <v>176</v>
      </c>
      <c r="K697" s="1">
        <v>3.84</v>
      </c>
      <c r="L697" s="1">
        <v>0</v>
      </c>
      <c r="M697" s="1">
        <v>0</v>
      </c>
      <c r="N697" s="1">
        <v>3.84</v>
      </c>
      <c r="O697" s="1">
        <v>153.6</v>
      </c>
      <c r="P697" s="1">
        <v>0</v>
      </c>
      <c r="Q697" s="1">
        <v>0</v>
      </c>
      <c r="R697" s="1">
        <v>197.94</v>
      </c>
      <c r="S697" t="s">
        <v>12</v>
      </c>
      <c r="T697" s="13">
        <v>45732</v>
      </c>
      <c r="U697" s="1" t="str">
        <f>IF(ESTIMATIVA[[#This Row],[QT_AREA_REAL]]&gt;0,"1- Colhido","2- à Colher")</f>
        <v>1- Colhido</v>
      </c>
      <c r="V697" s="1" t="str">
        <f>IF(ESTIMATIVA[[#This Row],[QT_AREA_REST1]]&gt;0,"Reestimativa 1",IF(ESTIMATIVA[[#This Row],[QT_AREA_REAL]]=0,"Reestimativa 1","Realizado"))</f>
        <v>Realizado</v>
      </c>
      <c r="W697" s="1" t="str">
        <f>IF(ESTIMATIVA[[#This Row],[QT_AREA_REST2]]&gt;0,"Reestimativa 2",IF(ESTIMATIVA[[#This Row],[QT_AREA_REAL]]=0,"Reestimativa 2","Realizado"))</f>
        <v>Realizado</v>
      </c>
      <c r="X697" s="1">
        <f>ESTIMATIVA[[#This Row],[QT_AREA_EST]]</f>
        <v>3.84</v>
      </c>
      <c r="Y697" s="1">
        <f>IF(ESTIMATIVA[[#This Row],[QT_AREA_REST1]]&gt;0,ESTIMATIVA[[#This Row],[QT_AREA_REST1]],
  IF(ESTIMATIVA[[#This Row],[QT_AREA_REAL]]&gt;0,ESTIMATIVA[[#This Row],[QT_AREA_REAL]],ESTIMATIVA[[#This Row],[QT_AREA_EST]]))</f>
        <v>3.84</v>
      </c>
      <c r="Z69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3.84</v>
      </c>
      <c r="AA697" s="1">
        <f>ESTIMATIVA[[#This Row],[QT_CANA_EST]]</f>
        <v>153.6</v>
      </c>
      <c r="AB697" s="1">
        <f>IF(ESTIMATIVA[[#This Row],[QT_CANA_REST1]]&gt;0,ESTIMATIVA[[#This Row],[QT_CANA_REST1]],
  IF(ESTIMATIVA[[#This Row],[QT_CANA_REAL]]&gt;0,ESTIMATIVA[[#This Row],[QT_CANA_REAL]],ESTIMATIVA[[#This Row],[QT_CANA_EST]]))</f>
        <v>197.94</v>
      </c>
      <c r="AC69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197.94</v>
      </c>
      <c r="AD697" s="1">
        <f>IF(ESTIMATIVA[[#This Row],[QT_AREA_REAL]]&gt;0,ESTIMATIVA[[#This Row],[QT_CANA_REAL]],ESTIMATIVA[[#This Row],[QT_CANA_EST]])</f>
        <v>197.94</v>
      </c>
      <c r="AE697" s="1">
        <f>IF(ESTIMATIVA[[#This Row],[QT_AREA_REAL]]&gt;0,ESTIMATIVA[[#This Row],[QT_CANA_REAL]],ESTIMATIVA[[#This Row],[QT_CANA_REST1]])</f>
        <v>197.94</v>
      </c>
      <c r="AF697" s="1">
        <f>IF(ESTIMATIVA[[#This Row],[QT_AREA_REAL]]&gt;0,ESTIMATIVA[[#This Row],[QT_CANA_REAL]],ESTIMATIVA[[#This Row],[QT_CANA_REST2]])</f>
        <v>197.94</v>
      </c>
      <c r="AG697" s="1" t="str">
        <f>IF(COUNTIFS(GEADA!A:A,VALUE(ESTIMATIVA[[#This Row],[CD_UPNIVEL1]]&amp;TEXT(ESTIMATIVA[[#This Row],[CD_UPNIVEL3]],"0000")))&gt;0,"S","N")</f>
        <v>N</v>
      </c>
      <c r="AH69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697" s="55" t="str">
        <f>IF(ESTIMATIVA[[#This Row],[TP_CULTIVO]]="Irrigado",_xlfn.MAXIFS(IRRIGADO!J:J,IRRIGADO!C:C,ESTIMATIVA[[#This Row],[CD_UPNIVEL1]],IRRIGADO!E:E,ESTIMATIVA[[#This Row],[CD_UPNIVEL3]]),"")</f>
        <v/>
      </c>
      <c r="AJ69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97" s="1">
        <f>COUNTIFS(Apresentação!$E$23:$E$29,ESTIMATIVA[[#This Row],[CD_UPNIVEL1]])</f>
        <v>0</v>
      </c>
    </row>
    <row r="698" spans="1:37" x14ac:dyDescent="0.3">
      <c r="A698">
        <v>20392</v>
      </c>
      <c r="B698" t="s">
        <v>38</v>
      </c>
      <c r="C698">
        <v>3</v>
      </c>
      <c r="D698">
        <v>5</v>
      </c>
      <c r="E698" t="s">
        <v>268</v>
      </c>
      <c r="F698" s="85" t="s">
        <v>331</v>
      </c>
      <c r="G698"/>
      <c r="H698" t="s">
        <v>295</v>
      </c>
      <c r="I698" t="s">
        <v>197</v>
      </c>
      <c r="J698" t="s">
        <v>176</v>
      </c>
      <c r="K698" s="1">
        <v>12.92</v>
      </c>
      <c r="L698" s="1">
        <v>0</v>
      </c>
      <c r="M698" s="1">
        <v>0</v>
      </c>
      <c r="N698" s="1">
        <v>12.92</v>
      </c>
      <c r="O698" s="1">
        <v>516.79999999999995</v>
      </c>
      <c r="P698" s="1">
        <v>0</v>
      </c>
      <c r="Q698" s="1">
        <v>0</v>
      </c>
      <c r="R698" s="1">
        <v>664.63</v>
      </c>
      <c r="S698" t="s">
        <v>12</v>
      </c>
      <c r="T698" s="13">
        <v>45732</v>
      </c>
      <c r="U698" s="1" t="str">
        <f>IF(ESTIMATIVA[[#This Row],[QT_AREA_REAL]]&gt;0,"1- Colhido","2- à Colher")</f>
        <v>1- Colhido</v>
      </c>
      <c r="V698" s="1" t="str">
        <f>IF(ESTIMATIVA[[#This Row],[QT_AREA_REST1]]&gt;0,"Reestimativa 1",IF(ESTIMATIVA[[#This Row],[QT_AREA_REAL]]=0,"Reestimativa 1","Realizado"))</f>
        <v>Realizado</v>
      </c>
      <c r="W698" s="1" t="str">
        <f>IF(ESTIMATIVA[[#This Row],[QT_AREA_REST2]]&gt;0,"Reestimativa 2",IF(ESTIMATIVA[[#This Row],[QT_AREA_REAL]]=0,"Reestimativa 2","Realizado"))</f>
        <v>Realizado</v>
      </c>
      <c r="X698" s="1">
        <f>ESTIMATIVA[[#This Row],[QT_AREA_EST]]</f>
        <v>12.92</v>
      </c>
      <c r="Y698" s="1">
        <f>IF(ESTIMATIVA[[#This Row],[QT_AREA_REST1]]&gt;0,ESTIMATIVA[[#This Row],[QT_AREA_REST1]],
  IF(ESTIMATIVA[[#This Row],[QT_AREA_REAL]]&gt;0,ESTIMATIVA[[#This Row],[QT_AREA_REAL]],ESTIMATIVA[[#This Row],[QT_AREA_EST]]))</f>
        <v>12.92</v>
      </c>
      <c r="Z69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12.92</v>
      </c>
      <c r="AA698" s="1">
        <f>ESTIMATIVA[[#This Row],[QT_CANA_EST]]</f>
        <v>516.79999999999995</v>
      </c>
      <c r="AB698" s="1">
        <f>IF(ESTIMATIVA[[#This Row],[QT_CANA_REST1]]&gt;0,ESTIMATIVA[[#This Row],[QT_CANA_REST1]],
  IF(ESTIMATIVA[[#This Row],[QT_CANA_REAL]]&gt;0,ESTIMATIVA[[#This Row],[QT_CANA_REAL]],ESTIMATIVA[[#This Row],[QT_CANA_EST]]))</f>
        <v>664.63</v>
      </c>
      <c r="AC69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664.63</v>
      </c>
      <c r="AD698" s="1">
        <f>IF(ESTIMATIVA[[#This Row],[QT_AREA_REAL]]&gt;0,ESTIMATIVA[[#This Row],[QT_CANA_REAL]],ESTIMATIVA[[#This Row],[QT_CANA_EST]])</f>
        <v>664.63</v>
      </c>
      <c r="AE698" s="1">
        <f>IF(ESTIMATIVA[[#This Row],[QT_AREA_REAL]]&gt;0,ESTIMATIVA[[#This Row],[QT_CANA_REAL]],ESTIMATIVA[[#This Row],[QT_CANA_REST1]])</f>
        <v>664.63</v>
      </c>
      <c r="AF698" s="1">
        <f>IF(ESTIMATIVA[[#This Row],[QT_AREA_REAL]]&gt;0,ESTIMATIVA[[#This Row],[QT_CANA_REAL]],ESTIMATIVA[[#This Row],[QT_CANA_REST2]])</f>
        <v>664.63</v>
      </c>
      <c r="AG698" s="1" t="str">
        <f>IF(COUNTIFS(GEADA!A:A,VALUE(ESTIMATIVA[[#This Row],[CD_UPNIVEL1]]&amp;TEXT(ESTIMATIVA[[#This Row],[CD_UPNIVEL3]],"0000")))&gt;0,"S","N")</f>
        <v>N</v>
      </c>
      <c r="AH69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698" s="55" t="str">
        <f>IF(ESTIMATIVA[[#This Row],[TP_CULTIVO]]="Irrigado",_xlfn.MAXIFS(IRRIGADO!J:J,IRRIGADO!C:C,ESTIMATIVA[[#This Row],[CD_UPNIVEL1]],IRRIGADO!E:E,ESTIMATIVA[[#This Row],[CD_UPNIVEL3]]),"")</f>
        <v/>
      </c>
      <c r="AJ69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98" s="1">
        <f>COUNTIFS(Apresentação!$E$23:$E$29,ESTIMATIVA[[#This Row],[CD_UPNIVEL1]])</f>
        <v>0</v>
      </c>
    </row>
    <row r="699" spans="1:37" x14ac:dyDescent="0.3">
      <c r="A699">
        <v>20392</v>
      </c>
      <c r="B699" t="s">
        <v>38</v>
      </c>
      <c r="C699">
        <v>4</v>
      </c>
      <c r="D699">
        <v>5</v>
      </c>
      <c r="E699" t="s">
        <v>268</v>
      </c>
      <c r="F699" s="85" t="s">
        <v>331</v>
      </c>
      <c r="G699"/>
      <c r="H699" t="s">
        <v>295</v>
      </c>
      <c r="I699" t="s">
        <v>197</v>
      </c>
      <c r="J699" t="s">
        <v>176</v>
      </c>
      <c r="K699" s="1">
        <v>25.25</v>
      </c>
      <c r="L699" s="1">
        <v>0</v>
      </c>
      <c r="M699" s="1">
        <v>0</v>
      </c>
      <c r="N699" s="1">
        <v>25.25</v>
      </c>
      <c r="O699" s="1">
        <v>1010</v>
      </c>
      <c r="P699" s="1">
        <v>0</v>
      </c>
      <c r="Q699" s="1">
        <v>0</v>
      </c>
      <c r="R699" s="1">
        <v>1298.6400000000001</v>
      </c>
      <c r="S699" t="s">
        <v>12</v>
      </c>
      <c r="T699" s="13">
        <v>45732</v>
      </c>
      <c r="U699" s="1" t="str">
        <f>IF(ESTIMATIVA[[#This Row],[QT_AREA_REAL]]&gt;0,"1- Colhido","2- à Colher")</f>
        <v>1- Colhido</v>
      </c>
      <c r="V699" s="1" t="str">
        <f>IF(ESTIMATIVA[[#This Row],[QT_AREA_REST1]]&gt;0,"Reestimativa 1",IF(ESTIMATIVA[[#This Row],[QT_AREA_REAL]]=0,"Reestimativa 1","Realizado"))</f>
        <v>Realizado</v>
      </c>
      <c r="W699" s="1" t="str">
        <f>IF(ESTIMATIVA[[#This Row],[QT_AREA_REST2]]&gt;0,"Reestimativa 2",IF(ESTIMATIVA[[#This Row],[QT_AREA_REAL]]=0,"Reestimativa 2","Realizado"))</f>
        <v>Realizado</v>
      </c>
      <c r="X699" s="1">
        <f>ESTIMATIVA[[#This Row],[QT_AREA_EST]]</f>
        <v>25.25</v>
      </c>
      <c r="Y699" s="1">
        <f>IF(ESTIMATIVA[[#This Row],[QT_AREA_REST1]]&gt;0,ESTIMATIVA[[#This Row],[QT_AREA_REST1]],
  IF(ESTIMATIVA[[#This Row],[QT_AREA_REAL]]&gt;0,ESTIMATIVA[[#This Row],[QT_AREA_REAL]],ESTIMATIVA[[#This Row],[QT_AREA_EST]]))</f>
        <v>25.25</v>
      </c>
      <c r="Z69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25.25</v>
      </c>
      <c r="AA699" s="1">
        <f>ESTIMATIVA[[#This Row],[QT_CANA_EST]]</f>
        <v>1010</v>
      </c>
      <c r="AB699" s="1">
        <f>IF(ESTIMATIVA[[#This Row],[QT_CANA_REST1]]&gt;0,ESTIMATIVA[[#This Row],[QT_CANA_REST1]],
  IF(ESTIMATIVA[[#This Row],[QT_CANA_REAL]]&gt;0,ESTIMATIVA[[#This Row],[QT_CANA_REAL]],ESTIMATIVA[[#This Row],[QT_CANA_EST]]))</f>
        <v>1298.6400000000001</v>
      </c>
      <c r="AC69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1298.6400000000001</v>
      </c>
      <c r="AD699" s="1">
        <f>IF(ESTIMATIVA[[#This Row],[QT_AREA_REAL]]&gt;0,ESTIMATIVA[[#This Row],[QT_CANA_REAL]],ESTIMATIVA[[#This Row],[QT_CANA_EST]])</f>
        <v>1298.6400000000001</v>
      </c>
      <c r="AE699" s="1">
        <f>IF(ESTIMATIVA[[#This Row],[QT_AREA_REAL]]&gt;0,ESTIMATIVA[[#This Row],[QT_CANA_REAL]],ESTIMATIVA[[#This Row],[QT_CANA_REST1]])</f>
        <v>1298.6400000000001</v>
      </c>
      <c r="AF699" s="1">
        <f>IF(ESTIMATIVA[[#This Row],[QT_AREA_REAL]]&gt;0,ESTIMATIVA[[#This Row],[QT_CANA_REAL]],ESTIMATIVA[[#This Row],[QT_CANA_REST2]])</f>
        <v>1298.6400000000001</v>
      </c>
      <c r="AG699" s="1" t="str">
        <f>IF(COUNTIFS(GEADA!A:A,VALUE(ESTIMATIVA[[#This Row],[CD_UPNIVEL1]]&amp;TEXT(ESTIMATIVA[[#This Row],[CD_UPNIVEL3]],"0000")))&gt;0,"S","N")</f>
        <v>N</v>
      </c>
      <c r="AH69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699" s="55" t="str">
        <f>IF(ESTIMATIVA[[#This Row],[TP_CULTIVO]]="Irrigado",_xlfn.MAXIFS(IRRIGADO!J:J,IRRIGADO!C:C,ESTIMATIVA[[#This Row],[CD_UPNIVEL1]],IRRIGADO!E:E,ESTIMATIVA[[#This Row],[CD_UPNIVEL3]]),"")</f>
        <v/>
      </c>
      <c r="AJ69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699" s="1">
        <f>COUNTIFS(Apresentação!$E$23:$E$29,ESTIMATIVA[[#This Row],[CD_UPNIVEL1]])</f>
        <v>0</v>
      </c>
    </row>
    <row r="700" spans="1:37" x14ac:dyDescent="0.3">
      <c r="A700">
        <v>20392</v>
      </c>
      <c r="B700" t="s">
        <v>38</v>
      </c>
      <c r="C700">
        <v>5</v>
      </c>
      <c r="D700">
        <v>5</v>
      </c>
      <c r="E700" t="s">
        <v>268</v>
      </c>
      <c r="F700" s="85" t="s">
        <v>333</v>
      </c>
      <c r="G700"/>
      <c r="H700" t="s">
        <v>295</v>
      </c>
      <c r="I700" t="s">
        <v>197</v>
      </c>
      <c r="J700" t="s">
        <v>176</v>
      </c>
      <c r="K700" s="1">
        <v>25.35</v>
      </c>
      <c r="L700" s="1">
        <v>0</v>
      </c>
      <c r="M700" s="1">
        <v>0</v>
      </c>
      <c r="N700" s="1">
        <v>25.35</v>
      </c>
      <c r="O700" s="1">
        <v>1014</v>
      </c>
      <c r="P700" s="1">
        <v>0</v>
      </c>
      <c r="Q700" s="1">
        <v>0</v>
      </c>
      <c r="R700" s="1">
        <v>2065.4</v>
      </c>
      <c r="S700" t="s">
        <v>12</v>
      </c>
      <c r="T700" s="13">
        <v>45732</v>
      </c>
      <c r="U700" s="1" t="str">
        <f>IF(ESTIMATIVA[[#This Row],[QT_AREA_REAL]]&gt;0,"1- Colhido","2- à Colher")</f>
        <v>1- Colhido</v>
      </c>
      <c r="V700" s="1" t="str">
        <f>IF(ESTIMATIVA[[#This Row],[QT_AREA_REST1]]&gt;0,"Reestimativa 1",IF(ESTIMATIVA[[#This Row],[QT_AREA_REAL]]=0,"Reestimativa 1","Realizado"))</f>
        <v>Realizado</v>
      </c>
      <c r="W700" s="1" t="str">
        <f>IF(ESTIMATIVA[[#This Row],[QT_AREA_REST2]]&gt;0,"Reestimativa 2",IF(ESTIMATIVA[[#This Row],[QT_AREA_REAL]]=0,"Reestimativa 2","Realizado"))</f>
        <v>Realizado</v>
      </c>
      <c r="X700" s="1">
        <f>ESTIMATIVA[[#This Row],[QT_AREA_EST]]</f>
        <v>25.35</v>
      </c>
      <c r="Y700" s="1">
        <f>IF(ESTIMATIVA[[#This Row],[QT_AREA_REST1]]&gt;0,ESTIMATIVA[[#This Row],[QT_AREA_REST1]],
  IF(ESTIMATIVA[[#This Row],[QT_AREA_REAL]]&gt;0,ESTIMATIVA[[#This Row],[QT_AREA_REAL]],ESTIMATIVA[[#This Row],[QT_AREA_EST]]))</f>
        <v>25.35</v>
      </c>
      <c r="Z70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25.35</v>
      </c>
      <c r="AA700" s="1">
        <f>ESTIMATIVA[[#This Row],[QT_CANA_EST]]</f>
        <v>1014</v>
      </c>
      <c r="AB700" s="1">
        <f>IF(ESTIMATIVA[[#This Row],[QT_CANA_REST1]]&gt;0,ESTIMATIVA[[#This Row],[QT_CANA_REST1]],
  IF(ESTIMATIVA[[#This Row],[QT_CANA_REAL]]&gt;0,ESTIMATIVA[[#This Row],[QT_CANA_REAL]],ESTIMATIVA[[#This Row],[QT_CANA_EST]]))</f>
        <v>2065.4</v>
      </c>
      <c r="AC70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2065.4</v>
      </c>
      <c r="AD700" s="1">
        <f>IF(ESTIMATIVA[[#This Row],[QT_AREA_REAL]]&gt;0,ESTIMATIVA[[#This Row],[QT_CANA_REAL]],ESTIMATIVA[[#This Row],[QT_CANA_EST]])</f>
        <v>2065.4</v>
      </c>
      <c r="AE700" s="1">
        <f>IF(ESTIMATIVA[[#This Row],[QT_AREA_REAL]]&gt;0,ESTIMATIVA[[#This Row],[QT_CANA_REAL]],ESTIMATIVA[[#This Row],[QT_CANA_REST1]])</f>
        <v>2065.4</v>
      </c>
      <c r="AF700" s="1">
        <f>IF(ESTIMATIVA[[#This Row],[QT_AREA_REAL]]&gt;0,ESTIMATIVA[[#This Row],[QT_CANA_REAL]],ESTIMATIVA[[#This Row],[QT_CANA_REST2]])</f>
        <v>2065.4</v>
      </c>
      <c r="AG700" s="1" t="str">
        <f>IF(COUNTIFS(GEADA!A:A,VALUE(ESTIMATIVA[[#This Row],[CD_UPNIVEL1]]&amp;TEXT(ESTIMATIVA[[#This Row],[CD_UPNIVEL3]],"0000")))&gt;0,"S","N")</f>
        <v>N</v>
      </c>
      <c r="AH70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00" s="55" t="str">
        <f>IF(ESTIMATIVA[[#This Row],[TP_CULTIVO]]="Irrigado",_xlfn.MAXIFS(IRRIGADO!J:J,IRRIGADO!C:C,ESTIMATIVA[[#This Row],[CD_UPNIVEL1]],IRRIGADO!E:E,ESTIMATIVA[[#This Row],[CD_UPNIVEL3]]),"")</f>
        <v/>
      </c>
      <c r="AJ70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00" s="1">
        <f>COUNTIFS(Apresentação!$E$23:$E$29,ESTIMATIVA[[#This Row],[CD_UPNIVEL1]])</f>
        <v>0</v>
      </c>
    </row>
    <row r="701" spans="1:37" x14ac:dyDescent="0.3">
      <c r="A701">
        <v>20392</v>
      </c>
      <c r="B701" t="s">
        <v>38</v>
      </c>
      <c r="C701">
        <v>6</v>
      </c>
      <c r="D701">
        <v>5</v>
      </c>
      <c r="E701" t="s">
        <v>268</v>
      </c>
      <c r="F701" s="85" t="s">
        <v>333</v>
      </c>
      <c r="G701"/>
      <c r="H701" t="s">
        <v>295</v>
      </c>
      <c r="I701" t="s">
        <v>197</v>
      </c>
      <c r="J701" t="s">
        <v>176</v>
      </c>
      <c r="K701" s="1">
        <v>22.43</v>
      </c>
      <c r="L701" s="1">
        <v>0</v>
      </c>
      <c r="M701" s="1">
        <v>0</v>
      </c>
      <c r="N701" s="1">
        <v>22.43</v>
      </c>
      <c r="O701" s="1">
        <v>897.2</v>
      </c>
      <c r="P701" s="1">
        <v>0</v>
      </c>
      <c r="Q701" s="1">
        <v>0</v>
      </c>
      <c r="R701" s="1">
        <v>1827.2</v>
      </c>
      <c r="S701" t="s">
        <v>12</v>
      </c>
      <c r="T701" s="13">
        <v>45732</v>
      </c>
      <c r="U701" s="1" t="str">
        <f>IF(ESTIMATIVA[[#This Row],[QT_AREA_REAL]]&gt;0,"1- Colhido","2- à Colher")</f>
        <v>1- Colhido</v>
      </c>
      <c r="V701" s="1" t="str">
        <f>IF(ESTIMATIVA[[#This Row],[QT_AREA_REST1]]&gt;0,"Reestimativa 1",IF(ESTIMATIVA[[#This Row],[QT_AREA_REAL]]=0,"Reestimativa 1","Realizado"))</f>
        <v>Realizado</v>
      </c>
      <c r="W701" s="1" t="str">
        <f>IF(ESTIMATIVA[[#This Row],[QT_AREA_REST2]]&gt;0,"Reestimativa 2",IF(ESTIMATIVA[[#This Row],[QT_AREA_REAL]]=0,"Reestimativa 2","Realizado"))</f>
        <v>Realizado</v>
      </c>
      <c r="X701" s="1">
        <f>ESTIMATIVA[[#This Row],[QT_AREA_EST]]</f>
        <v>22.43</v>
      </c>
      <c r="Y701" s="1">
        <f>IF(ESTIMATIVA[[#This Row],[QT_AREA_REST1]]&gt;0,ESTIMATIVA[[#This Row],[QT_AREA_REST1]],
  IF(ESTIMATIVA[[#This Row],[QT_AREA_REAL]]&gt;0,ESTIMATIVA[[#This Row],[QT_AREA_REAL]],ESTIMATIVA[[#This Row],[QT_AREA_EST]]))</f>
        <v>22.43</v>
      </c>
      <c r="Z70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22.43</v>
      </c>
      <c r="AA701" s="1">
        <f>ESTIMATIVA[[#This Row],[QT_CANA_EST]]</f>
        <v>897.2</v>
      </c>
      <c r="AB701" s="1">
        <f>IF(ESTIMATIVA[[#This Row],[QT_CANA_REST1]]&gt;0,ESTIMATIVA[[#This Row],[QT_CANA_REST1]],
  IF(ESTIMATIVA[[#This Row],[QT_CANA_REAL]]&gt;0,ESTIMATIVA[[#This Row],[QT_CANA_REAL]],ESTIMATIVA[[#This Row],[QT_CANA_EST]]))</f>
        <v>1827.2</v>
      </c>
      <c r="AC70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1827.2</v>
      </c>
      <c r="AD701" s="1">
        <f>IF(ESTIMATIVA[[#This Row],[QT_AREA_REAL]]&gt;0,ESTIMATIVA[[#This Row],[QT_CANA_REAL]],ESTIMATIVA[[#This Row],[QT_CANA_EST]])</f>
        <v>1827.2</v>
      </c>
      <c r="AE701" s="1">
        <f>IF(ESTIMATIVA[[#This Row],[QT_AREA_REAL]]&gt;0,ESTIMATIVA[[#This Row],[QT_CANA_REAL]],ESTIMATIVA[[#This Row],[QT_CANA_REST1]])</f>
        <v>1827.2</v>
      </c>
      <c r="AF701" s="1">
        <f>IF(ESTIMATIVA[[#This Row],[QT_AREA_REAL]]&gt;0,ESTIMATIVA[[#This Row],[QT_CANA_REAL]],ESTIMATIVA[[#This Row],[QT_CANA_REST2]])</f>
        <v>1827.2</v>
      </c>
      <c r="AG701" s="1" t="str">
        <f>IF(COUNTIFS(GEADA!A:A,VALUE(ESTIMATIVA[[#This Row],[CD_UPNIVEL1]]&amp;TEXT(ESTIMATIVA[[#This Row],[CD_UPNIVEL3]],"0000")))&gt;0,"S","N")</f>
        <v>N</v>
      </c>
      <c r="AH70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01" s="55" t="str">
        <f>IF(ESTIMATIVA[[#This Row],[TP_CULTIVO]]="Irrigado",_xlfn.MAXIFS(IRRIGADO!J:J,IRRIGADO!C:C,ESTIMATIVA[[#This Row],[CD_UPNIVEL1]],IRRIGADO!E:E,ESTIMATIVA[[#This Row],[CD_UPNIVEL3]]),"")</f>
        <v/>
      </c>
      <c r="AJ70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01" s="1">
        <f>COUNTIFS(Apresentação!$E$23:$E$29,ESTIMATIVA[[#This Row],[CD_UPNIVEL1]])</f>
        <v>0</v>
      </c>
    </row>
    <row r="702" spans="1:37" x14ac:dyDescent="0.3">
      <c r="A702">
        <v>20392</v>
      </c>
      <c r="B702" t="s">
        <v>38</v>
      </c>
      <c r="C702">
        <v>7</v>
      </c>
      <c r="D702">
        <v>5</v>
      </c>
      <c r="E702" t="s">
        <v>268</v>
      </c>
      <c r="F702" s="85" t="s">
        <v>331</v>
      </c>
      <c r="G702"/>
      <c r="H702" t="s">
        <v>295</v>
      </c>
      <c r="I702" t="s">
        <v>197</v>
      </c>
      <c r="J702" t="s">
        <v>176</v>
      </c>
      <c r="K702" s="1">
        <v>20.399999999999999</v>
      </c>
      <c r="L702" s="1">
        <v>0</v>
      </c>
      <c r="M702" s="1">
        <v>0</v>
      </c>
      <c r="N702" s="1">
        <v>20.399999999999999</v>
      </c>
      <c r="O702" s="1">
        <v>816</v>
      </c>
      <c r="P702" s="1">
        <v>0</v>
      </c>
      <c r="Q702" s="1">
        <v>0</v>
      </c>
      <c r="R702" s="1">
        <v>1405.45</v>
      </c>
      <c r="S702" t="s">
        <v>12</v>
      </c>
      <c r="T702" s="13">
        <v>45732</v>
      </c>
      <c r="U702" s="1" t="str">
        <f>IF(ESTIMATIVA[[#This Row],[QT_AREA_REAL]]&gt;0,"1- Colhido","2- à Colher")</f>
        <v>1- Colhido</v>
      </c>
      <c r="V702" s="1" t="str">
        <f>IF(ESTIMATIVA[[#This Row],[QT_AREA_REST1]]&gt;0,"Reestimativa 1",IF(ESTIMATIVA[[#This Row],[QT_AREA_REAL]]=0,"Reestimativa 1","Realizado"))</f>
        <v>Realizado</v>
      </c>
      <c r="W702" s="1" t="str">
        <f>IF(ESTIMATIVA[[#This Row],[QT_AREA_REST2]]&gt;0,"Reestimativa 2",IF(ESTIMATIVA[[#This Row],[QT_AREA_REAL]]=0,"Reestimativa 2","Realizado"))</f>
        <v>Realizado</v>
      </c>
      <c r="X702" s="1">
        <f>ESTIMATIVA[[#This Row],[QT_AREA_EST]]</f>
        <v>20.399999999999999</v>
      </c>
      <c r="Y702" s="1">
        <f>IF(ESTIMATIVA[[#This Row],[QT_AREA_REST1]]&gt;0,ESTIMATIVA[[#This Row],[QT_AREA_REST1]],
  IF(ESTIMATIVA[[#This Row],[QT_AREA_REAL]]&gt;0,ESTIMATIVA[[#This Row],[QT_AREA_REAL]],ESTIMATIVA[[#This Row],[QT_AREA_EST]]))</f>
        <v>20.399999999999999</v>
      </c>
      <c r="Z70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20.399999999999999</v>
      </c>
      <c r="AA702" s="1">
        <f>ESTIMATIVA[[#This Row],[QT_CANA_EST]]</f>
        <v>816</v>
      </c>
      <c r="AB702" s="1">
        <f>IF(ESTIMATIVA[[#This Row],[QT_CANA_REST1]]&gt;0,ESTIMATIVA[[#This Row],[QT_CANA_REST1]],
  IF(ESTIMATIVA[[#This Row],[QT_CANA_REAL]]&gt;0,ESTIMATIVA[[#This Row],[QT_CANA_REAL]],ESTIMATIVA[[#This Row],[QT_CANA_EST]]))</f>
        <v>1405.45</v>
      </c>
      <c r="AC70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1405.45</v>
      </c>
      <c r="AD702" s="1">
        <f>IF(ESTIMATIVA[[#This Row],[QT_AREA_REAL]]&gt;0,ESTIMATIVA[[#This Row],[QT_CANA_REAL]],ESTIMATIVA[[#This Row],[QT_CANA_EST]])</f>
        <v>1405.45</v>
      </c>
      <c r="AE702" s="1">
        <f>IF(ESTIMATIVA[[#This Row],[QT_AREA_REAL]]&gt;0,ESTIMATIVA[[#This Row],[QT_CANA_REAL]],ESTIMATIVA[[#This Row],[QT_CANA_REST1]])</f>
        <v>1405.45</v>
      </c>
      <c r="AF702" s="1">
        <f>IF(ESTIMATIVA[[#This Row],[QT_AREA_REAL]]&gt;0,ESTIMATIVA[[#This Row],[QT_CANA_REAL]],ESTIMATIVA[[#This Row],[QT_CANA_REST2]])</f>
        <v>1405.45</v>
      </c>
      <c r="AG702" s="1" t="str">
        <f>IF(COUNTIFS(GEADA!A:A,VALUE(ESTIMATIVA[[#This Row],[CD_UPNIVEL1]]&amp;TEXT(ESTIMATIVA[[#This Row],[CD_UPNIVEL3]],"0000")))&gt;0,"S","N")</f>
        <v>N</v>
      </c>
      <c r="AH70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02" s="55" t="str">
        <f>IF(ESTIMATIVA[[#This Row],[TP_CULTIVO]]="Irrigado",_xlfn.MAXIFS(IRRIGADO!J:J,IRRIGADO!C:C,ESTIMATIVA[[#This Row],[CD_UPNIVEL1]],IRRIGADO!E:E,ESTIMATIVA[[#This Row],[CD_UPNIVEL3]]),"")</f>
        <v/>
      </c>
      <c r="AJ70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02" s="1">
        <f>COUNTIFS(Apresentação!$E$23:$E$29,ESTIMATIVA[[#This Row],[CD_UPNIVEL1]])</f>
        <v>0</v>
      </c>
    </row>
    <row r="703" spans="1:37" x14ac:dyDescent="0.3">
      <c r="A703">
        <v>20392</v>
      </c>
      <c r="B703" t="s">
        <v>38</v>
      </c>
      <c r="C703">
        <v>8</v>
      </c>
      <c r="D703">
        <v>5</v>
      </c>
      <c r="E703" t="s">
        <v>268</v>
      </c>
      <c r="F703" s="85" t="s">
        <v>333</v>
      </c>
      <c r="G703"/>
      <c r="H703" t="s">
        <v>295</v>
      </c>
      <c r="I703" t="s">
        <v>197</v>
      </c>
      <c r="J703" t="s">
        <v>176</v>
      </c>
      <c r="K703" s="1">
        <v>21.81</v>
      </c>
      <c r="L703" s="1">
        <v>0</v>
      </c>
      <c r="M703" s="1">
        <v>0</v>
      </c>
      <c r="N703" s="1">
        <v>21.81</v>
      </c>
      <c r="O703" s="1">
        <v>872.4</v>
      </c>
      <c r="P703" s="1">
        <v>0</v>
      </c>
      <c r="Q703" s="1">
        <v>0</v>
      </c>
      <c r="R703" s="1">
        <v>1501.9</v>
      </c>
      <c r="S703" t="s">
        <v>12</v>
      </c>
      <c r="T703" s="13">
        <v>45732</v>
      </c>
      <c r="U703" s="1" t="str">
        <f>IF(ESTIMATIVA[[#This Row],[QT_AREA_REAL]]&gt;0,"1- Colhido","2- à Colher")</f>
        <v>1- Colhido</v>
      </c>
      <c r="V703" s="1" t="str">
        <f>IF(ESTIMATIVA[[#This Row],[QT_AREA_REST1]]&gt;0,"Reestimativa 1",IF(ESTIMATIVA[[#This Row],[QT_AREA_REAL]]=0,"Reestimativa 1","Realizado"))</f>
        <v>Realizado</v>
      </c>
      <c r="W703" s="1" t="str">
        <f>IF(ESTIMATIVA[[#This Row],[QT_AREA_REST2]]&gt;0,"Reestimativa 2",IF(ESTIMATIVA[[#This Row],[QT_AREA_REAL]]=0,"Reestimativa 2","Realizado"))</f>
        <v>Realizado</v>
      </c>
      <c r="X703" s="1">
        <f>ESTIMATIVA[[#This Row],[QT_AREA_EST]]</f>
        <v>21.81</v>
      </c>
      <c r="Y703" s="1">
        <f>IF(ESTIMATIVA[[#This Row],[QT_AREA_REST1]]&gt;0,ESTIMATIVA[[#This Row],[QT_AREA_REST1]],
  IF(ESTIMATIVA[[#This Row],[QT_AREA_REAL]]&gt;0,ESTIMATIVA[[#This Row],[QT_AREA_REAL]],ESTIMATIVA[[#This Row],[QT_AREA_EST]]))</f>
        <v>21.81</v>
      </c>
      <c r="Z70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21.81</v>
      </c>
      <c r="AA703" s="1">
        <f>ESTIMATIVA[[#This Row],[QT_CANA_EST]]</f>
        <v>872.4</v>
      </c>
      <c r="AB703" s="1">
        <f>IF(ESTIMATIVA[[#This Row],[QT_CANA_REST1]]&gt;0,ESTIMATIVA[[#This Row],[QT_CANA_REST1]],
  IF(ESTIMATIVA[[#This Row],[QT_CANA_REAL]]&gt;0,ESTIMATIVA[[#This Row],[QT_CANA_REAL]],ESTIMATIVA[[#This Row],[QT_CANA_EST]]))</f>
        <v>1501.9</v>
      </c>
      <c r="AC70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1501.9</v>
      </c>
      <c r="AD703" s="1">
        <f>IF(ESTIMATIVA[[#This Row],[QT_AREA_REAL]]&gt;0,ESTIMATIVA[[#This Row],[QT_CANA_REAL]],ESTIMATIVA[[#This Row],[QT_CANA_EST]])</f>
        <v>1501.9</v>
      </c>
      <c r="AE703" s="1">
        <f>IF(ESTIMATIVA[[#This Row],[QT_AREA_REAL]]&gt;0,ESTIMATIVA[[#This Row],[QT_CANA_REAL]],ESTIMATIVA[[#This Row],[QT_CANA_REST1]])</f>
        <v>1501.9</v>
      </c>
      <c r="AF703" s="1">
        <f>IF(ESTIMATIVA[[#This Row],[QT_AREA_REAL]]&gt;0,ESTIMATIVA[[#This Row],[QT_CANA_REAL]],ESTIMATIVA[[#This Row],[QT_CANA_REST2]])</f>
        <v>1501.9</v>
      </c>
      <c r="AG703" s="1" t="str">
        <f>IF(COUNTIFS(GEADA!A:A,VALUE(ESTIMATIVA[[#This Row],[CD_UPNIVEL1]]&amp;TEXT(ESTIMATIVA[[#This Row],[CD_UPNIVEL3]],"0000")))&gt;0,"S","N")</f>
        <v>N</v>
      </c>
      <c r="AH70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03" s="55" t="str">
        <f>IF(ESTIMATIVA[[#This Row],[TP_CULTIVO]]="Irrigado",_xlfn.MAXIFS(IRRIGADO!J:J,IRRIGADO!C:C,ESTIMATIVA[[#This Row],[CD_UPNIVEL1]],IRRIGADO!E:E,ESTIMATIVA[[#This Row],[CD_UPNIVEL3]]),"")</f>
        <v/>
      </c>
      <c r="AJ70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03" s="1">
        <f>COUNTIFS(Apresentação!$E$23:$E$29,ESTIMATIVA[[#This Row],[CD_UPNIVEL1]])</f>
        <v>0</v>
      </c>
    </row>
    <row r="704" spans="1:37" x14ac:dyDescent="0.3">
      <c r="A704">
        <v>20392</v>
      </c>
      <c r="B704" t="s">
        <v>38</v>
      </c>
      <c r="C704">
        <v>9</v>
      </c>
      <c r="D704">
        <v>5</v>
      </c>
      <c r="E704" t="s">
        <v>268</v>
      </c>
      <c r="F704" s="85" t="s">
        <v>331</v>
      </c>
      <c r="G704"/>
      <c r="H704" t="s">
        <v>295</v>
      </c>
      <c r="I704" t="s">
        <v>197</v>
      </c>
      <c r="J704" t="s">
        <v>176</v>
      </c>
      <c r="K704" s="1">
        <v>11.09</v>
      </c>
      <c r="L704" s="1">
        <v>0</v>
      </c>
      <c r="M704" s="1">
        <v>0</v>
      </c>
      <c r="N704" s="1">
        <v>11.09</v>
      </c>
      <c r="O704" s="1">
        <v>443.6</v>
      </c>
      <c r="P704" s="1">
        <v>0</v>
      </c>
      <c r="Q704" s="1">
        <v>0</v>
      </c>
      <c r="R704" s="1">
        <v>764.88</v>
      </c>
      <c r="S704" t="s">
        <v>12</v>
      </c>
      <c r="T704" s="13">
        <v>45732</v>
      </c>
      <c r="U704" s="1" t="str">
        <f>IF(ESTIMATIVA[[#This Row],[QT_AREA_REAL]]&gt;0,"1- Colhido","2- à Colher")</f>
        <v>1- Colhido</v>
      </c>
      <c r="V704" s="1" t="str">
        <f>IF(ESTIMATIVA[[#This Row],[QT_AREA_REST1]]&gt;0,"Reestimativa 1",IF(ESTIMATIVA[[#This Row],[QT_AREA_REAL]]=0,"Reestimativa 1","Realizado"))</f>
        <v>Realizado</v>
      </c>
      <c r="W704" s="1" t="str">
        <f>IF(ESTIMATIVA[[#This Row],[QT_AREA_REST2]]&gt;0,"Reestimativa 2",IF(ESTIMATIVA[[#This Row],[QT_AREA_REAL]]=0,"Reestimativa 2","Realizado"))</f>
        <v>Realizado</v>
      </c>
      <c r="X704" s="1">
        <f>ESTIMATIVA[[#This Row],[QT_AREA_EST]]</f>
        <v>11.09</v>
      </c>
      <c r="Y704" s="1">
        <f>IF(ESTIMATIVA[[#This Row],[QT_AREA_REST1]]&gt;0,ESTIMATIVA[[#This Row],[QT_AREA_REST1]],
  IF(ESTIMATIVA[[#This Row],[QT_AREA_REAL]]&gt;0,ESTIMATIVA[[#This Row],[QT_AREA_REAL]],ESTIMATIVA[[#This Row],[QT_AREA_EST]]))</f>
        <v>11.09</v>
      </c>
      <c r="Z70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11.09</v>
      </c>
      <c r="AA704" s="1">
        <f>ESTIMATIVA[[#This Row],[QT_CANA_EST]]</f>
        <v>443.6</v>
      </c>
      <c r="AB704" s="1">
        <f>IF(ESTIMATIVA[[#This Row],[QT_CANA_REST1]]&gt;0,ESTIMATIVA[[#This Row],[QT_CANA_REST1]],
  IF(ESTIMATIVA[[#This Row],[QT_CANA_REAL]]&gt;0,ESTIMATIVA[[#This Row],[QT_CANA_REAL]],ESTIMATIVA[[#This Row],[QT_CANA_EST]]))</f>
        <v>764.88</v>
      </c>
      <c r="AC70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764.88</v>
      </c>
      <c r="AD704" s="1">
        <f>IF(ESTIMATIVA[[#This Row],[QT_AREA_REAL]]&gt;0,ESTIMATIVA[[#This Row],[QT_CANA_REAL]],ESTIMATIVA[[#This Row],[QT_CANA_EST]])</f>
        <v>764.88</v>
      </c>
      <c r="AE704" s="1">
        <f>IF(ESTIMATIVA[[#This Row],[QT_AREA_REAL]]&gt;0,ESTIMATIVA[[#This Row],[QT_CANA_REAL]],ESTIMATIVA[[#This Row],[QT_CANA_REST1]])</f>
        <v>764.88</v>
      </c>
      <c r="AF704" s="1">
        <f>IF(ESTIMATIVA[[#This Row],[QT_AREA_REAL]]&gt;0,ESTIMATIVA[[#This Row],[QT_CANA_REAL]],ESTIMATIVA[[#This Row],[QT_CANA_REST2]])</f>
        <v>764.88</v>
      </c>
      <c r="AG704" s="1" t="str">
        <f>IF(COUNTIFS(GEADA!A:A,VALUE(ESTIMATIVA[[#This Row],[CD_UPNIVEL1]]&amp;TEXT(ESTIMATIVA[[#This Row],[CD_UPNIVEL3]],"0000")))&gt;0,"S","N")</f>
        <v>N</v>
      </c>
      <c r="AH70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04" s="55" t="str">
        <f>IF(ESTIMATIVA[[#This Row],[TP_CULTIVO]]="Irrigado",_xlfn.MAXIFS(IRRIGADO!J:J,IRRIGADO!C:C,ESTIMATIVA[[#This Row],[CD_UPNIVEL1]],IRRIGADO!E:E,ESTIMATIVA[[#This Row],[CD_UPNIVEL3]]),"")</f>
        <v/>
      </c>
      <c r="AJ70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04" s="1">
        <f>COUNTIFS(Apresentação!$E$23:$E$29,ESTIMATIVA[[#This Row],[CD_UPNIVEL1]])</f>
        <v>0</v>
      </c>
    </row>
    <row r="705" spans="1:37" x14ac:dyDescent="0.3">
      <c r="A705">
        <v>20395</v>
      </c>
      <c r="B705" t="s">
        <v>39</v>
      </c>
      <c r="C705">
        <v>1</v>
      </c>
      <c r="D705">
        <v>1</v>
      </c>
      <c r="E705" t="s">
        <v>264</v>
      </c>
      <c r="F705" s="85" t="s">
        <v>331</v>
      </c>
      <c r="G705"/>
      <c r="H705" t="s">
        <v>294</v>
      </c>
      <c r="I705" t="s">
        <v>222</v>
      </c>
      <c r="J705" t="s">
        <v>176</v>
      </c>
      <c r="K705" s="1">
        <v>12.92</v>
      </c>
      <c r="L705" s="1">
        <v>0</v>
      </c>
      <c r="M705" s="1">
        <v>0</v>
      </c>
      <c r="N705" s="1">
        <v>12.92</v>
      </c>
      <c r="O705" s="1">
        <v>1292</v>
      </c>
      <c r="P705" s="1">
        <v>0</v>
      </c>
      <c r="Q705" s="1">
        <v>0</v>
      </c>
      <c r="R705" s="1">
        <v>976.47</v>
      </c>
      <c r="S705" t="s">
        <v>12</v>
      </c>
      <c r="T705" s="13">
        <v>45816</v>
      </c>
      <c r="U705" s="1" t="str">
        <f>IF(ESTIMATIVA[[#This Row],[QT_AREA_REAL]]&gt;0,"1- Colhido","2- à Colher")</f>
        <v>1- Colhido</v>
      </c>
      <c r="V705" s="1" t="str">
        <f>IF(ESTIMATIVA[[#This Row],[QT_AREA_REST1]]&gt;0,"Reestimativa 1",IF(ESTIMATIVA[[#This Row],[QT_AREA_REAL]]=0,"Reestimativa 1","Realizado"))</f>
        <v>Realizado</v>
      </c>
      <c r="W705" s="1" t="str">
        <f>IF(ESTIMATIVA[[#This Row],[QT_AREA_REST2]]&gt;0,"Reestimativa 2",IF(ESTIMATIVA[[#This Row],[QT_AREA_REAL]]=0,"Reestimativa 2","Realizado"))</f>
        <v>Realizado</v>
      </c>
      <c r="X705" s="1">
        <f>ESTIMATIVA[[#This Row],[QT_AREA_EST]]</f>
        <v>12.92</v>
      </c>
      <c r="Y705" s="1">
        <f>IF(ESTIMATIVA[[#This Row],[QT_AREA_REST1]]&gt;0,ESTIMATIVA[[#This Row],[QT_AREA_REST1]],
  IF(ESTIMATIVA[[#This Row],[QT_AREA_REAL]]&gt;0,ESTIMATIVA[[#This Row],[QT_AREA_REAL]],ESTIMATIVA[[#This Row],[QT_AREA_EST]]))</f>
        <v>12.92</v>
      </c>
      <c r="Z70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12.92</v>
      </c>
      <c r="AA705" s="1">
        <f>ESTIMATIVA[[#This Row],[QT_CANA_EST]]</f>
        <v>1292</v>
      </c>
      <c r="AB705" s="1">
        <f>IF(ESTIMATIVA[[#This Row],[QT_CANA_REST1]]&gt;0,ESTIMATIVA[[#This Row],[QT_CANA_REST1]],
  IF(ESTIMATIVA[[#This Row],[QT_CANA_REAL]]&gt;0,ESTIMATIVA[[#This Row],[QT_CANA_REAL]],ESTIMATIVA[[#This Row],[QT_CANA_EST]]))</f>
        <v>976.47</v>
      </c>
      <c r="AC70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976.47</v>
      </c>
      <c r="AD705" s="1">
        <f>IF(ESTIMATIVA[[#This Row],[QT_AREA_REAL]]&gt;0,ESTIMATIVA[[#This Row],[QT_CANA_REAL]],ESTIMATIVA[[#This Row],[QT_CANA_EST]])</f>
        <v>976.47</v>
      </c>
      <c r="AE705" s="1">
        <f>IF(ESTIMATIVA[[#This Row],[QT_AREA_REAL]]&gt;0,ESTIMATIVA[[#This Row],[QT_CANA_REAL]],ESTIMATIVA[[#This Row],[QT_CANA_REST1]])</f>
        <v>976.47</v>
      </c>
      <c r="AF705" s="1">
        <f>IF(ESTIMATIVA[[#This Row],[QT_AREA_REAL]]&gt;0,ESTIMATIVA[[#This Row],[QT_CANA_REAL]],ESTIMATIVA[[#This Row],[QT_CANA_REST2]])</f>
        <v>976.47</v>
      </c>
      <c r="AG705" s="1" t="str">
        <f>IF(COUNTIFS(GEADA!A:A,VALUE(ESTIMATIVA[[#This Row],[CD_UPNIVEL1]]&amp;TEXT(ESTIMATIVA[[#This Row],[CD_UPNIVEL3]],"0000")))&gt;0,"S","N")</f>
        <v>N</v>
      </c>
      <c r="AH70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05" s="55" t="str">
        <f>IF(ESTIMATIVA[[#This Row],[TP_CULTIVO]]="Irrigado",_xlfn.MAXIFS(IRRIGADO!J:J,IRRIGADO!C:C,ESTIMATIVA[[#This Row],[CD_UPNIVEL1]],IRRIGADO!E:E,ESTIMATIVA[[#This Row],[CD_UPNIVEL3]]),"")</f>
        <v/>
      </c>
      <c r="AJ70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05" s="1">
        <f>COUNTIFS(Apresentação!$E$23:$E$29,ESTIMATIVA[[#This Row],[CD_UPNIVEL1]])</f>
        <v>0</v>
      </c>
    </row>
    <row r="706" spans="1:37" x14ac:dyDescent="0.3">
      <c r="A706">
        <v>20395</v>
      </c>
      <c r="B706" t="s">
        <v>39</v>
      </c>
      <c r="C706">
        <v>2</v>
      </c>
      <c r="D706">
        <v>1</v>
      </c>
      <c r="E706" t="s">
        <v>264</v>
      </c>
      <c r="F706" s="85" t="s">
        <v>331</v>
      </c>
      <c r="G706"/>
      <c r="H706" t="s">
        <v>294</v>
      </c>
      <c r="I706" t="s">
        <v>222</v>
      </c>
      <c r="J706" t="s">
        <v>176</v>
      </c>
      <c r="K706" s="1">
        <v>4.53</v>
      </c>
      <c r="L706" s="1">
        <v>0</v>
      </c>
      <c r="M706" s="1">
        <v>0</v>
      </c>
      <c r="N706" s="1">
        <v>4.53</v>
      </c>
      <c r="O706" s="1">
        <v>453</v>
      </c>
      <c r="P706" s="1">
        <v>0</v>
      </c>
      <c r="Q706" s="1">
        <v>0</v>
      </c>
      <c r="R706" s="1">
        <v>342.33</v>
      </c>
      <c r="S706" t="s">
        <v>12</v>
      </c>
      <c r="T706" s="13">
        <v>45816</v>
      </c>
      <c r="U706" s="1" t="str">
        <f>IF(ESTIMATIVA[[#This Row],[QT_AREA_REAL]]&gt;0,"1- Colhido","2- à Colher")</f>
        <v>1- Colhido</v>
      </c>
      <c r="V706" s="1" t="str">
        <f>IF(ESTIMATIVA[[#This Row],[QT_AREA_REST1]]&gt;0,"Reestimativa 1",IF(ESTIMATIVA[[#This Row],[QT_AREA_REAL]]=0,"Reestimativa 1","Realizado"))</f>
        <v>Realizado</v>
      </c>
      <c r="W706" s="1" t="str">
        <f>IF(ESTIMATIVA[[#This Row],[QT_AREA_REST2]]&gt;0,"Reestimativa 2",IF(ESTIMATIVA[[#This Row],[QT_AREA_REAL]]=0,"Reestimativa 2","Realizado"))</f>
        <v>Realizado</v>
      </c>
      <c r="X706" s="1">
        <f>ESTIMATIVA[[#This Row],[QT_AREA_EST]]</f>
        <v>4.53</v>
      </c>
      <c r="Y706" s="1">
        <f>IF(ESTIMATIVA[[#This Row],[QT_AREA_REST1]]&gt;0,ESTIMATIVA[[#This Row],[QT_AREA_REST1]],
  IF(ESTIMATIVA[[#This Row],[QT_AREA_REAL]]&gt;0,ESTIMATIVA[[#This Row],[QT_AREA_REAL]],ESTIMATIVA[[#This Row],[QT_AREA_EST]]))</f>
        <v>4.53</v>
      </c>
      <c r="Z70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4.53</v>
      </c>
      <c r="AA706" s="1">
        <f>ESTIMATIVA[[#This Row],[QT_CANA_EST]]</f>
        <v>453</v>
      </c>
      <c r="AB706" s="1">
        <f>IF(ESTIMATIVA[[#This Row],[QT_CANA_REST1]]&gt;0,ESTIMATIVA[[#This Row],[QT_CANA_REST1]],
  IF(ESTIMATIVA[[#This Row],[QT_CANA_REAL]]&gt;0,ESTIMATIVA[[#This Row],[QT_CANA_REAL]],ESTIMATIVA[[#This Row],[QT_CANA_EST]]))</f>
        <v>342.33</v>
      </c>
      <c r="AC70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342.33</v>
      </c>
      <c r="AD706" s="1">
        <f>IF(ESTIMATIVA[[#This Row],[QT_AREA_REAL]]&gt;0,ESTIMATIVA[[#This Row],[QT_CANA_REAL]],ESTIMATIVA[[#This Row],[QT_CANA_EST]])</f>
        <v>342.33</v>
      </c>
      <c r="AE706" s="1">
        <f>IF(ESTIMATIVA[[#This Row],[QT_AREA_REAL]]&gt;0,ESTIMATIVA[[#This Row],[QT_CANA_REAL]],ESTIMATIVA[[#This Row],[QT_CANA_REST1]])</f>
        <v>342.33</v>
      </c>
      <c r="AF706" s="1">
        <f>IF(ESTIMATIVA[[#This Row],[QT_AREA_REAL]]&gt;0,ESTIMATIVA[[#This Row],[QT_CANA_REAL]],ESTIMATIVA[[#This Row],[QT_CANA_REST2]])</f>
        <v>342.33</v>
      </c>
      <c r="AG706" s="1" t="str">
        <f>IF(COUNTIFS(GEADA!A:A,VALUE(ESTIMATIVA[[#This Row],[CD_UPNIVEL1]]&amp;TEXT(ESTIMATIVA[[#This Row],[CD_UPNIVEL3]],"0000")))&gt;0,"S","N")</f>
        <v>N</v>
      </c>
      <c r="AH70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06" s="55" t="str">
        <f>IF(ESTIMATIVA[[#This Row],[TP_CULTIVO]]="Irrigado",_xlfn.MAXIFS(IRRIGADO!J:J,IRRIGADO!C:C,ESTIMATIVA[[#This Row],[CD_UPNIVEL1]],IRRIGADO!E:E,ESTIMATIVA[[#This Row],[CD_UPNIVEL3]]),"")</f>
        <v/>
      </c>
      <c r="AJ70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06" s="1">
        <f>COUNTIFS(Apresentação!$E$23:$E$29,ESTIMATIVA[[#This Row],[CD_UPNIVEL1]])</f>
        <v>0</v>
      </c>
    </row>
    <row r="707" spans="1:37" x14ac:dyDescent="0.3">
      <c r="A707">
        <v>20395</v>
      </c>
      <c r="B707" t="s">
        <v>39</v>
      </c>
      <c r="C707">
        <v>3</v>
      </c>
      <c r="D707">
        <v>1</v>
      </c>
      <c r="E707" t="s">
        <v>264</v>
      </c>
      <c r="F707" s="85" t="s">
        <v>331</v>
      </c>
      <c r="G707"/>
      <c r="H707" t="s">
        <v>294</v>
      </c>
      <c r="I707" t="s">
        <v>222</v>
      </c>
      <c r="J707" t="s">
        <v>176</v>
      </c>
      <c r="K707" s="1">
        <v>19.100000000000001</v>
      </c>
      <c r="L707" s="1">
        <v>0</v>
      </c>
      <c r="M707" s="1">
        <v>0</v>
      </c>
      <c r="N707" s="1">
        <v>19.100000000000001</v>
      </c>
      <c r="O707" s="1">
        <v>1910</v>
      </c>
      <c r="P707" s="1">
        <v>0</v>
      </c>
      <c r="Q707" s="1">
        <v>0</v>
      </c>
      <c r="R707" s="1">
        <v>1443.56</v>
      </c>
      <c r="S707" t="s">
        <v>12</v>
      </c>
      <c r="T707" s="13">
        <v>45816</v>
      </c>
      <c r="U707" s="1" t="str">
        <f>IF(ESTIMATIVA[[#This Row],[QT_AREA_REAL]]&gt;0,"1- Colhido","2- à Colher")</f>
        <v>1- Colhido</v>
      </c>
      <c r="V707" s="1" t="str">
        <f>IF(ESTIMATIVA[[#This Row],[QT_AREA_REST1]]&gt;0,"Reestimativa 1",IF(ESTIMATIVA[[#This Row],[QT_AREA_REAL]]=0,"Reestimativa 1","Realizado"))</f>
        <v>Realizado</v>
      </c>
      <c r="W707" s="1" t="str">
        <f>IF(ESTIMATIVA[[#This Row],[QT_AREA_REST2]]&gt;0,"Reestimativa 2",IF(ESTIMATIVA[[#This Row],[QT_AREA_REAL]]=0,"Reestimativa 2","Realizado"))</f>
        <v>Realizado</v>
      </c>
      <c r="X707" s="1">
        <f>ESTIMATIVA[[#This Row],[QT_AREA_EST]]</f>
        <v>19.100000000000001</v>
      </c>
      <c r="Y707" s="1">
        <f>IF(ESTIMATIVA[[#This Row],[QT_AREA_REST1]]&gt;0,ESTIMATIVA[[#This Row],[QT_AREA_REST1]],
  IF(ESTIMATIVA[[#This Row],[QT_AREA_REAL]]&gt;0,ESTIMATIVA[[#This Row],[QT_AREA_REAL]],ESTIMATIVA[[#This Row],[QT_AREA_EST]]))</f>
        <v>19.100000000000001</v>
      </c>
      <c r="Z70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19.100000000000001</v>
      </c>
      <c r="AA707" s="1">
        <f>ESTIMATIVA[[#This Row],[QT_CANA_EST]]</f>
        <v>1910</v>
      </c>
      <c r="AB707" s="1">
        <f>IF(ESTIMATIVA[[#This Row],[QT_CANA_REST1]]&gt;0,ESTIMATIVA[[#This Row],[QT_CANA_REST1]],
  IF(ESTIMATIVA[[#This Row],[QT_CANA_REAL]]&gt;0,ESTIMATIVA[[#This Row],[QT_CANA_REAL]],ESTIMATIVA[[#This Row],[QT_CANA_EST]]))</f>
        <v>1443.56</v>
      </c>
      <c r="AC70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1443.56</v>
      </c>
      <c r="AD707" s="1">
        <f>IF(ESTIMATIVA[[#This Row],[QT_AREA_REAL]]&gt;0,ESTIMATIVA[[#This Row],[QT_CANA_REAL]],ESTIMATIVA[[#This Row],[QT_CANA_EST]])</f>
        <v>1443.56</v>
      </c>
      <c r="AE707" s="1">
        <f>IF(ESTIMATIVA[[#This Row],[QT_AREA_REAL]]&gt;0,ESTIMATIVA[[#This Row],[QT_CANA_REAL]],ESTIMATIVA[[#This Row],[QT_CANA_REST1]])</f>
        <v>1443.56</v>
      </c>
      <c r="AF707" s="1">
        <f>IF(ESTIMATIVA[[#This Row],[QT_AREA_REAL]]&gt;0,ESTIMATIVA[[#This Row],[QT_CANA_REAL]],ESTIMATIVA[[#This Row],[QT_CANA_REST2]])</f>
        <v>1443.56</v>
      </c>
      <c r="AG707" s="1" t="str">
        <f>IF(COUNTIFS(GEADA!A:A,VALUE(ESTIMATIVA[[#This Row],[CD_UPNIVEL1]]&amp;TEXT(ESTIMATIVA[[#This Row],[CD_UPNIVEL3]],"0000")))&gt;0,"S","N")</f>
        <v>N</v>
      </c>
      <c r="AH70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07" s="55" t="str">
        <f>IF(ESTIMATIVA[[#This Row],[TP_CULTIVO]]="Irrigado",_xlfn.MAXIFS(IRRIGADO!J:J,IRRIGADO!C:C,ESTIMATIVA[[#This Row],[CD_UPNIVEL1]],IRRIGADO!E:E,ESTIMATIVA[[#This Row],[CD_UPNIVEL3]]),"")</f>
        <v/>
      </c>
      <c r="AJ70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07" s="1">
        <f>COUNTIFS(Apresentação!$E$23:$E$29,ESTIMATIVA[[#This Row],[CD_UPNIVEL1]])</f>
        <v>0</v>
      </c>
    </row>
    <row r="708" spans="1:37" x14ac:dyDescent="0.3">
      <c r="A708">
        <v>20395</v>
      </c>
      <c r="B708" t="s">
        <v>39</v>
      </c>
      <c r="C708">
        <v>4</v>
      </c>
      <c r="D708">
        <v>1</v>
      </c>
      <c r="E708" t="s">
        <v>264</v>
      </c>
      <c r="F708" s="85" t="s">
        <v>331</v>
      </c>
      <c r="G708"/>
      <c r="H708" t="s">
        <v>294</v>
      </c>
      <c r="I708" t="s">
        <v>222</v>
      </c>
      <c r="J708" t="s">
        <v>176</v>
      </c>
      <c r="K708" s="1">
        <v>12.73</v>
      </c>
      <c r="L708" s="1">
        <v>0</v>
      </c>
      <c r="M708" s="1">
        <v>0</v>
      </c>
      <c r="N708" s="1">
        <v>12.73</v>
      </c>
      <c r="O708" s="1">
        <v>1273</v>
      </c>
      <c r="P708" s="1">
        <v>0</v>
      </c>
      <c r="Q708" s="1">
        <v>0</v>
      </c>
      <c r="R708" s="1">
        <v>962.33</v>
      </c>
      <c r="S708" t="s">
        <v>12</v>
      </c>
      <c r="T708" s="13">
        <v>45816</v>
      </c>
      <c r="U708" s="1" t="str">
        <f>IF(ESTIMATIVA[[#This Row],[QT_AREA_REAL]]&gt;0,"1- Colhido","2- à Colher")</f>
        <v>1- Colhido</v>
      </c>
      <c r="V708" s="1" t="str">
        <f>IF(ESTIMATIVA[[#This Row],[QT_AREA_REST1]]&gt;0,"Reestimativa 1",IF(ESTIMATIVA[[#This Row],[QT_AREA_REAL]]=0,"Reestimativa 1","Realizado"))</f>
        <v>Realizado</v>
      </c>
      <c r="W708" s="1" t="str">
        <f>IF(ESTIMATIVA[[#This Row],[QT_AREA_REST2]]&gt;0,"Reestimativa 2",IF(ESTIMATIVA[[#This Row],[QT_AREA_REAL]]=0,"Reestimativa 2","Realizado"))</f>
        <v>Realizado</v>
      </c>
      <c r="X708" s="1">
        <f>ESTIMATIVA[[#This Row],[QT_AREA_EST]]</f>
        <v>12.73</v>
      </c>
      <c r="Y708" s="1">
        <f>IF(ESTIMATIVA[[#This Row],[QT_AREA_REST1]]&gt;0,ESTIMATIVA[[#This Row],[QT_AREA_REST1]],
  IF(ESTIMATIVA[[#This Row],[QT_AREA_REAL]]&gt;0,ESTIMATIVA[[#This Row],[QT_AREA_REAL]],ESTIMATIVA[[#This Row],[QT_AREA_EST]]))</f>
        <v>12.73</v>
      </c>
      <c r="Z70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12.73</v>
      </c>
      <c r="AA708" s="1">
        <f>ESTIMATIVA[[#This Row],[QT_CANA_EST]]</f>
        <v>1273</v>
      </c>
      <c r="AB708" s="1">
        <f>IF(ESTIMATIVA[[#This Row],[QT_CANA_REST1]]&gt;0,ESTIMATIVA[[#This Row],[QT_CANA_REST1]],
  IF(ESTIMATIVA[[#This Row],[QT_CANA_REAL]]&gt;0,ESTIMATIVA[[#This Row],[QT_CANA_REAL]],ESTIMATIVA[[#This Row],[QT_CANA_EST]]))</f>
        <v>962.33</v>
      </c>
      <c r="AC70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962.33</v>
      </c>
      <c r="AD708" s="1">
        <f>IF(ESTIMATIVA[[#This Row],[QT_AREA_REAL]]&gt;0,ESTIMATIVA[[#This Row],[QT_CANA_REAL]],ESTIMATIVA[[#This Row],[QT_CANA_EST]])</f>
        <v>962.33</v>
      </c>
      <c r="AE708" s="1">
        <f>IF(ESTIMATIVA[[#This Row],[QT_AREA_REAL]]&gt;0,ESTIMATIVA[[#This Row],[QT_CANA_REAL]],ESTIMATIVA[[#This Row],[QT_CANA_REST1]])</f>
        <v>962.33</v>
      </c>
      <c r="AF708" s="1">
        <f>IF(ESTIMATIVA[[#This Row],[QT_AREA_REAL]]&gt;0,ESTIMATIVA[[#This Row],[QT_CANA_REAL]],ESTIMATIVA[[#This Row],[QT_CANA_REST2]])</f>
        <v>962.33</v>
      </c>
      <c r="AG708" s="1" t="str">
        <f>IF(COUNTIFS(GEADA!A:A,VALUE(ESTIMATIVA[[#This Row],[CD_UPNIVEL1]]&amp;TEXT(ESTIMATIVA[[#This Row],[CD_UPNIVEL3]],"0000")))&gt;0,"S","N")</f>
        <v>N</v>
      </c>
      <c r="AH70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08" s="55" t="str">
        <f>IF(ESTIMATIVA[[#This Row],[TP_CULTIVO]]="Irrigado",_xlfn.MAXIFS(IRRIGADO!J:J,IRRIGADO!C:C,ESTIMATIVA[[#This Row],[CD_UPNIVEL1]],IRRIGADO!E:E,ESTIMATIVA[[#This Row],[CD_UPNIVEL3]]),"")</f>
        <v/>
      </c>
      <c r="AJ70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08" s="1">
        <f>COUNTIFS(Apresentação!$E$23:$E$29,ESTIMATIVA[[#This Row],[CD_UPNIVEL1]])</f>
        <v>0</v>
      </c>
    </row>
    <row r="709" spans="1:37" x14ac:dyDescent="0.3">
      <c r="A709">
        <v>20400</v>
      </c>
      <c r="B709" t="s">
        <v>40</v>
      </c>
      <c r="C709">
        <v>1</v>
      </c>
      <c r="D709">
        <v>3</v>
      </c>
      <c r="E709" t="s">
        <v>263</v>
      </c>
      <c r="F709" s="85" t="s">
        <v>331</v>
      </c>
      <c r="G709"/>
      <c r="H709" t="s">
        <v>294</v>
      </c>
      <c r="I709" t="s">
        <v>205</v>
      </c>
      <c r="J709" t="s">
        <v>176</v>
      </c>
      <c r="K709" s="1">
        <v>11.2</v>
      </c>
      <c r="L709" s="1">
        <v>11.2</v>
      </c>
      <c r="M709" s="1">
        <v>0</v>
      </c>
      <c r="N709" s="1">
        <v>11.2</v>
      </c>
      <c r="O709" s="1">
        <v>896</v>
      </c>
      <c r="P709" s="1">
        <v>896</v>
      </c>
      <c r="Q709" s="1">
        <v>0</v>
      </c>
      <c r="R709" s="1">
        <v>898.51</v>
      </c>
      <c r="S709" t="s">
        <v>12</v>
      </c>
      <c r="T709" s="13">
        <v>45907</v>
      </c>
      <c r="U709" s="1" t="str">
        <f>IF(ESTIMATIVA[[#This Row],[QT_AREA_REAL]]&gt;0,"1- Colhido","2- à Colher")</f>
        <v>1- Colhido</v>
      </c>
      <c r="V709" s="1" t="str">
        <f>IF(ESTIMATIVA[[#This Row],[QT_AREA_REST1]]&gt;0,"Reestimativa 1",IF(ESTIMATIVA[[#This Row],[QT_AREA_REAL]]=0,"Reestimativa 1","Realizado"))</f>
        <v>Reestimativa 1</v>
      </c>
      <c r="W709" s="1" t="str">
        <f>IF(ESTIMATIVA[[#This Row],[QT_AREA_REST2]]&gt;0,"Reestimativa 2",IF(ESTIMATIVA[[#This Row],[QT_AREA_REAL]]=0,"Reestimativa 2","Realizado"))</f>
        <v>Realizado</v>
      </c>
      <c r="X709" s="1">
        <f>ESTIMATIVA[[#This Row],[QT_AREA_EST]]</f>
        <v>11.2</v>
      </c>
      <c r="Y709" s="1">
        <f>IF(ESTIMATIVA[[#This Row],[QT_AREA_REST1]]&gt;0,ESTIMATIVA[[#This Row],[QT_AREA_REST1]],
  IF(ESTIMATIVA[[#This Row],[QT_AREA_REAL]]&gt;0,ESTIMATIVA[[#This Row],[QT_AREA_REAL]],ESTIMATIVA[[#This Row],[QT_AREA_EST]]))</f>
        <v>11.2</v>
      </c>
      <c r="Z70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11.2</v>
      </c>
      <c r="AA709" s="1">
        <f>ESTIMATIVA[[#This Row],[QT_CANA_EST]]</f>
        <v>896</v>
      </c>
      <c r="AB709" s="1">
        <f>IF(ESTIMATIVA[[#This Row],[QT_CANA_REST1]]&gt;0,ESTIMATIVA[[#This Row],[QT_CANA_REST1]],
  IF(ESTIMATIVA[[#This Row],[QT_CANA_REAL]]&gt;0,ESTIMATIVA[[#This Row],[QT_CANA_REAL]],ESTIMATIVA[[#This Row],[QT_CANA_EST]]))</f>
        <v>896</v>
      </c>
      <c r="AC70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898.51</v>
      </c>
      <c r="AD709" s="1">
        <f>IF(ESTIMATIVA[[#This Row],[QT_AREA_REAL]]&gt;0,ESTIMATIVA[[#This Row],[QT_CANA_REAL]],ESTIMATIVA[[#This Row],[QT_CANA_EST]])</f>
        <v>898.51</v>
      </c>
      <c r="AE709" s="1">
        <f>IF(ESTIMATIVA[[#This Row],[QT_AREA_REAL]]&gt;0,ESTIMATIVA[[#This Row],[QT_CANA_REAL]],ESTIMATIVA[[#This Row],[QT_CANA_REST1]])</f>
        <v>898.51</v>
      </c>
      <c r="AF709" s="1">
        <f>IF(ESTIMATIVA[[#This Row],[QT_AREA_REAL]]&gt;0,ESTIMATIVA[[#This Row],[QT_CANA_REAL]],ESTIMATIVA[[#This Row],[QT_CANA_REST2]])</f>
        <v>898.51</v>
      </c>
      <c r="AG709" s="1" t="str">
        <f>IF(COUNTIFS(GEADA!A:A,VALUE(ESTIMATIVA[[#This Row],[CD_UPNIVEL1]]&amp;TEXT(ESTIMATIVA[[#This Row],[CD_UPNIVEL3]],"0000")))&gt;0,"S","N")</f>
        <v>N</v>
      </c>
      <c r="AH70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09" s="55" t="str">
        <f>IF(ESTIMATIVA[[#This Row],[TP_CULTIVO]]="Irrigado",_xlfn.MAXIFS(IRRIGADO!J:J,IRRIGADO!C:C,ESTIMATIVA[[#This Row],[CD_UPNIVEL1]],IRRIGADO!E:E,ESTIMATIVA[[#This Row],[CD_UPNIVEL3]]),"")</f>
        <v/>
      </c>
      <c r="AJ70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09" s="1">
        <f>COUNTIFS(Apresentação!$E$23:$E$29,ESTIMATIVA[[#This Row],[CD_UPNIVEL1]])</f>
        <v>0</v>
      </c>
    </row>
    <row r="710" spans="1:37" x14ac:dyDescent="0.3">
      <c r="A710">
        <v>20400</v>
      </c>
      <c r="B710" t="s">
        <v>40</v>
      </c>
      <c r="C710">
        <v>2</v>
      </c>
      <c r="D710">
        <v>3</v>
      </c>
      <c r="E710" t="s">
        <v>263</v>
      </c>
      <c r="F710" s="85" t="s">
        <v>331</v>
      </c>
      <c r="G710"/>
      <c r="H710" t="s">
        <v>294</v>
      </c>
      <c r="I710" t="s">
        <v>205</v>
      </c>
      <c r="J710" t="s">
        <v>176</v>
      </c>
      <c r="K710" s="1">
        <v>4.66</v>
      </c>
      <c r="L710" s="1">
        <v>4.66</v>
      </c>
      <c r="M710" s="1">
        <v>0</v>
      </c>
      <c r="N710" s="1">
        <v>4.66</v>
      </c>
      <c r="O710" s="1">
        <v>372.8</v>
      </c>
      <c r="P710" s="1">
        <v>372.8</v>
      </c>
      <c r="Q710" s="1">
        <v>0</v>
      </c>
      <c r="R710" s="1">
        <v>374.03</v>
      </c>
      <c r="S710" t="s">
        <v>12</v>
      </c>
      <c r="T710" s="13">
        <v>45907</v>
      </c>
      <c r="U710" s="1" t="str">
        <f>IF(ESTIMATIVA[[#This Row],[QT_AREA_REAL]]&gt;0,"1- Colhido","2- à Colher")</f>
        <v>1- Colhido</v>
      </c>
      <c r="V710" s="1" t="str">
        <f>IF(ESTIMATIVA[[#This Row],[QT_AREA_REST1]]&gt;0,"Reestimativa 1",IF(ESTIMATIVA[[#This Row],[QT_AREA_REAL]]=0,"Reestimativa 1","Realizado"))</f>
        <v>Reestimativa 1</v>
      </c>
      <c r="W710" s="1" t="str">
        <f>IF(ESTIMATIVA[[#This Row],[QT_AREA_REST2]]&gt;0,"Reestimativa 2",IF(ESTIMATIVA[[#This Row],[QT_AREA_REAL]]=0,"Reestimativa 2","Realizado"))</f>
        <v>Realizado</v>
      </c>
      <c r="X710" s="1">
        <f>ESTIMATIVA[[#This Row],[QT_AREA_EST]]</f>
        <v>4.66</v>
      </c>
      <c r="Y710" s="1">
        <f>IF(ESTIMATIVA[[#This Row],[QT_AREA_REST1]]&gt;0,ESTIMATIVA[[#This Row],[QT_AREA_REST1]],
  IF(ESTIMATIVA[[#This Row],[QT_AREA_REAL]]&gt;0,ESTIMATIVA[[#This Row],[QT_AREA_REAL]],ESTIMATIVA[[#This Row],[QT_AREA_EST]]))</f>
        <v>4.66</v>
      </c>
      <c r="Z71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4.66</v>
      </c>
      <c r="AA710" s="1">
        <f>ESTIMATIVA[[#This Row],[QT_CANA_EST]]</f>
        <v>372.8</v>
      </c>
      <c r="AB710" s="1">
        <f>IF(ESTIMATIVA[[#This Row],[QT_CANA_REST1]]&gt;0,ESTIMATIVA[[#This Row],[QT_CANA_REST1]],
  IF(ESTIMATIVA[[#This Row],[QT_CANA_REAL]]&gt;0,ESTIMATIVA[[#This Row],[QT_CANA_REAL]],ESTIMATIVA[[#This Row],[QT_CANA_EST]]))</f>
        <v>372.8</v>
      </c>
      <c r="AC71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374.03</v>
      </c>
      <c r="AD710" s="1">
        <f>IF(ESTIMATIVA[[#This Row],[QT_AREA_REAL]]&gt;0,ESTIMATIVA[[#This Row],[QT_CANA_REAL]],ESTIMATIVA[[#This Row],[QT_CANA_EST]])</f>
        <v>374.03</v>
      </c>
      <c r="AE710" s="1">
        <f>IF(ESTIMATIVA[[#This Row],[QT_AREA_REAL]]&gt;0,ESTIMATIVA[[#This Row],[QT_CANA_REAL]],ESTIMATIVA[[#This Row],[QT_CANA_REST1]])</f>
        <v>374.03</v>
      </c>
      <c r="AF710" s="1">
        <f>IF(ESTIMATIVA[[#This Row],[QT_AREA_REAL]]&gt;0,ESTIMATIVA[[#This Row],[QT_CANA_REAL]],ESTIMATIVA[[#This Row],[QT_CANA_REST2]])</f>
        <v>374.03</v>
      </c>
      <c r="AG710" s="1" t="str">
        <f>IF(COUNTIFS(GEADA!A:A,VALUE(ESTIMATIVA[[#This Row],[CD_UPNIVEL1]]&amp;TEXT(ESTIMATIVA[[#This Row],[CD_UPNIVEL3]],"0000")))&gt;0,"S","N")</f>
        <v>N</v>
      </c>
      <c r="AH71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10" s="55" t="str">
        <f>IF(ESTIMATIVA[[#This Row],[TP_CULTIVO]]="Irrigado",_xlfn.MAXIFS(IRRIGADO!J:J,IRRIGADO!C:C,ESTIMATIVA[[#This Row],[CD_UPNIVEL1]],IRRIGADO!E:E,ESTIMATIVA[[#This Row],[CD_UPNIVEL3]]),"")</f>
        <v/>
      </c>
      <c r="AJ71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10" s="1">
        <f>COUNTIFS(Apresentação!$E$23:$E$29,ESTIMATIVA[[#This Row],[CD_UPNIVEL1]])</f>
        <v>0</v>
      </c>
    </row>
    <row r="711" spans="1:37" x14ac:dyDescent="0.3">
      <c r="A711">
        <v>20400</v>
      </c>
      <c r="B711" t="s">
        <v>40</v>
      </c>
      <c r="C711">
        <v>3</v>
      </c>
      <c r="D711">
        <v>3</v>
      </c>
      <c r="E711" t="s">
        <v>263</v>
      </c>
      <c r="F711" s="85" t="s">
        <v>331</v>
      </c>
      <c r="G711"/>
      <c r="H711" t="s">
        <v>294</v>
      </c>
      <c r="I711" t="s">
        <v>205</v>
      </c>
      <c r="J711" t="s">
        <v>176</v>
      </c>
      <c r="K711" s="1">
        <v>5.52</v>
      </c>
      <c r="L711" s="1">
        <v>5.52</v>
      </c>
      <c r="M711" s="1">
        <v>0</v>
      </c>
      <c r="N711" s="1">
        <v>5.52</v>
      </c>
      <c r="O711" s="1">
        <v>441.6</v>
      </c>
      <c r="P711" s="1">
        <v>397.44</v>
      </c>
      <c r="Q711" s="1">
        <v>0</v>
      </c>
      <c r="R711" s="1">
        <v>398.17</v>
      </c>
      <c r="S711" t="s">
        <v>12</v>
      </c>
      <c r="T711" s="13">
        <v>45907</v>
      </c>
      <c r="U711" s="1" t="str">
        <f>IF(ESTIMATIVA[[#This Row],[QT_AREA_REAL]]&gt;0,"1- Colhido","2- à Colher")</f>
        <v>1- Colhido</v>
      </c>
      <c r="V711" s="1" t="str">
        <f>IF(ESTIMATIVA[[#This Row],[QT_AREA_REST1]]&gt;0,"Reestimativa 1",IF(ESTIMATIVA[[#This Row],[QT_AREA_REAL]]=0,"Reestimativa 1","Realizado"))</f>
        <v>Reestimativa 1</v>
      </c>
      <c r="W711" s="1" t="str">
        <f>IF(ESTIMATIVA[[#This Row],[QT_AREA_REST2]]&gt;0,"Reestimativa 2",IF(ESTIMATIVA[[#This Row],[QT_AREA_REAL]]=0,"Reestimativa 2","Realizado"))</f>
        <v>Realizado</v>
      </c>
      <c r="X711" s="1">
        <f>ESTIMATIVA[[#This Row],[QT_AREA_EST]]</f>
        <v>5.52</v>
      </c>
      <c r="Y711" s="1">
        <f>IF(ESTIMATIVA[[#This Row],[QT_AREA_REST1]]&gt;0,ESTIMATIVA[[#This Row],[QT_AREA_REST1]],
  IF(ESTIMATIVA[[#This Row],[QT_AREA_REAL]]&gt;0,ESTIMATIVA[[#This Row],[QT_AREA_REAL]],ESTIMATIVA[[#This Row],[QT_AREA_EST]]))</f>
        <v>5.52</v>
      </c>
      <c r="Z71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5.52</v>
      </c>
      <c r="AA711" s="1">
        <f>ESTIMATIVA[[#This Row],[QT_CANA_EST]]</f>
        <v>441.6</v>
      </c>
      <c r="AB711" s="1">
        <f>IF(ESTIMATIVA[[#This Row],[QT_CANA_REST1]]&gt;0,ESTIMATIVA[[#This Row],[QT_CANA_REST1]],
  IF(ESTIMATIVA[[#This Row],[QT_CANA_REAL]]&gt;0,ESTIMATIVA[[#This Row],[QT_CANA_REAL]],ESTIMATIVA[[#This Row],[QT_CANA_EST]]))</f>
        <v>397.44</v>
      </c>
      <c r="AC71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398.17</v>
      </c>
      <c r="AD711" s="1">
        <f>IF(ESTIMATIVA[[#This Row],[QT_AREA_REAL]]&gt;0,ESTIMATIVA[[#This Row],[QT_CANA_REAL]],ESTIMATIVA[[#This Row],[QT_CANA_EST]])</f>
        <v>398.17</v>
      </c>
      <c r="AE711" s="1">
        <f>IF(ESTIMATIVA[[#This Row],[QT_AREA_REAL]]&gt;0,ESTIMATIVA[[#This Row],[QT_CANA_REAL]],ESTIMATIVA[[#This Row],[QT_CANA_REST1]])</f>
        <v>398.17</v>
      </c>
      <c r="AF711" s="1">
        <f>IF(ESTIMATIVA[[#This Row],[QT_AREA_REAL]]&gt;0,ESTIMATIVA[[#This Row],[QT_CANA_REAL]],ESTIMATIVA[[#This Row],[QT_CANA_REST2]])</f>
        <v>398.17</v>
      </c>
      <c r="AG711" s="1" t="str">
        <f>IF(COUNTIFS(GEADA!A:A,VALUE(ESTIMATIVA[[#This Row],[CD_UPNIVEL1]]&amp;TEXT(ESTIMATIVA[[#This Row],[CD_UPNIVEL3]],"0000")))&gt;0,"S","N")</f>
        <v>S</v>
      </c>
      <c r="AH71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11" s="55" t="str">
        <f>IF(ESTIMATIVA[[#This Row],[TP_CULTIVO]]="Irrigado",_xlfn.MAXIFS(IRRIGADO!J:J,IRRIGADO!C:C,ESTIMATIVA[[#This Row],[CD_UPNIVEL1]],IRRIGADO!E:E,ESTIMATIVA[[#This Row],[CD_UPNIVEL3]]),"")</f>
        <v/>
      </c>
      <c r="AJ71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11" s="1">
        <f>COUNTIFS(Apresentação!$E$23:$E$29,ESTIMATIVA[[#This Row],[CD_UPNIVEL1]])</f>
        <v>0</v>
      </c>
    </row>
    <row r="712" spans="1:37" x14ac:dyDescent="0.3">
      <c r="A712">
        <v>20401</v>
      </c>
      <c r="B712" t="s">
        <v>41</v>
      </c>
      <c r="C712">
        <v>1</v>
      </c>
      <c r="D712">
        <v>3</v>
      </c>
      <c r="E712" t="s">
        <v>263</v>
      </c>
      <c r="F712" s="85" t="s">
        <v>331</v>
      </c>
      <c r="G712"/>
      <c r="H712" t="s">
        <v>294</v>
      </c>
      <c r="I712" t="s">
        <v>205</v>
      </c>
      <c r="J712" t="s">
        <v>176</v>
      </c>
      <c r="K712" s="1">
        <v>12.1</v>
      </c>
      <c r="L712" s="1">
        <v>12.1</v>
      </c>
      <c r="M712" s="1">
        <v>0</v>
      </c>
      <c r="N712" s="1">
        <v>12.1</v>
      </c>
      <c r="O712" s="1">
        <v>980.1</v>
      </c>
      <c r="P712" s="1">
        <v>992.2</v>
      </c>
      <c r="Q712" s="1">
        <v>0</v>
      </c>
      <c r="R712" s="1">
        <v>1070.8</v>
      </c>
      <c r="S712" t="s">
        <v>12</v>
      </c>
      <c r="T712" s="13">
        <v>45907</v>
      </c>
      <c r="U712" s="1" t="str">
        <f>IF(ESTIMATIVA[[#This Row],[QT_AREA_REAL]]&gt;0,"1- Colhido","2- à Colher")</f>
        <v>1- Colhido</v>
      </c>
      <c r="V712" s="1" t="str">
        <f>IF(ESTIMATIVA[[#This Row],[QT_AREA_REST1]]&gt;0,"Reestimativa 1",IF(ESTIMATIVA[[#This Row],[QT_AREA_REAL]]=0,"Reestimativa 1","Realizado"))</f>
        <v>Reestimativa 1</v>
      </c>
      <c r="W712" s="1" t="str">
        <f>IF(ESTIMATIVA[[#This Row],[QT_AREA_REST2]]&gt;0,"Reestimativa 2",IF(ESTIMATIVA[[#This Row],[QT_AREA_REAL]]=0,"Reestimativa 2","Realizado"))</f>
        <v>Realizado</v>
      </c>
      <c r="X712" s="1">
        <f>ESTIMATIVA[[#This Row],[QT_AREA_EST]]</f>
        <v>12.1</v>
      </c>
      <c r="Y712" s="1">
        <f>IF(ESTIMATIVA[[#This Row],[QT_AREA_REST1]]&gt;0,ESTIMATIVA[[#This Row],[QT_AREA_REST1]],
  IF(ESTIMATIVA[[#This Row],[QT_AREA_REAL]]&gt;0,ESTIMATIVA[[#This Row],[QT_AREA_REAL]],ESTIMATIVA[[#This Row],[QT_AREA_EST]]))</f>
        <v>12.1</v>
      </c>
      <c r="Z71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12.1</v>
      </c>
      <c r="AA712" s="1">
        <f>ESTIMATIVA[[#This Row],[QT_CANA_EST]]</f>
        <v>980.1</v>
      </c>
      <c r="AB712" s="1">
        <f>IF(ESTIMATIVA[[#This Row],[QT_CANA_REST1]]&gt;0,ESTIMATIVA[[#This Row],[QT_CANA_REST1]],
  IF(ESTIMATIVA[[#This Row],[QT_CANA_REAL]]&gt;0,ESTIMATIVA[[#This Row],[QT_CANA_REAL]],ESTIMATIVA[[#This Row],[QT_CANA_EST]]))</f>
        <v>992.2</v>
      </c>
      <c r="AC71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1070.8</v>
      </c>
      <c r="AD712" s="1">
        <f>IF(ESTIMATIVA[[#This Row],[QT_AREA_REAL]]&gt;0,ESTIMATIVA[[#This Row],[QT_CANA_REAL]],ESTIMATIVA[[#This Row],[QT_CANA_EST]])</f>
        <v>1070.8</v>
      </c>
      <c r="AE712" s="1">
        <f>IF(ESTIMATIVA[[#This Row],[QT_AREA_REAL]]&gt;0,ESTIMATIVA[[#This Row],[QT_CANA_REAL]],ESTIMATIVA[[#This Row],[QT_CANA_REST1]])</f>
        <v>1070.8</v>
      </c>
      <c r="AF712" s="1">
        <f>IF(ESTIMATIVA[[#This Row],[QT_AREA_REAL]]&gt;0,ESTIMATIVA[[#This Row],[QT_CANA_REAL]],ESTIMATIVA[[#This Row],[QT_CANA_REST2]])</f>
        <v>1070.8</v>
      </c>
      <c r="AG712" s="1" t="str">
        <f>IF(COUNTIFS(GEADA!A:A,VALUE(ESTIMATIVA[[#This Row],[CD_UPNIVEL1]]&amp;TEXT(ESTIMATIVA[[#This Row],[CD_UPNIVEL3]],"0000")))&gt;0,"S","N")</f>
        <v>N</v>
      </c>
      <c r="AH71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12" s="55" t="str">
        <f>IF(ESTIMATIVA[[#This Row],[TP_CULTIVO]]="Irrigado",_xlfn.MAXIFS(IRRIGADO!J:J,IRRIGADO!C:C,ESTIMATIVA[[#This Row],[CD_UPNIVEL1]],IRRIGADO!E:E,ESTIMATIVA[[#This Row],[CD_UPNIVEL3]]),"")</f>
        <v/>
      </c>
      <c r="AJ71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12" s="1">
        <f>COUNTIFS(Apresentação!$E$23:$E$29,ESTIMATIVA[[#This Row],[CD_UPNIVEL1]])</f>
        <v>0</v>
      </c>
    </row>
    <row r="713" spans="1:37" x14ac:dyDescent="0.3">
      <c r="A713">
        <v>20401</v>
      </c>
      <c r="B713" t="s">
        <v>41</v>
      </c>
      <c r="C713">
        <v>2</v>
      </c>
      <c r="D713">
        <v>3</v>
      </c>
      <c r="E713" t="s">
        <v>263</v>
      </c>
      <c r="F713" s="85" t="s">
        <v>331</v>
      </c>
      <c r="G713"/>
      <c r="H713" t="s">
        <v>294</v>
      </c>
      <c r="I713" t="s">
        <v>205</v>
      </c>
      <c r="J713" t="s">
        <v>176</v>
      </c>
      <c r="K713" s="1">
        <v>6.16</v>
      </c>
      <c r="L713" s="1">
        <v>6.16</v>
      </c>
      <c r="M713" s="1">
        <v>0</v>
      </c>
      <c r="N713" s="1">
        <v>6.16</v>
      </c>
      <c r="O713" s="1">
        <v>498.96</v>
      </c>
      <c r="P713" s="1">
        <v>498.96</v>
      </c>
      <c r="Q713" s="1">
        <v>0</v>
      </c>
      <c r="R713" s="1">
        <v>538.62</v>
      </c>
      <c r="S713" t="s">
        <v>12</v>
      </c>
      <c r="T713" s="13">
        <v>45907</v>
      </c>
      <c r="U713" s="1" t="str">
        <f>IF(ESTIMATIVA[[#This Row],[QT_AREA_REAL]]&gt;0,"1- Colhido","2- à Colher")</f>
        <v>1- Colhido</v>
      </c>
      <c r="V713" s="1" t="str">
        <f>IF(ESTIMATIVA[[#This Row],[QT_AREA_REST1]]&gt;0,"Reestimativa 1",IF(ESTIMATIVA[[#This Row],[QT_AREA_REAL]]=0,"Reestimativa 1","Realizado"))</f>
        <v>Reestimativa 1</v>
      </c>
      <c r="W713" s="1" t="str">
        <f>IF(ESTIMATIVA[[#This Row],[QT_AREA_REST2]]&gt;0,"Reestimativa 2",IF(ESTIMATIVA[[#This Row],[QT_AREA_REAL]]=0,"Reestimativa 2","Realizado"))</f>
        <v>Realizado</v>
      </c>
      <c r="X713" s="1">
        <f>ESTIMATIVA[[#This Row],[QT_AREA_EST]]</f>
        <v>6.16</v>
      </c>
      <c r="Y713" s="1">
        <f>IF(ESTIMATIVA[[#This Row],[QT_AREA_REST1]]&gt;0,ESTIMATIVA[[#This Row],[QT_AREA_REST1]],
  IF(ESTIMATIVA[[#This Row],[QT_AREA_REAL]]&gt;0,ESTIMATIVA[[#This Row],[QT_AREA_REAL]],ESTIMATIVA[[#This Row],[QT_AREA_EST]]))</f>
        <v>6.16</v>
      </c>
      <c r="Z71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6.16</v>
      </c>
      <c r="AA713" s="1">
        <f>ESTIMATIVA[[#This Row],[QT_CANA_EST]]</f>
        <v>498.96</v>
      </c>
      <c r="AB713" s="1">
        <f>IF(ESTIMATIVA[[#This Row],[QT_CANA_REST1]]&gt;0,ESTIMATIVA[[#This Row],[QT_CANA_REST1]],
  IF(ESTIMATIVA[[#This Row],[QT_CANA_REAL]]&gt;0,ESTIMATIVA[[#This Row],[QT_CANA_REAL]],ESTIMATIVA[[#This Row],[QT_CANA_EST]]))</f>
        <v>498.96</v>
      </c>
      <c r="AC71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538.62</v>
      </c>
      <c r="AD713" s="1">
        <f>IF(ESTIMATIVA[[#This Row],[QT_AREA_REAL]]&gt;0,ESTIMATIVA[[#This Row],[QT_CANA_REAL]],ESTIMATIVA[[#This Row],[QT_CANA_EST]])</f>
        <v>538.62</v>
      </c>
      <c r="AE713" s="1">
        <f>IF(ESTIMATIVA[[#This Row],[QT_AREA_REAL]]&gt;0,ESTIMATIVA[[#This Row],[QT_CANA_REAL]],ESTIMATIVA[[#This Row],[QT_CANA_REST1]])</f>
        <v>538.62</v>
      </c>
      <c r="AF713" s="1">
        <f>IF(ESTIMATIVA[[#This Row],[QT_AREA_REAL]]&gt;0,ESTIMATIVA[[#This Row],[QT_CANA_REAL]],ESTIMATIVA[[#This Row],[QT_CANA_REST2]])</f>
        <v>538.62</v>
      </c>
      <c r="AG713" s="1" t="str">
        <f>IF(COUNTIFS(GEADA!A:A,VALUE(ESTIMATIVA[[#This Row],[CD_UPNIVEL1]]&amp;TEXT(ESTIMATIVA[[#This Row],[CD_UPNIVEL3]],"0000")))&gt;0,"S","N")</f>
        <v>N</v>
      </c>
      <c r="AH71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13" s="55" t="str">
        <f>IF(ESTIMATIVA[[#This Row],[TP_CULTIVO]]="Irrigado",_xlfn.MAXIFS(IRRIGADO!J:J,IRRIGADO!C:C,ESTIMATIVA[[#This Row],[CD_UPNIVEL1]],IRRIGADO!E:E,ESTIMATIVA[[#This Row],[CD_UPNIVEL3]]),"")</f>
        <v/>
      </c>
      <c r="AJ71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13" s="1">
        <f>COUNTIFS(Apresentação!$E$23:$E$29,ESTIMATIVA[[#This Row],[CD_UPNIVEL1]])</f>
        <v>0</v>
      </c>
    </row>
    <row r="714" spans="1:37" x14ac:dyDescent="0.3">
      <c r="A714">
        <v>20401</v>
      </c>
      <c r="B714" t="s">
        <v>41</v>
      </c>
      <c r="C714">
        <v>3</v>
      </c>
      <c r="D714">
        <v>3</v>
      </c>
      <c r="E714" t="s">
        <v>263</v>
      </c>
      <c r="F714" s="85" t="s">
        <v>331</v>
      </c>
      <c r="G714"/>
      <c r="H714" t="s">
        <v>294</v>
      </c>
      <c r="I714" t="s">
        <v>205</v>
      </c>
      <c r="J714" t="s">
        <v>176</v>
      </c>
      <c r="K714" s="1">
        <v>18.43</v>
      </c>
      <c r="L714" s="1">
        <v>18.43</v>
      </c>
      <c r="M714" s="1">
        <v>0</v>
      </c>
      <c r="N714" s="1">
        <v>18.43</v>
      </c>
      <c r="O714" s="1">
        <v>1492.83</v>
      </c>
      <c r="P714" s="1">
        <v>1363.82</v>
      </c>
      <c r="Q714" s="1">
        <v>0</v>
      </c>
      <c r="R714" s="1">
        <v>1472.51</v>
      </c>
      <c r="S714" t="s">
        <v>12</v>
      </c>
      <c r="T714" s="13">
        <v>45907</v>
      </c>
      <c r="U714" s="1" t="str">
        <f>IF(ESTIMATIVA[[#This Row],[QT_AREA_REAL]]&gt;0,"1- Colhido","2- à Colher")</f>
        <v>1- Colhido</v>
      </c>
      <c r="V714" s="1" t="str">
        <f>IF(ESTIMATIVA[[#This Row],[QT_AREA_REST1]]&gt;0,"Reestimativa 1",IF(ESTIMATIVA[[#This Row],[QT_AREA_REAL]]=0,"Reestimativa 1","Realizado"))</f>
        <v>Reestimativa 1</v>
      </c>
      <c r="W714" s="1" t="str">
        <f>IF(ESTIMATIVA[[#This Row],[QT_AREA_REST2]]&gt;0,"Reestimativa 2",IF(ESTIMATIVA[[#This Row],[QT_AREA_REAL]]=0,"Reestimativa 2","Realizado"))</f>
        <v>Realizado</v>
      </c>
      <c r="X714" s="1">
        <f>ESTIMATIVA[[#This Row],[QT_AREA_EST]]</f>
        <v>18.43</v>
      </c>
      <c r="Y714" s="1">
        <f>IF(ESTIMATIVA[[#This Row],[QT_AREA_REST1]]&gt;0,ESTIMATIVA[[#This Row],[QT_AREA_REST1]],
  IF(ESTIMATIVA[[#This Row],[QT_AREA_REAL]]&gt;0,ESTIMATIVA[[#This Row],[QT_AREA_REAL]],ESTIMATIVA[[#This Row],[QT_AREA_EST]]))</f>
        <v>18.43</v>
      </c>
      <c r="Z71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18.43</v>
      </c>
      <c r="AA714" s="1">
        <f>ESTIMATIVA[[#This Row],[QT_CANA_EST]]</f>
        <v>1492.83</v>
      </c>
      <c r="AB714" s="1">
        <f>IF(ESTIMATIVA[[#This Row],[QT_CANA_REST1]]&gt;0,ESTIMATIVA[[#This Row],[QT_CANA_REST1]],
  IF(ESTIMATIVA[[#This Row],[QT_CANA_REAL]]&gt;0,ESTIMATIVA[[#This Row],[QT_CANA_REAL]],ESTIMATIVA[[#This Row],[QT_CANA_EST]]))</f>
        <v>1363.82</v>
      </c>
      <c r="AC71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1472.51</v>
      </c>
      <c r="AD714" s="1">
        <f>IF(ESTIMATIVA[[#This Row],[QT_AREA_REAL]]&gt;0,ESTIMATIVA[[#This Row],[QT_CANA_REAL]],ESTIMATIVA[[#This Row],[QT_CANA_EST]])</f>
        <v>1472.51</v>
      </c>
      <c r="AE714" s="1">
        <f>IF(ESTIMATIVA[[#This Row],[QT_AREA_REAL]]&gt;0,ESTIMATIVA[[#This Row],[QT_CANA_REAL]],ESTIMATIVA[[#This Row],[QT_CANA_REST1]])</f>
        <v>1472.51</v>
      </c>
      <c r="AF714" s="1">
        <f>IF(ESTIMATIVA[[#This Row],[QT_AREA_REAL]]&gt;0,ESTIMATIVA[[#This Row],[QT_CANA_REAL]],ESTIMATIVA[[#This Row],[QT_CANA_REST2]])</f>
        <v>1472.51</v>
      </c>
      <c r="AG714" s="1" t="str">
        <f>IF(COUNTIFS(GEADA!A:A,VALUE(ESTIMATIVA[[#This Row],[CD_UPNIVEL1]]&amp;TEXT(ESTIMATIVA[[#This Row],[CD_UPNIVEL3]],"0000")))&gt;0,"S","N")</f>
        <v>S</v>
      </c>
      <c r="AH71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14" s="55" t="str">
        <f>IF(ESTIMATIVA[[#This Row],[TP_CULTIVO]]="Irrigado",_xlfn.MAXIFS(IRRIGADO!J:J,IRRIGADO!C:C,ESTIMATIVA[[#This Row],[CD_UPNIVEL1]],IRRIGADO!E:E,ESTIMATIVA[[#This Row],[CD_UPNIVEL3]]),"")</f>
        <v/>
      </c>
      <c r="AJ71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14" s="1">
        <f>COUNTIFS(Apresentação!$E$23:$E$29,ESTIMATIVA[[#This Row],[CD_UPNIVEL1]])</f>
        <v>0</v>
      </c>
    </row>
    <row r="715" spans="1:37" x14ac:dyDescent="0.3">
      <c r="A715">
        <v>20407</v>
      </c>
      <c r="B715" t="s">
        <v>42</v>
      </c>
      <c r="C715">
        <v>1</v>
      </c>
      <c r="D715">
        <v>2</v>
      </c>
      <c r="E715" t="s">
        <v>266</v>
      </c>
      <c r="F715" s="85" t="s">
        <v>333</v>
      </c>
      <c r="G715"/>
      <c r="H715" t="s">
        <v>294</v>
      </c>
      <c r="I715" t="s">
        <v>206</v>
      </c>
      <c r="J715" t="s">
        <v>176</v>
      </c>
      <c r="K715" s="1">
        <v>6.71</v>
      </c>
      <c r="L715" s="1">
        <v>0</v>
      </c>
      <c r="M715" s="1">
        <v>0</v>
      </c>
      <c r="N715" s="1">
        <v>6.71</v>
      </c>
      <c r="O715" s="1">
        <v>456.28</v>
      </c>
      <c r="P715" s="1">
        <v>0</v>
      </c>
      <c r="Q715" s="1">
        <v>0</v>
      </c>
      <c r="R715" s="1">
        <v>532.29999999999995</v>
      </c>
      <c r="S715" t="s">
        <v>12</v>
      </c>
      <c r="T715" s="13">
        <v>45746</v>
      </c>
      <c r="U715" s="1" t="str">
        <f>IF(ESTIMATIVA[[#This Row],[QT_AREA_REAL]]&gt;0,"1- Colhido","2- à Colher")</f>
        <v>1- Colhido</v>
      </c>
      <c r="V715" s="1" t="str">
        <f>IF(ESTIMATIVA[[#This Row],[QT_AREA_REST1]]&gt;0,"Reestimativa 1",IF(ESTIMATIVA[[#This Row],[QT_AREA_REAL]]=0,"Reestimativa 1","Realizado"))</f>
        <v>Realizado</v>
      </c>
      <c r="W715" s="1" t="str">
        <f>IF(ESTIMATIVA[[#This Row],[QT_AREA_REST2]]&gt;0,"Reestimativa 2",IF(ESTIMATIVA[[#This Row],[QT_AREA_REAL]]=0,"Reestimativa 2","Realizado"))</f>
        <v>Realizado</v>
      </c>
      <c r="X715" s="1">
        <f>ESTIMATIVA[[#This Row],[QT_AREA_EST]]</f>
        <v>6.71</v>
      </c>
      <c r="Y715" s="1">
        <f>IF(ESTIMATIVA[[#This Row],[QT_AREA_REST1]]&gt;0,ESTIMATIVA[[#This Row],[QT_AREA_REST1]],
  IF(ESTIMATIVA[[#This Row],[QT_AREA_REAL]]&gt;0,ESTIMATIVA[[#This Row],[QT_AREA_REAL]],ESTIMATIVA[[#This Row],[QT_AREA_EST]]))</f>
        <v>6.71</v>
      </c>
      <c r="Z71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6.71</v>
      </c>
      <c r="AA715" s="1">
        <f>ESTIMATIVA[[#This Row],[QT_CANA_EST]]</f>
        <v>456.28</v>
      </c>
      <c r="AB715" s="1">
        <f>IF(ESTIMATIVA[[#This Row],[QT_CANA_REST1]]&gt;0,ESTIMATIVA[[#This Row],[QT_CANA_REST1]],
  IF(ESTIMATIVA[[#This Row],[QT_CANA_REAL]]&gt;0,ESTIMATIVA[[#This Row],[QT_CANA_REAL]],ESTIMATIVA[[#This Row],[QT_CANA_EST]]))</f>
        <v>532.29999999999995</v>
      </c>
      <c r="AC71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532.29999999999995</v>
      </c>
      <c r="AD715" s="1">
        <f>IF(ESTIMATIVA[[#This Row],[QT_AREA_REAL]]&gt;0,ESTIMATIVA[[#This Row],[QT_CANA_REAL]],ESTIMATIVA[[#This Row],[QT_CANA_EST]])</f>
        <v>532.29999999999995</v>
      </c>
      <c r="AE715" s="1">
        <f>IF(ESTIMATIVA[[#This Row],[QT_AREA_REAL]]&gt;0,ESTIMATIVA[[#This Row],[QT_CANA_REAL]],ESTIMATIVA[[#This Row],[QT_CANA_REST1]])</f>
        <v>532.29999999999995</v>
      </c>
      <c r="AF715" s="1">
        <f>IF(ESTIMATIVA[[#This Row],[QT_AREA_REAL]]&gt;0,ESTIMATIVA[[#This Row],[QT_CANA_REAL]],ESTIMATIVA[[#This Row],[QT_CANA_REST2]])</f>
        <v>532.29999999999995</v>
      </c>
      <c r="AG715" s="1" t="str">
        <f>IF(COUNTIFS(GEADA!A:A,VALUE(ESTIMATIVA[[#This Row],[CD_UPNIVEL1]]&amp;TEXT(ESTIMATIVA[[#This Row],[CD_UPNIVEL3]],"0000")))&gt;0,"S","N")</f>
        <v>N</v>
      </c>
      <c r="AH71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15" s="55" t="str">
        <f>IF(ESTIMATIVA[[#This Row],[TP_CULTIVO]]="Irrigado",_xlfn.MAXIFS(IRRIGADO!J:J,IRRIGADO!C:C,ESTIMATIVA[[#This Row],[CD_UPNIVEL1]],IRRIGADO!E:E,ESTIMATIVA[[#This Row],[CD_UPNIVEL3]]),"")</f>
        <v/>
      </c>
      <c r="AJ71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15" s="1">
        <f>COUNTIFS(Apresentação!$E$23:$E$29,ESTIMATIVA[[#This Row],[CD_UPNIVEL1]])</f>
        <v>0</v>
      </c>
    </row>
    <row r="716" spans="1:37" x14ac:dyDescent="0.3">
      <c r="A716">
        <v>20407</v>
      </c>
      <c r="B716" t="s">
        <v>42</v>
      </c>
      <c r="C716">
        <v>2</v>
      </c>
      <c r="D716">
        <v>2</v>
      </c>
      <c r="E716" t="s">
        <v>266</v>
      </c>
      <c r="F716" s="85" t="s">
        <v>332</v>
      </c>
      <c r="G716"/>
      <c r="H716" t="s">
        <v>294</v>
      </c>
      <c r="I716" t="s">
        <v>206</v>
      </c>
      <c r="J716" t="s">
        <v>176</v>
      </c>
      <c r="K716" s="1">
        <v>10.27</v>
      </c>
      <c r="L716" s="1">
        <v>0</v>
      </c>
      <c r="M716" s="1">
        <v>0</v>
      </c>
      <c r="N716" s="1">
        <v>10.27</v>
      </c>
      <c r="O716" s="1">
        <v>698.36</v>
      </c>
      <c r="P716" s="1">
        <v>0</v>
      </c>
      <c r="Q716" s="1">
        <v>0</v>
      </c>
      <c r="R716" s="1">
        <v>814.81</v>
      </c>
      <c r="S716" t="s">
        <v>12</v>
      </c>
      <c r="T716" s="13">
        <v>45746</v>
      </c>
      <c r="U716" s="1" t="str">
        <f>IF(ESTIMATIVA[[#This Row],[QT_AREA_REAL]]&gt;0,"1- Colhido","2- à Colher")</f>
        <v>1- Colhido</v>
      </c>
      <c r="V716" s="1" t="str">
        <f>IF(ESTIMATIVA[[#This Row],[QT_AREA_REST1]]&gt;0,"Reestimativa 1",IF(ESTIMATIVA[[#This Row],[QT_AREA_REAL]]=0,"Reestimativa 1","Realizado"))</f>
        <v>Realizado</v>
      </c>
      <c r="W716" s="1" t="str">
        <f>IF(ESTIMATIVA[[#This Row],[QT_AREA_REST2]]&gt;0,"Reestimativa 2",IF(ESTIMATIVA[[#This Row],[QT_AREA_REAL]]=0,"Reestimativa 2","Realizado"))</f>
        <v>Realizado</v>
      </c>
      <c r="X716" s="1">
        <f>ESTIMATIVA[[#This Row],[QT_AREA_EST]]</f>
        <v>10.27</v>
      </c>
      <c r="Y716" s="1">
        <f>IF(ESTIMATIVA[[#This Row],[QT_AREA_REST1]]&gt;0,ESTIMATIVA[[#This Row],[QT_AREA_REST1]],
  IF(ESTIMATIVA[[#This Row],[QT_AREA_REAL]]&gt;0,ESTIMATIVA[[#This Row],[QT_AREA_REAL]],ESTIMATIVA[[#This Row],[QT_AREA_EST]]))</f>
        <v>10.27</v>
      </c>
      <c r="Z71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10.27</v>
      </c>
      <c r="AA716" s="1">
        <f>ESTIMATIVA[[#This Row],[QT_CANA_EST]]</f>
        <v>698.36</v>
      </c>
      <c r="AB716" s="1">
        <f>IF(ESTIMATIVA[[#This Row],[QT_CANA_REST1]]&gt;0,ESTIMATIVA[[#This Row],[QT_CANA_REST1]],
  IF(ESTIMATIVA[[#This Row],[QT_CANA_REAL]]&gt;0,ESTIMATIVA[[#This Row],[QT_CANA_REAL]],ESTIMATIVA[[#This Row],[QT_CANA_EST]]))</f>
        <v>814.81</v>
      </c>
      <c r="AC71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814.81</v>
      </c>
      <c r="AD716" s="1">
        <f>IF(ESTIMATIVA[[#This Row],[QT_AREA_REAL]]&gt;0,ESTIMATIVA[[#This Row],[QT_CANA_REAL]],ESTIMATIVA[[#This Row],[QT_CANA_EST]])</f>
        <v>814.81</v>
      </c>
      <c r="AE716" s="1">
        <f>IF(ESTIMATIVA[[#This Row],[QT_AREA_REAL]]&gt;0,ESTIMATIVA[[#This Row],[QT_CANA_REAL]],ESTIMATIVA[[#This Row],[QT_CANA_REST1]])</f>
        <v>814.81</v>
      </c>
      <c r="AF716" s="1">
        <f>IF(ESTIMATIVA[[#This Row],[QT_AREA_REAL]]&gt;0,ESTIMATIVA[[#This Row],[QT_CANA_REAL]],ESTIMATIVA[[#This Row],[QT_CANA_REST2]])</f>
        <v>814.81</v>
      </c>
      <c r="AG716" s="1" t="str">
        <f>IF(COUNTIFS(GEADA!A:A,VALUE(ESTIMATIVA[[#This Row],[CD_UPNIVEL1]]&amp;TEXT(ESTIMATIVA[[#This Row],[CD_UPNIVEL3]],"0000")))&gt;0,"S","N")</f>
        <v>N</v>
      </c>
      <c r="AH71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16" s="55" t="str">
        <f>IF(ESTIMATIVA[[#This Row],[TP_CULTIVO]]="Irrigado",_xlfn.MAXIFS(IRRIGADO!J:J,IRRIGADO!C:C,ESTIMATIVA[[#This Row],[CD_UPNIVEL1]],IRRIGADO!E:E,ESTIMATIVA[[#This Row],[CD_UPNIVEL3]]),"")</f>
        <v/>
      </c>
      <c r="AJ71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16" s="1">
        <f>COUNTIFS(Apresentação!$E$23:$E$29,ESTIMATIVA[[#This Row],[CD_UPNIVEL1]])</f>
        <v>0</v>
      </c>
    </row>
    <row r="717" spans="1:37" x14ac:dyDescent="0.3">
      <c r="A717">
        <v>20407</v>
      </c>
      <c r="B717" t="s">
        <v>42</v>
      </c>
      <c r="C717">
        <v>3</v>
      </c>
      <c r="D717">
        <v>2</v>
      </c>
      <c r="E717" t="s">
        <v>266</v>
      </c>
      <c r="F717" s="85" t="s">
        <v>330</v>
      </c>
      <c r="G717"/>
      <c r="H717" t="s">
        <v>294</v>
      </c>
      <c r="I717" t="s">
        <v>206</v>
      </c>
      <c r="J717" t="s">
        <v>176</v>
      </c>
      <c r="K717" s="1">
        <v>7.47</v>
      </c>
      <c r="L717" s="1">
        <v>0</v>
      </c>
      <c r="M717" s="1">
        <v>0</v>
      </c>
      <c r="N717" s="1">
        <v>7.47</v>
      </c>
      <c r="O717" s="1">
        <v>507.96</v>
      </c>
      <c r="P717" s="1">
        <v>0</v>
      </c>
      <c r="Q717" s="1">
        <v>0</v>
      </c>
      <c r="R717" s="1">
        <v>593.08000000000004</v>
      </c>
      <c r="S717" t="s">
        <v>12</v>
      </c>
      <c r="T717" s="13">
        <v>45746</v>
      </c>
      <c r="U717" s="1" t="str">
        <f>IF(ESTIMATIVA[[#This Row],[QT_AREA_REAL]]&gt;0,"1- Colhido","2- à Colher")</f>
        <v>1- Colhido</v>
      </c>
      <c r="V717" s="1" t="str">
        <f>IF(ESTIMATIVA[[#This Row],[QT_AREA_REST1]]&gt;0,"Reestimativa 1",IF(ESTIMATIVA[[#This Row],[QT_AREA_REAL]]=0,"Reestimativa 1","Realizado"))</f>
        <v>Realizado</v>
      </c>
      <c r="W717" s="1" t="str">
        <f>IF(ESTIMATIVA[[#This Row],[QT_AREA_REST2]]&gt;0,"Reestimativa 2",IF(ESTIMATIVA[[#This Row],[QT_AREA_REAL]]=0,"Reestimativa 2","Realizado"))</f>
        <v>Realizado</v>
      </c>
      <c r="X717" s="1">
        <f>ESTIMATIVA[[#This Row],[QT_AREA_EST]]</f>
        <v>7.47</v>
      </c>
      <c r="Y717" s="1">
        <f>IF(ESTIMATIVA[[#This Row],[QT_AREA_REST1]]&gt;0,ESTIMATIVA[[#This Row],[QT_AREA_REST1]],
  IF(ESTIMATIVA[[#This Row],[QT_AREA_REAL]]&gt;0,ESTIMATIVA[[#This Row],[QT_AREA_REAL]],ESTIMATIVA[[#This Row],[QT_AREA_EST]]))</f>
        <v>7.47</v>
      </c>
      <c r="Z71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7.47</v>
      </c>
      <c r="AA717" s="1">
        <f>ESTIMATIVA[[#This Row],[QT_CANA_EST]]</f>
        <v>507.96</v>
      </c>
      <c r="AB717" s="1">
        <f>IF(ESTIMATIVA[[#This Row],[QT_CANA_REST1]]&gt;0,ESTIMATIVA[[#This Row],[QT_CANA_REST1]],
  IF(ESTIMATIVA[[#This Row],[QT_CANA_REAL]]&gt;0,ESTIMATIVA[[#This Row],[QT_CANA_REAL]],ESTIMATIVA[[#This Row],[QT_CANA_EST]]))</f>
        <v>593.08000000000004</v>
      </c>
      <c r="AC71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593.08000000000004</v>
      </c>
      <c r="AD717" s="1">
        <f>IF(ESTIMATIVA[[#This Row],[QT_AREA_REAL]]&gt;0,ESTIMATIVA[[#This Row],[QT_CANA_REAL]],ESTIMATIVA[[#This Row],[QT_CANA_EST]])</f>
        <v>593.08000000000004</v>
      </c>
      <c r="AE717" s="1">
        <f>IF(ESTIMATIVA[[#This Row],[QT_AREA_REAL]]&gt;0,ESTIMATIVA[[#This Row],[QT_CANA_REAL]],ESTIMATIVA[[#This Row],[QT_CANA_REST1]])</f>
        <v>593.08000000000004</v>
      </c>
      <c r="AF717" s="1">
        <f>IF(ESTIMATIVA[[#This Row],[QT_AREA_REAL]]&gt;0,ESTIMATIVA[[#This Row],[QT_CANA_REAL]],ESTIMATIVA[[#This Row],[QT_CANA_REST2]])</f>
        <v>593.08000000000004</v>
      </c>
      <c r="AG717" s="1" t="str">
        <f>IF(COUNTIFS(GEADA!A:A,VALUE(ESTIMATIVA[[#This Row],[CD_UPNIVEL1]]&amp;TEXT(ESTIMATIVA[[#This Row],[CD_UPNIVEL3]],"0000")))&gt;0,"S","N")</f>
        <v>N</v>
      </c>
      <c r="AH71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17" s="55" t="str">
        <f>IF(ESTIMATIVA[[#This Row],[TP_CULTIVO]]="Irrigado",_xlfn.MAXIFS(IRRIGADO!J:J,IRRIGADO!C:C,ESTIMATIVA[[#This Row],[CD_UPNIVEL1]],IRRIGADO!E:E,ESTIMATIVA[[#This Row],[CD_UPNIVEL3]]),"")</f>
        <v/>
      </c>
      <c r="AJ71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17" s="1">
        <f>COUNTIFS(Apresentação!$E$23:$E$29,ESTIMATIVA[[#This Row],[CD_UPNIVEL1]])</f>
        <v>0</v>
      </c>
    </row>
    <row r="718" spans="1:37" x14ac:dyDescent="0.3">
      <c r="A718">
        <v>20408</v>
      </c>
      <c r="B718" t="s">
        <v>43</v>
      </c>
      <c r="C718">
        <v>1</v>
      </c>
      <c r="D718">
        <v>4</v>
      </c>
      <c r="E718" t="s">
        <v>265</v>
      </c>
      <c r="F718" s="85" t="s">
        <v>331</v>
      </c>
      <c r="G718"/>
      <c r="H718" t="s">
        <v>295</v>
      </c>
      <c r="I718" t="s">
        <v>204</v>
      </c>
      <c r="J718" t="s">
        <v>176</v>
      </c>
      <c r="K718" s="1">
        <v>4.04</v>
      </c>
      <c r="L718" s="1">
        <v>0</v>
      </c>
      <c r="M718" s="1">
        <v>0</v>
      </c>
      <c r="N718" s="1">
        <v>4.04</v>
      </c>
      <c r="O718" s="1">
        <v>282.8</v>
      </c>
      <c r="P718" s="1">
        <v>0</v>
      </c>
      <c r="Q718" s="1">
        <v>0</v>
      </c>
      <c r="R718" s="1">
        <v>227.96</v>
      </c>
      <c r="S718" t="s">
        <v>12</v>
      </c>
      <c r="T718" s="13">
        <v>45753</v>
      </c>
      <c r="U718" s="1" t="str">
        <f>IF(ESTIMATIVA[[#This Row],[QT_AREA_REAL]]&gt;0,"1- Colhido","2- à Colher")</f>
        <v>1- Colhido</v>
      </c>
      <c r="V718" s="1" t="str">
        <f>IF(ESTIMATIVA[[#This Row],[QT_AREA_REST1]]&gt;0,"Reestimativa 1",IF(ESTIMATIVA[[#This Row],[QT_AREA_REAL]]=0,"Reestimativa 1","Realizado"))</f>
        <v>Realizado</v>
      </c>
      <c r="W718" s="1" t="str">
        <f>IF(ESTIMATIVA[[#This Row],[QT_AREA_REST2]]&gt;0,"Reestimativa 2",IF(ESTIMATIVA[[#This Row],[QT_AREA_REAL]]=0,"Reestimativa 2","Realizado"))</f>
        <v>Realizado</v>
      </c>
      <c r="X718" s="1">
        <f>ESTIMATIVA[[#This Row],[QT_AREA_EST]]</f>
        <v>4.04</v>
      </c>
      <c r="Y718" s="1">
        <f>IF(ESTIMATIVA[[#This Row],[QT_AREA_REST1]]&gt;0,ESTIMATIVA[[#This Row],[QT_AREA_REST1]],
  IF(ESTIMATIVA[[#This Row],[QT_AREA_REAL]]&gt;0,ESTIMATIVA[[#This Row],[QT_AREA_REAL]],ESTIMATIVA[[#This Row],[QT_AREA_EST]]))</f>
        <v>4.04</v>
      </c>
      <c r="Z71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4.04</v>
      </c>
      <c r="AA718" s="1">
        <f>ESTIMATIVA[[#This Row],[QT_CANA_EST]]</f>
        <v>282.8</v>
      </c>
      <c r="AB718" s="1">
        <f>IF(ESTIMATIVA[[#This Row],[QT_CANA_REST1]]&gt;0,ESTIMATIVA[[#This Row],[QT_CANA_REST1]],
  IF(ESTIMATIVA[[#This Row],[QT_CANA_REAL]]&gt;0,ESTIMATIVA[[#This Row],[QT_CANA_REAL]],ESTIMATIVA[[#This Row],[QT_CANA_EST]]))</f>
        <v>227.96</v>
      </c>
      <c r="AC71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227.96</v>
      </c>
      <c r="AD718" s="1">
        <f>IF(ESTIMATIVA[[#This Row],[QT_AREA_REAL]]&gt;0,ESTIMATIVA[[#This Row],[QT_CANA_REAL]],ESTIMATIVA[[#This Row],[QT_CANA_EST]])</f>
        <v>227.96</v>
      </c>
      <c r="AE718" s="1">
        <f>IF(ESTIMATIVA[[#This Row],[QT_AREA_REAL]]&gt;0,ESTIMATIVA[[#This Row],[QT_CANA_REAL]],ESTIMATIVA[[#This Row],[QT_CANA_REST1]])</f>
        <v>227.96</v>
      </c>
      <c r="AF718" s="1">
        <f>IF(ESTIMATIVA[[#This Row],[QT_AREA_REAL]]&gt;0,ESTIMATIVA[[#This Row],[QT_CANA_REAL]],ESTIMATIVA[[#This Row],[QT_CANA_REST2]])</f>
        <v>227.96</v>
      </c>
      <c r="AG718" s="1" t="str">
        <f>IF(COUNTIFS(GEADA!A:A,VALUE(ESTIMATIVA[[#This Row],[CD_UPNIVEL1]]&amp;TEXT(ESTIMATIVA[[#This Row],[CD_UPNIVEL3]],"0000")))&gt;0,"S","N")</f>
        <v>N</v>
      </c>
      <c r="AH71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18" s="55" t="str">
        <f>IF(ESTIMATIVA[[#This Row],[TP_CULTIVO]]="Irrigado",_xlfn.MAXIFS(IRRIGADO!J:J,IRRIGADO!C:C,ESTIMATIVA[[#This Row],[CD_UPNIVEL1]],IRRIGADO!E:E,ESTIMATIVA[[#This Row],[CD_UPNIVEL3]]),"")</f>
        <v/>
      </c>
      <c r="AJ71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18" s="1">
        <f>COUNTIFS(Apresentação!$E$23:$E$29,ESTIMATIVA[[#This Row],[CD_UPNIVEL1]])</f>
        <v>0</v>
      </c>
    </row>
    <row r="719" spans="1:37" x14ac:dyDescent="0.3">
      <c r="A719">
        <v>20408</v>
      </c>
      <c r="B719" t="s">
        <v>43</v>
      </c>
      <c r="C719">
        <v>2</v>
      </c>
      <c r="D719">
        <v>4</v>
      </c>
      <c r="E719" t="s">
        <v>265</v>
      </c>
      <c r="F719" s="85" t="s">
        <v>331</v>
      </c>
      <c r="G719"/>
      <c r="H719" t="s">
        <v>295</v>
      </c>
      <c r="I719" t="s">
        <v>204</v>
      </c>
      <c r="J719" t="s">
        <v>176</v>
      </c>
      <c r="K719" s="1">
        <v>27.88</v>
      </c>
      <c r="L719" s="1">
        <v>0</v>
      </c>
      <c r="M719" s="1">
        <v>0</v>
      </c>
      <c r="N719" s="1">
        <v>27.88</v>
      </c>
      <c r="O719" s="1">
        <v>1951.6</v>
      </c>
      <c r="P719" s="1">
        <v>0</v>
      </c>
      <c r="Q719" s="1">
        <v>0</v>
      </c>
      <c r="R719" s="1">
        <v>1572.6</v>
      </c>
      <c r="S719" t="s">
        <v>12</v>
      </c>
      <c r="T719" s="13">
        <v>45753</v>
      </c>
      <c r="U719" s="1" t="str">
        <f>IF(ESTIMATIVA[[#This Row],[QT_AREA_REAL]]&gt;0,"1- Colhido","2- à Colher")</f>
        <v>1- Colhido</v>
      </c>
      <c r="V719" s="1" t="str">
        <f>IF(ESTIMATIVA[[#This Row],[QT_AREA_REST1]]&gt;0,"Reestimativa 1",IF(ESTIMATIVA[[#This Row],[QT_AREA_REAL]]=0,"Reestimativa 1","Realizado"))</f>
        <v>Realizado</v>
      </c>
      <c r="W719" s="1" t="str">
        <f>IF(ESTIMATIVA[[#This Row],[QT_AREA_REST2]]&gt;0,"Reestimativa 2",IF(ESTIMATIVA[[#This Row],[QT_AREA_REAL]]=0,"Reestimativa 2","Realizado"))</f>
        <v>Realizado</v>
      </c>
      <c r="X719" s="1">
        <f>ESTIMATIVA[[#This Row],[QT_AREA_EST]]</f>
        <v>27.88</v>
      </c>
      <c r="Y719" s="1">
        <f>IF(ESTIMATIVA[[#This Row],[QT_AREA_REST1]]&gt;0,ESTIMATIVA[[#This Row],[QT_AREA_REST1]],
  IF(ESTIMATIVA[[#This Row],[QT_AREA_REAL]]&gt;0,ESTIMATIVA[[#This Row],[QT_AREA_REAL]],ESTIMATIVA[[#This Row],[QT_AREA_EST]]))</f>
        <v>27.88</v>
      </c>
      <c r="Z71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27.88</v>
      </c>
      <c r="AA719" s="1">
        <f>ESTIMATIVA[[#This Row],[QT_CANA_EST]]</f>
        <v>1951.6</v>
      </c>
      <c r="AB719" s="1">
        <f>IF(ESTIMATIVA[[#This Row],[QT_CANA_REST1]]&gt;0,ESTIMATIVA[[#This Row],[QT_CANA_REST1]],
  IF(ESTIMATIVA[[#This Row],[QT_CANA_REAL]]&gt;0,ESTIMATIVA[[#This Row],[QT_CANA_REAL]],ESTIMATIVA[[#This Row],[QT_CANA_EST]]))</f>
        <v>1572.6</v>
      </c>
      <c r="AC71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1572.6</v>
      </c>
      <c r="AD719" s="1">
        <f>IF(ESTIMATIVA[[#This Row],[QT_AREA_REAL]]&gt;0,ESTIMATIVA[[#This Row],[QT_CANA_REAL]],ESTIMATIVA[[#This Row],[QT_CANA_EST]])</f>
        <v>1572.6</v>
      </c>
      <c r="AE719" s="1">
        <f>IF(ESTIMATIVA[[#This Row],[QT_AREA_REAL]]&gt;0,ESTIMATIVA[[#This Row],[QT_CANA_REAL]],ESTIMATIVA[[#This Row],[QT_CANA_REST1]])</f>
        <v>1572.6</v>
      </c>
      <c r="AF719" s="1">
        <f>IF(ESTIMATIVA[[#This Row],[QT_AREA_REAL]]&gt;0,ESTIMATIVA[[#This Row],[QT_CANA_REAL]],ESTIMATIVA[[#This Row],[QT_CANA_REST2]])</f>
        <v>1572.6</v>
      </c>
      <c r="AG719" s="1" t="str">
        <f>IF(COUNTIFS(GEADA!A:A,VALUE(ESTIMATIVA[[#This Row],[CD_UPNIVEL1]]&amp;TEXT(ESTIMATIVA[[#This Row],[CD_UPNIVEL3]],"0000")))&gt;0,"S","N")</f>
        <v>N</v>
      </c>
      <c r="AH71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19" s="55" t="str">
        <f>IF(ESTIMATIVA[[#This Row],[TP_CULTIVO]]="Irrigado",_xlfn.MAXIFS(IRRIGADO!J:J,IRRIGADO!C:C,ESTIMATIVA[[#This Row],[CD_UPNIVEL1]],IRRIGADO!E:E,ESTIMATIVA[[#This Row],[CD_UPNIVEL3]]),"")</f>
        <v/>
      </c>
      <c r="AJ71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19" s="1">
        <f>COUNTIFS(Apresentação!$E$23:$E$29,ESTIMATIVA[[#This Row],[CD_UPNIVEL1]])</f>
        <v>0</v>
      </c>
    </row>
    <row r="720" spans="1:37" x14ac:dyDescent="0.3">
      <c r="A720">
        <v>20408</v>
      </c>
      <c r="B720" t="s">
        <v>43</v>
      </c>
      <c r="C720">
        <v>3</v>
      </c>
      <c r="D720">
        <v>4</v>
      </c>
      <c r="E720" t="s">
        <v>265</v>
      </c>
      <c r="F720" s="85" t="s">
        <v>331</v>
      </c>
      <c r="G720"/>
      <c r="H720" t="s">
        <v>295</v>
      </c>
      <c r="I720" t="s">
        <v>204</v>
      </c>
      <c r="J720" t="s">
        <v>176</v>
      </c>
      <c r="K720" s="1">
        <v>10.55</v>
      </c>
      <c r="L720" s="1">
        <v>0</v>
      </c>
      <c r="M720" s="1">
        <v>0</v>
      </c>
      <c r="N720" s="1">
        <v>10.55</v>
      </c>
      <c r="O720" s="1">
        <v>738.5</v>
      </c>
      <c r="P720" s="1">
        <v>0</v>
      </c>
      <c r="Q720" s="1">
        <v>0</v>
      </c>
      <c r="R720" s="1">
        <v>595.45000000000005</v>
      </c>
      <c r="S720" t="s">
        <v>12</v>
      </c>
      <c r="T720" s="13">
        <v>45753</v>
      </c>
      <c r="U720" s="1" t="str">
        <f>IF(ESTIMATIVA[[#This Row],[QT_AREA_REAL]]&gt;0,"1- Colhido","2- à Colher")</f>
        <v>1- Colhido</v>
      </c>
      <c r="V720" s="1" t="str">
        <f>IF(ESTIMATIVA[[#This Row],[QT_AREA_REST1]]&gt;0,"Reestimativa 1",IF(ESTIMATIVA[[#This Row],[QT_AREA_REAL]]=0,"Reestimativa 1","Realizado"))</f>
        <v>Realizado</v>
      </c>
      <c r="W720" s="1" t="str">
        <f>IF(ESTIMATIVA[[#This Row],[QT_AREA_REST2]]&gt;0,"Reestimativa 2",IF(ESTIMATIVA[[#This Row],[QT_AREA_REAL]]=0,"Reestimativa 2","Realizado"))</f>
        <v>Realizado</v>
      </c>
      <c r="X720" s="1">
        <f>ESTIMATIVA[[#This Row],[QT_AREA_EST]]</f>
        <v>10.55</v>
      </c>
      <c r="Y720" s="1">
        <f>IF(ESTIMATIVA[[#This Row],[QT_AREA_REST1]]&gt;0,ESTIMATIVA[[#This Row],[QT_AREA_REST1]],
  IF(ESTIMATIVA[[#This Row],[QT_AREA_REAL]]&gt;0,ESTIMATIVA[[#This Row],[QT_AREA_REAL]],ESTIMATIVA[[#This Row],[QT_AREA_EST]]))</f>
        <v>10.55</v>
      </c>
      <c r="Z72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10.55</v>
      </c>
      <c r="AA720" s="1">
        <f>ESTIMATIVA[[#This Row],[QT_CANA_EST]]</f>
        <v>738.5</v>
      </c>
      <c r="AB720" s="1">
        <f>IF(ESTIMATIVA[[#This Row],[QT_CANA_REST1]]&gt;0,ESTIMATIVA[[#This Row],[QT_CANA_REST1]],
  IF(ESTIMATIVA[[#This Row],[QT_CANA_REAL]]&gt;0,ESTIMATIVA[[#This Row],[QT_CANA_REAL]],ESTIMATIVA[[#This Row],[QT_CANA_EST]]))</f>
        <v>595.45000000000005</v>
      </c>
      <c r="AC72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595.45000000000005</v>
      </c>
      <c r="AD720" s="1">
        <f>IF(ESTIMATIVA[[#This Row],[QT_AREA_REAL]]&gt;0,ESTIMATIVA[[#This Row],[QT_CANA_REAL]],ESTIMATIVA[[#This Row],[QT_CANA_EST]])</f>
        <v>595.45000000000005</v>
      </c>
      <c r="AE720" s="1">
        <f>IF(ESTIMATIVA[[#This Row],[QT_AREA_REAL]]&gt;0,ESTIMATIVA[[#This Row],[QT_CANA_REAL]],ESTIMATIVA[[#This Row],[QT_CANA_REST1]])</f>
        <v>595.45000000000005</v>
      </c>
      <c r="AF720" s="1">
        <f>IF(ESTIMATIVA[[#This Row],[QT_AREA_REAL]]&gt;0,ESTIMATIVA[[#This Row],[QT_CANA_REAL]],ESTIMATIVA[[#This Row],[QT_CANA_REST2]])</f>
        <v>595.45000000000005</v>
      </c>
      <c r="AG720" s="1" t="str">
        <f>IF(COUNTIFS(GEADA!A:A,VALUE(ESTIMATIVA[[#This Row],[CD_UPNIVEL1]]&amp;TEXT(ESTIMATIVA[[#This Row],[CD_UPNIVEL3]],"0000")))&gt;0,"S","N")</f>
        <v>N</v>
      </c>
      <c r="AH72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20" s="55" t="str">
        <f>IF(ESTIMATIVA[[#This Row],[TP_CULTIVO]]="Irrigado",_xlfn.MAXIFS(IRRIGADO!J:J,IRRIGADO!C:C,ESTIMATIVA[[#This Row],[CD_UPNIVEL1]],IRRIGADO!E:E,ESTIMATIVA[[#This Row],[CD_UPNIVEL3]]),"")</f>
        <v/>
      </c>
      <c r="AJ72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20" s="1">
        <f>COUNTIFS(Apresentação!$E$23:$E$29,ESTIMATIVA[[#This Row],[CD_UPNIVEL1]])</f>
        <v>0</v>
      </c>
    </row>
    <row r="721" spans="1:37" x14ac:dyDescent="0.3">
      <c r="A721">
        <v>20408</v>
      </c>
      <c r="B721" t="s">
        <v>43</v>
      </c>
      <c r="C721">
        <v>4</v>
      </c>
      <c r="D721">
        <v>4</v>
      </c>
      <c r="E721" t="s">
        <v>265</v>
      </c>
      <c r="F721" s="85" t="s">
        <v>331</v>
      </c>
      <c r="G721"/>
      <c r="H721" t="s">
        <v>295</v>
      </c>
      <c r="I721" t="s">
        <v>204</v>
      </c>
      <c r="J721" t="s">
        <v>176</v>
      </c>
      <c r="K721" s="1">
        <v>20.16</v>
      </c>
      <c r="L721" s="1">
        <v>0</v>
      </c>
      <c r="M721" s="1">
        <v>0</v>
      </c>
      <c r="N721" s="1">
        <v>20.16</v>
      </c>
      <c r="O721" s="1">
        <v>1411.2</v>
      </c>
      <c r="P721" s="1">
        <v>0</v>
      </c>
      <c r="Q721" s="1">
        <v>0</v>
      </c>
      <c r="R721" s="1">
        <v>1409.42</v>
      </c>
      <c r="S721" t="s">
        <v>12</v>
      </c>
      <c r="T721" s="13">
        <v>45753</v>
      </c>
      <c r="U721" s="1" t="str">
        <f>IF(ESTIMATIVA[[#This Row],[QT_AREA_REAL]]&gt;0,"1- Colhido","2- à Colher")</f>
        <v>1- Colhido</v>
      </c>
      <c r="V721" s="1" t="str">
        <f>IF(ESTIMATIVA[[#This Row],[QT_AREA_REST1]]&gt;0,"Reestimativa 1",IF(ESTIMATIVA[[#This Row],[QT_AREA_REAL]]=0,"Reestimativa 1","Realizado"))</f>
        <v>Realizado</v>
      </c>
      <c r="W721" s="1" t="str">
        <f>IF(ESTIMATIVA[[#This Row],[QT_AREA_REST2]]&gt;0,"Reestimativa 2",IF(ESTIMATIVA[[#This Row],[QT_AREA_REAL]]=0,"Reestimativa 2","Realizado"))</f>
        <v>Realizado</v>
      </c>
      <c r="X721" s="1">
        <f>ESTIMATIVA[[#This Row],[QT_AREA_EST]]</f>
        <v>20.16</v>
      </c>
      <c r="Y721" s="1">
        <f>IF(ESTIMATIVA[[#This Row],[QT_AREA_REST1]]&gt;0,ESTIMATIVA[[#This Row],[QT_AREA_REST1]],
  IF(ESTIMATIVA[[#This Row],[QT_AREA_REAL]]&gt;0,ESTIMATIVA[[#This Row],[QT_AREA_REAL]],ESTIMATIVA[[#This Row],[QT_AREA_EST]]))</f>
        <v>20.16</v>
      </c>
      <c r="Z72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20.16</v>
      </c>
      <c r="AA721" s="1">
        <f>ESTIMATIVA[[#This Row],[QT_CANA_EST]]</f>
        <v>1411.2</v>
      </c>
      <c r="AB721" s="1">
        <f>IF(ESTIMATIVA[[#This Row],[QT_CANA_REST1]]&gt;0,ESTIMATIVA[[#This Row],[QT_CANA_REST1]],
  IF(ESTIMATIVA[[#This Row],[QT_CANA_REAL]]&gt;0,ESTIMATIVA[[#This Row],[QT_CANA_REAL]],ESTIMATIVA[[#This Row],[QT_CANA_EST]]))</f>
        <v>1409.42</v>
      </c>
      <c r="AC72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1409.42</v>
      </c>
      <c r="AD721" s="1">
        <f>IF(ESTIMATIVA[[#This Row],[QT_AREA_REAL]]&gt;0,ESTIMATIVA[[#This Row],[QT_CANA_REAL]],ESTIMATIVA[[#This Row],[QT_CANA_EST]])</f>
        <v>1409.42</v>
      </c>
      <c r="AE721" s="1">
        <f>IF(ESTIMATIVA[[#This Row],[QT_AREA_REAL]]&gt;0,ESTIMATIVA[[#This Row],[QT_CANA_REAL]],ESTIMATIVA[[#This Row],[QT_CANA_REST1]])</f>
        <v>1409.42</v>
      </c>
      <c r="AF721" s="1">
        <f>IF(ESTIMATIVA[[#This Row],[QT_AREA_REAL]]&gt;0,ESTIMATIVA[[#This Row],[QT_CANA_REAL]],ESTIMATIVA[[#This Row],[QT_CANA_REST2]])</f>
        <v>1409.42</v>
      </c>
      <c r="AG721" s="1" t="str">
        <f>IF(COUNTIFS(GEADA!A:A,VALUE(ESTIMATIVA[[#This Row],[CD_UPNIVEL1]]&amp;TEXT(ESTIMATIVA[[#This Row],[CD_UPNIVEL3]],"0000")))&gt;0,"S","N")</f>
        <v>N</v>
      </c>
      <c r="AH72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21" s="55" t="str">
        <f>IF(ESTIMATIVA[[#This Row],[TP_CULTIVO]]="Irrigado",_xlfn.MAXIFS(IRRIGADO!J:J,IRRIGADO!C:C,ESTIMATIVA[[#This Row],[CD_UPNIVEL1]],IRRIGADO!E:E,ESTIMATIVA[[#This Row],[CD_UPNIVEL3]]),"")</f>
        <v/>
      </c>
      <c r="AJ72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21" s="1">
        <f>COUNTIFS(Apresentação!$E$23:$E$29,ESTIMATIVA[[#This Row],[CD_UPNIVEL1]])</f>
        <v>0</v>
      </c>
    </row>
    <row r="722" spans="1:37" x14ac:dyDescent="0.3">
      <c r="A722">
        <v>20408</v>
      </c>
      <c r="B722" t="s">
        <v>43</v>
      </c>
      <c r="C722">
        <v>5</v>
      </c>
      <c r="D722">
        <v>4</v>
      </c>
      <c r="E722" t="s">
        <v>265</v>
      </c>
      <c r="F722" s="85" t="s">
        <v>331</v>
      </c>
      <c r="G722"/>
      <c r="H722" t="s">
        <v>295</v>
      </c>
      <c r="I722" t="s">
        <v>197</v>
      </c>
      <c r="J722" t="s">
        <v>176</v>
      </c>
      <c r="K722" s="1">
        <v>19.420000000000002</v>
      </c>
      <c r="L722" s="1">
        <v>0</v>
      </c>
      <c r="M722" s="1">
        <v>0</v>
      </c>
      <c r="N722" s="1">
        <v>19.420000000000002</v>
      </c>
      <c r="O722" s="1">
        <v>1437.08</v>
      </c>
      <c r="P722" s="1">
        <v>0</v>
      </c>
      <c r="Q722" s="1">
        <v>0</v>
      </c>
      <c r="R722" s="1">
        <v>1435.3</v>
      </c>
      <c r="S722" t="s">
        <v>12</v>
      </c>
      <c r="T722" s="13">
        <v>45753</v>
      </c>
      <c r="U722" s="1" t="str">
        <f>IF(ESTIMATIVA[[#This Row],[QT_AREA_REAL]]&gt;0,"1- Colhido","2- à Colher")</f>
        <v>1- Colhido</v>
      </c>
      <c r="V722" s="1" t="str">
        <f>IF(ESTIMATIVA[[#This Row],[QT_AREA_REST1]]&gt;0,"Reestimativa 1",IF(ESTIMATIVA[[#This Row],[QT_AREA_REAL]]=0,"Reestimativa 1","Realizado"))</f>
        <v>Realizado</v>
      </c>
      <c r="W722" s="1" t="str">
        <f>IF(ESTIMATIVA[[#This Row],[QT_AREA_REST2]]&gt;0,"Reestimativa 2",IF(ESTIMATIVA[[#This Row],[QT_AREA_REAL]]=0,"Reestimativa 2","Realizado"))</f>
        <v>Realizado</v>
      </c>
      <c r="X722" s="1">
        <f>ESTIMATIVA[[#This Row],[QT_AREA_EST]]</f>
        <v>19.420000000000002</v>
      </c>
      <c r="Y722" s="1">
        <f>IF(ESTIMATIVA[[#This Row],[QT_AREA_REST1]]&gt;0,ESTIMATIVA[[#This Row],[QT_AREA_REST1]],
  IF(ESTIMATIVA[[#This Row],[QT_AREA_REAL]]&gt;0,ESTIMATIVA[[#This Row],[QT_AREA_REAL]],ESTIMATIVA[[#This Row],[QT_AREA_EST]]))</f>
        <v>19.420000000000002</v>
      </c>
      <c r="Z72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19.420000000000002</v>
      </c>
      <c r="AA722" s="1">
        <f>ESTIMATIVA[[#This Row],[QT_CANA_EST]]</f>
        <v>1437.08</v>
      </c>
      <c r="AB722" s="1">
        <f>IF(ESTIMATIVA[[#This Row],[QT_CANA_REST1]]&gt;0,ESTIMATIVA[[#This Row],[QT_CANA_REST1]],
  IF(ESTIMATIVA[[#This Row],[QT_CANA_REAL]]&gt;0,ESTIMATIVA[[#This Row],[QT_CANA_REAL]],ESTIMATIVA[[#This Row],[QT_CANA_EST]]))</f>
        <v>1435.3</v>
      </c>
      <c r="AC72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1435.3</v>
      </c>
      <c r="AD722" s="1">
        <f>IF(ESTIMATIVA[[#This Row],[QT_AREA_REAL]]&gt;0,ESTIMATIVA[[#This Row],[QT_CANA_REAL]],ESTIMATIVA[[#This Row],[QT_CANA_EST]])</f>
        <v>1435.3</v>
      </c>
      <c r="AE722" s="1">
        <f>IF(ESTIMATIVA[[#This Row],[QT_AREA_REAL]]&gt;0,ESTIMATIVA[[#This Row],[QT_CANA_REAL]],ESTIMATIVA[[#This Row],[QT_CANA_REST1]])</f>
        <v>1435.3</v>
      </c>
      <c r="AF722" s="1">
        <f>IF(ESTIMATIVA[[#This Row],[QT_AREA_REAL]]&gt;0,ESTIMATIVA[[#This Row],[QT_CANA_REAL]],ESTIMATIVA[[#This Row],[QT_CANA_REST2]])</f>
        <v>1435.3</v>
      </c>
      <c r="AG722" s="1" t="str">
        <f>IF(COUNTIFS(GEADA!A:A,VALUE(ESTIMATIVA[[#This Row],[CD_UPNIVEL1]]&amp;TEXT(ESTIMATIVA[[#This Row],[CD_UPNIVEL3]],"0000")))&gt;0,"S","N")</f>
        <v>N</v>
      </c>
      <c r="AH72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22" s="55" t="str">
        <f>IF(ESTIMATIVA[[#This Row],[TP_CULTIVO]]="Irrigado",_xlfn.MAXIFS(IRRIGADO!J:J,IRRIGADO!C:C,ESTIMATIVA[[#This Row],[CD_UPNIVEL1]],IRRIGADO!E:E,ESTIMATIVA[[#This Row],[CD_UPNIVEL3]]),"")</f>
        <v/>
      </c>
      <c r="AJ72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22" s="1">
        <f>COUNTIFS(Apresentação!$E$23:$E$29,ESTIMATIVA[[#This Row],[CD_UPNIVEL1]])</f>
        <v>0</v>
      </c>
    </row>
    <row r="723" spans="1:37" x14ac:dyDescent="0.3">
      <c r="A723">
        <v>20408</v>
      </c>
      <c r="B723" t="s">
        <v>43</v>
      </c>
      <c r="C723">
        <v>6</v>
      </c>
      <c r="D723">
        <v>4</v>
      </c>
      <c r="E723" t="s">
        <v>265</v>
      </c>
      <c r="F723" s="85" t="s">
        <v>331</v>
      </c>
      <c r="G723"/>
      <c r="H723" t="s">
        <v>295</v>
      </c>
      <c r="I723" t="s">
        <v>197</v>
      </c>
      <c r="J723" t="s">
        <v>176</v>
      </c>
      <c r="K723" s="1">
        <v>44.87</v>
      </c>
      <c r="L723" s="1">
        <v>0</v>
      </c>
      <c r="M723" s="1">
        <v>0</v>
      </c>
      <c r="N723" s="1">
        <v>44.87</v>
      </c>
      <c r="O723" s="1">
        <v>3320.38</v>
      </c>
      <c r="P723" s="1">
        <v>0</v>
      </c>
      <c r="Q723" s="1">
        <v>0</v>
      </c>
      <c r="R723" s="1">
        <v>3316.7</v>
      </c>
      <c r="S723" t="s">
        <v>12</v>
      </c>
      <c r="T723" s="13">
        <v>45753</v>
      </c>
      <c r="U723" s="1" t="str">
        <f>IF(ESTIMATIVA[[#This Row],[QT_AREA_REAL]]&gt;0,"1- Colhido","2- à Colher")</f>
        <v>1- Colhido</v>
      </c>
      <c r="V723" s="1" t="str">
        <f>IF(ESTIMATIVA[[#This Row],[QT_AREA_REST1]]&gt;0,"Reestimativa 1",IF(ESTIMATIVA[[#This Row],[QT_AREA_REAL]]=0,"Reestimativa 1","Realizado"))</f>
        <v>Realizado</v>
      </c>
      <c r="W723" s="1" t="str">
        <f>IF(ESTIMATIVA[[#This Row],[QT_AREA_REST2]]&gt;0,"Reestimativa 2",IF(ESTIMATIVA[[#This Row],[QT_AREA_REAL]]=0,"Reestimativa 2","Realizado"))</f>
        <v>Realizado</v>
      </c>
      <c r="X723" s="1">
        <f>ESTIMATIVA[[#This Row],[QT_AREA_EST]]</f>
        <v>44.87</v>
      </c>
      <c r="Y723" s="1">
        <f>IF(ESTIMATIVA[[#This Row],[QT_AREA_REST1]]&gt;0,ESTIMATIVA[[#This Row],[QT_AREA_REST1]],
  IF(ESTIMATIVA[[#This Row],[QT_AREA_REAL]]&gt;0,ESTIMATIVA[[#This Row],[QT_AREA_REAL]],ESTIMATIVA[[#This Row],[QT_AREA_EST]]))</f>
        <v>44.87</v>
      </c>
      <c r="Z72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44.87</v>
      </c>
      <c r="AA723" s="1">
        <f>ESTIMATIVA[[#This Row],[QT_CANA_EST]]</f>
        <v>3320.38</v>
      </c>
      <c r="AB723" s="1">
        <f>IF(ESTIMATIVA[[#This Row],[QT_CANA_REST1]]&gt;0,ESTIMATIVA[[#This Row],[QT_CANA_REST1]],
  IF(ESTIMATIVA[[#This Row],[QT_CANA_REAL]]&gt;0,ESTIMATIVA[[#This Row],[QT_CANA_REAL]],ESTIMATIVA[[#This Row],[QT_CANA_EST]]))</f>
        <v>3316.7</v>
      </c>
      <c r="AC72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3316.7</v>
      </c>
      <c r="AD723" s="1">
        <f>IF(ESTIMATIVA[[#This Row],[QT_AREA_REAL]]&gt;0,ESTIMATIVA[[#This Row],[QT_CANA_REAL]],ESTIMATIVA[[#This Row],[QT_CANA_EST]])</f>
        <v>3316.7</v>
      </c>
      <c r="AE723" s="1">
        <f>IF(ESTIMATIVA[[#This Row],[QT_AREA_REAL]]&gt;0,ESTIMATIVA[[#This Row],[QT_CANA_REAL]],ESTIMATIVA[[#This Row],[QT_CANA_REST1]])</f>
        <v>3316.7</v>
      </c>
      <c r="AF723" s="1">
        <f>IF(ESTIMATIVA[[#This Row],[QT_AREA_REAL]]&gt;0,ESTIMATIVA[[#This Row],[QT_CANA_REAL]],ESTIMATIVA[[#This Row],[QT_CANA_REST2]])</f>
        <v>3316.7</v>
      </c>
      <c r="AG723" s="1" t="str">
        <f>IF(COUNTIFS(GEADA!A:A,VALUE(ESTIMATIVA[[#This Row],[CD_UPNIVEL1]]&amp;TEXT(ESTIMATIVA[[#This Row],[CD_UPNIVEL3]],"0000")))&gt;0,"S","N")</f>
        <v>N</v>
      </c>
      <c r="AH72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23" s="55" t="str">
        <f>IF(ESTIMATIVA[[#This Row],[TP_CULTIVO]]="Irrigado",_xlfn.MAXIFS(IRRIGADO!J:J,IRRIGADO!C:C,ESTIMATIVA[[#This Row],[CD_UPNIVEL1]],IRRIGADO!E:E,ESTIMATIVA[[#This Row],[CD_UPNIVEL3]]),"")</f>
        <v/>
      </c>
      <c r="AJ72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23" s="1">
        <f>COUNTIFS(Apresentação!$E$23:$E$29,ESTIMATIVA[[#This Row],[CD_UPNIVEL1]])</f>
        <v>0</v>
      </c>
    </row>
    <row r="724" spans="1:37" x14ac:dyDescent="0.3">
      <c r="A724">
        <v>20408</v>
      </c>
      <c r="B724" t="s">
        <v>43</v>
      </c>
      <c r="C724">
        <v>7</v>
      </c>
      <c r="D724">
        <v>4</v>
      </c>
      <c r="E724" t="s">
        <v>265</v>
      </c>
      <c r="F724" s="85" t="s">
        <v>331</v>
      </c>
      <c r="G724"/>
      <c r="H724" t="s">
        <v>295</v>
      </c>
      <c r="I724" t="s">
        <v>204</v>
      </c>
      <c r="J724" t="s">
        <v>176</v>
      </c>
      <c r="K724" s="1">
        <v>26.19</v>
      </c>
      <c r="L724" s="1">
        <v>0</v>
      </c>
      <c r="M724" s="1">
        <v>0</v>
      </c>
      <c r="N724" s="1">
        <v>26.19</v>
      </c>
      <c r="O724" s="1">
        <v>1938.06</v>
      </c>
      <c r="P724" s="1">
        <v>0</v>
      </c>
      <c r="Q724" s="1">
        <v>0</v>
      </c>
      <c r="R724" s="1">
        <v>1935.87</v>
      </c>
      <c r="S724" t="s">
        <v>12</v>
      </c>
      <c r="T724" s="13">
        <v>45753</v>
      </c>
      <c r="U724" s="1" t="str">
        <f>IF(ESTIMATIVA[[#This Row],[QT_AREA_REAL]]&gt;0,"1- Colhido","2- à Colher")</f>
        <v>1- Colhido</v>
      </c>
      <c r="V724" s="1" t="str">
        <f>IF(ESTIMATIVA[[#This Row],[QT_AREA_REST1]]&gt;0,"Reestimativa 1",IF(ESTIMATIVA[[#This Row],[QT_AREA_REAL]]=0,"Reestimativa 1","Realizado"))</f>
        <v>Realizado</v>
      </c>
      <c r="W724" s="1" t="str">
        <f>IF(ESTIMATIVA[[#This Row],[QT_AREA_REST2]]&gt;0,"Reestimativa 2",IF(ESTIMATIVA[[#This Row],[QT_AREA_REAL]]=0,"Reestimativa 2","Realizado"))</f>
        <v>Realizado</v>
      </c>
      <c r="X724" s="1">
        <f>ESTIMATIVA[[#This Row],[QT_AREA_EST]]</f>
        <v>26.19</v>
      </c>
      <c r="Y724" s="1">
        <f>IF(ESTIMATIVA[[#This Row],[QT_AREA_REST1]]&gt;0,ESTIMATIVA[[#This Row],[QT_AREA_REST1]],
  IF(ESTIMATIVA[[#This Row],[QT_AREA_REAL]]&gt;0,ESTIMATIVA[[#This Row],[QT_AREA_REAL]],ESTIMATIVA[[#This Row],[QT_AREA_EST]]))</f>
        <v>26.19</v>
      </c>
      <c r="Z72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26.19</v>
      </c>
      <c r="AA724" s="1">
        <f>ESTIMATIVA[[#This Row],[QT_CANA_EST]]</f>
        <v>1938.06</v>
      </c>
      <c r="AB724" s="1">
        <f>IF(ESTIMATIVA[[#This Row],[QT_CANA_REST1]]&gt;0,ESTIMATIVA[[#This Row],[QT_CANA_REST1]],
  IF(ESTIMATIVA[[#This Row],[QT_CANA_REAL]]&gt;0,ESTIMATIVA[[#This Row],[QT_CANA_REAL]],ESTIMATIVA[[#This Row],[QT_CANA_EST]]))</f>
        <v>1935.87</v>
      </c>
      <c r="AC72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1935.87</v>
      </c>
      <c r="AD724" s="1">
        <f>IF(ESTIMATIVA[[#This Row],[QT_AREA_REAL]]&gt;0,ESTIMATIVA[[#This Row],[QT_CANA_REAL]],ESTIMATIVA[[#This Row],[QT_CANA_EST]])</f>
        <v>1935.87</v>
      </c>
      <c r="AE724" s="1">
        <f>IF(ESTIMATIVA[[#This Row],[QT_AREA_REAL]]&gt;0,ESTIMATIVA[[#This Row],[QT_CANA_REAL]],ESTIMATIVA[[#This Row],[QT_CANA_REST1]])</f>
        <v>1935.87</v>
      </c>
      <c r="AF724" s="1">
        <f>IF(ESTIMATIVA[[#This Row],[QT_AREA_REAL]]&gt;0,ESTIMATIVA[[#This Row],[QT_CANA_REAL]],ESTIMATIVA[[#This Row],[QT_CANA_REST2]])</f>
        <v>1935.87</v>
      </c>
      <c r="AG724" s="1" t="str">
        <f>IF(COUNTIFS(GEADA!A:A,VALUE(ESTIMATIVA[[#This Row],[CD_UPNIVEL1]]&amp;TEXT(ESTIMATIVA[[#This Row],[CD_UPNIVEL3]],"0000")))&gt;0,"S","N")</f>
        <v>N</v>
      </c>
      <c r="AH72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24" s="55" t="str">
        <f>IF(ESTIMATIVA[[#This Row],[TP_CULTIVO]]="Irrigado",_xlfn.MAXIFS(IRRIGADO!J:J,IRRIGADO!C:C,ESTIMATIVA[[#This Row],[CD_UPNIVEL1]],IRRIGADO!E:E,ESTIMATIVA[[#This Row],[CD_UPNIVEL3]]),"")</f>
        <v/>
      </c>
      <c r="AJ72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24" s="1">
        <f>COUNTIFS(Apresentação!$E$23:$E$29,ESTIMATIVA[[#This Row],[CD_UPNIVEL1]])</f>
        <v>0</v>
      </c>
    </row>
    <row r="725" spans="1:37" x14ac:dyDescent="0.3">
      <c r="A725">
        <v>20408</v>
      </c>
      <c r="B725" t="s">
        <v>43</v>
      </c>
      <c r="C725">
        <v>8</v>
      </c>
      <c r="D725">
        <v>4</v>
      </c>
      <c r="E725" t="s">
        <v>265</v>
      </c>
      <c r="F725" s="85" t="s">
        <v>331</v>
      </c>
      <c r="G725"/>
      <c r="H725" t="s">
        <v>295</v>
      </c>
      <c r="I725" t="s">
        <v>204</v>
      </c>
      <c r="J725" t="s">
        <v>176</v>
      </c>
      <c r="K725" s="1">
        <v>11.49</v>
      </c>
      <c r="L725" s="1">
        <v>0</v>
      </c>
      <c r="M725" s="1">
        <v>0</v>
      </c>
      <c r="N725" s="1">
        <v>11.49</v>
      </c>
      <c r="O725" s="1">
        <v>850.26</v>
      </c>
      <c r="P725" s="1">
        <v>0</v>
      </c>
      <c r="Q725" s="1">
        <v>0</v>
      </c>
      <c r="R725" s="1">
        <v>848.83</v>
      </c>
      <c r="S725" t="s">
        <v>12</v>
      </c>
      <c r="T725" s="13">
        <v>45753</v>
      </c>
      <c r="U725" s="1" t="str">
        <f>IF(ESTIMATIVA[[#This Row],[QT_AREA_REAL]]&gt;0,"1- Colhido","2- à Colher")</f>
        <v>1- Colhido</v>
      </c>
      <c r="V725" s="1" t="str">
        <f>IF(ESTIMATIVA[[#This Row],[QT_AREA_REST1]]&gt;0,"Reestimativa 1",IF(ESTIMATIVA[[#This Row],[QT_AREA_REAL]]=0,"Reestimativa 1","Realizado"))</f>
        <v>Realizado</v>
      </c>
      <c r="W725" s="1" t="str">
        <f>IF(ESTIMATIVA[[#This Row],[QT_AREA_REST2]]&gt;0,"Reestimativa 2",IF(ESTIMATIVA[[#This Row],[QT_AREA_REAL]]=0,"Reestimativa 2","Realizado"))</f>
        <v>Realizado</v>
      </c>
      <c r="X725" s="1">
        <f>ESTIMATIVA[[#This Row],[QT_AREA_EST]]</f>
        <v>11.49</v>
      </c>
      <c r="Y725" s="1">
        <f>IF(ESTIMATIVA[[#This Row],[QT_AREA_REST1]]&gt;0,ESTIMATIVA[[#This Row],[QT_AREA_REST1]],
  IF(ESTIMATIVA[[#This Row],[QT_AREA_REAL]]&gt;0,ESTIMATIVA[[#This Row],[QT_AREA_REAL]],ESTIMATIVA[[#This Row],[QT_AREA_EST]]))</f>
        <v>11.49</v>
      </c>
      <c r="Z72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11.49</v>
      </c>
      <c r="AA725" s="1">
        <f>ESTIMATIVA[[#This Row],[QT_CANA_EST]]</f>
        <v>850.26</v>
      </c>
      <c r="AB725" s="1">
        <f>IF(ESTIMATIVA[[#This Row],[QT_CANA_REST1]]&gt;0,ESTIMATIVA[[#This Row],[QT_CANA_REST1]],
  IF(ESTIMATIVA[[#This Row],[QT_CANA_REAL]]&gt;0,ESTIMATIVA[[#This Row],[QT_CANA_REAL]],ESTIMATIVA[[#This Row],[QT_CANA_EST]]))</f>
        <v>848.83</v>
      </c>
      <c r="AC72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848.83</v>
      </c>
      <c r="AD725" s="1">
        <f>IF(ESTIMATIVA[[#This Row],[QT_AREA_REAL]]&gt;0,ESTIMATIVA[[#This Row],[QT_CANA_REAL]],ESTIMATIVA[[#This Row],[QT_CANA_EST]])</f>
        <v>848.83</v>
      </c>
      <c r="AE725" s="1">
        <f>IF(ESTIMATIVA[[#This Row],[QT_AREA_REAL]]&gt;0,ESTIMATIVA[[#This Row],[QT_CANA_REAL]],ESTIMATIVA[[#This Row],[QT_CANA_REST1]])</f>
        <v>848.83</v>
      </c>
      <c r="AF725" s="1">
        <f>IF(ESTIMATIVA[[#This Row],[QT_AREA_REAL]]&gt;0,ESTIMATIVA[[#This Row],[QT_CANA_REAL]],ESTIMATIVA[[#This Row],[QT_CANA_REST2]])</f>
        <v>848.83</v>
      </c>
      <c r="AG725" s="1" t="str">
        <f>IF(COUNTIFS(GEADA!A:A,VALUE(ESTIMATIVA[[#This Row],[CD_UPNIVEL1]]&amp;TEXT(ESTIMATIVA[[#This Row],[CD_UPNIVEL3]],"0000")))&gt;0,"S","N")</f>
        <v>N</v>
      </c>
      <c r="AH72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25" s="55" t="str">
        <f>IF(ESTIMATIVA[[#This Row],[TP_CULTIVO]]="Irrigado",_xlfn.MAXIFS(IRRIGADO!J:J,IRRIGADO!C:C,ESTIMATIVA[[#This Row],[CD_UPNIVEL1]],IRRIGADO!E:E,ESTIMATIVA[[#This Row],[CD_UPNIVEL3]]),"")</f>
        <v/>
      </c>
      <c r="AJ72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25" s="1">
        <f>COUNTIFS(Apresentação!$E$23:$E$29,ESTIMATIVA[[#This Row],[CD_UPNIVEL1]])</f>
        <v>0</v>
      </c>
    </row>
    <row r="726" spans="1:37" x14ac:dyDescent="0.3">
      <c r="A726">
        <v>20408</v>
      </c>
      <c r="B726" t="s">
        <v>43</v>
      </c>
      <c r="C726">
        <v>9</v>
      </c>
      <c r="D726">
        <v>4</v>
      </c>
      <c r="E726" t="s">
        <v>265</v>
      </c>
      <c r="F726" s="85" t="s">
        <v>331</v>
      </c>
      <c r="G726"/>
      <c r="H726" t="s">
        <v>295</v>
      </c>
      <c r="I726" t="s">
        <v>204</v>
      </c>
      <c r="J726" t="s">
        <v>176</v>
      </c>
      <c r="K726" s="1">
        <v>43.31</v>
      </c>
      <c r="L726" s="1">
        <v>0</v>
      </c>
      <c r="M726" s="1">
        <v>0</v>
      </c>
      <c r="N726" s="1">
        <v>43.31</v>
      </c>
      <c r="O726" s="1">
        <v>3204.94</v>
      </c>
      <c r="P726" s="1">
        <v>0</v>
      </c>
      <c r="Q726" s="1">
        <v>0</v>
      </c>
      <c r="R726" s="1">
        <v>3201.72</v>
      </c>
      <c r="S726" t="s">
        <v>12</v>
      </c>
      <c r="T726" s="13">
        <v>45753</v>
      </c>
      <c r="U726" s="1" t="str">
        <f>IF(ESTIMATIVA[[#This Row],[QT_AREA_REAL]]&gt;0,"1- Colhido","2- à Colher")</f>
        <v>1- Colhido</v>
      </c>
      <c r="V726" s="1" t="str">
        <f>IF(ESTIMATIVA[[#This Row],[QT_AREA_REST1]]&gt;0,"Reestimativa 1",IF(ESTIMATIVA[[#This Row],[QT_AREA_REAL]]=0,"Reestimativa 1","Realizado"))</f>
        <v>Realizado</v>
      </c>
      <c r="W726" s="1" t="str">
        <f>IF(ESTIMATIVA[[#This Row],[QT_AREA_REST2]]&gt;0,"Reestimativa 2",IF(ESTIMATIVA[[#This Row],[QT_AREA_REAL]]=0,"Reestimativa 2","Realizado"))</f>
        <v>Realizado</v>
      </c>
      <c r="X726" s="1">
        <f>ESTIMATIVA[[#This Row],[QT_AREA_EST]]</f>
        <v>43.31</v>
      </c>
      <c r="Y726" s="1">
        <f>IF(ESTIMATIVA[[#This Row],[QT_AREA_REST1]]&gt;0,ESTIMATIVA[[#This Row],[QT_AREA_REST1]],
  IF(ESTIMATIVA[[#This Row],[QT_AREA_REAL]]&gt;0,ESTIMATIVA[[#This Row],[QT_AREA_REAL]],ESTIMATIVA[[#This Row],[QT_AREA_EST]]))</f>
        <v>43.31</v>
      </c>
      <c r="Z72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43.31</v>
      </c>
      <c r="AA726" s="1">
        <f>ESTIMATIVA[[#This Row],[QT_CANA_EST]]</f>
        <v>3204.94</v>
      </c>
      <c r="AB726" s="1">
        <f>IF(ESTIMATIVA[[#This Row],[QT_CANA_REST1]]&gt;0,ESTIMATIVA[[#This Row],[QT_CANA_REST1]],
  IF(ESTIMATIVA[[#This Row],[QT_CANA_REAL]]&gt;0,ESTIMATIVA[[#This Row],[QT_CANA_REAL]],ESTIMATIVA[[#This Row],[QT_CANA_EST]]))</f>
        <v>3201.72</v>
      </c>
      <c r="AC72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3201.72</v>
      </c>
      <c r="AD726" s="1">
        <f>IF(ESTIMATIVA[[#This Row],[QT_AREA_REAL]]&gt;0,ESTIMATIVA[[#This Row],[QT_CANA_REAL]],ESTIMATIVA[[#This Row],[QT_CANA_EST]])</f>
        <v>3201.72</v>
      </c>
      <c r="AE726" s="1">
        <f>IF(ESTIMATIVA[[#This Row],[QT_AREA_REAL]]&gt;0,ESTIMATIVA[[#This Row],[QT_CANA_REAL]],ESTIMATIVA[[#This Row],[QT_CANA_REST1]])</f>
        <v>3201.72</v>
      </c>
      <c r="AF726" s="1">
        <f>IF(ESTIMATIVA[[#This Row],[QT_AREA_REAL]]&gt;0,ESTIMATIVA[[#This Row],[QT_CANA_REAL]],ESTIMATIVA[[#This Row],[QT_CANA_REST2]])</f>
        <v>3201.72</v>
      </c>
      <c r="AG726" s="1" t="str">
        <f>IF(COUNTIFS(GEADA!A:A,VALUE(ESTIMATIVA[[#This Row],[CD_UPNIVEL1]]&amp;TEXT(ESTIMATIVA[[#This Row],[CD_UPNIVEL3]],"0000")))&gt;0,"S","N")</f>
        <v>N</v>
      </c>
      <c r="AH72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26" s="55" t="str">
        <f>IF(ESTIMATIVA[[#This Row],[TP_CULTIVO]]="Irrigado",_xlfn.MAXIFS(IRRIGADO!J:J,IRRIGADO!C:C,ESTIMATIVA[[#This Row],[CD_UPNIVEL1]],IRRIGADO!E:E,ESTIMATIVA[[#This Row],[CD_UPNIVEL3]]),"")</f>
        <v/>
      </c>
      <c r="AJ72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26" s="1">
        <f>COUNTIFS(Apresentação!$E$23:$E$29,ESTIMATIVA[[#This Row],[CD_UPNIVEL1]])</f>
        <v>0</v>
      </c>
    </row>
    <row r="727" spans="1:37" x14ac:dyDescent="0.3">
      <c r="A727">
        <v>20408</v>
      </c>
      <c r="B727" t="s">
        <v>43</v>
      </c>
      <c r="C727">
        <v>10</v>
      </c>
      <c r="D727">
        <v>4</v>
      </c>
      <c r="E727" t="s">
        <v>265</v>
      </c>
      <c r="F727" s="85" t="s">
        <v>331</v>
      </c>
      <c r="G727"/>
      <c r="H727" t="s">
        <v>295</v>
      </c>
      <c r="I727" t="s">
        <v>204</v>
      </c>
      <c r="J727" t="s">
        <v>176</v>
      </c>
      <c r="K727" s="1">
        <v>23.05</v>
      </c>
      <c r="L727" s="1">
        <v>0</v>
      </c>
      <c r="M727" s="1">
        <v>0</v>
      </c>
      <c r="N727" s="1">
        <v>23.05</v>
      </c>
      <c r="O727" s="1">
        <v>1705.7</v>
      </c>
      <c r="P727" s="1">
        <v>0</v>
      </c>
      <c r="Q727" s="1">
        <v>0</v>
      </c>
      <c r="R727" s="1">
        <v>1705.96</v>
      </c>
      <c r="S727" t="s">
        <v>12</v>
      </c>
      <c r="T727" s="13">
        <v>45753</v>
      </c>
      <c r="U727" s="1" t="str">
        <f>IF(ESTIMATIVA[[#This Row],[QT_AREA_REAL]]&gt;0,"1- Colhido","2- à Colher")</f>
        <v>1- Colhido</v>
      </c>
      <c r="V727" s="1" t="str">
        <f>IF(ESTIMATIVA[[#This Row],[QT_AREA_REST1]]&gt;0,"Reestimativa 1",IF(ESTIMATIVA[[#This Row],[QT_AREA_REAL]]=0,"Reestimativa 1","Realizado"))</f>
        <v>Realizado</v>
      </c>
      <c r="W727" s="1" t="str">
        <f>IF(ESTIMATIVA[[#This Row],[QT_AREA_REST2]]&gt;0,"Reestimativa 2",IF(ESTIMATIVA[[#This Row],[QT_AREA_REAL]]=0,"Reestimativa 2","Realizado"))</f>
        <v>Realizado</v>
      </c>
      <c r="X727" s="1">
        <f>ESTIMATIVA[[#This Row],[QT_AREA_EST]]</f>
        <v>23.05</v>
      </c>
      <c r="Y727" s="1">
        <f>IF(ESTIMATIVA[[#This Row],[QT_AREA_REST1]]&gt;0,ESTIMATIVA[[#This Row],[QT_AREA_REST1]],
  IF(ESTIMATIVA[[#This Row],[QT_AREA_REAL]]&gt;0,ESTIMATIVA[[#This Row],[QT_AREA_REAL]],ESTIMATIVA[[#This Row],[QT_AREA_EST]]))</f>
        <v>23.05</v>
      </c>
      <c r="Z72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23.05</v>
      </c>
      <c r="AA727" s="1">
        <f>ESTIMATIVA[[#This Row],[QT_CANA_EST]]</f>
        <v>1705.7</v>
      </c>
      <c r="AB727" s="1">
        <f>IF(ESTIMATIVA[[#This Row],[QT_CANA_REST1]]&gt;0,ESTIMATIVA[[#This Row],[QT_CANA_REST1]],
  IF(ESTIMATIVA[[#This Row],[QT_CANA_REAL]]&gt;0,ESTIMATIVA[[#This Row],[QT_CANA_REAL]],ESTIMATIVA[[#This Row],[QT_CANA_EST]]))</f>
        <v>1705.96</v>
      </c>
      <c r="AC72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1705.96</v>
      </c>
      <c r="AD727" s="1">
        <f>IF(ESTIMATIVA[[#This Row],[QT_AREA_REAL]]&gt;0,ESTIMATIVA[[#This Row],[QT_CANA_REAL]],ESTIMATIVA[[#This Row],[QT_CANA_EST]])</f>
        <v>1705.96</v>
      </c>
      <c r="AE727" s="1">
        <f>IF(ESTIMATIVA[[#This Row],[QT_AREA_REAL]]&gt;0,ESTIMATIVA[[#This Row],[QT_CANA_REAL]],ESTIMATIVA[[#This Row],[QT_CANA_REST1]])</f>
        <v>1705.96</v>
      </c>
      <c r="AF727" s="1">
        <f>IF(ESTIMATIVA[[#This Row],[QT_AREA_REAL]]&gt;0,ESTIMATIVA[[#This Row],[QT_CANA_REAL]],ESTIMATIVA[[#This Row],[QT_CANA_REST2]])</f>
        <v>1705.96</v>
      </c>
      <c r="AG727" s="1" t="str">
        <f>IF(COUNTIFS(GEADA!A:A,VALUE(ESTIMATIVA[[#This Row],[CD_UPNIVEL1]]&amp;TEXT(ESTIMATIVA[[#This Row],[CD_UPNIVEL3]],"0000")))&gt;0,"S","N")</f>
        <v>N</v>
      </c>
      <c r="AH72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27" s="55" t="str">
        <f>IF(ESTIMATIVA[[#This Row],[TP_CULTIVO]]="Irrigado",_xlfn.MAXIFS(IRRIGADO!J:J,IRRIGADO!C:C,ESTIMATIVA[[#This Row],[CD_UPNIVEL1]],IRRIGADO!E:E,ESTIMATIVA[[#This Row],[CD_UPNIVEL3]]),"")</f>
        <v/>
      </c>
      <c r="AJ72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27" s="1">
        <f>COUNTIFS(Apresentação!$E$23:$E$29,ESTIMATIVA[[#This Row],[CD_UPNIVEL1]])</f>
        <v>0</v>
      </c>
    </row>
    <row r="728" spans="1:37" x14ac:dyDescent="0.3">
      <c r="A728">
        <v>20408</v>
      </c>
      <c r="B728" t="s">
        <v>43</v>
      </c>
      <c r="C728">
        <v>11</v>
      </c>
      <c r="D728">
        <v>4</v>
      </c>
      <c r="E728" t="s">
        <v>265</v>
      </c>
      <c r="F728" s="85" t="s">
        <v>331</v>
      </c>
      <c r="G728"/>
      <c r="H728" t="s">
        <v>295</v>
      </c>
      <c r="I728" t="s">
        <v>204</v>
      </c>
      <c r="J728" t="s">
        <v>176</v>
      </c>
      <c r="K728" s="1">
        <v>5.99</v>
      </c>
      <c r="L728" s="1">
        <v>0</v>
      </c>
      <c r="M728" s="1">
        <v>0</v>
      </c>
      <c r="N728" s="1">
        <v>5.99</v>
      </c>
      <c r="O728" s="1">
        <v>443.26</v>
      </c>
      <c r="P728" s="1">
        <v>0</v>
      </c>
      <c r="Q728" s="1">
        <v>0</v>
      </c>
      <c r="R728" s="1">
        <v>332.68</v>
      </c>
      <c r="S728" t="s">
        <v>12</v>
      </c>
      <c r="T728" s="13">
        <v>45760</v>
      </c>
      <c r="U728" s="1" t="str">
        <f>IF(ESTIMATIVA[[#This Row],[QT_AREA_REAL]]&gt;0,"1- Colhido","2- à Colher")</f>
        <v>1- Colhido</v>
      </c>
      <c r="V728" s="1" t="str">
        <f>IF(ESTIMATIVA[[#This Row],[QT_AREA_REST1]]&gt;0,"Reestimativa 1",IF(ESTIMATIVA[[#This Row],[QT_AREA_REAL]]=0,"Reestimativa 1","Realizado"))</f>
        <v>Realizado</v>
      </c>
      <c r="W728" s="1" t="str">
        <f>IF(ESTIMATIVA[[#This Row],[QT_AREA_REST2]]&gt;0,"Reestimativa 2",IF(ESTIMATIVA[[#This Row],[QT_AREA_REAL]]=0,"Reestimativa 2","Realizado"))</f>
        <v>Realizado</v>
      </c>
      <c r="X728" s="1">
        <f>ESTIMATIVA[[#This Row],[QT_AREA_EST]]</f>
        <v>5.99</v>
      </c>
      <c r="Y728" s="1">
        <f>IF(ESTIMATIVA[[#This Row],[QT_AREA_REST1]]&gt;0,ESTIMATIVA[[#This Row],[QT_AREA_REST1]],
  IF(ESTIMATIVA[[#This Row],[QT_AREA_REAL]]&gt;0,ESTIMATIVA[[#This Row],[QT_AREA_REAL]],ESTIMATIVA[[#This Row],[QT_AREA_EST]]))</f>
        <v>5.99</v>
      </c>
      <c r="Z72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5.99</v>
      </c>
      <c r="AA728" s="1">
        <f>ESTIMATIVA[[#This Row],[QT_CANA_EST]]</f>
        <v>443.26</v>
      </c>
      <c r="AB728" s="1">
        <f>IF(ESTIMATIVA[[#This Row],[QT_CANA_REST1]]&gt;0,ESTIMATIVA[[#This Row],[QT_CANA_REST1]],
  IF(ESTIMATIVA[[#This Row],[QT_CANA_REAL]]&gt;0,ESTIMATIVA[[#This Row],[QT_CANA_REAL]],ESTIMATIVA[[#This Row],[QT_CANA_EST]]))</f>
        <v>332.68</v>
      </c>
      <c r="AC72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332.68</v>
      </c>
      <c r="AD728" s="1">
        <f>IF(ESTIMATIVA[[#This Row],[QT_AREA_REAL]]&gt;0,ESTIMATIVA[[#This Row],[QT_CANA_REAL]],ESTIMATIVA[[#This Row],[QT_CANA_EST]])</f>
        <v>332.68</v>
      </c>
      <c r="AE728" s="1">
        <f>IF(ESTIMATIVA[[#This Row],[QT_AREA_REAL]]&gt;0,ESTIMATIVA[[#This Row],[QT_CANA_REAL]],ESTIMATIVA[[#This Row],[QT_CANA_REST1]])</f>
        <v>332.68</v>
      </c>
      <c r="AF728" s="1">
        <f>IF(ESTIMATIVA[[#This Row],[QT_AREA_REAL]]&gt;0,ESTIMATIVA[[#This Row],[QT_CANA_REAL]],ESTIMATIVA[[#This Row],[QT_CANA_REST2]])</f>
        <v>332.68</v>
      </c>
      <c r="AG728" s="1" t="str">
        <f>IF(COUNTIFS(GEADA!A:A,VALUE(ESTIMATIVA[[#This Row],[CD_UPNIVEL1]]&amp;TEXT(ESTIMATIVA[[#This Row],[CD_UPNIVEL3]],"0000")))&gt;0,"S","N")</f>
        <v>N</v>
      </c>
      <c r="AH72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28" s="55" t="str">
        <f>IF(ESTIMATIVA[[#This Row],[TP_CULTIVO]]="Irrigado",_xlfn.MAXIFS(IRRIGADO!J:J,IRRIGADO!C:C,ESTIMATIVA[[#This Row],[CD_UPNIVEL1]],IRRIGADO!E:E,ESTIMATIVA[[#This Row],[CD_UPNIVEL3]]),"")</f>
        <v/>
      </c>
      <c r="AJ72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28" s="1">
        <f>COUNTIFS(Apresentação!$E$23:$E$29,ESTIMATIVA[[#This Row],[CD_UPNIVEL1]])</f>
        <v>0</v>
      </c>
    </row>
    <row r="729" spans="1:37" x14ac:dyDescent="0.3">
      <c r="A729">
        <v>20408</v>
      </c>
      <c r="B729" t="s">
        <v>43</v>
      </c>
      <c r="C729">
        <v>12</v>
      </c>
      <c r="D729">
        <v>4</v>
      </c>
      <c r="E729" t="s">
        <v>265</v>
      </c>
      <c r="F729" s="85" t="s">
        <v>331</v>
      </c>
      <c r="G729"/>
      <c r="H729" t="s">
        <v>295</v>
      </c>
      <c r="I729" t="s">
        <v>204</v>
      </c>
      <c r="J729" t="s">
        <v>176</v>
      </c>
      <c r="K729" s="1">
        <v>40.49</v>
      </c>
      <c r="L729" s="1">
        <v>0</v>
      </c>
      <c r="M729" s="1">
        <v>0</v>
      </c>
      <c r="N729" s="1">
        <v>40.49</v>
      </c>
      <c r="O729" s="1">
        <v>3563.12</v>
      </c>
      <c r="P729" s="1">
        <v>0</v>
      </c>
      <c r="Q729" s="1">
        <v>0</v>
      </c>
      <c r="R729" s="1">
        <v>2676.16</v>
      </c>
      <c r="S729" t="s">
        <v>12</v>
      </c>
      <c r="T729" s="13">
        <v>45760</v>
      </c>
      <c r="U729" s="1" t="str">
        <f>IF(ESTIMATIVA[[#This Row],[QT_AREA_REAL]]&gt;0,"1- Colhido","2- à Colher")</f>
        <v>1- Colhido</v>
      </c>
      <c r="V729" s="1" t="str">
        <f>IF(ESTIMATIVA[[#This Row],[QT_AREA_REST1]]&gt;0,"Reestimativa 1",IF(ESTIMATIVA[[#This Row],[QT_AREA_REAL]]=0,"Reestimativa 1","Realizado"))</f>
        <v>Realizado</v>
      </c>
      <c r="W729" s="1" t="str">
        <f>IF(ESTIMATIVA[[#This Row],[QT_AREA_REST2]]&gt;0,"Reestimativa 2",IF(ESTIMATIVA[[#This Row],[QT_AREA_REAL]]=0,"Reestimativa 2","Realizado"))</f>
        <v>Realizado</v>
      </c>
      <c r="X729" s="1">
        <f>ESTIMATIVA[[#This Row],[QT_AREA_EST]]</f>
        <v>40.49</v>
      </c>
      <c r="Y729" s="1">
        <f>IF(ESTIMATIVA[[#This Row],[QT_AREA_REST1]]&gt;0,ESTIMATIVA[[#This Row],[QT_AREA_REST1]],
  IF(ESTIMATIVA[[#This Row],[QT_AREA_REAL]]&gt;0,ESTIMATIVA[[#This Row],[QT_AREA_REAL]],ESTIMATIVA[[#This Row],[QT_AREA_EST]]))</f>
        <v>40.49</v>
      </c>
      <c r="Z72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40.49</v>
      </c>
      <c r="AA729" s="1">
        <f>ESTIMATIVA[[#This Row],[QT_CANA_EST]]</f>
        <v>3563.12</v>
      </c>
      <c r="AB729" s="1">
        <f>IF(ESTIMATIVA[[#This Row],[QT_CANA_REST1]]&gt;0,ESTIMATIVA[[#This Row],[QT_CANA_REST1]],
  IF(ESTIMATIVA[[#This Row],[QT_CANA_REAL]]&gt;0,ESTIMATIVA[[#This Row],[QT_CANA_REAL]],ESTIMATIVA[[#This Row],[QT_CANA_EST]]))</f>
        <v>2676.16</v>
      </c>
      <c r="AC72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2676.16</v>
      </c>
      <c r="AD729" s="1">
        <f>IF(ESTIMATIVA[[#This Row],[QT_AREA_REAL]]&gt;0,ESTIMATIVA[[#This Row],[QT_CANA_REAL]],ESTIMATIVA[[#This Row],[QT_CANA_EST]])</f>
        <v>2676.16</v>
      </c>
      <c r="AE729" s="1">
        <f>IF(ESTIMATIVA[[#This Row],[QT_AREA_REAL]]&gt;0,ESTIMATIVA[[#This Row],[QT_CANA_REAL]],ESTIMATIVA[[#This Row],[QT_CANA_REST1]])</f>
        <v>2676.16</v>
      </c>
      <c r="AF729" s="1">
        <f>IF(ESTIMATIVA[[#This Row],[QT_AREA_REAL]]&gt;0,ESTIMATIVA[[#This Row],[QT_CANA_REAL]],ESTIMATIVA[[#This Row],[QT_CANA_REST2]])</f>
        <v>2676.16</v>
      </c>
      <c r="AG729" s="1" t="str">
        <f>IF(COUNTIFS(GEADA!A:A,VALUE(ESTIMATIVA[[#This Row],[CD_UPNIVEL1]]&amp;TEXT(ESTIMATIVA[[#This Row],[CD_UPNIVEL3]],"0000")))&gt;0,"S","N")</f>
        <v>N</v>
      </c>
      <c r="AH72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29" s="55" t="str">
        <f>IF(ESTIMATIVA[[#This Row],[TP_CULTIVO]]="Irrigado",_xlfn.MAXIFS(IRRIGADO!J:J,IRRIGADO!C:C,ESTIMATIVA[[#This Row],[CD_UPNIVEL1]],IRRIGADO!E:E,ESTIMATIVA[[#This Row],[CD_UPNIVEL3]]),"")</f>
        <v/>
      </c>
      <c r="AJ72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29" s="1">
        <f>COUNTIFS(Apresentação!$E$23:$E$29,ESTIMATIVA[[#This Row],[CD_UPNIVEL1]])</f>
        <v>0</v>
      </c>
    </row>
    <row r="730" spans="1:37" x14ac:dyDescent="0.3">
      <c r="A730">
        <v>20408</v>
      </c>
      <c r="B730" t="s">
        <v>43</v>
      </c>
      <c r="C730">
        <v>13</v>
      </c>
      <c r="D730">
        <v>4</v>
      </c>
      <c r="E730" t="s">
        <v>265</v>
      </c>
      <c r="F730" s="85" t="s">
        <v>331</v>
      </c>
      <c r="G730"/>
      <c r="H730" t="s">
        <v>295</v>
      </c>
      <c r="I730" t="s">
        <v>204</v>
      </c>
      <c r="J730" t="s">
        <v>176</v>
      </c>
      <c r="K730" s="1">
        <v>7.39</v>
      </c>
      <c r="L730" s="1">
        <v>0</v>
      </c>
      <c r="M730" s="1">
        <v>0</v>
      </c>
      <c r="N730" s="1">
        <v>7.39</v>
      </c>
      <c r="O730" s="1">
        <v>650.32000000000005</v>
      </c>
      <c r="P730" s="1">
        <v>0</v>
      </c>
      <c r="Q730" s="1">
        <v>0</v>
      </c>
      <c r="R730" s="1">
        <v>488.34</v>
      </c>
      <c r="S730" t="s">
        <v>12</v>
      </c>
      <c r="T730" s="13">
        <v>45760</v>
      </c>
      <c r="U730" s="1" t="str">
        <f>IF(ESTIMATIVA[[#This Row],[QT_AREA_REAL]]&gt;0,"1- Colhido","2- à Colher")</f>
        <v>1- Colhido</v>
      </c>
      <c r="V730" s="1" t="str">
        <f>IF(ESTIMATIVA[[#This Row],[QT_AREA_REST1]]&gt;0,"Reestimativa 1",IF(ESTIMATIVA[[#This Row],[QT_AREA_REAL]]=0,"Reestimativa 1","Realizado"))</f>
        <v>Realizado</v>
      </c>
      <c r="W730" s="1" t="str">
        <f>IF(ESTIMATIVA[[#This Row],[QT_AREA_REST2]]&gt;0,"Reestimativa 2",IF(ESTIMATIVA[[#This Row],[QT_AREA_REAL]]=0,"Reestimativa 2","Realizado"))</f>
        <v>Realizado</v>
      </c>
      <c r="X730" s="1">
        <f>ESTIMATIVA[[#This Row],[QT_AREA_EST]]</f>
        <v>7.39</v>
      </c>
      <c r="Y730" s="1">
        <f>IF(ESTIMATIVA[[#This Row],[QT_AREA_REST1]]&gt;0,ESTIMATIVA[[#This Row],[QT_AREA_REST1]],
  IF(ESTIMATIVA[[#This Row],[QT_AREA_REAL]]&gt;0,ESTIMATIVA[[#This Row],[QT_AREA_REAL]],ESTIMATIVA[[#This Row],[QT_AREA_EST]]))</f>
        <v>7.39</v>
      </c>
      <c r="Z73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7.39</v>
      </c>
      <c r="AA730" s="1">
        <f>ESTIMATIVA[[#This Row],[QT_CANA_EST]]</f>
        <v>650.32000000000005</v>
      </c>
      <c r="AB730" s="1">
        <f>IF(ESTIMATIVA[[#This Row],[QT_CANA_REST1]]&gt;0,ESTIMATIVA[[#This Row],[QT_CANA_REST1]],
  IF(ESTIMATIVA[[#This Row],[QT_CANA_REAL]]&gt;0,ESTIMATIVA[[#This Row],[QT_CANA_REAL]],ESTIMATIVA[[#This Row],[QT_CANA_EST]]))</f>
        <v>488.34</v>
      </c>
      <c r="AC73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488.34</v>
      </c>
      <c r="AD730" s="1">
        <f>IF(ESTIMATIVA[[#This Row],[QT_AREA_REAL]]&gt;0,ESTIMATIVA[[#This Row],[QT_CANA_REAL]],ESTIMATIVA[[#This Row],[QT_CANA_EST]])</f>
        <v>488.34</v>
      </c>
      <c r="AE730" s="1">
        <f>IF(ESTIMATIVA[[#This Row],[QT_AREA_REAL]]&gt;0,ESTIMATIVA[[#This Row],[QT_CANA_REAL]],ESTIMATIVA[[#This Row],[QT_CANA_REST1]])</f>
        <v>488.34</v>
      </c>
      <c r="AF730" s="1">
        <f>IF(ESTIMATIVA[[#This Row],[QT_AREA_REAL]]&gt;0,ESTIMATIVA[[#This Row],[QT_CANA_REAL]],ESTIMATIVA[[#This Row],[QT_CANA_REST2]])</f>
        <v>488.34</v>
      </c>
      <c r="AG730" s="1" t="str">
        <f>IF(COUNTIFS(GEADA!A:A,VALUE(ESTIMATIVA[[#This Row],[CD_UPNIVEL1]]&amp;TEXT(ESTIMATIVA[[#This Row],[CD_UPNIVEL3]],"0000")))&gt;0,"S","N")</f>
        <v>N</v>
      </c>
      <c r="AH73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30" s="55" t="str">
        <f>IF(ESTIMATIVA[[#This Row],[TP_CULTIVO]]="Irrigado",_xlfn.MAXIFS(IRRIGADO!J:J,IRRIGADO!C:C,ESTIMATIVA[[#This Row],[CD_UPNIVEL1]],IRRIGADO!E:E,ESTIMATIVA[[#This Row],[CD_UPNIVEL3]]),"")</f>
        <v/>
      </c>
      <c r="AJ73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30" s="1">
        <f>COUNTIFS(Apresentação!$E$23:$E$29,ESTIMATIVA[[#This Row],[CD_UPNIVEL1]])</f>
        <v>0</v>
      </c>
    </row>
    <row r="731" spans="1:37" x14ac:dyDescent="0.3">
      <c r="A731">
        <v>20408</v>
      </c>
      <c r="B731" t="s">
        <v>43</v>
      </c>
      <c r="C731">
        <v>15</v>
      </c>
      <c r="D731">
        <v>1</v>
      </c>
      <c r="E731" t="s">
        <v>267</v>
      </c>
      <c r="F731" s="85" t="s">
        <v>331</v>
      </c>
      <c r="G731"/>
      <c r="H731" t="s">
        <v>295</v>
      </c>
      <c r="I731" t="s">
        <v>211</v>
      </c>
      <c r="J731" t="s">
        <v>176</v>
      </c>
      <c r="K731" s="1">
        <v>43.75</v>
      </c>
      <c r="L731" s="1">
        <v>0</v>
      </c>
      <c r="M731" s="1">
        <v>0</v>
      </c>
      <c r="N731" s="1">
        <v>43.75</v>
      </c>
      <c r="O731" s="1">
        <v>4243.75</v>
      </c>
      <c r="P731" s="1">
        <v>0</v>
      </c>
      <c r="Q731" s="1">
        <v>0</v>
      </c>
      <c r="R731" s="1">
        <v>4851.87</v>
      </c>
      <c r="S731" t="s">
        <v>12</v>
      </c>
      <c r="T731" s="13">
        <v>45823</v>
      </c>
      <c r="U731" s="1" t="str">
        <f>IF(ESTIMATIVA[[#This Row],[QT_AREA_REAL]]&gt;0,"1- Colhido","2- à Colher")</f>
        <v>1- Colhido</v>
      </c>
      <c r="V731" s="1" t="str">
        <f>IF(ESTIMATIVA[[#This Row],[QT_AREA_REST1]]&gt;0,"Reestimativa 1",IF(ESTIMATIVA[[#This Row],[QT_AREA_REAL]]=0,"Reestimativa 1","Realizado"))</f>
        <v>Realizado</v>
      </c>
      <c r="W731" s="1" t="str">
        <f>IF(ESTIMATIVA[[#This Row],[QT_AREA_REST2]]&gt;0,"Reestimativa 2",IF(ESTIMATIVA[[#This Row],[QT_AREA_REAL]]=0,"Reestimativa 2","Realizado"))</f>
        <v>Realizado</v>
      </c>
      <c r="X731" s="1">
        <f>ESTIMATIVA[[#This Row],[QT_AREA_EST]]</f>
        <v>43.75</v>
      </c>
      <c r="Y731" s="1">
        <f>IF(ESTIMATIVA[[#This Row],[QT_AREA_REST1]]&gt;0,ESTIMATIVA[[#This Row],[QT_AREA_REST1]],
  IF(ESTIMATIVA[[#This Row],[QT_AREA_REAL]]&gt;0,ESTIMATIVA[[#This Row],[QT_AREA_REAL]],ESTIMATIVA[[#This Row],[QT_AREA_EST]]))</f>
        <v>43.75</v>
      </c>
      <c r="Z73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43.75</v>
      </c>
      <c r="AA731" s="1">
        <f>ESTIMATIVA[[#This Row],[QT_CANA_EST]]</f>
        <v>4243.75</v>
      </c>
      <c r="AB731" s="1">
        <f>IF(ESTIMATIVA[[#This Row],[QT_CANA_REST1]]&gt;0,ESTIMATIVA[[#This Row],[QT_CANA_REST1]],
  IF(ESTIMATIVA[[#This Row],[QT_CANA_REAL]]&gt;0,ESTIMATIVA[[#This Row],[QT_CANA_REAL]],ESTIMATIVA[[#This Row],[QT_CANA_EST]]))</f>
        <v>4851.87</v>
      </c>
      <c r="AC73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4851.87</v>
      </c>
      <c r="AD731" s="1">
        <f>IF(ESTIMATIVA[[#This Row],[QT_AREA_REAL]]&gt;0,ESTIMATIVA[[#This Row],[QT_CANA_REAL]],ESTIMATIVA[[#This Row],[QT_CANA_EST]])</f>
        <v>4851.87</v>
      </c>
      <c r="AE731" s="1">
        <f>IF(ESTIMATIVA[[#This Row],[QT_AREA_REAL]]&gt;0,ESTIMATIVA[[#This Row],[QT_CANA_REAL]],ESTIMATIVA[[#This Row],[QT_CANA_REST1]])</f>
        <v>4851.87</v>
      </c>
      <c r="AF731" s="1">
        <f>IF(ESTIMATIVA[[#This Row],[QT_AREA_REAL]]&gt;0,ESTIMATIVA[[#This Row],[QT_CANA_REAL]],ESTIMATIVA[[#This Row],[QT_CANA_REST2]])</f>
        <v>4851.87</v>
      </c>
      <c r="AG731" s="1" t="str">
        <f>IF(COUNTIFS(GEADA!A:A,VALUE(ESTIMATIVA[[#This Row],[CD_UPNIVEL1]]&amp;TEXT(ESTIMATIVA[[#This Row],[CD_UPNIVEL3]],"0000")))&gt;0,"S","N")</f>
        <v>N</v>
      </c>
      <c r="AH73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31" s="55" t="str">
        <f>IF(ESTIMATIVA[[#This Row],[TP_CULTIVO]]="Irrigado",_xlfn.MAXIFS(IRRIGADO!J:J,IRRIGADO!C:C,ESTIMATIVA[[#This Row],[CD_UPNIVEL1]],IRRIGADO!E:E,ESTIMATIVA[[#This Row],[CD_UPNIVEL3]]),"")</f>
        <v/>
      </c>
      <c r="AJ73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31" s="1">
        <f>COUNTIFS(Apresentação!$E$23:$E$29,ESTIMATIVA[[#This Row],[CD_UPNIVEL1]])</f>
        <v>0</v>
      </c>
    </row>
    <row r="732" spans="1:37" x14ac:dyDescent="0.3">
      <c r="A732">
        <v>20408</v>
      </c>
      <c r="B732" t="s">
        <v>43</v>
      </c>
      <c r="C732">
        <v>16</v>
      </c>
      <c r="D732">
        <v>1</v>
      </c>
      <c r="E732" t="s">
        <v>267</v>
      </c>
      <c r="F732" s="85" t="s">
        <v>331</v>
      </c>
      <c r="G732"/>
      <c r="H732" t="s">
        <v>295</v>
      </c>
      <c r="I732" t="s">
        <v>211</v>
      </c>
      <c r="J732" t="s">
        <v>176</v>
      </c>
      <c r="K732" s="1">
        <v>42.7</v>
      </c>
      <c r="L732" s="1">
        <v>0</v>
      </c>
      <c r="M732" s="1">
        <v>0</v>
      </c>
      <c r="N732" s="1">
        <v>42.7</v>
      </c>
      <c r="O732" s="1">
        <v>4141.8999999999996</v>
      </c>
      <c r="P732" s="1">
        <v>0</v>
      </c>
      <c r="Q732" s="1">
        <v>0</v>
      </c>
      <c r="R732" s="1">
        <v>4733.07</v>
      </c>
      <c r="S732" t="s">
        <v>12</v>
      </c>
      <c r="T732" s="13">
        <v>45823</v>
      </c>
      <c r="U732" s="1" t="str">
        <f>IF(ESTIMATIVA[[#This Row],[QT_AREA_REAL]]&gt;0,"1- Colhido","2- à Colher")</f>
        <v>1- Colhido</v>
      </c>
      <c r="V732" s="1" t="str">
        <f>IF(ESTIMATIVA[[#This Row],[QT_AREA_REST1]]&gt;0,"Reestimativa 1",IF(ESTIMATIVA[[#This Row],[QT_AREA_REAL]]=0,"Reestimativa 1","Realizado"))</f>
        <v>Realizado</v>
      </c>
      <c r="W732" s="1" t="str">
        <f>IF(ESTIMATIVA[[#This Row],[QT_AREA_REST2]]&gt;0,"Reestimativa 2",IF(ESTIMATIVA[[#This Row],[QT_AREA_REAL]]=0,"Reestimativa 2","Realizado"))</f>
        <v>Realizado</v>
      </c>
      <c r="X732" s="1">
        <f>ESTIMATIVA[[#This Row],[QT_AREA_EST]]</f>
        <v>42.7</v>
      </c>
      <c r="Y732" s="1">
        <f>IF(ESTIMATIVA[[#This Row],[QT_AREA_REST1]]&gt;0,ESTIMATIVA[[#This Row],[QT_AREA_REST1]],
  IF(ESTIMATIVA[[#This Row],[QT_AREA_REAL]]&gt;0,ESTIMATIVA[[#This Row],[QT_AREA_REAL]],ESTIMATIVA[[#This Row],[QT_AREA_EST]]))</f>
        <v>42.7</v>
      </c>
      <c r="Z73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42.7</v>
      </c>
      <c r="AA732" s="1">
        <f>ESTIMATIVA[[#This Row],[QT_CANA_EST]]</f>
        <v>4141.8999999999996</v>
      </c>
      <c r="AB732" s="1">
        <f>IF(ESTIMATIVA[[#This Row],[QT_CANA_REST1]]&gt;0,ESTIMATIVA[[#This Row],[QT_CANA_REST1]],
  IF(ESTIMATIVA[[#This Row],[QT_CANA_REAL]]&gt;0,ESTIMATIVA[[#This Row],[QT_CANA_REAL]],ESTIMATIVA[[#This Row],[QT_CANA_EST]]))</f>
        <v>4733.07</v>
      </c>
      <c r="AC73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4733.07</v>
      </c>
      <c r="AD732" s="1">
        <f>IF(ESTIMATIVA[[#This Row],[QT_AREA_REAL]]&gt;0,ESTIMATIVA[[#This Row],[QT_CANA_REAL]],ESTIMATIVA[[#This Row],[QT_CANA_EST]])</f>
        <v>4733.07</v>
      </c>
      <c r="AE732" s="1">
        <f>IF(ESTIMATIVA[[#This Row],[QT_AREA_REAL]]&gt;0,ESTIMATIVA[[#This Row],[QT_CANA_REAL]],ESTIMATIVA[[#This Row],[QT_CANA_REST1]])</f>
        <v>4733.07</v>
      </c>
      <c r="AF732" s="1">
        <f>IF(ESTIMATIVA[[#This Row],[QT_AREA_REAL]]&gt;0,ESTIMATIVA[[#This Row],[QT_CANA_REAL]],ESTIMATIVA[[#This Row],[QT_CANA_REST2]])</f>
        <v>4733.07</v>
      </c>
      <c r="AG732" s="1" t="str">
        <f>IF(COUNTIFS(GEADA!A:A,VALUE(ESTIMATIVA[[#This Row],[CD_UPNIVEL1]]&amp;TEXT(ESTIMATIVA[[#This Row],[CD_UPNIVEL3]],"0000")))&gt;0,"S","N")</f>
        <v>N</v>
      </c>
      <c r="AH73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32" s="55" t="str">
        <f>IF(ESTIMATIVA[[#This Row],[TP_CULTIVO]]="Irrigado",_xlfn.MAXIFS(IRRIGADO!J:J,IRRIGADO!C:C,ESTIMATIVA[[#This Row],[CD_UPNIVEL1]],IRRIGADO!E:E,ESTIMATIVA[[#This Row],[CD_UPNIVEL3]]),"")</f>
        <v/>
      </c>
      <c r="AJ73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32" s="1">
        <f>COUNTIFS(Apresentação!$E$23:$E$29,ESTIMATIVA[[#This Row],[CD_UPNIVEL1]])</f>
        <v>0</v>
      </c>
    </row>
    <row r="733" spans="1:37" x14ac:dyDescent="0.3">
      <c r="A733">
        <v>20408</v>
      </c>
      <c r="B733" t="s">
        <v>43</v>
      </c>
      <c r="C733">
        <v>33</v>
      </c>
      <c r="D733">
        <v>4</v>
      </c>
      <c r="E733" t="s">
        <v>265</v>
      </c>
      <c r="F733" s="85" t="s">
        <v>331</v>
      </c>
      <c r="G733"/>
      <c r="H733" t="s">
        <v>295</v>
      </c>
      <c r="I733" t="s">
        <v>204</v>
      </c>
      <c r="J733" t="s">
        <v>176</v>
      </c>
      <c r="K733" s="1">
        <v>46.81</v>
      </c>
      <c r="L733" s="1">
        <v>0</v>
      </c>
      <c r="M733" s="1">
        <v>0</v>
      </c>
      <c r="N733" s="1">
        <v>46.81</v>
      </c>
      <c r="O733" s="1">
        <v>3276.7</v>
      </c>
      <c r="P733" s="1">
        <v>0</v>
      </c>
      <c r="Q733" s="1">
        <v>0</v>
      </c>
      <c r="R733" s="1">
        <v>3997.77</v>
      </c>
      <c r="S733" t="s">
        <v>12</v>
      </c>
      <c r="T733" s="13">
        <v>45753</v>
      </c>
      <c r="U733" s="1" t="str">
        <f>IF(ESTIMATIVA[[#This Row],[QT_AREA_REAL]]&gt;0,"1- Colhido","2- à Colher")</f>
        <v>1- Colhido</v>
      </c>
      <c r="V733" s="1" t="str">
        <f>IF(ESTIMATIVA[[#This Row],[QT_AREA_REST1]]&gt;0,"Reestimativa 1",IF(ESTIMATIVA[[#This Row],[QT_AREA_REAL]]=0,"Reestimativa 1","Realizado"))</f>
        <v>Realizado</v>
      </c>
      <c r="W733" s="1" t="str">
        <f>IF(ESTIMATIVA[[#This Row],[QT_AREA_REST2]]&gt;0,"Reestimativa 2",IF(ESTIMATIVA[[#This Row],[QT_AREA_REAL]]=0,"Reestimativa 2","Realizado"))</f>
        <v>Realizado</v>
      </c>
      <c r="X733" s="1">
        <f>ESTIMATIVA[[#This Row],[QT_AREA_EST]]</f>
        <v>46.81</v>
      </c>
      <c r="Y733" s="1">
        <f>IF(ESTIMATIVA[[#This Row],[QT_AREA_REST1]]&gt;0,ESTIMATIVA[[#This Row],[QT_AREA_REST1]],
  IF(ESTIMATIVA[[#This Row],[QT_AREA_REAL]]&gt;0,ESTIMATIVA[[#This Row],[QT_AREA_REAL]],ESTIMATIVA[[#This Row],[QT_AREA_EST]]))</f>
        <v>46.81</v>
      </c>
      <c r="Z73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46.81</v>
      </c>
      <c r="AA733" s="1">
        <f>ESTIMATIVA[[#This Row],[QT_CANA_EST]]</f>
        <v>3276.7</v>
      </c>
      <c r="AB733" s="1">
        <f>IF(ESTIMATIVA[[#This Row],[QT_CANA_REST1]]&gt;0,ESTIMATIVA[[#This Row],[QT_CANA_REST1]],
  IF(ESTIMATIVA[[#This Row],[QT_CANA_REAL]]&gt;0,ESTIMATIVA[[#This Row],[QT_CANA_REAL]],ESTIMATIVA[[#This Row],[QT_CANA_EST]]))</f>
        <v>3997.77</v>
      </c>
      <c r="AC73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3997.77</v>
      </c>
      <c r="AD733" s="1">
        <f>IF(ESTIMATIVA[[#This Row],[QT_AREA_REAL]]&gt;0,ESTIMATIVA[[#This Row],[QT_CANA_REAL]],ESTIMATIVA[[#This Row],[QT_CANA_EST]])</f>
        <v>3997.77</v>
      </c>
      <c r="AE733" s="1">
        <f>IF(ESTIMATIVA[[#This Row],[QT_AREA_REAL]]&gt;0,ESTIMATIVA[[#This Row],[QT_CANA_REAL]],ESTIMATIVA[[#This Row],[QT_CANA_REST1]])</f>
        <v>3997.77</v>
      </c>
      <c r="AF733" s="1">
        <f>IF(ESTIMATIVA[[#This Row],[QT_AREA_REAL]]&gt;0,ESTIMATIVA[[#This Row],[QT_CANA_REAL]],ESTIMATIVA[[#This Row],[QT_CANA_REST2]])</f>
        <v>3997.77</v>
      </c>
      <c r="AG733" s="1" t="str">
        <f>IF(COUNTIFS(GEADA!A:A,VALUE(ESTIMATIVA[[#This Row],[CD_UPNIVEL1]]&amp;TEXT(ESTIMATIVA[[#This Row],[CD_UPNIVEL3]],"0000")))&gt;0,"S","N")</f>
        <v>N</v>
      </c>
      <c r="AH73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33" s="55" t="str">
        <f>IF(ESTIMATIVA[[#This Row],[TP_CULTIVO]]="Irrigado",_xlfn.MAXIFS(IRRIGADO!J:J,IRRIGADO!C:C,ESTIMATIVA[[#This Row],[CD_UPNIVEL1]],IRRIGADO!E:E,ESTIMATIVA[[#This Row],[CD_UPNIVEL3]]),"")</f>
        <v/>
      </c>
      <c r="AJ73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33" s="1">
        <f>COUNTIFS(Apresentação!$E$23:$E$29,ESTIMATIVA[[#This Row],[CD_UPNIVEL1]])</f>
        <v>0</v>
      </c>
    </row>
    <row r="734" spans="1:37" x14ac:dyDescent="0.3">
      <c r="A734">
        <v>20408</v>
      </c>
      <c r="B734" t="s">
        <v>43</v>
      </c>
      <c r="C734">
        <v>34</v>
      </c>
      <c r="D734">
        <v>4</v>
      </c>
      <c r="E734" t="s">
        <v>265</v>
      </c>
      <c r="F734" s="85" t="s">
        <v>331</v>
      </c>
      <c r="G734"/>
      <c r="H734" t="s">
        <v>295</v>
      </c>
      <c r="I734" t="s">
        <v>204</v>
      </c>
      <c r="J734" t="s">
        <v>176</v>
      </c>
      <c r="K734" s="1">
        <v>9.2200000000000006</v>
      </c>
      <c r="L734" s="1">
        <v>0</v>
      </c>
      <c r="M734" s="1">
        <v>0</v>
      </c>
      <c r="N734" s="1">
        <v>9.2200000000000006</v>
      </c>
      <c r="O734" s="1">
        <v>645.4</v>
      </c>
      <c r="P734" s="1">
        <v>0</v>
      </c>
      <c r="Q734" s="1">
        <v>0</v>
      </c>
      <c r="R734" s="1">
        <v>786.96</v>
      </c>
      <c r="S734" t="s">
        <v>12</v>
      </c>
      <c r="T734" s="13">
        <v>45753</v>
      </c>
      <c r="U734" s="1" t="str">
        <f>IF(ESTIMATIVA[[#This Row],[QT_AREA_REAL]]&gt;0,"1- Colhido","2- à Colher")</f>
        <v>1- Colhido</v>
      </c>
      <c r="V734" s="1" t="str">
        <f>IF(ESTIMATIVA[[#This Row],[QT_AREA_REST1]]&gt;0,"Reestimativa 1",IF(ESTIMATIVA[[#This Row],[QT_AREA_REAL]]=0,"Reestimativa 1","Realizado"))</f>
        <v>Realizado</v>
      </c>
      <c r="W734" s="1" t="str">
        <f>IF(ESTIMATIVA[[#This Row],[QT_AREA_REST2]]&gt;0,"Reestimativa 2",IF(ESTIMATIVA[[#This Row],[QT_AREA_REAL]]=0,"Reestimativa 2","Realizado"))</f>
        <v>Realizado</v>
      </c>
      <c r="X734" s="1">
        <f>ESTIMATIVA[[#This Row],[QT_AREA_EST]]</f>
        <v>9.2200000000000006</v>
      </c>
      <c r="Y734" s="1">
        <f>IF(ESTIMATIVA[[#This Row],[QT_AREA_REST1]]&gt;0,ESTIMATIVA[[#This Row],[QT_AREA_REST1]],
  IF(ESTIMATIVA[[#This Row],[QT_AREA_REAL]]&gt;0,ESTIMATIVA[[#This Row],[QT_AREA_REAL]],ESTIMATIVA[[#This Row],[QT_AREA_EST]]))</f>
        <v>9.2200000000000006</v>
      </c>
      <c r="Z73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9.2200000000000006</v>
      </c>
      <c r="AA734" s="1">
        <f>ESTIMATIVA[[#This Row],[QT_CANA_EST]]</f>
        <v>645.4</v>
      </c>
      <c r="AB734" s="1">
        <f>IF(ESTIMATIVA[[#This Row],[QT_CANA_REST1]]&gt;0,ESTIMATIVA[[#This Row],[QT_CANA_REST1]],
  IF(ESTIMATIVA[[#This Row],[QT_CANA_REAL]]&gt;0,ESTIMATIVA[[#This Row],[QT_CANA_REAL]],ESTIMATIVA[[#This Row],[QT_CANA_EST]]))</f>
        <v>786.96</v>
      </c>
      <c r="AC73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786.96</v>
      </c>
      <c r="AD734" s="1">
        <f>IF(ESTIMATIVA[[#This Row],[QT_AREA_REAL]]&gt;0,ESTIMATIVA[[#This Row],[QT_CANA_REAL]],ESTIMATIVA[[#This Row],[QT_CANA_EST]])</f>
        <v>786.96</v>
      </c>
      <c r="AE734" s="1">
        <f>IF(ESTIMATIVA[[#This Row],[QT_AREA_REAL]]&gt;0,ESTIMATIVA[[#This Row],[QT_CANA_REAL]],ESTIMATIVA[[#This Row],[QT_CANA_REST1]])</f>
        <v>786.96</v>
      </c>
      <c r="AF734" s="1">
        <f>IF(ESTIMATIVA[[#This Row],[QT_AREA_REAL]]&gt;0,ESTIMATIVA[[#This Row],[QT_CANA_REAL]],ESTIMATIVA[[#This Row],[QT_CANA_REST2]])</f>
        <v>786.96</v>
      </c>
      <c r="AG734" s="1" t="str">
        <f>IF(COUNTIFS(GEADA!A:A,VALUE(ESTIMATIVA[[#This Row],[CD_UPNIVEL1]]&amp;TEXT(ESTIMATIVA[[#This Row],[CD_UPNIVEL3]],"0000")))&gt;0,"S","N")</f>
        <v>N</v>
      </c>
      <c r="AH73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34" s="55" t="str">
        <f>IF(ESTIMATIVA[[#This Row],[TP_CULTIVO]]="Irrigado",_xlfn.MAXIFS(IRRIGADO!J:J,IRRIGADO!C:C,ESTIMATIVA[[#This Row],[CD_UPNIVEL1]],IRRIGADO!E:E,ESTIMATIVA[[#This Row],[CD_UPNIVEL3]]),"")</f>
        <v/>
      </c>
      <c r="AJ73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34" s="1">
        <f>COUNTIFS(Apresentação!$E$23:$E$29,ESTIMATIVA[[#This Row],[CD_UPNIVEL1]])</f>
        <v>0</v>
      </c>
    </row>
    <row r="735" spans="1:37" x14ac:dyDescent="0.3">
      <c r="A735">
        <v>20409</v>
      </c>
      <c r="B735" t="s">
        <v>44</v>
      </c>
      <c r="C735">
        <v>1</v>
      </c>
      <c r="D735">
        <v>1</v>
      </c>
      <c r="E735" t="s">
        <v>264</v>
      </c>
      <c r="F735" s="85" t="s">
        <v>333</v>
      </c>
      <c r="G735"/>
      <c r="H735" t="s">
        <v>294</v>
      </c>
      <c r="I735" t="s">
        <v>195</v>
      </c>
      <c r="J735" t="s">
        <v>176</v>
      </c>
      <c r="K735" s="1">
        <v>18.11</v>
      </c>
      <c r="L735" s="1">
        <v>0</v>
      </c>
      <c r="M735" s="1">
        <v>0</v>
      </c>
      <c r="N735" s="1">
        <v>18.11</v>
      </c>
      <c r="O735" s="1">
        <v>1811</v>
      </c>
      <c r="P735" s="1">
        <v>0</v>
      </c>
      <c r="Q735" s="1">
        <v>0</v>
      </c>
      <c r="R735" s="1">
        <v>1459</v>
      </c>
      <c r="S735" t="s">
        <v>12</v>
      </c>
      <c r="T735" s="13">
        <v>45739</v>
      </c>
      <c r="U735" s="1" t="str">
        <f>IF(ESTIMATIVA[[#This Row],[QT_AREA_REAL]]&gt;0,"1- Colhido","2- à Colher")</f>
        <v>1- Colhido</v>
      </c>
      <c r="V735" s="1" t="str">
        <f>IF(ESTIMATIVA[[#This Row],[QT_AREA_REST1]]&gt;0,"Reestimativa 1",IF(ESTIMATIVA[[#This Row],[QT_AREA_REAL]]=0,"Reestimativa 1","Realizado"))</f>
        <v>Realizado</v>
      </c>
      <c r="W735" s="1" t="str">
        <f>IF(ESTIMATIVA[[#This Row],[QT_AREA_REST2]]&gt;0,"Reestimativa 2",IF(ESTIMATIVA[[#This Row],[QT_AREA_REAL]]=0,"Reestimativa 2","Realizado"))</f>
        <v>Realizado</v>
      </c>
      <c r="X735" s="1">
        <f>ESTIMATIVA[[#This Row],[QT_AREA_EST]]</f>
        <v>18.11</v>
      </c>
      <c r="Y735" s="1">
        <f>IF(ESTIMATIVA[[#This Row],[QT_AREA_REST1]]&gt;0,ESTIMATIVA[[#This Row],[QT_AREA_REST1]],
  IF(ESTIMATIVA[[#This Row],[QT_AREA_REAL]]&gt;0,ESTIMATIVA[[#This Row],[QT_AREA_REAL]],ESTIMATIVA[[#This Row],[QT_AREA_EST]]))</f>
        <v>18.11</v>
      </c>
      <c r="Z73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18.11</v>
      </c>
      <c r="AA735" s="1">
        <f>ESTIMATIVA[[#This Row],[QT_CANA_EST]]</f>
        <v>1811</v>
      </c>
      <c r="AB735" s="1">
        <f>IF(ESTIMATIVA[[#This Row],[QT_CANA_REST1]]&gt;0,ESTIMATIVA[[#This Row],[QT_CANA_REST1]],
  IF(ESTIMATIVA[[#This Row],[QT_CANA_REAL]]&gt;0,ESTIMATIVA[[#This Row],[QT_CANA_REAL]],ESTIMATIVA[[#This Row],[QT_CANA_EST]]))</f>
        <v>1459</v>
      </c>
      <c r="AC73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1459</v>
      </c>
      <c r="AD735" s="1">
        <f>IF(ESTIMATIVA[[#This Row],[QT_AREA_REAL]]&gt;0,ESTIMATIVA[[#This Row],[QT_CANA_REAL]],ESTIMATIVA[[#This Row],[QT_CANA_EST]])</f>
        <v>1459</v>
      </c>
      <c r="AE735" s="1">
        <f>IF(ESTIMATIVA[[#This Row],[QT_AREA_REAL]]&gt;0,ESTIMATIVA[[#This Row],[QT_CANA_REAL]],ESTIMATIVA[[#This Row],[QT_CANA_REST1]])</f>
        <v>1459</v>
      </c>
      <c r="AF735" s="1">
        <f>IF(ESTIMATIVA[[#This Row],[QT_AREA_REAL]]&gt;0,ESTIMATIVA[[#This Row],[QT_CANA_REAL]],ESTIMATIVA[[#This Row],[QT_CANA_REST2]])</f>
        <v>1459</v>
      </c>
      <c r="AG735" s="1" t="str">
        <f>IF(COUNTIFS(GEADA!A:A,VALUE(ESTIMATIVA[[#This Row],[CD_UPNIVEL1]]&amp;TEXT(ESTIMATIVA[[#This Row],[CD_UPNIVEL3]],"0000")))&gt;0,"S","N")</f>
        <v>N</v>
      </c>
      <c r="AH73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35" s="55" t="str">
        <f>IF(ESTIMATIVA[[#This Row],[TP_CULTIVO]]="Irrigado",_xlfn.MAXIFS(IRRIGADO!J:J,IRRIGADO!C:C,ESTIMATIVA[[#This Row],[CD_UPNIVEL1]],IRRIGADO!E:E,ESTIMATIVA[[#This Row],[CD_UPNIVEL3]]),"")</f>
        <v/>
      </c>
      <c r="AJ73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35" s="1">
        <f>COUNTIFS(Apresentação!$E$23:$E$29,ESTIMATIVA[[#This Row],[CD_UPNIVEL1]])</f>
        <v>0</v>
      </c>
    </row>
    <row r="736" spans="1:37" x14ac:dyDescent="0.3">
      <c r="A736">
        <v>20409</v>
      </c>
      <c r="B736" t="s">
        <v>44</v>
      </c>
      <c r="C736">
        <v>2</v>
      </c>
      <c r="D736">
        <v>1</v>
      </c>
      <c r="E736" t="s">
        <v>264</v>
      </c>
      <c r="F736" s="85" t="s">
        <v>333</v>
      </c>
      <c r="G736"/>
      <c r="H736" t="s">
        <v>294</v>
      </c>
      <c r="I736" t="s">
        <v>195</v>
      </c>
      <c r="J736" t="s">
        <v>176</v>
      </c>
      <c r="K736" s="1">
        <v>14.22</v>
      </c>
      <c r="L736" s="1">
        <v>0</v>
      </c>
      <c r="M736" s="1">
        <v>0</v>
      </c>
      <c r="N736" s="1">
        <v>14.22</v>
      </c>
      <c r="O736" s="1">
        <v>1422</v>
      </c>
      <c r="P736" s="1">
        <v>0</v>
      </c>
      <c r="Q736" s="1">
        <v>0</v>
      </c>
      <c r="R736" s="1">
        <v>1145.5899999999999</v>
      </c>
      <c r="S736" t="s">
        <v>12</v>
      </c>
      <c r="T736" s="13">
        <v>45739</v>
      </c>
      <c r="U736" s="1" t="str">
        <f>IF(ESTIMATIVA[[#This Row],[QT_AREA_REAL]]&gt;0,"1- Colhido","2- à Colher")</f>
        <v>1- Colhido</v>
      </c>
      <c r="V736" s="1" t="str">
        <f>IF(ESTIMATIVA[[#This Row],[QT_AREA_REST1]]&gt;0,"Reestimativa 1",IF(ESTIMATIVA[[#This Row],[QT_AREA_REAL]]=0,"Reestimativa 1","Realizado"))</f>
        <v>Realizado</v>
      </c>
      <c r="W736" s="1" t="str">
        <f>IF(ESTIMATIVA[[#This Row],[QT_AREA_REST2]]&gt;0,"Reestimativa 2",IF(ESTIMATIVA[[#This Row],[QT_AREA_REAL]]=0,"Reestimativa 2","Realizado"))</f>
        <v>Realizado</v>
      </c>
      <c r="X736" s="1">
        <f>ESTIMATIVA[[#This Row],[QT_AREA_EST]]</f>
        <v>14.22</v>
      </c>
      <c r="Y736" s="1">
        <f>IF(ESTIMATIVA[[#This Row],[QT_AREA_REST1]]&gt;0,ESTIMATIVA[[#This Row],[QT_AREA_REST1]],
  IF(ESTIMATIVA[[#This Row],[QT_AREA_REAL]]&gt;0,ESTIMATIVA[[#This Row],[QT_AREA_REAL]],ESTIMATIVA[[#This Row],[QT_AREA_EST]]))</f>
        <v>14.22</v>
      </c>
      <c r="Z73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14.22</v>
      </c>
      <c r="AA736" s="1">
        <f>ESTIMATIVA[[#This Row],[QT_CANA_EST]]</f>
        <v>1422</v>
      </c>
      <c r="AB736" s="1">
        <f>IF(ESTIMATIVA[[#This Row],[QT_CANA_REST1]]&gt;0,ESTIMATIVA[[#This Row],[QT_CANA_REST1]],
  IF(ESTIMATIVA[[#This Row],[QT_CANA_REAL]]&gt;0,ESTIMATIVA[[#This Row],[QT_CANA_REAL]],ESTIMATIVA[[#This Row],[QT_CANA_EST]]))</f>
        <v>1145.5899999999999</v>
      </c>
      <c r="AC73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1145.5899999999999</v>
      </c>
      <c r="AD736" s="1">
        <f>IF(ESTIMATIVA[[#This Row],[QT_AREA_REAL]]&gt;0,ESTIMATIVA[[#This Row],[QT_CANA_REAL]],ESTIMATIVA[[#This Row],[QT_CANA_EST]])</f>
        <v>1145.5899999999999</v>
      </c>
      <c r="AE736" s="1">
        <f>IF(ESTIMATIVA[[#This Row],[QT_AREA_REAL]]&gt;0,ESTIMATIVA[[#This Row],[QT_CANA_REAL]],ESTIMATIVA[[#This Row],[QT_CANA_REST1]])</f>
        <v>1145.5899999999999</v>
      </c>
      <c r="AF736" s="1">
        <f>IF(ESTIMATIVA[[#This Row],[QT_AREA_REAL]]&gt;0,ESTIMATIVA[[#This Row],[QT_CANA_REAL]],ESTIMATIVA[[#This Row],[QT_CANA_REST2]])</f>
        <v>1145.5899999999999</v>
      </c>
      <c r="AG736" s="1" t="str">
        <f>IF(COUNTIFS(GEADA!A:A,VALUE(ESTIMATIVA[[#This Row],[CD_UPNIVEL1]]&amp;TEXT(ESTIMATIVA[[#This Row],[CD_UPNIVEL3]],"0000")))&gt;0,"S","N")</f>
        <v>N</v>
      </c>
      <c r="AH73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36" s="55" t="str">
        <f>IF(ESTIMATIVA[[#This Row],[TP_CULTIVO]]="Irrigado",_xlfn.MAXIFS(IRRIGADO!J:J,IRRIGADO!C:C,ESTIMATIVA[[#This Row],[CD_UPNIVEL1]],IRRIGADO!E:E,ESTIMATIVA[[#This Row],[CD_UPNIVEL3]]),"")</f>
        <v/>
      </c>
      <c r="AJ73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36" s="1">
        <f>COUNTIFS(Apresentação!$E$23:$E$29,ESTIMATIVA[[#This Row],[CD_UPNIVEL1]])</f>
        <v>0</v>
      </c>
    </row>
    <row r="737" spans="1:37" x14ac:dyDescent="0.3">
      <c r="A737">
        <v>20409</v>
      </c>
      <c r="B737" t="s">
        <v>44</v>
      </c>
      <c r="C737">
        <v>3</v>
      </c>
      <c r="D737">
        <v>1</v>
      </c>
      <c r="E737" t="s">
        <v>264</v>
      </c>
      <c r="F737" s="85" t="s">
        <v>333</v>
      </c>
      <c r="G737"/>
      <c r="H737" t="s">
        <v>294</v>
      </c>
      <c r="I737" t="s">
        <v>195</v>
      </c>
      <c r="J737" t="s">
        <v>176</v>
      </c>
      <c r="K737" s="1">
        <v>9.82</v>
      </c>
      <c r="L737" s="1">
        <v>0</v>
      </c>
      <c r="M737" s="1">
        <v>0</v>
      </c>
      <c r="N737" s="1">
        <v>9.82</v>
      </c>
      <c r="O737" s="1">
        <v>982</v>
      </c>
      <c r="P737" s="1">
        <v>0</v>
      </c>
      <c r="Q737" s="1">
        <v>0</v>
      </c>
      <c r="R737" s="1">
        <v>791.09</v>
      </c>
      <c r="S737" t="s">
        <v>12</v>
      </c>
      <c r="T737" s="13">
        <v>45739</v>
      </c>
      <c r="U737" s="1" t="str">
        <f>IF(ESTIMATIVA[[#This Row],[QT_AREA_REAL]]&gt;0,"1- Colhido","2- à Colher")</f>
        <v>1- Colhido</v>
      </c>
      <c r="V737" s="1" t="str">
        <f>IF(ESTIMATIVA[[#This Row],[QT_AREA_REST1]]&gt;0,"Reestimativa 1",IF(ESTIMATIVA[[#This Row],[QT_AREA_REAL]]=0,"Reestimativa 1","Realizado"))</f>
        <v>Realizado</v>
      </c>
      <c r="W737" s="1" t="str">
        <f>IF(ESTIMATIVA[[#This Row],[QT_AREA_REST2]]&gt;0,"Reestimativa 2",IF(ESTIMATIVA[[#This Row],[QT_AREA_REAL]]=0,"Reestimativa 2","Realizado"))</f>
        <v>Realizado</v>
      </c>
      <c r="X737" s="1">
        <f>ESTIMATIVA[[#This Row],[QT_AREA_EST]]</f>
        <v>9.82</v>
      </c>
      <c r="Y737" s="1">
        <f>IF(ESTIMATIVA[[#This Row],[QT_AREA_REST1]]&gt;0,ESTIMATIVA[[#This Row],[QT_AREA_REST1]],
  IF(ESTIMATIVA[[#This Row],[QT_AREA_REAL]]&gt;0,ESTIMATIVA[[#This Row],[QT_AREA_REAL]],ESTIMATIVA[[#This Row],[QT_AREA_EST]]))</f>
        <v>9.82</v>
      </c>
      <c r="Z73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9.82</v>
      </c>
      <c r="AA737" s="1">
        <f>ESTIMATIVA[[#This Row],[QT_CANA_EST]]</f>
        <v>982</v>
      </c>
      <c r="AB737" s="1">
        <f>IF(ESTIMATIVA[[#This Row],[QT_CANA_REST1]]&gt;0,ESTIMATIVA[[#This Row],[QT_CANA_REST1]],
  IF(ESTIMATIVA[[#This Row],[QT_CANA_REAL]]&gt;0,ESTIMATIVA[[#This Row],[QT_CANA_REAL]],ESTIMATIVA[[#This Row],[QT_CANA_EST]]))</f>
        <v>791.09</v>
      </c>
      <c r="AC73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791.09</v>
      </c>
      <c r="AD737" s="1">
        <f>IF(ESTIMATIVA[[#This Row],[QT_AREA_REAL]]&gt;0,ESTIMATIVA[[#This Row],[QT_CANA_REAL]],ESTIMATIVA[[#This Row],[QT_CANA_EST]])</f>
        <v>791.09</v>
      </c>
      <c r="AE737" s="1">
        <f>IF(ESTIMATIVA[[#This Row],[QT_AREA_REAL]]&gt;0,ESTIMATIVA[[#This Row],[QT_CANA_REAL]],ESTIMATIVA[[#This Row],[QT_CANA_REST1]])</f>
        <v>791.09</v>
      </c>
      <c r="AF737" s="1">
        <f>IF(ESTIMATIVA[[#This Row],[QT_AREA_REAL]]&gt;0,ESTIMATIVA[[#This Row],[QT_CANA_REAL]],ESTIMATIVA[[#This Row],[QT_CANA_REST2]])</f>
        <v>791.09</v>
      </c>
      <c r="AG737" s="1" t="str">
        <f>IF(COUNTIFS(GEADA!A:A,VALUE(ESTIMATIVA[[#This Row],[CD_UPNIVEL1]]&amp;TEXT(ESTIMATIVA[[#This Row],[CD_UPNIVEL3]],"0000")))&gt;0,"S","N")</f>
        <v>N</v>
      </c>
      <c r="AH73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37" s="55" t="str">
        <f>IF(ESTIMATIVA[[#This Row],[TP_CULTIVO]]="Irrigado",_xlfn.MAXIFS(IRRIGADO!J:J,IRRIGADO!C:C,ESTIMATIVA[[#This Row],[CD_UPNIVEL1]],IRRIGADO!E:E,ESTIMATIVA[[#This Row],[CD_UPNIVEL3]]),"")</f>
        <v/>
      </c>
      <c r="AJ73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37" s="1">
        <f>COUNTIFS(Apresentação!$E$23:$E$29,ESTIMATIVA[[#This Row],[CD_UPNIVEL1]])</f>
        <v>0</v>
      </c>
    </row>
    <row r="738" spans="1:37" x14ac:dyDescent="0.3">
      <c r="A738">
        <v>20409</v>
      </c>
      <c r="B738" t="s">
        <v>44</v>
      </c>
      <c r="C738">
        <v>4</v>
      </c>
      <c r="D738">
        <v>1</v>
      </c>
      <c r="E738" t="s">
        <v>264</v>
      </c>
      <c r="F738" s="85" t="s">
        <v>333</v>
      </c>
      <c r="G738"/>
      <c r="H738" t="s">
        <v>294</v>
      </c>
      <c r="I738" t="s">
        <v>195</v>
      </c>
      <c r="J738" t="s">
        <v>176</v>
      </c>
      <c r="K738" s="1">
        <v>10.91</v>
      </c>
      <c r="L738" s="1">
        <v>0</v>
      </c>
      <c r="M738" s="1">
        <v>0</v>
      </c>
      <c r="N738" s="1">
        <v>10.91</v>
      </c>
      <c r="O738" s="1">
        <v>1091</v>
      </c>
      <c r="P738" s="1">
        <v>0</v>
      </c>
      <c r="Q738" s="1">
        <v>0</v>
      </c>
      <c r="R738" s="1">
        <v>878.92</v>
      </c>
      <c r="S738" t="s">
        <v>12</v>
      </c>
      <c r="T738" s="13">
        <v>45739</v>
      </c>
      <c r="U738" s="1" t="str">
        <f>IF(ESTIMATIVA[[#This Row],[QT_AREA_REAL]]&gt;0,"1- Colhido","2- à Colher")</f>
        <v>1- Colhido</v>
      </c>
      <c r="V738" s="1" t="str">
        <f>IF(ESTIMATIVA[[#This Row],[QT_AREA_REST1]]&gt;0,"Reestimativa 1",IF(ESTIMATIVA[[#This Row],[QT_AREA_REAL]]=0,"Reestimativa 1","Realizado"))</f>
        <v>Realizado</v>
      </c>
      <c r="W738" s="1" t="str">
        <f>IF(ESTIMATIVA[[#This Row],[QT_AREA_REST2]]&gt;0,"Reestimativa 2",IF(ESTIMATIVA[[#This Row],[QT_AREA_REAL]]=0,"Reestimativa 2","Realizado"))</f>
        <v>Realizado</v>
      </c>
      <c r="X738" s="1">
        <f>ESTIMATIVA[[#This Row],[QT_AREA_EST]]</f>
        <v>10.91</v>
      </c>
      <c r="Y738" s="1">
        <f>IF(ESTIMATIVA[[#This Row],[QT_AREA_REST1]]&gt;0,ESTIMATIVA[[#This Row],[QT_AREA_REST1]],
  IF(ESTIMATIVA[[#This Row],[QT_AREA_REAL]]&gt;0,ESTIMATIVA[[#This Row],[QT_AREA_REAL]],ESTIMATIVA[[#This Row],[QT_AREA_EST]]))</f>
        <v>10.91</v>
      </c>
      <c r="Z73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10.91</v>
      </c>
      <c r="AA738" s="1">
        <f>ESTIMATIVA[[#This Row],[QT_CANA_EST]]</f>
        <v>1091</v>
      </c>
      <c r="AB738" s="1">
        <f>IF(ESTIMATIVA[[#This Row],[QT_CANA_REST1]]&gt;0,ESTIMATIVA[[#This Row],[QT_CANA_REST1]],
  IF(ESTIMATIVA[[#This Row],[QT_CANA_REAL]]&gt;0,ESTIMATIVA[[#This Row],[QT_CANA_REAL]],ESTIMATIVA[[#This Row],[QT_CANA_EST]]))</f>
        <v>878.92</v>
      </c>
      <c r="AC73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878.92</v>
      </c>
      <c r="AD738" s="1">
        <f>IF(ESTIMATIVA[[#This Row],[QT_AREA_REAL]]&gt;0,ESTIMATIVA[[#This Row],[QT_CANA_REAL]],ESTIMATIVA[[#This Row],[QT_CANA_EST]])</f>
        <v>878.92</v>
      </c>
      <c r="AE738" s="1">
        <f>IF(ESTIMATIVA[[#This Row],[QT_AREA_REAL]]&gt;0,ESTIMATIVA[[#This Row],[QT_CANA_REAL]],ESTIMATIVA[[#This Row],[QT_CANA_REST1]])</f>
        <v>878.92</v>
      </c>
      <c r="AF738" s="1">
        <f>IF(ESTIMATIVA[[#This Row],[QT_AREA_REAL]]&gt;0,ESTIMATIVA[[#This Row],[QT_CANA_REAL]],ESTIMATIVA[[#This Row],[QT_CANA_REST2]])</f>
        <v>878.92</v>
      </c>
      <c r="AG738" s="1" t="str">
        <f>IF(COUNTIFS(GEADA!A:A,VALUE(ESTIMATIVA[[#This Row],[CD_UPNIVEL1]]&amp;TEXT(ESTIMATIVA[[#This Row],[CD_UPNIVEL3]],"0000")))&gt;0,"S","N")</f>
        <v>N</v>
      </c>
      <c r="AH73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38" s="55" t="str">
        <f>IF(ESTIMATIVA[[#This Row],[TP_CULTIVO]]="Irrigado",_xlfn.MAXIFS(IRRIGADO!J:J,IRRIGADO!C:C,ESTIMATIVA[[#This Row],[CD_UPNIVEL1]],IRRIGADO!E:E,ESTIMATIVA[[#This Row],[CD_UPNIVEL3]]),"")</f>
        <v/>
      </c>
      <c r="AJ73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38" s="1">
        <f>COUNTIFS(Apresentação!$E$23:$E$29,ESTIMATIVA[[#This Row],[CD_UPNIVEL1]])</f>
        <v>0</v>
      </c>
    </row>
    <row r="739" spans="1:37" x14ac:dyDescent="0.3">
      <c r="A739">
        <v>20409</v>
      </c>
      <c r="B739" t="s">
        <v>44</v>
      </c>
      <c r="C739">
        <v>5</v>
      </c>
      <c r="D739">
        <v>1</v>
      </c>
      <c r="E739" t="s">
        <v>264</v>
      </c>
      <c r="F739" s="85" t="s">
        <v>333</v>
      </c>
      <c r="G739"/>
      <c r="H739" t="s">
        <v>294</v>
      </c>
      <c r="I739" t="s">
        <v>195</v>
      </c>
      <c r="J739" t="s">
        <v>176</v>
      </c>
      <c r="K739" s="1">
        <v>8.42</v>
      </c>
      <c r="L739" s="1">
        <v>0</v>
      </c>
      <c r="M739" s="1">
        <v>0</v>
      </c>
      <c r="N739" s="1">
        <v>8.42</v>
      </c>
      <c r="O739" s="1">
        <v>842</v>
      </c>
      <c r="P739" s="1">
        <v>0</v>
      </c>
      <c r="Q739" s="1">
        <v>0</v>
      </c>
      <c r="R739" s="1">
        <v>678.69</v>
      </c>
      <c r="S739" t="s">
        <v>12</v>
      </c>
      <c r="T739" s="13">
        <v>45739</v>
      </c>
      <c r="U739" s="1" t="str">
        <f>IF(ESTIMATIVA[[#This Row],[QT_AREA_REAL]]&gt;0,"1- Colhido","2- à Colher")</f>
        <v>1- Colhido</v>
      </c>
      <c r="V739" s="1" t="str">
        <f>IF(ESTIMATIVA[[#This Row],[QT_AREA_REST1]]&gt;0,"Reestimativa 1",IF(ESTIMATIVA[[#This Row],[QT_AREA_REAL]]=0,"Reestimativa 1","Realizado"))</f>
        <v>Realizado</v>
      </c>
      <c r="W739" s="1" t="str">
        <f>IF(ESTIMATIVA[[#This Row],[QT_AREA_REST2]]&gt;0,"Reestimativa 2",IF(ESTIMATIVA[[#This Row],[QT_AREA_REAL]]=0,"Reestimativa 2","Realizado"))</f>
        <v>Realizado</v>
      </c>
      <c r="X739" s="1">
        <f>ESTIMATIVA[[#This Row],[QT_AREA_EST]]</f>
        <v>8.42</v>
      </c>
      <c r="Y739" s="1">
        <f>IF(ESTIMATIVA[[#This Row],[QT_AREA_REST1]]&gt;0,ESTIMATIVA[[#This Row],[QT_AREA_REST1]],
  IF(ESTIMATIVA[[#This Row],[QT_AREA_REAL]]&gt;0,ESTIMATIVA[[#This Row],[QT_AREA_REAL]],ESTIMATIVA[[#This Row],[QT_AREA_EST]]))</f>
        <v>8.42</v>
      </c>
      <c r="Z73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8.42</v>
      </c>
      <c r="AA739" s="1">
        <f>ESTIMATIVA[[#This Row],[QT_CANA_EST]]</f>
        <v>842</v>
      </c>
      <c r="AB739" s="1">
        <f>IF(ESTIMATIVA[[#This Row],[QT_CANA_REST1]]&gt;0,ESTIMATIVA[[#This Row],[QT_CANA_REST1]],
  IF(ESTIMATIVA[[#This Row],[QT_CANA_REAL]]&gt;0,ESTIMATIVA[[#This Row],[QT_CANA_REAL]],ESTIMATIVA[[#This Row],[QT_CANA_EST]]))</f>
        <v>678.69</v>
      </c>
      <c r="AC73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678.69</v>
      </c>
      <c r="AD739" s="1">
        <f>IF(ESTIMATIVA[[#This Row],[QT_AREA_REAL]]&gt;0,ESTIMATIVA[[#This Row],[QT_CANA_REAL]],ESTIMATIVA[[#This Row],[QT_CANA_EST]])</f>
        <v>678.69</v>
      </c>
      <c r="AE739" s="1">
        <f>IF(ESTIMATIVA[[#This Row],[QT_AREA_REAL]]&gt;0,ESTIMATIVA[[#This Row],[QT_CANA_REAL]],ESTIMATIVA[[#This Row],[QT_CANA_REST1]])</f>
        <v>678.69</v>
      </c>
      <c r="AF739" s="1">
        <f>IF(ESTIMATIVA[[#This Row],[QT_AREA_REAL]]&gt;0,ESTIMATIVA[[#This Row],[QT_CANA_REAL]],ESTIMATIVA[[#This Row],[QT_CANA_REST2]])</f>
        <v>678.69</v>
      </c>
      <c r="AG739" s="1" t="str">
        <f>IF(COUNTIFS(GEADA!A:A,VALUE(ESTIMATIVA[[#This Row],[CD_UPNIVEL1]]&amp;TEXT(ESTIMATIVA[[#This Row],[CD_UPNIVEL3]],"0000")))&gt;0,"S","N")</f>
        <v>N</v>
      </c>
      <c r="AH73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39" s="55" t="str">
        <f>IF(ESTIMATIVA[[#This Row],[TP_CULTIVO]]="Irrigado",_xlfn.MAXIFS(IRRIGADO!J:J,IRRIGADO!C:C,ESTIMATIVA[[#This Row],[CD_UPNIVEL1]],IRRIGADO!E:E,ESTIMATIVA[[#This Row],[CD_UPNIVEL3]]),"")</f>
        <v/>
      </c>
      <c r="AJ73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39" s="1">
        <f>COUNTIFS(Apresentação!$E$23:$E$29,ESTIMATIVA[[#This Row],[CD_UPNIVEL1]])</f>
        <v>0</v>
      </c>
    </row>
    <row r="740" spans="1:37" x14ac:dyDescent="0.3">
      <c r="A740">
        <v>20414</v>
      </c>
      <c r="B740" t="s">
        <v>45</v>
      </c>
      <c r="C740">
        <v>1</v>
      </c>
      <c r="D740">
        <v>4</v>
      </c>
      <c r="E740" t="s">
        <v>265</v>
      </c>
      <c r="F740" s="85" t="s">
        <v>333</v>
      </c>
      <c r="G740"/>
      <c r="H740" t="s">
        <v>294</v>
      </c>
      <c r="I740" t="s">
        <v>205</v>
      </c>
      <c r="J740" t="s">
        <v>176</v>
      </c>
      <c r="K740" s="1">
        <v>6.7</v>
      </c>
      <c r="L740" s="1">
        <v>6.7</v>
      </c>
      <c r="M740" s="1">
        <v>0</v>
      </c>
      <c r="N740" s="1">
        <v>6.7</v>
      </c>
      <c r="O740" s="1">
        <v>455.6</v>
      </c>
      <c r="P740" s="1">
        <v>455.6</v>
      </c>
      <c r="Q740" s="1">
        <v>0</v>
      </c>
      <c r="R740" s="1">
        <v>316.55</v>
      </c>
      <c r="S740" t="s">
        <v>12</v>
      </c>
      <c r="T740" s="13">
        <v>45907</v>
      </c>
      <c r="U740" s="1" t="str">
        <f>IF(ESTIMATIVA[[#This Row],[QT_AREA_REAL]]&gt;0,"1- Colhido","2- à Colher")</f>
        <v>1- Colhido</v>
      </c>
      <c r="V740" s="1" t="str">
        <f>IF(ESTIMATIVA[[#This Row],[QT_AREA_REST1]]&gt;0,"Reestimativa 1",IF(ESTIMATIVA[[#This Row],[QT_AREA_REAL]]=0,"Reestimativa 1","Realizado"))</f>
        <v>Reestimativa 1</v>
      </c>
      <c r="W740" s="1" t="str">
        <f>IF(ESTIMATIVA[[#This Row],[QT_AREA_REST2]]&gt;0,"Reestimativa 2",IF(ESTIMATIVA[[#This Row],[QT_AREA_REAL]]=0,"Reestimativa 2","Realizado"))</f>
        <v>Realizado</v>
      </c>
      <c r="X740" s="1">
        <f>ESTIMATIVA[[#This Row],[QT_AREA_EST]]</f>
        <v>6.7</v>
      </c>
      <c r="Y740" s="1">
        <f>IF(ESTIMATIVA[[#This Row],[QT_AREA_REST1]]&gt;0,ESTIMATIVA[[#This Row],[QT_AREA_REST1]],
  IF(ESTIMATIVA[[#This Row],[QT_AREA_REAL]]&gt;0,ESTIMATIVA[[#This Row],[QT_AREA_REAL]],ESTIMATIVA[[#This Row],[QT_AREA_EST]]))</f>
        <v>6.7</v>
      </c>
      <c r="Z74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6.7</v>
      </c>
      <c r="AA740" s="1">
        <f>ESTIMATIVA[[#This Row],[QT_CANA_EST]]</f>
        <v>455.6</v>
      </c>
      <c r="AB740" s="1">
        <f>IF(ESTIMATIVA[[#This Row],[QT_CANA_REST1]]&gt;0,ESTIMATIVA[[#This Row],[QT_CANA_REST1]],
  IF(ESTIMATIVA[[#This Row],[QT_CANA_REAL]]&gt;0,ESTIMATIVA[[#This Row],[QT_CANA_REAL]],ESTIMATIVA[[#This Row],[QT_CANA_EST]]))</f>
        <v>455.6</v>
      </c>
      <c r="AC74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316.55</v>
      </c>
      <c r="AD740" s="1">
        <f>IF(ESTIMATIVA[[#This Row],[QT_AREA_REAL]]&gt;0,ESTIMATIVA[[#This Row],[QT_CANA_REAL]],ESTIMATIVA[[#This Row],[QT_CANA_EST]])</f>
        <v>316.55</v>
      </c>
      <c r="AE740" s="1">
        <f>IF(ESTIMATIVA[[#This Row],[QT_AREA_REAL]]&gt;0,ESTIMATIVA[[#This Row],[QT_CANA_REAL]],ESTIMATIVA[[#This Row],[QT_CANA_REST1]])</f>
        <v>316.55</v>
      </c>
      <c r="AF740" s="1">
        <f>IF(ESTIMATIVA[[#This Row],[QT_AREA_REAL]]&gt;0,ESTIMATIVA[[#This Row],[QT_CANA_REAL]],ESTIMATIVA[[#This Row],[QT_CANA_REST2]])</f>
        <v>316.55</v>
      </c>
      <c r="AG740" s="1" t="str">
        <f>IF(COUNTIFS(GEADA!A:A,VALUE(ESTIMATIVA[[#This Row],[CD_UPNIVEL1]]&amp;TEXT(ESTIMATIVA[[#This Row],[CD_UPNIVEL3]],"0000")))&gt;0,"S","N")</f>
        <v>N</v>
      </c>
      <c r="AH74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40" s="55" t="str">
        <f>IF(ESTIMATIVA[[#This Row],[TP_CULTIVO]]="Irrigado",_xlfn.MAXIFS(IRRIGADO!J:J,IRRIGADO!C:C,ESTIMATIVA[[#This Row],[CD_UPNIVEL1]],IRRIGADO!E:E,ESTIMATIVA[[#This Row],[CD_UPNIVEL3]]),"")</f>
        <v/>
      </c>
      <c r="AJ74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40" s="1">
        <f>COUNTIFS(Apresentação!$E$23:$E$29,ESTIMATIVA[[#This Row],[CD_UPNIVEL1]])</f>
        <v>0</v>
      </c>
    </row>
    <row r="741" spans="1:37" x14ac:dyDescent="0.3">
      <c r="A741">
        <v>20414</v>
      </c>
      <c r="B741" t="s">
        <v>45</v>
      </c>
      <c r="C741">
        <v>2</v>
      </c>
      <c r="D741">
        <v>4</v>
      </c>
      <c r="E741" t="s">
        <v>265</v>
      </c>
      <c r="F741" s="85" t="s">
        <v>333</v>
      </c>
      <c r="G741"/>
      <c r="H741" t="s">
        <v>294</v>
      </c>
      <c r="I741" t="s">
        <v>205</v>
      </c>
      <c r="J741" t="s">
        <v>176</v>
      </c>
      <c r="K741" s="1">
        <v>3.11</v>
      </c>
      <c r="L741" s="1">
        <v>3.11</v>
      </c>
      <c r="M741" s="1">
        <v>0</v>
      </c>
      <c r="N741" s="1">
        <v>3.11</v>
      </c>
      <c r="O741" s="1">
        <v>211.48</v>
      </c>
      <c r="P741" s="1">
        <v>211.48</v>
      </c>
      <c r="Q741" s="1">
        <v>0</v>
      </c>
      <c r="R741" s="1">
        <v>146.47999999999999</v>
      </c>
      <c r="S741" t="s">
        <v>12</v>
      </c>
      <c r="T741" s="13">
        <v>45907</v>
      </c>
      <c r="U741" s="1" t="str">
        <f>IF(ESTIMATIVA[[#This Row],[QT_AREA_REAL]]&gt;0,"1- Colhido","2- à Colher")</f>
        <v>1- Colhido</v>
      </c>
      <c r="V741" s="1" t="str">
        <f>IF(ESTIMATIVA[[#This Row],[QT_AREA_REST1]]&gt;0,"Reestimativa 1",IF(ESTIMATIVA[[#This Row],[QT_AREA_REAL]]=0,"Reestimativa 1","Realizado"))</f>
        <v>Reestimativa 1</v>
      </c>
      <c r="W741" s="1" t="str">
        <f>IF(ESTIMATIVA[[#This Row],[QT_AREA_REST2]]&gt;0,"Reestimativa 2",IF(ESTIMATIVA[[#This Row],[QT_AREA_REAL]]=0,"Reestimativa 2","Realizado"))</f>
        <v>Realizado</v>
      </c>
      <c r="X741" s="1">
        <f>ESTIMATIVA[[#This Row],[QT_AREA_EST]]</f>
        <v>3.11</v>
      </c>
      <c r="Y741" s="1">
        <f>IF(ESTIMATIVA[[#This Row],[QT_AREA_REST1]]&gt;0,ESTIMATIVA[[#This Row],[QT_AREA_REST1]],
  IF(ESTIMATIVA[[#This Row],[QT_AREA_REAL]]&gt;0,ESTIMATIVA[[#This Row],[QT_AREA_REAL]],ESTIMATIVA[[#This Row],[QT_AREA_EST]]))</f>
        <v>3.11</v>
      </c>
      <c r="Z74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3.11</v>
      </c>
      <c r="AA741" s="1">
        <f>ESTIMATIVA[[#This Row],[QT_CANA_EST]]</f>
        <v>211.48</v>
      </c>
      <c r="AB741" s="1">
        <f>IF(ESTIMATIVA[[#This Row],[QT_CANA_REST1]]&gt;0,ESTIMATIVA[[#This Row],[QT_CANA_REST1]],
  IF(ESTIMATIVA[[#This Row],[QT_CANA_REAL]]&gt;0,ESTIMATIVA[[#This Row],[QT_CANA_REAL]],ESTIMATIVA[[#This Row],[QT_CANA_EST]]))</f>
        <v>211.48</v>
      </c>
      <c r="AC74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146.47999999999999</v>
      </c>
      <c r="AD741" s="1">
        <f>IF(ESTIMATIVA[[#This Row],[QT_AREA_REAL]]&gt;0,ESTIMATIVA[[#This Row],[QT_CANA_REAL]],ESTIMATIVA[[#This Row],[QT_CANA_EST]])</f>
        <v>146.47999999999999</v>
      </c>
      <c r="AE741" s="1">
        <f>IF(ESTIMATIVA[[#This Row],[QT_AREA_REAL]]&gt;0,ESTIMATIVA[[#This Row],[QT_CANA_REAL]],ESTIMATIVA[[#This Row],[QT_CANA_REST1]])</f>
        <v>146.47999999999999</v>
      </c>
      <c r="AF741" s="1">
        <f>IF(ESTIMATIVA[[#This Row],[QT_AREA_REAL]]&gt;0,ESTIMATIVA[[#This Row],[QT_CANA_REAL]],ESTIMATIVA[[#This Row],[QT_CANA_REST2]])</f>
        <v>146.47999999999999</v>
      </c>
      <c r="AG741" s="1" t="str">
        <f>IF(COUNTIFS(GEADA!A:A,VALUE(ESTIMATIVA[[#This Row],[CD_UPNIVEL1]]&amp;TEXT(ESTIMATIVA[[#This Row],[CD_UPNIVEL3]],"0000")))&gt;0,"S","N")</f>
        <v>N</v>
      </c>
      <c r="AH74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41" s="55" t="str">
        <f>IF(ESTIMATIVA[[#This Row],[TP_CULTIVO]]="Irrigado",_xlfn.MAXIFS(IRRIGADO!J:J,IRRIGADO!C:C,ESTIMATIVA[[#This Row],[CD_UPNIVEL1]],IRRIGADO!E:E,ESTIMATIVA[[#This Row],[CD_UPNIVEL3]]),"")</f>
        <v/>
      </c>
      <c r="AJ74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41" s="1">
        <f>COUNTIFS(Apresentação!$E$23:$E$29,ESTIMATIVA[[#This Row],[CD_UPNIVEL1]])</f>
        <v>0</v>
      </c>
    </row>
    <row r="742" spans="1:37" x14ac:dyDescent="0.3">
      <c r="A742">
        <v>20414</v>
      </c>
      <c r="B742" t="s">
        <v>45</v>
      </c>
      <c r="C742">
        <v>3</v>
      </c>
      <c r="D742">
        <v>4</v>
      </c>
      <c r="E742" t="s">
        <v>265</v>
      </c>
      <c r="F742" s="85" t="s">
        <v>333</v>
      </c>
      <c r="G742"/>
      <c r="H742" t="s">
        <v>294</v>
      </c>
      <c r="I742" t="s">
        <v>198</v>
      </c>
      <c r="J742" t="s">
        <v>176</v>
      </c>
      <c r="K742" s="1">
        <v>5.32</v>
      </c>
      <c r="L742" s="1">
        <v>5.32</v>
      </c>
      <c r="M742" s="1">
        <v>0</v>
      </c>
      <c r="N742" s="1">
        <v>5.32</v>
      </c>
      <c r="O742" s="1">
        <v>361.76</v>
      </c>
      <c r="P742" s="1">
        <v>361.76</v>
      </c>
      <c r="Q742" s="1">
        <v>0</v>
      </c>
      <c r="R742" s="1">
        <v>301.66000000000003</v>
      </c>
      <c r="S742" t="s">
        <v>12</v>
      </c>
      <c r="T742" s="13">
        <v>45907</v>
      </c>
      <c r="U742" s="1" t="str">
        <f>IF(ESTIMATIVA[[#This Row],[QT_AREA_REAL]]&gt;0,"1- Colhido","2- à Colher")</f>
        <v>1- Colhido</v>
      </c>
      <c r="V742" s="1" t="str">
        <f>IF(ESTIMATIVA[[#This Row],[QT_AREA_REST1]]&gt;0,"Reestimativa 1",IF(ESTIMATIVA[[#This Row],[QT_AREA_REAL]]=0,"Reestimativa 1","Realizado"))</f>
        <v>Reestimativa 1</v>
      </c>
      <c r="W742" s="1" t="str">
        <f>IF(ESTIMATIVA[[#This Row],[QT_AREA_REST2]]&gt;0,"Reestimativa 2",IF(ESTIMATIVA[[#This Row],[QT_AREA_REAL]]=0,"Reestimativa 2","Realizado"))</f>
        <v>Realizado</v>
      </c>
      <c r="X742" s="1">
        <f>ESTIMATIVA[[#This Row],[QT_AREA_EST]]</f>
        <v>5.32</v>
      </c>
      <c r="Y742" s="1">
        <f>IF(ESTIMATIVA[[#This Row],[QT_AREA_REST1]]&gt;0,ESTIMATIVA[[#This Row],[QT_AREA_REST1]],
  IF(ESTIMATIVA[[#This Row],[QT_AREA_REAL]]&gt;0,ESTIMATIVA[[#This Row],[QT_AREA_REAL]],ESTIMATIVA[[#This Row],[QT_AREA_EST]]))</f>
        <v>5.32</v>
      </c>
      <c r="Z74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5.32</v>
      </c>
      <c r="AA742" s="1">
        <f>ESTIMATIVA[[#This Row],[QT_CANA_EST]]</f>
        <v>361.76</v>
      </c>
      <c r="AB742" s="1">
        <f>IF(ESTIMATIVA[[#This Row],[QT_CANA_REST1]]&gt;0,ESTIMATIVA[[#This Row],[QT_CANA_REST1]],
  IF(ESTIMATIVA[[#This Row],[QT_CANA_REAL]]&gt;0,ESTIMATIVA[[#This Row],[QT_CANA_REAL]],ESTIMATIVA[[#This Row],[QT_CANA_EST]]))</f>
        <v>361.76</v>
      </c>
      <c r="AC74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301.66000000000003</v>
      </c>
      <c r="AD742" s="1">
        <f>IF(ESTIMATIVA[[#This Row],[QT_AREA_REAL]]&gt;0,ESTIMATIVA[[#This Row],[QT_CANA_REAL]],ESTIMATIVA[[#This Row],[QT_CANA_EST]])</f>
        <v>301.66000000000003</v>
      </c>
      <c r="AE742" s="1">
        <f>IF(ESTIMATIVA[[#This Row],[QT_AREA_REAL]]&gt;0,ESTIMATIVA[[#This Row],[QT_CANA_REAL]],ESTIMATIVA[[#This Row],[QT_CANA_REST1]])</f>
        <v>301.66000000000003</v>
      </c>
      <c r="AF742" s="1">
        <f>IF(ESTIMATIVA[[#This Row],[QT_AREA_REAL]]&gt;0,ESTIMATIVA[[#This Row],[QT_CANA_REAL]],ESTIMATIVA[[#This Row],[QT_CANA_REST2]])</f>
        <v>301.66000000000003</v>
      </c>
      <c r="AG742" s="1" t="str">
        <f>IF(COUNTIFS(GEADA!A:A,VALUE(ESTIMATIVA[[#This Row],[CD_UPNIVEL1]]&amp;TEXT(ESTIMATIVA[[#This Row],[CD_UPNIVEL3]],"0000")))&gt;0,"S","N")</f>
        <v>N</v>
      </c>
      <c r="AH74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42" s="55" t="str">
        <f>IF(ESTIMATIVA[[#This Row],[TP_CULTIVO]]="Irrigado",_xlfn.MAXIFS(IRRIGADO!J:J,IRRIGADO!C:C,ESTIMATIVA[[#This Row],[CD_UPNIVEL1]],IRRIGADO!E:E,ESTIMATIVA[[#This Row],[CD_UPNIVEL3]]),"")</f>
        <v/>
      </c>
      <c r="AJ74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42" s="1">
        <f>COUNTIFS(Apresentação!$E$23:$E$29,ESTIMATIVA[[#This Row],[CD_UPNIVEL1]])</f>
        <v>0</v>
      </c>
    </row>
    <row r="743" spans="1:37" x14ac:dyDescent="0.3">
      <c r="A743">
        <v>20414</v>
      </c>
      <c r="B743" t="s">
        <v>45</v>
      </c>
      <c r="C743">
        <v>4</v>
      </c>
      <c r="D743">
        <v>4</v>
      </c>
      <c r="E743" t="s">
        <v>265</v>
      </c>
      <c r="F743" s="85" t="s">
        <v>333</v>
      </c>
      <c r="G743"/>
      <c r="H743" t="s">
        <v>294</v>
      </c>
      <c r="I743" t="s">
        <v>198</v>
      </c>
      <c r="J743" t="s">
        <v>176</v>
      </c>
      <c r="K743" s="1">
        <v>1.82</v>
      </c>
      <c r="L743" s="1">
        <v>1.82</v>
      </c>
      <c r="M743" s="1">
        <v>0</v>
      </c>
      <c r="N743" s="1">
        <v>1.82</v>
      </c>
      <c r="O743" s="1">
        <v>123.76</v>
      </c>
      <c r="P743" s="1">
        <v>123.76</v>
      </c>
      <c r="Q743" s="1">
        <v>0</v>
      </c>
      <c r="R743" s="1">
        <v>103.33</v>
      </c>
      <c r="S743" t="s">
        <v>12</v>
      </c>
      <c r="T743" s="13">
        <v>45907</v>
      </c>
      <c r="U743" s="1" t="str">
        <f>IF(ESTIMATIVA[[#This Row],[QT_AREA_REAL]]&gt;0,"1- Colhido","2- à Colher")</f>
        <v>1- Colhido</v>
      </c>
      <c r="V743" s="1" t="str">
        <f>IF(ESTIMATIVA[[#This Row],[QT_AREA_REST1]]&gt;0,"Reestimativa 1",IF(ESTIMATIVA[[#This Row],[QT_AREA_REAL]]=0,"Reestimativa 1","Realizado"))</f>
        <v>Reestimativa 1</v>
      </c>
      <c r="W743" s="1" t="str">
        <f>IF(ESTIMATIVA[[#This Row],[QT_AREA_REST2]]&gt;0,"Reestimativa 2",IF(ESTIMATIVA[[#This Row],[QT_AREA_REAL]]=0,"Reestimativa 2","Realizado"))</f>
        <v>Realizado</v>
      </c>
      <c r="X743" s="1">
        <f>ESTIMATIVA[[#This Row],[QT_AREA_EST]]</f>
        <v>1.82</v>
      </c>
      <c r="Y743" s="1">
        <f>IF(ESTIMATIVA[[#This Row],[QT_AREA_REST1]]&gt;0,ESTIMATIVA[[#This Row],[QT_AREA_REST1]],
  IF(ESTIMATIVA[[#This Row],[QT_AREA_REAL]]&gt;0,ESTIMATIVA[[#This Row],[QT_AREA_REAL]],ESTIMATIVA[[#This Row],[QT_AREA_EST]]))</f>
        <v>1.82</v>
      </c>
      <c r="Z74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1.82</v>
      </c>
      <c r="AA743" s="1">
        <f>ESTIMATIVA[[#This Row],[QT_CANA_EST]]</f>
        <v>123.76</v>
      </c>
      <c r="AB743" s="1">
        <f>IF(ESTIMATIVA[[#This Row],[QT_CANA_REST1]]&gt;0,ESTIMATIVA[[#This Row],[QT_CANA_REST1]],
  IF(ESTIMATIVA[[#This Row],[QT_CANA_REAL]]&gt;0,ESTIMATIVA[[#This Row],[QT_CANA_REAL]],ESTIMATIVA[[#This Row],[QT_CANA_EST]]))</f>
        <v>123.76</v>
      </c>
      <c r="AC74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103.33</v>
      </c>
      <c r="AD743" s="1">
        <f>IF(ESTIMATIVA[[#This Row],[QT_AREA_REAL]]&gt;0,ESTIMATIVA[[#This Row],[QT_CANA_REAL]],ESTIMATIVA[[#This Row],[QT_CANA_EST]])</f>
        <v>103.33</v>
      </c>
      <c r="AE743" s="1">
        <f>IF(ESTIMATIVA[[#This Row],[QT_AREA_REAL]]&gt;0,ESTIMATIVA[[#This Row],[QT_CANA_REAL]],ESTIMATIVA[[#This Row],[QT_CANA_REST1]])</f>
        <v>103.33</v>
      </c>
      <c r="AF743" s="1">
        <f>IF(ESTIMATIVA[[#This Row],[QT_AREA_REAL]]&gt;0,ESTIMATIVA[[#This Row],[QT_CANA_REAL]],ESTIMATIVA[[#This Row],[QT_CANA_REST2]])</f>
        <v>103.33</v>
      </c>
      <c r="AG743" s="1" t="str">
        <f>IF(COUNTIFS(GEADA!A:A,VALUE(ESTIMATIVA[[#This Row],[CD_UPNIVEL1]]&amp;TEXT(ESTIMATIVA[[#This Row],[CD_UPNIVEL3]],"0000")))&gt;0,"S","N")</f>
        <v>N</v>
      </c>
      <c r="AH74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43" s="55" t="str">
        <f>IF(ESTIMATIVA[[#This Row],[TP_CULTIVO]]="Irrigado",_xlfn.MAXIFS(IRRIGADO!J:J,IRRIGADO!C:C,ESTIMATIVA[[#This Row],[CD_UPNIVEL1]],IRRIGADO!E:E,ESTIMATIVA[[#This Row],[CD_UPNIVEL3]]),"")</f>
        <v/>
      </c>
      <c r="AJ74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43" s="1">
        <f>COUNTIFS(Apresentação!$E$23:$E$29,ESTIMATIVA[[#This Row],[CD_UPNIVEL1]])</f>
        <v>0</v>
      </c>
    </row>
    <row r="744" spans="1:37" x14ac:dyDescent="0.3">
      <c r="A744">
        <v>20414</v>
      </c>
      <c r="B744" t="s">
        <v>45</v>
      </c>
      <c r="C744">
        <v>5</v>
      </c>
      <c r="D744">
        <v>4</v>
      </c>
      <c r="E744" t="s">
        <v>265</v>
      </c>
      <c r="F744" s="85" t="s">
        <v>333</v>
      </c>
      <c r="G744"/>
      <c r="H744" t="s">
        <v>294</v>
      </c>
      <c r="I744" t="s">
        <v>198</v>
      </c>
      <c r="J744" t="s">
        <v>176</v>
      </c>
      <c r="K744" s="1">
        <v>1.72</v>
      </c>
      <c r="L744" s="1">
        <v>1.72</v>
      </c>
      <c r="M744" s="1">
        <v>0</v>
      </c>
      <c r="N744" s="1">
        <v>1.72</v>
      </c>
      <c r="O744" s="1">
        <v>116.96</v>
      </c>
      <c r="P744" s="1">
        <v>116.96</v>
      </c>
      <c r="Q744" s="1">
        <v>0</v>
      </c>
      <c r="R744" s="1">
        <v>97.49</v>
      </c>
      <c r="S744" t="s">
        <v>12</v>
      </c>
      <c r="T744" s="13">
        <v>45907</v>
      </c>
      <c r="U744" s="1" t="str">
        <f>IF(ESTIMATIVA[[#This Row],[QT_AREA_REAL]]&gt;0,"1- Colhido","2- à Colher")</f>
        <v>1- Colhido</v>
      </c>
      <c r="V744" s="1" t="str">
        <f>IF(ESTIMATIVA[[#This Row],[QT_AREA_REST1]]&gt;0,"Reestimativa 1",IF(ESTIMATIVA[[#This Row],[QT_AREA_REAL]]=0,"Reestimativa 1","Realizado"))</f>
        <v>Reestimativa 1</v>
      </c>
      <c r="W744" s="1" t="str">
        <f>IF(ESTIMATIVA[[#This Row],[QT_AREA_REST2]]&gt;0,"Reestimativa 2",IF(ESTIMATIVA[[#This Row],[QT_AREA_REAL]]=0,"Reestimativa 2","Realizado"))</f>
        <v>Realizado</v>
      </c>
      <c r="X744" s="1">
        <f>ESTIMATIVA[[#This Row],[QT_AREA_EST]]</f>
        <v>1.72</v>
      </c>
      <c r="Y744" s="1">
        <f>IF(ESTIMATIVA[[#This Row],[QT_AREA_REST1]]&gt;0,ESTIMATIVA[[#This Row],[QT_AREA_REST1]],
  IF(ESTIMATIVA[[#This Row],[QT_AREA_REAL]]&gt;0,ESTIMATIVA[[#This Row],[QT_AREA_REAL]],ESTIMATIVA[[#This Row],[QT_AREA_EST]]))</f>
        <v>1.72</v>
      </c>
      <c r="Z74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1.72</v>
      </c>
      <c r="AA744" s="1">
        <f>ESTIMATIVA[[#This Row],[QT_CANA_EST]]</f>
        <v>116.96</v>
      </c>
      <c r="AB744" s="1">
        <f>IF(ESTIMATIVA[[#This Row],[QT_CANA_REST1]]&gt;0,ESTIMATIVA[[#This Row],[QT_CANA_REST1]],
  IF(ESTIMATIVA[[#This Row],[QT_CANA_REAL]]&gt;0,ESTIMATIVA[[#This Row],[QT_CANA_REAL]],ESTIMATIVA[[#This Row],[QT_CANA_EST]]))</f>
        <v>116.96</v>
      </c>
      <c r="AC74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97.49</v>
      </c>
      <c r="AD744" s="1">
        <f>IF(ESTIMATIVA[[#This Row],[QT_AREA_REAL]]&gt;0,ESTIMATIVA[[#This Row],[QT_CANA_REAL]],ESTIMATIVA[[#This Row],[QT_CANA_EST]])</f>
        <v>97.49</v>
      </c>
      <c r="AE744" s="1">
        <f>IF(ESTIMATIVA[[#This Row],[QT_AREA_REAL]]&gt;0,ESTIMATIVA[[#This Row],[QT_CANA_REAL]],ESTIMATIVA[[#This Row],[QT_CANA_REST1]])</f>
        <v>97.49</v>
      </c>
      <c r="AF744" s="1">
        <f>IF(ESTIMATIVA[[#This Row],[QT_AREA_REAL]]&gt;0,ESTIMATIVA[[#This Row],[QT_CANA_REAL]],ESTIMATIVA[[#This Row],[QT_CANA_REST2]])</f>
        <v>97.49</v>
      </c>
      <c r="AG744" s="1" t="str">
        <f>IF(COUNTIFS(GEADA!A:A,VALUE(ESTIMATIVA[[#This Row],[CD_UPNIVEL1]]&amp;TEXT(ESTIMATIVA[[#This Row],[CD_UPNIVEL3]],"0000")))&gt;0,"S","N")</f>
        <v>N</v>
      </c>
      <c r="AH74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44" s="55" t="str">
        <f>IF(ESTIMATIVA[[#This Row],[TP_CULTIVO]]="Irrigado",_xlfn.MAXIFS(IRRIGADO!J:J,IRRIGADO!C:C,ESTIMATIVA[[#This Row],[CD_UPNIVEL1]],IRRIGADO!E:E,ESTIMATIVA[[#This Row],[CD_UPNIVEL3]]),"")</f>
        <v/>
      </c>
      <c r="AJ74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44" s="1">
        <f>COUNTIFS(Apresentação!$E$23:$E$29,ESTIMATIVA[[#This Row],[CD_UPNIVEL1]])</f>
        <v>0</v>
      </c>
    </row>
    <row r="745" spans="1:37" x14ac:dyDescent="0.3">
      <c r="A745">
        <v>20414</v>
      </c>
      <c r="B745" t="s">
        <v>45</v>
      </c>
      <c r="C745">
        <v>6</v>
      </c>
      <c r="D745">
        <v>4</v>
      </c>
      <c r="E745" t="s">
        <v>265</v>
      </c>
      <c r="F745" s="85" t="s">
        <v>333</v>
      </c>
      <c r="G745"/>
      <c r="H745" t="s">
        <v>294</v>
      </c>
      <c r="I745" t="s">
        <v>200</v>
      </c>
      <c r="J745" t="s">
        <v>176</v>
      </c>
      <c r="K745" s="1">
        <v>0.84</v>
      </c>
      <c r="L745" s="1">
        <v>0.84</v>
      </c>
      <c r="M745" s="1">
        <v>0</v>
      </c>
      <c r="N745" s="1">
        <v>0.84</v>
      </c>
      <c r="O745" s="1">
        <v>57.12</v>
      </c>
      <c r="P745" s="1">
        <v>35.28</v>
      </c>
      <c r="Q745" s="1">
        <v>0</v>
      </c>
      <c r="R745" s="1">
        <v>29.19</v>
      </c>
      <c r="S745" t="s">
        <v>12</v>
      </c>
      <c r="T745" s="13">
        <v>45907</v>
      </c>
      <c r="U745" s="1" t="str">
        <f>IF(ESTIMATIVA[[#This Row],[QT_AREA_REAL]]&gt;0,"1- Colhido","2- à Colher")</f>
        <v>1- Colhido</v>
      </c>
      <c r="V745" s="1" t="str">
        <f>IF(ESTIMATIVA[[#This Row],[QT_AREA_REST1]]&gt;0,"Reestimativa 1",IF(ESTIMATIVA[[#This Row],[QT_AREA_REAL]]=0,"Reestimativa 1","Realizado"))</f>
        <v>Reestimativa 1</v>
      </c>
      <c r="W745" s="1" t="str">
        <f>IF(ESTIMATIVA[[#This Row],[QT_AREA_REST2]]&gt;0,"Reestimativa 2",IF(ESTIMATIVA[[#This Row],[QT_AREA_REAL]]=0,"Reestimativa 2","Realizado"))</f>
        <v>Realizado</v>
      </c>
      <c r="X745" s="1">
        <f>ESTIMATIVA[[#This Row],[QT_AREA_EST]]</f>
        <v>0.84</v>
      </c>
      <c r="Y745" s="1">
        <f>IF(ESTIMATIVA[[#This Row],[QT_AREA_REST1]]&gt;0,ESTIMATIVA[[#This Row],[QT_AREA_REST1]],
  IF(ESTIMATIVA[[#This Row],[QT_AREA_REAL]]&gt;0,ESTIMATIVA[[#This Row],[QT_AREA_REAL]],ESTIMATIVA[[#This Row],[QT_AREA_EST]]))</f>
        <v>0.84</v>
      </c>
      <c r="Z74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0.84</v>
      </c>
      <c r="AA745" s="1">
        <f>ESTIMATIVA[[#This Row],[QT_CANA_EST]]</f>
        <v>57.12</v>
      </c>
      <c r="AB745" s="1">
        <f>IF(ESTIMATIVA[[#This Row],[QT_CANA_REST1]]&gt;0,ESTIMATIVA[[#This Row],[QT_CANA_REST1]],
  IF(ESTIMATIVA[[#This Row],[QT_CANA_REAL]]&gt;0,ESTIMATIVA[[#This Row],[QT_CANA_REAL]],ESTIMATIVA[[#This Row],[QT_CANA_EST]]))</f>
        <v>35.28</v>
      </c>
      <c r="AC74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29.19</v>
      </c>
      <c r="AD745" s="1">
        <f>IF(ESTIMATIVA[[#This Row],[QT_AREA_REAL]]&gt;0,ESTIMATIVA[[#This Row],[QT_CANA_REAL]],ESTIMATIVA[[#This Row],[QT_CANA_EST]])</f>
        <v>29.19</v>
      </c>
      <c r="AE745" s="1">
        <f>IF(ESTIMATIVA[[#This Row],[QT_AREA_REAL]]&gt;0,ESTIMATIVA[[#This Row],[QT_CANA_REAL]],ESTIMATIVA[[#This Row],[QT_CANA_REST1]])</f>
        <v>29.19</v>
      </c>
      <c r="AF745" s="1">
        <f>IF(ESTIMATIVA[[#This Row],[QT_AREA_REAL]]&gt;0,ESTIMATIVA[[#This Row],[QT_CANA_REAL]],ESTIMATIVA[[#This Row],[QT_CANA_REST2]])</f>
        <v>29.19</v>
      </c>
      <c r="AG745" s="1" t="str">
        <f>IF(COUNTIFS(GEADA!A:A,VALUE(ESTIMATIVA[[#This Row],[CD_UPNIVEL1]]&amp;TEXT(ESTIMATIVA[[#This Row],[CD_UPNIVEL3]],"0000")))&gt;0,"S","N")</f>
        <v>N</v>
      </c>
      <c r="AH74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45" s="55" t="str">
        <f>IF(ESTIMATIVA[[#This Row],[TP_CULTIVO]]="Irrigado",_xlfn.MAXIFS(IRRIGADO!J:J,IRRIGADO!C:C,ESTIMATIVA[[#This Row],[CD_UPNIVEL1]],IRRIGADO!E:E,ESTIMATIVA[[#This Row],[CD_UPNIVEL3]]),"")</f>
        <v/>
      </c>
      <c r="AJ74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45" s="1">
        <f>COUNTIFS(Apresentação!$E$23:$E$29,ESTIMATIVA[[#This Row],[CD_UPNIVEL1]])</f>
        <v>0</v>
      </c>
    </row>
    <row r="746" spans="1:37" x14ac:dyDescent="0.3">
      <c r="A746">
        <v>20415</v>
      </c>
      <c r="B746" t="s">
        <v>134</v>
      </c>
      <c r="C746">
        <v>1</v>
      </c>
      <c r="D746">
        <v>4</v>
      </c>
      <c r="E746" t="s">
        <v>265</v>
      </c>
      <c r="F746" s="85" t="s">
        <v>331</v>
      </c>
      <c r="G746"/>
      <c r="H746" t="s">
        <v>294</v>
      </c>
      <c r="I746" t="s">
        <v>200</v>
      </c>
      <c r="J746" t="s">
        <v>176</v>
      </c>
      <c r="K746" s="1">
        <v>6.84</v>
      </c>
      <c r="L746" s="1">
        <v>6.84</v>
      </c>
      <c r="M746" s="1">
        <v>0</v>
      </c>
      <c r="N746" s="1">
        <v>6.84</v>
      </c>
      <c r="O746" s="1">
        <v>465.12</v>
      </c>
      <c r="P746" s="1">
        <v>287.27999999999997</v>
      </c>
      <c r="Q746" s="1">
        <v>0</v>
      </c>
      <c r="R746" s="1">
        <v>358.54</v>
      </c>
      <c r="S746" t="s">
        <v>12</v>
      </c>
      <c r="T746" s="13">
        <v>45921</v>
      </c>
      <c r="U746" s="1" t="str">
        <f>IF(ESTIMATIVA[[#This Row],[QT_AREA_REAL]]&gt;0,"1- Colhido","2- à Colher")</f>
        <v>1- Colhido</v>
      </c>
      <c r="V746" s="1" t="str">
        <f>IF(ESTIMATIVA[[#This Row],[QT_AREA_REST1]]&gt;0,"Reestimativa 1",IF(ESTIMATIVA[[#This Row],[QT_AREA_REAL]]=0,"Reestimativa 1","Realizado"))</f>
        <v>Reestimativa 1</v>
      </c>
      <c r="W746" s="1" t="str">
        <f>IF(ESTIMATIVA[[#This Row],[QT_AREA_REST2]]&gt;0,"Reestimativa 2",IF(ESTIMATIVA[[#This Row],[QT_AREA_REAL]]=0,"Reestimativa 2","Realizado"))</f>
        <v>Realizado</v>
      </c>
      <c r="X746" s="1">
        <f>ESTIMATIVA[[#This Row],[QT_AREA_EST]]</f>
        <v>6.84</v>
      </c>
      <c r="Y746" s="1">
        <f>IF(ESTIMATIVA[[#This Row],[QT_AREA_REST1]]&gt;0,ESTIMATIVA[[#This Row],[QT_AREA_REST1]],
  IF(ESTIMATIVA[[#This Row],[QT_AREA_REAL]]&gt;0,ESTIMATIVA[[#This Row],[QT_AREA_REAL]],ESTIMATIVA[[#This Row],[QT_AREA_EST]]))</f>
        <v>6.84</v>
      </c>
      <c r="Z74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6.84</v>
      </c>
      <c r="AA746" s="1">
        <f>ESTIMATIVA[[#This Row],[QT_CANA_EST]]</f>
        <v>465.12</v>
      </c>
      <c r="AB746" s="1">
        <f>IF(ESTIMATIVA[[#This Row],[QT_CANA_REST1]]&gt;0,ESTIMATIVA[[#This Row],[QT_CANA_REST1]],
  IF(ESTIMATIVA[[#This Row],[QT_CANA_REAL]]&gt;0,ESTIMATIVA[[#This Row],[QT_CANA_REAL]],ESTIMATIVA[[#This Row],[QT_CANA_EST]]))</f>
        <v>287.27999999999997</v>
      </c>
      <c r="AC74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358.54</v>
      </c>
      <c r="AD746" s="1">
        <f>IF(ESTIMATIVA[[#This Row],[QT_AREA_REAL]]&gt;0,ESTIMATIVA[[#This Row],[QT_CANA_REAL]],ESTIMATIVA[[#This Row],[QT_CANA_EST]])</f>
        <v>358.54</v>
      </c>
      <c r="AE746" s="1">
        <f>IF(ESTIMATIVA[[#This Row],[QT_AREA_REAL]]&gt;0,ESTIMATIVA[[#This Row],[QT_CANA_REAL]],ESTIMATIVA[[#This Row],[QT_CANA_REST1]])</f>
        <v>358.54</v>
      </c>
      <c r="AF746" s="1">
        <f>IF(ESTIMATIVA[[#This Row],[QT_AREA_REAL]]&gt;0,ESTIMATIVA[[#This Row],[QT_CANA_REAL]],ESTIMATIVA[[#This Row],[QT_CANA_REST2]])</f>
        <v>358.54</v>
      </c>
      <c r="AG746" s="1" t="str">
        <f>IF(COUNTIFS(GEADA!A:A,VALUE(ESTIMATIVA[[#This Row],[CD_UPNIVEL1]]&amp;TEXT(ESTIMATIVA[[#This Row],[CD_UPNIVEL3]],"0000")))&gt;0,"S","N")</f>
        <v>N</v>
      </c>
      <c r="AH74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46" s="55" t="str">
        <f>IF(ESTIMATIVA[[#This Row],[TP_CULTIVO]]="Irrigado",_xlfn.MAXIFS(IRRIGADO!J:J,IRRIGADO!C:C,ESTIMATIVA[[#This Row],[CD_UPNIVEL1]],IRRIGADO!E:E,ESTIMATIVA[[#This Row],[CD_UPNIVEL3]]),"")</f>
        <v/>
      </c>
      <c r="AJ74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46" s="1">
        <f>COUNTIFS(Apresentação!$E$23:$E$29,ESTIMATIVA[[#This Row],[CD_UPNIVEL1]])</f>
        <v>0</v>
      </c>
    </row>
    <row r="747" spans="1:37" x14ac:dyDescent="0.3">
      <c r="A747">
        <v>20415</v>
      </c>
      <c r="B747" t="s">
        <v>134</v>
      </c>
      <c r="C747">
        <v>2</v>
      </c>
      <c r="D747">
        <v>4</v>
      </c>
      <c r="E747" t="s">
        <v>265</v>
      </c>
      <c r="F747" s="85" t="s">
        <v>331</v>
      </c>
      <c r="G747"/>
      <c r="H747" t="s">
        <v>294</v>
      </c>
      <c r="I747" t="s">
        <v>200</v>
      </c>
      <c r="J747" t="s">
        <v>176</v>
      </c>
      <c r="K747" s="1">
        <v>1.43</v>
      </c>
      <c r="L747" s="1">
        <v>1.43</v>
      </c>
      <c r="M747" s="1">
        <v>0</v>
      </c>
      <c r="N747" s="1">
        <v>1.43</v>
      </c>
      <c r="O747" s="1">
        <v>97.24</v>
      </c>
      <c r="P747" s="1">
        <v>60.06</v>
      </c>
      <c r="Q747" s="1">
        <v>0</v>
      </c>
      <c r="R747" s="1">
        <v>74.94</v>
      </c>
      <c r="S747" t="s">
        <v>12</v>
      </c>
      <c r="T747" s="13">
        <v>45921</v>
      </c>
      <c r="U747" s="1" t="str">
        <f>IF(ESTIMATIVA[[#This Row],[QT_AREA_REAL]]&gt;0,"1- Colhido","2- à Colher")</f>
        <v>1- Colhido</v>
      </c>
      <c r="V747" s="1" t="str">
        <f>IF(ESTIMATIVA[[#This Row],[QT_AREA_REST1]]&gt;0,"Reestimativa 1",IF(ESTIMATIVA[[#This Row],[QT_AREA_REAL]]=0,"Reestimativa 1","Realizado"))</f>
        <v>Reestimativa 1</v>
      </c>
      <c r="W747" s="1" t="str">
        <f>IF(ESTIMATIVA[[#This Row],[QT_AREA_REST2]]&gt;0,"Reestimativa 2",IF(ESTIMATIVA[[#This Row],[QT_AREA_REAL]]=0,"Reestimativa 2","Realizado"))</f>
        <v>Realizado</v>
      </c>
      <c r="X747" s="1">
        <f>ESTIMATIVA[[#This Row],[QT_AREA_EST]]</f>
        <v>1.43</v>
      </c>
      <c r="Y747" s="1">
        <f>IF(ESTIMATIVA[[#This Row],[QT_AREA_REST1]]&gt;0,ESTIMATIVA[[#This Row],[QT_AREA_REST1]],
  IF(ESTIMATIVA[[#This Row],[QT_AREA_REAL]]&gt;0,ESTIMATIVA[[#This Row],[QT_AREA_REAL]],ESTIMATIVA[[#This Row],[QT_AREA_EST]]))</f>
        <v>1.43</v>
      </c>
      <c r="Z74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1.43</v>
      </c>
      <c r="AA747" s="1">
        <f>ESTIMATIVA[[#This Row],[QT_CANA_EST]]</f>
        <v>97.24</v>
      </c>
      <c r="AB747" s="1">
        <f>IF(ESTIMATIVA[[#This Row],[QT_CANA_REST1]]&gt;0,ESTIMATIVA[[#This Row],[QT_CANA_REST1]],
  IF(ESTIMATIVA[[#This Row],[QT_CANA_REAL]]&gt;0,ESTIMATIVA[[#This Row],[QT_CANA_REAL]],ESTIMATIVA[[#This Row],[QT_CANA_EST]]))</f>
        <v>60.06</v>
      </c>
      <c r="AC74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74.94</v>
      </c>
      <c r="AD747" s="1">
        <f>IF(ESTIMATIVA[[#This Row],[QT_AREA_REAL]]&gt;0,ESTIMATIVA[[#This Row],[QT_CANA_REAL]],ESTIMATIVA[[#This Row],[QT_CANA_EST]])</f>
        <v>74.94</v>
      </c>
      <c r="AE747" s="1">
        <f>IF(ESTIMATIVA[[#This Row],[QT_AREA_REAL]]&gt;0,ESTIMATIVA[[#This Row],[QT_CANA_REAL]],ESTIMATIVA[[#This Row],[QT_CANA_REST1]])</f>
        <v>74.94</v>
      </c>
      <c r="AF747" s="1">
        <f>IF(ESTIMATIVA[[#This Row],[QT_AREA_REAL]]&gt;0,ESTIMATIVA[[#This Row],[QT_CANA_REAL]],ESTIMATIVA[[#This Row],[QT_CANA_REST2]])</f>
        <v>74.94</v>
      </c>
      <c r="AG747" s="1" t="str">
        <f>IF(COUNTIFS(GEADA!A:A,VALUE(ESTIMATIVA[[#This Row],[CD_UPNIVEL1]]&amp;TEXT(ESTIMATIVA[[#This Row],[CD_UPNIVEL3]],"0000")))&gt;0,"S","N")</f>
        <v>N</v>
      </c>
      <c r="AH74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47" s="55" t="str">
        <f>IF(ESTIMATIVA[[#This Row],[TP_CULTIVO]]="Irrigado",_xlfn.MAXIFS(IRRIGADO!J:J,IRRIGADO!C:C,ESTIMATIVA[[#This Row],[CD_UPNIVEL1]],IRRIGADO!E:E,ESTIMATIVA[[#This Row],[CD_UPNIVEL3]]),"")</f>
        <v/>
      </c>
      <c r="AJ74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47" s="1">
        <f>COUNTIFS(Apresentação!$E$23:$E$29,ESTIMATIVA[[#This Row],[CD_UPNIVEL1]])</f>
        <v>0</v>
      </c>
    </row>
    <row r="748" spans="1:37" x14ac:dyDescent="0.3">
      <c r="A748">
        <v>20415</v>
      </c>
      <c r="B748" t="s">
        <v>134</v>
      </c>
      <c r="C748">
        <v>3</v>
      </c>
      <c r="D748">
        <v>4</v>
      </c>
      <c r="E748" t="s">
        <v>265</v>
      </c>
      <c r="F748" s="85" t="s">
        <v>331</v>
      </c>
      <c r="G748"/>
      <c r="H748" t="s">
        <v>294</v>
      </c>
      <c r="I748" t="s">
        <v>200</v>
      </c>
      <c r="J748" t="s">
        <v>176</v>
      </c>
      <c r="K748" s="1">
        <v>9.98</v>
      </c>
      <c r="L748" s="1">
        <v>9.98</v>
      </c>
      <c r="M748" s="1">
        <v>0</v>
      </c>
      <c r="N748" s="1">
        <v>9.98</v>
      </c>
      <c r="O748" s="1">
        <v>678.64</v>
      </c>
      <c r="P748" s="1">
        <v>419.16</v>
      </c>
      <c r="Q748" s="1">
        <v>0</v>
      </c>
      <c r="R748" s="1">
        <v>523.45000000000005</v>
      </c>
      <c r="S748" t="s">
        <v>12</v>
      </c>
      <c r="T748" s="13">
        <v>45921</v>
      </c>
      <c r="U748" s="1" t="str">
        <f>IF(ESTIMATIVA[[#This Row],[QT_AREA_REAL]]&gt;0,"1- Colhido","2- à Colher")</f>
        <v>1- Colhido</v>
      </c>
      <c r="V748" s="1" t="str">
        <f>IF(ESTIMATIVA[[#This Row],[QT_AREA_REST1]]&gt;0,"Reestimativa 1",IF(ESTIMATIVA[[#This Row],[QT_AREA_REAL]]=0,"Reestimativa 1","Realizado"))</f>
        <v>Reestimativa 1</v>
      </c>
      <c r="W748" s="1" t="str">
        <f>IF(ESTIMATIVA[[#This Row],[QT_AREA_REST2]]&gt;0,"Reestimativa 2",IF(ESTIMATIVA[[#This Row],[QT_AREA_REAL]]=0,"Reestimativa 2","Realizado"))</f>
        <v>Realizado</v>
      </c>
      <c r="X748" s="1">
        <f>ESTIMATIVA[[#This Row],[QT_AREA_EST]]</f>
        <v>9.98</v>
      </c>
      <c r="Y748" s="1">
        <f>IF(ESTIMATIVA[[#This Row],[QT_AREA_REST1]]&gt;0,ESTIMATIVA[[#This Row],[QT_AREA_REST1]],
  IF(ESTIMATIVA[[#This Row],[QT_AREA_REAL]]&gt;0,ESTIMATIVA[[#This Row],[QT_AREA_REAL]],ESTIMATIVA[[#This Row],[QT_AREA_EST]]))</f>
        <v>9.98</v>
      </c>
      <c r="Z74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9.98</v>
      </c>
      <c r="AA748" s="1">
        <f>ESTIMATIVA[[#This Row],[QT_CANA_EST]]</f>
        <v>678.64</v>
      </c>
      <c r="AB748" s="1">
        <f>IF(ESTIMATIVA[[#This Row],[QT_CANA_REST1]]&gt;0,ESTIMATIVA[[#This Row],[QT_CANA_REST1]],
  IF(ESTIMATIVA[[#This Row],[QT_CANA_REAL]]&gt;0,ESTIMATIVA[[#This Row],[QT_CANA_REAL]],ESTIMATIVA[[#This Row],[QT_CANA_EST]]))</f>
        <v>419.16</v>
      </c>
      <c r="AC74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523.45000000000005</v>
      </c>
      <c r="AD748" s="1">
        <f>IF(ESTIMATIVA[[#This Row],[QT_AREA_REAL]]&gt;0,ESTIMATIVA[[#This Row],[QT_CANA_REAL]],ESTIMATIVA[[#This Row],[QT_CANA_EST]])</f>
        <v>523.45000000000005</v>
      </c>
      <c r="AE748" s="1">
        <f>IF(ESTIMATIVA[[#This Row],[QT_AREA_REAL]]&gt;0,ESTIMATIVA[[#This Row],[QT_CANA_REAL]],ESTIMATIVA[[#This Row],[QT_CANA_REST1]])</f>
        <v>523.45000000000005</v>
      </c>
      <c r="AF748" s="1">
        <f>IF(ESTIMATIVA[[#This Row],[QT_AREA_REAL]]&gt;0,ESTIMATIVA[[#This Row],[QT_CANA_REAL]],ESTIMATIVA[[#This Row],[QT_CANA_REST2]])</f>
        <v>523.45000000000005</v>
      </c>
      <c r="AG748" s="1" t="str">
        <f>IF(COUNTIFS(GEADA!A:A,VALUE(ESTIMATIVA[[#This Row],[CD_UPNIVEL1]]&amp;TEXT(ESTIMATIVA[[#This Row],[CD_UPNIVEL3]],"0000")))&gt;0,"S","N")</f>
        <v>N</v>
      </c>
      <c r="AH74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48" s="55" t="str">
        <f>IF(ESTIMATIVA[[#This Row],[TP_CULTIVO]]="Irrigado",_xlfn.MAXIFS(IRRIGADO!J:J,IRRIGADO!C:C,ESTIMATIVA[[#This Row],[CD_UPNIVEL1]],IRRIGADO!E:E,ESTIMATIVA[[#This Row],[CD_UPNIVEL3]]),"")</f>
        <v/>
      </c>
      <c r="AJ74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48" s="1">
        <f>COUNTIFS(Apresentação!$E$23:$E$29,ESTIMATIVA[[#This Row],[CD_UPNIVEL1]])</f>
        <v>0</v>
      </c>
    </row>
    <row r="749" spans="1:37" x14ac:dyDescent="0.3">
      <c r="A749">
        <v>20415</v>
      </c>
      <c r="B749" t="s">
        <v>134</v>
      </c>
      <c r="C749">
        <v>4</v>
      </c>
      <c r="D749">
        <v>4</v>
      </c>
      <c r="E749" t="s">
        <v>265</v>
      </c>
      <c r="F749" s="85" t="s">
        <v>331</v>
      </c>
      <c r="G749"/>
      <c r="H749" t="s">
        <v>294</v>
      </c>
      <c r="I749" t="s">
        <v>200</v>
      </c>
      <c r="J749" t="s">
        <v>176</v>
      </c>
      <c r="K749" s="1">
        <v>8.23</v>
      </c>
      <c r="L749" s="1">
        <v>8.23</v>
      </c>
      <c r="M749" s="1">
        <v>0</v>
      </c>
      <c r="N749" s="1">
        <v>8.23</v>
      </c>
      <c r="O749" s="1">
        <v>559.64</v>
      </c>
      <c r="P749" s="1">
        <v>345.66</v>
      </c>
      <c r="Q749" s="1">
        <v>0</v>
      </c>
      <c r="R749" s="1">
        <v>432.33</v>
      </c>
      <c r="S749" t="s">
        <v>12</v>
      </c>
      <c r="T749" s="13">
        <v>45921</v>
      </c>
      <c r="U749" s="1" t="str">
        <f>IF(ESTIMATIVA[[#This Row],[QT_AREA_REAL]]&gt;0,"1- Colhido","2- à Colher")</f>
        <v>1- Colhido</v>
      </c>
      <c r="V749" s="1" t="str">
        <f>IF(ESTIMATIVA[[#This Row],[QT_AREA_REST1]]&gt;0,"Reestimativa 1",IF(ESTIMATIVA[[#This Row],[QT_AREA_REAL]]=0,"Reestimativa 1","Realizado"))</f>
        <v>Reestimativa 1</v>
      </c>
      <c r="W749" s="1" t="str">
        <f>IF(ESTIMATIVA[[#This Row],[QT_AREA_REST2]]&gt;0,"Reestimativa 2",IF(ESTIMATIVA[[#This Row],[QT_AREA_REAL]]=0,"Reestimativa 2","Realizado"))</f>
        <v>Realizado</v>
      </c>
      <c r="X749" s="1">
        <f>ESTIMATIVA[[#This Row],[QT_AREA_EST]]</f>
        <v>8.23</v>
      </c>
      <c r="Y749" s="1">
        <f>IF(ESTIMATIVA[[#This Row],[QT_AREA_REST1]]&gt;0,ESTIMATIVA[[#This Row],[QT_AREA_REST1]],
  IF(ESTIMATIVA[[#This Row],[QT_AREA_REAL]]&gt;0,ESTIMATIVA[[#This Row],[QT_AREA_REAL]],ESTIMATIVA[[#This Row],[QT_AREA_EST]]))</f>
        <v>8.23</v>
      </c>
      <c r="Z74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8.23</v>
      </c>
      <c r="AA749" s="1">
        <f>ESTIMATIVA[[#This Row],[QT_CANA_EST]]</f>
        <v>559.64</v>
      </c>
      <c r="AB749" s="1">
        <f>IF(ESTIMATIVA[[#This Row],[QT_CANA_REST1]]&gt;0,ESTIMATIVA[[#This Row],[QT_CANA_REST1]],
  IF(ESTIMATIVA[[#This Row],[QT_CANA_REAL]]&gt;0,ESTIMATIVA[[#This Row],[QT_CANA_REAL]],ESTIMATIVA[[#This Row],[QT_CANA_EST]]))</f>
        <v>345.66</v>
      </c>
      <c r="AC74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432.33</v>
      </c>
      <c r="AD749" s="1">
        <f>IF(ESTIMATIVA[[#This Row],[QT_AREA_REAL]]&gt;0,ESTIMATIVA[[#This Row],[QT_CANA_REAL]],ESTIMATIVA[[#This Row],[QT_CANA_EST]])</f>
        <v>432.33</v>
      </c>
      <c r="AE749" s="1">
        <f>IF(ESTIMATIVA[[#This Row],[QT_AREA_REAL]]&gt;0,ESTIMATIVA[[#This Row],[QT_CANA_REAL]],ESTIMATIVA[[#This Row],[QT_CANA_REST1]])</f>
        <v>432.33</v>
      </c>
      <c r="AF749" s="1">
        <f>IF(ESTIMATIVA[[#This Row],[QT_AREA_REAL]]&gt;0,ESTIMATIVA[[#This Row],[QT_CANA_REAL]],ESTIMATIVA[[#This Row],[QT_CANA_REST2]])</f>
        <v>432.33</v>
      </c>
      <c r="AG749" s="1" t="str">
        <f>IF(COUNTIFS(GEADA!A:A,VALUE(ESTIMATIVA[[#This Row],[CD_UPNIVEL1]]&amp;TEXT(ESTIMATIVA[[#This Row],[CD_UPNIVEL3]],"0000")))&gt;0,"S","N")</f>
        <v>N</v>
      </c>
      <c r="AH74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49" s="55" t="str">
        <f>IF(ESTIMATIVA[[#This Row],[TP_CULTIVO]]="Irrigado",_xlfn.MAXIFS(IRRIGADO!J:J,IRRIGADO!C:C,ESTIMATIVA[[#This Row],[CD_UPNIVEL1]],IRRIGADO!E:E,ESTIMATIVA[[#This Row],[CD_UPNIVEL3]]),"")</f>
        <v/>
      </c>
      <c r="AJ74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49" s="1">
        <f>COUNTIFS(Apresentação!$E$23:$E$29,ESTIMATIVA[[#This Row],[CD_UPNIVEL1]])</f>
        <v>0</v>
      </c>
    </row>
    <row r="750" spans="1:37" x14ac:dyDescent="0.3">
      <c r="A750">
        <v>20420</v>
      </c>
      <c r="B750" t="s">
        <v>135</v>
      </c>
      <c r="C750">
        <v>1</v>
      </c>
      <c r="D750">
        <v>3</v>
      </c>
      <c r="E750" t="s">
        <v>263</v>
      </c>
      <c r="F750" s="85" t="s">
        <v>331</v>
      </c>
      <c r="G750"/>
      <c r="H750" t="s">
        <v>295</v>
      </c>
      <c r="I750" t="s">
        <v>200</v>
      </c>
      <c r="J750" t="s">
        <v>176</v>
      </c>
      <c r="K750" s="1">
        <v>21.74</v>
      </c>
      <c r="L750" s="1">
        <v>21.74</v>
      </c>
      <c r="M750" s="1">
        <v>21.74</v>
      </c>
      <c r="N750" s="1">
        <v>21.74</v>
      </c>
      <c r="O750" s="1">
        <v>1913.12</v>
      </c>
      <c r="P750" s="1">
        <v>1956.6</v>
      </c>
      <c r="Q750" s="1">
        <v>1739.2</v>
      </c>
      <c r="R750" s="1">
        <v>1298.01</v>
      </c>
      <c r="S750" t="s">
        <v>12</v>
      </c>
      <c r="T750" s="13">
        <v>46005</v>
      </c>
      <c r="U750" s="1" t="str">
        <f>IF(ESTIMATIVA[[#This Row],[QT_AREA_REAL]]&gt;0,"1- Colhido","2- à Colher")</f>
        <v>1- Colhido</v>
      </c>
      <c r="V750" s="1" t="str">
        <f>IF(ESTIMATIVA[[#This Row],[QT_AREA_REST1]]&gt;0,"Reestimativa 1",IF(ESTIMATIVA[[#This Row],[QT_AREA_REAL]]=0,"Reestimativa 1","Realizado"))</f>
        <v>Reestimativa 1</v>
      </c>
      <c r="W750" s="1" t="str">
        <f>IF(ESTIMATIVA[[#This Row],[QT_AREA_REST2]]&gt;0,"Reestimativa 2",IF(ESTIMATIVA[[#This Row],[QT_AREA_REAL]]=0,"Reestimativa 2","Realizado"))</f>
        <v>Reestimativa 2</v>
      </c>
      <c r="X750" s="1">
        <f>ESTIMATIVA[[#This Row],[QT_AREA_EST]]</f>
        <v>21.74</v>
      </c>
      <c r="Y750" s="1">
        <f>IF(ESTIMATIVA[[#This Row],[QT_AREA_REST1]]&gt;0,ESTIMATIVA[[#This Row],[QT_AREA_REST1]],
  IF(ESTIMATIVA[[#This Row],[QT_AREA_REAL]]&gt;0,ESTIMATIVA[[#This Row],[QT_AREA_REAL]],ESTIMATIVA[[#This Row],[QT_AREA_EST]]))</f>
        <v>21.74</v>
      </c>
      <c r="Z75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21.74</v>
      </c>
      <c r="AA750" s="1">
        <f>ESTIMATIVA[[#This Row],[QT_CANA_EST]]</f>
        <v>1913.12</v>
      </c>
      <c r="AB750" s="1">
        <f>IF(ESTIMATIVA[[#This Row],[QT_CANA_REST1]]&gt;0,ESTIMATIVA[[#This Row],[QT_CANA_REST1]],
  IF(ESTIMATIVA[[#This Row],[QT_CANA_REAL]]&gt;0,ESTIMATIVA[[#This Row],[QT_CANA_REAL]],ESTIMATIVA[[#This Row],[QT_CANA_EST]]))</f>
        <v>1956.6</v>
      </c>
      <c r="AC75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1739.2</v>
      </c>
      <c r="AD750" s="1">
        <f>IF(ESTIMATIVA[[#This Row],[QT_AREA_REAL]]&gt;0,ESTIMATIVA[[#This Row],[QT_CANA_REAL]],ESTIMATIVA[[#This Row],[QT_CANA_EST]])</f>
        <v>1298.01</v>
      </c>
      <c r="AE750" s="1">
        <f>IF(ESTIMATIVA[[#This Row],[QT_AREA_REAL]]&gt;0,ESTIMATIVA[[#This Row],[QT_CANA_REAL]],ESTIMATIVA[[#This Row],[QT_CANA_REST1]])</f>
        <v>1298.01</v>
      </c>
      <c r="AF750" s="1">
        <f>IF(ESTIMATIVA[[#This Row],[QT_AREA_REAL]]&gt;0,ESTIMATIVA[[#This Row],[QT_CANA_REAL]],ESTIMATIVA[[#This Row],[QT_CANA_REST2]])</f>
        <v>1298.01</v>
      </c>
      <c r="AG750" s="1" t="str">
        <f>IF(COUNTIFS(GEADA!A:A,VALUE(ESTIMATIVA[[#This Row],[CD_UPNIVEL1]]&amp;TEXT(ESTIMATIVA[[#This Row],[CD_UPNIVEL3]],"0000")))&gt;0,"S","N")</f>
        <v>N</v>
      </c>
      <c r="AH75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50" s="55" t="str">
        <f>IF(ESTIMATIVA[[#This Row],[TP_CULTIVO]]="Irrigado",_xlfn.MAXIFS(IRRIGADO!J:J,IRRIGADO!C:C,ESTIMATIVA[[#This Row],[CD_UPNIVEL1]],IRRIGADO!E:E,ESTIMATIVA[[#This Row],[CD_UPNIVEL3]]),"")</f>
        <v/>
      </c>
      <c r="AJ75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50" s="1">
        <f>COUNTIFS(Apresentação!$E$23:$E$29,ESTIMATIVA[[#This Row],[CD_UPNIVEL1]])</f>
        <v>0</v>
      </c>
    </row>
    <row r="751" spans="1:37" x14ac:dyDescent="0.3">
      <c r="A751">
        <v>20420</v>
      </c>
      <c r="B751" t="s">
        <v>135</v>
      </c>
      <c r="C751">
        <v>2</v>
      </c>
      <c r="D751">
        <v>3</v>
      </c>
      <c r="E751" t="s">
        <v>263</v>
      </c>
      <c r="F751" s="85" t="s">
        <v>331</v>
      </c>
      <c r="G751"/>
      <c r="H751" t="s">
        <v>295</v>
      </c>
      <c r="I751" t="s">
        <v>200</v>
      </c>
      <c r="J751" t="s">
        <v>176</v>
      </c>
      <c r="K751" s="1">
        <v>28.72</v>
      </c>
      <c r="L751" s="1">
        <v>28.72</v>
      </c>
      <c r="M751" s="1">
        <v>28.72</v>
      </c>
      <c r="N751" s="1">
        <v>28.72</v>
      </c>
      <c r="O751" s="1">
        <v>2527.36</v>
      </c>
      <c r="P751" s="1">
        <v>2584.8000000000002</v>
      </c>
      <c r="Q751" s="1">
        <v>2297.6</v>
      </c>
      <c r="R751" s="1">
        <v>1715.29</v>
      </c>
      <c r="S751" t="s">
        <v>12</v>
      </c>
      <c r="T751" s="13">
        <v>46005</v>
      </c>
      <c r="U751" s="1" t="str">
        <f>IF(ESTIMATIVA[[#This Row],[QT_AREA_REAL]]&gt;0,"1- Colhido","2- à Colher")</f>
        <v>1- Colhido</v>
      </c>
      <c r="V751" s="1" t="str">
        <f>IF(ESTIMATIVA[[#This Row],[QT_AREA_REST1]]&gt;0,"Reestimativa 1",IF(ESTIMATIVA[[#This Row],[QT_AREA_REAL]]=0,"Reestimativa 1","Realizado"))</f>
        <v>Reestimativa 1</v>
      </c>
      <c r="W751" s="1" t="str">
        <f>IF(ESTIMATIVA[[#This Row],[QT_AREA_REST2]]&gt;0,"Reestimativa 2",IF(ESTIMATIVA[[#This Row],[QT_AREA_REAL]]=0,"Reestimativa 2","Realizado"))</f>
        <v>Reestimativa 2</v>
      </c>
      <c r="X751" s="1">
        <f>ESTIMATIVA[[#This Row],[QT_AREA_EST]]</f>
        <v>28.72</v>
      </c>
      <c r="Y751" s="1">
        <f>IF(ESTIMATIVA[[#This Row],[QT_AREA_REST1]]&gt;0,ESTIMATIVA[[#This Row],[QT_AREA_REST1]],
  IF(ESTIMATIVA[[#This Row],[QT_AREA_REAL]]&gt;0,ESTIMATIVA[[#This Row],[QT_AREA_REAL]],ESTIMATIVA[[#This Row],[QT_AREA_EST]]))</f>
        <v>28.72</v>
      </c>
      <c r="Z75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28.72</v>
      </c>
      <c r="AA751" s="1">
        <f>ESTIMATIVA[[#This Row],[QT_CANA_EST]]</f>
        <v>2527.36</v>
      </c>
      <c r="AB751" s="1">
        <f>IF(ESTIMATIVA[[#This Row],[QT_CANA_REST1]]&gt;0,ESTIMATIVA[[#This Row],[QT_CANA_REST1]],
  IF(ESTIMATIVA[[#This Row],[QT_CANA_REAL]]&gt;0,ESTIMATIVA[[#This Row],[QT_CANA_REAL]],ESTIMATIVA[[#This Row],[QT_CANA_EST]]))</f>
        <v>2584.8000000000002</v>
      </c>
      <c r="AC75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2297.6</v>
      </c>
      <c r="AD751" s="1">
        <f>IF(ESTIMATIVA[[#This Row],[QT_AREA_REAL]]&gt;0,ESTIMATIVA[[#This Row],[QT_CANA_REAL]],ESTIMATIVA[[#This Row],[QT_CANA_EST]])</f>
        <v>1715.29</v>
      </c>
      <c r="AE751" s="1">
        <f>IF(ESTIMATIVA[[#This Row],[QT_AREA_REAL]]&gt;0,ESTIMATIVA[[#This Row],[QT_CANA_REAL]],ESTIMATIVA[[#This Row],[QT_CANA_REST1]])</f>
        <v>1715.29</v>
      </c>
      <c r="AF751" s="1">
        <f>IF(ESTIMATIVA[[#This Row],[QT_AREA_REAL]]&gt;0,ESTIMATIVA[[#This Row],[QT_CANA_REAL]],ESTIMATIVA[[#This Row],[QT_CANA_REST2]])</f>
        <v>1715.29</v>
      </c>
      <c r="AG751" s="1" t="str">
        <f>IF(COUNTIFS(GEADA!A:A,VALUE(ESTIMATIVA[[#This Row],[CD_UPNIVEL1]]&amp;TEXT(ESTIMATIVA[[#This Row],[CD_UPNIVEL3]],"0000")))&gt;0,"S","N")</f>
        <v>N</v>
      </c>
      <c r="AH75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51" s="55" t="str">
        <f>IF(ESTIMATIVA[[#This Row],[TP_CULTIVO]]="Irrigado",_xlfn.MAXIFS(IRRIGADO!J:J,IRRIGADO!C:C,ESTIMATIVA[[#This Row],[CD_UPNIVEL1]],IRRIGADO!E:E,ESTIMATIVA[[#This Row],[CD_UPNIVEL3]]),"")</f>
        <v/>
      </c>
      <c r="AJ75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51" s="1">
        <f>COUNTIFS(Apresentação!$E$23:$E$29,ESTIMATIVA[[#This Row],[CD_UPNIVEL1]])</f>
        <v>0</v>
      </c>
    </row>
    <row r="752" spans="1:37" x14ac:dyDescent="0.3">
      <c r="A752">
        <v>20420</v>
      </c>
      <c r="B752" t="s">
        <v>135</v>
      </c>
      <c r="C752">
        <v>3</v>
      </c>
      <c r="D752">
        <v>3</v>
      </c>
      <c r="E752" t="s">
        <v>263</v>
      </c>
      <c r="F752" s="85" t="s">
        <v>331</v>
      </c>
      <c r="G752"/>
      <c r="H752" t="s">
        <v>295</v>
      </c>
      <c r="I752" t="s">
        <v>200</v>
      </c>
      <c r="J752" t="s">
        <v>176</v>
      </c>
      <c r="K752" s="1">
        <v>23.83</v>
      </c>
      <c r="L752" s="1">
        <v>23.83</v>
      </c>
      <c r="M752" s="1">
        <v>23.83</v>
      </c>
      <c r="N752" s="1">
        <v>23.83</v>
      </c>
      <c r="O752" s="1">
        <v>2097.04</v>
      </c>
      <c r="P752" s="1">
        <v>2144.6999999999998</v>
      </c>
      <c r="Q752" s="1">
        <v>1906.4</v>
      </c>
      <c r="R752" s="1">
        <v>1422.67</v>
      </c>
      <c r="S752" t="s">
        <v>12</v>
      </c>
      <c r="T752" s="13">
        <v>46005</v>
      </c>
      <c r="U752" s="1" t="str">
        <f>IF(ESTIMATIVA[[#This Row],[QT_AREA_REAL]]&gt;0,"1- Colhido","2- à Colher")</f>
        <v>1- Colhido</v>
      </c>
      <c r="V752" s="1" t="str">
        <f>IF(ESTIMATIVA[[#This Row],[QT_AREA_REST1]]&gt;0,"Reestimativa 1",IF(ESTIMATIVA[[#This Row],[QT_AREA_REAL]]=0,"Reestimativa 1","Realizado"))</f>
        <v>Reestimativa 1</v>
      </c>
      <c r="W752" s="1" t="str">
        <f>IF(ESTIMATIVA[[#This Row],[QT_AREA_REST2]]&gt;0,"Reestimativa 2",IF(ESTIMATIVA[[#This Row],[QT_AREA_REAL]]=0,"Reestimativa 2","Realizado"))</f>
        <v>Reestimativa 2</v>
      </c>
      <c r="X752" s="1">
        <f>ESTIMATIVA[[#This Row],[QT_AREA_EST]]</f>
        <v>23.83</v>
      </c>
      <c r="Y752" s="1">
        <f>IF(ESTIMATIVA[[#This Row],[QT_AREA_REST1]]&gt;0,ESTIMATIVA[[#This Row],[QT_AREA_REST1]],
  IF(ESTIMATIVA[[#This Row],[QT_AREA_REAL]]&gt;0,ESTIMATIVA[[#This Row],[QT_AREA_REAL]],ESTIMATIVA[[#This Row],[QT_AREA_EST]]))</f>
        <v>23.83</v>
      </c>
      <c r="Z75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23.83</v>
      </c>
      <c r="AA752" s="1">
        <f>ESTIMATIVA[[#This Row],[QT_CANA_EST]]</f>
        <v>2097.04</v>
      </c>
      <c r="AB752" s="1">
        <f>IF(ESTIMATIVA[[#This Row],[QT_CANA_REST1]]&gt;0,ESTIMATIVA[[#This Row],[QT_CANA_REST1]],
  IF(ESTIMATIVA[[#This Row],[QT_CANA_REAL]]&gt;0,ESTIMATIVA[[#This Row],[QT_CANA_REAL]],ESTIMATIVA[[#This Row],[QT_CANA_EST]]))</f>
        <v>2144.6999999999998</v>
      </c>
      <c r="AC75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1906.4</v>
      </c>
      <c r="AD752" s="1">
        <f>IF(ESTIMATIVA[[#This Row],[QT_AREA_REAL]]&gt;0,ESTIMATIVA[[#This Row],[QT_CANA_REAL]],ESTIMATIVA[[#This Row],[QT_CANA_EST]])</f>
        <v>1422.67</v>
      </c>
      <c r="AE752" s="1">
        <f>IF(ESTIMATIVA[[#This Row],[QT_AREA_REAL]]&gt;0,ESTIMATIVA[[#This Row],[QT_CANA_REAL]],ESTIMATIVA[[#This Row],[QT_CANA_REST1]])</f>
        <v>1422.67</v>
      </c>
      <c r="AF752" s="1">
        <f>IF(ESTIMATIVA[[#This Row],[QT_AREA_REAL]]&gt;0,ESTIMATIVA[[#This Row],[QT_CANA_REAL]],ESTIMATIVA[[#This Row],[QT_CANA_REST2]])</f>
        <v>1422.67</v>
      </c>
      <c r="AG752" s="1" t="str">
        <f>IF(COUNTIFS(GEADA!A:A,VALUE(ESTIMATIVA[[#This Row],[CD_UPNIVEL1]]&amp;TEXT(ESTIMATIVA[[#This Row],[CD_UPNIVEL3]],"0000")))&gt;0,"S","N")</f>
        <v>N</v>
      </c>
      <c r="AH75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52" s="55" t="str">
        <f>IF(ESTIMATIVA[[#This Row],[TP_CULTIVO]]="Irrigado",_xlfn.MAXIFS(IRRIGADO!J:J,IRRIGADO!C:C,ESTIMATIVA[[#This Row],[CD_UPNIVEL1]],IRRIGADO!E:E,ESTIMATIVA[[#This Row],[CD_UPNIVEL3]]),"")</f>
        <v/>
      </c>
      <c r="AJ75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52" s="1">
        <f>COUNTIFS(Apresentação!$E$23:$E$29,ESTIMATIVA[[#This Row],[CD_UPNIVEL1]])</f>
        <v>0</v>
      </c>
    </row>
    <row r="753" spans="1:37" x14ac:dyDescent="0.3">
      <c r="A753">
        <v>20420</v>
      </c>
      <c r="B753" t="s">
        <v>135</v>
      </c>
      <c r="C753">
        <v>4</v>
      </c>
      <c r="D753">
        <v>3</v>
      </c>
      <c r="E753" t="s">
        <v>263</v>
      </c>
      <c r="F753" s="85" t="s">
        <v>331</v>
      </c>
      <c r="G753"/>
      <c r="H753" t="s">
        <v>295</v>
      </c>
      <c r="I753" t="s">
        <v>200</v>
      </c>
      <c r="J753" t="s">
        <v>176</v>
      </c>
      <c r="K753" s="1">
        <v>15.37</v>
      </c>
      <c r="L753" s="1">
        <v>15.37</v>
      </c>
      <c r="M753" s="1">
        <v>15.37</v>
      </c>
      <c r="N753" s="1">
        <v>15.37</v>
      </c>
      <c r="O753" s="1">
        <v>1352.56</v>
      </c>
      <c r="P753" s="1">
        <v>1383.3</v>
      </c>
      <c r="Q753" s="1">
        <v>1383.3</v>
      </c>
      <c r="R753" s="1">
        <v>1032.6099999999999</v>
      </c>
      <c r="S753" t="s">
        <v>12</v>
      </c>
      <c r="T753" s="13">
        <v>46005</v>
      </c>
      <c r="U753" s="1" t="str">
        <f>IF(ESTIMATIVA[[#This Row],[QT_AREA_REAL]]&gt;0,"1- Colhido","2- à Colher")</f>
        <v>1- Colhido</v>
      </c>
      <c r="V753" s="1" t="str">
        <f>IF(ESTIMATIVA[[#This Row],[QT_AREA_REST1]]&gt;0,"Reestimativa 1",IF(ESTIMATIVA[[#This Row],[QT_AREA_REAL]]=0,"Reestimativa 1","Realizado"))</f>
        <v>Reestimativa 1</v>
      </c>
      <c r="W753" s="1" t="str">
        <f>IF(ESTIMATIVA[[#This Row],[QT_AREA_REST2]]&gt;0,"Reestimativa 2",IF(ESTIMATIVA[[#This Row],[QT_AREA_REAL]]=0,"Reestimativa 2","Realizado"))</f>
        <v>Reestimativa 2</v>
      </c>
      <c r="X753" s="1">
        <f>ESTIMATIVA[[#This Row],[QT_AREA_EST]]</f>
        <v>15.37</v>
      </c>
      <c r="Y753" s="1">
        <f>IF(ESTIMATIVA[[#This Row],[QT_AREA_REST1]]&gt;0,ESTIMATIVA[[#This Row],[QT_AREA_REST1]],
  IF(ESTIMATIVA[[#This Row],[QT_AREA_REAL]]&gt;0,ESTIMATIVA[[#This Row],[QT_AREA_REAL]],ESTIMATIVA[[#This Row],[QT_AREA_EST]]))</f>
        <v>15.37</v>
      </c>
      <c r="Z75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15.37</v>
      </c>
      <c r="AA753" s="1">
        <f>ESTIMATIVA[[#This Row],[QT_CANA_EST]]</f>
        <v>1352.56</v>
      </c>
      <c r="AB753" s="1">
        <f>IF(ESTIMATIVA[[#This Row],[QT_CANA_REST1]]&gt;0,ESTIMATIVA[[#This Row],[QT_CANA_REST1]],
  IF(ESTIMATIVA[[#This Row],[QT_CANA_REAL]]&gt;0,ESTIMATIVA[[#This Row],[QT_CANA_REAL]],ESTIMATIVA[[#This Row],[QT_CANA_EST]]))</f>
        <v>1383.3</v>
      </c>
      <c r="AC75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1383.3</v>
      </c>
      <c r="AD753" s="1">
        <f>IF(ESTIMATIVA[[#This Row],[QT_AREA_REAL]]&gt;0,ESTIMATIVA[[#This Row],[QT_CANA_REAL]],ESTIMATIVA[[#This Row],[QT_CANA_EST]])</f>
        <v>1032.6099999999999</v>
      </c>
      <c r="AE753" s="1">
        <f>IF(ESTIMATIVA[[#This Row],[QT_AREA_REAL]]&gt;0,ESTIMATIVA[[#This Row],[QT_CANA_REAL]],ESTIMATIVA[[#This Row],[QT_CANA_REST1]])</f>
        <v>1032.6099999999999</v>
      </c>
      <c r="AF753" s="1">
        <f>IF(ESTIMATIVA[[#This Row],[QT_AREA_REAL]]&gt;0,ESTIMATIVA[[#This Row],[QT_CANA_REAL]],ESTIMATIVA[[#This Row],[QT_CANA_REST2]])</f>
        <v>1032.6099999999999</v>
      </c>
      <c r="AG753" s="1" t="str">
        <f>IF(COUNTIFS(GEADA!A:A,VALUE(ESTIMATIVA[[#This Row],[CD_UPNIVEL1]]&amp;TEXT(ESTIMATIVA[[#This Row],[CD_UPNIVEL3]],"0000")))&gt;0,"S","N")</f>
        <v>N</v>
      </c>
      <c r="AH75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53" s="55" t="str">
        <f>IF(ESTIMATIVA[[#This Row],[TP_CULTIVO]]="Irrigado",_xlfn.MAXIFS(IRRIGADO!J:J,IRRIGADO!C:C,ESTIMATIVA[[#This Row],[CD_UPNIVEL1]],IRRIGADO!E:E,ESTIMATIVA[[#This Row],[CD_UPNIVEL3]]),"")</f>
        <v/>
      </c>
      <c r="AJ75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53" s="1">
        <f>COUNTIFS(Apresentação!$E$23:$E$29,ESTIMATIVA[[#This Row],[CD_UPNIVEL1]])</f>
        <v>0</v>
      </c>
    </row>
    <row r="754" spans="1:37" x14ac:dyDescent="0.3">
      <c r="A754">
        <v>20426</v>
      </c>
      <c r="B754" t="s">
        <v>64</v>
      </c>
      <c r="C754">
        <v>1</v>
      </c>
      <c r="D754">
        <v>3</v>
      </c>
      <c r="E754" t="s">
        <v>263</v>
      </c>
      <c r="F754" s="85" t="s">
        <v>331</v>
      </c>
      <c r="G754"/>
      <c r="H754" t="s">
        <v>294</v>
      </c>
      <c r="I754" t="s">
        <v>205</v>
      </c>
      <c r="J754" t="s">
        <v>176</v>
      </c>
      <c r="K754" s="1">
        <v>37.61</v>
      </c>
      <c r="L754" s="1">
        <v>37.61</v>
      </c>
      <c r="M754" s="1">
        <v>37.61</v>
      </c>
      <c r="N754" s="1">
        <v>37.61</v>
      </c>
      <c r="O754" s="1">
        <v>3084.02</v>
      </c>
      <c r="P754" s="1">
        <v>3272.07</v>
      </c>
      <c r="Q754" s="1">
        <v>2783.14</v>
      </c>
      <c r="R754" s="1">
        <v>3235.05</v>
      </c>
      <c r="S754" t="s">
        <v>12</v>
      </c>
      <c r="T754" s="13">
        <v>46012</v>
      </c>
      <c r="U754" s="1" t="str">
        <f>IF(ESTIMATIVA[[#This Row],[QT_AREA_REAL]]&gt;0,"1- Colhido","2- à Colher")</f>
        <v>1- Colhido</v>
      </c>
      <c r="V754" s="1" t="str">
        <f>IF(ESTIMATIVA[[#This Row],[QT_AREA_REST1]]&gt;0,"Reestimativa 1",IF(ESTIMATIVA[[#This Row],[QT_AREA_REAL]]=0,"Reestimativa 1","Realizado"))</f>
        <v>Reestimativa 1</v>
      </c>
      <c r="W754" s="1" t="str">
        <f>IF(ESTIMATIVA[[#This Row],[QT_AREA_REST2]]&gt;0,"Reestimativa 2",IF(ESTIMATIVA[[#This Row],[QT_AREA_REAL]]=0,"Reestimativa 2","Realizado"))</f>
        <v>Reestimativa 2</v>
      </c>
      <c r="X754" s="1">
        <f>ESTIMATIVA[[#This Row],[QT_AREA_EST]]</f>
        <v>37.61</v>
      </c>
      <c r="Y754" s="1">
        <f>IF(ESTIMATIVA[[#This Row],[QT_AREA_REST1]]&gt;0,ESTIMATIVA[[#This Row],[QT_AREA_REST1]],
  IF(ESTIMATIVA[[#This Row],[QT_AREA_REAL]]&gt;0,ESTIMATIVA[[#This Row],[QT_AREA_REAL]],ESTIMATIVA[[#This Row],[QT_AREA_EST]]))</f>
        <v>37.61</v>
      </c>
      <c r="Z75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37.61</v>
      </c>
      <c r="AA754" s="1">
        <f>ESTIMATIVA[[#This Row],[QT_CANA_EST]]</f>
        <v>3084.02</v>
      </c>
      <c r="AB754" s="1">
        <f>IF(ESTIMATIVA[[#This Row],[QT_CANA_REST1]]&gt;0,ESTIMATIVA[[#This Row],[QT_CANA_REST1]],
  IF(ESTIMATIVA[[#This Row],[QT_CANA_REAL]]&gt;0,ESTIMATIVA[[#This Row],[QT_CANA_REAL]],ESTIMATIVA[[#This Row],[QT_CANA_EST]]))</f>
        <v>3272.07</v>
      </c>
      <c r="AC75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2783.14</v>
      </c>
      <c r="AD754" s="1">
        <f>IF(ESTIMATIVA[[#This Row],[QT_AREA_REAL]]&gt;0,ESTIMATIVA[[#This Row],[QT_CANA_REAL]],ESTIMATIVA[[#This Row],[QT_CANA_EST]])</f>
        <v>3235.05</v>
      </c>
      <c r="AE754" s="1">
        <f>IF(ESTIMATIVA[[#This Row],[QT_AREA_REAL]]&gt;0,ESTIMATIVA[[#This Row],[QT_CANA_REAL]],ESTIMATIVA[[#This Row],[QT_CANA_REST1]])</f>
        <v>3235.05</v>
      </c>
      <c r="AF754" s="1">
        <f>IF(ESTIMATIVA[[#This Row],[QT_AREA_REAL]]&gt;0,ESTIMATIVA[[#This Row],[QT_CANA_REAL]],ESTIMATIVA[[#This Row],[QT_CANA_REST2]])</f>
        <v>3235.05</v>
      </c>
      <c r="AG754" s="1" t="str">
        <f>IF(COUNTIFS(GEADA!A:A,VALUE(ESTIMATIVA[[#This Row],[CD_UPNIVEL1]]&amp;TEXT(ESTIMATIVA[[#This Row],[CD_UPNIVEL3]],"0000")))&gt;0,"S","N")</f>
        <v>N</v>
      </c>
      <c r="AH75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54" s="55" t="str">
        <f>IF(ESTIMATIVA[[#This Row],[TP_CULTIVO]]="Irrigado",_xlfn.MAXIFS(IRRIGADO!J:J,IRRIGADO!C:C,ESTIMATIVA[[#This Row],[CD_UPNIVEL1]],IRRIGADO!E:E,ESTIMATIVA[[#This Row],[CD_UPNIVEL3]]),"")</f>
        <v/>
      </c>
      <c r="AJ75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54" s="1">
        <f>COUNTIFS(Apresentação!$E$23:$E$29,ESTIMATIVA[[#This Row],[CD_UPNIVEL1]])</f>
        <v>0</v>
      </c>
    </row>
    <row r="755" spans="1:37" x14ac:dyDescent="0.3">
      <c r="A755">
        <v>20426</v>
      </c>
      <c r="B755" t="s">
        <v>64</v>
      </c>
      <c r="C755">
        <v>2</v>
      </c>
      <c r="D755">
        <v>3</v>
      </c>
      <c r="E755" t="s">
        <v>263</v>
      </c>
      <c r="F755" s="85" t="s">
        <v>331</v>
      </c>
      <c r="G755"/>
      <c r="H755" t="s">
        <v>294</v>
      </c>
      <c r="I755" t="s">
        <v>200</v>
      </c>
      <c r="J755" t="s">
        <v>176</v>
      </c>
      <c r="K755" s="1">
        <v>31.5</v>
      </c>
      <c r="L755" s="1">
        <v>31.5</v>
      </c>
      <c r="M755" s="1">
        <v>31.5</v>
      </c>
      <c r="N755" s="1">
        <v>31.5</v>
      </c>
      <c r="O755" s="1">
        <v>2583</v>
      </c>
      <c r="P755" s="1">
        <v>2740.5</v>
      </c>
      <c r="Q755" s="1">
        <v>1890</v>
      </c>
      <c r="R755" s="1">
        <v>1691.41</v>
      </c>
      <c r="S755" t="s">
        <v>12</v>
      </c>
      <c r="T755" s="13">
        <v>46005</v>
      </c>
      <c r="U755" s="1" t="str">
        <f>IF(ESTIMATIVA[[#This Row],[QT_AREA_REAL]]&gt;0,"1- Colhido","2- à Colher")</f>
        <v>1- Colhido</v>
      </c>
      <c r="V755" s="1" t="str">
        <f>IF(ESTIMATIVA[[#This Row],[QT_AREA_REST1]]&gt;0,"Reestimativa 1",IF(ESTIMATIVA[[#This Row],[QT_AREA_REAL]]=0,"Reestimativa 1","Realizado"))</f>
        <v>Reestimativa 1</v>
      </c>
      <c r="W755" s="1" t="str">
        <f>IF(ESTIMATIVA[[#This Row],[QT_AREA_REST2]]&gt;0,"Reestimativa 2",IF(ESTIMATIVA[[#This Row],[QT_AREA_REAL]]=0,"Reestimativa 2","Realizado"))</f>
        <v>Reestimativa 2</v>
      </c>
      <c r="X755" s="1">
        <f>ESTIMATIVA[[#This Row],[QT_AREA_EST]]</f>
        <v>31.5</v>
      </c>
      <c r="Y755" s="1">
        <f>IF(ESTIMATIVA[[#This Row],[QT_AREA_REST1]]&gt;0,ESTIMATIVA[[#This Row],[QT_AREA_REST1]],
  IF(ESTIMATIVA[[#This Row],[QT_AREA_REAL]]&gt;0,ESTIMATIVA[[#This Row],[QT_AREA_REAL]],ESTIMATIVA[[#This Row],[QT_AREA_EST]]))</f>
        <v>31.5</v>
      </c>
      <c r="Z75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31.5</v>
      </c>
      <c r="AA755" s="1">
        <f>ESTIMATIVA[[#This Row],[QT_CANA_EST]]</f>
        <v>2583</v>
      </c>
      <c r="AB755" s="1">
        <f>IF(ESTIMATIVA[[#This Row],[QT_CANA_REST1]]&gt;0,ESTIMATIVA[[#This Row],[QT_CANA_REST1]],
  IF(ESTIMATIVA[[#This Row],[QT_CANA_REAL]]&gt;0,ESTIMATIVA[[#This Row],[QT_CANA_REAL]],ESTIMATIVA[[#This Row],[QT_CANA_EST]]))</f>
        <v>2740.5</v>
      </c>
      <c r="AC75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1890</v>
      </c>
      <c r="AD755" s="1">
        <f>IF(ESTIMATIVA[[#This Row],[QT_AREA_REAL]]&gt;0,ESTIMATIVA[[#This Row],[QT_CANA_REAL]],ESTIMATIVA[[#This Row],[QT_CANA_EST]])</f>
        <v>1691.41</v>
      </c>
      <c r="AE755" s="1">
        <f>IF(ESTIMATIVA[[#This Row],[QT_AREA_REAL]]&gt;0,ESTIMATIVA[[#This Row],[QT_CANA_REAL]],ESTIMATIVA[[#This Row],[QT_CANA_REST1]])</f>
        <v>1691.41</v>
      </c>
      <c r="AF755" s="1">
        <f>IF(ESTIMATIVA[[#This Row],[QT_AREA_REAL]]&gt;0,ESTIMATIVA[[#This Row],[QT_CANA_REAL]],ESTIMATIVA[[#This Row],[QT_CANA_REST2]])</f>
        <v>1691.41</v>
      </c>
      <c r="AG755" s="1" t="str">
        <f>IF(COUNTIFS(GEADA!A:A,VALUE(ESTIMATIVA[[#This Row],[CD_UPNIVEL1]]&amp;TEXT(ESTIMATIVA[[#This Row],[CD_UPNIVEL3]],"0000")))&gt;0,"S","N")</f>
        <v>N</v>
      </c>
      <c r="AH75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55" s="55" t="str">
        <f>IF(ESTIMATIVA[[#This Row],[TP_CULTIVO]]="Irrigado",_xlfn.MAXIFS(IRRIGADO!J:J,IRRIGADO!C:C,ESTIMATIVA[[#This Row],[CD_UPNIVEL1]],IRRIGADO!E:E,ESTIMATIVA[[#This Row],[CD_UPNIVEL3]]),"")</f>
        <v/>
      </c>
      <c r="AJ75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55" s="1">
        <f>COUNTIFS(Apresentação!$E$23:$E$29,ESTIMATIVA[[#This Row],[CD_UPNIVEL1]])</f>
        <v>0</v>
      </c>
    </row>
    <row r="756" spans="1:37" x14ac:dyDescent="0.3">
      <c r="A756">
        <v>20426</v>
      </c>
      <c r="B756" t="s">
        <v>64</v>
      </c>
      <c r="C756">
        <v>3</v>
      </c>
      <c r="D756">
        <v>3</v>
      </c>
      <c r="E756" t="s">
        <v>263</v>
      </c>
      <c r="F756" s="85" t="s">
        <v>331</v>
      </c>
      <c r="G756"/>
      <c r="H756" t="s">
        <v>294</v>
      </c>
      <c r="I756" t="s">
        <v>200</v>
      </c>
      <c r="J756" t="s">
        <v>176</v>
      </c>
      <c r="K756" s="1">
        <v>18.3</v>
      </c>
      <c r="L756" s="1">
        <v>18.3</v>
      </c>
      <c r="M756" s="1">
        <v>18.3</v>
      </c>
      <c r="N756" s="1">
        <v>18.3</v>
      </c>
      <c r="O756" s="1">
        <v>1464</v>
      </c>
      <c r="P756" s="1">
        <v>1537.2</v>
      </c>
      <c r="Q756" s="1">
        <v>1098</v>
      </c>
      <c r="R756" s="1">
        <v>992.82</v>
      </c>
      <c r="S756" t="s">
        <v>12</v>
      </c>
      <c r="T756" s="13">
        <v>46005</v>
      </c>
      <c r="U756" s="1" t="str">
        <f>IF(ESTIMATIVA[[#This Row],[QT_AREA_REAL]]&gt;0,"1- Colhido","2- à Colher")</f>
        <v>1- Colhido</v>
      </c>
      <c r="V756" s="1" t="str">
        <f>IF(ESTIMATIVA[[#This Row],[QT_AREA_REST1]]&gt;0,"Reestimativa 1",IF(ESTIMATIVA[[#This Row],[QT_AREA_REAL]]=0,"Reestimativa 1","Realizado"))</f>
        <v>Reestimativa 1</v>
      </c>
      <c r="W756" s="1" t="str">
        <f>IF(ESTIMATIVA[[#This Row],[QT_AREA_REST2]]&gt;0,"Reestimativa 2",IF(ESTIMATIVA[[#This Row],[QT_AREA_REAL]]=0,"Reestimativa 2","Realizado"))</f>
        <v>Reestimativa 2</v>
      </c>
      <c r="X756" s="1">
        <f>ESTIMATIVA[[#This Row],[QT_AREA_EST]]</f>
        <v>18.3</v>
      </c>
      <c r="Y756" s="1">
        <f>IF(ESTIMATIVA[[#This Row],[QT_AREA_REST1]]&gt;0,ESTIMATIVA[[#This Row],[QT_AREA_REST1]],
  IF(ESTIMATIVA[[#This Row],[QT_AREA_REAL]]&gt;0,ESTIMATIVA[[#This Row],[QT_AREA_REAL]],ESTIMATIVA[[#This Row],[QT_AREA_EST]]))</f>
        <v>18.3</v>
      </c>
      <c r="Z75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18.3</v>
      </c>
      <c r="AA756" s="1">
        <f>ESTIMATIVA[[#This Row],[QT_CANA_EST]]</f>
        <v>1464</v>
      </c>
      <c r="AB756" s="1">
        <f>IF(ESTIMATIVA[[#This Row],[QT_CANA_REST1]]&gt;0,ESTIMATIVA[[#This Row],[QT_CANA_REST1]],
  IF(ESTIMATIVA[[#This Row],[QT_CANA_REAL]]&gt;0,ESTIMATIVA[[#This Row],[QT_CANA_REAL]],ESTIMATIVA[[#This Row],[QT_CANA_EST]]))</f>
        <v>1537.2</v>
      </c>
      <c r="AC75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1098</v>
      </c>
      <c r="AD756" s="1">
        <f>IF(ESTIMATIVA[[#This Row],[QT_AREA_REAL]]&gt;0,ESTIMATIVA[[#This Row],[QT_CANA_REAL]],ESTIMATIVA[[#This Row],[QT_CANA_EST]])</f>
        <v>992.82</v>
      </c>
      <c r="AE756" s="1">
        <f>IF(ESTIMATIVA[[#This Row],[QT_AREA_REAL]]&gt;0,ESTIMATIVA[[#This Row],[QT_CANA_REAL]],ESTIMATIVA[[#This Row],[QT_CANA_REST1]])</f>
        <v>992.82</v>
      </c>
      <c r="AF756" s="1">
        <f>IF(ESTIMATIVA[[#This Row],[QT_AREA_REAL]]&gt;0,ESTIMATIVA[[#This Row],[QT_CANA_REAL]],ESTIMATIVA[[#This Row],[QT_CANA_REST2]])</f>
        <v>992.82</v>
      </c>
      <c r="AG756" s="1" t="str">
        <f>IF(COUNTIFS(GEADA!A:A,VALUE(ESTIMATIVA[[#This Row],[CD_UPNIVEL1]]&amp;TEXT(ESTIMATIVA[[#This Row],[CD_UPNIVEL3]],"0000")))&gt;0,"S","N")</f>
        <v>N</v>
      </c>
      <c r="AH75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56" s="55" t="str">
        <f>IF(ESTIMATIVA[[#This Row],[TP_CULTIVO]]="Irrigado",_xlfn.MAXIFS(IRRIGADO!J:J,IRRIGADO!C:C,ESTIMATIVA[[#This Row],[CD_UPNIVEL1]],IRRIGADO!E:E,ESTIMATIVA[[#This Row],[CD_UPNIVEL3]]),"")</f>
        <v/>
      </c>
      <c r="AJ75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56" s="1">
        <f>COUNTIFS(Apresentação!$E$23:$E$29,ESTIMATIVA[[#This Row],[CD_UPNIVEL1]])</f>
        <v>0</v>
      </c>
    </row>
    <row r="757" spans="1:37" x14ac:dyDescent="0.3">
      <c r="A757">
        <v>20426</v>
      </c>
      <c r="B757" t="s">
        <v>64</v>
      </c>
      <c r="C757">
        <v>4</v>
      </c>
      <c r="D757">
        <v>3</v>
      </c>
      <c r="E757" t="s">
        <v>263</v>
      </c>
      <c r="F757" s="85" t="s">
        <v>331</v>
      </c>
      <c r="G757"/>
      <c r="H757" t="s">
        <v>294</v>
      </c>
      <c r="I757" t="s">
        <v>200</v>
      </c>
      <c r="J757" t="s">
        <v>176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/>
      <c r="S757" t="s">
        <v>12</v>
      </c>
      <c r="T757" s="13">
        <v>46005</v>
      </c>
      <c r="U757" s="1" t="str">
        <f>IF(ESTIMATIVA[[#This Row],[QT_AREA_REAL]]&gt;0,"1- Colhido","2- à Colher")</f>
        <v>2- à Colher</v>
      </c>
      <c r="V757" s="1" t="str">
        <f>IF(ESTIMATIVA[[#This Row],[QT_AREA_REST1]]&gt;0,"Reestimativa 1",IF(ESTIMATIVA[[#This Row],[QT_AREA_REAL]]=0,"Reestimativa 1","Realizado"))</f>
        <v>Reestimativa 1</v>
      </c>
      <c r="W757" s="1" t="str">
        <f>IF(ESTIMATIVA[[#This Row],[QT_AREA_REST2]]&gt;0,"Reestimativa 2",IF(ESTIMATIVA[[#This Row],[QT_AREA_REAL]]=0,"Reestimativa 2","Realizado"))</f>
        <v>Reestimativa 2</v>
      </c>
      <c r="X757" s="1">
        <f>ESTIMATIVA[[#This Row],[QT_AREA_EST]]</f>
        <v>0</v>
      </c>
      <c r="Y757" s="1">
        <f>IF(ESTIMATIVA[[#This Row],[QT_AREA_REST1]]&gt;0,ESTIMATIVA[[#This Row],[QT_AREA_REST1]],
  IF(ESTIMATIVA[[#This Row],[QT_AREA_REAL]]&gt;0,ESTIMATIVA[[#This Row],[QT_AREA_REAL]],ESTIMATIVA[[#This Row],[QT_AREA_EST]]))</f>
        <v>0</v>
      </c>
      <c r="Z75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</v>
      </c>
      <c r="AA757" s="1">
        <f>ESTIMATIVA[[#This Row],[QT_CANA_EST]]</f>
        <v>0</v>
      </c>
      <c r="AB757" s="1">
        <f>IF(ESTIMATIVA[[#This Row],[QT_CANA_REST1]]&gt;0,ESTIMATIVA[[#This Row],[QT_CANA_REST1]],
  IF(ESTIMATIVA[[#This Row],[QT_CANA_REAL]]&gt;0,ESTIMATIVA[[#This Row],[QT_CANA_REAL]],ESTIMATIVA[[#This Row],[QT_CANA_EST]]))</f>
        <v>0</v>
      </c>
      <c r="AC75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0</v>
      </c>
      <c r="AD757" s="1">
        <f>IF(ESTIMATIVA[[#This Row],[QT_AREA_REAL]]&gt;0,ESTIMATIVA[[#This Row],[QT_CANA_REAL]],ESTIMATIVA[[#This Row],[QT_CANA_EST]])</f>
        <v>0</v>
      </c>
      <c r="AE757" s="1">
        <f>IF(ESTIMATIVA[[#This Row],[QT_AREA_REAL]]&gt;0,ESTIMATIVA[[#This Row],[QT_CANA_REAL]],ESTIMATIVA[[#This Row],[QT_CANA_REST1]])</f>
        <v>0</v>
      </c>
      <c r="AF757" s="1">
        <f>IF(ESTIMATIVA[[#This Row],[QT_AREA_REAL]]&gt;0,ESTIMATIVA[[#This Row],[QT_CANA_REAL]],ESTIMATIVA[[#This Row],[QT_CANA_REST2]])</f>
        <v>0</v>
      </c>
      <c r="AG757" s="1" t="str">
        <f>IF(COUNTIFS(GEADA!A:A,VALUE(ESTIMATIVA[[#This Row],[CD_UPNIVEL1]]&amp;TEXT(ESTIMATIVA[[#This Row],[CD_UPNIVEL3]],"0000")))&gt;0,"S","N")</f>
        <v>N</v>
      </c>
      <c r="AH75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57" s="55" t="str">
        <f>IF(ESTIMATIVA[[#This Row],[TP_CULTIVO]]="Irrigado",_xlfn.MAXIFS(IRRIGADO!J:J,IRRIGADO!C:C,ESTIMATIVA[[#This Row],[CD_UPNIVEL1]],IRRIGADO!E:E,ESTIMATIVA[[#This Row],[CD_UPNIVEL3]]),"")</f>
        <v/>
      </c>
      <c r="AJ75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57" s="1">
        <f>COUNTIFS(Apresentação!$E$23:$E$29,ESTIMATIVA[[#This Row],[CD_UPNIVEL1]])</f>
        <v>0</v>
      </c>
    </row>
    <row r="758" spans="1:37" x14ac:dyDescent="0.3">
      <c r="A758">
        <v>20426</v>
      </c>
      <c r="B758" t="s">
        <v>64</v>
      </c>
      <c r="C758">
        <v>5</v>
      </c>
      <c r="D758">
        <v>3</v>
      </c>
      <c r="E758" t="s">
        <v>263</v>
      </c>
      <c r="F758" s="85" t="s">
        <v>331</v>
      </c>
      <c r="G758"/>
      <c r="H758" t="s">
        <v>294</v>
      </c>
      <c r="I758" t="s">
        <v>200</v>
      </c>
      <c r="J758" t="s">
        <v>176</v>
      </c>
      <c r="K758" s="1">
        <v>8.9600000000000009</v>
      </c>
      <c r="L758" s="1">
        <v>8.9600000000000009</v>
      </c>
      <c r="M758" s="1">
        <v>8.9600000000000009</v>
      </c>
      <c r="N758" s="1">
        <v>8.9600000000000009</v>
      </c>
      <c r="O758" s="1">
        <v>788.48</v>
      </c>
      <c r="P758" s="1">
        <v>806.4</v>
      </c>
      <c r="Q758" s="1">
        <v>609.28</v>
      </c>
      <c r="R758" s="1">
        <v>533.13</v>
      </c>
      <c r="S758" t="s">
        <v>12</v>
      </c>
      <c r="T758" s="13">
        <v>46005</v>
      </c>
      <c r="U758" s="1" t="str">
        <f>IF(ESTIMATIVA[[#This Row],[QT_AREA_REAL]]&gt;0,"1- Colhido","2- à Colher")</f>
        <v>1- Colhido</v>
      </c>
      <c r="V758" s="1" t="str">
        <f>IF(ESTIMATIVA[[#This Row],[QT_AREA_REST1]]&gt;0,"Reestimativa 1",IF(ESTIMATIVA[[#This Row],[QT_AREA_REAL]]=0,"Reestimativa 1","Realizado"))</f>
        <v>Reestimativa 1</v>
      </c>
      <c r="W758" s="1" t="str">
        <f>IF(ESTIMATIVA[[#This Row],[QT_AREA_REST2]]&gt;0,"Reestimativa 2",IF(ESTIMATIVA[[#This Row],[QT_AREA_REAL]]=0,"Reestimativa 2","Realizado"))</f>
        <v>Reestimativa 2</v>
      </c>
      <c r="X758" s="1">
        <f>ESTIMATIVA[[#This Row],[QT_AREA_EST]]</f>
        <v>8.9600000000000009</v>
      </c>
      <c r="Y758" s="1">
        <f>IF(ESTIMATIVA[[#This Row],[QT_AREA_REST1]]&gt;0,ESTIMATIVA[[#This Row],[QT_AREA_REST1]],
  IF(ESTIMATIVA[[#This Row],[QT_AREA_REAL]]&gt;0,ESTIMATIVA[[#This Row],[QT_AREA_REAL]],ESTIMATIVA[[#This Row],[QT_AREA_EST]]))</f>
        <v>8.9600000000000009</v>
      </c>
      <c r="Z75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8.9600000000000009</v>
      </c>
      <c r="AA758" s="1">
        <f>ESTIMATIVA[[#This Row],[QT_CANA_EST]]</f>
        <v>788.48</v>
      </c>
      <c r="AB758" s="1">
        <f>IF(ESTIMATIVA[[#This Row],[QT_CANA_REST1]]&gt;0,ESTIMATIVA[[#This Row],[QT_CANA_REST1]],
  IF(ESTIMATIVA[[#This Row],[QT_CANA_REAL]]&gt;0,ESTIMATIVA[[#This Row],[QT_CANA_REAL]],ESTIMATIVA[[#This Row],[QT_CANA_EST]]))</f>
        <v>806.4</v>
      </c>
      <c r="AC75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609.28</v>
      </c>
      <c r="AD758" s="1">
        <f>IF(ESTIMATIVA[[#This Row],[QT_AREA_REAL]]&gt;0,ESTIMATIVA[[#This Row],[QT_CANA_REAL]],ESTIMATIVA[[#This Row],[QT_CANA_EST]])</f>
        <v>533.13</v>
      </c>
      <c r="AE758" s="1">
        <f>IF(ESTIMATIVA[[#This Row],[QT_AREA_REAL]]&gt;0,ESTIMATIVA[[#This Row],[QT_CANA_REAL]],ESTIMATIVA[[#This Row],[QT_CANA_REST1]])</f>
        <v>533.13</v>
      </c>
      <c r="AF758" s="1">
        <f>IF(ESTIMATIVA[[#This Row],[QT_AREA_REAL]]&gt;0,ESTIMATIVA[[#This Row],[QT_CANA_REAL]],ESTIMATIVA[[#This Row],[QT_CANA_REST2]])</f>
        <v>533.13</v>
      </c>
      <c r="AG758" s="1" t="str">
        <f>IF(COUNTIFS(GEADA!A:A,VALUE(ESTIMATIVA[[#This Row],[CD_UPNIVEL1]]&amp;TEXT(ESTIMATIVA[[#This Row],[CD_UPNIVEL3]],"0000")))&gt;0,"S","N")</f>
        <v>N</v>
      </c>
      <c r="AH75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58" s="55" t="str">
        <f>IF(ESTIMATIVA[[#This Row],[TP_CULTIVO]]="Irrigado",_xlfn.MAXIFS(IRRIGADO!J:J,IRRIGADO!C:C,ESTIMATIVA[[#This Row],[CD_UPNIVEL1]],IRRIGADO!E:E,ESTIMATIVA[[#This Row],[CD_UPNIVEL3]]),"")</f>
        <v/>
      </c>
      <c r="AJ75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58" s="1">
        <f>COUNTIFS(Apresentação!$E$23:$E$29,ESTIMATIVA[[#This Row],[CD_UPNIVEL1]])</f>
        <v>0</v>
      </c>
    </row>
    <row r="759" spans="1:37" x14ac:dyDescent="0.3">
      <c r="A759">
        <v>20426</v>
      </c>
      <c r="B759" t="s">
        <v>64</v>
      </c>
      <c r="C759">
        <v>6</v>
      </c>
      <c r="D759">
        <v>3</v>
      </c>
      <c r="E759" t="s">
        <v>263</v>
      </c>
      <c r="F759" s="85" t="s">
        <v>331</v>
      </c>
      <c r="G759"/>
      <c r="H759" t="s">
        <v>294</v>
      </c>
      <c r="I759" t="s">
        <v>200</v>
      </c>
      <c r="J759" t="s">
        <v>176</v>
      </c>
      <c r="K759" s="1">
        <v>11.71</v>
      </c>
      <c r="L759" s="1">
        <v>11.71</v>
      </c>
      <c r="M759" s="1">
        <v>11.71</v>
      </c>
      <c r="N759" s="1">
        <v>11.71</v>
      </c>
      <c r="O759" s="1">
        <v>1030.48</v>
      </c>
      <c r="P759" s="1">
        <v>1053.9000000000001</v>
      </c>
      <c r="Q759" s="1">
        <v>796.28</v>
      </c>
      <c r="R759" s="1">
        <v>753.67</v>
      </c>
      <c r="S759" t="s">
        <v>12</v>
      </c>
      <c r="T759" s="13">
        <v>46005</v>
      </c>
      <c r="U759" s="1" t="str">
        <f>IF(ESTIMATIVA[[#This Row],[QT_AREA_REAL]]&gt;0,"1- Colhido","2- à Colher")</f>
        <v>1- Colhido</v>
      </c>
      <c r="V759" s="1" t="str">
        <f>IF(ESTIMATIVA[[#This Row],[QT_AREA_REST1]]&gt;0,"Reestimativa 1",IF(ESTIMATIVA[[#This Row],[QT_AREA_REAL]]=0,"Reestimativa 1","Realizado"))</f>
        <v>Reestimativa 1</v>
      </c>
      <c r="W759" s="1" t="str">
        <f>IF(ESTIMATIVA[[#This Row],[QT_AREA_REST2]]&gt;0,"Reestimativa 2",IF(ESTIMATIVA[[#This Row],[QT_AREA_REAL]]=0,"Reestimativa 2","Realizado"))</f>
        <v>Reestimativa 2</v>
      </c>
      <c r="X759" s="1">
        <f>ESTIMATIVA[[#This Row],[QT_AREA_EST]]</f>
        <v>11.71</v>
      </c>
      <c r="Y759" s="1">
        <f>IF(ESTIMATIVA[[#This Row],[QT_AREA_REST1]]&gt;0,ESTIMATIVA[[#This Row],[QT_AREA_REST1]],
  IF(ESTIMATIVA[[#This Row],[QT_AREA_REAL]]&gt;0,ESTIMATIVA[[#This Row],[QT_AREA_REAL]],ESTIMATIVA[[#This Row],[QT_AREA_EST]]))</f>
        <v>11.71</v>
      </c>
      <c r="Z75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11.71</v>
      </c>
      <c r="AA759" s="1">
        <f>ESTIMATIVA[[#This Row],[QT_CANA_EST]]</f>
        <v>1030.48</v>
      </c>
      <c r="AB759" s="1">
        <f>IF(ESTIMATIVA[[#This Row],[QT_CANA_REST1]]&gt;0,ESTIMATIVA[[#This Row],[QT_CANA_REST1]],
  IF(ESTIMATIVA[[#This Row],[QT_CANA_REAL]]&gt;0,ESTIMATIVA[[#This Row],[QT_CANA_REAL]],ESTIMATIVA[[#This Row],[QT_CANA_EST]]))</f>
        <v>1053.9000000000001</v>
      </c>
      <c r="AC75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796.28</v>
      </c>
      <c r="AD759" s="1">
        <f>IF(ESTIMATIVA[[#This Row],[QT_AREA_REAL]]&gt;0,ESTIMATIVA[[#This Row],[QT_CANA_REAL]],ESTIMATIVA[[#This Row],[QT_CANA_EST]])</f>
        <v>753.67</v>
      </c>
      <c r="AE759" s="1">
        <f>IF(ESTIMATIVA[[#This Row],[QT_AREA_REAL]]&gt;0,ESTIMATIVA[[#This Row],[QT_CANA_REAL]],ESTIMATIVA[[#This Row],[QT_CANA_REST1]])</f>
        <v>753.67</v>
      </c>
      <c r="AF759" s="1">
        <f>IF(ESTIMATIVA[[#This Row],[QT_AREA_REAL]]&gt;0,ESTIMATIVA[[#This Row],[QT_CANA_REAL]],ESTIMATIVA[[#This Row],[QT_CANA_REST2]])</f>
        <v>753.67</v>
      </c>
      <c r="AG759" s="1" t="str">
        <f>IF(COUNTIFS(GEADA!A:A,VALUE(ESTIMATIVA[[#This Row],[CD_UPNIVEL1]]&amp;TEXT(ESTIMATIVA[[#This Row],[CD_UPNIVEL3]],"0000")))&gt;0,"S","N")</f>
        <v>N</v>
      </c>
      <c r="AH75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59" s="55" t="str">
        <f>IF(ESTIMATIVA[[#This Row],[TP_CULTIVO]]="Irrigado",_xlfn.MAXIFS(IRRIGADO!J:J,IRRIGADO!C:C,ESTIMATIVA[[#This Row],[CD_UPNIVEL1]],IRRIGADO!E:E,ESTIMATIVA[[#This Row],[CD_UPNIVEL3]]),"")</f>
        <v/>
      </c>
      <c r="AJ75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59" s="1">
        <f>COUNTIFS(Apresentação!$E$23:$E$29,ESTIMATIVA[[#This Row],[CD_UPNIVEL1]])</f>
        <v>0</v>
      </c>
    </row>
    <row r="760" spans="1:37" x14ac:dyDescent="0.3">
      <c r="A760">
        <v>20426</v>
      </c>
      <c r="B760" t="s">
        <v>64</v>
      </c>
      <c r="C760">
        <v>7</v>
      </c>
      <c r="D760">
        <v>3</v>
      </c>
      <c r="E760" t="s">
        <v>263</v>
      </c>
      <c r="F760" s="85" t="s">
        <v>331</v>
      </c>
      <c r="G760"/>
      <c r="H760" t="s">
        <v>294</v>
      </c>
      <c r="I760" t="s">
        <v>200</v>
      </c>
      <c r="J760" t="s">
        <v>176</v>
      </c>
      <c r="K760" s="1">
        <v>40.99</v>
      </c>
      <c r="L760" s="1">
        <v>40.99</v>
      </c>
      <c r="M760" s="1">
        <v>40.99</v>
      </c>
      <c r="N760" s="1">
        <v>40.99</v>
      </c>
      <c r="O760" s="1">
        <v>3074.25</v>
      </c>
      <c r="P760" s="1">
        <v>3279.2</v>
      </c>
      <c r="Q760" s="1">
        <v>2623.36</v>
      </c>
      <c r="R760" s="1">
        <v>2508.15</v>
      </c>
      <c r="S760" t="s">
        <v>12</v>
      </c>
      <c r="T760" s="13">
        <v>46005</v>
      </c>
      <c r="U760" s="1" t="str">
        <f>IF(ESTIMATIVA[[#This Row],[QT_AREA_REAL]]&gt;0,"1- Colhido","2- à Colher")</f>
        <v>1- Colhido</v>
      </c>
      <c r="V760" s="1" t="str">
        <f>IF(ESTIMATIVA[[#This Row],[QT_AREA_REST1]]&gt;0,"Reestimativa 1",IF(ESTIMATIVA[[#This Row],[QT_AREA_REAL]]=0,"Reestimativa 1","Realizado"))</f>
        <v>Reestimativa 1</v>
      </c>
      <c r="W760" s="1" t="str">
        <f>IF(ESTIMATIVA[[#This Row],[QT_AREA_REST2]]&gt;0,"Reestimativa 2",IF(ESTIMATIVA[[#This Row],[QT_AREA_REAL]]=0,"Reestimativa 2","Realizado"))</f>
        <v>Reestimativa 2</v>
      </c>
      <c r="X760" s="1">
        <f>ESTIMATIVA[[#This Row],[QT_AREA_EST]]</f>
        <v>40.99</v>
      </c>
      <c r="Y760" s="1">
        <f>IF(ESTIMATIVA[[#This Row],[QT_AREA_REST1]]&gt;0,ESTIMATIVA[[#This Row],[QT_AREA_REST1]],
  IF(ESTIMATIVA[[#This Row],[QT_AREA_REAL]]&gt;0,ESTIMATIVA[[#This Row],[QT_AREA_REAL]],ESTIMATIVA[[#This Row],[QT_AREA_EST]]))</f>
        <v>40.99</v>
      </c>
      <c r="Z76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40.99</v>
      </c>
      <c r="AA760" s="1">
        <f>ESTIMATIVA[[#This Row],[QT_CANA_EST]]</f>
        <v>3074.25</v>
      </c>
      <c r="AB760" s="1">
        <f>IF(ESTIMATIVA[[#This Row],[QT_CANA_REST1]]&gt;0,ESTIMATIVA[[#This Row],[QT_CANA_REST1]],
  IF(ESTIMATIVA[[#This Row],[QT_CANA_REAL]]&gt;0,ESTIMATIVA[[#This Row],[QT_CANA_REAL]],ESTIMATIVA[[#This Row],[QT_CANA_EST]]))</f>
        <v>3279.2</v>
      </c>
      <c r="AC76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2623.36</v>
      </c>
      <c r="AD760" s="1">
        <f>IF(ESTIMATIVA[[#This Row],[QT_AREA_REAL]]&gt;0,ESTIMATIVA[[#This Row],[QT_CANA_REAL]],ESTIMATIVA[[#This Row],[QT_CANA_EST]])</f>
        <v>2508.15</v>
      </c>
      <c r="AE760" s="1">
        <f>IF(ESTIMATIVA[[#This Row],[QT_AREA_REAL]]&gt;0,ESTIMATIVA[[#This Row],[QT_CANA_REAL]],ESTIMATIVA[[#This Row],[QT_CANA_REST1]])</f>
        <v>2508.15</v>
      </c>
      <c r="AF760" s="1">
        <f>IF(ESTIMATIVA[[#This Row],[QT_AREA_REAL]]&gt;0,ESTIMATIVA[[#This Row],[QT_CANA_REAL]],ESTIMATIVA[[#This Row],[QT_CANA_REST2]])</f>
        <v>2508.15</v>
      </c>
      <c r="AG760" s="1" t="str">
        <f>IF(COUNTIFS(GEADA!A:A,VALUE(ESTIMATIVA[[#This Row],[CD_UPNIVEL1]]&amp;TEXT(ESTIMATIVA[[#This Row],[CD_UPNIVEL3]],"0000")))&gt;0,"S","N")</f>
        <v>N</v>
      </c>
      <c r="AH76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60" s="55" t="str">
        <f>IF(ESTIMATIVA[[#This Row],[TP_CULTIVO]]="Irrigado",_xlfn.MAXIFS(IRRIGADO!J:J,IRRIGADO!C:C,ESTIMATIVA[[#This Row],[CD_UPNIVEL1]],IRRIGADO!E:E,ESTIMATIVA[[#This Row],[CD_UPNIVEL3]]),"")</f>
        <v/>
      </c>
      <c r="AJ76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60" s="1">
        <f>COUNTIFS(Apresentação!$E$23:$E$29,ESTIMATIVA[[#This Row],[CD_UPNIVEL1]])</f>
        <v>0</v>
      </c>
    </row>
    <row r="761" spans="1:37" x14ac:dyDescent="0.3">
      <c r="A761">
        <v>20426</v>
      </c>
      <c r="B761" t="s">
        <v>64</v>
      </c>
      <c r="C761">
        <v>8</v>
      </c>
      <c r="D761">
        <v>3</v>
      </c>
      <c r="E761" t="s">
        <v>263</v>
      </c>
      <c r="F761" s="85" t="s">
        <v>331</v>
      </c>
      <c r="G761"/>
      <c r="H761" t="s">
        <v>294</v>
      </c>
      <c r="I761" t="s">
        <v>200</v>
      </c>
      <c r="J761" t="s">
        <v>176</v>
      </c>
      <c r="K761" s="1">
        <v>12.52</v>
      </c>
      <c r="L761" s="1">
        <v>12.52</v>
      </c>
      <c r="M761" s="1">
        <v>12.52</v>
      </c>
      <c r="N761" s="1">
        <v>12.52</v>
      </c>
      <c r="O761" s="1">
        <v>939</v>
      </c>
      <c r="P761" s="1">
        <v>1001.6</v>
      </c>
      <c r="Q761" s="1">
        <v>801.28</v>
      </c>
      <c r="R761" s="1">
        <v>768.12</v>
      </c>
      <c r="S761" t="s">
        <v>12</v>
      </c>
      <c r="T761" s="13">
        <v>46005</v>
      </c>
      <c r="U761" s="1" t="str">
        <f>IF(ESTIMATIVA[[#This Row],[QT_AREA_REAL]]&gt;0,"1- Colhido","2- à Colher")</f>
        <v>1- Colhido</v>
      </c>
      <c r="V761" s="1" t="str">
        <f>IF(ESTIMATIVA[[#This Row],[QT_AREA_REST1]]&gt;0,"Reestimativa 1",IF(ESTIMATIVA[[#This Row],[QT_AREA_REAL]]=0,"Reestimativa 1","Realizado"))</f>
        <v>Reestimativa 1</v>
      </c>
      <c r="W761" s="1" t="str">
        <f>IF(ESTIMATIVA[[#This Row],[QT_AREA_REST2]]&gt;0,"Reestimativa 2",IF(ESTIMATIVA[[#This Row],[QT_AREA_REAL]]=0,"Reestimativa 2","Realizado"))</f>
        <v>Reestimativa 2</v>
      </c>
      <c r="X761" s="1">
        <f>ESTIMATIVA[[#This Row],[QT_AREA_EST]]</f>
        <v>12.52</v>
      </c>
      <c r="Y761" s="1">
        <f>IF(ESTIMATIVA[[#This Row],[QT_AREA_REST1]]&gt;0,ESTIMATIVA[[#This Row],[QT_AREA_REST1]],
  IF(ESTIMATIVA[[#This Row],[QT_AREA_REAL]]&gt;0,ESTIMATIVA[[#This Row],[QT_AREA_REAL]],ESTIMATIVA[[#This Row],[QT_AREA_EST]]))</f>
        <v>12.52</v>
      </c>
      <c r="Z76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12.52</v>
      </c>
      <c r="AA761" s="1">
        <f>ESTIMATIVA[[#This Row],[QT_CANA_EST]]</f>
        <v>939</v>
      </c>
      <c r="AB761" s="1">
        <f>IF(ESTIMATIVA[[#This Row],[QT_CANA_REST1]]&gt;0,ESTIMATIVA[[#This Row],[QT_CANA_REST1]],
  IF(ESTIMATIVA[[#This Row],[QT_CANA_REAL]]&gt;0,ESTIMATIVA[[#This Row],[QT_CANA_REAL]],ESTIMATIVA[[#This Row],[QT_CANA_EST]]))</f>
        <v>1001.6</v>
      </c>
      <c r="AC76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801.28</v>
      </c>
      <c r="AD761" s="1">
        <f>IF(ESTIMATIVA[[#This Row],[QT_AREA_REAL]]&gt;0,ESTIMATIVA[[#This Row],[QT_CANA_REAL]],ESTIMATIVA[[#This Row],[QT_CANA_EST]])</f>
        <v>768.12</v>
      </c>
      <c r="AE761" s="1">
        <f>IF(ESTIMATIVA[[#This Row],[QT_AREA_REAL]]&gt;0,ESTIMATIVA[[#This Row],[QT_CANA_REAL]],ESTIMATIVA[[#This Row],[QT_CANA_REST1]])</f>
        <v>768.12</v>
      </c>
      <c r="AF761" s="1">
        <f>IF(ESTIMATIVA[[#This Row],[QT_AREA_REAL]]&gt;0,ESTIMATIVA[[#This Row],[QT_CANA_REAL]],ESTIMATIVA[[#This Row],[QT_CANA_REST2]])</f>
        <v>768.12</v>
      </c>
      <c r="AG761" s="1" t="str">
        <f>IF(COUNTIFS(GEADA!A:A,VALUE(ESTIMATIVA[[#This Row],[CD_UPNIVEL1]]&amp;TEXT(ESTIMATIVA[[#This Row],[CD_UPNIVEL3]],"0000")))&gt;0,"S","N")</f>
        <v>N</v>
      </c>
      <c r="AH76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61" s="55" t="str">
        <f>IF(ESTIMATIVA[[#This Row],[TP_CULTIVO]]="Irrigado",_xlfn.MAXIFS(IRRIGADO!J:J,IRRIGADO!C:C,ESTIMATIVA[[#This Row],[CD_UPNIVEL1]],IRRIGADO!E:E,ESTIMATIVA[[#This Row],[CD_UPNIVEL3]]),"")</f>
        <v/>
      </c>
      <c r="AJ76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61" s="1">
        <f>COUNTIFS(Apresentação!$E$23:$E$29,ESTIMATIVA[[#This Row],[CD_UPNIVEL1]])</f>
        <v>0</v>
      </c>
    </row>
    <row r="762" spans="1:37" x14ac:dyDescent="0.3">
      <c r="A762">
        <v>20431</v>
      </c>
      <c r="B762" t="s">
        <v>46</v>
      </c>
      <c r="C762">
        <v>1</v>
      </c>
      <c r="D762">
        <v>1</v>
      </c>
      <c r="E762" t="s">
        <v>267</v>
      </c>
      <c r="F762" s="85" t="s">
        <v>331</v>
      </c>
      <c r="G762"/>
      <c r="H762" t="s">
        <v>294</v>
      </c>
      <c r="I762" t="s">
        <v>223</v>
      </c>
      <c r="J762" t="s">
        <v>175</v>
      </c>
      <c r="K762" s="1">
        <v>11.6</v>
      </c>
      <c r="L762" s="1">
        <v>0</v>
      </c>
      <c r="M762" s="1">
        <v>0</v>
      </c>
      <c r="N762" s="1">
        <v>11.6</v>
      </c>
      <c r="O762" s="1">
        <v>1684.8</v>
      </c>
      <c r="P762" s="1">
        <v>0</v>
      </c>
      <c r="Q762" s="1">
        <v>0</v>
      </c>
      <c r="R762" s="1">
        <v>1774.59</v>
      </c>
      <c r="S762" t="s">
        <v>12</v>
      </c>
      <c r="T762" s="13">
        <v>45914</v>
      </c>
      <c r="U762" s="1" t="str">
        <f>IF(ESTIMATIVA[[#This Row],[QT_AREA_REAL]]&gt;0,"1- Colhido","2- à Colher")</f>
        <v>1- Colhido</v>
      </c>
      <c r="V762" s="1" t="str">
        <f>IF(ESTIMATIVA[[#This Row],[QT_AREA_REST1]]&gt;0,"Reestimativa 1",IF(ESTIMATIVA[[#This Row],[QT_AREA_REAL]]=0,"Reestimativa 1","Realizado"))</f>
        <v>Realizado</v>
      </c>
      <c r="W762" s="1" t="str">
        <f>IF(ESTIMATIVA[[#This Row],[QT_AREA_REST2]]&gt;0,"Reestimativa 2",IF(ESTIMATIVA[[#This Row],[QT_AREA_REAL]]=0,"Reestimativa 2","Realizado"))</f>
        <v>Realizado</v>
      </c>
      <c r="X762" s="1">
        <f>ESTIMATIVA[[#This Row],[QT_AREA_EST]]</f>
        <v>11.6</v>
      </c>
      <c r="Y762" s="1">
        <f>IF(ESTIMATIVA[[#This Row],[QT_AREA_REST1]]&gt;0,ESTIMATIVA[[#This Row],[QT_AREA_REST1]],
  IF(ESTIMATIVA[[#This Row],[QT_AREA_REAL]]&gt;0,ESTIMATIVA[[#This Row],[QT_AREA_REAL]],ESTIMATIVA[[#This Row],[QT_AREA_EST]]))</f>
        <v>11.6</v>
      </c>
      <c r="Z76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11.6</v>
      </c>
      <c r="AA762" s="1">
        <f>ESTIMATIVA[[#This Row],[QT_CANA_EST]]</f>
        <v>1684.8</v>
      </c>
      <c r="AB762" s="1">
        <f>IF(ESTIMATIVA[[#This Row],[QT_CANA_REST1]]&gt;0,ESTIMATIVA[[#This Row],[QT_CANA_REST1]],
  IF(ESTIMATIVA[[#This Row],[QT_CANA_REAL]]&gt;0,ESTIMATIVA[[#This Row],[QT_CANA_REAL]],ESTIMATIVA[[#This Row],[QT_CANA_EST]]))</f>
        <v>1774.59</v>
      </c>
      <c r="AC76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1774.59</v>
      </c>
      <c r="AD762" s="1">
        <f>IF(ESTIMATIVA[[#This Row],[QT_AREA_REAL]]&gt;0,ESTIMATIVA[[#This Row],[QT_CANA_REAL]],ESTIMATIVA[[#This Row],[QT_CANA_EST]])</f>
        <v>1774.59</v>
      </c>
      <c r="AE762" s="1">
        <f>IF(ESTIMATIVA[[#This Row],[QT_AREA_REAL]]&gt;0,ESTIMATIVA[[#This Row],[QT_CANA_REAL]],ESTIMATIVA[[#This Row],[QT_CANA_REST1]])</f>
        <v>1774.59</v>
      </c>
      <c r="AF762" s="1">
        <f>IF(ESTIMATIVA[[#This Row],[QT_AREA_REAL]]&gt;0,ESTIMATIVA[[#This Row],[QT_CANA_REAL]],ESTIMATIVA[[#This Row],[QT_CANA_REST2]])</f>
        <v>1774.59</v>
      </c>
      <c r="AG762" s="1" t="str">
        <f>IF(COUNTIFS(GEADA!A:A,VALUE(ESTIMATIVA[[#This Row],[CD_UPNIVEL1]]&amp;TEXT(ESTIMATIVA[[#This Row],[CD_UPNIVEL3]],"0000")))&gt;0,"S","N")</f>
        <v>N</v>
      </c>
      <c r="AH76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62" s="55" t="str">
        <f>IF(ESTIMATIVA[[#This Row],[TP_CULTIVO]]="Irrigado",_xlfn.MAXIFS(IRRIGADO!J:J,IRRIGADO!C:C,ESTIMATIVA[[#This Row],[CD_UPNIVEL1]],IRRIGADO!E:E,ESTIMATIVA[[#This Row],[CD_UPNIVEL3]]),"")</f>
        <v/>
      </c>
      <c r="AJ76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62" s="1">
        <f>COUNTIFS(Apresentação!$E$23:$E$29,ESTIMATIVA[[#This Row],[CD_UPNIVEL1]])</f>
        <v>0</v>
      </c>
    </row>
    <row r="763" spans="1:37" x14ac:dyDescent="0.3">
      <c r="A763">
        <v>20431</v>
      </c>
      <c r="B763" t="s">
        <v>46</v>
      </c>
      <c r="C763">
        <v>2</v>
      </c>
      <c r="D763">
        <v>1</v>
      </c>
      <c r="E763" t="s">
        <v>264</v>
      </c>
      <c r="F763" s="85" t="s">
        <v>331</v>
      </c>
      <c r="G763"/>
      <c r="H763" t="s">
        <v>294</v>
      </c>
      <c r="I763" t="s">
        <v>223</v>
      </c>
      <c r="J763" t="s">
        <v>175</v>
      </c>
      <c r="K763" s="1">
        <v>21.03</v>
      </c>
      <c r="L763" s="1">
        <v>21.03</v>
      </c>
      <c r="M763" s="1">
        <v>0</v>
      </c>
      <c r="N763" s="1">
        <v>21.03</v>
      </c>
      <c r="O763" s="1">
        <v>2250.21</v>
      </c>
      <c r="P763" s="1">
        <v>2313.3000000000002</v>
      </c>
      <c r="Q763" s="1">
        <v>0</v>
      </c>
      <c r="R763" s="1">
        <v>2382.63</v>
      </c>
      <c r="S763" t="s">
        <v>12</v>
      </c>
      <c r="T763" s="13">
        <v>45872</v>
      </c>
      <c r="U763" s="1" t="str">
        <f>IF(ESTIMATIVA[[#This Row],[QT_AREA_REAL]]&gt;0,"1- Colhido","2- à Colher")</f>
        <v>1- Colhido</v>
      </c>
      <c r="V763" s="1" t="str">
        <f>IF(ESTIMATIVA[[#This Row],[QT_AREA_REST1]]&gt;0,"Reestimativa 1",IF(ESTIMATIVA[[#This Row],[QT_AREA_REAL]]=0,"Reestimativa 1","Realizado"))</f>
        <v>Reestimativa 1</v>
      </c>
      <c r="W763" s="1" t="str">
        <f>IF(ESTIMATIVA[[#This Row],[QT_AREA_REST2]]&gt;0,"Reestimativa 2",IF(ESTIMATIVA[[#This Row],[QT_AREA_REAL]]=0,"Reestimativa 2","Realizado"))</f>
        <v>Realizado</v>
      </c>
      <c r="X763" s="1">
        <f>ESTIMATIVA[[#This Row],[QT_AREA_EST]]</f>
        <v>21.03</v>
      </c>
      <c r="Y763" s="1">
        <f>IF(ESTIMATIVA[[#This Row],[QT_AREA_REST1]]&gt;0,ESTIMATIVA[[#This Row],[QT_AREA_REST1]],
  IF(ESTIMATIVA[[#This Row],[QT_AREA_REAL]]&gt;0,ESTIMATIVA[[#This Row],[QT_AREA_REAL]],ESTIMATIVA[[#This Row],[QT_AREA_EST]]))</f>
        <v>21.03</v>
      </c>
      <c r="Z76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21.03</v>
      </c>
      <c r="AA763" s="1">
        <f>ESTIMATIVA[[#This Row],[QT_CANA_EST]]</f>
        <v>2250.21</v>
      </c>
      <c r="AB763" s="1">
        <f>IF(ESTIMATIVA[[#This Row],[QT_CANA_REST1]]&gt;0,ESTIMATIVA[[#This Row],[QT_CANA_REST1]],
  IF(ESTIMATIVA[[#This Row],[QT_CANA_REAL]]&gt;0,ESTIMATIVA[[#This Row],[QT_CANA_REAL]],ESTIMATIVA[[#This Row],[QT_CANA_EST]]))</f>
        <v>2313.3000000000002</v>
      </c>
      <c r="AC76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2382.63</v>
      </c>
      <c r="AD763" s="1">
        <f>IF(ESTIMATIVA[[#This Row],[QT_AREA_REAL]]&gt;0,ESTIMATIVA[[#This Row],[QT_CANA_REAL]],ESTIMATIVA[[#This Row],[QT_CANA_EST]])</f>
        <v>2382.63</v>
      </c>
      <c r="AE763" s="1">
        <f>IF(ESTIMATIVA[[#This Row],[QT_AREA_REAL]]&gt;0,ESTIMATIVA[[#This Row],[QT_CANA_REAL]],ESTIMATIVA[[#This Row],[QT_CANA_REST1]])</f>
        <v>2382.63</v>
      </c>
      <c r="AF763" s="1">
        <f>IF(ESTIMATIVA[[#This Row],[QT_AREA_REAL]]&gt;0,ESTIMATIVA[[#This Row],[QT_CANA_REAL]],ESTIMATIVA[[#This Row],[QT_CANA_REST2]])</f>
        <v>2382.63</v>
      </c>
      <c r="AG763" s="1" t="str">
        <f>IF(COUNTIFS(GEADA!A:A,VALUE(ESTIMATIVA[[#This Row],[CD_UPNIVEL1]]&amp;TEXT(ESTIMATIVA[[#This Row],[CD_UPNIVEL3]],"0000")))&gt;0,"S","N")</f>
        <v>N</v>
      </c>
      <c r="AH76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63" s="55" t="str">
        <f>IF(ESTIMATIVA[[#This Row],[TP_CULTIVO]]="Irrigado",_xlfn.MAXIFS(IRRIGADO!J:J,IRRIGADO!C:C,ESTIMATIVA[[#This Row],[CD_UPNIVEL1]],IRRIGADO!E:E,ESTIMATIVA[[#This Row],[CD_UPNIVEL3]]),"")</f>
        <v/>
      </c>
      <c r="AJ76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63" s="1">
        <f>COUNTIFS(Apresentação!$E$23:$E$29,ESTIMATIVA[[#This Row],[CD_UPNIVEL1]])</f>
        <v>0</v>
      </c>
    </row>
    <row r="764" spans="1:37" x14ac:dyDescent="0.3">
      <c r="A764">
        <v>20431</v>
      </c>
      <c r="B764" t="s">
        <v>46</v>
      </c>
      <c r="C764">
        <v>3</v>
      </c>
      <c r="D764">
        <v>1</v>
      </c>
      <c r="E764" t="s">
        <v>264</v>
      </c>
      <c r="F764" s="85" t="s">
        <v>331</v>
      </c>
      <c r="G764"/>
      <c r="H764" t="s">
        <v>294</v>
      </c>
      <c r="I764" t="s">
        <v>223</v>
      </c>
      <c r="J764" t="s">
        <v>175</v>
      </c>
      <c r="K764" s="1">
        <v>15.78</v>
      </c>
      <c r="L764" s="1">
        <v>15.78</v>
      </c>
      <c r="M764" s="1">
        <v>0</v>
      </c>
      <c r="N764" s="1">
        <v>15.78</v>
      </c>
      <c r="O764" s="1">
        <v>1767.36</v>
      </c>
      <c r="P764" s="1">
        <v>1830.48</v>
      </c>
      <c r="Q764" s="1">
        <v>0</v>
      </c>
      <c r="R764" s="1">
        <v>1909.24</v>
      </c>
      <c r="S764" t="s">
        <v>12</v>
      </c>
      <c r="T764" s="13">
        <v>45865</v>
      </c>
      <c r="U764" s="1" t="str">
        <f>IF(ESTIMATIVA[[#This Row],[QT_AREA_REAL]]&gt;0,"1- Colhido","2- à Colher")</f>
        <v>1- Colhido</v>
      </c>
      <c r="V764" s="1" t="str">
        <f>IF(ESTIMATIVA[[#This Row],[QT_AREA_REST1]]&gt;0,"Reestimativa 1",IF(ESTIMATIVA[[#This Row],[QT_AREA_REAL]]=0,"Reestimativa 1","Realizado"))</f>
        <v>Reestimativa 1</v>
      </c>
      <c r="W764" s="1" t="str">
        <f>IF(ESTIMATIVA[[#This Row],[QT_AREA_REST2]]&gt;0,"Reestimativa 2",IF(ESTIMATIVA[[#This Row],[QT_AREA_REAL]]=0,"Reestimativa 2","Realizado"))</f>
        <v>Realizado</v>
      </c>
      <c r="X764" s="1">
        <f>ESTIMATIVA[[#This Row],[QT_AREA_EST]]</f>
        <v>15.78</v>
      </c>
      <c r="Y764" s="1">
        <f>IF(ESTIMATIVA[[#This Row],[QT_AREA_REST1]]&gt;0,ESTIMATIVA[[#This Row],[QT_AREA_REST1]],
  IF(ESTIMATIVA[[#This Row],[QT_AREA_REAL]]&gt;0,ESTIMATIVA[[#This Row],[QT_AREA_REAL]],ESTIMATIVA[[#This Row],[QT_AREA_EST]]))</f>
        <v>15.78</v>
      </c>
      <c r="Z76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15.78</v>
      </c>
      <c r="AA764" s="1">
        <f>ESTIMATIVA[[#This Row],[QT_CANA_EST]]</f>
        <v>1767.36</v>
      </c>
      <c r="AB764" s="1">
        <f>IF(ESTIMATIVA[[#This Row],[QT_CANA_REST1]]&gt;0,ESTIMATIVA[[#This Row],[QT_CANA_REST1]],
  IF(ESTIMATIVA[[#This Row],[QT_CANA_REAL]]&gt;0,ESTIMATIVA[[#This Row],[QT_CANA_REAL]],ESTIMATIVA[[#This Row],[QT_CANA_EST]]))</f>
        <v>1830.48</v>
      </c>
      <c r="AC76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1909.24</v>
      </c>
      <c r="AD764" s="1">
        <f>IF(ESTIMATIVA[[#This Row],[QT_AREA_REAL]]&gt;0,ESTIMATIVA[[#This Row],[QT_CANA_REAL]],ESTIMATIVA[[#This Row],[QT_CANA_EST]])</f>
        <v>1909.24</v>
      </c>
      <c r="AE764" s="1">
        <f>IF(ESTIMATIVA[[#This Row],[QT_AREA_REAL]]&gt;0,ESTIMATIVA[[#This Row],[QT_CANA_REAL]],ESTIMATIVA[[#This Row],[QT_CANA_REST1]])</f>
        <v>1909.24</v>
      </c>
      <c r="AF764" s="1">
        <f>IF(ESTIMATIVA[[#This Row],[QT_AREA_REAL]]&gt;0,ESTIMATIVA[[#This Row],[QT_CANA_REAL]],ESTIMATIVA[[#This Row],[QT_CANA_REST2]])</f>
        <v>1909.24</v>
      </c>
      <c r="AG764" s="1" t="str">
        <f>IF(COUNTIFS(GEADA!A:A,VALUE(ESTIMATIVA[[#This Row],[CD_UPNIVEL1]]&amp;TEXT(ESTIMATIVA[[#This Row],[CD_UPNIVEL3]],"0000")))&gt;0,"S","N")</f>
        <v>S</v>
      </c>
      <c r="AH764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764" s="55">
        <f>IF(ESTIMATIVA[[#This Row],[TP_CULTIVO]]="Irrigado",_xlfn.MAXIFS(IRRIGADO!J:J,IRRIGADO!C:C,ESTIMATIVA[[#This Row],[CD_UPNIVEL1]],IRRIGADO!E:E,ESTIMATIVA[[#This Row],[CD_UPNIVEL3]]),"")</f>
        <v>45443</v>
      </c>
      <c r="AJ764" s="1">
        <f>IF(ESTIMATIVA[[#This Row],[TP_CULTIVO]]&lt;&gt;"Irrigado",0,AVERAGEIFS(IRRIGADO!G:G,IRRIGADO!C:C,ESTIMATIVA[[#This Row],[CD_UPNIVEL1]],IRRIGADO!E:E,ESTIMATIVA[[#This Row],[CD_UPNIVEL3]])*ESTIMATIVA[[#This Row],[QT_AREA_REAL]])</f>
        <v>315.59999999999997</v>
      </c>
      <c r="AK764" s="1">
        <f>COUNTIFS(Apresentação!$E$23:$E$29,ESTIMATIVA[[#This Row],[CD_UPNIVEL1]])</f>
        <v>0</v>
      </c>
    </row>
    <row r="765" spans="1:37" x14ac:dyDescent="0.3">
      <c r="A765">
        <v>20431</v>
      </c>
      <c r="B765" t="s">
        <v>46</v>
      </c>
      <c r="C765">
        <v>4</v>
      </c>
      <c r="D765">
        <v>1</v>
      </c>
      <c r="E765" t="s">
        <v>264</v>
      </c>
      <c r="F765" s="85" t="s">
        <v>331</v>
      </c>
      <c r="G765"/>
      <c r="H765" t="s">
        <v>294</v>
      </c>
      <c r="I765" t="s">
        <v>223</v>
      </c>
      <c r="J765" t="s">
        <v>175</v>
      </c>
      <c r="K765" s="1">
        <v>56.15</v>
      </c>
      <c r="L765" s="1">
        <v>56.15</v>
      </c>
      <c r="M765" s="1">
        <v>0</v>
      </c>
      <c r="N765" s="1">
        <v>56.15</v>
      </c>
      <c r="O765" s="1">
        <v>6288.8</v>
      </c>
      <c r="P765" s="1">
        <v>6513.4</v>
      </c>
      <c r="Q765" s="1">
        <v>0</v>
      </c>
      <c r="R765" s="1">
        <v>6709.53</v>
      </c>
      <c r="S765" t="s">
        <v>12</v>
      </c>
      <c r="T765" s="13">
        <v>45872</v>
      </c>
      <c r="U765" s="1" t="str">
        <f>IF(ESTIMATIVA[[#This Row],[QT_AREA_REAL]]&gt;0,"1- Colhido","2- à Colher")</f>
        <v>1- Colhido</v>
      </c>
      <c r="V765" s="1" t="str">
        <f>IF(ESTIMATIVA[[#This Row],[QT_AREA_REST1]]&gt;0,"Reestimativa 1",IF(ESTIMATIVA[[#This Row],[QT_AREA_REAL]]=0,"Reestimativa 1","Realizado"))</f>
        <v>Reestimativa 1</v>
      </c>
      <c r="W765" s="1" t="str">
        <f>IF(ESTIMATIVA[[#This Row],[QT_AREA_REST2]]&gt;0,"Reestimativa 2",IF(ESTIMATIVA[[#This Row],[QT_AREA_REAL]]=0,"Reestimativa 2","Realizado"))</f>
        <v>Realizado</v>
      </c>
      <c r="X765" s="1">
        <f>ESTIMATIVA[[#This Row],[QT_AREA_EST]]</f>
        <v>56.15</v>
      </c>
      <c r="Y765" s="1">
        <f>IF(ESTIMATIVA[[#This Row],[QT_AREA_REST1]]&gt;0,ESTIMATIVA[[#This Row],[QT_AREA_REST1]],
  IF(ESTIMATIVA[[#This Row],[QT_AREA_REAL]]&gt;0,ESTIMATIVA[[#This Row],[QT_AREA_REAL]],ESTIMATIVA[[#This Row],[QT_AREA_EST]]))</f>
        <v>56.15</v>
      </c>
      <c r="Z76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56.15</v>
      </c>
      <c r="AA765" s="1">
        <f>ESTIMATIVA[[#This Row],[QT_CANA_EST]]</f>
        <v>6288.8</v>
      </c>
      <c r="AB765" s="1">
        <f>IF(ESTIMATIVA[[#This Row],[QT_CANA_REST1]]&gt;0,ESTIMATIVA[[#This Row],[QT_CANA_REST1]],
  IF(ESTIMATIVA[[#This Row],[QT_CANA_REAL]]&gt;0,ESTIMATIVA[[#This Row],[QT_CANA_REAL]],ESTIMATIVA[[#This Row],[QT_CANA_EST]]))</f>
        <v>6513.4</v>
      </c>
      <c r="AC76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6709.53</v>
      </c>
      <c r="AD765" s="1">
        <f>IF(ESTIMATIVA[[#This Row],[QT_AREA_REAL]]&gt;0,ESTIMATIVA[[#This Row],[QT_CANA_REAL]],ESTIMATIVA[[#This Row],[QT_CANA_EST]])</f>
        <v>6709.53</v>
      </c>
      <c r="AE765" s="1">
        <f>IF(ESTIMATIVA[[#This Row],[QT_AREA_REAL]]&gt;0,ESTIMATIVA[[#This Row],[QT_CANA_REAL]],ESTIMATIVA[[#This Row],[QT_CANA_REST1]])</f>
        <v>6709.53</v>
      </c>
      <c r="AF765" s="1">
        <f>IF(ESTIMATIVA[[#This Row],[QT_AREA_REAL]]&gt;0,ESTIMATIVA[[#This Row],[QT_CANA_REAL]],ESTIMATIVA[[#This Row],[QT_CANA_REST2]])</f>
        <v>6709.53</v>
      </c>
      <c r="AG765" s="1" t="str">
        <f>IF(COUNTIFS(GEADA!A:A,VALUE(ESTIMATIVA[[#This Row],[CD_UPNIVEL1]]&amp;TEXT(ESTIMATIVA[[#This Row],[CD_UPNIVEL3]],"0000")))&gt;0,"S","N")</f>
        <v>N</v>
      </c>
      <c r="AH765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765" s="55">
        <f>IF(ESTIMATIVA[[#This Row],[TP_CULTIVO]]="Irrigado",_xlfn.MAXIFS(IRRIGADO!J:J,IRRIGADO!C:C,ESTIMATIVA[[#This Row],[CD_UPNIVEL1]],IRRIGADO!E:E,ESTIMATIVA[[#This Row],[CD_UPNIVEL3]]),"")</f>
        <v>45443</v>
      </c>
      <c r="AJ765" s="1">
        <f>IF(ESTIMATIVA[[#This Row],[TP_CULTIVO]]&lt;&gt;"Irrigado",0,AVERAGEIFS(IRRIGADO!G:G,IRRIGADO!C:C,ESTIMATIVA[[#This Row],[CD_UPNIVEL1]],IRRIGADO!E:E,ESTIMATIVA[[#This Row],[CD_UPNIVEL3]])*ESTIMATIVA[[#This Row],[QT_AREA_REAL]])</f>
        <v>1123</v>
      </c>
      <c r="AK765" s="1">
        <f>COUNTIFS(Apresentação!$E$23:$E$29,ESTIMATIVA[[#This Row],[CD_UPNIVEL1]])</f>
        <v>0</v>
      </c>
    </row>
    <row r="766" spans="1:37" x14ac:dyDescent="0.3">
      <c r="A766">
        <v>20431</v>
      </c>
      <c r="B766" t="s">
        <v>46</v>
      </c>
      <c r="C766">
        <v>5</v>
      </c>
      <c r="D766">
        <v>1</v>
      </c>
      <c r="E766" t="s">
        <v>267</v>
      </c>
      <c r="F766" s="85" t="s">
        <v>331</v>
      </c>
      <c r="G766"/>
      <c r="H766" t="s">
        <v>294</v>
      </c>
      <c r="I766" t="s">
        <v>205</v>
      </c>
      <c r="J766" t="s">
        <v>175</v>
      </c>
      <c r="K766" s="1">
        <v>50.58</v>
      </c>
      <c r="L766" s="1">
        <v>50.58</v>
      </c>
      <c r="M766" s="1">
        <v>0</v>
      </c>
      <c r="N766" s="1">
        <v>50.58</v>
      </c>
      <c r="O766" s="1">
        <v>5361.48</v>
      </c>
      <c r="P766" s="1">
        <v>5361.48</v>
      </c>
      <c r="Q766" s="1">
        <v>0</v>
      </c>
      <c r="R766" s="1">
        <v>6460.92</v>
      </c>
      <c r="S766" t="s">
        <v>12</v>
      </c>
      <c r="T766" s="13">
        <v>45865</v>
      </c>
      <c r="U766" s="1" t="str">
        <f>IF(ESTIMATIVA[[#This Row],[QT_AREA_REAL]]&gt;0,"1- Colhido","2- à Colher")</f>
        <v>1- Colhido</v>
      </c>
      <c r="V766" s="1" t="str">
        <f>IF(ESTIMATIVA[[#This Row],[QT_AREA_REST1]]&gt;0,"Reestimativa 1",IF(ESTIMATIVA[[#This Row],[QT_AREA_REAL]]=0,"Reestimativa 1","Realizado"))</f>
        <v>Reestimativa 1</v>
      </c>
      <c r="W766" s="1" t="str">
        <f>IF(ESTIMATIVA[[#This Row],[QT_AREA_REST2]]&gt;0,"Reestimativa 2",IF(ESTIMATIVA[[#This Row],[QT_AREA_REAL]]=0,"Reestimativa 2","Realizado"))</f>
        <v>Realizado</v>
      </c>
      <c r="X766" s="1">
        <f>ESTIMATIVA[[#This Row],[QT_AREA_EST]]</f>
        <v>50.58</v>
      </c>
      <c r="Y766" s="1">
        <f>IF(ESTIMATIVA[[#This Row],[QT_AREA_REST1]]&gt;0,ESTIMATIVA[[#This Row],[QT_AREA_REST1]],
  IF(ESTIMATIVA[[#This Row],[QT_AREA_REAL]]&gt;0,ESTIMATIVA[[#This Row],[QT_AREA_REAL]],ESTIMATIVA[[#This Row],[QT_AREA_EST]]))</f>
        <v>50.58</v>
      </c>
      <c r="Z76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50.58</v>
      </c>
      <c r="AA766" s="1">
        <f>ESTIMATIVA[[#This Row],[QT_CANA_EST]]</f>
        <v>5361.48</v>
      </c>
      <c r="AB766" s="1">
        <f>IF(ESTIMATIVA[[#This Row],[QT_CANA_REST1]]&gt;0,ESTIMATIVA[[#This Row],[QT_CANA_REST1]],
  IF(ESTIMATIVA[[#This Row],[QT_CANA_REAL]]&gt;0,ESTIMATIVA[[#This Row],[QT_CANA_REAL]],ESTIMATIVA[[#This Row],[QT_CANA_EST]]))</f>
        <v>5361.48</v>
      </c>
      <c r="AC76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6460.92</v>
      </c>
      <c r="AD766" s="1">
        <f>IF(ESTIMATIVA[[#This Row],[QT_AREA_REAL]]&gt;0,ESTIMATIVA[[#This Row],[QT_CANA_REAL]],ESTIMATIVA[[#This Row],[QT_CANA_EST]])</f>
        <v>6460.92</v>
      </c>
      <c r="AE766" s="1">
        <f>IF(ESTIMATIVA[[#This Row],[QT_AREA_REAL]]&gt;0,ESTIMATIVA[[#This Row],[QT_CANA_REAL]],ESTIMATIVA[[#This Row],[QT_CANA_REST1]])</f>
        <v>6460.92</v>
      </c>
      <c r="AF766" s="1">
        <f>IF(ESTIMATIVA[[#This Row],[QT_AREA_REAL]]&gt;0,ESTIMATIVA[[#This Row],[QT_CANA_REAL]],ESTIMATIVA[[#This Row],[QT_CANA_REST2]])</f>
        <v>6460.92</v>
      </c>
      <c r="AG766" s="1" t="str">
        <f>IF(COUNTIFS(GEADA!A:A,VALUE(ESTIMATIVA[[#This Row],[CD_UPNIVEL1]]&amp;TEXT(ESTIMATIVA[[#This Row],[CD_UPNIVEL3]],"0000")))&gt;0,"S","N")</f>
        <v>N</v>
      </c>
      <c r="AH76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66" s="55" t="str">
        <f>IF(ESTIMATIVA[[#This Row],[TP_CULTIVO]]="Irrigado",_xlfn.MAXIFS(IRRIGADO!J:J,IRRIGADO!C:C,ESTIMATIVA[[#This Row],[CD_UPNIVEL1]],IRRIGADO!E:E,ESTIMATIVA[[#This Row],[CD_UPNIVEL3]]),"")</f>
        <v/>
      </c>
      <c r="AJ76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66" s="1">
        <f>COUNTIFS(Apresentação!$E$23:$E$29,ESTIMATIVA[[#This Row],[CD_UPNIVEL1]])</f>
        <v>0</v>
      </c>
    </row>
    <row r="767" spans="1:37" x14ac:dyDescent="0.3">
      <c r="A767">
        <v>20431</v>
      </c>
      <c r="B767" t="s">
        <v>46</v>
      </c>
      <c r="C767">
        <v>6</v>
      </c>
      <c r="D767">
        <v>1</v>
      </c>
      <c r="E767" t="s">
        <v>267</v>
      </c>
      <c r="F767" s="85" t="s">
        <v>331</v>
      </c>
      <c r="G767"/>
      <c r="H767" t="s">
        <v>294</v>
      </c>
      <c r="I767" t="s">
        <v>205</v>
      </c>
      <c r="J767" t="s">
        <v>175</v>
      </c>
      <c r="K767" s="1">
        <v>56.01</v>
      </c>
      <c r="L767" s="1">
        <v>56.01</v>
      </c>
      <c r="M767" s="1">
        <v>0</v>
      </c>
      <c r="N767" s="1">
        <v>56.01</v>
      </c>
      <c r="O767" s="1">
        <v>5881.05</v>
      </c>
      <c r="P767" s="1">
        <v>5937.06</v>
      </c>
      <c r="Q767" s="1">
        <v>0</v>
      </c>
      <c r="R767" s="1">
        <v>6926.86</v>
      </c>
      <c r="S767" t="s">
        <v>12</v>
      </c>
      <c r="T767" s="13">
        <v>45914</v>
      </c>
      <c r="U767" s="1" t="str">
        <f>IF(ESTIMATIVA[[#This Row],[QT_AREA_REAL]]&gt;0,"1- Colhido","2- à Colher")</f>
        <v>1- Colhido</v>
      </c>
      <c r="V767" s="1" t="str">
        <f>IF(ESTIMATIVA[[#This Row],[QT_AREA_REST1]]&gt;0,"Reestimativa 1",IF(ESTIMATIVA[[#This Row],[QT_AREA_REAL]]=0,"Reestimativa 1","Realizado"))</f>
        <v>Reestimativa 1</v>
      </c>
      <c r="W767" s="1" t="str">
        <f>IF(ESTIMATIVA[[#This Row],[QT_AREA_REST2]]&gt;0,"Reestimativa 2",IF(ESTIMATIVA[[#This Row],[QT_AREA_REAL]]=0,"Reestimativa 2","Realizado"))</f>
        <v>Realizado</v>
      </c>
      <c r="X767" s="1">
        <f>ESTIMATIVA[[#This Row],[QT_AREA_EST]]</f>
        <v>56.01</v>
      </c>
      <c r="Y767" s="1">
        <f>IF(ESTIMATIVA[[#This Row],[QT_AREA_REST1]]&gt;0,ESTIMATIVA[[#This Row],[QT_AREA_REST1]],
  IF(ESTIMATIVA[[#This Row],[QT_AREA_REAL]]&gt;0,ESTIMATIVA[[#This Row],[QT_AREA_REAL]],ESTIMATIVA[[#This Row],[QT_AREA_EST]]))</f>
        <v>56.01</v>
      </c>
      <c r="Z76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56.01</v>
      </c>
      <c r="AA767" s="1">
        <f>ESTIMATIVA[[#This Row],[QT_CANA_EST]]</f>
        <v>5881.05</v>
      </c>
      <c r="AB767" s="1">
        <f>IF(ESTIMATIVA[[#This Row],[QT_CANA_REST1]]&gt;0,ESTIMATIVA[[#This Row],[QT_CANA_REST1]],
  IF(ESTIMATIVA[[#This Row],[QT_CANA_REAL]]&gt;0,ESTIMATIVA[[#This Row],[QT_CANA_REAL]],ESTIMATIVA[[#This Row],[QT_CANA_EST]]))</f>
        <v>5937.06</v>
      </c>
      <c r="AC76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6926.86</v>
      </c>
      <c r="AD767" s="1">
        <f>IF(ESTIMATIVA[[#This Row],[QT_AREA_REAL]]&gt;0,ESTIMATIVA[[#This Row],[QT_CANA_REAL]],ESTIMATIVA[[#This Row],[QT_CANA_EST]])</f>
        <v>6926.86</v>
      </c>
      <c r="AE767" s="1">
        <f>IF(ESTIMATIVA[[#This Row],[QT_AREA_REAL]]&gt;0,ESTIMATIVA[[#This Row],[QT_CANA_REAL]],ESTIMATIVA[[#This Row],[QT_CANA_REST1]])</f>
        <v>6926.86</v>
      </c>
      <c r="AF767" s="1">
        <f>IF(ESTIMATIVA[[#This Row],[QT_AREA_REAL]]&gt;0,ESTIMATIVA[[#This Row],[QT_CANA_REAL]],ESTIMATIVA[[#This Row],[QT_CANA_REST2]])</f>
        <v>6926.86</v>
      </c>
      <c r="AG767" s="1" t="str">
        <f>IF(COUNTIFS(GEADA!A:A,VALUE(ESTIMATIVA[[#This Row],[CD_UPNIVEL1]]&amp;TEXT(ESTIMATIVA[[#This Row],[CD_UPNIVEL3]],"0000")))&gt;0,"S","N")</f>
        <v>N</v>
      </c>
      <c r="AH76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67" s="55" t="str">
        <f>IF(ESTIMATIVA[[#This Row],[TP_CULTIVO]]="Irrigado",_xlfn.MAXIFS(IRRIGADO!J:J,IRRIGADO!C:C,ESTIMATIVA[[#This Row],[CD_UPNIVEL1]],IRRIGADO!E:E,ESTIMATIVA[[#This Row],[CD_UPNIVEL3]]),"")</f>
        <v/>
      </c>
      <c r="AJ76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67" s="1">
        <f>COUNTIFS(Apresentação!$E$23:$E$29,ESTIMATIVA[[#This Row],[CD_UPNIVEL1]])</f>
        <v>0</v>
      </c>
    </row>
    <row r="768" spans="1:37" x14ac:dyDescent="0.3">
      <c r="A768">
        <v>20431</v>
      </c>
      <c r="B768" t="s">
        <v>46</v>
      </c>
      <c r="C768">
        <v>7</v>
      </c>
      <c r="D768">
        <v>1</v>
      </c>
      <c r="E768" t="s">
        <v>267</v>
      </c>
      <c r="F768" s="85" t="s">
        <v>331</v>
      </c>
      <c r="G768"/>
      <c r="H768" t="s">
        <v>294</v>
      </c>
      <c r="I768" t="s">
        <v>205</v>
      </c>
      <c r="J768" t="s">
        <v>175</v>
      </c>
      <c r="K768" s="1">
        <v>29.03</v>
      </c>
      <c r="L768" s="1">
        <v>29.03</v>
      </c>
      <c r="M768" s="1">
        <v>0</v>
      </c>
      <c r="N768" s="1">
        <v>29.03</v>
      </c>
      <c r="O768" s="1">
        <v>3077.18</v>
      </c>
      <c r="P768" s="1">
        <v>3077.18</v>
      </c>
      <c r="Q768" s="1">
        <v>0</v>
      </c>
      <c r="R768" s="1">
        <v>3590.24</v>
      </c>
      <c r="S768" t="s">
        <v>12</v>
      </c>
      <c r="T768" s="13">
        <v>45914</v>
      </c>
      <c r="U768" s="1" t="str">
        <f>IF(ESTIMATIVA[[#This Row],[QT_AREA_REAL]]&gt;0,"1- Colhido","2- à Colher")</f>
        <v>1- Colhido</v>
      </c>
      <c r="V768" s="1" t="str">
        <f>IF(ESTIMATIVA[[#This Row],[QT_AREA_REST1]]&gt;0,"Reestimativa 1",IF(ESTIMATIVA[[#This Row],[QT_AREA_REAL]]=0,"Reestimativa 1","Realizado"))</f>
        <v>Reestimativa 1</v>
      </c>
      <c r="W768" s="1" t="str">
        <f>IF(ESTIMATIVA[[#This Row],[QT_AREA_REST2]]&gt;0,"Reestimativa 2",IF(ESTIMATIVA[[#This Row],[QT_AREA_REAL]]=0,"Reestimativa 2","Realizado"))</f>
        <v>Realizado</v>
      </c>
      <c r="X768" s="1">
        <f>ESTIMATIVA[[#This Row],[QT_AREA_EST]]</f>
        <v>29.03</v>
      </c>
      <c r="Y768" s="1">
        <f>IF(ESTIMATIVA[[#This Row],[QT_AREA_REST1]]&gt;0,ESTIMATIVA[[#This Row],[QT_AREA_REST1]],
  IF(ESTIMATIVA[[#This Row],[QT_AREA_REAL]]&gt;0,ESTIMATIVA[[#This Row],[QT_AREA_REAL]],ESTIMATIVA[[#This Row],[QT_AREA_EST]]))</f>
        <v>29.03</v>
      </c>
      <c r="Z76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29.03</v>
      </c>
      <c r="AA768" s="1">
        <f>ESTIMATIVA[[#This Row],[QT_CANA_EST]]</f>
        <v>3077.18</v>
      </c>
      <c r="AB768" s="1">
        <f>IF(ESTIMATIVA[[#This Row],[QT_CANA_REST1]]&gt;0,ESTIMATIVA[[#This Row],[QT_CANA_REST1]],
  IF(ESTIMATIVA[[#This Row],[QT_CANA_REAL]]&gt;0,ESTIMATIVA[[#This Row],[QT_CANA_REAL]],ESTIMATIVA[[#This Row],[QT_CANA_EST]]))</f>
        <v>3077.18</v>
      </c>
      <c r="AC76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3590.24</v>
      </c>
      <c r="AD768" s="1">
        <f>IF(ESTIMATIVA[[#This Row],[QT_AREA_REAL]]&gt;0,ESTIMATIVA[[#This Row],[QT_CANA_REAL]],ESTIMATIVA[[#This Row],[QT_CANA_EST]])</f>
        <v>3590.24</v>
      </c>
      <c r="AE768" s="1">
        <f>IF(ESTIMATIVA[[#This Row],[QT_AREA_REAL]]&gt;0,ESTIMATIVA[[#This Row],[QT_CANA_REAL]],ESTIMATIVA[[#This Row],[QT_CANA_REST1]])</f>
        <v>3590.24</v>
      </c>
      <c r="AF768" s="1">
        <f>IF(ESTIMATIVA[[#This Row],[QT_AREA_REAL]]&gt;0,ESTIMATIVA[[#This Row],[QT_CANA_REAL]],ESTIMATIVA[[#This Row],[QT_CANA_REST2]])</f>
        <v>3590.24</v>
      </c>
      <c r="AG768" s="1" t="str">
        <f>IF(COUNTIFS(GEADA!A:A,VALUE(ESTIMATIVA[[#This Row],[CD_UPNIVEL1]]&amp;TEXT(ESTIMATIVA[[#This Row],[CD_UPNIVEL3]],"0000")))&gt;0,"S","N")</f>
        <v>N</v>
      </c>
      <c r="AH76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68" s="55" t="str">
        <f>IF(ESTIMATIVA[[#This Row],[TP_CULTIVO]]="Irrigado",_xlfn.MAXIFS(IRRIGADO!J:J,IRRIGADO!C:C,ESTIMATIVA[[#This Row],[CD_UPNIVEL1]],IRRIGADO!E:E,ESTIMATIVA[[#This Row],[CD_UPNIVEL3]]),"")</f>
        <v/>
      </c>
      <c r="AJ76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68" s="1">
        <f>COUNTIFS(Apresentação!$E$23:$E$29,ESTIMATIVA[[#This Row],[CD_UPNIVEL1]])</f>
        <v>0</v>
      </c>
    </row>
    <row r="769" spans="1:37" x14ac:dyDescent="0.3">
      <c r="A769">
        <v>20431</v>
      </c>
      <c r="B769" t="s">
        <v>46</v>
      </c>
      <c r="C769">
        <v>8</v>
      </c>
      <c r="D769">
        <v>1</v>
      </c>
      <c r="E769" t="s">
        <v>267</v>
      </c>
      <c r="F769" s="85" t="s">
        <v>333</v>
      </c>
      <c r="G769"/>
      <c r="H769" t="s">
        <v>294</v>
      </c>
      <c r="I769" t="s">
        <v>199</v>
      </c>
      <c r="J769" t="s">
        <v>175</v>
      </c>
      <c r="K769" s="1">
        <v>44.07</v>
      </c>
      <c r="L769" s="1">
        <v>44.07</v>
      </c>
      <c r="M769" s="1">
        <v>0</v>
      </c>
      <c r="N769" s="1">
        <v>44.07</v>
      </c>
      <c r="O769" s="1">
        <v>4407</v>
      </c>
      <c r="P769" s="1">
        <v>4407</v>
      </c>
      <c r="Q769" s="1">
        <v>0</v>
      </c>
      <c r="R769" s="1">
        <v>5139.1000000000004</v>
      </c>
      <c r="S769" t="s">
        <v>12</v>
      </c>
      <c r="T769" s="13">
        <v>45914</v>
      </c>
      <c r="U769" s="1" t="str">
        <f>IF(ESTIMATIVA[[#This Row],[QT_AREA_REAL]]&gt;0,"1- Colhido","2- à Colher")</f>
        <v>1- Colhido</v>
      </c>
      <c r="V769" s="1" t="str">
        <f>IF(ESTIMATIVA[[#This Row],[QT_AREA_REST1]]&gt;0,"Reestimativa 1",IF(ESTIMATIVA[[#This Row],[QT_AREA_REAL]]=0,"Reestimativa 1","Realizado"))</f>
        <v>Reestimativa 1</v>
      </c>
      <c r="W769" s="1" t="str">
        <f>IF(ESTIMATIVA[[#This Row],[QT_AREA_REST2]]&gt;0,"Reestimativa 2",IF(ESTIMATIVA[[#This Row],[QT_AREA_REAL]]=0,"Reestimativa 2","Realizado"))</f>
        <v>Realizado</v>
      </c>
      <c r="X769" s="1">
        <f>ESTIMATIVA[[#This Row],[QT_AREA_EST]]</f>
        <v>44.07</v>
      </c>
      <c r="Y769" s="1">
        <f>IF(ESTIMATIVA[[#This Row],[QT_AREA_REST1]]&gt;0,ESTIMATIVA[[#This Row],[QT_AREA_REST1]],
  IF(ESTIMATIVA[[#This Row],[QT_AREA_REAL]]&gt;0,ESTIMATIVA[[#This Row],[QT_AREA_REAL]],ESTIMATIVA[[#This Row],[QT_AREA_EST]]))</f>
        <v>44.07</v>
      </c>
      <c r="Z76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44.07</v>
      </c>
      <c r="AA769" s="1">
        <f>ESTIMATIVA[[#This Row],[QT_CANA_EST]]</f>
        <v>4407</v>
      </c>
      <c r="AB769" s="1">
        <f>IF(ESTIMATIVA[[#This Row],[QT_CANA_REST1]]&gt;0,ESTIMATIVA[[#This Row],[QT_CANA_REST1]],
  IF(ESTIMATIVA[[#This Row],[QT_CANA_REAL]]&gt;0,ESTIMATIVA[[#This Row],[QT_CANA_REAL]],ESTIMATIVA[[#This Row],[QT_CANA_EST]]))</f>
        <v>4407</v>
      </c>
      <c r="AC76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5139.1000000000004</v>
      </c>
      <c r="AD769" s="1">
        <f>IF(ESTIMATIVA[[#This Row],[QT_AREA_REAL]]&gt;0,ESTIMATIVA[[#This Row],[QT_CANA_REAL]],ESTIMATIVA[[#This Row],[QT_CANA_EST]])</f>
        <v>5139.1000000000004</v>
      </c>
      <c r="AE769" s="1">
        <f>IF(ESTIMATIVA[[#This Row],[QT_AREA_REAL]]&gt;0,ESTIMATIVA[[#This Row],[QT_CANA_REAL]],ESTIMATIVA[[#This Row],[QT_CANA_REST1]])</f>
        <v>5139.1000000000004</v>
      </c>
      <c r="AF769" s="1">
        <f>IF(ESTIMATIVA[[#This Row],[QT_AREA_REAL]]&gt;0,ESTIMATIVA[[#This Row],[QT_CANA_REAL]],ESTIMATIVA[[#This Row],[QT_CANA_REST2]])</f>
        <v>5139.1000000000004</v>
      </c>
      <c r="AG769" s="1" t="str">
        <f>IF(COUNTIFS(GEADA!A:A,VALUE(ESTIMATIVA[[#This Row],[CD_UPNIVEL1]]&amp;TEXT(ESTIMATIVA[[#This Row],[CD_UPNIVEL3]],"0000")))&gt;0,"S","N")</f>
        <v>N</v>
      </c>
      <c r="AH76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69" s="55" t="str">
        <f>IF(ESTIMATIVA[[#This Row],[TP_CULTIVO]]="Irrigado",_xlfn.MAXIFS(IRRIGADO!J:J,IRRIGADO!C:C,ESTIMATIVA[[#This Row],[CD_UPNIVEL1]],IRRIGADO!E:E,ESTIMATIVA[[#This Row],[CD_UPNIVEL3]]),"")</f>
        <v/>
      </c>
      <c r="AJ76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69" s="1">
        <f>COUNTIFS(Apresentação!$E$23:$E$29,ESTIMATIVA[[#This Row],[CD_UPNIVEL1]])</f>
        <v>0</v>
      </c>
    </row>
    <row r="770" spans="1:37" x14ac:dyDescent="0.3">
      <c r="A770">
        <v>20431</v>
      </c>
      <c r="B770" t="s">
        <v>46</v>
      </c>
      <c r="C770">
        <v>9</v>
      </c>
      <c r="D770">
        <v>1</v>
      </c>
      <c r="E770" t="s">
        <v>267</v>
      </c>
      <c r="F770" s="85" t="s">
        <v>331</v>
      </c>
      <c r="G770"/>
      <c r="H770" t="s">
        <v>294</v>
      </c>
      <c r="I770" t="s">
        <v>205</v>
      </c>
      <c r="J770" t="s">
        <v>175</v>
      </c>
      <c r="K770" s="1">
        <v>39.590000000000003</v>
      </c>
      <c r="L770" s="1">
        <v>39.590000000000003</v>
      </c>
      <c r="M770" s="1">
        <v>0</v>
      </c>
      <c r="N770" s="1">
        <v>39.590000000000003</v>
      </c>
      <c r="O770" s="1">
        <v>4275.72</v>
      </c>
      <c r="P770" s="1">
        <v>4354.8999999999996</v>
      </c>
      <c r="Q770" s="1">
        <v>0</v>
      </c>
      <c r="R770" s="1">
        <v>5248.46</v>
      </c>
      <c r="S770" t="s">
        <v>12</v>
      </c>
      <c r="T770" s="13">
        <v>45865</v>
      </c>
      <c r="U770" s="1" t="str">
        <f>IF(ESTIMATIVA[[#This Row],[QT_AREA_REAL]]&gt;0,"1- Colhido","2- à Colher")</f>
        <v>1- Colhido</v>
      </c>
      <c r="V770" s="1" t="str">
        <f>IF(ESTIMATIVA[[#This Row],[QT_AREA_REST1]]&gt;0,"Reestimativa 1",IF(ESTIMATIVA[[#This Row],[QT_AREA_REAL]]=0,"Reestimativa 1","Realizado"))</f>
        <v>Reestimativa 1</v>
      </c>
      <c r="W770" s="1" t="str">
        <f>IF(ESTIMATIVA[[#This Row],[QT_AREA_REST2]]&gt;0,"Reestimativa 2",IF(ESTIMATIVA[[#This Row],[QT_AREA_REAL]]=0,"Reestimativa 2","Realizado"))</f>
        <v>Realizado</v>
      </c>
      <c r="X770" s="1">
        <f>ESTIMATIVA[[#This Row],[QT_AREA_EST]]</f>
        <v>39.590000000000003</v>
      </c>
      <c r="Y770" s="1">
        <f>IF(ESTIMATIVA[[#This Row],[QT_AREA_REST1]]&gt;0,ESTIMATIVA[[#This Row],[QT_AREA_REST1]],
  IF(ESTIMATIVA[[#This Row],[QT_AREA_REAL]]&gt;0,ESTIMATIVA[[#This Row],[QT_AREA_REAL]],ESTIMATIVA[[#This Row],[QT_AREA_EST]]))</f>
        <v>39.590000000000003</v>
      </c>
      <c r="Z77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39.590000000000003</v>
      </c>
      <c r="AA770" s="1">
        <f>ESTIMATIVA[[#This Row],[QT_CANA_EST]]</f>
        <v>4275.72</v>
      </c>
      <c r="AB770" s="1">
        <f>IF(ESTIMATIVA[[#This Row],[QT_CANA_REST1]]&gt;0,ESTIMATIVA[[#This Row],[QT_CANA_REST1]],
  IF(ESTIMATIVA[[#This Row],[QT_CANA_REAL]]&gt;0,ESTIMATIVA[[#This Row],[QT_CANA_REAL]],ESTIMATIVA[[#This Row],[QT_CANA_EST]]))</f>
        <v>4354.8999999999996</v>
      </c>
      <c r="AC77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5248.46</v>
      </c>
      <c r="AD770" s="1">
        <f>IF(ESTIMATIVA[[#This Row],[QT_AREA_REAL]]&gt;0,ESTIMATIVA[[#This Row],[QT_CANA_REAL]],ESTIMATIVA[[#This Row],[QT_CANA_EST]])</f>
        <v>5248.46</v>
      </c>
      <c r="AE770" s="1">
        <f>IF(ESTIMATIVA[[#This Row],[QT_AREA_REAL]]&gt;0,ESTIMATIVA[[#This Row],[QT_CANA_REAL]],ESTIMATIVA[[#This Row],[QT_CANA_REST1]])</f>
        <v>5248.46</v>
      </c>
      <c r="AF770" s="1">
        <f>IF(ESTIMATIVA[[#This Row],[QT_AREA_REAL]]&gt;0,ESTIMATIVA[[#This Row],[QT_CANA_REAL]],ESTIMATIVA[[#This Row],[QT_CANA_REST2]])</f>
        <v>5248.46</v>
      </c>
      <c r="AG770" s="1" t="str">
        <f>IF(COUNTIFS(GEADA!A:A,VALUE(ESTIMATIVA[[#This Row],[CD_UPNIVEL1]]&amp;TEXT(ESTIMATIVA[[#This Row],[CD_UPNIVEL3]],"0000")))&gt;0,"S","N")</f>
        <v>N</v>
      </c>
      <c r="AH77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70" s="55" t="str">
        <f>IF(ESTIMATIVA[[#This Row],[TP_CULTIVO]]="Irrigado",_xlfn.MAXIFS(IRRIGADO!J:J,IRRIGADO!C:C,ESTIMATIVA[[#This Row],[CD_UPNIVEL1]],IRRIGADO!E:E,ESTIMATIVA[[#This Row],[CD_UPNIVEL3]]),"")</f>
        <v/>
      </c>
      <c r="AJ77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70" s="1">
        <f>COUNTIFS(Apresentação!$E$23:$E$29,ESTIMATIVA[[#This Row],[CD_UPNIVEL1]])</f>
        <v>0</v>
      </c>
    </row>
    <row r="771" spans="1:37" x14ac:dyDescent="0.3">
      <c r="A771">
        <v>20431</v>
      </c>
      <c r="B771" t="s">
        <v>46</v>
      </c>
      <c r="C771">
        <v>10</v>
      </c>
      <c r="D771">
        <v>2</v>
      </c>
      <c r="E771" t="s">
        <v>266</v>
      </c>
      <c r="F771" s="85" t="s">
        <v>333</v>
      </c>
      <c r="G771"/>
      <c r="H771" t="s">
        <v>294</v>
      </c>
      <c r="I771" t="s">
        <v>205</v>
      </c>
      <c r="J771" t="s">
        <v>175</v>
      </c>
      <c r="K771" s="1">
        <v>19.829999999999998</v>
      </c>
      <c r="L771" s="1">
        <v>19.829999999999998</v>
      </c>
      <c r="M771" s="1">
        <v>0</v>
      </c>
      <c r="N771" s="1">
        <v>19.829999999999998</v>
      </c>
      <c r="O771" s="1">
        <v>1784.7</v>
      </c>
      <c r="P771" s="1">
        <v>1804.53</v>
      </c>
      <c r="Q771" s="1">
        <v>0</v>
      </c>
      <c r="R771" s="1">
        <v>1760.79</v>
      </c>
      <c r="S771" t="s">
        <v>12</v>
      </c>
      <c r="T771" s="13">
        <v>45907</v>
      </c>
      <c r="U771" s="1" t="str">
        <f>IF(ESTIMATIVA[[#This Row],[QT_AREA_REAL]]&gt;0,"1- Colhido","2- à Colher")</f>
        <v>1- Colhido</v>
      </c>
      <c r="V771" s="1" t="str">
        <f>IF(ESTIMATIVA[[#This Row],[QT_AREA_REST1]]&gt;0,"Reestimativa 1",IF(ESTIMATIVA[[#This Row],[QT_AREA_REAL]]=0,"Reestimativa 1","Realizado"))</f>
        <v>Reestimativa 1</v>
      </c>
      <c r="W771" s="1" t="str">
        <f>IF(ESTIMATIVA[[#This Row],[QT_AREA_REST2]]&gt;0,"Reestimativa 2",IF(ESTIMATIVA[[#This Row],[QT_AREA_REAL]]=0,"Reestimativa 2","Realizado"))</f>
        <v>Realizado</v>
      </c>
      <c r="X771" s="1">
        <f>ESTIMATIVA[[#This Row],[QT_AREA_EST]]</f>
        <v>19.829999999999998</v>
      </c>
      <c r="Y771" s="1">
        <f>IF(ESTIMATIVA[[#This Row],[QT_AREA_REST1]]&gt;0,ESTIMATIVA[[#This Row],[QT_AREA_REST1]],
  IF(ESTIMATIVA[[#This Row],[QT_AREA_REAL]]&gt;0,ESTIMATIVA[[#This Row],[QT_AREA_REAL]],ESTIMATIVA[[#This Row],[QT_AREA_EST]]))</f>
        <v>19.829999999999998</v>
      </c>
      <c r="Z77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19.829999999999998</v>
      </c>
      <c r="AA771" s="1">
        <f>ESTIMATIVA[[#This Row],[QT_CANA_EST]]</f>
        <v>1784.7</v>
      </c>
      <c r="AB771" s="1">
        <f>IF(ESTIMATIVA[[#This Row],[QT_CANA_REST1]]&gt;0,ESTIMATIVA[[#This Row],[QT_CANA_REST1]],
  IF(ESTIMATIVA[[#This Row],[QT_CANA_REAL]]&gt;0,ESTIMATIVA[[#This Row],[QT_CANA_REAL]],ESTIMATIVA[[#This Row],[QT_CANA_EST]]))</f>
        <v>1804.53</v>
      </c>
      <c r="AC77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1760.79</v>
      </c>
      <c r="AD771" s="1">
        <f>IF(ESTIMATIVA[[#This Row],[QT_AREA_REAL]]&gt;0,ESTIMATIVA[[#This Row],[QT_CANA_REAL]],ESTIMATIVA[[#This Row],[QT_CANA_EST]])</f>
        <v>1760.79</v>
      </c>
      <c r="AE771" s="1">
        <f>IF(ESTIMATIVA[[#This Row],[QT_AREA_REAL]]&gt;0,ESTIMATIVA[[#This Row],[QT_CANA_REAL]],ESTIMATIVA[[#This Row],[QT_CANA_REST1]])</f>
        <v>1760.79</v>
      </c>
      <c r="AF771" s="1">
        <f>IF(ESTIMATIVA[[#This Row],[QT_AREA_REAL]]&gt;0,ESTIMATIVA[[#This Row],[QT_CANA_REAL]],ESTIMATIVA[[#This Row],[QT_CANA_REST2]])</f>
        <v>1760.79</v>
      </c>
      <c r="AG771" s="1" t="str">
        <f>IF(COUNTIFS(GEADA!A:A,VALUE(ESTIMATIVA[[#This Row],[CD_UPNIVEL1]]&amp;TEXT(ESTIMATIVA[[#This Row],[CD_UPNIVEL3]],"0000")))&gt;0,"S","N")</f>
        <v>S</v>
      </c>
      <c r="AH77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71" s="55" t="str">
        <f>IF(ESTIMATIVA[[#This Row],[TP_CULTIVO]]="Irrigado",_xlfn.MAXIFS(IRRIGADO!J:J,IRRIGADO!C:C,ESTIMATIVA[[#This Row],[CD_UPNIVEL1]],IRRIGADO!E:E,ESTIMATIVA[[#This Row],[CD_UPNIVEL3]]),"")</f>
        <v/>
      </c>
      <c r="AJ77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71" s="1">
        <f>COUNTIFS(Apresentação!$E$23:$E$29,ESTIMATIVA[[#This Row],[CD_UPNIVEL1]])</f>
        <v>0</v>
      </c>
    </row>
    <row r="772" spans="1:37" x14ac:dyDescent="0.3">
      <c r="A772">
        <v>20431</v>
      </c>
      <c r="B772" t="s">
        <v>46</v>
      </c>
      <c r="C772">
        <v>11</v>
      </c>
      <c r="D772">
        <v>2</v>
      </c>
      <c r="E772" t="s">
        <v>266</v>
      </c>
      <c r="F772" s="85" t="s">
        <v>333</v>
      </c>
      <c r="G772"/>
      <c r="H772" t="s">
        <v>294</v>
      </c>
      <c r="I772" t="s">
        <v>205</v>
      </c>
      <c r="J772" t="s">
        <v>175</v>
      </c>
      <c r="K772" s="1">
        <v>17.37</v>
      </c>
      <c r="L772" s="1">
        <v>17.37</v>
      </c>
      <c r="M772" s="1">
        <v>0</v>
      </c>
      <c r="N772" s="1">
        <v>17.37</v>
      </c>
      <c r="O772" s="1">
        <v>1563.3</v>
      </c>
      <c r="P772" s="1">
        <v>1580.67</v>
      </c>
      <c r="Q772" s="1">
        <v>0</v>
      </c>
      <c r="R772" s="1">
        <v>1542.35</v>
      </c>
      <c r="S772" t="s">
        <v>12</v>
      </c>
      <c r="T772" s="13">
        <v>45907</v>
      </c>
      <c r="U772" s="1" t="str">
        <f>IF(ESTIMATIVA[[#This Row],[QT_AREA_REAL]]&gt;0,"1- Colhido","2- à Colher")</f>
        <v>1- Colhido</v>
      </c>
      <c r="V772" s="1" t="str">
        <f>IF(ESTIMATIVA[[#This Row],[QT_AREA_REST1]]&gt;0,"Reestimativa 1",IF(ESTIMATIVA[[#This Row],[QT_AREA_REAL]]=0,"Reestimativa 1","Realizado"))</f>
        <v>Reestimativa 1</v>
      </c>
      <c r="W772" s="1" t="str">
        <f>IF(ESTIMATIVA[[#This Row],[QT_AREA_REST2]]&gt;0,"Reestimativa 2",IF(ESTIMATIVA[[#This Row],[QT_AREA_REAL]]=0,"Reestimativa 2","Realizado"))</f>
        <v>Realizado</v>
      </c>
      <c r="X772" s="1">
        <f>ESTIMATIVA[[#This Row],[QT_AREA_EST]]</f>
        <v>17.37</v>
      </c>
      <c r="Y772" s="1">
        <f>IF(ESTIMATIVA[[#This Row],[QT_AREA_REST1]]&gt;0,ESTIMATIVA[[#This Row],[QT_AREA_REST1]],
  IF(ESTIMATIVA[[#This Row],[QT_AREA_REAL]]&gt;0,ESTIMATIVA[[#This Row],[QT_AREA_REAL]],ESTIMATIVA[[#This Row],[QT_AREA_EST]]))</f>
        <v>17.37</v>
      </c>
      <c r="Z77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17.37</v>
      </c>
      <c r="AA772" s="1">
        <f>ESTIMATIVA[[#This Row],[QT_CANA_EST]]</f>
        <v>1563.3</v>
      </c>
      <c r="AB772" s="1">
        <f>IF(ESTIMATIVA[[#This Row],[QT_CANA_REST1]]&gt;0,ESTIMATIVA[[#This Row],[QT_CANA_REST1]],
  IF(ESTIMATIVA[[#This Row],[QT_CANA_REAL]]&gt;0,ESTIMATIVA[[#This Row],[QT_CANA_REAL]],ESTIMATIVA[[#This Row],[QT_CANA_EST]]))</f>
        <v>1580.67</v>
      </c>
      <c r="AC77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1542.35</v>
      </c>
      <c r="AD772" s="1">
        <f>IF(ESTIMATIVA[[#This Row],[QT_AREA_REAL]]&gt;0,ESTIMATIVA[[#This Row],[QT_CANA_REAL]],ESTIMATIVA[[#This Row],[QT_CANA_EST]])</f>
        <v>1542.35</v>
      </c>
      <c r="AE772" s="1">
        <f>IF(ESTIMATIVA[[#This Row],[QT_AREA_REAL]]&gt;0,ESTIMATIVA[[#This Row],[QT_CANA_REAL]],ESTIMATIVA[[#This Row],[QT_CANA_REST1]])</f>
        <v>1542.35</v>
      </c>
      <c r="AF772" s="1">
        <f>IF(ESTIMATIVA[[#This Row],[QT_AREA_REAL]]&gt;0,ESTIMATIVA[[#This Row],[QT_CANA_REAL]],ESTIMATIVA[[#This Row],[QT_CANA_REST2]])</f>
        <v>1542.35</v>
      </c>
      <c r="AG772" s="1" t="str">
        <f>IF(COUNTIFS(GEADA!A:A,VALUE(ESTIMATIVA[[#This Row],[CD_UPNIVEL1]]&amp;TEXT(ESTIMATIVA[[#This Row],[CD_UPNIVEL3]],"0000")))&gt;0,"S","N")</f>
        <v>S</v>
      </c>
      <c r="AH77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72" s="55" t="str">
        <f>IF(ESTIMATIVA[[#This Row],[TP_CULTIVO]]="Irrigado",_xlfn.MAXIFS(IRRIGADO!J:J,IRRIGADO!C:C,ESTIMATIVA[[#This Row],[CD_UPNIVEL1]],IRRIGADO!E:E,ESTIMATIVA[[#This Row],[CD_UPNIVEL3]]),"")</f>
        <v/>
      </c>
      <c r="AJ77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72" s="1">
        <f>COUNTIFS(Apresentação!$E$23:$E$29,ESTIMATIVA[[#This Row],[CD_UPNIVEL1]])</f>
        <v>0</v>
      </c>
    </row>
    <row r="773" spans="1:37" x14ac:dyDescent="0.3">
      <c r="A773">
        <v>20431</v>
      </c>
      <c r="B773" t="s">
        <v>46</v>
      </c>
      <c r="C773">
        <v>12</v>
      </c>
      <c r="D773">
        <v>2</v>
      </c>
      <c r="E773" t="s">
        <v>266</v>
      </c>
      <c r="F773" s="85" t="s">
        <v>333</v>
      </c>
      <c r="G773"/>
      <c r="H773" t="s">
        <v>294</v>
      </c>
      <c r="I773" t="s">
        <v>205</v>
      </c>
      <c r="J773" t="s">
        <v>175</v>
      </c>
      <c r="K773" s="1">
        <v>6.06</v>
      </c>
      <c r="L773" s="1">
        <v>6.06</v>
      </c>
      <c r="M773" s="1">
        <v>0</v>
      </c>
      <c r="N773" s="1">
        <v>6.06</v>
      </c>
      <c r="O773" s="1">
        <v>545.4</v>
      </c>
      <c r="P773" s="1">
        <v>551.46</v>
      </c>
      <c r="Q773" s="1">
        <v>0</v>
      </c>
      <c r="R773" s="1">
        <v>642.62</v>
      </c>
      <c r="S773" t="s">
        <v>12</v>
      </c>
      <c r="T773" s="13">
        <v>45914</v>
      </c>
      <c r="U773" s="1" t="str">
        <f>IF(ESTIMATIVA[[#This Row],[QT_AREA_REAL]]&gt;0,"1- Colhido","2- à Colher")</f>
        <v>1- Colhido</v>
      </c>
      <c r="V773" s="1" t="str">
        <f>IF(ESTIMATIVA[[#This Row],[QT_AREA_REST1]]&gt;0,"Reestimativa 1",IF(ESTIMATIVA[[#This Row],[QT_AREA_REAL]]=0,"Reestimativa 1","Realizado"))</f>
        <v>Reestimativa 1</v>
      </c>
      <c r="W773" s="1" t="str">
        <f>IF(ESTIMATIVA[[#This Row],[QT_AREA_REST2]]&gt;0,"Reestimativa 2",IF(ESTIMATIVA[[#This Row],[QT_AREA_REAL]]=0,"Reestimativa 2","Realizado"))</f>
        <v>Realizado</v>
      </c>
      <c r="X773" s="1">
        <f>ESTIMATIVA[[#This Row],[QT_AREA_EST]]</f>
        <v>6.06</v>
      </c>
      <c r="Y773" s="1">
        <f>IF(ESTIMATIVA[[#This Row],[QT_AREA_REST1]]&gt;0,ESTIMATIVA[[#This Row],[QT_AREA_REST1]],
  IF(ESTIMATIVA[[#This Row],[QT_AREA_REAL]]&gt;0,ESTIMATIVA[[#This Row],[QT_AREA_REAL]],ESTIMATIVA[[#This Row],[QT_AREA_EST]]))</f>
        <v>6.06</v>
      </c>
      <c r="Z77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6.06</v>
      </c>
      <c r="AA773" s="1">
        <f>ESTIMATIVA[[#This Row],[QT_CANA_EST]]</f>
        <v>545.4</v>
      </c>
      <c r="AB773" s="1">
        <f>IF(ESTIMATIVA[[#This Row],[QT_CANA_REST1]]&gt;0,ESTIMATIVA[[#This Row],[QT_CANA_REST1]],
  IF(ESTIMATIVA[[#This Row],[QT_CANA_REAL]]&gt;0,ESTIMATIVA[[#This Row],[QT_CANA_REAL]],ESTIMATIVA[[#This Row],[QT_CANA_EST]]))</f>
        <v>551.46</v>
      </c>
      <c r="AC77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642.62</v>
      </c>
      <c r="AD773" s="1">
        <f>IF(ESTIMATIVA[[#This Row],[QT_AREA_REAL]]&gt;0,ESTIMATIVA[[#This Row],[QT_CANA_REAL]],ESTIMATIVA[[#This Row],[QT_CANA_EST]])</f>
        <v>642.62</v>
      </c>
      <c r="AE773" s="1">
        <f>IF(ESTIMATIVA[[#This Row],[QT_AREA_REAL]]&gt;0,ESTIMATIVA[[#This Row],[QT_CANA_REAL]],ESTIMATIVA[[#This Row],[QT_CANA_REST1]])</f>
        <v>642.62</v>
      </c>
      <c r="AF773" s="1">
        <f>IF(ESTIMATIVA[[#This Row],[QT_AREA_REAL]]&gt;0,ESTIMATIVA[[#This Row],[QT_CANA_REAL]],ESTIMATIVA[[#This Row],[QT_CANA_REST2]])</f>
        <v>642.62</v>
      </c>
      <c r="AG773" s="1" t="str">
        <f>IF(COUNTIFS(GEADA!A:A,VALUE(ESTIMATIVA[[#This Row],[CD_UPNIVEL1]]&amp;TEXT(ESTIMATIVA[[#This Row],[CD_UPNIVEL3]],"0000")))&gt;0,"S","N")</f>
        <v>S</v>
      </c>
      <c r="AH77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73" s="55" t="str">
        <f>IF(ESTIMATIVA[[#This Row],[TP_CULTIVO]]="Irrigado",_xlfn.MAXIFS(IRRIGADO!J:J,IRRIGADO!C:C,ESTIMATIVA[[#This Row],[CD_UPNIVEL1]],IRRIGADO!E:E,ESTIMATIVA[[#This Row],[CD_UPNIVEL3]]),"")</f>
        <v/>
      </c>
      <c r="AJ77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73" s="1">
        <f>COUNTIFS(Apresentação!$E$23:$E$29,ESTIMATIVA[[#This Row],[CD_UPNIVEL1]])</f>
        <v>0</v>
      </c>
    </row>
    <row r="774" spans="1:37" x14ac:dyDescent="0.3">
      <c r="A774">
        <v>20431</v>
      </c>
      <c r="B774" t="s">
        <v>46</v>
      </c>
      <c r="C774">
        <v>13</v>
      </c>
      <c r="D774">
        <v>2</v>
      </c>
      <c r="E774" t="s">
        <v>266</v>
      </c>
      <c r="F774" s="85" t="s">
        <v>331</v>
      </c>
      <c r="G774"/>
      <c r="H774" t="s">
        <v>294</v>
      </c>
      <c r="I774" t="s">
        <v>205</v>
      </c>
      <c r="J774" t="s">
        <v>175</v>
      </c>
      <c r="K774" s="1">
        <v>16.09</v>
      </c>
      <c r="L774" s="1">
        <v>16.09</v>
      </c>
      <c r="M774" s="1">
        <v>0</v>
      </c>
      <c r="N774" s="1">
        <v>16.09</v>
      </c>
      <c r="O774" s="1">
        <v>1448.1</v>
      </c>
      <c r="P774" s="1">
        <v>1464.19</v>
      </c>
      <c r="Q774" s="1">
        <v>0</v>
      </c>
      <c r="R774" s="1">
        <v>1284.1099999999999</v>
      </c>
      <c r="S774" t="s">
        <v>12</v>
      </c>
      <c r="T774" s="13">
        <v>45907</v>
      </c>
      <c r="U774" s="1" t="str">
        <f>IF(ESTIMATIVA[[#This Row],[QT_AREA_REAL]]&gt;0,"1- Colhido","2- à Colher")</f>
        <v>1- Colhido</v>
      </c>
      <c r="V774" s="1" t="str">
        <f>IF(ESTIMATIVA[[#This Row],[QT_AREA_REST1]]&gt;0,"Reestimativa 1",IF(ESTIMATIVA[[#This Row],[QT_AREA_REAL]]=0,"Reestimativa 1","Realizado"))</f>
        <v>Reestimativa 1</v>
      </c>
      <c r="W774" s="1" t="str">
        <f>IF(ESTIMATIVA[[#This Row],[QT_AREA_REST2]]&gt;0,"Reestimativa 2",IF(ESTIMATIVA[[#This Row],[QT_AREA_REAL]]=0,"Reestimativa 2","Realizado"))</f>
        <v>Realizado</v>
      </c>
      <c r="X774" s="1">
        <f>ESTIMATIVA[[#This Row],[QT_AREA_EST]]</f>
        <v>16.09</v>
      </c>
      <c r="Y774" s="1">
        <f>IF(ESTIMATIVA[[#This Row],[QT_AREA_REST1]]&gt;0,ESTIMATIVA[[#This Row],[QT_AREA_REST1]],
  IF(ESTIMATIVA[[#This Row],[QT_AREA_REAL]]&gt;0,ESTIMATIVA[[#This Row],[QT_AREA_REAL]],ESTIMATIVA[[#This Row],[QT_AREA_EST]]))</f>
        <v>16.09</v>
      </c>
      <c r="Z77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16.09</v>
      </c>
      <c r="AA774" s="1">
        <f>ESTIMATIVA[[#This Row],[QT_CANA_EST]]</f>
        <v>1448.1</v>
      </c>
      <c r="AB774" s="1">
        <f>IF(ESTIMATIVA[[#This Row],[QT_CANA_REST1]]&gt;0,ESTIMATIVA[[#This Row],[QT_CANA_REST1]],
  IF(ESTIMATIVA[[#This Row],[QT_CANA_REAL]]&gt;0,ESTIMATIVA[[#This Row],[QT_CANA_REAL]],ESTIMATIVA[[#This Row],[QT_CANA_EST]]))</f>
        <v>1464.19</v>
      </c>
      <c r="AC77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1284.1099999999999</v>
      </c>
      <c r="AD774" s="1">
        <f>IF(ESTIMATIVA[[#This Row],[QT_AREA_REAL]]&gt;0,ESTIMATIVA[[#This Row],[QT_CANA_REAL]],ESTIMATIVA[[#This Row],[QT_CANA_EST]])</f>
        <v>1284.1099999999999</v>
      </c>
      <c r="AE774" s="1">
        <f>IF(ESTIMATIVA[[#This Row],[QT_AREA_REAL]]&gt;0,ESTIMATIVA[[#This Row],[QT_CANA_REAL]],ESTIMATIVA[[#This Row],[QT_CANA_REST1]])</f>
        <v>1284.1099999999999</v>
      </c>
      <c r="AF774" s="1">
        <f>IF(ESTIMATIVA[[#This Row],[QT_AREA_REAL]]&gt;0,ESTIMATIVA[[#This Row],[QT_CANA_REAL]],ESTIMATIVA[[#This Row],[QT_CANA_REST2]])</f>
        <v>1284.1099999999999</v>
      </c>
      <c r="AG774" s="1" t="str">
        <f>IF(COUNTIFS(GEADA!A:A,VALUE(ESTIMATIVA[[#This Row],[CD_UPNIVEL1]]&amp;TEXT(ESTIMATIVA[[#This Row],[CD_UPNIVEL3]],"0000")))&gt;0,"S","N")</f>
        <v>S</v>
      </c>
      <c r="AH77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74" s="55" t="str">
        <f>IF(ESTIMATIVA[[#This Row],[TP_CULTIVO]]="Irrigado",_xlfn.MAXIFS(IRRIGADO!J:J,IRRIGADO!C:C,ESTIMATIVA[[#This Row],[CD_UPNIVEL1]],IRRIGADO!E:E,ESTIMATIVA[[#This Row],[CD_UPNIVEL3]]),"")</f>
        <v/>
      </c>
      <c r="AJ77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74" s="1">
        <f>COUNTIFS(Apresentação!$E$23:$E$29,ESTIMATIVA[[#This Row],[CD_UPNIVEL1]])</f>
        <v>0</v>
      </c>
    </row>
    <row r="775" spans="1:37" x14ac:dyDescent="0.3">
      <c r="A775">
        <v>20431</v>
      </c>
      <c r="B775" t="s">
        <v>46</v>
      </c>
      <c r="C775">
        <v>14</v>
      </c>
      <c r="D775">
        <v>2</v>
      </c>
      <c r="E775" t="s">
        <v>266</v>
      </c>
      <c r="F775" s="85" t="s">
        <v>331</v>
      </c>
      <c r="G775"/>
      <c r="H775" t="s">
        <v>294</v>
      </c>
      <c r="I775" t="s">
        <v>205</v>
      </c>
      <c r="J775" t="s">
        <v>175</v>
      </c>
      <c r="K775" s="1">
        <v>31.86</v>
      </c>
      <c r="L775" s="1">
        <v>31.86</v>
      </c>
      <c r="M775" s="1">
        <v>0</v>
      </c>
      <c r="N775" s="1">
        <v>31.86</v>
      </c>
      <c r="O775" s="1">
        <v>2867.4</v>
      </c>
      <c r="P775" s="1">
        <v>2899.26</v>
      </c>
      <c r="Q775" s="1">
        <v>0</v>
      </c>
      <c r="R775" s="1">
        <v>2542.9499999999998</v>
      </c>
      <c r="S775" t="s">
        <v>12</v>
      </c>
      <c r="T775" s="13">
        <v>45907</v>
      </c>
      <c r="U775" s="1" t="str">
        <f>IF(ESTIMATIVA[[#This Row],[QT_AREA_REAL]]&gt;0,"1- Colhido","2- à Colher")</f>
        <v>1- Colhido</v>
      </c>
      <c r="V775" s="1" t="str">
        <f>IF(ESTIMATIVA[[#This Row],[QT_AREA_REST1]]&gt;0,"Reestimativa 1",IF(ESTIMATIVA[[#This Row],[QT_AREA_REAL]]=0,"Reestimativa 1","Realizado"))</f>
        <v>Reestimativa 1</v>
      </c>
      <c r="W775" s="1" t="str">
        <f>IF(ESTIMATIVA[[#This Row],[QT_AREA_REST2]]&gt;0,"Reestimativa 2",IF(ESTIMATIVA[[#This Row],[QT_AREA_REAL]]=0,"Reestimativa 2","Realizado"))</f>
        <v>Realizado</v>
      </c>
      <c r="X775" s="1">
        <f>ESTIMATIVA[[#This Row],[QT_AREA_EST]]</f>
        <v>31.86</v>
      </c>
      <c r="Y775" s="1">
        <f>IF(ESTIMATIVA[[#This Row],[QT_AREA_REST1]]&gt;0,ESTIMATIVA[[#This Row],[QT_AREA_REST1]],
  IF(ESTIMATIVA[[#This Row],[QT_AREA_REAL]]&gt;0,ESTIMATIVA[[#This Row],[QT_AREA_REAL]],ESTIMATIVA[[#This Row],[QT_AREA_EST]]))</f>
        <v>31.86</v>
      </c>
      <c r="Z77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31.86</v>
      </c>
      <c r="AA775" s="1">
        <f>ESTIMATIVA[[#This Row],[QT_CANA_EST]]</f>
        <v>2867.4</v>
      </c>
      <c r="AB775" s="1">
        <f>IF(ESTIMATIVA[[#This Row],[QT_CANA_REST1]]&gt;0,ESTIMATIVA[[#This Row],[QT_CANA_REST1]],
  IF(ESTIMATIVA[[#This Row],[QT_CANA_REAL]]&gt;0,ESTIMATIVA[[#This Row],[QT_CANA_REAL]],ESTIMATIVA[[#This Row],[QT_CANA_EST]]))</f>
        <v>2899.26</v>
      </c>
      <c r="AC77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2542.9499999999998</v>
      </c>
      <c r="AD775" s="1">
        <f>IF(ESTIMATIVA[[#This Row],[QT_AREA_REAL]]&gt;0,ESTIMATIVA[[#This Row],[QT_CANA_REAL]],ESTIMATIVA[[#This Row],[QT_CANA_EST]])</f>
        <v>2542.9499999999998</v>
      </c>
      <c r="AE775" s="1">
        <f>IF(ESTIMATIVA[[#This Row],[QT_AREA_REAL]]&gt;0,ESTIMATIVA[[#This Row],[QT_CANA_REAL]],ESTIMATIVA[[#This Row],[QT_CANA_REST1]])</f>
        <v>2542.9499999999998</v>
      </c>
      <c r="AF775" s="1">
        <f>IF(ESTIMATIVA[[#This Row],[QT_AREA_REAL]]&gt;0,ESTIMATIVA[[#This Row],[QT_CANA_REAL]],ESTIMATIVA[[#This Row],[QT_CANA_REST2]])</f>
        <v>2542.9499999999998</v>
      </c>
      <c r="AG775" s="1" t="str">
        <f>IF(COUNTIFS(GEADA!A:A,VALUE(ESTIMATIVA[[#This Row],[CD_UPNIVEL1]]&amp;TEXT(ESTIMATIVA[[#This Row],[CD_UPNIVEL3]],"0000")))&gt;0,"S","N")</f>
        <v>S</v>
      </c>
      <c r="AH77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75" s="55" t="str">
        <f>IF(ESTIMATIVA[[#This Row],[TP_CULTIVO]]="Irrigado",_xlfn.MAXIFS(IRRIGADO!J:J,IRRIGADO!C:C,ESTIMATIVA[[#This Row],[CD_UPNIVEL1]],IRRIGADO!E:E,ESTIMATIVA[[#This Row],[CD_UPNIVEL3]]),"")</f>
        <v/>
      </c>
      <c r="AJ77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75" s="1">
        <f>COUNTIFS(Apresentação!$E$23:$E$29,ESTIMATIVA[[#This Row],[CD_UPNIVEL1]])</f>
        <v>0</v>
      </c>
    </row>
    <row r="776" spans="1:37" x14ac:dyDescent="0.3">
      <c r="A776">
        <v>20431</v>
      </c>
      <c r="B776" t="s">
        <v>46</v>
      </c>
      <c r="C776">
        <v>15</v>
      </c>
      <c r="D776">
        <v>1</v>
      </c>
      <c r="E776" t="s">
        <v>264</v>
      </c>
      <c r="F776" s="85" t="s">
        <v>331</v>
      </c>
      <c r="G776"/>
      <c r="H776" t="s">
        <v>294</v>
      </c>
      <c r="I776" t="s">
        <v>223</v>
      </c>
      <c r="J776" t="s">
        <v>175</v>
      </c>
      <c r="K776" s="1">
        <v>35.979999999999997</v>
      </c>
      <c r="L776" s="1">
        <v>35.979999999999997</v>
      </c>
      <c r="M776" s="1">
        <v>0</v>
      </c>
      <c r="N776" s="1">
        <v>35.979999999999997</v>
      </c>
      <c r="O776" s="1">
        <v>3669.96</v>
      </c>
      <c r="P776" s="1">
        <v>3957.8</v>
      </c>
      <c r="Q776" s="1">
        <v>0</v>
      </c>
      <c r="R776" s="1">
        <v>4077.34</v>
      </c>
      <c r="S776" t="s">
        <v>12</v>
      </c>
      <c r="T776" s="13">
        <v>45872</v>
      </c>
      <c r="U776" s="1" t="str">
        <f>IF(ESTIMATIVA[[#This Row],[QT_AREA_REAL]]&gt;0,"1- Colhido","2- à Colher")</f>
        <v>1- Colhido</v>
      </c>
      <c r="V776" s="1" t="str">
        <f>IF(ESTIMATIVA[[#This Row],[QT_AREA_REST1]]&gt;0,"Reestimativa 1",IF(ESTIMATIVA[[#This Row],[QT_AREA_REAL]]=0,"Reestimativa 1","Realizado"))</f>
        <v>Reestimativa 1</v>
      </c>
      <c r="W776" s="1" t="str">
        <f>IF(ESTIMATIVA[[#This Row],[QT_AREA_REST2]]&gt;0,"Reestimativa 2",IF(ESTIMATIVA[[#This Row],[QT_AREA_REAL]]=0,"Reestimativa 2","Realizado"))</f>
        <v>Realizado</v>
      </c>
      <c r="X776" s="1">
        <f>ESTIMATIVA[[#This Row],[QT_AREA_EST]]</f>
        <v>35.979999999999997</v>
      </c>
      <c r="Y776" s="1">
        <f>IF(ESTIMATIVA[[#This Row],[QT_AREA_REST1]]&gt;0,ESTIMATIVA[[#This Row],[QT_AREA_REST1]],
  IF(ESTIMATIVA[[#This Row],[QT_AREA_REAL]]&gt;0,ESTIMATIVA[[#This Row],[QT_AREA_REAL]],ESTIMATIVA[[#This Row],[QT_AREA_EST]]))</f>
        <v>35.979999999999997</v>
      </c>
      <c r="Z77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35.979999999999997</v>
      </c>
      <c r="AA776" s="1">
        <f>ESTIMATIVA[[#This Row],[QT_CANA_EST]]</f>
        <v>3669.96</v>
      </c>
      <c r="AB776" s="1">
        <f>IF(ESTIMATIVA[[#This Row],[QT_CANA_REST1]]&gt;0,ESTIMATIVA[[#This Row],[QT_CANA_REST1]],
  IF(ESTIMATIVA[[#This Row],[QT_CANA_REAL]]&gt;0,ESTIMATIVA[[#This Row],[QT_CANA_REAL]],ESTIMATIVA[[#This Row],[QT_CANA_EST]]))</f>
        <v>3957.8</v>
      </c>
      <c r="AC77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4077.34</v>
      </c>
      <c r="AD776" s="1">
        <f>IF(ESTIMATIVA[[#This Row],[QT_AREA_REAL]]&gt;0,ESTIMATIVA[[#This Row],[QT_CANA_REAL]],ESTIMATIVA[[#This Row],[QT_CANA_EST]])</f>
        <v>4077.34</v>
      </c>
      <c r="AE776" s="1">
        <f>IF(ESTIMATIVA[[#This Row],[QT_AREA_REAL]]&gt;0,ESTIMATIVA[[#This Row],[QT_CANA_REAL]],ESTIMATIVA[[#This Row],[QT_CANA_REST1]])</f>
        <v>4077.34</v>
      </c>
      <c r="AF776" s="1">
        <f>IF(ESTIMATIVA[[#This Row],[QT_AREA_REAL]]&gt;0,ESTIMATIVA[[#This Row],[QT_CANA_REAL]],ESTIMATIVA[[#This Row],[QT_CANA_REST2]])</f>
        <v>4077.34</v>
      </c>
      <c r="AG776" s="1" t="str">
        <f>IF(COUNTIFS(GEADA!A:A,VALUE(ESTIMATIVA[[#This Row],[CD_UPNIVEL1]]&amp;TEXT(ESTIMATIVA[[#This Row],[CD_UPNIVEL3]],"0000")))&gt;0,"S","N")</f>
        <v>N</v>
      </c>
      <c r="AH776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776" s="55">
        <f>IF(ESTIMATIVA[[#This Row],[TP_CULTIVO]]="Irrigado",_xlfn.MAXIFS(IRRIGADO!J:J,IRRIGADO!C:C,ESTIMATIVA[[#This Row],[CD_UPNIVEL1]],IRRIGADO!E:E,ESTIMATIVA[[#This Row],[CD_UPNIVEL3]]),"")</f>
        <v>45443</v>
      </c>
      <c r="AJ776" s="1">
        <f>IF(ESTIMATIVA[[#This Row],[TP_CULTIVO]]&lt;&gt;"Irrigado",0,AVERAGEIFS(IRRIGADO!G:G,IRRIGADO!C:C,ESTIMATIVA[[#This Row],[CD_UPNIVEL1]],IRRIGADO!E:E,ESTIMATIVA[[#This Row],[CD_UPNIVEL3]])*ESTIMATIVA[[#This Row],[QT_AREA_REAL]])</f>
        <v>719.59999999999991</v>
      </c>
      <c r="AK776" s="1">
        <f>COUNTIFS(Apresentação!$E$23:$E$29,ESTIMATIVA[[#This Row],[CD_UPNIVEL1]])</f>
        <v>0</v>
      </c>
    </row>
    <row r="777" spans="1:37" x14ac:dyDescent="0.3">
      <c r="A777">
        <v>20431</v>
      </c>
      <c r="B777" t="s">
        <v>46</v>
      </c>
      <c r="C777">
        <v>16</v>
      </c>
      <c r="D777">
        <v>1</v>
      </c>
      <c r="E777" t="s">
        <v>264</v>
      </c>
      <c r="F777" s="85" t="s">
        <v>331</v>
      </c>
      <c r="G777"/>
      <c r="H777" t="s">
        <v>294</v>
      </c>
      <c r="I777" t="s">
        <v>223</v>
      </c>
      <c r="J777" t="s">
        <v>175</v>
      </c>
      <c r="K777" s="1">
        <v>17.43</v>
      </c>
      <c r="L777" s="1">
        <v>17.43</v>
      </c>
      <c r="M777" s="1">
        <v>0</v>
      </c>
      <c r="N777" s="1">
        <v>17.43</v>
      </c>
      <c r="O777" s="1">
        <v>1865.01</v>
      </c>
      <c r="P777" s="1">
        <v>2004.45</v>
      </c>
      <c r="Q777" s="1">
        <v>0</v>
      </c>
      <c r="R777" s="1">
        <v>2090.7800000000002</v>
      </c>
      <c r="S777" t="s">
        <v>12</v>
      </c>
      <c r="T777" s="13">
        <v>45865</v>
      </c>
      <c r="U777" s="1" t="str">
        <f>IF(ESTIMATIVA[[#This Row],[QT_AREA_REAL]]&gt;0,"1- Colhido","2- à Colher")</f>
        <v>1- Colhido</v>
      </c>
      <c r="V777" s="1" t="str">
        <f>IF(ESTIMATIVA[[#This Row],[QT_AREA_REST1]]&gt;0,"Reestimativa 1",IF(ESTIMATIVA[[#This Row],[QT_AREA_REAL]]=0,"Reestimativa 1","Realizado"))</f>
        <v>Reestimativa 1</v>
      </c>
      <c r="W777" s="1" t="str">
        <f>IF(ESTIMATIVA[[#This Row],[QT_AREA_REST2]]&gt;0,"Reestimativa 2",IF(ESTIMATIVA[[#This Row],[QT_AREA_REAL]]=0,"Reestimativa 2","Realizado"))</f>
        <v>Realizado</v>
      </c>
      <c r="X777" s="1">
        <f>ESTIMATIVA[[#This Row],[QT_AREA_EST]]</f>
        <v>17.43</v>
      </c>
      <c r="Y777" s="1">
        <f>IF(ESTIMATIVA[[#This Row],[QT_AREA_REST1]]&gt;0,ESTIMATIVA[[#This Row],[QT_AREA_REST1]],
  IF(ESTIMATIVA[[#This Row],[QT_AREA_REAL]]&gt;0,ESTIMATIVA[[#This Row],[QT_AREA_REAL]],ESTIMATIVA[[#This Row],[QT_AREA_EST]]))</f>
        <v>17.43</v>
      </c>
      <c r="Z77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17.43</v>
      </c>
      <c r="AA777" s="1">
        <f>ESTIMATIVA[[#This Row],[QT_CANA_EST]]</f>
        <v>1865.01</v>
      </c>
      <c r="AB777" s="1">
        <f>IF(ESTIMATIVA[[#This Row],[QT_CANA_REST1]]&gt;0,ESTIMATIVA[[#This Row],[QT_CANA_REST1]],
  IF(ESTIMATIVA[[#This Row],[QT_CANA_REAL]]&gt;0,ESTIMATIVA[[#This Row],[QT_CANA_REAL]],ESTIMATIVA[[#This Row],[QT_CANA_EST]]))</f>
        <v>2004.45</v>
      </c>
      <c r="AC77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2090.7800000000002</v>
      </c>
      <c r="AD777" s="1">
        <f>IF(ESTIMATIVA[[#This Row],[QT_AREA_REAL]]&gt;0,ESTIMATIVA[[#This Row],[QT_CANA_REAL]],ESTIMATIVA[[#This Row],[QT_CANA_EST]])</f>
        <v>2090.7800000000002</v>
      </c>
      <c r="AE777" s="1">
        <f>IF(ESTIMATIVA[[#This Row],[QT_AREA_REAL]]&gt;0,ESTIMATIVA[[#This Row],[QT_CANA_REAL]],ESTIMATIVA[[#This Row],[QT_CANA_REST1]])</f>
        <v>2090.7800000000002</v>
      </c>
      <c r="AF777" s="1">
        <f>IF(ESTIMATIVA[[#This Row],[QT_AREA_REAL]]&gt;0,ESTIMATIVA[[#This Row],[QT_CANA_REAL]],ESTIMATIVA[[#This Row],[QT_CANA_REST2]])</f>
        <v>2090.7800000000002</v>
      </c>
      <c r="AG777" s="1" t="str">
        <f>IF(COUNTIFS(GEADA!A:A,VALUE(ESTIMATIVA[[#This Row],[CD_UPNIVEL1]]&amp;TEXT(ESTIMATIVA[[#This Row],[CD_UPNIVEL3]],"0000")))&gt;0,"S","N")</f>
        <v>S</v>
      </c>
      <c r="AH777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777" s="55">
        <f>IF(ESTIMATIVA[[#This Row],[TP_CULTIVO]]="Irrigado",_xlfn.MAXIFS(IRRIGADO!J:J,IRRIGADO!C:C,ESTIMATIVA[[#This Row],[CD_UPNIVEL1]],IRRIGADO!E:E,ESTIMATIVA[[#This Row],[CD_UPNIVEL3]]),"")</f>
        <v>45443</v>
      </c>
      <c r="AJ777" s="1">
        <f>IF(ESTIMATIVA[[#This Row],[TP_CULTIVO]]&lt;&gt;"Irrigado",0,AVERAGEIFS(IRRIGADO!G:G,IRRIGADO!C:C,ESTIMATIVA[[#This Row],[CD_UPNIVEL1]],IRRIGADO!E:E,ESTIMATIVA[[#This Row],[CD_UPNIVEL3]])*ESTIMATIVA[[#This Row],[QT_AREA_REAL]])</f>
        <v>348.6</v>
      </c>
      <c r="AK777" s="1">
        <f>COUNTIFS(Apresentação!$E$23:$E$29,ESTIMATIVA[[#This Row],[CD_UPNIVEL1]])</f>
        <v>0</v>
      </c>
    </row>
    <row r="778" spans="1:37" x14ac:dyDescent="0.3">
      <c r="A778">
        <v>20431</v>
      </c>
      <c r="B778" t="s">
        <v>46</v>
      </c>
      <c r="C778">
        <v>17</v>
      </c>
      <c r="D778">
        <v>1</v>
      </c>
      <c r="E778" t="s">
        <v>264</v>
      </c>
      <c r="F778" s="85" t="s">
        <v>331</v>
      </c>
      <c r="G778"/>
      <c r="H778" t="s">
        <v>294</v>
      </c>
      <c r="I778" t="s">
        <v>223</v>
      </c>
      <c r="J778" t="s">
        <v>175</v>
      </c>
      <c r="K778" s="1">
        <v>16.09</v>
      </c>
      <c r="L778" s="1">
        <v>16.09</v>
      </c>
      <c r="M778" s="1">
        <v>0</v>
      </c>
      <c r="N778" s="1">
        <v>16.09</v>
      </c>
      <c r="O778" s="1">
        <v>1802.08</v>
      </c>
      <c r="P778" s="1">
        <v>1850.35</v>
      </c>
      <c r="Q778" s="1">
        <v>0</v>
      </c>
      <c r="R778" s="1">
        <v>1930.36</v>
      </c>
      <c r="S778" t="s">
        <v>12</v>
      </c>
      <c r="T778" s="13">
        <v>45865</v>
      </c>
      <c r="U778" s="1" t="str">
        <f>IF(ESTIMATIVA[[#This Row],[QT_AREA_REAL]]&gt;0,"1- Colhido","2- à Colher")</f>
        <v>1- Colhido</v>
      </c>
      <c r="V778" s="1" t="str">
        <f>IF(ESTIMATIVA[[#This Row],[QT_AREA_REST1]]&gt;0,"Reestimativa 1",IF(ESTIMATIVA[[#This Row],[QT_AREA_REAL]]=0,"Reestimativa 1","Realizado"))</f>
        <v>Reestimativa 1</v>
      </c>
      <c r="W778" s="1" t="str">
        <f>IF(ESTIMATIVA[[#This Row],[QT_AREA_REST2]]&gt;0,"Reestimativa 2",IF(ESTIMATIVA[[#This Row],[QT_AREA_REAL]]=0,"Reestimativa 2","Realizado"))</f>
        <v>Realizado</v>
      </c>
      <c r="X778" s="1">
        <f>ESTIMATIVA[[#This Row],[QT_AREA_EST]]</f>
        <v>16.09</v>
      </c>
      <c r="Y778" s="1">
        <f>IF(ESTIMATIVA[[#This Row],[QT_AREA_REST1]]&gt;0,ESTIMATIVA[[#This Row],[QT_AREA_REST1]],
  IF(ESTIMATIVA[[#This Row],[QT_AREA_REAL]]&gt;0,ESTIMATIVA[[#This Row],[QT_AREA_REAL]],ESTIMATIVA[[#This Row],[QT_AREA_EST]]))</f>
        <v>16.09</v>
      </c>
      <c r="Z77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16.09</v>
      </c>
      <c r="AA778" s="1">
        <f>ESTIMATIVA[[#This Row],[QT_CANA_EST]]</f>
        <v>1802.08</v>
      </c>
      <c r="AB778" s="1">
        <f>IF(ESTIMATIVA[[#This Row],[QT_CANA_REST1]]&gt;0,ESTIMATIVA[[#This Row],[QT_CANA_REST1]],
  IF(ESTIMATIVA[[#This Row],[QT_CANA_REAL]]&gt;0,ESTIMATIVA[[#This Row],[QT_CANA_REAL]],ESTIMATIVA[[#This Row],[QT_CANA_EST]]))</f>
        <v>1850.35</v>
      </c>
      <c r="AC77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1930.36</v>
      </c>
      <c r="AD778" s="1">
        <f>IF(ESTIMATIVA[[#This Row],[QT_AREA_REAL]]&gt;0,ESTIMATIVA[[#This Row],[QT_CANA_REAL]],ESTIMATIVA[[#This Row],[QT_CANA_EST]])</f>
        <v>1930.36</v>
      </c>
      <c r="AE778" s="1">
        <f>IF(ESTIMATIVA[[#This Row],[QT_AREA_REAL]]&gt;0,ESTIMATIVA[[#This Row],[QT_CANA_REAL]],ESTIMATIVA[[#This Row],[QT_CANA_REST1]])</f>
        <v>1930.36</v>
      </c>
      <c r="AF778" s="1">
        <f>IF(ESTIMATIVA[[#This Row],[QT_AREA_REAL]]&gt;0,ESTIMATIVA[[#This Row],[QT_CANA_REAL]],ESTIMATIVA[[#This Row],[QT_CANA_REST2]])</f>
        <v>1930.36</v>
      </c>
      <c r="AG778" s="1" t="str">
        <f>IF(COUNTIFS(GEADA!A:A,VALUE(ESTIMATIVA[[#This Row],[CD_UPNIVEL1]]&amp;TEXT(ESTIMATIVA[[#This Row],[CD_UPNIVEL3]],"0000")))&gt;0,"S","N")</f>
        <v>S</v>
      </c>
      <c r="AH77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78" s="55" t="str">
        <f>IF(ESTIMATIVA[[#This Row],[TP_CULTIVO]]="Irrigado",_xlfn.MAXIFS(IRRIGADO!J:J,IRRIGADO!C:C,ESTIMATIVA[[#This Row],[CD_UPNIVEL1]],IRRIGADO!E:E,ESTIMATIVA[[#This Row],[CD_UPNIVEL3]]),"")</f>
        <v/>
      </c>
      <c r="AJ77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78" s="1">
        <f>COUNTIFS(Apresentação!$E$23:$E$29,ESTIMATIVA[[#This Row],[CD_UPNIVEL1]])</f>
        <v>0</v>
      </c>
    </row>
    <row r="779" spans="1:37" x14ac:dyDescent="0.3">
      <c r="A779">
        <v>20431</v>
      </c>
      <c r="B779" t="s">
        <v>46</v>
      </c>
      <c r="C779">
        <v>18</v>
      </c>
      <c r="D779">
        <v>1</v>
      </c>
      <c r="E779" t="s">
        <v>264</v>
      </c>
      <c r="F779" s="85" t="s">
        <v>331</v>
      </c>
      <c r="G779"/>
      <c r="H779" t="s">
        <v>294</v>
      </c>
      <c r="I779" t="s">
        <v>223</v>
      </c>
      <c r="J779" t="s">
        <v>175</v>
      </c>
      <c r="K779" s="1">
        <v>38.840000000000003</v>
      </c>
      <c r="L779" s="1">
        <v>38.840000000000003</v>
      </c>
      <c r="M779" s="1">
        <v>0</v>
      </c>
      <c r="N779" s="1">
        <v>38.840000000000003</v>
      </c>
      <c r="O779" s="1">
        <v>4350.08</v>
      </c>
      <c r="P779" s="1">
        <v>4505.4399999999996</v>
      </c>
      <c r="Q779" s="1">
        <v>0</v>
      </c>
      <c r="R779" s="1">
        <v>4641.8500000000004</v>
      </c>
      <c r="S779" t="s">
        <v>12</v>
      </c>
      <c r="T779" s="13">
        <v>45872</v>
      </c>
      <c r="U779" s="1" t="str">
        <f>IF(ESTIMATIVA[[#This Row],[QT_AREA_REAL]]&gt;0,"1- Colhido","2- à Colher")</f>
        <v>1- Colhido</v>
      </c>
      <c r="V779" s="1" t="str">
        <f>IF(ESTIMATIVA[[#This Row],[QT_AREA_REST1]]&gt;0,"Reestimativa 1",IF(ESTIMATIVA[[#This Row],[QT_AREA_REAL]]=0,"Reestimativa 1","Realizado"))</f>
        <v>Reestimativa 1</v>
      </c>
      <c r="W779" s="1" t="str">
        <f>IF(ESTIMATIVA[[#This Row],[QT_AREA_REST2]]&gt;0,"Reestimativa 2",IF(ESTIMATIVA[[#This Row],[QT_AREA_REAL]]=0,"Reestimativa 2","Realizado"))</f>
        <v>Realizado</v>
      </c>
      <c r="X779" s="1">
        <f>ESTIMATIVA[[#This Row],[QT_AREA_EST]]</f>
        <v>38.840000000000003</v>
      </c>
      <c r="Y779" s="1">
        <f>IF(ESTIMATIVA[[#This Row],[QT_AREA_REST1]]&gt;0,ESTIMATIVA[[#This Row],[QT_AREA_REST1]],
  IF(ESTIMATIVA[[#This Row],[QT_AREA_REAL]]&gt;0,ESTIMATIVA[[#This Row],[QT_AREA_REAL]],ESTIMATIVA[[#This Row],[QT_AREA_EST]]))</f>
        <v>38.840000000000003</v>
      </c>
      <c r="Z77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38.840000000000003</v>
      </c>
      <c r="AA779" s="1">
        <f>ESTIMATIVA[[#This Row],[QT_CANA_EST]]</f>
        <v>4350.08</v>
      </c>
      <c r="AB779" s="1">
        <f>IF(ESTIMATIVA[[#This Row],[QT_CANA_REST1]]&gt;0,ESTIMATIVA[[#This Row],[QT_CANA_REST1]],
  IF(ESTIMATIVA[[#This Row],[QT_CANA_REAL]]&gt;0,ESTIMATIVA[[#This Row],[QT_CANA_REAL]],ESTIMATIVA[[#This Row],[QT_CANA_EST]]))</f>
        <v>4505.4399999999996</v>
      </c>
      <c r="AC77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4641.8500000000004</v>
      </c>
      <c r="AD779" s="1">
        <f>IF(ESTIMATIVA[[#This Row],[QT_AREA_REAL]]&gt;0,ESTIMATIVA[[#This Row],[QT_CANA_REAL]],ESTIMATIVA[[#This Row],[QT_CANA_EST]])</f>
        <v>4641.8500000000004</v>
      </c>
      <c r="AE779" s="1">
        <f>IF(ESTIMATIVA[[#This Row],[QT_AREA_REAL]]&gt;0,ESTIMATIVA[[#This Row],[QT_CANA_REAL]],ESTIMATIVA[[#This Row],[QT_CANA_REST1]])</f>
        <v>4641.8500000000004</v>
      </c>
      <c r="AF779" s="1">
        <f>IF(ESTIMATIVA[[#This Row],[QT_AREA_REAL]]&gt;0,ESTIMATIVA[[#This Row],[QT_CANA_REAL]],ESTIMATIVA[[#This Row],[QT_CANA_REST2]])</f>
        <v>4641.8500000000004</v>
      </c>
      <c r="AG779" s="1" t="str">
        <f>IF(COUNTIFS(GEADA!A:A,VALUE(ESTIMATIVA[[#This Row],[CD_UPNIVEL1]]&amp;TEXT(ESTIMATIVA[[#This Row],[CD_UPNIVEL3]],"0000")))&gt;0,"S","N")</f>
        <v>N</v>
      </c>
      <c r="AH77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79" s="55" t="str">
        <f>IF(ESTIMATIVA[[#This Row],[TP_CULTIVO]]="Irrigado",_xlfn.MAXIFS(IRRIGADO!J:J,IRRIGADO!C:C,ESTIMATIVA[[#This Row],[CD_UPNIVEL1]],IRRIGADO!E:E,ESTIMATIVA[[#This Row],[CD_UPNIVEL3]]),"")</f>
        <v/>
      </c>
      <c r="AJ77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79" s="1">
        <f>COUNTIFS(Apresentação!$E$23:$E$29,ESTIMATIVA[[#This Row],[CD_UPNIVEL1]])</f>
        <v>0</v>
      </c>
    </row>
    <row r="780" spans="1:37" x14ac:dyDescent="0.3">
      <c r="A780">
        <v>20431</v>
      </c>
      <c r="B780" t="s">
        <v>46</v>
      </c>
      <c r="C780">
        <v>19</v>
      </c>
      <c r="D780">
        <v>1</v>
      </c>
      <c r="E780" t="s">
        <v>267</v>
      </c>
      <c r="F780" s="85" t="s">
        <v>333</v>
      </c>
      <c r="G780"/>
      <c r="H780" t="s">
        <v>294</v>
      </c>
      <c r="I780" t="s">
        <v>205</v>
      </c>
      <c r="J780" t="s">
        <v>175</v>
      </c>
      <c r="K780" s="1">
        <v>25</v>
      </c>
      <c r="L780" s="1">
        <v>25</v>
      </c>
      <c r="M780" s="1">
        <v>0</v>
      </c>
      <c r="N780" s="1">
        <v>25</v>
      </c>
      <c r="O780" s="1">
        <v>2750</v>
      </c>
      <c r="P780" s="1">
        <v>2800</v>
      </c>
      <c r="Q780" s="1">
        <v>0</v>
      </c>
      <c r="R780" s="1">
        <v>3374.99</v>
      </c>
      <c r="S780" t="s">
        <v>12</v>
      </c>
      <c r="T780" s="13">
        <v>45865</v>
      </c>
      <c r="U780" s="1" t="str">
        <f>IF(ESTIMATIVA[[#This Row],[QT_AREA_REAL]]&gt;0,"1- Colhido","2- à Colher")</f>
        <v>1- Colhido</v>
      </c>
      <c r="V780" s="1" t="str">
        <f>IF(ESTIMATIVA[[#This Row],[QT_AREA_REST1]]&gt;0,"Reestimativa 1",IF(ESTIMATIVA[[#This Row],[QT_AREA_REAL]]=0,"Reestimativa 1","Realizado"))</f>
        <v>Reestimativa 1</v>
      </c>
      <c r="W780" s="1" t="str">
        <f>IF(ESTIMATIVA[[#This Row],[QT_AREA_REST2]]&gt;0,"Reestimativa 2",IF(ESTIMATIVA[[#This Row],[QT_AREA_REAL]]=0,"Reestimativa 2","Realizado"))</f>
        <v>Realizado</v>
      </c>
      <c r="X780" s="1">
        <f>ESTIMATIVA[[#This Row],[QT_AREA_EST]]</f>
        <v>25</v>
      </c>
      <c r="Y780" s="1">
        <f>IF(ESTIMATIVA[[#This Row],[QT_AREA_REST1]]&gt;0,ESTIMATIVA[[#This Row],[QT_AREA_REST1]],
  IF(ESTIMATIVA[[#This Row],[QT_AREA_REAL]]&gt;0,ESTIMATIVA[[#This Row],[QT_AREA_REAL]],ESTIMATIVA[[#This Row],[QT_AREA_EST]]))</f>
        <v>25</v>
      </c>
      <c r="Z78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</v>
      </c>
      <c r="AA780" s="1">
        <f>ESTIMATIVA[[#This Row],[QT_CANA_EST]]</f>
        <v>2750</v>
      </c>
      <c r="AB780" s="1">
        <f>IF(ESTIMATIVA[[#This Row],[QT_CANA_REST1]]&gt;0,ESTIMATIVA[[#This Row],[QT_CANA_REST1]],
  IF(ESTIMATIVA[[#This Row],[QT_CANA_REAL]]&gt;0,ESTIMATIVA[[#This Row],[QT_CANA_REAL]],ESTIMATIVA[[#This Row],[QT_CANA_EST]]))</f>
        <v>2800</v>
      </c>
      <c r="AC78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3374.99</v>
      </c>
      <c r="AD780" s="1">
        <f>IF(ESTIMATIVA[[#This Row],[QT_AREA_REAL]]&gt;0,ESTIMATIVA[[#This Row],[QT_CANA_REAL]],ESTIMATIVA[[#This Row],[QT_CANA_EST]])</f>
        <v>3374.99</v>
      </c>
      <c r="AE780" s="1">
        <f>IF(ESTIMATIVA[[#This Row],[QT_AREA_REAL]]&gt;0,ESTIMATIVA[[#This Row],[QT_CANA_REAL]],ESTIMATIVA[[#This Row],[QT_CANA_REST1]])</f>
        <v>3374.99</v>
      </c>
      <c r="AF780" s="1">
        <f>IF(ESTIMATIVA[[#This Row],[QT_AREA_REAL]]&gt;0,ESTIMATIVA[[#This Row],[QT_CANA_REAL]],ESTIMATIVA[[#This Row],[QT_CANA_REST2]])</f>
        <v>3374.99</v>
      </c>
      <c r="AG780" s="1" t="str">
        <f>IF(COUNTIFS(GEADA!A:A,VALUE(ESTIMATIVA[[#This Row],[CD_UPNIVEL1]]&amp;TEXT(ESTIMATIVA[[#This Row],[CD_UPNIVEL3]],"0000")))&gt;0,"S","N")</f>
        <v>N</v>
      </c>
      <c r="AH78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80" s="55" t="str">
        <f>IF(ESTIMATIVA[[#This Row],[TP_CULTIVO]]="Irrigado",_xlfn.MAXIFS(IRRIGADO!J:J,IRRIGADO!C:C,ESTIMATIVA[[#This Row],[CD_UPNIVEL1]],IRRIGADO!E:E,ESTIMATIVA[[#This Row],[CD_UPNIVEL3]]),"")</f>
        <v/>
      </c>
      <c r="AJ78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80" s="1">
        <f>COUNTIFS(Apresentação!$E$23:$E$29,ESTIMATIVA[[#This Row],[CD_UPNIVEL1]])</f>
        <v>0</v>
      </c>
    </row>
    <row r="781" spans="1:37" x14ac:dyDescent="0.3">
      <c r="A781">
        <v>20431</v>
      </c>
      <c r="B781" t="s">
        <v>46</v>
      </c>
      <c r="C781">
        <v>20</v>
      </c>
      <c r="D781">
        <v>1</v>
      </c>
      <c r="E781" t="s">
        <v>267</v>
      </c>
      <c r="F781" s="85" t="s">
        <v>333</v>
      </c>
      <c r="G781"/>
      <c r="H781" t="s">
        <v>294</v>
      </c>
      <c r="I781" t="s">
        <v>205</v>
      </c>
      <c r="J781" t="s">
        <v>175</v>
      </c>
      <c r="K781" s="1">
        <v>36.76</v>
      </c>
      <c r="L781" s="1">
        <v>36.76</v>
      </c>
      <c r="M781" s="1">
        <v>0</v>
      </c>
      <c r="N781" s="1">
        <v>36.76</v>
      </c>
      <c r="O781" s="1">
        <v>4043.6</v>
      </c>
      <c r="P781" s="1">
        <v>4043.6</v>
      </c>
      <c r="Q781" s="1">
        <v>0</v>
      </c>
      <c r="R781" s="1">
        <v>4078.31</v>
      </c>
      <c r="S781" t="s">
        <v>12</v>
      </c>
      <c r="T781" s="13">
        <v>45907</v>
      </c>
      <c r="U781" s="1" t="str">
        <f>IF(ESTIMATIVA[[#This Row],[QT_AREA_REAL]]&gt;0,"1- Colhido","2- à Colher")</f>
        <v>1- Colhido</v>
      </c>
      <c r="V781" s="1" t="str">
        <f>IF(ESTIMATIVA[[#This Row],[QT_AREA_REST1]]&gt;0,"Reestimativa 1",IF(ESTIMATIVA[[#This Row],[QT_AREA_REAL]]=0,"Reestimativa 1","Realizado"))</f>
        <v>Reestimativa 1</v>
      </c>
      <c r="W781" s="1" t="str">
        <f>IF(ESTIMATIVA[[#This Row],[QT_AREA_REST2]]&gt;0,"Reestimativa 2",IF(ESTIMATIVA[[#This Row],[QT_AREA_REAL]]=0,"Reestimativa 2","Realizado"))</f>
        <v>Realizado</v>
      </c>
      <c r="X781" s="1">
        <f>ESTIMATIVA[[#This Row],[QT_AREA_EST]]</f>
        <v>36.76</v>
      </c>
      <c r="Y781" s="1">
        <f>IF(ESTIMATIVA[[#This Row],[QT_AREA_REST1]]&gt;0,ESTIMATIVA[[#This Row],[QT_AREA_REST1]],
  IF(ESTIMATIVA[[#This Row],[QT_AREA_REAL]]&gt;0,ESTIMATIVA[[#This Row],[QT_AREA_REAL]],ESTIMATIVA[[#This Row],[QT_AREA_EST]]))</f>
        <v>36.76</v>
      </c>
      <c r="Z78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36.76</v>
      </c>
      <c r="AA781" s="1">
        <f>ESTIMATIVA[[#This Row],[QT_CANA_EST]]</f>
        <v>4043.6</v>
      </c>
      <c r="AB781" s="1">
        <f>IF(ESTIMATIVA[[#This Row],[QT_CANA_REST1]]&gt;0,ESTIMATIVA[[#This Row],[QT_CANA_REST1]],
  IF(ESTIMATIVA[[#This Row],[QT_CANA_REAL]]&gt;0,ESTIMATIVA[[#This Row],[QT_CANA_REAL]],ESTIMATIVA[[#This Row],[QT_CANA_EST]]))</f>
        <v>4043.6</v>
      </c>
      <c r="AC78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4078.31</v>
      </c>
      <c r="AD781" s="1">
        <f>IF(ESTIMATIVA[[#This Row],[QT_AREA_REAL]]&gt;0,ESTIMATIVA[[#This Row],[QT_CANA_REAL]],ESTIMATIVA[[#This Row],[QT_CANA_EST]])</f>
        <v>4078.31</v>
      </c>
      <c r="AE781" s="1">
        <f>IF(ESTIMATIVA[[#This Row],[QT_AREA_REAL]]&gt;0,ESTIMATIVA[[#This Row],[QT_CANA_REAL]],ESTIMATIVA[[#This Row],[QT_CANA_REST1]])</f>
        <v>4078.31</v>
      </c>
      <c r="AF781" s="1">
        <f>IF(ESTIMATIVA[[#This Row],[QT_AREA_REAL]]&gt;0,ESTIMATIVA[[#This Row],[QT_CANA_REAL]],ESTIMATIVA[[#This Row],[QT_CANA_REST2]])</f>
        <v>4078.31</v>
      </c>
      <c r="AG781" s="1" t="str">
        <f>IF(COUNTIFS(GEADA!A:A,VALUE(ESTIMATIVA[[#This Row],[CD_UPNIVEL1]]&amp;TEXT(ESTIMATIVA[[#This Row],[CD_UPNIVEL3]],"0000")))&gt;0,"S","N")</f>
        <v>N</v>
      </c>
      <c r="AH78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781" s="55" t="str">
        <f>IF(ESTIMATIVA[[#This Row],[TP_CULTIVO]]="Irrigado",_xlfn.MAXIFS(IRRIGADO!J:J,IRRIGADO!C:C,ESTIMATIVA[[#This Row],[CD_UPNIVEL1]],IRRIGADO!E:E,ESTIMATIVA[[#This Row],[CD_UPNIVEL3]]),"")</f>
        <v/>
      </c>
      <c r="AJ78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81" s="1">
        <f>COUNTIFS(Apresentação!$E$23:$E$29,ESTIMATIVA[[#This Row],[CD_UPNIVEL1]])</f>
        <v>0</v>
      </c>
    </row>
    <row r="782" spans="1:37" x14ac:dyDescent="0.3">
      <c r="A782">
        <v>20432</v>
      </c>
      <c r="B782" t="s">
        <v>22</v>
      </c>
      <c r="C782">
        <v>1</v>
      </c>
      <c r="D782">
        <v>4</v>
      </c>
      <c r="E782" t="s">
        <v>265</v>
      </c>
      <c r="F782" s="85" t="s">
        <v>331</v>
      </c>
      <c r="G782"/>
      <c r="H782" t="s">
        <v>295</v>
      </c>
      <c r="I782" t="s">
        <v>197</v>
      </c>
      <c r="J782" t="s">
        <v>175</v>
      </c>
      <c r="K782" s="1">
        <v>17.39</v>
      </c>
      <c r="L782" s="1">
        <v>17.39</v>
      </c>
      <c r="M782" s="1">
        <v>0</v>
      </c>
      <c r="N782" s="1">
        <v>17.39</v>
      </c>
      <c r="O782" s="1">
        <v>1043.4000000000001</v>
      </c>
      <c r="P782" s="1">
        <v>1112.96</v>
      </c>
      <c r="Q782" s="1">
        <v>0</v>
      </c>
      <c r="R782" s="1">
        <v>1195.6099999999999</v>
      </c>
      <c r="S782" t="s">
        <v>12</v>
      </c>
      <c r="T782" s="13">
        <v>45858</v>
      </c>
      <c r="U782" s="1" t="str">
        <f>IF(ESTIMATIVA[[#This Row],[QT_AREA_REAL]]&gt;0,"1- Colhido","2- à Colher")</f>
        <v>1- Colhido</v>
      </c>
      <c r="V782" s="1" t="str">
        <f>IF(ESTIMATIVA[[#This Row],[QT_AREA_REST1]]&gt;0,"Reestimativa 1",IF(ESTIMATIVA[[#This Row],[QT_AREA_REAL]]=0,"Reestimativa 1","Realizado"))</f>
        <v>Reestimativa 1</v>
      </c>
      <c r="W782" s="1" t="str">
        <f>IF(ESTIMATIVA[[#This Row],[QT_AREA_REST2]]&gt;0,"Reestimativa 2",IF(ESTIMATIVA[[#This Row],[QT_AREA_REAL]]=0,"Reestimativa 2","Realizado"))</f>
        <v>Realizado</v>
      </c>
      <c r="X782" s="1">
        <f>ESTIMATIVA[[#This Row],[QT_AREA_EST]]</f>
        <v>17.39</v>
      </c>
      <c r="Y782" s="1">
        <f>IF(ESTIMATIVA[[#This Row],[QT_AREA_REST1]]&gt;0,ESTIMATIVA[[#This Row],[QT_AREA_REST1]],
  IF(ESTIMATIVA[[#This Row],[QT_AREA_REAL]]&gt;0,ESTIMATIVA[[#This Row],[QT_AREA_REAL]],ESTIMATIVA[[#This Row],[QT_AREA_EST]]))</f>
        <v>17.39</v>
      </c>
      <c r="Z78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17.39</v>
      </c>
      <c r="AA782" s="1">
        <f>ESTIMATIVA[[#This Row],[QT_CANA_EST]]</f>
        <v>1043.4000000000001</v>
      </c>
      <c r="AB782" s="1">
        <f>IF(ESTIMATIVA[[#This Row],[QT_CANA_REST1]]&gt;0,ESTIMATIVA[[#This Row],[QT_CANA_REST1]],
  IF(ESTIMATIVA[[#This Row],[QT_CANA_REAL]]&gt;0,ESTIMATIVA[[#This Row],[QT_CANA_REAL]],ESTIMATIVA[[#This Row],[QT_CANA_EST]]))</f>
        <v>1112.96</v>
      </c>
      <c r="AC78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1195.6099999999999</v>
      </c>
      <c r="AD782" s="1">
        <f>IF(ESTIMATIVA[[#This Row],[QT_AREA_REAL]]&gt;0,ESTIMATIVA[[#This Row],[QT_CANA_REAL]],ESTIMATIVA[[#This Row],[QT_CANA_EST]])</f>
        <v>1195.6099999999999</v>
      </c>
      <c r="AE782" s="1">
        <f>IF(ESTIMATIVA[[#This Row],[QT_AREA_REAL]]&gt;0,ESTIMATIVA[[#This Row],[QT_CANA_REAL]],ESTIMATIVA[[#This Row],[QT_CANA_REST1]])</f>
        <v>1195.6099999999999</v>
      </c>
      <c r="AF782" s="1">
        <f>IF(ESTIMATIVA[[#This Row],[QT_AREA_REAL]]&gt;0,ESTIMATIVA[[#This Row],[QT_CANA_REAL]],ESTIMATIVA[[#This Row],[QT_CANA_REST2]])</f>
        <v>1195.6099999999999</v>
      </c>
      <c r="AG782" s="1" t="str">
        <f>IF(COUNTIFS(GEADA!A:A,VALUE(ESTIMATIVA[[#This Row],[CD_UPNIVEL1]]&amp;TEXT(ESTIMATIVA[[#This Row],[CD_UPNIVEL3]],"0000")))&gt;0,"S","N")</f>
        <v>N</v>
      </c>
      <c r="AH78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82" s="55" t="str">
        <f>IF(ESTIMATIVA[[#This Row],[TP_CULTIVO]]="Irrigado",_xlfn.MAXIFS(IRRIGADO!J:J,IRRIGADO!C:C,ESTIMATIVA[[#This Row],[CD_UPNIVEL1]],IRRIGADO!E:E,ESTIMATIVA[[#This Row],[CD_UPNIVEL3]]),"")</f>
        <v/>
      </c>
      <c r="AJ78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82" s="1">
        <f>COUNTIFS(Apresentação!$E$23:$E$29,ESTIMATIVA[[#This Row],[CD_UPNIVEL1]])</f>
        <v>0</v>
      </c>
    </row>
    <row r="783" spans="1:37" x14ac:dyDescent="0.3">
      <c r="A783">
        <v>20432</v>
      </c>
      <c r="B783" t="s">
        <v>22</v>
      </c>
      <c r="C783">
        <v>47</v>
      </c>
      <c r="D783">
        <v>2</v>
      </c>
      <c r="E783" t="s">
        <v>266</v>
      </c>
      <c r="F783" s="85" t="s">
        <v>331</v>
      </c>
      <c r="G783"/>
      <c r="H783" t="s">
        <v>295</v>
      </c>
      <c r="I783" t="s">
        <v>210</v>
      </c>
      <c r="J783" t="s">
        <v>175</v>
      </c>
      <c r="K783" s="1">
        <v>20.309999999999999</v>
      </c>
      <c r="L783" s="1">
        <v>0</v>
      </c>
      <c r="M783" s="1">
        <v>0</v>
      </c>
      <c r="N783" s="1">
        <v>20.309999999999999</v>
      </c>
      <c r="O783" s="1">
        <v>1827.9</v>
      </c>
      <c r="P783" s="1">
        <v>0</v>
      </c>
      <c r="Q783" s="1">
        <v>0</v>
      </c>
      <c r="R783" s="1">
        <v>2469.7199999999998</v>
      </c>
      <c r="S783" t="s">
        <v>12</v>
      </c>
      <c r="T783" s="13">
        <v>45760</v>
      </c>
      <c r="U783" s="1" t="str">
        <f>IF(ESTIMATIVA[[#This Row],[QT_AREA_REAL]]&gt;0,"1- Colhido","2- à Colher")</f>
        <v>1- Colhido</v>
      </c>
      <c r="V783" s="1" t="str">
        <f>IF(ESTIMATIVA[[#This Row],[QT_AREA_REST1]]&gt;0,"Reestimativa 1",IF(ESTIMATIVA[[#This Row],[QT_AREA_REAL]]=0,"Reestimativa 1","Realizado"))</f>
        <v>Realizado</v>
      </c>
      <c r="W783" s="1" t="str">
        <f>IF(ESTIMATIVA[[#This Row],[QT_AREA_REST2]]&gt;0,"Reestimativa 2",IF(ESTIMATIVA[[#This Row],[QT_AREA_REAL]]=0,"Reestimativa 2","Realizado"))</f>
        <v>Realizado</v>
      </c>
      <c r="X783" s="1">
        <f>ESTIMATIVA[[#This Row],[QT_AREA_EST]]</f>
        <v>20.309999999999999</v>
      </c>
      <c r="Y783" s="1">
        <f>IF(ESTIMATIVA[[#This Row],[QT_AREA_REST1]]&gt;0,ESTIMATIVA[[#This Row],[QT_AREA_REST1]],
  IF(ESTIMATIVA[[#This Row],[QT_AREA_REAL]]&gt;0,ESTIMATIVA[[#This Row],[QT_AREA_REAL]],ESTIMATIVA[[#This Row],[QT_AREA_EST]]))</f>
        <v>20.309999999999999</v>
      </c>
      <c r="Z78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20.309999999999999</v>
      </c>
      <c r="AA783" s="1">
        <f>ESTIMATIVA[[#This Row],[QT_CANA_EST]]</f>
        <v>1827.9</v>
      </c>
      <c r="AB783" s="1">
        <f>IF(ESTIMATIVA[[#This Row],[QT_CANA_REST1]]&gt;0,ESTIMATIVA[[#This Row],[QT_CANA_REST1]],
  IF(ESTIMATIVA[[#This Row],[QT_CANA_REAL]]&gt;0,ESTIMATIVA[[#This Row],[QT_CANA_REAL]],ESTIMATIVA[[#This Row],[QT_CANA_EST]]))</f>
        <v>2469.7199999999998</v>
      </c>
      <c r="AC78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2469.7199999999998</v>
      </c>
      <c r="AD783" s="1">
        <f>IF(ESTIMATIVA[[#This Row],[QT_AREA_REAL]]&gt;0,ESTIMATIVA[[#This Row],[QT_CANA_REAL]],ESTIMATIVA[[#This Row],[QT_CANA_EST]])</f>
        <v>2469.7199999999998</v>
      </c>
      <c r="AE783" s="1">
        <f>IF(ESTIMATIVA[[#This Row],[QT_AREA_REAL]]&gt;0,ESTIMATIVA[[#This Row],[QT_CANA_REAL]],ESTIMATIVA[[#This Row],[QT_CANA_REST1]])</f>
        <v>2469.7199999999998</v>
      </c>
      <c r="AF783" s="1">
        <f>IF(ESTIMATIVA[[#This Row],[QT_AREA_REAL]]&gt;0,ESTIMATIVA[[#This Row],[QT_CANA_REAL]],ESTIMATIVA[[#This Row],[QT_CANA_REST2]])</f>
        <v>2469.7199999999998</v>
      </c>
      <c r="AG783" s="1" t="str">
        <f>IF(COUNTIFS(GEADA!A:A,VALUE(ESTIMATIVA[[#This Row],[CD_UPNIVEL1]]&amp;TEXT(ESTIMATIVA[[#This Row],[CD_UPNIVEL3]],"0000")))&gt;0,"S","N")</f>
        <v>N</v>
      </c>
      <c r="AH78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83" s="55" t="str">
        <f>IF(ESTIMATIVA[[#This Row],[TP_CULTIVO]]="Irrigado",_xlfn.MAXIFS(IRRIGADO!J:J,IRRIGADO!C:C,ESTIMATIVA[[#This Row],[CD_UPNIVEL1]],IRRIGADO!E:E,ESTIMATIVA[[#This Row],[CD_UPNIVEL3]]),"")</f>
        <v/>
      </c>
      <c r="AJ78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83" s="1">
        <f>COUNTIFS(Apresentação!$E$23:$E$29,ESTIMATIVA[[#This Row],[CD_UPNIVEL1]])</f>
        <v>0</v>
      </c>
    </row>
    <row r="784" spans="1:37" x14ac:dyDescent="0.3">
      <c r="A784">
        <v>20432</v>
      </c>
      <c r="B784" t="s">
        <v>22</v>
      </c>
      <c r="C784">
        <v>48</v>
      </c>
      <c r="D784">
        <v>2</v>
      </c>
      <c r="E784" t="s">
        <v>266</v>
      </c>
      <c r="F784" s="85" t="s">
        <v>331</v>
      </c>
      <c r="G784"/>
      <c r="H784" t="s">
        <v>295</v>
      </c>
      <c r="I784" t="s">
        <v>210</v>
      </c>
      <c r="J784" t="s">
        <v>175</v>
      </c>
      <c r="K784" s="1">
        <v>54.96</v>
      </c>
      <c r="L784" s="1">
        <v>0</v>
      </c>
      <c r="M784" s="1">
        <v>0</v>
      </c>
      <c r="N784" s="1">
        <v>54.96</v>
      </c>
      <c r="O784" s="1">
        <v>4946.3999999999996</v>
      </c>
      <c r="P784" s="1">
        <v>0</v>
      </c>
      <c r="Q784" s="1">
        <v>0</v>
      </c>
      <c r="R784" s="1">
        <v>6682.75</v>
      </c>
      <c r="S784" t="s">
        <v>12</v>
      </c>
      <c r="T784" s="13">
        <v>45760</v>
      </c>
      <c r="U784" s="1" t="str">
        <f>IF(ESTIMATIVA[[#This Row],[QT_AREA_REAL]]&gt;0,"1- Colhido","2- à Colher")</f>
        <v>1- Colhido</v>
      </c>
      <c r="V784" s="1" t="str">
        <f>IF(ESTIMATIVA[[#This Row],[QT_AREA_REST1]]&gt;0,"Reestimativa 1",IF(ESTIMATIVA[[#This Row],[QT_AREA_REAL]]=0,"Reestimativa 1","Realizado"))</f>
        <v>Realizado</v>
      </c>
      <c r="W784" s="1" t="str">
        <f>IF(ESTIMATIVA[[#This Row],[QT_AREA_REST2]]&gt;0,"Reestimativa 2",IF(ESTIMATIVA[[#This Row],[QT_AREA_REAL]]=0,"Reestimativa 2","Realizado"))</f>
        <v>Realizado</v>
      </c>
      <c r="X784" s="1">
        <f>ESTIMATIVA[[#This Row],[QT_AREA_EST]]</f>
        <v>54.96</v>
      </c>
      <c r="Y784" s="1">
        <f>IF(ESTIMATIVA[[#This Row],[QT_AREA_REST1]]&gt;0,ESTIMATIVA[[#This Row],[QT_AREA_REST1]],
  IF(ESTIMATIVA[[#This Row],[QT_AREA_REAL]]&gt;0,ESTIMATIVA[[#This Row],[QT_AREA_REAL]],ESTIMATIVA[[#This Row],[QT_AREA_EST]]))</f>
        <v>54.96</v>
      </c>
      <c r="Z78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54.96</v>
      </c>
      <c r="AA784" s="1">
        <f>ESTIMATIVA[[#This Row],[QT_CANA_EST]]</f>
        <v>4946.3999999999996</v>
      </c>
      <c r="AB784" s="1">
        <f>IF(ESTIMATIVA[[#This Row],[QT_CANA_REST1]]&gt;0,ESTIMATIVA[[#This Row],[QT_CANA_REST1]],
  IF(ESTIMATIVA[[#This Row],[QT_CANA_REAL]]&gt;0,ESTIMATIVA[[#This Row],[QT_CANA_REAL]],ESTIMATIVA[[#This Row],[QT_CANA_EST]]))</f>
        <v>6682.75</v>
      </c>
      <c r="AC78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6682.75</v>
      </c>
      <c r="AD784" s="1">
        <f>IF(ESTIMATIVA[[#This Row],[QT_AREA_REAL]]&gt;0,ESTIMATIVA[[#This Row],[QT_CANA_REAL]],ESTIMATIVA[[#This Row],[QT_CANA_EST]])</f>
        <v>6682.75</v>
      </c>
      <c r="AE784" s="1">
        <f>IF(ESTIMATIVA[[#This Row],[QT_AREA_REAL]]&gt;0,ESTIMATIVA[[#This Row],[QT_CANA_REAL]],ESTIMATIVA[[#This Row],[QT_CANA_REST1]])</f>
        <v>6682.75</v>
      </c>
      <c r="AF784" s="1">
        <f>IF(ESTIMATIVA[[#This Row],[QT_AREA_REAL]]&gt;0,ESTIMATIVA[[#This Row],[QT_CANA_REAL]],ESTIMATIVA[[#This Row],[QT_CANA_REST2]])</f>
        <v>6682.75</v>
      </c>
      <c r="AG784" s="1" t="str">
        <f>IF(COUNTIFS(GEADA!A:A,VALUE(ESTIMATIVA[[#This Row],[CD_UPNIVEL1]]&amp;TEXT(ESTIMATIVA[[#This Row],[CD_UPNIVEL3]],"0000")))&gt;0,"S","N")</f>
        <v>N</v>
      </c>
      <c r="AH78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84" s="55" t="str">
        <f>IF(ESTIMATIVA[[#This Row],[TP_CULTIVO]]="Irrigado",_xlfn.MAXIFS(IRRIGADO!J:J,IRRIGADO!C:C,ESTIMATIVA[[#This Row],[CD_UPNIVEL1]],IRRIGADO!E:E,ESTIMATIVA[[#This Row],[CD_UPNIVEL3]]),"")</f>
        <v/>
      </c>
      <c r="AJ78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84" s="1">
        <f>COUNTIFS(Apresentação!$E$23:$E$29,ESTIMATIVA[[#This Row],[CD_UPNIVEL1]])</f>
        <v>0</v>
      </c>
    </row>
    <row r="785" spans="1:37" x14ac:dyDescent="0.3">
      <c r="A785">
        <v>20432</v>
      </c>
      <c r="B785" t="s">
        <v>22</v>
      </c>
      <c r="C785">
        <v>49</v>
      </c>
      <c r="D785">
        <v>2</v>
      </c>
      <c r="E785" t="s">
        <v>266</v>
      </c>
      <c r="F785" s="85" t="s">
        <v>331</v>
      </c>
      <c r="G785"/>
      <c r="H785" t="s">
        <v>295</v>
      </c>
      <c r="I785" t="s">
        <v>210</v>
      </c>
      <c r="J785" t="s">
        <v>175</v>
      </c>
      <c r="K785" s="1">
        <v>61.65</v>
      </c>
      <c r="L785" s="1">
        <v>0</v>
      </c>
      <c r="M785" s="1">
        <v>0</v>
      </c>
      <c r="N785" s="1">
        <v>61.65</v>
      </c>
      <c r="O785" s="1">
        <v>5548.5</v>
      </c>
      <c r="P785" s="1">
        <v>0</v>
      </c>
      <c r="Q785" s="1">
        <v>0</v>
      </c>
      <c r="R785" s="1">
        <v>7498.26</v>
      </c>
      <c r="S785" t="s">
        <v>12</v>
      </c>
      <c r="T785" s="13">
        <v>45760</v>
      </c>
      <c r="U785" s="1" t="str">
        <f>IF(ESTIMATIVA[[#This Row],[QT_AREA_REAL]]&gt;0,"1- Colhido","2- à Colher")</f>
        <v>1- Colhido</v>
      </c>
      <c r="V785" s="1" t="str">
        <f>IF(ESTIMATIVA[[#This Row],[QT_AREA_REST1]]&gt;0,"Reestimativa 1",IF(ESTIMATIVA[[#This Row],[QT_AREA_REAL]]=0,"Reestimativa 1","Realizado"))</f>
        <v>Realizado</v>
      </c>
      <c r="W785" s="1" t="str">
        <f>IF(ESTIMATIVA[[#This Row],[QT_AREA_REST2]]&gt;0,"Reestimativa 2",IF(ESTIMATIVA[[#This Row],[QT_AREA_REAL]]=0,"Reestimativa 2","Realizado"))</f>
        <v>Realizado</v>
      </c>
      <c r="X785" s="1">
        <f>ESTIMATIVA[[#This Row],[QT_AREA_EST]]</f>
        <v>61.65</v>
      </c>
      <c r="Y785" s="1">
        <f>IF(ESTIMATIVA[[#This Row],[QT_AREA_REST1]]&gt;0,ESTIMATIVA[[#This Row],[QT_AREA_REST1]],
  IF(ESTIMATIVA[[#This Row],[QT_AREA_REAL]]&gt;0,ESTIMATIVA[[#This Row],[QT_AREA_REAL]],ESTIMATIVA[[#This Row],[QT_AREA_EST]]))</f>
        <v>61.65</v>
      </c>
      <c r="Z78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61.65</v>
      </c>
      <c r="AA785" s="1">
        <f>ESTIMATIVA[[#This Row],[QT_CANA_EST]]</f>
        <v>5548.5</v>
      </c>
      <c r="AB785" s="1">
        <f>IF(ESTIMATIVA[[#This Row],[QT_CANA_REST1]]&gt;0,ESTIMATIVA[[#This Row],[QT_CANA_REST1]],
  IF(ESTIMATIVA[[#This Row],[QT_CANA_REAL]]&gt;0,ESTIMATIVA[[#This Row],[QT_CANA_REAL]],ESTIMATIVA[[#This Row],[QT_CANA_EST]]))</f>
        <v>7498.26</v>
      </c>
      <c r="AC78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7498.26</v>
      </c>
      <c r="AD785" s="1">
        <f>IF(ESTIMATIVA[[#This Row],[QT_AREA_REAL]]&gt;0,ESTIMATIVA[[#This Row],[QT_CANA_REAL]],ESTIMATIVA[[#This Row],[QT_CANA_EST]])</f>
        <v>7498.26</v>
      </c>
      <c r="AE785" s="1">
        <f>IF(ESTIMATIVA[[#This Row],[QT_AREA_REAL]]&gt;0,ESTIMATIVA[[#This Row],[QT_CANA_REAL]],ESTIMATIVA[[#This Row],[QT_CANA_REST1]])</f>
        <v>7498.26</v>
      </c>
      <c r="AF785" s="1">
        <f>IF(ESTIMATIVA[[#This Row],[QT_AREA_REAL]]&gt;0,ESTIMATIVA[[#This Row],[QT_CANA_REAL]],ESTIMATIVA[[#This Row],[QT_CANA_REST2]])</f>
        <v>7498.26</v>
      </c>
      <c r="AG785" s="1" t="str">
        <f>IF(COUNTIFS(GEADA!A:A,VALUE(ESTIMATIVA[[#This Row],[CD_UPNIVEL1]]&amp;TEXT(ESTIMATIVA[[#This Row],[CD_UPNIVEL3]],"0000")))&gt;0,"S","N")</f>
        <v>N</v>
      </c>
      <c r="AH78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85" s="55" t="str">
        <f>IF(ESTIMATIVA[[#This Row],[TP_CULTIVO]]="Irrigado",_xlfn.MAXIFS(IRRIGADO!J:J,IRRIGADO!C:C,ESTIMATIVA[[#This Row],[CD_UPNIVEL1]],IRRIGADO!E:E,ESTIMATIVA[[#This Row],[CD_UPNIVEL3]]),"")</f>
        <v/>
      </c>
      <c r="AJ78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85" s="1">
        <f>COUNTIFS(Apresentação!$E$23:$E$29,ESTIMATIVA[[#This Row],[CD_UPNIVEL1]])</f>
        <v>0</v>
      </c>
    </row>
    <row r="786" spans="1:37" x14ac:dyDescent="0.3">
      <c r="A786">
        <v>20432</v>
      </c>
      <c r="B786" t="s">
        <v>22</v>
      </c>
      <c r="C786">
        <v>50</v>
      </c>
      <c r="D786">
        <v>3</v>
      </c>
      <c r="E786" t="s">
        <v>263</v>
      </c>
      <c r="F786" s="85" t="s">
        <v>331</v>
      </c>
      <c r="G786"/>
      <c r="H786" t="s">
        <v>295</v>
      </c>
      <c r="I786" t="s">
        <v>208</v>
      </c>
      <c r="J786" t="s">
        <v>175</v>
      </c>
      <c r="K786" s="1">
        <v>43.03</v>
      </c>
      <c r="L786" s="1">
        <v>0</v>
      </c>
      <c r="M786" s="1">
        <v>0</v>
      </c>
      <c r="N786" s="1">
        <v>43.03</v>
      </c>
      <c r="O786" s="1">
        <v>3872.7</v>
      </c>
      <c r="P786" s="1">
        <v>0</v>
      </c>
      <c r="Q786" s="1">
        <v>0</v>
      </c>
      <c r="R786" s="1">
        <v>3800.11</v>
      </c>
      <c r="S786" t="s">
        <v>12</v>
      </c>
      <c r="T786" s="13">
        <v>45837</v>
      </c>
      <c r="U786" s="1" t="str">
        <f>IF(ESTIMATIVA[[#This Row],[QT_AREA_REAL]]&gt;0,"1- Colhido","2- à Colher")</f>
        <v>1- Colhido</v>
      </c>
      <c r="V786" s="1" t="str">
        <f>IF(ESTIMATIVA[[#This Row],[QT_AREA_REST1]]&gt;0,"Reestimativa 1",IF(ESTIMATIVA[[#This Row],[QT_AREA_REAL]]=0,"Reestimativa 1","Realizado"))</f>
        <v>Realizado</v>
      </c>
      <c r="W786" s="1" t="str">
        <f>IF(ESTIMATIVA[[#This Row],[QT_AREA_REST2]]&gt;0,"Reestimativa 2",IF(ESTIMATIVA[[#This Row],[QT_AREA_REAL]]=0,"Reestimativa 2","Realizado"))</f>
        <v>Realizado</v>
      </c>
      <c r="X786" s="1">
        <f>ESTIMATIVA[[#This Row],[QT_AREA_EST]]</f>
        <v>43.03</v>
      </c>
      <c r="Y786" s="1">
        <f>IF(ESTIMATIVA[[#This Row],[QT_AREA_REST1]]&gt;0,ESTIMATIVA[[#This Row],[QT_AREA_REST1]],
  IF(ESTIMATIVA[[#This Row],[QT_AREA_REAL]]&gt;0,ESTIMATIVA[[#This Row],[QT_AREA_REAL]],ESTIMATIVA[[#This Row],[QT_AREA_EST]]))</f>
        <v>43.03</v>
      </c>
      <c r="Z78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43.03</v>
      </c>
      <c r="AA786" s="1">
        <f>ESTIMATIVA[[#This Row],[QT_CANA_EST]]</f>
        <v>3872.7</v>
      </c>
      <c r="AB786" s="1">
        <f>IF(ESTIMATIVA[[#This Row],[QT_CANA_REST1]]&gt;0,ESTIMATIVA[[#This Row],[QT_CANA_REST1]],
  IF(ESTIMATIVA[[#This Row],[QT_CANA_REAL]]&gt;0,ESTIMATIVA[[#This Row],[QT_CANA_REAL]],ESTIMATIVA[[#This Row],[QT_CANA_EST]]))</f>
        <v>3800.11</v>
      </c>
      <c r="AC78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3800.11</v>
      </c>
      <c r="AD786" s="1">
        <f>IF(ESTIMATIVA[[#This Row],[QT_AREA_REAL]]&gt;0,ESTIMATIVA[[#This Row],[QT_CANA_REAL]],ESTIMATIVA[[#This Row],[QT_CANA_EST]])</f>
        <v>3800.11</v>
      </c>
      <c r="AE786" s="1">
        <f>IF(ESTIMATIVA[[#This Row],[QT_AREA_REAL]]&gt;0,ESTIMATIVA[[#This Row],[QT_CANA_REAL]],ESTIMATIVA[[#This Row],[QT_CANA_REST1]])</f>
        <v>3800.11</v>
      </c>
      <c r="AF786" s="1">
        <f>IF(ESTIMATIVA[[#This Row],[QT_AREA_REAL]]&gt;0,ESTIMATIVA[[#This Row],[QT_CANA_REAL]],ESTIMATIVA[[#This Row],[QT_CANA_REST2]])</f>
        <v>3800.11</v>
      </c>
      <c r="AG786" s="1" t="str">
        <f>IF(COUNTIFS(GEADA!A:A,VALUE(ESTIMATIVA[[#This Row],[CD_UPNIVEL1]]&amp;TEXT(ESTIMATIVA[[#This Row],[CD_UPNIVEL3]],"0000")))&gt;0,"S","N")</f>
        <v>N</v>
      </c>
      <c r="AH78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86" s="55" t="str">
        <f>IF(ESTIMATIVA[[#This Row],[TP_CULTIVO]]="Irrigado",_xlfn.MAXIFS(IRRIGADO!J:J,IRRIGADO!C:C,ESTIMATIVA[[#This Row],[CD_UPNIVEL1]],IRRIGADO!E:E,ESTIMATIVA[[#This Row],[CD_UPNIVEL3]]),"")</f>
        <v/>
      </c>
      <c r="AJ78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86" s="1">
        <f>COUNTIFS(Apresentação!$E$23:$E$29,ESTIMATIVA[[#This Row],[CD_UPNIVEL1]])</f>
        <v>0</v>
      </c>
    </row>
    <row r="787" spans="1:37" x14ac:dyDescent="0.3">
      <c r="A787">
        <v>20432</v>
      </c>
      <c r="B787" t="s">
        <v>22</v>
      </c>
      <c r="C787">
        <v>51</v>
      </c>
      <c r="D787">
        <v>3</v>
      </c>
      <c r="E787" t="s">
        <v>263</v>
      </c>
      <c r="F787" s="85" t="s">
        <v>331</v>
      </c>
      <c r="G787"/>
      <c r="H787" t="s">
        <v>295</v>
      </c>
      <c r="I787" t="s">
        <v>208</v>
      </c>
      <c r="J787" t="s">
        <v>175</v>
      </c>
      <c r="K787" s="1">
        <v>48.58</v>
      </c>
      <c r="L787" s="1">
        <v>0</v>
      </c>
      <c r="M787" s="1">
        <v>0</v>
      </c>
      <c r="N787" s="1">
        <v>48.58</v>
      </c>
      <c r="O787" s="1">
        <v>4275.04</v>
      </c>
      <c r="P787" s="1">
        <v>0</v>
      </c>
      <c r="Q787" s="1">
        <v>0</v>
      </c>
      <c r="R787" s="1">
        <v>4194.57</v>
      </c>
      <c r="S787" t="s">
        <v>12</v>
      </c>
      <c r="T787" s="13">
        <v>45837</v>
      </c>
      <c r="U787" s="1" t="str">
        <f>IF(ESTIMATIVA[[#This Row],[QT_AREA_REAL]]&gt;0,"1- Colhido","2- à Colher")</f>
        <v>1- Colhido</v>
      </c>
      <c r="V787" s="1" t="str">
        <f>IF(ESTIMATIVA[[#This Row],[QT_AREA_REST1]]&gt;0,"Reestimativa 1",IF(ESTIMATIVA[[#This Row],[QT_AREA_REAL]]=0,"Reestimativa 1","Realizado"))</f>
        <v>Realizado</v>
      </c>
      <c r="W787" s="1" t="str">
        <f>IF(ESTIMATIVA[[#This Row],[QT_AREA_REST2]]&gt;0,"Reestimativa 2",IF(ESTIMATIVA[[#This Row],[QT_AREA_REAL]]=0,"Reestimativa 2","Realizado"))</f>
        <v>Realizado</v>
      </c>
      <c r="X787" s="1">
        <f>ESTIMATIVA[[#This Row],[QT_AREA_EST]]</f>
        <v>48.58</v>
      </c>
      <c r="Y787" s="1">
        <f>IF(ESTIMATIVA[[#This Row],[QT_AREA_REST1]]&gt;0,ESTIMATIVA[[#This Row],[QT_AREA_REST1]],
  IF(ESTIMATIVA[[#This Row],[QT_AREA_REAL]]&gt;0,ESTIMATIVA[[#This Row],[QT_AREA_REAL]],ESTIMATIVA[[#This Row],[QT_AREA_EST]]))</f>
        <v>48.58</v>
      </c>
      <c r="Z78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48.58</v>
      </c>
      <c r="AA787" s="1">
        <f>ESTIMATIVA[[#This Row],[QT_CANA_EST]]</f>
        <v>4275.04</v>
      </c>
      <c r="AB787" s="1">
        <f>IF(ESTIMATIVA[[#This Row],[QT_CANA_REST1]]&gt;0,ESTIMATIVA[[#This Row],[QT_CANA_REST1]],
  IF(ESTIMATIVA[[#This Row],[QT_CANA_REAL]]&gt;0,ESTIMATIVA[[#This Row],[QT_CANA_REAL]],ESTIMATIVA[[#This Row],[QT_CANA_EST]]))</f>
        <v>4194.57</v>
      </c>
      <c r="AC78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4194.57</v>
      </c>
      <c r="AD787" s="1">
        <f>IF(ESTIMATIVA[[#This Row],[QT_AREA_REAL]]&gt;0,ESTIMATIVA[[#This Row],[QT_CANA_REAL]],ESTIMATIVA[[#This Row],[QT_CANA_EST]])</f>
        <v>4194.57</v>
      </c>
      <c r="AE787" s="1">
        <f>IF(ESTIMATIVA[[#This Row],[QT_AREA_REAL]]&gt;0,ESTIMATIVA[[#This Row],[QT_CANA_REAL]],ESTIMATIVA[[#This Row],[QT_CANA_REST1]])</f>
        <v>4194.57</v>
      </c>
      <c r="AF787" s="1">
        <f>IF(ESTIMATIVA[[#This Row],[QT_AREA_REAL]]&gt;0,ESTIMATIVA[[#This Row],[QT_CANA_REAL]],ESTIMATIVA[[#This Row],[QT_CANA_REST2]])</f>
        <v>4194.57</v>
      </c>
      <c r="AG787" s="1" t="str">
        <f>IF(COUNTIFS(GEADA!A:A,VALUE(ESTIMATIVA[[#This Row],[CD_UPNIVEL1]]&amp;TEXT(ESTIMATIVA[[#This Row],[CD_UPNIVEL3]],"0000")))&gt;0,"S","N")</f>
        <v>N</v>
      </c>
      <c r="AH78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87" s="55" t="str">
        <f>IF(ESTIMATIVA[[#This Row],[TP_CULTIVO]]="Irrigado",_xlfn.MAXIFS(IRRIGADO!J:J,IRRIGADO!C:C,ESTIMATIVA[[#This Row],[CD_UPNIVEL1]],IRRIGADO!E:E,ESTIMATIVA[[#This Row],[CD_UPNIVEL3]]),"")</f>
        <v/>
      </c>
      <c r="AJ78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87" s="1">
        <f>COUNTIFS(Apresentação!$E$23:$E$29,ESTIMATIVA[[#This Row],[CD_UPNIVEL1]])</f>
        <v>0</v>
      </c>
    </row>
    <row r="788" spans="1:37" x14ac:dyDescent="0.3">
      <c r="A788">
        <v>20432</v>
      </c>
      <c r="B788" t="s">
        <v>22</v>
      </c>
      <c r="C788">
        <v>52</v>
      </c>
      <c r="D788">
        <v>3</v>
      </c>
      <c r="E788" t="s">
        <v>263</v>
      </c>
      <c r="F788" s="85" t="s">
        <v>332</v>
      </c>
      <c r="G788"/>
      <c r="H788" t="s">
        <v>295</v>
      </c>
      <c r="I788" t="s">
        <v>208</v>
      </c>
      <c r="J788" t="s">
        <v>175</v>
      </c>
      <c r="K788" s="1">
        <v>40.369999999999997</v>
      </c>
      <c r="L788" s="1">
        <v>0</v>
      </c>
      <c r="M788" s="1">
        <v>0</v>
      </c>
      <c r="N788" s="1">
        <v>40.369999999999997</v>
      </c>
      <c r="O788" s="1">
        <v>3552.56</v>
      </c>
      <c r="P788" s="1">
        <v>0</v>
      </c>
      <c r="Q788" s="1">
        <v>0</v>
      </c>
      <c r="R788" s="1">
        <v>3486.13</v>
      </c>
      <c r="S788" t="s">
        <v>12</v>
      </c>
      <c r="T788" s="13">
        <v>45837</v>
      </c>
      <c r="U788" s="1" t="str">
        <f>IF(ESTIMATIVA[[#This Row],[QT_AREA_REAL]]&gt;0,"1- Colhido","2- à Colher")</f>
        <v>1- Colhido</v>
      </c>
      <c r="V788" s="1" t="str">
        <f>IF(ESTIMATIVA[[#This Row],[QT_AREA_REST1]]&gt;0,"Reestimativa 1",IF(ESTIMATIVA[[#This Row],[QT_AREA_REAL]]=0,"Reestimativa 1","Realizado"))</f>
        <v>Realizado</v>
      </c>
      <c r="W788" s="1" t="str">
        <f>IF(ESTIMATIVA[[#This Row],[QT_AREA_REST2]]&gt;0,"Reestimativa 2",IF(ESTIMATIVA[[#This Row],[QT_AREA_REAL]]=0,"Reestimativa 2","Realizado"))</f>
        <v>Realizado</v>
      </c>
      <c r="X788" s="1">
        <f>ESTIMATIVA[[#This Row],[QT_AREA_EST]]</f>
        <v>40.369999999999997</v>
      </c>
      <c r="Y788" s="1">
        <f>IF(ESTIMATIVA[[#This Row],[QT_AREA_REST1]]&gt;0,ESTIMATIVA[[#This Row],[QT_AREA_REST1]],
  IF(ESTIMATIVA[[#This Row],[QT_AREA_REAL]]&gt;0,ESTIMATIVA[[#This Row],[QT_AREA_REAL]],ESTIMATIVA[[#This Row],[QT_AREA_EST]]))</f>
        <v>40.369999999999997</v>
      </c>
      <c r="Z78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40.369999999999997</v>
      </c>
      <c r="AA788" s="1">
        <f>ESTIMATIVA[[#This Row],[QT_CANA_EST]]</f>
        <v>3552.56</v>
      </c>
      <c r="AB788" s="1">
        <f>IF(ESTIMATIVA[[#This Row],[QT_CANA_REST1]]&gt;0,ESTIMATIVA[[#This Row],[QT_CANA_REST1]],
  IF(ESTIMATIVA[[#This Row],[QT_CANA_REAL]]&gt;0,ESTIMATIVA[[#This Row],[QT_CANA_REAL]],ESTIMATIVA[[#This Row],[QT_CANA_EST]]))</f>
        <v>3486.13</v>
      </c>
      <c r="AC78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3486.13</v>
      </c>
      <c r="AD788" s="1">
        <f>IF(ESTIMATIVA[[#This Row],[QT_AREA_REAL]]&gt;0,ESTIMATIVA[[#This Row],[QT_CANA_REAL]],ESTIMATIVA[[#This Row],[QT_CANA_EST]])</f>
        <v>3486.13</v>
      </c>
      <c r="AE788" s="1">
        <f>IF(ESTIMATIVA[[#This Row],[QT_AREA_REAL]]&gt;0,ESTIMATIVA[[#This Row],[QT_CANA_REAL]],ESTIMATIVA[[#This Row],[QT_CANA_REST1]])</f>
        <v>3486.13</v>
      </c>
      <c r="AF788" s="1">
        <f>IF(ESTIMATIVA[[#This Row],[QT_AREA_REAL]]&gt;0,ESTIMATIVA[[#This Row],[QT_CANA_REAL]],ESTIMATIVA[[#This Row],[QT_CANA_REST2]])</f>
        <v>3486.13</v>
      </c>
      <c r="AG788" s="1" t="str">
        <f>IF(COUNTIFS(GEADA!A:A,VALUE(ESTIMATIVA[[#This Row],[CD_UPNIVEL1]]&amp;TEXT(ESTIMATIVA[[#This Row],[CD_UPNIVEL3]],"0000")))&gt;0,"S","N")</f>
        <v>N</v>
      </c>
      <c r="AH78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88" s="55" t="str">
        <f>IF(ESTIMATIVA[[#This Row],[TP_CULTIVO]]="Irrigado",_xlfn.MAXIFS(IRRIGADO!J:J,IRRIGADO!C:C,ESTIMATIVA[[#This Row],[CD_UPNIVEL1]],IRRIGADO!E:E,ESTIMATIVA[[#This Row],[CD_UPNIVEL3]]),"")</f>
        <v/>
      </c>
      <c r="AJ78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88" s="1">
        <f>COUNTIFS(Apresentação!$E$23:$E$29,ESTIMATIVA[[#This Row],[CD_UPNIVEL1]])</f>
        <v>0</v>
      </c>
    </row>
    <row r="789" spans="1:37" x14ac:dyDescent="0.3">
      <c r="A789">
        <v>20432</v>
      </c>
      <c r="B789" t="s">
        <v>22</v>
      </c>
      <c r="C789">
        <v>53</v>
      </c>
      <c r="D789">
        <v>3</v>
      </c>
      <c r="E789" t="s">
        <v>263</v>
      </c>
      <c r="F789" s="85" t="s">
        <v>331</v>
      </c>
      <c r="G789"/>
      <c r="H789" t="s">
        <v>295</v>
      </c>
      <c r="I789" t="s">
        <v>208</v>
      </c>
      <c r="J789" t="s">
        <v>175</v>
      </c>
      <c r="K789" s="1">
        <v>6.33</v>
      </c>
      <c r="L789" s="1">
        <v>0</v>
      </c>
      <c r="M789" s="1">
        <v>0</v>
      </c>
      <c r="N789" s="1">
        <v>6.33</v>
      </c>
      <c r="O789" s="1">
        <v>557.04</v>
      </c>
      <c r="P789" s="1">
        <v>0</v>
      </c>
      <c r="Q789" s="1">
        <v>0</v>
      </c>
      <c r="R789" s="1">
        <v>547.11</v>
      </c>
      <c r="S789" t="s">
        <v>12</v>
      </c>
      <c r="T789" s="13">
        <v>45837</v>
      </c>
      <c r="U789" s="1" t="str">
        <f>IF(ESTIMATIVA[[#This Row],[QT_AREA_REAL]]&gt;0,"1- Colhido","2- à Colher")</f>
        <v>1- Colhido</v>
      </c>
      <c r="V789" s="1" t="str">
        <f>IF(ESTIMATIVA[[#This Row],[QT_AREA_REST1]]&gt;0,"Reestimativa 1",IF(ESTIMATIVA[[#This Row],[QT_AREA_REAL]]=0,"Reestimativa 1","Realizado"))</f>
        <v>Realizado</v>
      </c>
      <c r="W789" s="1" t="str">
        <f>IF(ESTIMATIVA[[#This Row],[QT_AREA_REST2]]&gt;0,"Reestimativa 2",IF(ESTIMATIVA[[#This Row],[QT_AREA_REAL]]=0,"Reestimativa 2","Realizado"))</f>
        <v>Realizado</v>
      </c>
      <c r="X789" s="1">
        <f>ESTIMATIVA[[#This Row],[QT_AREA_EST]]</f>
        <v>6.33</v>
      </c>
      <c r="Y789" s="1">
        <f>IF(ESTIMATIVA[[#This Row],[QT_AREA_REST1]]&gt;0,ESTIMATIVA[[#This Row],[QT_AREA_REST1]],
  IF(ESTIMATIVA[[#This Row],[QT_AREA_REAL]]&gt;0,ESTIMATIVA[[#This Row],[QT_AREA_REAL]],ESTIMATIVA[[#This Row],[QT_AREA_EST]]))</f>
        <v>6.33</v>
      </c>
      <c r="Z78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6.33</v>
      </c>
      <c r="AA789" s="1">
        <f>ESTIMATIVA[[#This Row],[QT_CANA_EST]]</f>
        <v>557.04</v>
      </c>
      <c r="AB789" s="1">
        <f>IF(ESTIMATIVA[[#This Row],[QT_CANA_REST1]]&gt;0,ESTIMATIVA[[#This Row],[QT_CANA_REST1]],
  IF(ESTIMATIVA[[#This Row],[QT_CANA_REAL]]&gt;0,ESTIMATIVA[[#This Row],[QT_CANA_REAL]],ESTIMATIVA[[#This Row],[QT_CANA_EST]]))</f>
        <v>547.11</v>
      </c>
      <c r="AC78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547.11</v>
      </c>
      <c r="AD789" s="1">
        <f>IF(ESTIMATIVA[[#This Row],[QT_AREA_REAL]]&gt;0,ESTIMATIVA[[#This Row],[QT_CANA_REAL]],ESTIMATIVA[[#This Row],[QT_CANA_EST]])</f>
        <v>547.11</v>
      </c>
      <c r="AE789" s="1">
        <f>IF(ESTIMATIVA[[#This Row],[QT_AREA_REAL]]&gt;0,ESTIMATIVA[[#This Row],[QT_CANA_REAL]],ESTIMATIVA[[#This Row],[QT_CANA_REST1]])</f>
        <v>547.11</v>
      </c>
      <c r="AF789" s="1">
        <f>IF(ESTIMATIVA[[#This Row],[QT_AREA_REAL]]&gt;0,ESTIMATIVA[[#This Row],[QT_CANA_REAL]],ESTIMATIVA[[#This Row],[QT_CANA_REST2]])</f>
        <v>547.11</v>
      </c>
      <c r="AG789" s="1" t="str">
        <f>IF(COUNTIFS(GEADA!A:A,VALUE(ESTIMATIVA[[#This Row],[CD_UPNIVEL1]]&amp;TEXT(ESTIMATIVA[[#This Row],[CD_UPNIVEL3]],"0000")))&gt;0,"S","N")</f>
        <v>N</v>
      </c>
      <c r="AH78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89" s="55" t="str">
        <f>IF(ESTIMATIVA[[#This Row],[TP_CULTIVO]]="Irrigado",_xlfn.MAXIFS(IRRIGADO!J:J,IRRIGADO!C:C,ESTIMATIVA[[#This Row],[CD_UPNIVEL1]],IRRIGADO!E:E,ESTIMATIVA[[#This Row],[CD_UPNIVEL3]]),"")</f>
        <v/>
      </c>
      <c r="AJ78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89" s="1">
        <f>COUNTIFS(Apresentação!$E$23:$E$29,ESTIMATIVA[[#This Row],[CD_UPNIVEL1]])</f>
        <v>0</v>
      </c>
    </row>
    <row r="790" spans="1:37" x14ac:dyDescent="0.3">
      <c r="A790">
        <v>20432</v>
      </c>
      <c r="B790" t="s">
        <v>22</v>
      </c>
      <c r="C790">
        <v>90</v>
      </c>
      <c r="D790">
        <v>6</v>
      </c>
      <c r="E790" t="s">
        <v>261</v>
      </c>
      <c r="F790" s="85" t="s">
        <v>332</v>
      </c>
      <c r="G790"/>
      <c r="H790" t="s">
        <v>295</v>
      </c>
      <c r="I790" t="s">
        <v>200</v>
      </c>
      <c r="J790" t="s">
        <v>175</v>
      </c>
      <c r="K790" s="1">
        <v>38.44</v>
      </c>
      <c r="L790" s="1">
        <v>38.44</v>
      </c>
      <c r="M790" s="1">
        <v>38.44</v>
      </c>
      <c r="N790" s="1">
        <v>38.44</v>
      </c>
      <c r="O790" s="1">
        <v>1922</v>
      </c>
      <c r="P790" s="1">
        <v>1960.44</v>
      </c>
      <c r="Q790" s="1">
        <v>1960.44</v>
      </c>
      <c r="R790" s="1">
        <v>1568.4</v>
      </c>
      <c r="S790" t="s">
        <v>12</v>
      </c>
      <c r="T790" s="13">
        <v>45935</v>
      </c>
      <c r="U790" s="1" t="str">
        <f>IF(ESTIMATIVA[[#This Row],[QT_AREA_REAL]]&gt;0,"1- Colhido","2- à Colher")</f>
        <v>1- Colhido</v>
      </c>
      <c r="V790" s="1" t="str">
        <f>IF(ESTIMATIVA[[#This Row],[QT_AREA_REST1]]&gt;0,"Reestimativa 1",IF(ESTIMATIVA[[#This Row],[QT_AREA_REAL]]=0,"Reestimativa 1","Realizado"))</f>
        <v>Reestimativa 1</v>
      </c>
      <c r="W790" s="1" t="str">
        <f>IF(ESTIMATIVA[[#This Row],[QT_AREA_REST2]]&gt;0,"Reestimativa 2",IF(ESTIMATIVA[[#This Row],[QT_AREA_REAL]]=0,"Reestimativa 2","Realizado"))</f>
        <v>Reestimativa 2</v>
      </c>
      <c r="X790" s="1">
        <f>ESTIMATIVA[[#This Row],[QT_AREA_EST]]</f>
        <v>38.44</v>
      </c>
      <c r="Y790" s="1">
        <f>IF(ESTIMATIVA[[#This Row],[QT_AREA_REST1]]&gt;0,ESTIMATIVA[[#This Row],[QT_AREA_REST1]],
  IF(ESTIMATIVA[[#This Row],[QT_AREA_REAL]]&gt;0,ESTIMATIVA[[#This Row],[QT_AREA_REAL]],ESTIMATIVA[[#This Row],[QT_AREA_EST]]))</f>
        <v>38.44</v>
      </c>
      <c r="Z79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38.44</v>
      </c>
      <c r="AA790" s="1">
        <f>ESTIMATIVA[[#This Row],[QT_CANA_EST]]</f>
        <v>1922</v>
      </c>
      <c r="AB790" s="1">
        <f>IF(ESTIMATIVA[[#This Row],[QT_CANA_REST1]]&gt;0,ESTIMATIVA[[#This Row],[QT_CANA_REST1]],
  IF(ESTIMATIVA[[#This Row],[QT_CANA_REAL]]&gt;0,ESTIMATIVA[[#This Row],[QT_CANA_REAL]],ESTIMATIVA[[#This Row],[QT_CANA_EST]]))</f>
        <v>1960.44</v>
      </c>
      <c r="AC79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1960.44</v>
      </c>
      <c r="AD790" s="1">
        <f>IF(ESTIMATIVA[[#This Row],[QT_AREA_REAL]]&gt;0,ESTIMATIVA[[#This Row],[QT_CANA_REAL]],ESTIMATIVA[[#This Row],[QT_CANA_EST]])</f>
        <v>1568.4</v>
      </c>
      <c r="AE790" s="1">
        <f>IF(ESTIMATIVA[[#This Row],[QT_AREA_REAL]]&gt;0,ESTIMATIVA[[#This Row],[QT_CANA_REAL]],ESTIMATIVA[[#This Row],[QT_CANA_REST1]])</f>
        <v>1568.4</v>
      </c>
      <c r="AF790" s="1">
        <f>IF(ESTIMATIVA[[#This Row],[QT_AREA_REAL]]&gt;0,ESTIMATIVA[[#This Row],[QT_CANA_REAL]],ESTIMATIVA[[#This Row],[QT_CANA_REST2]])</f>
        <v>1568.4</v>
      </c>
      <c r="AG790" s="1" t="str">
        <f>IF(COUNTIFS(GEADA!A:A,VALUE(ESTIMATIVA[[#This Row],[CD_UPNIVEL1]]&amp;TEXT(ESTIMATIVA[[#This Row],[CD_UPNIVEL3]],"0000")))&gt;0,"S","N")</f>
        <v>N</v>
      </c>
      <c r="AH79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90" s="55" t="str">
        <f>IF(ESTIMATIVA[[#This Row],[TP_CULTIVO]]="Irrigado",_xlfn.MAXIFS(IRRIGADO!J:J,IRRIGADO!C:C,ESTIMATIVA[[#This Row],[CD_UPNIVEL1]],IRRIGADO!E:E,ESTIMATIVA[[#This Row],[CD_UPNIVEL3]]),"")</f>
        <v/>
      </c>
      <c r="AJ79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90" s="1">
        <f>COUNTIFS(Apresentação!$E$23:$E$29,ESTIMATIVA[[#This Row],[CD_UPNIVEL1]])</f>
        <v>0</v>
      </c>
    </row>
    <row r="791" spans="1:37" x14ac:dyDescent="0.3">
      <c r="A791">
        <v>20432</v>
      </c>
      <c r="B791" t="s">
        <v>22</v>
      </c>
      <c r="C791">
        <v>91</v>
      </c>
      <c r="D791">
        <v>6</v>
      </c>
      <c r="E791" t="s">
        <v>261</v>
      </c>
      <c r="F791" s="85" t="s">
        <v>331</v>
      </c>
      <c r="G791"/>
      <c r="H791" t="s">
        <v>295</v>
      </c>
      <c r="I791" t="s">
        <v>200</v>
      </c>
      <c r="J791" t="s">
        <v>175</v>
      </c>
      <c r="K791" s="1">
        <v>30.43</v>
      </c>
      <c r="L791" s="1">
        <v>30.43</v>
      </c>
      <c r="M791" s="1">
        <v>30.43</v>
      </c>
      <c r="N791" s="1">
        <v>30.43</v>
      </c>
      <c r="O791" s="1">
        <v>1521.5</v>
      </c>
      <c r="P791" s="1">
        <v>1551.93</v>
      </c>
      <c r="Q791" s="1">
        <v>1551.93</v>
      </c>
      <c r="R791" s="1">
        <v>1241.99</v>
      </c>
      <c r="S791" t="s">
        <v>12</v>
      </c>
      <c r="T791" s="13">
        <v>45935</v>
      </c>
      <c r="U791" s="1" t="str">
        <f>IF(ESTIMATIVA[[#This Row],[QT_AREA_REAL]]&gt;0,"1- Colhido","2- à Colher")</f>
        <v>1- Colhido</v>
      </c>
      <c r="V791" s="1" t="str">
        <f>IF(ESTIMATIVA[[#This Row],[QT_AREA_REST1]]&gt;0,"Reestimativa 1",IF(ESTIMATIVA[[#This Row],[QT_AREA_REAL]]=0,"Reestimativa 1","Realizado"))</f>
        <v>Reestimativa 1</v>
      </c>
      <c r="W791" s="1" t="str">
        <f>IF(ESTIMATIVA[[#This Row],[QT_AREA_REST2]]&gt;0,"Reestimativa 2",IF(ESTIMATIVA[[#This Row],[QT_AREA_REAL]]=0,"Reestimativa 2","Realizado"))</f>
        <v>Reestimativa 2</v>
      </c>
      <c r="X791" s="1">
        <f>ESTIMATIVA[[#This Row],[QT_AREA_EST]]</f>
        <v>30.43</v>
      </c>
      <c r="Y791" s="1">
        <f>IF(ESTIMATIVA[[#This Row],[QT_AREA_REST1]]&gt;0,ESTIMATIVA[[#This Row],[QT_AREA_REST1]],
  IF(ESTIMATIVA[[#This Row],[QT_AREA_REAL]]&gt;0,ESTIMATIVA[[#This Row],[QT_AREA_REAL]],ESTIMATIVA[[#This Row],[QT_AREA_EST]]))</f>
        <v>30.43</v>
      </c>
      <c r="Z79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30.43</v>
      </c>
      <c r="AA791" s="1">
        <f>ESTIMATIVA[[#This Row],[QT_CANA_EST]]</f>
        <v>1521.5</v>
      </c>
      <c r="AB791" s="1">
        <f>IF(ESTIMATIVA[[#This Row],[QT_CANA_REST1]]&gt;0,ESTIMATIVA[[#This Row],[QT_CANA_REST1]],
  IF(ESTIMATIVA[[#This Row],[QT_CANA_REAL]]&gt;0,ESTIMATIVA[[#This Row],[QT_CANA_REAL]],ESTIMATIVA[[#This Row],[QT_CANA_EST]]))</f>
        <v>1551.93</v>
      </c>
      <c r="AC79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1551.93</v>
      </c>
      <c r="AD791" s="1">
        <f>IF(ESTIMATIVA[[#This Row],[QT_AREA_REAL]]&gt;0,ESTIMATIVA[[#This Row],[QT_CANA_REAL]],ESTIMATIVA[[#This Row],[QT_CANA_EST]])</f>
        <v>1241.99</v>
      </c>
      <c r="AE791" s="1">
        <f>IF(ESTIMATIVA[[#This Row],[QT_AREA_REAL]]&gt;0,ESTIMATIVA[[#This Row],[QT_CANA_REAL]],ESTIMATIVA[[#This Row],[QT_CANA_REST1]])</f>
        <v>1241.99</v>
      </c>
      <c r="AF791" s="1">
        <f>IF(ESTIMATIVA[[#This Row],[QT_AREA_REAL]]&gt;0,ESTIMATIVA[[#This Row],[QT_CANA_REAL]],ESTIMATIVA[[#This Row],[QT_CANA_REST2]])</f>
        <v>1241.99</v>
      </c>
      <c r="AG791" s="1" t="str">
        <f>IF(COUNTIFS(GEADA!A:A,VALUE(ESTIMATIVA[[#This Row],[CD_UPNIVEL1]]&amp;TEXT(ESTIMATIVA[[#This Row],[CD_UPNIVEL3]],"0000")))&gt;0,"S","N")</f>
        <v>N</v>
      </c>
      <c r="AH79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91" s="55" t="str">
        <f>IF(ESTIMATIVA[[#This Row],[TP_CULTIVO]]="Irrigado",_xlfn.MAXIFS(IRRIGADO!J:J,IRRIGADO!C:C,ESTIMATIVA[[#This Row],[CD_UPNIVEL1]],IRRIGADO!E:E,ESTIMATIVA[[#This Row],[CD_UPNIVEL3]]),"")</f>
        <v/>
      </c>
      <c r="AJ79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91" s="1">
        <f>COUNTIFS(Apresentação!$E$23:$E$29,ESTIMATIVA[[#This Row],[CD_UPNIVEL1]])</f>
        <v>0</v>
      </c>
    </row>
    <row r="792" spans="1:37" x14ac:dyDescent="0.3">
      <c r="A792">
        <v>20432</v>
      </c>
      <c r="B792" t="s">
        <v>22</v>
      </c>
      <c r="C792">
        <v>92</v>
      </c>
      <c r="D792">
        <v>6</v>
      </c>
      <c r="E792" t="s">
        <v>261</v>
      </c>
      <c r="F792" s="85" t="s">
        <v>331</v>
      </c>
      <c r="G792"/>
      <c r="H792" t="s">
        <v>295</v>
      </c>
      <c r="I792" t="s">
        <v>197</v>
      </c>
      <c r="J792" t="s">
        <v>175</v>
      </c>
      <c r="K792" s="1">
        <v>29.37</v>
      </c>
      <c r="L792" s="1">
        <v>0</v>
      </c>
      <c r="M792" s="1">
        <v>0</v>
      </c>
      <c r="N792" s="1">
        <v>29.37</v>
      </c>
      <c r="O792" s="1">
        <v>1762.2</v>
      </c>
      <c r="P792" s="1">
        <v>0</v>
      </c>
      <c r="Q792" s="1">
        <v>0</v>
      </c>
      <c r="R792" s="1">
        <v>1090.5899999999999</v>
      </c>
      <c r="S792" t="s">
        <v>12</v>
      </c>
      <c r="T792" s="13">
        <v>45865</v>
      </c>
      <c r="U792" s="1" t="str">
        <f>IF(ESTIMATIVA[[#This Row],[QT_AREA_REAL]]&gt;0,"1- Colhido","2- à Colher")</f>
        <v>1- Colhido</v>
      </c>
      <c r="V792" s="1" t="str">
        <f>IF(ESTIMATIVA[[#This Row],[QT_AREA_REST1]]&gt;0,"Reestimativa 1",IF(ESTIMATIVA[[#This Row],[QT_AREA_REAL]]=0,"Reestimativa 1","Realizado"))</f>
        <v>Realizado</v>
      </c>
      <c r="W792" s="1" t="str">
        <f>IF(ESTIMATIVA[[#This Row],[QT_AREA_REST2]]&gt;0,"Reestimativa 2",IF(ESTIMATIVA[[#This Row],[QT_AREA_REAL]]=0,"Reestimativa 2","Realizado"))</f>
        <v>Realizado</v>
      </c>
      <c r="X792" s="1">
        <f>ESTIMATIVA[[#This Row],[QT_AREA_EST]]</f>
        <v>29.37</v>
      </c>
      <c r="Y792" s="1">
        <f>IF(ESTIMATIVA[[#This Row],[QT_AREA_REST1]]&gt;0,ESTIMATIVA[[#This Row],[QT_AREA_REST1]],
  IF(ESTIMATIVA[[#This Row],[QT_AREA_REAL]]&gt;0,ESTIMATIVA[[#This Row],[QT_AREA_REAL]],ESTIMATIVA[[#This Row],[QT_AREA_EST]]))</f>
        <v>29.37</v>
      </c>
      <c r="Z79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29.37</v>
      </c>
      <c r="AA792" s="1">
        <f>ESTIMATIVA[[#This Row],[QT_CANA_EST]]</f>
        <v>1762.2</v>
      </c>
      <c r="AB792" s="1">
        <f>IF(ESTIMATIVA[[#This Row],[QT_CANA_REST1]]&gt;0,ESTIMATIVA[[#This Row],[QT_CANA_REST1]],
  IF(ESTIMATIVA[[#This Row],[QT_CANA_REAL]]&gt;0,ESTIMATIVA[[#This Row],[QT_CANA_REAL]],ESTIMATIVA[[#This Row],[QT_CANA_EST]]))</f>
        <v>1090.5899999999999</v>
      </c>
      <c r="AC79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1090.5899999999999</v>
      </c>
      <c r="AD792" s="1">
        <f>IF(ESTIMATIVA[[#This Row],[QT_AREA_REAL]]&gt;0,ESTIMATIVA[[#This Row],[QT_CANA_REAL]],ESTIMATIVA[[#This Row],[QT_CANA_EST]])</f>
        <v>1090.5899999999999</v>
      </c>
      <c r="AE792" s="1">
        <f>IF(ESTIMATIVA[[#This Row],[QT_AREA_REAL]]&gt;0,ESTIMATIVA[[#This Row],[QT_CANA_REAL]],ESTIMATIVA[[#This Row],[QT_CANA_REST1]])</f>
        <v>1090.5899999999999</v>
      </c>
      <c r="AF792" s="1">
        <f>IF(ESTIMATIVA[[#This Row],[QT_AREA_REAL]]&gt;0,ESTIMATIVA[[#This Row],[QT_CANA_REAL]],ESTIMATIVA[[#This Row],[QT_CANA_REST2]])</f>
        <v>1090.5899999999999</v>
      </c>
      <c r="AG792" s="1" t="str">
        <f>IF(COUNTIFS(GEADA!A:A,VALUE(ESTIMATIVA[[#This Row],[CD_UPNIVEL1]]&amp;TEXT(ESTIMATIVA[[#This Row],[CD_UPNIVEL3]],"0000")))&gt;0,"S","N")</f>
        <v>N</v>
      </c>
      <c r="AH79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92" s="55" t="str">
        <f>IF(ESTIMATIVA[[#This Row],[TP_CULTIVO]]="Irrigado",_xlfn.MAXIFS(IRRIGADO!J:J,IRRIGADO!C:C,ESTIMATIVA[[#This Row],[CD_UPNIVEL1]],IRRIGADO!E:E,ESTIMATIVA[[#This Row],[CD_UPNIVEL3]]),"")</f>
        <v/>
      </c>
      <c r="AJ79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92" s="1">
        <f>COUNTIFS(Apresentação!$E$23:$E$29,ESTIMATIVA[[#This Row],[CD_UPNIVEL1]])</f>
        <v>0</v>
      </c>
    </row>
    <row r="793" spans="1:37" x14ac:dyDescent="0.3">
      <c r="A793">
        <v>20432</v>
      </c>
      <c r="B793" t="s">
        <v>22</v>
      </c>
      <c r="C793">
        <v>93</v>
      </c>
      <c r="D793">
        <v>6</v>
      </c>
      <c r="E793" t="s">
        <v>261</v>
      </c>
      <c r="F793" s="85" t="s">
        <v>332</v>
      </c>
      <c r="G793"/>
      <c r="H793" t="s">
        <v>295</v>
      </c>
      <c r="I793" t="s">
        <v>197</v>
      </c>
      <c r="J793" t="s">
        <v>175</v>
      </c>
      <c r="K793" s="1">
        <v>32.93</v>
      </c>
      <c r="L793" s="1">
        <v>0</v>
      </c>
      <c r="M793" s="1">
        <v>0</v>
      </c>
      <c r="N793" s="1">
        <v>32.93</v>
      </c>
      <c r="O793" s="1">
        <v>1975.8</v>
      </c>
      <c r="P793" s="1">
        <v>0</v>
      </c>
      <c r="Q793" s="1">
        <v>0</v>
      </c>
      <c r="R793" s="1">
        <v>1223.3499999999999</v>
      </c>
      <c r="S793" t="s">
        <v>12</v>
      </c>
      <c r="T793" s="13">
        <v>45865</v>
      </c>
      <c r="U793" s="1" t="str">
        <f>IF(ESTIMATIVA[[#This Row],[QT_AREA_REAL]]&gt;0,"1- Colhido","2- à Colher")</f>
        <v>1- Colhido</v>
      </c>
      <c r="V793" s="1" t="str">
        <f>IF(ESTIMATIVA[[#This Row],[QT_AREA_REST1]]&gt;0,"Reestimativa 1",IF(ESTIMATIVA[[#This Row],[QT_AREA_REAL]]=0,"Reestimativa 1","Realizado"))</f>
        <v>Realizado</v>
      </c>
      <c r="W793" s="1" t="str">
        <f>IF(ESTIMATIVA[[#This Row],[QT_AREA_REST2]]&gt;0,"Reestimativa 2",IF(ESTIMATIVA[[#This Row],[QT_AREA_REAL]]=0,"Reestimativa 2","Realizado"))</f>
        <v>Realizado</v>
      </c>
      <c r="X793" s="1">
        <f>ESTIMATIVA[[#This Row],[QT_AREA_EST]]</f>
        <v>32.93</v>
      </c>
      <c r="Y793" s="1">
        <f>IF(ESTIMATIVA[[#This Row],[QT_AREA_REST1]]&gt;0,ESTIMATIVA[[#This Row],[QT_AREA_REST1]],
  IF(ESTIMATIVA[[#This Row],[QT_AREA_REAL]]&gt;0,ESTIMATIVA[[#This Row],[QT_AREA_REAL]],ESTIMATIVA[[#This Row],[QT_AREA_EST]]))</f>
        <v>32.93</v>
      </c>
      <c r="Z79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32.93</v>
      </c>
      <c r="AA793" s="1">
        <f>ESTIMATIVA[[#This Row],[QT_CANA_EST]]</f>
        <v>1975.8</v>
      </c>
      <c r="AB793" s="1">
        <f>IF(ESTIMATIVA[[#This Row],[QT_CANA_REST1]]&gt;0,ESTIMATIVA[[#This Row],[QT_CANA_REST1]],
  IF(ESTIMATIVA[[#This Row],[QT_CANA_REAL]]&gt;0,ESTIMATIVA[[#This Row],[QT_CANA_REAL]],ESTIMATIVA[[#This Row],[QT_CANA_EST]]))</f>
        <v>1223.3499999999999</v>
      </c>
      <c r="AC79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1223.3499999999999</v>
      </c>
      <c r="AD793" s="1">
        <f>IF(ESTIMATIVA[[#This Row],[QT_AREA_REAL]]&gt;0,ESTIMATIVA[[#This Row],[QT_CANA_REAL]],ESTIMATIVA[[#This Row],[QT_CANA_EST]])</f>
        <v>1223.3499999999999</v>
      </c>
      <c r="AE793" s="1">
        <f>IF(ESTIMATIVA[[#This Row],[QT_AREA_REAL]]&gt;0,ESTIMATIVA[[#This Row],[QT_CANA_REAL]],ESTIMATIVA[[#This Row],[QT_CANA_REST1]])</f>
        <v>1223.3499999999999</v>
      </c>
      <c r="AF793" s="1">
        <f>IF(ESTIMATIVA[[#This Row],[QT_AREA_REAL]]&gt;0,ESTIMATIVA[[#This Row],[QT_CANA_REAL]],ESTIMATIVA[[#This Row],[QT_CANA_REST2]])</f>
        <v>1223.3499999999999</v>
      </c>
      <c r="AG793" s="1" t="str">
        <f>IF(COUNTIFS(GEADA!A:A,VALUE(ESTIMATIVA[[#This Row],[CD_UPNIVEL1]]&amp;TEXT(ESTIMATIVA[[#This Row],[CD_UPNIVEL3]],"0000")))&gt;0,"S","N")</f>
        <v>N</v>
      </c>
      <c r="AH79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93" s="55" t="str">
        <f>IF(ESTIMATIVA[[#This Row],[TP_CULTIVO]]="Irrigado",_xlfn.MAXIFS(IRRIGADO!J:J,IRRIGADO!C:C,ESTIMATIVA[[#This Row],[CD_UPNIVEL1]],IRRIGADO!E:E,ESTIMATIVA[[#This Row],[CD_UPNIVEL3]]),"")</f>
        <v/>
      </c>
      <c r="AJ79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93" s="1">
        <f>COUNTIFS(Apresentação!$E$23:$E$29,ESTIMATIVA[[#This Row],[CD_UPNIVEL1]])</f>
        <v>0</v>
      </c>
    </row>
    <row r="794" spans="1:37" x14ac:dyDescent="0.3">
      <c r="A794">
        <v>20432</v>
      </c>
      <c r="B794" t="s">
        <v>22</v>
      </c>
      <c r="C794">
        <v>94</v>
      </c>
      <c r="D794">
        <v>6</v>
      </c>
      <c r="E794" t="s">
        <v>261</v>
      </c>
      <c r="F794" s="85" t="s">
        <v>332</v>
      </c>
      <c r="G794"/>
      <c r="H794" t="s">
        <v>295</v>
      </c>
      <c r="I794" t="s">
        <v>197</v>
      </c>
      <c r="J794" t="s">
        <v>175</v>
      </c>
      <c r="K794" s="1">
        <v>31.55</v>
      </c>
      <c r="L794" s="1">
        <v>0</v>
      </c>
      <c r="M794" s="1">
        <v>0</v>
      </c>
      <c r="N794" s="1">
        <v>31.55</v>
      </c>
      <c r="O794" s="1">
        <v>1893</v>
      </c>
      <c r="P794" s="1">
        <v>0</v>
      </c>
      <c r="Q794" s="1">
        <v>0</v>
      </c>
      <c r="R794" s="1">
        <v>1172.06</v>
      </c>
      <c r="S794" t="s">
        <v>12</v>
      </c>
      <c r="T794" s="13">
        <v>45865</v>
      </c>
      <c r="U794" s="1" t="str">
        <f>IF(ESTIMATIVA[[#This Row],[QT_AREA_REAL]]&gt;0,"1- Colhido","2- à Colher")</f>
        <v>1- Colhido</v>
      </c>
      <c r="V794" s="1" t="str">
        <f>IF(ESTIMATIVA[[#This Row],[QT_AREA_REST1]]&gt;0,"Reestimativa 1",IF(ESTIMATIVA[[#This Row],[QT_AREA_REAL]]=0,"Reestimativa 1","Realizado"))</f>
        <v>Realizado</v>
      </c>
      <c r="W794" s="1" t="str">
        <f>IF(ESTIMATIVA[[#This Row],[QT_AREA_REST2]]&gt;0,"Reestimativa 2",IF(ESTIMATIVA[[#This Row],[QT_AREA_REAL]]=0,"Reestimativa 2","Realizado"))</f>
        <v>Realizado</v>
      </c>
      <c r="X794" s="1">
        <f>ESTIMATIVA[[#This Row],[QT_AREA_EST]]</f>
        <v>31.55</v>
      </c>
      <c r="Y794" s="1">
        <f>IF(ESTIMATIVA[[#This Row],[QT_AREA_REST1]]&gt;0,ESTIMATIVA[[#This Row],[QT_AREA_REST1]],
  IF(ESTIMATIVA[[#This Row],[QT_AREA_REAL]]&gt;0,ESTIMATIVA[[#This Row],[QT_AREA_REAL]],ESTIMATIVA[[#This Row],[QT_AREA_EST]]))</f>
        <v>31.55</v>
      </c>
      <c r="Z79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31.55</v>
      </c>
      <c r="AA794" s="1">
        <f>ESTIMATIVA[[#This Row],[QT_CANA_EST]]</f>
        <v>1893</v>
      </c>
      <c r="AB794" s="1">
        <f>IF(ESTIMATIVA[[#This Row],[QT_CANA_REST1]]&gt;0,ESTIMATIVA[[#This Row],[QT_CANA_REST1]],
  IF(ESTIMATIVA[[#This Row],[QT_CANA_REAL]]&gt;0,ESTIMATIVA[[#This Row],[QT_CANA_REAL]],ESTIMATIVA[[#This Row],[QT_CANA_EST]]))</f>
        <v>1172.06</v>
      </c>
      <c r="AC79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1172.06</v>
      </c>
      <c r="AD794" s="1">
        <f>IF(ESTIMATIVA[[#This Row],[QT_AREA_REAL]]&gt;0,ESTIMATIVA[[#This Row],[QT_CANA_REAL]],ESTIMATIVA[[#This Row],[QT_CANA_EST]])</f>
        <v>1172.06</v>
      </c>
      <c r="AE794" s="1">
        <f>IF(ESTIMATIVA[[#This Row],[QT_AREA_REAL]]&gt;0,ESTIMATIVA[[#This Row],[QT_CANA_REAL]],ESTIMATIVA[[#This Row],[QT_CANA_REST1]])</f>
        <v>1172.06</v>
      </c>
      <c r="AF794" s="1">
        <f>IF(ESTIMATIVA[[#This Row],[QT_AREA_REAL]]&gt;0,ESTIMATIVA[[#This Row],[QT_CANA_REAL]],ESTIMATIVA[[#This Row],[QT_CANA_REST2]])</f>
        <v>1172.06</v>
      </c>
      <c r="AG794" s="1" t="str">
        <f>IF(COUNTIFS(GEADA!A:A,VALUE(ESTIMATIVA[[#This Row],[CD_UPNIVEL1]]&amp;TEXT(ESTIMATIVA[[#This Row],[CD_UPNIVEL3]],"0000")))&gt;0,"S","N")</f>
        <v>N</v>
      </c>
      <c r="AH79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94" s="55" t="str">
        <f>IF(ESTIMATIVA[[#This Row],[TP_CULTIVO]]="Irrigado",_xlfn.MAXIFS(IRRIGADO!J:J,IRRIGADO!C:C,ESTIMATIVA[[#This Row],[CD_UPNIVEL1]],IRRIGADO!E:E,ESTIMATIVA[[#This Row],[CD_UPNIVEL3]]),"")</f>
        <v/>
      </c>
      <c r="AJ79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94" s="1">
        <f>COUNTIFS(Apresentação!$E$23:$E$29,ESTIMATIVA[[#This Row],[CD_UPNIVEL1]])</f>
        <v>0</v>
      </c>
    </row>
    <row r="795" spans="1:37" x14ac:dyDescent="0.3">
      <c r="A795">
        <v>20432</v>
      </c>
      <c r="B795" t="s">
        <v>22</v>
      </c>
      <c r="C795">
        <v>95</v>
      </c>
      <c r="D795">
        <v>6</v>
      </c>
      <c r="E795" t="s">
        <v>261</v>
      </c>
      <c r="F795" s="85" t="s">
        <v>332</v>
      </c>
      <c r="G795"/>
      <c r="H795" t="s">
        <v>295</v>
      </c>
      <c r="I795" t="s">
        <v>197</v>
      </c>
      <c r="J795" t="s">
        <v>175</v>
      </c>
      <c r="K795" s="1">
        <v>28.98</v>
      </c>
      <c r="L795" s="1">
        <v>0</v>
      </c>
      <c r="M795" s="1">
        <v>0</v>
      </c>
      <c r="N795" s="1">
        <v>28.98</v>
      </c>
      <c r="O795" s="1">
        <v>1738.8</v>
      </c>
      <c r="P795" s="1">
        <v>0</v>
      </c>
      <c r="Q795" s="1">
        <v>0</v>
      </c>
      <c r="R795" s="1">
        <v>1855.95</v>
      </c>
      <c r="S795" t="s">
        <v>12</v>
      </c>
      <c r="T795" s="13">
        <v>45872</v>
      </c>
      <c r="U795" s="1" t="str">
        <f>IF(ESTIMATIVA[[#This Row],[QT_AREA_REAL]]&gt;0,"1- Colhido","2- à Colher")</f>
        <v>1- Colhido</v>
      </c>
      <c r="V795" s="1" t="str">
        <f>IF(ESTIMATIVA[[#This Row],[QT_AREA_REST1]]&gt;0,"Reestimativa 1",IF(ESTIMATIVA[[#This Row],[QT_AREA_REAL]]=0,"Reestimativa 1","Realizado"))</f>
        <v>Realizado</v>
      </c>
      <c r="W795" s="1" t="str">
        <f>IF(ESTIMATIVA[[#This Row],[QT_AREA_REST2]]&gt;0,"Reestimativa 2",IF(ESTIMATIVA[[#This Row],[QT_AREA_REAL]]=0,"Reestimativa 2","Realizado"))</f>
        <v>Realizado</v>
      </c>
      <c r="X795" s="1">
        <f>ESTIMATIVA[[#This Row],[QT_AREA_EST]]</f>
        <v>28.98</v>
      </c>
      <c r="Y795" s="1">
        <f>IF(ESTIMATIVA[[#This Row],[QT_AREA_REST1]]&gt;0,ESTIMATIVA[[#This Row],[QT_AREA_REST1]],
  IF(ESTIMATIVA[[#This Row],[QT_AREA_REAL]]&gt;0,ESTIMATIVA[[#This Row],[QT_AREA_REAL]],ESTIMATIVA[[#This Row],[QT_AREA_EST]]))</f>
        <v>28.98</v>
      </c>
      <c r="Z79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28.98</v>
      </c>
      <c r="AA795" s="1">
        <f>ESTIMATIVA[[#This Row],[QT_CANA_EST]]</f>
        <v>1738.8</v>
      </c>
      <c r="AB795" s="1">
        <f>IF(ESTIMATIVA[[#This Row],[QT_CANA_REST1]]&gt;0,ESTIMATIVA[[#This Row],[QT_CANA_REST1]],
  IF(ESTIMATIVA[[#This Row],[QT_CANA_REAL]]&gt;0,ESTIMATIVA[[#This Row],[QT_CANA_REAL]],ESTIMATIVA[[#This Row],[QT_CANA_EST]]))</f>
        <v>1855.95</v>
      </c>
      <c r="AC79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1855.95</v>
      </c>
      <c r="AD795" s="1">
        <f>IF(ESTIMATIVA[[#This Row],[QT_AREA_REAL]]&gt;0,ESTIMATIVA[[#This Row],[QT_CANA_REAL]],ESTIMATIVA[[#This Row],[QT_CANA_EST]])</f>
        <v>1855.95</v>
      </c>
      <c r="AE795" s="1">
        <f>IF(ESTIMATIVA[[#This Row],[QT_AREA_REAL]]&gt;0,ESTIMATIVA[[#This Row],[QT_CANA_REAL]],ESTIMATIVA[[#This Row],[QT_CANA_REST1]])</f>
        <v>1855.95</v>
      </c>
      <c r="AF795" s="1">
        <f>IF(ESTIMATIVA[[#This Row],[QT_AREA_REAL]]&gt;0,ESTIMATIVA[[#This Row],[QT_CANA_REAL]],ESTIMATIVA[[#This Row],[QT_CANA_REST2]])</f>
        <v>1855.95</v>
      </c>
      <c r="AG795" s="1" t="str">
        <f>IF(COUNTIFS(GEADA!A:A,VALUE(ESTIMATIVA[[#This Row],[CD_UPNIVEL1]]&amp;TEXT(ESTIMATIVA[[#This Row],[CD_UPNIVEL3]],"0000")))&gt;0,"S","N")</f>
        <v>N</v>
      </c>
      <c r="AH79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95" s="55" t="str">
        <f>IF(ESTIMATIVA[[#This Row],[TP_CULTIVO]]="Irrigado",_xlfn.MAXIFS(IRRIGADO!J:J,IRRIGADO!C:C,ESTIMATIVA[[#This Row],[CD_UPNIVEL1]],IRRIGADO!E:E,ESTIMATIVA[[#This Row],[CD_UPNIVEL3]]),"")</f>
        <v/>
      </c>
      <c r="AJ79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95" s="1">
        <f>COUNTIFS(Apresentação!$E$23:$E$29,ESTIMATIVA[[#This Row],[CD_UPNIVEL1]])</f>
        <v>0</v>
      </c>
    </row>
    <row r="796" spans="1:37" x14ac:dyDescent="0.3">
      <c r="A796">
        <v>20432</v>
      </c>
      <c r="B796" t="s">
        <v>22</v>
      </c>
      <c r="C796">
        <v>96</v>
      </c>
      <c r="D796">
        <v>6</v>
      </c>
      <c r="E796" t="s">
        <v>261</v>
      </c>
      <c r="F796" s="85" t="s">
        <v>331</v>
      </c>
      <c r="G796"/>
      <c r="H796" t="s">
        <v>295</v>
      </c>
      <c r="I796" t="s">
        <v>197</v>
      </c>
      <c r="J796" t="s">
        <v>175</v>
      </c>
      <c r="K796" s="1">
        <v>35.020000000000003</v>
      </c>
      <c r="L796" s="1">
        <v>0</v>
      </c>
      <c r="M796" s="1">
        <v>0</v>
      </c>
      <c r="N796" s="1">
        <v>35.020000000000003</v>
      </c>
      <c r="O796" s="1">
        <v>2101.1999999999998</v>
      </c>
      <c r="P796" s="1">
        <v>0</v>
      </c>
      <c r="Q796" s="1">
        <v>0</v>
      </c>
      <c r="R796" s="1">
        <v>2242.7399999999998</v>
      </c>
      <c r="S796" t="s">
        <v>12</v>
      </c>
      <c r="T796" s="13">
        <v>45872</v>
      </c>
      <c r="U796" s="1" t="str">
        <f>IF(ESTIMATIVA[[#This Row],[QT_AREA_REAL]]&gt;0,"1- Colhido","2- à Colher")</f>
        <v>1- Colhido</v>
      </c>
      <c r="V796" s="1" t="str">
        <f>IF(ESTIMATIVA[[#This Row],[QT_AREA_REST1]]&gt;0,"Reestimativa 1",IF(ESTIMATIVA[[#This Row],[QT_AREA_REAL]]=0,"Reestimativa 1","Realizado"))</f>
        <v>Realizado</v>
      </c>
      <c r="W796" s="1" t="str">
        <f>IF(ESTIMATIVA[[#This Row],[QT_AREA_REST2]]&gt;0,"Reestimativa 2",IF(ESTIMATIVA[[#This Row],[QT_AREA_REAL]]=0,"Reestimativa 2","Realizado"))</f>
        <v>Realizado</v>
      </c>
      <c r="X796" s="1">
        <f>ESTIMATIVA[[#This Row],[QT_AREA_EST]]</f>
        <v>35.020000000000003</v>
      </c>
      <c r="Y796" s="1">
        <f>IF(ESTIMATIVA[[#This Row],[QT_AREA_REST1]]&gt;0,ESTIMATIVA[[#This Row],[QT_AREA_REST1]],
  IF(ESTIMATIVA[[#This Row],[QT_AREA_REAL]]&gt;0,ESTIMATIVA[[#This Row],[QT_AREA_REAL]],ESTIMATIVA[[#This Row],[QT_AREA_EST]]))</f>
        <v>35.020000000000003</v>
      </c>
      <c r="Z79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35.020000000000003</v>
      </c>
      <c r="AA796" s="1">
        <f>ESTIMATIVA[[#This Row],[QT_CANA_EST]]</f>
        <v>2101.1999999999998</v>
      </c>
      <c r="AB796" s="1">
        <f>IF(ESTIMATIVA[[#This Row],[QT_CANA_REST1]]&gt;0,ESTIMATIVA[[#This Row],[QT_CANA_REST1]],
  IF(ESTIMATIVA[[#This Row],[QT_CANA_REAL]]&gt;0,ESTIMATIVA[[#This Row],[QT_CANA_REAL]],ESTIMATIVA[[#This Row],[QT_CANA_EST]]))</f>
        <v>2242.7399999999998</v>
      </c>
      <c r="AC79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2242.7399999999998</v>
      </c>
      <c r="AD796" s="1">
        <f>IF(ESTIMATIVA[[#This Row],[QT_AREA_REAL]]&gt;0,ESTIMATIVA[[#This Row],[QT_CANA_REAL]],ESTIMATIVA[[#This Row],[QT_CANA_EST]])</f>
        <v>2242.7399999999998</v>
      </c>
      <c r="AE796" s="1">
        <f>IF(ESTIMATIVA[[#This Row],[QT_AREA_REAL]]&gt;0,ESTIMATIVA[[#This Row],[QT_CANA_REAL]],ESTIMATIVA[[#This Row],[QT_CANA_REST1]])</f>
        <v>2242.7399999999998</v>
      </c>
      <c r="AF796" s="1">
        <f>IF(ESTIMATIVA[[#This Row],[QT_AREA_REAL]]&gt;0,ESTIMATIVA[[#This Row],[QT_CANA_REAL]],ESTIMATIVA[[#This Row],[QT_CANA_REST2]])</f>
        <v>2242.7399999999998</v>
      </c>
      <c r="AG796" s="1" t="str">
        <f>IF(COUNTIFS(GEADA!A:A,VALUE(ESTIMATIVA[[#This Row],[CD_UPNIVEL1]]&amp;TEXT(ESTIMATIVA[[#This Row],[CD_UPNIVEL3]],"0000")))&gt;0,"S","N")</f>
        <v>N</v>
      </c>
      <c r="AH79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96" s="55" t="str">
        <f>IF(ESTIMATIVA[[#This Row],[TP_CULTIVO]]="Irrigado",_xlfn.MAXIFS(IRRIGADO!J:J,IRRIGADO!C:C,ESTIMATIVA[[#This Row],[CD_UPNIVEL1]],IRRIGADO!E:E,ESTIMATIVA[[#This Row],[CD_UPNIVEL3]]),"")</f>
        <v/>
      </c>
      <c r="AJ79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96" s="1">
        <f>COUNTIFS(Apresentação!$E$23:$E$29,ESTIMATIVA[[#This Row],[CD_UPNIVEL1]])</f>
        <v>0</v>
      </c>
    </row>
    <row r="797" spans="1:37" x14ac:dyDescent="0.3">
      <c r="A797">
        <v>20432</v>
      </c>
      <c r="B797" t="s">
        <v>22</v>
      </c>
      <c r="C797">
        <v>97</v>
      </c>
      <c r="D797">
        <v>6</v>
      </c>
      <c r="E797" t="s">
        <v>261</v>
      </c>
      <c r="F797" s="85" t="s">
        <v>332</v>
      </c>
      <c r="G797"/>
      <c r="H797" t="s">
        <v>295</v>
      </c>
      <c r="I797" t="s">
        <v>202</v>
      </c>
      <c r="J797" t="s">
        <v>175</v>
      </c>
      <c r="K797" s="1">
        <v>14.29</v>
      </c>
      <c r="L797" s="1">
        <v>14.29</v>
      </c>
      <c r="M797" s="1">
        <v>14.29</v>
      </c>
      <c r="N797" s="1">
        <v>14.29</v>
      </c>
      <c r="O797" s="1">
        <v>771.66</v>
      </c>
      <c r="P797" s="1">
        <v>800.24</v>
      </c>
      <c r="Q797" s="1">
        <v>800.24</v>
      </c>
      <c r="R797" s="1">
        <v>595.32000000000005</v>
      </c>
      <c r="S797" t="s">
        <v>12</v>
      </c>
      <c r="T797" s="13">
        <v>45942</v>
      </c>
      <c r="U797" s="1" t="str">
        <f>IF(ESTIMATIVA[[#This Row],[QT_AREA_REAL]]&gt;0,"1- Colhido","2- à Colher")</f>
        <v>1- Colhido</v>
      </c>
      <c r="V797" s="1" t="str">
        <f>IF(ESTIMATIVA[[#This Row],[QT_AREA_REST1]]&gt;0,"Reestimativa 1",IF(ESTIMATIVA[[#This Row],[QT_AREA_REAL]]=0,"Reestimativa 1","Realizado"))</f>
        <v>Reestimativa 1</v>
      </c>
      <c r="W797" s="1" t="str">
        <f>IF(ESTIMATIVA[[#This Row],[QT_AREA_REST2]]&gt;0,"Reestimativa 2",IF(ESTIMATIVA[[#This Row],[QT_AREA_REAL]]=0,"Reestimativa 2","Realizado"))</f>
        <v>Reestimativa 2</v>
      </c>
      <c r="X797" s="1">
        <f>ESTIMATIVA[[#This Row],[QT_AREA_EST]]</f>
        <v>14.29</v>
      </c>
      <c r="Y797" s="1">
        <f>IF(ESTIMATIVA[[#This Row],[QT_AREA_REST1]]&gt;0,ESTIMATIVA[[#This Row],[QT_AREA_REST1]],
  IF(ESTIMATIVA[[#This Row],[QT_AREA_REAL]]&gt;0,ESTIMATIVA[[#This Row],[QT_AREA_REAL]],ESTIMATIVA[[#This Row],[QT_AREA_EST]]))</f>
        <v>14.29</v>
      </c>
      <c r="Z79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14.29</v>
      </c>
      <c r="AA797" s="1">
        <f>ESTIMATIVA[[#This Row],[QT_CANA_EST]]</f>
        <v>771.66</v>
      </c>
      <c r="AB797" s="1">
        <f>IF(ESTIMATIVA[[#This Row],[QT_CANA_REST1]]&gt;0,ESTIMATIVA[[#This Row],[QT_CANA_REST1]],
  IF(ESTIMATIVA[[#This Row],[QT_CANA_REAL]]&gt;0,ESTIMATIVA[[#This Row],[QT_CANA_REAL]],ESTIMATIVA[[#This Row],[QT_CANA_EST]]))</f>
        <v>800.24</v>
      </c>
      <c r="AC79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800.24</v>
      </c>
      <c r="AD797" s="1">
        <f>IF(ESTIMATIVA[[#This Row],[QT_AREA_REAL]]&gt;0,ESTIMATIVA[[#This Row],[QT_CANA_REAL]],ESTIMATIVA[[#This Row],[QT_CANA_EST]])</f>
        <v>595.32000000000005</v>
      </c>
      <c r="AE797" s="1">
        <f>IF(ESTIMATIVA[[#This Row],[QT_AREA_REAL]]&gt;0,ESTIMATIVA[[#This Row],[QT_CANA_REAL]],ESTIMATIVA[[#This Row],[QT_CANA_REST1]])</f>
        <v>595.32000000000005</v>
      </c>
      <c r="AF797" s="1">
        <f>IF(ESTIMATIVA[[#This Row],[QT_AREA_REAL]]&gt;0,ESTIMATIVA[[#This Row],[QT_CANA_REAL]],ESTIMATIVA[[#This Row],[QT_CANA_REST2]])</f>
        <v>595.32000000000005</v>
      </c>
      <c r="AG797" s="1" t="str">
        <f>IF(COUNTIFS(GEADA!A:A,VALUE(ESTIMATIVA[[#This Row],[CD_UPNIVEL1]]&amp;TEXT(ESTIMATIVA[[#This Row],[CD_UPNIVEL3]],"0000")))&gt;0,"S","N")</f>
        <v>N</v>
      </c>
      <c r="AH79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97" s="55" t="str">
        <f>IF(ESTIMATIVA[[#This Row],[TP_CULTIVO]]="Irrigado",_xlfn.MAXIFS(IRRIGADO!J:J,IRRIGADO!C:C,ESTIMATIVA[[#This Row],[CD_UPNIVEL1]],IRRIGADO!E:E,ESTIMATIVA[[#This Row],[CD_UPNIVEL3]]),"")</f>
        <v/>
      </c>
      <c r="AJ79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97" s="1">
        <f>COUNTIFS(Apresentação!$E$23:$E$29,ESTIMATIVA[[#This Row],[CD_UPNIVEL1]])</f>
        <v>0</v>
      </c>
    </row>
    <row r="798" spans="1:37" x14ac:dyDescent="0.3">
      <c r="A798">
        <v>20432</v>
      </c>
      <c r="B798" t="s">
        <v>22</v>
      </c>
      <c r="C798">
        <v>98</v>
      </c>
      <c r="D798">
        <v>6</v>
      </c>
      <c r="E798" t="s">
        <v>261</v>
      </c>
      <c r="F798" s="85" t="s">
        <v>332</v>
      </c>
      <c r="G798"/>
      <c r="H798" t="s">
        <v>295</v>
      </c>
      <c r="I798" t="s">
        <v>202</v>
      </c>
      <c r="J798" t="s">
        <v>175</v>
      </c>
      <c r="K798" s="1">
        <v>12.88</v>
      </c>
      <c r="L798" s="1">
        <v>12.88</v>
      </c>
      <c r="M798" s="1">
        <v>12.88</v>
      </c>
      <c r="N798" s="1">
        <v>12.88</v>
      </c>
      <c r="O798" s="1">
        <v>695.52</v>
      </c>
      <c r="P798" s="1">
        <v>721.28</v>
      </c>
      <c r="Q798" s="1">
        <v>721.28</v>
      </c>
      <c r="R798" s="1">
        <v>536.54</v>
      </c>
      <c r="S798" t="s">
        <v>12</v>
      </c>
      <c r="T798" s="13">
        <v>45942</v>
      </c>
      <c r="U798" s="1" t="str">
        <f>IF(ESTIMATIVA[[#This Row],[QT_AREA_REAL]]&gt;0,"1- Colhido","2- à Colher")</f>
        <v>1- Colhido</v>
      </c>
      <c r="V798" s="1" t="str">
        <f>IF(ESTIMATIVA[[#This Row],[QT_AREA_REST1]]&gt;0,"Reestimativa 1",IF(ESTIMATIVA[[#This Row],[QT_AREA_REAL]]=0,"Reestimativa 1","Realizado"))</f>
        <v>Reestimativa 1</v>
      </c>
      <c r="W798" s="1" t="str">
        <f>IF(ESTIMATIVA[[#This Row],[QT_AREA_REST2]]&gt;0,"Reestimativa 2",IF(ESTIMATIVA[[#This Row],[QT_AREA_REAL]]=0,"Reestimativa 2","Realizado"))</f>
        <v>Reestimativa 2</v>
      </c>
      <c r="X798" s="1">
        <f>ESTIMATIVA[[#This Row],[QT_AREA_EST]]</f>
        <v>12.88</v>
      </c>
      <c r="Y798" s="1">
        <f>IF(ESTIMATIVA[[#This Row],[QT_AREA_REST1]]&gt;0,ESTIMATIVA[[#This Row],[QT_AREA_REST1]],
  IF(ESTIMATIVA[[#This Row],[QT_AREA_REAL]]&gt;0,ESTIMATIVA[[#This Row],[QT_AREA_REAL]],ESTIMATIVA[[#This Row],[QT_AREA_EST]]))</f>
        <v>12.88</v>
      </c>
      <c r="Z79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12.88</v>
      </c>
      <c r="AA798" s="1">
        <f>ESTIMATIVA[[#This Row],[QT_CANA_EST]]</f>
        <v>695.52</v>
      </c>
      <c r="AB798" s="1">
        <f>IF(ESTIMATIVA[[#This Row],[QT_CANA_REST1]]&gt;0,ESTIMATIVA[[#This Row],[QT_CANA_REST1]],
  IF(ESTIMATIVA[[#This Row],[QT_CANA_REAL]]&gt;0,ESTIMATIVA[[#This Row],[QT_CANA_REAL]],ESTIMATIVA[[#This Row],[QT_CANA_EST]]))</f>
        <v>721.28</v>
      </c>
      <c r="AC79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721.28</v>
      </c>
      <c r="AD798" s="1">
        <f>IF(ESTIMATIVA[[#This Row],[QT_AREA_REAL]]&gt;0,ESTIMATIVA[[#This Row],[QT_CANA_REAL]],ESTIMATIVA[[#This Row],[QT_CANA_EST]])</f>
        <v>536.54</v>
      </c>
      <c r="AE798" s="1">
        <f>IF(ESTIMATIVA[[#This Row],[QT_AREA_REAL]]&gt;0,ESTIMATIVA[[#This Row],[QT_CANA_REAL]],ESTIMATIVA[[#This Row],[QT_CANA_REST1]])</f>
        <v>536.54</v>
      </c>
      <c r="AF798" s="1">
        <f>IF(ESTIMATIVA[[#This Row],[QT_AREA_REAL]]&gt;0,ESTIMATIVA[[#This Row],[QT_CANA_REAL]],ESTIMATIVA[[#This Row],[QT_CANA_REST2]])</f>
        <v>536.54</v>
      </c>
      <c r="AG798" s="1" t="str">
        <f>IF(COUNTIFS(GEADA!A:A,VALUE(ESTIMATIVA[[#This Row],[CD_UPNIVEL1]]&amp;TEXT(ESTIMATIVA[[#This Row],[CD_UPNIVEL3]],"0000")))&gt;0,"S","N")</f>
        <v>N</v>
      </c>
      <c r="AH79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98" s="55" t="str">
        <f>IF(ESTIMATIVA[[#This Row],[TP_CULTIVO]]="Irrigado",_xlfn.MAXIFS(IRRIGADO!J:J,IRRIGADO!C:C,ESTIMATIVA[[#This Row],[CD_UPNIVEL1]],IRRIGADO!E:E,ESTIMATIVA[[#This Row],[CD_UPNIVEL3]]),"")</f>
        <v/>
      </c>
      <c r="AJ79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98" s="1">
        <f>COUNTIFS(Apresentação!$E$23:$E$29,ESTIMATIVA[[#This Row],[CD_UPNIVEL1]])</f>
        <v>0</v>
      </c>
    </row>
    <row r="799" spans="1:37" x14ac:dyDescent="0.3">
      <c r="A799">
        <v>20432</v>
      </c>
      <c r="B799" t="s">
        <v>22</v>
      </c>
      <c r="C799">
        <v>99</v>
      </c>
      <c r="D799">
        <v>6</v>
      </c>
      <c r="E799" t="s">
        <v>261</v>
      </c>
      <c r="F799" s="85" t="s">
        <v>332</v>
      </c>
      <c r="G799"/>
      <c r="H799" t="s">
        <v>295</v>
      </c>
      <c r="I799" t="s">
        <v>202</v>
      </c>
      <c r="J799" t="s">
        <v>175</v>
      </c>
      <c r="K799" s="1">
        <v>24.09</v>
      </c>
      <c r="L799" s="1">
        <v>24.09</v>
      </c>
      <c r="M799" s="1">
        <v>24.09</v>
      </c>
      <c r="N799" s="1">
        <v>24.09</v>
      </c>
      <c r="O799" s="1">
        <v>1300.8599999999999</v>
      </c>
      <c r="P799" s="1">
        <v>1349.04</v>
      </c>
      <c r="Q799" s="1">
        <v>1349.04</v>
      </c>
      <c r="R799" s="1">
        <v>1003.98</v>
      </c>
      <c r="S799" t="s">
        <v>12</v>
      </c>
      <c r="T799" s="13">
        <v>45942</v>
      </c>
      <c r="U799" s="1" t="str">
        <f>IF(ESTIMATIVA[[#This Row],[QT_AREA_REAL]]&gt;0,"1- Colhido","2- à Colher")</f>
        <v>1- Colhido</v>
      </c>
      <c r="V799" s="1" t="str">
        <f>IF(ESTIMATIVA[[#This Row],[QT_AREA_REST1]]&gt;0,"Reestimativa 1",IF(ESTIMATIVA[[#This Row],[QT_AREA_REAL]]=0,"Reestimativa 1","Realizado"))</f>
        <v>Reestimativa 1</v>
      </c>
      <c r="W799" s="1" t="str">
        <f>IF(ESTIMATIVA[[#This Row],[QT_AREA_REST2]]&gt;0,"Reestimativa 2",IF(ESTIMATIVA[[#This Row],[QT_AREA_REAL]]=0,"Reestimativa 2","Realizado"))</f>
        <v>Reestimativa 2</v>
      </c>
      <c r="X799" s="1">
        <f>ESTIMATIVA[[#This Row],[QT_AREA_EST]]</f>
        <v>24.09</v>
      </c>
      <c r="Y799" s="1">
        <f>IF(ESTIMATIVA[[#This Row],[QT_AREA_REST1]]&gt;0,ESTIMATIVA[[#This Row],[QT_AREA_REST1]],
  IF(ESTIMATIVA[[#This Row],[QT_AREA_REAL]]&gt;0,ESTIMATIVA[[#This Row],[QT_AREA_REAL]],ESTIMATIVA[[#This Row],[QT_AREA_EST]]))</f>
        <v>24.09</v>
      </c>
      <c r="Z79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24.09</v>
      </c>
      <c r="AA799" s="1">
        <f>ESTIMATIVA[[#This Row],[QT_CANA_EST]]</f>
        <v>1300.8599999999999</v>
      </c>
      <c r="AB799" s="1">
        <f>IF(ESTIMATIVA[[#This Row],[QT_CANA_REST1]]&gt;0,ESTIMATIVA[[#This Row],[QT_CANA_REST1]],
  IF(ESTIMATIVA[[#This Row],[QT_CANA_REAL]]&gt;0,ESTIMATIVA[[#This Row],[QT_CANA_REAL]],ESTIMATIVA[[#This Row],[QT_CANA_EST]]))</f>
        <v>1349.04</v>
      </c>
      <c r="AC79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1349.04</v>
      </c>
      <c r="AD799" s="1">
        <f>IF(ESTIMATIVA[[#This Row],[QT_AREA_REAL]]&gt;0,ESTIMATIVA[[#This Row],[QT_CANA_REAL]],ESTIMATIVA[[#This Row],[QT_CANA_EST]])</f>
        <v>1003.98</v>
      </c>
      <c r="AE799" s="1">
        <f>IF(ESTIMATIVA[[#This Row],[QT_AREA_REAL]]&gt;0,ESTIMATIVA[[#This Row],[QT_CANA_REAL]],ESTIMATIVA[[#This Row],[QT_CANA_REST1]])</f>
        <v>1003.98</v>
      </c>
      <c r="AF799" s="1">
        <f>IF(ESTIMATIVA[[#This Row],[QT_AREA_REAL]]&gt;0,ESTIMATIVA[[#This Row],[QT_CANA_REAL]],ESTIMATIVA[[#This Row],[QT_CANA_REST2]])</f>
        <v>1003.98</v>
      </c>
      <c r="AG799" s="1" t="str">
        <f>IF(COUNTIFS(GEADA!A:A,VALUE(ESTIMATIVA[[#This Row],[CD_UPNIVEL1]]&amp;TEXT(ESTIMATIVA[[#This Row],[CD_UPNIVEL3]],"0000")))&gt;0,"S","N")</f>
        <v>N</v>
      </c>
      <c r="AH79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799" s="55" t="str">
        <f>IF(ESTIMATIVA[[#This Row],[TP_CULTIVO]]="Irrigado",_xlfn.MAXIFS(IRRIGADO!J:J,IRRIGADO!C:C,ESTIMATIVA[[#This Row],[CD_UPNIVEL1]],IRRIGADO!E:E,ESTIMATIVA[[#This Row],[CD_UPNIVEL3]]),"")</f>
        <v/>
      </c>
      <c r="AJ79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799" s="1">
        <f>COUNTIFS(Apresentação!$E$23:$E$29,ESTIMATIVA[[#This Row],[CD_UPNIVEL1]])</f>
        <v>0</v>
      </c>
    </row>
    <row r="800" spans="1:37" x14ac:dyDescent="0.3">
      <c r="A800">
        <v>20432</v>
      </c>
      <c r="B800" t="s">
        <v>22</v>
      </c>
      <c r="C800">
        <v>100</v>
      </c>
      <c r="D800">
        <v>6</v>
      </c>
      <c r="E800" t="s">
        <v>261</v>
      </c>
      <c r="F800" s="85" t="s">
        <v>332</v>
      </c>
      <c r="G800"/>
      <c r="H800" t="s">
        <v>295</v>
      </c>
      <c r="I800" t="s">
        <v>202</v>
      </c>
      <c r="J800" t="s">
        <v>175</v>
      </c>
      <c r="K800" s="1">
        <v>13.4</v>
      </c>
      <c r="L800" s="1">
        <v>13.4</v>
      </c>
      <c r="M800" s="1">
        <v>0</v>
      </c>
      <c r="N800" s="1">
        <v>13.4</v>
      </c>
      <c r="O800" s="1">
        <v>723.6</v>
      </c>
      <c r="P800" s="1">
        <v>750.4</v>
      </c>
      <c r="Q800" s="1">
        <v>0</v>
      </c>
      <c r="R800" s="1">
        <v>841.32</v>
      </c>
      <c r="S800" t="s">
        <v>12</v>
      </c>
      <c r="T800" s="13">
        <v>45872</v>
      </c>
      <c r="U800" s="1" t="str">
        <f>IF(ESTIMATIVA[[#This Row],[QT_AREA_REAL]]&gt;0,"1- Colhido","2- à Colher")</f>
        <v>1- Colhido</v>
      </c>
      <c r="V800" s="1" t="str">
        <f>IF(ESTIMATIVA[[#This Row],[QT_AREA_REST1]]&gt;0,"Reestimativa 1",IF(ESTIMATIVA[[#This Row],[QT_AREA_REAL]]=0,"Reestimativa 1","Realizado"))</f>
        <v>Reestimativa 1</v>
      </c>
      <c r="W800" s="1" t="str">
        <f>IF(ESTIMATIVA[[#This Row],[QT_AREA_REST2]]&gt;0,"Reestimativa 2",IF(ESTIMATIVA[[#This Row],[QT_AREA_REAL]]=0,"Reestimativa 2","Realizado"))</f>
        <v>Realizado</v>
      </c>
      <c r="X800" s="1">
        <f>ESTIMATIVA[[#This Row],[QT_AREA_EST]]</f>
        <v>13.4</v>
      </c>
      <c r="Y800" s="1">
        <f>IF(ESTIMATIVA[[#This Row],[QT_AREA_REST1]]&gt;0,ESTIMATIVA[[#This Row],[QT_AREA_REST1]],
  IF(ESTIMATIVA[[#This Row],[QT_AREA_REAL]]&gt;0,ESTIMATIVA[[#This Row],[QT_AREA_REAL]],ESTIMATIVA[[#This Row],[QT_AREA_EST]]))</f>
        <v>13.4</v>
      </c>
      <c r="Z80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13.4</v>
      </c>
      <c r="AA800" s="1">
        <f>ESTIMATIVA[[#This Row],[QT_CANA_EST]]</f>
        <v>723.6</v>
      </c>
      <c r="AB800" s="1">
        <f>IF(ESTIMATIVA[[#This Row],[QT_CANA_REST1]]&gt;0,ESTIMATIVA[[#This Row],[QT_CANA_REST1]],
  IF(ESTIMATIVA[[#This Row],[QT_CANA_REAL]]&gt;0,ESTIMATIVA[[#This Row],[QT_CANA_REAL]],ESTIMATIVA[[#This Row],[QT_CANA_EST]]))</f>
        <v>750.4</v>
      </c>
      <c r="AC80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841.32</v>
      </c>
      <c r="AD800" s="1">
        <f>IF(ESTIMATIVA[[#This Row],[QT_AREA_REAL]]&gt;0,ESTIMATIVA[[#This Row],[QT_CANA_REAL]],ESTIMATIVA[[#This Row],[QT_CANA_EST]])</f>
        <v>841.32</v>
      </c>
      <c r="AE800" s="1">
        <f>IF(ESTIMATIVA[[#This Row],[QT_AREA_REAL]]&gt;0,ESTIMATIVA[[#This Row],[QT_CANA_REAL]],ESTIMATIVA[[#This Row],[QT_CANA_REST1]])</f>
        <v>841.32</v>
      </c>
      <c r="AF800" s="1">
        <f>IF(ESTIMATIVA[[#This Row],[QT_AREA_REAL]]&gt;0,ESTIMATIVA[[#This Row],[QT_CANA_REAL]],ESTIMATIVA[[#This Row],[QT_CANA_REST2]])</f>
        <v>841.32</v>
      </c>
      <c r="AG800" s="1" t="str">
        <f>IF(COUNTIFS(GEADA!A:A,VALUE(ESTIMATIVA[[#This Row],[CD_UPNIVEL1]]&amp;TEXT(ESTIMATIVA[[#This Row],[CD_UPNIVEL3]],"0000")))&gt;0,"S","N")</f>
        <v>N</v>
      </c>
      <c r="AH80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00" s="55" t="str">
        <f>IF(ESTIMATIVA[[#This Row],[TP_CULTIVO]]="Irrigado",_xlfn.MAXIFS(IRRIGADO!J:J,IRRIGADO!C:C,ESTIMATIVA[[#This Row],[CD_UPNIVEL1]],IRRIGADO!E:E,ESTIMATIVA[[#This Row],[CD_UPNIVEL3]]),"")</f>
        <v/>
      </c>
      <c r="AJ80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00" s="1">
        <f>COUNTIFS(Apresentação!$E$23:$E$29,ESTIMATIVA[[#This Row],[CD_UPNIVEL1]])</f>
        <v>0</v>
      </c>
    </row>
    <row r="801" spans="1:37" x14ac:dyDescent="0.3">
      <c r="A801">
        <v>20432</v>
      </c>
      <c r="B801" t="s">
        <v>22</v>
      </c>
      <c r="C801">
        <v>111</v>
      </c>
      <c r="D801">
        <v>6</v>
      </c>
      <c r="E801" t="s">
        <v>261</v>
      </c>
      <c r="F801" s="85" t="s">
        <v>332</v>
      </c>
      <c r="G801"/>
      <c r="H801" t="s">
        <v>295</v>
      </c>
      <c r="I801" t="s">
        <v>195</v>
      </c>
      <c r="J801" t="s">
        <v>175</v>
      </c>
      <c r="K801" s="1">
        <v>27.69</v>
      </c>
      <c r="L801" s="1">
        <v>27.69</v>
      </c>
      <c r="M801" s="1">
        <v>27.69</v>
      </c>
      <c r="N801" s="1">
        <v>27.69</v>
      </c>
      <c r="O801" s="1">
        <v>1495.26</v>
      </c>
      <c r="P801" s="1">
        <v>1550.64</v>
      </c>
      <c r="Q801" s="1">
        <v>1550.64</v>
      </c>
      <c r="R801" s="1">
        <v>1117.77</v>
      </c>
      <c r="S801" t="s">
        <v>12</v>
      </c>
      <c r="T801" s="13">
        <v>45942</v>
      </c>
      <c r="U801" s="1" t="str">
        <f>IF(ESTIMATIVA[[#This Row],[QT_AREA_REAL]]&gt;0,"1- Colhido","2- à Colher")</f>
        <v>1- Colhido</v>
      </c>
      <c r="V801" s="1" t="str">
        <f>IF(ESTIMATIVA[[#This Row],[QT_AREA_REST1]]&gt;0,"Reestimativa 1",IF(ESTIMATIVA[[#This Row],[QT_AREA_REAL]]=0,"Reestimativa 1","Realizado"))</f>
        <v>Reestimativa 1</v>
      </c>
      <c r="W801" s="1" t="str">
        <f>IF(ESTIMATIVA[[#This Row],[QT_AREA_REST2]]&gt;0,"Reestimativa 2",IF(ESTIMATIVA[[#This Row],[QT_AREA_REAL]]=0,"Reestimativa 2","Realizado"))</f>
        <v>Reestimativa 2</v>
      </c>
      <c r="X801" s="1">
        <f>ESTIMATIVA[[#This Row],[QT_AREA_EST]]</f>
        <v>27.69</v>
      </c>
      <c r="Y801" s="1">
        <f>IF(ESTIMATIVA[[#This Row],[QT_AREA_REST1]]&gt;0,ESTIMATIVA[[#This Row],[QT_AREA_REST1]],
  IF(ESTIMATIVA[[#This Row],[QT_AREA_REAL]]&gt;0,ESTIMATIVA[[#This Row],[QT_AREA_REAL]],ESTIMATIVA[[#This Row],[QT_AREA_EST]]))</f>
        <v>27.69</v>
      </c>
      <c r="Z80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27.69</v>
      </c>
      <c r="AA801" s="1">
        <f>ESTIMATIVA[[#This Row],[QT_CANA_EST]]</f>
        <v>1495.26</v>
      </c>
      <c r="AB801" s="1">
        <f>IF(ESTIMATIVA[[#This Row],[QT_CANA_REST1]]&gt;0,ESTIMATIVA[[#This Row],[QT_CANA_REST1]],
  IF(ESTIMATIVA[[#This Row],[QT_CANA_REAL]]&gt;0,ESTIMATIVA[[#This Row],[QT_CANA_REAL]],ESTIMATIVA[[#This Row],[QT_CANA_EST]]))</f>
        <v>1550.64</v>
      </c>
      <c r="AC80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1550.64</v>
      </c>
      <c r="AD801" s="1">
        <f>IF(ESTIMATIVA[[#This Row],[QT_AREA_REAL]]&gt;0,ESTIMATIVA[[#This Row],[QT_CANA_REAL]],ESTIMATIVA[[#This Row],[QT_CANA_EST]])</f>
        <v>1117.77</v>
      </c>
      <c r="AE801" s="1">
        <f>IF(ESTIMATIVA[[#This Row],[QT_AREA_REAL]]&gt;0,ESTIMATIVA[[#This Row],[QT_CANA_REAL]],ESTIMATIVA[[#This Row],[QT_CANA_REST1]])</f>
        <v>1117.77</v>
      </c>
      <c r="AF801" s="1">
        <f>IF(ESTIMATIVA[[#This Row],[QT_AREA_REAL]]&gt;0,ESTIMATIVA[[#This Row],[QT_CANA_REAL]],ESTIMATIVA[[#This Row],[QT_CANA_REST2]])</f>
        <v>1117.77</v>
      </c>
      <c r="AG801" s="1" t="str">
        <f>IF(COUNTIFS(GEADA!A:A,VALUE(ESTIMATIVA[[#This Row],[CD_UPNIVEL1]]&amp;TEXT(ESTIMATIVA[[#This Row],[CD_UPNIVEL3]],"0000")))&gt;0,"S","N")</f>
        <v>N</v>
      </c>
      <c r="AH80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01" s="55" t="str">
        <f>IF(ESTIMATIVA[[#This Row],[TP_CULTIVO]]="Irrigado",_xlfn.MAXIFS(IRRIGADO!J:J,IRRIGADO!C:C,ESTIMATIVA[[#This Row],[CD_UPNIVEL1]],IRRIGADO!E:E,ESTIMATIVA[[#This Row],[CD_UPNIVEL3]]),"")</f>
        <v/>
      </c>
      <c r="AJ80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01" s="1">
        <f>COUNTIFS(Apresentação!$E$23:$E$29,ESTIMATIVA[[#This Row],[CD_UPNIVEL1]])</f>
        <v>0</v>
      </c>
    </row>
    <row r="802" spans="1:37" x14ac:dyDescent="0.3">
      <c r="A802">
        <v>20432</v>
      </c>
      <c r="B802" t="s">
        <v>22</v>
      </c>
      <c r="C802">
        <v>112</v>
      </c>
      <c r="D802">
        <v>6</v>
      </c>
      <c r="E802" t="s">
        <v>261</v>
      </c>
      <c r="F802" s="85" t="s">
        <v>332</v>
      </c>
      <c r="G802"/>
      <c r="H802" t="s">
        <v>295</v>
      </c>
      <c r="I802" t="s">
        <v>195</v>
      </c>
      <c r="J802" t="s">
        <v>175</v>
      </c>
      <c r="K802" s="1">
        <v>33.950000000000003</v>
      </c>
      <c r="L802" s="1">
        <v>33.950000000000003</v>
      </c>
      <c r="M802" s="1">
        <v>33.950000000000003</v>
      </c>
      <c r="N802" s="1">
        <v>33.950000000000003</v>
      </c>
      <c r="O802" s="1">
        <v>1425.9</v>
      </c>
      <c r="P802" s="1">
        <v>1697.5</v>
      </c>
      <c r="Q802" s="1">
        <v>1697.5</v>
      </c>
      <c r="R802" s="1">
        <v>1223.73</v>
      </c>
      <c r="S802" t="s">
        <v>12</v>
      </c>
      <c r="T802" s="13">
        <v>45942</v>
      </c>
      <c r="U802" s="1" t="str">
        <f>IF(ESTIMATIVA[[#This Row],[QT_AREA_REAL]]&gt;0,"1- Colhido","2- à Colher")</f>
        <v>1- Colhido</v>
      </c>
      <c r="V802" s="1" t="str">
        <f>IF(ESTIMATIVA[[#This Row],[QT_AREA_REST1]]&gt;0,"Reestimativa 1",IF(ESTIMATIVA[[#This Row],[QT_AREA_REAL]]=0,"Reestimativa 1","Realizado"))</f>
        <v>Reestimativa 1</v>
      </c>
      <c r="W802" s="1" t="str">
        <f>IF(ESTIMATIVA[[#This Row],[QT_AREA_REST2]]&gt;0,"Reestimativa 2",IF(ESTIMATIVA[[#This Row],[QT_AREA_REAL]]=0,"Reestimativa 2","Realizado"))</f>
        <v>Reestimativa 2</v>
      </c>
      <c r="X802" s="1">
        <f>ESTIMATIVA[[#This Row],[QT_AREA_EST]]</f>
        <v>33.950000000000003</v>
      </c>
      <c r="Y802" s="1">
        <f>IF(ESTIMATIVA[[#This Row],[QT_AREA_REST1]]&gt;0,ESTIMATIVA[[#This Row],[QT_AREA_REST1]],
  IF(ESTIMATIVA[[#This Row],[QT_AREA_REAL]]&gt;0,ESTIMATIVA[[#This Row],[QT_AREA_REAL]],ESTIMATIVA[[#This Row],[QT_AREA_EST]]))</f>
        <v>33.950000000000003</v>
      </c>
      <c r="Z80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33.950000000000003</v>
      </c>
      <c r="AA802" s="1">
        <f>ESTIMATIVA[[#This Row],[QT_CANA_EST]]</f>
        <v>1425.9</v>
      </c>
      <c r="AB802" s="1">
        <f>IF(ESTIMATIVA[[#This Row],[QT_CANA_REST1]]&gt;0,ESTIMATIVA[[#This Row],[QT_CANA_REST1]],
  IF(ESTIMATIVA[[#This Row],[QT_CANA_REAL]]&gt;0,ESTIMATIVA[[#This Row],[QT_CANA_REAL]],ESTIMATIVA[[#This Row],[QT_CANA_EST]]))</f>
        <v>1697.5</v>
      </c>
      <c r="AC80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1697.5</v>
      </c>
      <c r="AD802" s="1">
        <f>IF(ESTIMATIVA[[#This Row],[QT_AREA_REAL]]&gt;0,ESTIMATIVA[[#This Row],[QT_CANA_REAL]],ESTIMATIVA[[#This Row],[QT_CANA_EST]])</f>
        <v>1223.73</v>
      </c>
      <c r="AE802" s="1">
        <f>IF(ESTIMATIVA[[#This Row],[QT_AREA_REAL]]&gt;0,ESTIMATIVA[[#This Row],[QT_CANA_REAL]],ESTIMATIVA[[#This Row],[QT_CANA_REST1]])</f>
        <v>1223.73</v>
      </c>
      <c r="AF802" s="1">
        <f>IF(ESTIMATIVA[[#This Row],[QT_AREA_REAL]]&gt;0,ESTIMATIVA[[#This Row],[QT_CANA_REAL]],ESTIMATIVA[[#This Row],[QT_CANA_REST2]])</f>
        <v>1223.73</v>
      </c>
      <c r="AG802" s="1" t="str">
        <f>IF(COUNTIFS(GEADA!A:A,VALUE(ESTIMATIVA[[#This Row],[CD_UPNIVEL1]]&amp;TEXT(ESTIMATIVA[[#This Row],[CD_UPNIVEL3]],"0000")))&gt;0,"S","N")</f>
        <v>N</v>
      </c>
      <c r="AH80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02" s="55" t="str">
        <f>IF(ESTIMATIVA[[#This Row],[TP_CULTIVO]]="Irrigado",_xlfn.MAXIFS(IRRIGADO!J:J,IRRIGADO!C:C,ESTIMATIVA[[#This Row],[CD_UPNIVEL1]],IRRIGADO!E:E,ESTIMATIVA[[#This Row],[CD_UPNIVEL3]]),"")</f>
        <v/>
      </c>
      <c r="AJ80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02" s="1">
        <f>COUNTIFS(Apresentação!$E$23:$E$29,ESTIMATIVA[[#This Row],[CD_UPNIVEL1]])</f>
        <v>0</v>
      </c>
    </row>
    <row r="803" spans="1:37" x14ac:dyDescent="0.3">
      <c r="A803">
        <v>20432</v>
      </c>
      <c r="B803" t="s">
        <v>22</v>
      </c>
      <c r="C803">
        <v>113</v>
      </c>
      <c r="D803">
        <v>6</v>
      </c>
      <c r="E803" t="s">
        <v>261</v>
      </c>
      <c r="F803" s="85" t="s">
        <v>332</v>
      </c>
      <c r="G803"/>
      <c r="H803" t="s">
        <v>295</v>
      </c>
      <c r="I803" t="s">
        <v>202</v>
      </c>
      <c r="J803" t="s">
        <v>175</v>
      </c>
      <c r="K803" s="1">
        <v>22.36</v>
      </c>
      <c r="L803" s="1">
        <v>22.36</v>
      </c>
      <c r="M803" s="1">
        <v>22.36</v>
      </c>
      <c r="N803" s="1">
        <v>22.36</v>
      </c>
      <c r="O803" s="1">
        <v>939.12</v>
      </c>
      <c r="P803" s="1">
        <v>1118</v>
      </c>
      <c r="Q803" s="1">
        <v>1118</v>
      </c>
      <c r="R803" s="1">
        <v>805.85</v>
      </c>
      <c r="S803" t="s">
        <v>12</v>
      </c>
      <c r="T803" s="13">
        <v>45942</v>
      </c>
      <c r="U803" s="1" t="str">
        <f>IF(ESTIMATIVA[[#This Row],[QT_AREA_REAL]]&gt;0,"1- Colhido","2- à Colher")</f>
        <v>1- Colhido</v>
      </c>
      <c r="V803" s="1" t="str">
        <f>IF(ESTIMATIVA[[#This Row],[QT_AREA_REST1]]&gt;0,"Reestimativa 1",IF(ESTIMATIVA[[#This Row],[QT_AREA_REAL]]=0,"Reestimativa 1","Realizado"))</f>
        <v>Reestimativa 1</v>
      </c>
      <c r="W803" s="1" t="str">
        <f>IF(ESTIMATIVA[[#This Row],[QT_AREA_REST2]]&gt;0,"Reestimativa 2",IF(ESTIMATIVA[[#This Row],[QT_AREA_REAL]]=0,"Reestimativa 2","Realizado"))</f>
        <v>Reestimativa 2</v>
      </c>
      <c r="X803" s="1">
        <f>ESTIMATIVA[[#This Row],[QT_AREA_EST]]</f>
        <v>22.36</v>
      </c>
      <c r="Y803" s="1">
        <f>IF(ESTIMATIVA[[#This Row],[QT_AREA_REST1]]&gt;0,ESTIMATIVA[[#This Row],[QT_AREA_REST1]],
  IF(ESTIMATIVA[[#This Row],[QT_AREA_REAL]]&gt;0,ESTIMATIVA[[#This Row],[QT_AREA_REAL]],ESTIMATIVA[[#This Row],[QT_AREA_EST]]))</f>
        <v>22.36</v>
      </c>
      <c r="Z80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22.36</v>
      </c>
      <c r="AA803" s="1">
        <f>ESTIMATIVA[[#This Row],[QT_CANA_EST]]</f>
        <v>939.12</v>
      </c>
      <c r="AB803" s="1">
        <f>IF(ESTIMATIVA[[#This Row],[QT_CANA_REST1]]&gt;0,ESTIMATIVA[[#This Row],[QT_CANA_REST1]],
  IF(ESTIMATIVA[[#This Row],[QT_CANA_REAL]]&gt;0,ESTIMATIVA[[#This Row],[QT_CANA_REAL]],ESTIMATIVA[[#This Row],[QT_CANA_EST]]))</f>
        <v>1118</v>
      </c>
      <c r="AC80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1118</v>
      </c>
      <c r="AD803" s="1">
        <f>IF(ESTIMATIVA[[#This Row],[QT_AREA_REAL]]&gt;0,ESTIMATIVA[[#This Row],[QT_CANA_REAL]],ESTIMATIVA[[#This Row],[QT_CANA_EST]])</f>
        <v>805.85</v>
      </c>
      <c r="AE803" s="1">
        <f>IF(ESTIMATIVA[[#This Row],[QT_AREA_REAL]]&gt;0,ESTIMATIVA[[#This Row],[QT_CANA_REAL]],ESTIMATIVA[[#This Row],[QT_CANA_REST1]])</f>
        <v>805.85</v>
      </c>
      <c r="AF803" s="1">
        <f>IF(ESTIMATIVA[[#This Row],[QT_AREA_REAL]]&gt;0,ESTIMATIVA[[#This Row],[QT_CANA_REAL]],ESTIMATIVA[[#This Row],[QT_CANA_REST2]])</f>
        <v>805.85</v>
      </c>
      <c r="AG803" s="1" t="str">
        <f>IF(COUNTIFS(GEADA!A:A,VALUE(ESTIMATIVA[[#This Row],[CD_UPNIVEL1]]&amp;TEXT(ESTIMATIVA[[#This Row],[CD_UPNIVEL3]],"0000")))&gt;0,"S","N")</f>
        <v>N</v>
      </c>
      <c r="AH80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03" s="55" t="str">
        <f>IF(ESTIMATIVA[[#This Row],[TP_CULTIVO]]="Irrigado",_xlfn.MAXIFS(IRRIGADO!J:J,IRRIGADO!C:C,ESTIMATIVA[[#This Row],[CD_UPNIVEL1]],IRRIGADO!E:E,ESTIMATIVA[[#This Row],[CD_UPNIVEL3]]),"")</f>
        <v/>
      </c>
      <c r="AJ80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03" s="1">
        <f>COUNTIFS(Apresentação!$E$23:$E$29,ESTIMATIVA[[#This Row],[CD_UPNIVEL1]])</f>
        <v>0</v>
      </c>
    </row>
    <row r="804" spans="1:37" x14ac:dyDescent="0.3">
      <c r="A804">
        <v>20432</v>
      </c>
      <c r="B804" t="s">
        <v>22</v>
      </c>
      <c r="C804">
        <v>114</v>
      </c>
      <c r="D804">
        <v>6</v>
      </c>
      <c r="E804" t="s">
        <v>261</v>
      </c>
      <c r="F804" s="85" t="s">
        <v>332</v>
      </c>
      <c r="G804"/>
      <c r="H804" t="s">
        <v>295</v>
      </c>
      <c r="I804" t="s">
        <v>202</v>
      </c>
      <c r="J804" t="s">
        <v>175</v>
      </c>
      <c r="K804" s="1">
        <v>12.3</v>
      </c>
      <c r="L804" s="1">
        <v>12.3</v>
      </c>
      <c r="M804" s="1">
        <v>12.3</v>
      </c>
      <c r="N804" s="1">
        <v>12.3</v>
      </c>
      <c r="O804" s="1">
        <v>516.6</v>
      </c>
      <c r="P804" s="1">
        <v>615</v>
      </c>
      <c r="Q804" s="1">
        <v>615</v>
      </c>
      <c r="R804" s="1">
        <v>618.70000000000005</v>
      </c>
      <c r="S804" t="s">
        <v>12</v>
      </c>
      <c r="T804" s="13">
        <v>45942</v>
      </c>
      <c r="U804" s="1" t="str">
        <f>IF(ESTIMATIVA[[#This Row],[QT_AREA_REAL]]&gt;0,"1- Colhido","2- à Colher")</f>
        <v>1- Colhido</v>
      </c>
      <c r="V804" s="1" t="str">
        <f>IF(ESTIMATIVA[[#This Row],[QT_AREA_REST1]]&gt;0,"Reestimativa 1",IF(ESTIMATIVA[[#This Row],[QT_AREA_REAL]]=0,"Reestimativa 1","Realizado"))</f>
        <v>Reestimativa 1</v>
      </c>
      <c r="W804" s="1" t="str">
        <f>IF(ESTIMATIVA[[#This Row],[QT_AREA_REST2]]&gt;0,"Reestimativa 2",IF(ESTIMATIVA[[#This Row],[QT_AREA_REAL]]=0,"Reestimativa 2","Realizado"))</f>
        <v>Reestimativa 2</v>
      </c>
      <c r="X804" s="1">
        <f>ESTIMATIVA[[#This Row],[QT_AREA_EST]]</f>
        <v>12.3</v>
      </c>
      <c r="Y804" s="1">
        <f>IF(ESTIMATIVA[[#This Row],[QT_AREA_REST1]]&gt;0,ESTIMATIVA[[#This Row],[QT_AREA_REST1]],
  IF(ESTIMATIVA[[#This Row],[QT_AREA_REAL]]&gt;0,ESTIMATIVA[[#This Row],[QT_AREA_REAL]],ESTIMATIVA[[#This Row],[QT_AREA_EST]]))</f>
        <v>12.3</v>
      </c>
      <c r="Z80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12.3</v>
      </c>
      <c r="AA804" s="1">
        <f>ESTIMATIVA[[#This Row],[QT_CANA_EST]]</f>
        <v>516.6</v>
      </c>
      <c r="AB804" s="1">
        <f>IF(ESTIMATIVA[[#This Row],[QT_CANA_REST1]]&gt;0,ESTIMATIVA[[#This Row],[QT_CANA_REST1]],
  IF(ESTIMATIVA[[#This Row],[QT_CANA_REAL]]&gt;0,ESTIMATIVA[[#This Row],[QT_CANA_REAL]],ESTIMATIVA[[#This Row],[QT_CANA_EST]]))</f>
        <v>615</v>
      </c>
      <c r="AC80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615</v>
      </c>
      <c r="AD804" s="1">
        <f>IF(ESTIMATIVA[[#This Row],[QT_AREA_REAL]]&gt;0,ESTIMATIVA[[#This Row],[QT_CANA_REAL]],ESTIMATIVA[[#This Row],[QT_CANA_EST]])</f>
        <v>618.70000000000005</v>
      </c>
      <c r="AE804" s="1">
        <f>IF(ESTIMATIVA[[#This Row],[QT_AREA_REAL]]&gt;0,ESTIMATIVA[[#This Row],[QT_CANA_REAL]],ESTIMATIVA[[#This Row],[QT_CANA_REST1]])</f>
        <v>618.70000000000005</v>
      </c>
      <c r="AF804" s="1">
        <f>IF(ESTIMATIVA[[#This Row],[QT_AREA_REAL]]&gt;0,ESTIMATIVA[[#This Row],[QT_CANA_REAL]],ESTIMATIVA[[#This Row],[QT_CANA_REST2]])</f>
        <v>618.70000000000005</v>
      </c>
      <c r="AG804" s="1" t="str">
        <f>IF(COUNTIFS(GEADA!A:A,VALUE(ESTIMATIVA[[#This Row],[CD_UPNIVEL1]]&amp;TEXT(ESTIMATIVA[[#This Row],[CD_UPNIVEL3]],"0000")))&gt;0,"S","N")</f>
        <v>N</v>
      </c>
      <c r="AH80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04" s="55" t="str">
        <f>IF(ESTIMATIVA[[#This Row],[TP_CULTIVO]]="Irrigado",_xlfn.MAXIFS(IRRIGADO!J:J,IRRIGADO!C:C,ESTIMATIVA[[#This Row],[CD_UPNIVEL1]],IRRIGADO!E:E,ESTIMATIVA[[#This Row],[CD_UPNIVEL3]]),"")</f>
        <v/>
      </c>
      <c r="AJ80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04" s="1">
        <f>COUNTIFS(Apresentação!$E$23:$E$29,ESTIMATIVA[[#This Row],[CD_UPNIVEL1]])</f>
        <v>0</v>
      </c>
    </row>
    <row r="805" spans="1:37" x14ac:dyDescent="0.3">
      <c r="A805">
        <v>20432</v>
      </c>
      <c r="B805" t="s">
        <v>22</v>
      </c>
      <c r="C805">
        <v>115</v>
      </c>
      <c r="D805">
        <v>6</v>
      </c>
      <c r="E805" t="s">
        <v>261</v>
      </c>
      <c r="F805" s="85" t="s">
        <v>332</v>
      </c>
      <c r="G805"/>
      <c r="H805" t="s">
        <v>295</v>
      </c>
      <c r="I805" t="s">
        <v>202</v>
      </c>
      <c r="J805" t="s">
        <v>175</v>
      </c>
      <c r="K805" s="1">
        <v>17.84</v>
      </c>
      <c r="L805" s="1">
        <v>17.84</v>
      </c>
      <c r="M805" s="1">
        <v>17.84</v>
      </c>
      <c r="N805" s="1">
        <v>17.84</v>
      </c>
      <c r="O805" s="1">
        <v>749.28</v>
      </c>
      <c r="P805" s="1">
        <v>892</v>
      </c>
      <c r="Q805" s="1">
        <v>892</v>
      </c>
      <c r="R805" s="1">
        <v>897.39</v>
      </c>
      <c r="S805" t="s">
        <v>12</v>
      </c>
      <c r="T805" s="13">
        <v>45942</v>
      </c>
      <c r="U805" s="1" t="str">
        <f>IF(ESTIMATIVA[[#This Row],[QT_AREA_REAL]]&gt;0,"1- Colhido","2- à Colher")</f>
        <v>1- Colhido</v>
      </c>
      <c r="V805" s="1" t="str">
        <f>IF(ESTIMATIVA[[#This Row],[QT_AREA_REST1]]&gt;0,"Reestimativa 1",IF(ESTIMATIVA[[#This Row],[QT_AREA_REAL]]=0,"Reestimativa 1","Realizado"))</f>
        <v>Reestimativa 1</v>
      </c>
      <c r="W805" s="1" t="str">
        <f>IF(ESTIMATIVA[[#This Row],[QT_AREA_REST2]]&gt;0,"Reestimativa 2",IF(ESTIMATIVA[[#This Row],[QT_AREA_REAL]]=0,"Reestimativa 2","Realizado"))</f>
        <v>Reestimativa 2</v>
      </c>
      <c r="X805" s="1">
        <f>ESTIMATIVA[[#This Row],[QT_AREA_EST]]</f>
        <v>17.84</v>
      </c>
      <c r="Y805" s="1">
        <f>IF(ESTIMATIVA[[#This Row],[QT_AREA_REST1]]&gt;0,ESTIMATIVA[[#This Row],[QT_AREA_REST1]],
  IF(ESTIMATIVA[[#This Row],[QT_AREA_REAL]]&gt;0,ESTIMATIVA[[#This Row],[QT_AREA_REAL]],ESTIMATIVA[[#This Row],[QT_AREA_EST]]))</f>
        <v>17.84</v>
      </c>
      <c r="Z80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17.84</v>
      </c>
      <c r="AA805" s="1">
        <f>ESTIMATIVA[[#This Row],[QT_CANA_EST]]</f>
        <v>749.28</v>
      </c>
      <c r="AB805" s="1">
        <f>IF(ESTIMATIVA[[#This Row],[QT_CANA_REST1]]&gt;0,ESTIMATIVA[[#This Row],[QT_CANA_REST1]],
  IF(ESTIMATIVA[[#This Row],[QT_CANA_REAL]]&gt;0,ESTIMATIVA[[#This Row],[QT_CANA_REAL]],ESTIMATIVA[[#This Row],[QT_CANA_EST]]))</f>
        <v>892</v>
      </c>
      <c r="AC80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892</v>
      </c>
      <c r="AD805" s="1">
        <f>IF(ESTIMATIVA[[#This Row],[QT_AREA_REAL]]&gt;0,ESTIMATIVA[[#This Row],[QT_CANA_REAL]],ESTIMATIVA[[#This Row],[QT_CANA_EST]])</f>
        <v>897.39</v>
      </c>
      <c r="AE805" s="1">
        <f>IF(ESTIMATIVA[[#This Row],[QT_AREA_REAL]]&gt;0,ESTIMATIVA[[#This Row],[QT_CANA_REAL]],ESTIMATIVA[[#This Row],[QT_CANA_REST1]])</f>
        <v>897.39</v>
      </c>
      <c r="AF805" s="1">
        <f>IF(ESTIMATIVA[[#This Row],[QT_AREA_REAL]]&gt;0,ESTIMATIVA[[#This Row],[QT_CANA_REAL]],ESTIMATIVA[[#This Row],[QT_CANA_REST2]])</f>
        <v>897.39</v>
      </c>
      <c r="AG805" s="1" t="str">
        <f>IF(COUNTIFS(GEADA!A:A,VALUE(ESTIMATIVA[[#This Row],[CD_UPNIVEL1]]&amp;TEXT(ESTIMATIVA[[#This Row],[CD_UPNIVEL3]],"0000")))&gt;0,"S","N")</f>
        <v>N</v>
      </c>
      <c r="AH80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05" s="55" t="str">
        <f>IF(ESTIMATIVA[[#This Row],[TP_CULTIVO]]="Irrigado",_xlfn.MAXIFS(IRRIGADO!J:J,IRRIGADO!C:C,ESTIMATIVA[[#This Row],[CD_UPNIVEL1]],IRRIGADO!E:E,ESTIMATIVA[[#This Row],[CD_UPNIVEL3]]),"")</f>
        <v/>
      </c>
      <c r="AJ80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05" s="1">
        <f>COUNTIFS(Apresentação!$E$23:$E$29,ESTIMATIVA[[#This Row],[CD_UPNIVEL1]])</f>
        <v>0</v>
      </c>
    </row>
    <row r="806" spans="1:37" x14ac:dyDescent="0.3">
      <c r="A806">
        <v>20432</v>
      </c>
      <c r="B806" t="s">
        <v>22</v>
      </c>
      <c r="C806">
        <v>116</v>
      </c>
      <c r="D806">
        <v>6</v>
      </c>
      <c r="E806" t="s">
        <v>261</v>
      </c>
      <c r="F806" s="85" t="s">
        <v>332</v>
      </c>
      <c r="G806"/>
      <c r="H806" t="s">
        <v>295</v>
      </c>
      <c r="I806" t="s">
        <v>202</v>
      </c>
      <c r="J806" t="s">
        <v>175</v>
      </c>
      <c r="K806" s="1">
        <v>13.09</v>
      </c>
      <c r="L806" s="1">
        <v>13.09</v>
      </c>
      <c r="M806" s="1">
        <v>13.09</v>
      </c>
      <c r="N806" s="1">
        <v>13.09</v>
      </c>
      <c r="O806" s="1">
        <v>589.04999999999995</v>
      </c>
      <c r="P806" s="1">
        <v>654.5</v>
      </c>
      <c r="Q806" s="1">
        <v>654.5</v>
      </c>
      <c r="R806" s="1">
        <v>658.95</v>
      </c>
      <c r="S806" t="s">
        <v>12</v>
      </c>
      <c r="T806" s="13">
        <v>45942</v>
      </c>
      <c r="U806" s="1" t="str">
        <f>IF(ESTIMATIVA[[#This Row],[QT_AREA_REAL]]&gt;0,"1- Colhido","2- à Colher")</f>
        <v>1- Colhido</v>
      </c>
      <c r="V806" s="1" t="str">
        <f>IF(ESTIMATIVA[[#This Row],[QT_AREA_REST1]]&gt;0,"Reestimativa 1",IF(ESTIMATIVA[[#This Row],[QT_AREA_REAL]]=0,"Reestimativa 1","Realizado"))</f>
        <v>Reestimativa 1</v>
      </c>
      <c r="W806" s="1" t="str">
        <f>IF(ESTIMATIVA[[#This Row],[QT_AREA_REST2]]&gt;0,"Reestimativa 2",IF(ESTIMATIVA[[#This Row],[QT_AREA_REAL]]=0,"Reestimativa 2","Realizado"))</f>
        <v>Reestimativa 2</v>
      </c>
      <c r="X806" s="1">
        <f>ESTIMATIVA[[#This Row],[QT_AREA_EST]]</f>
        <v>13.09</v>
      </c>
      <c r="Y806" s="1">
        <f>IF(ESTIMATIVA[[#This Row],[QT_AREA_REST1]]&gt;0,ESTIMATIVA[[#This Row],[QT_AREA_REST1]],
  IF(ESTIMATIVA[[#This Row],[QT_AREA_REAL]]&gt;0,ESTIMATIVA[[#This Row],[QT_AREA_REAL]],ESTIMATIVA[[#This Row],[QT_AREA_EST]]))</f>
        <v>13.09</v>
      </c>
      <c r="Z80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13.09</v>
      </c>
      <c r="AA806" s="1">
        <f>ESTIMATIVA[[#This Row],[QT_CANA_EST]]</f>
        <v>589.04999999999995</v>
      </c>
      <c r="AB806" s="1">
        <f>IF(ESTIMATIVA[[#This Row],[QT_CANA_REST1]]&gt;0,ESTIMATIVA[[#This Row],[QT_CANA_REST1]],
  IF(ESTIMATIVA[[#This Row],[QT_CANA_REAL]]&gt;0,ESTIMATIVA[[#This Row],[QT_CANA_REAL]],ESTIMATIVA[[#This Row],[QT_CANA_EST]]))</f>
        <v>654.5</v>
      </c>
      <c r="AC80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654.5</v>
      </c>
      <c r="AD806" s="1">
        <f>IF(ESTIMATIVA[[#This Row],[QT_AREA_REAL]]&gt;0,ESTIMATIVA[[#This Row],[QT_CANA_REAL]],ESTIMATIVA[[#This Row],[QT_CANA_EST]])</f>
        <v>658.95</v>
      </c>
      <c r="AE806" s="1">
        <f>IF(ESTIMATIVA[[#This Row],[QT_AREA_REAL]]&gt;0,ESTIMATIVA[[#This Row],[QT_CANA_REAL]],ESTIMATIVA[[#This Row],[QT_CANA_REST1]])</f>
        <v>658.95</v>
      </c>
      <c r="AF806" s="1">
        <f>IF(ESTIMATIVA[[#This Row],[QT_AREA_REAL]]&gt;0,ESTIMATIVA[[#This Row],[QT_CANA_REAL]],ESTIMATIVA[[#This Row],[QT_CANA_REST2]])</f>
        <v>658.95</v>
      </c>
      <c r="AG806" s="1" t="str">
        <f>IF(COUNTIFS(GEADA!A:A,VALUE(ESTIMATIVA[[#This Row],[CD_UPNIVEL1]]&amp;TEXT(ESTIMATIVA[[#This Row],[CD_UPNIVEL3]],"0000")))&gt;0,"S","N")</f>
        <v>N</v>
      </c>
      <c r="AH80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06" s="55" t="str">
        <f>IF(ESTIMATIVA[[#This Row],[TP_CULTIVO]]="Irrigado",_xlfn.MAXIFS(IRRIGADO!J:J,IRRIGADO!C:C,ESTIMATIVA[[#This Row],[CD_UPNIVEL1]],IRRIGADO!E:E,ESTIMATIVA[[#This Row],[CD_UPNIVEL3]]),"")</f>
        <v/>
      </c>
      <c r="AJ80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06" s="1">
        <f>COUNTIFS(Apresentação!$E$23:$E$29,ESTIMATIVA[[#This Row],[CD_UPNIVEL1]])</f>
        <v>0</v>
      </c>
    </row>
    <row r="807" spans="1:37" x14ac:dyDescent="0.3">
      <c r="A807">
        <v>20432</v>
      </c>
      <c r="B807" t="s">
        <v>22</v>
      </c>
      <c r="C807">
        <v>117</v>
      </c>
      <c r="D807">
        <v>6</v>
      </c>
      <c r="E807" t="s">
        <v>261</v>
      </c>
      <c r="F807" s="85" t="s">
        <v>332</v>
      </c>
      <c r="G807"/>
      <c r="H807" t="s">
        <v>295</v>
      </c>
      <c r="I807" t="s">
        <v>202</v>
      </c>
      <c r="J807" t="s">
        <v>175</v>
      </c>
      <c r="K807" s="1">
        <v>10.95</v>
      </c>
      <c r="L807" s="1">
        <v>10.95</v>
      </c>
      <c r="M807" s="1">
        <v>10.95</v>
      </c>
      <c r="N807" s="1">
        <v>10.95</v>
      </c>
      <c r="O807" s="1">
        <v>492.75</v>
      </c>
      <c r="P807" s="1">
        <v>547.5</v>
      </c>
      <c r="Q807" s="1">
        <v>547.5</v>
      </c>
      <c r="R807" s="1">
        <v>551.29</v>
      </c>
      <c r="S807" t="s">
        <v>12</v>
      </c>
      <c r="T807" s="13">
        <v>45942</v>
      </c>
      <c r="U807" s="1" t="str">
        <f>IF(ESTIMATIVA[[#This Row],[QT_AREA_REAL]]&gt;0,"1- Colhido","2- à Colher")</f>
        <v>1- Colhido</v>
      </c>
      <c r="V807" s="1" t="str">
        <f>IF(ESTIMATIVA[[#This Row],[QT_AREA_REST1]]&gt;0,"Reestimativa 1",IF(ESTIMATIVA[[#This Row],[QT_AREA_REAL]]=0,"Reestimativa 1","Realizado"))</f>
        <v>Reestimativa 1</v>
      </c>
      <c r="W807" s="1" t="str">
        <f>IF(ESTIMATIVA[[#This Row],[QT_AREA_REST2]]&gt;0,"Reestimativa 2",IF(ESTIMATIVA[[#This Row],[QT_AREA_REAL]]=0,"Reestimativa 2","Realizado"))</f>
        <v>Reestimativa 2</v>
      </c>
      <c r="X807" s="1">
        <f>ESTIMATIVA[[#This Row],[QT_AREA_EST]]</f>
        <v>10.95</v>
      </c>
      <c r="Y807" s="1">
        <f>IF(ESTIMATIVA[[#This Row],[QT_AREA_REST1]]&gt;0,ESTIMATIVA[[#This Row],[QT_AREA_REST1]],
  IF(ESTIMATIVA[[#This Row],[QT_AREA_REAL]]&gt;0,ESTIMATIVA[[#This Row],[QT_AREA_REAL]],ESTIMATIVA[[#This Row],[QT_AREA_EST]]))</f>
        <v>10.95</v>
      </c>
      <c r="Z80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10.95</v>
      </c>
      <c r="AA807" s="1">
        <f>ESTIMATIVA[[#This Row],[QT_CANA_EST]]</f>
        <v>492.75</v>
      </c>
      <c r="AB807" s="1">
        <f>IF(ESTIMATIVA[[#This Row],[QT_CANA_REST1]]&gt;0,ESTIMATIVA[[#This Row],[QT_CANA_REST1]],
  IF(ESTIMATIVA[[#This Row],[QT_CANA_REAL]]&gt;0,ESTIMATIVA[[#This Row],[QT_CANA_REAL]],ESTIMATIVA[[#This Row],[QT_CANA_EST]]))</f>
        <v>547.5</v>
      </c>
      <c r="AC80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547.5</v>
      </c>
      <c r="AD807" s="1">
        <f>IF(ESTIMATIVA[[#This Row],[QT_AREA_REAL]]&gt;0,ESTIMATIVA[[#This Row],[QT_CANA_REAL]],ESTIMATIVA[[#This Row],[QT_CANA_EST]])</f>
        <v>551.29</v>
      </c>
      <c r="AE807" s="1">
        <f>IF(ESTIMATIVA[[#This Row],[QT_AREA_REAL]]&gt;0,ESTIMATIVA[[#This Row],[QT_CANA_REAL]],ESTIMATIVA[[#This Row],[QT_CANA_REST1]])</f>
        <v>551.29</v>
      </c>
      <c r="AF807" s="1">
        <f>IF(ESTIMATIVA[[#This Row],[QT_AREA_REAL]]&gt;0,ESTIMATIVA[[#This Row],[QT_CANA_REAL]],ESTIMATIVA[[#This Row],[QT_CANA_REST2]])</f>
        <v>551.29</v>
      </c>
      <c r="AG807" s="1" t="str">
        <f>IF(COUNTIFS(GEADA!A:A,VALUE(ESTIMATIVA[[#This Row],[CD_UPNIVEL1]]&amp;TEXT(ESTIMATIVA[[#This Row],[CD_UPNIVEL3]],"0000")))&gt;0,"S","N")</f>
        <v>N</v>
      </c>
      <c r="AH80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07" s="55" t="str">
        <f>IF(ESTIMATIVA[[#This Row],[TP_CULTIVO]]="Irrigado",_xlfn.MAXIFS(IRRIGADO!J:J,IRRIGADO!C:C,ESTIMATIVA[[#This Row],[CD_UPNIVEL1]],IRRIGADO!E:E,ESTIMATIVA[[#This Row],[CD_UPNIVEL3]]),"")</f>
        <v/>
      </c>
      <c r="AJ80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07" s="1">
        <f>COUNTIFS(Apresentação!$E$23:$E$29,ESTIMATIVA[[#This Row],[CD_UPNIVEL1]])</f>
        <v>0</v>
      </c>
    </row>
    <row r="808" spans="1:37" x14ac:dyDescent="0.3">
      <c r="A808">
        <v>20432</v>
      </c>
      <c r="B808" t="s">
        <v>22</v>
      </c>
      <c r="C808">
        <v>118</v>
      </c>
      <c r="D808">
        <v>6</v>
      </c>
      <c r="E808" t="s">
        <v>261</v>
      </c>
      <c r="F808" s="85" t="s">
        <v>332</v>
      </c>
      <c r="G808"/>
      <c r="H808" t="s">
        <v>295</v>
      </c>
      <c r="I808" t="s">
        <v>202</v>
      </c>
      <c r="J808" t="s">
        <v>175</v>
      </c>
      <c r="K808" s="1">
        <v>6.84</v>
      </c>
      <c r="L808" s="1">
        <v>6.84</v>
      </c>
      <c r="M808" s="1">
        <v>6.84</v>
      </c>
      <c r="N808" s="1">
        <v>6.84</v>
      </c>
      <c r="O808" s="1">
        <v>307.8</v>
      </c>
      <c r="P808" s="1">
        <v>342</v>
      </c>
      <c r="Q808" s="1">
        <v>342</v>
      </c>
      <c r="R808" s="1">
        <v>344.26</v>
      </c>
      <c r="S808" t="s">
        <v>12</v>
      </c>
      <c r="T808" s="13">
        <v>45942</v>
      </c>
      <c r="U808" s="1" t="str">
        <f>IF(ESTIMATIVA[[#This Row],[QT_AREA_REAL]]&gt;0,"1- Colhido","2- à Colher")</f>
        <v>1- Colhido</v>
      </c>
      <c r="V808" s="1" t="str">
        <f>IF(ESTIMATIVA[[#This Row],[QT_AREA_REST1]]&gt;0,"Reestimativa 1",IF(ESTIMATIVA[[#This Row],[QT_AREA_REAL]]=0,"Reestimativa 1","Realizado"))</f>
        <v>Reestimativa 1</v>
      </c>
      <c r="W808" s="1" t="str">
        <f>IF(ESTIMATIVA[[#This Row],[QT_AREA_REST2]]&gt;0,"Reestimativa 2",IF(ESTIMATIVA[[#This Row],[QT_AREA_REAL]]=0,"Reestimativa 2","Realizado"))</f>
        <v>Reestimativa 2</v>
      </c>
      <c r="X808" s="1">
        <f>ESTIMATIVA[[#This Row],[QT_AREA_EST]]</f>
        <v>6.84</v>
      </c>
      <c r="Y808" s="1">
        <f>IF(ESTIMATIVA[[#This Row],[QT_AREA_REST1]]&gt;0,ESTIMATIVA[[#This Row],[QT_AREA_REST1]],
  IF(ESTIMATIVA[[#This Row],[QT_AREA_REAL]]&gt;0,ESTIMATIVA[[#This Row],[QT_AREA_REAL]],ESTIMATIVA[[#This Row],[QT_AREA_EST]]))</f>
        <v>6.84</v>
      </c>
      <c r="Z80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6.84</v>
      </c>
      <c r="AA808" s="1">
        <f>ESTIMATIVA[[#This Row],[QT_CANA_EST]]</f>
        <v>307.8</v>
      </c>
      <c r="AB808" s="1">
        <f>IF(ESTIMATIVA[[#This Row],[QT_CANA_REST1]]&gt;0,ESTIMATIVA[[#This Row],[QT_CANA_REST1]],
  IF(ESTIMATIVA[[#This Row],[QT_CANA_REAL]]&gt;0,ESTIMATIVA[[#This Row],[QT_CANA_REAL]],ESTIMATIVA[[#This Row],[QT_CANA_EST]]))</f>
        <v>342</v>
      </c>
      <c r="AC80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342</v>
      </c>
      <c r="AD808" s="1">
        <f>IF(ESTIMATIVA[[#This Row],[QT_AREA_REAL]]&gt;0,ESTIMATIVA[[#This Row],[QT_CANA_REAL]],ESTIMATIVA[[#This Row],[QT_CANA_EST]])</f>
        <v>344.26</v>
      </c>
      <c r="AE808" s="1">
        <f>IF(ESTIMATIVA[[#This Row],[QT_AREA_REAL]]&gt;0,ESTIMATIVA[[#This Row],[QT_CANA_REAL]],ESTIMATIVA[[#This Row],[QT_CANA_REST1]])</f>
        <v>344.26</v>
      </c>
      <c r="AF808" s="1">
        <f>IF(ESTIMATIVA[[#This Row],[QT_AREA_REAL]]&gt;0,ESTIMATIVA[[#This Row],[QT_CANA_REAL]],ESTIMATIVA[[#This Row],[QT_CANA_REST2]])</f>
        <v>344.26</v>
      </c>
      <c r="AG808" s="1" t="str">
        <f>IF(COUNTIFS(GEADA!A:A,VALUE(ESTIMATIVA[[#This Row],[CD_UPNIVEL1]]&amp;TEXT(ESTIMATIVA[[#This Row],[CD_UPNIVEL3]],"0000")))&gt;0,"S","N")</f>
        <v>N</v>
      </c>
      <c r="AH80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08" s="55" t="str">
        <f>IF(ESTIMATIVA[[#This Row],[TP_CULTIVO]]="Irrigado",_xlfn.MAXIFS(IRRIGADO!J:J,IRRIGADO!C:C,ESTIMATIVA[[#This Row],[CD_UPNIVEL1]],IRRIGADO!E:E,ESTIMATIVA[[#This Row],[CD_UPNIVEL3]]),"")</f>
        <v/>
      </c>
      <c r="AJ80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08" s="1">
        <f>COUNTIFS(Apresentação!$E$23:$E$29,ESTIMATIVA[[#This Row],[CD_UPNIVEL1]])</f>
        <v>0</v>
      </c>
    </row>
    <row r="809" spans="1:37" x14ac:dyDescent="0.3">
      <c r="A809">
        <v>20432</v>
      </c>
      <c r="B809" t="s">
        <v>22</v>
      </c>
      <c r="C809">
        <v>119</v>
      </c>
      <c r="D809">
        <v>6</v>
      </c>
      <c r="E809" t="s">
        <v>261</v>
      </c>
      <c r="F809" s="85" t="s">
        <v>332</v>
      </c>
      <c r="G809"/>
      <c r="H809" t="s">
        <v>295</v>
      </c>
      <c r="I809" t="s">
        <v>202</v>
      </c>
      <c r="J809" t="s">
        <v>175</v>
      </c>
      <c r="K809" s="1">
        <v>15.37</v>
      </c>
      <c r="L809" s="1">
        <v>15.37</v>
      </c>
      <c r="M809" s="1">
        <v>15.37</v>
      </c>
      <c r="N809" s="1">
        <v>15.37</v>
      </c>
      <c r="O809" s="1">
        <v>691.65</v>
      </c>
      <c r="P809" s="1">
        <v>768.5</v>
      </c>
      <c r="Q809" s="1">
        <v>768.5</v>
      </c>
      <c r="R809" s="1">
        <v>473.39</v>
      </c>
      <c r="S809" t="s">
        <v>12</v>
      </c>
      <c r="T809" s="13">
        <v>45956</v>
      </c>
      <c r="U809" s="1" t="str">
        <f>IF(ESTIMATIVA[[#This Row],[QT_AREA_REAL]]&gt;0,"1- Colhido","2- à Colher")</f>
        <v>1- Colhido</v>
      </c>
      <c r="V809" s="1" t="str">
        <f>IF(ESTIMATIVA[[#This Row],[QT_AREA_REST1]]&gt;0,"Reestimativa 1",IF(ESTIMATIVA[[#This Row],[QT_AREA_REAL]]=0,"Reestimativa 1","Realizado"))</f>
        <v>Reestimativa 1</v>
      </c>
      <c r="W809" s="1" t="str">
        <f>IF(ESTIMATIVA[[#This Row],[QT_AREA_REST2]]&gt;0,"Reestimativa 2",IF(ESTIMATIVA[[#This Row],[QT_AREA_REAL]]=0,"Reestimativa 2","Realizado"))</f>
        <v>Reestimativa 2</v>
      </c>
      <c r="X809" s="1">
        <f>ESTIMATIVA[[#This Row],[QT_AREA_EST]]</f>
        <v>15.37</v>
      </c>
      <c r="Y809" s="1">
        <f>IF(ESTIMATIVA[[#This Row],[QT_AREA_REST1]]&gt;0,ESTIMATIVA[[#This Row],[QT_AREA_REST1]],
  IF(ESTIMATIVA[[#This Row],[QT_AREA_REAL]]&gt;0,ESTIMATIVA[[#This Row],[QT_AREA_REAL]],ESTIMATIVA[[#This Row],[QT_AREA_EST]]))</f>
        <v>15.37</v>
      </c>
      <c r="Z80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15.37</v>
      </c>
      <c r="AA809" s="1">
        <f>ESTIMATIVA[[#This Row],[QT_CANA_EST]]</f>
        <v>691.65</v>
      </c>
      <c r="AB809" s="1">
        <f>IF(ESTIMATIVA[[#This Row],[QT_CANA_REST1]]&gt;0,ESTIMATIVA[[#This Row],[QT_CANA_REST1]],
  IF(ESTIMATIVA[[#This Row],[QT_CANA_REAL]]&gt;0,ESTIMATIVA[[#This Row],[QT_CANA_REAL]],ESTIMATIVA[[#This Row],[QT_CANA_EST]]))</f>
        <v>768.5</v>
      </c>
      <c r="AC80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768.5</v>
      </c>
      <c r="AD809" s="1">
        <f>IF(ESTIMATIVA[[#This Row],[QT_AREA_REAL]]&gt;0,ESTIMATIVA[[#This Row],[QT_CANA_REAL]],ESTIMATIVA[[#This Row],[QT_CANA_EST]])</f>
        <v>473.39</v>
      </c>
      <c r="AE809" s="1">
        <f>IF(ESTIMATIVA[[#This Row],[QT_AREA_REAL]]&gt;0,ESTIMATIVA[[#This Row],[QT_CANA_REAL]],ESTIMATIVA[[#This Row],[QT_CANA_REST1]])</f>
        <v>473.39</v>
      </c>
      <c r="AF809" s="1">
        <f>IF(ESTIMATIVA[[#This Row],[QT_AREA_REAL]]&gt;0,ESTIMATIVA[[#This Row],[QT_CANA_REAL]],ESTIMATIVA[[#This Row],[QT_CANA_REST2]])</f>
        <v>473.39</v>
      </c>
      <c r="AG809" s="1" t="str">
        <f>IF(COUNTIFS(GEADA!A:A,VALUE(ESTIMATIVA[[#This Row],[CD_UPNIVEL1]]&amp;TEXT(ESTIMATIVA[[#This Row],[CD_UPNIVEL3]],"0000")))&gt;0,"S","N")</f>
        <v>N</v>
      </c>
      <c r="AH80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09" s="55" t="str">
        <f>IF(ESTIMATIVA[[#This Row],[TP_CULTIVO]]="Irrigado",_xlfn.MAXIFS(IRRIGADO!J:J,IRRIGADO!C:C,ESTIMATIVA[[#This Row],[CD_UPNIVEL1]],IRRIGADO!E:E,ESTIMATIVA[[#This Row],[CD_UPNIVEL3]]),"")</f>
        <v/>
      </c>
      <c r="AJ80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09" s="1">
        <f>COUNTIFS(Apresentação!$E$23:$E$29,ESTIMATIVA[[#This Row],[CD_UPNIVEL1]])</f>
        <v>0</v>
      </c>
    </row>
    <row r="810" spans="1:37" x14ac:dyDescent="0.3">
      <c r="A810">
        <v>20432</v>
      </c>
      <c r="B810" t="s">
        <v>22</v>
      </c>
      <c r="C810">
        <v>120</v>
      </c>
      <c r="D810">
        <v>6</v>
      </c>
      <c r="E810" t="s">
        <v>261</v>
      </c>
      <c r="F810" s="85" t="s">
        <v>332</v>
      </c>
      <c r="G810"/>
      <c r="H810" t="s">
        <v>295</v>
      </c>
      <c r="I810" t="s">
        <v>202</v>
      </c>
      <c r="J810" t="s">
        <v>175</v>
      </c>
      <c r="K810" s="1">
        <v>12.13</v>
      </c>
      <c r="L810" s="1">
        <v>12.13</v>
      </c>
      <c r="M810" s="1">
        <v>12.13</v>
      </c>
      <c r="N810" s="1">
        <v>12.13</v>
      </c>
      <c r="O810" s="1">
        <v>545.85</v>
      </c>
      <c r="P810" s="1">
        <v>606.5</v>
      </c>
      <c r="Q810" s="1">
        <v>606.5</v>
      </c>
      <c r="R810" s="1">
        <v>373.65</v>
      </c>
      <c r="S810" t="s">
        <v>12</v>
      </c>
      <c r="T810" s="13">
        <v>45956</v>
      </c>
      <c r="U810" s="1" t="str">
        <f>IF(ESTIMATIVA[[#This Row],[QT_AREA_REAL]]&gt;0,"1- Colhido","2- à Colher")</f>
        <v>1- Colhido</v>
      </c>
      <c r="V810" s="1" t="str">
        <f>IF(ESTIMATIVA[[#This Row],[QT_AREA_REST1]]&gt;0,"Reestimativa 1",IF(ESTIMATIVA[[#This Row],[QT_AREA_REAL]]=0,"Reestimativa 1","Realizado"))</f>
        <v>Reestimativa 1</v>
      </c>
      <c r="W810" s="1" t="str">
        <f>IF(ESTIMATIVA[[#This Row],[QT_AREA_REST2]]&gt;0,"Reestimativa 2",IF(ESTIMATIVA[[#This Row],[QT_AREA_REAL]]=0,"Reestimativa 2","Realizado"))</f>
        <v>Reestimativa 2</v>
      </c>
      <c r="X810" s="1">
        <f>ESTIMATIVA[[#This Row],[QT_AREA_EST]]</f>
        <v>12.13</v>
      </c>
      <c r="Y810" s="1">
        <f>IF(ESTIMATIVA[[#This Row],[QT_AREA_REST1]]&gt;0,ESTIMATIVA[[#This Row],[QT_AREA_REST1]],
  IF(ESTIMATIVA[[#This Row],[QT_AREA_REAL]]&gt;0,ESTIMATIVA[[#This Row],[QT_AREA_REAL]],ESTIMATIVA[[#This Row],[QT_AREA_EST]]))</f>
        <v>12.13</v>
      </c>
      <c r="Z81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12.13</v>
      </c>
      <c r="AA810" s="1">
        <f>ESTIMATIVA[[#This Row],[QT_CANA_EST]]</f>
        <v>545.85</v>
      </c>
      <c r="AB810" s="1">
        <f>IF(ESTIMATIVA[[#This Row],[QT_CANA_REST1]]&gt;0,ESTIMATIVA[[#This Row],[QT_CANA_REST1]],
  IF(ESTIMATIVA[[#This Row],[QT_CANA_REAL]]&gt;0,ESTIMATIVA[[#This Row],[QT_CANA_REAL]],ESTIMATIVA[[#This Row],[QT_CANA_EST]]))</f>
        <v>606.5</v>
      </c>
      <c r="AC81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606.5</v>
      </c>
      <c r="AD810" s="1">
        <f>IF(ESTIMATIVA[[#This Row],[QT_AREA_REAL]]&gt;0,ESTIMATIVA[[#This Row],[QT_CANA_REAL]],ESTIMATIVA[[#This Row],[QT_CANA_EST]])</f>
        <v>373.65</v>
      </c>
      <c r="AE810" s="1">
        <f>IF(ESTIMATIVA[[#This Row],[QT_AREA_REAL]]&gt;0,ESTIMATIVA[[#This Row],[QT_CANA_REAL]],ESTIMATIVA[[#This Row],[QT_CANA_REST1]])</f>
        <v>373.65</v>
      </c>
      <c r="AF810" s="1">
        <f>IF(ESTIMATIVA[[#This Row],[QT_AREA_REAL]]&gt;0,ESTIMATIVA[[#This Row],[QT_CANA_REAL]],ESTIMATIVA[[#This Row],[QT_CANA_REST2]])</f>
        <v>373.65</v>
      </c>
      <c r="AG810" s="1" t="str">
        <f>IF(COUNTIFS(GEADA!A:A,VALUE(ESTIMATIVA[[#This Row],[CD_UPNIVEL1]]&amp;TEXT(ESTIMATIVA[[#This Row],[CD_UPNIVEL3]],"0000")))&gt;0,"S","N")</f>
        <v>N</v>
      </c>
      <c r="AH81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10" s="55" t="str">
        <f>IF(ESTIMATIVA[[#This Row],[TP_CULTIVO]]="Irrigado",_xlfn.MAXIFS(IRRIGADO!J:J,IRRIGADO!C:C,ESTIMATIVA[[#This Row],[CD_UPNIVEL1]],IRRIGADO!E:E,ESTIMATIVA[[#This Row],[CD_UPNIVEL3]]),"")</f>
        <v/>
      </c>
      <c r="AJ81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10" s="1">
        <f>COUNTIFS(Apresentação!$E$23:$E$29,ESTIMATIVA[[#This Row],[CD_UPNIVEL1]])</f>
        <v>0</v>
      </c>
    </row>
    <row r="811" spans="1:37" x14ac:dyDescent="0.3">
      <c r="A811">
        <v>20432</v>
      </c>
      <c r="B811" t="s">
        <v>22</v>
      </c>
      <c r="C811">
        <v>121</v>
      </c>
      <c r="D811">
        <v>6</v>
      </c>
      <c r="E811" t="s">
        <v>261</v>
      </c>
      <c r="F811" s="85" t="s">
        <v>332</v>
      </c>
      <c r="G811"/>
      <c r="H811" t="s">
        <v>295</v>
      </c>
      <c r="I811" t="s">
        <v>202</v>
      </c>
      <c r="J811" t="s">
        <v>175</v>
      </c>
      <c r="K811" s="1">
        <v>12.25</v>
      </c>
      <c r="L811" s="1">
        <v>12.25</v>
      </c>
      <c r="M811" s="1">
        <v>12.25</v>
      </c>
      <c r="N811" s="1">
        <v>12.25</v>
      </c>
      <c r="O811" s="1">
        <v>551.25</v>
      </c>
      <c r="P811" s="1">
        <v>612.5</v>
      </c>
      <c r="Q811" s="1">
        <v>612.5</v>
      </c>
      <c r="R811" s="1">
        <v>377.35</v>
      </c>
      <c r="S811" t="s">
        <v>12</v>
      </c>
      <c r="T811" s="13">
        <v>45956</v>
      </c>
      <c r="U811" s="1" t="str">
        <f>IF(ESTIMATIVA[[#This Row],[QT_AREA_REAL]]&gt;0,"1- Colhido","2- à Colher")</f>
        <v>1- Colhido</v>
      </c>
      <c r="V811" s="1" t="str">
        <f>IF(ESTIMATIVA[[#This Row],[QT_AREA_REST1]]&gt;0,"Reestimativa 1",IF(ESTIMATIVA[[#This Row],[QT_AREA_REAL]]=0,"Reestimativa 1","Realizado"))</f>
        <v>Reestimativa 1</v>
      </c>
      <c r="W811" s="1" t="str">
        <f>IF(ESTIMATIVA[[#This Row],[QT_AREA_REST2]]&gt;0,"Reestimativa 2",IF(ESTIMATIVA[[#This Row],[QT_AREA_REAL]]=0,"Reestimativa 2","Realizado"))</f>
        <v>Reestimativa 2</v>
      </c>
      <c r="X811" s="1">
        <f>ESTIMATIVA[[#This Row],[QT_AREA_EST]]</f>
        <v>12.25</v>
      </c>
      <c r="Y811" s="1">
        <f>IF(ESTIMATIVA[[#This Row],[QT_AREA_REST1]]&gt;0,ESTIMATIVA[[#This Row],[QT_AREA_REST1]],
  IF(ESTIMATIVA[[#This Row],[QT_AREA_REAL]]&gt;0,ESTIMATIVA[[#This Row],[QT_AREA_REAL]],ESTIMATIVA[[#This Row],[QT_AREA_EST]]))</f>
        <v>12.25</v>
      </c>
      <c r="Z81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12.25</v>
      </c>
      <c r="AA811" s="1">
        <f>ESTIMATIVA[[#This Row],[QT_CANA_EST]]</f>
        <v>551.25</v>
      </c>
      <c r="AB811" s="1">
        <f>IF(ESTIMATIVA[[#This Row],[QT_CANA_REST1]]&gt;0,ESTIMATIVA[[#This Row],[QT_CANA_REST1]],
  IF(ESTIMATIVA[[#This Row],[QT_CANA_REAL]]&gt;0,ESTIMATIVA[[#This Row],[QT_CANA_REAL]],ESTIMATIVA[[#This Row],[QT_CANA_EST]]))</f>
        <v>612.5</v>
      </c>
      <c r="AC81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612.5</v>
      </c>
      <c r="AD811" s="1">
        <f>IF(ESTIMATIVA[[#This Row],[QT_AREA_REAL]]&gt;0,ESTIMATIVA[[#This Row],[QT_CANA_REAL]],ESTIMATIVA[[#This Row],[QT_CANA_EST]])</f>
        <v>377.35</v>
      </c>
      <c r="AE811" s="1">
        <f>IF(ESTIMATIVA[[#This Row],[QT_AREA_REAL]]&gt;0,ESTIMATIVA[[#This Row],[QT_CANA_REAL]],ESTIMATIVA[[#This Row],[QT_CANA_REST1]])</f>
        <v>377.35</v>
      </c>
      <c r="AF811" s="1">
        <f>IF(ESTIMATIVA[[#This Row],[QT_AREA_REAL]]&gt;0,ESTIMATIVA[[#This Row],[QT_CANA_REAL]],ESTIMATIVA[[#This Row],[QT_CANA_REST2]])</f>
        <v>377.35</v>
      </c>
      <c r="AG811" s="1" t="str">
        <f>IF(COUNTIFS(GEADA!A:A,VALUE(ESTIMATIVA[[#This Row],[CD_UPNIVEL1]]&amp;TEXT(ESTIMATIVA[[#This Row],[CD_UPNIVEL3]],"0000")))&gt;0,"S","N")</f>
        <v>N</v>
      </c>
      <c r="AH81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11" s="55" t="str">
        <f>IF(ESTIMATIVA[[#This Row],[TP_CULTIVO]]="Irrigado",_xlfn.MAXIFS(IRRIGADO!J:J,IRRIGADO!C:C,ESTIMATIVA[[#This Row],[CD_UPNIVEL1]],IRRIGADO!E:E,ESTIMATIVA[[#This Row],[CD_UPNIVEL3]]),"")</f>
        <v/>
      </c>
      <c r="AJ81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11" s="1">
        <f>COUNTIFS(Apresentação!$E$23:$E$29,ESTIMATIVA[[#This Row],[CD_UPNIVEL1]])</f>
        <v>0</v>
      </c>
    </row>
    <row r="812" spans="1:37" x14ac:dyDescent="0.3">
      <c r="A812">
        <v>20432</v>
      </c>
      <c r="B812" t="s">
        <v>22</v>
      </c>
      <c r="C812">
        <v>122</v>
      </c>
      <c r="D812">
        <v>6</v>
      </c>
      <c r="E812" t="s">
        <v>261</v>
      </c>
      <c r="F812" s="85" t="s">
        <v>332</v>
      </c>
      <c r="G812"/>
      <c r="H812" t="s">
        <v>295</v>
      </c>
      <c r="I812" t="s">
        <v>202</v>
      </c>
      <c r="J812" t="s">
        <v>175</v>
      </c>
      <c r="K812" s="1">
        <v>10.89</v>
      </c>
      <c r="L812" s="1">
        <v>10.89</v>
      </c>
      <c r="M812" s="1">
        <v>10.89</v>
      </c>
      <c r="N812" s="1">
        <v>10.89</v>
      </c>
      <c r="O812" s="1">
        <v>490.05</v>
      </c>
      <c r="P812" s="1">
        <v>544.5</v>
      </c>
      <c r="Q812" s="1">
        <v>544.5</v>
      </c>
      <c r="R812" s="1">
        <v>335.48</v>
      </c>
      <c r="S812" t="s">
        <v>12</v>
      </c>
      <c r="T812" s="13">
        <v>45956</v>
      </c>
      <c r="U812" s="1" t="str">
        <f>IF(ESTIMATIVA[[#This Row],[QT_AREA_REAL]]&gt;0,"1- Colhido","2- à Colher")</f>
        <v>1- Colhido</v>
      </c>
      <c r="V812" s="1" t="str">
        <f>IF(ESTIMATIVA[[#This Row],[QT_AREA_REST1]]&gt;0,"Reestimativa 1",IF(ESTIMATIVA[[#This Row],[QT_AREA_REAL]]=0,"Reestimativa 1","Realizado"))</f>
        <v>Reestimativa 1</v>
      </c>
      <c r="W812" s="1" t="str">
        <f>IF(ESTIMATIVA[[#This Row],[QT_AREA_REST2]]&gt;0,"Reestimativa 2",IF(ESTIMATIVA[[#This Row],[QT_AREA_REAL]]=0,"Reestimativa 2","Realizado"))</f>
        <v>Reestimativa 2</v>
      </c>
      <c r="X812" s="1">
        <f>ESTIMATIVA[[#This Row],[QT_AREA_EST]]</f>
        <v>10.89</v>
      </c>
      <c r="Y812" s="1">
        <f>IF(ESTIMATIVA[[#This Row],[QT_AREA_REST1]]&gt;0,ESTIMATIVA[[#This Row],[QT_AREA_REST1]],
  IF(ESTIMATIVA[[#This Row],[QT_AREA_REAL]]&gt;0,ESTIMATIVA[[#This Row],[QT_AREA_REAL]],ESTIMATIVA[[#This Row],[QT_AREA_EST]]))</f>
        <v>10.89</v>
      </c>
      <c r="Z81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10.89</v>
      </c>
      <c r="AA812" s="1">
        <f>ESTIMATIVA[[#This Row],[QT_CANA_EST]]</f>
        <v>490.05</v>
      </c>
      <c r="AB812" s="1">
        <f>IF(ESTIMATIVA[[#This Row],[QT_CANA_REST1]]&gt;0,ESTIMATIVA[[#This Row],[QT_CANA_REST1]],
  IF(ESTIMATIVA[[#This Row],[QT_CANA_REAL]]&gt;0,ESTIMATIVA[[#This Row],[QT_CANA_REAL]],ESTIMATIVA[[#This Row],[QT_CANA_EST]]))</f>
        <v>544.5</v>
      </c>
      <c r="AC81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544.5</v>
      </c>
      <c r="AD812" s="1">
        <f>IF(ESTIMATIVA[[#This Row],[QT_AREA_REAL]]&gt;0,ESTIMATIVA[[#This Row],[QT_CANA_REAL]],ESTIMATIVA[[#This Row],[QT_CANA_EST]])</f>
        <v>335.48</v>
      </c>
      <c r="AE812" s="1">
        <f>IF(ESTIMATIVA[[#This Row],[QT_AREA_REAL]]&gt;0,ESTIMATIVA[[#This Row],[QT_CANA_REAL]],ESTIMATIVA[[#This Row],[QT_CANA_REST1]])</f>
        <v>335.48</v>
      </c>
      <c r="AF812" s="1">
        <f>IF(ESTIMATIVA[[#This Row],[QT_AREA_REAL]]&gt;0,ESTIMATIVA[[#This Row],[QT_CANA_REAL]],ESTIMATIVA[[#This Row],[QT_CANA_REST2]])</f>
        <v>335.48</v>
      </c>
      <c r="AG812" s="1" t="str">
        <f>IF(COUNTIFS(GEADA!A:A,VALUE(ESTIMATIVA[[#This Row],[CD_UPNIVEL1]]&amp;TEXT(ESTIMATIVA[[#This Row],[CD_UPNIVEL3]],"0000")))&gt;0,"S","N")</f>
        <v>N</v>
      </c>
      <c r="AH81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12" s="55" t="str">
        <f>IF(ESTIMATIVA[[#This Row],[TP_CULTIVO]]="Irrigado",_xlfn.MAXIFS(IRRIGADO!J:J,IRRIGADO!C:C,ESTIMATIVA[[#This Row],[CD_UPNIVEL1]],IRRIGADO!E:E,ESTIMATIVA[[#This Row],[CD_UPNIVEL3]]),"")</f>
        <v/>
      </c>
      <c r="AJ81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12" s="1">
        <f>COUNTIFS(Apresentação!$E$23:$E$29,ESTIMATIVA[[#This Row],[CD_UPNIVEL1]])</f>
        <v>0</v>
      </c>
    </row>
    <row r="813" spans="1:37" x14ac:dyDescent="0.3">
      <c r="A813">
        <v>20432</v>
      </c>
      <c r="B813" t="s">
        <v>22</v>
      </c>
      <c r="C813">
        <v>123</v>
      </c>
      <c r="D813">
        <v>6</v>
      </c>
      <c r="E813" t="s">
        <v>261</v>
      </c>
      <c r="F813" s="85" t="s">
        <v>332</v>
      </c>
      <c r="G813"/>
      <c r="H813" t="s">
        <v>295</v>
      </c>
      <c r="I813" t="s">
        <v>202</v>
      </c>
      <c r="J813" t="s">
        <v>175</v>
      </c>
      <c r="K813" s="1">
        <v>11.67</v>
      </c>
      <c r="L813" s="1">
        <v>11.67</v>
      </c>
      <c r="M813" s="1">
        <v>11.67</v>
      </c>
      <c r="N813" s="1">
        <v>11.67</v>
      </c>
      <c r="O813" s="1">
        <v>525.15</v>
      </c>
      <c r="P813" s="1">
        <v>583.5</v>
      </c>
      <c r="Q813" s="1">
        <v>583.5</v>
      </c>
      <c r="R813" s="1">
        <v>359.49</v>
      </c>
      <c r="S813" t="s">
        <v>12</v>
      </c>
      <c r="T813" s="13">
        <v>45956</v>
      </c>
      <c r="U813" s="1" t="str">
        <f>IF(ESTIMATIVA[[#This Row],[QT_AREA_REAL]]&gt;0,"1- Colhido","2- à Colher")</f>
        <v>1- Colhido</v>
      </c>
      <c r="V813" s="1" t="str">
        <f>IF(ESTIMATIVA[[#This Row],[QT_AREA_REST1]]&gt;0,"Reestimativa 1",IF(ESTIMATIVA[[#This Row],[QT_AREA_REAL]]=0,"Reestimativa 1","Realizado"))</f>
        <v>Reestimativa 1</v>
      </c>
      <c r="W813" s="1" t="str">
        <f>IF(ESTIMATIVA[[#This Row],[QT_AREA_REST2]]&gt;0,"Reestimativa 2",IF(ESTIMATIVA[[#This Row],[QT_AREA_REAL]]=0,"Reestimativa 2","Realizado"))</f>
        <v>Reestimativa 2</v>
      </c>
      <c r="X813" s="1">
        <f>ESTIMATIVA[[#This Row],[QT_AREA_EST]]</f>
        <v>11.67</v>
      </c>
      <c r="Y813" s="1">
        <f>IF(ESTIMATIVA[[#This Row],[QT_AREA_REST1]]&gt;0,ESTIMATIVA[[#This Row],[QT_AREA_REST1]],
  IF(ESTIMATIVA[[#This Row],[QT_AREA_REAL]]&gt;0,ESTIMATIVA[[#This Row],[QT_AREA_REAL]],ESTIMATIVA[[#This Row],[QT_AREA_EST]]))</f>
        <v>11.67</v>
      </c>
      <c r="Z81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11.67</v>
      </c>
      <c r="AA813" s="1">
        <f>ESTIMATIVA[[#This Row],[QT_CANA_EST]]</f>
        <v>525.15</v>
      </c>
      <c r="AB813" s="1">
        <f>IF(ESTIMATIVA[[#This Row],[QT_CANA_REST1]]&gt;0,ESTIMATIVA[[#This Row],[QT_CANA_REST1]],
  IF(ESTIMATIVA[[#This Row],[QT_CANA_REAL]]&gt;0,ESTIMATIVA[[#This Row],[QT_CANA_REAL]],ESTIMATIVA[[#This Row],[QT_CANA_EST]]))</f>
        <v>583.5</v>
      </c>
      <c r="AC81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583.5</v>
      </c>
      <c r="AD813" s="1">
        <f>IF(ESTIMATIVA[[#This Row],[QT_AREA_REAL]]&gt;0,ESTIMATIVA[[#This Row],[QT_CANA_REAL]],ESTIMATIVA[[#This Row],[QT_CANA_EST]])</f>
        <v>359.49</v>
      </c>
      <c r="AE813" s="1">
        <f>IF(ESTIMATIVA[[#This Row],[QT_AREA_REAL]]&gt;0,ESTIMATIVA[[#This Row],[QT_CANA_REAL]],ESTIMATIVA[[#This Row],[QT_CANA_REST1]])</f>
        <v>359.49</v>
      </c>
      <c r="AF813" s="1">
        <f>IF(ESTIMATIVA[[#This Row],[QT_AREA_REAL]]&gt;0,ESTIMATIVA[[#This Row],[QT_CANA_REAL]],ESTIMATIVA[[#This Row],[QT_CANA_REST2]])</f>
        <v>359.49</v>
      </c>
      <c r="AG813" s="1" t="str">
        <f>IF(COUNTIFS(GEADA!A:A,VALUE(ESTIMATIVA[[#This Row],[CD_UPNIVEL1]]&amp;TEXT(ESTIMATIVA[[#This Row],[CD_UPNIVEL3]],"0000")))&gt;0,"S","N")</f>
        <v>N</v>
      </c>
      <c r="AH81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13" s="55" t="str">
        <f>IF(ESTIMATIVA[[#This Row],[TP_CULTIVO]]="Irrigado",_xlfn.MAXIFS(IRRIGADO!J:J,IRRIGADO!C:C,ESTIMATIVA[[#This Row],[CD_UPNIVEL1]],IRRIGADO!E:E,ESTIMATIVA[[#This Row],[CD_UPNIVEL3]]),"")</f>
        <v/>
      </c>
      <c r="AJ81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13" s="1">
        <f>COUNTIFS(Apresentação!$E$23:$E$29,ESTIMATIVA[[#This Row],[CD_UPNIVEL1]])</f>
        <v>0</v>
      </c>
    </row>
    <row r="814" spans="1:37" x14ac:dyDescent="0.3">
      <c r="A814">
        <v>20432</v>
      </c>
      <c r="B814" t="s">
        <v>22</v>
      </c>
      <c r="C814">
        <v>124</v>
      </c>
      <c r="D814">
        <v>6</v>
      </c>
      <c r="E814" t="s">
        <v>261</v>
      </c>
      <c r="F814" s="85" t="s">
        <v>332</v>
      </c>
      <c r="G814"/>
      <c r="H814" t="s">
        <v>295</v>
      </c>
      <c r="I814" t="s">
        <v>202</v>
      </c>
      <c r="J814" t="s">
        <v>175</v>
      </c>
      <c r="K814" s="1">
        <v>8.6</v>
      </c>
      <c r="L814" s="1">
        <v>8.6</v>
      </c>
      <c r="M814" s="1">
        <v>8.6</v>
      </c>
      <c r="N814" s="1">
        <v>8.6</v>
      </c>
      <c r="O814" s="1">
        <v>387</v>
      </c>
      <c r="P814" s="1">
        <v>430</v>
      </c>
      <c r="Q814" s="1">
        <v>430</v>
      </c>
      <c r="R814" s="1">
        <v>264.68</v>
      </c>
      <c r="S814" t="s">
        <v>12</v>
      </c>
      <c r="T814" s="13">
        <v>45956</v>
      </c>
      <c r="U814" s="1" t="str">
        <f>IF(ESTIMATIVA[[#This Row],[QT_AREA_REAL]]&gt;0,"1- Colhido","2- à Colher")</f>
        <v>1- Colhido</v>
      </c>
      <c r="V814" s="1" t="str">
        <f>IF(ESTIMATIVA[[#This Row],[QT_AREA_REST1]]&gt;0,"Reestimativa 1",IF(ESTIMATIVA[[#This Row],[QT_AREA_REAL]]=0,"Reestimativa 1","Realizado"))</f>
        <v>Reestimativa 1</v>
      </c>
      <c r="W814" s="1" t="str">
        <f>IF(ESTIMATIVA[[#This Row],[QT_AREA_REST2]]&gt;0,"Reestimativa 2",IF(ESTIMATIVA[[#This Row],[QT_AREA_REAL]]=0,"Reestimativa 2","Realizado"))</f>
        <v>Reestimativa 2</v>
      </c>
      <c r="X814" s="1">
        <f>ESTIMATIVA[[#This Row],[QT_AREA_EST]]</f>
        <v>8.6</v>
      </c>
      <c r="Y814" s="1">
        <f>IF(ESTIMATIVA[[#This Row],[QT_AREA_REST1]]&gt;0,ESTIMATIVA[[#This Row],[QT_AREA_REST1]],
  IF(ESTIMATIVA[[#This Row],[QT_AREA_REAL]]&gt;0,ESTIMATIVA[[#This Row],[QT_AREA_REAL]],ESTIMATIVA[[#This Row],[QT_AREA_EST]]))</f>
        <v>8.6</v>
      </c>
      <c r="Z81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8.6</v>
      </c>
      <c r="AA814" s="1">
        <f>ESTIMATIVA[[#This Row],[QT_CANA_EST]]</f>
        <v>387</v>
      </c>
      <c r="AB814" s="1">
        <f>IF(ESTIMATIVA[[#This Row],[QT_CANA_REST1]]&gt;0,ESTIMATIVA[[#This Row],[QT_CANA_REST1]],
  IF(ESTIMATIVA[[#This Row],[QT_CANA_REAL]]&gt;0,ESTIMATIVA[[#This Row],[QT_CANA_REAL]],ESTIMATIVA[[#This Row],[QT_CANA_EST]]))</f>
        <v>430</v>
      </c>
      <c r="AC81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430</v>
      </c>
      <c r="AD814" s="1">
        <f>IF(ESTIMATIVA[[#This Row],[QT_AREA_REAL]]&gt;0,ESTIMATIVA[[#This Row],[QT_CANA_REAL]],ESTIMATIVA[[#This Row],[QT_CANA_EST]])</f>
        <v>264.68</v>
      </c>
      <c r="AE814" s="1">
        <f>IF(ESTIMATIVA[[#This Row],[QT_AREA_REAL]]&gt;0,ESTIMATIVA[[#This Row],[QT_CANA_REAL]],ESTIMATIVA[[#This Row],[QT_CANA_REST1]])</f>
        <v>264.68</v>
      </c>
      <c r="AF814" s="1">
        <f>IF(ESTIMATIVA[[#This Row],[QT_AREA_REAL]]&gt;0,ESTIMATIVA[[#This Row],[QT_CANA_REAL]],ESTIMATIVA[[#This Row],[QT_CANA_REST2]])</f>
        <v>264.68</v>
      </c>
      <c r="AG814" s="1" t="str">
        <f>IF(COUNTIFS(GEADA!A:A,VALUE(ESTIMATIVA[[#This Row],[CD_UPNIVEL1]]&amp;TEXT(ESTIMATIVA[[#This Row],[CD_UPNIVEL3]],"0000")))&gt;0,"S","N")</f>
        <v>N</v>
      </c>
      <c r="AH81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14" s="55" t="str">
        <f>IF(ESTIMATIVA[[#This Row],[TP_CULTIVO]]="Irrigado",_xlfn.MAXIFS(IRRIGADO!J:J,IRRIGADO!C:C,ESTIMATIVA[[#This Row],[CD_UPNIVEL1]],IRRIGADO!E:E,ESTIMATIVA[[#This Row],[CD_UPNIVEL3]]),"")</f>
        <v/>
      </c>
      <c r="AJ81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14" s="1">
        <f>COUNTIFS(Apresentação!$E$23:$E$29,ESTIMATIVA[[#This Row],[CD_UPNIVEL1]])</f>
        <v>0</v>
      </c>
    </row>
    <row r="815" spans="1:37" x14ac:dyDescent="0.3">
      <c r="A815">
        <v>20432</v>
      </c>
      <c r="B815" t="s">
        <v>22</v>
      </c>
      <c r="C815">
        <v>125</v>
      </c>
      <c r="D815">
        <v>6</v>
      </c>
      <c r="E815" t="s">
        <v>261</v>
      </c>
      <c r="F815" s="85" t="s">
        <v>332</v>
      </c>
      <c r="G815"/>
      <c r="H815" t="s">
        <v>295</v>
      </c>
      <c r="I815" t="s">
        <v>202</v>
      </c>
      <c r="J815" t="s">
        <v>175</v>
      </c>
      <c r="K815" s="1">
        <v>3.78</v>
      </c>
      <c r="L815" s="1">
        <v>3.78</v>
      </c>
      <c r="M815" s="1">
        <v>3.78</v>
      </c>
      <c r="N815" s="1">
        <v>3.78</v>
      </c>
      <c r="O815" s="1">
        <v>170.1</v>
      </c>
      <c r="P815" s="1">
        <v>189</v>
      </c>
      <c r="Q815" s="1">
        <v>189</v>
      </c>
      <c r="R815" s="1">
        <v>116.56</v>
      </c>
      <c r="S815" t="s">
        <v>12</v>
      </c>
      <c r="T815" s="13">
        <v>45956</v>
      </c>
      <c r="U815" s="1" t="str">
        <f>IF(ESTIMATIVA[[#This Row],[QT_AREA_REAL]]&gt;0,"1- Colhido","2- à Colher")</f>
        <v>1- Colhido</v>
      </c>
      <c r="V815" s="1" t="str">
        <f>IF(ESTIMATIVA[[#This Row],[QT_AREA_REST1]]&gt;0,"Reestimativa 1",IF(ESTIMATIVA[[#This Row],[QT_AREA_REAL]]=0,"Reestimativa 1","Realizado"))</f>
        <v>Reestimativa 1</v>
      </c>
      <c r="W815" s="1" t="str">
        <f>IF(ESTIMATIVA[[#This Row],[QT_AREA_REST2]]&gt;0,"Reestimativa 2",IF(ESTIMATIVA[[#This Row],[QT_AREA_REAL]]=0,"Reestimativa 2","Realizado"))</f>
        <v>Reestimativa 2</v>
      </c>
      <c r="X815" s="1">
        <f>ESTIMATIVA[[#This Row],[QT_AREA_EST]]</f>
        <v>3.78</v>
      </c>
      <c r="Y815" s="1">
        <f>IF(ESTIMATIVA[[#This Row],[QT_AREA_REST1]]&gt;0,ESTIMATIVA[[#This Row],[QT_AREA_REST1]],
  IF(ESTIMATIVA[[#This Row],[QT_AREA_REAL]]&gt;0,ESTIMATIVA[[#This Row],[QT_AREA_REAL]],ESTIMATIVA[[#This Row],[QT_AREA_EST]]))</f>
        <v>3.78</v>
      </c>
      <c r="Z81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3.78</v>
      </c>
      <c r="AA815" s="1">
        <f>ESTIMATIVA[[#This Row],[QT_CANA_EST]]</f>
        <v>170.1</v>
      </c>
      <c r="AB815" s="1">
        <f>IF(ESTIMATIVA[[#This Row],[QT_CANA_REST1]]&gt;0,ESTIMATIVA[[#This Row],[QT_CANA_REST1]],
  IF(ESTIMATIVA[[#This Row],[QT_CANA_REAL]]&gt;0,ESTIMATIVA[[#This Row],[QT_CANA_REAL]],ESTIMATIVA[[#This Row],[QT_CANA_EST]]))</f>
        <v>189</v>
      </c>
      <c r="AC81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189</v>
      </c>
      <c r="AD815" s="1">
        <f>IF(ESTIMATIVA[[#This Row],[QT_AREA_REAL]]&gt;0,ESTIMATIVA[[#This Row],[QT_CANA_REAL]],ESTIMATIVA[[#This Row],[QT_CANA_EST]])</f>
        <v>116.56</v>
      </c>
      <c r="AE815" s="1">
        <f>IF(ESTIMATIVA[[#This Row],[QT_AREA_REAL]]&gt;0,ESTIMATIVA[[#This Row],[QT_CANA_REAL]],ESTIMATIVA[[#This Row],[QT_CANA_REST1]])</f>
        <v>116.56</v>
      </c>
      <c r="AF815" s="1">
        <f>IF(ESTIMATIVA[[#This Row],[QT_AREA_REAL]]&gt;0,ESTIMATIVA[[#This Row],[QT_CANA_REAL]],ESTIMATIVA[[#This Row],[QT_CANA_REST2]])</f>
        <v>116.56</v>
      </c>
      <c r="AG815" s="1" t="str">
        <f>IF(COUNTIFS(GEADA!A:A,VALUE(ESTIMATIVA[[#This Row],[CD_UPNIVEL1]]&amp;TEXT(ESTIMATIVA[[#This Row],[CD_UPNIVEL3]],"0000")))&gt;0,"S","N")</f>
        <v>N</v>
      </c>
      <c r="AH81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15" s="55" t="str">
        <f>IF(ESTIMATIVA[[#This Row],[TP_CULTIVO]]="Irrigado",_xlfn.MAXIFS(IRRIGADO!J:J,IRRIGADO!C:C,ESTIMATIVA[[#This Row],[CD_UPNIVEL1]],IRRIGADO!E:E,ESTIMATIVA[[#This Row],[CD_UPNIVEL3]]),"")</f>
        <v/>
      </c>
      <c r="AJ81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15" s="1">
        <f>COUNTIFS(Apresentação!$E$23:$E$29,ESTIMATIVA[[#This Row],[CD_UPNIVEL1]])</f>
        <v>0</v>
      </c>
    </row>
    <row r="816" spans="1:37" x14ac:dyDescent="0.3">
      <c r="A816">
        <v>20432</v>
      </c>
      <c r="B816" t="s">
        <v>22</v>
      </c>
      <c r="C816">
        <v>126</v>
      </c>
      <c r="D816">
        <v>4</v>
      </c>
      <c r="E816" t="s">
        <v>265</v>
      </c>
      <c r="F816" s="85" t="s">
        <v>332</v>
      </c>
      <c r="G816"/>
      <c r="H816" t="s">
        <v>295</v>
      </c>
      <c r="I816" t="s">
        <v>204</v>
      </c>
      <c r="J816" t="s">
        <v>175</v>
      </c>
      <c r="K816" s="1">
        <v>20.13</v>
      </c>
      <c r="L816" s="1">
        <v>20.13</v>
      </c>
      <c r="M816" s="1">
        <v>0</v>
      </c>
      <c r="N816" s="1">
        <v>20.13</v>
      </c>
      <c r="O816" s="1">
        <v>1650.66</v>
      </c>
      <c r="P816" s="1">
        <v>1670.79</v>
      </c>
      <c r="Q816" s="1">
        <v>0</v>
      </c>
      <c r="R816" s="1">
        <v>1476.28</v>
      </c>
      <c r="S816" t="s">
        <v>12</v>
      </c>
      <c r="T816" s="13">
        <v>45865</v>
      </c>
      <c r="U816" s="1" t="str">
        <f>IF(ESTIMATIVA[[#This Row],[QT_AREA_REAL]]&gt;0,"1- Colhido","2- à Colher")</f>
        <v>1- Colhido</v>
      </c>
      <c r="V816" s="1" t="str">
        <f>IF(ESTIMATIVA[[#This Row],[QT_AREA_REST1]]&gt;0,"Reestimativa 1",IF(ESTIMATIVA[[#This Row],[QT_AREA_REAL]]=0,"Reestimativa 1","Realizado"))</f>
        <v>Reestimativa 1</v>
      </c>
      <c r="W816" s="1" t="str">
        <f>IF(ESTIMATIVA[[#This Row],[QT_AREA_REST2]]&gt;0,"Reestimativa 2",IF(ESTIMATIVA[[#This Row],[QT_AREA_REAL]]=0,"Reestimativa 2","Realizado"))</f>
        <v>Realizado</v>
      </c>
      <c r="X816" s="1">
        <f>ESTIMATIVA[[#This Row],[QT_AREA_EST]]</f>
        <v>20.13</v>
      </c>
      <c r="Y816" s="1">
        <f>IF(ESTIMATIVA[[#This Row],[QT_AREA_REST1]]&gt;0,ESTIMATIVA[[#This Row],[QT_AREA_REST1]],
  IF(ESTIMATIVA[[#This Row],[QT_AREA_REAL]]&gt;0,ESTIMATIVA[[#This Row],[QT_AREA_REAL]],ESTIMATIVA[[#This Row],[QT_AREA_EST]]))</f>
        <v>20.13</v>
      </c>
      <c r="Z81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20.13</v>
      </c>
      <c r="AA816" s="1">
        <f>ESTIMATIVA[[#This Row],[QT_CANA_EST]]</f>
        <v>1650.66</v>
      </c>
      <c r="AB816" s="1">
        <f>IF(ESTIMATIVA[[#This Row],[QT_CANA_REST1]]&gt;0,ESTIMATIVA[[#This Row],[QT_CANA_REST1]],
  IF(ESTIMATIVA[[#This Row],[QT_CANA_REAL]]&gt;0,ESTIMATIVA[[#This Row],[QT_CANA_REAL]],ESTIMATIVA[[#This Row],[QT_CANA_EST]]))</f>
        <v>1670.79</v>
      </c>
      <c r="AC81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1476.28</v>
      </c>
      <c r="AD816" s="1">
        <f>IF(ESTIMATIVA[[#This Row],[QT_AREA_REAL]]&gt;0,ESTIMATIVA[[#This Row],[QT_CANA_REAL]],ESTIMATIVA[[#This Row],[QT_CANA_EST]])</f>
        <v>1476.28</v>
      </c>
      <c r="AE816" s="1">
        <f>IF(ESTIMATIVA[[#This Row],[QT_AREA_REAL]]&gt;0,ESTIMATIVA[[#This Row],[QT_CANA_REAL]],ESTIMATIVA[[#This Row],[QT_CANA_REST1]])</f>
        <v>1476.28</v>
      </c>
      <c r="AF816" s="1">
        <f>IF(ESTIMATIVA[[#This Row],[QT_AREA_REAL]]&gt;0,ESTIMATIVA[[#This Row],[QT_CANA_REAL]],ESTIMATIVA[[#This Row],[QT_CANA_REST2]])</f>
        <v>1476.28</v>
      </c>
      <c r="AG816" s="1" t="str">
        <f>IF(COUNTIFS(GEADA!A:A,VALUE(ESTIMATIVA[[#This Row],[CD_UPNIVEL1]]&amp;TEXT(ESTIMATIVA[[#This Row],[CD_UPNIVEL3]],"0000")))&gt;0,"S","N")</f>
        <v>N</v>
      </c>
      <c r="AH81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16" s="55" t="str">
        <f>IF(ESTIMATIVA[[#This Row],[TP_CULTIVO]]="Irrigado",_xlfn.MAXIFS(IRRIGADO!J:J,IRRIGADO!C:C,ESTIMATIVA[[#This Row],[CD_UPNIVEL1]],IRRIGADO!E:E,ESTIMATIVA[[#This Row],[CD_UPNIVEL3]]),"")</f>
        <v/>
      </c>
      <c r="AJ81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16" s="1">
        <f>COUNTIFS(Apresentação!$E$23:$E$29,ESTIMATIVA[[#This Row],[CD_UPNIVEL1]])</f>
        <v>0</v>
      </c>
    </row>
    <row r="817" spans="1:37" x14ac:dyDescent="0.3">
      <c r="A817">
        <v>20432</v>
      </c>
      <c r="B817" t="s">
        <v>22</v>
      </c>
      <c r="C817">
        <v>127</v>
      </c>
      <c r="D817">
        <v>4</v>
      </c>
      <c r="E817" t="s">
        <v>265</v>
      </c>
      <c r="F817" s="85" t="s">
        <v>332</v>
      </c>
      <c r="G817"/>
      <c r="H817" t="s">
        <v>295</v>
      </c>
      <c r="I817" t="s">
        <v>204</v>
      </c>
      <c r="J817" t="s">
        <v>175</v>
      </c>
      <c r="K817" s="1">
        <v>19.18</v>
      </c>
      <c r="L817" s="1">
        <v>19.18</v>
      </c>
      <c r="M817" s="1">
        <v>0</v>
      </c>
      <c r="N817" s="1">
        <v>19.18</v>
      </c>
      <c r="O817" s="1">
        <v>1572.76</v>
      </c>
      <c r="P817" s="1">
        <v>1591.94</v>
      </c>
      <c r="Q817" s="1">
        <v>0</v>
      </c>
      <c r="R817" s="1">
        <v>1406.49</v>
      </c>
      <c r="S817" t="s">
        <v>12</v>
      </c>
      <c r="T817" s="13">
        <v>45865</v>
      </c>
      <c r="U817" s="1" t="str">
        <f>IF(ESTIMATIVA[[#This Row],[QT_AREA_REAL]]&gt;0,"1- Colhido","2- à Colher")</f>
        <v>1- Colhido</v>
      </c>
      <c r="V817" s="1" t="str">
        <f>IF(ESTIMATIVA[[#This Row],[QT_AREA_REST1]]&gt;0,"Reestimativa 1",IF(ESTIMATIVA[[#This Row],[QT_AREA_REAL]]=0,"Reestimativa 1","Realizado"))</f>
        <v>Reestimativa 1</v>
      </c>
      <c r="W817" s="1" t="str">
        <f>IF(ESTIMATIVA[[#This Row],[QT_AREA_REST2]]&gt;0,"Reestimativa 2",IF(ESTIMATIVA[[#This Row],[QT_AREA_REAL]]=0,"Reestimativa 2","Realizado"))</f>
        <v>Realizado</v>
      </c>
      <c r="X817" s="1">
        <f>ESTIMATIVA[[#This Row],[QT_AREA_EST]]</f>
        <v>19.18</v>
      </c>
      <c r="Y817" s="1">
        <f>IF(ESTIMATIVA[[#This Row],[QT_AREA_REST1]]&gt;0,ESTIMATIVA[[#This Row],[QT_AREA_REST1]],
  IF(ESTIMATIVA[[#This Row],[QT_AREA_REAL]]&gt;0,ESTIMATIVA[[#This Row],[QT_AREA_REAL]],ESTIMATIVA[[#This Row],[QT_AREA_EST]]))</f>
        <v>19.18</v>
      </c>
      <c r="Z81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19.18</v>
      </c>
      <c r="AA817" s="1">
        <f>ESTIMATIVA[[#This Row],[QT_CANA_EST]]</f>
        <v>1572.76</v>
      </c>
      <c r="AB817" s="1">
        <f>IF(ESTIMATIVA[[#This Row],[QT_CANA_REST1]]&gt;0,ESTIMATIVA[[#This Row],[QT_CANA_REST1]],
  IF(ESTIMATIVA[[#This Row],[QT_CANA_REAL]]&gt;0,ESTIMATIVA[[#This Row],[QT_CANA_REAL]],ESTIMATIVA[[#This Row],[QT_CANA_EST]]))</f>
        <v>1591.94</v>
      </c>
      <c r="AC81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1406.49</v>
      </c>
      <c r="AD817" s="1">
        <f>IF(ESTIMATIVA[[#This Row],[QT_AREA_REAL]]&gt;0,ESTIMATIVA[[#This Row],[QT_CANA_REAL]],ESTIMATIVA[[#This Row],[QT_CANA_EST]])</f>
        <v>1406.49</v>
      </c>
      <c r="AE817" s="1">
        <f>IF(ESTIMATIVA[[#This Row],[QT_AREA_REAL]]&gt;0,ESTIMATIVA[[#This Row],[QT_CANA_REAL]],ESTIMATIVA[[#This Row],[QT_CANA_REST1]])</f>
        <v>1406.49</v>
      </c>
      <c r="AF817" s="1">
        <f>IF(ESTIMATIVA[[#This Row],[QT_AREA_REAL]]&gt;0,ESTIMATIVA[[#This Row],[QT_CANA_REAL]],ESTIMATIVA[[#This Row],[QT_CANA_REST2]])</f>
        <v>1406.49</v>
      </c>
      <c r="AG817" s="1" t="str">
        <f>IF(COUNTIFS(GEADA!A:A,VALUE(ESTIMATIVA[[#This Row],[CD_UPNIVEL1]]&amp;TEXT(ESTIMATIVA[[#This Row],[CD_UPNIVEL3]],"0000")))&gt;0,"S","N")</f>
        <v>N</v>
      </c>
      <c r="AH81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17" s="55" t="str">
        <f>IF(ESTIMATIVA[[#This Row],[TP_CULTIVO]]="Irrigado",_xlfn.MAXIFS(IRRIGADO!J:J,IRRIGADO!C:C,ESTIMATIVA[[#This Row],[CD_UPNIVEL1]],IRRIGADO!E:E,ESTIMATIVA[[#This Row],[CD_UPNIVEL3]]),"")</f>
        <v/>
      </c>
      <c r="AJ81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17" s="1">
        <f>COUNTIFS(Apresentação!$E$23:$E$29,ESTIMATIVA[[#This Row],[CD_UPNIVEL1]])</f>
        <v>0</v>
      </c>
    </row>
    <row r="818" spans="1:37" x14ac:dyDescent="0.3">
      <c r="A818">
        <v>20432</v>
      </c>
      <c r="B818" t="s">
        <v>22</v>
      </c>
      <c r="C818">
        <v>128</v>
      </c>
      <c r="D818">
        <v>4</v>
      </c>
      <c r="E818" t="s">
        <v>265</v>
      </c>
      <c r="F818" s="85" t="s">
        <v>332</v>
      </c>
      <c r="G818"/>
      <c r="H818" t="s">
        <v>295</v>
      </c>
      <c r="I818" t="s">
        <v>204</v>
      </c>
      <c r="J818" t="s">
        <v>175</v>
      </c>
      <c r="K818" s="1">
        <v>19.22</v>
      </c>
      <c r="L818" s="1">
        <v>19.22</v>
      </c>
      <c r="M818" s="1">
        <v>0</v>
      </c>
      <c r="N818" s="1">
        <v>19.22</v>
      </c>
      <c r="O818" s="1">
        <v>1576.04</v>
      </c>
      <c r="P818" s="1">
        <v>1595.26</v>
      </c>
      <c r="Q818" s="1">
        <v>0</v>
      </c>
      <c r="R818" s="1">
        <v>1409.15</v>
      </c>
      <c r="S818" t="s">
        <v>12</v>
      </c>
      <c r="T818" s="13">
        <v>45865</v>
      </c>
      <c r="U818" s="1" t="str">
        <f>IF(ESTIMATIVA[[#This Row],[QT_AREA_REAL]]&gt;0,"1- Colhido","2- à Colher")</f>
        <v>1- Colhido</v>
      </c>
      <c r="V818" s="1" t="str">
        <f>IF(ESTIMATIVA[[#This Row],[QT_AREA_REST1]]&gt;0,"Reestimativa 1",IF(ESTIMATIVA[[#This Row],[QT_AREA_REAL]]=0,"Reestimativa 1","Realizado"))</f>
        <v>Reestimativa 1</v>
      </c>
      <c r="W818" s="1" t="str">
        <f>IF(ESTIMATIVA[[#This Row],[QT_AREA_REST2]]&gt;0,"Reestimativa 2",IF(ESTIMATIVA[[#This Row],[QT_AREA_REAL]]=0,"Reestimativa 2","Realizado"))</f>
        <v>Realizado</v>
      </c>
      <c r="X818" s="1">
        <f>ESTIMATIVA[[#This Row],[QT_AREA_EST]]</f>
        <v>19.22</v>
      </c>
      <c r="Y818" s="1">
        <f>IF(ESTIMATIVA[[#This Row],[QT_AREA_REST1]]&gt;0,ESTIMATIVA[[#This Row],[QT_AREA_REST1]],
  IF(ESTIMATIVA[[#This Row],[QT_AREA_REAL]]&gt;0,ESTIMATIVA[[#This Row],[QT_AREA_REAL]],ESTIMATIVA[[#This Row],[QT_AREA_EST]]))</f>
        <v>19.22</v>
      </c>
      <c r="Z81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19.22</v>
      </c>
      <c r="AA818" s="1">
        <f>ESTIMATIVA[[#This Row],[QT_CANA_EST]]</f>
        <v>1576.04</v>
      </c>
      <c r="AB818" s="1">
        <f>IF(ESTIMATIVA[[#This Row],[QT_CANA_REST1]]&gt;0,ESTIMATIVA[[#This Row],[QT_CANA_REST1]],
  IF(ESTIMATIVA[[#This Row],[QT_CANA_REAL]]&gt;0,ESTIMATIVA[[#This Row],[QT_CANA_REAL]],ESTIMATIVA[[#This Row],[QT_CANA_EST]]))</f>
        <v>1595.26</v>
      </c>
      <c r="AC81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1409.15</v>
      </c>
      <c r="AD818" s="1">
        <f>IF(ESTIMATIVA[[#This Row],[QT_AREA_REAL]]&gt;0,ESTIMATIVA[[#This Row],[QT_CANA_REAL]],ESTIMATIVA[[#This Row],[QT_CANA_EST]])</f>
        <v>1409.15</v>
      </c>
      <c r="AE818" s="1">
        <f>IF(ESTIMATIVA[[#This Row],[QT_AREA_REAL]]&gt;0,ESTIMATIVA[[#This Row],[QT_CANA_REAL]],ESTIMATIVA[[#This Row],[QT_CANA_REST1]])</f>
        <v>1409.15</v>
      </c>
      <c r="AF818" s="1">
        <f>IF(ESTIMATIVA[[#This Row],[QT_AREA_REAL]]&gt;0,ESTIMATIVA[[#This Row],[QT_CANA_REAL]],ESTIMATIVA[[#This Row],[QT_CANA_REST2]])</f>
        <v>1409.15</v>
      </c>
      <c r="AG818" s="1" t="str">
        <f>IF(COUNTIFS(GEADA!A:A,VALUE(ESTIMATIVA[[#This Row],[CD_UPNIVEL1]]&amp;TEXT(ESTIMATIVA[[#This Row],[CD_UPNIVEL3]],"0000")))&gt;0,"S","N")</f>
        <v>N</v>
      </c>
      <c r="AH81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18" s="55" t="str">
        <f>IF(ESTIMATIVA[[#This Row],[TP_CULTIVO]]="Irrigado",_xlfn.MAXIFS(IRRIGADO!J:J,IRRIGADO!C:C,ESTIMATIVA[[#This Row],[CD_UPNIVEL1]],IRRIGADO!E:E,ESTIMATIVA[[#This Row],[CD_UPNIVEL3]]),"")</f>
        <v/>
      </c>
      <c r="AJ81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18" s="1">
        <f>COUNTIFS(Apresentação!$E$23:$E$29,ESTIMATIVA[[#This Row],[CD_UPNIVEL1]])</f>
        <v>0</v>
      </c>
    </row>
    <row r="819" spans="1:37" x14ac:dyDescent="0.3">
      <c r="A819">
        <v>20432</v>
      </c>
      <c r="B819" t="s">
        <v>22</v>
      </c>
      <c r="C819">
        <v>129</v>
      </c>
      <c r="D819">
        <v>4</v>
      </c>
      <c r="E819" t="s">
        <v>265</v>
      </c>
      <c r="F819" s="85" t="s">
        <v>332</v>
      </c>
      <c r="G819"/>
      <c r="H819" t="s">
        <v>295</v>
      </c>
      <c r="I819" t="s">
        <v>210</v>
      </c>
      <c r="J819" t="s">
        <v>175</v>
      </c>
      <c r="K819" s="1">
        <v>5.07</v>
      </c>
      <c r="L819" s="1">
        <v>5.07</v>
      </c>
      <c r="M819" s="1">
        <v>0</v>
      </c>
      <c r="N819" s="1">
        <v>5.07</v>
      </c>
      <c r="O819" s="1">
        <v>415.74</v>
      </c>
      <c r="P819" s="1">
        <v>420.81</v>
      </c>
      <c r="Q819" s="1">
        <v>0</v>
      </c>
      <c r="R819" s="1">
        <v>371.87</v>
      </c>
      <c r="S819" t="s">
        <v>12</v>
      </c>
      <c r="T819" s="13">
        <v>45865</v>
      </c>
      <c r="U819" s="1" t="str">
        <f>IF(ESTIMATIVA[[#This Row],[QT_AREA_REAL]]&gt;0,"1- Colhido","2- à Colher")</f>
        <v>1- Colhido</v>
      </c>
      <c r="V819" s="1" t="str">
        <f>IF(ESTIMATIVA[[#This Row],[QT_AREA_REST1]]&gt;0,"Reestimativa 1",IF(ESTIMATIVA[[#This Row],[QT_AREA_REAL]]=0,"Reestimativa 1","Realizado"))</f>
        <v>Reestimativa 1</v>
      </c>
      <c r="W819" s="1" t="str">
        <f>IF(ESTIMATIVA[[#This Row],[QT_AREA_REST2]]&gt;0,"Reestimativa 2",IF(ESTIMATIVA[[#This Row],[QT_AREA_REAL]]=0,"Reestimativa 2","Realizado"))</f>
        <v>Realizado</v>
      </c>
      <c r="X819" s="1">
        <f>ESTIMATIVA[[#This Row],[QT_AREA_EST]]</f>
        <v>5.07</v>
      </c>
      <c r="Y819" s="1">
        <f>IF(ESTIMATIVA[[#This Row],[QT_AREA_REST1]]&gt;0,ESTIMATIVA[[#This Row],[QT_AREA_REST1]],
  IF(ESTIMATIVA[[#This Row],[QT_AREA_REAL]]&gt;0,ESTIMATIVA[[#This Row],[QT_AREA_REAL]],ESTIMATIVA[[#This Row],[QT_AREA_EST]]))</f>
        <v>5.07</v>
      </c>
      <c r="Z81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5.07</v>
      </c>
      <c r="AA819" s="1">
        <f>ESTIMATIVA[[#This Row],[QT_CANA_EST]]</f>
        <v>415.74</v>
      </c>
      <c r="AB819" s="1">
        <f>IF(ESTIMATIVA[[#This Row],[QT_CANA_REST1]]&gt;0,ESTIMATIVA[[#This Row],[QT_CANA_REST1]],
  IF(ESTIMATIVA[[#This Row],[QT_CANA_REAL]]&gt;0,ESTIMATIVA[[#This Row],[QT_CANA_REAL]],ESTIMATIVA[[#This Row],[QT_CANA_EST]]))</f>
        <v>420.81</v>
      </c>
      <c r="AC81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371.87</v>
      </c>
      <c r="AD819" s="1">
        <f>IF(ESTIMATIVA[[#This Row],[QT_AREA_REAL]]&gt;0,ESTIMATIVA[[#This Row],[QT_CANA_REAL]],ESTIMATIVA[[#This Row],[QT_CANA_EST]])</f>
        <v>371.87</v>
      </c>
      <c r="AE819" s="1">
        <f>IF(ESTIMATIVA[[#This Row],[QT_AREA_REAL]]&gt;0,ESTIMATIVA[[#This Row],[QT_CANA_REAL]],ESTIMATIVA[[#This Row],[QT_CANA_REST1]])</f>
        <v>371.87</v>
      </c>
      <c r="AF819" s="1">
        <f>IF(ESTIMATIVA[[#This Row],[QT_AREA_REAL]]&gt;0,ESTIMATIVA[[#This Row],[QT_CANA_REAL]],ESTIMATIVA[[#This Row],[QT_CANA_REST2]])</f>
        <v>371.87</v>
      </c>
      <c r="AG819" s="1" t="str">
        <f>IF(COUNTIFS(GEADA!A:A,VALUE(ESTIMATIVA[[#This Row],[CD_UPNIVEL1]]&amp;TEXT(ESTIMATIVA[[#This Row],[CD_UPNIVEL3]],"0000")))&gt;0,"S","N")</f>
        <v>N</v>
      </c>
      <c r="AH81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19" s="55" t="str">
        <f>IF(ESTIMATIVA[[#This Row],[TP_CULTIVO]]="Irrigado",_xlfn.MAXIFS(IRRIGADO!J:J,IRRIGADO!C:C,ESTIMATIVA[[#This Row],[CD_UPNIVEL1]],IRRIGADO!E:E,ESTIMATIVA[[#This Row],[CD_UPNIVEL3]]),"")</f>
        <v/>
      </c>
      <c r="AJ81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19" s="1">
        <f>COUNTIFS(Apresentação!$E$23:$E$29,ESTIMATIVA[[#This Row],[CD_UPNIVEL1]])</f>
        <v>0</v>
      </c>
    </row>
    <row r="820" spans="1:37" x14ac:dyDescent="0.3">
      <c r="A820">
        <v>20432</v>
      </c>
      <c r="B820" t="s">
        <v>22</v>
      </c>
      <c r="C820">
        <v>130</v>
      </c>
      <c r="D820">
        <v>4</v>
      </c>
      <c r="E820" t="s">
        <v>265</v>
      </c>
      <c r="F820" s="85" t="s">
        <v>332</v>
      </c>
      <c r="G820"/>
      <c r="H820" t="s">
        <v>295</v>
      </c>
      <c r="I820" t="s">
        <v>210</v>
      </c>
      <c r="J820" t="s">
        <v>175</v>
      </c>
      <c r="K820" s="1">
        <v>12.85</v>
      </c>
      <c r="L820" s="1">
        <v>12.85</v>
      </c>
      <c r="M820" s="1">
        <v>0</v>
      </c>
      <c r="N820" s="1">
        <v>12.85</v>
      </c>
      <c r="O820" s="1">
        <v>1053.7</v>
      </c>
      <c r="P820" s="1">
        <v>1066.55</v>
      </c>
      <c r="Q820" s="1">
        <v>0</v>
      </c>
      <c r="R820" s="1">
        <v>942.63</v>
      </c>
      <c r="S820" t="s">
        <v>12</v>
      </c>
      <c r="T820" s="13">
        <v>45865</v>
      </c>
      <c r="U820" s="1" t="str">
        <f>IF(ESTIMATIVA[[#This Row],[QT_AREA_REAL]]&gt;0,"1- Colhido","2- à Colher")</f>
        <v>1- Colhido</v>
      </c>
      <c r="V820" s="1" t="str">
        <f>IF(ESTIMATIVA[[#This Row],[QT_AREA_REST1]]&gt;0,"Reestimativa 1",IF(ESTIMATIVA[[#This Row],[QT_AREA_REAL]]=0,"Reestimativa 1","Realizado"))</f>
        <v>Reestimativa 1</v>
      </c>
      <c r="W820" s="1" t="str">
        <f>IF(ESTIMATIVA[[#This Row],[QT_AREA_REST2]]&gt;0,"Reestimativa 2",IF(ESTIMATIVA[[#This Row],[QT_AREA_REAL]]=0,"Reestimativa 2","Realizado"))</f>
        <v>Realizado</v>
      </c>
      <c r="X820" s="1">
        <f>ESTIMATIVA[[#This Row],[QT_AREA_EST]]</f>
        <v>12.85</v>
      </c>
      <c r="Y820" s="1">
        <f>IF(ESTIMATIVA[[#This Row],[QT_AREA_REST1]]&gt;0,ESTIMATIVA[[#This Row],[QT_AREA_REST1]],
  IF(ESTIMATIVA[[#This Row],[QT_AREA_REAL]]&gt;0,ESTIMATIVA[[#This Row],[QT_AREA_REAL]],ESTIMATIVA[[#This Row],[QT_AREA_EST]]))</f>
        <v>12.85</v>
      </c>
      <c r="Z82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12.85</v>
      </c>
      <c r="AA820" s="1">
        <f>ESTIMATIVA[[#This Row],[QT_CANA_EST]]</f>
        <v>1053.7</v>
      </c>
      <c r="AB820" s="1">
        <f>IF(ESTIMATIVA[[#This Row],[QT_CANA_REST1]]&gt;0,ESTIMATIVA[[#This Row],[QT_CANA_REST1]],
  IF(ESTIMATIVA[[#This Row],[QT_CANA_REAL]]&gt;0,ESTIMATIVA[[#This Row],[QT_CANA_REAL]],ESTIMATIVA[[#This Row],[QT_CANA_EST]]))</f>
        <v>1066.55</v>
      </c>
      <c r="AC82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942.63</v>
      </c>
      <c r="AD820" s="1">
        <f>IF(ESTIMATIVA[[#This Row],[QT_AREA_REAL]]&gt;0,ESTIMATIVA[[#This Row],[QT_CANA_REAL]],ESTIMATIVA[[#This Row],[QT_CANA_EST]])</f>
        <v>942.63</v>
      </c>
      <c r="AE820" s="1">
        <f>IF(ESTIMATIVA[[#This Row],[QT_AREA_REAL]]&gt;0,ESTIMATIVA[[#This Row],[QT_CANA_REAL]],ESTIMATIVA[[#This Row],[QT_CANA_REST1]])</f>
        <v>942.63</v>
      </c>
      <c r="AF820" s="1">
        <f>IF(ESTIMATIVA[[#This Row],[QT_AREA_REAL]]&gt;0,ESTIMATIVA[[#This Row],[QT_CANA_REAL]],ESTIMATIVA[[#This Row],[QT_CANA_REST2]])</f>
        <v>942.63</v>
      </c>
      <c r="AG820" s="1" t="str">
        <f>IF(COUNTIFS(GEADA!A:A,VALUE(ESTIMATIVA[[#This Row],[CD_UPNIVEL1]]&amp;TEXT(ESTIMATIVA[[#This Row],[CD_UPNIVEL3]],"0000")))&gt;0,"S","N")</f>
        <v>N</v>
      </c>
      <c r="AH82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20" s="55" t="str">
        <f>IF(ESTIMATIVA[[#This Row],[TP_CULTIVO]]="Irrigado",_xlfn.MAXIFS(IRRIGADO!J:J,IRRIGADO!C:C,ESTIMATIVA[[#This Row],[CD_UPNIVEL1]],IRRIGADO!E:E,ESTIMATIVA[[#This Row],[CD_UPNIVEL3]]),"")</f>
        <v/>
      </c>
      <c r="AJ82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20" s="1">
        <f>COUNTIFS(Apresentação!$E$23:$E$29,ESTIMATIVA[[#This Row],[CD_UPNIVEL1]])</f>
        <v>0</v>
      </c>
    </row>
    <row r="821" spans="1:37" x14ac:dyDescent="0.3">
      <c r="A821">
        <v>20432</v>
      </c>
      <c r="B821" t="s">
        <v>22</v>
      </c>
      <c r="C821">
        <v>131</v>
      </c>
      <c r="D821">
        <v>4</v>
      </c>
      <c r="E821" t="s">
        <v>265</v>
      </c>
      <c r="F821" s="85" t="s">
        <v>332</v>
      </c>
      <c r="G821"/>
      <c r="H821" t="s">
        <v>295</v>
      </c>
      <c r="I821" t="s">
        <v>210</v>
      </c>
      <c r="J821" t="s">
        <v>175</v>
      </c>
      <c r="K821" s="1">
        <v>20.8</v>
      </c>
      <c r="L821" s="1">
        <v>20.8</v>
      </c>
      <c r="M821" s="1">
        <v>0</v>
      </c>
      <c r="N821" s="1">
        <v>20.8</v>
      </c>
      <c r="O821" s="1">
        <v>1705.6</v>
      </c>
      <c r="P821" s="1">
        <v>1726.4</v>
      </c>
      <c r="Q821" s="1">
        <v>0</v>
      </c>
      <c r="R821" s="1">
        <v>1525.54</v>
      </c>
      <c r="S821" t="s">
        <v>12</v>
      </c>
      <c r="T821" s="13">
        <v>45865</v>
      </c>
      <c r="U821" s="1" t="str">
        <f>IF(ESTIMATIVA[[#This Row],[QT_AREA_REAL]]&gt;0,"1- Colhido","2- à Colher")</f>
        <v>1- Colhido</v>
      </c>
      <c r="V821" s="1" t="str">
        <f>IF(ESTIMATIVA[[#This Row],[QT_AREA_REST1]]&gt;0,"Reestimativa 1",IF(ESTIMATIVA[[#This Row],[QT_AREA_REAL]]=0,"Reestimativa 1","Realizado"))</f>
        <v>Reestimativa 1</v>
      </c>
      <c r="W821" s="1" t="str">
        <f>IF(ESTIMATIVA[[#This Row],[QT_AREA_REST2]]&gt;0,"Reestimativa 2",IF(ESTIMATIVA[[#This Row],[QT_AREA_REAL]]=0,"Reestimativa 2","Realizado"))</f>
        <v>Realizado</v>
      </c>
      <c r="X821" s="1">
        <f>ESTIMATIVA[[#This Row],[QT_AREA_EST]]</f>
        <v>20.8</v>
      </c>
      <c r="Y821" s="1">
        <f>IF(ESTIMATIVA[[#This Row],[QT_AREA_REST1]]&gt;0,ESTIMATIVA[[#This Row],[QT_AREA_REST1]],
  IF(ESTIMATIVA[[#This Row],[QT_AREA_REAL]]&gt;0,ESTIMATIVA[[#This Row],[QT_AREA_REAL]],ESTIMATIVA[[#This Row],[QT_AREA_EST]]))</f>
        <v>20.8</v>
      </c>
      <c r="Z82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20.8</v>
      </c>
      <c r="AA821" s="1">
        <f>ESTIMATIVA[[#This Row],[QT_CANA_EST]]</f>
        <v>1705.6</v>
      </c>
      <c r="AB821" s="1">
        <f>IF(ESTIMATIVA[[#This Row],[QT_CANA_REST1]]&gt;0,ESTIMATIVA[[#This Row],[QT_CANA_REST1]],
  IF(ESTIMATIVA[[#This Row],[QT_CANA_REAL]]&gt;0,ESTIMATIVA[[#This Row],[QT_CANA_REAL]],ESTIMATIVA[[#This Row],[QT_CANA_EST]]))</f>
        <v>1726.4</v>
      </c>
      <c r="AC82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1525.54</v>
      </c>
      <c r="AD821" s="1">
        <f>IF(ESTIMATIVA[[#This Row],[QT_AREA_REAL]]&gt;0,ESTIMATIVA[[#This Row],[QT_CANA_REAL]],ESTIMATIVA[[#This Row],[QT_CANA_EST]])</f>
        <v>1525.54</v>
      </c>
      <c r="AE821" s="1">
        <f>IF(ESTIMATIVA[[#This Row],[QT_AREA_REAL]]&gt;0,ESTIMATIVA[[#This Row],[QT_CANA_REAL]],ESTIMATIVA[[#This Row],[QT_CANA_REST1]])</f>
        <v>1525.54</v>
      </c>
      <c r="AF821" s="1">
        <f>IF(ESTIMATIVA[[#This Row],[QT_AREA_REAL]]&gt;0,ESTIMATIVA[[#This Row],[QT_CANA_REAL]],ESTIMATIVA[[#This Row],[QT_CANA_REST2]])</f>
        <v>1525.54</v>
      </c>
      <c r="AG821" s="1" t="str">
        <f>IF(COUNTIFS(GEADA!A:A,VALUE(ESTIMATIVA[[#This Row],[CD_UPNIVEL1]]&amp;TEXT(ESTIMATIVA[[#This Row],[CD_UPNIVEL3]],"0000")))&gt;0,"S","N")</f>
        <v>N</v>
      </c>
      <c r="AH82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21" s="55" t="str">
        <f>IF(ESTIMATIVA[[#This Row],[TP_CULTIVO]]="Irrigado",_xlfn.MAXIFS(IRRIGADO!J:J,IRRIGADO!C:C,ESTIMATIVA[[#This Row],[CD_UPNIVEL1]],IRRIGADO!E:E,ESTIMATIVA[[#This Row],[CD_UPNIVEL3]]),"")</f>
        <v/>
      </c>
      <c r="AJ82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21" s="1">
        <f>COUNTIFS(Apresentação!$E$23:$E$29,ESTIMATIVA[[#This Row],[CD_UPNIVEL1]])</f>
        <v>0</v>
      </c>
    </row>
    <row r="822" spans="1:37" x14ac:dyDescent="0.3">
      <c r="A822">
        <v>20432</v>
      </c>
      <c r="B822" t="s">
        <v>22</v>
      </c>
      <c r="C822">
        <v>169</v>
      </c>
      <c r="D822">
        <v>1</v>
      </c>
      <c r="E822" t="s">
        <v>267</v>
      </c>
      <c r="F822" s="85" t="s">
        <v>330</v>
      </c>
      <c r="G822"/>
      <c r="H822" t="s">
        <v>295</v>
      </c>
      <c r="I822" t="s">
        <v>210</v>
      </c>
      <c r="J822" t="s">
        <v>175</v>
      </c>
      <c r="K822" s="1">
        <v>32.520000000000003</v>
      </c>
      <c r="L822" s="1">
        <v>0</v>
      </c>
      <c r="M822" s="1">
        <v>0</v>
      </c>
      <c r="N822" s="1">
        <v>32.520000000000003</v>
      </c>
      <c r="O822" s="1">
        <v>3382.08</v>
      </c>
      <c r="P822" s="1">
        <v>0</v>
      </c>
      <c r="Q822" s="1">
        <v>0</v>
      </c>
      <c r="R822" s="1">
        <v>3018.77</v>
      </c>
      <c r="S822" t="s">
        <v>12</v>
      </c>
      <c r="T822" s="13">
        <v>45760</v>
      </c>
      <c r="U822" s="1" t="str">
        <f>IF(ESTIMATIVA[[#This Row],[QT_AREA_REAL]]&gt;0,"1- Colhido","2- à Colher")</f>
        <v>1- Colhido</v>
      </c>
      <c r="V822" s="1" t="str">
        <f>IF(ESTIMATIVA[[#This Row],[QT_AREA_REST1]]&gt;0,"Reestimativa 1",IF(ESTIMATIVA[[#This Row],[QT_AREA_REAL]]=0,"Reestimativa 1","Realizado"))</f>
        <v>Realizado</v>
      </c>
      <c r="W822" s="1" t="str">
        <f>IF(ESTIMATIVA[[#This Row],[QT_AREA_REST2]]&gt;0,"Reestimativa 2",IF(ESTIMATIVA[[#This Row],[QT_AREA_REAL]]=0,"Reestimativa 2","Realizado"))</f>
        <v>Realizado</v>
      </c>
      <c r="X822" s="1">
        <f>ESTIMATIVA[[#This Row],[QT_AREA_EST]]</f>
        <v>32.520000000000003</v>
      </c>
      <c r="Y822" s="1">
        <f>IF(ESTIMATIVA[[#This Row],[QT_AREA_REST1]]&gt;0,ESTIMATIVA[[#This Row],[QT_AREA_REST1]],
  IF(ESTIMATIVA[[#This Row],[QT_AREA_REAL]]&gt;0,ESTIMATIVA[[#This Row],[QT_AREA_REAL]],ESTIMATIVA[[#This Row],[QT_AREA_EST]]))</f>
        <v>32.520000000000003</v>
      </c>
      <c r="Z82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32.520000000000003</v>
      </c>
      <c r="AA822" s="1">
        <f>ESTIMATIVA[[#This Row],[QT_CANA_EST]]</f>
        <v>3382.08</v>
      </c>
      <c r="AB822" s="1">
        <f>IF(ESTIMATIVA[[#This Row],[QT_CANA_REST1]]&gt;0,ESTIMATIVA[[#This Row],[QT_CANA_REST1]],
  IF(ESTIMATIVA[[#This Row],[QT_CANA_REAL]]&gt;0,ESTIMATIVA[[#This Row],[QT_CANA_REAL]],ESTIMATIVA[[#This Row],[QT_CANA_EST]]))</f>
        <v>3018.77</v>
      </c>
      <c r="AC82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3018.77</v>
      </c>
      <c r="AD822" s="1">
        <f>IF(ESTIMATIVA[[#This Row],[QT_AREA_REAL]]&gt;0,ESTIMATIVA[[#This Row],[QT_CANA_REAL]],ESTIMATIVA[[#This Row],[QT_CANA_EST]])</f>
        <v>3018.77</v>
      </c>
      <c r="AE822" s="1">
        <f>IF(ESTIMATIVA[[#This Row],[QT_AREA_REAL]]&gt;0,ESTIMATIVA[[#This Row],[QT_CANA_REAL]],ESTIMATIVA[[#This Row],[QT_CANA_REST1]])</f>
        <v>3018.77</v>
      </c>
      <c r="AF822" s="1">
        <f>IF(ESTIMATIVA[[#This Row],[QT_AREA_REAL]]&gt;0,ESTIMATIVA[[#This Row],[QT_CANA_REAL]],ESTIMATIVA[[#This Row],[QT_CANA_REST2]])</f>
        <v>3018.77</v>
      </c>
      <c r="AG822" s="1" t="str">
        <f>IF(COUNTIFS(GEADA!A:A,VALUE(ESTIMATIVA[[#This Row],[CD_UPNIVEL1]]&amp;TEXT(ESTIMATIVA[[#This Row],[CD_UPNIVEL3]],"0000")))&gt;0,"S","N")</f>
        <v>N</v>
      </c>
      <c r="AH82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22" s="55" t="str">
        <f>IF(ESTIMATIVA[[#This Row],[TP_CULTIVO]]="Irrigado",_xlfn.MAXIFS(IRRIGADO!J:J,IRRIGADO!C:C,ESTIMATIVA[[#This Row],[CD_UPNIVEL1]],IRRIGADO!E:E,ESTIMATIVA[[#This Row],[CD_UPNIVEL3]]),"")</f>
        <v/>
      </c>
      <c r="AJ82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22" s="1">
        <f>COUNTIFS(Apresentação!$E$23:$E$29,ESTIMATIVA[[#This Row],[CD_UPNIVEL1]])</f>
        <v>0</v>
      </c>
    </row>
    <row r="823" spans="1:37" x14ac:dyDescent="0.3">
      <c r="A823">
        <v>20432</v>
      </c>
      <c r="B823" t="s">
        <v>22</v>
      </c>
      <c r="C823">
        <v>170</v>
      </c>
      <c r="D823">
        <v>1</v>
      </c>
      <c r="E823" t="s">
        <v>267</v>
      </c>
      <c r="F823" s="85" t="s">
        <v>332</v>
      </c>
      <c r="G823"/>
      <c r="H823" t="s">
        <v>295</v>
      </c>
      <c r="I823" t="s">
        <v>218</v>
      </c>
      <c r="J823" t="s">
        <v>175</v>
      </c>
      <c r="K823" s="1">
        <v>58.29</v>
      </c>
      <c r="L823" s="1">
        <v>0</v>
      </c>
      <c r="M823" s="1">
        <v>0</v>
      </c>
      <c r="N823" s="1">
        <v>58.29</v>
      </c>
      <c r="O823" s="1">
        <v>5829</v>
      </c>
      <c r="P823" s="1">
        <v>0</v>
      </c>
      <c r="Q823" s="1">
        <v>0</v>
      </c>
      <c r="R823" s="1">
        <v>5743.88</v>
      </c>
      <c r="S823" t="s">
        <v>12</v>
      </c>
      <c r="T823" s="13">
        <v>45760</v>
      </c>
      <c r="U823" s="1" t="str">
        <f>IF(ESTIMATIVA[[#This Row],[QT_AREA_REAL]]&gt;0,"1- Colhido","2- à Colher")</f>
        <v>1- Colhido</v>
      </c>
      <c r="V823" s="1" t="str">
        <f>IF(ESTIMATIVA[[#This Row],[QT_AREA_REST1]]&gt;0,"Reestimativa 1",IF(ESTIMATIVA[[#This Row],[QT_AREA_REAL]]=0,"Reestimativa 1","Realizado"))</f>
        <v>Realizado</v>
      </c>
      <c r="W823" s="1" t="str">
        <f>IF(ESTIMATIVA[[#This Row],[QT_AREA_REST2]]&gt;0,"Reestimativa 2",IF(ESTIMATIVA[[#This Row],[QT_AREA_REAL]]=0,"Reestimativa 2","Realizado"))</f>
        <v>Realizado</v>
      </c>
      <c r="X823" s="1">
        <f>ESTIMATIVA[[#This Row],[QT_AREA_EST]]</f>
        <v>58.29</v>
      </c>
      <c r="Y823" s="1">
        <f>IF(ESTIMATIVA[[#This Row],[QT_AREA_REST1]]&gt;0,ESTIMATIVA[[#This Row],[QT_AREA_REST1]],
  IF(ESTIMATIVA[[#This Row],[QT_AREA_REAL]]&gt;0,ESTIMATIVA[[#This Row],[QT_AREA_REAL]],ESTIMATIVA[[#This Row],[QT_AREA_EST]]))</f>
        <v>58.29</v>
      </c>
      <c r="Z82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58.29</v>
      </c>
      <c r="AA823" s="1">
        <f>ESTIMATIVA[[#This Row],[QT_CANA_EST]]</f>
        <v>5829</v>
      </c>
      <c r="AB823" s="1">
        <f>IF(ESTIMATIVA[[#This Row],[QT_CANA_REST1]]&gt;0,ESTIMATIVA[[#This Row],[QT_CANA_REST1]],
  IF(ESTIMATIVA[[#This Row],[QT_CANA_REAL]]&gt;0,ESTIMATIVA[[#This Row],[QT_CANA_REAL]],ESTIMATIVA[[#This Row],[QT_CANA_EST]]))</f>
        <v>5743.88</v>
      </c>
      <c r="AC82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5743.88</v>
      </c>
      <c r="AD823" s="1">
        <f>IF(ESTIMATIVA[[#This Row],[QT_AREA_REAL]]&gt;0,ESTIMATIVA[[#This Row],[QT_CANA_REAL]],ESTIMATIVA[[#This Row],[QT_CANA_EST]])</f>
        <v>5743.88</v>
      </c>
      <c r="AE823" s="1">
        <f>IF(ESTIMATIVA[[#This Row],[QT_AREA_REAL]]&gt;0,ESTIMATIVA[[#This Row],[QT_CANA_REAL]],ESTIMATIVA[[#This Row],[QT_CANA_REST1]])</f>
        <v>5743.88</v>
      </c>
      <c r="AF823" s="1">
        <f>IF(ESTIMATIVA[[#This Row],[QT_AREA_REAL]]&gt;0,ESTIMATIVA[[#This Row],[QT_CANA_REAL]],ESTIMATIVA[[#This Row],[QT_CANA_REST2]])</f>
        <v>5743.88</v>
      </c>
      <c r="AG823" s="1" t="str">
        <f>IF(COUNTIFS(GEADA!A:A,VALUE(ESTIMATIVA[[#This Row],[CD_UPNIVEL1]]&amp;TEXT(ESTIMATIVA[[#This Row],[CD_UPNIVEL3]],"0000")))&gt;0,"S","N")</f>
        <v>N</v>
      </c>
      <c r="AH82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23" s="55" t="str">
        <f>IF(ESTIMATIVA[[#This Row],[TP_CULTIVO]]="Irrigado",_xlfn.MAXIFS(IRRIGADO!J:J,IRRIGADO!C:C,ESTIMATIVA[[#This Row],[CD_UPNIVEL1]],IRRIGADO!E:E,ESTIMATIVA[[#This Row],[CD_UPNIVEL3]]),"")</f>
        <v/>
      </c>
      <c r="AJ82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23" s="1">
        <f>COUNTIFS(Apresentação!$E$23:$E$29,ESTIMATIVA[[#This Row],[CD_UPNIVEL1]])</f>
        <v>0</v>
      </c>
    </row>
    <row r="824" spans="1:37" x14ac:dyDescent="0.3">
      <c r="A824">
        <v>20432</v>
      </c>
      <c r="B824" t="s">
        <v>22</v>
      </c>
      <c r="C824">
        <v>171</v>
      </c>
      <c r="D824">
        <v>1</v>
      </c>
      <c r="E824" t="s">
        <v>267</v>
      </c>
      <c r="F824" s="85" t="s">
        <v>332</v>
      </c>
      <c r="G824"/>
      <c r="H824" t="s">
        <v>295</v>
      </c>
      <c r="I824" t="s">
        <v>218</v>
      </c>
      <c r="J824" t="s">
        <v>175</v>
      </c>
      <c r="K824" s="1">
        <v>40.32</v>
      </c>
      <c r="L824" s="1">
        <v>0</v>
      </c>
      <c r="M824" s="1">
        <v>0</v>
      </c>
      <c r="N824" s="1">
        <v>40.32</v>
      </c>
      <c r="O824" s="1">
        <v>4032</v>
      </c>
      <c r="P824" s="1">
        <v>0</v>
      </c>
      <c r="Q824" s="1">
        <v>0</v>
      </c>
      <c r="R824" s="1">
        <v>4574.1099999999997</v>
      </c>
      <c r="S824" t="s">
        <v>12</v>
      </c>
      <c r="T824" s="13">
        <v>45781</v>
      </c>
      <c r="U824" s="1" t="str">
        <f>IF(ESTIMATIVA[[#This Row],[QT_AREA_REAL]]&gt;0,"1- Colhido","2- à Colher")</f>
        <v>1- Colhido</v>
      </c>
      <c r="V824" s="1" t="str">
        <f>IF(ESTIMATIVA[[#This Row],[QT_AREA_REST1]]&gt;0,"Reestimativa 1",IF(ESTIMATIVA[[#This Row],[QT_AREA_REAL]]=0,"Reestimativa 1","Realizado"))</f>
        <v>Realizado</v>
      </c>
      <c r="W824" s="1" t="str">
        <f>IF(ESTIMATIVA[[#This Row],[QT_AREA_REST2]]&gt;0,"Reestimativa 2",IF(ESTIMATIVA[[#This Row],[QT_AREA_REAL]]=0,"Reestimativa 2","Realizado"))</f>
        <v>Realizado</v>
      </c>
      <c r="X824" s="1">
        <f>ESTIMATIVA[[#This Row],[QT_AREA_EST]]</f>
        <v>40.32</v>
      </c>
      <c r="Y824" s="1">
        <f>IF(ESTIMATIVA[[#This Row],[QT_AREA_REST1]]&gt;0,ESTIMATIVA[[#This Row],[QT_AREA_REST1]],
  IF(ESTIMATIVA[[#This Row],[QT_AREA_REAL]]&gt;0,ESTIMATIVA[[#This Row],[QT_AREA_REAL]],ESTIMATIVA[[#This Row],[QT_AREA_EST]]))</f>
        <v>40.32</v>
      </c>
      <c r="Z82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40.32</v>
      </c>
      <c r="AA824" s="1">
        <f>ESTIMATIVA[[#This Row],[QT_CANA_EST]]</f>
        <v>4032</v>
      </c>
      <c r="AB824" s="1">
        <f>IF(ESTIMATIVA[[#This Row],[QT_CANA_REST1]]&gt;0,ESTIMATIVA[[#This Row],[QT_CANA_REST1]],
  IF(ESTIMATIVA[[#This Row],[QT_CANA_REAL]]&gt;0,ESTIMATIVA[[#This Row],[QT_CANA_REAL]],ESTIMATIVA[[#This Row],[QT_CANA_EST]]))</f>
        <v>4574.1099999999997</v>
      </c>
      <c r="AC82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4574.1099999999997</v>
      </c>
      <c r="AD824" s="1">
        <f>IF(ESTIMATIVA[[#This Row],[QT_AREA_REAL]]&gt;0,ESTIMATIVA[[#This Row],[QT_CANA_REAL]],ESTIMATIVA[[#This Row],[QT_CANA_EST]])</f>
        <v>4574.1099999999997</v>
      </c>
      <c r="AE824" s="1">
        <f>IF(ESTIMATIVA[[#This Row],[QT_AREA_REAL]]&gt;0,ESTIMATIVA[[#This Row],[QT_CANA_REAL]],ESTIMATIVA[[#This Row],[QT_CANA_REST1]])</f>
        <v>4574.1099999999997</v>
      </c>
      <c r="AF824" s="1">
        <f>IF(ESTIMATIVA[[#This Row],[QT_AREA_REAL]]&gt;0,ESTIMATIVA[[#This Row],[QT_CANA_REAL]],ESTIMATIVA[[#This Row],[QT_CANA_REST2]])</f>
        <v>4574.1099999999997</v>
      </c>
      <c r="AG824" s="1" t="str">
        <f>IF(COUNTIFS(GEADA!A:A,VALUE(ESTIMATIVA[[#This Row],[CD_UPNIVEL1]]&amp;TEXT(ESTIMATIVA[[#This Row],[CD_UPNIVEL3]],"0000")))&gt;0,"S","N")</f>
        <v>N</v>
      </c>
      <c r="AH82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24" s="55" t="str">
        <f>IF(ESTIMATIVA[[#This Row],[TP_CULTIVO]]="Irrigado",_xlfn.MAXIFS(IRRIGADO!J:J,IRRIGADO!C:C,ESTIMATIVA[[#This Row],[CD_UPNIVEL1]],IRRIGADO!E:E,ESTIMATIVA[[#This Row],[CD_UPNIVEL3]]),"")</f>
        <v/>
      </c>
      <c r="AJ82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24" s="1">
        <f>COUNTIFS(Apresentação!$E$23:$E$29,ESTIMATIVA[[#This Row],[CD_UPNIVEL1]])</f>
        <v>0</v>
      </c>
    </row>
    <row r="825" spans="1:37" x14ac:dyDescent="0.3">
      <c r="A825">
        <v>20432</v>
      </c>
      <c r="B825" t="s">
        <v>22</v>
      </c>
      <c r="C825">
        <v>172</v>
      </c>
      <c r="D825">
        <v>1</v>
      </c>
      <c r="E825" t="s">
        <v>267</v>
      </c>
      <c r="F825" s="85" t="s">
        <v>332</v>
      </c>
      <c r="G825"/>
      <c r="H825" t="s">
        <v>295</v>
      </c>
      <c r="I825" t="s">
        <v>218</v>
      </c>
      <c r="J825" t="s">
        <v>175</v>
      </c>
      <c r="K825" s="1">
        <v>50.56</v>
      </c>
      <c r="L825" s="1">
        <v>0</v>
      </c>
      <c r="M825" s="1">
        <v>0</v>
      </c>
      <c r="N825" s="1">
        <v>50.56</v>
      </c>
      <c r="O825" s="1">
        <v>5561.6</v>
      </c>
      <c r="P825" s="1">
        <v>0</v>
      </c>
      <c r="Q825" s="1">
        <v>0</v>
      </c>
      <c r="R825" s="1">
        <v>6309.91</v>
      </c>
      <c r="S825" t="s">
        <v>12</v>
      </c>
      <c r="T825" s="13">
        <v>45781</v>
      </c>
      <c r="U825" s="1" t="str">
        <f>IF(ESTIMATIVA[[#This Row],[QT_AREA_REAL]]&gt;0,"1- Colhido","2- à Colher")</f>
        <v>1- Colhido</v>
      </c>
      <c r="V825" s="1" t="str">
        <f>IF(ESTIMATIVA[[#This Row],[QT_AREA_REST1]]&gt;0,"Reestimativa 1",IF(ESTIMATIVA[[#This Row],[QT_AREA_REAL]]=0,"Reestimativa 1","Realizado"))</f>
        <v>Realizado</v>
      </c>
      <c r="W825" s="1" t="str">
        <f>IF(ESTIMATIVA[[#This Row],[QT_AREA_REST2]]&gt;0,"Reestimativa 2",IF(ESTIMATIVA[[#This Row],[QT_AREA_REAL]]=0,"Reestimativa 2","Realizado"))</f>
        <v>Realizado</v>
      </c>
      <c r="X825" s="1">
        <f>ESTIMATIVA[[#This Row],[QT_AREA_EST]]</f>
        <v>50.56</v>
      </c>
      <c r="Y825" s="1">
        <f>IF(ESTIMATIVA[[#This Row],[QT_AREA_REST1]]&gt;0,ESTIMATIVA[[#This Row],[QT_AREA_REST1]],
  IF(ESTIMATIVA[[#This Row],[QT_AREA_REAL]]&gt;0,ESTIMATIVA[[#This Row],[QT_AREA_REAL]],ESTIMATIVA[[#This Row],[QT_AREA_EST]]))</f>
        <v>50.56</v>
      </c>
      <c r="Z82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50.56</v>
      </c>
      <c r="AA825" s="1">
        <f>ESTIMATIVA[[#This Row],[QT_CANA_EST]]</f>
        <v>5561.6</v>
      </c>
      <c r="AB825" s="1">
        <f>IF(ESTIMATIVA[[#This Row],[QT_CANA_REST1]]&gt;0,ESTIMATIVA[[#This Row],[QT_CANA_REST1]],
  IF(ESTIMATIVA[[#This Row],[QT_CANA_REAL]]&gt;0,ESTIMATIVA[[#This Row],[QT_CANA_REAL]],ESTIMATIVA[[#This Row],[QT_CANA_EST]]))</f>
        <v>6309.91</v>
      </c>
      <c r="AC82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6309.91</v>
      </c>
      <c r="AD825" s="1">
        <f>IF(ESTIMATIVA[[#This Row],[QT_AREA_REAL]]&gt;0,ESTIMATIVA[[#This Row],[QT_CANA_REAL]],ESTIMATIVA[[#This Row],[QT_CANA_EST]])</f>
        <v>6309.91</v>
      </c>
      <c r="AE825" s="1">
        <f>IF(ESTIMATIVA[[#This Row],[QT_AREA_REAL]]&gt;0,ESTIMATIVA[[#This Row],[QT_CANA_REAL]],ESTIMATIVA[[#This Row],[QT_CANA_REST1]])</f>
        <v>6309.91</v>
      </c>
      <c r="AF825" s="1">
        <f>IF(ESTIMATIVA[[#This Row],[QT_AREA_REAL]]&gt;0,ESTIMATIVA[[#This Row],[QT_CANA_REAL]],ESTIMATIVA[[#This Row],[QT_CANA_REST2]])</f>
        <v>6309.91</v>
      </c>
      <c r="AG825" s="1" t="str">
        <f>IF(COUNTIFS(GEADA!A:A,VALUE(ESTIMATIVA[[#This Row],[CD_UPNIVEL1]]&amp;TEXT(ESTIMATIVA[[#This Row],[CD_UPNIVEL3]],"0000")))&gt;0,"S","N")</f>
        <v>N</v>
      </c>
      <c r="AH82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25" s="55" t="str">
        <f>IF(ESTIMATIVA[[#This Row],[TP_CULTIVO]]="Irrigado",_xlfn.MAXIFS(IRRIGADO!J:J,IRRIGADO!C:C,ESTIMATIVA[[#This Row],[CD_UPNIVEL1]],IRRIGADO!E:E,ESTIMATIVA[[#This Row],[CD_UPNIVEL3]]),"")</f>
        <v/>
      </c>
      <c r="AJ82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25" s="1">
        <f>COUNTIFS(Apresentação!$E$23:$E$29,ESTIMATIVA[[#This Row],[CD_UPNIVEL1]])</f>
        <v>0</v>
      </c>
    </row>
    <row r="826" spans="1:37" x14ac:dyDescent="0.3">
      <c r="A826">
        <v>20432</v>
      </c>
      <c r="B826" t="s">
        <v>22</v>
      </c>
      <c r="C826">
        <v>173</v>
      </c>
      <c r="D826">
        <v>1</v>
      </c>
      <c r="E826" t="s">
        <v>267</v>
      </c>
      <c r="F826" s="85" t="s">
        <v>332</v>
      </c>
      <c r="G826"/>
      <c r="H826" t="s">
        <v>295</v>
      </c>
      <c r="I826" t="s">
        <v>218</v>
      </c>
      <c r="J826" t="s">
        <v>175</v>
      </c>
      <c r="K826" s="1">
        <v>49.42</v>
      </c>
      <c r="L826" s="1">
        <v>0</v>
      </c>
      <c r="M826" s="1">
        <v>0</v>
      </c>
      <c r="N826" s="1">
        <v>49.42</v>
      </c>
      <c r="O826" s="1">
        <v>5337.36</v>
      </c>
      <c r="P826" s="1">
        <v>0</v>
      </c>
      <c r="Q826" s="1">
        <v>0</v>
      </c>
      <c r="R826" s="1">
        <v>6054.65</v>
      </c>
      <c r="S826" t="s">
        <v>12</v>
      </c>
      <c r="T826" s="13">
        <v>45781</v>
      </c>
      <c r="U826" s="1" t="str">
        <f>IF(ESTIMATIVA[[#This Row],[QT_AREA_REAL]]&gt;0,"1- Colhido","2- à Colher")</f>
        <v>1- Colhido</v>
      </c>
      <c r="V826" s="1" t="str">
        <f>IF(ESTIMATIVA[[#This Row],[QT_AREA_REST1]]&gt;0,"Reestimativa 1",IF(ESTIMATIVA[[#This Row],[QT_AREA_REAL]]=0,"Reestimativa 1","Realizado"))</f>
        <v>Realizado</v>
      </c>
      <c r="W826" s="1" t="str">
        <f>IF(ESTIMATIVA[[#This Row],[QT_AREA_REST2]]&gt;0,"Reestimativa 2",IF(ESTIMATIVA[[#This Row],[QT_AREA_REAL]]=0,"Reestimativa 2","Realizado"))</f>
        <v>Realizado</v>
      </c>
      <c r="X826" s="1">
        <f>ESTIMATIVA[[#This Row],[QT_AREA_EST]]</f>
        <v>49.42</v>
      </c>
      <c r="Y826" s="1">
        <f>IF(ESTIMATIVA[[#This Row],[QT_AREA_REST1]]&gt;0,ESTIMATIVA[[#This Row],[QT_AREA_REST1]],
  IF(ESTIMATIVA[[#This Row],[QT_AREA_REAL]]&gt;0,ESTIMATIVA[[#This Row],[QT_AREA_REAL]],ESTIMATIVA[[#This Row],[QT_AREA_EST]]))</f>
        <v>49.42</v>
      </c>
      <c r="Z82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49.42</v>
      </c>
      <c r="AA826" s="1">
        <f>ESTIMATIVA[[#This Row],[QT_CANA_EST]]</f>
        <v>5337.36</v>
      </c>
      <c r="AB826" s="1">
        <f>IF(ESTIMATIVA[[#This Row],[QT_CANA_REST1]]&gt;0,ESTIMATIVA[[#This Row],[QT_CANA_REST1]],
  IF(ESTIMATIVA[[#This Row],[QT_CANA_REAL]]&gt;0,ESTIMATIVA[[#This Row],[QT_CANA_REAL]],ESTIMATIVA[[#This Row],[QT_CANA_EST]]))</f>
        <v>6054.65</v>
      </c>
      <c r="AC82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6054.65</v>
      </c>
      <c r="AD826" s="1">
        <f>IF(ESTIMATIVA[[#This Row],[QT_AREA_REAL]]&gt;0,ESTIMATIVA[[#This Row],[QT_CANA_REAL]],ESTIMATIVA[[#This Row],[QT_CANA_EST]])</f>
        <v>6054.65</v>
      </c>
      <c r="AE826" s="1">
        <f>IF(ESTIMATIVA[[#This Row],[QT_AREA_REAL]]&gt;0,ESTIMATIVA[[#This Row],[QT_CANA_REAL]],ESTIMATIVA[[#This Row],[QT_CANA_REST1]])</f>
        <v>6054.65</v>
      </c>
      <c r="AF826" s="1">
        <f>IF(ESTIMATIVA[[#This Row],[QT_AREA_REAL]]&gt;0,ESTIMATIVA[[#This Row],[QT_CANA_REAL]],ESTIMATIVA[[#This Row],[QT_CANA_REST2]])</f>
        <v>6054.65</v>
      </c>
      <c r="AG826" s="1" t="str">
        <f>IF(COUNTIFS(GEADA!A:A,VALUE(ESTIMATIVA[[#This Row],[CD_UPNIVEL1]]&amp;TEXT(ESTIMATIVA[[#This Row],[CD_UPNIVEL3]],"0000")))&gt;0,"S","N")</f>
        <v>N</v>
      </c>
      <c r="AH82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26" s="55" t="str">
        <f>IF(ESTIMATIVA[[#This Row],[TP_CULTIVO]]="Irrigado",_xlfn.MAXIFS(IRRIGADO!J:J,IRRIGADO!C:C,ESTIMATIVA[[#This Row],[CD_UPNIVEL1]],IRRIGADO!E:E,ESTIMATIVA[[#This Row],[CD_UPNIVEL3]]),"")</f>
        <v/>
      </c>
      <c r="AJ82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26" s="1">
        <f>COUNTIFS(Apresentação!$E$23:$E$29,ESTIMATIVA[[#This Row],[CD_UPNIVEL1]])</f>
        <v>0</v>
      </c>
    </row>
    <row r="827" spans="1:37" x14ac:dyDescent="0.3">
      <c r="A827">
        <v>20432</v>
      </c>
      <c r="B827" t="s">
        <v>22</v>
      </c>
      <c r="C827">
        <v>174</v>
      </c>
      <c r="D827">
        <v>2</v>
      </c>
      <c r="E827" t="s">
        <v>266</v>
      </c>
      <c r="F827" s="85" t="s">
        <v>332</v>
      </c>
      <c r="G827"/>
      <c r="H827" t="s">
        <v>295</v>
      </c>
      <c r="I827" t="s">
        <v>210</v>
      </c>
      <c r="J827" t="s">
        <v>175</v>
      </c>
      <c r="K827" s="1">
        <v>4.04</v>
      </c>
      <c r="L827" s="1">
        <v>0</v>
      </c>
      <c r="M827" s="1">
        <v>0</v>
      </c>
      <c r="N827" s="1">
        <v>4.04</v>
      </c>
      <c r="O827" s="1">
        <v>404</v>
      </c>
      <c r="P827" s="1">
        <v>0</v>
      </c>
      <c r="Q827" s="1">
        <v>0</v>
      </c>
      <c r="R827" s="1">
        <v>459.12</v>
      </c>
      <c r="S827" t="s">
        <v>12</v>
      </c>
      <c r="T827" s="13">
        <v>45781</v>
      </c>
      <c r="U827" s="1" t="str">
        <f>IF(ESTIMATIVA[[#This Row],[QT_AREA_REAL]]&gt;0,"1- Colhido","2- à Colher")</f>
        <v>1- Colhido</v>
      </c>
      <c r="V827" s="1" t="str">
        <f>IF(ESTIMATIVA[[#This Row],[QT_AREA_REST1]]&gt;0,"Reestimativa 1",IF(ESTIMATIVA[[#This Row],[QT_AREA_REAL]]=0,"Reestimativa 1","Realizado"))</f>
        <v>Realizado</v>
      </c>
      <c r="W827" s="1" t="str">
        <f>IF(ESTIMATIVA[[#This Row],[QT_AREA_REST2]]&gt;0,"Reestimativa 2",IF(ESTIMATIVA[[#This Row],[QT_AREA_REAL]]=0,"Reestimativa 2","Realizado"))</f>
        <v>Realizado</v>
      </c>
      <c r="X827" s="1">
        <f>ESTIMATIVA[[#This Row],[QT_AREA_EST]]</f>
        <v>4.04</v>
      </c>
      <c r="Y827" s="1">
        <f>IF(ESTIMATIVA[[#This Row],[QT_AREA_REST1]]&gt;0,ESTIMATIVA[[#This Row],[QT_AREA_REST1]],
  IF(ESTIMATIVA[[#This Row],[QT_AREA_REAL]]&gt;0,ESTIMATIVA[[#This Row],[QT_AREA_REAL]],ESTIMATIVA[[#This Row],[QT_AREA_EST]]))</f>
        <v>4.04</v>
      </c>
      <c r="Z82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4.04</v>
      </c>
      <c r="AA827" s="1">
        <f>ESTIMATIVA[[#This Row],[QT_CANA_EST]]</f>
        <v>404</v>
      </c>
      <c r="AB827" s="1">
        <f>IF(ESTIMATIVA[[#This Row],[QT_CANA_REST1]]&gt;0,ESTIMATIVA[[#This Row],[QT_CANA_REST1]],
  IF(ESTIMATIVA[[#This Row],[QT_CANA_REAL]]&gt;0,ESTIMATIVA[[#This Row],[QT_CANA_REAL]],ESTIMATIVA[[#This Row],[QT_CANA_EST]]))</f>
        <v>459.12</v>
      </c>
      <c r="AC82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459.12</v>
      </c>
      <c r="AD827" s="1">
        <f>IF(ESTIMATIVA[[#This Row],[QT_AREA_REAL]]&gt;0,ESTIMATIVA[[#This Row],[QT_CANA_REAL]],ESTIMATIVA[[#This Row],[QT_CANA_EST]])</f>
        <v>459.12</v>
      </c>
      <c r="AE827" s="1">
        <f>IF(ESTIMATIVA[[#This Row],[QT_AREA_REAL]]&gt;0,ESTIMATIVA[[#This Row],[QT_CANA_REAL]],ESTIMATIVA[[#This Row],[QT_CANA_REST1]])</f>
        <v>459.12</v>
      </c>
      <c r="AF827" s="1">
        <f>IF(ESTIMATIVA[[#This Row],[QT_AREA_REAL]]&gt;0,ESTIMATIVA[[#This Row],[QT_CANA_REAL]],ESTIMATIVA[[#This Row],[QT_CANA_REST2]])</f>
        <v>459.12</v>
      </c>
      <c r="AG827" s="1" t="str">
        <f>IF(COUNTIFS(GEADA!A:A,VALUE(ESTIMATIVA[[#This Row],[CD_UPNIVEL1]]&amp;TEXT(ESTIMATIVA[[#This Row],[CD_UPNIVEL3]],"0000")))&gt;0,"S","N")</f>
        <v>N</v>
      </c>
      <c r="AH82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27" s="55" t="str">
        <f>IF(ESTIMATIVA[[#This Row],[TP_CULTIVO]]="Irrigado",_xlfn.MAXIFS(IRRIGADO!J:J,IRRIGADO!C:C,ESTIMATIVA[[#This Row],[CD_UPNIVEL1]],IRRIGADO!E:E,ESTIMATIVA[[#This Row],[CD_UPNIVEL3]]),"")</f>
        <v/>
      </c>
      <c r="AJ82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27" s="1">
        <f>COUNTIFS(Apresentação!$E$23:$E$29,ESTIMATIVA[[#This Row],[CD_UPNIVEL1]])</f>
        <v>0</v>
      </c>
    </row>
    <row r="828" spans="1:37" x14ac:dyDescent="0.3">
      <c r="A828">
        <v>20432</v>
      </c>
      <c r="B828" t="s">
        <v>22</v>
      </c>
      <c r="C828">
        <v>175</v>
      </c>
      <c r="D828">
        <v>1</v>
      </c>
      <c r="E828" t="s">
        <v>267</v>
      </c>
      <c r="F828" s="85" t="s">
        <v>332</v>
      </c>
      <c r="G828"/>
      <c r="H828" t="s">
        <v>295</v>
      </c>
      <c r="I828" t="s">
        <v>218</v>
      </c>
      <c r="J828" t="s">
        <v>175</v>
      </c>
      <c r="K828" s="1">
        <v>49.72</v>
      </c>
      <c r="L828" s="1">
        <v>0</v>
      </c>
      <c r="M828" s="1">
        <v>0</v>
      </c>
      <c r="N828" s="1">
        <v>49.72</v>
      </c>
      <c r="O828" s="1">
        <v>5170.88</v>
      </c>
      <c r="P828" s="1">
        <v>0</v>
      </c>
      <c r="Q828" s="1">
        <v>0</v>
      </c>
      <c r="R828" s="1">
        <v>5089.6099999999997</v>
      </c>
      <c r="S828" t="s">
        <v>12</v>
      </c>
      <c r="T828" s="13">
        <v>45760</v>
      </c>
      <c r="U828" s="1" t="str">
        <f>IF(ESTIMATIVA[[#This Row],[QT_AREA_REAL]]&gt;0,"1- Colhido","2- à Colher")</f>
        <v>1- Colhido</v>
      </c>
      <c r="V828" s="1" t="str">
        <f>IF(ESTIMATIVA[[#This Row],[QT_AREA_REST1]]&gt;0,"Reestimativa 1",IF(ESTIMATIVA[[#This Row],[QT_AREA_REAL]]=0,"Reestimativa 1","Realizado"))</f>
        <v>Realizado</v>
      </c>
      <c r="W828" s="1" t="str">
        <f>IF(ESTIMATIVA[[#This Row],[QT_AREA_REST2]]&gt;0,"Reestimativa 2",IF(ESTIMATIVA[[#This Row],[QT_AREA_REAL]]=0,"Reestimativa 2","Realizado"))</f>
        <v>Realizado</v>
      </c>
      <c r="X828" s="1">
        <f>ESTIMATIVA[[#This Row],[QT_AREA_EST]]</f>
        <v>49.72</v>
      </c>
      <c r="Y828" s="1">
        <f>IF(ESTIMATIVA[[#This Row],[QT_AREA_REST1]]&gt;0,ESTIMATIVA[[#This Row],[QT_AREA_REST1]],
  IF(ESTIMATIVA[[#This Row],[QT_AREA_REAL]]&gt;0,ESTIMATIVA[[#This Row],[QT_AREA_REAL]],ESTIMATIVA[[#This Row],[QT_AREA_EST]]))</f>
        <v>49.72</v>
      </c>
      <c r="Z82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49.72</v>
      </c>
      <c r="AA828" s="1">
        <f>ESTIMATIVA[[#This Row],[QT_CANA_EST]]</f>
        <v>5170.88</v>
      </c>
      <c r="AB828" s="1">
        <f>IF(ESTIMATIVA[[#This Row],[QT_CANA_REST1]]&gt;0,ESTIMATIVA[[#This Row],[QT_CANA_REST1]],
  IF(ESTIMATIVA[[#This Row],[QT_CANA_REAL]]&gt;0,ESTIMATIVA[[#This Row],[QT_CANA_REAL]],ESTIMATIVA[[#This Row],[QT_CANA_EST]]))</f>
        <v>5089.6099999999997</v>
      </c>
      <c r="AC82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5089.6099999999997</v>
      </c>
      <c r="AD828" s="1">
        <f>IF(ESTIMATIVA[[#This Row],[QT_AREA_REAL]]&gt;0,ESTIMATIVA[[#This Row],[QT_CANA_REAL]],ESTIMATIVA[[#This Row],[QT_CANA_EST]])</f>
        <v>5089.6099999999997</v>
      </c>
      <c r="AE828" s="1">
        <f>IF(ESTIMATIVA[[#This Row],[QT_AREA_REAL]]&gt;0,ESTIMATIVA[[#This Row],[QT_CANA_REAL]],ESTIMATIVA[[#This Row],[QT_CANA_REST1]])</f>
        <v>5089.6099999999997</v>
      </c>
      <c r="AF828" s="1">
        <f>IF(ESTIMATIVA[[#This Row],[QT_AREA_REAL]]&gt;0,ESTIMATIVA[[#This Row],[QT_CANA_REAL]],ESTIMATIVA[[#This Row],[QT_CANA_REST2]])</f>
        <v>5089.6099999999997</v>
      </c>
      <c r="AG828" s="1" t="str">
        <f>IF(COUNTIFS(GEADA!A:A,VALUE(ESTIMATIVA[[#This Row],[CD_UPNIVEL1]]&amp;TEXT(ESTIMATIVA[[#This Row],[CD_UPNIVEL3]],"0000")))&gt;0,"S","N")</f>
        <v>N</v>
      </c>
      <c r="AH82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28" s="55" t="str">
        <f>IF(ESTIMATIVA[[#This Row],[TP_CULTIVO]]="Irrigado",_xlfn.MAXIFS(IRRIGADO!J:J,IRRIGADO!C:C,ESTIMATIVA[[#This Row],[CD_UPNIVEL1]],IRRIGADO!E:E,ESTIMATIVA[[#This Row],[CD_UPNIVEL3]]),"")</f>
        <v/>
      </c>
      <c r="AJ82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28" s="1">
        <f>COUNTIFS(Apresentação!$E$23:$E$29,ESTIMATIVA[[#This Row],[CD_UPNIVEL1]])</f>
        <v>0</v>
      </c>
    </row>
    <row r="829" spans="1:37" x14ac:dyDescent="0.3">
      <c r="A829">
        <v>20432</v>
      </c>
      <c r="B829" t="s">
        <v>22</v>
      </c>
      <c r="C829">
        <v>176</v>
      </c>
      <c r="D829">
        <v>1</v>
      </c>
      <c r="E829" t="s">
        <v>267</v>
      </c>
      <c r="F829" s="85" t="s">
        <v>330</v>
      </c>
      <c r="G829"/>
      <c r="H829" t="s">
        <v>295</v>
      </c>
      <c r="I829" t="s">
        <v>210</v>
      </c>
      <c r="J829" t="s">
        <v>175</v>
      </c>
      <c r="K829" s="1">
        <v>74.36</v>
      </c>
      <c r="L829" s="1">
        <v>0</v>
      </c>
      <c r="M829" s="1">
        <v>0</v>
      </c>
      <c r="N829" s="1">
        <v>74.36</v>
      </c>
      <c r="O829" s="1">
        <v>7584.72</v>
      </c>
      <c r="P829" s="1">
        <v>0</v>
      </c>
      <c r="Q829" s="1">
        <v>0</v>
      </c>
      <c r="R829" s="1">
        <v>6770.08</v>
      </c>
      <c r="S829" t="s">
        <v>12</v>
      </c>
      <c r="T829" s="13">
        <v>45760</v>
      </c>
      <c r="U829" s="1" t="str">
        <f>IF(ESTIMATIVA[[#This Row],[QT_AREA_REAL]]&gt;0,"1- Colhido","2- à Colher")</f>
        <v>1- Colhido</v>
      </c>
      <c r="V829" s="1" t="str">
        <f>IF(ESTIMATIVA[[#This Row],[QT_AREA_REST1]]&gt;0,"Reestimativa 1",IF(ESTIMATIVA[[#This Row],[QT_AREA_REAL]]=0,"Reestimativa 1","Realizado"))</f>
        <v>Realizado</v>
      </c>
      <c r="W829" s="1" t="str">
        <f>IF(ESTIMATIVA[[#This Row],[QT_AREA_REST2]]&gt;0,"Reestimativa 2",IF(ESTIMATIVA[[#This Row],[QT_AREA_REAL]]=0,"Reestimativa 2","Realizado"))</f>
        <v>Realizado</v>
      </c>
      <c r="X829" s="1">
        <f>ESTIMATIVA[[#This Row],[QT_AREA_EST]]</f>
        <v>74.36</v>
      </c>
      <c r="Y829" s="1">
        <f>IF(ESTIMATIVA[[#This Row],[QT_AREA_REST1]]&gt;0,ESTIMATIVA[[#This Row],[QT_AREA_REST1]],
  IF(ESTIMATIVA[[#This Row],[QT_AREA_REAL]]&gt;0,ESTIMATIVA[[#This Row],[QT_AREA_REAL]],ESTIMATIVA[[#This Row],[QT_AREA_EST]]))</f>
        <v>74.36</v>
      </c>
      <c r="Z82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74.36</v>
      </c>
      <c r="AA829" s="1">
        <f>ESTIMATIVA[[#This Row],[QT_CANA_EST]]</f>
        <v>7584.72</v>
      </c>
      <c r="AB829" s="1">
        <f>IF(ESTIMATIVA[[#This Row],[QT_CANA_REST1]]&gt;0,ESTIMATIVA[[#This Row],[QT_CANA_REST1]],
  IF(ESTIMATIVA[[#This Row],[QT_CANA_REAL]]&gt;0,ESTIMATIVA[[#This Row],[QT_CANA_REAL]],ESTIMATIVA[[#This Row],[QT_CANA_EST]]))</f>
        <v>6770.08</v>
      </c>
      <c r="AC82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6770.08</v>
      </c>
      <c r="AD829" s="1">
        <f>IF(ESTIMATIVA[[#This Row],[QT_AREA_REAL]]&gt;0,ESTIMATIVA[[#This Row],[QT_CANA_REAL]],ESTIMATIVA[[#This Row],[QT_CANA_EST]])</f>
        <v>6770.08</v>
      </c>
      <c r="AE829" s="1">
        <f>IF(ESTIMATIVA[[#This Row],[QT_AREA_REAL]]&gt;0,ESTIMATIVA[[#This Row],[QT_CANA_REAL]],ESTIMATIVA[[#This Row],[QT_CANA_REST1]])</f>
        <v>6770.08</v>
      </c>
      <c r="AF829" s="1">
        <f>IF(ESTIMATIVA[[#This Row],[QT_AREA_REAL]]&gt;0,ESTIMATIVA[[#This Row],[QT_CANA_REAL]],ESTIMATIVA[[#This Row],[QT_CANA_REST2]])</f>
        <v>6770.08</v>
      </c>
      <c r="AG829" s="1" t="str">
        <f>IF(COUNTIFS(GEADA!A:A,VALUE(ESTIMATIVA[[#This Row],[CD_UPNIVEL1]]&amp;TEXT(ESTIMATIVA[[#This Row],[CD_UPNIVEL3]],"0000")))&gt;0,"S","N")</f>
        <v>N</v>
      </c>
      <c r="AH82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29" s="55" t="str">
        <f>IF(ESTIMATIVA[[#This Row],[TP_CULTIVO]]="Irrigado",_xlfn.MAXIFS(IRRIGADO!J:J,IRRIGADO!C:C,ESTIMATIVA[[#This Row],[CD_UPNIVEL1]],IRRIGADO!E:E,ESTIMATIVA[[#This Row],[CD_UPNIVEL3]]),"")</f>
        <v/>
      </c>
      <c r="AJ82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29" s="1">
        <f>COUNTIFS(Apresentação!$E$23:$E$29,ESTIMATIVA[[#This Row],[CD_UPNIVEL1]])</f>
        <v>0</v>
      </c>
    </row>
    <row r="830" spans="1:37" x14ac:dyDescent="0.3">
      <c r="A830">
        <v>20432</v>
      </c>
      <c r="B830" t="s">
        <v>22</v>
      </c>
      <c r="C830">
        <v>181</v>
      </c>
      <c r="D830">
        <v>2</v>
      </c>
      <c r="E830" t="s">
        <v>266</v>
      </c>
      <c r="F830" s="85" t="s">
        <v>332</v>
      </c>
      <c r="G830"/>
      <c r="H830" t="s">
        <v>294</v>
      </c>
      <c r="I830" t="s">
        <v>205</v>
      </c>
      <c r="J830" t="s">
        <v>175</v>
      </c>
      <c r="K830" s="1">
        <v>14.61</v>
      </c>
      <c r="L830" s="1">
        <v>0</v>
      </c>
      <c r="M830" s="1">
        <v>0</v>
      </c>
      <c r="N830" s="1">
        <v>14.61</v>
      </c>
      <c r="O830" s="1">
        <v>1241.8499999999999</v>
      </c>
      <c r="P830" s="1">
        <v>0</v>
      </c>
      <c r="Q830" s="1">
        <v>0</v>
      </c>
      <c r="R830" s="1">
        <v>1110.6600000000001</v>
      </c>
      <c r="S830" t="s">
        <v>12</v>
      </c>
      <c r="T830" s="13">
        <v>45774</v>
      </c>
      <c r="U830" s="1" t="str">
        <f>IF(ESTIMATIVA[[#This Row],[QT_AREA_REAL]]&gt;0,"1- Colhido","2- à Colher")</f>
        <v>1- Colhido</v>
      </c>
      <c r="V830" s="1" t="str">
        <f>IF(ESTIMATIVA[[#This Row],[QT_AREA_REST1]]&gt;0,"Reestimativa 1",IF(ESTIMATIVA[[#This Row],[QT_AREA_REAL]]=0,"Reestimativa 1","Realizado"))</f>
        <v>Realizado</v>
      </c>
      <c r="W830" s="1" t="str">
        <f>IF(ESTIMATIVA[[#This Row],[QT_AREA_REST2]]&gt;0,"Reestimativa 2",IF(ESTIMATIVA[[#This Row],[QT_AREA_REAL]]=0,"Reestimativa 2","Realizado"))</f>
        <v>Realizado</v>
      </c>
      <c r="X830" s="1">
        <f>ESTIMATIVA[[#This Row],[QT_AREA_EST]]</f>
        <v>14.61</v>
      </c>
      <c r="Y830" s="1">
        <f>IF(ESTIMATIVA[[#This Row],[QT_AREA_REST1]]&gt;0,ESTIMATIVA[[#This Row],[QT_AREA_REST1]],
  IF(ESTIMATIVA[[#This Row],[QT_AREA_REAL]]&gt;0,ESTIMATIVA[[#This Row],[QT_AREA_REAL]],ESTIMATIVA[[#This Row],[QT_AREA_EST]]))</f>
        <v>14.61</v>
      </c>
      <c r="Z83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14.61</v>
      </c>
      <c r="AA830" s="1">
        <f>ESTIMATIVA[[#This Row],[QT_CANA_EST]]</f>
        <v>1241.8499999999999</v>
      </c>
      <c r="AB830" s="1">
        <f>IF(ESTIMATIVA[[#This Row],[QT_CANA_REST1]]&gt;0,ESTIMATIVA[[#This Row],[QT_CANA_REST1]],
  IF(ESTIMATIVA[[#This Row],[QT_CANA_REAL]]&gt;0,ESTIMATIVA[[#This Row],[QT_CANA_REAL]],ESTIMATIVA[[#This Row],[QT_CANA_EST]]))</f>
        <v>1110.6600000000001</v>
      </c>
      <c r="AC83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1110.6600000000001</v>
      </c>
      <c r="AD830" s="1">
        <f>IF(ESTIMATIVA[[#This Row],[QT_AREA_REAL]]&gt;0,ESTIMATIVA[[#This Row],[QT_CANA_REAL]],ESTIMATIVA[[#This Row],[QT_CANA_EST]])</f>
        <v>1110.6600000000001</v>
      </c>
      <c r="AE830" s="1">
        <f>IF(ESTIMATIVA[[#This Row],[QT_AREA_REAL]]&gt;0,ESTIMATIVA[[#This Row],[QT_CANA_REAL]],ESTIMATIVA[[#This Row],[QT_CANA_REST1]])</f>
        <v>1110.6600000000001</v>
      </c>
      <c r="AF830" s="1">
        <f>IF(ESTIMATIVA[[#This Row],[QT_AREA_REAL]]&gt;0,ESTIMATIVA[[#This Row],[QT_CANA_REAL]],ESTIMATIVA[[#This Row],[QT_CANA_REST2]])</f>
        <v>1110.6600000000001</v>
      </c>
      <c r="AG830" s="1" t="str">
        <f>IF(COUNTIFS(GEADA!A:A,VALUE(ESTIMATIVA[[#This Row],[CD_UPNIVEL1]]&amp;TEXT(ESTIMATIVA[[#This Row],[CD_UPNIVEL3]],"0000")))&gt;0,"S","N")</f>
        <v>N</v>
      </c>
      <c r="AH83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30" s="55" t="str">
        <f>IF(ESTIMATIVA[[#This Row],[TP_CULTIVO]]="Irrigado",_xlfn.MAXIFS(IRRIGADO!J:J,IRRIGADO!C:C,ESTIMATIVA[[#This Row],[CD_UPNIVEL1]],IRRIGADO!E:E,ESTIMATIVA[[#This Row],[CD_UPNIVEL3]]),"")</f>
        <v/>
      </c>
      <c r="AJ83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30" s="1">
        <f>COUNTIFS(Apresentação!$E$23:$E$29,ESTIMATIVA[[#This Row],[CD_UPNIVEL1]])</f>
        <v>0</v>
      </c>
    </row>
    <row r="831" spans="1:37" x14ac:dyDescent="0.3">
      <c r="A831">
        <v>20432</v>
      </c>
      <c r="B831" t="s">
        <v>22</v>
      </c>
      <c r="C831">
        <v>186</v>
      </c>
      <c r="D831">
        <v>2</v>
      </c>
      <c r="E831" t="s">
        <v>266</v>
      </c>
      <c r="F831" s="85" t="s">
        <v>331</v>
      </c>
      <c r="G831"/>
      <c r="H831" t="s">
        <v>295</v>
      </c>
      <c r="I831" t="s">
        <v>208</v>
      </c>
      <c r="J831" t="s">
        <v>175</v>
      </c>
      <c r="K831" s="1">
        <v>7.79</v>
      </c>
      <c r="L831" s="1">
        <v>0</v>
      </c>
      <c r="M831" s="1">
        <v>0</v>
      </c>
      <c r="N831" s="1">
        <v>7.79</v>
      </c>
      <c r="O831" s="1">
        <v>662.15</v>
      </c>
      <c r="P831" s="1">
        <v>0</v>
      </c>
      <c r="Q831" s="1">
        <v>0</v>
      </c>
      <c r="R831" s="1">
        <v>744.67</v>
      </c>
      <c r="S831" t="s">
        <v>12</v>
      </c>
      <c r="T831" s="13">
        <v>45851</v>
      </c>
      <c r="U831" s="1" t="str">
        <f>IF(ESTIMATIVA[[#This Row],[QT_AREA_REAL]]&gt;0,"1- Colhido","2- à Colher")</f>
        <v>1- Colhido</v>
      </c>
      <c r="V831" s="1" t="str">
        <f>IF(ESTIMATIVA[[#This Row],[QT_AREA_REST1]]&gt;0,"Reestimativa 1",IF(ESTIMATIVA[[#This Row],[QT_AREA_REAL]]=0,"Reestimativa 1","Realizado"))</f>
        <v>Realizado</v>
      </c>
      <c r="W831" s="1" t="str">
        <f>IF(ESTIMATIVA[[#This Row],[QT_AREA_REST2]]&gt;0,"Reestimativa 2",IF(ESTIMATIVA[[#This Row],[QT_AREA_REAL]]=0,"Reestimativa 2","Realizado"))</f>
        <v>Realizado</v>
      </c>
      <c r="X831" s="1">
        <f>ESTIMATIVA[[#This Row],[QT_AREA_EST]]</f>
        <v>7.79</v>
      </c>
      <c r="Y831" s="1">
        <f>IF(ESTIMATIVA[[#This Row],[QT_AREA_REST1]]&gt;0,ESTIMATIVA[[#This Row],[QT_AREA_REST1]],
  IF(ESTIMATIVA[[#This Row],[QT_AREA_REAL]]&gt;0,ESTIMATIVA[[#This Row],[QT_AREA_REAL]],ESTIMATIVA[[#This Row],[QT_AREA_EST]]))</f>
        <v>7.79</v>
      </c>
      <c r="Z83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7.79</v>
      </c>
      <c r="AA831" s="1">
        <f>ESTIMATIVA[[#This Row],[QT_CANA_EST]]</f>
        <v>662.15</v>
      </c>
      <c r="AB831" s="1">
        <f>IF(ESTIMATIVA[[#This Row],[QT_CANA_REST1]]&gt;0,ESTIMATIVA[[#This Row],[QT_CANA_REST1]],
  IF(ESTIMATIVA[[#This Row],[QT_CANA_REAL]]&gt;0,ESTIMATIVA[[#This Row],[QT_CANA_REAL]],ESTIMATIVA[[#This Row],[QT_CANA_EST]]))</f>
        <v>744.67</v>
      </c>
      <c r="AC83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744.67</v>
      </c>
      <c r="AD831" s="1">
        <f>IF(ESTIMATIVA[[#This Row],[QT_AREA_REAL]]&gt;0,ESTIMATIVA[[#This Row],[QT_CANA_REAL]],ESTIMATIVA[[#This Row],[QT_CANA_EST]])</f>
        <v>744.67</v>
      </c>
      <c r="AE831" s="1">
        <f>IF(ESTIMATIVA[[#This Row],[QT_AREA_REAL]]&gt;0,ESTIMATIVA[[#This Row],[QT_CANA_REAL]],ESTIMATIVA[[#This Row],[QT_CANA_REST1]])</f>
        <v>744.67</v>
      </c>
      <c r="AF831" s="1">
        <f>IF(ESTIMATIVA[[#This Row],[QT_AREA_REAL]]&gt;0,ESTIMATIVA[[#This Row],[QT_CANA_REAL]],ESTIMATIVA[[#This Row],[QT_CANA_REST2]])</f>
        <v>744.67</v>
      </c>
      <c r="AG831" s="1" t="str">
        <f>IF(COUNTIFS(GEADA!A:A,VALUE(ESTIMATIVA[[#This Row],[CD_UPNIVEL1]]&amp;TEXT(ESTIMATIVA[[#This Row],[CD_UPNIVEL3]],"0000")))&gt;0,"S","N")</f>
        <v>N</v>
      </c>
      <c r="AH83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31" s="55" t="str">
        <f>IF(ESTIMATIVA[[#This Row],[TP_CULTIVO]]="Irrigado",_xlfn.MAXIFS(IRRIGADO!J:J,IRRIGADO!C:C,ESTIMATIVA[[#This Row],[CD_UPNIVEL1]],IRRIGADO!E:E,ESTIMATIVA[[#This Row],[CD_UPNIVEL3]]),"")</f>
        <v/>
      </c>
      <c r="AJ83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31" s="1">
        <f>COUNTIFS(Apresentação!$E$23:$E$29,ESTIMATIVA[[#This Row],[CD_UPNIVEL1]])</f>
        <v>0</v>
      </c>
    </row>
    <row r="832" spans="1:37" x14ac:dyDescent="0.3">
      <c r="A832">
        <v>20432</v>
      </c>
      <c r="B832" t="s">
        <v>22</v>
      </c>
      <c r="C832">
        <v>187</v>
      </c>
      <c r="D832">
        <v>2</v>
      </c>
      <c r="E832" t="s">
        <v>266</v>
      </c>
      <c r="F832" s="85" t="s">
        <v>331</v>
      </c>
      <c r="G832"/>
      <c r="H832" t="s">
        <v>295</v>
      </c>
      <c r="I832" t="s">
        <v>197</v>
      </c>
      <c r="J832" t="s">
        <v>175</v>
      </c>
      <c r="K832" s="1">
        <v>30.41</v>
      </c>
      <c r="L832" s="1">
        <v>0</v>
      </c>
      <c r="M832" s="1">
        <v>0</v>
      </c>
      <c r="N832" s="1">
        <v>30.41</v>
      </c>
      <c r="O832" s="1">
        <v>2584.85</v>
      </c>
      <c r="P832" s="1">
        <v>0</v>
      </c>
      <c r="Q832" s="1">
        <v>0</v>
      </c>
      <c r="R832" s="1">
        <v>2908.28</v>
      </c>
      <c r="S832" t="s">
        <v>12</v>
      </c>
      <c r="T832" s="13">
        <v>45851</v>
      </c>
      <c r="U832" s="1" t="str">
        <f>IF(ESTIMATIVA[[#This Row],[QT_AREA_REAL]]&gt;0,"1- Colhido","2- à Colher")</f>
        <v>1- Colhido</v>
      </c>
      <c r="V832" s="1" t="str">
        <f>IF(ESTIMATIVA[[#This Row],[QT_AREA_REST1]]&gt;0,"Reestimativa 1",IF(ESTIMATIVA[[#This Row],[QT_AREA_REAL]]=0,"Reestimativa 1","Realizado"))</f>
        <v>Realizado</v>
      </c>
      <c r="W832" s="1" t="str">
        <f>IF(ESTIMATIVA[[#This Row],[QT_AREA_REST2]]&gt;0,"Reestimativa 2",IF(ESTIMATIVA[[#This Row],[QT_AREA_REAL]]=0,"Reestimativa 2","Realizado"))</f>
        <v>Realizado</v>
      </c>
      <c r="X832" s="1">
        <f>ESTIMATIVA[[#This Row],[QT_AREA_EST]]</f>
        <v>30.41</v>
      </c>
      <c r="Y832" s="1">
        <f>IF(ESTIMATIVA[[#This Row],[QT_AREA_REST1]]&gt;0,ESTIMATIVA[[#This Row],[QT_AREA_REST1]],
  IF(ESTIMATIVA[[#This Row],[QT_AREA_REAL]]&gt;0,ESTIMATIVA[[#This Row],[QT_AREA_REAL]],ESTIMATIVA[[#This Row],[QT_AREA_EST]]))</f>
        <v>30.41</v>
      </c>
      <c r="Z83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30.41</v>
      </c>
      <c r="AA832" s="1">
        <f>ESTIMATIVA[[#This Row],[QT_CANA_EST]]</f>
        <v>2584.85</v>
      </c>
      <c r="AB832" s="1">
        <f>IF(ESTIMATIVA[[#This Row],[QT_CANA_REST1]]&gt;0,ESTIMATIVA[[#This Row],[QT_CANA_REST1]],
  IF(ESTIMATIVA[[#This Row],[QT_CANA_REAL]]&gt;0,ESTIMATIVA[[#This Row],[QT_CANA_REAL]],ESTIMATIVA[[#This Row],[QT_CANA_EST]]))</f>
        <v>2908.28</v>
      </c>
      <c r="AC83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2908.28</v>
      </c>
      <c r="AD832" s="1">
        <f>IF(ESTIMATIVA[[#This Row],[QT_AREA_REAL]]&gt;0,ESTIMATIVA[[#This Row],[QT_CANA_REAL]],ESTIMATIVA[[#This Row],[QT_CANA_EST]])</f>
        <v>2908.28</v>
      </c>
      <c r="AE832" s="1">
        <f>IF(ESTIMATIVA[[#This Row],[QT_AREA_REAL]]&gt;0,ESTIMATIVA[[#This Row],[QT_CANA_REAL]],ESTIMATIVA[[#This Row],[QT_CANA_REST1]])</f>
        <v>2908.28</v>
      </c>
      <c r="AF832" s="1">
        <f>IF(ESTIMATIVA[[#This Row],[QT_AREA_REAL]]&gt;0,ESTIMATIVA[[#This Row],[QT_CANA_REAL]],ESTIMATIVA[[#This Row],[QT_CANA_REST2]])</f>
        <v>2908.28</v>
      </c>
      <c r="AG832" s="1" t="str">
        <f>IF(COUNTIFS(GEADA!A:A,VALUE(ESTIMATIVA[[#This Row],[CD_UPNIVEL1]]&amp;TEXT(ESTIMATIVA[[#This Row],[CD_UPNIVEL3]],"0000")))&gt;0,"S","N")</f>
        <v>N</v>
      </c>
      <c r="AH83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32" s="55" t="str">
        <f>IF(ESTIMATIVA[[#This Row],[TP_CULTIVO]]="Irrigado",_xlfn.MAXIFS(IRRIGADO!J:J,IRRIGADO!C:C,ESTIMATIVA[[#This Row],[CD_UPNIVEL1]],IRRIGADO!E:E,ESTIMATIVA[[#This Row],[CD_UPNIVEL3]]),"")</f>
        <v/>
      </c>
      <c r="AJ83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32" s="1">
        <f>COUNTIFS(Apresentação!$E$23:$E$29,ESTIMATIVA[[#This Row],[CD_UPNIVEL1]])</f>
        <v>0</v>
      </c>
    </row>
    <row r="833" spans="1:37" x14ac:dyDescent="0.3">
      <c r="A833">
        <v>20432</v>
      </c>
      <c r="B833" t="s">
        <v>22</v>
      </c>
      <c r="C833">
        <v>188</v>
      </c>
      <c r="D833">
        <v>2</v>
      </c>
      <c r="E833" t="s">
        <v>266</v>
      </c>
      <c r="F833" s="85" t="s">
        <v>332</v>
      </c>
      <c r="G833"/>
      <c r="H833" t="s">
        <v>295</v>
      </c>
      <c r="I833" t="s">
        <v>197</v>
      </c>
      <c r="J833" t="s">
        <v>175</v>
      </c>
      <c r="K833" s="1">
        <v>32.130000000000003</v>
      </c>
      <c r="L833" s="1">
        <v>0</v>
      </c>
      <c r="M833" s="1">
        <v>0</v>
      </c>
      <c r="N833" s="1">
        <v>32.130000000000003</v>
      </c>
      <c r="O833" s="1">
        <v>2731.05</v>
      </c>
      <c r="P833" s="1">
        <v>0</v>
      </c>
      <c r="Q833" s="1">
        <v>0</v>
      </c>
      <c r="R833" s="1">
        <v>3072.55</v>
      </c>
      <c r="S833" t="s">
        <v>12</v>
      </c>
      <c r="T833" s="13">
        <v>45851</v>
      </c>
      <c r="U833" s="1" t="str">
        <f>IF(ESTIMATIVA[[#This Row],[QT_AREA_REAL]]&gt;0,"1- Colhido","2- à Colher")</f>
        <v>1- Colhido</v>
      </c>
      <c r="V833" s="1" t="str">
        <f>IF(ESTIMATIVA[[#This Row],[QT_AREA_REST1]]&gt;0,"Reestimativa 1",IF(ESTIMATIVA[[#This Row],[QT_AREA_REAL]]=0,"Reestimativa 1","Realizado"))</f>
        <v>Realizado</v>
      </c>
      <c r="W833" s="1" t="str">
        <f>IF(ESTIMATIVA[[#This Row],[QT_AREA_REST2]]&gt;0,"Reestimativa 2",IF(ESTIMATIVA[[#This Row],[QT_AREA_REAL]]=0,"Reestimativa 2","Realizado"))</f>
        <v>Realizado</v>
      </c>
      <c r="X833" s="1">
        <f>ESTIMATIVA[[#This Row],[QT_AREA_EST]]</f>
        <v>32.130000000000003</v>
      </c>
      <c r="Y833" s="1">
        <f>IF(ESTIMATIVA[[#This Row],[QT_AREA_REST1]]&gt;0,ESTIMATIVA[[#This Row],[QT_AREA_REST1]],
  IF(ESTIMATIVA[[#This Row],[QT_AREA_REAL]]&gt;0,ESTIMATIVA[[#This Row],[QT_AREA_REAL]],ESTIMATIVA[[#This Row],[QT_AREA_EST]]))</f>
        <v>32.130000000000003</v>
      </c>
      <c r="Z83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32.130000000000003</v>
      </c>
      <c r="AA833" s="1">
        <f>ESTIMATIVA[[#This Row],[QT_CANA_EST]]</f>
        <v>2731.05</v>
      </c>
      <c r="AB833" s="1">
        <f>IF(ESTIMATIVA[[#This Row],[QT_CANA_REST1]]&gt;0,ESTIMATIVA[[#This Row],[QT_CANA_REST1]],
  IF(ESTIMATIVA[[#This Row],[QT_CANA_REAL]]&gt;0,ESTIMATIVA[[#This Row],[QT_CANA_REAL]],ESTIMATIVA[[#This Row],[QT_CANA_EST]]))</f>
        <v>3072.55</v>
      </c>
      <c r="AC83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3072.55</v>
      </c>
      <c r="AD833" s="1">
        <f>IF(ESTIMATIVA[[#This Row],[QT_AREA_REAL]]&gt;0,ESTIMATIVA[[#This Row],[QT_CANA_REAL]],ESTIMATIVA[[#This Row],[QT_CANA_EST]])</f>
        <v>3072.55</v>
      </c>
      <c r="AE833" s="1">
        <f>IF(ESTIMATIVA[[#This Row],[QT_AREA_REAL]]&gt;0,ESTIMATIVA[[#This Row],[QT_CANA_REAL]],ESTIMATIVA[[#This Row],[QT_CANA_REST1]])</f>
        <v>3072.55</v>
      </c>
      <c r="AF833" s="1">
        <f>IF(ESTIMATIVA[[#This Row],[QT_AREA_REAL]]&gt;0,ESTIMATIVA[[#This Row],[QT_CANA_REAL]],ESTIMATIVA[[#This Row],[QT_CANA_REST2]])</f>
        <v>3072.55</v>
      </c>
      <c r="AG833" s="1" t="str">
        <f>IF(COUNTIFS(GEADA!A:A,VALUE(ESTIMATIVA[[#This Row],[CD_UPNIVEL1]]&amp;TEXT(ESTIMATIVA[[#This Row],[CD_UPNIVEL3]],"0000")))&gt;0,"S","N")</f>
        <v>N</v>
      </c>
      <c r="AH83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33" s="55" t="str">
        <f>IF(ESTIMATIVA[[#This Row],[TP_CULTIVO]]="Irrigado",_xlfn.MAXIFS(IRRIGADO!J:J,IRRIGADO!C:C,ESTIMATIVA[[#This Row],[CD_UPNIVEL1]],IRRIGADO!E:E,ESTIMATIVA[[#This Row],[CD_UPNIVEL3]]),"")</f>
        <v/>
      </c>
      <c r="AJ83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33" s="1">
        <f>COUNTIFS(Apresentação!$E$23:$E$29,ESTIMATIVA[[#This Row],[CD_UPNIVEL1]])</f>
        <v>0</v>
      </c>
    </row>
    <row r="834" spans="1:37" x14ac:dyDescent="0.3">
      <c r="A834">
        <v>20432</v>
      </c>
      <c r="B834" t="s">
        <v>22</v>
      </c>
      <c r="C834">
        <v>189</v>
      </c>
      <c r="D834">
        <v>2</v>
      </c>
      <c r="E834" t="s">
        <v>266</v>
      </c>
      <c r="F834" s="85" t="s">
        <v>332</v>
      </c>
      <c r="G834"/>
      <c r="H834" t="s">
        <v>295</v>
      </c>
      <c r="I834" t="s">
        <v>208</v>
      </c>
      <c r="J834" t="s">
        <v>175</v>
      </c>
      <c r="K834" s="1">
        <v>24.79</v>
      </c>
      <c r="L834" s="1">
        <v>0</v>
      </c>
      <c r="M834" s="1">
        <v>0</v>
      </c>
      <c r="N834" s="1">
        <v>24.79</v>
      </c>
      <c r="O834" s="1">
        <v>2231.1</v>
      </c>
      <c r="P834" s="1">
        <v>0</v>
      </c>
      <c r="Q834" s="1">
        <v>0</v>
      </c>
      <c r="R834" s="1">
        <v>2509.98</v>
      </c>
      <c r="S834" t="s">
        <v>12</v>
      </c>
      <c r="T834" s="13">
        <v>45851</v>
      </c>
      <c r="U834" s="1" t="str">
        <f>IF(ESTIMATIVA[[#This Row],[QT_AREA_REAL]]&gt;0,"1- Colhido","2- à Colher")</f>
        <v>1- Colhido</v>
      </c>
      <c r="V834" s="1" t="str">
        <f>IF(ESTIMATIVA[[#This Row],[QT_AREA_REST1]]&gt;0,"Reestimativa 1",IF(ESTIMATIVA[[#This Row],[QT_AREA_REAL]]=0,"Reestimativa 1","Realizado"))</f>
        <v>Realizado</v>
      </c>
      <c r="W834" s="1" t="str">
        <f>IF(ESTIMATIVA[[#This Row],[QT_AREA_REST2]]&gt;0,"Reestimativa 2",IF(ESTIMATIVA[[#This Row],[QT_AREA_REAL]]=0,"Reestimativa 2","Realizado"))</f>
        <v>Realizado</v>
      </c>
      <c r="X834" s="1">
        <f>ESTIMATIVA[[#This Row],[QT_AREA_EST]]</f>
        <v>24.79</v>
      </c>
      <c r="Y834" s="1">
        <f>IF(ESTIMATIVA[[#This Row],[QT_AREA_REST1]]&gt;0,ESTIMATIVA[[#This Row],[QT_AREA_REST1]],
  IF(ESTIMATIVA[[#This Row],[QT_AREA_REAL]]&gt;0,ESTIMATIVA[[#This Row],[QT_AREA_REAL]],ESTIMATIVA[[#This Row],[QT_AREA_EST]]))</f>
        <v>24.79</v>
      </c>
      <c r="Z83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24.79</v>
      </c>
      <c r="AA834" s="1">
        <f>ESTIMATIVA[[#This Row],[QT_CANA_EST]]</f>
        <v>2231.1</v>
      </c>
      <c r="AB834" s="1">
        <f>IF(ESTIMATIVA[[#This Row],[QT_CANA_REST1]]&gt;0,ESTIMATIVA[[#This Row],[QT_CANA_REST1]],
  IF(ESTIMATIVA[[#This Row],[QT_CANA_REAL]]&gt;0,ESTIMATIVA[[#This Row],[QT_CANA_REAL]],ESTIMATIVA[[#This Row],[QT_CANA_EST]]))</f>
        <v>2509.98</v>
      </c>
      <c r="AC83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2509.98</v>
      </c>
      <c r="AD834" s="1">
        <f>IF(ESTIMATIVA[[#This Row],[QT_AREA_REAL]]&gt;0,ESTIMATIVA[[#This Row],[QT_CANA_REAL]],ESTIMATIVA[[#This Row],[QT_CANA_EST]])</f>
        <v>2509.98</v>
      </c>
      <c r="AE834" s="1">
        <f>IF(ESTIMATIVA[[#This Row],[QT_AREA_REAL]]&gt;0,ESTIMATIVA[[#This Row],[QT_CANA_REAL]],ESTIMATIVA[[#This Row],[QT_CANA_REST1]])</f>
        <v>2509.98</v>
      </c>
      <c r="AF834" s="1">
        <f>IF(ESTIMATIVA[[#This Row],[QT_AREA_REAL]]&gt;0,ESTIMATIVA[[#This Row],[QT_CANA_REAL]],ESTIMATIVA[[#This Row],[QT_CANA_REST2]])</f>
        <v>2509.98</v>
      </c>
      <c r="AG834" s="1" t="str">
        <f>IF(COUNTIFS(GEADA!A:A,VALUE(ESTIMATIVA[[#This Row],[CD_UPNIVEL1]]&amp;TEXT(ESTIMATIVA[[#This Row],[CD_UPNIVEL3]],"0000")))&gt;0,"S","N")</f>
        <v>N</v>
      </c>
      <c r="AH83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34" s="55" t="str">
        <f>IF(ESTIMATIVA[[#This Row],[TP_CULTIVO]]="Irrigado",_xlfn.MAXIFS(IRRIGADO!J:J,IRRIGADO!C:C,ESTIMATIVA[[#This Row],[CD_UPNIVEL1]],IRRIGADO!E:E,ESTIMATIVA[[#This Row],[CD_UPNIVEL3]]),"")</f>
        <v/>
      </c>
      <c r="AJ83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34" s="1">
        <f>COUNTIFS(Apresentação!$E$23:$E$29,ESTIMATIVA[[#This Row],[CD_UPNIVEL1]])</f>
        <v>0</v>
      </c>
    </row>
    <row r="835" spans="1:37" x14ac:dyDescent="0.3">
      <c r="A835">
        <v>20432</v>
      </c>
      <c r="B835" t="s">
        <v>22</v>
      </c>
      <c r="C835">
        <v>190</v>
      </c>
      <c r="D835">
        <v>1</v>
      </c>
      <c r="E835" t="s">
        <v>267</v>
      </c>
      <c r="F835" s="85" t="s">
        <v>332</v>
      </c>
      <c r="G835"/>
      <c r="H835" t="s">
        <v>294</v>
      </c>
      <c r="I835" t="s">
        <v>211</v>
      </c>
      <c r="J835" t="s">
        <v>175</v>
      </c>
      <c r="K835" s="1">
        <v>5.86</v>
      </c>
      <c r="L835" s="1">
        <v>0</v>
      </c>
      <c r="M835" s="1">
        <v>0</v>
      </c>
      <c r="N835" s="1">
        <v>5.86</v>
      </c>
      <c r="O835" s="1">
        <v>580.14</v>
      </c>
      <c r="P835" s="1">
        <v>0</v>
      </c>
      <c r="Q835" s="1">
        <v>0</v>
      </c>
      <c r="R835" s="1">
        <v>732.91</v>
      </c>
      <c r="S835" t="s">
        <v>12</v>
      </c>
      <c r="T835" s="13">
        <v>45851</v>
      </c>
      <c r="U835" s="1" t="str">
        <f>IF(ESTIMATIVA[[#This Row],[QT_AREA_REAL]]&gt;0,"1- Colhido","2- à Colher")</f>
        <v>1- Colhido</v>
      </c>
      <c r="V835" s="1" t="str">
        <f>IF(ESTIMATIVA[[#This Row],[QT_AREA_REST1]]&gt;0,"Reestimativa 1",IF(ESTIMATIVA[[#This Row],[QT_AREA_REAL]]=0,"Reestimativa 1","Realizado"))</f>
        <v>Realizado</v>
      </c>
      <c r="W835" s="1" t="str">
        <f>IF(ESTIMATIVA[[#This Row],[QT_AREA_REST2]]&gt;0,"Reestimativa 2",IF(ESTIMATIVA[[#This Row],[QT_AREA_REAL]]=0,"Reestimativa 2","Realizado"))</f>
        <v>Realizado</v>
      </c>
      <c r="X835" s="1">
        <f>ESTIMATIVA[[#This Row],[QT_AREA_EST]]</f>
        <v>5.86</v>
      </c>
      <c r="Y835" s="1">
        <f>IF(ESTIMATIVA[[#This Row],[QT_AREA_REST1]]&gt;0,ESTIMATIVA[[#This Row],[QT_AREA_REST1]],
  IF(ESTIMATIVA[[#This Row],[QT_AREA_REAL]]&gt;0,ESTIMATIVA[[#This Row],[QT_AREA_REAL]],ESTIMATIVA[[#This Row],[QT_AREA_EST]]))</f>
        <v>5.86</v>
      </c>
      <c r="Z83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5.86</v>
      </c>
      <c r="AA835" s="1">
        <f>ESTIMATIVA[[#This Row],[QT_CANA_EST]]</f>
        <v>580.14</v>
      </c>
      <c r="AB835" s="1">
        <f>IF(ESTIMATIVA[[#This Row],[QT_CANA_REST1]]&gt;0,ESTIMATIVA[[#This Row],[QT_CANA_REST1]],
  IF(ESTIMATIVA[[#This Row],[QT_CANA_REAL]]&gt;0,ESTIMATIVA[[#This Row],[QT_CANA_REAL]],ESTIMATIVA[[#This Row],[QT_CANA_EST]]))</f>
        <v>732.91</v>
      </c>
      <c r="AC83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732.91</v>
      </c>
      <c r="AD835" s="1">
        <f>IF(ESTIMATIVA[[#This Row],[QT_AREA_REAL]]&gt;0,ESTIMATIVA[[#This Row],[QT_CANA_REAL]],ESTIMATIVA[[#This Row],[QT_CANA_EST]])</f>
        <v>732.91</v>
      </c>
      <c r="AE835" s="1">
        <f>IF(ESTIMATIVA[[#This Row],[QT_AREA_REAL]]&gt;0,ESTIMATIVA[[#This Row],[QT_CANA_REAL]],ESTIMATIVA[[#This Row],[QT_CANA_REST1]])</f>
        <v>732.91</v>
      </c>
      <c r="AF835" s="1">
        <f>IF(ESTIMATIVA[[#This Row],[QT_AREA_REAL]]&gt;0,ESTIMATIVA[[#This Row],[QT_CANA_REAL]],ESTIMATIVA[[#This Row],[QT_CANA_REST2]])</f>
        <v>732.91</v>
      </c>
      <c r="AG835" s="1" t="str">
        <f>IF(COUNTIFS(GEADA!A:A,VALUE(ESTIMATIVA[[#This Row],[CD_UPNIVEL1]]&amp;TEXT(ESTIMATIVA[[#This Row],[CD_UPNIVEL3]],"0000")))&gt;0,"S","N")</f>
        <v>N</v>
      </c>
      <c r="AH835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835" s="55">
        <f>IF(ESTIMATIVA[[#This Row],[TP_CULTIVO]]="Irrigado",_xlfn.MAXIFS(IRRIGADO!J:J,IRRIGADO!C:C,ESTIMATIVA[[#This Row],[CD_UPNIVEL1]],IRRIGADO!E:E,ESTIMATIVA[[#This Row],[CD_UPNIVEL3]]),"")</f>
        <v>45504</v>
      </c>
      <c r="AJ835" s="1">
        <f>IF(ESTIMATIVA[[#This Row],[TP_CULTIVO]]&lt;&gt;"Irrigado",0,AVERAGEIFS(IRRIGADO!G:G,IRRIGADO!C:C,ESTIMATIVA[[#This Row],[CD_UPNIVEL1]],IRRIGADO!E:E,ESTIMATIVA[[#This Row],[CD_UPNIVEL3]])*ESTIMATIVA[[#This Row],[QT_AREA_REAL]])</f>
        <v>164.08</v>
      </c>
      <c r="AK835" s="1">
        <f>COUNTIFS(Apresentação!$E$23:$E$29,ESTIMATIVA[[#This Row],[CD_UPNIVEL1]])</f>
        <v>0</v>
      </c>
    </row>
    <row r="836" spans="1:37" x14ac:dyDescent="0.3">
      <c r="A836">
        <v>20432</v>
      </c>
      <c r="B836" t="s">
        <v>22</v>
      </c>
      <c r="C836">
        <v>191</v>
      </c>
      <c r="D836">
        <v>1</v>
      </c>
      <c r="E836" t="s">
        <v>267</v>
      </c>
      <c r="F836" s="85" t="s">
        <v>331</v>
      </c>
      <c r="G836"/>
      <c r="H836" t="s">
        <v>294</v>
      </c>
      <c r="I836" t="s">
        <v>211</v>
      </c>
      <c r="J836" t="s">
        <v>175</v>
      </c>
      <c r="K836" s="1">
        <v>9.39</v>
      </c>
      <c r="L836" s="1">
        <v>0</v>
      </c>
      <c r="M836" s="1">
        <v>0</v>
      </c>
      <c r="N836" s="1">
        <v>9.39</v>
      </c>
      <c r="O836" s="1">
        <v>929.61</v>
      </c>
      <c r="P836" s="1">
        <v>0</v>
      </c>
      <c r="Q836" s="1">
        <v>0</v>
      </c>
      <c r="R836" s="1">
        <v>1046.2</v>
      </c>
      <c r="S836" t="s">
        <v>12</v>
      </c>
      <c r="T836" s="13">
        <v>45851</v>
      </c>
      <c r="U836" s="1" t="str">
        <f>IF(ESTIMATIVA[[#This Row],[QT_AREA_REAL]]&gt;0,"1- Colhido","2- à Colher")</f>
        <v>1- Colhido</v>
      </c>
      <c r="V836" s="1" t="str">
        <f>IF(ESTIMATIVA[[#This Row],[QT_AREA_REST1]]&gt;0,"Reestimativa 1",IF(ESTIMATIVA[[#This Row],[QT_AREA_REAL]]=0,"Reestimativa 1","Realizado"))</f>
        <v>Realizado</v>
      </c>
      <c r="W836" s="1" t="str">
        <f>IF(ESTIMATIVA[[#This Row],[QT_AREA_REST2]]&gt;0,"Reestimativa 2",IF(ESTIMATIVA[[#This Row],[QT_AREA_REAL]]=0,"Reestimativa 2","Realizado"))</f>
        <v>Realizado</v>
      </c>
      <c r="X836" s="1">
        <f>ESTIMATIVA[[#This Row],[QT_AREA_EST]]</f>
        <v>9.39</v>
      </c>
      <c r="Y836" s="1">
        <f>IF(ESTIMATIVA[[#This Row],[QT_AREA_REST1]]&gt;0,ESTIMATIVA[[#This Row],[QT_AREA_REST1]],
  IF(ESTIMATIVA[[#This Row],[QT_AREA_REAL]]&gt;0,ESTIMATIVA[[#This Row],[QT_AREA_REAL]],ESTIMATIVA[[#This Row],[QT_AREA_EST]]))</f>
        <v>9.39</v>
      </c>
      <c r="Z83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9.39</v>
      </c>
      <c r="AA836" s="1">
        <f>ESTIMATIVA[[#This Row],[QT_CANA_EST]]</f>
        <v>929.61</v>
      </c>
      <c r="AB836" s="1">
        <f>IF(ESTIMATIVA[[#This Row],[QT_CANA_REST1]]&gt;0,ESTIMATIVA[[#This Row],[QT_CANA_REST1]],
  IF(ESTIMATIVA[[#This Row],[QT_CANA_REAL]]&gt;0,ESTIMATIVA[[#This Row],[QT_CANA_REAL]],ESTIMATIVA[[#This Row],[QT_CANA_EST]]))</f>
        <v>1046.2</v>
      </c>
      <c r="AC83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1046.2</v>
      </c>
      <c r="AD836" s="1">
        <f>IF(ESTIMATIVA[[#This Row],[QT_AREA_REAL]]&gt;0,ESTIMATIVA[[#This Row],[QT_CANA_REAL]],ESTIMATIVA[[#This Row],[QT_CANA_EST]])</f>
        <v>1046.2</v>
      </c>
      <c r="AE836" s="1">
        <f>IF(ESTIMATIVA[[#This Row],[QT_AREA_REAL]]&gt;0,ESTIMATIVA[[#This Row],[QT_CANA_REAL]],ESTIMATIVA[[#This Row],[QT_CANA_REST1]])</f>
        <v>1046.2</v>
      </c>
      <c r="AF836" s="1">
        <f>IF(ESTIMATIVA[[#This Row],[QT_AREA_REAL]]&gt;0,ESTIMATIVA[[#This Row],[QT_CANA_REAL]],ESTIMATIVA[[#This Row],[QT_CANA_REST2]])</f>
        <v>1046.2</v>
      </c>
      <c r="AG836" s="1" t="str">
        <f>IF(COUNTIFS(GEADA!A:A,VALUE(ESTIMATIVA[[#This Row],[CD_UPNIVEL1]]&amp;TEXT(ESTIMATIVA[[#This Row],[CD_UPNIVEL3]],"0000")))&gt;0,"S","N")</f>
        <v>N</v>
      </c>
      <c r="AH836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836" s="55">
        <f>IF(ESTIMATIVA[[#This Row],[TP_CULTIVO]]="Irrigado",_xlfn.MAXIFS(IRRIGADO!J:J,IRRIGADO!C:C,ESTIMATIVA[[#This Row],[CD_UPNIVEL1]],IRRIGADO!E:E,ESTIMATIVA[[#This Row],[CD_UPNIVEL3]]),"")</f>
        <v>45504</v>
      </c>
      <c r="AJ836" s="1">
        <f>IF(ESTIMATIVA[[#This Row],[TP_CULTIVO]]&lt;&gt;"Irrigado",0,AVERAGEIFS(IRRIGADO!G:G,IRRIGADO!C:C,ESTIMATIVA[[#This Row],[CD_UPNIVEL1]],IRRIGADO!E:E,ESTIMATIVA[[#This Row],[CD_UPNIVEL3]])*ESTIMATIVA[[#This Row],[QT_AREA_REAL]])</f>
        <v>262.92</v>
      </c>
      <c r="AK836" s="1">
        <f>COUNTIFS(Apresentação!$E$23:$E$29,ESTIMATIVA[[#This Row],[CD_UPNIVEL1]])</f>
        <v>0</v>
      </c>
    </row>
    <row r="837" spans="1:37" x14ac:dyDescent="0.3">
      <c r="A837">
        <v>20432</v>
      </c>
      <c r="B837" t="s">
        <v>22</v>
      </c>
      <c r="C837">
        <v>192</v>
      </c>
      <c r="D837">
        <v>2</v>
      </c>
      <c r="E837" t="s">
        <v>266</v>
      </c>
      <c r="F837" s="85" t="s">
        <v>332</v>
      </c>
      <c r="G837"/>
      <c r="H837" t="s">
        <v>295</v>
      </c>
      <c r="I837" t="s">
        <v>197</v>
      </c>
      <c r="J837" t="s">
        <v>175</v>
      </c>
      <c r="K837" s="1">
        <v>20.18</v>
      </c>
      <c r="L837" s="1">
        <v>20.18</v>
      </c>
      <c r="M837" s="1">
        <v>0</v>
      </c>
      <c r="N837" s="1">
        <v>20.18</v>
      </c>
      <c r="O837" s="1">
        <v>1856.56</v>
      </c>
      <c r="P837" s="1">
        <v>1896.92</v>
      </c>
      <c r="Q837" s="1">
        <v>0</v>
      </c>
      <c r="R837" s="1">
        <v>2037.86</v>
      </c>
      <c r="S837" t="s">
        <v>12</v>
      </c>
      <c r="T837" s="13">
        <v>45858</v>
      </c>
      <c r="U837" s="1" t="str">
        <f>IF(ESTIMATIVA[[#This Row],[QT_AREA_REAL]]&gt;0,"1- Colhido","2- à Colher")</f>
        <v>1- Colhido</v>
      </c>
      <c r="V837" s="1" t="str">
        <f>IF(ESTIMATIVA[[#This Row],[QT_AREA_REST1]]&gt;0,"Reestimativa 1",IF(ESTIMATIVA[[#This Row],[QT_AREA_REAL]]=0,"Reestimativa 1","Realizado"))</f>
        <v>Reestimativa 1</v>
      </c>
      <c r="W837" s="1" t="str">
        <f>IF(ESTIMATIVA[[#This Row],[QT_AREA_REST2]]&gt;0,"Reestimativa 2",IF(ESTIMATIVA[[#This Row],[QT_AREA_REAL]]=0,"Reestimativa 2","Realizado"))</f>
        <v>Realizado</v>
      </c>
      <c r="X837" s="1">
        <f>ESTIMATIVA[[#This Row],[QT_AREA_EST]]</f>
        <v>20.18</v>
      </c>
      <c r="Y837" s="1">
        <f>IF(ESTIMATIVA[[#This Row],[QT_AREA_REST1]]&gt;0,ESTIMATIVA[[#This Row],[QT_AREA_REST1]],
  IF(ESTIMATIVA[[#This Row],[QT_AREA_REAL]]&gt;0,ESTIMATIVA[[#This Row],[QT_AREA_REAL]],ESTIMATIVA[[#This Row],[QT_AREA_EST]]))</f>
        <v>20.18</v>
      </c>
      <c r="Z83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20.18</v>
      </c>
      <c r="AA837" s="1">
        <f>ESTIMATIVA[[#This Row],[QT_CANA_EST]]</f>
        <v>1856.56</v>
      </c>
      <c r="AB837" s="1">
        <f>IF(ESTIMATIVA[[#This Row],[QT_CANA_REST1]]&gt;0,ESTIMATIVA[[#This Row],[QT_CANA_REST1]],
  IF(ESTIMATIVA[[#This Row],[QT_CANA_REAL]]&gt;0,ESTIMATIVA[[#This Row],[QT_CANA_REAL]],ESTIMATIVA[[#This Row],[QT_CANA_EST]]))</f>
        <v>1896.92</v>
      </c>
      <c r="AC83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2037.86</v>
      </c>
      <c r="AD837" s="1">
        <f>IF(ESTIMATIVA[[#This Row],[QT_AREA_REAL]]&gt;0,ESTIMATIVA[[#This Row],[QT_CANA_REAL]],ESTIMATIVA[[#This Row],[QT_CANA_EST]])</f>
        <v>2037.86</v>
      </c>
      <c r="AE837" s="1">
        <f>IF(ESTIMATIVA[[#This Row],[QT_AREA_REAL]]&gt;0,ESTIMATIVA[[#This Row],[QT_CANA_REAL]],ESTIMATIVA[[#This Row],[QT_CANA_REST1]])</f>
        <v>2037.86</v>
      </c>
      <c r="AF837" s="1">
        <f>IF(ESTIMATIVA[[#This Row],[QT_AREA_REAL]]&gt;0,ESTIMATIVA[[#This Row],[QT_CANA_REAL]],ESTIMATIVA[[#This Row],[QT_CANA_REST2]])</f>
        <v>2037.86</v>
      </c>
      <c r="AG837" s="1" t="str">
        <f>IF(COUNTIFS(GEADA!A:A,VALUE(ESTIMATIVA[[#This Row],[CD_UPNIVEL1]]&amp;TEXT(ESTIMATIVA[[#This Row],[CD_UPNIVEL3]],"0000")))&gt;0,"S","N")</f>
        <v>N</v>
      </c>
      <c r="AH83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37" s="55" t="str">
        <f>IF(ESTIMATIVA[[#This Row],[TP_CULTIVO]]="Irrigado",_xlfn.MAXIFS(IRRIGADO!J:J,IRRIGADO!C:C,ESTIMATIVA[[#This Row],[CD_UPNIVEL1]],IRRIGADO!E:E,ESTIMATIVA[[#This Row],[CD_UPNIVEL3]]),"")</f>
        <v/>
      </c>
      <c r="AJ83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37" s="1">
        <f>COUNTIFS(Apresentação!$E$23:$E$29,ESTIMATIVA[[#This Row],[CD_UPNIVEL1]])</f>
        <v>0</v>
      </c>
    </row>
    <row r="838" spans="1:37" x14ac:dyDescent="0.3">
      <c r="A838">
        <v>20432</v>
      </c>
      <c r="B838" t="s">
        <v>22</v>
      </c>
      <c r="C838">
        <v>193</v>
      </c>
      <c r="D838">
        <v>2</v>
      </c>
      <c r="E838" t="s">
        <v>266</v>
      </c>
      <c r="F838" s="85" t="s">
        <v>332</v>
      </c>
      <c r="G838"/>
      <c r="H838" t="s">
        <v>295</v>
      </c>
      <c r="I838" t="s">
        <v>197</v>
      </c>
      <c r="J838" t="s">
        <v>175</v>
      </c>
      <c r="K838" s="1">
        <v>10.33</v>
      </c>
      <c r="L838" s="1">
        <v>10.33</v>
      </c>
      <c r="M838" s="1">
        <v>0</v>
      </c>
      <c r="N838" s="1">
        <v>10.33</v>
      </c>
      <c r="O838" s="1">
        <v>950.36</v>
      </c>
      <c r="P838" s="1">
        <v>971.02</v>
      </c>
      <c r="Q838" s="1">
        <v>0</v>
      </c>
      <c r="R838" s="1">
        <v>1043.06</v>
      </c>
      <c r="S838" t="s">
        <v>12</v>
      </c>
      <c r="T838" s="13">
        <v>45858</v>
      </c>
      <c r="U838" s="1" t="str">
        <f>IF(ESTIMATIVA[[#This Row],[QT_AREA_REAL]]&gt;0,"1- Colhido","2- à Colher")</f>
        <v>1- Colhido</v>
      </c>
      <c r="V838" s="1" t="str">
        <f>IF(ESTIMATIVA[[#This Row],[QT_AREA_REST1]]&gt;0,"Reestimativa 1",IF(ESTIMATIVA[[#This Row],[QT_AREA_REAL]]=0,"Reestimativa 1","Realizado"))</f>
        <v>Reestimativa 1</v>
      </c>
      <c r="W838" s="1" t="str">
        <f>IF(ESTIMATIVA[[#This Row],[QT_AREA_REST2]]&gt;0,"Reestimativa 2",IF(ESTIMATIVA[[#This Row],[QT_AREA_REAL]]=0,"Reestimativa 2","Realizado"))</f>
        <v>Realizado</v>
      </c>
      <c r="X838" s="1">
        <f>ESTIMATIVA[[#This Row],[QT_AREA_EST]]</f>
        <v>10.33</v>
      </c>
      <c r="Y838" s="1">
        <f>IF(ESTIMATIVA[[#This Row],[QT_AREA_REST1]]&gt;0,ESTIMATIVA[[#This Row],[QT_AREA_REST1]],
  IF(ESTIMATIVA[[#This Row],[QT_AREA_REAL]]&gt;0,ESTIMATIVA[[#This Row],[QT_AREA_REAL]],ESTIMATIVA[[#This Row],[QT_AREA_EST]]))</f>
        <v>10.33</v>
      </c>
      <c r="Z83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10.33</v>
      </c>
      <c r="AA838" s="1">
        <f>ESTIMATIVA[[#This Row],[QT_CANA_EST]]</f>
        <v>950.36</v>
      </c>
      <c r="AB838" s="1">
        <f>IF(ESTIMATIVA[[#This Row],[QT_CANA_REST1]]&gt;0,ESTIMATIVA[[#This Row],[QT_CANA_REST1]],
  IF(ESTIMATIVA[[#This Row],[QT_CANA_REAL]]&gt;0,ESTIMATIVA[[#This Row],[QT_CANA_REAL]],ESTIMATIVA[[#This Row],[QT_CANA_EST]]))</f>
        <v>971.02</v>
      </c>
      <c r="AC83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1043.06</v>
      </c>
      <c r="AD838" s="1">
        <f>IF(ESTIMATIVA[[#This Row],[QT_AREA_REAL]]&gt;0,ESTIMATIVA[[#This Row],[QT_CANA_REAL]],ESTIMATIVA[[#This Row],[QT_CANA_EST]])</f>
        <v>1043.06</v>
      </c>
      <c r="AE838" s="1">
        <f>IF(ESTIMATIVA[[#This Row],[QT_AREA_REAL]]&gt;0,ESTIMATIVA[[#This Row],[QT_CANA_REAL]],ESTIMATIVA[[#This Row],[QT_CANA_REST1]])</f>
        <v>1043.06</v>
      </c>
      <c r="AF838" s="1">
        <f>IF(ESTIMATIVA[[#This Row],[QT_AREA_REAL]]&gt;0,ESTIMATIVA[[#This Row],[QT_CANA_REAL]],ESTIMATIVA[[#This Row],[QT_CANA_REST2]])</f>
        <v>1043.06</v>
      </c>
      <c r="AG838" s="1" t="str">
        <f>IF(COUNTIFS(GEADA!A:A,VALUE(ESTIMATIVA[[#This Row],[CD_UPNIVEL1]]&amp;TEXT(ESTIMATIVA[[#This Row],[CD_UPNIVEL3]],"0000")))&gt;0,"S","N")</f>
        <v>N</v>
      </c>
      <c r="AH83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38" s="55" t="str">
        <f>IF(ESTIMATIVA[[#This Row],[TP_CULTIVO]]="Irrigado",_xlfn.MAXIFS(IRRIGADO!J:J,IRRIGADO!C:C,ESTIMATIVA[[#This Row],[CD_UPNIVEL1]],IRRIGADO!E:E,ESTIMATIVA[[#This Row],[CD_UPNIVEL3]]),"")</f>
        <v/>
      </c>
      <c r="AJ83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38" s="1">
        <f>COUNTIFS(Apresentação!$E$23:$E$29,ESTIMATIVA[[#This Row],[CD_UPNIVEL1]])</f>
        <v>0</v>
      </c>
    </row>
    <row r="839" spans="1:37" x14ac:dyDescent="0.3">
      <c r="A839">
        <v>20432</v>
      </c>
      <c r="B839" t="s">
        <v>22</v>
      </c>
      <c r="C839">
        <v>194</v>
      </c>
      <c r="D839">
        <v>1</v>
      </c>
      <c r="E839" t="s">
        <v>267</v>
      </c>
      <c r="F839" s="85" t="s">
        <v>331</v>
      </c>
      <c r="G839"/>
      <c r="H839" t="s">
        <v>294</v>
      </c>
      <c r="I839" t="s">
        <v>211</v>
      </c>
      <c r="J839" t="s">
        <v>175</v>
      </c>
      <c r="K839" s="1">
        <v>15.62</v>
      </c>
      <c r="L839" s="1">
        <v>15.62</v>
      </c>
      <c r="M839" s="1">
        <v>0</v>
      </c>
      <c r="N839" s="1">
        <v>15.62</v>
      </c>
      <c r="O839" s="1">
        <v>1499.52</v>
      </c>
      <c r="P839" s="1">
        <v>1515.14</v>
      </c>
      <c r="Q839" s="1">
        <v>0</v>
      </c>
      <c r="R839" s="1">
        <v>1627.83</v>
      </c>
      <c r="S839" t="s">
        <v>12</v>
      </c>
      <c r="T839" s="13">
        <v>45858</v>
      </c>
      <c r="U839" s="1" t="str">
        <f>IF(ESTIMATIVA[[#This Row],[QT_AREA_REAL]]&gt;0,"1- Colhido","2- à Colher")</f>
        <v>1- Colhido</v>
      </c>
      <c r="V839" s="1" t="str">
        <f>IF(ESTIMATIVA[[#This Row],[QT_AREA_REST1]]&gt;0,"Reestimativa 1",IF(ESTIMATIVA[[#This Row],[QT_AREA_REAL]]=0,"Reestimativa 1","Realizado"))</f>
        <v>Reestimativa 1</v>
      </c>
      <c r="W839" s="1" t="str">
        <f>IF(ESTIMATIVA[[#This Row],[QT_AREA_REST2]]&gt;0,"Reestimativa 2",IF(ESTIMATIVA[[#This Row],[QT_AREA_REAL]]=0,"Reestimativa 2","Realizado"))</f>
        <v>Realizado</v>
      </c>
      <c r="X839" s="1">
        <f>ESTIMATIVA[[#This Row],[QT_AREA_EST]]</f>
        <v>15.62</v>
      </c>
      <c r="Y839" s="1">
        <f>IF(ESTIMATIVA[[#This Row],[QT_AREA_REST1]]&gt;0,ESTIMATIVA[[#This Row],[QT_AREA_REST1]],
  IF(ESTIMATIVA[[#This Row],[QT_AREA_REAL]]&gt;0,ESTIMATIVA[[#This Row],[QT_AREA_REAL]],ESTIMATIVA[[#This Row],[QT_AREA_EST]]))</f>
        <v>15.62</v>
      </c>
      <c r="Z83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15.62</v>
      </c>
      <c r="AA839" s="1">
        <f>ESTIMATIVA[[#This Row],[QT_CANA_EST]]</f>
        <v>1499.52</v>
      </c>
      <c r="AB839" s="1">
        <f>IF(ESTIMATIVA[[#This Row],[QT_CANA_REST1]]&gt;0,ESTIMATIVA[[#This Row],[QT_CANA_REST1]],
  IF(ESTIMATIVA[[#This Row],[QT_CANA_REAL]]&gt;0,ESTIMATIVA[[#This Row],[QT_CANA_REAL]],ESTIMATIVA[[#This Row],[QT_CANA_EST]]))</f>
        <v>1515.14</v>
      </c>
      <c r="AC83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1627.83</v>
      </c>
      <c r="AD839" s="1">
        <f>IF(ESTIMATIVA[[#This Row],[QT_AREA_REAL]]&gt;0,ESTIMATIVA[[#This Row],[QT_CANA_REAL]],ESTIMATIVA[[#This Row],[QT_CANA_EST]])</f>
        <v>1627.83</v>
      </c>
      <c r="AE839" s="1">
        <f>IF(ESTIMATIVA[[#This Row],[QT_AREA_REAL]]&gt;0,ESTIMATIVA[[#This Row],[QT_CANA_REAL]],ESTIMATIVA[[#This Row],[QT_CANA_REST1]])</f>
        <v>1627.83</v>
      </c>
      <c r="AF839" s="1">
        <f>IF(ESTIMATIVA[[#This Row],[QT_AREA_REAL]]&gt;0,ESTIMATIVA[[#This Row],[QT_CANA_REAL]],ESTIMATIVA[[#This Row],[QT_CANA_REST2]])</f>
        <v>1627.83</v>
      </c>
      <c r="AG839" s="1" t="str">
        <f>IF(COUNTIFS(GEADA!A:A,VALUE(ESTIMATIVA[[#This Row],[CD_UPNIVEL1]]&amp;TEXT(ESTIMATIVA[[#This Row],[CD_UPNIVEL3]],"0000")))&gt;0,"S","N")</f>
        <v>N</v>
      </c>
      <c r="AH839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839" s="55">
        <f>IF(ESTIMATIVA[[#This Row],[TP_CULTIVO]]="Irrigado",_xlfn.MAXIFS(IRRIGADO!J:J,IRRIGADO!C:C,ESTIMATIVA[[#This Row],[CD_UPNIVEL1]],IRRIGADO!E:E,ESTIMATIVA[[#This Row],[CD_UPNIVEL3]]),"")</f>
        <v>45504</v>
      </c>
      <c r="AJ839" s="1">
        <f>IF(ESTIMATIVA[[#This Row],[TP_CULTIVO]]&lt;&gt;"Irrigado",0,AVERAGEIFS(IRRIGADO!G:G,IRRIGADO!C:C,ESTIMATIVA[[#This Row],[CD_UPNIVEL1]],IRRIGADO!E:E,ESTIMATIVA[[#This Row],[CD_UPNIVEL3]])*ESTIMATIVA[[#This Row],[QT_AREA_REAL]])</f>
        <v>437.35999999999996</v>
      </c>
      <c r="AK839" s="1">
        <f>COUNTIFS(Apresentação!$E$23:$E$29,ESTIMATIVA[[#This Row],[CD_UPNIVEL1]])</f>
        <v>0</v>
      </c>
    </row>
    <row r="840" spans="1:37" x14ac:dyDescent="0.3">
      <c r="A840">
        <v>20432</v>
      </c>
      <c r="B840" t="s">
        <v>22</v>
      </c>
      <c r="C840">
        <v>195</v>
      </c>
      <c r="D840">
        <v>2</v>
      </c>
      <c r="E840" t="s">
        <v>266</v>
      </c>
      <c r="F840" s="85" t="s">
        <v>331</v>
      </c>
      <c r="G840"/>
      <c r="H840" t="s">
        <v>294</v>
      </c>
      <c r="I840" t="s">
        <v>197</v>
      </c>
      <c r="J840" t="s">
        <v>175</v>
      </c>
      <c r="K840" s="1">
        <v>4.2300000000000004</v>
      </c>
      <c r="L840" s="1">
        <v>0</v>
      </c>
      <c r="M840" s="1">
        <v>0</v>
      </c>
      <c r="N840" s="1">
        <v>4.2300000000000004</v>
      </c>
      <c r="O840" s="1">
        <v>380.7</v>
      </c>
      <c r="P840" s="1">
        <v>0</v>
      </c>
      <c r="Q840" s="1">
        <v>0</v>
      </c>
      <c r="R840" s="1">
        <v>429.68</v>
      </c>
      <c r="S840" t="s">
        <v>12</v>
      </c>
      <c r="T840" s="13">
        <v>45851</v>
      </c>
      <c r="U840" s="1" t="str">
        <f>IF(ESTIMATIVA[[#This Row],[QT_AREA_REAL]]&gt;0,"1- Colhido","2- à Colher")</f>
        <v>1- Colhido</v>
      </c>
      <c r="V840" s="1" t="str">
        <f>IF(ESTIMATIVA[[#This Row],[QT_AREA_REST1]]&gt;0,"Reestimativa 1",IF(ESTIMATIVA[[#This Row],[QT_AREA_REAL]]=0,"Reestimativa 1","Realizado"))</f>
        <v>Realizado</v>
      </c>
      <c r="W840" s="1" t="str">
        <f>IF(ESTIMATIVA[[#This Row],[QT_AREA_REST2]]&gt;0,"Reestimativa 2",IF(ESTIMATIVA[[#This Row],[QT_AREA_REAL]]=0,"Reestimativa 2","Realizado"))</f>
        <v>Realizado</v>
      </c>
      <c r="X840" s="1">
        <f>ESTIMATIVA[[#This Row],[QT_AREA_EST]]</f>
        <v>4.2300000000000004</v>
      </c>
      <c r="Y840" s="1">
        <f>IF(ESTIMATIVA[[#This Row],[QT_AREA_REST1]]&gt;0,ESTIMATIVA[[#This Row],[QT_AREA_REST1]],
  IF(ESTIMATIVA[[#This Row],[QT_AREA_REAL]]&gt;0,ESTIMATIVA[[#This Row],[QT_AREA_REAL]],ESTIMATIVA[[#This Row],[QT_AREA_EST]]))</f>
        <v>4.2300000000000004</v>
      </c>
      <c r="Z84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4.2300000000000004</v>
      </c>
      <c r="AA840" s="1">
        <f>ESTIMATIVA[[#This Row],[QT_CANA_EST]]</f>
        <v>380.7</v>
      </c>
      <c r="AB840" s="1">
        <f>IF(ESTIMATIVA[[#This Row],[QT_CANA_REST1]]&gt;0,ESTIMATIVA[[#This Row],[QT_CANA_REST1]],
  IF(ESTIMATIVA[[#This Row],[QT_CANA_REAL]]&gt;0,ESTIMATIVA[[#This Row],[QT_CANA_REAL]],ESTIMATIVA[[#This Row],[QT_CANA_EST]]))</f>
        <v>429.68</v>
      </c>
      <c r="AC84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429.68</v>
      </c>
      <c r="AD840" s="1">
        <f>IF(ESTIMATIVA[[#This Row],[QT_AREA_REAL]]&gt;0,ESTIMATIVA[[#This Row],[QT_CANA_REAL]],ESTIMATIVA[[#This Row],[QT_CANA_EST]])</f>
        <v>429.68</v>
      </c>
      <c r="AE840" s="1">
        <f>IF(ESTIMATIVA[[#This Row],[QT_AREA_REAL]]&gt;0,ESTIMATIVA[[#This Row],[QT_CANA_REAL]],ESTIMATIVA[[#This Row],[QT_CANA_REST1]])</f>
        <v>429.68</v>
      </c>
      <c r="AF840" s="1">
        <f>IF(ESTIMATIVA[[#This Row],[QT_AREA_REAL]]&gt;0,ESTIMATIVA[[#This Row],[QT_CANA_REAL]],ESTIMATIVA[[#This Row],[QT_CANA_REST2]])</f>
        <v>429.68</v>
      </c>
      <c r="AG840" s="1" t="str">
        <f>IF(COUNTIFS(GEADA!A:A,VALUE(ESTIMATIVA[[#This Row],[CD_UPNIVEL1]]&amp;TEXT(ESTIMATIVA[[#This Row],[CD_UPNIVEL3]],"0000")))&gt;0,"S","N")</f>
        <v>N</v>
      </c>
      <c r="AH84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40" s="55" t="str">
        <f>IF(ESTIMATIVA[[#This Row],[TP_CULTIVO]]="Irrigado",_xlfn.MAXIFS(IRRIGADO!J:J,IRRIGADO!C:C,ESTIMATIVA[[#This Row],[CD_UPNIVEL1]],IRRIGADO!E:E,ESTIMATIVA[[#This Row],[CD_UPNIVEL3]]),"")</f>
        <v/>
      </c>
      <c r="AJ84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40" s="1">
        <f>COUNTIFS(Apresentação!$E$23:$E$29,ESTIMATIVA[[#This Row],[CD_UPNIVEL1]])</f>
        <v>0</v>
      </c>
    </row>
    <row r="841" spans="1:37" x14ac:dyDescent="0.3">
      <c r="A841">
        <v>20432</v>
      </c>
      <c r="B841" t="s">
        <v>22</v>
      </c>
      <c r="C841">
        <v>233</v>
      </c>
      <c r="D841">
        <v>2</v>
      </c>
      <c r="E841" t="s">
        <v>266</v>
      </c>
      <c r="F841" s="85" t="s">
        <v>332</v>
      </c>
      <c r="G841"/>
      <c r="H841" t="s">
        <v>295</v>
      </c>
      <c r="I841" t="s">
        <v>210</v>
      </c>
      <c r="J841" t="s">
        <v>175</v>
      </c>
      <c r="K841" s="1">
        <v>5.86</v>
      </c>
      <c r="L841" s="1">
        <v>5.86</v>
      </c>
      <c r="M841" s="1">
        <v>0</v>
      </c>
      <c r="N841" s="1">
        <v>5.86</v>
      </c>
      <c r="O841" s="1">
        <v>550.84</v>
      </c>
      <c r="P841" s="1">
        <v>568.41999999999996</v>
      </c>
      <c r="Q841" s="1">
        <v>0</v>
      </c>
      <c r="R841" s="1">
        <v>556.9</v>
      </c>
      <c r="S841" t="s">
        <v>12</v>
      </c>
      <c r="T841" s="13">
        <v>45865</v>
      </c>
      <c r="U841" s="1" t="str">
        <f>IF(ESTIMATIVA[[#This Row],[QT_AREA_REAL]]&gt;0,"1- Colhido","2- à Colher")</f>
        <v>1- Colhido</v>
      </c>
      <c r="V841" s="1" t="str">
        <f>IF(ESTIMATIVA[[#This Row],[QT_AREA_REST1]]&gt;0,"Reestimativa 1",IF(ESTIMATIVA[[#This Row],[QT_AREA_REAL]]=0,"Reestimativa 1","Realizado"))</f>
        <v>Reestimativa 1</v>
      </c>
      <c r="W841" s="1" t="str">
        <f>IF(ESTIMATIVA[[#This Row],[QT_AREA_REST2]]&gt;0,"Reestimativa 2",IF(ESTIMATIVA[[#This Row],[QT_AREA_REAL]]=0,"Reestimativa 2","Realizado"))</f>
        <v>Realizado</v>
      </c>
      <c r="X841" s="1">
        <f>ESTIMATIVA[[#This Row],[QT_AREA_EST]]</f>
        <v>5.86</v>
      </c>
      <c r="Y841" s="1">
        <f>IF(ESTIMATIVA[[#This Row],[QT_AREA_REST1]]&gt;0,ESTIMATIVA[[#This Row],[QT_AREA_REST1]],
  IF(ESTIMATIVA[[#This Row],[QT_AREA_REAL]]&gt;0,ESTIMATIVA[[#This Row],[QT_AREA_REAL]],ESTIMATIVA[[#This Row],[QT_AREA_EST]]))</f>
        <v>5.86</v>
      </c>
      <c r="Z84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5.86</v>
      </c>
      <c r="AA841" s="1">
        <f>ESTIMATIVA[[#This Row],[QT_CANA_EST]]</f>
        <v>550.84</v>
      </c>
      <c r="AB841" s="1">
        <f>IF(ESTIMATIVA[[#This Row],[QT_CANA_REST1]]&gt;0,ESTIMATIVA[[#This Row],[QT_CANA_REST1]],
  IF(ESTIMATIVA[[#This Row],[QT_CANA_REAL]]&gt;0,ESTIMATIVA[[#This Row],[QT_CANA_REAL]],ESTIMATIVA[[#This Row],[QT_CANA_EST]]))</f>
        <v>568.41999999999996</v>
      </c>
      <c r="AC84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556.9</v>
      </c>
      <c r="AD841" s="1">
        <f>IF(ESTIMATIVA[[#This Row],[QT_AREA_REAL]]&gt;0,ESTIMATIVA[[#This Row],[QT_CANA_REAL]],ESTIMATIVA[[#This Row],[QT_CANA_EST]])</f>
        <v>556.9</v>
      </c>
      <c r="AE841" s="1">
        <f>IF(ESTIMATIVA[[#This Row],[QT_AREA_REAL]]&gt;0,ESTIMATIVA[[#This Row],[QT_CANA_REAL]],ESTIMATIVA[[#This Row],[QT_CANA_REST1]])</f>
        <v>556.9</v>
      </c>
      <c r="AF841" s="1">
        <f>IF(ESTIMATIVA[[#This Row],[QT_AREA_REAL]]&gt;0,ESTIMATIVA[[#This Row],[QT_CANA_REAL]],ESTIMATIVA[[#This Row],[QT_CANA_REST2]])</f>
        <v>556.9</v>
      </c>
      <c r="AG841" s="1" t="str">
        <f>IF(COUNTIFS(GEADA!A:A,VALUE(ESTIMATIVA[[#This Row],[CD_UPNIVEL1]]&amp;TEXT(ESTIMATIVA[[#This Row],[CD_UPNIVEL3]],"0000")))&gt;0,"S","N")</f>
        <v>N</v>
      </c>
      <c r="AH84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41" s="55" t="str">
        <f>IF(ESTIMATIVA[[#This Row],[TP_CULTIVO]]="Irrigado",_xlfn.MAXIFS(IRRIGADO!J:J,IRRIGADO!C:C,ESTIMATIVA[[#This Row],[CD_UPNIVEL1]],IRRIGADO!E:E,ESTIMATIVA[[#This Row],[CD_UPNIVEL3]]),"")</f>
        <v/>
      </c>
      <c r="AJ84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41" s="1">
        <f>COUNTIFS(Apresentação!$E$23:$E$29,ESTIMATIVA[[#This Row],[CD_UPNIVEL1]])</f>
        <v>0</v>
      </c>
    </row>
    <row r="842" spans="1:37" x14ac:dyDescent="0.3">
      <c r="A842">
        <v>20432</v>
      </c>
      <c r="B842" t="s">
        <v>22</v>
      </c>
      <c r="C842">
        <v>234</v>
      </c>
      <c r="D842">
        <v>2</v>
      </c>
      <c r="E842" t="s">
        <v>266</v>
      </c>
      <c r="F842" s="85" t="s">
        <v>332</v>
      </c>
      <c r="G842"/>
      <c r="H842" t="s">
        <v>295</v>
      </c>
      <c r="I842" t="s">
        <v>210</v>
      </c>
      <c r="J842" t="s">
        <v>175</v>
      </c>
      <c r="K842" s="1">
        <v>12.61</v>
      </c>
      <c r="L842" s="1">
        <v>12.61</v>
      </c>
      <c r="M842" s="1">
        <v>0</v>
      </c>
      <c r="N842" s="1">
        <v>12.61</v>
      </c>
      <c r="O842" s="1">
        <v>1185.3399999999999</v>
      </c>
      <c r="P842" s="1">
        <v>1223.17</v>
      </c>
      <c r="Q842" s="1">
        <v>0</v>
      </c>
      <c r="R842" s="1">
        <v>1199.1500000000001</v>
      </c>
      <c r="S842" t="s">
        <v>12</v>
      </c>
      <c r="T842" s="13">
        <v>45865</v>
      </c>
      <c r="U842" s="1" t="str">
        <f>IF(ESTIMATIVA[[#This Row],[QT_AREA_REAL]]&gt;0,"1- Colhido","2- à Colher")</f>
        <v>1- Colhido</v>
      </c>
      <c r="V842" s="1" t="str">
        <f>IF(ESTIMATIVA[[#This Row],[QT_AREA_REST1]]&gt;0,"Reestimativa 1",IF(ESTIMATIVA[[#This Row],[QT_AREA_REAL]]=0,"Reestimativa 1","Realizado"))</f>
        <v>Reestimativa 1</v>
      </c>
      <c r="W842" s="1" t="str">
        <f>IF(ESTIMATIVA[[#This Row],[QT_AREA_REST2]]&gt;0,"Reestimativa 2",IF(ESTIMATIVA[[#This Row],[QT_AREA_REAL]]=0,"Reestimativa 2","Realizado"))</f>
        <v>Realizado</v>
      </c>
      <c r="X842" s="1">
        <f>ESTIMATIVA[[#This Row],[QT_AREA_EST]]</f>
        <v>12.61</v>
      </c>
      <c r="Y842" s="1">
        <f>IF(ESTIMATIVA[[#This Row],[QT_AREA_REST1]]&gt;0,ESTIMATIVA[[#This Row],[QT_AREA_REST1]],
  IF(ESTIMATIVA[[#This Row],[QT_AREA_REAL]]&gt;0,ESTIMATIVA[[#This Row],[QT_AREA_REAL]],ESTIMATIVA[[#This Row],[QT_AREA_EST]]))</f>
        <v>12.61</v>
      </c>
      <c r="Z84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12.61</v>
      </c>
      <c r="AA842" s="1">
        <f>ESTIMATIVA[[#This Row],[QT_CANA_EST]]</f>
        <v>1185.3399999999999</v>
      </c>
      <c r="AB842" s="1">
        <f>IF(ESTIMATIVA[[#This Row],[QT_CANA_REST1]]&gt;0,ESTIMATIVA[[#This Row],[QT_CANA_REST1]],
  IF(ESTIMATIVA[[#This Row],[QT_CANA_REAL]]&gt;0,ESTIMATIVA[[#This Row],[QT_CANA_REAL]],ESTIMATIVA[[#This Row],[QT_CANA_EST]]))</f>
        <v>1223.17</v>
      </c>
      <c r="AC84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1199.1500000000001</v>
      </c>
      <c r="AD842" s="1">
        <f>IF(ESTIMATIVA[[#This Row],[QT_AREA_REAL]]&gt;0,ESTIMATIVA[[#This Row],[QT_CANA_REAL]],ESTIMATIVA[[#This Row],[QT_CANA_EST]])</f>
        <v>1199.1500000000001</v>
      </c>
      <c r="AE842" s="1">
        <f>IF(ESTIMATIVA[[#This Row],[QT_AREA_REAL]]&gt;0,ESTIMATIVA[[#This Row],[QT_CANA_REAL]],ESTIMATIVA[[#This Row],[QT_CANA_REST1]])</f>
        <v>1199.1500000000001</v>
      </c>
      <c r="AF842" s="1">
        <f>IF(ESTIMATIVA[[#This Row],[QT_AREA_REAL]]&gt;0,ESTIMATIVA[[#This Row],[QT_CANA_REAL]],ESTIMATIVA[[#This Row],[QT_CANA_REST2]])</f>
        <v>1199.1500000000001</v>
      </c>
      <c r="AG842" s="1" t="str">
        <f>IF(COUNTIFS(GEADA!A:A,VALUE(ESTIMATIVA[[#This Row],[CD_UPNIVEL1]]&amp;TEXT(ESTIMATIVA[[#This Row],[CD_UPNIVEL3]],"0000")))&gt;0,"S","N")</f>
        <v>N</v>
      </c>
      <c r="AH84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42" s="55" t="str">
        <f>IF(ESTIMATIVA[[#This Row],[TP_CULTIVO]]="Irrigado",_xlfn.MAXIFS(IRRIGADO!J:J,IRRIGADO!C:C,ESTIMATIVA[[#This Row],[CD_UPNIVEL1]],IRRIGADO!E:E,ESTIMATIVA[[#This Row],[CD_UPNIVEL3]]),"")</f>
        <v/>
      </c>
      <c r="AJ84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42" s="1">
        <f>COUNTIFS(Apresentação!$E$23:$E$29,ESTIMATIVA[[#This Row],[CD_UPNIVEL1]])</f>
        <v>0</v>
      </c>
    </row>
    <row r="843" spans="1:37" x14ac:dyDescent="0.3">
      <c r="A843">
        <v>20432</v>
      </c>
      <c r="B843" t="s">
        <v>22</v>
      </c>
      <c r="C843">
        <v>235</v>
      </c>
      <c r="D843">
        <v>2</v>
      </c>
      <c r="E843" t="s">
        <v>266</v>
      </c>
      <c r="F843" s="85" t="s">
        <v>331</v>
      </c>
      <c r="G843"/>
      <c r="H843" t="s">
        <v>295</v>
      </c>
      <c r="I843" t="s">
        <v>210</v>
      </c>
      <c r="J843" t="s">
        <v>175</v>
      </c>
      <c r="K843" s="1">
        <v>13.56</v>
      </c>
      <c r="L843" s="1">
        <v>13.56</v>
      </c>
      <c r="M843" s="1">
        <v>0</v>
      </c>
      <c r="N843" s="1">
        <v>13.56</v>
      </c>
      <c r="O843" s="1">
        <v>1274.6400000000001</v>
      </c>
      <c r="P843" s="1">
        <v>1315.32</v>
      </c>
      <c r="Q843" s="1">
        <v>0</v>
      </c>
      <c r="R843" s="1">
        <v>1289.5</v>
      </c>
      <c r="S843" t="s">
        <v>12</v>
      </c>
      <c r="T843" s="13">
        <v>45865</v>
      </c>
      <c r="U843" s="1" t="str">
        <f>IF(ESTIMATIVA[[#This Row],[QT_AREA_REAL]]&gt;0,"1- Colhido","2- à Colher")</f>
        <v>1- Colhido</v>
      </c>
      <c r="V843" s="1" t="str">
        <f>IF(ESTIMATIVA[[#This Row],[QT_AREA_REST1]]&gt;0,"Reestimativa 1",IF(ESTIMATIVA[[#This Row],[QT_AREA_REAL]]=0,"Reestimativa 1","Realizado"))</f>
        <v>Reestimativa 1</v>
      </c>
      <c r="W843" s="1" t="str">
        <f>IF(ESTIMATIVA[[#This Row],[QT_AREA_REST2]]&gt;0,"Reestimativa 2",IF(ESTIMATIVA[[#This Row],[QT_AREA_REAL]]=0,"Reestimativa 2","Realizado"))</f>
        <v>Realizado</v>
      </c>
      <c r="X843" s="1">
        <f>ESTIMATIVA[[#This Row],[QT_AREA_EST]]</f>
        <v>13.56</v>
      </c>
      <c r="Y843" s="1">
        <f>IF(ESTIMATIVA[[#This Row],[QT_AREA_REST1]]&gt;0,ESTIMATIVA[[#This Row],[QT_AREA_REST1]],
  IF(ESTIMATIVA[[#This Row],[QT_AREA_REAL]]&gt;0,ESTIMATIVA[[#This Row],[QT_AREA_REAL]],ESTIMATIVA[[#This Row],[QT_AREA_EST]]))</f>
        <v>13.56</v>
      </c>
      <c r="Z84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13.56</v>
      </c>
      <c r="AA843" s="1">
        <f>ESTIMATIVA[[#This Row],[QT_CANA_EST]]</f>
        <v>1274.6400000000001</v>
      </c>
      <c r="AB843" s="1">
        <f>IF(ESTIMATIVA[[#This Row],[QT_CANA_REST1]]&gt;0,ESTIMATIVA[[#This Row],[QT_CANA_REST1]],
  IF(ESTIMATIVA[[#This Row],[QT_CANA_REAL]]&gt;0,ESTIMATIVA[[#This Row],[QT_CANA_REAL]],ESTIMATIVA[[#This Row],[QT_CANA_EST]]))</f>
        <v>1315.32</v>
      </c>
      <c r="AC84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1289.5</v>
      </c>
      <c r="AD843" s="1">
        <f>IF(ESTIMATIVA[[#This Row],[QT_AREA_REAL]]&gt;0,ESTIMATIVA[[#This Row],[QT_CANA_REAL]],ESTIMATIVA[[#This Row],[QT_CANA_EST]])</f>
        <v>1289.5</v>
      </c>
      <c r="AE843" s="1">
        <f>IF(ESTIMATIVA[[#This Row],[QT_AREA_REAL]]&gt;0,ESTIMATIVA[[#This Row],[QT_CANA_REAL]],ESTIMATIVA[[#This Row],[QT_CANA_REST1]])</f>
        <v>1289.5</v>
      </c>
      <c r="AF843" s="1">
        <f>IF(ESTIMATIVA[[#This Row],[QT_AREA_REAL]]&gt;0,ESTIMATIVA[[#This Row],[QT_CANA_REAL]],ESTIMATIVA[[#This Row],[QT_CANA_REST2]])</f>
        <v>1289.5</v>
      </c>
      <c r="AG843" s="1" t="str">
        <f>IF(COUNTIFS(GEADA!A:A,VALUE(ESTIMATIVA[[#This Row],[CD_UPNIVEL1]]&amp;TEXT(ESTIMATIVA[[#This Row],[CD_UPNIVEL3]],"0000")))&gt;0,"S","N")</f>
        <v>N</v>
      </c>
      <c r="AH84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43" s="55" t="str">
        <f>IF(ESTIMATIVA[[#This Row],[TP_CULTIVO]]="Irrigado",_xlfn.MAXIFS(IRRIGADO!J:J,IRRIGADO!C:C,ESTIMATIVA[[#This Row],[CD_UPNIVEL1]],IRRIGADO!E:E,ESTIMATIVA[[#This Row],[CD_UPNIVEL3]]),"")</f>
        <v/>
      </c>
      <c r="AJ84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43" s="1">
        <f>COUNTIFS(Apresentação!$E$23:$E$29,ESTIMATIVA[[#This Row],[CD_UPNIVEL1]])</f>
        <v>0</v>
      </c>
    </row>
    <row r="844" spans="1:37" x14ac:dyDescent="0.3">
      <c r="A844">
        <v>20433</v>
      </c>
      <c r="B844" t="s">
        <v>47</v>
      </c>
      <c r="C844">
        <v>1</v>
      </c>
      <c r="D844">
        <v>1</v>
      </c>
      <c r="E844" t="s">
        <v>267</v>
      </c>
      <c r="F844" s="85" t="s">
        <v>331</v>
      </c>
      <c r="G844"/>
      <c r="H844" t="s">
        <v>294</v>
      </c>
      <c r="I844" t="s">
        <v>220</v>
      </c>
      <c r="J844" t="s">
        <v>176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/>
      <c r="S844" t="s">
        <v>12</v>
      </c>
      <c r="T844" s="13">
        <v>45739</v>
      </c>
      <c r="U844" s="1" t="str">
        <f>IF(ESTIMATIVA[[#This Row],[QT_AREA_REAL]]&gt;0,"1- Colhido","2- à Colher")</f>
        <v>2- à Colher</v>
      </c>
      <c r="V844" s="1" t="str">
        <f>IF(ESTIMATIVA[[#This Row],[QT_AREA_REST1]]&gt;0,"Reestimativa 1",IF(ESTIMATIVA[[#This Row],[QT_AREA_REAL]]=0,"Reestimativa 1","Realizado"))</f>
        <v>Reestimativa 1</v>
      </c>
      <c r="W844" s="1" t="str">
        <f>IF(ESTIMATIVA[[#This Row],[QT_AREA_REST2]]&gt;0,"Reestimativa 2",IF(ESTIMATIVA[[#This Row],[QT_AREA_REAL]]=0,"Reestimativa 2","Realizado"))</f>
        <v>Reestimativa 2</v>
      </c>
      <c r="X844" s="1">
        <f>ESTIMATIVA[[#This Row],[QT_AREA_EST]]</f>
        <v>0</v>
      </c>
      <c r="Y844" s="1">
        <f>IF(ESTIMATIVA[[#This Row],[QT_AREA_REST1]]&gt;0,ESTIMATIVA[[#This Row],[QT_AREA_REST1]],
  IF(ESTIMATIVA[[#This Row],[QT_AREA_REAL]]&gt;0,ESTIMATIVA[[#This Row],[QT_AREA_REAL]],ESTIMATIVA[[#This Row],[QT_AREA_EST]]))</f>
        <v>0</v>
      </c>
      <c r="Z84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</v>
      </c>
      <c r="AA844" s="1">
        <f>ESTIMATIVA[[#This Row],[QT_CANA_EST]]</f>
        <v>0</v>
      </c>
      <c r="AB844" s="1">
        <f>IF(ESTIMATIVA[[#This Row],[QT_CANA_REST1]]&gt;0,ESTIMATIVA[[#This Row],[QT_CANA_REST1]],
  IF(ESTIMATIVA[[#This Row],[QT_CANA_REAL]]&gt;0,ESTIMATIVA[[#This Row],[QT_CANA_REAL]],ESTIMATIVA[[#This Row],[QT_CANA_EST]]))</f>
        <v>0</v>
      </c>
      <c r="AC84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0</v>
      </c>
      <c r="AD844" s="1">
        <f>IF(ESTIMATIVA[[#This Row],[QT_AREA_REAL]]&gt;0,ESTIMATIVA[[#This Row],[QT_CANA_REAL]],ESTIMATIVA[[#This Row],[QT_CANA_EST]])</f>
        <v>0</v>
      </c>
      <c r="AE844" s="1">
        <f>IF(ESTIMATIVA[[#This Row],[QT_AREA_REAL]]&gt;0,ESTIMATIVA[[#This Row],[QT_CANA_REAL]],ESTIMATIVA[[#This Row],[QT_CANA_REST1]])</f>
        <v>0</v>
      </c>
      <c r="AF844" s="1">
        <f>IF(ESTIMATIVA[[#This Row],[QT_AREA_REAL]]&gt;0,ESTIMATIVA[[#This Row],[QT_CANA_REAL]],ESTIMATIVA[[#This Row],[QT_CANA_REST2]])</f>
        <v>0</v>
      </c>
      <c r="AG844" s="1" t="str">
        <f>IF(COUNTIFS(GEADA!A:A,VALUE(ESTIMATIVA[[#This Row],[CD_UPNIVEL1]]&amp;TEXT(ESTIMATIVA[[#This Row],[CD_UPNIVEL3]],"0000")))&gt;0,"S","N")</f>
        <v>N</v>
      </c>
      <c r="AH84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44" s="55" t="str">
        <f>IF(ESTIMATIVA[[#This Row],[TP_CULTIVO]]="Irrigado",_xlfn.MAXIFS(IRRIGADO!J:J,IRRIGADO!C:C,ESTIMATIVA[[#This Row],[CD_UPNIVEL1]],IRRIGADO!E:E,ESTIMATIVA[[#This Row],[CD_UPNIVEL3]]),"")</f>
        <v/>
      </c>
      <c r="AJ84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44" s="1">
        <f>COUNTIFS(Apresentação!$E$23:$E$29,ESTIMATIVA[[#This Row],[CD_UPNIVEL1]])</f>
        <v>0</v>
      </c>
    </row>
    <row r="845" spans="1:37" x14ac:dyDescent="0.3">
      <c r="A845">
        <v>20433</v>
      </c>
      <c r="B845" t="s">
        <v>47</v>
      </c>
      <c r="C845">
        <v>3</v>
      </c>
      <c r="D845">
        <v>1</v>
      </c>
      <c r="E845" t="s">
        <v>267</v>
      </c>
      <c r="F845" s="85" t="s">
        <v>333</v>
      </c>
      <c r="G845"/>
      <c r="H845" t="s">
        <v>294</v>
      </c>
      <c r="I845" t="s">
        <v>220</v>
      </c>
      <c r="J845" t="s">
        <v>176</v>
      </c>
      <c r="K845" s="1">
        <v>1.23</v>
      </c>
      <c r="L845" s="1">
        <v>1.23</v>
      </c>
      <c r="M845" s="1">
        <v>1.23</v>
      </c>
      <c r="N845" s="1">
        <v>1.23</v>
      </c>
      <c r="O845" s="1">
        <v>132.84</v>
      </c>
      <c r="P845" s="1">
        <v>123</v>
      </c>
      <c r="Q845" s="1">
        <v>123</v>
      </c>
      <c r="R845" s="1">
        <v>176.56</v>
      </c>
      <c r="S845" t="s">
        <v>12</v>
      </c>
      <c r="T845" s="13">
        <v>46005</v>
      </c>
      <c r="U845" s="1" t="str">
        <f>IF(ESTIMATIVA[[#This Row],[QT_AREA_REAL]]&gt;0,"1- Colhido","2- à Colher")</f>
        <v>1- Colhido</v>
      </c>
      <c r="V845" s="1" t="str">
        <f>IF(ESTIMATIVA[[#This Row],[QT_AREA_REST1]]&gt;0,"Reestimativa 1",IF(ESTIMATIVA[[#This Row],[QT_AREA_REAL]]=0,"Reestimativa 1","Realizado"))</f>
        <v>Reestimativa 1</v>
      </c>
      <c r="W845" s="1" t="str">
        <f>IF(ESTIMATIVA[[#This Row],[QT_AREA_REST2]]&gt;0,"Reestimativa 2",IF(ESTIMATIVA[[#This Row],[QT_AREA_REAL]]=0,"Reestimativa 2","Realizado"))</f>
        <v>Reestimativa 2</v>
      </c>
      <c r="X845" s="1">
        <f>ESTIMATIVA[[#This Row],[QT_AREA_EST]]</f>
        <v>1.23</v>
      </c>
      <c r="Y845" s="1">
        <f>IF(ESTIMATIVA[[#This Row],[QT_AREA_REST1]]&gt;0,ESTIMATIVA[[#This Row],[QT_AREA_REST1]],
  IF(ESTIMATIVA[[#This Row],[QT_AREA_REAL]]&gt;0,ESTIMATIVA[[#This Row],[QT_AREA_REAL]],ESTIMATIVA[[#This Row],[QT_AREA_EST]]))</f>
        <v>1.23</v>
      </c>
      <c r="Z84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1.23</v>
      </c>
      <c r="AA845" s="1">
        <f>ESTIMATIVA[[#This Row],[QT_CANA_EST]]</f>
        <v>132.84</v>
      </c>
      <c r="AB845" s="1">
        <f>IF(ESTIMATIVA[[#This Row],[QT_CANA_REST1]]&gt;0,ESTIMATIVA[[#This Row],[QT_CANA_REST1]],
  IF(ESTIMATIVA[[#This Row],[QT_CANA_REAL]]&gt;0,ESTIMATIVA[[#This Row],[QT_CANA_REAL]],ESTIMATIVA[[#This Row],[QT_CANA_EST]]))</f>
        <v>123</v>
      </c>
      <c r="AC84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123</v>
      </c>
      <c r="AD845" s="1">
        <f>IF(ESTIMATIVA[[#This Row],[QT_AREA_REAL]]&gt;0,ESTIMATIVA[[#This Row],[QT_CANA_REAL]],ESTIMATIVA[[#This Row],[QT_CANA_EST]])</f>
        <v>176.56</v>
      </c>
      <c r="AE845" s="1">
        <f>IF(ESTIMATIVA[[#This Row],[QT_AREA_REAL]]&gt;0,ESTIMATIVA[[#This Row],[QT_CANA_REAL]],ESTIMATIVA[[#This Row],[QT_CANA_REST1]])</f>
        <v>176.56</v>
      </c>
      <c r="AF845" s="1">
        <f>IF(ESTIMATIVA[[#This Row],[QT_AREA_REAL]]&gt;0,ESTIMATIVA[[#This Row],[QT_CANA_REAL]],ESTIMATIVA[[#This Row],[QT_CANA_REST2]])</f>
        <v>176.56</v>
      </c>
      <c r="AG845" s="1" t="str">
        <f>IF(COUNTIFS(GEADA!A:A,VALUE(ESTIMATIVA[[#This Row],[CD_UPNIVEL1]]&amp;TEXT(ESTIMATIVA[[#This Row],[CD_UPNIVEL3]],"0000")))&gt;0,"S","N")</f>
        <v>N</v>
      </c>
      <c r="AH84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45" s="55" t="str">
        <f>IF(ESTIMATIVA[[#This Row],[TP_CULTIVO]]="Irrigado",_xlfn.MAXIFS(IRRIGADO!J:J,IRRIGADO!C:C,ESTIMATIVA[[#This Row],[CD_UPNIVEL1]],IRRIGADO!E:E,ESTIMATIVA[[#This Row],[CD_UPNIVEL3]]),"")</f>
        <v/>
      </c>
      <c r="AJ84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45" s="1">
        <f>COUNTIFS(Apresentação!$E$23:$E$29,ESTIMATIVA[[#This Row],[CD_UPNIVEL1]])</f>
        <v>0</v>
      </c>
    </row>
    <row r="846" spans="1:37" x14ac:dyDescent="0.3">
      <c r="A846">
        <v>20433</v>
      </c>
      <c r="B846" t="s">
        <v>47</v>
      </c>
      <c r="C846">
        <v>5</v>
      </c>
      <c r="D846">
        <v>2</v>
      </c>
      <c r="E846" t="s">
        <v>266</v>
      </c>
      <c r="F846" s="85" t="s">
        <v>331</v>
      </c>
      <c r="G846"/>
      <c r="H846" t="s">
        <v>294</v>
      </c>
      <c r="I846" t="s">
        <v>205</v>
      </c>
      <c r="J846" t="s">
        <v>176</v>
      </c>
      <c r="K846" s="1">
        <v>2.5499999999999998</v>
      </c>
      <c r="L846" s="1">
        <v>2.5499999999999998</v>
      </c>
      <c r="M846" s="1">
        <v>2.5499999999999998</v>
      </c>
      <c r="N846" s="1">
        <v>2.5499999999999998</v>
      </c>
      <c r="O846" s="1">
        <v>229.5</v>
      </c>
      <c r="P846" s="1">
        <v>229.5</v>
      </c>
      <c r="Q846" s="1">
        <v>229.5</v>
      </c>
      <c r="R846" s="1">
        <v>184.29</v>
      </c>
      <c r="S846" t="s">
        <v>12</v>
      </c>
      <c r="T846" s="13">
        <v>45935</v>
      </c>
      <c r="U846" s="1" t="str">
        <f>IF(ESTIMATIVA[[#This Row],[QT_AREA_REAL]]&gt;0,"1- Colhido","2- à Colher")</f>
        <v>1- Colhido</v>
      </c>
      <c r="V846" s="1" t="str">
        <f>IF(ESTIMATIVA[[#This Row],[QT_AREA_REST1]]&gt;0,"Reestimativa 1",IF(ESTIMATIVA[[#This Row],[QT_AREA_REAL]]=0,"Reestimativa 1","Realizado"))</f>
        <v>Reestimativa 1</v>
      </c>
      <c r="W846" s="1" t="str">
        <f>IF(ESTIMATIVA[[#This Row],[QT_AREA_REST2]]&gt;0,"Reestimativa 2",IF(ESTIMATIVA[[#This Row],[QT_AREA_REAL]]=0,"Reestimativa 2","Realizado"))</f>
        <v>Reestimativa 2</v>
      </c>
      <c r="X846" s="1">
        <f>ESTIMATIVA[[#This Row],[QT_AREA_EST]]</f>
        <v>2.5499999999999998</v>
      </c>
      <c r="Y846" s="1">
        <f>IF(ESTIMATIVA[[#This Row],[QT_AREA_REST1]]&gt;0,ESTIMATIVA[[#This Row],[QT_AREA_REST1]],
  IF(ESTIMATIVA[[#This Row],[QT_AREA_REAL]]&gt;0,ESTIMATIVA[[#This Row],[QT_AREA_REAL]],ESTIMATIVA[[#This Row],[QT_AREA_EST]]))</f>
        <v>2.5499999999999998</v>
      </c>
      <c r="Z84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2.5499999999999998</v>
      </c>
      <c r="AA846" s="1">
        <f>ESTIMATIVA[[#This Row],[QT_CANA_EST]]</f>
        <v>229.5</v>
      </c>
      <c r="AB846" s="1">
        <f>IF(ESTIMATIVA[[#This Row],[QT_CANA_REST1]]&gt;0,ESTIMATIVA[[#This Row],[QT_CANA_REST1]],
  IF(ESTIMATIVA[[#This Row],[QT_CANA_REAL]]&gt;0,ESTIMATIVA[[#This Row],[QT_CANA_REAL]],ESTIMATIVA[[#This Row],[QT_CANA_EST]]))</f>
        <v>229.5</v>
      </c>
      <c r="AC84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229.5</v>
      </c>
      <c r="AD846" s="1">
        <f>IF(ESTIMATIVA[[#This Row],[QT_AREA_REAL]]&gt;0,ESTIMATIVA[[#This Row],[QT_CANA_REAL]],ESTIMATIVA[[#This Row],[QT_CANA_EST]])</f>
        <v>184.29</v>
      </c>
      <c r="AE846" s="1">
        <f>IF(ESTIMATIVA[[#This Row],[QT_AREA_REAL]]&gt;0,ESTIMATIVA[[#This Row],[QT_CANA_REAL]],ESTIMATIVA[[#This Row],[QT_CANA_REST1]])</f>
        <v>184.29</v>
      </c>
      <c r="AF846" s="1">
        <f>IF(ESTIMATIVA[[#This Row],[QT_AREA_REAL]]&gt;0,ESTIMATIVA[[#This Row],[QT_CANA_REAL]],ESTIMATIVA[[#This Row],[QT_CANA_REST2]])</f>
        <v>184.29</v>
      </c>
      <c r="AG846" s="1" t="str">
        <f>IF(COUNTIFS(GEADA!A:A,VALUE(ESTIMATIVA[[#This Row],[CD_UPNIVEL1]]&amp;TEXT(ESTIMATIVA[[#This Row],[CD_UPNIVEL3]],"0000")))&gt;0,"S","N")</f>
        <v>N</v>
      </c>
      <c r="AH84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46" s="55" t="str">
        <f>IF(ESTIMATIVA[[#This Row],[TP_CULTIVO]]="Irrigado",_xlfn.MAXIFS(IRRIGADO!J:J,IRRIGADO!C:C,ESTIMATIVA[[#This Row],[CD_UPNIVEL1]],IRRIGADO!E:E,ESTIMATIVA[[#This Row],[CD_UPNIVEL3]]),"")</f>
        <v/>
      </c>
      <c r="AJ84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46" s="1">
        <f>COUNTIFS(Apresentação!$E$23:$E$29,ESTIMATIVA[[#This Row],[CD_UPNIVEL1]])</f>
        <v>0</v>
      </c>
    </row>
    <row r="847" spans="1:37" x14ac:dyDescent="0.3">
      <c r="A847">
        <v>20433</v>
      </c>
      <c r="B847" t="s">
        <v>47</v>
      </c>
      <c r="C847">
        <v>6</v>
      </c>
      <c r="D847">
        <v>2</v>
      </c>
      <c r="E847" t="s">
        <v>266</v>
      </c>
      <c r="F847" s="85" t="s">
        <v>331</v>
      </c>
      <c r="G847"/>
      <c r="H847" t="s">
        <v>294</v>
      </c>
      <c r="I847" t="s">
        <v>205</v>
      </c>
      <c r="J847" t="s">
        <v>176</v>
      </c>
      <c r="K847" s="1">
        <v>30.36</v>
      </c>
      <c r="L847" s="1">
        <v>30.36</v>
      </c>
      <c r="M847" s="1">
        <v>0</v>
      </c>
      <c r="N847" s="1">
        <v>30.36</v>
      </c>
      <c r="O847" s="1">
        <v>2732.4</v>
      </c>
      <c r="P847" s="1">
        <v>2823.48</v>
      </c>
      <c r="Q847" s="1">
        <v>0</v>
      </c>
      <c r="R847" s="1">
        <v>2263.36</v>
      </c>
      <c r="S847" t="s">
        <v>12</v>
      </c>
      <c r="T847" s="13">
        <v>45935</v>
      </c>
      <c r="U847" s="1" t="str">
        <f>IF(ESTIMATIVA[[#This Row],[QT_AREA_REAL]]&gt;0,"1- Colhido","2- à Colher")</f>
        <v>1- Colhido</v>
      </c>
      <c r="V847" s="1" t="str">
        <f>IF(ESTIMATIVA[[#This Row],[QT_AREA_REST1]]&gt;0,"Reestimativa 1",IF(ESTIMATIVA[[#This Row],[QT_AREA_REAL]]=0,"Reestimativa 1","Realizado"))</f>
        <v>Reestimativa 1</v>
      </c>
      <c r="W847" s="1" t="str">
        <f>IF(ESTIMATIVA[[#This Row],[QT_AREA_REST2]]&gt;0,"Reestimativa 2",IF(ESTIMATIVA[[#This Row],[QT_AREA_REAL]]=0,"Reestimativa 2","Realizado"))</f>
        <v>Realizado</v>
      </c>
      <c r="X847" s="1">
        <f>ESTIMATIVA[[#This Row],[QT_AREA_EST]]</f>
        <v>30.36</v>
      </c>
      <c r="Y847" s="1">
        <f>IF(ESTIMATIVA[[#This Row],[QT_AREA_REST1]]&gt;0,ESTIMATIVA[[#This Row],[QT_AREA_REST1]],
  IF(ESTIMATIVA[[#This Row],[QT_AREA_REAL]]&gt;0,ESTIMATIVA[[#This Row],[QT_AREA_REAL]],ESTIMATIVA[[#This Row],[QT_AREA_EST]]))</f>
        <v>30.36</v>
      </c>
      <c r="Z84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30.36</v>
      </c>
      <c r="AA847" s="1">
        <f>ESTIMATIVA[[#This Row],[QT_CANA_EST]]</f>
        <v>2732.4</v>
      </c>
      <c r="AB847" s="1">
        <f>IF(ESTIMATIVA[[#This Row],[QT_CANA_REST1]]&gt;0,ESTIMATIVA[[#This Row],[QT_CANA_REST1]],
  IF(ESTIMATIVA[[#This Row],[QT_CANA_REAL]]&gt;0,ESTIMATIVA[[#This Row],[QT_CANA_REAL]],ESTIMATIVA[[#This Row],[QT_CANA_EST]]))</f>
        <v>2823.48</v>
      </c>
      <c r="AC84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2263.36</v>
      </c>
      <c r="AD847" s="1">
        <f>IF(ESTIMATIVA[[#This Row],[QT_AREA_REAL]]&gt;0,ESTIMATIVA[[#This Row],[QT_CANA_REAL]],ESTIMATIVA[[#This Row],[QT_CANA_EST]])</f>
        <v>2263.36</v>
      </c>
      <c r="AE847" s="1">
        <f>IF(ESTIMATIVA[[#This Row],[QT_AREA_REAL]]&gt;0,ESTIMATIVA[[#This Row],[QT_CANA_REAL]],ESTIMATIVA[[#This Row],[QT_CANA_REST1]])</f>
        <v>2263.36</v>
      </c>
      <c r="AF847" s="1">
        <f>IF(ESTIMATIVA[[#This Row],[QT_AREA_REAL]]&gt;0,ESTIMATIVA[[#This Row],[QT_CANA_REAL]],ESTIMATIVA[[#This Row],[QT_CANA_REST2]])</f>
        <v>2263.36</v>
      </c>
      <c r="AG847" s="1" t="str">
        <f>IF(COUNTIFS(GEADA!A:A,VALUE(ESTIMATIVA[[#This Row],[CD_UPNIVEL1]]&amp;TEXT(ESTIMATIVA[[#This Row],[CD_UPNIVEL3]],"0000")))&gt;0,"S","N")</f>
        <v>N</v>
      </c>
      <c r="AH84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47" s="55" t="str">
        <f>IF(ESTIMATIVA[[#This Row],[TP_CULTIVO]]="Irrigado",_xlfn.MAXIFS(IRRIGADO!J:J,IRRIGADO!C:C,ESTIMATIVA[[#This Row],[CD_UPNIVEL1]],IRRIGADO!E:E,ESTIMATIVA[[#This Row],[CD_UPNIVEL3]]),"")</f>
        <v/>
      </c>
      <c r="AJ84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47" s="1">
        <f>COUNTIFS(Apresentação!$E$23:$E$29,ESTIMATIVA[[#This Row],[CD_UPNIVEL1]])</f>
        <v>0</v>
      </c>
    </row>
    <row r="848" spans="1:37" x14ac:dyDescent="0.3">
      <c r="A848">
        <v>20433</v>
      </c>
      <c r="B848" t="s">
        <v>47</v>
      </c>
      <c r="C848">
        <v>7</v>
      </c>
      <c r="D848">
        <v>2</v>
      </c>
      <c r="E848" t="s">
        <v>266</v>
      </c>
      <c r="F848" s="85" t="s">
        <v>331</v>
      </c>
      <c r="G848"/>
      <c r="H848" t="s">
        <v>294</v>
      </c>
      <c r="I848" t="s">
        <v>205</v>
      </c>
      <c r="J848" t="s">
        <v>176</v>
      </c>
      <c r="K848" s="1">
        <v>19.3</v>
      </c>
      <c r="L848" s="1">
        <v>19.3</v>
      </c>
      <c r="M848" s="1">
        <v>0</v>
      </c>
      <c r="N848" s="1">
        <v>19.3</v>
      </c>
      <c r="O848" s="1">
        <v>1737</v>
      </c>
      <c r="P848" s="1">
        <v>1794.9</v>
      </c>
      <c r="Q848" s="1">
        <v>0</v>
      </c>
      <c r="R848" s="1">
        <v>1439.11</v>
      </c>
      <c r="S848" t="s">
        <v>12</v>
      </c>
      <c r="T848" s="13">
        <v>45935</v>
      </c>
      <c r="U848" s="1" t="str">
        <f>IF(ESTIMATIVA[[#This Row],[QT_AREA_REAL]]&gt;0,"1- Colhido","2- à Colher")</f>
        <v>1- Colhido</v>
      </c>
      <c r="V848" s="1" t="str">
        <f>IF(ESTIMATIVA[[#This Row],[QT_AREA_REST1]]&gt;0,"Reestimativa 1",IF(ESTIMATIVA[[#This Row],[QT_AREA_REAL]]=0,"Reestimativa 1","Realizado"))</f>
        <v>Reestimativa 1</v>
      </c>
      <c r="W848" s="1" t="str">
        <f>IF(ESTIMATIVA[[#This Row],[QT_AREA_REST2]]&gt;0,"Reestimativa 2",IF(ESTIMATIVA[[#This Row],[QT_AREA_REAL]]=0,"Reestimativa 2","Realizado"))</f>
        <v>Realizado</v>
      </c>
      <c r="X848" s="1">
        <f>ESTIMATIVA[[#This Row],[QT_AREA_EST]]</f>
        <v>19.3</v>
      </c>
      <c r="Y848" s="1">
        <f>IF(ESTIMATIVA[[#This Row],[QT_AREA_REST1]]&gt;0,ESTIMATIVA[[#This Row],[QT_AREA_REST1]],
  IF(ESTIMATIVA[[#This Row],[QT_AREA_REAL]]&gt;0,ESTIMATIVA[[#This Row],[QT_AREA_REAL]],ESTIMATIVA[[#This Row],[QT_AREA_EST]]))</f>
        <v>19.3</v>
      </c>
      <c r="Z84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19.3</v>
      </c>
      <c r="AA848" s="1">
        <f>ESTIMATIVA[[#This Row],[QT_CANA_EST]]</f>
        <v>1737</v>
      </c>
      <c r="AB848" s="1">
        <f>IF(ESTIMATIVA[[#This Row],[QT_CANA_REST1]]&gt;0,ESTIMATIVA[[#This Row],[QT_CANA_REST1]],
  IF(ESTIMATIVA[[#This Row],[QT_CANA_REAL]]&gt;0,ESTIMATIVA[[#This Row],[QT_CANA_REAL]],ESTIMATIVA[[#This Row],[QT_CANA_EST]]))</f>
        <v>1794.9</v>
      </c>
      <c r="AC84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1439.11</v>
      </c>
      <c r="AD848" s="1">
        <f>IF(ESTIMATIVA[[#This Row],[QT_AREA_REAL]]&gt;0,ESTIMATIVA[[#This Row],[QT_CANA_REAL]],ESTIMATIVA[[#This Row],[QT_CANA_EST]])</f>
        <v>1439.11</v>
      </c>
      <c r="AE848" s="1">
        <f>IF(ESTIMATIVA[[#This Row],[QT_AREA_REAL]]&gt;0,ESTIMATIVA[[#This Row],[QT_CANA_REAL]],ESTIMATIVA[[#This Row],[QT_CANA_REST1]])</f>
        <v>1439.11</v>
      </c>
      <c r="AF848" s="1">
        <f>IF(ESTIMATIVA[[#This Row],[QT_AREA_REAL]]&gt;0,ESTIMATIVA[[#This Row],[QT_CANA_REAL]],ESTIMATIVA[[#This Row],[QT_CANA_REST2]])</f>
        <v>1439.11</v>
      </c>
      <c r="AG848" s="1" t="str">
        <f>IF(COUNTIFS(GEADA!A:A,VALUE(ESTIMATIVA[[#This Row],[CD_UPNIVEL1]]&amp;TEXT(ESTIMATIVA[[#This Row],[CD_UPNIVEL3]],"0000")))&gt;0,"S","N")</f>
        <v>N</v>
      </c>
      <c r="AH84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48" s="55" t="str">
        <f>IF(ESTIMATIVA[[#This Row],[TP_CULTIVO]]="Irrigado",_xlfn.MAXIFS(IRRIGADO!J:J,IRRIGADO!C:C,ESTIMATIVA[[#This Row],[CD_UPNIVEL1]],IRRIGADO!E:E,ESTIMATIVA[[#This Row],[CD_UPNIVEL3]]),"")</f>
        <v/>
      </c>
      <c r="AJ84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48" s="1">
        <f>COUNTIFS(Apresentação!$E$23:$E$29,ESTIMATIVA[[#This Row],[CD_UPNIVEL1]])</f>
        <v>0</v>
      </c>
    </row>
    <row r="849" spans="1:37" x14ac:dyDescent="0.3">
      <c r="A849">
        <v>20433</v>
      </c>
      <c r="B849" t="s">
        <v>47</v>
      </c>
      <c r="C849">
        <v>8</v>
      </c>
      <c r="D849">
        <v>2</v>
      </c>
      <c r="E849" t="s">
        <v>266</v>
      </c>
      <c r="F849" s="85" t="s">
        <v>331</v>
      </c>
      <c r="G849"/>
      <c r="H849" t="s">
        <v>294</v>
      </c>
      <c r="I849" t="s">
        <v>205</v>
      </c>
      <c r="J849" t="s">
        <v>176</v>
      </c>
      <c r="K849" s="1">
        <v>25.77</v>
      </c>
      <c r="L849" s="1">
        <v>25.77</v>
      </c>
      <c r="M849" s="1">
        <v>0</v>
      </c>
      <c r="N849" s="1">
        <v>25.77</v>
      </c>
      <c r="O849" s="1">
        <v>2319.3000000000002</v>
      </c>
      <c r="P849" s="1">
        <v>2396.61</v>
      </c>
      <c r="Q849" s="1">
        <v>0</v>
      </c>
      <c r="R849" s="1">
        <v>1921.79</v>
      </c>
      <c r="S849" t="s">
        <v>12</v>
      </c>
      <c r="T849" s="13">
        <v>45935</v>
      </c>
      <c r="U849" s="1" t="str">
        <f>IF(ESTIMATIVA[[#This Row],[QT_AREA_REAL]]&gt;0,"1- Colhido","2- à Colher")</f>
        <v>1- Colhido</v>
      </c>
      <c r="V849" s="1" t="str">
        <f>IF(ESTIMATIVA[[#This Row],[QT_AREA_REST1]]&gt;0,"Reestimativa 1",IF(ESTIMATIVA[[#This Row],[QT_AREA_REAL]]=0,"Reestimativa 1","Realizado"))</f>
        <v>Reestimativa 1</v>
      </c>
      <c r="W849" s="1" t="str">
        <f>IF(ESTIMATIVA[[#This Row],[QT_AREA_REST2]]&gt;0,"Reestimativa 2",IF(ESTIMATIVA[[#This Row],[QT_AREA_REAL]]=0,"Reestimativa 2","Realizado"))</f>
        <v>Realizado</v>
      </c>
      <c r="X849" s="1">
        <f>ESTIMATIVA[[#This Row],[QT_AREA_EST]]</f>
        <v>25.77</v>
      </c>
      <c r="Y849" s="1">
        <f>IF(ESTIMATIVA[[#This Row],[QT_AREA_REST1]]&gt;0,ESTIMATIVA[[#This Row],[QT_AREA_REST1]],
  IF(ESTIMATIVA[[#This Row],[QT_AREA_REAL]]&gt;0,ESTIMATIVA[[#This Row],[QT_AREA_REAL]],ESTIMATIVA[[#This Row],[QT_AREA_EST]]))</f>
        <v>25.77</v>
      </c>
      <c r="Z84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25.77</v>
      </c>
      <c r="AA849" s="1">
        <f>ESTIMATIVA[[#This Row],[QT_CANA_EST]]</f>
        <v>2319.3000000000002</v>
      </c>
      <c r="AB849" s="1">
        <f>IF(ESTIMATIVA[[#This Row],[QT_CANA_REST1]]&gt;0,ESTIMATIVA[[#This Row],[QT_CANA_REST1]],
  IF(ESTIMATIVA[[#This Row],[QT_CANA_REAL]]&gt;0,ESTIMATIVA[[#This Row],[QT_CANA_REAL]],ESTIMATIVA[[#This Row],[QT_CANA_EST]]))</f>
        <v>2396.61</v>
      </c>
      <c r="AC84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1921.79</v>
      </c>
      <c r="AD849" s="1">
        <f>IF(ESTIMATIVA[[#This Row],[QT_AREA_REAL]]&gt;0,ESTIMATIVA[[#This Row],[QT_CANA_REAL]],ESTIMATIVA[[#This Row],[QT_CANA_EST]])</f>
        <v>1921.79</v>
      </c>
      <c r="AE849" s="1">
        <f>IF(ESTIMATIVA[[#This Row],[QT_AREA_REAL]]&gt;0,ESTIMATIVA[[#This Row],[QT_CANA_REAL]],ESTIMATIVA[[#This Row],[QT_CANA_REST1]])</f>
        <v>1921.79</v>
      </c>
      <c r="AF849" s="1">
        <f>IF(ESTIMATIVA[[#This Row],[QT_AREA_REAL]]&gt;0,ESTIMATIVA[[#This Row],[QT_CANA_REAL]],ESTIMATIVA[[#This Row],[QT_CANA_REST2]])</f>
        <v>1921.79</v>
      </c>
      <c r="AG849" s="1" t="str">
        <f>IF(COUNTIFS(GEADA!A:A,VALUE(ESTIMATIVA[[#This Row],[CD_UPNIVEL1]]&amp;TEXT(ESTIMATIVA[[#This Row],[CD_UPNIVEL3]],"0000")))&gt;0,"S","N")</f>
        <v>N</v>
      </c>
      <c r="AH84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49" s="55" t="str">
        <f>IF(ESTIMATIVA[[#This Row],[TP_CULTIVO]]="Irrigado",_xlfn.MAXIFS(IRRIGADO!J:J,IRRIGADO!C:C,ESTIMATIVA[[#This Row],[CD_UPNIVEL1]],IRRIGADO!E:E,ESTIMATIVA[[#This Row],[CD_UPNIVEL3]]),"")</f>
        <v/>
      </c>
      <c r="AJ84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49" s="1">
        <f>COUNTIFS(Apresentação!$E$23:$E$29,ESTIMATIVA[[#This Row],[CD_UPNIVEL1]])</f>
        <v>0</v>
      </c>
    </row>
    <row r="850" spans="1:37" x14ac:dyDescent="0.3">
      <c r="A850">
        <v>20433</v>
      </c>
      <c r="B850" t="s">
        <v>47</v>
      </c>
      <c r="C850">
        <v>9</v>
      </c>
      <c r="D850">
        <v>2</v>
      </c>
      <c r="E850" t="s">
        <v>266</v>
      </c>
      <c r="F850" s="85" t="s">
        <v>331</v>
      </c>
      <c r="G850"/>
      <c r="H850" t="s">
        <v>294</v>
      </c>
      <c r="I850" t="s">
        <v>205</v>
      </c>
      <c r="J850" t="s">
        <v>176</v>
      </c>
      <c r="K850" s="1">
        <v>18.309999999999999</v>
      </c>
      <c r="L850" s="1">
        <v>18.309999999999999</v>
      </c>
      <c r="M850" s="1">
        <v>0</v>
      </c>
      <c r="N850" s="1">
        <v>18.309999999999999</v>
      </c>
      <c r="O850" s="1">
        <v>1647.9</v>
      </c>
      <c r="P850" s="1">
        <v>1702.83</v>
      </c>
      <c r="Q850" s="1">
        <v>0</v>
      </c>
      <c r="R850" s="1">
        <v>1365.34</v>
      </c>
      <c r="S850" t="s">
        <v>12</v>
      </c>
      <c r="T850" s="13">
        <v>45935</v>
      </c>
      <c r="U850" s="1" t="str">
        <f>IF(ESTIMATIVA[[#This Row],[QT_AREA_REAL]]&gt;0,"1- Colhido","2- à Colher")</f>
        <v>1- Colhido</v>
      </c>
      <c r="V850" s="1" t="str">
        <f>IF(ESTIMATIVA[[#This Row],[QT_AREA_REST1]]&gt;0,"Reestimativa 1",IF(ESTIMATIVA[[#This Row],[QT_AREA_REAL]]=0,"Reestimativa 1","Realizado"))</f>
        <v>Reestimativa 1</v>
      </c>
      <c r="W850" s="1" t="str">
        <f>IF(ESTIMATIVA[[#This Row],[QT_AREA_REST2]]&gt;0,"Reestimativa 2",IF(ESTIMATIVA[[#This Row],[QT_AREA_REAL]]=0,"Reestimativa 2","Realizado"))</f>
        <v>Realizado</v>
      </c>
      <c r="X850" s="1">
        <f>ESTIMATIVA[[#This Row],[QT_AREA_EST]]</f>
        <v>18.309999999999999</v>
      </c>
      <c r="Y850" s="1">
        <f>IF(ESTIMATIVA[[#This Row],[QT_AREA_REST1]]&gt;0,ESTIMATIVA[[#This Row],[QT_AREA_REST1]],
  IF(ESTIMATIVA[[#This Row],[QT_AREA_REAL]]&gt;0,ESTIMATIVA[[#This Row],[QT_AREA_REAL]],ESTIMATIVA[[#This Row],[QT_AREA_EST]]))</f>
        <v>18.309999999999999</v>
      </c>
      <c r="Z85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18.309999999999999</v>
      </c>
      <c r="AA850" s="1">
        <f>ESTIMATIVA[[#This Row],[QT_CANA_EST]]</f>
        <v>1647.9</v>
      </c>
      <c r="AB850" s="1">
        <f>IF(ESTIMATIVA[[#This Row],[QT_CANA_REST1]]&gt;0,ESTIMATIVA[[#This Row],[QT_CANA_REST1]],
  IF(ESTIMATIVA[[#This Row],[QT_CANA_REAL]]&gt;0,ESTIMATIVA[[#This Row],[QT_CANA_REAL]],ESTIMATIVA[[#This Row],[QT_CANA_EST]]))</f>
        <v>1702.83</v>
      </c>
      <c r="AC85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1365.34</v>
      </c>
      <c r="AD850" s="1">
        <f>IF(ESTIMATIVA[[#This Row],[QT_AREA_REAL]]&gt;0,ESTIMATIVA[[#This Row],[QT_CANA_REAL]],ESTIMATIVA[[#This Row],[QT_CANA_EST]])</f>
        <v>1365.34</v>
      </c>
      <c r="AE850" s="1">
        <f>IF(ESTIMATIVA[[#This Row],[QT_AREA_REAL]]&gt;0,ESTIMATIVA[[#This Row],[QT_CANA_REAL]],ESTIMATIVA[[#This Row],[QT_CANA_REST1]])</f>
        <v>1365.34</v>
      </c>
      <c r="AF850" s="1">
        <f>IF(ESTIMATIVA[[#This Row],[QT_AREA_REAL]]&gt;0,ESTIMATIVA[[#This Row],[QT_CANA_REAL]],ESTIMATIVA[[#This Row],[QT_CANA_REST2]])</f>
        <v>1365.34</v>
      </c>
      <c r="AG850" s="1" t="str">
        <f>IF(COUNTIFS(GEADA!A:A,VALUE(ESTIMATIVA[[#This Row],[CD_UPNIVEL1]]&amp;TEXT(ESTIMATIVA[[#This Row],[CD_UPNIVEL3]],"0000")))&gt;0,"S","N")</f>
        <v>N</v>
      </c>
      <c r="AH85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50" s="55" t="str">
        <f>IF(ESTIMATIVA[[#This Row],[TP_CULTIVO]]="Irrigado",_xlfn.MAXIFS(IRRIGADO!J:J,IRRIGADO!C:C,ESTIMATIVA[[#This Row],[CD_UPNIVEL1]],IRRIGADO!E:E,ESTIMATIVA[[#This Row],[CD_UPNIVEL3]]),"")</f>
        <v/>
      </c>
      <c r="AJ85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50" s="1">
        <f>COUNTIFS(Apresentação!$E$23:$E$29,ESTIMATIVA[[#This Row],[CD_UPNIVEL1]])</f>
        <v>0</v>
      </c>
    </row>
    <row r="851" spans="1:37" x14ac:dyDescent="0.3">
      <c r="A851">
        <v>20433</v>
      </c>
      <c r="B851" t="s">
        <v>47</v>
      </c>
      <c r="C851">
        <v>10</v>
      </c>
      <c r="D851">
        <v>2</v>
      </c>
      <c r="E851" t="s">
        <v>266</v>
      </c>
      <c r="F851" s="85" t="s">
        <v>331</v>
      </c>
      <c r="G851"/>
      <c r="H851" t="s">
        <v>294</v>
      </c>
      <c r="I851" t="s">
        <v>205</v>
      </c>
      <c r="J851" t="s">
        <v>176</v>
      </c>
      <c r="K851" s="1">
        <v>6.54</v>
      </c>
      <c r="L851" s="1">
        <v>6.54</v>
      </c>
      <c r="M851" s="1">
        <v>0</v>
      </c>
      <c r="N851" s="1">
        <v>6.54</v>
      </c>
      <c r="O851" s="1">
        <v>588.6</v>
      </c>
      <c r="P851" s="1">
        <v>608.22</v>
      </c>
      <c r="Q851" s="1">
        <v>0</v>
      </c>
      <c r="R851" s="1">
        <v>488.08</v>
      </c>
      <c r="S851" t="s">
        <v>12</v>
      </c>
      <c r="T851" s="13">
        <v>45935</v>
      </c>
      <c r="U851" s="1" t="str">
        <f>IF(ESTIMATIVA[[#This Row],[QT_AREA_REAL]]&gt;0,"1- Colhido","2- à Colher")</f>
        <v>1- Colhido</v>
      </c>
      <c r="V851" s="1" t="str">
        <f>IF(ESTIMATIVA[[#This Row],[QT_AREA_REST1]]&gt;0,"Reestimativa 1",IF(ESTIMATIVA[[#This Row],[QT_AREA_REAL]]=0,"Reestimativa 1","Realizado"))</f>
        <v>Reestimativa 1</v>
      </c>
      <c r="W851" s="1" t="str">
        <f>IF(ESTIMATIVA[[#This Row],[QT_AREA_REST2]]&gt;0,"Reestimativa 2",IF(ESTIMATIVA[[#This Row],[QT_AREA_REAL]]=0,"Reestimativa 2","Realizado"))</f>
        <v>Realizado</v>
      </c>
      <c r="X851" s="1">
        <f>ESTIMATIVA[[#This Row],[QT_AREA_EST]]</f>
        <v>6.54</v>
      </c>
      <c r="Y851" s="1">
        <f>IF(ESTIMATIVA[[#This Row],[QT_AREA_REST1]]&gt;0,ESTIMATIVA[[#This Row],[QT_AREA_REST1]],
  IF(ESTIMATIVA[[#This Row],[QT_AREA_REAL]]&gt;0,ESTIMATIVA[[#This Row],[QT_AREA_REAL]],ESTIMATIVA[[#This Row],[QT_AREA_EST]]))</f>
        <v>6.54</v>
      </c>
      <c r="Z85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6.54</v>
      </c>
      <c r="AA851" s="1">
        <f>ESTIMATIVA[[#This Row],[QT_CANA_EST]]</f>
        <v>588.6</v>
      </c>
      <c r="AB851" s="1">
        <f>IF(ESTIMATIVA[[#This Row],[QT_CANA_REST1]]&gt;0,ESTIMATIVA[[#This Row],[QT_CANA_REST1]],
  IF(ESTIMATIVA[[#This Row],[QT_CANA_REAL]]&gt;0,ESTIMATIVA[[#This Row],[QT_CANA_REAL]],ESTIMATIVA[[#This Row],[QT_CANA_EST]]))</f>
        <v>608.22</v>
      </c>
      <c r="AC85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488.08</v>
      </c>
      <c r="AD851" s="1">
        <f>IF(ESTIMATIVA[[#This Row],[QT_AREA_REAL]]&gt;0,ESTIMATIVA[[#This Row],[QT_CANA_REAL]],ESTIMATIVA[[#This Row],[QT_CANA_EST]])</f>
        <v>488.08</v>
      </c>
      <c r="AE851" s="1">
        <f>IF(ESTIMATIVA[[#This Row],[QT_AREA_REAL]]&gt;0,ESTIMATIVA[[#This Row],[QT_CANA_REAL]],ESTIMATIVA[[#This Row],[QT_CANA_REST1]])</f>
        <v>488.08</v>
      </c>
      <c r="AF851" s="1">
        <f>IF(ESTIMATIVA[[#This Row],[QT_AREA_REAL]]&gt;0,ESTIMATIVA[[#This Row],[QT_CANA_REAL]],ESTIMATIVA[[#This Row],[QT_CANA_REST2]])</f>
        <v>488.08</v>
      </c>
      <c r="AG851" s="1" t="str">
        <f>IF(COUNTIFS(GEADA!A:A,VALUE(ESTIMATIVA[[#This Row],[CD_UPNIVEL1]]&amp;TEXT(ESTIMATIVA[[#This Row],[CD_UPNIVEL3]],"0000")))&gt;0,"S","N")</f>
        <v>N</v>
      </c>
      <c r="AH85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51" s="55" t="str">
        <f>IF(ESTIMATIVA[[#This Row],[TP_CULTIVO]]="Irrigado",_xlfn.MAXIFS(IRRIGADO!J:J,IRRIGADO!C:C,ESTIMATIVA[[#This Row],[CD_UPNIVEL1]],IRRIGADO!E:E,ESTIMATIVA[[#This Row],[CD_UPNIVEL3]]),"")</f>
        <v/>
      </c>
      <c r="AJ85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51" s="1">
        <f>COUNTIFS(Apresentação!$E$23:$E$29,ESTIMATIVA[[#This Row],[CD_UPNIVEL1]])</f>
        <v>0</v>
      </c>
    </row>
    <row r="852" spans="1:37" x14ac:dyDescent="0.3">
      <c r="A852">
        <v>20433</v>
      </c>
      <c r="B852" t="s">
        <v>47</v>
      </c>
      <c r="C852">
        <v>11</v>
      </c>
      <c r="D852">
        <v>2</v>
      </c>
      <c r="E852" t="s">
        <v>266</v>
      </c>
      <c r="F852" s="85" t="s">
        <v>331</v>
      </c>
      <c r="G852"/>
      <c r="H852" t="s">
        <v>294</v>
      </c>
      <c r="I852" t="s">
        <v>205</v>
      </c>
      <c r="J852" t="s">
        <v>176</v>
      </c>
      <c r="K852" s="1">
        <v>18.809999999999999</v>
      </c>
      <c r="L852" s="1">
        <v>18.809999999999999</v>
      </c>
      <c r="M852" s="1">
        <v>0</v>
      </c>
      <c r="N852" s="1">
        <v>18.809999999999999</v>
      </c>
      <c r="O852" s="1">
        <v>1692.9</v>
      </c>
      <c r="P852" s="1">
        <v>1749.33</v>
      </c>
      <c r="Q852" s="1">
        <v>0</v>
      </c>
      <c r="R852" s="1">
        <v>1715.4</v>
      </c>
      <c r="S852" t="s">
        <v>12</v>
      </c>
      <c r="T852" s="13">
        <v>45921</v>
      </c>
      <c r="U852" s="1" t="str">
        <f>IF(ESTIMATIVA[[#This Row],[QT_AREA_REAL]]&gt;0,"1- Colhido","2- à Colher")</f>
        <v>1- Colhido</v>
      </c>
      <c r="V852" s="1" t="str">
        <f>IF(ESTIMATIVA[[#This Row],[QT_AREA_REST1]]&gt;0,"Reestimativa 1",IF(ESTIMATIVA[[#This Row],[QT_AREA_REAL]]=0,"Reestimativa 1","Realizado"))</f>
        <v>Reestimativa 1</v>
      </c>
      <c r="W852" s="1" t="str">
        <f>IF(ESTIMATIVA[[#This Row],[QT_AREA_REST2]]&gt;0,"Reestimativa 2",IF(ESTIMATIVA[[#This Row],[QT_AREA_REAL]]=0,"Reestimativa 2","Realizado"))</f>
        <v>Realizado</v>
      </c>
      <c r="X852" s="1">
        <f>ESTIMATIVA[[#This Row],[QT_AREA_EST]]</f>
        <v>18.809999999999999</v>
      </c>
      <c r="Y852" s="1">
        <f>IF(ESTIMATIVA[[#This Row],[QT_AREA_REST1]]&gt;0,ESTIMATIVA[[#This Row],[QT_AREA_REST1]],
  IF(ESTIMATIVA[[#This Row],[QT_AREA_REAL]]&gt;0,ESTIMATIVA[[#This Row],[QT_AREA_REAL]],ESTIMATIVA[[#This Row],[QT_AREA_EST]]))</f>
        <v>18.809999999999999</v>
      </c>
      <c r="Z85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18.809999999999999</v>
      </c>
      <c r="AA852" s="1">
        <f>ESTIMATIVA[[#This Row],[QT_CANA_EST]]</f>
        <v>1692.9</v>
      </c>
      <c r="AB852" s="1">
        <f>IF(ESTIMATIVA[[#This Row],[QT_CANA_REST1]]&gt;0,ESTIMATIVA[[#This Row],[QT_CANA_REST1]],
  IF(ESTIMATIVA[[#This Row],[QT_CANA_REAL]]&gt;0,ESTIMATIVA[[#This Row],[QT_CANA_REAL]],ESTIMATIVA[[#This Row],[QT_CANA_EST]]))</f>
        <v>1749.33</v>
      </c>
      <c r="AC85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1715.4</v>
      </c>
      <c r="AD852" s="1">
        <f>IF(ESTIMATIVA[[#This Row],[QT_AREA_REAL]]&gt;0,ESTIMATIVA[[#This Row],[QT_CANA_REAL]],ESTIMATIVA[[#This Row],[QT_CANA_EST]])</f>
        <v>1715.4</v>
      </c>
      <c r="AE852" s="1">
        <f>IF(ESTIMATIVA[[#This Row],[QT_AREA_REAL]]&gt;0,ESTIMATIVA[[#This Row],[QT_CANA_REAL]],ESTIMATIVA[[#This Row],[QT_CANA_REST1]])</f>
        <v>1715.4</v>
      </c>
      <c r="AF852" s="1">
        <f>IF(ESTIMATIVA[[#This Row],[QT_AREA_REAL]]&gt;0,ESTIMATIVA[[#This Row],[QT_CANA_REAL]],ESTIMATIVA[[#This Row],[QT_CANA_REST2]])</f>
        <v>1715.4</v>
      </c>
      <c r="AG852" s="1" t="str">
        <f>IF(COUNTIFS(GEADA!A:A,VALUE(ESTIMATIVA[[#This Row],[CD_UPNIVEL1]]&amp;TEXT(ESTIMATIVA[[#This Row],[CD_UPNIVEL3]],"0000")))&gt;0,"S","N")</f>
        <v>N</v>
      </c>
      <c r="AH85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52" s="55" t="str">
        <f>IF(ESTIMATIVA[[#This Row],[TP_CULTIVO]]="Irrigado",_xlfn.MAXIFS(IRRIGADO!J:J,IRRIGADO!C:C,ESTIMATIVA[[#This Row],[CD_UPNIVEL1]],IRRIGADO!E:E,ESTIMATIVA[[#This Row],[CD_UPNIVEL3]]),"")</f>
        <v/>
      </c>
      <c r="AJ85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52" s="1">
        <f>COUNTIFS(Apresentação!$E$23:$E$29,ESTIMATIVA[[#This Row],[CD_UPNIVEL1]])</f>
        <v>0</v>
      </c>
    </row>
    <row r="853" spans="1:37" x14ac:dyDescent="0.3">
      <c r="A853">
        <v>20433</v>
      </c>
      <c r="B853" t="s">
        <v>47</v>
      </c>
      <c r="C853">
        <v>12</v>
      </c>
      <c r="D853">
        <v>2</v>
      </c>
      <c r="E853" t="s">
        <v>266</v>
      </c>
      <c r="F853" s="85" t="s">
        <v>331</v>
      </c>
      <c r="G853"/>
      <c r="H853" t="s">
        <v>294</v>
      </c>
      <c r="I853" t="s">
        <v>205</v>
      </c>
      <c r="J853" t="s">
        <v>176</v>
      </c>
      <c r="K853" s="1">
        <v>10.45</v>
      </c>
      <c r="L853" s="1">
        <v>10.45</v>
      </c>
      <c r="M853" s="1">
        <v>0</v>
      </c>
      <c r="N853" s="1">
        <v>10.45</v>
      </c>
      <c r="O853" s="1">
        <v>940.5</v>
      </c>
      <c r="P853" s="1">
        <v>971.85</v>
      </c>
      <c r="Q853" s="1">
        <v>0</v>
      </c>
      <c r="R853" s="1">
        <v>953.29</v>
      </c>
      <c r="S853" t="s">
        <v>12</v>
      </c>
      <c r="T853" s="13">
        <v>45921</v>
      </c>
      <c r="U853" s="1" t="str">
        <f>IF(ESTIMATIVA[[#This Row],[QT_AREA_REAL]]&gt;0,"1- Colhido","2- à Colher")</f>
        <v>1- Colhido</v>
      </c>
      <c r="V853" s="1" t="str">
        <f>IF(ESTIMATIVA[[#This Row],[QT_AREA_REST1]]&gt;0,"Reestimativa 1",IF(ESTIMATIVA[[#This Row],[QT_AREA_REAL]]=0,"Reestimativa 1","Realizado"))</f>
        <v>Reestimativa 1</v>
      </c>
      <c r="W853" s="1" t="str">
        <f>IF(ESTIMATIVA[[#This Row],[QT_AREA_REST2]]&gt;0,"Reestimativa 2",IF(ESTIMATIVA[[#This Row],[QT_AREA_REAL]]=0,"Reestimativa 2","Realizado"))</f>
        <v>Realizado</v>
      </c>
      <c r="X853" s="1">
        <f>ESTIMATIVA[[#This Row],[QT_AREA_EST]]</f>
        <v>10.45</v>
      </c>
      <c r="Y853" s="1">
        <f>IF(ESTIMATIVA[[#This Row],[QT_AREA_REST1]]&gt;0,ESTIMATIVA[[#This Row],[QT_AREA_REST1]],
  IF(ESTIMATIVA[[#This Row],[QT_AREA_REAL]]&gt;0,ESTIMATIVA[[#This Row],[QT_AREA_REAL]],ESTIMATIVA[[#This Row],[QT_AREA_EST]]))</f>
        <v>10.45</v>
      </c>
      <c r="Z85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10.45</v>
      </c>
      <c r="AA853" s="1">
        <f>ESTIMATIVA[[#This Row],[QT_CANA_EST]]</f>
        <v>940.5</v>
      </c>
      <c r="AB853" s="1">
        <f>IF(ESTIMATIVA[[#This Row],[QT_CANA_REST1]]&gt;0,ESTIMATIVA[[#This Row],[QT_CANA_REST1]],
  IF(ESTIMATIVA[[#This Row],[QT_CANA_REAL]]&gt;0,ESTIMATIVA[[#This Row],[QT_CANA_REAL]],ESTIMATIVA[[#This Row],[QT_CANA_EST]]))</f>
        <v>971.85</v>
      </c>
      <c r="AC85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953.29</v>
      </c>
      <c r="AD853" s="1">
        <f>IF(ESTIMATIVA[[#This Row],[QT_AREA_REAL]]&gt;0,ESTIMATIVA[[#This Row],[QT_CANA_REAL]],ESTIMATIVA[[#This Row],[QT_CANA_EST]])</f>
        <v>953.29</v>
      </c>
      <c r="AE853" s="1">
        <f>IF(ESTIMATIVA[[#This Row],[QT_AREA_REAL]]&gt;0,ESTIMATIVA[[#This Row],[QT_CANA_REAL]],ESTIMATIVA[[#This Row],[QT_CANA_REST1]])</f>
        <v>953.29</v>
      </c>
      <c r="AF853" s="1">
        <f>IF(ESTIMATIVA[[#This Row],[QT_AREA_REAL]]&gt;0,ESTIMATIVA[[#This Row],[QT_CANA_REAL]],ESTIMATIVA[[#This Row],[QT_CANA_REST2]])</f>
        <v>953.29</v>
      </c>
      <c r="AG853" s="1" t="str">
        <f>IF(COUNTIFS(GEADA!A:A,VALUE(ESTIMATIVA[[#This Row],[CD_UPNIVEL1]]&amp;TEXT(ESTIMATIVA[[#This Row],[CD_UPNIVEL3]],"0000")))&gt;0,"S","N")</f>
        <v>N</v>
      </c>
      <c r="AH85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53" s="55" t="str">
        <f>IF(ESTIMATIVA[[#This Row],[TP_CULTIVO]]="Irrigado",_xlfn.MAXIFS(IRRIGADO!J:J,IRRIGADO!C:C,ESTIMATIVA[[#This Row],[CD_UPNIVEL1]],IRRIGADO!E:E,ESTIMATIVA[[#This Row],[CD_UPNIVEL3]]),"")</f>
        <v/>
      </c>
      <c r="AJ85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53" s="1">
        <f>COUNTIFS(Apresentação!$E$23:$E$29,ESTIMATIVA[[#This Row],[CD_UPNIVEL1]])</f>
        <v>0</v>
      </c>
    </row>
    <row r="854" spans="1:37" x14ac:dyDescent="0.3">
      <c r="A854">
        <v>20433</v>
      </c>
      <c r="B854" t="s">
        <v>47</v>
      </c>
      <c r="C854">
        <v>13</v>
      </c>
      <c r="D854">
        <v>2</v>
      </c>
      <c r="E854" t="s">
        <v>266</v>
      </c>
      <c r="F854" s="85" t="s">
        <v>331</v>
      </c>
      <c r="G854"/>
      <c r="H854" t="s">
        <v>294</v>
      </c>
      <c r="I854" t="s">
        <v>205</v>
      </c>
      <c r="J854" t="s">
        <v>176</v>
      </c>
      <c r="K854" s="1">
        <v>7.09</v>
      </c>
      <c r="L854" s="1">
        <v>7.09</v>
      </c>
      <c r="M854" s="1">
        <v>0</v>
      </c>
      <c r="N854" s="1">
        <v>7.09</v>
      </c>
      <c r="O854" s="1">
        <v>638.1</v>
      </c>
      <c r="P854" s="1">
        <v>659.37</v>
      </c>
      <c r="Q854" s="1">
        <v>0</v>
      </c>
      <c r="R854" s="1">
        <v>646.29</v>
      </c>
      <c r="S854" t="s">
        <v>12</v>
      </c>
      <c r="T854" s="13">
        <v>45921</v>
      </c>
      <c r="U854" s="1" t="str">
        <f>IF(ESTIMATIVA[[#This Row],[QT_AREA_REAL]]&gt;0,"1- Colhido","2- à Colher")</f>
        <v>1- Colhido</v>
      </c>
      <c r="V854" s="1" t="str">
        <f>IF(ESTIMATIVA[[#This Row],[QT_AREA_REST1]]&gt;0,"Reestimativa 1",IF(ESTIMATIVA[[#This Row],[QT_AREA_REAL]]=0,"Reestimativa 1","Realizado"))</f>
        <v>Reestimativa 1</v>
      </c>
      <c r="W854" s="1" t="str">
        <f>IF(ESTIMATIVA[[#This Row],[QT_AREA_REST2]]&gt;0,"Reestimativa 2",IF(ESTIMATIVA[[#This Row],[QT_AREA_REAL]]=0,"Reestimativa 2","Realizado"))</f>
        <v>Realizado</v>
      </c>
      <c r="X854" s="1">
        <f>ESTIMATIVA[[#This Row],[QT_AREA_EST]]</f>
        <v>7.09</v>
      </c>
      <c r="Y854" s="1">
        <f>IF(ESTIMATIVA[[#This Row],[QT_AREA_REST1]]&gt;0,ESTIMATIVA[[#This Row],[QT_AREA_REST1]],
  IF(ESTIMATIVA[[#This Row],[QT_AREA_REAL]]&gt;0,ESTIMATIVA[[#This Row],[QT_AREA_REAL]],ESTIMATIVA[[#This Row],[QT_AREA_EST]]))</f>
        <v>7.09</v>
      </c>
      <c r="Z85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7.09</v>
      </c>
      <c r="AA854" s="1">
        <f>ESTIMATIVA[[#This Row],[QT_CANA_EST]]</f>
        <v>638.1</v>
      </c>
      <c r="AB854" s="1">
        <f>IF(ESTIMATIVA[[#This Row],[QT_CANA_REST1]]&gt;0,ESTIMATIVA[[#This Row],[QT_CANA_REST1]],
  IF(ESTIMATIVA[[#This Row],[QT_CANA_REAL]]&gt;0,ESTIMATIVA[[#This Row],[QT_CANA_REAL]],ESTIMATIVA[[#This Row],[QT_CANA_EST]]))</f>
        <v>659.37</v>
      </c>
      <c r="AC85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646.29</v>
      </c>
      <c r="AD854" s="1">
        <f>IF(ESTIMATIVA[[#This Row],[QT_AREA_REAL]]&gt;0,ESTIMATIVA[[#This Row],[QT_CANA_REAL]],ESTIMATIVA[[#This Row],[QT_CANA_EST]])</f>
        <v>646.29</v>
      </c>
      <c r="AE854" s="1">
        <f>IF(ESTIMATIVA[[#This Row],[QT_AREA_REAL]]&gt;0,ESTIMATIVA[[#This Row],[QT_CANA_REAL]],ESTIMATIVA[[#This Row],[QT_CANA_REST1]])</f>
        <v>646.29</v>
      </c>
      <c r="AF854" s="1">
        <f>IF(ESTIMATIVA[[#This Row],[QT_AREA_REAL]]&gt;0,ESTIMATIVA[[#This Row],[QT_CANA_REAL]],ESTIMATIVA[[#This Row],[QT_CANA_REST2]])</f>
        <v>646.29</v>
      </c>
      <c r="AG854" s="1" t="str">
        <f>IF(COUNTIFS(GEADA!A:A,VALUE(ESTIMATIVA[[#This Row],[CD_UPNIVEL1]]&amp;TEXT(ESTIMATIVA[[#This Row],[CD_UPNIVEL3]],"0000")))&gt;0,"S","N")</f>
        <v>N</v>
      </c>
      <c r="AH85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54" s="55" t="str">
        <f>IF(ESTIMATIVA[[#This Row],[TP_CULTIVO]]="Irrigado",_xlfn.MAXIFS(IRRIGADO!J:J,IRRIGADO!C:C,ESTIMATIVA[[#This Row],[CD_UPNIVEL1]],IRRIGADO!E:E,ESTIMATIVA[[#This Row],[CD_UPNIVEL3]]),"")</f>
        <v/>
      </c>
      <c r="AJ85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54" s="1">
        <f>COUNTIFS(Apresentação!$E$23:$E$29,ESTIMATIVA[[#This Row],[CD_UPNIVEL1]])</f>
        <v>0</v>
      </c>
    </row>
    <row r="855" spans="1:37" x14ac:dyDescent="0.3">
      <c r="A855">
        <v>20433</v>
      </c>
      <c r="B855" t="s">
        <v>47</v>
      </c>
      <c r="C855">
        <v>14</v>
      </c>
      <c r="D855">
        <v>2</v>
      </c>
      <c r="E855" t="s">
        <v>266</v>
      </c>
      <c r="F855" s="85" t="s">
        <v>331</v>
      </c>
      <c r="G855"/>
      <c r="H855" t="s">
        <v>294</v>
      </c>
      <c r="I855" t="s">
        <v>205</v>
      </c>
      <c r="J855" t="s">
        <v>176</v>
      </c>
      <c r="K855" s="1">
        <v>14.92</v>
      </c>
      <c r="L855" s="1">
        <v>14.92</v>
      </c>
      <c r="M855" s="1">
        <v>0</v>
      </c>
      <c r="N855" s="1">
        <v>14.92</v>
      </c>
      <c r="O855" s="1">
        <v>1342.8</v>
      </c>
      <c r="P855" s="1">
        <v>1387.56</v>
      </c>
      <c r="Q855" s="1">
        <v>0</v>
      </c>
      <c r="R855" s="1">
        <v>1361.63</v>
      </c>
      <c r="S855" t="s">
        <v>12</v>
      </c>
      <c r="T855" s="13">
        <v>45921</v>
      </c>
      <c r="U855" s="1" t="str">
        <f>IF(ESTIMATIVA[[#This Row],[QT_AREA_REAL]]&gt;0,"1- Colhido","2- à Colher")</f>
        <v>1- Colhido</v>
      </c>
      <c r="V855" s="1" t="str">
        <f>IF(ESTIMATIVA[[#This Row],[QT_AREA_REST1]]&gt;0,"Reestimativa 1",IF(ESTIMATIVA[[#This Row],[QT_AREA_REAL]]=0,"Reestimativa 1","Realizado"))</f>
        <v>Reestimativa 1</v>
      </c>
      <c r="W855" s="1" t="str">
        <f>IF(ESTIMATIVA[[#This Row],[QT_AREA_REST2]]&gt;0,"Reestimativa 2",IF(ESTIMATIVA[[#This Row],[QT_AREA_REAL]]=0,"Reestimativa 2","Realizado"))</f>
        <v>Realizado</v>
      </c>
      <c r="X855" s="1">
        <f>ESTIMATIVA[[#This Row],[QT_AREA_EST]]</f>
        <v>14.92</v>
      </c>
      <c r="Y855" s="1">
        <f>IF(ESTIMATIVA[[#This Row],[QT_AREA_REST1]]&gt;0,ESTIMATIVA[[#This Row],[QT_AREA_REST1]],
  IF(ESTIMATIVA[[#This Row],[QT_AREA_REAL]]&gt;0,ESTIMATIVA[[#This Row],[QT_AREA_REAL]],ESTIMATIVA[[#This Row],[QT_AREA_EST]]))</f>
        <v>14.92</v>
      </c>
      <c r="Z85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14.92</v>
      </c>
      <c r="AA855" s="1">
        <f>ESTIMATIVA[[#This Row],[QT_CANA_EST]]</f>
        <v>1342.8</v>
      </c>
      <c r="AB855" s="1">
        <f>IF(ESTIMATIVA[[#This Row],[QT_CANA_REST1]]&gt;0,ESTIMATIVA[[#This Row],[QT_CANA_REST1]],
  IF(ESTIMATIVA[[#This Row],[QT_CANA_REAL]]&gt;0,ESTIMATIVA[[#This Row],[QT_CANA_REAL]],ESTIMATIVA[[#This Row],[QT_CANA_EST]]))</f>
        <v>1387.56</v>
      </c>
      <c r="AC85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1361.63</v>
      </c>
      <c r="AD855" s="1">
        <f>IF(ESTIMATIVA[[#This Row],[QT_AREA_REAL]]&gt;0,ESTIMATIVA[[#This Row],[QT_CANA_REAL]],ESTIMATIVA[[#This Row],[QT_CANA_EST]])</f>
        <v>1361.63</v>
      </c>
      <c r="AE855" s="1">
        <f>IF(ESTIMATIVA[[#This Row],[QT_AREA_REAL]]&gt;0,ESTIMATIVA[[#This Row],[QT_CANA_REAL]],ESTIMATIVA[[#This Row],[QT_CANA_REST1]])</f>
        <v>1361.63</v>
      </c>
      <c r="AF855" s="1">
        <f>IF(ESTIMATIVA[[#This Row],[QT_AREA_REAL]]&gt;0,ESTIMATIVA[[#This Row],[QT_CANA_REAL]],ESTIMATIVA[[#This Row],[QT_CANA_REST2]])</f>
        <v>1361.63</v>
      </c>
      <c r="AG855" s="1" t="str">
        <f>IF(COUNTIFS(GEADA!A:A,VALUE(ESTIMATIVA[[#This Row],[CD_UPNIVEL1]]&amp;TEXT(ESTIMATIVA[[#This Row],[CD_UPNIVEL3]],"0000")))&gt;0,"S","N")</f>
        <v>N</v>
      </c>
      <c r="AH85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55" s="55" t="str">
        <f>IF(ESTIMATIVA[[#This Row],[TP_CULTIVO]]="Irrigado",_xlfn.MAXIFS(IRRIGADO!J:J,IRRIGADO!C:C,ESTIMATIVA[[#This Row],[CD_UPNIVEL1]],IRRIGADO!E:E,ESTIMATIVA[[#This Row],[CD_UPNIVEL3]]),"")</f>
        <v/>
      </c>
      <c r="AJ85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55" s="1">
        <f>COUNTIFS(Apresentação!$E$23:$E$29,ESTIMATIVA[[#This Row],[CD_UPNIVEL1]])</f>
        <v>0</v>
      </c>
    </row>
    <row r="856" spans="1:37" x14ac:dyDescent="0.3">
      <c r="A856">
        <v>20433</v>
      </c>
      <c r="B856" t="s">
        <v>47</v>
      </c>
      <c r="C856">
        <v>45</v>
      </c>
      <c r="D856">
        <v>3</v>
      </c>
      <c r="E856" t="s">
        <v>263</v>
      </c>
      <c r="F856" s="85" t="s">
        <v>333</v>
      </c>
      <c r="G856"/>
      <c r="H856" t="s">
        <v>294</v>
      </c>
      <c r="I856" t="s">
        <v>207</v>
      </c>
      <c r="J856" t="s">
        <v>176</v>
      </c>
      <c r="K856" s="1">
        <v>6.61</v>
      </c>
      <c r="L856" s="1">
        <v>6.61</v>
      </c>
      <c r="M856" s="1">
        <v>6.61</v>
      </c>
      <c r="N856" s="1">
        <v>6.61</v>
      </c>
      <c r="O856" s="1">
        <v>396.6</v>
      </c>
      <c r="P856" s="1">
        <v>403.21</v>
      </c>
      <c r="Q856" s="1">
        <v>403.21</v>
      </c>
      <c r="R856" s="1">
        <v>578.54</v>
      </c>
      <c r="S856" t="s">
        <v>12</v>
      </c>
      <c r="T856" s="13">
        <v>46005</v>
      </c>
      <c r="U856" s="1" t="str">
        <f>IF(ESTIMATIVA[[#This Row],[QT_AREA_REAL]]&gt;0,"1- Colhido","2- à Colher")</f>
        <v>1- Colhido</v>
      </c>
      <c r="V856" s="1" t="str">
        <f>IF(ESTIMATIVA[[#This Row],[QT_AREA_REST1]]&gt;0,"Reestimativa 1",IF(ESTIMATIVA[[#This Row],[QT_AREA_REAL]]=0,"Reestimativa 1","Realizado"))</f>
        <v>Reestimativa 1</v>
      </c>
      <c r="W856" s="1" t="str">
        <f>IF(ESTIMATIVA[[#This Row],[QT_AREA_REST2]]&gt;0,"Reestimativa 2",IF(ESTIMATIVA[[#This Row],[QT_AREA_REAL]]=0,"Reestimativa 2","Realizado"))</f>
        <v>Reestimativa 2</v>
      </c>
      <c r="X856" s="1">
        <f>ESTIMATIVA[[#This Row],[QT_AREA_EST]]</f>
        <v>6.61</v>
      </c>
      <c r="Y856" s="1">
        <f>IF(ESTIMATIVA[[#This Row],[QT_AREA_REST1]]&gt;0,ESTIMATIVA[[#This Row],[QT_AREA_REST1]],
  IF(ESTIMATIVA[[#This Row],[QT_AREA_REAL]]&gt;0,ESTIMATIVA[[#This Row],[QT_AREA_REAL]],ESTIMATIVA[[#This Row],[QT_AREA_EST]]))</f>
        <v>6.61</v>
      </c>
      <c r="Z85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6.61</v>
      </c>
      <c r="AA856" s="1">
        <f>ESTIMATIVA[[#This Row],[QT_CANA_EST]]</f>
        <v>396.6</v>
      </c>
      <c r="AB856" s="1">
        <f>IF(ESTIMATIVA[[#This Row],[QT_CANA_REST1]]&gt;0,ESTIMATIVA[[#This Row],[QT_CANA_REST1]],
  IF(ESTIMATIVA[[#This Row],[QT_CANA_REAL]]&gt;0,ESTIMATIVA[[#This Row],[QT_CANA_REAL]],ESTIMATIVA[[#This Row],[QT_CANA_EST]]))</f>
        <v>403.21</v>
      </c>
      <c r="AC85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403.21</v>
      </c>
      <c r="AD856" s="1">
        <f>IF(ESTIMATIVA[[#This Row],[QT_AREA_REAL]]&gt;0,ESTIMATIVA[[#This Row],[QT_CANA_REAL]],ESTIMATIVA[[#This Row],[QT_CANA_EST]])</f>
        <v>578.54</v>
      </c>
      <c r="AE856" s="1">
        <f>IF(ESTIMATIVA[[#This Row],[QT_AREA_REAL]]&gt;0,ESTIMATIVA[[#This Row],[QT_CANA_REAL]],ESTIMATIVA[[#This Row],[QT_CANA_REST1]])</f>
        <v>578.54</v>
      </c>
      <c r="AF856" s="1">
        <f>IF(ESTIMATIVA[[#This Row],[QT_AREA_REAL]]&gt;0,ESTIMATIVA[[#This Row],[QT_CANA_REAL]],ESTIMATIVA[[#This Row],[QT_CANA_REST2]])</f>
        <v>578.54</v>
      </c>
      <c r="AG856" s="1" t="str">
        <f>IF(COUNTIFS(GEADA!A:A,VALUE(ESTIMATIVA[[#This Row],[CD_UPNIVEL1]]&amp;TEXT(ESTIMATIVA[[#This Row],[CD_UPNIVEL3]],"0000")))&gt;0,"S","N")</f>
        <v>S</v>
      </c>
      <c r="AH85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56" s="55" t="str">
        <f>IF(ESTIMATIVA[[#This Row],[TP_CULTIVO]]="Irrigado",_xlfn.MAXIFS(IRRIGADO!J:J,IRRIGADO!C:C,ESTIMATIVA[[#This Row],[CD_UPNIVEL1]],IRRIGADO!E:E,ESTIMATIVA[[#This Row],[CD_UPNIVEL3]]),"")</f>
        <v/>
      </c>
      <c r="AJ85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56" s="1">
        <f>COUNTIFS(Apresentação!$E$23:$E$29,ESTIMATIVA[[#This Row],[CD_UPNIVEL1]])</f>
        <v>0</v>
      </c>
    </row>
    <row r="857" spans="1:37" x14ac:dyDescent="0.3">
      <c r="A857">
        <v>20433</v>
      </c>
      <c r="B857" t="s">
        <v>47</v>
      </c>
      <c r="C857">
        <v>51</v>
      </c>
      <c r="D857">
        <v>1</v>
      </c>
      <c r="E857" t="s">
        <v>264</v>
      </c>
      <c r="F857" s="85" t="s">
        <v>331</v>
      </c>
      <c r="G857"/>
      <c r="H857" t="s">
        <v>294</v>
      </c>
      <c r="I857" t="s">
        <v>222</v>
      </c>
      <c r="J857" t="s">
        <v>176</v>
      </c>
      <c r="K857" s="1">
        <v>18.309999999999999</v>
      </c>
      <c r="L857" s="1">
        <v>0</v>
      </c>
      <c r="M857" s="1">
        <v>0</v>
      </c>
      <c r="N857" s="1">
        <v>18.309999999999999</v>
      </c>
      <c r="O857" s="1">
        <v>2123.96</v>
      </c>
      <c r="P857" s="1">
        <v>0</v>
      </c>
      <c r="Q857" s="1">
        <v>0</v>
      </c>
      <c r="R857" s="1">
        <v>1762.02</v>
      </c>
      <c r="S857" t="s">
        <v>12</v>
      </c>
      <c r="T857" s="13">
        <v>45851</v>
      </c>
      <c r="U857" s="1" t="str">
        <f>IF(ESTIMATIVA[[#This Row],[QT_AREA_REAL]]&gt;0,"1- Colhido","2- à Colher")</f>
        <v>1- Colhido</v>
      </c>
      <c r="V857" s="1" t="str">
        <f>IF(ESTIMATIVA[[#This Row],[QT_AREA_REST1]]&gt;0,"Reestimativa 1",IF(ESTIMATIVA[[#This Row],[QT_AREA_REAL]]=0,"Reestimativa 1","Realizado"))</f>
        <v>Realizado</v>
      </c>
      <c r="W857" s="1" t="str">
        <f>IF(ESTIMATIVA[[#This Row],[QT_AREA_REST2]]&gt;0,"Reestimativa 2",IF(ESTIMATIVA[[#This Row],[QT_AREA_REAL]]=0,"Reestimativa 2","Realizado"))</f>
        <v>Realizado</v>
      </c>
      <c r="X857" s="1">
        <f>ESTIMATIVA[[#This Row],[QT_AREA_EST]]</f>
        <v>18.309999999999999</v>
      </c>
      <c r="Y857" s="1">
        <f>IF(ESTIMATIVA[[#This Row],[QT_AREA_REST1]]&gt;0,ESTIMATIVA[[#This Row],[QT_AREA_REST1]],
  IF(ESTIMATIVA[[#This Row],[QT_AREA_REAL]]&gt;0,ESTIMATIVA[[#This Row],[QT_AREA_REAL]],ESTIMATIVA[[#This Row],[QT_AREA_EST]]))</f>
        <v>18.309999999999999</v>
      </c>
      <c r="Z85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18.309999999999999</v>
      </c>
      <c r="AA857" s="1">
        <f>ESTIMATIVA[[#This Row],[QT_CANA_EST]]</f>
        <v>2123.96</v>
      </c>
      <c r="AB857" s="1">
        <f>IF(ESTIMATIVA[[#This Row],[QT_CANA_REST1]]&gt;0,ESTIMATIVA[[#This Row],[QT_CANA_REST1]],
  IF(ESTIMATIVA[[#This Row],[QT_CANA_REAL]]&gt;0,ESTIMATIVA[[#This Row],[QT_CANA_REAL]],ESTIMATIVA[[#This Row],[QT_CANA_EST]]))</f>
        <v>1762.02</v>
      </c>
      <c r="AC85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1762.02</v>
      </c>
      <c r="AD857" s="1">
        <f>IF(ESTIMATIVA[[#This Row],[QT_AREA_REAL]]&gt;0,ESTIMATIVA[[#This Row],[QT_CANA_REAL]],ESTIMATIVA[[#This Row],[QT_CANA_EST]])</f>
        <v>1762.02</v>
      </c>
      <c r="AE857" s="1">
        <f>IF(ESTIMATIVA[[#This Row],[QT_AREA_REAL]]&gt;0,ESTIMATIVA[[#This Row],[QT_CANA_REAL]],ESTIMATIVA[[#This Row],[QT_CANA_REST1]])</f>
        <v>1762.02</v>
      </c>
      <c r="AF857" s="1">
        <f>IF(ESTIMATIVA[[#This Row],[QT_AREA_REAL]]&gt;0,ESTIMATIVA[[#This Row],[QT_CANA_REAL]],ESTIMATIVA[[#This Row],[QT_CANA_REST2]])</f>
        <v>1762.02</v>
      </c>
      <c r="AG857" s="1" t="str">
        <f>IF(COUNTIFS(GEADA!A:A,VALUE(ESTIMATIVA[[#This Row],[CD_UPNIVEL1]]&amp;TEXT(ESTIMATIVA[[#This Row],[CD_UPNIVEL3]],"0000")))&gt;0,"S","N")</f>
        <v>N</v>
      </c>
      <c r="AH85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57" s="55" t="str">
        <f>IF(ESTIMATIVA[[#This Row],[TP_CULTIVO]]="Irrigado",_xlfn.MAXIFS(IRRIGADO!J:J,IRRIGADO!C:C,ESTIMATIVA[[#This Row],[CD_UPNIVEL1]],IRRIGADO!E:E,ESTIMATIVA[[#This Row],[CD_UPNIVEL3]]),"")</f>
        <v/>
      </c>
      <c r="AJ85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57" s="1">
        <f>COUNTIFS(Apresentação!$E$23:$E$29,ESTIMATIVA[[#This Row],[CD_UPNIVEL1]])</f>
        <v>0</v>
      </c>
    </row>
    <row r="858" spans="1:37" x14ac:dyDescent="0.3">
      <c r="A858">
        <v>20433</v>
      </c>
      <c r="B858" t="s">
        <v>47</v>
      </c>
      <c r="C858">
        <v>52</v>
      </c>
      <c r="D858">
        <v>1</v>
      </c>
      <c r="E858" t="s">
        <v>264</v>
      </c>
      <c r="F858" s="85" t="s">
        <v>331</v>
      </c>
      <c r="G858"/>
      <c r="H858" t="s">
        <v>294</v>
      </c>
      <c r="I858" t="s">
        <v>222</v>
      </c>
      <c r="J858" t="s">
        <v>176</v>
      </c>
      <c r="K858" s="1">
        <v>37.35</v>
      </c>
      <c r="L858" s="1">
        <v>0</v>
      </c>
      <c r="M858" s="1">
        <v>0</v>
      </c>
      <c r="N858" s="1">
        <v>37.35</v>
      </c>
      <c r="O858" s="1">
        <v>4332.6000000000004</v>
      </c>
      <c r="P858" s="1">
        <v>0</v>
      </c>
      <c r="Q858" s="1">
        <v>0</v>
      </c>
      <c r="R858" s="1">
        <v>3594.71</v>
      </c>
      <c r="S858" t="s">
        <v>12</v>
      </c>
      <c r="T858" s="13">
        <v>45851</v>
      </c>
      <c r="U858" s="1" t="str">
        <f>IF(ESTIMATIVA[[#This Row],[QT_AREA_REAL]]&gt;0,"1- Colhido","2- à Colher")</f>
        <v>1- Colhido</v>
      </c>
      <c r="V858" s="1" t="str">
        <f>IF(ESTIMATIVA[[#This Row],[QT_AREA_REST1]]&gt;0,"Reestimativa 1",IF(ESTIMATIVA[[#This Row],[QT_AREA_REAL]]=0,"Reestimativa 1","Realizado"))</f>
        <v>Realizado</v>
      </c>
      <c r="W858" s="1" t="str">
        <f>IF(ESTIMATIVA[[#This Row],[QT_AREA_REST2]]&gt;0,"Reestimativa 2",IF(ESTIMATIVA[[#This Row],[QT_AREA_REAL]]=0,"Reestimativa 2","Realizado"))</f>
        <v>Realizado</v>
      </c>
      <c r="X858" s="1">
        <f>ESTIMATIVA[[#This Row],[QT_AREA_EST]]</f>
        <v>37.35</v>
      </c>
      <c r="Y858" s="1">
        <f>IF(ESTIMATIVA[[#This Row],[QT_AREA_REST1]]&gt;0,ESTIMATIVA[[#This Row],[QT_AREA_REST1]],
  IF(ESTIMATIVA[[#This Row],[QT_AREA_REAL]]&gt;0,ESTIMATIVA[[#This Row],[QT_AREA_REAL]],ESTIMATIVA[[#This Row],[QT_AREA_EST]]))</f>
        <v>37.35</v>
      </c>
      <c r="Z85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37.35</v>
      </c>
      <c r="AA858" s="1">
        <f>ESTIMATIVA[[#This Row],[QT_CANA_EST]]</f>
        <v>4332.6000000000004</v>
      </c>
      <c r="AB858" s="1">
        <f>IF(ESTIMATIVA[[#This Row],[QT_CANA_REST1]]&gt;0,ESTIMATIVA[[#This Row],[QT_CANA_REST1]],
  IF(ESTIMATIVA[[#This Row],[QT_CANA_REAL]]&gt;0,ESTIMATIVA[[#This Row],[QT_CANA_REAL]],ESTIMATIVA[[#This Row],[QT_CANA_EST]]))</f>
        <v>3594.71</v>
      </c>
      <c r="AC85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3594.71</v>
      </c>
      <c r="AD858" s="1">
        <f>IF(ESTIMATIVA[[#This Row],[QT_AREA_REAL]]&gt;0,ESTIMATIVA[[#This Row],[QT_CANA_REAL]],ESTIMATIVA[[#This Row],[QT_CANA_EST]])</f>
        <v>3594.71</v>
      </c>
      <c r="AE858" s="1">
        <f>IF(ESTIMATIVA[[#This Row],[QT_AREA_REAL]]&gt;0,ESTIMATIVA[[#This Row],[QT_CANA_REAL]],ESTIMATIVA[[#This Row],[QT_CANA_REST1]])</f>
        <v>3594.71</v>
      </c>
      <c r="AF858" s="1">
        <f>IF(ESTIMATIVA[[#This Row],[QT_AREA_REAL]]&gt;0,ESTIMATIVA[[#This Row],[QT_CANA_REAL]],ESTIMATIVA[[#This Row],[QT_CANA_REST2]])</f>
        <v>3594.71</v>
      </c>
      <c r="AG858" s="1" t="str">
        <f>IF(COUNTIFS(GEADA!A:A,VALUE(ESTIMATIVA[[#This Row],[CD_UPNIVEL1]]&amp;TEXT(ESTIMATIVA[[#This Row],[CD_UPNIVEL3]],"0000")))&gt;0,"S","N")</f>
        <v>N</v>
      </c>
      <c r="AH85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58" s="55" t="str">
        <f>IF(ESTIMATIVA[[#This Row],[TP_CULTIVO]]="Irrigado",_xlfn.MAXIFS(IRRIGADO!J:J,IRRIGADO!C:C,ESTIMATIVA[[#This Row],[CD_UPNIVEL1]],IRRIGADO!E:E,ESTIMATIVA[[#This Row],[CD_UPNIVEL3]]),"")</f>
        <v/>
      </c>
      <c r="AJ85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58" s="1">
        <f>COUNTIFS(Apresentação!$E$23:$E$29,ESTIMATIVA[[#This Row],[CD_UPNIVEL1]])</f>
        <v>0</v>
      </c>
    </row>
    <row r="859" spans="1:37" x14ac:dyDescent="0.3">
      <c r="A859">
        <v>20433</v>
      </c>
      <c r="B859" t="s">
        <v>47</v>
      </c>
      <c r="C859">
        <v>53</v>
      </c>
      <c r="D859">
        <v>1</v>
      </c>
      <c r="E859" t="s">
        <v>264</v>
      </c>
      <c r="F859" s="85" t="s">
        <v>331</v>
      </c>
      <c r="G859"/>
      <c r="H859" t="s">
        <v>294</v>
      </c>
      <c r="I859" t="s">
        <v>222</v>
      </c>
      <c r="J859" t="s">
        <v>176</v>
      </c>
      <c r="K859" s="1">
        <v>30.26</v>
      </c>
      <c r="L859" s="1">
        <v>0</v>
      </c>
      <c r="M859" s="1">
        <v>0</v>
      </c>
      <c r="N859" s="1">
        <v>30.26</v>
      </c>
      <c r="O859" s="1">
        <v>3510.16</v>
      </c>
      <c r="P859" s="1">
        <v>0</v>
      </c>
      <c r="Q859" s="1">
        <v>0</v>
      </c>
      <c r="R859" s="1">
        <v>2911.92</v>
      </c>
      <c r="S859" t="s">
        <v>12</v>
      </c>
      <c r="T859" s="13">
        <v>45851</v>
      </c>
      <c r="U859" s="1" t="str">
        <f>IF(ESTIMATIVA[[#This Row],[QT_AREA_REAL]]&gt;0,"1- Colhido","2- à Colher")</f>
        <v>1- Colhido</v>
      </c>
      <c r="V859" s="1" t="str">
        <f>IF(ESTIMATIVA[[#This Row],[QT_AREA_REST1]]&gt;0,"Reestimativa 1",IF(ESTIMATIVA[[#This Row],[QT_AREA_REAL]]=0,"Reestimativa 1","Realizado"))</f>
        <v>Realizado</v>
      </c>
      <c r="W859" s="1" t="str">
        <f>IF(ESTIMATIVA[[#This Row],[QT_AREA_REST2]]&gt;0,"Reestimativa 2",IF(ESTIMATIVA[[#This Row],[QT_AREA_REAL]]=0,"Reestimativa 2","Realizado"))</f>
        <v>Realizado</v>
      </c>
      <c r="X859" s="1">
        <f>ESTIMATIVA[[#This Row],[QT_AREA_EST]]</f>
        <v>30.26</v>
      </c>
      <c r="Y859" s="1">
        <f>IF(ESTIMATIVA[[#This Row],[QT_AREA_REST1]]&gt;0,ESTIMATIVA[[#This Row],[QT_AREA_REST1]],
  IF(ESTIMATIVA[[#This Row],[QT_AREA_REAL]]&gt;0,ESTIMATIVA[[#This Row],[QT_AREA_REAL]],ESTIMATIVA[[#This Row],[QT_AREA_EST]]))</f>
        <v>30.26</v>
      </c>
      <c r="Z85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30.26</v>
      </c>
      <c r="AA859" s="1">
        <f>ESTIMATIVA[[#This Row],[QT_CANA_EST]]</f>
        <v>3510.16</v>
      </c>
      <c r="AB859" s="1">
        <f>IF(ESTIMATIVA[[#This Row],[QT_CANA_REST1]]&gt;0,ESTIMATIVA[[#This Row],[QT_CANA_REST1]],
  IF(ESTIMATIVA[[#This Row],[QT_CANA_REAL]]&gt;0,ESTIMATIVA[[#This Row],[QT_CANA_REAL]],ESTIMATIVA[[#This Row],[QT_CANA_EST]]))</f>
        <v>2911.92</v>
      </c>
      <c r="AC85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2911.92</v>
      </c>
      <c r="AD859" s="1">
        <f>IF(ESTIMATIVA[[#This Row],[QT_AREA_REAL]]&gt;0,ESTIMATIVA[[#This Row],[QT_CANA_REAL]],ESTIMATIVA[[#This Row],[QT_CANA_EST]])</f>
        <v>2911.92</v>
      </c>
      <c r="AE859" s="1">
        <f>IF(ESTIMATIVA[[#This Row],[QT_AREA_REAL]]&gt;0,ESTIMATIVA[[#This Row],[QT_CANA_REAL]],ESTIMATIVA[[#This Row],[QT_CANA_REST1]])</f>
        <v>2911.92</v>
      </c>
      <c r="AF859" s="1">
        <f>IF(ESTIMATIVA[[#This Row],[QT_AREA_REAL]]&gt;0,ESTIMATIVA[[#This Row],[QT_CANA_REAL]],ESTIMATIVA[[#This Row],[QT_CANA_REST2]])</f>
        <v>2911.92</v>
      </c>
      <c r="AG859" s="1" t="str">
        <f>IF(COUNTIFS(GEADA!A:A,VALUE(ESTIMATIVA[[#This Row],[CD_UPNIVEL1]]&amp;TEXT(ESTIMATIVA[[#This Row],[CD_UPNIVEL3]],"0000")))&gt;0,"S","N")</f>
        <v>N</v>
      </c>
      <c r="AH85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59" s="55" t="str">
        <f>IF(ESTIMATIVA[[#This Row],[TP_CULTIVO]]="Irrigado",_xlfn.MAXIFS(IRRIGADO!J:J,IRRIGADO!C:C,ESTIMATIVA[[#This Row],[CD_UPNIVEL1]],IRRIGADO!E:E,ESTIMATIVA[[#This Row],[CD_UPNIVEL3]]),"")</f>
        <v/>
      </c>
      <c r="AJ85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59" s="1">
        <f>COUNTIFS(Apresentação!$E$23:$E$29,ESTIMATIVA[[#This Row],[CD_UPNIVEL1]])</f>
        <v>0</v>
      </c>
    </row>
    <row r="860" spans="1:37" x14ac:dyDescent="0.3">
      <c r="A860">
        <v>20433</v>
      </c>
      <c r="B860" t="s">
        <v>47</v>
      </c>
      <c r="C860">
        <v>54</v>
      </c>
      <c r="D860">
        <v>1</v>
      </c>
      <c r="E860" t="s">
        <v>264</v>
      </c>
      <c r="F860" s="85" t="s">
        <v>331</v>
      </c>
      <c r="G860"/>
      <c r="H860" t="s">
        <v>294</v>
      </c>
      <c r="I860" t="s">
        <v>222</v>
      </c>
      <c r="J860" t="s">
        <v>176</v>
      </c>
      <c r="K860" s="1">
        <v>2.48</v>
      </c>
      <c r="L860" s="1">
        <v>0</v>
      </c>
      <c r="M860" s="1">
        <v>0</v>
      </c>
      <c r="N860" s="1">
        <v>2.48</v>
      </c>
      <c r="O860" s="1">
        <v>287.68</v>
      </c>
      <c r="P860" s="1">
        <v>0</v>
      </c>
      <c r="Q860" s="1">
        <v>0</v>
      </c>
      <c r="R860" s="1">
        <v>238.79</v>
      </c>
      <c r="S860" t="s">
        <v>12</v>
      </c>
      <c r="T860" s="13">
        <v>45851</v>
      </c>
      <c r="U860" s="1" t="str">
        <f>IF(ESTIMATIVA[[#This Row],[QT_AREA_REAL]]&gt;0,"1- Colhido","2- à Colher")</f>
        <v>1- Colhido</v>
      </c>
      <c r="V860" s="1" t="str">
        <f>IF(ESTIMATIVA[[#This Row],[QT_AREA_REST1]]&gt;0,"Reestimativa 1",IF(ESTIMATIVA[[#This Row],[QT_AREA_REAL]]=0,"Reestimativa 1","Realizado"))</f>
        <v>Realizado</v>
      </c>
      <c r="W860" s="1" t="str">
        <f>IF(ESTIMATIVA[[#This Row],[QT_AREA_REST2]]&gt;0,"Reestimativa 2",IF(ESTIMATIVA[[#This Row],[QT_AREA_REAL]]=0,"Reestimativa 2","Realizado"))</f>
        <v>Realizado</v>
      </c>
      <c r="X860" s="1">
        <f>ESTIMATIVA[[#This Row],[QT_AREA_EST]]</f>
        <v>2.48</v>
      </c>
      <c r="Y860" s="1">
        <f>IF(ESTIMATIVA[[#This Row],[QT_AREA_REST1]]&gt;0,ESTIMATIVA[[#This Row],[QT_AREA_REST1]],
  IF(ESTIMATIVA[[#This Row],[QT_AREA_REAL]]&gt;0,ESTIMATIVA[[#This Row],[QT_AREA_REAL]],ESTIMATIVA[[#This Row],[QT_AREA_EST]]))</f>
        <v>2.48</v>
      </c>
      <c r="Z86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2.48</v>
      </c>
      <c r="AA860" s="1">
        <f>ESTIMATIVA[[#This Row],[QT_CANA_EST]]</f>
        <v>287.68</v>
      </c>
      <c r="AB860" s="1">
        <f>IF(ESTIMATIVA[[#This Row],[QT_CANA_REST1]]&gt;0,ESTIMATIVA[[#This Row],[QT_CANA_REST1]],
  IF(ESTIMATIVA[[#This Row],[QT_CANA_REAL]]&gt;0,ESTIMATIVA[[#This Row],[QT_CANA_REAL]],ESTIMATIVA[[#This Row],[QT_CANA_EST]]))</f>
        <v>238.79</v>
      </c>
      <c r="AC86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238.79</v>
      </c>
      <c r="AD860" s="1">
        <f>IF(ESTIMATIVA[[#This Row],[QT_AREA_REAL]]&gt;0,ESTIMATIVA[[#This Row],[QT_CANA_REAL]],ESTIMATIVA[[#This Row],[QT_CANA_EST]])</f>
        <v>238.79</v>
      </c>
      <c r="AE860" s="1">
        <f>IF(ESTIMATIVA[[#This Row],[QT_AREA_REAL]]&gt;0,ESTIMATIVA[[#This Row],[QT_CANA_REAL]],ESTIMATIVA[[#This Row],[QT_CANA_REST1]])</f>
        <v>238.79</v>
      </c>
      <c r="AF860" s="1">
        <f>IF(ESTIMATIVA[[#This Row],[QT_AREA_REAL]]&gt;0,ESTIMATIVA[[#This Row],[QT_CANA_REAL]],ESTIMATIVA[[#This Row],[QT_CANA_REST2]])</f>
        <v>238.79</v>
      </c>
      <c r="AG860" s="1" t="str">
        <f>IF(COUNTIFS(GEADA!A:A,VALUE(ESTIMATIVA[[#This Row],[CD_UPNIVEL1]]&amp;TEXT(ESTIMATIVA[[#This Row],[CD_UPNIVEL3]],"0000")))&gt;0,"S","N")</f>
        <v>N</v>
      </c>
      <c r="AH86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60" s="55" t="str">
        <f>IF(ESTIMATIVA[[#This Row],[TP_CULTIVO]]="Irrigado",_xlfn.MAXIFS(IRRIGADO!J:J,IRRIGADO!C:C,ESTIMATIVA[[#This Row],[CD_UPNIVEL1]],IRRIGADO!E:E,ESTIMATIVA[[#This Row],[CD_UPNIVEL3]]),"")</f>
        <v/>
      </c>
      <c r="AJ86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60" s="1">
        <f>COUNTIFS(Apresentação!$E$23:$E$29,ESTIMATIVA[[#This Row],[CD_UPNIVEL1]])</f>
        <v>0</v>
      </c>
    </row>
    <row r="861" spans="1:37" x14ac:dyDescent="0.3">
      <c r="A861">
        <v>20433</v>
      </c>
      <c r="B861" t="s">
        <v>47</v>
      </c>
      <c r="C861">
        <v>55</v>
      </c>
      <c r="D861">
        <v>1</v>
      </c>
      <c r="E861" t="s">
        <v>264</v>
      </c>
      <c r="F861" s="85" t="s">
        <v>331</v>
      </c>
      <c r="G861"/>
      <c r="H861" t="s">
        <v>294</v>
      </c>
      <c r="I861" t="s">
        <v>222</v>
      </c>
      <c r="J861" t="s">
        <v>176</v>
      </c>
      <c r="K861" s="1">
        <v>11.11</v>
      </c>
      <c r="L861" s="1">
        <v>0</v>
      </c>
      <c r="M861" s="1">
        <v>0</v>
      </c>
      <c r="N861" s="1">
        <v>11.11</v>
      </c>
      <c r="O861" s="1">
        <v>1288.76</v>
      </c>
      <c r="P861" s="1">
        <v>0</v>
      </c>
      <c r="Q861" s="1">
        <v>0</v>
      </c>
      <c r="R861" s="1">
        <v>1070.04</v>
      </c>
      <c r="S861" t="s">
        <v>12</v>
      </c>
      <c r="T861" s="13">
        <v>45851</v>
      </c>
      <c r="U861" s="1" t="str">
        <f>IF(ESTIMATIVA[[#This Row],[QT_AREA_REAL]]&gt;0,"1- Colhido","2- à Colher")</f>
        <v>1- Colhido</v>
      </c>
      <c r="V861" s="1" t="str">
        <f>IF(ESTIMATIVA[[#This Row],[QT_AREA_REST1]]&gt;0,"Reestimativa 1",IF(ESTIMATIVA[[#This Row],[QT_AREA_REAL]]=0,"Reestimativa 1","Realizado"))</f>
        <v>Realizado</v>
      </c>
      <c r="W861" s="1" t="str">
        <f>IF(ESTIMATIVA[[#This Row],[QT_AREA_REST2]]&gt;0,"Reestimativa 2",IF(ESTIMATIVA[[#This Row],[QT_AREA_REAL]]=0,"Reestimativa 2","Realizado"))</f>
        <v>Realizado</v>
      </c>
      <c r="X861" s="1">
        <f>ESTIMATIVA[[#This Row],[QT_AREA_EST]]</f>
        <v>11.11</v>
      </c>
      <c r="Y861" s="1">
        <f>IF(ESTIMATIVA[[#This Row],[QT_AREA_REST1]]&gt;0,ESTIMATIVA[[#This Row],[QT_AREA_REST1]],
  IF(ESTIMATIVA[[#This Row],[QT_AREA_REAL]]&gt;0,ESTIMATIVA[[#This Row],[QT_AREA_REAL]],ESTIMATIVA[[#This Row],[QT_AREA_EST]]))</f>
        <v>11.11</v>
      </c>
      <c r="Z86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11.11</v>
      </c>
      <c r="AA861" s="1">
        <f>ESTIMATIVA[[#This Row],[QT_CANA_EST]]</f>
        <v>1288.76</v>
      </c>
      <c r="AB861" s="1">
        <f>IF(ESTIMATIVA[[#This Row],[QT_CANA_REST1]]&gt;0,ESTIMATIVA[[#This Row],[QT_CANA_REST1]],
  IF(ESTIMATIVA[[#This Row],[QT_CANA_REAL]]&gt;0,ESTIMATIVA[[#This Row],[QT_CANA_REAL]],ESTIMATIVA[[#This Row],[QT_CANA_EST]]))</f>
        <v>1070.04</v>
      </c>
      <c r="AC86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1070.04</v>
      </c>
      <c r="AD861" s="1">
        <f>IF(ESTIMATIVA[[#This Row],[QT_AREA_REAL]]&gt;0,ESTIMATIVA[[#This Row],[QT_CANA_REAL]],ESTIMATIVA[[#This Row],[QT_CANA_EST]])</f>
        <v>1070.04</v>
      </c>
      <c r="AE861" s="1">
        <f>IF(ESTIMATIVA[[#This Row],[QT_AREA_REAL]]&gt;0,ESTIMATIVA[[#This Row],[QT_CANA_REAL]],ESTIMATIVA[[#This Row],[QT_CANA_REST1]])</f>
        <v>1070.04</v>
      </c>
      <c r="AF861" s="1">
        <f>IF(ESTIMATIVA[[#This Row],[QT_AREA_REAL]]&gt;0,ESTIMATIVA[[#This Row],[QT_CANA_REAL]],ESTIMATIVA[[#This Row],[QT_CANA_REST2]])</f>
        <v>1070.04</v>
      </c>
      <c r="AG861" s="1" t="str">
        <f>IF(COUNTIFS(GEADA!A:A,VALUE(ESTIMATIVA[[#This Row],[CD_UPNIVEL1]]&amp;TEXT(ESTIMATIVA[[#This Row],[CD_UPNIVEL3]],"0000")))&gt;0,"S","N")</f>
        <v>N</v>
      </c>
      <c r="AH86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61" s="55" t="str">
        <f>IF(ESTIMATIVA[[#This Row],[TP_CULTIVO]]="Irrigado",_xlfn.MAXIFS(IRRIGADO!J:J,IRRIGADO!C:C,ESTIMATIVA[[#This Row],[CD_UPNIVEL1]],IRRIGADO!E:E,ESTIMATIVA[[#This Row],[CD_UPNIVEL3]]),"")</f>
        <v/>
      </c>
      <c r="AJ86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61" s="1">
        <f>COUNTIFS(Apresentação!$E$23:$E$29,ESTIMATIVA[[#This Row],[CD_UPNIVEL1]])</f>
        <v>0</v>
      </c>
    </row>
    <row r="862" spans="1:37" x14ac:dyDescent="0.3">
      <c r="A862">
        <v>20433</v>
      </c>
      <c r="B862" t="s">
        <v>47</v>
      </c>
      <c r="C862">
        <v>58</v>
      </c>
      <c r="D862">
        <v>1</v>
      </c>
      <c r="E862" t="s">
        <v>264</v>
      </c>
      <c r="F862" s="85" t="s">
        <v>331</v>
      </c>
      <c r="G862"/>
      <c r="H862" t="s">
        <v>294</v>
      </c>
      <c r="I862" t="s">
        <v>222</v>
      </c>
      <c r="J862" t="s">
        <v>176</v>
      </c>
      <c r="K862" s="1">
        <v>22.74</v>
      </c>
      <c r="L862" s="1">
        <v>0</v>
      </c>
      <c r="M862" s="1">
        <v>0</v>
      </c>
      <c r="N862" s="1">
        <v>22.74</v>
      </c>
      <c r="O862" s="1">
        <v>2637.84</v>
      </c>
      <c r="P862" s="1">
        <v>0</v>
      </c>
      <c r="Q862" s="1">
        <v>0</v>
      </c>
      <c r="R862" s="1">
        <v>2626.81</v>
      </c>
      <c r="S862" t="s">
        <v>12</v>
      </c>
      <c r="T862" s="13">
        <v>45851</v>
      </c>
      <c r="U862" s="1" t="str">
        <f>IF(ESTIMATIVA[[#This Row],[QT_AREA_REAL]]&gt;0,"1- Colhido","2- à Colher")</f>
        <v>1- Colhido</v>
      </c>
      <c r="V862" s="1" t="str">
        <f>IF(ESTIMATIVA[[#This Row],[QT_AREA_REST1]]&gt;0,"Reestimativa 1",IF(ESTIMATIVA[[#This Row],[QT_AREA_REAL]]=0,"Reestimativa 1","Realizado"))</f>
        <v>Realizado</v>
      </c>
      <c r="W862" s="1" t="str">
        <f>IF(ESTIMATIVA[[#This Row],[QT_AREA_REST2]]&gt;0,"Reestimativa 2",IF(ESTIMATIVA[[#This Row],[QT_AREA_REAL]]=0,"Reestimativa 2","Realizado"))</f>
        <v>Realizado</v>
      </c>
      <c r="X862" s="1">
        <f>ESTIMATIVA[[#This Row],[QT_AREA_EST]]</f>
        <v>22.74</v>
      </c>
      <c r="Y862" s="1">
        <f>IF(ESTIMATIVA[[#This Row],[QT_AREA_REST1]]&gt;0,ESTIMATIVA[[#This Row],[QT_AREA_REST1]],
  IF(ESTIMATIVA[[#This Row],[QT_AREA_REAL]]&gt;0,ESTIMATIVA[[#This Row],[QT_AREA_REAL]],ESTIMATIVA[[#This Row],[QT_AREA_EST]]))</f>
        <v>22.74</v>
      </c>
      <c r="Z86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22.74</v>
      </c>
      <c r="AA862" s="1">
        <f>ESTIMATIVA[[#This Row],[QT_CANA_EST]]</f>
        <v>2637.84</v>
      </c>
      <c r="AB862" s="1">
        <f>IF(ESTIMATIVA[[#This Row],[QT_CANA_REST1]]&gt;0,ESTIMATIVA[[#This Row],[QT_CANA_REST1]],
  IF(ESTIMATIVA[[#This Row],[QT_CANA_REAL]]&gt;0,ESTIMATIVA[[#This Row],[QT_CANA_REAL]],ESTIMATIVA[[#This Row],[QT_CANA_EST]]))</f>
        <v>2626.81</v>
      </c>
      <c r="AC86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2626.81</v>
      </c>
      <c r="AD862" s="1">
        <f>IF(ESTIMATIVA[[#This Row],[QT_AREA_REAL]]&gt;0,ESTIMATIVA[[#This Row],[QT_CANA_REAL]],ESTIMATIVA[[#This Row],[QT_CANA_EST]])</f>
        <v>2626.81</v>
      </c>
      <c r="AE862" s="1">
        <f>IF(ESTIMATIVA[[#This Row],[QT_AREA_REAL]]&gt;0,ESTIMATIVA[[#This Row],[QT_CANA_REAL]],ESTIMATIVA[[#This Row],[QT_CANA_REST1]])</f>
        <v>2626.81</v>
      </c>
      <c r="AF862" s="1">
        <f>IF(ESTIMATIVA[[#This Row],[QT_AREA_REAL]]&gt;0,ESTIMATIVA[[#This Row],[QT_CANA_REAL]],ESTIMATIVA[[#This Row],[QT_CANA_REST2]])</f>
        <v>2626.81</v>
      </c>
      <c r="AG862" s="1" t="str">
        <f>IF(COUNTIFS(GEADA!A:A,VALUE(ESTIMATIVA[[#This Row],[CD_UPNIVEL1]]&amp;TEXT(ESTIMATIVA[[#This Row],[CD_UPNIVEL3]],"0000")))&gt;0,"S","N")</f>
        <v>N</v>
      </c>
      <c r="AH86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62" s="55" t="str">
        <f>IF(ESTIMATIVA[[#This Row],[TP_CULTIVO]]="Irrigado",_xlfn.MAXIFS(IRRIGADO!J:J,IRRIGADO!C:C,ESTIMATIVA[[#This Row],[CD_UPNIVEL1]],IRRIGADO!E:E,ESTIMATIVA[[#This Row],[CD_UPNIVEL3]]),"")</f>
        <v/>
      </c>
      <c r="AJ86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62" s="1">
        <f>COUNTIFS(Apresentação!$E$23:$E$29,ESTIMATIVA[[#This Row],[CD_UPNIVEL1]])</f>
        <v>0</v>
      </c>
    </row>
    <row r="863" spans="1:37" x14ac:dyDescent="0.3">
      <c r="A863">
        <v>20433</v>
      </c>
      <c r="B863" t="s">
        <v>47</v>
      </c>
      <c r="C863">
        <v>59</v>
      </c>
      <c r="D863">
        <v>1</v>
      </c>
      <c r="E863" t="s">
        <v>264</v>
      </c>
      <c r="F863" s="85" t="s">
        <v>331</v>
      </c>
      <c r="G863"/>
      <c r="H863" t="s">
        <v>294</v>
      </c>
      <c r="I863" t="s">
        <v>222</v>
      </c>
      <c r="J863" t="s">
        <v>176</v>
      </c>
      <c r="K863" s="1">
        <v>4.25</v>
      </c>
      <c r="L863" s="1">
        <v>0</v>
      </c>
      <c r="M863" s="1">
        <v>0</v>
      </c>
      <c r="N863" s="1">
        <v>4.25</v>
      </c>
      <c r="O863" s="1">
        <v>493</v>
      </c>
      <c r="P863" s="1">
        <v>0</v>
      </c>
      <c r="Q863" s="1">
        <v>0</v>
      </c>
      <c r="R863" s="1">
        <v>490.97</v>
      </c>
      <c r="S863" t="s">
        <v>12</v>
      </c>
      <c r="T863" s="13">
        <v>45851</v>
      </c>
      <c r="U863" s="1" t="str">
        <f>IF(ESTIMATIVA[[#This Row],[QT_AREA_REAL]]&gt;0,"1- Colhido","2- à Colher")</f>
        <v>1- Colhido</v>
      </c>
      <c r="V863" s="1" t="str">
        <f>IF(ESTIMATIVA[[#This Row],[QT_AREA_REST1]]&gt;0,"Reestimativa 1",IF(ESTIMATIVA[[#This Row],[QT_AREA_REAL]]=0,"Reestimativa 1","Realizado"))</f>
        <v>Realizado</v>
      </c>
      <c r="W863" s="1" t="str">
        <f>IF(ESTIMATIVA[[#This Row],[QT_AREA_REST2]]&gt;0,"Reestimativa 2",IF(ESTIMATIVA[[#This Row],[QT_AREA_REAL]]=0,"Reestimativa 2","Realizado"))</f>
        <v>Realizado</v>
      </c>
      <c r="X863" s="1">
        <f>ESTIMATIVA[[#This Row],[QT_AREA_EST]]</f>
        <v>4.25</v>
      </c>
      <c r="Y863" s="1">
        <f>IF(ESTIMATIVA[[#This Row],[QT_AREA_REST1]]&gt;0,ESTIMATIVA[[#This Row],[QT_AREA_REST1]],
  IF(ESTIMATIVA[[#This Row],[QT_AREA_REAL]]&gt;0,ESTIMATIVA[[#This Row],[QT_AREA_REAL]],ESTIMATIVA[[#This Row],[QT_AREA_EST]]))</f>
        <v>4.25</v>
      </c>
      <c r="Z86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4.25</v>
      </c>
      <c r="AA863" s="1">
        <f>ESTIMATIVA[[#This Row],[QT_CANA_EST]]</f>
        <v>493</v>
      </c>
      <c r="AB863" s="1">
        <f>IF(ESTIMATIVA[[#This Row],[QT_CANA_REST1]]&gt;0,ESTIMATIVA[[#This Row],[QT_CANA_REST1]],
  IF(ESTIMATIVA[[#This Row],[QT_CANA_REAL]]&gt;0,ESTIMATIVA[[#This Row],[QT_CANA_REAL]],ESTIMATIVA[[#This Row],[QT_CANA_EST]]))</f>
        <v>490.97</v>
      </c>
      <c r="AC86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490.97</v>
      </c>
      <c r="AD863" s="1">
        <f>IF(ESTIMATIVA[[#This Row],[QT_AREA_REAL]]&gt;0,ESTIMATIVA[[#This Row],[QT_CANA_REAL]],ESTIMATIVA[[#This Row],[QT_CANA_EST]])</f>
        <v>490.97</v>
      </c>
      <c r="AE863" s="1">
        <f>IF(ESTIMATIVA[[#This Row],[QT_AREA_REAL]]&gt;0,ESTIMATIVA[[#This Row],[QT_CANA_REAL]],ESTIMATIVA[[#This Row],[QT_CANA_REST1]])</f>
        <v>490.97</v>
      </c>
      <c r="AF863" s="1">
        <f>IF(ESTIMATIVA[[#This Row],[QT_AREA_REAL]]&gt;0,ESTIMATIVA[[#This Row],[QT_CANA_REAL]],ESTIMATIVA[[#This Row],[QT_CANA_REST2]])</f>
        <v>490.97</v>
      </c>
      <c r="AG863" s="1" t="str">
        <f>IF(COUNTIFS(GEADA!A:A,VALUE(ESTIMATIVA[[#This Row],[CD_UPNIVEL1]]&amp;TEXT(ESTIMATIVA[[#This Row],[CD_UPNIVEL3]],"0000")))&gt;0,"S","N")</f>
        <v>N</v>
      </c>
      <c r="AH86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63" s="55" t="str">
        <f>IF(ESTIMATIVA[[#This Row],[TP_CULTIVO]]="Irrigado",_xlfn.MAXIFS(IRRIGADO!J:J,IRRIGADO!C:C,ESTIMATIVA[[#This Row],[CD_UPNIVEL1]],IRRIGADO!E:E,ESTIMATIVA[[#This Row],[CD_UPNIVEL3]]),"")</f>
        <v/>
      </c>
      <c r="AJ86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63" s="1">
        <f>COUNTIFS(Apresentação!$E$23:$E$29,ESTIMATIVA[[#This Row],[CD_UPNIVEL1]])</f>
        <v>0</v>
      </c>
    </row>
    <row r="864" spans="1:37" x14ac:dyDescent="0.3">
      <c r="A864">
        <v>20433</v>
      </c>
      <c r="B864" t="s">
        <v>47</v>
      </c>
      <c r="C864">
        <v>60</v>
      </c>
      <c r="D864">
        <v>1</v>
      </c>
      <c r="E864" t="s">
        <v>264</v>
      </c>
      <c r="F864" s="85" t="s">
        <v>331</v>
      </c>
      <c r="G864"/>
      <c r="H864" t="s">
        <v>294</v>
      </c>
      <c r="I864" t="s">
        <v>222</v>
      </c>
      <c r="J864" t="s">
        <v>176</v>
      </c>
      <c r="K864" s="1">
        <v>20.16</v>
      </c>
      <c r="L864" s="1">
        <v>0</v>
      </c>
      <c r="M864" s="1">
        <v>0</v>
      </c>
      <c r="N864" s="1">
        <v>20.16</v>
      </c>
      <c r="O864" s="1">
        <v>2338.56</v>
      </c>
      <c r="P864" s="1">
        <v>0</v>
      </c>
      <c r="Q864" s="1">
        <v>0</v>
      </c>
      <c r="R864" s="1">
        <v>2297.2399999999998</v>
      </c>
      <c r="S864" t="s">
        <v>12</v>
      </c>
      <c r="T864" s="13">
        <v>45851</v>
      </c>
      <c r="U864" s="1" t="str">
        <f>IF(ESTIMATIVA[[#This Row],[QT_AREA_REAL]]&gt;0,"1- Colhido","2- à Colher")</f>
        <v>1- Colhido</v>
      </c>
      <c r="V864" s="1" t="str">
        <f>IF(ESTIMATIVA[[#This Row],[QT_AREA_REST1]]&gt;0,"Reestimativa 1",IF(ESTIMATIVA[[#This Row],[QT_AREA_REAL]]=0,"Reestimativa 1","Realizado"))</f>
        <v>Realizado</v>
      </c>
      <c r="W864" s="1" t="str">
        <f>IF(ESTIMATIVA[[#This Row],[QT_AREA_REST2]]&gt;0,"Reestimativa 2",IF(ESTIMATIVA[[#This Row],[QT_AREA_REAL]]=0,"Reestimativa 2","Realizado"))</f>
        <v>Realizado</v>
      </c>
      <c r="X864" s="1">
        <f>ESTIMATIVA[[#This Row],[QT_AREA_EST]]</f>
        <v>20.16</v>
      </c>
      <c r="Y864" s="1">
        <f>IF(ESTIMATIVA[[#This Row],[QT_AREA_REST1]]&gt;0,ESTIMATIVA[[#This Row],[QT_AREA_REST1]],
  IF(ESTIMATIVA[[#This Row],[QT_AREA_REAL]]&gt;0,ESTIMATIVA[[#This Row],[QT_AREA_REAL]],ESTIMATIVA[[#This Row],[QT_AREA_EST]]))</f>
        <v>20.16</v>
      </c>
      <c r="Z86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20.16</v>
      </c>
      <c r="AA864" s="1">
        <f>ESTIMATIVA[[#This Row],[QT_CANA_EST]]</f>
        <v>2338.56</v>
      </c>
      <c r="AB864" s="1">
        <f>IF(ESTIMATIVA[[#This Row],[QT_CANA_REST1]]&gt;0,ESTIMATIVA[[#This Row],[QT_CANA_REST1]],
  IF(ESTIMATIVA[[#This Row],[QT_CANA_REAL]]&gt;0,ESTIMATIVA[[#This Row],[QT_CANA_REAL]],ESTIMATIVA[[#This Row],[QT_CANA_EST]]))</f>
        <v>2297.2399999999998</v>
      </c>
      <c r="AC86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2297.2399999999998</v>
      </c>
      <c r="AD864" s="1">
        <f>IF(ESTIMATIVA[[#This Row],[QT_AREA_REAL]]&gt;0,ESTIMATIVA[[#This Row],[QT_CANA_REAL]],ESTIMATIVA[[#This Row],[QT_CANA_EST]])</f>
        <v>2297.2399999999998</v>
      </c>
      <c r="AE864" s="1">
        <f>IF(ESTIMATIVA[[#This Row],[QT_AREA_REAL]]&gt;0,ESTIMATIVA[[#This Row],[QT_CANA_REAL]],ESTIMATIVA[[#This Row],[QT_CANA_REST1]])</f>
        <v>2297.2399999999998</v>
      </c>
      <c r="AF864" s="1">
        <f>IF(ESTIMATIVA[[#This Row],[QT_AREA_REAL]]&gt;0,ESTIMATIVA[[#This Row],[QT_CANA_REAL]],ESTIMATIVA[[#This Row],[QT_CANA_REST2]])</f>
        <v>2297.2399999999998</v>
      </c>
      <c r="AG864" s="1" t="str">
        <f>IF(COUNTIFS(GEADA!A:A,VALUE(ESTIMATIVA[[#This Row],[CD_UPNIVEL1]]&amp;TEXT(ESTIMATIVA[[#This Row],[CD_UPNIVEL3]],"0000")))&gt;0,"S","N")</f>
        <v>N</v>
      </c>
      <c r="AH86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64" s="55" t="str">
        <f>IF(ESTIMATIVA[[#This Row],[TP_CULTIVO]]="Irrigado",_xlfn.MAXIFS(IRRIGADO!J:J,IRRIGADO!C:C,ESTIMATIVA[[#This Row],[CD_UPNIVEL1]],IRRIGADO!E:E,ESTIMATIVA[[#This Row],[CD_UPNIVEL3]]),"")</f>
        <v/>
      </c>
      <c r="AJ86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64" s="1">
        <f>COUNTIFS(Apresentação!$E$23:$E$29,ESTIMATIVA[[#This Row],[CD_UPNIVEL1]])</f>
        <v>0</v>
      </c>
    </row>
    <row r="865" spans="1:37" x14ac:dyDescent="0.3">
      <c r="A865">
        <v>20433</v>
      </c>
      <c r="B865" t="s">
        <v>47</v>
      </c>
      <c r="C865">
        <v>2048</v>
      </c>
      <c r="D865">
        <v>1</v>
      </c>
      <c r="E865" t="s">
        <v>269</v>
      </c>
      <c r="F865" s="85" t="s">
        <v>331</v>
      </c>
      <c r="G865"/>
      <c r="H865" t="s">
        <v>294</v>
      </c>
      <c r="I865" t="s">
        <v>200</v>
      </c>
      <c r="J865" t="s">
        <v>176</v>
      </c>
      <c r="K865" s="1">
        <v>0.48</v>
      </c>
      <c r="L865" s="1">
        <v>0</v>
      </c>
      <c r="M865" s="1">
        <v>0</v>
      </c>
      <c r="N865" s="1">
        <v>0.48</v>
      </c>
      <c r="O865" s="1">
        <v>36</v>
      </c>
      <c r="P865" s="1">
        <v>0</v>
      </c>
      <c r="Q865" s="1">
        <v>0</v>
      </c>
      <c r="R865" s="1">
        <v>37</v>
      </c>
      <c r="S865" t="s">
        <v>12</v>
      </c>
      <c r="T865" s="13">
        <v>45844</v>
      </c>
      <c r="U865" s="1" t="str">
        <f>IF(ESTIMATIVA[[#This Row],[QT_AREA_REAL]]&gt;0,"1- Colhido","2- à Colher")</f>
        <v>1- Colhido</v>
      </c>
      <c r="V865" s="1" t="str">
        <f>IF(ESTIMATIVA[[#This Row],[QT_AREA_REST1]]&gt;0,"Reestimativa 1",IF(ESTIMATIVA[[#This Row],[QT_AREA_REAL]]=0,"Reestimativa 1","Realizado"))</f>
        <v>Realizado</v>
      </c>
      <c r="W865" s="1" t="str">
        <f>IF(ESTIMATIVA[[#This Row],[QT_AREA_REST2]]&gt;0,"Reestimativa 2",IF(ESTIMATIVA[[#This Row],[QT_AREA_REAL]]=0,"Reestimativa 2","Realizado"))</f>
        <v>Realizado</v>
      </c>
      <c r="X865" s="1">
        <f>ESTIMATIVA[[#This Row],[QT_AREA_EST]]</f>
        <v>0.48</v>
      </c>
      <c r="Y865" s="1">
        <f>IF(ESTIMATIVA[[#This Row],[QT_AREA_REST1]]&gt;0,ESTIMATIVA[[#This Row],[QT_AREA_REST1]],
  IF(ESTIMATIVA[[#This Row],[QT_AREA_REAL]]&gt;0,ESTIMATIVA[[#This Row],[QT_AREA_REAL]],ESTIMATIVA[[#This Row],[QT_AREA_EST]]))</f>
        <v>0.48</v>
      </c>
      <c r="Z86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0.48</v>
      </c>
      <c r="AA865" s="1">
        <f>ESTIMATIVA[[#This Row],[QT_CANA_EST]]</f>
        <v>36</v>
      </c>
      <c r="AB865" s="1">
        <f>IF(ESTIMATIVA[[#This Row],[QT_CANA_REST1]]&gt;0,ESTIMATIVA[[#This Row],[QT_CANA_REST1]],
  IF(ESTIMATIVA[[#This Row],[QT_CANA_REAL]]&gt;0,ESTIMATIVA[[#This Row],[QT_CANA_REAL]],ESTIMATIVA[[#This Row],[QT_CANA_EST]]))</f>
        <v>37</v>
      </c>
      <c r="AC86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37</v>
      </c>
      <c r="AD865" s="1">
        <f>IF(ESTIMATIVA[[#This Row],[QT_AREA_REAL]]&gt;0,ESTIMATIVA[[#This Row],[QT_CANA_REAL]],ESTIMATIVA[[#This Row],[QT_CANA_EST]])</f>
        <v>37</v>
      </c>
      <c r="AE865" s="1">
        <f>IF(ESTIMATIVA[[#This Row],[QT_AREA_REAL]]&gt;0,ESTIMATIVA[[#This Row],[QT_CANA_REAL]],ESTIMATIVA[[#This Row],[QT_CANA_REST1]])</f>
        <v>37</v>
      </c>
      <c r="AF865" s="1">
        <f>IF(ESTIMATIVA[[#This Row],[QT_AREA_REAL]]&gt;0,ESTIMATIVA[[#This Row],[QT_CANA_REAL]],ESTIMATIVA[[#This Row],[QT_CANA_REST2]])</f>
        <v>37</v>
      </c>
      <c r="AG865" s="1" t="str">
        <f>IF(COUNTIFS(GEADA!A:A,VALUE(ESTIMATIVA[[#This Row],[CD_UPNIVEL1]]&amp;TEXT(ESTIMATIVA[[#This Row],[CD_UPNIVEL3]],"0000")))&gt;0,"S","N")</f>
        <v>N</v>
      </c>
      <c r="AH86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65" s="55" t="str">
        <f>IF(ESTIMATIVA[[#This Row],[TP_CULTIVO]]="Irrigado",_xlfn.MAXIFS(IRRIGADO!J:J,IRRIGADO!C:C,ESTIMATIVA[[#This Row],[CD_UPNIVEL1]],IRRIGADO!E:E,ESTIMATIVA[[#This Row],[CD_UPNIVEL3]]),"")</f>
        <v/>
      </c>
      <c r="AJ86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65" s="1">
        <f>COUNTIFS(Apresentação!$E$23:$E$29,ESTIMATIVA[[#This Row],[CD_UPNIVEL1]])</f>
        <v>0</v>
      </c>
    </row>
    <row r="866" spans="1:37" x14ac:dyDescent="0.3">
      <c r="A866">
        <v>20433</v>
      </c>
      <c r="B866" t="s">
        <v>47</v>
      </c>
      <c r="C866">
        <v>2049</v>
      </c>
      <c r="D866">
        <v>1</v>
      </c>
      <c r="E866" t="s">
        <v>269</v>
      </c>
      <c r="F866" s="85" t="s">
        <v>331</v>
      </c>
      <c r="G866"/>
      <c r="H866" t="s">
        <v>294</v>
      </c>
      <c r="I866" t="s">
        <v>200</v>
      </c>
      <c r="J866" t="s">
        <v>176</v>
      </c>
      <c r="K866" s="1">
        <v>0.28999999999999998</v>
      </c>
      <c r="L866" s="1">
        <v>0</v>
      </c>
      <c r="M866" s="1">
        <v>0</v>
      </c>
      <c r="N866" s="1">
        <v>0.28999999999999998</v>
      </c>
      <c r="O866" s="1">
        <v>21.75</v>
      </c>
      <c r="P866" s="1">
        <v>0</v>
      </c>
      <c r="Q866" s="1">
        <v>0</v>
      </c>
      <c r="R866" s="1">
        <v>22.61</v>
      </c>
      <c r="S866" t="s">
        <v>12</v>
      </c>
      <c r="T866" s="13">
        <v>45844</v>
      </c>
      <c r="U866" s="1" t="str">
        <f>IF(ESTIMATIVA[[#This Row],[QT_AREA_REAL]]&gt;0,"1- Colhido","2- à Colher")</f>
        <v>1- Colhido</v>
      </c>
      <c r="V866" s="1" t="str">
        <f>IF(ESTIMATIVA[[#This Row],[QT_AREA_REST1]]&gt;0,"Reestimativa 1",IF(ESTIMATIVA[[#This Row],[QT_AREA_REAL]]=0,"Reestimativa 1","Realizado"))</f>
        <v>Realizado</v>
      </c>
      <c r="W866" s="1" t="str">
        <f>IF(ESTIMATIVA[[#This Row],[QT_AREA_REST2]]&gt;0,"Reestimativa 2",IF(ESTIMATIVA[[#This Row],[QT_AREA_REAL]]=0,"Reestimativa 2","Realizado"))</f>
        <v>Realizado</v>
      </c>
      <c r="X866" s="1">
        <f>ESTIMATIVA[[#This Row],[QT_AREA_EST]]</f>
        <v>0.28999999999999998</v>
      </c>
      <c r="Y866" s="1">
        <f>IF(ESTIMATIVA[[#This Row],[QT_AREA_REST1]]&gt;0,ESTIMATIVA[[#This Row],[QT_AREA_REST1]],
  IF(ESTIMATIVA[[#This Row],[QT_AREA_REAL]]&gt;0,ESTIMATIVA[[#This Row],[QT_AREA_REAL]],ESTIMATIVA[[#This Row],[QT_AREA_EST]]))</f>
        <v>0.28999999999999998</v>
      </c>
      <c r="Z86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0.28999999999999998</v>
      </c>
      <c r="AA866" s="1">
        <f>ESTIMATIVA[[#This Row],[QT_CANA_EST]]</f>
        <v>21.75</v>
      </c>
      <c r="AB866" s="1">
        <f>IF(ESTIMATIVA[[#This Row],[QT_CANA_REST1]]&gt;0,ESTIMATIVA[[#This Row],[QT_CANA_REST1]],
  IF(ESTIMATIVA[[#This Row],[QT_CANA_REAL]]&gt;0,ESTIMATIVA[[#This Row],[QT_CANA_REAL]],ESTIMATIVA[[#This Row],[QT_CANA_EST]]))</f>
        <v>22.61</v>
      </c>
      <c r="AC86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22.61</v>
      </c>
      <c r="AD866" s="1">
        <f>IF(ESTIMATIVA[[#This Row],[QT_AREA_REAL]]&gt;0,ESTIMATIVA[[#This Row],[QT_CANA_REAL]],ESTIMATIVA[[#This Row],[QT_CANA_EST]])</f>
        <v>22.61</v>
      </c>
      <c r="AE866" s="1">
        <f>IF(ESTIMATIVA[[#This Row],[QT_AREA_REAL]]&gt;0,ESTIMATIVA[[#This Row],[QT_CANA_REAL]],ESTIMATIVA[[#This Row],[QT_CANA_REST1]])</f>
        <v>22.61</v>
      </c>
      <c r="AF866" s="1">
        <f>IF(ESTIMATIVA[[#This Row],[QT_AREA_REAL]]&gt;0,ESTIMATIVA[[#This Row],[QT_CANA_REAL]],ESTIMATIVA[[#This Row],[QT_CANA_REST2]])</f>
        <v>22.61</v>
      </c>
      <c r="AG866" s="1" t="str">
        <f>IF(COUNTIFS(GEADA!A:A,VALUE(ESTIMATIVA[[#This Row],[CD_UPNIVEL1]]&amp;TEXT(ESTIMATIVA[[#This Row],[CD_UPNIVEL3]],"0000")))&gt;0,"S","N")</f>
        <v>N</v>
      </c>
      <c r="AH86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66" s="55" t="str">
        <f>IF(ESTIMATIVA[[#This Row],[TP_CULTIVO]]="Irrigado",_xlfn.MAXIFS(IRRIGADO!J:J,IRRIGADO!C:C,ESTIMATIVA[[#This Row],[CD_UPNIVEL1]],IRRIGADO!E:E,ESTIMATIVA[[#This Row],[CD_UPNIVEL3]]),"")</f>
        <v/>
      </c>
      <c r="AJ86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66" s="1">
        <f>COUNTIFS(Apresentação!$E$23:$E$29,ESTIMATIVA[[#This Row],[CD_UPNIVEL1]])</f>
        <v>0</v>
      </c>
    </row>
    <row r="867" spans="1:37" x14ac:dyDescent="0.3">
      <c r="A867">
        <v>20434</v>
      </c>
      <c r="B867" t="s">
        <v>48</v>
      </c>
      <c r="C867">
        <v>1</v>
      </c>
      <c r="D867">
        <v>5</v>
      </c>
      <c r="E867" t="s">
        <v>268</v>
      </c>
      <c r="F867" s="85" t="s">
        <v>331</v>
      </c>
      <c r="G867"/>
      <c r="H867" t="s">
        <v>294</v>
      </c>
      <c r="I867" t="s">
        <v>221</v>
      </c>
      <c r="J867" t="s">
        <v>176</v>
      </c>
      <c r="K867" s="1">
        <v>11.4</v>
      </c>
      <c r="L867" s="1">
        <v>0</v>
      </c>
      <c r="M867" s="1">
        <v>0</v>
      </c>
      <c r="N867" s="1">
        <v>11.4</v>
      </c>
      <c r="O867" s="1">
        <v>684</v>
      </c>
      <c r="P867" s="1">
        <v>0</v>
      </c>
      <c r="Q867" s="1">
        <v>0</v>
      </c>
      <c r="R867" s="1">
        <v>878.39</v>
      </c>
      <c r="S867" t="s">
        <v>12</v>
      </c>
      <c r="T867" s="13">
        <v>45746</v>
      </c>
      <c r="U867" s="1" t="str">
        <f>IF(ESTIMATIVA[[#This Row],[QT_AREA_REAL]]&gt;0,"1- Colhido","2- à Colher")</f>
        <v>1- Colhido</v>
      </c>
      <c r="V867" s="1" t="str">
        <f>IF(ESTIMATIVA[[#This Row],[QT_AREA_REST1]]&gt;0,"Reestimativa 1",IF(ESTIMATIVA[[#This Row],[QT_AREA_REAL]]=0,"Reestimativa 1","Realizado"))</f>
        <v>Realizado</v>
      </c>
      <c r="W867" s="1" t="str">
        <f>IF(ESTIMATIVA[[#This Row],[QT_AREA_REST2]]&gt;0,"Reestimativa 2",IF(ESTIMATIVA[[#This Row],[QT_AREA_REAL]]=0,"Reestimativa 2","Realizado"))</f>
        <v>Realizado</v>
      </c>
      <c r="X867" s="1">
        <f>ESTIMATIVA[[#This Row],[QT_AREA_EST]]</f>
        <v>11.4</v>
      </c>
      <c r="Y867" s="1">
        <f>IF(ESTIMATIVA[[#This Row],[QT_AREA_REST1]]&gt;0,ESTIMATIVA[[#This Row],[QT_AREA_REST1]],
  IF(ESTIMATIVA[[#This Row],[QT_AREA_REAL]]&gt;0,ESTIMATIVA[[#This Row],[QT_AREA_REAL]],ESTIMATIVA[[#This Row],[QT_AREA_EST]]))</f>
        <v>11.4</v>
      </c>
      <c r="Z86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11.4</v>
      </c>
      <c r="AA867" s="1">
        <f>ESTIMATIVA[[#This Row],[QT_CANA_EST]]</f>
        <v>684</v>
      </c>
      <c r="AB867" s="1">
        <f>IF(ESTIMATIVA[[#This Row],[QT_CANA_REST1]]&gt;0,ESTIMATIVA[[#This Row],[QT_CANA_REST1]],
  IF(ESTIMATIVA[[#This Row],[QT_CANA_REAL]]&gt;0,ESTIMATIVA[[#This Row],[QT_CANA_REAL]],ESTIMATIVA[[#This Row],[QT_CANA_EST]]))</f>
        <v>878.39</v>
      </c>
      <c r="AC86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878.39</v>
      </c>
      <c r="AD867" s="1">
        <f>IF(ESTIMATIVA[[#This Row],[QT_AREA_REAL]]&gt;0,ESTIMATIVA[[#This Row],[QT_CANA_REAL]],ESTIMATIVA[[#This Row],[QT_CANA_EST]])</f>
        <v>878.39</v>
      </c>
      <c r="AE867" s="1">
        <f>IF(ESTIMATIVA[[#This Row],[QT_AREA_REAL]]&gt;0,ESTIMATIVA[[#This Row],[QT_CANA_REAL]],ESTIMATIVA[[#This Row],[QT_CANA_REST1]])</f>
        <v>878.39</v>
      </c>
      <c r="AF867" s="1">
        <f>IF(ESTIMATIVA[[#This Row],[QT_AREA_REAL]]&gt;0,ESTIMATIVA[[#This Row],[QT_CANA_REAL]],ESTIMATIVA[[#This Row],[QT_CANA_REST2]])</f>
        <v>878.39</v>
      </c>
      <c r="AG867" s="1" t="str">
        <f>IF(COUNTIFS(GEADA!A:A,VALUE(ESTIMATIVA[[#This Row],[CD_UPNIVEL1]]&amp;TEXT(ESTIMATIVA[[#This Row],[CD_UPNIVEL3]],"0000")))&gt;0,"S","N")</f>
        <v>N</v>
      </c>
      <c r="AH86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67" s="55" t="str">
        <f>IF(ESTIMATIVA[[#This Row],[TP_CULTIVO]]="Irrigado",_xlfn.MAXIFS(IRRIGADO!J:J,IRRIGADO!C:C,ESTIMATIVA[[#This Row],[CD_UPNIVEL1]],IRRIGADO!E:E,ESTIMATIVA[[#This Row],[CD_UPNIVEL3]]),"")</f>
        <v/>
      </c>
      <c r="AJ86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67" s="1">
        <f>COUNTIFS(Apresentação!$E$23:$E$29,ESTIMATIVA[[#This Row],[CD_UPNIVEL1]])</f>
        <v>0</v>
      </c>
    </row>
    <row r="868" spans="1:37" x14ac:dyDescent="0.3">
      <c r="A868">
        <v>20434</v>
      </c>
      <c r="B868" t="s">
        <v>48</v>
      </c>
      <c r="C868">
        <v>2</v>
      </c>
      <c r="D868">
        <v>5</v>
      </c>
      <c r="E868" t="s">
        <v>268</v>
      </c>
      <c r="F868" s="85" t="s">
        <v>331</v>
      </c>
      <c r="G868"/>
      <c r="H868" t="s">
        <v>294</v>
      </c>
      <c r="I868" t="s">
        <v>221</v>
      </c>
      <c r="J868" t="s">
        <v>176</v>
      </c>
      <c r="K868" s="1">
        <v>8.26</v>
      </c>
      <c r="L868" s="1">
        <v>0</v>
      </c>
      <c r="M868" s="1">
        <v>0</v>
      </c>
      <c r="N868" s="1">
        <v>8.26</v>
      </c>
      <c r="O868" s="1">
        <v>495.6</v>
      </c>
      <c r="P868" s="1">
        <v>0</v>
      </c>
      <c r="Q868" s="1">
        <v>0</v>
      </c>
      <c r="R868" s="1">
        <v>382.5</v>
      </c>
      <c r="S868" t="s">
        <v>12</v>
      </c>
      <c r="T868" s="13">
        <v>45739</v>
      </c>
      <c r="U868" s="1" t="str">
        <f>IF(ESTIMATIVA[[#This Row],[QT_AREA_REAL]]&gt;0,"1- Colhido","2- à Colher")</f>
        <v>1- Colhido</v>
      </c>
      <c r="V868" s="1" t="str">
        <f>IF(ESTIMATIVA[[#This Row],[QT_AREA_REST1]]&gt;0,"Reestimativa 1",IF(ESTIMATIVA[[#This Row],[QT_AREA_REAL]]=0,"Reestimativa 1","Realizado"))</f>
        <v>Realizado</v>
      </c>
      <c r="W868" s="1" t="str">
        <f>IF(ESTIMATIVA[[#This Row],[QT_AREA_REST2]]&gt;0,"Reestimativa 2",IF(ESTIMATIVA[[#This Row],[QT_AREA_REAL]]=0,"Reestimativa 2","Realizado"))</f>
        <v>Realizado</v>
      </c>
      <c r="X868" s="1">
        <f>ESTIMATIVA[[#This Row],[QT_AREA_EST]]</f>
        <v>8.26</v>
      </c>
      <c r="Y868" s="1">
        <f>IF(ESTIMATIVA[[#This Row],[QT_AREA_REST1]]&gt;0,ESTIMATIVA[[#This Row],[QT_AREA_REST1]],
  IF(ESTIMATIVA[[#This Row],[QT_AREA_REAL]]&gt;0,ESTIMATIVA[[#This Row],[QT_AREA_REAL]],ESTIMATIVA[[#This Row],[QT_AREA_EST]]))</f>
        <v>8.26</v>
      </c>
      <c r="Z86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8.26</v>
      </c>
      <c r="AA868" s="1">
        <f>ESTIMATIVA[[#This Row],[QT_CANA_EST]]</f>
        <v>495.6</v>
      </c>
      <c r="AB868" s="1">
        <f>IF(ESTIMATIVA[[#This Row],[QT_CANA_REST1]]&gt;0,ESTIMATIVA[[#This Row],[QT_CANA_REST1]],
  IF(ESTIMATIVA[[#This Row],[QT_CANA_REAL]]&gt;0,ESTIMATIVA[[#This Row],[QT_CANA_REAL]],ESTIMATIVA[[#This Row],[QT_CANA_EST]]))</f>
        <v>382.5</v>
      </c>
      <c r="AC86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382.5</v>
      </c>
      <c r="AD868" s="1">
        <f>IF(ESTIMATIVA[[#This Row],[QT_AREA_REAL]]&gt;0,ESTIMATIVA[[#This Row],[QT_CANA_REAL]],ESTIMATIVA[[#This Row],[QT_CANA_EST]])</f>
        <v>382.5</v>
      </c>
      <c r="AE868" s="1">
        <f>IF(ESTIMATIVA[[#This Row],[QT_AREA_REAL]]&gt;0,ESTIMATIVA[[#This Row],[QT_CANA_REAL]],ESTIMATIVA[[#This Row],[QT_CANA_REST1]])</f>
        <v>382.5</v>
      </c>
      <c r="AF868" s="1">
        <f>IF(ESTIMATIVA[[#This Row],[QT_AREA_REAL]]&gt;0,ESTIMATIVA[[#This Row],[QT_CANA_REAL]],ESTIMATIVA[[#This Row],[QT_CANA_REST2]])</f>
        <v>382.5</v>
      </c>
      <c r="AG868" s="1" t="str">
        <f>IF(COUNTIFS(GEADA!A:A,VALUE(ESTIMATIVA[[#This Row],[CD_UPNIVEL1]]&amp;TEXT(ESTIMATIVA[[#This Row],[CD_UPNIVEL3]],"0000")))&gt;0,"S","N")</f>
        <v>N</v>
      </c>
      <c r="AH86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68" s="55" t="str">
        <f>IF(ESTIMATIVA[[#This Row],[TP_CULTIVO]]="Irrigado",_xlfn.MAXIFS(IRRIGADO!J:J,IRRIGADO!C:C,ESTIMATIVA[[#This Row],[CD_UPNIVEL1]],IRRIGADO!E:E,ESTIMATIVA[[#This Row],[CD_UPNIVEL3]]),"")</f>
        <v/>
      </c>
      <c r="AJ86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68" s="1">
        <f>COUNTIFS(Apresentação!$E$23:$E$29,ESTIMATIVA[[#This Row],[CD_UPNIVEL1]])</f>
        <v>0</v>
      </c>
    </row>
    <row r="869" spans="1:37" x14ac:dyDescent="0.3">
      <c r="A869">
        <v>20434</v>
      </c>
      <c r="B869" t="s">
        <v>48</v>
      </c>
      <c r="C869">
        <v>3</v>
      </c>
      <c r="D869">
        <v>5</v>
      </c>
      <c r="E869" t="s">
        <v>268</v>
      </c>
      <c r="F869" s="85" t="s">
        <v>331</v>
      </c>
      <c r="G869"/>
      <c r="H869" t="s">
        <v>294</v>
      </c>
      <c r="I869" t="s">
        <v>221</v>
      </c>
      <c r="J869" t="s">
        <v>176</v>
      </c>
      <c r="K869" s="1">
        <v>9.1</v>
      </c>
      <c r="L869" s="1">
        <v>0</v>
      </c>
      <c r="M869" s="1">
        <v>0</v>
      </c>
      <c r="N869" s="1">
        <v>9.1</v>
      </c>
      <c r="O869" s="1">
        <v>546</v>
      </c>
      <c r="P869" s="1">
        <v>0</v>
      </c>
      <c r="Q869" s="1">
        <v>0</v>
      </c>
      <c r="R869" s="1">
        <v>421.06</v>
      </c>
      <c r="S869" t="s">
        <v>12</v>
      </c>
      <c r="T869" s="13">
        <v>45739</v>
      </c>
      <c r="U869" s="1" t="str">
        <f>IF(ESTIMATIVA[[#This Row],[QT_AREA_REAL]]&gt;0,"1- Colhido","2- à Colher")</f>
        <v>1- Colhido</v>
      </c>
      <c r="V869" s="1" t="str">
        <f>IF(ESTIMATIVA[[#This Row],[QT_AREA_REST1]]&gt;0,"Reestimativa 1",IF(ESTIMATIVA[[#This Row],[QT_AREA_REAL]]=0,"Reestimativa 1","Realizado"))</f>
        <v>Realizado</v>
      </c>
      <c r="W869" s="1" t="str">
        <f>IF(ESTIMATIVA[[#This Row],[QT_AREA_REST2]]&gt;0,"Reestimativa 2",IF(ESTIMATIVA[[#This Row],[QT_AREA_REAL]]=0,"Reestimativa 2","Realizado"))</f>
        <v>Realizado</v>
      </c>
      <c r="X869" s="1">
        <f>ESTIMATIVA[[#This Row],[QT_AREA_EST]]</f>
        <v>9.1</v>
      </c>
      <c r="Y869" s="1">
        <f>IF(ESTIMATIVA[[#This Row],[QT_AREA_REST1]]&gt;0,ESTIMATIVA[[#This Row],[QT_AREA_REST1]],
  IF(ESTIMATIVA[[#This Row],[QT_AREA_REAL]]&gt;0,ESTIMATIVA[[#This Row],[QT_AREA_REAL]],ESTIMATIVA[[#This Row],[QT_AREA_EST]]))</f>
        <v>9.1</v>
      </c>
      <c r="Z86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9.1</v>
      </c>
      <c r="AA869" s="1">
        <f>ESTIMATIVA[[#This Row],[QT_CANA_EST]]</f>
        <v>546</v>
      </c>
      <c r="AB869" s="1">
        <f>IF(ESTIMATIVA[[#This Row],[QT_CANA_REST1]]&gt;0,ESTIMATIVA[[#This Row],[QT_CANA_REST1]],
  IF(ESTIMATIVA[[#This Row],[QT_CANA_REAL]]&gt;0,ESTIMATIVA[[#This Row],[QT_CANA_REAL]],ESTIMATIVA[[#This Row],[QT_CANA_EST]]))</f>
        <v>421.06</v>
      </c>
      <c r="AC86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421.06</v>
      </c>
      <c r="AD869" s="1">
        <f>IF(ESTIMATIVA[[#This Row],[QT_AREA_REAL]]&gt;0,ESTIMATIVA[[#This Row],[QT_CANA_REAL]],ESTIMATIVA[[#This Row],[QT_CANA_EST]])</f>
        <v>421.06</v>
      </c>
      <c r="AE869" s="1">
        <f>IF(ESTIMATIVA[[#This Row],[QT_AREA_REAL]]&gt;0,ESTIMATIVA[[#This Row],[QT_CANA_REAL]],ESTIMATIVA[[#This Row],[QT_CANA_REST1]])</f>
        <v>421.06</v>
      </c>
      <c r="AF869" s="1">
        <f>IF(ESTIMATIVA[[#This Row],[QT_AREA_REAL]]&gt;0,ESTIMATIVA[[#This Row],[QT_CANA_REAL]],ESTIMATIVA[[#This Row],[QT_CANA_REST2]])</f>
        <v>421.06</v>
      </c>
      <c r="AG869" s="1" t="str">
        <f>IF(COUNTIFS(GEADA!A:A,VALUE(ESTIMATIVA[[#This Row],[CD_UPNIVEL1]]&amp;TEXT(ESTIMATIVA[[#This Row],[CD_UPNIVEL3]],"0000")))&gt;0,"S","N")</f>
        <v>N</v>
      </c>
      <c r="AH86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69" s="55" t="str">
        <f>IF(ESTIMATIVA[[#This Row],[TP_CULTIVO]]="Irrigado",_xlfn.MAXIFS(IRRIGADO!J:J,IRRIGADO!C:C,ESTIMATIVA[[#This Row],[CD_UPNIVEL1]],IRRIGADO!E:E,ESTIMATIVA[[#This Row],[CD_UPNIVEL3]]),"")</f>
        <v/>
      </c>
      <c r="AJ86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69" s="1">
        <f>COUNTIFS(Apresentação!$E$23:$E$29,ESTIMATIVA[[#This Row],[CD_UPNIVEL1]])</f>
        <v>0</v>
      </c>
    </row>
    <row r="870" spans="1:37" x14ac:dyDescent="0.3">
      <c r="A870">
        <v>20434</v>
      </c>
      <c r="B870" t="s">
        <v>48</v>
      </c>
      <c r="C870">
        <v>4</v>
      </c>
      <c r="D870">
        <v>5</v>
      </c>
      <c r="E870" t="s">
        <v>268</v>
      </c>
      <c r="F870" s="85" t="s">
        <v>331</v>
      </c>
      <c r="G870"/>
      <c r="H870" t="s">
        <v>294</v>
      </c>
      <c r="I870" t="s">
        <v>221</v>
      </c>
      <c r="J870" t="s">
        <v>176</v>
      </c>
      <c r="K870" s="1">
        <v>19.75</v>
      </c>
      <c r="L870" s="1">
        <v>0</v>
      </c>
      <c r="M870" s="1">
        <v>0</v>
      </c>
      <c r="N870" s="1">
        <v>19.75</v>
      </c>
      <c r="O870" s="1">
        <v>1185</v>
      </c>
      <c r="P870" s="1">
        <v>0</v>
      </c>
      <c r="Q870" s="1">
        <v>0</v>
      </c>
      <c r="R870" s="1">
        <v>913.91</v>
      </c>
      <c r="S870" t="s">
        <v>12</v>
      </c>
      <c r="T870" s="13">
        <v>45739</v>
      </c>
      <c r="U870" s="1" t="str">
        <f>IF(ESTIMATIVA[[#This Row],[QT_AREA_REAL]]&gt;0,"1- Colhido","2- à Colher")</f>
        <v>1- Colhido</v>
      </c>
      <c r="V870" s="1" t="str">
        <f>IF(ESTIMATIVA[[#This Row],[QT_AREA_REST1]]&gt;0,"Reestimativa 1",IF(ESTIMATIVA[[#This Row],[QT_AREA_REAL]]=0,"Reestimativa 1","Realizado"))</f>
        <v>Realizado</v>
      </c>
      <c r="W870" s="1" t="str">
        <f>IF(ESTIMATIVA[[#This Row],[QT_AREA_REST2]]&gt;0,"Reestimativa 2",IF(ESTIMATIVA[[#This Row],[QT_AREA_REAL]]=0,"Reestimativa 2","Realizado"))</f>
        <v>Realizado</v>
      </c>
      <c r="X870" s="1">
        <f>ESTIMATIVA[[#This Row],[QT_AREA_EST]]</f>
        <v>19.75</v>
      </c>
      <c r="Y870" s="1">
        <f>IF(ESTIMATIVA[[#This Row],[QT_AREA_REST1]]&gt;0,ESTIMATIVA[[#This Row],[QT_AREA_REST1]],
  IF(ESTIMATIVA[[#This Row],[QT_AREA_REAL]]&gt;0,ESTIMATIVA[[#This Row],[QT_AREA_REAL]],ESTIMATIVA[[#This Row],[QT_AREA_EST]]))</f>
        <v>19.75</v>
      </c>
      <c r="Z87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19.75</v>
      </c>
      <c r="AA870" s="1">
        <f>ESTIMATIVA[[#This Row],[QT_CANA_EST]]</f>
        <v>1185</v>
      </c>
      <c r="AB870" s="1">
        <f>IF(ESTIMATIVA[[#This Row],[QT_CANA_REST1]]&gt;0,ESTIMATIVA[[#This Row],[QT_CANA_REST1]],
  IF(ESTIMATIVA[[#This Row],[QT_CANA_REAL]]&gt;0,ESTIMATIVA[[#This Row],[QT_CANA_REAL]],ESTIMATIVA[[#This Row],[QT_CANA_EST]]))</f>
        <v>913.91</v>
      </c>
      <c r="AC87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913.91</v>
      </c>
      <c r="AD870" s="1">
        <f>IF(ESTIMATIVA[[#This Row],[QT_AREA_REAL]]&gt;0,ESTIMATIVA[[#This Row],[QT_CANA_REAL]],ESTIMATIVA[[#This Row],[QT_CANA_EST]])</f>
        <v>913.91</v>
      </c>
      <c r="AE870" s="1">
        <f>IF(ESTIMATIVA[[#This Row],[QT_AREA_REAL]]&gt;0,ESTIMATIVA[[#This Row],[QT_CANA_REAL]],ESTIMATIVA[[#This Row],[QT_CANA_REST1]])</f>
        <v>913.91</v>
      </c>
      <c r="AF870" s="1">
        <f>IF(ESTIMATIVA[[#This Row],[QT_AREA_REAL]]&gt;0,ESTIMATIVA[[#This Row],[QT_CANA_REAL]],ESTIMATIVA[[#This Row],[QT_CANA_REST2]])</f>
        <v>913.91</v>
      </c>
      <c r="AG870" s="1" t="str">
        <f>IF(COUNTIFS(GEADA!A:A,VALUE(ESTIMATIVA[[#This Row],[CD_UPNIVEL1]]&amp;TEXT(ESTIMATIVA[[#This Row],[CD_UPNIVEL3]],"0000")))&gt;0,"S","N")</f>
        <v>N</v>
      </c>
      <c r="AH87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70" s="55" t="str">
        <f>IF(ESTIMATIVA[[#This Row],[TP_CULTIVO]]="Irrigado",_xlfn.MAXIFS(IRRIGADO!J:J,IRRIGADO!C:C,ESTIMATIVA[[#This Row],[CD_UPNIVEL1]],IRRIGADO!E:E,ESTIMATIVA[[#This Row],[CD_UPNIVEL3]]),"")</f>
        <v/>
      </c>
      <c r="AJ87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70" s="1">
        <f>COUNTIFS(Apresentação!$E$23:$E$29,ESTIMATIVA[[#This Row],[CD_UPNIVEL1]])</f>
        <v>0</v>
      </c>
    </row>
    <row r="871" spans="1:37" x14ac:dyDescent="0.3">
      <c r="A871">
        <v>20434</v>
      </c>
      <c r="B871" t="s">
        <v>48</v>
      </c>
      <c r="C871">
        <v>5</v>
      </c>
      <c r="D871">
        <v>5</v>
      </c>
      <c r="E871" t="s">
        <v>268</v>
      </c>
      <c r="F871" s="85" t="s">
        <v>331</v>
      </c>
      <c r="G871"/>
      <c r="H871" t="s">
        <v>294</v>
      </c>
      <c r="I871" t="s">
        <v>221</v>
      </c>
      <c r="J871" t="s">
        <v>176</v>
      </c>
      <c r="K871" s="1">
        <v>9.51</v>
      </c>
      <c r="L871" s="1">
        <v>0</v>
      </c>
      <c r="M871" s="1">
        <v>0</v>
      </c>
      <c r="N871" s="1">
        <v>9.51</v>
      </c>
      <c r="O871" s="1">
        <v>570.6</v>
      </c>
      <c r="P871" s="1">
        <v>0</v>
      </c>
      <c r="Q871" s="1">
        <v>0</v>
      </c>
      <c r="R871" s="1">
        <v>385.57</v>
      </c>
      <c r="S871" t="s">
        <v>12</v>
      </c>
      <c r="T871" s="13">
        <v>45739</v>
      </c>
      <c r="U871" s="1" t="str">
        <f>IF(ESTIMATIVA[[#This Row],[QT_AREA_REAL]]&gt;0,"1- Colhido","2- à Colher")</f>
        <v>1- Colhido</v>
      </c>
      <c r="V871" s="1" t="str">
        <f>IF(ESTIMATIVA[[#This Row],[QT_AREA_REST1]]&gt;0,"Reestimativa 1",IF(ESTIMATIVA[[#This Row],[QT_AREA_REAL]]=0,"Reestimativa 1","Realizado"))</f>
        <v>Realizado</v>
      </c>
      <c r="W871" s="1" t="str">
        <f>IF(ESTIMATIVA[[#This Row],[QT_AREA_REST2]]&gt;0,"Reestimativa 2",IF(ESTIMATIVA[[#This Row],[QT_AREA_REAL]]=0,"Reestimativa 2","Realizado"))</f>
        <v>Realizado</v>
      </c>
      <c r="X871" s="1">
        <f>ESTIMATIVA[[#This Row],[QT_AREA_EST]]</f>
        <v>9.51</v>
      </c>
      <c r="Y871" s="1">
        <f>IF(ESTIMATIVA[[#This Row],[QT_AREA_REST1]]&gt;0,ESTIMATIVA[[#This Row],[QT_AREA_REST1]],
  IF(ESTIMATIVA[[#This Row],[QT_AREA_REAL]]&gt;0,ESTIMATIVA[[#This Row],[QT_AREA_REAL]],ESTIMATIVA[[#This Row],[QT_AREA_EST]]))</f>
        <v>9.51</v>
      </c>
      <c r="Z87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9.51</v>
      </c>
      <c r="AA871" s="1">
        <f>ESTIMATIVA[[#This Row],[QT_CANA_EST]]</f>
        <v>570.6</v>
      </c>
      <c r="AB871" s="1">
        <f>IF(ESTIMATIVA[[#This Row],[QT_CANA_REST1]]&gt;0,ESTIMATIVA[[#This Row],[QT_CANA_REST1]],
  IF(ESTIMATIVA[[#This Row],[QT_CANA_REAL]]&gt;0,ESTIMATIVA[[#This Row],[QT_CANA_REAL]],ESTIMATIVA[[#This Row],[QT_CANA_EST]]))</f>
        <v>385.57</v>
      </c>
      <c r="AC87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385.57</v>
      </c>
      <c r="AD871" s="1">
        <f>IF(ESTIMATIVA[[#This Row],[QT_AREA_REAL]]&gt;0,ESTIMATIVA[[#This Row],[QT_CANA_REAL]],ESTIMATIVA[[#This Row],[QT_CANA_EST]])</f>
        <v>385.57</v>
      </c>
      <c r="AE871" s="1">
        <f>IF(ESTIMATIVA[[#This Row],[QT_AREA_REAL]]&gt;0,ESTIMATIVA[[#This Row],[QT_CANA_REAL]],ESTIMATIVA[[#This Row],[QT_CANA_REST1]])</f>
        <v>385.57</v>
      </c>
      <c r="AF871" s="1">
        <f>IF(ESTIMATIVA[[#This Row],[QT_AREA_REAL]]&gt;0,ESTIMATIVA[[#This Row],[QT_CANA_REAL]],ESTIMATIVA[[#This Row],[QT_CANA_REST2]])</f>
        <v>385.57</v>
      </c>
      <c r="AG871" s="1" t="str">
        <f>IF(COUNTIFS(GEADA!A:A,VALUE(ESTIMATIVA[[#This Row],[CD_UPNIVEL1]]&amp;TEXT(ESTIMATIVA[[#This Row],[CD_UPNIVEL3]],"0000")))&gt;0,"S","N")</f>
        <v>N</v>
      </c>
      <c r="AH87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71" s="55" t="str">
        <f>IF(ESTIMATIVA[[#This Row],[TP_CULTIVO]]="Irrigado",_xlfn.MAXIFS(IRRIGADO!J:J,IRRIGADO!C:C,ESTIMATIVA[[#This Row],[CD_UPNIVEL1]],IRRIGADO!E:E,ESTIMATIVA[[#This Row],[CD_UPNIVEL3]]),"")</f>
        <v/>
      </c>
      <c r="AJ87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71" s="1">
        <f>COUNTIFS(Apresentação!$E$23:$E$29,ESTIMATIVA[[#This Row],[CD_UPNIVEL1]])</f>
        <v>0</v>
      </c>
    </row>
    <row r="872" spans="1:37" x14ac:dyDescent="0.3">
      <c r="A872">
        <v>20434</v>
      </c>
      <c r="B872" t="s">
        <v>48</v>
      </c>
      <c r="C872">
        <v>6</v>
      </c>
      <c r="D872">
        <v>5</v>
      </c>
      <c r="E872" t="s">
        <v>268</v>
      </c>
      <c r="F872" s="85" t="s">
        <v>331</v>
      </c>
      <c r="G872"/>
      <c r="H872" t="s">
        <v>294</v>
      </c>
      <c r="I872" t="s">
        <v>221</v>
      </c>
      <c r="J872" t="s">
        <v>176</v>
      </c>
      <c r="K872" s="1">
        <v>20.63</v>
      </c>
      <c r="L872" s="1">
        <v>0</v>
      </c>
      <c r="M872" s="1">
        <v>0</v>
      </c>
      <c r="N872" s="1">
        <v>20.63</v>
      </c>
      <c r="O872" s="1">
        <v>1237.8</v>
      </c>
      <c r="P872" s="1">
        <v>0</v>
      </c>
      <c r="Q872" s="1">
        <v>0</v>
      </c>
      <c r="R872" s="1">
        <v>836.06</v>
      </c>
      <c r="S872" t="s">
        <v>12</v>
      </c>
      <c r="T872" s="13">
        <v>45739</v>
      </c>
      <c r="U872" s="1" t="str">
        <f>IF(ESTIMATIVA[[#This Row],[QT_AREA_REAL]]&gt;0,"1- Colhido","2- à Colher")</f>
        <v>1- Colhido</v>
      </c>
      <c r="V872" s="1" t="str">
        <f>IF(ESTIMATIVA[[#This Row],[QT_AREA_REST1]]&gt;0,"Reestimativa 1",IF(ESTIMATIVA[[#This Row],[QT_AREA_REAL]]=0,"Reestimativa 1","Realizado"))</f>
        <v>Realizado</v>
      </c>
      <c r="W872" s="1" t="str">
        <f>IF(ESTIMATIVA[[#This Row],[QT_AREA_REST2]]&gt;0,"Reestimativa 2",IF(ESTIMATIVA[[#This Row],[QT_AREA_REAL]]=0,"Reestimativa 2","Realizado"))</f>
        <v>Realizado</v>
      </c>
      <c r="X872" s="1">
        <f>ESTIMATIVA[[#This Row],[QT_AREA_EST]]</f>
        <v>20.63</v>
      </c>
      <c r="Y872" s="1">
        <f>IF(ESTIMATIVA[[#This Row],[QT_AREA_REST1]]&gt;0,ESTIMATIVA[[#This Row],[QT_AREA_REST1]],
  IF(ESTIMATIVA[[#This Row],[QT_AREA_REAL]]&gt;0,ESTIMATIVA[[#This Row],[QT_AREA_REAL]],ESTIMATIVA[[#This Row],[QT_AREA_EST]]))</f>
        <v>20.63</v>
      </c>
      <c r="Z87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20.63</v>
      </c>
      <c r="AA872" s="1">
        <f>ESTIMATIVA[[#This Row],[QT_CANA_EST]]</f>
        <v>1237.8</v>
      </c>
      <c r="AB872" s="1">
        <f>IF(ESTIMATIVA[[#This Row],[QT_CANA_REST1]]&gt;0,ESTIMATIVA[[#This Row],[QT_CANA_REST1]],
  IF(ESTIMATIVA[[#This Row],[QT_CANA_REAL]]&gt;0,ESTIMATIVA[[#This Row],[QT_CANA_REAL]],ESTIMATIVA[[#This Row],[QT_CANA_EST]]))</f>
        <v>836.06</v>
      </c>
      <c r="AC87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836.06</v>
      </c>
      <c r="AD872" s="1">
        <f>IF(ESTIMATIVA[[#This Row],[QT_AREA_REAL]]&gt;0,ESTIMATIVA[[#This Row],[QT_CANA_REAL]],ESTIMATIVA[[#This Row],[QT_CANA_EST]])</f>
        <v>836.06</v>
      </c>
      <c r="AE872" s="1">
        <f>IF(ESTIMATIVA[[#This Row],[QT_AREA_REAL]]&gt;0,ESTIMATIVA[[#This Row],[QT_CANA_REAL]],ESTIMATIVA[[#This Row],[QT_CANA_REST1]])</f>
        <v>836.06</v>
      </c>
      <c r="AF872" s="1">
        <f>IF(ESTIMATIVA[[#This Row],[QT_AREA_REAL]]&gt;0,ESTIMATIVA[[#This Row],[QT_CANA_REAL]],ESTIMATIVA[[#This Row],[QT_CANA_REST2]])</f>
        <v>836.06</v>
      </c>
      <c r="AG872" s="1" t="str">
        <f>IF(COUNTIFS(GEADA!A:A,VALUE(ESTIMATIVA[[#This Row],[CD_UPNIVEL1]]&amp;TEXT(ESTIMATIVA[[#This Row],[CD_UPNIVEL3]],"0000")))&gt;0,"S","N")</f>
        <v>N</v>
      </c>
      <c r="AH87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72" s="55" t="str">
        <f>IF(ESTIMATIVA[[#This Row],[TP_CULTIVO]]="Irrigado",_xlfn.MAXIFS(IRRIGADO!J:J,IRRIGADO!C:C,ESTIMATIVA[[#This Row],[CD_UPNIVEL1]],IRRIGADO!E:E,ESTIMATIVA[[#This Row],[CD_UPNIVEL3]]),"")</f>
        <v/>
      </c>
      <c r="AJ87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72" s="1">
        <f>COUNTIFS(Apresentação!$E$23:$E$29,ESTIMATIVA[[#This Row],[CD_UPNIVEL1]])</f>
        <v>0</v>
      </c>
    </row>
    <row r="873" spans="1:37" x14ac:dyDescent="0.3">
      <c r="A873">
        <v>20434</v>
      </c>
      <c r="B873" t="s">
        <v>48</v>
      </c>
      <c r="C873">
        <v>7</v>
      </c>
      <c r="D873">
        <v>5</v>
      </c>
      <c r="E873" t="s">
        <v>268</v>
      </c>
      <c r="F873" s="85" t="s">
        <v>331</v>
      </c>
      <c r="G873"/>
      <c r="H873" t="s">
        <v>294</v>
      </c>
      <c r="I873" t="s">
        <v>221</v>
      </c>
      <c r="J873" t="s">
        <v>176</v>
      </c>
      <c r="K873" s="1">
        <v>18.98</v>
      </c>
      <c r="L873" s="1">
        <v>0</v>
      </c>
      <c r="M873" s="1">
        <v>0</v>
      </c>
      <c r="N873" s="1">
        <v>18.98</v>
      </c>
      <c r="O873" s="1">
        <v>1138.8</v>
      </c>
      <c r="P873" s="1">
        <v>0</v>
      </c>
      <c r="Q873" s="1">
        <v>0</v>
      </c>
      <c r="R873" s="1">
        <v>878.43</v>
      </c>
      <c r="S873" t="s">
        <v>12</v>
      </c>
      <c r="T873" s="13">
        <v>45739</v>
      </c>
      <c r="U873" s="1" t="str">
        <f>IF(ESTIMATIVA[[#This Row],[QT_AREA_REAL]]&gt;0,"1- Colhido","2- à Colher")</f>
        <v>1- Colhido</v>
      </c>
      <c r="V873" s="1" t="str">
        <f>IF(ESTIMATIVA[[#This Row],[QT_AREA_REST1]]&gt;0,"Reestimativa 1",IF(ESTIMATIVA[[#This Row],[QT_AREA_REAL]]=0,"Reestimativa 1","Realizado"))</f>
        <v>Realizado</v>
      </c>
      <c r="W873" s="1" t="str">
        <f>IF(ESTIMATIVA[[#This Row],[QT_AREA_REST2]]&gt;0,"Reestimativa 2",IF(ESTIMATIVA[[#This Row],[QT_AREA_REAL]]=0,"Reestimativa 2","Realizado"))</f>
        <v>Realizado</v>
      </c>
      <c r="X873" s="1">
        <f>ESTIMATIVA[[#This Row],[QT_AREA_EST]]</f>
        <v>18.98</v>
      </c>
      <c r="Y873" s="1">
        <f>IF(ESTIMATIVA[[#This Row],[QT_AREA_REST1]]&gt;0,ESTIMATIVA[[#This Row],[QT_AREA_REST1]],
  IF(ESTIMATIVA[[#This Row],[QT_AREA_REAL]]&gt;0,ESTIMATIVA[[#This Row],[QT_AREA_REAL]],ESTIMATIVA[[#This Row],[QT_AREA_EST]]))</f>
        <v>18.98</v>
      </c>
      <c r="Z87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18.98</v>
      </c>
      <c r="AA873" s="1">
        <f>ESTIMATIVA[[#This Row],[QT_CANA_EST]]</f>
        <v>1138.8</v>
      </c>
      <c r="AB873" s="1">
        <f>IF(ESTIMATIVA[[#This Row],[QT_CANA_REST1]]&gt;0,ESTIMATIVA[[#This Row],[QT_CANA_REST1]],
  IF(ESTIMATIVA[[#This Row],[QT_CANA_REAL]]&gt;0,ESTIMATIVA[[#This Row],[QT_CANA_REAL]],ESTIMATIVA[[#This Row],[QT_CANA_EST]]))</f>
        <v>878.43</v>
      </c>
      <c r="AC87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878.43</v>
      </c>
      <c r="AD873" s="1">
        <f>IF(ESTIMATIVA[[#This Row],[QT_AREA_REAL]]&gt;0,ESTIMATIVA[[#This Row],[QT_CANA_REAL]],ESTIMATIVA[[#This Row],[QT_CANA_EST]])</f>
        <v>878.43</v>
      </c>
      <c r="AE873" s="1">
        <f>IF(ESTIMATIVA[[#This Row],[QT_AREA_REAL]]&gt;0,ESTIMATIVA[[#This Row],[QT_CANA_REAL]],ESTIMATIVA[[#This Row],[QT_CANA_REST1]])</f>
        <v>878.43</v>
      </c>
      <c r="AF873" s="1">
        <f>IF(ESTIMATIVA[[#This Row],[QT_AREA_REAL]]&gt;0,ESTIMATIVA[[#This Row],[QT_CANA_REAL]],ESTIMATIVA[[#This Row],[QT_CANA_REST2]])</f>
        <v>878.43</v>
      </c>
      <c r="AG873" s="1" t="str">
        <f>IF(COUNTIFS(GEADA!A:A,VALUE(ESTIMATIVA[[#This Row],[CD_UPNIVEL1]]&amp;TEXT(ESTIMATIVA[[#This Row],[CD_UPNIVEL3]],"0000")))&gt;0,"S","N")</f>
        <v>N</v>
      </c>
      <c r="AH87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73" s="55" t="str">
        <f>IF(ESTIMATIVA[[#This Row],[TP_CULTIVO]]="Irrigado",_xlfn.MAXIFS(IRRIGADO!J:J,IRRIGADO!C:C,ESTIMATIVA[[#This Row],[CD_UPNIVEL1]],IRRIGADO!E:E,ESTIMATIVA[[#This Row],[CD_UPNIVEL3]]),"")</f>
        <v/>
      </c>
      <c r="AJ87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73" s="1">
        <f>COUNTIFS(Apresentação!$E$23:$E$29,ESTIMATIVA[[#This Row],[CD_UPNIVEL1]])</f>
        <v>0</v>
      </c>
    </row>
    <row r="874" spans="1:37" x14ac:dyDescent="0.3">
      <c r="A874">
        <v>20434</v>
      </c>
      <c r="B874" t="s">
        <v>48</v>
      </c>
      <c r="C874">
        <v>8</v>
      </c>
      <c r="D874">
        <v>5</v>
      </c>
      <c r="E874" t="s">
        <v>268</v>
      </c>
      <c r="F874" s="85" t="s">
        <v>331</v>
      </c>
      <c r="G874"/>
      <c r="H874" t="s">
        <v>294</v>
      </c>
      <c r="I874" t="s">
        <v>221</v>
      </c>
      <c r="J874" t="s">
        <v>176</v>
      </c>
      <c r="K874" s="1">
        <v>11.14</v>
      </c>
      <c r="L874" s="1">
        <v>0</v>
      </c>
      <c r="M874" s="1">
        <v>0</v>
      </c>
      <c r="N874" s="1">
        <v>11.14</v>
      </c>
      <c r="O874" s="1">
        <v>668.4</v>
      </c>
      <c r="P874" s="1">
        <v>0</v>
      </c>
      <c r="Q874" s="1">
        <v>0</v>
      </c>
      <c r="R874" s="1">
        <v>515.15</v>
      </c>
      <c r="S874" t="s">
        <v>12</v>
      </c>
      <c r="T874" s="13">
        <v>45739</v>
      </c>
      <c r="U874" s="1" t="str">
        <f>IF(ESTIMATIVA[[#This Row],[QT_AREA_REAL]]&gt;0,"1- Colhido","2- à Colher")</f>
        <v>1- Colhido</v>
      </c>
      <c r="V874" s="1" t="str">
        <f>IF(ESTIMATIVA[[#This Row],[QT_AREA_REST1]]&gt;0,"Reestimativa 1",IF(ESTIMATIVA[[#This Row],[QT_AREA_REAL]]=0,"Reestimativa 1","Realizado"))</f>
        <v>Realizado</v>
      </c>
      <c r="W874" s="1" t="str">
        <f>IF(ESTIMATIVA[[#This Row],[QT_AREA_REST2]]&gt;0,"Reestimativa 2",IF(ESTIMATIVA[[#This Row],[QT_AREA_REAL]]=0,"Reestimativa 2","Realizado"))</f>
        <v>Realizado</v>
      </c>
      <c r="X874" s="1">
        <f>ESTIMATIVA[[#This Row],[QT_AREA_EST]]</f>
        <v>11.14</v>
      </c>
      <c r="Y874" s="1">
        <f>IF(ESTIMATIVA[[#This Row],[QT_AREA_REST1]]&gt;0,ESTIMATIVA[[#This Row],[QT_AREA_REST1]],
  IF(ESTIMATIVA[[#This Row],[QT_AREA_REAL]]&gt;0,ESTIMATIVA[[#This Row],[QT_AREA_REAL]],ESTIMATIVA[[#This Row],[QT_AREA_EST]]))</f>
        <v>11.14</v>
      </c>
      <c r="Z87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11.14</v>
      </c>
      <c r="AA874" s="1">
        <f>ESTIMATIVA[[#This Row],[QT_CANA_EST]]</f>
        <v>668.4</v>
      </c>
      <c r="AB874" s="1">
        <f>IF(ESTIMATIVA[[#This Row],[QT_CANA_REST1]]&gt;0,ESTIMATIVA[[#This Row],[QT_CANA_REST1]],
  IF(ESTIMATIVA[[#This Row],[QT_CANA_REAL]]&gt;0,ESTIMATIVA[[#This Row],[QT_CANA_REAL]],ESTIMATIVA[[#This Row],[QT_CANA_EST]]))</f>
        <v>515.15</v>
      </c>
      <c r="AC87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515.15</v>
      </c>
      <c r="AD874" s="1">
        <f>IF(ESTIMATIVA[[#This Row],[QT_AREA_REAL]]&gt;0,ESTIMATIVA[[#This Row],[QT_CANA_REAL]],ESTIMATIVA[[#This Row],[QT_CANA_EST]])</f>
        <v>515.15</v>
      </c>
      <c r="AE874" s="1">
        <f>IF(ESTIMATIVA[[#This Row],[QT_AREA_REAL]]&gt;0,ESTIMATIVA[[#This Row],[QT_CANA_REAL]],ESTIMATIVA[[#This Row],[QT_CANA_REST1]])</f>
        <v>515.15</v>
      </c>
      <c r="AF874" s="1">
        <f>IF(ESTIMATIVA[[#This Row],[QT_AREA_REAL]]&gt;0,ESTIMATIVA[[#This Row],[QT_CANA_REAL]],ESTIMATIVA[[#This Row],[QT_CANA_REST2]])</f>
        <v>515.15</v>
      </c>
      <c r="AG874" s="1" t="str">
        <f>IF(COUNTIFS(GEADA!A:A,VALUE(ESTIMATIVA[[#This Row],[CD_UPNIVEL1]]&amp;TEXT(ESTIMATIVA[[#This Row],[CD_UPNIVEL3]],"0000")))&gt;0,"S","N")</f>
        <v>N</v>
      </c>
      <c r="AH87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74" s="55" t="str">
        <f>IF(ESTIMATIVA[[#This Row],[TP_CULTIVO]]="Irrigado",_xlfn.MAXIFS(IRRIGADO!J:J,IRRIGADO!C:C,ESTIMATIVA[[#This Row],[CD_UPNIVEL1]],IRRIGADO!E:E,ESTIMATIVA[[#This Row],[CD_UPNIVEL3]]),"")</f>
        <v/>
      </c>
      <c r="AJ87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74" s="1">
        <f>COUNTIFS(Apresentação!$E$23:$E$29,ESTIMATIVA[[#This Row],[CD_UPNIVEL1]])</f>
        <v>0</v>
      </c>
    </row>
    <row r="875" spans="1:37" x14ac:dyDescent="0.3">
      <c r="A875">
        <v>20434</v>
      </c>
      <c r="B875" t="s">
        <v>48</v>
      </c>
      <c r="C875">
        <v>16</v>
      </c>
      <c r="D875">
        <v>6</v>
      </c>
      <c r="E875" t="s">
        <v>261</v>
      </c>
      <c r="F875" s="85" t="s">
        <v>331</v>
      </c>
      <c r="G875"/>
      <c r="H875" t="s">
        <v>294</v>
      </c>
      <c r="I875" t="s">
        <v>221</v>
      </c>
      <c r="J875" t="s">
        <v>176</v>
      </c>
      <c r="K875" s="1">
        <v>15.45</v>
      </c>
      <c r="L875" s="1">
        <v>0</v>
      </c>
      <c r="M875" s="1">
        <v>0</v>
      </c>
      <c r="N875" s="1">
        <v>15.45</v>
      </c>
      <c r="O875" s="1">
        <v>803.4</v>
      </c>
      <c r="P875" s="1">
        <v>0</v>
      </c>
      <c r="Q875" s="1">
        <v>0</v>
      </c>
      <c r="R875" s="1">
        <v>656.42</v>
      </c>
      <c r="S875" t="s">
        <v>12</v>
      </c>
      <c r="T875" s="13">
        <v>45739</v>
      </c>
      <c r="U875" s="1" t="str">
        <f>IF(ESTIMATIVA[[#This Row],[QT_AREA_REAL]]&gt;0,"1- Colhido","2- à Colher")</f>
        <v>1- Colhido</v>
      </c>
      <c r="V875" s="1" t="str">
        <f>IF(ESTIMATIVA[[#This Row],[QT_AREA_REST1]]&gt;0,"Reestimativa 1",IF(ESTIMATIVA[[#This Row],[QT_AREA_REAL]]=0,"Reestimativa 1","Realizado"))</f>
        <v>Realizado</v>
      </c>
      <c r="W875" s="1" t="str">
        <f>IF(ESTIMATIVA[[#This Row],[QT_AREA_REST2]]&gt;0,"Reestimativa 2",IF(ESTIMATIVA[[#This Row],[QT_AREA_REAL]]=0,"Reestimativa 2","Realizado"))</f>
        <v>Realizado</v>
      </c>
      <c r="X875" s="1">
        <f>ESTIMATIVA[[#This Row],[QT_AREA_EST]]</f>
        <v>15.45</v>
      </c>
      <c r="Y875" s="1">
        <f>IF(ESTIMATIVA[[#This Row],[QT_AREA_REST1]]&gt;0,ESTIMATIVA[[#This Row],[QT_AREA_REST1]],
  IF(ESTIMATIVA[[#This Row],[QT_AREA_REAL]]&gt;0,ESTIMATIVA[[#This Row],[QT_AREA_REAL]],ESTIMATIVA[[#This Row],[QT_AREA_EST]]))</f>
        <v>15.45</v>
      </c>
      <c r="Z87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15.45</v>
      </c>
      <c r="AA875" s="1">
        <f>ESTIMATIVA[[#This Row],[QT_CANA_EST]]</f>
        <v>803.4</v>
      </c>
      <c r="AB875" s="1">
        <f>IF(ESTIMATIVA[[#This Row],[QT_CANA_REST1]]&gt;0,ESTIMATIVA[[#This Row],[QT_CANA_REST1]],
  IF(ESTIMATIVA[[#This Row],[QT_CANA_REAL]]&gt;0,ESTIMATIVA[[#This Row],[QT_CANA_REAL]],ESTIMATIVA[[#This Row],[QT_CANA_EST]]))</f>
        <v>656.42</v>
      </c>
      <c r="AC87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656.42</v>
      </c>
      <c r="AD875" s="1">
        <f>IF(ESTIMATIVA[[#This Row],[QT_AREA_REAL]]&gt;0,ESTIMATIVA[[#This Row],[QT_CANA_REAL]],ESTIMATIVA[[#This Row],[QT_CANA_EST]])</f>
        <v>656.42</v>
      </c>
      <c r="AE875" s="1">
        <f>IF(ESTIMATIVA[[#This Row],[QT_AREA_REAL]]&gt;0,ESTIMATIVA[[#This Row],[QT_CANA_REAL]],ESTIMATIVA[[#This Row],[QT_CANA_REST1]])</f>
        <v>656.42</v>
      </c>
      <c r="AF875" s="1">
        <f>IF(ESTIMATIVA[[#This Row],[QT_AREA_REAL]]&gt;0,ESTIMATIVA[[#This Row],[QT_CANA_REAL]],ESTIMATIVA[[#This Row],[QT_CANA_REST2]])</f>
        <v>656.42</v>
      </c>
      <c r="AG875" s="1" t="str">
        <f>IF(COUNTIFS(GEADA!A:A,VALUE(ESTIMATIVA[[#This Row],[CD_UPNIVEL1]]&amp;TEXT(ESTIMATIVA[[#This Row],[CD_UPNIVEL3]],"0000")))&gt;0,"S","N")</f>
        <v>N</v>
      </c>
      <c r="AH87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75" s="55" t="str">
        <f>IF(ESTIMATIVA[[#This Row],[TP_CULTIVO]]="Irrigado",_xlfn.MAXIFS(IRRIGADO!J:J,IRRIGADO!C:C,ESTIMATIVA[[#This Row],[CD_UPNIVEL1]],IRRIGADO!E:E,ESTIMATIVA[[#This Row],[CD_UPNIVEL3]]),"")</f>
        <v/>
      </c>
      <c r="AJ87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75" s="1">
        <f>COUNTIFS(Apresentação!$E$23:$E$29,ESTIMATIVA[[#This Row],[CD_UPNIVEL1]])</f>
        <v>0</v>
      </c>
    </row>
    <row r="876" spans="1:37" x14ac:dyDescent="0.3">
      <c r="A876">
        <v>20434</v>
      </c>
      <c r="B876" t="s">
        <v>48</v>
      </c>
      <c r="C876">
        <v>17</v>
      </c>
      <c r="D876">
        <v>6</v>
      </c>
      <c r="E876" t="s">
        <v>261</v>
      </c>
      <c r="F876" s="85" t="s">
        <v>331</v>
      </c>
      <c r="G876"/>
      <c r="H876" t="s">
        <v>294</v>
      </c>
      <c r="I876" t="s">
        <v>221</v>
      </c>
      <c r="J876" t="s">
        <v>176</v>
      </c>
      <c r="K876" s="1">
        <v>26.77</v>
      </c>
      <c r="L876" s="1">
        <v>0</v>
      </c>
      <c r="M876" s="1">
        <v>0</v>
      </c>
      <c r="N876" s="1">
        <v>26.77</v>
      </c>
      <c r="O876" s="1">
        <v>1392.04</v>
      </c>
      <c r="P876" s="1">
        <v>0</v>
      </c>
      <c r="Q876" s="1">
        <v>0</v>
      </c>
      <c r="R876" s="1">
        <v>940.07</v>
      </c>
      <c r="S876" t="s">
        <v>12</v>
      </c>
      <c r="T876" s="13">
        <v>45739</v>
      </c>
      <c r="U876" s="1" t="str">
        <f>IF(ESTIMATIVA[[#This Row],[QT_AREA_REAL]]&gt;0,"1- Colhido","2- à Colher")</f>
        <v>1- Colhido</v>
      </c>
      <c r="V876" s="1" t="str">
        <f>IF(ESTIMATIVA[[#This Row],[QT_AREA_REST1]]&gt;0,"Reestimativa 1",IF(ESTIMATIVA[[#This Row],[QT_AREA_REAL]]=0,"Reestimativa 1","Realizado"))</f>
        <v>Realizado</v>
      </c>
      <c r="W876" s="1" t="str">
        <f>IF(ESTIMATIVA[[#This Row],[QT_AREA_REST2]]&gt;0,"Reestimativa 2",IF(ESTIMATIVA[[#This Row],[QT_AREA_REAL]]=0,"Reestimativa 2","Realizado"))</f>
        <v>Realizado</v>
      </c>
      <c r="X876" s="1">
        <f>ESTIMATIVA[[#This Row],[QT_AREA_EST]]</f>
        <v>26.77</v>
      </c>
      <c r="Y876" s="1">
        <f>IF(ESTIMATIVA[[#This Row],[QT_AREA_REST1]]&gt;0,ESTIMATIVA[[#This Row],[QT_AREA_REST1]],
  IF(ESTIMATIVA[[#This Row],[QT_AREA_REAL]]&gt;0,ESTIMATIVA[[#This Row],[QT_AREA_REAL]],ESTIMATIVA[[#This Row],[QT_AREA_EST]]))</f>
        <v>26.77</v>
      </c>
      <c r="Z87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26.77</v>
      </c>
      <c r="AA876" s="1">
        <f>ESTIMATIVA[[#This Row],[QT_CANA_EST]]</f>
        <v>1392.04</v>
      </c>
      <c r="AB876" s="1">
        <f>IF(ESTIMATIVA[[#This Row],[QT_CANA_REST1]]&gt;0,ESTIMATIVA[[#This Row],[QT_CANA_REST1]],
  IF(ESTIMATIVA[[#This Row],[QT_CANA_REAL]]&gt;0,ESTIMATIVA[[#This Row],[QT_CANA_REAL]],ESTIMATIVA[[#This Row],[QT_CANA_EST]]))</f>
        <v>940.07</v>
      </c>
      <c r="AC87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940.07</v>
      </c>
      <c r="AD876" s="1">
        <f>IF(ESTIMATIVA[[#This Row],[QT_AREA_REAL]]&gt;0,ESTIMATIVA[[#This Row],[QT_CANA_REAL]],ESTIMATIVA[[#This Row],[QT_CANA_EST]])</f>
        <v>940.07</v>
      </c>
      <c r="AE876" s="1">
        <f>IF(ESTIMATIVA[[#This Row],[QT_AREA_REAL]]&gt;0,ESTIMATIVA[[#This Row],[QT_CANA_REAL]],ESTIMATIVA[[#This Row],[QT_CANA_REST1]])</f>
        <v>940.07</v>
      </c>
      <c r="AF876" s="1">
        <f>IF(ESTIMATIVA[[#This Row],[QT_AREA_REAL]]&gt;0,ESTIMATIVA[[#This Row],[QT_CANA_REAL]],ESTIMATIVA[[#This Row],[QT_CANA_REST2]])</f>
        <v>940.07</v>
      </c>
      <c r="AG876" s="1" t="str">
        <f>IF(COUNTIFS(GEADA!A:A,VALUE(ESTIMATIVA[[#This Row],[CD_UPNIVEL1]]&amp;TEXT(ESTIMATIVA[[#This Row],[CD_UPNIVEL3]],"0000")))&gt;0,"S","N")</f>
        <v>N</v>
      </c>
      <c r="AH87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76" s="55" t="str">
        <f>IF(ESTIMATIVA[[#This Row],[TP_CULTIVO]]="Irrigado",_xlfn.MAXIFS(IRRIGADO!J:J,IRRIGADO!C:C,ESTIMATIVA[[#This Row],[CD_UPNIVEL1]],IRRIGADO!E:E,ESTIMATIVA[[#This Row],[CD_UPNIVEL3]]),"")</f>
        <v/>
      </c>
      <c r="AJ87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76" s="1">
        <f>COUNTIFS(Apresentação!$E$23:$E$29,ESTIMATIVA[[#This Row],[CD_UPNIVEL1]])</f>
        <v>0</v>
      </c>
    </row>
    <row r="877" spans="1:37" x14ac:dyDescent="0.3">
      <c r="A877">
        <v>20434</v>
      </c>
      <c r="B877" t="s">
        <v>48</v>
      </c>
      <c r="C877">
        <v>18</v>
      </c>
      <c r="D877">
        <v>6</v>
      </c>
      <c r="E877" t="s">
        <v>261</v>
      </c>
      <c r="F877" s="85" t="s">
        <v>331</v>
      </c>
      <c r="G877"/>
      <c r="H877" t="s">
        <v>294</v>
      </c>
      <c r="I877" t="s">
        <v>221</v>
      </c>
      <c r="J877" t="s">
        <v>176</v>
      </c>
      <c r="K877" s="1">
        <v>30.74</v>
      </c>
      <c r="L877" s="1">
        <v>0</v>
      </c>
      <c r="M877" s="1">
        <v>0</v>
      </c>
      <c r="N877" s="1">
        <v>30.74</v>
      </c>
      <c r="O877" s="1">
        <v>1598.48</v>
      </c>
      <c r="P877" s="1">
        <v>0</v>
      </c>
      <c r="Q877" s="1">
        <v>0</v>
      </c>
      <c r="R877" s="1">
        <v>1079.19</v>
      </c>
      <c r="S877" t="s">
        <v>12</v>
      </c>
      <c r="T877" s="13">
        <v>45739</v>
      </c>
      <c r="U877" s="1" t="str">
        <f>IF(ESTIMATIVA[[#This Row],[QT_AREA_REAL]]&gt;0,"1- Colhido","2- à Colher")</f>
        <v>1- Colhido</v>
      </c>
      <c r="V877" s="1" t="str">
        <f>IF(ESTIMATIVA[[#This Row],[QT_AREA_REST1]]&gt;0,"Reestimativa 1",IF(ESTIMATIVA[[#This Row],[QT_AREA_REAL]]=0,"Reestimativa 1","Realizado"))</f>
        <v>Realizado</v>
      </c>
      <c r="W877" s="1" t="str">
        <f>IF(ESTIMATIVA[[#This Row],[QT_AREA_REST2]]&gt;0,"Reestimativa 2",IF(ESTIMATIVA[[#This Row],[QT_AREA_REAL]]=0,"Reestimativa 2","Realizado"))</f>
        <v>Realizado</v>
      </c>
      <c r="X877" s="1">
        <f>ESTIMATIVA[[#This Row],[QT_AREA_EST]]</f>
        <v>30.74</v>
      </c>
      <c r="Y877" s="1">
        <f>IF(ESTIMATIVA[[#This Row],[QT_AREA_REST1]]&gt;0,ESTIMATIVA[[#This Row],[QT_AREA_REST1]],
  IF(ESTIMATIVA[[#This Row],[QT_AREA_REAL]]&gt;0,ESTIMATIVA[[#This Row],[QT_AREA_REAL]],ESTIMATIVA[[#This Row],[QT_AREA_EST]]))</f>
        <v>30.74</v>
      </c>
      <c r="Z87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30.74</v>
      </c>
      <c r="AA877" s="1">
        <f>ESTIMATIVA[[#This Row],[QT_CANA_EST]]</f>
        <v>1598.48</v>
      </c>
      <c r="AB877" s="1">
        <f>IF(ESTIMATIVA[[#This Row],[QT_CANA_REST1]]&gt;0,ESTIMATIVA[[#This Row],[QT_CANA_REST1]],
  IF(ESTIMATIVA[[#This Row],[QT_CANA_REAL]]&gt;0,ESTIMATIVA[[#This Row],[QT_CANA_REAL]],ESTIMATIVA[[#This Row],[QT_CANA_EST]]))</f>
        <v>1079.19</v>
      </c>
      <c r="AC87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1079.19</v>
      </c>
      <c r="AD877" s="1">
        <f>IF(ESTIMATIVA[[#This Row],[QT_AREA_REAL]]&gt;0,ESTIMATIVA[[#This Row],[QT_CANA_REAL]],ESTIMATIVA[[#This Row],[QT_CANA_EST]])</f>
        <v>1079.19</v>
      </c>
      <c r="AE877" s="1">
        <f>IF(ESTIMATIVA[[#This Row],[QT_AREA_REAL]]&gt;0,ESTIMATIVA[[#This Row],[QT_CANA_REAL]],ESTIMATIVA[[#This Row],[QT_CANA_REST1]])</f>
        <v>1079.19</v>
      </c>
      <c r="AF877" s="1">
        <f>IF(ESTIMATIVA[[#This Row],[QT_AREA_REAL]]&gt;0,ESTIMATIVA[[#This Row],[QT_CANA_REAL]],ESTIMATIVA[[#This Row],[QT_CANA_REST2]])</f>
        <v>1079.19</v>
      </c>
      <c r="AG877" s="1" t="str">
        <f>IF(COUNTIFS(GEADA!A:A,VALUE(ESTIMATIVA[[#This Row],[CD_UPNIVEL1]]&amp;TEXT(ESTIMATIVA[[#This Row],[CD_UPNIVEL3]],"0000")))&gt;0,"S","N")</f>
        <v>N</v>
      </c>
      <c r="AH87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77" s="55" t="str">
        <f>IF(ESTIMATIVA[[#This Row],[TP_CULTIVO]]="Irrigado",_xlfn.MAXIFS(IRRIGADO!J:J,IRRIGADO!C:C,ESTIMATIVA[[#This Row],[CD_UPNIVEL1]],IRRIGADO!E:E,ESTIMATIVA[[#This Row],[CD_UPNIVEL3]]),"")</f>
        <v/>
      </c>
      <c r="AJ87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77" s="1">
        <f>COUNTIFS(Apresentação!$E$23:$E$29,ESTIMATIVA[[#This Row],[CD_UPNIVEL1]])</f>
        <v>0</v>
      </c>
    </row>
    <row r="878" spans="1:37" x14ac:dyDescent="0.3">
      <c r="A878">
        <v>20434</v>
      </c>
      <c r="B878" t="s">
        <v>48</v>
      </c>
      <c r="C878">
        <v>19</v>
      </c>
      <c r="D878">
        <v>5</v>
      </c>
      <c r="E878" t="s">
        <v>268</v>
      </c>
      <c r="F878" s="85" t="s">
        <v>331</v>
      </c>
      <c r="G878"/>
      <c r="H878" t="s">
        <v>294</v>
      </c>
      <c r="I878" t="s">
        <v>202</v>
      </c>
      <c r="J878" t="s">
        <v>176</v>
      </c>
      <c r="K878" s="1">
        <v>14.15</v>
      </c>
      <c r="L878" s="1">
        <v>0</v>
      </c>
      <c r="M878" s="1">
        <v>0</v>
      </c>
      <c r="N878" s="1">
        <v>14.15</v>
      </c>
      <c r="O878" s="1">
        <v>820.7</v>
      </c>
      <c r="P878" s="1">
        <v>0</v>
      </c>
      <c r="Q878" s="1">
        <v>0</v>
      </c>
      <c r="R878" s="1">
        <v>554.42999999999995</v>
      </c>
      <c r="S878" t="s">
        <v>12</v>
      </c>
      <c r="T878" s="13">
        <v>45739</v>
      </c>
      <c r="U878" s="1" t="str">
        <f>IF(ESTIMATIVA[[#This Row],[QT_AREA_REAL]]&gt;0,"1- Colhido","2- à Colher")</f>
        <v>1- Colhido</v>
      </c>
      <c r="V878" s="1" t="str">
        <f>IF(ESTIMATIVA[[#This Row],[QT_AREA_REST1]]&gt;0,"Reestimativa 1",IF(ESTIMATIVA[[#This Row],[QT_AREA_REAL]]=0,"Reestimativa 1","Realizado"))</f>
        <v>Realizado</v>
      </c>
      <c r="W878" s="1" t="str">
        <f>IF(ESTIMATIVA[[#This Row],[QT_AREA_REST2]]&gt;0,"Reestimativa 2",IF(ESTIMATIVA[[#This Row],[QT_AREA_REAL]]=0,"Reestimativa 2","Realizado"))</f>
        <v>Realizado</v>
      </c>
      <c r="X878" s="1">
        <f>ESTIMATIVA[[#This Row],[QT_AREA_EST]]</f>
        <v>14.15</v>
      </c>
      <c r="Y878" s="1">
        <f>IF(ESTIMATIVA[[#This Row],[QT_AREA_REST1]]&gt;0,ESTIMATIVA[[#This Row],[QT_AREA_REST1]],
  IF(ESTIMATIVA[[#This Row],[QT_AREA_REAL]]&gt;0,ESTIMATIVA[[#This Row],[QT_AREA_REAL]],ESTIMATIVA[[#This Row],[QT_AREA_EST]]))</f>
        <v>14.15</v>
      </c>
      <c r="Z87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14.15</v>
      </c>
      <c r="AA878" s="1">
        <f>ESTIMATIVA[[#This Row],[QT_CANA_EST]]</f>
        <v>820.7</v>
      </c>
      <c r="AB878" s="1">
        <f>IF(ESTIMATIVA[[#This Row],[QT_CANA_REST1]]&gt;0,ESTIMATIVA[[#This Row],[QT_CANA_REST1]],
  IF(ESTIMATIVA[[#This Row],[QT_CANA_REAL]]&gt;0,ESTIMATIVA[[#This Row],[QT_CANA_REAL]],ESTIMATIVA[[#This Row],[QT_CANA_EST]]))</f>
        <v>554.42999999999995</v>
      </c>
      <c r="AC87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554.42999999999995</v>
      </c>
      <c r="AD878" s="1">
        <f>IF(ESTIMATIVA[[#This Row],[QT_AREA_REAL]]&gt;0,ESTIMATIVA[[#This Row],[QT_CANA_REAL]],ESTIMATIVA[[#This Row],[QT_CANA_EST]])</f>
        <v>554.42999999999995</v>
      </c>
      <c r="AE878" s="1">
        <f>IF(ESTIMATIVA[[#This Row],[QT_AREA_REAL]]&gt;0,ESTIMATIVA[[#This Row],[QT_CANA_REAL]],ESTIMATIVA[[#This Row],[QT_CANA_REST1]])</f>
        <v>554.42999999999995</v>
      </c>
      <c r="AF878" s="1">
        <f>IF(ESTIMATIVA[[#This Row],[QT_AREA_REAL]]&gt;0,ESTIMATIVA[[#This Row],[QT_CANA_REAL]],ESTIMATIVA[[#This Row],[QT_CANA_REST2]])</f>
        <v>554.42999999999995</v>
      </c>
      <c r="AG878" s="1" t="str">
        <f>IF(COUNTIFS(GEADA!A:A,VALUE(ESTIMATIVA[[#This Row],[CD_UPNIVEL1]]&amp;TEXT(ESTIMATIVA[[#This Row],[CD_UPNIVEL3]],"0000")))&gt;0,"S","N")</f>
        <v>N</v>
      </c>
      <c r="AH87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78" s="55" t="str">
        <f>IF(ESTIMATIVA[[#This Row],[TP_CULTIVO]]="Irrigado",_xlfn.MAXIFS(IRRIGADO!J:J,IRRIGADO!C:C,ESTIMATIVA[[#This Row],[CD_UPNIVEL1]],IRRIGADO!E:E,ESTIMATIVA[[#This Row],[CD_UPNIVEL3]]),"")</f>
        <v/>
      </c>
      <c r="AJ87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78" s="1">
        <f>COUNTIFS(Apresentação!$E$23:$E$29,ESTIMATIVA[[#This Row],[CD_UPNIVEL1]])</f>
        <v>0</v>
      </c>
    </row>
    <row r="879" spans="1:37" x14ac:dyDescent="0.3">
      <c r="A879">
        <v>20434</v>
      </c>
      <c r="B879" t="s">
        <v>48</v>
      </c>
      <c r="C879">
        <v>20</v>
      </c>
      <c r="D879">
        <v>5</v>
      </c>
      <c r="E879" t="s">
        <v>268</v>
      </c>
      <c r="F879" s="85" t="s">
        <v>333</v>
      </c>
      <c r="G879"/>
      <c r="H879" t="s">
        <v>294</v>
      </c>
      <c r="I879" t="s">
        <v>202</v>
      </c>
      <c r="J879" t="s">
        <v>176</v>
      </c>
      <c r="K879" s="1">
        <v>14.46</v>
      </c>
      <c r="L879" s="1">
        <v>0</v>
      </c>
      <c r="M879" s="1">
        <v>0</v>
      </c>
      <c r="N879" s="1">
        <v>14.46</v>
      </c>
      <c r="O879" s="1">
        <v>838.68</v>
      </c>
      <c r="P879" s="1">
        <v>0</v>
      </c>
      <c r="Q879" s="1">
        <v>0</v>
      </c>
      <c r="R879" s="1">
        <v>566.97</v>
      </c>
      <c r="S879" t="s">
        <v>12</v>
      </c>
      <c r="T879" s="13">
        <v>45739</v>
      </c>
      <c r="U879" s="1" t="str">
        <f>IF(ESTIMATIVA[[#This Row],[QT_AREA_REAL]]&gt;0,"1- Colhido","2- à Colher")</f>
        <v>1- Colhido</v>
      </c>
      <c r="V879" s="1" t="str">
        <f>IF(ESTIMATIVA[[#This Row],[QT_AREA_REST1]]&gt;0,"Reestimativa 1",IF(ESTIMATIVA[[#This Row],[QT_AREA_REAL]]=0,"Reestimativa 1","Realizado"))</f>
        <v>Realizado</v>
      </c>
      <c r="W879" s="1" t="str">
        <f>IF(ESTIMATIVA[[#This Row],[QT_AREA_REST2]]&gt;0,"Reestimativa 2",IF(ESTIMATIVA[[#This Row],[QT_AREA_REAL]]=0,"Reestimativa 2","Realizado"))</f>
        <v>Realizado</v>
      </c>
      <c r="X879" s="1">
        <f>ESTIMATIVA[[#This Row],[QT_AREA_EST]]</f>
        <v>14.46</v>
      </c>
      <c r="Y879" s="1">
        <f>IF(ESTIMATIVA[[#This Row],[QT_AREA_REST1]]&gt;0,ESTIMATIVA[[#This Row],[QT_AREA_REST1]],
  IF(ESTIMATIVA[[#This Row],[QT_AREA_REAL]]&gt;0,ESTIMATIVA[[#This Row],[QT_AREA_REAL]],ESTIMATIVA[[#This Row],[QT_AREA_EST]]))</f>
        <v>14.46</v>
      </c>
      <c r="Z87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14.46</v>
      </c>
      <c r="AA879" s="1">
        <f>ESTIMATIVA[[#This Row],[QT_CANA_EST]]</f>
        <v>838.68</v>
      </c>
      <c r="AB879" s="1">
        <f>IF(ESTIMATIVA[[#This Row],[QT_CANA_REST1]]&gt;0,ESTIMATIVA[[#This Row],[QT_CANA_REST1]],
  IF(ESTIMATIVA[[#This Row],[QT_CANA_REAL]]&gt;0,ESTIMATIVA[[#This Row],[QT_CANA_REAL]],ESTIMATIVA[[#This Row],[QT_CANA_EST]]))</f>
        <v>566.97</v>
      </c>
      <c r="AC87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566.97</v>
      </c>
      <c r="AD879" s="1">
        <f>IF(ESTIMATIVA[[#This Row],[QT_AREA_REAL]]&gt;0,ESTIMATIVA[[#This Row],[QT_CANA_REAL]],ESTIMATIVA[[#This Row],[QT_CANA_EST]])</f>
        <v>566.97</v>
      </c>
      <c r="AE879" s="1">
        <f>IF(ESTIMATIVA[[#This Row],[QT_AREA_REAL]]&gt;0,ESTIMATIVA[[#This Row],[QT_CANA_REAL]],ESTIMATIVA[[#This Row],[QT_CANA_REST1]])</f>
        <v>566.97</v>
      </c>
      <c r="AF879" s="1">
        <f>IF(ESTIMATIVA[[#This Row],[QT_AREA_REAL]]&gt;0,ESTIMATIVA[[#This Row],[QT_CANA_REAL]],ESTIMATIVA[[#This Row],[QT_CANA_REST2]])</f>
        <v>566.97</v>
      </c>
      <c r="AG879" s="1" t="str">
        <f>IF(COUNTIFS(GEADA!A:A,VALUE(ESTIMATIVA[[#This Row],[CD_UPNIVEL1]]&amp;TEXT(ESTIMATIVA[[#This Row],[CD_UPNIVEL3]],"0000")))&gt;0,"S","N")</f>
        <v>N</v>
      </c>
      <c r="AH87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79" s="55" t="str">
        <f>IF(ESTIMATIVA[[#This Row],[TP_CULTIVO]]="Irrigado",_xlfn.MAXIFS(IRRIGADO!J:J,IRRIGADO!C:C,ESTIMATIVA[[#This Row],[CD_UPNIVEL1]],IRRIGADO!E:E,ESTIMATIVA[[#This Row],[CD_UPNIVEL3]]),"")</f>
        <v/>
      </c>
      <c r="AJ87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79" s="1">
        <f>COUNTIFS(Apresentação!$E$23:$E$29,ESTIMATIVA[[#This Row],[CD_UPNIVEL1]])</f>
        <v>0</v>
      </c>
    </row>
    <row r="880" spans="1:37" x14ac:dyDescent="0.3">
      <c r="A880">
        <v>20434</v>
      </c>
      <c r="B880" t="s">
        <v>48</v>
      </c>
      <c r="C880">
        <v>21</v>
      </c>
      <c r="D880">
        <v>4</v>
      </c>
      <c r="E880" t="s">
        <v>265</v>
      </c>
      <c r="F880" s="85" t="s">
        <v>331</v>
      </c>
      <c r="G880"/>
      <c r="H880" t="s">
        <v>294</v>
      </c>
      <c r="I880" t="s">
        <v>202</v>
      </c>
      <c r="J880" t="s">
        <v>176</v>
      </c>
      <c r="K880" s="1">
        <v>41.98</v>
      </c>
      <c r="L880" s="1">
        <v>0</v>
      </c>
      <c r="M880" s="1">
        <v>0</v>
      </c>
      <c r="N880" s="1">
        <v>41.98</v>
      </c>
      <c r="O880" s="1">
        <v>2770.68</v>
      </c>
      <c r="P880" s="1">
        <v>0</v>
      </c>
      <c r="Q880" s="1">
        <v>0</v>
      </c>
      <c r="R880" s="1">
        <v>2265.37</v>
      </c>
      <c r="S880" t="s">
        <v>12</v>
      </c>
      <c r="T880" s="13">
        <v>45739</v>
      </c>
      <c r="U880" s="1" t="str">
        <f>IF(ESTIMATIVA[[#This Row],[QT_AREA_REAL]]&gt;0,"1- Colhido","2- à Colher")</f>
        <v>1- Colhido</v>
      </c>
      <c r="V880" s="1" t="str">
        <f>IF(ESTIMATIVA[[#This Row],[QT_AREA_REST1]]&gt;0,"Reestimativa 1",IF(ESTIMATIVA[[#This Row],[QT_AREA_REAL]]=0,"Reestimativa 1","Realizado"))</f>
        <v>Realizado</v>
      </c>
      <c r="W880" s="1" t="str">
        <f>IF(ESTIMATIVA[[#This Row],[QT_AREA_REST2]]&gt;0,"Reestimativa 2",IF(ESTIMATIVA[[#This Row],[QT_AREA_REAL]]=0,"Reestimativa 2","Realizado"))</f>
        <v>Realizado</v>
      </c>
      <c r="X880" s="1">
        <f>ESTIMATIVA[[#This Row],[QT_AREA_EST]]</f>
        <v>41.98</v>
      </c>
      <c r="Y880" s="1">
        <f>IF(ESTIMATIVA[[#This Row],[QT_AREA_REST1]]&gt;0,ESTIMATIVA[[#This Row],[QT_AREA_REST1]],
  IF(ESTIMATIVA[[#This Row],[QT_AREA_REAL]]&gt;0,ESTIMATIVA[[#This Row],[QT_AREA_REAL]],ESTIMATIVA[[#This Row],[QT_AREA_EST]]))</f>
        <v>41.98</v>
      </c>
      <c r="Z88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41.98</v>
      </c>
      <c r="AA880" s="1">
        <f>ESTIMATIVA[[#This Row],[QT_CANA_EST]]</f>
        <v>2770.68</v>
      </c>
      <c r="AB880" s="1">
        <f>IF(ESTIMATIVA[[#This Row],[QT_CANA_REST1]]&gt;0,ESTIMATIVA[[#This Row],[QT_CANA_REST1]],
  IF(ESTIMATIVA[[#This Row],[QT_CANA_REAL]]&gt;0,ESTIMATIVA[[#This Row],[QT_CANA_REAL]],ESTIMATIVA[[#This Row],[QT_CANA_EST]]))</f>
        <v>2265.37</v>
      </c>
      <c r="AC88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2265.37</v>
      </c>
      <c r="AD880" s="1">
        <f>IF(ESTIMATIVA[[#This Row],[QT_AREA_REAL]]&gt;0,ESTIMATIVA[[#This Row],[QT_CANA_REAL]],ESTIMATIVA[[#This Row],[QT_CANA_EST]])</f>
        <v>2265.37</v>
      </c>
      <c r="AE880" s="1">
        <f>IF(ESTIMATIVA[[#This Row],[QT_AREA_REAL]]&gt;0,ESTIMATIVA[[#This Row],[QT_CANA_REAL]],ESTIMATIVA[[#This Row],[QT_CANA_REST1]])</f>
        <v>2265.37</v>
      </c>
      <c r="AF880" s="1">
        <f>IF(ESTIMATIVA[[#This Row],[QT_AREA_REAL]]&gt;0,ESTIMATIVA[[#This Row],[QT_CANA_REAL]],ESTIMATIVA[[#This Row],[QT_CANA_REST2]])</f>
        <v>2265.37</v>
      </c>
      <c r="AG880" s="1" t="str">
        <f>IF(COUNTIFS(GEADA!A:A,VALUE(ESTIMATIVA[[#This Row],[CD_UPNIVEL1]]&amp;TEXT(ESTIMATIVA[[#This Row],[CD_UPNIVEL3]],"0000")))&gt;0,"S","N")</f>
        <v>N</v>
      </c>
      <c r="AH88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80" s="55" t="str">
        <f>IF(ESTIMATIVA[[#This Row],[TP_CULTIVO]]="Irrigado",_xlfn.MAXIFS(IRRIGADO!J:J,IRRIGADO!C:C,ESTIMATIVA[[#This Row],[CD_UPNIVEL1]],IRRIGADO!E:E,ESTIMATIVA[[#This Row],[CD_UPNIVEL3]]),"")</f>
        <v/>
      </c>
      <c r="AJ88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80" s="1">
        <f>COUNTIFS(Apresentação!$E$23:$E$29,ESTIMATIVA[[#This Row],[CD_UPNIVEL1]])</f>
        <v>0</v>
      </c>
    </row>
    <row r="881" spans="1:37" x14ac:dyDescent="0.3">
      <c r="A881">
        <v>20434</v>
      </c>
      <c r="B881" t="s">
        <v>48</v>
      </c>
      <c r="C881">
        <v>22</v>
      </c>
      <c r="D881">
        <v>4</v>
      </c>
      <c r="E881" t="s">
        <v>265</v>
      </c>
      <c r="F881" s="85" t="s">
        <v>331</v>
      </c>
      <c r="G881"/>
      <c r="H881" t="s">
        <v>294</v>
      </c>
      <c r="I881" t="s">
        <v>202</v>
      </c>
      <c r="J881" t="s">
        <v>176</v>
      </c>
      <c r="K881" s="1">
        <v>3.63</v>
      </c>
      <c r="L881" s="1">
        <v>0</v>
      </c>
      <c r="M881" s="1">
        <v>0</v>
      </c>
      <c r="N881" s="1">
        <v>3.63</v>
      </c>
      <c r="O881" s="1">
        <v>239.58</v>
      </c>
      <c r="P881" s="1">
        <v>0</v>
      </c>
      <c r="Q881" s="1">
        <v>0</v>
      </c>
      <c r="R881" s="1">
        <v>185.36</v>
      </c>
      <c r="S881" t="s">
        <v>12</v>
      </c>
      <c r="T881" s="13">
        <v>45739</v>
      </c>
      <c r="U881" s="1" t="str">
        <f>IF(ESTIMATIVA[[#This Row],[QT_AREA_REAL]]&gt;0,"1- Colhido","2- à Colher")</f>
        <v>1- Colhido</v>
      </c>
      <c r="V881" s="1" t="str">
        <f>IF(ESTIMATIVA[[#This Row],[QT_AREA_REST1]]&gt;0,"Reestimativa 1",IF(ESTIMATIVA[[#This Row],[QT_AREA_REAL]]=0,"Reestimativa 1","Realizado"))</f>
        <v>Realizado</v>
      </c>
      <c r="W881" s="1" t="str">
        <f>IF(ESTIMATIVA[[#This Row],[QT_AREA_REST2]]&gt;0,"Reestimativa 2",IF(ESTIMATIVA[[#This Row],[QT_AREA_REAL]]=0,"Reestimativa 2","Realizado"))</f>
        <v>Realizado</v>
      </c>
      <c r="X881" s="1">
        <f>ESTIMATIVA[[#This Row],[QT_AREA_EST]]</f>
        <v>3.63</v>
      </c>
      <c r="Y881" s="1">
        <f>IF(ESTIMATIVA[[#This Row],[QT_AREA_REST1]]&gt;0,ESTIMATIVA[[#This Row],[QT_AREA_REST1]],
  IF(ESTIMATIVA[[#This Row],[QT_AREA_REAL]]&gt;0,ESTIMATIVA[[#This Row],[QT_AREA_REAL]],ESTIMATIVA[[#This Row],[QT_AREA_EST]]))</f>
        <v>3.63</v>
      </c>
      <c r="Z88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3.63</v>
      </c>
      <c r="AA881" s="1">
        <f>ESTIMATIVA[[#This Row],[QT_CANA_EST]]</f>
        <v>239.58</v>
      </c>
      <c r="AB881" s="1">
        <f>IF(ESTIMATIVA[[#This Row],[QT_CANA_REST1]]&gt;0,ESTIMATIVA[[#This Row],[QT_CANA_REST1]],
  IF(ESTIMATIVA[[#This Row],[QT_CANA_REAL]]&gt;0,ESTIMATIVA[[#This Row],[QT_CANA_REAL]],ESTIMATIVA[[#This Row],[QT_CANA_EST]]))</f>
        <v>185.36</v>
      </c>
      <c r="AC88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185.36</v>
      </c>
      <c r="AD881" s="1">
        <f>IF(ESTIMATIVA[[#This Row],[QT_AREA_REAL]]&gt;0,ESTIMATIVA[[#This Row],[QT_CANA_REAL]],ESTIMATIVA[[#This Row],[QT_CANA_EST]])</f>
        <v>185.36</v>
      </c>
      <c r="AE881" s="1">
        <f>IF(ESTIMATIVA[[#This Row],[QT_AREA_REAL]]&gt;0,ESTIMATIVA[[#This Row],[QT_CANA_REAL]],ESTIMATIVA[[#This Row],[QT_CANA_REST1]])</f>
        <v>185.36</v>
      </c>
      <c r="AF881" s="1">
        <f>IF(ESTIMATIVA[[#This Row],[QT_AREA_REAL]]&gt;0,ESTIMATIVA[[#This Row],[QT_CANA_REAL]],ESTIMATIVA[[#This Row],[QT_CANA_REST2]])</f>
        <v>185.36</v>
      </c>
      <c r="AG881" s="1" t="str">
        <f>IF(COUNTIFS(GEADA!A:A,VALUE(ESTIMATIVA[[#This Row],[CD_UPNIVEL1]]&amp;TEXT(ESTIMATIVA[[#This Row],[CD_UPNIVEL3]],"0000")))&gt;0,"S","N")</f>
        <v>N</v>
      </c>
      <c r="AH88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81" s="55" t="str">
        <f>IF(ESTIMATIVA[[#This Row],[TP_CULTIVO]]="Irrigado",_xlfn.MAXIFS(IRRIGADO!J:J,IRRIGADO!C:C,ESTIMATIVA[[#This Row],[CD_UPNIVEL1]],IRRIGADO!E:E,ESTIMATIVA[[#This Row],[CD_UPNIVEL3]]),"")</f>
        <v/>
      </c>
      <c r="AJ88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81" s="1">
        <f>COUNTIFS(Apresentação!$E$23:$E$29,ESTIMATIVA[[#This Row],[CD_UPNIVEL1]])</f>
        <v>0</v>
      </c>
    </row>
    <row r="882" spans="1:37" x14ac:dyDescent="0.3">
      <c r="A882">
        <v>20434</v>
      </c>
      <c r="B882" t="s">
        <v>48</v>
      </c>
      <c r="C882">
        <v>23</v>
      </c>
      <c r="D882">
        <v>4</v>
      </c>
      <c r="E882" t="s">
        <v>265</v>
      </c>
      <c r="F882" s="85" t="s">
        <v>331</v>
      </c>
      <c r="G882"/>
      <c r="H882" t="s">
        <v>294</v>
      </c>
      <c r="I882" t="s">
        <v>202</v>
      </c>
      <c r="J882" t="s">
        <v>176</v>
      </c>
      <c r="K882" s="1">
        <v>2.5499999999999998</v>
      </c>
      <c r="L882" s="1">
        <v>0</v>
      </c>
      <c r="M882" s="1">
        <v>0</v>
      </c>
      <c r="N882" s="1">
        <v>2.5499999999999998</v>
      </c>
      <c r="O882" s="1">
        <v>196.35</v>
      </c>
      <c r="P882" s="1">
        <v>0</v>
      </c>
      <c r="Q882" s="1">
        <v>0</v>
      </c>
      <c r="R882" s="1">
        <v>251.72</v>
      </c>
      <c r="S882" t="s">
        <v>12</v>
      </c>
      <c r="T882" s="13">
        <v>45746</v>
      </c>
      <c r="U882" s="1" t="str">
        <f>IF(ESTIMATIVA[[#This Row],[QT_AREA_REAL]]&gt;0,"1- Colhido","2- à Colher")</f>
        <v>1- Colhido</v>
      </c>
      <c r="V882" s="1" t="str">
        <f>IF(ESTIMATIVA[[#This Row],[QT_AREA_REST1]]&gt;0,"Reestimativa 1",IF(ESTIMATIVA[[#This Row],[QT_AREA_REAL]]=0,"Reestimativa 1","Realizado"))</f>
        <v>Realizado</v>
      </c>
      <c r="W882" s="1" t="str">
        <f>IF(ESTIMATIVA[[#This Row],[QT_AREA_REST2]]&gt;0,"Reestimativa 2",IF(ESTIMATIVA[[#This Row],[QT_AREA_REAL]]=0,"Reestimativa 2","Realizado"))</f>
        <v>Realizado</v>
      </c>
      <c r="X882" s="1">
        <f>ESTIMATIVA[[#This Row],[QT_AREA_EST]]</f>
        <v>2.5499999999999998</v>
      </c>
      <c r="Y882" s="1">
        <f>IF(ESTIMATIVA[[#This Row],[QT_AREA_REST1]]&gt;0,ESTIMATIVA[[#This Row],[QT_AREA_REST1]],
  IF(ESTIMATIVA[[#This Row],[QT_AREA_REAL]]&gt;0,ESTIMATIVA[[#This Row],[QT_AREA_REAL]],ESTIMATIVA[[#This Row],[QT_AREA_EST]]))</f>
        <v>2.5499999999999998</v>
      </c>
      <c r="Z88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2.5499999999999998</v>
      </c>
      <c r="AA882" s="1">
        <f>ESTIMATIVA[[#This Row],[QT_CANA_EST]]</f>
        <v>196.35</v>
      </c>
      <c r="AB882" s="1">
        <f>IF(ESTIMATIVA[[#This Row],[QT_CANA_REST1]]&gt;0,ESTIMATIVA[[#This Row],[QT_CANA_REST1]],
  IF(ESTIMATIVA[[#This Row],[QT_CANA_REAL]]&gt;0,ESTIMATIVA[[#This Row],[QT_CANA_REAL]],ESTIMATIVA[[#This Row],[QT_CANA_EST]]))</f>
        <v>251.72</v>
      </c>
      <c r="AC88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251.72</v>
      </c>
      <c r="AD882" s="1">
        <f>IF(ESTIMATIVA[[#This Row],[QT_AREA_REAL]]&gt;0,ESTIMATIVA[[#This Row],[QT_CANA_REAL]],ESTIMATIVA[[#This Row],[QT_CANA_EST]])</f>
        <v>251.72</v>
      </c>
      <c r="AE882" s="1">
        <f>IF(ESTIMATIVA[[#This Row],[QT_AREA_REAL]]&gt;0,ESTIMATIVA[[#This Row],[QT_CANA_REAL]],ESTIMATIVA[[#This Row],[QT_CANA_REST1]])</f>
        <v>251.72</v>
      </c>
      <c r="AF882" s="1">
        <f>IF(ESTIMATIVA[[#This Row],[QT_AREA_REAL]]&gt;0,ESTIMATIVA[[#This Row],[QT_CANA_REAL]],ESTIMATIVA[[#This Row],[QT_CANA_REST2]])</f>
        <v>251.72</v>
      </c>
      <c r="AG882" s="1" t="str">
        <f>IF(COUNTIFS(GEADA!A:A,VALUE(ESTIMATIVA[[#This Row],[CD_UPNIVEL1]]&amp;TEXT(ESTIMATIVA[[#This Row],[CD_UPNIVEL3]],"0000")))&gt;0,"S","N")</f>
        <v>N</v>
      </c>
      <c r="AH88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82" s="55" t="str">
        <f>IF(ESTIMATIVA[[#This Row],[TP_CULTIVO]]="Irrigado",_xlfn.MAXIFS(IRRIGADO!J:J,IRRIGADO!C:C,ESTIMATIVA[[#This Row],[CD_UPNIVEL1]],IRRIGADO!E:E,ESTIMATIVA[[#This Row],[CD_UPNIVEL3]]),"")</f>
        <v/>
      </c>
      <c r="AJ88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82" s="1">
        <f>COUNTIFS(Apresentação!$E$23:$E$29,ESTIMATIVA[[#This Row],[CD_UPNIVEL1]])</f>
        <v>0</v>
      </c>
    </row>
    <row r="883" spans="1:37" x14ac:dyDescent="0.3">
      <c r="A883">
        <v>20439</v>
      </c>
      <c r="B883" t="s">
        <v>136</v>
      </c>
      <c r="C883">
        <v>1</v>
      </c>
      <c r="D883">
        <v>2</v>
      </c>
      <c r="E883" t="s">
        <v>266</v>
      </c>
      <c r="F883" s="85" t="s">
        <v>333</v>
      </c>
      <c r="G883"/>
      <c r="H883" t="s">
        <v>295</v>
      </c>
      <c r="I883" t="s">
        <v>202</v>
      </c>
      <c r="J883" t="s">
        <v>176</v>
      </c>
      <c r="K883" s="1">
        <v>23.11</v>
      </c>
      <c r="L883" s="1">
        <v>23.11</v>
      </c>
      <c r="M883" s="1">
        <v>23.11</v>
      </c>
      <c r="N883" s="1">
        <v>23.11</v>
      </c>
      <c r="O883" s="1">
        <v>1895.02</v>
      </c>
      <c r="P883" s="1">
        <v>1895.02</v>
      </c>
      <c r="Q883" s="1">
        <v>1617.7</v>
      </c>
      <c r="R883" s="1">
        <v>1596.92</v>
      </c>
      <c r="S883" t="s">
        <v>12</v>
      </c>
      <c r="T883" s="13">
        <v>45998</v>
      </c>
      <c r="U883" s="1" t="str">
        <f>IF(ESTIMATIVA[[#This Row],[QT_AREA_REAL]]&gt;0,"1- Colhido","2- à Colher")</f>
        <v>1- Colhido</v>
      </c>
      <c r="V883" s="1" t="str">
        <f>IF(ESTIMATIVA[[#This Row],[QT_AREA_REST1]]&gt;0,"Reestimativa 1",IF(ESTIMATIVA[[#This Row],[QT_AREA_REAL]]=0,"Reestimativa 1","Realizado"))</f>
        <v>Reestimativa 1</v>
      </c>
      <c r="W883" s="1" t="str">
        <f>IF(ESTIMATIVA[[#This Row],[QT_AREA_REST2]]&gt;0,"Reestimativa 2",IF(ESTIMATIVA[[#This Row],[QT_AREA_REAL]]=0,"Reestimativa 2","Realizado"))</f>
        <v>Reestimativa 2</v>
      </c>
      <c r="X883" s="1">
        <f>ESTIMATIVA[[#This Row],[QT_AREA_EST]]</f>
        <v>23.11</v>
      </c>
      <c r="Y883" s="1">
        <f>IF(ESTIMATIVA[[#This Row],[QT_AREA_REST1]]&gt;0,ESTIMATIVA[[#This Row],[QT_AREA_REST1]],
  IF(ESTIMATIVA[[#This Row],[QT_AREA_REAL]]&gt;0,ESTIMATIVA[[#This Row],[QT_AREA_REAL]],ESTIMATIVA[[#This Row],[QT_AREA_EST]]))</f>
        <v>23.11</v>
      </c>
      <c r="Z88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23.11</v>
      </c>
      <c r="AA883" s="1">
        <f>ESTIMATIVA[[#This Row],[QT_CANA_EST]]</f>
        <v>1895.02</v>
      </c>
      <c r="AB883" s="1">
        <f>IF(ESTIMATIVA[[#This Row],[QT_CANA_REST1]]&gt;0,ESTIMATIVA[[#This Row],[QT_CANA_REST1]],
  IF(ESTIMATIVA[[#This Row],[QT_CANA_REAL]]&gt;0,ESTIMATIVA[[#This Row],[QT_CANA_REAL]],ESTIMATIVA[[#This Row],[QT_CANA_EST]]))</f>
        <v>1895.02</v>
      </c>
      <c r="AC88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1617.7</v>
      </c>
      <c r="AD883" s="1">
        <f>IF(ESTIMATIVA[[#This Row],[QT_AREA_REAL]]&gt;0,ESTIMATIVA[[#This Row],[QT_CANA_REAL]],ESTIMATIVA[[#This Row],[QT_CANA_EST]])</f>
        <v>1596.92</v>
      </c>
      <c r="AE883" s="1">
        <f>IF(ESTIMATIVA[[#This Row],[QT_AREA_REAL]]&gt;0,ESTIMATIVA[[#This Row],[QT_CANA_REAL]],ESTIMATIVA[[#This Row],[QT_CANA_REST1]])</f>
        <v>1596.92</v>
      </c>
      <c r="AF883" s="1">
        <f>IF(ESTIMATIVA[[#This Row],[QT_AREA_REAL]]&gt;0,ESTIMATIVA[[#This Row],[QT_CANA_REAL]],ESTIMATIVA[[#This Row],[QT_CANA_REST2]])</f>
        <v>1596.92</v>
      </c>
      <c r="AG883" s="1" t="str">
        <f>IF(COUNTIFS(GEADA!A:A,VALUE(ESTIMATIVA[[#This Row],[CD_UPNIVEL1]]&amp;TEXT(ESTIMATIVA[[#This Row],[CD_UPNIVEL3]],"0000")))&gt;0,"S","N")</f>
        <v>N</v>
      </c>
      <c r="AH88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83" s="55" t="str">
        <f>IF(ESTIMATIVA[[#This Row],[TP_CULTIVO]]="Irrigado",_xlfn.MAXIFS(IRRIGADO!J:J,IRRIGADO!C:C,ESTIMATIVA[[#This Row],[CD_UPNIVEL1]],IRRIGADO!E:E,ESTIMATIVA[[#This Row],[CD_UPNIVEL3]]),"")</f>
        <v/>
      </c>
      <c r="AJ88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83" s="1">
        <f>COUNTIFS(Apresentação!$E$23:$E$29,ESTIMATIVA[[#This Row],[CD_UPNIVEL1]])</f>
        <v>1</v>
      </c>
    </row>
    <row r="884" spans="1:37" x14ac:dyDescent="0.3">
      <c r="A884">
        <v>20439</v>
      </c>
      <c r="B884" t="s">
        <v>136</v>
      </c>
      <c r="C884">
        <v>2</v>
      </c>
      <c r="D884">
        <v>2</v>
      </c>
      <c r="E884" t="s">
        <v>266</v>
      </c>
      <c r="F884" s="85" t="s">
        <v>333</v>
      </c>
      <c r="G884"/>
      <c r="H884" t="s">
        <v>295</v>
      </c>
      <c r="I884" t="s">
        <v>202</v>
      </c>
      <c r="J884" t="s">
        <v>176</v>
      </c>
      <c r="K884" s="1">
        <v>43.93</v>
      </c>
      <c r="L884" s="1">
        <v>43.93</v>
      </c>
      <c r="M884" s="1">
        <v>43.93</v>
      </c>
      <c r="N884" s="1">
        <v>43.93</v>
      </c>
      <c r="O884" s="1">
        <v>3602.26</v>
      </c>
      <c r="P884" s="1">
        <v>3602.26</v>
      </c>
      <c r="Q884" s="1">
        <v>3075.1</v>
      </c>
      <c r="R884" s="1">
        <v>3035.13</v>
      </c>
      <c r="S884" t="s">
        <v>12</v>
      </c>
      <c r="T884" s="13">
        <v>45998</v>
      </c>
      <c r="U884" s="1" t="str">
        <f>IF(ESTIMATIVA[[#This Row],[QT_AREA_REAL]]&gt;0,"1- Colhido","2- à Colher")</f>
        <v>1- Colhido</v>
      </c>
      <c r="V884" s="1" t="str">
        <f>IF(ESTIMATIVA[[#This Row],[QT_AREA_REST1]]&gt;0,"Reestimativa 1",IF(ESTIMATIVA[[#This Row],[QT_AREA_REAL]]=0,"Reestimativa 1","Realizado"))</f>
        <v>Reestimativa 1</v>
      </c>
      <c r="W884" s="1" t="str">
        <f>IF(ESTIMATIVA[[#This Row],[QT_AREA_REST2]]&gt;0,"Reestimativa 2",IF(ESTIMATIVA[[#This Row],[QT_AREA_REAL]]=0,"Reestimativa 2","Realizado"))</f>
        <v>Reestimativa 2</v>
      </c>
      <c r="X884" s="1">
        <f>ESTIMATIVA[[#This Row],[QT_AREA_EST]]</f>
        <v>43.93</v>
      </c>
      <c r="Y884" s="1">
        <f>IF(ESTIMATIVA[[#This Row],[QT_AREA_REST1]]&gt;0,ESTIMATIVA[[#This Row],[QT_AREA_REST1]],
  IF(ESTIMATIVA[[#This Row],[QT_AREA_REAL]]&gt;0,ESTIMATIVA[[#This Row],[QT_AREA_REAL]],ESTIMATIVA[[#This Row],[QT_AREA_EST]]))</f>
        <v>43.93</v>
      </c>
      <c r="Z88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43.93</v>
      </c>
      <c r="AA884" s="1">
        <f>ESTIMATIVA[[#This Row],[QT_CANA_EST]]</f>
        <v>3602.26</v>
      </c>
      <c r="AB884" s="1">
        <f>IF(ESTIMATIVA[[#This Row],[QT_CANA_REST1]]&gt;0,ESTIMATIVA[[#This Row],[QT_CANA_REST1]],
  IF(ESTIMATIVA[[#This Row],[QT_CANA_REAL]]&gt;0,ESTIMATIVA[[#This Row],[QT_CANA_REAL]],ESTIMATIVA[[#This Row],[QT_CANA_EST]]))</f>
        <v>3602.26</v>
      </c>
      <c r="AC88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3075.1</v>
      </c>
      <c r="AD884" s="1">
        <f>IF(ESTIMATIVA[[#This Row],[QT_AREA_REAL]]&gt;0,ESTIMATIVA[[#This Row],[QT_CANA_REAL]],ESTIMATIVA[[#This Row],[QT_CANA_EST]])</f>
        <v>3035.13</v>
      </c>
      <c r="AE884" s="1">
        <f>IF(ESTIMATIVA[[#This Row],[QT_AREA_REAL]]&gt;0,ESTIMATIVA[[#This Row],[QT_CANA_REAL]],ESTIMATIVA[[#This Row],[QT_CANA_REST1]])</f>
        <v>3035.13</v>
      </c>
      <c r="AF884" s="1">
        <f>IF(ESTIMATIVA[[#This Row],[QT_AREA_REAL]]&gt;0,ESTIMATIVA[[#This Row],[QT_CANA_REAL]],ESTIMATIVA[[#This Row],[QT_CANA_REST2]])</f>
        <v>3035.13</v>
      </c>
      <c r="AG884" s="1" t="str">
        <f>IF(COUNTIFS(GEADA!A:A,VALUE(ESTIMATIVA[[#This Row],[CD_UPNIVEL1]]&amp;TEXT(ESTIMATIVA[[#This Row],[CD_UPNIVEL3]],"0000")))&gt;0,"S","N")</f>
        <v>N</v>
      </c>
      <c r="AH88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84" s="55" t="str">
        <f>IF(ESTIMATIVA[[#This Row],[TP_CULTIVO]]="Irrigado",_xlfn.MAXIFS(IRRIGADO!J:J,IRRIGADO!C:C,ESTIMATIVA[[#This Row],[CD_UPNIVEL1]],IRRIGADO!E:E,ESTIMATIVA[[#This Row],[CD_UPNIVEL3]]),"")</f>
        <v/>
      </c>
      <c r="AJ88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84" s="1">
        <f>COUNTIFS(Apresentação!$E$23:$E$29,ESTIMATIVA[[#This Row],[CD_UPNIVEL1]])</f>
        <v>1</v>
      </c>
    </row>
    <row r="885" spans="1:37" x14ac:dyDescent="0.3">
      <c r="A885">
        <v>20439</v>
      </c>
      <c r="B885" t="s">
        <v>136</v>
      </c>
      <c r="C885">
        <v>3</v>
      </c>
      <c r="D885">
        <v>2</v>
      </c>
      <c r="E885" t="s">
        <v>266</v>
      </c>
      <c r="F885" s="85" t="s">
        <v>333</v>
      </c>
      <c r="G885"/>
      <c r="H885" t="s">
        <v>295</v>
      </c>
      <c r="I885" t="s">
        <v>202</v>
      </c>
      <c r="J885" t="s">
        <v>176</v>
      </c>
      <c r="K885" s="1">
        <v>43.01</v>
      </c>
      <c r="L885" s="1">
        <v>43.01</v>
      </c>
      <c r="M885" s="1">
        <v>43.01</v>
      </c>
      <c r="N885" s="1">
        <v>43.01</v>
      </c>
      <c r="O885" s="1">
        <v>3526.82</v>
      </c>
      <c r="P885" s="1">
        <v>3526.82</v>
      </c>
      <c r="Q885" s="1">
        <v>3010.7</v>
      </c>
      <c r="R885" s="1">
        <v>3133.26</v>
      </c>
      <c r="S885" t="s">
        <v>12</v>
      </c>
      <c r="T885" s="13">
        <v>45998</v>
      </c>
      <c r="U885" s="1" t="str">
        <f>IF(ESTIMATIVA[[#This Row],[QT_AREA_REAL]]&gt;0,"1- Colhido","2- à Colher")</f>
        <v>1- Colhido</v>
      </c>
      <c r="V885" s="1" t="str">
        <f>IF(ESTIMATIVA[[#This Row],[QT_AREA_REST1]]&gt;0,"Reestimativa 1",IF(ESTIMATIVA[[#This Row],[QT_AREA_REAL]]=0,"Reestimativa 1","Realizado"))</f>
        <v>Reestimativa 1</v>
      </c>
      <c r="W885" s="1" t="str">
        <f>IF(ESTIMATIVA[[#This Row],[QT_AREA_REST2]]&gt;0,"Reestimativa 2",IF(ESTIMATIVA[[#This Row],[QT_AREA_REAL]]=0,"Reestimativa 2","Realizado"))</f>
        <v>Reestimativa 2</v>
      </c>
      <c r="X885" s="1">
        <f>ESTIMATIVA[[#This Row],[QT_AREA_EST]]</f>
        <v>43.01</v>
      </c>
      <c r="Y885" s="1">
        <f>IF(ESTIMATIVA[[#This Row],[QT_AREA_REST1]]&gt;0,ESTIMATIVA[[#This Row],[QT_AREA_REST1]],
  IF(ESTIMATIVA[[#This Row],[QT_AREA_REAL]]&gt;0,ESTIMATIVA[[#This Row],[QT_AREA_REAL]],ESTIMATIVA[[#This Row],[QT_AREA_EST]]))</f>
        <v>43.01</v>
      </c>
      <c r="Z88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43.01</v>
      </c>
      <c r="AA885" s="1">
        <f>ESTIMATIVA[[#This Row],[QT_CANA_EST]]</f>
        <v>3526.82</v>
      </c>
      <c r="AB885" s="1">
        <f>IF(ESTIMATIVA[[#This Row],[QT_CANA_REST1]]&gt;0,ESTIMATIVA[[#This Row],[QT_CANA_REST1]],
  IF(ESTIMATIVA[[#This Row],[QT_CANA_REAL]]&gt;0,ESTIMATIVA[[#This Row],[QT_CANA_REAL]],ESTIMATIVA[[#This Row],[QT_CANA_EST]]))</f>
        <v>3526.82</v>
      </c>
      <c r="AC88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3010.7</v>
      </c>
      <c r="AD885" s="1">
        <f>IF(ESTIMATIVA[[#This Row],[QT_AREA_REAL]]&gt;0,ESTIMATIVA[[#This Row],[QT_CANA_REAL]],ESTIMATIVA[[#This Row],[QT_CANA_EST]])</f>
        <v>3133.26</v>
      </c>
      <c r="AE885" s="1">
        <f>IF(ESTIMATIVA[[#This Row],[QT_AREA_REAL]]&gt;0,ESTIMATIVA[[#This Row],[QT_CANA_REAL]],ESTIMATIVA[[#This Row],[QT_CANA_REST1]])</f>
        <v>3133.26</v>
      </c>
      <c r="AF885" s="1">
        <f>IF(ESTIMATIVA[[#This Row],[QT_AREA_REAL]]&gt;0,ESTIMATIVA[[#This Row],[QT_CANA_REAL]],ESTIMATIVA[[#This Row],[QT_CANA_REST2]])</f>
        <v>3133.26</v>
      </c>
      <c r="AG885" s="1" t="str">
        <f>IF(COUNTIFS(GEADA!A:A,VALUE(ESTIMATIVA[[#This Row],[CD_UPNIVEL1]]&amp;TEXT(ESTIMATIVA[[#This Row],[CD_UPNIVEL3]],"0000")))&gt;0,"S","N")</f>
        <v>N</v>
      </c>
      <c r="AH885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885" s="55">
        <f>IF(ESTIMATIVA[[#This Row],[TP_CULTIVO]]="Irrigado",_xlfn.MAXIFS(IRRIGADO!J:J,IRRIGADO!C:C,ESTIMATIVA[[#This Row],[CD_UPNIVEL1]],IRRIGADO!E:E,ESTIMATIVA[[#This Row],[CD_UPNIVEL3]]),"")</f>
        <v>45565</v>
      </c>
      <c r="AJ885" s="1">
        <f>IF(ESTIMATIVA[[#This Row],[TP_CULTIVO]]&lt;&gt;"Irrigado",0,AVERAGEIFS(IRRIGADO!G:G,IRRIGADO!C:C,ESTIMATIVA[[#This Row],[CD_UPNIVEL1]],IRRIGADO!E:E,ESTIMATIVA[[#This Row],[CD_UPNIVEL3]])*ESTIMATIVA[[#This Row],[QT_AREA_REAL]])</f>
        <v>2580.6</v>
      </c>
      <c r="AK885" s="1">
        <f>COUNTIFS(Apresentação!$E$23:$E$29,ESTIMATIVA[[#This Row],[CD_UPNIVEL1]])</f>
        <v>1</v>
      </c>
    </row>
    <row r="886" spans="1:37" x14ac:dyDescent="0.3">
      <c r="A886">
        <v>20439</v>
      </c>
      <c r="B886" t="s">
        <v>136</v>
      </c>
      <c r="C886">
        <v>4</v>
      </c>
      <c r="D886">
        <v>2</v>
      </c>
      <c r="E886" t="s">
        <v>266</v>
      </c>
      <c r="F886" s="85" t="s">
        <v>333</v>
      </c>
      <c r="G886"/>
      <c r="H886" t="s">
        <v>295</v>
      </c>
      <c r="I886" t="s">
        <v>202</v>
      </c>
      <c r="J886" t="s">
        <v>176</v>
      </c>
      <c r="K886" s="1">
        <v>16.059999999999999</v>
      </c>
      <c r="L886" s="1">
        <v>16.059999999999999</v>
      </c>
      <c r="M886" s="1">
        <v>16.059999999999999</v>
      </c>
      <c r="N886" s="1">
        <v>16.059999999999999</v>
      </c>
      <c r="O886" s="1">
        <v>1316.92</v>
      </c>
      <c r="P886" s="1">
        <v>1316.92</v>
      </c>
      <c r="Q886" s="1">
        <v>1124.2</v>
      </c>
      <c r="R886" s="1">
        <v>849.72</v>
      </c>
      <c r="S886" t="s">
        <v>12</v>
      </c>
      <c r="T886" s="13">
        <v>45991</v>
      </c>
      <c r="U886" s="1" t="str">
        <f>IF(ESTIMATIVA[[#This Row],[QT_AREA_REAL]]&gt;0,"1- Colhido","2- à Colher")</f>
        <v>1- Colhido</v>
      </c>
      <c r="V886" s="1" t="str">
        <f>IF(ESTIMATIVA[[#This Row],[QT_AREA_REST1]]&gt;0,"Reestimativa 1",IF(ESTIMATIVA[[#This Row],[QT_AREA_REAL]]=0,"Reestimativa 1","Realizado"))</f>
        <v>Reestimativa 1</v>
      </c>
      <c r="W886" s="1" t="str">
        <f>IF(ESTIMATIVA[[#This Row],[QT_AREA_REST2]]&gt;0,"Reestimativa 2",IF(ESTIMATIVA[[#This Row],[QT_AREA_REAL]]=0,"Reestimativa 2","Realizado"))</f>
        <v>Reestimativa 2</v>
      </c>
      <c r="X886" s="1">
        <f>ESTIMATIVA[[#This Row],[QT_AREA_EST]]</f>
        <v>16.059999999999999</v>
      </c>
      <c r="Y886" s="1">
        <f>IF(ESTIMATIVA[[#This Row],[QT_AREA_REST1]]&gt;0,ESTIMATIVA[[#This Row],[QT_AREA_REST1]],
  IF(ESTIMATIVA[[#This Row],[QT_AREA_REAL]]&gt;0,ESTIMATIVA[[#This Row],[QT_AREA_REAL]],ESTIMATIVA[[#This Row],[QT_AREA_EST]]))</f>
        <v>16.059999999999999</v>
      </c>
      <c r="Z88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16.059999999999999</v>
      </c>
      <c r="AA886" s="1">
        <f>ESTIMATIVA[[#This Row],[QT_CANA_EST]]</f>
        <v>1316.92</v>
      </c>
      <c r="AB886" s="1">
        <f>IF(ESTIMATIVA[[#This Row],[QT_CANA_REST1]]&gt;0,ESTIMATIVA[[#This Row],[QT_CANA_REST1]],
  IF(ESTIMATIVA[[#This Row],[QT_CANA_REAL]]&gt;0,ESTIMATIVA[[#This Row],[QT_CANA_REAL]],ESTIMATIVA[[#This Row],[QT_CANA_EST]]))</f>
        <v>1316.92</v>
      </c>
      <c r="AC88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1124.2</v>
      </c>
      <c r="AD886" s="1">
        <f>IF(ESTIMATIVA[[#This Row],[QT_AREA_REAL]]&gt;0,ESTIMATIVA[[#This Row],[QT_CANA_REAL]],ESTIMATIVA[[#This Row],[QT_CANA_EST]])</f>
        <v>849.72</v>
      </c>
      <c r="AE886" s="1">
        <f>IF(ESTIMATIVA[[#This Row],[QT_AREA_REAL]]&gt;0,ESTIMATIVA[[#This Row],[QT_CANA_REAL]],ESTIMATIVA[[#This Row],[QT_CANA_REST1]])</f>
        <v>849.72</v>
      </c>
      <c r="AF886" s="1">
        <f>IF(ESTIMATIVA[[#This Row],[QT_AREA_REAL]]&gt;0,ESTIMATIVA[[#This Row],[QT_CANA_REAL]],ESTIMATIVA[[#This Row],[QT_CANA_REST2]])</f>
        <v>849.72</v>
      </c>
      <c r="AG886" s="1" t="str">
        <f>IF(COUNTIFS(GEADA!A:A,VALUE(ESTIMATIVA[[#This Row],[CD_UPNIVEL1]]&amp;TEXT(ESTIMATIVA[[#This Row],[CD_UPNIVEL3]],"0000")))&gt;0,"S","N")</f>
        <v>N</v>
      </c>
      <c r="AH88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886" s="55" t="str">
        <f>IF(ESTIMATIVA[[#This Row],[TP_CULTIVO]]="Irrigado",_xlfn.MAXIFS(IRRIGADO!J:J,IRRIGADO!C:C,ESTIMATIVA[[#This Row],[CD_UPNIVEL1]],IRRIGADO!E:E,ESTIMATIVA[[#This Row],[CD_UPNIVEL3]]),"")</f>
        <v/>
      </c>
      <c r="AJ88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86" s="1">
        <f>COUNTIFS(Apresentação!$E$23:$E$29,ESTIMATIVA[[#This Row],[CD_UPNIVEL1]])</f>
        <v>1</v>
      </c>
    </row>
    <row r="887" spans="1:37" x14ac:dyDescent="0.3">
      <c r="A887">
        <v>20439</v>
      </c>
      <c r="B887" t="s">
        <v>136</v>
      </c>
      <c r="C887">
        <v>5</v>
      </c>
      <c r="D887">
        <v>2</v>
      </c>
      <c r="E887" t="s">
        <v>266</v>
      </c>
      <c r="F887" s="85" t="s">
        <v>333</v>
      </c>
      <c r="G887"/>
      <c r="H887" t="s">
        <v>295</v>
      </c>
      <c r="I887" t="s">
        <v>202</v>
      </c>
      <c r="J887" t="s">
        <v>176</v>
      </c>
      <c r="K887" s="1">
        <v>37.72</v>
      </c>
      <c r="L887" s="1">
        <v>37.72</v>
      </c>
      <c r="M887" s="1">
        <v>37.72</v>
      </c>
      <c r="N887" s="1">
        <v>37.72</v>
      </c>
      <c r="O887" s="1">
        <v>3093.04</v>
      </c>
      <c r="P887" s="1">
        <v>2904.44</v>
      </c>
      <c r="Q887" s="1">
        <v>2640.4</v>
      </c>
      <c r="R887" s="1">
        <v>2271.2800000000002</v>
      </c>
      <c r="S887" t="s">
        <v>12</v>
      </c>
      <c r="T887" s="13">
        <v>45998</v>
      </c>
      <c r="U887" s="1" t="str">
        <f>IF(ESTIMATIVA[[#This Row],[QT_AREA_REAL]]&gt;0,"1- Colhido","2- à Colher")</f>
        <v>1- Colhido</v>
      </c>
      <c r="V887" s="1" t="str">
        <f>IF(ESTIMATIVA[[#This Row],[QT_AREA_REST1]]&gt;0,"Reestimativa 1",IF(ESTIMATIVA[[#This Row],[QT_AREA_REAL]]=0,"Reestimativa 1","Realizado"))</f>
        <v>Reestimativa 1</v>
      </c>
      <c r="W887" s="1" t="str">
        <f>IF(ESTIMATIVA[[#This Row],[QT_AREA_REST2]]&gt;0,"Reestimativa 2",IF(ESTIMATIVA[[#This Row],[QT_AREA_REAL]]=0,"Reestimativa 2","Realizado"))</f>
        <v>Reestimativa 2</v>
      </c>
      <c r="X887" s="1">
        <f>ESTIMATIVA[[#This Row],[QT_AREA_EST]]</f>
        <v>37.72</v>
      </c>
      <c r="Y887" s="1">
        <f>IF(ESTIMATIVA[[#This Row],[QT_AREA_REST1]]&gt;0,ESTIMATIVA[[#This Row],[QT_AREA_REST1]],
  IF(ESTIMATIVA[[#This Row],[QT_AREA_REAL]]&gt;0,ESTIMATIVA[[#This Row],[QT_AREA_REAL]],ESTIMATIVA[[#This Row],[QT_AREA_EST]]))</f>
        <v>37.72</v>
      </c>
      <c r="Z88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37.72</v>
      </c>
      <c r="AA887" s="1">
        <f>ESTIMATIVA[[#This Row],[QT_CANA_EST]]</f>
        <v>3093.04</v>
      </c>
      <c r="AB887" s="1">
        <f>IF(ESTIMATIVA[[#This Row],[QT_CANA_REST1]]&gt;0,ESTIMATIVA[[#This Row],[QT_CANA_REST1]],
  IF(ESTIMATIVA[[#This Row],[QT_CANA_REAL]]&gt;0,ESTIMATIVA[[#This Row],[QT_CANA_REAL]],ESTIMATIVA[[#This Row],[QT_CANA_EST]]))</f>
        <v>2904.44</v>
      </c>
      <c r="AC88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2640.4</v>
      </c>
      <c r="AD887" s="1">
        <f>IF(ESTIMATIVA[[#This Row],[QT_AREA_REAL]]&gt;0,ESTIMATIVA[[#This Row],[QT_CANA_REAL]],ESTIMATIVA[[#This Row],[QT_CANA_EST]])</f>
        <v>2271.2800000000002</v>
      </c>
      <c r="AE887" s="1">
        <f>IF(ESTIMATIVA[[#This Row],[QT_AREA_REAL]]&gt;0,ESTIMATIVA[[#This Row],[QT_CANA_REAL]],ESTIMATIVA[[#This Row],[QT_CANA_REST1]])</f>
        <v>2271.2800000000002</v>
      </c>
      <c r="AF887" s="1">
        <f>IF(ESTIMATIVA[[#This Row],[QT_AREA_REAL]]&gt;0,ESTIMATIVA[[#This Row],[QT_CANA_REAL]],ESTIMATIVA[[#This Row],[QT_CANA_REST2]])</f>
        <v>2271.2800000000002</v>
      </c>
      <c r="AG887" s="1" t="str">
        <f>IF(COUNTIFS(GEADA!A:A,VALUE(ESTIMATIVA[[#This Row],[CD_UPNIVEL1]]&amp;TEXT(ESTIMATIVA[[#This Row],[CD_UPNIVEL3]],"0000")))&gt;0,"S","N")</f>
        <v>S</v>
      </c>
      <c r="AH887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887" s="55">
        <f>IF(ESTIMATIVA[[#This Row],[TP_CULTIVO]]="Irrigado",_xlfn.MAXIFS(IRRIGADO!J:J,IRRIGADO!C:C,ESTIMATIVA[[#This Row],[CD_UPNIVEL1]],IRRIGADO!E:E,ESTIMATIVA[[#This Row],[CD_UPNIVEL3]]),"")</f>
        <v>45565</v>
      </c>
      <c r="AJ887" s="1">
        <f>IF(ESTIMATIVA[[#This Row],[TP_CULTIVO]]&lt;&gt;"Irrigado",0,AVERAGEIFS(IRRIGADO!G:G,IRRIGADO!C:C,ESTIMATIVA[[#This Row],[CD_UPNIVEL1]],IRRIGADO!E:E,ESTIMATIVA[[#This Row],[CD_UPNIVEL3]])*ESTIMATIVA[[#This Row],[QT_AREA_REAL]])</f>
        <v>2263.1999999999998</v>
      </c>
      <c r="AK887" s="1">
        <f>COUNTIFS(Apresentação!$E$23:$E$29,ESTIMATIVA[[#This Row],[CD_UPNIVEL1]])</f>
        <v>1</v>
      </c>
    </row>
    <row r="888" spans="1:37" x14ac:dyDescent="0.3">
      <c r="A888">
        <v>20439</v>
      </c>
      <c r="B888" t="s">
        <v>136</v>
      </c>
      <c r="C888">
        <v>7</v>
      </c>
      <c r="D888">
        <v>2</v>
      </c>
      <c r="E888" t="s">
        <v>266</v>
      </c>
      <c r="F888" s="85" t="s">
        <v>333</v>
      </c>
      <c r="G888"/>
      <c r="H888" t="s">
        <v>295</v>
      </c>
      <c r="I888" t="s">
        <v>199</v>
      </c>
      <c r="J888" t="s">
        <v>176</v>
      </c>
      <c r="K888" s="1">
        <v>23.35</v>
      </c>
      <c r="L888" s="1">
        <v>23.35</v>
      </c>
      <c r="M888" s="1">
        <v>23.35</v>
      </c>
      <c r="N888" s="1">
        <v>23.35</v>
      </c>
      <c r="O888" s="1">
        <v>1868</v>
      </c>
      <c r="P888" s="1">
        <v>1354.3</v>
      </c>
      <c r="Q888" s="1">
        <v>1284.25</v>
      </c>
      <c r="R888" s="1">
        <v>1565.09</v>
      </c>
      <c r="S888" t="s">
        <v>12</v>
      </c>
      <c r="T888" s="13">
        <v>45984</v>
      </c>
      <c r="U888" s="1" t="str">
        <f>IF(ESTIMATIVA[[#This Row],[QT_AREA_REAL]]&gt;0,"1- Colhido","2- à Colher")</f>
        <v>1- Colhido</v>
      </c>
      <c r="V888" s="1" t="str">
        <f>IF(ESTIMATIVA[[#This Row],[QT_AREA_REST1]]&gt;0,"Reestimativa 1",IF(ESTIMATIVA[[#This Row],[QT_AREA_REAL]]=0,"Reestimativa 1","Realizado"))</f>
        <v>Reestimativa 1</v>
      </c>
      <c r="W888" s="1" t="str">
        <f>IF(ESTIMATIVA[[#This Row],[QT_AREA_REST2]]&gt;0,"Reestimativa 2",IF(ESTIMATIVA[[#This Row],[QT_AREA_REAL]]=0,"Reestimativa 2","Realizado"))</f>
        <v>Reestimativa 2</v>
      </c>
      <c r="X888" s="1">
        <f>ESTIMATIVA[[#This Row],[QT_AREA_EST]]</f>
        <v>23.35</v>
      </c>
      <c r="Y888" s="1">
        <f>IF(ESTIMATIVA[[#This Row],[QT_AREA_REST1]]&gt;0,ESTIMATIVA[[#This Row],[QT_AREA_REST1]],
  IF(ESTIMATIVA[[#This Row],[QT_AREA_REAL]]&gt;0,ESTIMATIVA[[#This Row],[QT_AREA_REAL]],ESTIMATIVA[[#This Row],[QT_AREA_EST]]))</f>
        <v>23.35</v>
      </c>
      <c r="Z88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23.35</v>
      </c>
      <c r="AA888" s="1">
        <f>ESTIMATIVA[[#This Row],[QT_CANA_EST]]</f>
        <v>1868</v>
      </c>
      <c r="AB888" s="1">
        <f>IF(ESTIMATIVA[[#This Row],[QT_CANA_REST1]]&gt;0,ESTIMATIVA[[#This Row],[QT_CANA_REST1]],
  IF(ESTIMATIVA[[#This Row],[QT_CANA_REAL]]&gt;0,ESTIMATIVA[[#This Row],[QT_CANA_REAL]],ESTIMATIVA[[#This Row],[QT_CANA_EST]]))</f>
        <v>1354.3</v>
      </c>
      <c r="AC88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1284.25</v>
      </c>
      <c r="AD888" s="1">
        <f>IF(ESTIMATIVA[[#This Row],[QT_AREA_REAL]]&gt;0,ESTIMATIVA[[#This Row],[QT_CANA_REAL]],ESTIMATIVA[[#This Row],[QT_CANA_EST]])</f>
        <v>1565.09</v>
      </c>
      <c r="AE888" s="1">
        <f>IF(ESTIMATIVA[[#This Row],[QT_AREA_REAL]]&gt;0,ESTIMATIVA[[#This Row],[QT_CANA_REAL]],ESTIMATIVA[[#This Row],[QT_CANA_REST1]])</f>
        <v>1565.09</v>
      </c>
      <c r="AF888" s="1">
        <f>IF(ESTIMATIVA[[#This Row],[QT_AREA_REAL]]&gt;0,ESTIMATIVA[[#This Row],[QT_CANA_REAL]],ESTIMATIVA[[#This Row],[QT_CANA_REST2]])</f>
        <v>1565.09</v>
      </c>
      <c r="AG888" s="1" t="str">
        <f>IF(COUNTIFS(GEADA!A:A,VALUE(ESTIMATIVA[[#This Row],[CD_UPNIVEL1]]&amp;TEXT(ESTIMATIVA[[#This Row],[CD_UPNIVEL3]],"0000")))&gt;0,"S","N")</f>
        <v>S</v>
      </c>
      <c r="AH888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888" s="55">
        <f>IF(ESTIMATIVA[[#This Row],[TP_CULTIVO]]="Irrigado",_xlfn.MAXIFS(IRRIGADO!J:J,IRRIGADO!C:C,ESTIMATIVA[[#This Row],[CD_UPNIVEL1]],IRRIGADO!E:E,ESTIMATIVA[[#This Row],[CD_UPNIVEL3]]),"")</f>
        <v>45626</v>
      </c>
      <c r="AJ888" s="1">
        <f>IF(ESTIMATIVA[[#This Row],[TP_CULTIVO]]&lt;&gt;"Irrigado",0,AVERAGEIFS(IRRIGADO!G:G,IRRIGADO!C:C,ESTIMATIVA[[#This Row],[CD_UPNIVEL1]],IRRIGADO!E:E,ESTIMATIVA[[#This Row],[CD_UPNIVEL3]])*ESTIMATIVA[[#This Row],[QT_AREA_REAL]])</f>
        <v>934</v>
      </c>
      <c r="AK888" s="1">
        <f>COUNTIFS(Apresentação!$E$23:$E$29,ESTIMATIVA[[#This Row],[CD_UPNIVEL1]])</f>
        <v>1</v>
      </c>
    </row>
    <row r="889" spans="1:37" x14ac:dyDescent="0.3">
      <c r="A889">
        <v>20440</v>
      </c>
      <c r="B889" t="s">
        <v>49</v>
      </c>
      <c r="C889">
        <v>17</v>
      </c>
      <c r="D889">
        <v>3</v>
      </c>
      <c r="E889" t="s">
        <v>263</v>
      </c>
      <c r="F889" s="85" t="s">
        <v>333</v>
      </c>
      <c r="G889"/>
      <c r="H889" t="s">
        <v>294</v>
      </c>
      <c r="I889" t="s">
        <v>197</v>
      </c>
      <c r="J889" t="s">
        <v>176</v>
      </c>
      <c r="K889" s="1">
        <v>17.559999999999999</v>
      </c>
      <c r="L889" s="1">
        <v>0</v>
      </c>
      <c r="M889" s="1">
        <v>0</v>
      </c>
      <c r="N889" s="1">
        <v>17.559999999999999</v>
      </c>
      <c r="O889" s="1">
        <v>878</v>
      </c>
      <c r="P889" s="1">
        <v>0</v>
      </c>
      <c r="Q889" s="1">
        <v>0</v>
      </c>
      <c r="R889" s="1">
        <v>813.05</v>
      </c>
      <c r="S889" t="s">
        <v>12</v>
      </c>
      <c r="T889" s="13">
        <v>45725</v>
      </c>
      <c r="U889" s="1" t="str">
        <f>IF(ESTIMATIVA[[#This Row],[QT_AREA_REAL]]&gt;0,"1- Colhido","2- à Colher")</f>
        <v>1- Colhido</v>
      </c>
      <c r="V889" s="1" t="str">
        <f>IF(ESTIMATIVA[[#This Row],[QT_AREA_REST1]]&gt;0,"Reestimativa 1",IF(ESTIMATIVA[[#This Row],[QT_AREA_REAL]]=0,"Reestimativa 1","Realizado"))</f>
        <v>Realizado</v>
      </c>
      <c r="W889" s="1" t="str">
        <f>IF(ESTIMATIVA[[#This Row],[QT_AREA_REST2]]&gt;0,"Reestimativa 2",IF(ESTIMATIVA[[#This Row],[QT_AREA_REAL]]=0,"Reestimativa 2","Realizado"))</f>
        <v>Realizado</v>
      </c>
      <c r="X889" s="1">
        <f>ESTIMATIVA[[#This Row],[QT_AREA_EST]]</f>
        <v>17.559999999999999</v>
      </c>
      <c r="Y889" s="1">
        <f>IF(ESTIMATIVA[[#This Row],[QT_AREA_REST1]]&gt;0,ESTIMATIVA[[#This Row],[QT_AREA_REST1]],
  IF(ESTIMATIVA[[#This Row],[QT_AREA_REAL]]&gt;0,ESTIMATIVA[[#This Row],[QT_AREA_REAL]],ESTIMATIVA[[#This Row],[QT_AREA_EST]]))</f>
        <v>17.559999999999999</v>
      </c>
      <c r="Z88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17.559999999999999</v>
      </c>
      <c r="AA889" s="1">
        <f>ESTIMATIVA[[#This Row],[QT_CANA_EST]]</f>
        <v>878</v>
      </c>
      <c r="AB889" s="1">
        <f>IF(ESTIMATIVA[[#This Row],[QT_CANA_REST1]]&gt;0,ESTIMATIVA[[#This Row],[QT_CANA_REST1]],
  IF(ESTIMATIVA[[#This Row],[QT_CANA_REAL]]&gt;0,ESTIMATIVA[[#This Row],[QT_CANA_REAL]],ESTIMATIVA[[#This Row],[QT_CANA_EST]]))</f>
        <v>813.05</v>
      </c>
      <c r="AC88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813.05</v>
      </c>
      <c r="AD889" s="1">
        <f>IF(ESTIMATIVA[[#This Row],[QT_AREA_REAL]]&gt;0,ESTIMATIVA[[#This Row],[QT_CANA_REAL]],ESTIMATIVA[[#This Row],[QT_CANA_EST]])</f>
        <v>813.05</v>
      </c>
      <c r="AE889" s="1">
        <f>IF(ESTIMATIVA[[#This Row],[QT_AREA_REAL]]&gt;0,ESTIMATIVA[[#This Row],[QT_CANA_REAL]],ESTIMATIVA[[#This Row],[QT_CANA_REST1]])</f>
        <v>813.05</v>
      </c>
      <c r="AF889" s="1">
        <f>IF(ESTIMATIVA[[#This Row],[QT_AREA_REAL]]&gt;0,ESTIMATIVA[[#This Row],[QT_CANA_REAL]],ESTIMATIVA[[#This Row],[QT_CANA_REST2]])</f>
        <v>813.05</v>
      </c>
      <c r="AG889" s="1" t="str">
        <f>IF(COUNTIFS(GEADA!A:A,VALUE(ESTIMATIVA[[#This Row],[CD_UPNIVEL1]]&amp;TEXT(ESTIMATIVA[[#This Row],[CD_UPNIVEL3]],"0000")))&gt;0,"S","N")</f>
        <v>N</v>
      </c>
      <c r="AH88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89" s="55" t="str">
        <f>IF(ESTIMATIVA[[#This Row],[TP_CULTIVO]]="Irrigado",_xlfn.MAXIFS(IRRIGADO!J:J,IRRIGADO!C:C,ESTIMATIVA[[#This Row],[CD_UPNIVEL1]],IRRIGADO!E:E,ESTIMATIVA[[#This Row],[CD_UPNIVEL3]]),"")</f>
        <v/>
      </c>
      <c r="AJ88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89" s="1">
        <f>COUNTIFS(Apresentação!$E$23:$E$29,ESTIMATIVA[[#This Row],[CD_UPNIVEL1]])</f>
        <v>0</v>
      </c>
    </row>
    <row r="890" spans="1:37" x14ac:dyDescent="0.3">
      <c r="A890">
        <v>20440</v>
      </c>
      <c r="B890" t="s">
        <v>49</v>
      </c>
      <c r="C890">
        <v>18</v>
      </c>
      <c r="D890">
        <v>3</v>
      </c>
      <c r="E890" t="s">
        <v>263</v>
      </c>
      <c r="F890" s="85" t="s">
        <v>331</v>
      </c>
      <c r="G890"/>
      <c r="H890" t="s">
        <v>294</v>
      </c>
      <c r="I890" t="s">
        <v>197</v>
      </c>
      <c r="J890" t="s">
        <v>176</v>
      </c>
      <c r="K890" s="1">
        <v>20.93</v>
      </c>
      <c r="L890" s="1">
        <v>0</v>
      </c>
      <c r="M890" s="1">
        <v>0</v>
      </c>
      <c r="N890" s="1">
        <v>20.93</v>
      </c>
      <c r="O890" s="1">
        <v>1046.5</v>
      </c>
      <c r="P890" s="1">
        <v>0</v>
      </c>
      <c r="Q890" s="1">
        <v>0</v>
      </c>
      <c r="R890" s="1">
        <v>1438.94</v>
      </c>
      <c r="S890" t="s">
        <v>12</v>
      </c>
      <c r="T890" s="13">
        <v>45732</v>
      </c>
      <c r="U890" s="1" t="str">
        <f>IF(ESTIMATIVA[[#This Row],[QT_AREA_REAL]]&gt;0,"1- Colhido","2- à Colher")</f>
        <v>1- Colhido</v>
      </c>
      <c r="V890" s="1" t="str">
        <f>IF(ESTIMATIVA[[#This Row],[QT_AREA_REST1]]&gt;0,"Reestimativa 1",IF(ESTIMATIVA[[#This Row],[QT_AREA_REAL]]=0,"Reestimativa 1","Realizado"))</f>
        <v>Realizado</v>
      </c>
      <c r="W890" s="1" t="str">
        <f>IF(ESTIMATIVA[[#This Row],[QT_AREA_REST2]]&gt;0,"Reestimativa 2",IF(ESTIMATIVA[[#This Row],[QT_AREA_REAL]]=0,"Reestimativa 2","Realizado"))</f>
        <v>Realizado</v>
      </c>
      <c r="X890" s="1">
        <f>ESTIMATIVA[[#This Row],[QT_AREA_EST]]</f>
        <v>20.93</v>
      </c>
      <c r="Y890" s="1">
        <f>IF(ESTIMATIVA[[#This Row],[QT_AREA_REST1]]&gt;0,ESTIMATIVA[[#This Row],[QT_AREA_REST1]],
  IF(ESTIMATIVA[[#This Row],[QT_AREA_REAL]]&gt;0,ESTIMATIVA[[#This Row],[QT_AREA_REAL]],ESTIMATIVA[[#This Row],[QT_AREA_EST]]))</f>
        <v>20.93</v>
      </c>
      <c r="Z89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20.93</v>
      </c>
      <c r="AA890" s="1">
        <f>ESTIMATIVA[[#This Row],[QT_CANA_EST]]</f>
        <v>1046.5</v>
      </c>
      <c r="AB890" s="1">
        <f>IF(ESTIMATIVA[[#This Row],[QT_CANA_REST1]]&gt;0,ESTIMATIVA[[#This Row],[QT_CANA_REST1]],
  IF(ESTIMATIVA[[#This Row],[QT_CANA_REAL]]&gt;0,ESTIMATIVA[[#This Row],[QT_CANA_REAL]],ESTIMATIVA[[#This Row],[QT_CANA_EST]]))</f>
        <v>1438.94</v>
      </c>
      <c r="AC89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1438.94</v>
      </c>
      <c r="AD890" s="1">
        <f>IF(ESTIMATIVA[[#This Row],[QT_AREA_REAL]]&gt;0,ESTIMATIVA[[#This Row],[QT_CANA_REAL]],ESTIMATIVA[[#This Row],[QT_CANA_EST]])</f>
        <v>1438.94</v>
      </c>
      <c r="AE890" s="1">
        <f>IF(ESTIMATIVA[[#This Row],[QT_AREA_REAL]]&gt;0,ESTIMATIVA[[#This Row],[QT_CANA_REAL]],ESTIMATIVA[[#This Row],[QT_CANA_REST1]])</f>
        <v>1438.94</v>
      </c>
      <c r="AF890" s="1">
        <f>IF(ESTIMATIVA[[#This Row],[QT_AREA_REAL]]&gt;0,ESTIMATIVA[[#This Row],[QT_CANA_REAL]],ESTIMATIVA[[#This Row],[QT_CANA_REST2]])</f>
        <v>1438.94</v>
      </c>
      <c r="AG890" s="1" t="str">
        <f>IF(COUNTIFS(GEADA!A:A,VALUE(ESTIMATIVA[[#This Row],[CD_UPNIVEL1]]&amp;TEXT(ESTIMATIVA[[#This Row],[CD_UPNIVEL3]],"0000")))&gt;0,"S","N")</f>
        <v>N</v>
      </c>
      <c r="AH89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90" s="55" t="str">
        <f>IF(ESTIMATIVA[[#This Row],[TP_CULTIVO]]="Irrigado",_xlfn.MAXIFS(IRRIGADO!J:J,IRRIGADO!C:C,ESTIMATIVA[[#This Row],[CD_UPNIVEL1]],IRRIGADO!E:E,ESTIMATIVA[[#This Row],[CD_UPNIVEL3]]),"")</f>
        <v/>
      </c>
      <c r="AJ89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90" s="1">
        <f>COUNTIFS(Apresentação!$E$23:$E$29,ESTIMATIVA[[#This Row],[CD_UPNIVEL1]])</f>
        <v>0</v>
      </c>
    </row>
    <row r="891" spans="1:37" x14ac:dyDescent="0.3">
      <c r="A891">
        <v>20440</v>
      </c>
      <c r="B891" t="s">
        <v>49</v>
      </c>
      <c r="C891">
        <v>19</v>
      </c>
      <c r="D891">
        <v>3</v>
      </c>
      <c r="E891" t="s">
        <v>263</v>
      </c>
      <c r="F891" s="85" t="s">
        <v>333</v>
      </c>
      <c r="G891"/>
      <c r="H891" t="s">
        <v>294</v>
      </c>
      <c r="I891" t="s">
        <v>197</v>
      </c>
      <c r="J891" t="s">
        <v>176</v>
      </c>
      <c r="K891" s="1">
        <v>22.3</v>
      </c>
      <c r="L891" s="1">
        <v>0</v>
      </c>
      <c r="M891" s="1">
        <v>0</v>
      </c>
      <c r="N891" s="1">
        <v>22.3</v>
      </c>
      <c r="O891" s="1">
        <v>1115</v>
      </c>
      <c r="P891" s="1">
        <v>0</v>
      </c>
      <c r="Q891" s="1">
        <v>0</v>
      </c>
      <c r="R891" s="1">
        <v>1323.56</v>
      </c>
      <c r="S891" t="s">
        <v>12</v>
      </c>
      <c r="T891" s="13">
        <v>45732</v>
      </c>
      <c r="U891" s="1" t="str">
        <f>IF(ESTIMATIVA[[#This Row],[QT_AREA_REAL]]&gt;0,"1- Colhido","2- à Colher")</f>
        <v>1- Colhido</v>
      </c>
      <c r="V891" s="1" t="str">
        <f>IF(ESTIMATIVA[[#This Row],[QT_AREA_REST1]]&gt;0,"Reestimativa 1",IF(ESTIMATIVA[[#This Row],[QT_AREA_REAL]]=0,"Reestimativa 1","Realizado"))</f>
        <v>Realizado</v>
      </c>
      <c r="W891" s="1" t="str">
        <f>IF(ESTIMATIVA[[#This Row],[QT_AREA_REST2]]&gt;0,"Reestimativa 2",IF(ESTIMATIVA[[#This Row],[QT_AREA_REAL]]=0,"Reestimativa 2","Realizado"))</f>
        <v>Realizado</v>
      </c>
      <c r="X891" s="1">
        <f>ESTIMATIVA[[#This Row],[QT_AREA_EST]]</f>
        <v>22.3</v>
      </c>
      <c r="Y891" s="1">
        <f>IF(ESTIMATIVA[[#This Row],[QT_AREA_REST1]]&gt;0,ESTIMATIVA[[#This Row],[QT_AREA_REST1]],
  IF(ESTIMATIVA[[#This Row],[QT_AREA_REAL]]&gt;0,ESTIMATIVA[[#This Row],[QT_AREA_REAL]],ESTIMATIVA[[#This Row],[QT_AREA_EST]]))</f>
        <v>22.3</v>
      </c>
      <c r="Z89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22.3</v>
      </c>
      <c r="AA891" s="1">
        <f>ESTIMATIVA[[#This Row],[QT_CANA_EST]]</f>
        <v>1115</v>
      </c>
      <c r="AB891" s="1">
        <f>IF(ESTIMATIVA[[#This Row],[QT_CANA_REST1]]&gt;0,ESTIMATIVA[[#This Row],[QT_CANA_REST1]],
  IF(ESTIMATIVA[[#This Row],[QT_CANA_REAL]]&gt;0,ESTIMATIVA[[#This Row],[QT_CANA_REAL]],ESTIMATIVA[[#This Row],[QT_CANA_EST]]))</f>
        <v>1323.56</v>
      </c>
      <c r="AC89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1323.56</v>
      </c>
      <c r="AD891" s="1">
        <f>IF(ESTIMATIVA[[#This Row],[QT_AREA_REAL]]&gt;0,ESTIMATIVA[[#This Row],[QT_CANA_REAL]],ESTIMATIVA[[#This Row],[QT_CANA_EST]])</f>
        <v>1323.56</v>
      </c>
      <c r="AE891" s="1">
        <f>IF(ESTIMATIVA[[#This Row],[QT_AREA_REAL]]&gt;0,ESTIMATIVA[[#This Row],[QT_CANA_REAL]],ESTIMATIVA[[#This Row],[QT_CANA_REST1]])</f>
        <v>1323.56</v>
      </c>
      <c r="AF891" s="1">
        <f>IF(ESTIMATIVA[[#This Row],[QT_AREA_REAL]]&gt;0,ESTIMATIVA[[#This Row],[QT_CANA_REAL]],ESTIMATIVA[[#This Row],[QT_CANA_REST2]])</f>
        <v>1323.56</v>
      </c>
      <c r="AG891" s="1" t="str">
        <f>IF(COUNTIFS(GEADA!A:A,VALUE(ESTIMATIVA[[#This Row],[CD_UPNIVEL1]]&amp;TEXT(ESTIMATIVA[[#This Row],[CD_UPNIVEL3]],"0000")))&gt;0,"S","N")</f>
        <v>N</v>
      </c>
      <c r="AH89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91" s="55" t="str">
        <f>IF(ESTIMATIVA[[#This Row],[TP_CULTIVO]]="Irrigado",_xlfn.MAXIFS(IRRIGADO!J:J,IRRIGADO!C:C,ESTIMATIVA[[#This Row],[CD_UPNIVEL1]],IRRIGADO!E:E,ESTIMATIVA[[#This Row],[CD_UPNIVEL3]]),"")</f>
        <v/>
      </c>
      <c r="AJ89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91" s="1">
        <f>COUNTIFS(Apresentação!$E$23:$E$29,ESTIMATIVA[[#This Row],[CD_UPNIVEL1]])</f>
        <v>0</v>
      </c>
    </row>
    <row r="892" spans="1:37" x14ac:dyDescent="0.3">
      <c r="A892">
        <v>20440</v>
      </c>
      <c r="B892" t="s">
        <v>49</v>
      </c>
      <c r="C892">
        <v>20</v>
      </c>
      <c r="D892">
        <v>3</v>
      </c>
      <c r="E892" t="s">
        <v>263</v>
      </c>
      <c r="F892" s="85" t="s">
        <v>333</v>
      </c>
      <c r="G892"/>
      <c r="H892" t="s">
        <v>294</v>
      </c>
      <c r="I892" t="s">
        <v>197</v>
      </c>
      <c r="J892" t="s">
        <v>176</v>
      </c>
      <c r="K892" s="1">
        <v>35.119999999999997</v>
      </c>
      <c r="L892" s="1">
        <v>0</v>
      </c>
      <c r="M892" s="1">
        <v>0</v>
      </c>
      <c r="N892" s="1">
        <v>35.119999999999997</v>
      </c>
      <c r="O892" s="1">
        <v>1756</v>
      </c>
      <c r="P892" s="1">
        <v>0</v>
      </c>
      <c r="Q892" s="1">
        <v>0</v>
      </c>
      <c r="R892" s="1">
        <v>2084.4899999999998</v>
      </c>
      <c r="S892" t="s">
        <v>12</v>
      </c>
      <c r="T892" s="13">
        <v>45732</v>
      </c>
      <c r="U892" s="1" t="str">
        <f>IF(ESTIMATIVA[[#This Row],[QT_AREA_REAL]]&gt;0,"1- Colhido","2- à Colher")</f>
        <v>1- Colhido</v>
      </c>
      <c r="V892" s="1" t="str">
        <f>IF(ESTIMATIVA[[#This Row],[QT_AREA_REST1]]&gt;0,"Reestimativa 1",IF(ESTIMATIVA[[#This Row],[QT_AREA_REAL]]=0,"Reestimativa 1","Realizado"))</f>
        <v>Realizado</v>
      </c>
      <c r="W892" s="1" t="str">
        <f>IF(ESTIMATIVA[[#This Row],[QT_AREA_REST2]]&gt;0,"Reestimativa 2",IF(ESTIMATIVA[[#This Row],[QT_AREA_REAL]]=0,"Reestimativa 2","Realizado"))</f>
        <v>Realizado</v>
      </c>
      <c r="X892" s="1">
        <f>ESTIMATIVA[[#This Row],[QT_AREA_EST]]</f>
        <v>35.119999999999997</v>
      </c>
      <c r="Y892" s="1">
        <f>IF(ESTIMATIVA[[#This Row],[QT_AREA_REST1]]&gt;0,ESTIMATIVA[[#This Row],[QT_AREA_REST1]],
  IF(ESTIMATIVA[[#This Row],[QT_AREA_REAL]]&gt;0,ESTIMATIVA[[#This Row],[QT_AREA_REAL]],ESTIMATIVA[[#This Row],[QT_AREA_EST]]))</f>
        <v>35.119999999999997</v>
      </c>
      <c r="Z89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35.119999999999997</v>
      </c>
      <c r="AA892" s="1">
        <f>ESTIMATIVA[[#This Row],[QT_CANA_EST]]</f>
        <v>1756</v>
      </c>
      <c r="AB892" s="1">
        <f>IF(ESTIMATIVA[[#This Row],[QT_CANA_REST1]]&gt;0,ESTIMATIVA[[#This Row],[QT_CANA_REST1]],
  IF(ESTIMATIVA[[#This Row],[QT_CANA_REAL]]&gt;0,ESTIMATIVA[[#This Row],[QT_CANA_REAL]],ESTIMATIVA[[#This Row],[QT_CANA_EST]]))</f>
        <v>2084.4899999999998</v>
      </c>
      <c r="AC89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2084.4899999999998</v>
      </c>
      <c r="AD892" s="1">
        <f>IF(ESTIMATIVA[[#This Row],[QT_AREA_REAL]]&gt;0,ESTIMATIVA[[#This Row],[QT_CANA_REAL]],ESTIMATIVA[[#This Row],[QT_CANA_EST]])</f>
        <v>2084.4899999999998</v>
      </c>
      <c r="AE892" s="1">
        <f>IF(ESTIMATIVA[[#This Row],[QT_AREA_REAL]]&gt;0,ESTIMATIVA[[#This Row],[QT_CANA_REAL]],ESTIMATIVA[[#This Row],[QT_CANA_REST1]])</f>
        <v>2084.4899999999998</v>
      </c>
      <c r="AF892" s="1">
        <f>IF(ESTIMATIVA[[#This Row],[QT_AREA_REAL]]&gt;0,ESTIMATIVA[[#This Row],[QT_CANA_REAL]],ESTIMATIVA[[#This Row],[QT_CANA_REST2]])</f>
        <v>2084.4899999999998</v>
      </c>
      <c r="AG892" s="1" t="str">
        <f>IF(COUNTIFS(GEADA!A:A,VALUE(ESTIMATIVA[[#This Row],[CD_UPNIVEL1]]&amp;TEXT(ESTIMATIVA[[#This Row],[CD_UPNIVEL3]],"0000")))&gt;0,"S","N")</f>
        <v>N</v>
      </c>
      <c r="AH89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92" s="55" t="str">
        <f>IF(ESTIMATIVA[[#This Row],[TP_CULTIVO]]="Irrigado",_xlfn.MAXIFS(IRRIGADO!J:J,IRRIGADO!C:C,ESTIMATIVA[[#This Row],[CD_UPNIVEL1]],IRRIGADO!E:E,ESTIMATIVA[[#This Row],[CD_UPNIVEL3]]),"")</f>
        <v/>
      </c>
      <c r="AJ89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92" s="1">
        <f>COUNTIFS(Apresentação!$E$23:$E$29,ESTIMATIVA[[#This Row],[CD_UPNIVEL1]])</f>
        <v>0</v>
      </c>
    </row>
    <row r="893" spans="1:37" x14ac:dyDescent="0.3">
      <c r="A893">
        <v>20440</v>
      </c>
      <c r="B893" t="s">
        <v>49</v>
      </c>
      <c r="C893">
        <v>21</v>
      </c>
      <c r="D893">
        <v>3</v>
      </c>
      <c r="E893" t="s">
        <v>263</v>
      </c>
      <c r="F893" s="85" t="s">
        <v>333</v>
      </c>
      <c r="G893"/>
      <c r="H893" t="s">
        <v>294</v>
      </c>
      <c r="I893" t="s">
        <v>197</v>
      </c>
      <c r="J893" t="s">
        <v>176</v>
      </c>
      <c r="K893" s="1">
        <v>28.51</v>
      </c>
      <c r="L893" s="1">
        <v>0</v>
      </c>
      <c r="M893" s="1">
        <v>0</v>
      </c>
      <c r="N893" s="1">
        <v>28.51</v>
      </c>
      <c r="O893" s="1">
        <v>1425.5</v>
      </c>
      <c r="P893" s="1">
        <v>0</v>
      </c>
      <c r="Q893" s="1">
        <v>0</v>
      </c>
      <c r="R893" s="1">
        <v>1692.98</v>
      </c>
      <c r="S893" t="s">
        <v>12</v>
      </c>
      <c r="T893" s="13">
        <v>45732</v>
      </c>
      <c r="U893" s="1" t="str">
        <f>IF(ESTIMATIVA[[#This Row],[QT_AREA_REAL]]&gt;0,"1- Colhido","2- à Colher")</f>
        <v>1- Colhido</v>
      </c>
      <c r="V893" s="1" t="str">
        <f>IF(ESTIMATIVA[[#This Row],[QT_AREA_REST1]]&gt;0,"Reestimativa 1",IF(ESTIMATIVA[[#This Row],[QT_AREA_REAL]]=0,"Reestimativa 1","Realizado"))</f>
        <v>Realizado</v>
      </c>
      <c r="W893" s="1" t="str">
        <f>IF(ESTIMATIVA[[#This Row],[QT_AREA_REST2]]&gt;0,"Reestimativa 2",IF(ESTIMATIVA[[#This Row],[QT_AREA_REAL]]=0,"Reestimativa 2","Realizado"))</f>
        <v>Realizado</v>
      </c>
      <c r="X893" s="1">
        <f>ESTIMATIVA[[#This Row],[QT_AREA_EST]]</f>
        <v>28.51</v>
      </c>
      <c r="Y893" s="1">
        <f>IF(ESTIMATIVA[[#This Row],[QT_AREA_REST1]]&gt;0,ESTIMATIVA[[#This Row],[QT_AREA_REST1]],
  IF(ESTIMATIVA[[#This Row],[QT_AREA_REAL]]&gt;0,ESTIMATIVA[[#This Row],[QT_AREA_REAL]],ESTIMATIVA[[#This Row],[QT_AREA_EST]]))</f>
        <v>28.51</v>
      </c>
      <c r="Z89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28.51</v>
      </c>
      <c r="AA893" s="1">
        <f>ESTIMATIVA[[#This Row],[QT_CANA_EST]]</f>
        <v>1425.5</v>
      </c>
      <c r="AB893" s="1">
        <f>IF(ESTIMATIVA[[#This Row],[QT_CANA_REST1]]&gt;0,ESTIMATIVA[[#This Row],[QT_CANA_REST1]],
  IF(ESTIMATIVA[[#This Row],[QT_CANA_REAL]]&gt;0,ESTIMATIVA[[#This Row],[QT_CANA_REAL]],ESTIMATIVA[[#This Row],[QT_CANA_EST]]))</f>
        <v>1692.98</v>
      </c>
      <c r="AC89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1692.98</v>
      </c>
      <c r="AD893" s="1">
        <f>IF(ESTIMATIVA[[#This Row],[QT_AREA_REAL]]&gt;0,ESTIMATIVA[[#This Row],[QT_CANA_REAL]],ESTIMATIVA[[#This Row],[QT_CANA_EST]])</f>
        <v>1692.98</v>
      </c>
      <c r="AE893" s="1">
        <f>IF(ESTIMATIVA[[#This Row],[QT_AREA_REAL]]&gt;0,ESTIMATIVA[[#This Row],[QT_CANA_REAL]],ESTIMATIVA[[#This Row],[QT_CANA_REST1]])</f>
        <v>1692.98</v>
      </c>
      <c r="AF893" s="1">
        <f>IF(ESTIMATIVA[[#This Row],[QT_AREA_REAL]]&gt;0,ESTIMATIVA[[#This Row],[QT_CANA_REAL]],ESTIMATIVA[[#This Row],[QT_CANA_REST2]])</f>
        <v>1692.98</v>
      </c>
      <c r="AG893" s="1" t="str">
        <f>IF(COUNTIFS(GEADA!A:A,VALUE(ESTIMATIVA[[#This Row],[CD_UPNIVEL1]]&amp;TEXT(ESTIMATIVA[[#This Row],[CD_UPNIVEL3]],"0000")))&gt;0,"S","N")</f>
        <v>N</v>
      </c>
      <c r="AH89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93" s="55" t="str">
        <f>IF(ESTIMATIVA[[#This Row],[TP_CULTIVO]]="Irrigado",_xlfn.MAXIFS(IRRIGADO!J:J,IRRIGADO!C:C,ESTIMATIVA[[#This Row],[CD_UPNIVEL1]],IRRIGADO!E:E,ESTIMATIVA[[#This Row],[CD_UPNIVEL3]]),"")</f>
        <v/>
      </c>
      <c r="AJ89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93" s="1">
        <f>COUNTIFS(Apresentação!$E$23:$E$29,ESTIMATIVA[[#This Row],[CD_UPNIVEL1]])</f>
        <v>0</v>
      </c>
    </row>
    <row r="894" spans="1:37" x14ac:dyDescent="0.3">
      <c r="A894">
        <v>20440</v>
      </c>
      <c r="B894" t="s">
        <v>49</v>
      </c>
      <c r="C894">
        <v>22</v>
      </c>
      <c r="D894">
        <v>3</v>
      </c>
      <c r="E894" t="s">
        <v>263</v>
      </c>
      <c r="F894" s="85" t="s">
        <v>331</v>
      </c>
      <c r="G894"/>
      <c r="H894" t="s">
        <v>294</v>
      </c>
      <c r="I894" t="s">
        <v>197</v>
      </c>
      <c r="J894" t="s">
        <v>176</v>
      </c>
      <c r="K894" s="1">
        <v>1.65</v>
      </c>
      <c r="L894" s="1">
        <v>0</v>
      </c>
      <c r="M894" s="1">
        <v>0</v>
      </c>
      <c r="N894" s="1">
        <v>1.65</v>
      </c>
      <c r="O894" s="1">
        <v>82.5</v>
      </c>
      <c r="P894" s="1">
        <v>0</v>
      </c>
      <c r="Q894" s="1">
        <v>0</v>
      </c>
      <c r="R894" s="1">
        <v>76.84</v>
      </c>
      <c r="S894" t="s">
        <v>12</v>
      </c>
      <c r="T894" s="13">
        <v>45725</v>
      </c>
      <c r="U894" s="1" t="str">
        <f>IF(ESTIMATIVA[[#This Row],[QT_AREA_REAL]]&gt;0,"1- Colhido","2- à Colher")</f>
        <v>1- Colhido</v>
      </c>
      <c r="V894" s="1" t="str">
        <f>IF(ESTIMATIVA[[#This Row],[QT_AREA_REST1]]&gt;0,"Reestimativa 1",IF(ESTIMATIVA[[#This Row],[QT_AREA_REAL]]=0,"Reestimativa 1","Realizado"))</f>
        <v>Realizado</v>
      </c>
      <c r="W894" s="1" t="str">
        <f>IF(ESTIMATIVA[[#This Row],[QT_AREA_REST2]]&gt;0,"Reestimativa 2",IF(ESTIMATIVA[[#This Row],[QT_AREA_REAL]]=0,"Reestimativa 2","Realizado"))</f>
        <v>Realizado</v>
      </c>
      <c r="X894" s="1">
        <f>ESTIMATIVA[[#This Row],[QT_AREA_EST]]</f>
        <v>1.65</v>
      </c>
      <c r="Y894" s="1">
        <f>IF(ESTIMATIVA[[#This Row],[QT_AREA_REST1]]&gt;0,ESTIMATIVA[[#This Row],[QT_AREA_REST1]],
  IF(ESTIMATIVA[[#This Row],[QT_AREA_REAL]]&gt;0,ESTIMATIVA[[#This Row],[QT_AREA_REAL]],ESTIMATIVA[[#This Row],[QT_AREA_EST]]))</f>
        <v>1.65</v>
      </c>
      <c r="Z89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1.65</v>
      </c>
      <c r="AA894" s="1">
        <f>ESTIMATIVA[[#This Row],[QT_CANA_EST]]</f>
        <v>82.5</v>
      </c>
      <c r="AB894" s="1">
        <f>IF(ESTIMATIVA[[#This Row],[QT_CANA_REST1]]&gt;0,ESTIMATIVA[[#This Row],[QT_CANA_REST1]],
  IF(ESTIMATIVA[[#This Row],[QT_CANA_REAL]]&gt;0,ESTIMATIVA[[#This Row],[QT_CANA_REAL]],ESTIMATIVA[[#This Row],[QT_CANA_EST]]))</f>
        <v>76.84</v>
      </c>
      <c r="AC89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76.84</v>
      </c>
      <c r="AD894" s="1">
        <f>IF(ESTIMATIVA[[#This Row],[QT_AREA_REAL]]&gt;0,ESTIMATIVA[[#This Row],[QT_CANA_REAL]],ESTIMATIVA[[#This Row],[QT_CANA_EST]])</f>
        <v>76.84</v>
      </c>
      <c r="AE894" s="1">
        <f>IF(ESTIMATIVA[[#This Row],[QT_AREA_REAL]]&gt;0,ESTIMATIVA[[#This Row],[QT_CANA_REAL]],ESTIMATIVA[[#This Row],[QT_CANA_REST1]])</f>
        <v>76.84</v>
      </c>
      <c r="AF894" s="1">
        <f>IF(ESTIMATIVA[[#This Row],[QT_AREA_REAL]]&gt;0,ESTIMATIVA[[#This Row],[QT_CANA_REAL]],ESTIMATIVA[[#This Row],[QT_CANA_REST2]])</f>
        <v>76.84</v>
      </c>
      <c r="AG894" s="1" t="str">
        <f>IF(COUNTIFS(GEADA!A:A,VALUE(ESTIMATIVA[[#This Row],[CD_UPNIVEL1]]&amp;TEXT(ESTIMATIVA[[#This Row],[CD_UPNIVEL3]],"0000")))&gt;0,"S","N")</f>
        <v>N</v>
      </c>
      <c r="AH89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94" s="55" t="str">
        <f>IF(ESTIMATIVA[[#This Row],[TP_CULTIVO]]="Irrigado",_xlfn.MAXIFS(IRRIGADO!J:J,IRRIGADO!C:C,ESTIMATIVA[[#This Row],[CD_UPNIVEL1]],IRRIGADO!E:E,ESTIMATIVA[[#This Row],[CD_UPNIVEL3]]),"")</f>
        <v/>
      </c>
      <c r="AJ89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94" s="1">
        <f>COUNTIFS(Apresentação!$E$23:$E$29,ESTIMATIVA[[#This Row],[CD_UPNIVEL1]])</f>
        <v>0</v>
      </c>
    </row>
    <row r="895" spans="1:37" x14ac:dyDescent="0.3">
      <c r="A895">
        <v>20440</v>
      </c>
      <c r="B895" t="s">
        <v>49</v>
      </c>
      <c r="C895">
        <v>23</v>
      </c>
      <c r="D895">
        <v>3</v>
      </c>
      <c r="E895" t="s">
        <v>263</v>
      </c>
      <c r="F895" s="85" t="s">
        <v>333</v>
      </c>
      <c r="G895"/>
      <c r="H895" t="s">
        <v>294</v>
      </c>
      <c r="I895" t="s">
        <v>197</v>
      </c>
      <c r="J895" t="s">
        <v>176</v>
      </c>
      <c r="K895" s="1">
        <v>8.07</v>
      </c>
      <c r="L895" s="1">
        <v>0</v>
      </c>
      <c r="M895" s="1">
        <v>0</v>
      </c>
      <c r="N895" s="1">
        <v>8.07</v>
      </c>
      <c r="O895" s="1">
        <v>403.5</v>
      </c>
      <c r="P895" s="1">
        <v>0</v>
      </c>
      <c r="Q895" s="1">
        <v>0</v>
      </c>
      <c r="R895" s="1">
        <v>374.16</v>
      </c>
      <c r="S895" t="s">
        <v>12</v>
      </c>
      <c r="T895" s="13">
        <v>45725</v>
      </c>
      <c r="U895" s="1" t="str">
        <f>IF(ESTIMATIVA[[#This Row],[QT_AREA_REAL]]&gt;0,"1- Colhido","2- à Colher")</f>
        <v>1- Colhido</v>
      </c>
      <c r="V895" s="1" t="str">
        <f>IF(ESTIMATIVA[[#This Row],[QT_AREA_REST1]]&gt;0,"Reestimativa 1",IF(ESTIMATIVA[[#This Row],[QT_AREA_REAL]]=0,"Reestimativa 1","Realizado"))</f>
        <v>Realizado</v>
      </c>
      <c r="W895" s="1" t="str">
        <f>IF(ESTIMATIVA[[#This Row],[QT_AREA_REST2]]&gt;0,"Reestimativa 2",IF(ESTIMATIVA[[#This Row],[QT_AREA_REAL]]=0,"Reestimativa 2","Realizado"))</f>
        <v>Realizado</v>
      </c>
      <c r="X895" s="1">
        <f>ESTIMATIVA[[#This Row],[QT_AREA_EST]]</f>
        <v>8.07</v>
      </c>
      <c r="Y895" s="1">
        <f>IF(ESTIMATIVA[[#This Row],[QT_AREA_REST1]]&gt;0,ESTIMATIVA[[#This Row],[QT_AREA_REST1]],
  IF(ESTIMATIVA[[#This Row],[QT_AREA_REAL]]&gt;0,ESTIMATIVA[[#This Row],[QT_AREA_REAL]],ESTIMATIVA[[#This Row],[QT_AREA_EST]]))</f>
        <v>8.07</v>
      </c>
      <c r="Z89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8.07</v>
      </c>
      <c r="AA895" s="1">
        <f>ESTIMATIVA[[#This Row],[QT_CANA_EST]]</f>
        <v>403.5</v>
      </c>
      <c r="AB895" s="1">
        <f>IF(ESTIMATIVA[[#This Row],[QT_CANA_REST1]]&gt;0,ESTIMATIVA[[#This Row],[QT_CANA_REST1]],
  IF(ESTIMATIVA[[#This Row],[QT_CANA_REAL]]&gt;0,ESTIMATIVA[[#This Row],[QT_CANA_REAL]],ESTIMATIVA[[#This Row],[QT_CANA_EST]]))</f>
        <v>374.16</v>
      </c>
      <c r="AC89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374.16</v>
      </c>
      <c r="AD895" s="1">
        <f>IF(ESTIMATIVA[[#This Row],[QT_AREA_REAL]]&gt;0,ESTIMATIVA[[#This Row],[QT_CANA_REAL]],ESTIMATIVA[[#This Row],[QT_CANA_EST]])</f>
        <v>374.16</v>
      </c>
      <c r="AE895" s="1">
        <f>IF(ESTIMATIVA[[#This Row],[QT_AREA_REAL]]&gt;0,ESTIMATIVA[[#This Row],[QT_CANA_REAL]],ESTIMATIVA[[#This Row],[QT_CANA_REST1]])</f>
        <v>374.16</v>
      </c>
      <c r="AF895" s="1">
        <f>IF(ESTIMATIVA[[#This Row],[QT_AREA_REAL]]&gt;0,ESTIMATIVA[[#This Row],[QT_CANA_REAL]],ESTIMATIVA[[#This Row],[QT_CANA_REST2]])</f>
        <v>374.16</v>
      </c>
      <c r="AG895" s="1" t="str">
        <f>IF(COUNTIFS(GEADA!A:A,VALUE(ESTIMATIVA[[#This Row],[CD_UPNIVEL1]]&amp;TEXT(ESTIMATIVA[[#This Row],[CD_UPNIVEL3]],"0000")))&gt;0,"S","N")</f>
        <v>N</v>
      </c>
      <c r="AH89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95" s="55" t="str">
        <f>IF(ESTIMATIVA[[#This Row],[TP_CULTIVO]]="Irrigado",_xlfn.MAXIFS(IRRIGADO!J:J,IRRIGADO!C:C,ESTIMATIVA[[#This Row],[CD_UPNIVEL1]],IRRIGADO!E:E,ESTIMATIVA[[#This Row],[CD_UPNIVEL3]]),"")</f>
        <v/>
      </c>
      <c r="AJ89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95" s="1">
        <f>COUNTIFS(Apresentação!$E$23:$E$29,ESTIMATIVA[[#This Row],[CD_UPNIVEL1]])</f>
        <v>0</v>
      </c>
    </row>
    <row r="896" spans="1:37" x14ac:dyDescent="0.3">
      <c r="A896">
        <v>20440</v>
      </c>
      <c r="B896" t="s">
        <v>49</v>
      </c>
      <c r="C896">
        <v>24</v>
      </c>
      <c r="D896">
        <v>3</v>
      </c>
      <c r="E896" t="s">
        <v>263</v>
      </c>
      <c r="F896" s="85" t="s">
        <v>331</v>
      </c>
      <c r="G896"/>
      <c r="H896" t="s">
        <v>294</v>
      </c>
      <c r="I896" t="s">
        <v>197</v>
      </c>
      <c r="J896" t="s">
        <v>176</v>
      </c>
      <c r="K896" s="1">
        <v>13.26</v>
      </c>
      <c r="L896" s="1">
        <v>0</v>
      </c>
      <c r="M896" s="1">
        <v>0</v>
      </c>
      <c r="N896" s="1">
        <v>13.26</v>
      </c>
      <c r="O896" s="1">
        <v>663</v>
      </c>
      <c r="P896" s="1">
        <v>0</v>
      </c>
      <c r="Q896" s="1">
        <v>0</v>
      </c>
      <c r="R896" s="1">
        <v>647.28</v>
      </c>
      <c r="S896" t="s">
        <v>12</v>
      </c>
      <c r="T896" s="13">
        <v>45732</v>
      </c>
      <c r="U896" s="1" t="str">
        <f>IF(ESTIMATIVA[[#This Row],[QT_AREA_REAL]]&gt;0,"1- Colhido","2- à Colher")</f>
        <v>1- Colhido</v>
      </c>
      <c r="V896" s="1" t="str">
        <f>IF(ESTIMATIVA[[#This Row],[QT_AREA_REST1]]&gt;0,"Reestimativa 1",IF(ESTIMATIVA[[#This Row],[QT_AREA_REAL]]=0,"Reestimativa 1","Realizado"))</f>
        <v>Realizado</v>
      </c>
      <c r="W896" s="1" t="str">
        <f>IF(ESTIMATIVA[[#This Row],[QT_AREA_REST2]]&gt;0,"Reestimativa 2",IF(ESTIMATIVA[[#This Row],[QT_AREA_REAL]]=0,"Reestimativa 2","Realizado"))</f>
        <v>Realizado</v>
      </c>
      <c r="X896" s="1">
        <f>ESTIMATIVA[[#This Row],[QT_AREA_EST]]</f>
        <v>13.26</v>
      </c>
      <c r="Y896" s="1">
        <f>IF(ESTIMATIVA[[#This Row],[QT_AREA_REST1]]&gt;0,ESTIMATIVA[[#This Row],[QT_AREA_REST1]],
  IF(ESTIMATIVA[[#This Row],[QT_AREA_REAL]]&gt;0,ESTIMATIVA[[#This Row],[QT_AREA_REAL]],ESTIMATIVA[[#This Row],[QT_AREA_EST]]))</f>
        <v>13.26</v>
      </c>
      <c r="Z89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13.26</v>
      </c>
      <c r="AA896" s="1">
        <f>ESTIMATIVA[[#This Row],[QT_CANA_EST]]</f>
        <v>663</v>
      </c>
      <c r="AB896" s="1">
        <f>IF(ESTIMATIVA[[#This Row],[QT_CANA_REST1]]&gt;0,ESTIMATIVA[[#This Row],[QT_CANA_REST1]],
  IF(ESTIMATIVA[[#This Row],[QT_CANA_REAL]]&gt;0,ESTIMATIVA[[#This Row],[QT_CANA_REAL]],ESTIMATIVA[[#This Row],[QT_CANA_EST]]))</f>
        <v>647.28</v>
      </c>
      <c r="AC89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647.28</v>
      </c>
      <c r="AD896" s="1">
        <f>IF(ESTIMATIVA[[#This Row],[QT_AREA_REAL]]&gt;0,ESTIMATIVA[[#This Row],[QT_CANA_REAL]],ESTIMATIVA[[#This Row],[QT_CANA_EST]])</f>
        <v>647.28</v>
      </c>
      <c r="AE896" s="1">
        <f>IF(ESTIMATIVA[[#This Row],[QT_AREA_REAL]]&gt;0,ESTIMATIVA[[#This Row],[QT_CANA_REAL]],ESTIMATIVA[[#This Row],[QT_CANA_REST1]])</f>
        <v>647.28</v>
      </c>
      <c r="AF896" s="1">
        <f>IF(ESTIMATIVA[[#This Row],[QT_AREA_REAL]]&gt;0,ESTIMATIVA[[#This Row],[QT_CANA_REAL]],ESTIMATIVA[[#This Row],[QT_CANA_REST2]])</f>
        <v>647.28</v>
      </c>
      <c r="AG896" s="1" t="str">
        <f>IF(COUNTIFS(GEADA!A:A,VALUE(ESTIMATIVA[[#This Row],[CD_UPNIVEL1]]&amp;TEXT(ESTIMATIVA[[#This Row],[CD_UPNIVEL3]],"0000")))&gt;0,"S","N")</f>
        <v>N</v>
      </c>
      <c r="AH89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96" s="55" t="str">
        <f>IF(ESTIMATIVA[[#This Row],[TP_CULTIVO]]="Irrigado",_xlfn.MAXIFS(IRRIGADO!J:J,IRRIGADO!C:C,ESTIMATIVA[[#This Row],[CD_UPNIVEL1]],IRRIGADO!E:E,ESTIMATIVA[[#This Row],[CD_UPNIVEL3]]),"")</f>
        <v/>
      </c>
      <c r="AJ89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96" s="1">
        <f>COUNTIFS(Apresentação!$E$23:$E$29,ESTIMATIVA[[#This Row],[CD_UPNIVEL1]])</f>
        <v>0</v>
      </c>
    </row>
    <row r="897" spans="1:37" x14ac:dyDescent="0.3">
      <c r="A897">
        <v>20440</v>
      </c>
      <c r="B897" t="s">
        <v>49</v>
      </c>
      <c r="C897">
        <v>25</v>
      </c>
      <c r="D897">
        <v>3</v>
      </c>
      <c r="E897" t="s">
        <v>263</v>
      </c>
      <c r="F897" s="85" t="s">
        <v>331</v>
      </c>
      <c r="G897"/>
      <c r="H897" t="s">
        <v>294</v>
      </c>
      <c r="I897" t="s">
        <v>197</v>
      </c>
      <c r="J897" t="s">
        <v>176</v>
      </c>
      <c r="K897" s="1">
        <v>25.55</v>
      </c>
      <c r="L897" s="1">
        <v>0</v>
      </c>
      <c r="M897" s="1">
        <v>0</v>
      </c>
      <c r="N897" s="1">
        <v>25.55</v>
      </c>
      <c r="O897" s="1">
        <v>1277.5</v>
      </c>
      <c r="P897" s="1">
        <v>0</v>
      </c>
      <c r="Q897" s="1">
        <v>0</v>
      </c>
      <c r="R897" s="1">
        <v>1247.73</v>
      </c>
      <c r="S897" t="s">
        <v>12</v>
      </c>
      <c r="T897" s="13">
        <v>45732</v>
      </c>
      <c r="U897" s="1" t="str">
        <f>IF(ESTIMATIVA[[#This Row],[QT_AREA_REAL]]&gt;0,"1- Colhido","2- à Colher")</f>
        <v>1- Colhido</v>
      </c>
      <c r="V897" s="1" t="str">
        <f>IF(ESTIMATIVA[[#This Row],[QT_AREA_REST1]]&gt;0,"Reestimativa 1",IF(ESTIMATIVA[[#This Row],[QT_AREA_REAL]]=0,"Reestimativa 1","Realizado"))</f>
        <v>Realizado</v>
      </c>
      <c r="W897" s="1" t="str">
        <f>IF(ESTIMATIVA[[#This Row],[QT_AREA_REST2]]&gt;0,"Reestimativa 2",IF(ESTIMATIVA[[#This Row],[QT_AREA_REAL]]=0,"Reestimativa 2","Realizado"))</f>
        <v>Realizado</v>
      </c>
      <c r="X897" s="1">
        <f>ESTIMATIVA[[#This Row],[QT_AREA_EST]]</f>
        <v>25.55</v>
      </c>
      <c r="Y897" s="1">
        <f>IF(ESTIMATIVA[[#This Row],[QT_AREA_REST1]]&gt;0,ESTIMATIVA[[#This Row],[QT_AREA_REST1]],
  IF(ESTIMATIVA[[#This Row],[QT_AREA_REAL]]&gt;0,ESTIMATIVA[[#This Row],[QT_AREA_REAL]],ESTIMATIVA[[#This Row],[QT_AREA_EST]]))</f>
        <v>25.55</v>
      </c>
      <c r="Z89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25.55</v>
      </c>
      <c r="AA897" s="1">
        <f>ESTIMATIVA[[#This Row],[QT_CANA_EST]]</f>
        <v>1277.5</v>
      </c>
      <c r="AB897" s="1">
        <f>IF(ESTIMATIVA[[#This Row],[QT_CANA_REST1]]&gt;0,ESTIMATIVA[[#This Row],[QT_CANA_REST1]],
  IF(ESTIMATIVA[[#This Row],[QT_CANA_REAL]]&gt;0,ESTIMATIVA[[#This Row],[QT_CANA_REAL]],ESTIMATIVA[[#This Row],[QT_CANA_EST]]))</f>
        <v>1247.73</v>
      </c>
      <c r="AC89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1247.73</v>
      </c>
      <c r="AD897" s="1">
        <f>IF(ESTIMATIVA[[#This Row],[QT_AREA_REAL]]&gt;0,ESTIMATIVA[[#This Row],[QT_CANA_REAL]],ESTIMATIVA[[#This Row],[QT_CANA_EST]])</f>
        <v>1247.73</v>
      </c>
      <c r="AE897" s="1">
        <f>IF(ESTIMATIVA[[#This Row],[QT_AREA_REAL]]&gt;0,ESTIMATIVA[[#This Row],[QT_CANA_REAL]],ESTIMATIVA[[#This Row],[QT_CANA_REST1]])</f>
        <v>1247.73</v>
      </c>
      <c r="AF897" s="1">
        <f>IF(ESTIMATIVA[[#This Row],[QT_AREA_REAL]]&gt;0,ESTIMATIVA[[#This Row],[QT_CANA_REAL]],ESTIMATIVA[[#This Row],[QT_CANA_REST2]])</f>
        <v>1247.73</v>
      </c>
      <c r="AG897" s="1" t="str">
        <f>IF(COUNTIFS(GEADA!A:A,VALUE(ESTIMATIVA[[#This Row],[CD_UPNIVEL1]]&amp;TEXT(ESTIMATIVA[[#This Row],[CD_UPNIVEL3]],"0000")))&gt;0,"S","N")</f>
        <v>N</v>
      </c>
      <c r="AH89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97" s="55" t="str">
        <f>IF(ESTIMATIVA[[#This Row],[TP_CULTIVO]]="Irrigado",_xlfn.MAXIFS(IRRIGADO!J:J,IRRIGADO!C:C,ESTIMATIVA[[#This Row],[CD_UPNIVEL1]],IRRIGADO!E:E,ESTIMATIVA[[#This Row],[CD_UPNIVEL3]]),"")</f>
        <v/>
      </c>
      <c r="AJ89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97" s="1">
        <f>COUNTIFS(Apresentação!$E$23:$E$29,ESTIMATIVA[[#This Row],[CD_UPNIVEL1]])</f>
        <v>0</v>
      </c>
    </row>
    <row r="898" spans="1:37" x14ac:dyDescent="0.3">
      <c r="A898">
        <v>20440</v>
      </c>
      <c r="B898" t="s">
        <v>49</v>
      </c>
      <c r="C898">
        <v>26</v>
      </c>
      <c r="D898">
        <v>3</v>
      </c>
      <c r="E898" t="s">
        <v>263</v>
      </c>
      <c r="F898" s="85" t="s">
        <v>331</v>
      </c>
      <c r="G898"/>
      <c r="H898" t="s">
        <v>294</v>
      </c>
      <c r="I898" t="s">
        <v>197</v>
      </c>
      <c r="J898" t="s">
        <v>176</v>
      </c>
      <c r="K898" s="1">
        <v>12.69</v>
      </c>
      <c r="L898" s="1">
        <v>0</v>
      </c>
      <c r="M898" s="1">
        <v>0</v>
      </c>
      <c r="N898" s="1">
        <v>12.69</v>
      </c>
      <c r="O898" s="1">
        <v>634.5</v>
      </c>
      <c r="P898" s="1">
        <v>0</v>
      </c>
      <c r="Q898" s="1">
        <v>0</v>
      </c>
      <c r="R898" s="1">
        <v>872.69</v>
      </c>
      <c r="S898" t="s">
        <v>12</v>
      </c>
      <c r="T898" s="13">
        <v>45732</v>
      </c>
      <c r="U898" s="1" t="str">
        <f>IF(ESTIMATIVA[[#This Row],[QT_AREA_REAL]]&gt;0,"1- Colhido","2- à Colher")</f>
        <v>1- Colhido</v>
      </c>
      <c r="V898" s="1" t="str">
        <f>IF(ESTIMATIVA[[#This Row],[QT_AREA_REST1]]&gt;0,"Reestimativa 1",IF(ESTIMATIVA[[#This Row],[QT_AREA_REAL]]=0,"Reestimativa 1","Realizado"))</f>
        <v>Realizado</v>
      </c>
      <c r="W898" s="1" t="str">
        <f>IF(ESTIMATIVA[[#This Row],[QT_AREA_REST2]]&gt;0,"Reestimativa 2",IF(ESTIMATIVA[[#This Row],[QT_AREA_REAL]]=0,"Reestimativa 2","Realizado"))</f>
        <v>Realizado</v>
      </c>
      <c r="X898" s="1">
        <f>ESTIMATIVA[[#This Row],[QT_AREA_EST]]</f>
        <v>12.69</v>
      </c>
      <c r="Y898" s="1">
        <f>IF(ESTIMATIVA[[#This Row],[QT_AREA_REST1]]&gt;0,ESTIMATIVA[[#This Row],[QT_AREA_REST1]],
  IF(ESTIMATIVA[[#This Row],[QT_AREA_REAL]]&gt;0,ESTIMATIVA[[#This Row],[QT_AREA_REAL]],ESTIMATIVA[[#This Row],[QT_AREA_EST]]))</f>
        <v>12.69</v>
      </c>
      <c r="Z89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12.69</v>
      </c>
      <c r="AA898" s="1">
        <f>ESTIMATIVA[[#This Row],[QT_CANA_EST]]</f>
        <v>634.5</v>
      </c>
      <c r="AB898" s="1">
        <f>IF(ESTIMATIVA[[#This Row],[QT_CANA_REST1]]&gt;0,ESTIMATIVA[[#This Row],[QT_CANA_REST1]],
  IF(ESTIMATIVA[[#This Row],[QT_CANA_REAL]]&gt;0,ESTIMATIVA[[#This Row],[QT_CANA_REAL]],ESTIMATIVA[[#This Row],[QT_CANA_EST]]))</f>
        <v>872.69</v>
      </c>
      <c r="AC89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872.69</v>
      </c>
      <c r="AD898" s="1">
        <f>IF(ESTIMATIVA[[#This Row],[QT_AREA_REAL]]&gt;0,ESTIMATIVA[[#This Row],[QT_CANA_REAL]],ESTIMATIVA[[#This Row],[QT_CANA_EST]])</f>
        <v>872.69</v>
      </c>
      <c r="AE898" s="1">
        <f>IF(ESTIMATIVA[[#This Row],[QT_AREA_REAL]]&gt;0,ESTIMATIVA[[#This Row],[QT_CANA_REAL]],ESTIMATIVA[[#This Row],[QT_CANA_REST1]])</f>
        <v>872.69</v>
      </c>
      <c r="AF898" s="1">
        <f>IF(ESTIMATIVA[[#This Row],[QT_AREA_REAL]]&gt;0,ESTIMATIVA[[#This Row],[QT_CANA_REAL]],ESTIMATIVA[[#This Row],[QT_CANA_REST2]])</f>
        <v>872.69</v>
      </c>
      <c r="AG898" s="1" t="str">
        <f>IF(COUNTIFS(GEADA!A:A,VALUE(ESTIMATIVA[[#This Row],[CD_UPNIVEL1]]&amp;TEXT(ESTIMATIVA[[#This Row],[CD_UPNIVEL3]],"0000")))&gt;0,"S","N")</f>
        <v>N</v>
      </c>
      <c r="AH89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98" s="55" t="str">
        <f>IF(ESTIMATIVA[[#This Row],[TP_CULTIVO]]="Irrigado",_xlfn.MAXIFS(IRRIGADO!J:J,IRRIGADO!C:C,ESTIMATIVA[[#This Row],[CD_UPNIVEL1]],IRRIGADO!E:E,ESTIMATIVA[[#This Row],[CD_UPNIVEL3]]),"")</f>
        <v/>
      </c>
      <c r="AJ89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98" s="1">
        <f>COUNTIFS(Apresentação!$E$23:$E$29,ESTIMATIVA[[#This Row],[CD_UPNIVEL1]])</f>
        <v>0</v>
      </c>
    </row>
    <row r="899" spans="1:37" x14ac:dyDescent="0.3">
      <c r="A899">
        <v>20440</v>
      </c>
      <c r="B899" t="s">
        <v>49</v>
      </c>
      <c r="C899">
        <v>27</v>
      </c>
      <c r="D899">
        <v>3</v>
      </c>
      <c r="E899" t="s">
        <v>263</v>
      </c>
      <c r="F899" s="85" t="s">
        <v>331</v>
      </c>
      <c r="G899"/>
      <c r="H899" t="s">
        <v>294</v>
      </c>
      <c r="I899" t="s">
        <v>197</v>
      </c>
      <c r="J899" t="s">
        <v>176</v>
      </c>
      <c r="K899" s="1">
        <v>7.34</v>
      </c>
      <c r="L899" s="1">
        <v>0</v>
      </c>
      <c r="M899" s="1">
        <v>0</v>
      </c>
      <c r="N899" s="1">
        <v>7.34</v>
      </c>
      <c r="O899" s="1">
        <v>367</v>
      </c>
      <c r="P899" s="1">
        <v>0</v>
      </c>
      <c r="Q899" s="1">
        <v>0</v>
      </c>
      <c r="R899" s="1">
        <v>504.49</v>
      </c>
      <c r="S899" t="s">
        <v>12</v>
      </c>
      <c r="T899" s="13">
        <v>45732</v>
      </c>
      <c r="U899" s="1" t="str">
        <f>IF(ESTIMATIVA[[#This Row],[QT_AREA_REAL]]&gt;0,"1- Colhido","2- à Colher")</f>
        <v>1- Colhido</v>
      </c>
      <c r="V899" s="1" t="str">
        <f>IF(ESTIMATIVA[[#This Row],[QT_AREA_REST1]]&gt;0,"Reestimativa 1",IF(ESTIMATIVA[[#This Row],[QT_AREA_REAL]]=0,"Reestimativa 1","Realizado"))</f>
        <v>Realizado</v>
      </c>
      <c r="W899" s="1" t="str">
        <f>IF(ESTIMATIVA[[#This Row],[QT_AREA_REST2]]&gt;0,"Reestimativa 2",IF(ESTIMATIVA[[#This Row],[QT_AREA_REAL]]=0,"Reestimativa 2","Realizado"))</f>
        <v>Realizado</v>
      </c>
      <c r="X899" s="1">
        <f>ESTIMATIVA[[#This Row],[QT_AREA_EST]]</f>
        <v>7.34</v>
      </c>
      <c r="Y899" s="1">
        <f>IF(ESTIMATIVA[[#This Row],[QT_AREA_REST1]]&gt;0,ESTIMATIVA[[#This Row],[QT_AREA_REST1]],
  IF(ESTIMATIVA[[#This Row],[QT_AREA_REAL]]&gt;0,ESTIMATIVA[[#This Row],[QT_AREA_REAL]],ESTIMATIVA[[#This Row],[QT_AREA_EST]]))</f>
        <v>7.34</v>
      </c>
      <c r="Z89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7.34</v>
      </c>
      <c r="AA899" s="1">
        <f>ESTIMATIVA[[#This Row],[QT_CANA_EST]]</f>
        <v>367</v>
      </c>
      <c r="AB899" s="1">
        <f>IF(ESTIMATIVA[[#This Row],[QT_CANA_REST1]]&gt;0,ESTIMATIVA[[#This Row],[QT_CANA_REST1]],
  IF(ESTIMATIVA[[#This Row],[QT_CANA_REAL]]&gt;0,ESTIMATIVA[[#This Row],[QT_CANA_REAL]],ESTIMATIVA[[#This Row],[QT_CANA_EST]]))</f>
        <v>504.49</v>
      </c>
      <c r="AC89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504.49</v>
      </c>
      <c r="AD899" s="1">
        <f>IF(ESTIMATIVA[[#This Row],[QT_AREA_REAL]]&gt;0,ESTIMATIVA[[#This Row],[QT_CANA_REAL]],ESTIMATIVA[[#This Row],[QT_CANA_EST]])</f>
        <v>504.49</v>
      </c>
      <c r="AE899" s="1">
        <f>IF(ESTIMATIVA[[#This Row],[QT_AREA_REAL]]&gt;0,ESTIMATIVA[[#This Row],[QT_CANA_REAL]],ESTIMATIVA[[#This Row],[QT_CANA_REST1]])</f>
        <v>504.49</v>
      </c>
      <c r="AF899" s="1">
        <f>IF(ESTIMATIVA[[#This Row],[QT_AREA_REAL]]&gt;0,ESTIMATIVA[[#This Row],[QT_CANA_REAL]],ESTIMATIVA[[#This Row],[QT_CANA_REST2]])</f>
        <v>504.49</v>
      </c>
      <c r="AG899" s="1" t="str">
        <f>IF(COUNTIFS(GEADA!A:A,VALUE(ESTIMATIVA[[#This Row],[CD_UPNIVEL1]]&amp;TEXT(ESTIMATIVA[[#This Row],[CD_UPNIVEL3]],"0000")))&gt;0,"S","N")</f>
        <v>N</v>
      </c>
      <c r="AH89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899" s="55" t="str">
        <f>IF(ESTIMATIVA[[#This Row],[TP_CULTIVO]]="Irrigado",_xlfn.MAXIFS(IRRIGADO!J:J,IRRIGADO!C:C,ESTIMATIVA[[#This Row],[CD_UPNIVEL1]],IRRIGADO!E:E,ESTIMATIVA[[#This Row],[CD_UPNIVEL3]]),"")</f>
        <v/>
      </c>
      <c r="AJ89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899" s="1">
        <f>COUNTIFS(Apresentação!$E$23:$E$29,ESTIMATIVA[[#This Row],[CD_UPNIVEL1]])</f>
        <v>0</v>
      </c>
    </row>
    <row r="900" spans="1:37" x14ac:dyDescent="0.3">
      <c r="A900">
        <v>20440</v>
      </c>
      <c r="B900" t="s">
        <v>49</v>
      </c>
      <c r="C900">
        <v>28</v>
      </c>
      <c r="D900">
        <v>3</v>
      </c>
      <c r="E900" t="s">
        <v>263</v>
      </c>
      <c r="F900" s="85" t="s">
        <v>331</v>
      </c>
      <c r="G900"/>
      <c r="H900" t="s">
        <v>294</v>
      </c>
      <c r="I900" t="s">
        <v>197</v>
      </c>
      <c r="J900" t="s">
        <v>176</v>
      </c>
      <c r="K900" s="1">
        <v>13.63</v>
      </c>
      <c r="L900" s="1">
        <v>0</v>
      </c>
      <c r="M900" s="1">
        <v>0</v>
      </c>
      <c r="N900" s="1">
        <v>13.63</v>
      </c>
      <c r="O900" s="1">
        <v>681.5</v>
      </c>
      <c r="P900" s="1">
        <v>0</v>
      </c>
      <c r="Q900" s="1">
        <v>0</v>
      </c>
      <c r="R900" s="1">
        <v>665.82</v>
      </c>
      <c r="S900" t="s">
        <v>12</v>
      </c>
      <c r="T900" s="13">
        <v>45732</v>
      </c>
      <c r="U900" s="1" t="str">
        <f>IF(ESTIMATIVA[[#This Row],[QT_AREA_REAL]]&gt;0,"1- Colhido","2- à Colher")</f>
        <v>1- Colhido</v>
      </c>
      <c r="V900" s="1" t="str">
        <f>IF(ESTIMATIVA[[#This Row],[QT_AREA_REST1]]&gt;0,"Reestimativa 1",IF(ESTIMATIVA[[#This Row],[QT_AREA_REAL]]=0,"Reestimativa 1","Realizado"))</f>
        <v>Realizado</v>
      </c>
      <c r="W900" s="1" t="str">
        <f>IF(ESTIMATIVA[[#This Row],[QT_AREA_REST2]]&gt;0,"Reestimativa 2",IF(ESTIMATIVA[[#This Row],[QT_AREA_REAL]]=0,"Reestimativa 2","Realizado"))</f>
        <v>Realizado</v>
      </c>
      <c r="X900" s="1">
        <f>ESTIMATIVA[[#This Row],[QT_AREA_EST]]</f>
        <v>13.63</v>
      </c>
      <c r="Y900" s="1">
        <f>IF(ESTIMATIVA[[#This Row],[QT_AREA_REST1]]&gt;0,ESTIMATIVA[[#This Row],[QT_AREA_REST1]],
  IF(ESTIMATIVA[[#This Row],[QT_AREA_REAL]]&gt;0,ESTIMATIVA[[#This Row],[QT_AREA_REAL]],ESTIMATIVA[[#This Row],[QT_AREA_EST]]))</f>
        <v>13.63</v>
      </c>
      <c r="Z90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13.63</v>
      </c>
      <c r="AA900" s="1">
        <f>ESTIMATIVA[[#This Row],[QT_CANA_EST]]</f>
        <v>681.5</v>
      </c>
      <c r="AB900" s="1">
        <f>IF(ESTIMATIVA[[#This Row],[QT_CANA_REST1]]&gt;0,ESTIMATIVA[[#This Row],[QT_CANA_REST1]],
  IF(ESTIMATIVA[[#This Row],[QT_CANA_REAL]]&gt;0,ESTIMATIVA[[#This Row],[QT_CANA_REAL]],ESTIMATIVA[[#This Row],[QT_CANA_EST]]))</f>
        <v>665.82</v>
      </c>
      <c r="AC90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665.82</v>
      </c>
      <c r="AD900" s="1">
        <f>IF(ESTIMATIVA[[#This Row],[QT_AREA_REAL]]&gt;0,ESTIMATIVA[[#This Row],[QT_CANA_REAL]],ESTIMATIVA[[#This Row],[QT_CANA_EST]])</f>
        <v>665.82</v>
      </c>
      <c r="AE900" s="1">
        <f>IF(ESTIMATIVA[[#This Row],[QT_AREA_REAL]]&gt;0,ESTIMATIVA[[#This Row],[QT_CANA_REAL]],ESTIMATIVA[[#This Row],[QT_CANA_REST1]])</f>
        <v>665.82</v>
      </c>
      <c r="AF900" s="1">
        <f>IF(ESTIMATIVA[[#This Row],[QT_AREA_REAL]]&gt;0,ESTIMATIVA[[#This Row],[QT_CANA_REAL]],ESTIMATIVA[[#This Row],[QT_CANA_REST2]])</f>
        <v>665.82</v>
      </c>
      <c r="AG900" s="1" t="str">
        <f>IF(COUNTIFS(GEADA!A:A,VALUE(ESTIMATIVA[[#This Row],[CD_UPNIVEL1]]&amp;TEXT(ESTIMATIVA[[#This Row],[CD_UPNIVEL3]],"0000")))&gt;0,"S","N")</f>
        <v>N</v>
      </c>
      <c r="AH90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00" s="55" t="str">
        <f>IF(ESTIMATIVA[[#This Row],[TP_CULTIVO]]="Irrigado",_xlfn.MAXIFS(IRRIGADO!J:J,IRRIGADO!C:C,ESTIMATIVA[[#This Row],[CD_UPNIVEL1]],IRRIGADO!E:E,ESTIMATIVA[[#This Row],[CD_UPNIVEL3]]),"")</f>
        <v/>
      </c>
      <c r="AJ90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00" s="1">
        <f>COUNTIFS(Apresentação!$E$23:$E$29,ESTIMATIVA[[#This Row],[CD_UPNIVEL1]])</f>
        <v>0</v>
      </c>
    </row>
    <row r="901" spans="1:37" x14ac:dyDescent="0.3">
      <c r="A901">
        <v>20440</v>
      </c>
      <c r="B901" t="s">
        <v>49</v>
      </c>
      <c r="C901">
        <v>29</v>
      </c>
      <c r="D901">
        <v>3</v>
      </c>
      <c r="E901" t="s">
        <v>263</v>
      </c>
      <c r="F901" s="85" t="s">
        <v>332</v>
      </c>
      <c r="G901"/>
      <c r="H901" t="s">
        <v>294</v>
      </c>
      <c r="I901" t="s">
        <v>197</v>
      </c>
      <c r="J901" t="s">
        <v>176</v>
      </c>
      <c r="K901" s="1">
        <v>8.8800000000000008</v>
      </c>
      <c r="L901" s="1">
        <v>0</v>
      </c>
      <c r="M901" s="1">
        <v>0</v>
      </c>
      <c r="N901" s="1">
        <v>8.8800000000000008</v>
      </c>
      <c r="O901" s="1">
        <v>444</v>
      </c>
      <c r="P901" s="1">
        <v>0</v>
      </c>
      <c r="Q901" s="1">
        <v>0</v>
      </c>
      <c r="R901" s="1">
        <v>433.63</v>
      </c>
      <c r="S901" t="s">
        <v>12</v>
      </c>
      <c r="T901" s="13">
        <v>45732</v>
      </c>
      <c r="U901" s="1" t="str">
        <f>IF(ESTIMATIVA[[#This Row],[QT_AREA_REAL]]&gt;0,"1- Colhido","2- à Colher")</f>
        <v>1- Colhido</v>
      </c>
      <c r="V901" s="1" t="str">
        <f>IF(ESTIMATIVA[[#This Row],[QT_AREA_REST1]]&gt;0,"Reestimativa 1",IF(ESTIMATIVA[[#This Row],[QT_AREA_REAL]]=0,"Reestimativa 1","Realizado"))</f>
        <v>Realizado</v>
      </c>
      <c r="W901" s="1" t="str">
        <f>IF(ESTIMATIVA[[#This Row],[QT_AREA_REST2]]&gt;0,"Reestimativa 2",IF(ESTIMATIVA[[#This Row],[QT_AREA_REAL]]=0,"Reestimativa 2","Realizado"))</f>
        <v>Realizado</v>
      </c>
      <c r="X901" s="1">
        <f>ESTIMATIVA[[#This Row],[QT_AREA_EST]]</f>
        <v>8.8800000000000008</v>
      </c>
      <c r="Y901" s="1">
        <f>IF(ESTIMATIVA[[#This Row],[QT_AREA_REST1]]&gt;0,ESTIMATIVA[[#This Row],[QT_AREA_REST1]],
  IF(ESTIMATIVA[[#This Row],[QT_AREA_REAL]]&gt;0,ESTIMATIVA[[#This Row],[QT_AREA_REAL]],ESTIMATIVA[[#This Row],[QT_AREA_EST]]))</f>
        <v>8.8800000000000008</v>
      </c>
      <c r="Z90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8.8800000000000008</v>
      </c>
      <c r="AA901" s="1">
        <f>ESTIMATIVA[[#This Row],[QT_CANA_EST]]</f>
        <v>444</v>
      </c>
      <c r="AB901" s="1">
        <f>IF(ESTIMATIVA[[#This Row],[QT_CANA_REST1]]&gt;0,ESTIMATIVA[[#This Row],[QT_CANA_REST1]],
  IF(ESTIMATIVA[[#This Row],[QT_CANA_REAL]]&gt;0,ESTIMATIVA[[#This Row],[QT_CANA_REAL]],ESTIMATIVA[[#This Row],[QT_CANA_EST]]))</f>
        <v>433.63</v>
      </c>
      <c r="AC90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433.63</v>
      </c>
      <c r="AD901" s="1">
        <f>IF(ESTIMATIVA[[#This Row],[QT_AREA_REAL]]&gt;0,ESTIMATIVA[[#This Row],[QT_CANA_REAL]],ESTIMATIVA[[#This Row],[QT_CANA_EST]])</f>
        <v>433.63</v>
      </c>
      <c r="AE901" s="1">
        <f>IF(ESTIMATIVA[[#This Row],[QT_AREA_REAL]]&gt;0,ESTIMATIVA[[#This Row],[QT_CANA_REAL]],ESTIMATIVA[[#This Row],[QT_CANA_REST1]])</f>
        <v>433.63</v>
      </c>
      <c r="AF901" s="1">
        <f>IF(ESTIMATIVA[[#This Row],[QT_AREA_REAL]]&gt;0,ESTIMATIVA[[#This Row],[QT_CANA_REAL]],ESTIMATIVA[[#This Row],[QT_CANA_REST2]])</f>
        <v>433.63</v>
      </c>
      <c r="AG901" s="1" t="str">
        <f>IF(COUNTIFS(GEADA!A:A,VALUE(ESTIMATIVA[[#This Row],[CD_UPNIVEL1]]&amp;TEXT(ESTIMATIVA[[#This Row],[CD_UPNIVEL3]],"0000")))&gt;0,"S","N")</f>
        <v>N</v>
      </c>
      <c r="AH90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01" s="55" t="str">
        <f>IF(ESTIMATIVA[[#This Row],[TP_CULTIVO]]="Irrigado",_xlfn.MAXIFS(IRRIGADO!J:J,IRRIGADO!C:C,ESTIMATIVA[[#This Row],[CD_UPNIVEL1]],IRRIGADO!E:E,ESTIMATIVA[[#This Row],[CD_UPNIVEL3]]),"")</f>
        <v/>
      </c>
      <c r="AJ90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01" s="1">
        <f>COUNTIFS(Apresentação!$E$23:$E$29,ESTIMATIVA[[#This Row],[CD_UPNIVEL1]])</f>
        <v>0</v>
      </c>
    </row>
    <row r="902" spans="1:37" x14ac:dyDescent="0.3">
      <c r="A902">
        <v>20441</v>
      </c>
      <c r="B902" t="s">
        <v>137</v>
      </c>
      <c r="C902">
        <v>1</v>
      </c>
      <c r="D902">
        <v>2</v>
      </c>
      <c r="E902" t="s">
        <v>266</v>
      </c>
      <c r="F902" s="85" t="s">
        <v>331</v>
      </c>
      <c r="G902"/>
      <c r="H902" t="s">
        <v>294</v>
      </c>
      <c r="I902" t="s">
        <v>200</v>
      </c>
      <c r="J902" t="s">
        <v>176</v>
      </c>
      <c r="K902" s="1">
        <v>30.63</v>
      </c>
      <c r="L902" s="1">
        <v>30.63</v>
      </c>
      <c r="M902" s="1">
        <v>30.63</v>
      </c>
      <c r="N902" s="1">
        <v>30.63</v>
      </c>
      <c r="O902" s="1">
        <v>2297.25</v>
      </c>
      <c r="P902" s="1">
        <v>2450.4</v>
      </c>
      <c r="Q902" s="1">
        <v>2450.4</v>
      </c>
      <c r="R902" s="1">
        <v>2537.83</v>
      </c>
      <c r="S902" t="s">
        <v>12</v>
      </c>
      <c r="T902" s="13">
        <v>45956</v>
      </c>
      <c r="U902" s="1" t="str">
        <f>IF(ESTIMATIVA[[#This Row],[QT_AREA_REAL]]&gt;0,"1- Colhido","2- à Colher")</f>
        <v>1- Colhido</v>
      </c>
      <c r="V902" s="1" t="str">
        <f>IF(ESTIMATIVA[[#This Row],[QT_AREA_REST1]]&gt;0,"Reestimativa 1",IF(ESTIMATIVA[[#This Row],[QT_AREA_REAL]]=0,"Reestimativa 1","Realizado"))</f>
        <v>Reestimativa 1</v>
      </c>
      <c r="W902" s="1" t="str">
        <f>IF(ESTIMATIVA[[#This Row],[QT_AREA_REST2]]&gt;0,"Reestimativa 2",IF(ESTIMATIVA[[#This Row],[QT_AREA_REAL]]=0,"Reestimativa 2","Realizado"))</f>
        <v>Reestimativa 2</v>
      </c>
      <c r="X902" s="1">
        <f>ESTIMATIVA[[#This Row],[QT_AREA_EST]]</f>
        <v>30.63</v>
      </c>
      <c r="Y902" s="1">
        <f>IF(ESTIMATIVA[[#This Row],[QT_AREA_REST1]]&gt;0,ESTIMATIVA[[#This Row],[QT_AREA_REST1]],
  IF(ESTIMATIVA[[#This Row],[QT_AREA_REAL]]&gt;0,ESTIMATIVA[[#This Row],[QT_AREA_REAL]],ESTIMATIVA[[#This Row],[QT_AREA_EST]]))</f>
        <v>30.63</v>
      </c>
      <c r="Z90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30.63</v>
      </c>
      <c r="AA902" s="1">
        <f>ESTIMATIVA[[#This Row],[QT_CANA_EST]]</f>
        <v>2297.25</v>
      </c>
      <c r="AB902" s="1">
        <f>IF(ESTIMATIVA[[#This Row],[QT_CANA_REST1]]&gt;0,ESTIMATIVA[[#This Row],[QT_CANA_REST1]],
  IF(ESTIMATIVA[[#This Row],[QT_CANA_REAL]]&gt;0,ESTIMATIVA[[#This Row],[QT_CANA_REAL]],ESTIMATIVA[[#This Row],[QT_CANA_EST]]))</f>
        <v>2450.4</v>
      </c>
      <c r="AC90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2450.4</v>
      </c>
      <c r="AD902" s="1">
        <f>IF(ESTIMATIVA[[#This Row],[QT_AREA_REAL]]&gt;0,ESTIMATIVA[[#This Row],[QT_CANA_REAL]],ESTIMATIVA[[#This Row],[QT_CANA_EST]])</f>
        <v>2537.83</v>
      </c>
      <c r="AE902" s="1">
        <f>IF(ESTIMATIVA[[#This Row],[QT_AREA_REAL]]&gt;0,ESTIMATIVA[[#This Row],[QT_CANA_REAL]],ESTIMATIVA[[#This Row],[QT_CANA_REST1]])</f>
        <v>2537.83</v>
      </c>
      <c r="AF902" s="1">
        <f>IF(ESTIMATIVA[[#This Row],[QT_AREA_REAL]]&gt;0,ESTIMATIVA[[#This Row],[QT_CANA_REAL]],ESTIMATIVA[[#This Row],[QT_CANA_REST2]])</f>
        <v>2537.83</v>
      </c>
      <c r="AG902" s="1" t="str">
        <f>IF(COUNTIFS(GEADA!A:A,VALUE(ESTIMATIVA[[#This Row],[CD_UPNIVEL1]]&amp;TEXT(ESTIMATIVA[[#This Row],[CD_UPNIVEL3]],"0000")))&gt;0,"S","N")</f>
        <v>N</v>
      </c>
      <c r="AH90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02" s="55" t="str">
        <f>IF(ESTIMATIVA[[#This Row],[TP_CULTIVO]]="Irrigado",_xlfn.MAXIFS(IRRIGADO!J:J,IRRIGADO!C:C,ESTIMATIVA[[#This Row],[CD_UPNIVEL1]],IRRIGADO!E:E,ESTIMATIVA[[#This Row],[CD_UPNIVEL3]]),"")</f>
        <v/>
      </c>
      <c r="AJ90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02" s="1">
        <f>COUNTIFS(Apresentação!$E$23:$E$29,ESTIMATIVA[[#This Row],[CD_UPNIVEL1]])</f>
        <v>0</v>
      </c>
    </row>
    <row r="903" spans="1:37" x14ac:dyDescent="0.3">
      <c r="A903">
        <v>20441</v>
      </c>
      <c r="B903" t="s">
        <v>137</v>
      </c>
      <c r="C903">
        <v>2</v>
      </c>
      <c r="D903">
        <v>2</v>
      </c>
      <c r="E903" t="s">
        <v>266</v>
      </c>
      <c r="F903" s="85" t="s">
        <v>331</v>
      </c>
      <c r="G903"/>
      <c r="H903" t="s">
        <v>294</v>
      </c>
      <c r="I903" t="s">
        <v>200</v>
      </c>
      <c r="J903" t="s">
        <v>176</v>
      </c>
      <c r="K903" s="1">
        <v>24.82</v>
      </c>
      <c r="L903" s="1">
        <v>24.82</v>
      </c>
      <c r="M903" s="1">
        <v>24.82</v>
      </c>
      <c r="N903" s="1">
        <v>24.82</v>
      </c>
      <c r="O903" s="1">
        <v>2333.08</v>
      </c>
      <c r="P903" s="1">
        <v>2357.9</v>
      </c>
      <c r="Q903" s="1">
        <v>2357.9</v>
      </c>
      <c r="R903" s="1">
        <v>2442.9499999999998</v>
      </c>
      <c r="S903" t="s">
        <v>12</v>
      </c>
      <c r="T903" s="13">
        <v>45956</v>
      </c>
      <c r="U903" s="1" t="str">
        <f>IF(ESTIMATIVA[[#This Row],[QT_AREA_REAL]]&gt;0,"1- Colhido","2- à Colher")</f>
        <v>1- Colhido</v>
      </c>
      <c r="V903" s="1" t="str">
        <f>IF(ESTIMATIVA[[#This Row],[QT_AREA_REST1]]&gt;0,"Reestimativa 1",IF(ESTIMATIVA[[#This Row],[QT_AREA_REAL]]=0,"Reestimativa 1","Realizado"))</f>
        <v>Reestimativa 1</v>
      </c>
      <c r="W903" s="1" t="str">
        <f>IF(ESTIMATIVA[[#This Row],[QT_AREA_REST2]]&gt;0,"Reestimativa 2",IF(ESTIMATIVA[[#This Row],[QT_AREA_REAL]]=0,"Reestimativa 2","Realizado"))</f>
        <v>Reestimativa 2</v>
      </c>
      <c r="X903" s="1">
        <f>ESTIMATIVA[[#This Row],[QT_AREA_EST]]</f>
        <v>24.82</v>
      </c>
      <c r="Y903" s="1">
        <f>IF(ESTIMATIVA[[#This Row],[QT_AREA_REST1]]&gt;0,ESTIMATIVA[[#This Row],[QT_AREA_REST1]],
  IF(ESTIMATIVA[[#This Row],[QT_AREA_REAL]]&gt;0,ESTIMATIVA[[#This Row],[QT_AREA_REAL]],ESTIMATIVA[[#This Row],[QT_AREA_EST]]))</f>
        <v>24.82</v>
      </c>
      <c r="Z90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24.82</v>
      </c>
      <c r="AA903" s="1">
        <f>ESTIMATIVA[[#This Row],[QT_CANA_EST]]</f>
        <v>2333.08</v>
      </c>
      <c r="AB903" s="1">
        <f>IF(ESTIMATIVA[[#This Row],[QT_CANA_REST1]]&gt;0,ESTIMATIVA[[#This Row],[QT_CANA_REST1]],
  IF(ESTIMATIVA[[#This Row],[QT_CANA_REAL]]&gt;0,ESTIMATIVA[[#This Row],[QT_CANA_REAL]],ESTIMATIVA[[#This Row],[QT_CANA_EST]]))</f>
        <v>2357.9</v>
      </c>
      <c r="AC90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2357.9</v>
      </c>
      <c r="AD903" s="1">
        <f>IF(ESTIMATIVA[[#This Row],[QT_AREA_REAL]]&gt;0,ESTIMATIVA[[#This Row],[QT_CANA_REAL]],ESTIMATIVA[[#This Row],[QT_CANA_EST]])</f>
        <v>2442.9499999999998</v>
      </c>
      <c r="AE903" s="1">
        <f>IF(ESTIMATIVA[[#This Row],[QT_AREA_REAL]]&gt;0,ESTIMATIVA[[#This Row],[QT_CANA_REAL]],ESTIMATIVA[[#This Row],[QT_CANA_REST1]])</f>
        <v>2442.9499999999998</v>
      </c>
      <c r="AF903" s="1">
        <f>IF(ESTIMATIVA[[#This Row],[QT_AREA_REAL]]&gt;0,ESTIMATIVA[[#This Row],[QT_CANA_REAL]],ESTIMATIVA[[#This Row],[QT_CANA_REST2]])</f>
        <v>2442.9499999999998</v>
      </c>
      <c r="AG903" s="1" t="str">
        <f>IF(COUNTIFS(GEADA!A:A,VALUE(ESTIMATIVA[[#This Row],[CD_UPNIVEL1]]&amp;TEXT(ESTIMATIVA[[#This Row],[CD_UPNIVEL3]],"0000")))&gt;0,"S","N")</f>
        <v>N</v>
      </c>
      <c r="AH90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03" s="55" t="str">
        <f>IF(ESTIMATIVA[[#This Row],[TP_CULTIVO]]="Irrigado",_xlfn.MAXIFS(IRRIGADO!J:J,IRRIGADO!C:C,ESTIMATIVA[[#This Row],[CD_UPNIVEL1]],IRRIGADO!E:E,ESTIMATIVA[[#This Row],[CD_UPNIVEL3]]),"")</f>
        <v/>
      </c>
      <c r="AJ90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03" s="1">
        <f>COUNTIFS(Apresentação!$E$23:$E$29,ESTIMATIVA[[#This Row],[CD_UPNIVEL1]])</f>
        <v>0</v>
      </c>
    </row>
    <row r="904" spans="1:37" x14ac:dyDescent="0.3">
      <c r="A904">
        <v>20441</v>
      </c>
      <c r="B904" t="s">
        <v>137</v>
      </c>
      <c r="C904">
        <v>3</v>
      </c>
      <c r="D904">
        <v>2</v>
      </c>
      <c r="E904" t="s">
        <v>266</v>
      </c>
      <c r="F904" s="85" t="s">
        <v>331</v>
      </c>
      <c r="G904"/>
      <c r="H904" t="s">
        <v>294</v>
      </c>
      <c r="I904" t="s">
        <v>200</v>
      </c>
      <c r="J904" t="s">
        <v>176</v>
      </c>
      <c r="K904" s="1">
        <v>4.3499999999999996</v>
      </c>
      <c r="L904" s="1">
        <v>4.3499999999999996</v>
      </c>
      <c r="M904" s="1">
        <v>4.3499999999999996</v>
      </c>
      <c r="N904" s="1">
        <v>4.3499999999999996</v>
      </c>
      <c r="O904" s="1">
        <v>408.9</v>
      </c>
      <c r="P904" s="1">
        <v>391.5</v>
      </c>
      <c r="Q904" s="1">
        <v>391.5</v>
      </c>
      <c r="R904" s="1">
        <v>406.23</v>
      </c>
      <c r="S904" t="s">
        <v>12</v>
      </c>
      <c r="T904" s="13">
        <v>45956</v>
      </c>
      <c r="U904" s="1" t="str">
        <f>IF(ESTIMATIVA[[#This Row],[QT_AREA_REAL]]&gt;0,"1- Colhido","2- à Colher")</f>
        <v>1- Colhido</v>
      </c>
      <c r="V904" s="1" t="str">
        <f>IF(ESTIMATIVA[[#This Row],[QT_AREA_REST1]]&gt;0,"Reestimativa 1",IF(ESTIMATIVA[[#This Row],[QT_AREA_REAL]]=0,"Reestimativa 1","Realizado"))</f>
        <v>Reestimativa 1</v>
      </c>
      <c r="W904" s="1" t="str">
        <f>IF(ESTIMATIVA[[#This Row],[QT_AREA_REST2]]&gt;0,"Reestimativa 2",IF(ESTIMATIVA[[#This Row],[QT_AREA_REAL]]=0,"Reestimativa 2","Realizado"))</f>
        <v>Reestimativa 2</v>
      </c>
      <c r="X904" s="1">
        <f>ESTIMATIVA[[#This Row],[QT_AREA_EST]]</f>
        <v>4.3499999999999996</v>
      </c>
      <c r="Y904" s="1">
        <f>IF(ESTIMATIVA[[#This Row],[QT_AREA_REST1]]&gt;0,ESTIMATIVA[[#This Row],[QT_AREA_REST1]],
  IF(ESTIMATIVA[[#This Row],[QT_AREA_REAL]]&gt;0,ESTIMATIVA[[#This Row],[QT_AREA_REAL]],ESTIMATIVA[[#This Row],[QT_AREA_EST]]))</f>
        <v>4.3499999999999996</v>
      </c>
      <c r="Z90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4.3499999999999996</v>
      </c>
      <c r="AA904" s="1">
        <f>ESTIMATIVA[[#This Row],[QT_CANA_EST]]</f>
        <v>408.9</v>
      </c>
      <c r="AB904" s="1">
        <f>IF(ESTIMATIVA[[#This Row],[QT_CANA_REST1]]&gt;0,ESTIMATIVA[[#This Row],[QT_CANA_REST1]],
  IF(ESTIMATIVA[[#This Row],[QT_CANA_REAL]]&gt;0,ESTIMATIVA[[#This Row],[QT_CANA_REAL]],ESTIMATIVA[[#This Row],[QT_CANA_EST]]))</f>
        <v>391.5</v>
      </c>
      <c r="AC90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391.5</v>
      </c>
      <c r="AD904" s="1">
        <f>IF(ESTIMATIVA[[#This Row],[QT_AREA_REAL]]&gt;0,ESTIMATIVA[[#This Row],[QT_CANA_REAL]],ESTIMATIVA[[#This Row],[QT_CANA_EST]])</f>
        <v>406.23</v>
      </c>
      <c r="AE904" s="1">
        <f>IF(ESTIMATIVA[[#This Row],[QT_AREA_REAL]]&gt;0,ESTIMATIVA[[#This Row],[QT_CANA_REAL]],ESTIMATIVA[[#This Row],[QT_CANA_REST1]])</f>
        <v>406.23</v>
      </c>
      <c r="AF904" s="1">
        <f>IF(ESTIMATIVA[[#This Row],[QT_AREA_REAL]]&gt;0,ESTIMATIVA[[#This Row],[QT_CANA_REAL]],ESTIMATIVA[[#This Row],[QT_CANA_REST2]])</f>
        <v>406.23</v>
      </c>
      <c r="AG904" s="1" t="str">
        <f>IF(COUNTIFS(GEADA!A:A,VALUE(ESTIMATIVA[[#This Row],[CD_UPNIVEL1]]&amp;TEXT(ESTIMATIVA[[#This Row],[CD_UPNIVEL3]],"0000")))&gt;0,"S","N")</f>
        <v>S</v>
      </c>
      <c r="AH90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04" s="55" t="str">
        <f>IF(ESTIMATIVA[[#This Row],[TP_CULTIVO]]="Irrigado",_xlfn.MAXIFS(IRRIGADO!J:J,IRRIGADO!C:C,ESTIMATIVA[[#This Row],[CD_UPNIVEL1]],IRRIGADO!E:E,ESTIMATIVA[[#This Row],[CD_UPNIVEL3]]),"")</f>
        <v/>
      </c>
      <c r="AJ90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04" s="1">
        <f>COUNTIFS(Apresentação!$E$23:$E$29,ESTIMATIVA[[#This Row],[CD_UPNIVEL1]])</f>
        <v>0</v>
      </c>
    </row>
    <row r="905" spans="1:37" x14ac:dyDescent="0.3">
      <c r="A905">
        <v>20441</v>
      </c>
      <c r="B905" t="s">
        <v>137</v>
      </c>
      <c r="C905">
        <v>13</v>
      </c>
      <c r="D905">
        <v>3</v>
      </c>
      <c r="E905" t="s">
        <v>263</v>
      </c>
      <c r="F905" s="85" t="s">
        <v>331</v>
      </c>
      <c r="G905"/>
      <c r="H905" t="s">
        <v>294</v>
      </c>
      <c r="I905" t="s">
        <v>200</v>
      </c>
      <c r="J905" t="s">
        <v>176</v>
      </c>
      <c r="K905" s="1">
        <v>35.53</v>
      </c>
      <c r="L905" s="1">
        <v>35.53</v>
      </c>
      <c r="M905" s="1">
        <v>35.53</v>
      </c>
      <c r="N905" s="1">
        <v>35.53</v>
      </c>
      <c r="O905" s="1">
        <v>2416.04</v>
      </c>
      <c r="P905" s="1">
        <v>2487.1</v>
      </c>
      <c r="Q905" s="1">
        <v>2487.1</v>
      </c>
      <c r="R905" s="1">
        <v>2455.34</v>
      </c>
      <c r="S905" t="s">
        <v>12</v>
      </c>
      <c r="T905" s="13">
        <v>45935</v>
      </c>
      <c r="U905" s="1" t="str">
        <f>IF(ESTIMATIVA[[#This Row],[QT_AREA_REAL]]&gt;0,"1- Colhido","2- à Colher")</f>
        <v>1- Colhido</v>
      </c>
      <c r="V905" s="1" t="str">
        <f>IF(ESTIMATIVA[[#This Row],[QT_AREA_REST1]]&gt;0,"Reestimativa 1",IF(ESTIMATIVA[[#This Row],[QT_AREA_REAL]]=0,"Reestimativa 1","Realizado"))</f>
        <v>Reestimativa 1</v>
      </c>
      <c r="W905" s="1" t="str">
        <f>IF(ESTIMATIVA[[#This Row],[QT_AREA_REST2]]&gt;0,"Reestimativa 2",IF(ESTIMATIVA[[#This Row],[QT_AREA_REAL]]=0,"Reestimativa 2","Realizado"))</f>
        <v>Reestimativa 2</v>
      </c>
      <c r="X905" s="1">
        <f>ESTIMATIVA[[#This Row],[QT_AREA_EST]]</f>
        <v>35.53</v>
      </c>
      <c r="Y905" s="1">
        <f>IF(ESTIMATIVA[[#This Row],[QT_AREA_REST1]]&gt;0,ESTIMATIVA[[#This Row],[QT_AREA_REST1]],
  IF(ESTIMATIVA[[#This Row],[QT_AREA_REAL]]&gt;0,ESTIMATIVA[[#This Row],[QT_AREA_REAL]],ESTIMATIVA[[#This Row],[QT_AREA_EST]]))</f>
        <v>35.53</v>
      </c>
      <c r="Z90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35.53</v>
      </c>
      <c r="AA905" s="1">
        <f>ESTIMATIVA[[#This Row],[QT_CANA_EST]]</f>
        <v>2416.04</v>
      </c>
      <c r="AB905" s="1">
        <f>IF(ESTIMATIVA[[#This Row],[QT_CANA_REST1]]&gt;0,ESTIMATIVA[[#This Row],[QT_CANA_REST1]],
  IF(ESTIMATIVA[[#This Row],[QT_CANA_REAL]]&gt;0,ESTIMATIVA[[#This Row],[QT_CANA_REAL]],ESTIMATIVA[[#This Row],[QT_CANA_EST]]))</f>
        <v>2487.1</v>
      </c>
      <c r="AC90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2487.1</v>
      </c>
      <c r="AD905" s="1">
        <f>IF(ESTIMATIVA[[#This Row],[QT_AREA_REAL]]&gt;0,ESTIMATIVA[[#This Row],[QT_CANA_REAL]],ESTIMATIVA[[#This Row],[QT_CANA_EST]])</f>
        <v>2455.34</v>
      </c>
      <c r="AE905" s="1">
        <f>IF(ESTIMATIVA[[#This Row],[QT_AREA_REAL]]&gt;0,ESTIMATIVA[[#This Row],[QT_CANA_REAL]],ESTIMATIVA[[#This Row],[QT_CANA_REST1]])</f>
        <v>2455.34</v>
      </c>
      <c r="AF905" s="1">
        <f>IF(ESTIMATIVA[[#This Row],[QT_AREA_REAL]]&gt;0,ESTIMATIVA[[#This Row],[QT_CANA_REAL]],ESTIMATIVA[[#This Row],[QT_CANA_REST2]])</f>
        <v>2455.34</v>
      </c>
      <c r="AG905" s="1" t="str">
        <f>IF(COUNTIFS(GEADA!A:A,VALUE(ESTIMATIVA[[#This Row],[CD_UPNIVEL1]]&amp;TEXT(ESTIMATIVA[[#This Row],[CD_UPNIVEL3]],"0000")))&gt;0,"S","N")</f>
        <v>S</v>
      </c>
      <c r="AH90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05" s="55" t="str">
        <f>IF(ESTIMATIVA[[#This Row],[TP_CULTIVO]]="Irrigado",_xlfn.MAXIFS(IRRIGADO!J:J,IRRIGADO!C:C,ESTIMATIVA[[#This Row],[CD_UPNIVEL1]],IRRIGADO!E:E,ESTIMATIVA[[#This Row],[CD_UPNIVEL3]]),"")</f>
        <v/>
      </c>
      <c r="AJ90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05" s="1">
        <f>COUNTIFS(Apresentação!$E$23:$E$29,ESTIMATIVA[[#This Row],[CD_UPNIVEL1]])</f>
        <v>0</v>
      </c>
    </row>
    <row r="906" spans="1:37" x14ac:dyDescent="0.3">
      <c r="A906">
        <v>20441</v>
      </c>
      <c r="B906" t="s">
        <v>137</v>
      </c>
      <c r="C906">
        <v>14</v>
      </c>
      <c r="D906">
        <v>3</v>
      </c>
      <c r="E906" t="s">
        <v>263</v>
      </c>
      <c r="F906" s="85" t="s">
        <v>331</v>
      </c>
      <c r="G906"/>
      <c r="H906" t="s">
        <v>294</v>
      </c>
      <c r="I906" t="s">
        <v>200</v>
      </c>
      <c r="J906" t="s">
        <v>176</v>
      </c>
      <c r="K906" s="1">
        <v>5.07</v>
      </c>
      <c r="L906" s="1">
        <v>5.07</v>
      </c>
      <c r="M906" s="1">
        <v>5.07</v>
      </c>
      <c r="N906" s="1">
        <v>5.07</v>
      </c>
      <c r="O906" s="1">
        <v>344.76</v>
      </c>
      <c r="P906" s="1">
        <v>354.9</v>
      </c>
      <c r="Q906" s="1">
        <v>354.9</v>
      </c>
      <c r="R906" s="1">
        <v>350.34</v>
      </c>
      <c r="S906" t="s">
        <v>12</v>
      </c>
      <c r="T906" s="13">
        <v>45935</v>
      </c>
      <c r="U906" s="1" t="str">
        <f>IF(ESTIMATIVA[[#This Row],[QT_AREA_REAL]]&gt;0,"1- Colhido","2- à Colher")</f>
        <v>1- Colhido</v>
      </c>
      <c r="V906" s="1" t="str">
        <f>IF(ESTIMATIVA[[#This Row],[QT_AREA_REST1]]&gt;0,"Reestimativa 1",IF(ESTIMATIVA[[#This Row],[QT_AREA_REAL]]=0,"Reestimativa 1","Realizado"))</f>
        <v>Reestimativa 1</v>
      </c>
      <c r="W906" s="1" t="str">
        <f>IF(ESTIMATIVA[[#This Row],[QT_AREA_REST2]]&gt;0,"Reestimativa 2",IF(ESTIMATIVA[[#This Row],[QT_AREA_REAL]]=0,"Reestimativa 2","Realizado"))</f>
        <v>Reestimativa 2</v>
      </c>
      <c r="X906" s="1">
        <f>ESTIMATIVA[[#This Row],[QT_AREA_EST]]</f>
        <v>5.07</v>
      </c>
      <c r="Y906" s="1">
        <f>IF(ESTIMATIVA[[#This Row],[QT_AREA_REST1]]&gt;0,ESTIMATIVA[[#This Row],[QT_AREA_REST1]],
  IF(ESTIMATIVA[[#This Row],[QT_AREA_REAL]]&gt;0,ESTIMATIVA[[#This Row],[QT_AREA_REAL]],ESTIMATIVA[[#This Row],[QT_AREA_EST]]))</f>
        <v>5.07</v>
      </c>
      <c r="Z90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5.07</v>
      </c>
      <c r="AA906" s="1">
        <f>ESTIMATIVA[[#This Row],[QT_CANA_EST]]</f>
        <v>344.76</v>
      </c>
      <c r="AB906" s="1">
        <f>IF(ESTIMATIVA[[#This Row],[QT_CANA_REST1]]&gt;0,ESTIMATIVA[[#This Row],[QT_CANA_REST1]],
  IF(ESTIMATIVA[[#This Row],[QT_CANA_REAL]]&gt;0,ESTIMATIVA[[#This Row],[QT_CANA_REAL]],ESTIMATIVA[[#This Row],[QT_CANA_EST]]))</f>
        <v>354.9</v>
      </c>
      <c r="AC90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354.9</v>
      </c>
      <c r="AD906" s="1">
        <f>IF(ESTIMATIVA[[#This Row],[QT_AREA_REAL]]&gt;0,ESTIMATIVA[[#This Row],[QT_CANA_REAL]],ESTIMATIVA[[#This Row],[QT_CANA_EST]])</f>
        <v>350.34</v>
      </c>
      <c r="AE906" s="1">
        <f>IF(ESTIMATIVA[[#This Row],[QT_AREA_REAL]]&gt;0,ESTIMATIVA[[#This Row],[QT_CANA_REAL]],ESTIMATIVA[[#This Row],[QT_CANA_REST1]])</f>
        <v>350.34</v>
      </c>
      <c r="AF906" s="1">
        <f>IF(ESTIMATIVA[[#This Row],[QT_AREA_REAL]]&gt;0,ESTIMATIVA[[#This Row],[QT_CANA_REAL]],ESTIMATIVA[[#This Row],[QT_CANA_REST2]])</f>
        <v>350.34</v>
      </c>
      <c r="AG906" s="1" t="str">
        <f>IF(COUNTIFS(GEADA!A:A,VALUE(ESTIMATIVA[[#This Row],[CD_UPNIVEL1]]&amp;TEXT(ESTIMATIVA[[#This Row],[CD_UPNIVEL3]],"0000")))&gt;0,"S","N")</f>
        <v>N</v>
      </c>
      <c r="AH90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06" s="55" t="str">
        <f>IF(ESTIMATIVA[[#This Row],[TP_CULTIVO]]="Irrigado",_xlfn.MAXIFS(IRRIGADO!J:J,IRRIGADO!C:C,ESTIMATIVA[[#This Row],[CD_UPNIVEL1]],IRRIGADO!E:E,ESTIMATIVA[[#This Row],[CD_UPNIVEL3]]),"")</f>
        <v/>
      </c>
      <c r="AJ90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06" s="1">
        <f>COUNTIFS(Apresentação!$E$23:$E$29,ESTIMATIVA[[#This Row],[CD_UPNIVEL1]])</f>
        <v>0</v>
      </c>
    </row>
    <row r="907" spans="1:37" x14ac:dyDescent="0.3">
      <c r="A907">
        <v>20441</v>
      </c>
      <c r="B907" t="s">
        <v>137</v>
      </c>
      <c r="C907">
        <v>15</v>
      </c>
      <c r="D907">
        <v>3</v>
      </c>
      <c r="E907" t="s">
        <v>263</v>
      </c>
      <c r="F907" s="85" t="s">
        <v>331</v>
      </c>
      <c r="G907"/>
      <c r="H907" t="s">
        <v>294</v>
      </c>
      <c r="I907" t="s">
        <v>200</v>
      </c>
      <c r="J907" t="s">
        <v>176</v>
      </c>
      <c r="K907" s="1">
        <v>36.880000000000003</v>
      </c>
      <c r="L907" s="1">
        <v>36.880000000000003</v>
      </c>
      <c r="M907" s="1">
        <v>36.880000000000003</v>
      </c>
      <c r="N907" s="1">
        <v>36.880000000000003</v>
      </c>
      <c r="O907" s="1">
        <v>2507.84</v>
      </c>
      <c r="P907" s="1">
        <v>2581.6</v>
      </c>
      <c r="Q907" s="1">
        <v>2581.6</v>
      </c>
      <c r="R907" s="1">
        <v>2549.14</v>
      </c>
      <c r="S907" t="s">
        <v>12</v>
      </c>
      <c r="T907" s="13">
        <v>45935</v>
      </c>
      <c r="U907" s="1" t="str">
        <f>IF(ESTIMATIVA[[#This Row],[QT_AREA_REAL]]&gt;0,"1- Colhido","2- à Colher")</f>
        <v>1- Colhido</v>
      </c>
      <c r="V907" s="1" t="str">
        <f>IF(ESTIMATIVA[[#This Row],[QT_AREA_REST1]]&gt;0,"Reestimativa 1",IF(ESTIMATIVA[[#This Row],[QT_AREA_REAL]]=0,"Reestimativa 1","Realizado"))</f>
        <v>Reestimativa 1</v>
      </c>
      <c r="W907" s="1" t="str">
        <f>IF(ESTIMATIVA[[#This Row],[QT_AREA_REST2]]&gt;0,"Reestimativa 2",IF(ESTIMATIVA[[#This Row],[QT_AREA_REAL]]=0,"Reestimativa 2","Realizado"))</f>
        <v>Reestimativa 2</v>
      </c>
      <c r="X907" s="1">
        <f>ESTIMATIVA[[#This Row],[QT_AREA_EST]]</f>
        <v>36.880000000000003</v>
      </c>
      <c r="Y907" s="1">
        <f>IF(ESTIMATIVA[[#This Row],[QT_AREA_REST1]]&gt;0,ESTIMATIVA[[#This Row],[QT_AREA_REST1]],
  IF(ESTIMATIVA[[#This Row],[QT_AREA_REAL]]&gt;0,ESTIMATIVA[[#This Row],[QT_AREA_REAL]],ESTIMATIVA[[#This Row],[QT_AREA_EST]]))</f>
        <v>36.880000000000003</v>
      </c>
      <c r="Z90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36.880000000000003</v>
      </c>
      <c r="AA907" s="1">
        <f>ESTIMATIVA[[#This Row],[QT_CANA_EST]]</f>
        <v>2507.84</v>
      </c>
      <c r="AB907" s="1">
        <f>IF(ESTIMATIVA[[#This Row],[QT_CANA_REST1]]&gt;0,ESTIMATIVA[[#This Row],[QT_CANA_REST1]],
  IF(ESTIMATIVA[[#This Row],[QT_CANA_REAL]]&gt;0,ESTIMATIVA[[#This Row],[QT_CANA_REAL]],ESTIMATIVA[[#This Row],[QT_CANA_EST]]))</f>
        <v>2581.6</v>
      </c>
      <c r="AC90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2581.6</v>
      </c>
      <c r="AD907" s="1">
        <f>IF(ESTIMATIVA[[#This Row],[QT_AREA_REAL]]&gt;0,ESTIMATIVA[[#This Row],[QT_CANA_REAL]],ESTIMATIVA[[#This Row],[QT_CANA_EST]])</f>
        <v>2549.14</v>
      </c>
      <c r="AE907" s="1">
        <f>IF(ESTIMATIVA[[#This Row],[QT_AREA_REAL]]&gt;0,ESTIMATIVA[[#This Row],[QT_CANA_REAL]],ESTIMATIVA[[#This Row],[QT_CANA_REST1]])</f>
        <v>2549.14</v>
      </c>
      <c r="AF907" s="1">
        <f>IF(ESTIMATIVA[[#This Row],[QT_AREA_REAL]]&gt;0,ESTIMATIVA[[#This Row],[QT_CANA_REAL]],ESTIMATIVA[[#This Row],[QT_CANA_REST2]])</f>
        <v>2549.14</v>
      </c>
      <c r="AG907" s="1" t="str">
        <f>IF(COUNTIFS(GEADA!A:A,VALUE(ESTIMATIVA[[#This Row],[CD_UPNIVEL1]]&amp;TEXT(ESTIMATIVA[[#This Row],[CD_UPNIVEL3]],"0000")))&gt;0,"S","N")</f>
        <v>S</v>
      </c>
      <c r="AH90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07" s="55" t="str">
        <f>IF(ESTIMATIVA[[#This Row],[TP_CULTIVO]]="Irrigado",_xlfn.MAXIFS(IRRIGADO!J:J,IRRIGADO!C:C,ESTIMATIVA[[#This Row],[CD_UPNIVEL1]],IRRIGADO!E:E,ESTIMATIVA[[#This Row],[CD_UPNIVEL3]]),"")</f>
        <v/>
      </c>
      <c r="AJ90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07" s="1">
        <f>COUNTIFS(Apresentação!$E$23:$E$29,ESTIMATIVA[[#This Row],[CD_UPNIVEL1]])</f>
        <v>0</v>
      </c>
    </row>
    <row r="908" spans="1:37" x14ac:dyDescent="0.3">
      <c r="A908">
        <v>20441</v>
      </c>
      <c r="B908" t="s">
        <v>137</v>
      </c>
      <c r="C908">
        <v>16</v>
      </c>
      <c r="D908">
        <v>3</v>
      </c>
      <c r="E908" t="s">
        <v>263</v>
      </c>
      <c r="F908" s="85" t="s">
        <v>333</v>
      </c>
      <c r="G908"/>
      <c r="H908" t="s">
        <v>294</v>
      </c>
      <c r="I908" t="s">
        <v>200</v>
      </c>
      <c r="J908" t="s">
        <v>176</v>
      </c>
      <c r="K908" s="1">
        <v>52.8</v>
      </c>
      <c r="L908" s="1">
        <v>52.8</v>
      </c>
      <c r="M908" s="1">
        <v>52.8</v>
      </c>
      <c r="N908" s="1">
        <v>52.8</v>
      </c>
      <c r="O908" s="1">
        <v>3379.2</v>
      </c>
      <c r="P908" s="1">
        <v>3537.6</v>
      </c>
      <c r="Q908" s="1">
        <v>3537.6</v>
      </c>
      <c r="R908" s="1">
        <v>3493.03</v>
      </c>
      <c r="S908" t="s">
        <v>12</v>
      </c>
      <c r="T908" s="13">
        <v>45935</v>
      </c>
      <c r="U908" s="1" t="str">
        <f>IF(ESTIMATIVA[[#This Row],[QT_AREA_REAL]]&gt;0,"1- Colhido","2- à Colher")</f>
        <v>1- Colhido</v>
      </c>
      <c r="V908" s="1" t="str">
        <f>IF(ESTIMATIVA[[#This Row],[QT_AREA_REST1]]&gt;0,"Reestimativa 1",IF(ESTIMATIVA[[#This Row],[QT_AREA_REAL]]=0,"Reestimativa 1","Realizado"))</f>
        <v>Reestimativa 1</v>
      </c>
      <c r="W908" s="1" t="str">
        <f>IF(ESTIMATIVA[[#This Row],[QT_AREA_REST2]]&gt;0,"Reestimativa 2",IF(ESTIMATIVA[[#This Row],[QT_AREA_REAL]]=0,"Reestimativa 2","Realizado"))</f>
        <v>Reestimativa 2</v>
      </c>
      <c r="X908" s="1">
        <f>ESTIMATIVA[[#This Row],[QT_AREA_EST]]</f>
        <v>52.8</v>
      </c>
      <c r="Y908" s="1">
        <f>IF(ESTIMATIVA[[#This Row],[QT_AREA_REST1]]&gt;0,ESTIMATIVA[[#This Row],[QT_AREA_REST1]],
  IF(ESTIMATIVA[[#This Row],[QT_AREA_REAL]]&gt;0,ESTIMATIVA[[#This Row],[QT_AREA_REAL]],ESTIMATIVA[[#This Row],[QT_AREA_EST]]))</f>
        <v>52.8</v>
      </c>
      <c r="Z90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52.8</v>
      </c>
      <c r="AA908" s="1">
        <f>ESTIMATIVA[[#This Row],[QT_CANA_EST]]</f>
        <v>3379.2</v>
      </c>
      <c r="AB908" s="1">
        <f>IF(ESTIMATIVA[[#This Row],[QT_CANA_REST1]]&gt;0,ESTIMATIVA[[#This Row],[QT_CANA_REST1]],
  IF(ESTIMATIVA[[#This Row],[QT_CANA_REAL]]&gt;0,ESTIMATIVA[[#This Row],[QT_CANA_REAL]],ESTIMATIVA[[#This Row],[QT_CANA_EST]]))</f>
        <v>3537.6</v>
      </c>
      <c r="AC90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3537.6</v>
      </c>
      <c r="AD908" s="1">
        <f>IF(ESTIMATIVA[[#This Row],[QT_AREA_REAL]]&gt;0,ESTIMATIVA[[#This Row],[QT_CANA_REAL]],ESTIMATIVA[[#This Row],[QT_CANA_EST]])</f>
        <v>3493.03</v>
      </c>
      <c r="AE908" s="1">
        <f>IF(ESTIMATIVA[[#This Row],[QT_AREA_REAL]]&gt;0,ESTIMATIVA[[#This Row],[QT_CANA_REAL]],ESTIMATIVA[[#This Row],[QT_CANA_REST1]])</f>
        <v>3493.03</v>
      </c>
      <c r="AF908" s="1">
        <f>IF(ESTIMATIVA[[#This Row],[QT_AREA_REAL]]&gt;0,ESTIMATIVA[[#This Row],[QT_CANA_REAL]],ESTIMATIVA[[#This Row],[QT_CANA_REST2]])</f>
        <v>3493.03</v>
      </c>
      <c r="AG908" s="1" t="str">
        <f>IF(COUNTIFS(GEADA!A:A,VALUE(ESTIMATIVA[[#This Row],[CD_UPNIVEL1]]&amp;TEXT(ESTIMATIVA[[#This Row],[CD_UPNIVEL3]],"0000")))&gt;0,"S","N")</f>
        <v>N</v>
      </c>
      <c r="AH90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08" s="55" t="str">
        <f>IF(ESTIMATIVA[[#This Row],[TP_CULTIVO]]="Irrigado",_xlfn.MAXIFS(IRRIGADO!J:J,IRRIGADO!C:C,ESTIMATIVA[[#This Row],[CD_UPNIVEL1]],IRRIGADO!E:E,ESTIMATIVA[[#This Row],[CD_UPNIVEL3]]),"")</f>
        <v/>
      </c>
      <c r="AJ90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08" s="1">
        <f>COUNTIFS(Apresentação!$E$23:$E$29,ESTIMATIVA[[#This Row],[CD_UPNIVEL1]])</f>
        <v>0</v>
      </c>
    </row>
    <row r="909" spans="1:37" x14ac:dyDescent="0.3">
      <c r="A909">
        <v>20441</v>
      </c>
      <c r="B909" t="s">
        <v>137</v>
      </c>
      <c r="C909">
        <v>17</v>
      </c>
      <c r="D909">
        <v>3</v>
      </c>
      <c r="E909" t="s">
        <v>263</v>
      </c>
      <c r="F909" s="85" t="s">
        <v>331</v>
      </c>
      <c r="G909"/>
      <c r="H909" t="s">
        <v>294</v>
      </c>
      <c r="I909" t="s">
        <v>200</v>
      </c>
      <c r="J909" t="s">
        <v>176</v>
      </c>
      <c r="K909" s="1">
        <v>4.4800000000000004</v>
      </c>
      <c r="L909" s="1">
        <v>4.4800000000000004</v>
      </c>
      <c r="M909" s="1">
        <v>4.4800000000000004</v>
      </c>
      <c r="N909" s="1">
        <v>4.4800000000000004</v>
      </c>
      <c r="O909" s="1">
        <v>286.72000000000003</v>
      </c>
      <c r="P909" s="1">
        <v>300.16000000000003</v>
      </c>
      <c r="Q909" s="1">
        <v>300.16000000000003</v>
      </c>
      <c r="R909" s="1">
        <v>296.05</v>
      </c>
      <c r="S909" t="s">
        <v>12</v>
      </c>
      <c r="T909" s="13">
        <v>45935</v>
      </c>
      <c r="U909" s="1" t="str">
        <f>IF(ESTIMATIVA[[#This Row],[QT_AREA_REAL]]&gt;0,"1- Colhido","2- à Colher")</f>
        <v>1- Colhido</v>
      </c>
      <c r="V909" s="1" t="str">
        <f>IF(ESTIMATIVA[[#This Row],[QT_AREA_REST1]]&gt;0,"Reestimativa 1",IF(ESTIMATIVA[[#This Row],[QT_AREA_REAL]]=0,"Reestimativa 1","Realizado"))</f>
        <v>Reestimativa 1</v>
      </c>
      <c r="W909" s="1" t="str">
        <f>IF(ESTIMATIVA[[#This Row],[QT_AREA_REST2]]&gt;0,"Reestimativa 2",IF(ESTIMATIVA[[#This Row],[QT_AREA_REAL]]=0,"Reestimativa 2","Realizado"))</f>
        <v>Reestimativa 2</v>
      </c>
      <c r="X909" s="1">
        <f>ESTIMATIVA[[#This Row],[QT_AREA_EST]]</f>
        <v>4.4800000000000004</v>
      </c>
      <c r="Y909" s="1">
        <f>IF(ESTIMATIVA[[#This Row],[QT_AREA_REST1]]&gt;0,ESTIMATIVA[[#This Row],[QT_AREA_REST1]],
  IF(ESTIMATIVA[[#This Row],[QT_AREA_REAL]]&gt;0,ESTIMATIVA[[#This Row],[QT_AREA_REAL]],ESTIMATIVA[[#This Row],[QT_AREA_EST]]))</f>
        <v>4.4800000000000004</v>
      </c>
      <c r="Z90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4.4800000000000004</v>
      </c>
      <c r="AA909" s="1">
        <f>ESTIMATIVA[[#This Row],[QT_CANA_EST]]</f>
        <v>286.72000000000003</v>
      </c>
      <c r="AB909" s="1">
        <f>IF(ESTIMATIVA[[#This Row],[QT_CANA_REST1]]&gt;0,ESTIMATIVA[[#This Row],[QT_CANA_REST1]],
  IF(ESTIMATIVA[[#This Row],[QT_CANA_REAL]]&gt;0,ESTIMATIVA[[#This Row],[QT_CANA_REAL]],ESTIMATIVA[[#This Row],[QT_CANA_EST]]))</f>
        <v>300.16000000000003</v>
      </c>
      <c r="AC90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300.16000000000003</v>
      </c>
      <c r="AD909" s="1">
        <f>IF(ESTIMATIVA[[#This Row],[QT_AREA_REAL]]&gt;0,ESTIMATIVA[[#This Row],[QT_CANA_REAL]],ESTIMATIVA[[#This Row],[QT_CANA_EST]])</f>
        <v>296.05</v>
      </c>
      <c r="AE909" s="1">
        <f>IF(ESTIMATIVA[[#This Row],[QT_AREA_REAL]]&gt;0,ESTIMATIVA[[#This Row],[QT_CANA_REAL]],ESTIMATIVA[[#This Row],[QT_CANA_REST1]])</f>
        <v>296.05</v>
      </c>
      <c r="AF909" s="1">
        <f>IF(ESTIMATIVA[[#This Row],[QT_AREA_REAL]]&gt;0,ESTIMATIVA[[#This Row],[QT_CANA_REAL]],ESTIMATIVA[[#This Row],[QT_CANA_REST2]])</f>
        <v>296.05</v>
      </c>
      <c r="AG909" s="1" t="str">
        <f>IF(COUNTIFS(GEADA!A:A,VALUE(ESTIMATIVA[[#This Row],[CD_UPNIVEL1]]&amp;TEXT(ESTIMATIVA[[#This Row],[CD_UPNIVEL3]],"0000")))&gt;0,"S","N")</f>
        <v>N</v>
      </c>
      <c r="AH90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09" s="55" t="str">
        <f>IF(ESTIMATIVA[[#This Row],[TP_CULTIVO]]="Irrigado",_xlfn.MAXIFS(IRRIGADO!J:J,IRRIGADO!C:C,ESTIMATIVA[[#This Row],[CD_UPNIVEL1]],IRRIGADO!E:E,ESTIMATIVA[[#This Row],[CD_UPNIVEL3]]),"")</f>
        <v/>
      </c>
      <c r="AJ90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09" s="1">
        <f>COUNTIFS(Apresentação!$E$23:$E$29,ESTIMATIVA[[#This Row],[CD_UPNIVEL1]])</f>
        <v>0</v>
      </c>
    </row>
    <row r="910" spans="1:37" x14ac:dyDescent="0.3">
      <c r="A910">
        <v>20441</v>
      </c>
      <c r="B910" t="s">
        <v>137</v>
      </c>
      <c r="C910">
        <v>18</v>
      </c>
      <c r="D910">
        <v>3</v>
      </c>
      <c r="E910" t="s">
        <v>263</v>
      </c>
      <c r="F910" s="85" t="s">
        <v>331</v>
      </c>
      <c r="G910"/>
      <c r="H910" t="s">
        <v>294</v>
      </c>
      <c r="I910" t="s">
        <v>200</v>
      </c>
      <c r="J910" t="s">
        <v>176</v>
      </c>
      <c r="K910" s="1">
        <v>21.15</v>
      </c>
      <c r="L910" s="1">
        <v>21.15</v>
      </c>
      <c r="M910" s="1">
        <v>21.15</v>
      </c>
      <c r="N910" s="1">
        <v>21.15</v>
      </c>
      <c r="O910" s="1">
        <v>1353.6</v>
      </c>
      <c r="P910" s="1">
        <v>1417.05</v>
      </c>
      <c r="Q910" s="1">
        <v>1417.05</v>
      </c>
      <c r="R910" s="1">
        <v>1399.84</v>
      </c>
      <c r="S910" t="s">
        <v>12</v>
      </c>
      <c r="T910" s="13">
        <v>45935</v>
      </c>
      <c r="U910" s="1" t="str">
        <f>IF(ESTIMATIVA[[#This Row],[QT_AREA_REAL]]&gt;0,"1- Colhido","2- à Colher")</f>
        <v>1- Colhido</v>
      </c>
      <c r="V910" s="1" t="str">
        <f>IF(ESTIMATIVA[[#This Row],[QT_AREA_REST1]]&gt;0,"Reestimativa 1",IF(ESTIMATIVA[[#This Row],[QT_AREA_REAL]]=0,"Reestimativa 1","Realizado"))</f>
        <v>Reestimativa 1</v>
      </c>
      <c r="W910" s="1" t="str">
        <f>IF(ESTIMATIVA[[#This Row],[QT_AREA_REST2]]&gt;0,"Reestimativa 2",IF(ESTIMATIVA[[#This Row],[QT_AREA_REAL]]=0,"Reestimativa 2","Realizado"))</f>
        <v>Reestimativa 2</v>
      </c>
      <c r="X910" s="1">
        <f>ESTIMATIVA[[#This Row],[QT_AREA_EST]]</f>
        <v>21.15</v>
      </c>
      <c r="Y910" s="1">
        <f>IF(ESTIMATIVA[[#This Row],[QT_AREA_REST1]]&gt;0,ESTIMATIVA[[#This Row],[QT_AREA_REST1]],
  IF(ESTIMATIVA[[#This Row],[QT_AREA_REAL]]&gt;0,ESTIMATIVA[[#This Row],[QT_AREA_REAL]],ESTIMATIVA[[#This Row],[QT_AREA_EST]]))</f>
        <v>21.15</v>
      </c>
      <c r="Z91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21.15</v>
      </c>
      <c r="AA910" s="1">
        <f>ESTIMATIVA[[#This Row],[QT_CANA_EST]]</f>
        <v>1353.6</v>
      </c>
      <c r="AB910" s="1">
        <f>IF(ESTIMATIVA[[#This Row],[QT_CANA_REST1]]&gt;0,ESTIMATIVA[[#This Row],[QT_CANA_REST1]],
  IF(ESTIMATIVA[[#This Row],[QT_CANA_REAL]]&gt;0,ESTIMATIVA[[#This Row],[QT_CANA_REAL]],ESTIMATIVA[[#This Row],[QT_CANA_EST]]))</f>
        <v>1417.05</v>
      </c>
      <c r="AC91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1417.05</v>
      </c>
      <c r="AD910" s="1">
        <f>IF(ESTIMATIVA[[#This Row],[QT_AREA_REAL]]&gt;0,ESTIMATIVA[[#This Row],[QT_CANA_REAL]],ESTIMATIVA[[#This Row],[QT_CANA_EST]])</f>
        <v>1399.84</v>
      </c>
      <c r="AE910" s="1">
        <f>IF(ESTIMATIVA[[#This Row],[QT_AREA_REAL]]&gt;0,ESTIMATIVA[[#This Row],[QT_CANA_REAL]],ESTIMATIVA[[#This Row],[QT_CANA_REST1]])</f>
        <v>1399.84</v>
      </c>
      <c r="AF910" s="1">
        <f>IF(ESTIMATIVA[[#This Row],[QT_AREA_REAL]]&gt;0,ESTIMATIVA[[#This Row],[QT_CANA_REAL]],ESTIMATIVA[[#This Row],[QT_CANA_REST2]])</f>
        <v>1399.84</v>
      </c>
      <c r="AG910" s="1" t="str">
        <f>IF(COUNTIFS(GEADA!A:A,VALUE(ESTIMATIVA[[#This Row],[CD_UPNIVEL1]]&amp;TEXT(ESTIMATIVA[[#This Row],[CD_UPNIVEL3]],"0000")))&gt;0,"S","N")</f>
        <v>N</v>
      </c>
      <c r="AH91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10" s="55" t="str">
        <f>IF(ESTIMATIVA[[#This Row],[TP_CULTIVO]]="Irrigado",_xlfn.MAXIFS(IRRIGADO!J:J,IRRIGADO!C:C,ESTIMATIVA[[#This Row],[CD_UPNIVEL1]],IRRIGADO!E:E,ESTIMATIVA[[#This Row],[CD_UPNIVEL3]]),"")</f>
        <v/>
      </c>
      <c r="AJ91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10" s="1">
        <f>COUNTIFS(Apresentação!$E$23:$E$29,ESTIMATIVA[[#This Row],[CD_UPNIVEL1]])</f>
        <v>0</v>
      </c>
    </row>
    <row r="911" spans="1:37" x14ac:dyDescent="0.3">
      <c r="A911">
        <v>20442</v>
      </c>
      <c r="B911" t="s">
        <v>50</v>
      </c>
      <c r="C911">
        <v>1</v>
      </c>
      <c r="D911">
        <v>3</v>
      </c>
      <c r="E911" t="s">
        <v>263</v>
      </c>
      <c r="F911" s="85" t="s">
        <v>332</v>
      </c>
      <c r="G911"/>
      <c r="H911" t="s">
        <v>294</v>
      </c>
      <c r="I911" t="s">
        <v>195</v>
      </c>
      <c r="J911" t="s">
        <v>176</v>
      </c>
      <c r="K911" s="1">
        <v>21.86</v>
      </c>
      <c r="L911" s="1">
        <v>21.86</v>
      </c>
      <c r="M911" s="1">
        <v>21.86</v>
      </c>
      <c r="N911" s="1">
        <v>0</v>
      </c>
      <c r="O911" s="1">
        <v>1267.8800000000001</v>
      </c>
      <c r="P911" s="1">
        <v>1377.18</v>
      </c>
      <c r="Q911" s="1">
        <v>1377.18</v>
      </c>
      <c r="R911" s="1">
        <v>0</v>
      </c>
      <c r="S911" t="s">
        <v>12</v>
      </c>
      <c r="T911" s="13"/>
      <c r="U911" s="1" t="str">
        <f>IF(ESTIMATIVA[[#This Row],[QT_AREA_REAL]]&gt;0,"1- Colhido","2- à Colher")</f>
        <v>2- à Colher</v>
      </c>
      <c r="V911" s="1" t="str">
        <f>IF(ESTIMATIVA[[#This Row],[QT_AREA_REST1]]&gt;0,"Reestimativa 1",IF(ESTIMATIVA[[#This Row],[QT_AREA_REAL]]=0,"Reestimativa 1","Realizado"))</f>
        <v>Reestimativa 1</v>
      </c>
      <c r="W911" s="1" t="str">
        <f>IF(ESTIMATIVA[[#This Row],[QT_AREA_REST2]]&gt;0,"Reestimativa 2",IF(ESTIMATIVA[[#This Row],[QT_AREA_REAL]]=0,"Reestimativa 2","Realizado"))</f>
        <v>Reestimativa 2</v>
      </c>
      <c r="X911" s="1">
        <f>ESTIMATIVA[[#This Row],[QT_AREA_EST]]</f>
        <v>21.86</v>
      </c>
      <c r="Y911" s="1">
        <f>IF(ESTIMATIVA[[#This Row],[QT_AREA_REST1]]&gt;0,ESTIMATIVA[[#This Row],[QT_AREA_REST1]],
  IF(ESTIMATIVA[[#This Row],[QT_AREA_REAL]]&gt;0,ESTIMATIVA[[#This Row],[QT_AREA_REAL]],ESTIMATIVA[[#This Row],[QT_AREA_EST]]))</f>
        <v>21.86</v>
      </c>
      <c r="Z91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21.86</v>
      </c>
      <c r="AA911" s="1">
        <f>ESTIMATIVA[[#This Row],[QT_CANA_EST]]</f>
        <v>1267.8800000000001</v>
      </c>
      <c r="AB911" s="1">
        <f>IF(ESTIMATIVA[[#This Row],[QT_CANA_REST1]]&gt;0,ESTIMATIVA[[#This Row],[QT_CANA_REST1]],
  IF(ESTIMATIVA[[#This Row],[QT_CANA_REAL]]&gt;0,ESTIMATIVA[[#This Row],[QT_CANA_REAL]],ESTIMATIVA[[#This Row],[QT_CANA_EST]]))</f>
        <v>1377.18</v>
      </c>
      <c r="AC91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1377.18</v>
      </c>
      <c r="AD911" s="1">
        <f>IF(ESTIMATIVA[[#This Row],[QT_AREA_REAL]]&gt;0,ESTIMATIVA[[#This Row],[QT_CANA_REAL]],ESTIMATIVA[[#This Row],[QT_CANA_EST]])</f>
        <v>1267.8800000000001</v>
      </c>
      <c r="AE911" s="1">
        <f>IF(ESTIMATIVA[[#This Row],[QT_AREA_REAL]]&gt;0,ESTIMATIVA[[#This Row],[QT_CANA_REAL]],ESTIMATIVA[[#This Row],[QT_CANA_REST1]])</f>
        <v>1377.18</v>
      </c>
      <c r="AF911" s="1">
        <f>IF(ESTIMATIVA[[#This Row],[QT_AREA_REAL]]&gt;0,ESTIMATIVA[[#This Row],[QT_CANA_REAL]],ESTIMATIVA[[#This Row],[QT_CANA_REST2]])</f>
        <v>1377.18</v>
      </c>
      <c r="AG911" s="1" t="str">
        <f>IF(COUNTIFS(GEADA!A:A,VALUE(ESTIMATIVA[[#This Row],[CD_UPNIVEL1]]&amp;TEXT(ESTIMATIVA[[#This Row],[CD_UPNIVEL3]],"0000")))&gt;0,"S","N")</f>
        <v>N</v>
      </c>
      <c r="AH91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11" s="55" t="str">
        <f>IF(ESTIMATIVA[[#This Row],[TP_CULTIVO]]="Irrigado",_xlfn.MAXIFS(IRRIGADO!J:J,IRRIGADO!C:C,ESTIMATIVA[[#This Row],[CD_UPNIVEL1]],IRRIGADO!E:E,ESTIMATIVA[[#This Row],[CD_UPNIVEL3]]),"")</f>
        <v/>
      </c>
      <c r="AJ91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11" s="1">
        <f>COUNTIFS(Apresentação!$E$23:$E$29,ESTIMATIVA[[#This Row],[CD_UPNIVEL1]])</f>
        <v>0</v>
      </c>
    </row>
    <row r="912" spans="1:37" x14ac:dyDescent="0.3">
      <c r="A912">
        <v>20442</v>
      </c>
      <c r="B912" t="s">
        <v>50</v>
      </c>
      <c r="C912">
        <v>2</v>
      </c>
      <c r="D912">
        <v>3</v>
      </c>
      <c r="E912" t="s">
        <v>263</v>
      </c>
      <c r="F912" s="85" t="s">
        <v>331</v>
      </c>
      <c r="G912"/>
      <c r="H912" t="s">
        <v>294</v>
      </c>
      <c r="I912" t="s">
        <v>206</v>
      </c>
      <c r="J912" t="s">
        <v>176</v>
      </c>
      <c r="K912" s="1">
        <v>34.71</v>
      </c>
      <c r="L912" s="1">
        <v>34.71</v>
      </c>
      <c r="M912" s="1">
        <v>34.71</v>
      </c>
      <c r="N912" s="1">
        <v>34.71</v>
      </c>
      <c r="O912" s="1">
        <v>1943.76</v>
      </c>
      <c r="P912" s="1">
        <v>1978.47</v>
      </c>
      <c r="Q912" s="1">
        <v>1978.47</v>
      </c>
      <c r="R912" s="1">
        <v>1184.6099999999999</v>
      </c>
      <c r="S912" t="s">
        <v>12</v>
      </c>
      <c r="T912" s="13">
        <v>46005</v>
      </c>
      <c r="U912" s="1" t="str">
        <f>IF(ESTIMATIVA[[#This Row],[QT_AREA_REAL]]&gt;0,"1- Colhido","2- à Colher")</f>
        <v>1- Colhido</v>
      </c>
      <c r="V912" s="1" t="str">
        <f>IF(ESTIMATIVA[[#This Row],[QT_AREA_REST1]]&gt;0,"Reestimativa 1",IF(ESTIMATIVA[[#This Row],[QT_AREA_REAL]]=0,"Reestimativa 1","Realizado"))</f>
        <v>Reestimativa 1</v>
      </c>
      <c r="W912" s="1" t="str">
        <f>IF(ESTIMATIVA[[#This Row],[QT_AREA_REST2]]&gt;0,"Reestimativa 2",IF(ESTIMATIVA[[#This Row],[QT_AREA_REAL]]=0,"Reestimativa 2","Realizado"))</f>
        <v>Reestimativa 2</v>
      </c>
      <c r="X912" s="1">
        <f>ESTIMATIVA[[#This Row],[QT_AREA_EST]]</f>
        <v>34.71</v>
      </c>
      <c r="Y912" s="1">
        <f>IF(ESTIMATIVA[[#This Row],[QT_AREA_REST1]]&gt;0,ESTIMATIVA[[#This Row],[QT_AREA_REST1]],
  IF(ESTIMATIVA[[#This Row],[QT_AREA_REAL]]&gt;0,ESTIMATIVA[[#This Row],[QT_AREA_REAL]],ESTIMATIVA[[#This Row],[QT_AREA_EST]]))</f>
        <v>34.71</v>
      </c>
      <c r="Z91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34.71</v>
      </c>
      <c r="AA912" s="1">
        <f>ESTIMATIVA[[#This Row],[QT_CANA_EST]]</f>
        <v>1943.76</v>
      </c>
      <c r="AB912" s="1">
        <f>IF(ESTIMATIVA[[#This Row],[QT_CANA_REST1]]&gt;0,ESTIMATIVA[[#This Row],[QT_CANA_REST1]],
  IF(ESTIMATIVA[[#This Row],[QT_CANA_REAL]]&gt;0,ESTIMATIVA[[#This Row],[QT_CANA_REAL]],ESTIMATIVA[[#This Row],[QT_CANA_EST]]))</f>
        <v>1978.47</v>
      </c>
      <c r="AC91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1978.47</v>
      </c>
      <c r="AD912" s="1">
        <f>IF(ESTIMATIVA[[#This Row],[QT_AREA_REAL]]&gt;0,ESTIMATIVA[[#This Row],[QT_CANA_REAL]],ESTIMATIVA[[#This Row],[QT_CANA_EST]])</f>
        <v>1184.6099999999999</v>
      </c>
      <c r="AE912" s="1">
        <f>IF(ESTIMATIVA[[#This Row],[QT_AREA_REAL]]&gt;0,ESTIMATIVA[[#This Row],[QT_CANA_REAL]],ESTIMATIVA[[#This Row],[QT_CANA_REST1]])</f>
        <v>1184.6099999999999</v>
      </c>
      <c r="AF912" s="1">
        <f>IF(ESTIMATIVA[[#This Row],[QT_AREA_REAL]]&gt;0,ESTIMATIVA[[#This Row],[QT_CANA_REAL]],ESTIMATIVA[[#This Row],[QT_CANA_REST2]])</f>
        <v>1184.6099999999999</v>
      </c>
      <c r="AG912" s="1" t="str">
        <f>IF(COUNTIFS(GEADA!A:A,VALUE(ESTIMATIVA[[#This Row],[CD_UPNIVEL1]]&amp;TEXT(ESTIMATIVA[[#This Row],[CD_UPNIVEL3]],"0000")))&gt;0,"S","N")</f>
        <v>N</v>
      </c>
      <c r="AH91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12" s="55" t="str">
        <f>IF(ESTIMATIVA[[#This Row],[TP_CULTIVO]]="Irrigado",_xlfn.MAXIFS(IRRIGADO!J:J,IRRIGADO!C:C,ESTIMATIVA[[#This Row],[CD_UPNIVEL1]],IRRIGADO!E:E,ESTIMATIVA[[#This Row],[CD_UPNIVEL3]]),"")</f>
        <v/>
      </c>
      <c r="AJ91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12" s="1">
        <f>COUNTIFS(Apresentação!$E$23:$E$29,ESTIMATIVA[[#This Row],[CD_UPNIVEL1]])</f>
        <v>0</v>
      </c>
    </row>
    <row r="913" spans="1:37" x14ac:dyDescent="0.3">
      <c r="A913">
        <v>20442</v>
      </c>
      <c r="B913" t="s">
        <v>50</v>
      </c>
      <c r="C913">
        <v>3</v>
      </c>
      <c r="D913">
        <v>3</v>
      </c>
      <c r="E913" t="s">
        <v>263</v>
      </c>
      <c r="F913" s="85" t="s">
        <v>331</v>
      </c>
      <c r="G913"/>
      <c r="H913" t="s">
        <v>294</v>
      </c>
      <c r="I913" t="s">
        <v>195</v>
      </c>
      <c r="J913" t="s">
        <v>176</v>
      </c>
      <c r="K913" s="1">
        <v>21.29</v>
      </c>
      <c r="L913" s="1">
        <v>21.29</v>
      </c>
      <c r="M913" s="1">
        <v>21.29</v>
      </c>
      <c r="N913" s="1">
        <v>0</v>
      </c>
      <c r="O913" s="1">
        <v>1192.24</v>
      </c>
      <c r="P913" s="1">
        <v>1277.4000000000001</v>
      </c>
      <c r="Q913" s="1">
        <v>1277.4000000000001</v>
      </c>
      <c r="R913" s="1">
        <v>0</v>
      </c>
      <c r="S913" t="s">
        <v>12</v>
      </c>
      <c r="T913" s="13"/>
      <c r="U913" s="1" t="str">
        <f>IF(ESTIMATIVA[[#This Row],[QT_AREA_REAL]]&gt;0,"1- Colhido","2- à Colher")</f>
        <v>2- à Colher</v>
      </c>
      <c r="V913" s="1" t="str">
        <f>IF(ESTIMATIVA[[#This Row],[QT_AREA_REST1]]&gt;0,"Reestimativa 1",IF(ESTIMATIVA[[#This Row],[QT_AREA_REAL]]=0,"Reestimativa 1","Realizado"))</f>
        <v>Reestimativa 1</v>
      </c>
      <c r="W913" s="1" t="str">
        <f>IF(ESTIMATIVA[[#This Row],[QT_AREA_REST2]]&gt;0,"Reestimativa 2",IF(ESTIMATIVA[[#This Row],[QT_AREA_REAL]]=0,"Reestimativa 2","Realizado"))</f>
        <v>Reestimativa 2</v>
      </c>
      <c r="X913" s="1">
        <f>ESTIMATIVA[[#This Row],[QT_AREA_EST]]</f>
        <v>21.29</v>
      </c>
      <c r="Y913" s="1">
        <f>IF(ESTIMATIVA[[#This Row],[QT_AREA_REST1]]&gt;0,ESTIMATIVA[[#This Row],[QT_AREA_REST1]],
  IF(ESTIMATIVA[[#This Row],[QT_AREA_REAL]]&gt;0,ESTIMATIVA[[#This Row],[QT_AREA_REAL]],ESTIMATIVA[[#This Row],[QT_AREA_EST]]))</f>
        <v>21.29</v>
      </c>
      <c r="Z91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21.29</v>
      </c>
      <c r="AA913" s="1">
        <f>ESTIMATIVA[[#This Row],[QT_CANA_EST]]</f>
        <v>1192.24</v>
      </c>
      <c r="AB913" s="1">
        <f>IF(ESTIMATIVA[[#This Row],[QT_CANA_REST1]]&gt;0,ESTIMATIVA[[#This Row],[QT_CANA_REST1]],
  IF(ESTIMATIVA[[#This Row],[QT_CANA_REAL]]&gt;0,ESTIMATIVA[[#This Row],[QT_CANA_REAL]],ESTIMATIVA[[#This Row],[QT_CANA_EST]]))</f>
        <v>1277.4000000000001</v>
      </c>
      <c r="AC91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1277.4000000000001</v>
      </c>
      <c r="AD913" s="1">
        <f>IF(ESTIMATIVA[[#This Row],[QT_AREA_REAL]]&gt;0,ESTIMATIVA[[#This Row],[QT_CANA_REAL]],ESTIMATIVA[[#This Row],[QT_CANA_EST]])</f>
        <v>1192.24</v>
      </c>
      <c r="AE913" s="1">
        <f>IF(ESTIMATIVA[[#This Row],[QT_AREA_REAL]]&gt;0,ESTIMATIVA[[#This Row],[QT_CANA_REAL]],ESTIMATIVA[[#This Row],[QT_CANA_REST1]])</f>
        <v>1277.4000000000001</v>
      </c>
      <c r="AF913" s="1">
        <f>IF(ESTIMATIVA[[#This Row],[QT_AREA_REAL]]&gt;0,ESTIMATIVA[[#This Row],[QT_CANA_REAL]],ESTIMATIVA[[#This Row],[QT_CANA_REST2]])</f>
        <v>1277.4000000000001</v>
      </c>
      <c r="AG913" s="1" t="str">
        <f>IF(COUNTIFS(GEADA!A:A,VALUE(ESTIMATIVA[[#This Row],[CD_UPNIVEL1]]&amp;TEXT(ESTIMATIVA[[#This Row],[CD_UPNIVEL3]],"0000")))&gt;0,"S","N")</f>
        <v>N</v>
      </c>
      <c r="AH91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13" s="55" t="str">
        <f>IF(ESTIMATIVA[[#This Row],[TP_CULTIVO]]="Irrigado",_xlfn.MAXIFS(IRRIGADO!J:J,IRRIGADO!C:C,ESTIMATIVA[[#This Row],[CD_UPNIVEL1]],IRRIGADO!E:E,ESTIMATIVA[[#This Row],[CD_UPNIVEL3]]),"")</f>
        <v/>
      </c>
      <c r="AJ91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13" s="1">
        <f>COUNTIFS(Apresentação!$E$23:$E$29,ESTIMATIVA[[#This Row],[CD_UPNIVEL1]])</f>
        <v>0</v>
      </c>
    </row>
    <row r="914" spans="1:37" x14ac:dyDescent="0.3">
      <c r="A914">
        <v>20442</v>
      </c>
      <c r="B914" t="s">
        <v>50</v>
      </c>
      <c r="C914">
        <v>4</v>
      </c>
      <c r="D914">
        <v>3</v>
      </c>
      <c r="E914" t="s">
        <v>263</v>
      </c>
      <c r="F914" s="85" t="s">
        <v>331</v>
      </c>
      <c r="G914"/>
      <c r="H914" t="s">
        <v>294</v>
      </c>
      <c r="I914" t="s">
        <v>201</v>
      </c>
      <c r="J914" t="s">
        <v>176</v>
      </c>
      <c r="K914" s="1">
        <v>34</v>
      </c>
      <c r="L914" s="1">
        <v>34</v>
      </c>
      <c r="M914" s="1">
        <v>0</v>
      </c>
      <c r="N914" s="1">
        <v>34</v>
      </c>
      <c r="O914" s="1">
        <v>2516</v>
      </c>
      <c r="P914" s="1">
        <v>2618</v>
      </c>
      <c r="Q914" s="1">
        <v>0</v>
      </c>
      <c r="R914" s="1">
        <v>2359.14</v>
      </c>
      <c r="S914" t="s">
        <v>12</v>
      </c>
      <c r="T914" s="13">
        <v>45858</v>
      </c>
      <c r="U914" s="1" t="str">
        <f>IF(ESTIMATIVA[[#This Row],[QT_AREA_REAL]]&gt;0,"1- Colhido","2- à Colher")</f>
        <v>1- Colhido</v>
      </c>
      <c r="V914" s="1" t="str">
        <f>IF(ESTIMATIVA[[#This Row],[QT_AREA_REST1]]&gt;0,"Reestimativa 1",IF(ESTIMATIVA[[#This Row],[QT_AREA_REAL]]=0,"Reestimativa 1","Realizado"))</f>
        <v>Reestimativa 1</v>
      </c>
      <c r="W914" s="1" t="str">
        <f>IF(ESTIMATIVA[[#This Row],[QT_AREA_REST2]]&gt;0,"Reestimativa 2",IF(ESTIMATIVA[[#This Row],[QT_AREA_REAL]]=0,"Reestimativa 2","Realizado"))</f>
        <v>Realizado</v>
      </c>
      <c r="X914" s="1">
        <f>ESTIMATIVA[[#This Row],[QT_AREA_EST]]</f>
        <v>34</v>
      </c>
      <c r="Y914" s="1">
        <f>IF(ESTIMATIVA[[#This Row],[QT_AREA_REST1]]&gt;0,ESTIMATIVA[[#This Row],[QT_AREA_REST1]],
  IF(ESTIMATIVA[[#This Row],[QT_AREA_REAL]]&gt;0,ESTIMATIVA[[#This Row],[QT_AREA_REAL]],ESTIMATIVA[[#This Row],[QT_AREA_EST]]))</f>
        <v>34</v>
      </c>
      <c r="Z91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34</v>
      </c>
      <c r="AA914" s="1">
        <f>ESTIMATIVA[[#This Row],[QT_CANA_EST]]</f>
        <v>2516</v>
      </c>
      <c r="AB914" s="1">
        <f>IF(ESTIMATIVA[[#This Row],[QT_CANA_REST1]]&gt;0,ESTIMATIVA[[#This Row],[QT_CANA_REST1]],
  IF(ESTIMATIVA[[#This Row],[QT_CANA_REAL]]&gt;0,ESTIMATIVA[[#This Row],[QT_CANA_REAL]],ESTIMATIVA[[#This Row],[QT_CANA_EST]]))</f>
        <v>2618</v>
      </c>
      <c r="AC91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2359.14</v>
      </c>
      <c r="AD914" s="1">
        <f>IF(ESTIMATIVA[[#This Row],[QT_AREA_REAL]]&gt;0,ESTIMATIVA[[#This Row],[QT_CANA_REAL]],ESTIMATIVA[[#This Row],[QT_CANA_EST]])</f>
        <v>2359.14</v>
      </c>
      <c r="AE914" s="1">
        <f>IF(ESTIMATIVA[[#This Row],[QT_AREA_REAL]]&gt;0,ESTIMATIVA[[#This Row],[QT_CANA_REAL]],ESTIMATIVA[[#This Row],[QT_CANA_REST1]])</f>
        <v>2359.14</v>
      </c>
      <c r="AF914" s="1">
        <f>IF(ESTIMATIVA[[#This Row],[QT_AREA_REAL]]&gt;0,ESTIMATIVA[[#This Row],[QT_CANA_REAL]],ESTIMATIVA[[#This Row],[QT_CANA_REST2]])</f>
        <v>2359.14</v>
      </c>
      <c r="AG914" s="1" t="str">
        <f>IF(COUNTIFS(GEADA!A:A,VALUE(ESTIMATIVA[[#This Row],[CD_UPNIVEL1]]&amp;TEXT(ESTIMATIVA[[#This Row],[CD_UPNIVEL3]],"0000")))&gt;0,"S","N")</f>
        <v>N</v>
      </c>
      <c r="AH91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14" s="55" t="str">
        <f>IF(ESTIMATIVA[[#This Row],[TP_CULTIVO]]="Irrigado",_xlfn.MAXIFS(IRRIGADO!J:J,IRRIGADO!C:C,ESTIMATIVA[[#This Row],[CD_UPNIVEL1]],IRRIGADO!E:E,ESTIMATIVA[[#This Row],[CD_UPNIVEL3]]),"")</f>
        <v/>
      </c>
      <c r="AJ91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14" s="1">
        <f>COUNTIFS(Apresentação!$E$23:$E$29,ESTIMATIVA[[#This Row],[CD_UPNIVEL1]])</f>
        <v>0</v>
      </c>
    </row>
    <row r="915" spans="1:37" x14ac:dyDescent="0.3">
      <c r="A915">
        <v>20442</v>
      </c>
      <c r="B915" t="s">
        <v>50</v>
      </c>
      <c r="C915">
        <v>5</v>
      </c>
      <c r="D915">
        <v>3</v>
      </c>
      <c r="E915" t="s">
        <v>263</v>
      </c>
      <c r="F915" s="85" t="s">
        <v>331</v>
      </c>
      <c r="G915"/>
      <c r="H915" t="s">
        <v>294</v>
      </c>
      <c r="I915" t="s">
        <v>201</v>
      </c>
      <c r="J915" t="s">
        <v>176</v>
      </c>
      <c r="K915" s="1">
        <v>8.42</v>
      </c>
      <c r="L915" s="1">
        <v>8.42</v>
      </c>
      <c r="M915" s="1">
        <v>0</v>
      </c>
      <c r="N915" s="1">
        <v>8.42</v>
      </c>
      <c r="O915" s="1">
        <v>623.08000000000004</v>
      </c>
      <c r="P915" s="1">
        <v>639.91999999999996</v>
      </c>
      <c r="Q915" s="1">
        <v>0</v>
      </c>
      <c r="R915" s="1">
        <v>576.66</v>
      </c>
      <c r="S915" t="s">
        <v>12</v>
      </c>
      <c r="T915" s="13">
        <v>45858</v>
      </c>
      <c r="U915" s="1" t="str">
        <f>IF(ESTIMATIVA[[#This Row],[QT_AREA_REAL]]&gt;0,"1- Colhido","2- à Colher")</f>
        <v>1- Colhido</v>
      </c>
      <c r="V915" s="1" t="str">
        <f>IF(ESTIMATIVA[[#This Row],[QT_AREA_REST1]]&gt;0,"Reestimativa 1",IF(ESTIMATIVA[[#This Row],[QT_AREA_REAL]]=0,"Reestimativa 1","Realizado"))</f>
        <v>Reestimativa 1</v>
      </c>
      <c r="W915" s="1" t="str">
        <f>IF(ESTIMATIVA[[#This Row],[QT_AREA_REST2]]&gt;0,"Reestimativa 2",IF(ESTIMATIVA[[#This Row],[QT_AREA_REAL]]=0,"Reestimativa 2","Realizado"))</f>
        <v>Realizado</v>
      </c>
      <c r="X915" s="1">
        <f>ESTIMATIVA[[#This Row],[QT_AREA_EST]]</f>
        <v>8.42</v>
      </c>
      <c r="Y915" s="1">
        <f>IF(ESTIMATIVA[[#This Row],[QT_AREA_REST1]]&gt;0,ESTIMATIVA[[#This Row],[QT_AREA_REST1]],
  IF(ESTIMATIVA[[#This Row],[QT_AREA_REAL]]&gt;0,ESTIMATIVA[[#This Row],[QT_AREA_REAL]],ESTIMATIVA[[#This Row],[QT_AREA_EST]]))</f>
        <v>8.42</v>
      </c>
      <c r="Z91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8.42</v>
      </c>
      <c r="AA915" s="1">
        <f>ESTIMATIVA[[#This Row],[QT_CANA_EST]]</f>
        <v>623.08000000000004</v>
      </c>
      <c r="AB915" s="1">
        <f>IF(ESTIMATIVA[[#This Row],[QT_CANA_REST1]]&gt;0,ESTIMATIVA[[#This Row],[QT_CANA_REST1]],
  IF(ESTIMATIVA[[#This Row],[QT_CANA_REAL]]&gt;0,ESTIMATIVA[[#This Row],[QT_CANA_REAL]],ESTIMATIVA[[#This Row],[QT_CANA_EST]]))</f>
        <v>639.91999999999996</v>
      </c>
      <c r="AC91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576.66</v>
      </c>
      <c r="AD915" s="1">
        <f>IF(ESTIMATIVA[[#This Row],[QT_AREA_REAL]]&gt;0,ESTIMATIVA[[#This Row],[QT_CANA_REAL]],ESTIMATIVA[[#This Row],[QT_CANA_EST]])</f>
        <v>576.66</v>
      </c>
      <c r="AE915" s="1">
        <f>IF(ESTIMATIVA[[#This Row],[QT_AREA_REAL]]&gt;0,ESTIMATIVA[[#This Row],[QT_CANA_REAL]],ESTIMATIVA[[#This Row],[QT_CANA_REST1]])</f>
        <v>576.66</v>
      </c>
      <c r="AF915" s="1">
        <f>IF(ESTIMATIVA[[#This Row],[QT_AREA_REAL]]&gt;0,ESTIMATIVA[[#This Row],[QT_CANA_REAL]],ESTIMATIVA[[#This Row],[QT_CANA_REST2]])</f>
        <v>576.66</v>
      </c>
      <c r="AG915" s="1" t="str">
        <f>IF(COUNTIFS(GEADA!A:A,VALUE(ESTIMATIVA[[#This Row],[CD_UPNIVEL1]]&amp;TEXT(ESTIMATIVA[[#This Row],[CD_UPNIVEL3]],"0000")))&gt;0,"S","N")</f>
        <v>N</v>
      </c>
      <c r="AH91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15" s="55" t="str">
        <f>IF(ESTIMATIVA[[#This Row],[TP_CULTIVO]]="Irrigado",_xlfn.MAXIFS(IRRIGADO!J:J,IRRIGADO!C:C,ESTIMATIVA[[#This Row],[CD_UPNIVEL1]],IRRIGADO!E:E,ESTIMATIVA[[#This Row],[CD_UPNIVEL3]]),"")</f>
        <v/>
      </c>
      <c r="AJ91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15" s="1">
        <f>COUNTIFS(Apresentação!$E$23:$E$29,ESTIMATIVA[[#This Row],[CD_UPNIVEL1]])</f>
        <v>0</v>
      </c>
    </row>
    <row r="916" spans="1:37" x14ac:dyDescent="0.3">
      <c r="A916">
        <v>20442</v>
      </c>
      <c r="B916" t="s">
        <v>50</v>
      </c>
      <c r="C916">
        <v>6</v>
      </c>
      <c r="D916">
        <v>3</v>
      </c>
      <c r="E916" t="s">
        <v>263</v>
      </c>
      <c r="F916" s="85" t="s">
        <v>331</v>
      </c>
      <c r="G916"/>
      <c r="H916" t="s">
        <v>294</v>
      </c>
      <c r="I916" t="s">
        <v>195</v>
      </c>
      <c r="J916" t="s">
        <v>176</v>
      </c>
      <c r="K916" s="1">
        <v>17.37</v>
      </c>
      <c r="L916" s="1">
        <v>17.37</v>
      </c>
      <c r="M916" s="1">
        <v>17.37</v>
      </c>
      <c r="N916" s="1">
        <v>17.37</v>
      </c>
      <c r="O916" s="1">
        <v>1042.2</v>
      </c>
      <c r="P916" s="1">
        <v>1042.2</v>
      </c>
      <c r="Q916" s="1">
        <v>1042.2</v>
      </c>
      <c r="R916" s="1">
        <v>658.74</v>
      </c>
      <c r="S916" t="s">
        <v>12</v>
      </c>
      <c r="T916" s="13">
        <v>46005</v>
      </c>
      <c r="U916" s="1" t="str">
        <f>IF(ESTIMATIVA[[#This Row],[QT_AREA_REAL]]&gt;0,"1- Colhido","2- à Colher")</f>
        <v>1- Colhido</v>
      </c>
      <c r="V916" s="1" t="str">
        <f>IF(ESTIMATIVA[[#This Row],[QT_AREA_REST1]]&gt;0,"Reestimativa 1",IF(ESTIMATIVA[[#This Row],[QT_AREA_REAL]]=0,"Reestimativa 1","Realizado"))</f>
        <v>Reestimativa 1</v>
      </c>
      <c r="W916" s="1" t="str">
        <f>IF(ESTIMATIVA[[#This Row],[QT_AREA_REST2]]&gt;0,"Reestimativa 2",IF(ESTIMATIVA[[#This Row],[QT_AREA_REAL]]=0,"Reestimativa 2","Realizado"))</f>
        <v>Reestimativa 2</v>
      </c>
      <c r="X916" s="1">
        <f>ESTIMATIVA[[#This Row],[QT_AREA_EST]]</f>
        <v>17.37</v>
      </c>
      <c r="Y916" s="1">
        <f>IF(ESTIMATIVA[[#This Row],[QT_AREA_REST1]]&gt;0,ESTIMATIVA[[#This Row],[QT_AREA_REST1]],
  IF(ESTIMATIVA[[#This Row],[QT_AREA_REAL]]&gt;0,ESTIMATIVA[[#This Row],[QT_AREA_REAL]],ESTIMATIVA[[#This Row],[QT_AREA_EST]]))</f>
        <v>17.37</v>
      </c>
      <c r="Z91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17.37</v>
      </c>
      <c r="AA916" s="1">
        <f>ESTIMATIVA[[#This Row],[QT_CANA_EST]]</f>
        <v>1042.2</v>
      </c>
      <c r="AB916" s="1">
        <f>IF(ESTIMATIVA[[#This Row],[QT_CANA_REST1]]&gt;0,ESTIMATIVA[[#This Row],[QT_CANA_REST1]],
  IF(ESTIMATIVA[[#This Row],[QT_CANA_REAL]]&gt;0,ESTIMATIVA[[#This Row],[QT_CANA_REAL]],ESTIMATIVA[[#This Row],[QT_CANA_EST]]))</f>
        <v>1042.2</v>
      </c>
      <c r="AC91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1042.2</v>
      </c>
      <c r="AD916" s="1">
        <f>IF(ESTIMATIVA[[#This Row],[QT_AREA_REAL]]&gt;0,ESTIMATIVA[[#This Row],[QT_CANA_REAL]],ESTIMATIVA[[#This Row],[QT_CANA_EST]])</f>
        <v>658.74</v>
      </c>
      <c r="AE916" s="1">
        <f>IF(ESTIMATIVA[[#This Row],[QT_AREA_REAL]]&gt;0,ESTIMATIVA[[#This Row],[QT_CANA_REAL]],ESTIMATIVA[[#This Row],[QT_CANA_REST1]])</f>
        <v>658.74</v>
      </c>
      <c r="AF916" s="1">
        <f>IF(ESTIMATIVA[[#This Row],[QT_AREA_REAL]]&gt;0,ESTIMATIVA[[#This Row],[QT_CANA_REAL]],ESTIMATIVA[[#This Row],[QT_CANA_REST2]])</f>
        <v>658.74</v>
      </c>
      <c r="AG916" s="1" t="str">
        <f>IF(COUNTIFS(GEADA!A:A,VALUE(ESTIMATIVA[[#This Row],[CD_UPNIVEL1]]&amp;TEXT(ESTIMATIVA[[#This Row],[CD_UPNIVEL3]],"0000")))&gt;0,"S","N")</f>
        <v>N</v>
      </c>
      <c r="AH91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16" s="55" t="str">
        <f>IF(ESTIMATIVA[[#This Row],[TP_CULTIVO]]="Irrigado",_xlfn.MAXIFS(IRRIGADO!J:J,IRRIGADO!C:C,ESTIMATIVA[[#This Row],[CD_UPNIVEL1]],IRRIGADO!E:E,ESTIMATIVA[[#This Row],[CD_UPNIVEL3]]),"")</f>
        <v/>
      </c>
      <c r="AJ91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16" s="1">
        <f>COUNTIFS(Apresentação!$E$23:$E$29,ESTIMATIVA[[#This Row],[CD_UPNIVEL1]])</f>
        <v>0</v>
      </c>
    </row>
    <row r="917" spans="1:37" x14ac:dyDescent="0.3">
      <c r="A917">
        <v>20442</v>
      </c>
      <c r="B917" t="s">
        <v>50</v>
      </c>
      <c r="C917">
        <v>7</v>
      </c>
      <c r="D917">
        <v>3</v>
      </c>
      <c r="E917" t="s">
        <v>263</v>
      </c>
      <c r="F917" s="85" t="s">
        <v>332</v>
      </c>
      <c r="G917"/>
      <c r="H917" t="s">
        <v>294</v>
      </c>
      <c r="I917" t="s">
        <v>201</v>
      </c>
      <c r="J917" t="s">
        <v>176</v>
      </c>
      <c r="K917" s="1">
        <v>34.049999999999997</v>
      </c>
      <c r="L917" s="1">
        <v>34.049999999999997</v>
      </c>
      <c r="M917" s="1">
        <v>0</v>
      </c>
      <c r="N917" s="1">
        <v>34.049999999999997</v>
      </c>
      <c r="O917" s="1">
        <v>2553.75</v>
      </c>
      <c r="P917" s="1">
        <v>2724</v>
      </c>
      <c r="Q917" s="1">
        <v>0</v>
      </c>
      <c r="R917" s="1">
        <v>2454.91</v>
      </c>
      <c r="S917" t="s">
        <v>12</v>
      </c>
      <c r="T917" s="13">
        <v>45858</v>
      </c>
      <c r="U917" s="1" t="str">
        <f>IF(ESTIMATIVA[[#This Row],[QT_AREA_REAL]]&gt;0,"1- Colhido","2- à Colher")</f>
        <v>1- Colhido</v>
      </c>
      <c r="V917" s="1" t="str">
        <f>IF(ESTIMATIVA[[#This Row],[QT_AREA_REST1]]&gt;0,"Reestimativa 1",IF(ESTIMATIVA[[#This Row],[QT_AREA_REAL]]=0,"Reestimativa 1","Realizado"))</f>
        <v>Reestimativa 1</v>
      </c>
      <c r="W917" s="1" t="str">
        <f>IF(ESTIMATIVA[[#This Row],[QT_AREA_REST2]]&gt;0,"Reestimativa 2",IF(ESTIMATIVA[[#This Row],[QT_AREA_REAL]]=0,"Reestimativa 2","Realizado"))</f>
        <v>Realizado</v>
      </c>
      <c r="X917" s="1">
        <f>ESTIMATIVA[[#This Row],[QT_AREA_EST]]</f>
        <v>34.049999999999997</v>
      </c>
      <c r="Y917" s="1">
        <f>IF(ESTIMATIVA[[#This Row],[QT_AREA_REST1]]&gt;0,ESTIMATIVA[[#This Row],[QT_AREA_REST1]],
  IF(ESTIMATIVA[[#This Row],[QT_AREA_REAL]]&gt;0,ESTIMATIVA[[#This Row],[QT_AREA_REAL]],ESTIMATIVA[[#This Row],[QT_AREA_EST]]))</f>
        <v>34.049999999999997</v>
      </c>
      <c r="Z91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34.049999999999997</v>
      </c>
      <c r="AA917" s="1">
        <f>ESTIMATIVA[[#This Row],[QT_CANA_EST]]</f>
        <v>2553.75</v>
      </c>
      <c r="AB917" s="1">
        <f>IF(ESTIMATIVA[[#This Row],[QT_CANA_REST1]]&gt;0,ESTIMATIVA[[#This Row],[QT_CANA_REST1]],
  IF(ESTIMATIVA[[#This Row],[QT_CANA_REAL]]&gt;0,ESTIMATIVA[[#This Row],[QT_CANA_REAL]],ESTIMATIVA[[#This Row],[QT_CANA_EST]]))</f>
        <v>2724</v>
      </c>
      <c r="AC91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2454.91</v>
      </c>
      <c r="AD917" s="1">
        <f>IF(ESTIMATIVA[[#This Row],[QT_AREA_REAL]]&gt;0,ESTIMATIVA[[#This Row],[QT_CANA_REAL]],ESTIMATIVA[[#This Row],[QT_CANA_EST]])</f>
        <v>2454.91</v>
      </c>
      <c r="AE917" s="1">
        <f>IF(ESTIMATIVA[[#This Row],[QT_AREA_REAL]]&gt;0,ESTIMATIVA[[#This Row],[QT_CANA_REAL]],ESTIMATIVA[[#This Row],[QT_CANA_REST1]])</f>
        <v>2454.91</v>
      </c>
      <c r="AF917" s="1">
        <f>IF(ESTIMATIVA[[#This Row],[QT_AREA_REAL]]&gt;0,ESTIMATIVA[[#This Row],[QT_CANA_REAL]],ESTIMATIVA[[#This Row],[QT_CANA_REST2]])</f>
        <v>2454.91</v>
      </c>
      <c r="AG917" s="1" t="str">
        <f>IF(COUNTIFS(GEADA!A:A,VALUE(ESTIMATIVA[[#This Row],[CD_UPNIVEL1]]&amp;TEXT(ESTIMATIVA[[#This Row],[CD_UPNIVEL3]],"0000")))&gt;0,"S","N")</f>
        <v>N</v>
      </c>
      <c r="AH91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17" s="55" t="str">
        <f>IF(ESTIMATIVA[[#This Row],[TP_CULTIVO]]="Irrigado",_xlfn.MAXIFS(IRRIGADO!J:J,IRRIGADO!C:C,ESTIMATIVA[[#This Row],[CD_UPNIVEL1]],IRRIGADO!E:E,ESTIMATIVA[[#This Row],[CD_UPNIVEL3]]),"")</f>
        <v/>
      </c>
      <c r="AJ91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17" s="1">
        <f>COUNTIFS(Apresentação!$E$23:$E$29,ESTIMATIVA[[#This Row],[CD_UPNIVEL1]])</f>
        <v>0</v>
      </c>
    </row>
    <row r="918" spans="1:37" x14ac:dyDescent="0.3">
      <c r="A918">
        <v>20442</v>
      </c>
      <c r="B918" t="s">
        <v>50</v>
      </c>
      <c r="C918">
        <v>8</v>
      </c>
      <c r="D918">
        <v>3</v>
      </c>
      <c r="E918" t="s">
        <v>263</v>
      </c>
      <c r="F918" s="85" t="s">
        <v>331</v>
      </c>
      <c r="G918"/>
      <c r="H918" t="s">
        <v>294</v>
      </c>
      <c r="I918" t="s">
        <v>195</v>
      </c>
      <c r="J918" t="s">
        <v>176</v>
      </c>
      <c r="K918" s="1">
        <v>9.9600000000000009</v>
      </c>
      <c r="L918" s="1">
        <v>9.9600000000000009</v>
      </c>
      <c r="M918" s="1">
        <v>9.9600000000000009</v>
      </c>
      <c r="N918" s="1">
        <v>9.9600000000000009</v>
      </c>
      <c r="O918" s="1">
        <v>597.6</v>
      </c>
      <c r="P918" s="1">
        <v>597.6</v>
      </c>
      <c r="Q918" s="1">
        <v>597.6</v>
      </c>
      <c r="R918" s="1">
        <v>378.46</v>
      </c>
      <c r="S918" t="s">
        <v>12</v>
      </c>
      <c r="T918" s="13">
        <v>46005</v>
      </c>
      <c r="U918" s="1" t="str">
        <f>IF(ESTIMATIVA[[#This Row],[QT_AREA_REAL]]&gt;0,"1- Colhido","2- à Colher")</f>
        <v>1- Colhido</v>
      </c>
      <c r="V918" s="1" t="str">
        <f>IF(ESTIMATIVA[[#This Row],[QT_AREA_REST1]]&gt;0,"Reestimativa 1",IF(ESTIMATIVA[[#This Row],[QT_AREA_REAL]]=0,"Reestimativa 1","Realizado"))</f>
        <v>Reestimativa 1</v>
      </c>
      <c r="W918" s="1" t="str">
        <f>IF(ESTIMATIVA[[#This Row],[QT_AREA_REST2]]&gt;0,"Reestimativa 2",IF(ESTIMATIVA[[#This Row],[QT_AREA_REAL]]=0,"Reestimativa 2","Realizado"))</f>
        <v>Reestimativa 2</v>
      </c>
      <c r="X918" s="1">
        <f>ESTIMATIVA[[#This Row],[QT_AREA_EST]]</f>
        <v>9.9600000000000009</v>
      </c>
      <c r="Y918" s="1">
        <f>IF(ESTIMATIVA[[#This Row],[QT_AREA_REST1]]&gt;0,ESTIMATIVA[[#This Row],[QT_AREA_REST1]],
  IF(ESTIMATIVA[[#This Row],[QT_AREA_REAL]]&gt;0,ESTIMATIVA[[#This Row],[QT_AREA_REAL]],ESTIMATIVA[[#This Row],[QT_AREA_EST]]))</f>
        <v>9.9600000000000009</v>
      </c>
      <c r="Z91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9.9600000000000009</v>
      </c>
      <c r="AA918" s="1">
        <f>ESTIMATIVA[[#This Row],[QT_CANA_EST]]</f>
        <v>597.6</v>
      </c>
      <c r="AB918" s="1">
        <f>IF(ESTIMATIVA[[#This Row],[QT_CANA_REST1]]&gt;0,ESTIMATIVA[[#This Row],[QT_CANA_REST1]],
  IF(ESTIMATIVA[[#This Row],[QT_CANA_REAL]]&gt;0,ESTIMATIVA[[#This Row],[QT_CANA_REAL]],ESTIMATIVA[[#This Row],[QT_CANA_EST]]))</f>
        <v>597.6</v>
      </c>
      <c r="AC91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597.6</v>
      </c>
      <c r="AD918" s="1">
        <f>IF(ESTIMATIVA[[#This Row],[QT_AREA_REAL]]&gt;0,ESTIMATIVA[[#This Row],[QT_CANA_REAL]],ESTIMATIVA[[#This Row],[QT_CANA_EST]])</f>
        <v>378.46</v>
      </c>
      <c r="AE918" s="1">
        <f>IF(ESTIMATIVA[[#This Row],[QT_AREA_REAL]]&gt;0,ESTIMATIVA[[#This Row],[QT_CANA_REAL]],ESTIMATIVA[[#This Row],[QT_CANA_REST1]])</f>
        <v>378.46</v>
      </c>
      <c r="AF918" s="1">
        <f>IF(ESTIMATIVA[[#This Row],[QT_AREA_REAL]]&gt;0,ESTIMATIVA[[#This Row],[QT_CANA_REAL]],ESTIMATIVA[[#This Row],[QT_CANA_REST2]])</f>
        <v>378.46</v>
      </c>
      <c r="AG918" s="1" t="str">
        <f>IF(COUNTIFS(GEADA!A:A,VALUE(ESTIMATIVA[[#This Row],[CD_UPNIVEL1]]&amp;TEXT(ESTIMATIVA[[#This Row],[CD_UPNIVEL3]],"0000")))&gt;0,"S","N")</f>
        <v>N</v>
      </c>
      <c r="AH91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18" s="55" t="str">
        <f>IF(ESTIMATIVA[[#This Row],[TP_CULTIVO]]="Irrigado",_xlfn.MAXIFS(IRRIGADO!J:J,IRRIGADO!C:C,ESTIMATIVA[[#This Row],[CD_UPNIVEL1]],IRRIGADO!E:E,ESTIMATIVA[[#This Row],[CD_UPNIVEL3]]),"")</f>
        <v/>
      </c>
      <c r="AJ91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18" s="1">
        <f>COUNTIFS(Apresentação!$E$23:$E$29,ESTIMATIVA[[#This Row],[CD_UPNIVEL1]])</f>
        <v>0</v>
      </c>
    </row>
    <row r="919" spans="1:37" x14ac:dyDescent="0.3">
      <c r="A919">
        <v>20442</v>
      </c>
      <c r="B919" t="s">
        <v>50</v>
      </c>
      <c r="C919">
        <v>63</v>
      </c>
      <c r="D919">
        <v>2</v>
      </c>
      <c r="E919" t="s">
        <v>266</v>
      </c>
      <c r="F919" s="85" t="s">
        <v>331</v>
      </c>
      <c r="G919"/>
      <c r="H919" t="s">
        <v>294</v>
      </c>
      <c r="I919" t="s">
        <v>201</v>
      </c>
      <c r="J919" t="s">
        <v>176</v>
      </c>
      <c r="K919" s="1">
        <v>4.57</v>
      </c>
      <c r="L919" s="1">
        <v>0</v>
      </c>
      <c r="M919" s="1">
        <v>0</v>
      </c>
      <c r="N919" s="1">
        <v>4.57</v>
      </c>
      <c r="O919" s="1">
        <v>265.06</v>
      </c>
      <c r="P919" s="1">
        <v>0</v>
      </c>
      <c r="Q919" s="1">
        <v>0</v>
      </c>
      <c r="R919" s="1">
        <v>580.24</v>
      </c>
      <c r="S919" t="s">
        <v>12</v>
      </c>
      <c r="T919" s="13">
        <v>45732</v>
      </c>
      <c r="U919" s="1" t="str">
        <f>IF(ESTIMATIVA[[#This Row],[QT_AREA_REAL]]&gt;0,"1- Colhido","2- à Colher")</f>
        <v>1- Colhido</v>
      </c>
      <c r="V919" s="1" t="str">
        <f>IF(ESTIMATIVA[[#This Row],[QT_AREA_REST1]]&gt;0,"Reestimativa 1",IF(ESTIMATIVA[[#This Row],[QT_AREA_REAL]]=0,"Reestimativa 1","Realizado"))</f>
        <v>Realizado</v>
      </c>
      <c r="W919" s="1" t="str">
        <f>IF(ESTIMATIVA[[#This Row],[QT_AREA_REST2]]&gt;0,"Reestimativa 2",IF(ESTIMATIVA[[#This Row],[QT_AREA_REAL]]=0,"Reestimativa 2","Realizado"))</f>
        <v>Realizado</v>
      </c>
      <c r="X919" s="1">
        <f>ESTIMATIVA[[#This Row],[QT_AREA_EST]]</f>
        <v>4.57</v>
      </c>
      <c r="Y919" s="1">
        <f>IF(ESTIMATIVA[[#This Row],[QT_AREA_REST1]]&gt;0,ESTIMATIVA[[#This Row],[QT_AREA_REST1]],
  IF(ESTIMATIVA[[#This Row],[QT_AREA_REAL]]&gt;0,ESTIMATIVA[[#This Row],[QT_AREA_REAL]],ESTIMATIVA[[#This Row],[QT_AREA_EST]]))</f>
        <v>4.57</v>
      </c>
      <c r="Z91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4.57</v>
      </c>
      <c r="AA919" s="1">
        <f>ESTIMATIVA[[#This Row],[QT_CANA_EST]]</f>
        <v>265.06</v>
      </c>
      <c r="AB919" s="1">
        <f>IF(ESTIMATIVA[[#This Row],[QT_CANA_REST1]]&gt;0,ESTIMATIVA[[#This Row],[QT_CANA_REST1]],
  IF(ESTIMATIVA[[#This Row],[QT_CANA_REAL]]&gt;0,ESTIMATIVA[[#This Row],[QT_CANA_REAL]],ESTIMATIVA[[#This Row],[QT_CANA_EST]]))</f>
        <v>580.24</v>
      </c>
      <c r="AC91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580.24</v>
      </c>
      <c r="AD919" s="1">
        <f>IF(ESTIMATIVA[[#This Row],[QT_AREA_REAL]]&gt;0,ESTIMATIVA[[#This Row],[QT_CANA_REAL]],ESTIMATIVA[[#This Row],[QT_CANA_EST]])</f>
        <v>580.24</v>
      </c>
      <c r="AE919" s="1">
        <f>IF(ESTIMATIVA[[#This Row],[QT_AREA_REAL]]&gt;0,ESTIMATIVA[[#This Row],[QT_CANA_REAL]],ESTIMATIVA[[#This Row],[QT_CANA_REST1]])</f>
        <v>580.24</v>
      </c>
      <c r="AF919" s="1">
        <f>IF(ESTIMATIVA[[#This Row],[QT_AREA_REAL]]&gt;0,ESTIMATIVA[[#This Row],[QT_CANA_REAL]],ESTIMATIVA[[#This Row],[QT_CANA_REST2]])</f>
        <v>580.24</v>
      </c>
      <c r="AG919" s="1" t="str">
        <f>IF(COUNTIFS(GEADA!A:A,VALUE(ESTIMATIVA[[#This Row],[CD_UPNIVEL1]]&amp;TEXT(ESTIMATIVA[[#This Row],[CD_UPNIVEL3]],"0000")))&gt;0,"S","N")</f>
        <v>N</v>
      </c>
      <c r="AH91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19" s="55" t="str">
        <f>IF(ESTIMATIVA[[#This Row],[TP_CULTIVO]]="Irrigado",_xlfn.MAXIFS(IRRIGADO!J:J,IRRIGADO!C:C,ESTIMATIVA[[#This Row],[CD_UPNIVEL1]],IRRIGADO!E:E,ESTIMATIVA[[#This Row],[CD_UPNIVEL3]]),"")</f>
        <v/>
      </c>
      <c r="AJ91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19" s="1">
        <f>COUNTIFS(Apresentação!$E$23:$E$29,ESTIMATIVA[[#This Row],[CD_UPNIVEL1]])</f>
        <v>0</v>
      </c>
    </row>
    <row r="920" spans="1:37" x14ac:dyDescent="0.3">
      <c r="A920">
        <v>20442</v>
      </c>
      <c r="B920" t="s">
        <v>50</v>
      </c>
      <c r="C920">
        <v>64</v>
      </c>
      <c r="D920">
        <v>2</v>
      </c>
      <c r="E920" t="s">
        <v>266</v>
      </c>
      <c r="F920" s="85" t="s">
        <v>331</v>
      </c>
      <c r="G920"/>
      <c r="H920" t="s">
        <v>294</v>
      </c>
      <c r="I920" t="s">
        <v>201</v>
      </c>
      <c r="J920" t="s">
        <v>176</v>
      </c>
      <c r="K920" s="1">
        <v>18.14</v>
      </c>
      <c r="L920" s="1">
        <v>0</v>
      </c>
      <c r="M920" s="1">
        <v>0</v>
      </c>
      <c r="N920" s="1">
        <v>18.14</v>
      </c>
      <c r="O920" s="1">
        <v>1052.1199999999999</v>
      </c>
      <c r="P920" s="1">
        <v>0</v>
      </c>
      <c r="Q920" s="1">
        <v>0</v>
      </c>
      <c r="R920" s="1">
        <v>1242.67</v>
      </c>
      <c r="S920" t="s">
        <v>12</v>
      </c>
      <c r="T920" s="13">
        <v>45732</v>
      </c>
      <c r="U920" s="1" t="str">
        <f>IF(ESTIMATIVA[[#This Row],[QT_AREA_REAL]]&gt;0,"1- Colhido","2- à Colher")</f>
        <v>1- Colhido</v>
      </c>
      <c r="V920" s="1" t="str">
        <f>IF(ESTIMATIVA[[#This Row],[QT_AREA_REST1]]&gt;0,"Reestimativa 1",IF(ESTIMATIVA[[#This Row],[QT_AREA_REAL]]=0,"Reestimativa 1","Realizado"))</f>
        <v>Realizado</v>
      </c>
      <c r="W920" s="1" t="str">
        <f>IF(ESTIMATIVA[[#This Row],[QT_AREA_REST2]]&gt;0,"Reestimativa 2",IF(ESTIMATIVA[[#This Row],[QT_AREA_REAL]]=0,"Reestimativa 2","Realizado"))</f>
        <v>Realizado</v>
      </c>
      <c r="X920" s="1">
        <f>ESTIMATIVA[[#This Row],[QT_AREA_EST]]</f>
        <v>18.14</v>
      </c>
      <c r="Y920" s="1">
        <f>IF(ESTIMATIVA[[#This Row],[QT_AREA_REST1]]&gt;0,ESTIMATIVA[[#This Row],[QT_AREA_REST1]],
  IF(ESTIMATIVA[[#This Row],[QT_AREA_REAL]]&gt;0,ESTIMATIVA[[#This Row],[QT_AREA_REAL]],ESTIMATIVA[[#This Row],[QT_AREA_EST]]))</f>
        <v>18.14</v>
      </c>
      <c r="Z92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18.14</v>
      </c>
      <c r="AA920" s="1">
        <f>ESTIMATIVA[[#This Row],[QT_CANA_EST]]</f>
        <v>1052.1199999999999</v>
      </c>
      <c r="AB920" s="1">
        <f>IF(ESTIMATIVA[[#This Row],[QT_CANA_REST1]]&gt;0,ESTIMATIVA[[#This Row],[QT_CANA_REST1]],
  IF(ESTIMATIVA[[#This Row],[QT_CANA_REAL]]&gt;0,ESTIMATIVA[[#This Row],[QT_CANA_REAL]],ESTIMATIVA[[#This Row],[QT_CANA_EST]]))</f>
        <v>1242.67</v>
      </c>
      <c r="AC92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1242.67</v>
      </c>
      <c r="AD920" s="1">
        <f>IF(ESTIMATIVA[[#This Row],[QT_AREA_REAL]]&gt;0,ESTIMATIVA[[#This Row],[QT_CANA_REAL]],ESTIMATIVA[[#This Row],[QT_CANA_EST]])</f>
        <v>1242.67</v>
      </c>
      <c r="AE920" s="1">
        <f>IF(ESTIMATIVA[[#This Row],[QT_AREA_REAL]]&gt;0,ESTIMATIVA[[#This Row],[QT_CANA_REAL]],ESTIMATIVA[[#This Row],[QT_CANA_REST1]])</f>
        <v>1242.67</v>
      </c>
      <c r="AF920" s="1">
        <f>IF(ESTIMATIVA[[#This Row],[QT_AREA_REAL]]&gt;0,ESTIMATIVA[[#This Row],[QT_CANA_REAL]],ESTIMATIVA[[#This Row],[QT_CANA_REST2]])</f>
        <v>1242.67</v>
      </c>
      <c r="AG920" s="1" t="str">
        <f>IF(COUNTIFS(GEADA!A:A,VALUE(ESTIMATIVA[[#This Row],[CD_UPNIVEL1]]&amp;TEXT(ESTIMATIVA[[#This Row],[CD_UPNIVEL3]],"0000")))&gt;0,"S","N")</f>
        <v>N</v>
      </c>
      <c r="AH92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20" s="55" t="str">
        <f>IF(ESTIMATIVA[[#This Row],[TP_CULTIVO]]="Irrigado",_xlfn.MAXIFS(IRRIGADO!J:J,IRRIGADO!C:C,ESTIMATIVA[[#This Row],[CD_UPNIVEL1]],IRRIGADO!E:E,ESTIMATIVA[[#This Row],[CD_UPNIVEL3]]),"")</f>
        <v/>
      </c>
      <c r="AJ92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20" s="1">
        <f>COUNTIFS(Apresentação!$E$23:$E$29,ESTIMATIVA[[#This Row],[CD_UPNIVEL1]])</f>
        <v>0</v>
      </c>
    </row>
    <row r="921" spans="1:37" x14ac:dyDescent="0.3">
      <c r="A921">
        <v>20442</v>
      </c>
      <c r="B921" t="s">
        <v>50</v>
      </c>
      <c r="C921">
        <v>65</v>
      </c>
      <c r="D921">
        <v>2</v>
      </c>
      <c r="E921" t="s">
        <v>266</v>
      </c>
      <c r="F921" s="85" t="s">
        <v>331</v>
      </c>
      <c r="G921"/>
      <c r="H921" t="s">
        <v>294</v>
      </c>
      <c r="I921" t="s">
        <v>201</v>
      </c>
      <c r="J921" t="s">
        <v>176</v>
      </c>
      <c r="K921" s="1">
        <v>24.84</v>
      </c>
      <c r="L921" s="1">
        <v>0</v>
      </c>
      <c r="M921" s="1">
        <v>0</v>
      </c>
      <c r="N921" s="1">
        <v>24.84</v>
      </c>
      <c r="O921" s="1">
        <v>1440.72</v>
      </c>
      <c r="P921" s="1">
        <v>0</v>
      </c>
      <c r="Q921" s="1">
        <v>0</v>
      </c>
      <c r="R921" s="1">
        <v>1702.19</v>
      </c>
      <c r="S921" t="s">
        <v>12</v>
      </c>
      <c r="T921" s="13">
        <v>45732</v>
      </c>
      <c r="U921" s="1" t="str">
        <f>IF(ESTIMATIVA[[#This Row],[QT_AREA_REAL]]&gt;0,"1- Colhido","2- à Colher")</f>
        <v>1- Colhido</v>
      </c>
      <c r="V921" s="1" t="str">
        <f>IF(ESTIMATIVA[[#This Row],[QT_AREA_REST1]]&gt;0,"Reestimativa 1",IF(ESTIMATIVA[[#This Row],[QT_AREA_REAL]]=0,"Reestimativa 1","Realizado"))</f>
        <v>Realizado</v>
      </c>
      <c r="W921" s="1" t="str">
        <f>IF(ESTIMATIVA[[#This Row],[QT_AREA_REST2]]&gt;0,"Reestimativa 2",IF(ESTIMATIVA[[#This Row],[QT_AREA_REAL]]=0,"Reestimativa 2","Realizado"))</f>
        <v>Realizado</v>
      </c>
      <c r="X921" s="1">
        <f>ESTIMATIVA[[#This Row],[QT_AREA_EST]]</f>
        <v>24.84</v>
      </c>
      <c r="Y921" s="1">
        <f>IF(ESTIMATIVA[[#This Row],[QT_AREA_REST1]]&gt;0,ESTIMATIVA[[#This Row],[QT_AREA_REST1]],
  IF(ESTIMATIVA[[#This Row],[QT_AREA_REAL]]&gt;0,ESTIMATIVA[[#This Row],[QT_AREA_REAL]],ESTIMATIVA[[#This Row],[QT_AREA_EST]]))</f>
        <v>24.84</v>
      </c>
      <c r="Z92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24.84</v>
      </c>
      <c r="AA921" s="1">
        <f>ESTIMATIVA[[#This Row],[QT_CANA_EST]]</f>
        <v>1440.72</v>
      </c>
      <c r="AB921" s="1">
        <f>IF(ESTIMATIVA[[#This Row],[QT_CANA_REST1]]&gt;0,ESTIMATIVA[[#This Row],[QT_CANA_REST1]],
  IF(ESTIMATIVA[[#This Row],[QT_CANA_REAL]]&gt;0,ESTIMATIVA[[#This Row],[QT_CANA_REAL]],ESTIMATIVA[[#This Row],[QT_CANA_EST]]))</f>
        <v>1702.19</v>
      </c>
      <c r="AC92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1702.19</v>
      </c>
      <c r="AD921" s="1">
        <f>IF(ESTIMATIVA[[#This Row],[QT_AREA_REAL]]&gt;0,ESTIMATIVA[[#This Row],[QT_CANA_REAL]],ESTIMATIVA[[#This Row],[QT_CANA_EST]])</f>
        <v>1702.19</v>
      </c>
      <c r="AE921" s="1">
        <f>IF(ESTIMATIVA[[#This Row],[QT_AREA_REAL]]&gt;0,ESTIMATIVA[[#This Row],[QT_CANA_REAL]],ESTIMATIVA[[#This Row],[QT_CANA_REST1]])</f>
        <v>1702.19</v>
      </c>
      <c r="AF921" s="1">
        <f>IF(ESTIMATIVA[[#This Row],[QT_AREA_REAL]]&gt;0,ESTIMATIVA[[#This Row],[QT_CANA_REAL]],ESTIMATIVA[[#This Row],[QT_CANA_REST2]])</f>
        <v>1702.19</v>
      </c>
      <c r="AG921" s="1" t="str">
        <f>IF(COUNTIFS(GEADA!A:A,VALUE(ESTIMATIVA[[#This Row],[CD_UPNIVEL1]]&amp;TEXT(ESTIMATIVA[[#This Row],[CD_UPNIVEL3]],"0000")))&gt;0,"S","N")</f>
        <v>N</v>
      </c>
      <c r="AH92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21" s="55" t="str">
        <f>IF(ESTIMATIVA[[#This Row],[TP_CULTIVO]]="Irrigado",_xlfn.MAXIFS(IRRIGADO!J:J,IRRIGADO!C:C,ESTIMATIVA[[#This Row],[CD_UPNIVEL1]],IRRIGADO!E:E,ESTIMATIVA[[#This Row],[CD_UPNIVEL3]]),"")</f>
        <v/>
      </c>
      <c r="AJ92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21" s="1">
        <f>COUNTIFS(Apresentação!$E$23:$E$29,ESTIMATIVA[[#This Row],[CD_UPNIVEL1]])</f>
        <v>0</v>
      </c>
    </row>
    <row r="922" spans="1:37" x14ac:dyDescent="0.3">
      <c r="A922">
        <v>20442</v>
      </c>
      <c r="B922" t="s">
        <v>50</v>
      </c>
      <c r="C922">
        <v>66</v>
      </c>
      <c r="D922">
        <v>2</v>
      </c>
      <c r="E922" t="s">
        <v>266</v>
      </c>
      <c r="F922" s="85" t="s">
        <v>332</v>
      </c>
      <c r="G922"/>
      <c r="H922" t="s">
        <v>294</v>
      </c>
      <c r="I922" t="s">
        <v>201</v>
      </c>
      <c r="J922" t="s">
        <v>176</v>
      </c>
      <c r="K922" s="1">
        <v>13.84</v>
      </c>
      <c r="L922" s="1">
        <v>0</v>
      </c>
      <c r="M922" s="1">
        <v>0</v>
      </c>
      <c r="N922" s="1">
        <v>13.84</v>
      </c>
      <c r="O922" s="1">
        <v>802.72</v>
      </c>
      <c r="P922" s="1">
        <v>0</v>
      </c>
      <c r="Q922" s="1">
        <v>0</v>
      </c>
      <c r="R922" s="1">
        <v>948.71</v>
      </c>
      <c r="S922" t="s">
        <v>12</v>
      </c>
      <c r="T922" s="13">
        <v>45732</v>
      </c>
      <c r="U922" s="1" t="str">
        <f>IF(ESTIMATIVA[[#This Row],[QT_AREA_REAL]]&gt;0,"1- Colhido","2- à Colher")</f>
        <v>1- Colhido</v>
      </c>
      <c r="V922" s="1" t="str">
        <f>IF(ESTIMATIVA[[#This Row],[QT_AREA_REST1]]&gt;0,"Reestimativa 1",IF(ESTIMATIVA[[#This Row],[QT_AREA_REAL]]=0,"Reestimativa 1","Realizado"))</f>
        <v>Realizado</v>
      </c>
      <c r="W922" s="1" t="str">
        <f>IF(ESTIMATIVA[[#This Row],[QT_AREA_REST2]]&gt;0,"Reestimativa 2",IF(ESTIMATIVA[[#This Row],[QT_AREA_REAL]]=0,"Reestimativa 2","Realizado"))</f>
        <v>Realizado</v>
      </c>
      <c r="X922" s="1">
        <f>ESTIMATIVA[[#This Row],[QT_AREA_EST]]</f>
        <v>13.84</v>
      </c>
      <c r="Y922" s="1">
        <f>IF(ESTIMATIVA[[#This Row],[QT_AREA_REST1]]&gt;0,ESTIMATIVA[[#This Row],[QT_AREA_REST1]],
  IF(ESTIMATIVA[[#This Row],[QT_AREA_REAL]]&gt;0,ESTIMATIVA[[#This Row],[QT_AREA_REAL]],ESTIMATIVA[[#This Row],[QT_AREA_EST]]))</f>
        <v>13.84</v>
      </c>
      <c r="Z92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13.84</v>
      </c>
      <c r="AA922" s="1">
        <f>ESTIMATIVA[[#This Row],[QT_CANA_EST]]</f>
        <v>802.72</v>
      </c>
      <c r="AB922" s="1">
        <f>IF(ESTIMATIVA[[#This Row],[QT_CANA_REST1]]&gt;0,ESTIMATIVA[[#This Row],[QT_CANA_REST1]],
  IF(ESTIMATIVA[[#This Row],[QT_CANA_REAL]]&gt;0,ESTIMATIVA[[#This Row],[QT_CANA_REAL]],ESTIMATIVA[[#This Row],[QT_CANA_EST]]))</f>
        <v>948.71</v>
      </c>
      <c r="AC92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948.71</v>
      </c>
      <c r="AD922" s="1">
        <f>IF(ESTIMATIVA[[#This Row],[QT_AREA_REAL]]&gt;0,ESTIMATIVA[[#This Row],[QT_CANA_REAL]],ESTIMATIVA[[#This Row],[QT_CANA_EST]])</f>
        <v>948.71</v>
      </c>
      <c r="AE922" s="1">
        <f>IF(ESTIMATIVA[[#This Row],[QT_AREA_REAL]]&gt;0,ESTIMATIVA[[#This Row],[QT_CANA_REAL]],ESTIMATIVA[[#This Row],[QT_CANA_REST1]])</f>
        <v>948.71</v>
      </c>
      <c r="AF922" s="1">
        <f>IF(ESTIMATIVA[[#This Row],[QT_AREA_REAL]]&gt;0,ESTIMATIVA[[#This Row],[QT_CANA_REAL]],ESTIMATIVA[[#This Row],[QT_CANA_REST2]])</f>
        <v>948.71</v>
      </c>
      <c r="AG922" s="1" t="str">
        <f>IF(COUNTIFS(GEADA!A:A,VALUE(ESTIMATIVA[[#This Row],[CD_UPNIVEL1]]&amp;TEXT(ESTIMATIVA[[#This Row],[CD_UPNIVEL3]],"0000")))&gt;0,"S","N")</f>
        <v>N</v>
      </c>
      <c r="AH92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22" s="55" t="str">
        <f>IF(ESTIMATIVA[[#This Row],[TP_CULTIVO]]="Irrigado",_xlfn.MAXIFS(IRRIGADO!J:J,IRRIGADO!C:C,ESTIMATIVA[[#This Row],[CD_UPNIVEL1]],IRRIGADO!E:E,ESTIMATIVA[[#This Row],[CD_UPNIVEL3]]),"")</f>
        <v/>
      </c>
      <c r="AJ92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22" s="1">
        <f>COUNTIFS(Apresentação!$E$23:$E$29,ESTIMATIVA[[#This Row],[CD_UPNIVEL1]])</f>
        <v>0</v>
      </c>
    </row>
    <row r="923" spans="1:37" x14ac:dyDescent="0.3">
      <c r="A923">
        <v>20442</v>
      </c>
      <c r="B923" t="s">
        <v>50</v>
      </c>
      <c r="C923">
        <v>83</v>
      </c>
      <c r="D923">
        <v>3</v>
      </c>
      <c r="E923" t="s">
        <v>263</v>
      </c>
      <c r="F923" s="85" t="s">
        <v>331</v>
      </c>
      <c r="G923"/>
      <c r="H923" t="s">
        <v>294</v>
      </c>
      <c r="I923" t="s">
        <v>197</v>
      </c>
      <c r="J923" t="s">
        <v>176</v>
      </c>
      <c r="K923" s="1">
        <v>3.93</v>
      </c>
      <c r="L923" s="1">
        <v>0</v>
      </c>
      <c r="M923" s="1">
        <v>0</v>
      </c>
      <c r="N923" s="1">
        <v>3.93</v>
      </c>
      <c r="O923" s="1">
        <v>227.94</v>
      </c>
      <c r="P923" s="1">
        <v>0</v>
      </c>
      <c r="Q923" s="1">
        <v>0</v>
      </c>
      <c r="R923" s="1">
        <v>442.39</v>
      </c>
      <c r="S923" t="s">
        <v>12</v>
      </c>
      <c r="T923" s="13">
        <v>45732</v>
      </c>
      <c r="U923" s="1" t="str">
        <f>IF(ESTIMATIVA[[#This Row],[QT_AREA_REAL]]&gt;0,"1- Colhido","2- à Colher")</f>
        <v>1- Colhido</v>
      </c>
      <c r="V923" s="1" t="str">
        <f>IF(ESTIMATIVA[[#This Row],[QT_AREA_REST1]]&gt;0,"Reestimativa 1",IF(ESTIMATIVA[[#This Row],[QT_AREA_REAL]]=0,"Reestimativa 1","Realizado"))</f>
        <v>Realizado</v>
      </c>
      <c r="W923" s="1" t="str">
        <f>IF(ESTIMATIVA[[#This Row],[QT_AREA_REST2]]&gt;0,"Reestimativa 2",IF(ESTIMATIVA[[#This Row],[QT_AREA_REAL]]=0,"Reestimativa 2","Realizado"))</f>
        <v>Realizado</v>
      </c>
      <c r="X923" s="1">
        <f>ESTIMATIVA[[#This Row],[QT_AREA_EST]]</f>
        <v>3.93</v>
      </c>
      <c r="Y923" s="1">
        <f>IF(ESTIMATIVA[[#This Row],[QT_AREA_REST1]]&gt;0,ESTIMATIVA[[#This Row],[QT_AREA_REST1]],
  IF(ESTIMATIVA[[#This Row],[QT_AREA_REAL]]&gt;0,ESTIMATIVA[[#This Row],[QT_AREA_REAL]],ESTIMATIVA[[#This Row],[QT_AREA_EST]]))</f>
        <v>3.93</v>
      </c>
      <c r="Z92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3.93</v>
      </c>
      <c r="AA923" s="1">
        <f>ESTIMATIVA[[#This Row],[QT_CANA_EST]]</f>
        <v>227.94</v>
      </c>
      <c r="AB923" s="1">
        <f>IF(ESTIMATIVA[[#This Row],[QT_CANA_REST1]]&gt;0,ESTIMATIVA[[#This Row],[QT_CANA_REST1]],
  IF(ESTIMATIVA[[#This Row],[QT_CANA_REAL]]&gt;0,ESTIMATIVA[[#This Row],[QT_CANA_REAL]],ESTIMATIVA[[#This Row],[QT_CANA_EST]]))</f>
        <v>442.39</v>
      </c>
      <c r="AC92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442.39</v>
      </c>
      <c r="AD923" s="1">
        <f>IF(ESTIMATIVA[[#This Row],[QT_AREA_REAL]]&gt;0,ESTIMATIVA[[#This Row],[QT_CANA_REAL]],ESTIMATIVA[[#This Row],[QT_CANA_EST]])</f>
        <v>442.39</v>
      </c>
      <c r="AE923" s="1">
        <f>IF(ESTIMATIVA[[#This Row],[QT_AREA_REAL]]&gt;0,ESTIMATIVA[[#This Row],[QT_CANA_REAL]],ESTIMATIVA[[#This Row],[QT_CANA_REST1]])</f>
        <v>442.39</v>
      </c>
      <c r="AF923" s="1">
        <f>IF(ESTIMATIVA[[#This Row],[QT_AREA_REAL]]&gt;0,ESTIMATIVA[[#This Row],[QT_CANA_REAL]],ESTIMATIVA[[#This Row],[QT_CANA_REST2]])</f>
        <v>442.39</v>
      </c>
      <c r="AG923" s="1" t="str">
        <f>IF(COUNTIFS(GEADA!A:A,VALUE(ESTIMATIVA[[#This Row],[CD_UPNIVEL1]]&amp;TEXT(ESTIMATIVA[[#This Row],[CD_UPNIVEL3]],"0000")))&gt;0,"S","N")</f>
        <v>N</v>
      </c>
      <c r="AH92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23" s="55" t="str">
        <f>IF(ESTIMATIVA[[#This Row],[TP_CULTIVO]]="Irrigado",_xlfn.MAXIFS(IRRIGADO!J:J,IRRIGADO!C:C,ESTIMATIVA[[#This Row],[CD_UPNIVEL1]],IRRIGADO!E:E,ESTIMATIVA[[#This Row],[CD_UPNIVEL3]]),"")</f>
        <v/>
      </c>
      <c r="AJ92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23" s="1">
        <f>COUNTIFS(Apresentação!$E$23:$E$29,ESTIMATIVA[[#This Row],[CD_UPNIVEL1]])</f>
        <v>0</v>
      </c>
    </row>
    <row r="924" spans="1:37" x14ac:dyDescent="0.3">
      <c r="A924">
        <v>20446</v>
      </c>
      <c r="B924" t="s">
        <v>138</v>
      </c>
      <c r="C924">
        <v>5</v>
      </c>
      <c r="D924">
        <v>3</v>
      </c>
      <c r="E924" t="s">
        <v>263</v>
      </c>
      <c r="F924" s="85" t="s">
        <v>331</v>
      </c>
      <c r="G924"/>
      <c r="H924" t="s">
        <v>294</v>
      </c>
      <c r="I924" t="s">
        <v>207</v>
      </c>
      <c r="J924" t="s">
        <v>176</v>
      </c>
      <c r="K924" s="1">
        <v>15.25</v>
      </c>
      <c r="L924" s="1">
        <v>15.25</v>
      </c>
      <c r="M924" s="1">
        <v>15.25</v>
      </c>
      <c r="N924" s="1">
        <v>15.25</v>
      </c>
      <c r="O924" s="1">
        <v>1220</v>
      </c>
      <c r="P924" s="1">
        <v>1220</v>
      </c>
      <c r="Q924" s="1">
        <v>1220</v>
      </c>
      <c r="R924" s="1">
        <v>1181.1300000000001</v>
      </c>
      <c r="S924" t="s">
        <v>12</v>
      </c>
      <c r="T924" s="13">
        <v>45998</v>
      </c>
      <c r="U924" s="1" t="str">
        <f>IF(ESTIMATIVA[[#This Row],[QT_AREA_REAL]]&gt;0,"1- Colhido","2- à Colher")</f>
        <v>1- Colhido</v>
      </c>
      <c r="V924" s="1" t="str">
        <f>IF(ESTIMATIVA[[#This Row],[QT_AREA_REST1]]&gt;0,"Reestimativa 1",IF(ESTIMATIVA[[#This Row],[QT_AREA_REAL]]=0,"Reestimativa 1","Realizado"))</f>
        <v>Reestimativa 1</v>
      </c>
      <c r="W924" s="1" t="str">
        <f>IF(ESTIMATIVA[[#This Row],[QT_AREA_REST2]]&gt;0,"Reestimativa 2",IF(ESTIMATIVA[[#This Row],[QT_AREA_REAL]]=0,"Reestimativa 2","Realizado"))</f>
        <v>Reestimativa 2</v>
      </c>
      <c r="X924" s="1">
        <f>ESTIMATIVA[[#This Row],[QT_AREA_EST]]</f>
        <v>15.25</v>
      </c>
      <c r="Y924" s="1">
        <f>IF(ESTIMATIVA[[#This Row],[QT_AREA_REST1]]&gt;0,ESTIMATIVA[[#This Row],[QT_AREA_REST1]],
  IF(ESTIMATIVA[[#This Row],[QT_AREA_REAL]]&gt;0,ESTIMATIVA[[#This Row],[QT_AREA_REAL]],ESTIMATIVA[[#This Row],[QT_AREA_EST]]))</f>
        <v>15.25</v>
      </c>
      <c r="Z92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15.25</v>
      </c>
      <c r="AA924" s="1">
        <f>ESTIMATIVA[[#This Row],[QT_CANA_EST]]</f>
        <v>1220</v>
      </c>
      <c r="AB924" s="1">
        <f>IF(ESTIMATIVA[[#This Row],[QT_CANA_REST1]]&gt;0,ESTIMATIVA[[#This Row],[QT_CANA_REST1]],
  IF(ESTIMATIVA[[#This Row],[QT_CANA_REAL]]&gt;0,ESTIMATIVA[[#This Row],[QT_CANA_REAL]],ESTIMATIVA[[#This Row],[QT_CANA_EST]]))</f>
        <v>1220</v>
      </c>
      <c r="AC92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1220</v>
      </c>
      <c r="AD924" s="1">
        <f>IF(ESTIMATIVA[[#This Row],[QT_AREA_REAL]]&gt;0,ESTIMATIVA[[#This Row],[QT_CANA_REAL]],ESTIMATIVA[[#This Row],[QT_CANA_EST]])</f>
        <v>1181.1300000000001</v>
      </c>
      <c r="AE924" s="1">
        <f>IF(ESTIMATIVA[[#This Row],[QT_AREA_REAL]]&gt;0,ESTIMATIVA[[#This Row],[QT_CANA_REAL]],ESTIMATIVA[[#This Row],[QT_CANA_REST1]])</f>
        <v>1181.1300000000001</v>
      </c>
      <c r="AF924" s="1">
        <f>IF(ESTIMATIVA[[#This Row],[QT_AREA_REAL]]&gt;0,ESTIMATIVA[[#This Row],[QT_CANA_REAL]],ESTIMATIVA[[#This Row],[QT_CANA_REST2]])</f>
        <v>1181.1300000000001</v>
      </c>
      <c r="AG924" s="1" t="str">
        <f>IF(COUNTIFS(GEADA!A:A,VALUE(ESTIMATIVA[[#This Row],[CD_UPNIVEL1]]&amp;TEXT(ESTIMATIVA[[#This Row],[CD_UPNIVEL3]],"0000")))&gt;0,"S","N")</f>
        <v>N</v>
      </c>
      <c r="AH92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24" s="55" t="str">
        <f>IF(ESTIMATIVA[[#This Row],[TP_CULTIVO]]="Irrigado",_xlfn.MAXIFS(IRRIGADO!J:J,IRRIGADO!C:C,ESTIMATIVA[[#This Row],[CD_UPNIVEL1]],IRRIGADO!E:E,ESTIMATIVA[[#This Row],[CD_UPNIVEL3]]),"")</f>
        <v/>
      </c>
      <c r="AJ92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24" s="1">
        <f>COUNTIFS(Apresentação!$E$23:$E$29,ESTIMATIVA[[#This Row],[CD_UPNIVEL1]])</f>
        <v>0</v>
      </c>
    </row>
    <row r="925" spans="1:37" x14ac:dyDescent="0.3">
      <c r="A925">
        <v>20446</v>
      </c>
      <c r="B925" t="s">
        <v>138</v>
      </c>
      <c r="C925">
        <v>6</v>
      </c>
      <c r="D925">
        <v>3</v>
      </c>
      <c r="E925" t="s">
        <v>263</v>
      </c>
      <c r="F925" s="85" t="s">
        <v>331</v>
      </c>
      <c r="G925"/>
      <c r="H925" t="s">
        <v>294</v>
      </c>
      <c r="I925" t="s">
        <v>207</v>
      </c>
      <c r="J925" t="s">
        <v>176</v>
      </c>
      <c r="K925" s="1">
        <v>18.510000000000002</v>
      </c>
      <c r="L925" s="1">
        <v>18.510000000000002</v>
      </c>
      <c r="M925" s="1">
        <v>18.510000000000002</v>
      </c>
      <c r="N925" s="1">
        <v>18.510000000000002</v>
      </c>
      <c r="O925" s="1">
        <v>1480.8</v>
      </c>
      <c r="P925" s="1">
        <v>1480.8</v>
      </c>
      <c r="Q925" s="1">
        <v>1480.8</v>
      </c>
      <c r="R925" s="1">
        <v>1433.84</v>
      </c>
      <c r="S925" t="s">
        <v>12</v>
      </c>
      <c r="T925" s="13">
        <v>45998</v>
      </c>
      <c r="U925" s="1" t="str">
        <f>IF(ESTIMATIVA[[#This Row],[QT_AREA_REAL]]&gt;0,"1- Colhido","2- à Colher")</f>
        <v>1- Colhido</v>
      </c>
      <c r="V925" s="1" t="str">
        <f>IF(ESTIMATIVA[[#This Row],[QT_AREA_REST1]]&gt;0,"Reestimativa 1",IF(ESTIMATIVA[[#This Row],[QT_AREA_REAL]]=0,"Reestimativa 1","Realizado"))</f>
        <v>Reestimativa 1</v>
      </c>
      <c r="W925" s="1" t="str">
        <f>IF(ESTIMATIVA[[#This Row],[QT_AREA_REST2]]&gt;0,"Reestimativa 2",IF(ESTIMATIVA[[#This Row],[QT_AREA_REAL]]=0,"Reestimativa 2","Realizado"))</f>
        <v>Reestimativa 2</v>
      </c>
      <c r="X925" s="1">
        <f>ESTIMATIVA[[#This Row],[QT_AREA_EST]]</f>
        <v>18.510000000000002</v>
      </c>
      <c r="Y925" s="1">
        <f>IF(ESTIMATIVA[[#This Row],[QT_AREA_REST1]]&gt;0,ESTIMATIVA[[#This Row],[QT_AREA_REST1]],
  IF(ESTIMATIVA[[#This Row],[QT_AREA_REAL]]&gt;0,ESTIMATIVA[[#This Row],[QT_AREA_REAL]],ESTIMATIVA[[#This Row],[QT_AREA_EST]]))</f>
        <v>18.510000000000002</v>
      </c>
      <c r="Z92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18.510000000000002</v>
      </c>
      <c r="AA925" s="1">
        <f>ESTIMATIVA[[#This Row],[QT_CANA_EST]]</f>
        <v>1480.8</v>
      </c>
      <c r="AB925" s="1">
        <f>IF(ESTIMATIVA[[#This Row],[QT_CANA_REST1]]&gt;0,ESTIMATIVA[[#This Row],[QT_CANA_REST1]],
  IF(ESTIMATIVA[[#This Row],[QT_CANA_REAL]]&gt;0,ESTIMATIVA[[#This Row],[QT_CANA_REAL]],ESTIMATIVA[[#This Row],[QT_CANA_EST]]))</f>
        <v>1480.8</v>
      </c>
      <c r="AC92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1480.8</v>
      </c>
      <c r="AD925" s="1">
        <f>IF(ESTIMATIVA[[#This Row],[QT_AREA_REAL]]&gt;0,ESTIMATIVA[[#This Row],[QT_CANA_REAL]],ESTIMATIVA[[#This Row],[QT_CANA_EST]])</f>
        <v>1433.84</v>
      </c>
      <c r="AE925" s="1">
        <f>IF(ESTIMATIVA[[#This Row],[QT_AREA_REAL]]&gt;0,ESTIMATIVA[[#This Row],[QT_CANA_REAL]],ESTIMATIVA[[#This Row],[QT_CANA_REST1]])</f>
        <v>1433.84</v>
      </c>
      <c r="AF925" s="1">
        <f>IF(ESTIMATIVA[[#This Row],[QT_AREA_REAL]]&gt;0,ESTIMATIVA[[#This Row],[QT_CANA_REAL]],ESTIMATIVA[[#This Row],[QT_CANA_REST2]])</f>
        <v>1433.84</v>
      </c>
      <c r="AG925" s="1" t="str">
        <f>IF(COUNTIFS(GEADA!A:A,VALUE(ESTIMATIVA[[#This Row],[CD_UPNIVEL1]]&amp;TEXT(ESTIMATIVA[[#This Row],[CD_UPNIVEL3]],"0000")))&gt;0,"S","N")</f>
        <v>S</v>
      </c>
      <c r="AH92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25" s="55" t="str">
        <f>IF(ESTIMATIVA[[#This Row],[TP_CULTIVO]]="Irrigado",_xlfn.MAXIFS(IRRIGADO!J:J,IRRIGADO!C:C,ESTIMATIVA[[#This Row],[CD_UPNIVEL1]],IRRIGADO!E:E,ESTIMATIVA[[#This Row],[CD_UPNIVEL3]]),"")</f>
        <v/>
      </c>
      <c r="AJ92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25" s="1">
        <f>COUNTIFS(Apresentação!$E$23:$E$29,ESTIMATIVA[[#This Row],[CD_UPNIVEL1]])</f>
        <v>0</v>
      </c>
    </row>
    <row r="926" spans="1:37" x14ac:dyDescent="0.3">
      <c r="A926">
        <v>20446</v>
      </c>
      <c r="B926" t="s">
        <v>138</v>
      </c>
      <c r="C926">
        <v>7</v>
      </c>
      <c r="D926">
        <v>3</v>
      </c>
      <c r="E926" t="s">
        <v>263</v>
      </c>
      <c r="F926" s="85" t="s">
        <v>331</v>
      </c>
      <c r="G926"/>
      <c r="H926" t="s">
        <v>294</v>
      </c>
      <c r="I926" t="s">
        <v>195</v>
      </c>
      <c r="J926" t="s">
        <v>176</v>
      </c>
      <c r="K926" s="1">
        <v>20.309999999999999</v>
      </c>
      <c r="L926" s="1">
        <v>20.309999999999999</v>
      </c>
      <c r="M926" s="1">
        <v>20.309999999999999</v>
      </c>
      <c r="N926" s="1">
        <v>20.309999999999999</v>
      </c>
      <c r="O926" s="1">
        <v>1624.8</v>
      </c>
      <c r="P926" s="1">
        <v>1624.8</v>
      </c>
      <c r="Q926" s="1">
        <v>1645.11</v>
      </c>
      <c r="R926" s="1">
        <v>1592.63</v>
      </c>
      <c r="S926" t="s">
        <v>12</v>
      </c>
      <c r="T926" s="13">
        <v>45998</v>
      </c>
      <c r="U926" s="1" t="str">
        <f>IF(ESTIMATIVA[[#This Row],[QT_AREA_REAL]]&gt;0,"1- Colhido","2- à Colher")</f>
        <v>1- Colhido</v>
      </c>
      <c r="V926" s="1" t="str">
        <f>IF(ESTIMATIVA[[#This Row],[QT_AREA_REST1]]&gt;0,"Reestimativa 1",IF(ESTIMATIVA[[#This Row],[QT_AREA_REAL]]=0,"Reestimativa 1","Realizado"))</f>
        <v>Reestimativa 1</v>
      </c>
      <c r="W926" s="1" t="str">
        <f>IF(ESTIMATIVA[[#This Row],[QT_AREA_REST2]]&gt;0,"Reestimativa 2",IF(ESTIMATIVA[[#This Row],[QT_AREA_REAL]]=0,"Reestimativa 2","Realizado"))</f>
        <v>Reestimativa 2</v>
      </c>
      <c r="X926" s="1">
        <f>ESTIMATIVA[[#This Row],[QT_AREA_EST]]</f>
        <v>20.309999999999999</v>
      </c>
      <c r="Y926" s="1">
        <f>IF(ESTIMATIVA[[#This Row],[QT_AREA_REST1]]&gt;0,ESTIMATIVA[[#This Row],[QT_AREA_REST1]],
  IF(ESTIMATIVA[[#This Row],[QT_AREA_REAL]]&gt;0,ESTIMATIVA[[#This Row],[QT_AREA_REAL]],ESTIMATIVA[[#This Row],[QT_AREA_EST]]))</f>
        <v>20.309999999999999</v>
      </c>
      <c r="Z92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20.309999999999999</v>
      </c>
      <c r="AA926" s="1">
        <f>ESTIMATIVA[[#This Row],[QT_CANA_EST]]</f>
        <v>1624.8</v>
      </c>
      <c r="AB926" s="1">
        <f>IF(ESTIMATIVA[[#This Row],[QT_CANA_REST1]]&gt;0,ESTIMATIVA[[#This Row],[QT_CANA_REST1]],
  IF(ESTIMATIVA[[#This Row],[QT_CANA_REAL]]&gt;0,ESTIMATIVA[[#This Row],[QT_CANA_REAL]],ESTIMATIVA[[#This Row],[QT_CANA_EST]]))</f>
        <v>1624.8</v>
      </c>
      <c r="AC92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1645.11</v>
      </c>
      <c r="AD926" s="1">
        <f>IF(ESTIMATIVA[[#This Row],[QT_AREA_REAL]]&gt;0,ESTIMATIVA[[#This Row],[QT_CANA_REAL]],ESTIMATIVA[[#This Row],[QT_CANA_EST]])</f>
        <v>1592.63</v>
      </c>
      <c r="AE926" s="1">
        <f>IF(ESTIMATIVA[[#This Row],[QT_AREA_REAL]]&gt;0,ESTIMATIVA[[#This Row],[QT_CANA_REAL]],ESTIMATIVA[[#This Row],[QT_CANA_REST1]])</f>
        <v>1592.63</v>
      </c>
      <c r="AF926" s="1">
        <f>IF(ESTIMATIVA[[#This Row],[QT_AREA_REAL]]&gt;0,ESTIMATIVA[[#This Row],[QT_CANA_REAL]],ESTIMATIVA[[#This Row],[QT_CANA_REST2]])</f>
        <v>1592.63</v>
      </c>
      <c r="AG926" s="1" t="str">
        <f>IF(COUNTIFS(GEADA!A:A,VALUE(ESTIMATIVA[[#This Row],[CD_UPNIVEL1]]&amp;TEXT(ESTIMATIVA[[#This Row],[CD_UPNIVEL3]],"0000")))&gt;0,"S","N")</f>
        <v>S</v>
      </c>
      <c r="AH92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26" s="55" t="str">
        <f>IF(ESTIMATIVA[[#This Row],[TP_CULTIVO]]="Irrigado",_xlfn.MAXIFS(IRRIGADO!J:J,IRRIGADO!C:C,ESTIMATIVA[[#This Row],[CD_UPNIVEL1]],IRRIGADO!E:E,ESTIMATIVA[[#This Row],[CD_UPNIVEL3]]),"")</f>
        <v/>
      </c>
      <c r="AJ92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26" s="1">
        <f>COUNTIFS(Apresentação!$E$23:$E$29,ESTIMATIVA[[#This Row],[CD_UPNIVEL1]])</f>
        <v>0</v>
      </c>
    </row>
    <row r="927" spans="1:37" x14ac:dyDescent="0.3">
      <c r="A927">
        <v>20446</v>
      </c>
      <c r="B927" t="s">
        <v>138</v>
      </c>
      <c r="C927">
        <v>8</v>
      </c>
      <c r="D927">
        <v>3</v>
      </c>
      <c r="E927" t="s">
        <v>263</v>
      </c>
      <c r="F927" s="85" t="s">
        <v>331</v>
      </c>
      <c r="G927"/>
      <c r="H927" t="s">
        <v>294</v>
      </c>
      <c r="I927" t="s">
        <v>195</v>
      </c>
      <c r="J927" t="s">
        <v>176</v>
      </c>
      <c r="K927" s="1">
        <v>22.94</v>
      </c>
      <c r="L927" s="1">
        <v>22.94</v>
      </c>
      <c r="M927" s="1">
        <v>22.94</v>
      </c>
      <c r="N927" s="1">
        <v>22.94</v>
      </c>
      <c r="O927" s="1">
        <v>1651.68</v>
      </c>
      <c r="P927" s="1">
        <v>1835.2</v>
      </c>
      <c r="Q927" s="1">
        <v>1858.14</v>
      </c>
      <c r="R927" s="1">
        <v>1799.26</v>
      </c>
      <c r="S927" t="s">
        <v>12</v>
      </c>
      <c r="T927" s="13">
        <v>45998</v>
      </c>
      <c r="U927" s="1" t="str">
        <f>IF(ESTIMATIVA[[#This Row],[QT_AREA_REAL]]&gt;0,"1- Colhido","2- à Colher")</f>
        <v>1- Colhido</v>
      </c>
      <c r="V927" s="1" t="str">
        <f>IF(ESTIMATIVA[[#This Row],[QT_AREA_REST1]]&gt;0,"Reestimativa 1",IF(ESTIMATIVA[[#This Row],[QT_AREA_REAL]]=0,"Reestimativa 1","Realizado"))</f>
        <v>Reestimativa 1</v>
      </c>
      <c r="W927" s="1" t="str">
        <f>IF(ESTIMATIVA[[#This Row],[QT_AREA_REST2]]&gt;0,"Reestimativa 2",IF(ESTIMATIVA[[#This Row],[QT_AREA_REAL]]=0,"Reestimativa 2","Realizado"))</f>
        <v>Reestimativa 2</v>
      </c>
      <c r="X927" s="1">
        <f>ESTIMATIVA[[#This Row],[QT_AREA_EST]]</f>
        <v>22.94</v>
      </c>
      <c r="Y927" s="1">
        <f>IF(ESTIMATIVA[[#This Row],[QT_AREA_REST1]]&gt;0,ESTIMATIVA[[#This Row],[QT_AREA_REST1]],
  IF(ESTIMATIVA[[#This Row],[QT_AREA_REAL]]&gt;0,ESTIMATIVA[[#This Row],[QT_AREA_REAL]],ESTIMATIVA[[#This Row],[QT_AREA_EST]]))</f>
        <v>22.94</v>
      </c>
      <c r="Z92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22.94</v>
      </c>
      <c r="AA927" s="1">
        <f>ESTIMATIVA[[#This Row],[QT_CANA_EST]]</f>
        <v>1651.68</v>
      </c>
      <c r="AB927" s="1">
        <f>IF(ESTIMATIVA[[#This Row],[QT_CANA_REST1]]&gt;0,ESTIMATIVA[[#This Row],[QT_CANA_REST1]],
  IF(ESTIMATIVA[[#This Row],[QT_CANA_REAL]]&gt;0,ESTIMATIVA[[#This Row],[QT_CANA_REAL]],ESTIMATIVA[[#This Row],[QT_CANA_EST]]))</f>
        <v>1835.2</v>
      </c>
      <c r="AC92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1858.14</v>
      </c>
      <c r="AD927" s="1">
        <f>IF(ESTIMATIVA[[#This Row],[QT_AREA_REAL]]&gt;0,ESTIMATIVA[[#This Row],[QT_CANA_REAL]],ESTIMATIVA[[#This Row],[QT_CANA_EST]])</f>
        <v>1799.26</v>
      </c>
      <c r="AE927" s="1">
        <f>IF(ESTIMATIVA[[#This Row],[QT_AREA_REAL]]&gt;0,ESTIMATIVA[[#This Row],[QT_CANA_REAL]],ESTIMATIVA[[#This Row],[QT_CANA_REST1]])</f>
        <v>1799.26</v>
      </c>
      <c r="AF927" s="1">
        <f>IF(ESTIMATIVA[[#This Row],[QT_AREA_REAL]]&gt;0,ESTIMATIVA[[#This Row],[QT_CANA_REAL]],ESTIMATIVA[[#This Row],[QT_CANA_REST2]])</f>
        <v>1799.26</v>
      </c>
      <c r="AG927" s="1" t="str">
        <f>IF(COUNTIFS(GEADA!A:A,VALUE(ESTIMATIVA[[#This Row],[CD_UPNIVEL1]]&amp;TEXT(ESTIMATIVA[[#This Row],[CD_UPNIVEL3]],"0000")))&gt;0,"S","N")</f>
        <v>S</v>
      </c>
      <c r="AH92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27" s="55" t="str">
        <f>IF(ESTIMATIVA[[#This Row],[TP_CULTIVO]]="Irrigado",_xlfn.MAXIFS(IRRIGADO!J:J,IRRIGADO!C:C,ESTIMATIVA[[#This Row],[CD_UPNIVEL1]],IRRIGADO!E:E,ESTIMATIVA[[#This Row],[CD_UPNIVEL3]]),"")</f>
        <v/>
      </c>
      <c r="AJ92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27" s="1">
        <f>COUNTIFS(Apresentação!$E$23:$E$29,ESTIMATIVA[[#This Row],[CD_UPNIVEL1]])</f>
        <v>0</v>
      </c>
    </row>
    <row r="928" spans="1:37" x14ac:dyDescent="0.3">
      <c r="A928">
        <v>20446</v>
      </c>
      <c r="B928" t="s">
        <v>138</v>
      </c>
      <c r="C928">
        <v>9</v>
      </c>
      <c r="D928">
        <v>3</v>
      </c>
      <c r="E928" t="s">
        <v>263</v>
      </c>
      <c r="F928" s="85" t="s">
        <v>331</v>
      </c>
      <c r="G928"/>
      <c r="H928" t="s">
        <v>294</v>
      </c>
      <c r="I928" t="s">
        <v>195</v>
      </c>
      <c r="J928" t="s">
        <v>176</v>
      </c>
      <c r="K928" s="1">
        <v>33.28</v>
      </c>
      <c r="L928" s="1">
        <v>33.28</v>
      </c>
      <c r="M928" s="1">
        <v>33.28</v>
      </c>
      <c r="N928" s="1">
        <v>33.28</v>
      </c>
      <c r="O928" s="1">
        <v>2396.16</v>
      </c>
      <c r="P928" s="1">
        <v>2396.16</v>
      </c>
      <c r="Q928" s="1">
        <v>2429.44</v>
      </c>
      <c r="R928" s="1">
        <v>2629.87</v>
      </c>
      <c r="S928" t="s">
        <v>12</v>
      </c>
      <c r="T928" s="13">
        <v>46005</v>
      </c>
      <c r="U928" s="1" t="str">
        <f>IF(ESTIMATIVA[[#This Row],[QT_AREA_REAL]]&gt;0,"1- Colhido","2- à Colher")</f>
        <v>1- Colhido</v>
      </c>
      <c r="V928" s="1" t="str">
        <f>IF(ESTIMATIVA[[#This Row],[QT_AREA_REST1]]&gt;0,"Reestimativa 1",IF(ESTIMATIVA[[#This Row],[QT_AREA_REAL]]=0,"Reestimativa 1","Realizado"))</f>
        <v>Reestimativa 1</v>
      </c>
      <c r="W928" s="1" t="str">
        <f>IF(ESTIMATIVA[[#This Row],[QT_AREA_REST2]]&gt;0,"Reestimativa 2",IF(ESTIMATIVA[[#This Row],[QT_AREA_REAL]]=0,"Reestimativa 2","Realizado"))</f>
        <v>Reestimativa 2</v>
      </c>
      <c r="X928" s="1">
        <f>ESTIMATIVA[[#This Row],[QT_AREA_EST]]</f>
        <v>33.28</v>
      </c>
      <c r="Y928" s="1">
        <f>IF(ESTIMATIVA[[#This Row],[QT_AREA_REST1]]&gt;0,ESTIMATIVA[[#This Row],[QT_AREA_REST1]],
  IF(ESTIMATIVA[[#This Row],[QT_AREA_REAL]]&gt;0,ESTIMATIVA[[#This Row],[QT_AREA_REAL]],ESTIMATIVA[[#This Row],[QT_AREA_EST]]))</f>
        <v>33.28</v>
      </c>
      <c r="Z92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33.28</v>
      </c>
      <c r="AA928" s="1">
        <f>ESTIMATIVA[[#This Row],[QT_CANA_EST]]</f>
        <v>2396.16</v>
      </c>
      <c r="AB928" s="1">
        <f>IF(ESTIMATIVA[[#This Row],[QT_CANA_REST1]]&gt;0,ESTIMATIVA[[#This Row],[QT_CANA_REST1]],
  IF(ESTIMATIVA[[#This Row],[QT_CANA_REAL]]&gt;0,ESTIMATIVA[[#This Row],[QT_CANA_REAL]],ESTIMATIVA[[#This Row],[QT_CANA_EST]]))</f>
        <v>2396.16</v>
      </c>
      <c r="AC92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2429.44</v>
      </c>
      <c r="AD928" s="1">
        <f>IF(ESTIMATIVA[[#This Row],[QT_AREA_REAL]]&gt;0,ESTIMATIVA[[#This Row],[QT_CANA_REAL]],ESTIMATIVA[[#This Row],[QT_CANA_EST]])</f>
        <v>2629.87</v>
      </c>
      <c r="AE928" s="1">
        <f>IF(ESTIMATIVA[[#This Row],[QT_AREA_REAL]]&gt;0,ESTIMATIVA[[#This Row],[QT_CANA_REAL]],ESTIMATIVA[[#This Row],[QT_CANA_REST1]])</f>
        <v>2629.87</v>
      </c>
      <c r="AF928" s="1">
        <f>IF(ESTIMATIVA[[#This Row],[QT_AREA_REAL]]&gt;0,ESTIMATIVA[[#This Row],[QT_CANA_REAL]],ESTIMATIVA[[#This Row],[QT_CANA_REST2]])</f>
        <v>2629.87</v>
      </c>
      <c r="AG928" s="1" t="str">
        <f>IF(COUNTIFS(GEADA!A:A,VALUE(ESTIMATIVA[[#This Row],[CD_UPNIVEL1]]&amp;TEXT(ESTIMATIVA[[#This Row],[CD_UPNIVEL3]],"0000")))&gt;0,"S","N")</f>
        <v>S</v>
      </c>
      <c r="AH92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28" s="55" t="str">
        <f>IF(ESTIMATIVA[[#This Row],[TP_CULTIVO]]="Irrigado",_xlfn.MAXIFS(IRRIGADO!J:J,IRRIGADO!C:C,ESTIMATIVA[[#This Row],[CD_UPNIVEL1]],IRRIGADO!E:E,ESTIMATIVA[[#This Row],[CD_UPNIVEL3]]),"")</f>
        <v/>
      </c>
      <c r="AJ92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28" s="1">
        <f>COUNTIFS(Apresentação!$E$23:$E$29,ESTIMATIVA[[#This Row],[CD_UPNIVEL1]])</f>
        <v>0</v>
      </c>
    </row>
    <row r="929" spans="1:37" x14ac:dyDescent="0.3">
      <c r="A929">
        <v>20450</v>
      </c>
      <c r="B929" t="s">
        <v>139</v>
      </c>
      <c r="C929">
        <v>1</v>
      </c>
      <c r="D929">
        <v>2</v>
      </c>
      <c r="E929" t="s">
        <v>266</v>
      </c>
      <c r="F929" s="85" t="s">
        <v>331</v>
      </c>
      <c r="G929"/>
      <c r="H929" t="s">
        <v>294</v>
      </c>
      <c r="I929" t="s">
        <v>207</v>
      </c>
      <c r="J929" t="s">
        <v>176</v>
      </c>
      <c r="K929" s="1">
        <v>8.91</v>
      </c>
      <c r="L929" s="1">
        <v>8.91</v>
      </c>
      <c r="M929" s="1">
        <v>8.91</v>
      </c>
      <c r="N929" s="1">
        <v>8.91</v>
      </c>
      <c r="O929" s="1">
        <v>712.8</v>
      </c>
      <c r="P929" s="1">
        <v>605.88</v>
      </c>
      <c r="Q929" s="1">
        <v>605.88</v>
      </c>
      <c r="R929" s="1">
        <v>862.67</v>
      </c>
      <c r="S929" t="s">
        <v>12</v>
      </c>
      <c r="T929" s="13">
        <v>45935</v>
      </c>
      <c r="U929" s="1" t="str">
        <f>IF(ESTIMATIVA[[#This Row],[QT_AREA_REAL]]&gt;0,"1- Colhido","2- à Colher")</f>
        <v>1- Colhido</v>
      </c>
      <c r="V929" s="1" t="str">
        <f>IF(ESTIMATIVA[[#This Row],[QT_AREA_REST1]]&gt;0,"Reestimativa 1",IF(ESTIMATIVA[[#This Row],[QT_AREA_REAL]]=0,"Reestimativa 1","Realizado"))</f>
        <v>Reestimativa 1</v>
      </c>
      <c r="W929" s="1" t="str">
        <f>IF(ESTIMATIVA[[#This Row],[QT_AREA_REST2]]&gt;0,"Reestimativa 2",IF(ESTIMATIVA[[#This Row],[QT_AREA_REAL]]=0,"Reestimativa 2","Realizado"))</f>
        <v>Reestimativa 2</v>
      </c>
      <c r="X929" s="1">
        <f>ESTIMATIVA[[#This Row],[QT_AREA_EST]]</f>
        <v>8.91</v>
      </c>
      <c r="Y929" s="1">
        <f>IF(ESTIMATIVA[[#This Row],[QT_AREA_REST1]]&gt;0,ESTIMATIVA[[#This Row],[QT_AREA_REST1]],
  IF(ESTIMATIVA[[#This Row],[QT_AREA_REAL]]&gt;0,ESTIMATIVA[[#This Row],[QT_AREA_REAL]],ESTIMATIVA[[#This Row],[QT_AREA_EST]]))</f>
        <v>8.91</v>
      </c>
      <c r="Z92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8.91</v>
      </c>
      <c r="AA929" s="1">
        <f>ESTIMATIVA[[#This Row],[QT_CANA_EST]]</f>
        <v>712.8</v>
      </c>
      <c r="AB929" s="1">
        <f>IF(ESTIMATIVA[[#This Row],[QT_CANA_REST1]]&gt;0,ESTIMATIVA[[#This Row],[QT_CANA_REST1]],
  IF(ESTIMATIVA[[#This Row],[QT_CANA_REAL]]&gt;0,ESTIMATIVA[[#This Row],[QT_CANA_REAL]],ESTIMATIVA[[#This Row],[QT_CANA_EST]]))</f>
        <v>605.88</v>
      </c>
      <c r="AC92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605.88</v>
      </c>
      <c r="AD929" s="1">
        <f>IF(ESTIMATIVA[[#This Row],[QT_AREA_REAL]]&gt;0,ESTIMATIVA[[#This Row],[QT_CANA_REAL]],ESTIMATIVA[[#This Row],[QT_CANA_EST]])</f>
        <v>862.67</v>
      </c>
      <c r="AE929" s="1">
        <f>IF(ESTIMATIVA[[#This Row],[QT_AREA_REAL]]&gt;0,ESTIMATIVA[[#This Row],[QT_CANA_REAL]],ESTIMATIVA[[#This Row],[QT_CANA_REST1]])</f>
        <v>862.67</v>
      </c>
      <c r="AF929" s="1">
        <f>IF(ESTIMATIVA[[#This Row],[QT_AREA_REAL]]&gt;0,ESTIMATIVA[[#This Row],[QT_CANA_REAL]],ESTIMATIVA[[#This Row],[QT_CANA_REST2]])</f>
        <v>862.67</v>
      </c>
      <c r="AG929" s="1" t="str">
        <f>IF(COUNTIFS(GEADA!A:A,VALUE(ESTIMATIVA[[#This Row],[CD_UPNIVEL1]]&amp;TEXT(ESTIMATIVA[[#This Row],[CD_UPNIVEL3]],"0000")))&gt;0,"S","N")</f>
        <v>S</v>
      </c>
      <c r="AH92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29" s="55" t="str">
        <f>IF(ESTIMATIVA[[#This Row],[TP_CULTIVO]]="Irrigado",_xlfn.MAXIFS(IRRIGADO!J:J,IRRIGADO!C:C,ESTIMATIVA[[#This Row],[CD_UPNIVEL1]],IRRIGADO!E:E,ESTIMATIVA[[#This Row],[CD_UPNIVEL3]]),"")</f>
        <v/>
      </c>
      <c r="AJ92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29" s="1">
        <f>COUNTIFS(Apresentação!$E$23:$E$29,ESTIMATIVA[[#This Row],[CD_UPNIVEL1]])</f>
        <v>0</v>
      </c>
    </row>
    <row r="930" spans="1:37" x14ac:dyDescent="0.3">
      <c r="A930">
        <v>20450</v>
      </c>
      <c r="B930" t="s">
        <v>139</v>
      </c>
      <c r="C930">
        <v>2</v>
      </c>
      <c r="D930">
        <v>2</v>
      </c>
      <c r="E930" t="s">
        <v>266</v>
      </c>
      <c r="F930" s="85" t="s">
        <v>331</v>
      </c>
      <c r="G930"/>
      <c r="H930" t="s">
        <v>294</v>
      </c>
      <c r="I930" t="s">
        <v>207</v>
      </c>
      <c r="J930" t="s">
        <v>176</v>
      </c>
      <c r="K930" s="1">
        <v>0.92</v>
      </c>
      <c r="L930" s="1">
        <v>0.92</v>
      </c>
      <c r="M930" s="1">
        <v>0.92</v>
      </c>
      <c r="N930" s="1">
        <v>0.92</v>
      </c>
      <c r="O930" s="1">
        <v>73.599999999999994</v>
      </c>
      <c r="P930" s="1">
        <v>73.599999999999994</v>
      </c>
      <c r="Q930" s="1">
        <v>73.599999999999994</v>
      </c>
      <c r="R930" s="1">
        <v>101.54</v>
      </c>
      <c r="S930" t="s">
        <v>12</v>
      </c>
      <c r="T930" s="13">
        <v>45942</v>
      </c>
      <c r="U930" s="1" t="str">
        <f>IF(ESTIMATIVA[[#This Row],[QT_AREA_REAL]]&gt;0,"1- Colhido","2- à Colher")</f>
        <v>1- Colhido</v>
      </c>
      <c r="V930" s="1" t="str">
        <f>IF(ESTIMATIVA[[#This Row],[QT_AREA_REST1]]&gt;0,"Reestimativa 1",IF(ESTIMATIVA[[#This Row],[QT_AREA_REAL]]=0,"Reestimativa 1","Realizado"))</f>
        <v>Reestimativa 1</v>
      </c>
      <c r="W930" s="1" t="str">
        <f>IF(ESTIMATIVA[[#This Row],[QT_AREA_REST2]]&gt;0,"Reestimativa 2",IF(ESTIMATIVA[[#This Row],[QT_AREA_REAL]]=0,"Reestimativa 2","Realizado"))</f>
        <v>Reestimativa 2</v>
      </c>
      <c r="X930" s="1">
        <f>ESTIMATIVA[[#This Row],[QT_AREA_EST]]</f>
        <v>0.92</v>
      </c>
      <c r="Y930" s="1">
        <f>IF(ESTIMATIVA[[#This Row],[QT_AREA_REST1]]&gt;0,ESTIMATIVA[[#This Row],[QT_AREA_REST1]],
  IF(ESTIMATIVA[[#This Row],[QT_AREA_REAL]]&gt;0,ESTIMATIVA[[#This Row],[QT_AREA_REAL]],ESTIMATIVA[[#This Row],[QT_AREA_EST]]))</f>
        <v>0.92</v>
      </c>
      <c r="Z93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0.92</v>
      </c>
      <c r="AA930" s="1">
        <f>ESTIMATIVA[[#This Row],[QT_CANA_EST]]</f>
        <v>73.599999999999994</v>
      </c>
      <c r="AB930" s="1">
        <f>IF(ESTIMATIVA[[#This Row],[QT_CANA_REST1]]&gt;0,ESTIMATIVA[[#This Row],[QT_CANA_REST1]],
  IF(ESTIMATIVA[[#This Row],[QT_CANA_REAL]]&gt;0,ESTIMATIVA[[#This Row],[QT_CANA_REAL]],ESTIMATIVA[[#This Row],[QT_CANA_EST]]))</f>
        <v>73.599999999999994</v>
      </c>
      <c r="AC93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73.599999999999994</v>
      </c>
      <c r="AD930" s="1">
        <f>IF(ESTIMATIVA[[#This Row],[QT_AREA_REAL]]&gt;0,ESTIMATIVA[[#This Row],[QT_CANA_REAL]],ESTIMATIVA[[#This Row],[QT_CANA_EST]])</f>
        <v>101.54</v>
      </c>
      <c r="AE930" s="1">
        <f>IF(ESTIMATIVA[[#This Row],[QT_AREA_REAL]]&gt;0,ESTIMATIVA[[#This Row],[QT_CANA_REAL]],ESTIMATIVA[[#This Row],[QT_CANA_REST1]])</f>
        <v>101.54</v>
      </c>
      <c r="AF930" s="1">
        <f>IF(ESTIMATIVA[[#This Row],[QT_AREA_REAL]]&gt;0,ESTIMATIVA[[#This Row],[QT_CANA_REAL]],ESTIMATIVA[[#This Row],[QT_CANA_REST2]])</f>
        <v>101.54</v>
      </c>
      <c r="AG930" s="1" t="str">
        <f>IF(COUNTIFS(GEADA!A:A,VALUE(ESTIMATIVA[[#This Row],[CD_UPNIVEL1]]&amp;TEXT(ESTIMATIVA[[#This Row],[CD_UPNIVEL3]],"0000")))&gt;0,"S","N")</f>
        <v>S</v>
      </c>
      <c r="AH930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930" s="55">
        <f>IF(ESTIMATIVA[[#This Row],[TP_CULTIVO]]="Irrigado",_xlfn.MAXIFS(IRRIGADO!J:J,IRRIGADO!C:C,ESTIMATIVA[[#This Row],[CD_UPNIVEL1]],IRRIGADO!E:E,ESTIMATIVA[[#This Row],[CD_UPNIVEL3]]),"")</f>
        <v>45565</v>
      </c>
      <c r="AJ930" s="1">
        <f>IF(ESTIMATIVA[[#This Row],[TP_CULTIVO]]&lt;&gt;"Irrigado",0,AVERAGEIFS(IRRIGADO!G:G,IRRIGADO!C:C,ESTIMATIVA[[#This Row],[CD_UPNIVEL1]],IRRIGADO!E:E,ESTIMATIVA[[#This Row],[CD_UPNIVEL3]])*ESTIMATIVA[[#This Row],[QT_AREA_REAL]])</f>
        <v>55.2</v>
      </c>
      <c r="AK930" s="1">
        <f>COUNTIFS(Apresentação!$E$23:$E$29,ESTIMATIVA[[#This Row],[CD_UPNIVEL1]])</f>
        <v>0</v>
      </c>
    </row>
    <row r="931" spans="1:37" x14ac:dyDescent="0.3">
      <c r="A931">
        <v>20450</v>
      </c>
      <c r="B931" t="s">
        <v>139</v>
      </c>
      <c r="C931">
        <v>3</v>
      </c>
      <c r="D931">
        <v>2</v>
      </c>
      <c r="E931" t="s">
        <v>266</v>
      </c>
      <c r="F931" s="85" t="s">
        <v>331</v>
      </c>
      <c r="G931"/>
      <c r="H931" t="s">
        <v>294</v>
      </c>
      <c r="I931" t="s">
        <v>207</v>
      </c>
      <c r="J931" t="s">
        <v>176</v>
      </c>
      <c r="K931" s="1">
        <v>4.6399999999999997</v>
      </c>
      <c r="L931" s="1">
        <v>4.6399999999999997</v>
      </c>
      <c r="M931" s="1">
        <v>4.6399999999999997</v>
      </c>
      <c r="N931" s="1">
        <v>4.6399999999999997</v>
      </c>
      <c r="O931" s="1">
        <v>371.2</v>
      </c>
      <c r="P931" s="1">
        <v>371.2</v>
      </c>
      <c r="Q931" s="1">
        <v>371.2</v>
      </c>
      <c r="R931" s="1">
        <v>509.26</v>
      </c>
      <c r="S931" t="s">
        <v>12</v>
      </c>
      <c r="T931" s="13">
        <v>45942</v>
      </c>
      <c r="U931" s="1" t="str">
        <f>IF(ESTIMATIVA[[#This Row],[QT_AREA_REAL]]&gt;0,"1- Colhido","2- à Colher")</f>
        <v>1- Colhido</v>
      </c>
      <c r="V931" s="1" t="str">
        <f>IF(ESTIMATIVA[[#This Row],[QT_AREA_REST1]]&gt;0,"Reestimativa 1",IF(ESTIMATIVA[[#This Row],[QT_AREA_REAL]]=0,"Reestimativa 1","Realizado"))</f>
        <v>Reestimativa 1</v>
      </c>
      <c r="W931" s="1" t="str">
        <f>IF(ESTIMATIVA[[#This Row],[QT_AREA_REST2]]&gt;0,"Reestimativa 2",IF(ESTIMATIVA[[#This Row],[QT_AREA_REAL]]=0,"Reestimativa 2","Realizado"))</f>
        <v>Reestimativa 2</v>
      </c>
      <c r="X931" s="1">
        <f>ESTIMATIVA[[#This Row],[QT_AREA_EST]]</f>
        <v>4.6399999999999997</v>
      </c>
      <c r="Y931" s="1">
        <f>IF(ESTIMATIVA[[#This Row],[QT_AREA_REST1]]&gt;0,ESTIMATIVA[[#This Row],[QT_AREA_REST1]],
  IF(ESTIMATIVA[[#This Row],[QT_AREA_REAL]]&gt;0,ESTIMATIVA[[#This Row],[QT_AREA_REAL]],ESTIMATIVA[[#This Row],[QT_AREA_EST]]))</f>
        <v>4.6399999999999997</v>
      </c>
      <c r="Z93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4.6399999999999997</v>
      </c>
      <c r="AA931" s="1">
        <f>ESTIMATIVA[[#This Row],[QT_CANA_EST]]</f>
        <v>371.2</v>
      </c>
      <c r="AB931" s="1">
        <f>IF(ESTIMATIVA[[#This Row],[QT_CANA_REST1]]&gt;0,ESTIMATIVA[[#This Row],[QT_CANA_REST1]],
  IF(ESTIMATIVA[[#This Row],[QT_CANA_REAL]]&gt;0,ESTIMATIVA[[#This Row],[QT_CANA_REAL]],ESTIMATIVA[[#This Row],[QT_CANA_EST]]))</f>
        <v>371.2</v>
      </c>
      <c r="AC93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371.2</v>
      </c>
      <c r="AD931" s="1">
        <f>IF(ESTIMATIVA[[#This Row],[QT_AREA_REAL]]&gt;0,ESTIMATIVA[[#This Row],[QT_CANA_REAL]],ESTIMATIVA[[#This Row],[QT_CANA_EST]])</f>
        <v>509.26</v>
      </c>
      <c r="AE931" s="1">
        <f>IF(ESTIMATIVA[[#This Row],[QT_AREA_REAL]]&gt;0,ESTIMATIVA[[#This Row],[QT_CANA_REAL]],ESTIMATIVA[[#This Row],[QT_CANA_REST1]])</f>
        <v>509.26</v>
      </c>
      <c r="AF931" s="1">
        <f>IF(ESTIMATIVA[[#This Row],[QT_AREA_REAL]]&gt;0,ESTIMATIVA[[#This Row],[QT_CANA_REAL]],ESTIMATIVA[[#This Row],[QT_CANA_REST2]])</f>
        <v>509.26</v>
      </c>
      <c r="AG931" s="1" t="str">
        <f>IF(COUNTIFS(GEADA!A:A,VALUE(ESTIMATIVA[[#This Row],[CD_UPNIVEL1]]&amp;TEXT(ESTIMATIVA[[#This Row],[CD_UPNIVEL3]],"0000")))&gt;0,"S","N")</f>
        <v>S</v>
      </c>
      <c r="AH931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931" s="55">
        <f>IF(ESTIMATIVA[[#This Row],[TP_CULTIVO]]="Irrigado",_xlfn.MAXIFS(IRRIGADO!J:J,IRRIGADO!C:C,ESTIMATIVA[[#This Row],[CD_UPNIVEL1]],IRRIGADO!E:E,ESTIMATIVA[[#This Row],[CD_UPNIVEL3]]),"")</f>
        <v>45565</v>
      </c>
      <c r="AJ931" s="1">
        <f>IF(ESTIMATIVA[[#This Row],[TP_CULTIVO]]&lt;&gt;"Irrigado",0,AVERAGEIFS(IRRIGADO!G:G,IRRIGADO!C:C,ESTIMATIVA[[#This Row],[CD_UPNIVEL1]],IRRIGADO!E:E,ESTIMATIVA[[#This Row],[CD_UPNIVEL3]])*ESTIMATIVA[[#This Row],[QT_AREA_REAL]])</f>
        <v>278.39999999999998</v>
      </c>
      <c r="AK931" s="1">
        <f>COUNTIFS(Apresentação!$E$23:$E$29,ESTIMATIVA[[#This Row],[CD_UPNIVEL1]])</f>
        <v>0</v>
      </c>
    </row>
    <row r="932" spans="1:37" x14ac:dyDescent="0.3">
      <c r="A932">
        <v>20450</v>
      </c>
      <c r="B932" t="s">
        <v>139</v>
      </c>
      <c r="C932">
        <v>4</v>
      </c>
      <c r="D932">
        <v>2</v>
      </c>
      <c r="E932" t="s">
        <v>266</v>
      </c>
      <c r="F932" s="85" t="s">
        <v>331</v>
      </c>
      <c r="G932"/>
      <c r="H932" t="s">
        <v>294</v>
      </c>
      <c r="I932" t="s">
        <v>207</v>
      </c>
      <c r="J932" t="s">
        <v>176</v>
      </c>
      <c r="K932" s="1">
        <v>7.87</v>
      </c>
      <c r="L932" s="1">
        <v>7.87</v>
      </c>
      <c r="M932" s="1">
        <v>7.87</v>
      </c>
      <c r="N932" s="1">
        <v>7.87</v>
      </c>
      <c r="O932" s="1">
        <v>629.6</v>
      </c>
      <c r="P932" s="1">
        <v>629.6</v>
      </c>
      <c r="Q932" s="1">
        <v>629.6</v>
      </c>
      <c r="R932" s="1">
        <v>864.81</v>
      </c>
      <c r="S932" t="s">
        <v>12</v>
      </c>
      <c r="T932" s="13">
        <v>45942</v>
      </c>
      <c r="U932" s="1" t="str">
        <f>IF(ESTIMATIVA[[#This Row],[QT_AREA_REAL]]&gt;0,"1- Colhido","2- à Colher")</f>
        <v>1- Colhido</v>
      </c>
      <c r="V932" s="1" t="str">
        <f>IF(ESTIMATIVA[[#This Row],[QT_AREA_REST1]]&gt;0,"Reestimativa 1",IF(ESTIMATIVA[[#This Row],[QT_AREA_REAL]]=0,"Reestimativa 1","Realizado"))</f>
        <v>Reestimativa 1</v>
      </c>
      <c r="W932" s="1" t="str">
        <f>IF(ESTIMATIVA[[#This Row],[QT_AREA_REST2]]&gt;0,"Reestimativa 2",IF(ESTIMATIVA[[#This Row],[QT_AREA_REAL]]=0,"Reestimativa 2","Realizado"))</f>
        <v>Reestimativa 2</v>
      </c>
      <c r="X932" s="1">
        <f>ESTIMATIVA[[#This Row],[QT_AREA_EST]]</f>
        <v>7.87</v>
      </c>
      <c r="Y932" s="1">
        <f>IF(ESTIMATIVA[[#This Row],[QT_AREA_REST1]]&gt;0,ESTIMATIVA[[#This Row],[QT_AREA_REST1]],
  IF(ESTIMATIVA[[#This Row],[QT_AREA_REAL]]&gt;0,ESTIMATIVA[[#This Row],[QT_AREA_REAL]],ESTIMATIVA[[#This Row],[QT_AREA_EST]]))</f>
        <v>7.87</v>
      </c>
      <c r="Z93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7.87</v>
      </c>
      <c r="AA932" s="1">
        <f>ESTIMATIVA[[#This Row],[QT_CANA_EST]]</f>
        <v>629.6</v>
      </c>
      <c r="AB932" s="1">
        <f>IF(ESTIMATIVA[[#This Row],[QT_CANA_REST1]]&gt;0,ESTIMATIVA[[#This Row],[QT_CANA_REST1]],
  IF(ESTIMATIVA[[#This Row],[QT_CANA_REAL]]&gt;0,ESTIMATIVA[[#This Row],[QT_CANA_REAL]],ESTIMATIVA[[#This Row],[QT_CANA_EST]]))</f>
        <v>629.6</v>
      </c>
      <c r="AC93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629.6</v>
      </c>
      <c r="AD932" s="1">
        <f>IF(ESTIMATIVA[[#This Row],[QT_AREA_REAL]]&gt;0,ESTIMATIVA[[#This Row],[QT_CANA_REAL]],ESTIMATIVA[[#This Row],[QT_CANA_EST]])</f>
        <v>864.81</v>
      </c>
      <c r="AE932" s="1">
        <f>IF(ESTIMATIVA[[#This Row],[QT_AREA_REAL]]&gt;0,ESTIMATIVA[[#This Row],[QT_CANA_REAL]],ESTIMATIVA[[#This Row],[QT_CANA_REST1]])</f>
        <v>864.81</v>
      </c>
      <c r="AF932" s="1">
        <f>IF(ESTIMATIVA[[#This Row],[QT_AREA_REAL]]&gt;0,ESTIMATIVA[[#This Row],[QT_CANA_REAL]],ESTIMATIVA[[#This Row],[QT_CANA_REST2]])</f>
        <v>864.81</v>
      </c>
      <c r="AG932" s="1" t="str">
        <f>IF(COUNTIFS(GEADA!A:A,VALUE(ESTIMATIVA[[#This Row],[CD_UPNIVEL1]]&amp;TEXT(ESTIMATIVA[[#This Row],[CD_UPNIVEL3]],"0000")))&gt;0,"S","N")</f>
        <v>S</v>
      </c>
      <c r="AH932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932" s="55">
        <f>IF(ESTIMATIVA[[#This Row],[TP_CULTIVO]]="Irrigado",_xlfn.MAXIFS(IRRIGADO!J:J,IRRIGADO!C:C,ESTIMATIVA[[#This Row],[CD_UPNIVEL1]],IRRIGADO!E:E,ESTIMATIVA[[#This Row],[CD_UPNIVEL3]]),"")</f>
        <v>45565</v>
      </c>
      <c r="AJ932" s="1">
        <f>IF(ESTIMATIVA[[#This Row],[TP_CULTIVO]]&lt;&gt;"Irrigado",0,AVERAGEIFS(IRRIGADO!G:G,IRRIGADO!C:C,ESTIMATIVA[[#This Row],[CD_UPNIVEL1]],IRRIGADO!E:E,ESTIMATIVA[[#This Row],[CD_UPNIVEL3]])*ESTIMATIVA[[#This Row],[QT_AREA_REAL]])</f>
        <v>472.2</v>
      </c>
      <c r="AK932" s="1">
        <f>COUNTIFS(Apresentação!$E$23:$E$29,ESTIMATIVA[[#This Row],[CD_UPNIVEL1]])</f>
        <v>0</v>
      </c>
    </row>
    <row r="933" spans="1:37" x14ac:dyDescent="0.3">
      <c r="A933">
        <v>20450</v>
      </c>
      <c r="B933" t="s">
        <v>139</v>
      </c>
      <c r="C933">
        <v>5</v>
      </c>
      <c r="D933">
        <v>2</v>
      </c>
      <c r="E933" t="s">
        <v>266</v>
      </c>
      <c r="F933" s="85" t="s">
        <v>331</v>
      </c>
      <c r="G933"/>
      <c r="H933" t="s">
        <v>294</v>
      </c>
      <c r="I933" t="s">
        <v>207</v>
      </c>
      <c r="J933" t="s">
        <v>176</v>
      </c>
      <c r="K933" s="1">
        <v>13.88</v>
      </c>
      <c r="L933" s="1">
        <v>13.88</v>
      </c>
      <c r="M933" s="1">
        <v>13.88</v>
      </c>
      <c r="N933" s="1">
        <v>13.88</v>
      </c>
      <c r="O933" s="1">
        <v>1110.4000000000001</v>
      </c>
      <c r="P933" s="1">
        <v>1068.76</v>
      </c>
      <c r="Q933" s="1">
        <v>985.48</v>
      </c>
      <c r="R933" s="1">
        <v>1352.34</v>
      </c>
      <c r="S933" t="s">
        <v>12</v>
      </c>
      <c r="T933" s="13">
        <v>45942</v>
      </c>
      <c r="U933" s="1" t="str">
        <f>IF(ESTIMATIVA[[#This Row],[QT_AREA_REAL]]&gt;0,"1- Colhido","2- à Colher")</f>
        <v>1- Colhido</v>
      </c>
      <c r="V933" s="1" t="str">
        <f>IF(ESTIMATIVA[[#This Row],[QT_AREA_REST1]]&gt;0,"Reestimativa 1",IF(ESTIMATIVA[[#This Row],[QT_AREA_REAL]]=0,"Reestimativa 1","Realizado"))</f>
        <v>Reestimativa 1</v>
      </c>
      <c r="W933" s="1" t="str">
        <f>IF(ESTIMATIVA[[#This Row],[QT_AREA_REST2]]&gt;0,"Reestimativa 2",IF(ESTIMATIVA[[#This Row],[QT_AREA_REAL]]=0,"Reestimativa 2","Realizado"))</f>
        <v>Reestimativa 2</v>
      </c>
      <c r="X933" s="1">
        <f>ESTIMATIVA[[#This Row],[QT_AREA_EST]]</f>
        <v>13.88</v>
      </c>
      <c r="Y933" s="1">
        <f>IF(ESTIMATIVA[[#This Row],[QT_AREA_REST1]]&gt;0,ESTIMATIVA[[#This Row],[QT_AREA_REST1]],
  IF(ESTIMATIVA[[#This Row],[QT_AREA_REAL]]&gt;0,ESTIMATIVA[[#This Row],[QT_AREA_REAL]],ESTIMATIVA[[#This Row],[QT_AREA_EST]]))</f>
        <v>13.88</v>
      </c>
      <c r="Z93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13.88</v>
      </c>
      <c r="AA933" s="1">
        <f>ESTIMATIVA[[#This Row],[QT_CANA_EST]]</f>
        <v>1110.4000000000001</v>
      </c>
      <c r="AB933" s="1">
        <f>IF(ESTIMATIVA[[#This Row],[QT_CANA_REST1]]&gt;0,ESTIMATIVA[[#This Row],[QT_CANA_REST1]],
  IF(ESTIMATIVA[[#This Row],[QT_CANA_REAL]]&gt;0,ESTIMATIVA[[#This Row],[QT_CANA_REAL]],ESTIMATIVA[[#This Row],[QT_CANA_EST]]))</f>
        <v>1068.76</v>
      </c>
      <c r="AC93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985.48</v>
      </c>
      <c r="AD933" s="1">
        <f>IF(ESTIMATIVA[[#This Row],[QT_AREA_REAL]]&gt;0,ESTIMATIVA[[#This Row],[QT_CANA_REAL]],ESTIMATIVA[[#This Row],[QT_CANA_EST]])</f>
        <v>1352.34</v>
      </c>
      <c r="AE933" s="1">
        <f>IF(ESTIMATIVA[[#This Row],[QT_AREA_REAL]]&gt;0,ESTIMATIVA[[#This Row],[QT_CANA_REAL]],ESTIMATIVA[[#This Row],[QT_CANA_REST1]])</f>
        <v>1352.34</v>
      </c>
      <c r="AF933" s="1">
        <f>IF(ESTIMATIVA[[#This Row],[QT_AREA_REAL]]&gt;0,ESTIMATIVA[[#This Row],[QT_CANA_REAL]],ESTIMATIVA[[#This Row],[QT_CANA_REST2]])</f>
        <v>1352.34</v>
      </c>
      <c r="AG933" s="1" t="str">
        <f>IF(COUNTIFS(GEADA!A:A,VALUE(ESTIMATIVA[[#This Row],[CD_UPNIVEL1]]&amp;TEXT(ESTIMATIVA[[#This Row],[CD_UPNIVEL3]],"0000")))&gt;0,"S","N")</f>
        <v>S</v>
      </c>
      <c r="AH933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933" s="55">
        <f>IF(ESTIMATIVA[[#This Row],[TP_CULTIVO]]="Irrigado",_xlfn.MAXIFS(IRRIGADO!J:J,IRRIGADO!C:C,ESTIMATIVA[[#This Row],[CD_UPNIVEL1]],IRRIGADO!E:E,ESTIMATIVA[[#This Row],[CD_UPNIVEL3]]),"")</f>
        <v>45565</v>
      </c>
      <c r="AJ933" s="1">
        <f>IF(ESTIMATIVA[[#This Row],[TP_CULTIVO]]&lt;&gt;"Irrigado",0,AVERAGEIFS(IRRIGADO!G:G,IRRIGADO!C:C,ESTIMATIVA[[#This Row],[CD_UPNIVEL1]],IRRIGADO!E:E,ESTIMATIVA[[#This Row],[CD_UPNIVEL3]])*ESTIMATIVA[[#This Row],[QT_AREA_REAL]])</f>
        <v>832.80000000000007</v>
      </c>
      <c r="AK933" s="1">
        <f>COUNTIFS(Apresentação!$E$23:$E$29,ESTIMATIVA[[#This Row],[CD_UPNIVEL1]])</f>
        <v>0</v>
      </c>
    </row>
    <row r="934" spans="1:37" x14ac:dyDescent="0.3">
      <c r="A934">
        <v>20450</v>
      </c>
      <c r="B934" t="s">
        <v>139</v>
      </c>
      <c r="C934">
        <v>6</v>
      </c>
      <c r="D934">
        <v>2</v>
      </c>
      <c r="E934" t="s">
        <v>266</v>
      </c>
      <c r="F934" s="85" t="s">
        <v>331</v>
      </c>
      <c r="G934"/>
      <c r="H934" t="s">
        <v>294</v>
      </c>
      <c r="I934" t="s">
        <v>207</v>
      </c>
      <c r="J934" t="s">
        <v>176</v>
      </c>
      <c r="K934" s="1">
        <v>31.62</v>
      </c>
      <c r="L934" s="1">
        <v>31.62</v>
      </c>
      <c r="M934" s="1">
        <v>31.62</v>
      </c>
      <c r="N934" s="1">
        <v>31.62</v>
      </c>
      <c r="O934" s="1">
        <v>2529.6</v>
      </c>
      <c r="P934" s="1">
        <v>2561.2199999999998</v>
      </c>
      <c r="Q934" s="1">
        <v>2529.6</v>
      </c>
      <c r="R934" s="1">
        <v>2498.85</v>
      </c>
      <c r="S934" t="s">
        <v>12</v>
      </c>
      <c r="T934" s="13">
        <v>45942</v>
      </c>
      <c r="U934" s="1" t="str">
        <f>IF(ESTIMATIVA[[#This Row],[QT_AREA_REAL]]&gt;0,"1- Colhido","2- à Colher")</f>
        <v>1- Colhido</v>
      </c>
      <c r="V934" s="1" t="str">
        <f>IF(ESTIMATIVA[[#This Row],[QT_AREA_REST1]]&gt;0,"Reestimativa 1",IF(ESTIMATIVA[[#This Row],[QT_AREA_REAL]]=0,"Reestimativa 1","Realizado"))</f>
        <v>Reestimativa 1</v>
      </c>
      <c r="W934" s="1" t="str">
        <f>IF(ESTIMATIVA[[#This Row],[QT_AREA_REST2]]&gt;0,"Reestimativa 2",IF(ESTIMATIVA[[#This Row],[QT_AREA_REAL]]=0,"Reestimativa 2","Realizado"))</f>
        <v>Reestimativa 2</v>
      </c>
      <c r="X934" s="1">
        <f>ESTIMATIVA[[#This Row],[QT_AREA_EST]]</f>
        <v>31.62</v>
      </c>
      <c r="Y934" s="1">
        <f>IF(ESTIMATIVA[[#This Row],[QT_AREA_REST1]]&gt;0,ESTIMATIVA[[#This Row],[QT_AREA_REST1]],
  IF(ESTIMATIVA[[#This Row],[QT_AREA_REAL]]&gt;0,ESTIMATIVA[[#This Row],[QT_AREA_REAL]],ESTIMATIVA[[#This Row],[QT_AREA_EST]]))</f>
        <v>31.62</v>
      </c>
      <c r="Z93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31.62</v>
      </c>
      <c r="AA934" s="1">
        <f>ESTIMATIVA[[#This Row],[QT_CANA_EST]]</f>
        <v>2529.6</v>
      </c>
      <c r="AB934" s="1">
        <f>IF(ESTIMATIVA[[#This Row],[QT_CANA_REST1]]&gt;0,ESTIMATIVA[[#This Row],[QT_CANA_REST1]],
  IF(ESTIMATIVA[[#This Row],[QT_CANA_REAL]]&gt;0,ESTIMATIVA[[#This Row],[QT_CANA_REAL]],ESTIMATIVA[[#This Row],[QT_CANA_EST]]))</f>
        <v>2561.2199999999998</v>
      </c>
      <c r="AC93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2529.6</v>
      </c>
      <c r="AD934" s="1">
        <f>IF(ESTIMATIVA[[#This Row],[QT_AREA_REAL]]&gt;0,ESTIMATIVA[[#This Row],[QT_CANA_REAL]],ESTIMATIVA[[#This Row],[QT_CANA_EST]])</f>
        <v>2498.85</v>
      </c>
      <c r="AE934" s="1">
        <f>IF(ESTIMATIVA[[#This Row],[QT_AREA_REAL]]&gt;0,ESTIMATIVA[[#This Row],[QT_CANA_REAL]],ESTIMATIVA[[#This Row],[QT_CANA_REST1]])</f>
        <v>2498.85</v>
      </c>
      <c r="AF934" s="1">
        <f>IF(ESTIMATIVA[[#This Row],[QT_AREA_REAL]]&gt;0,ESTIMATIVA[[#This Row],[QT_CANA_REAL]],ESTIMATIVA[[#This Row],[QT_CANA_REST2]])</f>
        <v>2498.85</v>
      </c>
      <c r="AG934" s="1" t="str">
        <f>IF(COUNTIFS(GEADA!A:A,VALUE(ESTIMATIVA[[#This Row],[CD_UPNIVEL1]]&amp;TEXT(ESTIMATIVA[[#This Row],[CD_UPNIVEL3]],"0000")))&gt;0,"S","N")</f>
        <v>S</v>
      </c>
      <c r="AH934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934" s="55">
        <f>IF(ESTIMATIVA[[#This Row],[TP_CULTIVO]]="Irrigado",_xlfn.MAXIFS(IRRIGADO!J:J,IRRIGADO!C:C,ESTIMATIVA[[#This Row],[CD_UPNIVEL1]],IRRIGADO!E:E,ESTIMATIVA[[#This Row],[CD_UPNIVEL3]]),"")</f>
        <v>45565</v>
      </c>
      <c r="AJ934" s="1">
        <f>IF(ESTIMATIVA[[#This Row],[TP_CULTIVO]]&lt;&gt;"Irrigado",0,AVERAGEIFS(IRRIGADO!G:G,IRRIGADO!C:C,ESTIMATIVA[[#This Row],[CD_UPNIVEL1]],IRRIGADO!E:E,ESTIMATIVA[[#This Row],[CD_UPNIVEL3]])*ESTIMATIVA[[#This Row],[QT_AREA_REAL]])</f>
        <v>1897.2</v>
      </c>
      <c r="AK934" s="1">
        <f>COUNTIFS(Apresentação!$E$23:$E$29,ESTIMATIVA[[#This Row],[CD_UPNIVEL1]])</f>
        <v>0</v>
      </c>
    </row>
    <row r="935" spans="1:37" x14ac:dyDescent="0.3">
      <c r="A935">
        <v>20453</v>
      </c>
      <c r="B935" t="s">
        <v>140</v>
      </c>
      <c r="C935">
        <v>23</v>
      </c>
      <c r="D935">
        <v>2</v>
      </c>
      <c r="E935" t="s">
        <v>266</v>
      </c>
      <c r="F935" s="85" t="s">
        <v>331</v>
      </c>
      <c r="G935"/>
      <c r="H935" t="s">
        <v>294</v>
      </c>
      <c r="I935" t="s">
        <v>195</v>
      </c>
      <c r="J935" t="s">
        <v>176</v>
      </c>
      <c r="K935" s="1">
        <v>8.7100000000000009</v>
      </c>
      <c r="L935" s="1">
        <v>8.7100000000000009</v>
      </c>
      <c r="M935" s="1">
        <v>8.7100000000000009</v>
      </c>
      <c r="N935" s="1">
        <v>8.7100000000000009</v>
      </c>
      <c r="O935" s="1">
        <v>853.58</v>
      </c>
      <c r="P935" s="1">
        <v>853.58</v>
      </c>
      <c r="Q935" s="1">
        <v>627.12</v>
      </c>
      <c r="R935" s="1">
        <v>463.89</v>
      </c>
      <c r="S935" t="s">
        <v>12</v>
      </c>
      <c r="T935" s="13">
        <v>45991</v>
      </c>
      <c r="U935" s="1" t="str">
        <f>IF(ESTIMATIVA[[#This Row],[QT_AREA_REAL]]&gt;0,"1- Colhido","2- à Colher")</f>
        <v>1- Colhido</v>
      </c>
      <c r="V935" s="1" t="str">
        <f>IF(ESTIMATIVA[[#This Row],[QT_AREA_REST1]]&gt;0,"Reestimativa 1",IF(ESTIMATIVA[[#This Row],[QT_AREA_REAL]]=0,"Reestimativa 1","Realizado"))</f>
        <v>Reestimativa 1</v>
      </c>
      <c r="W935" s="1" t="str">
        <f>IF(ESTIMATIVA[[#This Row],[QT_AREA_REST2]]&gt;0,"Reestimativa 2",IF(ESTIMATIVA[[#This Row],[QT_AREA_REAL]]=0,"Reestimativa 2","Realizado"))</f>
        <v>Reestimativa 2</v>
      </c>
      <c r="X935" s="1">
        <f>ESTIMATIVA[[#This Row],[QT_AREA_EST]]</f>
        <v>8.7100000000000009</v>
      </c>
      <c r="Y935" s="1">
        <f>IF(ESTIMATIVA[[#This Row],[QT_AREA_REST1]]&gt;0,ESTIMATIVA[[#This Row],[QT_AREA_REST1]],
  IF(ESTIMATIVA[[#This Row],[QT_AREA_REAL]]&gt;0,ESTIMATIVA[[#This Row],[QT_AREA_REAL]],ESTIMATIVA[[#This Row],[QT_AREA_EST]]))</f>
        <v>8.7100000000000009</v>
      </c>
      <c r="Z93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8.7100000000000009</v>
      </c>
      <c r="AA935" s="1">
        <f>ESTIMATIVA[[#This Row],[QT_CANA_EST]]</f>
        <v>853.58</v>
      </c>
      <c r="AB935" s="1">
        <f>IF(ESTIMATIVA[[#This Row],[QT_CANA_REST1]]&gt;0,ESTIMATIVA[[#This Row],[QT_CANA_REST1]],
  IF(ESTIMATIVA[[#This Row],[QT_CANA_REAL]]&gt;0,ESTIMATIVA[[#This Row],[QT_CANA_REAL]],ESTIMATIVA[[#This Row],[QT_CANA_EST]]))</f>
        <v>853.58</v>
      </c>
      <c r="AC93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627.12</v>
      </c>
      <c r="AD935" s="1">
        <f>IF(ESTIMATIVA[[#This Row],[QT_AREA_REAL]]&gt;0,ESTIMATIVA[[#This Row],[QT_CANA_REAL]],ESTIMATIVA[[#This Row],[QT_CANA_EST]])</f>
        <v>463.89</v>
      </c>
      <c r="AE935" s="1">
        <f>IF(ESTIMATIVA[[#This Row],[QT_AREA_REAL]]&gt;0,ESTIMATIVA[[#This Row],[QT_CANA_REAL]],ESTIMATIVA[[#This Row],[QT_CANA_REST1]])</f>
        <v>463.89</v>
      </c>
      <c r="AF935" s="1">
        <f>IF(ESTIMATIVA[[#This Row],[QT_AREA_REAL]]&gt;0,ESTIMATIVA[[#This Row],[QT_CANA_REAL]],ESTIMATIVA[[#This Row],[QT_CANA_REST2]])</f>
        <v>463.89</v>
      </c>
      <c r="AG935" s="1" t="str">
        <f>IF(COUNTIFS(GEADA!A:A,VALUE(ESTIMATIVA[[#This Row],[CD_UPNIVEL1]]&amp;TEXT(ESTIMATIVA[[#This Row],[CD_UPNIVEL3]],"0000")))&gt;0,"S","N")</f>
        <v>N</v>
      </c>
      <c r="AH93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35" s="55" t="str">
        <f>IF(ESTIMATIVA[[#This Row],[TP_CULTIVO]]="Irrigado",_xlfn.MAXIFS(IRRIGADO!J:J,IRRIGADO!C:C,ESTIMATIVA[[#This Row],[CD_UPNIVEL1]],IRRIGADO!E:E,ESTIMATIVA[[#This Row],[CD_UPNIVEL3]]),"")</f>
        <v/>
      </c>
      <c r="AJ93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35" s="1">
        <f>COUNTIFS(Apresentação!$E$23:$E$29,ESTIMATIVA[[#This Row],[CD_UPNIVEL1]])</f>
        <v>0</v>
      </c>
    </row>
    <row r="936" spans="1:37" x14ac:dyDescent="0.3">
      <c r="A936">
        <v>20453</v>
      </c>
      <c r="B936" t="s">
        <v>140</v>
      </c>
      <c r="C936">
        <v>24</v>
      </c>
      <c r="D936">
        <v>2</v>
      </c>
      <c r="E936" t="s">
        <v>266</v>
      </c>
      <c r="F936" s="85" t="s">
        <v>331</v>
      </c>
      <c r="G936"/>
      <c r="H936" t="s">
        <v>294</v>
      </c>
      <c r="I936" t="s">
        <v>195</v>
      </c>
      <c r="J936" t="s">
        <v>176</v>
      </c>
      <c r="K936" s="1">
        <v>4.59</v>
      </c>
      <c r="L936" s="1">
        <v>4.59</v>
      </c>
      <c r="M936" s="1">
        <v>4.59</v>
      </c>
      <c r="N936" s="1">
        <v>4.59</v>
      </c>
      <c r="O936" s="1">
        <v>449.82</v>
      </c>
      <c r="P936" s="1">
        <v>449.82</v>
      </c>
      <c r="Q936" s="1">
        <v>330.48</v>
      </c>
      <c r="R936" s="1">
        <v>244.14</v>
      </c>
      <c r="S936" t="s">
        <v>12</v>
      </c>
      <c r="T936" s="13">
        <v>45991</v>
      </c>
      <c r="U936" s="1" t="str">
        <f>IF(ESTIMATIVA[[#This Row],[QT_AREA_REAL]]&gt;0,"1- Colhido","2- à Colher")</f>
        <v>1- Colhido</v>
      </c>
      <c r="V936" s="1" t="str">
        <f>IF(ESTIMATIVA[[#This Row],[QT_AREA_REST1]]&gt;0,"Reestimativa 1",IF(ESTIMATIVA[[#This Row],[QT_AREA_REAL]]=0,"Reestimativa 1","Realizado"))</f>
        <v>Reestimativa 1</v>
      </c>
      <c r="W936" s="1" t="str">
        <f>IF(ESTIMATIVA[[#This Row],[QT_AREA_REST2]]&gt;0,"Reestimativa 2",IF(ESTIMATIVA[[#This Row],[QT_AREA_REAL]]=0,"Reestimativa 2","Realizado"))</f>
        <v>Reestimativa 2</v>
      </c>
      <c r="X936" s="1">
        <f>ESTIMATIVA[[#This Row],[QT_AREA_EST]]</f>
        <v>4.59</v>
      </c>
      <c r="Y936" s="1">
        <f>IF(ESTIMATIVA[[#This Row],[QT_AREA_REST1]]&gt;0,ESTIMATIVA[[#This Row],[QT_AREA_REST1]],
  IF(ESTIMATIVA[[#This Row],[QT_AREA_REAL]]&gt;0,ESTIMATIVA[[#This Row],[QT_AREA_REAL]],ESTIMATIVA[[#This Row],[QT_AREA_EST]]))</f>
        <v>4.59</v>
      </c>
      <c r="Z93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4.59</v>
      </c>
      <c r="AA936" s="1">
        <f>ESTIMATIVA[[#This Row],[QT_CANA_EST]]</f>
        <v>449.82</v>
      </c>
      <c r="AB936" s="1">
        <f>IF(ESTIMATIVA[[#This Row],[QT_CANA_REST1]]&gt;0,ESTIMATIVA[[#This Row],[QT_CANA_REST1]],
  IF(ESTIMATIVA[[#This Row],[QT_CANA_REAL]]&gt;0,ESTIMATIVA[[#This Row],[QT_CANA_REAL]],ESTIMATIVA[[#This Row],[QT_CANA_EST]]))</f>
        <v>449.82</v>
      </c>
      <c r="AC93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330.48</v>
      </c>
      <c r="AD936" s="1">
        <f>IF(ESTIMATIVA[[#This Row],[QT_AREA_REAL]]&gt;0,ESTIMATIVA[[#This Row],[QT_CANA_REAL]],ESTIMATIVA[[#This Row],[QT_CANA_EST]])</f>
        <v>244.14</v>
      </c>
      <c r="AE936" s="1">
        <f>IF(ESTIMATIVA[[#This Row],[QT_AREA_REAL]]&gt;0,ESTIMATIVA[[#This Row],[QT_CANA_REAL]],ESTIMATIVA[[#This Row],[QT_CANA_REST1]])</f>
        <v>244.14</v>
      </c>
      <c r="AF936" s="1">
        <f>IF(ESTIMATIVA[[#This Row],[QT_AREA_REAL]]&gt;0,ESTIMATIVA[[#This Row],[QT_CANA_REAL]],ESTIMATIVA[[#This Row],[QT_CANA_REST2]])</f>
        <v>244.14</v>
      </c>
      <c r="AG936" s="1" t="str">
        <f>IF(COUNTIFS(GEADA!A:A,VALUE(ESTIMATIVA[[#This Row],[CD_UPNIVEL1]]&amp;TEXT(ESTIMATIVA[[#This Row],[CD_UPNIVEL3]],"0000")))&gt;0,"S","N")</f>
        <v>N</v>
      </c>
      <c r="AH93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36" s="55" t="str">
        <f>IF(ESTIMATIVA[[#This Row],[TP_CULTIVO]]="Irrigado",_xlfn.MAXIFS(IRRIGADO!J:J,IRRIGADO!C:C,ESTIMATIVA[[#This Row],[CD_UPNIVEL1]],IRRIGADO!E:E,ESTIMATIVA[[#This Row],[CD_UPNIVEL3]]),"")</f>
        <v/>
      </c>
      <c r="AJ93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36" s="1">
        <f>COUNTIFS(Apresentação!$E$23:$E$29,ESTIMATIVA[[#This Row],[CD_UPNIVEL1]])</f>
        <v>0</v>
      </c>
    </row>
    <row r="937" spans="1:37" x14ac:dyDescent="0.3">
      <c r="A937">
        <v>20453</v>
      </c>
      <c r="B937" t="s">
        <v>140</v>
      </c>
      <c r="C937">
        <v>25</v>
      </c>
      <c r="D937">
        <v>2</v>
      </c>
      <c r="E937" t="s">
        <v>266</v>
      </c>
      <c r="F937" s="85" t="s">
        <v>331</v>
      </c>
      <c r="G937"/>
      <c r="H937" t="s">
        <v>294</v>
      </c>
      <c r="I937" t="s">
        <v>195</v>
      </c>
      <c r="J937" t="s">
        <v>176</v>
      </c>
      <c r="K937" s="1">
        <v>8.34</v>
      </c>
      <c r="L937" s="1">
        <v>8.34</v>
      </c>
      <c r="M937" s="1">
        <v>8.34</v>
      </c>
      <c r="N937" s="1">
        <v>8.34</v>
      </c>
      <c r="O937" s="1">
        <v>750.6</v>
      </c>
      <c r="P937" s="1">
        <v>750.6</v>
      </c>
      <c r="Q937" s="1">
        <v>600.48</v>
      </c>
      <c r="R937" s="1">
        <v>443.98</v>
      </c>
      <c r="S937" t="s">
        <v>12</v>
      </c>
      <c r="T937" s="13">
        <v>45991</v>
      </c>
      <c r="U937" s="1" t="str">
        <f>IF(ESTIMATIVA[[#This Row],[QT_AREA_REAL]]&gt;0,"1- Colhido","2- à Colher")</f>
        <v>1- Colhido</v>
      </c>
      <c r="V937" s="1" t="str">
        <f>IF(ESTIMATIVA[[#This Row],[QT_AREA_REST1]]&gt;0,"Reestimativa 1",IF(ESTIMATIVA[[#This Row],[QT_AREA_REAL]]=0,"Reestimativa 1","Realizado"))</f>
        <v>Reestimativa 1</v>
      </c>
      <c r="W937" s="1" t="str">
        <f>IF(ESTIMATIVA[[#This Row],[QT_AREA_REST2]]&gt;0,"Reestimativa 2",IF(ESTIMATIVA[[#This Row],[QT_AREA_REAL]]=0,"Reestimativa 2","Realizado"))</f>
        <v>Reestimativa 2</v>
      </c>
      <c r="X937" s="1">
        <f>ESTIMATIVA[[#This Row],[QT_AREA_EST]]</f>
        <v>8.34</v>
      </c>
      <c r="Y937" s="1">
        <f>IF(ESTIMATIVA[[#This Row],[QT_AREA_REST1]]&gt;0,ESTIMATIVA[[#This Row],[QT_AREA_REST1]],
  IF(ESTIMATIVA[[#This Row],[QT_AREA_REAL]]&gt;0,ESTIMATIVA[[#This Row],[QT_AREA_REAL]],ESTIMATIVA[[#This Row],[QT_AREA_EST]]))</f>
        <v>8.34</v>
      </c>
      <c r="Z93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8.34</v>
      </c>
      <c r="AA937" s="1">
        <f>ESTIMATIVA[[#This Row],[QT_CANA_EST]]</f>
        <v>750.6</v>
      </c>
      <c r="AB937" s="1">
        <f>IF(ESTIMATIVA[[#This Row],[QT_CANA_REST1]]&gt;0,ESTIMATIVA[[#This Row],[QT_CANA_REST1]],
  IF(ESTIMATIVA[[#This Row],[QT_CANA_REAL]]&gt;0,ESTIMATIVA[[#This Row],[QT_CANA_REAL]],ESTIMATIVA[[#This Row],[QT_CANA_EST]]))</f>
        <v>750.6</v>
      </c>
      <c r="AC93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600.48</v>
      </c>
      <c r="AD937" s="1">
        <f>IF(ESTIMATIVA[[#This Row],[QT_AREA_REAL]]&gt;0,ESTIMATIVA[[#This Row],[QT_CANA_REAL]],ESTIMATIVA[[#This Row],[QT_CANA_EST]])</f>
        <v>443.98</v>
      </c>
      <c r="AE937" s="1">
        <f>IF(ESTIMATIVA[[#This Row],[QT_AREA_REAL]]&gt;0,ESTIMATIVA[[#This Row],[QT_CANA_REAL]],ESTIMATIVA[[#This Row],[QT_CANA_REST1]])</f>
        <v>443.98</v>
      </c>
      <c r="AF937" s="1">
        <f>IF(ESTIMATIVA[[#This Row],[QT_AREA_REAL]]&gt;0,ESTIMATIVA[[#This Row],[QT_CANA_REAL]],ESTIMATIVA[[#This Row],[QT_CANA_REST2]])</f>
        <v>443.98</v>
      </c>
      <c r="AG937" s="1" t="str">
        <f>IF(COUNTIFS(GEADA!A:A,VALUE(ESTIMATIVA[[#This Row],[CD_UPNIVEL1]]&amp;TEXT(ESTIMATIVA[[#This Row],[CD_UPNIVEL3]],"0000")))&gt;0,"S","N")</f>
        <v>N</v>
      </c>
      <c r="AH93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37" s="55" t="str">
        <f>IF(ESTIMATIVA[[#This Row],[TP_CULTIVO]]="Irrigado",_xlfn.MAXIFS(IRRIGADO!J:J,IRRIGADO!C:C,ESTIMATIVA[[#This Row],[CD_UPNIVEL1]],IRRIGADO!E:E,ESTIMATIVA[[#This Row],[CD_UPNIVEL3]]),"")</f>
        <v/>
      </c>
      <c r="AJ93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37" s="1">
        <f>COUNTIFS(Apresentação!$E$23:$E$29,ESTIMATIVA[[#This Row],[CD_UPNIVEL1]])</f>
        <v>0</v>
      </c>
    </row>
    <row r="938" spans="1:37" x14ac:dyDescent="0.3">
      <c r="A938">
        <v>20457</v>
      </c>
      <c r="B938" t="s">
        <v>62</v>
      </c>
      <c r="C938">
        <v>1</v>
      </c>
      <c r="D938">
        <v>1</v>
      </c>
      <c r="E938" t="s">
        <v>267</v>
      </c>
      <c r="F938" s="85" t="s">
        <v>331</v>
      </c>
      <c r="G938"/>
      <c r="H938" t="s">
        <v>294</v>
      </c>
      <c r="I938" t="s">
        <v>195</v>
      </c>
      <c r="J938" t="s">
        <v>176</v>
      </c>
      <c r="K938" s="1">
        <v>43.18</v>
      </c>
      <c r="L938" s="1">
        <v>43.18</v>
      </c>
      <c r="M938" s="1">
        <v>43.18</v>
      </c>
      <c r="N938" s="1">
        <v>43.18</v>
      </c>
      <c r="O938" s="1">
        <v>4836.16</v>
      </c>
      <c r="P938" s="1">
        <v>4836.16</v>
      </c>
      <c r="Q938" s="1">
        <v>4836.16</v>
      </c>
      <c r="R938" s="1">
        <v>3208.33</v>
      </c>
      <c r="S938" t="s">
        <v>12</v>
      </c>
      <c r="T938" s="13">
        <v>45942</v>
      </c>
      <c r="U938" s="1" t="str">
        <f>IF(ESTIMATIVA[[#This Row],[QT_AREA_REAL]]&gt;0,"1- Colhido","2- à Colher")</f>
        <v>1- Colhido</v>
      </c>
      <c r="V938" s="1" t="str">
        <f>IF(ESTIMATIVA[[#This Row],[QT_AREA_REST1]]&gt;0,"Reestimativa 1",IF(ESTIMATIVA[[#This Row],[QT_AREA_REAL]]=0,"Reestimativa 1","Realizado"))</f>
        <v>Reestimativa 1</v>
      </c>
      <c r="W938" s="1" t="str">
        <f>IF(ESTIMATIVA[[#This Row],[QT_AREA_REST2]]&gt;0,"Reestimativa 2",IF(ESTIMATIVA[[#This Row],[QT_AREA_REAL]]=0,"Reestimativa 2","Realizado"))</f>
        <v>Reestimativa 2</v>
      </c>
      <c r="X938" s="1">
        <f>ESTIMATIVA[[#This Row],[QT_AREA_EST]]</f>
        <v>43.18</v>
      </c>
      <c r="Y938" s="1">
        <f>IF(ESTIMATIVA[[#This Row],[QT_AREA_REST1]]&gt;0,ESTIMATIVA[[#This Row],[QT_AREA_REST1]],
  IF(ESTIMATIVA[[#This Row],[QT_AREA_REAL]]&gt;0,ESTIMATIVA[[#This Row],[QT_AREA_REAL]],ESTIMATIVA[[#This Row],[QT_AREA_EST]]))</f>
        <v>43.18</v>
      </c>
      <c r="Z93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43.18</v>
      </c>
      <c r="AA938" s="1">
        <f>ESTIMATIVA[[#This Row],[QT_CANA_EST]]</f>
        <v>4836.16</v>
      </c>
      <c r="AB938" s="1">
        <f>IF(ESTIMATIVA[[#This Row],[QT_CANA_REST1]]&gt;0,ESTIMATIVA[[#This Row],[QT_CANA_REST1]],
  IF(ESTIMATIVA[[#This Row],[QT_CANA_REAL]]&gt;0,ESTIMATIVA[[#This Row],[QT_CANA_REAL]],ESTIMATIVA[[#This Row],[QT_CANA_EST]]))</f>
        <v>4836.16</v>
      </c>
      <c r="AC93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4836.16</v>
      </c>
      <c r="AD938" s="1">
        <f>IF(ESTIMATIVA[[#This Row],[QT_AREA_REAL]]&gt;0,ESTIMATIVA[[#This Row],[QT_CANA_REAL]],ESTIMATIVA[[#This Row],[QT_CANA_EST]])</f>
        <v>3208.33</v>
      </c>
      <c r="AE938" s="1">
        <f>IF(ESTIMATIVA[[#This Row],[QT_AREA_REAL]]&gt;0,ESTIMATIVA[[#This Row],[QT_CANA_REAL]],ESTIMATIVA[[#This Row],[QT_CANA_REST1]])</f>
        <v>3208.33</v>
      </c>
      <c r="AF938" s="1">
        <f>IF(ESTIMATIVA[[#This Row],[QT_AREA_REAL]]&gt;0,ESTIMATIVA[[#This Row],[QT_CANA_REAL]],ESTIMATIVA[[#This Row],[QT_CANA_REST2]])</f>
        <v>3208.33</v>
      </c>
      <c r="AG938" s="1" t="str">
        <f>IF(COUNTIFS(GEADA!A:A,VALUE(ESTIMATIVA[[#This Row],[CD_UPNIVEL1]]&amp;TEXT(ESTIMATIVA[[#This Row],[CD_UPNIVEL3]],"0000")))&gt;0,"S","N")</f>
        <v>N</v>
      </c>
      <c r="AH93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38" s="55" t="str">
        <f>IF(ESTIMATIVA[[#This Row],[TP_CULTIVO]]="Irrigado",_xlfn.MAXIFS(IRRIGADO!J:J,IRRIGADO!C:C,ESTIMATIVA[[#This Row],[CD_UPNIVEL1]],IRRIGADO!E:E,ESTIMATIVA[[#This Row],[CD_UPNIVEL3]]),"")</f>
        <v/>
      </c>
      <c r="AJ93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38" s="1">
        <f>COUNTIFS(Apresentação!$E$23:$E$29,ESTIMATIVA[[#This Row],[CD_UPNIVEL1]])</f>
        <v>0</v>
      </c>
    </row>
    <row r="939" spans="1:37" x14ac:dyDescent="0.3">
      <c r="A939">
        <v>20457</v>
      </c>
      <c r="B939" t="s">
        <v>62</v>
      </c>
      <c r="C939">
        <v>2</v>
      </c>
      <c r="D939">
        <v>1</v>
      </c>
      <c r="E939" t="s">
        <v>267</v>
      </c>
      <c r="F939" s="85" t="s">
        <v>331</v>
      </c>
      <c r="G939"/>
      <c r="H939" t="s">
        <v>294</v>
      </c>
      <c r="I939" t="s">
        <v>195</v>
      </c>
      <c r="J939" t="s">
        <v>176</v>
      </c>
      <c r="K939" s="1">
        <v>54.56</v>
      </c>
      <c r="L939" s="1">
        <v>54.56</v>
      </c>
      <c r="M939" s="1">
        <v>54.56</v>
      </c>
      <c r="N939" s="1">
        <v>54.56</v>
      </c>
      <c r="O939" s="1">
        <v>6438.08</v>
      </c>
      <c r="P939" s="1">
        <v>6438.08</v>
      </c>
      <c r="Q939" s="1">
        <v>6219.84</v>
      </c>
      <c r="R939" s="1">
        <v>4126.7700000000004</v>
      </c>
      <c r="S939" t="s">
        <v>12</v>
      </c>
      <c r="T939" s="13">
        <v>45942</v>
      </c>
      <c r="U939" s="1" t="str">
        <f>IF(ESTIMATIVA[[#This Row],[QT_AREA_REAL]]&gt;0,"1- Colhido","2- à Colher")</f>
        <v>1- Colhido</v>
      </c>
      <c r="V939" s="1" t="str">
        <f>IF(ESTIMATIVA[[#This Row],[QT_AREA_REST1]]&gt;0,"Reestimativa 1",IF(ESTIMATIVA[[#This Row],[QT_AREA_REAL]]=0,"Reestimativa 1","Realizado"))</f>
        <v>Reestimativa 1</v>
      </c>
      <c r="W939" s="1" t="str">
        <f>IF(ESTIMATIVA[[#This Row],[QT_AREA_REST2]]&gt;0,"Reestimativa 2",IF(ESTIMATIVA[[#This Row],[QT_AREA_REAL]]=0,"Reestimativa 2","Realizado"))</f>
        <v>Reestimativa 2</v>
      </c>
      <c r="X939" s="1">
        <f>ESTIMATIVA[[#This Row],[QT_AREA_EST]]</f>
        <v>54.56</v>
      </c>
      <c r="Y939" s="1">
        <f>IF(ESTIMATIVA[[#This Row],[QT_AREA_REST1]]&gt;0,ESTIMATIVA[[#This Row],[QT_AREA_REST1]],
  IF(ESTIMATIVA[[#This Row],[QT_AREA_REAL]]&gt;0,ESTIMATIVA[[#This Row],[QT_AREA_REAL]],ESTIMATIVA[[#This Row],[QT_AREA_EST]]))</f>
        <v>54.56</v>
      </c>
      <c r="Z93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54.56</v>
      </c>
      <c r="AA939" s="1">
        <f>ESTIMATIVA[[#This Row],[QT_CANA_EST]]</f>
        <v>6438.08</v>
      </c>
      <c r="AB939" s="1">
        <f>IF(ESTIMATIVA[[#This Row],[QT_CANA_REST1]]&gt;0,ESTIMATIVA[[#This Row],[QT_CANA_REST1]],
  IF(ESTIMATIVA[[#This Row],[QT_CANA_REAL]]&gt;0,ESTIMATIVA[[#This Row],[QT_CANA_REAL]],ESTIMATIVA[[#This Row],[QT_CANA_EST]]))</f>
        <v>6438.08</v>
      </c>
      <c r="AC93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6219.84</v>
      </c>
      <c r="AD939" s="1">
        <f>IF(ESTIMATIVA[[#This Row],[QT_AREA_REAL]]&gt;0,ESTIMATIVA[[#This Row],[QT_CANA_REAL]],ESTIMATIVA[[#This Row],[QT_CANA_EST]])</f>
        <v>4126.7700000000004</v>
      </c>
      <c r="AE939" s="1">
        <f>IF(ESTIMATIVA[[#This Row],[QT_AREA_REAL]]&gt;0,ESTIMATIVA[[#This Row],[QT_CANA_REAL]],ESTIMATIVA[[#This Row],[QT_CANA_REST1]])</f>
        <v>4126.7700000000004</v>
      </c>
      <c r="AF939" s="1">
        <f>IF(ESTIMATIVA[[#This Row],[QT_AREA_REAL]]&gt;0,ESTIMATIVA[[#This Row],[QT_CANA_REAL]],ESTIMATIVA[[#This Row],[QT_CANA_REST2]])</f>
        <v>4126.7700000000004</v>
      </c>
      <c r="AG939" s="1" t="str">
        <f>IF(COUNTIFS(GEADA!A:A,VALUE(ESTIMATIVA[[#This Row],[CD_UPNIVEL1]]&amp;TEXT(ESTIMATIVA[[#This Row],[CD_UPNIVEL3]],"0000")))&gt;0,"S","N")</f>
        <v>N</v>
      </c>
      <c r="AH93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39" s="55" t="str">
        <f>IF(ESTIMATIVA[[#This Row],[TP_CULTIVO]]="Irrigado",_xlfn.MAXIFS(IRRIGADO!J:J,IRRIGADO!C:C,ESTIMATIVA[[#This Row],[CD_UPNIVEL1]],IRRIGADO!E:E,ESTIMATIVA[[#This Row],[CD_UPNIVEL3]]),"")</f>
        <v/>
      </c>
      <c r="AJ93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39" s="1">
        <f>COUNTIFS(Apresentação!$E$23:$E$29,ESTIMATIVA[[#This Row],[CD_UPNIVEL1]])</f>
        <v>0</v>
      </c>
    </row>
    <row r="940" spans="1:37" x14ac:dyDescent="0.3">
      <c r="A940">
        <v>20457</v>
      </c>
      <c r="B940" t="s">
        <v>62</v>
      </c>
      <c r="C940">
        <v>3</v>
      </c>
      <c r="D940">
        <v>1</v>
      </c>
      <c r="E940" t="s">
        <v>267</v>
      </c>
      <c r="F940" s="85" t="s">
        <v>331</v>
      </c>
      <c r="G940"/>
      <c r="H940" t="s">
        <v>294</v>
      </c>
      <c r="I940" t="s">
        <v>195</v>
      </c>
      <c r="J940" t="s">
        <v>176</v>
      </c>
      <c r="K940" s="1">
        <v>21.7</v>
      </c>
      <c r="L940" s="1">
        <v>21.7</v>
      </c>
      <c r="M940" s="1">
        <v>21.7</v>
      </c>
      <c r="N940" s="1">
        <v>21.7</v>
      </c>
      <c r="O940" s="1">
        <v>2517.1999999999998</v>
      </c>
      <c r="P940" s="1">
        <v>2517.1999999999998</v>
      </c>
      <c r="Q940" s="1">
        <v>2473.8000000000002</v>
      </c>
      <c r="R940" s="1">
        <v>2548.4899999999998</v>
      </c>
      <c r="S940" t="s">
        <v>12</v>
      </c>
      <c r="T940" s="13">
        <v>45942</v>
      </c>
      <c r="U940" s="1" t="str">
        <f>IF(ESTIMATIVA[[#This Row],[QT_AREA_REAL]]&gt;0,"1- Colhido","2- à Colher")</f>
        <v>1- Colhido</v>
      </c>
      <c r="V940" s="1" t="str">
        <f>IF(ESTIMATIVA[[#This Row],[QT_AREA_REST1]]&gt;0,"Reestimativa 1",IF(ESTIMATIVA[[#This Row],[QT_AREA_REAL]]=0,"Reestimativa 1","Realizado"))</f>
        <v>Reestimativa 1</v>
      </c>
      <c r="W940" s="1" t="str">
        <f>IF(ESTIMATIVA[[#This Row],[QT_AREA_REST2]]&gt;0,"Reestimativa 2",IF(ESTIMATIVA[[#This Row],[QT_AREA_REAL]]=0,"Reestimativa 2","Realizado"))</f>
        <v>Reestimativa 2</v>
      </c>
      <c r="X940" s="1">
        <f>ESTIMATIVA[[#This Row],[QT_AREA_EST]]</f>
        <v>21.7</v>
      </c>
      <c r="Y940" s="1">
        <f>IF(ESTIMATIVA[[#This Row],[QT_AREA_REST1]]&gt;0,ESTIMATIVA[[#This Row],[QT_AREA_REST1]],
  IF(ESTIMATIVA[[#This Row],[QT_AREA_REAL]]&gt;0,ESTIMATIVA[[#This Row],[QT_AREA_REAL]],ESTIMATIVA[[#This Row],[QT_AREA_EST]]))</f>
        <v>21.7</v>
      </c>
      <c r="Z94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21.7</v>
      </c>
      <c r="AA940" s="1">
        <f>ESTIMATIVA[[#This Row],[QT_CANA_EST]]</f>
        <v>2517.1999999999998</v>
      </c>
      <c r="AB940" s="1">
        <f>IF(ESTIMATIVA[[#This Row],[QT_CANA_REST1]]&gt;0,ESTIMATIVA[[#This Row],[QT_CANA_REST1]],
  IF(ESTIMATIVA[[#This Row],[QT_CANA_REAL]]&gt;0,ESTIMATIVA[[#This Row],[QT_CANA_REAL]],ESTIMATIVA[[#This Row],[QT_CANA_EST]]))</f>
        <v>2517.1999999999998</v>
      </c>
      <c r="AC94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2473.8000000000002</v>
      </c>
      <c r="AD940" s="1">
        <f>IF(ESTIMATIVA[[#This Row],[QT_AREA_REAL]]&gt;0,ESTIMATIVA[[#This Row],[QT_CANA_REAL]],ESTIMATIVA[[#This Row],[QT_CANA_EST]])</f>
        <v>2548.4899999999998</v>
      </c>
      <c r="AE940" s="1">
        <f>IF(ESTIMATIVA[[#This Row],[QT_AREA_REAL]]&gt;0,ESTIMATIVA[[#This Row],[QT_CANA_REAL]],ESTIMATIVA[[#This Row],[QT_CANA_REST1]])</f>
        <v>2548.4899999999998</v>
      </c>
      <c r="AF940" s="1">
        <f>IF(ESTIMATIVA[[#This Row],[QT_AREA_REAL]]&gt;0,ESTIMATIVA[[#This Row],[QT_CANA_REAL]],ESTIMATIVA[[#This Row],[QT_CANA_REST2]])</f>
        <v>2548.4899999999998</v>
      </c>
      <c r="AG940" s="1" t="str">
        <f>IF(COUNTIFS(GEADA!A:A,VALUE(ESTIMATIVA[[#This Row],[CD_UPNIVEL1]]&amp;TEXT(ESTIMATIVA[[#This Row],[CD_UPNIVEL3]],"0000")))&gt;0,"S","N")</f>
        <v>N</v>
      </c>
      <c r="AH94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40" s="55" t="str">
        <f>IF(ESTIMATIVA[[#This Row],[TP_CULTIVO]]="Irrigado",_xlfn.MAXIFS(IRRIGADO!J:J,IRRIGADO!C:C,ESTIMATIVA[[#This Row],[CD_UPNIVEL1]],IRRIGADO!E:E,ESTIMATIVA[[#This Row],[CD_UPNIVEL3]]),"")</f>
        <v/>
      </c>
      <c r="AJ94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40" s="1">
        <f>COUNTIFS(Apresentação!$E$23:$E$29,ESTIMATIVA[[#This Row],[CD_UPNIVEL1]])</f>
        <v>0</v>
      </c>
    </row>
    <row r="941" spans="1:37" x14ac:dyDescent="0.3">
      <c r="A941">
        <v>20458</v>
      </c>
      <c r="B941" t="s">
        <v>51</v>
      </c>
      <c r="C941">
        <v>1</v>
      </c>
      <c r="D941">
        <v>2</v>
      </c>
      <c r="E941" t="s">
        <v>266</v>
      </c>
      <c r="F941" s="85" t="s">
        <v>331</v>
      </c>
      <c r="G941"/>
      <c r="H941" t="s">
        <v>294</v>
      </c>
      <c r="I941" t="s">
        <v>207</v>
      </c>
      <c r="J941" t="s">
        <v>176</v>
      </c>
      <c r="K941" s="1">
        <v>26.67</v>
      </c>
      <c r="L941" s="1">
        <v>26.67</v>
      </c>
      <c r="M941" s="1">
        <v>26.67</v>
      </c>
      <c r="N941" s="1">
        <v>26.67</v>
      </c>
      <c r="O941" s="1">
        <v>1973.58</v>
      </c>
      <c r="P941" s="1">
        <v>1600.2</v>
      </c>
      <c r="Q941" s="1">
        <v>1600.2</v>
      </c>
      <c r="R941" s="1">
        <v>1481.13</v>
      </c>
      <c r="S941" t="s">
        <v>12</v>
      </c>
      <c r="T941" s="13">
        <v>45991</v>
      </c>
      <c r="U941" s="1" t="str">
        <f>IF(ESTIMATIVA[[#This Row],[QT_AREA_REAL]]&gt;0,"1- Colhido","2- à Colher")</f>
        <v>1- Colhido</v>
      </c>
      <c r="V941" s="1" t="str">
        <f>IF(ESTIMATIVA[[#This Row],[QT_AREA_REST1]]&gt;0,"Reestimativa 1",IF(ESTIMATIVA[[#This Row],[QT_AREA_REAL]]=0,"Reestimativa 1","Realizado"))</f>
        <v>Reestimativa 1</v>
      </c>
      <c r="W941" s="1" t="str">
        <f>IF(ESTIMATIVA[[#This Row],[QT_AREA_REST2]]&gt;0,"Reestimativa 2",IF(ESTIMATIVA[[#This Row],[QT_AREA_REAL]]=0,"Reestimativa 2","Realizado"))</f>
        <v>Reestimativa 2</v>
      </c>
      <c r="X941" s="1">
        <f>ESTIMATIVA[[#This Row],[QT_AREA_EST]]</f>
        <v>26.67</v>
      </c>
      <c r="Y941" s="1">
        <f>IF(ESTIMATIVA[[#This Row],[QT_AREA_REST1]]&gt;0,ESTIMATIVA[[#This Row],[QT_AREA_REST1]],
  IF(ESTIMATIVA[[#This Row],[QT_AREA_REAL]]&gt;0,ESTIMATIVA[[#This Row],[QT_AREA_REAL]],ESTIMATIVA[[#This Row],[QT_AREA_EST]]))</f>
        <v>26.67</v>
      </c>
      <c r="Z94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26.67</v>
      </c>
      <c r="AA941" s="1">
        <f>ESTIMATIVA[[#This Row],[QT_CANA_EST]]</f>
        <v>1973.58</v>
      </c>
      <c r="AB941" s="1">
        <f>IF(ESTIMATIVA[[#This Row],[QT_CANA_REST1]]&gt;0,ESTIMATIVA[[#This Row],[QT_CANA_REST1]],
  IF(ESTIMATIVA[[#This Row],[QT_CANA_REAL]]&gt;0,ESTIMATIVA[[#This Row],[QT_CANA_REAL]],ESTIMATIVA[[#This Row],[QT_CANA_EST]]))</f>
        <v>1600.2</v>
      </c>
      <c r="AC94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1600.2</v>
      </c>
      <c r="AD941" s="1">
        <f>IF(ESTIMATIVA[[#This Row],[QT_AREA_REAL]]&gt;0,ESTIMATIVA[[#This Row],[QT_CANA_REAL]],ESTIMATIVA[[#This Row],[QT_CANA_EST]])</f>
        <v>1481.13</v>
      </c>
      <c r="AE941" s="1">
        <f>IF(ESTIMATIVA[[#This Row],[QT_AREA_REAL]]&gt;0,ESTIMATIVA[[#This Row],[QT_CANA_REAL]],ESTIMATIVA[[#This Row],[QT_CANA_REST1]])</f>
        <v>1481.13</v>
      </c>
      <c r="AF941" s="1">
        <f>IF(ESTIMATIVA[[#This Row],[QT_AREA_REAL]]&gt;0,ESTIMATIVA[[#This Row],[QT_CANA_REAL]],ESTIMATIVA[[#This Row],[QT_CANA_REST2]])</f>
        <v>1481.13</v>
      </c>
      <c r="AG941" s="1" t="str">
        <f>IF(COUNTIFS(GEADA!A:A,VALUE(ESTIMATIVA[[#This Row],[CD_UPNIVEL1]]&amp;TEXT(ESTIMATIVA[[#This Row],[CD_UPNIVEL3]],"0000")))&gt;0,"S","N")</f>
        <v>S</v>
      </c>
      <c r="AH94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41" s="55" t="str">
        <f>IF(ESTIMATIVA[[#This Row],[TP_CULTIVO]]="Irrigado",_xlfn.MAXIFS(IRRIGADO!J:J,IRRIGADO!C:C,ESTIMATIVA[[#This Row],[CD_UPNIVEL1]],IRRIGADO!E:E,ESTIMATIVA[[#This Row],[CD_UPNIVEL3]]),"")</f>
        <v/>
      </c>
      <c r="AJ94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41" s="1">
        <f>COUNTIFS(Apresentação!$E$23:$E$29,ESTIMATIVA[[#This Row],[CD_UPNIVEL1]])</f>
        <v>0</v>
      </c>
    </row>
    <row r="942" spans="1:37" x14ac:dyDescent="0.3">
      <c r="A942">
        <v>20458</v>
      </c>
      <c r="B942" t="s">
        <v>51</v>
      </c>
      <c r="C942">
        <v>2</v>
      </c>
      <c r="D942">
        <v>2</v>
      </c>
      <c r="E942" t="s">
        <v>266</v>
      </c>
      <c r="F942" s="85" t="s">
        <v>331</v>
      </c>
      <c r="G942"/>
      <c r="H942" t="s">
        <v>294</v>
      </c>
      <c r="I942" t="s">
        <v>207</v>
      </c>
      <c r="J942" t="s">
        <v>176</v>
      </c>
      <c r="K942" s="1">
        <v>7.29</v>
      </c>
      <c r="L942" s="1">
        <v>7.29</v>
      </c>
      <c r="M942" s="1">
        <v>7.29</v>
      </c>
      <c r="N942" s="1">
        <v>7.29</v>
      </c>
      <c r="O942" s="1">
        <v>539.46</v>
      </c>
      <c r="P942" s="1">
        <v>539.46</v>
      </c>
      <c r="Q942" s="1">
        <v>539.46</v>
      </c>
      <c r="R942" s="1">
        <v>570.84</v>
      </c>
      <c r="S942" t="s">
        <v>12</v>
      </c>
      <c r="T942" s="13">
        <v>45991</v>
      </c>
      <c r="U942" s="1" t="str">
        <f>IF(ESTIMATIVA[[#This Row],[QT_AREA_REAL]]&gt;0,"1- Colhido","2- à Colher")</f>
        <v>1- Colhido</v>
      </c>
      <c r="V942" s="1" t="str">
        <f>IF(ESTIMATIVA[[#This Row],[QT_AREA_REST1]]&gt;0,"Reestimativa 1",IF(ESTIMATIVA[[#This Row],[QT_AREA_REAL]]=0,"Reestimativa 1","Realizado"))</f>
        <v>Reestimativa 1</v>
      </c>
      <c r="W942" s="1" t="str">
        <f>IF(ESTIMATIVA[[#This Row],[QT_AREA_REST2]]&gt;0,"Reestimativa 2",IF(ESTIMATIVA[[#This Row],[QT_AREA_REAL]]=0,"Reestimativa 2","Realizado"))</f>
        <v>Reestimativa 2</v>
      </c>
      <c r="X942" s="1">
        <f>ESTIMATIVA[[#This Row],[QT_AREA_EST]]</f>
        <v>7.29</v>
      </c>
      <c r="Y942" s="1">
        <f>IF(ESTIMATIVA[[#This Row],[QT_AREA_REST1]]&gt;0,ESTIMATIVA[[#This Row],[QT_AREA_REST1]],
  IF(ESTIMATIVA[[#This Row],[QT_AREA_REAL]]&gt;0,ESTIMATIVA[[#This Row],[QT_AREA_REAL]],ESTIMATIVA[[#This Row],[QT_AREA_EST]]))</f>
        <v>7.29</v>
      </c>
      <c r="Z94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7.29</v>
      </c>
      <c r="AA942" s="1">
        <f>ESTIMATIVA[[#This Row],[QT_CANA_EST]]</f>
        <v>539.46</v>
      </c>
      <c r="AB942" s="1">
        <f>IF(ESTIMATIVA[[#This Row],[QT_CANA_REST1]]&gt;0,ESTIMATIVA[[#This Row],[QT_CANA_REST1]],
  IF(ESTIMATIVA[[#This Row],[QT_CANA_REAL]]&gt;0,ESTIMATIVA[[#This Row],[QT_CANA_REAL]],ESTIMATIVA[[#This Row],[QT_CANA_EST]]))</f>
        <v>539.46</v>
      </c>
      <c r="AC94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539.46</v>
      </c>
      <c r="AD942" s="1">
        <f>IF(ESTIMATIVA[[#This Row],[QT_AREA_REAL]]&gt;0,ESTIMATIVA[[#This Row],[QT_CANA_REAL]],ESTIMATIVA[[#This Row],[QT_CANA_EST]])</f>
        <v>570.84</v>
      </c>
      <c r="AE942" s="1">
        <f>IF(ESTIMATIVA[[#This Row],[QT_AREA_REAL]]&gt;0,ESTIMATIVA[[#This Row],[QT_CANA_REAL]],ESTIMATIVA[[#This Row],[QT_CANA_REST1]])</f>
        <v>570.84</v>
      </c>
      <c r="AF942" s="1">
        <f>IF(ESTIMATIVA[[#This Row],[QT_AREA_REAL]]&gt;0,ESTIMATIVA[[#This Row],[QT_CANA_REAL]],ESTIMATIVA[[#This Row],[QT_CANA_REST2]])</f>
        <v>570.84</v>
      </c>
      <c r="AG942" s="1" t="str">
        <f>IF(COUNTIFS(GEADA!A:A,VALUE(ESTIMATIVA[[#This Row],[CD_UPNIVEL1]]&amp;TEXT(ESTIMATIVA[[#This Row],[CD_UPNIVEL3]],"0000")))&gt;0,"S","N")</f>
        <v>N</v>
      </c>
      <c r="AH94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42" s="55" t="str">
        <f>IF(ESTIMATIVA[[#This Row],[TP_CULTIVO]]="Irrigado",_xlfn.MAXIFS(IRRIGADO!J:J,IRRIGADO!C:C,ESTIMATIVA[[#This Row],[CD_UPNIVEL1]],IRRIGADO!E:E,ESTIMATIVA[[#This Row],[CD_UPNIVEL3]]),"")</f>
        <v/>
      </c>
      <c r="AJ94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42" s="1">
        <f>COUNTIFS(Apresentação!$E$23:$E$29,ESTIMATIVA[[#This Row],[CD_UPNIVEL1]])</f>
        <v>0</v>
      </c>
    </row>
    <row r="943" spans="1:37" x14ac:dyDescent="0.3">
      <c r="A943">
        <v>20458</v>
      </c>
      <c r="B943" t="s">
        <v>51</v>
      </c>
      <c r="C943">
        <v>3</v>
      </c>
      <c r="D943">
        <v>2</v>
      </c>
      <c r="E943" t="s">
        <v>266</v>
      </c>
      <c r="F943" s="85" t="s">
        <v>333</v>
      </c>
      <c r="G943"/>
      <c r="H943" t="s">
        <v>294</v>
      </c>
      <c r="I943" t="s">
        <v>207</v>
      </c>
      <c r="J943" t="s">
        <v>176</v>
      </c>
      <c r="K943" s="1">
        <v>10.74</v>
      </c>
      <c r="L943" s="1">
        <v>10.74</v>
      </c>
      <c r="M943" s="1">
        <v>0</v>
      </c>
      <c r="N943" s="1">
        <v>10.74</v>
      </c>
      <c r="O943" s="1">
        <v>794.76</v>
      </c>
      <c r="P943" s="1">
        <v>794.76</v>
      </c>
      <c r="Q943" s="1">
        <v>0</v>
      </c>
      <c r="R943" s="1">
        <v>367.44</v>
      </c>
      <c r="S943" t="s">
        <v>12</v>
      </c>
      <c r="T943" s="13">
        <v>45914</v>
      </c>
      <c r="U943" s="1" t="str">
        <f>IF(ESTIMATIVA[[#This Row],[QT_AREA_REAL]]&gt;0,"1- Colhido","2- à Colher")</f>
        <v>1- Colhido</v>
      </c>
      <c r="V943" s="1" t="str">
        <f>IF(ESTIMATIVA[[#This Row],[QT_AREA_REST1]]&gt;0,"Reestimativa 1",IF(ESTIMATIVA[[#This Row],[QT_AREA_REAL]]=0,"Reestimativa 1","Realizado"))</f>
        <v>Reestimativa 1</v>
      </c>
      <c r="W943" s="1" t="str">
        <f>IF(ESTIMATIVA[[#This Row],[QT_AREA_REST2]]&gt;0,"Reestimativa 2",IF(ESTIMATIVA[[#This Row],[QT_AREA_REAL]]=0,"Reestimativa 2","Realizado"))</f>
        <v>Realizado</v>
      </c>
      <c r="X943" s="1">
        <f>ESTIMATIVA[[#This Row],[QT_AREA_EST]]</f>
        <v>10.74</v>
      </c>
      <c r="Y943" s="1">
        <f>IF(ESTIMATIVA[[#This Row],[QT_AREA_REST1]]&gt;0,ESTIMATIVA[[#This Row],[QT_AREA_REST1]],
  IF(ESTIMATIVA[[#This Row],[QT_AREA_REAL]]&gt;0,ESTIMATIVA[[#This Row],[QT_AREA_REAL]],ESTIMATIVA[[#This Row],[QT_AREA_EST]]))</f>
        <v>10.74</v>
      </c>
      <c r="Z94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10.74</v>
      </c>
      <c r="AA943" s="1">
        <f>ESTIMATIVA[[#This Row],[QT_CANA_EST]]</f>
        <v>794.76</v>
      </c>
      <c r="AB943" s="1">
        <f>IF(ESTIMATIVA[[#This Row],[QT_CANA_REST1]]&gt;0,ESTIMATIVA[[#This Row],[QT_CANA_REST1]],
  IF(ESTIMATIVA[[#This Row],[QT_CANA_REAL]]&gt;0,ESTIMATIVA[[#This Row],[QT_CANA_REAL]],ESTIMATIVA[[#This Row],[QT_CANA_EST]]))</f>
        <v>794.76</v>
      </c>
      <c r="AC94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367.44</v>
      </c>
      <c r="AD943" s="1">
        <f>IF(ESTIMATIVA[[#This Row],[QT_AREA_REAL]]&gt;0,ESTIMATIVA[[#This Row],[QT_CANA_REAL]],ESTIMATIVA[[#This Row],[QT_CANA_EST]])</f>
        <v>367.44</v>
      </c>
      <c r="AE943" s="1">
        <f>IF(ESTIMATIVA[[#This Row],[QT_AREA_REAL]]&gt;0,ESTIMATIVA[[#This Row],[QT_CANA_REAL]],ESTIMATIVA[[#This Row],[QT_CANA_REST1]])</f>
        <v>367.44</v>
      </c>
      <c r="AF943" s="1">
        <f>IF(ESTIMATIVA[[#This Row],[QT_AREA_REAL]]&gt;0,ESTIMATIVA[[#This Row],[QT_CANA_REAL]],ESTIMATIVA[[#This Row],[QT_CANA_REST2]])</f>
        <v>367.44</v>
      </c>
      <c r="AG943" s="1" t="str">
        <f>IF(COUNTIFS(GEADA!A:A,VALUE(ESTIMATIVA[[#This Row],[CD_UPNIVEL1]]&amp;TEXT(ESTIMATIVA[[#This Row],[CD_UPNIVEL3]],"0000")))&gt;0,"S","N")</f>
        <v>N</v>
      </c>
      <c r="AH94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43" s="55" t="str">
        <f>IF(ESTIMATIVA[[#This Row],[TP_CULTIVO]]="Irrigado",_xlfn.MAXIFS(IRRIGADO!J:J,IRRIGADO!C:C,ESTIMATIVA[[#This Row],[CD_UPNIVEL1]],IRRIGADO!E:E,ESTIMATIVA[[#This Row],[CD_UPNIVEL3]]),"")</f>
        <v/>
      </c>
      <c r="AJ94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43" s="1">
        <f>COUNTIFS(Apresentação!$E$23:$E$29,ESTIMATIVA[[#This Row],[CD_UPNIVEL1]])</f>
        <v>0</v>
      </c>
    </row>
    <row r="944" spans="1:37" x14ac:dyDescent="0.3">
      <c r="A944">
        <v>20458</v>
      </c>
      <c r="B944" t="s">
        <v>51</v>
      </c>
      <c r="C944">
        <v>4</v>
      </c>
      <c r="D944">
        <v>2</v>
      </c>
      <c r="E944" t="s">
        <v>266</v>
      </c>
      <c r="F944" s="85" t="s">
        <v>333</v>
      </c>
      <c r="G944"/>
      <c r="H944" t="s">
        <v>294</v>
      </c>
      <c r="I944" t="s">
        <v>207</v>
      </c>
      <c r="J944" t="s">
        <v>176</v>
      </c>
      <c r="K944" s="1">
        <v>28.77</v>
      </c>
      <c r="L944" s="1">
        <v>28.77</v>
      </c>
      <c r="M944" s="1">
        <v>28.77</v>
      </c>
      <c r="N944" s="1">
        <v>28.77</v>
      </c>
      <c r="O944" s="1">
        <v>2128.98</v>
      </c>
      <c r="P944" s="1">
        <v>1783.74</v>
      </c>
      <c r="Q944" s="1">
        <v>1754.97</v>
      </c>
      <c r="R944" s="1">
        <v>1098.01</v>
      </c>
      <c r="S944" t="s">
        <v>12</v>
      </c>
      <c r="T944" s="13">
        <v>45991</v>
      </c>
      <c r="U944" s="1" t="str">
        <f>IF(ESTIMATIVA[[#This Row],[QT_AREA_REAL]]&gt;0,"1- Colhido","2- à Colher")</f>
        <v>1- Colhido</v>
      </c>
      <c r="V944" s="1" t="str">
        <f>IF(ESTIMATIVA[[#This Row],[QT_AREA_REST1]]&gt;0,"Reestimativa 1",IF(ESTIMATIVA[[#This Row],[QT_AREA_REAL]]=0,"Reestimativa 1","Realizado"))</f>
        <v>Reestimativa 1</v>
      </c>
      <c r="W944" s="1" t="str">
        <f>IF(ESTIMATIVA[[#This Row],[QT_AREA_REST2]]&gt;0,"Reestimativa 2",IF(ESTIMATIVA[[#This Row],[QT_AREA_REAL]]=0,"Reestimativa 2","Realizado"))</f>
        <v>Reestimativa 2</v>
      </c>
      <c r="X944" s="1">
        <f>ESTIMATIVA[[#This Row],[QT_AREA_EST]]</f>
        <v>28.77</v>
      </c>
      <c r="Y944" s="1">
        <f>IF(ESTIMATIVA[[#This Row],[QT_AREA_REST1]]&gt;0,ESTIMATIVA[[#This Row],[QT_AREA_REST1]],
  IF(ESTIMATIVA[[#This Row],[QT_AREA_REAL]]&gt;0,ESTIMATIVA[[#This Row],[QT_AREA_REAL]],ESTIMATIVA[[#This Row],[QT_AREA_EST]]))</f>
        <v>28.77</v>
      </c>
      <c r="Z94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28.77</v>
      </c>
      <c r="AA944" s="1">
        <f>ESTIMATIVA[[#This Row],[QT_CANA_EST]]</f>
        <v>2128.98</v>
      </c>
      <c r="AB944" s="1">
        <f>IF(ESTIMATIVA[[#This Row],[QT_CANA_REST1]]&gt;0,ESTIMATIVA[[#This Row],[QT_CANA_REST1]],
  IF(ESTIMATIVA[[#This Row],[QT_CANA_REAL]]&gt;0,ESTIMATIVA[[#This Row],[QT_CANA_REAL]],ESTIMATIVA[[#This Row],[QT_CANA_EST]]))</f>
        <v>1783.74</v>
      </c>
      <c r="AC94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1754.97</v>
      </c>
      <c r="AD944" s="1">
        <f>IF(ESTIMATIVA[[#This Row],[QT_AREA_REAL]]&gt;0,ESTIMATIVA[[#This Row],[QT_CANA_REAL]],ESTIMATIVA[[#This Row],[QT_CANA_EST]])</f>
        <v>1098.01</v>
      </c>
      <c r="AE944" s="1">
        <f>IF(ESTIMATIVA[[#This Row],[QT_AREA_REAL]]&gt;0,ESTIMATIVA[[#This Row],[QT_CANA_REAL]],ESTIMATIVA[[#This Row],[QT_CANA_REST1]])</f>
        <v>1098.01</v>
      </c>
      <c r="AF944" s="1">
        <f>IF(ESTIMATIVA[[#This Row],[QT_AREA_REAL]]&gt;0,ESTIMATIVA[[#This Row],[QT_CANA_REAL]],ESTIMATIVA[[#This Row],[QT_CANA_REST2]])</f>
        <v>1098.01</v>
      </c>
      <c r="AG944" s="1" t="str">
        <f>IF(COUNTIFS(GEADA!A:A,VALUE(ESTIMATIVA[[#This Row],[CD_UPNIVEL1]]&amp;TEXT(ESTIMATIVA[[#This Row],[CD_UPNIVEL3]],"0000")))&gt;0,"S","N")</f>
        <v>S</v>
      </c>
      <c r="AH94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44" s="55" t="str">
        <f>IF(ESTIMATIVA[[#This Row],[TP_CULTIVO]]="Irrigado",_xlfn.MAXIFS(IRRIGADO!J:J,IRRIGADO!C:C,ESTIMATIVA[[#This Row],[CD_UPNIVEL1]],IRRIGADO!E:E,ESTIMATIVA[[#This Row],[CD_UPNIVEL3]]),"")</f>
        <v/>
      </c>
      <c r="AJ94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44" s="1">
        <f>COUNTIFS(Apresentação!$E$23:$E$29,ESTIMATIVA[[#This Row],[CD_UPNIVEL1]])</f>
        <v>0</v>
      </c>
    </row>
    <row r="945" spans="1:37" x14ac:dyDescent="0.3">
      <c r="A945">
        <v>20458</v>
      </c>
      <c r="B945" t="s">
        <v>51</v>
      </c>
      <c r="C945">
        <v>5</v>
      </c>
      <c r="D945">
        <v>2</v>
      </c>
      <c r="E945" t="s">
        <v>266</v>
      </c>
      <c r="F945" s="85" t="s">
        <v>333</v>
      </c>
      <c r="G945"/>
      <c r="H945" t="s">
        <v>294</v>
      </c>
      <c r="I945" t="s">
        <v>207</v>
      </c>
      <c r="J945" t="s">
        <v>176</v>
      </c>
      <c r="K945" s="1">
        <v>22.29</v>
      </c>
      <c r="L945" s="1">
        <v>22.29</v>
      </c>
      <c r="M945" s="1">
        <v>22.29</v>
      </c>
      <c r="N945" s="1">
        <v>22.29</v>
      </c>
      <c r="O945" s="1">
        <v>1916.94</v>
      </c>
      <c r="P945" s="1">
        <v>1916.94</v>
      </c>
      <c r="Q945" s="1">
        <v>1783.2</v>
      </c>
      <c r="R945" s="1">
        <v>1806.7</v>
      </c>
      <c r="S945" t="s">
        <v>12</v>
      </c>
      <c r="T945" s="13">
        <v>45991</v>
      </c>
      <c r="U945" s="1" t="str">
        <f>IF(ESTIMATIVA[[#This Row],[QT_AREA_REAL]]&gt;0,"1- Colhido","2- à Colher")</f>
        <v>1- Colhido</v>
      </c>
      <c r="V945" s="1" t="str">
        <f>IF(ESTIMATIVA[[#This Row],[QT_AREA_REST1]]&gt;0,"Reestimativa 1",IF(ESTIMATIVA[[#This Row],[QT_AREA_REAL]]=0,"Reestimativa 1","Realizado"))</f>
        <v>Reestimativa 1</v>
      </c>
      <c r="W945" s="1" t="str">
        <f>IF(ESTIMATIVA[[#This Row],[QT_AREA_REST2]]&gt;0,"Reestimativa 2",IF(ESTIMATIVA[[#This Row],[QT_AREA_REAL]]=0,"Reestimativa 2","Realizado"))</f>
        <v>Reestimativa 2</v>
      </c>
      <c r="X945" s="1">
        <f>ESTIMATIVA[[#This Row],[QT_AREA_EST]]</f>
        <v>22.29</v>
      </c>
      <c r="Y945" s="1">
        <f>IF(ESTIMATIVA[[#This Row],[QT_AREA_REST1]]&gt;0,ESTIMATIVA[[#This Row],[QT_AREA_REST1]],
  IF(ESTIMATIVA[[#This Row],[QT_AREA_REAL]]&gt;0,ESTIMATIVA[[#This Row],[QT_AREA_REAL]],ESTIMATIVA[[#This Row],[QT_AREA_EST]]))</f>
        <v>22.29</v>
      </c>
      <c r="Z94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22.29</v>
      </c>
      <c r="AA945" s="1">
        <f>ESTIMATIVA[[#This Row],[QT_CANA_EST]]</f>
        <v>1916.94</v>
      </c>
      <c r="AB945" s="1">
        <f>IF(ESTIMATIVA[[#This Row],[QT_CANA_REST1]]&gt;0,ESTIMATIVA[[#This Row],[QT_CANA_REST1]],
  IF(ESTIMATIVA[[#This Row],[QT_CANA_REAL]]&gt;0,ESTIMATIVA[[#This Row],[QT_CANA_REAL]],ESTIMATIVA[[#This Row],[QT_CANA_EST]]))</f>
        <v>1916.94</v>
      </c>
      <c r="AC94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1783.2</v>
      </c>
      <c r="AD945" s="1">
        <f>IF(ESTIMATIVA[[#This Row],[QT_AREA_REAL]]&gt;0,ESTIMATIVA[[#This Row],[QT_CANA_REAL]],ESTIMATIVA[[#This Row],[QT_CANA_EST]])</f>
        <v>1806.7</v>
      </c>
      <c r="AE945" s="1">
        <f>IF(ESTIMATIVA[[#This Row],[QT_AREA_REAL]]&gt;0,ESTIMATIVA[[#This Row],[QT_CANA_REAL]],ESTIMATIVA[[#This Row],[QT_CANA_REST1]])</f>
        <v>1806.7</v>
      </c>
      <c r="AF945" s="1">
        <f>IF(ESTIMATIVA[[#This Row],[QT_AREA_REAL]]&gt;0,ESTIMATIVA[[#This Row],[QT_CANA_REAL]],ESTIMATIVA[[#This Row],[QT_CANA_REST2]])</f>
        <v>1806.7</v>
      </c>
      <c r="AG945" s="1" t="str">
        <f>IF(COUNTIFS(GEADA!A:A,VALUE(ESTIMATIVA[[#This Row],[CD_UPNIVEL1]]&amp;TEXT(ESTIMATIVA[[#This Row],[CD_UPNIVEL3]],"0000")))&gt;0,"S","N")</f>
        <v>N</v>
      </c>
      <c r="AH94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45" s="55" t="str">
        <f>IF(ESTIMATIVA[[#This Row],[TP_CULTIVO]]="Irrigado",_xlfn.MAXIFS(IRRIGADO!J:J,IRRIGADO!C:C,ESTIMATIVA[[#This Row],[CD_UPNIVEL1]],IRRIGADO!E:E,ESTIMATIVA[[#This Row],[CD_UPNIVEL3]]),"")</f>
        <v/>
      </c>
      <c r="AJ94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45" s="1">
        <f>COUNTIFS(Apresentação!$E$23:$E$29,ESTIMATIVA[[#This Row],[CD_UPNIVEL1]])</f>
        <v>0</v>
      </c>
    </row>
    <row r="946" spans="1:37" x14ac:dyDescent="0.3">
      <c r="A946">
        <v>20458</v>
      </c>
      <c r="B946" t="s">
        <v>51</v>
      </c>
      <c r="C946">
        <v>6</v>
      </c>
      <c r="D946">
        <v>2</v>
      </c>
      <c r="E946" t="s">
        <v>266</v>
      </c>
      <c r="F946" s="85" t="s">
        <v>333</v>
      </c>
      <c r="G946"/>
      <c r="H946" t="s">
        <v>294</v>
      </c>
      <c r="I946" t="s">
        <v>207</v>
      </c>
      <c r="J946" t="s">
        <v>176</v>
      </c>
      <c r="K946" s="1">
        <v>14.25</v>
      </c>
      <c r="L946" s="1">
        <v>14.25</v>
      </c>
      <c r="M946" s="1">
        <v>14.25</v>
      </c>
      <c r="N946" s="1">
        <v>14.25</v>
      </c>
      <c r="O946" s="1">
        <v>1225.5</v>
      </c>
      <c r="P946" s="1">
        <v>1225.5</v>
      </c>
      <c r="Q946" s="1">
        <v>1140</v>
      </c>
      <c r="R946" s="1">
        <v>1155.1300000000001</v>
      </c>
      <c r="S946" t="s">
        <v>12</v>
      </c>
      <c r="T946" s="13">
        <v>45991</v>
      </c>
      <c r="U946" s="1" t="str">
        <f>IF(ESTIMATIVA[[#This Row],[QT_AREA_REAL]]&gt;0,"1- Colhido","2- à Colher")</f>
        <v>1- Colhido</v>
      </c>
      <c r="V946" s="1" t="str">
        <f>IF(ESTIMATIVA[[#This Row],[QT_AREA_REST1]]&gt;0,"Reestimativa 1",IF(ESTIMATIVA[[#This Row],[QT_AREA_REAL]]=0,"Reestimativa 1","Realizado"))</f>
        <v>Reestimativa 1</v>
      </c>
      <c r="W946" s="1" t="str">
        <f>IF(ESTIMATIVA[[#This Row],[QT_AREA_REST2]]&gt;0,"Reestimativa 2",IF(ESTIMATIVA[[#This Row],[QT_AREA_REAL]]=0,"Reestimativa 2","Realizado"))</f>
        <v>Reestimativa 2</v>
      </c>
      <c r="X946" s="1">
        <f>ESTIMATIVA[[#This Row],[QT_AREA_EST]]</f>
        <v>14.25</v>
      </c>
      <c r="Y946" s="1">
        <f>IF(ESTIMATIVA[[#This Row],[QT_AREA_REST1]]&gt;0,ESTIMATIVA[[#This Row],[QT_AREA_REST1]],
  IF(ESTIMATIVA[[#This Row],[QT_AREA_REAL]]&gt;0,ESTIMATIVA[[#This Row],[QT_AREA_REAL]],ESTIMATIVA[[#This Row],[QT_AREA_EST]]))</f>
        <v>14.25</v>
      </c>
      <c r="Z94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14.25</v>
      </c>
      <c r="AA946" s="1">
        <f>ESTIMATIVA[[#This Row],[QT_CANA_EST]]</f>
        <v>1225.5</v>
      </c>
      <c r="AB946" s="1">
        <f>IF(ESTIMATIVA[[#This Row],[QT_CANA_REST1]]&gt;0,ESTIMATIVA[[#This Row],[QT_CANA_REST1]],
  IF(ESTIMATIVA[[#This Row],[QT_CANA_REAL]]&gt;0,ESTIMATIVA[[#This Row],[QT_CANA_REAL]],ESTIMATIVA[[#This Row],[QT_CANA_EST]]))</f>
        <v>1225.5</v>
      </c>
      <c r="AC94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1140</v>
      </c>
      <c r="AD946" s="1">
        <f>IF(ESTIMATIVA[[#This Row],[QT_AREA_REAL]]&gt;0,ESTIMATIVA[[#This Row],[QT_CANA_REAL]],ESTIMATIVA[[#This Row],[QT_CANA_EST]])</f>
        <v>1155.1300000000001</v>
      </c>
      <c r="AE946" s="1">
        <f>IF(ESTIMATIVA[[#This Row],[QT_AREA_REAL]]&gt;0,ESTIMATIVA[[#This Row],[QT_CANA_REAL]],ESTIMATIVA[[#This Row],[QT_CANA_REST1]])</f>
        <v>1155.1300000000001</v>
      </c>
      <c r="AF946" s="1">
        <f>IF(ESTIMATIVA[[#This Row],[QT_AREA_REAL]]&gt;0,ESTIMATIVA[[#This Row],[QT_CANA_REAL]],ESTIMATIVA[[#This Row],[QT_CANA_REST2]])</f>
        <v>1155.1300000000001</v>
      </c>
      <c r="AG946" s="1" t="str">
        <f>IF(COUNTIFS(GEADA!A:A,VALUE(ESTIMATIVA[[#This Row],[CD_UPNIVEL1]]&amp;TEXT(ESTIMATIVA[[#This Row],[CD_UPNIVEL3]],"0000")))&gt;0,"S","N")</f>
        <v>N</v>
      </c>
      <c r="AH94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46" s="55" t="str">
        <f>IF(ESTIMATIVA[[#This Row],[TP_CULTIVO]]="Irrigado",_xlfn.MAXIFS(IRRIGADO!J:J,IRRIGADO!C:C,ESTIMATIVA[[#This Row],[CD_UPNIVEL1]],IRRIGADO!E:E,ESTIMATIVA[[#This Row],[CD_UPNIVEL3]]),"")</f>
        <v/>
      </c>
      <c r="AJ94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46" s="1">
        <f>COUNTIFS(Apresentação!$E$23:$E$29,ESTIMATIVA[[#This Row],[CD_UPNIVEL1]])</f>
        <v>0</v>
      </c>
    </row>
    <row r="947" spans="1:37" x14ac:dyDescent="0.3">
      <c r="A947">
        <v>20458</v>
      </c>
      <c r="B947" t="s">
        <v>51</v>
      </c>
      <c r="C947">
        <v>7</v>
      </c>
      <c r="D947">
        <v>2</v>
      </c>
      <c r="E947" t="s">
        <v>266</v>
      </c>
      <c r="F947" s="85" t="s">
        <v>333</v>
      </c>
      <c r="G947"/>
      <c r="H947" t="s">
        <v>294</v>
      </c>
      <c r="I947" t="s">
        <v>207</v>
      </c>
      <c r="J947" t="s">
        <v>176</v>
      </c>
      <c r="K947" s="1">
        <v>28.3</v>
      </c>
      <c r="L947" s="1">
        <v>28.3</v>
      </c>
      <c r="M947" s="1">
        <v>28.3</v>
      </c>
      <c r="N947" s="1">
        <v>28.3</v>
      </c>
      <c r="O947" s="1">
        <v>2433.8000000000002</v>
      </c>
      <c r="P947" s="1">
        <v>2433.8000000000002</v>
      </c>
      <c r="Q947" s="1">
        <v>2433.8000000000002</v>
      </c>
      <c r="R947" s="1">
        <v>2466.41</v>
      </c>
      <c r="S947" t="s">
        <v>12</v>
      </c>
      <c r="T947" s="13">
        <v>45991</v>
      </c>
      <c r="U947" s="1" t="str">
        <f>IF(ESTIMATIVA[[#This Row],[QT_AREA_REAL]]&gt;0,"1- Colhido","2- à Colher")</f>
        <v>1- Colhido</v>
      </c>
      <c r="V947" s="1" t="str">
        <f>IF(ESTIMATIVA[[#This Row],[QT_AREA_REST1]]&gt;0,"Reestimativa 1",IF(ESTIMATIVA[[#This Row],[QT_AREA_REAL]]=0,"Reestimativa 1","Realizado"))</f>
        <v>Reestimativa 1</v>
      </c>
      <c r="W947" s="1" t="str">
        <f>IF(ESTIMATIVA[[#This Row],[QT_AREA_REST2]]&gt;0,"Reestimativa 2",IF(ESTIMATIVA[[#This Row],[QT_AREA_REAL]]=0,"Reestimativa 2","Realizado"))</f>
        <v>Reestimativa 2</v>
      </c>
      <c r="X947" s="1">
        <f>ESTIMATIVA[[#This Row],[QT_AREA_EST]]</f>
        <v>28.3</v>
      </c>
      <c r="Y947" s="1">
        <f>IF(ESTIMATIVA[[#This Row],[QT_AREA_REST1]]&gt;0,ESTIMATIVA[[#This Row],[QT_AREA_REST1]],
  IF(ESTIMATIVA[[#This Row],[QT_AREA_REAL]]&gt;0,ESTIMATIVA[[#This Row],[QT_AREA_REAL]],ESTIMATIVA[[#This Row],[QT_AREA_EST]]))</f>
        <v>28.3</v>
      </c>
      <c r="Z94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28.3</v>
      </c>
      <c r="AA947" s="1">
        <f>ESTIMATIVA[[#This Row],[QT_CANA_EST]]</f>
        <v>2433.8000000000002</v>
      </c>
      <c r="AB947" s="1">
        <f>IF(ESTIMATIVA[[#This Row],[QT_CANA_REST1]]&gt;0,ESTIMATIVA[[#This Row],[QT_CANA_REST1]],
  IF(ESTIMATIVA[[#This Row],[QT_CANA_REAL]]&gt;0,ESTIMATIVA[[#This Row],[QT_CANA_REAL]],ESTIMATIVA[[#This Row],[QT_CANA_EST]]))</f>
        <v>2433.8000000000002</v>
      </c>
      <c r="AC94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2433.8000000000002</v>
      </c>
      <c r="AD947" s="1">
        <f>IF(ESTIMATIVA[[#This Row],[QT_AREA_REAL]]&gt;0,ESTIMATIVA[[#This Row],[QT_CANA_REAL]],ESTIMATIVA[[#This Row],[QT_CANA_EST]])</f>
        <v>2466.41</v>
      </c>
      <c r="AE947" s="1">
        <f>IF(ESTIMATIVA[[#This Row],[QT_AREA_REAL]]&gt;0,ESTIMATIVA[[#This Row],[QT_CANA_REAL]],ESTIMATIVA[[#This Row],[QT_CANA_REST1]])</f>
        <v>2466.41</v>
      </c>
      <c r="AF947" s="1">
        <f>IF(ESTIMATIVA[[#This Row],[QT_AREA_REAL]]&gt;0,ESTIMATIVA[[#This Row],[QT_CANA_REAL]],ESTIMATIVA[[#This Row],[QT_CANA_REST2]])</f>
        <v>2466.41</v>
      </c>
      <c r="AG947" s="1" t="str">
        <f>IF(COUNTIFS(GEADA!A:A,VALUE(ESTIMATIVA[[#This Row],[CD_UPNIVEL1]]&amp;TEXT(ESTIMATIVA[[#This Row],[CD_UPNIVEL3]],"0000")))&gt;0,"S","N")</f>
        <v>N</v>
      </c>
      <c r="AH94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47" s="55" t="str">
        <f>IF(ESTIMATIVA[[#This Row],[TP_CULTIVO]]="Irrigado",_xlfn.MAXIFS(IRRIGADO!J:J,IRRIGADO!C:C,ESTIMATIVA[[#This Row],[CD_UPNIVEL1]],IRRIGADO!E:E,ESTIMATIVA[[#This Row],[CD_UPNIVEL3]]),"")</f>
        <v/>
      </c>
      <c r="AJ94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47" s="1">
        <f>COUNTIFS(Apresentação!$E$23:$E$29,ESTIMATIVA[[#This Row],[CD_UPNIVEL1]])</f>
        <v>0</v>
      </c>
    </row>
    <row r="948" spans="1:37" x14ac:dyDescent="0.3">
      <c r="A948">
        <v>20458</v>
      </c>
      <c r="B948" t="s">
        <v>51</v>
      </c>
      <c r="C948">
        <v>8</v>
      </c>
      <c r="D948">
        <v>2</v>
      </c>
      <c r="E948" t="s">
        <v>266</v>
      </c>
      <c r="F948" s="85" t="s">
        <v>331</v>
      </c>
      <c r="G948"/>
      <c r="H948" t="s">
        <v>294</v>
      </c>
      <c r="I948" t="s">
        <v>207</v>
      </c>
      <c r="J948" t="s">
        <v>176</v>
      </c>
      <c r="K948" s="1">
        <v>5.75</v>
      </c>
      <c r="L948" s="1">
        <v>5.75</v>
      </c>
      <c r="M948" s="1">
        <v>0</v>
      </c>
      <c r="N948" s="1">
        <v>5.75</v>
      </c>
      <c r="O948" s="1">
        <v>494.5</v>
      </c>
      <c r="P948" s="1">
        <v>494.5</v>
      </c>
      <c r="Q948" s="1">
        <v>0</v>
      </c>
      <c r="R948" s="1">
        <v>700.04</v>
      </c>
      <c r="S948" t="s">
        <v>12</v>
      </c>
      <c r="T948" s="13">
        <v>45921</v>
      </c>
      <c r="U948" s="1" t="str">
        <f>IF(ESTIMATIVA[[#This Row],[QT_AREA_REAL]]&gt;0,"1- Colhido","2- à Colher")</f>
        <v>1- Colhido</v>
      </c>
      <c r="V948" s="1" t="str">
        <f>IF(ESTIMATIVA[[#This Row],[QT_AREA_REST1]]&gt;0,"Reestimativa 1",IF(ESTIMATIVA[[#This Row],[QT_AREA_REAL]]=0,"Reestimativa 1","Realizado"))</f>
        <v>Reestimativa 1</v>
      </c>
      <c r="W948" s="1" t="str">
        <f>IF(ESTIMATIVA[[#This Row],[QT_AREA_REST2]]&gt;0,"Reestimativa 2",IF(ESTIMATIVA[[#This Row],[QT_AREA_REAL]]=0,"Reestimativa 2","Realizado"))</f>
        <v>Realizado</v>
      </c>
      <c r="X948" s="1">
        <f>ESTIMATIVA[[#This Row],[QT_AREA_EST]]</f>
        <v>5.75</v>
      </c>
      <c r="Y948" s="1">
        <f>IF(ESTIMATIVA[[#This Row],[QT_AREA_REST1]]&gt;0,ESTIMATIVA[[#This Row],[QT_AREA_REST1]],
  IF(ESTIMATIVA[[#This Row],[QT_AREA_REAL]]&gt;0,ESTIMATIVA[[#This Row],[QT_AREA_REAL]],ESTIMATIVA[[#This Row],[QT_AREA_EST]]))</f>
        <v>5.75</v>
      </c>
      <c r="Z94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5.75</v>
      </c>
      <c r="AA948" s="1">
        <f>ESTIMATIVA[[#This Row],[QT_CANA_EST]]</f>
        <v>494.5</v>
      </c>
      <c r="AB948" s="1">
        <f>IF(ESTIMATIVA[[#This Row],[QT_CANA_REST1]]&gt;0,ESTIMATIVA[[#This Row],[QT_CANA_REST1]],
  IF(ESTIMATIVA[[#This Row],[QT_CANA_REAL]]&gt;0,ESTIMATIVA[[#This Row],[QT_CANA_REAL]],ESTIMATIVA[[#This Row],[QT_CANA_EST]]))</f>
        <v>494.5</v>
      </c>
      <c r="AC94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700.04</v>
      </c>
      <c r="AD948" s="1">
        <f>IF(ESTIMATIVA[[#This Row],[QT_AREA_REAL]]&gt;0,ESTIMATIVA[[#This Row],[QT_CANA_REAL]],ESTIMATIVA[[#This Row],[QT_CANA_EST]])</f>
        <v>700.04</v>
      </c>
      <c r="AE948" s="1">
        <f>IF(ESTIMATIVA[[#This Row],[QT_AREA_REAL]]&gt;0,ESTIMATIVA[[#This Row],[QT_CANA_REAL]],ESTIMATIVA[[#This Row],[QT_CANA_REST1]])</f>
        <v>700.04</v>
      </c>
      <c r="AF948" s="1">
        <f>IF(ESTIMATIVA[[#This Row],[QT_AREA_REAL]]&gt;0,ESTIMATIVA[[#This Row],[QT_CANA_REAL]],ESTIMATIVA[[#This Row],[QT_CANA_REST2]])</f>
        <v>700.04</v>
      </c>
      <c r="AG948" s="1" t="str">
        <f>IF(COUNTIFS(GEADA!A:A,VALUE(ESTIMATIVA[[#This Row],[CD_UPNIVEL1]]&amp;TEXT(ESTIMATIVA[[#This Row],[CD_UPNIVEL3]],"0000")))&gt;0,"S","N")</f>
        <v>N</v>
      </c>
      <c r="AH94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48" s="55" t="str">
        <f>IF(ESTIMATIVA[[#This Row],[TP_CULTIVO]]="Irrigado",_xlfn.MAXIFS(IRRIGADO!J:J,IRRIGADO!C:C,ESTIMATIVA[[#This Row],[CD_UPNIVEL1]],IRRIGADO!E:E,ESTIMATIVA[[#This Row],[CD_UPNIVEL3]]),"")</f>
        <v/>
      </c>
      <c r="AJ94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48" s="1">
        <f>COUNTIFS(Apresentação!$E$23:$E$29,ESTIMATIVA[[#This Row],[CD_UPNIVEL1]])</f>
        <v>0</v>
      </c>
    </row>
    <row r="949" spans="1:37" x14ac:dyDescent="0.3">
      <c r="A949">
        <v>20458</v>
      </c>
      <c r="B949" t="s">
        <v>51</v>
      </c>
      <c r="C949">
        <v>9</v>
      </c>
      <c r="D949">
        <v>2</v>
      </c>
      <c r="E949" t="s">
        <v>266</v>
      </c>
      <c r="F949" s="85" t="s">
        <v>331</v>
      </c>
      <c r="G949"/>
      <c r="H949" t="s">
        <v>294</v>
      </c>
      <c r="I949" t="s">
        <v>207</v>
      </c>
      <c r="J949" t="s">
        <v>176</v>
      </c>
      <c r="K949" s="1">
        <v>2.41</v>
      </c>
      <c r="L949" s="1">
        <v>2.41</v>
      </c>
      <c r="M949" s="1">
        <v>0</v>
      </c>
      <c r="N949" s="1">
        <v>2.41</v>
      </c>
      <c r="O949" s="1">
        <v>207.26</v>
      </c>
      <c r="P949" s="1">
        <v>192.8</v>
      </c>
      <c r="Q949" s="1">
        <v>0</v>
      </c>
      <c r="R949" s="1">
        <v>272.97000000000003</v>
      </c>
      <c r="S949" t="s">
        <v>12</v>
      </c>
      <c r="T949" s="13">
        <v>45921</v>
      </c>
      <c r="U949" s="1" t="str">
        <f>IF(ESTIMATIVA[[#This Row],[QT_AREA_REAL]]&gt;0,"1- Colhido","2- à Colher")</f>
        <v>1- Colhido</v>
      </c>
      <c r="V949" s="1" t="str">
        <f>IF(ESTIMATIVA[[#This Row],[QT_AREA_REST1]]&gt;0,"Reestimativa 1",IF(ESTIMATIVA[[#This Row],[QT_AREA_REAL]]=0,"Reestimativa 1","Realizado"))</f>
        <v>Reestimativa 1</v>
      </c>
      <c r="W949" s="1" t="str">
        <f>IF(ESTIMATIVA[[#This Row],[QT_AREA_REST2]]&gt;0,"Reestimativa 2",IF(ESTIMATIVA[[#This Row],[QT_AREA_REAL]]=0,"Reestimativa 2","Realizado"))</f>
        <v>Realizado</v>
      </c>
      <c r="X949" s="1">
        <f>ESTIMATIVA[[#This Row],[QT_AREA_EST]]</f>
        <v>2.41</v>
      </c>
      <c r="Y949" s="1">
        <f>IF(ESTIMATIVA[[#This Row],[QT_AREA_REST1]]&gt;0,ESTIMATIVA[[#This Row],[QT_AREA_REST1]],
  IF(ESTIMATIVA[[#This Row],[QT_AREA_REAL]]&gt;0,ESTIMATIVA[[#This Row],[QT_AREA_REAL]],ESTIMATIVA[[#This Row],[QT_AREA_EST]]))</f>
        <v>2.41</v>
      </c>
      <c r="Z94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2.41</v>
      </c>
      <c r="AA949" s="1">
        <f>ESTIMATIVA[[#This Row],[QT_CANA_EST]]</f>
        <v>207.26</v>
      </c>
      <c r="AB949" s="1">
        <f>IF(ESTIMATIVA[[#This Row],[QT_CANA_REST1]]&gt;0,ESTIMATIVA[[#This Row],[QT_CANA_REST1]],
  IF(ESTIMATIVA[[#This Row],[QT_CANA_REAL]]&gt;0,ESTIMATIVA[[#This Row],[QT_CANA_REAL]],ESTIMATIVA[[#This Row],[QT_CANA_EST]]))</f>
        <v>192.8</v>
      </c>
      <c r="AC94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272.97000000000003</v>
      </c>
      <c r="AD949" s="1">
        <f>IF(ESTIMATIVA[[#This Row],[QT_AREA_REAL]]&gt;0,ESTIMATIVA[[#This Row],[QT_CANA_REAL]],ESTIMATIVA[[#This Row],[QT_CANA_EST]])</f>
        <v>272.97000000000003</v>
      </c>
      <c r="AE949" s="1">
        <f>IF(ESTIMATIVA[[#This Row],[QT_AREA_REAL]]&gt;0,ESTIMATIVA[[#This Row],[QT_CANA_REAL]],ESTIMATIVA[[#This Row],[QT_CANA_REST1]])</f>
        <v>272.97000000000003</v>
      </c>
      <c r="AF949" s="1">
        <f>IF(ESTIMATIVA[[#This Row],[QT_AREA_REAL]]&gt;0,ESTIMATIVA[[#This Row],[QT_CANA_REAL]],ESTIMATIVA[[#This Row],[QT_CANA_REST2]])</f>
        <v>272.97000000000003</v>
      </c>
      <c r="AG949" s="1" t="str">
        <f>IF(COUNTIFS(GEADA!A:A,VALUE(ESTIMATIVA[[#This Row],[CD_UPNIVEL1]]&amp;TEXT(ESTIMATIVA[[#This Row],[CD_UPNIVEL3]],"0000")))&gt;0,"S","N")</f>
        <v>N</v>
      </c>
      <c r="AH94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49" s="55" t="str">
        <f>IF(ESTIMATIVA[[#This Row],[TP_CULTIVO]]="Irrigado",_xlfn.MAXIFS(IRRIGADO!J:J,IRRIGADO!C:C,ESTIMATIVA[[#This Row],[CD_UPNIVEL1]],IRRIGADO!E:E,ESTIMATIVA[[#This Row],[CD_UPNIVEL3]]),"")</f>
        <v/>
      </c>
      <c r="AJ94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49" s="1">
        <f>COUNTIFS(Apresentação!$E$23:$E$29,ESTIMATIVA[[#This Row],[CD_UPNIVEL1]])</f>
        <v>0</v>
      </c>
    </row>
    <row r="950" spans="1:37" x14ac:dyDescent="0.3">
      <c r="A950">
        <v>20458</v>
      </c>
      <c r="B950" t="s">
        <v>51</v>
      </c>
      <c r="C950">
        <v>10</v>
      </c>
      <c r="D950">
        <v>2</v>
      </c>
      <c r="E950" t="s">
        <v>266</v>
      </c>
      <c r="F950" s="85" t="s">
        <v>331</v>
      </c>
      <c r="G950"/>
      <c r="H950" t="s">
        <v>294</v>
      </c>
      <c r="I950" t="s">
        <v>207</v>
      </c>
      <c r="J950" t="s">
        <v>176</v>
      </c>
      <c r="K950" s="1">
        <v>1.56</v>
      </c>
      <c r="L950" s="1">
        <v>1.56</v>
      </c>
      <c r="M950" s="1">
        <v>1.56</v>
      </c>
      <c r="N950" s="1">
        <v>1.56</v>
      </c>
      <c r="O950" s="1">
        <v>134.16</v>
      </c>
      <c r="P950" s="1">
        <v>124.8</v>
      </c>
      <c r="Q950" s="1">
        <v>124.8</v>
      </c>
      <c r="R950" s="1">
        <v>126.93</v>
      </c>
      <c r="S950" t="s">
        <v>12</v>
      </c>
      <c r="T950" s="13">
        <v>45991</v>
      </c>
      <c r="U950" s="1" t="str">
        <f>IF(ESTIMATIVA[[#This Row],[QT_AREA_REAL]]&gt;0,"1- Colhido","2- à Colher")</f>
        <v>1- Colhido</v>
      </c>
      <c r="V950" s="1" t="str">
        <f>IF(ESTIMATIVA[[#This Row],[QT_AREA_REST1]]&gt;0,"Reestimativa 1",IF(ESTIMATIVA[[#This Row],[QT_AREA_REAL]]=0,"Reestimativa 1","Realizado"))</f>
        <v>Reestimativa 1</v>
      </c>
      <c r="W950" s="1" t="str">
        <f>IF(ESTIMATIVA[[#This Row],[QT_AREA_REST2]]&gt;0,"Reestimativa 2",IF(ESTIMATIVA[[#This Row],[QT_AREA_REAL]]=0,"Reestimativa 2","Realizado"))</f>
        <v>Reestimativa 2</v>
      </c>
      <c r="X950" s="1">
        <f>ESTIMATIVA[[#This Row],[QT_AREA_EST]]</f>
        <v>1.56</v>
      </c>
      <c r="Y950" s="1">
        <f>IF(ESTIMATIVA[[#This Row],[QT_AREA_REST1]]&gt;0,ESTIMATIVA[[#This Row],[QT_AREA_REST1]],
  IF(ESTIMATIVA[[#This Row],[QT_AREA_REAL]]&gt;0,ESTIMATIVA[[#This Row],[QT_AREA_REAL]],ESTIMATIVA[[#This Row],[QT_AREA_EST]]))</f>
        <v>1.56</v>
      </c>
      <c r="Z95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1.56</v>
      </c>
      <c r="AA950" s="1">
        <f>ESTIMATIVA[[#This Row],[QT_CANA_EST]]</f>
        <v>134.16</v>
      </c>
      <c r="AB950" s="1">
        <f>IF(ESTIMATIVA[[#This Row],[QT_CANA_REST1]]&gt;0,ESTIMATIVA[[#This Row],[QT_CANA_REST1]],
  IF(ESTIMATIVA[[#This Row],[QT_CANA_REAL]]&gt;0,ESTIMATIVA[[#This Row],[QT_CANA_REAL]],ESTIMATIVA[[#This Row],[QT_CANA_EST]]))</f>
        <v>124.8</v>
      </c>
      <c r="AC95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124.8</v>
      </c>
      <c r="AD950" s="1">
        <f>IF(ESTIMATIVA[[#This Row],[QT_AREA_REAL]]&gt;0,ESTIMATIVA[[#This Row],[QT_CANA_REAL]],ESTIMATIVA[[#This Row],[QT_CANA_EST]])</f>
        <v>126.93</v>
      </c>
      <c r="AE950" s="1">
        <f>IF(ESTIMATIVA[[#This Row],[QT_AREA_REAL]]&gt;0,ESTIMATIVA[[#This Row],[QT_CANA_REAL]],ESTIMATIVA[[#This Row],[QT_CANA_REST1]])</f>
        <v>126.93</v>
      </c>
      <c r="AF950" s="1">
        <f>IF(ESTIMATIVA[[#This Row],[QT_AREA_REAL]]&gt;0,ESTIMATIVA[[#This Row],[QT_CANA_REAL]],ESTIMATIVA[[#This Row],[QT_CANA_REST2]])</f>
        <v>126.93</v>
      </c>
      <c r="AG950" s="1" t="str">
        <f>IF(COUNTIFS(GEADA!A:A,VALUE(ESTIMATIVA[[#This Row],[CD_UPNIVEL1]]&amp;TEXT(ESTIMATIVA[[#This Row],[CD_UPNIVEL3]],"0000")))&gt;0,"S","N")</f>
        <v>N</v>
      </c>
      <c r="AH95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50" s="55" t="str">
        <f>IF(ESTIMATIVA[[#This Row],[TP_CULTIVO]]="Irrigado",_xlfn.MAXIFS(IRRIGADO!J:J,IRRIGADO!C:C,ESTIMATIVA[[#This Row],[CD_UPNIVEL1]],IRRIGADO!E:E,ESTIMATIVA[[#This Row],[CD_UPNIVEL3]]),"")</f>
        <v/>
      </c>
      <c r="AJ95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50" s="1">
        <f>COUNTIFS(Apresentação!$E$23:$E$29,ESTIMATIVA[[#This Row],[CD_UPNIVEL1]])</f>
        <v>0</v>
      </c>
    </row>
    <row r="951" spans="1:37" x14ac:dyDescent="0.3">
      <c r="A951">
        <v>20459</v>
      </c>
      <c r="B951" t="s">
        <v>141</v>
      </c>
      <c r="C951">
        <v>1</v>
      </c>
      <c r="D951">
        <v>2</v>
      </c>
      <c r="E951" t="s">
        <v>266</v>
      </c>
      <c r="F951" s="85" t="s">
        <v>333</v>
      </c>
      <c r="G951"/>
      <c r="H951" t="s">
        <v>294</v>
      </c>
      <c r="I951" t="s">
        <v>207</v>
      </c>
      <c r="J951" t="s">
        <v>176</v>
      </c>
      <c r="K951" s="1">
        <v>18.760000000000002</v>
      </c>
      <c r="L951" s="1">
        <v>18.760000000000002</v>
      </c>
      <c r="M951" s="1">
        <v>18.760000000000002</v>
      </c>
      <c r="N951" s="1">
        <v>18.760000000000002</v>
      </c>
      <c r="O951" s="1">
        <v>1632.12</v>
      </c>
      <c r="P951" s="1">
        <v>1650.88</v>
      </c>
      <c r="Q951" s="1">
        <v>1650.88</v>
      </c>
      <c r="R951" s="1">
        <v>1699.93</v>
      </c>
      <c r="S951" t="s">
        <v>12</v>
      </c>
      <c r="T951" s="13">
        <v>45942</v>
      </c>
      <c r="U951" s="1" t="str">
        <f>IF(ESTIMATIVA[[#This Row],[QT_AREA_REAL]]&gt;0,"1- Colhido","2- à Colher")</f>
        <v>1- Colhido</v>
      </c>
      <c r="V951" s="1" t="str">
        <f>IF(ESTIMATIVA[[#This Row],[QT_AREA_REST1]]&gt;0,"Reestimativa 1",IF(ESTIMATIVA[[#This Row],[QT_AREA_REAL]]=0,"Reestimativa 1","Realizado"))</f>
        <v>Reestimativa 1</v>
      </c>
      <c r="W951" s="1" t="str">
        <f>IF(ESTIMATIVA[[#This Row],[QT_AREA_REST2]]&gt;0,"Reestimativa 2",IF(ESTIMATIVA[[#This Row],[QT_AREA_REAL]]=0,"Reestimativa 2","Realizado"))</f>
        <v>Reestimativa 2</v>
      </c>
      <c r="X951" s="1">
        <f>ESTIMATIVA[[#This Row],[QT_AREA_EST]]</f>
        <v>18.760000000000002</v>
      </c>
      <c r="Y951" s="1">
        <f>IF(ESTIMATIVA[[#This Row],[QT_AREA_REST1]]&gt;0,ESTIMATIVA[[#This Row],[QT_AREA_REST1]],
  IF(ESTIMATIVA[[#This Row],[QT_AREA_REAL]]&gt;0,ESTIMATIVA[[#This Row],[QT_AREA_REAL]],ESTIMATIVA[[#This Row],[QT_AREA_EST]]))</f>
        <v>18.760000000000002</v>
      </c>
      <c r="Z95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18.760000000000002</v>
      </c>
      <c r="AA951" s="1">
        <f>ESTIMATIVA[[#This Row],[QT_CANA_EST]]</f>
        <v>1632.12</v>
      </c>
      <c r="AB951" s="1">
        <f>IF(ESTIMATIVA[[#This Row],[QT_CANA_REST1]]&gt;0,ESTIMATIVA[[#This Row],[QT_CANA_REST1]],
  IF(ESTIMATIVA[[#This Row],[QT_CANA_REAL]]&gt;0,ESTIMATIVA[[#This Row],[QT_CANA_REAL]],ESTIMATIVA[[#This Row],[QT_CANA_EST]]))</f>
        <v>1650.88</v>
      </c>
      <c r="AC95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1650.88</v>
      </c>
      <c r="AD951" s="1">
        <f>IF(ESTIMATIVA[[#This Row],[QT_AREA_REAL]]&gt;0,ESTIMATIVA[[#This Row],[QT_CANA_REAL]],ESTIMATIVA[[#This Row],[QT_CANA_EST]])</f>
        <v>1699.93</v>
      </c>
      <c r="AE951" s="1">
        <f>IF(ESTIMATIVA[[#This Row],[QT_AREA_REAL]]&gt;0,ESTIMATIVA[[#This Row],[QT_CANA_REAL]],ESTIMATIVA[[#This Row],[QT_CANA_REST1]])</f>
        <v>1699.93</v>
      </c>
      <c r="AF951" s="1">
        <f>IF(ESTIMATIVA[[#This Row],[QT_AREA_REAL]]&gt;0,ESTIMATIVA[[#This Row],[QT_CANA_REAL]],ESTIMATIVA[[#This Row],[QT_CANA_REST2]])</f>
        <v>1699.93</v>
      </c>
      <c r="AG951" s="1" t="str">
        <f>IF(COUNTIFS(GEADA!A:A,VALUE(ESTIMATIVA[[#This Row],[CD_UPNIVEL1]]&amp;TEXT(ESTIMATIVA[[#This Row],[CD_UPNIVEL3]],"0000")))&gt;0,"S","N")</f>
        <v>N</v>
      </c>
      <c r="AH95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51" s="55" t="str">
        <f>IF(ESTIMATIVA[[#This Row],[TP_CULTIVO]]="Irrigado",_xlfn.MAXIFS(IRRIGADO!J:J,IRRIGADO!C:C,ESTIMATIVA[[#This Row],[CD_UPNIVEL1]],IRRIGADO!E:E,ESTIMATIVA[[#This Row],[CD_UPNIVEL3]]),"")</f>
        <v/>
      </c>
      <c r="AJ95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51" s="1">
        <f>COUNTIFS(Apresentação!$E$23:$E$29,ESTIMATIVA[[#This Row],[CD_UPNIVEL1]])</f>
        <v>0</v>
      </c>
    </row>
    <row r="952" spans="1:37" x14ac:dyDescent="0.3">
      <c r="A952">
        <v>20459</v>
      </c>
      <c r="B952" t="s">
        <v>141</v>
      </c>
      <c r="C952">
        <v>2</v>
      </c>
      <c r="D952">
        <v>2</v>
      </c>
      <c r="E952" t="s">
        <v>266</v>
      </c>
      <c r="F952" s="85" t="s">
        <v>333</v>
      </c>
      <c r="G952"/>
      <c r="H952" t="s">
        <v>294</v>
      </c>
      <c r="I952" t="s">
        <v>207</v>
      </c>
      <c r="J952" t="s">
        <v>176</v>
      </c>
      <c r="K952" s="1">
        <v>9.5500000000000007</v>
      </c>
      <c r="L952" s="1">
        <v>9.5500000000000007</v>
      </c>
      <c r="M952" s="1">
        <v>9.5500000000000007</v>
      </c>
      <c r="N952" s="1">
        <v>9.5500000000000007</v>
      </c>
      <c r="O952" s="1">
        <v>830.85</v>
      </c>
      <c r="P952" s="1">
        <v>744.9</v>
      </c>
      <c r="Q952" s="1">
        <v>744.9</v>
      </c>
      <c r="R952" s="1">
        <v>767.14</v>
      </c>
      <c r="S952" t="s">
        <v>12</v>
      </c>
      <c r="T952" s="13">
        <v>45942</v>
      </c>
      <c r="U952" s="1" t="str">
        <f>IF(ESTIMATIVA[[#This Row],[QT_AREA_REAL]]&gt;0,"1- Colhido","2- à Colher")</f>
        <v>1- Colhido</v>
      </c>
      <c r="V952" s="1" t="str">
        <f>IF(ESTIMATIVA[[#This Row],[QT_AREA_REST1]]&gt;0,"Reestimativa 1",IF(ESTIMATIVA[[#This Row],[QT_AREA_REAL]]=0,"Reestimativa 1","Realizado"))</f>
        <v>Reestimativa 1</v>
      </c>
      <c r="W952" s="1" t="str">
        <f>IF(ESTIMATIVA[[#This Row],[QT_AREA_REST2]]&gt;0,"Reestimativa 2",IF(ESTIMATIVA[[#This Row],[QT_AREA_REAL]]=0,"Reestimativa 2","Realizado"))</f>
        <v>Reestimativa 2</v>
      </c>
      <c r="X952" s="1">
        <f>ESTIMATIVA[[#This Row],[QT_AREA_EST]]</f>
        <v>9.5500000000000007</v>
      </c>
      <c r="Y952" s="1">
        <f>IF(ESTIMATIVA[[#This Row],[QT_AREA_REST1]]&gt;0,ESTIMATIVA[[#This Row],[QT_AREA_REST1]],
  IF(ESTIMATIVA[[#This Row],[QT_AREA_REAL]]&gt;0,ESTIMATIVA[[#This Row],[QT_AREA_REAL]],ESTIMATIVA[[#This Row],[QT_AREA_EST]]))</f>
        <v>9.5500000000000007</v>
      </c>
      <c r="Z95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9.5500000000000007</v>
      </c>
      <c r="AA952" s="1">
        <f>ESTIMATIVA[[#This Row],[QT_CANA_EST]]</f>
        <v>830.85</v>
      </c>
      <c r="AB952" s="1">
        <f>IF(ESTIMATIVA[[#This Row],[QT_CANA_REST1]]&gt;0,ESTIMATIVA[[#This Row],[QT_CANA_REST1]],
  IF(ESTIMATIVA[[#This Row],[QT_CANA_REAL]]&gt;0,ESTIMATIVA[[#This Row],[QT_CANA_REAL]],ESTIMATIVA[[#This Row],[QT_CANA_EST]]))</f>
        <v>744.9</v>
      </c>
      <c r="AC95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744.9</v>
      </c>
      <c r="AD952" s="1">
        <f>IF(ESTIMATIVA[[#This Row],[QT_AREA_REAL]]&gt;0,ESTIMATIVA[[#This Row],[QT_CANA_REAL]],ESTIMATIVA[[#This Row],[QT_CANA_EST]])</f>
        <v>767.14</v>
      </c>
      <c r="AE952" s="1">
        <f>IF(ESTIMATIVA[[#This Row],[QT_AREA_REAL]]&gt;0,ESTIMATIVA[[#This Row],[QT_CANA_REAL]],ESTIMATIVA[[#This Row],[QT_CANA_REST1]])</f>
        <v>767.14</v>
      </c>
      <c r="AF952" s="1">
        <f>IF(ESTIMATIVA[[#This Row],[QT_AREA_REAL]]&gt;0,ESTIMATIVA[[#This Row],[QT_CANA_REAL]],ESTIMATIVA[[#This Row],[QT_CANA_REST2]])</f>
        <v>767.14</v>
      </c>
      <c r="AG952" s="1" t="str">
        <f>IF(COUNTIFS(GEADA!A:A,VALUE(ESTIMATIVA[[#This Row],[CD_UPNIVEL1]]&amp;TEXT(ESTIMATIVA[[#This Row],[CD_UPNIVEL3]],"0000")))&gt;0,"S","N")</f>
        <v>S</v>
      </c>
      <c r="AH95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52" s="55" t="str">
        <f>IF(ESTIMATIVA[[#This Row],[TP_CULTIVO]]="Irrigado",_xlfn.MAXIFS(IRRIGADO!J:J,IRRIGADO!C:C,ESTIMATIVA[[#This Row],[CD_UPNIVEL1]],IRRIGADO!E:E,ESTIMATIVA[[#This Row],[CD_UPNIVEL3]]),"")</f>
        <v/>
      </c>
      <c r="AJ95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52" s="1">
        <f>COUNTIFS(Apresentação!$E$23:$E$29,ESTIMATIVA[[#This Row],[CD_UPNIVEL1]])</f>
        <v>0</v>
      </c>
    </row>
    <row r="953" spans="1:37" x14ac:dyDescent="0.3">
      <c r="A953">
        <v>20460</v>
      </c>
      <c r="B953" t="s">
        <v>18</v>
      </c>
      <c r="C953">
        <v>4</v>
      </c>
      <c r="D953">
        <v>3</v>
      </c>
      <c r="E953" t="s">
        <v>263</v>
      </c>
      <c r="F953" s="85" t="s">
        <v>333</v>
      </c>
      <c r="G953"/>
      <c r="H953" t="s">
        <v>294</v>
      </c>
      <c r="I953" t="s">
        <v>205</v>
      </c>
      <c r="J953" t="s">
        <v>176</v>
      </c>
      <c r="K953" s="1">
        <v>19.04</v>
      </c>
      <c r="L953" s="1">
        <v>19.04</v>
      </c>
      <c r="M953" s="1">
        <v>0</v>
      </c>
      <c r="N953" s="1">
        <v>19.04</v>
      </c>
      <c r="O953" s="1">
        <v>1447.04</v>
      </c>
      <c r="P953" s="1">
        <v>1447.04</v>
      </c>
      <c r="Q953" s="1">
        <v>0</v>
      </c>
      <c r="R953" s="1">
        <v>1475.82</v>
      </c>
      <c r="S953" t="s">
        <v>12</v>
      </c>
      <c r="T953" s="13">
        <v>45907</v>
      </c>
      <c r="U953" s="1" t="str">
        <f>IF(ESTIMATIVA[[#This Row],[QT_AREA_REAL]]&gt;0,"1- Colhido","2- à Colher")</f>
        <v>1- Colhido</v>
      </c>
      <c r="V953" s="1" t="str">
        <f>IF(ESTIMATIVA[[#This Row],[QT_AREA_REST1]]&gt;0,"Reestimativa 1",IF(ESTIMATIVA[[#This Row],[QT_AREA_REAL]]=0,"Reestimativa 1","Realizado"))</f>
        <v>Reestimativa 1</v>
      </c>
      <c r="W953" s="1" t="str">
        <f>IF(ESTIMATIVA[[#This Row],[QT_AREA_REST2]]&gt;0,"Reestimativa 2",IF(ESTIMATIVA[[#This Row],[QT_AREA_REAL]]=0,"Reestimativa 2","Realizado"))</f>
        <v>Realizado</v>
      </c>
      <c r="X953" s="1">
        <f>ESTIMATIVA[[#This Row],[QT_AREA_EST]]</f>
        <v>19.04</v>
      </c>
      <c r="Y953" s="1">
        <f>IF(ESTIMATIVA[[#This Row],[QT_AREA_REST1]]&gt;0,ESTIMATIVA[[#This Row],[QT_AREA_REST1]],
  IF(ESTIMATIVA[[#This Row],[QT_AREA_REAL]]&gt;0,ESTIMATIVA[[#This Row],[QT_AREA_REAL]],ESTIMATIVA[[#This Row],[QT_AREA_EST]]))</f>
        <v>19.04</v>
      </c>
      <c r="Z95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19.04</v>
      </c>
      <c r="AA953" s="1">
        <f>ESTIMATIVA[[#This Row],[QT_CANA_EST]]</f>
        <v>1447.04</v>
      </c>
      <c r="AB953" s="1">
        <f>IF(ESTIMATIVA[[#This Row],[QT_CANA_REST1]]&gt;0,ESTIMATIVA[[#This Row],[QT_CANA_REST1]],
  IF(ESTIMATIVA[[#This Row],[QT_CANA_REAL]]&gt;0,ESTIMATIVA[[#This Row],[QT_CANA_REAL]],ESTIMATIVA[[#This Row],[QT_CANA_EST]]))</f>
        <v>1447.04</v>
      </c>
      <c r="AC95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1475.82</v>
      </c>
      <c r="AD953" s="1">
        <f>IF(ESTIMATIVA[[#This Row],[QT_AREA_REAL]]&gt;0,ESTIMATIVA[[#This Row],[QT_CANA_REAL]],ESTIMATIVA[[#This Row],[QT_CANA_EST]])</f>
        <v>1475.82</v>
      </c>
      <c r="AE953" s="1">
        <f>IF(ESTIMATIVA[[#This Row],[QT_AREA_REAL]]&gt;0,ESTIMATIVA[[#This Row],[QT_CANA_REAL]],ESTIMATIVA[[#This Row],[QT_CANA_REST1]])</f>
        <v>1475.82</v>
      </c>
      <c r="AF953" s="1">
        <f>IF(ESTIMATIVA[[#This Row],[QT_AREA_REAL]]&gt;0,ESTIMATIVA[[#This Row],[QT_CANA_REAL]],ESTIMATIVA[[#This Row],[QT_CANA_REST2]])</f>
        <v>1475.82</v>
      </c>
      <c r="AG953" s="1" t="str">
        <f>IF(COUNTIFS(GEADA!A:A,VALUE(ESTIMATIVA[[#This Row],[CD_UPNIVEL1]]&amp;TEXT(ESTIMATIVA[[#This Row],[CD_UPNIVEL3]],"0000")))&gt;0,"S","N")</f>
        <v>N</v>
      </c>
      <c r="AH95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53" s="55" t="str">
        <f>IF(ESTIMATIVA[[#This Row],[TP_CULTIVO]]="Irrigado",_xlfn.MAXIFS(IRRIGADO!J:J,IRRIGADO!C:C,ESTIMATIVA[[#This Row],[CD_UPNIVEL1]],IRRIGADO!E:E,ESTIMATIVA[[#This Row],[CD_UPNIVEL3]]),"")</f>
        <v/>
      </c>
      <c r="AJ95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53" s="1">
        <f>COUNTIFS(Apresentação!$E$23:$E$29,ESTIMATIVA[[#This Row],[CD_UPNIVEL1]])</f>
        <v>0</v>
      </c>
    </row>
    <row r="954" spans="1:37" x14ac:dyDescent="0.3">
      <c r="A954">
        <v>20460</v>
      </c>
      <c r="B954" t="s">
        <v>18</v>
      </c>
      <c r="C954">
        <v>5</v>
      </c>
      <c r="D954">
        <v>3</v>
      </c>
      <c r="E954" t="s">
        <v>263</v>
      </c>
      <c r="F954" s="85" t="s">
        <v>333</v>
      </c>
      <c r="G954"/>
      <c r="H954" t="s">
        <v>294</v>
      </c>
      <c r="I954" t="s">
        <v>205</v>
      </c>
      <c r="J954" t="s">
        <v>176</v>
      </c>
      <c r="K954" s="1">
        <v>27.1</v>
      </c>
      <c r="L954" s="1">
        <v>27.1</v>
      </c>
      <c r="M954" s="1">
        <v>0</v>
      </c>
      <c r="N954" s="1">
        <v>27.1</v>
      </c>
      <c r="O954" s="1">
        <v>2059.6</v>
      </c>
      <c r="P954" s="1">
        <v>2059.6</v>
      </c>
      <c r="Q954" s="1">
        <v>0</v>
      </c>
      <c r="R954" s="1">
        <v>2113.56</v>
      </c>
      <c r="S954" t="s">
        <v>12</v>
      </c>
      <c r="T954" s="13">
        <v>45907</v>
      </c>
      <c r="U954" s="1" t="str">
        <f>IF(ESTIMATIVA[[#This Row],[QT_AREA_REAL]]&gt;0,"1- Colhido","2- à Colher")</f>
        <v>1- Colhido</v>
      </c>
      <c r="V954" s="1" t="str">
        <f>IF(ESTIMATIVA[[#This Row],[QT_AREA_REST1]]&gt;0,"Reestimativa 1",IF(ESTIMATIVA[[#This Row],[QT_AREA_REAL]]=0,"Reestimativa 1","Realizado"))</f>
        <v>Reestimativa 1</v>
      </c>
      <c r="W954" s="1" t="str">
        <f>IF(ESTIMATIVA[[#This Row],[QT_AREA_REST2]]&gt;0,"Reestimativa 2",IF(ESTIMATIVA[[#This Row],[QT_AREA_REAL]]=0,"Reestimativa 2","Realizado"))</f>
        <v>Realizado</v>
      </c>
      <c r="X954" s="1">
        <f>ESTIMATIVA[[#This Row],[QT_AREA_EST]]</f>
        <v>27.1</v>
      </c>
      <c r="Y954" s="1">
        <f>IF(ESTIMATIVA[[#This Row],[QT_AREA_REST1]]&gt;0,ESTIMATIVA[[#This Row],[QT_AREA_REST1]],
  IF(ESTIMATIVA[[#This Row],[QT_AREA_REAL]]&gt;0,ESTIMATIVA[[#This Row],[QT_AREA_REAL]],ESTIMATIVA[[#This Row],[QT_AREA_EST]]))</f>
        <v>27.1</v>
      </c>
      <c r="Z95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27.1</v>
      </c>
      <c r="AA954" s="1">
        <f>ESTIMATIVA[[#This Row],[QT_CANA_EST]]</f>
        <v>2059.6</v>
      </c>
      <c r="AB954" s="1">
        <f>IF(ESTIMATIVA[[#This Row],[QT_CANA_REST1]]&gt;0,ESTIMATIVA[[#This Row],[QT_CANA_REST1]],
  IF(ESTIMATIVA[[#This Row],[QT_CANA_REAL]]&gt;0,ESTIMATIVA[[#This Row],[QT_CANA_REAL]],ESTIMATIVA[[#This Row],[QT_CANA_EST]]))</f>
        <v>2059.6</v>
      </c>
      <c r="AC95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2113.56</v>
      </c>
      <c r="AD954" s="1">
        <f>IF(ESTIMATIVA[[#This Row],[QT_AREA_REAL]]&gt;0,ESTIMATIVA[[#This Row],[QT_CANA_REAL]],ESTIMATIVA[[#This Row],[QT_CANA_EST]])</f>
        <v>2113.56</v>
      </c>
      <c r="AE954" s="1">
        <f>IF(ESTIMATIVA[[#This Row],[QT_AREA_REAL]]&gt;0,ESTIMATIVA[[#This Row],[QT_CANA_REAL]],ESTIMATIVA[[#This Row],[QT_CANA_REST1]])</f>
        <v>2113.56</v>
      </c>
      <c r="AF954" s="1">
        <f>IF(ESTIMATIVA[[#This Row],[QT_AREA_REAL]]&gt;0,ESTIMATIVA[[#This Row],[QT_CANA_REAL]],ESTIMATIVA[[#This Row],[QT_CANA_REST2]])</f>
        <v>2113.56</v>
      </c>
      <c r="AG954" s="1" t="str">
        <f>IF(COUNTIFS(GEADA!A:A,VALUE(ESTIMATIVA[[#This Row],[CD_UPNIVEL1]]&amp;TEXT(ESTIMATIVA[[#This Row],[CD_UPNIVEL3]],"0000")))&gt;0,"S","N")</f>
        <v>N</v>
      </c>
      <c r="AH95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54" s="55" t="str">
        <f>IF(ESTIMATIVA[[#This Row],[TP_CULTIVO]]="Irrigado",_xlfn.MAXIFS(IRRIGADO!J:J,IRRIGADO!C:C,ESTIMATIVA[[#This Row],[CD_UPNIVEL1]],IRRIGADO!E:E,ESTIMATIVA[[#This Row],[CD_UPNIVEL3]]),"")</f>
        <v/>
      </c>
      <c r="AJ95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54" s="1">
        <f>COUNTIFS(Apresentação!$E$23:$E$29,ESTIMATIVA[[#This Row],[CD_UPNIVEL1]])</f>
        <v>0</v>
      </c>
    </row>
    <row r="955" spans="1:37" x14ac:dyDescent="0.3">
      <c r="A955">
        <v>20460</v>
      </c>
      <c r="B955" t="s">
        <v>18</v>
      </c>
      <c r="C955">
        <v>6</v>
      </c>
      <c r="D955">
        <v>3</v>
      </c>
      <c r="E955" t="s">
        <v>263</v>
      </c>
      <c r="F955" s="85" t="s">
        <v>333</v>
      </c>
      <c r="G955"/>
      <c r="H955" t="s">
        <v>294</v>
      </c>
      <c r="I955" t="s">
        <v>205</v>
      </c>
      <c r="J955" t="s">
        <v>176</v>
      </c>
      <c r="K955" s="1">
        <v>10.08</v>
      </c>
      <c r="L955" s="1">
        <v>10.08</v>
      </c>
      <c r="M955" s="1">
        <v>0</v>
      </c>
      <c r="N955" s="1">
        <v>10.08</v>
      </c>
      <c r="O955" s="1">
        <v>766.08</v>
      </c>
      <c r="P955" s="1">
        <v>766.08</v>
      </c>
      <c r="Q955" s="1">
        <v>0</v>
      </c>
      <c r="R955" s="1">
        <v>785.88</v>
      </c>
      <c r="S955" t="s">
        <v>12</v>
      </c>
      <c r="T955" s="13">
        <v>45907</v>
      </c>
      <c r="U955" s="1" t="str">
        <f>IF(ESTIMATIVA[[#This Row],[QT_AREA_REAL]]&gt;0,"1- Colhido","2- à Colher")</f>
        <v>1- Colhido</v>
      </c>
      <c r="V955" s="1" t="str">
        <f>IF(ESTIMATIVA[[#This Row],[QT_AREA_REST1]]&gt;0,"Reestimativa 1",IF(ESTIMATIVA[[#This Row],[QT_AREA_REAL]]=0,"Reestimativa 1","Realizado"))</f>
        <v>Reestimativa 1</v>
      </c>
      <c r="W955" s="1" t="str">
        <f>IF(ESTIMATIVA[[#This Row],[QT_AREA_REST2]]&gt;0,"Reestimativa 2",IF(ESTIMATIVA[[#This Row],[QT_AREA_REAL]]=0,"Reestimativa 2","Realizado"))</f>
        <v>Realizado</v>
      </c>
      <c r="X955" s="1">
        <f>ESTIMATIVA[[#This Row],[QT_AREA_EST]]</f>
        <v>10.08</v>
      </c>
      <c r="Y955" s="1">
        <f>IF(ESTIMATIVA[[#This Row],[QT_AREA_REST1]]&gt;0,ESTIMATIVA[[#This Row],[QT_AREA_REST1]],
  IF(ESTIMATIVA[[#This Row],[QT_AREA_REAL]]&gt;0,ESTIMATIVA[[#This Row],[QT_AREA_REAL]],ESTIMATIVA[[#This Row],[QT_AREA_EST]]))</f>
        <v>10.08</v>
      </c>
      <c r="Z95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10.08</v>
      </c>
      <c r="AA955" s="1">
        <f>ESTIMATIVA[[#This Row],[QT_CANA_EST]]</f>
        <v>766.08</v>
      </c>
      <c r="AB955" s="1">
        <f>IF(ESTIMATIVA[[#This Row],[QT_CANA_REST1]]&gt;0,ESTIMATIVA[[#This Row],[QT_CANA_REST1]],
  IF(ESTIMATIVA[[#This Row],[QT_CANA_REAL]]&gt;0,ESTIMATIVA[[#This Row],[QT_CANA_REAL]],ESTIMATIVA[[#This Row],[QT_CANA_EST]]))</f>
        <v>766.08</v>
      </c>
      <c r="AC95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785.88</v>
      </c>
      <c r="AD955" s="1">
        <f>IF(ESTIMATIVA[[#This Row],[QT_AREA_REAL]]&gt;0,ESTIMATIVA[[#This Row],[QT_CANA_REAL]],ESTIMATIVA[[#This Row],[QT_CANA_EST]])</f>
        <v>785.88</v>
      </c>
      <c r="AE955" s="1">
        <f>IF(ESTIMATIVA[[#This Row],[QT_AREA_REAL]]&gt;0,ESTIMATIVA[[#This Row],[QT_CANA_REAL]],ESTIMATIVA[[#This Row],[QT_CANA_REST1]])</f>
        <v>785.88</v>
      </c>
      <c r="AF955" s="1">
        <f>IF(ESTIMATIVA[[#This Row],[QT_AREA_REAL]]&gt;0,ESTIMATIVA[[#This Row],[QT_CANA_REAL]],ESTIMATIVA[[#This Row],[QT_CANA_REST2]])</f>
        <v>785.88</v>
      </c>
      <c r="AG955" s="1" t="str">
        <f>IF(COUNTIFS(GEADA!A:A,VALUE(ESTIMATIVA[[#This Row],[CD_UPNIVEL1]]&amp;TEXT(ESTIMATIVA[[#This Row],[CD_UPNIVEL3]],"0000")))&gt;0,"S","N")</f>
        <v>N</v>
      </c>
      <c r="AH95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55" s="55" t="str">
        <f>IF(ESTIMATIVA[[#This Row],[TP_CULTIVO]]="Irrigado",_xlfn.MAXIFS(IRRIGADO!J:J,IRRIGADO!C:C,ESTIMATIVA[[#This Row],[CD_UPNIVEL1]],IRRIGADO!E:E,ESTIMATIVA[[#This Row],[CD_UPNIVEL3]]),"")</f>
        <v/>
      </c>
      <c r="AJ95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55" s="1">
        <f>COUNTIFS(Apresentação!$E$23:$E$29,ESTIMATIVA[[#This Row],[CD_UPNIVEL1]])</f>
        <v>0</v>
      </c>
    </row>
    <row r="956" spans="1:37" x14ac:dyDescent="0.3">
      <c r="A956">
        <v>20460</v>
      </c>
      <c r="B956" t="s">
        <v>18</v>
      </c>
      <c r="C956">
        <v>7</v>
      </c>
      <c r="D956">
        <v>3</v>
      </c>
      <c r="E956" t="s">
        <v>263</v>
      </c>
      <c r="F956" s="85" t="s">
        <v>333</v>
      </c>
      <c r="G956"/>
      <c r="H956" t="s">
        <v>294</v>
      </c>
      <c r="I956" t="s">
        <v>205</v>
      </c>
      <c r="J956" t="s">
        <v>176</v>
      </c>
      <c r="K956" s="1">
        <v>11.35</v>
      </c>
      <c r="L956" s="1">
        <v>11.35</v>
      </c>
      <c r="M956" s="1">
        <v>0</v>
      </c>
      <c r="N956" s="1">
        <v>11.35</v>
      </c>
      <c r="O956" s="1">
        <v>862.6</v>
      </c>
      <c r="P956" s="1">
        <v>862.6</v>
      </c>
      <c r="Q956" s="1">
        <v>0</v>
      </c>
      <c r="R956" s="1">
        <v>885.57</v>
      </c>
      <c r="S956" t="s">
        <v>12</v>
      </c>
      <c r="T956" s="13">
        <v>45907</v>
      </c>
      <c r="U956" s="1" t="str">
        <f>IF(ESTIMATIVA[[#This Row],[QT_AREA_REAL]]&gt;0,"1- Colhido","2- à Colher")</f>
        <v>1- Colhido</v>
      </c>
      <c r="V956" s="1" t="str">
        <f>IF(ESTIMATIVA[[#This Row],[QT_AREA_REST1]]&gt;0,"Reestimativa 1",IF(ESTIMATIVA[[#This Row],[QT_AREA_REAL]]=0,"Reestimativa 1","Realizado"))</f>
        <v>Reestimativa 1</v>
      </c>
      <c r="W956" s="1" t="str">
        <f>IF(ESTIMATIVA[[#This Row],[QT_AREA_REST2]]&gt;0,"Reestimativa 2",IF(ESTIMATIVA[[#This Row],[QT_AREA_REAL]]=0,"Reestimativa 2","Realizado"))</f>
        <v>Realizado</v>
      </c>
      <c r="X956" s="1">
        <f>ESTIMATIVA[[#This Row],[QT_AREA_EST]]</f>
        <v>11.35</v>
      </c>
      <c r="Y956" s="1">
        <f>IF(ESTIMATIVA[[#This Row],[QT_AREA_REST1]]&gt;0,ESTIMATIVA[[#This Row],[QT_AREA_REST1]],
  IF(ESTIMATIVA[[#This Row],[QT_AREA_REAL]]&gt;0,ESTIMATIVA[[#This Row],[QT_AREA_REAL]],ESTIMATIVA[[#This Row],[QT_AREA_EST]]))</f>
        <v>11.35</v>
      </c>
      <c r="Z95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11.35</v>
      </c>
      <c r="AA956" s="1">
        <f>ESTIMATIVA[[#This Row],[QT_CANA_EST]]</f>
        <v>862.6</v>
      </c>
      <c r="AB956" s="1">
        <f>IF(ESTIMATIVA[[#This Row],[QT_CANA_REST1]]&gt;0,ESTIMATIVA[[#This Row],[QT_CANA_REST1]],
  IF(ESTIMATIVA[[#This Row],[QT_CANA_REAL]]&gt;0,ESTIMATIVA[[#This Row],[QT_CANA_REAL]],ESTIMATIVA[[#This Row],[QT_CANA_EST]]))</f>
        <v>862.6</v>
      </c>
      <c r="AC95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885.57</v>
      </c>
      <c r="AD956" s="1">
        <f>IF(ESTIMATIVA[[#This Row],[QT_AREA_REAL]]&gt;0,ESTIMATIVA[[#This Row],[QT_CANA_REAL]],ESTIMATIVA[[#This Row],[QT_CANA_EST]])</f>
        <v>885.57</v>
      </c>
      <c r="AE956" s="1">
        <f>IF(ESTIMATIVA[[#This Row],[QT_AREA_REAL]]&gt;0,ESTIMATIVA[[#This Row],[QT_CANA_REAL]],ESTIMATIVA[[#This Row],[QT_CANA_REST1]])</f>
        <v>885.57</v>
      </c>
      <c r="AF956" s="1">
        <f>IF(ESTIMATIVA[[#This Row],[QT_AREA_REAL]]&gt;0,ESTIMATIVA[[#This Row],[QT_CANA_REAL]],ESTIMATIVA[[#This Row],[QT_CANA_REST2]])</f>
        <v>885.57</v>
      </c>
      <c r="AG956" s="1" t="str">
        <f>IF(COUNTIFS(GEADA!A:A,VALUE(ESTIMATIVA[[#This Row],[CD_UPNIVEL1]]&amp;TEXT(ESTIMATIVA[[#This Row],[CD_UPNIVEL3]],"0000")))&gt;0,"S","N")</f>
        <v>N</v>
      </c>
      <c r="AH95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56" s="55" t="str">
        <f>IF(ESTIMATIVA[[#This Row],[TP_CULTIVO]]="Irrigado",_xlfn.MAXIFS(IRRIGADO!J:J,IRRIGADO!C:C,ESTIMATIVA[[#This Row],[CD_UPNIVEL1]],IRRIGADO!E:E,ESTIMATIVA[[#This Row],[CD_UPNIVEL3]]),"")</f>
        <v/>
      </c>
      <c r="AJ95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56" s="1">
        <f>COUNTIFS(Apresentação!$E$23:$E$29,ESTIMATIVA[[#This Row],[CD_UPNIVEL1]])</f>
        <v>0</v>
      </c>
    </row>
    <row r="957" spans="1:37" x14ac:dyDescent="0.3">
      <c r="A957">
        <v>20461</v>
      </c>
      <c r="B957" t="s">
        <v>142</v>
      </c>
      <c r="C957">
        <v>1</v>
      </c>
      <c r="D957">
        <v>2</v>
      </c>
      <c r="E957" t="s">
        <v>266</v>
      </c>
      <c r="F957" s="85" t="s">
        <v>333</v>
      </c>
      <c r="G957"/>
      <c r="H957" t="s">
        <v>294</v>
      </c>
      <c r="I957" t="s">
        <v>207</v>
      </c>
      <c r="J957" t="s">
        <v>176</v>
      </c>
      <c r="K957" s="1">
        <v>8.3000000000000007</v>
      </c>
      <c r="L957" s="1">
        <v>8.3000000000000007</v>
      </c>
      <c r="M957" s="1">
        <v>8.3000000000000007</v>
      </c>
      <c r="N957" s="1">
        <v>8.3000000000000007</v>
      </c>
      <c r="O957" s="1">
        <v>747</v>
      </c>
      <c r="P957" s="1">
        <v>680.6</v>
      </c>
      <c r="Q957" s="1">
        <v>680.6</v>
      </c>
      <c r="R957" s="1">
        <v>741.98</v>
      </c>
      <c r="S957" t="s">
        <v>12</v>
      </c>
      <c r="T957" s="13">
        <v>45942</v>
      </c>
      <c r="U957" s="1" t="str">
        <f>IF(ESTIMATIVA[[#This Row],[QT_AREA_REAL]]&gt;0,"1- Colhido","2- à Colher")</f>
        <v>1- Colhido</v>
      </c>
      <c r="V957" s="1" t="str">
        <f>IF(ESTIMATIVA[[#This Row],[QT_AREA_REST1]]&gt;0,"Reestimativa 1",IF(ESTIMATIVA[[#This Row],[QT_AREA_REAL]]=0,"Reestimativa 1","Realizado"))</f>
        <v>Reestimativa 1</v>
      </c>
      <c r="W957" s="1" t="str">
        <f>IF(ESTIMATIVA[[#This Row],[QT_AREA_REST2]]&gt;0,"Reestimativa 2",IF(ESTIMATIVA[[#This Row],[QT_AREA_REAL]]=0,"Reestimativa 2","Realizado"))</f>
        <v>Reestimativa 2</v>
      </c>
      <c r="X957" s="1">
        <f>ESTIMATIVA[[#This Row],[QT_AREA_EST]]</f>
        <v>8.3000000000000007</v>
      </c>
      <c r="Y957" s="1">
        <f>IF(ESTIMATIVA[[#This Row],[QT_AREA_REST1]]&gt;0,ESTIMATIVA[[#This Row],[QT_AREA_REST1]],
  IF(ESTIMATIVA[[#This Row],[QT_AREA_REAL]]&gt;0,ESTIMATIVA[[#This Row],[QT_AREA_REAL]],ESTIMATIVA[[#This Row],[QT_AREA_EST]]))</f>
        <v>8.3000000000000007</v>
      </c>
      <c r="Z95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8.3000000000000007</v>
      </c>
      <c r="AA957" s="1">
        <f>ESTIMATIVA[[#This Row],[QT_CANA_EST]]</f>
        <v>747</v>
      </c>
      <c r="AB957" s="1">
        <f>IF(ESTIMATIVA[[#This Row],[QT_CANA_REST1]]&gt;0,ESTIMATIVA[[#This Row],[QT_CANA_REST1]],
  IF(ESTIMATIVA[[#This Row],[QT_CANA_REAL]]&gt;0,ESTIMATIVA[[#This Row],[QT_CANA_REAL]],ESTIMATIVA[[#This Row],[QT_CANA_EST]]))</f>
        <v>680.6</v>
      </c>
      <c r="AC95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680.6</v>
      </c>
      <c r="AD957" s="1">
        <f>IF(ESTIMATIVA[[#This Row],[QT_AREA_REAL]]&gt;0,ESTIMATIVA[[#This Row],[QT_CANA_REAL]],ESTIMATIVA[[#This Row],[QT_CANA_EST]])</f>
        <v>741.98</v>
      </c>
      <c r="AE957" s="1">
        <f>IF(ESTIMATIVA[[#This Row],[QT_AREA_REAL]]&gt;0,ESTIMATIVA[[#This Row],[QT_CANA_REAL]],ESTIMATIVA[[#This Row],[QT_CANA_REST1]])</f>
        <v>741.98</v>
      </c>
      <c r="AF957" s="1">
        <f>IF(ESTIMATIVA[[#This Row],[QT_AREA_REAL]]&gt;0,ESTIMATIVA[[#This Row],[QT_CANA_REAL]],ESTIMATIVA[[#This Row],[QT_CANA_REST2]])</f>
        <v>741.98</v>
      </c>
      <c r="AG957" s="1" t="str">
        <f>IF(COUNTIFS(GEADA!A:A,VALUE(ESTIMATIVA[[#This Row],[CD_UPNIVEL1]]&amp;TEXT(ESTIMATIVA[[#This Row],[CD_UPNIVEL3]],"0000")))&gt;0,"S","N")</f>
        <v>S</v>
      </c>
      <c r="AH95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57" s="55" t="str">
        <f>IF(ESTIMATIVA[[#This Row],[TP_CULTIVO]]="Irrigado",_xlfn.MAXIFS(IRRIGADO!J:J,IRRIGADO!C:C,ESTIMATIVA[[#This Row],[CD_UPNIVEL1]],IRRIGADO!E:E,ESTIMATIVA[[#This Row],[CD_UPNIVEL3]]),"")</f>
        <v/>
      </c>
      <c r="AJ95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57" s="1">
        <f>COUNTIFS(Apresentação!$E$23:$E$29,ESTIMATIVA[[#This Row],[CD_UPNIVEL1]])</f>
        <v>0</v>
      </c>
    </row>
    <row r="958" spans="1:37" x14ac:dyDescent="0.3">
      <c r="A958">
        <v>20461</v>
      </c>
      <c r="B958" t="s">
        <v>142</v>
      </c>
      <c r="C958">
        <v>2</v>
      </c>
      <c r="D958">
        <v>2</v>
      </c>
      <c r="E958" t="s">
        <v>266</v>
      </c>
      <c r="F958" s="85" t="s">
        <v>333</v>
      </c>
      <c r="G958"/>
      <c r="H958" t="s">
        <v>294</v>
      </c>
      <c r="I958" t="s">
        <v>207</v>
      </c>
      <c r="J958" t="s">
        <v>176</v>
      </c>
      <c r="K958" s="1">
        <v>7.63</v>
      </c>
      <c r="L958" s="1">
        <v>7.63</v>
      </c>
      <c r="M958" s="1">
        <v>7.63</v>
      </c>
      <c r="N958" s="1">
        <v>7.63</v>
      </c>
      <c r="O958" s="1">
        <v>686.7</v>
      </c>
      <c r="P958" s="1">
        <v>694.33</v>
      </c>
      <c r="Q958" s="1">
        <v>694.33</v>
      </c>
      <c r="R958" s="1">
        <v>756.14</v>
      </c>
      <c r="S958" t="s">
        <v>12</v>
      </c>
      <c r="T958" s="13">
        <v>45942</v>
      </c>
      <c r="U958" s="1" t="str">
        <f>IF(ESTIMATIVA[[#This Row],[QT_AREA_REAL]]&gt;0,"1- Colhido","2- à Colher")</f>
        <v>1- Colhido</v>
      </c>
      <c r="V958" s="1" t="str">
        <f>IF(ESTIMATIVA[[#This Row],[QT_AREA_REST1]]&gt;0,"Reestimativa 1",IF(ESTIMATIVA[[#This Row],[QT_AREA_REAL]]=0,"Reestimativa 1","Realizado"))</f>
        <v>Reestimativa 1</v>
      </c>
      <c r="W958" s="1" t="str">
        <f>IF(ESTIMATIVA[[#This Row],[QT_AREA_REST2]]&gt;0,"Reestimativa 2",IF(ESTIMATIVA[[#This Row],[QT_AREA_REAL]]=0,"Reestimativa 2","Realizado"))</f>
        <v>Reestimativa 2</v>
      </c>
      <c r="X958" s="1">
        <f>ESTIMATIVA[[#This Row],[QT_AREA_EST]]</f>
        <v>7.63</v>
      </c>
      <c r="Y958" s="1">
        <f>IF(ESTIMATIVA[[#This Row],[QT_AREA_REST1]]&gt;0,ESTIMATIVA[[#This Row],[QT_AREA_REST1]],
  IF(ESTIMATIVA[[#This Row],[QT_AREA_REAL]]&gt;0,ESTIMATIVA[[#This Row],[QT_AREA_REAL]],ESTIMATIVA[[#This Row],[QT_AREA_EST]]))</f>
        <v>7.63</v>
      </c>
      <c r="Z95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7.63</v>
      </c>
      <c r="AA958" s="1">
        <f>ESTIMATIVA[[#This Row],[QT_CANA_EST]]</f>
        <v>686.7</v>
      </c>
      <c r="AB958" s="1">
        <f>IF(ESTIMATIVA[[#This Row],[QT_CANA_REST1]]&gt;0,ESTIMATIVA[[#This Row],[QT_CANA_REST1]],
  IF(ESTIMATIVA[[#This Row],[QT_CANA_REAL]]&gt;0,ESTIMATIVA[[#This Row],[QT_CANA_REAL]],ESTIMATIVA[[#This Row],[QT_CANA_EST]]))</f>
        <v>694.33</v>
      </c>
      <c r="AC95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694.33</v>
      </c>
      <c r="AD958" s="1">
        <f>IF(ESTIMATIVA[[#This Row],[QT_AREA_REAL]]&gt;0,ESTIMATIVA[[#This Row],[QT_CANA_REAL]],ESTIMATIVA[[#This Row],[QT_CANA_EST]])</f>
        <v>756.14</v>
      </c>
      <c r="AE958" s="1">
        <f>IF(ESTIMATIVA[[#This Row],[QT_AREA_REAL]]&gt;0,ESTIMATIVA[[#This Row],[QT_CANA_REAL]],ESTIMATIVA[[#This Row],[QT_CANA_REST1]])</f>
        <v>756.14</v>
      </c>
      <c r="AF958" s="1">
        <f>IF(ESTIMATIVA[[#This Row],[QT_AREA_REAL]]&gt;0,ESTIMATIVA[[#This Row],[QT_CANA_REAL]],ESTIMATIVA[[#This Row],[QT_CANA_REST2]])</f>
        <v>756.14</v>
      </c>
      <c r="AG958" s="1" t="str">
        <f>IF(COUNTIFS(GEADA!A:A,VALUE(ESTIMATIVA[[#This Row],[CD_UPNIVEL1]]&amp;TEXT(ESTIMATIVA[[#This Row],[CD_UPNIVEL3]],"0000")))&gt;0,"S","N")</f>
        <v>N</v>
      </c>
      <c r="AH95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58" s="55" t="str">
        <f>IF(ESTIMATIVA[[#This Row],[TP_CULTIVO]]="Irrigado",_xlfn.MAXIFS(IRRIGADO!J:J,IRRIGADO!C:C,ESTIMATIVA[[#This Row],[CD_UPNIVEL1]],IRRIGADO!E:E,ESTIMATIVA[[#This Row],[CD_UPNIVEL3]]),"")</f>
        <v/>
      </c>
      <c r="AJ95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58" s="1">
        <f>COUNTIFS(Apresentação!$E$23:$E$29,ESTIMATIVA[[#This Row],[CD_UPNIVEL1]])</f>
        <v>0</v>
      </c>
    </row>
    <row r="959" spans="1:37" x14ac:dyDescent="0.3">
      <c r="A959">
        <v>20461</v>
      </c>
      <c r="B959" t="s">
        <v>142</v>
      </c>
      <c r="C959">
        <v>3</v>
      </c>
      <c r="D959">
        <v>2</v>
      </c>
      <c r="E959" t="s">
        <v>266</v>
      </c>
      <c r="F959" s="85" t="s">
        <v>333</v>
      </c>
      <c r="G959"/>
      <c r="H959" t="s">
        <v>294</v>
      </c>
      <c r="I959" t="s">
        <v>207</v>
      </c>
      <c r="J959" t="s">
        <v>176</v>
      </c>
      <c r="K959" s="1">
        <v>8.8000000000000007</v>
      </c>
      <c r="L959" s="1">
        <v>8.8000000000000007</v>
      </c>
      <c r="M959" s="1">
        <v>8.8000000000000007</v>
      </c>
      <c r="N959" s="1">
        <v>8.8000000000000007</v>
      </c>
      <c r="O959" s="1">
        <v>792</v>
      </c>
      <c r="P959" s="1">
        <v>800.8</v>
      </c>
      <c r="Q959" s="1">
        <v>800.8</v>
      </c>
      <c r="R959" s="1">
        <v>872.74</v>
      </c>
      <c r="S959" t="s">
        <v>12</v>
      </c>
      <c r="T959" s="13">
        <v>45942</v>
      </c>
      <c r="U959" s="1" t="str">
        <f>IF(ESTIMATIVA[[#This Row],[QT_AREA_REAL]]&gt;0,"1- Colhido","2- à Colher")</f>
        <v>1- Colhido</v>
      </c>
      <c r="V959" s="1" t="str">
        <f>IF(ESTIMATIVA[[#This Row],[QT_AREA_REST1]]&gt;0,"Reestimativa 1",IF(ESTIMATIVA[[#This Row],[QT_AREA_REAL]]=0,"Reestimativa 1","Realizado"))</f>
        <v>Reestimativa 1</v>
      </c>
      <c r="W959" s="1" t="str">
        <f>IF(ESTIMATIVA[[#This Row],[QT_AREA_REST2]]&gt;0,"Reestimativa 2",IF(ESTIMATIVA[[#This Row],[QT_AREA_REAL]]=0,"Reestimativa 2","Realizado"))</f>
        <v>Reestimativa 2</v>
      </c>
      <c r="X959" s="1">
        <f>ESTIMATIVA[[#This Row],[QT_AREA_EST]]</f>
        <v>8.8000000000000007</v>
      </c>
      <c r="Y959" s="1">
        <f>IF(ESTIMATIVA[[#This Row],[QT_AREA_REST1]]&gt;0,ESTIMATIVA[[#This Row],[QT_AREA_REST1]],
  IF(ESTIMATIVA[[#This Row],[QT_AREA_REAL]]&gt;0,ESTIMATIVA[[#This Row],[QT_AREA_REAL]],ESTIMATIVA[[#This Row],[QT_AREA_EST]]))</f>
        <v>8.8000000000000007</v>
      </c>
      <c r="Z95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8.8000000000000007</v>
      </c>
      <c r="AA959" s="1">
        <f>ESTIMATIVA[[#This Row],[QT_CANA_EST]]</f>
        <v>792</v>
      </c>
      <c r="AB959" s="1">
        <f>IF(ESTIMATIVA[[#This Row],[QT_CANA_REST1]]&gt;0,ESTIMATIVA[[#This Row],[QT_CANA_REST1]],
  IF(ESTIMATIVA[[#This Row],[QT_CANA_REAL]]&gt;0,ESTIMATIVA[[#This Row],[QT_CANA_REAL]],ESTIMATIVA[[#This Row],[QT_CANA_EST]]))</f>
        <v>800.8</v>
      </c>
      <c r="AC95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800.8</v>
      </c>
      <c r="AD959" s="1">
        <f>IF(ESTIMATIVA[[#This Row],[QT_AREA_REAL]]&gt;0,ESTIMATIVA[[#This Row],[QT_CANA_REAL]],ESTIMATIVA[[#This Row],[QT_CANA_EST]])</f>
        <v>872.74</v>
      </c>
      <c r="AE959" s="1">
        <f>IF(ESTIMATIVA[[#This Row],[QT_AREA_REAL]]&gt;0,ESTIMATIVA[[#This Row],[QT_CANA_REAL]],ESTIMATIVA[[#This Row],[QT_CANA_REST1]])</f>
        <v>872.74</v>
      </c>
      <c r="AF959" s="1">
        <f>IF(ESTIMATIVA[[#This Row],[QT_AREA_REAL]]&gt;0,ESTIMATIVA[[#This Row],[QT_CANA_REAL]],ESTIMATIVA[[#This Row],[QT_CANA_REST2]])</f>
        <v>872.74</v>
      </c>
      <c r="AG959" s="1" t="str">
        <f>IF(COUNTIFS(GEADA!A:A,VALUE(ESTIMATIVA[[#This Row],[CD_UPNIVEL1]]&amp;TEXT(ESTIMATIVA[[#This Row],[CD_UPNIVEL3]],"0000")))&gt;0,"S","N")</f>
        <v>N</v>
      </c>
      <c r="AH95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59" s="55" t="str">
        <f>IF(ESTIMATIVA[[#This Row],[TP_CULTIVO]]="Irrigado",_xlfn.MAXIFS(IRRIGADO!J:J,IRRIGADO!C:C,ESTIMATIVA[[#This Row],[CD_UPNIVEL1]],IRRIGADO!E:E,ESTIMATIVA[[#This Row],[CD_UPNIVEL3]]),"")</f>
        <v/>
      </c>
      <c r="AJ95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59" s="1">
        <f>COUNTIFS(Apresentação!$E$23:$E$29,ESTIMATIVA[[#This Row],[CD_UPNIVEL1]])</f>
        <v>0</v>
      </c>
    </row>
    <row r="960" spans="1:37" x14ac:dyDescent="0.3">
      <c r="A960">
        <v>20461</v>
      </c>
      <c r="B960" t="s">
        <v>142</v>
      </c>
      <c r="C960">
        <v>4</v>
      </c>
      <c r="D960">
        <v>2</v>
      </c>
      <c r="E960" t="s">
        <v>266</v>
      </c>
      <c r="F960" s="85" t="s">
        <v>333</v>
      </c>
      <c r="G960"/>
      <c r="H960" t="s">
        <v>294</v>
      </c>
      <c r="I960" t="s">
        <v>207</v>
      </c>
      <c r="J960" t="s">
        <v>176</v>
      </c>
      <c r="K960" s="1">
        <v>8.34</v>
      </c>
      <c r="L960" s="1">
        <v>8.34</v>
      </c>
      <c r="M960" s="1">
        <v>8.34</v>
      </c>
      <c r="N960" s="1">
        <v>8.34</v>
      </c>
      <c r="O960" s="1">
        <v>750.6</v>
      </c>
      <c r="P960" s="1">
        <v>667.2</v>
      </c>
      <c r="Q960" s="1">
        <v>667.2</v>
      </c>
      <c r="R960" s="1">
        <v>726.92</v>
      </c>
      <c r="S960" t="s">
        <v>12</v>
      </c>
      <c r="T960" s="13">
        <v>45942</v>
      </c>
      <c r="U960" s="1" t="str">
        <f>IF(ESTIMATIVA[[#This Row],[QT_AREA_REAL]]&gt;0,"1- Colhido","2- à Colher")</f>
        <v>1- Colhido</v>
      </c>
      <c r="V960" s="1" t="str">
        <f>IF(ESTIMATIVA[[#This Row],[QT_AREA_REST1]]&gt;0,"Reestimativa 1",IF(ESTIMATIVA[[#This Row],[QT_AREA_REAL]]=0,"Reestimativa 1","Realizado"))</f>
        <v>Reestimativa 1</v>
      </c>
      <c r="W960" s="1" t="str">
        <f>IF(ESTIMATIVA[[#This Row],[QT_AREA_REST2]]&gt;0,"Reestimativa 2",IF(ESTIMATIVA[[#This Row],[QT_AREA_REAL]]=0,"Reestimativa 2","Realizado"))</f>
        <v>Reestimativa 2</v>
      </c>
      <c r="X960" s="1">
        <f>ESTIMATIVA[[#This Row],[QT_AREA_EST]]</f>
        <v>8.34</v>
      </c>
      <c r="Y960" s="1">
        <f>IF(ESTIMATIVA[[#This Row],[QT_AREA_REST1]]&gt;0,ESTIMATIVA[[#This Row],[QT_AREA_REST1]],
  IF(ESTIMATIVA[[#This Row],[QT_AREA_REAL]]&gt;0,ESTIMATIVA[[#This Row],[QT_AREA_REAL]],ESTIMATIVA[[#This Row],[QT_AREA_EST]]))</f>
        <v>8.34</v>
      </c>
      <c r="Z96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8.34</v>
      </c>
      <c r="AA960" s="1">
        <f>ESTIMATIVA[[#This Row],[QT_CANA_EST]]</f>
        <v>750.6</v>
      </c>
      <c r="AB960" s="1">
        <f>IF(ESTIMATIVA[[#This Row],[QT_CANA_REST1]]&gt;0,ESTIMATIVA[[#This Row],[QT_CANA_REST1]],
  IF(ESTIMATIVA[[#This Row],[QT_CANA_REAL]]&gt;0,ESTIMATIVA[[#This Row],[QT_CANA_REAL]],ESTIMATIVA[[#This Row],[QT_CANA_EST]]))</f>
        <v>667.2</v>
      </c>
      <c r="AC96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667.2</v>
      </c>
      <c r="AD960" s="1">
        <f>IF(ESTIMATIVA[[#This Row],[QT_AREA_REAL]]&gt;0,ESTIMATIVA[[#This Row],[QT_CANA_REAL]],ESTIMATIVA[[#This Row],[QT_CANA_EST]])</f>
        <v>726.92</v>
      </c>
      <c r="AE960" s="1">
        <f>IF(ESTIMATIVA[[#This Row],[QT_AREA_REAL]]&gt;0,ESTIMATIVA[[#This Row],[QT_CANA_REAL]],ESTIMATIVA[[#This Row],[QT_CANA_REST1]])</f>
        <v>726.92</v>
      </c>
      <c r="AF960" s="1">
        <f>IF(ESTIMATIVA[[#This Row],[QT_AREA_REAL]]&gt;0,ESTIMATIVA[[#This Row],[QT_CANA_REAL]],ESTIMATIVA[[#This Row],[QT_CANA_REST2]])</f>
        <v>726.92</v>
      </c>
      <c r="AG960" s="1" t="str">
        <f>IF(COUNTIFS(GEADA!A:A,VALUE(ESTIMATIVA[[#This Row],[CD_UPNIVEL1]]&amp;TEXT(ESTIMATIVA[[#This Row],[CD_UPNIVEL3]],"0000")))&gt;0,"S","N")</f>
        <v>S</v>
      </c>
      <c r="AH96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60" s="55" t="str">
        <f>IF(ESTIMATIVA[[#This Row],[TP_CULTIVO]]="Irrigado",_xlfn.MAXIFS(IRRIGADO!J:J,IRRIGADO!C:C,ESTIMATIVA[[#This Row],[CD_UPNIVEL1]],IRRIGADO!E:E,ESTIMATIVA[[#This Row],[CD_UPNIVEL3]]),"")</f>
        <v/>
      </c>
      <c r="AJ96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60" s="1">
        <f>COUNTIFS(Apresentação!$E$23:$E$29,ESTIMATIVA[[#This Row],[CD_UPNIVEL1]])</f>
        <v>0</v>
      </c>
    </row>
    <row r="961" spans="1:37" x14ac:dyDescent="0.3">
      <c r="A961">
        <v>20462</v>
      </c>
      <c r="B961" t="s">
        <v>52</v>
      </c>
      <c r="C961">
        <v>1</v>
      </c>
      <c r="D961">
        <v>2</v>
      </c>
      <c r="E961" t="s">
        <v>266</v>
      </c>
      <c r="F961" s="85" t="s">
        <v>331</v>
      </c>
      <c r="G961"/>
      <c r="H961" t="s">
        <v>295</v>
      </c>
      <c r="I961" t="s">
        <v>208</v>
      </c>
      <c r="J961" t="s">
        <v>176</v>
      </c>
      <c r="K961" s="1">
        <v>38.520000000000003</v>
      </c>
      <c r="L961" s="1">
        <v>0</v>
      </c>
      <c r="M961" s="1">
        <v>0</v>
      </c>
      <c r="N961" s="1">
        <v>38.520000000000003</v>
      </c>
      <c r="O961" s="1">
        <v>3274.2</v>
      </c>
      <c r="P961" s="1">
        <v>0</v>
      </c>
      <c r="Q961" s="1">
        <v>0</v>
      </c>
      <c r="R961" s="1">
        <v>3411.35</v>
      </c>
      <c r="S961" t="s">
        <v>12</v>
      </c>
      <c r="T961" s="13">
        <v>45788</v>
      </c>
      <c r="U961" s="1" t="str">
        <f>IF(ESTIMATIVA[[#This Row],[QT_AREA_REAL]]&gt;0,"1- Colhido","2- à Colher")</f>
        <v>1- Colhido</v>
      </c>
      <c r="V961" s="1" t="str">
        <f>IF(ESTIMATIVA[[#This Row],[QT_AREA_REST1]]&gt;0,"Reestimativa 1",IF(ESTIMATIVA[[#This Row],[QT_AREA_REAL]]=0,"Reestimativa 1","Realizado"))</f>
        <v>Realizado</v>
      </c>
      <c r="W961" s="1" t="str">
        <f>IF(ESTIMATIVA[[#This Row],[QT_AREA_REST2]]&gt;0,"Reestimativa 2",IF(ESTIMATIVA[[#This Row],[QT_AREA_REAL]]=0,"Reestimativa 2","Realizado"))</f>
        <v>Realizado</v>
      </c>
      <c r="X961" s="1">
        <f>ESTIMATIVA[[#This Row],[QT_AREA_EST]]</f>
        <v>38.520000000000003</v>
      </c>
      <c r="Y961" s="1">
        <f>IF(ESTIMATIVA[[#This Row],[QT_AREA_REST1]]&gt;0,ESTIMATIVA[[#This Row],[QT_AREA_REST1]],
  IF(ESTIMATIVA[[#This Row],[QT_AREA_REAL]]&gt;0,ESTIMATIVA[[#This Row],[QT_AREA_REAL]],ESTIMATIVA[[#This Row],[QT_AREA_EST]]))</f>
        <v>38.520000000000003</v>
      </c>
      <c r="Z96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38.520000000000003</v>
      </c>
      <c r="AA961" s="1">
        <f>ESTIMATIVA[[#This Row],[QT_CANA_EST]]</f>
        <v>3274.2</v>
      </c>
      <c r="AB961" s="1">
        <f>IF(ESTIMATIVA[[#This Row],[QT_CANA_REST1]]&gt;0,ESTIMATIVA[[#This Row],[QT_CANA_REST1]],
  IF(ESTIMATIVA[[#This Row],[QT_CANA_REAL]]&gt;0,ESTIMATIVA[[#This Row],[QT_CANA_REAL]],ESTIMATIVA[[#This Row],[QT_CANA_EST]]))</f>
        <v>3411.35</v>
      </c>
      <c r="AC96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3411.35</v>
      </c>
      <c r="AD961" s="1">
        <f>IF(ESTIMATIVA[[#This Row],[QT_AREA_REAL]]&gt;0,ESTIMATIVA[[#This Row],[QT_CANA_REAL]],ESTIMATIVA[[#This Row],[QT_CANA_EST]])</f>
        <v>3411.35</v>
      </c>
      <c r="AE961" s="1">
        <f>IF(ESTIMATIVA[[#This Row],[QT_AREA_REAL]]&gt;0,ESTIMATIVA[[#This Row],[QT_CANA_REAL]],ESTIMATIVA[[#This Row],[QT_CANA_REST1]])</f>
        <v>3411.35</v>
      </c>
      <c r="AF961" s="1">
        <f>IF(ESTIMATIVA[[#This Row],[QT_AREA_REAL]]&gt;0,ESTIMATIVA[[#This Row],[QT_CANA_REAL]],ESTIMATIVA[[#This Row],[QT_CANA_REST2]])</f>
        <v>3411.35</v>
      </c>
      <c r="AG961" s="1" t="str">
        <f>IF(COUNTIFS(GEADA!A:A,VALUE(ESTIMATIVA[[#This Row],[CD_UPNIVEL1]]&amp;TEXT(ESTIMATIVA[[#This Row],[CD_UPNIVEL3]],"0000")))&gt;0,"S","N")</f>
        <v>N</v>
      </c>
      <c r="AH96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61" s="55" t="str">
        <f>IF(ESTIMATIVA[[#This Row],[TP_CULTIVO]]="Irrigado",_xlfn.MAXIFS(IRRIGADO!J:J,IRRIGADO!C:C,ESTIMATIVA[[#This Row],[CD_UPNIVEL1]],IRRIGADO!E:E,ESTIMATIVA[[#This Row],[CD_UPNIVEL3]]),"")</f>
        <v/>
      </c>
      <c r="AJ96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61" s="1">
        <f>COUNTIFS(Apresentação!$E$23:$E$29,ESTIMATIVA[[#This Row],[CD_UPNIVEL1]])</f>
        <v>0</v>
      </c>
    </row>
    <row r="962" spans="1:37" x14ac:dyDescent="0.3">
      <c r="A962">
        <v>20462</v>
      </c>
      <c r="B962" t="s">
        <v>52</v>
      </c>
      <c r="C962">
        <v>2</v>
      </c>
      <c r="D962">
        <v>2</v>
      </c>
      <c r="E962" t="s">
        <v>266</v>
      </c>
      <c r="F962" s="85" t="s">
        <v>331</v>
      </c>
      <c r="G962"/>
      <c r="H962" t="s">
        <v>295</v>
      </c>
      <c r="I962" t="s">
        <v>208</v>
      </c>
      <c r="J962" t="s">
        <v>176</v>
      </c>
      <c r="K962" s="1">
        <v>1.1100000000000001</v>
      </c>
      <c r="L962" s="1">
        <v>0</v>
      </c>
      <c r="M962" s="1">
        <v>0</v>
      </c>
      <c r="N962" s="1">
        <v>1.1100000000000001</v>
      </c>
      <c r="O962" s="1">
        <v>94.35</v>
      </c>
      <c r="P962" s="1">
        <v>0</v>
      </c>
      <c r="Q962" s="1">
        <v>0</v>
      </c>
      <c r="R962" s="1">
        <v>98.64</v>
      </c>
      <c r="S962" t="s">
        <v>12</v>
      </c>
      <c r="T962" s="13">
        <v>45788</v>
      </c>
      <c r="U962" s="1" t="str">
        <f>IF(ESTIMATIVA[[#This Row],[QT_AREA_REAL]]&gt;0,"1- Colhido","2- à Colher")</f>
        <v>1- Colhido</v>
      </c>
      <c r="V962" s="1" t="str">
        <f>IF(ESTIMATIVA[[#This Row],[QT_AREA_REST1]]&gt;0,"Reestimativa 1",IF(ESTIMATIVA[[#This Row],[QT_AREA_REAL]]=0,"Reestimativa 1","Realizado"))</f>
        <v>Realizado</v>
      </c>
      <c r="W962" s="1" t="str">
        <f>IF(ESTIMATIVA[[#This Row],[QT_AREA_REST2]]&gt;0,"Reestimativa 2",IF(ESTIMATIVA[[#This Row],[QT_AREA_REAL]]=0,"Reestimativa 2","Realizado"))</f>
        <v>Realizado</v>
      </c>
      <c r="X962" s="1">
        <f>ESTIMATIVA[[#This Row],[QT_AREA_EST]]</f>
        <v>1.1100000000000001</v>
      </c>
      <c r="Y962" s="1">
        <f>IF(ESTIMATIVA[[#This Row],[QT_AREA_REST1]]&gt;0,ESTIMATIVA[[#This Row],[QT_AREA_REST1]],
  IF(ESTIMATIVA[[#This Row],[QT_AREA_REAL]]&gt;0,ESTIMATIVA[[#This Row],[QT_AREA_REAL]],ESTIMATIVA[[#This Row],[QT_AREA_EST]]))</f>
        <v>1.1100000000000001</v>
      </c>
      <c r="Z96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1.1100000000000001</v>
      </c>
      <c r="AA962" s="1">
        <f>ESTIMATIVA[[#This Row],[QT_CANA_EST]]</f>
        <v>94.35</v>
      </c>
      <c r="AB962" s="1">
        <f>IF(ESTIMATIVA[[#This Row],[QT_CANA_REST1]]&gt;0,ESTIMATIVA[[#This Row],[QT_CANA_REST1]],
  IF(ESTIMATIVA[[#This Row],[QT_CANA_REAL]]&gt;0,ESTIMATIVA[[#This Row],[QT_CANA_REAL]],ESTIMATIVA[[#This Row],[QT_CANA_EST]]))</f>
        <v>98.64</v>
      </c>
      <c r="AC96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98.64</v>
      </c>
      <c r="AD962" s="1">
        <f>IF(ESTIMATIVA[[#This Row],[QT_AREA_REAL]]&gt;0,ESTIMATIVA[[#This Row],[QT_CANA_REAL]],ESTIMATIVA[[#This Row],[QT_CANA_EST]])</f>
        <v>98.64</v>
      </c>
      <c r="AE962" s="1">
        <f>IF(ESTIMATIVA[[#This Row],[QT_AREA_REAL]]&gt;0,ESTIMATIVA[[#This Row],[QT_CANA_REAL]],ESTIMATIVA[[#This Row],[QT_CANA_REST1]])</f>
        <v>98.64</v>
      </c>
      <c r="AF962" s="1">
        <f>IF(ESTIMATIVA[[#This Row],[QT_AREA_REAL]]&gt;0,ESTIMATIVA[[#This Row],[QT_CANA_REAL]],ESTIMATIVA[[#This Row],[QT_CANA_REST2]])</f>
        <v>98.64</v>
      </c>
      <c r="AG962" s="1" t="str">
        <f>IF(COUNTIFS(GEADA!A:A,VALUE(ESTIMATIVA[[#This Row],[CD_UPNIVEL1]]&amp;TEXT(ESTIMATIVA[[#This Row],[CD_UPNIVEL3]],"0000")))&gt;0,"S","N")</f>
        <v>N</v>
      </c>
      <c r="AH96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62" s="55" t="str">
        <f>IF(ESTIMATIVA[[#This Row],[TP_CULTIVO]]="Irrigado",_xlfn.MAXIFS(IRRIGADO!J:J,IRRIGADO!C:C,ESTIMATIVA[[#This Row],[CD_UPNIVEL1]],IRRIGADO!E:E,ESTIMATIVA[[#This Row],[CD_UPNIVEL3]]),"")</f>
        <v/>
      </c>
      <c r="AJ96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62" s="1">
        <f>COUNTIFS(Apresentação!$E$23:$E$29,ESTIMATIVA[[#This Row],[CD_UPNIVEL1]])</f>
        <v>0</v>
      </c>
    </row>
    <row r="963" spans="1:37" x14ac:dyDescent="0.3">
      <c r="A963">
        <v>20462</v>
      </c>
      <c r="B963" t="s">
        <v>52</v>
      </c>
      <c r="C963">
        <v>3</v>
      </c>
      <c r="D963">
        <v>2</v>
      </c>
      <c r="E963" t="s">
        <v>266</v>
      </c>
      <c r="F963" s="85" t="s">
        <v>331</v>
      </c>
      <c r="G963"/>
      <c r="H963" t="s">
        <v>295</v>
      </c>
      <c r="I963" t="s">
        <v>208</v>
      </c>
      <c r="J963" t="s">
        <v>176</v>
      </c>
      <c r="K963" s="1">
        <v>13.24</v>
      </c>
      <c r="L963" s="1">
        <v>0</v>
      </c>
      <c r="M963" s="1">
        <v>0</v>
      </c>
      <c r="N963" s="1">
        <v>13.24</v>
      </c>
      <c r="O963" s="1">
        <v>1125.4000000000001</v>
      </c>
      <c r="P963" s="1">
        <v>0</v>
      </c>
      <c r="Q963" s="1">
        <v>0</v>
      </c>
      <c r="R963" s="1">
        <v>1173.21</v>
      </c>
      <c r="S963" t="s">
        <v>12</v>
      </c>
      <c r="T963" s="13">
        <v>45788</v>
      </c>
      <c r="U963" s="1" t="str">
        <f>IF(ESTIMATIVA[[#This Row],[QT_AREA_REAL]]&gt;0,"1- Colhido","2- à Colher")</f>
        <v>1- Colhido</v>
      </c>
      <c r="V963" s="1" t="str">
        <f>IF(ESTIMATIVA[[#This Row],[QT_AREA_REST1]]&gt;0,"Reestimativa 1",IF(ESTIMATIVA[[#This Row],[QT_AREA_REAL]]=0,"Reestimativa 1","Realizado"))</f>
        <v>Realizado</v>
      </c>
      <c r="W963" s="1" t="str">
        <f>IF(ESTIMATIVA[[#This Row],[QT_AREA_REST2]]&gt;0,"Reestimativa 2",IF(ESTIMATIVA[[#This Row],[QT_AREA_REAL]]=0,"Reestimativa 2","Realizado"))</f>
        <v>Realizado</v>
      </c>
      <c r="X963" s="1">
        <f>ESTIMATIVA[[#This Row],[QT_AREA_EST]]</f>
        <v>13.24</v>
      </c>
      <c r="Y963" s="1">
        <f>IF(ESTIMATIVA[[#This Row],[QT_AREA_REST1]]&gt;0,ESTIMATIVA[[#This Row],[QT_AREA_REST1]],
  IF(ESTIMATIVA[[#This Row],[QT_AREA_REAL]]&gt;0,ESTIMATIVA[[#This Row],[QT_AREA_REAL]],ESTIMATIVA[[#This Row],[QT_AREA_EST]]))</f>
        <v>13.24</v>
      </c>
      <c r="Z96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13.24</v>
      </c>
      <c r="AA963" s="1">
        <f>ESTIMATIVA[[#This Row],[QT_CANA_EST]]</f>
        <v>1125.4000000000001</v>
      </c>
      <c r="AB963" s="1">
        <f>IF(ESTIMATIVA[[#This Row],[QT_CANA_REST1]]&gt;0,ESTIMATIVA[[#This Row],[QT_CANA_REST1]],
  IF(ESTIMATIVA[[#This Row],[QT_CANA_REAL]]&gt;0,ESTIMATIVA[[#This Row],[QT_CANA_REAL]],ESTIMATIVA[[#This Row],[QT_CANA_EST]]))</f>
        <v>1173.21</v>
      </c>
      <c r="AC96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1173.21</v>
      </c>
      <c r="AD963" s="1">
        <f>IF(ESTIMATIVA[[#This Row],[QT_AREA_REAL]]&gt;0,ESTIMATIVA[[#This Row],[QT_CANA_REAL]],ESTIMATIVA[[#This Row],[QT_CANA_EST]])</f>
        <v>1173.21</v>
      </c>
      <c r="AE963" s="1">
        <f>IF(ESTIMATIVA[[#This Row],[QT_AREA_REAL]]&gt;0,ESTIMATIVA[[#This Row],[QT_CANA_REAL]],ESTIMATIVA[[#This Row],[QT_CANA_REST1]])</f>
        <v>1173.21</v>
      </c>
      <c r="AF963" s="1">
        <f>IF(ESTIMATIVA[[#This Row],[QT_AREA_REAL]]&gt;0,ESTIMATIVA[[#This Row],[QT_CANA_REAL]],ESTIMATIVA[[#This Row],[QT_CANA_REST2]])</f>
        <v>1173.21</v>
      </c>
      <c r="AG963" s="1" t="str">
        <f>IF(COUNTIFS(GEADA!A:A,VALUE(ESTIMATIVA[[#This Row],[CD_UPNIVEL1]]&amp;TEXT(ESTIMATIVA[[#This Row],[CD_UPNIVEL3]],"0000")))&gt;0,"S","N")</f>
        <v>N</v>
      </c>
      <c r="AH96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63" s="55" t="str">
        <f>IF(ESTIMATIVA[[#This Row],[TP_CULTIVO]]="Irrigado",_xlfn.MAXIFS(IRRIGADO!J:J,IRRIGADO!C:C,ESTIMATIVA[[#This Row],[CD_UPNIVEL1]],IRRIGADO!E:E,ESTIMATIVA[[#This Row],[CD_UPNIVEL3]]),"")</f>
        <v/>
      </c>
      <c r="AJ96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63" s="1">
        <f>COUNTIFS(Apresentação!$E$23:$E$29,ESTIMATIVA[[#This Row],[CD_UPNIVEL1]])</f>
        <v>0</v>
      </c>
    </row>
    <row r="964" spans="1:37" x14ac:dyDescent="0.3">
      <c r="A964">
        <v>20462</v>
      </c>
      <c r="B964" t="s">
        <v>52</v>
      </c>
      <c r="C964">
        <v>4</v>
      </c>
      <c r="D964">
        <v>2</v>
      </c>
      <c r="E964" t="s">
        <v>266</v>
      </c>
      <c r="F964" s="85" t="s">
        <v>333</v>
      </c>
      <c r="G964"/>
      <c r="H964" t="s">
        <v>295</v>
      </c>
      <c r="I964" t="s">
        <v>208</v>
      </c>
      <c r="J964" t="s">
        <v>176</v>
      </c>
      <c r="K964" s="1">
        <v>33.549999999999997</v>
      </c>
      <c r="L964" s="1">
        <v>0</v>
      </c>
      <c r="M964" s="1">
        <v>0</v>
      </c>
      <c r="N964" s="1">
        <v>33.549999999999997</v>
      </c>
      <c r="O964" s="1">
        <v>2851.75</v>
      </c>
      <c r="P964" s="1">
        <v>0</v>
      </c>
      <c r="Q964" s="1">
        <v>0</v>
      </c>
      <c r="R964" s="1">
        <v>2970.63</v>
      </c>
      <c r="S964" t="s">
        <v>12</v>
      </c>
      <c r="T964" s="13">
        <v>45788</v>
      </c>
      <c r="U964" s="1" t="str">
        <f>IF(ESTIMATIVA[[#This Row],[QT_AREA_REAL]]&gt;0,"1- Colhido","2- à Colher")</f>
        <v>1- Colhido</v>
      </c>
      <c r="V964" s="1" t="str">
        <f>IF(ESTIMATIVA[[#This Row],[QT_AREA_REST1]]&gt;0,"Reestimativa 1",IF(ESTIMATIVA[[#This Row],[QT_AREA_REAL]]=0,"Reestimativa 1","Realizado"))</f>
        <v>Realizado</v>
      </c>
      <c r="W964" s="1" t="str">
        <f>IF(ESTIMATIVA[[#This Row],[QT_AREA_REST2]]&gt;0,"Reestimativa 2",IF(ESTIMATIVA[[#This Row],[QT_AREA_REAL]]=0,"Reestimativa 2","Realizado"))</f>
        <v>Realizado</v>
      </c>
      <c r="X964" s="1">
        <f>ESTIMATIVA[[#This Row],[QT_AREA_EST]]</f>
        <v>33.549999999999997</v>
      </c>
      <c r="Y964" s="1">
        <f>IF(ESTIMATIVA[[#This Row],[QT_AREA_REST1]]&gt;0,ESTIMATIVA[[#This Row],[QT_AREA_REST1]],
  IF(ESTIMATIVA[[#This Row],[QT_AREA_REAL]]&gt;0,ESTIMATIVA[[#This Row],[QT_AREA_REAL]],ESTIMATIVA[[#This Row],[QT_AREA_EST]]))</f>
        <v>33.549999999999997</v>
      </c>
      <c r="Z96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33.549999999999997</v>
      </c>
      <c r="AA964" s="1">
        <f>ESTIMATIVA[[#This Row],[QT_CANA_EST]]</f>
        <v>2851.75</v>
      </c>
      <c r="AB964" s="1">
        <f>IF(ESTIMATIVA[[#This Row],[QT_CANA_REST1]]&gt;0,ESTIMATIVA[[#This Row],[QT_CANA_REST1]],
  IF(ESTIMATIVA[[#This Row],[QT_CANA_REAL]]&gt;0,ESTIMATIVA[[#This Row],[QT_CANA_REAL]],ESTIMATIVA[[#This Row],[QT_CANA_EST]]))</f>
        <v>2970.63</v>
      </c>
      <c r="AC96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2970.63</v>
      </c>
      <c r="AD964" s="1">
        <f>IF(ESTIMATIVA[[#This Row],[QT_AREA_REAL]]&gt;0,ESTIMATIVA[[#This Row],[QT_CANA_REAL]],ESTIMATIVA[[#This Row],[QT_CANA_EST]])</f>
        <v>2970.63</v>
      </c>
      <c r="AE964" s="1">
        <f>IF(ESTIMATIVA[[#This Row],[QT_AREA_REAL]]&gt;0,ESTIMATIVA[[#This Row],[QT_CANA_REAL]],ESTIMATIVA[[#This Row],[QT_CANA_REST1]])</f>
        <v>2970.63</v>
      </c>
      <c r="AF964" s="1">
        <f>IF(ESTIMATIVA[[#This Row],[QT_AREA_REAL]]&gt;0,ESTIMATIVA[[#This Row],[QT_CANA_REAL]],ESTIMATIVA[[#This Row],[QT_CANA_REST2]])</f>
        <v>2970.63</v>
      </c>
      <c r="AG964" s="1" t="str">
        <f>IF(COUNTIFS(GEADA!A:A,VALUE(ESTIMATIVA[[#This Row],[CD_UPNIVEL1]]&amp;TEXT(ESTIMATIVA[[#This Row],[CD_UPNIVEL3]],"0000")))&gt;0,"S","N")</f>
        <v>N</v>
      </c>
      <c r="AH96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64" s="55" t="str">
        <f>IF(ESTIMATIVA[[#This Row],[TP_CULTIVO]]="Irrigado",_xlfn.MAXIFS(IRRIGADO!J:J,IRRIGADO!C:C,ESTIMATIVA[[#This Row],[CD_UPNIVEL1]],IRRIGADO!E:E,ESTIMATIVA[[#This Row],[CD_UPNIVEL3]]),"")</f>
        <v/>
      </c>
      <c r="AJ96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64" s="1">
        <f>COUNTIFS(Apresentação!$E$23:$E$29,ESTIMATIVA[[#This Row],[CD_UPNIVEL1]])</f>
        <v>0</v>
      </c>
    </row>
    <row r="965" spans="1:37" x14ac:dyDescent="0.3">
      <c r="A965">
        <v>20462</v>
      </c>
      <c r="B965" t="s">
        <v>52</v>
      </c>
      <c r="C965">
        <v>5</v>
      </c>
      <c r="D965">
        <v>2</v>
      </c>
      <c r="E965" t="s">
        <v>266</v>
      </c>
      <c r="F965" s="85" t="s">
        <v>333</v>
      </c>
      <c r="G965"/>
      <c r="H965" t="s">
        <v>295</v>
      </c>
      <c r="I965" t="s">
        <v>208</v>
      </c>
      <c r="J965" t="s">
        <v>176</v>
      </c>
      <c r="K965" s="1">
        <v>7.14</v>
      </c>
      <c r="L965" s="1">
        <v>0</v>
      </c>
      <c r="M965" s="1">
        <v>0</v>
      </c>
      <c r="N965" s="1">
        <v>7.14</v>
      </c>
      <c r="O965" s="1">
        <v>606.9</v>
      </c>
      <c r="P965" s="1">
        <v>0</v>
      </c>
      <c r="Q965" s="1">
        <v>0</v>
      </c>
      <c r="R965" s="1">
        <v>631.9</v>
      </c>
      <c r="S965" t="s">
        <v>12</v>
      </c>
      <c r="T965" s="13">
        <v>45788</v>
      </c>
      <c r="U965" s="1" t="str">
        <f>IF(ESTIMATIVA[[#This Row],[QT_AREA_REAL]]&gt;0,"1- Colhido","2- à Colher")</f>
        <v>1- Colhido</v>
      </c>
      <c r="V965" s="1" t="str">
        <f>IF(ESTIMATIVA[[#This Row],[QT_AREA_REST1]]&gt;0,"Reestimativa 1",IF(ESTIMATIVA[[#This Row],[QT_AREA_REAL]]=0,"Reestimativa 1","Realizado"))</f>
        <v>Realizado</v>
      </c>
      <c r="W965" s="1" t="str">
        <f>IF(ESTIMATIVA[[#This Row],[QT_AREA_REST2]]&gt;0,"Reestimativa 2",IF(ESTIMATIVA[[#This Row],[QT_AREA_REAL]]=0,"Reestimativa 2","Realizado"))</f>
        <v>Realizado</v>
      </c>
      <c r="X965" s="1">
        <f>ESTIMATIVA[[#This Row],[QT_AREA_EST]]</f>
        <v>7.14</v>
      </c>
      <c r="Y965" s="1">
        <f>IF(ESTIMATIVA[[#This Row],[QT_AREA_REST1]]&gt;0,ESTIMATIVA[[#This Row],[QT_AREA_REST1]],
  IF(ESTIMATIVA[[#This Row],[QT_AREA_REAL]]&gt;0,ESTIMATIVA[[#This Row],[QT_AREA_REAL]],ESTIMATIVA[[#This Row],[QT_AREA_EST]]))</f>
        <v>7.14</v>
      </c>
      <c r="Z96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7.14</v>
      </c>
      <c r="AA965" s="1">
        <f>ESTIMATIVA[[#This Row],[QT_CANA_EST]]</f>
        <v>606.9</v>
      </c>
      <c r="AB965" s="1">
        <f>IF(ESTIMATIVA[[#This Row],[QT_CANA_REST1]]&gt;0,ESTIMATIVA[[#This Row],[QT_CANA_REST1]],
  IF(ESTIMATIVA[[#This Row],[QT_CANA_REAL]]&gt;0,ESTIMATIVA[[#This Row],[QT_CANA_REAL]],ESTIMATIVA[[#This Row],[QT_CANA_EST]]))</f>
        <v>631.9</v>
      </c>
      <c r="AC96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631.9</v>
      </c>
      <c r="AD965" s="1">
        <f>IF(ESTIMATIVA[[#This Row],[QT_AREA_REAL]]&gt;0,ESTIMATIVA[[#This Row],[QT_CANA_REAL]],ESTIMATIVA[[#This Row],[QT_CANA_EST]])</f>
        <v>631.9</v>
      </c>
      <c r="AE965" s="1">
        <f>IF(ESTIMATIVA[[#This Row],[QT_AREA_REAL]]&gt;0,ESTIMATIVA[[#This Row],[QT_CANA_REAL]],ESTIMATIVA[[#This Row],[QT_CANA_REST1]])</f>
        <v>631.9</v>
      </c>
      <c r="AF965" s="1">
        <f>IF(ESTIMATIVA[[#This Row],[QT_AREA_REAL]]&gt;0,ESTIMATIVA[[#This Row],[QT_CANA_REAL]],ESTIMATIVA[[#This Row],[QT_CANA_REST2]])</f>
        <v>631.9</v>
      </c>
      <c r="AG965" s="1" t="str">
        <f>IF(COUNTIFS(GEADA!A:A,VALUE(ESTIMATIVA[[#This Row],[CD_UPNIVEL1]]&amp;TEXT(ESTIMATIVA[[#This Row],[CD_UPNIVEL3]],"0000")))&gt;0,"S","N")</f>
        <v>N</v>
      </c>
      <c r="AH96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65" s="55" t="str">
        <f>IF(ESTIMATIVA[[#This Row],[TP_CULTIVO]]="Irrigado",_xlfn.MAXIFS(IRRIGADO!J:J,IRRIGADO!C:C,ESTIMATIVA[[#This Row],[CD_UPNIVEL1]],IRRIGADO!E:E,ESTIMATIVA[[#This Row],[CD_UPNIVEL3]]),"")</f>
        <v/>
      </c>
      <c r="AJ96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65" s="1">
        <f>COUNTIFS(Apresentação!$E$23:$E$29,ESTIMATIVA[[#This Row],[CD_UPNIVEL1]])</f>
        <v>0</v>
      </c>
    </row>
    <row r="966" spans="1:37" x14ac:dyDescent="0.3">
      <c r="A966">
        <v>20462</v>
      </c>
      <c r="B966" t="s">
        <v>52</v>
      </c>
      <c r="C966">
        <v>6</v>
      </c>
      <c r="D966">
        <v>2</v>
      </c>
      <c r="E966" t="s">
        <v>266</v>
      </c>
      <c r="F966" s="85" t="s">
        <v>333</v>
      </c>
      <c r="G966"/>
      <c r="H966" t="s">
        <v>295</v>
      </c>
      <c r="I966" t="s">
        <v>208</v>
      </c>
      <c r="J966" t="s">
        <v>176</v>
      </c>
      <c r="K966" s="1">
        <v>36.07</v>
      </c>
      <c r="L966" s="1">
        <v>0</v>
      </c>
      <c r="M966" s="1">
        <v>0</v>
      </c>
      <c r="N966" s="1">
        <v>36.07</v>
      </c>
      <c r="O966" s="1">
        <v>3065.95</v>
      </c>
      <c r="P966" s="1">
        <v>0</v>
      </c>
      <c r="Q966" s="1">
        <v>0</v>
      </c>
      <c r="R966" s="1">
        <v>3193.07</v>
      </c>
      <c r="S966" t="s">
        <v>12</v>
      </c>
      <c r="T966" s="13">
        <v>45788</v>
      </c>
      <c r="U966" s="1" t="str">
        <f>IF(ESTIMATIVA[[#This Row],[QT_AREA_REAL]]&gt;0,"1- Colhido","2- à Colher")</f>
        <v>1- Colhido</v>
      </c>
      <c r="V966" s="1" t="str">
        <f>IF(ESTIMATIVA[[#This Row],[QT_AREA_REST1]]&gt;0,"Reestimativa 1",IF(ESTIMATIVA[[#This Row],[QT_AREA_REAL]]=0,"Reestimativa 1","Realizado"))</f>
        <v>Realizado</v>
      </c>
      <c r="W966" s="1" t="str">
        <f>IF(ESTIMATIVA[[#This Row],[QT_AREA_REST2]]&gt;0,"Reestimativa 2",IF(ESTIMATIVA[[#This Row],[QT_AREA_REAL]]=0,"Reestimativa 2","Realizado"))</f>
        <v>Realizado</v>
      </c>
      <c r="X966" s="1">
        <f>ESTIMATIVA[[#This Row],[QT_AREA_EST]]</f>
        <v>36.07</v>
      </c>
      <c r="Y966" s="1">
        <f>IF(ESTIMATIVA[[#This Row],[QT_AREA_REST1]]&gt;0,ESTIMATIVA[[#This Row],[QT_AREA_REST1]],
  IF(ESTIMATIVA[[#This Row],[QT_AREA_REAL]]&gt;0,ESTIMATIVA[[#This Row],[QT_AREA_REAL]],ESTIMATIVA[[#This Row],[QT_AREA_EST]]))</f>
        <v>36.07</v>
      </c>
      <c r="Z96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36.07</v>
      </c>
      <c r="AA966" s="1">
        <f>ESTIMATIVA[[#This Row],[QT_CANA_EST]]</f>
        <v>3065.95</v>
      </c>
      <c r="AB966" s="1">
        <f>IF(ESTIMATIVA[[#This Row],[QT_CANA_REST1]]&gt;0,ESTIMATIVA[[#This Row],[QT_CANA_REST1]],
  IF(ESTIMATIVA[[#This Row],[QT_CANA_REAL]]&gt;0,ESTIMATIVA[[#This Row],[QT_CANA_REAL]],ESTIMATIVA[[#This Row],[QT_CANA_EST]]))</f>
        <v>3193.07</v>
      </c>
      <c r="AC96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3193.07</v>
      </c>
      <c r="AD966" s="1">
        <f>IF(ESTIMATIVA[[#This Row],[QT_AREA_REAL]]&gt;0,ESTIMATIVA[[#This Row],[QT_CANA_REAL]],ESTIMATIVA[[#This Row],[QT_CANA_EST]])</f>
        <v>3193.07</v>
      </c>
      <c r="AE966" s="1">
        <f>IF(ESTIMATIVA[[#This Row],[QT_AREA_REAL]]&gt;0,ESTIMATIVA[[#This Row],[QT_CANA_REAL]],ESTIMATIVA[[#This Row],[QT_CANA_REST1]])</f>
        <v>3193.07</v>
      </c>
      <c r="AF966" s="1">
        <f>IF(ESTIMATIVA[[#This Row],[QT_AREA_REAL]]&gt;0,ESTIMATIVA[[#This Row],[QT_CANA_REAL]],ESTIMATIVA[[#This Row],[QT_CANA_REST2]])</f>
        <v>3193.07</v>
      </c>
      <c r="AG966" s="1" t="str">
        <f>IF(COUNTIFS(GEADA!A:A,VALUE(ESTIMATIVA[[#This Row],[CD_UPNIVEL1]]&amp;TEXT(ESTIMATIVA[[#This Row],[CD_UPNIVEL3]],"0000")))&gt;0,"S","N")</f>
        <v>N</v>
      </c>
      <c r="AH96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66" s="55" t="str">
        <f>IF(ESTIMATIVA[[#This Row],[TP_CULTIVO]]="Irrigado",_xlfn.MAXIFS(IRRIGADO!J:J,IRRIGADO!C:C,ESTIMATIVA[[#This Row],[CD_UPNIVEL1]],IRRIGADO!E:E,ESTIMATIVA[[#This Row],[CD_UPNIVEL3]]),"")</f>
        <v/>
      </c>
      <c r="AJ96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66" s="1">
        <f>COUNTIFS(Apresentação!$E$23:$E$29,ESTIMATIVA[[#This Row],[CD_UPNIVEL1]])</f>
        <v>0</v>
      </c>
    </row>
    <row r="967" spans="1:37" x14ac:dyDescent="0.3">
      <c r="A967">
        <v>20462</v>
      </c>
      <c r="B967" t="s">
        <v>52</v>
      </c>
      <c r="C967">
        <v>7</v>
      </c>
      <c r="D967">
        <v>2</v>
      </c>
      <c r="E967" t="s">
        <v>266</v>
      </c>
      <c r="F967" s="85" t="s">
        <v>331</v>
      </c>
      <c r="G967"/>
      <c r="H967" t="s">
        <v>295</v>
      </c>
      <c r="I967" t="s">
        <v>208</v>
      </c>
      <c r="J967" t="s">
        <v>176</v>
      </c>
      <c r="K967" s="1">
        <v>30.02</v>
      </c>
      <c r="L967" s="1">
        <v>0</v>
      </c>
      <c r="M967" s="1">
        <v>0</v>
      </c>
      <c r="N967" s="1">
        <v>30.02</v>
      </c>
      <c r="O967" s="1">
        <v>2551.6999999999998</v>
      </c>
      <c r="P967" s="1">
        <v>0</v>
      </c>
      <c r="Q967" s="1">
        <v>0</v>
      </c>
      <c r="R967" s="1">
        <v>2658.78</v>
      </c>
      <c r="S967" t="s">
        <v>12</v>
      </c>
      <c r="T967" s="13">
        <v>45788</v>
      </c>
      <c r="U967" s="1" t="str">
        <f>IF(ESTIMATIVA[[#This Row],[QT_AREA_REAL]]&gt;0,"1- Colhido","2- à Colher")</f>
        <v>1- Colhido</v>
      </c>
      <c r="V967" s="1" t="str">
        <f>IF(ESTIMATIVA[[#This Row],[QT_AREA_REST1]]&gt;0,"Reestimativa 1",IF(ESTIMATIVA[[#This Row],[QT_AREA_REAL]]=0,"Reestimativa 1","Realizado"))</f>
        <v>Realizado</v>
      </c>
      <c r="W967" s="1" t="str">
        <f>IF(ESTIMATIVA[[#This Row],[QT_AREA_REST2]]&gt;0,"Reestimativa 2",IF(ESTIMATIVA[[#This Row],[QT_AREA_REAL]]=0,"Reestimativa 2","Realizado"))</f>
        <v>Realizado</v>
      </c>
      <c r="X967" s="1">
        <f>ESTIMATIVA[[#This Row],[QT_AREA_EST]]</f>
        <v>30.02</v>
      </c>
      <c r="Y967" s="1">
        <f>IF(ESTIMATIVA[[#This Row],[QT_AREA_REST1]]&gt;0,ESTIMATIVA[[#This Row],[QT_AREA_REST1]],
  IF(ESTIMATIVA[[#This Row],[QT_AREA_REAL]]&gt;0,ESTIMATIVA[[#This Row],[QT_AREA_REAL]],ESTIMATIVA[[#This Row],[QT_AREA_EST]]))</f>
        <v>30.02</v>
      </c>
      <c r="Z96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30.02</v>
      </c>
      <c r="AA967" s="1">
        <f>ESTIMATIVA[[#This Row],[QT_CANA_EST]]</f>
        <v>2551.6999999999998</v>
      </c>
      <c r="AB967" s="1">
        <f>IF(ESTIMATIVA[[#This Row],[QT_CANA_REST1]]&gt;0,ESTIMATIVA[[#This Row],[QT_CANA_REST1]],
  IF(ESTIMATIVA[[#This Row],[QT_CANA_REAL]]&gt;0,ESTIMATIVA[[#This Row],[QT_CANA_REAL]],ESTIMATIVA[[#This Row],[QT_CANA_EST]]))</f>
        <v>2658.78</v>
      </c>
      <c r="AC96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2658.78</v>
      </c>
      <c r="AD967" s="1">
        <f>IF(ESTIMATIVA[[#This Row],[QT_AREA_REAL]]&gt;0,ESTIMATIVA[[#This Row],[QT_CANA_REAL]],ESTIMATIVA[[#This Row],[QT_CANA_EST]])</f>
        <v>2658.78</v>
      </c>
      <c r="AE967" s="1">
        <f>IF(ESTIMATIVA[[#This Row],[QT_AREA_REAL]]&gt;0,ESTIMATIVA[[#This Row],[QT_CANA_REAL]],ESTIMATIVA[[#This Row],[QT_CANA_REST1]])</f>
        <v>2658.78</v>
      </c>
      <c r="AF967" s="1">
        <f>IF(ESTIMATIVA[[#This Row],[QT_AREA_REAL]]&gt;0,ESTIMATIVA[[#This Row],[QT_CANA_REAL]],ESTIMATIVA[[#This Row],[QT_CANA_REST2]])</f>
        <v>2658.78</v>
      </c>
      <c r="AG967" s="1" t="str">
        <f>IF(COUNTIFS(GEADA!A:A,VALUE(ESTIMATIVA[[#This Row],[CD_UPNIVEL1]]&amp;TEXT(ESTIMATIVA[[#This Row],[CD_UPNIVEL3]],"0000")))&gt;0,"S","N")</f>
        <v>N</v>
      </c>
      <c r="AH96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67" s="55" t="str">
        <f>IF(ESTIMATIVA[[#This Row],[TP_CULTIVO]]="Irrigado",_xlfn.MAXIFS(IRRIGADO!J:J,IRRIGADO!C:C,ESTIMATIVA[[#This Row],[CD_UPNIVEL1]],IRRIGADO!E:E,ESTIMATIVA[[#This Row],[CD_UPNIVEL3]]),"")</f>
        <v/>
      </c>
      <c r="AJ96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67" s="1">
        <f>COUNTIFS(Apresentação!$E$23:$E$29,ESTIMATIVA[[#This Row],[CD_UPNIVEL1]])</f>
        <v>0</v>
      </c>
    </row>
    <row r="968" spans="1:37" x14ac:dyDescent="0.3">
      <c r="A968">
        <v>20462</v>
      </c>
      <c r="B968" t="s">
        <v>52</v>
      </c>
      <c r="C968">
        <v>16</v>
      </c>
      <c r="D968">
        <v>8</v>
      </c>
      <c r="E968" t="s">
        <v>262</v>
      </c>
      <c r="F968" s="85" t="s">
        <v>331</v>
      </c>
      <c r="G968"/>
      <c r="H968" t="s">
        <v>295</v>
      </c>
      <c r="I968" t="s">
        <v>208</v>
      </c>
      <c r="J968" t="s">
        <v>176</v>
      </c>
      <c r="K968" s="1">
        <v>8.56</v>
      </c>
      <c r="L968" s="1">
        <v>0</v>
      </c>
      <c r="M968" s="1">
        <v>0</v>
      </c>
      <c r="N968" s="1">
        <v>8.56</v>
      </c>
      <c r="O968" s="1">
        <v>599.20000000000005</v>
      </c>
      <c r="P968" s="1">
        <v>0</v>
      </c>
      <c r="Q968" s="1">
        <v>0</v>
      </c>
      <c r="R968" s="1">
        <v>787.58</v>
      </c>
      <c r="S968" t="s">
        <v>12</v>
      </c>
      <c r="T968" s="13">
        <v>45732</v>
      </c>
      <c r="U968" s="1" t="str">
        <f>IF(ESTIMATIVA[[#This Row],[QT_AREA_REAL]]&gt;0,"1- Colhido","2- à Colher")</f>
        <v>1- Colhido</v>
      </c>
      <c r="V968" s="1" t="str">
        <f>IF(ESTIMATIVA[[#This Row],[QT_AREA_REST1]]&gt;0,"Reestimativa 1",IF(ESTIMATIVA[[#This Row],[QT_AREA_REAL]]=0,"Reestimativa 1","Realizado"))</f>
        <v>Realizado</v>
      </c>
      <c r="W968" s="1" t="str">
        <f>IF(ESTIMATIVA[[#This Row],[QT_AREA_REST2]]&gt;0,"Reestimativa 2",IF(ESTIMATIVA[[#This Row],[QT_AREA_REAL]]=0,"Reestimativa 2","Realizado"))</f>
        <v>Realizado</v>
      </c>
      <c r="X968" s="1">
        <f>ESTIMATIVA[[#This Row],[QT_AREA_EST]]</f>
        <v>8.56</v>
      </c>
      <c r="Y968" s="1">
        <f>IF(ESTIMATIVA[[#This Row],[QT_AREA_REST1]]&gt;0,ESTIMATIVA[[#This Row],[QT_AREA_REST1]],
  IF(ESTIMATIVA[[#This Row],[QT_AREA_REAL]]&gt;0,ESTIMATIVA[[#This Row],[QT_AREA_REAL]],ESTIMATIVA[[#This Row],[QT_AREA_EST]]))</f>
        <v>8.56</v>
      </c>
      <c r="Z96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8.56</v>
      </c>
      <c r="AA968" s="1">
        <f>ESTIMATIVA[[#This Row],[QT_CANA_EST]]</f>
        <v>599.20000000000005</v>
      </c>
      <c r="AB968" s="1">
        <f>IF(ESTIMATIVA[[#This Row],[QT_CANA_REST1]]&gt;0,ESTIMATIVA[[#This Row],[QT_CANA_REST1]],
  IF(ESTIMATIVA[[#This Row],[QT_CANA_REAL]]&gt;0,ESTIMATIVA[[#This Row],[QT_CANA_REAL]],ESTIMATIVA[[#This Row],[QT_CANA_EST]]))</f>
        <v>787.58</v>
      </c>
      <c r="AC96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787.58</v>
      </c>
      <c r="AD968" s="1">
        <f>IF(ESTIMATIVA[[#This Row],[QT_AREA_REAL]]&gt;0,ESTIMATIVA[[#This Row],[QT_CANA_REAL]],ESTIMATIVA[[#This Row],[QT_CANA_EST]])</f>
        <v>787.58</v>
      </c>
      <c r="AE968" s="1">
        <f>IF(ESTIMATIVA[[#This Row],[QT_AREA_REAL]]&gt;0,ESTIMATIVA[[#This Row],[QT_CANA_REAL]],ESTIMATIVA[[#This Row],[QT_CANA_REST1]])</f>
        <v>787.58</v>
      </c>
      <c r="AF968" s="1">
        <f>IF(ESTIMATIVA[[#This Row],[QT_AREA_REAL]]&gt;0,ESTIMATIVA[[#This Row],[QT_CANA_REAL]],ESTIMATIVA[[#This Row],[QT_CANA_REST2]])</f>
        <v>787.58</v>
      </c>
      <c r="AG968" s="1" t="str">
        <f>IF(COUNTIFS(GEADA!A:A,VALUE(ESTIMATIVA[[#This Row],[CD_UPNIVEL1]]&amp;TEXT(ESTIMATIVA[[#This Row],[CD_UPNIVEL3]],"0000")))&gt;0,"S","N")</f>
        <v>N</v>
      </c>
      <c r="AH96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68" s="55" t="str">
        <f>IF(ESTIMATIVA[[#This Row],[TP_CULTIVO]]="Irrigado",_xlfn.MAXIFS(IRRIGADO!J:J,IRRIGADO!C:C,ESTIMATIVA[[#This Row],[CD_UPNIVEL1]],IRRIGADO!E:E,ESTIMATIVA[[#This Row],[CD_UPNIVEL3]]),"")</f>
        <v/>
      </c>
      <c r="AJ96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68" s="1">
        <f>COUNTIFS(Apresentação!$E$23:$E$29,ESTIMATIVA[[#This Row],[CD_UPNIVEL1]])</f>
        <v>0</v>
      </c>
    </row>
    <row r="969" spans="1:37" x14ac:dyDescent="0.3">
      <c r="A969">
        <v>20462</v>
      </c>
      <c r="B969" t="s">
        <v>52</v>
      </c>
      <c r="C969">
        <v>17</v>
      </c>
      <c r="D969">
        <v>8</v>
      </c>
      <c r="E969" t="s">
        <v>262</v>
      </c>
      <c r="F969" s="85" t="s">
        <v>331</v>
      </c>
      <c r="G969"/>
      <c r="H969" t="s">
        <v>295</v>
      </c>
      <c r="I969" t="s">
        <v>208</v>
      </c>
      <c r="J969" t="s">
        <v>176</v>
      </c>
      <c r="K969" s="1">
        <v>19.66</v>
      </c>
      <c r="L969" s="1">
        <v>0</v>
      </c>
      <c r="M969" s="1">
        <v>0</v>
      </c>
      <c r="N969" s="1">
        <v>19.66</v>
      </c>
      <c r="O969" s="1">
        <v>1376.2</v>
      </c>
      <c r="P969" s="1">
        <v>0</v>
      </c>
      <c r="Q969" s="1">
        <v>0</v>
      </c>
      <c r="R969" s="1">
        <v>1809.33</v>
      </c>
      <c r="S969" t="s">
        <v>12</v>
      </c>
      <c r="T969" s="13">
        <v>45732</v>
      </c>
      <c r="U969" s="1" t="str">
        <f>IF(ESTIMATIVA[[#This Row],[QT_AREA_REAL]]&gt;0,"1- Colhido","2- à Colher")</f>
        <v>1- Colhido</v>
      </c>
      <c r="V969" s="1" t="str">
        <f>IF(ESTIMATIVA[[#This Row],[QT_AREA_REST1]]&gt;0,"Reestimativa 1",IF(ESTIMATIVA[[#This Row],[QT_AREA_REAL]]=0,"Reestimativa 1","Realizado"))</f>
        <v>Realizado</v>
      </c>
      <c r="W969" s="1" t="str">
        <f>IF(ESTIMATIVA[[#This Row],[QT_AREA_REST2]]&gt;0,"Reestimativa 2",IF(ESTIMATIVA[[#This Row],[QT_AREA_REAL]]=0,"Reestimativa 2","Realizado"))</f>
        <v>Realizado</v>
      </c>
      <c r="X969" s="1">
        <f>ESTIMATIVA[[#This Row],[QT_AREA_EST]]</f>
        <v>19.66</v>
      </c>
      <c r="Y969" s="1">
        <f>IF(ESTIMATIVA[[#This Row],[QT_AREA_REST1]]&gt;0,ESTIMATIVA[[#This Row],[QT_AREA_REST1]],
  IF(ESTIMATIVA[[#This Row],[QT_AREA_REAL]]&gt;0,ESTIMATIVA[[#This Row],[QT_AREA_REAL]],ESTIMATIVA[[#This Row],[QT_AREA_EST]]))</f>
        <v>19.66</v>
      </c>
      <c r="Z96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19.66</v>
      </c>
      <c r="AA969" s="1">
        <f>ESTIMATIVA[[#This Row],[QT_CANA_EST]]</f>
        <v>1376.2</v>
      </c>
      <c r="AB969" s="1">
        <f>IF(ESTIMATIVA[[#This Row],[QT_CANA_REST1]]&gt;0,ESTIMATIVA[[#This Row],[QT_CANA_REST1]],
  IF(ESTIMATIVA[[#This Row],[QT_CANA_REAL]]&gt;0,ESTIMATIVA[[#This Row],[QT_CANA_REAL]],ESTIMATIVA[[#This Row],[QT_CANA_EST]]))</f>
        <v>1809.33</v>
      </c>
      <c r="AC96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1809.33</v>
      </c>
      <c r="AD969" s="1">
        <f>IF(ESTIMATIVA[[#This Row],[QT_AREA_REAL]]&gt;0,ESTIMATIVA[[#This Row],[QT_CANA_REAL]],ESTIMATIVA[[#This Row],[QT_CANA_EST]])</f>
        <v>1809.33</v>
      </c>
      <c r="AE969" s="1">
        <f>IF(ESTIMATIVA[[#This Row],[QT_AREA_REAL]]&gt;0,ESTIMATIVA[[#This Row],[QT_CANA_REAL]],ESTIMATIVA[[#This Row],[QT_CANA_REST1]])</f>
        <v>1809.33</v>
      </c>
      <c r="AF969" s="1">
        <f>IF(ESTIMATIVA[[#This Row],[QT_AREA_REAL]]&gt;0,ESTIMATIVA[[#This Row],[QT_CANA_REAL]],ESTIMATIVA[[#This Row],[QT_CANA_REST2]])</f>
        <v>1809.33</v>
      </c>
      <c r="AG969" s="1" t="str">
        <f>IF(COUNTIFS(GEADA!A:A,VALUE(ESTIMATIVA[[#This Row],[CD_UPNIVEL1]]&amp;TEXT(ESTIMATIVA[[#This Row],[CD_UPNIVEL3]],"0000")))&gt;0,"S","N")</f>
        <v>N</v>
      </c>
      <c r="AH96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69" s="55" t="str">
        <f>IF(ESTIMATIVA[[#This Row],[TP_CULTIVO]]="Irrigado",_xlfn.MAXIFS(IRRIGADO!J:J,IRRIGADO!C:C,ESTIMATIVA[[#This Row],[CD_UPNIVEL1]],IRRIGADO!E:E,ESTIMATIVA[[#This Row],[CD_UPNIVEL3]]),"")</f>
        <v/>
      </c>
      <c r="AJ96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69" s="1">
        <f>COUNTIFS(Apresentação!$E$23:$E$29,ESTIMATIVA[[#This Row],[CD_UPNIVEL1]])</f>
        <v>0</v>
      </c>
    </row>
    <row r="970" spans="1:37" x14ac:dyDescent="0.3">
      <c r="A970">
        <v>20462</v>
      </c>
      <c r="B970" t="s">
        <v>52</v>
      </c>
      <c r="C970">
        <v>18</v>
      </c>
      <c r="D970">
        <v>8</v>
      </c>
      <c r="E970" t="s">
        <v>262</v>
      </c>
      <c r="F970" s="85" t="s">
        <v>331</v>
      </c>
      <c r="G970"/>
      <c r="H970" t="s">
        <v>295</v>
      </c>
      <c r="I970" t="s">
        <v>208</v>
      </c>
      <c r="J970" t="s">
        <v>176</v>
      </c>
      <c r="K970" s="1">
        <v>15.02</v>
      </c>
      <c r="L970" s="1">
        <v>0</v>
      </c>
      <c r="M970" s="1">
        <v>0</v>
      </c>
      <c r="N970" s="1">
        <v>15.02</v>
      </c>
      <c r="O970" s="1">
        <v>1051.4000000000001</v>
      </c>
      <c r="P970" s="1">
        <v>0</v>
      </c>
      <c r="Q970" s="1">
        <v>0</v>
      </c>
      <c r="R970" s="1">
        <v>1381.97</v>
      </c>
      <c r="S970" t="s">
        <v>12</v>
      </c>
      <c r="T970" s="13">
        <v>45732</v>
      </c>
      <c r="U970" s="1" t="str">
        <f>IF(ESTIMATIVA[[#This Row],[QT_AREA_REAL]]&gt;0,"1- Colhido","2- à Colher")</f>
        <v>1- Colhido</v>
      </c>
      <c r="V970" s="1" t="str">
        <f>IF(ESTIMATIVA[[#This Row],[QT_AREA_REST1]]&gt;0,"Reestimativa 1",IF(ESTIMATIVA[[#This Row],[QT_AREA_REAL]]=0,"Reestimativa 1","Realizado"))</f>
        <v>Realizado</v>
      </c>
      <c r="W970" s="1" t="str">
        <f>IF(ESTIMATIVA[[#This Row],[QT_AREA_REST2]]&gt;0,"Reestimativa 2",IF(ESTIMATIVA[[#This Row],[QT_AREA_REAL]]=0,"Reestimativa 2","Realizado"))</f>
        <v>Realizado</v>
      </c>
      <c r="X970" s="1">
        <f>ESTIMATIVA[[#This Row],[QT_AREA_EST]]</f>
        <v>15.02</v>
      </c>
      <c r="Y970" s="1">
        <f>IF(ESTIMATIVA[[#This Row],[QT_AREA_REST1]]&gt;0,ESTIMATIVA[[#This Row],[QT_AREA_REST1]],
  IF(ESTIMATIVA[[#This Row],[QT_AREA_REAL]]&gt;0,ESTIMATIVA[[#This Row],[QT_AREA_REAL]],ESTIMATIVA[[#This Row],[QT_AREA_EST]]))</f>
        <v>15.02</v>
      </c>
      <c r="Z97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15.02</v>
      </c>
      <c r="AA970" s="1">
        <f>ESTIMATIVA[[#This Row],[QT_CANA_EST]]</f>
        <v>1051.4000000000001</v>
      </c>
      <c r="AB970" s="1">
        <f>IF(ESTIMATIVA[[#This Row],[QT_CANA_REST1]]&gt;0,ESTIMATIVA[[#This Row],[QT_CANA_REST1]],
  IF(ESTIMATIVA[[#This Row],[QT_CANA_REAL]]&gt;0,ESTIMATIVA[[#This Row],[QT_CANA_REAL]],ESTIMATIVA[[#This Row],[QT_CANA_EST]]))</f>
        <v>1381.97</v>
      </c>
      <c r="AC97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1381.97</v>
      </c>
      <c r="AD970" s="1">
        <f>IF(ESTIMATIVA[[#This Row],[QT_AREA_REAL]]&gt;0,ESTIMATIVA[[#This Row],[QT_CANA_REAL]],ESTIMATIVA[[#This Row],[QT_CANA_EST]])</f>
        <v>1381.97</v>
      </c>
      <c r="AE970" s="1">
        <f>IF(ESTIMATIVA[[#This Row],[QT_AREA_REAL]]&gt;0,ESTIMATIVA[[#This Row],[QT_CANA_REAL]],ESTIMATIVA[[#This Row],[QT_CANA_REST1]])</f>
        <v>1381.97</v>
      </c>
      <c r="AF970" s="1">
        <f>IF(ESTIMATIVA[[#This Row],[QT_AREA_REAL]]&gt;0,ESTIMATIVA[[#This Row],[QT_CANA_REAL]],ESTIMATIVA[[#This Row],[QT_CANA_REST2]])</f>
        <v>1381.97</v>
      </c>
      <c r="AG970" s="1" t="str">
        <f>IF(COUNTIFS(GEADA!A:A,VALUE(ESTIMATIVA[[#This Row],[CD_UPNIVEL1]]&amp;TEXT(ESTIMATIVA[[#This Row],[CD_UPNIVEL3]],"0000")))&gt;0,"S","N")</f>
        <v>N</v>
      </c>
      <c r="AH97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70" s="55" t="str">
        <f>IF(ESTIMATIVA[[#This Row],[TP_CULTIVO]]="Irrigado",_xlfn.MAXIFS(IRRIGADO!J:J,IRRIGADO!C:C,ESTIMATIVA[[#This Row],[CD_UPNIVEL1]],IRRIGADO!E:E,ESTIMATIVA[[#This Row],[CD_UPNIVEL3]]),"")</f>
        <v/>
      </c>
      <c r="AJ97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70" s="1">
        <f>COUNTIFS(Apresentação!$E$23:$E$29,ESTIMATIVA[[#This Row],[CD_UPNIVEL1]])</f>
        <v>0</v>
      </c>
    </row>
    <row r="971" spans="1:37" x14ac:dyDescent="0.3">
      <c r="A971">
        <v>20462</v>
      </c>
      <c r="B971" t="s">
        <v>52</v>
      </c>
      <c r="C971">
        <v>19</v>
      </c>
      <c r="D971">
        <v>8</v>
      </c>
      <c r="E971" t="s">
        <v>262</v>
      </c>
      <c r="F971" s="85" t="s">
        <v>331</v>
      </c>
      <c r="G971"/>
      <c r="H971" t="s">
        <v>295</v>
      </c>
      <c r="I971" t="s">
        <v>208</v>
      </c>
      <c r="J971" t="s">
        <v>176</v>
      </c>
      <c r="K971" s="1">
        <v>9.93</v>
      </c>
      <c r="L971" s="1">
        <v>0</v>
      </c>
      <c r="M971" s="1">
        <v>0</v>
      </c>
      <c r="N971" s="1">
        <v>9.93</v>
      </c>
      <c r="O971" s="1">
        <v>695.1</v>
      </c>
      <c r="P971" s="1">
        <v>0</v>
      </c>
      <c r="Q971" s="1">
        <v>0</v>
      </c>
      <c r="R971" s="1">
        <v>913.83</v>
      </c>
      <c r="S971" t="s">
        <v>12</v>
      </c>
      <c r="T971" s="13">
        <v>45732</v>
      </c>
      <c r="U971" s="1" t="str">
        <f>IF(ESTIMATIVA[[#This Row],[QT_AREA_REAL]]&gt;0,"1- Colhido","2- à Colher")</f>
        <v>1- Colhido</v>
      </c>
      <c r="V971" s="1" t="str">
        <f>IF(ESTIMATIVA[[#This Row],[QT_AREA_REST1]]&gt;0,"Reestimativa 1",IF(ESTIMATIVA[[#This Row],[QT_AREA_REAL]]=0,"Reestimativa 1","Realizado"))</f>
        <v>Realizado</v>
      </c>
      <c r="W971" s="1" t="str">
        <f>IF(ESTIMATIVA[[#This Row],[QT_AREA_REST2]]&gt;0,"Reestimativa 2",IF(ESTIMATIVA[[#This Row],[QT_AREA_REAL]]=0,"Reestimativa 2","Realizado"))</f>
        <v>Realizado</v>
      </c>
      <c r="X971" s="1">
        <f>ESTIMATIVA[[#This Row],[QT_AREA_EST]]</f>
        <v>9.93</v>
      </c>
      <c r="Y971" s="1">
        <f>IF(ESTIMATIVA[[#This Row],[QT_AREA_REST1]]&gt;0,ESTIMATIVA[[#This Row],[QT_AREA_REST1]],
  IF(ESTIMATIVA[[#This Row],[QT_AREA_REAL]]&gt;0,ESTIMATIVA[[#This Row],[QT_AREA_REAL]],ESTIMATIVA[[#This Row],[QT_AREA_EST]]))</f>
        <v>9.93</v>
      </c>
      <c r="Z97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9.93</v>
      </c>
      <c r="AA971" s="1">
        <f>ESTIMATIVA[[#This Row],[QT_CANA_EST]]</f>
        <v>695.1</v>
      </c>
      <c r="AB971" s="1">
        <f>IF(ESTIMATIVA[[#This Row],[QT_CANA_REST1]]&gt;0,ESTIMATIVA[[#This Row],[QT_CANA_REST1]],
  IF(ESTIMATIVA[[#This Row],[QT_CANA_REAL]]&gt;0,ESTIMATIVA[[#This Row],[QT_CANA_REAL]],ESTIMATIVA[[#This Row],[QT_CANA_EST]]))</f>
        <v>913.83</v>
      </c>
      <c r="AC97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913.83</v>
      </c>
      <c r="AD971" s="1">
        <f>IF(ESTIMATIVA[[#This Row],[QT_AREA_REAL]]&gt;0,ESTIMATIVA[[#This Row],[QT_CANA_REAL]],ESTIMATIVA[[#This Row],[QT_CANA_EST]])</f>
        <v>913.83</v>
      </c>
      <c r="AE971" s="1">
        <f>IF(ESTIMATIVA[[#This Row],[QT_AREA_REAL]]&gt;0,ESTIMATIVA[[#This Row],[QT_CANA_REAL]],ESTIMATIVA[[#This Row],[QT_CANA_REST1]])</f>
        <v>913.83</v>
      </c>
      <c r="AF971" s="1">
        <f>IF(ESTIMATIVA[[#This Row],[QT_AREA_REAL]]&gt;0,ESTIMATIVA[[#This Row],[QT_CANA_REAL]],ESTIMATIVA[[#This Row],[QT_CANA_REST2]])</f>
        <v>913.83</v>
      </c>
      <c r="AG971" s="1" t="str">
        <f>IF(COUNTIFS(GEADA!A:A,VALUE(ESTIMATIVA[[#This Row],[CD_UPNIVEL1]]&amp;TEXT(ESTIMATIVA[[#This Row],[CD_UPNIVEL3]],"0000")))&gt;0,"S","N")</f>
        <v>N</v>
      </c>
      <c r="AH97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71" s="55" t="str">
        <f>IF(ESTIMATIVA[[#This Row],[TP_CULTIVO]]="Irrigado",_xlfn.MAXIFS(IRRIGADO!J:J,IRRIGADO!C:C,ESTIMATIVA[[#This Row],[CD_UPNIVEL1]],IRRIGADO!E:E,ESTIMATIVA[[#This Row],[CD_UPNIVEL3]]),"")</f>
        <v/>
      </c>
      <c r="AJ97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71" s="1">
        <f>COUNTIFS(Apresentação!$E$23:$E$29,ESTIMATIVA[[#This Row],[CD_UPNIVEL1]])</f>
        <v>0</v>
      </c>
    </row>
    <row r="972" spans="1:37" x14ac:dyDescent="0.3">
      <c r="A972">
        <v>20462</v>
      </c>
      <c r="B972" t="s">
        <v>52</v>
      </c>
      <c r="C972">
        <v>20</v>
      </c>
      <c r="D972">
        <v>8</v>
      </c>
      <c r="E972" t="s">
        <v>262</v>
      </c>
      <c r="F972" s="85" t="s">
        <v>331</v>
      </c>
      <c r="G972"/>
      <c r="H972" t="s">
        <v>295</v>
      </c>
      <c r="I972" t="s">
        <v>208</v>
      </c>
      <c r="J972" t="s">
        <v>176</v>
      </c>
      <c r="K972" s="1">
        <v>14.45</v>
      </c>
      <c r="L972" s="1">
        <v>0</v>
      </c>
      <c r="M972" s="1">
        <v>0</v>
      </c>
      <c r="N972" s="1">
        <v>14.45</v>
      </c>
      <c r="O972" s="1">
        <v>1011.5</v>
      </c>
      <c r="P972" s="1">
        <v>0</v>
      </c>
      <c r="Q972" s="1">
        <v>0</v>
      </c>
      <c r="R972" s="1">
        <v>1327.63</v>
      </c>
      <c r="S972" t="s">
        <v>12</v>
      </c>
      <c r="T972" s="13">
        <v>45739</v>
      </c>
      <c r="U972" s="1" t="str">
        <f>IF(ESTIMATIVA[[#This Row],[QT_AREA_REAL]]&gt;0,"1- Colhido","2- à Colher")</f>
        <v>1- Colhido</v>
      </c>
      <c r="V972" s="1" t="str">
        <f>IF(ESTIMATIVA[[#This Row],[QT_AREA_REST1]]&gt;0,"Reestimativa 1",IF(ESTIMATIVA[[#This Row],[QT_AREA_REAL]]=0,"Reestimativa 1","Realizado"))</f>
        <v>Realizado</v>
      </c>
      <c r="W972" s="1" t="str">
        <f>IF(ESTIMATIVA[[#This Row],[QT_AREA_REST2]]&gt;0,"Reestimativa 2",IF(ESTIMATIVA[[#This Row],[QT_AREA_REAL]]=0,"Reestimativa 2","Realizado"))</f>
        <v>Realizado</v>
      </c>
      <c r="X972" s="1">
        <f>ESTIMATIVA[[#This Row],[QT_AREA_EST]]</f>
        <v>14.45</v>
      </c>
      <c r="Y972" s="1">
        <f>IF(ESTIMATIVA[[#This Row],[QT_AREA_REST1]]&gt;0,ESTIMATIVA[[#This Row],[QT_AREA_REST1]],
  IF(ESTIMATIVA[[#This Row],[QT_AREA_REAL]]&gt;0,ESTIMATIVA[[#This Row],[QT_AREA_REAL]],ESTIMATIVA[[#This Row],[QT_AREA_EST]]))</f>
        <v>14.45</v>
      </c>
      <c r="Z97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14.45</v>
      </c>
      <c r="AA972" s="1">
        <f>ESTIMATIVA[[#This Row],[QT_CANA_EST]]</f>
        <v>1011.5</v>
      </c>
      <c r="AB972" s="1">
        <f>IF(ESTIMATIVA[[#This Row],[QT_CANA_REST1]]&gt;0,ESTIMATIVA[[#This Row],[QT_CANA_REST1]],
  IF(ESTIMATIVA[[#This Row],[QT_CANA_REAL]]&gt;0,ESTIMATIVA[[#This Row],[QT_CANA_REAL]],ESTIMATIVA[[#This Row],[QT_CANA_EST]]))</f>
        <v>1327.63</v>
      </c>
      <c r="AC97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1327.63</v>
      </c>
      <c r="AD972" s="1">
        <f>IF(ESTIMATIVA[[#This Row],[QT_AREA_REAL]]&gt;0,ESTIMATIVA[[#This Row],[QT_CANA_REAL]],ESTIMATIVA[[#This Row],[QT_CANA_EST]])</f>
        <v>1327.63</v>
      </c>
      <c r="AE972" s="1">
        <f>IF(ESTIMATIVA[[#This Row],[QT_AREA_REAL]]&gt;0,ESTIMATIVA[[#This Row],[QT_CANA_REAL]],ESTIMATIVA[[#This Row],[QT_CANA_REST1]])</f>
        <v>1327.63</v>
      </c>
      <c r="AF972" s="1">
        <f>IF(ESTIMATIVA[[#This Row],[QT_AREA_REAL]]&gt;0,ESTIMATIVA[[#This Row],[QT_CANA_REAL]],ESTIMATIVA[[#This Row],[QT_CANA_REST2]])</f>
        <v>1327.63</v>
      </c>
      <c r="AG972" s="1" t="str">
        <f>IF(COUNTIFS(GEADA!A:A,VALUE(ESTIMATIVA[[#This Row],[CD_UPNIVEL1]]&amp;TEXT(ESTIMATIVA[[#This Row],[CD_UPNIVEL3]],"0000")))&gt;0,"S","N")</f>
        <v>N</v>
      </c>
      <c r="AH97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72" s="55" t="str">
        <f>IF(ESTIMATIVA[[#This Row],[TP_CULTIVO]]="Irrigado",_xlfn.MAXIFS(IRRIGADO!J:J,IRRIGADO!C:C,ESTIMATIVA[[#This Row],[CD_UPNIVEL1]],IRRIGADO!E:E,ESTIMATIVA[[#This Row],[CD_UPNIVEL3]]),"")</f>
        <v/>
      </c>
      <c r="AJ97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72" s="1">
        <f>COUNTIFS(Apresentação!$E$23:$E$29,ESTIMATIVA[[#This Row],[CD_UPNIVEL1]])</f>
        <v>0</v>
      </c>
    </row>
    <row r="973" spans="1:37" x14ac:dyDescent="0.3">
      <c r="A973">
        <v>20462</v>
      </c>
      <c r="B973" t="s">
        <v>52</v>
      </c>
      <c r="C973">
        <v>21</v>
      </c>
      <c r="D973">
        <v>8</v>
      </c>
      <c r="E973" t="s">
        <v>262</v>
      </c>
      <c r="F973" s="85" t="s">
        <v>331</v>
      </c>
      <c r="G973"/>
      <c r="H973" t="s">
        <v>295</v>
      </c>
      <c r="I973" t="s">
        <v>208</v>
      </c>
      <c r="J973" t="s">
        <v>176</v>
      </c>
      <c r="K973" s="1">
        <v>18.190000000000001</v>
      </c>
      <c r="L973" s="1">
        <v>0</v>
      </c>
      <c r="M973" s="1">
        <v>0</v>
      </c>
      <c r="N973" s="1">
        <v>18.190000000000001</v>
      </c>
      <c r="O973" s="1">
        <v>1273.3</v>
      </c>
      <c r="P973" s="1">
        <v>0</v>
      </c>
      <c r="Q973" s="1">
        <v>0</v>
      </c>
      <c r="R973" s="1">
        <v>1670.05</v>
      </c>
      <c r="S973" t="s">
        <v>12</v>
      </c>
      <c r="T973" s="13">
        <v>45739</v>
      </c>
      <c r="U973" s="1" t="str">
        <f>IF(ESTIMATIVA[[#This Row],[QT_AREA_REAL]]&gt;0,"1- Colhido","2- à Colher")</f>
        <v>1- Colhido</v>
      </c>
      <c r="V973" s="1" t="str">
        <f>IF(ESTIMATIVA[[#This Row],[QT_AREA_REST1]]&gt;0,"Reestimativa 1",IF(ESTIMATIVA[[#This Row],[QT_AREA_REAL]]=0,"Reestimativa 1","Realizado"))</f>
        <v>Realizado</v>
      </c>
      <c r="W973" s="1" t="str">
        <f>IF(ESTIMATIVA[[#This Row],[QT_AREA_REST2]]&gt;0,"Reestimativa 2",IF(ESTIMATIVA[[#This Row],[QT_AREA_REAL]]=0,"Reestimativa 2","Realizado"))</f>
        <v>Realizado</v>
      </c>
      <c r="X973" s="1">
        <f>ESTIMATIVA[[#This Row],[QT_AREA_EST]]</f>
        <v>18.190000000000001</v>
      </c>
      <c r="Y973" s="1">
        <f>IF(ESTIMATIVA[[#This Row],[QT_AREA_REST1]]&gt;0,ESTIMATIVA[[#This Row],[QT_AREA_REST1]],
  IF(ESTIMATIVA[[#This Row],[QT_AREA_REAL]]&gt;0,ESTIMATIVA[[#This Row],[QT_AREA_REAL]],ESTIMATIVA[[#This Row],[QT_AREA_EST]]))</f>
        <v>18.190000000000001</v>
      </c>
      <c r="Z97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18.190000000000001</v>
      </c>
      <c r="AA973" s="1">
        <f>ESTIMATIVA[[#This Row],[QT_CANA_EST]]</f>
        <v>1273.3</v>
      </c>
      <c r="AB973" s="1">
        <f>IF(ESTIMATIVA[[#This Row],[QT_CANA_REST1]]&gt;0,ESTIMATIVA[[#This Row],[QT_CANA_REST1]],
  IF(ESTIMATIVA[[#This Row],[QT_CANA_REAL]]&gt;0,ESTIMATIVA[[#This Row],[QT_CANA_REAL]],ESTIMATIVA[[#This Row],[QT_CANA_EST]]))</f>
        <v>1670.05</v>
      </c>
      <c r="AC97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1670.05</v>
      </c>
      <c r="AD973" s="1">
        <f>IF(ESTIMATIVA[[#This Row],[QT_AREA_REAL]]&gt;0,ESTIMATIVA[[#This Row],[QT_CANA_REAL]],ESTIMATIVA[[#This Row],[QT_CANA_EST]])</f>
        <v>1670.05</v>
      </c>
      <c r="AE973" s="1">
        <f>IF(ESTIMATIVA[[#This Row],[QT_AREA_REAL]]&gt;0,ESTIMATIVA[[#This Row],[QT_CANA_REAL]],ESTIMATIVA[[#This Row],[QT_CANA_REST1]])</f>
        <v>1670.05</v>
      </c>
      <c r="AF973" s="1">
        <f>IF(ESTIMATIVA[[#This Row],[QT_AREA_REAL]]&gt;0,ESTIMATIVA[[#This Row],[QT_CANA_REAL]],ESTIMATIVA[[#This Row],[QT_CANA_REST2]])</f>
        <v>1670.05</v>
      </c>
      <c r="AG973" s="1" t="str">
        <f>IF(COUNTIFS(GEADA!A:A,VALUE(ESTIMATIVA[[#This Row],[CD_UPNIVEL1]]&amp;TEXT(ESTIMATIVA[[#This Row],[CD_UPNIVEL3]],"0000")))&gt;0,"S","N")</f>
        <v>N</v>
      </c>
      <c r="AH97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73" s="55" t="str">
        <f>IF(ESTIMATIVA[[#This Row],[TP_CULTIVO]]="Irrigado",_xlfn.MAXIFS(IRRIGADO!J:J,IRRIGADO!C:C,ESTIMATIVA[[#This Row],[CD_UPNIVEL1]],IRRIGADO!E:E,ESTIMATIVA[[#This Row],[CD_UPNIVEL3]]),"")</f>
        <v/>
      </c>
      <c r="AJ97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73" s="1">
        <f>COUNTIFS(Apresentação!$E$23:$E$29,ESTIMATIVA[[#This Row],[CD_UPNIVEL1]])</f>
        <v>0</v>
      </c>
    </row>
    <row r="974" spans="1:37" x14ac:dyDescent="0.3">
      <c r="A974">
        <v>20462</v>
      </c>
      <c r="B974" t="s">
        <v>52</v>
      </c>
      <c r="C974">
        <v>22</v>
      </c>
      <c r="D974">
        <v>8</v>
      </c>
      <c r="E974" t="s">
        <v>262</v>
      </c>
      <c r="F974" s="85" t="s">
        <v>331</v>
      </c>
      <c r="G974"/>
      <c r="H974" t="s">
        <v>295</v>
      </c>
      <c r="I974" t="s">
        <v>208</v>
      </c>
      <c r="J974" t="s">
        <v>176</v>
      </c>
      <c r="K974" s="1">
        <v>18.98</v>
      </c>
      <c r="L974" s="1">
        <v>0</v>
      </c>
      <c r="M974" s="1">
        <v>0</v>
      </c>
      <c r="N974" s="1">
        <v>18.98</v>
      </c>
      <c r="O974" s="1">
        <v>1328.6</v>
      </c>
      <c r="P974" s="1">
        <v>0</v>
      </c>
      <c r="Q974" s="1">
        <v>0</v>
      </c>
      <c r="R974" s="1">
        <v>1743.74</v>
      </c>
      <c r="S974" t="s">
        <v>12</v>
      </c>
      <c r="T974" s="13">
        <v>45739</v>
      </c>
      <c r="U974" s="1" t="str">
        <f>IF(ESTIMATIVA[[#This Row],[QT_AREA_REAL]]&gt;0,"1- Colhido","2- à Colher")</f>
        <v>1- Colhido</v>
      </c>
      <c r="V974" s="1" t="str">
        <f>IF(ESTIMATIVA[[#This Row],[QT_AREA_REST1]]&gt;0,"Reestimativa 1",IF(ESTIMATIVA[[#This Row],[QT_AREA_REAL]]=0,"Reestimativa 1","Realizado"))</f>
        <v>Realizado</v>
      </c>
      <c r="W974" s="1" t="str">
        <f>IF(ESTIMATIVA[[#This Row],[QT_AREA_REST2]]&gt;0,"Reestimativa 2",IF(ESTIMATIVA[[#This Row],[QT_AREA_REAL]]=0,"Reestimativa 2","Realizado"))</f>
        <v>Realizado</v>
      </c>
      <c r="X974" s="1">
        <f>ESTIMATIVA[[#This Row],[QT_AREA_EST]]</f>
        <v>18.98</v>
      </c>
      <c r="Y974" s="1">
        <f>IF(ESTIMATIVA[[#This Row],[QT_AREA_REST1]]&gt;0,ESTIMATIVA[[#This Row],[QT_AREA_REST1]],
  IF(ESTIMATIVA[[#This Row],[QT_AREA_REAL]]&gt;0,ESTIMATIVA[[#This Row],[QT_AREA_REAL]],ESTIMATIVA[[#This Row],[QT_AREA_EST]]))</f>
        <v>18.98</v>
      </c>
      <c r="Z97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18.98</v>
      </c>
      <c r="AA974" s="1">
        <f>ESTIMATIVA[[#This Row],[QT_CANA_EST]]</f>
        <v>1328.6</v>
      </c>
      <c r="AB974" s="1">
        <f>IF(ESTIMATIVA[[#This Row],[QT_CANA_REST1]]&gt;0,ESTIMATIVA[[#This Row],[QT_CANA_REST1]],
  IF(ESTIMATIVA[[#This Row],[QT_CANA_REAL]]&gt;0,ESTIMATIVA[[#This Row],[QT_CANA_REAL]],ESTIMATIVA[[#This Row],[QT_CANA_EST]]))</f>
        <v>1743.74</v>
      </c>
      <c r="AC97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1743.74</v>
      </c>
      <c r="AD974" s="1">
        <f>IF(ESTIMATIVA[[#This Row],[QT_AREA_REAL]]&gt;0,ESTIMATIVA[[#This Row],[QT_CANA_REAL]],ESTIMATIVA[[#This Row],[QT_CANA_EST]])</f>
        <v>1743.74</v>
      </c>
      <c r="AE974" s="1">
        <f>IF(ESTIMATIVA[[#This Row],[QT_AREA_REAL]]&gt;0,ESTIMATIVA[[#This Row],[QT_CANA_REAL]],ESTIMATIVA[[#This Row],[QT_CANA_REST1]])</f>
        <v>1743.74</v>
      </c>
      <c r="AF974" s="1">
        <f>IF(ESTIMATIVA[[#This Row],[QT_AREA_REAL]]&gt;0,ESTIMATIVA[[#This Row],[QT_CANA_REAL]],ESTIMATIVA[[#This Row],[QT_CANA_REST2]])</f>
        <v>1743.74</v>
      </c>
      <c r="AG974" s="1" t="str">
        <f>IF(COUNTIFS(GEADA!A:A,VALUE(ESTIMATIVA[[#This Row],[CD_UPNIVEL1]]&amp;TEXT(ESTIMATIVA[[#This Row],[CD_UPNIVEL3]],"0000")))&gt;0,"S","N")</f>
        <v>N</v>
      </c>
      <c r="AH97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74" s="55" t="str">
        <f>IF(ESTIMATIVA[[#This Row],[TP_CULTIVO]]="Irrigado",_xlfn.MAXIFS(IRRIGADO!J:J,IRRIGADO!C:C,ESTIMATIVA[[#This Row],[CD_UPNIVEL1]],IRRIGADO!E:E,ESTIMATIVA[[#This Row],[CD_UPNIVEL3]]),"")</f>
        <v/>
      </c>
      <c r="AJ97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74" s="1">
        <f>COUNTIFS(Apresentação!$E$23:$E$29,ESTIMATIVA[[#This Row],[CD_UPNIVEL1]])</f>
        <v>0</v>
      </c>
    </row>
    <row r="975" spans="1:37" x14ac:dyDescent="0.3">
      <c r="A975">
        <v>20462</v>
      </c>
      <c r="B975" t="s">
        <v>52</v>
      </c>
      <c r="C975">
        <v>25</v>
      </c>
      <c r="D975">
        <v>8</v>
      </c>
      <c r="E975" t="s">
        <v>262</v>
      </c>
      <c r="F975" s="85" t="s">
        <v>331</v>
      </c>
      <c r="G975"/>
      <c r="H975" t="s">
        <v>295</v>
      </c>
      <c r="I975" t="s">
        <v>208</v>
      </c>
      <c r="J975" t="s">
        <v>176</v>
      </c>
      <c r="K975" s="1">
        <v>18.989999999999998</v>
      </c>
      <c r="L975" s="1">
        <v>0</v>
      </c>
      <c r="M975" s="1">
        <v>0</v>
      </c>
      <c r="N975" s="1">
        <v>18.989999999999998</v>
      </c>
      <c r="O975" s="1">
        <v>1424.25</v>
      </c>
      <c r="P975" s="1">
        <v>0</v>
      </c>
      <c r="Q975" s="1">
        <v>0</v>
      </c>
      <c r="R975" s="1">
        <v>1987.4</v>
      </c>
      <c r="S975" t="s">
        <v>12</v>
      </c>
      <c r="T975" s="13">
        <v>45739</v>
      </c>
      <c r="U975" s="1" t="str">
        <f>IF(ESTIMATIVA[[#This Row],[QT_AREA_REAL]]&gt;0,"1- Colhido","2- à Colher")</f>
        <v>1- Colhido</v>
      </c>
      <c r="V975" s="1" t="str">
        <f>IF(ESTIMATIVA[[#This Row],[QT_AREA_REST1]]&gt;0,"Reestimativa 1",IF(ESTIMATIVA[[#This Row],[QT_AREA_REAL]]=0,"Reestimativa 1","Realizado"))</f>
        <v>Realizado</v>
      </c>
      <c r="W975" s="1" t="str">
        <f>IF(ESTIMATIVA[[#This Row],[QT_AREA_REST2]]&gt;0,"Reestimativa 2",IF(ESTIMATIVA[[#This Row],[QT_AREA_REAL]]=0,"Reestimativa 2","Realizado"))</f>
        <v>Realizado</v>
      </c>
      <c r="X975" s="1">
        <f>ESTIMATIVA[[#This Row],[QT_AREA_EST]]</f>
        <v>18.989999999999998</v>
      </c>
      <c r="Y975" s="1">
        <f>IF(ESTIMATIVA[[#This Row],[QT_AREA_REST1]]&gt;0,ESTIMATIVA[[#This Row],[QT_AREA_REST1]],
  IF(ESTIMATIVA[[#This Row],[QT_AREA_REAL]]&gt;0,ESTIMATIVA[[#This Row],[QT_AREA_REAL]],ESTIMATIVA[[#This Row],[QT_AREA_EST]]))</f>
        <v>18.989999999999998</v>
      </c>
      <c r="Z97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18.989999999999998</v>
      </c>
      <c r="AA975" s="1">
        <f>ESTIMATIVA[[#This Row],[QT_CANA_EST]]</f>
        <v>1424.25</v>
      </c>
      <c r="AB975" s="1">
        <f>IF(ESTIMATIVA[[#This Row],[QT_CANA_REST1]]&gt;0,ESTIMATIVA[[#This Row],[QT_CANA_REST1]],
  IF(ESTIMATIVA[[#This Row],[QT_CANA_REAL]]&gt;0,ESTIMATIVA[[#This Row],[QT_CANA_REAL]],ESTIMATIVA[[#This Row],[QT_CANA_EST]]))</f>
        <v>1987.4</v>
      </c>
      <c r="AC97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1987.4</v>
      </c>
      <c r="AD975" s="1">
        <f>IF(ESTIMATIVA[[#This Row],[QT_AREA_REAL]]&gt;0,ESTIMATIVA[[#This Row],[QT_CANA_REAL]],ESTIMATIVA[[#This Row],[QT_CANA_EST]])</f>
        <v>1987.4</v>
      </c>
      <c r="AE975" s="1">
        <f>IF(ESTIMATIVA[[#This Row],[QT_AREA_REAL]]&gt;0,ESTIMATIVA[[#This Row],[QT_CANA_REAL]],ESTIMATIVA[[#This Row],[QT_CANA_REST1]])</f>
        <v>1987.4</v>
      </c>
      <c r="AF975" s="1">
        <f>IF(ESTIMATIVA[[#This Row],[QT_AREA_REAL]]&gt;0,ESTIMATIVA[[#This Row],[QT_CANA_REAL]],ESTIMATIVA[[#This Row],[QT_CANA_REST2]])</f>
        <v>1987.4</v>
      </c>
      <c r="AG975" s="1" t="str">
        <f>IF(COUNTIFS(GEADA!A:A,VALUE(ESTIMATIVA[[#This Row],[CD_UPNIVEL1]]&amp;TEXT(ESTIMATIVA[[#This Row],[CD_UPNIVEL3]],"0000")))&gt;0,"S","N")</f>
        <v>N</v>
      </c>
      <c r="AH97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75" s="55" t="str">
        <f>IF(ESTIMATIVA[[#This Row],[TP_CULTIVO]]="Irrigado",_xlfn.MAXIFS(IRRIGADO!J:J,IRRIGADO!C:C,ESTIMATIVA[[#This Row],[CD_UPNIVEL1]],IRRIGADO!E:E,ESTIMATIVA[[#This Row],[CD_UPNIVEL3]]),"")</f>
        <v/>
      </c>
      <c r="AJ97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75" s="1">
        <f>COUNTIFS(Apresentação!$E$23:$E$29,ESTIMATIVA[[#This Row],[CD_UPNIVEL1]])</f>
        <v>0</v>
      </c>
    </row>
    <row r="976" spans="1:37" x14ac:dyDescent="0.3">
      <c r="A976">
        <v>20462</v>
      </c>
      <c r="B976" t="s">
        <v>52</v>
      </c>
      <c r="C976">
        <v>26</v>
      </c>
      <c r="D976">
        <v>8</v>
      </c>
      <c r="E976" t="s">
        <v>262</v>
      </c>
      <c r="F976" s="85" t="s">
        <v>331</v>
      </c>
      <c r="G976"/>
      <c r="H976" t="s">
        <v>295</v>
      </c>
      <c r="I976" t="s">
        <v>208</v>
      </c>
      <c r="J976" t="s">
        <v>176</v>
      </c>
      <c r="K976" s="1">
        <v>17.57</v>
      </c>
      <c r="L976" s="1">
        <v>0</v>
      </c>
      <c r="M976" s="1">
        <v>0</v>
      </c>
      <c r="N976" s="1">
        <v>17.57</v>
      </c>
      <c r="O976" s="1">
        <v>1317.75</v>
      </c>
      <c r="P976" s="1">
        <v>0</v>
      </c>
      <c r="Q976" s="1">
        <v>0</v>
      </c>
      <c r="R976" s="1">
        <v>1498.46</v>
      </c>
      <c r="S976" t="s">
        <v>12</v>
      </c>
      <c r="T976" s="13">
        <v>45739</v>
      </c>
      <c r="U976" s="1" t="str">
        <f>IF(ESTIMATIVA[[#This Row],[QT_AREA_REAL]]&gt;0,"1- Colhido","2- à Colher")</f>
        <v>1- Colhido</v>
      </c>
      <c r="V976" s="1" t="str">
        <f>IF(ESTIMATIVA[[#This Row],[QT_AREA_REST1]]&gt;0,"Reestimativa 1",IF(ESTIMATIVA[[#This Row],[QT_AREA_REAL]]=0,"Reestimativa 1","Realizado"))</f>
        <v>Realizado</v>
      </c>
      <c r="W976" s="1" t="str">
        <f>IF(ESTIMATIVA[[#This Row],[QT_AREA_REST2]]&gt;0,"Reestimativa 2",IF(ESTIMATIVA[[#This Row],[QT_AREA_REAL]]=0,"Reestimativa 2","Realizado"))</f>
        <v>Realizado</v>
      </c>
      <c r="X976" s="1">
        <f>ESTIMATIVA[[#This Row],[QT_AREA_EST]]</f>
        <v>17.57</v>
      </c>
      <c r="Y976" s="1">
        <f>IF(ESTIMATIVA[[#This Row],[QT_AREA_REST1]]&gt;0,ESTIMATIVA[[#This Row],[QT_AREA_REST1]],
  IF(ESTIMATIVA[[#This Row],[QT_AREA_REAL]]&gt;0,ESTIMATIVA[[#This Row],[QT_AREA_REAL]],ESTIMATIVA[[#This Row],[QT_AREA_EST]]))</f>
        <v>17.57</v>
      </c>
      <c r="Z97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17.57</v>
      </c>
      <c r="AA976" s="1">
        <f>ESTIMATIVA[[#This Row],[QT_CANA_EST]]</f>
        <v>1317.75</v>
      </c>
      <c r="AB976" s="1">
        <f>IF(ESTIMATIVA[[#This Row],[QT_CANA_REST1]]&gt;0,ESTIMATIVA[[#This Row],[QT_CANA_REST1]],
  IF(ESTIMATIVA[[#This Row],[QT_CANA_REAL]]&gt;0,ESTIMATIVA[[#This Row],[QT_CANA_REAL]],ESTIMATIVA[[#This Row],[QT_CANA_EST]]))</f>
        <v>1498.46</v>
      </c>
      <c r="AC97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1498.46</v>
      </c>
      <c r="AD976" s="1">
        <f>IF(ESTIMATIVA[[#This Row],[QT_AREA_REAL]]&gt;0,ESTIMATIVA[[#This Row],[QT_CANA_REAL]],ESTIMATIVA[[#This Row],[QT_CANA_EST]])</f>
        <v>1498.46</v>
      </c>
      <c r="AE976" s="1">
        <f>IF(ESTIMATIVA[[#This Row],[QT_AREA_REAL]]&gt;0,ESTIMATIVA[[#This Row],[QT_CANA_REAL]],ESTIMATIVA[[#This Row],[QT_CANA_REST1]])</f>
        <v>1498.46</v>
      </c>
      <c r="AF976" s="1">
        <f>IF(ESTIMATIVA[[#This Row],[QT_AREA_REAL]]&gt;0,ESTIMATIVA[[#This Row],[QT_CANA_REAL]],ESTIMATIVA[[#This Row],[QT_CANA_REST2]])</f>
        <v>1498.46</v>
      </c>
      <c r="AG976" s="1" t="str">
        <f>IF(COUNTIFS(GEADA!A:A,VALUE(ESTIMATIVA[[#This Row],[CD_UPNIVEL1]]&amp;TEXT(ESTIMATIVA[[#This Row],[CD_UPNIVEL3]],"0000")))&gt;0,"S","N")</f>
        <v>N</v>
      </c>
      <c r="AH97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76" s="55" t="str">
        <f>IF(ESTIMATIVA[[#This Row],[TP_CULTIVO]]="Irrigado",_xlfn.MAXIFS(IRRIGADO!J:J,IRRIGADO!C:C,ESTIMATIVA[[#This Row],[CD_UPNIVEL1]],IRRIGADO!E:E,ESTIMATIVA[[#This Row],[CD_UPNIVEL3]]),"")</f>
        <v/>
      </c>
      <c r="AJ97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76" s="1">
        <f>COUNTIFS(Apresentação!$E$23:$E$29,ESTIMATIVA[[#This Row],[CD_UPNIVEL1]])</f>
        <v>0</v>
      </c>
    </row>
    <row r="977" spans="1:37" x14ac:dyDescent="0.3">
      <c r="A977">
        <v>20462</v>
      </c>
      <c r="B977" t="s">
        <v>52</v>
      </c>
      <c r="C977">
        <v>27</v>
      </c>
      <c r="D977">
        <v>8</v>
      </c>
      <c r="E977" t="s">
        <v>262</v>
      </c>
      <c r="F977" s="85" t="s">
        <v>331</v>
      </c>
      <c r="G977"/>
      <c r="H977" t="s">
        <v>295</v>
      </c>
      <c r="I977" t="s">
        <v>208</v>
      </c>
      <c r="J977" t="s">
        <v>176</v>
      </c>
      <c r="K977" s="1">
        <v>14.16</v>
      </c>
      <c r="L977" s="1">
        <v>0</v>
      </c>
      <c r="M977" s="1">
        <v>0</v>
      </c>
      <c r="N977" s="1">
        <v>14.16</v>
      </c>
      <c r="O977" s="1">
        <v>1062</v>
      </c>
      <c r="P977" s="1">
        <v>0</v>
      </c>
      <c r="Q977" s="1">
        <v>0</v>
      </c>
      <c r="R977" s="1">
        <v>1207.3900000000001</v>
      </c>
      <c r="S977" t="s">
        <v>12</v>
      </c>
      <c r="T977" s="13">
        <v>45739</v>
      </c>
      <c r="U977" s="1" t="str">
        <f>IF(ESTIMATIVA[[#This Row],[QT_AREA_REAL]]&gt;0,"1- Colhido","2- à Colher")</f>
        <v>1- Colhido</v>
      </c>
      <c r="V977" s="1" t="str">
        <f>IF(ESTIMATIVA[[#This Row],[QT_AREA_REST1]]&gt;0,"Reestimativa 1",IF(ESTIMATIVA[[#This Row],[QT_AREA_REAL]]=0,"Reestimativa 1","Realizado"))</f>
        <v>Realizado</v>
      </c>
      <c r="W977" s="1" t="str">
        <f>IF(ESTIMATIVA[[#This Row],[QT_AREA_REST2]]&gt;0,"Reestimativa 2",IF(ESTIMATIVA[[#This Row],[QT_AREA_REAL]]=0,"Reestimativa 2","Realizado"))</f>
        <v>Realizado</v>
      </c>
      <c r="X977" s="1">
        <f>ESTIMATIVA[[#This Row],[QT_AREA_EST]]</f>
        <v>14.16</v>
      </c>
      <c r="Y977" s="1">
        <f>IF(ESTIMATIVA[[#This Row],[QT_AREA_REST1]]&gt;0,ESTIMATIVA[[#This Row],[QT_AREA_REST1]],
  IF(ESTIMATIVA[[#This Row],[QT_AREA_REAL]]&gt;0,ESTIMATIVA[[#This Row],[QT_AREA_REAL]],ESTIMATIVA[[#This Row],[QT_AREA_EST]]))</f>
        <v>14.16</v>
      </c>
      <c r="Z97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14.16</v>
      </c>
      <c r="AA977" s="1">
        <f>ESTIMATIVA[[#This Row],[QT_CANA_EST]]</f>
        <v>1062</v>
      </c>
      <c r="AB977" s="1">
        <f>IF(ESTIMATIVA[[#This Row],[QT_CANA_REST1]]&gt;0,ESTIMATIVA[[#This Row],[QT_CANA_REST1]],
  IF(ESTIMATIVA[[#This Row],[QT_CANA_REAL]]&gt;0,ESTIMATIVA[[#This Row],[QT_CANA_REAL]],ESTIMATIVA[[#This Row],[QT_CANA_EST]]))</f>
        <v>1207.3900000000001</v>
      </c>
      <c r="AC97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1207.3900000000001</v>
      </c>
      <c r="AD977" s="1">
        <f>IF(ESTIMATIVA[[#This Row],[QT_AREA_REAL]]&gt;0,ESTIMATIVA[[#This Row],[QT_CANA_REAL]],ESTIMATIVA[[#This Row],[QT_CANA_EST]])</f>
        <v>1207.3900000000001</v>
      </c>
      <c r="AE977" s="1">
        <f>IF(ESTIMATIVA[[#This Row],[QT_AREA_REAL]]&gt;0,ESTIMATIVA[[#This Row],[QT_CANA_REAL]],ESTIMATIVA[[#This Row],[QT_CANA_REST1]])</f>
        <v>1207.3900000000001</v>
      </c>
      <c r="AF977" s="1">
        <f>IF(ESTIMATIVA[[#This Row],[QT_AREA_REAL]]&gt;0,ESTIMATIVA[[#This Row],[QT_CANA_REAL]],ESTIMATIVA[[#This Row],[QT_CANA_REST2]])</f>
        <v>1207.3900000000001</v>
      </c>
      <c r="AG977" s="1" t="str">
        <f>IF(COUNTIFS(GEADA!A:A,VALUE(ESTIMATIVA[[#This Row],[CD_UPNIVEL1]]&amp;TEXT(ESTIMATIVA[[#This Row],[CD_UPNIVEL3]],"0000")))&gt;0,"S","N")</f>
        <v>N</v>
      </c>
      <c r="AH97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77" s="55" t="str">
        <f>IF(ESTIMATIVA[[#This Row],[TP_CULTIVO]]="Irrigado",_xlfn.MAXIFS(IRRIGADO!J:J,IRRIGADO!C:C,ESTIMATIVA[[#This Row],[CD_UPNIVEL1]],IRRIGADO!E:E,ESTIMATIVA[[#This Row],[CD_UPNIVEL3]]),"")</f>
        <v/>
      </c>
      <c r="AJ97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77" s="1">
        <f>COUNTIFS(Apresentação!$E$23:$E$29,ESTIMATIVA[[#This Row],[CD_UPNIVEL1]])</f>
        <v>0</v>
      </c>
    </row>
    <row r="978" spans="1:37" x14ac:dyDescent="0.3">
      <c r="A978">
        <v>20462</v>
      </c>
      <c r="B978" t="s">
        <v>52</v>
      </c>
      <c r="C978">
        <v>28</v>
      </c>
      <c r="D978">
        <v>8</v>
      </c>
      <c r="E978" t="s">
        <v>262</v>
      </c>
      <c r="F978" s="85" t="s">
        <v>331</v>
      </c>
      <c r="G978"/>
      <c r="H978" t="s">
        <v>295</v>
      </c>
      <c r="I978" t="s">
        <v>208</v>
      </c>
      <c r="J978" t="s">
        <v>176</v>
      </c>
      <c r="K978" s="1">
        <v>14.29</v>
      </c>
      <c r="L978" s="1">
        <v>0</v>
      </c>
      <c r="M978" s="1">
        <v>0</v>
      </c>
      <c r="N978" s="1">
        <v>14.29</v>
      </c>
      <c r="O978" s="1">
        <v>1071.75</v>
      </c>
      <c r="P978" s="1">
        <v>0</v>
      </c>
      <c r="Q978" s="1">
        <v>0</v>
      </c>
      <c r="R978" s="1">
        <v>1218.76</v>
      </c>
      <c r="S978" t="s">
        <v>12</v>
      </c>
      <c r="T978" s="13">
        <v>45739</v>
      </c>
      <c r="U978" s="1" t="str">
        <f>IF(ESTIMATIVA[[#This Row],[QT_AREA_REAL]]&gt;0,"1- Colhido","2- à Colher")</f>
        <v>1- Colhido</v>
      </c>
      <c r="V978" s="1" t="str">
        <f>IF(ESTIMATIVA[[#This Row],[QT_AREA_REST1]]&gt;0,"Reestimativa 1",IF(ESTIMATIVA[[#This Row],[QT_AREA_REAL]]=0,"Reestimativa 1","Realizado"))</f>
        <v>Realizado</v>
      </c>
      <c r="W978" s="1" t="str">
        <f>IF(ESTIMATIVA[[#This Row],[QT_AREA_REST2]]&gt;0,"Reestimativa 2",IF(ESTIMATIVA[[#This Row],[QT_AREA_REAL]]=0,"Reestimativa 2","Realizado"))</f>
        <v>Realizado</v>
      </c>
      <c r="X978" s="1">
        <f>ESTIMATIVA[[#This Row],[QT_AREA_EST]]</f>
        <v>14.29</v>
      </c>
      <c r="Y978" s="1">
        <f>IF(ESTIMATIVA[[#This Row],[QT_AREA_REST1]]&gt;0,ESTIMATIVA[[#This Row],[QT_AREA_REST1]],
  IF(ESTIMATIVA[[#This Row],[QT_AREA_REAL]]&gt;0,ESTIMATIVA[[#This Row],[QT_AREA_REAL]],ESTIMATIVA[[#This Row],[QT_AREA_EST]]))</f>
        <v>14.29</v>
      </c>
      <c r="Z97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14.29</v>
      </c>
      <c r="AA978" s="1">
        <f>ESTIMATIVA[[#This Row],[QT_CANA_EST]]</f>
        <v>1071.75</v>
      </c>
      <c r="AB978" s="1">
        <f>IF(ESTIMATIVA[[#This Row],[QT_CANA_REST1]]&gt;0,ESTIMATIVA[[#This Row],[QT_CANA_REST1]],
  IF(ESTIMATIVA[[#This Row],[QT_CANA_REAL]]&gt;0,ESTIMATIVA[[#This Row],[QT_CANA_REAL]],ESTIMATIVA[[#This Row],[QT_CANA_EST]]))</f>
        <v>1218.76</v>
      </c>
      <c r="AC97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1218.76</v>
      </c>
      <c r="AD978" s="1">
        <f>IF(ESTIMATIVA[[#This Row],[QT_AREA_REAL]]&gt;0,ESTIMATIVA[[#This Row],[QT_CANA_REAL]],ESTIMATIVA[[#This Row],[QT_CANA_EST]])</f>
        <v>1218.76</v>
      </c>
      <c r="AE978" s="1">
        <f>IF(ESTIMATIVA[[#This Row],[QT_AREA_REAL]]&gt;0,ESTIMATIVA[[#This Row],[QT_CANA_REAL]],ESTIMATIVA[[#This Row],[QT_CANA_REST1]])</f>
        <v>1218.76</v>
      </c>
      <c r="AF978" s="1">
        <f>IF(ESTIMATIVA[[#This Row],[QT_AREA_REAL]]&gt;0,ESTIMATIVA[[#This Row],[QT_CANA_REAL]],ESTIMATIVA[[#This Row],[QT_CANA_REST2]])</f>
        <v>1218.76</v>
      </c>
      <c r="AG978" s="1" t="str">
        <f>IF(COUNTIFS(GEADA!A:A,VALUE(ESTIMATIVA[[#This Row],[CD_UPNIVEL1]]&amp;TEXT(ESTIMATIVA[[#This Row],[CD_UPNIVEL3]],"0000")))&gt;0,"S","N")</f>
        <v>N</v>
      </c>
      <c r="AH97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78" s="55" t="str">
        <f>IF(ESTIMATIVA[[#This Row],[TP_CULTIVO]]="Irrigado",_xlfn.MAXIFS(IRRIGADO!J:J,IRRIGADO!C:C,ESTIMATIVA[[#This Row],[CD_UPNIVEL1]],IRRIGADO!E:E,ESTIMATIVA[[#This Row],[CD_UPNIVEL3]]),"")</f>
        <v/>
      </c>
      <c r="AJ97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78" s="1">
        <f>COUNTIFS(Apresentação!$E$23:$E$29,ESTIMATIVA[[#This Row],[CD_UPNIVEL1]])</f>
        <v>0</v>
      </c>
    </row>
    <row r="979" spans="1:37" x14ac:dyDescent="0.3">
      <c r="A979">
        <v>20462</v>
      </c>
      <c r="B979" t="s">
        <v>52</v>
      </c>
      <c r="C979">
        <v>29</v>
      </c>
      <c r="D979">
        <v>8</v>
      </c>
      <c r="E979" t="s">
        <v>262</v>
      </c>
      <c r="F979" s="85" t="s">
        <v>331</v>
      </c>
      <c r="G979"/>
      <c r="H979" t="s">
        <v>295</v>
      </c>
      <c r="I979" t="s">
        <v>208</v>
      </c>
      <c r="J979" t="s">
        <v>176</v>
      </c>
      <c r="K979" s="1">
        <v>14.62</v>
      </c>
      <c r="L979" s="1">
        <v>0</v>
      </c>
      <c r="M979" s="1">
        <v>0</v>
      </c>
      <c r="N979" s="1">
        <v>14.62</v>
      </c>
      <c r="O979" s="1">
        <v>1096.5</v>
      </c>
      <c r="P979" s="1">
        <v>0</v>
      </c>
      <c r="Q979" s="1">
        <v>0</v>
      </c>
      <c r="R979" s="1">
        <v>1247.17</v>
      </c>
      <c r="S979" t="s">
        <v>12</v>
      </c>
      <c r="T979" s="13">
        <v>45739</v>
      </c>
      <c r="U979" s="1" t="str">
        <f>IF(ESTIMATIVA[[#This Row],[QT_AREA_REAL]]&gt;0,"1- Colhido","2- à Colher")</f>
        <v>1- Colhido</v>
      </c>
      <c r="V979" s="1" t="str">
        <f>IF(ESTIMATIVA[[#This Row],[QT_AREA_REST1]]&gt;0,"Reestimativa 1",IF(ESTIMATIVA[[#This Row],[QT_AREA_REAL]]=0,"Reestimativa 1","Realizado"))</f>
        <v>Realizado</v>
      </c>
      <c r="W979" s="1" t="str">
        <f>IF(ESTIMATIVA[[#This Row],[QT_AREA_REST2]]&gt;0,"Reestimativa 2",IF(ESTIMATIVA[[#This Row],[QT_AREA_REAL]]=0,"Reestimativa 2","Realizado"))</f>
        <v>Realizado</v>
      </c>
      <c r="X979" s="1">
        <f>ESTIMATIVA[[#This Row],[QT_AREA_EST]]</f>
        <v>14.62</v>
      </c>
      <c r="Y979" s="1">
        <f>IF(ESTIMATIVA[[#This Row],[QT_AREA_REST1]]&gt;0,ESTIMATIVA[[#This Row],[QT_AREA_REST1]],
  IF(ESTIMATIVA[[#This Row],[QT_AREA_REAL]]&gt;0,ESTIMATIVA[[#This Row],[QT_AREA_REAL]],ESTIMATIVA[[#This Row],[QT_AREA_EST]]))</f>
        <v>14.62</v>
      </c>
      <c r="Z97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14.62</v>
      </c>
      <c r="AA979" s="1">
        <f>ESTIMATIVA[[#This Row],[QT_CANA_EST]]</f>
        <v>1096.5</v>
      </c>
      <c r="AB979" s="1">
        <f>IF(ESTIMATIVA[[#This Row],[QT_CANA_REST1]]&gt;0,ESTIMATIVA[[#This Row],[QT_CANA_REST1]],
  IF(ESTIMATIVA[[#This Row],[QT_CANA_REAL]]&gt;0,ESTIMATIVA[[#This Row],[QT_CANA_REAL]],ESTIMATIVA[[#This Row],[QT_CANA_EST]]))</f>
        <v>1247.17</v>
      </c>
      <c r="AC97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1247.17</v>
      </c>
      <c r="AD979" s="1">
        <f>IF(ESTIMATIVA[[#This Row],[QT_AREA_REAL]]&gt;0,ESTIMATIVA[[#This Row],[QT_CANA_REAL]],ESTIMATIVA[[#This Row],[QT_CANA_EST]])</f>
        <v>1247.17</v>
      </c>
      <c r="AE979" s="1">
        <f>IF(ESTIMATIVA[[#This Row],[QT_AREA_REAL]]&gt;0,ESTIMATIVA[[#This Row],[QT_CANA_REAL]],ESTIMATIVA[[#This Row],[QT_CANA_REST1]])</f>
        <v>1247.17</v>
      </c>
      <c r="AF979" s="1">
        <f>IF(ESTIMATIVA[[#This Row],[QT_AREA_REAL]]&gt;0,ESTIMATIVA[[#This Row],[QT_CANA_REAL]],ESTIMATIVA[[#This Row],[QT_CANA_REST2]])</f>
        <v>1247.17</v>
      </c>
      <c r="AG979" s="1" t="str">
        <f>IF(COUNTIFS(GEADA!A:A,VALUE(ESTIMATIVA[[#This Row],[CD_UPNIVEL1]]&amp;TEXT(ESTIMATIVA[[#This Row],[CD_UPNIVEL3]],"0000")))&gt;0,"S","N")</f>
        <v>N</v>
      </c>
      <c r="AH97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79" s="55" t="str">
        <f>IF(ESTIMATIVA[[#This Row],[TP_CULTIVO]]="Irrigado",_xlfn.MAXIFS(IRRIGADO!J:J,IRRIGADO!C:C,ESTIMATIVA[[#This Row],[CD_UPNIVEL1]],IRRIGADO!E:E,ESTIMATIVA[[#This Row],[CD_UPNIVEL3]]),"")</f>
        <v/>
      </c>
      <c r="AJ97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79" s="1">
        <f>COUNTIFS(Apresentação!$E$23:$E$29,ESTIMATIVA[[#This Row],[CD_UPNIVEL1]])</f>
        <v>0</v>
      </c>
    </row>
    <row r="980" spans="1:37" x14ac:dyDescent="0.3">
      <c r="A980">
        <v>20462</v>
      </c>
      <c r="B980" t="s">
        <v>52</v>
      </c>
      <c r="C980">
        <v>30</v>
      </c>
      <c r="D980">
        <v>8</v>
      </c>
      <c r="E980" t="s">
        <v>262</v>
      </c>
      <c r="F980" s="85" t="s">
        <v>331</v>
      </c>
      <c r="G980"/>
      <c r="H980" t="s">
        <v>295</v>
      </c>
      <c r="I980" t="s">
        <v>208</v>
      </c>
      <c r="J980" t="s">
        <v>176</v>
      </c>
      <c r="K980" s="1">
        <v>17.87</v>
      </c>
      <c r="L980" s="1">
        <v>0</v>
      </c>
      <c r="M980" s="1">
        <v>0</v>
      </c>
      <c r="N980" s="1">
        <v>17.87</v>
      </c>
      <c r="O980" s="1">
        <v>1340.25</v>
      </c>
      <c r="P980" s="1">
        <v>0</v>
      </c>
      <c r="Q980" s="1">
        <v>0</v>
      </c>
      <c r="R980" s="1">
        <v>1523.98</v>
      </c>
      <c r="S980" t="s">
        <v>12</v>
      </c>
      <c r="T980" s="13">
        <v>45739</v>
      </c>
      <c r="U980" s="1" t="str">
        <f>IF(ESTIMATIVA[[#This Row],[QT_AREA_REAL]]&gt;0,"1- Colhido","2- à Colher")</f>
        <v>1- Colhido</v>
      </c>
      <c r="V980" s="1" t="str">
        <f>IF(ESTIMATIVA[[#This Row],[QT_AREA_REST1]]&gt;0,"Reestimativa 1",IF(ESTIMATIVA[[#This Row],[QT_AREA_REAL]]=0,"Reestimativa 1","Realizado"))</f>
        <v>Realizado</v>
      </c>
      <c r="W980" s="1" t="str">
        <f>IF(ESTIMATIVA[[#This Row],[QT_AREA_REST2]]&gt;0,"Reestimativa 2",IF(ESTIMATIVA[[#This Row],[QT_AREA_REAL]]=0,"Reestimativa 2","Realizado"))</f>
        <v>Realizado</v>
      </c>
      <c r="X980" s="1">
        <f>ESTIMATIVA[[#This Row],[QT_AREA_EST]]</f>
        <v>17.87</v>
      </c>
      <c r="Y980" s="1">
        <f>IF(ESTIMATIVA[[#This Row],[QT_AREA_REST1]]&gt;0,ESTIMATIVA[[#This Row],[QT_AREA_REST1]],
  IF(ESTIMATIVA[[#This Row],[QT_AREA_REAL]]&gt;0,ESTIMATIVA[[#This Row],[QT_AREA_REAL]],ESTIMATIVA[[#This Row],[QT_AREA_EST]]))</f>
        <v>17.87</v>
      </c>
      <c r="Z98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17.87</v>
      </c>
      <c r="AA980" s="1">
        <f>ESTIMATIVA[[#This Row],[QT_CANA_EST]]</f>
        <v>1340.25</v>
      </c>
      <c r="AB980" s="1">
        <f>IF(ESTIMATIVA[[#This Row],[QT_CANA_REST1]]&gt;0,ESTIMATIVA[[#This Row],[QT_CANA_REST1]],
  IF(ESTIMATIVA[[#This Row],[QT_CANA_REAL]]&gt;0,ESTIMATIVA[[#This Row],[QT_CANA_REAL]],ESTIMATIVA[[#This Row],[QT_CANA_EST]]))</f>
        <v>1523.98</v>
      </c>
      <c r="AC98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1523.98</v>
      </c>
      <c r="AD980" s="1">
        <f>IF(ESTIMATIVA[[#This Row],[QT_AREA_REAL]]&gt;0,ESTIMATIVA[[#This Row],[QT_CANA_REAL]],ESTIMATIVA[[#This Row],[QT_CANA_EST]])</f>
        <v>1523.98</v>
      </c>
      <c r="AE980" s="1">
        <f>IF(ESTIMATIVA[[#This Row],[QT_AREA_REAL]]&gt;0,ESTIMATIVA[[#This Row],[QT_CANA_REAL]],ESTIMATIVA[[#This Row],[QT_CANA_REST1]])</f>
        <v>1523.98</v>
      </c>
      <c r="AF980" s="1">
        <f>IF(ESTIMATIVA[[#This Row],[QT_AREA_REAL]]&gt;0,ESTIMATIVA[[#This Row],[QT_CANA_REAL]],ESTIMATIVA[[#This Row],[QT_CANA_REST2]])</f>
        <v>1523.98</v>
      </c>
      <c r="AG980" s="1" t="str">
        <f>IF(COUNTIFS(GEADA!A:A,VALUE(ESTIMATIVA[[#This Row],[CD_UPNIVEL1]]&amp;TEXT(ESTIMATIVA[[#This Row],[CD_UPNIVEL3]],"0000")))&gt;0,"S","N")</f>
        <v>N</v>
      </c>
      <c r="AH98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80" s="55" t="str">
        <f>IF(ESTIMATIVA[[#This Row],[TP_CULTIVO]]="Irrigado",_xlfn.MAXIFS(IRRIGADO!J:J,IRRIGADO!C:C,ESTIMATIVA[[#This Row],[CD_UPNIVEL1]],IRRIGADO!E:E,ESTIMATIVA[[#This Row],[CD_UPNIVEL3]]),"")</f>
        <v/>
      </c>
      <c r="AJ98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80" s="1">
        <f>COUNTIFS(Apresentação!$E$23:$E$29,ESTIMATIVA[[#This Row],[CD_UPNIVEL1]])</f>
        <v>0</v>
      </c>
    </row>
    <row r="981" spans="1:37" x14ac:dyDescent="0.3">
      <c r="A981">
        <v>20462</v>
      </c>
      <c r="B981" t="s">
        <v>52</v>
      </c>
      <c r="C981">
        <v>31</v>
      </c>
      <c r="D981">
        <v>8</v>
      </c>
      <c r="E981" t="s">
        <v>262</v>
      </c>
      <c r="F981" s="85" t="s">
        <v>331</v>
      </c>
      <c r="G981"/>
      <c r="H981" t="s">
        <v>295</v>
      </c>
      <c r="I981" t="s">
        <v>208</v>
      </c>
      <c r="J981" t="s">
        <v>176</v>
      </c>
      <c r="K981" s="1">
        <v>18.7</v>
      </c>
      <c r="L981" s="1">
        <v>0</v>
      </c>
      <c r="M981" s="1">
        <v>0</v>
      </c>
      <c r="N981" s="1">
        <v>18.7</v>
      </c>
      <c r="O981" s="1">
        <v>1402.5</v>
      </c>
      <c r="P981" s="1">
        <v>0</v>
      </c>
      <c r="Q981" s="1">
        <v>0</v>
      </c>
      <c r="R981" s="1">
        <v>1958.09</v>
      </c>
      <c r="S981" t="s">
        <v>12</v>
      </c>
      <c r="T981" s="13">
        <v>45739</v>
      </c>
      <c r="U981" s="1" t="str">
        <f>IF(ESTIMATIVA[[#This Row],[QT_AREA_REAL]]&gt;0,"1- Colhido","2- à Colher")</f>
        <v>1- Colhido</v>
      </c>
      <c r="V981" s="1" t="str">
        <f>IF(ESTIMATIVA[[#This Row],[QT_AREA_REST1]]&gt;0,"Reestimativa 1",IF(ESTIMATIVA[[#This Row],[QT_AREA_REAL]]=0,"Reestimativa 1","Realizado"))</f>
        <v>Realizado</v>
      </c>
      <c r="W981" s="1" t="str">
        <f>IF(ESTIMATIVA[[#This Row],[QT_AREA_REST2]]&gt;0,"Reestimativa 2",IF(ESTIMATIVA[[#This Row],[QT_AREA_REAL]]=0,"Reestimativa 2","Realizado"))</f>
        <v>Realizado</v>
      </c>
      <c r="X981" s="1">
        <f>ESTIMATIVA[[#This Row],[QT_AREA_EST]]</f>
        <v>18.7</v>
      </c>
      <c r="Y981" s="1">
        <f>IF(ESTIMATIVA[[#This Row],[QT_AREA_REST1]]&gt;0,ESTIMATIVA[[#This Row],[QT_AREA_REST1]],
  IF(ESTIMATIVA[[#This Row],[QT_AREA_REAL]]&gt;0,ESTIMATIVA[[#This Row],[QT_AREA_REAL]],ESTIMATIVA[[#This Row],[QT_AREA_EST]]))</f>
        <v>18.7</v>
      </c>
      <c r="Z98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18.7</v>
      </c>
      <c r="AA981" s="1">
        <f>ESTIMATIVA[[#This Row],[QT_CANA_EST]]</f>
        <v>1402.5</v>
      </c>
      <c r="AB981" s="1">
        <f>IF(ESTIMATIVA[[#This Row],[QT_CANA_REST1]]&gt;0,ESTIMATIVA[[#This Row],[QT_CANA_REST1]],
  IF(ESTIMATIVA[[#This Row],[QT_CANA_REAL]]&gt;0,ESTIMATIVA[[#This Row],[QT_CANA_REAL]],ESTIMATIVA[[#This Row],[QT_CANA_EST]]))</f>
        <v>1958.09</v>
      </c>
      <c r="AC98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1958.09</v>
      </c>
      <c r="AD981" s="1">
        <f>IF(ESTIMATIVA[[#This Row],[QT_AREA_REAL]]&gt;0,ESTIMATIVA[[#This Row],[QT_CANA_REAL]],ESTIMATIVA[[#This Row],[QT_CANA_EST]])</f>
        <v>1958.09</v>
      </c>
      <c r="AE981" s="1">
        <f>IF(ESTIMATIVA[[#This Row],[QT_AREA_REAL]]&gt;0,ESTIMATIVA[[#This Row],[QT_CANA_REAL]],ESTIMATIVA[[#This Row],[QT_CANA_REST1]])</f>
        <v>1958.09</v>
      </c>
      <c r="AF981" s="1">
        <f>IF(ESTIMATIVA[[#This Row],[QT_AREA_REAL]]&gt;0,ESTIMATIVA[[#This Row],[QT_CANA_REAL]],ESTIMATIVA[[#This Row],[QT_CANA_REST2]])</f>
        <v>1958.09</v>
      </c>
      <c r="AG981" s="1" t="str">
        <f>IF(COUNTIFS(GEADA!A:A,VALUE(ESTIMATIVA[[#This Row],[CD_UPNIVEL1]]&amp;TEXT(ESTIMATIVA[[#This Row],[CD_UPNIVEL3]],"0000")))&gt;0,"S","N")</f>
        <v>N</v>
      </c>
      <c r="AH98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81" s="55" t="str">
        <f>IF(ESTIMATIVA[[#This Row],[TP_CULTIVO]]="Irrigado",_xlfn.MAXIFS(IRRIGADO!J:J,IRRIGADO!C:C,ESTIMATIVA[[#This Row],[CD_UPNIVEL1]],IRRIGADO!E:E,ESTIMATIVA[[#This Row],[CD_UPNIVEL3]]),"")</f>
        <v/>
      </c>
      <c r="AJ98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81" s="1">
        <f>COUNTIFS(Apresentação!$E$23:$E$29,ESTIMATIVA[[#This Row],[CD_UPNIVEL1]])</f>
        <v>0</v>
      </c>
    </row>
    <row r="982" spans="1:37" x14ac:dyDescent="0.3">
      <c r="A982">
        <v>20462</v>
      </c>
      <c r="B982" t="s">
        <v>52</v>
      </c>
      <c r="C982">
        <v>34</v>
      </c>
      <c r="D982">
        <v>8</v>
      </c>
      <c r="E982" t="s">
        <v>262</v>
      </c>
      <c r="F982" s="85" t="s">
        <v>331</v>
      </c>
      <c r="G982"/>
      <c r="H982" t="s">
        <v>295</v>
      </c>
      <c r="I982" t="s">
        <v>208</v>
      </c>
      <c r="J982" t="s">
        <v>176</v>
      </c>
      <c r="K982" s="1">
        <v>14.76</v>
      </c>
      <c r="L982" s="1">
        <v>0</v>
      </c>
      <c r="M982" s="1">
        <v>0</v>
      </c>
      <c r="N982" s="1">
        <v>14.76</v>
      </c>
      <c r="O982" s="1">
        <v>782.28</v>
      </c>
      <c r="P982" s="1">
        <v>0</v>
      </c>
      <c r="Q982" s="1">
        <v>0</v>
      </c>
      <c r="R982" s="1">
        <v>1091.3499999999999</v>
      </c>
      <c r="S982" t="s">
        <v>12</v>
      </c>
      <c r="T982" s="13">
        <v>45739</v>
      </c>
      <c r="U982" s="1" t="str">
        <f>IF(ESTIMATIVA[[#This Row],[QT_AREA_REAL]]&gt;0,"1- Colhido","2- à Colher")</f>
        <v>1- Colhido</v>
      </c>
      <c r="V982" s="1" t="str">
        <f>IF(ESTIMATIVA[[#This Row],[QT_AREA_REST1]]&gt;0,"Reestimativa 1",IF(ESTIMATIVA[[#This Row],[QT_AREA_REAL]]=0,"Reestimativa 1","Realizado"))</f>
        <v>Realizado</v>
      </c>
      <c r="W982" s="1" t="str">
        <f>IF(ESTIMATIVA[[#This Row],[QT_AREA_REST2]]&gt;0,"Reestimativa 2",IF(ESTIMATIVA[[#This Row],[QT_AREA_REAL]]=0,"Reestimativa 2","Realizado"))</f>
        <v>Realizado</v>
      </c>
      <c r="X982" s="1">
        <f>ESTIMATIVA[[#This Row],[QT_AREA_EST]]</f>
        <v>14.76</v>
      </c>
      <c r="Y982" s="1">
        <f>IF(ESTIMATIVA[[#This Row],[QT_AREA_REST1]]&gt;0,ESTIMATIVA[[#This Row],[QT_AREA_REST1]],
  IF(ESTIMATIVA[[#This Row],[QT_AREA_REAL]]&gt;0,ESTIMATIVA[[#This Row],[QT_AREA_REAL]],ESTIMATIVA[[#This Row],[QT_AREA_EST]]))</f>
        <v>14.76</v>
      </c>
      <c r="Z98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14.76</v>
      </c>
      <c r="AA982" s="1">
        <f>ESTIMATIVA[[#This Row],[QT_CANA_EST]]</f>
        <v>782.28</v>
      </c>
      <c r="AB982" s="1">
        <f>IF(ESTIMATIVA[[#This Row],[QT_CANA_REST1]]&gt;0,ESTIMATIVA[[#This Row],[QT_CANA_REST1]],
  IF(ESTIMATIVA[[#This Row],[QT_CANA_REAL]]&gt;0,ESTIMATIVA[[#This Row],[QT_CANA_REAL]],ESTIMATIVA[[#This Row],[QT_CANA_EST]]))</f>
        <v>1091.3499999999999</v>
      </c>
      <c r="AC98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1091.3499999999999</v>
      </c>
      <c r="AD982" s="1">
        <f>IF(ESTIMATIVA[[#This Row],[QT_AREA_REAL]]&gt;0,ESTIMATIVA[[#This Row],[QT_CANA_REAL]],ESTIMATIVA[[#This Row],[QT_CANA_EST]])</f>
        <v>1091.3499999999999</v>
      </c>
      <c r="AE982" s="1">
        <f>IF(ESTIMATIVA[[#This Row],[QT_AREA_REAL]]&gt;0,ESTIMATIVA[[#This Row],[QT_CANA_REAL]],ESTIMATIVA[[#This Row],[QT_CANA_REST1]])</f>
        <v>1091.3499999999999</v>
      </c>
      <c r="AF982" s="1">
        <f>IF(ESTIMATIVA[[#This Row],[QT_AREA_REAL]]&gt;0,ESTIMATIVA[[#This Row],[QT_CANA_REAL]],ESTIMATIVA[[#This Row],[QT_CANA_REST2]])</f>
        <v>1091.3499999999999</v>
      </c>
      <c r="AG982" s="1" t="str">
        <f>IF(COUNTIFS(GEADA!A:A,VALUE(ESTIMATIVA[[#This Row],[CD_UPNIVEL1]]&amp;TEXT(ESTIMATIVA[[#This Row],[CD_UPNIVEL3]],"0000")))&gt;0,"S","N")</f>
        <v>N</v>
      </c>
      <c r="AH98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82" s="55" t="str">
        <f>IF(ESTIMATIVA[[#This Row],[TP_CULTIVO]]="Irrigado",_xlfn.MAXIFS(IRRIGADO!J:J,IRRIGADO!C:C,ESTIMATIVA[[#This Row],[CD_UPNIVEL1]],IRRIGADO!E:E,ESTIMATIVA[[#This Row],[CD_UPNIVEL3]]),"")</f>
        <v/>
      </c>
      <c r="AJ98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82" s="1">
        <f>COUNTIFS(Apresentação!$E$23:$E$29,ESTIMATIVA[[#This Row],[CD_UPNIVEL1]])</f>
        <v>0</v>
      </c>
    </row>
    <row r="983" spans="1:37" x14ac:dyDescent="0.3">
      <c r="A983">
        <v>20462</v>
      </c>
      <c r="B983" t="s">
        <v>52</v>
      </c>
      <c r="C983">
        <v>35</v>
      </c>
      <c r="D983">
        <v>8</v>
      </c>
      <c r="E983" t="s">
        <v>262</v>
      </c>
      <c r="F983" s="85" t="s">
        <v>331</v>
      </c>
      <c r="G983"/>
      <c r="H983" t="s">
        <v>295</v>
      </c>
      <c r="I983" t="s">
        <v>208</v>
      </c>
      <c r="J983" t="s">
        <v>176</v>
      </c>
      <c r="K983" s="1">
        <v>5.87</v>
      </c>
      <c r="L983" s="1">
        <v>0</v>
      </c>
      <c r="M983" s="1">
        <v>0</v>
      </c>
      <c r="N983" s="1">
        <v>5.87</v>
      </c>
      <c r="O983" s="1">
        <v>311.11</v>
      </c>
      <c r="P983" s="1">
        <v>0</v>
      </c>
      <c r="Q983" s="1">
        <v>0</v>
      </c>
      <c r="R983" s="1">
        <v>434.31</v>
      </c>
      <c r="S983" t="s">
        <v>12</v>
      </c>
      <c r="T983" s="13">
        <v>45739</v>
      </c>
      <c r="U983" s="1" t="str">
        <f>IF(ESTIMATIVA[[#This Row],[QT_AREA_REAL]]&gt;0,"1- Colhido","2- à Colher")</f>
        <v>1- Colhido</v>
      </c>
      <c r="V983" s="1" t="str">
        <f>IF(ESTIMATIVA[[#This Row],[QT_AREA_REST1]]&gt;0,"Reestimativa 1",IF(ESTIMATIVA[[#This Row],[QT_AREA_REAL]]=0,"Reestimativa 1","Realizado"))</f>
        <v>Realizado</v>
      </c>
      <c r="W983" s="1" t="str">
        <f>IF(ESTIMATIVA[[#This Row],[QT_AREA_REST2]]&gt;0,"Reestimativa 2",IF(ESTIMATIVA[[#This Row],[QT_AREA_REAL]]=0,"Reestimativa 2","Realizado"))</f>
        <v>Realizado</v>
      </c>
      <c r="X983" s="1">
        <f>ESTIMATIVA[[#This Row],[QT_AREA_EST]]</f>
        <v>5.87</v>
      </c>
      <c r="Y983" s="1">
        <f>IF(ESTIMATIVA[[#This Row],[QT_AREA_REST1]]&gt;0,ESTIMATIVA[[#This Row],[QT_AREA_REST1]],
  IF(ESTIMATIVA[[#This Row],[QT_AREA_REAL]]&gt;0,ESTIMATIVA[[#This Row],[QT_AREA_REAL]],ESTIMATIVA[[#This Row],[QT_AREA_EST]]))</f>
        <v>5.87</v>
      </c>
      <c r="Z98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5.87</v>
      </c>
      <c r="AA983" s="1">
        <f>ESTIMATIVA[[#This Row],[QT_CANA_EST]]</f>
        <v>311.11</v>
      </c>
      <c r="AB983" s="1">
        <f>IF(ESTIMATIVA[[#This Row],[QT_CANA_REST1]]&gt;0,ESTIMATIVA[[#This Row],[QT_CANA_REST1]],
  IF(ESTIMATIVA[[#This Row],[QT_CANA_REAL]]&gt;0,ESTIMATIVA[[#This Row],[QT_CANA_REAL]],ESTIMATIVA[[#This Row],[QT_CANA_EST]]))</f>
        <v>434.31</v>
      </c>
      <c r="AC98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434.31</v>
      </c>
      <c r="AD983" s="1">
        <f>IF(ESTIMATIVA[[#This Row],[QT_AREA_REAL]]&gt;0,ESTIMATIVA[[#This Row],[QT_CANA_REAL]],ESTIMATIVA[[#This Row],[QT_CANA_EST]])</f>
        <v>434.31</v>
      </c>
      <c r="AE983" s="1">
        <f>IF(ESTIMATIVA[[#This Row],[QT_AREA_REAL]]&gt;0,ESTIMATIVA[[#This Row],[QT_CANA_REAL]],ESTIMATIVA[[#This Row],[QT_CANA_REST1]])</f>
        <v>434.31</v>
      </c>
      <c r="AF983" s="1">
        <f>IF(ESTIMATIVA[[#This Row],[QT_AREA_REAL]]&gt;0,ESTIMATIVA[[#This Row],[QT_CANA_REAL]],ESTIMATIVA[[#This Row],[QT_CANA_REST2]])</f>
        <v>434.31</v>
      </c>
      <c r="AG983" s="1" t="str">
        <f>IF(COUNTIFS(GEADA!A:A,VALUE(ESTIMATIVA[[#This Row],[CD_UPNIVEL1]]&amp;TEXT(ESTIMATIVA[[#This Row],[CD_UPNIVEL3]],"0000")))&gt;0,"S","N")</f>
        <v>N</v>
      </c>
      <c r="AH98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83" s="55" t="str">
        <f>IF(ESTIMATIVA[[#This Row],[TP_CULTIVO]]="Irrigado",_xlfn.MAXIFS(IRRIGADO!J:J,IRRIGADO!C:C,ESTIMATIVA[[#This Row],[CD_UPNIVEL1]],IRRIGADO!E:E,ESTIMATIVA[[#This Row],[CD_UPNIVEL3]]),"")</f>
        <v/>
      </c>
      <c r="AJ98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83" s="1">
        <f>COUNTIFS(Apresentação!$E$23:$E$29,ESTIMATIVA[[#This Row],[CD_UPNIVEL1]])</f>
        <v>0</v>
      </c>
    </row>
    <row r="984" spans="1:37" x14ac:dyDescent="0.3">
      <c r="A984">
        <v>20462</v>
      </c>
      <c r="B984" t="s">
        <v>52</v>
      </c>
      <c r="C984">
        <v>47</v>
      </c>
      <c r="D984">
        <v>8</v>
      </c>
      <c r="E984" t="s">
        <v>262</v>
      </c>
      <c r="F984" s="85" t="s">
        <v>331</v>
      </c>
      <c r="G984"/>
      <c r="H984" t="s">
        <v>295</v>
      </c>
      <c r="I984" t="s">
        <v>203</v>
      </c>
      <c r="J984" t="s">
        <v>176</v>
      </c>
      <c r="K984" s="1">
        <v>11.17</v>
      </c>
      <c r="L984" s="1">
        <v>0</v>
      </c>
      <c r="M984" s="1">
        <v>0</v>
      </c>
      <c r="N984" s="1">
        <v>11.17</v>
      </c>
      <c r="O984" s="1">
        <v>469.14</v>
      </c>
      <c r="P984" s="1">
        <v>0</v>
      </c>
      <c r="Q984" s="1">
        <v>0</v>
      </c>
      <c r="R984" s="1">
        <v>617.11</v>
      </c>
      <c r="S984" t="s">
        <v>12</v>
      </c>
      <c r="T984" s="13">
        <v>45732</v>
      </c>
      <c r="U984" s="1" t="str">
        <f>IF(ESTIMATIVA[[#This Row],[QT_AREA_REAL]]&gt;0,"1- Colhido","2- à Colher")</f>
        <v>1- Colhido</v>
      </c>
      <c r="V984" s="1" t="str">
        <f>IF(ESTIMATIVA[[#This Row],[QT_AREA_REST1]]&gt;0,"Reestimativa 1",IF(ESTIMATIVA[[#This Row],[QT_AREA_REAL]]=0,"Reestimativa 1","Realizado"))</f>
        <v>Realizado</v>
      </c>
      <c r="W984" s="1" t="str">
        <f>IF(ESTIMATIVA[[#This Row],[QT_AREA_REST2]]&gt;0,"Reestimativa 2",IF(ESTIMATIVA[[#This Row],[QT_AREA_REAL]]=0,"Reestimativa 2","Realizado"))</f>
        <v>Realizado</v>
      </c>
      <c r="X984" s="1">
        <f>ESTIMATIVA[[#This Row],[QT_AREA_EST]]</f>
        <v>11.17</v>
      </c>
      <c r="Y984" s="1">
        <f>IF(ESTIMATIVA[[#This Row],[QT_AREA_REST1]]&gt;0,ESTIMATIVA[[#This Row],[QT_AREA_REST1]],
  IF(ESTIMATIVA[[#This Row],[QT_AREA_REAL]]&gt;0,ESTIMATIVA[[#This Row],[QT_AREA_REAL]],ESTIMATIVA[[#This Row],[QT_AREA_EST]]))</f>
        <v>11.17</v>
      </c>
      <c r="Z98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11.17</v>
      </c>
      <c r="AA984" s="1">
        <f>ESTIMATIVA[[#This Row],[QT_CANA_EST]]</f>
        <v>469.14</v>
      </c>
      <c r="AB984" s="1">
        <f>IF(ESTIMATIVA[[#This Row],[QT_CANA_REST1]]&gt;0,ESTIMATIVA[[#This Row],[QT_CANA_REST1]],
  IF(ESTIMATIVA[[#This Row],[QT_CANA_REAL]]&gt;0,ESTIMATIVA[[#This Row],[QT_CANA_REAL]],ESTIMATIVA[[#This Row],[QT_CANA_EST]]))</f>
        <v>617.11</v>
      </c>
      <c r="AC98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617.11</v>
      </c>
      <c r="AD984" s="1">
        <f>IF(ESTIMATIVA[[#This Row],[QT_AREA_REAL]]&gt;0,ESTIMATIVA[[#This Row],[QT_CANA_REAL]],ESTIMATIVA[[#This Row],[QT_CANA_EST]])</f>
        <v>617.11</v>
      </c>
      <c r="AE984" s="1">
        <f>IF(ESTIMATIVA[[#This Row],[QT_AREA_REAL]]&gt;0,ESTIMATIVA[[#This Row],[QT_CANA_REAL]],ESTIMATIVA[[#This Row],[QT_CANA_REST1]])</f>
        <v>617.11</v>
      </c>
      <c r="AF984" s="1">
        <f>IF(ESTIMATIVA[[#This Row],[QT_AREA_REAL]]&gt;0,ESTIMATIVA[[#This Row],[QT_CANA_REAL]],ESTIMATIVA[[#This Row],[QT_CANA_REST2]])</f>
        <v>617.11</v>
      </c>
      <c r="AG984" s="1" t="str">
        <f>IF(COUNTIFS(GEADA!A:A,VALUE(ESTIMATIVA[[#This Row],[CD_UPNIVEL1]]&amp;TEXT(ESTIMATIVA[[#This Row],[CD_UPNIVEL3]],"0000")))&gt;0,"S","N")</f>
        <v>N</v>
      </c>
      <c r="AH98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84" s="55" t="str">
        <f>IF(ESTIMATIVA[[#This Row],[TP_CULTIVO]]="Irrigado",_xlfn.MAXIFS(IRRIGADO!J:J,IRRIGADO!C:C,ESTIMATIVA[[#This Row],[CD_UPNIVEL1]],IRRIGADO!E:E,ESTIMATIVA[[#This Row],[CD_UPNIVEL3]]),"")</f>
        <v/>
      </c>
      <c r="AJ98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84" s="1">
        <f>COUNTIFS(Apresentação!$E$23:$E$29,ESTIMATIVA[[#This Row],[CD_UPNIVEL1]])</f>
        <v>0</v>
      </c>
    </row>
    <row r="985" spans="1:37" x14ac:dyDescent="0.3">
      <c r="A985">
        <v>20462</v>
      </c>
      <c r="B985" t="s">
        <v>52</v>
      </c>
      <c r="C985">
        <v>2033</v>
      </c>
      <c r="D985">
        <v>1</v>
      </c>
      <c r="E985" t="s">
        <v>267</v>
      </c>
      <c r="F985" s="85" t="s">
        <v>331</v>
      </c>
      <c r="G985"/>
      <c r="H985" t="s">
        <v>295</v>
      </c>
      <c r="I985" t="s">
        <v>211</v>
      </c>
      <c r="J985" t="s">
        <v>176</v>
      </c>
      <c r="K985" s="1">
        <v>3.34</v>
      </c>
      <c r="L985" s="1">
        <v>0</v>
      </c>
      <c r="M985" s="1">
        <v>0</v>
      </c>
      <c r="N985" s="1">
        <v>3.34</v>
      </c>
      <c r="O985" s="1">
        <v>200.4</v>
      </c>
      <c r="P985" s="1">
        <v>0</v>
      </c>
      <c r="Q985" s="1">
        <v>0</v>
      </c>
      <c r="R985" s="1">
        <v>170.17</v>
      </c>
      <c r="S985" t="s">
        <v>12</v>
      </c>
      <c r="T985" s="13">
        <v>45739</v>
      </c>
      <c r="U985" s="1" t="str">
        <f>IF(ESTIMATIVA[[#This Row],[QT_AREA_REAL]]&gt;0,"1- Colhido","2- à Colher")</f>
        <v>1- Colhido</v>
      </c>
      <c r="V985" s="1" t="str">
        <f>IF(ESTIMATIVA[[#This Row],[QT_AREA_REST1]]&gt;0,"Reestimativa 1",IF(ESTIMATIVA[[#This Row],[QT_AREA_REAL]]=0,"Reestimativa 1","Realizado"))</f>
        <v>Realizado</v>
      </c>
      <c r="W985" s="1" t="str">
        <f>IF(ESTIMATIVA[[#This Row],[QT_AREA_REST2]]&gt;0,"Reestimativa 2",IF(ESTIMATIVA[[#This Row],[QT_AREA_REAL]]=0,"Reestimativa 2","Realizado"))</f>
        <v>Realizado</v>
      </c>
      <c r="X985" s="1">
        <f>ESTIMATIVA[[#This Row],[QT_AREA_EST]]</f>
        <v>3.34</v>
      </c>
      <c r="Y985" s="1">
        <f>IF(ESTIMATIVA[[#This Row],[QT_AREA_REST1]]&gt;0,ESTIMATIVA[[#This Row],[QT_AREA_REST1]],
  IF(ESTIMATIVA[[#This Row],[QT_AREA_REAL]]&gt;0,ESTIMATIVA[[#This Row],[QT_AREA_REAL]],ESTIMATIVA[[#This Row],[QT_AREA_EST]]))</f>
        <v>3.34</v>
      </c>
      <c r="Z98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3.34</v>
      </c>
      <c r="AA985" s="1">
        <f>ESTIMATIVA[[#This Row],[QT_CANA_EST]]</f>
        <v>200.4</v>
      </c>
      <c r="AB985" s="1">
        <f>IF(ESTIMATIVA[[#This Row],[QT_CANA_REST1]]&gt;0,ESTIMATIVA[[#This Row],[QT_CANA_REST1]],
  IF(ESTIMATIVA[[#This Row],[QT_CANA_REAL]]&gt;0,ESTIMATIVA[[#This Row],[QT_CANA_REAL]],ESTIMATIVA[[#This Row],[QT_CANA_EST]]))</f>
        <v>170.17</v>
      </c>
      <c r="AC98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170.17</v>
      </c>
      <c r="AD985" s="1">
        <f>IF(ESTIMATIVA[[#This Row],[QT_AREA_REAL]]&gt;0,ESTIMATIVA[[#This Row],[QT_CANA_REAL]],ESTIMATIVA[[#This Row],[QT_CANA_EST]])</f>
        <v>170.17</v>
      </c>
      <c r="AE985" s="1">
        <f>IF(ESTIMATIVA[[#This Row],[QT_AREA_REAL]]&gt;0,ESTIMATIVA[[#This Row],[QT_CANA_REAL]],ESTIMATIVA[[#This Row],[QT_CANA_REST1]])</f>
        <v>170.17</v>
      </c>
      <c r="AF985" s="1">
        <f>IF(ESTIMATIVA[[#This Row],[QT_AREA_REAL]]&gt;0,ESTIMATIVA[[#This Row],[QT_CANA_REAL]],ESTIMATIVA[[#This Row],[QT_CANA_REST2]])</f>
        <v>170.17</v>
      </c>
      <c r="AG985" s="1" t="str">
        <f>IF(COUNTIFS(GEADA!A:A,VALUE(ESTIMATIVA[[#This Row],[CD_UPNIVEL1]]&amp;TEXT(ESTIMATIVA[[#This Row],[CD_UPNIVEL3]],"0000")))&gt;0,"S","N")</f>
        <v>N</v>
      </c>
      <c r="AH98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85" s="55" t="str">
        <f>IF(ESTIMATIVA[[#This Row],[TP_CULTIVO]]="Irrigado",_xlfn.MAXIFS(IRRIGADO!J:J,IRRIGADO!C:C,ESTIMATIVA[[#This Row],[CD_UPNIVEL1]],IRRIGADO!E:E,ESTIMATIVA[[#This Row],[CD_UPNIVEL3]]),"")</f>
        <v/>
      </c>
      <c r="AJ98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85" s="1">
        <f>COUNTIFS(Apresentação!$E$23:$E$29,ESTIMATIVA[[#This Row],[CD_UPNIVEL1]])</f>
        <v>0</v>
      </c>
    </row>
    <row r="986" spans="1:37" x14ac:dyDescent="0.3">
      <c r="A986">
        <v>20462</v>
      </c>
      <c r="B986" t="s">
        <v>52</v>
      </c>
      <c r="C986">
        <v>2036</v>
      </c>
      <c r="D986">
        <v>1</v>
      </c>
      <c r="E986" t="s">
        <v>267</v>
      </c>
      <c r="F986" s="85" t="s">
        <v>331</v>
      </c>
      <c r="G986"/>
      <c r="H986" t="s">
        <v>295</v>
      </c>
      <c r="I986" t="s">
        <v>211</v>
      </c>
      <c r="J986" t="s">
        <v>176</v>
      </c>
      <c r="K986" s="1">
        <v>2.67</v>
      </c>
      <c r="L986" s="1">
        <v>0</v>
      </c>
      <c r="M986" s="1">
        <v>0</v>
      </c>
      <c r="N986" s="1">
        <v>2.67</v>
      </c>
      <c r="O986" s="1">
        <v>160.19999999999999</v>
      </c>
      <c r="P986" s="1">
        <v>0</v>
      </c>
      <c r="Q986" s="1">
        <v>0</v>
      </c>
      <c r="R986" s="1">
        <v>136.13</v>
      </c>
      <c r="S986" t="s">
        <v>12</v>
      </c>
      <c r="T986" s="13">
        <v>45739</v>
      </c>
      <c r="U986" s="1" t="str">
        <f>IF(ESTIMATIVA[[#This Row],[QT_AREA_REAL]]&gt;0,"1- Colhido","2- à Colher")</f>
        <v>1- Colhido</v>
      </c>
      <c r="V986" s="1" t="str">
        <f>IF(ESTIMATIVA[[#This Row],[QT_AREA_REST1]]&gt;0,"Reestimativa 1",IF(ESTIMATIVA[[#This Row],[QT_AREA_REAL]]=0,"Reestimativa 1","Realizado"))</f>
        <v>Realizado</v>
      </c>
      <c r="W986" s="1" t="str">
        <f>IF(ESTIMATIVA[[#This Row],[QT_AREA_REST2]]&gt;0,"Reestimativa 2",IF(ESTIMATIVA[[#This Row],[QT_AREA_REAL]]=0,"Reestimativa 2","Realizado"))</f>
        <v>Realizado</v>
      </c>
      <c r="X986" s="1">
        <f>ESTIMATIVA[[#This Row],[QT_AREA_EST]]</f>
        <v>2.67</v>
      </c>
      <c r="Y986" s="1">
        <f>IF(ESTIMATIVA[[#This Row],[QT_AREA_REST1]]&gt;0,ESTIMATIVA[[#This Row],[QT_AREA_REST1]],
  IF(ESTIMATIVA[[#This Row],[QT_AREA_REAL]]&gt;0,ESTIMATIVA[[#This Row],[QT_AREA_REAL]],ESTIMATIVA[[#This Row],[QT_AREA_EST]]))</f>
        <v>2.67</v>
      </c>
      <c r="Z98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2.67</v>
      </c>
      <c r="AA986" s="1">
        <f>ESTIMATIVA[[#This Row],[QT_CANA_EST]]</f>
        <v>160.19999999999999</v>
      </c>
      <c r="AB986" s="1">
        <f>IF(ESTIMATIVA[[#This Row],[QT_CANA_REST1]]&gt;0,ESTIMATIVA[[#This Row],[QT_CANA_REST1]],
  IF(ESTIMATIVA[[#This Row],[QT_CANA_REAL]]&gt;0,ESTIMATIVA[[#This Row],[QT_CANA_REAL]],ESTIMATIVA[[#This Row],[QT_CANA_EST]]))</f>
        <v>136.13</v>
      </c>
      <c r="AC98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136.13</v>
      </c>
      <c r="AD986" s="1">
        <f>IF(ESTIMATIVA[[#This Row],[QT_AREA_REAL]]&gt;0,ESTIMATIVA[[#This Row],[QT_CANA_REAL]],ESTIMATIVA[[#This Row],[QT_CANA_EST]])</f>
        <v>136.13</v>
      </c>
      <c r="AE986" s="1">
        <f>IF(ESTIMATIVA[[#This Row],[QT_AREA_REAL]]&gt;0,ESTIMATIVA[[#This Row],[QT_CANA_REAL]],ESTIMATIVA[[#This Row],[QT_CANA_REST1]])</f>
        <v>136.13</v>
      </c>
      <c r="AF986" s="1">
        <f>IF(ESTIMATIVA[[#This Row],[QT_AREA_REAL]]&gt;0,ESTIMATIVA[[#This Row],[QT_CANA_REAL]],ESTIMATIVA[[#This Row],[QT_CANA_REST2]])</f>
        <v>136.13</v>
      </c>
      <c r="AG986" s="1" t="str">
        <f>IF(COUNTIFS(GEADA!A:A,VALUE(ESTIMATIVA[[#This Row],[CD_UPNIVEL1]]&amp;TEXT(ESTIMATIVA[[#This Row],[CD_UPNIVEL3]],"0000")))&gt;0,"S","N")</f>
        <v>N</v>
      </c>
      <c r="AH98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86" s="55" t="str">
        <f>IF(ESTIMATIVA[[#This Row],[TP_CULTIVO]]="Irrigado",_xlfn.MAXIFS(IRRIGADO!J:J,IRRIGADO!C:C,ESTIMATIVA[[#This Row],[CD_UPNIVEL1]],IRRIGADO!E:E,ESTIMATIVA[[#This Row],[CD_UPNIVEL3]]),"")</f>
        <v/>
      </c>
      <c r="AJ98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86" s="1">
        <f>COUNTIFS(Apresentação!$E$23:$E$29,ESTIMATIVA[[#This Row],[CD_UPNIVEL1]])</f>
        <v>0</v>
      </c>
    </row>
    <row r="987" spans="1:37" x14ac:dyDescent="0.3">
      <c r="A987">
        <v>20462</v>
      </c>
      <c r="B987" t="s">
        <v>52</v>
      </c>
      <c r="C987">
        <v>2037</v>
      </c>
      <c r="D987">
        <v>1</v>
      </c>
      <c r="E987" t="s">
        <v>267</v>
      </c>
      <c r="F987" s="85" t="s">
        <v>331</v>
      </c>
      <c r="G987"/>
      <c r="H987" t="s">
        <v>295</v>
      </c>
      <c r="I987" t="s">
        <v>211</v>
      </c>
      <c r="J987" t="s">
        <v>176</v>
      </c>
      <c r="K987" s="1">
        <v>4.3899999999999997</v>
      </c>
      <c r="L987" s="1">
        <v>0</v>
      </c>
      <c r="M987" s="1">
        <v>0</v>
      </c>
      <c r="N987" s="1">
        <v>4.3899999999999997</v>
      </c>
      <c r="O987" s="1">
        <v>263.39999999999998</v>
      </c>
      <c r="P987" s="1">
        <v>0</v>
      </c>
      <c r="Q987" s="1">
        <v>0</v>
      </c>
      <c r="R987" s="1">
        <v>223.77</v>
      </c>
      <c r="S987" t="s">
        <v>12</v>
      </c>
      <c r="T987" s="13">
        <v>45739</v>
      </c>
      <c r="U987" s="1" t="str">
        <f>IF(ESTIMATIVA[[#This Row],[QT_AREA_REAL]]&gt;0,"1- Colhido","2- à Colher")</f>
        <v>1- Colhido</v>
      </c>
      <c r="V987" s="1" t="str">
        <f>IF(ESTIMATIVA[[#This Row],[QT_AREA_REST1]]&gt;0,"Reestimativa 1",IF(ESTIMATIVA[[#This Row],[QT_AREA_REAL]]=0,"Reestimativa 1","Realizado"))</f>
        <v>Realizado</v>
      </c>
      <c r="W987" s="1" t="str">
        <f>IF(ESTIMATIVA[[#This Row],[QT_AREA_REST2]]&gt;0,"Reestimativa 2",IF(ESTIMATIVA[[#This Row],[QT_AREA_REAL]]=0,"Reestimativa 2","Realizado"))</f>
        <v>Realizado</v>
      </c>
      <c r="X987" s="1">
        <f>ESTIMATIVA[[#This Row],[QT_AREA_EST]]</f>
        <v>4.3899999999999997</v>
      </c>
      <c r="Y987" s="1">
        <f>IF(ESTIMATIVA[[#This Row],[QT_AREA_REST1]]&gt;0,ESTIMATIVA[[#This Row],[QT_AREA_REST1]],
  IF(ESTIMATIVA[[#This Row],[QT_AREA_REAL]]&gt;0,ESTIMATIVA[[#This Row],[QT_AREA_REAL]],ESTIMATIVA[[#This Row],[QT_AREA_EST]]))</f>
        <v>4.3899999999999997</v>
      </c>
      <c r="Z98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4.3899999999999997</v>
      </c>
      <c r="AA987" s="1">
        <f>ESTIMATIVA[[#This Row],[QT_CANA_EST]]</f>
        <v>263.39999999999998</v>
      </c>
      <c r="AB987" s="1">
        <f>IF(ESTIMATIVA[[#This Row],[QT_CANA_REST1]]&gt;0,ESTIMATIVA[[#This Row],[QT_CANA_REST1]],
  IF(ESTIMATIVA[[#This Row],[QT_CANA_REAL]]&gt;0,ESTIMATIVA[[#This Row],[QT_CANA_REAL]],ESTIMATIVA[[#This Row],[QT_CANA_EST]]))</f>
        <v>223.77</v>
      </c>
      <c r="AC98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223.77</v>
      </c>
      <c r="AD987" s="1">
        <f>IF(ESTIMATIVA[[#This Row],[QT_AREA_REAL]]&gt;0,ESTIMATIVA[[#This Row],[QT_CANA_REAL]],ESTIMATIVA[[#This Row],[QT_CANA_EST]])</f>
        <v>223.77</v>
      </c>
      <c r="AE987" s="1">
        <f>IF(ESTIMATIVA[[#This Row],[QT_AREA_REAL]]&gt;0,ESTIMATIVA[[#This Row],[QT_CANA_REAL]],ESTIMATIVA[[#This Row],[QT_CANA_REST1]])</f>
        <v>223.77</v>
      </c>
      <c r="AF987" s="1">
        <f>IF(ESTIMATIVA[[#This Row],[QT_AREA_REAL]]&gt;0,ESTIMATIVA[[#This Row],[QT_CANA_REAL]],ESTIMATIVA[[#This Row],[QT_CANA_REST2]])</f>
        <v>223.77</v>
      </c>
      <c r="AG987" s="1" t="str">
        <f>IF(COUNTIFS(GEADA!A:A,VALUE(ESTIMATIVA[[#This Row],[CD_UPNIVEL1]]&amp;TEXT(ESTIMATIVA[[#This Row],[CD_UPNIVEL3]],"0000")))&gt;0,"S","N")</f>
        <v>N</v>
      </c>
      <c r="AH98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87" s="55" t="str">
        <f>IF(ESTIMATIVA[[#This Row],[TP_CULTIVO]]="Irrigado",_xlfn.MAXIFS(IRRIGADO!J:J,IRRIGADO!C:C,ESTIMATIVA[[#This Row],[CD_UPNIVEL1]],IRRIGADO!E:E,ESTIMATIVA[[#This Row],[CD_UPNIVEL3]]),"")</f>
        <v/>
      </c>
      <c r="AJ98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87" s="1">
        <f>COUNTIFS(Apresentação!$E$23:$E$29,ESTIMATIVA[[#This Row],[CD_UPNIVEL1]])</f>
        <v>0</v>
      </c>
    </row>
    <row r="988" spans="1:37" x14ac:dyDescent="0.3">
      <c r="A988">
        <v>20462</v>
      </c>
      <c r="B988" t="s">
        <v>52</v>
      </c>
      <c r="C988">
        <v>2038</v>
      </c>
      <c r="D988">
        <v>1</v>
      </c>
      <c r="E988" t="s">
        <v>267</v>
      </c>
      <c r="F988" s="85" t="s">
        <v>331</v>
      </c>
      <c r="G988"/>
      <c r="H988" t="s">
        <v>295</v>
      </c>
      <c r="I988" t="s">
        <v>211</v>
      </c>
      <c r="J988" t="s">
        <v>176</v>
      </c>
      <c r="K988" s="1">
        <v>3.7</v>
      </c>
      <c r="L988" s="1">
        <v>0</v>
      </c>
      <c r="M988" s="1">
        <v>0</v>
      </c>
      <c r="N988" s="1">
        <v>3.7</v>
      </c>
      <c r="O988" s="1">
        <v>222</v>
      </c>
      <c r="P988" s="1">
        <v>0</v>
      </c>
      <c r="Q988" s="1">
        <v>0</v>
      </c>
      <c r="R988" s="1">
        <v>188.89</v>
      </c>
      <c r="S988" t="s">
        <v>12</v>
      </c>
      <c r="T988" s="13">
        <v>45739</v>
      </c>
      <c r="U988" s="1" t="str">
        <f>IF(ESTIMATIVA[[#This Row],[QT_AREA_REAL]]&gt;0,"1- Colhido","2- à Colher")</f>
        <v>1- Colhido</v>
      </c>
      <c r="V988" s="1" t="str">
        <f>IF(ESTIMATIVA[[#This Row],[QT_AREA_REST1]]&gt;0,"Reestimativa 1",IF(ESTIMATIVA[[#This Row],[QT_AREA_REAL]]=0,"Reestimativa 1","Realizado"))</f>
        <v>Realizado</v>
      </c>
      <c r="W988" s="1" t="str">
        <f>IF(ESTIMATIVA[[#This Row],[QT_AREA_REST2]]&gt;0,"Reestimativa 2",IF(ESTIMATIVA[[#This Row],[QT_AREA_REAL]]=0,"Reestimativa 2","Realizado"))</f>
        <v>Realizado</v>
      </c>
      <c r="X988" s="1">
        <f>ESTIMATIVA[[#This Row],[QT_AREA_EST]]</f>
        <v>3.7</v>
      </c>
      <c r="Y988" s="1">
        <f>IF(ESTIMATIVA[[#This Row],[QT_AREA_REST1]]&gt;0,ESTIMATIVA[[#This Row],[QT_AREA_REST1]],
  IF(ESTIMATIVA[[#This Row],[QT_AREA_REAL]]&gt;0,ESTIMATIVA[[#This Row],[QT_AREA_REAL]],ESTIMATIVA[[#This Row],[QT_AREA_EST]]))</f>
        <v>3.7</v>
      </c>
      <c r="Z98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3.7</v>
      </c>
      <c r="AA988" s="1">
        <f>ESTIMATIVA[[#This Row],[QT_CANA_EST]]</f>
        <v>222</v>
      </c>
      <c r="AB988" s="1">
        <f>IF(ESTIMATIVA[[#This Row],[QT_CANA_REST1]]&gt;0,ESTIMATIVA[[#This Row],[QT_CANA_REST1]],
  IF(ESTIMATIVA[[#This Row],[QT_CANA_REAL]]&gt;0,ESTIMATIVA[[#This Row],[QT_CANA_REAL]],ESTIMATIVA[[#This Row],[QT_CANA_EST]]))</f>
        <v>188.89</v>
      </c>
      <c r="AC98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188.89</v>
      </c>
      <c r="AD988" s="1">
        <f>IF(ESTIMATIVA[[#This Row],[QT_AREA_REAL]]&gt;0,ESTIMATIVA[[#This Row],[QT_CANA_REAL]],ESTIMATIVA[[#This Row],[QT_CANA_EST]])</f>
        <v>188.89</v>
      </c>
      <c r="AE988" s="1">
        <f>IF(ESTIMATIVA[[#This Row],[QT_AREA_REAL]]&gt;0,ESTIMATIVA[[#This Row],[QT_CANA_REAL]],ESTIMATIVA[[#This Row],[QT_CANA_REST1]])</f>
        <v>188.89</v>
      </c>
      <c r="AF988" s="1">
        <f>IF(ESTIMATIVA[[#This Row],[QT_AREA_REAL]]&gt;0,ESTIMATIVA[[#This Row],[QT_CANA_REAL]],ESTIMATIVA[[#This Row],[QT_CANA_REST2]])</f>
        <v>188.89</v>
      </c>
      <c r="AG988" s="1" t="str">
        <f>IF(COUNTIFS(GEADA!A:A,VALUE(ESTIMATIVA[[#This Row],[CD_UPNIVEL1]]&amp;TEXT(ESTIMATIVA[[#This Row],[CD_UPNIVEL3]],"0000")))&gt;0,"S","N")</f>
        <v>N</v>
      </c>
      <c r="AH98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88" s="55" t="str">
        <f>IF(ESTIMATIVA[[#This Row],[TP_CULTIVO]]="Irrigado",_xlfn.MAXIFS(IRRIGADO!J:J,IRRIGADO!C:C,ESTIMATIVA[[#This Row],[CD_UPNIVEL1]],IRRIGADO!E:E,ESTIMATIVA[[#This Row],[CD_UPNIVEL3]]),"")</f>
        <v/>
      </c>
      <c r="AJ98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88" s="1">
        <f>COUNTIFS(Apresentação!$E$23:$E$29,ESTIMATIVA[[#This Row],[CD_UPNIVEL1]])</f>
        <v>0</v>
      </c>
    </row>
    <row r="989" spans="1:37" x14ac:dyDescent="0.3">
      <c r="A989">
        <v>20462</v>
      </c>
      <c r="B989" t="s">
        <v>52</v>
      </c>
      <c r="C989">
        <v>2039</v>
      </c>
      <c r="D989">
        <v>1</v>
      </c>
      <c r="E989" t="s">
        <v>267</v>
      </c>
      <c r="F989" s="85" t="s">
        <v>331</v>
      </c>
      <c r="G989"/>
      <c r="H989" t="s">
        <v>295</v>
      </c>
      <c r="I989" t="s">
        <v>211</v>
      </c>
      <c r="J989" t="s">
        <v>176</v>
      </c>
      <c r="K989" s="1">
        <v>3.21</v>
      </c>
      <c r="L989" s="1">
        <v>0</v>
      </c>
      <c r="M989" s="1">
        <v>0</v>
      </c>
      <c r="N989" s="1">
        <v>3.21</v>
      </c>
      <c r="O989" s="1">
        <v>192.6</v>
      </c>
      <c r="P989" s="1">
        <v>0</v>
      </c>
      <c r="Q989" s="1">
        <v>0</v>
      </c>
      <c r="R989" s="1">
        <v>164.21</v>
      </c>
      <c r="S989" t="s">
        <v>12</v>
      </c>
      <c r="T989" s="13">
        <v>45739</v>
      </c>
      <c r="U989" s="1" t="str">
        <f>IF(ESTIMATIVA[[#This Row],[QT_AREA_REAL]]&gt;0,"1- Colhido","2- à Colher")</f>
        <v>1- Colhido</v>
      </c>
      <c r="V989" s="1" t="str">
        <f>IF(ESTIMATIVA[[#This Row],[QT_AREA_REST1]]&gt;0,"Reestimativa 1",IF(ESTIMATIVA[[#This Row],[QT_AREA_REAL]]=0,"Reestimativa 1","Realizado"))</f>
        <v>Realizado</v>
      </c>
      <c r="W989" s="1" t="str">
        <f>IF(ESTIMATIVA[[#This Row],[QT_AREA_REST2]]&gt;0,"Reestimativa 2",IF(ESTIMATIVA[[#This Row],[QT_AREA_REAL]]=0,"Reestimativa 2","Realizado"))</f>
        <v>Realizado</v>
      </c>
      <c r="X989" s="1">
        <f>ESTIMATIVA[[#This Row],[QT_AREA_EST]]</f>
        <v>3.21</v>
      </c>
      <c r="Y989" s="1">
        <f>IF(ESTIMATIVA[[#This Row],[QT_AREA_REST1]]&gt;0,ESTIMATIVA[[#This Row],[QT_AREA_REST1]],
  IF(ESTIMATIVA[[#This Row],[QT_AREA_REAL]]&gt;0,ESTIMATIVA[[#This Row],[QT_AREA_REAL]],ESTIMATIVA[[#This Row],[QT_AREA_EST]]))</f>
        <v>3.21</v>
      </c>
      <c r="Z98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3.21</v>
      </c>
      <c r="AA989" s="1">
        <f>ESTIMATIVA[[#This Row],[QT_CANA_EST]]</f>
        <v>192.6</v>
      </c>
      <c r="AB989" s="1">
        <f>IF(ESTIMATIVA[[#This Row],[QT_CANA_REST1]]&gt;0,ESTIMATIVA[[#This Row],[QT_CANA_REST1]],
  IF(ESTIMATIVA[[#This Row],[QT_CANA_REAL]]&gt;0,ESTIMATIVA[[#This Row],[QT_CANA_REAL]],ESTIMATIVA[[#This Row],[QT_CANA_EST]]))</f>
        <v>164.21</v>
      </c>
      <c r="AC98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164.21</v>
      </c>
      <c r="AD989" s="1">
        <f>IF(ESTIMATIVA[[#This Row],[QT_AREA_REAL]]&gt;0,ESTIMATIVA[[#This Row],[QT_CANA_REAL]],ESTIMATIVA[[#This Row],[QT_CANA_EST]])</f>
        <v>164.21</v>
      </c>
      <c r="AE989" s="1">
        <f>IF(ESTIMATIVA[[#This Row],[QT_AREA_REAL]]&gt;0,ESTIMATIVA[[#This Row],[QT_CANA_REAL]],ESTIMATIVA[[#This Row],[QT_CANA_REST1]])</f>
        <v>164.21</v>
      </c>
      <c r="AF989" s="1">
        <f>IF(ESTIMATIVA[[#This Row],[QT_AREA_REAL]]&gt;0,ESTIMATIVA[[#This Row],[QT_CANA_REAL]],ESTIMATIVA[[#This Row],[QT_CANA_REST2]])</f>
        <v>164.21</v>
      </c>
      <c r="AG989" s="1" t="str">
        <f>IF(COUNTIFS(GEADA!A:A,VALUE(ESTIMATIVA[[#This Row],[CD_UPNIVEL1]]&amp;TEXT(ESTIMATIVA[[#This Row],[CD_UPNIVEL3]],"0000")))&gt;0,"S","N")</f>
        <v>N</v>
      </c>
      <c r="AH98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89" s="55" t="str">
        <f>IF(ESTIMATIVA[[#This Row],[TP_CULTIVO]]="Irrigado",_xlfn.MAXIFS(IRRIGADO!J:J,IRRIGADO!C:C,ESTIMATIVA[[#This Row],[CD_UPNIVEL1]],IRRIGADO!E:E,ESTIMATIVA[[#This Row],[CD_UPNIVEL3]]),"")</f>
        <v/>
      </c>
      <c r="AJ98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89" s="1">
        <f>COUNTIFS(Apresentação!$E$23:$E$29,ESTIMATIVA[[#This Row],[CD_UPNIVEL1]])</f>
        <v>0</v>
      </c>
    </row>
    <row r="990" spans="1:37" x14ac:dyDescent="0.3">
      <c r="A990">
        <v>20462</v>
      </c>
      <c r="B990" t="s">
        <v>52</v>
      </c>
      <c r="C990">
        <v>2040</v>
      </c>
      <c r="D990">
        <v>1</v>
      </c>
      <c r="E990" t="s">
        <v>267</v>
      </c>
      <c r="F990" s="85" t="s">
        <v>331</v>
      </c>
      <c r="G990"/>
      <c r="H990" t="s">
        <v>295</v>
      </c>
      <c r="I990" t="s">
        <v>211</v>
      </c>
      <c r="J990" t="s">
        <v>176</v>
      </c>
      <c r="K990" s="1">
        <v>2.04</v>
      </c>
      <c r="L990" s="1">
        <v>0</v>
      </c>
      <c r="M990" s="1">
        <v>0</v>
      </c>
      <c r="N990" s="1">
        <v>2.04</v>
      </c>
      <c r="O990" s="1">
        <v>122.4</v>
      </c>
      <c r="P990" s="1">
        <v>0</v>
      </c>
      <c r="Q990" s="1">
        <v>0</v>
      </c>
      <c r="R990" s="1">
        <v>103.9</v>
      </c>
      <c r="S990" t="s">
        <v>12</v>
      </c>
      <c r="T990" s="13">
        <v>45739</v>
      </c>
      <c r="U990" s="1" t="str">
        <f>IF(ESTIMATIVA[[#This Row],[QT_AREA_REAL]]&gt;0,"1- Colhido","2- à Colher")</f>
        <v>1- Colhido</v>
      </c>
      <c r="V990" s="1" t="str">
        <f>IF(ESTIMATIVA[[#This Row],[QT_AREA_REST1]]&gt;0,"Reestimativa 1",IF(ESTIMATIVA[[#This Row],[QT_AREA_REAL]]=0,"Reestimativa 1","Realizado"))</f>
        <v>Realizado</v>
      </c>
      <c r="W990" s="1" t="str">
        <f>IF(ESTIMATIVA[[#This Row],[QT_AREA_REST2]]&gt;0,"Reestimativa 2",IF(ESTIMATIVA[[#This Row],[QT_AREA_REAL]]=0,"Reestimativa 2","Realizado"))</f>
        <v>Realizado</v>
      </c>
      <c r="X990" s="1">
        <f>ESTIMATIVA[[#This Row],[QT_AREA_EST]]</f>
        <v>2.04</v>
      </c>
      <c r="Y990" s="1">
        <f>IF(ESTIMATIVA[[#This Row],[QT_AREA_REST1]]&gt;0,ESTIMATIVA[[#This Row],[QT_AREA_REST1]],
  IF(ESTIMATIVA[[#This Row],[QT_AREA_REAL]]&gt;0,ESTIMATIVA[[#This Row],[QT_AREA_REAL]],ESTIMATIVA[[#This Row],[QT_AREA_EST]]))</f>
        <v>2.04</v>
      </c>
      <c r="Z99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2.04</v>
      </c>
      <c r="AA990" s="1">
        <f>ESTIMATIVA[[#This Row],[QT_CANA_EST]]</f>
        <v>122.4</v>
      </c>
      <c r="AB990" s="1">
        <f>IF(ESTIMATIVA[[#This Row],[QT_CANA_REST1]]&gt;0,ESTIMATIVA[[#This Row],[QT_CANA_REST1]],
  IF(ESTIMATIVA[[#This Row],[QT_CANA_REAL]]&gt;0,ESTIMATIVA[[#This Row],[QT_CANA_REAL]],ESTIMATIVA[[#This Row],[QT_CANA_EST]]))</f>
        <v>103.9</v>
      </c>
      <c r="AC99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103.9</v>
      </c>
      <c r="AD990" s="1">
        <f>IF(ESTIMATIVA[[#This Row],[QT_AREA_REAL]]&gt;0,ESTIMATIVA[[#This Row],[QT_CANA_REAL]],ESTIMATIVA[[#This Row],[QT_CANA_EST]])</f>
        <v>103.9</v>
      </c>
      <c r="AE990" s="1">
        <f>IF(ESTIMATIVA[[#This Row],[QT_AREA_REAL]]&gt;0,ESTIMATIVA[[#This Row],[QT_CANA_REAL]],ESTIMATIVA[[#This Row],[QT_CANA_REST1]])</f>
        <v>103.9</v>
      </c>
      <c r="AF990" s="1">
        <f>IF(ESTIMATIVA[[#This Row],[QT_AREA_REAL]]&gt;0,ESTIMATIVA[[#This Row],[QT_CANA_REAL]],ESTIMATIVA[[#This Row],[QT_CANA_REST2]])</f>
        <v>103.9</v>
      </c>
      <c r="AG990" s="1" t="str">
        <f>IF(COUNTIFS(GEADA!A:A,VALUE(ESTIMATIVA[[#This Row],[CD_UPNIVEL1]]&amp;TEXT(ESTIMATIVA[[#This Row],[CD_UPNIVEL3]],"0000")))&gt;0,"S","N")</f>
        <v>N</v>
      </c>
      <c r="AH99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990" s="55" t="str">
        <f>IF(ESTIMATIVA[[#This Row],[TP_CULTIVO]]="Irrigado",_xlfn.MAXIFS(IRRIGADO!J:J,IRRIGADO!C:C,ESTIMATIVA[[#This Row],[CD_UPNIVEL1]],IRRIGADO!E:E,ESTIMATIVA[[#This Row],[CD_UPNIVEL3]]),"")</f>
        <v/>
      </c>
      <c r="AJ99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90" s="1">
        <f>COUNTIFS(Apresentação!$E$23:$E$29,ESTIMATIVA[[#This Row],[CD_UPNIVEL1]])</f>
        <v>0</v>
      </c>
    </row>
    <row r="991" spans="1:37" x14ac:dyDescent="0.3">
      <c r="A991">
        <v>20463</v>
      </c>
      <c r="B991" t="s">
        <v>143</v>
      </c>
      <c r="C991">
        <v>1</v>
      </c>
      <c r="D991">
        <v>2</v>
      </c>
      <c r="E991" t="s">
        <v>266</v>
      </c>
      <c r="F991" s="85" t="s">
        <v>333</v>
      </c>
      <c r="G991"/>
      <c r="H991" t="s">
        <v>294</v>
      </c>
      <c r="I991" t="s">
        <v>207</v>
      </c>
      <c r="J991" t="s">
        <v>176</v>
      </c>
      <c r="K991" s="1">
        <v>56.52</v>
      </c>
      <c r="L991" s="1">
        <v>56.52</v>
      </c>
      <c r="M991" s="1">
        <v>56.52</v>
      </c>
      <c r="N991" s="1">
        <v>56.52</v>
      </c>
      <c r="O991" s="1">
        <v>4521.6000000000004</v>
      </c>
      <c r="P991" s="1">
        <v>4521.6000000000004</v>
      </c>
      <c r="Q991" s="1">
        <v>4069.44</v>
      </c>
      <c r="R991" s="1">
        <v>3912.87</v>
      </c>
      <c r="S991" t="s">
        <v>12</v>
      </c>
      <c r="T991" s="13">
        <v>45942</v>
      </c>
      <c r="U991" s="1" t="str">
        <f>IF(ESTIMATIVA[[#This Row],[QT_AREA_REAL]]&gt;0,"1- Colhido","2- à Colher")</f>
        <v>1- Colhido</v>
      </c>
      <c r="V991" s="1" t="str">
        <f>IF(ESTIMATIVA[[#This Row],[QT_AREA_REST1]]&gt;0,"Reestimativa 1",IF(ESTIMATIVA[[#This Row],[QT_AREA_REAL]]=0,"Reestimativa 1","Realizado"))</f>
        <v>Reestimativa 1</v>
      </c>
      <c r="W991" s="1" t="str">
        <f>IF(ESTIMATIVA[[#This Row],[QT_AREA_REST2]]&gt;0,"Reestimativa 2",IF(ESTIMATIVA[[#This Row],[QT_AREA_REAL]]=0,"Reestimativa 2","Realizado"))</f>
        <v>Reestimativa 2</v>
      </c>
      <c r="X991" s="1">
        <f>ESTIMATIVA[[#This Row],[QT_AREA_EST]]</f>
        <v>56.52</v>
      </c>
      <c r="Y991" s="1">
        <f>IF(ESTIMATIVA[[#This Row],[QT_AREA_REST1]]&gt;0,ESTIMATIVA[[#This Row],[QT_AREA_REST1]],
  IF(ESTIMATIVA[[#This Row],[QT_AREA_REAL]]&gt;0,ESTIMATIVA[[#This Row],[QT_AREA_REAL]],ESTIMATIVA[[#This Row],[QT_AREA_EST]]))</f>
        <v>56.52</v>
      </c>
      <c r="Z99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56.52</v>
      </c>
      <c r="AA991" s="1">
        <f>ESTIMATIVA[[#This Row],[QT_CANA_EST]]</f>
        <v>4521.6000000000004</v>
      </c>
      <c r="AB991" s="1">
        <f>IF(ESTIMATIVA[[#This Row],[QT_CANA_REST1]]&gt;0,ESTIMATIVA[[#This Row],[QT_CANA_REST1]],
  IF(ESTIMATIVA[[#This Row],[QT_CANA_REAL]]&gt;0,ESTIMATIVA[[#This Row],[QT_CANA_REAL]],ESTIMATIVA[[#This Row],[QT_CANA_EST]]))</f>
        <v>4521.6000000000004</v>
      </c>
      <c r="AC99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4069.44</v>
      </c>
      <c r="AD991" s="1">
        <f>IF(ESTIMATIVA[[#This Row],[QT_AREA_REAL]]&gt;0,ESTIMATIVA[[#This Row],[QT_CANA_REAL]],ESTIMATIVA[[#This Row],[QT_CANA_EST]])</f>
        <v>3912.87</v>
      </c>
      <c r="AE991" s="1">
        <f>IF(ESTIMATIVA[[#This Row],[QT_AREA_REAL]]&gt;0,ESTIMATIVA[[#This Row],[QT_CANA_REAL]],ESTIMATIVA[[#This Row],[QT_CANA_REST1]])</f>
        <v>3912.87</v>
      </c>
      <c r="AF991" s="1">
        <f>IF(ESTIMATIVA[[#This Row],[QT_AREA_REAL]]&gt;0,ESTIMATIVA[[#This Row],[QT_CANA_REAL]],ESTIMATIVA[[#This Row],[QT_CANA_REST2]])</f>
        <v>3912.87</v>
      </c>
      <c r="AG991" s="1" t="str">
        <f>IF(COUNTIFS(GEADA!A:A,VALUE(ESTIMATIVA[[#This Row],[CD_UPNIVEL1]]&amp;TEXT(ESTIMATIVA[[#This Row],[CD_UPNIVEL3]],"0000")))&gt;0,"S","N")</f>
        <v>N</v>
      </c>
      <c r="AH99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91" s="55" t="str">
        <f>IF(ESTIMATIVA[[#This Row],[TP_CULTIVO]]="Irrigado",_xlfn.MAXIFS(IRRIGADO!J:J,IRRIGADO!C:C,ESTIMATIVA[[#This Row],[CD_UPNIVEL1]],IRRIGADO!E:E,ESTIMATIVA[[#This Row],[CD_UPNIVEL3]]),"")</f>
        <v/>
      </c>
      <c r="AJ99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91" s="1">
        <f>COUNTIFS(Apresentação!$E$23:$E$29,ESTIMATIVA[[#This Row],[CD_UPNIVEL1]])</f>
        <v>0</v>
      </c>
    </row>
    <row r="992" spans="1:37" x14ac:dyDescent="0.3">
      <c r="A992">
        <v>20463</v>
      </c>
      <c r="B992" t="s">
        <v>143</v>
      </c>
      <c r="C992">
        <v>2</v>
      </c>
      <c r="D992">
        <v>2</v>
      </c>
      <c r="E992" t="s">
        <v>266</v>
      </c>
      <c r="F992" s="85" t="s">
        <v>333</v>
      </c>
      <c r="G992"/>
      <c r="H992" t="s">
        <v>294</v>
      </c>
      <c r="I992" t="s">
        <v>207</v>
      </c>
      <c r="J992" t="s">
        <v>176</v>
      </c>
      <c r="K992" s="1">
        <v>5.24</v>
      </c>
      <c r="L992" s="1">
        <v>5.24</v>
      </c>
      <c r="M992" s="1">
        <v>5.24</v>
      </c>
      <c r="N992" s="1">
        <v>5.24</v>
      </c>
      <c r="O992" s="1">
        <v>419.2</v>
      </c>
      <c r="P992" s="1">
        <v>377.28</v>
      </c>
      <c r="Q992" s="1">
        <v>377.28</v>
      </c>
      <c r="R992" s="1">
        <v>362.61</v>
      </c>
      <c r="S992" t="s">
        <v>12</v>
      </c>
      <c r="T992" s="13">
        <v>45942</v>
      </c>
      <c r="U992" s="1" t="str">
        <f>IF(ESTIMATIVA[[#This Row],[QT_AREA_REAL]]&gt;0,"1- Colhido","2- à Colher")</f>
        <v>1- Colhido</v>
      </c>
      <c r="V992" s="1" t="str">
        <f>IF(ESTIMATIVA[[#This Row],[QT_AREA_REST1]]&gt;0,"Reestimativa 1",IF(ESTIMATIVA[[#This Row],[QT_AREA_REAL]]=0,"Reestimativa 1","Realizado"))</f>
        <v>Reestimativa 1</v>
      </c>
      <c r="W992" s="1" t="str">
        <f>IF(ESTIMATIVA[[#This Row],[QT_AREA_REST2]]&gt;0,"Reestimativa 2",IF(ESTIMATIVA[[#This Row],[QT_AREA_REAL]]=0,"Reestimativa 2","Realizado"))</f>
        <v>Reestimativa 2</v>
      </c>
      <c r="X992" s="1">
        <f>ESTIMATIVA[[#This Row],[QT_AREA_EST]]</f>
        <v>5.24</v>
      </c>
      <c r="Y992" s="1">
        <f>IF(ESTIMATIVA[[#This Row],[QT_AREA_REST1]]&gt;0,ESTIMATIVA[[#This Row],[QT_AREA_REST1]],
  IF(ESTIMATIVA[[#This Row],[QT_AREA_REAL]]&gt;0,ESTIMATIVA[[#This Row],[QT_AREA_REAL]],ESTIMATIVA[[#This Row],[QT_AREA_EST]]))</f>
        <v>5.24</v>
      </c>
      <c r="Z99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5.24</v>
      </c>
      <c r="AA992" s="1">
        <f>ESTIMATIVA[[#This Row],[QT_CANA_EST]]</f>
        <v>419.2</v>
      </c>
      <c r="AB992" s="1">
        <f>IF(ESTIMATIVA[[#This Row],[QT_CANA_REST1]]&gt;0,ESTIMATIVA[[#This Row],[QT_CANA_REST1]],
  IF(ESTIMATIVA[[#This Row],[QT_CANA_REAL]]&gt;0,ESTIMATIVA[[#This Row],[QT_CANA_REAL]],ESTIMATIVA[[#This Row],[QT_CANA_EST]]))</f>
        <v>377.28</v>
      </c>
      <c r="AC99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377.28</v>
      </c>
      <c r="AD992" s="1">
        <f>IF(ESTIMATIVA[[#This Row],[QT_AREA_REAL]]&gt;0,ESTIMATIVA[[#This Row],[QT_CANA_REAL]],ESTIMATIVA[[#This Row],[QT_CANA_EST]])</f>
        <v>362.61</v>
      </c>
      <c r="AE992" s="1">
        <f>IF(ESTIMATIVA[[#This Row],[QT_AREA_REAL]]&gt;0,ESTIMATIVA[[#This Row],[QT_CANA_REAL]],ESTIMATIVA[[#This Row],[QT_CANA_REST1]])</f>
        <v>362.61</v>
      </c>
      <c r="AF992" s="1">
        <f>IF(ESTIMATIVA[[#This Row],[QT_AREA_REAL]]&gt;0,ESTIMATIVA[[#This Row],[QT_CANA_REAL]],ESTIMATIVA[[#This Row],[QT_CANA_REST2]])</f>
        <v>362.61</v>
      </c>
      <c r="AG992" s="1" t="str">
        <f>IF(COUNTIFS(GEADA!A:A,VALUE(ESTIMATIVA[[#This Row],[CD_UPNIVEL1]]&amp;TEXT(ESTIMATIVA[[#This Row],[CD_UPNIVEL3]],"0000")))&gt;0,"S","N")</f>
        <v>S</v>
      </c>
      <c r="AH99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92" s="55" t="str">
        <f>IF(ESTIMATIVA[[#This Row],[TP_CULTIVO]]="Irrigado",_xlfn.MAXIFS(IRRIGADO!J:J,IRRIGADO!C:C,ESTIMATIVA[[#This Row],[CD_UPNIVEL1]],IRRIGADO!E:E,ESTIMATIVA[[#This Row],[CD_UPNIVEL3]]),"")</f>
        <v/>
      </c>
      <c r="AJ99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92" s="1">
        <f>COUNTIFS(Apresentação!$E$23:$E$29,ESTIMATIVA[[#This Row],[CD_UPNIVEL1]])</f>
        <v>0</v>
      </c>
    </row>
    <row r="993" spans="1:37" x14ac:dyDescent="0.3">
      <c r="A993">
        <v>20463</v>
      </c>
      <c r="B993" t="s">
        <v>143</v>
      </c>
      <c r="C993">
        <v>3</v>
      </c>
      <c r="D993">
        <v>2</v>
      </c>
      <c r="E993" t="s">
        <v>266</v>
      </c>
      <c r="F993" s="85" t="s">
        <v>333</v>
      </c>
      <c r="G993"/>
      <c r="H993" t="s">
        <v>294</v>
      </c>
      <c r="I993" t="s">
        <v>207</v>
      </c>
      <c r="J993" t="s">
        <v>176</v>
      </c>
      <c r="K993" s="1">
        <v>39.58</v>
      </c>
      <c r="L993" s="1">
        <v>39.58</v>
      </c>
      <c r="M993" s="1">
        <v>39.58</v>
      </c>
      <c r="N993" s="1">
        <v>39.58</v>
      </c>
      <c r="O993" s="1">
        <v>3166.4</v>
      </c>
      <c r="P993" s="1">
        <v>2770.6</v>
      </c>
      <c r="Q993" s="1">
        <v>2770.6</v>
      </c>
      <c r="R993" s="1">
        <v>3181.33</v>
      </c>
      <c r="S993" t="s">
        <v>12</v>
      </c>
      <c r="T993" s="13">
        <v>45942</v>
      </c>
      <c r="U993" s="1" t="str">
        <f>IF(ESTIMATIVA[[#This Row],[QT_AREA_REAL]]&gt;0,"1- Colhido","2- à Colher")</f>
        <v>1- Colhido</v>
      </c>
      <c r="V993" s="1" t="str">
        <f>IF(ESTIMATIVA[[#This Row],[QT_AREA_REST1]]&gt;0,"Reestimativa 1",IF(ESTIMATIVA[[#This Row],[QT_AREA_REAL]]=0,"Reestimativa 1","Realizado"))</f>
        <v>Reestimativa 1</v>
      </c>
      <c r="W993" s="1" t="str">
        <f>IF(ESTIMATIVA[[#This Row],[QT_AREA_REST2]]&gt;0,"Reestimativa 2",IF(ESTIMATIVA[[#This Row],[QT_AREA_REAL]]=0,"Reestimativa 2","Realizado"))</f>
        <v>Reestimativa 2</v>
      </c>
      <c r="X993" s="1">
        <f>ESTIMATIVA[[#This Row],[QT_AREA_EST]]</f>
        <v>39.58</v>
      </c>
      <c r="Y993" s="1">
        <f>IF(ESTIMATIVA[[#This Row],[QT_AREA_REST1]]&gt;0,ESTIMATIVA[[#This Row],[QT_AREA_REST1]],
  IF(ESTIMATIVA[[#This Row],[QT_AREA_REAL]]&gt;0,ESTIMATIVA[[#This Row],[QT_AREA_REAL]],ESTIMATIVA[[#This Row],[QT_AREA_EST]]))</f>
        <v>39.58</v>
      </c>
      <c r="Z99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39.58</v>
      </c>
      <c r="AA993" s="1">
        <f>ESTIMATIVA[[#This Row],[QT_CANA_EST]]</f>
        <v>3166.4</v>
      </c>
      <c r="AB993" s="1">
        <f>IF(ESTIMATIVA[[#This Row],[QT_CANA_REST1]]&gt;0,ESTIMATIVA[[#This Row],[QT_CANA_REST1]],
  IF(ESTIMATIVA[[#This Row],[QT_CANA_REAL]]&gt;0,ESTIMATIVA[[#This Row],[QT_CANA_REAL]],ESTIMATIVA[[#This Row],[QT_CANA_EST]]))</f>
        <v>2770.6</v>
      </c>
      <c r="AC99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2770.6</v>
      </c>
      <c r="AD993" s="1">
        <f>IF(ESTIMATIVA[[#This Row],[QT_AREA_REAL]]&gt;0,ESTIMATIVA[[#This Row],[QT_CANA_REAL]],ESTIMATIVA[[#This Row],[QT_CANA_EST]])</f>
        <v>3181.33</v>
      </c>
      <c r="AE993" s="1">
        <f>IF(ESTIMATIVA[[#This Row],[QT_AREA_REAL]]&gt;0,ESTIMATIVA[[#This Row],[QT_CANA_REAL]],ESTIMATIVA[[#This Row],[QT_CANA_REST1]])</f>
        <v>3181.33</v>
      </c>
      <c r="AF993" s="1">
        <f>IF(ESTIMATIVA[[#This Row],[QT_AREA_REAL]]&gt;0,ESTIMATIVA[[#This Row],[QT_CANA_REAL]],ESTIMATIVA[[#This Row],[QT_CANA_REST2]])</f>
        <v>3181.33</v>
      </c>
      <c r="AG993" s="1" t="str">
        <f>IF(COUNTIFS(GEADA!A:A,VALUE(ESTIMATIVA[[#This Row],[CD_UPNIVEL1]]&amp;TEXT(ESTIMATIVA[[#This Row],[CD_UPNIVEL3]],"0000")))&gt;0,"S","N")</f>
        <v>S</v>
      </c>
      <c r="AH993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993" s="55">
        <f>IF(ESTIMATIVA[[#This Row],[TP_CULTIVO]]="Irrigado",_xlfn.MAXIFS(IRRIGADO!J:J,IRRIGADO!C:C,ESTIMATIVA[[#This Row],[CD_UPNIVEL1]],IRRIGADO!E:E,ESTIMATIVA[[#This Row],[CD_UPNIVEL3]]),"")</f>
        <v>45565</v>
      </c>
      <c r="AJ993" s="1">
        <f>IF(ESTIMATIVA[[#This Row],[TP_CULTIVO]]&lt;&gt;"Irrigado",0,AVERAGEIFS(IRRIGADO!G:G,IRRIGADO!C:C,ESTIMATIVA[[#This Row],[CD_UPNIVEL1]],IRRIGADO!E:E,ESTIMATIVA[[#This Row],[CD_UPNIVEL3]])*ESTIMATIVA[[#This Row],[QT_AREA_REAL]])</f>
        <v>2374.7999999999997</v>
      </c>
      <c r="AK993" s="1">
        <f>COUNTIFS(Apresentação!$E$23:$E$29,ESTIMATIVA[[#This Row],[CD_UPNIVEL1]])</f>
        <v>0</v>
      </c>
    </row>
    <row r="994" spans="1:37" x14ac:dyDescent="0.3">
      <c r="A994">
        <v>20463</v>
      </c>
      <c r="B994" t="s">
        <v>143</v>
      </c>
      <c r="C994">
        <v>4</v>
      </c>
      <c r="D994">
        <v>2</v>
      </c>
      <c r="E994" t="s">
        <v>266</v>
      </c>
      <c r="F994" s="85" t="s">
        <v>331</v>
      </c>
      <c r="G994"/>
      <c r="H994" t="s">
        <v>294</v>
      </c>
      <c r="I994" t="s">
        <v>207</v>
      </c>
      <c r="J994" t="s">
        <v>176</v>
      </c>
      <c r="K994" s="1">
        <v>29.9</v>
      </c>
      <c r="L994" s="1">
        <v>29.9</v>
      </c>
      <c r="M994" s="1">
        <v>29.9</v>
      </c>
      <c r="N994" s="1">
        <v>29.9</v>
      </c>
      <c r="O994" s="1">
        <v>2392</v>
      </c>
      <c r="P994" s="1">
        <v>2332.1999999999998</v>
      </c>
      <c r="Q994" s="1">
        <v>2332.1999999999998</v>
      </c>
      <c r="R994" s="1">
        <v>2677.51</v>
      </c>
      <c r="S994" t="s">
        <v>12</v>
      </c>
      <c r="T994" s="13">
        <v>45942</v>
      </c>
      <c r="U994" s="1" t="str">
        <f>IF(ESTIMATIVA[[#This Row],[QT_AREA_REAL]]&gt;0,"1- Colhido","2- à Colher")</f>
        <v>1- Colhido</v>
      </c>
      <c r="V994" s="1" t="str">
        <f>IF(ESTIMATIVA[[#This Row],[QT_AREA_REST1]]&gt;0,"Reestimativa 1",IF(ESTIMATIVA[[#This Row],[QT_AREA_REAL]]=0,"Reestimativa 1","Realizado"))</f>
        <v>Reestimativa 1</v>
      </c>
      <c r="W994" s="1" t="str">
        <f>IF(ESTIMATIVA[[#This Row],[QT_AREA_REST2]]&gt;0,"Reestimativa 2",IF(ESTIMATIVA[[#This Row],[QT_AREA_REAL]]=0,"Reestimativa 2","Realizado"))</f>
        <v>Reestimativa 2</v>
      </c>
      <c r="X994" s="1">
        <f>ESTIMATIVA[[#This Row],[QT_AREA_EST]]</f>
        <v>29.9</v>
      </c>
      <c r="Y994" s="1">
        <f>IF(ESTIMATIVA[[#This Row],[QT_AREA_REST1]]&gt;0,ESTIMATIVA[[#This Row],[QT_AREA_REST1]],
  IF(ESTIMATIVA[[#This Row],[QT_AREA_REAL]]&gt;0,ESTIMATIVA[[#This Row],[QT_AREA_REAL]],ESTIMATIVA[[#This Row],[QT_AREA_EST]]))</f>
        <v>29.9</v>
      </c>
      <c r="Z99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29.9</v>
      </c>
      <c r="AA994" s="1">
        <f>ESTIMATIVA[[#This Row],[QT_CANA_EST]]</f>
        <v>2392</v>
      </c>
      <c r="AB994" s="1">
        <f>IF(ESTIMATIVA[[#This Row],[QT_CANA_REST1]]&gt;0,ESTIMATIVA[[#This Row],[QT_CANA_REST1]],
  IF(ESTIMATIVA[[#This Row],[QT_CANA_REAL]]&gt;0,ESTIMATIVA[[#This Row],[QT_CANA_REAL]],ESTIMATIVA[[#This Row],[QT_CANA_EST]]))</f>
        <v>2332.1999999999998</v>
      </c>
      <c r="AC99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2332.1999999999998</v>
      </c>
      <c r="AD994" s="1">
        <f>IF(ESTIMATIVA[[#This Row],[QT_AREA_REAL]]&gt;0,ESTIMATIVA[[#This Row],[QT_CANA_REAL]],ESTIMATIVA[[#This Row],[QT_CANA_EST]])</f>
        <v>2677.51</v>
      </c>
      <c r="AE994" s="1">
        <f>IF(ESTIMATIVA[[#This Row],[QT_AREA_REAL]]&gt;0,ESTIMATIVA[[#This Row],[QT_CANA_REAL]],ESTIMATIVA[[#This Row],[QT_CANA_REST1]])</f>
        <v>2677.51</v>
      </c>
      <c r="AF994" s="1">
        <f>IF(ESTIMATIVA[[#This Row],[QT_AREA_REAL]]&gt;0,ESTIMATIVA[[#This Row],[QT_CANA_REAL]],ESTIMATIVA[[#This Row],[QT_CANA_REST2]])</f>
        <v>2677.51</v>
      </c>
      <c r="AG994" s="1" t="str">
        <f>IF(COUNTIFS(GEADA!A:A,VALUE(ESTIMATIVA[[#This Row],[CD_UPNIVEL1]]&amp;TEXT(ESTIMATIVA[[#This Row],[CD_UPNIVEL3]],"0000")))&gt;0,"S","N")</f>
        <v>S</v>
      </c>
      <c r="AH994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994" s="55">
        <f>IF(ESTIMATIVA[[#This Row],[TP_CULTIVO]]="Irrigado",_xlfn.MAXIFS(IRRIGADO!J:J,IRRIGADO!C:C,ESTIMATIVA[[#This Row],[CD_UPNIVEL1]],IRRIGADO!E:E,ESTIMATIVA[[#This Row],[CD_UPNIVEL3]]),"")</f>
        <v>45565</v>
      </c>
      <c r="AJ994" s="1">
        <f>IF(ESTIMATIVA[[#This Row],[TP_CULTIVO]]&lt;&gt;"Irrigado",0,AVERAGEIFS(IRRIGADO!G:G,IRRIGADO!C:C,ESTIMATIVA[[#This Row],[CD_UPNIVEL1]],IRRIGADO!E:E,ESTIMATIVA[[#This Row],[CD_UPNIVEL3]])*ESTIMATIVA[[#This Row],[QT_AREA_REAL]])</f>
        <v>1794</v>
      </c>
      <c r="AK994" s="1">
        <f>COUNTIFS(Apresentação!$E$23:$E$29,ESTIMATIVA[[#This Row],[CD_UPNIVEL1]])</f>
        <v>0</v>
      </c>
    </row>
    <row r="995" spans="1:37" x14ac:dyDescent="0.3">
      <c r="A995">
        <v>20463</v>
      </c>
      <c r="B995" t="s">
        <v>143</v>
      </c>
      <c r="C995">
        <v>5</v>
      </c>
      <c r="D995">
        <v>2</v>
      </c>
      <c r="E995" t="s">
        <v>266</v>
      </c>
      <c r="F995" s="85" t="s">
        <v>331</v>
      </c>
      <c r="G995"/>
      <c r="H995" t="s">
        <v>294</v>
      </c>
      <c r="I995" t="s">
        <v>207</v>
      </c>
      <c r="J995" t="s">
        <v>176</v>
      </c>
      <c r="K995" s="1">
        <v>23.56</v>
      </c>
      <c r="L995" s="1">
        <v>23.56</v>
      </c>
      <c r="M995" s="1">
        <v>23.56</v>
      </c>
      <c r="N995" s="1">
        <v>23.56</v>
      </c>
      <c r="O995" s="1">
        <v>2002.6</v>
      </c>
      <c r="P995" s="1">
        <v>1649.2</v>
      </c>
      <c r="Q995" s="1">
        <v>1649.2</v>
      </c>
      <c r="R995" s="1">
        <v>2061.94</v>
      </c>
      <c r="S995" t="s">
        <v>12</v>
      </c>
      <c r="T995" s="13">
        <v>45935</v>
      </c>
      <c r="U995" s="1" t="str">
        <f>IF(ESTIMATIVA[[#This Row],[QT_AREA_REAL]]&gt;0,"1- Colhido","2- à Colher")</f>
        <v>1- Colhido</v>
      </c>
      <c r="V995" s="1" t="str">
        <f>IF(ESTIMATIVA[[#This Row],[QT_AREA_REST1]]&gt;0,"Reestimativa 1",IF(ESTIMATIVA[[#This Row],[QT_AREA_REAL]]=0,"Reestimativa 1","Realizado"))</f>
        <v>Reestimativa 1</v>
      </c>
      <c r="W995" s="1" t="str">
        <f>IF(ESTIMATIVA[[#This Row],[QT_AREA_REST2]]&gt;0,"Reestimativa 2",IF(ESTIMATIVA[[#This Row],[QT_AREA_REAL]]=0,"Reestimativa 2","Realizado"))</f>
        <v>Reestimativa 2</v>
      </c>
      <c r="X995" s="1">
        <f>ESTIMATIVA[[#This Row],[QT_AREA_EST]]</f>
        <v>23.56</v>
      </c>
      <c r="Y995" s="1">
        <f>IF(ESTIMATIVA[[#This Row],[QT_AREA_REST1]]&gt;0,ESTIMATIVA[[#This Row],[QT_AREA_REST1]],
  IF(ESTIMATIVA[[#This Row],[QT_AREA_REAL]]&gt;0,ESTIMATIVA[[#This Row],[QT_AREA_REAL]],ESTIMATIVA[[#This Row],[QT_AREA_EST]]))</f>
        <v>23.56</v>
      </c>
      <c r="Z99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23.56</v>
      </c>
      <c r="AA995" s="1">
        <f>ESTIMATIVA[[#This Row],[QT_CANA_EST]]</f>
        <v>2002.6</v>
      </c>
      <c r="AB995" s="1">
        <f>IF(ESTIMATIVA[[#This Row],[QT_CANA_REST1]]&gt;0,ESTIMATIVA[[#This Row],[QT_CANA_REST1]],
  IF(ESTIMATIVA[[#This Row],[QT_CANA_REAL]]&gt;0,ESTIMATIVA[[#This Row],[QT_CANA_REAL]],ESTIMATIVA[[#This Row],[QT_CANA_EST]]))</f>
        <v>1649.2</v>
      </c>
      <c r="AC99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1649.2</v>
      </c>
      <c r="AD995" s="1">
        <f>IF(ESTIMATIVA[[#This Row],[QT_AREA_REAL]]&gt;0,ESTIMATIVA[[#This Row],[QT_CANA_REAL]],ESTIMATIVA[[#This Row],[QT_CANA_EST]])</f>
        <v>2061.94</v>
      </c>
      <c r="AE995" s="1">
        <f>IF(ESTIMATIVA[[#This Row],[QT_AREA_REAL]]&gt;0,ESTIMATIVA[[#This Row],[QT_CANA_REAL]],ESTIMATIVA[[#This Row],[QT_CANA_REST1]])</f>
        <v>2061.94</v>
      </c>
      <c r="AF995" s="1">
        <f>IF(ESTIMATIVA[[#This Row],[QT_AREA_REAL]]&gt;0,ESTIMATIVA[[#This Row],[QT_CANA_REAL]],ESTIMATIVA[[#This Row],[QT_CANA_REST2]])</f>
        <v>2061.94</v>
      </c>
      <c r="AG995" s="1" t="str">
        <f>IF(COUNTIFS(GEADA!A:A,VALUE(ESTIMATIVA[[#This Row],[CD_UPNIVEL1]]&amp;TEXT(ESTIMATIVA[[#This Row],[CD_UPNIVEL3]],"0000")))&gt;0,"S","N")</f>
        <v>S</v>
      </c>
      <c r="AH99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95" s="55" t="str">
        <f>IF(ESTIMATIVA[[#This Row],[TP_CULTIVO]]="Irrigado",_xlfn.MAXIFS(IRRIGADO!J:J,IRRIGADO!C:C,ESTIMATIVA[[#This Row],[CD_UPNIVEL1]],IRRIGADO!E:E,ESTIMATIVA[[#This Row],[CD_UPNIVEL3]]),"")</f>
        <v/>
      </c>
      <c r="AJ99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95" s="1">
        <f>COUNTIFS(Apresentação!$E$23:$E$29,ESTIMATIVA[[#This Row],[CD_UPNIVEL1]])</f>
        <v>0</v>
      </c>
    </row>
    <row r="996" spans="1:37" x14ac:dyDescent="0.3">
      <c r="A996">
        <v>20463</v>
      </c>
      <c r="B996" t="s">
        <v>143</v>
      </c>
      <c r="C996">
        <v>6</v>
      </c>
      <c r="D996">
        <v>2</v>
      </c>
      <c r="E996" t="s">
        <v>266</v>
      </c>
      <c r="F996" s="85" t="s">
        <v>331</v>
      </c>
      <c r="G996"/>
      <c r="H996" t="s">
        <v>294</v>
      </c>
      <c r="I996" t="s">
        <v>207</v>
      </c>
      <c r="J996" t="s">
        <v>176</v>
      </c>
      <c r="K996" s="1">
        <v>9.15</v>
      </c>
      <c r="L996" s="1">
        <v>9.15</v>
      </c>
      <c r="M996" s="1">
        <v>9.15</v>
      </c>
      <c r="N996" s="1">
        <v>9.15</v>
      </c>
      <c r="O996" s="1">
        <v>777.75</v>
      </c>
      <c r="P996" s="1">
        <v>777.75</v>
      </c>
      <c r="Q996" s="1">
        <v>732</v>
      </c>
      <c r="R996" s="1">
        <v>627.49</v>
      </c>
      <c r="S996" t="s">
        <v>12</v>
      </c>
      <c r="T996" s="13">
        <v>45956</v>
      </c>
      <c r="U996" s="1" t="str">
        <f>IF(ESTIMATIVA[[#This Row],[QT_AREA_REAL]]&gt;0,"1- Colhido","2- à Colher")</f>
        <v>1- Colhido</v>
      </c>
      <c r="V996" s="1" t="str">
        <f>IF(ESTIMATIVA[[#This Row],[QT_AREA_REST1]]&gt;0,"Reestimativa 1",IF(ESTIMATIVA[[#This Row],[QT_AREA_REAL]]=0,"Reestimativa 1","Realizado"))</f>
        <v>Reestimativa 1</v>
      </c>
      <c r="W996" s="1" t="str">
        <f>IF(ESTIMATIVA[[#This Row],[QT_AREA_REST2]]&gt;0,"Reestimativa 2",IF(ESTIMATIVA[[#This Row],[QT_AREA_REAL]]=0,"Reestimativa 2","Realizado"))</f>
        <v>Reestimativa 2</v>
      </c>
      <c r="X996" s="1">
        <f>ESTIMATIVA[[#This Row],[QT_AREA_EST]]</f>
        <v>9.15</v>
      </c>
      <c r="Y996" s="1">
        <f>IF(ESTIMATIVA[[#This Row],[QT_AREA_REST1]]&gt;0,ESTIMATIVA[[#This Row],[QT_AREA_REST1]],
  IF(ESTIMATIVA[[#This Row],[QT_AREA_REAL]]&gt;0,ESTIMATIVA[[#This Row],[QT_AREA_REAL]],ESTIMATIVA[[#This Row],[QT_AREA_EST]]))</f>
        <v>9.15</v>
      </c>
      <c r="Z99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9.15</v>
      </c>
      <c r="AA996" s="1">
        <f>ESTIMATIVA[[#This Row],[QT_CANA_EST]]</f>
        <v>777.75</v>
      </c>
      <c r="AB996" s="1">
        <f>IF(ESTIMATIVA[[#This Row],[QT_CANA_REST1]]&gt;0,ESTIMATIVA[[#This Row],[QT_CANA_REST1]],
  IF(ESTIMATIVA[[#This Row],[QT_CANA_REAL]]&gt;0,ESTIMATIVA[[#This Row],[QT_CANA_REAL]],ESTIMATIVA[[#This Row],[QT_CANA_EST]]))</f>
        <v>777.75</v>
      </c>
      <c r="AC99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732</v>
      </c>
      <c r="AD996" s="1">
        <f>IF(ESTIMATIVA[[#This Row],[QT_AREA_REAL]]&gt;0,ESTIMATIVA[[#This Row],[QT_CANA_REAL]],ESTIMATIVA[[#This Row],[QT_CANA_EST]])</f>
        <v>627.49</v>
      </c>
      <c r="AE996" s="1">
        <f>IF(ESTIMATIVA[[#This Row],[QT_AREA_REAL]]&gt;0,ESTIMATIVA[[#This Row],[QT_CANA_REAL]],ESTIMATIVA[[#This Row],[QT_CANA_REST1]])</f>
        <v>627.49</v>
      </c>
      <c r="AF996" s="1">
        <f>IF(ESTIMATIVA[[#This Row],[QT_AREA_REAL]]&gt;0,ESTIMATIVA[[#This Row],[QT_CANA_REAL]],ESTIMATIVA[[#This Row],[QT_CANA_REST2]])</f>
        <v>627.49</v>
      </c>
      <c r="AG996" s="1" t="str">
        <f>IF(COUNTIFS(GEADA!A:A,VALUE(ESTIMATIVA[[#This Row],[CD_UPNIVEL1]]&amp;TEXT(ESTIMATIVA[[#This Row],[CD_UPNIVEL3]],"0000")))&gt;0,"S","N")</f>
        <v>N</v>
      </c>
      <c r="AH99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96" s="55" t="str">
        <f>IF(ESTIMATIVA[[#This Row],[TP_CULTIVO]]="Irrigado",_xlfn.MAXIFS(IRRIGADO!J:J,IRRIGADO!C:C,ESTIMATIVA[[#This Row],[CD_UPNIVEL1]],IRRIGADO!E:E,ESTIMATIVA[[#This Row],[CD_UPNIVEL3]]),"")</f>
        <v/>
      </c>
      <c r="AJ99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96" s="1">
        <f>COUNTIFS(Apresentação!$E$23:$E$29,ESTIMATIVA[[#This Row],[CD_UPNIVEL1]])</f>
        <v>0</v>
      </c>
    </row>
    <row r="997" spans="1:37" x14ac:dyDescent="0.3">
      <c r="A997">
        <v>20464</v>
      </c>
      <c r="B997" t="s">
        <v>144</v>
      </c>
      <c r="C997">
        <v>1</v>
      </c>
      <c r="D997">
        <v>6</v>
      </c>
      <c r="E997" t="s">
        <v>261</v>
      </c>
      <c r="F997" s="85" t="s">
        <v>331</v>
      </c>
      <c r="G997"/>
      <c r="H997" t="s">
        <v>294</v>
      </c>
      <c r="I997" t="s">
        <v>194</v>
      </c>
      <c r="J997" t="s">
        <v>176</v>
      </c>
      <c r="K997" s="1">
        <v>14.24</v>
      </c>
      <c r="L997" s="1">
        <v>14.24</v>
      </c>
      <c r="M997" s="1">
        <v>14.24</v>
      </c>
      <c r="N997" s="1">
        <v>14.24</v>
      </c>
      <c r="O997" s="1">
        <v>341.76</v>
      </c>
      <c r="P997" s="1">
        <v>284.8</v>
      </c>
      <c r="Q997" s="1">
        <v>256.32</v>
      </c>
      <c r="R997" s="1">
        <v>311.36</v>
      </c>
      <c r="S997" t="s">
        <v>12</v>
      </c>
      <c r="T997" s="13">
        <v>45977</v>
      </c>
      <c r="U997" s="1" t="str">
        <f>IF(ESTIMATIVA[[#This Row],[QT_AREA_REAL]]&gt;0,"1- Colhido","2- à Colher")</f>
        <v>1- Colhido</v>
      </c>
      <c r="V997" s="1" t="str">
        <f>IF(ESTIMATIVA[[#This Row],[QT_AREA_REST1]]&gt;0,"Reestimativa 1",IF(ESTIMATIVA[[#This Row],[QT_AREA_REAL]]=0,"Reestimativa 1","Realizado"))</f>
        <v>Reestimativa 1</v>
      </c>
      <c r="W997" s="1" t="str">
        <f>IF(ESTIMATIVA[[#This Row],[QT_AREA_REST2]]&gt;0,"Reestimativa 2",IF(ESTIMATIVA[[#This Row],[QT_AREA_REAL]]=0,"Reestimativa 2","Realizado"))</f>
        <v>Reestimativa 2</v>
      </c>
      <c r="X997" s="1">
        <f>ESTIMATIVA[[#This Row],[QT_AREA_EST]]</f>
        <v>14.24</v>
      </c>
      <c r="Y997" s="1">
        <f>IF(ESTIMATIVA[[#This Row],[QT_AREA_REST1]]&gt;0,ESTIMATIVA[[#This Row],[QT_AREA_REST1]],
  IF(ESTIMATIVA[[#This Row],[QT_AREA_REAL]]&gt;0,ESTIMATIVA[[#This Row],[QT_AREA_REAL]],ESTIMATIVA[[#This Row],[QT_AREA_EST]]))</f>
        <v>14.24</v>
      </c>
      <c r="Z99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14.24</v>
      </c>
      <c r="AA997" s="1">
        <f>ESTIMATIVA[[#This Row],[QT_CANA_EST]]</f>
        <v>341.76</v>
      </c>
      <c r="AB997" s="1">
        <f>IF(ESTIMATIVA[[#This Row],[QT_CANA_REST1]]&gt;0,ESTIMATIVA[[#This Row],[QT_CANA_REST1]],
  IF(ESTIMATIVA[[#This Row],[QT_CANA_REAL]]&gt;0,ESTIMATIVA[[#This Row],[QT_CANA_REAL]],ESTIMATIVA[[#This Row],[QT_CANA_EST]]))</f>
        <v>284.8</v>
      </c>
      <c r="AC99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256.32</v>
      </c>
      <c r="AD997" s="1">
        <f>IF(ESTIMATIVA[[#This Row],[QT_AREA_REAL]]&gt;0,ESTIMATIVA[[#This Row],[QT_CANA_REAL]],ESTIMATIVA[[#This Row],[QT_CANA_EST]])</f>
        <v>311.36</v>
      </c>
      <c r="AE997" s="1">
        <f>IF(ESTIMATIVA[[#This Row],[QT_AREA_REAL]]&gt;0,ESTIMATIVA[[#This Row],[QT_CANA_REAL]],ESTIMATIVA[[#This Row],[QT_CANA_REST1]])</f>
        <v>311.36</v>
      </c>
      <c r="AF997" s="1">
        <f>IF(ESTIMATIVA[[#This Row],[QT_AREA_REAL]]&gt;0,ESTIMATIVA[[#This Row],[QT_CANA_REAL]],ESTIMATIVA[[#This Row],[QT_CANA_REST2]])</f>
        <v>311.36</v>
      </c>
      <c r="AG997" s="1" t="str">
        <f>IF(COUNTIFS(GEADA!A:A,VALUE(ESTIMATIVA[[#This Row],[CD_UPNIVEL1]]&amp;TEXT(ESTIMATIVA[[#This Row],[CD_UPNIVEL3]],"0000")))&gt;0,"S","N")</f>
        <v>S</v>
      </c>
      <c r="AH99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997" s="55" t="str">
        <f>IF(ESTIMATIVA[[#This Row],[TP_CULTIVO]]="Irrigado",_xlfn.MAXIFS(IRRIGADO!J:J,IRRIGADO!C:C,ESTIMATIVA[[#This Row],[CD_UPNIVEL1]],IRRIGADO!E:E,ESTIMATIVA[[#This Row],[CD_UPNIVEL3]]),"")</f>
        <v/>
      </c>
      <c r="AJ99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997" s="1">
        <f>COUNTIFS(Apresentação!$E$23:$E$29,ESTIMATIVA[[#This Row],[CD_UPNIVEL1]])</f>
        <v>0</v>
      </c>
    </row>
    <row r="998" spans="1:37" x14ac:dyDescent="0.3">
      <c r="A998">
        <v>20465</v>
      </c>
      <c r="B998" t="s">
        <v>145</v>
      </c>
      <c r="C998">
        <v>1</v>
      </c>
      <c r="D998">
        <v>4</v>
      </c>
      <c r="E998" t="s">
        <v>265</v>
      </c>
      <c r="F998" s="85" t="s">
        <v>331</v>
      </c>
      <c r="G998"/>
      <c r="H998" t="s">
        <v>295</v>
      </c>
      <c r="I998" t="s">
        <v>212</v>
      </c>
      <c r="J998" t="s">
        <v>176</v>
      </c>
      <c r="K998" s="1">
        <v>23.79</v>
      </c>
      <c r="L998" s="1">
        <v>23.79</v>
      </c>
      <c r="M998" s="1">
        <v>23.79</v>
      </c>
      <c r="N998" s="1">
        <v>23.79</v>
      </c>
      <c r="O998" s="1">
        <v>1617.72</v>
      </c>
      <c r="P998" s="1">
        <v>1617.72</v>
      </c>
      <c r="Q998" s="1">
        <v>1570.14</v>
      </c>
      <c r="R998" s="1">
        <v>1621.83</v>
      </c>
      <c r="S998" t="s">
        <v>12</v>
      </c>
      <c r="T998" s="13">
        <v>45935</v>
      </c>
      <c r="U998" s="1" t="str">
        <f>IF(ESTIMATIVA[[#This Row],[QT_AREA_REAL]]&gt;0,"1- Colhido","2- à Colher")</f>
        <v>1- Colhido</v>
      </c>
      <c r="V998" s="1" t="str">
        <f>IF(ESTIMATIVA[[#This Row],[QT_AREA_REST1]]&gt;0,"Reestimativa 1",IF(ESTIMATIVA[[#This Row],[QT_AREA_REAL]]=0,"Reestimativa 1","Realizado"))</f>
        <v>Reestimativa 1</v>
      </c>
      <c r="W998" s="1" t="str">
        <f>IF(ESTIMATIVA[[#This Row],[QT_AREA_REST2]]&gt;0,"Reestimativa 2",IF(ESTIMATIVA[[#This Row],[QT_AREA_REAL]]=0,"Reestimativa 2","Realizado"))</f>
        <v>Reestimativa 2</v>
      </c>
      <c r="X998" s="1">
        <f>ESTIMATIVA[[#This Row],[QT_AREA_EST]]</f>
        <v>23.79</v>
      </c>
      <c r="Y998" s="1">
        <f>IF(ESTIMATIVA[[#This Row],[QT_AREA_REST1]]&gt;0,ESTIMATIVA[[#This Row],[QT_AREA_REST1]],
  IF(ESTIMATIVA[[#This Row],[QT_AREA_REAL]]&gt;0,ESTIMATIVA[[#This Row],[QT_AREA_REAL]],ESTIMATIVA[[#This Row],[QT_AREA_EST]]))</f>
        <v>23.79</v>
      </c>
      <c r="Z99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23.79</v>
      </c>
      <c r="AA998" s="1">
        <f>ESTIMATIVA[[#This Row],[QT_CANA_EST]]</f>
        <v>1617.72</v>
      </c>
      <c r="AB998" s="1">
        <f>IF(ESTIMATIVA[[#This Row],[QT_CANA_REST1]]&gt;0,ESTIMATIVA[[#This Row],[QT_CANA_REST1]],
  IF(ESTIMATIVA[[#This Row],[QT_CANA_REAL]]&gt;0,ESTIMATIVA[[#This Row],[QT_CANA_REAL]],ESTIMATIVA[[#This Row],[QT_CANA_EST]]))</f>
        <v>1617.72</v>
      </c>
      <c r="AC99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1570.14</v>
      </c>
      <c r="AD998" s="1">
        <f>IF(ESTIMATIVA[[#This Row],[QT_AREA_REAL]]&gt;0,ESTIMATIVA[[#This Row],[QT_CANA_REAL]],ESTIMATIVA[[#This Row],[QT_CANA_EST]])</f>
        <v>1621.83</v>
      </c>
      <c r="AE998" s="1">
        <f>IF(ESTIMATIVA[[#This Row],[QT_AREA_REAL]]&gt;0,ESTIMATIVA[[#This Row],[QT_CANA_REAL]],ESTIMATIVA[[#This Row],[QT_CANA_REST1]])</f>
        <v>1621.83</v>
      </c>
      <c r="AF998" s="1">
        <f>IF(ESTIMATIVA[[#This Row],[QT_AREA_REAL]]&gt;0,ESTIMATIVA[[#This Row],[QT_CANA_REAL]],ESTIMATIVA[[#This Row],[QT_CANA_REST2]])</f>
        <v>1621.83</v>
      </c>
      <c r="AG998" s="1" t="str">
        <f>IF(COUNTIFS(GEADA!A:A,VALUE(ESTIMATIVA[[#This Row],[CD_UPNIVEL1]]&amp;TEXT(ESTIMATIVA[[#This Row],[CD_UPNIVEL3]],"0000")))&gt;0,"S","N")</f>
        <v>N</v>
      </c>
      <c r="AH998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998" s="55">
        <f>IF(ESTIMATIVA[[#This Row],[TP_CULTIVO]]="Irrigado",_xlfn.MAXIFS(IRRIGADO!J:J,IRRIGADO!C:C,ESTIMATIVA[[#This Row],[CD_UPNIVEL1]],IRRIGADO!E:E,ESTIMATIVA[[#This Row],[CD_UPNIVEL3]]),"")</f>
        <v>45626</v>
      </c>
      <c r="AJ998" s="1">
        <f>IF(ESTIMATIVA[[#This Row],[TP_CULTIVO]]&lt;&gt;"Irrigado",0,AVERAGEIFS(IRRIGADO!G:G,IRRIGADO!C:C,ESTIMATIVA[[#This Row],[CD_UPNIVEL1]],IRRIGADO!E:E,ESTIMATIVA[[#This Row],[CD_UPNIVEL3]])*ESTIMATIVA[[#This Row],[QT_AREA_REAL]])</f>
        <v>475.79999999999995</v>
      </c>
      <c r="AK998" s="1">
        <f>COUNTIFS(Apresentação!$E$23:$E$29,ESTIMATIVA[[#This Row],[CD_UPNIVEL1]])</f>
        <v>0</v>
      </c>
    </row>
    <row r="999" spans="1:37" x14ac:dyDescent="0.3">
      <c r="A999">
        <v>20465</v>
      </c>
      <c r="B999" t="s">
        <v>145</v>
      </c>
      <c r="C999">
        <v>2</v>
      </c>
      <c r="D999">
        <v>5</v>
      </c>
      <c r="E999" t="s">
        <v>268</v>
      </c>
      <c r="F999" s="85" t="s">
        <v>331</v>
      </c>
      <c r="G999"/>
      <c r="H999" t="s">
        <v>295</v>
      </c>
      <c r="I999" t="s">
        <v>205</v>
      </c>
      <c r="J999" t="s">
        <v>176</v>
      </c>
      <c r="K999" s="1">
        <v>7.02</v>
      </c>
      <c r="L999" s="1">
        <v>7.02</v>
      </c>
      <c r="M999" s="1">
        <v>7.02</v>
      </c>
      <c r="N999" s="1">
        <v>7.02</v>
      </c>
      <c r="O999" s="1">
        <v>477.36</v>
      </c>
      <c r="P999" s="1">
        <v>477.36</v>
      </c>
      <c r="Q999" s="1">
        <v>463.32</v>
      </c>
      <c r="R999" s="1">
        <v>478.2</v>
      </c>
      <c r="S999" t="s">
        <v>12</v>
      </c>
      <c r="T999" s="13">
        <v>45935</v>
      </c>
      <c r="U999" s="1" t="str">
        <f>IF(ESTIMATIVA[[#This Row],[QT_AREA_REAL]]&gt;0,"1- Colhido","2- à Colher")</f>
        <v>1- Colhido</v>
      </c>
      <c r="V999" s="1" t="str">
        <f>IF(ESTIMATIVA[[#This Row],[QT_AREA_REST1]]&gt;0,"Reestimativa 1",IF(ESTIMATIVA[[#This Row],[QT_AREA_REAL]]=0,"Reestimativa 1","Realizado"))</f>
        <v>Reestimativa 1</v>
      </c>
      <c r="W999" s="1" t="str">
        <f>IF(ESTIMATIVA[[#This Row],[QT_AREA_REST2]]&gt;0,"Reestimativa 2",IF(ESTIMATIVA[[#This Row],[QT_AREA_REAL]]=0,"Reestimativa 2","Realizado"))</f>
        <v>Reestimativa 2</v>
      </c>
      <c r="X999" s="1">
        <f>ESTIMATIVA[[#This Row],[QT_AREA_EST]]</f>
        <v>7.02</v>
      </c>
      <c r="Y999" s="1">
        <f>IF(ESTIMATIVA[[#This Row],[QT_AREA_REST1]]&gt;0,ESTIMATIVA[[#This Row],[QT_AREA_REST1]],
  IF(ESTIMATIVA[[#This Row],[QT_AREA_REAL]]&gt;0,ESTIMATIVA[[#This Row],[QT_AREA_REAL]],ESTIMATIVA[[#This Row],[QT_AREA_EST]]))</f>
        <v>7.02</v>
      </c>
      <c r="Z99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7.02</v>
      </c>
      <c r="AA999" s="1">
        <f>ESTIMATIVA[[#This Row],[QT_CANA_EST]]</f>
        <v>477.36</v>
      </c>
      <c r="AB999" s="1">
        <f>IF(ESTIMATIVA[[#This Row],[QT_CANA_REST1]]&gt;0,ESTIMATIVA[[#This Row],[QT_CANA_REST1]],
  IF(ESTIMATIVA[[#This Row],[QT_CANA_REAL]]&gt;0,ESTIMATIVA[[#This Row],[QT_CANA_REAL]],ESTIMATIVA[[#This Row],[QT_CANA_EST]]))</f>
        <v>477.36</v>
      </c>
      <c r="AC99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463.32</v>
      </c>
      <c r="AD999" s="1">
        <f>IF(ESTIMATIVA[[#This Row],[QT_AREA_REAL]]&gt;0,ESTIMATIVA[[#This Row],[QT_CANA_REAL]],ESTIMATIVA[[#This Row],[QT_CANA_EST]])</f>
        <v>478.2</v>
      </c>
      <c r="AE999" s="1">
        <f>IF(ESTIMATIVA[[#This Row],[QT_AREA_REAL]]&gt;0,ESTIMATIVA[[#This Row],[QT_CANA_REAL]],ESTIMATIVA[[#This Row],[QT_CANA_REST1]])</f>
        <v>478.2</v>
      </c>
      <c r="AF999" s="1">
        <f>IF(ESTIMATIVA[[#This Row],[QT_AREA_REAL]]&gt;0,ESTIMATIVA[[#This Row],[QT_CANA_REAL]],ESTIMATIVA[[#This Row],[QT_CANA_REST2]])</f>
        <v>478.2</v>
      </c>
      <c r="AG999" s="1" t="str">
        <f>IF(COUNTIFS(GEADA!A:A,VALUE(ESTIMATIVA[[#This Row],[CD_UPNIVEL1]]&amp;TEXT(ESTIMATIVA[[#This Row],[CD_UPNIVEL3]],"0000")))&gt;0,"S","N")</f>
        <v>N</v>
      </c>
      <c r="AH999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999" s="55">
        <f>IF(ESTIMATIVA[[#This Row],[TP_CULTIVO]]="Irrigado",_xlfn.MAXIFS(IRRIGADO!J:J,IRRIGADO!C:C,ESTIMATIVA[[#This Row],[CD_UPNIVEL1]],IRRIGADO!E:E,ESTIMATIVA[[#This Row],[CD_UPNIVEL3]]),"")</f>
        <v>45626</v>
      </c>
      <c r="AJ999" s="1">
        <f>IF(ESTIMATIVA[[#This Row],[TP_CULTIVO]]&lt;&gt;"Irrigado",0,AVERAGEIFS(IRRIGADO!G:G,IRRIGADO!C:C,ESTIMATIVA[[#This Row],[CD_UPNIVEL1]],IRRIGADO!E:E,ESTIMATIVA[[#This Row],[CD_UPNIVEL3]])*ESTIMATIVA[[#This Row],[QT_AREA_REAL]])</f>
        <v>140.39999999999998</v>
      </c>
      <c r="AK999" s="1">
        <f>COUNTIFS(Apresentação!$E$23:$E$29,ESTIMATIVA[[#This Row],[CD_UPNIVEL1]])</f>
        <v>0</v>
      </c>
    </row>
    <row r="1000" spans="1:37" x14ac:dyDescent="0.3">
      <c r="A1000">
        <v>20465</v>
      </c>
      <c r="B1000" t="s">
        <v>145</v>
      </c>
      <c r="C1000">
        <v>3</v>
      </c>
      <c r="D1000">
        <v>4</v>
      </c>
      <c r="E1000" t="s">
        <v>265</v>
      </c>
      <c r="F1000" s="85" t="s">
        <v>331</v>
      </c>
      <c r="G1000"/>
      <c r="H1000" t="s">
        <v>295</v>
      </c>
      <c r="I1000" t="s">
        <v>212</v>
      </c>
      <c r="J1000" t="s">
        <v>176</v>
      </c>
      <c r="K1000" s="1">
        <v>40.049999999999997</v>
      </c>
      <c r="L1000" s="1">
        <v>40.049999999999997</v>
      </c>
      <c r="M1000" s="1">
        <v>40.049999999999997</v>
      </c>
      <c r="N1000" s="1">
        <v>40.049999999999997</v>
      </c>
      <c r="O1000" s="1">
        <v>2723.4</v>
      </c>
      <c r="P1000" s="1">
        <v>2723.4</v>
      </c>
      <c r="Q1000" s="1">
        <v>2643.3</v>
      </c>
      <c r="R1000" s="1">
        <v>2730.34</v>
      </c>
      <c r="S1000" t="s">
        <v>12</v>
      </c>
      <c r="T1000" s="13">
        <v>45935</v>
      </c>
      <c r="U1000" s="1" t="str">
        <f>IF(ESTIMATIVA[[#This Row],[QT_AREA_REAL]]&gt;0,"1- Colhido","2- à Colher")</f>
        <v>1- Colhido</v>
      </c>
      <c r="V1000" s="1" t="str">
        <f>IF(ESTIMATIVA[[#This Row],[QT_AREA_REST1]]&gt;0,"Reestimativa 1",IF(ESTIMATIVA[[#This Row],[QT_AREA_REAL]]=0,"Reestimativa 1","Realizado"))</f>
        <v>Reestimativa 1</v>
      </c>
      <c r="W1000" s="1" t="str">
        <f>IF(ESTIMATIVA[[#This Row],[QT_AREA_REST2]]&gt;0,"Reestimativa 2",IF(ESTIMATIVA[[#This Row],[QT_AREA_REAL]]=0,"Reestimativa 2","Realizado"))</f>
        <v>Reestimativa 2</v>
      </c>
      <c r="X1000" s="1">
        <f>ESTIMATIVA[[#This Row],[QT_AREA_EST]]</f>
        <v>40.049999999999997</v>
      </c>
      <c r="Y1000" s="1">
        <f>IF(ESTIMATIVA[[#This Row],[QT_AREA_REST1]]&gt;0,ESTIMATIVA[[#This Row],[QT_AREA_REST1]],
  IF(ESTIMATIVA[[#This Row],[QT_AREA_REAL]]&gt;0,ESTIMATIVA[[#This Row],[QT_AREA_REAL]],ESTIMATIVA[[#This Row],[QT_AREA_EST]]))</f>
        <v>40.049999999999997</v>
      </c>
      <c r="Z100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40.049999999999997</v>
      </c>
      <c r="AA1000" s="1">
        <f>ESTIMATIVA[[#This Row],[QT_CANA_EST]]</f>
        <v>2723.4</v>
      </c>
      <c r="AB1000" s="1">
        <f>IF(ESTIMATIVA[[#This Row],[QT_CANA_REST1]]&gt;0,ESTIMATIVA[[#This Row],[QT_CANA_REST1]],
  IF(ESTIMATIVA[[#This Row],[QT_CANA_REAL]]&gt;0,ESTIMATIVA[[#This Row],[QT_CANA_REAL]],ESTIMATIVA[[#This Row],[QT_CANA_EST]]))</f>
        <v>2723.4</v>
      </c>
      <c r="AC100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2643.3</v>
      </c>
      <c r="AD1000" s="1">
        <f>IF(ESTIMATIVA[[#This Row],[QT_AREA_REAL]]&gt;0,ESTIMATIVA[[#This Row],[QT_CANA_REAL]],ESTIMATIVA[[#This Row],[QT_CANA_EST]])</f>
        <v>2730.34</v>
      </c>
      <c r="AE1000" s="1">
        <f>IF(ESTIMATIVA[[#This Row],[QT_AREA_REAL]]&gt;0,ESTIMATIVA[[#This Row],[QT_CANA_REAL]],ESTIMATIVA[[#This Row],[QT_CANA_REST1]])</f>
        <v>2730.34</v>
      </c>
      <c r="AF1000" s="1">
        <f>IF(ESTIMATIVA[[#This Row],[QT_AREA_REAL]]&gt;0,ESTIMATIVA[[#This Row],[QT_CANA_REAL]],ESTIMATIVA[[#This Row],[QT_CANA_REST2]])</f>
        <v>2730.34</v>
      </c>
      <c r="AG1000" s="1" t="str">
        <f>IF(COUNTIFS(GEADA!A:A,VALUE(ESTIMATIVA[[#This Row],[CD_UPNIVEL1]]&amp;TEXT(ESTIMATIVA[[#This Row],[CD_UPNIVEL3]],"0000")))&gt;0,"S","N")</f>
        <v>N</v>
      </c>
      <c r="AH1000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000" s="55">
        <f>IF(ESTIMATIVA[[#This Row],[TP_CULTIVO]]="Irrigado",_xlfn.MAXIFS(IRRIGADO!J:J,IRRIGADO!C:C,ESTIMATIVA[[#This Row],[CD_UPNIVEL1]],IRRIGADO!E:E,ESTIMATIVA[[#This Row],[CD_UPNIVEL3]]),"")</f>
        <v>45626</v>
      </c>
      <c r="AJ1000" s="1">
        <f>IF(ESTIMATIVA[[#This Row],[TP_CULTIVO]]&lt;&gt;"Irrigado",0,AVERAGEIFS(IRRIGADO!G:G,IRRIGADO!C:C,ESTIMATIVA[[#This Row],[CD_UPNIVEL1]],IRRIGADO!E:E,ESTIMATIVA[[#This Row],[CD_UPNIVEL3]])*ESTIMATIVA[[#This Row],[QT_AREA_REAL]])</f>
        <v>801</v>
      </c>
      <c r="AK1000" s="1">
        <f>COUNTIFS(Apresentação!$E$23:$E$29,ESTIMATIVA[[#This Row],[CD_UPNIVEL1]])</f>
        <v>0</v>
      </c>
    </row>
    <row r="1001" spans="1:37" x14ac:dyDescent="0.3">
      <c r="A1001">
        <v>20465</v>
      </c>
      <c r="B1001" t="s">
        <v>145</v>
      </c>
      <c r="C1001">
        <v>4</v>
      </c>
      <c r="D1001">
        <v>4</v>
      </c>
      <c r="E1001" t="s">
        <v>265</v>
      </c>
      <c r="F1001" s="85" t="s">
        <v>331</v>
      </c>
      <c r="G1001"/>
      <c r="H1001" t="s">
        <v>295</v>
      </c>
      <c r="I1001" t="s">
        <v>212</v>
      </c>
      <c r="J1001" t="s">
        <v>176</v>
      </c>
      <c r="K1001" s="1">
        <v>42.74</v>
      </c>
      <c r="L1001" s="1">
        <v>42.74</v>
      </c>
      <c r="M1001" s="1">
        <v>42.74</v>
      </c>
      <c r="N1001" s="1">
        <v>42.74</v>
      </c>
      <c r="O1001" s="1">
        <v>2906.32</v>
      </c>
      <c r="P1001" s="1">
        <v>2906.32</v>
      </c>
      <c r="Q1001" s="1">
        <v>2820.84</v>
      </c>
      <c r="R1001" s="1">
        <v>2817.34</v>
      </c>
      <c r="S1001" t="s">
        <v>12</v>
      </c>
      <c r="T1001" s="13">
        <v>45935</v>
      </c>
      <c r="U1001" s="1" t="str">
        <f>IF(ESTIMATIVA[[#This Row],[QT_AREA_REAL]]&gt;0,"1- Colhido","2- à Colher")</f>
        <v>1- Colhido</v>
      </c>
      <c r="V1001" s="1" t="str">
        <f>IF(ESTIMATIVA[[#This Row],[QT_AREA_REST1]]&gt;0,"Reestimativa 1",IF(ESTIMATIVA[[#This Row],[QT_AREA_REAL]]=0,"Reestimativa 1","Realizado"))</f>
        <v>Reestimativa 1</v>
      </c>
      <c r="W1001" s="1" t="str">
        <f>IF(ESTIMATIVA[[#This Row],[QT_AREA_REST2]]&gt;0,"Reestimativa 2",IF(ESTIMATIVA[[#This Row],[QT_AREA_REAL]]=0,"Reestimativa 2","Realizado"))</f>
        <v>Reestimativa 2</v>
      </c>
      <c r="X1001" s="1">
        <f>ESTIMATIVA[[#This Row],[QT_AREA_EST]]</f>
        <v>42.74</v>
      </c>
      <c r="Y1001" s="1">
        <f>IF(ESTIMATIVA[[#This Row],[QT_AREA_REST1]]&gt;0,ESTIMATIVA[[#This Row],[QT_AREA_REST1]],
  IF(ESTIMATIVA[[#This Row],[QT_AREA_REAL]]&gt;0,ESTIMATIVA[[#This Row],[QT_AREA_REAL]],ESTIMATIVA[[#This Row],[QT_AREA_EST]]))</f>
        <v>42.74</v>
      </c>
      <c r="Z100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42.74</v>
      </c>
      <c r="AA1001" s="1">
        <f>ESTIMATIVA[[#This Row],[QT_CANA_EST]]</f>
        <v>2906.32</v>
      </c>
      <c r="AB1001" s="1">
        <f>IF(ESTIMATIVA[[#This Row],[QT_CANA_REST1]]&gt;0,ESTIMATIVA[[#This Row],[QT_CANA_REST1]],
  IF(ESTIMATIVA[[#This Row],[QT_CANA_REAL]]&gt;0,ESTIMATIVA[[#This Row],[QT_CANA_REAL]],ESTIMATIVA[[#This Row],[QT_CANA_EST]]))</f>
        <v>2906.32</v>
      </c>
      <c r="AC100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2820.84</v>
      </c>
      <c r="AD1001" s="1">
        <f>IF(ESTIMATIVA[[#This Row],[QT_AREA_REAL]]&gt;0,ESTIMATIVA[[#This Row],[QT_CANA_REAL]],ESTIMATIVA[[#This Row],[QT_CANA_EST]])</f>
        <v>2817.34</v>
      </c>
      <c r="AE1001" s="1">
        <f>IF(ESTIMATIVA[[#This Row],[QT_AREA_REAL]]&gt;0,ESTIMATIVA[[#This Row],[QT_CANA_REAL]],ESTIMATIVA[[#This Row],[QT_CANA_REST1]])</f>
        <v>2817.34</v>
      </c>
      <c r="AF1001" s="1">
        <f>IF(ESTIMATIVA[[#This Row],[QT_AREA_REAL]]&gt;0,ESTIMATIVA[[#This Row],[QT_CANA_REAL]],ESTIMATIVA[[#This Row],[QT_CANA_REST2]])</f>
        <v>2817.34</v>
      </c>
      <c r="AG1001" s="1" t="str">
        <f>IF(COUNTIFS(GEADA!A:A,VALUE(ESTIMATIVA[[#This Row],[CD_UPNIVEL1]]&amp;TEXT(ESTIMATIVA[[#This Row],[CD_UPNIVEL3]],"0000")))&gt;0,"S","N")</f>
        <v>N</v>
      </c>
      <c r="AH1001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001" s="55">
        <f>IF(ESTIMATIVA[[#This Row],[TP_CULTIVO]]="Irrigado",_xlfn.MAXIFS(IRRIGADO!J:J,IRRIGADO!C:C,ESTIMATIVA[[#This Row],[CD_UPNIVEL1]],IRRIGADO!E:E,ESTIMATIVA[[#This Row],[CD_UPNIVEL3]]),"")</f>
        <v>45626</v>
      </c>
      <c r="AJ1001" s="1">
        <f>IF(ESTIMATIVA[[#This Row],[TP_CULTIVO]]&lt;&gt;"Irrigado",0,AVERAGEIFS(IRRIGADO!G:G,IRRIGADO!C:C,ESTIMATIVA[[#This Row],[CD_UPNIVEL1]],IRRIGADO!E:E,ESTIMATIVA[[#This Row],[CD_UPNIVEL3]])*ESTIMATIVA[[#This Row],[QT_AREA_REAL]])</f>
        <v>854.80000000000007</v>
      </c>
      <c r="AK1001" s="1">
        <f>COUNTIFS(Apresentação!$E$23:$E$29,ESTIMATIVA[[#This Row],[CD_UPNIVEL1]])</f>
        <v>0</v>
      </c>
    </row>
    <row r="1002" spans="1:37" x14ac:dyDescent="0.3">
      <c r="A1002">
        <v>20465</v>
      </c>
      <c r="B1002" t="s">
        <v>145</v>
      </c>
      <c r="C1002">
        <v>5</v>
      </c>
      <c r="D1002">
        <v>4</v>
      </c>
      <c r="E1002" t="s">
        <v>265</v>
      </c>
      <c r="F1002" s="85" t="s">
        <v>331</v>
      </c>
      <c r="G1002"/>
      <c r="H1002" t="s">
        <v>295</v>
      </c>
      <c r="I1002" t="s">
        <v>212</v>
      </c>
      <c r="J1002" t="s">
        <v>176</v>
      </c>
      <c r="K1002" s="1">
        <v>18.14</v>
      </c>
      <c r="L1002" s="1">
        <v>18.14</v>
      </c>
      <c r="M1002" s="1">
        <v>18.14</v>
      </c>
      <c r="N1002" s="1">
        <v>18.14</v>
      </c>
      <c r="O1002" s="1">
        <v>1233.52</v>
      </c>
      <c r="P1002" s="1">
        <v>1233.52</v>
      </c>
      <c r="Q1002" s="1">
        <v>1197.24</v>
      </c>
      <c r="R1002" s="1">
        <v>1195.52</v>
      </c>
      <c r="S1002" t="s">
        <v>12</v>
      </c>
      <c r="T1002" s="13">
        <v>45935</v>
      </c>
      <c r="U1002" s="1" t="str">
        <f>IF(ESTIMATIVA[[#This Row],[QT_AREA_REAL]]&gt;0,"1- Colhido","2- à Colher")</f>
        <v>1- Colhido</v>
      </c>
      <c r="V1002" s="1" t="str">
        <f>IF(ESTIMATIVA[[#This Row],[QT_AREA_REST1]]&gt;0,"Reestimativa 1",IF(ESTIMATIVA[[#This Row],[QT_AREA_REAL]]=0,"Reestimativa 1","Realizado"))</f>
        <v>Reestimativa 1</v>
      </c>
      <c r="W1002" s="1" t="str">
        <f>IF(ESTIMATIVA[[#This Row],[QT_AREA_REST2]]&gt;0,"Reestimativa 2",IF(ESTIMATIVA[[#This Row],[QT_AREA_REAL]]=0,"Reestimativa 2","Realizado"))</f>
        <v>Reestimativa 2</v>
      </c>
      <c r="X1002" s="1">
        <f>ESTIMATIVA[[#This Row],[QT_AREA_EST]]</f>
        <v>18.14</v>
      </c>
      <c r="Y1002" s="1">
        <f>IF(ESTIMATIVA[[#This Row],[QT_AREA_REST1]]&gt;0,ESTIMATIVA[[#This Row],[QT_AREA_REST1]],
  IF(ESTIMATIVA[[#This Row],[QT_AREA_REAL]]&gt;0,ESTIMATIVA[[#This Row],[QT_AREA_REAL]],ESTIMATIVA[[#This Row],[QT_AREA_EST]]))</f>
        <v>18.14</v>
      </c>
      <c r="Z100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18.14</v>
      </c>
      <c r="AA1002" s="1">
        <f>ESTIMATIVA[[#This Row],[QT_CANA_EST]]</f>
        <v>1233.52</v>
      </c>
      <c r="AB1002" s="1">
        <f>IF(ESTIMATIVA[[#This Row],[QT_CANA_REST1]]&gt;0,ESTIMATIVA[[#This Row],[QT_CANA_REST1]],
  IF(ESTIMATIVA[[#This Row],[QT_CANA_REAL]]&gt;0,ESTIMATIVA[[#This Row],[QT_CANA_REAL]],ESTIMATIVA[[#This Row],[QT_CANA_EST]]))</f>
        <v>1233.52</v>
      </c>
      <c r="AC100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1197.24</v>
      </c>
      <c r="AD1002" s="1">
        <f>IF(ESTIMATIVA[[#This Row],[QT_AREA_REAL]]&gt;0,ESTIMATIVA[[#This Row],[QT_CANA_REAL]],ESTIMATIVA[[#This Row],[QT_CANA_EST]])</f>
        <v>1195.52</v>
      </c>
      <c r="AE1002" s="1">
        <f>IF(ESTIMATIVA[[#This Row],[QT_AREA_REAL]]&gt;0,ESTIMATIVA[[#This Row],[QT_CANA_REAL]],ESTIMATIVA[[#This Row],[QT_CANA_REST1]])</f>
        <v>1195.52</v>
      </c>
      <c r="AF1002" s="1">
        <f>IF(ESTIMATIVA[[#This Row],[QT_AREA_REAL]]&gt;0,ESTIMATIVA[[#This Row],[QT_CANA_REAL]],ESTIMATIVA[[#This Row],[QT_CANA_REST2]])</f>
        <v>1195.52</v>
      </c>
      <c r="AG1002" s="1" t="str">
        <f>IF(COUNTIFS(GEADA!A:A,VALUE(ESTIMATIVA[[#This Row],[CD_UPNIVEL1]]&amp;TEXT(ESTIMATIVA[[#This Row],[CD_UPNIVEL3]],"0000")))&gt;0,"S","N")</f>
        <v>N</v>
      </c>
      <c r="AH1002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002" s="55">
        <f>IF(ESTIMATIVA[[#This Row],[TP_CULTIVO]]="Irrigado",_xlfn.MAXIFS(IRRIGADO!J:J,IRRIGADO!C:C,ESTIMATIVA[[#This Row],[CD_UPNIVEL1]],IRRIGADO!E:E,ESTIMATIVA[[#This Row],[CD_UPNIVEL3]]),"")</f>
        <v>45626</v>
      </c>
      <c r="AJ1002" s="1">
        <f>IF(ESTIMATIVA[[#This Row],[TP_CULTIVO]]&lt;&gt;"Irrigado",0,AVERAGEIFS(IRRIGADO!G:G,IRRIGADO!C:C,ESTIMATIVA[[#This Row],[CD_UPNIVEL1]],IRRIGADO!E:E,ESTIMATIVA[[#This Row],[CD_UPNIVEL3]])*ESTIMATIVA[[#This Row],[QT_AREA_REAL]])</f>
        <v>362.8</v>
      </c>
      <c r="AK1002" s="1">
        <f>COUNTIFS(Apresentação!$E$23:$E$29,ESTIMATIVA[[#This Row],[CD_UPNIVEL1]])</f>
        <v>0</v>
      </c>
    </row>
    <row r="1003" spans="1:37" x14ac:dyDescent="0.3">
      <c r="A1003">
        <v>20465</v>
      </c>
      <c r="B1003" t="s">
        <v>145</v>
      </c>
      <c r="C1003">
        <v>6</v>
      </c>
      <c r="D1003">
        <v>4</v>
      </c>
      <c r="E1003" t="s">
        <v>265</v>
      </c>
      <c r="F1003" s="85" t="s">
        <v>331</v>
      </c>
      <c r="G1003"/>
      <c r="H1003" t="s">
        <v>295</v>
      </c>
      <c r="I1003" t="s">
        <v>212</v>
      </c>
      <c r="J1003" t="s">
        <v>176</v>
      </c>
      <c r="K1003" s="1">
        <v>36.85</v>
      </c>
      <c r="L1003" s="1">
        <v>36.85</v>
      </c>
      <c r="M1003" s="1">
        <v>36.85</v>
      </c>
      <c r="N1003" s="1">
        <v>36.85</v>
      </c>
      <c r="O1003" s="1">
        <v>2505.8000000000002</v>
      </c>
      <c r="P1003" s="1">
        <v>2505.8000000000002</v>
      </c>
      <c r="Q1003" s="1">
        <v>2432.1</v>
      </c>
      <c r="R1003" s="1">
        <v>2512.8200000000002</v>
      </c>
      <c r="S1003" t="s">
        <v>12</v>
      </c>
      <c r="T1003" s="13">
        <v>45935</v>
      </c>
      <c r="U1003" s="1" t="str">
        <f>IF(ESTIMATIVA[[#This Row],[QT_AREA_REAL]]&gt;0,"1- Colhido","2- à Colher")</f>
        <v>1- Colhido</v>
      </c>
      <c r="V1003" s="1" t="str">
        <f>IF(ESTIMATIVA[[#This Row],[QT_AREA_REST1]]&gt;0,"Reestimativa 1",IF(ESTIMATIVA[[#This Row],[QT_AREA_REAL]]=0,"Reestimativa 1","Realizado"))</f>
        <v>Reestimativa 1</v>
      </c>
      <c r="W1003" s="1" t="str">
        <f>IF(ESTIMATIVA[[#This Row],[QT_AREA_REST2]]&gt;0,"Reestimativa 2",IF(ESTIMATIVA[[#This Row],[QT_AREA_REAL]]=0,"Reestimativa 2","Realizado"))</f>
        <v>Reestimativa 2</v>
      </c>
      <c r="X1003" s="1">
        <f>ESTIMATIVA[[#This Row],[QT_AREA_EST]]</f>
        <v>36.85</v>
      </c>
      <c r="Y1003" s="1">
        <f>IF(ESTIMATIVA[[#This Row],[QT_AREA_REST1]]&gt;0,ESTIMATIVA[[#This Row],[QT_AREA_REST1]],
  IF(ESTIMATIVA[[#This Row],[QT_AREA_REAL]]&gt;0,ESTIMATIVA[[#This Row],[QT_AREA_REAL]],ESTIMATIVA[[#This Row],[QT_AREA_EST]]))</f>
        <v>36.85</v>
      </c>
      <c r="Z100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36.85</v>
      </c>
      <c r="AA1003" s="1">
        <f>ESTIMATIVA[[#This Row],[QT_CANA_EST]]</f>
        <v>2505.8000000000002</v>
      </c>
      <c r="AB1003" s="1">
        <f>IF(ESTIMATIVA[[#This Row],[QT_CANA_REST1]]&gt;0,ESTIMATIVA[[#This Row],[QT_CANA_REST1]],
  IF(ESTIMATIVA[[#This Row],[QT_CANA_REAL]]&gt;0,ESTIMATIVA[[#This Row],[QT_CANA_REAL]],ESTIMATIVA[[#This Row],[QT_CANA_EST]]))</f>
        <v>2505.8000000000002</v>
      </c>
      <c r="AC100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2432.1</v>
      </c>
      <c r="AD1003" s="1">
        <f>IF(ESTIMATIVA[[#This Row],[QT_AREA_REAL]]&gt;0,ESTIMATIVA[[#This Row],[QT_CANA_REAL]],ESTIMATIVA[[#This Row],[QT_CANA_EST]])</f>
        <v>2512.8200000000002</v>
      </c>
      <c r="AE1003" s="1">
        <f>IF(ESTIMATIVA[[#This Row],[QT_AREA_REAL]]&gt;0,ESTIMATIVA[[#This Row],[QT_CANA_REAL]],ESTIMATIVA[[#This Row],[QT_CANA_REST1]])</f>
        <v>2512.8200000000002</v>
      </c>
      <c r="AF1003" s="1">
        <f>IF(ESTIMATIVA[[#This Row],[QT_AREA_REAL]]&gt;0,ESTIMATIVA[[#This Row],[QT_CANA_REAL]],ESTIMATIVA[[#This Row],[QT_CANA_REST2]])</f>
        <v>2512.8200000000002</v>
      </c>
      <c r="AG1003" s="1" t="str">
        <f>IF(COUNTIFS(GEADA!A:A,VALUE(ESTIMATIVA[[#This Row],[CD_UPNIVEL1]]&amp;TEXT(ESTIMATIVA[[#This Row],[CD_UPNIVEL3]],"0000")))&gt;0,"S","N")</f>
        <v>N</v>
      </c>
      <c r="AH1003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003" s="55">
        <f>IF(ESTIMATIVA[[#This Row],[TP_CULTIVO]]="Irrigado",_xlfn.MAXIFS(IRRIGADO!J:J,IRRIGADO!C:C,ESTIMATIVA[[#This Row],[CD_UPNIVEL1]],IRRIGADO!E:E,ESTIMATIVA[[#This Row],[CD_UPNIVEL3]]),"")</f>
        <v>45626</v>
      </c>
      <c r="AJ1003" s="1">
        <f>IF(ESTIMATIVA[[#This Row],[TP_CULTIVO]]&lt;&gt;"Irrigado",0,AVERAGEIFS(IRRIGADO!G:G,IRRIGADO!C:C,ESTIMATIVA[[#This Row],[CD_UPNIVEL1]],IRRIGADO!E:E,ESTIMATIVA[[#This Row],[CD_UPNIVEL3]])*ESTIMATIVA[[#This Row],[QT_AREA_REAL]])</f>
        <v>737</v>
      </c>
      <c r="AK1003" s="1">
        <f>COUNTIFS(Apresentação!$E$23:$E$29,ESTIMATIVA[[#This Row],[CD_UPNIVEL1]])</f>
        <v>0</v>
      </c>
    </row>
    <row r="1004" spans="1:37" x14ac:dyDescent="0.3">
      <c r="A1004">
        <v>20466</v>
      </c>
      <c r="B1004" t="s">
        <v>53</v>
      </c>
      <c r="C1004">
        <v>1</v>
      </c>
      <c r="D1004">
        <v>6</v>
      </c>
      <c r="E1004" t="s">
        <v>261</v>
      </c>
      <c r="F1004" s="85" t="s">
        <v>331</v>
      </c>
      <c r="G1004"/>
      <c r="H1004" t="s">
        <v>295</v>
      </c>
      <c r="I1004" t="s">
        <v>208</v>
      </c>
      <c r="J1004" t="s">
        <v>176</v>
      </c>
      <c r="K1004" s="1">
        <v>8.73</v>
      </c>
      <c r="L1004" s="1">
        <v>0</v>
      </c>
      <c r="M1004" s="1">
        <v>0</v>
      </c>
      <c r="N1004" s="1">
        <v>8.73</v>
      </c>
      <c r="O1004" s="1">
        <v>523.79999999999995</v>
      </c>
      <c r="P1004" s="1">
        <v>0</v>
      </c>
      <c r="Q1004" s="1">
        <v>0</v>
      </c>
      <c r="R1004" s="1">
        <v>524.94000000000005</v>
      </c>
      <c r="S1004" t="s">
        <v>12</v>
      </c>
      <c r="T1004" s="13">
        <v>45816</v>
      </c>
      <c r="U1004" s="1" t="str">
        <f>IF(ESTIMATIVA[[#This Row],[QT_AREA_REAL]]&gt;0,"1- Colhido","2- à Colher")</f>
        <v>1- Colhido</v>
      </c>
      <c r="V1004" s="1" t="str">
        <f>IF(ESTIMATIVA[[#This Row],[QT_AREA_REST1]]&gt;0,"Reestimativa 1",IF(ESTIMATIVA[[#This Row],[QT_AREA_REAL]]=0,"Reestimativa 1","Realizado"))</f>
        <v>Realizado</v>
      </c>
      <c r="W1004" s="1" t="str">
        <f>IF(ESTIMATIVA[[#This Row],[QT_AREA_REST2]]&gt;0,"Reestimativa 2",IF(ESTIMATIVA[[#This Row],[QT_AREA_REAL]]=0,"Reestimativa 2","Realizado"))</f>
        <v>Realizado</v>
      </c>
      <c r="X1004" s="1">
        <f>ESTIMATIVA[[#This Row],[QT_AREA_EST]]</f>
        <v>8.73</v>
      </c>
      <c r="Y1004" s="1">
        <f>IF(ESTIMATIVA[[#This Row],[QT_AREA_REST1]]&gt;0,ESTIMATIVA[[#This Row],[QT_AREA_REST1]],
  IF(ESTIMATIVA[[#This Row],[QT_AREA_REAL]]&gt;0,ESTIMATIVA[[#This Row],[QT_AREA_REAL]],ESTIMATIVA[[#This Row],[QT_AREA_EST]]))</f>
        <v>8.73</v>
      </c>
      <c r="Z100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8.73</v>
      </c>
      <c r="AA1004" s="1">
        <f>ESTIMATIVA[[#This Row],[QT_CANA_EST]]</f>
        <v>523.79999999999995</v>
      </c>
      <c r="AB1004" s="1">
        <f>IF(ESTIMATIVA[[#This Row],[QT_CANA_REST1]]&gt;0,ESTIMATIVA[[#This Row],[QT_CANA_REST1]],
  IF(ESTIMATIVA[[#This Row],[QT_CANA_REAL]]&gt;0,ESTIMATIVA[[#This Row],[QT_CANA_REAL]],ESTIMATIVA[[#This Row],[QT_CANA_EST]]))</f>
        <v>524.94000000000005</v>
      </c>
      <c r="AC100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524.94000000000005</v>
      </c>
      <c r="AD1004" s="1">
        <f>IF(ESTIMATIVA[[#This Row],[QT_AREA_REAL]]&gt;0,ESTIMATIVA[[#This Row],[QT_CANA_REAL]],ESTIMATIVA[[#This Row],[QT_CANA_EST]])</f>
        <v>524.94000000000005</v>
      </c>
      <c r="AE1004" s="1">
        <f>IF(ESTIMATIVA[[#This Row],[QT_AREA_REAL]]&gt;0,ESTIMATIVA[[#This Row],[QT_CANA_REAL]],ESTIMATIVA[[#This Row],[QT_CANA_REST1]])</f>
        <v>524.94000000000005</v>
      </c>
      <c r="AF1004" s="1">
        <f>IF(ESTIMATIVA[[#This Row],[QT_AREA_REAL]]&gt;0,ESTIMATIVA[[#This Row],[QT_CANA_REAL]],ESTIMATIVA[[#This Row],[QT_CANA_REST2]])</f>
        <v>524.94000000000005</v>
      </c>
      <c r="AG1004" s="1" t="str">
        <f>IF(COUNTIFS(GEADA!A:A,VALUE(ESTIMATIVA[[#This Row],[CD_UPNIVEL1]]&amp;TEXT(ESTIMATIVA[[#This Row],[CD_UPNIVEL3]],"0000")))&gt;0,"S","N")</f>
        <v>N</v>
      </c>
      <c r="AH100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004" s="55" t="str">
        <f>IF(ESTIMATIVA[[#This Row],[TP_CULTIVO]]="Irrigado",_xlfn.MAXIFS(IRRIGADO!J:J,IRRIGADO!C:C,ESTIMATIVA[[#This Row],[CD_UPNIVEL1]],IRRIGADO!E:E,ESTIMATIVA[[#This Row],[CD_UPNIVEL3]]),"")</f>
        <v/>
      </c>
      <c r="AJ100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04" s="1">
        <f>COUNTIFS(Apresentação!$E$23:$E$29,ESTIMATIVA[[#This Row],[CD_UPNIVEL1]])</f>
        <v>0</v>
      </c>
    </row>
    <row r="1005" spans="1:37" x14ac:dyDescent="0.3">
      <c r="A1005">
        <v>20466</v>
      </c>
      <c r="B1005" t="s">
        <v>53</v>
      </c>
      <c r="C1005">
        <v>2</v>
      </c>
      <c r="D1005">
        <v>6</v>
      </c>
      <c r="E1005" t="s">
        <v>261</v>
      </c>
      <c r="F1005" s="85" t="s">
        <v>331</v>
      </c>
      <c r="G1005"/>
      <c r="H1005" t="s">
        <v>295</v>
      </c>
      <c r="I1005" t="s">
        <v>208</v>
      </c>
      <c r="J1005" t="s">
        <v>176</v>
      </c>
      <c r="K1005" s="1">
        <v>2.69</v>
      </c>
      <c r="L1005" s="1">
        <v>0</v>
      </c>
      <c r="M1005" s="1">
        <v>0</v>
      </c>
      <c r="N1005" s="1">
        <v>2.69</v>
      </c>
      <c r="O1005" s="1">
        <v>161.4</v>
      </c>
      <c r="P1005" s="1">
        <v>0</v>
      </c>
      <c r="Q1005" s="1">
        <v>0</v>
      </c>
      <c r="R1005" s="1">
        <v>161.28</v>
      </c>
      <c r="S1005" t="s">
        <v>12</v>
      </c>
      <c r="T1005" s="13">
        <v>45816</v>
      </c>
      <c r="U1005" s="1" t="str">
        <f>IF(ESTIMATIVA[[#This Row],[QT_AREA_REAL]]&gt;0,"1- Colhido","2- à Colher")</f>
        <v>1- Colhido</v>
      </c>
      <c r="V1005" s="1" t="str">
        <f>IF(ESTIMATIVA[[#This Row],[QT_AREA_REST1]]&gt;0,"Reestimativa 1",IF(ESTIMATIVA[[#This Row],[QT_AREA_REAL]]=0,"Reestimativa 1","Realizado"))</f>
        <v>Realizado</v>
      </c>
      <c r="W1005" s="1" t="str">
        <f>IF(ESTIMATIVA[[#This Row],[QT_AREA_REST2]]&gt;0,"Reestimativa 2",IF(ESTIMATIVA[[#This Row],[QT_AREA_REAL]]=0,"Reestimativa 2","Realizado"))</f>
        <v>Realizado</v>
      </c>
      <c r="X1005" s="1">
        <f>ESTIMATIVA[[#This Row],[QT_AREA_EST]]</f>
        <v>2.69</v>
      </c>
      <c r="Y1005" s="1">
        <f>IF(ESTIMATIVA[[#This Row],[QT_AREA_REST1]]&gt;0,ESTIMATIVA[[#This Row],[QT_AREA_REST1]],
  IF(ESTIMATIVA[[#This Row],[QT_AREA_REAL]]&gt;0,ESTIMATIVA[[#This Row],[QT_AREA_REAL]],ESTIMATIVA[[#This Row],[QT_AREA_EST]]))</f>
        <v>2.69</v>
      </c>
      <c r="Z100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2.69</v>
      </c>
      <c r="AA1005" s="1">
        <f>ESTIMATIVA[[#This Row],[QT_CANA_EST]]</f>
        <v>161.4</v>
      </c>
      <c r="AB1005" s="1">
        <f>IF(ESTIMATIVA[[#This Row],[QT_CANA_REST1]]&gt;0,ESTIMATIVA[[#This Row],[QT_CANA_REST1]],
  IF(ESTIMATIVA[[#This Row],[QT_CANA_REAL]]&gt;0,ESTIMATIVA[[#This Row],[QT_CANA_REAL]],ESTIMATIVA[[#This Row],[QT_CANA_EST]]))</f>
        <v>161.28</v>
      </c>
      <c r="AC100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161.28</v>
      </c>
      <c r="AD1005" s="1">
        <f>IF(ESTIMATIVA[[#This Row],[QT_AREA_REAL]]&gt;0,ESTIMATIVA[[#This Row],[QT_CANA_REAL]],ESTIMATIVA[[#This Row],[QT_CANA_EST]])</f>
        <v>161.28</v>
      </c>
      <c r="AE1005" s="1">
        <f>IF(ESTIMATIVA[[#This Row],[QT_AREA_REAL]]&gt;0,ESTIMATIVA[[#This Row],[QT_CANA_REAL]],ESTIMATIVA[[#This Row],[QT_CANA_REST1]])</f>
        <v>161.28</v>
      </c>
      <c r="AF1005" s="1">
        <f>IF(ESTIMATIVA[[#This Row],[QT_AREA_REAL]]&gt;0,ESTIMATIVA[[#This Row],[QT_CANA_REAL]],ESTIMATIVA[[#This Row],[QT_CANA_REST2]])</f>
        <v>161.28</v>
      </c>
      <c r="AG1005" s="1" t="str">
        <f>IF(COUNTIFS(GEADA!A:A,VALUE(ESTIMATIVA[[#This Row],[CD_UPNIVEL1]]&amp;TEXT(ESTIMATIVA[[#This Row],[CD_UPNIVEL3]],"0000")))&gt;0,"S","N")</f>
        <v>N</v>
      </c>
      <c r="AH100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005" s="55" t="str">
        <f>IF(ESTIMATIVA[[#This Row],[TP_CULTIVO]]="Irrigado",_xlfn.MAXIFS(IRRIGADO!J:J,IRRIGADO!C:C,ESTIMATIVA[[#This Row],[CD_UPNIVEL1]],IRRIGADO!E:E,ESTIMATIVA[[#This Row],[CD_UPNIVEL3]]),"")</f>
        <v/>
      </c>
      <c r="AJ100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05" s="1">
        <f>COUNTIFS(Apresentação!$E$23:$E$29,ESTIMATIVA[[#This Row],[CD_UPNIVEL1]])</f>
        <v>0</v>
      </c>
    </row>
    <row r="1006" spans="1:37" x14ac:dyDescent="0.3">
      <c r="A1006">
        <v>20466</v>
      </c>
      <c r="B1006" t="s">
        <v>53</v>
      </c>
      <c r="C1006">
        <v>3</v>
      </c>
      <c r="D1006">
        <v>6</v>
      </c>
      <c r="E1006" t="s">
        <v>261</v>
      </c>
      <c r="F1006" s="85" t="s">
        <v>331</v>
      </c>
      <c r="G1006"/>
      <c r="H1006" t="s">
        <v>295</v>
      </c>
      <c r="I1006" t="s">
        <v>208</v>
      </c>
      <c r="J1006" t="s">
        <v>176</v>
      </c>
      <c r="K1006" s="1">
        <v>3.02</v>
      </c>
      <c r="L1006" s="1">
        <v>0</v>
      </c>
      <c r="M1006" s="1">
        <v>0</v>
      </c>
      <c r="N1006" s="1">
        <v>3.02</v>
      </c>
      <c r="O1006" s="1">
        <v>181.2</v>
      </c>
      <c r="P1006" s="1">
        <v>0</v>
      </c>
      <c r="Q1006" s="1">
        <v>0</v>
      </c>
      <c r="R1006" s="1">
        <v>181.31</v>
      </c>
      <c r="S1006" t="s">
        <v>12</v>
      </c>
      <c r="T1006" s="13">
        <v>45816</v>
      </c>
      <c r="U1006" s="1" t="str">
        <f>IF(ESTIMATIVA[[#This Row],[QT_AREA_REAL]]&gt;0,"1- Colhido","2- à Colher")</f>
        <v>1- Colhido</v>
      </c>
      <c r="V1006" s="1" t="str">
        <f>IF(ESTIMATIVA[[#This Row],[QT_AREA_REST1]]&gt;0,"Reestimativa 1",IF(ESTIMATIVA[[#This Row],[QT_AREA_REAL]]=0,"Reestimativa 1","Realizado"))</f>
        <v>Realizado</v>
      </c>
      <c r="W1006" s="1" t="str">
        <f>IF(ESTIMATIVA[[#This Row],[QT_AREA_REST2]]&gt;0,"Reestimativa 2",IF(ESTIMATIVA[[#This Row],[QT_AREA_REAL]]=0,"Reestimativa 2","Realizado"))</f>
        <v>Realizado</v>
      </c>
      <c r="X1006" s="1">
        <f>ESTIMATIVA[[#This Row],[QT_AREA_EST]]</f>
        <v>3.02</v>
      </c>
      <c r="Y1006" s="1">
        <f>IF(ESTIMATIVA[[#This Row],[QT_AREA_REST1]]&gt;0,ESTIMATIVA[[#This Row],[QT_AREA_REST1]],
  IF(ESTIMATIVA[[#This Row],[QT_AREA_REAL]]&gt;0,ESTIMATIVA[[#This Row],[QT_AREA_REAL]],ESTIMATIVA[[#This Row],[QT_AREA_EST]]))</f>
        <v>3.02</v>
      </c>
      <c r="Z100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3.02</v>
      </c>
      <c r="AA1006" s="1">
        <f>ESTIMATIVA[[#This Row],[QT_CANA_EST]]</f>
        <v>181.2</v>
      </c>
      <c r="AB1006" s="1">
        <f>IF(ESTIMATIVA[[#This Row],[QT_CANA_REST1]]&gt;0,ESTIMATIVA[[#This Row],[QT_CANA_REST1]],
  IF(ESTIMATIVA[[#This Row],[QT_CANA_REAL]]&gt;0,ESTIMATIVA[[#This Row],[QT_CANA_REAL]],ESTIMATIVA[[#This Row],[QT_CANA_EST]]))</f>
        <v>181.31</v>
      </c>
      <c r="AC100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181.31</v>
      </c>
      <c r="AD1006" s="1">
        <f>IF(ESTIMATIVA[[#This Row],[QT_AREA_REAL]]&gt;0,ESTIMATIVA[[#This Row],[QT_CANA_REAL]],ESTIMATIVA[[#This Row],[QT_CANA_EST]])</f>
        <v>181.31</v>
      </c>
      <c r="AE1006" s="1">
        <f>IF(ESTIMATIVA[[#This Row],[QT_AREA_REAL]]&gt;0,ESTIMATIVA[[#This Row],[QT_CANA_REAL]],ESTIMATIVA[[#This Row],[QT_CANA_REST1]])</f>
        <v>181.31</v>
      </c>
      <c r="AF1006" s="1">
        <f>IF(ESTIMATIVA[[#This Row],[QT_AREA_REAL]]&gt;0,ESTIMATIVA[[#This Row],[QT_CANA_REAL]],ESTIMATIVA[[#This Row],[QT_CANA_REST2]])</f>
        <v>181.31</v>
      </c>
      <c r="AG1006" s="1" t="str">
        <f>IF(COUNTIFS(GEADA!A:A,VALUE(ESTIMATIVA[[#This Row],[CD_UPNIVEL1]]&amp;TEXT(ESTIMATIVA[[#This Row],[CD_UPNIVEL3]],"0000")))&gt;0,"S","N")</f>
        <v>N</v>
      </c>
      <c r="AH100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006" s="55" t="str">
        <f>IF(ESTIMATIVA[[#This Row],[TP_CULTIVO]]="Irrigado",_xlfn.MAXIFS(IRRIGADO!J:J,IRRIGADO!C:C,ESTIMATIVA[[#This Row],[CD_UPNIVEL1]],IRRIGADO!E:E,ESTIMATIVA[[#This Row],[CD_UPNIVEL3]]),"")</f>
        <v/>
      </c>
      <c r="AJ100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06" s="1">
        <f>COUNTIFS(Apresentação!$E$23:$E$29,ESTIMATIVA[[#This Row],[CD_UPNIVEL1]])</f>
        <v>0</v>
      </c>
    </row>
    <row r="1007" spans="1:37" x14ac:dyDescent="0.3">
      <c r="A1007">
        <v>20466</v>
      </c>
      <c r="B1007" t="s">
        <v>53</v>
      </c>
      <c r="C1007">
        <v>4</v>
      </c>
      <c r="D1007">
        <v>6</v>
      </c>
      <c r="E1007" t="s">
        <v>261</v>
      </c>
      <c r="F1007" s="85" t="s">
        <v>332</v>
      </c>
      <c r="G1007"/>
      <c r="H1007" t="s">
        <v>295</v>
      </c>
      <c r="I1007" t="s">
        <v>208</v>
      </c>
      <c r="J1007" t="s">
        <v>176</v>
      </c>
      <c r="K1007" s="1">
        <v>1.65</v>
      </c>
      <c r="L1007" s="1">
        <v>0</v>
      </c>
      <c r="M1007" s="1">
        <v>0</v>
      </c>
      <c r="N1007" s="1">
        <v>1.65</v>
      </c>
      <c r="O1007" s="1">
        <v>99</v>
      </c>
      <c r="P1007" s="1">
        <v>0</v>
      </c>
      <c r="Q1007" s="1">
        <v>0</v>
      </c>
      <c r="R1007" s="1">
        <v>99.16</v>
      </c>
      <c r="S1007" t="s">
        <v>12</v>
      </c>
      <c r="T1007" s="13">
        <v>45816</v>
      </c>
      <c r="U1007" s="1" t="str">
        <f>IF(ESTIMATIVA[[#This Row],[QT_AREA_REAL]]&gt;0,"1- Colhido","2- à Colher")</f>
        <v>1- Colhido</v>
      </c>
      <c r="V1007" s="1" t="str">
        <f>IF(ESTIMATIVA[[#This Row],[QT_AREA_REST1]]&gt;0,"Reestimativa 1",IF(ESTIMATIVA[[#This Row],[QT_AREA_REAL]]=0,"Reestimativa 1","Realizado"))</f>
        <v>Realizado</v>
      </c>
      <c r="W1007" s="1" t="str">
        <f>IF(ESTIMATIVA[[#This Row],[QT_AREA_REST2]]&gt;0,"Reestimativa 2",IF(ESTIMATIVA[[#This Row],[QT_AREA_REAL]]=0,"Reestimativa 2","Realizado"))</f>
        <v>Realizado</v>
      </c>
      <c r="X1007" s="1">
        <f>ESTIMATIVA[[#This Row],[QT_AREA_EST]]</f>
        <v>1.65</v>
      </c>
      <c r="Y1007" s="1">
        <f>IF(ESTIMATIVA[[#This Row],[QT_AREA_REST1]]&gt;0,ESTIMATIVA[[#This Row],[QT_AREA_REST1]],
  IF(ESTIMATIVA[[#This Row],[QT_AREA_REAL]]&gt;0,ESTIMATIVA[[#This Row],[QT_AREA_REAL]],ESTIMATIVA[[#This Row],[QT_AREA_EST]]))</f>
        <v>1.65</v>
      </c>
      <c r="Z100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1.65</v>
      </c>
      <c r="AA1007" s="1">
        <f>ESTIMATIVA[[#This Row],[QT_CANA_EST]]</f>
        <v>99</v>
      </c>
      <c r="AB1007" s="1">
        <f>IF(ESTIMATIVA[[#This Row],[QT_CANA_REST1]]&gt;0,ESTIMATIVA[[#This Row],[QT_CANA_REST1]],
  IF(ESTIMATIVA[[#This Row],[QT_CANA_REAL]]&gt;0,ESTIMATIVA[[#This Row],[QT_CANA_REAL]],ESTIMATIVA[[#This Row],[QT_CANA_EST]]))</f>
        <v>99.16</v>
      </c>
      <c r="AC100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99.16</v>
      </c>
      <c r="AD1007" s="1">
        <f>IF(ESTIMATIVA[[#This Row],[QT_AREA_REAL]]&gt;0,ESTIMATIVA[[#This Row],[QT_CANA_REAL]],ESTIMATIVA[[#This Row],[QT_CANA_EST]])</f>
        <v>99.16</v>
      </c>
      <c r="AE1007" s="1">
        <f>IF(ESTIMATIVA[[#This Row],[QT_AREA_REAL]]&gt;0,ESTIMATIVA[[#This Row],[QT_CANA_REAL]],ESTIMATIVA[[#This Row],[QT_CANA_REST1]])</f>
        <v>99.16</v>
      </c>
      <c r="AF1007" s="1">
        <f>IF(ESTIMATIVA[[#This Row],[QT_AREA_REAL]]&gt;0,ESTIMATIVA[[#This Row],[QT_CANA_REAL]],ESTIMATIVA[[#This Row],[QT_CANA_REST2]])</f>
        <v>99.16</v>
      </c>
      <c r="AG1007" s="1" t="str">
        <f>IF(COUNTIFS(GEADA!A:A,VALUE(ESTIMATIVA[[#This Row],[CD_UPNIVEL1]]&amp;TEXT(ESTIMATIVA[[#This Row],[CD_UPNIVEL3]],"0000")))&gt;0,"S","N")</f>
        <v>N</v>
      </c>
      <c r="AH100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007" s="55" t="str">
        <f>IF(ESTIMATIVA[[#This Row],[TP_CULTIVO]]="Irrigado",_xlfn.MAXIFS(IRRIGADO!J:J,IRRIGADO!C:C,ESTIMATIVA[[#This Row],[CD_UPNIVEL1]],IRRIGADO!E:E,ESTIMATIVA[[#This Row],[CD_UPNIVEL3]]),"")</f>
        <v/>
      </c>
      <c r="AJ100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07" s="1">
        <f>COUNTIFS(Apresentação!$E$23:$E$29,ESTIMATIVA[[#This Row],[CD_UPNIVEL1]])</f>
        <v>0</v>
      </c>
    </row>
    <row r="1008" spans="1:37" x14ac:dyDescent="0.3">
      <c r="A1008">
        <v>20466</v>
      </c>
      <c r="B1008" t="s">
        <v>53</v>
      </c>
      <c r="C1008">
        <v>5</v>
      </c>
      <c r="D1008">
        <v>6</v>
      </c>
      <c r="E1008" t="s">
        <v>261</v>
      </c>
      <c r="F1008" s="85" t="s">
        <v>332</v>
      </c>
      <c r="G1008"/>
      <c r="H1008" t="s">
        <v>295</v>
      </c>
      <c r="I1008" t="s">
        <v>208</v>
      </c>
      <c r="J1008" t="s">
        <v>176</v>
      </c>
      <c r="K1008" s="1">
        <v>2.39</v>
      </c>
      <c r="L1008" s="1">
        <v>0</v>
      </c>
      <c r="M1008" s="1">
        <v>0</v>
      </c>
      <c r="N1008" s="1">
        <v>2.39</v>
      </c>
      <c r="O1008" s="1">
        <v>143.4</v>
      </c>
      <c r="P1008" s="1">
        <v>0</v>
      </c>
      <c r="Q1008" s="1">
        <v>0</v>
      </c>
      <c r="R1008" s="1">
        <v>143.34</v>
      </c>
      <c r="S1008" t="s">
        <v>12</v>
      </c>
      <c r="T1008" s="13">
        <v>45816</v>
      </c>
      <c r="U1008" s="1" t="str">
        <f>IF(ESTIMATIVA[[#This Row],[QT_AREA_REAL]]&gt;0,"1- Colhido","2- à Colher")</f>
        <v>1- Colhido</v>
      </c>
      <c r="V1008" s="1" t="str">
        <f>IF(ESTIMATIVA[[#This Row],[QT_AREA_REST1]]&gt;0,"Reestimativa 1",IF(ESTIMATIVA[[#This Row],[QT_AREA_REAL]]=0,"Reestimativa 1","Realizado"))</f>
        <v>Realizado</v>
      </c>
      <c r="W1008" s="1" t="str">
        <f>IF(ESTIMATIVA[[#This Row],[QT_AREA_REST2]]&gt;0,"Reestimativa 2",IF(ESTIMATIVA[[#This Row],[QT_AREA_REAL]]=0,"Reestimativa 2","Realizado"))</f>
        <v>Realizado</v>
      </c>
      <c r="X1008" s="1">
        <f>ESTIMATIVA[[#This Row],[QT_AREA_EST]]</f>
        <v>2.39</v>
      </c>
      <c r="Y1008" s="1">
        <f>IF(ESTIMATIVA[[#This Row],[QT_AREA_REST1]]&gt;0,ESTIMATIVA[[#This Row],[QT_AREA_REST1]],
  IF(ESTIMATIVA[[#This Row],[QT_AREA_REAL]]&gt;0,ESTIMATIVA[[#This Row],[QT_AREA_REAL]],ESTIMATIVA[[#This Row],[QT_AREA_EST]]))</f>
        <v>2.39</v>
      </c>
      <c r="Z100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2.39</v>
      </c>
      <c r="AA1008" s="1">
        <f>ESTIMATIVA[[#This Row],[QT_CANA_EST]]</f>
        <v>143.4</v>
      </c>
      <c r="AB1008" s="1">
        <f>IF(ESTIMATIVA[[#This Row],[QT_CANA_REST1]]&gt;0,ESTIMATIVA[[#This Row],[QT_CANA_REST1]],
  IF(ESTIMATIVA[[#This Row],[QT_CANA_REAL]]&gt;0,ESTIMATIVA[[#This Row],[QT_CANA_REAL]],ESTIMATIVA[[#This Row],[QT_CANA_EST]]))</f>
        <v>143.34</v>
      </c>
      <c r="AC100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143.34</v>
      </c>
      <c r="AD1008" s="1">
        <f>IF(ESTIMATIVA[[#This Row],[QT_AREA_REAL]]&gt;0,ESTIMATIVA[[#This Row],[QT_CANA_REAL]],ESTIMATIVA[[#This Row],[QT_CANA_EST]])</f>
        <v>143.34</v>
      </c>
      <c r="AE1008" s="1">
        <f>IF(ESTIMATIVA[[#This Row],[QT_AREA_REAL]]&gt;0,ESTIMATIVA[[#This Row],[QT_CANA_REAL]],ESTIMATIVA[[#This Row],[QT_CANA_REST1]])</f>
        <v>143.34</v>
      </c>
      <c r="AF1008" s="1">
        <f>IF(ESTIMATIVA[[#This Row],[QT_AREA_REAL]]&gt;0,ESTIMATIVA[[#This Row],[QT_CANA_REAL]],ESTIMATIVA[[#This Row],[QT_CANA_REST2]])</f>
        <v>143.34</v>
      </c>
      <c r="AG1008" s="1" t="str">
        <f>IF(COUNTIFS(GEADA!A:A,VALUE(ESTIMATIVA[[#This Row],[CD_UPNIVEL1]]&amp;TEXT(ESTIMATIVA[[#This Row],[CD_UPNIVEL3]],"0000")))&gt;0,"S","N")</f>
        <v>N</v>
      </c>
      <c r="AH100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008" s="55" t="str">
        <f>IF(ESTIMATIVA[[#This Row],[TP_CULTIVO]]="Irrigado",_xlfn.MAXIFS(IRRIGADO!J:J,IRRIGADO!C:C,ESTIMATIVA[[#This Row],[CD_UPNIVEL1]],IRRIGADO!E:E,ESTIMATIVA[[#This Row],[CD_UPNIVEL3]]),"")</f>
        <v/>
      </c>
      <c r="AJ100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08" s="1">
        <f>COUNTIFS(Apresentação!$E$23:$E$29,ESTIMATIVA[[#This Row],[CD_UPNIVEL1]])</f>
        <v>0</v>
      </c>
    </row>
    <row r="1009" spans="1:37" x14ac:dyDescent="0.3">
      <c r="A1009">
        <v>20466</v>
      </c>
      <c r="B1009" t="s">
        <v>53</v>
      </c>
      <c r="C1009">
        <v>8</v>
      </c>
      <c r="D1009">
        <v>6</v>
      </c>
      <c r="E1009" t="s">
        <v>261</v>
      </c>
      <c r="F1009" s="85" t="s">
        <v>332</v>
      </c>
      <c r="G1009"/>
      <c r="H1009" t="s">
        <v>295</v>
      </c>
      <c r="I1009" t="s">
        <v>208</v>
      </c>
      <c r="J1009" t="s">
        <v>176</v>
      </c>
      <c r="K1009" s="1">
        <v>2.4</v>
      </c>
      <c r="L1009" s="1">
        <v>0</v>
      </c>
      <c r="M1009" s="1">
        <v>0</v>
      </c>
      <c r="N1009" s="1">
        <v>2.4</v>
      </c>
      <c r="O1009" s="1">
        <v>144</v>
      </c>
      <c r="P1009" s="1">
        <v>0</v>
      </c>
      <c r="Q1009" s="1">
        <v>0</v>
      </c>
      <c r="R1009" s="1">
        <v>155.41999999999999</v>
      </c>
      <c r="S1009" t="s">
        <v>12</v>
      </c>
      <c r="T1009" s="13">
        <v>45823</v>
      </c>
      <c r="U1009" s="1" t="str">
        <f>IF(ESTIMATIVA[[#This Row],[QT_AREA_REAL]]&gt;0,"1- Colhido","2- à Colher")</f>
        <v>1- Colhido</v>
      </c>
      <c r="V1009" s="1" t="str">
        <f>IF(ESTIMATIVA[[#This Row],[QT_AREA_REST1]]&gt;0,"Reestimativa 1",IF(ESTIMATIVA[[#This Row],[QT_AREA_REAL]]=0,"Reestimativa 1","Realizado"))</f>
        <v>Realizado</v>
      </c>
      <c r="W1009" s="1" t="str">
        <f>IF(ESTIMATIVA[[#This Row],[QT_AREA_REST2]]&gt;0,"Reestimativa 2",IF(ESTIMATIVA[[#This Row],[QT_AREA_REAL]]=0,"Reestimativa 2","Realizado"))</f>
        <v>Realizado</v>
      </c>
      <c r="X1009" s="1">
        <f>ESTIMATIVA[[#This Row],[QT_AREA_EST]]</f>
        <v>2.4</v>
      </c>
      <c r="Y1009" s="1">
        <f>IF(ESTIMATIVA[[#This Row],[QT_AREA_REST1]]&gt;0,ESTIMATIVA[[#This Row],[QT_AREA_REST1]],
  IF(ESTIMATIVA[[#This Row],[QT_AREA_REAL]]&gt;0,ESTIMATIVA[[#This Row],[QT_AREA_REAL]],ESTIMATIVA[[#This Row],[QT_AREA_EST]]))</f>
        <v>2.4</v>
      </c>
      <c r="Z100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2.4</v>
      </c>
      <c r="AA1009" s="1">
        <f>ESTIMATIVA[[#This Row],[QT_CANA_EST]]</f>
        <v>144</v>
      </c>
      <c r="AB1009" s="1">
        <f>IF(ESTIMATIVA[[#This Row],[QT_CANA_REST1]]&gt;0,ESTIMATIVA[[#This Row],[QT_CANA_REST1]],
  IF(ESTIMATIVA[[#This Row],[QT_CANA_REAL]]&gt;0,ESTIMATIVA[[#This Row],[QT_CANA_REAL]],ESTIMATIVA[[#This Row],[QT_CANA_EST]]))</f>
        <v>155.41999999999999</v>
      </c>
      <c r="AC100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155.41999999999999</v>
      </c>
      <c r="AD1009" s="1">
        <f>IF(ESTIMATIVA[[#This Row],[QT_AREA_REAL]]&gt;0,ESTIMATIVA[[#This Row],[QT_CANA_REAL]],ESTIMATIVA[[#This Row],[QT_CANA_EST]])</f>
        <v>155.41999999999999</v>
      </c>
      <c r="AE1009" s="1">
        <f>IF(ESTIMATIVA[[#This Row],[QT_AREA_REAL]]&gt;0,ESTIMATIVA[[#This Row],[QT_CANA_REAL]],ESTIMATIVA[[#This Row],[QT_CANA_REST1]])</f>
        <v>155.41999999999999</v>
      </c>
      <c r="AF1009" s="1">
        <f>IF(ESTIMATIVA[[#This Row],[QT_AREA_REAL]]&gt;0,ESTIMATIVA[[#This Row],[QT_CANA_REAL]],ESTIMATIVA[[#This Row],[QT_CANA_REST2]])</f>
        <v>155.41999999999999</v>
      </c>
      <c r="AG1009" s="1" t="str">
        <f>IF(COUNTIFS(GEADA!A:A,VALUE(ESTIMATIVA[[#This Row],[CD_UPNIVEL1]]&amp;TEXT(ESTIMATIVA[[#This Row],[CD_UPNIVEL3]],"0000")))&gt;0,"S","N")</f>
        <v>N</v>
      </c>
      <c r="AH100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009" s="55" t="str">
        <f>IF(ESTIMATIVA[[#This Row],[TP_CULTIVO]]="Irrigado",_xlfn.MAXIFS(IRRIGADO!J:J,IRRIGADO!C:C,ESTIMATIVA[[#This Row],[CD_UPNIVEL1]],IRRIGADO!E:E,ESTIMATIVA[[#This Row],[CD_UPNIVEL3]]),"")</f>
        <v/>
      </c>
      <c r="AJ100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09" s="1">
        <f>COUNTIFS(Apresentação!$E$23:$E$29,ESTIMATIVA[[#This Row],[CD_UPNIVEL1]])</f>
        <v>0</v>
      </c>
    </row>
    <row r="1010" spans="1:37" x14ac:dyDescent="0.3">
      <c r="A1010">
        <v>20466</v>
      </c>
      <c r="B1010" t="s">
        <v>53</v>
      </c>
      <c r="C1010">
        <v>9</v>
      </c>
      <c r="D1010">
        <v>6</v>
      </c>
      <c r="E1010" t="s">
        <v>261</v>
      </c>
      <c r="F1010" s="85" t="s">
        <v>331</v>
      </c>
      <c r="G1010"/>
      <c r="H1010" t="s">
        <v>295</v>
      </c>
      <c r="I1010" t="s">
        <v>208</v>
      </c>
      <c r="J1010" t="s">
        <v>176</v>
      </c>
      <c r="K1010" s="1">
        <v>27.75</v>
      </c>
      <c r="L1010" s="1">
        <v>0</v>
      </c>
      <c r="M1010" s="1">
        <v>0</v>
      </c>
      <c r="N1010" s="1">
        <v>27.75</v>
      </c>
      <c r="O1010" s="1">
        <v>1665</v>
      </c>
      <c r="P1010" s="1">
        <v>0</v>
      </c>
      <c r="Q1010" s="1">
        <v>0</v>
      </c>
      <c r="R1010" s="1">
        <v>1797.87</v>
      </c>
      <c r="S1010" t="s">
        <v>12</v>
      </c>
      <c r="T1010" s="13">
        <v>45823</v>
      </c>
      <c r="U1010" s="1" t="str">
        <f>IF(ESTIMATIVA[[#This Row],[QT_AREA_REAL]]&gt;0,"1- Colhido","2- à Colher")</f>
        <v>1- Colhido</v>
      </c>
      <c r="V1010" s="1" t="str">
        <f>IF(ESTIMATIVA[[#This Row],[QT_AREA_REST1]]&gt;0,"Reestimativa 1",IF(ESTIMATIVA[[#This Row],[QT_AREA_REAL]]=0,"Reestimativa 1","Realizado"))</f>
        <v>Realizado</v>
      </c>
      <c r="W1010" s="1" t="str">
        <f>IF(ESTIMATIVA[[#This Row],[QT_AREA_REST2]]&gt;0,"Reestimativa 2",IF(ESTIMATIVA[[#This Row],[QT_AREA_REAL]]=0,"Reestimativa 2","Realizado"))</f>
        <v>Realizado</v>
      </c>
      <c r="X1010" s="1">
        <f>ESTIMATIVA[[#This Row],[QT_AREA_EST]]</f>
        <v>27.75</v>
      </c>
      <c r="Y1010" s="1">
        <f>IF(ESTIMATIVA[[#This Row],[QT_AREA_REST1]]&gt;0,ESTIMATIVA[[#This Row],[QT_AREA_REST1]],
  IF(ESTIMATIVA[[#This Row],[QT_AREA_REAL]]&gt;0,ESTIMATIVA[[#This Row],[QT_AREA_REAL]],ESTIMATIVA[[#This Row],[QT_AREA_EST]]))</f>
        <v>27.75</v>
      </c>
      <c r="Z101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27.75</v>
      </c>
      <c r="AA1010" s="1">
        <f>ESTIMATIVA[[#This Row],[QT_CANA_EST]]</f>
        <v>1665</v>
      </c>
      <c r="AB1010" s="1">
        <f>IF(ESTIMATIVA[[#This Row],[QT_CANA_REST1]]&gt;0,ESTIMATIVA[[#This Row],[QT_CANA_REST1]],
  IF(ESTIMATIVA[[#This Row],[QT_CANA_REAL]]&gt;0,ESTIMATIVA[[#This Row],[QT_CANA_REAL]],ESTIMATIVA[[#This Row],[QT_CANA_EST]]))</f>
        <v>1797.87</v>
      </c>
      <c r="AC101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1797.87</v>
      </c>
      <c r="AD1010" s="1">
        <f>IF(ESTIMATIVA[[#This Row],[QT_AREA_REAL]]&gt;0,ESTIMATIVA[[#This Row],[QT_CANA_REAL]],ESTIMATIVA[[#This Row],[QT_CANA_EST]])</f>
        <v>1797.87</v>
      </c>
      <c r="AE1010" s="1">
        <f>IF(ESTIMATIVA[[#This Row],[QT_AREA_REAL]]&gt;0,ESTIMATIVA[[#This Row],[QT_CANA_REAL]],ESTIMATIVA[[#This Row],[QT_CANA_REST1]])</f>
        <v>1797.87</v>
      </c>
      <c r="AF1010" s="1">
        <f>IF(ESTIMATIVA[[#This Row],[QT_AREA_REAL]]&gt;0,ESTIMATIVA[[#This Row],[QT_CANA_REAL]],ESTIMATIVA[[#This Row],[QT_CANA_REST2]])</f>
        <v>1797.87</v>
      </c>
      <c r="AG1010" s="1" t="str">
        <f>IF(COUNTIFS(GEADA!A:A,VALUE(ESTIMATIVA[[#This Row],[CD_UPNIVEL1]]&amp;TEXT(ESTIMATIVA[[#This Row],[CD_UPNIVEL3]],"0000")))&gt;0,"S","N")</f>
        <v>N</v>
      </c>
      <c r="AH101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010" s="55" t="str">
        <f>IF(ESTIMATIVA[[#This Row],[TP_CULTIVO]]="Irrigado",_xlfn.MAXIFS(IRRIGADO!J:J,IRRIGADO!C:C,ESTIMATIVA[[#This Row],[CD_UPNIVEL1]],IRRIGADO!E:E,ESTIMATIVA[[#This Row],[CD_UPNIVEL3]]),"")</f>
        <v/>
      </c>
      <c r="AJ101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10" s="1">
        <f>COUNTIFS(Apresentação!$E$23:$E$29,ESTIMATIVA[[#This Row],[CD_UPNIVEL1]])</f>
        <v>0</v>
      </c>
    </row>
    <row r="1011" spans="1:37" x14ac:dyDescent="0.3">
      <c r="A1011">
        <v>20466</v>
      </c>
      <c r="B1011" t="s">
        <v>53</v>
      </c>
      <c r="C1011">
        <v>10</v>
      </c>
      <c r="D1011">
        <v>6</v>
      </c>
      <c r="E1011" t="s">
        <v>261</v>
      </c>
      <c r="F1011" s="85" t="s">
        <v>331</v>
      </c>
      <c r="G1011"/>
      <c r="H1011" t="s">
        <v>295</v>
      </c>
      <c r="I1011" t="s">
        <v>208</v>
      </c>
      <c r="J1011" t="s">
        <v>176</v>
      </c>
      <c r="K1011" s="1">
        <v>31.85</v>
      </c>
      <c r="L1011" s="1">
        <v>0</v>
      </c>
      <c r="M1011" s="1">
        <v>0</v>
      </c>
      <c r="N1011" s="1">
        <v>31.85</v>
      </c>
      <c r="O1011" s="1">
        <v>2229.5</v>
      </c>
      <c r="P1011" s="1">
        <v>0</v>
      </c>
      <c r="Q1011" s="1">
        <v>0</v>
      </c>
      <c r="R1011" s="1">
        <v>2408</v>
      </c>
      <c r="S1011" t="s">
        <v>12</v>
      </c>
      <c r="T1011" s="13">
        <v>45823</v>
      </c>
      <c r="U1011" s="1" t="str">
        <f>IF(ESTIMATIVA[[#This Row],[QT_AREA_REAL]]&gt;0,"1- Colhido","2- à Colher")</f>
        <v>1- Colhido</v>
      </c>
      <c r="V1011" s="1" t="str">
        <f>IF(ESTIMATIVA[[#This Row],[QT_AREA_REST1]]&gt;0,"Reestimativa 1",IF(ESTIMATIVA[[#This Row],[QT_AREA_REAL]]=0,"Reestimativa 1","Realizado"))</f>
        <v>Realizado</v>
      </c>
      <c r="W1011" s="1" t="str">
        <f>IF(ESTIMATIVA[[#This Row],[QT_AREA_REST2]]&gt;0,"Reestimativa 2",IF(ESTIMATIVA[[#This Row],[QT_AREA_REAL]]=0,"Reestimativa 2","Realizado"))</f>
        <v>Realizado</v>
      </c>
      <c r="X1011" s="1">
        <f>ESTIMATIVA[[#This Row],[QT_AREA_EST]]</f>
        <v>31.85</v>
      </c>
      <c r="Y1011" s="1">
        <f>IF(ESTIMATIVA[[#This Row],[QT_AREA_REST1]]&gt;0,ESTIMATIVA[[#This Row],[QT_AREA_REST1]],
  IF(ESTIMATIVA[[#This Row],[QT_AREA_REAL]]&gt;0,ESTIMATIVA[[#This Row],[QT_AREA_REAL]],ESTIMATIVA[[#This Row],[QT_AREA_EST]]))</f>
        <v>31.85</v>
      </c>
      <c r="Z101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31.85</v>
      </c>
      <c r="AA1011" s="1">
        <f>ESTIMATIVA[[#This Row],[QT_CANA_EST]]</f>
        <v>2229.5</v>
      </c>
      <c r="AB1011" s="1">
        <f>IF(ESTIMATIVA[[#This Row],[QT_CANA_REST1]]&gt;0,ESTIMATIVA[[#This Row],[QT_CANA_REST1]],
  IF(ESTIMATIVA[[#This Row],[QT_CANA_REAL]]&gt;0,ESTIMATIVA[[#This Row],[QT_CANA_REAL]],ESTIMATIVA[[#This Row],[QT_CANA_EST]]))</f>
        <v>2408</v>
      </c>
      <c r="AC101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2408</v>
      </c>
      <c r="AD1011" s="1">
        <f>IF(ESTIMATIVA[[#This Row],[QT_AREA_REAL]]&gt;0,ESTIMATIVA[[#This Row],[QT_CANA_REAL]],ESTIMATIVA[[#This Row],[QT_CANA_EST]])</f>
        <v>2408</v>
      </c>
      <c r="AE1011" s="1">
        <f>IF(ESTIMATIVA[[#This Row],[QT_AREA_REAL]]&gt;0,ESTIMATIVA[[#This Row],[QT_CANA_REAL]],ESTIMATIVA[[#This Row],[QT_CANA_REST1]])</f>
        <v>2408</v>
      </c>
      <c r="AF1011" s="1">
        <f>IF(ESTIMATIVA[[#This Row],[QT_AREA_REAL]]&gt;0,ESTIMATIVA[[#This Row],[QT_CANA_REAL]],ESTIMATIVA[[#This Row],[QT_CANA_REST2]])</f>
        <v>2408</v>
      </c>
      <c r="AG1011" s="1" t="str">
        <f>IF(COUNTIFS(GEADA!A:A,VALUE(ESTIMATIVA[[#This Row],[CD_UPNIVEL1]]&amp;TEXT(ESTIMATIVA[[#This Row],[CD_UPNIVEL3]],"0000")))&gt;0,"S","N")</f>
        <v>N</v>
      </c>
      <c r="AH101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011" s="55" t="str">
        <f>IF(ESTIMATIVA[[#This Row],[TP_CULTIVO]]="Irrigado",_xlfn.MAXIFS(IRRIGADO!J:J,IRRIGADO!C:C,ESTIMATIVA[[#This Row],[CD_UPNIVEL1]],IRRIGADO!E:E,ESTIMATIVA[[#This Row],[CD_UPNIVEL3]]),"")</f>
        <v/>
      </c>
      <c r="AJ101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11" s="1">
        <f>COUNTIFS(Apresentação!$E$23:$E$29,ESTIMATIVA[[#This Row],[CD_UPNIVEL1]])</f>
        <v>0</v>
      </c>
    </row>
    <row r="1012" spans="1:37" x14ac:dyDescent="0.3">
      <c r="A1012">
        <v>20466</v>
      </c>
      <c r="B1012" t="s">
        <v>53</v>
      </c>
      <c r="C1012">
        <v>11</v>
      </c>
      <c r="D1012">
        <v>6</v>
      </c>
      <c r="E1012" t="s">
        <v>261</v>
      </c>
      <c r="F1012" s="85" t="s">
        <v>331</v>
      </c>
      <c r="G1012"/>
      <c r="H1012" t="s">
        <v>295</v>
      </c>
      <c r="I1012" t="s">
        <v>208</v>
      </c>
      <c r="J1012" t="s">
        <v>176</v>
      </c>
      <c r="K1012" s="1">
        <v>3.79</v>
      </c>
      <c r="L1012" s="1">
        <v>0</v>
      </c>
      <c r="M1012" s="1">
        <v>0</v>
      </c>
      <c r="N1012" s="1">
        <v>3.79</v>
      </c>
      <c r="O1012" s="1">
        <v>265.3</v>
      </c>
      <c r="P1012" s="1">
        <v>0</v>
      </c>
      <c r="Q1012" s="1">
        <v>0</v>
      </c>
      <c r="R1012" s="1">
        <v>286.07</v>
      </c>
      <c r="S1012" t="s">
        <v>12</v>
      </c>
      <c r="T1012" s="13">
        <v>45823</v>
      </c>
      <c r="U1012" s="1" t="str">
        <f>IF(ESTIMATIVA[[#This Row],[QT_AREA_REAL]]&gt;0,"1- Colhido","2- à Colher")</f>
        <v>1- Colhido</v>
      </c>
      <c r="V1012" s="1" t="str">
        <f>IF(ESTIMATIVA[[#This Row],[QT_AREA_REST1]]&gt;0,"Reestimativa 1",IF(ESTIMATIVA[[#This Row],[QT_AREA_REAL]]=0,"Reestimativa 1","Realizado"))</f>
        <v>Realizado</v>
      </c>
      <c r="W1012" s="1" t="str">
        <f>IF(ESTIMATIVA[[#This Row],[QT_AREA_REST2]]&gt;0,"Reestimativa 2",IF(ESTIMATIVA[[#This Row],[QT_AREA_REAL]]=0,"Reestimativa 2","Realizado"))</f>
        <v>Realizado</v>
      </c>
      <c r="X1012" s="1">
        <f>ESTIMATIVA[[#This Row],[QT_AREA_EST]]</f>
        <v>3.79</v>
      </c>
      <c r="Y1012" s="1">
        <f>IF(ESTIMATIVA[[#This Row],[QT_AREA_REST1]]&gt;0,ESTIMATIVA[[#This Row],[QT_AREA_REST1]],
  IF(ESTIMATIVA[[#This Row],[QT_AREA_REAL]]&gt;0,ESTIMATIVA[[#This Row],[QT_AREA_REAL]],ESTIMATIVA[[#This Row],[QT_AREA_EST]]))</f>
        <v>3.79</v>
      </c>
      <c r="Z101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3.79</v>
      </c>
      <c r="AA1012" s="1">
        <f>ESTIMATIVA[[#This Row],[QT_CANA_EST]]</f>
        <v>265.3</v>
      </c>
      <c r="AB1012" s="1">
        <f>IF(ESTIMATIVA[[#This Row],[QT_CANA_REST1]]&gt;0,ESTIMATIVA[[#This Row],[QT_CANA_REST1]],
  IF(ESTIMATIVA[[#This Row],[QT_CANA_REAL]]&gt;0,ESTIMATIVA[[#This Row],[QT_CANA_REAL]],ESTIMATIVA[[#This Row],[QT_CANA_EST]]))</f>
        <v>286.07</v>
      </c>
      <c r="AC101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286.07</v>
      </c>
      <c r="AD1012" s="1">
        <f>IF(ESTIMATIVA[[#This Row],[QT_AREA_REAL]]&gt;0,ESTIMATIVA[[#This Row],[QT_CANA_REAL]],ESTIMATIVA[[#This Row],[QT_CANA_EST]])</f>
        <v>286.07</v>
      </c>
      <c r="AE1012" s="1">
        <f>IF(ESTIMATIVA[[#This Row],[QT_AREA_REAL]]&gt;0,ESTIMATIVA[[#This Row],[QT_CANA_REAL]],ESTIMATIVA[[#This Row],[QT_CANA_REST1]])</f>
        <v>286.07</v>
      </c>
      <c r="AF1012" s="1">
        <f>IF(ESTIMATIVA[[#This Row],[QT_AREA_REAL]]&gt;0,ESTIMATIVA[[#This Row],[QT_CANA_REAL]],ESTIMATIVA[[#This Row],[QT_CANA_REST2]])</f>
        <v>286.07</v>
      </c>
      <c r="AG1012" s="1" t="str">
        <f>IF(COUNTIFS(GEADA!A:A,VALUE(ESTIMATIVA[[#This Row],[CD_UPNIVEL1]]&amp;TEXT(ESTIMATIVA[[#This Row],[CD_UPNIVEL3]],"0000")))&gt;0,"S","N")</f>
        <v>N</v>
      </c>
      <c r="AH101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012" s="55" t="str">
        <f>IF(ESTIMATIVA[[#This Row],[TP_CULTIVO]]="Irrigado",_xlfn.MAXIFS(IRRIGADO!J:J,IRRIGADO!C:C,ESTIMATIVA[[#This Row],[CD_UPNIVEL1]],IRRIGADO!E:E,ESTIMATIVA[[#This Row],[CD_UPNIVEL3]]),"")</f>
        <v/>
      </c>
      <c r="AJ101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12" s="1">
        <f>COUNTIFS(Apresentação!$E$23:$E$29,ESTIMATIVA[[#This Row],[CD_UPNIVEL1]])</f>
        <v>0</v>
      </c>
    </row>
    <row r="1013" spans="1:37" x14ac:dyDescent="0.3">
      <c r="A1013">
        <v>20466</v>
      </c>
      <c r="B1013" t="s">
        <v>53</v>
      </c>
      <c r="C1013">
        <v>12</v>
      </c>
      <c r="D1013">
        <v>6</v>
      </c>
      <c r="E1013" t="s">
        <v>261</v>
      </c>
      <c r="F1013" s="85" t="s">
        <v>331</v>
      </c>
      <c r="G1013"/>
      <c r="H1013" t="s">
        <v>295</v>
      </c>
      <c r="I1013" t="s">
        <v>208</v>
      </c>
      <c r="J1013" t="s">
        <v>176</v>
      </c>
      <c r="K1013" s="1">
        <v>10.88</v>
      </c>
      <c r="L1013" s="1">
        <v>0</v>
      </c>
      <c r="M1013" s="1">
        <v>0</v>
      </c>
      <c r="N1013" s="1">
        <v>10.88</v>
      </c>
      <c r="O1013" s="1">
        <v>761.6</v>
      </c>
      <c r="P1013" s="1">
        <v>0</v>
      </c>
      <c r="Q1013" s="1">
        <v>0</v>
      </c>
      <c r="R1013" s="1">
        <v>823.2</v>
      </c>
      <c r="S1013" t="s">
        <v>12</v>
      </c>
      <c r="T1013" s="13">
        <v>45823</v>
      </c>
      <c r="U1013" s="1" t="str">
        <f>IF(ESTIMATIVA[[#This Row],[QT_AREA_REAL]]&gt;0,"1- Colhido","2- à Colher")</f>
        <v>1- Colhido</v>
      </c>
      <c r="V1013" s="1" t="str">
        <f>IF(ESTIMATIVA[[#This Row],[QT_AREA_REST1]]&gt;0,"Reestimativa 1",IF(ESTIMATIVA[[#This Row],[QT_AREA_REAL]]=0,"Reestimativa 1","Realizado"))</f>
        <v>Realizado</v>
      </c>
      <c r="W1013" s="1" t="str">
        <f>IF(ESTIMATIVA[[#This Row],[QT_AREA_REST2]]&gt;0,"Reestimativa 2",IF(ESTIMATIVA[[#This Row],[QT_AREA_REAL]]=0,"Reestimativa 2","Realizado"))</f>
        <v>Realizado</v>
      </c>
      <c r="X1013" s="1">
        <f>ESTIMATIVA[[#This Row],[QT_AREA_EST]]</f>
        <v>10.88</v>
      </c>
      <c r="Y1013" s="1">
        <f>IF(ESTIMATIVA[[#This Row],[QT_AREA_REST1]]&gt;0,ESTIMATIVA[[#This Row],[QT_AREA_REST1]],
  IF(ESTIMATIVA[[#This Row],[QT_AREA_REAL]]&gt;0,ESTIMATIVA[[#This Row],[QT_AREA_REAL]],ESTIMATIVA[[#This Row],[QT_AREA_EST]]))</f>
        <v>10.88</v>
      </c>
      <c r="Z101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10.88</v>
      </c>
      <c r="AA1013" s="1">
        <f>ESTIMATIVA[[#This Row],[QT_CANA_EST]]</f>
        <v>761.6</v>
      </c>
      <c r="AB1013" s="1">
        <f>IF(ESTIMATIVA[[#This Row],[QT_CANA_REST1]]&gt;0,ESTIMATIVA[[#This Row],[QT_CANA_REST1]],
  IF(ESTIMATIVA[[#This Row],[QT_CANA_REAL]]&gt;0,ESTIMATIVA[[#This Row],[QT_CANA_REAL]],ESTIMATIVA[[#This Row],[QT_CANA_EST]]))</f>
        <v>823.2</v>
      </c>
      <c r="AC101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823.2</v>
      </c>
      <c r="AD1013" s="1">
        <f>IF(ESTIMATIVA[[#This Row],[QT_AREA_REAL]]&gt;0,ESTIMATIVA[[#This Row],[QT_CANA_REAL]],ESTIMATIVA[[#This Row],[QT_CANA_EST]])</f>
        <v>823.2</v>
      </c>
      <c r="AE1013" s="1">
        <f>IF(ESTIMATIVA[[#This Row],[QT_AREA_REAL]]&gt;0,ESTIMATIVA[[#This Row],[QT_CANA_REAL]],ESTIMATIVA[[#This Row],[QT_CANA_REST1]])</f>
        <v>823.2</v>
      </c>
      <c r="AF1013" s="1">
        <f>IF(ESTIMATIVA[[#This Row],[QT_AREA_REAL]]&gt;0,ESTIMATIVA[[#This Row],[QT_CANA_REAL]],ESTIMATIVA[[#This Row],[QT_CANA_REST2]])</f>
        <v>823.2</v>
      </c>
      <c r="AG1013" s="1" t="str">
        <f>IF(COUNTIFS(GEADA!A:A,VALUE(ESTIMATIVA[[#This Row],[CD_UPNIVEL1]]&amp;TEXT(ESTIMATIVA[[#This Row],[CD_UPNIVEL3]],"0000")))&gt;0,"S","N")</f>
        <v>N</v>
      </c>
      <c r="AH101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013" s="55" t="str">
        <f>IF(ESTIMATIVA[[#This Row],[TP_CULTIVO]]="Irrigado",_xlfn.MAXIFS(IRRIGADO!J:J,IRRIGADO!C:C,ESTIMATIVA[[#This Row],[CD_UPNIVEL1]],IRRIGADO!E:E,ESTIMATIVA[[#This Row],[CD_UPNIVEL3]]),"")</f>
        <v/>
      </c>
      <c r="AJ101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13" s="1">
        <f>COUNTIFS(Apresentação!$E$23:$E$29,ESTIMATIVA[[#This Row],[CD_UPNIVEL1]])</f>
        <v>0</v>
      </c>
    </row>
    <row r="1014" spans="1:37" x14ac:dyDescent="0.3">
      <c r="A1014">
        <v>20468</v>
      </c>
      <c r="B1014" t="s">
        <v>54</v>
      </c>
      <c r="C1014">
        <v>1</v>
      </c>
      <c r="D1014">
        <v>1</v>
      </c>
      <c r="E1014" t="s">
        <v>267</v>
      </c>
      <c r="F1014" s="85" t="s">
        <v>331</v>
      </c>
      <c r="G1014"/>
      <c r="H1014" t="s">
        <v>294</v>
      </c>
      <c r="I1014" t="s">
        <v>195</v>
      </c>
      <c r="J1014" t="s">
        <v>176</v>
      </c>
      <c r="K1014" s="1">
        <v>29.21</v>
      </c>
      <c r="L1014" s="1">
        <v>29.21</v>
      </c>
      <c r="M1014" s="1">
        <v>29.21</v>
      </c>
      <c r="N1014" s="1">
        <v>29.21</v>
      </c>
      <c r="O1014" s="1">
        <v>3213.1</v>
      </c>
      <c r="P1014" s="1">
        <v>3213.1</v>
      </c>
      <c r="Q1014" s="1">
        <v>3213.1</v>
      </c>
      <c r="R1014" s="1">
        <v>2574.11</v>
      </c>
      <c r="S1014" t="s">
        <v>12</v>
      </c>
      <c r="T1014" s="13">
        <v>45942</v>
      </c>
      <c r="U1014" s="1" t="str">
        <f>IF(ESTIMATIVA[[#This Row],[QT_AREA_REAL]]&gt;0,"1- Colhido","2- à Colher")</f>
        <v>1- Colhido</v>
      </c>
      <c r="V1014" s="1" t="str">
        <f>IF(ESTIMATIVA[[#This Row],[QT_AREA_REST1]]&gt;0,"Reestimativa 1",IF(ESTIMATIVA[[#This Row],[QT_AREA_REAL]]=0,"Reestimativa 1","Realizado"))</f>
        <v>Reestimativa 1</v>
      </c>
      <c r="W1014" s="1" t="str">
        <f>IF(ESTIMATIVA[[#This Row],[QT_AREA_REST2]]&gt;0,"Reestimativa 2",IF(ESTIMATIVA[[#This Row],[QT_AREA_REAL]]=0,"Reestimativa 2","Realizado"))</f>
        <v>Reestimativa 2</v>
      </c>
      <c r="X1014" s="1">
        <f>ESTIMATIVA[[#This Row],[QT_AREA_EST]]</f>
        <v>29.21</v>
      </c>
      <c r="Y1014" s="1">
        <f>IF(ESTIMATIVA[[#This Row],[QT_AREA_REST1]]&gt;0,ESTIMATIVA[[#This Row],[QT_AREA_REST1]],
  IF(ESTIMATIVA[[#This Row],[QT_AREA_REAL]]&gt;0,ESTIMATIVA[[#This Row],[QT_AREA_REAL]],ESTIMATIVA[[#This Row],[QT_AREA_EST]]))</f>
        <v>29.21</v>
      </c>
      <c r="Z101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29.21</v>
      </c>
      <c r="AA1014" s="1">
        <f>ESTIMATIVA[[#This Row],[QT_CANA_EST]]</f>
        <v>3213.1</v>
      </c>
      <c r="AB1014" s="1">
        <f>IF(ESTIMATIVA[[#This Row],[QT_CANA_REST1]]&gt;0,ESTIMATIVA[[#This Row],[QT_CANA_REST1]],
  IF(ESTIMATIVA[[#This Row],[QT_CANA_REAL]]&gt;0,ESTIMATIVA[[#This Row],[QT_CANA_REAL]],ESTIMATIVA[[#This Row],[QT_CANA_EST]]))</f>
        <v>3213.1</v>
      </c>
      <c r="AC101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3213.1</v>
      </c>
      <c r="AD1014" s="1">
        <f>IF(ESTIMATIVA[[#This Row],[QT_AREA_REAL]]&gt;0,ESTIMATIVA[[#This Row],[QT_CANA_REAL]],ESTIMATIVA[[#This Row],[QT_CANA_EST]])</f>
        <v>2574.11</v>
      </c>
      <c r="AE1014" s="1">
        <f>IF(ESTIMATIVA[[#This Row],[QT_AREA_REAL]]&gt;0,ESTIMATIVA[[#This Row],[QT_CANA_REAL]],ESTIMATIVA[[#This Row],[QT_CANA_REST1]])</f>
        <v>2574.11</v>
      </c>
      <c r="AF1014" s="1">
        <f>IF(ESTIMATIVA[[#This Row],[QT_AREA_REAL]]&gt;0,ESTIMATIVA[[#This Row],[QT_CANA_REAL]],ESTIMATIVA[[#This Row],[QT_CANA_REST2]])</f>
        <v>2574.11</v>
      </c>
      <c r="AG1014" s="1" t="str">
        <f>IF(COUNTIFS(GEADA!A:A,VALUE(ESTIMATIVA[[#This Row],[CD_UPNIVEL1]]&amp;TEXT(ESTIMATIVA[[#This Row],[CD_UPNIVEL3]],"0000")))&gt;0,"S","N")</f>
        <v>N</v>
      </c>
      <c r="AH101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14" s="55" t="str">
        <f>IF(ESTIMATIVA[[#This Row],[TP_CULTIVO]]="Irrigado",_xlfn.MAXIFS(IRRIGADO!J:J,IRRIGADO!C:C,ESTIMATIVA[[#This Row],[CD_UPNIVEL1]],IRRIGADO!E:E,ESTIMATIVA[[#This Row],[CD_UPNIVEL3]]),"")</f>
        <v/>
      </c>
      <c r="AJ101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14" s="1">
        <f>COUNTIFS(Apresentação!$E$23:$E$29,ESTIMATIVA[[#This Row],[CD_UPNIVEL1]])</f>
        <v>0</v>
      </c>
    </row>
    <row r="1015" spans="1:37" x14ac:dyDescent="0.3">
      <c r="A1015">
        <v>20468</v>
      </c>
      <c r="B1015" t="s">
        <v>54</v>
      </c>
      <c r="C1015">
        <v>2</v>
      </c>
      <c r="D1015">
        <v>1</v>
      </c>
      <c r="E1015" t="s">
        <v>267</v>
      </c>
      <c r="F1015" s="85" t="s">
        <v>331</v>
      </c>
      <c r="G1015"/>
      <c r="H1015" t="s">
        <v>294</v>
      </c>
      <c r="I1015" t="s">
        <v>195</v>
      </c>
      <c r="J1015" t="s">
        <v>176</v>
      </c>
      <c r="K1015" s="1">
        <v>21.44</v>
      </c>
      <c r="L1015" s="1">
        <v>21.44</v>
      </c>
      <c r="M1015" s="1">
        <v>21.44</v>
      </c>
      <c r="N1015" s="1">
        <v>21.44</v>
      </c>
      <c r="O1015" s="1">
        <v>2358.4</v>
      </c>
      <c r="P1015" s="1">
        <v>2379.84</v>
      </c>
      <c r="Q1015" s="1">
        <v>2358.4</v>
      </c>
      <c r="R1015" s="1">
        <v>1889.25</v>
      </c>
      <c r="S1015" t="s">
        <v>12</v>
      </c>
      <c r="T1015" s="13">
        <v>45942</v>
      </c>
      <c r="U1015" s="1" t="str">
        <f>IF(ESTIMATIVA[[#This Row],[QT_AREA_REAL]]&gt;0,"1- Colhido","2- à Colher")</f>
        <v>1- Colhido</v>
      </c>
      <c r="V1015" s="1" t="str">
        <f>IF(ESTIMATIVA[[#This Row],[QT_AREA_REST1]]&gt;0,"Reestimativa 1",IF(ESTIMATIVA[[#This Row],[QT_AREA_REAL]]=0,"Reestimativa 1","Realizado"))</f>
        <v>Reestimativa 1</v>
      </c>
      <c r="W1015" s="1" t="str">
        <f>IF(ESTIMATIVA[[#This Row],[QT_AREA_REST2]]&gt;0,"Reestimativa 2",IF(ESTIMATIVA[[#This Row],[QT_AREA_REAL]]=0,"Reestimativa 2","Realizado"))</f>
        <v>Reestimativa 2</v>
      </c>
      <c r="X1015" s="1">
        <f>ESTIMATIVA[[#This Row],[QT_AREA_EST]]</f>
        <v>21.44</v>
      </c>
      <c r="Y1015" s="1">
        <f>IF(ESTIMATIVA[[#This Row],[QT_AREA_REST1]]&gt;0,ESTIMATIVA[[#This Row],[QT_AREA_REST1]],
  IF(ESTIMATIVA[[#This Row],[QT_AREA_REAL]]&gt;0,ESTIMATIVA[[#This Row],[QT_AREA_REAL]],ESTIMATIVA[[#This Row],[QT_AREA_EST]]))</f>
        <v>21.44</v>
      </c>
      <c r="Z101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21.44</v>
      </c>
      <c r="AA1015" s="1">
        <f>ESTIMATIVA[[#This Row],[QT_CANA_EST]]</f>
        <v>2358.4</v>
      </c>
      <c r="AB1015" s="1">
        <f>IF(ESTIMATIVA[[#This Row],[QT_CANA_REST1]]&gt;0,ESTIMATIVA[[#This Row],[QT_CANA_REST1]],
  IF(ESTIMATIVA[[#This Row],[QT_CANA_REAL]]&gt;0,ESTIMATIVA[[#This Row],[QT_CANA_REAL]],ESTIMATIVA[[#This Row],[QT_CANA_EST]]))</f>
        <v>2379.84</v>
      </c>
      <c r="AC101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2358.4</v>
      </c>
      <c r="AD1015" s="1">
        <f>IF(ESTIMATIVA[[#This Row],[QT_AREA_REAL]]&gt;0,ESTIMATIVA[[#This Row],[QT_CANA_REAL]],ESTIMATIVA[[#This Row],[QT_CANA_EST]])</f>
        <v>1889.25</v>
      </c>
      <c r="AE1015" s="1">
        <f>IF(ESTIMATIVA[[#This Row],[QT_AREA_REAL]]&gt;0,ESTIMATIVA[[#This Row],[QT_CANA_REAL]],ESTIMATIVA[[#This Row],[QT_CANA_REST1]])</f>
        <v>1889.25</v>
      </c>
      <c r="AF1015" s="1">
        <f>IF(ESTIMATIVA[[#This Row],[QT_AREA_REAL]]&gt;0,ESTIMATIVA[[#This Row],[QT_CANA_REAL]],ESTIMATIVA[[#This Row],[QT_CANA_REST2]])</f>
        <v>1889.25</v>
      </c>
      <c r="AG1015" s="1" t="str">
        <f>IF(COUNTIFS(GEADA!A:A,VALUE(ESTIMATIVA[[#This Row],[CD_UPNIVEL1]]&amp;TEXT(ESTIMATIVA[[#This Row],[CD_UPNIVEL3]],"0000")))&gt;0,"S","N")</f>
        <v>N</v>
      </c>
      <c r="AH101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15" s="55" t="str">
        <f>IF(ESTIMATIVA[[#This Row],[TP_CULTIVO]]="Irrigado",_xlfn.MAXIFS(IRRIGADO!J:J,IRRIGADO!C:C,ESTIMATIVA[[#This Row],[CD_UPNIVEL1]],IRRIGADO!E:E,ESTIMATIVA[[#This Row],[CD_UPNIVEL3]]),"")</f>
        <v/>
      </c>
      <c r="AJ101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15" s="1">
        <f>COUNTIFS(Apresentação!$E$23:$E$29,ESTIMATIVA[[#This Row],[CD_UPNIVEL1]])</f>
        <v>0</v>
      </c>
    </row>
    <row r="1016" spans="1:37" x14ac:dyDescent="0.3">
      <c r="A1016">
        <v>20468</v>
      </c>
      <c r="B1016" t="s">
        <v>54</v>
      </c>
      <c r="C1016">
        <v>3</v>
      </c>
      <c r="D1016">
        <v>1</v>
      </c>
      <c r="E1016" t="s">
        <v>267</v>
      </c>
      <c r="F1016" s="85" t="s">
        <v>331</v>
      </c>
      <c r="G1016"/>
      <c r="H1016" t="s">
        <v>294</v>
      </c>
      <c r="I1016" t="s">
        <v>195</v>
      </c>
      <c r="J1016" t="s">
        <v>176</v>
      </c>
      <c r="K1016" s="1">
        <v>8.64</v>
      </c>
      <c r="L1016" s="1">
        <v>8.64</v>
      </c>
      <c r="M1016" s="1">
        <v>8.64</v>
      </c>
      <c r="N1016" s="1">
        <v>8.64</v>
      </c>
      <c r="O1016" s="1">
        <v>950.4</v>
      </c>
      <c r="P1016" s="1">
        <v>959.04</v>
      </c>
      <c r="Q1016" s="1">
        <v>950.4</v>
      </c>
      <c r="R1016" s="1">
        <v>697.33</v>
      </c>
      <c r="S1016" t="s">
        <v>12</v>
      </c>
      <c r="T1016" s="13">
        <v>45942</v>
      </c>
      <c r="U1016" s="1" t="str">
        <f>IF(ESTIMATIVA[[#This Row],[QT_AREA_REAL]]&gt;0,"1- Colhido","2- à Colher")</f>
        <v>1- Colhido</v>
      </c>
      <c r="V1016" s="1" t="str">
        <f>IF(ESTIMATIVA[[#This Row],[QT_AREA_REST1]]&gt;0,"Reestimativa 1",IF(ESTIMATIVA[[#This Row],[QT_AREA_REAL]]=0,"Reestimativa 1","Realizado"))</f>
        <v>Reestimativa 1</v>
      </c>
      <c r="W1016" s="1" t="str">
        <f>IF(ESTIMATIVA[[#This Row],[QT_AREA_REST2]]&gt;0,"Reestimativa 2",IF(ESTIMATIVA[[#This Row],[QT_AREA_REAL]]=0,"Reestimativa 2","Realizado"))</f>
        <v>Reestimativa 2</v>
      </c>
      <c r="X1016" s="1">
        <f>ESTIMATIVA[[#This Row],[QT_AREA_EST]]</f>
        <v>8.64</v>
      </c>
      <c r="Y1016" s="1">
        <f>IF(ESTIMATIVA[[#This Row],[QT_AREA_REST1]]&gt;0,ESTIMATIVA[[#This Row],[QT_AREA_REST1]],
  IF(ESTIMATIVA[[#This Row],[QT_AREA_REAL]]&gt;0,ESTIMATIVA[[#This Row],[QT_AREA_REAL]],ESTIMATIVA[[#This Row],[QT_AREA_EST]]))</f>
        <v>8.64</v>
      </c>
      <c r="Z101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8.64</v>
      </c>
      <c r="AA1016" s="1">
        <f>ESTIMATIVA[[#This Row],[QT_CANA_EST]]</f>
        <v>950.4</v>
      </c>
      <c r="AB1016" s="1">
        <f>IF(ESTIMATIVA[[#This Row],[QT_CANA_REST1]]&gt;0,ESTIMATIVA[[#This Row],[QT_CANA_REST1]],
  IF(ESTIMATIVA[[#This Row],[QT_CANA_REAL]]&gt;0,ESTIMATIVA[[#This Row],[QT_CANA_REAL]],ESTIMATIVA[[#This Row],[QT_CANA_EST]]))</f>
        <v>959.04</v>
      </c>
      <c r="AC101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950.4</v>
      </c>
      <c r="AD1016" s="1">
        <f>IF(ESTIMATIVA[[#This Row],[QT_AREA_REAL]]&gt;0,ESTIMATIVA[[#This Row],[QT_CANA_REAL]],ESTIMATIVA[[#This Row],[QT_CANA_EST]])</f>
        <v>697.33</v>
      </c>
      <c r="AE1016" s="1">
        <f>IF(ESTIMATIVA[[#This Row],[QT_AREA_REAL]]&gt;0,ESTIMATIVA[[#This Row],[QT_CANA_REAL]],ESTIMATIVA[[#This Row],[QT_CANA_REST1]])</f>
        <v>697.33</v>
      </c>
      <c r="AF1016" s="1">
        <f>IF(ESTIMATIVA[[#This Row],[QT_AREA_REAL]]&gt;0,ESTIMATIVA[[#This Row],[QT_CANA_REAL]],ESTIMATIVA[[#This Row],[QT_CANA_REST2]])</f>
        <v>697.33</v>
      </c>
      <c r="AG1016" s="1" t="str">
        <f>IF(COUNTIFS(GEADA!A:A,VALUE(ESTIMATIVA[[#This Row],[CD_UPNIVEL1]]&amp;TEXT(ESTIMATIVA[[#This Row],[CD_UPNIVEL3]],"0000")))&gt;0,"S","N")</f>
        <v>N</v>
      </c>
      <c r="AH101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16" s="55" t="str">
        <f>IF(ESTIMATIVA[[#This Row],[TP_CULTIVO]]="Irrigado",_xlfn.MAXIFS(IRRIGADO!J:J,IRRIGADO!C:C,ESTIMATIVA[[#This Row],[CD_UPNIVEL1]],IRRIGADO!E:E,ESTIMATIVA[[#This Row],[CD_UPNIVEL3]]),"")</f>
        <v/>
      </c>
      <c r="AJ101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16" s="1">
        <f>COUNTIFS(Apresentação!$E$23:$E$29,ESTIMATIVA[[#This Row],[CD_UPNIVEL1]])</f>
        <v>0</v>
      </c>
    </row>
    <row r="1017" spans="1:37" x14ac:dyDescent="0.3">
      <c r="A1017">
        <v>20468</v>
      </c>
      <c r="B1017" t="s">
        <v>54</v>
      </c>
      <c r="C1017">
        <v>8</v>
      </c>
      <c r="D1017">
        <v>2</v>
      </c>
      <c r="E1017" t="s">
        <v>266</v>
      </c>
      <c r="F1017" s="85" t="s">
        <v>331</v>
      </c>
      <c r="G1017"/>
      <c r="H1017" t="s">
        <v>294</v>
      </c>
      <c r="I1017" t="s">
        <v>203</v>
      </c>
      <c r="J1017" t="s">
        <v>176</v>
      </c>
      <c r="K1017" s="1">
        <v>35.090000000000003</v>
      </c>
      <c r="L1017" s="1">
        <v>35.090000000000003</v>
      </c>
      <c r="M1017" s="1">
        <v>35.090000000000003</v>
      </c>
      <c r="N1017" s="1">
        <v>35.090000000000003</v>
      </c>
      <c r="O1017" s="1">
        <v>3333.55</v>
      </c>
      <c r="P1017" s="1">
        <v>3403.73</v>
      </c>
      <c r="Q1017" s="1">
        <v>3193.19</v>
      </c>
      <c r="R1017" s="1">
        <v>2785.78</v>
      </c>
      <c r="S1017" t="s">
        <v>12</v>
      </c>
      <c r="T1017" s="13">
        <v>45998</v>
      </c>
      <c r="U1017" s="1" t="str">
        <f>IF(ESTIMATIVA[[#This Row],[QT_AREA_REAL]]&gt;0,"1- Colhido","2- à Colher")</f>
        <v>1- Colhido</v>
      </c>
      <c r="V1017" s="1" t="str">
        <f>IF(ESTIMATIVA[[#This Row],[QT_AREA_REST1]]&gt;0,"Reestimativa 1",IF(ESTIMATIVA[[#This Row],[QT_AREA_REAL]]=0,"Reestimativa 1","Realizado"))</f>
        <v>Reestimativa 1</v>
      </c>
      <c r="W1017" s="1" t="str">
        <f>IF(ESTIMATIVA[[#This Row],[QT_AREA_REST2]]&gt;0,"Reestimativa 2",IF(ESTIMATIVA[[#This Row],[QT_AREA_REAL]]=0,"Reestimativa 2","Realizado"))</f>
        <v>Reestimativa 2</v>
      </c>
      <c r="X1017" s="1">
        <f>ESTIMATIVA[[#This Row],[QT_AREA_EST]]</f>
        <v>35.090000000000003</v>
      </c>
      <c r="Y1017" s="1">
        <f>IF(ESTIMATIVA[[#This Row],[QT_AREA_REST1]]&gt;0,ESTIMATIVA[[#This Row],[QT_AREA_REST1]],
  IF(ESTIMATIVA[[#This Row],[QT_AREA_REAL]]&gt;0,ESTIMATIVA[[#This Row],[QT_AREA_REAL]],ESTIMATIVA[[#This Row],[QT_AREA_EST]]))</f>
        <v>35.090000000000003</v>
      </c>
      <c r="Z101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35.090000000000003</v>
      </c>
      <c r="AA1017" s="1">
        <f>ESTIMATIVA[[#This Row],[QT_CANA_EST]]</f>
        <v>3333.55</v>
      </c>
      <c r="AB1017" s="1">
        <f>IF(ESTIMATIVA[[#This Row],[QT_CANA_REST1]]&gt;0,ESTIMATIVA[[#This Row],[QT_CANA_REST1]],
  IF(ESTIMATIVA[[#This Row],[QT_CANA_REAL]]&gt;0,ESTIMATIVA[[#This Row],[QT_CANA_REAL]],ESTIMATIVA[[#This Row],[QT_CANA_EST]]))</f>
        <v>3403.73</v>
      </c>
      <c r="AC101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3193.19</v>
      </c>
      <c r="AD1017" s="1">
        <f>IF(ESTIMATIVA[[#This Row],[QT_AREA_REAL]]&gt;0,ESTIMATIVA[[#This Row],[QT_CANA_REAL]],ESTIMATIVA[[#This Row],[QT_CANA_EST]])</f>
        <v>2785.78</v>
      </c>
      <c r="AE1017" s="1">
        <f>IF(ESTIMATIVA[[#This Row],[QT_AREA_REAL]]&gt;0,ESTIMATIVA[[#This Row],[QT_CANA_REAL]],ESTIMATIVA[[#This Row],[QT_CANA_REST1]])</f>
        <v>2785.78</v>
      </c>
      <c r="AF1017" s="1">
        <f>IF(ESTIMATIVA[[#This Row],[QT_AREA_REAL]]&gt;0,ESTIMATIVA[[#This Row],[QT_CANA_REAL]],ESTIMATIVA[[#This Row],[QT_CANA_REST2]])</f>
        <v>2785.78</v>
      </c>
      <c r="AG1017" s="1" t="str">
        <f>IF(COUNTIFS(GEADA!A:A,VALUE(ESTIMATIVA[[#This Row],[CD_UPNIVEL1]]&amp;TEXT(ESTIMATIVA[[#This Row],[CD_UPNIVEL3]],"0000")))&gt;0,"S","N")</f>
        <v>N</v>
      </c>
      <c r="AH101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17" s="55" t="str">
        <f>IF(ESTIMATIVA[[#This Row],[TP_CULTIVO]]="Irrigado",_xlfn.MAXIFS(IRRIGADO!J:J,IRRIGADO!C:C,ESTIMATIVA[[#This Row],[CD_UPNIVEL1]],IRRIGADO!E:E,ESTIMATIVA[[#This Row],[CD_UPNIVEL3]]),"")</f>
        <v/>
      </c>
      <c r="AJ101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17" s="1">
        <f>COUNTIFS(Apresentação!$E$23:$E$29,ESTIMATIVA[[#This Row],[CD_UPNIVEL1]])</f>
        <v>0</v>
      </c>
    </row>
    <row r="1018" spans="1:37" x14ac:dyDescent="0.3">
      <c r="A1018">
        <v>20468</v>
      </c>
      <c r="B1018" t="s">
        <v>54</v>
      </c>
      <c r="C1018">
        <v>9</v>
      </c>
      <c r="D1018">
        <v>2</v>
      </c>
      <c r="E1018" t="s">
        <v>266</v>
      </c>
      <c r="F1018" s="85" t="s">
        <v>331</v>
      </c>
      <c r="G1018"/>
      <c r="H1018" t="s">
        <v>294</v>
      </c>
      <c r="I1018" t="s">
        <v>195</v>
      </c>
      <c r="J1018" t="s">
        <v>176</v>
      </c>
      <c r="K1018" s="1">
        <v>12.47</v>
      </c>
      <c r="L1018" s="1">
        <v>12.47</v>
      </c>
      <c r="M1018" s="1">
        <v>12.47</v>
      </c>
      <c r="N1018" s="1">
        <v>12.47</v>
      </c>
      <c r="O1018" s="1">
        <v>1059.95</v>
      </c>
      <c r="P1018" s="1">
        <v>1072.42</v>
      </c>
      <c r="Q1018" s="1">
        <v>1072.42</v>
      </c>
      <c r="R1018" s="1">
        <v>935.5</v>
      </c>
      <c r="S1018" t="s">
        <v>12</v>
      </c>
      <c r="T1018" s="13">
        <v>45998</v>
      </c>
      <c r="U1018" s="1" t="str">
        <f>IF(ESTIMATIVA[[#This Row],[QT_AREA_REAL]]&gt;0,"1- Colhido","2- à Colher")</f>
        <v>1- Colhido</v>
      </c>
      <c r="V1018" s="1" t="str">
        <f>IF(ESTIMATIVA[[#This Row],[QT_AREA_REST1]]&gt;0,"Reestimativa 1",IF(ESTIMATIVA[[#This Row],[QT_AREA_REAL]]=0,"Reestimativa 1","Realizado"))</f>
        <v>Reestimativa 1</v>
      </c>
      <c r="W1018" s="1" t="str">
        <f>IF(ESTIMATIVA[[#This Row],[QT_AREA_REST2]]&gt;0,"Reestimativa 2",IF(ESTIMATIVA[[#This Row],[QT_AREA_REAL]]=0,"Reestimativa 2","Realizado"))</f>
        <v>Reestimativa 2</v>
      </c>
      <c r="X1018" s="1">
        <f>ESTIMATIVA[[#This Row],[QT_AREA_EST]]</f>
        <v>12.47</v>
      </c>
      <c r="Y1018" s="1">
        <f>IF(ESTIMATIVA[[#This Row],[QT_AREA_REST1]]&gt;0,ESTIMATIVA[[#This Row],[QT_AREA_REST1]],
  IF(ESTIMATIVA[[#This Row],[QT_AREA_REAL]]&gt;0,ESTIMATIVA[[#This Row],[QT_AREA_REAL]],ESTIMATIVA[[#This Row],[QT_AREA_EST]]))</f>
        <v>12.47</v>
      </c>
      <c r="Z101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12.47</v>
      </c>
      <c r="AA1018" s="1">
        <f>ESTIMATIVA[[#This Row],[QT_CANA_EST]]</f>
        <v>1059.95</v>
      </c>
      <c r="AB1018" s="1">
        <f>IF(ESTIMATIVA[[#This Row],[QT_CANA_REST1]]&gt;0,ESTIMATIVA[[#This Row],[QT_CANA_REST1]],
  IF(ESTIMATIVA[[#This Row],[QT_CANA_REAL]]&gt;0,ESTIMATIVA[[#This Row],[QT_CANA_REAL]],ESTIMATIVA[[#This Row],[QT_CANA_EST]]))</f>
        <v>1072.42</v>
      </c>
      <c r="AC101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1072.42</v>
      </c>
      <c r="AD1018" s="1">
        <f>IF(ESTIMATIVA[[#This Row],[QT_AREA_REAL]]&gt;0,ESTIMATIVA[[#This Row],[QT_CANA_REAL]],ESTIMATIVA[[#This Row],[QT_CANA_EST]])</f>
        <v>935.5</v>
      </c>
      <c r="AE1018" s="1">
        <f>IF(ESTIMATIVA[[#This Row],[QT_AREA_REAL]]&gt;0,ESTIMATIVA[[#This Row],[QT_CANA_REAL]],ESTIMATIVA[[#This Row],[QT_CANA_REST1]])</f>
        <v>935.5</v>
      </c>
      <c r="AF1018" s="1">
        <f>IF(ESTIMATIVA[[#This Row],[QT_AREA_REAL]]&gt;0,ESTIMATIVA[[#This Row],[QT_CANA_REAL]],ESTIMATIVA[[#This Row],[QT_CANA_REST2]])</f>
        <v>935.5</v>
      </c>
      <c r="AG1018" s="1" t="str">
        <f>IF(COUNTIFS(GEADA!A:A,VALUE(ESTIMATIVA[[#This Row],[CD_UPNIVEL1]]&amp;TEXT(ESTIMATIVA[[#This Row],[CD_UPNIVEL3]],"0000")))&gt;0,"S","N")</f>
        <v>N</v>
      </c>
      <c r="AH101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18" s="55" t="str">
        <f>IF(ESTIMATIVA[[#This Row],[TP_CULTIVO]]="Irrigado",_xlfn.MAXIFS(IRRIGADO!J:J,IRRIGADO!C:C,ESTIMATIVA[[#This Row],[CD_UPNIVEL1]],IRRIGADO!E:E,ESTIMATIVA[[#This Row],[CD_UPNIVEL3]]),"")</f>
        <v/>
      </c>
      <c r="AJ101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18" s="1">
        <f>COUNTIFS(Apresentação!$E$23:$E$29,ESTIMATIVA[[#This Row],[CD_UPNIVEL1]])</f>
        <v>0</v>
      </c>
    </row>
    <row r="1019" spans="1:37" x14ac:dyDescent="0.3">
      <c r="A1019">
        <v>20468</v>
      </c>
      <c r="B1019" t="s">
        <v>54</v>
      </c>
      <c r="C1019">
        <v>10</v>
      </c>
      <c r="D1019">
        <v>2</v>
      </c>
      <c r="E1019" t="s">
        <v>266</v>
      </c>
      <c r="F1019" s="85" t="s">
        <v>331</v>
      </c>
      <c r="G1019"/>
      <c r="H1019" t="s">
        <v>294</v>
      </c>
      <c r="I1019" t="s">
        <v>224</v>
      </c>
      <c r="J1019" t="s">
        <v>176</v>
      </c>
      <c r="K1019" s="1">
        <v>29.12</v>
      </c>
      <c r="L1019" s="1">
        <v>29.12</v>
      </c>
      <c r="M1019" s="1">
        <v>29.12</v>
      </c>
      <c r="N1019" s="1">
        <v>29.12</v>
      </c>
      <c r="O1019" s="1">
        <v>2504.3200000000002</v>
      </c>
      <c r="P1019" s="1">
        <v>2533.44</v>
      </c>
      <c r="Q1019" s="1">
        <v>2213.12</v>
      </c>
      <c r="R1019" s="1">
        <v>1930.66</v>
      </c>
      <c r="S1019" t="s">
        <v>12</v>
      </c>
      <c r="T1019" s="13">
        <v>45998</v>
      </c>
      <c r="U1019" s="1" t="str">
        <f>IF(ESTIMATIVA[[#This Row],[QT_AREA_REAL]]&gt;0,"1- Colhido","2- à Colher")</f>
        <v>1- Colhido</v>
      </c>
      <c r="V1019" s="1" t="str">
        <f>IF(ESTIMATIVA[[#This Row],[QT_AREA_REST1]]&gt;0,"Reestimativa 1",IF(ESTIMATIVA[[#This Row],[QT_AREA_REAL]]=0,"Reestimativa 1","Realizado"))</f>
        <v>Reestimativa 1</v>
      </c>
      <c r="W1019" s="1" t="str">
        <f>IF(ESTIMATIVA[[#This Row],[QT_AREA_REST2]]&gt;0,"Reestimativa 2",IF(ESTIMATIVA[[#This Row],[QT_AREA_REAL]]=0,"Reestimativa 2","Realizado"))</f>
        <v>Reestimativa 2</v>
      </c>
      <c r="X1019" s="1">
        <f>ESTIMATIVA[[#This Row],[QT_AREA_EST]]</f>
        <v>29.12</v>
      </c>
      <c r="Y1019" s="1">
        <f>IF(ESTIMATIVA[[#This Row],[QT_AREA_REST1]]&gt;0,ESTIMATIVA[[#This Row],[QT_AREA_REST1]],
  IF(ESTIMATIVA[[#This Row],[QT_AREA_REAL]]&gt;0,ESTIMATIVA[[#This Row],[QT_AREA_REAL]],ESTIMATIVA[[#This Row],[QT_AREA_EST]]))</f>
        <v>29.12</v>
      </c>
      <c r="Z101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29.12</v>
      </c>
      <c r="AA1019" s="1">
        <f>ESTIMATIVA[[#This Row],[QT_CANA_EST]]</f>
        <v>2504.3200000000002</v>
      </c>
      <c r="AB1019" s="1">
        <f>IF(ESTIMATIVA[[#This Row],[QT_CANA_REST1]]&gt;0,ESTIMATIVA[[#This Row],[QT_CANA_REST1]],
  IF(ESTIMATIVA[[#This Row],[QT_CANA_REAL]]&gt;0,ESTIMATIVA[[#This Row],[QT_CANA_REAL]],ESTIMATIVA[[#This Row],[QT_CANA_EST]]))</f>
        <v>2533.44</v>
      </c>
      <c r="AC101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2213.12</v>
      </c>
      <c r="AD1019" s="1">
        <f>IF(ESTIMATIVA[[#This Row],[QT_AREA_REAL]]&gt;0,ESTIMATIVA[[#This Row],[QT_CANA_REAL]],ESTIMATIVA[[#This Row],[QT_CANA_EST]])</f>
        <v>1930.66</v>
      </c>
      <c r="AE1019" s="1">
        <f>IF(ESTIMATIVA[[#This Row],[QT_AREA_REAL]]&gt;0,ESTIMATIVA[[#This Row],[QT_CANA_REAL]],ESTIMATIVA[[#This Row],[QT_CANA_REST1]])</f>
        <v>1930.66</v>
      </c>
      <c r="AF1019" s="1">
        <f>IF(ESTIMATIVA[[#This Row],[QT_AREA_REAL]]&gt;0,ESTIMATIVA[[#This Row],[QT_CANA_REAL]],ESTIMATIVA[[#This Row],[QT_CANA_REST2]])</f>
        <v>1930.66</v>
      </c>
      <c r="AG1019" s="1" t="str">
        <f>IF(COUNTIFS(GEADA!A:A,VALUE(ESTIMATIVA[[#This Row],[CD_UPNIVEL1]]&amp;TEXT(ESTIMATIVA[[#This Row],[CD_UPNIVEL3]],"0000")))&gt;0,"S","N")</f>
        <v>N</v>
      </c>
      <c r="AH101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19" s="55" t="str">
        <f>IF(ESTIMATIVA[[#This Row],[TP_CULTIVO]]="Irrigado",_xlfn.MAXIFS(IRRIGADO!J:J,IRRIGADO!C:C,ESTIMATIVA[[#This Row],[CD_UPNIVEL1]],IRRIGADO!E:E,ESTIMATIVA[[#This Row],[CD_UPNIVEL3]]),"")</f>
        <v/>
      </c>
      <c r="AJ101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19" s="1">
        <f>COUNTIFS(Apresentação!$E$23:$E$29,ESTIMATIVA[[#This Row],[CD_UPNIVEL1]])</f>
        <v>0</v>
      </c>
    </row>
    <row r="1020" spans="1:37" x14ac:dyDescent="0.3">
      <c r="A1020">
        <v>20468</v>
      </c>
      <c r="B1020" t="s">
        <v>54</v>
      </c>
      <c r="C1020">
        <v>11</v>
      </c>
      <c r="D1020">
        <v>2</v>
      </c>
      <c r="E1020" t="s">
        <v>266</v>
      </c>
      <c r="F1020" s="85" t="s">
        <v>333</v>
      </c>
      <c r="G1020"/>
      <c r="H1020" t="s">
        <v>294</v>
      </c>
      <c r="I1020" t="s">
        <v>195</v>
      </c>
      <c r="J1020" t="s">
        <v>176</v>
      </c>
      <c r="K1020" s="1">
        <v>38.32</v>
      </c>
      <c r="L1020" s="1">
        <v>38.32</v>
      </c>
      <c r="M1020" s="1">
        <v>38.32</v>
      </c>
      <c r="N1020" s="1">
        <v>38.32</v>
      </c>
      <c r="O1020" s="1">
        <v>3065.6</v>
      </c>
      <c r="P1020" s="1">
        <v>3142.24</v>
      </c>
      <c r="Q1020" s="1">
        <v>2337.52</v>
      </c>
      <c r="R1020" s="1">
        <v>2039.2</v>
      </c>
      <c r="S1020" t="s">
        <v>12</v>
      </c>
      <c r="T1020" s="13">
        <v>45998</v>
      </c>
      <c r="U1020" s="1" t="str">
        <f>IF(ESTIMATIVA[[#This Row],[QT_AREA_REAL]]&gt;0,"1- Colhido","2- à Colher")</f>
        <v>1- Colhido</v>
      </c>
      <c r="V1020" s="1" t="str">
        <f>IF(ESTIMATIVA[[#This Row],[QT_AREA_REST1]]&gt;0,"Reestimativa 1",IF(ESTIMATIVA[[#This Row],[QT_AREA_REAL]]=0,"Reestimativa 1","Realizado"))</f>
        <v>Reestimativa 1</v>
      </c>
      <c r="W1020" s="1" t="str">
        <f>IF(ESTIMATIVA[[#This Row],[QT_AREA_REST2]]&gt;0,"Reestimativa 2",IF(ESTIMATIVA[[#This Row],[QT_AREA_REAL]]=0,"Reestimativa 2","Realizado"))</f>
        <v>Reestimativa 2</v>
      </c>
      <c r="X1020" s="1">
        <f>ESTIMATIVA[[#This Row],[QT_AREA_EST]]</f>
        <v>38.32</v>
      </c>
      <c r="Y1020" s="1">
        <f>IF(ESTIMATIVA[[#This Row],[QT_AREA_REST1]]&gt;0,ESTIMATIVA[[#This Row],[QT_AREA_REST1]],
  IF(ESTIMATIVA[[#This Row],[QT_AREA_REAL]]&gt;0,ESTIMATIVA[[#This Row],[QT_AREA_REAL]],ESTIMATIVA[[#This Row],[QT_AREA_EST]]))</f>
        <v>38.32</v>
      </c>
      <c r="Z102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38.32</v>
      </c>
      <c r="AA1020" s="1">
        <f>ESTIMATIVA[[#This Row],[QT_CANA_EST]]</f>
        <v>3065.6</v>
      </c>
      <c r="AB1020" s="1">
        <f>IF(ESTIMATIVA[[#This Row],[QT_CANA_REST1]]&gt;0,ESTIMATIVA[[#This Row],[QT_CANA_REST1]],
  IF(ESTIMATIVA[[#This Row],[QT_CANA_REAL]]&gt;0,ESTIMATIVA[[#This Row],[QT_CANA_REAL]],ESTIMATIVA[[#This Row],[QT_CANA_EST]]))</f>
        <v>3142.24</v>
      </c>
      <c r="AC102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2337.52</v>
      </c>
      <c r="AD1020" s="1">
        <f>IF(ESTIMATIVA[[#This Row],[QT_AREA_REAL]]&gt;0,ESTIMATIVA[[#This Row],[QT_CANA_REAL]],ESTIMATIVA[[#This Row],[QT_CANA_EST]])</f>
        <v>2039.2</v>
      </c>
      <c r="AE1020" s="1">
        <f>IF(ESTIMATIVA[[#This Row],[QT_AREA_REAL]]&gt;0,ESTIMATIVA[[#This Row],[QT_CANA_REAL]],ESTIMATIVA[[#This Row],[QT_CANA_REST1]])</f>
        <v>2039.2</v>
      </c>
      <c r="AF1020" s="1">
        <f>IF(ESTIMATIVA[[#This Row],[QT_AREA_REAL]]&gt;0,ESTIMATIVA[[#This Row],[QT_CANA_REAL]],ESTIMATIVA[[#This Row],[QT_CANA_REST2]])</f>
        <v>2039.2</v>
      </c>
      <c r="AG1020" s="1" t="str">
        <f>IF(COUNTIFS(GEADA!A:A,VALUE(ESTIMATIVA[[#This Row],[CD_UPNIVEL1]]&amp;TEXT(ESTIMATIVA[[#This Row],[CD_UPNIVEL3]],"0000")))&gt;0,"S","N")</f>
        <v>N</v>
      </c>
      <c r="AH102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20" s="55" t="str">
        <f>IF(ESTIMATIVA[[#This Row],[TP_CULTIVO]]="Irrigado",_xlfn.MAXIFS(IRRIGADO!J:J,IRRIGADO!C:C,ESTIMATIVA[[#This Row],[CD_UPNIVEL1]],IRRIGADO!E:E,ESTIMATIVA[[#This Row],[CD_UPNIVEL3]]),"")</f>
        <v/>
      </c>
      <c r="AJ102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20" s="1">
        <f>COUNTIFS(Apresentação!$E$23:$E$29,ESTIMATIVA[[#This Row],[CD_UPNIVEL1]])</f>
        <v>0</v>
      </c>
    </row>
    <row r="1021" spans="1:37" x14ac:dyDescent="0.3">
      <c r="A1021">
        <v>20468</v>
      </c>
      <c r="B1021" t="s">
        <v>54</v>
      </c>
      <c r="C1021">
        <v>12</v>
      </c>
      <c r="D1021">
        <v>2</v>
      </c>
      <c r="E1021" t="s">
        <v>266</v>
      </c>
      <c r="F1021" s="85" t="s">
        <v>333</v>
      </c>
      <c r="G1021"/>
      <c r="H1021" t="s">
        <v>294</v>
      </c>
      <c r="I1021" t="s">
        <v>195</v>
      </c>
      <c r="J1021" t="s">
        <v>176</v>
      </c>
      <c r="K1021" s="1">
        <v>20.47</v>
      </c>
      <c r="L1021" s="1">
        <v>20.47</v>
      </c>
      <c r="M1021" s="1">
        <v>20.47</v>
      </c>
      <c r="N1021" s="1">
        <v>20.47</v>
      </c>
      <c r="O1021" s="1">
        <v>1719.48</v>
      </c>
      <c r="P1021" s="1">
        <v>1596.66</v>
      </c>
      <c r="Q1021" s="1">
        <v>1432.9</v>
      </c>
      <c r="R1021" s="1">
        <v>1346.64</v>
      </c>
      <c r="S1021" t="s">
        <v>12</v>
      </c>
      <c r="T1021" s="13">
        <v>45998</v>
      </c>
      <c r="U1021" s="1" t="str">
        <f>IF(ESTIMATIVA[[#This Row],[QT_AREA_REAL]]&gt;0,"1- Colhido","2- à Colher")</f>
        <v>1- Colhido</v>
      </c>
      <c r="V1021" s="1" t="str">
        <f>IF(ESTIMATIVA[[#This Row],[QT_AREA_REST1]]&gt;0,"Reestimativa 1",IF(ESTIMATIVA[[#This Row],[QT_AREA_REAL]]=0,"Reestimativa 1","Realizado"))</f>
        <v>Reestimativa 1</v>
      </c>
      <c r="W1021" s="1" t="str">
        <f>IF(ESTIMATIVA[[#This Row],[QT_AREA_REST2]]&gt;0,"Reestimativa 2",IF(ESTIMATIVA[[#This Row],[QT_AREA_REAL]]=0,"Reestimativa 2","Realizado"))</f>
        <v>Reestimativa 2</v>
      </c>
      <c r="X1021" s="1">
        <f>ESTIMATIVA[[#This Row],[QT_AREA_EST]]</f>
        <v>20.47</v>
      </c>
      <c r="Y1021" s="1">
        <f>IF(ESTIMATIVA[[#This Row],[QT_AREA_REST1]]&gt;0,ESTIMATIVA[[#This Row],[QT_AREA_REST1]],
  IF(ESTIMATIVA[[#This Row],[QT_AREA_REAL]]&gt;0,ESTIMATIVA[[#This Row],[QT_AREA_REAL]],ESTIMATIVA[[#This Row],[QT_AREA_EST]]))</f>
        <v>20.47</v>
      </c>
      <c r="Z102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20.47</v>
      </c>
      <c r="AA1021" s="1">
        <f>ESTIMATIVA[[#This Row],[QT_CANA_EST]]</f>
        <v>1719.48</v>
      </c>
      <c r="AB1021" s="1">
        <f>IF(ESTIMATIVA[[#This Row],[QT_CANA_REST1]]&gt;0,ESTIMATIVA[[#This Row],[QT_CANA_REST1]],
  IF(ESTIMATIVA[[#This Row],[QT_CANA_REAL]]&gt;0,ESTIMATIVA[[#This Row],[QT_CANA_REAL]],ESTIMATIVA[[#This Row],[QT_CANA_EST]]))</f>
        <v>1596.66</v>
      </c>
      <c r="AC102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1432.9</v>
      </c>
      <c r="AD1021" s="1">
        <f>IF(ESTIMATIVA[[#This Row],[QT_AREA_REAL]]&gt;0,ESTIMATIVA[[#This Row],[QT_CANA_REAL]],ESTIMATIVA[[#This Row],[QT_CANA_EST]])</f>
        <v>1346.64</v>
      </c>
      <c r="AE1021" s="1">
        <f>IF(ESTIMATIVA[[#This Row],[QT_AREA_REAL]]&gt;0,ESTIMATIVA[[#This Row],[QT_CANA_REAL]],ESTIMATIVA[[#This Row],[QT_CANA_REST1]])</f>
        <v>1346.64</v>
      </c>
      <c r="AF1021" s="1">
        <f>IF(ESTIMATIVA[[#This Row],[QT_AREA_REAL]]&gt;0,ESTIMATIVA[[#This Row],[QT_CANA_REAL]],ESTIMATIVA[[#This Row],[QT_CANA_REST2]])</f>
        <v>1346.64</v>
      </c>
      <c r="AG1021" s="1" t="str">
        <f>IF(COUNTIFS(GEADA!A:A,VALUE(ESTIMATIVA[[#This Row],[CD_UPNIVEL1]]&amp;TEXT(ESTIMATIVA[[#This Row],[CD_UPNIVEL3]],"0000")))&gt;0,"S","N")</f>
        <v>N</v>
      </c>
      <c r="AH102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21" s="55" t="str">
        <f>IF(ESTIMATIVA[[#This Row],[TP_CULTIVO]]="Irrigado",_xlfn.MAXIFS(IRRIGADO!J:J,IRRIGADO!C:C,ESTIMATIVA[[#This Row],[CD_UPNIVEL1]],IRRIGADO!E:E,ESTIMATIVA[[#This Row],[CD_UPNIVEL3]]),"")</f>
        <v/>
      </c>
      <c r="AJ102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21" s="1">
        <f>COUNTIFS(Apresentação!$E$23:$E$29,ESTIMATIVA[[#This Row],[CD_UPNIVEL1]])</f>
        <v>0</v>
      </c>
    </row>
    <row r="1022" spans="1:37" x14ac:dyDescent="0.3">
      <c r="A1022">
        <v>20468</v>
      </c>
      <c r="B1022" t="s">
        <v>54</v>
      </c>
      <c r="C1022">
        <v>13</v>
      </c>
      <c r="D1022">
        <v>2</v>
      </c>
      <c r="E1022" t="s">
        <v>266</v>
      </c>
      <c r="F1022" s="85" t="s">
        <v>333</v>
      </c>
      <c r="G1022"/>
      <c r="H1022" t="s">
        <v>294</v>
      </c>
      <c r="I1022" t="s">
        <v>195</v>
      </c>
      <c r="J1022" t="s">
        <v>176</v>
      </c>
      <c r="K1022" s="1">
        <v>15.77</v>
      </c>
      <c r="L1022" s="1">
        <v>15.77</v>
      </c>
      <c r="M1022" s="1">
        <v>15.77</v>
      </c>
      <c r="N1022" s="1">
        <v>15.77</v>
      </c>
      <c r="O1022" s="1">
        <v>1324.68</v>
      </c>
      <c r="P1022" s="1">
        <v>1356.22</v>
      </c>
      <c r="Q1022" s="1">
        <v>1261.5999999999999</v>
      </c>
      <c r="R1022" s="1">
        <v>1153.32</v>
      </c>
      <c r="S1022" t="s">
        <v>12</v>
      </c>
      <c r="T1022" s="13">
        <v>45998</v>
      </c>
      <c r="U1022" s="1" t="str">
        <f>IF(ESTIMATIVA[[#This Row],[QT_AREA_REAL]]&gt;0,"1- Colhido","2- à Colher")</f>
        <v>1- Colhido</v>
      </c>
      <c r="V1022" s="1" t="str">
        <f>IF(ESTIMATIVA[[#This Row],[QT_AREA_REST1]]&gt;0,"Reestimativa 1",IF(ESTIMATIVA[[#This Row],[QT_AREA_REAL]]=0,"Reestimativa 1","Realizado"))</f>
        <v>Reestimativa 1</v>
      </c>
      <c r="W1022" s="1" t="str">
        <f>IF(ESTIMATIVA[[#This Row],[QT_AREA_REST2]]&gt;0,"Reestimativa 2",IF(ESTIMATIVA[[#This Row],[QT_AREA_REAL]]=0,"Reestimativa 2","Realizado"))</f>
        <v>Reestimativa 2</v>
      </c>
      <c r="X1022" s="1">
        <f>ESTIMATIVA[[#This Row],[QT_AREA_EST]]</f>
        <v>15.77</v>
      </c>
      <c r="Y1022" s="1">
        <f>IF(ESTIMATIVA[[#This Row],[QT_AREA_REST1]]&gt;0,ESTIMATIVA[[#This Row],[QT_AREA_REST1]],
  IF(ESTIMATIVA[[#This Row],[QT_AREA_REAL]]&gt;0,ESTIMATIVA[[#This Row],[QT_AREA_REAL]],ESTIMATIVA[[#This Row],[QT_AREA_EST]]))</f>
        <v>15.77</v>
      </c>
      <c r="Z102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15.77</v>
      </c>
      <c r="AA1022" s="1">
        <f>ESTIMATIVA[[#This Row],[QT_CANA_EST]]</f>
        <v>1324.68</v>
      </c>
      <c r="AB1022" s="1">
        <f>IF(ESTIMATIVA[[#This Row],[QT_CANA_REST1]]&gt;0,ESTIMATIVA[[#This Row],[QT_CANA_REST1]],
  IF(ESTIMATIVA[[#This Row],[QT_CANA_REAL]]&gt;0,ESTIMATIVA[[#This Row],[QT_CANA_REAL]],ESTIMATIVA[[#This Row],[QT_CANA_EST]]))</f>
        <v>1356.22</v>
      </c>
      <c r="AC102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1261.5999999999999</v>
      </c>
      <c r="AD1022" s="1">
        <f>IF(ESTIMATIVA[[#This Row],[QT_AREA_REAL]]&gt;0,ESTIMATIVA[[#This Row],[QT_CANA_REAL]],ESTIMATIVA[[#This Row],[QT_CANA_EST]])</f>
        <v>1153.32</v>
      </c>
      <c r="AE1022" s="1">
        <f>IF(ESTIMATIVA[[#This Row],[QT_AREA_REAL]]&gt;0,ESTIMATIVA[[#This Row],[QT_CANA_REAL]],ESTIMATIVA[[#This Row],[QT_CANA_REST1]])</f>
        <v>1153.32</v>
      </c>
      <c r="AF1022" s="1">
        <f>IF(ESTIMATIVA[[#This Row],[QT_AREA_REAL]]&gt;0,ESTIMATIVA[[#This Row],[QT_CANA_REAL]],ESTIMATIVA[[#This Row],[QT_CANA_REST2]])</f>
        <v>1153.32</v>
      </c>
      <c r="AG1022" s="1" t="str">
        <f>IF(COUNTIFS(GEADA!A:A,VALUE(ESTIMATIVA[[#This Row],[CD_UPNIVEL1]]&amp;TEXT(ESTIMATIVA[[#This Row],[CD_UPNIVEL3]],"0000")))&gt;0,"S","N")</f>
        <v>N</v>
      </c>
      <c r="AH102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22" s="55" t="str">
        <f>IF(ESTIMATIVA[[#This Row],[TP_CULTIVO]]="Irrigado",_xlfn.MAXIFS(IRRIGADO!J:J,IRRIGADO!C:C,ESTIMATIVA[[#This Row],[CD_UPNIVEL1]],IRRIGADO!E:E,ESTIMATIVA[[#This Row],[CD_UPNIVEL3]]),"")</f>
        <v/>
      </c>
      <c r="AJ102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22" s="1">
        <f>COUNTIFS(Apresentação!$E$23:$E$29,ESTIMATIVA[[#This Row],[CD_UPNIVEL1]])</f>
        <v>0</v>
      </c>
    </row>
    <row r="1023" spans="1:37" x14ac:dyDescent="0.3">
      <c r="A1023">
        <v>20468</v>
      </c>
      <c r="B1023" t="s">
        <v>54</v>
      </c>
      <c r="C1023">
        <v>14</v>
      </c>
      <c r="D1023">
        <v>2</v>
      </c>
      <c r="E1023" t="s">
        <v>266</v>
      </c>
      <c r="F1023" s="85" t="s">
        <v>331</v>
      </c>
      <c r="G1023"/>
      <c r="H1023" t="s">
        <v>294</v>
      </c>
      <c r="I1023" t="s">
        <v>195</v>
      </c>
      <c r="J1023" t="s">
        <v>176</v>
      </c>
      <c r="K1023" s="1">
        <v>49.39</v>
      </c>
      <c r="L1023" s="1">
        <v>49.39</v>
      </c>
      <c r="M1023" s="1">
        <v>49.39</v>
      </c>
      <c r="N1023" s="1">
        <v>49.39</v>
      </c>
      <c r="O1023" s="1">
        <v>4198.1499999999996</v>
      </c>
      <c r="P1023" s="1">
        <v>4296.93</v>
      </c>
      <c r="Q1023" s="1">
        <v>4000.59</v>
      </c>
      <c r="R1023" s="1">
        <v>3323.15</v>
      </c>
      <c r="S1023" t="s">
        <v>12</v>
      </c>
      <c r="T1023" s="13">
        <v>45991</v>
      </c>
      <c r="U1023" s="1" t="str">
        <f>IF(ESTIMATIVA[[#This Row],[QT_AREA_REAL]]&gt;0,"1- Colhido","2- à Colher")</f>
        <v>1- Colhido</v>
      </c>
      <c r="V1023" s="1" t="str">
        <f>IF(ESTIMATIVA[[#This Row],[QT_AREA_REST1]]&gt;0,"Reestimativa 1",IF(ESTIMATIVA[[#This Row],[QT_AREA_REAL]]=0,"Reestimativa 1","Realizado"))</f>
        <v>Reestimativa 1</v>
      </c>
      <c r="W1023" s="1" t="str">
        <f>IF(ESTIMATIVA[[#This Row],[QT_AREA_REST2]]&gt;0,"Reestimativa 2",IF(ESTIMATIVA[[#This Row],[QT_AREA_REAL]]=0,"Reestimativa 2","Realizado"))</f>
        <v>Reestimativa 2</v>
      </c>
      <c r="X1023" s="1">
        <f>ESTIMATIVA[[#This Row],[QT_AREA_EST]]</f>
        <v>49.39</v>
      </c>
      <c r="Y1023" s="1">
        <f>IF(ESTIMATIVA[[#This Row],[QT_AREA_REST1]]&gt;0,ESTIMATIVA[[#This Row],[QT_AREA_REST1]],
  IF(ESTIMATIVA[[#This Row],[QT_AREA_REAL]]&gt;0,ESTIMATIVA[[#This Row],[QT_AREA_REAL]],ESTIMATIVA[[#This Row],[QT_AREA_EST]]))</f>
        <v>49.39</v>
      </c>
      <c r="Z102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49.39</v>
      </c>
      <c r="AA1023" s="1">
        <f>ESTIMATIVA[[#This Row],[QT_CANA_EST]]</f>
        <v>4198.1499999999996</v>
      </c>
      <c r="AB1023" s="1">
        <f>IF(ESTIMATIVA[[#This Row],[QT_CANA_REST1]]&gt;0,ESTIMATIVA[[#This Row],[QT_CANA_REST1]],
  IF(ESTIMATIVA[[#This Row],[QT_CANA_REAL]]&gt;0,ESTIMATIVA[[#This Row],[QT_CANA_REAL]],ESTIMATIVA[[#This Row],[QT_CANA_EST]]))</f>
        <v>4296.93</v>
      </c>
      <c r="AC102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4000.59</v>
      </c>
      <c r="AD1023" s="1">
        <f>IF(ESTIMATIVA[[#This Row],[QT_AREA_REAL]]&gt;0,ESTIMATIVA[[#This Row],[QT_CANA_REAL]],ESTIMATIVA[[#This Row],[QT_CANA_EST]])</f>
        <v>3323.15</v>
      </c>
      <c r="AE1023" s="1">
        <f>IF(ESTIMATIVA[[#This Row],[QT_AREA_REAL]]&gt;0,ESTIMATIVA[[#This Row],[QT_CANA_REAL]],ESTIMATIVA[[#This Row],[QT_CANA_REST1]])</f>
        <v>3323.15</v>
      </c>
      <c r="AF1023" s="1">
        <f>IF(ESTIMATIVA[[#This Row],[QT_AREA_REAL]]&gt;0,ESTIMATIVA[[#This Row],[QT_CANA_REAL]],ESTIMATIVA[[#This Row],[QT_CANA_REST2]])</f>
        <v>3323.15</v>
      </c>
      <c r="AG1023" s="1" t="str">
        <f>IF(COUNTIFS(GEADA!A:A,VALUE(ESTIMATIVA[[#This Row],[CD_UPNIVEL1]]&amp;TEXT(ESTIMATIVA[[#This Row],[CD_UPNIVEL3]],"0000")))&gt;0,"S","N")</f>
        <v>N</v>
      </c>
      <c r="AH102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23" s="55" t="str">
        <f>IF(ESTIMATIVA[[#This Row],[TP_CULTIVO]]="Irrigado",_xlfn.MAXIFS(IRRIGADO!J:J,IRRIGADO!C:C,ESTIMATIVA[[#This Row],[CD_UPNIVEL1]],IRRIGADO!E:E,ESTIMATIVA[[#This Row],[CD_UPNIVEL3]]),"")</f>
        <v/>
      </c>
      <c r="AJ102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23" s="1">
        <f>COUNTIFS(Apresentação!$E$23:$E$29,ESTIMATIVA[[#This Row],[CD_UPNIVEL1]])</f>
        <v>0</v>
      </c>
    </row>
    <row r="1024" spans="1:37" x14ac:dyDescent="0.3">
      <c r="A1024">
        <v>20468</v>
      </c>
      <c r="B1024" t="s">
        <v>54</v>
      </c>
      <c r="C1024">
        <v>29</v>
      </c>
      <c r="D1024">
        <v>2</v>
      </c>
      <c r="E1024" t="s">
        <v>266</v>
      </c>
      <c r="F1024" s="85" t="s">
        <v>331</v>
      </c>
      <c r="G1024"/>
      <c r="H1024" t="s">
        <v>294</v>
      </c>
      <c r="I1024" t="s">
        <v>195</v>
      </c>
      <c r="J1024" t="s">
        <v>176</v>
      </c>
      <c r="K1024" s="1">
        <v>2.67</v>
      </c>
      <c r="L1024" s="1">
        <v>2.67</v>
      </c>
      <c r="M1024" s="1">
        <v>2.67</v>
      </c>
      <c r="N1024" s="1">
        <v>2.67</v>
      </c>
      <c r="O1024" s="1">
        <v>226.95</v>
      </c>
      <c r="P1024" s="1">
        <v>232.29</v>
      </c>
      <c r="Q1024" s="1">
        <v>202.92</v>
      </c>
      <c r="R1024" s="1">
        <v>264.04000000000002</v>
      </c>
      <c r="S1024" t="s">
        <v>12</v>
      </c>
      <c r="T1024" s="13">
        <v>45991</v>
      </c>
      <c r="U1024" s="1" t="str">
        <f>IF(ESTIMATIVA[[#This Row],[QT_AREA_REAL]]&gt;0,"1- Colhido","2- à Colher")</f>
        <v>1- Colhido</v>
      </c>
      <c r="V1024" s="1" t="str">
        <f>IF(ESTIMATIVA[[#This Row],[QT_AREA_REST1]]&gt;0,"Reestimativa 1",IF(ESTIMATIVA[[#This Row],[QT_AREA_REAL]]=0,"Reestimativa 1","Realizado"))</f>
        <v>Reestimativa 1</v>
      </c>
      <c r="W1024" s="1" t="str">
        <f>IF(ESTIMATIVA[[#This Row],[QT_AREA_REST2]]&gt;0,"Reestimativa 2",IF(ESTIMATIVA[[#This Row],[QT_AREA_REAL]]=0,"Reestimativa 2","Realizado"))</f>
        <v>Reestimativa 2</v>
      </c>
      <c r="X1024" s="1">
        <f>ESTIMATIVA[[#This Row],[QT_AREA_EST]]</f>
        <v>2.67</v>
      </c>
      <c r="Y1024" s="1">
        <f>IF(ESTIMATIVA[[#This Row],[QT_AREA_REST1]]&gt;0,ESTIMATIVA[[#This Row],[QT_AREA_REST1]],
  IF(ESTIMATIVA[[#This Row],[QT_AREA_REAL]]&gt;0,ESTIMATIVA[[#This Row],[QT_AREA_REAL]],ESTIMATIVA[[#This Row],[QT_AREA_EST]]))</f>
        <v>2.67</v>
      </c>
      <c r="Z102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2.67</v>
      </c>
      <c r="AA1024" s="1">
        <f>ESTIMATIVA[[#This Row],[QT_CANA_EST]]</f>
        <v>226.95</v>
      </c>
      <c r="AB1024" s="1">
        <f>IF(ESTIMATIVA[[#This Row],[QT_CANA_REST1]]&gt;0,ESTIMATIVA[[#This Row],[QT_CANA_REST1]],
  IF(ESTIMATIVA[[#This Row],[QT_CANA_REAL]]&gt;0,ESTIMATIVA[[#This Row],[QT_CANA_REAL]],ESTIMATIVA[[#This Row],[QT_CANA_EST]]))</f>
        <v>232.29</v>
      </c>
      <c r="AC102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202.92</v>
      </c>
      <c r="AD1024" s="1">
        <f>IF(ESTIMATIVA[[#This Row],[QT_AREA_REAL]]&gt;0,ESTIMATIVA[[#This Row],[QT_CANA_REAL]],ESTIMATIVA[[#This Row],[QT_CANA_EST]])</f>
        <v>264.04000000000002</v>
      </c>
      <c r="AE1024" s="1">
        <f>IF(ESTIMATIVA[[#This Row],[QT_AREA_REAL]]&gt;0,ESTIMATIVA[[#This Row],[QT_CANA_REAL]],ESTIMATIVA[[#This Row],[QT_CANA_REST1]])</f>
        <v>264.04000000000002</v>
      </c>
      <c r="AF1024" s="1">
        <f>IF(ESTIMATIVA[[#This Row],[QT_AREA_REAL]]&gt;0,ESTIMATIVA[[#This Row],[QT_CANA_REAL]],ESTIMATIVA[[#This Row],[QT_CANA_REST2]])</f>
        <v>264.04000000000002</v>
      </c>
      <c r="AG1024" s="1" t="str">
        <f>IF(COUNTIFS(GEADA!A:A,VALUE(ESTIMATIVA[[#This Row],[CD_UPNIVEL1]]&amp;TEXT(ESTIMATIVA[[#This Row],[CD_UPNIVEL3]],"0000")))&gt;0,"S","N")</f>
        <v>N</v>
      </c>
      <c r="AH102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24" s="55" t="str">
        <f>IF(ESTIMATIVA[[#This Row],[TP_CULTIVO]]="Irrigado",_xlfn.MAXIFS(IRRIGADO!J:J,IRRIGADO!C:C,ESTIMATIVA[[#This Row],[CD_UPNIVEL1]],IRRIGADO!E:E,ESTIMATIVA[[#This Row],[CD_UPNIVEL3]]),"")</f>
        <v/>
      </c>
      <c r="AJ102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24" s="1">
        <f>COUNTIFS(Apresentação!$E$23:$E$29,ESTIMATIVA[[#This Row],[CD_UPNIVEL1]])</f>
        <v>0</v>
      </c>
    </row>
    <row r="1025" spans="1:37" x14ac:dyDescent="0.3">
      <c r="A1025">
        <v>20468</v>
      </c>
      <c r="B1025" t="s">
        <v>54</v>
      </c>
      <c r="C1025">
        <v>30</v>
      </c>
      <c r="D1025">
        <v>2</v>
      </c>
      <c r="E1025" t="s">
        <v>266</v>
      </c>
      <c r="F1025" s="85" t="s">
        <v>331</v>
      </c>
      <c r="G1025"/>
      <c r="H1025" t="s">
        <v>294</v>
      </c>
      <c r="I1025" t="s">
        <v>195</v>
      </c>
      <c r="J1025" t="s">
        <v>176</v>
      </c>
      <c r="K1025" s="1">
        <v>20.27</v>
      </c>
      <c r="L1025" s="1">
        <v>20.27</v>
      </c>
      <c r="M1025" s="1">
        <v>20.27</v>
      </c>
      <c r="N1025" s="1">
        <v>20.27</v>
      </c>
      <c r="O1025" s="1">
        <v>1722.95</v>
      </c>
      <c r="P1025" s="1">
        <v>1763.49</v>
      </c>
      <c r="Q1025" s="1">
        <v>1540.52</v>
      </c>
      <c r="R1025" s="1">
        <v>2005.94</v>
      </c>
      <c r="S1025" t="s">
        <v>12</v>
      </c>
      <c r="T1025" s="13">
        <v>45991</v>
      </c>
      <c r="U1025" s="1" t="str">
        <f>IF(ESTIMATIVA[[#This Row],[QT_AREA_REAL]]&gt;0,"1- Colhido","2- à Colher")</f>
        <v>1- Colhido</v>
      </c>
      <c r="V1025" s="1" t="str">
        <f>IF(ESTIMATIVA[[#This Row],[QT_AREA_REST1]]&gt;0,"Reestimativa 1",IF(ESTIMATIVA[[#This Row],[QT_AREA_REAL]]=0,"Reestimativa 1","Realizado"))</f>
        <v>Reestimativa 1</v>
      </c>
      <c r="W1025" s="1" t="str">
        <f>IF(ESTIMATIVA[[#This Row],[QT_AREA_REST2]]&gt;0,"Reestimativa 2",IF(ESTIMATIVA[[#This Row],[QT_AREA_REAL]]=0,"Reestimativa 2","Realizado"))</f>
        <v>Reestimativa 2</v>
      </c>
      <c r="X1025" s="1">
        <f>ESTIMATIVA[[#This Row],[QT_AREA_EST]]</f>
        <v>20.27</v>
      </c>
      <c r="Y1025" s="1">
        <f>IF(ESTIMATIVA[[#This Row],[QT_AREA_REST1]]&gt;0,ESTIMATIVA[[#This Row],[QT_AREA_REST1]],
  IF(ESTIMATIVA[[#This Row],[QT_AREA_REAL]]&gt;0,ESTIMATIVA[[#This Row],[QT_AREA_REAL]],ESTIMATIVA[[#This Row],[QT_AREA_EST]]))</f>
        <v>20.27</v>
      </c>
      <c r="Z102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20.27</v>
      </c>
      <c r="AA1025" s="1">
        <f>ESTIMATIVA[[#This Row],[QT_CANA_EST]]</f>
        <v>1722.95</v>
      </c>
      <c r="AB1025" s="1">
        <f>IF(ESTIMATIVA[[#This Row],[QT_CANA_REST1]]&gt;0,ESTIMATIVA[[#This Row],[QT_CANA_REST1]],
  IF(ESTIMATIVA[[#This Row],[QT_CANA_REAL]]&gt;0,ESTIMATIVA[[#This Row],[QT_CANA_REAL]],ESTIMATIVA[[#This Row],[QT_CANA_EST]]))</f>
        <v>1763.49</v>
      </c>
      <c r="AC102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1540.52</v>
      </c>
      <c r="AD1025" s="1">
        <f>IF(ESTIMATIVA[[#This Row],[QT_AREA_REAL]]&gt;0,ESTIMATIVA[[#This Row],[QT_CANA_REAL]],ESTIMATIVA[[#This Row],[QT_CANA_EST]])</f>
        <v>2005.94</v>
      </c>
      <c r="AE1025" s="1">
        <f>IF(ESTIMATIVA[[#This Row],[QT_AREA_REAL]]&gt;0,ESTIMATIVA[[#This Row],[QT_CANA_REAL]],ESTIMATIVA[[#This Row],[QT_CANA_REST1]])</f>
        <v>2005.94</v>
      </c>
      <c r="AF1025" s="1">
        <f>IF(ESTIMATIVA[[#This Row],[QT_AREA_REAL]]&gt;0,ESTIMATIVA[[#This Row],[QT_CANA_REAL]],ESTIMATIVA[[#This Row],[QT_CANA_REST2]])</f>
        <v>2005.94</v>
      </c>
      <c r="AG1025" s="1" t="str">
        <f>IF(COUNTIFS(GEADA!A:A,VALUE(ESTIMATIVA[[#This Row],[CD_UPNIVEL1]]&amp;TEXT(ESTIMATIVA[[#This Row],[CD_UPNIVEL3]],"0000")))&gt;0,"S","N")</f>
        <v>N</v>
      </c>
      <c r="AH102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25" s="55" t="str">
        <f>IF(ESTIMATIVA[[#This Row],[TP_CULTIVO]]="Irrigado",_xlfn.MAXIFS(IRRIGADO!J:J,IRRIGADO!C:C,ESTIMATIVA[[#This Row],[CD_UPNIVEL1]],IRRIGADO!E:E,ESTIMATIVA[[#This Row],[CD_UPNIVEL3]]),"")</f>
        <v/>
      </c>
      <c r="AJ102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25" s="1">
        <f>COUNTIFS(Apresentação!$E$23:$E$29,ESTIMATIVA[[#This Row],[CD_UPNIVEL1]])</f>
        <v>0</v>
      </c>
    </row>
    <row r="1026" spans="1:37" x14ac:dyDescent="0.3">
      <c r="A1026">
        <v>20468</v>
      </c>
      <c r="B1026" t="s">
        <v>54</v>
      </c>
      <c r="C1026">
        <v>31</v>
      </c>
      <c r="D1026">
        <v>2</v>
      </c>
      <c r="E1026" t="s">
        <v>266</v>
      </c>
      <c r="F1026" s="85" t="s">
        <v>331</v>
      </c>
      <c r="G1026"/>
      <c r="H1026" t="s">
        <v>294</v>
      </c>
      <c r="I1026" t="s">
        <v>195</v>
      </c>
      <c r="J1026" t="s">
        <v>176</v>
      </c>
      <c r="K1026" s="1">
        <v>1.26</v>
      </c>
      <c r="L1026" s="1">
        <v>1.26</v>
      </c>
      <c r="M1026" s="1">
        <v>1.26</v>
      </c>
      <c r="N1026" s="1">
        <v>1.26</v>
      </c>
      <c r="O1026" s="1">
        <v>107.1</v>
      </c>
      <c r="P1026" s="1">
        <v>109.62</v>
      </c>
      <c r="Q1026" s="1">
        <v>104.58</v>
      </c>
      <c r="R1026" s="1">
        <v>87.08</v>
      </c>
      <c r="S1026" t="s">
        <v>12</v>
      </c>
      <c r="T1026" s="13">
        <v>45991</v>
      </c>
      <c r="U1026" s="1" t="str">
        <f>IF(ESTIMATIVA[[#This Row],[QT_AREA_REAL]]&gt;0,"1- Colhido","2- à Colher")</f>
        <v>1- Colhido</v>
      </c>
      <c r="V1026" s="1" t="str">
        <f>IF(ESTIMATIVA[[#This Row],[QT_AREA_REST1]]&gt;0,"Reestimativa 1",IF(ESTIMATIVA[[#This Row],[QT_AREA_REAL]]=0,"Reestimativa 1","Realizado"))</f>
        <v>Reestimativa 1</v>
      </c>
      <c r="W1026" s="1" t="str">
        <f>IF(ESTIMATIVA[[#This Row],[QT_AREA_REST2]]&gt;0,"Reestimativa 2",IF(ESTIMATIVA[[#This Row],[QT_AREA_REAL]]=0,"Reestimativa 2","Realizado"))</f>
        <v>Reestimativa 2</v>
      </c>
      <c r="X1026" s="1">
        <f>ESTIMATIVA[[#This Row],[QT_AREA_EST]]</f>
        <v>1.26</v>
      </c>
      <c r="Y1026" s="1">
        <f>IF(ESTIMATIVA[[#This Row],[QT_AREA_REST1]]&gt;0,ESTIMATIVA[[#This Row],[QT_AREA_REST1]],
  IF(ESTIMATIVA[[#This Row],[QT_AREA_REAL]]&gt;0,ESTIMATIVA[[#This Row],[QT_AREA_REAL]],ESTIMATIVA[[#This Row],[QT_AREA_EST]]))</f>
        <v>1.26</v>
      </c>
      <c r="Z102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1.26</v>
      </c>
      <c r="AA1026" s="1">
        <f>ESTIMATIVA[[#This Row],[QT_CANA_EST]]</f>
        <v>107.1</v>
      </c>
      <c r="AB1026" s="1">
        <f>IF(ESTIMATIVA[[#This Row],[QT_CANA_REST1]]&gt;0,ESTIMATIVA[[#This Row],[QT_CANA_REST1]],
  IF(ESTIMATIVA[[#This Row],[QT_CANA_REAL]]&gt;0,ESTIMATIVA[[#This Row],[QT_CANA_REAL]],ESTIMATIVA[[#This Row],[QT_CANA_EST]]))</f>
        <v>109.62</v>
      </c>
      <c r="AC102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104.58</v>
      </c>
      <c r="AD1026" s="1">
        <f>IF(ESTIMATIVA[[#This Row],[QT_AREA_REAL]]&gt;0,ESTIMATIVA[[#This Row],[QT_CANA_REAL]],ESTIMATIVA[[#This Row],[QT_CANA_EST]])</f>
        <v>87.08</v>
      </c>
      <c r="AE1026" s="1">
        <f>IF(ESTIMATIVA[[#This Row],[QT_AREA_REAL]]&gt;0,ESTIMATIVA[[#This Row],[QT_CANA_REAL]],ESTIMATIVA[[#This Row],[QT_CANA_REST1]])</f>
        <v>87.08</v>
      </c>
      <c r="AF1026" s="1">
        <f>IF(ESTIMATIVA[[#This Row],[QT_AREA_REAL]]&gt;0,ESTIMATIVA[[#This Row],[QT_CANA_REAL]],ESTIMATIVA[[#This Row],[QT_CANA_REST2]])</f>
        <v>87.08</v>
      </c>
      <c r="AG1026" s="1" t="str">
        <f>IF(COUNTIFS(GEADA!A:A,VALUE(ESTIMATIVA[[#This Row],[CD_UPNIVEL1]]&amp;TEXT(ESTIMATIVA[[#This Row],[CD_UPNIVEL3]],"0000")))&gt;0,"S","N")</f>
        <v>N</v>
      </c>
      <c r="AH102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26" s="55" t="str">
        <f>IF(ESTIMATIVA[[#This Row],[TP_CULTIVO]]="Irrigado",_xlfn.MAXIFS(IRRIGADO!J:J,IRRIGADO!C:C,ESTIMATIVA[[#This Row],[CD_UPNIVEL1]],IRRIGADO!E:E,ESTIMATIVA[[#This Row],[CD_UPNIVEL3]]),"")</f>
        <v/>
      </c>
      <c r="AJ102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26" s="1">
        <f>COUNTIFS(Apresentação!$E$23:$E$29,ESTIMATIVA[[#This Row],[CD_UPNIVEL1]])</f>
        <v>0</v>
      </c>
    </row>
    <row r="1027" spans="1:37" x14ac:dyDescent="0.3">
      <c r="A1027">
        <v>20468</v>
      </c>
      <c r="B1027" t="s">
        <v>54</v>
      </c>
      <c r="C1027">
        <v>32</v>
      </c>
      <c r="D1027">
        <v>2</v>
      </c>
      <c r="E1027" t="s">
        <v>266</v>
      </c>
      <c r="F1027" s="85" t="s">
        <v>331</v>
      </c>
      <c r="G1027"/>
      <c r="H1027" t="s">
        <v>294</v>
      </c>
      <c r="I1027" t="s">
        <v>195</v>
      </c>
      <c r="J1027" t="s">
        <v>176</v>
      </c>
      <c r="K1027" s="1">
        <v>37.36</v>
      </c>
      <c r="L1027" s="1">
        <v>37.36</v>
      </c>
      <c r="M1027" s="1">
        <v>37.36</v>
      </c>
      <c r="N1027" s="1">
        <v>37.36</v>
      </c>
      <c r="O1027" s="1">
        <v>3175.6</v>
      </c>
      <c r="P1027" s="1">
        <v>3250.32</v>
      </c>
      <c r="Q1027" s="1">
        <v>3250.32</v>
      </c>
      <c r="R1027" s="1">
        <v>2718.69</v>
      </c>
      <c r="S1027" t="s">
        <v>12</v>
      </c>
      <c r="T1027" s="13">
        <v>45991</v>
      </c>
      <c r="U1027" s="1" t="str">
        <f>IF(ESTIMATIVA[[#This Row],[QT_AREA_REAL]]&gt;0,"1- Colhido","2- à Colher")</f>
        <v>1- Colhido</v>
      </c>
      <c r="V1027" s="1" t="str">
        <f>IF(ESTIMATIVA[[#This Row],[QT_AREA_REST1]]&gt;0,"Reestimativa 1",IF(ESTIMATIVA[[#This Row],[QT_AREA_REAL]]=0,"Reestimativa 1","Realizado"))</f>
        <v>Reestimativa 1</v>
      </c>
      <c r="W1027" s="1" t="str">
        <f>IF(ESTIMATIVA[[#This Row],[QT_AREA_REST2]]&gt;0,"Reestimativa 2",IF(ESTIMATIVA[[#This Row],[QT_AREA_REAL]]=0,"Reestimativa 2","Realizado"))</f>
        <v>Reestimativa 2</v>
      </c>
      <c r="X1027" s="1">
        <f>ESTIMATIVA[[#This Row],[QT_AREA_EST]]</f>
        <v>37.36</v>
      </c>
      <c r="Y1027" s="1">
        <f>IF(ESTIMATIVA[[#This Row],[QT_AREA_REST1]]&gt;0,ESTIMATIVA[[#This Row],[QT_AREA_REST1]],
  IF(ESTIMATIVA[[#This Row],[QT_AREA_REAL]]&gt;0,ESTIMATIVA[[#This Row],[QT_AREA_REAL]],ESTIMATIVA[[#This Row],[QT_AREA_EST]]))</f>
        <v>37.36</v>
      </c>
      <c r="Z102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37.36</v>
      </c>
      <c r="AA1027" s="1">
        <f>ESTIMATIVA[[#This Row],[QT_CANA_EST]]</f>
        <v>3175.6</v>
      </c>
      <c r="AB1027" s="1">
        <f>IF(ESTIMATIVA[[#This Row],[QT_CANA_REST1]]&gt;0,ESTIMATIVA[[#This Row],[QT_CANA_REST1]],
  IF(ESTIMATIVA[[#This Row],[QT_CANA_REAL]]&gt;0,ESTIMATIVA[[#This Row],[QT_CANA_REAL]],ESTIMATIVA[[#This Row],[QT_CANA_EST]]))</f>
        <v>3250.32</v>
      </c>
      <c r="AC102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3250.32</v>
      </c>
      <c r="AD1027" s="1">
        <f>IF(ESTIMATIVA[[#This Row],[QT_AREA_REAL]]&gt;0,ESTIMATIVA[[#This Row],[QT_CANA_REAL]],ESTIMATIVA[[#This Row],[QT_CANA_EST]])</f>
        <v>2718.69</v>
      </c>
      <c r="AE1027" s="1">
        <f>IF(ESTIMATIVA[[#This Row],[QT_AREA_REAL]]&gt;0,ESTIMATIVA[[#This Row],[QT_CANA_REAL]],ESTIMATIVA[[#This Row],[QT_CANA_REST1]])</f>
        <v>2718.69</v>
      </c>
      <c r="AF1027" s="1">
        <f>IF(ESTIMATIVA[[#This Row],[QT_AREA_REAL]]&gt;0,ESTIMATIVA[[#This Row],[QT_CANA_REAL]],ESTIMATIVA[[#This Row],[QT_CANA_REST2]])</f>
        <v>2718.69</v>
      </c>
      <c r="AG1027" s="1" t="str">
        <f>IF(COUNTIFS(GEADA!A:A,VALUE(ESTIMATIVA[[#This Row],[CD_UPNIVEL1]]&amp;TEXT(ESTIMATIVA[[#This Row],[CD_UPNIVEL3]],"0000")))&gt;0,"S","N")</f>
        <v>N</v>
      </c>
      <c r="AH102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27" s="55" t="str">
        <f>IF(ESTIMATIVA[[#This Row],[TP_CULTIVO]]="Irrigado",_xlfn.MAXIFS(IRRIGADO!J:J,IRRIGADO!C:C,ESTIMATIVA[[#This Row],[CD_UPNIVEL1]],IRRIGADO!E:E,ESTIMATIVA[[#This Row],[CD_UPNIVEL3]]),"")</f>
        <v/>
      </c>
      <c r="AJ102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27" s="1">
        <f>COUNTIFS(Apresentação!$E$23:$E$29,ESTIMATIVA[[#This Row],[CD_UPNIVEL1]])</f>
        <v>0</v>
      </c>
    </row>
    <row r="1028" spans="1:37" x14ac:dyDescent="0.3">
      <c r="A1028">
        <v>20468</v>
      </c>
      <c r="B1028" t="s">
        <v>54</v>
      </c>
      <c r="C1028">
        <v>33</v>
      </c>
      <c r="D1028">
        <v>2</v>
      </c>
      <c r="E1028" t="s">
        <v>266</v>
      </c>
      <c r="F1028" s="85" t="s">
        <v>331</v>
      </c>
      <c r="G1028"/>
      <c r="H1028" t="s">
        <v>294</v>
      </c>
      <c r="I1028" t="s">
        <v>195</v>
      </c>
      <c r="J1028" t="s">
        <v>176</v>
      </c>
      <c r="K1028" s="1">
        <v>14.05</v>
      </c>
      <c r="L1028" s="1">
        <v>14.05</v>
      </c>
      <c r="M1028" s="1">
        <v>14.05</v>
      </c>
      <c r="N1028" s="1">
        <v>14.05</v>
      </c>
      <c r="O1028" s="1">
        <v>1194.25</v>
      </c>
      <c r="P1028" s="1">
        <v>1264.5</v>
      </c>
      <c r="Q1028" s="1">
        <v>1264.5</v>
      </c>
      <c r="R1028" s="1">
        <v>1066.69</v>
      </c>
      <c r="S1028" t="s">
        <v>12</v>
      </c>
      <c r="T1028" s="13">
        <v>45991</v>
      </c>
      <c r="U1028" s="1" t="str">
        <f>IF(ESTIMATIVA[[#This Row],[QT_AREA_REAL]]&gt;0,"1- Colhido","2- à Colher")</f>
        <v>1- Colhido</v>
      </c>
      <c r="V1028" s="1" t="str">
        <f>IF(ESTIMATIVA[[#This Row],[QT_AREA_REST1]]&gt;0,"Reestimativa 1",IF(ESTIMATIVA[[#This Row],[QT_AREA_REAL]]=0,"Reestimativa 1","Realizado"))</f>
        <v>Reestimativa 1</v>
      </c>
      <c r="W1028" s="1" t="str">
        <f>IF(ESTIMATIVA[[#This Row],[QT_AREA_REST2]]&gt;0,"Reestimativa 2",IF(ESTIMATIVA[[#This Row],[QT_AREA_REAL]]=0,"Reestimativa 2","Realizado"))</f>
        <v>Reestimativa 2</v>
      </c>
      <c r="X1028" s="1">
        <f>ESTIMATIVA[[#This Row],[QT_AREA_EST]]</f>
        <v>14.05</v>
      </c>
      <c r="Y1028" s="1">
        <f>IF(ESTIMATIVA[[#This Row],[QT_AREA_REST1]]&gt;0,ESTIMATIVA[[#This Row],[QT_AREA_REST1]],
  IF(ESTIMATIVA[[#This Row],[QT_AREA_REAL]]&gt;0,ESTIMATIVA[[#This Row],[QT_AREA_REAL]],ESTIMATIVA[[#This Row],[QT_AREA_EST]]))</f>
        <v>14.05</v>
      </c>
      <c r="Z102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14.05</v>
      </c>
      <c r="AA1028" s="1">
        <f>ESTIMATIVA[[#This Row],[QT_CANA_EST]]</f>
        <v>1194.25</v>
      </c>
      <c r="AB1028" s="1">
        <f>IF(ESTIMATIVA[[#This Row],[QT_CANA_REST1]]&gt;0,ESTIMATIVA[[#This Row],[QT_CANA_REST1]],
  IF(ESTIMATIVA[[#This Row],[QT_CANA_REAL]]&gt;0,ESTIMATIVA[[#This Row],[QT_CANA_REAL]],ESTIMATIVA[[#This Row],[QT_CANA_EST]]))</f>
        <v>1264.5</v>
      </c>
      <c r="AC102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1264.5</v>
      </c>
      <c r="AD1028" s="1">
        <f>IF(ESTIMATIVA[[#This Row],[QT_AREA_REAL]]&gt;0,ESTIMATIVA[[#This Row],[QT_CANA_REAL]],ESTIMATIVA[[#This Row],[QT_CANA_EST]])</f>
        <v>1066.69</v>
      </c>
      <c r="AE1028" s="1">
        <f>IF(ESTIMATIVA[[#This Row],[QT_AREA_REAL]]&gt;0,ESTIMATIVA[[#This Row],[QT_CANA_REAL]],ESTIMATIVA[[#This Row],[QT_CANA_REST1]])</f>
        <v>1066.69</v>
      </c>
      <c r="AF1028" s="1">
        <f>IF(ESTIMATIVA[[#This Row],[QT_AREA_REAL]]&gt;0,ESTIMATIVA[[#This Row],[QT_CANA_REAL]],ESTIMATIVA[[#This Row],[QT_CANA_REST2]])</f>
        <v>1066.69</v>
      </c>
      <c r="AG1028" s="1" t="str">
        <f>IF(COUNTIFS(GEADA!A:A,VALUE(ESTIMATIVA[[#This Row],[CD_UPNIVEL1]]&amp;TEXT(ESTIMATIVA[[#This Row],[CD_UPNIVEL3]],"0000")))&gt;0,"S","N")</f>
        <v>N</v>
      </c>
      <c r="AH102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28" s="55" t="str">
        <f>IF(ESTIMATIVA[[#This Row],[TP_CULTIVO]]="Irrigado",_xlfn.MAXIFS(IRRIGADO!J:J,IRRIGADO!C:C,ESTIMATIVA[[#This Row],[CD_UPNIVEL1]],IRRIGADO!E:E,ESTIMATIVA[[#This Row],[CD_UPNIVEL3]]),"")</f>
        <v/>
      </c>
      <c r="AJ102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28" s="1">
        <f>COUNTIFS(Apresentação!$E$23:$E$29,ESTIMATIVA[[#This Row],[CD_UPNIVEL1]])</f>
        <v>0</v>
      </c>
    </row>
    <row r="1029" spans="1:37" x14ac:dyDescent="0.3">
      <c r="A1029">
        <v>20468</v>
      </c>
      <c r="B1029" t="s">
        <v>54</v>
      </c>
      <c r="C1029">
        <v>39</v>
      </c>
      <c r="D1029">
        <v>2</v>
      </c>
      <c r="E1029" t="s">
        <v>266</v>
      </c>
      <c r="F1029" s="85" t="s">
        <v>331</v>
      </c>
      <c r="G1029"/>
      <c r="H1029" t="s">
        <v>294</v>
      </c>
      <c r="I1029" t="s">
        <v>195</v>
      </c>
      <c r="J1029" t="s">
        <v>176</v>
      </c>
      <c r="K1029" s="1">
        <v>2.91</v>
      </c>
      <c r="L1029" s="1">
        <v>2.91</v>
      </c>
      <c r="M1029" s="1">
        <v>2.91</v>
      </c>
      <c r="N1029" s="1">
        <v>2.91</v>
      </c>
      <c r="O1029" s="1">
        <v>247.35</v>
      </c>
      <c r="P1029" s="1">
        <v>250.26</v>
      </c>
      <c r="Q1029" s="1">
        <v>221.16</v>
      </c>
      <c r="R1029" s="1">
        <v>289.05</v>
      </c>
      <c r="S1029" t="s">
        <v>12</v>
      </c>
      <c r="T1029" s="13">
        <v>45991</v>
      </c>
      <c r="U1029" s="1" t="str">
        <f>IF(ESTIMATIVA[[#This Row],[QT_AREA_REAL]]&gt;0,"1- Colhido","2- à Colher")</f>
        <v>1- Colhido</v>
      </c>
      <c r="V1029" s="1" t="str">
        <f>IF(ESTIMATIVA[[#This Row],[QT_AREA_REST1]]&gt;0,"Reestimativa 1",IF(ESTIMATIVA[[#This Row],[QT_AREA_REAL]]=0,"Reestimativa 1","Realizado"))</f>
        <v>Reestimativa 1</v>
      </c>
      <c r="W1029" s="1" t="str">
        <f>IF(ESTIMATIVA[[#This Row],[QT_AREA_REST2]]&gt;0,"Reestimativa 2",IF(ESTIMATIVA[[#This Row],[QT_AREA_REAL]]=0,"Reestimativa 2","Realizado"))</f>
        <v>Reestimativa 2</v>
      </c>
      <c r="X1029" s="1">
        <f>ESTIMATIVA[[#This Row],[QT_AREA_EST]]</f>
        <v>2.91</v>
      </c>
      <c r="Y1029" s="1">
        <f>IF(ESTIMATIVA[[#This Row],[QT_AREA_REST1]]&gt;0,ESTIMATIVA[[#This Row],[QT_AREA_REST1]],
  IF(ESTIMATIVA[[#This Row],[QT_AREA_REAL]]&gt;0,ESTIMATIVA[[#This Row],[QT_AREA_REAL]],ESTIMATIVA[[#This Row],[QT_AREA_EST]]))</f>
        <v>2.91</v>
      </c>
      <c r="Z102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2.91</v>
      </c>
      <c r="AA1029" s="1">
        <f>ESTIMATIVA[[#This Row],[QT_CANA_EST]]</f>
        <v>247.35</v>
      </c>
      <c r="AB1029" s="1">
        <f>IF(ESTIMATIVA[[#This Row],[QT_CANA_REST1]]&gt;0,ESTIMATIVA[[#This Row],[QT_CANA_REST1]],
  IF(ESTIMATIVA[[#This Row],[QT_CANA_REAL]]&gt;0,ESTIMATIVA[[#This Row],[QT_CANA_REAL]],ESTIMATIVA[[#This Row],[QT_CANA_EST]]))</f>
        <v>250.26</v>
      </c>
      <c r="AC102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221.16</v>
      </c>
      <c r="AD1029" s="1">
        <f>IF(ESTIMATIVA[[#This Row],[QT_AREA_REAL]]&gt;0,ESTIMATIVA[[#This Row],[QT_CANA_REAL]],ESTIMATIVA[[#This Row],[QT_CANA_EST]])</f>
        <v>289.05</v>
      </c>
      <c r="AE1029" s="1">
        <f>IF(ESTIMATIVA[[#This Row],[QT_AREA_REAL]]&gt;0,ESTIMATIVA[[#This Row],[QT_CANA_REAL]],ESTIMATIVA[[#This Row],[QT_CANA_REST1]])</f>
        <v>289.05</v>
      </c>
      <c r="AF1029" s="1">
        <f>IF(ESTIMATIVA[[#This Row],[QT_AREA_REAL]]&gt;0,ESTIMATIVA[[#This Row],[QT_CANA_REAL]],ESTIMATIVA[[#This Row],[QT_CANA_REST2]])</f>
        <v>289.05</v>
      </c>
      <c r="AG1029" s="1" t="str">
        <f>IF(COUNTIFS(GEADA!A:A,VALUE(ESTIMATIVA[[#This Row],[CD_UPNIVEL1]]&amp;TEXT(ESTIMATIVA[[#This Row],[CD_UPNIVEL3]],"0000")))&gt;0,"S","N")</f>
        <v>N</v>
      </c>
      <c r="AH102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29" s="55" t="str">
        <f>IF(ESTIMATIVA[[#This Row],[TP_CULTIVO]]="Irrigado",_xlfn.MAXIFS(IRRIGADO!J:J,IRRIGADO!C:C,ESTIMATIVA[[#This Row],[CD_UPNIVEL1]],IRRIGADO!E:E,ESTIMATIVA[[#This Row],[CD_UPNIVEL3]]),"")</f>
        <v/>
      </c>
      <c r="AJ102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29" s="1">
        <f>COUNTIFS(Apresentação!$E$23:$E$29,ESTIMATIVA[[#This Row],[CD_UPNIVEL1]])</f>
        <v>0</v>
      </c>
    </row>
    <row r="1030" spans="1:37" x14ac:dyDescent="0.3">
      <c r="A1030">
        <v>20468</v>
      </c>
      <c r="B1030" t="s">
        <v>54</v>
      </c>
      <c r="C1030">
        <v>40</v>
      </c>
      <c r="D1030">
        <v>5</v>
      </c>
      <c r="E1030" t="s">
        <v>268</v>
      </c>
      <c r="F1030" s="85" t="s">
        <v>331</v>
      </c>
      <c r="G1030"/>
      <c r="H1030" t="s">
        <v>294</v>
      </c>
      <c r="I1030" t="s">
        <v>221</v>
      </c>
      <c r="J1030" t="s">
        <v>176</v>
      </c>
      <c r="K1030" s="1">
        <v>10.7</v>
      </c>
      <c r="L1030" s="1">
        <v>0</v>
      </c>
      <c r="M1030" s="1">
        <v>0</v>
      </c>
      <c r="N1030" s="1">
        <v>10.7</v>
      </c>
      <c r="O1030" s="1">
        <v>449.4</v>
      </c>
      <c r="P1030" s="1">
        <v>0</v>
      </c>
      <c r="Q1030" s="1">
        <v>0</v>
      </c>
      <c r="R1030" s="1">
        <v>796.72</v>
      </c>
      <c r="S1030" t="s">
        <v>12</v>
      </c>
      <c r="T1030" s="13">
        <v>45816</v>
      </c>
      <c r="U1030" s="1" t="str">
        <f>IF(ESTIMATIVA[[#This Row],[QT_AREA_REAL]]&gt;0,"1- Colhido","2- à Colher")</f>
        <v>1- Colhido</v>
      </c>
      <c r="V1030" s="1" t="str">
        <f>IF(ESTIMATIVA[[#This Row],[QT_AREA_REST1]]&gt;0,"Reestimativa 1",IF(ESTIMATIVA[[#This Row],[QT_AREA_REAL]]=0,"Reestimativa 1","Realizado"))</f>
        <v>Realizado</v>
      </c>
      <c r="W1030" s="1" t="str">
        <f>IF(ESTIMATIVA[[#This Row],[QT_AREA_REST2]]&gt;0,"Reestimativa 2",IF(ESTIMATIVA[[#This Row],[QT_AREA_REAL]]=0,"Reestimativa 2","Realizado"))</f>
        <v>Realizado</v>
      </c>
      <c r="X1030" s="1">
        <f>ESTIMATIVA[[#This Row],[QT_AREA_EST]]</f>
        <v>10.7</v>
      </c>
      <c r="Y1030" s="1">
        <f>IF(ESTIMATIVA[[#This Row],[QT_AREA_REST1]]&gt;0,ESTIMATIVA[[#This Row],[QT_AREA_REST1]],
  IF(ESTIMATIVA[[#This Row],[QT_AREA_REAL]]&gt;0,ESTIMATIVA[[#This Row],[QT_AREA_REAL]],ESTIMATIVA[[#This Row],[QT_AREA_EST]]))</f>
        <v>10.7</v>
      </c>
      <c r="Z103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10.7</v>
      </c>
      <c r="AA1030" s="1">
        <f>ESTIMATIVA[[#This Row],[QT_CANA_EST]]</f>
        <v>449.4</v>
      </c>
      <c r="AB1030" s="1">
        <f>IF(ESTIMATIVA[[#This Row],[QT_CANA_REST1]]&gt;0,ESTIMATIVA[[#This Row],[QT_CANA_REST1]],
  IF(ESTIMATIVA[[#This Row],[QT_CANA_REAL]]&gt;0,ESTIMATIVA[[#This Row],[QT_CANA_REAL]],ESTIMATIVA[[#This Row],[QT_CANA_EST]]))</f>
        <v>796.72</v>
      </c>
      <c r="AC103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796.72</v>
      </c>
      <c r="AD1030" s="1">
        <f>IF(ESTIMATIVA[[#This Row],[QT_AREA_REAL]]&gt;0,ESTIMATIVA[[#This Row],[QT_CANA_REAL]],ESTIMATIVA[[#This Row],[QT_CANA_EST]])</f>
        <v>796.72</v>
      </c>
      <c r="AE1030" s="1">
        <f>IF(ESTIMATIVA[[#This Row],[QT_AREA_REAL]]&gt;0,ESTIMATIVA[[#This Row],[QT_CANA_REAL]],ESTIMATIVA[[#This Row],[QT_CANA_REST1]])</f>
        <v>796.72</v>
      </c>
      <c r="AF1030" s="1">
        <f>IF(ESTIMATIVA[[#This Row],[QT_AREA_REAL]]&gt;0,ESTIMATIVA[[#This Row],[QT_CANA_REAL]],ESTIMATIVA[[#This Row],[QT_CANA_REST2]])</f>
        <v>796.72</v>
      </c>
      <c r="AG1030" s="1" t="str">
        <f>IF(COUNTIFS(GEADA!A:A,VALUE(ESTIMATIVA[[#This Row],[CD_UPNIVEL1]]&amp;TEXT(ESTIMATIVA[[#This Row],[CD_UPNIVEL3]],"0000")))&gt;0,"S","N")</f>
        <v>N</v>
      </c>
      <c r="AH103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30" s="55" t="str">
        <f>IF(ESTIMATIVA[[#This Row],[TP_CULTIVO]]="Irrigado",_xlfn.MAXIFS(IRRIGADO!J:J,IRRIGADO!C:C,ESTIMATIVA[[#This Row],[CD_UPNIVEL1]],IRRIGADO!E:E,ESTIMATIVA[[#This Row],[CD_UPNIVEL3]]),"")</f>
        <v/>
      </c>
      <c r="AJ103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30" s="1">
        <f>COUNTIFS(Apresentação!$E$23:$E$29,ESTIMATIVA[[#This Row],[CD_UPNIVEL1]])</f>
        <v>0</v>
      </c>
    </row>
    <row r="1031" spans="1:37" x14ac:dyDescent="0.3">
      <c r="A1031">
        <v>20468</v>
      </c>
      <c r="B1031" t="s">
        <v>54</v>
      </c>
      <c r="C1031">
        <v>41</v>
      </c>
      <c r="D1031">
        <v>5</v>
      </c>
      <c r="E1031" t="s">
        <v>268</v>
      </c>
      <c r="F1031" s="85" t="s">
        <v>331</v>
      </c>
      <c r="G1031"/>
      <c r="H1031" t="s">
        <v>294</v>
      </c>
      <c r="I1031" t="s">
        <v>221</v>
      </c>
      <c r="J1031" t="s">
        <v>176</v>
      </c>
      <c r="K1031" s="1">
        <v>5.93</v>
      </c>
      <c r="L1031" s="1">
        <v>0</v>
      </c>
      <c r="M1031" s="1">
        <v>0</v>
      </c>
      <c r="N1031" s="1">
        <v>5.93</v>
      </c>
      <c r="O1031" s="1">
        <v>249.06</v>
      </c>
      <c r="P1031" s="1">
        <v>0</v>
      </c>
      <c r="Q1031" s="1">
        <v>0</v>
      </c>
      <c r="R1031" s="1">
        <v>441.83</v>
      </c>
      <c r="S1031" t="s">
        <v>12</v>
      </c>
      <c r="T1031" s="13">
        <v>45816</v>
      </c>
      <c r="U1031" s="1" t="str">
        <f>IF(ESTIMATIVA[[#This Row],[QT_AREA_REAL]]&gt;0,"1- Colhido","2- à Colher")</f>
        <v>1- Colhido</v>
      </c>
      <c r="V1031" s="1" t="str">
        <f>IF(ESTIMATIVA[[#This Row],[QT_AREA_REST1]]&gt;0,"Reestimativa 1",IF(ESTIMATIVA[[#This Row],[QT_AREA_REAL]]=0,"Reestimativa 1","Realizado"))</f>
        <v>Realizado</v>
      </c>
      <c r="W1031" s="1" t="str">
        <f>IF(ESTIMATIVA[[#This Row],[QT_AREA_REST2]]&gt;0,"Reestimativa 2",IF(ESTIMATIVA[[#This Row],[QT_AREA_REAL]]=0,"Reestimativa 2","Realizado"))</f>
        <v>Realizado</v>
      </c>
      <c r="X1031" s="1">
        <f>ESTIMATIVA[[#This Row],[QT_AREA_EST]]</f>
        <v>5.93</v>
      </c>
      <c r="Y1031" s="1">
        <f>IF(ESTIMATIVA[[#This Row],[QT_AREA_REST1]]&gt;0,ESTIMATIVA[[#This Row],[QT_AREA_REST1]],
  IF(ESTIMATIVA[[#This Row],[QT_AREA_REAL]]&gt;0,ESTIMATIVA[[#This Row],[QT_AREA_REAL]],ESTIMATIVA[[#This Row],[QT_AREA_EST]]))</f>
        <v>5.93</v>
      </c>
      <c r="Z103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5.93</v>
      </c>
      <c r="AA1031" s="1">
        <f>ESTIMATIVA[[#This Row],[QT_CANA_EST]]</f>
        <v>249.06</v>
      </c>
      <c r="AB1031" s="1">
        <f>IF(ESTIMATIVA[[#This Row],[QT_CANA_REST1]]&gt;0,ESTIMATIVA[[#This Row],[QT_CANA_REST1]],
  IF(ESTIMATIVA[[#This Row],[QT_CANA_REAL]]&gt;0,ESTIMATIVA[[#This Row],[QT_CANA_REAL]],ESTIMATIVA[[#This Row],[QT_CANA_EST]]))</f>
        <v>441.83</v>
      </c>
      <c r="AC103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441.83</v>
      </c>
      <c r="AD1031" s="1">
        <f>IF(ESTIMATIVA[[#This Row],[QT_AREA_REAL]]&gt;0,ESTIMATIVA[[#This Row],[QT_CANA_REAL]],ESTIMATIVA[[#This Row],[QT_CANA_EST]])</f>
        <v>441.83</v>
      </c>
      <c r="AE1031" s="1">
        <f>IF(ESTIMATIVA[[#This Row],[QT_AREA_REAL]]&gt;0,ESTIMATIVA[[#This Row],[QT_CANA_REAL]],ESTIMATIVA[[#This Row],[QT_CANA_REST1]])</f>
        <v>441.83</v>
      </c>
      <c r="AF1031" s="1">
        <f>IF(ESTIMATIVA[[#This Row],[QT_AREA_REAL]]&gt;0,ESTIMATIVA[[#This Row],[QT_CANA_REAL]],ESTIMATIVA[[#This Row],[QT_CANA_REST2]])</f>
        <v>441.83</v>
      </c>
      <c r="AG1031" s="1" t="str">
        <f>IF(COUNTIFS(GEADA!A:A,VALUE(ESTIMATIVA[[#This Row],[CD_UPNIVEL1]]&amp;TEXT(ESTIMATIVA[[#This Row],[CD_UPNIVEL3]],"0000")))&gt;0,"S","N")</f>
        <v>N</v>
      </c>
      <c r="AH103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31" s="55" t="str">
        <f>IF(ESTIMATIVA[[#This Row],[TP_CULTIVO]]="Irrigado",_xlfn.MAXIFS(IRRIGADO!J:J,IRRIGADO!C:C,ESTIMATIVA[[#This Row],[CD_UPNIVEL1]],IRRIGADO!E:E,ESTIMATIVA[[#This Row],[CD_UPNIVEL3]]),"")</f>
        <v/>
      </c>
      <c r="AJ103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31" s="1">
        <f>COUNTIFS(Apresentação!$E$23:$E$29,ESTIMATIVA[[#This Row],[CD_UPNIVEL1]])</f>
        <v>0</v>
      </c>
    </row>
    <row r="1032" spans="1:37" x14ac:dyDescent="0.3">
      <c r="A1032">
        <v>20468</v>
      </c>
      <c r="B1032" t="s">
        <v>54</v>
      </c>
      <c r="C1032">
        <v>42</v>
      </c>
      <c r="D1032">
        <v>5</v>
      </c>
      <c r="E1032" t="s">
        <v>268</v>
      </c>
      <c r="F1032" s="85" t="s">
        <v>331</v>
      </c>
      <c r="G1032"/>
      <c r="H1032" t="s">
        <v>294</v>
      </c>
      <c r="I1032" t="s">
        <v>221</v>
      </c>
      <c r="J1032" t="s">
        <v>176</v>
      </c>
      <c r="K1032" s="1">
        <v>6.98</v>
      </c>
      <c r="L1032" s="1">
        <v>0</v>
      </c>
      <c r="M1032" s="1">
        <v>0</v>
      </c>
      <c r="N1032" s="1">
        <v>6.98</v>
      </c>
      <c r="O1032" s="1">
        <v>293.16000000000003</v>
      </c>
      <c r="P1032" s="1">
        <v>0</v>
      </c>
      <c r="Q1032" s="1">
        <v>0</v>
      </c>
      <c r="R1032" s="1">
        <v>519.97</v>
      </c>
      <c r="S1032" t="s">
        <v>12</v>
      </c>
      <c r="T1032" s="13">
        <v>45816</v>
      </c>
      <c r="U1032" s="1" t="str">
        <f>IF(ESTIMATIVA[[#This Row],[QT_AREA_REAL]]&gt;0,"1- Colhido","2- à Colher")</f>
        <v>1- Colhido</v>
      </c>
      <c r="V1032" s="1" t="str">
        <f>IF(ESTIMATIVA[[#This Row],[QT_AREA_REST1]]&gt;0,"Reestimativa 1",IF(ESTIMATIVA[[#This Row],[QT_AREA_REAL]]=0,"Reestimativa 1","Realizado"))</f>
        <v>Realizado</v>
      </c>
      <c r="W1032" s="1" t="str">
        <f>IF(ESTIMATIVA[[#This Row],[QT_AREA_REST2]]&gt;0,"Reestimativa 2",IF(ESTIMATIVA[[#This Row],[QT_AREA_REAL]]=0,"Reestimativa 2","Realizado"))</f>
        <v>Realizado</v>
      </c>
      <c r="X1032" s="1">
        <f>ESTIMATIVA[[#This Row],[QT_AREA_EST]]</f>
        <v>6.98</v>
      </c>
      <c r="Y1032" s="1">
        <f>IF(ESTIMATIVA[[#This Row],[QT_AREA_REST1]]&gt;0,ESTIMATIVA[[#This Row],[QT_AREA_REST1]],
  IF(ESTIMATIVA[[#This Row],[QT_AREA_REAL]]&gt;0,ESTIMATIVA[[#This Row],[QT_AREA_REAL]],ESTIMATIVA[[#This Row],[QT_AREA_EST]]))</f>
        <v>6.98</v>
      </c>
      <c r="Z103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6.98</v>
      </c>
      <c r="AA1032" s="1">
        <f>ESTIMATIVA[[#This Row],[QT_CANA_EST]]</f>
        <v>293.16000000000003</v>
      </c>
      <c r="AB1032" s="1">
        <f>IF(ESTIMATIVA[[#This Row],[QT_CANA_REST1]]&gt;0,ESTIMATIVA[[#This Row],[QT_CANA_REST1]],
  IF(ESTIMATIVA[[#This Row],[QT_CANA_REAL]]&gt;0,ESTIMATIVA[[#This Row],[QT_CANA_REAL]],ESTIMATIVA[[#This Row],[QT_CANA_EST]]))</f>
        <v>519.97</v>
      </c>
      <c r="AC103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519.97</v>
      </c>
      <c r="AD1032" s="1">
        <f>IF(ESTIMATIVA[[#This Row],[QT_AREA_REAL]]&gt;0,ESTIMATIVA[[#This Row],[QT_CANA_REAL]],ESTIMATIVA[[#This Row],[QT_CANA_EST]])</f>
        <v>519.97</v>
      </c>
      <c r="AE1032" s="1">
        <f>IF(ESTIMATIVA[[#This Row],[QT_AREA_REAL]]&gt;0,ESTIMATIVA[[#This Row],[QT_CANA_REAL]],ESTIMATIVA[[#This Row],[QT_CANA_REST1]])</f>
        <v>519.97</v>
      </c>
      <c r="AF1032" s="1">
        <f>IF(ESTIMATIVA[[#This Row],[QT_AREA_REAL]]&gt;0,ESTIMATIVA[[#This Row],[QT_CANA_REAL]],ESTIMATIVA[[#This Row],[QT_CANA_REST2]])</f>
        <v>519.97</v>
      </c>
      <c r="AG1032" s="1" t="str">
        <f>IF(COUNTIFS(GEADA!A:A,VALUE(ESTIMATIVA[[#This Row],[CD_UPNIVEL1]]&amp;TEXT(ESTIMATIVA[[#This Row],[CD_UPNIVEL3]],"0000")))&gt;0,"S","N")</f>
        <v>N</v>
      </c>
      <c r="AH103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32" s="55" t="str">
        <f>IF(ESTIMATIVA[[#This Row],[TP_CULTIVO]]="Irrigado",_xlfn.MAXIFS(IRRIGADO!J:J,IRRIGADO!C:C,ESTIMATIVA[[#This Row],[CD_UPNIVEL1]],IRRIGADO!E:E,ESTIMATIVA[[#This Row],[CD_UPNIVEL3]]),"")</f>
        <v/>
      </c>
      <c r="AJ103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32" s="1">
        <f>COUNTIFS(Apresentação!$E$23:$E$29,ESTIMATIVA[[#This Row],[CD_UPNIVEL1]])</f>
        <v>0</v>
      </c>
    </row>
    <row r="1033" spans="1:37" x14ac:dyDescent="0.3">
      <c r="A1033">
        <v>20468</v>
      </c>
      <c r="B1033" t="s">
        <v>54</v>
      </c>
      <c r="C1033">
        <v>43</v>
      </c>
      <c r="D1033">
        <v>5</v>
      </c>
      <c r="E1033" t="s">
        <v>268</v>
      </c>
      <c r="F1033" s="85" t="s">
        <v>331</v>
      </c>
      <c r="G1033"/>
      <c r="H1033" t="s">
        <v>294</v>
      </c>
      <c r="I1033" t="s">
        <v>221</v>
      </c>
      <c r="J1033" t="s">
        <v>176</v>
      </c>
      <c r="K1033" s="1">
        <v>4.71</v>
      </c>
      <c r="L1033" s="1">
        <v>4.71</v>
      </c>
      <c r="M1033" s="1">
        <v>0</v>
      </c>
      <c r="N1033" s="1">
        <v>4.71</v>
      </c>
      <c r="O1033" s="1">
        <v>235.5</v>
      </c>
      <c r="P1033" s="1">
        <v>268.47000000000003</v>
      </c>
      <c r="Q1033" s="1">
        <v>0</v>
      </c>
      <c r="R1033" s="1">
        <v>352.62</v>
      </c>
      <c r="S1033" t="s">
        <v>12</v>
      </c>
      <c r="T1033" s="13">
        <v>45886</v>
      </c>
      <c r="U1033" s="1" t="str">
        <f>IF(ESTIMATIVA[[#This Row],[QT_AREA_REAL]]&gt;0,"1- Colhido","2- à Colher")</f>
        <v>1- Colhido</v>
      </c>
      <c r="V1033" s="1" t="str">
        <f>IF(ESTIMATIVA[[#This Row],[QT_AREA_REST1]]&gt;0,"Reestimativa 1",IF(ESTIMATIVA[[#This Row],[QT_AREA_REAL]]=0,"Reestimativa 1","Realizado"))</f>
        <v>Reestimativa 1</v>
      </c>
      <c r="W1033" s="1" t="str">
        <f>IF(ESTIMATIVA[[#This Row],[QT_AREA_REST2]]&gt;0,"Reestimativa 2",IF(ESTIMATIVA[[#This Row],[QT_AREA_REAL]]=0,"Reestimativa 2","Realizado"))</f>
        <v>Realizado</v>
      </c>
      <c r="X1033" s="1">
        <f>ESTIMATIVA[[#This Row],[QT_AREA_EST]]</f>
        <v>4.71</v>
      </c>
      <c r="Y1033" s="1">
        <f>IF(ESTIMATIVA[[#This Row],[QT_AREA_REST1]]&gt;0,ESTIMATIVA[[#This Row],[QT_AREA_REST1]],
  IF(ESTIMATIVA[[#This Row],[QT_AREA_REAL]]&gt;0,ESTIMATIVA[[#This Row],[QT_AREA_REAL]],ESTIMATIVA[[#This Row],[QT_AREA_EST]]))</f>
        <v>4.71</v>
      </c>
      <c r="Z103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4.71</v>
      </c>
      <c r="AA1033" s="1">
        <f>ESTIMATIVA[[#This Row],[QT_CANA_EST]]</f>
        <v>235.5</v>
      </c>
      <c r="AB1033" s="1">
        <f>IF(ESTIMATIVA[[#This Row],[QT_CANA_REST1]]&gt;0,ESTIMATIVA[[#This Row],[QT_CANA_REST1]],
  IF(ESTIMATIVA[[#This Row],[QT_CANA_REAL]]&gt;0,ESTIMATIVA[[#This Row],[QT_CANA_REAL]],ESTIMATIVA[[#This Row],[QT_CANA_EST]]))</f>
        <v>268.47000000000003</v>
      </c>
      <c r="AC103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352.62</v>
      </c>
      <c r="AD1033" s="1">
        <f>IF(ESTIMATIVA[[#This Row],[QT_AREA_REAL]]&gt;0,ESTIMATIVA[[#This Row],[QT_CANA_REAL]],ESTIMATIVA[[#This Row],[QT_CANA_EST]])</f>
        <v>352.62</v>
      </c>
      <c r="AE1033" s="1">
        <f>IF(ESTIMATIVA[[#This Row],[QT_AREA_REAL]]&gt;0,ESTIMATIVA[[#This Row],[QT_CANA_REAL]],ESTIMATIVA[[#This Row],[QT_CANA_REST1]])</f>
        <v>352.62</v>
      </c>
      <c r="AF1033" s="1">
        <f>IF(ESTIMATIVA[[#This Row],[QT_AREA_REAL]]&gt;0,ESTIMATIVA[[#This Row],[QT_CANA_REAL]],ESTIMATIVA[[#This Row],[QT_CANA_REST2]])</f>
        <v>352.62</v>
      </c>
      <c r="AG1033" s="1" t="str">
        <f>IF(COUNTIFS(GEADA!A:A,VALUE(ESTIMATIVA[[#This Row],[CD_UPNIVEL1]]&amp;TEXT(ESTIMATIVA[[#This Row],[CD_UPNIVEL3]],"0000")))&gt;0,"S","N")</f>
        <v>N</v>
      </c>
      <c r="AH103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33" s="55" t="str">
        <f>IF(ESTIMATIVA[[#This Row],[TP_CULTIVO]]="Irrigado",_xlfn.MAXIFS(IRRIGADO!J:J,IRRIGADO!C:C,ESTIMATIVA[[#This Row],[CD_UPNIVEL1]],IRRIGADO!E:E,ESTIMATIVA[[#This Row],[CD_UPNIVEL3]]),"")</f>
        <v/>
      </c>
      <c r="AJ103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33" s="1">
        <f>COUNTIFS(Apresentação!$E$23:$E$29,ESTIMATIVA[[#This Row],[CD_UPNIVEL1]])</f>
        <v>0</v>
      </c>
    </row>
    <row r="1034" spans="1:37" x14ac:dyDescent="0.3">
      <c r="A1034">
        <v>20468</v>
      </c>
      <c r="B1034" t="s">
        <v>54</v>
      </c>
      <c r="C1034">
        <v>44</v>
      </c>
      <c r="D1034">
        <v>5</v>
      </c>
      <c r="E1034" t="s">
        <v>268</v>
      </c>
      <c r="F1034" s="85" t="s">
        <v>331</v>
      </c>
      <c r="G1034"/>
      <c r="H1034" t="s">
        <v>294</v>
      </c>
      <c r="I1034" t="s">
        <v>221</v>
      </c>
      <c r="J1034" t="s">
        <v>176</v>
      </c>
      <c r="K1034" s="1">
        <v>0.43</v>
      </c>
      <c r="L1034" s="1">
        <v>0.43</v>
      </c>
      <c r="M1034" s="1">
        <v>0</v>
      </c>
      <c r="N1034" s="1">
        <v>0.43</v>
      </c>
      <c r="O1034" s="1">
        <v>21.5</v>
      </c>
      <c r="P1034" s="1">
        <v>24.51</v>
      </c>
      <c r="Q1034" s="1">
        <v>0</v>
      </c>
      <c r="R1034" s="1">
        <v>32.880000000000003</v>
      </c>
      <c r="S1034" t="s">
        <v>12</v>
      </c>
      <c r="T1034" s="13">
        <v>45886</v>
      </c>
      <c r="U1034" s="1" t="str">
        <f>IF(ESTIMATIVA[[#This Row],[QT_AREA_REAL]]&gt;0,"1- Colhido","2- à Colher")</f>
        <v>1- Colhido</v>
      </c>
      <c r="V1034" s="1" t="str">
        <f>IF(ESTIMATIVA[[#This Row],[QT_AREA_REST1]]&gt;0,"Reestimativa 1",IF(ESTIMATIVA[[#This Row],[QT_AREA_REAL]]=0,"Reestimativa 1","Realizado"))</f>
        <v>Reestimativa 1</v>
      </c>
      <c r="W1034" s="1" t="str">
        <f>IF(ESTIMATIVA[[#This Row],[QT_AREA_REST2]]&gt;0,"Reestimativa 2",IF(ESTIMATIVA[[#This Row],[QT_AREA_REAL]]=0,"Reestimativa 2","Realizado"))</f>
        <v>Realizado</v>
      </c>
      <c r="X1034" s="1">
        <f>ESTIMATIVA[[#This Row],[QT_AREA_EST]]</f>
        <v>0.43</v>
      </c>
      <c r="Y1034" s="1">
        <f>IF(ESTIMATIVA[[#This Row],[QT_AREA_REST1]]&gt;0,ESTIMATIVA[[#This Row],[QT_AREA_REST1]],
  IF(ESTIMATIVA[[#This Row],[QT_AREA_REAL]]&gt;0,ESTIMATIVA[[#This Row],[QT_AREA_REAL]],ESTIMATIVA[[#This Row],[QT_AREA_EST]]))</f>
        <v>0.43</v>
      </c>
      <c r="Z103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0.43</v>
      </c>
      <c r="AA1034" s="1">
        <f>ESTIMATIVA[[#This Row],[QT_CANA_EST]]</f>
        <v>21.5</v>
      </c>
      <c r="AB1034" s="1">
        <f>IF(ESTIMATIVA[[#This Row],[QT_CANA_REST1]]&gt;0,ESTIMATIVA[[#This Row],[QT_CANA_REST1]],
  IF(ESTIMATIVA[[#This Row],[QT_CANA_REAL]]&gt;0,ESTIMATIVA[[#This Row],[QT_CANA_REAL]],ESTIMATIVA[[#This Row],[QT_CANA_EST]]))</f>
        <v>24.51</v>
      </c>
      <c r="AC103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32.880000000000003</v>
      </c>
      <c r="AD1034" s="1">
        <f>IF(ESTIMATIVA[[#This Row],[QT_AREA_REAL]]&gt;0,ESTIMATIVA[[#This Row],[QT_CANA_REAL]],ESTIMATIVA[[#This Row],[QT_CANA_EST]])</f>
        <v>32.880000000000003</v>
      </c>
      <c r="AE1034" s="1">
        <f>IF(ESTIMATIVA[[#This Row],[QT_AREA_REAL]]&gt;0,ESTIMATIVA[[#This Row],[QT_CANA_REAL]],ESTIMATIVA[[#This Row],[QT_CANA_REST1]])</f>
        <v>32.880000000000003</v>
      </c>
      <c r="AF1034" s="1">
        <f>IF(ESTIMATIVA[[#This Row],[QT_AREA_REAL]]&gt;0,ESTIMATIVA[[#This Row],[QT_CANA_REAL]],ESTIMATIVA[[#This Row],[QT_CANA_REST2]])</f>
        <v>32.880000000000003</v>
      </c>
      <c r="AG1034" s="1" t="str">
        <f>IF(COUNTIFS(GEADA!A:A,VALUE(ESTIMATIVA[[#This Row],[CD_UPNIVEL1]]&amp;TEXT(ESTIMATIVA[[#This Row],[CD_UPNIVEL3]],"0000")))&gt;0,"S","N")</f>
        <v>N</v>
      </c>
      <c r="AH103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34" s="55" t="str">
        <f>IF(ESTIMATIVA[[#This Row],[TP_CULTIVO]]="Irrigado",_xlfn.MAXIFS(IRRIGADO!J:J,IRRIGADO!C:C,ESTIMATIVA[[#This Row],[CD_UPNIVEL1]],IRRIGADO!E:E,ESTIMATIVA[[#This Row],[CD_UPNIVEL3]]),"")</f>
        <v/>
      </c>
      <c r="AJ103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34" s="1">
        <f>COUNTIFS(Apresentação!$E$23:$E$29,ESTIMATIVA[[#This Row],[CD_UPNIVEL1]])</f>
        <v>0</v>
      </c>
    </row>
    <row r="1035" spans="1:37" x14ac:dyDescent="0.3">
      <c r="A1035">
        <v>20468</v>
      </c>
      <c r="B1035" t="s">
        <v>54</v>
      </c>
      <c r="C1035">
        <v>45</v>
      </c>
      <c r="D1035">
        <v>5</v>
      </c>
      <c r="E1035" t="s">
        <v>268</v>
      </c>
      <c r="F1035" s="85" t="s">
        <v>331</v>
      </c>
      <c r="G1035"/>
      <c r="H1035" t="s">
        <v>294</v>
      </c>
      <c r="I1035" t="s">
        <v>221</v>
      </c>
      <c r="J1035" t="s">
        <v>176</v>
      </c>
      <c r="K1035" s="1">
        <v>8.6</v>
      </c>
      <c r="L1035" s="1">
        <v>8.6</v>
      </c>
      <c r="M1035" s="1">
        <v>0</v>
      </c>
      <c r="N1035" s="1">
        <v>8.6</v>
      </c>
      <c r="O1035" s="1">
        <v>430</v>
      </c>
      <c r="P1035" s="1">
        <v>490.2</v>
      </c>
      <c r="Q1035" s="1">
        <v>0</v>
      </c>
      <c r="R1035" s="1">
        <v>644.77</v>
      </c>
      <c r="S1035" t="s">
        <v>12</v>
      </c>
      <c r="T1035" s="13">
        <v>45886</v>
      </c>
      <c r="U1035" s="1" t="str">
        <f>IF(ESTIMATIVA[[#This Row],[QT_AREA_REAL]]&gt;0,"1- Colhido","2- à Colher")</f>
        <v>1- Colhido</v>
      </c>
      <c r="V1035" s="1" t="str">
        <f>IF(ESTIMATIVA[[#This Row],[QT_AREA_REST1]]&gt;0,"Reestimativa 1",IF(ESTIMATIVA[[#This Row],[QT_AREA_REAL]]=0,"Reestimativa 1","Realizado"))</f>
        <v>Reestimativa 1</v>
      </c>
      <c r="W1035" s="1" t="str">
        <f>IF(ESTIMATIVA[[#This Row],[QT_AREA_REST2]]&gt;0,"Reestimativa 2",IF(ESTIMATIVA[[#This Row],[QT_AREA_REAL]]=0,"Reestimativa 2","Realizado"))</f>
        <v>Realizado</v>
      </c>
      <c r="X1035" s="1">
        <f>ESTIMATIVA[[#This Row],[QT_AREA_EST]]</f>
        <v>8.6</v>
      </c>
      <c r="Y1035" s="1">
        <f>IF(ESTIMATIVA[[#This Row],[QT_AREA_REST1]]&gt;0,ESTIMATIVA[[#This Row],[QT_AREA_REST1]],
  IF(ESTIMATIVA[[#This Row],[QT_AREA_REAL]]&gt;0,ESTIMATIVA[[#This Row],[QT_AREA_REAL]],ESTIMATIVA[[#This Row],[QT_AREA_EST]]))</f>
        <v>8.6</v>
      </c>
      <c r="Z103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8.6</v>
      </c>
      <c r="AA1035" s="1">
        <f>ESTIMATIVA[[#This Row],[QT_CANA_EST]]</f>
        <v>430</v>
      </c>
      <c r="AB1035" s="1">
        <f>IF(ESTIMATIVA[[#This Row],[QT_CANA_REST1]]&gt;0,ESTIMATIVA[[#This Row],[QT_CANA_REST1]],
  IF(ESTIMATIVA[[#This Row],[QT_CANA_REAL]]&gt;0,ESTIMATIVA[[#This Row],[QT_CANA_REAL]],ESTIMATIVA[[#This Row],[QT_CANA_EST]]))</f>
        <v>490.2</v>
      </c>
      <c r="AC103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644.77</v>
      </c>
      <c r="AD1035" s="1">
        <f>IF(ESTIMATIVA[[#This Row],[QT_AREA_REAL]]&gt;0,ESTIMATIVA[[#This Row],[QT_CANA_REAL]],ESTIMATIVA[[#This Row],[QT_CANA_EST]])</f>
        <v>644.77</v>
      </c>
      <c r="AE1035" s="1">
        <f>IF(ESTIMATIVA[[#This Row],[QT_AREA_REAL]]&gt;0,ESTIMATIVA[[#This Row],[QT_CANA_REAL]],ESTIMATIVA[[#This Row],[QT_CANA_REST1]])</f>
        <v>644.77</v>
      </c>
      <c r="AF1035" s="1">
        <f>IF(ESTIMATIVA[[#This Row],[QT_AREA_REAL]]&gt;0,ESTIMATIVA[[#This Row],[QT_CANA_REAL]],ESTIMATIVA[[#This Row],[QT_CANA_REST2]])</f>
        <v>644.77</v>
      </c>
      <c r="AG1035" s="1" t="str">
        <f>IF(COUNTIFS(GEADA!A:A,VALUE(ESTIMATIVA[[#This Row],[CD_UPNIVEL1]]&amp;TEXT(ESTIMATIVA[[#This Row],[CD_UPNIVEL3]],"0000")))&gt;0,"S","N")</f>
        <v>N</v>
      </c>
      <c r="AH103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35" s="55" t="str">
        <f>IF(ESTIMATIVA[[#This Row],[TP_CULTIVO]]="Irrigado",_xlfn.MAXIFS(IRRIGADO!J:J,IRRIGADO!C:C,ESTIMATIVA[[#This Row],[CD_UPNIVEL1]],IRRIGADO!E:E,ESTIMATIVA[[#This Row],[CD_UPNIVEL3]]),"")</f>
        <v/>
      </c>
      <c r="AJ103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35" s="1">
        <f>COUNTIFS(Apresentação!$E$23:$E$29,ESTIMATIVA[[#This Row],[CD_UPNIVEL1]])</f>
        <v>0</v>
      </c>
    </row>
    <row r="1036" spans="1:37" x14ac:dyDescent="0.3">
      <c r="A1036">
        <v>20469</v>
      </c>
      <c r="B1036" t="s">
        <v>55</v>
      </c>
      <c r="C1036">
        <v>1</v>
      </c>
      <c r="D1036">
        <v>6</v>
      </c>
      <c r="E1036" t="s">
        <v>261</v>
      </c>
      <c r="F1036" s="85" t="s">
        <v>331</v>
      </c>
      <c r="G1036"/>
      <c r="H1036" t="s">
        <v>294</v>
      </c>
      <c r="I1036" t="s">
        <v>202</v>
      </c>
      <c r="J1036" t="s">
        <v>176</v>
      </c>
      <c r="K1036" s="1">
        <v>49.81</v>
      </c>
      <c r="L1036" s="1">
        <v>0</v>
      </c>
      <c r="M1036" s="1">
        <v>0</v>
      </c>
      <c r="N1036" s="1">
        <v>49.81</v>
      </c>
      <c r="O1036" s="1">
        <v>1743.35</v>
      </c>
      <c r="P1036" s="1">
        <v>0</v>
      </c>
      <c r="Q1036" s="1">
        <v>0</v>
      </c>
      <c r="R1036" s="1">
        <v>1380.32</v>
      </c>
      <c r="S1036" t="s">
        <v>12</v>
      </c>
      <c r="T1036" s="13">
        <v>45732</v>
      </c>
      <c r="U1036" s="1" t="str">
        <f>IF(ESTIMATIVA[[#This Row],[QT_AREA_REAL]]&gt;0,"1- Colhido","2- à Colher")</f>
        <v>1- Colhido</v>
      </c>
      <c r="V1036" s="1" t="str">
        <f>IF(ESTIMATIVA[[#This Row],[QT_AREA_REST1]]&gt;0,"Reestimativa 1",IF(ESTIMATIVA[[#This Row],[QT_AREA_REAL]]=0,"Reestimativa 1","Realizado"))</f>
        <v>Realizado</v>
      </c>
      <c r="W1036" s="1" t="str">
        <f>IF(ESTIMATIVA[[#This Row],[QT_AREA_REST2]]&gt;0,"Reestimativa 2",IF(ESTIMATIVA[[#This Row],[QT_AREA_REAL]]=0,"Reestimativa 2","Realizado"))</f>
        <v>Realizado</v>
      </c>
      <c r="X1036" s="1">
        <f>ESTIMATIVA[[#This Row],[QT_AREA_EST]]</f>
        <v>49.81</v>
      </c>
      <c r="Y1036" s="1">
        <f>IF(ESTIMATIVA[[#This Row],[QT_AREA_REST1]]&gt;0,ESTIMATIVA[[#This Row],[QT_AREA_REST1]],
  IF(ESTIMATIVA[[#This Row],[QT_AREA_REAL]]&gt;0,ESTIMATIVA[[#This Row],[QT_AREA_REAL]],ESTIMATIVA[[#This Row],[QT_AREA_EST]]))</f>
        <v>49.81</v>
      </c>
      <c r="Z103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49.81</v>
      </c>
      <c r="AA1036" s="1">
        <f>ESTIMATIVA[[#This Row],[QT_CANA_EST]]</f>
        <v>1743.35</v>
      </c>
      <c r="AB1036" s="1">
        <f>IF(ESTIMATIVA[[#This Row],[QT_CANA_REST1]]&gt;0,ESTIMATIVA[[#This Row],[QT_CANA_REST1]],
  IF(ESTIMATIVA[[#This Row],[QT_CANA_REAL]]&gt;0,ESTIMATIVA[[#This Row],[QT_CANA_REAL]],ESTIMATIVA[[#This Row],[QT_CANA_EST]]))</f>
        <v>1380.32</v>
      </c>
      <c r="AC103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1380.32</v>
      </c>
      <c r="AD1036" s="1">
        <f>IF(ESTIMATIVA[[#This Row],[QT_AREA_REAL]]&gt;0,ESTIMATIVA[[#This Row],[QT_CANA_REAL]],ESTIMATIVA[[#This Row],[QT_CANA_EST]])</f>
        <v>1380.32</v>
      </c>
      <c r="AE1036" s="1">
        <f>IF(ESTIMATIVA[[#This Row],[QT_AREA_REAL]]&gt;0,ESTIMATIVA[[#This Row],[QT_CANA_REAL]],ESTIMATIVA[[#This Row],[QT_CANA_REST1]])</f>
        <v>1380.32</v>
      </c>
      <c r="AF1036" s="1">
        <f>IF(ESTIMATIVA[[#This Row],[QT_AREA_REAL]]&gt;0,ESTIMATIVA[[#This Row],[QT_CANA_REAL]],ESTIMATIVA[[#This Row],[QT_CANA_REST2]])</f>
        <v>1380.32</v>
      </c>
      <c r="AG1036" s="1" t="str">
        <f>IF(COUNTIFS(GEADA!A:A,VALUE(ESTIMATIVA[[#This Row],[CD_UPNIVEL1]]&amp;TEXT(ESTIMATIVA[[#This Row],[CD_UPNIVEL3]],"0000")))&gt;0,"S","N")</f>
        <v>N</v>
      </c>
      <c r="AH103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36" s="55" t="str">
        <f>IF(ESTIMATIVA[[#This Row],[TP_CULTIVO]]="Irrigado",_xlfn.MAXIFS(IRRIGADO!J:J,IRRIGADO!C:C,ESTIMATIVA[[#This Row],[CD_UPNIVEL1]],IRRIGADO!E:E,ESTIMATIVA[[#This Row],[CD_UPNIVEL3]]),"")</f>
        <v/>
      </c>
      <c r="AJ103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36" s="1">
        <f>COUNTIFS(Apresentação!$E$23:$E$29,ESTIMATIVA[[#This Row],[CD_UPNIVEL1]])</f>
        <v>0</v>
      </c>
    </row>
    <row r="1037" spans="1:37" x14ac:dyDescent="0.3">
      <c r="A1037">
        <v>20469</v>
      </c>
      <c r="B1037" t="s">
        <v>55</v>
      </c>
      <c r="C1037">
        <v>2</v>
      </c>
      <c r="D1037">
        <v>6</v>
      </c>
      <c r="E1037" t="s">
        <v>261</v>
      </c>
      <c r="F1037" s="85" t="s">
        <v>331</v>
      </c>
      <c r="G1037"/>
      <c r="H1037" t="s">
        <v>294</v>
      </c>
      <c r="I1037" t="s">
        <v>202</v>
      </c>
      <c r="J1037" t="s">
        <v>176</v>
      </c>
      <c r="K1037" s="1">
        <v>42.1</v>
      </c>
      <c r="L1037" s="1">
        <v>0</v>
      </c>
      <c r="M1037" s="1">
        <v>0</v>
      </c>
      <c r="N1037" s="1">
        <v>42.1</v>
      </c>
      <c r="O1037" s="1">
        <v>1473.5</v>
      </c>
      <c r="P1037" s="1">
        <v>0</v>
      </c>
      <c r="Q1037" s="1">
        <v>0</v>
      </c>
      <c r="R1037" s="1">
        <v>1167.3599999999999</v>
      </c>
      <c r="S1037" t="s">
        <v>12</v>
      </c>
      <c r="T1037" s="13">
        <v>45732</v>
      </c>
      <c r="U1037" s="1" t="str">
        <f>IF(ESTIMATIVA[[#This Row],[QT_AREA_REAL]]&gt;0,"1- Colhido","2- à Colher")</f>
        <v>1- Colhido</v>
      </c>
      <c r="V1037" s="1" t="str">
        <f>IF(ESTIMATIVA[[#This Row],[QT_AREA_REST1]]&gt;0,"Reestimativa 1",IF(ESTIMATIVA[[#This Row],[QT_AREA_REAL]]=0,"Reestimativa 1","Realizado"))</f>
        <v>Realizado</v>
      </c>
      <c r="W1037" s="1" t="str">
        <f>IF(ESTIMATIVA[[#This Row],[QT_AREA_REST2]]&gt;0,"Reestimativa 2",IF(ESTIMATIVA[[#This Row],[QT_AREA_REAL]]=0,"Reestimativa 2","Realizado"))</f>
        <v>Realizado</v>
      </c>
      <c r="X1037" s="1">
        <f>ESTIMATIVA[[#This Row],[QT_AREA_EST]]</f>
        <v>42.1</v>
      </c>
      <c r="Y1037" s="1">
        <f>IF(ESTIMATIVA[[#This Row],[QT_AREA_REST1]]&gt;0,ESTIMATIVA[[#This Row],[QT_AREA_REST1]],
  IF(ESTIMATIVA[[#This Row],[QT_AREA_REAL]]&gt;0,ESTIMATIVA[[#This Row],[QT_AREA_REAL]],ESTIMATIVA[[#This Row],[QT_AREA_EST]]))</f>
        <v>42.1</v>
      </c>
      <c r="Z103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42.1</v>
      </c>
      <c r="AA1037" s="1">
        <f>ESTIMATIVA[[#This Row],[QT_CANA_EST]]</f>
        <v>1473.5</v>
      </c>
      <c r="AB1037" s="1">
        <f>IF(ESTIMATIVA[[#This Row],[QT_CANA_REST1]]&gt;0,ESTIMATIVA[[#This Row],[QT_CANA_REST1]],
  IF(ESTIMATIVA[[#This Row],[QT_CANA_REAL]]&gt;0,ESTIMATIVA[[#This Row],[QT_CANA_REAL]],ESTIMATIVA[[#This Row],[QT_CANA_EST]]))</f>
        <v>1167.3599999999999</v>
      </c>
      <c r="AC103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1167.3599999999999</v>
      </c>
      <c r="AD1037" s="1">
        <f>IF(ESTIMATIVA[[#This Row],[QT_AREA_REAL]]&gt;0,ESTIMATIVA[[#This Row],[QT_CANA_REAL]],ESTIMATIVA[[#This Row],[QT_CANA_EST]])</f>
        <v>1167.3599999999999</v>
      </c>
      <c r="AE1037" s="1">
        <f>IF(ESTIMATIVA[[#This Row],[QT_AREA_REAL]]&gt;0,ESTIMATIVA[[#This Row],[QT_CANA_REAL]],ESTIMATIVA[[#This Row],[QT_CANA_REST1]])</f>
        <v>1167.3599999999999</v>
      </c>
      <c r="AF1037" s="1">
        <f>IF(ESTIMATIVA[[#This Row],[QT_AREA_REAL]]&gt;0,ESTIMATIVA[[#This Row],[QT_CANA_REAL]],ESTIMATIVA[[#This Row],[QT_CANA_REST2]])</f>
        <v>1167.3599999999999</v>
      </c>
      <c r="AG1037" s="1" t="str">
        <f>IF(COUNTIFS(GEADA!A:A,VALUE(ESTIMATIVA[[#This Row],[CD_UPNIVEL1]]&amp;TEXT(ESTIMATIVA[[#This Row],[CD_UPNIVEL3]],"0000")))&gt;0,"S","N")</f>
        <v>N</v>
      </c>
      <c r="AH103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37" s="55" t="str">
        <f>IF(ESTIMATIVA[[#This Row],[TP_CULTIVO]]="Irrigado",_xlfn.MAXIFS(IRRIGADO!J:J,IRRIGADO!C:C,ESTIMATIVA[[#This Row],[CD_UPNIVEL1]],IRRIGADO!E:E,ESTIMATIVA[[#This Row],[CD_UPNIVEL3]]),"")</f>
        <v/>
      </c>
      <c r="AJ103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37" s="1">
        <f>COUNTIFS(Apresentação!$E$23:$E$29,ESTIMATIVA[[#This Row],[CD_UPNIVEL1]])</f>
        <v>0</v>
      </c>
    </row>
    <row r="1038" spans="1:37" x14ac:dyDescent="0.3">
      <c r="A1038">
        <v>20470</v>
      </c>
      <c r="B1038" t="s">
        <v>56</v>
      </c>
      <c r="C1038">
        <v>1</v>
      </c>
      <c r="D1038">
        <v>6</v>
      </c>
      <c r="E1038" t="s">
        <v>261</v>
      </c>
      <c r="F1038" s="85" t="s">
        <v>331</v>
      </c>
      <c r="G1038"/>
      <c r="H1038" t="s">
        <v>294</v>
      </c>
      <c r="I1038" t="s">
        <v>202</v>
      </c>
      <c r="J1038" t="s">
        <v>176</v>
      </c>
      <c r="K1038" s="1">
        <v>8.9700000000000006</v>
      </c>
      <c r="L1038" s="1">
        <v>0</v>
      </c>
      <c r="M1038" s="1">
        <v>0</v>
      </c>
      <c r="N1038" s="1">
        <v>8.9700000000000006</v>
      </c>
      <c r="O1038" s="1">
        <v>313.95</v>
      </c>
      <c r="P1038" s="1">
        <v>0</v>
      </c>
      <c r="Q1038" s="1">
        <v>0</v>
      </c>
      <c r="R1038" s="1">
        <v>265.67</v>
      </c>
      <c r="S1038" t="s">
        <v>12</v>
      </c>
      <c r="T1038" s="13">
        <v>45732</v>
      </c>
      <c r="U1038" s="1" t="str">
        <f>IF(ESTIMATIVA[[#This Row],[QT_AREA_REAL]]&gt;0,"1- Colhido","2- à Colher")</f>
        <v>1- Colhido</v>
      </c>
      <c r="V1038" s="1" t="str">
        <f>IF(ESTIMATIVA[[#This Row],[QT_AREA_REST1]]&gt;0,"Reestimativa 1",IF(ESTIMATIVA[[#This Row],[QT_AREA_REAL]]=0,"Reestimativa 1","Realizado"))</f>
        <v>Realizado</v>
      </c>
      <c r="W1038" s="1" t="str">
        <f>IF(ESTIMATIVA[[#This Row],[QT_AREA_REST2]]&gt;0,"Reestimativa 2",IF(ESTIMATIVA[[#This Row],[QT_AREA_REAL]]=0,"Reestimativa 2","Realizado"))</f>
        <v>Realizado</v>
      </c>
      <c r="X1038" s="1">
        <f>ESTIMATIVA[[#This Row],[QT_AREA_EST]]</f>
        <v>8.9700000000000006</v>
      </c>
      <c r="Y1038" s="1">
        <f>IF(ESTIMATIVA[[#This Row],[QT_AREA_REST1]]&gt;0,ESTIMATIVA[[#This Row],[QT_AREA_REST1]],
  IF(ESTIMATIVA[[#This Row],[QT_AREA_REAL]]&gt;0,ESTIMATIVA[[#This Row],[QT_AREA_REAL]],ESTIMATIVA[[#This Row],[QT_AREA_EST]]))</f>
        <v>8.9700000000000006</v>
      </c>
      <c r="Z103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8.9700000000000006</v>
      </c>
      <c r="AA1038" s="1">
        <f>ESTIMATIVA[[#This Row],[QT_CANA_EST]]</f>
        <v>313.95</v>
      </c>
      <c r="AB1038" s="1">
        <f>IF(ESTIMATIVA[[#This Row],[QT_CANA_REST1]]&gt;0,ESTIMATIVA[[#This Row],[QT_CANA_REST1]],
  IF(ESTIMATIVA[[#This Row],[QT_CANA_REAL]]&gt;0,ESTIMATIVA[[#This Row],[QT_CANA_REAL]],ESTIMATIVA[[#This Row],[QT_CANA_EST]]))</f>
        <v>265.67</v>
      </c>
      <c r="AC103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265.67</v>
      </c>
      <c r="AD1038" s="1">
        <f>IF(ESTIMATIVA[[#This Row],[QT_AREA_REAL]]&gt;0,ESTIMATIVA[[#This Row],[QT_CANA_REAL]],ESTIMATIVA[[#This Row],[QT_CANA_EST]])</f>
        <v>265.67</v>
      </c>
      <c r="AE1038" s="1">
        <f>IF(ESTIMATIVA[[#This Row],[QT_AREA_REAL]]&gt;0,ESTIMATIVA[[#This Row],[QT_CANA_REAL]],ESTIMATIVA[[#This Row],[QT_CANA_REST1]])</f>
        <v>265.67</v>
      </c>
      <c r="AF1038" s="1">
        <f>IF(ESTIMATIVA[[#This Row],[QT_AREA_REAL]]&gt;0,ESTIMATIVA[[#This Row],[QT_CANA_REAL]],ESTIMATIVA[[#This Row],[QT_CANA_REST2]])</f>
        <v>265.67</v>
      </c>
      <c r="AG1038" s="1" t="str">
        <f>IF(COUNTIFS(GEADA!A:A,VALUE(ESTIMATIVA[[#This Row],[CD_UPNIVEL1]]&amp;TEXT(ESTIMATIVA[[#This Row],[CD_UPNIVEL3]],"0000")))&gt;0,"S","N")</f>
        <v>N</v>
      </c>
      <c r="AH103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38" s="55" t="str">
        <f>IF(ESTIMATIVA[[#This Row],[TP_CULTIVO]]="Irrigado",_xlfn.MAXIFS(IRRIGADO!J:J,IRRIGADO!C:C,ESTIMATIVA[[#This Row],[CD_UPNIVEL1]],IRRIGADO!E:E,ESTIMATIVA[[#This Row],[CD_UPNIVEL3]]),"")</f>
        <v/>
      </c>
      <c r="AJ103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38" s="1">
        <f>COUNTIFS(Apresentação!$E$23:$E$29,ESTIMATIVA[[#This Row],[CD_UPNIVEL1]])</f>
        <v>0</v>
      </c>
    </row>
    <row r="1039" spans="1:37" x14ac:dyDescent="0.3">
      <c r="A1039">
        <v>20470</v>
      </c>
      <c r="B1039" t="s">
        <v>56</v>
      </c>
      <c r="C1039">
        <v>2</v>
      </c>
      <c r="D1039">
        <v>6</v>
      </c>
      <c r="E1039" t="s">
        <v>261</v>
      </c>
      <c r="F1039" s="85" t="s">
        <v>331</v>
      </c>
      <c r="G1039"/>
      <c r="H1039" t="s">
        <v>294</v>
      </c>
      <c r="I1039" t="s">
        <v>202</v>
      </c>
      <c r="J1039" t="s">
        <v>176</v>
      </c>
      <c r="K1039" s="1">
        <v>11.18</v>
      </c>
      <c r="L1039" s="1">
        <v>0</v>
      </c>
      <c r="M1039" s="1">
        <v>0</v>
      </c>
      <c r="N1039" s="1">
        <v>11.18</v>
      </c>
      <c r="O1039" s="1">
        <v>391.3</v>
      </c>
      <c r="P1039" s="1">
        <v>0</v>
      </c>
      <c r="Q1039" s="1">
        <v>0</v>
      </c>
      <c r="R1039" s="1">
        <v>330.83</v>
      </c>
      <c r="S1039" t="s">
        <v>12</v>
      </c>
      <c r="T1039" s="13">
        <v>45732</v>
      </c>
      <c r="U1039" s="1" t="str">
        <f>IF(ESTIMATIVA[[#This Row],[QT_AREA_REAL]]&gt;0,"1- Colhido","2- à Colher")</f>
        <v>1- Colhido</v>
      </c>
      <c r="V1039" s="1" t="str">
        <f>IF(ESTIMATIVA[[#This Row],[QT_AREA_REST1]]&gt;0,"Reestimativa 1",IF(ESTIMATIVA[[#This Row],[QT_AREA_REAL]]=0,"Reestimativa 1","Realizado"))</f>
        <v>Realizado</v>
      </c>
      <c r="W1039" s="1" t="str">
        <f>IF(ESTIMATIVA[[#This Row],[QT_AREA_REST2]]&gt;0,"Reestimativa 2",IF(ESTIMATIVA[[#This Row],[QT_AREA_REAL]]=0,"Reestimativa 2","Realizado"))</f>
        <v>Realizado</v>
      </c>
      <c r="X1039" s="1">
        <f>ESTIMATIVA[[#This Row],[QT_AREA_EST]]</f>
        <v>11.18</v>
      </c>
      <c r="Y1039" s="1">
        <f>IF(ESTIMATIVA[[#This Row],[QT_AREA_REST1]]&gt;0,ESTIMATIVA[[#This Row],[QT_AREA_REST1]],
  IF(ESTIMATIVA[[#This Row],[QT_AREA_REAL]]&gt;0,ESTIMATIVA[[#This Row],[QT_AREA_REAL]],ESTIMATIVA[[#This Row],[QT_AREA_EST]]))</f>
        <v>11.18</v>
      </c>
      <c r="Z103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11.18</v>
      </c>
      <c r="AA1039" s="1">
        <f>ESTIMATIVA[[#This Row],[QT_CANA_EST]]</f>
        <v>391.3</v>
      </c>
      <c r="AB1039" s="1">
        <f>IF(ESTIMATIVA[[#This Row],[QT_CANA_REST1]]&gt;0,ESTIMATIVA[[#This Row],[QT_CANA_REST1]],
  IF(ESTIMATIVA[[#This Row],[QT_CANA_REAL]]&gt;0,ESTIMATIVA[[#This Row],[QT_CANA_REAL]],ESTIMATIVA[[#This Row],[QT_CANA_EST]]))</f>
        <v>330.83</v>
      </c>
      <c r="AC103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330.83</v>
      </c>
      <c r="AD1039" s="1">
        <f>IF(ESTIMATIVA[[#This Row],[QT_AREA_REAL]]&gt;0,ESTIMATIVA[[#This Row],[QT_CANA_REAL]],ESTIMATIVA[[#This Row],[QT_CANA_EST]])</f>
        <v>330.83</v>
      </c>
      <c r="AE1039" s="1">
        <f>IF(ESTIMATIVA[[#This Row],[QT_AREA_REAL]]&gt;0,ESTIMATIVA[[#This Row],[QT_CANA_REAL]],ESTIMATIVA[[#This Row],[QT_CANA_REST1]])</f>
        <v>330.83</v>
      </c>
      <c r="AF1039" s="1">
        <f>IF(ESTIMATIVA[[#This Row],[QT_AREA_REAL]]&gt;0,ESTIMATIVA[[#This Row],[QT_CANA_REAL]],ESTIMATIVA[[#This Row],[QT_CANA_REST2]])</f>
        <v>330.83</v>
      </c>
      <c r="AG1039" s="1" t="str">
        <f>IF(COUNTIFS(GEADA!A:A,VALUE(ESTIMATIVA[[#This Row],[CD_UPNIVEL1]]&amp;TEXT(ESTIMATIVA[[#This Row],[CD_UPNIVEL3]],"0000")))&gt;0,"S","N")</f>
        <v>N</v>
      </c>
      <c r="AH103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39" s="55" t="str">
        <f>IF(ESTIMATIVA[[#This Row],[TP_CULTIVO]]="Irrigado",_xlfn.MAXIFS(IRRIGADO!J:J,IRRIGADO!C:C,ESTIMATIVA[[#This Row],[CD_UPNIVEL1]],IRRIGADO!E:E,ESTIMATIVA[[#This Row],[CD_UPNIVEL3]]),"")</f>
        <v/>
      </c>
      <c r="AJ103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39" s="1">
        <f>COUNTIFS(Apresentação!$E$23:$E$29,ESTIMATIVA[[#This Row],[CD_UPNIVEL1]])</f>
        <v>0</v>
      </c>
    </row>
    <row r="1040" spans="1:37" x14ac:dyDescent="0.3">
      <c r="A1040">
        <v>20470</v>
      </c>
      <c r="B1040" t="s">
        <v>56</v>
      </c>
      <c r="C1040">
        <v>3</v>
      </c>
      <c r="D1040">
        <v>6</v>
      </c>
      <c r="E1040" t="s">
        <v>261</v>
      </c>
      <c r="F1040" s="85" t="s">
        <v>331</v>
      </c>
      <c r="G1040"/>
      <c r="H1040" t="s">
        <v>294</v>
      </c>
      <c r="I1040" t="s">
        <v>202</v>
      </c>
      <c r="J1040" t="s">
        <v>176</v>
      </c>
      <c r="K1040" s="1">
        <v>13.94</v>
      </c>
      <c r="L1040" s="1">
        <v>0</v>
      </c>
      <c r="M1040" s="1">
        <v>0</v>
      </c>
      <c r="N1040" s="1">
        <v>13.94</v>
      </c>
      <c r="O1040" s="1">
        <v>487.9</v>
      </c>
      <c r="P1040" s="1">
        <v>0</v>
      </c>
      <c r="Q1040" s="1">
        <v>0</v>
      </c>
      <c r="R1040" s="1">
        <v>412.91</v>
      </c>
      <c r="S1040" t="s">
        <v>12</v>
      </c>
      <c r="T1040" s="13">
        <v>45732</v>
      </c>
      <c r="U1040" s="1" t="str">
        <f>IF(ESTIMATIVA[[#This Row],[QT_AREA_REAL]]&gt;0,"1- Colhido","2- à Colher")</f>
        <v>1- Colhido</v>
      </c>
      <c r="V1040" s="1" t="str">
        <f>IF(ESTIMATIVA[[#This Row],[QT_AREA_REST1]]&gt;0,"Reestimativa 1",IF(ESTIMATIVA[[#This Row],[QT_AREA_REAL]]=0,"Reestimativa 1","Realizado"))</f>
        <v>Realizado</v>
      </c>
      <c r="W1040" s="1" t="str">
        <f>IF(ESTIMATIVA[[#This Row],[QT_AREA_REST2]]&gt;0,"Reestimativa 2",IF(ESTIMATIVA[[#This Row],[QT_AREA_REAL]]=0,"Reestimativa 2","Realizado"))</f>
        <v>Realizado</v>
      </c>
      <c r="X1040" s="1">
        <f>ESTIMATIVA[[#This Row],[QT_AREA_EST]]</f>
        <v>13.94</v>
      </c>
      <c r="Y1040" s="1">
        <f>IF(ESTIMATIVA[[#This Row],[QT_AREA_REST1]]&gt;0,ESTIMATIVA[[#This Row],[QT_AREA_REST1]],
  IF(ESTIMATIVA[[#This Row],[QT_AREA_REAL]]&gt;0,ESTIMATIVA[[#This Row],[QT_AREA_REAL]],ESTIMATIVA[[#This Row],[QT_AREA_EST]]))</f>
        <v>13.94</v>
      </c>
      <c r="Z104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13.94</v>
      </c>
      <c r="AA1040" s="1">
        <f>ESTIMATIVA[[#This Row],[QT_CANA_EST]]</f>
        <v>487.9</v>
      </c>
      <c r="AB1040" s="1">
        <f>IF(ESTIMATIVA[[#This Row],[QT_CANA_REST1]]&gt;0,ESTIMATIVA[[#This Row],[QT_CANA_REST1]],
  IF(ESTIMATIVA[[#This Row],[QT_CANA_REAL]]&gt;0,ESTIMATIVA[[#This Row],[QT_CANA_REAL]],ESTIMATIVA[[#This Row],[QT_CANA_EST]]))</f>
        <v>412.91</v>
      </c>
      <c r="AC104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412.91</v>
      </c>
      <c r="AD1040" s="1">
        <f>IF(ESTIMATIVA[[#This Row],[QT_AREA_REAL]]&gt;0,ESTIMATIVA[[#This Row],[QT_CANA_REAL]],ESTIMATIVA[[#This Row],[QT_CANA_EST]])</f>
        <v>412.91</v>
      </c>
      <c r="AE1040" s="1">
        <f>IF(ESTIMATIVA[[#This Row],[QT_AREA_REAL]]&gt;0,ESTIMATIVA[[#This Row],[QT_CANA_REAL]],ESTIMATIVA[[#This Row],[QT_CANA_REST1]])</f>
        <v>412.91</v>
      </c>
      <c r="AF1040" s="1">
        <f>IF(ESTIMATIVA[[#This Row],[QT_AREA_REAL]]&gt;0,ESTIMATIVA[[#This Row],[QT_CANA_REAL]],ESTIMATIVA[[#This Row],[QT_CANA_REST2]])</f>
        <v>412.91</v>
      </c>
      <c r="AG1040" s="1" t="str">
        <f>IF(COUNTIFS(GEADA!A:A,VALUE(ESTIMATIVA[[#This Row],[CD_UPNIVEL1]]&amp;TEXT(ESTIMATIVA[[#This Row],[CD_UPNIVEL3]],"0000")))&gt;0,"S","N")</f>
        <v>N</v>
      </c>
      <c r="AH104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40" s="55" t="str">
        <f>IF(ESTIMATIVA[[#This Row],[TP_CULTIVO]]="Irrigado",_xlfn.MAXIFS(IRRIGADO!J:J,IRRIGADO!C:C,ESTIMATIVA[[#This Row],[CD_UPNIVEL1]],IRRIGADO!E:E,ESTIMATIVA[[#This Row],[CD_UPNIVEL3]]),"")</f>
        <v/>
      </c>
      <c r="AJ104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40" s="1">
        <f>COUNTIFS(Apresentação!$E$23:$E$29,ESTIMATIVA[[#This Row],[CD_UPNIVEL1]])</f>
        <v>0</v>
      </c>
    </row>
    <row r="1041" spans="1:37" x14ac:dyDescent="0.3">
      <c r="A1041">
        <v>20470</v>
      </c>
      <c r="B1041" t="s">
        <v>56</v>
      </c>
      <c r="C1041">
        <v>4</v>
      </c>
      <c r="D1041">
        <v>6</v>
      </c>
      <c r="E1041" t="s">
        <v>261</v>
      </c>
      <c r="F1041" s="85" t="s">
        <v>331</v>
      </c>
      <c r="G1041"/>
      <c r="H1041" t="s">
        <v>294</v>
      </c>
      <c r="I1041" t="s">
        <v>202</v>
      </c>
      <c r="J1041" t="s">
        <v>176</v>
      </c>
      <c r="K1041" s="1">
        <v>18.97</v>
      </c>
      <c r="L1041" s="1">
        <v>0</v>
      </c>
      <c r="M1041" s="1">
        <v>0</v>
      </c>
      <c r="N1041" s="1">
        <v>18.97</v>
      </c>
      <c r="O1041" s="1">
        <v>663.95</v>
      </c>
      <c r="P1041" s="1">
        <v>0</v>
      </c>
      <c r="Q1041" s="1">
        <v>0</v>
      </c>
      <c r="R1041" s="1">
        <v>561.84</v>
      </c>
      <c r="S1041" t="s">
        <v>12</v>
      </c>
      <c r="T1041" s="13">
        <v>45732</v>
      </c>
      <c r="U1041" s="1" t="str">
        <f>IF(ESTIMATIVA[[#This Row],[QT_AREA_REAL]]&gt;0,"1- Colhido","2- à Colher")</f>
        <v>1- Colhido</v>
      </c>
      <c r="V1041" s="1" t="str">
        <f>IF(ESTIMATIVA[[#This Row],[QT_AREA_REST1]]&gt;0,"Reestimativa 1",IF(ESTIMATIVA[[#This Row],[QT_AREA_REAL]]=0,"Reestimativa 1","Realizado"))</f>
        <v>Realizado</v>
      </c>
      <c r="W1041" s="1" t="str">
        <f>IF(ESTIMATIVA[[#This Row],[QT_AREA_REST2]]&gt;0,"Reestimativa 2",IF(ESTIMATIVA[[#This Row],[QT_AREA_REAL]]=0,"Reestimativa 2","Realizado"))</f>
        <v>Realizado</v>
      </c>
      <c r="X1041" s="1">
        <f>ESTIMATIVA[[#This Row],[QT_AREA_EST]]</f>
        <v>18.97</v>
      </c>
      <c r="Y1041" s="1">
        <f>IF(ESTIMATIVA[[#This Row],[QT_AREA_REST1]]&gt;0,ESTIMATIVA[[#This Row],[QT_AREA_REST1]],
  IF(ESTIMATIVA[[#This Row],[QT_AREA_REAL]]&gt;0,ESTIMATIVA[[#This Row],[QT_AREA_REAL]],ESTIMATIVA[[#This Row],[QT_AREA_EST]]))</f>
        <v>18.97</v>
      </c>
      <c r="Z104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18.97</v>
      </c>
      <c r="AA1041" s="1">
        <f>ESTIMATIVA[[#This Row],[QT_CANA_EST]]</f>
        <v>663.95</v>
      </c>
      <c r="AB1041" s="1">
        <f>IF(ESTIMATIVA[[#This Row],[QT_CANA_REST1]]&gt;0,ESTIMATIVA[[#This Row],[QT_CANA_REST1]],
  IF(ESTIMATIVA[[#This Row],[QT_CANA_REAL]]&gt;0,ESTIMATIVA[[#This Row],[QT_CANA_REAL]],ESTIMATIVA[[#This Row],[QT_CANA_EST]]))</f>
        <v>561.84</v>
      </c>
      <c r="AC104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561.84</v>
      </c>
      <c r="AD1041" s="1">
        <f>IF(ESTIMATIVA[[#This Row],[QT_AREA_REAL]]&gt;0,ESTIMATIVA[[#This Row],[QT_CANA_REAL]],ESTIMATIVA[[#This Row],[QT_CANA_EST]])</f>
        <v>561.84</v>
      </c>
      <c r="AE1041" s="1">
        <f>IF(ESTIMATIVA[[#This Row],[QT_AREA_REAL]]&gt;0,ESTIMATIVA[[#This Row],[QT_CANA_REAL]],ESTIMATIVA[[#This Row],[QT_CANA_REST1]])</f>
        <v>561.84</v>
      </c>
      <c r="AF1041" s="1">
        <f>IF(ESTIMATIVA[[#This Row],[QT_AREA_REAL]]&gt;0,ESTIMATIVA[[#This Row],[QT_CANA_REAL]],ESTIMATIVA[[#This Row],[QT_CANA_REST2]])</f>
        <v>561.84</v>
      </c>
      <c r="AG1041" s="1" t="str">
        <f>IF(COUNTIFS(GEADA!A:A,VALUE(ESTIMATIVA[[#This Row],[CD_UPNIVEL1]]&amp;TEXT(ESTIMATIVA[[#This Row],[CD_UPNIVEL3]],"0000")))&gt;0,"S","N")</f>
        <v>N</v>
      </c>
      <c r="AH104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41" s="55" t="str">
        <f>IF(ESTIMATIVA[[#This Row],[TP_CULTIVO]]="Irrigado",_xlfn.MAXIFS(IRRIGADO!J:J,IRRIGADO!C:C,ESTIMATIVA[[#This Row],[CD_UPNIVEL1]],IRRIGADO!E:E,ESTIMATIVA[[#This Row],[CD_UPNIVEL3]]),"")</f>
        <v/>
      </c>
      <c r="AJ104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41" s="1">
        <f>COUNTIFS(Apresentação!$E$23:$E$29,ESTIMATIVA[[#This Row],[CD_UPNIVEL1]])</f>
        <v>0</v>
      </c>
    </row>
    <row r="1042" spans="1:37" x14ac:dyDescent="0.3">
      <c r="A1042">
        <v>20470</v>
      </c>
      <c r="B1042" t="s">
        <v>56</v>
      </c>
      <c r="C1042">
        <v>5</v>
      </c>
      <c r="D1042">
        <v>6</v>
      </c>
      <c r="E1042" t="s">
        <v>261</v>
      </c>
      <c r="F1042" s="85" t="s">
        <v>331</v>
      </c>
      <c r="G1042"/>
      <c r="H1042" t="s">
        <v>294</v>
      </c>
      <c r="I1042" t="s">
        <v>202</v>
      </c>
      <c r="J1042" t="s">
        <v>176</v>
      </c>
      <c r="K1042" s="1">
        <v>21.96</v>
      </c>
      <c r="L1042" s="1">
        <v>0</v>
      </c>
      <c r="M1042" s="1">
        <v>0</v>
      </c>
      <c r="N1042" s="1">
        <v>21.96</v>
      </c>
      <c r="O1042" s="1">
        <v>768.6</v>
      </c>
      <c r="P1042" s="1">
        <v>0</v>
      </c>
      <c r="Q1042" s="1">
        <v>0</v>
      </c>
      <c r="R1042" s="1">
        <v>650.71</v>
      </c>
      <c r="S1042" t="s">
        <v>12</v>
      </c>
      <c r="T1042" s="13">
        <v>45732</v>
      </c>
      <c r="U1042" s="1" t="str">
        <f>IF(ESTIMATIVA[[#This Row],[QT_AREA_REAL]]&gt;0,"1- Colhido","2- à Colher")</f>
        <v>1- Colhido</v>
      </c>
      <c r="V1042" s="1" t="str">
        <f>IF(ESTIMATIVA[[#This Row],[QT_AREA_REST1]]&gt;0,"Reestimativa 1",IF(ESTIMATIVA[[#This Row],[QT_AREA_REAL]]=0,"Reestimativa 1","Realizado"))</f>
        <v>Realizado</v>
      </c>
      <c r="W1042" s="1" t="str">
        <f>IF(ESTIMATIVA[[#This Row],[QT_AREA_REST2]]&gt;0,"Reestimativa 2",IF(ESTIMATIVA[[#This Row],[QT_AREA_REAL]]=0,"Reestimativa 2","Realizado"))</f>
        <v>Realizado</v>
      </c>
      <c r="X1042" s="1">
        <f>ESTIMATIVA[[#This Row],[QT_AREA_EST]]</f>
        <v>21.96</v>
      </c>
      <c r="Y1042" s="1">
        <f>IF(ESTIMATIVA[[#This Row],[QT_AREA_REST1]]&gt;0,ESTIMATIVA[[#This Row],[QT_AREA_REST1]],
  IF(ESTIMATIVA[[#This Row],[QT_AREA_REAL]]&gt;0,ESTIMATIVA[[#This Row],[QT_AREA_REAL]],ESTIMATIVA[[#This Row],[QT_AREA_EST]]))</f>
        <v>21.96</v>
      </c>
      <c r="Z104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21.96</v>
      </c>
      <c r="AA1042" s="1">
        <f>ESTIMATIVA[[#This Row],[QT_CANA_EST]]</f>
        <v>768.6</v>
      </c>
      <c r="AB1042" s="1">
        <f>IF(ESTIMATIVA[[#This Row],[QT_CANA_REST1]]&gt;0,ESTIMATIVA[[#This Row],[QT_CANA_REST1]],
  IF(ESTIMATIVA[[#This Row],[QT_CANA_REAL]]&gt;0,ESTIMATIVA[[#This Row],[QT_CANA_REAL]],ESTIMATIVA[[#This Row],[QT_CANA_EST]]))</f>
        <v>650.71</v>
      </c>
      <c r="AC104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650.71</v>
      </c>
      <c r="AD1042" s="1">
        <f>IF(ESTIMATIVA[[#This Row],[QT_AREA_REAL]]&gt;0,ESTIMATIVA[[#This Row],[QT_CANA_REAL]],ESTIMATIVA[[#This Row],[QT_CANA_EST]])</f>
        <v>650.71</v>
      </c>
      <c r="AE1042" s="1">
        <f>IF(ESTIMATIVA[[#This Row],[QT_AREA_REAL]]&gt;0,ESTIMATIVA[[#This Row],[QT_CANA_REAL]],ESTIMATIVA[[#This Row],[QT_CANA_REST1]])</f>
        <v>650.71</v>
      </c>
      <c r="AF1042" s="1">
        <f>IF(ESTIMATIVA[[#This Row],[QT_AREA_REAL]]&gt;0,ESTIMATIVA[[#This Row],[QT_CANA_REAL]],ESTIMATIVA[[#This Row],[QT_CANA_REST2]])</f>
        <v>650.71</v>
      </c>
      <c r="AG1042" s="1" t="str">
        <f>IF(COUNTIFS(GEADA!A:A,VALUE(ESTIMATIVA[[#This Row],[CD_UPNIVEL1]]&amp;TEXT(ESTIMATIVA[[#This Row],[CD_UPNIVEL3]],"0000")))&gt;0,"S","N")</f>
        <v>N</v>
      </c>
      <c r="AH104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42" s="55" t="str">
        <f>IF(ESTIMATIVA[[#This Row],[TP_CULTIVO]]="Irrigado",_xlfn.MAXIFS(IRRIGADO!J:J,IRRIGADO!C:C,ESTIMATIVA[[#This Row],[CD_UPNIVEL1]],IRRIGADO!E:E,ESTIMATIVA[[#This Row],[CD_UPNIVEL3]]),"")</f>
        <v/>
      </c>
      <c r="AJ104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42" s="1">
        <f>COUNTIFS(Apresentação!$E$23:$E$29,ESTIMATIVA[[#This Row],[CD_UPNIVEL1]])</f>
        <v>0</v>
      </c>
    </row>
    <row r="1043" spans="1:37" x14ac:dyDescent="0.3">
      <c r="A1043">
        <v>20470</v>
      </c>
      <c r="B1043" t="s">
        <v>56</v>
      </c>
      <c r="C1043">
        <v>6</v>
      </c>
      <c r="D1043">
        <v>6</v>
      </c>
      <c r="E1043" t="s">
        <v>261</v>
      </c>
      <c r="F1043" s="85" t="s">
        <v>331</v>
      </c>
      <c r="G1043"/>
      <c r="H1043" t="s">
        <v>294</v>
      </c>
      <c r="I1043" t="s">
        <v>202</v>
      </c>
      <c r="J1043" t="s">
        <v>176</v>
      </c>
      <c r="K1043" s="1">
        <v>17.190000000000001</v>
      </c>
      <c r="L1043" s="1">
        <v>0</v>
      </c>
      <c r="M1043" s="1">
        <v>0</v>
      </c>
      <c r="N1043" s="1">
        <v>17.190000000000001</v>
      </c>
      <c r="O1043" s="1">
        <v>601.65</v>
      </c>
      <c r="P1043" s="1">
        <v>0</v>
      </c>
      <c r="Q1043" s="1">
        <v>0</v>
      </c>
      <c r="R1043" s="1">
        <v>509.62</v>
      </c>
      <c r="S1043" t="s">
        <v>12</v>
      </c>
      <c r="T1043" s="13">
        <v>45732</v>
      </c>
      <c r="U1043" s="1" t="str">
        <f>IF(ESTIMATIVA[[#This Row],[QT_AREA_REAL]]&gt;0,"1- Colhido","2- à Colher")</f>
        <v>1- Colhido</v>
      </c>
      <c r="V1043" s="1" t="str">
        <f>IF(ESTIMATIVA[[#This Row],[QT_AREA_REST1]]&gt;0,"Reestimativa 1",IF(ESTIMATIVA[[#This Row],[QT_AREA_REAL]]=0,"Reestimativa 1","Realizado"))</f>
        <v>Realizado</v>
      </c>
      <c r="W1043" s="1" t="str">
        <f>IF(ESTIMATIVA[[#This Row],[QT_AREA_REST2]]&gt;0,"Reestimativa 2",IF(ESTIMATIVA[[#This Row],[QT_AREA_REAL]]=0,"Reestimativa 2","Realizado"))</f>
        <v>Realizado</v>
      </c>
      <c r="X1043" s="1">
        <f>ESTIMATIVA[[#This Row],[QT_AREA_EST]]</f>
        <v>17.190000000000001</v>
      </c>
      <c r="Y1043" s="1">
        <f>IF(ESTIMATIVA[[#This Row],[QT_AREA_REST1]]&gt;0,ESTIMATIVA[[#This Row],[QT_AREA_REST1]],
  IF(ESTIMATIVA[[#This Row],[QT_AREA_REAL]]&gt;0,ESTIMATIVA[[#This Row],[QT_AREA_REAL]],ESTIMATIVA[[#This Row],[QT_AREA_EST]]))</f>
        <v>17.190000000000001</v>
      </c>
      <c r="Z104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17.190000000000001</v>
      </c>
      <c r="AA1043" s="1">
        <f>ESTIMATIVA[[#This Row],[QT_CANA_EST]]</f>
        <v>601.65</v>
      </c>
      <c r="AB1043" s="1">
        <f>IF(ESTIMATIVA[[#This Row],[QT_CANA_REST1]]&gt;0,ESTIMATIVA[[#This Row],[QT_CANA_REST1]],
  IF(ESTIMATIVA[[#This Row],[QT_CANA_REAL]]&gt;0,ESTIMATIVA[[#This Row],[QT_CANA_REAL]],ESTIMATIVA[[#This Row],[QT_CANA_EST]]))</f>
        <v>509.62</v>
      </c>
      <c r="AC104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509.62</v>
      </c>
      <c r="AD1043" s="1">
        <f>IF(ESTIMATIVA[[#This Row],[QT_AREA_REAL]]&gt;0,ESTIMATIVA[[#This Row],[QT_CANA_REAL]],ESTIMATIVA[[#This Row],[QT_CANA_EST]])</f>
        <v>509.62</v>
      </c>
      <c r="AE1043" s="1">
        <f>IF(ESTIMATIVA[[#This Row],[QT_AREA_REAL]]&gt;0,ESTIMATIVA[[#This Row],[QT_CANA_REAL]],ESTIMATIVA[[#This Row],[QT_CANA_REST1]])</f>
        <v>509.62</v>
      </c>
      <c r="AF1043" s="1">
        <f>IF(ESTIMATIVA[[#This Row],[QT_AREA_REAL]]&gt;0,ESTIMATIVA[[#This Row],[QT_CANA_REAL]],ESTIMATIVA[[#This Row],[QT_CANA_REST2]])</f>
        <v>509.62</v>
      </c>
      <c r="AG1043" s="1" t="str">
        <f>IF(COUNTIFS(GEADA!A:A,VALUE(ESTIMATIVA[[#This Row],[CD_UPNIVEL1]]&amp;TEXT(ESTIMATIVA[[#This Row],[CD_UPNIVEL3]],"0000")))&gt;0,"S","N")</f>
        <v>N</v>
      </c>
      <c r="AH104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43" s="55" t="str">
        <f>IF(ESTIMATIVA[[#This Row],[TP_CULTIVO]]="Irrigado",_xlfn.MAXIFS(IRRIGADO!J:J,IRRIGADO!C:C,ESTIMATIVA[[#This Row],[CD_UPNIVEL1]],IRRIGADO!E:E,ESTIMATIVA[[#This Row],[CD_UPNIVEL3]]),"")</f>
        <v/>
      </c>
      <c r="AJ104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43" s="1">
        <f>COUNTIFS(Apresentação!$E$23:$E$29,ESTIMATIVA[[#This Row],[CD_UPNIVEL1]])</f>
        <v>0</v>
      </c>
    </row>
    <row r="1044" spans="1:37" x14ac:dyDescent="0.3">
      <c r="A1044">
        <v>20471</v>
      </c>
      <c r="B1044" t="s">
        <v>57</v>
      </c>
      <c r="C1044">
        <v>1</v>
      </c>
      <c r="D1044">
        <v>6</v>
      </c>
      <c r="E1044" t="s">
        <v>261</v>
      </c>
      <c r="F1044" s="85" t="s">
        <v>333</v>
      </c>
      <c r="G1044"/>
      <c r="H1044" t="s">
        <v>294</v>
      </c>
      <c r="I1044" t="s">
        <v>221</v>
      </c>
      <c r="J1044" t="s">
        <v>176</v>
      </c>
      <c r="K1044" s="1">
        <v>25.86</v>
      </c>
      <c r="L1044" s="1">
        <v>25.86</v>
      </c>
      <c r="M1044" s="1">
        <v>0</v>
      </c>
      <c r="N1044" s="1">
        <v>25.86</v>
      </c>
      <c r="O1044" s="1">
        <v>775.8</v>
      </c>
      <c r="P1044" s="1">
        <v>517.20000000000005</v>
      </c>
      <c r="Q1044" s="1">
        <v>0</v>
      </c>
      <c r="R1044" s="1">
        <v>831.93</v>
      </c>
      <c r="S1044" t="s">
        <v>12</v>
      </c>
      <c r="T1044" s="13">
        <v>45886</v>
      </c>
      <c r="U1044" s="1" t="str">
        <f>IF(ESTIMATIVA[[#This Row],[QT_AREA_REAL]]&gt;0,"1- Colhido","2- à Colher")</f>
        <v>1- Colhido</v>
      </c>
      <c r="V1044" s="1" t="str">
        <f>IF(ESTIMATIVA[[#This Row],[QT_AREA_REST1]]&gt;0,"Reestimativa 1",IF(ESTIMATIVA[[#This Row],[QT_AREA_REAL]]=0,"Reestimativa 1","Realizado"))</f>
        <v>Reestimativa 1</v>
      </c>
      <c r="W1044" s="1" t="str">
        <f>IF(ESTIMATIVA[[#This Row],[QT_AREA_REST2]]&gt;0,"Reestimativa 2",IF(ESTIMATIVA[[#This Row],[QT_AREA_REAL]]=0,"Reestimativa 2","Realizado"))</f>
        <v>Realizado</v>
      </c>
      <c r="X1044" s="1">
        <f>ESTIMATIVA[[#This Row],[QT_AREA_EST]]</f>
        <v>25.86</v>
      </c>
      <c r="Y1044" s="1">
        <f>IF(ESTIMATIVA[[#This Row],[QT_AREA_REST1]]&gt;0,ESTIMATIVA[[#This Row],[QT_AREA_REST1]],
  IF(ESTIMATIVA[[#This Row],[QT_AREA_REAL]]&gt;0,ESTIMATIVA[[#This Row],[QT_AREA_REAL]],ESTIMATIVA[[#This Row],[QT_AREA_EST]]))</f>
        <v>25.86</v>
      </c>
      <c r="Z104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25.86</v>
      </c>
      <c r="AA1044" s="1">
        <f>ESTIMATIVA[[#This Row],[QT_CANA_EST]]</f>
        <v>775.8</v>
      </c>
      <c r="AB1044" s="1">
        <f>IF(ESTIMATIVA[[#This Row],[QT_CANA_REST1]]&gt;0,ESTIMATIVA[[#This Row],[QT_CANA_REST1]],
  IF(ESTIMATIVA[[#This Row],[QT_CANA_REAL]]&gt;0,ESTIMATIVA[[#This Row],[QT_CANA_REAL]],ESTIMATIVA[[#This Row],[QT_CANA_EST]]))</f>
        <v>517.20000000000005</v>
      </c>
      <c r="AC104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831.93</v>
      </c>
      <c r="AD1044" s="1">
        <f>IF(ESTIMATIVA[[#This Row],[QT_AREA_REAL]]&gt;0,ESTIMATIVA[[#This Row],[QT_CANA_REAL]],ESTIMATIVA[[#This Row],[QT_CANA_EST]])</f>
        <v>831.93</v>
      </c>
      <c r="AE1044" s="1">
        <f>IF(ESTIMATIVA[[#This Row],[QT_AREA_REAL]]&gt;0,ESTIMATIVA[[#This Row],[QT_CANA_REAL]],ESTIMATIVA[[#This Row],[QT_CANA_REST1]])</f>
        <v>831.93</v>
      </c>
      <c r="AF1044" s="1">
        <f>IF(ESTIMATIVA[[#This Row],[QT_AREA_REAL]]&gt;0,ESTIMATIVA[[#This Row],[QT_CANA_REAL]],ESTIMATIVA[[#This Row],[QT_CANA_REST2]])</f>
        <v>831.93</v>
      </c>
      <c r="AG1044" s="1" t="str">
        <f>IF(COUNTIFS(GEADA!A:A,VALUE(ESTIMATIVA[[#This Row],[CD_UPNIVEL1]]&amp;TEXT(ESTIMATIVA[[#This Row],[CD_UPNIVEL3]],"0000")))&gt;0,"S","N")</f>
        <v>N</v>
      </c>
      <c r="AH104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44" s="55" t="str">
        <f>IF(ESTIMATIVA[[#This Row],[TP_CULTIVO]]="Irrigado",_xlfn.MAXIFS(IRRIGADO!J:J,IRRIGADO!C:C,ESTIMATIVA[[#This Row],[CD_UPNIVEL1]],IRRIGADO!E:E,ESTIMATIVA[[#This Row],[CD_UPNIVEL3]]),"")</f>
        <v/>
      </c>
      <c r="AJ104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44" s="1">
        <f>COUNTIFS(Apresentação!$E$23:$E$29,ESTIMATIVA[[#This Row],[CD_UPNIVEL1]])</f>
        <v>0</v>
      </c>
    </row>
    <row r="1045" spans="1:37" x14ac:dyDescent="0.3">
      <c r="A1045">
        <v>20471</v>
      </c>
      <c r="B1045" t="s">
        <v>57</v>
      </c>
      <c r="C1045">
        <v>2</v>
      </c>
      <c r="D1045">
        <v>6</v>
      </c>
      <c r="E1045" t="s">
        <v>261</v>
      </c>
      <c r="F1045" s="85" t="s">
        <v>333</v>
      </c>
      <c r="G1045"/>
      <c r="H1045" t="s">
        <v>294</v>
      </c>
      <c r="I1045" t="s">
        <v>221</v>
      </c>
      <c r="J1045" t="s">
        <v>176</v>
      </c>
      <c r="K1045" s="1">
        <v>41.29</v>
      </c>
      <c r="L1045" s="1">
        <v>41.29</v>
      </c>
      <c r="M1045" s="1">
        <v>0</v>
      </c>
      <c r="N1045" s="1">
        <v>41.29</v>
      </c>
      <c r="O1045" s="1">
        <v>1238.7</v>
      </c>
      <c r="P1045" s="1">
        <v>825.8</v>
      </c>
      <c r="Q1045" s="1">
        <v>0</v>
      </c>
      <c r="R1045" s="1">
        <v>1284.9100000000001</v>
      </c>
      <c r="S1045" t="s">
        <v>12</v>
      </c>
      <c r="T1045" s="13">
        <v>45893</v>
      </c>
      <c r="U1045" s="1" t="str">
        <f>IF(ESTIMATIVA[[#This Row],[QT_AREA_REAL]]&gt;0,"1- Colhido","2- à Colher")</f>
        <v>1- Colhido</v>
      </c>
      <c r="V1045" s="1" t="str">
        <f>IF(ESTIMATIVA[[#This Row],[QT_AREA_REST1]]&gt;0,"Reestimativa 1",IF(ESTIMATIVA[[#This Row],[QT_AREA_REAL]]=0,"Reestimativa 1","Realizado"))</f>
        <v>Reestimativa 1</v>
      </c>
      <c r="W1045" s="1" t="str">
        <f>IF(ESTIMATIVA[[#This Row],[QT_AREA_REST2]]&gt;0,"Reestimativa 2",IF(ESTIMATIVA[[#This Row],[QT_AREA_REAL]]=0,"Reestimativa 2","Realizado"))</f>
        <v>Realizado</v>
      </c>
      <c r="X1045" s="1">
        <f>ESTIMATIVA[[#This Row],[QT_AREA_EST]]</f>
        <v>41.29</v>
      </c>
      <c r="Y1045" s="1">
        <f>IF(ESTIMATIVA[[#This Row],[QT_AREA_REST1]]&gt;0,ESTIMATIVA[[#This Row],[QT_AREA_REST1]],
  IF(ESTIMATIVA[[#This Row],[QT_AREA_REAL]]&gt;0,ESTIMATIVA[[#This Row],[QT_AREA_REAL]],ESTIMATIVA[[#This Row],[QT_AREA_EST]]))</f>
        <v>41.29</v>
      </c>
      <c r="Z104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41.29</v>
      </c>
      <c r="AA1045" s="1">
        <f>ESTIMATIVA[[#This Row],[QT_CANA_EST]]</f>
        <v>1238.7</v>
      </c>
      <c r="AB1045" s="1">
        <f>IF(ESTIMATIVA[[#This Row],[QT_CANA_REST1]]&gt;0,ESTIMATIVA[[#This Row],[QT_CANA_REST1]],
  IF(ESTIMATIVA[[#This Row],[QT_CANA_REAL]]&gt;0,ESTIMATIVA[[#This Row],[QT_CANA_REAL]],ESTIMATIVA[[#This Row],[QT_CANA_EST]]))</f>
        <v>825.8</v>
      </c>
      <c r="AC104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1284.9100000000001</v>
      </c>
      <c r="AD1045" s="1">
        <f>IF(ESTIMATIVA[[#This Row],[QT_AREA_REAL]]&gt;0,ESTIMATIVA[[#This Row],[QT_CANA_REAL]],ESTIMATIVA[[#This Row],[QT_CANA_EST]])</f>
        <v>1284.9100000000001</v>
      </c>
      <c r="AE1045" s="1">
        <f>IF(ESTIMATIVA[[#This Row],[QT_AREA_REAL]]&gt;0,ESTIMATIVA[[#This Row],[QT_CANA_REAL]],ESTIMATIVA[[#This Row],[QT_CANA_REST1]])</f>
        <v>1284.9100000000001</v>
      </c>
      <c r="AF1045" s="1">
        <f>IF(ESTIMATIVA[[#This Row],[QT_AREA_REAL]]&gt;0,ESTIMATIVA[[#This Row],[QT_CANA_REAL]],ESTIMATIVA[[#This Row],[QT_CANA_REST2]])</f>
        <v>1284.9100000000001</v>
      </c>
      <c r="AG1045" s="1" t="str">
        <f>IF(COUNTIFS(GEADA!A:A,VALUE(ESTIMATIVA[[#This Row],[CD_UPNIVEL1]]&amp;TEXT(ESTIMATIVA[[#This Row],[CD_UPNIVEL3]],"0000")))&gt;0,"S","N")</f>
        <v>N</v>
      </c>
      <c r="AH104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45" s="55" t="str">
        <f>IF(ESTIMATIVA[[#This Row],[TP_CULTIVO]]="Irrigado",_xlfn.MAXIFS(IRRIGADO!J:J,IRRIGADO!C:C,ESTIMATIVA[[#This Row],[CD_UPNIVEL1]],IRRIGADO!E:E,ESTIMATIVA[[#This Row],[CD_UPNIVEL3]]),"")</f>
        <v/>
      </c>
      <c r="AJ104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45" s="1">
        <f>COUNTIFS(Apresentação!$E$23:$E$29,ESTIMATIVA[[#This Row],[CD_UPNIVEL1]])</f>
        <v>0</v>
      </c>
    </row>
    <row r="1046" spans="1:37" x14ac:dyDescent="0.3">
      <c r="A1046">
        <v>20471</v>
      </c>
      <c r="B1046" t="s">
        <v>57</v>
      </c>
      <c r="C1046">
        <v>3</v>
      </c>
      <c r="D1046">
        <v>6</v>
      </c>
      <c r="E1046" t="s">
        <v>261</v>
      </c>
      <c r="F1046" s="85" t="s">
        <v>333</v>
      </c>
      <c r="G1046"/>
      <c r="H1046" t="s">
        <v>294</v>
      </c>
      <c r="I1046" t="s">
        <v>221</v>
      </c>
      <c r="J1046" t="s">
        <v>176</v>
      </c>
      <c r="K1046" s="1">
        <v>4.1900000000000004</v>
      </c>
      <c r="L1046" s="1">
        <v>4.1900000000000004</v>
      </c>
      <c r="M1046" s="1">
        <v>0</v>
      </c>
      <c r="N1046" s="1">
        <v>4.1900000000000004</v>
      </c>
      <c r="O1046" s="1">
        <v>125.7</v>
      </c>
      <c r="P1046" s="1">
        <v>83.8</v>
      </c>
      <c r="Q1046" s="1">
        <v>0</v>
      </c>
      <c r="R1046" s="1">
        <v>130.61000000000001</v>
      </c>
      <c r="S1046" t="s">
        <v>12</v>
      </c>
      <c r="T1046" s="13">
        <v>45893</v>
      </c>
      <c r="U1046" s="1" t="str">
        <f>IF(ESTIMATIVA[[#This Row],[QT_AREA_REAL]]&gt;0,"1- Colhido","2- à Colher")</f>
        <v>1- Colhido</v>
      </c>
      <c r="V1046" s="1" t="str">
        <f>IF(ESTIMATIVA[[#This Row],[QT_AREA_REST1]]&gt;0,"Reestimativa 1",IF(ESTIMATIVA[[#This Row],[QT_AREA_REAL]]=0,"Reestimativa 1","Realizado"))</f>
        <v>Reestimativa 1</v>
      </c>
      <c r="W1046" s="1" t="str">
        <f>IF(ESTIMATIVA[[#This Row],[QT_AREA_REST2]]&gt;0,"Reestimativa 2",IF(ESTIMATIVA[[#This Row],[QT_AREA_REAL]]=0,"Reestimativa 2","Realizado"))</f>
        <v>Realizado</v>
      </c>
      <c r="X1046" s="1">
        <f>ESTIMATIVA[[#This Row],[QT_AREA_EST]]</f>
        <v>4.1900000000000004</v>
      </c>
      <c r="Y1046" s="1">
        <f>IF(ESTIMATIVA[[#This Row],[QT_AREA_REST1]]&gt;0,ESTIMATIVA[[#This Row],[QT_AREA_REST1]],
  IF(ESTIMATIVA[[#This Row],[QT_AREA_REAL]]&gt;0,ESTIMATIVA[[#This Row],[QT_AREA_REAL]],ESTIMATIVA[[#This Row],[QT_AREA_EST]]))</f>
        <v>4.1900000000000004</v>
      </c>
      <c r="Z104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4.1900000000000004</v>
      </c>
      <c r="AA1046" s="1">
        <f>ESTIMATIVA[[#This Row],[QT_CANA_EST]]</f>
        <v>125.7</v>
      </c>
      <c r="AB1046" s="1">
        <f>IF(ESTIMATIVA[[#This Row],[QT_CANA_REST1]]&gt;0,ESTIMATIVA[[#This Row],[QT_CANA_REST1]],
  IF(ESTIMATIVA[[#This Row],[QT_CANA_REAL]]&gt;0,ESTIMATIVA[[#This Row],[QT_CANA_REAL]],ESTIMATIVA[[#This Row],[QT_CANA_EST]]))</f>
        <v>83.8</v>
      </c>
      <c r="AC104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130.61000000000001</v>
      </c>
      <c r="AD1046" s="1">
        <f>IF(ESTIMATIVA[[#This Row],[QT_AREA_REAL]]&gt;0,ESTIMATIVA[[#This Row],[QT_CANA_REAL]],ESTIMATIVA[[#This Row],[QT_CANA_EST]])</f>
        <v>130.61000000000001</v>
      </c>
      <c r="AE1046" s="1">
        <f>IF(ESTIMATIVA[[#This Row],[QT_AREA_REAL]]&gt;0,ESTIMATIVA[[#This Row],[QT_CANA_REAL]],ESTIMATIVA[[#This Row],[QT_CANA_REST1]])</f>
        <v>130.61000000000001</v>
      </c>
      <c r="AF1046" s="1">
        <f>IF(ESTIMATIVA[[#This Row],[QT_AREA_REAL]]&gt;0,ESTIMATIVA[[#This Row],[QT_CANA_REAL]],ESTIMATIVA[[#This Row],[QT_CANA_REST2]])</f>
        <v>130.61000000000001</v>
      </c>
      <c r="AG1046" s="1" t="str">
        <f>IF(COUNTIFS(GEADA!A:A,VALUE(ESTIMATIVA[[#This Row],[CD_UPNIVEL1]]&amp;TEXT(ESTIMATIVA[[#This Row],[CD_UPNIVEL3]],"0000")))&gt;0,"S","N")</f>
        <v>N</v>
      </c>
      <c r="AH104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46" s="55" t="str">
        <f>IF(ESTIMATIVA[[#This Row],[TP_CULTIVO]]="Irrigado",_xlfn.MAXIFS(IRRIGADO!J:J,IRRIGADO!C:C,ESTIMATIVA[[#This Row],[CD_UPNIVEL1]],IRRIGADO!E:E,ESTIMATIVA[[#This Row],[CD_UPNIVEL3]]),"")</f>
        <v/>
      </c>
      <c r="AJ104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46" s="1">
        <f>COUNTIFS(Apresentação!$E$23:$E$29,ESTIMATIVA[[#This Row],[CD_UPNIVEL1]])</f>
        <v>0</v>
      </c>
    </row>
    <row r="1047" spans="1:37" x14ac:dyDescent="0.3">
      <c r="A1047">
        <v>20471</v>
      </c>
      <c r="B1047" t="s">
        <v>57</v>
      </c>
      <c r="C1047">
        <v>4</v>
      </c>
      <c r="D1047">
        <v>6</v>
      </c>
      <c r="E1047" t="s">
        <v>261</v>
      </c>
      <c r="F1047" s="85" t="s">
        <v>333</v>
      </c>
      <c r="G1047"/>
      <c r="H1047" t="s">
        <v>294</v>
      </c>
      <c r="I1047" t="s">
        <v>221</v>
      </c>
      <c r="J1047" t="s">
        <v>176</v>
      </c>
      <c r="K1047" s="1">
        <v>19.96</v>
      </c>
      <c r="L1047" s="1">
        <v>19.96</v>
      </c>
      <c r="M1047" s="1">
        <v>0</v>
      </c>
      <c r="N1047" s="1">
        <v>19.96</v>
      </c>
      <c r="O1047" s="1">
        <v>598.79999999999995</v>
      </c>
      <c r="P1047" s="1">
        <v>399.2</v>
      </c>
      <c r="Q1047" s="1">
        <v>0</v>
      </c>
      <c r="R1047" s="1">
        <v>620.65</v>
      </c>
      <c r="S1047" t="s">
        <v>12</v>
      </c>
      <c r="T1047" s="13">
        <v>45893</v>
      </c>
      <c r="U1047" s="1" t="str">
        <f>IF(ESTIMATIVA[[#This Row],[QT_AREA_REAL]]&gt;0,"1- Colhido","2- à Colher")</f>
        <v>1- Colhido</v>
      </c>
      <c r="V1047" s="1" t="str">
        <f>IF(ESTIMATIVA[[#This Row],[QT_AREA_REST1]]&gt;0,"Reestimativa 1",IF(ESTIMATIVA[[#This Row],[QT_AREA_REAL]]=0,"Reestimativa 1","Realizado"))</f>
        <v>Reestimativa 1</v>
      </c>
      <c r="W1047" s="1" t="str">
        <f>IF(ESTIMATIVA[[#This Row],[QT_AREA_REST2]]&gt;0,"Reestimativa 2",IF(ESTIMATIVA[[#This Row],[QT_AREA_REAL]]=0,"Reestimativa 2","Realizado"))</f>
        <v>Realizado</v>
      </c>
      <c r="X1047" s="1">
        <f>ESTIMATIVA[[#This Row],[QT_AREA_EST]]</f>
        <v>19.96</v>
      </c>
      <c r="Y1047" s="1">
        <f>IF(ESTIMATIVA[[#This Row],[QT_AREA_REST1]]&gt;0,ESTIMATIVA[[#This Row],[QT_AREA_REST1]],
  IF(ESTIMATIVA[[#This Row],[QT_AREA_REAL]]&gt;0,ESTIMATIVA[[#This Row],[QT_AREA_REAL]],ESTIMATIVA[[#This Row],[QT_AREA_EST]]))</f>
        <v>19.96</v>
      </c>
      <c r="Z104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19.96</v>
      </c>
      <c r="AA1047" s="1">
        <f>ESTIMATIVA[[#This Row],[QT_CANA_EST]]</f>
        <v>598.79999999999995</v>
      </c>
      <c r="AB1047" s="1">
        <f>IF(ESTIMATIVA[[#This Row],[QT_CANA_REST1]]&gt;0,ESTIMATIVA[[#This Row],[QT_CANA_REST1]],
  IF(ESTIMATIVA[[#This Row],[QT_CANA_REAL]]&gt;0,ESTIMATIVA[[#This Row],[QT_CANA_REAL]],ESTIMATIVA[[#This Row],[QT_CANA_EST]]))</f>
        <v>399.2</v>
      </c>
      <c r="AC104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620.65</v>
      </c>
      <c r="AD1047" s="1">
        <f>IF(ESTIMATIVA[[#This Row],[QT_AREA_REAL]]&gt;0,ESTIMATIVA[[#This Row],[QT_CANA_REAL]],ESTIMATIVA[[#This Row],[QT_CANA_EST]])</f>
        <v>620.65</v>
      </c>
      <c r="AE1047" s="1">
        <f>IF(ESTIMATIVA[[#This Row],[QT_AREA_REAL]]&gt;0,ESTIMATIVA[[#This Row],[QT_CANA_REAL]],ESTIMATIVA[[#This Row],[QT_CANA_REST1]])</f>
        <v>620.65</v>
      </c>
      <c r="AF1047" s="1">
        <f>IF(ESTIMATIVA[[#This Row],[QT_AREA_REAL]]&gt;0,ESTIMATIVA[[#This Row],[QT_CANA_REAL]],ESTIMATIVA[[#This Row],[QT_CANA_REST2]])</f>
        <v>620.65</v>
      </c>
      <c r="AG1047" s="1" t="str">
        <f>IF(COUNTIFS(GEADA!A:A,VALUE(ESTIMATIVA[[#This Row],[CD_UPNIVEL1]]&amp;TEXT(ESTIMATIVA[[#This Row],[CD_UPNIVEL3]],"0000")))&gt;0,"S","N")</f>
        <v>S</v>
      </c>
      <c r="AH104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47" s="55" t="str">
        <f>IF(ESTIMATIVA[[#This Row],[TP_CULTIVO]]="Irrigado",_xlfn.MAXIFS(IRRIGADO!J:J,IRRIGADO!C:C,ESTIMATIVA[[#This Row],[CD_UPNIVEL1]],IRRIGADO!E:E,ESTIMATIVA[[#This Row],[CD_UPNIVEL3]]),"")</f>
        <v/>
      </c>
      <c r="AJ104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47" s="1">
        <f>COUNTIFS(Apresentação!$E$23:$E$29,ESTIMATIVA[[#This Row],[CD_UPNIVEL1]])</f>
        <v>0</v>
      </c>
    </row>
    <row r="1048" spans="1:37" x14ac:dyDescent="0.3">
      <c r="A1048">
        <v>20471</v>
      </c>
      <c r="B1048" t="s">
        <v>57</v>
      </c>
      <c r="C1048">
        <v>5</v>
      </c>
      <c r="D1048">
        <v>6</v>
      </c>
      <c r="E1048" t="s">
        <v>261</v>
      </c>
      <c r="F1048" s="85" t="s">
        <v>333</v>
      </c>
      <c r="G1048"/>
      <c r="H1048" t="s">
        <v>294</v>
      </c>
      <c r="I1048" t="s">
        <v>221</v>
      </c>
      <c r="J1048" t="s">
        <v>176</v>
      </c>
      <c r="K1048" s="1">
        <v>31.34</v>
      </c>
      <c r="L1048" s="1">
        <v>31.34</v>
      </c>
      <c r="M1048" s="1">
        <v>0</v>
      </c>
      <c r="N1048" s="1">
        <v>31.34</v>
      </c>
      <c r="O1048" s="1">
        <v>940.2</v>
      </c>
      <c r="P1048" s="1">
        <v>626.79999999999995</v>
      </c>
      <c r="Q1048" s="1">
        <v>0</v>
      </c>
      <c r="R1048" s="1">
        <v>975.33</v>
      </c>
      <c r="S1048" t="s">
        <v>12</v>
      </c>
      <c r="T1048" s="13">
        <v>45893</v>
      </c>
      <c r="U1048" s="1" t="str">
        <f>IF(ESTIMATIVA[[#This Row],[QT_AREA_REAL]]&gt;0,"1- Colhido","2- à Colher")</f>
        <v>1- Colhido</v>
      </c>
      <c r="V1048" s="1" t="str">
        <f>IF(ESTIMATIVA[[#This Row],[QT_AREA_REST1]]&gt;0,"Reestimativa 1",IF(ESTIMATIVA[[#This Row],[QT_AREA_REAL]]=0,"Reestimativa 1","Realizado"))</f>
        <v>Reestimativa 1</v>
      </c>
      <c r="W1048" s="1" t="str">
        <f>IF(ESTIMATIVA[[#This Row],[QT_AREA_REST2]]&gt;0,"Reestimativa 2",IF(ESTIMATIVA[[#This Row],[QT_AREA_REAL]]=0,"Reestimativa 2","Realizado"))</f>
        <v>Realizado</v>
      </c>
      <c r="X1048" s="1">
        <f>ESTIMATIVA[[#This Row],[QT_AREA_EST]]</f>
        <v>31.34</v>
      </c>
      <c r="Y1048" s="1">
        <f>IF(ESTIMATIVA[[#This Row],[QT_AREA_REST1]]&gt;0,ESTIMATIVA[[#This Row],[QT_AREA_REST1]],
  IF(ESTIMATIVA[[#This Row],[QT_AREA_REAL]]&gt;0,ESTIMATIVA[[#This Row],[QT_AREA_REAL]],ESTIMATIVA[[#This Row],[QT_AREA_EST]]))</f>
        <v>31.34</v>
      </c>
      <c r="Z104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31.34</v>
      </c>
      <c r="AA1048" s="1">
        <f>ESTIMATIVA[[#This Row],[QT_CANA_EST]]</f>
        <v>940.2</v>
      </c>
      <c r="AB1048" s="1">
        <f>IF(ESTIMATIVA[[#This Row],[QT_CANA_REST1]]&gt;0,ESTIMATIVA[[#This Row],[QT_CANA_REST1]],
  IF(ESTIMATIVA[[#This Row],[QT_CANA_REAL]]&gt;0,ESTIMATIVA[[#This Row],[QT_CANA_REAL]],ESTIMATIVA[[#This Row],[QT_CANA_EST]]))</f>
        <v>626.79999999999995</v>
      </c>
      <c r="AC104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975.33</v>
      </c>
      <c r="AD1048" s="1">
        <f>IF(ESTIMATIVA[[#This Row],[QT_AREA_REAL]]&gt;0,ESTIMATIVA[[#This Row],[QT_CANA_REAL]],ESTIMATIVA[[#This Row],[QT_CANA_EST]])</f>
        <v>975.33</v>
      </c>
      <c r="AE1048" s="1">
        <f>IF(ESTIMATIVA[[#This Row],[QT_AREA_REAL]]&gt;0,ESTIMATIVA[[#This Row],[QT_CANA_REAL]],ESTIMATIVA[[#This Row],[QT_CANA_REST1]])</f>
        <v>975.33</v>
      </c>
      <c r="AF1048" s="1">
        <f>IF(ESTIMATIVA[[#This Row],[QT_AREA_REAL]]&gt;0,ESTIMATIVA[[#This Row],[QT_CANA_REAL]],ESTIMATIVA[[#This Row],[QT_CANA_REST2]])</f>
        <v>975.33</v>
      </c>
      <c r="AG1048" s="1" t="str">
        <f>IF(COUNTIFS(GEADA!A:A,VALUE(ESTIMATIVA[[#This Row],[CD_UPNIVEL1]]&amp;TEXT(ESTIMATIVA[[#This Row],[CD_UPNIVEL3]],"0000")))&gt;0,"S","N")</f>
        <v>S</v>
      </c>
      <c r="AH104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48" s="55" t="str">
        <f>IF(ESTIMATIVA[[#This Row],[TP_CULTIVO]]="Irrigado",_xlfn.MAXIFS(IRRIGADO!J:J,IRRIGADO!C:C,ESTIMATIVA[[#This Row],[CD_UPNIVEL1]],IRRIGADO!E:E,ESTIMATIVA[[#This Row],[CD_UPNIVEL3]]),"")</f>
        <v/>
      </c>
      <c r="AJ104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48" s="1">
        <f>COUNTIFS(Apresentação!$E$23:$E$29,ESTIMATIVA[[#This Row],[CD_UPNIVEL1]])</f>
        <v>0</v>
      </c>
    </row>
    <row r="1049" spans="1:37" x14ac:dyDescent="0.3">
      <c r="A1049">
        <v>20471</v>
      </c>
      <c r="B1049" t="s">
        <v>57</v>
      </c>
      <c r="C1049">
        <v>6</v>
      </c>
      <c r="D1049">
        <v>6</v>
      </c>
      <c r="E1049" t="s">
        <v>261</v>
      </c>
      <c r="F1049" s="85" t="s">
        <v>333</v>
      </c>
      <c r="G1049"/>
      <c r="H1049" t="s">
        <v>294</v>
      </c>
      <c r="I1049" t="s">
        <v>221</v>
      </c>
      <c r="J1049" t="s">
        <v>176</v>
      </c>
      <c r="K1049" s="1">
        <v>17.09</v>
      </c>
      <c r="L1049" s="1">
        <v>17.09</v>
      </c>
      <c r="M1049" s="1">
        <v>0</v>
      </c>
      <c r="N1049" s="1">
        <v>17.09</v>
      </c>
      <c r="O1049" s="1">
        <v>512.70000000000005</v>
      </c>
      <c r="P1049" s="1">
        <v>341.8</v>
      </c>
      <c r="Q1049" s="1">
        <v>0</v>
      </c>
      <c r="R1049" s="1">
        <v>531.97</v>
      </c>
      <c r="S1049" t="s">
        <v>12</v>
      </c>
      <c r="T1049" s="13">
        <v>45893</v>
      </c>
      <c r="U1049" s="1" t="str">
        <f>IF(ESTIMATIVA[[#This Row],[QT_AREA_REAL]]&gt;0,"1- Colhido","2- à Colher")</f>
        <v>1- Colhido</v>
      </c>
      <c r="V1049" s="1" t="str">
        <f>IF(ESTIMATIVA[[#This Row],[QT_AREA_REST1]]&gt;0,"Reestimativa 1",IF(ESTIMATIVA[[#This Row],[QT_AREA_REAL]]=0,"Reestimativa 1","Realizado"))</f>
        <v>Reestimativa 1</v>
      </c>
      <c r="W1049" s="1" t="str">
        <f>IF(ESTIMATIVA[[#This Row],[QT_AREA_REST2]]&gt;0,"Reestimativa 2",IF(ESTIMATIVA[[#This Row],[QT_AREA_REAL]]=0,"Reestimativa 2","Realizado"))</f>
        <v>Realizado</v>
      </c>
      <c r="X1049" s="1">
        <f>ESTIMATIVA[[#This Row],[QT_AREA_EST]]</f>
        <v>17.09</v>
      </c>
      <c r="Y1049" s="1">
        <f>IF(ESTIMATIVA[[#This Row],[QT_AREA_REST1]]&gt;0,ESTIMATIVA[[#This Row],[QT_AREA_REST1]],
  IF(ESTIMATIVA[[#This Row],[QT_AREA_REAL]]&gt;0,ESTIMATIVA[[#This Row],[QT_AREA_REAL]],ESTIMATIVA[[#This Row],[QT_AREA_EST]]))</f>
        <v>17.09</v>
      </c>
      <c r="Z104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17.09</v>
      </c>
      <c r="AA1049" s="1">
        <f>ESTIMATIVA[[#This Row],[QT_CANA_EST]]</f>
        <v>512.70000000000005</v>
      </c>
      <c r="AB1049" s="1">
        <f>IF(ESTIMATIVA[[#This Row],[QT_CANA_REST1]]&gt;0,ESTIMATIVA[[#This Row],[QT_CANA_REST1]],
  IF(ESTIMATIVA[[#This Row],[QT_CANA_REAL]]&gt;0,ESTIMATIVA[[#This Row],[QT_CANA_REAL]],ESTIMATIVA[[#This Row],[QT_CANA_EST]]))</f>
        <v>341.8</v>
      </c>
      <c r="AC104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531.97</v>
      </c>
      <c r="AD1049" s="1">
        <f>IF(ESTIMATIVA[[#This Row],[QT_AREA_REAL]]&gt;0,ESTIMATIVA[[#This Row],[QT_CANA_REAL]],ESTIMATIVA[[#This Row],[QT_CANA_EST]])</f>
        <v>531.97</v>
      </c>
      <c r="AE1049" s="1">
        <f>IF(ESTIMATIVA[[#This Row],[QT_AREA_REAL]]&gt;0,ESTIMATIVA[[#This Row],[QT_CANA_REAL]],ESTIMATIVA[[#This Row],[QT_CANA_REST1]])</f>
        <v>531.97</v>
      </c>
      <c r="AF1049" s="1">
        <f>IF(ESTIMATIVA[[#This Row],[QT_AREA_REAL]]&gt;0,ESTIMATIVA[[#This Row],[QT_CANA_REAL]],ESTIMATIVA[[#This Row],[QT_CANA_REST2]])</f>
        <v>531.97</v>
      </c>
      <c r="AG1049" s="1" t="str">
        <f>IF(COUNTIFS(GEADA!A:A,VALUE(ESTIMATIVA[[#This Row],[CD_UPNIVEL1]]&amp;TEXT(ESTIMATIVA[[#This Row],[CD_UPNIVEL3]],"0000")))&gt;0,"S","N")</f>
        <v>S</v>
      </c>
      <c r="AH104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49" s="55" t="str">
        <f>IF(ESTIMATIVA[[#This Row],[TP_CULTIVO]]="Irrigado",_xlfn.MAXIFS(IRRIGADO!J:J,IRRIGADO!C:C,ESTIMATIVA[[#This Row],[CD_UPNIVEL1]],IRRIGADO!E:E,ESTIMATIVA[[#This Row],[CD_UPNIVEL3]]),"")</f>
        <v/>
      </c>
      <c r="AJ104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49" s="1">
        <f>COUNTIFS(Apresentação!$E$23:$E$29,ESTIMATIVA[[#This Row],[CD_UPNIVEL1]])</f>
        <v>0</v>
      </c>
    </row>
    <row r="1050" spans="1:37" x14ac:dyDescent="0.3">
      <c r="A1050">
        <v>20471</v>
      </c>
      <c r="B1050" t="s">
        <v>57</v>
      </c>
      <c r="C1050">
        <v>7</v>
      </c>
      <c r="D1050">
        <v>6</v>
      </c>
      <c r="E1050" t="s">
        <v>261</v>
      </c>
      <c r="F1050" s="85" t="s">
        <v>333</v>
      </c>
      <c r="G1050"/>
      <c r="H1050" t="s">
        <v>294</v>
      </c>
      <c r="I1050" t="s">
        <v>221</v>
      </c>
      <c r="J1050" t="s">
        <v>176</v>
      </c>
      <c r="K1050" s="1">
        <v>10.52</v>
      </c>
      <c r="L1050" s="1">
        <v>10.52</v>
      </c>
      <c r="M1050" s="1">
        <v>0</v>
      </c>
      <c r="N1050" s="1">
        <v>10.52</v>
      </c>
      <c r="O1050" s="1">
        <v>315.60000000000002</v>
      </c>
      <c r="P1050" s="1">
        <v>315.60000000000002</v>
      </c>
      <c r="Q1050" s="1">
        <v>0</v>
      </c>
      <c r="R1050" s="1">
        <v>491.52</v>
      </c>
      <c r="S1050" t="s">
        <v>12</v>
      </c>
      <c r="T1050" s="13">
        <v>45893</v>
      </c>
      <c r="U1050" s="1" t="str">
        <f>IF(ESTIMATIVA[[#This Row],[QT_AREA_REAL]]&gt;0,"1- Colhido","2- à Colher")</f>
        <v>1- Colhido</v>
      </c>
      <c r="V1050" s="1" t="str">
        <f>IF(ESTIMATIVA[[#This Row],[QT_AREA_REST1]]&gt;0,"Reestimativa 1",IF(ESTIMATIVA[[#This Row],[QT_AREA_REAL]]=0,"Reestimativa 1","Realizado"))</f>
        <v>Reestimativa 1</v>
      </c>
      <c r="W1050" s="1" t="str">
        <f>IF(ESTIMATIVA[[#This Row],[QT_AREA_REST2]]&gt;0,"Reestimativa 2",IF(ESTIMATIVA[[#This Row],[QT_AREA_REAL]]=0,"Reestimativa 2","Realizado"))</f>
        <v>Realizado</v>
      </c>
      <c r="X1050" s="1">
        <f>ESTIMATIVA[[#This Row],[QT_AREA_EST]]</f>
        <v>10.52</v>
      </c>
      <c r="Y1050" s="1">
        <f>IF(ESTIMATIVA[[#This Row],[QT_AREA_REST1]]&gt;0,ESTIMATIVA[[#This Row],[QT_AREA_REST1]],
  IF(ESTIMATIVA[[#This Row],[QT_AREA_REAL]]&gt;0,ESTIMATIVA[[#This Row],[QT_AREA_REAL]],ESTIMATIVA[[#This Row],[QT_AREA_EST]]))</f>
        <v>10.52</v>
      </c>
      <c r="Z105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10.52</v>
      </c>
      <c r="AA1050" s="1">
        <f>ESTIMATIVA[[#This Row],[QT_CANA_EST]]</f>
        <v>315.60000000000002</v>
      </c>
      <c r="AB1050" s="1">
        <f>IF(ESTIMATIVA[[#This Row],[QT_CANA_REST1]]&gt;0,ESTIMATIVA[[#This Row],[QT_CANA_REST1]],
  IF(ESTIMATIVA[[#This Row],[QT_CANA_REAL]]&gt;0,ESTIMATIVA[[#This Row],[QT_CANA_REAL]],ESTIMATIVA[[#This Row],[QT_CANA_EST]]))</f>
        <v>315.60000000000002</v>
      </c>
      <c r="AC105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491.52</v>
      </c>
      <c r="AD1050" s="1">
        <f>IF(ESTIMATIVA[[#This Row],[QT_AREA_REAL]]&gt;0,ESTIMATIVA[[#This Row],[QT_CANA_REAL]],ESTIMATIVA[[#This Row],[QT_CANA_EST]])</f>
        <v>491.52</v>
      </c>
      <c r="AE1050" s="1">
        <f>IF(ESTIMATIVA[[#This Row],[QT_AREA_REAL]]&gt;0,ESTIMATIVA[[#This Row],[QT_CANA_REAL]],ESTIMATIVA[[#This Row],[QT_CANA_REST1]])</f>
        <v>491.52</v>
      </c>
      <c r="AF1050" s="1">
        <f>IF(ESTIMATIVA[[#This Row],[QT_AREA_REAL]]&gt;0,ESTIMATIVA[[#This Row],[QT_CANA_REAL]],ESTIMATIVA[[#This Row],[QT_CANA_REST2]])</f>
        <v>491.52</v>
      </c>
      <c r="AG1050" s="1" t="str">
        <f>IF(COUNTIFS(GEADA!A:A,VALUE(ESTIMATIVA[[#This Row],[CD_UPNIVEL1]]&amp;TEXT(ESTIMATIVA[[#This Row],[CD_UPNIVEL3]],"0000")))&gt;0,"S","N")</f>
        <v>S</v>
      </c>
      <c r="AH105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50" s="55" t="str">
        <f>IF(ESTIMATIVA[[#This Row],[TP_CULTIVO]]="Irrigado",_xlfn.MAXIFS(IRRIGADO!J:J,IRRIGADO!C:C,ESTIMATIVA[[#This Row],[CD_UPNIVEL1]],IRRIGADO!E:E,ESTIMATIVA[[#This Row],[CD_UPNIVEL3]]),"")</f>
        <v/>
      </c>
      <c r="AJ105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50" s="1">
        <f>COUNTIFS(Apresentação!$E$23:$E$29,ESTIMATIVA[[#This Row],[CD_UPNIVEL1]])</f>
        <v>0</v>
      </c>
    </row>
    <row r="1051" spans="1:37" x14ac:dyDescent="0.3">
      <c r="A1051">
        <v>20471</v>
      </c>
      <c r="B1051" t="s">
        <v>57</v>
      </c>
      <c r="C1051">
        <v>8</v>
      </c>
      <c r="D1051">
        <v>6</v>
      </c>
      <c r="E1051" t="s">
        <v>261</v>
      </c>
      <c r="F1051" s="85" t="s">
        <v>333</v>
      </c>
      <c r="G1051"/>
      <c r="H1051" t="s">
        <v>294</v>
      </c>
      <c r="I1051" t="s">
        <v>221</v>
      </c>
      <c r="J1051" t="s">
        <v>176</v>
      </c>
      <c r="K1051" s="1">
        <v>7.78</v>
      </c>
      <c r="L1051" s="1">
        <v>7.78</v>
      </c>
      <c r="M1051" s="1">
        <v>0</v>
      </c>
      <c r="N1051" s="1">
        <v>7.78</v>
      </c>
      <c r="O1051" s="1">
        <v>233.4</v>
      </c>
      <c r="P1051" s="1">
        <v>155.6</v>
      </c>
      <c r="Q1051" s="1">
        <v>0</v>
      </c>
      <c r="R1051" s="1">
        <v>243.08</v>
      </c>
      <c r="S1051" t="s">
        <v>12</v>
      </c>
      <c r="T1051" s="13">
        <v>45893</v>
      </c>
      <c r="U1051" s="1" t="str">
        <f>IF(ESTIMATIVA[[#This Row],[QT_AREA_REAL]]&gt;0,"1- Colhido","2- à Colher")</f>
        <v>1- Colhido</v>
      </c>
      <c r="V1051" s="1" t="str">
        <f>IF(ESTIMATIVA[[#This Row],[QT_AREA_REST1]]&gt;0,"Reestimativa 1",IF(ESTIMATIVA[[#This Row],[QT_AREA_REAL]]=0,"Reestimativa 1","Realizado"))</f>
        <v>Reestimativa 1</v>
      </c>
      <c r="W1051" s="1" t="str">
        <f>IF(ESTIMATIVA[[#This Row],[QT_AREA_REST2]]&gt;0,"Reestimativa 2",IF(ESTIMATIVA[[#This Row],[QT_AREA_REAL]]=0,"Reestimativa 2","Realizado"))</f>
        <v>Realizado</v>
      </c>
      <c r="X1051" s="1">
        <f>ESTIMATIVA[[#This Row],[QT_AREA_EST]]</f>
        <v>7.78</v>
      </c>
      <c r="Y1051" s="1">
        <f>IF(ESTIMATIVA[[#This Row],[QT_AREA_REST1]]&gt;0,ESTIMATIVA[[#This Row],[QT_AREA_REST1]],
  IF(ESTIMATIVA[[#This Row],[QT_AREA_REAL]]&gt;0,ESTIMATIVA[[#This Row],[QT_AREA_REAL]],ESTIMATIVA[[#This Row],[QT_AREA_EST]]))</f>
        <v>7.78</v>
      </c>
      <c r="Z105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7.78</v>
      </c>
      <c r="AA1051" s="1">
        <f>ESTIMATIVA[[#This Row],[QT_CANA_EST]]</f>
        <v>233.4</v>
      </c>
      <c r="AB1051" s="1">
        <f>IF(ESTIMATIVA[[#This Row],[QT_CANA_REST1]]&gt;0,ESTIMATIVA[[#This Row],[QT_CANA_REST1]],
  IF(ESTIMATIVA[[#This Row],[QT_CANA_REAL]]&gt;0,ESTIMATIVA[[#This Row],[QT_CANA_REAL]],ESTIMATIVA[[#This Row],[QT_CANA_EST]]))</f>
        <v>155.6</v>
      </c>
      <c r="AC105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243.08</v>
      </c>
      <c r="AD1051" s="1">
        <f>IF(ESTIMATIVA[[#This Row],[QT_AREA_REAL]]&gt;0,ESTIMATIVA[[#This Row],[QT_CANA_REAL]],ESTIMATIVA[[#This Row],[QT_CANA_EST]])</f>
        <v>243.08</v>
      </c>
      <c r="AE1051" s="1">
        <f>IF(ESTIMATIVA[[#This Row],[QT_AREA_REAL]]&gt;0,ESTIMATIVA[[#This Row],[QT_CANA_REAL]],ESTIMATIVA[[#This Row],[QT_CANA_REST1]])</f>
        <v>243.08</v>
      </c>
      <c r="AF1051" s="1">
        <f>IF(ESTIMATIVA[[#This Row],[QT_AREA_REAL]]&gt;0,ESTIMATIVA[[#This Row],[QT_CANA_REAL]],ESTIMATIVA[[#This Row],[QT_CANA_REST2]])</f>
        <v>243.08</v>
      </c>
      <c r="AG1051" s="1" t="str">
        <f>IF(COUNTIFS(GEADA!A:A,VALUE(ESTIMATIVA[[#This Row],[CD_UPNIVEL1]]&amp;TEXT(ESTIMATIVA[[#This Row],[CD_UPNIVEL3]],"0000")))&gt;0,"S","N")</f>
        <v>S</v>
      </c>
      <c r="AH105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51" s="55" t="str">
        <f>IF(ESTIMATIVA[[#This Row],[TP_CULTIVO]]="Irrigado",_xlfn.MAXIFS(IRRIGADO!J:J,IRRIGADO!C:C,ESTIMATIVA[[#This Row],[CD_UPNIVEL1]],IRRIGADO!E:E,ESTIMATIVA[[#This Row],[CD_UPNIVEL3]]),"")</f>
        <v/>
      </c>
      <c r="AJ105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51" s="1">
        <f>COUNTIFS(Apresentação!$E$23:$E$29,ESTIMATIVA[[#This Row],[CD_UPNIVEL1]])</f>
        <v>0</v>
      </c>
    </row>
    <row r="1052" spans="1:37" x14ac:dyDescent="0.3">
      <c r="A1052">
        <v>20471</v>
      </c>
      <c r="B1052" t="s">
        <v>57</v>
      </c>
      <c r="C1052">
        <v>9</v>
      </c>
      <c r="D1052">
        <v>5</v>
      </c>
      <c r="E1052" t="s">
        <v>268</v>
      </c>
      <c r="F1052" s="85" t="s">
        <v>333</v>
      </c>
      <c r="G1052"/>
      <c r="H1052" t="s">
        <v>294</v>
      </c>
      <c r="I1052" t="s">
        <v>195</v>
      </c>
      <c r="J1052" t="s">
        <v>176</v>
      </c>
      <c r="K1052" s="1">
        <v>39.06</v>
      </c>
      <c r="L1052" s="1">
        <v>39.06</v>
      </c>
      <c r="M1052" s="1">
        <v>0</v>
      </c>
      <c r="N1052" s="1">
        <v>39.06</v>
      </c>
      <c r="O1052" s="1">
        <v>1367.1</v>
      </c>
      <c r="P1052" s="1">
        <v>1367.1</v>
      </c>
      <c r="Q1052" s="1">
        <v>0</v>
      </c>
      <c r="R1052" s="1">
        <v>1588.64</v>
      </c>
      <c r="S1052" t="s">
        <v>12</v>
      </c>
      <c r="T1052" s="13">
        <v>45893</v>
      </c>
      <c r="U1052" s="1" t="str">
        <f>IF(ESTIMATIVA[[#This Row],[QT_AREA_REAL]]&gt;0,"1- Colhido","2- à Colher")</f>
        <v>1- Colhido</v>
      </c>
      <c r="V1052" s="1" t="str">
        <f>IF(ESTIMATIVA[[#This Row],[QT_AREA_REST1]]&gt;0,"Reestimativa 1",IF(ESTIMATIVA[[#This Row],[QT_AREA_REAL]]=0,"Reestimativa 1","Realizado"))</f>
        <v>Reestimativa 1</v>
      </c>
      <c r="W1052" s="1" t="str">
        <f>IF(ESTIMATIVA[[#This Row],[QT_AREA_REST2]]&gt;0,"Reestimativa 2",IF(ESTIMATIVA[[#This Row],[QT_AREA_REAL]]=0,"Reestimativa 2","Realizado"))</f>
        <v>Realizado</v>
      </c>
      <c r="X1052" s="1">
        <f>ESTIMATIVA[[#This Row],[QT_AREA_EST]]</f>
        <v>39.06</v>
      </c>
      <c r="Y1052" s="1">
        <f>IF(ESTIMATIVA[[#This Row],[QT_AREA_REST1]]&gt;0,ESTIMATIVA[[#This Row],[QT_AREA_REST1]],
  IF(ESTIMATIVA[[#This Row],[QT_AREA_REAL]]&gt;0,ESTIMATIVA[[#This Row],[QT_AREA_REAL]],ESTIMATIVA[[#This Row],[QT_AREA_EST]]))</f>
        <v>39.06</v>
      </c>
      <c r="Z105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39.06</v>
      </c>
      <c r="AA1052" s="1">
        <f>ESTIMATIVA[[#This Row],[QT_CANA_EST]]</f>
        <v>1367.1</v>
      </c>
      <c r="AB1052" s="1">
        <f>IF(ESTIMATIVA[[#This Row],[QT_CANA_REST1]]&gt;0,ESTIMATIVA[[#This Row],[QT_CANA_REST1]],
  IF(ESTIMATIVA[[#This Row],[QT_CANA_REAL]]&gt;0,ESTIMATIVA[[#This Row],[QT_CANA_REAL]],ESTIMATIVA[[#This Row],[QT_CANA_EST]]))</f>
        <v>1367.1</v>
      </c>
      <c r="AC105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1588.64</v>
      </c>
      <c r="AD1052" s="1">
        <f>IF(ESTIMATIVA[[#This Row],[QT_AREA_REAL]]&gt;0,ESTIMATIVA[[#This Row],[QT_CANA_REAL]],ESTIMATIVA[[#This Row],[QT_CANA_EST]])</f>
        <v>1588.64</v>
      </c>
      <c r="AE1052" s="1">
        <f>IF(ESTIMATIVA[[#This Row],[QT_AREA_REAL]]&gt;0,ESTIMATIVA[[#This Row],[QT_CANA_REAL]],ESTIMATIVA[[#This Row],[QT_CANA_REST1]])</f>
        <v>1588.64</v>
      </c>
      <c r="AF1052" s="1">
        <f>IF(ESTIMATIVA[[#This Row],[QT_AREA_REAL]]&gt;0,ESTIMATIVA[[#This Row],[QT_CANA_REAL]],ESTIMATIVA[[#This Row],[QT_CANA_REST2]])</f>
        <v>1588.64</v>
      </c>
      <c r="AG1052" s="1" t="str">
        <f>IF(COUNTIFS(GEADA!A:A,VALUE(ESTIMATIVA[[#This Row],[CD_UPNIVEL1]]&amp;TEXT(ESTIMATIVA[[#This Row],[CD_UPNIVEL3]],"0000")))&gt;0,"S","N")</f>
        <v>N</v>
      </c>
      <c r="AH105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52" s="55" t="str">
        <f>IF(ESTIMATIVA[[#This Row],[TP_CULTIVO]]="Irrigado",_xlfn.MAXIFS(IRRIGADO!J:J,IRRIGADO!C:C,ESTIMATIVA[[#This Row],[CD_UPNIVEL1]],IRRIGADO!E:E,ESTIMATIVA[[#This Row],[CD_UPNIVEL3]]),"")</f>
        <v/>
      </c>
      <c r="AJ105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52" s="1">
        <f>COUNTIFS(Apresentação!$E$23:$E$29,ESTIMATIVA[[#This Row],[CD_UPNIVEL1]])</f>
        <v>0</v>
      </c>
    </row>
    <row r="1053" spans="1:37" x14ac:dyDescent="0.3">
      <c r="A1053">
        <v>20471</v>
      </c>
      <c r="B1053" t="s">
        <v>57</v>
      </c>
      <c r="C1053">
        <v>10</v>
      </c>
      <c r="D1053">
        <v>5</v>
      </c>
      <c r="E1053" t="s">
        <v>268</v>
      </c>
      <c r="F1053" s="85" t="s">
        <v>333</v>
      </c>
      <c r="G1053"/>
      <c r="H1053" t="s">
        <v>294</v>
      </c>
      <c r="I1053" t="s">
        <v>195</v>
      </c>
      <c r="J1053" t="s">
        <v>176</v>
      </c>
      <c r="K1053" s="1">
        <v>20.059999999999999</v>
      </c>
      <c r="L1053" s="1">
        <v>20.059999999999999</v>
      </c>
      <c r="M1053" s="1">
        <v>0</v>
      </c>
      <c r="N1053" s="1">
        <v>20.059999999999999</v>
      </c>
      <c r="O1053" s="1">
        <v>702.1</v>
      </c>
      <c r="P1053" s="1">
        <v>702.1</v>
      </c>
      <c r="Q1053" s="1">
        <v>0</v>
      </c>
      <c r="R1053" s="1">
        <v>815.78</v>
      </c>
      <c r="S1053" t="s">
        <v>12</v>
      </c>
      <c r="T1053" s="13">
        <v>45893</v>
      </c>
      <c r="U1053" s="1" t="str">
        <f>IF(ESTIMATIVA[[#This Row],[QT_AREA_REAL]]&gt;0,"1- Colhido","2- à Colher")</f>
        <v>1- Colhido</v>
      </c>
      <c r="V1053" s="1" t="str">
        <f>IF(ESTIMATIVA[[#This Row],[QT_AREA_REST1]]&gt;0,"Reestimativa 1",IF(ESTIMATIVA[[#This Row],[QT_AREA_REAL]]=0,"Reestimativa 1","Realizado"))</f>
        <v>Reestimativa 1</v>
      </c>
      <c r="W1053" s="1" t="str">
        <f>IF(ESTIMATIVA[[#This Row],[QT_AREA_REST2]]&gt;0,"Reestimativa 2",IF(ESTIMATIVA[[#This Row],[QT_AREA_REAL]]=0,"Reestimativa 2","Realizado"))</f>
        <v>Realizado</v>
      </c>
      <c r="X1053" s="1">
        <f>ESTIMATIVA[[#This Row],[QT_AREA_EST]]</f>
        <v>20.059999999999999</v>
      </c>
      <c r="Y1053" s="1">
        <f>IF(ESTIMATIVA[[#This Row],[QT_AREA_REST1]]&gt;0,ESTIMATIVA[[#This Row],[QT_AREA_REST1]],
  IF(ESTIMATIVA[[#This Row],[QT_AREA_REAL]]&gt;0,ESTIMATIVA[[#This Row],[QT_AREA_REAL]],ESTIMATIVA[[#This Row],[QT_AREA_EST]]))</f>
        <v>20.059999999999999</v>
      </c>
      <c r="Z105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20.059999999999999</v>
      </c>
      <c r="AA1053" s="1">
        <f>ESTIMATIVA[[#This Row],[QT_CANA_EST]]</f>
        <v>702.1</v>
      </c>
      <c r="AB1053" s="1">
        <f>IF(ESTIMATIVA[[#This Row],[QT_CANA_REST1]]&gt;0,ESTIMATIVA[[#This Row],[QT_CANA_REST1]],
  IF(ESTIMATIVA[[#This Row],[QT_CANA_REAL]]&gt;0,ESTIMATIVA[[#This Row],[QT_CANA_REAL]],ESTIMATIVA[[#This Row],[QT_CANA_EST]]))</f>
        <v>702.1</v>
      </c>
      <c r="AC105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815.78</v>
      </c>
      <c r="AD1053" s="1">
        <f>IF(ESTIMATIVA[[#This Row],[QT_AREA_REAL]]&gt;0,ESTIMATIVA[[#This Row],[QT_CANA_REAL]],ESTIMATIVA[[#This Row],[QT_CANA_EST]])</f>
        <v>815.78</v>
      </c>
      <c r="AE1053" s="1">
        <f>IF(ESTIMATIVA[[#This Row],[QT_AREA_REAL]]&gt;0,ESTIMATIVA[[#This Row],[QT_CANA_REAL]],ESTIMATIVA[[#This Row],[QT_CANA_REST1]])</f>
        <v>815.78</v>
      </c>
      <c r="AF1053" s="1">
        <f>IF(ESTIMATIVA[[#This Row],[QT_AREA_REAL]]&gt;0,ESTIMATIVA[[#This Row],[QT_CANA_REAL]],ESTIMATIVA[[#This Row],[QT_CANA_REST2]])</f>
        <v>815.78</v>
      </c>
      <c r="AG1053" s="1" t="str">
        <f>IF(COUNTIFS(GEADA!A:A,VALUE(ESTIMATIVA[[#This Row],[CD_UPNIVEL1]]&amp;TEXT(ESTIMATIVA[[#This Row],[CD_UPNIVEL3]],"0000")))&gt;0,"S","N")</f>
        <v>N</v>
      </c>
      <c r="AH105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53" s="55" t="str">
        <f>IF(ESTIMATIVA[[#This Row],[TP_CULTIVO]]="Irrigado",_xlfn.MAXIFS(IRRIGADO!J:J,IRRIGADO!C:C,ESTIMATIVA[[#This Row],[CD_UPNIVEL1]],IRRIGADO!E:E,ESTIMATIVA[[#This Row],[CD_UPNIVEL3]]),"")</f>
        <v/>
      </c>
      <c r="AJ105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53" s="1">
        <f>COUNTIFS(Apresentação!$E$23:$E$29,ESTIMATIVA[[#This Row],[CD_UPNIVEL1]])</f>
        <v>0</v>
      </c>
    </row>
    <row r="1054" spans="1:37" x14ac:dyDescent="0.3">
      <c r="A1054">
        <v>20471</v>
      </c>
      <c r="B1054" t="s">
        <v>57</v>
      </c>
      <c r="C1054">
        <v>11</v>
      </c>
      <c r="D1054">
        <v>5</v>
      </c>
      <c r="E1054" t="s">
        <v>268</v>
      </c>
      <c r="F1054" s="85" t="s">
        <v>333</v>
      </c>
      <c r="G1054"/>
      <c r="H1054" t="s">
        <v>294</v>
      </c>
      <c r="I1054" t="s">
        <v>195</v>
      </c>
      <c r="J1054" t="s">
        <v>176</v>
      </c>
      <c r="K1054" s="1">
        <v>48.96</v>
      </c>
      <c r="L1054" s="1">
        <v>48.96</v>
      </c>
      <c r="M1054" s="1">
        <v>0</v>
      </c>
      <c r="N1054" s="1">
        <v>48.96</v>
      </c>
      <c r="O1054" s="1">
        <v>1713.6</v>
      </c>
      <c r="P1054" s="1">
        <v>1468.8</v>
      </c>
      <c r="Q1054" s="1">
        <v>0</v>
      </c>
      <c r="R1054" s="1">
        <v>1707.19</v>
      </c>
      <c r="S1054" t="s">
        <v>12</v>
      </c>
      <c r="T1054" s="13">
        <v>45893</v>
      </c>
      <c r="U1054" s="1" t="str">
        <f>IF(ESTIMATIVA[[#This Row],[QT_AREA_REAL]]&gt;0,"1- Colhido","2- à Colher")</f>
        <v>1- Colhido</v>
      </c>
      <c r="V1054" s="1" t="str">
        <f>IF(ESTIMATIVA[[#This Row],[QT_AREA_REST1]]&gt;0,"Reestimativa 1",IF(ESTIMATIVA[[#This Row],[QT_AREA_REAL]]=0,"Reestimativa 1","Realizado"))</f>
        <v>Reestimativa 1</v>
      </c>
      <c r="W1054" s="1" t="str">
        <f>IF(ESTIMATIVA[[#This Row],[QT_AREA_REST2]]&gt;0,"Reestimativa 2",IF(ESTIMATIVA[[#This Row],[QT_AREA_REAL]]=0,"Reestimativa 2","Realizado"))</f>
        <v>Realizado</v>
      </c>
      <c r="X1054" s="1">
        <f>ESTIMATIVA[[#This Row],[QT_AREA_EST]]</f>
        <v>48.96</v>
      </c>
      <c r="Y1054" s="1">
        <f>IF(ESTIMATIVA[[#This Row],[QT_AREA_REST1]]&gt;0,ESTIMATIVA[[#This Row],[QT_AREA_REST1]],
  IF(ESTIMATIVA[[#This Row],[QT_AREA_REAL]]&gt;0,ESTIMATIVA[[#This Row],[QT_AREA_REAL]],ESTIMATIVA[[#This Row],[QT_AREA_EST]]))</f>
        <v>48.96</v>
      </c>
      <c r="Z105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48.96</v>
      </c>
      <c r="AA1054" s="1">
        <f>ESTIMATIVA[[#This Row],[QT_CANA_EST]]</f>
        <v>1713.6</v>
      </c>
      <c r="AB1054" s="1">
        <f>IF(ESTIMATIVA[[#This Row],[QT_CANA_REST1]]&gt;0,ESTIMATIVA[[#This Row],[QT_CANA_REST1]],
  IF(ESTIMATIVA[[#This Row],[QT_CANA_REAL]]&gt;0,ESTIMATIVA[[#This Row],[QT_CANA_REAL]],ESTIMATIVA[[#This Row],[QT_CANA_EST]]))</f>
        <v>1468.8</v>
      </c>
      <c r="AC105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1707.19</v>
      </c>
      <c r="AD1054" s="1">
        <f>IF(ESTIMATIVA[[#This Row],[QT_AREA_REAL]]&gt;0,ESTIMATIVA[[#This Row],[QT_CANA_REAL]],ESTIMATIVA[[#This Row],[QT_CANA_EST]])</f>
        <v>1707.19</v>
      </c>
      <c r="AE1054" s="1">
        <f>IF(ESTIMATIVA[[#This Row],[QT_AREA_REAL]]&gt;0,ESTIMATIVA[[#This Row],[QT_CANA_REAL]],ESTIMATIVA[[#This Row],[QT_CANA_REST1]])</f>
        <v>1707.19</v>
      </c>
      <c r="AF1054" s="1">
        <f>IF(ESTIMATIVA[[#This Row],[QT_AREA_REAL]]&gt;0,ESTIMATIVA[[#This Row],[QT_CANA_REAL]],ESTIMATIVA[[#This Row],[QT_CANA_REST2]])</f>
        <v>1707.19</v>
      </c>
      <c r="AG1054" s="1" t="str">
        <f>IF(COUNTIFS(GEADA!A:A,VALUE(ESTIMATIVA[[#This Row],[CD_UPNIVEL1]]&amp;TEXT(ESTIMATIVA[[#This Row],[CD_UPNIVEL3]],"0000")))&gt;0,"S","N")</f>
        <v>N</v>
      </c>
      <c r="AH105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54" s="55" t="str">
        <f>IF(ESTIMATIVA[[#This Row],[TP_CULTIVO]]="Irrigado",_xlfn.MAXIFS(IRRIGADO!J:J,IRRIGADO!C:C,ESTIMATIVA[[#This Row],[CD_UPNIVEL1]],IRRIGADO!E:E,ESTIMATIVA[[#This Row],[CD_UPNIVEL3]]),"")</f>
        <v/>
      </c>
      <c r="AJ105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54" s="1">
        <f>COUNTIFS(Apresentação!$E$23:$E$29,ESTIMATIVA[[#This Row],[CD_UPNIVEL1]])</f>
        <v>0</v>
      </c>
    </row>
    <row r="1055" spans="1:37" x14ac:dyDescent="0.3">
      <c r="A1055">
        <v>20471</v>
      </c>
      <c r="B1055" t="s">
        <v>57</v>
      </c>
      <c r="C1055">
        <v>12</v>
      </c>
      <c r="D1055">
        <v>6</v>
      </c>
      <c r="E1055" t="s">
        <v>261</v>
      </c>
      <c r="F1055" s="85" t="s">
        <v>333</v>
      </c>
      <c r="G1055"/>
      <c r="H1055" t="s">
        <v>294</v>
      </c>
      <c r="I1055" t="s">
        <v>195</v>
      </c>
      <c r="J1055" t="s">
        <v>176</v>
      </c>
      <c r="K1055" s="1">
        <v>10.039999999999999</v>
      </c>
      <c r="L1055" s="1">
        <v>10.039999999999999</v>
      </c>
      <c r="M1055" s="1">
        <v>0</v>
      </c>
      <c r="N1055" s="1">
        <v>10.039999999999999</v>
      </c>
      <c r="O1055" s="1">
        <v>351.4</v>
      </c>
      <c r="P1055" s="1">
        <v>301.2</v>
      </c>
      <c r="Q1055" s="1">
        <v>0</v>
      </c>
      <c r="R1055" s="1">
        <v>562.69000000000005</v>
      </c>
      <c r="S1055" t="s">
        <v>12</v>
      </c>
      <c r="T1055" s="13">
        <v>45893</v>
      </c>
      <c r="U1055" s="1" t="str">
        <f>IF(ESTIMATIVA[[#This Row],[QT_AREA_REAL]]&gt;0,"1- Colhido","2- à Colher")</f>
        <v>1- Colhido</v>
      </c>
      <c r="V1055" s="1" t="str">
        <f>IF(ESTIMATIVA[[#This Row],[QT_AREA_REST1]]&gt;0,"Reestimativa 1",IF(ESTIMATIVA[[#This Row],[QT_AREA_REAL]]=0,"Reestimativa 1","Realizado"))</f>
        <v>Reestimativa 1</v>
      </c>
      <c r="W1055" s="1" t="str">
        <f>IF(ESTIMATIVA[[#This Row],[QT_AREA_REST2]]&gt;0,"Reestimativa 2",IF(ESTIMATIVA[[#This Row],[QT_AREA_REAL]]=0,"Reestimativa 2","Realizado"))</f>
        <v>Realizado</v>
      </c>
      <c r="X1055" s="1">
        <f>ESTIMATIVA[[#This Row],[QT_AREA_EST]]</f>
        <v>10.039999999999999</v>
      </c>
      <c r="Y1055" s="1">
        <f>IF(ESTIMATIVA[[#This Row],[QT_AREA_REST1]]&gt;0,ESTIMATIVA[[#This Row],[QT_AREA_REST1]],
  IF(ESTIMATIVA[[#This Row],[QT_AREA_REAL]]&gt;0,ESTIMATIVA[[#This Row],[QT_AREA_REAL]],ESTIMATIVA[[#This Row],[QT_AREA_EST]]))</f>
        <v>10.039999999999999</v>
      </c>
      <c r="Z105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10.039999999999999</v>
      </c>
      <c r="AA1055" s="1">
        <f>ESTIMATIVA[[#This Row],[QT_CANA_EST]]</f>
        <v>351.4</v>
      </c>
      <c r="AB1055" s="1">
        <f>IF(ESTIMATIVA[[#This Row],[QT_CANA_REST1]]&gt;0,ESTIMATIVA[[#This Row],[QT_CANA_REST1]],
  IF(ESTIMATIVA[[#This Row],[QT_CANA_REAL]]&gt;0,ESTIMATIVA[[#This Row],[QT_CANA_REAL]],ESTIMATIVA[[#This Row],[QT_CANA_EST]]))</f>
        <v>301.2</v>
      </c>
      <c r="AC105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562.69000000000005</v>
      </c>
      <c r="AD1055" s="1">
        <f>IF(ESTIMATIVA[[#This Row],[QT_AREA_REAL]]&gt;0,ESTIMATIVA[[#This Row],[QT_CANA_REAL]],ESTIMATIVA[[#This Row],[QT_CANA_EST]])</f>
        <v>562.69000000000005</v>
      </c>
      <c r="AE1055" s="1">
        <f>IF(ESTIMATIVA[[#This Row],[QT_AREA_REAL]]&gt;0,ESTIMATIVA[[#This Row],[QT_CANA_REAL]],ESTIMATIVA[[#This Row],[QT_CANA_REST1]])</f>
        <v>562.69000000000005</v>
      </c>
      <c r="AF1055" s="1">
        <f>IF(ESTIMATIVA[[#This Row],[QT_AREA_REAL]]&gt;0,ESTIMATIVA[[#This Row],[QT_CANA_REAL]],ESTIMATIVA[[#This Row],[QT_CANA_REST2]])</f>
        <v>562.69000000000005</v>
      </c>
      <c r="AG1055" s="1" t="str">
        <f>IF(COUNTIFS(GEADA!A:A,VALUE(ESTIMATIVA[[#This Row],[CD_UPNIVEL1]]&amp;TEXT(ESTIMATIVA[[#This Row],[CD_UPNIVEL3]],"0000")))&gt;0,"S","N")</f>
        <v>N</v>
      </c>
      <c r="AH105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55" s="55" t="str">
        <f>IF(ESTIMATIVA[[#This Row],[TP_CULTIVO]]="Irrigado",_xlfn.MAXIFS(IRRIGADO!J:J,IRRIGADO!C:C,ESTIMATIVA[[#This Row],[CD_UPNIVEL1]],IRRIGADO!E:E,ESTIMATIVA[[#This Row],[CD_UPNIVEL3]]),"")</f>
        <v/>
      </c>
      <c r="AJ105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55" s="1">
        <f>COUNTIFS(Apresentação!$E$23:$E$29,ESTIMATIVA[[#This Row],[CD_UPNIVEL1]])</f>
        <v>0</v>
      </c>
    </row>
    <row r="1056" spans="1:37" x14ac:dyDescent="0.3">
      <c r="A1056">
        <v>20471</v>
      </c>
      <c r="B1056" t="s">
        <v>57</v>
      </c>
      <c r="C1056">
        <v>13</v>
      </c>
      <c r="D1056">
        <v>5</v>
      </c>
      <c r="E1056" t="s">
        <v>268</v>
      </c>
      <c r="F1056" s="85" t="s">
        <v>333</v>
      </c>
      <c r="G1056"/>
      <c r="H1056" t="s">
        <v>294</v>
      </c>
      <c r="I1056" t="s">
        <v>195</v>
      </c>
      <c r="J1056" t="s">
        <v>176</v>
      </c>
      <c r="K1056" s="1">
        <v>23.49</v>
      </c>
      <c r="L1056" s="1">
        <v>23.49</v>
      </c>
      <c r="M1056" s="1">
        <v>0</v>
      </c>
      <c r="N1056" s="1">
        <v>23.49</v>
      </c>
      <c r="O1056" s="1">
        <v>822.15</v>
      </c>
      <c r="P1056" s="1">
        <v>822.15</v>
      </c>
      <c r="Q1056" s="1">
        <v>0</v>
      </c>
      <c r="R1056" s="1">
        <v>955.24</v>
      </c>
      <c r="S1056" t="s">
        <v>12</v>
      </c>
      <c r="T1056" s="13">
        <v>45893</v>
      </c>
      <c r="U1056" s="1" t="str">
        <f>IF(ESTIMATIVA[[#This Row],[QT_AREA_REAL]]&gt;0,"1- Colhido","2- à Colher")</f>
        <v>1- Colhido</v>
      </c>
      <c r="V1056" s="1" t="str">
        <f>IF(ESTIMATIVA[[#This Row],[QT_AREA_REST1]]&gt;0,"Reestimativa 1",IF(ESTIMATIVA[[#This Row],[QT_AREA_REAL]]=0,"Reestimativa 1","Realizado"))</f>
        <v>Reestimativa 1</v>
      </c>
      <c r="W1056" s="1" t="str">
        <f>IF(ESTIMATIVA[[#This Row],[QT_AREA_REST2]]&gt;0,"Reestimativa 2",IF(ESTIMATIVA[[#This Row],[QT_AREA_REAL]]=0,"Reestimativa 2","Realizado"))</f>
        <v>Realizado</v>
      </c>
      <c r="X1056" s="1">
        <f>ESTIMATIVA[[#This Row],[QT_AREA_EST]]</f>
        <v>23.49</v>
      </c>
      <c r="Y1056" s="1">
        <f>IF(ESTIMATIVA[[#This Row],[QT_AREA_REST1]]&gt;0,ESTIMATIVA[[#This Row],[QT_AREA_REST1]],
  IF(ESTIMATIVA[[#This Row],[QT_AREA_REAL]]&gt;0,ESTIMATIVA[[#This Row],[QT_AREA_REAL]],ESTIMATIVA[[#This Row],[QT_AREA_EST]]))</f>
        <v>23.49</v>
      </c>
      <c r="Z105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23.49</v>
      </c>
      <c r="AA1056" s="1">
        <f>ESTIMATIVA[[#This Row],[QT_CANA_EST]]</f>
        <v>822.15</v>
      </c>
      <c r="AB1056" s="1">
        <f>IF(ESTIMATIVA[[#This Row],[QT_CANA_REST1]]&gt;0,ESTIMATIVA[[#This Row],[QT_CANA_REST1]],
  IF(ESTIMATIVA[[#This Row],[QT_CANA_REAL]]&gt;0,ESTIMATIVA[[#This Row],[QT_CANA_REAL]],ESTIMATIVA[[#This Row],[QT_CANA_EST]]))</f>
        <v>822.15</v>
      </c>
      <c r="AC105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955.24</v>
      </c>
      <c r="AD1056" s="1">
        <f>IF(ESTIMATIVA[[#This Row],[QT_AREA_REAL]]&gt;0,ESTIMATIVA[[#This Row],[QT_CANA_REAL]],ESTIMATIVA[[#This Row],[QT_CANA_EST]])</f>
        <v>955.24</v>
      </c>
      <c r="AE1056" s="1">
        <f>IF(ESTIMATIVA[[#This Row],[QT_AREA_REAL]]&gt;0,ESTIMATIVA[[#This Row],[QT_CANA_REAL]],ESTIMATIVA[[#This Row],[QT_CANA_REST1]])</f>
        <v>955.24</v>
      </c>
      <c r="AF1056" s="1">
        <f>IF(ESTIMATIVA[[#This Row],[QT_AREA_REAL]]&gt;0,ESTIMATIVA[[#This Row],[QT_CANA_REAL]],ESTIMATIVA[[#This Row],[QT_CANA_REST2]])</f>
        <v>955.24</v>
      </c>
      <c r="AG1056" s="1" t="str">
        <f>IF(COUNTIFS(GEADA!A:A,VALUE(ESTIMATIVA[[#This Row],[CD_UPNIVEL1]]&amp;TEXT(ESTIMATIVA[[#This Row],[CD_UPNIVEL3]],"0000")))&gt;0,"S","N")</f>
        <v>S</v>
      </c>
      <c r="AH105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56" s="55" t="str">
        <f>IF(ESTIMATIVA[[#This Row],[TP_CULTIVO]]="Irrigado",_xlfn.MAXIFS(IRRIGADO!J:J,IRRIGADO!C:C,ESTIMATIVA[[#This Row],[CD_UPNIVEL1]],IRRIGADO!E:E,ESTIMATIVA[[#This Row],[CD_UPNIVEL3]]),"")</f>
        <v/>
      </c>
      <c r="AJ105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56" s="1">
        <f>COUNTIFS(Apresentação!$E$23:$E$29,ESTIMATIVA[[#This Row],[CD_UPNIVEL1]])</f>
        <v>0</v>
      </c>
    </row>
    <row r="1057" spans="1:37" x14ac:dyDescent="0.3">
      <c r="A1057">
        <v>20471</v>
      </c>
      <c r="B1057" t="s">
        <v>57</v>
      </c>
      <c r="C1057">
        <v>14</v>
      </c>
      <c r="D1057">
        <v>5</v>
      </c>
      <c r="E1057" t="s">
        <v>268</v>
      </c>
      <c r="F1057" s="85" t="s">
        <v>333</v>
      </c>
      <c r="G1057"/>
      <c r="H1057" t="s">
        <v>294</v>
      </c>
      <c r="I1057" t="s">
        <v>195</v>
      </c>
      <c r="J1057" t="s">
        <v>176</v>
      </c>
      <c r="K1057" s="1">
        <v>21.57</v>
      </c>
      <c r="L1057" s="1">
        <v>21.57</v>
      </c>
      <c r="M1057" s="1">
        <v>0</v>
      </c>
      <c r="N1057" s="1">
        <v>21.57</v>
      </c>
      <c r="O1057" s="1">
        <v>431.4</v>
      </c>
      <c r="P1057" s="1">
        <v>388.26</v>
      </c>
      <c r="Q1057" s="1">
        <v>0</v>
      </c>
      <c r="R1057" s="1">
        <v>451.28</v>
      </c>
      <c r="S1057" t="s">
        <v>12</v>
      </c>
      <c r="T1057" s="13">
        <v>45893</v>
      </c>
      <c r="U1057" s="1" t="str">
        <f>IF(ESTIMATIVA[[#This Row],[QT_AREA_REAL]]&gt;0,"1- Colhido","2- à Colher")</f>
        <v>1- Colhido</v>
      </c>
      <c r="V1057" s="1" t="str">
        <f>IF(ESTIMATIVA[[#This Row],[QT_AREA_REST1]]&gt;0,"Reestimativa 1",IF(ESTIMATIVA[[#This Row],[QT_AREA_REAL]]=0,"Reestimativa 1","Realizado"))</f>
        <v>Reestimativa 1</v>
      </c>
      <c r="W1057" s="1" t="str">
        <f>IF(ESTIMATIVA[[#This Row],[QT_AREA_REST2]]&gt;0,"Reestimativa 2",IF(ESTIMATIVA[[#This Row],[QT_AREA_REAL]]=0,"Reestimativa 2","Realizado"))</f>
        <v>Realizado</v>
      </c>
      <c r="X1057" s="1">
        <f>ESTIMATIVA[[#This Row],[QT_AREA_EST]]</f>
        <v>21.57</v>
      </c>
      <c r="Y1057" s="1">
        <f>IF(ESTIMATIVA[[#This Row],[QT_AREA_REST1]]&gt;0,ESTIMATIVA[[#This Row],[QT_AREA_REST1]],
  IF(ESTIMATIVA[[#This Row],[QT_AREA_REAL]]&gt;0,ESTIMATIVA[[#This Row],[QT_AREA_REAL]],ESTIMATIVA[[#This Row],[QT_AREA_EST]]))</f>
        <v>21.57</v>
      </c>
      <c r="Z105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21.57</v>
      </c>
      <c r="AA1057" s="1">
        <f>ESTIMATIVA[[#This Row],[QT_CANA_EST]]</f>
        <v>431.4</v>
      </c>
      <c r="AB1057" s="1">
        <f>IF(ESTIMATIVA[[#This Row],[QT_CANA_REST1]]&gt;0,ESTIMATIVA[[#This Row],[QT_CANA_REST1]],
  IF(ESTIMATIVA[[#This Row],[QT_CANA_REAL]]&gt;0,ESTIMATIVA[[#This Row],[QT_CANA_REAL]],ESTIMATIVA[[#This Row],[QT_CANA_EST]]))</f>
        <v>388.26</v>
      </c>
      <c r="AC105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451.28</v>
      </c>
      <c r="AD1057" s="1">
        <f>IF(ESTIMATIVA[[#This Row],[QT_AREA_REAL]]&gt;0,ESTIMATIVA[[#This Row],[QT_CANA_REAL]],ESTIMATIVA[[#This Row],[QT_CANA_EST]])</f>
        <v>451.28</v>
      </c>
      <c r="AE1057" s="1">
        <f>IF(ESTIMATIVA[[#This Row],[QT_AREA_REAL]]&gt;0,ESTIMATIVA[[#This Row],[QT_CANA_REAL]],ESTIMATIVA[[#This Row],[QT_CANA_REST1]])</f>
        <v>451.28</v>
      </c>
      <c r="AF1057" s="1">
        <f>IF(ESTIMATIVA[[#This Row],[QT_AREA_REAL]]&gt;0,ESTIMATIVA[[#This Row],[QT_CANA_REAL]],ESTIMATIVA[[#This Row],[QT_CANA_REST2]])</f>
        <v>451.28</v>
      </c>
      <c r="AG1057" s="1" t="str">
        <f>IF(COUNTIFS(GEADA!A:A,VALUE(ESTIMATIVA[[#This Row],[CD_UPNIVEL1]]&amp;TEXT(ESTIMATIVA[[#This Row],[CD_UPNIVEL3]],"0000")))&gt;0,"S","N")</f>
        <v>S</v>
      </c>
      <c r="AH105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57" s="55" t="str">
        <f>IF(ESTIMATIVA[[#This Row],[TP_CULTIVO]]="Irrigado",_xlfn.MAXIFS(IRRIGADO!J:J,IRRIGADO!C:C,ESTIMATIVA[[#This Row],[CD_UPNIVEL1]],IRRIGADO!E:E,ESTIMATIVA[[#This Row],[CD_UPNIVEL3]]),"")</f>
        <v/>
      </c>
      <c r="AJ105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57" s="1">
        <f>COUNTIFS(Apresentação!$E$23:$E$29,ESTIMATIVA[[#This Row],[CD_UPNIVEL1]])</f>
        <v>0</v>
      </c>
    </row>
    <row r="1058" spans="1:37" x14ac:dyDescent="0.3">
      <c r="A1058">
        <v>20472</v>
      </c>
      <c r="B1058" t="s">
        <v>146</v>
      </c>
      <c r="C1058">
        <v>1</v>
      </c>
      <c r="D1058">
        <v>3</v>
      </c>
      <c r="E1058" t="s">
        <v>263</v>
      </c>
      <c r="F1058" s="85" t="s">
        <v>333</v>
      </c>
      <c r="G1058"/>
      <c r="H1058" t="s">
        <v>295</v>
      </c>
      <c r="I1058" t="s">
        <v>207</v>
      </c>
      <c r="J1058" t="s">
        <v>176</v>
      </c>
      <c r="K1058" s="1">
        <v>23.21</v>
      </c>
      <c r="L1058" s="1">
        <v>23.21</v>
      </c>
      <c r="M1058" s="1">
        <v>23.21</v>
      </c>
      <c r="N1058" s="1">
        <v>23.21</v>
      </c>
      <c r="O1058" s="1">
        <v>1392.6</v>
      </c>
      <c r="P1058" s="1">
        <v>1392.6</v>
      </c>
      <c r="Q1058" s="1">
        <v>1299.76</v>
      </c>
      <c r="R1058" s="1">
        <v>1625.07</v>
      </c>
      <c r="S1058" t="s">
        <v>12</v>
      </c>
      <c r="T1058" s="13">
        <v>45991</v>
      </c>
      <c r="U1058" s="1" t="str">
        <f>IF(ESTIMATIVA[[#This Row],[QT_AREA_REAL]]&gt;0,"1- Colhido","2- à Colher")</f>
        <v>1- Colhido</v>
      </c>
      <c r="V1058" s="1" t="str">
        <f>IF(ESTIMATIVA[[#This Row],[QT_AREA_REST1]]&gt;0,"Reestimativa 1",IF(ESTIMATIVA[[#This Row],[QT_AREA_REAL]]=0,"Reestimativa 1","Realizado"))</f>
        <v>Reestimativa 1</v>
      </c>
      <c r="W1058" s="1" t="str">
        <f>IF(ESTIMATIVA[[#This Row],[QT_AREA_REST2]]&gt;0,"Reestimativa 2",IF(ESTIMATIVA[[#This Row],[QT_AREA_REAL]]=0,"Reestimativa 2","Realizado"))</f>
        <v>Reestimativa 2</v>
      </c>
      <c r="X1058" s="1">
        <f>ESTIMATIVA[[#This Row],[QT_AREA_EST]]</f>
        <v>23.21</v>
      </c>
      <c r="Y1058" s="1">
        <f>IF(ESTIMATIVA[[#This Row],[QT_AREA_REST1]]&gt;0,ESTIMATIVA[[#This Row],[QT_AREA_REST1]],
  IF(ESTIMATIVA[[#This Row],[QT_AREA_REAL]]&gt;0,ESTIMATIVA[[#This Row],[QT_AREA_REAL]],ESTIMATIVA[[#This Row],[QT_AREA_EST]]))</f>
        <v>23.21</v>
      </c>
      <c r="Z105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23.21</v>
      </c>
      <c r="AA1058" s="1">
        <f>ESTIMATIVA[[#This Row],[QT_CANA_EST]]</f>
        <v>1392.6</v>
      </c>
      <c r="AB1058" s="1">
        <f>IF(ESTIMATIVA[[#This Row],[QT_CANA_REST1]]&gt;0,ESTIMATIVA[[#This Row],[QT_CANA_REST1]],
  IF(ESTIMATIVA[[#This Row],[QT_CANA_REAL]]&gt;0,ESTIMATIVA[[#This Row],[QT_CANA_REAL]],ESTIMATIVA[[#This Row],[QT_CANA_EST]]))</f>
        <v>1392.6</v>
      </c>
      <c r="AC105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1299.76</v>
      </c>
      <c r="AD1058" s="1">
        <f>IF(ESTIMATIVA[[#This Row],[QT_AREA_REAL]]&gt;0,ESTIMATIVA[[#This Row],[QT_CANA_REAL]],ESTIMATIVA[[#This Row],[QT_CANA_EST]])</f>
        <v>1625.07</v>
      </c>
      <c r="AE1058" s="1">
        <f>IF(ESTIMATIVA[[#This Row],[QT_AREA_REAL]]&gt;0,ESTIMATIVA[[#This Row],[QT_CANA_REAL]],ESTIMATIVA[[#This Row],[QT_CANA_REST1]])</f>
        <v>1625.07</v>
      </c>
      <c r="AF1058" s="1">
        <f>IF(ESTIMATIVA[[#This Row],[QT_AREA_REAL]]&gt;0,ESTIMATIVA[[#This Row],[QT_CANA_REAL]],ESTIMATIVA[[#This Row],[QT_CANA_REST2]])</f>
        <v>1625.07</v>
      </c>
      <c r="AG1058" s="1" t="str">
        <f>IF(COUNTIFS(GEADA!A:A,VALUE(ESTIMATIVA[[#This Row],[CD_UPNIVEL1]]&amp;TEXT(ESTIMATIVA[[#This Row],[CD_UPNIVEL3]],"0000")))&gt;0,"S","N")</f>
        <v>N</v>
      </c>
      <c r="AH105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058" s="55" t="str">
        <f>IF(ESTIMATIVA[[#This Row],[TP_CULTIVO]]="Irrigado",_xlfn.MAXIFS(IRRIGADO!J:J,IRRIGADO!C:C,ESTIMATIVA[[#This Row],[CD_UPNIVEL1]],IRRIGADO!E:E,ESTIMATIVA[[#This Row],[CD_UPNIVEL3]]),"")</f>
        <v/>
      </c>
      <c r="AJ105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58" s="1">
        <f>COUNTIFS(Apresentação!$E$23:$E$29,ESTIMATIVA[[#This Row],[CD_UPNIVEL1]])</f>
        <v>0</v>
      </c>
    </row>
    <row r="1059" spans="1:37" x14ac:dyDescent="0.3">
      <c r="A1059">
        <v>20472</v>
      </c>
      <c r="B1059" t="s">
        <v>146</v>
      </c>
      <c r="C1059">
        <v>3</v>
      </c>
      <c r="D1059">
        <v>3</v>
      </c>
      <c r="E1059" t="s">
        <v>263</v>
      </c>
      <c r="F1059" s="85" t="s">
        <v>333</v>
      </c>
      <c r="G1059"/>
      <c r="H1059" t="s">
        <v>295</v>
      </c>
      <c r="I1059" t="s">
        <v>207</v>
      </c>
      <c r="J1059" t="s">
        <v>176</v>
      </c>
      <c r="K1059" s="1">
        <v>7.23</v>
      </c>
      <c r="L1059" s="1">
        <v>7.23</v>
      </c>
      <c r="M1059" s="1">
        <v>7.23</v>
      </c>
      <c r="N1059" s="1">
        <v>7.23</v>
      </c>
      <c r="O1059" s="1">
        <v>433.8</v>
      </c>
      <c r="P1059" s="1">
        <v>433.8</v>
      </c>
      <c r="Q1059" s="1">
        <v>404.88</v>
      </c>
      <c r="R1059" s="1">
        <v>506.22</v>
      </c>
      <c r="S1059" t="s">
        <v>12</v>
      </c>
      <c r="T1059" s="13">
        <v>45991</v>
      </c>
      <c r="U1059" s="1" t="str">
        <f>IF(ESTIMATIVA[[#This Row],[QT_AREA_REAL]]&gt;0,"1- Colhido","2- à Colher")</f>
        <v>1- Colhido</v>
      </c>
      <c r="V1059" s="1" t="str">
        <f>IF(ESTIMATIVA[[#This Row],[QT_AREA_REST1]]&gt;0,"Reestimativa 1",IF(ESTIMATIVA[[#This Row],[QT_AREA_REAL]]=0,"Reestimativa 1","Realizado"))</f>
        <v>Reestimativa 1</v>
      </c>
      <c r="W1059" s="1" t="str">
        <f>IF(ESTIMATIVA[[#This Row],[QT_AREA_REST2]]&gt;0,"Reestimativa 2",IF(ESTIMATIVA[[#This Row],[QT_AREA_REAL]]=0,"Reestimativa 2","Realizado"))</f>
        <v>Reestimativa 2</v>
      </c>
      <c r="X1059" s="1">
        <f>ESTIMATIVA[[#This Row],[QT_AREA_EST]]</f>
        <v>7.23</v>
      </c>
      <c r="Y1059" s="1">
        <f>IF(ESTIMATIVA[[#This Row],[QT_AREA_REST1]]&gt;0,ESTIMATIVA[[#This Row],[QT_AREA_REST1]],
  IF(ESTIMATIVA[[#This Row],[QT_AREA_REAL]]&gt;0,ESTIMATIVA[[#This Row],[QT_AREA_REAL]],ESTIMATIVA[[#This Row],[QT_AREA_EST]]))</f>
        <v>7.23</v>
      </c>
      <c r="Z105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7.23</v>
      </c>
      <c r="AA1059" s="1">
        <f>ESTIMATIVA[[#This Row],[QT_CANA_EST]]</f>
        <v>433.8</v>
      </c>
      <c r="AB1059" s="1">
        <f>IF(ESTIMATIVA[[#This Row],[QT_CANA_REST1]]&gt;0,ESTIMATIVA[[#This Row],[QT_CANA_REST1]],
  IF(ESTIMATIVA[[#This Row],[QT_CANA_REAL]]&gt;0,ESTIMATIVA[[#This Row],[QT_CANA_REAL]],ESTIMATIVA[[#This Row],[QT_CANA_EST]]))</f>
        <v>433.8</v>
      </c>
      <c r="AC105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404.88</v>
      </c>
      <c r="AD1059" s="1">
        <f>IF(ESTIMATIVA[[#This Row],[QT_AREA_REAL]]&gt;0,ESTIMATIVA[[#This Row],[QT_CANA_REAL]],ESTIMATIVA[[#This Row],[QT_CANA_EST]])</f>
        <v>506.22</v>
      </c>
      <c r="AE1059" s="1">
        <f>IF(ESTIMATIVA[[#This Row],[QT_AREA_REAL]]&gt;0,ESTIMATIVA[[#This Row],[QT_CANA_REAL]],ESTIMATIVA[[#This Row],[QT_CANA_REST1]])</f>
        <v>506.22</v>
      </c>
      <c r="AF1059" s="1">
        <f>IF(ESTIMATIVA[[#This Row],[QT_AREA_REAL]]&gt;0,ESTIMATIVA[[#This Row],[QT_CANA_REAL]],ESTIMATIVA[[#This Row],[QT_CANA_REST2]])</f>
        <v>506.22</v>
      </c>
      <c r="AG1059" s="1" t="str">
        <f>IF(COUNTIFS(GEADA!A:A,VALUE(ESTIMATIVA[[#This Row],[CD_UPNIVEL1]]&amp;TEXT(ESTIMATIVA[[#This Row],[CD_UPNIVEL3]],"0000")))&gt;0,"S","N")</f>
        <v>N</v>
      </c>
      <c r="AH105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059" s="55" t="str">
        <f>IF(ESTIMATIVA[[#This Row],[TP_CULTIVO]]="Irrigado",_xlfn.MAXIFS(IRRIGADO!J:J,IRRIGADO!C:C,ESTIMATIVA[[#This Row],[CD_UPNIVEL1]],IRRIGADO!E:E,ESTIMATIVA[[#This Row],[CD_UPNIVEL3]]),"")</f>
        <v/>
      </c>
      <c r="AJ105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59" s="1">
        <f>COUNTIFS(Apresentação!$E$23:$E$29,ESTIMATIVA[[#This Row],[CD_UPNIVEL1]])</f>
        <v>0</v>
      </c>
    </row>
    <row r="1060" spans="1:37" x14ac:dyDescent="0.3">
      <c r="A1060">
        <v>20472</v>
      </c>
      <c r="B1060" t="s">
        <v>146</v>
      </c>
      <c r="C1060">
        <v>4</v>
      </c>
      <c r="D1060">
        <v>3</v>
      </c>
      <c r="E1060" t="s">
        <v>263</v>
      </c>
      <c r="F1060" s="85" t="s">
        <v>333</v>
      </c>
      <c r="G1060"/>
      <c r="H1060" t="s">
        <v>295</v>
      </c>
      <c r="I1060" t="s">
        <v>207</v>
      </c>
      <c r="J1060" t="s">
        <v>176</v>
      </c>
      <c r="K1060" s="1">
        <v>15.88</v>
      </c>
      <c r="L1060" s="1">
        <v>15.88</v>
      </c>
      <c r="M1060" s="1">
        <v>15.88</v>
      </c>
      <c r="N1060" s="1">
        <v>15.88</v>
      </c>
      <c r="O1060" s="1">
        <v>952.8</v>
      </c>
      <c r="P1060" s="1">
        <v>746.36</v>
      </c>
      <c r="Q1060" s="1">
        <v>746.36</v>
      </c>
      <c r="R1060" s="1">
        <v>932.51</v>
      </c>
      <c r="S1060" t="s">
        <v>12</v>
      </c>
      <c r="T1060" s="13">
        <v>45991</v>
      </c>
      <c r="U1060" s="1" t="str">
        <f>IF(ESTIMATIVA[[#This Row],[QT_AREA_REAL]]&gt;0,"1- Colhido","2- à Colher")</f>
        <v>1- Colhido</v>
      </c>
      <c r="V1060" s="1" t="str">
        <f>IF(ESTIMATIVA[[#This Row],[QT_AREA_REST1]]&gt;0,"Reestimativa 1",IF(ESTIMATIVA[[#This Row],[QT_AREA_REAL]]=0,"Reestimativa 1","Realizado"))</f>
        <v>Reestimativa 1</v>
      </c>
      <c r="W1060" s="1" t="str">
        <f>IF(ESTIMATIVA[[#This Row],[QT_AREA_REST2]]&gt;0,"Reestimativa 2",IF(ESTIMATIVA[[#This Row],[QT_AREA_REAL]]=0,"Reestimativa 2","Realizado"))</f>
        <v>Reestimativa 2</v>
      </c>
      <c r="X1060" s="1">
        <f>ESTIMATIVA[[#This Row],[QT_AREA_EST]]</f>
        <v>15.88</v>
      </c>
      <c r="Y1060" s="1">
        <f>IF(ESTIMATIVA[[#This Row],[QT_AREA_REST1]]&gt;0,ESTIMATIVA[[#This Row],[QT_AREA_REST1]],
  IF(ESTIMATIVA[[#This Row],[QT_AREA_REAL]]&gt;0,ESTIMATIVA[[#This Row],[QT_AREA_REAL]],ESTIMATIVA[[#This Row],[QT_AREA_EST]]))</f>
        <v>15.88</v>
      </c>
      <c r="Z106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15.88</v>
      </c>
      <c r="AA1060" s="1">
        <f>ESTIMATIVA[[#This Row],[QT_CANA_EST]]</f>
        <v>952.8</v>
      </c>
      <c r="AB1060" s="1">
        <f>IF(ESTIMATIVA[[#This Row],[QT_CANA_REST1]]&gt;0,ESTIMATIVA[[#This Row],[QT_CANA_REST1]],
  IF(ESTIMATIVA[[#This Row],[QT_CANA_REAL]]&gt;0,ESTIMATIVA[[#This Row],[QT_CANA_REAL]],ESTIMATIVA[[#This Row],[QT_CANA_EST]]))</f>
        <v>746.36</v>
      </c>
      <c r="AC106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746.36</v>
      </c>
      <c r="AD1060" s="1">
        <f>IF(ESTIMATIVA[[#This Row],[QT_AREA_REAL]]&gt;0,ESTIMATIVA[[#This Row],[QT_CANA_REAL]],ESTIMATIVA[[#This Row],[QT_CANA_EST]])</f>
        <v>932.51</v>
      </c>
      <c r="AE1060" s="1">
        <f>IF(ESTIMATIVA[[#This Row],[QT_AREA_REAL]]&gt;0,ESTIMATIVA[[#This Row],[QT_CANA_REAL]],ESTIMATIVA[[#This Row],[QT_CANA_REST1]])</f>
        <v>932.51</v>
      </c>
      <c r="AF1060" s="1">
        <f>IF(ESTIMATIVA[[#This Row],[QT_AREA_REAL]]&gt;0,ESTIMATIVA[[#This Row],[QT_CANA_REAL]],ESTIMATIVA[[#This Row],[QT_CANA_REST2]])</f>
        <v>932.51</v>
      </c>
      <c r="AG1060" s="1" t="str">
        <f>IF(COUNTIFS(GEADA!A:A,VALUE(ESTIMATIVA[[#This Row],[CD_UPNIVEL1]]&amp;TEXT(ESTIMATIVA[[#This Row],[CD_UPNIVEL3]],"0000")))&gt;0,"S","N")</f>
        <v>S</v>
      </c>
      <c r="AH106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060" s="55" t="str">
        <f>IF(ESTIMATIVA[[#This Row],[TP_CULTIVO]]="Irrigado",_xlfn.MAXIFS(IRRIGADO!J:J,IRRIGADO!C:C,ESTIMATIVA[[#This Row],[CD_UPNIVEL1]],IRRIGADO!E:E,ESTIMATIVA[[#This Row],[CD_UPNIVEL3]]),"")</f>
        <v/>
      </c>
      <c r="AJ106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60" s="1">
        <f>COUNTIFS(Apresentação!$E$23:$E$29,ESTIMATIVA[[#This Row],[CD_UPNIVEL1]])</f>
        <v>0</v>
      </c>
    </row>
    <row r="1061" spans="1:37" x14ac:dyDescent="0.3">
      <c r="A1061">
        <v>20472</v>
      </c>
      <c r="B1061" t="s">
        <v>146</v>
      </c>
      <c r="C1061">
        <v>5</v>
      </c>
      <c r="D1061">
        <v>3</v>
      </c>
      <c r="E1061" t="s">
        <v>263</v>
      </c>
      <c r="F1061" s="85" t="s">
        <v>333</v>
      </c>
      <c r="G1061"/>
      <c r="H1061" t="s">
        <v>295</v>
      </c>
      <c r="I1061" t="s">
        <v>207</v>
      </c>
      <c r="J1061" t="s">
        <v>176</v>
      </c>
      <c r="K1061" s="1">
        <v>11.36</v>
      </c>
      <c r="L1061" s="1">
        <v>11.36</v>
      </c>
      <c r="M1061" s="1">
        <v>11.36</v>
      </c>
      <c r="N1061" s="1">
        <v>11.36</v>
      </c>
      <c r="O1061" s="1">
        <v>681.6</v>
      </c>
      <c r="P1061" s="1">
        <v>533.91999999999996</v>
      </c>
      <c r="Q1061" s="1">
        <v>533.91999999999996</v>
      </c>
      <c r="R1061" s="1">
        <v>667.49</v>
      </c>
      <c r="S1061" t="s">
        <v>12</v>
      </c>
      <c r="T1061" s="13">
        <v>45991</v>
      </c>
      <c r="U1061" s="1" t="str">
        <f>IF(ESTIMATIVA[[#This Row],[QT_AREA_REAL]]&gt;0,"1- Colhido","2- à Colher")</f>
        <v>1- Colhido</v>
      </c>
      <c r="V1061" s="1" t="str">
        <f>IF(ESTIMATIVA[[#This Row],[QT_AREA_REST1]]&gt;0,"Reestimativa 1",IF(ESTIMATIVA[[#This Row],[QT_AREA_REAL]]=0,"Reestimativa 1","Realizado"))</f>
        <v>Reestimativa 1</v>
      </c>
      <c r="W1061" s="1" t="str">
        <f>IF(ESTIMATIVA[[#This Row],[QT_AREA_REST2]]&gt;0,"Reestimativa 2",IF(ESTIMATIVA[[#This Row],[QT_AREA_REAL]]=0,"Reestimativa 2","Realizado"))</f>
        <v>Reestimativa 2</v>
      </c>
      <c r="X1061" s="1">
        <f>ESTIMATIVA[[#This Row],[QT_AREA_EST]]</f>
        <v>11.36</v>
      </c>
      <c r="Y1061" s="1">
        <f>IF(ESTIMATIVA[[#This Row],[QT_AREA_REST1]]&gt;0,ESTIMATIVA[[#This Row],[QT_AREA_REST1]],
  IF(ESTIMATIVA[[#This Row],[QT_AREA_REAL]]&gt;0,ESTIMATIVA[[#This Row],[QT_AREA_REAL]],ESTIMATIVA[[#This Row],[QT_AREA_EST]]))</f>
        <v>11.36</v>
      </c>
      <c r="Z106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11.36</v>
      </c>
      <c r="AA1061" s="1">
        <f>ESTIMATIVA[[#This Row],[QT_CANA_EST]]</f>
        <v>681.6</v>
      </c>
      <c r="AB1061" s="1">
        <f>IF(ESTIMATIVA[[#This Row],[QT_CANA_REST1]]&gt;0,ESTIMATIVA[[#This Row],[QT_CANA_REST1]],
  IF(ESTIMATIVA[[#This Row],[QT_CANA_REAL]]&gt;0,ESTIMATIVA[[#This Row],[QT_CANA_REAL]],ESTIMATIVA[[#This Row],[QT_CANA_EST]]))</f>
        <v>533.91999999999996</v>
      </c>
      <c r="AC106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533.91999999999996</v>
      </c>
      <c r="AD1061" s="1">
        <f>IF(ESTIMATIVA[[#This Row],[QT_AREA_REAL]]&gt;0,ESTIMATIVA[[#This Row],[QT_CANA_REAL]],ESTIMATIVA[[#This Row],[QT_CANA_EST]])</f>
        <v>667.49</v>
      </c>
      <c r="AE1061" s="1">
        <f>IF(ESTIMATIVA[[#This Row],[QT_AREA_REAL]]&gt;0,ESTIMATIVA[[#This Row],[QT_CANA_REAL]],ESTIMATIVA[[#This Row],[QT_CANA_REST1]])</f>
        <v>667.49</v>
      </c>
      <c r="AF1061" s="1">
        <f>IF(ESTIMATIVA[[#This Row],[QT_AREA_REAL]]&gt;0,ESTIMATIVA[[#This Row],[QT_CANA_REAL]],ESTIMATIVA[[#This Row],[QT_CANA_REST2]])</f>
        <v>667.49</v>
      </c>
      <c r="AG1061" s="1" t="str">
        <f>IF(COUNTIFS(GEADA!A:A,VALUE(ESTIMATIVA[[#This Row],[CD_UPNIVEL1]]&amp;TEXT(ESTIMATIVA[[#This Row],[CD_UPNIVEL3]],"0000")))&gt;0,"S","N")</f>
        <v>S</v>
      </c>
      <c r="AH106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061" s="55" t="str">
        <f>IF(ESTIMATIVA[[#This Row],[TP_CULTIVO]]="Irrigado",_xlfn.MAXIFS(IRRIGADO!J:J,IRRIGADO!C:C,ESTIMATIVA[[#This Row],[CD_UPNIVEL1]],IRRIGADO!E:E,ESTIMATIVA[[#This Row],[CD_UPNIVEL3]]),"")</f>
        <v/>
      </c>
      <c r="AJ106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61" s="1">
        <f>COUNTIFS(Apresentação!$E$23:$E$29,ESTIMATIVA[[#This Row],[CD_UPNIVEL1]])</f>
        <v>0</v>
      </c>
    </row>
    <row r="1062" spans="1:37" x14ac:dyDescent="0.3">
      <c r="A1062">
        <v>20472</v>
      </c>
      <c r="B1062" t="s">
        <v>146</v>
      </c>
      <c r="C1062">
        <v>6</v>
      </c>
      <c r="D1062">
        <v>3</v>
      </c>
      <c r="E1062" t="s">
        <v>263</v>
      </c>
      <c r="F1062" s="85" t="s">
        <v>333</v>
      </c>
      <c r="G1062"/>
      <c r="H1062" t="s">
        <v>295</v>
      </c>
      <c r="I1062" t="s">
        <v>207</v>
      </c>
      <c r="J1062" t="s">
        <v>176</v>
      </c>
      <c r="K1062" s="1">
        <v>2.0299999999999998</v>
      </c>
      <c r="L1062" s="1">
        <v>2.0299999999999998</v>
      </c>
      <c r="M1062" s="1">
        <v>2.0299999999999998</v>
      </c>
      <c r="N1062" s="1">
        <v>2.0299999999999998</v>
      </c>
      <c r="O1062" s="1">
        <v>121.8</v>
      </c>
      <c r="P1062" s="1">
        <v>121.8</v>
      </c>
      <c r="Q1062" s="1">
        <v>113.68</v>
      </c>
      <c r="R1062" s="1">
        <v>142.77000000000001</v>
      </c>
      <c r="S1062" t="s">
        <v>12</v>
      </c>
      <c r="T1062" s="13">
        <v>45991</v>
      </c>
      <c r="U1062" s="1" t="str">
        <f>IF(ESTIMATIVA[[#This Row],[QT_AREA_REAL]]&gt;0,"1- Colhido","2- à Colher")</f>
        <v>1- Colhido</v>
      </c>
      <c r="V1062" s="1" t="str">
        <f>IF(ESTIMATIVA[[#This Row],[QT_AREA_REST1]]&gt;0,"Reestimativa 1",IF(ESTIMATIVA[[#This Row],[QT_AREA_REAL]]=0,"Reestimativa 1","Realizado"))</f>
        <v>Reestimativa 1</v>
      </c>
      <c r="W1062" s="1" t="str">
        <f>IF(ESTIMATIVA[[#This Row],[QT_AREA_REST2]]&gt;0,"Reestimativa 2",IF(ESTIMATIVA[[#This Row],[QT_AREA_REAL]]=0,"Reestimativa 2","Realizado"))</f>
        <v>Reestimativa 2</v>
      </c>
      <c r="X1062" s="1">
        <f>ESTIMATIVA[[#This Row],[QT_AREA_EST]]</f>
        <v>2.0299999999999998</v>
      </c>
      <c r="Y1062" s="1">
        <f>IF(ESTIMATIVA[[#This Row],[QT_AREA_REST1]]&gt;0,ESTIMATIVA[[#This Row],[QT_AREA_REST1]],
  IF(ESTIMATIVA[[#This Row],[QT_AREA_REAL]]&gt;0,ESTIMATIVA[[#This Row],[QT_AREA_REAL]],ESTIMATIVA[[#This Row],[QT_AREA_EST]]))</f>
        <v>2.0299999999999998</v>
      </c>
      <c r="Z106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2.0299999999999998</v>
      </c>
      <c r="AA1062" s="1">
        <f>ESTIMATIVA[[#This Row],[QT_CANA_EST]]</f>
        <v>121.8</v>
      </c>
      <c r="AB1062" s="1">
        <f>IF(ESTIMATIVA[[#This Row],[QT_CANA_REST1]]&gt;0,ESTIMATIVA[[#This Row],[QT_CANA_REST1]],
  IF(ESTIMATIVA[[#This Row],[QT_CANA_REAL]]&gt;0,ESTIMATIVA[[#This Row],[QT_CANA_REAL]],ESTIMATIVA[[#This Row],[QT_CANA_EST]]))</f>
        <v>121.8</v>
      </c>
      <c r="AC106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113.68</v>
      </c>
      <c r="AD1062" s="1">
        <f>IF(ESTIMATIVA[[#This Row],[QT_AREA_REAL]]&gt;0,ESTIMATIVA[[#This Row],[QT_CANA_REAL]],ESTIMATIVA[[#This Row],[QT_CANA_EST]])</f>
        <v>142.77000000000001</v>
      </c>
      <c r="AE1062" s="1">
        <f>IF(ESTIMATIVA[[#This Row],[QT_AREA_REAL]]&gt;0,ESTIMATIVA[[#This Row],[QT_CANA_REAL]],ESTIMATIVA[[#This Row],[QT_CANA_REST1]])</f>
        <v>142.77000000000001</v>
      </c>
      <c r="AF1062" s="1">
        <f>IF(ESTIMATIVA[[#This Row],[QT_AREA_REAL]]&gt;0,ESTIMATIVA[[#This Row],[QT_CANA_REAL]],ESTIMATIVA[[#This Row],[QT_CANA_REST2]])</f>
        <v>142.77000000000001</v>
      </c>
      <c r="AG1062" s="1" t="str">
        <f>IF(COUNTIFS(GEADA!A:A,VALUE(ESTIMATIVA[[#This Row],[CD_UPNIVEL1]]&amp;TEXT(ESTIMATIVA[[#This Row],[CD_UPNIVEL3]],"0000")))&gt;0,"S","N")</f>
        <v>N</v>
      </c>
      <c r="AH106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062" s="55" t="str">
        <f>IF(ESTIMATIVA[[#This Row],[TP_CULTIVO]]="Irrigado",_xlfn.MAXIFS(IRRIGADO!J:J,IRRIGADO!C:C,ESTIMATIVA[[#This Row],[CD_UPNIVEL1]],IRRIGADO!E:E,ESTIMATIVA[[#This Row],[CD_UPNIVEL3]]),"")</f>
        <v/>
      </c>
      <c r="AJ106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62" s="1">
        <f>COUNTIFS(Apresentação!$E$23:$E$29,ESTIMATIVA[[#This Row],[CD_UPNIVEL1]])</f>
        <v>0</v>
      </c>
    </row>
    <row r="1063" spans="1:37" x14ac:dyDescent="0.3">
      <c r="A1063">
        <v>20477</v>
      </c>
      <c r="B1063" t="s">
        <v>58</v>
      </c>
      <c r="C1063">
        <v>1</v>
      </c>
      <c r="D1063">
        <v>4</v>
      </c>
      <c r="E1063" t="s">
        <v>265</v>
      </c>
      <c r="F1063" s="85" t="s">
        <v>331</v>
      </c>
      <c r="G1063"/>
      <c r="H1063" t="s">
        <v>294</v>
      </c>
      <c r="I1063" t="s">
        <v>202</v>
      </c>
      <c r="J1063" t="s">
        <v>176</v>
      </c>
      <c r="K1063" s="1">
        <v>13.64</v>
      </c>
      <c r="L1063" s="1">
        <v>0</v>
      </c>
      <c r="M1063" s="1">
        <v>0</v>
      </c>
      <c r="N1063" s="1">
        <v>13.64</v>
      </c>
      <c r="O1063" s="1">
        <v>900.24</v>
      </c>
      <c r="P1063" s="1">
        <v>0</v>
      </c>
      <c r="Q1063" s="1">
        <v>0</v>
      </c>
      <c r="R1063" s="1">
        <v>708.77</v>
      </c>
      <c r="S1063" t="s">
        <v>12</v>
      </c>
      <c r="T1063" s="13">
        <v>45760</v>
      </c>
      <c r="U1063" s="1" t="str">
        <f>IF(ESTIMATIVA[[#This Row],[QT_AREA_REAL]]&gt;0,"1- Colhido","2- à Colher")</f>
        <v>1- Colhido</v>
      </c>
      <c r="V1063" s="1" t="str">
        <f>IF(ESTIMATIVA[[#This Row],[QT_AREA_REST1]]&gt;0,"Reestimativa 1",IF(ESTIMATIVA[[#This Row],[QT_AREA_REAL]]=0,"Reestimativa 1","Realizado"))</f>
        <v>Realizado</v>
      </c>
      <c r="W1063" s="1" t="str">
        <f>IF(ESTIMATIVA[[#This Row],[QT_AREA_REST2]]&gt;0,"Reestimativa 2",IF(ESTIMATIVA[[#This Row],[QT_AREA_REAL]]=0,"Reestimativa 2","Realizado"))</f>
        <v>Realizado</v>
      </c>
      <c r="X1063" s="1">
        <f>ESTIMATIVA[[#This Row],[QT_AREA_EST]]</f>
        <v>13.64</v>
      </c>
      <c r="Y1063" s="1">
        <f>IF(ESTIMATIVA[[#This Row],[QT_AREA_REST1]]&gt;0,ESTIMATIVA[[#This Row],[QT_AREA_REST1]],
  IF(ESTIMATIVA[[#This Row],[QT_AREA_REAL]]&gt;0,ESTIMATIVA[[#This Row],[QT_AREA_REAL]],ESTIMATIVA[[#This Row],[QT_AREA_EST]]))</f>
        <v>13.64</v>
      </c>
      <c r="Z106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13.64</v>
      </c>
      <c r="AA1063" s="1">
        <f>ESTIMATIVA[[#This Row],[QT_CANA_EST]]</f>
        <v>900.24</v>
      </c>
      <c r="AB1063" s="1">
        <f>IF(ESTIMATIVA[[#This Row],[QT_CANA_REST1]]&gt;0,ESTIMATIVA[[#This Row],[QT_CANA_REST1]],
  IF(ESTIMATIVA[[#This Row],[QT_CANA_REAL]]&gt;0,ESTIMATIVA[[#This Row],[QT_CANA_REAL]],ESTIMATIVA[[#This Row],[QT_CANA_EST]]))</f>
        <v>708.77</v>
      </c>
      <c r="AC106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708.77</v>
      </c>
      <c r="AD1063" s="1">
        <f>IF(ESTIMATIVA[[#This Row],[QT_AREA_REAL]]&gt;0,ESTIMATIVA[[#This Row],[QT_CANA_REAL]],ESTIMATIVA[[#This Row],[QT_CANA_EST]])</f>
        <v>708.77</v>
      </c>
      <c r="AE1063" s="1">
        <f>IF(ESTIMATIVA[[#This Row],[QT_AREA_REAL]]&gt;0,ESTIMATIVA[[#This Row],[QT_CANA_REAL]],ESTIMATIVA[[#This Row],[QT_CANA_REST1]])</f>
        <v>708.77</v>
      </c>
      <c r="AF1063" s="1">
        <f>IF(ESTIMATIVA[[#This Row],[QT_AREA_REAL]]&gt;0,ESTIMATIVA[[#This Row],[QT_CANA_REAL]],ESTIMATIVA[[#This Row],[QT_CANA_REST2]])</f>
        <v>708.77</v>
      </c>
      <c r="AG1063" s="1" t="str">
        <f>IF(COUNTIFS(GEADA!A:A,VALUE(ESTIMATIVA[[#This Row],[CD_UPNIVEL1]]&amp;TEXT(ESTIMATIVA[[#This Row],[CD_UPNIVEL3]],"0000")))&gt;0,"S","N")</f>
        <v>N</v>
      </c>
      <c r="AH106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63" s="55" t="str">
        <f>IF(ESTIMATIVA[[#This Row],[TP_CULTIVO]]="Irrigado",_xlfn.MAXIFS(IRRIGADO!J:J,IRRIGADO!C:C,ESTIMATIVA[[#This Row],[CD_UPNIVEL1]],IRRIGADO!E:E,ESTIMATIVA[[#This Row],[CD_UPNIVEL3]]),"")</f>
        <v/>
      </c>
      <c r="AJ106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63" s="1">
        <f>COUNTIFS(Apresentação!$E$23:$E$29,ESTIMATIVA[[#This Row],[CD_UPNIVEL1]])</f>
        <v>0</v>
      </c>
    </row>
    <row r="1064" spans="1:37" x14ac:dyDescent="0.3">
      <c r="A1064">
        <v>20477</v>
      </c>
      <c r="B1064" t="s">
        <v>58</v>
      </c>
      <c r="C1064">
        <v>2</v>
      </c>
      <c r="D1064">
        <v>4</v>
      </c>
      <c r="E1064" t="s">
        <v>265</v>
      </c>
      <c r="F1064" s="85" t="s">
        <v>331</v>
      </c>
      <c r="G1064"/>
      <c r="H1064" t="s">
        <v>294</v>
      </c>
      <c r="I1064" t="s">
        <v>202</v>
      </c>
      <c r="J1064" t="s">
        <v>176</v>
      </c>
      <c r="K1064" s="1">
        <v>7.65</v>
      </c>
      <c r="L1064" s="1">
        <v>0</v>
      </c>
      <c r="M1064" s="1">
        <v>0</v>
      </c>
      <c r="N1064" s="1">
        <v>7.65</v>
      </c>
      <c r="O1064" s="1">
        <v>504.9</v>
      </c>
      <c r="P1064" s="1">
        <v>0</v>
      </c>
      <c r="Q1064" s="1">
        <v>0</v>
      </c>
      <c r="R1064" s="1">
        <v>397.02</v>
      </c>
      <c r="S1064" t="s">
        <v>12</v>
      </c>
      <c r="T1064" s="13">
        <v>45760</v>
      </c>
      <c r="U1064" s="1" t="str">
        <f>IF(ESTIMATIVA[[#This Row],[QT_AREA_REAL]]&gt;0,"1- Colhido","2- à Colher")</f>
        <v>1- Colhido</v>
      </c>
      <c r="V1064" s="1" t="str">
        <f>IF(ESTIMATIVA[[#This Row],[QT_AREA_REST1]]&gt;0,"Reestimativa 1",IF(ESTIMATIVA[[#This Row],[QT_AREA_REAL]]=0,"Reestimativa 1","Realizado"))</f>
        <v>Realizado</v>
      </c>
      <c r="W1064" s="1" t="str">
        <f>IF(ESTIMATIVA[[#This Row],[QT_AREA_REST2]]&gt;0,"Reestimativa 2",IF(ESTIMATIVA[[#This Row],[QT_AREA_REAL]]=0,"Reestimativa 2","Realizado"))</f>
        <v>Realizado</v>
      </c>
      <c r="X1064" s="1">
        <f>ESTIMATIVA[[#This Row],[QT_AREA_EST]]</f>
        <v>7.65</v>
      </c>
      <c r="Y1064" s="1">
        <f>IF(ESTIMATIVA[[#This Row],[QT_AREA_REST1]]&gt;0,ESTIMATIVA[[#This Row],[QT_AREA_REST1]],
  IF(ESTIMATIVA[[#This Row],[QT_AREA_REAL]]&gt;0,ESTIMATIVA[[#This Row],[QT_AREA_REAL]],ESTIMATIVA[[#This Row],[QT_AREA_EST]]))</f>
        <v>7.65</v>
      </c>
      <c r="Z106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7.65</v>
      </c>
      <c r="AA1064" s="1">
        <f>ESTIMATIVA[[#This Row],[QT_CANA_EST]]</f>
        <v>504.9</v>
      </c>
      <c r="AB1064" s="1">
        <f>IF(ESTIMATIVA[[#This Row],[QT_CANA_REST1]]&gt;0,ESTIMATIVA[[#This Row],[QT_CANA_REST1]],
  IF(ESTIMATIVA[[#This Row],[QT_CANA_REAL]]&gt;0,ESTIMATIVA[[#This Row],[QT_CANA_REAL]],ESTIMATIVA[[#This Row],[QT_CANA_EST]]))</f>
        <v>397.02</v>
      </c>
      <c r="AC106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397.02</v>
      </c>
      <c r="AD1064" s="1">
        <f>IF(ESTIMATIVA[[#This Row],[QT_AREA_REAL]]&gt;0,ESTIMATIVA[[#This Row],[QT_CANA_REAL]],ESTIMATIVA[[#This Row],[QT_CANA_EST]])</f>
        <v>397.02</v>
      </c>
      <c r="AE1064" s="1">
        <f>IF(ESTIMATIVA[[#This Row],[QT_AREA_REAL]]&gt;0,ESTIMATIVA[[#This Row],[QT_CANA_REAL]],ESTIMATIVA[[#This Row],[QT_CANA_REST1]])</f>
        <v>397.02</v>
      </c>
      <c r="AF1064" s="1">
        <f>IF(ESTIMATIVA[[#This Row],[QT_AREA_REAL]]&gt;0,ESTIMATIVA[[#This Row],[QT_CANA_REAL]],ESTIMATIVA[[#This Row],[QT_CANA_REST2]])</f>
        <v>397.02</v>
      </c>
      <c r="AG1064" s="1" t="str">
        <f>IF(COUNTIFS(GEADA!A:A,VALUE(ESTIMATIVA[[#This Row],[CD_UPNIVEL1]]&amp;TEXT(ESTIMATIVA[[#This Row],[CD_UPNIVEL3]],"0000")))&gt;0,"S","N")</f>
        <v>N</v>
      </c>
      <c r="AH106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64" s="55" t="str">
        <f>IF(ESTIMATIVA[[#This Row],[TP_CULTIVO]]="Irrigado",_xlfn.MAXIFS(IRRIGADO!J:J,IRRIGADO!C:C,ESTIMATIVA[[#This Row],[CD_UPNIVEL1]],IRRIGADO!E:E,ESTIMATIVA[[#This Row],[CD_UPNIVEL3]]),"")</f>
        <v/>
      </c>
      <c r="AJ106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64" s="1">
        <f>COUNTIFS(Apresentação!$E$23:$E$29,ESTIMATIVA[[#This Row],[CD_UPNIVEL1]])</f>
        <v>0</v>
      </c>
    </row>
    <row r="1065" spans="1:37" x14ac:dyDescent="0.3">
      <c r="A1065">
        <v>20477</v>
      </c>
      <c r="B1065" t="s">
        <v>58</v>
      </c>
      <c r="C1065">
        <v>3</v>
      </c>
      <c r="D1065">
        <v>4</v>
      </c>
      <c r="E1065" t="s">
        <v>265</v>
      </c>
      <c r="F1065" s="85" t="s">
        <v>331</v>
      </c>
      <c r="G1065"/>
      <c r="H1065" t="s">
        <v>294</v>
      </c>
      <c r="I1065" t="s">
        <v>202</v>
      </c>
      <c r="J1065" t="s">
        <v>176</v>
      </c>
      <c r="K1065" s="1">
        <v>11.59</v>
      </c>
      <c r="L1065" s="1">
        <v>0</v>
      </c>
      <c r="M1065" s="1">
        <v>0</v>
      </c>
      <c r="N1065" s="1">
        <v>11.59</v>
      </c>
      <c r="O1065" s="1">
        <v>764.94</v>
      </c>
      <c r="P1065" s="1">
        <v>0</v>
      </c>
      <c r="Q1065" s="1">
        <v>0</v>
      </c>
      <c r="R1065" s="1">
        <v>601.70000000000005</v>
      </c>
      <c r="S1065" t="s">
        <v>12</v>
      </c>
      <c r="T1065" s="13">
        <v>45760</v>
      </c>
      <c r="U1065" s="1" t="str">
        <f>IF(ESTIMATIVA[[#This Row],[QT_AREA_REAL]]&gt;0,"1- Colhido","2- à Colher")</f>
        <v>1- Colhido</v>
      </c>
      <c r="V1065" s="1" t="str">
        <f>IF(ESTIMATIVA[[#This Row],[QT_AREA_REST1]]&gt;0,"Reestimativa 1",IF(ESTIMATIVA[[#This Row],[QT_AREA_REAL]]=0,"Reestimativa 1","Realizado"))</f>
        <v>Realizado</v>
      </c>
      <c r="W1065" s="1" t="str">
        <f>IF(ESTIMATIVA[[#This Row],[QT_AREA_REST2]]&gt;0,"Reestimativa 2",IF(ESTIMATIVA[[#This Row],[QT_AREA_REAL]]=0,"Reestimativa 2","Realizado"))</f>
        <v>Realizado</v>
      </c>
      <c r="X1065" s="1">
        <f>ESTIMATIVA[[#This Row],[QT_AREA_EST]]</f>
        <v>11.59</v>
      </c>
      <c r="Y1065" s="1">
        <f>IF(ESTIMATIVA[[#This Row],[QT_AREA_REST1]]&gt;0,ESTIMATIVA[[#This Row],[QT_AREA_REST1]],
  IF(ESTIMATIVA[[#This Row],[QT_AREA_REAL]]&gt;0,ESTIMATIVA[[#This Row],[QT_AREA_REAL]],ESTIMATIVA[[#This Row],[QT_AREA_EST]]))</f>
        <v>11.59</v>
      </c>
      <c r="Z106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11.59</v>
      </c>
      <c r="AA1065" s="1">
        <f>ESTIMATIVA[[#This Row],[QT_CANA_EST]]</f>
        <v>764.94</v>
      </c>
      <c r="AB1065" s="1">
        <f>IF(ESTIMATIVA[[#This Row],[QT_CANA_REST1]]&gt;0,ESTIMATIVA[[#This Row],[QT_CANA_REST1]],
  IF(ESTIMATIVA[[#This Row],[QT_CANA_REAL]]&gt;0,ESTIMATIVA[[#This Row],[QT_CANA_REAL]],ESTIMATIVA[[#This Row],[QT_CANA_EST]]))</f>
        <v>601.70000000000005</v>
      </c>
      <c r="AC106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601.70000000000005</v>
      </c>
      <c r="AD1065" s="1">
        <f>IF(ESTIMATIVA[[#This Row],[QT_AREA_REAL]]&gt;0,ESTIMATIVA[[#This Row],[QT_CANA_REAL]],ESTIMATIVA[[#This Row],[QT_CANA_EST]])</f>
        <v>601.70000000000005</v>
      </c>
      <c r="AE1065" s="1">
        <f>IF(ESTIMATIVA[[#This Row],[QT_AREA_REAL]]&gt;0,ESTIMATIVA[[#This Row],[QT_CANA_REAL]],ESTIMATIVA[[#This Row],[QT_CANA_REST1]])</f>
        <v>601.70000000000005</v>
      </c>
      <c r="AF1065" s="1">
        <f>IF(ESTIMATIVA[[#This Row],[QT_AREA_REAL]]&gt;0,ESTIMATIVA[[#This Row],[QT_CANA_REAL]],ESTIMATIVA[[#This Row],[QT_CANA_REST2]])</f>
        <v>601.70000000000005</v>
      </c>
      <c r="AG1065" s="1" t="str">
        <f>IF(COUNTIFS(GEADA!A:A,VALUE(ESTIMATIVA[[#This Row],[CD_UPNIVEL1]]&amp;TEXT(ESTIMATIVA[[#This Row],[CD_UPNIVEL3]],"0000")))&gt;0,"S","N")</f>
        <v>N</v>
      </c>
      <c r="AH106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65" s="55" t="str">
        <f>IF(ESTIMATIVA[[#This Row],[TP_CULTIVO]]="Irrigado",_xlfn.MAXIFS(IRRIGADO!J:J,IRRIGADO!C:C,ESTIMATIVA[[#This Row],[CD_UPNIVEL1]],IRRIGADO!E:E,ESTIMATIVA[[#This Row],[CD_UPNIVEL3]]),"")</f>
        <v/>
      </c>
      <c r="AJ106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65" s="1">
        <f>COUNTIFS(Apresentação!$E$23:$E$29,ESTIMATIVA[[#This Row],[CD_UPNIVEL1]])</f>
        <v>0</v>
      </c>
    </row>
    <row r="1066" spans="1:37" x14ac:dyDescent="0.3">
      <c r="A1066">
        <v>20477</v>
      </c>
      <c r="B1066" t="s">
        <v>58</v>
      </c>
      <c r="C1066">
        <v>4</v>
      </c>
      <c r="D1066">
        <v>4</v>
      </c>
      <c r="E1066" t="s">
        <v>265</v>
      </c>
      <c r="F1066" s="85" t="s">
        <v>331</v>
      </c>
      <c r="G1066"/>
      <c r="H1066" t="s">
        <v>294</v>
      </c>
      <c r="I1066" t="s">
        <v>202</v>
      </c>
      <c r="J1066" t="s">
        <v>176</v>
      </c>
      <c r="K1066" s="1">
        <v>12.47</v>
      </c>
      <c r="L1066" s="1">
        <v>0</v>
      </c>
      <c r="M1066" s="1">
        <v>0</v>
      </c>
      <c r="N1066" s="1">
        <v>12.47</v>
      </c>
      <c r="O1066" s="1">
        <v>823.02</v>
      </c>
      <c r="P1066" s="1">
        <v>0</v>
      </c>
      <c r="Q1066" s="1">
        <v>0</v>
      </c>
      <c r="R1066" s="1">
        <v>647.24</v>
      </c>
      <c r="S1066" t="s">
        <v>12</v>
      </c>
      <c r="T1066" s="13">
        <v>45760</v>
      </c>
      <c r="U1066" s="1" t="str">
        <f>IF(ESTIMATIVA[[#This Row],[QT_AREA_REAL]]&gt;0,"1- Colhido","2- à Colher")</f>
        <v>1- Colhido</v>
      </c>
      <c r="V1066" s="1" t="str">
        <f>IF(ESTIMATIVA[[#This Row],[QT_AREA_REST1]]&gt;0,"Reestimativa 1",IF(ESTIMATIVA[[#This Row],[QT_AREA_REAL]]=0,"Reestimativa 1","Realizado"))</f>
        <v>Realizado</v>
      </c>
      <c r="W1066" s="1" t="str">
        <f>IF(ESTIMATIVA[[#This Row],[QT_AREA_REST2]]&gt;0,"Reestimativa 2",IF(ESTIMATIVA[[#This Row],[QT_AREA_REAL]]=0,"Reestimativa 2","Realizado"))</f>
        <v>Realizado</v>
      </c>
      <c r="X1066" s="1">
        <f>ESTIMATIVA[[#This Row],[QT_AREA_EST]]</f>
        <v>12.47</v>
      </c>
      <c r="Y1066" s="1">
        <f>IF(ESTIMATIVA[[#This Row],[QT_AREA_REST1]]&gt;0,ESTIMATIVA[[#This Row],[QT_AREA_REST1]],
  IF(ESTIMATIVA[[#This Row],[QT_AREA_REAL]]&gt;0,ESTIMATIVA[[#This Row],[QT_AREA_REAL]],ESTIMATIVA[[#This Row],[QT_AREA_EST]]))</f>
        <v>12.47</v>
      </c>
      <c r="Z106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12.47</v>
      </c>
      <c r="AA1066" s="1">
        <f>ESTIMATIVA[[#This Row],[QT_CANA_EST]]</f>
        <v>823.02</v>
      </c>
      <c r="AB1066" s="1">
        <f>IF(ESTIMATIVA[[#This Row],[QT_CANA_REST1]]&gt;0,ESTIMATIVA[[#This Row],[QT_CANA_REST1]],
  IF(ESTIMATIVA[[#This Row],[QT_CANA_REAL]]&gt;0,ESTIMATIVA[[#This Row],[QT_CANA_REAL]],ESTIMATIVA[[#This Row],[QT_CANA_EST]]))</f>
        <v>647.24</v>
      </c>
      <c r="AC106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647.24</v>
      </c>
      <c r="AD1066" s="1">
        <f>IF(ESTIMATIVA[[#This Row],[QT_AREA_REAL]]&gt;0,ESTIMATIVA[[#This Row],[QT_CANA_REAL]],ESTIMATIVA[[#This Row],[QT_CANA_EST]])</f>
        <v>647.24</v>
      </c>
      <c r="AE1066" s="1">
        <f>IF(ESTIMATIVA[[#This Row],[QT_AREA_REAL]]&gt;0,ESTIMATIVA[[#This Row],[QT_CANA_REAL]],ESTIMATIVA[[#This Row],[QT_CANA_REST1]])</f>
        <v>647.24</v>
      </c>
      <c r="AF1066" s="1">
        <f>IF(ESTIMATIVA[[#This Row],[QT_AREA_REAL]]&gt;0,ESTIMATIVA[[#This Row],[QT_CANA_REAL]],ESTIMATIVA[[#This Row],[QT_CANA_REST2]])</f>
        <v>647.24</v>
      </c>
      <c r="AG1066" s="1" t="str">
        <f>IF(COUNTIFS(GEADA!A:A,VALUE(ESTIMATIVA[[#This Row],[CD_UPNIVEL1]]&amp;TEXT(ESTIMATIVA[[#This Row],[CD_UPNIVEL3]],"0000")))&gt;0,"S","N")</f>
        <v>N</v>
      </c>
      <c r="AH106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66" s="55" t="str">
        <f>IF(ESTIMATIVA[[#This Row],[TP_CULTIVO]]="Irrigado",_xlfn.MAXIFS(IRRIGADO!J:J,IRRIGADO!C:C,ESTIMATIVA[[#This Row],[CD_UPNIVEL1]],IRRIGADO!E:E,ESTIMATIVA[[#This Row],[CD_UPNIVEL3]]),"")</f>
        <v/>
      </c>
      <c r="AJ106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66" s="1">
        <f>COUNTIFS(Apresentação!$E$23:$E$29,ESTIMATIVA[[#This Row],[CD_UPNIVEL1]])</f>
        <v>0</v>
      </c>
    </row>
    <row r="1067" spans="1:37" x14ac:dyDescent="0.3">
      <c r="A1067">
        <v>20477</v>
      </c>
      <c r="B1067" t="s">
        <v>58</v>
      </c>
      <c r="C1067">
        <v>5</v>
      </c>
      <c r="D1067">
        <v>4</v>
      </c>
      <c r="E1067" t="s">
        <v>265</v>
      </c>
      <c r="F1067" s="85" t="s">
        <v>331</v>
      </c>
      <c r="G1067"/>
      <c r="H1067" t="s">
        <v>294</v>
      </c>
      <c r="I1067" t="s">
        <v>202</v>
      </c>
      <c r="J1067" t="s">
        <v>176</v>
      </c>
      <c r="K1067" s="1">
        <v>14.64</v>
      </c>
      <c r="L1067" s="1">
        <v>0</v>
      </c>
      <c r="M1067" s="1">
        <v>0</v>
      </c>
      <c r="N1067" s="1">
        <v>14.64</v>
      </c>
      <c r="O1067" s="1">
        <v>966.24</v>
      </c>
      <c r="P1067" s="1">
        <v>0</v>
      </c>
      <c r="Q1067" s="1">
        <v>0</v>
      </c>
      <c r="R1067" s="1">
        <v>760.5</v>
      </c>
      <c r="S1067" t="s">
        <v>12</v>
      </c>
      <c r="T1067" s="13">
        <v>45760</v>
      </c>
      <c r="U1067" s="1" t="str">
        <f>IF(ESTIMATIVA[[#This Row],[QT_AREA_REAL]]&gt;0,"1- Colhido","2- à Colher")</f>
        <v>1- Colhido</v>
      </c>
      <c r="V1067" s="1" t="str">
        <f>IF(ESTIMATIVA[[#This Row],[QT_AREA_REST1]]&gt;0,"Reestimativa 1",IF(ESTIMATIVA[[#This Row],[QT_AREA_REAL]]=0,"Reestimativa 1","Realizado"))</f>
        <v>Realizado</v>
      </c>
      <c r="W1067" s="1" t="str">
        <f>IF(ESTIMATIVA[[#This Row],[QT_AREA_REST2]]&gt;0,"Reestimativa 2",IF(ESTIMATIVA[[#This Row],[QT_AREA_REAL]]=0,"Reestimativa 2","Realizado"))</f>
        <v>Realizado</v>
      </c>
      <c r="X1067" s="1">
        <f>ESTIMATIVA[[#This Row],[QT_AREA_EST]]</f>
        <v>14.64</v>
      </c>
      <c r="Y1067" s="1">
        <f>IF(ESTIMATIVA[[#This Row],[QT_AREA_REST1]]&gt;0,ESTIMATIVA[[#This Row],[QT_AREA_REST1]],
  IF(ESTIMATIVA[[#This Row],[QT_AREA_REAL]]&gt;0,ESTIMATIVA[[#This Row],[QT_AREA_REAL]],ESTIMATIVA[[#This Row],[QT_AREA_EST]]))</f>
        <v>14.64</v>
      </c>
      <c r="Z106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14.64</v>
      </c>
      <c r="AA1067" s="1">
        <f>ESTIMATIVA[[#This Row],[QT_CANA_EST]]</f>
        <v>966.24</v>
      </c>
      <c r="AB1067" s="1">
        <f>IF(ESTIMATIVA[[#This Row],[QT_CANA_REST1]]&gt;0,ESTIMATIVA[[#This Row],[QT_CANA_REST1]],
  IF(ESTIMATIVA[[#This Row],[QT_CANA_REAL]]&gt;0,ESTIMATIVA[[#This Row],[QT_CANA_REAL]],ESTIMATIVA[[#This Row],[QT_CANA_EST]]))</f>
        <v>760.5</v>
      </c>
      <c r="AC106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760.5</v>
      </c>
      <c r="AD1067" s="1">
        <f>IF(ESTIMATIVA[[#This Row],[QT_AREA_REAL]]&gt;0,ESTIMATIVA[[#This Row],[QT_CANA_REAL]],ESTIMATIVA[[#This Row],[QT_CANA_EST]])</f>
        <v>760.5</v>
      </c>
      <c r="AE1067" s="1">
        <f>IF(ESTIMATIVA[[#This Row],[QT_AREA_REAL]]&gt;0,ESTIMATIVA[[#This Row],[QT_CANA_REAL]],ESTIMATIVA[[#This Row],[QT_CANA_REST1]])</f>
        <v>760.5</v>
      </c>
      <c r="AF1067" s="1">
        <f>IF(ESTIMATIVA[[#This Row],[QT_AREA_REAL]]&gt;0,ESTIMATIVA[[#This Row],[QT_CANA_REAL]],ESTIMATIVA[[#This Row],[QT_CANA_REST2]])</f>
        <v>760.5</v>
      </c>
      <c r="AG1067" s="1" t="str">
        <f>IF(COUNTIFS(GEADA!A:A,VALUE(ESTIMATIVA[[#This Row],[CD_UPNIVEL1]]&amp;TEXT(ESTIMATIVA[[#This Row],[CD_UPNIVEL3]],"0000")))&gt;0,"S","N")</f>
        <v>N</v>
      </c>
      <c r="AH106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67" s="55" t="str">
        <f>IF(ESTIMATIVA[[#This Row],[TP_CULTIVO]]="Irrigado",_xlfn.MAXIFS(IRRIGADO!J:J,IRRIGADO!C:C,ESTIMATIVA[[#This Row],[CD_UPNIVEL1]],IRRIGADO!E:E,ESTIMATIVA[[#This Row],[CD_UPNIVEL3]]),"")</f>
        <v/>
      </c>
      <c r="AJ106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67" s="1">
        <f>COUNTIFS(Apresentação!$E$23:$E$29,ESTIMATIVA[[#This Row],[CD_UPNIVEL1]])</f>
        <v>0</v>
      </c>
    </row>
    <row r="1068" spans="1:37" x14ac:dyDescent="0.3">
      <c r="A1068">
        <v>20477</v>
      </c>
      <c r="B1068" t="s">
        <v>58</v>
      </c>
      <c r="C1068">
        <v>6</v>
      </c>
      <c r="D1068">
        <v>4</v>
      </c>
      <c r="E1068" t="s">
        <v>265</v>
      </c>
      <c r="F1068" s="85" t="s">
        <v>333</v>
      </c>
      <c r="G1068"/>
      <c r="H1068" t="s">
        <v>294</v>
      </c>
      <c r="I1068" t="s">
        <v>202</v>
      </c>
      <c r="J1068" t="s">
        <v>176</v>
      </c>
      <c r="K1068" s="1">
        <v>14.48</v>
      </c>
      <c r="L1068" s="1">
        <v>0</v>
      </c>
      <c r="M1068" s="1">
        <v>0</v>
      </c>
      <c r="N1068" s="1">
        <v>14.48</v>
      </c>
      <c r="O1068" s="1">
        <v>955.68</v>
      </c>
      <c r="P1068" s="1">
        <v>0</v>
      </c>
      <c r="Q1068" s="1">
        <v>0</v>
      </c>
      <c r="R1068" s="1">
        <v>751.91</v>
      </c>
      <c r="S1068" t="s">
        <v>12</v>
      </c>
      <c r="T1068" s="13">
        <v>45760</v>
      </c>
      <c r="U1068" s="1" t="str">
        <f>IF(ESTIMATIVA[[#This Row],[QT_AREA_REAL]]&gt;0,"1- Colhido","2- à Colher")</f>
        <v>1- Colhido</v>
      </c>
      <c r="V1068" s="1" t="str">
        <f>IF(ESTIMATIVA[[#This Row],[QT_AREA_REST1]]&gt;0,"Reestimativa 1",IF(ESTIMATIVA[[#This Row],[QT_AREA_REAL]]=0,"Reestimativa 1","Realizado"))</f>
        <v>Realizado</v>
      </c>
      <c r="W1068" s="1" t="str">
        <f>IF(ESTIMATIVA[[#This Row],[QT_AREA_REST2]]&gt;0,"Reestimativa 2",IF(ESTIMATIVA[[#This Row],[QT_AREA_REAL]]=0,"Reestimativa 2","Realizado"))</f>
        <v>Realizado</v>
      </c>
      <c r="X1068" s="1">
        <f>ESTIMATIVA[[#This Row],[QT_AREA_EST]]</f>
        <v>14.48</v>
      </c>
      <c r="Y1068" s="1">
        <f>IF(ESTIMATIVA[[#This Row],[QT_AREA_REST1]]&gt;0,ESTIMATIVA[[#This Row],[QT_AREA_REST1]],
  IF(ESTIMATIVA[[#This Row],[QT_AREA_REAL]]&gt;0,ESTIMATIVA[[#This Row],[QT_AREA_REAL]],ESTIMATIVA[[#This Row],[QT_AREA_EST]]))</f>
        <v>14.48</v>
      </c>
      <c r="Z106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14.48</v>
      </c>
      <c r="AA1068" s="1">
        <f>ESTIMATIVA[[#This Row],[QT_CANA_EST]]</f>
        <v>955.68</v>
      </c>
      <c r="AB1068" s="1">
        <f>IF(ESTIMATIVA[[#This Row],[QT_CANA_REST1]]&gt;0,ESTIMATIVA[[#This Row],[QT_CANA_REST1]],
  IF(ESTIMATIVA[[#This Row],[QT_CANA_REAL]]&gt;0,ESTIMATIVA[[#This Row],[QT_CANA_REAL]],ESTIMATIVA[[#This Row],[QT_CANA_EST]]))</f>
        <v>751.91</v>
      </c>
      <c r="AC106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751.91</v>
      </c>
      <c r="AD1068" s="1">
        <f>IF(ESTIMATIVA[[#This Row],[QT_AREA_REAL]]&gt;0,ESTIMATIVA[[#This Row],[QT_CANA_REAL]],ESTIMATIVA[[#This Row],[QT_CANA_EST]])</f>
        <v>751.91</v>
      </c>
      <c r="AE1068" s="1">
        <f>IF(ESTIMATIVA[[#This Row],[QT_AREA_REAL]]&gt;0,ESTIMATIVA[[#This Row],[QT_CANA_REAL]],ESTIMATIVA[[#This Row],[QT_CANA_REST1]])</f>
        <v>751.91</v>
      </c>
      <c r="AF1068" s="1">
        <f>IF(ESTIMATIVA[[#This Row],[QT_AREA_REAL]]&gt;0,ESTIMATIVA[[#This Row],[QT_CANA_REAL]],ESTIMATIVA[[#This Row],[QT_CANA_REST2]])</f>
        <v>751.91</v>
      </c>
      <c r="AG1068" s="1" t="str">
        <f>IF(COUNTIFS(GEADA!A:A,VALUE(ESTIMATIVA[[#This Row],[CD_UPNIVEL1]]&amp;TEXT(ESTIMATIVA[[#This Row],[CD_UPNIVEL3]],"0000")))&gt;0,"S","N")</f>
        <v>N</v>
      </c>
      <c r="AH106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68" s="55" t="str">
        <f>IF(ESTIMATIVA[[#This Row],[TP_CULTIVO]]="Irrigado",_xlfn.MAXIFS(IRRIGADO!J:J,IRRIGADO!C:C,ESTIMATIVA[[#This Row],[CD_UPNIVEL1]],IRRIGADO!E:E,ESTIMATIVA[[#This Row],[CD_UPNIVEL3]]),"")</f>
        <v/>
      </c>
      <c r="AJ106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68" s="1">
        <f>COUNTIFS(Apresentação!$E$23:$E$29,ESTIMATIVA[[#This Row],[CD_UPNIVEL1]])</f>
        <v>0</v>
      </c>
    </row>
    <row r="1069" spans="1:37" x14ac:dyDescent="0.3">
      <c r="A1069">
        <v>20477</v>
      </c>
      <c r="B1069" t="s">
        <v>58</v>
      </c>
      <c r="C1069">
        <v>7</v>
      </c>
      <c r="D1069">
        <v>4</v>
      </c>
      <c r="E1069" t="s">
        <v>265</v>
      </c>
      <c r="F1069" s="85" t="s">
        <v>331</v>
      </c>
      <c r="G1069"/>
      <c r="H1069" t="s">
        <v>294</v>
      </c>
      <c r="I1069" t="s">
        <v>202</v>
      </c>
      <c r="J1069" t="s">
        <v>176</v>
      </c>
      <c r="K1069" s="1">
        <v>16.420000000000002</v>
      </c>
      <c r="L1069" s="1">
        <v>0</v>
      </c>
      <c r="M1069" s="1">
        <v>0</v>
      </c>
      <c r="N1069" s="1">
        <v>16.420000000000002</v>
      </c>
      <c r="O1069" s="1">
        <v>1083.72</v>
      </c>
      <c r="P1069" s="1">
        <v>0</v>
      </c>
      <c r="Q1069" s="1">
        <v>0</v>
      </c>
      <c r="R1069" s="1">
        <v>852.52</v>
      </c>
      <c r="S1069" t="s">
        <v>12</v>
      </c>
      <c r="T1069" s="13">
        <v>45760</v>
      </c>
      <c r="U1069" s="1" t="str">
        <f>IF(ESTIMATIVA[[#This Row],[QT_AREA_REAL]]&gt;0,"1- Colhido","2- à Colher")</f>
        <v>1- Colhido</v>
      </c>
      <c r="V1069" s="1" t="str">
        <f>IF(ESTIMATIVA[[#This Row],[QT_AREA_REST1]]&gt;0,"Reestimativa 1",IF(ESTIMATIVA[[#This Row],[QT_AREA_REAL]]=0,"Reestimativa 1","Realizado"))</f>
        <v>Realizado</v>
      </c>
      <c r="W1069" s="1" t="str">
        <f>IF(ESTIMATIVA[[#This Row],[QT_AREA_REST2]]&gt;0,"Reestimativa 2",IF(ESTIMATIVA[[#This Row],[QT_AREA_REAL]]=0,"Reestimativa 2","Realizado"))</f>
        <v>Realizado</v>
      </c>
      <c r="X1069" s="1">
        <f>ESTIMATIVA[[#This Row],[QT_AREA_EST]]</f>
        <v>16.420000000000002</v>
      </c>
      <c r="Y1069" s="1">
        <f>IF(ESTIMATIVA[[#This Row],[QT_AREA_REST1]]&gt;0,ESTIMATIVA[[#This Row],[QT_AREA_REST1]],
  IF(ESTIMATIVA[[#This Row],[QT_AREA_REAL]]&gt;0,ESTIMATIVA[[#This Row],[QT_AREA_REAL]],ESTIMATIVA[[#This Row],[QT_AREA_EST]]))</f>
        <v>16.420000000000002</v>
      </c>
      <c r="Z106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16.420000000000002</v>
      </c>
      <c r="AA1069" s="1">
        <f>ESTIMATIVA[[#This Row],[QT_CANA_EST]]</f>
        <v>1083.72</v>
      </c>
      <c r="AB1069" s="1">
        <f>IF(ESTIMATIVA[[#This Row],[QT_CANA_REST1]]&gt;0,ESTIMATIVA[[#This Row],[QT_CANA_REST1]],
  IF(ESTIMATIVA[[#This Row],[QT_CANA_REAL]]&gt;0,ESTIMATIVA[[#This Row],[QT_CANA_REAL]],ESTIMATIVA[[#This Row],[QT_CANA_EST]]))</f>
        <v>852.52</v>
      </c>
      <c r="AC106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852.52</v>
      </c>
      <c r="AD1069" s="1">
        <f>IF(ESTIMATIVA[[#This Row],[QT_AREA_REAL]]&gt;0,ESTIMATIVA[[#This Row],[QT_CANA_REAL]],ESTIMATIVA[[#This Row],[QT_CANA_EST]])</f>
        <v>852.52</v>
      </c>
      <c r="AE1069" s="1">
        <f>IF(ESTIMATIVA[[#This Row],[QT_AREA_REAL]]&gt;0,ESTIMATIVA[[#This Row],[QT_CANA_REAL]],ESTIMATIVA[[#This Row],[QT_CANA_REST1]])</f>
        <v>852.52</v>
      </c>
      <c r="AF1069" s="1">
        <f>IF(ESTIMATIVA[[#This Row],[QT_AREA_REAL]]&gt;0,ESTIMATIVA[[#This Row],[QT_CANA_REAL]],ESTIMATIVA[[#This Row],[QT_CANA_REST2]])</f>
        <v>852.52</v>
      </c>
      <c r="AG1069" s="1" t="str">
        <f>IF(COUNTIFS(GEADA!A:A,VALUE(ESTIMATIVA[[#This Row],[CD_UPNIVEL1]]&amp;TEXT(ESTIMATIVA[[#This Row],[CD_UPNIVEL3]],"0000")))&gt;0,"S","N")</f>
        <v>N</v>
      </c>
      <c r="AH106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69" s="55" t="str">
        <f>IF(ESTIMATIVA[[#This Row],[TP_CULTIVO]]="Irrigado",_xlfn.MAXIFS(IRRIGADO!J:J,IRRIGADO!C:C,ESTIMATIVA[[#This Row],[CD_UPNIVEL1]],IRRIGADO!E:E,ESTIMATIVA[[#This Row],[CD_UPNIVEL3]]),"")</f>
        <v/>
      </c>
      <c r="AJ106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69" s="1">
        <f>COUNTIFS(Apresentação!$E$23:$E$29,ESTIMATIVA[[#This Row],[CD_UPNIVEL1]])</f>
        <v>0</v>
      </c>
    </row>
    <row r="1070" spans="1:37" x14ac:dyDescent="0.3">
      <c r="A1070">
        <v>20477</v>
      </c>
      <c r="B1070" t="s">
        <v>58</v>
      </c>
      <c r="C1070">
        <v>8</v>
      </c>
      <c r="D1070">
        <v>4</v>
      </c>
      <c r="E1070" t="s">
        <v>265</v>
      </c>
      <c r="F1070" s="85" t="s">
        <v>333</v>
      </c>
      <c r="G1070"/>
      <c r="H1070" t="s">
        <v>294</v>
      </c>
      <c r="I1070" t="s">
        <v>202</v>
      </c>
      <c r="J1070" t="s">
        <v>176</v>
      </c>
      <c r="K1070" s="1">
        <v>10.16</v>
      </c>
      <c r="L1070" s="1">
        <v>0</v>
      </c>
      <c r="M1070" s="1">
        <v>0</v>
      </c>
      <c r="N1070" s="1">
        <v>10.16</v>
      </c>
      <c r="O1070" s="1">
        <v>670.56</v>
      </c>
      <c r="P1070" s="1">
        <v>0</v>
      </c>
      <c r="Q1070" s="1">
        <v>0</v>
      </c>
      <c r="R1070" s="1">
        <v>651.97</v>
      </c>
      <c r="S1070" t="s">
        <v>12</v>
      </c>
      <c r="T1070" s="13">
        <v>45760</v>
      </c>
      <c r="U1070" s="1" t="str">
        <f>IF(ESTIMATIVA[[#This Row],[QT_AREA_REAL]]&gt;0,"1- Colhido","2- à Colher")</f>
        <v>1- Colhido</v>
      </c>
      <c r="V1070" s="1" t="str">
        <f>IF(ESTIMATIVA[[#This Row],[QT_AREA_REST1]]&gt;0,"Reestimativa 1",IF(ESTIMATIVA[[#This Row],[QT_AREA_REAL]]=0,"Reestimativa 1","Realizado"))</f>
        <v>Realizado</v>
      </c>
      <c r="W1070" s="1" t="str">
        <f>IF(ESTIMATIVA[[#This Row],[QT_AREA_REST2]]&gt;0,"Reestimativa 2",IF(ESTIMATIVA[[#This Row],[QT_AREA_REAL]]=0,"Reestimativa 2","Realizado"))</f>
        <v>Realizado</v>
      </c>
      <c r="X1070" s="1">
        <f>ESTIMATIVA[[#This Row],[QT_AREA_EST]]</f>
        <v>10.16</v>
      </c>
      <c r="Y1070" s="1">
        <f>IF(ESTIMATIVA[[#This Row],[QT_AREA_REST1]]&gt;0,ESTIMATIVA[[#This Row],[QT_AREA_REST1]],
  IF(ESTIMATIVA[[#This Row],[QT_AREA_REAL]]&gt;0,ESTIMATIVA[[#This Row],[QT_AREA_REAL]],ESTIMATIVA[[#This Row],[QT_AREA_EST]]))</f>
        <v>10.16</v>
      </c>
      <c r="Z107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10.16</v>
      </c>
      <c r="AA1070" s="1">
        <f>ESTIMATIVA[[#This Row],[QT_CANA_EST]]</f>
        <v>670.56</v>
      </c>
      <c r="AB1070" s="1">
        <f>IF(ESTIMATIVA[[#This Row],[QT_CANA_REST1]]&gt;0,ESTIMATIVA[[#This Row],[QT_CANA_REST1]],
  IF(ESTIMATIVA[[#This Row],[QT_CANA_REAL]]&gt;0,ESTIMATIVA[[#This Row],[QT_CANA_REAL]],ESTIMATIVA[[#This Row],[QT_CANA_EST]]))</f>
        <v>651.97</v>
      </c>
      <c r="AC107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651.97</v>
      </c>
      <c r="AD1070" s="1">
        <f>IF(ESTIMATIVA[[#This Row],[QT_AREA_REAL]]&gt;0,ESTIMATIVA[[#This Row],[QT_CANA_REAL]],ESTIMATIVA[[#This Row],[QT_CANA_EST]])</f>
        <v>651.97</v>
      </c>
      <c r="AE1070" s="1">
        <f>IF(ESTIMATIVA[[#This Row],[QT_AREA_REAL]]&gt;0,ESTIMATIVA[[#This Row],[QT_CANA_REAL]],ESTIMATIVA[[#This Row],[QT_CANA_REST1]])</f>
        <v>651.97</v>
      </c>
      <c r="AF1070" s="1">
        <f>IF(ESTIMATIVA[[#This Row],[QT_AREA_REAL]]&gt;0,ESTIMATIVA[[#This Row],[QT_CANA_REAL]],ESTIMATIVA[[#This Row],[QT_CANA_REST2]])</f>
        <v>651.97</v>
      </c>
      <c r="AG1070" s="1" t="str">
        <f>IF(COUNTIFS(GEADA!A:A,VALUE(ESTIMATIVA[[#This Row],[CD_UPNIVEL1]]&amp;TEXT(ESTIMATIVA[[#This Row],[CD_UPNIVEL3]],"0000")))&gt;0,"S","N")</f>
        <v>N</v>
      </c>
      <c r="AH107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70" s="55" t="str">
        <f>IF(ESTIMATIVA[[#This Row],[TP_CULTIVO]]="Irrigado",_xlfn.MAXIFS(IRRIGADO!J:J,IRRIGADO!C:C,ESTIMATIVA[[#This Row],[CD_UPNIVEL1]],IRRIGADO!E:E,ESTIMATIVA[[#This Row],[CD_UPNIVEL3]]),"")</f>
        <v/>
      </c>
      <c r="AJ107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70" s="1">
        <f>COUNTIFS(Apresentação!$E$23:$E$29,ESTIMATIVA[[#This Row],[CD_UPNIVEL1]])</f>
        <v>0</v>
      </c>
    </row>
    <row r="1071" spans="1:37" x14ac:dyDescent="0.3">
      <c r="A1071">
        <v>20477</v>
      </c>
      <c r="B1071" t="s">
        <v>58</v>
      </c>
      <c r="C1071">
        <v>9</v>
      </c>
      <c r="D1071">
        <v>4</v>
      </c>
      <c r="E1071" t="s">
        <v>265</v>
      </c>
      <c r="F1071" s="85" t="s">
        <v>331</v>
      </c>
      <c r="G1071"/>
      <c r="H1071" t="s">
        <v>294</v>
      </c>
      <c r="I1071" t="s">
        <v>202</v>
      </c>
      <c r="J1071" t="s">
        <v>176</v>
      </c>
      <c r="K1071" s="1">
        <v>34.950000000000003</v>
      </c>
      <c r="L1071" s="1">
        <v>0</v>
      </c>
      <c r="M1071" s="1">
        <v>0</v>
      </c>
      <c r="N1071" s="1">
        <v>34.950000000000003</v>
      </c>
      <c r="O1071" s="1">
        <v>2306.6999999999998</v>
      </c>
      <c r="P1071" s="1">
        <v>0</v>
      </c>
      <c r="Q1071" s="1">
        <v>0</v>
      </c>
      <c r="R1071" s="1">
        <v>2301.2800000000002</v>
      </c>
      <c r="S1071" t="s">
        <v>12</v>
      </c>
      <c r="T1071" s="13">
        <v>45760</v>
      </c>
      <c r="U1071" s="1" t="str">
        <f>IF(ESTIMATIVA[[#This Row],[QT_AREA_REAL]]&gt;0,"1- Colhido","2- à Colher")</f>
        <v>1- Colhido</v>
      </c>
      <c r="V1071" s="1" t="str">
        <f>IF(ESTIMATIVA[[#This Row],[QT_AREA_REST1]]&gt;0,"Reestimativa 1",IF(ESTIMATIVA[[#This Row],[QT_AREA_REAL]]=0,"Reestimativa 1","Realizado"))</f>
        <v>Realizado</v>
      </c>
      <c r="W1071" s="1" t="str">
        <f>IF(ESTIMATIVA[[#This Row],[QT_AREA_REST2]]&gt;0,"Reestimativa 2",IF(ESTIMATIVA[[#This Row],[QT_AREA_REAL]]=0,"Reestimativa 2","Realizado"))</f>
        <v>Realizado</v>
      </c>
      <c r="X1071" s="1">
        <f>ESTIMATIVA[[#This Row],[QT_AREA_EST]]</f>
        <v>34.950000000000003</v>
      </c>
      <c r="Y1071" s="1">
        <f>IF(ESTIMATIVA[[#This Row],[QT_AREA_REST1]]&gt;0,ESTIMATIVA[[#This Row],[QT_AREA_REST1]],
  IF(ESTIMATIVA[[#This Row],[QT_AREA_REAL]]&gt;0,ESTIMATIVA[[#This Row],[QT_AREA_REAL]],ESTIMATIVA[[#This Row],[QT_AREA_EST]]))</f>
        <v>34.950000000000003</v>
      </c>
      <c r="Z107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34.950000000000003</v>
      </c>
      <c r="AA1071" s="1">
        <f>ESTIMATIVA[[#This Row],[QT_CANA_EST]]</f>
        <v>2306.6999999999998</v>
      </c>
      <c r="AB1071" s="1">
        <f>IF(ESTIMATIVA[[#This Row],[QT_CANA_REST1]]&gt;0,ESTIMATIVA[[#This Row],[QT_CANA_REST1]],
  IF(ESTIMATIVA[[#This Row],[QT_CANA_REAL]]&gt;0,ESTIMATIVA[[#This Row],[QT_CANA_REAL]],ESTIMATIVA[[#This Row],[QT_CANA_EST]]))</f>
        <v>2301.2800000000002</v>
      </c>
      <c r="AC107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2301.2800000000002</v>
      </c>
      <c r="AD1071" s="1">
        <f>IF(ESTIMATIVA[[#This Row],[QT_AREA_REAL]]&gt;0,ESTIMATIVA[[#This Row],[QT_CANA_REAL]],ESTIMATIVA[[#This Row],[QT_CANA_EST]])</f>
        <v>2301.2800000000002</v>
      </c>
      <c r="AE1071" s="1">
        <f>IF(ESTIMATIVA[[#This Row],[QT_AREA_REAL]]&gt;0,ESTIMATIVA[[#This Row],[QT_CANA_REAL]],ESTIMATIVA[[#This Row],[QT_CANA_REST1]])</f>
        <v>2301.2800000000002</v>
      </c>
      <c r="AF1071" s="1">
        <f>IF(ESTIMATIVA[[#This Row],[QT_AREA_REAL]]&gt;0,ESTIMATIVA[[#This Row],[QT_CANA_REAL]],ESTIMATIVA[[#This Row],[QT_CANA_REST2]])</f>
        <v>2301.2800000000002</v>
      </c>
      <c r="AG1071" s="1" t="str">
        <f>IF(COUNTIFS(GEADA!A:A,VALUE(ESTIMATIVA[[#This Row],[CD_UPNIVEL1]]&amp;TEXT(ESTIMATIVA[[#This Row],[CD_UPNIVEL3]],"0000")))&gt;0,"S","N")</f>
        <v>N</v>
      </c>
      <c r="AH107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71" s="55" t="str">
        <f>IF(ESTIMATIVA[[#This Row],[TP_CULTIVO]]="Irrigado",_xlfn.MAXIFS(IRRIGADO!J:J,IRRIGADO!C:C,ESTIMATIVA[[#This Row],[CD_UPNIVEL1]],IRRIGADO!E:E,ESTIMATIVA[[#This Row],[CD_UPNIVEL3]]),"")</f>
        <v/>
      </c>
      <c r="AJ107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71" s="1">
        <f>COUNTIFS(Apresentação!$E$23:$E$29,ESTIMATIVA[[#This Row],[CD_UPNIVEL1]])</f>
        <v>0</v>
      </c>
    </row>
    <row r="1072" spans="1:37" x14ac:dyDescent="0.3">
      <c r="A1072">
        <v>20477</v>
      </c>
      <c r="B1072" t="s">
        <v>58</v>
      </c>
      <c r="C1072">
        <v>10</v>
      </c>
      <c r="D1072">
        <v>4</v>
      </c>
      <c r="E1072" t="s">
        <v>265</v>
      </c>
      <c r="F1072" s="85" t="s">
        <v>333</v>
      </c>
      <c r="G1072"/>
      <c r="H1072" t="s">
        <v>294</v>
      </c>
      <c r="I1072" t="s">
        <v>202</v>
      </c>
      <c r="J1072" t="s">
        <v>176</v>
      </c>
      <c r="K1072" s="1">
        <v>23.37</v>
      </c>
      <c r="L1072" s="1">
        <v>0</v>
      </c>
      <c r="M1072" s="1">
        <v>0</v>
      </c>
      <c r="N1072" s="1">
        <v>23.37</v>
      </c>
      <c r="O1072" s="1">
        <v>1542.42</v>
      </c>
      <c r="P1072" s="1">
        <v>0</v>
      </c>
      <c r="Q1072" s="1">
        <v>0</v>
      </c>
      <c r="R1072" s="1">
        <v>1498.22</v>
      </c>
      <c r="S1072" t="s">
        <v>12</v>
      </c>
      <c r="T1072" s="13">
        <v>45760</v>
      </c>
      <c r="U1072" s="1" t="str">
        <f>IF(ESTIMATIVA[[#This Row],[QT_AREA_REAL]]&gt;0,"1- Colhido","2- à Colher")</f>
        <v>1- Colhido</v>
      </c>
      <c r="V1072" s="1" t="str">
        <f>IF(ESTIMATIVA[[#This Row],[QT_AREA_REST1]]&gt;0,"Reestimativa 1",IF(ESTIMATIVA[[#This Row],[QT_AREA_REAL]]=0,"Reestimativa 1","Realizado"))</f>
        <v>Realizado</v>
      </c>
      <c r="W1072" s="1" t="str">
        <f>IF(ESTIMATIVA[[#This Row],[QT_AREA_REST2]]&gt;0,"Reestimativa 2",IF(ESTIMATIVA[[#This Row],[QT_AREA_REAL]]=0,"Reestimativa 2","Realizado"))</f>
        <v>Realizado</v>
      </c>
      <c r="X1072" s="1">
        <f>ESTIMATIVA[[#This Row],[QT_AREA_EST]]</f>
        <v>23.37</v>
      </c>
      <c r="Y1072" s="1">
        <f>IF(ESTIMATIVA[[#This Row],[QT_AREA_REST1]]&gt;0,ESTIMATIVA[[#This Row],[QT_AREA_REST1]],
  IF(ESTIMATIVA[[#This Row],[QT_AREA_REAL]]&gt;0,ESTIMATIVA[[#This Row],[QT_AREA_REAL]],ESTIMATIVA[[#This Row],[QT_AREA_EST]]))</f>
        <v>23.37</v>
      </c>
      <c r="Z107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23.37</v>
      </c>
      <c r="AA1072" s="1">
        <f>ESTIMATIVA[[#This Row],[QT_CANA_EST]]</f>
        <v>1542.42</v>
      </c>
      <c r="AB1072" s="1">
        <f>IF(ESTIMATIVA[[#This Row],[QT_CANA_REST1]]&gt;0,ESTIMATIVA[[#This Row],[QT_CANA_REST1]],
  IF(ESTIMATIVA[[#This Row],[QT_CANA_REAL]]&gt;0,ESTIMATIVA[[#This Row],[QT_CANA_REAL]],ESTIMATIVA[[#This Row],[QT_CANA_EST]]))</f>
        <v>1498.22</v>
      </c>
      <c r="AC107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1498.22</v>
      </c>
      <c r="AD1072" s="1">
        <f>IF(ESTIMATIVA[[#This Row],[QT_AREA_REAL]]&gt;0,ESTIMATIVA[[#This Row],[QT_CANA_REAL]],ESTIMATIVA[[#This Row],[QT_CANA_EST]])</f>
        <v>1498.22</v>
      </c>
      <c r="AE1072" s="1">
        <f>IF(ESTIMATIVA[[#This Row],[QT_AREA_REAL]]&gt;0,ESTIMATIVA[[#This Row],[QT_CANA_REAL]],ESTIMATIVA[[#This Row],[QT_CANA_REST1]])</f>
        <v>1498.22</v>
      </c>
      <c r="AF1072" s="1">
        <f>IF(ESTIMATIVA[[#This Row],[QT_AREA_REAL]]&gt;0,ESTIMATIVA[[#This Row],[QT_CANA_REAL]],ESTIMATIVA[[#This Row],[QT_CANA_REST2]])</f>
        <v>1498.22</v>
      </c>
      <c r="AG1072" s="1" t="str">
        <f>IF(COUNTIFS(GEADA!A:A,VALUE(ESTIMATIVA[[#This Row],[CD_UPNIVEL1]]&amp;TEXT(ESTIMATIVA[[#This Row],[CD_UPNIVEL3]],"0000")))&gt;0,"S","N")</f>
        <v>N</v>
      </c>
      <c r="AH107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72" s="55" t="str">
        <f>IF(ESTIMATIVA[[#This Row],[TP_CULTIVO]]="Irrigado",_xlfn.MAXIFS(IRRIGADO!J:J,IRRIGADO!C:C,ESTIMATIVA[[#This Row],[CD_UPNIVEL1]],IRRIGADO!E:E,ESTIMATIVA[[#This Row],[CD_UPNIVEL3]]),"")</f>
        <v/>
      </c>
      <c r="AJ107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72" s="1">
        <f>COUNTIFS(Apresentação!$E$23:$E$29,ESTIMATIVA[[#This Row],[CD_UPNIVEL1]])</f>
        <v>0</v>
      </c>
    </row>
    <row r="1073" spans="1:37" x14ac:dyDescent="0.3">
      <c r="A1073">
        <v>20477</v>
      </c>
      <c r="B1073" t="s">
        <v>58</v>
      </c>
      <c r="C1073">
        <v>11</v>
      </c>
      <c r="D1073">
        <v>4</v>
      </c>
      <c r="E1073" t="s">
        <v>265</v>
      </c>
      <c r="F1073" s="85" t="s">
        <v>333</v>
      </c>
      <c r="G1073"/>
      <c r="H1073" t="s">
        <v>294</v>
      </c>
      <c r="I1073" t="s">
        <v>202</v>
      </c>
      <c r="J1073" t="s">
        <v>176</v>
      </c>
      <c r="K1073" s="1">
        <v>17.25</v>
      </c>
      <c r="L1073" s="1">
        <v>0</v>
      </c>
      <c r="M1073" s="1">
        <v>0</v>
      </c>
      <c r="N1073" s="1">
        <v>17.25</v>
      </c>
      <c r="O1073" s="1">
        <v>1000.5</v>
      </c>
      <c r="P1073" s="1">
        <v>0</v>
      </c>
      <c r="Q1073" s="1">
        <v>0</v>
      </c>
      <c r="R1073" s="1">
        <v>973</v>
      </c>
      <c r="S1073" t="s">
        <v>12</v>
      </c>
      <c r="T1073" s="13">
        <v>45760</v>
      </c>
      <c r="U1073" s="1" t="str">
        <f>IF(ESTIMATIVA[[#This Row],[QT_AREA_REAL]]&gt;0,"1- Colhido","2- à Colher")</f>
        <v>1- Colhido</v>
      </c>
      <c r="V1073" s="1" t="str">
        <f>IF(ESTIMATIVA[[#This Row],[QT_AREA_REST1]]&gt;0,"Reestimativa 1",IF(ESTIMATIVA[[#This Row],[QT_AREA_REAL]]=0,"Reestimativa 1","Realizado"))</f>
        <v>Realizado</v>
      </c>
      <c r="W1073" s="1" t="str">
        <f>IF(ESTIMATIVA[[#This Row],[QT_AREA_REST2]]&gt;0,"Reestimativa 2",IF(ESTIMATIVA[[#This Row],[QT_AREA_REAL]]=0,"Reestimativa 2","Realizado"))</f>
        <v>Realizado</v>
      </c>
      <c r="X1073" s="1">
        <f>ESTIMATIVA[[#This Row],[QT_AREA_EST]]</f>
        <v>17.25</v>
      </c>
      <c r="Y1073" s="1">
        <f>IF(ESTIMATIVA[[#This Row],[QT_AREA_REST1]]&gt;0,ESTIMATIVA[[#This Row],[QT_AREA_REST1]],
  IF(ESTIMATIVA[[#This Row],[QT_AREA_REAL]]&gt;0,ESTIMATIVA[[#This Row],[QT_AREA_REAL]],ESTIMATIVA[[#This Row],[QT_AREA_EST]]))</f>
        <v>17.25</v>
      </c>
      <c r="Z107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17.25</v>
      </c>
      <c r="AA1073" s="1">
        <f>ESTIMATIVA[[#This Row],[QT_CANA_EST]]</f>
        <v>1000.5</v>
      </c>
      <c r="AB1073" s="1">
        <f>IF(ESTIMATIVA[[#This Row],[QT_CANA_REST1]]&gt;0,ESTIMATIVA[[#This Row],[QT_CANA_REST1]],
  IF(ESTIMATIVA[[#This Row],[QT_CANA_REAL]]&gt;0,ESTIMATIVA[[#This Row],[QT_CANA_REAL]],ESTIMATIVA[[#This Row],[QT_CANA_EST]]))</f>
        <v>973</v>
      </c>
      <c r="AC107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973</v>
      </c>
      <c r="AD1073" s="1">
        <f>IF(ESTIMATIVA[[#This Row],[QT_AREA_REAL]]&gt;0,ESTIMATIVA[[#This Row],[QT_CANA_REAL]],ESTIMATIVA[[#This Row],[QT_CANA_EST]])</f>
        <v>973</v>
      </c>
      <c r="AE1073" s="1">
        <f>IF(ESTIMATIVA[[#This Row],[QT_AREA_REAL]]&gt;0,ESTIMATIVA[[#This Row],[QT_CANA_REAL]],ESTIMATIVA[[#This Row],[QT_CANA_REST1]])</f>
        <v>973</v>
      </c>
      <c r="AF1073" s="1">
        <f>IF(ESTIMATIVA[[#This Row],[QT_AREA_REAL]]&gt;0,ESTIMATIVA[[#This Row],[QT_CANA_REAL]],ESTIMATIVA[[#This Row],[QT_CANA_REST2]])</f>
        <v>973</v>
      </c>
      <c r="AG1073" s="1" t="str">
        <f>IF(COUNTIFS(GEADA!A:A,VALUE(ESTIMATIVA[[#This Row],[CD_UPNIVEL1]]&amp;TEXT(ESTIMATIVA[[#This Row],[CD_UPNIVEL3]],"0000")))&gt;0,"S","N")</f>
        <v>N</v>
      </c>
      <c r="AH107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73" s="55" t="str">
        <f>IF(ESTIMATIVA[[#This Row],[TP_CULTIVO]]="Irrigado",_xlfn.MAXIFS(IRRIGADO!J:J,IRRIGADO!C:C,ESTIMATIVA[[#This Row],[CD_UPNIVEL1]],IRRIGADO!E:E,ESTIMATIVA[[#This Row],[CD_UPNIVEL3]]),"")</f>
        <v/>
      </c>
      <c r="AJ107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73" s="1">
        <f>COUNTIFS(Apresentação!$E$23:$E$29,ESTIMATIVA[[#This Row],[CD_UPNIVEL1]])</f>
        <v>0</v>
      </c>
    </row>
    <row r="1074" spans="1:37" x14ac:dyDescent="0.3">
      <c r="A1074">
        <v>20477</v>
      </c>
      <c r="B1074" t="s">
        <v>58</v>
      </c>
      <c r="C1074">
        <v>20</v>
      </c>
      <c r="D1074">
        <v>5</v>
      </c>
      <c r="E1074" t="s">
        <v>268</v>
      </c>
      <c r="F1074" s="85" t="s">
        <v>331</v>
      </c>
      <c r="G1074"/>
      <c r="H1074" t="s">
        <v>294</v>
      </c>
      <c r="I1074" t="s">
        <v>202</v>
      </c>
      <c r="J1074" t="s">
        <v>176</v>
      </c>
      <c r="K1074" s="1">
        <v>58.13</v>
      </c>
      <c r="L1074" s="1">
        <v>0</v>
      </c>
      <c r="M1074" s="1">
        <v>0</v>
      </c>
      <c r="N1074" s="1">
        <v>58.13</v>
      </c>
      <c r="O1074" s="1">
        <v>3487.8</v>
      </c>
      <c r="P1074" s="1">
        <v>0</v>
      </c>
      <c r="Q1074" s="1">
        <v>0</v>
      </c>
      <c r="R1074" s="1">
        <v>3019.96</v>
      </c>
      <c r="S1074" t="s">
        <v>12</v>
      </c>
      <c r="T1074" s="13">
        <v>45746</v>
      </c>
      <c r="U1074" s="1" t="str">
        <f>IF(ESTIMATIVA[[#This Row],[QT_AREA_REAL]]&gt;0,"1- Colhido","2- à Colher")</f>
        <v>1- Colhido</v>
      </c>
      <c r="V1074" s="1" t="str">
        <f>IF(ESTIMATIVA[[#This Row],[QT_AREA_REST1]]&gt;0,"Reestimativa 1",IF(ESTIMATIVA[[#This Row],[QT_AREA_REAL]]=0,"Reestimativa 1","Realizado"))</f>
        <v>Realizado</v>
      </c>
      <c r="W1074" s="1" t="str">
        <f>IF(ESTIMATIVA[[#This Row],[QT_AREA_REST2]]&gt;0,"Reestimativa 2",IF(ESTIMATIVA[[#This Row],[QT_AREA_REAL]]=0,"Reestimativa 2","Realizado"))</f>
        <v>Realizado</v>
      </c>
      <c r="X1074" s="1">
        <f>ESTIMATIVA[[#This Row],[QT_AREA_EST]]</f>
        <v>58.13</v>
      </c>
      <c r="Y1074" s="1">
        <f>IF(ESTIMATIVA[[#This Row],[QT_AREA_REST1]]&gt;0,ESTIMATIVA[[#This Row],[QT_AREA_REST1]],
  IF(ESTIMATIVA[[#This Row],[QT_AREA_REAL]]&gt;0,ESTIMATIVA[[#This Row],[QT_AREA_REAL]],ESTIMATIVA[[#This Row],[QT_AREA_EST]]))</f>
        <v>58.13</v>
      </c>
      <c r="Z107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58.13</v>
      </c>
      <c r="AA1074" s="1">
        <f>ESTIMATIVA[[#This Row],[QT_CANA_EST]]</f>
        <v>3487.8</v>
      </c>
      <c r="AB1074" s="1">
        <f>IF(ESTIMATIVA[[#This Row],[QT_CANA_REST1]]&gt;0,ESTIMATIVA[[#This Row],[QT_CANA_REST1]],
  IF(ESTIMATIVA[[#This Row],[QT_CANA_REAL]]&gt;0,ESTIMATIVA[[#This Row],[QT_CANA_REAL]],ESTIMATIVA[[#This Row],[QT_CANA_EST]]))</f>
        <v>3019.96</v>
      </c>
      <c r="AC107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3019.96</v>
      </c>
      <c r="AD1074" s="1">
        <f>IF(ESTIMATIVA[[#This Row],[QT_AREA_REAL]]&gt;0,ESTIMATIVA[[#This Row],[QT_CANA_REAL]],ESTIMATIVA[[#This Row],[QT_CANA_EST]])</f>
        <v>3019.96</v>
      </c>
      <c r="AE1074" s="1">
        <f>IF(ESTIMATIVA[[#This Row],[QT_AREA_REAL]]&gt;0,ESTIMATIVA[[#This Row],[QT_CANA_REAL]],ESTIMATIVA[[#This Row],[QT_CANA_REST1]])</f>
        <v>3019.96</v>
      </c>
      <c r="AF1074" s="1">
        <f>IF(ESTIMATIVA[[#This Row],[QT_AREA_REAL]]&gt;0,ESTIMATIVA[[#This Row],[QT_CANA_REAL]],ESTIMATIVA[[#This Row],[QT_CANA_REST2]])</f>
        <v>3019.96</v>
      </c>
      <c r="AG1074" s="1" t="str">
        <f>IF(COUNTIFS(GEADA!A:A,VALUE(ESTIMATIVA[[#This Row],[CD_UPNIVEL1]]&amp;TEXT(ESTIMATIVA[[#This Row],[CD_UPNIVEL3]],"0000")))&gt;0,"S","N")</f>
        <v>N</v>
      </c>
      <c r="AH107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74" s="55" t="str">
        <f>IF(ESTIMATIVA[[#This Row],[TP_CULTIVO]]="Irrigado",_xlfn.MAXIFS(IRRIGADO!J:J,IRRIGADO!C:C,ESTIMATIVA[[#This Row],[CD_UPNIVEL1]],IRRIGADO!E:E,ESTIMATIVA[[#This Row],[CD_UPNIVEL3]]),"")</f>
        <v/>
      </c>
      <c r="AJ107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74" s="1">
        <f>COUNTIFS(Apresentação!$E$23:$E$29,ESTIMATIVA[[#This Row],[CD_UPNIVEL1]])</f>
        <v>0</v>
      </c>
    </row>
    <row r="1075" spans="1:37" x14ac:dyDescent="0.3">
      <c r="A1075">
        <v>20477</v>
      </c>
      <c r="B1075" t="s">
        <v>58</v>
      </c>
      <c r="C1075">
        <v>21</v>
      </c>
      <c r="D1075">
        <v>5</v>
      </c>
      <c r="E1075" t="s">
        <v>268</v>
      </c>
      <c r="F1075" s="85" t="s">
        <v>331</v>
      </c>
      <c r="G1075"/>
      <c r="H1075" t="s">
        <v>294</v>
      </c>
      <c r="I1075" t="s">
        <v>202</v>
      </c>
      <c r="J1075" t="s">
        <v>176</v>
      </c>
      <c r="K1075" s="1">
        <v>20.5</v>
      </c>
      <c r="L1075" s="1">
        <v>0</v>
      </c>
      <c r="M1075" s="1">
        <v>0</v>
      </c>
      <c r="N1075" s="1">
        <v>20.5</v>
      </c>
      <c r="O1075" s="1">
        <v>922.5</v>
      </c>
      <c r="P1075" s="1">
        <v>0</v>
      </c>
      <c r="Q1075" s="1">
        <v>0</v>
      </c>
      <c r="R1075" s="1">
        <v>799.07</v>
      </c>
      <c r="S1075" t="s">
        <v>12</v>
      </c>
      <c r="T1075" s="13">
        <v>45746</v>
      </c>
      <c r="U1075" s="1" t="str">
        <f>IF(ESTIMATIVA[[#This Row],[QT_AREA_REAL]]&gt;0,"1- Colhido","2- à Colher")</f>
        <v>1- Colhido</v>
      </c>
      <c r="V1075" s="1" t="str">
        <f>IF(ESTIMATIVA[[#This Row],[QT_AREA_REST1]]&gt;0,"Reestimativa 1",IF(ESTIMATIVA[[#This Row],[QT_AREA_REAL]]=0,"Reestimativa 1","Realizado"))</f>
        <v>Realizado</v>
      </c>
      <c r="W1075" s="1" t="str">
        <f>IF(ESTIMATIVA[[#This Row],[QT_AREA_REST2]]&gt;0,"Reestimativa 2",IF(ESTIMATIVA[[#This Row],[QT_AREA_REAL]]=0,"Reestimativa 2","Realizado"))</f>
        <v>Realizado</v>
      </c>
      <c r="X1075" s="1">
        <f>ESTIMATIVA[[#This Row],[QT_AREA_EST]]</f>
        <v>20.5</v>
      </c>
      <c r="Y1075" s="1">
        <f>IF(ESTIMATIVA[[#This Row],[QT_AREA_REST1]]&gt;0,ESTIMATIVA[[#This Row],[QT_AREA_REST1]],
  IF(ESTIMATIVA[[#This Row],[QT_AREA_REAL]]&gt;0,ESTIMATIVA[[#This Row],[QT_AREA_REAL]],ESTIMATIVA[[#This Row],[QT_AREA_EST]]))</f>
        <v>20.5</v>
      </c>
      <c r="Z107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20.5</v>
      </c>
      <c r="AA1075" s="1">
        <f>ESTIMATIVA[[#This Row],[QT_CANA_EST]]</f>
        <v>922.5</v>
      </c>
      <c r="AB1075" s="1">
        <f>IF(ESTIMATIVA[[#This Row],[QT_CANA_REST1]]&gt;0,ESTIMATIVA[[#This Row],[QT_CANA_REST1]],
  IF(ESTIMATIVA[[#This Row],[QT_CANA_REAL]]&gt;0,ESTIMATIVA[[#This Row],[QT_CANA_REAL]],ESTIMATIVA[[#This Row],[QT_CANA_EST]]))</f>
        <v>799.07</v>
      </c>
      <c r="AC107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799.07</v>
      </c>
      <c r="AD1075" s="1">
        <f>IF(ESTIMATIVA[[#This Row],[QT_AREA_REAL]]&gt;0,ESTIMATIVA[[#This Row],[QT_CANA_REAL]],ESTIMATIVA[[#This Row],[QT_CANA_EST]])</f>
        <v>799.07</v>
      </c>
      <c r="AE1075" s="1">
        <f>IF(ESTIMATIVA[[#This Row],[QT_AREA_REAL]]&gt;0,ESTIMATIVA[[#This Row],[QT_CANA_REAL]],ESTIMATIVA[[#This Row],[QT_CANA_REST1]])</f>
        <v>799.07</v>
      </c>
      <c r="AF1075" s="1">
        <f>IF(ESTIMATIVA[[#This Row],[QT_AREA_REAL]]&gt;0,ESTIMATIVA[[#This Row],[QT_CANA_REAL]],ESTIMATIVA[[#This Row],[QT_CANA_REST2]])</f>
        <v>799.07</v>
      </c>
      <c r="AG1075" s="1" t="str">
        <f>IF(COUNTIFS(GEADA!A:A,VALUE(ESTIMATIVA[[#This Row],[CD_UPNIVEL1]]&amp;TEXT(ESTIMATIVA[[#This Row],[CD_UPNIVEL3]],"0000")))&gt;0,"S","N")</f>
        <v>N</v>
      </c>
      <c r="AH107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75" s="55" t="str">
        <f>IF(ESTIMATIVA[[#This Row],[TP_CULTIVO]]="Irrigado",_xlfn.MAXIFS(IRRIGADO!J:J,IRRIGADO!C:C,ESTIMATIVA[[#This Row],[CD_UPNIVEL1]],IRRIGADO!E:E,ESTIMATIVA[[#This Row],[CD_UPNIVEL3]]),"")</f>
        <v/>
      </c>
      <c r="AJ107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75" s="1">
        <f>COUNTIFS(Apresentação!$E$23:$E$29,ESTIMATIVA[[#This Row],[CD_UPNIVEL1]])</f>
        <v>0</v>
      </c>
    </row>
    <row r="1076" spans="1:37" x14ac:dyDescent="0.3">
      <c r="A1076">
        <v>20477</v>
      </c>
      <c r="B1076" t="s">
        <v>58</v>
      </c>
      <c r="C1076">
        <v>22</v>
      </c>
      <c r="D1076">
        <v>5</v>
      </c>
      <c r="E1076" t="s">
        <v>268</v>
      </c>
      <c r="F1076" s="85" t="s">
        <v>331</v>
      </c>
      <c r="G1076"/>
      <c r="H1076" t="s">
        <v>294</v>
      </c>
      <c r="I1076" t="s">
        <v>202</v>
      </c>
      <c r="J1076" t="s">
        <v>176</v>
      </c>
      <c r="K1076" s="1">
        <v>38.76</v>
      </c>
      <c r="L1076" s="1">
        <v>0</v>
      </c>
      <c r="M1076" s="1">
        <v>0</v>
      </c>
      <c r="N1076" s="1">
        <v>38.76</v>
      </c>
      <c r="O1076" s="1">
        <v>1744.2</v>
      </c>
      <c r="P1076" s="1">
        <v>0</v>
      </c>
      <c r="Q1076" s="1">
        <v>0</v>
      </c>
      <c r="R1076" s="1">
        <v>1509.94</v>
      </c>
      <c r="S1076" t="s">
        <v>12</v>
      </c>
      <c r="T1076" s="13">
        <v>45746</v>
      </c>
      <c r="U1076" s="1" t="str">
        <f>IF(ESTIMATIVA[[#This Row],[QT_AREA_REAL]]&gt;0,"1- Colhido","2- à Colher")</f>
        <v>1- Colhido</v>
      </c>
      <c r="V1076" s="1" t="str">
        <f>IF(ESTIMATIVA[[#This Row],[QT_AREA_REST1]]&gt;0,"Reestimativa 1",IF(ESTIMATIVA[[#This Row],[QT_AREA_REAL]]=0,"Reestimativa 1","Realizado"))</f>
        <v>Realizado</v>
      </c>
      <c r="W1076" s="1" t="str">
        <f>IF(ESTIMATIVA[[#This Row],[QT_AREA_REST2]]&gt;0,"Reestimativa 2",IF(ESTIMATIVA[[#This Row],[QT_AREA_REAL]]=0,"Reestimativa 2","Realizado"))</f>
        <v>Realizado</v>
      </c>
      <c r="X1076" s="1">
        <f>ESTIMATIVA[[#This Row],[QT_AREA_EST]]</f>
        <v>38.76</v>
      </c>
      <c r="Y1076" s="1">
        <f>IF(ESTIMATIVA[[#This Row],[QT_AREA_REST1]]&gt;0,ESTIMATIVA[[#This Row],[QT_AREA_REST1]],
  IF(ESTIMATIVA[[#This Row],[QT_AREA_REAL]]&gt;0,ESTIMATIVA[[#This Row],[QT_AREA_REAL]],ESTIMATIVA[[#This Row],[QT_AREA_EST]]))</f>
        <v>38.76</v>
      </c>
      <c r="Z107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38.76</v>
      </c>
      <c r="AA1076" s="1">
        <f>ESTIMATIVA[[#This Row],[QT_CANA_EST]]</f>
        <v>1744.2</v>
      </c>
      <c r="AB1076" s="1">
        <f>IF(ESTIMATIVA[[#This Row],[QT_CANA_REST1]]&gt;0,ESTIMATIVA[[#This Row],[QT_CANA_REST1]],
  IF(ESTIMATIVA[[#This Row],[QT_CANA_REAL]]&gt;0,ESTIMATIVA[[#This Row],[QT_CANA_REAL]],ESTIMATIVA[[#This Row],[QT_CANA_EST]]))</f>
        <v>1509.94</v>
      </c>
      <c r="AC107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1509.94</v>
      </c>
      <c r="AD1076" s="1">
        <f>IF(ESTIMATIVA[[#This Row],[QT_AREA_REAL]]&gt;0,ESTIMATIVA[[#This Row],[QT_CANA_REAL]],ESTIMATIVA[[#This Row],[QT_CANA_EST]])</f>
        <v>1509.94</v>
      </c>
      <c r="AE1076" s="1">
        <f>IF(ESTIMATIVA[[#This Row],[QT_AREA_REAL]]&gt;0,ESTIMATIVA[[#This Row],[QT_CANA_REAL]],ESTIMATIVA[[#This Row],[QT_CANA_REST1]])</f>
        <v>1509.94</v>
      </c>
      <c r="AF1076" s="1">
        <f>IF(ESTIMATIVA[[#This Row],[QT_AREA_REAL]]&gt;0,ESTIMATIVA[[#This Row],[QT_CANA_REAL]],ESTIMATIVA[[#This Row],[QT_CANA_REST2]])</f>
        <v>1509.94</v>
      </c>
      <c r="AG1076" s="1" t="str">
        <f>IF(COUNTIFS(GEADA!A:A,VALUE(ESTIMATIVA[[#This Row],[CD_UPNIVEL1]]&amp;TEXT(ESTIMATIVA[[#This Row],[CD_UPNIVEL3]],"0000")))&gt;0,"S","N")</f>
        <v>N</v>
      </c>
      <c r="AH107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76" s="55" t="str">
        <f>IF(ESTIMATIVA[[#This Row],[TP_CULTIVO]]="Irrigado",_xlfn.MAXIFS(IRRIGADO!J:J,IRRIGADO!C:C,ESTIMATIVA[[#This Row],[CD_UPNIVEL1]],IRRIGADO!E:E,ESTIMATIVA[[#This Row],[CD_UPNIVEL3]]),"")</f>
        <v/>
      </c>
      <c r="AJ107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76" s="1">
        <f>COUNTIFS(Apresentação!$E$23:$E$29,ESTIMATIVA[[#This Row],[CD_UPNIVEL1]])</f>
        <v>0</v>
      </c>
    </row>
    <row r="1077" spans="1:37" x14ac:dyDescent="0.3">
      <c r="A1077">
        <v>20477</v>
      </c>
      <c r="B1077" t="s">
        <v>58</v>
      </c>
      <c r="C1077">
        <v>23</v>
      </c>
      <c r="D1077">
        <v>5</v>
      </c>
      <c r="E1077" t="s">
        <v>268</v>
      </c>
      <c r="F1077" s="85" t="s">
        <v>331</v>
      </c>
      <c r="G1077"/>
      <c r="H1077" t="s">
        <v>294</v>
      </c>
      <c r="I1077" t="s">
        <v>202</v>
      </c>
      <c r="J1077" t="s">
        <v>176</v>
      </c>
      <c r="K1077" s="1">
        <v>4.3899999999999997</v>
      </c>
      <c r="L1077" s="1">
        <v>0</v>
      </c>
      <c r="M1077" s="1">
        <v>0</v>
      </c>
      <c r="N1077" s="1">
        <v>4.3899999999999997</v>
      </c>
      <c r="O1077" s="1">
        <v>197.55</v>
      </c>
      <c r="P1077" s="1">
        <v>0</v>
      </c>
      <c r="Q1077" s="1">
        <v>0</v>
      </c>
      <c r="R1077" s="1">
        <v>171.71</v>
      </c>
      <c r="S1077" t="s">
        <v>12</v>
      </c>
      <c r="T1077" s="13">
        <v>45746</v>
      </c>
      <c r="U1077" s="1" t="str">
        <f>IF(ESTIMATIVA[[#This Row],[QT_AREA_REAL]]&gt;0,"1- Colhido","2- à Colher")</f>
        <v>1- Colhido</v>
      </c>
      <c r="V1077" s="1" t="str">
        <f>IF(ESTIMATIVA[[#This Row],[QT_AREA_REST1]]&gt;0,"Reestimativa 1",IF(ESTIMATIVA[[#This Row],[QT_AREA_REAL]]=0,"Reestimativa 1","Realizado"))</f>
        <v>Realizado</v>
      </c>
      <c r="W1077" s="1" t="str">
        <f>IF(ESTIMATIVA[[#This Row],[QT_AREA_REST2]]&gt;0,"Reestimativa 2",IF(ESTIMATIVA[[#This Row],[QT_AREA_REAL]]=0,"Reestimativa 2","Realizado"))</f>
        <v>Realizado</v>
      </c>
      <c r="X1077" s="1">
        <f>ESTIMATIVA[[#This Row],[QT_AREA_EST]]</f>
        <v>4.3899999999999997</v>
      </c>
      <c r="Y1077" s="1">
        <f>IF(ESTIMATIVA[[#This Row],[QT_AREA_REST1]]&gt;0,ESTIMATIVA[[#This Row],[QT_AREA_REST1]],
  IF(ESTIMATIVA[[#This Row],[QT_AREA_REAL]]&gt;0,ESTIMATIVA[[#This Row],[QT_AREA_REAL]],ESTIMATIVA[[#This Row],[QT_AREA_EST]]))</f>
        <v>4.3899999999999997</v>
      </c>
      <c r="Z107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4.3899999999999997</v>
      </c>
      <c r="AA1077" s="1">
        <f>ESTIMATIVA[[#This Row],[QT_CANA_EST]]</f>
        <v>197.55</v>
      </c>
      <c r="AB1077" s="1">
        <f>IF(ESTIMATIVA[[#This Row],[QT_CANA_REST1]]&gt;0,ESTIMATIVA[[#This Row],[QT_CANA_REST1]],
  IF(ESTIMATIVA[[#This Row],[QT_CANA_REAL]]&gt;0,ESTIMATIVA[[#This Row],[QT_CANA_REAL]],ESTIMATIVA[[#This Row],[QT_CANA_EST]]))</f>
        <v>171.71</v>
      </c>
      <c r="AC107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171.71</v>
      </c>
      <c r="AD1077" s="1">
        <f>IF(ESTIMATIVA[[#This Row],[QT_AREA_REAL]]&gt;0,ESTIMATIVA[[#This Row],[QT_CANA_REAL]],ESTIMATIVA[[#This Row],[QT_CANA_EST]])</f>
        <v>171.71</v>
      </c>
      <c r="AE1077" s="1">
        <f>IF(ESTIMATIVA[[#This Row],[QT_AREA_REAL]]&gt;0,ESTIMATIVA[[#This Row],[QT_CANA_REAL]],ESTIMATIVA[[#This Row],[QT_CANA_REST1]])</f>
        <v>171.71</v>
      </c>
      <c r="AF1077" s="1">
        <f>IF(ESTIMATIVA[[#This Row],[QT_AREA_REAL]]&gt;0,ESTIMATIVA[[#This Row],[QT_CANA_REAL]],ESTIMATIVA[[#This Row],[QT_CANA_REST2]])</f>
        <v>171.71</v>
      </c>
      <c r="AG1077" s="1" t="str">
        <f>IF(COUNTIFS(GEADA!A:A,VALUE(ESTIMATIVA[[#This Row],[CD_UPNIVEL1]]&amp;TEXT(ESTIMATIVA[[#This Row],[CD_UPNIVEL3]],"0000")))&gt;0,"S","N")</f>
        <v>N</v>
      </c>
      <c r="AH107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77" s="55" t="str">
        <f>IF(ESTIMATIVA[[#This Row],[TP_CULTIVO]]="Irrigado",_xlfn.MAXIFS(IRRIGADO!J:J,IRRIGADO!C:C,ESTIMATIVA[[#This Row],[CD_UPNIVEL1]],IRRIGADO!E:E,ESTIMATIVA[[#This Row],[CD_UPNIVEL3]]),"")</f>
        <v/>
      </c>
      <c r="AJ107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77" s="1">
        <f>COUNTIFS(Apresentação!$E$23:$E$29,ESTIMATIVA[[#This Row],[CD_UPNIVEL1]])</f>
        <v>0</v>
      </c>
    </row>
    <row r="1078" spans="1:37" x14ac:dyDescent="0.3">
      <c r="A1078">
        <v>20477</v>
      </c>
      <c r="B1078" t="s">
        <v>58</v>
      </c>
      <c r="C1078">
        <v>24</v>
      </c>
      <c r="D1078">
        <v>4</v>
      </c>
      <c r="E1078" t="s">
        <v>265</v>
      </c>
      <c r="F1078" s="85" t="s">
        <v>331</v>
      </c>
      <c r="G1078"/>
      <c r="H1078" t="s">
        <v>294</v>
      </c>
      <c r="I1078" t="s">
        <v>202</v>
      </c>
      <c r="J1078" t="s">
        <v>176</v>
      </c>
      <c r="K1078" s="1">
        <v>5.39</v>
      </c>
      <c r="L1078" s="1">
        <v>0</v>
      </c>
      <c r="M1078" s="1">
        <v>0</v>
      </c>
      <c r="N1078" s="1">
        <v>5.39</v>
      </c>
      <c r="O1078" s="1">
        <v>377.3</v>
      </c>
      <c r="P1078" s="1">
        <v>0</v>
      </c>
      <c r="Q1078" s="1">
        <v>0</v>
      </c>
      <c r="R1078" s="1">
        <v>294.33</v>
      </c>
      <c r="S1078" t="s">
        <v>12</v>
      </c>
      <c r="T1078" s="13">
        <v>45760</v>
      </c>
      <c r="U1078" s="1" t="str">
        <f>IF(ESTIMATIVA[[#This Row],[QT_AREA_REAL]]&gt;0,"1- Colhido","2- à Colher")</f>
        <v>1- Colhido</v>
      </c>
      <c r="V1078" s="1" t="str">
        <f>IF(ESTIMATIVA[[#This Row],[QT_AREA_REST1]]&gt;0,"Reestimativa 1",IF(ESTIMATIVA[[#This Row],[QT_AREA_REAL]]=0,"Reestimativa 1","Realizado"))</f>
        <v>Realizado</v>
      </c>
      <c r="W1078" s="1" t="str">
        <f>IF(ESTIMATIVA[[#This Row],[QT_AREA_REST2]]&gt;0,"Reestimativa 2",IF(ESTIMATIVA[[#This Row],[QT_AREA_REAL]]=0,"Reestimativa 2","Realizado"))</f>
        <v>Realizado</v>
      </c>
      <c r="X1078" s="1">
        <f>ESTIMATIVA[[#This Row],[QT_AREA_EST]]</f>
        <v>5.39</v>
      </c>
      <c r="Y1078" s="1">
        <f>IF(ESTIMATIVA[[#This Row],[QT_AREA_REST1]]&gt;0,ESTIMATIVA[[#This Row],[QT_AREA_REST1]],
  IF(ESTIMATIVA[[#This Row],[QT_AREA_REAL]]&gt;0,ESTIMATIVA[[#This Row],[QT_AREA_REAL]],ESTIMATIVA[[#This Row],[QT_AREA_EST]]))</f>
        <v>5.39</v>
      </c>
      <c r="Z107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5.39</v>
      </c>
      <c r="AA1078" s="1">
        <f>ESTIMATIVA[[#This Row],[QT_CANA_EST]]</f>
        <v>377.3</v>
      </c>
      <c r="AB1078" s="1">
        <f>IF(ESTIMATIVA[[#This Row],[QT_CANA_REST1]]&gt;0,ESTIMATIVA[[#This Row],[QT_CANA_REST1]],
  IF(ESTIMATIVA[[#This Row],[QT_CANA_REAL]]&gt;0,ESTIMATIVA[[#This Row],[QT_CANA_REAL]],ESTIMATIVA[[#This Row],[QT_CANA_EST]]))</f>
        <v>294.33</v>
      </c>
      <c r="AC107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294.33</v>
      </c>
      <c r="AD1078" s="1">
        <f>IF(ESTIMATIVA[[#This Row],[QT_AREA_REAL]]&gt;0,ESTIMATIVA[[#This Row],[QT_CANA_REAL]],ESTIMATIVA[[#This Row],[QT_CANA_EST]])</f>
        <v>294.33</v>
      </c>
      <c r="AE1078" s="1">
        <f>IF(ESTIMATIVA[[#This Row],[QT_AREA_REAL]]&gt;0,ESTIMATIVA[[#This Row],[QT_CANA_REAL]],ESTIMATIVA[[#This Row],[QT_CANA_REST1]])</f>
        <v>294.33</v>
      </c>
      <c r="AF1078" s="1">
        <f>IF(ESTIMATIVA[[#This Row],[QT_AREA_REAL]]&gt;0,ESTIMATIVA[[#This Row],[QT_CANA_REAL]],ESTIMATIVA[[#This Row],[QT_CANA_REST2]])</f>
        <v>294.33</v>
      </c>
      <c r="AG1078" s="1" t="str">
        <f>IF(COUNTIFS(GEADA!A:A,VALUE(ESTIMATIVA[[#This Row],[CD_UPNIVEL1]]&amp;TEXT(ESTIMATIVA[[#This Row],[CD_UPNIVEL3]],"0000")))&gt;0,"S","N")</f>
        <v>N</v>
      </c>
      <c r="AH107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78" s="55" t="str">
        <f>IF(ESTIMATIVA[[#This Row],[TP_CULTIVO]]="Irrigado",_xlfn.MAXIFS(IRRIGADO!J:J,IRRIGADO!C:C,ESTIMATIVA[[#This Row],[CD_UPNIVEL1]],IRRIGADO!E:E,ESTIMATIVA[[#This Row],[CD_UPNIVEL3]]),"")</f>
        <v/>
      </c>
      <c r="AJ107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78" s="1">
        <f>COUNTIFS(Apresentação!$E$23:$E$29,ESTIMATIVA[[#This Row],[CD_UPNIVEL1]])</f>
        <v>0</v>
      </c>
    </row>
    <row r="1079" spans="1:37" x14ac:dyDescent="0.3">
      <c r="A1079">
        <v>20477</v>
      </c>
      <c r="B1079" t="s">
        <v>58</v>
      </c>
      <c r="C1079">
        <v>25</v>
      </c>
      <c r="D1079">
        <v>4</v>
      </c>
      <c r="E1079" t="s">
        <v>265</v>
      </c>
      <c r="F1079" s="85" t="s">
        <v>331</v>
      </c>
      <c r="G1079"/>
      <c r="H1079" t="s">
        <v>294</v>
      </c>
      <c r="I1079" t="s">
        <v>202</v>
      </c>
      <c r="J1079" t="s">
        <v>176</v>
      </c>
      <c r="K1079" s="1">
        <v>0.88</v>
      </c>
      <c r="L1079" s="1">
        <v>0</v>
      </c>
      <c r="M1079" s="1">
        <v>0</v>
      </c>
      <c r="N1079" s="1">
        <v>0.88</v>
      </c>
      <c r="O1079" s="1">
        <v>61.6</v>
      </c>
      <c r="P1079" s="1">
        <v>0</v>
      </c>
      <c r="Q1079" s="1">
        <v>0</v>
      </c>
      <c r="R1079" s="1">
        <v>49.91</v>
      </c>
      <c r="S1079" t="s">
        <v>12</v>
      </c>
      <c r="T1079" s="13">
        <v>45760</v>
      </c>
      <c r="U1079" s="1" t="str">
        <f>IF(ESTIMATIVA[[#This Row],[QT_AREA_REAL]]&gt;0,"1- Colhido","2- à Colher")</f>
        <v>1- Colhido</v>
      </c>
      <c r="V1079" s="1" t="str">
        <f>IF(ESTIMATIVA[[#This Row],[QT_AREA_REST1]]&gt;0,"Reestimativa 1",IF(ESTIMATIVA[[#This Row],[QT_AREA_REAL]]=0,"Reestimativa 1","Realizado"))</f>
        <v>Realizado</v>
      </c>
      <c r="W1079" s="1" t="str">
        <f>IF(ESTIMATIVA[[#This Row],[QT_AREA_REST2]]&gt;0,"Reestimativa 2",IF(ESTIMATIVA[[#This Row],[QT_AREA_REAL]]=0,"Reestimativa 2","Realizado"))</f>
        <v>Realizado</v>
      </c>
      <c r="X1079" s="1">
        <f>ESTIMATIVA[[#This Row],[QT_AREA_EST]]</f>
        <v>0.88</v>
      </c>
      <c r="Y1079" s="1">
        <f>IF(ESTIMATIVA[[#This Row],[QT_AREA_REST1]]&gt;0,ESTIMATIVA[[#This Row],[QT_AREA_REST1]],
  IF(ESTIMATIVA[[#This Row],[QT_AREA_REAL]]&gt;0,ESTIMATIVA[[#This Row],[QT_AREA_REAL]],ESTIMATIVA[[#This Row],[QT_AREA_EST]]))</f>
        <v>0.88</v>
      </c>
      <c r="Z107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0.88</v>
      </c>
      <c r="AA1079" s="1">
        <f>ESTIMATIVA[[#This Row],[QT_CANA_EST]]</f>
        <v>61.6</v>
      </c>
      <c r="AB1079" s="1">
        <f>IF(ESTIMATIVA[[#This Row],[QT_CANA_REST1]]&gt;0,ESTIMATIVA[[#This Row],[QT_CANA_REST1]],
  IF(ESTIMATIVA[[#This Row],[QT_CANA_REAL]]&gt;0,ESTIMATIVA[[#This Row],[QT_CANA_REAL]],ESTIMATIVA[[#This Row],[QT_CANA_EST]]))</f>
        <v>49.91</v>
      </c>
      <c r="AC107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49.91</v>
      </c>
      <c r="AD1079" s="1">
        <f>IF(ESTIMATIVA[[#This Row],[QT_AREA_REAL]]&gt;0,ESTIMATIVA[[#This Row],[QT_CANA_REAL]],ESTIMATIVA[[#This Row],[QT_CANA_EST]])</f>
        <v>49.91</v>
      </c>
      <c r="AE1079" s="1">
        <f>IF(ESTIMATIVA[[#This Row],[QT_AREA_REAL]]&gt;0,ESTIMATIVA[[#This Row],[QT_CANA_REAL]],ESTIMATIVA[[#This Row],[QT_CANA_REST1]])</f>
        <v>49.91</v>
      </c>
      <c r="AF1079" s="1">
        <f>IF(ESTIMATIVA[[#This Row],[QT_AREA_REAL]]&gt;0,ESTIMATIVA[[#This Row],[QT_CANA_REAL]],ESTIMATIVA[[#This Row],[QT_CANA_REST2]])</f>
        <v>49.91</v>
      </c>
      <c r="AG1079" s="1" t="str">
        <f>IF(COUNTIFS(GEADA!A:A,VALUE(ESTIMATIVA[[#This Row],[CD_UPNIVEL1]]&amp;TEXT(ESTIMATIVA[[#This Row],[CD_UPNIVEL3]],"0000")))&gt;0,"S","N")</f>
        <v>N</v>
      </c>
      <c r="AH107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79" s="55" t="str">
        <f>IF(ESTIMATIVA[[#This Row],[TP_CULTIVO]]="Irrigado",_xlfn.MAXIFS(IRRIGADO!J:J,IRRIGADO!C:C,ESTIMATIVA[[#This Row],[CD_UPNIVEL1]],IRRIGADO!E:E,ESTIMATIVA[[#This Row],[CD_UPNIVEL3]]),"")</f>
        <v/>
      </c>
      <c r="AJ107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79" s="1">
        <f>COUNTIFS(Apresentação!$E$23:$E$29,ESTIMATIVA[[#This Row],[CD_UPNIVEL1]])</f>
        <v>0</v>
      </c>
    </row>
    <row r="1080" spans="1:37" x14ac:dyDescent="0.3">
      <c r="A1080">
        <v>20478</v>
      </c>
      <c r="B1080" t="s">
        <v>59</v>
      </c>
      <c r="C1080">
        <v>1</v>
      </c>
      <c r="D1080">
        <v>1</v>
      </c>
      <c r="E1080" t="s">
        <v>264</v>
      </c>
      <c r="F1080" s="85" t="s">
        <v>333</v>
      </c>
      <c r="G1080"/>
      <c r="H1080" t="s">
        <v>294</v>
      </c>
      <c r="I1080" t="s">
        <v>199</v>
      </c>
      <c r="J1080" t="s">
        <v>176</v>
      </c>
      <c r="K1080" s="1">
        <v>22.43</v>
      </c>
      <c r="L1080" s="1">
        <v>0</v>
      </c>
      <c r="M1080" s="1">
        <v>0</v>
      </c>
      <c r="N1080" s="1">
        <v>22.43</v>
      </c>
      <c r="O1080" s="1">
        <v>2243</v>
      </c>
      <c r="P1080" s="1">
        <v>0</v>
      </c>
      <c r="Q1080" s="1">
        <v>0</v>
      </c>
      <c r="R1080" s="1">
        <v>1990.69</v>
      </c>
      <c r="S1080" t="s">
        <v>12</v>
      </c>
      <c r="T1080" s="13">
        <v>45809</v>
      </c>
      <c r="U1080" s="1" t="str">
        <f>IF(ESTIMATIVA[[#This Row],[QT_AREA_REAL]]&gt;0,"1- Colhido","2- à Colher")</f>
        <v>1- Colhido</v>
      </c>
      <c r="V1080" s="1" t="str">
        <f>IF(ESTIMATIVA[[#This Row],[QT_AREA_REST1]]&gt;0,"Reestimativa 1",IF(ESTIMATIVA[[#This Row],[QT_AREA_REAL]]=0,"Reestimativa 1","Realizado"))</f>
        <v>Realizado</v>
      </c>
      <c r="W1080" s="1" t="str">
        <f>IF(ESTIMATIVA[[#This Row],[QT_AREA_REST2]]&gt;0,"Reestimativa 2",IF(ESTIMATIVA[[#This Row],[QT_AREA_REAL]]=0,"Reestimativa 2","Realizado"))</f>
        <v>Realizado</v>
      </c>
      <c r="X1080" s="1">
        <f>ESTIMATIVA[[#This Row],[QT_AREA_EST]]</f>
        <v>22.43</v>
      </c>
      <c r="Y1080" s="1">
        <f>IF(ESTIMATIVA[[#This Row],[QT_AREA_REST1]]&gt;0,ESTIMATIVA[[#This Row],[QT_AREA_REST1]],
  IF(ESTIMATIVA[[#This Row],[QT_AREA_REAL]]&gt;0,ESTIMATIVA[[#This Row],[QT_AREA_REAL]],ESTIMATIVA[[#This Row],[QT_AREA_EST]]))</f>
        <v>22.43</v>
      </c>
      <c r="Z108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22.43</v>
      </c>
      <c r="AA1080" s="1">
        <f>ESTIMATIVA[[#This Row],[QT_CANA_EST]]</f>
        <v>2243</v>
      </c>
      <c r="AB1080" s="1">
        <f>IF(ESTIMATIVA[[#This Row],[QT_CANA_REST1]]&gt;0,ESTIMATIVA[[#This Row],[QT_CANA_REST1]],
  IF(ESTIMATIVA[[#This Row],[QT_CANA_REAL]]&gt;0,ESTIMATIVA[[#This Row],[QT_CANA_REAL]],ESTIMATIVA[[#This Row],[QT_CANA_EST]]))</f>
        <v>1990.69</v>
      </c>
      <c r="AC108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1990.69</v>
      </c>
      <c r="AD1080" s="1">
        <f>IF(ESTIMATIVA[[#This Row],[QT_AREA_REAL]]&gt;0,ESTIMATIVA[[#This Row],[QT_CANA_REAL]],ESTIMATIVA[[#This Row],[QT_CANA_EST]])</f>
        <v>1990.69</v>
      </c>
      <c r="AE1080" s="1">
        <f>IF(ESTIMATIVA[[#This Row],[QT_AREA_REAL]]&gt;0,ESTIMATIVA[[#This Row],[QT_CANA_REAL]],ESTIMATIVA[[#This Row],[QT_CANA_REST1]])</f>
        <v>1990.69</v>
      </c>
      <c r="AF1080" s="1">
        <f>IF(ESTIMATIVA[[#This Row],[QT_AREA_REAL]]&gt;0,ESTIMATIVA[[#This Row],[QT_CANA_REAL]],ESTIMATIVA[[#This Row],[QT_CANA_REST2]])</f>
        <v>1990.69</v>
      </c>
      <c r="AG1080" s="1" t="str">
        <f>IF(COUNTIFS(GEADA!A:A,VALUE(ESTIMATIVA[[#This Row],[CD_UPNIVEL1]]&amp;TEXT(ESTIMATIVA[[#This Row],[CD_UPNIVEL3]],"0000")))&gt;0,"S","N")</f>
        <v>N</v>
      </c>
      <c r="AH108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80" s="55" t="str">
        <f>IF(ESTIMATIVA[[#This Row],[TP_CULTIVO]]="Irrigado",_xlfn.MAXIFS(IRRIGADO!J:J,IRRIGADO!C:C,ESTIMATIVA[[#This Row],[CD_UPNIVEL1]],IRRIGADO!E:E,ESTIMATIVA[[#This Row],[CD_UPNIVEL3]]),"")</f>
        <v/>
      </c>
      <c r="AJ108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80" s="1">
        <f>COUNTIFS(Apresentação!$E$23:$E$29,ESTIMATIVA[[#This Row],[CD_UPNIVEL1]])</f>
        <v>0</v>
      </c>
    </row>
    <row r="1081" spans="1:37" x14ac:dyDescent="0.3">
      <c r="A1081">
        <v>20479</v>
      </c>
      <c r="B1081" t="s">
        <v>36</v>
      </c>
      <c r="C1081">
        <v>2</v>
      </c>
      <c r="D1081">
        <v>2</v>
      </c>
      <c r="E1081" t="s">
        <v>266</v>
      </c>
      <c r="F1081" s="85" t="s">
        <v>331</v>
      </c>
      <c r="G1081"/>
      <c r="H1081" t="s">
        <v>294</v>
      </c>
      <c r="I1081" t="s">
        <v>205</v>
      </c>
      <c r="J1081" t="s">
        <v>176</v>
      </c>
      <c r="K1081" s="1">
        <v>18.22</v>
      </c>
      <c r="L1081" s="1">
        <v>18.22</v>
      </c>
      <c r="M1081" s="1">
        <v>0</v>
      </c>
      <c r="N1081" s="1">
        <v>18.22</v>
      </c>
      <c r="O1081" s="1">
        <v>1639.8</v>
      </c>
      <c r="P1081" s="1">
        <v>1676.24</v>
      </c>
      <c r="Q1081" s="1">
        <v>0</v>
      </c>
      <c r="R1081" s="1">
        <v>1497.97</v>
      </c>
      <c r="S1081" t="s">
        <v>12</v>
      </c>
      <c r="T1081" s="13">
        <v>45907</v>
      </c>
      <c r="U1081" s="1" t="str">
        <f>IF(ESTIMATIVA[[#This Row],[QT_AREA_REAL]]&gt;0,"1- Colhido","2- à Colher")</f>
        <v>1- Colhido</v>
      </c>
      <c r="V1081" s="1" t="str">
        <f>IF(ESTIMATIVA[[#This Row],[QT_AREA_REST1]]&gt;0,"Reestimativa 1",IF(ESTIMATIVA[[#This Row],[QT_AREA_REAL]]=0,"Reestimativa 1","Realizado"))</f>
        <v>Reestimativa 1</v>
      </c>
      <c r="W1081" s="1" t="str">
        <f>IF(ESTIMATIVA[[#This Row],[QT_AREA_REST2]]&gt;0,"Reestimativa 2",IF(ESTIMATIVA[[#This Row],[QT_AREA_REAL]]=0,"Reestimativa 2","Realizado"))</f>
        <v>Realizado</v>
      </c>
      <c r="X1081" s="1">
        <f>ESTIMATIVA[[#This Row],[QT_AREA_EST]]</f>
        <v>18.22</v>
      </c>
      <c r="Y1081" s="1">
        <f>IF(ESTIMATIVA[[#This Row],[QT_AREA_REST1]]&gt;0,ESTIMATIVA[[#This Row],[QT_AREA_REST1]],
  IF(ESTIMATIVA[[#This Row],[QT_AREA_REAL]]&gt;0,ESTIMATIVA[[#This Row],[QT_AREA_REAL]],ESTIMATIVA[[#This Row],[QT_AREA_EST]]))</f>
        <v>18.22</v>
      </c>
      <c r="Z108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18.22</v>
      </c>
      <c r="AA1081" s="1">
        <f>ESTIMATIVA[[#This Row],[QT_CANA_EST]]</f>
        <v>1639.8</v>
      </c>
      <c r="AB1081" s="1">
        <f>IF(ESTIMATIVA[[#This Row],[QT_CANA_REST1]]&gt;0,ESTIMATIVA[[#This Row],[QT_CANA_REST1]],
  IF(ESTIMATIVA[[#This Row],[QT_CANA_REAL]]&gt;0,ESTIMATIVA[[#This Row],[QT_CANA_REAL]],ESTIMATIVA[[#This Row],[QT_CANA_EST]]))</f>
        <v>1676.24</v>
      </c>
      <c r="AC108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1497.97</v>
      </c>
      <c r="AD1081" s="1">
        <f>IF(ESTIMATIVA[[#This Row],[QT_AREA_REAL]]&gt;0,ESTIMATIVA[[#This Row],[QT_CANA_REAL]],ESTIMATIVA[[#This Row],[QT_CANA_EST]])</f>
        <v>1497.97</v>
      </c>
      <c r="AE1081" s="1">
        <f>IF(ESTIMATIVA[[#This Row],[QT_AREA_REAL]]&gt;0,ESTIMATIVA[[#This Row],[QT_CANA_REAL]],ESTIMATIVA[[#This Row],[QT_CANA_REST1]])</f>
        <v>1497.97</v>
      </c>
      <c r="AF1081" s="1">
        <f>IF(ESTIMATIVA[[#This Row],[QT_AREA_REAL]]&gt;0,ESTIMATIVA[[#This Row],[QT_CANA_REAL]],ESTIMATIVA[[#This Row],[QT_CANA_REST2]])</f>
        <v>1497.97</v>
      </c>
      <c r="AG1081" s="1" t="str">
        <f>IF(COUNTIFS(GEADA!A:A,VALUE(ESTIMATIVA[[#This Row],[CD_UPNIVEL1]]&amp;TEXT(ESTIMATIVA[[#This Row],[CD_UPNIVEL3]],"0000")))&gt;0,"S","N")</f>
        <v>N</v>
      </c>
      <c r="AH108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81" s="55" t="str">
        <f>IF(ESTIMATIVA[[#This Row],[TP_CULTIVO]]="Irrigado",_xlfn.MAXIFS(IRRIGADO!J:J,IRRIGADO!C:C,ESTIMATIVA[[#This Row],[CD_UPNIVEL1]],IRRIGADO!E:E,ESTIMATIVA[[#This Row],[CD_UPNIVEL3]]),"")</f>
        <v/>
      </c>
      <c r="AJ108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81" s="1">
        <f>COUNTIFS(Apresentação!$E$23:$E$29,ESTIMATIVA[[#This Row],[CD_UPNIVEL1]])</f>
        <v>0</v>
      </c>
    </row>
    <row r="1082" spans="1:37" x14ac:dyDescent="0.3">
      <c r="A1082">
        <v>20479</v>
      </c>
      <c r="B1082" t="s">
        <v>36</v>
      </c>
      <c r="C1082">
        <v>3</v>
      </c>
      <c r="D1082">
        <v>2</v>
      </c>
      <c r="E1082" t="s">
        <v>266</v>
      </c>
      <c r="F1082" s="85" t="s">
        <v>333</v>
      </c>
      <c r="G1082"/>
      <c r="H1082" t="s">
        <v>294</v>
      </c>
      <c r="I1082" t="s">
        <v>205</v>
      </c>
      <c r="J1082" t="s">
        <v>176</v>
      </c>
      <c r="K1082" s="1">
        <v>5.57</v>
      </c>
      <c r="L1082" s="1">
        <v>5.57</v>
      </c>
      <c r="M1082" s="1">
        <v>0</v>
      </c>
      <c r="N1082" s="1">
        <v>5.57</v>
      </c>
      <c r="O1082" s="1">
        <v>473.45</v>
      </c>
      <c r="P1082" s="1">
        <v>445.6</v>
      </c>
      <c r="Q1082" s="1">
        <v>0</v>
      </c>
      <c r="R1082" s="1">
        <v>398.59</v>
      </c>
      <c r="S1082" t="s">
        <v>12</v>
      </c>
      <c r="T1082" s="13">
        <v>45907</v>
      </c>
      <c r="U1082" s="1" t="str">
        <f>IF(ESTIMATIVA[[#This Row],[QT_AREA_REAL]]&gt;0,"1- Colhido","2- à Colher")</f>
        <v>1- Colhido</v>
      </c>
      <c r="V1082" s="1" t="str">
        <f>IF(ESTIMATIVA[[#This Row],[QT_AREA_REST1]]&gt;0,"Reestimativa 1",IF(ESTIMATIVA[[#This Row],[QT_AREA_REAL]]=0,"Reestimativa 1","Realizado"))</f>
        <v>Reestimativa 1</v>
      </c>
      <c r="W1082" s="1" t="str">
        <f>IF(ESTIMATIVA[[#This Row],[QT_AREA_REST2]]&gt;0,"Reestimativa 2",IF(ESTIMATIVA[[#This Row],[QT_AREA_REAL]]=0,"Reestimativa 2","Realizado"))</f>
        <v>Realizado</v>
      </c>
      <c r="X1082" s="1">
        <f>ESTIMATIVA[[#This Row],[QT_AREA_EST]]</f>
        <v>5.57</v>
      </c>
      <c r="Y1082" s="1">
        <f>IF(ESTIMATIVA[[#This Row],[QT_AREA_REST1]]&gt;0,ESTIMATIVA[[#This Row],[QT_AREA_REST1]],
  IF(ESTIMATIVA[[#This Row],[QT_AREA_REAL]]&gt;0,ESTIMATIVA[[#This Row],[QT_AREA_REAL]],ESTIMATIVA[[#This Row],[QT_AREA_EST]]))</f>
        <v>5.57</v>
      </c>
      <c r="Z108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5.57</v>
      </c>
      <c r="AA1082" s="1">
        <f>ESTIMATIVA[[#This Row],[QT_CANA_EST]]</f>
        <v>473.45</v>
      </c>
      <c r="AB1082" s="1">
        <f>IF(ESTIMATIVA[[#This Row],[QT_CANA_REST1]]&gt;0,ESTIMATIVA[[#This Row],[QT_CANA_REST1]],
  IF(ESTIMATIVA[[#This Row],[QT_CANA_REAL]]&gt;0,ESTIMATIVA[[#This Row],[QT_CANA_REAL]],ESTIMATIVA[[#This Row],[QT_CANA_EST]]))</f>
        <v>445.6</v>
      </c>
      <c r="AC108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398.59</v>
      </c>
      <c r="AD1082" s="1">
        <f>IF(ESTIMATIVA[[#This Row],[QT_AREA_REAL]]&gt;0,ESTIMATIVA[[#This Row],[QT_CANA_REAL]],ESTIMATIVA[[#This Row],[QT_CANA_EST]])</f>
        <v>398.59</v>
      </c>
      <c r="AE1082" s="1">
        <f>IF(ESTIMATIVA[[#This Row],[QT_AREA_REAL]]&gt;0,ESTIMATIVA[[#This Row],[QT_CANA_REAL]],ESTIMATIVA[[#This Row],[QT_CANA_REST1]])</f>
        <v>398.59</v>
      </c>
      <c r="AF1082" s="1">
        <f>IF(ESTIMATIVA[[#This Row],[QT_AREA_REAL]]&gt;0,ESTIMATIVA[[#This Row],[QT_CANA_REAL]],ESTIMATIVA[[#This Row],[QT_CANA_REST2]])</f>
        <v>398.59</v>
      </c>
      <c r="AG1082" s="1" t="str">
        <f>IF(COUNTIFS(GEADA!A:A,VALUE(ESTIMATIVA[[#This Row],[CD_UPNIVEL1]]&amp;TEXT(ESTIMATIVA[[#This Row],[CD_UPNIVEL3]],"0000")))&gt;0,"S","N")</f>
        <v>N</v>
      </c>
      <c r="AH108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82" s="55" t="str">
        <f>IF(ESTIMATIVA[[#This Row],[TP_CULTIVO]]="Irrigado",_xlfn.MAXIFS(IRRIGADO!J:J,IRRIGADO!C:C,ESTIMATIVA[[#This Row],[CD_UPNIVEL1]],IRRIGADO!E:E,ESTIMATIVA[[#This Row],[CD_UPNIVEL3]]),"")</f>
        <v/>
      </c>
      <c r="AJ108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82" s="1">
        <f>COUNTIFS(Apresentação!$E$23:$E$29,ESTIMATIVA[[#This Row],[CD_UPNIVEL1]])</f>
        <v>0</v>
      </c>
    </row>
    <row r="1083" spans="1:37" x14ac:dyDescent="0.3">
      <c r="A1083">
        <v>20479</v>
      </c>
      <c r="B1083" t="s">
        <v>36</v>
      </c>
      <c r="C1083">
        <v>4</v>
      </c>
      <c r="D1083">
        <v>2</v>
      </c>
      <c r="E1083" t="s">
        <v>266</v>
      </c>
      <c r="F1083" s="85" t="s">
        <v>331</v>
      </c>
      <c r="G1083"/>
      <c r="H1083" t="s">
        <v>294</v>
      </c>
      <c r="I1083" t="s">
        <v>205</v>
      </c>
      <c r="J1083" t="s">
        <v>176</v>
      </c>
      <c r="K1083" s="1">
        <v>21.05</v>
      </c>
      <c r="L1083" s="1">
        <v>21.05</v>
      </c>
      <c r="M1083" s="1">
        <v>0</v>
      </c>
      <c r="N1083" s="1">
        <v>21.05</v>
      </c>
      <c r="O1083" s="1">
        <v>1789.25</v>
      </c>
      <c r="P1083" s="1">
        <v>1894.5</v>
      </c>
      <c r="Q1083" s="1">
        <v>0</v>
      </c>
      <c r="R1083" s="1">
        <v>1693.86</v>
      </c>
      <c r="S1083" t="s">
        <v>12</v>
      </c>
      <c r="T1083" s="13">
        <v>45907</v>
      </c>
      <c r="U1083" s="1" t="str">
        <f>IF(ESTIMATIVA[[#This Row],[QT_AREA_REAL]]&gt;0,"1- Colhido","2- à Colher")</f>
        <v>1- Colhido</v>
      </c>
      <c r="V1083" s="1" t="str">
        <f>IF(ESTIMATIVA[[#This Row],[QT_AREA_REST1]]&gt;0,"Reestimativa 1",IF(ESTIMATIVA[[#This Row],[QT_AREA_REAL]]=0,"Reestimativa 1","Realizado"))</f>
        <v>Reestimativa 1</v>
      </c>
      <c r="W1083" s="1" t="str">
        <f>IF(ESTIMATIVA[[#This Row],[QT_AREA_REST2]]&gt;0,"Reestimativa 2",IF(ESTIMATIVA[[#This Row],[QT_AREA_REAL]]=0,"Reestimativa 2","Realizado"))</f>
        <v>Realizado</v>
      </c>
      <c r="X1083" s="1">
        <f>ESTIMATIVA[[#This Row],[QT_AREA_EST]]</f>
        <v>21.05</v>
      </c>
      <c r="Y1083" s="1">
        <f>IF(ESTIMATIVA[[#This Row],[QT_AREA_REST1]]&gt;0,ESTIMATIVA[[#This Row],[QT_AREA_REST1]],
  IF(ESTIMATIVA[[#This Row],[QT_AREA_REAL]]&gt;0,ESTIMATIVA[[#This Row],[QT_AREA_REAL]],ESTIMATIVA[[#This Row],[QT_AREA_EST]]))</f>
        <v>21.05</v>
      </c>
      <c r="Z108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21.05</v>
      </c>
      <c r="AA1083" s="1">
        <f>ESTIMATIVA[[#This Row],[QT_CANA_EST]]</f>
        <v>1789.25</v>
      </c>
      <c r="AB1083" s="1">
        <f>IF(ESTIMATIVA[[#This Row],[QT_CANA_REST1]]&gt;0,ESTIMATIVA[[#This Row],[QT_CANA_REST1]],
  IF(ESTIMATIVA[[#This Row],[QT_CANA_REAL]]&gt;0,ESTIMATIVA[[#This Row],[QT_CANA_REAL]],ESTIMATIVA[[#This Row],[QT_CANA_EST]]))</f>
        <v>1894.5</v>
      </c>
      <c r="AC108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1693.86</v>
      </c>
      <c r="AD1083" s="1">
        <f>IF(ESTIMATIVA[[#This Row],[QT_AREA_REAL]]&gt;0,ESTIMATIVA[[#This Row],[QT_CANA_REAL]],ESTIMATIVA[[#This Row],[QT_CANA_EST]])</f>
        <v>1693.86</v>
      </c>
      <c r="AE1083" s="1">
        <f>IF(ESTIMATIVA[[#This Row],[QT_AREA_REAL]]&gt;0,ESTIMATIVA[[#This Row],[QT_CANA_REAL]],ESTIMATIVA[[#This Row],[QT_CANA_REST1]])</f>
        <v>1693.86</v>
      </c>
      <c r="AF1083" s="1">
        <f>IF(ESTIMATIVA[[#This Row],[QT_AREA_REAL]]&gt;0,ESTIMATIVA[[#This Row],[QT_CANA_REAL]],ESTIMATIVA[[#This Row],[QT_CANA_REST2]])</f>
        <v>1693.86</v>
      </c>
      <c r="AG1083" s="1" t="str">
        <f>IF(COUNTIFS(GEADA!A:A,VALUE(ESTIMATIVA[[#This Row],[CD_UPNIVEL1]]&amp;TEXT(ESTIMATIVA[[#This Row],[CD_UPNIVEL3]],"0000")))&gt;0,"S","N")</f>
        <v>N</v>
      </c>
      <c r="AH108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83" s="55" t="str">
        <f>IF(ESTIMATIVA[[#This Row],[TP_CULTIVO]]="Irrigado",_xlfn.MAXIFS(IRRIGADO!J:J,IRRIGADO!C:C,ESTIMATIVA[[#This Row],[CD_UPNIVEL1]],IRRIGADO!E:E,ESTIMATIVA[[#This Row],[CD_UPNIVEL3]]),"")</f>
        <v/>
      </c>
      <c r="AJ108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83" s="1">
        <f>COUNTIFS(Apresentação!$E$23:$E$29,ESTIMATIVA[[#This Row],[CD_UPNIVEL1]])</f>
        <v>0</v>
      </c>
    </row>
    <row r="1084" spans="1:37" x14ac:dyDescent="0.3">
      <c r="A1084">
        <v>20479</v>
      </c>
      <c r="B1084" t="s">
        <v>36</v>
      </c>
      <c r="C1084">
        <v>5</v>
      </c>
      <c r="D1084">
        <v>2</v>
      </c>
      <c r="E1084" t="s">
        <v>266</v>
      </c>
      <c r="F1084" s="85" t="s">
        <v>331</v>
      </c>
      <c r="G1084"/>
      <c r="H1084" t="s">
        <v>294</v>
      </c>
      <c r="I1084" t="s">
        <v>205</v>
      </c>
      <c r="J1084" t="s">
        <v>176</v>
      </c>
      <c r="K1084" s="1">
        <v>11.41</v>
      </c>
      <c r="L1084" s="1">
        <v>11.41</v>
      </c>
      <c r="M1084" s="1">
        <v>0</v>
      </c>
      <c r="N1084" s="1">
        <v>11.41</v>
      </c>
      <c r="O1084" s="1">
        <v>969.85</v>
      </c>
      <c r="P1084" s="1">
        <v>1026.9000000000001</v>
      </c>
      <c r="Q1084" s="1">
        <v>0</v>
      </c>
      <c r="R1084" s="1">
        <v>1308.51</v>
      </c>
      <c r="S1084" t="s">
        <v>12</v>
      </c>
      <c r="T1084" s="13">
        <v>45907</v>
      </c>
      <c r="U1084" s="1" t="str">
        <f>IF(ESTIMATIVA[[#This Row],[QT_AREA_REAL]]&gt;0,"1- Colhido","2- à Colher")</f>
        <v>1- Colhido</v>
      </c>
      <c r="V1084" s="1" t="str">
        <f>IF(ESTIMATIVA[[#This Row],[QT_AREA_REST1]]&gt;0,"Reestimativa 1",IF(ESTIMATIVA[[#This Row],[QT_AREA_REAL]]=0,"Reestimativa 1","Realizado"))</f>
        <v>Reestimativa 1</v>
      </c>
      <c r="W1084" s="1" t="str">
        <f>IF(ESTIMATIVA[[#This Row],[QT_AREA_REST2]]&gt;0,"Reestimativa 2",IF(ESTIMATIVA[[#This Row],[QT_AREA_REAL]]=0,"Reestimativa 2","Realizado"))</f>
        <v>Realizado</v>
      </c>
      <c r="X1084" s="1">
        <f>ESTIMATIVA[[#This Row],[QT_AREA_EST]]</f>
        <v>11.41</v>
      </c>
      <c r="Y1084" s="1">
        <f>IF(ESTIMATIVA[[#This Row],[QT_AREA_REST1]]&gt;0,ESTIMATIVA[[#This Row],[QT_AREA_REST1]],
  IF(ESTIMATIVA[[#This Row],[QT_AREA_REAL]]&gt;0,ESTIMATIVA[[#This Row],[QT_AREA_REAL]],ESTIMATIVA[[#This Row],[QT_AREA_EST]]))</f>
        <v>11.41</v>
      </c>
      <c r="Z108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11.41</v>
      </c>
      <c r="AA1084" s="1">
        <f>ESTIMATIVA[[#This Row],[QT_CANA_EST]]</f>
        <v>969.85</v>
      </c>
      <c r="AB1084" s="1">
        <f>IF(ESTIMATIVA[[#This Row],[QT_CANA_REST1]]&gt;0,ESTIMATIVA[[#This Row],[QT_CANA_REST1]],
  IF(ESTIMATIVA[[#This Row],[QT_CANA_REAL]]&gt;0,ESTIMATIVA[[#This Row],[QT_CANA_REAL]],ESTIMATIVA[[#This Row],[QT_CANA_EST]]))</f>
        <v>1026.9000000000001</v>
      </c>
      <c r="AC108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1308.51</v>
      </c>
      <c r="AD1084" s="1">
        <f>IF(ESTIMATIVA[[#This Row],[QT_AREA_REAL]]&gt;0,ESTIMATIVA[[#This Row],[QT_CANA_REAL]],ESTIMATIVA[[#This Row],[QT_CANA_EST]])</f>
        <v>1308.51</v>
      </c>
      <c r="AE1084" s="1">
        <f>IF(ESTIMATIVA[[#This Row],[QT_AREA_REAL]]&gt;0,ESTIMATIVA[[#This Row],[QT_CANA_REAL]],ESTIMATIVA[[#This Row],[QT_CANA_REST1]])</f>
        <v>1308.51</v>
      </c>
      <c r="AF1084" s="1">
        <f>IF(ESTIMATIVA[[#This Row],[QT_AREA_REAL]]&gt;0,ESTIMATIVA[[#This Row],[QT_CANA_REAL]],ESTIMATIVA[[#This Row],[QT_CANA_REST2]])</f>
        <v>1308.51</v>
      </c>
      <c r="AG1084" s="1" t="str">
        <f>IF(COUNTIFS(GEADA!A:A,VALUE(ESTIMATIVA[[#This Row],[CD_UPNIVEL1]]&amp;TEXT(ESTIMATIVA[[#This Row],[CD_UPNIVEL3]],"0000")))&gt;0,"S","N")</f>
        <v>N</v>
      </c>
      <c r="AH108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84" s="55" t="str">
        <f>IF(ESTIMATIVA[[#This Row],[TP_CULTIVO]]="Irrigado",_xlfn.MAXIFS(IRRIGADO!J:J,IRRIGADO!C:C,ESTIMATIVA[[#This Row],[CD_UPNIVEL1]],IRRIGADO!E:E,ESTIMATIVA[[#This Row],[CD_UPNIVEL3]]),"")</f>
        <v/>
      </c>
      <c r="AJ108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84" s="1">
        <f>COUNTIFS(Apresentação!$E$23:$E$29,ESTIMATIVA[[#This Row],[CD_UPNIVEL1]])</f>
        <v>0</v>
      </c>
    </row>
    <row r="1085" spans="1:37" x14ac:dyDescent="0.3">
      <c r="A1085">
        <v>20482</v>
      </c>
      <c r="B1085" t="s">
        <v>60</v>
      </c>
      <c r="C1085">
        <v>1</v>
      </c>
      <c r="D1085">
        <v>1</v>
      </c>
      <c r="E1085" t="s">
        <v>267</v>
      </c>
      <c r="F1085" s="85" t="s">
        <v>331</v>
      </c>
      <c r="G1085"/>
      <c r="H1085" t="s">
        <v>294</v>
      </c>
      <c r="I1085" t="s">
        <v>205</v>
      </c>
      <c r="J1085" t="s">
        <v>176</v>
      </c>
      <c r="K1085" s="1">
        <v>53.78</v>
      </c>
      <c r="L1085" s="1">
        <v>53.78</v>
      </c>
      <c r="M1085" s="1">
        <v>0</v>
      </c>
      <c r="N1085" s="1">
        <v>53.78</v>
      </c>
      <c r="O1085" s="1">
        <v>6130.92</v>
      </c>
      <c r="P1085" s="1">
        <v>5915.8</v>
      </c>
      <c r="Q1085" s="1">
        <v>0</v>
      </c>
      <c r="R1085" s="1">
        <v>5256.04</v>
      </c>
      <c r="S1085" t="s">
        <v>12</v>
      </c>
      <c r="T1085" s="13">
        <v>45914</v>
      </c>
      <c r="U1085" s="1" t="str">
        <f>IF(ESTIMATIVA[[#This Row],[QT_AREA_REAL]]&gt;0,"1- Colhido","2- à Colher")</f>
        <v>1- Colhido</v>
      </c>
      <c r="V1085" s="1" t="str">
        <f>IF(ESTIMATIVA[[#This Row],[QT_AREA_REST1]]&gt;0,"Reestimativa 1",IF(ESTIMATIVA[[#This Row],[QT_AREA_REAL]]=0,"Reestimativa 1","Realizado"))</f>
        <v>Reestimativa 1</v>
      </c>
      <c r="W1085" s="1" t="str">
        <f>IF(ESTIMATIVA[[#This Row],[QT_AREA_REST2]]&gt;0,"Reestimativa 2",IF(ESTIMATIVA[[#This Row],[QT_AREA_REAL]]=0,"Reestimativa 2","Realizado"))</f>
        <v>Realizado</v>
      </c>
      <c r="X1085" s="1">
        <f>ESTIMATIVA[[#This Row],[QT_AREA_EST]]</f>
        <v>53.78</v>
      </c>
      <c r="Y1085" s="1">
        <f>IF(ESTIMATIVA[[#This Row],[QT_AREA_REST1]]&gt;0,ESTIMATIVA[[#This Row],[QT_AREA_REST1]],
  IF(ESTIMATIVA[[#This Row],[QT_AREA_REAL]]&gt;0,ESTIMATIVA[[#This Row],[QT_AREA_REAL]],ESTIMATIVA[[#This Row],[QT_AREA_EST]]))</f>
        <v>53.78</v>
      </c>
      <c r="Z108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53.78</v>
      </c>
      <c r="AA1085" s="1">
        <f>ESTIMATIVA[[#This Row],[QT_CANA_EST]]</f>
        <v>6130.92</v>
      </c>
      <c r="AB1085" s="1">
        <f>IF(ESTIMATIVA[[#This Row],[QT_CANA_REST1]]&gt;0,ESTIMATIVA[[#This Row],[QT_CANA_REST1]],
  IF(ESTIMATIVA[[#This Row],[QT_CANA_REAL]]&gt;0,ESTIMATIVA[[#This Row],[QT_CANA_REAL]],ESTIMATIVA[[#This Row],[QT_CANA_EST]]))</f>
        <v>5915.8</v>
      </c>
      <c r="AC108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5256.04</v>
      </c>
      <c r="AD1085" s="1">
        <f>IF(ESTIMATIVA[[#This Row],[QT_AREA_REAL]]&gt;0,ESTIMATIVA[[#This Row],[QT_CANA_REAL]],ESTIMATIVA[[#This Row],[QT_CANA_EST]])</f>
        <v>5256.04</v>
      </c>
      <c r="AE1085" s="1">
        <f>IF(ESTIMATIVA[[#This Row],[QT_AREA_REAL]]&gt;0,ESTIMATIVA[[#This Row],[QT_CANA_REAL]],ESTIMATIVA[[#This Row],[QT_CANA_REST1]])</f>
        <v>5256.04</v>
      </c>
      <c r="AF1085" s="1">
        <f>IF(ESTIMATIVA[[#This Row],[QT_AREA_REAL]]&gt;0,ESTIMATIVA[[#This Row],[QT_CANA_REAL]],ESTIMATIVA[[#This Row],[QT_CANA_REST2]])</f>
        <v>5256.04</v>
      </c>
      <c r="AG1085" s="1" t="str">
        <f>IF(COUNTIFS(GEADA!A:A,VALUE(ESTIMATIVA[[#This Row],[CD_UPNIVEL1]]&amp;TEXT(ESTIMATIVA[[#This Row],[CD_UPNIVEL3]],"0000")))&gt;0,"S","N")</f>
        <v>N</v>
      </c>
      <c r="AH108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85" s="55" t="str">
        <f>IF(ESTIMATIVA[[#This Row],[TP_CULTIVO]]="Irrigado",_xlfn.MAXIFS(IRRIGADO!J:J,IRRIGADO!C:C,ESTIMATIVA[[#This Row],[CD_UPNIVEL1]],IRRIGADO!E:E,ESTIMATIVA[[#This Row],[CD_UPNIVEL3]]),"")</f>
        <v/>
      </c>
      <c r="AJ108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85" s="1">
        <f>COUNTIFS(Apresentação!$E$23:$E$29,ESTIMATIVA[[#This Row],[CD_UPNIVEL1]])</f>
        <v>0</v>
      </c>
    </row>
    <row r="1086" spans="1:37" x14ac:dyDescent="0.3">
      <c r="A1086">
        <v>20482</v>
      </c>
      <c r="B1086" t="s">
        <v>60</v>
      </c>
      <c r="C1086">
        <v>2</v>
      </c>
      <c r="D1086">
        <v>1</v>
      </c>
      <c r="E1086" t="s">
        <v>267</v>
      </c>
      <c r="F1086" s="85" t="s">
        <v>331</v>
      </c>
      <c r="G1086"/>
      <c r="H1086" t="s">
        <v>294</v>
      </c>
      <c r="I1086" t="s">
        <v>205</v>
      </c>
      <c r="J1086" t="s">
        <v>176</v>
      </c>
      <c r="K1086" s="1">
        <v>19.62</v>
      </c>
      <c r="L1086" s="1">
        <v>19.62</v>
      </c>
      <c r="M1086" s="1">
        <v>0</v>
      </c>
      <c r="N1086" s="1">
        <v>19.62</v>
      </c>
      <c r="O1086" s="1">
        <v>2236.6799999999998</v>
      </c>
      <c r="P1086" s="1">
        <v>2158.1999999999998</v>
      </c>
      <c r="Q1086" s="1">
        <v>0</v>
      </c>
      <c r="R1086" s="1">
        <v>2223.4699999999998</v>
      </c>
      <c r="S1086" t="s">
        <v>12</v>
      </c>
      <c r="T1086" s="13">
        <v>45921</v>
      </c>
      <c r="U1086" s="1" t="str">
        <f>IF(ESTIMATIVA[[#This Row],[QT_AREA_REAL]]&gt;0,"1- Colhido","2- à Colher")</f>
        <v>1- Colhido</v>
      </c>
      <c r="V1086" s="1" t="str">
        <f>IF(ESTIMATIVA[[#This Row],[QT_AREA_REST1]]&gt;0,"Reestimativa 1",IF(ESTIMATIVA[[#This Row],[QT_AREA_REAL]]=0,"Reestimativa 1","Realizado"))</f>
        <v>Reestimativa 1</v>
      </c>
      <c r="W1086" s="1" t="str">
        <f>IF(ESTIMATIVA[[#This Row],[QT_AREA_REST2]]&gt;0,"Reestimativa 2",IF(ESTIMATIVA[[#This Row],[QT_AREA_REAL]]=0,"Reestimativa 2","Realizado"))</f>
        <v>Realizado</v>
      </c>
      <c r="X1086" s="1">
        <f>ESTIMATIVA[[#This Row],[QT_AREA_EST]]</f>
        <v>19.62</v>
      </c>
      <c r="Y1086" s="1">
        <f>IF(ESTIMATIVA[[#This Row],[QT_AREA_REST1]]&gt;0,ESTIMATIVA[[#This Row],[QT_AREA_REST1]],
  IF(ESTIMATIVA[[#This Row],[QT_AREA_REAL]]&gt;0,ESTIMATIVA[[#This Row],[QT_AREA_REAL]],ESTIMATIVA[[#This Row],[QT_AREA_EST]]))</f>
        <v>19.62</v>
      </c>
      <c r="Z108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19.62</v>
      </c>
      <c r="AA1086" s="1">
        <f>ESTIMATIVA[[#This Row],[QT_CANA_EST]]</f>
        <v>2236.6799999999998</v>
      </c>
      <c r="AB1086" s="1">
        <f>IF(ESTIMATIVA[[#This Row],[QT_CANA_REST1]]&gt;0,ESTIMATIVA[[#This Row],[QT_CANA_REST1]],
  IF(ESTIMATIVA[[#This Row],[QT_CANA_REAL]]&gt;0,ESTIMATIVA[[#This Row],[QT_CANA_REAL]],ESTIMATIVA[[#This Row],[QT_CANA_EST]]))</f>
        <v>2158.1999999999998</v>
      </c>
      <c r="AC108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2223.4699999999998</v>
      </c>
      <c r="AD1086" s="1">
        <f>IF(ESTIMATIVA[[#This Row],[QT_AREA_REAL]]&gt;0,ESTIMATIVA[[#This Row],[QT_CANA_REAL]],ESTIMATIVA[[#This Row],[QT_CANA_EST]])</f>
        <v>2223.4699999999998</v>
      </c>
      <c r="AE1086" s="1">
        <f>IF(ESTIMATIVA[[#This Row],[QT_AREA_REAL]]&gt;0,ESTIMATIVA[[#This Row],[QT_CANA_REAL]],ESTIMATIVA[[#This Row],[QT_CANA_REST1]])</f>
        <v>2223.4699999999998</v>
      </c>
      <c r="AF1086" s="1">
        <f>IF(ESTIMATIVA[[#This Row],[QT_AREA_REAL]]&gt;0,ESTIMATIVA[[#This Row],[QT_CANA_REAL]],ESTIMATIVA[[#This Row],[QT_CANA_REST2]])</f>
        <v>2223.4699999999998</v>
      </c>
      <c r="AG1086" s="1" t="str">
        <f>IF(COUNTIFS(GEADA!A:A,VALUE(ESTIMATIVA[[#This Row],[CD_UPNIVEL1]]&amp;TEXT(ESTIMATIVA[[#This Row],[CD_UPNIVEL3]],"0000")))&gt;0,"S","N")</f>
        <v>N</v>
      </c>
      <c r="AH108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86" s="55" t="str">
        <f>IF(ESTIMATIVA[[#This Row],[TP_CULTIVO]]="Irrigado",_xlfn.MAXIFS(IRRIGADO!J:J,IRRIGADO!C:C,ESTIMATIVA[[#This Row],[CD_UPNIVEL1]],IRRIGADO!E:E,ESTIMATIVA[[#This Row],[CD_UPNIVEL3]]),"")</f>
        <v/>
      </c>
      <c r="AJ108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86" s="1">
        <f>COUNTIFS(Apresentação!$E$23:$E$29,ESTIMATIVA[[#This Row],[CD_UPNIVEL1]])</f>
        <v>0</v>
      </c>
    </row>
    <row r="1087" spans="1:37" x14ac:dyDescent="0.3">
      <c r="A1087">
        <v>20482</v>
      </c>
      <c r="B1087" t="s">
        <v>60</v>
      </c>
      <c r="C1087">
        <v>3</v>
      </c>
      <c r="D1087">
        <v>1</v>
      </c>
      <c r="E1087" t="s">
        <v>267</v>
      </c>
      <c r="F1087" s="85" t="s">
        <v>333</v>
      </c>
      <c r="G1087"/>
      <c r="H1087" t="s">
        <v>294</v>
      </c>
      <c r="I1087" t="s">
        <v>205</v>
      </c>
      <c r="J1087" t="s">
        <v>176</v>
      </c>
      <c r="K1087" s="1">
        <v>38.869999999999997</v>
      </c>
      <c r="L1087" s="1">
        <v>38.869999999999997</v>
      </c>
      <c r="M1087" s="1">
        <v>0</v>
      </c>
      <c r="N1087" s="1">
        <v>38.869999999999997</v>
      </c>
      <c r="O1087" s="1">
        <v>4431.18</v>
      </c>
      <c r="P1087" s="1">
        <v>3498.3</v>
      </c>
      <c r="Q1087" s="1">
        <v>0</v>
      </c>
      <c r="R1087" s="1">
        <v>3604.34</v>
      </c>
      <c r="S1087" t="s">
        <v>12</v>
      </c>
      <c r="T1087" s="13">
        <v>45921</v>
      </c>
      <c r="U1087" s="1" t="str">
        <f>IF(ESTIMATIVA[[#This Row],[QT_AREA_REAL]]&gt;0,"1- Colhido","2- à Colher")</f>
        <v>1- Colhido</v>
      </c>
      <c r="V1087" s="1" t="str">
        <f>IF(ESTIMATIVA[[#This Row],[QT_AREA_REST1]]&gt;0,"Reestimativa 1",IF(ESTIMATIVA[[#This Row],[QT_AREA_REAL]]=0,"Reestimativa 1","Realizado"))</f>
        <v>Reestimativa 1</v>
      </c>
      <c r="W1087" s="1" t="str">
        <f>IF(ESTIMATIVA[[#This Row],[QT_AREA_REST2]]&gt;0,"Reestimativa 2",IF(ESTIMATIVA[[#This Row],[QT_AREA_REAL]]=0,"Reestimativa 2","Realizado"))</f>
        <v>Realizado</v>
      </c>
      <c r="X1087" s="1">
        <f>ESTIMATIVA[[#This Row],[QT_AREA_EST]]</f>
        <v>38.869999999999997</v>
      </c>
      <c r="Y1087" s="1">
        <f>IF(ESTIMATIVA[[#This Row],[QT_AREA_REST1]]&gt;0,ESTIMATIVA[[#This Row],[QT_AREA_REST1]],
  IF(ESTIMATIVA[[#This Row],[QT_AREA_REAL]]&gt;0,ESTIMATIVA[[#This Row],[QT_AREA_REAL]],ESTIMATIVA[[#This Row],[QT_AREA_EST]]))</f>
        <v>38.869999999999997</v>
      </c>
      <c r="Z108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38.869999999999997</v>
      </c>
      <c r="AA1087" s="1">
        <f>ESTIMATIVA[[#This Row],[QT_CANA_EST]]</f>
        <v>4431.18</v>
      </c>
      <c r="AB1087" s="1">
        <f>IF(ESTIMATIVA[[#This Row],[QT_CANA_REST1]]&gt;0,ESTIMATIVA[[#This Row],[QT_CANA_REST1]],
  IF(ESTIMATIVA[[#This Row],[QT_CANA_REAL]]&gt;0,ESTIMATIVA[[#This Row],[QT_CANA_REAL]],ESTIMATIVA[[#This Row],[QT_CANA_EST]]))</f>
        <v>3498.3</v>
      </c>
      <c r="AC108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3604.34</v>
      </c>
      <c r="AD1087" s="1">
        <f>IF(ESTIMATIVA[[#This Row],[QT_AREA_REAL]]&gt;0,ESTIMATIVA[[#This Row],[QT_CANA_REAL]],ESTIMATIVA[[#This Row],[QT_CANA_EST]])</f>
        <v>3604.34</v>
      </c>
      <c r="AE1087" s="1">
        <f>IF(ESTIMATIVA[[#This Row],[QT_AREA_REAL]]&gt;0,ESTIMATIVA[[#This Row],[QT_CANA_REAL]],ESTIMATIVA[[#This Row],[QT_CANA_REST1]])</f>
        <v>3604.34</v>
      </c>
      <c r="AF1087" s="1">
        <f>IF(ESTIMATIVA[[#This Row],[QT_AREA_REAL]]&gt;0,ESTIMATIVA[[#This Row],[QT_CANA_REAL]],ESTIMATIVA[[#This Row],[QT_CANA_REST2]])</f>
        <v>3604.34</v>
      </c>
      <c r="AG1087" s="1" t="str">
        <f>IF(COUNTIFS(GEADA!A:A,VALUE(ESTIMATIVA[[#This Row],[CD_UPNIVEL1]]&amp;TEXT(ESTIMATIVA[[#This Row],[CD_UPNIVEL3]],"0000")))&gt;0,"S","N")</f>
        <v>N</v>
      </c>
      <c r="AH108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87" s="55" t="str">
        <f>IF(ESTIMATIVA[[#This Row],[TP_CULTIVO]]="Irrigado",_xlfn.MAXIFS(IRRIGADO!J:J,IRRIGADO!C:C,ESTIMATIVA[[#This Row],[CD_UPNIVEL1]],IRRIGADO!E:E,ESTIMATIVA[[#This Row],[CD_UPNIVEL3]]),"")</f>
        <v/>
      </c>
      <c r="AJ108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87" s="1">
        <f>COUNTIFS(Apresentação!$E$23:$E$29,ESTIMATIVA[[#This Row],[CD_UPNIVEL1]])</f>
        <v>0</v>
      </c>
    </row>
    <row r="1088" spans="1:37" x14ac:dyDescent="0.3">
      <c r="A1088">
        <v>20482</v>
      </c>
      <c r="B1088" t="s">
        <v>60</v>
      </c>
      <c r="C1088">
        <v>4</v>
      </c>
      <c r="D1088">
        <v>1</v>
      </c>
      <c r="E1088" t="s">
        <v>267</v>
      </c>
      <c r="F1088" s="85" t="s">
        <v>333</v>
      </c>
      <c r="G1088"/>
      <c r="H1088" t="s">
        <v>294</v>
      </c>
      <c r="I1088" t="s">
        <v>205</v>
      </c>
      <c r="J1088" t="s">
        <v>176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/>
      <c r="S1088" t="s">
        <v>12</v>
      </c>
      <c r="T1088" s="13">
        <v>45865</v>
      </c>
      <c r="U1088" s="1" t="str">
        <f>IF(ESTIMATIVA[[#This Row],[QT_AREA_REAL]]&gt;0,"1- Colhido","2- à Colher")</f>
        <v>2- à Colher</v>
      </c>
      <c r="V1088" s="1" t="str">
        <f>IF(ESTIMATIVA[[#This Row],[QT_AREA_REST1]]&gt;0,"Reestimativa 1",IF(ESTIMATIVA[[#This Row],[QT_AREA_REAL]]=0,"Reestimativa 1","Realizado"))</f>
        <v>Reestimativa 1</v>
      </c>
      <c r="W1088" s="1" t="str">
        <f>IF(ESTIMATIVA[[#This Row],[QT_AREA_REST2]]&gt;0,"Reestimativa 2",IF(ESTIMATIVA[[#This Row],[QT_AREA_REAL]]=0,"Reestimativa 2","Realizado"))</f>
        <v>Reestimativa 2</v>
      </c>
      <c r="X1088" s="1">
        <f>ESTIMATIVA[[#This Row],[QT_AREA_EST]]</f>
        <v>0</v>
      </c>
      <c r="Y1088" s="1">
        <f>IF(ESTIMATIVA[[#This Row],[QT_AREA_REST1]]&gt;0,ESTIMATIVA[[#This Row],[QT_AREA_REST1]],
  IF(ESTIMATIVA[[#This Row],[QT_AREA_REAL]]&gt;0,ESTIMATIVA[[#This Row],[QT_AREA_REAL]],ESTIMATIVA[[#This Row],[QT_AREA_EST]]))</f>
        <v>0</v>
      </c>
      <c r="Z108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</v>
      </c>
      <c r="AA1088" s="1">
        <f>ESTIMATIVA[[#This Row],[QT_CANA_EST]]</f>
        <v>0</v>
      </c>
      <c r="AB1088" s="1">
        <f>IF(ESTIMATIVA[[#This Row],[QT_CANA_REST1]]&gt;0,ESTIMATIVA[[#This Row],[QT_CANA_REST1]],
  IF(ESTIMATIVA[[#This Row],[QT_CANA_REAL]]&gt;0,ESTIMATIVA[[#This Row],[QT_CANA_REAL]],ESTIMATIVA[[#This Row],[QT_CANA_EST]]))</f>
        <v>0</v>
      </c>
      <c r="AC108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0</v>
      </c>
      <c r="AD1088" s="1">
        <f>IF(ESTIMATIVA[[#This Row],[QT_AREA_REAL]]&gt;0,ESTIMATIVA[[#This Row],[QT_CANA_REAL]],ESTIMATIVA[[#This Row],[QT_CANA_EST]])</f>
        <v>0</v>
      </c>
      <c r="AE1088" s="1">
        <f>IF(ESTIMATIVA[[#This Row],[QT_AREA_REAL]]&gt;0,ESTIMATIVA[[#This Row],[QT_CANA_REAL]],ESTIMATIVA[[#This Row],[QT_CANA_REST1]])</f>
        <v>0</v>
      </c>
      <c r="AF1088" s="1">
        <f>IF(ESTIMATIVA[[#This Row],[QT_AREA_REAL]]&gt;0,ESTIMATIVA[[#This Row],[QT_CANA_REAL]],ESTIMATIVA[[#This Row],[QT_CANA_REST2]])</f>
        <v>0</v>
      </c>
      <c r="AG1088" s="1" t="str">
        <f>IF(COUNTIFS(GEADA!A:A,VALUE(ESTIMATIVA[[#This Row],[CD_UPNIVEL1]]&amp;TEXT(ESTIMATIVA[[#This Row],[CD_UPNIVEL3]],"0000")))&gt;0,"S","N")</f>
        <v>N</v>
      </c>
      <c r="AH108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88" s="55" t="str">
        <f>IF(ESTIMATIVA[[#This Row],[TP_CULTIVO]]="Irrigado",_xlfn.MAXIFS(IRRIGADO!J:J,IRRIGADO!C:C,ESTIMATIVA[[#This Row],[CD_UPNIVEL1]],IRRIGADO!E:E,ESTIMATIVA[[#This Row],[CD_UPNIVEL3]]),"")</f>
        <v/>
      </c>
      <c r="AJ108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88" s="1">
        <f>COUNTIFS(Apresentação!$E$23:$E$29,ESTIMATIVA[[#This Row],[CD_UPNIVEL1]])</f>
        <v>0</v>
      </c>
    </row>
    <row r="1089" spans="1:37" x14ac:dyDescent="0.3">
      <c r="A1089">
        <v>20491</v>
      </c>
      <c r="B1089" t="s">
        <v>61</v>
      </c>
      <c r="C1089">
        <v>1</v>
      </c>
      <c r="D1089">
        <v>3</v>
      </c>
      <c r="E1089" t="s">
        <v>263</v>
      </c>
      <c r="F1089" s="85" t="s">
        <v>331</v>
      </c>
      <c r="G1089"/>
      <c r="H1089" t="s">
        <v>294</v>
      </c>
      <c r="I1089" t="s">
        <v>195</v>
      </c>
      <c r="J1089" t="s">
        <v>176</v>
      </c>
      <c r="K1089" s="1">
        <v>36.61</v>
      </c>
      <c r="L1089" s="1">
        <v>36.61</v>
      </c>
      <c r="M1089" s="1">
        <v>36.61</v>
      </c>
      <c r="N1089" s="1">
        <v>36.61</v>
      </c>
      <c r="O1089" s="1">
        <v>2745.75</v>
      </c>
      <c r="P1089" s="1">
        <v>2196.6</v>
      </c>
      <c r="Q1089" s="1">
        <v>2123.38</v>
      </c>
      <c r="R1089" s="1">
        <v>1446.51</v>
      </c>
      <c r="S1089" t="s">
        <v>12</v>
      </c>
      <c r="T1089" s="13">
        <v>45956</v>
      </c>
      <c r="U1089" s="1" t="str">
        <f>IF(ESTIMATIVA[[#This Row],[QT_AREA_REAL]]&gt;0,"1- Colhido","2- à Colher")</f>
        <v>1- Colhido</v>
      </c>
      <c r="V1089" s="1" t="str">
        <f>IF(ESTIMATIVA[[#This Row],[QT_AREA_REST1]]&gt;0,"Reestimativa 1",IF(ESTIMATIVA[[#This Row],[QT_AREA_REAL]]=0,"Reestimativa 1","Realizado"))</f>
        <v>Reestimativa 1</v>
      </c>
      <c r="W1089" s="1" t="str">
        <f>IF(ESTIMATIVA[[#This Row],[QT_AREA_REST2]]&gt;0,"Reestimativa 2",IF(ESTIMATIVA[[#This Row],[QT_AREA_REAL]]=0,"Reestimativa 2","Realizado"))</f>
        <v>Reestimativa 2</v>
      </c>
      <c r="X1089" s="1">
        <f>ESTIMATIVA[[#This Row],[QT_AREA_EST]]</f>
        <v>36.61</v>
      </c>
      <c r="Y1089" s="1">
        <f>IF(ESTIMATIVA[[#This Row],[QT_AREA_REST1]]&gt;0,ESTIMATIVA[[#This Row],[QT_AREA_REST1]],
  IF(ESTIMATIVA[[#This Row],[QT_AREA_REAL]]&gt;0,ESTIMATIVA[[#This Row],[QT_AREA_REAL]],ESTIMATIVA[[#This Row],[QT_AREA_EST]]))</f>
        <v>36.61</v>
      </c>
      <c r="Z108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36.61</v>
      </c>
      <c r="AA1089" s="1">
        <f>ESTIMATIVA[[#This Row],[QT_CANA_EST]]</f>
        <v>2745.75</v>
      </c>
      <c r="AB1089" s="1">
        <f>IF(ESTIMATIVA[[#This Row],[QT_CANA_REST1]]&gt;0,ESTIMATIVA[[#This Row],[QT_CANA_REST1]],
  IF(ESTIMATIVA[[#This Row],[QT_CANA_REAL]]&gt;0,ESTIMATIVA[[#This Row],[QT_CANA_REAL]],ESTIMATIVA[[#This Row],[QT_CANA_EST]]))</f>
        <v>2196.6</v>
      </c>
      <c r="AC108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2123.38</v>
      </c>
      <c r="AD1089" s="1">
        <f>IF(ESTIMATIVA[[#This Row],[QT_AREA_REAL]]&gt;0,ESTIMATIVA[[#This Row],[QT_CANA_REAL]],ESTIMATIVA[[#This Row],[QT_CANA_EST]])</f>
        <v>1446.51</v>
      </c>
      <c r="AE1089" s="1">
        <f>IF(ESTIMATIVA[[#This Row],[QT_AREA_REAL]]&gt;0,ESTIMATIVA[[#This Row],[QT_CANA_REAL]],ESTIMATIVA[[#This Row],[QT_CANA_REST1]])</f>
        <v>1446.51</v>
      </c>
      <c r="AF1089" s="1">
        <f>IF(ESTIMATIVA[[#This Row],[QT_AREA_REAL]]&gt;0,ESTIMATIVA[[#This Row],[QT_CANA_REAL]],ESTIMATIVA[[#This Row],[QT_CANA_REST2]])</f>
        <v>1446.51</v>
      </c>
      <c r="AG1089" s="1" t="str">
        <f>IF(COUNTIFS(GEADA!A:A,VALUE(ESTIMATIVA[[#This Row],[CD_UPNIVEL1]]&amp;TEXT(ESTIMATIVA[[#This Row],[CD_UPNIVEL3]],"0000")))&gt;0,"S","N")</f>
        <v>S</v>
      </c>
      <c r="AH108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89" s="55" t="str">
        <f>IF(ESTIMATIVA[[#This Row],[TP_CULTIVO]]="Irrigado",_xlfn.MAXIFS(IRRIGADO!J:J,IRRIGADO!C:C,ESTIMATIVA[[#This Row],[CD_UPNIVEL1]],IRRIGADO!E:E,ESTIMATIVA[[#This Row],[CD_UPNIVEL3]]),"")</f>
        <v/>
      </c>
      <c r="AJ108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89" s="1">
        <f>COUNTIFS(Apresentação!$E$23:$E$29,ESTIMATIVA[[#This Row],[CD_UPNIVEL1]])</f>
        <v>0</v>
      </c>
    </row>
    <row r="1090" spans="1:37" x14ac:dyDescent="0.3">
      <c r="A1090">
        <v>20491</v>
      </c>
      <c r="B1090" t="s">
        <v>61</v>
      </c>
      <c r="C1090">
        <v>2</v>
      </c>
      <c r="D1090">
        <v>3</v>
      </c>
      <c r="E1090" t="s">
        <v>263</v>
      </c>
      <c r="F1090" s="85" t="s">
        <v>331</v>
      </c>
      <c r="G1090"/>
      <c r="H1090" t="s">
        <v>294</v>
      </c>
      <c r="I1090" t="s">
        <v>195</v>
      </c>
      <c r="J1090" t="s">
        <v>176</v>
      </c>
      <c r="K1090" s="1">
        <v>38.24</v>
      </c>
      <c r="L1090" s="1">
        <v>38.24</v>
      </c>
      <c r="M1090" s="1">
        <v>38.24</v>
      </c>
      <c r="N1090" s="1">
        <v>38.24</v>
      </c>
      <c r="O1090" s="1">
        <v>2868</v>
      </c>
      <c r="P1090" s="1">
        <v>2868</v>
      </c>
      <c r="Q1090" s="1">
        <v>2294.4</v>
      </c>
      <c r="R1090" s="1">
        <v>1563.11</v>
      </c>
      <c r="S1090" t="s">
        <v>12</v>
      </c>
      <c r="T1090" s="13">
        <v>45956</v>
      </c>
      <c r="U1090" s="1" t="str">
        <f>IF(ESTIMATIVA[[#This Row],[QT_AREA_REAL]]&gt;0,"1- Colhido","2- à Colher")</f>
        <v>1- Colhido</v>
      </c>
      <c r="V1090" s="1" t="str">
        <f>IF(ESTIMATIVA[[#This Row],[QT_AREA_REST1]]&gt;0,"Reestimativa 1",IF(ESTIMATIVA[[#This Row],[QT_AREA_REAL]]=0,"Reestimativa 1","Realizado"))</f>
        <v>Reestimativa 1</v>
      </c>
      <c r="W1090" s="1" t="str">
        <f>IF(ESTIMATIVA[[#This Row],[QT_AREA_REST2]]&gt;0,"Reestimativa 2",IF(ESTIMATIVA[[#This Row],[QT_AREA_REAL]]=0,"Reestimativa 2","Realizado"))</f>
        <v>Reestimativa 2</v>
      </c>
      <c r="X1090" s="1">
        <f>ESTIMATIVA[[#This Row],[QT_AREA_EST]]</f>
        <v>38.24</v>
      </c>
      <c r="Y1090" s="1">
        <f>IF(ESTIMATIVA[[#This Row],[QT_AREA_REST1]]&gt;0,ESTIMATIVA[[#This Row],[QT_AREA_REST1]],
  IF(ESTIMATIVA[[#This Row],[QT_AREA_REAL]]&gt;0,ESTIMATIVA[[#This Row],[QT_AREA_REAL]],ESTIMATIVA[[#This Row],[QT_AREA_EST]]))</f>
        <v>38.24</v>
      </c>
      <c r="Z109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38.24</v>
      </c>
      <c r="AA1090" s="1">
        <f>ESTIMATIVA[[#This Row],[QT_CANA_EST]]</f>
        <v>2868</v>
      </c>
      <c r="AB1090" s="1">
        <f>IF(ESTIMATIVA[[#This Row],[QT_CANA_REST1]]&gt;0,ESTIMATIVA[[#This Row],[QT_CANA_REST1]],
  IF(ESTIMATIVA[[#This Row],[QT_CANA_REAL]]&gt;0,ESTIMATIVA[[#This Row],[QT_CANA_REAL]],ESTIMATIVA[[#This Row],[QT_CANA_EST]]))</f>
        <v>2868</v>
      </c>
      <c r="AC109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2294.4</v>
      </c>
      <c r="AD1090" s="1">
        <f>IF(ESTIMATIVA[[#This Row],[QT_AREA_REAL]]&gt;0,ESTIMATIVA[[#This Row],[QT_CANA_REAL]],ESTIMATIVA[[#This Row],[QT_CANA_EST]])</f>
        <v>1563.11</v>
      </c>
      <c r="AE1090" s="1">
        <f>IF(ESTIMATIVA[[#This Row],[QT_AREA_REAL]]&gt;0,ESTIMATIVA[[#This Row],[QT_CANA_REAL]],ESTIMATIVA[[#This Row],[QT_CANA_REST1]])</f>
        <v>1563.11</v>
      </c>
      <c r="AF1090" s="1">
        <f>IF(ESTIMATIVA[[#This Row],[QT_AREA_REAL]]&gt;0,ESTIMATIVA[[#This Row],[QT_CANA_REAL]],ESTIMATIVA[[#This Row],[QT_CANA_REST2]])</f>
        <v>1563.11</v>
      </c>
      <c r="AG1090" s="1" t="str">
        <f>IF(COUNTIFS(GEADA!A:A,VALUE(ESTIMATIVA[[#This Row],[CD_UPNIVEL1]]&amp;TEXT(ESTIMATIVA[[#This Row],[CD_UPNIVEL3]],"0000")))&gt;0,"S","N")</f>
        <v>N</v>
      </c>
      <c r="AH109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90" s="55" t="str">
        <f>IF(ESTIMATIVA[[#This Row],[TP_CULTIVO]]="Irrigado",_xlfn.MAXIFS(IRRIGADO!J:J,IRRIGADO!C:C,ESTIMATIVA[[#This Row],[CD_UPNIVEL1]],IRRIGADO!E:E,ESTIMATIVA[[#This Row],[CD_UPNIVEL3]]),"")</f>
        <v/>
      </c>
      <c r="AJ109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90" s="1">
        <f>COUNTIFS(Apresentação!$E$23:$E$29,ESTIMATIVA[[#This Row],[CD_UPNIVEL1]])</f>
        <v>0</v>
      </c>
    </row>
    <row r="1091" spans="1:37" x14ac:dyDescent="0.3">
      <c r="A1091">
        <v>20491</v>
      </c>
      <c r="B1091" t="s">
        <v>61</v>
      </c>
      <c r="C1091">
        <v>3</v>
      </c>
      <c r="D1091">
        <v>3</v>
      </c>
      <c r="E1091" t="s">
        <v>263</v>
      </c>
      <c r="F1091" s="85" t="s">
        <v>331</v>
      </c>
      <c r="G1091"/>
      <c r="H1091" t="s">
        <v>294</v>
      </c>
      <c r="I1091" t="s">
        <v>195</v>
      </c>
      <c r="J1091" t="s">
        <v>176</v>
      </c>
      <c r="K1091" s="1">
        <v>22</v>
      </c>
      <c r="L1091" s="1">
        <v>22</v>
      </c>
      <c r="M1091" s="1">
        <v>22</v>
      </c>
      <c r="N1091" s="1">
        <v>22</v>
      </c>
      <c r="O1091" s="1">
        <v>1320</v>
      </c>
      <c r="P1091" s="1">
        <v>1320</v>
      </c>
      <c r="Q1091" s="1">
        <v>1320</v>
      </c>
      <c r="R1091" s="1">
        <v>928.26</v>
      </c>
      <c r="S1091" t="s">
        <v>12</v>
      </c>
      <c r="T1091" s="13">
        <v>45963</v>
      </c>
      <c r="U1091" s="1" t="str">
        <f>IF(ESTIMATIVA[[#This Row],[QT_AREA_REAL]]&gt;0,"1- Colhido","2- à Colher")</f>
        <v>1- Colhido</v>
      </c>
      <c r="V1091" s="1" t="str">
        <f>IF(ESTIMATIVA[[#This Row],[QT_AREA_REST1]]&gt;0,"Reestimativa 1",IF(ESTIMATIVA[[#This Row],[QT_AREA_REAL]]=0,"Reestimativa 1","Realizado"))</f>
        <v>Reestimativa 1</v>
      </c>
      <c r="W1091" s="1" t="str">
        <f>IF(ESTIMATIVA[[#This Row],[QT_AREA_REST2]]&gt;0,"Reestimativa 2",IF(ESTIMATIVA[[#This Row],[QT_AREA_REAL]]=0,"Reestimativa 2","Realizado"))</f>
        <v>Reestimativa 2</v>
      </c>
      <c r="X1091" s="1">
        <f>ESTIMATIVA[[#This Row],[QT_AREA_EST]]</f>
        <v>22</v>
      </c>
      <c r="Y1091" s="1">
        <f>IF(ESTIMATIVA[[#This Row],[QT_AREA_REST1]]&gt;0,ESTIMATIVA[[#This Row],[QT_AREA_REST1]],
  IF(ESTIMATIVA[[#This Row],[QT_AREA_REAL]]&gt;0,ESTIMATIVA[[#This Row],[QT_AREA_REAL]],ESTIMATIVA[[#This Row],[QT_AREA_EST]]))</f>
        <v>22</v>
      </c>
      <c r="Z109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</v>
      </c>
      <c r="AA1091" s="1">
        <f>ESTIMATIVA[[#This Row],[QT_CANA_EST]]</f>
        <v>1320</v>
      </c>
      <c r="AB1091" s="1">
        <f>IF(ESTIMATIVA[[#This Row],[QT_CANA_REST1]]&gt;0,ESTIMATIVA[[#This Row],[QT_CANA_REST1]],
  IF(ESTIMATIVA[[#This Row],[QT_CANA_REAL]]&gt;0,ESTIMATIVA[[#This Row],[QT_CANA_REAL]],ESTIMATIVA[[#This Row],[QT_CANA_EST]]))</f>
        <v>1320</v>
      </c>
      <c r="AC109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1320</v>
      </c>
      <c r="AD1091" s="1">
        <f>IF(ESTIMATIVA[[#This Row],[QT_AREA_REAL]]&gt;0,ESTIMATIVA[[#This Row],[QT_CANA_REAL]],ESTIMATIVA[[#This Row],[QT_CANA_EST]])</f>
        <v>928.26</v>
      </c>
      <c r="AE1091" s="1">
        <f>IF(ESTIMATIVA[[#This Row],[QT_AREA_REAL]]&gt;0,ESTIMATIVA[[#This Row],[QT_CANA_REAL]],ESTIMATIVA[[#This Row],[QT_CANA_REST1]])</f>
        <v>928.26</v>
      </c>
      <c r="AF1091" s="1">
        <f>IF(ESTIMATIVA[[#This Row],[QT_AREA_REAL]]&gt;0,ESTIMATIVA[[#This Row],[QT_CANA_REAL]],ESTIMATIVA[[#This Row],[QT_CANA_REST2]])</f>
        <v>928.26</v>
      </c>
      <c r="AG1091" s="1" t="str">
        <f>IF(COUNTIFS(GEADA!A:A,VALUE(ESTIMATIVA[[#This Row],[CD_UPNIVEL1]]&amp;TEXT(ESTIMATIVA[[#This Row],[CD_UPNIVEL3]],"0000")))&gt;0,"S","N")</f>
        <v>N</v>
      </c>
      <c r="AH109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91" s="55" t="str">
        <f>IF(ESTIMATIVA[[#This Row],[TP_CULTIVO]]="Irrigado",_xlfn.MAXIFS(IRRIGADO!J:J,IRRIGADO!C:C,ESTIMATIVA[[#This Row],[CD_UPNIVEL1]],IRRIGADO!E:E,ESTIMATIVA[[#This Row],[CD_UPNIVEL3]]),"")</f>
        <v/>
      </c>
      <c r="AJ109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91" s="1">
        <f>COUNTIFS(Apresentação!$E$23:$E$29,ESTIMATIVA[[#This Row],[CD_UPNIVEL1]])</f>
        <v>0</v>
      </c>
    </row>
    <row r="1092" spans="1:37" x14ac:dyDescent="0.3">
      <c r="A1092">
        <v>20491</v>
      </c>
      <c r="B1092" t="s">
        <v>61</v>
      </c>
      <c r="C1092">
        <v>4</v>
      </c>
      <c r="D1092">
        <v>3</v>
      </c>
      <c r="E1092" t="s">
        <v>263</v>
      </c>
      <c r="F1092" s="85" t="s">
        <v>331</v>
      </c>
      <c r="G1092"/>
      <c r="H1092" t="s">
        <v>294</v>
      </c>
      <c r="I1092" t="s">
        <v>195</v>
      </c>
      <c r="J1092" t="s">
        <v>176</v>
      </c>
      <c r="K1092" s="1">
        <v>1.58</v>
      </c>
      <c r="L1092" s="1">
        <v>1.58</v>
      </c>
      <c r="M1092" s="1">
        <v>1.58</v>
      </c>
      <c r="N1092" s="1">
        <v>1.58</v>
      </c>
      <c r="O1092" s="1">
        <v>94.8</v>
      </c>
      <c r="P1092" s="1">
        <v>94.8</v>
      </c>
      <c r="Q1092" s="1">
        <v>94.8</v>
      </c>
      <c r="R1092" s="1">
        <v>66.77</v>
      </c>
      <c r="S1092" t="s">
        <v>12</v>
      </c>
      <c r="T1092" s="13">
        <v>45963</v>
      </c>
      <c r="U1092" s="1" t="str">
        <f>IF(ESTIMATIVA[[#This Row],[QT_AREA_REAL]]&gt;0,"1- Colhido","2- à Colher")</f>
        <v>1- Colhido</v>
      </c>
      <c r="V1092" s="1" t="str">
        <f>IF(ESTIMATIVA[[#This Row],[QT_AREA_REST1]]&gt;0,"Reestimativa 1",IF(ESTIMATIVA[[#This Row],[QT_AREA_REAL]]=0,"Reestimativa 1","Realizado"))</f>
        <v>Reestimativa 1</v>
      </c>
      <c r="W1092" s="1" t="str">
        <f>IF(ESTIMATIVA[[#This Row],[QT_AREA_REST2]]&gt;0,"Reestimativa 2",IF(ESTIMATIVA[[#This Row],[QT_AREA_REAL]]=0,"Reestimativa 2","Realizado"))</f>
        <v>Reestimativa 2</v>
      </c>
      <c r="X1092" s="1">
        <f>ESTIMATIVA[[#This Row],[QT_AREA_EST]]</f>
        <v>1.58</v>
      </c>
      <c r="Y1092" s="1">
        <f>IF(ESTIMATIVA[[#This Row],[QT_AREA_REST1]]&gt;0,ESTIMATIVA[[#This Row],[QT_AREA_REST1]],
  IF(ESTIMATIVA[[#This Row],[QT_AREA_REAL]]&gt;0,ESTIMATIVA[[#This Row],[QT_AREA_REAL]],ESTIMATIVA[[#This Row],[QT_AREA_EST]]))</f>
        <v>1.58</v>
      </c>
      <c r="Z109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1.58</v>
      </c>
      <c r="AA1092" s="1">
        <f>ESTIMATIVA[[#This Row],[QT_CANA_EST]]</f>
        <v>94.8</v>
      </c>
      <c r="AB1092" s="1">
        <f>IF(ESTIMATIVA[[#This Row],[QT_CANA_REST1]]&gt;0,ESTIMATIVA[[#This Row],[QT_CANA_REST1]],
  IF(ESTIMATIVA[[#This Row],[QT_CANA_REAL]]&gt;0,ESTIMATIVA[[#This Row],[QT_CANA_REAL]],ESTIMATIVA[[#This Row],[QT_CANA_EST]]))</f>
        <v>94.8</v>
      </c>
      <c r="AC109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94.8</v>
      </c>
      <c r="AD1092" s="1">
        <f>IF(ESTIMATIVA[[#This Row],[QT_AREA_REAL]]&gt;0,ESTIMATIVA[[#This Row],[QT_CANA_REAL]],ESTIMATIVA[[#This Row],[QT_CANA_EST]])</f>
        <v>66.77</v>
      </c>
      <c r="AE1092" s="1">
        <f>IF(ESTIMATIVA[[#This Row],[QT_AREA_REAL]]&gt;0,ESTIMATIVA[[#This Row],[QT_CANA_REAL]],ESTIMATIVA[[#This Row],[QT_CANA_REST1]])</f>
        <v>66.77</v>
      </c>
      <c r="AF1092" s="1">
        <f>IF(ESTIMATIVA[[#This Row],[QT_AREA_REAL]]&gt;0,ESTIMATIVA[[#This Row],[QT_CANA_REAL]],ESTIMATIVA[[#This Row],[QT_CANA_REST2]])</f>
        <v>66.77</v>
      </c>
      <c r="AG1092" s="1" t="str">
        <f>IF(COUNTIFS(GEADA!A:A,VALUE(ESTIMATIVA[[#This Row],[CD_UPNIVEL1]]&amp;TEXT(ESTIMATIVA[[#This Row],[CD_UPNIVEL3]],"0000")))&gt;0,"S","N")</f>
        <v>N</v>
      </c>
      <c r="AH109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92" s="55" t="str">
        <f>IF(ESTIMATIVA[[#This Row],[TP_CULTIVO]]="Irrigado",_xlfn.MAXIFS(IRRIGADO!J:J,IRRIGADO!C:C,ESTIMATIVA[[#This Row],[CD_UPNIVEL1]],IRRIGADO!E:E,ESTIMATIVA[[#This Row],[CD_UPNIVEL3]]),"")</f>
        <v/>
      </c>
      <c r="AJ109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92" s="1">
        <f>COUNTIFS(Apresentação!$E$23:$E$29,ESTIMATIVA[[#This Row],[CD_UPNIVEL1]])</f>
        <v>0</v>
      </c>
    </row>
    <row r="1093" spans="1:37" x14ac:dyDescent="0.3">
      <c r="A1093">
        <v>20491</v>
      </c>
      <c r="B1093" t="s">
        <v>61</v>
      </c>
      <c r="C1093">
        <v>5</v>
      </c>
      <c r="D1093">
        <v>3</v>
      </c>
      <c r="E1093" t="s">
        <v>263</v>
      </c>
      <c r="F1093" s="85" t="s">
        <v>331</v>
      </c>
      <c r="G1093"/>
      <c r="H1093" t="s">
        <v>294</v>
      </c>
      <c r="I1093" t="s">
        <v>195</v>
      </c>
      <c r="J1093" t="s">
        <v>176</v>
      </c>
      <c r="K1093" s="1">
        <v>11.63</v>
      </c>
      <c r="L1093" s="1">
        <v>11.63</v>
      </c>
      <c r="M1093" s="1">
        <v>11.63</v>
      </c>
      <c r="N1093" s="1">
        <v>11.63</v>
      </c>
      <c r="O1093" s="1">
        <v>697.8</v>
      </c>
      <c r="P1093" s="1">
        <v>697.8</v>
      </c>
      <c r="Q1093" s="1">
        <v>697.8</v>
      </c>
      <c r="R1093" s="1">
        <v>490.83</v>
      </c>
      <c r="S1093" t="s">
        <v>12</v>
      </c>
      <c r="T1093" s="13">
        <v>45963</v>
      </c>
      <c r="U1093" s="1" t="str">
        <f>IF(ESTIMATIVA[[#This Row],[QT_AREA_REAL]]&gt;0,"1- Colhido","2- à Colher")</f>
        <v>1- Colhido</v>
      </c>
      <c r="V1093" s="1" t="str">
        <f>IF(ESTIMATIVA[[#This Row],[QT_AREA_REST1]]&gt;0,"Reestimativa 1",IF(ESTIMATIVA[[#This Row],[QT_AREA_REAL]]=0,"Reestimativa 1","Realizado"))</f>
        <v>Reestimativa 1</v>
      </c>
      <c r="W1093" s="1" t="str">
        <f>IF(ESTIMATIVA[[#This Row],[QT_AREA_REST2]]&gt;0,"Reestimativa 2",IF(ESTIMATIVA[[#This Row],[QT_AREA_REAL]]=0,"Reestimativa 2","Realizado"))</f>
        <v>Reestimativa 2</v>
      </c>
      <c r="X1093" s="1">
        <f>ESTIMATIVA[[#This Row],[QT_AREA_EST]]</f>
        <v>11.63</v>
      </c>
      <c r="Y1093" s="1">
        <f>IF(ESTIMATIVA[[#This Row],[QT_AREA_REST1]]&gt;0,ESTIMATIVA[[#This Row],[QT_AREA_REST1]],
  IF(ESTIMATIVA[[#This Row],[QT_AREA_REAL]]&gt;0,ESTIMATIVA[[#This Row],[QT_AREA_REAL]],ESTIMATIVA[[#This Row],[QT_AREA_EST]]))</f>
        <v>11.63</v>
      </c>
      <c r="Z109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11.63</v>
      </c>
      <c r="AA1093" s="1">
        <f>ESTIMATIVA[[#This Row],[QT_CANA_EST]]</f>
        <v>697.8</v>
      </c>
      <c r="AB1093" s="1">
        <f>IF(ESTIMATIVA[[#This Row],[QT_CANA_REST1]]&gt;0,ESTIMATIVA[[#This Row],[QT_CANA_REST1]],
  IF(ESTIMATIVA[[#This Row],[QT_CANA_REAL]]&gt;0,ESTIMATIVA[[#This Row],[QT_CANA_REAL]],ESTIMATIVA[[#This Row],[QT_CANA_EST]]))</f>
        <v>697.8</v>
      </c>
      <c r="AC109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697.8</v>
      </c>
      <c r="AD1093" s="1">
        <f>IF(ESTIMATIVA[[#This Row],[QT_AREA_REAL]]&gt;0,ESTIMATIVA[[#This Row],[QT_CANA_REAL]],ESTIMATIVA[[#This Row],[QT_CANA_EST]])</f>
        <v>490.83</v>
      </c>
      <c r="AE1093" s="1">
        <f>IF(ESTIMATIVA[[#This Row],[QT_AREA_REAL]]&gt;0,ESTIMATIVA[[#This Row],[QT_CANA_REAL]],ESTIMATIVA[[#This Row],[QT_CANA_REST1]])</f>
        <v>490.83</v>
      </c>
      <c r="AF1093" s="1">
        <f>IF(ESTIMATIVA[[#This Row],[QT_AREA_REAL]]&gt;0,ESTIMATIVA[[#This Row],[QT_CANA_REAL]],ESTIMATIVA[[#This Row],[QT_CANA_REST2]])</f>
        <v>490.83</v>
      </c>
      <c r="AG1093" s="1" t="str">
        <f>IF(COUNTIFS(GEADA!A:A,VALUE(ESTIMATIVA[[#This Row],[CD_UPNIVEL1]]&amp;TEXT(ESTIMATIVA[[#This Row],[CD_UPNIVEL3]],"0000")))&gt;0,"S","N")</f>
        <v>N</v>
      </c>
      <c r="AH109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93" s="55" t="str">
        <f>IF(ESTIMATIVA[[#This Row],[TP_CULTIVO]]="Irrigado",_xlfn.MAXIFS(IRRIGADO!J:J,IRRIGADO!C:C,ESTIMATIVA[[#This Row],[CD_UPNIVEL1]],IRRIGADO!E:E,ESTIMATIVA[[#This Row],[CD_UPNIVEL3]]),"")</f>
        <v/>
      </c>
      <c r="AJ109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93" s="1">
        <f>COUNTIFS(Apresentação!$E$23:$E$29,ESTIMATIVA[[#This Row],[CD_UPNIVEL1]])</f>
        <v>0</v>
      </c>
    </row>
    <row r="1094" spans="1:37" x14ac:dyDescent="0.3">
      <c r="A1094">
        <v>20491</v>
      </c>
      <c r="B1094" t="s">
        <v>61</v>
      </c>
      <c r="C1094">
        <v>6</v>
      </c>
      <c r="D1094">
        <v>3</v>
      </c>
      <c r="E1094" t="s">
        <v>263</v>
      </c>
      <c r="F1094" s="85" t="s">
        <v>331</v>
      </c>
      <c r="G1094"/>
      <c r="H1094" t="s">
        <v>294</v>
      </c>
      <c r="I1094" t="s">
        <v>195</v>
      </c>
      <c r="J1094" t="s">
        <v>176</v>
      </c>
      <c r="K1094" s="1">
        <v>27.39</v>
      </c>
      <c r="L1094" s="1">
        <v>27.39</v>
      </c>
      <c r="M1094" s="1">
        <v>27.39</v>
      </c>
      <c r="N1094" s="1">
        <v>27.39</v>
      </c>
      <c r="O1094" s="1">
        <v>2054.25</v>
      </c>
      <c r="P1094" s="1">
        <v>2054.25</v>
      </c>
      <c r="Q1094" s="1">
        <v>1752.96</v>
      </c>
      <c r="R1094" s="1">
        <v>1232.94</v>
      </c>
      <c r="S1094" t="s">
        <v>12</v>
      </c>
      <c r="T1094" s="13">
        <v>45963</v>
      </c>
      <c r="U1094" s="1" t="str">
        <f>IF(ESTIMATIVA[[#This Row],[QT_AREA_REAL]]&gt;0,"1- Colhido","2- à Colher")</f>
        <v>1- Colhido</v>
      </c>
      <c r="V1094" s="1" t="str">
        <f>IF(ESTIMATIVA[[#This Row],[QT_AREA_REST1]]&gt;0,"Reestimativa 1",IF(ESTIMATIVA[[#This Row],[QT_AREA_REAL]]=0,"Reestimativa 1","Realizado"))</f>
        <v>Reestimativa 1</v>
      </c>
      <c r="W1094" s="1" t="str">
        <f>IF(ESTIMATIVA[[#This Row],[QT_AREA_REST2]]&gt;0,"Reestimativa 2",IF(ESTIMATIVA[[#This Row],[QT_AREA_REAL]]=0,"Reestimativa 2","Realizado"))</f>
        <v>Reestimativa 2</v>
      </c>
      <c r="X1094" s="1">
        <f>ESTIMATIVA[[#This Row],[QT_AREA_EST]]</f>
        <v>27.39</v>
      </c>
      <c r="Y1094" s="1">
        <f>IF(ESTIMATIVA[[#This Row],[QT_AREA_REST1]]&gt;0,ESTIMATIVA[[#This Row],[QT_AREA_REST1]],
  IF(ESTIMATIVA[[#This Row],[QT_AREA_REAL]]&gt;0,ESTIMATIVA[[#This Row],[QT_AREA_REAL]],ESTIMATIVA[[#This Row],[QT_AREA_EST]]))</f>
        <v>27.39</v>
      </c>
      <c r="Z109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27.39</v>
      </c>
      <c r="AA1094" s="1">
        <f>ESTIMATIVA[[#This Row],[QT_CANA_EST]]</f>
        <v>2054.25</v>
      </c>
      <c r="AB1094" s="1">
        <f>IF(ESTIMATIVA[[#This Row],[QT_CANA_REST1]]&gt;0,ESTIMATIVA[[#This Row],[QT_CANA_REST1]],
  IF(ESTIMATIVA[[#This Row],[QT_CANA_REAL]]&gt;0,ESTIMATIVA[[#This Row],[QT_CANA_REAL]],ESTIMATIVA[[#This Row],[QT_CANA_EST]]))</f>
        <v>2054.25</v>
      </c>
      <c r="AC109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1752.96</v>
      </c>
      <c r="AD1094" s="1">
        <f>IF(ESTIMATIVA[[#This Row],[QT_AREA_REAL]]&gt;0,ESTIMATIVA[[#This Row],[QT_CANA_REAL]],ESTIMATIVA[[#This Row],[QT_CANA_EST]])</f>
        <v>1232.94</v>
      </c>
      <c r="AE1094" s="1">
        <f>IF(ESTIMATIVA[[#This Row],[QT_AREA_REAL]]&gt;0,ESTIMATIVA[[#This Row],[QT_CANA_REAL]],ESTIMATIVA[[#This Row],[QT_CANA_REST1]])</f>
        <v>1232.94</v>
      </c>
      <c r="AF1094" s="1">
        <f>IF(ESTIMATIVA[[#This Row],[QT_AREA_REAL]]&gt;0,ESTIMATIVA[[#This Row],[QT_CANA_REAL]],ESTIMATIVA[[#This Row],[QT_CANA_REST2]])</f>
        <v>1232.94</v>
      </c>
      <c r="AG1094" s="1" t="str">
        <f>IF(COUNTIFS(GEADA!A:A,VALUE(ESTIMATIVA[[#This Row],[CD_UPNIVEL1]]&amp;TEXT(ESTIMATIVA[[#This Row],[CD_UPNIVEL3]],"0000")))&gt;0,"S","N")</f>
        <v>N</v>
      </c>
      <c r="AH109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94" s="55" t="str">
        <f>IF(ESTIMATIVA[[#This Row],[TP_CULTIVO]]="Irrigado",_xlfn.MAXIFS(IRRIGADO!J:J,IRRIGADO!C:C,ESTIMATIVA[[#This Row],[CD_UPNIVEL1]],IRRIGADO!E:E,ESTIMATIVA[[#This Row],[CD_UPNIVEL3]]),"")</f>
        <v/>
      </c>
      <c r="AJ109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94" s="1">
        <f>COUNTIFS(Apresentação!$E$23:$E$29,ESTIMATIVA[[#This Row],[CD_UPNIVEL1]])</f>
        <v>0</v>
      </c>
    </row>
    <row r="1095" spans="1:37" x14ac:dyDescent="0.3">
      <c r="A1095">
        <v>20491</v>
      </c>
      <c r="B1095" t="s">
        <v>61</v>
      </c>
      <c r="C1095">
        <v>7</v>
      </c>
      <c r="D1095">
        <v>3</v>
      </c>
      <c r="E1095" t="s">
        <v>263</v>
      </c>
      <c r="F1095" s="85" t="s">
        <v>331</v>
      </c>
      <c r="G1095"/>
      <c r="H1095" t="s">
        <v>294</v>
      </c>
      <c r="I1095" t="s">
        <v>195</v>
      </c>
      <c r="J1095" t="s">
        <v>176</v>
      </c>
      <c r="K1095" s="1">
        <v>22.88</v>
      </c>
      <c r="L1095" s="1">
        <v>22.88</v>
      </c>
      <c r="M1095" s="1">
        <v>22.88</v>
      </c>
      <c r="N1095" s="1">
        <v>22.88</v>
      </c>
      <c r="O1095" s="1">
        <v>1716</v>
      </c>
      <c r="P1095" s="1">
        <v>1716</v>
      </c>
      <c r="Q1095" s="1">
        <v>1464.32</v>
      </c>
      <c r="R1095" s="1">
        <v>521.99</v>
      </c>
      <c r="S1095" t="s">
        <v>12</v>
      </c>
      <c r="T1095" s="13">
        <v>45956</v>
      </c>
      <c r="U1095" s="1" t="str">
        <f>IF(ESTIMATIVA[[#This Row],[QT_AREA_REAL]]&gt;0,"1- Colhido","2- à Colher")</f>
        <v>1- Colhido</v>
      </c>
      <c r="V1095" s="1" t="str">
        <f>IF(ESTIMATIVA[[#This Row],[QT_AREA_REST1]]&gt;0,"Reestimativa 1",IF(ESTIMATIVA[[#This Row],[QT_AREA_REAL]]=0,"Reestimativa 1","Realizado"))</f>
        <v>Reestimativa 1</v>
      </c>
      <c r="W1095" s="1" t="str">
        <f>IF(ESTIMATIVA[[#This Row],[QT_AREA_REST2]]&gt;0,"Reestimativa 2",IF(ESTIMATIVA[[#This Row],[QT_AREA_REAL]]=0,"Reestimativa 2","Realizado"))</f>
        <v>Reestimativa 2</v>
      </c>
      <c r="X1095" s="1">
        <f>ESTIMATIVA[[#This Row],[QT_AREA_EST]]</f>
        <v>22.88</v>
      </c>
      <c r="Y1095" s="1">
        <f>IF(ESTIMATIVA[[#This Row],[QT_AREA_REST1]]&gt;0,ESTIMATIVA[[#This Row],[QT_AREA_REST1]],
  IF(ESTIMATIVA[[#This Row],[QT_AREA_REAL]]&gt;0,ESTIMATIVA[[#This Row],[QT_AREA_REAL]],ESTIMATIVA[[#This Row],[QT_AREA_EST]]))</f>
        <v>22.88</v>
      </c>
      <c r="Z109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22.88</v>
      </c>
      <c r="AA1095" s="1">
        <f>ESTIMATIVA[[#This Row],[QT_CANA_EST]]</f>
        <v>1716</v>
      </c>
      <c r="AB1095" s="1">
        <f>IF(ESTIMATIVA[[#This Row],[QT_CANA_REST1]]&gt;0,ESTIMATIVA[[#This Row],[QT_CANA_REST1]],
  IF(ESTIMATIVA[[#This Row],[QT_CANA_REAL]]&gt;0,ESTIMATIVA[[#This Row],[QT_CANA_REAL]],ESTIMATIVA[[#This Row],[QT_CANA_EST]]))</f>
        <v>1716</v>
      </c>
      <c r="AC109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1464.32</v>
      </c>
      <c r="AD1095" s="1">
        <f>IF(ESTIMATIVA[[#This Row],[QT_AREA_REAL]]&gt;0,ESTIMATIVA[[#This Row],[QT_CANA_REAL]],ESTIMATIVA[[#This Row],[QT_CANA_EST]])</f>
        <v>521.99</v>
      </c>
      <c r="AE1095" s="1">
        <f>IF(ESTIMATIVA[[#This Row],[QT_AREA_REAL]]&gt;0,ESTIMATIVA[[#This Row],[QT_CANA_REAL]],ESTIMATIVA[[#This Row],[QT_CANA_REST1]])</f>
        <v>521.99</v>
      </c>
      <c r="AF1095" s="1">
        <f>IF(ESTIMATIVA[[#This Row],[QT_AREA_REAL]]&gt;0,ESTIMATIVA[[#This Row],[QT_CANA_REAL]],ESTIMATIVA[[#This Row],[QT_CANA_REST2]])</f>
        <v>521.99</v>
      </c>
      <c r="AG1095" s="1" t="str">
        <f>IF(COUNTIFS(GEADA!A:A,VALUE(ESTIMATIVA[[#This Row],[CD_UPNIVEL1]]&amp;TEXT(ESTIMATIVA[[#This Row],[CD_UPNIVEL3]],"0000")))&gt;0,"S","N")</f>
        <v>N</v>
      </c>
      <c r="AH109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95" s="55" t="str">
        <f>IF(ESTIMATIVA[[#This Row],[TP_CULTIVO]]="Irrigado",_xlfn.MAXIFS(IRRIGADO!J:J,IRRIGADO!C:C,ESTIMATIVA[[#This Row],[CD_UPNIVEL1]],IRRIGADO!E:E,ESTIMATIVA[[#This Row],[CD_UPNIVEL3]]),"")</f>
        <v/>
      </c>
      <c r="AJ109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95" s="1">
        <f>COUNTIFS(Apresentação!$E$23:$E$29,ESTIMATIVA[[#This Row],[CD_UPNIVEL1]])</f>
        <v>0</v>
      </c>
    </row>
    <row r="1096" spans="1:37" x14ac:dyDescent="0.3">
      <c r="A1096">
        <v>20491</v>
      </c>
      <c r="B1096" t="s">
        <v>61</v>
      </c>
      <c r="C1096">
        <v>8</v>
      </c>
      <c r="D1096">
        <v>3</v>
      </c>
      <c r="E1096" t="s">
        <v>263</v>
      </c>
      <c r="F1096" s="85" t="s">
        <v>331</v>
      </c>
      <c r="G1096"/>
      <c r="H1096" t="s">
        <v>294</v>
      </c>
      <c r="I1096" t="s">
        <v>195</v>
      </c>
      <c r="J1096" t="s">
        <v>176</v>
      </c>
      <c r="K1096" s="1">
        <v>7.92</v>
      </c>
      <c r="L1096" s="1">
        <v>7.92</v>
      </c>
      <c r="M1096" s="1">
        <v>7.92</v>
      </c>
      <c r="N1096" s="1">
        <v>7.92</v>
      </c>
      <c r="O1096" s="1">
        <v>316.8</v>
      </c>
      <c r="P1096" s="1">
        <v>332.64</v>
      </c>
      <c r="Q1096" s="1">
        <v>332.64</v>
      </c>
      <c r="R1096" s="1">
        <v>403.37</v>
      </c>
      <c r="S1096" t="s">
        <v>12</v>
      </c>
      <c r="T1096" s="13">
        <v>45956</v>
      </c>
      <c r="U1096" s="1" t="str">
        <f>IF(ESTIMATIVA[[#This Row],[QT_AREA_REAL]]&gt;0,"1- Colhido","2- à Colher")</f>
        <v>1- Colhido</v>
      </c>
      <c r="V1096" s="1" t="str">
        <f>IF(ESTIMATIVA[[#This Row],[QT_AREA_REST1]]&gt;0,"Reestimativa 1",IF(ESTIMATIVA[[#This Row],[QT_AREA_REAL]]=0,"Reestimativa 1","Realizado"))</f>
        <v>Reestimativa 1</v>
      </c>
      <c r="W1096" s="1" t="str">
        <f>IF(ESTIMATIVA[[#This Row],[QT_AREA_REST2]]&gt;0,"Reestimativa 2",IF(ESTIMATIVA[[#This Row],[QT_AREA_REAL]]=0,"Reestimativa 2","Realizado"))</f>
        <v>Reestimativa 2</v>
      </c>
      <c r="X1096" s="1">
        <f>ESTIMATIVA[[#This Row],[QT_AREA_EST]]</f>
        <v>7.92</v>
      </c>
      <c r="Y1096" s="1">
        <f>IF(ESTIMATIVA[[#This Row],[QT_AREA_REST1]]&gt;0,ESTIMATIVA[[#This Row],[QT_AREA_REST1]],
  IF(ESTIMATIVA[[#This Row],[QT_AREA_REAL]]&gt;0,ESTIMATIVA[[#This Row],[QT_AREA_REAL]],ESTIMATIVA[[#This Row],[QT_AREA_EST]]))</f>
        <v>7.92</v>
      </c>
      <c r="Z109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7.92</v>
      </c>
      <c r="AA1096" s="1">
        <f>ESTIMATIVA[[#This Row],[QT_CANA_EST]]</f>
        <v>316.8</v>
      </c>
      <c r="AB1096" s="1">
        <f>IF(ESTIMATIVA[[#This Row],[QT_CANA_REST1]]&gt;0,ESTIMATIVA[[#This Row],[QT_CANA_REST1]],
  IF(ESTIMATIVA[[#This Row],[QT_CANA_REAL]]&gt;0,ESTIMATIVA[[#This Row],[QT_CANA_REAL]],ESTIMATIVA[[#This Row],[QT_CANA_EST]]))</f>
        <v>332.64</v>
      </c>
      <c r="AC109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332.64</v>
      </c>
      <c r="AD1096" s="1">
        <f>IF(ESTIMATIVA[[#This Row],[QT_AREA_REAL]]&gt;0,ESTIMATIVA[[#This Row],[QT_CANA_REAL]],ESTIMATIVA[[#This Row],[QT_CANA_EST]])</f>
        <v>403.37</v>
      </c>
      <c r="AE1096" s="1">
        <f>IF(ESTIMATIVA[[#This Row],[QT_AREA_REAL]]&gt;0,ESTIMATIVA[[#This Row],[QT_CANA_REAL]],ESTIMATIVA[[#This Row],[QT_CANA_REST1]])</f>
        <v>403.37</v>
      </c>
      <c r="AF1096" s="1">
        <f>IF(ESTIMATIVA[[#This Row],[QT_AREA_REAL]]&gt;0,ESTIMATIVA[[#This Row],[QT_CANA_REAL]],ESTIMATIVA[[#This Row],[QT_CANA_REST2]])</f>
        <v>403.37</v>
      </c>
      <c r="AG1096" s="1" t="str">
        <f>IF(COUNTIFS(GEADA!A:A,VALUE(ESTIMATIVA[[#This Row],[CD_UPNIVEL1]]&amp;TEXT(ESTIMATIVA[[#This Row],[CD_UPNIVEL3]],"0000")))&gt;0,"S","N")</f>
        <v>N</v>
      </c>
      <c r="AH109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96" s="55" t="str">
        <f>IF(ESTIMATIVA[[#This Row],[TP_CULTIVO]]="Irrigado",_xlfn.MAXIFS(IRRIGADO!J:J,IRRIGADO!C:C,ESTIMATIVA[[#This Row],[CD_UPNIVEL1]],IRRIGADO!E:E,ESTIMATIVA[[#This Row],[CD_UPNIVEL3]]),"")</f>
        <v/>
      </c>
      <c r="AJ109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96" s="1">
        <f>COUNTIFS(Apresentação!$E$23:$E$29,ESTIMATIVA[[#This Row],[CD_UPNIVEL1]])</f>
        <v>0</v>
      </c>
    </row>
    <row r="1097" spans="1:37" x14ac:dyDescent="0.3">
      <c r="A1097">
        <v>20491</v>
      </c>
      <c r="B1097" t="s">
        <v>61</v>
      </c>
      <c r="C1097">
        <v>14</v>
      </c>
      <c r="D1097">
        <v>6</v>
      </c>
      <c r="E1097" t="s">
        <v>261</v>
      </c>
      <c r="F1097" s="85" t="s">
        <v>331</v>
      </c>
      <c r="G1097"/>
      <c r="H1097" t="s">
        <v>294</v>
      </c>
      <c r="I1097" t="s">
        <v>195</v>
      </c>
      <c r="J1097" t="s">
        <v>176</v>
      </c>
      <c r="K1097" s="1">
        <v>39.11</v>
      </c>
      <c r="L1097" s="1">
        <v>39.11</v>
      </c>
      <c r="M1097" s="1">
        <v>39.11</v>
      </c>
      <c r="N1097" s="1">
        <v>39.11</v>
      </c>
      <c r="O1097" s="1">
        <v>2346.6</v>
      </c>
      <c r="P1097" s="1">
        <v>2346.6</v>
      </c>
      <c r="Q1097" s="1">
        <v>1955.5</v>
      </c>
      <c r="R1097" s="1">
        <v>1239.96</v>
      </c>
      <c r="S1097" t="s">
        <v>12</v>
      </c>
      <c r="T1097" s="13">
        <v>45956</v>
      </c>
      <c r="U1097" s="1" t="str">
        <f>IF(ESTIMATIVA[[#This Row],[QT_AREA_REAL]]&gt;0,"1- Colhido","2- à Colher")</f>
        <v>1- Colhido</v>
      </c>
      <c r="V1097" s="1" t="str">
        <f>IF(ESTIMATIVA[[#This Row],[QT_AREA_REST1]]&gt;0,"Reestimativa 1",IF(ESTIMATIVA[[#This Row],[QT_AREA_REAL]]=0,"Reestimativa 1","Realizado"))</f>
        <v>Reestimativa 1</v>
      </c>
      <c r="W1097" s="1" t="str">
        <f>IF(ESTIMATIVA[[#This Row],[QT_AREA_REST2]]&gt;0,"Reestimativa 2",IF(ESTIMATIVA[[#This Row],[QT_AREA_REAL]]=0,"Reestimativa 2","Realizado"))</f>
        <v>Reestimativa 2</v>
      </c>
      <c r="X1097" s="1">
        <f>ESTIMATIVA[[#This Row],[QT_AREA_EST]]</f>
        <v>39.11</v>
      </c>
      <c r="Y1097" s="1">
        <f>IF(ESTIMATIVA[[#This Row],[QT_AREA_REST1]]&gt;0,ESTIMATIVA[[#This Row],[QT_AREA_REST1]],
  IF(ESTIMATIVA[[#This Row],[QT_AREA_REAL]]&gt;0,ESTIMATIVA[[#This Row],[QT_AREA_REAL]],ESTIMATIVA[[#This Row],[QT_AREA_EST]]))</f>
        <v>39.11</v>
      </c>
      <c r="Z109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39.11</v>
      </c>
      <c r="AA1097" s="1">
        <f>ESTIMATIVA[[#This Row],[QT_CANA_EST]]</f>
        <v>2346.6</v>
      </c>
      <c r="AB1097" s="1">
        <f>IF(ESTIMATIVA[[#This Row],[QT_CANA_REST1]]&gt;0,ESTIMATIVA[[#This Row],[QT_CANA_REST1]],
  IF(ESTIMATIVA[[#This Row],[QT_CANA_REAL]]&gt;0,ESTIMATIVA[[#This Row],[QT_CANA_REAL]],ESTIMATIVA[[#This Row],[QT_CANA_EST]]))</f>
        <v>2346.6</v>
      </c>
      <c r="AC109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1955.5</v>
      </c>
      <c r="AD1097" s="1">
        <f>IF(ESTIMATIVA[[#This Row],[QT_AREA_REAL]]&gt;0,ESTIMATIVA[[#This Row],[QT_CANA_REAL]],ESTIMATIVA[[#This Row],[QT_CANA_EST]])</f>
        <v>1239.96</v>
      </c>
      <c r="AE1097" s="1">
        <f>IF(ESTIMATIVA[[#This Row],[QT_AREA_REAL]]&gt;0,ESTIMATIVA[[#This Row],[QT_CANA_REAL]],ESTIMATIVA[[#This Row],[QT_CANA_REST1]])</f>
        <v>1239.96</v>
      </c>
      <c r="AF1097" s="1">
        <f>IF(ESTIMATIVA[[#This Row],[QT_AREA_REAL]]&gt;0,ESTIMATIVA[[#This Row],[QT_CANA_REAL]],ESTIMATIVA[[#This Row],[QT_CANA_REST2]])</f>
        <v>1239.96</v>
      </c>
      <c r="AG1097" s="1" t="str">
        <f>IF(COUNTIFS(GEADA!A:A,VALUE(ESTIMATIVA[[#This Row],[CD_UPNIVEL1]]&amp;TEXT(ESTIMATIVA[[#This Row],[CD_UPNIVEL3]],"0000")))&gt;0,"S","N")</f>
        <v>N</v>
      </c>
      <c r="AH109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97" s="55" t="str">
        <f>IF(ESTIMATIVA[[#This Row],[TP_CULTIVO]]="Irrigado",_xlfn.MAXIFS(IRRIGADO!J:J,IRRIGADO!C:C,ESTIMATIVA[[#This Row],[CD_UPNIVEL1]],IRRIGADO!E:E,ESTIMATIVA[[#This Row],[CD_UPNIVEL3]]),"")</f>
        <v/>
      </c>
      <c r="AJ109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97" s="1">
        <f>COUNTIFS(Apresentação!$E$23:$E$29,ESTIMATIVA[[#This Row],[CD_UPNIVEL1]])</f>
        <v>0</v>
      </c>
    </row>
    <row r="1098" spans="1:37" x14ac:dyDescent="0.3">
      <c r="A1098">
        <v>20491</v>
      </c>
      <c r="B1098" t="s">
        <v>61</v>
      </c>
      <c r="C1098">
        <v>15</v>
      </c>
      <c r="D1098">
        <v>6</v>
      </c>
      <c r="E1098" t="s">
        <v>261</v>
      </c>
      <c r="F1098" s="85" t="s">
        <v>331</v>
      </c>
      <c r="G1098"/>
      <c r="H1098" t="s">
        <v>294</v>
      </c>
      <c r="I1098" t="s">
        <v>195</v>
      </c>
      <c r="J1098" t="s">
        <v>176</v>
      </c>
      <c r="K1098" s="1">
        <v>49.23</v>
      </c>
      <c r="L1098" s="1">
        <v>49.23</v>
      </c>
      <c r="M1098" s="1">
        <v>49.23</v>
      </c>
      <c r="N1098" s="1">
        <v>49.23</v>
      </c>
      <c r="O1098" s="1">
        <v>2953.8</v>
      </c>
      <c r="P1098" s="1">
        <v>2953.8</v>
      </c>
      <c r="Q1098" s="1">
        <v>2461.5</v>
      </c>
      <c r="R1098" s="1">
        <v>1560.74</v>
      </c>
      <c r="S1098" t="s">
        <v>12</v>
      </c>
      <c r="T1098" s="13">
        <v>45956</v>
      </c>
      <c r="U1098" s="1" t="str">
        <f>IF(ESTIMATIVA[[#This Row],[QT_AREA_REAL]]&gt;0,"1- Colhido","2- à Colher")</f>
        <v>1- Colhido</v>
      </c>
      <c r="V1098" s="1" t="str">
        <f>IF(ESTIMATIVA[[#This Row],[QT_AREA_REST1]]&gt;0,"Reestimativa 1",IF(ESTIMATIVA[[#This Row],[QT_AREA_REAL]]=0,"Reestimativa 1","Realizado"))</f>
        <v>Reestimativa 1</v>
      </c>
      <c r="W1098" s="1" t="str">
        <f>IF(ESTIMATIVA[[#This Row],[QT_AREA_REST2]]&gt;0,"Reestimativa 2",IF(ESTIMATIVA[[#This Row],[QT_AREA_REAL]]=0,"Reestimativa 2","Realizado"))</f>
        <v>Reestimativa 2</v>
      </c>
      <c r="X1098" s="1">
        <f>ESTIMATIVA[[#This Row],[QT_AREA_EST]]</f>
        <v>49.23</v>
      </c>
      <c r="Y1098" s="1">
        <f>IF(ESTIMATIVA[[#This Row],[QT_AREA_REST1]]&gt;0,ESTIMATIVA[[#This Row],[QT_AREA_REST1]],
  IF(ESTIMATIVA[[#This Row],[QT_AREA_REAL]]&gt;0,ESTIMATIVA[[#This Row],[QT_AREA_REAL]],ESTIMATIVA[[#This Row],[QT_AREA_EST]]))</f>
        <v>49.23</v>
      </c>
      <c r="Z109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49.23</v>
      </c>
      <c r="AA1098" s="1">
        <f>ESTIMATIVA[[#This Row],[QT_CANA_EST]]</f>
        <v>2953.8</v>
      </c>
      <c r="AB1098" s="1">
        <f>IF(ESTIMATIVA[[#This Row],[QT_CANA_REST1]]&gt;0,ESTIMATIVA[[#This Row],[QT_CANA_REST1]],
  IF(ESTIMATIVA[[#This Row],[QT_CANA_REAL]]&gt;0,ESTIMATIVA[[#This Row],[QT_CANA_REAL]],ESTIMATIVA[[#This Row],[QT_CANA_EST]]))</f>
        <v>2953.8</v>
      </c>
      <c r="AC109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2461.5</v>
      </c>
      <c r="AD1098" s="1">
        <f>IF(ESTIMATIVA[[#This Row],[QT_AREA_REAL]]&gt;0,ESTIMATIVA[[#This Row],[QT_CANA_REAL]],ESTIMATIVA[[#This Row],[QT_CANA_EST]])</f>
        <v>1560.74</v>
      </c>
      <c r="AE1098" s="1">
        <f>IF(ESTIMATIVA[[#This Row],[QT_AREA_REAL]]&gt;0,ESTIMATIVA[[#This Row],[QT_CANA_REAL]],ESTIMATIVA[[#This Row],[QT_CANA_REST1]])</f>
        <v>1560.74</v>
      </c>
      <c r="AF1098" s="1">
        <f>IF(ESTIMATIVA[[#This Row],[QT_AREA_REAL]]&gt;0,ESTIMATIVA[[#This Row],[QT_CANA_REAL]],ESTIMATIVA[[#This Row],[QT_CANA_REST2]])</f>
        <v>1560.74</v>
      </c>
      <c r="AG1098" s="1" t="str">
        <f>IF(COUNTIFS(GEADA!A:A,VALUE(ESTIMATIVA[[#This Row],[CD_UPNIVEL1]]&amp;TEXT(ESTIMATIVA[[#This Row],[CD_UPNIVEL3]],"0000")))&gt;0,"S","N")</f>
        <v>N</v>
      </c>
      <c r="AH109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98" s="55" t="str">
        <f>IF(ESTIMATIVA[[#This Row],[TP_CULTIVO]]="Irrigado",_xlfn.MAXIFS(IRRIGADO!J:J,IRRIGADO!C:C,ESTIMATIVA[[#This Row],[CD_UPNIVEL1]],IRRIGADO!E:E,ESTIMATIVA[[#This Row],[CD_UPNIVEL3]]),"")</f>
        <v/>
      </c>
      <c r="AJ109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98" s="1">
        <f>COUNTIFS(Apresentação!$E$23:$E$29,ESTIMATIVA[[#This Row],[CD_UPNIVEL1]])</f>
        <v>0</v>
      </c>
    </row>
    <row r="1099" spans="1:37" x14ac:dyDescent="0.3">
      <c r="A1099">
        <v>20491</v>
      </c>
      <c r="B1099" t="s">
        <v>61</v>
      </c>
      <c r="C1099">
        <v>16</v>
      </c>
      <c r="D1099">
        <v>6</v>
      </c>
      <c r="E1099" t="s">
        <v>261</v>
      </c>
      <c r="F1099" s="85" t="s">
        <v>331</v>
      </c>
      <c r="G1099"/>
      <c r="H1099" t="s">
        <v>294</v>
      </c>
      <c r="I1099" t="s">
        <v>195</v>
      </c>
      <c r="J1099" t="s">
        <v>176</v>
      </c>
      <c r="K1099" s="1">
        <v>8.33</v>
      </c>
      <c r="L1099" s="1">
        <v>8.33</v>
      </c>
      <c r="M1099" s="1">
        <v>8.33</v>
      </c>
      <c r="N1099" s="1">
        <v>8.33</v>
      </c>
      <c r="O1099" s="1">
        <v>499.8</v>
      </c>
      <c r="P1099" s="1">
        <v>499.8</v>
      </c>
      <c r="Q1099" s="1">
        <v>416.5</v>
      </c>
      <c r="R1099" s="1">
        <v>264.3</v>
      </c>
      <c r="S1099" t="s">
        <v>12</v>
      </c>
      <c r="T1099" s="13">
        <v>45956</v>
      </c>
      <c r="U1099" s="1" t="str">
        <f>IF(ESTIMATIVA[[#This Row],[QT_AREA_REAL]]&gt;0,"1- Colhido","2- à Colher")</f>
        <v>1- Colhido</v>
      </c>
      <c r="V1099" s="1" t="str">
        <f>IF(ESTIMATIVA[[#This Row],[QT_AREA_REST1]]&gt;0,"Reestimativa 1",IF(ESTIMATIVA[[#This Row],[QT_AREA_REAL]]=0,"Reestimativa 1","Realizado"))</f>
        <v>Reestimativa 1</v>
      </c>
      <c r="W1099" s="1" t="str">
        <f>IF(ESTIMATIVA[[#This Row],[QT_AREA_REST2]]&gt;0,"Reestimativa 2",IF(ESTIMATIVA[[#This Row],[QT_AREA_REAL]]=0,"Reestimativa 2","Realizado"))</f>
        <v>Reestimativa 2</v>
      </c>
      <c r="X1099" s="1">
        <f>ESTIMATIVA[[#This Row],[QT_AREA_EST]]</f>
        <v>8.33</v>
      </c>
      <c r="Y1099" s="1">
        <f>IF(ESTIMATIVA[[#This Row],[QT_AREA_REST1]]&gt;0,ESTIMATIVA[[#This Row],[QT_AREA_REST1]],
  IF(ESTIMATIVA[[#This Row],[QT_AREA_REAL]]&gt;0,ESTIMATIVA[[#This Row],[QT_AREA_REAL]],ESTIMATIVA[[#This Row],[QT_AREA_EST]]))</f>
        <v>8.33</v>
      </c>
      <c r="Z109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8.33</v>
      </c>
      <c r="AA1099" s="1">
        <f>ESTIMATIVA[[#This Row],[QT_CANA_EST]]</f>
        <v>499.8</v>
      </c>
      <c r="AB1099" s="1">
        <f>IF(ESTIMATIVA[[#This Row],[QT_CANA_REST1]]&gt;0,ESTIMATIVA[[#This Row],[QT_CANA_REST1]],
  IF(ESTIMATIVA[[#This Row],[QT_CANA_REAL]]&gt;0,ESTIMATIVA[[#This Row],[QT_CANA_REAL]],ESTIMATIVA[[#This Row],[QT_CANA_EST]]))</f>
        <v>499.8</v>
      </c>
      <c r="AC109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416.5</v>
      </c>
      <c r="AD1099" s="1">
        <f>IF(ESTIMATIVA[[#This Row],[QT_AREA_REAL]]&gt;0,ESTIMATIVA[[#This Row],[QT_CANA_REAL]],ESTIMATIVA[[#This Row],[QT_CANA_EST]])</f>
        <v>264.3</v>
      </c>
      <c r="AE1099" s="1">
        <f>IF(ESTIMATIVA[[#This Row],[QT_AREA_REAL]]&gt;0,ESTIMATIVA[[#This Row],[QT_CANA_REAL]],ESTIMATIVA[[#This Row],[QT_CANA_REST1]])</f>
        <v>264.3</v>
      </c>
      <c r="AF1099" s="1">
        <f>IF(ESTIMATIVA[[#This Row],[QT_AREA_REAL]]&gt;0,ESTIMATIVA[[#This Row],[QT_CANA_REAL]],ESTIMATIVA[[#This Row],[QT_CANA_REST2]])</f>
        <v>264.3</v>
      </c>
      <c r="AG1099" s="1" t="str">
        <f>IF(COUNTIFS(GEADA!A:A,VALUE(ESTIMATIVA[[#This Row],[CD_UPNIVEL1]]&amp;TEXT(ESTIMATIVA[[#This Row],[CD_UPNIVEL3]],"0000")))&gt;0,"S","N")</f>
        <v>N</v>
      </c>
      <c r="AH109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099" s="55" t="str">
        <f>IF(ESTIMATIVA[[#This Row],[TP_CULTIVO]]="Irrigado",_xlfn.MAXIFS(IRRIGADO!J:J,IRRIGADO!C:C,ESTIMATIVA[[#This Row],[CD_UPNIVEL1]],IRRIGADO!E:E,ESTIMATIVA[[#This Row],[CD_UPNIVEL3]]),"")</f>
        <v/>
      </c>
      <c r="AJ109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099" s="1">
        <f>COUNTIFS(Apresentação!$E$23:$E$29,ESTIMATIVA[[#This Row],[CD_UPNIVEL1]])</f>
        <v>0</v>
      </c>
    </row>
    <row r="1100" spans="1:37" x14ac:dyDescent="0.3">
      <c r="A1100">
        <v>20491</v>
      </c>
      <c r="B1100" t="s">
        <v>61</v>
      </c>
      <c r="C1100">
        <v>17</v>
      </c>
      <c r="D1100">
        <v>6</v>
      </c>
      <c r="E1100" t="s">
        <v>261</v>
      </c>
      <c r="F1100" s="85" t="s">
        <v>331</v>
      </c>
      <c r="G1100"/>
      <c r="H1100" t="s">
        <v>294</v>
      </c>
      <c r="I1100" t="s">
        <v>195</v>
      </c>
      <c r="J1100" t="s">
        <v>176</v>
      </c>
      <c r="K1100" s="1">
        <v>5.04</v>
      </c>
      <c r="L1100" s="1">
        <v>5.04</v>
      </c>
      <c r="M1100" s="1">
        <v>5.04</v>
      </c>
      <c r="N1100" s="1">
        <v>5.04</v>
      </c>
      <c r="O1100" s="1">
        <v>302.39999999999998</v>
      </c>
      <c r="P1100" s="1">
        <v>302.39999999999998</v>
      </c>
      <c r="Q1100" s="1">
        <v>252</v>
      </c>
      <c r="R1100" s="1">
        <v>159.69</v>
      </c>
      <c r="S1100" t="s">
        <v>12</v>
      </c>
      <c r="T1100" s="13">
        <v>45956</v>
      </c>
      <c r="U1100" s="1" t="str">
        <f>IF(ESTIMATIVA[[#This Row],[QT_AREA_REAL]]&gt;0,"1- Colhido","2- à Colher")</f>
        <v>1- Colhido</v>
      </c>
      <c r="V1100" s="1" t="str">
        <f>IF(ESTIMATIVA[[#This Row],[QT_AREA_REST1]]&gt;0,"Reestimativa 1",IF(ESTIMATIVA[[#This Row],[QT_AREA_REAL]]=0,"Reestimativa 1","Realizado"))</f>
        <v>Reestimativa 1</v>
      </c>
      <c r="W1100" s="1" t="str">
        <f>IF(ESTIMATIVA[[#This Row],[QT_AREA_REST2]]&gt;0,"Reestimativa 2",IF(ESTIMATIVA[[#This Row],[QT_AREA_REAL]]=0,"Reestimativa 2","Realizado"))</f>
        <v>Reestimativa 2</v>
      </c>
      <c r="X1100" s="1">
        <f>ESTIMATIVA[[#This Row],[QT_AREA_EST]]</f>
        <v>5.04</v>
      </c>
      <c r="Y1100" s="1">
        <f>IF(ESTIMATIVA[[#This Row],[QT_AREA_REST1]]&gt;0,ESTIMATIVA[[#This Row],[QT_AREA_REST1]],
  IF(ESTIMATIVA[[#This Row],[QT_AREA_REAL]]&gt;0,ESTIMATIVA[[#This Row],[QT_AREA_REAL]],ESTIMATIVA[[#This Row],[QT_AREA_EST]]))</f>
        <v>5.04</v>
      </c>
      <c r="Z110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5.04</v>
      </c>
      <c r="AA1100" s="1">
        <f>ESTIMATIVA[[#This Row],[QT_CANA_EST]]</f>
        <v>302.39999999999998</v>
      </c>
      <c r="AB1100" s="1">
        <f>IF(ESTIMATIVA[[#This Row],[QT_CANA_REST1]]&gt;0,ESTIMATIVA[[#This Row],[QT_CANA_REST1]],
  IF(ESTIMATIVA[[#This Row],[QT_CANA_REAL]]&gt;0,ESTIMATIVA[[#This Row],[QT_CANA_REAL]],ESTIMATIVA[[#This Row],[QT_CANA_EST]]))</f>
        <v>302.39999999999998</v>
      </c>
      <c r="AC110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252</v>
      </c>
      <c r="AD1100" s="1">
        <f>IF(ESTIMATIVA[[#This Row],[QT_AREA_REAL]]&gt;0,ESTIMATIVA[[#This Row],[QT_CANA_REAL]],ESTIMATIVA[[#This Row],[QT_CANA_EST]])</f>
        <v>159.69</v>
      </c>
      <c r="AE1100" s="1">
        <f>IF(ESTIMATIVA[[#This Row],[QT_AREA_REAL]]&gt;0,ESTIMATIVA[[#This Row],[QT_CANA_REAL]],ESTIMATIVA[[#This Row],[QT_CANA_REST1]])</f>
        <v>159.69</v>
      </c>
      <c r="AF1100" s="1">
        <f>IF(ESTIMATIVA[[#This Row],[QT_AREA_REAL]]&gt;0,ESTIMATIVA[[#This Row],[QT_CANA_REAL]],ESTIMATIVA[[#This Row],[QT_CANA_REST2]])</f>
        <v>159.69</v>
      </c>
      <c r="AG1100" s="1" t="str">
        <f>IF(COUNTIFS(GEADA!A:A,VALUE(ESTIMATIVA[[#This Row],[CD_UPNIVEL1]]&amp;TEXT(ESTIMATIVA[[#This Row],[CD_UPNIVEL3]],"0000")))&gt;0,"S","N")</f>
        <v>N</v>
      </c>
      <c r="AH110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00" s="55" t="str">
        <f>IF(ESTIMATIVA[[#This Row],[TP_CULTIVO]]="Irrigado",_xlfn.MAXIFS(IRRIGADO!J:J,IRRIGADO!C:C,ESTIMATIVA[[#This Row],[CD_UPNIVEL1]],IRRIGADO!E:E,ESTIMATIVA[[#This Row],[CD_UPNIVEL3]]),"")</f>
        <v/>
      </c>
      <c r="AJ110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00" s="1">
        <f>COUNTIFS(Apresentação!$E$23:$E$29,ESTIMATIVA[[#This Row],[CD_UPNIVEL1]])</f>
        <v>0</v>
      </c>
    </row>
    <row r="1101" spans="1:37" x14ac:dyDescent="0.3">
      <c r="A1101">
        <v>20491</v>
      </c>
      <c r="B1101" t="s">
        <v>61</v>
      </c>
      <c r="C1101">
        <v>18</v>
      </c>
      <c r="D1101">
        <v>6</v>
      </c>
      <c r="E1101" t="s">
        <v>261</v>
      </c>
      <c r="F1101" s="85" t="s">
        <v>331</v>
      </c>
      <c r="G1101"/>
      <c r="H1101" t="s">
        <v>294</v>
      </c>
      <c r="I1101" t="s">
        <v>195</v>
      </c>
      <c r="J1101" t="s">
        <v>176</v>
      </c>
      <c r="K1101" s="1">
        <v>17.89</v>
      </c>
      <c r="L1101" s="1">
        <v>17.89</v>
      </c>
      <c r="M1101" s="1">
        <v>17.89</v>
      </c>
      <c r="N1101" s="1">
        <v>17.89</v>
      </c>
      <c r="O1101" s="1">
        <v>1073.4000000000001</v>
      </c>
      <c r="P1101" s="1">
        <v>1073.4000000000001</v>
      </c>
      <c r="Q1101" s="1">
        <v>894.5</v>
      </c>
      <c r="R1101" s="1">
        <v>567.33000000000004</v>
      </c>
      <c r="S1101" t="s">
        <v>12</v>
      </c>
      <c r="T1101" s="13">
        <v>45956</v>
      </c>
      <c r="U1101" s="1" t="str">
        <f>IF(ESTIMATIVA[[#This Row],[QT_AREA_REAL]]&gt;0,"1- Colhido","2- à Colher")</f>
        <v>1- Colhido</v>
      </c>
      <c r="V1101" s="1" t="str">
        <f>IF(ESTIMATIVA[[#This Row],[QT_AREA_REST1]]&gt;0,"Reestimativa 1",IF(ESTIMATIVA[[#This Row],[QT_AREA_REAL]]=0,"Reestimativa 1","Realizado"))</f>
        <v>Reestimativa 1</v>
      </c>
      <c r="W1101" s="1" t="str">
        <f>IF(ESTIMATIVA[[#This Row],[QT_AREA_REST2]]&gt;0,"Reestimativa 2",IF(ESTIMATIVA[[#This Row],[QT_AREA_REAL]]=0,"Reestimativa 2","Realizado"))</f>
        <v>Reestimativa 2</v>
      </c>
      <c r="X1101" s="1">
        <f>ESTIMATIVA[[#This Row],[QT_AREA_EST]]</f>
        <v>17.89</v>
      </c>
      <c r="Y1101" s="1">
        <f>IF(ESTIMATIVA[[#This Row],[QT_AREA_REST1]]&gt;0,ESTIMATIVA[[#This Row],[QT_AREA_REST1]],
  IF(ESTIMATIVA[[#This Row],[QT_AREA_REAL]]&gt;0,ESTIMATIVA[[#This Row],[QT_AREA_REAL]],ESTIMATIVA[[#This Row],[QT_AREA_EST]]))</f>
        <v>17.89</v>
      </c>
      <c r="Z110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17.89</v>
      </c>
      <c r="AA1101" s="1">
        <f>ESTIMATIVA[[#This Row],[QT_CANA_EST]]</f>
        <v>1073.4000000000001</v>
      </c>
      <c r="AB1101" s="1">
        <f>IF(ESTIMATIVA[[#This Row],[QT_CANA_REST1]]&gt;0,ESTIMATIVA[[#This Row],[QT_CANA_REST1]],
  IF(ESTIMATIVA[[#This Row],[QT_CANA_REAL]]&gt;0,ESTIMATIVA[[#This Row],[QT_CANA_REAL]],ESTIMATIVA[[#This Row],[QT_CANA_EST]]))</f>
        <v>1073.4000000000001</v>
      </c>
      <c r="AC110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894.5</v>
      </c>
      <c r="AD1101" s="1">
        <f>IF(ESTIMATIVA[[#This Row],[QT_AREA_REAL]]&gt;0,ESTIMATIVA[[#This Row],[QT_CANA_REAL]],ESTIMATIVA[[#This Row],[QT_CANA_EST]])</f>
        <v>567.33000000000004</v>
      </c>
      <c r="AE1101" s="1">
        <f>IF(ESTIMATIVA[[#This Row],[QT_AREA_REAL]]&gt;0,ESTIMATIVA[[#This Row],[QT_CANA_REAL]],ESTIMATIVA[[#This Row],[QT_CANA_REST1]])</f>
        <v>567.33000000000004</v>
      </c>
      <c r="AF1101" s="1">
        <f>IF(ESTIMATIVA[[#This Row],[QT_AREA_REAL]]&gt;0,ESTIMATIVA[[#This Row],[QT_CANA_REAL]],ESTIMATIVA[[#This Row],[QT_CANA_REST2]])</f>
        <v>567.33000000000004</v>
      </c>
      <c r="AG1101" s="1" t="str">
        <f>IF(COUNTIFS(GEADA!A:A,VALUE(ESTIMATIVA[[#This Row],[CD_UPNIVEL1]]&amp;TEXT(ESTIMATIVA[[#This Row],[CD_UPNIVEL3]],"0000")))&gt;0,"S","N")</f>
        <v>N</v>
      </c>
      <c r="AH110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01" s="55" t="str">
        <f>IF(ESTIMATIVA[[#This Row],[TP_CULTIVO]]="Irrigado",_xlfn.MAXIFS(IRRIGADO!J:J,IRRIGADO!C:C,ESTIMATIVA[[#This Row],[CD_UPNIVEL1]],IRRIGADO!E:E,ESTIMATIVA[[#This Row],[CD_UPNIVEL3]]),"")</f>
        <v/>
      </c>
      <c r="AJ110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01" s="1">
        <f>COUNTIFS(Apresentação!$E$23:$E$29,ESTIMATIVA[[#This Row],[CD_UPNIVEL1]])</f>
        <v>0</v>
      </c>
    </row>
    <row r="1102" spans="1:37" x14ac:dyDescent="0.3">
      <c r="A1102">
        <v>20491</v>
      </c>
      <c r="B1102" t="s">
        <v>61</v>
      </c>
      <c r="C1102">
        <v>20</v>
      </c>
      <c r="D1102">
        <v>6</v>
      </c>
      <c r="E1102" t="s">
        <v>261</v>
      </c>
      <c r="F1102" s="85" t="s">
        <v>331</v>
      </c>
      <c r="G1102"/>
      <c r="H1102" t="s">
        <v>294</v>
      </c>
      <c r="I1102" t="s">
        <v>195</v>
      </c>
      <c r="J1102" t="s">
        <v>176</v>
      </c>
      <c r="K1102" s="1">
        <v>6.16</v>
      </c>
      <c r="L1102" s="1">
        <v>6.16</v>
      </c>
      <c r="M1102" s="1">
        <v>6.16</v>
      </c>
      <c r="N1102" s="1">
        <v>6.16</v>
      </c>
      <c r="O1102" s="1">
        <v>369.6</v>
      </c>
      <c r="P1102" s="1">
        <v>369.6</v>
      </c>
      <c r="Q1102" s="1">
        <v>308</v>
      </c>
      <c r="R1102" s="1">
        <v>195.59</v>
      </c>
      <c r="S1102" t="s">
        <v>12</v>
      </c>
      <c r="T1102" s="13">
        <v>45956</v>
      </c>
      <c r="U1102" s="1" t="str">
        <f>IF(ESTIMATIVA[[#This Row],[QT_AREA_REAL]]&gt;0,"1- Colhido","2- à Colher")</f>
        <v>1- Colhido</v>
      </c>
      <c r="V1102" s="1" t="str">
        <f>IF(ESTIMATIVA[[#This Row],[QT_AREA_REST1]]&gt;0,"Reestimativa 1",IF(ESTIMATIVA[[#This Row],[QT_AREA_REAL]]=0,"Reestimativa 1","Realizado"))</f>
        <v>Reestimativa 1</v>
      </c>
      <c r="W1102" s="1" t="str">
        <f>IF(ESTIMATIVA[[#This Row],[QT_AREA_REST2]]&gt;0,"Reestimativa 2",IF(ESTIMATIVA[[#This Row],[QT_AREA_REAL]]=0,"Reestimativa 2","Realizado"))</f>
        <v>Reestimativa 2</v>
      </c>
      <c r="X1102" s="1">
        <f>ESTIMATIVA[[#This Row],[QT_AREA_EST]]</f>
        <v>6.16</v>
      </c>
      <c r="Y1102" s="1">
        <f>IF(ESTIMATIVA[[#This Row],[QT_AREA_REST1]]&gt;0,ESTIMATIVA[[#This Row],[QT_AREA_REST1]],
  IF(ESTIMATIVA[[#This Row],[QT_AREA_REAL]]&gt;0,ESTIMATIVA[[#This Row],[QT_AREA_REAL]],ESTIMATIVA[[#This Row],[QT_AREA_EST]]))</f>
        <v>6.16</v>
      </c>
      <c r="Z110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6.16</v>
      </c>
      <c r="AA1102" s="1">
        <f>ESTIMATIVA[[#This Row],[QT_CANA_EST]]</f>
        <v>369.6</v>
      </c>
      <c r="AB1102" s="1">
        <f>IF(ESTIMATIVA[[#This Row],[QT_CANA_REST1]]&gt;0,ESTIMATIVA[[#This Row],[QT_CANA_REST1]],
  IF(ESTIMATIVA[[#This Row],[QT_CANA_REAL]]&gt;0,ESTIMATIVA[[#This Row],[QT_CANA_REAL]],ESTIMATIVA[[#This Row],[QT_CANA_EST]]))</f>
        <v>369.6</v>
      </c>
      <c r="AC110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308</v>
      </c>
      <c r="AD1102" s="1">
        <f>IF(ESTIMATIVA[[#This Row],[QT_AREA_REAL]]&gt;0,ESTIMATIVA[[#This Row],[QT_CANA_REAL]],ESTIMATIVA[[#This Row],[QT_CANA_EST]])</f>
        <v>195.59</v>
      </c>
      <c r="AE1102" s="1">
        <f>IF(ESTIMATIVA[[#This Row],[QT_AREA_REAL]]&gt;0,ESTIMATIVA[[#This Row],[QT_CANA_REAL]],ESTIMATIVA[[#This Row],[QT_CANA_REST1]])</f>
        <v>195.59</v>
      </c>
      <c r="AF1102" s="1">
        <f>IF(ESTIMATIVA[[#This Row],[QT_AREA_REAL]]&gt;0,ESTIMATIVA[[#This Row],[QT_CANA_REAL]],ESTIMATIVA[[#This Row],[QT_CANA_REST2]])</f>
        <v>195.59</v>
      </c>
      <c r="AG1102" s="1" t="str">
        <f>IF(COUNTIFS(GEADA!A:A,VALUE(ESTIMATIVA[[#This Row],[CD_UPNIVEL1]]&amp;TEXT(ESTIMATIVA[[#This Row],[CD_UPNIVEL3]],"0000")))&gt;0,"S","N")</f>
        <v>N</v>
      </c>
      <c r="AH110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02" s="55" t="str">
        <f>IF(ESTIMATIVA[[#This Row],[TP_CULTIVO]]="Irrigado",_xlfn.MAXIFS(IRRIGADO!J:J,IRRIGADO!C:C,ESTIMATIVA[[#This Row],[CD_UPNIVEL1]],IRRIGADO!E:E,ESTIMATIVA[[#This Row],[CD_UPNIVEL3]]),"")</f>
        <v/>
      </c>
      <c r="AJ110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02" s="1">
        <f>COUNTIFS(Apresentação!$E$23:$E$29,ESTIMATIVA[[#This Row],[CD_UPNIVEL1]])</f>
        <v>0</v>
      </c>
    </row>
    <row r="1103" spans="1:37" x14ac:dyDescent="0.3">
      <c r="A1103">
        <v>20491</v>
      </c>
      <c r="B1103" t="s">
        <v>61</v>
      </c>
      <c r="C1103">
        <v>21</v>
      </c>
      <c r="D1103">
        <v>2</v>
      </c>
      <c r="E1103" t="s">
        <v>266</v>
      </c>
      <c r="F1103" s="85" t="s">
        <v>331</v>
      </c>
      <c r="G1103"/>
      <c r="H1103" t="s">
        <v>294</v>
      </c>
      <c r="I1103" t="s">
        <v>205</v>
      </c>
      <c r="J1103" t="s">
        <v>176</v>
      </c>
      <c r="K1103" s="1">
        <v>16.89</v>
      </c>
      <c r="L1103" s="1">
        <v>16.89</v>
      </c>
      <c r="M1103" s="1">
        <v>0</v>
      </c>
      <c r="N1103" s="1">
        <v>16.89</v>
      </c>
      <c r="O1103" s="1">
        <v>1486.32</v>
      </c>
      <c r="P1103" s="1">
        <v>1486.32</v>
      </c>
      <c r="Q1103" s="1">
        <v>0</v>
      </c>
      <c r="R1103" s="1">
        <v>1403.66</v>
      </c>
      <c r="S1103" t="s">
        <v>12</v>
      </c>
      <c r="T1103" s="13">
        <v>45900</v>
      </c>
      <c r="U1103" s="1" t="str">
        <f>IF(ESTIMATIVA[[#This Row],[QT_AREA_REAL]]&gt;0,"1- Colhido","2- à Colher")</f>
        <v>1- Colhido</v>
      </c>
      <c r="V1103" s="1" t="str">
        <f>IF(ESTIMATIVA[[#This Row],[QT_AREA_REST1]]&gt;0,"Reestimativa 1",IF(ESTIMATIVA[[#This Row],[QT_AREA_REAL]]=0,"Reestimativa 1","Realizado"))</f>
        <v>Reestimativa 1</v>
      </c>
      <c r="W1103" s="1" t="str">
        <f>IF(ESTIMATIVA[[#This Row],[QT_AREA_REST2]]&gt;0,"Reestimativa 2",IF(ESTIMATIVA[[#This Row],[QT_AREA_REAL]]=0,"Reestimativa 2","Realizado"))</f>
        <v>Realizado</v>
      </c>
      <c r="X1103" s="1">
        <f>ESTIMATIVA[[#This Row],[QT_AREA_EST]]</f>
        <v>16.89</v>
      </c>
      <c r="Y1103" s="1">
        <f>IF(ESTIMATIVA[[#This Row],[QT_AREA_REST1]]&gt;0,ESTIMATIVA[[#This Row],[QT_AREA_REST1]],
  IF(ESTIMATIVA[[#This Row],[QT_AREA_REAL]]&gt;0,ESTIMATIVA[[#This Row],[QT_AREA_REAL]],ESTIMATIVA[[#This Row],[QT_AREA_EST]]))</f>
        <v>16.89</v>
      </c>
      <c r="Z110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16.89</v>
      </c>
      <c r="AA1103" s="1">
        <f>ESTIMATIVA[[#This Row],[QT_CANA_EST]]</f>
        <v>1486.32</v>
      </c>
      <c r="AB1103" s="1">
        <f>IF(ESTIMATIVA[[#This Row],[QT_CANA_REST1]]&gt;0,ESTIMATIVA[[#This Row],[QT_CANA_REST1]],
  IF(ESTIMATIVA[[#This Row],[QT_CANA_REAL]]&gt;0,ESTIMATIVA[[#This Row],[QT_CANA_REAL]],ESTIMATIVA[[#This Row],[QT_CANA_EST]]))</f>
        <v>1486.32</v>
      </c>
      <c r="AC110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1403.66</v>
      </c>
      <c r="AD1103" s="1">
        <f>IF(ESTIMATIVA[[#This Row],[QT_AREA_REAL]]&gt;0,ESTIMATIVA[[#This Row],[QT_CANA_REAL]],ESTIMATIVA[[#This Row],[QT_CANA_EST]])</f>
        <v>1403.66</v>
      </c>
      <c r="AE1103" s="1">
        <f>IF(ESTIMATIVA[[#This Row],[QT_AREA_REAL]]&gt;0,ESTIMATIVA[[#This Row],[QT_CANA_REAL]],ESTIMATIVA[[#This Row],[QT_CANA_REST1]])</f>
        <v>1403.66</v>
      </c>
      <c r="AF1103" s="1">
        <f>IF(ESTIMATIVA[[#This Row],[QT_AREA_REAL]]&gt;0,ESTIMATIVA[[#This Row],[QT_CANA_REAL]],ESTIMATIVA[[#This Row],[QT_CANA_REST2]])</f>
        <v>1403.66</v>
      </c>
      <c r="AG1103" s="1" t="str">
        <f>IF(COUNTIFS(GEADA!A:A,VALUE(ESTIMATIVA[[#This Row],[CD_UPNIVEL1]]&amp;TEXT(ESTIMATIVA[[#This Row],[CD_UPNIVEL3]],"0000")))&gt;0,"S","N")</f>
        <v>N</v>
      </c>
      <c r="AH110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03" s="55" t="str">
        <f>IF(ESTIMATIVA[[#This Row],[TP_CULTIVO]]="Irrigado",_xlfn.MAXIFS(IRRIGADO!J:J,IRRIGADO!C:C,ESTIMATIVA[[#This Row],[CD_UPNIVEL1]],IRRIGADO!E:E,ESTIMATIVA[[#This Row],[CD_UPNIVEL3]]),"")</f>
        <v/>
      </c>
      <c r="AJ110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03" s="1">
        <f>COUNTIFS(Apresentação!$E$23:$E$29,ESTIMATIVA[[#This Row],[CD_UPNIVEL1]])</f>
        <v>0</v>
      </c>
    </row>
    <row r="1104" spans="1:37" x14ac:dyDescent="0.3">
      <c r="A1104">
        <v>20491</v>
      </c>
      <c r="B1104" t="s">
        <v>61</v>
      </c>
      <c r="C1104">
        <v>22</v>
      </c>
      <c r="D1104">
        <v>2</v>
      </c>
      <c r="E1104" t="s">
        <v>266</v>
      </c>
      <c r="F1104" s="85" t="s">
        <v>331</v>
      </c>
      <c r="G1104"/>
      <c r="H1104" t="s">
        <v>294</v>
      </c>
      <c r="I1104" t="s">
        <v>205</v>
      </c>
      <c r="J1104" t="s">
        <v>176</v>
      </c>
      <c r="K1104" s="1">
        <v>6.49</v>
      </c>
      <c r="L1104" s="1">
        <v>6.49</v>
      </c>
      <c r="M1104" s="1">
        <v>0</v>
      </c>
      <c r="N1104" s="1">
        <v>6.49</v>
      </c>
      <c r="O1104" s="1">
        <v>571.12</v>
      </c>
      <c r="P1104" s="1">
        <v>571.12</v>
      </c>
      <c r="Q1104" s="1">
        <v>0</v>
      </c>
      <c r="R1104" s="1">
        <v>539.33000000000004</v>
      </c>
      <c r="S1104" t="s">
        <v>12</v>
      </c>
      <c r="T1104" s="13">
        <v>45900</v>
      </c>
      <c r="U1104" s="1" t="str">
        <f>IF(ESTIMATIVA[[#This Row],[QT_AREA_REAL]]&gt;0,"1- Colhido","2- à Colher")</f>
        <v>1- Colhido</v>
      </c>
      <c r="V1104" s="1" t="str">
        <f>IF(ESTIMATIVA[[#This Row],[QT_AREA_REST1]]&gt;0,"Reestimativa 1",IF(ESTIMATIVA[[#This Row],[QT_AREA_REAL]]=0,"Reestimativa 1","Realizado"))</f>
        <v>Reestimativa 1</v>
      </c>
      <c r="W1104" s="1" t="str">
        <f>IF(ESTIMATIVA[[#This Row],[QT_AREA_REST2]]&gt;0,"Reestimativa 2",IF(ESTIMATIVA[[#This Row],[QT_AREA_REAL]]=0,"Reestimativa 2","Realizado"))</f>
        <v>Realizado</v>
      </c>
      <c r="X1104" s="1">
        <f>ESTIMATIVA[[#This Row],[QT_AREA_EST]]</f>
        <v>6.49</v>
      </c>
      <c r="Y1104" s="1">
        <f>IF(ESTIMATIVA[[#This Row],[QT_AREA_REST1]]&gt;0,ESTIMATIVA[[#This Row],[QT_AREA_REST1]],
  IF(ESTIMATIVA[[#This Row],[QT_AREA_REAL]]&gt;0,ESTIMATIVA[[#This Row],[QT_AREA_REAL]],ESTIMATIVA[[#This Row],[QT_AREA_EST]]))</f>
        <v>6.49</v>
      </c>
      <c r="Z110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6.49</v>
      </c>
      <c r="AA1104" s="1">
        <f>ESTIMATIVA[[#This Row],[QT_CANA_EST]]</f>
        <v>571.12</v>
      </c>
      <c r="AB1104" s="1">
        <f>IF(ESTIMATIVA[[#This Row],[QT_CANA_REST1]]&gt;0,ESTIMATIVA[[#This Row],[QT_CANA_REST1]],
  IF(ESTIMATIVA[[#This Row],[QT_CANA_REAL]]&gt;0,ESTIMATIVA[[#This Row],[QT_CANA_REAL]],ESTIMATIVA[[#This Row],[QT_CANA_EST]]))</f>
        <v>571.12</v>
      </c>
      <c r="AC110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539.33000000000004</v>
      </c>
      <c r="AD1104" s="1">
        <f>IF(ESTIMATIVA[[#This Row],[QT_AREA_REAL]]&gt;0,ESTIMATIVA[[#This Row],[QT_CANA_REAL]],ESTIMATIVA[[#This Row],[QT_CANA_EST]])</f>
        <v>539.33000000000004</v>
      </c>
      <c r="AE1104" s="1">
        <f>IF(ESTIMATIVA[[#This Row],[QT_AREA_REAL]]&gt;0,ESTIMATIVA[[#This Row],[QT_CANA_REAL]],ESTIMATIVA[[#This Row],[QT_CANA_REST1]])</f>
        <v>539.33000000000004</v>
      </c>
      <c r="AF1104" s="1">
        <f>IF(ESTIMATIVA[[#This Row],[QT_AREA_REAL]]&gt;0,ESTIMATIVA[[#This Row],[QT_CANA_REAL]],ESTIMATIVA[[#This Row],[QT_CANA_REST2]])</f>
        <v>539.33000000000004</v>
      </c>
      <c r="AG1104" s="1" t="str">
        <f>IF(COUNTIFS(GEADA!A:A,VALUE(ESTIMATIVA[[#This Row],[CD_UPNIVEL1]]&amp;TEXT(ESTIMATIVA[[#This Row],[CD_UPNIVEL3]],"0000")))&gt;0,"S","N")</f>
        <v>N</v>
      </c>
      <c r="AH110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04" s="55" t="str">
        <f>IF(ESTIMATIVA[[#This Row],[TP_CULTIVO]]="Irrigado",_xlfn.MAXIFS(IRRIGADO!J:J,IRRIGADO!C:C,ESTIMATIVA[[#This Row],[CD_UPNIVEL1]],IRRIGADO!E:E,ESTIMATIVA[[#This Row],[CD_UPNIVEL3]]),"")</f>
        <v/>
      </c>
      <c r="AJ110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04" s="1">
        <f>COUNTIFS(Apresentação!$E$23:$E$29,ESTIMATIVA[[#This Row],[CD_UPNIVEL1]])</f>
        <v>0</v>
      </c>
    </row>
    <row r="1105" spans="1:37" x14ac:dyDescent="0.3">
      <c r="A1105">
        <v>20491</v>
      </c>
      <c r="B1105" t="s">
        <v>61</v>
      </c>
      <c r="C1105">
        <v>23</v>
      </c>
      <c r="D1105">
        <v>2</v>
      </c>
      <c r="E1105" t="s">
        <v>266</v>
      </c>
      <c r="F1105" s="85" t="s">
        <v>331</v>
      </c>
      <c r="G1105"/>
      <c r="H1105" t="s">
        <v>294</v>
      </c>
      <c r="I1105" t="s">
        <v>205</v>
      </c>
      <c r="J1105" t="s">
        <v>176</v>
      </c>
      <c r="K1105" s="1">
        <v>15.26</v>
      </c>
      <c r="L1105" s="1">
        <v>15.26</v>
      </c>
      <c r="M1105" s="1">
        <v>0</v>
      </c>
      <c r="N1105" s="1">
        <v>15.26</v>
      </c>
      <c r="O1105" s="1">
        <v>1342.88</v>
      </c>
      <c r="P1105" s="1">
        <v>1342.88</v>
      </c>
      <c r="Q1105" s="1">
        <v>0</v>
      </c>
      <c r="R1105" s="1">
        <v>1268.73</v>
      </c>
      <c r="S1105" t="s">
        <v>12</v>
      </c>
      <c r="T1105" s="13">
        <v>45900</v>
      </c>
      <c r="U1105" s="1" t="str">
        <f>IF(ESTIMATIVA[[#This Row],[QT_AREA_REAL]]&gt;0,"1- Colhido","2- à Colher")</f>
        <v>1- Colhido</v>
      </c>
      <c r="V1105" s="1" t="str">
        <f>IF(ESTIMATIVA[[#This Row],[QT_AREA_REST1]]&gt;0,"Reestimativa 1",IF(ESTIMATIVA[[#This Row],[QT_AREA_REAL]]=0,"Reestimativa 1","Realizado"))</f>
        <v>Reestimativa 1</v>
      </c>
      <c r="W1105" s="1" t="str">
        <f>IF(ESTIMATIVA[[#This Row],[QT_AREA_REST2]]&gt;0,"Reestimativa 2",IF(ESTIMATIVA[[#This Row],[QT_AREA_REAL]]=0,"Reestimativa 2","Realizado"))</f>
        <v>Realizado</v>
      </c>
      <c r="X1105" s="1">
        <f>ESTIMATIVA[[#This Row],[QT_AREA_EST]]</f>
        <v>15.26</v>
      </c>
      <c r="Y1105" s="1">
        <f>IF(ESTIMATIVA[[#This Row],[QT_AREA_REST1]]&gt;0,ESTIMATIVA[[#This Row],[QT_AREA_REST1]],
  IF(ESTIMATIVA[[#This Row],[QT_AREA_REAL]]&gt;0,ESTIMATIVA[[#This Row],[QT_AREA_REAL]],ESTIMATIVA[[#This Row],[QT_AREA_EST]]))</f>
        <v>15.26</v>
      </c>
      <c r="Z110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15.26</v>
      </c>
      <c r="AA1105" s="1">
        <f>ESTIMATIVA[[#This Row],[QT_CANA_EST]]</f>
        <v>1342.88</v>
      </c>
      <c r="AB1105" s="1">
        <f>IF(ESTIMATIVA[[#This Row],[QT_CANA_REST1]]&gt;0,ESTIMATIVA[[#This Row],[QT_CANA_REST1]],
  IF(ESTIMATIVA[[#This Row],[QT_CANA_REAL]]&gt;0,ESTIMATIVA[[#This Row],[QT_CANA_REAL]],ESTIMATIVA[[#This Row],[QT_CANA_EST]]))</f>
        <v>1342.88</v>
      </c>
      <c r="AC110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1268.73</v>
      </c>
      <c r="AD1105" s="1">
        <f>IF(ESTIMATIVA[[#This Row],[QT_AREA_REAL]]&gt;0,ESTIMATIVA[[#This Row],[QT_CANA_REAL]],ESTIMATIVA[[#This Row],[QT_CANA_EST]])</f>
        <v>1268.73</v>
      </c>
      <c r="AE1105" s="1">
        <f>IF(ESTIMATIVA[[#This Row],[QT_AREA_REAL]]&gt;0,ESTIMATIVA[[#This Row],[QT_CANA_REAL]],ESTIMATIVA[[#This Row],[QT_CANA_REST1]])</f>
        <v>1268.73</v>
      </c>
      <c r="AF1105" s="1">
        <f>IF(ESTIMATIVA[[#This Row],[QT_AREA_REAL]]&gt;0,ESTIMATIVA[[#This Row],[QT_CANA_REAL]],ESTIMATIVA[[#This Row],[QT_CANA_REST2]])</f>
        <v>1268.73</v>
      </c>
      <c r="AG1105" s="1" t="str">
        <f>IF(COUNTIFS(GEADA!A:A,VALUE(ESTIMATIVA[[#This Row],[CD_UPNIVEL1]]&amp;TEXT(ESTIMATIVA[[#This Row],[CD_UPNIVEL3]],"0000")))&gt;0,"S","N")</f>
        <v>N</v>
      </c>
      <c r="AH110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05" s="55" t="str">
        <f>IF(ESTIMATIVA[[#This Row],[TP_CULTIVO]]="Irrigado",_xlfn.MAXIFS(IRRIGADO!J:J,IRRIGADO!C:C,ESTIMATIVA[[#This Row],[CD_UPNIVEL1]],IRRIGADO!E:E,ESTIMATIVA[[#This Row],[CD_UPNIVEL3]]),"")</f>
        <v/>
      </c>
      <c r="AJ110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05" s="1">
        <f>COUNTIFS(Apresentação!$E$23:$E$29,ESTIMATIVA[[#This Row],[CD_UPNIVEL1]])</f>
        <v>0</v>
      </c>
    </row>
    <row r="1106" spans="1:37" x14ac:dyDescent="0.3">
      <c r="A1106">
        <v>20491</v>
      </c>
      <c r="B1106" t="s">
        <v>61</v>
      </c>
      <c r="C1106">
        <v>24</v>
      </c>
      <c r="D1106">
        <v>2</v>
      </c>
      <c r="E1106" t="s">
        <v>266</v>
      </c>
      <c r="F1106" s="85" t="s">
        <v>333</v>
      </c>
      <c r="G1106"/>
      <c r="H1106" t="s">
        <v>294</v>
      </c>
      <c r="I1106" t="s">
        <v>205</v>
      </c>
      <c r="J1106" t="s">
        <v>176</v>
      </c>
      <c r="K1106" s="1">
        <v>9.42</v>
      </c>
      <c r="L1106" s="1">
        <v>9.42</v>
      </c>
      <c r="M1106" s="1">
        <v>9.42</v>
      </c>
      <c r="N1106" s="1">
        <v>9.42</v>
      </c>
      <c r="O1106" s="1">
        <v>828.96</v>
      </c>
      <c r="P1106" s="1">
        <v>828.96</v>
      </c>
      <c r="Q1106" s="1">
        <v>753.6</v>
      </c>
      <c r="R1106" s="1">
        <v>611.41</v>
      </c>
      <c r="S1106" t="s">
        <v>12</v>
      </c>
      <c r="T1106" s="13">
        <v>45963</v>
      </c>
      <c r="U1106" s="1" t="str">
        <f>IF(ESTIMATIVA[[#This Row],[QT_AREA_REAL]]&gt;0,"1- Colhido","2- à Colher")</f>
        <v>1- Colhido</v>
      </c>
      <c r="V1106" s="1" t="str">
        <f>IF(ESTIMATIVA[[#This Row],[QT_AREA_REST1]]&gt;0,"Reestimativa 1",IF(ESTIMATIVA[[#This Row],[QT_AREA_REAL]]=0,"Reestimativa 1","Realizado"))</f>
        <v>Reestimativa 1</v>
      </c>
      <c r="W1106" s="1" t="str">
        <f>IF(ESTIMATIVA[[#This Row],[QT_AREA_REST2]]&gt;0,"Reestimativa 2",IF(ESTIMATIVA[[#This Row],[QT_AREA_REAL]]=0,"Reestimativa 2","Realizado"))</f>
        <v>Reestimativa 2</v>
      </c>
      <c r="X1106" s="1">
        <f>ESTIMATIVA[[#This Row],[QT_AREA_EST]]</f>
        <v>9.42</v>
      </c>
      <c r="Y1106" s="1">
        <f>IF(ESTIMATIVA[[#This Row],[QT_AREA_REST1]]&gt;0,ESTIMATIVA[[#This Row],[QT_AREA_REST1]],
  IF(ESTIMATIVA[[#This Row],[QT_AREA_REAL]]&gt;0,ESTIMATIVA[[#This Row],[QT_AREA_REAL]],ESTIMATIVA[[#This Row],[QT_AREA_EST]]))</f>
        <v>9.42</v>
      </c>
      <c r="Z110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9.42</v>
      </c>
      <c r="AA1106" s="1">
        <f>ESTIMATIVA[[#This Row],[QT_CANA_EST]]</f>
        <v>828.96</v>
      </c>
      <c r="AB1106" s="1">
        <f>IF(ESTIMATIVA[[#This Row],[QT_CANA_REST1]]&gt;0,ESTIMATIVA[[#This Row],[QT_CANA_REST1]],
  IF(ESTIMATIVA[[#This Row],[QT_CANA_REAL]]&gt;0,ESTIMATIVA[[#This Row],[QT_CANA_REAL]],ESTIMATIVA[[#This Row],[QT_CANA_EST]]))</f>
        <v>828.96</v>
      </c>
      <c r="AC110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753.6</v>
      </c>
      <c r="AD1106" s="1">
        <f>IF(ESTIMATIVA[[#This Row],[QT_AREA_REAL]]&gt;0,ESTIMATIVA[[#This Row],[QT_CANA_REAL]],ESTIMATIVA[[#This Row],[QT_CANA_EST]])</f>
        <v>611.41</v>
      </c>
      <c r="AE1106" s="1">
        <f>IF(ESTIMATIVA[[#This Row],[QT_AREA_REAL]]&gt;0,ESTIMATIVA[[#This Row],[QT_CANA_REAL]],ESTIMATIVA[[#This Row],[QT_CANA_REST1]])</f>
        <v>611.41</v>
      </c>
      <c r="AF1106" s="1">
        <f>IF(ESTIMATIVA[[#This Row],[QT_AREA_REAL]]&gt;0,ESTIMATIVA[[#This Row],[QT_CANA_REAL]],ESTIMATIVA[[#This Row],[QT_CANA_REST2]])</f>
        <v>611.41</v>
      </c>
      <c r="AG1106" s="1" t="str">
        <f>IF(COUNTIFS(GEADA!A:A,VALUE(ESTIMATIVA[[#This Row],[CD_UPNIVEL1]]&amp;TEXT(ESTIMATIVA[[#This Row],[CD_UPNIVEL3]],"0000")))&gt;0,"S","N")</f>
        <v>N</v>
      </c>
      <c r="AH110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06" s="55" t="str">
        <f>IF(ESTIMATIVA[[#This Row],[TP_CULTIVO]]="Irrigado",_xlfn.MAXIFS(IRRIGADO!J:J,IRRIGADO!C:C,ESTIMATIVA[[#This Row],[CD_UPNIVEL1]],IRRIGADO!E:E,ESTIMATIVA[[#This Row],[CD_UPNIVEL3]]),"")</f>
        <v/>
      </c>
      <c r="AJ110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06" s="1">
        <f>COUNTIFS(Apresentação!$E$23:$E$29,ESTIMATIVA[[#This Row],[CD_UPNIVEL1]])</f>
        <v>0</v>
      </c>
    </row>
    <row r="1107" spans="1:37" x14ac:dyDescent="0.3">
      <c r="A1107">
        <v>20496</v>
      </c>
      <c r="B1107" t="s">
        <v>62</v>
      </c>
      <c r="C1107">
        <v>1</v>
      </c>
      <c r="D1107">
        <v>5</v>
      </c>
      <c r="E1107" t="s">
        <v>268</v>
      </c>
      <c r="F1107" s="85" t="s">
        <v>331</v>
      </c>
      <c r="G1107"/>
      <c r="H1107" t="s">
        <v>294</v>
      </c>
      <c r="I1107" t="s">
        <v>221</v>
      </c>
      <c r="J1107" t="s">
        <v>176</v>
      </c>
      <c r="K1107" s="1">
        <v>4.21</v>
      </c>
      <c r="L1107" s="1">
        <v>0</v>
      </c>
      <c r="M1107" s="1">
        <v>0</v>
      </c>
      <c r="N1107" s="1">
        <v>4.21</v>
      </c>
      <c r="O1107" s="1">
        <v>277.86</v>
      </c>
      <c r="P1107" s="1">
        <v>0</v>
      </c>
      <c r="Q1107" s="1">
        <v>0</v>
      </c>
      <c r="R1107" s="1">
        <v>438.52</v>
      </c>
      <c r="S1107" t="s">
        <v>12</v>
      </c>
      <c r="T1107" s="13">
        <v>45830</v>
      </c>
      <c r="U1107" s="1" t="str">
        <f>IF(ESTIMATIVA[[#This Row],[QT_AREA_REAL]]&gt;0,"1- Colhido","2- à Colher")</f>
        <v>1- Colhido</v>
      </c>
      <c r="V1107" s="1" t="str">
        <f>IF(ESTIMATIVA[[#This Row],[QT_AREA_REST1]]&gt;0,"Reestimativa 1",IF(ESTIMATIVA[[#This Row],[QT_AREA_REAL]]=0,"Reestimativa 1","Realizado"))</f>
        <v>Realizado</v>
      </c>
      <c r="W1107" s="1" t="str">
        <f>IF(ESTIMATIVA[[#This Row],[QT_AREA_REST2]]&gt;0,"Reestimativa 2",IF(ESTIMATIVA[[#This Row],[QT_AREA_REAL]]=0,"Reestimativa 2","Realizado"))</f>
        <v>Realizado</v>
      </c>
      <c r="X1107" s="1">
        <f>ESTIMATIVA[[#This Row],[QT_AREA_EST]]</f>
        <v>4.21</v>
      </c>
      <c r="Y1107" s="1">
        <f>IF(ESTIMATIVA[[#This Row],[QT_AREA_REST1]]&gt;0,ESTIMATIVA[[#This Row],[QT_AREA_REST1]],
  IF(ESTIMATIVA[[#This Row],[QT_AREA_REAL]]&gt;0,ESTIMATIVA[[#This Row],[QT_AREA_REAL]],ESTIMATIVA[[#This Row],[QT_AREA_EST]]))</f>
        <v>4.21</v>
      </c>
      <c r="Z110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4.21</v>
      </c>
      <c r="AA1107" s="1">
        <f>ESTIMATIVA[[#This Row],[QT_CANA_EST]]</f>
        <v>277.86</v>
      </c>
      <c r="AB1107" s="1">
        <f>IF(ESTIMATIVA[[#This Row],[QT_CANA_REST1]]&gt;0,ESTIMATIVA[[#This Row],[QT_CANA_REST1]],
  IF(ESTIMATIVA[[#This Row],[QT_CANA_REAL]]&gt;0,ESTIMATIVA[[#This Row],[QT_CANA_REAL]],ESTIMATIVA[[#This Row],[QT_CANA_EST]]))</f>
        <v>438.52</v>
      </c>
      <c r="AC110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438.52</v>
      </c>
      <c r="AD1107" s="1">
        <f>IF(ESTIMATIVA[[#This Row],[QT_AREA_REAL]]&gt;0,ESTIMATIVA[[#This Row],[QT_CANA_REAL]],ESTIMATIVA[[#This Row],[QT_CANA_EST]])</f>
        <v>438.52</v>
      </c>
      <c r="AE1107" s="1">
        <f>IF(ESTIMATIVA[[#This Row],[QT_AREA_REAL]]&gt;0,ESTIMATIVA[[#This Row],[QT_CANA_REAL]],ESTIMATIVA[[#This Row],[QT_CANA_REST1]])</f>
        <v>438.52</v>
      </c>
      <c r="AF1107" s="1">
        <f>IF(ESTIMATIVA[[#This Row],[QT_AREA_REAL]]&gt;0,ESTIMATIVA[[#This Row],[QT_CANA_REAL]],ESTIMATIVA[[#This Row],[QT_CANA_REST2]])</f>
        <v>438.52</v>
      </c>
      <c r="AG1107" s="1" t="str">
        <f>IF(COUNTIFS(GEADA!A:A,VALUE(ESTIMATIVA[[#This Row],[CD_UPNIVEL1]]&amp;TEXT(ESTIMATIVA[[#This Row],[CD_UPNIVEL3]],"0000")))&gt;0,"S","N")</f>
        <v>N</v>
      </c>
      <c r="AH110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07" s="55" t="str">
        <f>IF(ESTIMATIVA[[#This Row],[TP_CULTIVO]]="Irrigado",_xlfn.MAXIFS(IRRIGADO!J:J,IRRIGADO!C:C,ESTIMATIVA[[#This Row],[CD_UPNIVEL1]],IRRIGADO!E:E,ESTIMATIVA[[#This Row],[CD_UPNIVEL3]]),"")</f>
        <v/>
      </c>
      <c r="AJ110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07" s="1">
        <f>COUNTIFS(Apresentação!$E$23:$E$29,ESTIMATIVA[[#This Row],[CD_UPNIVEL1]])</f>
        <v>0</v>
      </c>
    </row>
    <row r="1108" spans="1:37" x14ac:dyDescent="0.3">
      <c r="A1108">
        <v>20496</v>
      </c>
      <c r="B1108" t="s">
        <v>62</v>
      </c>
      <c r="C1108">
        <v>2</v>
      </c>
      <c r="D1108">
        <v>5</v>
      </c>
      <c r="E1108" t="s">
        <v>268</v>
      </c>
      <c r="F1108" s="85" t="s">
        <v>331</v>
      </c>
      <c r="G1108"/>
      <c r="H1108" t="s">
        <v>294</v>
      </c>
      <c r="I1108" t="s">
        <v>221</v>
      </c>
      <c r="J1108" t="s">
        <v>176</v>
      </c>
      <c r="K1108" s="1">
        <v>21.89</v>
      </c>
      <c r="L1108" s="1">
        <v>0</v>
      </c>
      <c r="M1108" s="1">
        <v>0</v>
      </c>
      <c r="N1108" s="1">
        <v>21.89</v>
      </c>
      <c r="O1108" s="1">
        <v>1532.3</v>
      </c>
      <c r="P1108" s="1">
        <v>0</v>
      </c>
      <c r="Q1108" s="1">
        <v>0</v>
      </c>
      <c r="R1108" s="1">
        <v>2416.9499999999998</v>
      </c>
      <c r="S1108" t="s">
        <v>12</v>
      </c>
      <c r="T1108" s="13">
        <v>45830</v>
      </c>
      <c r="U1108" s="1" t="str">
        <f>IF(ESTIMATIVA[[#This Row],[QT_AREA_REAL]]&gt;0,"1- Colhido","2- à Colher")</f>
        <v>1- Colhido</v>
      </c>
      <c r="V1108" s="1" t="str">
        <f>IF(ESTIMATIVA[[#This Row],[QT_AREA_REST1]]&gt;0,"Reestimativa 1",IF(ESTIMATIVA[[#This Row],[QT_AREA_REAL]]=0,"Reestimativa 1","Realizado"))</f>
        <v>Realizado</v>
      </c>
      <c r="W1108" s="1" t="str">
        <f>IF(ESTIMATIVA[[#This Row],[QT_AREA_REST2]]&gt;0,"Reestimativa 2",IF(ESTIMATIVA[[#This Row],[QT_AREA_REAL]]=0,"Reestimativa 2","Realizado"))</f>
        <v>Realizado</v>
      </c>
      <c r="X1108" s="1">
        <f>ESTIMATIVA[[#This Row],[QT_AREA_EST]]</f>
        <v>21.89</v>
      </c>
      <c r="Y1108" s="1">
        <f>IF(ESTIMATIVA[[#This Row],[QT_AREA_REST1]]&gt;0,ESTIMATIVA[[#This Row],[QT_AREA_REST1]],
  IF(ESTIMATIVA[[#This Row],[QT_AREA_REAL]]&gt;0,ESTIMATIVA[[#This Row],[QT_AREA_REAL]],ESTIMATIVA[[#This Row],[QT_AREA_EST]]))</f>
        <v>21.89</v>
      </c>
      <c r="Z110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21.89</v>
      </c>
      <c r="AA1108" s="1">
        <f>ESTIMATIVA[[#This Row],[QT_CANA_EST]]</f>
        <v>1532.3</v>
      </c>
      <c r="AB1108" s="1">
        <f>IF(ESTIMATIVA[[#This Row],[QT_CANA_REST1]]&gt;0,ESTIMATIVA[[#This Row],[QT_CANA_REST1]],
  IF(ESTIMATIVA[[#This Row],[QT_CANA_REAL]]&gt;0,ESTIMATIVA[[#This Row],[QT_CANA_REAL]],ESTIMATIVA[[#This Row],[QT_CANA_EST]]))</f>
        <v>2416.9499999999998</v>
      </c>
      <c r="AC110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2416.9499999999998</v>
      </c>
      <c r="AD1108" s="1">
        <f>IF(ESTIMATIVA[[#This Row],[QT_AREA_REAL]]&gt;0,ESTIMATIVA[[#This Row],[QT_CANA_REAL]],ESTIMATIVA[[#This Row],[QT_CANA_EST]])</f>
        <v>2416.9499999999998</v>
      </c>
      <c r="AE1108" s="1">
        <f>IF(ESTIMATIVA[[#This Row],[QT_AREA_REAL]]&gt;0,ESTIMATIVA[[#This Row],[QT_CANA_REAL]],ESTIMATIVA[[#This Row],[QT_CANA_REST1]])</f>
        <v>2416.9499999999998</v>
      </c>
      <c r="AF1108" s="1">
        <f>IF(ESTIMATIVA[[#This Row],[QT_AREA_REAL]]&gt;0,ESTIMATIVA[[#This Row],[QT_CANA_REAL]],ESTIMATIVA[[#This Row],[QT_CANA_REST2]])</f>
        <v>2416.9499999999998</v>
      </c>
      <c r="AG1108" s="1" t="str">
        <f>IF(COUNTIFS(GEADA!A:A,VALUE(ESTIMATIVA[[#This Row],[CD_UPNIVEL1]]&amp;TEXT(ESTIMATIVA[[#This Row],[CD_UPNIVEL3]],"0000")))&gt;0,"S","N")</f>
        <v>N</v>
      </c>
      <c r="AH110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08" s="55" t="str">
        <f>IF(ESTIMATIVA[[#This Row],[TP_CULTIVO]]="Irrigado",_xlfn.MAXIFS(IRRIGADO!J:J,IRRIGADO!C:C,ESTIMATIVA[[#This Row],[CD_UPNIVEL1]],IRRIGADO!E:E,ESTIMATIVA[[#This Row],[CD_UPNIVEL3]]),"")</f>
        <v/>
      </c>
      <c r="AJ110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08" s="1">
        <f>COUNTIFS(Apresentação!$E$23:$E$29,ESTIMATIVA[[#This Row],[CD_UPNIVEL1]])</f>
        <v>0</v>
      </c>
    </row>
    <row r="1109" spans="1:37" x14ac:dyDescent="0.3">
      <c r="A1109">
        <v>20496</v>
      </c>
      <c r="B1109" t="s">
        <v>62</v>
      </c>
      <c r="C1109">
        <v>4</v>
      </c>
      <c r="D1109">
        <v>5</v>
      </c>
      <c r="E1109" t="s">
        <v>268</v>
      </c>
      <c r="F1109" s="85" t="s">
        <v>331</v>
      </c>
      <c r="G1109"/>
      <c r="H1109" t="s">
        <v>294</v>
      </c>
      <c r="I1109" t="s">
        <v>221</v>
      </c>
      <c r="J1109" t="s">
        <v>176</v>
      </c>
      <c r="K1109" s="1">
        <v>10.41</v>
      </c>
      <c r="L1109" s="1">
        <v>0</v>
      </c>
      <c r="M1109" s="1">
        <v>0</v>
      </c>
      <c r="N1109" s="1">
        <v>10.41</v>
      </c>
      <c r="O1109" s="1">
        <v>520.5</v>
      </c>
      <c r="P1109" s="1">
        <v>0</v>
      </c>
      <c r="Q1109" s="1">
        <v>0</v>
      </c>
      <c r="R1109" s="1">
        <v>674.6</v>
      </c>
      <c r="S1109" t="s">
        <v>12</v>
      </c>
      <c r="T1109" s="13">
        <v>45830</v>
      </c>
      <c r="U1109" s="1" t="str">
        <f>IF(ESTIMATIVA[[#This Row],[QT_AREA_REAL]]&gt;0,"1- Colhido","2- à Colher")</f>
        <v>1- Colhido</v>
      </c>
      <c r="V1109" s="1" t="str">
        <f>IF(ESTIMATIVA[[#This Row],[QT_AREA_REST1]]&gt;0,"Reestimativa 1",IF(ESTIMATIVA[[#This Row],[QT_AREA_REAL]]=0,"Reestimativa 1","Realizado"))</f>
        <v>Realizado</v>
      </c>
      <c r="W1109" s="1" t="str">
        <f>IF(ESTIMATIVA[[#This Row],[QT_AREA_REST2]]&gt;0,"Reestimativa 2",IF(ESTIMATIVA[[#This Row],[QT_AREA_REAL]]=0,"Reestimativa 2","Realizado"))</f>
        <v>Realizado</v>
      </c>
      <c r="X1109" s="1">
        <f>ESTIMATIVA[[#This Row],[QT_AREA_EST]]</f>
        <v>10.41</v>
      </c>
      <c r="Y1109" s="1">
        <f>IF(ESTIMATIVA[[#This Row],[QT_AREA_REST1]]&gt;0,ESTIMATIVA[[#This Row],[QT_AREA_REST1]],
  IF(ESTIMATIVA[[#This Row],[QT_AREA_REAL]]&gt;0,ESTIMATIVA[[#This Row],[QT_AREA_REAL]],ESTIMATIVA[[#This Row],[QT_AREA_EST]]))</f>
        <v>10.41</v>
      </c>
      <c r="Z110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10.41</v>
      </c>
      <c r="AA1109" s="1">
        <f>ESTIMATIVA[[#This Row],[QT_CANA_EST]]</f>
        <v>520.5</v>
      </c>
      <c r="AB1109" s="1">
        <f>IF(ESTIMATIVA[[#This Row],[QT_CANA_REST1]]&gt;0,ESTIMATIVA[[#This Row],[QT_CANA_REST1]],
  IF(ESTIMATIVA[[#This Row],[QT_CANA_REAL]]&gt;0,ESTIMATIVA[[#This Row],[QT_CANA_REAL]],ESTIMATIVA[[#This Row],[QT_CANA_EST]]))</f>
        <v>674.6</v>
      </c>
      <c r="AC110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674.6</v>
      </c>
      <c r="AD1109" s="1">
        <f>IF(ESTIMATIVA[[#This Row],[QT_AREA_REAL]]&gt;0,ESTIMATIVA[[#This Row],[QT_CANA_REAL]],ESTIMATIVA[[#This Row],[QT_CANA_EST]])</f>
        <v>674.6</v>
      </c>
      <c r="AE1109" s="1">
        <f>IF(ESTIMATIVA[[#This Row],[QT_AREA_REAL]]&gt;0,ESTIMATIVA[[#This Row],[QT_CANA_REAL]],ESTIMATIVA[[#This Row],[QT_CANA_REST1]])</f>
        <v>674.6</v>
      </c>
      <c r="AF1109" s="1">
        <f>IF(ESTIMATIVA[[#This Row],[QT_AREA_REAL]]&gt;0,ESTIMATIVA[[#This Row],[QT_CANA_REAL]],ESTIMATIVA[[#This Row],[QT_CANA_REST2]])</f>
        <v>674.6</v>
      </c>
      <c r="AG1109" s="1" t="str">
        <f>IF(COUNTIFS(GEADA!A:A,VALUE(ESTIMATIVA[[#This Row],[CD_UPNIVEL1]]&amp;TEXT(ESTIMATIVA[[#This Row],[CD_UPNIVEL3]],"0000")))&gt;0,"S","N")</f>
        <v>N</v>
      </c>
      <c r="AH110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09" s="55" t="str">
        <f>IF(ESTIMATIVA[[#This Row],[TP_CULTIVO]]="Irrigado",_xlfn.MAXIFS(IRRIGADO!J:J,IRRIGADO!C:C,ESTIMATIVA[[#This Row],[CD_UPNIVEL1]],IRRIGADO!E:E,ESTIMATIVA[[#This Row],[CD_UPNIVEL3]]),"")</f>
        <v/>
      </c>
      <c r="AJ110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09" s="1">
        <f>COUNTIFS(Apresentação!$E$23:$E$29,ESTIMATIVA[[#This Row],[CD_UPNIVEL1]])</f>
        <v>0</v>
      </c>
    </row>
    <row r="1110" spans="1:37" x14ac:dyDescent="0.3">
      <c r="A1110">
        <v>20496</v>
      </c>
      <c r="B1110" t="s">
        <v>62</v>
      </c>
      <c r="C1110">
        <v>5</v>
      </c>
      <c r="D1110">
        <v>5</v>
      </c>
      <c r="E1110" t="s">
        <v>268</v>
      </c>
      <c r="F1110" s="85" t="s">
        <v>331</v>
      </c>
      <c r="G1110"/>
      <c r="H1110" t="s">
        <v>294</v>
      </c>
      <c r="I1110" t="s">
        <v>221</v>
      </c>
      <c r="J1110" t="s">
        <v>176</v>
      </c>
      <c r="K1110" s="1">
        <v>23.89</v>
      </c>
      <c r="L1110" s="1">
        <v>0</v>
      </c>
      <c r="M1110" s="1">
        <v>0</v>
      </c>
      <c r="N1110" s="1">
        <v>23.89</v>
      </c>
      <c r="O1110" s="1">
        <v>1218.3900000000001</v>
      </c>
      <c r="P1110" s="1">
        <v>0</v>
      </c>
      <c r="Q1110" s="1">
        <v>0</v>
      </c>
      <c r="R1110" s="1">
        <v>1577.23</v>
      </c>
      <c r="S1110" t="s">
        <v>12</v>
      </c>
      <c r="T1110" s="13">
        <v>45830</v>
      </c>
      <c r="U1110" s="1" t="str">
        <f>IF(ESTIMATIVA[[#This Row],[QT_AREA_REAL]]&gt;0,"1- Colhido","2- à Colher")</f>
        <v>1- Colhido</v>
      </c>
      <c r="V1110" s="1" t="str">
        <f>IF(ESTIMATIVA[[#This Row],[QT_AREA_REST1]]&gt;0,"Reestimativa 1",IF(ESTIMATIVA[[#This Row],[QT_AREA_REAL]]=0,"Reestimativa 1","Realizado"))</f>
        <v>Realizado</v>
      </c>
      <c r="W1110" s="1" t="str">
        <f>IF(ESTIMATIVA[[#This Row],[QT_AREA_REST2]]&gt;0,"Reestimativa 2",IF(ESTIMATIVA[[#This Row],[QT_AREA_REAL]]=0,"Reestimativa 2","Realizado"))</f>
        <v>Realizado</v>
      </c>
      <c r="X1110" s="1">
        <f>ESTIMATIVA[[#This Row],[QT_AREA_EST]]</f>
        <v>23.89</v>
      </c>
      <c r="Y1110" s="1">
        <f>IF(ESTIMATIVA[[#This Row],[QT_AREA_REST1]]&gt;0,ESTIMATIVA[[#This Row],[QT_AREA_REST1]],
  IF(ESTIMATIVA[[#This Row],[QT_AREA_REAL]]&gt;0,ESTIMATIVA[[#This Row],[QT_AREA_REAL]],ESTIMATIVA[[#This Row],[QT_AREA_EST]]))</f>
        <v>23.89</v>
      </c>
      <c r="Z111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23.89</v>
      </c>
      <c r="AA1110" s="1">
        <f>ESTIMATIVA[[#This Row],[QT_CANA_EST]]</f>
        <v>1218.3900000000001</v>
      </c>
      <c r="AB1110" s="1">
        <f>IF(ESTIMATIVA[[#This Row],[QT_CANA_REST1]]&gt;0,ESTIMATIVA[[#This Row],[QT_CANA_REST1]],
  IF(ESTIMATIVA[[#This Row],[QT_CANA_REAL]]&gt;0,ESTIMATIVA[[#This Row],[QT_CANA_REAL]],ESTIMATIVA[[#This Row],[QT_CANA_EST]]))</f>
        <v>1577.23</v>
      </c>
      <c r="AC111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1577.23</v>
      </c>
      <c r="AD1110" s="1">
        <f>IF(ESTIMATIVA[[#This Row],[QT_AREA_REAL]]&gt;0,ESTIMATIVA[[#This Row],[QT_CANA_REAL]],ESTIMATIVA[[#This Row],[QT_CANA_EST]])</f>
        <v>1577.23</v>
      </c>
      <c r="AE1110" s="1">
        <f>IF(ESTIMATIVA[[#This Row],[QT_AREA_REAL]]&gt;0,ESTIMATIVA[[#This Row],[QT_CANA_REAL]],ESTIMATIVA[[#This Row],[QT_CANA_REST1]])</f>
        <v>1577.23</v>
      </c>
      <c r="AF1110" s="1">
        <f>IF(ESTIMATIVA[[#This Row],[QT_AREA_REAL]]&gt;0,ESTIMATIVA[[#This Row],[QT_CANA_REAL]],ESTIMATIVA[[#This Row],[QT_CANA_REST2]])</f>
        <v>1577.23</v>
      </c>
      <c r="AG1110" s="1" t="str">
        <f>IF(COUNTIFS(GEADA!A:A,VALUE(ESTIMATIVA[[#This Row],[CD_UPNIVEL1]]&amp;TEXT(ESTIMATIVA[[#This Row],[CD_UPNIVEL3]],"0000")))&gt;0,"S","N")</f>
        <v>N</v>
      </c>
      <c r="AH111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10" s="55" t="str">
        <f>IF(ESTIMATIVA[[#This Row],[TP_CULTIVO]]="Irrigado",_xlfn.MAXIFS(IRRIGADO!J:J,IRRIGADO!C:C,ESTIMATIVA[[#This Row],[CD_UPNIVEL1]],IRRIGADO!E:E,ESTIMATIVA[[#This Row],[CD_UPNIVEL3]]),"")</f>
        <v/>
      </c>
      <c r="AJ111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10" s="1">
        <f>COUNTIFS(Apresentação!$E$23:$E$29,ESTIMATIVA[[#This Row],[CD_UPNIVEL1]])</f>
        <v>0</v>
      </c>
    </row>
    <row r="1111" spans="1:37" x14ac:dyDescent="0.3">
      <c r="A1111">
        <v>20496</v>
      </c>
      <c r="B1111" t="s">
        <v>62</v>
      </c>
      <c r="C1111">
        <v>6</v>
      </c>
      <c r="D1111">
        <v>5</v>
      </c>
      <c r="E1111" t="s">
        <v>268</v>
      </c>
      <c r="F1111" s="85" t="s">
        <v>331</v>
      </c>
      <c r="G1111"/>
      <c r="H1111" t="s">
        <v>294</v>
      </c>
      <c r="I1111" t="s">
        <v>203</v>
      </c>
      <c r="J1111" t="s">
        <v>176</v>
      </c>
      <c r="K1111" s="1">
        <v>9.56</v>
      </c>
      <c r="L1111" s="1">
        <v>0</v>
      </c>
      <c r="M1111" s="1">
        <v>0</v>
      </c>
      <c r="N1111" s="1">
        <v>9.56</v>
      </c>
      <c r="O1111" s="1">
        <v>669.2</v>
      </c>
      <c r="P1111" s="1">
        <v>0</v>
      </c>
      <c r="Q1111" s="1">
        <v>0</v>
      </c>
      <c r="R1111" s="1">
        <v>866.27</v>
      </c>
      <c r="S1111" t="s">
        <v>12</v>
      </c>
      <c r="T1111" s="13">
        <v>45830</v>
      </c>
      <c r="U1111" s="1" t="str">
        <f>IF(ESTIMATIVA[[#This Row],[QT_AREA_REAL]]&gt;0,"1- Colhido","2- à Colher")</f>
        <v>1- Colhido</v>
      </c>
      <c r="V1111" s="1" t="str">
        <f>IF(ESTIMATIVA[[#This Row],[QT_AREA_REST1]]&gt;0,"Reestimativa 1",IF(ESTIMATIVA[[#This Row],[QT_AREA_REAL]]=0,"Reestimativa 1","Realizado"))</f>
        <v>Realizado</v>
      </c>
      <c r="W1111" s="1" t="str">
        <f>IF(ESTIMATIVA[[#This Row],[QT_AREA_REST2]]&gt;0,"Reestimativa 2",IF(ESTIMATIVA[[#This Row],[QT_AREA_REAL]]=0,"Reestimativa 2","Realizado"))</f>
        <v>Realizado</v>
      </c>
      <c r="X1111" s="1">
        <f>ESTIMATIVA[[#This Row],[QT_AREA_EST]]</f>
        <v>9.56</v>
      </c>
      <c r="Y1111" s="1">
        <f>IF(ESTIMATIVA[[#This Row],[QT_AREA_REST1]]&gt;0,ESTIMATIVA[[#This Row],[QT_AREA_REST1]],
  IF(ESTIMATIVA[[#This Row],[QT_AREA_REAL]]&gt;0,ESTIMATIVA[[#This Row],[QT_AREA_REAL]],ESTIMATIVA[[#This Row],[QT_AREA_EST]]))</f>
        <v>9.56</v>
      </c>
      <c r="Z111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9.56</v>
      </c>
      <c r="AA1111" s="1">
        <f>ESTIMATIVA[[#This Row],[QT_CANA_EST]]</f>
        <v>669.2</v>
      </c>
      <c r="AB1111" s="1">
        <f>IF(ESTIMATIVA[[#This Row],[QT_CANA_REST1]]&gt;0,ESTIMATIVA[[#This Row],[QT_CANA_REST1]],
  IF(ESTIMATIVA[[#This Row],[QT_CANA_REAL]]&gt;0,ESTIMATIVA[[#This Row],[QT_CANA_REAL]],ESTIMATIVA[[#This Row],[QT_CANA_EST]]))</f>
        <v>866.27</v>
      </c>
      <c r="AC111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866.27</v>
      </c>
      <c r="AD1111" s="1">
        <f>IF(ESTIMATIVA[[#This Row],[QT_AREA_REAL]]&gt;0,ESTIMATIVA[[#This Row],[QT_CANA_REAL]],ESTIMATIVA[[#This Row],[QT_CANA_EST]])</f>
        <v>866.27</v>
      </c>
      <c r="AE1111" s="1">
        <f>IF(ESTIMATIVA[[#This Row],[QT_AREA_REAL]]&gt;0,ESTIMATIVA[[#This Row],[QT_CANA_REAL]],ESTIMATIVA[[#This Row],[QT_CANA_REST1]])</f>
        <v>866.27</v>
      </c>
      <c r="AF1111" s="1">
        <f>IF(ESTIMATIVA[[#This Row],[QT_AREA_REAL]]&gt;0,ESTIMATIVA[[#This Row],[QT_CANA_REAL]],ESTIMATIVA[[#This Row],[QT_CANA_REST2]])</f>
        <v>866.27</v>
      </c>
      <c r="AG1111" s="1" t="str">
        <f>IF(COUNTIFS(GEADA!A:A,VALUE(ESTIMATIVA[[#This Row],[CD_UPNIVEL1]]&amp;TEXT(ESTIMATIVA[[#This Row],[CD_UPNIVEL3]],"0000")))&gt;0,"S","N")</f>
        <v>N</v>
      </c>
      <c r="AH111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11" s="55" t="str">
        <f>IF(ESTIMATIVA[[#This Row],[TP_CULTIVO]]="Irrigado",_xlfn.MAXIFS(IRRIGADO!J:J,IRRIGADO!C:C,ESTIMATIVA[[#This Row],[CD_UPNIVEL1]],IRRIGADO!E:E,ESTIMATIVA[[#This Row],[CD_UPNIVEL3]]),"")</f>
        <v/>
      </c>
      <c r="AJ111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11" s="1">
        <f>COUNTIFS(Apresentação!$E$23:$E$29,ESTIMATIVA[[#This Row],[CD_UPNIVEL1]])</f>
        <v>0</v>
      </c>
    </row>
    <row r="1112" spans="1:37" x14ac:dyDescent="0.3">
      <c r="A1112">
        <v>20496</v>
      </c>
      <c r="B1112" t="s">
        <v>62</v>
      </c>
      <c r="C1112">
        <v>7</v>
      </c>
      <c r="D1112">
        <v>5</v>
      </c>
      <c r="E1112" t="s">
        <v>268</v>
      </c>
      <c r="F1112" s="85" t="s">
        <v>332</v>
      </c>
      <c r="G1112"/>
      <c r="H1112" t="s">
        <v>294</v>
      </c>
      <c r="I1112" t="s">
        <v>221</v>
      </c>
      <c r="J1112" t="s">
        <v>176</v>
      </c>
      <c r="K1112" s="1">
        <v>3.03</v>
      </c>
      <c r="L1112" s="1">
        <v>0</v>
      </c>
      <c r="M1112" s="1">
        <v>0</v>
      </c>
      <c r="N1112" s="1">
        <v>3.03</v>
      </c>
      <c r="O1112" s="1">
        <v>163.62</v>
      </c>
      <c r="P1112" s="1">
        <v>0</v>
      </c>
      <c r="Q1112" s="1">
        <v>0</v>
      </c>
      <c r="R1112" s="1">
        <v>212.28</v>
      </c>
      <c r="S1112" t="s">
        <v>12</v>
      </c>
      <c r="T1112" s="13">
        <v>45830</v>
      </c>
      <c r="U1112" s="1" t="str">
        <f>IF(ESTIMATIVA[[#This Row],[QT_AREA_REAL]]&gt;0,"1- Colhido","2- à Colher")</f>
        <v>1- Colhido</v>
      </c>
      <c r="V1112" s="1" t="str">
        <f>IF(ESTIMATIVA[[#This Row],[QT_AREA_REST1]]&gt;0,"Reestimativa 1",IF(ESTIMATIVA[[#This Row],[QT_AREA_REAL]]=0,"Reestimativa 1","Realizado"))</f>
        <v>Realizado</v>
      </c>
      <c r="W1112" s="1" t="str">
        <f>IF(ESTIMATIVA[[#This Row],[QT_AREA_REST2]]&gt;0,"Reestimativa 2",IF(ESTIMATIVA[[#This Row],[QT_AREA_REAL]]=0,"Reestimativa 2","Realizado"))</f>
        <v>Realizado</v>
      </c>
      <c r="X1112" s="1">
        <f>ESTIMATIVA[[#This Row],[QT_AREA_EST]]</f>
        <v>3.03</v>
      </c>
      <c r="Y1112" s="1">
        <f>IF(ESTIMATIVA[[#This Row],[QT_AREA_REST1]]&gt;0,ESTIMATIVA[[#This Row],[QT_AREA_REST1]],
  IF(ESTIMATIVA[[#This Row],[QT_AREA_REAL]]&gt;0,ESTIMATIVA[[#This Row],[QT_AREA_REAL]],ESTIMATIVA[[#This Row],[QT_AREA_EST]]))</f>
        <v>3.03</v>
      </c>
      <c r="Z111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3.03</v>
      </c>
      <c r="AA1112" s="1">
        <f>ESTIMATIVA[[#This Row],[QT_CANA_EST]]</f>
        <v>163.62</v>
      </c>
      <c r="AB1112" s="1">
        <f>IF(ESTIMATIVA[[#This Row],[QT_CANA_REST1]]&gt;0,ESTIMATIVA[[#This Row],[QT_CANA_REST1]],
  IF(ESTIMATIVA[[#This Row],[QT_CANA_REAL]]&gt;0,ESTIMATIVA[[#This Row],[QT_CANA_REAL]],ESTIMATIVA[[#This Row],[QT_CANA_EST]]))</f>
        <v>212.28</v>
      </c>
      <c r="AC111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212.28</v>
      </c>
      <c r="AD1112" s="1">
        <f>IF(ESTIMATIVA[[#This Row],[QT_AREA_REAL]]&gt;0,ESTIMATIVA[[#This Row],[QT_CANA_REAL]],ESTIMATIVA[[#This Row],[QT_CANA_EST]])</f>
        <v>212.28</v>
      </c>
      <c r="AE1112" s="1">
        <f>IF(ESTIMATIVA[[#This Row],[QT_AREA_REAL]]&gt;0,ESTIMATIVA[[#This Row],[QT_CANA_REAL]],ESTIMATIVA[[#This Row],[QT_CANA_REST1]])</f>
        <v>212.28</v>
      </c>
      <c r="AF1112" s="1">
        <f>IF(ESTIMATIVA[[#This Row],[QT_AREA_REAL]]&gt;0,ESTIMATIVA[[#This Row],[QT_CANA_REAL]],ESTIMATIVA[[#This Row],[QT_CANA_REST2]])</f>
        <v>212.28</v>
      </c>
      <c r="AG1112" s="1" t="str">
        <f>IF(COUNTIFS(GEADA!A:A,VALUE(ESTIMATIVA[[#This Row],[CD_UPNIVEL1]]&amp;TEXT(ESTIMATIVA[[#This Row],[CD_UPNIVEL3]],"0000")))&gt;0,"S","N")</f>
        <v>N</v>
      </c>
      <c r="AH111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12" s="55" t="str">
        <f>IF(ESTIMATIVA[[#This Row],[TP_CULTIVO]]="Irrigado",_xlfn.MAXIFS(IRRIGADO!J:J,IRRIGADO!C:C,ESTIMATIVA[[#This Row],[CD_UPNIVEL1]],IRRIGADO!E:E,ESTIMATIVA[[#This Row],[CD_UPNIVEL3]]),"")</f>
        <v/>
      </c>
      <c r="AJ111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12" s="1">
        <f>COUNTIFS(Apresentação!$E$23:$E$29,ESTIMATIVA[[#This Row],[CD_UPNIVEL1]])</f>
        <v>0</v>
      </c>
    </row>
    <row r="1113" spans="1:37" x14ac:dyDescent="0.3">
      <c r="A1113">
        <v>20496</v>
      </c>
      <c r="B1113" t="s">
        <v>62</v>
      </c>
      <c r="C1113">
        <v>8</v>
      </c>
      <c r="D1113">
        <v>5</v>
      </c>
      <c r="E1113" t="s">
        <v>268</v>
      </c>
      <c r="F1113" s="85" t="s">
        <v>332</v>
      </c>
      <c r="G1113"/>
      <c r="H1113" t="s">
        <v>294</v>
      </c>
      <c r="I1113" t="s">
        <v>221</v>
      </c>
      <c r="J1113" t="s">
        <v>176</v>
      </c>
      <c r="K1113" s="1">
        <v>16.11</v>
      </c>
      <c r="L1113" s="1">
        <v>0</v>
      </c>
      <c r="M1113" s="1">
        <v>0</v>
      </c>
      <c r="N1113" s="1">
        <v>16.11</v>
      </c>
      <c r="O1113" s="1">
        <v>869.94</v>
      </c>
      <c r="P1113" s="1">
        <v>0</v>
      </c>
      <c r="Q1113" s="1">
        <v>0</v>
      </c>
      <c r="R1113" s="1">
        <v>1126.57</v>
      </c>
      <c r="S1113" t="s">
        <v>12</v>
      </c>
      <c r="T1113" s="13">
        <v>45830</v>
      </c>
      <c r="U1113" s="1" t="str">
        <f>IF(ESTIMATIVA[[#This Row],[QT_AREA_REAL]]&gt;0,"1- Colhido","2- à Colher")</f>
        <v>1- Colhido</v>
      </c>
      <c r="V1113" s="1" t="str">
        <f>IF(ESTIMATIVA[[#This Row],[QT_AREA_REST1]]&gt;0,"Reestimativa 1",IF(ESTIMATIVA[[#This Row],[QT_AREA_REAL]]=0,"Reestimativa 1","Realizado"))</f>
        <v>Realizado</v>
      </c>
      <c r="W1113" s="1" t="str">
        <f>IF(ESTIMATIVA[[#This Row],[QT_AREA_REST2]]&gt;0,"Reestimativa 2",IF(ESTIMATIVA[[#This Row],[QT_AREA_REAL]]=0,"Reestimativa 2","Realizado"))</f>
        <v>Realizado</v>
      </c>
      <c r="X1113" s="1">
        <f>ESTIMATIVA[[#This Row],[QT_AREA_EST]]</f>
        <v>16.11</v>
      </c>
      <c r="Y1113" s="1">
        <f>IF(ESTIMATIVA[[#This Row],[QT_AREA_REST1]]&gt;0,ESTIMATIVA[[#This Row],[QT_AREA_REST1]],
  IF(ESTIMATIVA[[#This Row],[QT_AREA_REAL]]&gt;0,ESTIMATIVA[[#This Row],[QT_AREA_REAL]],ESTIMATIVA[[#This Row],[QT_AREA_EST]]))</f>
        <v>16.11</v>
      </c>
      <c r="Z111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16.11</v>
      </c>
      <c r="AA1113" s="1">
        <f>ESTIMATIVA[[#This Row],[QT_CANA_EST]]</f>
        <v>869.94</v>
      </c>
      <c r="AB1113" s="1">
        <f>IF(ESTIMATIVA[[#This Row],[QT_CANA_REST1]]&gt;0,ESTIMATIVA[[#This Row],[QT_CANA_REST1]],
  IF(ESTIMATIVA[[#This Row],[QT_CANA_REAL]]&gt;0,ESTIMATIVA[[#This Row],[QT_CANA_REAL]],ESTIMATIVA[[#This Row],[QT_CANA_EST]]))</f>
        <v>1126.57</v>
      </c>
      <c r="AC111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1126.57</v>
      </c>
      <c r="AD1113" s="1">
        <f>IF(ESTIMATIVA[[#This Row],[QT_AREA_REAL]]&gt;0,ESTIMATIVA[[#This Row],[QT_CANA_REAL]],ESTIMATIVA[[#This Row],[QT_CANA_EST]])</f>
        <v>1126.57</v>
      </c>
      <c r="AE1113" s="1">
        <f>IF(ESTIMATIVA[[#This Row],[QT_AREA_REAL]]&gt;0,ESTIMATIVA[[#This Row],[QT_CANA_REAL]],ESTIMATIVA[[#This Row],[QT_CANA_REST1]])</f>
        <v>1126.57</v>
      </c>
      <c r="AF1113" s="1">
        <f>IF(ESTIMATIVA[[#This Row],[QT_AREA_REAL]]&gt;0,ESTIMATIVA[[#This Row],[QT_CANA_REAL]],ESTIMATIVA[[#This Row],[QT_CANA_REST2]])</f>
        <v>1126.57</v>
      </c>
      <c r="AG1113" s="1" t="str">
        <f>IF(COUNTIFS(GEADA!A:A,VALUE(ESTIMATIVA[[#This Row],[CD_UPNIVEL1]]&amp;TEXT(ESTIMATIVA[[#This Row],[CD_UPNIVEL3]],"0000")))&gt;0,"S","N")</f>
        <v>N</v>
      </c>
      <c r="AH111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13" s="55" t="str">
        <f>IF(ESTIMATIVA[[#This Row],[TP_CULTIVO]]="Irrigado",_xlfn.MAXIFS(IRRIGADO!J:J,IRRIGADO!C:C,ESTIMATIVA[[#This Row],[CD_UPNIVEL1]],IRRIGADO!E:E,ESTIMATIVA[[#This Row],[CD_UPNIVEL3]]),"")</f>
        <v/>
      </c>
      <c r="AJ111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13" s="1">
        <f>COUNTIFS(Apresentação!$E$23:$E$29,ESTIMATIVA[[#This Row],[CD_UPNIVEL1]])</f>
        <v>0</v>
      </c>
    </row>
    <row r="1114" spans="1:37" x14ac:dyDescent="0.3">
      <c r="A1114">
        <v>20496</v>
      </c>
      <c r="B1114" t="s">
        <v>62</v>
      </c>
      <c r="C1114">
        <v>9</v>
      </c>
      <c r="D1114">
        <v>5</v>
      </c>
      <c r="E1114" t="s">
        <v>268</v>
      </c>
      <c r="F1114" s="85" t="s">
        <v>332</v>
      </c>
      <c r="G1114"/>
      <c r="H1114" t="s">
        <v>294</v>
      </c>
      <c r="I1114" t="s">
        <v>221</v>
      </c>
      <c r="J1114" t="s">
        <v>176</v>
      </c>
      <c r="K1114" s="1">
        <v>5.05</v>
      </c>
      <c r="L1114" s="1">
        <v>0</v>
      </c>
      <c r="M1114" s="1">
        <v>0</v>
      </c>
      <c r="N1114" s="1">
        <v>5.05</v>
      </c>
      <c r="O1114" s="1">
        <v>272.7</v>
      </c>
      <c r="P1114" s="1">
        <v>0</v>
      </c>
      <c r="Q1114" s="1">
        <v>0</v>
      </c>
      <c r="R1114" s="1">
        <v>353.44</v>
      </c>
      <c r="S1114" t="s">
        <v>12</v>
      </c>
      <c r="T1114" s="13">
        <v>45830</v>
      </c>
      <c r="U1114" s="1" t="str">
        <f>IF(ESTIMATIVA[[#This Row],[QT_AREA_REAL]]&gt;0,"1- Colhido","2- à Colher")</f>
        <v>1- Colhido</v>
      </c>
      <c r="V1114" s="1" t="str">
        <f>IF(ESTIMATIVA[[#This Row],[QT_AREA_REST1]]&gt;0,"Reestimativa 1",IF(ESTIMATIVA[[#This Row],[QT_AREA_REAL]]=0,"Reestimativa 1","Realizado"))</f>
        <v>Realizado</v>
      </c>
      <c r="W1114" s="1" t="str">
        <f>IF(ESTIMATIVA[[#This Row],[QT_AREA_REST2]]&gt;0,"Reestimativa 2",IF(ESTIMATIVA[[#This Row],[QT_AREA_REAL]]=0,"Reestimativa 2","Realizado"))</f>
        <v>Realizado</v>
      </c>
      <c r="X1114" s="1">
        <f>ESTIMATIVA[[#This Row],[QT_AREA_EST]]</f>
        <v>5.05</v>
      </c>
      <c r="Y1114" s="1">
        <f>IF(ESTIMATIVA[[#This Row],[QT_AREA_REST1]]&gt;0,ESTIMATIVA[[#This Row],[QT_AREA_REST1]],
  IF(ESTIMATIVA[[#This Row],[QT_AREA_REAL]]&gt;0,ESTIMATIVA[[#This Row],[QT_AREA_REAL]],ESTIMATIVA[[#This Row],[QT_AREA_EST]]))</f>
        <v>5.05</v>
      </c>
      <c r="Z111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5.05</v>
      </c>
      <c r="AA1114" s="1">
        <f>ESTIMATIVA[[#This Row],[QT_CANA_EST]]</f>
        <v>272.7</v>
      </c>
      <c r="AB1114" s="1">
        <f>IF(ESTIMATIVA[[#This Row],[QT_CANA_REST1]]&gt;0,ESTIMATIVA[[#This Row],[QT_CANA_REST1]],
  IF(ESTIMATIVA[[#This Row],[QT_CANA_REAL]]&gt;0,ESTIMATIVA[[#This Row],[QT_CANA_REAL]],ESTIMATIVA[[#This Row],[QT_CANA_EST]]))</f>
        <v>353.44</v>
      </c>
      <c r="AC111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353.44</v>
      </c>
      <c r="AD1114" s="1">
        <f>IF(ESTIMATIVA[[#This Row],[QT_AREA_REAL]]&gt;0,ESTIMATIVA[[#This Row],[QT_CANA_REAL]],ESTIMATIVA[[#This Row],[QT_CANA_EST]])</f>
        <v>353.44</v>
      </c>
      <c r="AE1114" s="1">
        <f>IF(ESTIMATIVA[[#This Row],[QT_AREA_REAL]]&gt;0,ESTIMATIVA[[#This Row],[QT_CANA_REAL]],ESTIMATIVA[[#This Row],[QT_CANA_REST1]])</f>
        <v>353.44</v>
      </c>
      <c r="AF1114" s="1">
        <f>IF(ESTIMATIVA[[#This Row],[QT_AREA_REAL]]&gt;0,ESTIMATIVA[[#This Row],[QT_CANA_REAL]],ESTIMATIVA[[#This Row],[QT_CANA_REST2]])</f>
        <v>353.44</v>
      </c>
      <c r="AG1114" s="1" t="str">
        <f>IF(COUNTIFS(GEADA!A:A,VALUE(ESTIMATIVA[[#This Row],[CD_UPNIVEL1]]&amp;TEXT(ESTIMATIVA[[#This Row],[CD_UPNIVEL3]],"0000")))&gt;0,"S","N")</f>
        <v>N</v>
      </c>
      <c r="AH111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14" s="55" t="str">
        <f>IF(ESTIMATIVA[[#This Row],[TP_CULTIVO]]="Irrigado",_xlfn.MAXIFS(IRRIGADO!J:J,IRRIGADO!C:C,ESTIMATIVA[[#This Row],[CD_UPNIVEL1]],IRRIGADO!E:E,ESTIMATIVA[[#This Row],[CD_UPNIVEL3]]),"")</f>
        <v/>
      </c>
      <c r="AJ111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14" s="1">
        <f>COUNTIFS(Apresentação!$E$23:$E$29,ESTIMATIVA[[#This Row],[CD_UPNIVEL1]])</f>
        <v>0</v>
      </c>
    </row>
    <row r="1115" spans="1:37" x14ac:dyDescent="0.3">
      <c r="A1115">
        <v>20496</v>
      </c>
      <c r="B1115" t="s">
        <v>62</v>
      </c>
      <c r="C1115">
        <v>10</v>
      </c>
      <c r="D1115">
        <v>5</v>
      </c>
      <c r="E1115" t="s">
        <v>268</v>
      </c>
      <c r="F1115" s="85" t="s">
        <v>332</v>
      </c>
      <c r="G1115"/>
      <c r="H1115" t="s">
        <v>294</v>
      </c>
      <c r="I1115" t="s">
        <v>221</v>
      </c>
      <c r="J1115" t="s">
        <v>176</v>
      </c>
      <c r="K1115" s="1">
        <v>16.309999999999999</v>
      </c>
      <c r="L1115" s="1">
        <v>0</v>
      </c>
      <c r="M1115" s="1">
        <v>0</v>
      </c>
      <c r="N1115" s="1">
        <v>16.309999999999999</v>
      </c>
      <c r="O1115" s="1">
        <v>880.74</v>
      </c>
      <c r="P1115" s="1">
        <v>0</v>
      </c>
      <c r="Q1115" s="1">
        <v>0</v>
      </c>
      <c r="R1115" s="1">
        <v>1140.81</v>
      </c>
      <c r="S1115" t="s">
        <v>12</v>
      </c>
      <c r="T1115" s="13">
        <v>45830</v>
      </c>
      <c r="U1115" s="1" t="str">
        <f>IF(ESTIMATIVA[[#This Row],[QT_AREA_REAL]]&gt;0,"1- Colhido","2- à Colher")</f>
        <v>1- Colhido</v>
      </c>
      <c r="V1115" s="1" t="str">
        <f>IF(ESTIMATIVA[[#This Row],[QT_AREA_REST1]]&gt;0,"Reestimativa 1",IF(ESTIMATIVA[[#This Row],[QT_AREA_REAL]]=0,"Reestimativa 1","Realizado"))</f>
        <v>Realizado</v>
      </c>
      <c r="W1115" s="1" t="str">
        <f>IF(ESTIMATIVA[[#This Row],[QT_AREA_REST2]]&gt;0,"Reestimativa 2",IF(ESTIMATIVA[[#This Row],[QT_AREA_REAL]]=0,"Reestimativa 2","Realizado"))</f>
        <v>Realizado</v>
      </c>
      <c r="X1115" s="1">
        <f>ESTIMATIVA[[#This Row],[QT_AREA_EST]]</f>
        <v>16.309999999999999</v>
      </c>
      <c r="Y1115" s="1">
        <f>IF(ESTIMATIVA[[#This Row],[QT_AREA_REST1]]&gt;0,ESTIMATIVA[[#This Row],[QT_AREA_REST1]],
  IF(ESTIMATIVA[[#This Row],[QT_AREA_REAL]]&gt;0,ESTIMATIVA[[#This Row],[QT_AREA_REAL]],ESTIMATIVA[[#This Row],[QT_AREA_EST]]))</f>
        <v>16.309999999999999</v>
      </c>
      <c r="Z111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16.309999999999999</v>
      </c>
      <c r="AA1115" s="1">
        <f>ESTIMATIVA[[#This Row],[QT_CANA_EST]]</f>
        <v>880.74</v>
      </c>
      <c r="AB1115" s="1">
        <f>IF(ESTIMATIVA[[#This Row],[QT_CANA_REST1]]&gt;0,ESTIMATIVA[[#This Row],[QT_CANA_REST1]],
  IF(ESTIMATIVA[[#This Row],[QT_CANA_REAL]]&gt;0,ESTIMATIVA[[#This Row],[QT_CANA_REAL]],ESTIMATIVA[[#This Row],[QT_CANA_EST]]))</f>
        <v>1140.81</v>
      </c>
      <c r="AC111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1140.81</v>
      </c>
      <c r="AD1115" s="1">
        <f>IF(ESTIMATIVA[[#This Row],[QT_AREA_REAL]]&gt;0,ESTIMATIVA[[#This Row],[QT_CANA_REAL]],ESTIMATIVA[[#This Row],[QT_CANA_EST]])</f>
        <v>1140.81</v>
      </c>
      <c r="AE1115" s="1">
        <f>IF(ESTIMATIVA[[#This Row],[QT_AREA_REAL]]&gt;0,ESTIMATIVA[[#This Row],[QT_CANA_REAL]],ESTIMATIVA[[#This Row],[QT_CANA_REST1]])</f>
        <v>1140.81</v>
      </c>
      <c r="AF1115" s="1">
        <f>IF(ESTIMATIVA[[#This Row],[QT_AREA_REAL]]&gt;0,ESTIMATIVA[[#This Row],[QT_CANA_REAL]],ESTIMATIVA[[#This Row],[QT_CANA_REST2]])</f>
        <v>1140.81</v>
      </c>
      <c r="AG1115" s="1" t="str">
        <f>IF(COUNTIFS(GEADA!A:A,VALUE(ESTIMATIVA[[#This Row],[CD_UPNIVEL1]]&amp;TEXT(ESTIMATIVA[[#This Row],[CD_UPNIVEL3]],"0000")))&gt;0,"S","N")</f>
        <v>N</v>
      </c>
      <c r="AH111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15" s="55" t="str">
        <f>IF(ESTIMATIVA[[#This Row],[TP_CULTIVO]]="Irrigado",_xlfn.MAXIFS(IRRIGADO!J:J,IRRIGADO!C:C,ESTIMATIVA[[#This Row],[CD_UPNIVEL1]],IRRIGADO!E:E,ESTIMATIVA[[#This Row],[CD_UPNIVEL3]]),"")</f>
        <v/>
      </c>
      <c r="AJ111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15" s="1">
        <f>COUNTIFS(Apresentação!$E$23:$E$29,ESTIMATIVA[[#This Row],[CD_UPNIVEL1]])</f>
        <v>0</v>
      </c>
    </row>
    <row r="1116" spans="1:37" x14ac:dyDescent="0.3">
      <c r="A1116">
        <v>20496</v>
      </c>
      <c r="B1116" t="s">
        <v>62</v>
      </c>
      <c r="C1116">
        <v>11</v>
      </c>
      <c r="D1116">
        <v>5</v>
      </c>
      <c r="E1116" t="s">
        <v>268</v>
      </c>
      <c r="F1116" s="85" t="s">
        <v>332</v>
      </c>
      <c r="G1116"/>
      <c r="H1116" t="s">
        <v>294</v>
      </c>
      <c r="I1116" t="s">
        <v>221</v>
      </c>
      <c r="J1116" t="s">
        <v>176</v>
      </c>
      <c r="K1116" s="1">
        <v>5.22</v>
      </c>
      <c r="L1116" s="1">
        <v>0</v>
      </c>
      <c r="M1116" s="1">
        <v>0</v>
      </c>
      <c r="N1116" s="1">
        <v>5.22</v>
      </c>
      <c r="O1116" s="1">
        <v>281.88</v>
      </c>
      <c r="P1116" s="1">
        <v>0</v>
      </c>
      <c r="Q1116" s="1">
        <v>0</v>
      </c>
      <c r="R1116" s="1">
        <v>365.94</v>
      </c>
      <c r="S1116" t="s">
        <v>12</v>
      </c>
      <c r="T1116" s="13">
        <v>45830</v>
      </c>
      <c r="U1116" s="1" t="str">
        <f>IF(ESTIMATIVA[[#This Row],[QT_AREA_REAL]]&gt;0,"1- Colhido","2- à Colher")</f>
        <v>1- Colhido</v>
      </c>
      <c r="V1116" s="1" t="str">
        <f>IF(ESTIMATIVA[[#This Row],[QT_AREA_REST1]]&gt;0,"Reestimativa 1",IF(ESTIMATIVA[[#This Row],[QT_AREA_REAL]]=0,"Reestimativa 1","Realizado"))</f>
        <v>Realizado</v>
      </c>
      <c r="W1116" s="1" t="str">
        <f>IF(ESTIMATIVA[[#This Row],[QT_AREA_REST2]]&gt;0,"Reestimativa 2",IF(ESTIMATIVA[[#This Row],[QT_AREA_REAL]]=0,"Reestimativa 2","Realizado"))</f>
        <v>Realizado</v>
      </c>
      <c r="X1116" s="1">
        <f>ESTIMATIVA[[#This Row],[QT_AREA_EST]]</f>
        <v>5.22</v>
      </c>
      <c r="Y1116" s="1">
        <f>IF(ESTIMATIVA[[#This Row],[QT_AREA_REST1]]&gt;0,ESTIMATIVA[[#This Row],[QT_AREA_REST1]],
  IF(ESTIMATIVA[[#This Row],[QT_AREA_REAL]]&gt;0,ESTIMATIVA[[#This Row],[QT_AREA_REAL]],ESTIMATIVA[[#This Row],[QT_AREA_EST]]))</f>
        <v>5.22</v>
      </c>
      <c r="Z111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5.22</v>
      </c>
      <c r="AA1116" s="1">
        <f>ESTIMATIVA[[#This Row],[QT_CANA_EST]]</f>
        <v>281.88</v>
      </c>
      <c r="AB1116" s="1">
        <f>IF(ESTIMATIVA[[#This Row],[QT_CANA_REST1]]&gt;0,ESTIMATIVA[[#This Row],[QT_CANA_REST1]],
  IF(ESTIMATIVA[[#This Row],[QT_CANA_REAL]]&gt;0,ESTIMATIVA[[#This Row],[QT_CANA_REAL]],ESTIMATIVA[[#This Row],[QT_CANA_EST]]))</f>
        <v>365.94</v>
      </c>
      <c r="AC111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365.94</v>
      </c>
      <c r="AD1116" s="1">
        <f>IF(ESTIMATIVA[[#This Row],[QT_AREA_REAL]]&gt;0,ESTIMATIVA[[#This Row],[QT_CANA_REAL]],ESTIMATIVA[[#This Row],[QT_CANA_EST]])</f>
        <v>365.94</v>
      </c>
      <c r="AE1116" s="1">
        <f>IF(ESTIMATIVA[[#This Row],[QT_AREA_REAL]]&gt;0,ESTIMATIVA[[#This Row],[QT_CANA_REAL]],ESTIMATIVA[[#This Row],[QT_CANA_REST1]])</f>
        <v>365.94</v>
      </c>
      <c r="AF1116" s="1">
        <f>IF(ESTIMATIVA[[#This Row],[QT_AREA_REAL]]&gt;0,ESTIMATIVA[[#This Row],[QT_CANA_REAL]],ESTIMATIVA[[#This Row],[QT_CANA_REST2]])</f>
        <v>365.94</v>
      </c>
      <c r="AG1116" s="1" t="str">
        <f>IF(COUNTIFS(GEADA!A:A,VALUE(ESTIMATIVA[[#This Row],[CD_UPNIVEL1]]&amp;TEXT(ESTIMATIVA[[#This Row],[CD_UPNIVEL3]],"0000")))&gt;0,"S","N")</f>
        <v>N</v>
      </c>
      <c r="AH111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16" s="55" t="str">
        <f>IF(ESTIMATIVA[[#This Row],[TP_CULTIVO]]="Irrigado",_xlfn.MAXIFS(IRRIGADO!J:J,IRRIGADO!C:C,ESTIMATIVA[[#This Row],[CD_UPNIVEL1]],IRRIGADO!E:E,ESTIMATIVA[[#This Row],[CD_UPNIVEL3]]),"")</f>
        <v/>
      </c>
      <c r="AJ111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16" s="1">
        <f>COUNTIFS(Apresentação!$E$23:$E$29,ESTIMATIVA[[#This Row],[CD_UPNIVEL1]])</f>
        <v>0</v>
      </c>
    </row>
    <row r="1117" spans="1:37" x14ac:dyDescent="0.3">
      <c r="A1117">
        <v>20500</v>
      </c>
      <c r="B1117" t="s">
        <v>147</v>
      </c>
      <c r="C1117">
        <v>1</v>
      </c>
      <c r="D1117">
        <v>3</v>
      </c>
      <c r="E1117" t="s">
        <v>263</v>
      </c>
      <c r="F1117" s="85" t="s">
        <v>333</v>
      </c>
      <c r="G1117"/>
      <c r="H1117" t="s">
        <v>295</v>
      </c>
      <c r="I1117" t="s">
        <v>207</v>
      </c>
      <c r="J1117" t="s">
        <v>176</v>
      </c>
      <c r="K1117" s="1">
        <v>2.12</v>
      </c>
      <c r="L1117" s="1">
        <v>2.12</v>
      </c>
      <c r="M1117" s="1">
        <v>2.12</v>
      </c>
      <c r="N1117" s="1">
        <v>2.12</v>
      </c>
      <c r="O1117" s="1">
        <v>127.2</v>
      </c>
      <c r="P1117" s="1">
        <v>129.32</v>
      </c>
      <c r="Q1117" s="1">
        <v>129.32</v>
      </c>
      <c r="R1117" s="1">
        <v>153.08000000000001</v>
      </c>
      <c r="S1117" t="s">
        <v>12</v>
      </c>
      <c r="T1117" s="13">
        <v>45942</v>
      </c>
      <c r="U1117" s="1" t="str">
        <f>IF(ESTIMATIVA[[#This Row],[QT_AREA_REAL]]&gt;0,"1- Colhido","2- à Colher")</f>
        <v>1- Colhido</v>
      </c>
      <c r="V1117" s="1" t="str">
        <f>IF(ESTIMATIVA[[#This Row],[QT_AREA_REST1]]&gt;0,"Reestimativa 1",IF(ESTIMATIVA[[#This Row],[QT_AREA_REAL]]=0,"Reestimativa 1","Realizado"))</f>
        <v>Reestimativa 1</v>
      </c>
      <c r="W1117" s="1" t="str">
        <f>IF(ESTIMATIVA[[#This Row],[QT_AREA_REST2]]&gt;0,"Reestimativa 2",IF(ESTIMATIVA[[#This Row],[QT_AREA_REAL]]=0,"Reestimativa 2","Realizado"))</f>
        <v>Reestimativa 2</v>
      </c>
      <c r="X1117" s="1">
        <f>ESTIMATIVA[[#This Row],[QT_AREA_EST]]</f>
        <v>2.12</v>
      </c>
      <c r="Y1117" s="1">
        <f>IF(ESTIMATIVA[[#This Row],[QT_AREA_REST1]]&gt;0,ESTIMATIVA[[#This Row],[QT_AREA_REST1]],
  IF(ESTIMATIVA[[#This Row],[QT_AREA_REAL]]&gt;0,ESTIMATIVA[[#This Row],[QT_AREA_REAL]],ESTIMATIVA[[#This Row],[QT_AREA_EST]]))</f>
        <v>2.12</v>
      </c>
      <c r="Z111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2.12</v>
      </c>
      <c r="AA1117" s="1">
        <f>ESTIMATIVA[[#This Row],[QT_CANA_EST]]</f>
        <v>127.2</v>
      </c>
      <c r="AB1117" s="1">
        <f>IF(ESTIMATIVA[[#This Row],[QT_CANA_REST1]]&gt;0,ESTIMATIVA[[#This Row],[QT_CANA_REST1]],
  IF(ESTIMATIVA[[#This Row],[QT_CANA_REAL]]&gt;0,ESTIMATIVA[[#This Row],[QT_CANA_REAL]],ESTIMATIVA[[#This Row],[QT_CANA_EST]]))</f>
        <v>129.32</v>
      </c>
      <c r="AC111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129.32</v>
      </c>
      <c r="AD1117" s="1">
        <f>IF(ESTIMATIVA[[#This Row],[QT_AREA_REAL]]&gt;0,ESTIMATIVA[[#This Row],[QT_CANA_REAL]],ESTIMATIVA[[#This Row],[QT_CANA_EST]])</f>
        <v>153.08000000000001</v>
      </c>
      <c r="AE1117" s="1">
        <f>IF(ESTIMATIVA[[#This Row],[QT_AREA_REAL]]&gt;0,ESTIMATIVA[[#This Row],[QT_CANA_REAL]],ESTIMATIVA[[#This Row],[QT_CANA_REST1]])</f>
        <v>153.08000000000001</v>
      </c>
      <c r="AF1117" s="1">
        <f>IF(ESTIMATIVA[[#This Row],[QT_AREA_REAL]]&gt;0,ESTIMATIVA[[#This Row],[QT_CANA_REAL]],ESTIMATIVA[[#This Row],[QT_CANA_REST2]])</f>
        <v>153.08000000000001</v>
      </c>
      <c r="AG1117" s="1" t="str">
        <f>IF(COUNTIFS(GEADA!A:A,VALUE(ESTIMATIVA[[#This Row],[CD_UPNIVEL1]]&amp;TEXT(ESTIMATIVA[[#This Row],[CD_UPNIVEL3]],"0000")))&gt;0,"S","N")</f>
        <v>N</v>
      </c>
      <c r="AH1117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117" s="55">
        <f>IF(ESTIMATIVA[[#This Row],[TP_CULTIVO]]="Irrigado",_xlfn.MAXIFS(IRRIGADO!J:J,IRRIGADO!C:C,ESTIMATIVA[[#This Row],[CD_UPNIVEL1]],IRRIGADO!E:E,ESTIMATIVA[[#This Row],[CD_UPNIVEL3]]),"")</f>
        <v>45596</v>
      </c>
      <c r="AJ1117" s="1">
        <f>IF(ESTIMATIVA[[#This Row],[TP_CULTIVO]]&lt;&gt;"Irrigado",0,AVERAGEIFS(IRRIGADO!G:G,IRRIGADO!C:C,ESTIMATIVA[[#This Row],[CD_UPNIVEL1]],IRRIGADO!E:E,ESTIMATIVA[[#This Row],[CD_UPNIVEL3]])*ESTIMATIVA[[#This Row],[QT_AREA_REAL]])</f>
        <v>55.120000000000005</v>
      </c>
      <c r="AK1117" s="1">
        <f>COUNTIFS(Apresentação!$E$23:$E$29,ESTIMATIVA[[#This Row],[CD_UPNIVEL1]])</f>
        <v>1</v>
      </c>
    </row>
    <row r="1118" spans="1:37" x14ac:dyDescent="0.3">
      <c r="A1118">
        <v>20500</v>
      </c>
      <c r="B1118" t="s">
        <v>147</v>
      </c>
      <c r="C1118">
        <v>2</v>
      </c>
      <c r="D1118">
        <v>3</v>
      </c>
      <c r="E1118" t="s">
        <v>263</v>
      </c>
      <c r="F1118" s="85" t="s">
        <v>333</v>
      </c>
      <c r="G1118"/>
      <c r="H1118" t="s">
        <v>295</v>
      </c>
      <c r="I1118" t="s">
        <v>207</v>
      </c>
      <c r="J1118" t="s">
        <v>176</v>
      </c>
      <c r="K1118" s="1">
        <v>11.9</v>
      </c>
      <c r="L1118" s="1">
        <v>11.9</v>
      </c>
      <c r="M1118" s="1">
        <v>11.9</v>
      </c>
      <c r="N1118" s="1">
        <v>11.9</v>
      </c>
      <c r="O1118" s="1">
        <v>714</v>
      </c>
      <c r="P1118" s="1">
        <v>666.4</v>
      </c>
      <c r="Q1118" s="1">
        <v>666.4</v>
      </c>
      <c r="R1118" s="1">
        <v>790.41</v>
      </c>
      <c r="S1118" t="s">
        <v>12</v>
      </c>
      <c r="T1118" s="13">
        <v>45942</v>
      </c>
      <c r="U1118" s="1" t="str">
        <f>IF(ESTIMATIVA[[#This Row],[QT_AREA_REAL]]&gt;0,"1- Colhido","2- à Colher")</f>
        <v>1- Colhido</v>
      </c>
      <c r="V1118" s="1" t="str">
        <f>IF(ESTIMATIVA[[#This Row],[QT_AREA_REST1]]&gt;0,"Reestimativa 1",IF(ESTIMATIVA[[#This Row],[QT_AREA_REAL]]=0,"Reestimativa 1","Realizado"))</f>
        <v>Reestimativa 1</v>
      </c>
      <c r="W1118" s="1" t="str">
        <f>IF(ESTIMATIVA[[#This Row],[QT_AREA_REST2]]&gt;0,"Reestimativa 2",IF(ESTIMATIVA[[#This Row],[QT_AREA_REAL]]=0,"Reestimativa 2","Realizado"))</f>
        <v>Reestimativa 2</v>
      </c>
      <c r="X1118" s="1">
        <f>ESTIMATIVA[[#This Row],[QT_AREA_EST]]</f>
        <v>11.9</v>
      </c>
      <c r="Y1118" s="1">
        <f>IF(ESTIMATIVA[[#This Row],[QT_AREA_REST1]]&gt;0,ESTIMATIVA[[#This Row],[QT_AREA_REST1]],
  IF(ESTIMATIVA[[#This Row],[QT_AREA_REAL]]&gt;0,ESTIMATIVA[[#This Row],[QT_AREA_REAL]],ESTIMATIVA[[#This Row],[QT_AREA_EST]]))</f>
        <v>11.9</v>
      </c>
      <c r="Z111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11.9</v>
      </c>
      <c r="AA1118" s="1">
        <f>ESTIMATIVA[[#This Row],[QT_CANA_EST]]</f>
        <v>714</v>
      </c>
      <c r="AB1118" s="1">
        <f>IF(ESTIMATIVA[[#This Row],[QT_CANA_REST1]]&gt;0,ESTIMATIVA[[#This Row],[QT_CANA_REST1]],
  IF(ESTIMATIVA[[#This Row],[QT_CANA_REAL]]&gt;0,ESTIMATIVA[[#This Row],[QT_CANA_REAL]],ESTIMATIVA[[#This Row],[QT_CANA_EST]]))</f>
        <v>666.4</v>
      </c>
      <c r="AC111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666.4</v>
      </c>
      <c r="AD1118" s="1">
        <f>IF(ESTIMATIVA[[#This Row],[QT_AREA_REAL]]&gt;0,ESTIMATIVA[[#This Row],[QT_CANA_REAL]],ESTIMATIVA[[#This Row],[QT_CANA_EST]])</f>
        <v>790.41</v>
      </c>
      <c r="AE1118" s="1">
        <f>IF(ESTIMATIVA[[#This Row],[QT_AREA_REAL]]&gt;0,ESTIMATIVA[[#This Row],[QT_CANA_REAL]],ESTIMATIVA[[#This Row],[QT_CANA_REST1]])</f>
        <v>790.41</v>
      </c>
      <c r="AF1118" s="1">
        <f>IF(ESTIMATIVA[[#This Row],[QT_AREA_REAL]]&gt;0,ESTIMATIVA[[#This Row],[QT_CANA_REAL]],ESTIMATIVA[[#This Row],[QT_CANA_REST2]])</f>
        <v>790.41</v>
      </c>
      <c r="AG1118" s="1" t="str">
        <f>IF(COUNTIFS(GEADA!A:A,VALUE(ESTIMATIVA[[#This Row],[CD_UPNIVEL1]]&amp;TEXT(ESTIMATIVA[[#This Row],[CD_UPNIVEL3]],"0000")))&gt;0,"S","N")</f>
        <v>S</v>
      </c>
      <c r="AH1118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118" s="55">
        <f>IF(ESTIMATIVA[[#This Row],[TP_CULTIVO]]="Irrigado",_xlfn.MAXIFS(IRRIGADO!J:J,IRRIGADO!C:C,ESTIMATIVA[[#This Row],[CD_UPNIVEL1]],IRRIGADO!E:E,ESTIMATIVA[[#This Row],[CD_UPNIVEL3]]),"")</f>
        <v>45596</v>
      </c>
      <c r="AJ1118" s="1">
        <f>IF(ESTIMATIVA[[#This Row],[TP_CULTIVO]]&lt;&gt;"Irrigado",0,AVERAGEIFS(IRRIGADO!G:G,IRRIGADO!C:C,ESTIMATIVA[[#This Row],[CD_UPNIVEL1]],IRRIGADO!E:E,ESTIMATIVA[[#This Row],[CD_UPNIVEL3]])*ESTIMATIVA[[#This Row],[QT_AREA_REAL]])</f>
        <v>309.40000000000003</v>
      </c>
      <c r="AK1118" s="1">
        <f>COUNTIFS(Apresentação!$E$23:$E$29,ESTIMATIVA[[#This Row],[CD_UPNIVEL1]])</f>
        <v>1</v>
      </c>
    </row>
    <row r="1119" spans="1:37" x14ac:dyDescent="0.3">
      <c r="A1119">
        <v>20504</v>
      </c>
      <c r="B1119" t="s">
        <v>63</v>
      </c>
      <c r="C1119">
        <v>1</v>
      </c>
      <c r="D1119">
        <v>8</v>
      </c>
      <c r="E1119" t="s">
        <v>262</v>
      </c>
      <c r="F1119" s="85" t="s">
        <v>331</v>
      </c>
      <c r="G1119"/>
      <c r="H1119" t="s">
        <v>294</v>
      </c>
      <c r="I1119" t="s">
        <v>208</v>
      </c>
      <c r="J1119" t="s">
        <v>176</v>
      </c>
      <c r="K1119" s="1">
        <v>9.2200000000000006</v>
      </c>
      <c r="L1119" s="1">
        <v>0</v>
      </c>
      <c r="M1119" s="1">
        <v>0</v>
      </c>
      <c r="N1119" s="1">
        <v>9.2200000000000006</v>
      </c>
      <c r="O1119" s="1">
        <v>461</v>
      </c>
      <c r="P1119" s="1">
        <v>0</v>
      </c>
      <c r="Q1119" s="1">
        <v>0</v>
      </c>
      <c r="R1119" s="1">
        <v>425.67</v>
      </c>
      <c r="S1119" t="s">
        <v>12</v>
      </c>
      <c r="T1119" s="13">
        <v>45746</v>
      </c>
      <c r="U1119" s="1" t="str">
        <f>IF(ESTIMATIVA[[#This Row],[QT_AREA_REAL]]&gt;0,"1- Colhido","2- à Colher")</f>
        <v>1- Colhido</v>
      </c>
      <c r="V1119" s="1" t="str">
        <f>IF(ESTIMATIVA[[#This Row],[QT_AREA_REST1]]&gt;0,"Reestimativa 1",IF(ESTIMATIVA[[#This Row],[QT_AREA_REAL]]=0,"Reestimativa 1","Realizado"))</f>
        <v>Realizado</v>
      </c>
      <c r="W1119" s="1" t="str">
        <f>IF(ESTIMATIVA[[#This Row],[QT_AREA_REST2]]&gt;0,"Reestimativa 2",IF(ESTIMATIVA[[#This Row],[QT_AREA_REAL]]=0,"Reestimativa 2","Realizado"))</f>
        <v>Realizado</v>
      </c>
      <c r="X1119" s="1">
        <f>ESTIMATIVA[[#This Row],[QT_AREA_EST]]</f>
        <v>9.2200000000000006</v>
      </c>
      <c r="Y1119" s="1">
        <f>IF(ESTIMATIVA[[#This Row],[QT_AREA_REST1]]&gt;0,ESTIMATIVA[[#This Row],[QT_AREA_REST1]],
  IF(ESTIMATIVA[[#This Row],[QT_AREA_REAL]]&gt;0,ESTIMATIVA[[#This Row],[QT_AREA_REAL]],ESTIMATIVA[[#This Row],[QT_AREA_EST]]))</f>
        <v>9.2200000000000006</v>
      </c>
      <c r="Z111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9.2200000000000006</v>
      </c>
      <c r="AA1119" s="1">
        <f>ESTIMATIVA[[#This Row],[QT_CANA_EST]]</f>
        <v>461</v>
      </c>
      <c r="AB1119" s="1">
        <f>IF(ESTIMATIVA[[#This Row],[QT_CANA_REST1]]&gt;0,ESTIMATIVA[[#This Row],[QT_CANA_REST1]],
  IF(ESTIMATIVA[[#This Row],[QT_CANA_REAL]]&gt;0,ESTIMATIVA[[#This Row],[QT_CANA_REAL]],ESTIMATIVA[[#This Row],[QT_CANA_EST]]))</f>
        <v>425.67</v>
      </c>
      <c r="AC111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425.67</v>
      </c>
      <c r="AD1119" s="1">
        <f>IF(ESTIMATIVA[[#This Row],[QT_AREA_REAL]]&gt;0,ESTIMATIVA[[#This Row],[QT_CANA_REAL]],ESTIMATIVA[[#This Row],[QT_CANA_EST]])</f>
        <v>425.67</v>
      </c>
      <c r="AE1119" s="1">
        <f>IF(ESTIMATIVA[[#This Row],[QT_AREA_REAL]]&gt;0,ESTIMATIVA[[#This Row],[QT_CANA_REAL]],ESTIMATIVA[[#This Row],[QT_CANA_REST1]])</f>
        <v>425.67</v>
      </c>
      <c r="AF1119" s="1">
        <f>IF(ESTIMATIVA[[#This Row],[QT_AREA_REAL]]&gt;0,ESTIMATIVA[[#This Row],[QT_CANA_REAL]],ESTIMATIVA[[#This Row],[QT_CANA_REST2]])</f>
        <v>425.67</v>
      </c>
      <c r="AG1119" s="1" t="str">
        <f>IF(COUNTIFS(GEADA!A:A,VALUE(ESTIMATIVA[[#This Row],[CD_UPNIVEL1]]&amp;TEXT(ESTIMATIVA[[#This Row],[CD_UPNIVEL3]],"0000")))&gt;0,"S","N")</f>
        <v>N</v>
      </c>
      <c r="AH111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19" s="55" t="str">
        <f>IF(ESTIMATIVA[[#This Row],[TP_CULTIVO]]="Irrigado",_xlfn.MAXIFS(IRRIGADO!J:J,IRRIGADO!C:C,ESTIMATIVA[[#This Row],[CD_UPNIVEL1]],IRRIGADO!E:E,ESTIMATIVA[[#This Row],[CD_UPNIVEL3]]),"")</f>
        <v/>
      </c>
      <c r="AJ111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19" s="1">
        <f>COUNTIFS(Apresentação!$E$23:$E$29,ESTIMATIVA[[#This Row],[CD_UPNIVEL1]])</f>
        <v>0</v>
      </c>
    </row>
    <row r="1120" spans="1:37" x14ac:dyDescent="0.3">
      <c r="A1120">
        <v>20504</v>
      </c>
      <c r="B1120" t="s">
        <v>63</v>
      </c>
      <c r="C1120">
        <v>2</v>
      </c>
      <c r="D1120">
        <v>8</v>
      </c>
      <c r="E1120" t="s">
        <v>262</v>
      </c>
      <c r="F1120" s="85" t="s">
        <v>331</v>
      </c>
      <c r="G1120"/>
      <c r="H1120" t="s">
        <v>294</v>
      </c>
      <c r="I1120" t="s">
        <v>208</v>
      </c>
      <c r="J1120" t="s">
        <v>176</v>
      </c>
      <c r="K1120" s="1">
        <v>7.54</v>
      </c>
      <c r="L1120" s="1">
        <v>0</v>
      </c>
      <c r="M1120" s="1">
        <v>0</v>
      </c>
      <c r="N1120" s="1">
        <v>7.54</v>
      </c>
      <c r="O1120" s="1">
        <v>377</v>
      </c>
      <c r="P1120" s="1">
        <v>0</v>
      </c>
      <c r="Q1120" s="1">
        <v>0</v>
      </c>
      <c r="R1120" s="1">
        <v>348.1</v>
      </c>
      <c r="S1120" t="s">
        <v>12</v>
      </c>
      <c r="T1120" s="13">
        <v>45746</v>
      </c>
      <c r="U1120" s="1" t="str">
        <f>IF(ESTIMATIVA[[#This Row],[QT_AREA_REAL]]&gt;0,"1- Colhido","2- à Colher")</f>
        <v>1- Colhido</v>
      </c>
      <c r="V1120" s="1" t="str">
        <f>IF(ESTIMATIVA[[#This Row],[QT_AREA_REST1]]&gt;0,"Reestimativa 1",IF(ESTIMATIVA[[#This Row],[QT_AREA_REAL]]=0,"Reestimativa 1","Realizado"))</f>
        <v>Realizado</v>
      </c>
      <c r="W1120" s="1" t="str">
        <f>IF(ESTIMATIVA[[#This Row],[QT_AREA_REST2]]&gt;0,"Reestimativa 2",IF(ESTIMATIVA[[#This Row],[QT_AREA_REAL]]=0,"Reestimativa 2","Realizado"))</f>
        <v>Realizado</v>
      </c>
      <c r="X1120" s="1">
        <f>ESTIMATIVA[[#This Row],[QT_AREA_EST]]</f>
        <v>7.54</v>
      </c>
      <c r="Y1120" s="1">
        <f>IF(ESTIMATIVA[[#This Row],[QT_AREA_REST1]]&gt;0,ESTIMATIVA[[#This Row],[QT_AREA_REST1]],
  IF(ESTIMATIVA[[#This Row],[QT_AREA_REAL]]&gt;0,ESTIMATIVA[[#This Row],[QT_AREA_REAL]],ESTIMATIVA[[#This Row],[QT_AREA_EST]]))</f>
        <v>7.54</v>
      </c>
      <c r="Z112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7.54</v>
      </c>
      <c r="AA1120" s="1">
        <f>ESTIMATIVA[[#This Row],[QT_CANA_EST]]</f>
        <v>377</v>
      </c>
      <c r="AB1120" s="1">
        <f>IF(ESTIMATIVA[[#This Row],[QT_CANA_REST1]]&gt;0,ESTIMATIVA[[#This Row],[QT_CANA_REST1]],
  IF(ESTIMATIVA[[#This Row],[QT_CANA_REAL]]&gt;0,ESTIMATIVA[[#This Row],[QT_CANA_REAL]],ESTIMATIVA[[#This Row],[QT_CANA_EST]]))</f>
        <v>348.1</v>
      </c>
      <c r="AC112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348.1</v>
      </c>
      <c r="AD1120" s="1">
        <f>IF(ESTIMATIVA[[#This Row],[QT_AREA_REAL]]&gt;0,ESTIMATIVA[[#This Row],[QT_CANA_REAL]],ESTIMATIVA[[#This Row],[QT_CANA_EST]])</f>
        <v>348.1</v>
      </c>
      <c r="AE1120" s="1">
        <f>IF(ESTIMATIVA[[#This Row],[QT_AREA_REAL]]&gt;0,ESTIMATIVA[[#This Row],[QT_CANA_REAL]],ESTIMATIVA[[#This Row],[QT_CANA_REST1]])</f>
        <v>348.1</v>
      </c>
      <c r="AF1120" s="1">
        <f>IF(ESTIMATIVA[[#This Row],[QT_AREA_REAL]]&gt;0,ESTIMATIVA[[#This Row],[QT_CANA_REAL]],ESTIMATIVA[[#This Row],[QT_CANA_REST2]])</f>
        <v>348.1</v>
      </c>
      <c r="AG1120" s="1" t="str">
        <f>IF(COUNTIFS(GEADA!A:A,VALUE(ESTIMATIVA[[#This Row],[CD_UPNIVEL1]]&amp;TEXT(ESTIMATIVA[[#This Row],[CD_UPNIVEL3]],"0000")))&gt;0,"S","N")</f>
        <v>N</v>
      </c>
      <c r="AH112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20" s="55" t="str">
        <f>IF(ESTIMATIVA[[#This Row],[TP_CULTIVO]]="Irrigado",_xlfn.MAXIFS(IRRIGADO!J:J,IRRIGADO!C:C,ESTIMATIVA[[#This Row],[CD_UPNIVEL1]],IRRIGADO!E:E,ESTIMATIVA[[#This Row],[CD_UPNIVEL3]]),"")</f>
        <v/>
      </c>
      <c r="AJ112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20" s="1">
        <f>COUNTIFS(Apresentação!$E$23:$E$29,ESTIMATIVA[[#This Row],[CD_UPNIVEL1]])</f>
        <v>0</v>
      </c>
    </row>
    <row r="1121" spans="1:37" x14ac:dyDescent="0.3">
      <c r="A1121">
        <v>20504</v>
      </c>
      <c r="B1121" t="s">
        <v>63</v>
      </c>
      <c r="C1121">
        <v>3</v>
      </c>
      <c r="D1121">
        <v>8</v>
      </c>
      <c r="E1121" t="s">
        <v>262</v>
      </c>
      <c r="F1121" s="85" t="s">
        <v>331</v>
      </c>
      <c r="G1121"/>
      <c r="H1121" t="s">
        <v>294</v>
      </c>
      <c r="I1121" t="s">
        <v>208</v>
      </c>
      <c r="J1121" t="s">
        <v>176</v>
      </c>
      <c r="K1121" s="1">
        <v>8.5</v>
      </c>
      <c r="L1121" s="1">
        <v>0</v>
      </c>
      <c r="M1121" s="1">
        <v>0</v>
      </c>
      <c r="N1121" s="1">
        <v>8.5</v>
      </c>
      <c r="O1121" s="1">
        <v>425</v>
      </c>
      <c r="P1121" s="1">
        <v>0</v>
      </c>
      <c r="Q1121" s="1">
        <v>0</v>
      </c>
      <c r="R1121" s="1">
        <v>392.42</v>
      </c>
      <c r="S1121" t="s">
        <v>12</v>
      </c>
      <c r="T1121" s="13">
        <v>45746</v>
      </c>
      <c r="U1121" s="1" t="str">
        <f>IF(ESTIMATIVA[[#This Row],[QT_AREA_REAL]]&gt;0,"1- Colhido","2- à Colher")</f>
        <v>1- Colhido</v>
      </c>
      <c r="V1121" s="1" t="str">
        <f>IF(ESTIMATIVA[[#This Row],[QT_AREA_REST1]]&gt;0,"Reestimativa 1",IF(ESTIMATIVA[[#This Row],[QT_AREA_REAL]]=0,"Reestimativa 1","Realizado"))</f>
        <v>Realizado</v>
      </c>
      <c r="W1121" s="1" t="str">
        <f>IF(ESTIMATIVA[[#This Row],[QT_AREA_REST2]]&gt;0,"Reestimativa 2",IF(ESTIMATIVA[[#This Row],[QT_AREA_REAL]]=0,"Reestimativa 2","Realizado"))</f>
        <v>Realizado</v>
      </c>
      <c r="X1121" s="1">
        <f>ESTIMATIVA[[#This Row],[QT_AREA_EST]]</f>
        <v>8.5</v>
      </c>
      <c r="Y1121" s="1">
        <f>IF(ESTIMATIVA[[#This Row],[QT_AREA_REST1]]&gt;0,ESTIMATIVA[[#This Row],[QT_AREA_REST1]],
  IF(ESTIMATIVA[[#This Row],[QT_AREA_REAL]]&gt;0,ESTIMATIVA[[#This Row],[QT_AREA_REAL]],ESTIMATIVA[[#This Row],[QT_AREA_EST]]))</f>
        <v>8.5</v>
      </c>
      <c r="Z112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8.5</v>
      </c>
      <c r="AA1121" s="1">
        <f>ESTIMATIVA[[#This Row],[QT_CANA_EST]]</f>
        <v>425</v>
      </c>
      <c r="AB1121" s="1">
        <f>IF(ESTIMATIVA[[#This Row],[QT_CANA_REST1]]&gt;0,ESTIMATIVA[[#This Row],[QT_CANA_REST1]],
  IF(ESTIMATIVA[[#This Row],[QT_CANA_REAL]]&gt;0,ESTIMATIVA[[#This Row],[QT_CANA_REAL]],ESTIMATIVA[[#This Row],[QT_CANA_EST]]))</f>
        <v>392.42</v>
      </c>
      <c r="AC112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392.42</v>
      </c>
      <c r="AD1121" s="1">
        <f>IF(ESTIMATIVA[[#This Row],[QT_AREA_REAL]]&gt;0,ESTIMATIVA[[#This Row],[QT_CANA_REAL]],ESTIMATIVA[[#This Row],[QT_CANA_EST]])</f>
        <v>392.42</v>
      </c>
      <c r="AE1121" s="1">
        <f>IF(ESTIMATIVA[[#This Row],[QT_AREA_REAL]]&gt;0,ESTIMATIVA[[#This Row],[QT_CANA_REAL]],ESTIMATIVA[[#This Row],[QT_CANA_REST1]])</f>
        <v>392.42</v>
      </c>
      <c r="AF1121" s="1">
        <f>IF(ESTIMATIVA[[#This Row],[QT_AREA_REAL]]&gt;0,ESTIMATIVA[[#This Row],[QT_CANA_REAL]],ESTIMATIVA[[#This Row],[QT_CANA_REST2]])</f>
        <v>392.42</v>
      </c>
      <c r="AG1121" s="1" t="str">
        <f>IF(COUNTIFS(GEADA!A:A,VALUE(ESTIMATIVA[[#This Row],[CD_UPNIVEL1]]&amp;TEXT(ESTIMATIVA[[#This Row],[CD_UPNIVEL3]],"0000")))&gt;0,"S","N")</f>
        <v>N</v>
      </c>
      <c r="AH112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21" s="55" t="str">
        <f>IF(ESTIMATIVA[[#This Row],[TP_CULTIVO]]="Irrigado",_xlfn.MAXIFS(IRRIGADO!J:J,IRRIGADO!C:C,ESTIMATIVA[[#This Row],[CD_UPNIVEL1]],IRRIGADO!E:E,ESTIMATIVA[[#This Row],[CD_UPNIVEL3]]),"")</f>
        <v/>
      </c>
      <c r="AJ112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21" s="1">
        <f>COUNTIFS(Apresentação!$E$23:$E$29,ESTIMATIVA[[#This Row],[CD_UPNIVEL1]])</f>
        <v>0</v>
      </c>
    </row>
    <row r="1122" spans="1:37" x14ac:dyDescent="0.3">
      <c r="A1122">
        <v>20504</v>
      </c>
      <c r="B1122" t="s">
        <v>63</v>
      </c>
      <c r="C1122">
        <v>4</v>
      </c>
      <c r="D1122">
        <v>8</v>
      </c>
      <c r="E1122" t="s">
        <v>262</v>
      </c>
      <c r="F1122" s="85" t="s">
        <v>331</v>
      </c>
      <c r="G1122"/>
      <c r="H1122" t="s">
        <v>294</v>
      </c>
      <c r="I1122" t="s">
        <v>208</v>
      </c>
      <c r="J1122" t="s">
        <v>176</v>
      </c>
      <c r="K1122" s="1">
        <v>9.34</v>
      </c>
      <c r="L1122" s="1">
        <v>0</v>
      </c>
      <c r="M1122" s="1">
        <v>0</v>
      </c>
      <c r="N1122" s="1">
        <v>9.34</v>
      </c>
      <c r="O1122" s="1">
        <v>467</v>
      </c>
      <c r="P1122" s="1">
        <v>0</v>
      </c>
      <c r="Q1122" s="1">
        <v>0</v>
      </c>
      <c r="R1122" s="1">
        <v>431.21</v>
      </c>
      <c r="S1122" t="s">
        <v>12</v>
      </c>
      <c r="T1122" s="13">
        <v>45746</v>
      </c>
      <c r="U1122" s="1" t="str">
        <f>IF(ESTIMATIVA[[#This Row],[QT_AREA_REAL]]&gt;0,"1- Colhido","2- à Colher")</f>
        <v>1- Colhido</v>
      </c>
      <c r="V1122" s="1" t="str">
        <f>IF(ESTIMATIVA[[#This Row],[QT_AREA_REST1]]&gt;0,"Reestimativa 1",IF(ESTIMATIVA[[#This Row],[QT_AREA_REAL]]=0,"Reestimativa 1","Realizado"))</f>
        <v>Realizado</v>
      </c>
      <c r="W1122" s="1" t="str">
        <f>IF(ESTIMATIVA[[#This Row],[QT_AREA_REST2]]&gt;0,"Reestimativa 2",IF(ESTIMATIVA[[#This Row],[QT_AREA_REAL]]=0,"Reestimativa 2","Realizado"))</f>
        <v>Realizado</v>
      </c>
      <c r="X1122" s="1">
        <f>ESTIMATIVA[[#This Row],[QT_AREA_EST]]</f>
        <v>9.34</v>
      </c>
      <c r="Y1122" s="1">
        <f>IF(ESTIMATIVA[[#This Row],[QT_AREA_REST1]]&gt;0,ESTIMATIVA[[#This Row],[QT_AREA_REST1]],
  IF(ESTIMATIVA[[#This Row],[QT_AREA_REAL]]&gt;0,ESTIMATIVA[[#This Row],[QT_AREA_REAL]],ESTIMATIVA[[#This Row],[QT_AREA_EST]]))</f>
        <v>9.34</v>
      </c>
      <c r="Z112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9.34</v>
      </c>
      <c r="AA1122" s="1">
        <f>ESTIMATIVA[[#This Row],[QT_CANA_EST]]</f>
        <v>467</v>
      </c>
      <c r="AB1122" s="1">
        <f>IF(ESTIMATIVA[[#This Row],[QT_CANA_REST1]]&gt;0,ESTIMATIVA[[#This Row],[QT_CANA_REST1]],
  IF(ESTIMATIVA[[#This Row],[QT_CANA_REAL]]&gt;0,ESTIMATIVA[[#This Row],[QT_CANA_REAL]],ESTIMATIVA[[#This Row],[QT_CANA_EST]]))</f>
        <v>431.21</v>
      </c>
      <c r="AC112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431.21</v>
      </c>
      <c r="AD1122" s="1">
        <f>IF(ESTIMATIVA[[#This Row],[QT_AREA_REAL]]&gt;0,ESTIMATIVA[[#This Row],[QT_CANA_REAL]],ESTIMATIVA[[#This Row],[QT_CANA_EST]])</f>
        <v>431.21</v>
      </c>
      <c r="AE1122" s="1">
        <f>IF(ESTIMATIVA[[#This Row],[QT_AREA_REAL]]&gt;0,ESTIMATIVA[[#This Row],[QT_CANA_REAL]],ESTIMATIVA[[#This Row],[QT_CANA_REST1]])</f>
        <v>431.21</v>
      </c>
      <c r="AF1122" s="1">
        <f>IF(ESTIMATIVA[[#This Row],[QT_AREA_REAL]]&gt;0,ESTIMATIVA[[#This Row],[QT_CANA_REAL]],ESTIMATIVA[[#This Row],[QT_CANA_REST2]])</f>
        <v>431.21</v>
      </c>
      <c r="AG1122" s="1" t="str">
        <f>IF(COUNTIFS(GEADA!A:A,VALUE(ESTIMATIVA[[#This Row],[CD_UPNIVEL1]]&amp;TEXT(ESTIMATIVA[[#This Row],[CD_UPNIVEL3]],"0000")))&gt;0,"S","N")</f>
        <v>N</v>
      </c>
      <c r="AH112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22" s="55" t="str">
        <f>IF(ESTIMATIVA[[#This Row],[TP_CULTIVO]]="Irrigado",_xlfn.MAXIFS(IRRIGADO!J:J,IRRIGADO!C:C,ESTIMATIVA[[#This Row],[CD_UPNIVEL1]],IRRIGADO!E:E,ESTIMATIVA[[#This Row],[CD_UPNIVEL3]]),"")</f>
        <v/>
      </c>
      <c r="AJ112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22" s="1">
        <f>COUNTIFS(Apresentação!$E$23:$E$29,ESTIMATIVA[[#This Row],[CD_UPNIVEL1]])</f>
        <v>0</v>
      </c>
    </row>
    <row r="1123" spans="1:37" x14ac:dyDescent="0.3">
      <c r="A1123">
        <v>20504</v>
      </c>
      <c r="B1123" t="s">
        <v>63</v>
      </c>
      <c r="C1123">
        <v>5</v>
      </c>
      <c r="D1123">
        <v>7</v>
      </c>
      <c r="E1123" t="s">
        <v>270</v>
      </c>
      <c r="F1123" s="85" t="s">
        <v>331</v>
      </c>
      <c r="G1123"/>
      <c r="H1123" t="s">
        <v>294</v>
      </c>
      <c r="I1123" t="s">
        <v>208</v>
      </c>
      <c r="J1123" t="s">
        <v>176</v>
      </c>
      <c r="K1123" s="1">
        <v>8.3000000000000007</v>
      </c>
      <c r="L1123" s="1">
        <v>0</v>
      </c>
      <c r="M1123" s="1">
        <v>0</v>
      </c>
      <c r="N1123" s="1">
        <v>8.3000000000000007</v>
      </c>
      <c r="O1123" s="1">
        <v>415</v>
      </c>
      <c r="P1123" s="1">
        <v>0</v>
      </c>
      <c r="Q1123" s="1">
        <v>0</v>
      </c>
      <c r="R1123" s="1">
        <v>383.34</v>
      </c>
      <c r="S1123" t="s">
        <v>12</v>
      </c>
      <c r="T1123" s="13">
        <v>45746</v>
      </c>
      <c r="U1123" s="1" t="str">
        <f>IF(ESTIMATIVA[[#This Row],[QT_AREA_REAL]]&gt;0,"1- Colhido","2- à Colher")</f>
        <v>1- Colhido</v>
      </c>
      <c r="V1123" s="1" t="str">
        <f>IF(ESTIMATIVA[[#This Row],[QT_AREA_REST1]]&gt;0,"Reestimativa 1",IF(ESTIMATIVA[[#This Row],[QT_AREA_REAL]]=0,"Reestimativa 1","Realizado"))</f>
        <v>Realizado</v>
      </c>
      <c r="W1123" s="1" t="str">
        <f>IF(ESTIMATIVA[[#This Row],[QT_AREA_REST2]]&gt;0,"Reestimativa 2",IF(ESTIMATIVA[[#This Row],[QT_AREA_REAL]]=0,"Reestimativa 2","Realizado"))</f>
        <v>Realizado</v>
      </c>
      <c r="X1123" s="1">
        <f>ESTIMATIVA[[#This Row],[QT_AREA_EST]]</f>
        <v>8.3000000000000007</v>
      </c>
      <c r="Y1123" s="1">
        <f>IF(ESTIMATIVA[[#This Row],[QT_AREA_REST1]]&gt;0,ESTIMATIVA[[#This Row],[QT_AREA_REST1]],
  IF(ESTIMATIVA[[#This Row],[QT_AREA_REAL]]&gt;0,ESTIMATIVA[[#This Row],[QT_AREA_REAL]],ESTIMATIVA[[#This Row],[QT_AREA_EST]]))</f>
        <v>8.3000000000000007</v>
      </c>
      <c r="Z112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8.3000000000000007</v>
      </c>
      <c r="AA1123" s="1">
        <f>ESTIMATIVA[[#This Row],[QT_CANA_EST]]</f>
        <v>415</v>
      </c>
      <c r="AB1123" s="1">
        <f>IF(ESTIMATIVA[[#This Row],[QT_CANA_REST1]]&gt;0,ESTIMATIVA[[#This Row],[QT_CANA_REST1]],
  IF(ESTIMATIVA[[#This Row],[QT_CANA_REAL]]&gt;0,ESTIMATIVA[[#This Row],[QT_CANA_REAL]],ESTIMATIVA[[#This Row],[QT_CANA_EST]]))</f>
        <v>383.34</v>
      </c>
      <c r="AC112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383.34</v>
      </c>
      <c r="AD1123" s="1">
        <f>IF(ESTIMATIVA[[#This Row],[QT_AREA_REAL]]&gt;0,ESTIMATIVA[[#This Row],[QT_CANA_REAL]],ESTIMATIVA[[#This Row],[QT_CANA_EST]])</f>
        <v>383.34</v>
      </c>
      <c r="AE1123" s="1">
        <f>IF(ESTIMATIVA[[#This Row],[QT_AREA_REAL]]&gt;0,ESTIMATIVA[[#This Row],[QT_CANA_REAL]],ESTIMATIVA[[#This Row],[QT_CANA_REST1]])</f>
        <v>383.34</v>
      </c>
      <c r="AF1123" s="1">
        <f>IF(ESTIMATIVA[[#This Row],[QT_AREA_REAL]]&gt;0,ESTIMATIVA[[#This Row],[QT_CANA_REAL]],ESTIMATIVA[[#This Row],[QT_CANA_REST2]])</f>
        <v>383.34</v>
      </c>
      <c r="AG1123" s="1" t="str">
        <f>IF(COUNTIFS(GEADA!A:A,VALUE(ESTIMATIVA[[#This Row],[CD_UPNIVEL1]]&amp;TEXT(ESTIMATIVA[[#This Row],[CD_UPNIVEL3]],"0000")))&gt;0,"S","N")</f>
        <v>N</v>
      </c>
      <c r="AH112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23" s="55" t="str">
        <f>IF(ESTIMATIVA[[#This Row],[TP_CULTIVO]]="Irrigado",_xlfn.MAXIFS(IRRIGADO!J:J,IRRIGADO!C:C,ESTIMATIVA[[#This Row],[CD_UPNIVEL1]],IRRIGADO!E:E,ESTIMATIVA[[#This Row],[CD_UPNIVEL3]]),"")</f>
        <v/>
      </c>
      <c r="AJ112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23" s="1">
        <f>COUNTIFS(Apresentação!$E$23:$E$29,ESTIMATIVA[[#This Row],[CD_UPNIVEL1]])</f>
        <v>0</v>
      </c>
    </row>
    <row r="1124" spans="1:37" x14ac:dyDescent="0.3">
      <c r="A1124">
        <v>20506</v>
      </c>
      <c r="B1124" t="s">
        <v>64</v>
      </c>
      <c r="C1124">
        <v>1</v>
      </c>
      <c r="D1124">
        <v>1</v>
      </c>
      <c r="E1124" t="s">
        <v>264</v>
      </c>
      <c r="F1124" s="85" t="s">
        <v>331</v>
      </c>
      <c r="G1124"/>
      <c r="H1124" t="s">
        <v>294</v>
      </c>
      <c r="I1124" t="s">
        <v>207</v>
      </c>
      <c r="J1124" t="s">
        <v>176</v>
      </c>
      <c r="K1124" s="1">
        <v>21.51</v>
      </c>
      <c r="L1124" s="1">
        <v>0</v>
      </c>
      <c r="M1124" s="1">
        <v>0</v>
      </c>
      <c r="N1124" s="1">
        <v>21.51</v>
      </c>
      <c r="O1124" s="1">
        <v>2452.14</v>
      </c>
      <c r="P1124" s="1">
        <v>0</v>
      </c>
      <c r="Q1124" s="1">
        <v>0</v>
      </c>
      <c r="R1124" s="1">
        <v>2445.21</v>
      </c>
      <c r="S1124" t="s">
        <v>12</v>
      </c>
      <c r="T1124" s="13">
        <v>45802</v>
      </c>
      <c r="U1124" s="1" t="str">
        <f>IF(ESTIMATIVA[[#This Row],[QT_AREA_REAL]]&gt;0,"1- Colhido","2- à Colher")</f>
        <v>1- Colhido</v>
      </c>
      <c r="V1124" s="1" t="str">
        <f>IF(ESTIMATIVA[[#This Row],[QT_AREA_REST1]]&gt;0,"Reestimativa 1",IF(ESTIMATIVA[[#This Row],[QT_AREA_REAL]]=0,"Reestimativa 1","Realizado"))</f>
        <v>Realizado</v>
      </c>
      <c r="W1124" s="1" t="str">
        <f>IF(ESTIMATIVA[[#This Row],[QT_AREA_REST2]]&gt;0,"Reestimativa 2",IF(ESTIMATIVA[[#This Row],[QT_AREA_REAL]]=0,"Reestimativa 2","Realizado"))</f>
        <v>Realizado</v>
      </c>
      <c r="X1124" s="1">
        <f>ESTIMATIVA[[#This Row],[QT_AREA_EST]]</f>
        <v>21.51</v>
      </c>
      <c r="Y1124" s="1">
        <f>IF(ESTIMATIVA[[#This Row],[QT_AREA_REST1]]&gt;0,ESTIMATIVA[[#This Row],[QT_AREA_REST1]],
  IF(ESTIMATIVA[[#This Row],[QT_AREA_REAL]]&gt;0,ESTIMATIVA[[#This Row],[QT_AREA_REAL]],ESTIMATIVA[[#This Row],[QT_AREA_EST]]))</f>
        <v>21.51</v>
      </c>
      <c r="Z112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21.51</v>
      </c>
      <c r="AA1124" s="1">
        <f>ESTIMATIVA[[#This Row],[QT_CANA_EST]]</f>
        <v>2452.14</v>
      </c>
      <c r="AB1124" s="1">
        <f>IF(ESTIMATIVA[[#This Row],[QT_CANA_REST1]]&gt;0,ESTIMATIVA[[#This Row],[QT_CANA_REST1]],
  IF(ESTIMATIVA[[#This Row],[QT_CANA_REAL]]&gt;0,ESTIMATIVA[[#This Row],[QT_CANA_REAL]],ESTIMATIVA[[#This Row],[QT_CANA_EST]]))</f>
        <v>2445.21</v>
      </c>
      <c r="AC112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2445.21</v>
      </c>
      <c r="AD1124" s="1">
        <f>IF(ESTIMATIVA[[#This Row],[QT_AREA_REAL]]&gt;0,ESTIMATIVA[[#This Row],[QT_CANA_REAL]],ESTIMATIVA[[#This Row],[QT_CANA_EST]])</f>
        <v>2445.21</v>
      </c>
      <c r="AE1124" s="1">
        <f>IF(ESTIMATIVA[[#This Row],[QT_AREA_REAL]]&gt;0,ESTIMATIVA[[#This Row],[QT_CANA_REAL]],ESTIMATIVA[[#This Row],[QT_CANA_REST1]])</f>
        <v>2445.21</v>
      </c>
      <c r="AF1124" s="1">
        <f>IF(ESTIMATIVA[[#This Row],[QT_AREA_REAL]]&gt;0,ESTIMATIVA[[#This Row],[QT_CANA_REAL]],ESTIMATIVA[[#This Row],[QT_CANA_REST2]])</f>
        <v>2445.21</v>
      </c>
      <c r="AG1124" s="1" t="str">
        <f>IF(COUNTIFS(GEADA!A:A,VALUE(ESTIMATIVA[[#This Row],[CD_UPNIVEL1]]&amp;TEXT(ESTIMATIVA[[#This Row],[CD_UPNIVEL3]],"0000")))&gt;0,"S","N")</f>
        <v>N</v>
      </c>
      <c r="AH112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24" s="55" t="str">
        <f>IF(ESTIMATIVA[[#This Row],[TP_CULTIVO]]="Irrigado",_xlfn.MAXIFS(IRRIGADO!J:J,IRRIGADO!C:C,ESTIMATIVA[[#This Row],[CD_UPNIVEL1]],IRRIGADO!E:E,ESTIMATIVA[[#This Row],[CD_UPNIVEL3]]),"")</f>
        <v/>
      </c>
      <c r="AJ112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24" s="1">
        <f>COUNTIFS(Apresentação!$E$23:$E$29,ESTIMATIVA[[#This Row],[CD_UPNIVEL1]])</f>
        <v>0</v>
      </c>
    </row>
    <row r="1125" spans="1:37" x14ac:dyDescent="0.3">
      <c r="A1125">
        <v>20506</v>
      </c>
      <c r="B1125" t="s">
        <v>64</v>
      </c>
      <c r="C1125">
        <v>2</v>
      </c>
      <c r="D1125">
        <v>1</v>
      </c>
      <c r="E1125" t="s">
        <v>264</v>
      </c>
      <c r="F1125" s="85" t="s">
        <v>331</v>
      </c>
      <c r="G1125"/>
      <c r="H1125" t="s">
        <v>294</v>
      </c>
      <c r="I1125" t="s">
        <v>207</v>
      </c>
      <c r="J1125" t="s">
        <v>176</v>
      </c>
      <c r="K1125" s="1">
        <v>56.89</v>
      </c>
      <c r="L1125" s="1">
        <v>0</v>
      </c>
      <c r="M1125" s="1">
        <v>0</v>
      </c>
      <c r="N1125" s="1">
        <v>56.89</v>
      </c>
      <c r="O1125" s="1">
        <v>6485.46</v>
      </c>
      <c r="P1125" s="1">
        <v>0</v>
      </c>
      <c r="Q1125" s="1">
        <v>0</v>
      </c>
      <c r="R1125" s="1">
        <v>6416.76</v>
      </c>
      <c r="S1125" t="s">
        <v>12</v>
      </c>
      <c r="T1125" s="13">
        <v>45802</v>
      </c>
      <c r="U1125" s="1" t="str">
        <f>IF(ESTIMATIVA[[#This Row],[QT_AREA_REAL]]&gt;0,"1- Colhido","2- à Colher")</f>
        <v>1- Colhido</v>
      </c>
      <c r="V1125" s="1" t="str">
        <f>IF(ESTIMATIVA[[#This Row],[QT_AREA_REST1]]&gt;0,"Reestimativa 1",IF(ESTIMATIVA[[#This Row],[QT_AREA_REAL]]=0,"Reestimativa 1","Realizado"))</f>
        <v>Realizado</v>
      </c>
      <c r="W1125" s="1" t="str">
        <f>IF(ESTIMATIVA[[#This Row],[QT_AREA_REST2]]&gt;0,"Reestimativa 2",IF(ESTIMATIVA[[#This Row],[QT_AREA_REAL]]=0,"Reestimativa 2","Realizado"))</f>
        <v>Realizado</v>
      </c>
      <c r="X1125" s="1">
        <f>ESTIMATIVA[[#This Row],[QT_AREA_EST]]</f>
        <v>56.89</v>
      </c>
      <c r="Y1125" s="1">
        <f>IF(ESTIMATIVA[[#This Row],[QT_AREA_REST1]]&gt;0,ESTIMATIVA[[#This Row],[QT_AREA_REST1]],
  IF(ESTIMATIVA[[#This Row],[QT_AREA_REAL]]&gt;0,ESTIMATIVA[[#This Row],[QT_AREA_REAL]],ESTIMATIVA[[#This Row],[QT_AREA_EST]]))</f>
        <v>56.89</v>
      </c>
      <c r="Z112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56.89</v>
      </c>
      <c r="AA1125" s="1">
        <f>ESTIMATIVA[[#This Row],[QT_CANA_EST]]</f>
        <v>6485.46</v>
      </c>
      <c r="AB1125" s="1">
        <f>IF(ESTIMATIVA[[#This Row],[QT_CANA_REST1]]&gt;0,ESTIMATIVA[[#This Row],[QT_CANA_REST1]],
  IF(ESTIMATIVA[[#This Row],[QT_CANA_REAL]]&gt;0,ESTIMATIVA[[#This Row],[QT_CANA_REAL]],ESTIMATIVA[[#This Row],[QT_CANA_EST]]))</f>
        <v>6416.76</v>
      </c>
      <c r="AC112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6416.76</v>
      </c>
      <c r="AD1125" s="1">
        <f>IF(ESTIMATIVA[[#This Row],[QT_AREA_REAL]]&gt;0,ESTIMATIVA[[#This Row],[QT_CANA_REAL]],ESTIMATIVA[[#This Row],[QT_CANA_EST]])</f>
        <v>6416.76</v>
      </c>
      <c r="AE1125" s="1">
        <f>IF(ESTIMATIVA[[#This Row],[QT_AREA_REAL]]&gt;0,ESTIMATIVA[[#This Row],[QT_CANA_REAL]],ESTIMATIVA[[#This Row],[QT_CANA_REST1]])</f>
        <v>6416.76</v>
      </c>
      <c r="AF1125" s="1">
        <f>IF(ESTIMATIVA[[#This Row],[QT_AREA_REAL]]&gt;0,ESTIMATIVA[[#This Row],[QT_CANA_REAL]],ESTIMATIVA[[#This Row],[QT_CANA_REST2]])</f>
        <v>6416.76</v>
      </c>
      <c r="AG1125" s="1" t="str">
        <f>IF(COUNTIFS(GEADA!A:A,VALUE(ESTIMATIVA[[#This Row],[CD_UPNIVEL1]]&amp;TEXT(ESTIMATIVA[[#This Row],[CD_UPNIVEL3]],"0000")))&gt;0,"S","N")</f>
        <v>N</v>
      </c>
      <c r="AH112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25" s="55" t="str">
        <f>IF(ESTIMATIVA[[#This Row],[TP_CULTIVO]]="Irrigado",_xlfn.MAXIFS(IRRIGADO!J:J,IRRIGADO!C:C,ESTIMATIVA[[#This Row],[CD_UPNIVEL1]],IRRIGADO!E:E,ESTIMATIVA[[#This Row],[CD_UPNIVEL3]]),"")</f>
        <v/>
      </c>
      <c r="AJ112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25" s="1">
        <f>COUNTIFS(Apresentação!$E$23:$E$29,ESTIMATIVA[[#This Row],[CD_UPNIVEL1]])</f>
        <v>0</v>
      </c>
    </row>
    <row r="1126" spans="1:37" x14ac:dyDescent="0.3">
      <c r="A1126">
        <v>20506</v>
      </c>
      <c r="B1126" t="s">
        <v>64</v>
      </c>
      <c r="C1126">
        <v>3</v>
      </c>
      <c r="D1126">
        <v>1</v>
      </c>
      <c r="E1126" t="s">
        <v>264</v>
      </c>
      <c r="F1126" s="85" t="s">
        <v>333</v>
      </c>
      <c r="G1126"/>
      <c r="H1126" t="s">
        <v>294</v>
      </c>
      <c r="I1126" t="s">
        <v>207</v>
      </c>
      <c r="J1126" t="s">
        <v>176</v>
      </c>
      <c r="K1126" s="1">
        <v>13.11</v>
      </c>
      <c r="L1126" s="1">
        <v>0</v>
      </c>
      <c r="M1126" s="1">
        <v>0</v>
      </c>
      <c r="N1126" s="1">
        <v>13.11</v>
      </c>
      <c r="O1126" s="1">
        <v>1415.88</v>
      </c>
      <c r="P1126" s="1">
        <v>0</v>
      </c>
      <c r="Q1126" s="1">
        <v>0</v>
      </c>
      <c r="R1126" s="1">
        <v>1390.15</v>
      </c>
      <c r="S1126" t="s">
        <v>12</v>
      </c>
      <c r="T1126" s="13">
        <v>45802</v>
      </c>
      <c r="U1126" s="1" t="str">
        <f>IF(ESTIMATIVA[[#This Row],[QT_AREA_REAL]]&gt;0,"1- Colhido","2- à Colher")</f>
        <v>1- Colhido</v>
      </c>
      <c r="V1126" s="1" t="str">
        <f>IF(ESTIMATIVA[[#This Row],[QT_AREA_REST1]]&gt;0,"Reestimativa 1",IF(ESTIMATIVA[[#This Row],[QT_AREA_REAL]]=0,"Reestimativa 1","Realizado"))</f>
        <v>Realizado</v>
      </c>
      <c r="W1126" s="1" t="str">
        <f>IF(ESTIMATIVA[[#This Row],[QT_AREA_REST2]]&gt;0,"Reestimativa 2",IF(ESTIMATIVA[[#This Row],[QT_AREA_REAL]]=0,"Reestimativa 2","Realizado"))</f>
        <v>Realizado</v>
      </c>
      <c r="X1126" s="1">
        <f>ESTIMATIVA[[#This Row],[QT_AREA_EST]]</f>
        <v>13.11</v>
      </c>
      <c r="Y1126" s="1">
        <f>IF(ESTIMATIVA[[#This Row],[QT_AREA_REST1]]&gt;0,ESTIMATIVA[[#This Row],[QT_AREA_REST1]],
  IF(ESTIMATIVA[[#This Row],[QT_AREA_REAL]]&gt;0,ESTIMATIVA[[#This Row],[QT_AREA_REAL]],ESTIMATIVA[[#This Row],[QT_AREA_EST]]))</f>
        <v>13.11</v>
      </c>
      <c r="Z112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13.11</v>
      </c>
      <c r="AA1126" s="1">
        <f>ESTIMATIVA[[#This Row],[QT_CANA_EST]]</f>
        <v>1415.88</v>
      </c>
      <c r="AB1126" s="1">
        <f>IF(ESTIMATIVA[[#This Row],[QT_CANA_REST1]]&gt;0,ESTIMATIVA[[#This Row],[QT_CANA_REST1]],
  IF(ESTIMATIVA[[#This Row],[QT_CANA_REAL]]&gt;0,ESTIMATIVA[[#This Row],[QT_CANA_REAL]],ESTIMATIVA[[#This Row],[QT_CANA_EST]]))</f>
        <v>1390.15</v>
      </c>
      <c r="AC112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1390.15</v>
      </c>
      <c r="AD1126" s="1">
        <f>IF(ESTIMATIVA[[#This Row],[QT_AREA_REAL]]&gt;0,ESTIMATIVA[[#This Row],[QT_CANA_REAL]],ESTIMATIVA[[#This Row],[QT_CANA_EST]])</f>
        <v>1390.15</v>
      </c>
      <c r="AE1126" s="1">
        <f>IF(ESTIMATIVA[[#This Row],[QT_AREA_REAL]]&gt;0,ESTIMATIVA[[#This Row],[QT_CANA_REAL]],ESTIMATIVA[[#This Row],[QT_CANA_REST1]])</f>
        <v>1390.15</v>
      </c>
      <c r="AF1126" s="1">
        <f>IF(ESTIMATIVA[[#This Row],[QT_AREA_REAL]]&gt;0,ESTIMATIVA[[#This Row],[QT_CANA_REAL]],ESTIMATIVA[[#This Row],[QT_CANA_REST2]])</f>
        <v>1390.15</v>
      </c>
      <c r="AG1126" s="1" t="str">
        <f>IF(COUNTIFS(GEADA!A:A,VALUE(ESTIMATIVA[[#This Row],[CD_UPNIVEL1]]&amp;TEXT(ESTIMATIVA[[#This Row],[CD_UPNIVEL3]],"0000")))&gt;0,"S","N")</f>
        <v>N</v>
      </c>
      <c r="AH112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26" s="55" t="str">
        <f>IF(ESTIMATIVA[[#This Row],[TP_CULTIVO]]="Irrigado",_xlfn.MAXIFS(IRRIGADO!J:J,IRRIGADO!C:C,ESTIMATIVA[[#This Row],[CD_UPNIVEL1]],IRRIGADO!E:E,ESTIMATIVA[[#This Row],[CD_UPNIVEL3]]),"")</f>
        <v/>
      </c>
      <c r="AJ112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26" s="1">
        <f>COUNTIFS(Apresentação!$E$23:$E$29,ESTIMATIVA[[#This Row],[CD_UPNIVEL1]])</f>
        <v>0</v>
      </c>
    </row>
    <row r="1127" spans="1:37" x14ac:dyDescent="0.3">
      <c r="A1127">
        <v>20506</v>
      </c>
      <c r="B1127" t="s">
        <v>64</v>
      </c>
      <c r="C1127">
        <v>4</v>
      </c>
      <c r="D1127">
        <v>1</v>
      </c>
      <c r="E1127" t="s">
        <v>264</v>
      </c>
      <c r="F1127" s="85" t="s">
        <v>331</v>
      </c>
      <c r="G1127"/>
      <c r="H1127" t="s">
        <v>294</v>
      </c>
      <c r="I1127" t="s">
        <v>207</v>
      </c>
      <c r="J1127" t="s">
        <v>176</v>
      </c>
      <c r="K1127" s="1">
        <v>25.13</v>
      </c>
      <c r="L1127" s="1">
        <v>0</v>
      </c>
      <c r="M1127" s="1">
        <v>0</v>
      </c>
      <c r="N1127" s="1">
        <v>25.13</v>
      </c>
      <c r="O1127" s="1">
        <v>2714.04</v>
      </c>
      <c r="P1127" s="1">
        <v>0</v>
      </c>
      <c r="Q1127" s="1">
        <v>0</v>
      </c>
      <c r="R1127" s="1">
        <v>2706.62</v>
      </c>
      <c r="S1127" t="s">
        <v>12</v>
      </c>
      <c r="T1127" s="13">
        <v>45802</v>
      </c>
      <c r="U1127" s="1" t="str">
        <f>IF(ESTIMATIVA[[#This Row],[QT_AREA_REAL]]&gt;0,"1- Colhido","2- à Colher")</f>
        <v>1- Colhido</v>
      </c>
      <c r="V1127" s="1" t="str">
        <f>IF(ESTIMATIVA[[#This Row],[QT_AREA_REST1]]&gt;0,"Reestimativa 1",IF(ESTIMATIVA[[#This Row],[QT_AREA_REAL]]=0,"Reestimativa 1","Realizado"))</f>
        <v>Realizado</v>
      </c>
      <c r="W1127" s="1" t="str">
        <f>IF(ESTIMATIVA[[#This Row],[QT_AREA_REST2]]&gt;0,"Reestimativa 2",IF(ESTIMATIVA[[#This Row],[QT_AREA_REAL]]=0,"Reestimativa 2","Realizado"))</f>
        <v>Realizado</v>
      </c>
      <c r="X1127" s="1">
        <f>ESTIMATIVA[[#This Row],[QT_AREA_EST]]</f>
        <v>25.13</v>
      </c>
      <c r="Y1127" s="1">
        <f>IF(ESTIMATIVA[[#This Row],[QT_AREA_REST1]]&gt;0,ESTIMATIVA[[#This Row],[QT_AREA_REST1]],
  IF(ESTIMATIVA[[#This Row],[QT_AREA_REAL]]&gt;0,ESTIMATIVA[[#This Row],[QT_AREA_REAL]],ESTIMATIVA[[#This Row],[QT_AREA_EST]]))</f>
        <v>25.13</v>
      </c>
      <c r="Z112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25.13</v>
      </c>
      <c r="AA1127" s="1">
        <f>ESTIMATIVA[[#This Row],[QT_CANA_EST]]</f>
        <v>2714.04</v>
      </c>
      <c r="AB1127" s="1">
        <f>IF(ESTIMATIVA[[#This Row],[QT_CANA_REST1]]&gt;0,ESTIMATIVA[[#This Row],[QT_CANA_REST1]],
  IF(ESTIMATIVA[[#This Row],[QT_CANA_REAL]]&gt;0,ESTIMATIVA[[#This Row],[QT_CANA_REAL]],ESTIMATIVA[[#This Row],[QT_CANA_EST]]))</f>
        <v>2706.62</v>
      </c>
      <c r="AC112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2706.62</v>
      </c>
      <c r="AD1127" s="1">
        <f>IF(ESTIMATIVA[[#This Row],[QT_AREA_REAL]]&gt;0,ESTIMATIVA[[#This Row],[QT_CANA_REAL]],ESTIMATIVA[[#This Row],[QT_CANA_EST]])</f>
        <v>2706.62</v>
      </c>
      <c r="AE1127" s="1">
        <f>IF(ESTIMATIVA[[#This Row],[QT_AREA_REAL]]&gt;0,ESTIMATIVA[[#This Row],[QT_CANA_REAL]],ESTIMATIVA[[#This Row],[QT_CANA_REST1]])</f>
        <v>2706.62</v>
      </c>
      <c r="AF1127" s="1">
        <f>IF(ESTIMATIVA[[#This Row],[QT_AREA_REAL]]&gt;0,ESTIMATIVA[[#This Row],[QT_CANA_REAL]],ESTIMATIVA[[#This Row],[QT_CANA_REST2]])</f>
        <v>2706.62</v>
      </c>
      <c r="AG1127" s="1" t="str">
        <f>IF(COUNTIFS(GEADA!A:A,VALUE(ESTIMATIVA[[#This Row],[CD_UPNIVEL1]]&amp;TEXT(ESTIMATIVA[[#This Row],[CD_UPNIVEL3]],"0000")))&gt;0,"S","N")</f>
        <v>N</v>
      </c>
      <c r="AH112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27" s="55" t="str">
        <f>IF(ESTIMATIVA[[#This Row],[TP_CULTIVO]]="Irrigado",_xlfn.MAXIFS(IRRIGADO!J:J,IRRIGADO!C:C,ESTIMATIVA[[#This Row],[CD_UPNIVEL1]],IRRIGADO!E:E,ESTIMATIVA[[#This Row],[CD_UPNIVEL3]]),"")</f>
        <v/>
      </c>
      <c r="AJ112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27" s="1">
        <f>COUNTIFS(Apresentação!$E$23:$E$29,ESTIMATIVA[[#This Row],[CD_UPNIVEL1]])</f>
        <v>0</v>
      </c>
    </row>
    <row r="1128" spans="1:37" x14ac:dyDescent="0.3">
      <c r="A1128">
        <v>20506</v>
      </c>
      <c r="B1128" t="s">
        <v>64</v>
      </c>
      <c r="C1128">
        <v>5</v>
      </c>
      <c r="D1128">
        <v>1</v>
      </c>
      <c r="E1128" t="s">
        <v>264</v>
      </c>
      <c r="F1128" s="85" t="s">
        <v>331</v>
      </c>
      <c r="G1128"/>
      <c r="H1128" t="s">
        <v>294</v>
      </c>
      <c r="I1128" t="s">
        <v>207</v>
      </c>
      <c r="J1128" t="s">
        <v>176</v>
      </c>
      <c r="K1128" s="1">
        <v>39.58</v>
      </c>
      <c r="L1128" s="1">
        <v>0</v>
      </c>
      <c r="M1128" s="1">
        <v>0</v>
      </c>
      <c r="N1128" s="1">
        <v>39.58</v>
      </c>
      <c r="O1128" s="1">
        <v>4274.6400000000003</v>
      </c>
      <c r="P1128" s="1">
        <v>0</v>
      </c>
      <c r="Q1128" s="1">
        <v>0</v>
      </c>
      <c r="R1128" s="1">
        <v>4230.09</v>
      </c>
      <c r="S1128" t="s">
        <v>12</v>
      </c>
      <c r="T1128" s="13">
        <v>45802</v>
      </c>
      <c r="U1128" s="1" t="str">
        <f>IF(ESTIMATIVA[[#This Row],[QT_AREA_REAL]]&gt;0,"1- Colhido","2- à Colher")</f>
        <v>1- Colhido</v>
      </c>
      <c r="V1128" s="1" t="str">
        <f>IF(ESTIMATIVA[[#This Row],[QT_AREA_REST1]]&gt;0,"Reestimativa 1",IF(ESTIMATIVA[[#This Row],[QT_AREA_REAL]]=0,"Reestimativa 1","Realizado"))</f>
        <v>Realizado</v>
      </c>
      <c r="W1128" s="1" t="str">
        <f>IF(ESTIMATIVA[[#This Row],[QT_AREA_REST2]]&gt;0,"Reestimativa 2",IF(ESTIMATIVA[[#This Row],[QT_AREA_REAL]]=0,"Reestimativa 2","Realizado"))</f>
        <v>Realizado</v>
      </c>
      <c r="X1128" s="1">
        <f>ESTIMATIVA[[#This Row],[QT_AREA_EST]]</f>
        <v>39.58</v>
      </c>
      <c r="Y1128" s="1">
        <f>IF(ESTIMATIVA[[#This Row],[QT_AREA_REST1]]&gt;0,ESTIMATIVA[[#This Row],[QT_AREA_REST1]],
  IF(ESTIMATIVA[[#This Row],[QT_AREA_REAL]]&gt;0,ESTIMATIVA[[#This Row],[QT_AREA_REAL]],ESTIMATIVA[[#This Row],[QT_AREA_EST]]))</f>
        <v>39.58</v>
      </c>
      <c r="Z112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39.58</v>
      </c>
      <c r="AA1128" s="1">
        <f>ESTIMATIVA[[#This Row],[QT_CANA_EST]]</f>
        <v>4274.6400000000003</v>
      </c>
      <c r="AB1128" s="1">
        <f>IF(ESTIMATIVA[[#This Row],[QT_CANA_REST1]]&gt;0,ESTIMATIVA[[#This Row],[QT_CANA_REST1]],
  IF(ESTIMATIVA[[#This Row],[QT_CANA_REAL]]&gt;0,ESTIMATIVA[[#This Row],[QT_CANA_REAL]],ESTIMATIVA[[#This Row],[QT_CANA_EST]]))</f>
        <v>4230.09</v>
      </c>
      <c r="AC112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4230.09</v>
      </c>
      <c r="AD1128" s="1">
        <f>IF(ESTIMATIVA[[#This Row],[QT_AREA_REAL]]&gt;0,ESTIMATIVA[[#This Row],[QT_CANA_REAL]],ESTIMATIVA[[#This Row],[QT_CANA_EST]])</f>
        <v>4230.09</v>
      </c>
      <c r="AE1128" s="1">
        <f>IF(ESTIMATIVA[[#This Row],[QT_AREA_REAL]]&gt;0,ESTIMATIVA[[#This Row],[QT_CANA_REAL]],ESTIMATIVA[[#This Row],[QT_CANA_REST1]])</f>
        <v>4230.09</v>
      </c>
      <c r="AF1128" s="1">
        <f>IF(ESTIMATIVA[[#This Row],[QT_AREA_REAL]]&gt;0,ESTIMATIVA[[#This Row],[QT_CANA_REAL]],ESTIMATIVA[[#This Row],[QT_CANA_REST2]])</f>
        <v>4230.09</v>
      </c>
      <c r="AG1128" s="1" t="str">
        <f>IF(COUNTIFS(GEADA!A:A,VALUE(ESTIMATIVA[[#This Row],[CD_UPNIVEL1]]&amp;TEXT(ESTIMATIVA[[#This Row],[CD_UPNIVEL3]],"0000")))&gt;0,"S","N")</f>
        <v>N</v>
      </c>
      <c r="AH112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28" s="55" t="str">
        <f>IF(ESTIMATIVA[[#This Row],[TP_CULTIVO]]="Irrigado",_xlfn.MAXIFS(IRRIGADO!J:J,IRRIGADO!C:C,ESTIMATIVA[[#This Row],[CD_UPNIVEL1]],IRRIGADO!E:E,ESTIMATIVA[[#This Row],[CD_UPNIVEL3]]),"")</f>
        <v/>
      </c>
      <c r="AJ112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28" s="1">
        <f>COUNTIFS(Apresentação!$E$23:$E$29,ESTIMATIVA[[#This Row],[CD_UPNIVEL1]])</f>
        <v>0</v>
      </c>
    </row>
    <row r="1129" spans="1:37" x14ac:dyDescent="0.3">
      <c r="A1129">
        <v>20506</v>
      </c>
      <c r="B1129" t="s">
        <v>64</v>
      </c>
      <c r="C1129">
        <v>6</v>
      </c>
      <c r="D1129">
        <v>1</v>
      </c>
      <c r="E1129" t="s">
        <v>264</v>
      </c>
      <c r="F1129" s="85" t="s">
        <v>333</v>
      </c>
      <c r="G1129"/>
      <c r="H1129" t="s">
        <v>294</v>
      </c>
      <c r="I1129" t="s">
        <v>207</v>
      </c>
      <c r="J1129" t="s">
        <v>176</v>
      </c>
      <c r="K1129" s="1">
        <v>6.07</v>
      </c>
      <c r="L1129" s="1">
        <v>0</v>
      </c>
      <c r="M1129" s="1">
        <v>0</v>
      </c>
      <c r="N1129" s="1">
        <v>6.07</v>
      </c>
      <c r="O1129" s="1">
        <v>1254</v>
      </c>
      <c r="P1129" s="1">
        <v>0</v>
      </c>
      <c r="Q1129" s="1">
        <v>0</v>
      </c>
      <c r="R1129" s="1">
        <v>595.80999999999995</v>
      </c>
      <c r="S1129" t="s">
        <v>12</v>
      </c>
      <c r="T1129" s="13">
        <v>45802</v>
      </c>
      <c r="U1129" s="1" t="str">
        <f>IF(ESTIMATIVA[[#This Row],[QT_AREA_REAL]]&gt;0,"1- Colhido","2- à Colher")</f>
        <v>1- Colhido</v>
      </c>
      <c r="V1129" s="1" t="str">
        <f>IF(ESTIMATIVA[[#This Row],[QT_AREA_REST1]]&gt;0,"Reestimativa 1",IF(ESTIMATIVA[[#This Row],[QT_AREA_REAL]]=0,"Reestimativa 1","Realizado"))</f>
        <v>Realizado</v>
      </c>
      <c r="W1129" s="1" t="str">
        <f>IF(ESTIMATIVA[[#This Row],[QT_AREA_REST2]]&gt;0,"Reestimativa 2",IF(ESTIMATIVA[[#This Row],[QT_AREA_REAL]]=0,"Reestimativa 2","Realizado"))</f>
        <v>Realizado</v>
      </c>
      <c r="X1129" s="1">
        <f>ESTIMATIVA[[#This Row],[QT_AREA_EST]]</f>
        <v>6.07</v>
      </c>
      <c r="Y1129" s="1">
        <f>IF(ESTIMATIVA[[#This Row],[QT_AREA_REST1]]&gt;0,ESTIMATIVA[[#This Row],[QT_AREA_REST1]],
  IF(ESTIMATIVA[[#This Row],[QT_AREA_REAL]]&gt;0,ESTIMATIVA[[#This Row],[QT_AREA_REAL]],ESTIMATIVA[[#This Row],[QT_AREA_EST]]))</f>
        <v>6.07</v>
      </c>
      <c r="Z112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6.07</v>
      </c>
      <c r="AA1129" s="1">
        <f>ESTIMATIVA[[#This Row],[QT_CANA_EST]]</f>
        <v>1254</v>
      </c>
      <c r="AB1129" s="1">
        <f>IF(ESTIMATIVA[[#This Row],[QT_CANA_REST1]]&gt;0,ESTIMATIVA[[#This Row],[QT_CANA_REST1]],
  IF(ESTIMATIVA[[#This Row],[QT_CANA_REAL]]&gt;0,ESTIMATIVA[[#This Row],[QT_CANA_REAL]],ESTIMATIVA[[#This Row],[QT_CANA_EST]]))</f>
        <v>595.80999999999995</v>
      </c>
      <c r="AC112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595.80999999999995</v>
      </c>
      <c r="AD1129" s="1">
        <f>IF(ESTIMATIVA[[#This Row],[QT_AREA_REAL]]&gt;0,ESTIMATIVA[[#This Row],[QT_CANA_REAL]],ESTIMATIVA[[#This Row],[QT_CANA_EST]])</f>
        <v>595.80999999999995</v>
      </c>
      <c r="AE1129" s="1">
        <f>IF(ESTIMATIVA[[#This Row],[QT_AREA_REAL]]&gt;0,ESTIMATIVA[[#This Row],[QT_CANA_REAL]],ESTIMATIVA[[#This Row],[QT_CANA_REST1]])</f>
        <v>595.80999999999995</v>
      </c>
      <c r="AF1129" s="1">
        <f>IF(ESTIMATIVA[[#This Row],[QT_AREA_REAL]]&gt;0,ESTIMATIVA[[#This Row],[QT_CANA_REAL]],ESTIMATIVA[[#This Row],[QT_CANA_REST2]])</f>
        <v>595.80999999999995</v>
      </c>
      <c r="AG1129" s="1" t="str">
        <f>IF(COUNTIFS(GEADA!A:A,VALUE(ESTIMATIVA[[#This Row],[CD_UPNIVEL1]]&amp;TEXT(ESTIMATIVA[[#This Row],[CD_UPNIVEL3]],"0000")))&gt;0,"S","N")</f>
        <v>N</v>
      </c>
      <c r="AH112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29" s="55" t="str">
        <f>IF(ESTIMATIVA[[#This Row],[TP_CULTIVO]]="Irrigado",_xlfn.MAXIFS(IRRIGADO!J:J,IRRIGADO!C:C,ESTIMATIVA[[#This Row],[CD_UPNIVEL1]],IRRIGADO!E:E,ESTIMATIVA[[#This Row],[CD_UPNIVEL3]]),"")</f>
        <v/>
      </c>
      <c r="AJ112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29" s="1">
        <f>COUNTIFS(Apresentação!$E$23:$E$29,ESTIMATIVA[[#This Row],[CD_UPNIVEL1]])</f>
        <v>0</v>
      </c>
    </row>
    <row r="1130" spans="1:37" x14ac:dyDescent="0.3">
      <c r="A1130">
        <v>20506</v>
      </c>
      <c r="B1130" t="s">
        <v>64</v>
      </c>
      <c r="C1130">
        <v>7</v>
      </c>
      <c r="D1130">
        <v>1</v>
      </c>
      <c r="E1130" t="s">
        <v>264</v>
      </c>
      <c r="F1130" s="85" t="s">
        <v>333</v>
      </c>
      <c r="G1130"/>
      <c r="H1130" t="s">
        <v>294</v>
      </c>
      <c r="I1130" t="s">
        <v>220</v>
      </c>
      <c r="J1130" t="s">
        <v>176</v>
      </c>
      <c r="K1130" s="1">
        <v>3.7</v>
      </c>
      <c r="L1130" s="1">
        <v>0</v>
      </c>
      <c r="M1130" s="1">
        <v>0</v>
      </c>
      <c r="N1130" s="1">
        <v>3.7</v>
      </c>
      <c r="O1130" s="1">
        <v>734.27</v>
      </c>
      <c r="P1130" s="1">
        <v>0</v>
      </c>
      <c r="Q1130" s="1">
        <v>0</v>
      </c>
      <c r="R1130" s="1">
        <v>367.05</v>
      </c>
      <c r="S1130" t="s">
        <v>12</v>
      </c>
      <c r="T1130" s="13">
        <v>45802</v>
      </c>
      <c r="U1130" s="1" t="str">
        <f>IF(ESTIMATIVA[[#This Row],[QT_AREA_REAL]]&gt;0,"1- Colhido","2- à Colher")</f>
        <v>1- Colhido</v>
      </c>
      <c r="V1130" s="1" t="str">
        <f>IF(ESTIMATIVA[[#This Row],[QT_AREA_REST1]]&gt;0,"Reestimativa 1",IF(ESTIMATIVA[[#This Row],[QT_AREA_REAL]]=0,"Reestimativa 1","Realizado"))</f>
        <v>Realizado</v>
      </c>
      <c r="W1130" s="1" t="str">
        <f>IF(ESTIMATIVA[[#This Row],[QT_AREA_REST2]]&gt;0,"Reestimativa 2",IF(ESTIMATIVA[[#This Row],[QT_AREA_REAL]]=0,"Reestimativa 2","Realizado"))</f>
        <v>Realizado</v>
      </c>
      <c r="X1130" s="1">
        <f>ESTIMATIVA[[#This Row],[QT_AREA_EST]]</f>
        <v>3.7</v>
      </c>
      <c r="Y1130" s="1">
        <f>IF(ESTIMATIVA[[#This Row],[QT_AREA_REST1]]&gt;0,ESTIMATIVA[[#This Row],[QT_AREA_REST1]],
  IF(ESTIMATIVA[[#This Row],[QT_AREA_REAL]]&gt;0,ESTIMATIVA[[#This Row],[QT_AREA_REAL]],ESTIMATIVA[[#This Row],[QT_AREA_EST]]))</f>
        <v>3.7</v>
      </c>
      <c r="Z113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3.7</v>
      </c>
      <c r="AA1130" s="1">
        <f>ESTIMATIVA[[#This Row],[QT_CANA_EST]]</f>
        <v>734.27</v>
      </c>
      <c r="AB1130" s="1">
        <f>IF(ESTIMATIVA[[#This Row],[QT_CANA_REST1]]&gt;0,ESTIMATIVA[[#This Row],[QT_CANA_REST1]],
  IF(ESTIMATIVA[[#This Row],[QT_CANA_REAL]]&gt;0,ESTIMATIVA[[#This Row],[QT_CANA_REAL]],ESTIMATIVA[[#This Row],[QT_CANA_EST]]))</f>
        <v>367.05</v>
      </c>
      <c r="AC113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367.05</v>
      </c>
      <c r="AD1130" s="1">
        <f>IF(ESTIMATIVA[[#This Row],[QT_AREA_REAL]]&gt;0,ESTIMATIVA[[#This Row],[QT_CANA_REAL]],ESTIMATIVA[[#This Row],[QT_CANA_EST]])</f>
        <v>367.05</v>
      </c>
      <c r="AE1130" s="1">
        <f>IF(ESTIMATIVA[[#This Row],[QT_AREA_REAL]]&gt;0,ESTIMATIVA[[#This Row],[QT_CANA_REAL]],ESTIMATIVA[[#This Row],[QT_CANA_REST1]])</f>
        <v>367.05</v>
      </c>
      <c r="AF1130" s="1">
        <f>IF(ESTIMATIVA[[#This Row],[QT_AREA_REAL]]&gt;0,ESTIMATIVA[[#This Row],[QT_CANA_REAL]],ESTIMATIVA[[#This Row],[QT_CANA_REST2]])</f>
        <v>367.05</v>
      </c>
      <c r="AG1130" s="1" t="str">
        <f>IF(COUNTIFS(GEADA!A:A,VALUE(ESTIMATIVA[[#This Row],[CD_UPNIVEL1]]&amp;TEXT(ESTIMATIVA[[#This Row],[CD_UPNIVEL3]],"0000")))&gt;0,"S","N")</f>
        <v>N</v>
      </c>
      <c r="AH113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30" s="55" t="str">
        <f>IF(ESTIMATIVA[[#This Row],[TP_CULTIVO]]="Irrigado",_xlfn.MAXIFS(IRRIGADO!J:J,IRRIGADO!C:C,ESTIMATIVA[[#This Row],[CD_UPNIVEL1]],IRRIGADO!E:E,ESTIMATIVA[[#This Row],[CD_UPNIVEL3]]),"")</f>
        <v/>
      </c>
      <c r="AJ113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30" s="1">
        <f>COUNTIFS(Apresentação!$E$23:$E$29,ESTIMATIVA[[#This Row],[CD_UPNIVEL1]])</f>
        <v>0</v>
      </c>
    </row>
    <row r="1131" spans="1:37" x14ac:dyDescent="0.3">
      <c r="A1131">
        <v>20506</v>
      </c>
      <c r="B1131" t="s">
        <v>64</v>
      </c>
      <c r="C1131">
        <v>8</v>
      </c>
      <c r="D1131">
        <v>1</v>
      </c>
      <c r="E1131" t="s">
        <v>264</v>
      </c>
      <c r="F1131" s="85" t="s">
        <v>331</v>
      </c>
      <c r="G1131"/>
      <c r="H1131" t="s">
        <v>294</v>
      </c>
      <c r="I1131" t="s">
        <v>207</v>
      </c>
      <c r="J1131" t="s">
        <v>176</v>
      </c>
      <c r="K1131" s="1">
        <v>17.649999999999999</v>
      </c>
      <c r="L1131" s="1">
        <v>0</v>
      </c>
      <c r="M1131" s="1">
        <v>0</v>
      </c>
      <c r="N1131" s="1">
        <v>17.649999999999999</v>
      </c>
      <c r="O1131" s="1">
        <v>1782.65</v>
      </c>
      <c r="P1131" s="1">
        <v>0</v>
      </c>
      <c r="Q1131" s="1">
        <v>0</v>
      </c>
      <c r="R1131" s="1">
        <v>1602.24</v>
      </c>
      <c r="S1131" t="s">
        <v>12</v>
      </c>
      <c r="T1131" s="13">
        <v>45802</v>
      </c>
      <c r="U1131" s="1" t="str">
        <f>IF(ESTIMATIVA[[#This Row],[QT_AREA_REAL]]&gt;0,"1- Colhido","2- à Colher")</f>
        <v>1- Colhido</v>
      </c>
      <c r="V1131" s="1" t="str">
        <f>IF(ESTIMATIVA[[#This Row],[QT_AREA_REST1]]&gt;0,"Reestimativa 1",IF(ESTIMATIVA[[#This Row],[QT_AREA_REAL]]=0,"Reestimativa 1","Realizado"))</f>
        <v>Realizado</v>
      </c>
      <c r="W1131" s="1" t="str">
        <f>IF(ESTIMATIVA[[#This Row],[QT_AREA_REST2]]&gt;0,"Reestimativa 2",IF(ESTIMATIVA[[#This Row],[QT_AREA_REAL]]=0,"Reestimativa 2","Realizado"))</f>
        <v>Realizado</v>
      </c>
      <c r="X1131" s="1">
        <f>ESTIMATIVA[[#This Row],[QT_AREA_EST]]</f>
        <v>17.649999999999999</v>
      </c>
      <c r="Y1131" s="1">
        <f>IF(ESTIMATIVA[[#This Row],[QT_AREA_REST1]]&gt;0,ESTIMATIVA[[#This Row],[QT_AREA_REST1]],
  IF(ESTIMATIVA[[#This Row],[QT_AREA_REAL]]&gt;0,ESTIMATIVA[[#This Row],[QT_AREA_REAL]],ESTIMATIVA[[#This Row],[QT_AREA_EST]]))</f>
        <v>17.649999999999999</v>
      </c>
      <c r="Z113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17.649999999999999</v>
      </c>
      <c r="AA1131" s="1">
        <f>ESTIMATIVA[[#This Row],[QT_CANA_EST]]</f>
        <v>1782.65</v>
      </c>
      <c r="AB1131" s="1">
        <f>IF(ESTIMATIVA[[#This Row],[QT_CANA_REST1]]&gt;0,ESTIMATIVA[[#This Row],[QT_CANA_REST1]],
  IF(ESTIMATIVA[[#This Row],[QT_CANA_REAL]]&gt;0,ESTIMATIVA[[#This Row],[QT_CANA_REAL]],ESTIMATIVA[[#This Row],[QT_CANA_EST]]))</f>
        <v>1602.24</v>
      </c>
      <c r="AC113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1602.24</v>
      </c>
      <c r="AD1131" s="1">
        <f>IF(ESTIMATIVA[[#This Row],[QT_AREA_REAL]]&gt;0,ESTIMATIVA[[#This Row],[QT_CANA_REAL]],ESTIMATIVA[[#This Row],[QT_CANA_EST]])</f>
        <v>1602.24</v>
      </c>
      <c r="AE1131" s="1">
        <f>IF(ESTIMATIVA[[#This Row],[QT_AREA_REAL]]&gt;0,ESTIMATIVA[[#This Row],[QT_CANA_REAL]],ESTIMATIVA[[#This Row],[QT_CANA_REST1]])</f>
        <v>1602.24</v>
      </c>
      <c r="AF1131" s="1">
        <f>IF(ESTIMATIVA[[#This Row],[QT_AREA_REAL]]&gt;0,ESTIMATIVA[[#This Row],[QT_CANA_REAL]],ESTIMATIVA[[#This Row],[QT_CANA_REST2]])</f>
        <v>1602.24</v>
      </c>
      <c r="AG1131" s="1" t="str">
        <f>IF(COUNTIFS(GEADA!A:A,VALUE(ESTIMATIVA[[#This Row],[CD_UPNIVEL1]]&amp;TEXT(ESTIMATIVA[[#This Row],[CD_UPNIVEL3]],"0000")))&gt;0,"S","N")</f>
        <v>N</v>
      </c>
      <c r="AH113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31" s="55" t="str">
        <f>IF(ESTIMATIVA[[#This Row],[TP_CULTIVO]]="Irrigado",_xlfn.MAXIFS(IRRIGADO!J:J,IRRIGADO!C:C,ESTIMATIVA[[#This Row],[CD_UPNIVEL1]],IRRIGADO!E:E,ESTIMATIVA[[#This Row],[CD_UPNIVEL3]]),"")</f>
        <v/>
      </c>
      <c r="AJ113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31" s="1">
        <f>COUNTIFS(Apresentação!$E$23:$E$29,ESTIMATIVA[[#This Row],[CD_UPNIVEL1]])</f>
        <v>0</v>
      </c>
    </row>
    <row r="1132" spans="1:37" x14ac:dyDescent="0.3">
      <c r="A1132">
        <v>20506</v>
      </c>
      <c r="B1132" t="s">
        <v>64</v>
      </c>
      <c r="C1132">
        <v>9</v>
      </c>
      <c r="D1132">
        <v>1</v>
      </c>
      <c r="E1132" t="s">
        <v>264</v>
      </c>
      <c r="F1132" s="85" t="s">
        <v>331</v>
      </c>
      <c r="G1132"/>
      <c r="H1132" t="s">
        <v>294</v>
      </c>
      <c r="I1132" t="s">
        <v>207</v>
      </c>
      <c r="J1132" t="s">
        <v>176</v>
      </c>
      <c r="K1132" s="1">
        <v>45.74</v>
      </c>
      <c r="L1132" s="1">
        <v>0</v>
      </c>
      <c r="M1132" s="1">
        <v>0</v>
      </c>
      <c r="N1132" s="1">
        <v>45.74</v>
      </c>
      <c r="O1132" s="1">
        <v>4939.92</v>
      </c>
      <c r="P1132" s="1">
        <v>0</v>
      </c>
      <c r="Q1132" s="1">
        <v>0</v>
      </c>
      <c r="R1132" s="1">
        <v>4439.38</v>
      </c>
      <c r="S1132" t="s">
        <v>12</v>
      </c>
      <c r="T1132" s="13">
        <v>45802</v>
      </c>
      <c r="U1132" s="1" t="str">
        <f>IF(ESTIMATIVA[[#This Row],[QT_AREA_REAL]]&gt;0,"1- Colhido","2- à Colher")</f>
        <v>1- Colhido</v>
      </c>
      <c r="V1132" s="1" t="str">
        <f>IF(ESTIMATIVA[[#This Row],[QT_AREA_REST1]]&gt;0,"Reestimativa 1",IF(ESTIMATIVA[[#This Row],[QT_AREA_REAL]]=0,"Reestimativa 1","Realizado"))</f>
        <v>Realizado</v>
      </c>
      <c r="W1132" s="1" t="str">
        <f>IF(ESTIMATIVA[[#This Row],[QT_AREA_REST2]]&gt;0,"Reestimativa 2",IF(ESTIMATIVA[[#This Row],[QT_AREA_REAL]]=0,"Reestimativa 2","Realizado"))</f>
        <v>Realizado</v>
      </c>
      <c r="X1132" s="1">
        <f>ESTIMATIVA[[#This Row],[QT_AREA_EST]]</f>
        <v>45.74</v>
      </c>
      <c r="Y1132" s="1">
        <f>IF(ESTIMATIVA[[#This Row],[QT_AREA_REST1]]&gt;0,ESTIMATIVA[[#This Row],[QT_AREA_REST1]],
  IF(ESTIMATIVA[[#This Row],[QT_AREA_REAL]]&gt;0,ESTIMATIVA[[#This Row],[QT_AREA_REAL]],ESTIMATIVA[[#This Row],[QT_AREA_EST]]))</f>
        <v>45.74</v>
      </c>
      <c r="Z113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45.74</v>
      </c>
      <c r="AA1132" s="1">
        <f>ESTIMATIVA[[#This Row],[QT_CANA_EST]]</f>
        <v>4939.92</v>
      </c>
      <c r="AB1132" s="1">
        <f>IF(ESTIMATIVA[[#This Row],[QT_CANA_REST1]]&gt;0,ESTIMATIVA[[#This Row],[QT_CANA_REST1]],
  IF(ESTIMATIVA[[#This Row],[QT_CANA_REAL]]&gt;0,ESTIMATIVA[[#This Row],[QT_CANA_REAL]],ESTIMATIVA[[#This Row],[QT_CANA_EST]]))</f>
        <v>4439.38</v>
      </c>
      <c r="AC113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4439.38</v>
      </c>
      <c r="AD1132" s="1">
        <f>IF(ESTIMATIVA[[#This Row],[QT_AREA_REAL]]&gt;0,ESTIMATIVA[[#This Row],[QT_CANA_REAL]],ESTIMATIVA[[#This Row],[QT_CANA_EST]])</f>
        <v>4439.38</v>
      </c>
      <c r="AE1132" s="1">
        <f>IF(ESTIMATIVA[[#This Row],[QT_AREA_REAL]]&gt;0,ESTIMATIVA[[#This Row],[QT_CANA_REAL]],ESTIMATIVA[[#This Row],[QT_CANA_REST1]])</f>
        <v>4439.38</v>
      </c>
      <c r="AF1132" s="1">
        <f>IF(ESTIMATIVA[[#This Row],[QT_AREA_REAL]]&gt;0,ESTIMATIVA[[#This Row],[QT_CANA_REAL]],ESTIMATIVA[[#This Row],[QT_CANA_REST2]])</f>
        <v>4439.38</v>
      </c>
      <c r="AG1132" s="1" t="str">
        <f>IF(COUNTIFS(GEADA!A:A,VALUE(ESTIMATIVA[[#This Row],[CD_UPNIVEL1]]&amp;TEXT(ESTIMATIVA[[#This Row],[CD_UPNIVEL3]],"0000")))&gt;0,"S","N")</f>
        <v>N</v>
      </c>
      <c r="AH113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32" s="55" t="str">
        <f>IF(ESTIMATIVA[[#This Row],[TP_CULTIVO]]="Irrigado",_xlfn.MAXIFS(IRRIGADO!J:J,IRRIGADO!C:C,ESTIMATIVA[[#This Row],[CD_UPNIVEL1]],IRRIGADO!E:E,ESTIMATIVA[[#This Row],[CD_UPNIVEL3]]),"")</f>
        <v/>
      </c>
      <c r="AJ113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32" s="1">
        <f>COUNTIFS(Apresentação!$E$23:$E$29,ESTIMATIVA[[#This Row],[CD_UPNIVEL1]])</f>
        <v>0</v>
      </c>
    </row>
    <row r="1133" spans="1:37" x14ac:dyDescent="0.3">
      <c r="A1133">
        <v>20506</v>
      </c>
      <c r="B1133" t="s">
        <v>64</v>
      </c>
      <c r="C1133">
        <v>11</v>
      </c>
      <c r="D1133">
        <v>3</v>
      </c>
      <c r="E1133" t="s">
        <v>263</v>
      </c>
      <c r="F1133" s="85" t="s">
        <v>331</v>
      </c>
      <c r="G1133"/>
      <c r="H1133" t="s">
        <v>294</v>
      </c>
      <c r="I1133" t="s">
        <v>200</v>
      </c>
      <c r="J1133" t="s">
        <v>176</v>
      </c>
      <c r="K1133" s="1">
        <v>4.4400000000000004</v>
      </c>
      <c r="L1133" s="1">
        <v>4.4400000000000004</v>
      </c>
      <c r="M1133" s="1">
        <v>4.4400000000000004</v>
      </c>
      <c r="N1133" s="1">
        <v>0</v>
      </c>
      <c r="O1133" s="1">
        <v>408.48</v>
      </c>
      <c r="P1133" s="1">
        <v>408.48</v>
      </c>
      <c r="Q1133" s="1">
        <v>386.28</v>
      </c>
      <c r="R1133" s="1">
        <v>0</v>
      </c>
      <c r="S1133" t="s">
        <v>12</v>
      </c>
      <c r="T1133" s="13"/>
      <c r="U1133" s="1" t="str">
        <f>IF(ESTIMATIVA[[#This Row],[QT_AREA_REAL]]&gt;0,"1- Colhido","2- à Colher")</f>
        <v>2- à Colher</v>
      </c>
      <c r="V1133" s="1" t="str">
        <f>IF(ESTIMATIVA[[#This Row],[QT_AREA_REST1]]&gt;0,"Reestimativa 1",IF(ESTIMATIVA[[#This Row],[QT_AREA_REAL]]=0,"Reestimativa 1","Realizado"))</f>
        <v>Reestimativa 1</v>
      </c>
      <c r="W1133" s="1" t="str">
        <f>IF(ESTIMATIVA[[#This Row],[QT_AREA_REST2]]&gt;0,"Reestimativa 2",IF(ESTIMATIVA[[#This Row],[QT_AREA_REAL]]=0,"Reestimativa 2","Realizado"))</f>
        <v>Reestimativa 2</v>
      </c>
      <c r="X1133" s="1">
        <f>ESTIMATIVA[[#This Row],[QT_AREA_EST]]</f>
        <v>4.4400000000000004</v>
      </c>
      <c r="Y1133" s="1">
        <f>IF(ESTIMATIVA[[#This Row],[QT_AREA_REST1]]&gt;0,ESTIMATIVA[[#This Row],[QT_AREA_REST1]],
  IF(ESTIMATIVA[[#This Row],[QT_AREA_REAL]]&gt;0,ESTIMATIVA[[#This Row],[QT_AREA_REAL]],ESTIMATIVA[[#This Row],[QT_AREA_EST]]))</f>
        <v>4.4400000000000004</v>
      </c>
      <c r="Z113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4.4400000000000004</v>
      </c>
      <c r="AA1133" s="1">
        <f>ESTIMATIVA[[#This Row],[QT_CANA_EST]]</f>
        <v>408.48</v>
      </c>
      <c r="AB1133" s="1">
        <f>IF(ESTIMATIVA[[#This Row],[QT_CANA_REST1]]&gt;0,ESTIMATIVA[[#This Row],[QT_CANA_REST1]],
  IF(ESTIMATIVA[[#This Row],[QT_CANA_REAL]]&gt;0,ESTIMATIVA[[#This Row],[QT_CANA_REAL]],ESTIMATIVA[[#This Row],[QT_CANA_EST]]))</f>
        <v>408.48</v>
      </c>
      <c r="AC113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386.28</v>
      </c>
      <c r="AD1133" s="1">
        <f>IF(ESTIMATIVA[[#This Row],[QT_AREA_REAL]]&gt;0,ESTIMATIVA[[#This Row],[QT_CANA_REAL]],ESTIMATIVA[[#This Row],[QT_CANA_EST]])</f>
        <v>408.48</v>
      </c>
      <c r="AE1133" s="1">
        <f>IF(ESTIMATIVA[[#This Row],[QT_AREA_REAL]]&gt;0,ESTIMATIVA[[#This Row],[QT_CANA_REAL]],ESTIMATIVA[[#This Row],[QT_CANA_REST1]])</f>
        <v>408.48</v>
      </c>
      <c r="AF1133" s="1">
        <f>IF(ESTIMATIVA[[#This Row],[QT_AREA_REAL]]&gt;0,ESTIMATIVA[[#This Row],[QT_CANA_REAL]],ESTIMATIVA[[#This Row],[QT_CANA_REST2]])</f>
        <v>386.28</v>
      </c>
      <c r="AG1133" s="1" t="str">
        <f>IF(COUNTIFS(GEADA!A:A,VALUE(ESTIMATIVA[[#This Row],[CD_UPNIVEL1]]&amp;TEXT(ESTIMATIVA[[#This Row],[CD_UPNIVEL3]],"0000")))&gt;0,"S","N")</f>
        <v>N</v>
      </c>
      <c r="AH113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33" s="55" t="str">
        <f>IF(ESTIMATIVA[[#This Row],[TP_CULTIVO]]="Irrigado",_xlfn.MAXIFS(IRRIGADO!J:J,IRRIGADO!C:C,ESTIMATIVA[[#This Row],[CD_UPNIVEL1]],IRRIGADO!E:E,ESTIMATIVA[[#This Row],[CD_UPNIVEL3]]),"")</f>
        <v/>
      </c>
      <c r="AJ113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33" s="1">
        <f>COUNTIFS(Apresentação!$E$23:$E$29,ESTIMATIVA[[#This Row],[CD_UPNIVEL1]])</f>
        <v>0</v>
      </c>
    </row>
    <row r="1134" spans="1:37" x14ac:dyDescent="0.3">
      <c r="A1134">
        <v>20506</v>
      </c>
      <c r="B1134" t="s">
        <v>64</v>
      </c>
      <c r="C1134">
        <v>12</v>
      </c>
      <c r="D1134">
        <v>3</v>
      </c>
      <c r="E1134" t="s">
        <v>263</v>
      </c>
      <c r="F1134" s="85" t="s">
        <v>331</v>
      </c>
      <c r="G1134"/>
      <c r="H1134" t="s">
        <v>294</v>
      </c>
      <c r="I1134" t="s">
        <v>200</v>
      </c>
      <c r="J1134" t="s">
        <v>176</v>
      </c>
      <c r="K1134" s="1">
        <v>23</v>
      </c>
      <c r="L1134" s="1">
        <v>23</v>
      </c>
      <c r="M1134" s="1">
        <v>23</v>
      </c>
      <c r="N1134" s="1">
        <v>23</v>
      </c>
      <c r="O1134" s="1">
        <v>1978</v>
      </c>
      <c r="P1134" s="1">
        <v>1978</v>
      </c>
      <c r="Q1134" s="1">
        <v>1840</v>
      </c>
      <c r="R1134" s="1">
        <v>937.97</v>
      </c>
      <c r="S1134" t="s">
        <v>12</v>
      </c>
      <c r="T1134" s="13">
        <v>46005</v>
      </c>
      <c r="U1134" s="1" t="str">
        <f>IF(ESTIMATIVA[[#This Row],[QT_AREA_REAL]]&gt;0,"1- Colhido","2- à Colher")</f>
        <v>1- Colhido</v>
      </c>
      <c r="V1134" s="1" t="str">
        <f>IF(ESTIMATIVA[[#This Row],[QT_AREA_REST1]]&gt;0,"Reestimativa 1",IF(ESTIMATIVA[[#This Row],[QT_AREA_REAL]]=0,"Reestimativa 1","Realizado"))</f>
        <v>Reestimativa 1</v>
      </c>
      <c r="W1134" s="1" t="str">
        <f>IF(ESTIMATIVA[[#This Row],[QT_AREA_REST2]]&gt;0,"Reestimativa 2",IF(ESTIMATIVA[[#This Row],[QT_AREA_REAL]]=0,"Reestimativa 2","Realizado"))</f>
        <v>Reestimativa 2</v>
      </c>
      <c r="X1134" s="1">
        <f>ESTIMATIVA[[#This Row],[QT_AREA_EST]]</f>
        <v>23</v>
      </c>
      <c r="Y1134" s="1">
        <f>IF(ESTIMATIVA[[#This Row],[QT_AREA_REST1]]&gt;0,ESTIMATIVA[[#This Row],[QT_AREA_REST1]],
  IF(ESTIMATIVA[[#This Row],[QT_AREA_REAL]]&gt;0,ESTIMATIVA[[#This Row],[QT_AREA_REAL]],ESTIMATIVA[[#This Row],[QT_AREA_EST]]))</f>
        <v>23</v>
      </c>
      <c r="Z113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</v>
      </c>
      <c r="AA1134" s="1">
        <f>ESTIMATIVA[[#This Row],[QT_CANA_EST]]</f>
        <v>1978</v>
      </c>
      <c r="AB1134" s="1">
        <f>IF(ESTIMATIVA[[#This Row],[QT_CANA_REST1]]&gt;0,ESTIMATIVA[[#This Row],[QT_CANA_REST1]],
  IF(ESTIMATIVA[[#This Row],[QT_CANA_REAL]]&gt;0,ESTIMATIVA[[#This Row],[QT_CANA_REAL]],ESTIMATIVA[[#This Row],[QT_CANA_EST]]))</f>
        <v>1978</v>
      </c>
      <c r="AC113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1840</v>
      </c>
      <c r="AD1134" s="1">
        <f>IF(ESTIMATIVA[[#This Row],[QT_AREA_REAL]]&gt;0,ESTIMATIVA[[#This Row],[QT_CANA_REAL]],ESTIMATIVA[[#This Row],[QT_CANA_EST]])</f>
        <v>937.97</v>
      </c>
      <c r="AE1134" s="1">
        <f>IF(ESTIMATIVA[[#This Row],[QT_AREA_REAL]]&gt;0,ESTIMATIVA[[#This Row],[QT_CANA_REAL]],ESTIMATIVA[[#This Row],[QT_CANA_REST1]])</f>
        <v>937.97</v>
      </c>
      <c r="AF1134" s="1">
        <f>IF(ESTIMATIVA[[#This Row],[QT_AREA_REAL]]&gt;0,ESTIMATIVA[[#This Row],[QT_CANA_REAL]],ESTIMATIVA[[#This Row],[QT_CANA_REST2]])</f>
        <v>937.97</v>
      </c>
      <c r="AG1134" s="1" t="str">
        <f>IF(COUNTIFS(GEADA!A:A,VALUE(ESTIMATIVA[[#This Row],[CD_UPNIVEL1]]&amp;TEXT(ESTIMATIVA[[#This Row],[CD_UPNIVEL3]],"0000")))&gt;0,"S","N")</f>
        <v>N</v>
      </c>
      <c r="AH113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34" s="55" t="str">
        <f>IF(ESTIMATIVA[[#This Row],[TP_CULTIVO]]="Irrigado",_xlfn.MAXIFS(IRRIGADO!J:J,IRRIGADO!C:C,ESTIMATIVA[[#This Row],[CD_UPNIVEL1]],IRRIGADO!E:E,ESTIMATIVA[[#This Row],[CD_UPNIVEL3]]),"")</f>
        <v/>
      </c>
      <c r="AJ113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34" s="1">
        <f>COUNTIFS(Apresentação!$E$23:$E$29,ESTIMATIVA[[#This Row],[CD_UPNIVEL1]])</f>
        <v>0</v>
      </c>
    </row>
    <row r="1135" spans="1:37" x14ac:dyDescent="0.3">
      <c r="A1135">
        <v>20506</v>
      </c>
      <c r="B1135" t="s">
        <v>64</v>
      </c>
      <c r="C1135">
        <v>13</v>
      </c>
      <c r="D1135">
        <v>3</v>
      </c>
      <c r="E1135" t="s">
        <v>263</v>
      </c>
      <c r="F1135" s="85" t="s">
        <v>331</v>
      </c>
      <c r="G1135"/>
      <c r="H1135" t="s">
        <v>294</v>
      </c>
      <c r="I1135" t="s">
        <v>200</v>
      </c>
      <c r="J1135" t="s">
        <v>176</v>
      </c>
      <c r="K1135" s="1">
        <v>22.56</v>
      </c>
      <c r="L1135" s="1">
        <v>22.56</v>
      </c>
      <c r="M1135" s="1">
        <v>22.56</v>
      </c>
      <c r="N1135" s="1">
        <v>22.56</v>
      </c>
      <c r="O1135" s="1">
        <v>1940.16</v>
      </c>
      <c r="P1135" s="1">
        <v>1985.28</v>
      </c>
      <c r="Q1135" s="1">
        <v>1804.8</v>
      </c>
      <c r="R1135" s="1">
        <v>1325.71</v>
      </c>
      <c r="S1135" t="s">
        <v>12</v>
      </c>
      <c r="T1135" s="13">
        <v>46005</v>
      </c>
      <c r="U1135" s="1" t="str">
        <f>IF(ESTIMATIVA[[#This Row],[QT_AREA_REAL]]&gt;0,"1- Colhido","2- à Colher")</f>
        <v>1- Colhido</v>
      </c>
      <c r="V1135" s="1" t="str">
        <f>IF(ESTIMATIVA[[#This Row],[QT_AREA_REST1]]&gt;0,"Reestimativa 1",IF(ESTIMATIVA[[#This Row],[QT_AREA_REAL]]=0,"Reestimativa 1","Realizado"))</f>
        <v>Reestimativa 1</v>
      </c>
      <c r="W1135" s="1" t="str">
        <f>IF(ESTIMATIVA[[#This Row],[QT_AREA_REST2]]&gt;0,"Reestimativa 2",IF(ESTIMATIVA[[#This Row],[QT_AREA_REAL]]=0,"Reestimativa 2","Realizado"))</f>
        <v>Reestimativa 2</v>
      </c>
      <c r="X1135" s="1">
        <f>ESTIMATIVA[[#This Row],[QT_AREA_EST]]</f>
        <v>22.56</v>
      </c>
      <c r="Y1135" s="1">
        <f>IF(ESTIMATIVA[[#This Row],[QT_AREA_REST1]]&gt;0,ESTIMATIVA[[#This Row],[QT_AREA_REST1]],
  IF(ESTIMATIVA[[#This Row],[QT_AREA_REAL]]&gt;0,ESTIMATIVA[[#This Row],[QT_AREA_REAL]],ESTIMATIVA[[#This Row],[QT_AREA_EST]]))</f>
        <v>22.56</v>
      </c>
      <c r="Z113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22.56</v>
      </c>
      <c r="AA1135" s="1">
        <f>ESTIMATIVA[[#This Row],[QT_CANA_EST]]</f>
        <v>1940.16</v>
      </c>
      <c r="AB1135" s="1">
        <f>IF(ESTIMATIVA[[#This Row],[QT_CANA_REST1]]&gt;0,ESTIMATIVA[[#This Row],[QT_CANA_REST1]],
  IF(ESTIMATIVA[[#This Row],[QT_CANA_REAL]]&gt;0,ESTIMATIVA[[#This Row],[QT_CANA_REAL]],ESTIMATIVA[[#This Row],[QT_CANA_EST]]))</f>
        <v>1985.28</v>
      </c>
      <c r="AC113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1804.8</v>
      </c>
      <c r="AD1135" s="1">
        <f>IF(ESTIMATIVA[[#This Row],[QT_AREA_REAL]]&gt;0,ESTIMATIVA[[#This Row],[QT_CANA_REAL]],ESTIMATIVA[[#This Row],[QT_CANA_EST]])</f>
        <v>1325.71</v>
      </c>
      <c r="AE1135" s="1">
        <f>IF(ESTIMATIVA[[#This Row],[QT_AREA_REAL]]&gt;0,ESTIMATIVA[[#This Row],[QT_CANA_REAL]],ESTIMATIVA[[#This Row],[QT_CANA_REST1]])</f>
        <v>1325.71</v>
      </c>
      <c r="AF1135" s="1">
        <f>IF(ESTIMATIVA[[#This Row],[QT_AREA_REAL]]&gt;0,ESTIMATIVA[[#This Row],[QT_CANA_REAL]],ESTIMATIVA[[#This Row],[QT_CANA_REST2]])</f>
        <v>1325.71</v>
      </c>
      <c r="AG1135" s="1" t="str">
        <f>IF(COUNTIFS(GEADA!A:A,VALUE(ESTIMATIVA[[#This Row],[CD_UPNIVEL1]]&amp;TEXT(ESTIMATIVA[[#This Row],[CD_UPNIVEL3]],"0000")))&gt;0,"S","N")</f>
        <v>N</v>
      </c>
      <c r="AH113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35" s="55" t="str">
        <f>IF(ESTIMATIVA[[#This Row],[TP_CULTIVO]]="Irrigado",_xlfn.MAXIFS(IRRIGADO!J:J,IRRIGADO!C:C,ESTIMATIVA[[#This Row],[CD_UPNIVEL1]],IRRIGADO!E:E,ESTIMATIVA[[#This Row],[CD_UPNIVEL3]]),"")</f>
        <v/>
      </c>
      <c r="AJ113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35" s="1">
        <f>COUNTIFS(Apresentação!$E$23:$E$29,ESTIMATIVA[[#This Row],[CD_UPNIVEL1]])</f>
        <v>0</v>
      </c>
    </row>
    <row r="1136" spans="1:37" x14ac:dyDescent="0.3">
      <c r="A1136">
        <v>20506</v>
      </c>
      <c r="B1136" t="s">
        <v>64</v>
      </c>
      <c r="C1136">
        <v>14</v>
      </c>
      <c r="D1136">
        <v>3</v>
      </c>
      <c r="E1136" t="s">
        <v>263</v>
      </c>
      <c r="F1136" s="85" t="s">
        <v>331</v>
      </c>
      <c r="G1136"/>
      <c r="H1136" t="s">
        <v>294</v>
      </c>
      <c r="I1136" t="s">
        <v>200</v>
      </c>
      <c r="J1136" t="s">
        <v>176</v>
      </c>
      <c r="K1136" s="1">
        <v>3.52</v>
      </c>
      <c r="L1136" s="1">
        <v>3.52</v>
      </c>
      <c r="M1136" s="1">
        <v>3.52</v>
      </c>
      <c r="N1136" s="1">
        <v>3.52</v>
      </c>
      <c r="O1136" s="1">
        <v>302.72000000000003</v>
      </c>
      <c r="P1136" s="1">
        <v>309.76</v>
      </c>
      <c r="Q1136" s="1">
        <v>281.60000000000002</v>
      </c>
      <c r="R1136" s="1">
        <v>441.95</v>
      </c>
      <c r="S1136" t="s">
        <v>12</v>
      </c>
      <c r="T1136" s="13">
        <v>46005</v>
      </c>
      <c r="U1136" s="1" t="str">
        <f>IF(ESTIMATIVA[[#This Row],[QT_AREA_REAL]]&gt;0,"1- Colhido","2- à Colher")</f>
        <v>1- Colhido</v>
      </c>
      <c r="V1136" s="1" t="str">
        <f>IF(ESTIMATIVA[[#This Row],[QT_AREA_REST1]]&gt;0,"Reestimativa 1",IF(ESTIMATIVA[[#This Row],[QT_AREA_REAL]]=0,"Reestimativa 1","Realizado"))</f>
        <v>Reestimativa 1</v>
      </c>
      <c r="W1136" s="1" t="str">
        <f>IF(ESTIMATIVA[[#This Row],[QT_AREA_REST2]]&gt;0,"Reestimativa 2",IF(ESTIMATIVA[[#This Row],[QT_AREA_REAL]]=0,"Reestimativa 2","Realizado"))</f>
        <v>Reestimativa 2</v>
      </c>
      <c r="X1136" s="1">
        <f>ESTIMATIVA[[#This Row],[QT_AREA_EST]]</f>
        <v>3.52</v>
      </c>
      <c r="Y1136" s="1">
        <f>IF(ESTIMATIVA[[#This Row],[QT_AREA_REST1]]&gt;0,ESTIMATIVA[[#This Row],[QT_AREA_REST1]],
  IF(ESTIMATIVA[[#This Row],[QT_AREA_REAL]]&gt;0,ESTIMATIVA[[#This Row],[QT_AREA_REAL]],ESTIMATIVA[[#This Row],[QT_AREA_EST]]))</f>
        <v>3.52</v>
      </c>
      <c r="Z113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3.52</v>
      </c>
      <c r="AA1136" s="1">
        <f>ESTIMATIVA[[#This Row],[QT_CANA_EST]]</f>
        <v>302.72000000000003</v>
      </c>
      <c r="AB1136" s="1">
        <f>IF(ESTIMATIVA[[#This Row],[QT_CANA_REST1]]&gt;0,ESTIMATIVA[[#This Row],[QT_CANA_REST1]],
  IF(ESTIMATIVA[[#This Row],[QT_CANA_REAL]]&gt;0,ESTIMATIVA[[#This Row],[QT_CANA_REAL]],ESTIMATIVA[[#This Row],[QT_CANA_EST]]))</f>
        <v>309.76</v>
      </c>
      <c r="AC113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281.60000000000002</v>
      </c>
      <c r="AD1136" s="1">
        <f>IF(ESTIMATIVA[[#This Row],[QT_AREA_REAL]]&gt;0,ESTIMATIVA[[#This Row],[QT_CANA_REAL]],ESTIMATIVA[[#This Row],[QT_CANA_EST]])</f>
        <v>441.95</v>
      </c>
      <c r="AE1136" s="1">
        <f>IF(ESTIMATIVA[[#This Row],[QT_AREA_REAL]]&gt;0,ESTIMATIVA[[#This Row],[QT_CANA_REAL]],ESTIMATIVA[[#This Row],[QT_CANA_REST1]])</f>
        <v>441.95</v>
      </c>
      <c r="AF1136" s="1">
        <f>IF(ESTIMATIVA[[#This Row],[QT_AREA_REAL]]&gt;0,ESTIMATIVA[[#This Row],[QT_CANA_REAL]],ESTIMATIVA[[#This Row],[QT_CANA_REST2]])</f>
        <v>441.95</v>
      </c>
      <c r="AG1136" s="1" t="str">
        <f>IF(COUNTIFS(GEADA!A:A,VALUE(ESTIMATIVA[[#This Row],[CD_UPNIVEL1]]&amp;TEXT(ESTIMATIVA[[#This Row],[CD_UPNIVEL3]],"0000")))&gt;0,"S","N")</f>
        <v>N</v>
      </c>
      <c r="AH113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36" s="55" t="str">
        <f>IF(ESTIMATIVA[[#This Row],[TP_CULTIVO]]="Irrigado",_xlfn.MAXIFS(IRRIGADO!J:J,IRRIGADO!C:C,ESTIMATIVA[[#This Row],[CD_UPNIVEL1]],IRRIGADO!E:E,ESTIMATIVA[[#This Row],[CD_UPNIVEL3]]),"")</f>
        <v/>
      </c>
      <c r="AJ113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36" s="1">
        <f>COUNTIFS(Apresentação!$E$23:$E$29,ESTIMATIVA[[#This Row],[CD_UPNIVEL1]])</f>
        <v>0</v>
      </c>
    </row>
    <row r="1137" spans="1:37" x14ac:dyDescent="0.3">
      <c r="A1137">
        <v>20506</v>
      </c>
      <c r="B1137" t="s">
        <v>64</v>
      </c>
      <c r="C1137">
        <v>15</v>
      </c>
      <c r="D1137">
        <v>3</v>
      </c>
      <c r="E1137" t="s">
        <v>263</v>
      </c>
      <c r="F1137" s="85" t="s">
        <v>331</v>
      </c>
      <c r="G1137"/>
      <c r="H1137" t="s">
        <v>294</v>
      </c>
      <c r="I1137" t="s">
        <v>200</v>
      </c>
      <c r="J1137" t="s">
        <v>176</v>
      </c>
      <c r="K1137" s="1">
        <v>15.66</v>
      </c>
      <c r="L1137" s="1">
        <v>15.66</v>
      </c>
      <c r="M1137" s="1">
        <v>15.66</v>
      </c>
      <c r="N1137" s="1">
        <v>15.66</v>
      </c>
      <c r="O1137" s="1">
        <v>1346.76</v>
      </c>
      <c r="P1137" s="1">
        <v>1378.08</v>
      </c>
      <c r="Q1137" s="1">
        <v>1252.8</v>
      </c>
      <c r="R1137" s="1">
        <v>889.17</v>
      </c>
      <c r="S1137" t="s">
        <v>12</v>
      </c>
      <c r="T1137" s="13">
        <v>46005</v>
      </c>
      <c r="U1137" s="1" t="str">
        <f>IF(ESTIMATIVA[[#This Row],[QT_AREA_REAL]]&gt;0,"1- Colhido","2- à Colher")</f>
        <v>1- Colhido</v>
      </c>
      <c r="V1137" s="1" t="str">
        <f>IF(ESTIMATIVA[[#This Row],[QT_AREA_REST1]]&gt;0,"Reestimativa 1",IF(ESTIMATIVA[[#This Row],[QT_AREA_REAL]]=0,"Reestimativa 1","Realizado"))</f>
        <v>Reestimativa 1</v>
      </c>
      <c r="W1137" s="1" t="str">
        <f>IF(ESTIMATIVA[[#This Row],[QT_AREA_REST2]]&gt;0,"Reestimativa 2",IF(ESTIMATIVA[[#This Row],[QT_AREA_REAL]]=0,"Reestimativa 2","Realizado"))</f>
        <v>Reestimativa 2</v>
      </c>
      <c r="X1137" s="1">
        <f>ESTIMATIVA[[#This Row],[QT_AREA_EST]]</f>
        <v>15.66</v>
      </c>
      <c r="Y1137" s="1">
        <f>IF(ESTIMATIVA[[#This Row],[QT_AREA_REST1]]&gt;0,ESTIMATIVA[[#This Row],[QT_AREA_REST1]],
  IF(ESTIMATIVA[[#This Row],[QT_AREA_REAL]]&gt;0,ESTIMATIVA[[#This Row],[QT_AREA_REAL]],ESTIMATIVA[[#This Row],[QT_AREA_EST]]))</f>
        <v>15.66</v>
      </c>
      <c r="Z113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15.66</v>
      </c>
      <c r="AA1137" s="1">
        <f>ESTIMATIVA[[#This Row],[QT_CANA_EST]]</f>
        <v>1346.76</v>
      </c>
      <c r="AB1137" s="1">
        <f>IF(ESTIMATIVA[[#This Row],[QT_CANA_REST1]]&gt;0,ESTIMATIVA[[#This Row],[QT_CANA_REST1]],
  IF(ESTIMATIVA[[#This Row],[QT_CANA_REAL]]&gt;0,ESTIMATIVA[[#This Row],[QT_CANA_REAL]],ESTIMATIVA[[#This Row],[QT_CANA_EST]]))</f>
        <v>1378.08</v>
      </c>
      <c r="AC113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1252.8</v>
      </c>
      <c r="AD1137" s="1">
        <f>IF(ESTIMATIVA[[#This Row],[QT_AREA_REAL]]&gt;0,ESTIMATIVA[[#This Row],[QT_CANA_REAL]],ESTIMATIVA[[#This Row],[QT_CANA_EST]])</f>
        <v>889.17</v>
      </c>
      <c r="AE1137" s="1">
        <f>IF(ESTIMATIVA[[#This Row],[QT_AREA_REAL]]&gt;0,ESTIMATIVA[[#This Row],[QT_CANA_REAL]],ESTIMATIVA[[#This Row],[QT_CANA_REST1]])</f>
        <v>889.17</v>
      </c>
      <c r="AF1137" s="1">
        <f>IF(ESTIMATIVA[[#This Row],[QT_AREA_REAL]]&gt;0,ESTIMATIVA[[#This Row],[QT_CANA_REAL]],ESTIMATIVA[[#This Row],[QT_CANA_REST2]])</f>
        <v>889.17</v>
      </c>
      <c r="AG1137" s="1" t="str">
        <f>IF(COUNTIFS(GEADA!A:A,VALUE(ESTIMATIVA[[#This Row],[CD_UPNIVEL1]]&amp;TEXT(ESTIMATIVA[[#This Row],[CD_UPNIVEL3]],"0000")))&gt;0,"S","N")</f>
        <v>N</v>
      </c>
      <c r="AH113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37" s="55" t="str">
        <f>IF(ESTIMATIVA[[#This Row],[TP_CULTIVO]]="Irrigado",_xlfn.MAXIFS(IRRIGADO!J:J,IRRIGADO!C:C,ESTIMATIVA[[#This Row],[CD_UPNIVEL1]],IRRIGADO!E:E,ESTIMATIVA[[#This Row],[CD_UPNIVEL3]]),"")</f>
        <v/>
      </c>
      <c r="AJ113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37" s="1">
        <f>COUNTIFS(Apresentação!$E$23:$E$29,ESTIMATIVA[[#This Row],[CD_UPNIVEL1]])</f>
        <v>0</v>
      </c>
    </row>
    <row r="1138" spans="1:37" x14ac:dyDescent="0.3">
      <c r="A1138">
        <v>20506</v>
      </c>
      <c r="B1138" t="s">
        <v>64</v>
      </c>
      <c r="C1138">
        <v>5006</v>
      </c>
      <c r="D1138">
        <v>2</v>
      </c>
      <c r="E1138" t="s">
        <v>266</v>
      </c>
      <c r="F1138" s="85" t="s">
        <v>333</v>
      </c>
      <c r="G1138"/>
      <c r="H1138" t="s">
        <v>294</v>
      </c>
      <c r="I1138" t="s">
        <v>207</v>
      </c>
      <c r="J1138" t="s">
        <v>176</v>
      </c>
      <c r="K1138" s="1">
        <v>6.47</v>
      </c>
      <c r="L1138" s="1">
        <v>0</v>
      </c>
      <c r="M1138" s="1">
        <v>0</v>
      </c>
      <c r="N1138" s="1">
        <v>6.47</v>
      </c>
      <c r="O1138" s="1">
        <v>582.29999999999995</v>
      </c>
      <c r="P1138" s="1">
        <v>0</v>
      </c>
      <c r="Q1138" s="1">
        <v>0</v>
      </c>
      <c r="R1138" s="1">
        <v>571.28</v>
      </c>
      <c r="S1138" t="s">
        <v>12</v>
      </c>
      <c r="T1138" s="13">
        <v>45802</v>
      </c>
      <c r="U1138" s="1" t="str">
        <f>IF(ESTIMATIVA[[#This Row],[QT_AREA_REAL]]&gt;0,"1- Colhido","2- à Colher")</f>
        <v>1- Colhido</v>
      </c>
      <c r="V1138" s="1" t="str">
        <f>IF(ESTIMATIVA[[#This Row],[QT_AREA_REST1]]&gt;0,"Reestimativa 1",IF(ESTIMATIVA[[#This Row],[QT_AREA_REAL]]=0,"Reestimativa 1","Realizado"))</f>
        <v>Realizado</v>
      </c>
      <c r="W1138" s="1" t="str">
        <f>IF(ESTIMATIVA[[#This Row],[QT_AREA_REST2]]&gt;0,"Reestimativa 2",IF(ESTIMATIVA[[#This Row],[QT_AREA_REAL]]=0,"Reestimativa 2","Realizado"))</f>
        <v>Realizado</v>
      </c>
      <c r="X1138" s="1">
        <f>ESTIMATIVA[[#This Row],[QT_AREA_EST]]</f>
        <v>6.47</v>
      </c>
      <c r="Y1138" s="1">
        <f>IF(ESTIMATIVA[[#This Row],[QT_AREA_REST1]]&gt;0,ESTIMATIVA[[#This Row],[QT_AREA_REST1]],
  IF(ESTIMATIVA[[#This Row],[QT_AREA_REAL]]&gt;0,ESTIMATIVA[[#This Row],[QT_AREA_REAL]],ESTIMATIVA[[#This Row],[QT_AREA_EST]]))</f>
        <v>6.47</v>
      </c>
      <c r="Z113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6.47</v>
      </c>
      <c r="AA1138" s="1">
        <f>ESTIMATIVA[[#This Row],[QT_CANA_EST]]</f>
        <v>582.29999999999995</v>
      </c>
      <c r="AB1138" s="1">
        <f>IF(ESTIMATIVA[[#This Row],[QT_CANA_REST1]]&gt;0,ESTIMATIVA[[#This Row],[QT_CANA_REST1]],
  IF(ESTIMATIVA[[#This Row],[QT_CANA_REAL]]&gt;0,ESTIMATIVA[[#This Row],[QT_CANA_REAL]],ESTIMATIVA[[#This Row],[QT_CANA_EST]]))</f>
        <v>571.28</v>
      </c>
      <c r="AC113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571.28</v>
      </c>
      <c r="AD1138" s="1">
        <f>IF(ESTIMATIVA[[#This Row],[QT_AREA_REAL]]&gt;0,ESTIMATIVA[[#This Row],[QT_CANA_REAL]],ESTIMATIVA[[#This Row],[QT_CANA_EST]])</f>
        <v>571.28</v>
      </c>
      <c r="AE1138" s="1">
        <f>IF(ESTIMATIVA[[#This Row],[QT_AREA_REAL]]&gt;0,ESTIMATIVA[[#This Row],[QT_CANA_REAL]],ESTIMATIVA[[#This Row],[QT_CANA_REST1]])</f>
        <v>571.28</v>
      </c>
      <c r="AF1138" s="1">
        <f>IF(ESTIMATIVA[[#This Row],[QT_AREA_REAL]]&gt;0,ESTIMATIVA[[#This Row],[QT_CANA_REAL]],ESTIMATIVA[[#This Row],[QT_CANA_REST2]])</f>
        <v>571.28</v>
      </c>
      <c r="AG1138" s="1" t="str">
        <f>IF(COUNTIFS(GEADA!A:A,VALUE(ESTIMATIVA[[#This Row],[CD_UPNIVEL1]]&amp;TEXT(ESTIMATIVA[[#This Row],[CD_UPNIVEL3]],"0000")))&gt;0,"S","N")</f>
        <v>N</v>
      </c>
      <c r="AH113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38" s="55" t="str">
        <f>IF(ESTIMATIVA[[#This Row],[TP_CULTIVO]]="Irrigado",_xlfn.MAXIFS(IRRIGADO!J:J,IRRIGADO!C:C,ESTIMATIVA[[#This Row],[CD_UPNIVEL1]],IRRIGADO!E:E,ESTIMATIVA[[#This Row],[CD_UPNIVEL3]]),"")</f>
        <v/>
      </c>
      <c r="AJ113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38" s="1">
        <f>COUNTIFS(Apresentação!$E$23:$E$29,ESTIMATIVA[[#This Row],[CD_UPNIVEL1]])</f>
        <v>0</v>
      </c>
    </row>
    <row r="1139" spans="1:37" x14ac:dyDescent="0.3">
      <c r="A1139">
        <v>20506</v>
      </c>
      <c r="B1139" t="s">
        <v>64</v>
      </c>
      <c r="C1139">
        <v>5007</v>
      </c>
      <c r="D1139">
        <v>2</v>
      </c>
      <c r="E1139" t="s">
        <v>266</v>
      </c>
      <c r="F1139" s="85" t="s">
        <v>333</v>
      </c>
      <c r="G1139"/>
      <c r="H1139" t="s">
        <v>294</v>
      </c>
      <c r="I1139" t="s">
        <v>220</v>
      </c>
      <c r="J1139" t="s">
        <v>176</v>
      </c>
      <c r="K1139" s="1">
        <v>3.57</v>
      </c>
      <c r="L1139" s="1">
        <v>0</v>
      </c>
      <c r="M1139" s="1">
        <v>0</v>
      </c>
      <c r="N1139" s="1">
        <v>3.57</v>
      </c>
      <c r="O1139" s="1">
        <v>321.3</v>
      </c>
      <c r="P1139" s="1">
        <v>0</v>
      </c>
      <c r="Q1139" s="1">
        <v>0</v>
      </c>
      <c r="R1139" s="1">
        <v>316.43</v>
      </c>
      <c r="S1139" t="s">
        <v>12</v>
      </c>
      <c r="T1139" s="13">
        <v>45802</v>
      </c>
      <c r="U1139" s="1" t="str">
        <f>IF(ESTIMATIVA[[#This Row],[QT_AREA_REAL]]&gt;0,"1- Colhido","2- à Colher")</f>
        <v>1- Colhido</v>
      </c>
      <c r="V1139" s="1" t="str">
        <f>IF(ESTIMATIVA[[#This Row],[QT_AREA_REST1]]&gt;0,"Reestimativa 1",IF(ESTIMATIVA[[#This Row],[QT_AREA_REAL]]=0,"Reestimativa 1","Realizado"))</f>
        <v>Realizado</v>
      </c>
      <c r="W1139" s="1" t="str">
        <f>IF(ESTIMATIVA[[#This Row],[QT_AREA_REST2]]&gt;0,"Reestimativa 2",IF(ESTIMATIVA[[#This Row],[QT_AREA_REAL]]=0,"Reestimativa 2","Realizado"))</f>
        <v>Realizado</v>
      </c>
      <c r="X1139" s="1">
        <f>ESTIMATIVA[[#This Row],[QT_AREA_EST]]</f>
        <v>3.57</v>
      </c>
      <c r="Y1139" s="1">
        <f>IF(ESTIMATIVA[[#This Row],[QT_AREA_REST1]]&gt;0,ESTIMATIVA[[#This Row],[QT_AREA_REST1]],
  IF(ESTIMATIVA[[#This Row],[QT_AREA_REAL]]&gt;0,ESTIMATIVA[[#This Row],[QT_AREA_REAL]],ESTIMATIVA[[#This Row],[QT_AREA_EST]]))</f>
        <v>3.57</v>
      </c>
      <c r="Z113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3.57</v>
      </c>
      <c r="AA1139" s="1">
        <f>ESTIMATIVA[[#This Row],[QT_CANA_EST]]</f>
        <v>321.3</v>
      </c>
      <c r="AB1139" s="1">
        <f>IF(ESTIMATIVA[[#This Row],[QT_CANA_REST1]]&gt;0,ESTIMATIVA[[#This Row],[QT_CANA_REST1]],
  IF(ESTIMATIVA[[#This Row],[QT_CANA_REAL]]&gt;0,ESTIMATIVA[[#This Row],[QT_CANA_REAL]],ESTIMATIVA[[#This Row],[QT_CANA_EST]]))</f>
        <v>316.43</v>
      </c>
      <c r="AC113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316.43</v>
      </c>
      <c r="AD1139" s="1">
        <f>IF(ESTIMATIVA[[#This Row],[QT_AREA_REAL]]&gt;0,ESTIMATIVA[[#This Row],[QT_CANA_REAL]],ESTIMATIVA[[#This Row],[QT_CANA_EST]])</f>
        <v>316.43</v>
      </c>
      <c r="AE1139" s="1">
        <f>IF(ESTIMATIVA[[#This Row],[QT_AREA_REAL]]&gt;0,ESTIMATIVA[[#This Row],[QT_CANA_REAL]],ESTIMATIVA[[#This Row],[QT_CANA_REST1]])</f>
        <v>316.43</v>
      </c>
      <c r="AF1139" s="1">
        <f>IF(ESTIMATIVA[[#This Row],[QT_AREA_REAL]]&gt;0,ESTIMATIVA[[#This Row],[QT_CANA_REAL]],ESTIMATIVA[[#This Row],[QT_CANA_REST2]])</f>
        <v>316.43</v>
      </c>
      <c r="AG1139" s="1" t="str">
        <f>IF(COUNTIFS(GEADA!A:A,VALUE(ESTIMATIVA[[#This Row],[CD_UPNIVEL1]]&amp;TEXT(ESTIMATIVA[[#This Row],[CD_UPNIVEL3]],"0000")))&gt;0,"S","N")</f>
        <v>N</v>
      </c>
      <c r="AH113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39" s="55" t="str">
        <f>IF(ESTIMATIVA[[#This Row],[TP_CULTIVO]]="Irrigado",_xlfn.MAXIFS(IRRIGADO!J:J,IRRIGADO!C:C,ESTIMATIVA[[#This Row],[CD_UPNIVEL1]],IRRIGADO!E:E,ESTIMATIVA[[#This Row],[CD_UPNIVEL3]]),"")</f>
        <v/>
      </c>
      <c r="AJ113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39" s="1">
        <f>COUNTIFS(Apresentação!$E$23:$E$29,ESTIMATIVA[[#This Row],[CD_UPNIVEL1]])</f>
        <v>0</v>
      </c>
    </row>
    <row r="1140" spans="1:37" x14ac:dyDescent="0.3">
      <c r="A1140">
        <v>20506</v>
      </c>
      <c r="B1140" t="s">
        <v>64</v>
      </c>
      <c r="C1140">
        <v>5008</v>
      </c>
      <c r="D1140">
        <v>2</v>
      </c>
      <c r="E1140" t="s">
        <v>266</v>
      </c>
      <c r="F1140" s="85" t="s">
        <v>331</v>
      </c>
      <c r="G1140"/>
      <c r="H1140" t="s">
        <v>294</v>
      </c>
      <c r="I1140" t="s">
        <v>207</v>
      </c>
      <c r="J1140" t="s">
        <v>176</v>
      </c>
      <c r="K1140" s="1">
        <v>20.03</v>
      </c>
      <c r="L1140" s="1">
        <v>0</v>
      </c>
      <c r="M1140" s="1">
        <v>0</v>
      </c>
      <c r="N1140" s="1">
        <v>20.03</v>
      </c>
      <c r="O1140" s="1">
        <v>1802.7</v>
      </c>
      <c r="P1140" s="1">
        <v>0</v>
      </c>
      <c r="Q1140" s="1">
        <v>0</v>
      </c>
      <c r="R1140" s="1">
        <v>1620.56</v>
      </c>
      <c r="S1140" t="s">
        <v>12</v>
      </c>
      <c r="T1140" s="13">
        <v>45802</v>
      </c>
      <c r="U1140" s="1" t="str">
        <f>IF(ESTIMATIVA[[#This Row],[QT_AREA_REAL]]&gt;0,"1- Colhido","2- à Colher")</f>
        <v>1- Colhido</v>
      </c>
      <c r="V1140" s="1" t="str">
        <f>IF(ESTIMATIVA[[#This Row],[QT_AREA_REST1]]&gt;0,"Reestimativa 1",IF(ESTIMATIVA[[#This Row],[QT_AREA_REAL]]=0,"Reestimativa 1","Realizado"))</f>
        <v>Realizado</v>
      </c>
      <c r="W1140" s="1" t="str">
        <f>IF(ESTIMATIVA[[#This Row],[QT_AREA_REST2]]&gt;0,"Reestimativa 2",IF(ESTIMATIVA[[#This Row],[QT_AREA_REAL]]=0,"Reestimativa 2","Realizado"))</f>
        <v>Realizado</v>
      </c>
      <c r="X1140" s="1">
        <f>ESTIMATIVA[[#This Row],[QT_AREA_EST]]</f>
        <v>20.03</v>
      </c>
      <c r="Y1140" s="1">
        <f>IF(ESTIMATIVA[[#This Row],[QT_AREA_REST1]]&gt;0,ESTIMATIVA[[#This Row],[QT_AREA_REST1]],
  IF(ESTIMATIVA[[#This Row],[QT_AREA_REAL]]&gt;0,ESTIMATIVA[[#This Row],[QT_AREA_REAL]],ESTIMATIVA[[#This Row],[QT_AREA_EST]]))</f>
        <v>20.03</v>
      </c>
      <c r="Z114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20.03</v>
      </c>
      <c r="AA1140" s="1">
        <f>ESTIMATIVA[[#This Row],[QT_CANA_EST]]</f>
        <v>1802.7</v>
      </c>
      <c r="AB1140" s="1">
        <f>IF(ESTIMATIVA[[#This Row],[QT_CANA_REST1]]&gt;0,ESTIMATIVA[[#This Row],[QT_CANA_REST1]],
  IF(ESTIMATIVA[[#This Row],[QT_CANA_REAL]]&gt;0,ESTIMATIVA[[#This Row],[QT_CANA_REAL]],ESTIMATIVA[[#This Row],[QT_CANA_EST]]))</f>
        <v>1620.56</v>
      </c>
      <c r="AC114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1620.56</v>
      </c>
      <c r="AD1140" s="1">
        <f>IF(ESTIMATIVA[[#This Row],[QT_AREA_REAL]]&gt;0,ESTIMATIVA[[#This Row],[QT_CANA_REAL]],ESTIMATIVA[[#This Row],[QT_CANA_EST]])</f>
        <v>1620.56</v>
      </c>
      <c r="AE1140" s="1">
        <f>IF(ESTIMATIVA[[#This Row],[QT_AREA_REAL]]&gt;0,ESTIMATIVA[[#This Row],[QT_CANA_REAL]],ESTIMATIVA[[#This Row],[QT_CANA_REST1]])</f>
        <v>1620.56</v>
      </c>
      <c r="AF1140" s="1">
        <f>IF(ESTIMATIVA[[#This Row],[QT_AREA_REAL]]&gt;0,ESTIMATIVA[[#This Row],[QT_CANA_REAL]],ESTIMATIVA[[#This Row],[QT_CANA_REST2]])</f>
        <v>1620.56</v>
      </c>
      <c r="AG1140" s="1" t="str">
        <f>IF(COUNTIFS(GEADA!A:A,VALUE(ESTIMATIVA[[#This Row],[CD_UPNIVEL1]]&amp;TEXT(ESTIMATIVA[[#This Row],[CD_UPNIVEL3]],"0000")))&gt;0,"S","N")</f>
        <v>N</v>
      </c>
      <c r="AH114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40" s="55" t="str">
        <f>IF(ESTIMATIVA[[#This Row],[TP_CULTIVO]]="Irrigado",_xlfn.MAXIFS(IRRIGADO!J:J,IRRIGADO!C:C,ESTIMATIVA[[#This Row],[CD_UPNIVEL1]],IRRIGADO!E:E,ESTIMATIVA[[#This Row],[CD_UPNIVEL3]]),"")</f>
        <v/>
      </c>
      <c r="AJ114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40" s="1">
        <f>COUNTIFS(Apresentação!$E$23:$E$29,ESTIMATIVA[[#This Row],[CD_UPNIVEL1]])</f>
        <v>0</v>
      </c>
    </row>
    <row r="1141" spans="1:37" x14ac:dyDescent="0.3">
      <c r="A1141">
        <v>20507</v>
      </c>
      <c r="B1141" t="s">
        <v>65</v>
      </c>
      <c r="C1141">
        <v>1</v>
      </c>
      <c r="D1141">
        <v>2</v>
      </c>
      <c r="E1141" t="s">
        <v>266</v>
      </c>
      <c r="F1141" s="85" t="s">
        <v>331</v>
      </c>
      <c r="G1141"/>
      <c r="H1141" t="s">
        <v>294</v>
      </c>
      <c r="I1141" t="s">
        <v>205</v>
      </c>
      <c r="J1141" t="s">
        <v>175</v>
      </c>
      <c r="K1141" s="1">
        <v>14.7</v>
      </c>
      <c r="L1141" s="1">
        <v>14.7</v>
      </c>
      <c r="M1141" s="1">
        <v>0</v>
      </c>
      <c r="N1141" s="1">
        <v>14.7</v>
      </c>
      <c r="O1141" s="1">
        <v>1278.9000000000001</v>
      </c>
      <c r="P1141" s="1">
        <v>1323</v>
      </c>
      <c r="Q1141" s="1">
        <v>0</v>
      </c>
      <c r="R1141" s="1">
        <v>1296.83</v>
      </c>
      <c r="S1141" t="s">
        <v>12</v>
      </c>
      <c r="T1141" s="13">
        <v>45865</v>
      </c>
      <c r="U1141" s="1" t="str">
        <f>IF(ESTIMATIVA[[#This Row],[QT_AREA_REAL]]&gt;0,"1- Colhido","2- à Colher")</f>
        <v>1- Colhido</v>
      </c>
      <c r="V1141" s="1" t="str">
        <f>IF(ESTIMATIVA[[#This Row],[QT_AREA_REST1]]&gt;0,"Reestimativa 1",IF(ESTIMATIVA[[#This Row],[QT_AREA_REAL]]=0,"Reestimativa 1","Realizado"))</f>
        <v>Reestimativa 1</v>
      </c>
      <c r="W1141" s="1" t="str">
        <f>IF(ESTIMATIVA[[#This Row],[QT_AREA_REST2]]&gt;0,"Reestimativa 2",IF(ESTIMATIVA[[#This Row],[QT_AREA_REAL]]=0,"Reestimativa 2","Realizado"))</f>
        <v>Realizado</v>
      </c>
      <c r="X1141" s="1">
        <f>ESTIMATIVA[[#This Row],[QT_AREA_EST]]</f>
        <v>14.7</v>
      </c>
      <c r="Y1141" s="1">
        <f>IF(ESTIMATIVA[[#This Row],[QT_AREA_REST1]]&gt;0,ESTIMATIVA[[#This Row],[QT_AREA_REST1]],
  IF(ESTIMATIVA[[#This Row],[QT_AREA_REAL]]&gt;0,ESTIMATIVA[[#This Row],[QT_AREA_REAL]],ESTIMATIVA[[#This Row],[QT_AREA_EST]]))</f>
        <v>14.7</v>
      </c>
      <c r="Z114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14.7</v>
      </c>
      <c r="AA1141" s="1">
        <f>ESTIMATIVA[[#This Row],[QT_CANA_EST]]</f>
        <v>1278.9000000000001</v>
      </c>
      <c r="AB1141" s="1">
        <f>IF(ESTIMATIVA[[#This Row],[QT_CANA_REST1]]&gt;0,ESTIMATIVA[[#This Row],[QT_CANA_REST1]],
  IF(ESTIMATIVA[[#This Row],[QT_CANA_REAL]]&gt;0,ESTIMATIVA[[#This Row],[QT_CANA_REAL]],ESTIMATIVA[[#This Row],[QT_CANA_EST]]))</f>
        <v>1323</v>
      </c>
      <c r="AC114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1296.83</v>
      </c>
      <c r="AD1141" s="1">
        <f>IF(ESTIMATIVA[[#This Row],[QT_AREA_REAL]]&gt;0,ESTIMATIVA[[#This Row],[QT_CANA_REAL]],ESTIMATIVA[[#This Row],[QT_CANA_EST]])</f>
        <v>1296.83</v>
      </c>
      <c r="AE1141" s="1">
        <f>IF(ESTIMATIVA[[#This Row],[QT_AREA_REAL]]&gt;0,ESTIMATIVA[[#This Row],[QT_CANA_REAL]],ESTIMATIVA[[#This Row],[QT_CANA_REST1]])</f>
        <v>1296.83</v>
      </c>
      <c r="AF1141" s="1">
        <f>IF(ESTIMATIVA[[#This Row],[QT_AREA_REAL]]&gt;0,ESTIMATIVA[[#This Row],[QT_CANA_REAL]],ESTIMATIVA[[#This Row],[QT_CANA_REST2]])</f>
        <v>1296.83</v>
      </c>
      <c r="AG1141" s="1" t="str">
        <f>IF(COUNTIFS(GEADA!A:A,VALUE(ESTIMATIVA[[#This Row],[CD_UPNIVEL1]]&amp;TEXT(ESTIMATIVA[[#This Row],[CD_UPNIVEL3]],"0000")))&gt;0,"S","N")</f>
        <v>N</v>
      </c>
      <c r="AH114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41" s="55" t="str">
        <f>IF(ESTIMATIVA[[#This Row],[TP_CULTIVO]]="Irrigado",_xlfn.MAXIFS(IRRIGADO!J:J,IRRIGADO!C:C,ESTIMATIVA[[#This Row],[CD_UPNIVEL1]],IRRIGADO!E:E,ESTIMATIVA[[#This Row],[CD_UPNIVEL3]]),"")</f>
        <v/>
      </c>
      <c r="AJ114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41" s="1">
        <f>COUNTIFS(Apresentação!$E$23:$E$29,ESTIMATIVA[[#This Row],[CD_UPNIVEL1]])</f>
        <v>0</v>
      </c>
    </row>
    <row r="1142" spans="1:37" x14ac:dyDescent="0.3">
      <c r="A1142">
        <v>20507</v>
      </c>
      <c r="B1142" t="s">
        <v>65</v>
      </c>
      <c r="C1142">
        <v>2</v>
      </c>
      <c r="D1142">
        <v>2</v>
      </c>
      <c r="E1142" t="s">
        <v>266</v>
      </c>
      <c r="F1142" s="85" t="s">
        <v>331</v>
      </c>
      <c r="G1142"/>
      <c r="H1142" t="s">
        <v>294</v>
      </c>
      <c r="I1142" t="s">
        <v>205</v>
      </c>
      <c r="J1142" t="s">
        <v>175</v>
      </c>
      <c r="K1142" s="1">
        <v>12.1</v>
      </c>
      <c r="L1142" s="1">
        <v>12.1</v>
      </c>
      <c r="M1142" s="1">
        <v>0</v>
      </c>
      <c r="N1142" s="1">
        <v>12.1</v>
      </c>
      <c r="O1142" s="1">
        <v>1052.7</v>
      </c>
      <c r="P1142" s="1">
        <v>1089</v>
      </c>
      <c r="Q1142" s="1">
        <v>0</v>
      </c>
      <c r="R1142" s="1">
        <v>1350.77</v>
      </c>
      <c r="S1142" t="s">
        <v>12</v>
      </c>
      <c r="T1142" s="13">
        <v>45865</v>
      </c>
      <c r="U1142" s="1" t="str">
        <f>IF(ESTIMATIVA[[#This Row],[QT_AREA_REAL]]&gt;0,"1- Colhido","2- à Colher")</f>
        <v>1- Colhido</v>
      </c>
      <c r="V1142" s="1" t="str">
        <f>IF(ESTIMATIVA[[#This Row],[QT_AREA_REST1]]&gt;0,"Reestimativa 1",IF(ESTIMATIVA[[#This Row],[QT_AREA_REAL]]=0,"Reestimativa 1","Realizado"))</f>
        <v>Reestimativa 1</v>
      </c>
      <c r="W1142" s="1" t="str">
        <f>IF(ESTIMATIVA[[#This Row],[QT_AREA_REST2]]&gt;0,"Reestimativa 2",IF(ESTIMATIVA[[#This Row],[QT_AREA_REAL]]=0,"Reestimativa 2","Realizado"))</f>
        <v>Realizado</v>
      </c>
      <c r="X1142" s="1">
        <f>ESTIMATIVA[[#This Row],[QT_AREA_EST]]</f>
        <v>12.1</v>
      </c>
      <c r="Y1142" s="1">
        <f>IF(ESTIMATIVA[[#This Row],[QT_AREA_REST1]]&gt;0,ESTIMATIVA[[#This Row],[QT_AREA_REST1]],
  IF(ESTIMATIVA[[#This Row],[QT_AREA_REAL]]&gt;0,ESTIMATIVA[[#This Row],[QT_AREA_REAL]],ESTIMATIVA[[#This Row],[QT_AREA_EST]]))</f>
        <v>12.1</v>
      </c>
      <c r="Z114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12.1</v>
      </c>
      <c r="AA1142" s="1">
        <f>ESTIMATIVA[[#This Row],[QT_CANA_EST]]</f>
        <v>1052.7</v>
      </c>
      <c r="AB1142" s="1">
        <f>IF(ESTIMATIVA[[#This Row],[QT_CANA_REST1]]&gt;0,ESTIMATIVA[[#This Row],[QT_CANA_REST1]],
  IF(ESTIMATIVA[[#This Row],[QT_CANA_REAL]]&gt;0,ESTIMATIVA[[#This Row],[QT_CANA_REAL]],ESTIMATIVA[[#This Row],[QT_CANA_EST]]))</f>
        <v>1089</v>
      </c>
      <c r="AC114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1350.77</v>
      </c>
      <c r="AD1142" s="1">
        <f>IF(ESTIMATIVA[[#This Row],[QT_AREA_REAL]]&gt;0,ESTIMATIVA[[#This Row],[QT_CANA_REAL]],ESTIMATIVA[[#This Row],[QT_CANA_EST]])</f>
        <v>1350.77</v>
      </c>
      <c r="AE1142" s="1">
        <f>IF(ESTIMATIVA[[#This Row],[QT_AREA_REAL]]&gt;0,ESTIMATIVA[[#This Row],[QT_CANA_REAL]],ESTIMATIVA[[#This Row],[QT_CANA_REST1]])</f>
        <v>1350.77</v>
      </c>
      <c r="AF1142" s="1">
        <f>IF(ESTIMATIVA[[#This Row],[QT_AREA_REAL]]&gt;0,ESTIMATIVA[[#This Row],[QT_CANA_REAL]],ESTIMATIVA[[#This Row],[QT_CANA_REST2]])</f>
        <v>1350.77</v>
      </c>
      <c r="AG1142" s="1" t="str">
        <f>IF(COUNTIFS(GEADA!A:A,VALUE(ESTIMATIVA[[#This Row],[CD_UPNIVEL1]]&amp;TEXT(ESTIMATIVA[[#This Row],[CD_UPNIVEL3]],"0000")))&gt;0,"S","N")</f>
        <v>N</v>
      </c>
      <c r="AH114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42" s="55" t="str">
        <f>IF(ESTIMATIVA[[#This Row],[TP_CULTIVO]]="Irrigado",_xlfn.MAXIFS(IRRIGADO!J:J,IRRIGADO!C:C,ESTIMATIVA[[#This Row],[CD_UPNIVEL1]],IRRIGADO!E:E,ESTIMATIVA[[#This Row],[CD_UPNIVEL3]]),"")</f>
        <v/>
      </c>
      <c r="AJ114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42" s="1">
        <f>COUNTIFS(Apresentação!$E$23:$E$29,ESTIMATIVA[[#This Row],[CD_UPNIVEL1]])</f>
        <v>0</v>
      </c>
    </row>
    <row r="1143" spans="1:37" x14ac:dyDescent="0.3">
      <c r="A1143">
        <v>20507</v>
      </c>
      <c r="B1143" t="s">
        <v>65</v>
      </c>
      <c r="C1143">
        <v>3</v>
      </c>
      <c r="D1143">
        <v>2</v>
      </c>
      <c r="E1143" t="s">
        <v>266</v>
      </c>
      <c r="F1143" s="85" t="s">
        <v>331</v>
      </c>
      <c r="G1143"/>
      <c r="H1143" t="s">
        <v>294</v>
      </c>
      <c r="I1143" t="s">
        <v>205</v>
      </c>
      <c r="J1143" t="s">
        <v>175</v>
      </c>
      <c r="K1143" s="1">
        <v>25.5</v>
      </c>
      <c r="L1143" s="1">
        <v>25.5</v>
      </c>
      <c r="M1143" s="1">
        <v>0</v>
      </c>
      <c r="N1143" s="1">
        <v>25.5</v>
      </c>
      <c r="O1143" s="1">
        <v>2167.5</v>
      </c>
      <c r="P1143" s="1">
        <v>2167.5</v>
      </c>
      <c r="Q1143" s="1">
        <v>0</v>
      </c>
      <c r="R1143" s="1">
        <v>2689.26</v>
      </c>
      <c r="S1143" t="s">
        <v>12</v>
      </c>
      <c r="T1143" s="13">
        <v>45865</v>
      </c>
      <c r="U1143" s="1" t="str">
        <f>IF(ESTIMATIVA[[#This Row],[QT_AREA_REAL]]&gt;0,"1- Colhido","2- à Colher")</f>
        <v>1- Colhido</v>
      </c>
      <c r="V1143" s="1" t="str">
        <f>IF(ESTIMATIVA[[#This Row],[QT_AREA_REST1]]&gt;0,"Reestimativa 1",IF(ESTIMATIVA[[#This Row],[QT_AREA_REAL]]=0,"Reestimativa 1","Realizado"))</f>
        <v>Reestimativa 1</v>
      </c>
      <c r="W1143" s="1" t="str">
        <f>IF(ESTIMATIVA[[#This Row],[QT_AREA_REST2]]&gt;0,"Reestimativa 2",IF(ESTIMATIVA[[#This Row],[QT_AREA_REAL]]=0,"Reestimativa 2","Realizado"))</f>
        <v>Realizado</v>
      </c>
      <c r="X1143" s="1">
        <f>ESTIMATIVA[[#This Row],[QT_AREA_EST]]</f>
        <v>25.5</v>
      </c>
      <c r="Y1143" s="1">
        <f>IF(ESTIMATIVA[[#This Row],[QT_AREA_REST1]]&gt;0,ESTIMATIVA[[#This Row],[QT_AREA_REST1]],
  IF(ESTIMATIVA[[#This Row],[QT_AREA_REAL]]&gt;0,ESTIMATIVA[[#This Row],[QT_AREA_REAL]],ESTIMATIVA[[#This Row],[QT_AREA_EST]]))</f>
        <v>25.5</v>
      </c>
      <c r="Z114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25.5</v>
      </c>
      <c r="AA1143" s="1">
        <f>ESTIMATIVA[[#This Row],[QT_CANA_EST]]</f>
        <v>2167.5</v>
      </c>
      <c r="AB1143" s="1">
        <f>IF(ESTIMATIVA[[#This Row],[QT_CANA_REST1]]&gt;0,ESTIMATIVA[[#This Row],[QT_CANA_REST1]],
  IF(ESTIMATIVA[[#This Row],[QT_CANA_REAL]]&gt;0,ESTIMATIVA[[#This Row],[QT_CANA_REAL]],ESTIMATIVA[[#This Row],[QT_CANA_EST]]))</f>
        <v>2167.5</v>
      </c>
      <c r="AC114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2689.26</v>
      </c>
      <c r="AD1143" s="1">
        <f>IF(ESTIMATIVA[[#This Row],[QT_AREA_REAL]]&gt;0,ESTIMATIVA[[#This Row],[QT_CANA_REAL]],ESTIMATIVA[[#This Row],[QT_CANA_EST]])</f>
        <v>2689.26</v>
      </c>
      <c r="AE1143" s="1">
        <f>IF(ESTIMATIVA[[#This Row],[QT_AREA_REAL]]&gt;0,ESTIMATIVA[[#This Row],[QT_CANA_REAL]],ESTIMATIVA[[#This Row],[QT_CANA_REST1]])</f>
        <v>2689.26</v>
      </c>
      <c r="AF1143" s="1">
        <f>IF(ESTIMATIVA[[#This Row],[QT_AREA_REAL]]&gt;0,ESTIMATIVA[[#This Row],[QT_CANA_REAL]],ESTIMATIVA[[#This Row],[QT_CANA_REST2]])</f>
        <v>2689.26</v>
      </c>
      <c r="AG1143" s="1" t="str">
        <f>IF(COUNTIFS(GEADA!A:A,VALUE(ESTIMATIVA[[#This Row],[CD_UPNIVEL1]]&amp;TEXT(ESTIMATIVA[[#This Row],[CD_UPNIVEL3]],"0000")))&gt;0,"S","N")</f>
        <v>N</v>
      </c>
      <c r="AH114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43" s="55" t="str">
        <f>IF(ESTIMATIVA[[#This Row],[TP_CULTIVO]]="Irrigado",_xlfn.MAXIFS(IRRIGADO!J:J,IRRIGADO!C:C,ESTIMATIVA[[#This Row],[CD_UPNIVEL1]],IRRIGADO!E:E,ESTIMATIVA[[#This Row],[CD_UPNIVEL3]]),"")</f>
        <v/>
      </c>
      <c r="AJ114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43" s="1">
        <f>COUNTIFS(Apresentação!$E$23:$E$29,ESTIMATIVA[[#This Row],[CD_UPNIVEL1]])</f>
        <v>0</v>
      </c>
    </row>
    <row r="1144" spans="1:37" x14ac:dyDescent="0.3">
      <c r="A1144">
        <v>20507</v>
      </c>
      <c r="B1144" t="s">
        <v>65</v>
      </c>
      <c r="C1144">
        <v>4</v>
      </c>
      <c r="D1144">
        <v>2</v>
      </c>
      <c r="E1144" t="s">
        <v>266</v>
      </c>
      <c r="F1144" s="85" t="s">
        <v>331</v>
      </c>
      <c r="G1144"/>
      <c r="H1144" t="s">
        <v>294</v>
      </c>
      <c r="I1144" t="s">
        <v>205</v>
      </c>
      <c r="J1144" t="s">
        <v>175</v>
      </c>
      <c r="K1144" s="1">
        <v>30.99</v>
      </c>
      <c r="L1144" s="1">
        <v>30.99</v>
      </c>
      <c r="M1144" s="1">
        <v>0</v>
      </c>
      <c r="N1144" s="1">
        <v>30.99</v>
      </c>
      <c r="O1144" s="1">
        <v>2634.15</v>
      </c>
      <c r="P1144" s="1">
        <v>2634.15</v>
      </c>
      <c r="Q1144" s="1">
        <v>0</v>
      </c>
      <c r="R1144" s="1">
        <v>2581.9899999999998</v>
      </c>
      <c r="S1144" t="s">
        <v>12</v>
      </c>
      <c r="T1144" s="13">
        <v>45865</v>
      </c>
      <c r="U1144" s="1" t="str">
        <f>IF(ESTIMATIVA[[#This Row],[QT_AREA_REAL]]&gt;0,"1- Colhido","2- à Colher")</f>
        <v>1- Colhido</v>
      </c>
      <c r="V1144" s="1" t="str">
        <f>IF(ESTIMATIVA[[#This Row],[QT_AREA_REST1]]&gt;0,"Reestimativa 1",IF(ESTIMATIVA[[#This Row],[QT_AREA_REAL]]=0,"Reestimativa 1","Realizado"))</f>
        <v>Reestimativa 1</v>
      </c>
      <c r="W1144" s="1" t="str">
        <f>IF(ESTIMATIVA[[#This Row],[QT_AREA_REST2]]&gt;0,"Reestimativa 2",IF(ESTIMATIVA[[#This Row],[QT_AREA_REAL]]=0,"Reestimativa 2","Realizado"))</f>
        <v>Realizado</v>
      </c>
      <c r="X1144" s="1">
        <f>ESTIMATIVA[[#This Row],[QT_AREA_EST]]</f>
        <v>30.99</v>
      </c>
      <c r="Y1144" s="1">
        <f>IF(ESTIMATIVA[[#This Row],[QT_AREA_REST1]]&gt;0,ESTIMATIVA[[#This Row],[QT_AREA_REST1]],
  IF(ESTIMATIVA[[#This Row],[QT_AREA_REAL]]&gt;0,ESTIMATIVA[[#This Row],[QT_AREA_REAL]],ESTIMATIVA[[#This Row],[QT_AREA_EST]]))</f>
        <v>30.99</v>
      </c>
      <c r="Z114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30.99</v>
      </c>
      <c r="AA1144" s="1">
        <f>ESTIMATIVA[[#This Row],[QT_CANA_EST]]</f>
        <v>2634.15</v>
      </c>
      <c r="AB1144" s="1">
        <f>IF(ESTIMATIVA[[#This Row],[QT_CANA_REST1]]&gt;0,ESTIMATIVA[[#This Row],[QT_CANA_REST1]],
  IF(ESTIMATIVA[[#This Row],[QT_CANA_REAL]]&gt;0,ESTIMATIVA[[#This Row],[QT_CANA_REAL]],ESTIMATIVA[[#This Row],[QT_CANA_EST]]))</f>
        <v>2634.15</v>
      </c>
      <c r="AC114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2581.9899999999998</v>
      </c>
      <c r="AD1144" s="1">
        <f>IF(ESTIMATIVA[[#This Row],[QT_AREA_REAL]]&gt;0,ESTIMATIVA[[#This Row],[QT_CANA_REAL]],ESTIMATIVA[[#This Row],[QT_CANA_EST]])</f>
        <v>2581.9899999999998</v>
      </c>
      <c r="AE1144" s="1">
        <f>IF(ESTIMATIVA[[#This Row],[QT_AREA_REAL]]&gt;0,ESTIMATIVA[[#This Row],[QT_CANA_REAL]],ESTIMATIVA[[#This Row],[QT_CANA_REST1]])</f>
        <v>2581.9899999999998</v>
      </c>
      <c r="AF1144" s="1">
        <f>IF(ESTIMATIVA[[#This Row],[QT_AREA_REAL]]&gt;0,ESTIMATIVA[[#This Row],[QT_CANA_REAL]],ESTIMATIVA[[#This Row],[QT_CANA_REST2]])</f>
        <v>2581.9899999999998</v>
      </c>
      <c r="AG1144" s="1" t="str">
        <f>IF(COUNTIFS(GEADA!A:A,VALUE(ESTIMATIVA[[#This Row],[CD_UPNIVEL1]]&amp;TEXT(ESTIMATIVA[[#This Row],[CD_UPNIVEL3]],"0000")))&gt;0,"S","N")</f>
        <v>N</v>
      </c>
      <c r="AH114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44" s="55" t="str">
        <f>IF(ESTIMATIVA[[#This Row],[TP_CULTIVO]]="Irrigado",_xlfn.MAXIFS(IRRIGADO!J:J,IRRIGADO!C:C,ESTIMATIVA[[#This Row],[CD_UPNIVEL1]],IRRIGADO!E:E,ESTIMATIVA[[#This Row],[CD_UPNIVEL3]]),"")</f>
        <v/>
      </c>
      <c r="AJ114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44" s="1">
        <f>COUNTIFS(Apresentação!$E$23:$E$29,ESTIMATIVA[[#This Row],[CD_UPNIVEL1]])</f>
        <v>0</v>
      </c>
    </row>
    <row r="1145" spans="1:37" x14ac:dyDescent="0.3">
      <c r="A1145">
        <v>20507</v>
      </c>
      <c r="B1145" t="s">
        <v>65</v>
      </c>
      <c r="C1145">
        <v>5</v>
      </c>
      <c r="D1145">
        <v>2</v>
      </c>
      <c r="E1145" t="s">
        <v>266</v>
      </c>
      <c r="F1145" s="85" t="s">
        <v>331</v>
      </c>
      <c r="G1145"/>
      <c r="H1145" t="s">
        <v>294</v>
      </c>
      <c r="I1145" t="s">
        <v>205</v>
      </c>
      <c r="J1145" t="s">
        <v>175</v>
      </c>
      <c r="K1145" s="1">
        <v>13.88</v>
      </c>
      <c r="L1145" s="1">
        <v>13.88</v>
      </c>
      <c r="M1145" s="1">
        <v>0</v>
      </c>
      <c r="N1145" s="1">
        <v>13.88</v>
      </c>
      <c r="O1145" s="1">
        <v>1179.8</v>
      </c>
      <c r="P1145" s="1">
        <v>1179.8</v>
      </c>
      <c r="Q1145" s="1">
        <v>0</v>
      </c>
      <c r="R1145" s="1">
        <v>1463.67</v>
      </c>
      <c r="S1145" t="s">
        <v>12</v>
      </c>
      <c r="T1145" s="13">
        <v>45865</v>
      </c>
      <c r="U1145" s="1" t="str">
        <f>IF(ESTIMATIVA[[#This Row],[QT_AREA_REAL]]&gt;0,"1- Colhido","2- à Colher")</f>
        <v>1- Colhido</v>
      </c>
      <c r="V1145" s="1" t="str">
        <f>IF(ESTIMATIVA[[#This Row],[QT_AREA_REST1]]&gt;0,"Reestimativa 1",IF(ESTIMATIVA[[#This Row],[QT_AREA_REAL]]=0,"Reestimativa 1","Realizado"))</f>
        <v>Reestimativa 1</v>
      </c>
      <c r="W1145" s="1" t="str">
        <f>IF(ESTIMATIVA[[#This Row],[QT_AREA_REST2]]&gt;0,"Reestimativa 2",IF(ESTIMATIVA[[#This Row],[QT_AREA_REAL]]=0,"Reestimativa 2","Realizado"))</f>
        <v>Realizado</v>
      </c>
      <c r="X1145" s="1">
        <f>ESTIMATIVA[[#This Row],[QT_AREA_EST]]</f>
        <v>13.88</v>
      </c>
      <c r="Y1145" s="1">
        <f>IF(ESTIMATIVA[[#This Row],[QT_AREA_REST1]]&gt;0,ESTIMATIVA[[#This Row],[QT_AREA_REST1]],
  IF(ESTIMATIVA[[#This Row],[QT_AREA_REAL]]&gt;0,ESTIMATIVA[[#This Row],[QT_AREA_REAL]],ESTIMATIVA[[#This Row],[QT_AREA_EST]]))</f>
        <v>13.88</v>
      </c>
      <c r="Z114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13.88</v>
      </c>
      <c r="AA1145" s="1">
        <f>ESTIMATIVA[[#This Row],[QT_CANA_EST]]</f>
        <v>1179.8</v>
      </c>
      <c r="AB1145" s="1">
        <f>IF(ESTIMATIVA[[#This Row],[QT_CANA_REST1]]&gt;0,ESTIMATIVA[[#This Row],[QT_CANA_REST1]],
  IF(ESTIMATIVA[[#This Row],[QT_CANA_REAL]]&gt;0,ESTIMATIVA[[#This Row],[QT_CANA_REAL]],ESTIMATIVA[[#This Row],[QT_CANA_EST]]))</f>
        <v>1179.8</v>
      </c>
      <c r="AC114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1463.67</v>
      </c>
      <c r="AD1145" s="1">
        <f>IF(ESTIMATIVA[[#This Row],[QT_AREA_REAL]]&gt;0,ESTIMATIVA[[#This Row],[QT_CANA_REAL]],ESTIMATIVA[[#This Row],[QT_CANA_EST]])</f>
        <v>1463.67</v>
      </c>
      <c r="AE1145" s="1">
        <f>IF(ESTIMATIVA[[#This Row],[QT_AREA_REAL]]&gt;0,ESTIMATIVA[[#This Row],[QT_CANA_REAL]],ESTIMATIVA[[#This Row],[QT_CANA_REST1]])</f>
        <v>1463.67</v>
      </c>
      <c r="AF1145" s="1">
        <f>IF(ESTIMATIVA[[#This Row],[QT_AREA_REAL]]&gt;0,ESTIMATIVA[[#This Row],[QT_CANA_REAL]],ESTIMATIVA[[#This Row],[QT_CANA_REST2]])</f>
        <v>1463.67</v>
      </c>
      <c r="AG1145" s="1" t="str">
        <f>IF(COUNTIFS(GEADA!A:A,VALUE(ESTIMATIVA[[#This Row],[CD_UPNIVEL1]]&amp;TEXT(ESTIMATIVA[[#This Row],[CD_UPNIVEL3]],"0000")))&gt;0,"S","N")</f>
        <v>N</v>
      </c>
      <c r="AH114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45" s="55" t="str">
        <f>IF(ESTIMATIVA[[#This Row],[TP_CULTIVO]]="Irrigado",_xlfn.MAXIFS(IRRIGADO!J:J,IRRIGADO!C:C,ESTIMATIVA[[#This Row],[CD_UPNIVEL1]],IRRIGADO!E:E,ESTIMATIVA[[#This Row],[CD_UPNIVEL3]]),"")</f>
        <v/>
      </c>
      <c r="AJ114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45" s="1">
        <f>COUNTIFS(Apresentação!$E$23:$E$29,ESTIMATIVA[[#This Row],[CD_UPNIVEL1]])</f>
        <v>0</v>
      </c>
    </row>
    <row r="1146" spans="1:37" x14ac:dyDescent="0.3">
      <c r="A1146">
        <v>20507</v>
      </c>
      <c r="B1146" t="s">
        <v>65</v>
      </c>
      <c r="C1146">
        <v>6</v>
      </c>
      <c r="D1146">
        <v>2</v>
      </c>
      <c r="E1146" t="s">
        <v>266</v>
      </c>
      <c r="F1146" s="85" t="s">
        <v>331</v>
      </c>
      <c r="G1146"/>
      <c r="H1146" t="s">
        <v>294</v>
      </c>
      <c r="I1146" t="s">
        <v>205</v>
      </c>
      <c r="J1146" t="s">
        <v>175</v>
      </c>
      <c r="K1146" s="1">
        <v>10.64</v>
      </c>
      <c r="L1146" s="1">
        <v>10.64</v>
      </c>
      <c r="M1146" s="1">
        <v>0</v>
      </c>
      <c r="N1146" s="1">
        <v>10.64</v>
      </c>
      <c r="O1146" s="1">
        <v>904.4</v>
      </c>
      <c r="P1146" s="1">
        <v>904.4</v>
      </c>
      <c r="Q1146" s="1">
        <v>0</v>
      </c>
      <c r="R1146" s="1">
        <v>886.09</v>
      </c>
      <c r="S1146" t="s">
        <v>12</v>
      </c>
      <c r="T1146" s="13">
        <v>45865</v>
      </c>
      <c r="U1146" s="1" t="str">
        <f>IF(ESTIMATIVA[[#This Row],[QT_AREA_REAL]]&gt;0,"1- Colhido","2- à Colher")</f>
        <v>1- Colhido</v>
      </c>
      <c r="V1146" s="1" t="str">
        <f>IF(ESTIMATIVA[[#This Row],[QT_AREA_REST1]]&gt;0,"Reestimativa 1",IF(ESTIMATIVA[[#This Row],[QT_AREA_REAL]]=0,"Reestimativa 1","Realizado"))</f>
        <v>Reestimativa 1</v>
      </c>
      <c r="W1146" s="1" t="str">
        <f>IF(ESTIMATIVA[[#This Row],[QT_AREA_REST2]]&gt;0,"Reestimativa 2",IF(ESTIMATIVA[[#This Row],[QT_AREA_REAL]]=0,"Reestimativa 2","Realizado"))</f>
        <v>Realizado</v>
      </c>
      <c r="X1146" s="1">
        <f>ESTIMATIVA[[#This Row],[QT_AREA_EST]]</f>
        <v>10.64</v>
      </c>
      <c r="Y1146" s="1">
        <f>IF(ESTIMATIVA[[#This Row],[QT_AREA_REST1]]&gt;0,ESTIMATIVA[[#This Row],[QT_AREA_REST1]],
  IF(ESTIMATIVA[[#This Row],[QT_AREA_REAL]]&gt;0,ESTIMATIVA[[#This Row],[QT_AREA_REAL]],ESTIMATIVA[[#This Row],[QT_AREA_EST]]))</f>
        <v>10.64</v>
      </c>
      <c r="Z114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10.64</v>
      </c>
      <c r="AA1146" s="1">
        <f>ESTIMATIVA[[#This Row],[QT_CANA_EST]]</f>
        <v>904.4</v>
      </c>
      <c r="AB1146" s="1">
        <f>IF(ESTIMATIVA[[#This Row],[QT_CANA_REST1]]&gt;0,ESTIMATIVA[[#This Row],[QT_CANA_REST1]],
  IF(ESTIMATIVA[[#This Row],[QT_CANA_REAL]]&gt;0,ESTIMATIVA[[#This Row],[QT_CANA_REAL]],ESTIMATIVA[[#This Row],[QT_CANA_EST]]))</f>
        <v>904.4</v>
      </c>
      <c r="AC114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886.09</v>
      </c>
      <c r="AD1146" s="1">
        <f>IF(ESTIMATIVA[[#This Row],[QT_AREA_REAL]]&gt;0,ESTIMATIVA[[#This Row],[QT_CANA_REAL]],ESTIMATIVA[[#This Row],[QT_CANA_EST]])</f>
        <v>886.09</v>
      </c>
      <c r="AE1146" s="1">
        <f>IF(ESTIMATIVA[[#This Row],[QT_AREA_REAL]]&gt;0,ESTIMATIVA[[#This Row],[QT_CANA_REAL]],ESTIMATIVA[[#This Row],[QT_CANA_REST1]])</f>
        <v>886.09</v>
      </c>
      <c r="AF1146" s="1">
        <f>IF(ESTIMATIVA[[#This Row],[QT_AREA_REAL]]&gt;0,ESTIMATIVA[[#This Row],[QT_CANA_REAL]],ESTIMATIVA[[#This Row],[QT_CANA_REST2]])</f>
        <v>886.09</v>
      </c>
      <c r="AG1146" s="1" t="str">
        <f>IF(COUNTIFS(GEADA!A:A,VALUE(ESTIMATIVA[[#This Row],[CD_UPNIVEL1]]&amp;TEXT(ESTIMATIVA[[#This Row],[CD_UPNIVEL3]],"0000")))&gt;0,"S","N")</f>
        <v>N</v>
      </c>
      <c r="AH114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46" s="55" t="str">
        <f>IF(ESTIMATIVA[[#This Row],[TP_CULTIVO]]="Irrigado",_xlfn.MAXIFS(IRRIGADO!J:J,IRRIGADO!C:C,ESTIMATIVA[[#This Row],[CD_UPNIVEL1]],IRRIGADO!E:E,ESTIMATIVA[[#This Row],[CD_UPNIVEL3]]),"")</f>
        <v/>
      </c>
      <c r="AJ114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46" s="1">
        <f>COUNTIFS(Apresentação!$E$23:$E$29,ESTIMATIVA[[#This Row],[CD_UPNIVEL1]])</f>
        <v>0</v>
      </c>
    </row>
    <row r="1147" spans="1:37" x14ac:dyDescent="0.3">
      <c r="A1147">
        <v>20507</v>
      </c>
      <c r="B1147" t="s">
        <v>65</v>
      </c>
      <c r="C1147">
        <v>7</v>
      </c>
      <c r="D1147">
        <v>2</v>
      </c>
      <c r="E1147" t="s">
        <v>266</v>
      </c>
      <c r="F1147" s="85" t="s">
        <v>331</v>
      </c>
      <c r="G1147"/>
      <c r="H1147" t="s">
        <v>294</v>
      </c>
      <c r="I1147" t="s">
        <v>205</v>
      </c>
      <c r="J1147" t="s">
        <v>175</v>
      </c>
      <c r="K1147" s="1">
        <v>15.3</v>
      </c>
      <c r="L1147" s="1">
        <v>15.3</v>
      </c>
      <c r="M1147" s="1">
        <v>0</v>
      </c>
      <c r="N1147" s="1">
        <v>15.3</v>
      </c>
      <c r="O1147" s="1">
        <v>1224</v>
      </c>
      <c r="P1147" s="1">
        <v>1178.0999999999999</v>
      </c>
      <c r="Q1147" s="1">
        <v>0</v>
      </c>
      <c r="R1147" s="1">
        <v>1155.04</v>
      </c>
      <c r="S1147" t="s">
        <v>12</v>
      </c>
      <c r="T1147" s="13">
        <v>45865</v>
      </c>
      <c r="U1147" s="1" t="str">
        <f>IF(ESTIMATIVA[[#This Row],[QT_AREA_REAL]]&gt;0,"1- Colhido","2- à Colher")</f>
        <v>1- Colhido</v>
      </c>
      <c r="V1147" s="1" t="str">
        <f>IF(ESTIMATIVA[[#This Row],[QT_AREA_REST1]]&gt;0,"Reestimativa 1",IF(ESTIMATIVA[[#This Row],[QT_AREA_REAL]]=0,"Reestimativa 1","Realizado"))</f>
        <v>Reestimativa 1</v>
      </c>
      <c r="W1147" s="1" t="str">
        <f>IF(ESTIMATIVA[[#This Row],[QT_AREA_REST2]]&gt;0,"Reestimativa 2",IF(ESTIMATIVA[[#This Row],[QT_AREA_REAL]]=0,"Reestimativa 2","Realizado"))</f>
        <v>Realizado</v>
      </c>
      <c r="X1147" s="1">
        <f>ESTIMATIVA[[#This Row],[QT_AREA_EST]]</f>
        <v>15.3</v>
      </c>
      <c r="Y1147" s="1">
        <f>IF(ESTIMATIVA[[#This Row],[QT_AREA_REST1]]&gt;0,ESTIMATIVA[[#This Row],[QT_AREA_REST1]],
  IF(ESTIMATIVA[[#This Row],[QT_AREA_REAL]]&gt;0,ESTIMATIVA[[#This Row],[QT_AREA_REAL]],ESTIMATIVA[[#This Row],[QT_AREA_EST]]))</f>
        <v>15.3</v>
      </c>
      <c r="Z114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15.3</v>
      </c>
      <c r="AA1147" s="1">
        <f>ESTIMATIVA[[#This Row],[QT_CANA_EST]]</f>
        <v>1224</v>
      </c>
      <c r="AB1147" s="1">
        <f>IF(ESTIMATIVA[[#This Row],[QT_CANA_REST1]]&gt;0,ESTIMATIVA[[#This Row],[QT_CANA_REST1]],
  IF(ESTIMATIVA[[#This Row],[QT_CANA_REAL]]&gt;0,ESTIMATIVA[[#This Row],[QT_CANA_REAL]],ESTIMATIVA[[#This Row],[QT_CANA_EST]]))</f>
        <v>1178.0999999999999</v>
      </c>
      <c r="AC114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1155.04</v>
      </c>
      <c r="AD1147" s="1">
        <f>IF(ESTIMATIVA[[#This Row],[QT_AREA_REAL]]&gt;0,ESTIMATIVA[[#This Row],[QT_CANA_REAL]],ESTIMATIVA[[#This Row],[QT_CANA_EST]])</f>
        <v>1155.04</v>
      </c>
      <c r="AE1147" s="1">
        <f>IF(ESTIMATIVA[[#This Row],[QT_AREA_REAL]]&gt;0,ESTIMATIVA[[#This Row],[QT_CANA_REAL]],ESTIMATIVA[[#This Row],[QT_CANA_REST1]])</f>
        <v>1155.04</v>
      </c>
      <c r="AF1147" s="1">
        <f>IF(ESTIMATIVA[[#This Row],[QT_AREA_REAL]]&gt;0,ESTIMATIVA[[#This Row],[QT_CANA_REAL]],ESTIMATIVA[[#This Row],[QT_CANA_REST2]])</f>
        <v>1155.04</v>
      </c>
      <c r="AG1147" s="1" t="str">
        <f>IF(COUNTIFS(GEADA!A:A,VALUE(ESTIMATIVA[[#This Row],[CD_UPNIVEL1]]&amp;TEXT(ESTIMATIVA[[#This Row],[CD_UPNIVEL3]],"0000")))&gt;0,"S","N")</f>
        <v>S</v>
      </c>
      <c r="AH114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47" s="55" t="str">
        <f>IF(ESTIMATIVA[[#This Row],[TP_CULTIVO]]="Irrigado",_xlfn.MAXIFS(IRRIGADO!J:J,IRRIGADO!C:C,ESTIMATIVA[[#This Row],[CD_UPNIVEL1]],IRRIGADO!E:E,ESTIMATIVA[[#This Row],[CD_UPNIVEL3]]),"")</f>
        <v/>
      </c>
      <c r="AJ114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47" s="1">
        <f>COUNTIFS(Apresentação!$E$23:$E$29,ESTIMATIVA[[#This Row],[CD_UPNIVEL1]])</f>
        <v>0</v>
      </c>
    </row>
    <row r="1148" spans="1:37" x14ac:dyDescent="0.3">
      <c r="A1148">
        <v>20507</v>
      </c>
      <c r="B1148" t="s">
        <v>65</v>
      </c>
      <c r="C1148">
        <v>8</v>
      </c>
      <c r="D1148">
        <v>2</v>
      </c>
      <c r="E1148" t="s">
        <v>266</v>
      </c>
      <c r="F1148" s="85" t="s">
        <v>331</v>
      </c>
      <c r="G1148"/>
      <c r="H1148" t="s">
        <v>294</v>
      </c>
      <c r="I1148" t="s">
        <v>205</v>
      </c>
      <c r="J1148" t="s">
        <v>175</v>
      </c>
      <c r="K1148" s="1">
        <v>10.66</v>
      </c>
      <c r="L1148" s="1">
        <v>10.66</v>
      </c>
      <c r="M1148" s="1">
        <v>0</v>
      </c>
      <c r="N1148" s="1">
        <v>10.66</v>
      </c>
      <c r="O1148" s="1">
        <v>852.8</v>
      </c>
      <c r="P1148" s="1">
        <v>820.82</v>
      </c>
      <c r="Q1148" s="1">
        <v>0</v>
      </c>
      <c r="R1148" s="1">
        <v>1018.71</v>
      </c>
      <c r="S1148" t="s">
        <v>12</v>
      </c>
      <c r="T1148" s="13">
        <v>45865</v>
      </c>
      <c r="U1148" s="1" t="str">
        <f>IF(ESTIMATIVA[[#This Row],[QT_AREA_REAL]]&gt;0,"1- Colhido","2- à Colher")</f>
        <v>1- Colhido</v>
      </c>
      <c r="V1148" s="1" t="str">
        <f>IF(ESTIMATIVA[[#This Row],[QT_AREA_REST1]]&gt;0,"Reestimativa 1",IF(ESTIMATIVA[[#This Row],[QT_AREA_REAL]]=0,"Reestimativa 1","Realizado"))</f>
        <v>Reestimativa 1</v>
      </c>
      <c r="W1148" s="1" t="str">
        <f>IF(ESTIMATIVA[[#This Row],[QT_AREA_REST2]]&gt;0,"Reestimativa 2",IF(ESTIMATIVA[[#This Row],[QT_AREA_REAL]]=0,"Reestimativa 2","Realizado"))</f>
        <v>Realizado</v>
      </c>
      <c r="X1148" s="1">
        <f>ESTIMATIVA[[#This Row],[QT_AREA_EST]]</f>
        <v>10.66</v>
      </c>
      <c r="Y1148" s="1">
        <f>IF(ESTIMATIVA[[#This Row],[QT_AREA_REST1]]&gt;0,ESTIMATIVA[[#This Row],[QT_AREA_REST1]],
  IF(ESTIMATIVA[[#This Row],[QT_AREA_REAL]]&gt;0,ESTIMATIVA[[#This Row],[QT_AREA_REAL]],ESTIMATIVA[[#This Row],[QT_AREA_EST]]))</f>
        <v>10.66</v>
      </c>
      <c r="Z114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10.66</v>
      </c>
      <c r="AA1148" s="1">
        <f>ESTIMATIVA[[#This Row],[QT_CANA_EST]]</f>
        <v>852.8</v>
      </c>
      <c r="AB1148" s="1">
        <f>IF(ESTIMATIVA[[#This Row],[QT_CANA_REST1]]&gt;0,ESTIMATIVA[[#This Row],[QT_CANA_REST1]],
  IF(ESTIMATIVA[[#This Row],[QT_CANA_REAL]]&gt;0,ESTIMATIVA[[#This Row],[QT_CANA_REAL]],ESTIMATIVA[[#This Row],[QT_CANA_EST]]))</f>
        <v>820.82</v>
      </c>
      <c r="AC114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1018.71</v>
      </c>
      <c r="AD1148" s="1">
        <f>IF(ESTIMATIVA[[#This Row],[QT_AREA_REAL]]&gt;0,ESTIMATIVA[[#This Row],[QT_CANA_REAL]],ESTIMATIVA[[#This Row],[QT_CANA_EST]])</f>
        <v>1018.71</v>
      </c>
      <c r="AE1148" s="1">
        <f>IF(ESTIMATIVA[[#This Row],[QT_AREA_REAL]]&gt;0,ESTIMATIVA[[#This Row],[QT_CANA_REAL]],ESTIMATIVA[[#This Row],[QT_CANA_REST1]])</f>
        <v>1018.71</v>
      </c>
      <c r="AF1148" s="1">
        <f>IF(ESTIMATIVA[[#This Row],[QT_AREA_REAL]]&gt;0,ESTIMATIVA[[#This Row],[QT_CANA_REAL]],ESTIMATIVA[[#This Row],[QT_CANA_REST2]])</f>
        <v>1018.71</v>
      </c>
      <c r="AG1148" s="1" t="str">
        <f>IF(COUNTIFS(GEADA!A:A,VALUE(ESTIMATIVA[[#This Row],[CD_UPNIVEL1]]&amp;TEXT(ESTIMATIVA[[#This Row],[CD_UPNIVEL3]],"0000")))&gt;0,"S","N")</f>
        <v>S</v>
      </c>
      <c r="AH114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48" s="55" t="str">
        <f>IF(ESTIMATIVA[[#This Row],[TP_CULTIVO]]="Irrigado",_xlfn.MAXIFS(IRRIGADO!J:J,IRRIGADO!C:C,ESTIMATIVA[[#This Row],[CD_UPNIVEL1]],IRRIGADO!E:E,ESTIMATIVA[[#This Row],[CD_UPNIVEL3]]),"")</f>
        <v/>
      </c>
      <c r="AJ114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48" s="1">
        <f>COUNTIFS(Apresentação!$E$23:$E$29,ESTIMATIVA[[#This Row],[CD_UPNIVEL1]])</f>
        <v>0</v>
      </c>
    </row>
    <row r="1149" spans="1:37" x14ac:dyDescent="0.3">
      <c r="A1149">
        <v>20510</v>
      </c>
      <c r="B1149" t="s">
        <v>66</v>
      </c>
      <c r="C1149">
        <v>1</v>
      </c>
      <c r="D1149">
        <v>2</v>
      </c>
      <c r="E1149" t="s">
        <v>266</v>
      </c>
      <c r="F1149" s="85" t="s">
        <v>333</v>
      </c>
      <c r="G1149"/>
      <c r="H1149" t="s">
        <v>294</v>
      </c>
      <c r="I1149" t="s">
        <v>198</v>
      </c>
      <c r="J1149" t="s">
        <v>176</v>
      </c>
      <c r="K1149" s="1">
        <v>11.3</v>
      </c>
      <c r="L1149" s="1">
        <v>0</v>
      </c>
      <c r="M1149" s="1">
        <v>0</v>
      </c>
      <c r="N1149" s="1">
        <v>11.3</v>
      </c>
      <c r="O1149" s="1">
        <v>768.4</v>
      </c>
      <c r="P1149" s="1">
        <v>0</v>
      </c>
      <c r="Q1149" s="1">
        <v>0</v>
      </c>
      <c r="R1149" s="1">
        <v>869.1</v>
      </c>
      <c r="S1149" t="s">
        <v>12</v>
      </c>
      <c r="T1149" s="13">
        <v>45760</v>
      </c>
      <c r="U1149" s="1" t="str">
        <f>IF(ESTIMATIVA[[#This Row],[QT_AREA_REAL]]&gt;0,"1- Colhido","2- à Colher")</f>
        <v>1- Colhido</v>
      </c>
      <c r="V1149" s="1" t="str">
        <f>IF(ESTIMATIVA[[#This Row],[QT_AREA_REST1]]&gt;0,"Reestimativa 1",IF(ESTIMATIVA[[#This Row],[QT_AREA_REAL]]=0,"Reestimativa 1","Realizado"))</f>
        <v>Realizado</v>
      </c>
      <c r="W1149" s="1" t="str">
        <f>IF(ESTIMATIVA[[#This Row],[QT_AREA_REST2]]&gt;0,"Reestimativa 2",IF(ESTIMATIVA[[#This Row],[QT_AREA_REAL]]=0,"Reestimativa 2","Realizado"))</f>
        <v>Realizado</v>
      </c>
      <c r="X1149" s="1">
        <f>ESTIMATIVA[[#This Row],[QT_AREA_EST]]</f>
        <v>11.3</v>
      </c>
      <c r="Y1149" s="1">
        <f>IF(ESTIMATIVA[[#This Row],[QT_AREA_REST1]]&gt;0,ESTIMATIVA[[#This Row],[QT_AREA_REST1]],
  IF(ESTIMATIVA[[#This Row],[QT_AREA_REAL]]&gt;0,ESTIMATIVA[[#This Row],[QT_AREA_REAL]],ESTIMATIVA[[#This Row],[QT_AREA_EST]]))</f>
        <v>11.3</v>
      </c>
      <c r="Z114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11.3</v>
      </c>
      <c r="AA1149" s="1">
        <f>ESTIMATIVA[[#This Row],[QT_CANA_EST]]</f>
        <v>768.4</v>
      </c>
      <c r="AB1149" s="1">
        <f>IF(ESTIMATIVA[[#This Row],[QT_CANA_REST1]]&gt;0,ESTIMATIVA[[#This Row],[QT_CANA_REST1]],
  IF(ESTIMATIVA[[#This Row],[QT_CANA_REAL]]&gt;0,ESTIMATIVA[[#This Row],[QT_CANA_REAL]],ESTIMATIVA[[#This Row],[QT_CANA_EST]]))</f>
        <v>869.1</v>
      </c>
      <c r="AC114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869.1</v>
      </c>
      <c r="AD1149" s="1">
        <f>IF(ESTIMATIVA[[#This Row],[QT_AREA_REAL]]&gt;0,ESTIMATIVA[[#This Row],[QT_CANA_REAL]],ESTIMATIVA[[#This Row],[QT_CANA_EST]])</f>
        <v>869.1</v>
      </c>
      <c r="AE1149" s="1">
        <f>IF(ESTIMATIVA[[#This Row],[QT_AREA_REAL]]&gt;0,ESTIMATIVA[[#This Row],[QT_CANA_REAL]],ESTIMATIVA[[#This Row],[QT_CANA_REST1]])</f>
        <v>869.1</v>
      </c>
      <c r="AF1149" s="1">
        <f>IF(ESTIMATIVA[[#This Row],[QT_AREA_REAL]]&gt;0,ESTIMATIVA[[#This Row],[QT_CANA_REAL]],ESTIMATIVA[[#This Row],[QT_CANA_REST2]])</f>
        <v>869.1</v>
      </c>
      <c r="AG1149" s="1" t="str">
        <f>IF(COUNTIFS(GEADA!A:A,VALUE(ESTIMATIVA[[#This Row],[CD_UPNIVEL1]]&amp;TEXT(ESTIMATIVA[[#This Row],[CD_UPNIVEL3]],"0000")))&gt;0,"S","N")</f>
        <v>N</v>
      </c>
      <c r="AH114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49" s="55" t="str">
        <f>IF(ESTIMATIVA[[#This Row],[TP_CULTIVO]]="Irrigado",_xlfn.MAXIFS(IRRIGADO!J:J,IRRIGADO!C:C,ESTIMATIVA[[#This Row],[CD_UPNIVEL1]],IRRIGADO!E:E,ESTIMATIVA[[#This Row],[CD_UPNIVEL3]]),"")</f>
        <v/>
      </c>
      <c r="AJ114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49" s="1">
        <f>COUNTIFS(Apresentação!$E$23:$E$29,ESTIMATIVA[[#This Row],[CD_UPNIVEL1]])</f>
        <v>0</v>
      </c>
    </row>
    <row r="1150" spans="1:37" x14ac:dyDescent="0.3">
      <c r="A1150">
        <v>20510</v>
      </c>
      <c r="B1150" t="s">
        <v>66</v>
      </c>
      <c r="C1150">
        <v>2</v>
      </c>
      <c r="D1150">
        <v>2</v>
      </c>
      <c r="E1150" t="s">
        <v>266</v>
      </c>
      <c r="F1150" s="85" t="s">
        <v>333</v>
      </c>
      <c r="G1150"/>
      <c r="H1150" t="s">
        <v>294</v>
      </c>
      <c r="I1150" t="s">
        <v>198</v>
      </c>
      <c r="J1150" t="s">
        <v>176</v>
      </c>
      <c r="K1150" s="1">
        <v>53.92</v>
      </c>
      <c r="L1150" s="1">
        <v>0</v>
      </c>
      <c r="M1150" s="1">
        <v>0</v>
      </c>
      <c r="N1150" s="1">
        <v>53.92</v>
      </c>
      <c r="O1150" s="1">
        <v>3666.56</v>
      </c>
      <c r="P1150" s="1">
        <v>0</v>
      </c>
      <c r="Q1150" s="1">
        <v>0</v>
      </c>
      <c r="R1150" s="1">
        <v>4150.1499999999996</v>
      </c>
      <c r="S1150" t="s">
        <v>12</v>
      </c>
      <c r="T1150" s="13">
        <v>45760</v>
      </c>
      <c r="U1150" s="1" t="str">
        <f>IF(ESTIMATIVA[[#This Row],[QT_AREA_REAL]]&gt;0,"1- Colhido","2- à Colher")</f>
        <v>1- Colhido</v>
      </c>
      <c r="V1150" s="1" t="str">
        <f>IF(ESTIMATIVA[[#This Row],[QT_AREA_REST1]]&gt;0,"Reestimativa 1",IF(ESTIMATIVA[[#This Row],[QT_AREA_REAL]]=0,"Reestimativa 1","Realizado"))</f>
        <v>Realizado</v>
      </c>
      <c r="W1150" s="1" t="str">
        <f>IF(ESTIMATIVA[[#This Row],[QT_AREA_REST2]]&gt;0,"Reestimativa 2",IF(ESTIMATIVA[[#This Row],[QT_AREA_REAL]]=0,"Reestimativa 2","Realizado"))</f>
        <v>Realizado</v>
      </c>
      <c r="X1150" s="1">
        <f>ESTIMATIVA[[#This Row],[QT_AREA_EST]]</f>
        <v>53.92</v>
      </c>
      <c r="Y1150" s="1">
        <f>IF(ESTIMATIVA[[#This Row],[QT_AREA_REST1]]&gt;0,ESTIMATIVA[[#This Row],[QT_AREA_REST1]],
  IF(ESTIMATIVA[[#This Row],[QT_AREA_REAL]]&gt;0,ESTIMATIVA[[#This Row],[QT_AREA_REAL]],ESTIMATIVA[[#This Row],[QT_AREA_EST]]))</f>
        <v>53.92</v>
      </c>
      <c r="Z115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53.92</v>
      </c>
      <c r="AA1150" s="1">
        <f>ESTIMATIVA[[#This Row],[QT_CANA_EST]]</f>
        <v>3666.56</v>
      </c>
      <c r="AB1150" s="1">
        <f>IF(ESTIMATIVA[[#This Row],[QT_CANA_REST1]]&gt;0,ESTIMATIVA[[#This Row],[QT_CANA_REST1]],
  IF(ESTIMATIVA[[#This Row],[QT_CANA_REAL]]&gt;0,ESTIMATIVA[[#This Row],[QT_CANA_REAL]],ESTIMATIVA[[#This Row],[QT_CANA_EST]]))</f>
        <v>4150.1499999999996</v>
      </c>
      <c r="AC115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4150.1499999999996</v>
      </c>
      <c r="AD1150" s="1">
        <f>IF(ESTIMATIVA[[#This Row],[QT_AREA_REAL]]&gt;0,ESTIMATIVA[[#This Row],[QT_CANA_REAL]],ESTIMATIVA[[#This Row],[QT_CANA_EST]])</f>
        <v>4150.1499999999996</v>
      </c>
      <c r="AE1150" s="1">
        <f>IF(ESTIMATIVA[[#This Row],[QT_AREA_REAL]]&gt;0,ESTIMATIVA[[#This Row],[QT_CANA_REAL]],ESTIMATIVA[[#This Row],[QT_CANA_REST1]])</f>
        <v>4150.1499999999996</v>
      </c>
      <c r="AF1150" s="1">
        <f>IF(ESTIMATIVA[[#This Row],[QT_AREA_REAL]]&gt;0,ESTIMATIVA[[#This Row],[QT_CANA_REAL]],ESTIMATIVA[[#This Row],[QT_CANA_REST2]])</f>
        <v>4150.1499999999996</v>
      </c>
      <c r="AG1150" s="1" t="str">
        <f>IF(COUNTIFS(GEADA!A:A,VALUE(ESTIMATIVA[[#This Row],[CD_UPNIVEL1]]&amp;TEXT(ESTIMATIVA[[#This Row],[CD_UPNIVEL3]],"0000")))&gt;0,"S","N")</f>
        <v>N</v>
      </c>
      <c r="AH115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50" s="55" t="str">
        <f>IF(ESTIMATIVA[[#This Row],[TP_CULTIVO]]="Irrigado",_xlfn.MAXIFS(IRRIGADO!J:J,IRRIGADO!C:C,ESTIMATIVA[[#This Row],[CD_UPNIVEL1]],IRRIGADO!E:E,ESTIMATIVA[[#This Row],[CD_UPNIVEL3]]),"")</f>
        <v/>
      </c>
      <c r="AJ115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50" s="1">
        <f>COUNTIFS(Apresentação!$E$23:$E$29,ESTIMATIVA[[#This Row],[CD_UPNIVEL1]])</f>
        <v>0</v>
      </c>
    </row>
    <row r="1151" spans="1:37" x14ac:dyDescent="0.3">
      <c r="A1151">
        <v>20510</v>
      </c>
      <c r="B1151" t="s">
        <v>66</v>
      </c>
      <c r="C1151">
        <v>3</v>
      </c>
      <c r="D1151">
        <v>2</v>
      </c>
      <c r="E1151" t="s">
        <v>266</v>
      </c>
      <c r="F1151" s="85" t="s">
        <v>333</v>
      </c>
      <c r="G1151"/>
      <c r="H1151" t="s">
        <v>294</v>
      </c>
      <c r="I1151" t="s">
        <v>198</v>
      </c>
      <c r="J1151" t="s">
        <v>176</v>
      </c>
      <c r="K1151" s="1">
        <v>40.770000000000003</v>
      </c>
      <c r="L1151" s="1">
        <v>0</v>
      </c>
      <c r="M1151" s="1">
        <v>0</v>
      </c>
      <c r="N1151" s="1">
        <v>40.770000000000003</v>
      </c>
      <c r="O1151" s="1">
        <v>2772.36</v>
      </c>
      <c r="P1151" s="1">
        <v>0</v>
      </c>
      <c r="Q1151" s="1">
        <v>0</v>
      </c>
      <c r="R1151" s="1">
        <v>3137.55</v>
      </c>
      <c r="S1151" t="s">
        <v>12</v>
      </c>
      <c r="T1151" s="13">
        <v>45760</v>
      </c>
      <c r="U1151" s="1" t="str">
        <f>IF(ESTIMATIVA[[#This Row],[QT_AREA_REAL]]&gt;0,"1- Colhido","2- à Colher")</f>
        <v>1- Colhido</v>
      </c>
      <c r="V1151" s="1" t="str">
        <f>IF(ESTIMATIVA[[#This Row],[QT_AREA_REST1]]&gt;0,"Reestimativa 1",IF(ESTIMATIVA[[#This Row],[QT_AREA_REAL]]=0,"Reestimativa 1","Realizado"))</f>
        <v>Realizado</v>
      </c>
      <c r="W1151" s="1" t="str">
        <f>IF(ESTIMATIVA[[#This Row],[QT_AREA_REST2]]&gt;0,"Reestimativa 2",IF(ESTIMATIVA[[#This Row],[QT_AREA_REAL]]=0,"Reestimativa 2","Realizado"))</f>
        <v>Realizado</v>
      </c>
      <c r="X1151" s="1">
        <f>ESTIMATIVA[[#This Row],[QT_AREA_EST]]</f>
        <v>40.770000000000003</v>
      </c>
      <c r="Y1151" s="1">
        <f>IF(ESTIMATIVA[[#This Row],[QT_AREA_REST1]]&gt;0,ESTIMATIVA[[#This Row],[QT_AREA_REST1]],
  IF(ESTIMATIVA[[#This Row],[QT_AREA_REAL]]&gt;0,ESTIMATIVA[[#This Row],[QT_AREA_REAL]],ESTIMATIVA[[#This Row],[QT_AREA_EST]]))</f>
        <v>40.770000000000003</v>
      </c>
      <c r="Z115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40.770000000000003</v>
      </c>
      <c r="AA1151" s="1">
        <f>ESTIMATIVA[[#This Row],[QT_CANA_EST]]</f>
        <v>2772.36</v>
      </c>
      <c r="AB1151" s="1">
        <f>IF(ESTIMATIVA[[#This Row],[QT_CANA_REST1]]&gt;0,ESTIMATIVA[[#This Row],[QT_CANA_REST1]],
  IF(ESTIMATIVA[[#This Row],[QT_CANA_REAL]]&gt;0,ESTIMATIVA[[#This Row],[QT_CANA_REAL]],ESTIMATIVA[[#This Row],[QT_CANA_EST]]))</f>
        <v>3137.55</v>
      </c>
      <c r="AC115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3137.55</v>
      </c>
      <c r="AD1151" s="1">
        <f>IF(ESTIMATIVA[[#This Row],[QT_AREA_REAL]]&gt;0,ESTIMATIVA[[#This Row],[QT_CANA_REAL]],ESTIMATIVA[[#This Row],[QT_CANA_EST]])</f>
        <v>3137.55</v>
      </c>
      <c r="AE1151" s="1">
        <f>IF(ESTIMATIVA[[#This Row],[QT_AREA_REAL]]&gt;0,ESTIMATIVA[[#This Row],[QT_CANA_REAL]],ESTIMATIVA[[#This Row],[QT_CANA_REST1]])</f>
        <v>3137.55</v>
      </c>
      <c r="AF1151" s="1">
        <f>IF(ESTIMATIVA[[#This Row],[QT_AREA_REAL]]&gt;0,ESTIMATIVA[[#This Row],[QT_CANA_REAL]],ESTIMATIVA[[#This Row],[QT_CANA_REST2]])</f>
        <v>3137.55</v>
      </c>
      <c r="AG1151" s="1" t="str">
        <f>IF(COUNTIFS(GEADA!A:A,VALUE(ESTIMATIVA[[#This Row],[CD_UPNIVEL1]]&amp;TEXT(ESTIMATIVA[[#This Row],[CD_UPNIVEL3]],"0000")))&gt;0,"S","N")</f>
        <v>N</v>
      </c>
      <c r="AH115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51" s="55" t="str">
        <f>IF(ESTIMATIVA[[#This Row],[TP_CULTIVO]]="Irrigado",_xlfn.MAXIFS(IRRIGADO!J:J,IRRIGADO!C:C,ESTIMATIVA[[#This Row],[CD_UPNIVEL1]],IRRIGADO!E:E,ESTIMATIVA[[#This Row],[CD_UPNIVEL3]]),"")</f>
        <v/>
      </c>
      <c r="AJ115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51" s="1">
        <f>COUNTIFS(Apresentação!$E$23:$E$29,ESTIMATIVA[[#This Row],[CD_UPNIVEL1]])</f>
        <v>0</v>
      </c>
    </row>
    <row r="1152" spans="1:37" x14ac:dyDescent="0.3">
      <c r="A1152">
        <v>20510</v>
      </c>
      <c r="B1152" t="s">
        <v>66</v>
      </c>
      <c r="C1152">
        <v>4</v>
      </c>
      <c r="D1152">
        <v>2</v>
      </c>
      <c r="E1152" t="s">
        <v>266</v>
      </c>
      <c r="F1152" s="85" t="s">
        <v>333</v>
      </c>
      <c r="G1152"/>
      <c r="H1152" t="s">
        <v>294</v>
      </c>
      <c r="I1152" t="s">
        <v>198</v>
      </c>
      <c r="J1152" t="s">
        <v>176</v>
      </c>
      <c r="K1152" s="1">
        <v>50.12</v>
      </c>
      <c r="L1152" s="1">
        <v>0</v>
      </c>
      <c r="M1152" s="1">
        <v>0</v>
      </c>
      <c r="N1152" s="1">
        <v>50.12</v>
      </c>
      <c r="O1152" s="1">
        <v>3408.16</v>
      </c>
      <c r="P1152" s="1">
        <v>0</v>
      </c>
      <c r="Q1152" s="1">
        <v>0</v>
      </c>
      <c r="R1152" s="1">
        <v>3278.54</v>
      </c>
      <c r="S1152" t="s">
        <v>12</v>
      </c>
      <c r="T1152" s="13">
        <v>45760</v>
      </c>
      <c r="U1152" s="1" t="str">
        <f>IF(ESTIMATIVA[[#This Row],[QT_AREA_REAL]]&gt;0,"1- Colhido","2- à Colher")</f>
        <v>1- Colhido</v>
      </c>
      <c r="V1152" s="1" t="str">
        <f>IF(ESTIMATIVA[[#This Row],[QT_AREA_REST1]]&gt;0,"Reestimativa 1",IF(ESTIMATIVA[[#This Row],[QT_AREA_REAL]]=0,"Reestimativa 1","Realizado"))</f>
        <v>Realizado</v>
      </c>
      <c r="W1152" s="1" t="str">
        <f>IF(ESTIMATIVA[[#This Row],[QT_AREA_REST2]]&gt;0,"Reestimativa 2",IF(ESTIMATIVA[[#This Row],[QT_AREA_REAL]]=0,"Reestimativa 2","Realizado"))</f>
        <v>Realizado</v>
      </c>
      <c r="X1152" s="1">
        <f>ESTIMATIVA[[#This Row],[QT_AREA_EST]]</f>
        <v>50.12</v>
      </c>
      <c r="Y1152" s="1">
        <f>IF(ESTIMATIVA[[#This Row],[QT_AREA_REST1]]&gt;0,ESTIMATIVA[[#This Row],[QT_AREA_REST1]],
  IF(ESTIMATIVA[[#This Row],[QT_AREA_REAL]]&gt;0,ESTIMATIVA[[#This Row],[QT_AREA_REAL]],ESTIMATIVA[[#This Row],[QT_AREA_EST]]))</f>
        <v>50.12</v>
      </c>
      <c r="Z115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50.12</v>
      </c>
      <c r="AA1152" s="1">
        <f>ESTIMATIVA[[#This Row],[QT_CANA_EST]]</f>
        <v>3408.16</v>
      </c>
      <c r="AB1152" s="1">
        <f>IF(ESTIMATIVA[[#This Row],[QT_CANA_REST1]]&gt;0,ESTIMATIVA[[#This Row],[QT_CANA_REST1]],
  IF(ESTIMATIVA[[#This Row],[QT_CANA_REAL]]&gt;0,ESTIMATIVA[[#This Row],[QT_CANA_REAL]],ESTIMATIVA[[#This Row],[QT_CANA_EST]]))</f>
        <v>3278.54</v>
      </c>
      <c r="AC115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3278.54</v>
      </c>
      <c r="AD1152" s="1">
        <f>IF(ESTIMATIVA[[#This Row],[QT_AREA_REAL]]&gt;0,ESTIMATIVA[[#This Row],[QT_CANA_REAL]],ESTIMATIVA[[#This Row],[QT_CANA_EST]])</f>
        <v>3278.54</v>
      </c>
      <c r="AE1152" s="1">
        <f>IF(ESTIMATIVA[[#This Row],[QT_AREA_REAL]]&gt;0,ESTIMATIVA[[#This Row],[QT_CANA_REAL]],ESTIMATIVA[[#This Row],[QT_CANA_REST1]])</f>
        <v>3278.54</v>
      </c>
      <c r="AF1152" s="1">
        <f>IF(ESTIMATIVA[[#This Row],[QT_AREA_REAL]]&gt;0,ESTIMATIVA[[#This Row],[QT_CANA_REAL]],ESTIMATIVA[[#This Row],[QT_CANA_REST2]])</f>
        <v>3278.54</v>
      </c>
      <c r="AG1152" s="1" t="str">
        <f>IF(COUNTIFS(GEADA!A:A,VALUE(ESTIMATIVA[[#This Row],[CD_UPNIVEL1]]&amp;TEXT(ESTIMATIVA[[#This Row],[CD_UPNIVEL3]],"0000")))&gt;0,"S","N")</f>
        <v>N</v>
      </c>
      <c r="AH115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52" s="55" t="str">
        <f>IF(ESTIMATIVA[[#This Row],[TP_CULTIVO]]="Irrigado",_xlfn.MAXIFS(IRRIGADO!J:J,IRRIGADO!C:C,ESTIMATIVA[[#This Row],[CD_UPNIVEL1]],IRRIGADO!E:E,ESTIMATIVA[[#This Row],[CD_UPNIVEL3]]),"")</f>
        <v/>
      </c>
      <c r="AJ115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52" s="1">
        <f>COUNTIFS(Apresentação!$E$23:$E$29,ESTIMATIVA[[#This Row],[CD_UPNIVEL1]])</f>
        <v>0</v>
      </c>
    </row>
    <row r="1153" spans="1:37" x14ac:dyDescent="0.3">
      <c r="A1153">
        <v>20510</v>
      </c>
      <c r="B1153" t="s">
        <v>66</v>
      </c>
      <c r="C1153">
        <v>5</v>
      </c>
      <c r="D1153">
        <v>2</v>
      </c>
      <c r="E1153" t="s">
        <v>266</v>
      </c>
      <c r="F1153" s="85" t="s">
        <v>333</v>
      </c>
      <c r="G1153"/>
      <c r="H1153" t="s">
        <v>294</v>
      </c>
      <c r="I1153" t="s">
        <v>198</v>
      </c>
      <c r="J1153" t="s">
        <v>176</v>
      </c>
      <c r="K1153" s="1">
        <v>53.17</v>
      </c>
      <c r="L1153" s="1">
        <v>0</v>
      </c>
      <c r="M1153" s="1">
        <v>0</v>
      </c>
      <c r="N1153" s="1">
        <v>53.17</v>
      </c>
      <c r="O1153" s="1">
        <v>3615.56</v>
      </c>
      <c r="P1153" s="1">
        <v>0</v>
      </c>
      <c r="Q1153" s="1">
        <v>0</v>
      </c>
      <c r="R1153" s="1">
        <v>3098.2</v>
      </c>
      <c r="S1153" t="s">
        <v>12</v>
      </c>
      <c r="T1153" s="13">
        <v>45753</v>
      </c>
      <c r="U1153" s="1" t="str">
        <f>IF(ESTIMATIVA[[#This Row],[QT_AREA_REAL]]&gt;0,"1- Colhido","2- à Colher")</f>
        <v>1- Colhido</v>
      </c>
      <c r="V1153" s="1" t="str">
        <f>IF(ESTIMATIVA[[#This Row],[QT_AREA_REST1]]&gt;0,"Reestimativa 1",IF(ESTIMATIVA[[#This Row],[QT_AREA_REAL]]=0,"Reestimativa 1","Realizado"))</f>
        <v>Realizado</v>
      </c>
      <c r="W1153" s="1" t="str">
        <f>IF(ESTIMATIVA[[#This Row],[QT_AREA_REST2]]&gt;0,"Reestimativa 2",IF(ESTIMATIVA[[#This Row],[QT_AREA_REAL]]=0,"Reestimativa 2","Realizado"))</f>
        <v>Realizado</v>
      </c>
      <c r="X1153" s="1">
        <f>ESTIMATIVA[[#This Row],[QT_AREA_EST]]</f>
        <v>53.17</v>
      </c>
      <c r="Y1153" s="1">
        <f>IF(ESTIMATIVA[[#This Row],[QT_AREA_REST1]]&gt;0,ESTIMATIVA[[#This Row],[QT_AREA_REST1]],
  IF(ESTIMATIVA[[#This Row],[QT_AREA_REAL]]&gt;0,ESTIMATIVA[[#This Row],[QT_AREA_REAL]],ESTIMATIVA[[#This Row],[QT_AREA_EST]]))</f>
        <v>53.17</v>
      </c>
      <c r="Z115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53.17</v>
      </c>
      <c r="AA1153" s="1">
        <f>ESTIMATIVA[[#This Row],[QT_CANA_EST]]</f>
        <v>3615.56</v>
      </c>
      <c r="AB1153" s="1">
        <f>IF(ESTIMATIVA[[#This Row],[QT_CANA_REST1]]&gt;0,ESTIMATIVA[[#This Row],[QT_CANA_REST1]],
  IF(ESTIMATIVA[[#This Row],[QT_CANA_REAL]]&gt;0,ESTIMATIVA[[#This Row],[QT_CANA_REAL]],ESTIMATIVA[[#This Row],[QT_CANA_EST]]))</f>
        <v>3098.2</v>
      </c>
      <c r="AC115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3098.2</v>
      </c>
      <c r="AD1153" s="1">
        <f>IF(ESTIMATIVA[[#This Row],[QT_AREA_REAL]]&gt;0,ESTIMATIVA[[#This Row],[QT_CANA_REAL]],ESTIMATIVA[[#This Row],[QT_CANA_EST]])</f>
        <v>3098.2</v>
      </c>
      <c r="AE1153" s="1">
        <f>IF(ESTIMATIVA[[#This Row],[QT_AREA_REAL]]&gt;0,ESTIMATIVA[[#This Row],[QT_CANA_REAL]],ESTIMATIVA[[#This Row],[QT_CANA_REST1]])</f>
        <v>3098.2</v>
      </c>
      <c r="AF1153" s="1">
        <f>IF(ESTIMATIVA[[#This Row],[QT_AREA_REAL]]&gt;0,ESTIMATIVA[[#This Row],[QT_CANA_REAL]],ESTIMATIVA[[#This Row],[QT_CANA_REST2]])</f>
        <v>3098.2</v>
      </c>
      <c r="AG1153" s="1" t="str">
        <f>IF(COUNTIFS(GEADA!A:A,VALUE(ESTIMATIVA[[#This Row],[CD_UPNIVEL1]]&amp;TEXT(ESTIMATIVA[[#This Row],[CD_UPNIVEL3]],"0000")))&gt;0,"S","N")</f>
        <v>N</v>
      </c>
      <c r="AH115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53" s="55" t="str">
        <f>IF(ESTIMATIVA[[#This Row],[TP_CULTIVO]]="Irrigado",_xlfn.MAXIFS(IRRIGADO!J:J,IRRIGADO!C:C,ESTIMATIVA[[#This Row],[CD_UPNIVEL1]],IRRIGADO!E:E,ESTIMATIVA[[#This Row],[CD_UPNIVEL3]]),"")</f>
        <v/>
      </c>
      <c r="AJ115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53" s="1">
        <f>COUNTIFS(Apresentação!$E$23:$E$29,ESTIMATIVA[[#This Row],[CD_UPNIVEL1]])</f>
        <v>0</v>
      </c>
    </row>
    <row r="1154" spans="1:37" x14ac:dyDescent="0.3">
      <c r="A1154">
        <v>20510</v>
      </c>
      <c r="B1154" t="s">
        <v>66</v>
      </c>
      <c r="C1154">
        <v>6</v>
      </c>
      <c r="D1154">
        <v>2</v>
      </c>
      <c r="E1154" t="s">
        <v>266</v>
      </c>
      <c r="F1154" s="85" t="s">
        <v>333</v>
      </c>
      <c r="G1154"/>
      <c r="H1154" t="s">
        <v>294</v>
      </c>
      <c r="I1154" t="s">
        <v>198</v>
      </c>
      <c r="J1154" t="s">
        <v>176</v>
      </c>
      <c r="K1154" s="1">
        <v>47.15</v>
      </c>
      <c r="L1154" s="1">
        <v>0</v>
      </c>
      <c r="M1154" s="1">
        <v>0</v>
      </c>
      <c r="N1154" s="1">
        <v>47.15</v>
      </c>
      <c r="O1154" s="1">
        <v>3206.2</v>
      </c>
      <c r="P1154" s="1">
        <v>0</v>
      </c>
      <c r="Q1154" s="1">
        <v>0</v>
      </c>
      <c r="R1154" s="1">
        <v>2746.9</v>
      </c>
      <c r="S1154" t="s">
        <v>12</v>
      </c>
      <c r="T1154" s="13">
        <v>45753</v>
      </c>
      <c r="U1154" s="1" t="str">
        <f>IF(ESTIMATIVA[[#This Row],[QT_AREA_REAL]]&gt;0,"1- Colhido","2- à Colher")</f>
        <v>1- Colhido</v>
      </c>
      <c r="V1154" s="1" t="str">
        <f>IF(ESTIMATIVA[[#This Row],[QT_AREA_REST1]]&gt;0,"Reestimativa 1",IF(ESTIMATIVA[[#This Row],[QT_AREA_REAL]]=0,"Reestimativa 1","Realizado"))</f>
        <v>Realizado</v>
      </c>
      <c r="W1154" s="1" t="str">
        <f>IF(ESTIMATIVA[[#This Row],[QT_AREA_REST2]]&gt;0,"Reestimativa 2",IF(ESTIMATIVA[[#This Row],[QT_AREA_REAL]]=0,"Reestimativa 2","Realizado"))</f>
        <v>Realizado</v>
      </c>
      <c r="X1154" s="1">
        <f>ESTIMATIVA[[#This Row],[QT_AREA_EST]]</f>
        <v>47.15</v>
      </c>
      <c r="Y1154" s="1">
        <f>IF(ESTIMATIVA[[#This Row],[QT_AREA_REST1]]&gt;0,ESTIMATIVA[[#This Row],[QT_AREA_REST1]],
  IF(ESTIMATIVA[[#This Row],[QT_AREA_REAL]]&gt;0,ESTIMATIVA[[#This Row],[QT_AREA_REAL]],ESTIMATIVA[[#This Row],[QT_AREA_EST]]))</f>
        <v>47.15</v>
      </c>
      <c r="Z115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47.15</v>
      </c>
      <c r="AA1154" s="1">
        <f>ESTIMATIVA[[#This Row],[QT_CANA_EST]]</f>
        <v>3206.2</v>
      </c>
      <c r="AB1154" s="1">
        <f>IF(ESTIMATIVA[[#This Row],[QT_CANA_REST1]]&gt;0,ESTIMATIVA[[#This Row],[QT_CANA_REST1]],
  IF(ESTIMATIVA[[#This Row],[QT_CANA_REAL]]&gt;0,ESTIMATIVA[[#This Row],[QT_CANA_REAL]],ESTIMATIVA[[#This Row],[QT_CANA_EST]]))</f>
        <v>2746.9</v>
      </c>
      <c r="AC115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2746.9</v>
      </c>
      <c r="AD1154" s="1">
        <f>IF(ESTIMATIVA[[#This Row],[QT_AREA_REAL]]&gt;0,ESTIMATIVA[[#This Row],[QT_CANA_REAL]],ESTIMATIVA[[#This Row],[QT_CANA_EST]])</f>
        <v>2746.9</v>
      </c>
      <c r="AE1154" s="1">
        <f>IF(ESTIMATIVA[[#This Row],[QT_AREA_REAL]]&gt;0,ESTIMATIVA[[#This Row],[QT_CANA_REAL]],ESTIMATIVA[[#This Row],[QT_CANA_REST1]])</f>
        <v>2746.9</v>
      </c>
      <c r="AF1154" s="1">
        <f>IF(ESTIMATIVA[[#This Row],[QT_AREA_REAL]]&gt;0,ESTIMATIVA[[#This Row],[QT_CANA_REAL]],ESTIMATIVA[[#This Row],[QT_CANA_REST2]])</f>
        <v>2746.9</v>
      </c>
      <c r="AG1154" s="1" t="str">
        <f>IF(COUNTIFS(GEADA!A:A,VALUE(ESTIMATIVA[[#This Row],[CD_UPNIVEL1]]&amp;TEXT(ESTIMATIVA[[#This Row],[CD_UPNIVEL3]],"0000")))&gt;0,"S","N")</f>
        <v>N</v>
      </c>
      <c r="AH115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54" s="55" t="str">
        <f>IF(ESTIMATIVA[[#This Row],[TP_CULTIVO]]="Irrigado",_xlfn.MAXIFS(IRRIGADO!J:J,IRRIGADO!C:C,ESTIMATIVA[[#This Row],[CD_UPNIVEL1]],IRRIGADO!E:E,ESTIMATIVA[[#This Row],[CD_UPNIVEL3]]),"")</f>
        <v/>
      </c>
      <c r="AJ115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54" s="1">
        <f>COUNTIFS(Apresentação!$E$23:$E$29,ESTIMATIVA[[#This Row],[CD_UPNIVEL1]])</f>
        <v>0</v>
      </c>
    </row>
    <row r="1155" spans="1:37" x14ac:dyDescent="0.3">
      <c r="A1155">
        <v>20510</v>
      </c>
      <c r="B1155" t="s">
        <v>66</v>
      </c>
      <c r="C1155">
        <v>7</v>
      </c>
      <c r="D1155">
        <v>2</v>
      </c>
      <c r="E1155" t="s">
        <v>266</v>
      </c>
      <c r="F1155" s="85" t="s">
        <v>333</v>
      </c>
      <c r="G1155"/>
      <c r="H1155" t="s">
        <v>294</v>
      </c>
      <c r="I1155" t="s">
        <v>198</v>
      </c>
      <c r="J1155" t="s">
        <v>176</v>
      </c>
      <c r="K1155" s="1">
        <v>11.89</v>
      </c>
      <c r="L1155" s="1">
        <v>0</v>
      </c>
      <c r="M1155" s="1">
        <v>0</v>
      </c>
      <c r="N1155" s="1">
        <v>11.89</v>
      </c>
      <c r="O1155" s="1">
        <v>808.52</v>
      </c>
      <c r="P1155" s="1">
        <v>0</v>
      </c>
      <c r="Q1155" s="1">
        <v>0</v>
      </c>
      <c r="R1155" s="1">
        <v>693.39</v>
      </c>
      <c r="S1155" t="s">
        <v>12</v>
      </c>
      <c r="T1155" s="13">
        <v>45753</v>
      </c>
      <c r="U1155" s="1" t="str">
        <f>IF(ESTIMATIVA[[#This Row],[QT_AREA_REAL]]&gt;0,"1- Colhido","2- à Colher")</f>
        <v>1- Colhido</v>
      </c>
      <c r="V1155" s="1" t="str">
        <f>IF(ESTIMATIVA[[#This Row],[QT_AREA_REST1]]&gt;0,"Reestimativa 1",IF(ESTIMATIVA[[#This Row],[QT_AREA_REAL]]=0,"Reestimativa 1","Realizado"))</f>
        <v>Realizado</v>
      </c>
      <c r="W1155" s="1" t="str">
        <f>IF(ESTIMATIVA[[#This Row],[QT_AREA_REST2]]&gt;0,"Reestimativa 2",IF(ESTIMATIVA[[#This Row],[QT_AREA_REAL]]=0,"Reestimativa 2","Realizado"))</f>
        <v>Realizado</v>
      </c>
      <c r="X1155" s="1">
        <f>ESTIMATIVA[[#This Row],[QT_AREA_EST]]</f>
        <v>11.89</v>
      </c>
      <c r="Y1155" s="1">
        <f>IF(ESTIMATIVA[[#This Row],[QT_AREA_REST1]]&gt;0,ESTIMATIVA[[#This Row],[QT_AREA_REST1]],
  IF(ESTIMATIVA[[#This Row],[QT_AREA_REAL]]&gt;0,ESTIMATIVA[[#This Row],[QT_AREA_REAL]],ESTIMATIVA[[#This Row],[QT_AREA_EST]]))</f>
        <v>11.89</v>
      </c>
      <c r="Z115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11.89</v>
      </c>
      <c r="AA1155" s="1">
        <f>ESTIMATIVA[[#This Row],[QT_CANA_EST]]</f>
        <v>808.52</v>
      </c>
      <c r="AB1155" s="1">
        <f>IF(ESTIMATIVA[[#This Row],[QT_CANA_REST1]]&gt;0,ESTIMATIVA[[#This Row],[QT_CANA_REST1]],
  IF(ESTIMATIVA[[#This Row],[QT_CANA_REAL]]&gt;0,ESTIMATIVA[[#This Row],[QT_CANA_REAL]],ESTIMATIVA[[#This Row],[QT_CANA_EST]]))</f>
        <v>693.39</v>
      </c>
      <c r="AC115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693.39</v>
      </c>
      <c r="AD1155" s="1">
        <f>IF(ESTIMATIVA[[#This Row],[QT_AREA_REAL]]&gt;0,ESTIMATIVA[[#This Row],[QT_CANA_REAL]],ESTIMATIVA[[#This Row],[QT_CANA_EST]])</f>
        <v>693.39</v>
      </c>
      <c r="AE1155" s="1">
        <f>IF(ESTIMATIVA[[#This Row],[QT_AREA_REAL]]&gt;0,ESTIMATIVA[[#This Row],[QT_CANA_REAL]],ESTIMATIVA[[#This Row],[QT_CANA_REST1]])</f>
        <v>693.39</v>
      </c>
      <c r="AF1155" s="1">
        <f>IF(ESTIMATIVA[[#This Row],[QT_AREA_REAL]]&gt;0,ESTIMATIVA[[#This Row],[QT_CANA_REAL]],ESTIMATIVA[[#This Row],[QT_CANA_REST2]])</f>
        <v>693.39</v>
      </c>
      <c r="AG1155" s="1" t="str">
        <f>IF(COUNTIFS(GEADA!A:A,VALUE(ESTIMATIVA[[#This Row],[CD_UPNIVEL1]]&amp;TEXT(ESTIMATIVA[[#This Row],[CD_UPNIVEL3]],"0000")))&gt;0,"S","N")</f>
        <v>N</v>
      </c>
      <c r="AH115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55" s="55" t="str">
        <f>IF(ESTIMATIVA[[#This Row],[TP_CULTIVO]]="Irrigado",_xlfn.MAXIFS(IRRIGADO!J:J,IRRIGADO!C:C,ESTIMATIVA[[#This Row],[CD_UPNIVEL1]],IRRIGADO!E:E,ESTIMATIVA[[#This Row],[CD_UPNIVEL3]]),"")</f>
        <v/>
      </c>
      <c r="AJ115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55" s="1">
        <f>COUNTIFS(Apresentação!$E$23:$E$29,ESTIMATIVA[[#This Row],[CD_UPNIVEL1]])</f>
        <v>0</v>
      </c>
    </row>
    <row r="1156" spans="1:37" x14ac:dyDescent="0.3">
      <c r="A1156">
        <v>20511</v>
      </c>
      <c r="B1156" t="s">
        <v>67</v>
      </c>
      <c r="C1156">
        <v>1</v>
      </c>
      <c r="D1156">
        <v>4</v>
      </c>
      <c r="E1156" t="s">
        <v>265</v>
      </c>
      <c r="F1156" s="85" t="s">
        <v>332</v>
      </c>
      <c r="G1156"/>
      <c r="H1156" t="s">
        <v>294</v>
      </c>
      <c r="I1156" t="s">
        <v>197</v>
      </c>
      <c r="J1156" t="s">
        <v>176</v>
      </c>
      <c r="K1156" s="1">
        <v>19.75</v>
      </c>
      <c r="L1156" s="1">
        <v>19.75</v>
      </c>
      <c r="M1156" s="1">
        <v>0</v>
      </c>
      <c r="N1156" s="1">
        <v>19.75</v>
      </c>
      <c r="O1156" s="1">
        <v>1777.5</v>
      </c>
      <c r="P1156" s="1">
        <v>1777.5</v>
      </c>
      <c r="Q1156" s="1">
        <v>0</v>
      </c>
      <c r="R1156" s="1">
        <v>1803.77</v>
      </c>
      <c r="S1156" t="s">
        <v>12</v>
      </c>
      <c r="T1156" s="13">
        <v>45886</v>
      </c>
      <c r="U1156" s="1" t="str">
        <f>IF(ESTIMATIVA[[#This Row],[QT_AREA_REAL]]&gt;0,"1- Colhido","2- à Colher")</f>
        <v>1- Colhido</v>
      </c>
      <c r="V1156" s="1" t="str">
        <f>IF(ESTIMATIVA[[#This Row],[QT_AREA_REST1]]&gt;0,"Reestimativa 1",IF(ESTIMATIVA[[#This Row],[QT_AREA_REAL]]=0,"Reestimativa 1","Realizado"))</f>
        <v>Reestimativa 1</v>
      </c>
      <c r="W1156" s="1" t="str">
        <f>IF(ESTIMATIVA[[#This Row],[QT_AREA_REST2]]&gt;0,"Reestimativa 2",IF(ESTIMATIVA[[#This Row],[QT_AREA_REAL]]=0,"Reestimativa 2","Realizado"))</f>
        <v>Realizado</v>
      </c>
      <c r="X1156" s="1">
        <f>ESTIMATIVA[[#This Row],[QT_AREA_EST]]</f>
        <v>19.75</v>
      </c>
      <c r="Y1156" s="1">
        <f>IF(ESTIMATIVA[[#This Row],[QT_AREA_REST1]]&gt;0,ESTIMATIVA[[#This Row],[QT_AREA_REST1]],
  IF(ESTIMATIVA[[#This Row],[QT_AREA_REAL]]&gt;0,ESTIMATIVA[[#This Row],[QT_AREA_REAL]],ESTIMATIVA[[#This Row],[QT_AREA_EST]]))</f>
        <v>19.75</v>
      </c>
      <c r="Z115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19.75</v>
      </c>
      <c r="AA1156" s="1">
        <f>ESTIMATIVA[[#This Row],[QT_CANA_EST]]</f>
        <v>1777.5</v>
      </c>
      <c r="AB1156" s="1">
        <f>IF(ESTIMATIVA[[#This Row],[QT_CANA_REST1]]&gt;0,ESTIMATIVA[[#This Row],[QT_CANA_REST1]],
  IF(ESTIMATIVA[[#This Row],[QT_CANA_REAL]]&gt;0,ESTIMATIVA[[#This Row],[QT_CANA_REAL]],ESTIMATIVA[[#This Row],[QT_CANA_EST]]))</f>
        <v>1777.5</v>
      </c>
      <c r="AC115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1803.77</v>
      </c>
      <c r="AD1156" s="1">
        <f>IF(ESTIMATIVA[[#This Row],[QT_AREA_REAL]]&gt;0,ESTIMATIVA[[#This Row],[QT_CANA_REAL]],ESTIMATIVA[[#This Row],[QT_CANA_EST]])</f>
        <v>1803.77</v>
      </c>
      <c r="AE1156" s="1">
        <f>IF(ESTIMATIVA[[#This Row],[QT_AREA_REAL]]&gt;0,ESTIMATIVA[[#This Row],[QT_CANA_REAL]],ESTIMATIVA[[#This Row],[QT_CANA_REST1]])</f>
        <v>1803.77</v>
      </c>
      <c r="AF1156" s="1">
        <f>IF(ESTIMATIVA[[#This Row],[QT_AREA_REAL]]&gt;0,ESTIMATIVA[[#This Row],[QT_CANA_REAL]],ESTIMATIVA[[#This Row],[QT_CANA_REST2]])</f>
        <v>1803.77</v>
      </c>
      <c r="AG1156" s="1" t="str">
        <f>IF(COUNTIFS(GEADA!A:A,VALUE(ESTIMATIVA[[#This Row],[CD_UPNIVEL1]]&amp;TEXT(ESTIMATIVA[[#This Row],[CD_UPNIVEL3]],"0000")))&gt;0,"S","N")</f>
        <v>N</v>
      </c>
      <c r="AH115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56" s="55" t="str">
        <f>IF(ESTIMATIVA[[#This Row],[TP_CULTIVO]]="Irrigado",_xlfn.MAXIFS(IRRIGADO!J:J,IRRIGADO!C:C,ESTIMATIVA[[#This Row],[CD_UPNIVEL1]],IRRIGADO!E:E,ESTIMATIVA[[#This Row],[CD_UPNIVEL3]]),"")</f>
        <v/>
      </c>
      <c r="AJ115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56" s="1">
        <f>COUNTIFS(Apresentação!$E$23:$E$29,ESTIMATIVA[[#This Row],[CD_UPNIVEL1]])</f>
        <v>0</v>
      </c>
    </row>
    <row r="1157" spans="1:37" x14ac:dyDescent="0.3">
      <c r="A1157">
        <v>20511</v>
      </c>
      <c r="B1157" t="s">
        <v>67</v>
      </c>
      <c r="C1157">
        <v>2</v>
      </c>
      <c r="D1157">
        <v>4</v>
      </c>
      <c r="E1157" t="s">
        <v>265</v>
      </c>
      <c r="F1157" s="85" t="s">
        <v>332</v>
      </c>
      <c r="G1157"/>
      <c r="H1157" t="s">
        <v>294</v>
      </c>
      <c r="I1157" t="s">
        <v>197</v>
      </c>
      <c r="J1157" t="s">
        <v>176</v>
      </c>
      <c r="K1157" s="1">
        <v>26.75</v>
      </c>
      <c r="L1157" s="1">
        <v>26.75</v>
      </c>
      <c r="M1157" s="1">
        <v>0</v>
      </c>
      <c r="N1157" s="1">
        <v>26.75</v>
      </c>
      <c r="O1157" s="1">
        <v>2407.5</v>
      </c>
      <c r="P1157" s="1">
        <v>2407.5</v>
      </c>
      <c r="Q1157" s="1">
        <v>0</v>
      </c>
      <c r="R1157" s="1">
        <v>2442.94</v>
      </c>
      <c r="S1157" t="s">
        <v>12</v>
      </c>
      <c r="T1157" s="13">
        <v>45886</v>
      </c>
      <c r="U1157" s="1" t="str">
        <f>IF(ESTIMATIVA[[#This Row],[QT_AREA_REAL]]&gt;0,"1- Colhido","2- à Colher")</f>
        <v>1- Colhido</v>
      </c>
      <c r="V1157" s="1" t="str">
        <f>IF(ESTIMATIVA[[#This Row],[QT_AREA_REST1]]&gt;0,"Reestimativa 1",IF(ESTIMATIVA[[#This Row],[QT_AREA_REAL]]=0,"Reestimativa 1","Realizado"))</f>
        <v>Reestimativa 1</v>
      </c>
      <c r="W1157" s="1" t="str">
        <f>IF(ESTIMATIVA[[#This Row],[QT_AREA_REST2]]&gt;0,"Reestimativa 2",IF(ESTIMATIVA[[#This Row],[QT_AREA_REAL]]=0,"Reestimativa 2","Realizado"))</f>
        <v>Realizado</v>
      </c>
      <c r="X1157" s="1">
        <f>ESTIMATIVA[[#This Row],[QT_AREA_EST]]</f>
        <v>26.75</v>
      </c>
      <c r="Y1157" s="1">
        <f>IF(ESTIMATIVA[[#This Row],[QT_AREA_REST1]]&gt;0,ESTIMATIVA[[#This Row],[QT_AREA_REST1]],
  IF(ESTIMATIVA[[#This Row],[QT_AREA_REAL]]&gt;0,ESTIMATIVA[[#This Row],[QT_AREA_REAL]],ESTIMATIVA[[#This Row],[QT_AREA_EST]]))</f>
        <v>26.75</v>
      </c>
      <c r="Z115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26.75</v>
      </c>
      <c r="AA1157" s="1">
        <f>ESTIMATIVA[[#This Row],[QT_CANA_EST]]</f>
        <v>2407.5</v>
      </c>
      <c r="AB1157" s="1">
        <f>IF(ESTIMATIVA[[#This Row],[QT_CANA_REST1]]&gt;0,ESTIMATIVA[[#This Row],[QT_CANA_REST1]],
  IF(ESTIMATIVA[[#This Row],[QT_CANA_REAL]]&gt;0,ESTIMATIVA[[#This Row],[QT_CANA_REAL]],ESTIMATIVA[[#This Row],[QT_CANA_EST]]))</f>
        <v>2407.5</v>
      </c>
      <c r="AC115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2442.94</v>
      </c>
      <c r="AD1157" s="1">
        <f>IF(ESTIMATIVA[[#This Row],[QT_AREA_REAL]]&gt;0,ESTIMATIVA[[#This Row],[QT_CANA_REAL]],ESTIMATIVA[[#This Row],[QT_CANA_EST]])</f>
        <v>2442.94</v>
      </c>
      <c r="AE1157" s="1">
        <f>IF(ESTIMATIVA[[#This Row],[QT_AREA_REAL]]&gt;0,ESTIMATIVA[[#This Row],[QT_CANA_REAL]],ESTIMATIVA[[#This Row],[QT_CANA_REST1]])</f>
        <v>2442.94</v>
      </c>
      <c r="AF1157" s="1">
        <f>IF(ESTIMATIVA[[#This Row],[QT_AREA_REAL]]&gt;0,ESTIMATIVA[[#This Row],[QT_CANA_REAL]],ESTIMATIVA[[#This Row],[QT_CANA_REST2]])</f>
        <v>2442.94</v>
      </c>
      <c r="AG1157" s="1" t="str">
        <f>IF(COUNTIFS(GEADA!A:A,VALUE(ESTIMATIVA[[#This Row],[CD_UPNIVEL1]]&amp;TEXT(ESTIMATIVA[[#This Row],[CD_UPNIVEL3]],"0000")))&gt;0,"S","N")</f>
        <v>N</v>
      </c>
      <c r="AH115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57" s="55" t="str">
        <f>IF(ESTIMATIVA[[#This Row],[TP_CULTIVO]]="Irrigado",_xlfn.MAXIFS(IRRIGADO!J:J,IRRIGADO!C:C,ESTIMATIVA[[#This Row],[CD_UPNIVEL1]],IRRIGADO!E:E,ESTIMATIVA[[#This Row],[CD_UPNIVEL3]]),"")</f>
        <v/>
      </c>
      <c r="AJ115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57" s="1">
        <f>COUNTIFS(Apresentação!$E$23:$E$29,ESTIMATIVA[[#This Row],[CD_UPNIVEL1]])</f>
        <v>0</v>
      </c>
    </row>
    <row r="1158" spans="1:37" x14ac:dyDescent="0.3">
      <c r="A1158">
        <v>20511</v>
      </c>
      <c r="B1158" t="s">
        <v>67</v>
      </c>
      <c r="C1158">
        <v>3</v>
      </c>
      <c r="D1158">
        <v>4</v>
      </c>
      <c r="E1158" t="s">
        <v>265</v>
      </c>
      <c r="F1158" s="85" t="s">
        <v>332</v>
      </c>
      <c r="G1158"/>
      <c r="H1158" t="s">
        <v>294</v>
      </c>
      <c r="I1158" t="s">
        <v>197</v>
      </c>
      <c r="J1158" t="s">
        <v>176</v>
      </c>
      <c r="K1158" s="1">
        <v>21.12</v>
      </c>
      <c r="L1158" s="1">
        <v>21.12</v>
      </c>
      <c r="M1158" s="1">
        <v>0</v>
      </c>
      <c r="N1158" s="1">
        <v>21.12</v>
      </c>
      <c r="O1158" s="1">
        <v>1689.6</v>
      </c>
      <c r="P1158" s="1">
        <v>1689.6</v>
      </c>
      <c r="Q1158" s="1">
        <v>0</v>
      </c>
      <c r="R1158" s="1">
        <v>1855.75</v>
      </c>
      <c r="S1158" t="s">
        <v>12</v>
      </c>
      <c r="T1158" s="13">
        <v>45879</v>
      </c>
      <c r="U1158" s="1" t="str">
        <f>IF(ESTIMATIVA[[#This Row],[QT_AREA_REAL]]&gt;0,"1- Colhido","2- à Colher")</f>
        <v>1- Colhido</v>
      </c>
      <c r="V1158" s="1" t="str">
        <f>IF(ESTIMATIVA[[#This Row],[QT_AREA_REST1]]&gt;0,"Reestimativa 1",IF(ESTIMATIVA[[#This Row],[QT_AREA_REAL]]=0,"Reestimativa 1","Realizado"))</f>
        <v>Reestimativa 1</v>
      </c>
      <c r="W1158" s="1" t="str">
        <f>IF(ESTIMATIVA[[#This Row],[QT_AREA_REST2]]&gt;0,"Reestimativa 2",IF(ESTIMATIVA[[#This Row],[QT_AREA_REAL]]=0,"Reestimativa 2","Realizado"))</f>
        <v>Realizado</v>
      </c>
      <c r="X1158" s="1">
        <f>ESTIMATIVA[[#This Row],[QT_AREA_EST]]</f>
        <v>21.12</v>
      </c>
      <c r="Y1158" s="1">
        <f>IF(ESTIMATIVA[[#This Row],[QT_AREA_REST1]]&gt;0,ESTIMATIVA[[#This Row],[QT_AREA_REST1]],
  IF(ESTIMATIVA[[#This Row],[QT_AREA_REAL]]&gt;0,ESTIMATIVA[[#This Row],[QT_AREA_REAL]],ESTIMATIVA[[#This Row],[QT_AREA_EST]]))</f>
        <v>21.12</v>
      </c>
      <c r="Z115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21.12</v>
      </c>
      <c r="AA1158" s="1">
        <f>ESTIMATIVA[[#This Row],[QT_CANA_EST]]</f>
        <v>1689.6</v>
      </c>
      <c r="AB1158" s="1">
        <f>IF(ESTIMATIVA[[#This Row],[QT_CANA_REST1]]&gt;0,ESTIMATIVA[[#This Row],[QT_CANA_REST1]],
  IF(ESTIMATIVA[[#This Row],[QT_CANA_REAL]]&gt;0,ESTIMATIVA[[#This Row],[QT_CANA_REAL]],ESTIMATIVA[[#This Row],[QT_CANA_EST]]))</f>
        <v>1689.6</v>
      </c>
      <c r="AC115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1855.75</v>
      </c>
      <c r="AD1158" s="1">
        <f>IF(ESTIMATIVA[[#This Row],[QT_AREA_REAL]]&gt;0,ESTIMATIVA[[#This Row],[QT_CANA_REAL]],ESTIMATIVA[[#This Row],[QT_CANA_EST]])</f>
        <v>1855.75</v>
      </c>
      <c r="AE1158" s="1">
        <f>IF(ESTIMATIVA[[#This Row],[QT_AREA_REAL]]&gt;0,ESTIMATIVA[[#This Row],[QT_CANA_REAL]],ESTIMATIVA[[#This Row],[QT_CANA_REST1]])</f>
        <v>1855.75</v>
      </c>
      <c r="AF1158" s="1">
        <f>IF(ESTIMATIVA[[#This Row],[QT_AREA_REAL]]&gt;0,ESTIMATIVA[[#This Row],[QT_CANA_REAL]],ESTIMATIVA[[#This Row],[QT_CANA_REST2]])</f>
        <v>1855.75</v>
      </c>
      <c r="AG1158" s="1" t="str">
        <f>IF(COUNTIFS(GEADA!A:A,VALUE(ESTIMATIVA[[#This Row],[CD_UPNIVEL1]]&amp;TEXT(ESTIMATIVA[[#This Row],[CD_UPNIVEL3]],"0000")))&gt;0,"S","N")</f>
        <v>N</v>
      </c>
      <c r="AH115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58" s="55" t="str">
        <f>IF(ESTIMATIVA[[#This Row],[TP_CULTIVO]]="Irrigado",_xlfn.MAXIFS(IRRIGADO!J:J,IRRIGADO!C:C,ESTIMATIVA[[#This Row],[CD_UPNIVEL1]],IRRIGADO!E:E,ESTIMATIVA[[#This Row],[CD_UPNIVEL3]]),"")</f>
        <v/>
      </c>
      <c r="AJ115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58" s="1">
        <f>COUNTIFS(Apresentação!$E$23:$E$29,ESTIMATIVA[[#This Row],[CD_UPNIVEL1]])</f>
        <v>0</v>
      </c>
    </row>
    <row r="1159" spans="1:37" x14ac:dyDescent="0.3">
      <c r="A1159">
        <v>20511</v>
      </c>
      <c r="B1159" t="s">
        <v>67</v>
      </c>
      <c r="C1159">
        <v>4</v>
      </c>
      <c r="D1159">
        <v>6</v>
      </c>
      <c r="E1159" t="s">
        <v>261</v>
      </c>
      <c r="F1159" s="85" t="s">
        <v>332</v>
      </c>
      <c r="G1159"/>
      <c r="H1159" t="s">
        <v>294</v>
      </c>
      <c r="I1159" t="s">
        <v>202</v>
      </c>
      <c r="J1159" t="s">
        <v>176</v>
      </c>
      <c r="K1159" s="1">
        <v>29.37</v>
      </c>
      <c r="L1159" s="1">
        <v>29.37</v>
      </c>
      <c r="M1159" s="1">
        <v>0</v>
      </c>
      <c r="N1159" s="1">
        <v>29.37</v>
      </c>
      <c r="O1159" s="1">
        <v>1909.05</v>
      </c>
      <c r="P1159" s="1">
        <v>1967.79</v>
      </c>
      <c r="Q1159" s="1">
        <v>0</v>
      </c>
      <c r="R1159" s="1">
        <v>2161.02</v>
      </c>
      <c r="S1159" t="s">
        <v>12</v>
      </c>
      <c r="T1159" s="13">
        <v>45879</v>
      </c>
      <c r="U1159" s="1" t="str">
        <f>IF(ESTIMATIVA[[#This Row],[QT_AREA_REAL]]&gt;0,"1- Colhido","2- à Colher")</f>
        <v>1- Colhido</v>
      </c>
      <c r="V1159" s="1" t="str">
        <f>IF(ESTIMATIVA[[#This Row],[QT_AREA_REST1]]&gt;0,"Reestimativa 1",IF(ESTIMATIVA[[#This Row],[QT_AREA_REAL]]=0,"Reestimativa 1","Realizado"))</f>
        <v>Reestimativa 1</v>
      </c>
      <c r="W1159" s="1" t="str">
        <f>IF(ESTIMATIVA[[#This Row],[QT_AREA_REST2]]&gt;0,"Reestimativa 2",IF(ESTIMATIVA[[#This Row],[QT_AREA_REAL]]=0,"Reestimativa 2","Realizado"))</f>
        <v>Realizado</v>
      </c>
      <c r="X1159" s="1">
        <f>ESTIMATIVA[[#This Row],[QT_AREA_EST]]</f>
        <v>29.37</v>
      </c>
      <c r="Y1159" s="1">
        <f>IF(ESTIMATIVA[[#This Row],[QT_AREA_REST1]]&gt;0,ESTIMATIVA[[#This Row],[QT_AREA_REST1]],
  IF(ESTIMATIVA[[#This Row],[QT_AREA_REAL]]&gt;0,ESTIMATIVA[[#This Row],[QT_AREA_REAL]],ESTIMATIVA[[#This Row],[QT_AREA_EST]]))</f>
        <v>29.37</v>
      </c>
      <c r="Z115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29.37</v>
      </c>
      <c r="AA1159" s="1">
        <f>ESTIMATIVA[[#This Row],[QT_CANA_EST]]</f>
        <v>1909.05</v>
      </c>
      <c r="AB1159" s="1">
        <f>IF(ESTIMATIVA[[#This Row],[QT_CANA_REST1]]&gt;0,ESTIMATIVA[[#This Row],[QT_CANA_REST1]],
  IF(ESTIMATIVA[[#This Row],[QT_CANA_REAL]]&gt;0,ESTIMATIVA[[#This Row],[QT_CANA_REAL]],ESTIMATIVA[[#This Row],[QT_CANA_EST]]))</f>
        <v>1967.79</v>
      </c>
      <c r="AC115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2161.02</v>
      </c>
      <c r="AD1159" s="1">
        <f>IF(ESTIMATIVA[[#This Row],[QT_AREA_REAL]]&gt;0,ESTIMATIVA[[#This Row],[QT_CANA_REAL]],ESTIMATIVA[[#This Row],[QT_CANA_EST]])</f>
        <v>2161.02</v>
      </c>
      <c r="AE1159" s="1">
        <f>IF(ESTIMATIVA[[#This Row],[QT_AREA_REAL]]&gt;0,ESTIMATIVA[[#This Row],[QT_CANA_REAL]],ESTIMATIVA[[#This Row],[QT_CANA_REST1]])</f>
        <v>2161.02</v>
      </c>
      <c r="AF1159" s="1">
        <f>IF(ESTIMATIVA[[#This Row],[QT_AREA_REAL]]&gt;0,ESTIMATIVA[[#This Row],[QT_CANA_REAL]],ESTIMATIVA[[#This Row],[QT_CANA_REST2]])</f>
        <v>2161.02</v>
      </c>
      <c r="AG1159" s="1" t="str">
        <f>IF(COUNTIFS(GEADA!A:A,VALUE(ESTIMATIVA[[#This Row],[CD_UPNIVEL1]]&amp;TEXT(ESTIMATIVA[[#This Row],[CD_UPNIVEL3]],"0000")))&gt;0,"S","N")</f>
        <v>N</v>
      </c>
      <c r="AH115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59" s="55" t="str">
        <f>IF(ESTIMATIVA[[#This Row],[TP_CULTIVO]]="Irrigado",_xlfn.MAXIFS(IRRIGADO!J:J,IRRIGADO!C:C,ESTIMATIVA[[#This Row],[CD_UPNIVEL1]],IRRIGADO!E:E,ESTIMATIVA[[#This Row],[CD_UPNIVEL3]]),"")</f>
        <v/>
      </c>
      <c r="AJ115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59" s="1">
        <f>COUNTIFS(Apresentação!$E$23:$E$29,ESTIMATIVA[[#This Row],[CD_UPNIVEL1]])</f>
        <v>0</v>
      </c>
    </row>
    <row r="1160" spans="1:37" x14ac:dyDescent="0.3">
      <c r="A1160">
        <v>20511</v>
      </c>
      <c r="B1160" t="s">
        <v>67</v>
      </c>
      <c r="C1160">
        <v>5</v>
      </c>
      <c r="D1160">
        <v>6</v>
      </c>
      <c r="E1160" t="s">
        <v>261</v>
      </c>
      <c r="F1160" s="85" t="s">
        <v>332</v>
      </c>
      <c r="G1160"/>
      <c r="H1160" t="s">
        <v>294</v>
      </c>
      <c r="I1160" t="s">
        <v>202</v>
      </c>
      <c r="J1160" t="s">
        <v>176</v>
      </c>
      <c r="K1160" s="1">
        <v>20.68</v>
      </c>
      <c r="L1160" s="1">
        <v>20.68</v>
      </c>
      <c r="M1160" s="1">
        <v>0</v>
      </c>
      <c r="N1160" s="1">
        <v>20.68</v>
      </c>
      <c r="O1160" s="1">
        <v>1344.2</v>
      </c>
      <c r="P1160" s="1">
        <v>1385.56</v>
      </c>
      <c r="Q1160" s="1">
        <v>0</v>
      </c>
      <c r="R1160" s="1">
        <v>1818.35</v>
      </c>
      <c r="S1160" t="s">
        <v>12</v>
      </c>
      <c r="T1160" s="13">
        <v>45886</v>
      </c>
      <c r="U1160" s="1" t="str">
        <f>IF(ESTIMATIVA[[#This Row],[QT_AREA_REAL]]&gt;0,"1- Colhido","2- à Colher")</f>
        <v>1- Colhido</v>
      </c>
      <c r="V1160" s="1" t="str">
        <f>IF(ESTIMATIVA[[#This Row],[QT_AREA_REST1]]&gt;0,"Reestimativa 1",IF(ESTIMATIVA[[#This Row],[QT_AREA_REAL]]=0,"Reestimativa 1","Realizado"))</f>
        <v>Reestimativa 1</v>
      </c>
      <c r="W1160" s="1" t="str">
        <f>IF(ESTIMATIVA[[#This Row],[QT_AREA_REST2]]&gt;0,"Reestimativa 2",IF(ESTIMATIVA[[#This Row],[QT_AREA_REAL]]=0,"Reestimativa 2","Realizado"))</f>
        <v>Realizado</v>
      </c>
      <c r="X1160" s="1">
        <f>ESTIMATIVA[[#This Row],[QT_AREA_EST]]</f>
        <v>20.68</v>
      </c>
      <c r="Y1160" s="1">
        <f>IF(ESTIMATIVA[[#This Row],[QT_AREA_REST1]]&gt;0,ESTIMATIVA[[#This Row],[QT_AREA_REST1]],
  IF(ESTIMATIVA[[#This Row],[QT_AREA_REAL]]&gt;0,ESTIMATIVA[[#This Row],[QT_AREA_REAL]],ESTIMATIVA[[#This Row],[QT_AREA_EST]]))</f>
        <v>20.68</v>
      </c>
      <c r="Z116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20.68</v>
      </c>
      <c r="AA1160" s="1">
        <f>ESTIMATIVA[[#This Row],[QT_CANA_EST]]</f>
        <v>1344.2</v>
      </c>
      <c r="AB1160" s="1">
        <f>IF(ESTIMATIVA[[#This Row],[QT_CANA_REST1]]&gt;0,ESTIMATIVA[[#This Row],[QT_CANA_REST1]],
  IF(ESTIMATIVA[[#This Row],[QT_CANA_REAL]]&gt;0,ESTIMATIVA[[#This Row],[QT_CANA_REAL]],ESTIMATIVA[[#This Row],[QT_CANA_EST]]))</f>
        <v>1385.56</v>
      </c>
      <c r="AC116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1818.35</v>
      </c>
      <c r="AD1160" s="1">
        <f>IF(ESTIMATIVA[[#This Row],[QT_AREA_REAL]]&gt;0,ESTIMATIVA[[#This Row],[QT_CANA_REAL]],ESTIMATIVA[[#This Row],[QT_CANA_EST]])</f>
        <v>1818.35</v>
      </c>
      <c r="AE1160" s="1">
        <f>IF(ESTIMATIVA[[#This Row],[QT_AREA_REAL]]&gt;0,ESTIMATIVA[[#This Row],[QT_CANA_REAL]],ESTIMATIVA[[#This Row],[QT_CANA_REST1]])</f>
        <v>1818.35</v>
      </c>
      <c r="AF1160" s="1">
        <f>IF(ESTIMATIVA[[#This Row],[QT_AREA_REAL]]&gt;0,ESTIMATIVA[[#This Row],[QT_CANA_REAL]],ESTIMATIVA[[#This Row],[QT_CANA_REST2]])</f>
        <v>1818.35</v>
      </c>
      <c r="AG1160" s="1" t="str">
        <f>IF(COUNTIFS(GEADA!A:A,VALUE(ESTIMATIVA[[#This Row],[CD_UPNIVEL1]]&amp;TEXT(ESTIMATIVA[[#This Row],[CD_UPNIVEL3]],"0000")))&gt;0,"S","N")</f>
        <v>N</v>
      </c>
      <c r="AH116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60" s="55" t="str">
        <f>IF(ESTIMATIVA[[#This Row],[TP_CULTIVO]]="Irrigado",_xlfn.MAXIFS(IRRIGADO!J:J,IRRIGADO!C:C,ESTIMATIVA[[#This Row],[CD_UPNIVEL1]],IRRIGADO!E:E,ESTIMATIVA[[#This Row],[CD_UPNIVEL3]]),"")</f>
        <v/>
      </c>
      <c r="AJ116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60" s="1">
        <f>COUNTIFS(Apresentação!$E$23:$E$29,ESTIMATIVA[[#This Row],[CD_UPNIVEL1]])</f>
        <v>0</v>
      </c>
    </row>
    <row r="1161" spans="1:37" x14ac:dyDescent="0.3">
      <c r="A1161">
        <v>20511</v>
      </c>
      <c r="B1161" t="s">
        <v>67</v>
      </c>
      <c r="C1161">
        <v>6</v>
      </c>
      <c r="D1161">
        <v>6</v>
      </c>
      <c r="E1161" t="s">
        <v>261</v>
      </c>
      <c r="F1161" s="85" t="s">
        <v>332</v>
      </c>
      <c r="G1161"/>
      <c r="H1161" t="s">
        <v>294</v>
      </c>
      <c r="I1161" t="s">
        <v>221</v>
      </c>
      <c r="J1161" t="s">
        <v>176</v>
      </c>
      <c r="K1161" s="1">
        <v>10.17</v>
      </c>
      <c r="L1161" s="1">
        <v>10.17</v>
      </c>
      <c r="M1161" s="1">
        <v>0</v>
      </c>
      <c r="N1161" s="1">
        <v>10.17</v>
      </c>
      <c r="O1161" s="1">
        <v>661.05</v>
      </c>
      <c r="P1161" s="1">
        <v>681.39</v>
      </c>
      <c r="Q1161" s="1">
        <v>0</v>
      </c>
      <c r="R1161" s="1">
        <v>900.73</v>
      </c>
      <c r="S1161" t="s">
        <v>12</v>
      </c>
      <c r="T1161" s="13">
        <v>45886</v>
      </c>
      <c r="U1161" s="1" t="str">
        <f>IF(ESTIMATIVA[[#This Row],[QT_AREA_REAL]]&gt;0,"1- Colhido","2- à Colher")</f>
        <v>1- Colhido</v>
      </c>
      <c r="V1161" s="1" t="str">
        <f>IF(ESTIMATIVA[[#This Row],[QT_AREA_REST1]]&gt;0,"Reestimativa 1",IF(ESTIMATIVA[[#This Row],[QT_AREA_REAL]]=0,"Reestimativa 1","Realizado"))</f>
        <v>Reestimativa 1</v>
      </c>
      <c r="W1161" s="1" t="str">
        <f>IF(ESTIMATIVA[[#This Row],[QT_AREA_REST2]]&gt;0,"Reestimativa 2",IF(ESTIMATIVA[[#This Row],[QT_AREA_REAL]]=0,"Reestimativa 2","Realizado"))</f>
        <v>Realizado</v>
      </c>
      <c r="X1161" s="1">
        <f>ESTIMATIVA[[#This Row],[QT_AREA_EST]]</f>
        <v>10.17</v>
      </c>
      <c r="Y1161" s="1">
        <f>IF(ESTIMATIVA[[#This Row],[QT_AREA_REST1]]&gt;0,ESTIMATIVA[[#This Row],[QT_AREA_REST1]],
  IF(ESTIMATIVA[[#This Row],[QT_AREA_REAL]]&gt;0,ESTIMATIVA[[#This Row],[QT_AREA_REAL]],ESTIMATIVA[[#This Row],[QT_AREA_EST]]))</f>
        <v>10.17</v>
      </c>
      <c r="Z116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10.17</v>
      </c>
      <c r="AA1161" s="1">
        <f>ESTIMATIVA[[#This Row],[QT_CANA_EST]]</f>
        <v>661.05</v>
      </c>
      <c r="AB1161" s="1">
        <f>IF(ESTIMATIVA[[#This Row],[QT_CANA_REST1]]&gt;0,ESTIMATIVA[[#This Row],[QT_CANA_REST1]],
  IF(ESTIMATIVA[[#This Row],[QT_CANA_REAL]]&gt;0,ESTIMATIVA[[#This Row],[QT_CANA_REAL]],ESTIMATIVA[[#This Row],[QT_CANA_EST]]))</f>
        <v>681.39</v>
      </c>
      <c r="AC116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900.73</v>
      </c>
      <c r="AD1161" s="1">
        <f>IF(ESTIMATIVA[[#This Row],[QT_AREA_REAL]]&gt;0,ESTIMATIVA[[#This Row],[QT_CANA_REAL]],ESTIMATIVA[[#This Row],[QT_CANA_EST]])</f>
        <v>900.73</v>
      </c>
      <c r="AE1161" s="1">
        <f>IF(ESTIMATIVA[[#This Row],[QT_AREA_REAL]]&gt;0,ESTIMATIVA[[#This Row],[QT_CANA_REAL]],ESTIMATIVA[[#This Row],[QT_CANA_REST1]])</f>
        <v>900.73</v>
      </c>
      <c r="AF1161" s="1">
        <f>IF(ESTIMATIVA[[#This Row],[QT_AREA_REAL]]&gt;0,ESTIMATIVA[[#This Row],[QT_CANA_REAL]],ESTIMATIVA[[#This Row],[QT_CANA_REST2]])</f>
        <v>900.73</v>
      </c>
      <c r="AG1161" s="1" t="str">
        <f>IF(COUNTIFS(GEADA!A:A,VALUE(ESTIMATIVA[[#This Row],[CD_UPNIVEL1]]&amp;TEXT(ESTIMATIVA[[#This Row],[CD_UPNIVEL3]],"0000")))&gt;0,"S","N")</f>
        <v>N</v>
      </c>
      <c r="AH116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61" s="55" t="str">
        <f>IF(ESTIMATIVA[[#This Row],[TP_CULTIVO]]="Irrigado",_xlfn.MAXIFS(IRRIGADO!J:J,IRRIGADO!C:C,ESTIMATIVA[[#This Row],[CD_UPNIVEL1]],IRRIGADO!E:E,ESTIMATIVA[[#This Row],[CD_UPNIVEL3]]),"")</f>
        <v/>
      </c>
      <c r="AJ116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61" s="1">
        <f>COUNTIFS(Apresentação!$E$23:$E$29,ESTIMATIVA[[#This Row],[CD_UPNIVEL1]])</f>
        <v>0</v>
      </c>
    </row>
    <row r="1162" spans="1:37" x14ac:dyDescent="0.3">
      <c r="A1162">
        <v>20511</v>
      </c>
      <c r="B1162" t="s">
        <v>67</v>
      </c>
      <c r="C1162">
        <v>7</v>
      </c>
      <c r="D1162">
        <v>6</v>
      </c>
      <c r="E1162" t="s">
        <v>261</v>
      </c>
      <c r="F1162" s="85" t="s">
        <v>332</v>
      </c>
      <c r="G1162"/>
      <c r="H1162" t="s">
        <v>294</v>
      </c>
      <c r="I1162" t="s">
        <v>221</v>
      </c>
      <c r="J1162" t="s">
        <v>176</v>
      </c>
      <c r="K1162" s="1">
        <v>12.95</v>
      </c>
      <c r="L1162" s="1">
        <v>12.95</v>
      </c>
      <c r="M1162" s="1">
        <v>0</v>
      </c>
      <c r="N1162" s="1">
        <v>12.95</v>
      </c>
      <c r="O1162" s="1">
        <v>841.75</v>
      </c>
      <c r="P1162" s="1">
        <v>867.65</v>
      </c>
      <c r="Q1162" s="1">
        <v>0</v>
      </c>
      <c r="R1162" s="1">
        <v>880.76</v>
      </c>
      <c r="S1162" t="s">
        <v>12</v>
      </c>
      <c r="T1162" s="13">
        <v>45886</v>
      </c>
      <c r="U1162" s="1" t="str">
        <f>IF(ESTIMATIVA[[#This Row],[QT_AREA_REAL]]&gt;0,"1- Colhido","2- à Colher")</f>
        <v>1- Colhido</v>
      </c>
      <c r="V1162" s="1" t="str">
        <f>IF(ESTIMATIVA[[#This Row],[QT_AREA_REST1]]&gt;0,"Reestimativa 1",IF(ESTIMATIVA[[#This Row],[QT_AREA_REAL]]=0,"Reestimativa 1","Realizado"))</f>
        <v>Reestimativa 1</v>
      </c>
      <c r="W1162" s="1" t="str">
        <f>IF(ESTIMATIVA[[#This Row],[QT_AREA_REST2]]&gt;0,"Reestimativa 2",IF(ESTIMATIVA[[#This Row],[QT_AREA_REAL]]=0,"Reestimativa 2","Realizado"))</f>
        <v>Realizado</v>
      </c>
      <c r="X1162" s="1">
        <f>ESTIMATIVA[[#This Row],[QT_AREA_EST]]</f>
        <v>12.95</v>
      </c>
      <c r="Y1162" s="1">
        <f>IF(ESTIMATIVA[[#This Row],[QT_AREA_REST1]]&gt;0,ESTIMATIVA[[#This Row],[QT_AREA_REST1]],
  IF(ESTIMATIVA[[#This Row],[QT_AREA_REAL]]&gt;0,ESTIMATIVA[[#This Row],[QT_AREA_REAL]],ESTIMATIVA[[#This Row],[QT_AREA_EST]]))</f>
        <v>12.95</v>
      </c>
      <c r="Z116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12.95</v>
      </c>
      <c r="AA1162" s="1">
        <f>ESTIMATIVA[[#This Row],[QT_CANA_EST]]</f>
        <v>841.75</v>
      </c>
      <c r="AB1162" s="1">
        <f>IF(ESTIMATIVA[[#This Row],[QT_CANA_REST1]]&gt;0,ESTIMATIVA[[#This Row],[QT_CANA_REST1]],
  IF(ESTIMATIVA[[#This Row],[QT_CANA_REAL]]&gt;0,ESTIMATIVA[[#This Row],[QT_CANA_REAL]],ESTIMATIVA[[#This Row],[QT_CANA_EST]]))</f>
        <v>867.65</v>
      </c>
      <c r="AC116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880.76</v>
      </c>
      <c r="AD1162" s="1">
        <f>IF(ESTIMATIVA[[#This Row],[QT_AREA_REAL]]&gt;0,ESTIMATIVA[[#This Row],[QT_CANA_REAL]],ESTIMATIVA[[#This Row],[QT_CANA_EST]])</f>
        <v>880.76</v>
      </c>
      <c r="AE1162" s="1">
        <f>IF(ESTIMATIVA[[#This Row],[QT_AREA_REAL]]&gt;0,ESTIMATIVA[[#This Row],[QT_CANA_REAL]],ESTIMATIVA[[#This Row],[QT_CANA_REST1]])</f>
        <v>880.76</v>
      </c>
      <c r="AF1162" s="1">
        <f>IF(ESTIMATIVA[[#This Row],[QT_AREA_REAL]]&gt;0,ESTIMATIVA[[#This Row],[QT_CANA_REAL]],ESTIMATIVA[[#This Row],[QT_CANA_REST2]])</f>
        <v>880.76</v>
      </c>
      <c r="AG1162" s="1" t="str">
        <f>IF(COUNTIFS(GEADA!A:A,VALUE(ESTIMATIVA[[#This Row],[CD_UPNIVEL1]]&amp;TEXT(ESTIMATIVA[[#This Row],[CD_UPNIVEL3]],"0000")))&gt;0,"S","N")</f>
        <v>N</v>
      </c>
      <c r="AH116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62" s="55" t="str">
        <f>IF(ESTIMATIVA[[#This Row],[TP_CULTIVO]]="Irrigado",_xlfn.MAXIFS(IRRIGADO!J:J,IRRIGADO!C:C,ESTIMATIVA[[#This Row],[CD_UPNIVEL1]],IRRIGADO!E:E,ESTIMATIVA[[#This Row],[CD_UPNIVEL3]]),"")</f>
        <v/>
      </c>
      <c r="AJ116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62" s="1">
        <f>COUNTIFS(Apresentação!$E$23:$E$29,ESTIMATIVA[[#This Row],[CD_UPNIVEL1]])</f>
        <v>0</v>
      </c>
    </row>
    <row r="1163" spans="1:37" x14ac:dyDescent="0.3">
      <c r="A1163">
        <v>20511</v>
      </c>
      <c r="B1163" t="s">
        <v>67</v>
      </c>
      <c r="C1163">
        <v>8</v>
      </c>
      <c r="D1163">
        <v>6</v>
      </c>
      <c r="E1163" t="s">
        <v>261</v>
      </c>
      <c r="F1163" s="85" t="s">
        <v>332</v>
      </c>
      <c r="G1163"/>
      <c r="H1163" t="s">
        <v>294</v>
      </c>
      <c r="I1163" t="s">
        <v>221</v>
      </c>
      <c r="J1163" t="s">
        <v>176</v>
      </c>
      <c r="K1163" s="1">
        <v>23.95</v>
      </c>
      <c r="L1163" s="1">
        <v>23.95</v>
      </c>
      <c r="M1163" s="1">
        <v>0</v>
      </c>
      <c r="N1163" s="1">
        <v>23.95</v>
      </c>
      <c r="O1163" s="1">
        <v>1556.75</v>
      </c>
      <c r="P1163" s="1">
        <v>1604.65</v>
      </c>
      <c r="Q1163" s="1">
        <v>0</v>
      </c>
      <c r="R1163" s="1">
        <v>2123</v>
      </c>
      <c r="S1163" t="s">
        <v>12</v>
      </c>
      <c r="T1163" s="13">
        <v>45886</v>
      </c>
      <c r="U1163" s="1" t="str">
        <f>IF(ESTIMATIVA[[#This Row],[QT_AREA_REAL]]&gt;0,"1- Colhido","2- à Colher")</f>
        <v>1- Colhido</v>
      </c>
      <c r="V1163" s="1" t="str">
        <f>IF(ESTIMATIVA[[#This Row],[QT_AREA_REST1]]&gt;0,"Reestimativa 1",IF(ESTIMATIVA[[#This Row],[QT_AREA_REAL]]=0,"Reestimativa 1","Realizado"))</f>
        <v>Reestimativa 1</v>
      </c>
      <c r="W1163" s="1" t="str">
        <f>IF(ESTIMATIVA[[#This Row],[QT_AREA_REST2]]&gt;0,"Reestimativa 2",IF(ESTIMATIVA[[#This Row],[QT_AREA_REAL]]=0,"Reestimativa 2","Realizado"))</f>
        <v>Realizado</v>
      </c>
      <c r="X1163" s="1">
        <f>ESTIMATIVA[[#This Row],[QT_AREA_EST]]</f>
        <v>23.95</v>
      </c>
      <c r="Y1163" s="1">
        <f>IF(ESTIMATIVA[[#This Row],[QT_AREA_REST1]]&gt;0,ESTIMATIVA[[#This Row],[QT_AREA_REST1]],
  IF(ESTIMATIVA[[#This Row],[QT_AREA_REAL]]&gt;0,ESTIMATIVA[[#This Row],[QT_AREA_REAL]],ESTIMATIVA[[#This Row],[QT_AREA_EST]]))</f>
        <v>23.95</v>
      </c>
      <c r="Z116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23.95</v>
      </c>
      <c r="AA1163" s="1">
        <f>ESTIMATIVA[[#This Row],[QT_CANA_EST]]</f>
        <v>1556.75</v>
      </c>
      <c r="AB1163" s="1">
        <f>IF(ESTIMATIVA[[#This Row],[QT_CANA_REST1]]&gt;0,ESTIMATIVA[[#This Row],[QT_CANA_REST1]],
  IF(ESTIMATIVA[[#This Row],[QT_CANA_REAL]]&gt;0,ESTIMATIVA[[#This Row],[QT_CANA_REAL]],ESTIMATIVA[[#This Row],[QT_CANA_EST]]))</f>
        <v>1604.65</v>
      </c>
      <c r="AC116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2123</v>
      </c>
      <c r="AD1163" s="1">
        <f>IF(ESTIMATIVA[[#This Row],[QT_AREA_REAL]]&gt;0,ESTIMATIVA[[#This Row],[QT_CANA_REAL]],ESTIMATIVA[[#This Row],[QT_CANA_EST]])</f>
        <v>2123</v>
      </c>
      <c r="AE1163" s="1">
        <f>IF(ESTIMATIVA[[#This Row],[QT_AREA_REAL]]&gt;0,ESTIMATIVA[[#This Row],[QT_CANA_REAL]],ESTIMATIVA[[#This Row],[QT_CANA_REST1]])</f>
        <v>2123</v>
      </c>
      <c r="AF1163" s="1">
        <f>IF(ESTIMATIVA[[#This Row],[QT_AREA_REAL]]&gt;0,ESTIMATIVA[[#This Row],[QT_CANA_REAL]],ESTIMATIVA[[#This Row],[QT_CANA_REST2]])</f>
        <v>2123</v>
      </c>
      <c r="AG1163" s="1" t="str">
        <f>IF(COUNTIFS(GEADA!A:A,VALUE(ESTIMATIVA[[#This Row],[CD_UPNIVEL1]]&amp;TEXT(ESTIMATIVA[[#This Row],[CD_UPNIVEL3]],"0000")))&gt;0,"S","N")</f>
        <v>N</v>
      </c>
      <c r="AH116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63" s="55" t="str">
        <f>IF(ESTIMATIVA[[#This Row],[TP_CULTIVO]]="Irrigado",_xlfn.MAXIFS(IRRIGADO!J:J,IRRIGADO!C:C,ESTIMATIVA[[#This Row],[CD_UPNIVEL1]],IRRIGADO!E:E,ESTIMATIVA[[#This Row],[CD_UPNIVEL3]]),"")</f>
        <v/>
      </c>
      <c r="AJ116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63" s="1">
        <f>COUNTIFS(Apresentação!$E$23:$E$29,ESTIMATIVA[[#This Row],[CD_UPNIVEL1]])</f>
        <v>0</v>
      </c>
    </row>
    <row r="1164" spans="1:37" x14ac:dyDescent="0.3">
      <c r="A1164">
        <v>20511</v>
      </c>
      <c r="B1164" t="s">
        <v>67</v>
      </c>
      <c r="C1164">
        <v>9</v>
      </c>
      <c r="D1164">
        <v>6</v>
      </c>
      <c r="E1164" t="s">
        <v>261</v>
      </c>
      <c r="F1164" s="85" t="s">
        <v>332</v>
      </c>
      <c r="G1164"/>
      <c r="H1164" t="s">
        <v>294</v>
      </c>
      <c r="I1164" t="s">
        <v>221</v>
      </c>
      <c r="J1164" t="s">
        <v>176</v>
      </c>
      <c r="K1164" s="1">
        <v>14.89</v>
      </c>
      <c r="L1164" s="1">
        <v>14.89</v>
      </c>
      <c r="M1164" s="1">
        <v>0</v>
      </c>
      <c r="N1164" s="1">
        <v>14.89</v>
      </c>
      <c r="O1164" s="1">
        <v>967.85</v>
      </c>
      <c r="P1164" s="1">
        <v>997.63</v>
      </c>
      <c r="Q1164" s="1">
        <v>0</v>
      </c>
      <c r="R1164" s="1">
        <v>1320.4</v>
      </c>
      <c r="S1164" t="s">
        <v>12</v>
      </c>
      <c r="T1164" s="13">
        <v>45886</v>
      </c>
      <c r="U1164" s="1" t="str">
        <f>IF(ESTIMATIVA[[#This Row],[QT_AREA_REAL]]&gt;0,"1- Colhido","2- à Colher")</f>
        <v>1- Colhido</v>
      </c>
      <c r="V1164" s="1" t="str">
        <f>IF(ESTIMATIVA[[#This Row],[QT_AREA_REST1]]&gt;0,"Reestimativa 1",IF(ESTIMATIVA[[#This Row],[QT_AREA_REAL]]=0,"Reestimativa 1","Realizado"))</f>
        <v>Reestimativa 1</v>
      </c>
      <c r="W1164" s="1" t="str">
        <f>IF(ESTIMATIVA[[#This Row],[QT_AREA_REST2]]&gt;0,"Reestimativa 2",IF(ESTIMATIVA[[#This Row],[QT_AREA_REAL]]=0,"Reestimativa 2","Realizado"))</f>
        <v>Realizado</v>
      </c>
      <c r="X1164" s="1">
        <f>ESTIMATIVA[[#This Row],[QT_AREA_EST]]</f>
        <v>14.89</v>
      </c>
      <c r="Y1164" s="1">
        <f>IF(ESTIMATIVA[[#This Row],[QT_AREA_REST1]]&gt;0,ESTIMATIVA[[#This Row],[QT_AREA_REST1]],
  IF(ESTIMATIVA[[#This Row],[QT_AREA_REAL]]&gt;0,ESTIMATIVA[[#This Row],[QT_AREA_REAL]],ESTIMATIVA[[#This Row],[QT_AREA_EST]]))</f>
        <v>14.89</v>
      </c>
      <c r="Z116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14.89</v>
      </c>
      <c r="AA1164" s="1">
        <f>ESTIMATIVA[[#This Row],[QT_CANA_EST]]</f>
        <v>967.85</v>
      </c>
      <c r="AB1164" s="1">
        <f>IF(ESTIMATIVA[[#This Row],[QT_CANA_REST1]]&gt;0,ESTIMATIVA[[#This Row],[QT_CANA_REST1]],
  IF(ESTIMATIVA[[#This Row],[QT_CANA_REAL]]&gt;0,ESTIMATIVA[[#This Row],[QT_CANA_REAL]],ESTIMATIVA[[#This Row],[QT_CANA_EST]]))</f>
        <v>997.63</v>
      </c>
      <c r="AC116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1320.4</v>
      </c>
      <c r="AD1164" s="1">
        <f>IF(ESTIMATIVA[[#This Row],[QT_AREA_REAL]]&gt;0,ESTIMATIVA[[#This Row],[QT_CANA_REAL]],ESTIMATIVA[[#This Row],[QT_CANA_EST]])</f>
        <v>1320.4</v>
      </c>
      <c r="AE1164" s="1">
        <f>IF(ESTIMATIVA[[#This Row],[QT_AREA_REAL]]&gt;0,ESTIMATIVA[[#This Row],[QT_CANA_REAL]],ESTIMATIVA[[#This Row],[QT_CANA_REST1]])</f>
        <v>1320.4</v>
      </c>
      <c r="AF1164" s="1">
        <f>IF(ESTIMATIVA[[#This Row],[QT_AREA_REAL]]&gt;0,ESTIMATIVA[[#This Row],[QT_CANA_REAL]],ESTIMATIVA[[#This Row],[QT_CANA_REST2]])</f>
        <v>1320.4</v>
      </c>
      <c r="AG1164" s="1" t="str">
        <f>IF(COUNTIFS(GEADA!A:A,VALUE(ESTIMATIVA[[#This Row],[CD_UPNIVEL1]]&amp;TEXT(ESTIMATIVA[[#This Row],[CD_UPNIVEL3]],"0000")))&gt;0,"S","N")</f>
        <v>N</v>
      </c>
      <c r="AH116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64" s="55" t="str">
        <f>IF(ESTIMATIVA[[#This Row],[TP_CULTIVO]]="Irrigado",_xlfn.MAXIFS(IRRIGADO!J:J,IRRIGADO!C:C,ESTIMATIVA[[#This Row],[CD_UPNIVEL1]],IRRIGADO!E:E,ESTIMATIVA[[#This Row],[CD_UPNIVEL3]]),"")</f>
        <v/>
      </c>
      <c r="AJ116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64" s="1">
        <f>COUNTIFS(Apresentação!$E$23:$E$29,ESTIMATIVA[[#This Row],[CD_UPNIVEL1]])</f>
        <v>0</v>
      </c>
    </row>
    <row r="1165" spans="1:37" x14ac:dyDescent="0.3">
      <c r="A1165">
        <v>20511</v>
      </c>
      <c r="B1165" t="s">
        <v>67</v>
      </c>
      <c r="C1165">
        <v>10</v>
      </c>
      <c r="D1165">
        <v>6</v>
      </c>
      <c r="E1165" t="s">
        <v>261</v>
      </c>
      <c r="F1165" s="85" t="s">
        <v>332</v>
      </c>
      <c r="G1165"/>
      <c r="H1165" t="s">
        <v>294</v>
      </c>
      <c r="I1165" t="s">
        <v>202</v>
      </c>
      <c r="J1165" t="s">
        <v>176</v>
      </c>
      <c r="K1165" s="1">
        <v>34.61</v>
      </c>
      <c r="L1165" s="1">
        <v>34.61</v>
      </c>
      <c r="M1165" s="1">
        <v>0</v>
      </c>
      <c r="N1165" s="1">
        <v>34.61</v>
      </c>
      <c r="O1165" s="1">
        <v>2249.65</v>
      </c>
      <c r="P1165" s="1">
        <v>2318.87</v>
      </c>
      <c r="Q1165" s="1">
        <v>0</v>
      </c>
      <c r="R1165" s="1">
        <v>2546.73</v>
      </c>
      <c r="S1165" t="s">
        <v>12</v>
      </c>
      <c r="T1165" s="13">
        <v>45879</v>
      </c>
      <c r="U1165" s="1" t="str">
        <f>IF(ESTIMATIVA[[#This Row],[QT_AREA_REAL]]&gt;0,"1- Colhido","2- à Colher")</f>
        <v>1- Colhido</v>
      </c>
      <c r="V1165" s="1" t="str">
        <f>IF(ESTIMATIVA[[#This Row],[QT_AREA_REST1]]&gt;0,"Reestimativa 1",IF(ESTIMATIVA[[#This Row],[QT_AREA_REAL]]=0,"Reestimativa 1","Realizado"))</f>
        <v>Reestimativa 1</v>
      </c>
      <c r="W1165" s="1" t="str">
        <f>IF(ESTIMATIVA[[#This Row],[QT_AREA_REST2]]&gt;0,"Reestimativa 2",IF(ESTIMATIVA[[#This Row],[QT_AREA_REAL]]=0,"Reestimativa 2","Realizado"))</f>
        <v>Realizado</v>
      </c>
      <c r="X1165" s="1">
        <f>ESTIMATIVA[[#This Row],[QT_AREA_EST]]</f>
        <v>34.61</v>
      </c>
      <c r="Y1165" s="1">
        <f>IF(ESTIMATIVA[[#This Row],[QT_AREA_REST1]]&gt;0,ESTIMATIVA[[#This Row],[QT_AREA_REST1]],
  IF(ESTIMATIVA[[#This Row],[QT_AREA_REAL]]&gt;0,ESTIMATIVA[[#This Row],[QT_AREA_REAL]],ESTIMATIVA[[#This Row],[QT_AREA_EST]]))</f>
        <v>34.61</v>
      </c>
      <c r="Z116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34.61</v>
      </c>
      <c r="AA1165" s="1">
        <f>ESTIMATIVA[[#This Row],[QT_CANA_EST]]</f>
        <v>2249.65</v>
      </c>
      <c r="AB1165" s="1">
        <f>IF(ESTIMATIVA[[#This Row],[QT_CANA_REST1]]&gt;0,ESTIMATIVA[[#This Row],[QT_CANA_REST1]],
  IF(ESTIMATIVA[[#This Row],[QT_CANA_REAL]]&gt;0,ESTIMATIVA[[#This Row],[QT_CANA_REAL]],ESTIMATIVA[[#This Row],[QT_CANA_EST]]))</f>
        <v>2318.87</v>
      </c>
      <c r="AC116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2546.73</v>
      </c>
      <c r="AD1165" s="1">
        <f>IF(ESTIMATIVA[[#This Row],[QT_AREA_REAL]]&gt;0,ESTIMATIVA[[#This Row],[QT_CANA_REAL]],ESTIMATIVA[[#This Row],[QT_CANA_EST]])</f>
        <v>2546.73</v>
      </c>
      <c r="AE1165" s="1">
        <f>IF(ESTIMATIVA[[#This Row],[QT_AREA_REAL]]&gt;0,ESTIMATIVA[[#This Row],[QT_CANA_REAL]],ESTIMATIVA[[#This Row],[QT_CANA_REST1]])</f>
        <v>2546.73</v>
      </c>
      <c r="AF1165" s="1">
        <f>IF(ESTIMATIVA[[#This Row],[QT_AREA_REAL]]&gt;0,ESTIMATIVA[[#This Row],[QT_CANA_REAL]],ESTIMATIVA[[#This Row],[QT_CANA_REST2]])</f>
        <v>2546.73</v>
      </c>
      <c r="AG1165" s="1" t="str">
        <f>IF(COUNTIFS(GEADA!A:A,VALUE(ESTIMATIVA[[#This Row],[CD_UPNIVEL1]]&amp;TEXT(ESTIMATIVA[[#This Row],[CD_UPNIVEL3]],"0000")))&gt;0,"S","N")</f>
        <v>N</v>
      </c>
      <c r="AH116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65" s="55" t="str">
        <f>IF(ESTIMATIVA[[#This Row],[TP_CULTIVO]]="Irrigado",_xlfn.MAXIFS(IRRIGADO!J:J,IRRIGADO!C:C,ESTIMATIVA[[#This Row],[CD_UPNIVEL1]],IRRIGADO!E:E,ESTIMATIVA[[#This Row],[CD_UPNIVEL3]]),"")</f>
        <v/>
      </c>
      <c r="AJ116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65" s="1">
        <f>COUNTIFS(Apresentação!$E$23:$E$29,ESTIMATIVA[[#This Row],[CD_UPNIVEL1]])</f>
        <v>0</v>
      </c>
    </row>
    <row r="1166" spans="1:37" x14ac:dyDescent="0.3">
      <c r="A1166">
        <v>20511</v>
      </c>
      <c r="B1166" t="s">
        <v>67</v>
      </c>
      <c r="C1166">
        <v>11</v>
      </c>
      <c r="D1166">
        <v>4</v>
      </c>
      <c r="E1166" t="s">
        <v>265</v>
      </c>
      <c r="F1166" s="85" t="s">
        <v>332</v>
      </c>
      <c r="G1166"/>
      <c r="H1166" t="s">
        <v>294</v>
      </c>
      <c r="I1166" t="s">
        <v>197</v>
      </c>
      <c r="J1166" t="s">
        <v>176</v>
      </c>
      <c r="K1166" s="1">
        <v>16.760000000000002</v>
      </c>
      <c r="L1166" s="1">
        <v>16.760000000000002</v>
      </c>
      <c r="M1166" s="1">
        <v>0</v>
      </c>
      <c r="N1166" s="1">
        <v>16.760000000000002</v>
      </c>
      <c r="O1166" s="1">
        <v>1240.24</v>
      </c>
      <c r="P1166" s="1">
        <v>1257</v>
      </c>
      <c r="Q1166" s="1">
        <v>0</v>
      </c>
      <c r="R1166" s="1">
        <v>1260.6300000000001</v>
      </c>
      <c r="S1166" t="s">
        <v>12</v>
      </c>
      <c r="T1166" s="13">
        <v>45879</v>
      </c>
      <c r="U1166" s="1" t="str">
        <f>IF(ESTIMATIVA[[#This Row],[QT_AREA_REAL]]&gt;0,"1- Colhido","2- à Colher")</f>
        <v>1- Colhido</v>
      </c>
      <c r="V1166" s="1" t="str">
        <f>IF(ESTIMATIVA[[#This Row],[QT_AREA_REST1]]&gt;0,"Reestimativa 1",IF(ESTIMATIVA[[#This Row],[QT_AREA_REAL]]=0,"Reestimativa 1","Realizado"))</f>
        <v>Reestimativa 1</v>
      </c>
      <c r="W1166" s="1" t="str">
        <f>IF(ESTIMATIVA[[#This Row],[QT_AREA_REST2]]&gt;0,"Reestimativa 2",IF(ESTIMATIVA[[#This Row],[QT_AREA_REAL]]=0,"Reestimativa 2","Realizado"))</f>
        <v>Realizado</v>
      </c>
      <c r="X1166" s="1">
        <f>ESTIMATIVA[[#This Row],[QT_AREA_EST]]</f>
        <v>16.760000000000002</v>
      </c>
      <c r="Y1166" s="1">
        <f>IF(ESTIMATIVA[[#This Row],[QT_AREA_REST1]]&gt;0,ESTIMATIVA[[#This Row],[QT_AREA_REST1]],
  IF(ESTIMATIVA[[#This Row],[QT_AREA_REAL]]&gt;0,ESTIMATIVA[[#This Row],[QT_AREA_REAL]],ESTIMATIVA[[#This Row],[QT_AREA_EST]]))</f>
        <v>16.760000000000002</v>
      </c>
      <c r="Z116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16.760000000000002</v>
      </c>
      <c r="AA1166" s="1">
        <f>ESTIMATIVA[[#This Row],[QT_CANA_EST]]</f>
        <v>1240.24</v>
      </c>
      <c r="AB1166" s="1">
        <f>IF(ESTIMATIVA[[#This Row],[QT_CANA_REST1]]&gt;0,ESTIMATIVA[[#This Row],[QT_CANA_REST1]],
  IF(ESTIMATIVA[[#This Row],[QT_CANA_REAL]]&gt;0,ESTIMATIVA[[#This Row],[QT_CANA_REAL]],ESTIMATIVA[[#This Row],[QT_CANA_EST]]))</f>
        <v>1257</v>
      </c>
      <c r="AC116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1260.6300000000001</v>
      </c>
      <c r="AD1166" s="1">
        <f>IF(ESTIMATIVA[[#This Row],[QT_AREA_REAL]]&gt;0,ESTIMATIVA[[#This Row],[QT_CANA_REAL]],ESTIMATIVA[[#This Row],[QT_CANA_EST]])</f>
        <v>1260.6300000000001</v>
      </c>
      <c r="AE1166" s="1">
        <f>IF(ESTIMATIVA[[#This Row],[QT_AREA_REAL]]&gt;0,ESTIMATIVA[[#This Row],[QT_CANA_REAL]],ESTIMATIVA[[#This Row],[QT_CANA_REST1]])</f>
        <v>1260.6300000000001</v>
      </c>
      <c r="AF1166" s="1">
        <f>IF(ESTIMATIVA[[#This Row],[QT_AREA_REAL]]&gt;0,ESTIMATIVA[[#This Row],[QT_CANA_REAL]],ESTIMATIVA[[#This Row],[QT_CANA_REST2]])</f>
        <v>1260.6300000000001</v>
      </c>
      <c r="AG1166" s="1" t="str">
        <f>IF(COUNTIFS(GEADA!A:A,VALUE(ESTIMATIVA[[#This Row],[CD_UPNIVEL1]]&amp;TEXT(ESTIMATIVA[[#This Row],[CD_UPNIVEL3]],"0000")))&gt;0,"S","N")</f>
        <v>N</v>
      </c>
      <c r="AH116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66" s="55" t="str">
        <f>IF(ESTIMATIVA[[#This Row],[TP_CULTIVO]]="Irrigado",_xlfn.MAXIFS(IRRIGADO!J:J,IRRIGADO!C:C,ESTIMATIVA[[#This Row],[CD_UPNIVEL1]],IRRIGADO!E:E,ESTIMATIVA[[#This Row],[CD_UPNIVEL3]]),"")</f>
        <v/>
      </c>
      <c r="AJ116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66" s="1">
        <f>COUNTIFS(Apresentação!$E$23:$E$29,ESTIMATIVA[[#This Row],[CD_UPNIVEL1]])</f>
        <v>0</v>
      </c>
    </row>
    <row r="1167" spans="1:37" x14ac:dyDescent="0.3">
      <c r="A1167">
        <v>20511</v>
      </c>
      <c r="B1167" t="s">
        <v>67</v>
      </c>
      <c r="C1167">
        <v>12</v>
      </c>
      <c r="D1167">
        <v>4</v>
      </c>
      <c r="E1167" t="s">
        <v>265</v>
      </c>
      <c r="F1167" s="85" t="s">
        <v>332</v>
      </c>
      <c r="G1167"/>
      <c r="H1167" t="s">
        <v>294</v>
      </c>
      <c r="I1167" t="s">
        <v>197</v>
      </c>
      <c r="J1167" t="s">
        <v>176</v>
      </c>
      <c r="K1167" s="1">
        <v>15.95</v>
      </c>
      <c r="L1167" s="1">
        <v>15.95</v>
      </c>
      <c r="M1167" s="1">
        <v>0</v>
      </c>
      <c r="N1167" s="1">
        <v>15.95</v>
      </c>
      <c r="O1167" s="1">
        <v>1180.3</v>
      </c>
      <c r="P1167" s="1">
        <v>1196.25</v>
      </c>
      <c r="Q1167" s="1">
        <v>0</v>
      </c>
      <c r="R1167" s="1">
        <v>1199.46</v>
      </c>
      <c r="S1167" t="s">
        <v>12</v>
      </c>
      <c r="T1167" s="13">
        <v>45879</v>
      </c>
      <c r="U1167" s="1" t="str">
        <f>IF(ESTIMATIVA[[#This Row],[QT_AREA_REAL]]&gt;0,"1- Colhido","2- à Colher")</f>
        <v>1- Colhido</v>
      </c>
      <c r="V1167" s="1" t="str">
        <f>IF(ESTIMATIVA[[#This Row],[QT_AREA_REST1]]&gt;0,"Reestimativa 1",IF(ESTIMATIVA[[#This Row],[QT_AREA_REAL]]=0,"Reestimativa 1","Realizado"))</f>
        <v>Reestimativa 1</v>
      </c>
      <c r="W1167" s="1" t="str">
        <f>IF(ESTIMATIVA[[#This Row],[QT_AREA_REST2]]&gt;0,"Reestimativa 2",IF(ESTIMATIVA[[#This Row],[QT_AREA_REAL]]=0,"Reestimativa 2","Realizado"))</f>
        <v>Realizado</v>
      </c>
      <c r="X1167" s="1">
        <f>ESTIMATIVA[[#This Row],[QT_AREA_EST]]</f>
        <v>15.95</v>
      </c>
      <c r="Y1167" s="1">
        <f>IF(ESTIMATIVA[[#This Row],[QT_AREA_REST1]]&gt;0,ESTIMATIVA[[#This Row],[QT_AREA_REST1]],
  IF(ESTIMATIVA[[#This Row],[QT_AREA_REAL]]&gt;0,ESTIMATIVA[[#This Row],[QT_AREA_REAL]],ESTIMATIVA[[#This Row],[QT_AREA_EST]]))</f>
        <v>15.95</v>
      </c>
      <c r="Z116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15.95</v>
      </c>
      <c r="AA1167" s="1">
        <f>ESTIMATIVA[[#This Row],[QT_CANA_EST]]</f>
        <v>1180.3</v>
      </c>
      <c r="AB1167" s="1">
        <f>IF(ESTIMATIVA[[#This Row],[QT_CANA_REST1]]&gt;0,ESTIMATIVA[[#This Row],[QT_CANA_REST1]],
  IF(ESTIMATIVA[[#This Row],[QT_CANA_REAL]]&gt;0,ESTIMATIVA[[#This Row],[QT_CANA_REAL]],ESTIMATIVA[[#This Row],[QT_CANA_EST]]))</f>
        <v>1196.25</v>
      </c>
      <c r="AC116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1199.46</v>
      </c>
      <c r="AD1167" s="1">
        <f>IF(ESTIMATIVA[[#This Row],[QT_AREA_REAL]]&gt;0,ESTIMATIVA[[#This Row],[QT_CANA_REAL]],ESTIMATIVA[[#This Row],[QT_CANA_EST]])</f>
        <v>1199.46</v>
      </c>
      <c r="AE1167" s="1">
        <f>IF(ESTIMATIVA[[#This Row],[QT_AREA_REAL]]&gt;0,ESTIMATIVA[[#This Row],[QT_CANA_REAL]],ESTIMATIVA[[#This Row],[QT_CANA_REST1]])</f>
        <v>1199.46</v>
      </c>
      <c r="AF1167" s="1">
        <f>IF(ESTIMATIVA[[#This Row],[QT_AREA_REAL]]&gt;0,ESTIMATIVA[[#This Row],[QT_CANA_REAL]],ESTIMATIVA[[#This Row],[QT_CANA_REST2]])</f>
        <v>1199.46</v>
      </c>
      <c r="AG1167" s="1" t="str">
        <f>IF(COUNTIFS(GEADA!A:A,VALUE(ESTIMATIVA[[#This Row],[CD_UPNIVEL1]]&amp;TEXT(ESTIMATIVA[[#This Row],[CD_UPNIVEL3]],"0000")))&gt;0,"S","N")</f>
        <v>N</v>
      </c>
      <c r="AH116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67" s="55" t="str">
        <f>IF(ESTIMATIVA[[#This Row],[TP_CULTIVO]]="Irrigado",_xlfn.MAXIFS(IRRIGADO!J:J,IRRIGADO!C:C,ESTIMATIVA[[#This Row],[CD_UPNIVEL1]],IRRIGADO!E:E,ESTIMATIVA[[#This Row],[CD_UPNIVEL3]]),"")</f>
        <v/>
      </c>
      <c r="AJ116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67" s="1">
        <f>COUNTIFS(Apresentação!$E$23:$E$29,ESTIMATIVA[[#This Row],[CD_UPNIVEL1]])</f>
        <v>0</v>
      </c>
    </row>
    <row r="1168" spans="1:37" x14ac:dyDescent="0.3">
      <c r="A1168">
        <v>20511</v>
      </c>
      <c r="B1168" t="s">
        <v>67</v>
      </c>
      <c r="C1168">
        <v>13</v>
      </c>
      <c r="D1168">
        <v>4</v>
      </c>
      <c r="E1168" t="s">
        <v>265</v>
      </c>
      <c r="F1168" s="85" t="s">
        <v>332</v>
      </c>
      <c r="G1168"/>
      <c r="H1168" t="s">
        <v>294</v>
      </c>
      <c r="I1168" t="s">
        <v>197</v>
      </c>
      <c r="J1168" t="s">
        <v>176</v>
      </c>
      <c r="K1168" s="1">
        <v>9.42</v>
      </c>
      <c r="L1168" s="1">
        <v>9.42</v>
      </c>
      <c r="M1168" s="1">
        <v>0</v>
      </c>
      <c r="N1168" s="1">
        <v>9.42</v>
      </c>
      <c r="O1168" s="1">
        <v>697.08</v>
      </c>
      <c r="P1168" s="1">
        <v>706.5</v>
      </c>
      <c r="Q1168" s="1">
        <v>0</v>
      </c>
      <c r="R1168" s="1">
        <v>709.15</v>
      </c>
      <c r="S1168" t="s">
        <v>12</v>
      </c>
      <c r="T1168" s="13">
        <v>45879</v>
      </c>
      <c r="U1168" s="1" t="str">
        <f>IF(ESTIMATIVA[[#This Row],[QT_AREA_REAL]]&gt;0,"1- Colhido","2- à Colher")</f>
        <v>1- Colhido</v>
      </c>
      <c r="V1168" s="1" t="str">
        <f>IF(ESTIMATIVA[[#This Row],[QT_AREA_REST1]]&gt;0,"Reestimativa 1",IF(ESTIMATIVA[[#This Row],[QT_AREA_REAL]]=0,"Reestimativa 1","Realizado"))</f>
        <v>Reestimativa 1</v>
      </c>
      <c r="W1168" s="1" t="str">
        <f>IF(ESTIMATIVA[[#This Row],[QT_AREA_REST2]]&gt;0,"Reestimativa 2",IF(ESTIMATIVA[[#This Row],[QT_AREA_REAL]]=0,"Reestimativa 2","Realizado"))</f>
        <v>Realizado</v>
      </c>
      <c r="X1168" s="1">
        <f>ESTIMATIVA[[#This Row],[QT_AREA_EST]]</f>
        <v>9.42</v>
      </c>
      <c r="Y1168" s="1">
        <f>IF(ESTIMATIVA[[#This Row],[QT_AREA_REST1]]&gt;0,ESTIMATIVA[[#This Row],[QT_AREA_REST1]],
  IF(ESTIMATIVA[[#This Row],[QT_AREA_REAL]]&gt;0,ESTIMATIVA[[#This Row],[QT_AREA_REAL]],ESTIMATIVA[[#This Row],[QT_AREA_EST]]))</f>
        <v>9.42</v>
      </c>
      <c r="Z116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9.42</v>
      </c>
      <c r="AA1168" s="1">
        <f>ESTIMATIVA[[#This Row],[QT_CANA_EST]]</f>
        <v>697.08</v>
      </c>
      <c r="AB1168" s="1">
        <f>IF(ESTIMATIVA[[#This Row],[QT_CANA_REST1]]&gt;0,ESTIMATIVA[[#This Row],[QT_CANA_REST1]],
  IF(ESTIMATIVA[[#This Row],[QT_CANA_REAL]]&gt;0,ESTIMATIVA[[#This Row],[QT_CANA_REAL]],ESTIMATIVA[[#This Row],[QT_CANA_EST]]))</f>
        <v>706.5</v>
      </c>
      <c r="AC116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709.15</v>
      </c>
      <c r="AD1168" s="1">
        <f>IF(ESTIMATIVA[[#This Row],[QT_AREA_REAL]]&gt;0,ESTIMATIVA[[#This Row],[QT_CANA_REAL]],ESTIMATIVA[[#This Row],[QT_CANA_EST]])</f>
        <v>709.15</v>
      </c>
      <c r="AE1168" s="1">
        <f>IF(ESTIMATIVA[[#This Row],[QT_AREA_REAL]]&gt;0,ESTIMATIVA[[#This Row],[QT_CANA_REAL]],ESTIMATIVA[[#This Row],[QT_CANA_REST1]])</f>
        <v>709.15</v>
      </c>
      <c r="AF1168" s="1">
        <f>IF(ESTIMATIVA[[#This Row],[QT_AREA_REAL]]&gt;0,ESTIMATIVA[[#This Row],[QT_CANA_REAL]],ESTIMATIVA[[#This Row],[QT_CANA_REST2]])</f>
        <v>709.15</v>
      </c>
      <c r="AG1168" s="1" t="str">
        <f>IF(COUNTIFS(GEADA!A:A,VALUE(ESTIMATIVA[[#This Row],[CD_UPNIVEL1]]&amp;TEXT(ESTIMATIVA[[#This Row],[CD_UPNIVEL3]],"0000")))&gt;0,"S","N")</f>
        <v>N</v>
      </c>
      <c r="AH116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68" s="55" t="str">
        <f>IF(ESTIMATIVA[[#This Row],[TP_CULTIVO]]="Irrigado",_xlfn.MAXIFS(IRRIGADO!J:J,IRRIGADO!C:C,ESTIMATIVA[[#This Row],[CD_UPNIVEL1]],IRRIGADO!E:E,ESTIMATIVA[[#This Row],[CD_UPNIVEL3]]),"")</f>
        <v/>
      </c>
      <c r="AJ116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68" s="1">
        <f>COUNTIFS(Apresentação!$E$23:$E$29,ESTIMATIVA[[#This Row],[CD_UPNIVEL1]])</f>
        <v>0</v>
      </c>
    </row>
    <row r="1169" spans="1:37" x14ac:dyDescent="0.3">
      <c r="A1169">
        <v>20511</v>
      </c>
      <c r="B1169" t="s">
        <v>67</v>
      </c>
      <c r="C1169">
        <v>14</v>
      </c>
      <c r="D1169">
        <v>4</v>
      </c>
      <c r="E1169" t="s">
        <v>265</v>
      </c>
      <c r="F1169" s="85" t="s">
        <v>332</v>
      </c>
      <c r="G1169"/>
      <c r="H1169" t="s">
        <v>294</v>
      </c>
      <c r="I1169" t="s">
        <v>197</v>
      </c>
      <c r="J1169" t="s">
        <v>176</v>
      </c>
      <c r="K1169" s="1">
        <v>13.61</v>
      </c>
      <c r="L1169" s="1">
        <v>13.61</v>
      </c>
      <c r="M1169" s="1">
        <v>0</v>
      </c>
      <c r="N1169" s="1">
        <v>13.61</v>
      </c>
      <c r="O1169" s="1">
        <v>1007.14</v>
      </c>
      <c r="P1169" s="1">
        <v>1020.75</v>
      </c>
      <c r="Q1169" s="1">
        <v>0</v>
      </c>
      <c r="R1169" s="1">
        <v>984.6</v>
      </c>
      <c r="S1169" t="s">
        <v>12</v>
      </c>
      <c r="T1169" s="13">
        <v>45879</v>
      </c>
      <c r="U1169" s="1" t="str">
        <f>IF(ESTIMATIVA[[#This Row],[QT_AREA_REAL]]&gt;0,"1- Colhido","2- à Colher")</f>
        <v>1- Colhido</v>
      </c>
      <c r="V1169" s="1" t="str">
        <f>IF(ESTIMATIVA[[#This Row],[QT_AREA_REST1]]&gt;0,"Reestimativa 1",IF(ESTIMATIVA[[#This Row],[QT_AREA_REAL]]=0,"Reestimativa 1","Realizado"))</f>
        <v>Reestimativa 1</v>
      </c>
      <c r="W1169" s="1" t="str">
        <f>IF(ESTIMATIVA[[#This Row],[QT_AREA_REST2]]&gt;0,"Reestimativa 2",IF(ESTIMATIVA[[#This Row],[QT_AREA_REAL]]=0,"Reestimativa 2","Realizado"))</f>
        <v>Realizado</v>
      </c>
      <c r="X1169" s="1">
        <f>ESTIMATIVA[[#This Row],[QT_AREA_EST]]</f>
        <v>13.61</v>
      </c>
      <c r="Y1169" s="1">
        <f>IF(ESTIMATIVA[[#This Row],[QT_AREA_REST1]]&gt;0,ESTIMATIVA[[#This Row],[QT_AREA_REST1]],
  IF(ESTIMATIVA[[#This Row],[QT_AREA_REAL]]&gt;0,ESTIMATIVA[[#This Row],[QT_AREA_REAL]],ESTIMATIVA[[#This Row],[QT_AREA_EST]]))</f>
        <v>13.61</v>
      </c>
      <c r="Z116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13.61</v>
      </c>
      <c r="AA1169" s="1">
        <f>ESTIMATIVA[[#This Row],[QT_CANA_EST]]</f>
        <v>1007.14</v>
      </c>
      <c r="AB1169" s="1">
        <f>IF(ESTIMATIVA[[#This Row],[QT_CANA_REST1]]&gt;0,ESTIMATIVA[[#This Row],[QT_CANA_REST1]],
  IF(ESTIMATIVA[[#This Row],[QT_CANA_REAL]]&gt;0,ESTIMATIVA[[#This Row],[QT_CANA_REAL]],ESTIMATIVA[[#This Row],[QT_CANA_EST]]))</f>
        <v>1020.75</v>
      </c>
      <c r="AC116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984.6</v>
      </c>
      <c r="AD1169" s="1">
        <f>IF(ESTIMATIVA[[#This Row],[QT_AREA_REAL]]&gt;0,ESTIMATIVA[[#This Row],[QT_CANA_REAL]],ESTIMATIVA[[#This Row],[QT_CANA_EST]])</f>
        <v>984.6</v>
      </c>
      <c r="AE1169" s="1">
        <f>IF(ESTIMATIVA[[#This Row],[QT_AREA_REAL]]&gt;0,ESTIMATIVA[[#This Row],[QT_CANA_REAL]],ESTIMATIVA[[#This Row],[QT_CANA_REST1]])</f>
        <v>984.6</v>
      </c>
      <c r="AF1169" s="1">
        <f>IF(ESTIMATIVA[[#This Row],[QT_AREA_REAL]]&gt;0,ESTIMATIVA[[#This Row],[QT_CANA_REAL]],ESTIMATIVA[[#This Row],[QT_CANA_REST2]])</f>
        <v>984.6</v>
      </c>
      <c r="AG1169" s="1" t="str">
        <f>IF(COUNTIFS(GEADA!A:A,VALUE(ESTIMATIVA[[#This Row],[CD_UPNIVEL1]]&amp;TEXT(ESTIMATIVA[[#This Row],[CD_UPNIVEL3]],"0000")))&gt;0,"S","N")</f>
        <v>N</v>
      </c>
      <c r="AH116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69" s="55" t="str">
        <f>IF(ESTIMATIVA[[#This Row],[TP_CULTIVO]]="Irrigado",_xlfn.MAXIFS(IRRIGADO!J:J,IRRIGADO!C:C,ESTIMATIVA[[#This Row],[CD_UPNIVEL1]],IRRIGADO!E:E,ESTIMATIVA[[#This Row],[CD_UPNIVEL3]]),"")</f>
        <v/>
      </c>
      <c r="AJ116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69" s="1">
        <f>COUNTIFS(Apresentação!$E$23:$E$29,ESTIMATIVA[[#This Row],[CD_UPNIVEL1]])</f>
        <v>0</v>
      </c>
    </row>
    <row r="1170" spans="1:37" x14ac:dyDescent="0.3">
      <c r="A1170">
        <v>20511</v>
      </c>
      <c r="B1170" t="s">
        <v>67</v>
      </c>
      <c r="C1170">
        <v>15</v>
      </c>
      <c r="D1170">
        <v>4</v>
      </c>
      <c r="E1170" t="s">
        <v>265</v>
      </c>
      <c r="F1170" s="85" t="s">
        <v>332</v>
      </c>
      <c r="G1170"/>
      <c r="H1170" t="s">
        <v>294</v>
      </c>
      <c r="I1170" t="s">
        <v>221</v>
      </c>
      <c r="J1170" t="s">
        <v>176</v>
      </c>
      <c r="K1170" s="1">
        <v>18.059999999999999</v>
      </c>
      <c r="L1170" s="1">
        <v>18.059999999999999</v>
      </c>
      <c r="M1170" s="1">
        <v>0</v>
      </c>
      <c r="N1170" s="1">
        <v>18.059999999999999</v>
      </c>
      <c r="O1170" s="1">
        <v>1336.44</v>
      </c>
      <c r="P1170" s="1">
        <v>1354.5</v>
      </c>
      <c r="Q1170" s="1">
        <v>0</v>
      </c>
      <c r="R1170" s="1">
        <v>1306.71</v>
      </c>
      <c r="S1170" t="s">
        <v>12</v>
      </c>
      <c r="T1170" s="13">
        <v>45879</v>
      </c>
      <c r="U1170" s="1" t="str">
        <f>IF(ESTIMATIVA[[#This Row],[QT_AREA_REAL]]&gt;0,"1- Colhido","2- à Colher")</f>
        <v>1- Colhido</v>
      </c>
      <c r="V1170" s="1" t="str">
        <f>IF(ESTIMATIVA[[#This Row],[QT_AREA_REST1]]&gt;0,"Reestimativa 1",IF(ESTIMATIVA[[#This Row],[QT_AREA_REAL]]=0,"Reestimativa 1","Realizado"))</f>
        <v>Reestimativa 1</v>
      </c>
      <c r="W1170" s="1" t="str">
        <f>IF(ESTIMATIVA[[#This Row],[QT_AREA_REST2]]&gt;0,"Reestimativa 2",IF(ESTIMATIVA[[#This Row],[QT_AREA_REAL]]=0,"Reestimativa 2","Realizado"))</f>
        <v>Realizado</v>
      </c>
      <c r="X1170" s="1">
        <f>ESTIMATIVA[[#This Row],[QT_AREA_EST]]</f>
        <v>18.059999999999999</v>
      </c>
      <c r="Y1170" s="1">
        <f>IF(ESTIMATIVA[[#This Row],[QT_AREA_REST1]]&gt;0,ESTIMATIVA[[#This Row],[QT_AREA_REST1]],
  IF(ESTIMATIVA[[#This Row],[QT_AREA_REAL]]&gt;0,ESTIMATIVA[[#This Row],[QT_AREA_REAL]],ESTIMATIVA[[#This Row],[QT_AREA_EST]]))</f>
        <v>18.059999999999999</v>
      </c>
      <c r="Z117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18.059999999999999</v>
      </c>
      <c r="AA1170" s="1">
        <f>ESTIMATIVA[[#This Row],[QT_CANA_EST]]</f>
        <v>1336.44</v>
      </c>
      <c r="AB1170" s="1">
        <f>IF(ESTIMATIVA[[#This Row],[QT_CANA_REST1]]&gt;0,ESTIMATIVA[[#This Row],[QT_CANA_REST1]],
  IF(ESTIMATIVA[[#This Row],[QT_CANA_REAL]]&gt;0,ESTIMATIVA[[#This Row],[QT_CANA_REAL]],ESTIMATIVA[[#This Row],[QT_CANA_EST]]))</f>
        <v>1354.5</v>
      </c>
      <c r="AC117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1306.71</v>
      </c>
      <c r="AD1170" s="1">
        <f>IF(ESTIMATIVA[[#This Row],[QT_AREA_REAL]]&gt;0,ESTIMATIVA[[#This Row],[QT_CANA_REAL]],ESTIMATIVA[[#This Row],[QT_CANA_EST]])</f>
        <v>1306.71</v>
      </c>
      <c r="AE1170" s="1">
        <f>IF(ESTIMATIVA[[#This Row],[QT_AREA_REAL]]&gt;0,ESTIMATIVA[[#This Row],[QT_CANA_REAL]],ESTIMATIVA[[#This Row],[QT_CANA_REST1]])</f>
        <v>1306.71</v>
      </c>
      <c r="AF1170" s="1">
        <f>IF(ESTIMATIVA[[#This Row],[QT_AREA_REAL]]&gt;0,ESTIMATIVA[[#This Row],[QT_CANA_REAL]],ESTIMATIVA[[#This Row],[QT_CANA_REST2]])</f>
        <v>1306.71</v>
      </c>
      <c r="AG1170" s="1" t="str">
        <f>IF(COUNTIFS(GEADA!A:A,VALUE(ESTIMATIVA[[#This Row],[CD_UPNIVEL1]]&amp;TEXT(ESTIMATIVA[[#This Row],[CD_UPNIVEL3]],"0000")))&gt;0,"S","N")</f>
        <v>N</v>
      </c>
      <c r="AH117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70" s="55" t="str">
        <f>IF(ESTIMATIVA[[#This Row],[TP_CULTIVO]]="Irrigado",_xlfn.MAXIFS(IRRIGADO!J:J,IRRIGADO!C:C,ESTIMATIVA[[#This Row],[CD_UPNIVEL1]],IRRIGADO!E:E,ESTIMATIVA[[#This Row],[CD_UPNIVEL3]]),"")</f>
        <v/>
      </c>
      <c r="AJ117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70" s="1">
        <f>COUNTIFS(Apresentação!$E$23:$E$29,ESTIMATIVA[[#This Row],[CD_UPNIVEL1]])</f>
        <v>0</v>
      </c>
    </row>
    <row r="1171" spans="1:37" x14ac:dyDescent="0.3">
      <c r="A1171">
        <v>20511</v>
      </c>
      <c r="B1171" t="s">
        <v>67</v>
      </c>
      <c r="C1171">
        <v>16</v>
      </c>
      <c r="D1171">
        <v>4</v>
      </c>
      <c r="E1171" t="s">
        <v>265</v>
      </c>
      <c r="F1171" s="85" t="s">
        <v>332</v>
      </c>
      <c r="G1171"/>
      <c r="H1171" t="s">
        <v>294</v>
      </c>
      <c r="I1171" t="s">
        <v>221</v>
      </c>
      <c r="J1171" t="s">
        <v>176</v>
      </c>
      <c r="K1171" s="1">
        <v>20</v>
      </c>
      <c r="L1171" s="1">
        <v>20</v>
      </c>
      <c r="M1171" s="1">
        <v>0</v>
      </c>
      <c r="N1171" s="1">
        <v>20</v>
      </c>
      <c r="O1171" s="1">
        <v>1240</v>
      </c>
      <c r="P1171" s="1">
        <v>1280</v>
      </c>
      <c r="Q1171" s="1">
        <v>0</v>
      </c>
      <c r="R1171" s="1">
        <v>1234.3800000000001</v>
      </c>
      <c r="S1171" t="s">
        <v>12</v>
      </c>
      <c r="T1171" s="13">
        <v>45879</v>
      </c>
      <c r="U1171" s="1" t="str">
        <f>IF(ESTIMATIVA[[#This Row],[QT_AREA_REAL]]&gt;0,"1- Colhido","2- à Colher")</f>
        <v>1- Colhido</v>
      </c>
      <c r="V1171" s="1" t="str">
        <f>IF(ESTIMATIVA[[#This Row],[QT_AREA_REST1]]&gt;0,"Reestimativa 1",IF(ESTIMATIVA[[#This Row],[QT_AREA_REAL]]=0,"Reestimativa 1","Realizado"))</f>
        <v>Reestimativa 1</v>
      </c>
      <c r="W1171" s="1" t="str">
        <f>IF(ESTIMATIVA[[#This Row],[QT_AREA_REST2]]&gt;0,"Reestimativa 2",IF(ESTIMATIVA[[#This Row],[QT_AREA_REAL]]=0,"Reestimativa 2","Realizado"))</f>
        <v>Realizado</v>
      </c>
      <c r="X1171" s="1">
        <f>ESTIMATIVA[[#This Row],[QT_AREA_EST]]</f>
        <v>20</v>
      </c>
      <c r="Y1171" s="1">
        <f>IF(ESTIMATIVA[[#This Row],[QT_AREA_REST1]]&gt;0,ESTIMATIVA[[#This Row],[QT_AREA_REST1]],
  IF(ESTIMATIVA[[#This Row],[QT_AREA_REAL]]&gt;0,ESTIMATIVA[[#This Row],[QT_AREA_REAL]],ESTIMATIVA[[#This Row],[QT_AREA_EST]]))</f>
        <v>20</v>
      </c>
      <c r="Z117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</v>
      </c>
      <c r="AA1171" s="1">
        <f>ESTIMATIVA[[#This Row],[QT_CANA_EST]]</f>
        <v>1240</v>
      </c>
      <c r="AB1171" s="1">
        <f>IF(ESTIMATIVA[[#This Row],[QT_CANA_REST1]]&gt;0,ESTIMATIVA[[#This Row],[QT_CANA_REST1]],
  IF(ESTIMATIVA[[#This Row],[QT_CANA_REAL]]&gt;0,ESTIMATIVA[[#This Row],[QT_CANA_REAL]],ESTIMATIVA[[#This Row],[QT_CANA_EST]]))</f>
        <v>1280</v>
      </c>
      <c r="AC117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1234.3800000000001</v>
      </c>
      <c r="AD1171" s="1">
        <f>IF(ESTIMATIVA[[#This Row],[QT_AREA_REAL]]&gt;0,ESTIMATIVA[[#This Row],[QT_CANA_REAL]],ESTIMATIVA[[#This Row],[QT_CANA_EST]])</f>
        <v>1234.3800000000001</v>
      </c>
      <c r="AE1171" s="1">
        <f>IF(ESTIMATIVA[[#This Row],[QT_AREA_REAL]]&gt;0,ESTIMATIVA[[#This Row],[QT_CANA_REAL]],ESTIMATIVA[[#This Row],[QT_CANA_REST1]])</f>
        <v>1234.3800000000001</v>
      </c>
      <c r="AF1171" s="1">
        <f>IF(ESTIMATIVA[[#This Row],[QT_AREA_REAL]]&gt;0,ESTIMATIVA[[#This Row],[QT_CANA_REAL]],ESTIMATIVA[[#This Row],[QT_CANA_REST2]])</f>
        <v>1234.3800000000001</v>
      </c>
      <c r="AG1171" s="1" t="str">
        <f>IF(COUNTIFS(GEADA!A:A,VALUE(ESTIMATIVA[[#This Row],[CD_UPNIVEL1]]&amp;TEXT(ESTIMATIVA[[#This Row],[CD_UPNIVEL3]],"0000")))&gt;0,"S","N")</f>
        <v>N</v>
      </c>
      <c r="AH117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71" s="55" t="str">
        <f>IF(ESTIMATIVA[[#This Row],[TP_CULTIVO]]="Irrigado",_xlfn.MAXIFS(IRRIGADO!J:J,IRRIGADO!C:C,ESTIMATIVA[[#This Row],[CD_UPNIVEL1]],IRRIGADO!E:E,ESTIMATIVA[[#This Row],[CD_UPNIVEL3]]),"")</f>
        <v/>
      </c>
      <c r="AJ117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71" s="1">
        <f>COUNTIFS(Apresentação!$E$23:$E$29,ESTIMATIVA[[#This Row],[CD_UPNIVEL1]])</f>
        <v>0</v>
      </c>
    </row>
    <row r="1172" spans="1:37" x14ac:dyDescent="0.3">
      <c r="A1172">
        <v>20511</v>
      </c>
      <c r="B1172" t="s">
        <v>67</v>
      </c>
      <c r="C1172">
        <v>17</v>
      </c>
      <c r="D1172">
        <v>4</v>
      </c>
      <c r="E1172" t="s">
        <v>265</v>
      </c>
      <c r="F1172" s="85" t="s">
        <v>332</v>
      </c>
      <c r="G1172"/>
      <c r="H1172" t="s">
        <v>294</v>
      </c>
      <c r="I1172" t="s">
        <v>197</v>
      </c>
      <c r="J1172" t="s">
        <v>176</v>
      </c>
      <c r="K1172" s="1">
        <v>33.22</v>
      </c>
      <c r="L1172" s="1">
        <v>33.22</v>
      </c>
      <c r="M1172" s="1">
        <v>0</v>
      </c>
      <c r="N1172" s="1">
        <v>33.22</v>
      </c>
      <c r="O1172" s="1">
        <v>2591.16</v>
      </c>
      <c r="P1172" s="1">
        <v>2591.16</v>
      </c>
      <c r="Q1172" s="1">
        <v>0</v>
      </c>
      <c r="R1172" s="1">
        <v>2499.0500000000002</v>
      </c>
      <c r="S1172" t="s">
        <v>12</v>
      </c>
      <c r="T1172" s="13">
        <v>45879</v>
      </c>
      <c r="U1172" s="1" t="str">
        <f>IF(ESTIMATIVA[[#This Row],[QT_AREA_REAL]]&gt;0,"1- Colhido","2- à Colher")</f>
        <v>1- Colhido</v>
      </c>
      <c r="V1172" s="1" t="str">
        <f>IF(ESTIMATIVA[[#This Row],[QT_AREA_REST1]]&gt;0,"Reestimativa 1",IF(ESTIMATIVA[[#This Row],[QT_AREA_REAL]]=0,"Reestimativa 1","Realizado"))</f>
        <v>Reestimativa 1</v>
      </c>
      <c r="W1172" s="1" t="str">
        <f>IF(ESTIMATIVA[[#This Row],[QT_AREA_REST2]]&gt;0,"Reestimativa 2",IF(ESTIMATIVA[[#This Row],[QT_AREA_REAL]]=0,"Reestimativa 2","Realizado"))</f>
        <v>Realizado</v>
      </c>
      <c r="X1172" s="1">
        <f>ESTIMATIVA[[#This Row],[QT_AREA_EST]]</f>
        <v>33.22</v>
      </c>
      <c r="Y1172" s="1">
        <f>IF(ESTIMATIVA[[#This Row],[QT_AREA_REST1]]&gt;0,ESTIMATIVA[[#This Row],[QT_AREA_REST1]],
  IF(ESTIMATIVA[[#This Row],[QT_AREA_REAL]]&gt;0,ESTIMATIVA[[#This Row],[QT_AREA_REAL]],ESTIMATIVA[[#This Row],[QT_AREA_EST]]))</f>
        <v>33.22</v>
      </c>
      <c r="Z117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33.22</v>
      </c>
      <c r="AA1172" s="1">
        <f>ESTIMATIVA[[#This Row],[QT_CANA_EST]]</f>
        <v>2591.16</v>
      </c>
      <c r="AB1172" s="1">
        <f>IF(ESTIMATIVA[[#This Row],[QT_CANA_REST1]]&gt;0,ESTIMATIVA[[#This Row],[QT_CANA_REST1]],
  IF(ESTIMATIVA[[#This Row],[QT_CANA_REAL]]&gt;0,ESTIMATIVA[[#This Row],[QT_CANA_REAL]],ESTIMATIVA[[#This Row],[QT_CANA_EST]]))</f>
        <v>2591.16</v>
      </c>
      <c r="AC117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2499.0500000000002</v>
      </c>
      <c r="AD1172" s="1">
        <f>IF(ESTIMATIVA[[#This Row],[QT_AREA_REAL]]&gt;0,ESTIMATIVA[[#This Row],[QT_CANA_REAL]],ESTIMATIVA[[#This Row],[QT_CANA_EST]])</f>
        <v>2499.0500000000002</v>
      </c>
      <c r="AE1172" s="1">
        <f>IF(ESTIMATIVA[[#This Row],[QT_AREA_REAL]]&gt;0,ESTIMATIVA[[#This Row],[QT_CANA_REAL]],ESTIMATIVA[[#This Row],[QT_CANA_REST1]])</f>
        <v>2499.0500000000002</v>
      </c>
      <c r="AF1172" s="1">
        <f>IF(ESTIMATIVA[[#This Row],[QT_AREA_REAL]]&gt;0,ESTIMATIVA[[#This Row],[QT_CANA_REAL]],ESTIMATIVA[[#This Row],[QT_CANA_REST2]])</f>
        <v>2499.0500000000002</v>
      </c>
      <c r="AG1172" s="1" t="str">
        <f>IF(COUNTIFS(GEADA!A:A,VALUE(ESTIMATIVA[[#This Row],[CD_UPNIVEL1]]&amp;TEXT(ESTIMATIVA[[#This Row],[CD_UPNIVEL3]],"0000")))&gt;0,"S","N")</f>
        <v>N</v>
      </c>
      <c r="AH117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72" s="55" t="str">
        <f>IF(ESTIMATIVA[[#This Row],[TP_CULTIVO]]="Irrigado",_xlfn.MAXIFS(IRRIGADO!J:J,IRRIGADO!C:C,ESTIMATIVA[[#This Row],[CD_UPNIVEL1]],IRRIGADO!E:E,ESTIMATIVA[[#This Row],[CD_UPNIVEL3]]),"")</f>
        <v/>
      </c>
      <c r="AJ117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72" s="1">
        <f>COUNTIFS(Apresentação!$E$23:$E$29,ESTIMATIVA[[#This Row],[CD_UPNIVEL1]])</f>
        <v>0</v>
      </c>
    </row>
    <row r="1173" spans="1:37" x14ac:dyDescent="0.3">
      <c r="A1173">
        <v>20511</v>
      </c>
      <c r="B1173" t="s">
        <v>67</v>
      </c>
      <c r="C1173">
        <v>22</v>
      </c>
      <c r="D1173">
        <v>3</v>
      </c>
      <c r="E1173" t="s">
        <v>263</v>
      </c>
      <c r="F1173" s="85" t="s">
        <v>331</v>
      </c>
      <c r="G1173"/>
      <c r="H1173" t="s">
        <v>294</v>
      </c>
      <c r="I1173" t="s">
        <v>204</v>
      </c>
      <c r="J1173" t="s">
        <v>176</v>
      </c>
      <c r="K1173" s="1">
        <v>23.31</v>
      </c>
      <c r="L1173" s="1">
        <v>23.31</v>
      </c>
      <c r="M1173" s="1">
        <v>0</v>
      </c>
      <c r="N1173" s="1">
        <v>23.31</v>
      </c>
      <c r="O1173" s="1">
        <v>1864.8</v>
      </c>
      <c r="P1173" s="1">
        <v>1911.42</v>
      </c>
      <c r="Q1173" s="1">
        <v>0</v>
      </c>
      <c r="R1173" s="1">
        <v>1470.75</v>
      </c>
      <c r="S1173" t="s">
        <v>12</v>
      </c>
      <c r="T1173" s="13">
        <v>45872</v>
      </c>
      <c r="U1173" s="1" t="str">
        <f>IF(ESTIMATIVA[[#This Row],[QT_AREA_REAL]]&gt;0,"1- Colhido","2- à Colher")</f>
        <v>1- Colhido</v>
      </c>
      <c r="V1173" s="1" t="str">
        <f>IF(ESTIMATIVA[[#This Row],[QT_AREA_REST1]]&gt;0,"Reestimativa 1",IF(ESTIMATIVA[[#This Row],[QT_AREA_REAL]]=0,"Reestimativa 1","Realizado"))</f>
        <v>Reestimativa 1</v>
      </c>
      <c r="W1173" s="1" t="str">
        <f>IF(ESTIMATIVA[[#This Row],[QT_AREA_REST2]]&gt;0,"Reestimativa 2",IF(ESTIMATIVA[[#This Row],[QT_AREA_REAL]]=0,"Reestimativa 2","Realizado"))</f>
        <v>Realizado</v>
      </c>
      <c r="X1173" s="1">
        <f>ESTIMATIVA[[#This Row],[QT_AREA_EST]]</f>
        <v>23.31</v>
      </c>
      <c r="Y1173" s="1">
        <f>IF(ESTIMATIVA[[#This Row],[QT_AREA_REST1]]&gt;0,ESTIMATIVA[[#This Row],[QT_AREA_REST1]],
  IF(ESTIMATIVA[[#This Row],[QT_AREA_REAL]]&gt;0,ESTIMATIVA[[#This Row],[QT_AREA_REAL]],ESTIMATIVA[[#This Row],[QT_AREA_EST]]))</f>
        <v>23.31</v>
      </c>
      <c r="Z117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23.31</v>
      </c>
      <c r="AA1173" s="1">
        <f>ESTIMATIVA[[#This Row],[QT_CANA_EST]]</f>
        <v>1864.8</v>
      </c>
      <c r="AB1173" s="1">
        <f>IF(ESTIMATIVA[[#This Row],[QT_CANA_REST1]]&gt;0,ESTIMATIVA[[#This Row],[QT_CANA_REST1]],
  IF(ESTIMATIVA[[#This Row],[QT_CANA_REAL]]&gt;0,ESTIMATIVA[[#This Row],[QT_CANA_REAL]],ESTIMATIVA[[#This Row],[QT_CANA_EST]]))</f>
        <v>1911.42</v>
      </c>
      <c r="AC117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1470.75</v>
      </c>
      <c r="AD1173" s="1">
        <f>IF(ESTIMATIVA[[#This Row],[QT_AREA_REAL]]&gt;0,ESTIMATIVA[[#This Row],[QT_CANA_REAL]],ESTIMATIVA[[#This Row],[QT_CANA_EST]])</f>
        <v>1470.75</v>
      </c>
      <c r="AE1173" s="1">
        <f>IF(ESTIMATIVA[[#This Row],[QT_AREA_REAL]]&gt;0,ESTIMATIVA[[#This Row],[QT_CANA_REAL]],ESTIMATIVA[[#This Row],[QT_CANA_REST1]])</f>
        <v>1470.75</v>
      </c>
      <c r="AF1173" s="1">
        <f>IF(ESTIMATIVA[[#This Row],[QT_AREA_REAL]]&gt;0,ESTIMATIVA[[#This Row],[QT_CANA_REAL]],ESTIMATIVA[[#This Row],[QT_CANA_REST2]])</f>
        <v>1470.75</v>
      </c>
      <c r="AG1173" s="1" t="str">
        <f>IF(COUNTIFS(GEADA!A:A,VALUE(ESTIMATIVA[[#This Row],[CD_UPNIVEL1]]&amp;TEXT(ESTIMATIVA[[#This Row],[CD_UPNIVEL3]],"0000")))&gt;0,"S","N")</f>
        <v>N</v>
      </c>
      <c r="AH117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73" s="55" t="str">
        <f>IF(ESTIMATIVA[[#This Row],[TP_CULTIVO]]="Irrigado",_xlfn.MAXIFS(IRRIGADO!J:J,IRRIGADO!C:C,ESTIMATIVA[[#This Row],[CD_UPNIVEL1]],IRRIGADO!E:E,ESTIMATIVA[[#This Row],[CD_UPNIVEL3]]),"")</f>
        <v/>
      </c>
      <c r="AJ117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73" s="1">
        <f>COUNTIFS(Apresentação!$E$23:$E$29,ESTIMATIVA[[#This Row],[CD_UPNIVEL1]])</f>
        <v>0</v>
      </c>
    </row>
    <row r="1174" spans="1:37" x14ac:dyDescent="0.3">
      <c r="A1174">
        <v>20511</v>
      </c>
      <c r="B1174" t="s">
        <v>67</v>
      </c>
      <c r="C1174">
        <v>23</v>
      </c>
      <c r="D1174">
        <v>3</v>
      </c>
      <c r="E1174" t="s">
        <v>263</v>
      </c>
      <c r="F1174" s="85" t="s">
        <v>331</v>
      </c>
      <c r="G1174"/>
      <c r="H1174" t="s">
        <v>294</v>
      </c>
      <c r="I1174" t="s">
        <v>204</v>
      </c>
      <c r="J1174" t="s">
        <v>176</v>
      </c>
      <c r="K1174" s="1">
        <v>17.940000000000001</v>
      </c>
      <c r="L1174" s="1">
        <v>17.940000000000001</v>
      </c>
      <c r="M1174" s="1">
        <v>0</v>
      </c>
      <c r="N1174" s="1">
        <v>17.940000000000001</v>
      </c>
      <c r="O1174" s="1">
        <v>1435.2</v>
      </c>
      <c r="P1174" s="1">
        <v>1471.08</v>
      </c>
      <c r="Q1174" s="1">
        <v>0</v>
      </c>
      <c r="R1174" s="1">
        <v>1132.0899999999999</v>
      </c>
      <c r="S1174" t="s">
        <v>12</v>
      </c>
      <c r="T1174" s="13">
        <v>45872</v>
      </c>
      <c r="U1174" s="1" t="str">
        <f>IF(ESTIMATIVA[[#This Row],[QT_AREA_REAL]]&gt;0,"1- Colhido","2- à Colher")</f>
        <v>1- Colhido</v>
      </c>
      <c r="V1174" s="1" t="str">
        <f>IF(ESTIMATIVA[[#This Row],[QT_AREA_REST1]]&gt;0,"Reestimativa 1",IF(ESTIMATIVA[[#This Row],[QT_AREA_REAL]]=0,"Reestimativa 1","Realizado"))</f>
        <v>Reestimativa 1</v>
      </c>
      <c r="W1174" s="1" t="str">
        <f>IF(ESTIMATIVA[[#This Row],[QT_AREA_REST2]]&gt;0,"Reestimativa 2",IF(ESTIMATIVA[[#This Row],[QT_AREA_REAL]]=0,"Reestimativa 2","Realizado"))</f>
        <v>Realizado</v>
      </c>
      <c r="X1174" s="1">
        <f>ESTIMATIVA[[#This Row],[QT_AREA_EST]]</f>
        <v>17.940000000000001</v>
      </c>
      <c r="Y1174" s="1">
        <f>IF(ESTIMATIVA[[#This Row],[QT_AREA_REST1]]&gt;0,ESTIMATIVA[[#This Row],[QT_AREA_REST1]],
  IF(ESTIMATIVA[[#This Row],[QT_AREA_REAL]]&gt;0,ESTIMATIVA[[#This Row],[QT_AREA_REAL]],ESTIMATIVA[[#This Row],[QT_AREA_EST]]))</f>
        <v>17.940000000000001</v>
      </c>
      <c r="Z117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17.940000000000001</v>
      </c>
      <c r="AA1174" s="1">
        <f>ESTIMATIVA[[#This Row],[QT_CANA_EST]]</f>
        <v>1435.2</v>
      </c>
      <c r="AB1174" s="1">
        <f>IF(ESTIMATIVA[[#This Row],[QT_CANA_REST1]]&gt;0,ESTIMATIVA[[#This Row],[QT_CANA_REST1]],
  IF(ESTIMATIVA[[#This Row],[QT_CANA_REAL]]&gt;0,ESTIMATIVA[[#This Row],[QT_CANA_REAL]],ESTIMATIVA[[#This Row],[QT_CANA_EST]]))</f>
        <v>1471.08</v>
      </c>
      <c r="AC117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1132.0899999999999</v>
      </c>
      <c r="AD1174" s="1">
        <f>IF(ESTIMATIVA[[#This Row],[QT_AREA_REAL]]&gt;0,ESTIMATIVA[[#This Row],[QT_CANA_REAL]],ESTIMATIVA[[#This Row],[QT_CANA_EST]])</f>
        <v>1132.0899999999999</v>
      </c>
      <c r="AE1174" s="1">
        <f>IF(ESTIMATIVA[[#This Row],[QT_AREA_REAL]]&gt;0,ESTIMATIVA[[#This Row],[QT_CANA_REAL]],ESTIMATIVA[[#This Row],[QT_CANA_REST1]])</f>
        <v>1132.0899999999999</v>
      </c>
      <c r="AF1174" s="1">
        <f>IF(ESTIMATIVA[[#This Row],[QT_AREA_REAL]]&gt;0,ESTIMATIVA[[#This Row],[QT_CANA_REAL]],ESTIMATIVA[[#This Row],[QT_CANA_REST2]])</f>
        <v>1132.0899999999999</v>
      </c>
      <c r="AG1174" s="1" t="str">
        <f>IF(COUNTIFS(GEADA!A:A,VALUE(ESTIMATIVA[[#This Row],[CD_UPNIVEL1]]&amp;TEXT(ESTIMATIVA[[#This Row],[CD_UPNIVEL3]],"0000")))&gt;0,"S","N")</f>
        <v>N</v>
      </c>
      <c r="AH117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74" s="55" t="str">
        <f>IF(ESTIMATIVA[[#This Row],[TP_CULTIVO]]="Irrigado",_xlfn.MAXIFS(IRRIGADO!J:J,IRRIGADO!C:C,ESTIMATIVA[[#This Row],[CD_UPNIVEL1]],IRRIGADO!E:E,ESTIMATIVA[[#This Row],[CD_UPNIVEL3]]),"")</f>
        <v/>
      </c>
      <c r="AJ117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74" s="1">
        <f>COUNTIFS(Apresentação!$E$23:$E$29,ESTIMATIVA[[#This Row],[CD_UPNIVEL1]])</f>
        <v>0</v>
      </c>
    </row>
    <row r="1175" spans="1:37" x14ac:dyDescent="0.3">
      <c r="A1175">
        <v>20511</v>
      </c>
      <c r="B1175" t="s">
        <v>67</v>
      </c>
      <c r="C1175">
        <v>24</v>
      </c>
      <c r="D1175">
        <v>3</v>
      </c>
      <c r="E1175" t="s">
        <v>263</v>
      </c>
      <c r="F1175" s="85" t="s">
        <v>331</v>
      </c>
      <c r="G1175"/>
      <c r="H1175" t="s">
        <v>294</v>
      </c>
      <c r="I1175" t="s">
        <v>204</v>
      </c>
      <c r="J1175" t="s">
        <v>176</v>
      </c>
      <c r="K1175" s="1">
        <v>12.64</v>
      </c>
      <c r="L1175" s="1">
        <v>12.64</v>
      </c>
      <c r="M1175" s="1">
        <v>0</v>
      </c>
      <c r="N1175" s="1">
        <v>12.64</v>
      </c>
      <c r="O1175" s="1">
        <v>1137.5999999999999</v>
      </c>
      <c r="P1175" s="1">
        <v>1162.8800000000001</v>
      </c>
      <c r="Q1175" s="1">
        <v>0</v>
      </c>
      <c r="R1175" s="1">
        <v>895.04</v>
      </c>
      <c r="S1175" t="s">
        <v>12</v>
      </c>
      <c r="T1175" s="13">
        <v>45872</v>
      </c>
      <c r="U1175" s="1" t="str">
        <f>IF(ESTIMATIVA[[#This Row],[QT_AREA_REAL]]&gt;0,"1- Colhido","2- à Colher")</f>
        <v>1- Colhido</v>
      </c>
      <c r="V1175" s="1" t="str">
        <f>IF(ESTIMATIVA[[#This Row],[QT_AREA_REST1]]&gt;0,"Reestimativa 1",IF(ESTIMATIVA[[#This Row],[QT_AREA_REAL]]=0,"Reestimativa 1","Realizado"))</f>
        <v>Reestimativa 1</v>
      </c>
      <c r="W1175" s="1" t="str">
        <f>IF(ESTIMATIVA[[#This Row],[QT_AREA_REST2]]&gt;0,"Reestimativa 2",IF(ESTIMATIVA[[#This Row],[QT_AREA_REAL]]=0,"Reestimativa 2","Realizado"))</f>
        <v>Realizado</v>
      </c>
      <c r="X1175" s="1">
        <f>ESTIMATIVA[[#This Row],[QT_AREA_EST]]</f>
        <v>12.64</v>
      </c>
      <c r="Y1175" s="1">
        <f>IF(ESTIMATIVA[[#This Row],[QT_AREA_REST1]]&gt;0,ESTIMATIVA[[#This Row],[QT_AREA_REST1]],
  IF(ESTIMATIVA[[#This Row],[QT_AREA_REAL]]&gt;0,ESTIMATIVA[[#This Row],[QT_AREA_REAL]],ESTIMATIVA[[#This Row],[QT_AREA_EST]]))</f>
        <v>12.64</v>
      </c>
      <c r="Z117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12.64</v>
      </c>
      <c r="AA1175" s="1">
        <f>ESTIMATIVA[[#This Row],[QT_CANA_EST]]</f>
        <v>1137.5999999999999</v>
      </c>
      <c r="AB1175" s="1">
        <f>IF(ESTIMATIVA[[#This Row],[QT_CANA_REST1]]&gt;0,ESTIMATIVA[[#This Row],[QT_CANA_REST1]],
  IF(ESTIMATIVA[[#This Row],[QT_CANA_REAL]]&gt;0,ESTIMATIVA[[#This Row],[QT_CANA_REAL]],ESTIMATIVA[[#This Row],[QT_CANA_EST]]))</f>
        <v>1162.8800000000001</v>
      </c>
      <c r="AC117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895.04</v>
      </c>
      <c r="AD1175" s="1">
        <f>IF(ESTIMATIVA[[#This Row],[QT_AREA_REAL]]&gt;0,ESTIMATIVA[[#This Row],[QT_CANA_REAL]],ESTIMATIVA[[#This Row],[QT_CANA_EST]])</f>
        <v>895.04</v>
      </c>
      <c r="AE1175" s="1">
        <f>IF(ESTIMATIVA[[#This Row],[QT_AREA_REAL]]&gt;0,ESTIMATIVA[[#This Row],[QT_CANA_REAL]],ESTIMATIVA[[#This Row],[QT_CANA_REST1]])</f>
        <v>895.04</v>
      </c>
      <c r="AF1175" s="1">
        <f>IF(ESTIMATIVA[[#This Row],[QT_AREA_REAL]]&gt;0,ESTIMATIVA[[#This Row],[QT_CANA_REAL]],ESTIMATIVA[[#This Row],[QT_CANA_REST2]])</f>
        <v>895.04</v>
      </c>
      <c r="AG1175" s="1" t="str">
        <f>IF(COUNTIFS(GEADA!A:A,VALUE(ESTIMATIVA[[#This Row],[CD_UPNIVEL1]]&amp;TEXT(ESTIMATIVA[[#This Row],[CD_UPNIVEL3]],"0000")))&gt;0,"S","N")</f>
        <v>N</v>
      </c>
      <c r="AH117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75" s="55" t="str">
        <f>IF(ESTIMATIVA[[#This Row],[TP_CULTIVO]]="Irrigado",_xlfn.MAXIFS(IRRIGADO!J:J,IRRIGADO!C:C,ESTIMATIVA[[#This Row],[CD_UPNIVEL1]],IRRIGADO!E:E,ESTIMATIVA[[#This Row],[CD_UPNIVEL3]]),"")</f>
        <v/>
      </c>
      <c r="AJ117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75" s="1">
        <f>COUNTIFS(Apresentação!$E$23:$E$29,ESTIMATIVA[[#This Row],[CD_UPNIVEL1]])</f>
        <v>0</v>
      </c>
    </row>
    <row r="1176" spans="1:37" x14ac:dyDescent="0.3">
      <c r="A1176">
        <v>20511</v>
      </c>
      <c r="B1176" t="s">
        <v>67</v>
      </c>
      <c r="C1176">
        <v>25</v>
      </c>
      <c r="D1176">
        <v>3</v>
      </c>
      <c r="E1176" t="s">
        <v>263</v>
      </c>
      <c r="F1176" s="85" t="s">
        <v>331</v>
      </c>
      <c r="G1176"/>
      <c r="H1176" t="s">
        <v>294</v>
      </c>
      <c r="I1176" t="s">
        <v>204</v>
      </c>
      <c r="J1176" t="s">
        <v>176</v>
      </c>
      <c r="K1176" s="1">
        <v>27.61</v>
      </c>
      <c r="L1176" s="1">
        <v>27.61</v>
      </c>
      <c r="M1176" s="1">
        <v>0</v>
      </c>
      <c r="N1176" s="1">
        <v>27.61</v>
      </c>
      <c r="O1176" s="1">
        <v>2484.9</v>
      </c>
      <c r="P1176" s="1">
        <v>2540.12</v>
      </c>
      <c r="Q1176" s="1">
        <v>0</v>
      </c>
      <c r="R1176" s="1">
        <v>1955.17</v>
      </c>
      <c r="S1176" t="s">
        <v>12</v>
      </c>
      <c r="T1176" s="13">
        <v>45872</v>
      </c>
      <c r="U1176" s="1" t="str">
        <f>IF(ESTIMATIVA[[#This Row],[QT_AREA_REAL]]&gt;0,"1- Colhido","2- à Colher")</f>
        <v>1- Colhido</v>
      </c>
      <c r="V1176" s="1" t="str">
        <f>IF(ESTIMATIVA[[#This Row],[QT_AREA_REST1]]&gt;0,"Reestimativa 1",IF(ESTIMATIVA[[#This Row],[QT_AREA_REAL]]=0,"Reestimativa 1","Realizado"))</f>
        <v>Reestimativa 1</v>
      </c>
      <c r="W1176" s="1" t="str">
        <f>IF(ESTIMATIVA[[#This Row],[QT_AREA_REST2]]&gt;0,"Reestimativa 2",IF(ESTIMATIVA[[#This Row],[QT_AREA_REAL]]=0,"Reestimativa 2","Realizado"))</f>
        <v>Realizado</v>
      </c>
      <c r="X1176" s="1">
        <f>ESTIMATIVA[[#This Row],[QT_AREA_EST]]</f>
        <v>27.61</v>
      </c>
      <c r="Y1176" s="1">
        <f>IF(ESTIMATIVA[[#This Row],[QT_AREA_REST1]]&gt;0,ESTIMATIVA[[#This Row],[QT_AREA_REST1]],
  IF(ESTIMATIVA[[#This Row],[QT_AREA_REAL]]&gt;0,ESTIMATIVA[[#This Row],[QT_AREA_REAL]],ESTIMATIVA[[#This Row],[QT_AREA_EST]]))</f>
        <v>27.61</v>
      </c>
      <c r="Z117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27.61</v>
      </c>
      <c r="AA1176" s="1">
        <f>ESTIMATIVA[[#This Row],[QT_CANA_EST]]</f>
        <v>2484.9</v>
      </c>
      <c r="AB1176" s="1">
        <f>IF(ESTIMATIVA[[#This Row],[QT_CANA_REST1]]&gt;0,ESTIMATIVA[[#This Row],[QT_CANA_REST1]],
  IF(ESTIMATIVA[[#This Row],[QT_CANA_REAL]]&gt;0,ESTIMATIVA[[#This Row],[QT_CANA_REAL]],ESTIMATIVA[[#This Row],[QT_CANA_EST]]))</f>
        <v>2540.12</v>
      </c>
      <c r="AC117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1955.17</v>
      </c>
      <c r="AD1176" s="1">
        <f>IF(ESTIMATIVA[[#This Row],[QT_AREA_REAL]]&gt;0,ESTIMATIVA[[#This Row],[QT_CANA_REAL]],ESTIMATIVA[[#This Row],[QT_CANA_EST]])</f>
        <v>1955.17</v>
      </c>
      <c r="AE1176" s="1">
        <f>IF(ESTIMATIVA[[#This Row],[QT_AREA_REAL]]&gt;0,ESTIMATIVA[[#This Row],[QT_CANA_REAL]],ESTIMATIVA[[#This Row],[QT_CANA_REST1]])</f>
        <v>1955.17</v>
      </c>
      <c r="AF1176" s="1">
        <f>IF(ESTIMATIVA[[#This Row],[QT_AREA_REAL]]&gt;0,ESTIMATIVA[[#This Row],[QT_CANA_REAL]],ESTIMATIVA[[#This Row],[QT_CANA_REST2]])</f>
        <v>1955.17</v>
      </c>
      <c r="AG1176" s="1" t="str">
        <f>IF(COUNTIFS(GEADA!A:A,VALUE(ESTIMATIVA[[#This Row],[CD_UPNIVEL1]]&amp;TEXT(ESTIMATIVA[[#This Row],[CD_UPNIVEL3]],"0000")))&gt;0,"S","N")</f>
        <v>N</v>
      </c>
      <c r="AH117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76" s="55" t="str">
        <f>IF(ESTIMATIVA[[#This Row],[TP_CULTIVO]]="Irrigado",_xlfn.MAXIFS(IRRIGADO!J:J,IRRIGADO!C:C,ESTIMATIVA[[#This Row],[CD_UPNIVEL1]],IRRIGADO!E:E,ESTIMATIVA[[#This Row],[CD_UPNIVEL3]]),"")</f>
        <v/>
      </c>
      <c r="AJ117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76" s="1">
        <f>COUNTIFS(Apresentação!$E$23:$E$29,ESTIMATIVA[[#This Row],[CD_UPNIVEL1]])</f>
        <v>0</v>
      </c>
    </row>
    <row r="1177" spans="1:37" x14ac:dyDescent="0.3">
      <c r="A1177">
        <v>20511</v>
      </c>
      <c r="B1177" t="s">
        <v>67</v>
      </c>
      <c r="C1177">
        <v>26</v>
      </c>
      <c r="D1177">
        <v>3</v>
      </c>
      <c r="E1177" t="s">
        <v>263</v>
      </c>
      <c r="F1177" s="85" t="s">
        <v>331</v>
      </c>
      <c r="G1177"/>
      <c r="H1177" t="s">
        <v>294</v>
      </c>
      <c r="I1177" t="s">
        <v>197</v>
      </c>
      <c r="J1177" t="s">
        <v>176</v>
      </c>
      <c r="K1177" s="1">
        <v>51.55</v>
      </c>
      <c r="L1177" s="1">
        <v>51.55</v>
      </c>
      <c r="M1177" s="1">
        <v>0</v>
      </c>
      <c r="N1177" s="1">
        <v>51.55</v>
      </c>
      <c r="O1177" s="1">
        <v>4020.9</v>
      </c>
      <c r="P1177" s="1">
        <v>4124</v>
      </c>
      <c r="Q1177" s="1">
        <v>0</v>
      </c>
      <c r="R1177" s="1">
        <v>5059.1899999999996</v>
      </c>
      <c r="S1177" t="s">
        <v>12</v>
      </c>
      <c r="T1177" s="13">
        <v>45872</v>
      </c>
      <c r="U1177" s="1" t="str">
        <f>IF(ESTIMATIVA[[#This Row],[QT_AREA_REAL]]&gt;0,"1- Colhido","2- à Colher")</f>
        <v>1- Colhido</v>
      </c>
      <c r="V1177" s="1" t="str">
        <f>IF(ESTIMATIVA[[#This Row],[QT_AREA_REST1]]&gt;0,"Reestimativa 1",IF(ESTIMATIVA[[#This Row],[QT_AREA_REAL]]=0,"Reestimativa 1","Realizado"))</f>
        <v>Reestimativa 1</v>
      </c>
      <c r="W1177" s="1" t="str">
        <f>IF(ESTIMATIVA[[#This Row],[QT_AREA_REST2]]&gt;0,"Reestimativa 2",IF(ESTIMATIVA[[#This Row],[QT_AREA_REAL]]=0,"Reestimativa 2","Realizado"))</f>
        <v>Realizado</v>
      </c>
      <c r="X1177" s="1">
        <f>ESTIMATIVA[[#This Row],[QT_AREA_EST]]</f>
        <v>51.55</v>
      </c>
      <c r="Y1177" s="1">
        <f>IF(ESTIMATIVA[[#This Row],[QT_AREA_REST1]]&gt;0,ESTIMATIVA[[#This Row],[QT_AREA_REST1]],
  IF(ESTIMATIVA[[#This Row],[QT_AREA_REAL]]&gt;0,ESTIMATIVA[[#This Row],[QT_AREA_REAL]],ESTIMATIVA[[#This Row],[QT_AREA_EST]]))</f>
        <v>51.55</v>
      </c>
      <c r="Z117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51.55</v>
      </c>
      <c r="AA1177" s="1">
        <f>ESTIMATIVA[[#This Row],[QT_CANA_EST]]</f>
        <v>4020.9</v>
      </c>
      <c r="AB1177" s="1">
        <f>IF(ESTIMATIVA[[#This Row],[QT_CANA_REST1]]&gt;0,ESTIMATIVA[[#This Row],[QT_CANA_REST1]],
  IF(ESTIMATIVA[[#This Row],[QT_CANA_REAL]]&gt;0,ESTIMATIVA[[#This Row],[QT_CANA_REAL]],ESTIMATIVA[[#This Row],[QT_CANA_EST]]))</f>
        <v>4124</v>
      </c>
      <c r="AC117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5059.1899999999996</v>
      </c>
      <c r="AD1177" s="1">
        <f>IF(ESTIMATIVA[[#This Row],[QT_AREA_REAL]]&gt;0,ESTIMATIVA[[#This Row],[QT_CANA_REAL]],ESTIMATIVA[[#This Row],[QT_CANA_EST]])</f>
        <v>5059.1899999999996</v>
      </c>
      <c r="AE1177" s="1">
        <f>IF(ESTIMATIVA[[#This Row],[QT_AREA_REAL]]&gt;0,ESTIMATIVA[[#This Row],[QT_CANA_REAL]],ESTIMATIVA[[#This Row],[QT_CANA_REST1]])</f>
        <v>5059.1899999999996</v>
      </c>
      <c r="AF1177" s="1">
        <f>IF(ESTIMATIVA[[#This Row],[QT_AREA_REAL]]&gt;0,ESTIMATIVA[[#This Row],[QT_CANA_REAL]],ESTIMATIVA[[#This Row],[QT_CANA_REST2]])</f>
        <v>5059.1899999999996</v>
      </c>
      <c r="AG1177" s="1" t="str">
        <f>IF(COUNTIFS(GEADA!A:A,VALUE(ESTIMATIVA[[#This Row],[CD_UPNIVEL1]]&amp;TEXT(ESTIMATIVA[[#This Row],[CD_UPNIVEL3]],"0000")))&gt;0,"S","N")</f>
        <v>N</v>
      </c>
      <c r="AH117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77" s="55" t="str">
        <f>IF(ESTIMATIVA[[#This Row],[TP_CULTIVO]]="Irrigado",_xlfn.MAXIFS(IRRIGADO!J:J,IRRIGADO!C:C,ESTIMATIVA[[#This Row],[CD_UPNIVEL1]],IRRIGADO!E:E,ESTIMATIVA[[#This Row],[CD_UPNIVEL3]]),"")</f>
        <v/>
      </c>
      <c r="AJ117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77" s="1">
        <f>COUNTIFS(Apresentação!$E$23:$E$29,ESTIMATIVA[[#This Row],[CD_UPNIVEL1]])</f>
        <v>0</v>
      </c>
    </row>
    <row r="1178" spans="1:37" x14ac:dyDescent="0.3">
      <c r="A1178">
        <v>20511</v>
      </c>
      <c r="B1178" t="s">
        <v>67</v>
      </c>
      <c r="C1178">
        <v>27</v>
      </c>
      <c r="D1178">
        <v>3</v>
      </c>
      <c r="E1178" t="s">
        <v>263</v>
      </c>
      <c r="F1178" s="85" t="s">
        <v>331</v>
      </c>
      <c r="G1178"/>
      <c r="H1178" t="s">
        <v>294</v>
      </c>
      <c r="I1178" t="s">
        <v>197</v>
      </c>
      <c r="J1178" t="s">
        <v>176</v>
      </c>
      <c r="K1178" s="1">
        <v>40.85</v>
      </c>
      <c r="L1178" s="1">
        <v>40.85</v>
      </c>
      <c r="M1178" s="1">
        <v>0</v>
      </c>
      <c r="N1178" s="1">
        <v>40.85</v>
      </c>
      <c r="O1178" s="1">
        <v>3186.3</v>
      </c>
      <c r="P1178" s="1">
        <v>3268</v>
      </c>
      <c r="Q1178" s="1">
        <v>0</v>
      </c>
      <c r="R1178" s="1">
        <v>4009.3</v>
      </c>
      <c r="S1178" t="s">
        <v>12</v>
      </c>
      <c r="T1178" s="13">
        <v>45872</v>
      </c>
      <c r="U1178" s="1" t="str">
        <f>IF(ESTIMATIVA[[#This Row],[QT_AREA_REAL]]&gt;0,"1- Colhido","2- à Colher")</f>
        <v>1- Colhido</v>
      </c>
      <c r="V1178" s="1" t="str">
        <f>IF(ESTIMATIVA[[#This Row],[QT_AREA_REST1]]&gt;0,"Reestimativa 1",IF(ESTIMATIVA[[#This Row],[QT_AREA_REAL]]=0,"Reestimativa 1","Realizado"))</f>
        <v>Reestimativa 1</v>
      </c>
      <c r="W1178" s="1" t="str">
        <f>IF(ESTIMATIVA[[#This Row],[QT_AREA_REST2]]&gt;0,"Reestimativa 2",IF(ESTIMATIVA[[#This Row],[QT_AREA_REAL]]=0,"Reestimativa 2","Realizado"))</f>
        <v>Realizado</v>
      </c>
      <c r="X1178" s="1">
        <f>ESTIMATIVA[[#This Row],[QT_AREA_EST]]</f>
        <v>40.85</v>
      </c>
      <c r="Y1178" s="1">
        <f>IF(ESTIMATIVA[[#This Row],[QT_AREA_REST1]]&gt;0,ESTIMATIVA[[#This Row],[QT_AREA_REST1]],
  IF(ESTIMATIVA[[#This Row],[QT_AREA_REAL]]&gt;0,ESTIMATIVA[[#This Row],[QT_AREA_REAL]],ESTIMATIVA[[#This Row],[QT_AREA_EST]]))</f>
        <v>40.85</v>
      </c>
      <c r="Z117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40.85</v>
      </c>
      <c r="AA1178" s="1">
        <f>ESTIMATIVA[[#This Row],[QT_CANA_EST]]</f>
        <v>3186.3</v>
      </c>
      <c r="AB1178" s="1">
        <f>IF(ESTIMATIVA[[#This Row],[QT_CANA_REST1]]&gt;0,ESTIMATIVA[[#This Row],[QT_CANA_REST1]],
  IF(ESTIMATIVA[[#This Row],[QT_CANA_REAL]]&gt;0,ESTIMATIVA[[#This Row],[QT_CANA_REAL]],ESTIMATIVA[[#This Row],[QT_CANA_EST]]))</f>
        <v>3268</v>
      </c>
      <c r="AC117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4009.3</v>
      </c>
      <c r="AD1178" s="1">
        <f>IF(ESTIMATIVA[[#This Row],[QT_AREA_REAL]]&gt;0,ESTIMATIVA[[#This Row],[QT_CANA_REAL]],ESTIMATIVA[[#This Row],[QT_CANA_EST]])</f>
        <v>4009.3</v>
      </c>
      <c r="AE1178" s="1">
        <f>IF(ESTIMATIVA[[#This Row],[QT_AREA_REAL]]&gt;0,ESTIMATIVA[[#This Row],[QT_CANA_REAL]],ESTIMATIVA[[#This Row],[QT_CANA_REST1]])</f>
        <v>4009.3</v>
      </c>
      <c r="AF1178" s="1">
        <f>IF(ESTIMATIVA[[#This Row],[QT_AREA_REAL]]&gt;0,ESTIMATIVA[[#This Row],[QT_CANA_REAL]],ESTIMATIVA[[#This Row],[QT_CANA_REST2]])</f>
        <v>4009.3</v>
      </c>
      <c r="AG1178" s="1" t="str">
        <f>IF(COUNTIFS(GEADA!A:A,VALUE(ESTIMATIVA[[#This Row],[CD_UPNIVEL1]]&amp;TEXT(ESTIMATIVA[[#This Row],[CD_UPNIVEL3]],"0000")))&gt;0,"S","N")</f>
        <v>N</v>
      </c>
      <c r="AH117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78" s="55" t="str">
        <f>IF(ESTIMATIVA[[#This Row],[TP_CULTIVO]]="Irrigado",_xlfn.MAXIFS(IRRIGADO!J:J,IRRIGADO!C:C,ESTIMATIVA[[#This Row],[CD_UPNIVEL1]],IRRIGADO!E:E,ESTIMATIVA[[#This Row],[CD_UPNIVEL3]]),"")</f>
        <v/>
      </c>
      <c r="AJ117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78" s="1">
        <f>COUNTIFS(Apresentação!$E$23:$E$29,ESTIMATIVA[[#This Row],[CD_UPNIVEL1]])</f>
        <v>0</v>
      </c>
    </row>
    <row r="1179" spans="1:37" x14ac:dyDescent="0.3">
      <c r="A1179">
        <v>20511</v>
      </c>
      <c r="B1179" t="s">
        <v>67</v>
      </c>
      <c r="C1179">
        <v>28</v>
      </c>
      <c r="D1179">
        <v>4</v>
      </c>
      <c r="E1179" t="s">
        <v>265</v>
      </c>
      <c r="F1179" s="85" t="s">
        <v>331</v>
      </c>
      <c r="G1179"/>
      <c r="H1179" t="s">
        <v>294</v>
      </c>
      <c r="I1179" t="s">
        <v>221</v>
      </c>
      <c r="J1179" t="s">
        <v>176</v>
      </c>
      <c r="K1179" s="1">
        <v>37.950000000000003</v>
      </c>
      <c r="L1179" s="1">
        <v>0</v>
      </c>
      <c r="M1179" s="1">
        <v>0</v>
      </c>
      <c r="N1179" s="1">
        <v>37.950000000000003</v>
      </c>
      <c r="O1179" s="1">
        <v>2125.1999999999998</v>
      </c>
      <c r="P1179" s="1">
        <v>0</v>
      </c>
      <c r="Q1179" s="1">
        <v>0</v>
      </c>
      <c r="R1179" s="1">
        <v>1550.21</v>
      </c>
      <c r="S1179" t="s">
        <v>12</v>
      </c>
      <c r="T1179" s="13">
        <v>45844</v>
      </c>
      <c r="U1179" s="1" t="str">
        <f>IF(ESTIMATIVA[[#This Row],[QT_AREA_REAL]]&gt;0,"1- Colhido","2- à Colher")</f>
        <v>1- Colhido</v>
      </c>
      <c r="V1179" s="1" t="str">
        <f>IF(ESTIMATIVA[[#This Row],[QT_AREA_REST1]]&gt;0,"Reestimativa 1",IF(ESTIMATIVA[[#This Row],[QT_AREA_REAL]]=0,"Reestimativa 1","Realizado"))</f>
        <v>Realizado</v>
      </c>
      <c r="W1179" s="1" t="str">
        <f>IF(ESTIMATIVA[[#This Row],[QT_AREA_REST2]]&gt;0,"Reestimativa 2",IF(ESTIMATIVA[[#This Row],[QT_AREA_REAL]]=0,"Reestimativa 2","Realizado"))</f>
        <v>Realizado</v>
      </c>
      <c r="X1179" s="1">
        <f>ESTIMATIVA[[#This Row],[QT_AREA_EST]]</f>
        <v>37.950000000000003</v>
      </c>
      <c r="Y1179" s="1">
        <f>IF(ESTIMATIVA[[#This Row],[QT_AREA_REST1]]&gt;0,ESTIMATIVA[[#This Row],[QT_AREA_REST1]],
  IF(ESTIMATIVA[[#This Row],[QT_AREA_REAL]]&gt;0,ESTIMATIVA[[#This Row],[QT_AREA_REAL]],ESTIMATIVA[[#This Row],[QT_AREA_EST]]))</f>
        <v>37.950000000000003</v>
      </c>
      <c r="Z117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37.950000000000003</v>
      </c>
      <c r="AA1179" s="1">
        <f>ESTIMATIVA[[#This Row],[QT_CANA_EST]]</f>
        <v>2125.1999999999998</v>
      </c>
      <c r="AB1179" s="1">
        <f>IF(ESTIMATIVA[[#This Row],[QT_CANA_REST1]]&gt;0,ESTIMATIVA[[#This Row],[QT_CANA_REST1]],
  IF(ESTIMATIVA[[#This Row],[QT_CANA_REAL]]&gt;0,ESTIMATIVA[[#This Row],[QT_CANA_REAL]],ESTIMATIVA[[#This Row],[QT_CANA_EST]]))</f>
        <v>1550.21</v>
      </c>
      <c r="AC117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1550.21</v>
      </c>
      <c r="AD1179" s="1">
        <f>IF(ESTIMATIVA[[#This Row],[QT_AREA_REAL]]&gt;0,ESTIMATIVA[[#This Row],[QT_CANA_REAL]],ESTIMATIVA[[#This Row],[QT_CANA_EST]])</f>
        <v>1550.21</v>
      </c>
      <c r="AE1179" s="1">
        <f>IF(ESTIMATIVA[[#This Row],[QT_AREA_REAL]]&gt;0,ESTIMATIVA[[#This Row],[QT_CANA_REAL]],ESTIMATIVA[[#This Row],[QT_CANA_REST1]])</f>
        <v>1550.21</v>
      </c>
      <c r="AF1179" s="1">
        <f>IF(ESTIMATIVA[[#This Row],[QT_AREA_REAL]]&gt;0,ESTIMATIVA[[#This Row],[QT_CANA_REAL]],ESTIMATIVA[[#This Row],[QT_CANA_REST2]])</f>
        <v>1550.21</v>
      </c>
      <c r="AG1179" s="1" t="str">
        <f>IF(COUNTIFS(GEADA!A:A,VALUE(ESTIMATIVA[[#This Row],[CD_UPNIVEL1]]&amp;TEXT(ESTIMATIVA[[#This Row],[CD_UPNIVEL3]],"0000")))&gt;0,"S","N")</f>
        <v>N</v>
      </c>
      <c r="AH117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79" s="55" t="str">
        <f>IF(ESTIMATIVA[[#This Row],[TP_CULTIVO]]="Irrigado",_xlfn.MAXIFS(IRRIGADO!J:J,IRRIGADO!C:C,ESTIMATIVA[[#This Row],[CD_UPNIVEL1]],IRRIGADO!E:E,ESTIMATIVA[[#This Row],[CD_UPNIVEL3]]),"")</f>
        <v/>
      </c>
      <c r="AJ117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79" s="1">
        <f>COUNTIFS(Apresentação!$E$23:$E$29,ESTIMATIVA[[#This Row],[CD_UPNIVEL1]])</f>
        <v>0</v>
      </c>
    </row>
    <row r="1180" spans="1:37" x14ac:dyDescent="0.3">
      <c r="A1180">
        <v>20511</v>
      </c>
      <c r="B1180" t="s">
        <v>67</v>
      </c>
      <c r="C1180">
        <v>29</v>
      </c>
      <c r="D1180">
        <v>4</v>
      </c>
      <c r="E1180" t="s">
        <v>265</v>
      </c>
      <c r="F1180" s="85" t="s">
        <v>331</v>
      </c>
      <c r="G1180"/>
      <c r="H1180" t="s">
        <v>294</v>
      </c>
      <c r="I1180" t="s">
        <v>221</v>
      </c>
      <c r="J1180" t="s">
        <v>176</v>
      </c>
      <c r="K1180" s="1">
        <v>10.08</v>
      </c>
      <c r="L1180" s="1">
        <v>0</v>
      </c>
      <c r="M1180" s="1">
        <v>0</v>
      </c>
      <c r="N1180" s="1">
        <v>10.08</v>
      </c>
      <c r="O1180" s="1">
        <v>564.48</v>
      </c>
      <c r="P1180" s="1">
        <v>0</v>
      </c>
      <c r="Q1180" s="1">
        <v>0</v>
      </c>
      <c r="R1180" s="1">
        <v>511.97</v>
      </c>
      <c r="S1180" t="s">
        <v>12</v>
      </c>
      <c r="T1180" s="13">
        <v>45844</v>
      </c>
      <c r="U1180" s="1" t="str">
        <f>IF(ESTIMATIVA[[#This Row],[QT_AREA_REAL]]&gt;0,"1- Colhido","2- à Colher")</f>
        <v>1- Colhido</v>
      </c>
      <c r="V1180" s="1" t="str">
        <f>IF(ESTIMATIVA[[#This Row],[QT_AREA_REST1]]&gt;0,"Reestimativa 1",IF(ESTIMATIVA[[#This Row],[QT_AREA_REAL]]=0,"Reestimativa 1","Realizado"))</f>
        <v>Realizado</v>
      </c>
      <c r="W1180" s="1" t="str">
        <f>IF(ESTIMATIVA[[#This Row],[QT_AREA_REST2]]&gt;0,"Reestimativa 2",IF(ESTIMATIVA[[#This Row],[QT_AREA_REAL]]=0,"Reestimativa 2","Realizado"))</f>
        <v>Realizado</v>
      </c>
      <c r="X1180" s="1">
        <f>ESTIMATIVA[[#This Row],[QT_AREA_EST]]</f>
        <v>10.08</v>
      </c>
      <c r="Y1180" s="1">
        <f>IF(ESTIMATIVA[[#This Row],[QT_AREA_REST1]]&gt;0,ESTIMATIVA[[#This Row],[QT_AREA_REST1]],
  IF(ESTIMATIVA[[#This Row],[QT_AREA_REAL]]&gt;0,ESTIMATIVA[[#This Row],[QT_AREA_REAL]],ESTIMATIVA[[#This Row],[QT_AREA_EST]]))</f>
        <v>10.08</v>
      </c>
      <c r="Z118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10.08</v>
      </c>
      <c r="AA1180" s="1">
        <f>ESTIMATIVA[[#This Row],[QT_CANA_EST]]</f>
        <v>564.48</v>
      </c>
      <c r="AB1180" s="1">
        <f>IF(ESTIMATIVA[[#This Row],[QT_CANA_REST1]]&gt;0,ESTIMATIVA[[#This Row],[QT_CANA_REST1]],
  IF(ESTIMATIVA[[#This Row],[QT_CANA_REAL]]&gt;0,ESTIMATIVA[[#This Row],[QT_CANA_REAL]],ESTIMATIVA[[#This Row],[QT_CANA_EST]]))</f>
        <v>511.97</v>
      </c>
      <c r="AC118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511.97</v>
      </c>
      <c r="AD1180" s="1">
        <f>IF(ESTIMATIVA[[#This Row],[QT_AREA_REAL]]&gt;0,ESTIMATIVA[[#This Row],[QT_CANA_REAL]],ESTIMATIVA[[#This Row],[QT_CANA_EST]])</f>
        <v>511.97</v>
      </c>
      <c r="AE1180" s="1">
        <f>IF(ESTIMATIVA[[#This Row],[QT_AREA_REAL]]&gt;0,ESTIMATIVA[[#This Row],[QT_CANA_REAL]],ESTIMATIVA[[#This Row],[QT_CANA_REST1]])</f>
        <v>511.97</v>
      </c>
      <c r="AF1180" s="1">
        <f>IF(ESTIMATIVA[[#This Row],[QT_AREA_REAL]]&gt;0,ESTIMATIVA[[#This Row],[QT_CANA_REAL]],ESTIMATIVA[[#This Row],[QT_CANA_REST2]])</f>
        <v>511.97</v>
      </c>
      <c r="AG1180" s="1" t="str">
        <f>IF(COUNTIFS(GEADA!A:A,VALUE(ESTIMATIVA[[#This Row],[CD_UPNIVEL1]]&amp;TEXT(ESTIMATIVA[[#This Row],[CD_UPNIVEL3]],"0000")))&gt;0,"S","N")</f>
        <v>N</v>
      </c>
      <c r="AH118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80" s="55" t="str">
        <f>IF(ESTIMATIVA[[#This Row],[TP_CULTIVO]]="Irrigado",_xlfn.MAXIFS(IRRIGADO!J:J,IRRIGADO!C:C,ESTIMATIVA[[#This Row],[CD_UPNIVEL1]],IRRIGADO!E:E,ESTIMATIVA[[#This Row],[CD_UPNIVEL3]]),"")</f>
        <v/>
      </c>
      <c r="AJ118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80" s="1">
        <f>COUNTIFS(Apresentação!$E$23:$E$29,ESTIMATIVA[[#This Row],[CD_UPNIVEL1]])</f>
        <v>0</v>
      </c>
    </row>
    <row r="1181" spans="1:37" x14ac:dyDescent="0.3">
      <c r="A1181">
        <v>20511</v>
      </c>
      <c r="B1181" t="s">
        <v>67</v>
      </c>
      <c r="C1181">
        <v>30</v>
      </c>
      <c r="D1181">
        <v>4</v>
      </c>
      <c r="E1181" t="s">
        <v>265</v>
      </c>
      <c r="F1181" s="85" t="s">
        <v>331</v>
      </c>
      <c r="G1181"/>
      <c r="H1181" t="s">
        <v>294</v>
      </c>
      <c r="I1181" t="s">
        <v>221</v>
      </c>
      <c r="J1181" t="s">
        <v>176</v>
      </c>
      <c r="K1181" s="1">
        <v>42.28</v>
      </c>
      <c r="L1181" s="1">
        <v>0</v>
      </c>
      <c r="M1181" s="1">
        <v>0</v>
      </c>
      <c r="N1181" s="1">
        <v>42.28</v>
      </c>
      <c r="O1181" s="1">
        <v>2367.6799999999998</v>
      </c>
      <c r="P1181" s="1">
        <v>0</v>
      </c>
      <c r="Q1181" s="1">
        <v>0</v>
      </c>
      <c r="R1181" s="1">
        <v>1727.56</v>
      </c>
      <c r="S1181" t="s">
        <v>12</v>
      </c>
      <c r="T1181" s="13">
        <v>45844</v>
      </c>
      <c r="U1181" s="1" t="str">
        <f>IF(ESTIMATIVA[[#This Row],[QT_AREA_REAL]]&gt;0,"1- Colhido","2- à Colher")</f>
        <v>1- Colhido</v>
      </c>
      <c r="V1181" s="1" t="str">
        <f>IF(ESTIMATIVA[[#This Row],[QT_AREA_REST1]]&gt;0,"Reestimativa 1",IF(ESTIMATIVA[[#This Row],[QT_AREA_REAL]]=0,"Reestimativa 1","Realizado"))</f>
        <v>Realizado</v>
      </c>
      <c r="W1181" s="1" t="str">
        <f>IF(ESTIMATIVA[[#This Row],[QT_AREA_REST2]]&gt;0,"Reestimativa 2",IF(ESTIMATIVA[[#This Row],[QT_AREA_REAL]]=0,"Reestimativa 2","Realizado"))</f>
        <v>Realizado</v>
      </c>
      <c r="X1181" s="1">
        <f>ESTIMATIVA[[#This Row],[QT_AREA_EST]]</f>
        <v>42.28</v>
      </c>
      <c r="Y1181" s="1">
        <f>IF(ESTIMATIVA[[#This Row],[QT_AREA_REST1]]&gt;0,ESTIMATIVA[[#This Row],[QT_AREA_REST1]],
  IF(ESTIMATIVA[[#This Row],[QT_AREA_REAL]]&gt;0,ESTIMATIVA[[#This Row],[QT_AREA_REAL]],ESTIMATIVA[[#This Row],[QT_AREA_EST]]))</f>
        <v>42.28</v>
      </c>
      <c r="Z118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42.28</v>
      </c>
      <c r="AA1181" s="1">
        <f>ESTIMATIVA[[#This Row],[QT_CANA_EST]]</f>
        <v>2367.6799999999998</v>
      </c>
      <c r="AB1181" s="1">
        <f>IF(ESTIMATIVA[[#This Row],[QT_CANA_REST1]]&gt;0,ESTIMATIVA[[#This Row],[QT_CANA_REST1]],
  IF(ESTIMATIVA[[#This Row],[QT_CANA_REAL]]&gt;0,ESTIMATIVA[[#This Row],[QT_CANA_REAL]],ESTIMATIVA[[#This Row],[QT_CANA_EST]]))</f>
        <v>1727.56</v>
      </c>
      <c r="AC118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1727.56</v>
      </c>
      <c r="AD1181" s="1">
        <f>IF(ESTIMATIVA[[#This Row],[QT_AREA_REAL]]&gt;0,ESTIMATIVA[[#This Row],[QT_CANA_REAL]],ESTIMATIVA[[#This Row],[QT_CANA_EST]])</f>
        <v>1727.56</v>
      </c>
      <c r="AE1181" s="1">
        <f>IF(ESTIMATIVA[[#This Row],[QT_AREA_REAL]]&gt;0,ESTIMATIVA[[#This Row],[QT_CANA_REAL]],ESTIMATIVA[[#This Row],[QT_CANA_REST1]])</f>
        <v>1727.56</v>
      </c>
      <c r="AF1181" s="1">
        <f>IF(ESTIMATIVA[[#This Row],[QT_AREA_REAL]]&gt;0,ESTIMATIVA[[#This Row],[QT_CANA_REAL]],ESTIMATIVA[[#This Row],[QT_CANA_REST2]])</f>
        <v>1727.56</v>
      </c>
      <c r="AG1181" s="1" t="str">
        <f>IF(COUNTIFS(GEADA!A:A,VALUE(ESTIMATIVA[[#This Row],[CD_UPNIVEL1]]&amp;TEXT(ESTIMATIVA[[#This Row],[CD_UPNIVEL3]],"0000")))&gt;0,"S","N")</f>
        <v>N</v>
      </c>
      <c r="AH118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81" s="55" t="str">
        <f>IF(ESTIMATIVA[[#This Row],[TP_CULTIVO]]="Irrigado",_xlfn.MAXIFS(IRRIGADO!J:J,IRRIGADO!C:C,ESTIMATIVA[[#This Row],[CD_UPNIVEL1]],IRRIGADO!E:E,ESTIMATIVA[[#This Row],[CD_UPNIVEL3]]),"")</f>
        <v/>
      </c>
      <c r="AJ118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81" s="1">
        <f>COUNTIFS(Apresentação!$E$23:$E$29,ESTIMATIVA[[#This Row],[CD_UPNIVEL1]])</f>
        <v>0</v>
      </c>
    </row>
    <row r="1182" spans="1:37" x14ac:dyDescent="0.3">
      <c r="A1182">
        <v>20511</v>
      </c>
      <c r="B1182" t="s">
        <v>67</v>
      </c>
      <c r="C1182">
        <v>31</v>
      </c>
      <c r="D1182">
        <v>4</v>
      </c>
      <c r="E1182" t="s">
        <v>265</v>
      </c>
      <c r="F1182" s="85" t="s">
        <v>331</v>
      </c>
      <c r="G1182"/>
      <c r="H1182" t="s">
        <v>294</v>
      </c>
      <c r="I1182" t="s">
        <v>221</v>
      </c>
      <c r="J1182" t="s">
        <v>176</v>
      </c>
      <c r="K1182" s="1">
        <v>22</v>
      </c>
      <c r="L1182" s="1">
        <v>0</v>
      </c>
      <c r="M1182" s="1">
        <v>0</v>
      </c>
      <c r="N1182" s="1">
        <v>22</v>
      </c>
      <c r="O1182" s="1">
        <v>1232</v>
      </c>
      <c r="P1182" s="1">
        <v>0</v>
      </c>
      <c r="Q1182" s="1">
        <v>0</v>
      </c>
      <c r="R1182" s="1">
        <v>1118.44</v>
      </c>
      <c r="S1182" t="s">
        <v>12</v>
      </c>
      <c r="T1182" s="13">
        <v>45844</v>
      </c>
      <c r="U1182" s="1" t="str">
        <f>IF(ESTIMATIVA[[#This Row],[QT_AREA_REAL]]&gt;0,"1- Colhido","2- à Colher")</f>
        <v>1- Colhido</v>
      </c>
      <c r="V1182" s="1" t="str">
        <f>IF(ESTIMATIVA[[#This Row],[QT_AREA_REST1]]&gt;0,"Reestimativa 1",IF(ESTIMATIVA[[#This Row],[QT_AREA_REAL]]=0,"Reestimativa 1","Realizado"))</f>
        <v>Realizado</v>
      </c>
      <c r="W1182" s="1" t="str">
        <f>IF(ESTIMATIVA[[#This Row],[QT_AREA_REST2]]&gt;0,"Reestimativa 2",IF(ESTIMATIVA[[#This Row],[QT_AREA_REAL]]=0,"Reestimativa 2","Realizado"))</f>
        <v>Realizado</v>
      </c>
      <c r="X1182" s="1">
        <f>ESTIMATIVA[[#This Row],[QT_AREA_EST]]</f>
        <v>22</v>
      </c>
      <c r="Y1182" s="1">
        <f>IF(ESTIMATIVA[[#This Row],[QT_AREA_REST1]]&gt;0,ESTIMATIVA[[#This Row],[QT_AREA_REST1]],
  IF(ESTIMATIVA[[#This Row],[QT_AREA_REAL]]&gt;0,ESTIMATIVA[[#This Row],[QT_AREA_REAL]],ESTIMATIVA[[#This Row],[QT_AREA_EST]]))</f>
        <v>22</v>
      </c>
      <c r="Z118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</v>
      </c>
      <c r="AA1182" s="1">
        <f>ESTIMATIVA[[#This Row],[QT_CANA_EST]]</f>
        <v>1232</v>
      </c>
      <c r="AB1182" s="1">
        <f>IF(ESTIMATIVA[[#This Row],[QT_CANA_REST1]]&gt;0,ESTIMATIVA[[#This Row],[QT_CANA_REST1]],
  IF(ESTIMATIVA[[#This Row],[QT_CANA_REAL]]&gt;0,ESTIMATIVA[[#This Row],[QT_CANA_REAL]],ESTIMATIVA[[#This Row],[QT_CANA_EST]]))</f>
        <v>1118.44</v>
      </c>
      <c r="AC118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1118.44</v>
      </c>
      <c r="AD1182" s="1">
        <f>IF(ESTIMATIVA[[#This Row],[QT_AREA_REAL]]&gt;0,ESTIMATIVA[[#This Row],[QT_CANA_REAL]],ESTIMATIVA[[#This Row],[QT_CANA_EST]])</f>
        <v>1118.44</v>
      </c>
      <c r="AE1182" s="1">
        <f>IF(ESTIMATIVA[[#This Row],[QT_AREA_REAL]]&gt;0,ESTIMATIVA[[#This Row],[QT_CANA_REAL]],ESTIMATIVA[[#This Row],[QT_CANA_REST1]])</f>
        <v>1118.44</v>
      </c>
      <c r="AF1182" s="1">
        <f>IF(ESTIMATIVA[[#This Row],[QT_AREA_REAL]]&gt;0,ESTIMATIVA[[#This Row],[QT_CANA_REAL]],ESTIMATIVA[[#This Row],[QT_CANA_REST2]])</f>
        <v>1118.44</v>
      </c>
      <c r="AG1182" s="1" t="str">
        <f>IF(COUNTIFS(GEADA!A:A,VALUE(ESTIMATIVA[[#This Row],[CD_UPNIVEL1]]&amp;TEXT(ESTIMATIVA[[#This Row],[CD_UPNIVEL3]],"0000")))&gt;0,"S","N")</f>
        <v>N</v>
      </c>
      <c r="AH118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82" s="55" t="str">
        <f>IF(ESTIMATIVA[[#This Row],[TP_CULTIVO]]="Irrigado",_xlfn.MAXIFS(IRRIGADO!J:J,IRRIGADO!C:C,ESTIMATIVA[[#This Row],[CD_UPNIVEL1]],IRRIGADO!E:E,ESTIMATIVA[[#This Row],[CD_UPNIVEL3]]),"")</f>
        <v/>
      </c>
      <c r="AJ118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82" s="1">
        <f>COUNTIFS(Apresentação!$E$23:$E$29,ESTIMATIVA[[#This Row],[CD_UPNIVEL1]])</f>
        <v>0</v>
      </c>
    </row>
    <row r="1183" spans="1:37" x14ac:dyDescent="0.3">
      <c r="A1183">
        <v>20511</v>
      </c>
      <c r="B1183" t="s">
        <v>67</v>
      </c>
      <c r="C1183">
        <v>50</v>
      </c>
      <c r="D1183">
        <v>5</v>
      </c>
      <c r="E1183" t="s">
        <v>268</v>
      </c>
      <c r="F1183" s="85" t="s">
        <v>331</v>
      </c>
      <c r="G1183"/>
      <c r="H1183" t="s">
        <v>294</v>
      </c>
      <c r="I1183" t="s">
        <v>194</v>
      </c>
      <c r="J1183" t="s">
        <v>176</v>
      </c>
      <c r="K1183" s="1">
        <v>9.34</v>
      </c>
      <c r="L1183" s="1">
        <v>9.34</v>
      </c>
      <c r="M1183" s="1">
        <v>0</v>
      </c>
      <c r="N1183" s="1">
        <v>9.34</v>
      </c>
      <c r="O1183" s="1">
        <v>420.3</v>
      </c>
      <c r="P1183" s="1">
        <v>448.32</v>
      </c>
      <c r="Q1183" s="1">
        <v>0</v>
      </c>
      <c r="R1183" s="1">
        <v>303.64</v>
      </c>
      <c r="S1183" t="s">
        <v>12</v>
      </c>
      <c r="T1183" s="13">
        <v>45865</v>
      </c>
      <c r="U1183" s="1" t="str">
        <f>IF(ESTIMATIVA[[#This Row],[QT_AREA_REAL]]&gt;0,"1- Colhido","2- à Colher")</f>
        <v>1- Colhido</v>
      </c>
      <c r="V1183" s="1" t="str">
        <f>IF(ESTIMATIVA[[#This Row],[QT_AREA_REST1]]&gt;0,"Reestimativa 1",IF(ESTIMATIVA[[#This Row],[QT_AREA_REAL]]=0,"Reestimativa 1","Realizado"))</f>
        <v>Reestimativa 1</v>
      </c>
      <c r="W1183" s="1" t="str">
        <f>IF(ESTIMATIVA[[#This Row],[QT_AREA_REST2]]&gt;0,"Reestimativa 2",IF(ESTIMATIVA[[#This Row],[QT_AREA_REAL]]=0,"Reestimativa 2","Realizado"))</f>
        <v>Realizado</v>
      </c>
      <c r="X1183" s="1">
        <f>ESTIMATIVA[[#This Row],[QT_AREA_EST]]</f>
        <v>9.34</v>
      </c>
      <c r="Y1183" s="1">
        <f>IF(ESTIMATIVA[[#This Row],[QT_AREA_REST1]]&gt;0,ESTIMATIVA[[#This Row],[QT_AREA_REST1]],
  IF(ESTIMATIVA[[#This Row],[QT_AREA_REAL]]&gt;0,ESTIMATIVA[[#This Row],[QT_AREA_REAL]],ESTIMATIVA[[#This Row],[QT_AREA_EST]]))</f>
        <v>9.34</v>
      </c>
      <c r="Z118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9.34</v>
      </c>
      <c r="AA1183" s="1">
        <f>ESTIMATIVA[[#This Row],[QT_CANA_EST]]</f>
        <v>420.3</v>
      </c>
      <c r="AB1183" s="1">
        <f>IF(ESTIMATIVA[[#This Row],[QT_CANA_REST1]]&gt;0,ESTIMATIVA[[#This Row],[QT_CANA_REST1]],
  IF(ESTIMATIVA[[#This Row],[QT_CANA_REAL]]&gt;0,ESTIMATIVA[[#This Row],[QT_CANA_REAL]],ESTIMATIVA[[#This Row],[QT_CANA_EST]]))</f>
        <v>448.32</v>
      </c>
      <c r="AC118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303.64</v>
      </c>
      <c r="AD1183" s="1">
        <f>IF(ESTIMATIVA[[#This Row],[QT_AREA_REAL]]&gt;0,ESTIMATIVA[[#This Row],[QT_CANA_REAL]],ESTIMATIVA[[#This Row],[QT_CANA_EST]])</f>
        <v>303.64</v>
      </c>
      <c r="AE1183" s="1">
        <f>IF(ESTIMATIVA[[#This Row],[QT_AREA_REAL]]&gt;0,ESTIMATIVA[[#This Row],[QT_CANA_REAL]],ESTIMATIVA[[#This Row],[QT_CANA_REST1]])</f>
        <v>303.64</v>
      </c>
      <c r="AF1183" s="1">
        <f>IF(ESTIMATIVA[[#This Row],[QT_AREA_REAL]]&gt;0,ESTIMATIVA[[#This Row],[QT_CANA_REAL]],ESTIMATIVA[[#This Row],[QT_CANA_REST2]])</f>
        <v>303.64</v>
      </c>
      <c r="AG1183" s="1" t="str">
        <f>IF(COUNTIFS(GEADA!A:A,VALUE(ESTIMATIVA[[#This Row],[CD_UPNIVEL1]]&amp;TEXT(ESTIMATIVA[[#This Row],[CD_UPNIVEL3]],"0000")))&gt;0,"S","N")</f>
        <v>N</v>
      </c>
      <c r="AH118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83" s="55" t="str">
        <f>IF(ESTIMATIVA[[#This Row],[TP_CULTIVO]]="Irrigado",_xlfn.MAXIFS(IRRIGADO!J:J,IRRIGADO!C:C,ESTIMATIVA[[#This Row],[CD_UPNIVEL1]],IRRIGADO!E:E,ESTIMATIVA[[#This Row],[CD_UPNIVEL3]]),"")</f>
        <v/>
      </c>
      <c r="AJ118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83" s="1">
        <f>COUNTIFS(Apresentação!$E$23:$E$29,ESTIMATIVA[[#This Row],[CD_UPNIVEL1]])</f>
        <v>0</v>
      </c>
    </row>
    <row r="1184" spans="1:37" x14ac:dyDescent="0.3">
      <c r="A1184">
        <v>20511</v>
      </c>
      <c r="B1184" t="s">
        <v>67</v>
      </c>
      <c r="C1184">
        <v>51</v>
      </c>
      <c r="D1184">
        <v>5</v>
      </c>
      <c r="E1184" t="s">
        <v>268</v>
      </c>
      <c r="F1184" s="85" t="s">
        <v>331</v>
      </c>
      <c r="G1184"/>
      <c r="H1184" t="s">
        <v>294</v>
      </c>
      <c r="I1184" t="s">
        <v>202</v>
      </c>
      <c r="J1184" t="s">
        <v>176</v>
      </c>
      <c r="K1184" s="1">
        <v>13.65</v>
      </c>
      <c r="L1184" s="1">
        <v>13.65</v>
      </c>
      <c r="M1184" s="1">
        <v>0</v>
      </c>
      <c r="N1184" s="1">
        <v>13.65</v>
      </c>
      <c r="O1184" s="1">
        <v>819</v>
      </c>
      <c r="P1184" s="1">
        <v>846.3</v>
      </c>
      <c r="Q1184" s="1">
        <v>0</v>
      </c>
      <c r="R1184" s="1">
        <v>573.41999999999996</v>
      </c>
      <c r="S1184" t="s">
        <v>12</v>
      </c>
      <c r="T1184" s="13">
        <v>45865</v>
      </c>
      <c r="U1184" s="1" t="str">
        <f>IF(ESTIMATIVA[[#This Row],[QT_AREA_REAL]]&gt;0,"1- Colhido","2- à Colher")</f>
        <v>1- Colhido</v>
      </c>
      <c r="V1184" s="1" t="str">
        <f>IF(ESTIMATIVA[[#This Row],[QT_AREA_REST1]]&gt;0,"Reestimativa 1",IF(ESTIMATIVA[[#This Row],[QT_AREA_REAL]]=0,"Reestimativa 1","Realizado"))</f>
        <v>Reestimativa 1</v>
      </c>
      <c r="W1184" s="1" t="str">
        <f>IF(ESTIMATIVA[[#This Row],[QT_AREA_REST2]]&gt;0,"Reestimativa 2",IF(ESTIMATIVA[[#This Row],[QT_AREA_REAL]]=0,"Reestimativa 2","Realizado"))</f>
        <v>Realizado</v>
      </c>
      <c r="X1184" s="1">
        <f>ESTIMATIVA[[#This Row],[QT_AREA_EST]]</f>
        <v>13.65</v>
      </c>
      <c r="Y1184" s="1">
        <f>IF(ESTIMATIVA[[#This Row],[QT_AREA_REST1]]&gt;0,ESTIMATIVA[[#This Row],[QT_AREA_REST1]],
  IF(ESTIMATIVA[[#This Row],[QT_AREA_REAL]]&gt;0,ESTIMATIVA[[#This Row],[QT_AREA_REAL]],ESTIMATIVA[[#This Row],[QT_AREA_EST]]))</f>
        <v>13.65</v>
      </c>
      <c r="Z118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13.65</v>
      </c>
      <c r="AA1184" s="1">
        <f>ESTIMATIVA[[#This Row],[QT_CANA_EST]]</f>
        <v>819</v>
      </c>
      <c r="AB1184" s="1">
        <f>IF(ESTIMATIVA[[#This Row],[QT_CANA_REST1]]&gt;0,ESTIMATIVA[[#This Row],[QT_CANA_REST1]],
  IF(ESTIMATIVA[[#This Row],[QT_CANA_REAL]]&gt;0,ESTIMATIVA[[#This Row],[QT_CANA_REAL]],ESTIMATIVA[[#This Row],[QT_CANA_EST]]))</f>
        <v>846.3</v>
      </c>
      <c r="AC118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573.41999999999996</v>
      </c>
      <c r="AD1184" s="1">
        <f>IF(ESTIMATIVA[[#This Row],[QT_AREA_REAL]]&gt;0,ESTIMATIVA[[#This Row],[QT_CANA_REAL]],ESTIMATIVA[[#This Row],[QT_CANA_EST]])</f>
        <v>573.41999999999996</v>
      </c>
      <c r="AE1184" s="1">
        <f>IF(ESTIMATIVA[[#This Row],[QT_AREA_REAL]]&gt;0,ESTIMATIVA[[#This Row],[QT_CANA_REAL]],ESTIMATIVA[[#This Row],[QT_CANA_REST1]])</f>
        <v>573.41999999999996</v>
      </c>
      <c r="AF1184" s="1">
        <f>IF(ESTIMATIVA[[#This Row],[QT_AREA_REAL]]&gt;0,ESTIMATIVA[[#This Row],[QT_CANA_REAL]],ESTIMATIVA[[#This Row],[QT_CANA_REST2]])</f>
        <v>573.41999999999996</v>
      </c>
      <c r="AG1184" s="1" t="str">
        <f>IF(COUNTIFS(GEADA!A:A,VALUE(ESTIMATIVA[[#This Row],[CD_UPNIVEL1]]&amp;TEXT(ESTIMATIVA[[#This Row],[CD_UPNIVEL3]],"0000")))&gt;0,"S","N")</f>
        <v>N</v>
      </c>
      <c r="AH118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84" s="55" t="str">
        <f>IF(ESTIMATIVA[[#This Row],[TP_CULTIVO]]="Irrigado",_xlfn.MAXIFS(IRRIGADO!J:J,IRRIGADO!C:C,ESTIMATIVA[[#This Row],[CD_UPNIVEL1]],IRRIGADO!E:E,ESTIMATIVA[[#This Row],[CD_UPNIVEL3]]),"")</f>
        <v/>
      </c>
      <c r="AJ118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84" s="1">
        <f>COUNTIFS(Apresentação!$E$23:$E$29,ESTIMATIVA[[#This Row],[CD_UPNIVEL1]])</f>
        <v>0</v>
      </c>
    </row>
    <row r="1185" spans="1:37" x14ac:dyDescent="0.3">
      <c r="A1185">
        <v>20511</v>
      </c>
      <c r="B1185" t="s">
        <v>67</v>
      </c>
      <c r="C1185">
        <v>52</v>
      </c>
      <c r="D1185">
        <v>5</v>
      </c>
      <c r="E1185" t="s">
        <v>268</v>
      </c>
      <c r="F1185" s="85" t="s">
        <v>331</v>
      </c>
      <c r="G1185"/>
      <c r="H1185" t="s">
        <v>294</v>
      </c>
      <c r="I1185" t="s">
        <v>202</v>
      </c>
      <c r="J1185" t="s">
        <v>176</v>
      </c>
      <c r="K1185" s="1">
        <v>25.82</v>
      </c>
      <c r="L1185" s="1">
        <v>25.82</v>
      </c>
      <c r="M1185" s="1">
        <v>0</v>
      </c>
      <c r="N1185" s="1">
        <v>25.82</v>
      </c>
      <c r="O1185" s="1">
        <v>1549.2</v>
      </c>
      <c r="P1185" s="1">
        <v>1600.84</v>
      </c>
      <c r="Q1185" s="1">
        <v>0</v>
      </c>
      <c r="R1185" s="1">
        <v>1085.19</v>
      </c>
      <c r="S1185" t="s">
        <v>12</v>
      </c>
      <c r="T1185" s="13">
        <v>45865</v>
      </c>
      <c r="U1185" s="1" t="str">
        <f>IF(ESTIMATIVA[[#This Row],[QT_AREA_REAL]]&gt;0,"1- Colhido","2- à Colher")</f>
        <v>1- Colhido</v>
      </c>
      <c r="V1185" s="1" t="str">
        <f>IF(ESTIMATIVA[[#This Row],[QT_AREA_REST1]]&gt;0,"Reestimativa 1",IF(ESTIMATIVA[[#This Row],[QT_AREA_REAL]]=0,"Reestimativa 1","Realizado"))</f>
        <v>Reestimativa 1</v>
      </c>
      <c r="W1185" s="1" t="str">
        <f>IF(ESTIMATIVA[[#This Row],[QT_AREA_REST2]]&gt;0,"Reestimativa 2",IF(ESTIMATIVA[[#This Row],[QT_AREA_REAL]]=0,"Reestimativa 2","Realizado"))</f>
        <v>Realizado</v>
      </c>
      <c r="X1185" s="1">
        <f>ESTIMATIVA[[#This Row],[QT_AREA_EST]]</f>
        <v>25.82</v>
      </c>
      <c r="Y1185" s="1">
        <f>IF(ESTIMATIVA[[#This Row],[QT_AREA_REST1]]&gt;0,ESTIMATIVA[[#This Row],[QT_AREA_REST1]],
  IF(ESTIMATIVA[[#This Row],[QT_AREA_REAL]]&gt;0,ESTIMATIVA[[#This Row],[QT_AREA_REAL]],ESTIMATIVA[[#This Row],[QT_AREA_EST]]))</f>
        <v>25.82</v>
      </c>
      <c r="Z118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25.82</v>
      </c>
      <c r="AA1185" s="1">
        <f>ESTIMATIVA[[#This Row],[QT_CANA_EST]]</f>
        <v>1549.2</v>
      </c>
      <c r="AB1185" s="1">
        <f>IF(ESTIMATIVA[[#This Row],[QT_CANA_REST1]]&gt;0,ESTIMATIVA[[#This Row],[QT_CANA_REST1]],
  IF(ESTIMATIVA[[#This Row],[QT_CANA_REAL]]&gt;0,ESTIMATIVA[[#This Row],[QT_CANA_REAL]],ESTIMATIVA[[#This Row],[QT_CANA_EST]]))</f>
        <v>1600.84</v>
      </c>
      <c r="AC118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1085.19</v>
      </c>
      <c r="AD1185" s="1">
        <f>IF(ESTIMATIVA[[#This Row],[QT_AREA_REAL]]&gt;0,ESTIMATIVA[[#This Row],[QT_CANA_REAL]],ESTIMATIVA[[#This Row],[QT_CANA_EST]])</f>
        <v>1085.19</v>
      </c>
      <c r="AE1185" s="1">
        <f>IF(ESTIMATIVA[[#This Row],[QT_AREA_REAL]]&gt;0,ESTIMATIVA[[#This Row],[QT_CANA_REAL]],ESTIMATIVA[[#This Row],[QT_CANA_REST1]])</f>
        <v>1085.19</v>
      </c>
      <c r="AF1185" s="1">
        <f>IF(ESTIMATIVA[[#This Row],[QT_AREA_REAL]]&gt;0,ESTIMATIVA[[#This Row],[QT_CANA_REAL]],ESTIMATIVA[[#This Row],[QT_CANA_REST2]])</f>
        <v>1085.19</v>
      </c>
      <c r="AG1185" s="1" t="str">
        <f>IF(COUNTIFS(GEADA!A:A,VALUE(ESTIMATIVA[[#This Row],[CD_UPNIVEL1]]&amp;TEXT(ESTIMATIVA[[#This Row],[CD_UPNIVEL3]],"0000")))&gt;0,"S","N")</f>
        <v>N</v>
      </c>
      <c r="AH118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85" s="55" t="str">
        <f>IF(ESTIMATIVA[[#This Row],[TP_CULTIVO]]="Irrigado",_xlfn.MAXIFS(IRRIGADO!J:J,IRRIGADO!C:C,ESTIMATIVA[[#This Row],[CD_UPNIVEL1]],IRRIGADO!E:E,ESTIMATIVA[[#This Row],[CD_UPNIVEL3]]),"")</f>
        <v/>
      </c>
      <c r="AJ118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85" s="1">
        <f>COUNTIFS(Apresentação!$E$23:$E$29,ESTIMATIVA[[#This Row],[CD_UPNIVEL1]])</f>
        <v>0</v>
      </c>
    </row>
    <row r="1186" spans="1:37" x14ac:dyDescent="0.3">
      <c r="A1186">
        <v>20511</v>
      </c>
      <c r="B1186" t="s">
        <v>67</v>
      </c>
      <c r="C1186">
        <v>53</v>
      </c>
      <c r="D1186">
        <v>5</v>
      </c>
      <c r="E1186" t="s">
        <v>268</v>
      </c>
      <c r="F1186" s="85" t="s">
        <v>331</v>
      </c>
      <c r="G1186"/>
      <c r="H1186" t="s">
        <v>294</v>
      </c>
      <c r="I1186" t="s">
        <v>202</v>
      </c>
      <c r="J1186" t="s">
        <v>176</v>
      </c>
      <c r="K1186" s="1">
        <v>23.61</v>
      </c>
      <c r="L1186" s="1">
        <v>23.61</v>
      </c>
      <c r="M1186" s="1">
        <v>0</v>
      </c>
      <c r="N1186" s="1">
        <v>23.61</v>
      </c>
      <c r="O1186" s="1">
        <v>1416.6</v>
      </c>
      <c r="P1186" s="1">
        <v>1463.82</v>
      </c>
      <c r="Q1186" s="1">
        <v>0</v>
      </c>
      <c r="R1186" s="1">
        <v>992.49</v>
      </c>
      <c r="S1186" t="s">
        <v>12</v>
      </c>
      <c r="T1186" s="13">
        <v>45865</v>
      </c>
      <c r="U1186" s="1" t="str">
        <f>IF(ESTIMATIVA[[#This Row],[QT_AREA_REAL]]&gt;0,"1- Colhido","2- à Colher")</f>
        <v>1- Colhido</v>
      </c>
      <c r="V1186" s="1" t="str">
        <f>IF(ESTIMATIVA[[#This Row],[QT_AREA_REST1]]&gt;0,"Reestimativa 1",IF(ESTIMATIVA[[#This Row],[QT_AREA_REAL]]=0,"Reestimativa 1","Realizado"))</f>
        <v>Reestimativa 1</v>
      </c>
      <c r="W1186" s="1" t="str">
        <f>IF(ESTIMATIVA[[#This Row],[QT_AREA_REST2]]&gt;0,"Reestimativa 2",IF(ESTIMATIVA[[#This Row],[QT_AREA_REAL]]=0,"Reestimativa 2","Realizado"))</f>
        <v>Realizado</v>
      </c>
      <c r="X1186" s="1">
        <f>ESTIMATIVA[[#This Row],[QT_AREA_EST]]</f>
        <v>23.61</v>
      </c>
      <c r="Y1186" s="1">
        <f>IF(ESTIMATIVA[[#This Row],[QT_AREA_REST1]]&gt;0,ESTIMATIVA[[#This Row],[QT_AREA_REST1]],
  IF(ESTIMATIVA[[#This Row],[QT_AREA_REAL]]&gt;0,ESTIMATIVA[[#This Row],[QT_AREA_REAL]],ESTIMATIVA[[#This Row],[QT_AREA_EST]]))</f>
        <v>23.61</v>
      </c>
      <c r="Z118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23.61</v>
      </c>
      <c r="AA1186" s="1">
        <f>ESTIMATIVA[[#This Row],[QT_CANA_EST]]</f>
        <v>1416.6</v>
      </c>
      <c r="AB1186" s="1">
        <f>IF(ESTIMATIVA[[#This Row],[QT_CANA_REST1]]&gt;0,ESTIMATIVA[[#This Row],[QT_CANA_REST1]],
  IF(ESTIMATIVA[[#This Row],[QT_CANA_REAL]]&gt;0,ESTIMATIVA[[#This Row],[QT_CANA_REAL]],ESTIMATIVA[[#This Row],[QT_CANA_EST]]))</f>
        <v>1463.82</v>
      </c>
      <c r="AC118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992.49</v>
      </c>
      <c r="AD1186" s="1">
        <f>IF(ESTIMATIVA[[#This Row],[QT_AREA_REAL]]&gt;0,ESTIMATIVA[[#This Row],[QT_CANA_REAL]],ESTIMATIVA[[#This Row],[QT_CANA_EST]])</f>
        <v>992.49</v>
      </c>
      <c r="AE1186" s="1">
        <f>IF(ESTIMATIVA[[#This Row],[QT_AREA_REAL]]&gt;0,ESTIMATIVA[[#This Row],[QT_CANA_REAL]],ESTIMATIVA[[#This Row],[QT_CANA_REST1]])</f>
        <v>992.49</v>
      </c>
      <c r="AF1186" s="1">
        <f>IF(ESTIMATIVA[[#This Row],[QT_AREA_REAL]]&gt;0,ESTIMATIVA[[#This Row],[QT_CANA_REAL]],ESTIMATIVA[[#This Row],[QT_CANA_REST2]])</f>
        <v>992.49</v>
      </c>
      <c r="AG1186" s="1" t="str">
        <f>IF(COUNTIFS(GEADA!A:A,VALUE(ESTIMATIVA[[#This Row],[CD_UPNIVEL1]]&amp;TEXT(ESTIMATIVA[[#This Row],[CD_UPNIVEL3]],"0000")))&gt;0,"S","N")</f>
        <v>N</v>
      </c>
      <c r="AH118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86" s="55" t="str">
        <f>IF(ESTIMATIVA[[#This Row],[TP_CULTIVO]]="Irrigado",_xlfn.MAXIFS(IRRIGADO!J:J,IRRIGADO!C:C,ESTIMATIVA[[#This Row],[CD_UPNIVEL1]],IRRIGADO!E:E,ESTIMATIVA[[#This Row],[CD_UPNIVEL3]]),"")</f>
        <v/>
      </c>
      <c r="AJ118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86" s="1">
        <f>COUNTIFS(Apresentação!$E$23:$E$29,ESTIMATIVA[[#This Row],[CD_UPNIVEL1]])</f>
        <v>0</v>
      </c>
    </row>
    <row r="1187" spans="1:37" x14ac:dyDescent="0.3">
      <c r="A1187">
        <v>20511</v>
      </c>
      <c r="B1187" t="s">
        <v>67</v>
      </c>
      <c r="C1187">
        <v>54</v>
      </c>
      <c r="D1187">
        <v>5</v>
      </c>
      <c r="E1187" t="s">
        <v>268</v>
      </c>
      <c r="F1187" s="85" t="s">
        <v>332</v>
      </c>
      <c r="G1187"/>
      <c r="H1187" t="s">
        <v>294</v>
      </c>
      <c r="I1187" t="s">
        <v>202</v>
      </c>
      <c r="J1187" t="s">
        <v>176</v>
      </c>
      <c r="K1187" s="1">
        <v>48.18</v>
      </c>
      <c r="L1187" s="1">
        <v>48.18</v>
      </c>
      <c r="M1187" s="1">
        <v>0</v>
      </c>
      <c r="N1187" s="1">
        <v>48.18</v>
      </c>
      <c r="O1187" s="1">
        <v>3372.6</v>
      </c>
      <c r="P1187" s="1">
        <v>3372.6</v>
      </c>
      <c r="Q1187" s="1">
        <v>0</v>
      </c>
      <c r="R1187" s="1">
        <v>3008.39</v>
      </c>
      <c r="S1187" t="s">
        <v>12</v>
      </c>
      <c r="T1187" s="13">
        <v>45865</v>
      </c>
      <c r="U1187" s="1" t="str">
        <f>IF(ESTIMATIVA[[#This Row],[QT_AREA_REAL]]&gt;0,"1- Colhido","2- à Colher")</f>
        <v>1- Colhido</v>
      </c>
      <c r="V1187" s="1" t="str">
        <f>IF(ESTIMATIVA[[#This Row],[QT_AREA_REST1]]&gt;0,"Reestimativa 1",IF(ESTIMATIVA[[#This Row],[QT_AREA_REAL]]=0,"Reestimativa 1","Realizado"))</f>
        <v>Reestimativa 1</v>
      </c>
      <c r="W1187" s="1" t="str">
        <f>IF(ESTIMATIVA[[#This Row],[QT_AREA_REST2]]&gt;0,"Reestimativa 2",IF(ESTIMATIVA[[#This Row],[QT_AREA_REAL]]=0,"Reestimativa 2","Realizado"))</f>
        <v>Realizado</v>
      </c>
      <c r="X1187" s="1">
        <f>ESTIMATIVA[[#This Row],[QT_AREA_EST]]</f>
        <v>48.18</v>
      </c>
      <c r="Y1187" s="1">
        <f>IF(ESTIMATIVA[[#This Row],[QT_AREA_REST1]]&gt;0,ESTIMATIVA[[#This Row],[QT_AREA_REST1]],
  IF(ESTIMATIVA[[#This Row],[QT_AREA_REAL]]&gt;0,ESTIMATIVA[[#This Row],[QT_AREA_REAL]],ESTIMATIVA[[#This Row],[QT_AREA_EST]]))</f>
        <v>48.18</v>
      </c>
      <c r="Z118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48.18</v>
      </c>
      <c r="AA1187" s="1">
        <f>ESTIMATIVA[[#This Row],[QT_CANA_EST]]</f>
        <v>3372.6</v>
      </c>
      <c r="AB1187" s="1">
        <f>IF(ESTIMATIVA[[#This Row],[QT_CANA_REST1]]&gt;0,ESTIMATIVA[[#This Row],[QT_CANA_REST1]],
  IF(ESTIMATIVA[[#This Row],[QT_CANA_REAL]]&gt;0,ESTIMATIVA[[#This Row],[QT_CANA_REAL]],ESTIMATIVA[[#This Row],[QT_CANA_EST]]))</f>
        <v>3372.6</v>
      </c>
      <c r="AC118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3008.39</v>
      </c>
      <c r="AD1187" s="1">
        <f>IF(ESTIMATIVA[[#This Row],[QT_AREA_REAL]]&gt;0,ESTIMATIVA[[#This Row],[QT_CANA_REAL]],ESTIMATIVA[[#This Row],[QT_CANA_EST]])</f>
        <v>3008.39</v>
      </c>
      <c r="AE1187" s="1">
        <f>IF(ESTIMATIVA[[#This Row],[QT_AREA_REAL]]&gt;0,ESTIMATIVA[[#This Row],[QT_CANA_REAL]],ESTIMATIVA[[#This Row],[QT_CANA_REST1]])</f>
        <v>3008.39</v>
      </c>
      <c r="AF1187" s="1">
        <f>IF(ESTIMATIVA[[#This Row],[QT_AREA_REAL]]&gt;0,ESTIMATIVA[[#This Row],[QT_CANA_REAL]],ESTIMATIVA[[#This Row],[QT_CANA_REST2]])</f>
        <v>3008.39</v>
      </c>
      <c r="AG1187" s="1" t="str">
        <f>IF(COUNTIFS(GEADA!A:A,VALUE(ESTIMATIVA[[#This Row],[CD_UPNIVEL1]]&amp;TEXT(ESTIMATIVA[[#This Row],[CD_UPNIVEL3]],"0000")))&gt;0,"S","N")</f>
        <v>N</v>
      </c>
      <c r="AH118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87" s="55" t="str">
        <f>IF(ESTIMATIVA[[#This Row],[TP_CULTIVO]]="Irrigado",_xlfn.MAXIFS(IRRIGADO!J:J,IRRIGADO!C:C,ESTIMATIVA[[#This Row],[CD_UPNIVEL1]],IRRIGADO!E:E,ESTIMATIVA[[#This Row],[CD_UPNIVEL3]]),"")</f>
        <v/>
      </c>
      <c r="AJ118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87" s="1">
        <f>COUNTIFS(Apresentação!$E$23:$E$29,ESTIMATIVA[[#This Row],[CD_UPNIVEL1]])</f>
        <v>0</v>
      </c>
    </row>
    <row r="1188" spans="1:37" x14ac:dyDescent="0.3">
      <c r="A1188">
        <v>20511</v>
      </c>
      <c r="B1188" t="s">
        <v>67</v>
      </c>
      <c r="C1188">
        <v>55</v>
      </c>
      <c r="D1188">
        <v>5</v>
      </c>
      <c r="E1188" t="s">
        <v>268</v>
      </c>
      <c r="F1188" s="85" t="s">
        <v>331</v>
      </c>
      <c r="G1188"/>
      <c r="H1188" t="s">
        <v>294</v>
      </c>
      <c r="I1188" t="s">
        <v>202</v>
      </c>
      <c r="J1188" t="s">
        <v>176</v>
      </c>
      <c r="K1188" s="1">
        <v>13.21</v>
      </c>
      <c r="L1188" s="1">
        <v>13.21</v>
      </c>
      <c r="M1188" s="1">
        <v>0</v>
      </c>
      <c r="N1188" s="1">
        <v>13.21</v>
      </c>
      <c r="O1188" s="1">
        <v>871.86</v>
      </c>
      <c r="P1188" s="1">
        <v>871.86</v>
      </c>
      <c r="Q1188" s="1">
        <v>0</v>
      </c>
      <c r="R1188" s="1">
        <v>777.64</v>
      </c>
      <c r="S1188" t="s">
        <v>12</v>
      </c>
      <c r="T1188" s="13">
        <v>45865</v>
      </c>
      <c r="U1188" s="1" t="str">
        <f>IF(ESTIMATIVA[[#This Row],[QT_AREA_REAL]]&gt;0,"1- Colhido","2- à Colher")</f>
        <v>1- Colhido</v>
      </c>
      <c r="V1188" s="1" t="str">
        <f>IF(ESTIMATIVA[[#This Row],[QT_AREA_REST1]]&gt;0,"Reestimativa 1",IF(ESTIMATIVA[[#This Row],[QT_AREA_REAL]]=0,"Reestimativa 1","Realizado"))</f>
        <v>Reestimativa 1</v>
      </c>
      <c r="W1188" s="1" t="str">
        <f>IF(ESTIMATIVA[[#This Row],[QT_AREA_REST2]]&gt;0,"Reestimativa 2",IF(ESTIMATIVA[[#This Row],[QT_AREA_REAL]]=0,"Reestimativa 2","Realizado"))</f>
        <v>Realizado</v>
      </c>
      <c r="X1188" s="1">
        <f>ESTIMATIVA[[#This Row],[QT_AREA_EST]]</f>
        <v>13.21</v>
      </c>
      <c r="Y1188" s="1">
        <f>IF(ESTIMATIVA[[#This Row],[QT_AREA_REST1]]&gt;0,ESTIMATIVA[[#This Row],[QT_AREA_REST1]],
  IF(ESTIMATIVA[[#This Row],[QT_AREA_REAL]]&gt;0,ESTIMATIVA[[#This Row],[QT_AREA_REAL]],ESTIMATIVA[[#This Row],[QT_AREA_EST]]))</f>
        <v>13.21</v>
      </c>
      <c r="Z118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13.21</v>
      </c>
      <c r="AA1188" s="1">
        <f>ESTIMATIVA[[#This Row],[QT_CANA_EST]]</f>
        <v>871.86</v>
      </c>
      <c r="AB1188" s="1">
        <f>IF(ESTIMATIVA[[#This Row],[QT_CANA_REST1]]&gt;0,ESTIMATIVA[[#This Row],[QT_CANA_REST1]],
  IF(ESTIMATIVA[[#This Row],[QT_CANA_REAL]]&gt;0,ESTIMATIVA[[#This Row],[QT_CANA_REAL]],ESTIMATIVA[[#This Row],[QT_CANA_EST]]))</f>
        <v>871.86</v>
      </c>
      <c r="AC118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777.64</v>
      </c>
      <c r="AD1188" s="1">
        <f>IF(ESTIMATIVA[[#This Row],[QT_AREA_REAL]]&gt;0,ESTIMATIVA[[#This Row],[QT_CANA_REAL]],ESTIMATIVA[[#This Row],[QT_CANA_EST]])</f>
        <v>777.64</v>
      </c>
      <c r="AE1188" s="1">
        <f>IF(ESTIMATIVA[[#This Row],[QT_AREA_REAL]]&gt;0,ESTIMATIVA[[#This Row],[QT_CANA_REAL]],ESTIMATIVA[[#This Row],[QT_CANA_REST1]])</f>
        <v>777.64</v>
      </c>
      <c r="AF1188" s="1">
        <f>IF(ESTIMATIVA[[#This Row],[QT_AREA_REAL]]&gt;0,ESTIMATIVA[[#This Row],[QT_CANA_REAL]],ESTIMATIVA[[#This Row],[QT_CANA_REST2]])</f>
        <v>777.64</v>
      </c>
      <c r="AG1188" s="1" t="str">
        <f>IF(COUNTIFS(GEADA!A:A,VALUE(ESTIMATIVA[[#This Row],[CD_UPNIVEL1]]&amp;TEXT(ESTIMATIVA[[#This Row],[CD_UPNIVEL3]],"0000")))&gt;0,"S","N")</f>
        <v>N</v>
      </c>
      <c r="AH118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88" s="55" t="str">
        <f>IF(ESTIMATIVA[[#This Row],[TP_CULTIVO]]="Irrigado",_xlfn.MAXIFS(IRRIGADO!J:J,IRRIGADO!C:C,ESTIMATIVA[[#This Row],[CD_UPNIVEL1]],IRRIGADO!E:E,ESTIMATIVA[[#This Row],[CD_UPNIVEL3]]),"")</f>
        <v/>
      </c>
      <c r="AJ118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88" s="1">
        <f>COUNTIFS(Apresentação!$E$23:$E$29,ESTIMATIVA[[#This Row],[CD_UPNIVEL1]])</f>
        <v>0</v>
      </c>
    </row>
    <row r="1189" spans="1:37" x14ac:dyDescent="0.3">
      <c r="A1189">
        <v>20511</v>
      </c>
      <c r="B1189" t="s">
        <v>67</v>
      </c>
      <c r="C1189">
        <v>56</v>
      </c>
      <c r="D1189">
        <v>5</v>
      </c>
      <c r="E1189" t="s">
        <v>268</v>
      </c>
      <c r="F1189" s="85" t="s">
        <v>331</v>
      </c>
      <c r="G1189"/>
      <c r="H1189" t="s">
        <v>294</v>
      </c>
      <c r="I1189" t="s">
        <v>202</v>
      </c>
      <c r="J1189" t="s">
        <v>176</v>
      </c>
      <c r="K1189" s="1">
        <v>35.65</v>
      </c>
      <c r="L1189" s="1">
        <v>35.65</v>
      </c>
      <c r="M1189" s="1">
        <v>0</v>
      </c>
      <c r="N1189" s="1">
        <v>35.65</v>
      </c>
      <c r="O1189" s="1">
        <v>2852</v>
      </c>
      <c r="P1189" s="1">
        <v>2852</v>
      </c>
      <c r="Q1189" s="1">
        <v>0</v>
      </c>
      <c r="R1189" s="1">
        <v>2543.6999999999998</v>
      </c>
      <c r="S1189" t="s">
        <v>12</v>
      </c>
      <c r="T1189" s="13">
        <v>45865</v>
      </c>
      <c r="U1189" s="1" t="str">
        <f>IF(ESTIMATIVA[[#This Row],[QT_AREA_REAL]]&gt;0,"1- Colhido","2- à Colher")</f>
        <v>1- Colhido</v>
      </c>
      <c r="V1189" s="1" t="str">
        <f>IF(ESTIMATIVA[[#This Row],[QT_AREA_REST1]]&gt;0,"Reestimativa 1",IF(ESTIMATIVA[[#This Row],[QT_AREA_REAL]]=0,"Reestimativa 1","Realizado"))</f>
        <v>Reestimativa 1</v>
      </c>
      <c r="W1189" s="1" t="str">
        <f>IF(ESTIMATIVA[[#This Row],[QT_AREA_REST2]]&gt;0,"Reestimativa 2",IF(ESTIMATIVA[[#This Row],[QT_AREA_REAL]]=0,"Reestimativa 2","Realizado"))</f>
        <v>Realizado</v>
      </c>
      <c r="X1189" s="1">
        <f>ESTIMATIVA[[#This Row],[QT_AREA_EST]]</f>
        <v>35.65</v>
      </c>
      <c r="Y1189" s="1">
        <f>IF(ESTIMATIVA[[#This Row],[QT_AREA_REST1]]&gt;0,ESTIMATIVA[[#This Row],[QT_AREA_REST1]],
  IF(ESTIMATIVA[[#This Row],[QT_AREA_REAL]]&gt;0,ESTIMATIVA[[#This Row],[QT_AREA_REAL]],ESTIMATIVA[[#This Row],[QT_AREA_EST]]))</f>
        <v>35.65</v>
      </c>
      <c r="Z118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35.65</v>
      </c>
      <c r="AA1189" s="1">
        <f>ESTIMATIVA[[#This Row],[QT_CANA_EST]]</f>
        <v>2852</v>
      </c>
      <c r="AB1189" s="1">
        <f>IF(ESTIMATIVA[[#This Row],[QT_CANA_REST1]]&gt;0,ESTIMATIVA[[#This Row],[QT_CANA_REST1]],
  IF(ESTIMATIVA[[#This Row],[QT_CANA_REAL]]&gt;0,ESTIMATIVA[[#This Row],[QT_CANA_REAL]],ESTIMATIVA[[#This Row],[QT_CANA_EST]]))</f>
        <v>2852</v>
      </c>
      <c r="AC118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2543.6999999999998</v>
      </c>
      <c r="AD1189" s="1">
        <f>IF(ESTIMATIVA[[#This Row],[QT_AREA_REAL]]&gt;0,ESTIMATIVA[[#This Row],[QT_CANA_REAL]],ESTIMATIVA[[#This Row],[QT_CANA_EST]])</f>
        <v>2543.6999999999998</v>
      </c>
      <c r="AE1189" s="1">
        <f>IF(ESTIMATIVA[[#This Row],[QT_AREA_REAL]]&gt;0,ESTIMATIVA[[#This Row],[QT_CANA_REAL]],ESTIMATIVA[[#This Row],[QT_CANA_REST1]])</f>
        <v>2543.6999999999998</v>
      </c>
      <c r="AF1189" s="1">
        <f>IF(ESTIMATIVA[[#This Row],[QT_AREA_REAL]]&gt;0,ESTIMATIVA[[#This Row],[QT_CANA_REAL]],ESTIMATIVA[[#This Row],[QT_CANA_REST2]])</f>
        <v>2543.6999999999998</v>
      </c>
      <c r="AG1189" s="1" t="str">
        <f>IF(COUNTIFS(GEADA!A:A,VALUE(ESTIMATIVA[[#This Row],[CD_UPNIVEL1]]&amp;TEXT(ESTIMATIVA[[#This Row],[CD_UPNIVEL3]],"0000")))&gt;0,"S","N")</f>
        <v>N</v>
      </c>
      <c r="AH118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89" s="55" t="str">
        <f>IF(ESTIMATIVA[[#This Row],[TP_CULTIVO]]="Irrigado",_xlfn.MAXIFS(IRRIGADO!J:J,IRRIGADO!C:C,ESTIMATIVA[[#This Row],[CD_UPNIVEL1]],IRRIGADO!E:E,ESTIMATIVA[[#This Row],[CD_UPNIVEL3]]),"")</f>
        <v/>
      </c>
      <c r="AJ118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89" s="1">
        <f>COUNTIFS(Apresentação!$E$23:$E$29,ESTIMATIVA[[#This Row],[CD_UPNIVEL1]])</f>
        <v>0</v>
      </c>
    </row>
    <row r="1190" spans="1:37" x14ac:dyDescent="0.3">
      <c r="A1190">
        <v>20511</v>
      </c>
      <c r="B1190" t="s">
        <v>67</v>
      </c>
      <c r="C1190">
        <v>57</v>
      </c>
      <c r="D1190">
        <v>5</v>
      </c>
      <c r="E1190" t="s">
        <v>268</v>
      </c>
      <c r="F1190" s="85" t="s">
        <v>331</v>
      </c>
      <c r="G1190"/>
      <c r="H1190" t="s">
        <v>294</v>
      </c>
      <c r="I1190" t="s">
        <v>202</v>
      </c>
      <c r="J1190" t="s">
        <v>176</v>
      </c>
      <c r="K1190" s="1">
        <v>52.38</v>
      </c>
      <c r="L1190" s="1">
        <v>52.38</v>
      </c>
      <c r="M1190" s="1">
        <v>0</v>
      </c>
      <c r="N1190" s="1">
        <v>52.38</v>
      </c>
      <c r="O1190" s="1">
        <v>3457.08</v>
      </c>
      <c r="P1190" s="1">
        <v>3457.08</v>
      </c>
      <c r="Q1190" s="1">
        <v>0</v>
      </c>
      <c r="R1190" s="1">
        <v>3234.21</v>
      </c>
      <c r="S1190" t="s">
        <v>12</v>
      </c>
      <c r="T1190" s="13">
        <v>45865</v>
      </c>
      <c r="U1190" s="1" t="str">
        <f>IF(ESTIMATIVA[[#This Row],[QT_AREA_REAL]]&gt;0,"1- Colhido","2- à Colher")</f>
        <v>1- Colhido</v>
      </c>
      <c r="V1190" s="1" t="str">
        <f>IF(ESTIMATIVA[[#This Row],[QT_AREA_REST1]]&gt;0,"Reestimativa 1",IF(ESTIMATIVA[[#This Row],[QT_AREA_REAL]]=0,"Reestimativa 1","Realizado"))</f>
        <v>Reestimativa 1</v>
      </c>
      <c r="W1190" s="1" t="str">
        <f>IF(ESTIMATIVA[[#This Row],[QT_AREA_REST2]]&gt;0,"Reestimativa 2",IF(ESTIMATIVA[[#This Row],[QT_AREA_REAL]]=0,"Reestimativa 2","Realizado"))</f>
        <v>Realizado</v>
      </c>
      <c r="X1190" s="1">
        <f>ESTIMATIVA[[#This Row],[QT_AREA_EST]]</f>
        <v>52.38</v>
      </c>
      <c r="Y1190" s="1">
        <f>IF(ESTIMATIVA[[#This Row],[QT_AREA_REST1]]&gt;0,ESTIMATIVA[[#This Row],[QT_AREA_REST1]],
  IF(ESTIMATIVA[[#This Row],[QT_AREA_REAL]]&gt;0,ESTIMATIVA[[#This Row],[QT_AREA_REAL]],ESTIMATIVA[[#This Row],[QT_AREA_EST]]))</f>
        <v>52.38</v>
      </c>
      <c r="Z119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52.38</v>
      </c>
      <c r="AA1190" s="1">
        <f>ESTIMATIVA[[#This Row],[QT_CANA_EST]]</f>
        <v>3457.08</v>
      </c>
      <c r="AB1190" s="1">
        <f>IF(ESTIMATIVA[[#This Row],[QT_CANA_REST1]]&gt;0,ESTIMATIVA[[#This Row],[QT_CANA_REST1]],
  IF(ESTIMATIVA[[#This Row],[QT_CANA_REAL]]&gt;0,ESTIMATIVA[[#This Row],[QT_CANA_REAL]],ESTIMATIVA[[#This Row],[QT_CANA_EST]]))</f>
        <v>3457.08</v>
      </c>
      <c r="AC119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3234.21</v>
      </c>
      <c r="AD1190" s="1">
        <f>IF(ESTIMATIVA[[#This Row],[QT_AREA_REAL]]&gt;0,ESTIMATIVA[[#This Row],[QT_CANA_REAL]],ESTIMATIVA[[#This Row],[QT_CANA_EST]])</f>
        <v>3234.21</v>
      </c>
      <c r="AE1190" s="1">
        <f>IF(ESTIMATIVA[[#This Row],[QT_AREA_REAL]]&gt;0,ESTIMATIVA[[#This Row],[QT_CANA_REAL]],ESTIMATIVA[[#This Row],[QT_CANA_REST1]])</f>
        <v>3234.21</v>
      </c>
      <c r="AF1190" s="1">
        <f>IF(ESTIMATIVA[[#This Row],[QT_AREA_REAL]]&gt;0,ESTIMATIVA[[#This Row],[QT_CANA_REAL]],ESTIMATIVA[[#This Row],[QT_CANA_REST2]])</f>
        <v>3234.21</v>
      </c>
      <c r="AG1190" s="1" t="str">
        <f>IF(COUNTIFS(GEADA!A:A,VALUE(ESTIMATIVA[[#This Row],[CD_UPNIVEL1]]&amp;TEXT(ESTIMATIVA[[#This Row],[CD_UPNIVEL3]],"0000")))&gt;0,"S","N")</f>
        <v>N</v>
      </c>
      <c r="AH119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90" s="55" t="str">
        <f>IF(ESTIMATIVA[[#This Row],[TP_CULTIVO]]="Irrigado",_xlfn.MAXIFS(IRRIGADO!J:J,IRRIGADO!C:C,ESTIMATIVA[[#This Row],[CD_UPNIVEL1]],IRRIGADO!E:E,ESTIMATIVA[[#This Row],[CD_UPNIVEL3]]),"")</f>
        <v/>
      </c>
      <c r="AJ119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90" s="1">
        <f>COUNTIFS(Apresentação!$E$23:$E$29,ESTIMATIVA[[#This Row],[CD_UPNIVEL1]])</f>
        <v>0</v>
      </c>
    </row>
    <row r="1191" spans="1:37" x14ac:dyDescent="0.3">
      <c r="A1191">
        <v>20511</v>
      </c>
      <c r="B1191" t="s">
        <v>67</v>
      </c>
      <c r="C1191">
        <v>58</v>
      </c>
      <c r="D1191">
        <v>5</v>
      </c>
      <c r="E1191" t="s">
        <v>268</v>
      </c>
      <c r="F1191" s="85" t="s">
        <v>331</v>
      </c>
      <c r="G1191"/>
      <c r="H1191" t="s">
        <v>294</v>
      </c>
      <c r="I1191" t="s">
        <v>202</v>
      </c>
      <c r="J1191" t="s">
        <v>176</v>
      </c>
      <c r="K1191" s="1">
        <v>36.409999999999997</v>
      </c>
      <c r="L1191" s="1">
        <v>36.409999999999997</v>
      </c>
      <c r="M1191" s="1">
        <v>0</v>
      </c>
      <c r="N1191" s="1">
        <v>36.409999999999997</v>
      </c>
      <c r="O1191" s="1">
        <v>2403.06</v>
      </c>
      <c r="P1191" s="1">
        <v>2403.06</v>
      </c>
      <c r="Q1191" s="1">
        <v>0</v>
      </c>
      <c r="R1191" s="1">
        <v>2248.91</v>
      </c>
      <c r="S1191" t="s">
        <v>12</v>
      </c>
      <c r="T1191" s="13">
        <v>45865</v>
      </c>
      <c r="U1191" s="1" t="str">
        <f>IF(ESTIMATIVA[[#This Row],[QT_AREA_REAL]]&gt;0,"1- Colhido","2- à Colher")</f>
        <v>1- Colhido</v>
      </c>
      <c r="V1191" s="1" t="str">
        <f>IF(ESTIMATIVA[[#This Row],[QT_AREA_REST1]]&gt;0,"Reestimativa 1",IF(ESTIMATIVA[[#This Row],[QT_AREA_REAL]]=0,"Reestimativa 1","Realizado"))</f>
        <v>Reestimativa 1</v>
      </c>
      <c r="W1191" s="1" t="str">
        <f>IF(ESTIMATIVA[[#This Row],[QT_AREA_REST2]]&gt;0,"Reestimativa 2",IF(ESTIMATIVA[[#This Row],[QT_AREA_REAL]]=0,"Reestimativa 2","Realizado"))</f>
        <v>Realizado</v>
      </c>
      <c r="X1191" s="1">
        <f>ESTIMATIVA[[#This Row],[QT_AREA_EST]]</f>
        <v>36.409999999999997</v>
      </c>
      <c r="Y1191" s="1">
        <f>IF(ESTIMATIVA[[#This Row],[QT_AREA_REST1]]&gt;0,ESTIMATIVA[[#This Row],[QT_AREA_REST1]],
  IF(ESTIMATIVA[[#This Row],[QT_AREA_REAL]]&gt;0,ESTIMATIVA[[#This Row],[QT_AREA_REAL]],ESTIMATIVA[[#This Row],[QT_AREA_EST]]))</f>
        <v>36.409999999999997</v>
      </c>
      <c r="Z119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36.409999999999997</v>
      </c>
      <c r="AA1191" s="1">
        <f>ESTIMATIVA[[#This Row],[QT_CANA_EST]]</f>
        <v>2403.06</v>
      </c>
      <c r="AB1191" s="1">
        <f>IF(ESTIMATIVA[[#This Row],[QT_CANA_REST1]]&gt;0,ESTIMATIVA[[#This Row],[QT_CANA_REST1]],
  IF(ESTIMATIVA[[#This Row],[QT_CANA_REAL]]&gt;0,ESTIMATIVA[[#This Row],[QT_CANA_REAL]],ESTIMATIVA[[#This Row],[QT_CANA_EST]]))</f>
        <v>2403.06</v>
      </c>
      <c r="AC119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2248.91</v>
      </c>
      <c r="AD1191" s="1">
        <f>IF(ESTIMATIVA[[#This Row],[QT_AREA_REAL]]&gt;0,ESTIMATIVA[[#This Row],[QT_CANA_REAL]],ESTIMATIVA[[#This Row],[QT_CANA_EST]])</f>
        <v>2248.91</v>
      </c>
      <c r="AE1191" s="1">
        <f>IF(ESTIMATIVA[[#This Row],[QT_AREA_REAL]]&gt;0,ESTIMATIVA[[#This Row],[QT_CANA_REAL]],ESTIMATIVA[[#This Row],[QT_CANA_REST1]])</f>
        <v>2248.91</v>
      </c>
      <c r="AF1191" s="1">
        <f>IF(ESTIMATIVA[[#This Row],[QT_AREA_REAL]]&gt;0,ESTIMATIVA[[#This Row],[QT_CANA_REAL]],ESTIMATIVA[[#This Row],[QT_CANA_REST2]])</f>
        <v>2248.91</v>
      </c>
      <c r="AG1191" s="1" t="str">
        <f>IF(COUNTIFS(GEADA!A:A,VALUE(ESTIMATIVA[[#This Row],[CD_UPNIVEL1]]&amp;TEXT(ESTIMATIVA[[#This Row],[CD_UPNIVEL3]],"0000")))&gt;0,"S","N")</f>
        <v>N</v>
      </c>
      <c r="AH119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91" s="55" t="str">
        <f>IF(ESTIMATIVA[[#This Row],[TP_CULTIVO]]="Irrigado",_xlfn.MAXIFS(IRRIGADO!J:J,IRRIGADO!C:C,ESTIMATIVA[[#This Row],[CD_UPNIVEL1]],IRRIGADO!E:E,ESTIMATIVA[[#This Row],[CD_UPNIVEL3]]),"")</f>
        <v/>
      </c>
      <c r="AJ119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91" s="1">
        <f>COUNTIFS(Apresentação!$E$23:$E$29,ESTIMATIVA[[#This Row],[CD_UPNIVEL1]])</f>
        <v>0</v>
      </c>
    </row>
    <row r="1192" spans="1:37" x14ac:dyDescent="0.3">
      <c r="A1192">
        <v>20511</v>
      </c>
      <c r="B1192" t="s">
        <v>67</v>
      </c>
      <c r="C1192">
        <v>59</v>
      </c>
      <c r="D1192">
        <v>5</v>
      </c>
      <c r="E1192" t="s">
        <v>268</v>
      </c>
      <c r="F1192" s="85" t="s">
        <v>331</v>
      </c>
      <c r="G1192"/>
      <c r="H1192" t="s">
        <v>294</v>
      </c>
      <c r="I1192" t="s">
        <v>202</v>
      </c>
      <c r="J1192" t="s">
        <v>176</v>
      </c>
      <c r="K1192" s="1">
        <v>40.93</v>
      </c>
      <c r="L1192" s="1">
        <v>0</v>
      </c>
      <c r="M1192" s="1">
        <v>0</v>
      </c>
      <c r="N1192" s="1">
        <v>40.93</v>
      </c>
      <c r="O1192" s="1">
        <v>2865.1</v>
      </c>
      <c r="P1192" s="1">
        <v>0</v>
      </c>
      <c r="Q1192" s="1">
        <v>0</v>
      </c>
      <c r="R1192" s="1">
        <v>3518.39</v>
      </c>
      <c r="S1192" t="s">
        <v>12</v>
      </c>
      <c r="T1192" s="13">
        <v>45844</v>
      </c>
      <c r="U1192" s="1" t="str">
        <f>IF(ESTIMATIVA[[#This Row],[QT_AREA_REAL]]&gt;0,"1- Colhido","2- à Colher")</f>
        <v>1- Colhido</v>
      </c>
      <c r="V1192" s="1" t="str">
        <f>IF(ESTIMATIVA[[#This Row],[QT_AREA_REST1]]&gt;0,"Reestimativa 1",IF(ESTIMATIVA[[#This Row],[QT_AREA_REAL]]=0,"Reestimativa 1","Realizado"))</f>
        <v>Realizado</v>
      </c>
      <c r="W1192" s="1" t="str">
        <f>IF(ESTIMATIVA[[#This Row],[QT_AREA_REST2]]&gt;0,"Reestimativa 2",IF(ESTIMATIVA[[#This Row],[QT_AREA_REAL]]=0,"Reestimativa 2","Realizado"))</f>
        <v>Realizado</v>
      </c>
      <c r="X1192" s="1">
        <f>ESTIMATIVA[[#This Row],[QT_AREA_EST]]</f>
        <v>40.93</v>
      </c>
      <c r="Y1192" s="1">
        <f>IF(ESTIMATIVA[[#This Row],[QT_AREA_REST1]]&gt;0,ESTIMATIVA[[#This Row],[QT_AREA_REST1]],
  IF(ESTIMATIVA[[#This Row],[QT_AREA_REAL]]&gt;0,ESTIMATIVA[[#This Row],[QT_AREA_REAL]],ESTIMATIVA[[#This Row],[QT_AREA_EST]]))</f>
        <v>40.93</v>
      </c>
      <c r="Z119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40.93</v>
      </c>
      <c r="AA1192" s="1">
        <f>ESTIMATIVA[[#This Row],[QT_CANA_EST]]</f>
        <v>2865.1</v>
      </c>
      <c r="AB1192" s="1">
        <f>IF(ESTIMATIVA[[#This Row],[QT_CANA_REST1]]&gt;0,ESTIMATIVA[[#This Row],[QT_CANA_REST1]],
  IF(ESTIMATIVA[[#This Row],[QT_CANA_REAL]]&gt;0,ESTIMATIVA[[#This Row],[QT_CANA_REAL]],ESTIMATIVA[[#This Row],[QT_CANA_EST]]))</f>
        <v>3518.39</v>
      </c>
      <c r="AC119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3518.39</v>
      </c>
      <c r="AD1192" s="1">
        <f>IF(ESTIMATIVA[[#This Row],[QT_AREA_REAL]]&gt;0,ESTIMATIVA[[#This Row],[QT_CANA_REAL]],ESTIMATIVA[[#This Row],[QT_CANA_EST]])</f>
        <v>3518.39</v>
      </c>
      <c r="AE1192" s="1">
        <f>IF(ESTIMATIVA[[#This Row],[QT_AREA_REAL]]&gt;0,ESTIMATIVA[[#This Row],[QT_CANA_REAL]],ESTIMATIVA[[#This Row],[QT_CANA_REST1]])</f>
        <v>3518.39</v>
      </c>
      <c r="AF1192" s="1">
        <f>IF(ESTIMATIVA[[#This Row],[QT_AREA_REAL]]&gt;0,ESTIMATIVA[[#This Row],[QT_CANA_REAL]],ESTIMATIVA[[#This Row],[QT_CANA_REST2]])</f>
        <v>3518.39</v>
      </c>
      <c r="AG1192" s="1" t="str">
        <f>IF(COUNTIFS(GEADA!A:A,VALUE(ESTIMATIVA[[#This Row],[CD_UPNIVEL1]]&amp;TEXT(ESTIMATIVA[[#This Row],[CD_UPNIVEL3]],"0000")))&gt;0,"S","N")</f>
        <v>N</v>
      </c>
      <c r="AH119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92" s="55" t="str">
        <f>IF(ESTIMATIVA[[#This Row],[TP_CULTIVO]]="Irrigado",_xlfn.MAXIFS(IRRIGADO!J:J,IRRIGADO!C:C,ESTIMATIVA[[#This Row],[CD_UPNIVEL1]],IRRIGADO!E:E,ESTIMATIVA[[#This Row],[CD_UPNIVEL3]]),"")</f>
        <v/>
      </c>
      <c r="AJ119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92" s="1">
        <f>COUNTIFS(Apresentação!$E$23:$E$29,ESTIMATIVA[[#This Row],[CD_UPNIVEL1]])</f>
        <v>0</v>
      </c>
    </row>
    <row r="1193" spans="1:37" x14ac:dyDescent="0.3">
      <c r="A1193">
        <v>20511</v>
      </c>
      <c r="B1193" t="s">
        <v>67</v>
      </c>
      <c r="C1193">
        <v>60</v>
      </c>
      <c r="D1193">
        <v>5</v>
      </c>
      <c r="E1193" t="s">
        <v>268</v>
      </c>
      <c r="F1193" s="85" t="s">
        <v>331</v>
      </c>
      <c r="G1193"/>
      <c r="H1193" t="s">
        <v>294</v>
      </c>
      <c r="I1193" t="s">
        <v>202</v>
      </c>
      <c r="J1193" t="s">
        <v>176</v>
      </c>
      <c r="K1193" s="1">
        <v>47.87</v>
      </c>
      <c r="L1193" s="1">
        <v>0</v>
      </c>
      <c r="M1193" s="1">
        <v>0</v>
      </c>
      <c r="N1193" s="1">
        <v>47.87</v>
      </c>
      <c r="O1193" s="1">
        <v>3350.9</v>
      </c>
      <c r="P1193" s="1">
        <v>0</v>
      </c>
      <c r="Q1193" s="1">
        <v>0</v>
      </c>
      <c r="R1193" s="1">
        <v>4115.2299999999996</v>
      </c>
      <c r="S1193" t="s">
        <v>12</v>
      </c>
      <c r="T1193" s="13">
        <v>45844</v>
      </c>
      <c r="U1193" s="1" t="str">
        <f>IF(ESTIMATIVA[[#This Row],[QT_AREA_REAL]]&gt;0,"1- Colhido","2- à Colher")</f>
        <v>1- Colhido</v>
      </c>
      <c r="V1193" s="1" t="str">
        <f>IF(ESTIMATIVA[[#This Row],[QT_AREA_REST1]]&gt;0,"Reestimativa 1",IF(ESTIMATIVA[[#This Row],[QT_AREA_REAL]]=0,"Reestimativa 1","Realizado"))</f>
        <v>Realizado</v>
      </c>
      <c r="W1193" s="1" t="str">
        <f>IF(ESTIMATIVA[[#This Row],[QT_AREA_REST2]]&gt;0,"Reestimativa 2",IF(ESTIMATIVA[[#This Row],[QT_AREA_REAL]]=0,"Reestimativa 2","Realizado"))</f>
        <v>Realizado</v>
      </c>
      <c r="X1193" s="1">
        <f>ESTIMATIVA[[#This Row],[QT_AREA_EST]]</f>
        <v>47.87</v>
      </c>
      <c r="Y1193" s="1">
        <f>IF(ESTIMATIVA[[#This Row],[QT_AREA_REST1]]&gt;0,ESTIMATIVA[[#This Row],[QT_AREA_REST1]],
  IF(ESTIMATIVA[[#This Row],[QT_AREA_REAL]]&gt;0,ESTIMATIVA[[#This Row],[QT_AREA_REAL]],ESTIMATIVA[[#This Row],[QT_AREA_EST]]))</f>
        <v>47.87</v>
      </c>
      <c r="Z119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47.87</v>
      </c>
      <c r="AA1193" s="1">
        <f>ESTIMATIVA[[#This Row],[QT_CANA_EST]]</f>
        <v>3350.9</v>
      </c>
      <c r="AB1193" s="1">
        <f>IF(ESTIMATIVA[[#This Row],[QT_CANA_REST1]]&gt;0,ESTIMATIVA[[#This Row],[QT_CANA_REST1]],
  IF(ESTIMATIVA[[#This Row],[QT_CANA_REAL]]&gt;0,ESTIMATIVA[[#This Row],[QT_CANA_REAL]],ESTIMATIVA[[#This Row],[QT_CANA_EST]]))</f>
        <v>4115.2299999999996</v>
      </c>
      <c r="AC119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4115.2299999999996</v>
      </c>
      <c r="AD1193" s="1">
        <f>IF(ESTIMATIVA[[#This Row],[QT_AREA_REAL]]&gt;0,ESTIMATIVA[[#This Row],[QT_CANA_REAL]],ESTIMATIVA[[#This Row],[QT_CANA_EST]])</f>
        <v>4115.2299999999996</v>
      </c>
      <c r="AE1193" s="1">
        <f>IF(ESTIMATIVA[[#This Row],[QT_AREA_REAL]]&gt;0,ESTIMATIVA[[#This Row],[QT_CANA_REAL]],ESTIMATIVA[[#This Row],[QT_CANA_REST1]])</f>
        <v>4115.2299999999996</v>
      </c>
      <c r="AF1193" s="1">
        <f>IF(ESTIMATIVA[[#This Row],[QT_AREA_REAL]]&gt;0,ESTIMATIVA[[#This Row],[QT_CANA_REAL]],ESTIMATIVA[[#This Row],[QT_CANA_REST2]])</f>
        <v>4115.2299999999996</v>
      </c>
      <c r="AG1193" s="1" t="str">
        <f>IF(COUNTIFS(GEADA!A:A,VALUE(ESTIMATIVA[[#This Row],[CD_UPNIVEL1]]&amp;TEXT(ESTIMATIVA[[#This Row],[CD_UPNIVEL3]],"0000")))&gt;0,"S","N")</f>
        <v>N</v>
      </c>
      <c r="AH119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93" s="55" t="str">
        <f>IF(ESTIMATIVA[[#This Row],[TP_CULTIVO]]="Irrigado",_xlfn.MAXIFS(IRRIGADO!J:J,IRRIGADO!C:C,ESTIMATIVA[[#This Row],[CD_UPNIVEL1]],IRRIGADO!E:E,ESTIMATIVA[[#This Row],[CD_UPNIVEL3]]),"")</f>
        <v/>
      </c>
      <c r="AJ119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93" s="1">
        <f>COUNTIFS(Apresentação!$E$23:$E$29,ESTIMATIVA[[#This Row],[CD_UPNIVEL1]])</f>
        <v>0</v>
      </c>
    </row>
    <row r="1194" spans="1:37" x14ac:dyDescent="0.3">
      <c r="A1194">
        <v>20511</v>
      </c>
      <c r="B1194" t="s">
        <v>67</v>
      </c>
      <c r="C1194">
        <v>61</v>
      </c>
      <c r="D1194">
        <v>5</v>
      </c>
      <c r="E1194" t="s">
        <v>268</v>
      </c>
      <c r="F1194" s="85" t="s">
        <v>331</v>
      </c>
      <c r="G1194"/>
      <c r="H1194" t="s">
        <v>294</v>
      </c>
      <c r="I1194" t="s">
        <v>202</v>
      </c>
      <c r="J1194" t="s">
        <v>176</v>
      </c>
      <c r="K1194" s="1">
        <v>16.34</v>
      </c>
      <c r="L1194" s="1">
        <v>0</v>
      </c>
      <c r="M1194" s="1">
        <v>0</v>
      </c>
      <c r="N1194" s="1">
        <v>16.34</v>
      </c>
      <c r="O1194" s="1">
        <v>1143.8</v>
      </c>
      <c r="P1194" s="1">
        <v>0</v>
      </c>
      <c r="Q1194" s="1">
        <v>0</v>
      </c>
      <c r="R1194" s="1">
        <v>1405.21</v>
      </c>
      <c r="S1194" t="s">
        <v>12</v>
      </c>
      <c r="T1194" s="13">
        <v>45844</v>
      </c>
      <c r="U1194" s="1" t="str">
        <f>IF(ESTIMATIVA[[#This Row],[QT_AREA_REAL]]&gt;0,"1- Colhido","2- à Colher")</f>
        <v>1- Colhido</v>
      </c>
      <c r="V1194" s="1" t="str">
        <f>IF(ESTIMATIVA[[#This Row],[QT_AREA_REST1]]&gt;0,"Reestimativa 1",IF(ESTIMATIVA[[#This Row],[QT_AREA_REAL]]=0,"Reestimativa 1","Realizado"))</f>
        <v>Realizado</v>
      </c>
      <c r="W1194" s="1" t="str">
        <f>IF(ESTIMATIVA[[#This Row],[QT_AREA_REST2]]&gt;0,"Reestimativa 2",IF(ESTIMATIVA[[#This Row],[QT_AREA_REAL]]=0,"Reestimativa 2","Realizado"))</f>
        <v>Realizado</v>
      </c>
      <c r="X1194" s="1">
        <f>ESTIMATIVA[[#This Row],[QT_AREA_EST]]</f>
        <v>16.34</v>
      </c>
      <c r="Y1194" s="1">
        <f>IF(ESTIMATIVA[[#This Row],[QT_AREA_REST1]]&gt;0,ESTIMATIVA[[#This Row],[QT_AREA_REST1]],
  IF(ESTIMATIVA[[#This Row],[QT_AREA_REAL]]&gt;0,ESTIMATIVA[[#This Row],[QT_AREA_REAL]],ESTIMATIVA[[#This Row],[QT_AREA_EST]]))</f>
        <v>16.34</v>
      </c>
      <c r="Z119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16.34</v>
      </c>
      <c r="AA1194" s="1">
        <f>ESTIMATIVA[[#This Row],[QT_CANA_EST]]</f>
        <v>1143.8</v>
      </c>
      <c r="AB1194" s="1">
        <f>IF(ESTIMATIVA[[#This Row],[QT_CANA_REST1]]&gt;0,ESTIMATIVA[[#This Row],[QT_CANA_REST1]],
  IF(ESTIMATIVA[[#This Row],[QT_CANA_REAL]]&gt;0,ESTIMATIVA[[#This Row],[QT_CANA_REAL]],ESTIMATIVA[[#This Row],[QT_CANA_EST]]))</f>
        <v>1405.21</v>
      </c>
      <c r="AC119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1405.21</v>
      </c>
      <c r="AD1194" s="1">
        <f>IF(ESTIMATIVA[[#This Row],[QT_AREA_REAL]]&gt;0,ESTIMATIVA[[#This Row],[QT_CANA_REAL]],ESTIMATIVA[[#This Row],[QT_CANA_EST]])</f>
        <v>1405.21</v>
      </c>
      <c r="AE1194" s="1">
        <f>IF(ESTIMATIVA[[#This Row],[QT_AREA_REAL]]&gt;0,ESTIMATIVA[[#This Row],[QT_CANA_REAL]],ESTIMATIVA[[#This Row],[QT_CANA_REST1]])</f>
        <v>1405.21</v>
      </c>
      <c r="AF1194" s="1">
        <f>IF(ESTIMATIVA[[#This Row],[QT_AREA_REAL]]&gt;0,ESTIMATIVA[[#This Row],[QT_CANA_REAL]],ESTIMATIVA[[#This Row],[QT_CANA_REST2]])</f>
        <v>1405.21</v>
      </c>
      <c r="AG1194" s="1" t="str">
        <f>IF(COUNTIFS(GEADA!A:A,VALUE(ESTIMATIVA[[#This Row],[CD_UPNIVEL1]]&amp;TEXT(ESTIMATIVA[[#This Row],[CD_UPNIVEL3]],"0000")))&gt;0,"S","N")</f>
        <v>N</v>
      </c>
      <c r="AH119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94" s="55" t="str">
        <f>IF(ESTIMATIVA[[#This Row],[TP_CULTIVO]]="Irrigado",_xlfn.MAXIFS(IRRIGADO!J:J,IRRIGADO!C:C,ESTIMATIVA[[#This Row],[CD_UPNIVEL1]],IRRIGADO!E:E,ESTIMATIVA[[#This Row],[CD_UPNIVEL3]]),"")</f>
        <v/>
      </c>
      <c r="AJ119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94" s="1">
        <f>COUNTIFS(Apresentação!$E$23:$E$29,ESTIMATIVA[[#This Row],[CD_UPNIVEL1]])</f>
        <v>0</v>
      </c>
    </row>
    <row r="1195" spans="1:37" x14ac:dyDescent="0.3">
      <c r="A1195">
        <v>20511</v>
      </c>
      <c r="B1195" t="s">
        <v>67</v>
      </c>
      <c r="C1195">
        <v>62</v>
      </c>
      <c r="D1195">
        <v>5</v>
      </c>
      <c r="E1195" t="s">
        <v>268</v>
      </c>
      <c r="F1195" s="85" t="s">
        <v>332</v>
      </c>
      <c r="G1195"/>
      <c r="H1195" t="s">
        <v>294</v>
      </c>
      <c r="I1195" t="s">
        <v>202</v>
      </c>
      <c r="J1195" t="s">
        <v>176</v>
      </c>
      <c r="K1195" s="1">
        <v>10.87</v>
      </c>
      <c r="L1195" s="1">
        <v>0</v>
      </c>
      <c r="M1195" s="1">
        <v>0</v>
      </c>
      <c r="N1195" s="1">
        <v>10.87</v>
      </c>
      <c r="O1195" s="1">
        <v>760.9</v>
      </c>
      <c r="P1195" s="1">
        <v>0</v>
      </c>
      <c r="Q1195" s="1">
        <v>0</v>
      </c>
      <c r="R1195" s="1">
        <v>799.61</v>
      </c>
      <c r="S1195" t="s">
        <v>12</v>
      </c>
      <c r="T1195" s="13">
        <v>45851</v>
      </c>
      <c r="U1195" s="1" t="str">
        <f>IF(ESTIMATIVA[[#This Row],[QT_AREA_REAL]]&gt;0,"1- Colhido","2- à Colher")</f>
        <v>1- Colhido</v>
      </c>
      <c r="V1195" s="1" t="str">
        <f>IF(ESTIMATIVA[[#This Row],[QT_AREA_REST1]]&gt;0,"Reestimativa 1",IF(ESTIMATIVA[[#This Row],[QT_AREA_REAL]]=0,"Reestimativa 1","Realizado"))</f>
        <v>Realizado</v>
      </c>
      <c r="W1195" s="1" t="str">
        <f>IF(ESTIMATIVA[[#This Row],[QT_AREA_REST2]]&gt;0,"Reestimativa 2",IF(ESTIMATIVA[[#This Row],[QT_AREA_REAL]]=0,"Reestimativa 2","Realizado"))</f>
        <v>Realizado</v>
      </c>
      <c r="X1195" s="1">
        <f>ESTIMATIVA[[#This Row],[QT_AREA_EST]]</f>
        <v>10.87</v>
      </c>
      <c r="Y1195" s="1">
        <f>IF(ESTIMATIVA[[#This Row],[QT_AREA_REST1]]&gt;0,ESTIMATIVA[[#This Row],[QT_AREA_REST1]],
  IF(ESTIMATIVA[[#This Row],[QT_AREA_REAL]]&gt;0,ESTIMATIVA[[#This Row],[QT_AREA_REAL]],ESTIMATIVA[[#This Row],[QT_AREA_EST]]))</f>
        <v>10.87</v>
      </c>
      <c r="Z119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10.87</v>
      </c>
      <c r="AA1195" s="1">
        <f>ESTIMATIVA[[#This Row],[QT_CANA_EST]]</f>
        <v>760.9</v>
      </c>
      <c r="AB1195" s="1">
        <f>IF(ESTIMATIVA[[#This Row],[QT_CANA_REST1]]&gt;0,ESTIMATIVA[[#This Row],[QT_CANA_REST1]],
  IF(ESTIMATIVA[[#This Row],[QT_CANA_REAL]]&gt;0,ESTIMATIVA[[#This Row],[QT_CANA_REAL]],ESTIMATIVA[[#This Row],[QT_CANA_EST]]))</f>
        <v>799.61</v>
      </c>
      <c r="AC119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799.61</v>
      </c>
      <c r="AD1195" s="1">
        <f>IF(ESTIMATIVA[[#This Row],[QT_AREA_REAL]]&gt;0,ESTIMATIVA[[#This Row],[QT_CANA_REAL]],ESTIMATIVA[[#This Row],[QT_CANA_EST]])</f>
        <v>799.61</v>
      </c>
      <c r="AE1195" s="1">
        <f>IF(ESTIMATIVA[[#This Row],[QT_AREA_REAL]]&gt;0,ESTIMATIVA[[#This Row],[QT_CANA_REAL]],ESTIMATIVA[[#This Row],[QT_CANA_REST1]])</f>
        <v>799.61</v>
      </c>
      <c r="AF1195" s="1">
        <f>IF(ESTIMATIVA[[#This Row],[QT_AREA_REAL]]&gt;0,ESTIMATIVA[[#This Row],[QT_CANA_REAL]],ESTIMATIVA[[#This Row],[QT_CANA_REST2]])</f>
        <v>799.61</v>
      </c>
      <c r="AG1195" s="1" t="str">
        <f>IF(COUNTIFS(GEADA!A:A,VALUE(ESTIMATIVA[[#This Row],[CD_UPNIVEL1]]&amp;TEXT(ESTIMATIVA[[#This Row],[CD_UPNIVEL3]],"0000")))&gt;0,"S","N")</f>
        <v>N</v>
      </c>
      <c r="AH119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95" s="55" t="str">
        <f>IF(ESTIMATIVA[[#This Row],[TP_CULTIVO]]="Irrigado",_xlfn.MAXIFS(IRRIGADO!J:J,IRRIGADO!C:C,ESTIMATIVA[[#This Row],[CD_UPNIVEL1]],IRRIGADO!E:E,ESTIMATIVA[[#This Row],[CD_UPNIVEL3]]),"")</f>
        <v/>
      </c>
      <c r="AJ119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95" s="1">
        <f>COUNTIFS(Apresentação!$E$23:$E$29,ESTIMATIVA[[#This Row],[CD_UPNIVEL1]])</f>
        <v>0</v>
      </c>
    </row>
    <row r="1196" spans="1:37" x14ac:dyDescent="0.3">
      <c r="A1196">
        <v>20511</v>
      </c>
      <c r="B1196" t="s">
        <v>67</v>
      </c>
      <c r="C1196">
        <v>63</v>
      </c>
      <c r="D1196">
        <v>5</v>
      </c>
      <c r="E1196" t="s">
        <v>268</v>
      </c>
      <c r="F1196" s="85" t="s">
        <v>332</v>
      </c>
      <c r="G1196"/>
      <c r="H1196" t="s">
        <v>294</v>
      </c>
      <c r="I1196" t="s">
        <v>202</v>
      </c>
      <c r="J1196" t="s">
        <v>176</v>
      </c>
      <c r="K1196" s="1">
        <v>19.77</v>
      </c>
      <c r="L1196" s="1">
        <v>0</v>
      </c>
      <c r="M1196" s="1">
        <v>0</v>
      </c>
      <c r="N1196" s="1">
        <v>19.77</v>
      </c>
      <c r="O1196" s="1">
        <v>1383.9</v>
      </c>
      <c r="P1196" s="1">
        <v>0</v>
      </c>
      <c r="Q1196" s="1">
        <v>0</v>
      </c>
      <c r="R1196" s="1">
        <v>1454.28</v>
      </c>
      <c r="S1196" t="s">
        <v>12</v>
      </c>
      <c r="T1196" s="13">
        <v>45851</v>
      </c>
      <c r="U1196" s="1" t="str">
        <f>IF(ESTIMATIVA[[#This Row],[QT_AREA_REAL]]&gt;0,"1- Colhido","2- à Colher")</f>
        <v>1- Colhido</v>
      </c>
      <c r="V1196" s="1" t="str">
        <f>IF(ESTIMATIVA[[#This Row],[QT_AREA_REST1]]&gt;0,"Reestimativa 1",IF(ESTIMATIVA[[#This Row],[QT_AREA_REAL]]=0,"Reestimativa 1","Realizado"))</f>
        <v>Realizado</v>
      </c>
      <c r="W1196" s="1" t="str">
        <f>IF(ESTIMATIVA[[#This Row],[QT_AREA_REST2]]&gt;0,"Reestimativa 2",IF(ESTIMATIVA[[#This Row],[QT_AREA_REAL]]=0,"Reestimativa 2","Realizado"))</f>
        <v>Realizado</v>
      </c>
      <c r="X1196" s="1">
        <f>ESTIMATIVA[[#This Row],[QT_AREA_EST]]</f>
        <v>19.77</v>
      </c>
      <c r="Y1196" s="1">
        <f>IF(ESTIMATIVA[[#This Row],[QT_AREA_REST1]]&gt;0,ESTIMATIVA[[#This Row],[QT_AREA_REST1]],
  IF(ESTIMATIVA[[#This Row],[QT_AREA_REAL]]&gt;0,ESTIMATIVA[[#This Row],[QT_AREA_REAL]],ESTIMATIVA[[#This Row],[QT_AREA_EST]]))</f>
        <v>19.77</v>
      </c>
      <c r="Z119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19.77</v>
      </c>
      <c r="AA1196" s="1">
        <f>ESTIMATIVA[[#This Row],[QT_CANA_EST]]</f>
        <v>1383.9</v>
      </c>
      <c r="AB1196" s="1">
        <f>IF(ESTIMATIVA[[#This Row],[QT_CANA_REST1]]&gt;0,ESTIMATIVA[[#This Row],[QT_CANA_REST1]],
  IF(ESTIMATIVA[[#This Row],[QT_CANA_REAL]]&gt;0,ESTIMATIVA[[#This Row],[QT_CANA_REAL]],ESTIMATIVA[[#This Row],[QT_CANA_EST]]))</f>
        <v>1454.28</v>
      </c>
      <c r="AC119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1454.28</v>
      </c>
      <c r="AD1196" s="1">
        <f>IF(ESTIMATIVA[[#This Row],[QT_AREA_REAL]]&gt;0,ESTIMATIVA[[#This Row],[QT_CANA_REAL]],ESTIMATIVA[[#This Row],[QT_CANA_EST]])</f>
        <v>1454.28</v>
      </c>
      <c r="AE1196" s="1">
        <f>IF(ESTIMATIVA[[#This Row],[QT_AREA_REAL]]&gt;0,ESTIMATIVA[[#This Row],[QT_CANA_REAL]],ESTIMATIVA[[#This Row],[QT_CANA_REST1]])</f>
        <v>1454.28</v>
      </c>
      <c r="AF1196" s="1">
        <f>IF(ESTIMATIVA[[#This Row],[QT_AREA_REAL]]&gt;0,ESTIMATIVA[[#This Row],[QT_CANA_REAL]],ESTIMATIVA[[#This Row],[QT_CANA_REST2]])</f>
        <v>1454.28</v>
      </c>
      <c r="AG1196" s="1" t="str">
        <f>IF(COUNTIFS(GEADA!A:A,VALUE(ESTIMATIVA[[#This Row],[CD_UPNIVEL1]]&amp;TEXT(ESTIMATIVA[[#This Row],[CD_UPNIVEL3]],"0000")))&gt;0,"S","N")</f>
        <v>N</v>
      </c>
      <c r="AH119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96" s="55" t="str">
        <f>IF(ESTIMATIVA[[#This Row],[TP_CULTIVO]]="Irrigado",_xlfn.MAXIFS(IRRIGADO!J:J,IRRIGADO!C:C,ESTIMATIVA[[#This Row],[CD_UPNIVEL1]],IRRIGADO!E:E,ESTIMATIVA[[#This Row],[CD_UPNIVEL3]]),"")</f>
        <v/>
      </c>
      <c r="AJ119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96" s="1">
        <f>COUNTIFS(Apresentação!$E$23:$E$29,ESTIMATIVA[[#This Row],[CD_UPNIVEL1]])</f>
        <v>0</v>
      </c>
    </row>
    <row r="1197" spans="1:37" x14ac:dyDescent="0.3">
      <c r="A1197">
        <v>20511</v>
      </c>
      <c r="B1197" t="s">
        <v>67</v>
      </c>
      <c r="C1197">
        <v>64</v>
      </c>
      <c r="D1197">
        <v>3</v>
      </c>
      <c r="E1197" t="s">
        <v>263</v>
      </c>
      <c r="F1197" s="85" t="s">
        <v>331</v>
      </c>
      <c r="G1197"/>
      <c r="H1197" t="s">
        <v>294</v>
      </c>
      <c r="I1197" t="s">
        <v>204</v>
      </c>
      <c r="J1197" t="s">
        <v>176</v>
      </c>
      <c r="K1197" s="1">
        <v>37.229999999999997</v>
      </c>
      <c r="L1197" s="1">
        <v>0</v>
      </c>
      <c r="M1197" s="1">
        <v>0</v>
      </c>
      <c r="N1197" s="1">
        <v>37.229999999999997</v>
      </c>
      <c r="O1197" s="1">
        <v>3276.24</v>
      </c>
      <c r="P1197" s="1">
        <v>0</v>
      </c>
      <c r="Q1197" s="1">
        <v>0</v>
      </c>
      <c r="R1197" s="1">
        <v>3442.5</v>
      </c>
      <c r="S1197" t="s">
        <v>12</v>
      </c>
      <c r="T1197" s="13">
        <v>45851</v>
      </c>
      <c r="U1197" s="1" t="str">
        <f>IF(ESTIMATIVA[[#This Row],[QT_AREA_REAL]]&gt;0,"1- Colhido","2- à Colher")</f>
        <v>1- Colhido</v>
      </c>
      <c r="V1197" s="1" t="str">
        <f>IF(ESTIMATIVA[[#This Row],[QT_AREA_REST1]]&gt;0,"Reestimativa 1",IF(ESTIMATIVA[[#This Row],[QT_AREA_REAL]]=0,"Reestimativa 1","Realizado"))</f>
        <v>Realizado</v>
      </c>
      <c r="W1197" s="1" t="str">
        <f>IF(ESTIMATIVA[[#This Row],[QT_AREA_REST2]]&gt;0,"Reestimativa 2",IF(ESTIMATIVA[[#This Row],[QT_AREA_REAL]]=0,"Reestimativa 2","Realizado"))</f>
        <v>Realizado</v>
      </c>
      <c r="X1197" s="1">
        <f>ESTIMATIVA[[#This Row],[QT_AREA_EST]]</f>
        <v>37.229999999999997</v>
      </c>
      <c r="Y1197" s="1">
        <f>IF(ESTIMATIVA[[#This Row],[QT_AREA_REST1]]&gt;0,ESTIMATIVA[[#This Row],[QT_AREA_REST1]],
  IF(ESTIMATIVA[[#This Row],[QT_AREA_REAL]]&gt;0,ESTIMATIVA[[#This Row],[QT_AREA_REAL]],ESTIMATIVA[[#This Row],[QT_AREA_EST]]))</f>
        <v>37.229999999999997</v>
      </c>
      <c r="Z119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37.229999999999997</v>
      </c>
      <c r="AA1197" s="1">
        <f>ESTIMATIVA[[#This Row],[QT_CANA_EST]]</f>
        <v>3276.24</v>
      </c>
      <c r="AB1197" s="1">
        <f>IF(ESTIMATIVA[[#This Row],[QT_CANA_REST1]]&gt;0,ESTIMATIVA[[#This Row],[QT_CANA_REST1]],
  IF(ESTIMATIVA[[#This Row],[QT_CANA_REAL]]&gt;0,ESTIMATIVA[[#This Row],[QT_CANA_REAL]],ESTIMATIVA[[#This Row],[QT_CANA_EST]]))</f>
        <v>3442.5</v>
      </c>
      <c r="AC119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3442.5</v>
      </c>
      <c r="AD1197" s="1">
        <f>IF(ESTIMATIVA[[#This Row],[QT_AREA_REAL]]&gt;0,ESTIMATIVA[[#This Row],[QT_CANA_REAL]],ESTIMATIVA[[#This Row],[QT_CANA_EST]])</f>
        <v>3442.5</v>
      </c>
      <c r="AE1197" s="1">
        <f>IF(ESTIMATIVA[[#This Row],[QT_AREA_REAL]]&gt;0,ESTIMATIVA[[#This Row],[QT_CANA_REAL]],ESTIMATIVA[[#This Row],[QT_CANA_REST1]])</f>
        <v>3442.5</v>
      </c>
      <c r="AF1197" s="1">
        <f>IF(ESTIMATIVA[[#This Row],[QT_AREA_REAL]]&gt;0,ESTIMATIVA[[#This Row],[QT_CANA_REAL]],ESTIMATIVA[[#This Row],[QT_CANA_REST2]])</f>
        <v>3442.5</v>
      </c>
      <c r="AG1197" s="1" t="str">
        <f>IF(COUNTIFS(GEADA!A:A,VALUE(ESTIMATIVA[[#This Row],[CD_UPNIVEL1]]&amp;TEXT(ESTIMATIVA[[#This Row],[CD_UPNIVEL3]],"0000")))&gt;0,"S","N")</f>
        <v>N</v>
      </c>
      <c r="AH119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97" s="55" t="str">
        <f>IF(ESTIMATIVA[[#This Row],[TP_CULTIVO]]="Irrigado",_xlfn.MAXIFS(IRRIGADO!J:J,IRRIGADO!C:C,ESTIMATIVA[[#This Row],[CD_UPNIVEL1]],IRRIGADO!E:E,ESTIMATIVA[[#This Row],[CD_UPNIVEL3]]),"")</f>
        <v/>
      </c>
      <c r="AJ119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97" s="1">
        <f>COUNTIFS(Apresentação!$E$23:$E$29,ESTIMATIVA[[#This Row],[CD_UPNIVEL1]])</f>
        <v>0</v>
      </c>
    </row>
    <row r="1198" spans="1:37" x14ac:dyDescent="0.3">
      <c r="A1198">
        <v>20511</v>
      </c>
      <c r="B1198" t="s">
        <v>67</v>
      </c>
      <c r="C1198">
        <v>65</v>
      </c>
      <c r="D1198">
        <v>3</v>
      </c>
      <c r="E1198" t="s">
        <v>263</v>
      </c>
      <c r="F1198" s="85" t="s">
        <v>331</v>
      </c>
      <c r="G1198"/>
      <c r="H1198" t="s">
        <v>294</v>
      </c>
      <c r="I1198" t="s">
        <v>197</v>
      </c>
      <c r="J1198" t="s">
        <v>176</v>
      </c>
      <c r="K1198" s="1">
        <v>11.41</v>
      </c>
      <c r="L1198" s="1">
        <v>0</v>
      </c>
      <c r="M1198" s="1">
        <v>0</v>
      </c>
      <c r="N1198" s="1">
        <v>11.41</v>
      </c>
      <c r="O1198" s="1">
        <v>1004.08</v>
      </c>
      <c r="P1198" s="1">
        <v>0</v>
      </c>
      <c r="Q1198" s="1">
        <v>0</v>
      </c>
      <c r="R1198" s="1">
        <v>1055.3699999999999</v>
      </c>
      <c r="S1198" t="s">
        <v>12</v>
      </c>
      <c r="T1198" s="13">
        <v>45851</v>
      </c>
      <c r="U1198" s="1" t="str">
        <f>IF(ESTIMATIVA[[#This Row],[QT_AREA_REAL]]&gt;0,"1- Colhido","2- à Colher")</f>
        <v>1- Colhido</v>
      </c>
      <c r="V1198" s="1" t="str">
        <f>IF(ESTIMATIVA[[#This Row],[QT_AREA_REST1]]&gt;0,"Reestimativa 1",IF(ESTIMATIVA[[#This Row],[QT_AREA_REAL]]=0,"Reestimativa 1","Realizado"))</f>
        <v>Realizado</v>
      </c>
      <c r="W1198" s="1" t="str">
        <f>IF(ESTIMATIVA[[#This Row],[QT_AREA_REST2]]&gt;0,"Reestimativa 2",IF(ESTIMATIVA[[#This Row],[QT_AREA_REAL]]=0,"Reestimativa 2","Realizado"))</f>
        <v>Realizado</v>
      </c>
      <c r="X1198" s="1">
        <f>ESTIMATIVA[[#This Row],[QT_AREA_EST]]</f>
        <v>11.41</v>
      </c>
      <c r="Y1198" s="1">
        <f>IF(ESTIMATIVA[[#This Row],[QT_AREA_REST1]]&gt;0,ESTIMATIVA[[#This Row],[QT_AREA_REST1]],
  IF(ESTIMATIVA[[#This Row],[QT_AREA_REAL]]&gt;0,ESTIMATIVA[[#This Row],[QT_AREA_REAL]],ESTIMATIVA[[#This Row],[QT_AREA_EST]]))</f>
        <v>11.41</v>
      </c>
      <c r="Z119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11.41</v>
      </c>
      <c r="AA1198" s="1">
        <f>ESTIMATIVA[[#This Row],[QT_CANA_EST]]</f>
        <v>1004.08</v>
      </c>
      <c r="AB1198" s="1">
        <f>IF(ESTIMATIVA[[#This Row],[QT_CANA_REST1]]&gt;0,ESTIMATIVA[[#This Row],[QT_CANA_REST1]],
  IF(ESTIMATIVA[[#This Row],[QT_CANA_REAL]]&gt;0,ESTIMATIVA[[#This Row],[QT_CANA_REAL]],ESTIMATIVA[[#This Row],[QT_CANA_EST]]))</f>
        <v>1055.3699999999999</v>
      </c>
      <c r="AC119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1055.3699999999999</v>
      </c>
      <c r="AD1198" s="1">
        <f>IF(ESTIMATIVA[[#This Row],[QT_AREA_REAL]]&gt;0,ESTIMATIVA[[#This Row],[QT_CANA_REAL]],ESTIMATIVA[[#This Row],[QT_CANA_EST]])</f>
        <v>1055.3699999999999</v>
      </c>
      <c r="AE1198" s="1">
        <f>IF(ESTIMATIVA[[#This Row],[QT_AREA_REAL]]&gt;0,ESTIMATIVA[[#This Row],[QT_CANA_REAL]],ESTIMATIVA[[#This Row],[QT_CANA_REST1]])</f>
        <v>1055.3699999999999</v>
      </c>
      <c r="AF1198" s="1">
        <f>IF(ESTIMATIVA[[#This Row],[QT_AREA_REAL]]&gt;0,ESTIMATIVA[[#This Row],[QT_CANA_REAL]],ESTIMATIVA[[#This Row],[QT_CANA_REST2]])</f>
        <v>1055.3699999999999</v>
      </c>
      <c r="AG1198" s="1" t="str">
        <f>IF(COUNTIFS(GEADA!A:A,VALUE(ESTIMATIVA[[#This Row],[CD_UPNIVEL1]]&amp;TEXT(ESTIMATIVA[[#This Row],[CD_UPNIVEL3]],"0000")))&gt;0,"S","N")</f>
        <v>N</v>
      </c>
      <c r="AH119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98" s="55" t="str">
        <f>IF(ESTIMATIVA[[#This Row],[TP_CULTIVO]]="Irrigado",_xlfn.MAXIFS(IRRIGADO!J:J,IRRIGADO!C:C,ESTIMATIVA[[#This Row],[CD_UPNIVEL1]],IRRIGADO!E:E,ESTIMATIVA[[#This Row],[CD_UPNIVEL3]]),"")</f>
        <v/>
      </c>
      <c r="AJ119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98" s="1">
        <f>COUNTIFS(Apresentação!$E$23:$E$29,ESTIMATIVA[[#This Row],[CD_UPNIVEL1]])</f>
        <v>0</v>
      </c>
    </row>
    <row r="1199" spans="1:37" x14ac:dyDescent="0.3">
      <c r="A1199">
        <v>20511</v>
      </c>
      <c r="B1199" t="s">
        <v>67</v>
      </c>
      <c r="C1199">
        <v>83</v>
      </c>
      <c r="D1199">
        <v>5</v>
      </c>
      <c r="E1199" t="s">
        <v>268</v>
      </c>
      <c r="F1199" s="85" t="s">
        <v>331</v>
      </c>
      <c r="G1199"/>
      <c r="H1199" t="s">
        <v>294</v>
      </c>
      <c r="I1199" t="s">
        <v>221</v>
      </c>
      <c r="J1199" t="s">
        <v>176</v>
      </c>
      <c r="K1199" s="1">
        <v>51.33</v>
      </c>
      <c r="L1199" s="1">
        <v>0</v>
      </c>
      <c r="M1199" s="1">
        <v>0</v>
      </c>
      <c r="N1199" s="1">
        <v>51.33</v>
      </c>
      <c r="O1199" s="1">
        <v>2566.5</v>
      </c>
      <c r="P1199" s="1">
        <v>0</v>
      </c>
      <c r="Q1199" s="1">
        <v>0</v>
      </c>
      <c r="R1199" s="1">
        <v>3061.21</v>
      </c>
      <c r="S1199" t="s">
        <v>12</v>
      </c>
      <c r="T1199" s="13">
        <v>45837</v>
      </c>
      <c r="U1199" s="1" t="str">
        <f>IF(ESTIMATIVA[[#This Row],[QT_AREA_REAL]]&gt;0,"1- Colhido","2- à Colher")</f>
        <v>1- Colhido</v>
      </c>
      <c r="V1199" s="1" t="str">
        <f>IF(ESTIMATIVA[[#This Row],[QT_AREA_REST1]]&gt;0,"Reestimativa 1",IF(ESTIMATIVA[[#This Row],[QT_AREA_REAL]]=0,"Reestimativa 1","Realizado"))</f>
        <v>Realizado</v>
      </c>
      <c r="W1199" s="1" t="str">
        <f>IF(ESTIMATIVA[[#This Row],[QT_AREA_REST2]]&gt;0,"Reestimativa 2",IF(ESTIMATIVA[[#This Row],[QT_AREA_REAL]]=0,"Reestimativa 2","Realizado"))</f>
        <v>Realizado</v>
      </c>
      <c r="X1199" s="1">
        <f>ESTIMATIVA[[#This Row],[QT_AREA_EST]]</f>
        <v>51.33</v>
      </c>
      <c r="Y1199" s="1">
        <f>IF(ESTIMATIVA[[#This Row],[QT_AREA_REST1]]&gt;0,ESTIMATIVA[[#This Row],[QT_AREA_REST1]],
  IF(ESTIMATIVA[[#This Row],[QT_AREA_REAL]]&gt;0,ESTIMATIVA[[#This Row],[QT_AREA_REAL]],ESTIMATIVA[[#This Row],[QT_AREA_EST]]))</f>
        <v>51.33</v>
      </c>
      <c r="Z119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51.33</v>
      </c>
      <c r="AA1199" s="1">
        <f>ESTIMATIVA[[#This Row],[QT_CANA_EST]]</f>
        <v>2566.5</v>
      </c>
      <c r="AB1199" s="1">
        <f>IF(ESTIMATIVA[[#This Row],[QT_CANA_REST1]]&gt;0,ESTIMATIVA[[#This Row],[QT_CANA_REST1]],
  IF(ESTIMATIVA[[#This Row],[QT_CANA_REAL]]&gt;0,ESTIMATIVA[[#This Row],[QT_CANA_REAL]],ESTIMATIVA[[#This Row],[QT_CANA_EST]]))</f>
        <v>3061.21</v>
      </c>
      <c r="AC119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3061.21</v>
      </c>
      <c r="AD1199" s="1">
        <f>IF(ESTIMATIVA[[#This Row],[QT_AREA_REAL]]&gt;0,ESTIMATIVA[[#This Row],[QT_CANA_REAL]],ESTIMATIVA[[#This Row],[QT_CANA_EST]])</f>
        <v>3061.21</v>
      </c>
      <c r="AE1199" s="1">
        <f>IF(ESTIMATIVA[[#This Row],[QT_AREA_REAL]]&gt;0,ESTIMATIVA[[#This Row],[QT_CANA_REAL]],ESTIMATIVA[[#This Row],[QT_CANA_REST1]])</f>
        <v>3061.21</v>
      </c>
      <c r="AF1199" s="1">
        <f>IF(ESTIMATIVA[[#This Row],[QT_AREA_REAL]]&gt;0,ESTIMATIVA[[#This Row],[QT_CANA_REAL]],ESTIMATIVA[[#This Row],[QT_CANA_REST2]])</f>
        <v>3061.21</v>
      </c>
      <c r="AG1199" s="1" t="str">
        <f>IF(COUNTIFS(GEADA!A:A,VALUE(ESTIMATIVA[[#This Row],[CD_UPNIVEL1]]&amp;TEXT(ESTIMATIVA[[#This Row],[CD_UPNIVEL3]],"0000")))&gt;0,"S","N")</f>
        <v>N</v>
      </c>
      <c r="AH119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199" s="55" t="str">
        <f>IF(ESTIMATIVA[[#This Row],[TP_CULTIVO]]="Irrigado",_xlfn.MAXIFS(IRRIGADO!J:J,IRRIGADO!C:C,ESTIMATIVA[[#This Row],[CD_UPNIVEL1]],IRRIGADO!E:E,ESTIMATIVA[[#This Row],[CD_UPNIVEL3]]),"")</f>
        <v/>
      </c>
      <c r="AJ119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199" s="1">
        <f>COUNTIFS(Apresentação!$E$23:$E$29,ESTIMATIVA[[#This Row],[CD_UPNIVEL1]])</f>
        <v>0</v>
      </c>
    </row>
    <row r="1200" spans="1:37" x14ac:dyDescent="0.3">
      <c r="A1200">
        <v>20511</v>
      </c>
      <c r="B1200" t="s">
        <v>67</v>
      </c>
      <c r="C1200">
        <v>84</v>
      </c>
      <c r="D1200">
        <v>5</v>
      </c>
      <c r="E1200" t="s">
        <v>268</v>
      </c>
      <c r="F1200" s="85" t="s">
        <v>331</v>
      </c>
      <c r="G1200"/>
      <c r="H1200" t="s">
        <v>294</v>
      </c>
      <c r="I1200" t="s">
        <v>194</v>
      </c>
      <c r="J1200" t="s">
        <v>176</v>
      </c>
      <c r="K1200" s="1">
        <v>42.12</v>
      </c>
      <c r="L1200" s="1">
        <v>0</v>
      </c>
      <c r="M1200" s="1">
        <v>0</v>
      </c>
      <c r="N1200" s="1">
        <v>42.12</v>
      </c>
      <c r="O1200" s="1">
        <v>2106</v>
      </c>
      <c r="P1200" s="1">
        <v>0</v>
      </c>
      <c r="Q1200" s="1">
        <v>0</v>
      </c>
      <c r="R1200" s="1">
        <v>2511.42</v>
      </c>
      <c r="S1200" t="s">
        <v>12</v>
      </c>
      <c r="T1200" s="13">
        <v>45837</v>
      </c>
      <c r="U1200" s="1" t="str">
        <f>IF(ESTIMATIVA[[#This Row],[QT_AREA_REAL]]&gt;0,"1- Colhido","2- à Colher")</f>
        <v>1- Colhido</v>
      </c>
      <c r="V1200" s="1" t="str">
        <f>IF(ESTIMATIVA[[#This Row],[QT_AREA_REST1]]&gt;0,"Reestimativa 1",IF(ESTIMATIVA[[#This Row],[QT_AREA_REAL]]=0,"Reestimativa 1","Realizado"))</f>
        <v>Realizado</v>
      </c>
      <c r="W1200" s="1" t="str">
        <f>IF(ESTIMATIVA[[#This Row],[QT_AREA_REST2]]&gt;0,"Reestimativa 2",IF(ESTIMATIVA[[#This Row],[QT_AREA_REAL]]=0,"Reestimativa 2","Realizado"))</f>
        <v>Realizado</v>
      </c>
      <c r="X1200" s="1">
        <f>ESTIMATIVA[[#This Row],[QT_AREA_EST]]</f>
        <v>42.12</v>
      </c>
      <c r="Y1200" s="1">
        <f>IF(ESTIMATIVA[[#This Row],[QT_AREA_REST1]]&gt;0,ESTIMATIVA[[#This Row],[QT_AREA_REST1]],
  IF(ESTIMATIVA[[#This Row],[QT_AREA_REAL]]&gt;0,ESTIMATIVA[[#This Row],[QT_AREA_REAL]],ESTIMATIVA[[#This Row],[QT_AREA_EST]]))</f>
        <v>42.12</v>
      </c>
      <c r="Z120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42.12</v>
      </c>
      <c r="AA1200" s="1">
        <f>ESTIMATIVA[[#This Row],[QT_CANA_EST]]</f>
        <v>2106</v>
      </c>
      <c r="AB1200" s="1">
        <f>IF(ESTIMATIVA[[#This Row],[QT_CANA_REST1]]&gt;0,ESTIMATIVA[[#This Row],[QT_CANA_REST1]],
  IF(ESTIMATIVA[[#This Row],[QT_CANA_REAL]]&gt;0,ESTIMATIVA[[#This Row],[QT_CANA_REAL]],ESTIMATIVA[[#This Row],[QT_CANA_EST]]))</f>
        <v>2511.42</v>
      </c>
      <c r="AC120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2511.42</v>
      </c>
      <c r="AD1200" s="1">
        <f>IF(ESTIMATIVA[[#This Row],[QT_AREA_REAL]]&gt;0,ESTIMATIVA[[#This Row],[QT_CANA_REAL]],ESTIMATIVA[[#This Row],[QT_CANA_EST]])</f>
        <v>2511.42</v>
      </c>
      <c r="AE1200" s="1">
        <f>IF(ESTIMATIVA[[#This Row],[QT_AREA_REAL]]&gt;0,ESTIMATIVA[[#This Row],[QT_CANA_REAL]],ESTIMATIVA[[#This Row],[QT_CANA_REST1]])</f>
        <v>2511.42</v>
      </c>
      <c r="AF1200" s="1">
        <f>IF(ESTIMATIVA[[#This Row],[QT_AREA_REAL]]&gt;0,ESTIMATIVA[[#This Row],[QT_CANA_REAL]],ESTIMATIVA[[#This Row],[QT_CANA_REST2]])</f>
        <v>2511.42</v>
      </c>
      <c r="AG1200" s="1" t="str">
        <f>IF(COUNTIFS(GEADA!A:A,VALUE(ESTIMATIVA[[#This Row],[CD_UPNIVEL1]]&amp;TEXT(ESTIMATIVA[[#This Row],[CD_UPNIVEL3]],"0000")))&gt;0,"S","N")</f>
        <v>N</v>
      </c>
      <c r="AH120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00" s="55" t="str">
        <f>IF(ESTIMATIVA[[#This Row],[TP_CULTIVO]]="Irrigado",_xlfn.MAXIFS(IRRIGADO!J:J,IRRIGADO!C:C,ESTIMATIVA[[#This Row],[CD_UPNIVEL1]],IRRIGADO!E:E,ESTIMATIVA[[#This Row],[CD_UPNIVEL3]]),"")</f>
        <v/>
      </c>
      <c r="AJ120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00" s="1">
        <f>COUNTIFS(Apresentação!$E$23:$E$29,ESTIMATIVA[[#This Row],[CD_UPNIVEL1]])</f>
        <v>0</v>
      </c>
    </row>
    <row r="1201" spans="1:37" x14ac:dyDescent="0.3">
      <c r="A1201">
        <v>20511</v>
      </c>
      <c r="B1201" t="s">
        <v>67</v>
      </c>
      <c r="C1201">
        <v>85</v>
      </c>
      <c r="D1201">
        <v>5</v>
      </c>
      <c r="E1201" t="s">
        <v>268</v>
      </c>
      <c r="F1201" s="85" t="s">
        <v>331</v>
      </c>
      <c r="G1201"/>
      <c r="H1201" t="s">
        <v>294</v>
      </c>
      <c r="I1201" t="s">
        <v>194</v>
      </c>
      <c r="J1201" t="s">
        <v>176</v>
      </c>
      <c r="K1201" s="1">
        <v>21.65</v>
      </c>
      <c r="L1201" s="1">
        <v>0</v>
      </c>
      <c r="M1201" s="1">
        <v>0</v>
      </c>
      <c r="N1201" s="1">
        <v>21.65</v>
      </c>
      <c r="O1201" s="1">
        <v>1299</v>
      </c>
      <c r="P1201" s="1">
        <v>0</v>
      </c>
      <c r="Q1201" s="1">
        <v>0</v>
      </c>
      <c r="R1201" s="1">
        <v>1502.66</v>
      </c>
      <c r="S1201" t="s">
        <v>12</v>
      </c>
      <c r="T1201" s="13">
        <v>45837</v>
      </c>
      <c r="U1201" s="1" t="str">
        <f>IF(ESTIMATIVA[[#This Row],[QT_AREA_REAL]]&gt;0,"1- Colhido","2- à Colher")</f>
        <v>1- Colhido</v>
      </c>
      <c r="V1201" s="1" t="str">
        <f>IF(ESTIMATIVA[[#This Row],[QT_AREA_REST1]]&gt;0,"Reestimativa 1",IF(ESTIMATIVA[[#This Row],[QT_AREA_REAL]]=0,"Reestimativa 1","Realizado"))</f>
        <v>Realizado</v>
      </c>
      <c r="W1201" s="1" t="str">
        <f>IF(ESTIMATIVA[[#This Row],[QT_AREA_REST2]]&gt;0,"Reestimativa 2",IF(ESTIMATIVA[[#This Row],[QT_AREA_REAL]]=0,"Reestimativa 2","Realizado"))</f>
        <v>Realizado</v>
      </c>
      <c r="X1201" s="1">
        <f>ESTIMATIVA[[#This Row],[QT_AREA_EST]]</f>
        <v>21.65</v>
      </c>
      <c r="Y1201" s="1">
        <f>IF(ESTIMATIVA[[#This Row],[QT_AREA_REST1]]&gt;0,ESTIMATIVA[[#This Row],[QT_AREA_REST1]],
  IF(ESTIMATIVA[[#This Row],[QT_AREA_REAL]]&gt;0,ESTIMATIVA[[#This Row],[QT_AREA_REAL]],ESTIMATIVA[[#This Row],[QT_AREA_EST]]))</f>
        <v>21.65</v>
      </c>
      <c r="Z120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21.65</v>
      </c>
      <c r="AA1201" s="1">
        <f>ESTIMATIVA[[#This Row],[QT_CANA_EST]]</f>
        <v>1299</v>
      </c>
      <c r="AB1201" s="1">
        <f>IF(ESTIMATIVA[[#This Row],[QT_CANA_REST1]]&gt;0,ESTIMATIVA[[#This Row],[QT_CANA_REST1]],
  IF(ESTIMATIVA[[#This Row],[QT_CANA_REAL]]&gt;0,ESTIMATIVA[[#This Row],[QT_CANA_REAL]],ESTIMATIVA[[#This Row],[QT_CANA_EST]]))</f>
        <v>1502.66</v>
      </c>
      <c r="AC120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1502.66</v>
      </c>
      <c r="AD1201" s="1">
        <f>IF(ESTIMATIVA[[#This Row],[QT_AREA_REAL]]&gt;0,ESTIMATIVA[[#This Row],[QT_CANA_REAL]],ESTIMATIVA[[#This Row],[QT_CANA_EST]])</f>
        <v>1502.66</v>
      </c>
      <c r="AE1201" s="1">
        <f>IF(ESTIMATIVA[[#This Row],[QT_AREA_REAL]]&gt;0,ESTIMATIVA[[#This Row],[QT_CANA_REAL]],ESTIMATIVA[[#This Row],[QT_CANA_REST1]])</f>
        <v>1502.66</v>
      </c>
      <c r="AF1201" s="1">
        <f>IF(ESTIMATIVA[[#This Row],[QT_AREA_REAL]]&gt;0,ESTIMATIVA[[#This Row],[QT_CANA_REAL]],ESTIMATIVA[[#This Row],[QT_CANA_REST2]])</f>
        <v>1502.66</v>
      </c>
      <c r="AG1201" s="1" t="str">
        <f>IF(COUNTIFS(GEADA!A:A,VALUE(ESTIMATIVA[[#This Row],[CD_UPNIVEL1]]&amp;TEXT(ESTIMATIVA[[#This Row],[CD_UPNIVEL3]],"0000")))&gt;0,"S","N")</f>
        <v>N</v>
      </c>
      <c r="AH120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01" s="55" t="str">
        <f>IF(ESTIMATIVA[[#This Row],[TP_CULTIVO]]="Irrigado",_xlfn.MAXIFS(IRRIGADO!J:J,IRRIGADO!C:C,ESTIMATIVA[[#This Row],[CD_UPNIVEL1]],IRRIGADO!E:E,ESTIMATIVA[[#This Row],[CD_UPNIVEL3]]),"")</f>
        <v/>
      </c>
      <c r="AJ120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01" s="1">
        <f>COUNTIFS(Apresentação!$E$23:$E$29,ESTIMATIVA[[#This Row],[CD_UPNIVEL1]])</f>
        <v>0</v>
      </c>
    </row>
    <row r="1202" spans="1:37" x14ac:dyDescent="0.3">
      <c r="A1202">
        <v>20511</v>
      </c>
      <c r="B1202" t="s">
        <v>67</v>
      </c>
      <c r="C1202">
        <v>86</v>
      </c>
      <c r="D1202">
        <v>5</v>
      </c>
      <c r="E1202" t="s">
        <v>268</v>
      </c>
      <c r="F1202" s="85" t="s">
        <v>331</v>
      </c>
      <c r="G1202"/>
      <c r="H1202" t="s">
        <v>294</v>
      </c>
      <c r="I1202" t="s">
        <v>202</v>
      </c>
      <c r="J1202" t="s">
        <v>176</v>
      </c>
      <c r="K1202" s="1">
        <v>21.96</v>
      </c>
      <c r="L1202" s="1">
        <v>0</v>
      </c>
      <c r="M1202" s="1">
        <v>0</v>
      </c>
      <c r="N1202" s="1">
        <v>21.96</v>
      </c>
      <c r="O1202" s="1">
        <v>878.4</v>
      </c>
      <c r="P1202" s="1">
        <v>0</v>
      </c>
      <c r="Q1202" s="1">
        <v>0</v>
      </c>
      <c r="R1202" s="1">
        <v>1015.63</v>
      </c>
      <c r="S1202" t="s">
        <v>12</v>
      </c>
      <c r="T1202" s="13">
        <v>45837</v>
      </c>
      <c r="U1202" s="1" t="str">
        <f>IF(ESTIMATIVA[[#This Row],[QT_AREA_REAL]]&gt;0,"1- Colhido","2- à Colher")</f>
        <v>1- Colhido</v>
      </c>
      <c r="V1202" s="1" t="str">
        <f>IF(ESTIMATIVA[[#This Row],[QT_AREA_REST1]]&gt;0,"Reestimativa 1",IF(ESTIMATIVA[[#This Row],[QT_AREA_REAL]]=0,"Reestimativa 1","Realizado"))</f>
        <v>Realizado</v>
      </c>
      <c r="W1202" s="1" t="str">
        <f>IF(ESTIMATIVA[[#This Row],[QT_AREA_REST2]]&gt;0,"Reestimativa 2",IF(ESTIMATIVA[[#This Row],[QT_AREA_REAL]]=0,"Reestimativa 2","Realizado"))</f>
        <v>Realizado</v>
      </c>
      <c r="X1202" s="1">
        <f>ESTIMATIVA[[#This Row],[QT_AREA_EST]]</f>
        <v>21.96</v>
      </c>
      <c r="Y1202" s="1">
        <f>IF(ESTIMATIVA[[#This Row],[QT_AREA_REST1]]&gt;0,ESTIMATIVA[[#This Row],[QT_AREA_REST1]],
  IF(ESTIMATIVA[[#This Row],[QT_AREA_REAL]]&gt;0,ESTIMATIVA[[#This Row],[QT_AREA_REAL]],ESTIMATIVA[[#This Row],[QT_AREA_EST]]))</f>
        <v>21.96</v>
      </c>
      <c r="Z120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21.96</v>
      </c>
      <c r="AA1202" s="1">
        <f>ESTIMATIVA[[#This Row],[QT_CANA_EST]]</f>
        <v>878.4</v>
      </c>
      <c r="AB1202" s="1">
        <f>IF(ESTIMATIVA[[#This Row],[QT_CANA_REST1]]&gt;0,ESTIMATIVA[[#This Row],[QT_CANA_REST1]],
  IF(ESTIMATIVA[[#This Row],[QT_CANA_REAL]]&gt;0,ESTIMATIVA[[#This Row],[QT_CANA_REAL]],ESTIMATIVA[[#This Row],[QT_CANA_EST]]))</f>
        <v>1015.63</v>
      </c>
      <c r="AC120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1015.63</v>
      </c>
      <c r="AD1202" s="1">
        <f>IF(ESTIMATIVA[[#This Row],[QT_AREA_REAL]]&gt;0,ESTIMATIVA[[#This Row],[QT_CANA_REAL]],ESTIMATIVA[[#This Row],[QT_CANA_EST]])</f>
        <v>1015.63</v>
      </c>
      <c r="AE1202" s="1">
        <f>IF(ESTIMATIVA[[#This Row],[QT_AREA_REAL]]&gt;0,ESTIMATIVA[[#This Row],[QT_CANA_REAL]],ESTIMATIVA[[#This Row],[QT_CANA_REST1]])</f>
        <v>1015.63</v>
      </c>
      <c r="AF1202" s="1">
        <f>IF(ESTIMATIVA[[#This Row],[QT_AREA_REAL]]&gt;0,ESTIMATIVA[[#This Row],[QT_CANA_REAL]],ESTIMATIVA[[#This Row],[QT_CANA_REST2]])</f>
        <v>1015.63</v>
      </c>
      <c r="AG1202" s="1" t="str">
        <f>IF(COUNTIFS(GEADA!A:A,VALUE(ESTIMATIVA[[#This Row],[CD_UPNIVEL1]]&amp;TEXT(ESTIMATIVA[[#This Row],[CD_UPNIVEL3]],"0000")))&gt;0,"S","N")</f>
        <v>N</v>
      </c>
      <c r="AH120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02" s="55" t="str">
        <f>IF(ESTIMATIVA[[#This Row],[TP_CULTIVO]]="Irrigado",_xlfn.MAXIFS(IRRIGADO!J:J,IRRIGADO!C:C,ESTIMATIVA[[#This Row],[CD_UPNIVEL1]],IRRIGADO!E:E,ESTIMATIVA[[#This Row],[CD_UPNIVEL3]]),"")</f>
        <v/>
      </c>
      <c r="AJ120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02" s="1">
        <f>COUNTIFS(Apresentação!$E$23:$E$29,ESTIMATIVA[[#This Row],[CD_UPNIVEL1]])</f>
        <v>0</v>
      </c>
    </row>
    <row r="1203" spans="1:37" x14ac:dyDescent="0.3">
      <c r="A1203">
        <v>20511</v>
      </c>
      <c r="B1203" t="s">
        <v>67</v>
      </c>
      <c r="C1203">
        <v>87</v>
      </c>
      <c r="D1203">
        <v>5</v>
      </c>
      <c r="E1203" t="s">
        <v>268</v>
      </c>
      <c r="F1203" s="85" t="s">
        <v>331</v>
      </c>
      <c r="G1203"/>
      <c r="H1203" t="s">
        <v>294</v>
      </c>
      <c r="I1203" t="s">
        <v>194</v>
      </c>
      <c r="J1203" t="s">
        <v>176</v>
      </c>
      <c r="K1203" s="1">
        <v>14.13</v>
      </c>
      <c r="L1203" s="1">
        <v>0</v>
      </c>
      <c r="M1203" s="1">
        <v>0</v>
      </c>
      <c r="N1203" s="1">
        <v>14.13</v>
      </c>
      <c r="O1203" s="1">
        <v>706.5</v>
      </c>
      <c r="P1203" s="1">
        <v>0</v>
      </c>
      <c r="Q1203" s="1">
        <v>0</v>
      </c>
      <c r="R1203" s="1">
        <v>817.81</v>
      </c>
      <c r="S1203" t="s">
        <v>12</v>
      </c>
      <c r="T1203" s="13">
        <v>45837</v>
      </c>
      <c r="U1203" s="1" t="str">
        <f>IF(ESTIMATIVA[[#This Row],[QT_AREA_REAL]]&gt;0,"1- Colhido","2- à Colher")</f>
        <v>1- Colhido</v>
      </c>
      <c r="V1203" s="1" t="str">
        <f>IF(ESTIMATIVA[[#This Row],[QT_AREA_REST1]]&gt;0,"Reestimativa 1",IF(ESTIMATIVA[[#This Row],[QT_AREA_REAL]]=0,"Reestimativa 1","Realizado"))</f>
        <v>Realizado</v>
      </c>
      <c r="W1203" s="1" t="str">
        <f>IF(ESTIMATIVA[[#This Row],[QT_AREA_REST2]]&gt;0,"Reestimativa 2",IF(ESTIMATIVA[[#This Row],[QT_AREA_REAL]]=0,"Reestimativa 2","Realizado"))</f>
        <v>Realizado</v>
      </c>
      <c r="X1203" s="1">
        <f>ESTIMATIVA[[#This Row],[QT_AREA_EST]]</f>
        <v>14.13</v>
      </c>
      <c r="Y1203" s="1">
        <f>IF(ESTIMATIVA[[#This Row],[QT_AREA_REST1]]&gt;0,ESTIMATIVA[[#This Row],[QT_AREA_REST1]],
  IF(ESTIMATIVA[[#This Row],[QT_AREA_REAL]]&gt;0,ESTIMATIVA[[#This Row],[QT_AREA_REAL]],ESTIMATIVA[[#This Row],[QT_AREA_EST]]))</f>
        <v>14.13</v>
      </c>
      <c r="Z120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14.13</v>
      </c>
      <c r="AA1203" s="1">
        <f>ESTIMATIVA[[#This Row],[QT_CANA_EST]]</f>
        <v>706.5</v>
      </c>
      <c r="AB1203" s="1">
        <f>IF(ESTIMATIVA[[#This Row],[QT_CANA_REST1]]&gt;0,ESTIMATIVA[[#This Row],[QT_CANA_REST1]],
  IF(ESTIMATIVA[[#This Row],[QT_CANA_REAL]]&gt;0,ESTIMATIVA[[#This Row],[QT_CANA_REAL]],ESTIMATIVA[[#This Row],[QT_CANA_EST]]))</f>
        <v>817.81</v>
      </c>
      <c r="AC120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817.81</v>
      </c>
      <c r="AD1203" s="1">
        <f>IF(ESTIMATIVA[[#This Row],[QT_AREA_REAL]]&gt;0,ESTIMATIVA[[#This Row],[QT_CANA_REAL]],ESTIMATIVA[[#This Row],[QT_CANA_EST]])</f>
        <v>817.81</v>
      </c>
      <c r="AE1203" s="1">
        <f>IF(ESTIMATIVA[[#This Row],[QT_AREA_REAL]]&gt;0,ESTIMATIVA[[#This Row],[QT_CANA_REAL]],ESTIMATIVA[[#This Row],[QT_CANA_REST1]])</f>
        <v>817.81</v>
      </c>
      <c r="AF1203" s="1">
        <f>IF(ESTIMATIVA[[#This Row],[QT_AREA_REAL]]&gt;0,ESTIMATIVA[[#This Row],[QT_CANA_REAL]],ESTIMATIVA[[#This Row],[QT_CANA_REST2]])</f>
        <v>817.81</v>
      </c>
      <c r="AG1203" s="1" t="str">
        <f>IF(COUNTIFS(GEADA!A:A,VALUE(ESTIMATIVA[[#This Row],[CD_UPNIVEL1]]&amp;TEXT(ESTIMATIVA[[#This Row],[CD_UPNIVEL3]],"0000")))&gt;0,"S","N")</f>
        <v>N</v>
      </c>
      <c r="AH120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03" s="55" t="str">
        <f>IF(ESTIMATIVA[[#This Row],[TP_CULTIVO]]="Irrigado",_xlfn.MAXIFS(IRRIGADO!J:J,IRRIGADO!C:C,ESTIMATIVA[[#This Row],[CD_UPNIVEL1]],IRRIGADO!E:E,ESTIMATIVA[[#This Row],[CD_UPNIVEL3]]),"")</f>
        <v/>
      </c>
      <c r="AJ120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03" s="1">
        <f>COUNTIFS(Apresentação!$E$23:$E$29,ESTIMATIVA[[#This Row],[CD_UPNIVEL1]])</f>
        <v>0</v>
      </c>
    </row>
    <row r="1204" spans="1:37" x14ac:dyDescent="0.3">
      <c r="A1204">
        <v>20511</v>
      </c>
      <c r="B1204" t="s">
        <v>67</v>
      </c>
      <c r="C1204">
        <v>88</v>
      </c>
      <c r="D1204">
        <v>5</v>
      </c>
      <c r="E1204" t="s">
        <v>268</v>
      </c>
      <c r="F1204" s="85" t="s">
        <v>331</v>
      </c>
      <c r="G1204"/>
      <c r="H1204" t="s">
        <v>294</v>
      </c>
      <c r="I1204" t="s">
        <v>202</v>
      </c>
      <c r="J1204" t="s">
        <v>176</v>
      </c>
      <c r="K1204" s="1">
        <v>8.3800000000000008</v>
      </c>
      <c r="L1204" s="1">
        <v>0</v>
      </c>
      <c r="M1204" s="1">
        <v>0</v>
      </c>
      <c r="N1204" s="1">
        <v>8.3800000000000008</v>
      </c>
      <c r="O1204" s="1">
        <v>419</v>
      </c>
      <c r="P1204" s="1">
        <v>0</v>
      </c>
      <c r="Q1204" s="1">
        <v>0</v>
      </c>
      <c r="R1204" s="1">
        <v>484.66</v>
      </c>
      <c r="S1204" t="s">
        <v>12</v>
      </c>
      <c r="T1204" s="13">
        <v>45837</v>
      </c>
      <c r="U1204" s="1" t="str">
        <f>IF(ESTIMATIVA[[#This Row],[QT_AREA_REAL]]&gt;0,"1- Colhido","2- à Colher")</f>
        <v>1- Colhido</v>
      </c>
      <c r="V1204" s="1" t="str">
        <f>IF(ESTIMATIVA[[#This Row],[QT_AREA_REST1]]&gt;0,"Reestimativa 1",IF(ESTIMATIVA[[#This Row],[QT_AREA_REAL]]=0,"Reestimativa 1","Realizado"))</f>
        <v>Realizado</v>
      </c>
      <c r="W1204" s="1" t="str">
        <f>IF(ESTIMATIVA[[#This Row],[QT_AREA_REST2]]&gt;0,"Reestimativa 2",IF(ESTIMATIVA[[#This Row],[QT_AREA_REAL]]=0,"Reestimativa 2","Realizado"))</f>
        <v>Realizado</v>
      </c>
      <c r="X1204" s="1">
        <f>ESTIMATIVA[[#This Row],[QT_AREA_EST]]</f>
        <v>8.3800000000000008</v>
      </c>
      <c r="Y1204" s="1">
        <f>IF(ESTIMATIVA[[#This Row],[QT_AREA_REST1]]&gt;0,ESTIMATIVA[[#This Row],[QT_AREA_REST1]],
  IF(ESTIMATIVA[[#This Row],[QT_AREA_REAL]]&gt;0,ESTIMATIVA[[#This Row],[QT_AREA_REAL]],ESTIMATIVA[[#This Row],[QT_AREA_EST]]))</f>
        <v>8.3800000000000008</v>
      </c>
      <c r="Z120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8.3800000000000008</v>
      </c>
      <c r="AA1204" s="1">
        <f>ESTIMATIVA[[#This Row],[QT_CANA_EST]]</f>
        <v>419</v>
      </c>
      <c r="AB1204" s="1">
        <f>IF(ESTIMATIVA[[#This Row],[QT_CANA_REST1]]&gt;0,ESTIMATIVA[[#This Row],[QT_CANA_REST1]],
  IF(ESTIMATIVA[[#This Row],[QT_CANA_REAL]]&gt;0,ESTIMATIVA[[#This Row],[QT_CANA_REAL]],ESTIMATIVA[[#This Row],[QT_CANA_EST]]))</f>
        <v>484.66</v>
      </c>
      <c r="AC120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484.66</v>
      </c>
      <c r="AD1204" s="1">
        <f>IF(ESTIMATIVA[[#This Row],[QT_AREA_REAL]]&gt;0,ESTIMATIVA[[#This Row],[QT_CANA_REAL]],ESTIMATIVA[[#This Row],[QT_CANA_EST]])</f>
        <v>484.66</v>
      </c>
      <c r="AE1204" s="1">
        <f>IF(ESTIMATIVA[[#This Row],[QT_AREA_REAL]]&gt;0,ESTIMATIVA[[#This Row],[QT_CANA_REAL]],ESTIMATIVA[[#This Row],[QT_CANA_REST1]])</f>
        <v>484.66</v>
      </c>
      <c r="AF1204" s="1">
        <f>IF(ESTIMATIVA[[#This Row],[QT_AREA_REAL]]&gt;0,ESTIMATIVA[[#This Row],[QT_CANA_REAL]],ESTIMATIVA[[#This Row],[QT_CANA_REST2]])</f>
        <v>484.66</v>
      </c>
      <c r="AG1204" s="1" t="str">
        <f>IF(COUNTIFS(GEADA!A:A,VALUE(ESTIMATIVA[[#This Row],[CD_UPNIVEL1]]&amp;TEXT(ESTIMATIVA[[#This Row],[CD_UPNIVEL3]],"0000")))&gt;0,"S","N")</f>
        <v>N</v>
      </c>
      <c r="AH120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04" s="55" t="str">
        <f>IF(ESTIMATIVA[[#This Row],[TP_CULTIVO]]="Irrigado",_xlfn.MAXIFS(IRRIGADO!J:J,IRRIGADO!C:C,ESTIMATIVA[[#This Row],[CD_UPNIVEL1]],IRRIGADO!E:E,ESTIMATIVA[[#This Row],[CD_UPNIVEL3]]),"")</f>
        <v/>
      </c>
      <c r="AJ120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04" s="1">
        <f>COUNTIFS(Apresentação!$E$23:$E$29,ESTIMATIVA[[#This Row],[CD_UPNIVEL1]])</f>
        <v>0</v>
      </c>
    </row>
    <row r="1205" spans="1:37" x14ac:dyDescent="0.3">
      <c r="A1205">
        <v>20511</v>
      </c>
      <c r="B1205" t="s">
        <v>67</v>
      </c>
      <c r="C1205">
        <v>89</v>
      </c>
      <c r="D1205">
        <v>5</v>
      </c>
      <c r="E1205" t="s">
        <v>268</v>
      </c>
      <c r="F1205" s="85" t="s">
        <v>331</v>
      </c>
      <c r="G1205"/>
      <c r="H1205" t="s">
        <v>294</v>
      </c>
      <c r="I1205" t="s">
        <v>194</v>
      </c>
      <c r="J1205" t="s">
        <v>176</v>
      </c>
      <c r="K1205" s="1">
        <v>5.48</v>
      </c>
      <c r="L1205" s="1">
        <v>0</v>
      </c>
      <c r="M1205" s="1">
        <v>0</v>
      </c>
      <c r="N1205" s="1">
        <v>5.48</v>
      </c>
      <c r="O1205" s="1">
        <v>274</v>
      </c>
      <c r="P1205" s="1">
        <v>0</v>
      </c>
      <c r="Q1205" s="1">
        <v>0</v>
      </c>
      <c r="R1205" s="1">
        <v>317.19</v>
      </c>
      <c r="S1205" t="s">
        <v>12</v>
      </c>
      <c r="T1205" s="13">
        <v>45837</v>
      </c>
      <c r="U1205" s="1" t="str">
        <f>IF(ESTIMATIVA[[#This Row],[QT_AREA_REAL]]&gt;0,"1- Colhido","2- à Colher")</f>
        <v>1- Colhido</v>
      </c>
      <c r="V1205" s="1" t="str">
        <f>IF(ESTIMATIVA[[#This Row],[QT_AREA_REST1]]&gt;0,"Reestimativa 1",IF(ESTIMATIVA[[#This Row],[QT_AREA_REAL]]=0,"Reestimativa 1","Realizado"))</f>
        <v>Realizado</v>
      </c>
      <c r="W1205" s="1" t="str">
        <f>IF(ESTIMATIVA[[#This Row],[QT_AREA_REST2]]&gt;0,"Reestimativa 2",IF(ESTIMATIVA[[#This Row],[QT_AREA_REAL]]=0,"Reestimativa 2","Realizado"))</f>
        <v>Realizado</v>
      </c>
      <c r="X1205" s="1">
        <f>ESTIMATIVA[[#This Row],[QT_AREA_EST]]</f>
        <v>5.48</v>
      </c>
      <c r="Y1205" s="1">
        <f>IF(ESTIMATIVA[[#This Row],[QT_AREA_REST1]]&gt;0,ESTIMATIVA[[#This Row],[QT_AREA_REST1]],
  IF(ESTIMATIVA[[#This Row],[QT_AREA_REAL]]&gt;0,ESTIMATIVA[[#This Row],[QT_AREA_REAL]],ESTIMATIVA[[#This Row],[QT_AREA_EST]]))</f>
        <v>5.48</v>
      </c>
      <c r="Z120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5.48</v>
      </c>
      <c r="AA1205" s="1">
        <f>ESTIMATIVA[[#This Row],[QT_CANA_EST]]</f>
        <v>274</v>
      </c>
      <c r="AB1205" s="1">
        <f>IF(ESTIMATIVA[[#This Row],[QT_CANA_REST1]]&gt;0,ESTIMATIVA[[#This Row],[QT_CANA_REST1]],
  IF(ESTIMATIVA[[#This Row],[QT_CANA_REAL]]&gt;0,ESTIMATIVA[[#This Row],[QT_CANA_REAL]],ESTIMATIVA[[#This Row],[QT_CANA_EST]]))</f>
        <v>317.19</v>
      </c>
      <c r="AC120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317.19</v>
      </c>
      <c r="AD1205" s="1">
        <f>IF(ESTIMATIVA[[#This Row],[QT_AREA_REAL]]&gt;0,ESTIMATIVA[[#This Row],[QT_CANA_REAL]],ESTIMATIVA[[#This Row],[QT_CANA_EST]])</f>
        <v>317.19</v>
      </c>
      <c r="AE1205" s="1">
        <f>IF(ESTIMATIVA[[#This Row],[QT_AREA_REAL]]&gt;0,ESTIMATIVA[[#This Row],[QT_CANA_REAL]],ESTIMATIVA[[#This Row],[QT_CANA_REST1]])</f>
        <v>317.19</v>
      </c>
      <c r="AF1205" s="1">
        <f>IF(ESTIMATIVA[[#This Row],[QT_AREA_REAL]]&gt;0,ESTIMATIVA[[#This Row],[QT_CANA_REAL]],ESTIMATIVA[[#This Row],[QT_CANA_REST2]])</f>
        <v>317.19</v>
      </c>
      <c r="AG1205" s="1" t="str">
        <f>IF(COUNTIFS(GEADA!A:A,VALUE(ESTIMATIVA[[#This Row],[CD_UPNIVEL1]]&amp;TEXT(ESTIMATIVA[[#This Row],[CD_UPNIVEL3]],"0000")))&gt;0,"S","N")</f>
        <v>N</v>
      </c>
      <c r="AH120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05" s="55" t="str">
        <f>IF(ESTIMATIVA[[#This Row],[TP_CULTIVO]]="Irrigado",_xlfn.MAXIFS(IRRIGADO!J:J,IRRIGADO!C:C,ESTIMATIVA[[#This Row],[CD_UPNIVEL1]],IRRIGADO!E:E,ESTIMATIVA[[#This Row],[CD_UPNIVEL3]]),"")</f>
        <v/>
      </c>
      <c r="AJ120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05" s="1">
        <f>COUNTIFS(Apresentação!$E$23:$E$29,ESTIMATIVA[[#This Row],[CD_UPNIVEL1]])</f>
        <v>0</v>
      </c>
    </row>
    <row r="1206" spans="1:37" x14ac:dyDescent="0.3">
      <c r="A1206">
        <v>20511</v>
      </c>
      <c r="B1206" t="s">
        <v>67</v>
      </c>
      <c r="C1206">
        <v>90</v>
      </c>
      <c r="D1206">
        <v>5</v>
      </c>
      <c r="E1206" t="s">
        <v>268</v>
      </c>
      <c r="F1206" s="85" t="s">
        <v>331</v>
      </c>
      <c r="G1206"/>
      <c r="H1206" t="s">
        <v>294</v>
      </c>
      <c r="I1206" t="s">
        <v>194</v>
      </c>
      <c r="J1206" t="s">
        <v>176</v>
      </c>
      <c r="K1206" s="1">
        <v>12.11</v>
      </c>
      <c r="L1206" s="1">
        <v>0</v>
      </c>
      <c r="M1206" s="1">
        <v>0</v>
      </c>
      <c r="N1206" s="1">
        <v>12.11</v>
      </c>
      <c r="O1206" s="1">
        <v>484.4</v>
      </c>
      <c r="P1206" s="1">
        <v>0</v>
      </c>
      <c r="Q1206" s="1">
        <v>0</v>
      </c>
      <c r="R1206" s="1">
        <v>585.29999999999995</v>
      </c>
      <c r="S1206" t="s">
        <v>12</v>
      </c>
      <c r="T1206" s="13">
        <v>45837</v>
      </c>
      <c r="U1206" s="1" t="str">
        <f>IF(ESTIMATIVA[[#This Row],[QT_AREA_REAL]]&gt;0,"1- Colhido","2- à Colher")</f>
        <v>1- Colhido</v>
      </c>
      <c r="V1206" s="1" t="str">
        <f>IF(ESTIMATIVA[[#This Row],[QT_AREA_REST1]]&gt;0,"Reestimativa 1",IF(ESTIMATIVA[[#This Row],[QT_AREA_REAL]]=0,"Reestimativa 1","Realizado"))</f>
        <v>Realizado</v>
      </c>
      <c r="W1206" s="1" t="str">
        <f>IF(ESTIMATIVA[[#This Row],[QT_AREA_REST2]]&gt;0,"Reestimativa 2",IF(ESTIMATIVA[[#This Row],[QT_AREA_REAL]]=0,"Reestimativa 2","Realizado"))</f>
        <v>Realizado</v>
      </c>
      <c r="X1206" s="1">
        <f>ESTIMATIVA[[#This Row],[QT_AREA_EST]]</f>
        <v>12.11</v>
      </c>
      <c r="Y1206" s="1">
        <f>IF(ESTIMATIVA[[#This Row],[QT_AREA_REST1]]&gt;0,ESTIMATIVA[[#This Row],[QT_AREA_REST1]],
  IF(ESTIMATIVA[[#This Row],[QT_AREA_REAL]]&gt;0,ESTIMATIVA[[#This Row],[QT_AREA_REAL]],ESTIMATIVA[[#This Row],[QT_AREA_EST]]))</f>
        <v>12.11</v>
      </c>
      <c r="Z120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12.11</v>
      </c>
      <c r="AA1206" s="1">
        <f>ESTIMATIVA[[#This Row],[QT_CANA_EST]]</f>
        <v>484.4</v>
      </c>
      <c r="AB1206" s="1">
        <f>IF(ESTIMATIVA[[#This Row],[QT_CANA_REST1]]&gt;0,ESTIMATIVA[[#This Row],[QT_CANA_REST1]],
  IF(ESTIMATIVA[[#This Row],[QT_CANA_REAL]]&gt;0,ESTIMATIVA[[#This Row],[QT_CANA_REAL]],ESTIMATIVA[[#This Row],[QT_CANA_EST]]))</f>
        <v>585.29999999999995</v>
      </c>
      <c r="AC120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585.29999999999995</v>
      </c>
      <c r="AD1206" s="1">
        <f>IF(ESTIMATIVA[[#This Row],[QT_AREA_REAL]]&gt;0,ESTIMATIVA[[#This Row],[QT_CANA_REAL]],ESTIMATIVA[[#This Row],[QT_CANA_EST]])</f>
        <v>585.29999999999995</v>
      </c>
      <c r="AE1206" s="1">
        <f>IF(ESTIMATIVA[[#This Row],[QT_AREA_REAL]]&gt;0,ESTIMATIVA[[#This Row],[QT_CANA_REAL]],ESTIMATIVA[[#This Row],[QT_CANA_REST1]])</f>
        <v>585.29999999999995</v>
      </c>
      <c r="AF1206" s="1">
        <f>IF(ESTIMATIVA[[#This Row],[QT_AREA_REAL]]&gt;0,ESTIMATIVA[[#This Row],[QT_CANA_REAL]],ESTIMATIVA[[#This Row],[QT_CANA_REST2]])</f>
        <v>585.29999999999995</v>
      </c>
      <c r="AG1206" s="1" t="str">
        <f>IF(COUNTIFS(GEADA!A:A,VALUE(ESTIMATIVA[[#This Row],[CD_UPNIVEL1]]&amp;TEXT(ESTIMATIVA[[#This Row],[CD_UPNIVEL3]],"0000")))&gt;0,"S","N")</f>
        <v>N</v>
      </c>
      <c r="AH120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06" s="55" t="str">
        <f>IF(ESTIMATIVA[[#This Row],[TP_CULTIVO]]="Irrigado",_xlfn.MAXIFS(IRRIGADO!J:J,IRRIGADO!C:C,ESTIMATIVA[[#This Row],[CD_UPNIVEL1]],IRRIGADO!E:E,ESTIMATIVA[[#This Row],[CD_UPNIVEL3]]),"")</f>
        <v/>
      </c>
      <c r="AJ120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06" s="1">
        <f>COUNTIFS(Apresentação!$E$23:$E$29,ESTIMATIVA[[#This Row],[CD_UPNIVEL1]])</f>
        <v>0</v>
      </c>
    </row>
    <row r="1207" spans="1:37" x14ac:dyDescent="0.3">
      <c r="A1207">
        <v>20511</v>
      </c>
      <c r="B1207" t="s">
        <v>67</v>
      </c>
      <c r="C1207">
        <v>91</v>
      </c>
      <c r="D1207">
        <v>5</v>
      </c>
      <c r="E1207" t="s">
        <v>268</v>
      </c>
      <c r="F1207" s="85" t="s">
        <v>331</v>
      </c>
      <c r="G1207"/>
      <c r="H1207" t="s">
        <v>294</v>
      </c>
      <c r="I1207" t="s">
        <v>194</v>
      </c>
      <c r="J1207" t="s">
        <v>176</v>
      </c>
      <c r="K1207" s="1">
        <v>7.74</v>
      </c>
      <c r="L1207" s="1">
        <v>0</v>
      </c>
      <c r="M1207" s="1">
        <v>0</v>
      </c>
      <c r="N1207" s="1">
        <v>7.74</v>
      </c>
      <c r="O1207" s="1">
        <v>495.36</v>
      </c>
      <c r="P1207" s="1">
        <v>0</v>
      </c>
      <c r="Q1207" s="1">
        <v>0</v>
      </c>
      <c r="R1207" s="1">
        <v>598.6</v>
      </c>
      <c r="S1207" t="s">
        <v>12</v>
      </c>
      <c r="T1207" s="13">
        <v>45837</v>
      </c>
      <c r="U1207" s="1" t="str">
        <f>IF(ESTIMATIVA[[#This Row],[QT_AREA_REAL]]&gt;0,"1- Colhido","2- à Colher")</f>
        <v>1- Colhido</v>
      </c>
      <c r="V1207" s="1" t="str">
        <f>IF(ESTIMATIVA[[#This Row],[QT_AREA_REST1]]&gt;0,"Reestimativa 1",IF(ESTIMATIVA[[#This Row],[QT_AREA_REAL]]=0,"Reestimativa 1","Realizado"))</f>
        <v>Realizado</v>
      </c>
      <c r="W1207" s="1" t="str">
        <f>IF(ESTIMATIVA[[#This Row],[QT_AREA_REST2]]&gt;0,"Reestimativa 2",IF(ESTIMATIVA[[#This Row],[QT_AREA_REAL]]=0,"Reestimativa 2","Realizado"))</f>
        <v>Realizado</v>
      </c>
      <c r="X1207" s="1">
        <f>ESTIMATIVA[[#This Row],[QT_AREA_EST]]</f>
        <v>7.74</v>
      </c>
      <c r="Y1207" s="1">
        <f>IF(ESTIMATIVA[[#This Row],[QT_AREA_REST1]]&gt;0,ESTIMATIVA[[#This Row],[QT_AREA_REST1]],
  IF(ESTIMATIVA[[#This Row],[QT_AREA_REAL]]&gt;0,ESTIMATIVA[[#This Row],[QT_AREA_REAL]],ESTIMATIVA[[#This Row],[QT_AREA_EST]]))</f>
        <v>7.74</v>
      </c>
      <c r="Z120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7.74</v>
      </c>
      <c r="AA1207" s="1">
        <f>ESTIMATIVA[[#This Row],[QT_CANA_EST]]</f>
        <v>495.36</v>
      </c>
      <c r="AB1207" s="1">
        <f>IF(ESTIMATIVA[[#This Row],[QT_CANA_REST1]]&gt;0,ESTIMATIVA[[#This Row],[QT_CANA_REST1]],
  IF(ESTIMATIVA[[#This Row],[QT_CANA_REAL]]&gt;0,ESTIMATIVA[[#This Row],[QT_CANA_REAL]],ESTIMATIVA[[#This Row],[QT_CANA_EST]]))</f>
        <v>598.6</v>
      </c>
      <c r="AC120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598.6</v>
      </c>
      <c r="AD1207" s="1">
        <f>IF(ESTIMATIVA[[#This Row],[QT_AREA_REAL]]&gt;0,ESTIMATIVA[[#This Row],[QT_CANA_REAL]],ESTIMATIVA[[#This Row],[QT_CANA_EST]])</f>
        <v>598.6</v>
      </c>
      <c r="AE1207" s="1">
        <f>IF(ESTIMATIVA[[#This Row],[QT_AREA_REAL]]&gt;0,ESTIMATIVA[[#This Row],[QT_CANA_REAL]],ESTIMATIVA[[#This Row],[QT_CANA_REST1]])</f>
        <v>598.6</v>
      </c>
      <c r="AF1207" s="1">
        <f>IF(ESTIMATIVA[[#This Row],[QT_AREA_REAL]]&gt;0,ESTIMATIVA[[#This Row],[QT_CANA_REAL]],ESTIMATIVA[[#This Row],[QT_CANA_REST2]])</f>
        <v>598.6</v>
      </c>
      <c r="AG1207" s="1" t="str">
        <f>IF(COUNTIFS(GEADA!A:A,VALUE(ESTIMATIVA[[#This Row],[CD_UPNIVEL1]]&amp;TEXT(ESTIMATIVA[[#This Row],[CD_UPNIVEL3]],"0000")))&gt;0,"S","N")</f>
        <v>N</v>
      </c>
      <c r="AH120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07" s="55" t="str">
        <f>IF(ESTIMATIVA[[#This Row],[TP_CULTIVO]]="Irrigado",_xlfn.MAXIFS(IRRIGADO!J:J,IRRIGADO!C:C,ESTIMATIVA[[#This Row],[CD_UPNIVEL1]],IRRIGADO!E:E,ESTIMATIVA[[#This Row],[CD_UPNIVEL3]]),"")</f>
        <v/>
      </c>
      <c r="AJ120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07" s="1">
        <f>COUNTIFS(Apresentação!$E$23:$E$29,ESTIMATIVA[[#This Row],[CD_UPNIVEL1]])</f>
        <v>0</v>
      </c>
    </row>
    <row r="1208" spans="1:37" x14ac:dyDescent="0.3">
      <c r="A1208">
        <v>20511</v>
      </c>
      <c r="B1208" t="s">
        <v>67</v>
      </c>
      <c r="C1208">
        <v>92</v>
      </c>
      <c r="D1208">
        <v>5</v>
      </c>
      <c r="E1208" t="s">
        <v>268</v>
      </c>
      <c r="F1208" s="85" t="s">
        <v>331</v>
      </c>
      <c r="G1208"/>
      <c r="H1208" t="s">
        <v>294</v>
      </c>
      <c r="I1208" t="s">
        <v>194</v>
      </c>
      <c r="J1208" t="s">
        <v>176</v>
      </c>
      <c r="K1208" s="1">
        <v>7.31</v>
      </c>
      <c r="L1208" s="1">
        <v>0</v>
      </c>
      <c r="M1208" s="1">
        <v>0</v>
      </c>
      <c r="N1208" s="1">
        <v>7.31</v>
      </c>
      <c r="O1208" s="1">
        <v>467.84</v>
      </c>
      <c r="P1208" s="1">
        <v>0</v>
      </c>
      <c r="Q1208" s="1">
        <v>0</v>
      </c>
      <c r="R1208" s="1">
        <v>565.95000000000005</v>
      </c>
      <c r="S1208" t="s">
        <v>12</v>
      </c>
      <c r="T1208" s="13">
        <v>45837</v>
      </c>
      <c r="U1208" s="1" t="str">
        <f>IF(ESTIMATIVA[[#This Row],[QT_AREA_REAL]]&gt;0,"1- Colhido","2- à Colher")</f>
        <v>1- Colhido</v>
      </c>
      <c r="V1208" s="1" t="str">
        <f>IF(ESTIMATIVA[[#This Row],[QT_AREA_REST1]]&gt;0,"Reestimativa 1",IF(ESTIMATIVA[[#This Row],[QT_AREA_REAL]]=0,"Reestimativa 1","Realizado"))</f>
        <v>Realizado</v>
      </c>
      <c r="W1208" s="1" t="str">
        <f>IF(ESTIMATIVA[[#This Row],[QT_AREA_REST2]]&gt;0,"Reestimativa 2",IF(ESTIMATIVA[[#This Row],[QT_AREA_REAL]]=0,"Reestimativa 2","Realizado"))</f>
        <v>Realizado</v>
      </c>
      <c r="X1208" s="1">
        <f>ESTIMATIVA[[#This Row],[QT_AREA_EST]]</f>
        <v>7.31</v>
      </c>
      <c r="Y1208" s="1">
        <f>IF(ESTIMATIVA[[#This Row],[QT_AREA_REST1]]&gt;0,ESTIMATIVA[[#This Row],[QT_AREA_REST1]],
  IF(ESTIMATIVA[[#This Row],[QT_AREA_REAL]]&gt;0,ESTIMATIVA[[#This Row],[QT_AREA_REAL]],ESTIMATIVA[[#This Row],[QT_AREA_EST]]))</f>
        <v>7.31</v>
      </c>
      <c r="Z120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7.31</v>
      </c>
      <c r="AA1208" s="1">
        <f>ESTIMATIVA[[#This Row],[QT_CANA_EST]]</f>
        <v>467.84</v>
      </c>
      <c r="AB1208" s="1">
        <f>IF(ESTIMATIVA[[#This Row],[QT_CANA_REST1]]&gt;0,ESTIMATIVA[[#This Row],[QT_CANA_REST1]],
  IF(ESTIMATIVA[[#This Row],[QT_CANA_REAL]]&gt;0,ESTIMATIVA[[#This Row],[QT_CANA_REAL]],ESTIMATIVA[[#This Row],[QT_CANA_EST]]))</f>
        <v>565.95000000000005</v>
      </c>
      <c r="AC120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565.95000000000005</v>
      </c>
      <c r="AD1208" s="1">
        <f>IF(ESTIMATIVA[[#This Row],[QT_AREA_REAL]]&gt;0,ESTIMATIVA[[#This Row],[QT_CANA_REAL]],ESTIMATIVA[[#This Row],[QT_CANA_EST]])</f>
        <v>565.95000000000005</v>
      </c>
      <c r="AE1208" s="1">
        <f>IF(ESTIMATIVA[[#This Row],[QT_AREA_REAL]]&gt;0,ESTIMATIVA[[#This Row],[QT_CANA_REAL]],ESTIMATIVA[[#This Row],[QT_CANA_REST1]])</f>
        <v>565.95000000000005</v>
      </c>
      <c r="AF1208" s="1">
        <f>IF(ESTIMATIVA[[#This Row],[QT_AREA_REAL]]&gt;0,ESTIMATIVA[[#This Row],[QT_CANA_REAL]],ESTIMATIVA[[#This Row],[QT_CANA_REST2]])</f>
        <v>565.95000000000005</v>
      </c>
      <c r="AG1208" s="1" t="str">
        <f>IF(COUNTIFS(GEADA!A:A,VALUE(ESTIMATIVA[[#This Row],[CD_UPNIVEL1]]&amp;TEXT(ESTIMATIVA[[#This Row],[CD_UPNIVEL3]],"0000")))&gt;0,"S","N")</f>
        <v>N</v>
      </c>
      <c r="AH120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08" s="55" t="str">
        <f>IF(ESTIMATIVA[[#This Row],[TP_CULTIVO]]="Irrigado",_xlfn.MAXIFS(IRRIGADO!J:J,IRRIGADO!C:C,ESTIMATIVA[[#This Row],[CD_UPNIVEL1]],IRRIGADO!E:E,ESTIMATIVA[[#This Row],[CD_UPNIVEL3]]),"")</f>
        <v/>
      </c>
      <c r="AJ120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08" s="1">
        <f>COUNTIFS(Apresentação!$E$23:$E$29,ESTIMATIVA[[#This Row],[CD_UPNIVEL1]])</f>
        <v>0</v>
      </c>
    </row>
    <row r="1209" spans="1:37" x14ac:dyDescent="0.3">
      <c r="A1209">
        <v>20511</v>
      </c>
      <c r="B1209" t="s">
        <v>67</v>
      </c>
      <c r="C1209">
        <v>93</v>
      </c>
      <c r="D1209">
        <v>5</v>
      </c>
      <c r="E1209" t="s">
        <v>268</v>
      </c>
      <c r="F1209" s="85" t="s">
        <v>331</v>
      </c>
      <c r="G1209"/>
      <c r="H1209" t="s">
        <v>294</v>
      </c>
      <c r="I1209" t="s">
        <v>194</v>
      </c>
      <c r="J1209" t="s">
        <v>176</v>
      </c>
      <c r="K1209" s="1">
        <v>2.78</v>
      </c>
      <c r="L1209" s="1">
        <v>0</v>
      </c>
      <c r="M1209" s="1">
        <v>0</v>
      </c>
      <c r="N1209" s="1">
        <v>2.78</v>
      </c>
      <c r="O1209" s="1">
        <v>177.92</v>
      </c>
      <c r="P1209" s="1">
        <v>0</v>
      </c>
      <c r="Q1209" s="1">
        <v>0</v>
      </c>
      <c r="R1209" s="1">
        <v>215.2</v>
      </c>
      <c r="S1209" t="s">
        <v>12</v>
      </c>
      <c r="T1209" s="13">
        <v>45837</v>
      </c>
      <c r="U1209" s="1" t="str">
        <f>IF(ESTIMATIVA[[#This Row],[QT_AREA_REAL]]&gt;0,"1- Colhido","2- à Colher")</f>
        <v>1- Colhido</v>
      </c>
      <c r="V1209" s="1" t="str">
        <f>IF(ESTIMATIVA[[#This Row],[QT_AREA_REST1]]&gt;0,"Reestimativa 1",IF(ESTIMATIVA[[#This Row],[QT_AREA_REAL]]=0,"Reestimativa 1","Realizado"))</f>
        <v>Realizado</v>
      </c>
      <c r="W1209" s="1" t="str">
        <f>IF(ESTIMATIVA[[#This Row],[QT_AREA_REST2]]&gt;0,"Reestimativa 2",IF(ESTIMATIVA[[#This Row],[QT_AREA_REAL]]=0,"Reestimativa 2","Realizado"))</f>
        <v>Realizado</v>
      </c>
      <c r="X1209" s="1">
        <f>ESTIMATIVA[[#This Row],[QT_AREA_EST]]</f>
        <v>2.78</v>
      </c>
      <c r="Y1209" s="1">
        <f>IF(ESTIMATIVA[[#This Row],[QT_AREA_REST1]]&gt;0,ESTIMATIVA[[#This Row],[QT_AREA_REST1]],
  IF(ESTIMATIVA[[#This Row],[QT_AREA_REAL]]&gt;0,ESTIMATIVA[[#This Row],[QT_AREA_REAL]],ESTIMATIVA[[#This Row],[QT_AREA_EST]]))</f>
        <v>2.78</v>
      </c>
      <c r="Z120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2.78</v>
      </c>
      <c r="AA1209" s="1">
        <f>ESTIMATIVA[[#This Row],[QT_CANA_EST]]</f>
        <v>177.92</v>
      </c>
      <c r="AB1209" s="1">
        <f>IF(ESTIMATIVA[[#This Row],[QT_CANA_REST1]]&gt;0,ESTIMATIVA[[#This Row],[QT_CANA_REST1]],
  IF(ESTIMATIVA[[#This Row],[QT_CANA_REAL]]&gt;0,ESTIMATIVA[[#This Row],[QT_CANA_REAL]],ESTIMATIVA[[#This Row],[QT_CANA_EST]]))</f>
        <v>215.2</v>
      </c>
      <c r="AC120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215.2</v>
      </c>
      <c r="AD1209" s="1">
        <f>IF(ESTIMATIVA[[#This Row],[QT_AREA_REAL]]&gt;0,ESTIMATIVA[[#This Row],[QT_CANA_REAL]],ESTIMATIVA[[#This Row],[QT_CANA_EST]])</f>
        <v>215.2</v>
      </c>
      <c r="AE1209" s="1">
        <f>IF(ESTIMATIVA[[#This Row],[QT_AREA_REAL]]&gt;0,ESTIMATIVA[[#This Row],[QT_CANA_REAL]],ESTIMATIVA[[#This Row],[QT_CANA_REST1]])</f>
        <v>215.2</v>
      </c>
      <c r="AF1209" s="1">
        <f>IF(ESTIMATIVA[[#This Row],[QT_AREA_REAL]]&gt;0,ESTIMATIVA[[#This Row],[QT_CANA_REAL]],ESTIMATIVA[[#This Row],[QT_CANA_REST2]])</f>
        <v>215.2</v>
      </c>
      <c r="AG1209" s="1" t="str">
        <f>IF(COUNTIFS(GEADA!A:A,VALUE(ESTIMATIVA[[#This Row],[CD_UPNIVEL1]]&amp;TEXT(ESTIMATIVA[[#This Row],[CD_UPNIVEL3]],"0000")))&gt;0,"S","N")</f>
        <v>N</v>
      </c>
      <c r="AH120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09" s="55" t="str">
        <f>IF(ESTIMATIVA[[#This Row],[TP_CULTIVO]]="Irrigado",_xlfn.MAXIFS(IRRIGADO!J:J,IRRIGADO!C:C,ESTIMATIVA[[#This Row],[CD_UPNIVEL1]],IRRIGADO!E:E,ESTIMATIVA[[#This Row],[CD_UPNIVEL3]]),"")</f>
        <v/>
      </c>
      <c r="AJ120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09" s="1">
        <f>COUNTIFS(Apresentação!$E$23:$E$29,ESTIMATIVA[[#This Row],[CD_UPNIVEL1]])</f>
        <v>0</v>
      </c>
    </row>
    <row r="1210" spans="1:37" x14ac:dyDescent="0.3">
      <c r="A1210">
        <v>20511</v>
      </c>
      <c r="B1210" t="s">
        <v>67</v>
      </c>
      <c r="C1210">
        <v>94</v>
      </c>
      <c r="D1210">
        <v>5</v>
      </c>
      <c r="E1210" t="s">
        <v>268</v>
      </c>
      <c r="F1210" s="85" t="s">
        <v>331</v>
      </c>
      <c r="G1210"/>
      <c r="H1210" t="s">
        <v>294</v>
      </c>
      <c r="I1210" t="s">
        <v>221</v>
      </c>
      <c r="J1210" t="s">
        <v>176</v>
      </c>
      <c r="K1210" s="1">
        <v>6.25</v>
      </c>
      <c r="L1210" s="1">
        <v>0</v>
      </c>
      <c r="M1210" s="1">
        <v>0</v>
      </c>
      <c r="N1210" s="1">
        <v>6.25</v>
      </c>
      <c r="O1210" s="1">
        <v>250</v>
      </c>
      <c r="P1210" s="1">
        <v>0</v>
      </c>
      <c r="Q1210" s="1">
        <v>0</v>
      </c>
      <c r="R1210" s="1">
        <v>302.27999999999997</v>
      </c>
      <c r="S1210" t="s">
        <v>12</v>
      </c>
      <c r="T1210" s="13">
        <v>45837</v>
      </c>
      <c r="U1210" s="1" t="str">
        <f>IF(ESTIMATIVA[[#This Row],[QT_AREA_REAL]]&gt;0,"1- Colhido","2- à Colher")</f>
        <v>1- Colhido</v>
      </c>
      <c r="V1210" s="1" t="str">
        <f>IF(ESTIMATIVA[[#This Row],[QT_AREA_REST1]]&gt;0,"Reestimativa 1",IF(ESTIMATIVA[[#This Row],[QT_AREA_REAL]]=0,"Reestimativa 1","Realizado"))</f>
        <v>Realizado</v>
      </c>
      <c r="W1210" s="1" t="str">
        <f>IF(ESTIMATIVA[[#This Row],[QT_AREA_REST2]]&gt;0,"Reestimativa 2",IF(ESTIMATIVA[[#This Row],[QT_AREA_REAL]]=0,"Reestimativa 2","Realizado"))</f>
        <v>Realizado</v>
      </c>
      <c r="X1210" s="1">
        <f>ESTIMATIVA[[#This Row],[QT_AREA_EST]]</f>
        <v>6.25</v>
      </c>
      <c r="Y1210" s="1">
        <f>IF(ESTIMATIVA[[#This Row],[QT_AREA_REST1]]&gt;0,ESTIMATIVA[[#This Row],[QT_AREA_REST1]],
  IF(ESTIMATIVA[[#This Row],[QT_AREA_REAL]]&gt;0,ESTIMATIVA[[#This Row],[QT_AREA_REAL]],ESTIMATIVA[[#This Row],[QT_AREA_EST]]))</f>
        <v>6.25</v>
      </c>
      <c r="Z121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6.25</v>
      </c>
      <c r="AA1210" s="1">
        <f>ESTIMATIVA[[#This Row],[QT_CANA_EST]]</f>
        <v>250</v>
      </c>
      <c r="AB1210" s="1">
        <f>IF(ESTIMATIVA[[#This Row],[QT_CANA_REST1]]&gt;0,ESTIMATIVA[[#This Row],[QT_CANA_REST1]],
  IF(ESTIMATIVA[[#This Row],[QT_CANA_REAL]]&gt;0,ESTIMATIVA[[#This Row],[QT_CANA_REAL]],ESTIMATIVA[[#This Row],[QT_CANA_EST]]))</f>
        <v>302.27999999999997</v>
      </c>
      <c r="AC121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302.27999999999997</v>
      </c>
      <c r="AD1210" s="1">
        <f>IF(ESTIMATIVA[[#This Row],[QT_AREA_REAL]]&gt;0,ESTIMATIVA[[#This Row],[QT_CANA_REAL]],ESTIMATIVA[[#This Row],[QT_CANA_EST]])</f>
        <v>302.27999999999997</v>
      </c>
      <c r="AE1210" s="1">
        <f>IF(ESTIMATIVA[[#This Row],[QT_AREA_REAL]]&gt;0,ESTIMATIVA[[#This Row],[QT_CANA_REAL]],ESTIMATIVA[[#This Row],[QT_CANA_REST1]])</f>
        <v>302.27999999999997</v>
      </c>
      <c r="AF1210" s="1">
        <f>IF(ESTIMATIVA[[#This Row],[QT_AREA_REAL]]&gt;0,ESTIMATIVA[[#This Row],[QT_CANA_REAL]],ESTIMATIVA[[#This Row],[QT_CANA_REST2]])</f>
        <v>302.27999999999997</v>
      </c>
      <c r="AG1210" s="1" t="str">
        <f>IF(COUNTIFS(GEADA!A:A,VALUE(ESTIMATIVA[[#This Row],[CD_UPNIVEL1]]&amp;TEXT(ESTIMATIVA[[#This Row],[CD_UPNIVEL3]],"0000")))&gt;0,"S","N")</f>
        <v>N</v>
      </c>
      <c r="AH121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10" s="55" t="str">
        <f>IF(ESTIMATIVA[[#This Row],[TP_CULTIVO]]="Irrigado",_xlfn.MAXIFS(IRRIGADO!J:J,IRRIGADO!C:C,ESTIMATIVA[[#This Row],[CD_UPNIVEL1]],IRRIGADO!E:E,ESTIMATIVA[[#This Row],[CD_UPNIVEL3]]),"")</f>
        <v/>
      </c>
      <c r="AJ121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10" s="1">
        <f>COUNTIFS(Apresentação!$E$23:$E$29,ESTIMATIVA[[#This Row],[CD_UPNIVEL1]])</f>
        <v>0</v>
      </c>
    </row>
    <row r="1211" spans="1:37" x14ac:dyDescent="0.3">
      <c r="A1211">
        <v>20511</v>
      </c>
      <c r="B1211" t="s">
        <v>67</v>
      </c>
      <c r="C1211">
        <v>95</v>
      </c>
      <c r="D1211">
        <v>5</v>
      </c>
      <c r="E1211" t="s">
        <v>268</v>
      </c>
      <c r="F1211" s="85" t="s">
        <v>331</v>
      </c>
      <c r="G1211"/>
      <c r="H1211" t="s">
        <v>294</v>
      </c>
      <c r="I1211" t="s">
        <v>194</v>
      </c>
      <c r="J1211" t="s">
        <v>176</v>
      </c>
      <c r="K1211" s="1">
        <v>6.8</v>
      </c>
      <c r="L1211" s="1">
        <v>0</v>
      </c>
      <c r="M1211" s="1">
        <v>0</v>
      </c>
      <c r="N1211" s="1">
        <v>6.8</v>
      </c>
      <c r="O1211" s="1">
        <v>435.2</v>
      </c>
      <c r="P1211" s="1">
        <v>0</v>
      </c>
      <c r="Q1211" s="1">
        <v>0</v>
      </c>
      <c r="R1211" s="1">
        <v>526.04999999999995</v>
      </c>
      <c r="S1211" t="s">
        <v>12</v>
      </c>
      <c r="T1211" s="13">
        <v>45837</v>
      </c>
      <c r="U1211" s="1" t="str">
        <f>IF(ESTIMATIVA[[#This Row],[QT_AREA_REAL]]&gt;0,"1- Colhido","2- à Colher")</f>
        <v>1- Colhido</v>
      </c>
      <c r="V1211" s="1" t="str">
        <f>IF(ESTIMATIVA[[#This Row],[QT_AREA_REST1]]&gt;0,"Reestimativa 1",IF(ESTIMATIVA[[#This Row],[QT_AREA_REAL]]=0,"Reestimativa 1","Realizado"))</f>
        <v>Realizado</v>
      </c>
      <c r="W1211" s="1" t="str">
        <f>IF(ESTIMATIVA[[#This Row],[QT_AREA_REST2]]&gt;0,"Reestimativa 2",IF(ESTIMATIVA[[#This Row],[QT_AREA_REAL]]=0,"Reestimativa 2","Realizado"))</f>
        <v>Realizado</v>
      </c>
      <c r="X1211" s="1">
        <f>ESTIMATIVA[[#This Row],[QT_AREA_EST]]</f>
        <v>6.8</v>
      </c>
      <c r="Y1211" s="1">
        <f>IF(ESTIMATIVA[[#This Row],[QT_AREA_REST1]]&gt;0,ESTIMATIVA[[#This Row],[QT_AREA_REST1]],
  IF(ESTIMATIVA[[#This Row],[QT_AREA_REAL]]&gt;0,ESTIMATIVA[[#This Row],[QT_AREA_REAL]],ESTIMATIVA[[#This Row],[QT_AREA_EST]]))</f>
        <v>6.8</v>
      </c>
      <c r="Z121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6.8</v>
      </c>
      <c r="AA1211" s="1">
        <f>ESTIMATIVA[[#This Row],[QT_CANA_EST]]</f>
        <v>435.2</v>
      </c>
      <c r="AB1211" s="1">
        <f>IF(ESTIMATIVA[[#This Row],[QT_CANA_REST1]]&gt;0,ESTIMATIVA[[#This Row],[QT_CANA_REST1]],
  IF(ESTIMATIVA[[#This Row],[QT_CANA_REAL]]&gt;0,ESTIMATIVA[[#This Row],[QT_CANA_REAL]],ESTIMATIVA[[#This Row],[QT_CANA_EST]]))</f>
        <v>526.04999999999995</v>
      </c>
      <c r="AC121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526.04999999999995</v>
      </c>
      <c r="AD1211" s="1">
        <f>IF(ESTIMATIVA[[#This Row],[QT_AREA_REAL]]&gt;0,ESTIMATIVA[[#This Row],[QT_CANA_REAL]],ESTIMATIVA[[#This Row],[QT_CANA_EST]])</f>
        <v>526.04999999999995</v>
      </c>
      <c r="AE1211" s="1">
        <f>IF(ESTIMATIVA[[#This Row],[QT_AREA_REAL]]&gt;0,ESTIMATIVA[[#This Row],[QT_CANA_REAL]],ESTIMATIVA[[#This Row],[QT_CANA_REST1]])</f>
        <v>526.04999999999995</v>
      </c>
      <c r="AF1211" s="1">
        <f>IF(ESTIMATIVA[[#This Row],[QT_AREA_REAL]]&gt;0,ESTIMATIVA[[#This Row],[QT_CANA_REAL]],ESTIMATIVA[[#This Row],[QT_CANA_REST2]])</f>
        <v>526.04999999999995</v>
      </c>
      <c r="AG1211" s="1" t="str">
        <f>IF(COUNTIFS(GEADA!A:A,VALUE(ESTIMATIVA[[#This Row],[CD_UPNIVEL1]]&amp;TEXT(ESTIMATIVA[[#This Row],[CD_UPNIVEL3]],"0000")))&gt;0,"S","N")</f>
        <v>N</v>
      </c>
      <c r="AH121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11" s="55" t="str">
        <f>IF(ESTIMATIVA[[#This Row],[TP_CULTIVO]]="Irrigado",_xlfn.MAXIFS(IRRIGADO!J:J,IRRIGADO!C:C,ESTIMATIVA[[#This Row],[CD_UPNIVEL1]],IRRIGADO!E:E,ESTIMATIVA[[#This Row],[CD_UPNIVEL3]]),"")</f>
        <v/>
      </c>
      <c r="AJ121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11" s="1">
        <f>COUNTIFS(Apresentação!$E$23:$E$29,ESTIMATIVA[[#This Row],[CD_UPNIVEL1]])</f>
        <v>0</v>
      </c>
    </row>
    <row r="1212" spans="1:37" x14ac:dyDescent="0.3">
      <c r="A1212">
        <v>20511</v>
      </c>
      <c r="B1212" t="s">
        <v>67</v>
      </c>
      <c r="C1212">
        <v>96</v>
      </c>
      <c r="D1212">
        <v>5</v>
      </c>
      <c r="E1212" t="s">
        <v>268</v>
      </c>
      <c r="F1212" s="85" t="s">
        <v>331</v>
      </c>
      <c r="G1212"/>
      <c r="H1212" t="s">
        <v>294</v>
      </c>
      <c r="I1212" t="s">
        <v>221</v>
      </c>
      <c r="J1212" t="s">
        <v>176</v>
      </c>
      <c r="K1212" s="1">
        <v>9.2200000000000006</v>
      </c>
      <c r="L1212" s="1">
        <v>0</v>
      </c>
      <c r="M1212" s="1">
        <v>0</v>
      </c>
      <c r="N1212" s="1">
        <v>9.2200000000000006</v>
      </c>
      <c r="O1212" s="1">
        <v>590.08000000000004</v>
      </c>
      <c r="P1212" s="1">
        <v>0</v>
      </c>
      <c r="Q1212" s="1">
        <v>0</v>
      </c>
      <c r="R1212" s="1">
        <v>713.51</v>
      </c>
      <c r="S1212" t="s">
        <v>12</v>
      </c>
      <c r="T1212" s="13">
        <v>45837</v>
      </c>
      <c r="U1212" s="1" t="str">
        <f>IF(ESTIMATIVA[[#This Row],[QT_AREA_REAL]]&gt;0,"1- Colhido","2- à Colher")</f>
        <v>1- Colhido</v>
      </c>
      <c r="V1212" s="1" t="str">
        <f>IF(ESTIMATIVA[[#This Row],[QT_AREA_REST1]]&gt;0,"Reestimativa 1",IF(ESTIMATIVA[[#This Row],[QT_AREA_REAL]]=0,"Reestimativa 1","Realizado"))</f>
        <v>Realizado</v>
      </c>
      <c r="W1212" s="1" t="str">
        <f>IF(ESTIMATIVA[[#This Row],[QT_AREA_REST2]]&gt;0,"Reestimativa 2",IF(ESTIMATIVA[[#This Row],[QT_AREA_REAL]]=0,"Reestimativa 2","Realizado"))</f>
        <v>Realizado</v>
      </c>
      <c r="X1212" s="1">
        <f>ESTIMATIVA[[#This Row],[QT_AREA_EST]]</f>
        <v>9.2200000000000006</v>
      </c>
      <c r="Y1212" s="1">
        <f>IF(ESTIMATIVA[[#This Row],[QT_AREA_REST1]]&gt;0,ESTIMATIVA[[#This Row],[QT_AREA_REST1]],
  IF(ESTIMATIVA[[#This Row],[QT_AREA_REAL]]&gt;0,ESTIMATIVA[[#This Row],[QT_AREA_REAL]],ESTIMATIVA[[#This Row],[QT_AREA_EST]]))</f>
        <v>9.2200000000000006</v>
      </c>
      <c r="Z121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9.2200000000000006</v>
      </c>
      <c r="AA1212" s="1">
        <f>ESTIMATIVA[[#This Row],[QT_CANA_EST]]</f>
        <v>590.08000000000004</v>
      </c>
      <c r="AB1212" s="1">
        <f>IF(ESTIMATIVA[[#This Row],[QT_CANA_REST1]]&gt;0,ESTIMATIVA[[#This Row],[QT_CANA_REST1]],
  IF(ESTIMATIVA[[#This Row],[QT_CANA_REAL]]&gt;0,ESTIMATIVA[[#This Row],[QT_CANA_REAL]],ESTIMATIVA[[#This Row],[QT_CANA_EST]]))</f>
        <v>713.51</v>
      </c>
      <c r="AC121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713.51</v>
      </c>
      <c r="AD1212" s="1">
        <f>IF(ESTIMATIVA[[#This Row],[QT_AREA_REAL]]&gt;0,ESTIMATIVA[[#This Row],[QT_CANA_REAL]],ESTIMATIVA[[#This Row],[QT_CANA_EST]])</f>
        <v>713.51</v>
      </c>
      <c r="AE1212" s="1">
        <f>IF(ESTIMATIVA[[#This Row],[QT_AREA_REAL]]&gt;0,ESTIMATIVA[[#This Row],[QT_CANA_REAL]],ESTIMATIVA[[#This Row],[QT_CANA_REST1]])</f>
        <v>713.51</v>
      </c>
      <c r="AF1212" s="1">
        <f>IF(ESTIMATIVA[[#This Row],[QT_AREA_REAL]]&gt;0,ESTIMATIVA[[#This Row],[QT_CANA_REAL]],ESTIMATIVA[[#This Row],[QT_CANA_REST2]])</f>
        <v>713.51</v>
      </c>
      <c r="AG1212" s="1" t="str">
        <f>IF(COUNTIFS(GEADA!A:A,VALUE(ESTIMATIVA[[#This Row],[CD_UPNIVEL1]]&amp;TEXT(ESTIMATIVA[[#This Row],[CD_UPNIVEL3]],"0000")))&gt;0,"S","N")</f>
        <v>N</v>
      </c>
      <c r="AH121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12" s="55" t="str">
        <f>IF(ESTIMATIVA[[#This Row],[TP_CULTIVO]]="Irrigado",_xlfn.MAXIFS(IRRIGADO!J:J,IRRIGADO!C:C,ESTIMATIVA[[#This Row],[CD_UPNIVEL1]],IRRIGADO!E:E,ESTIMATIVA[[#This Row],[CD_UPNIVEL3]]),"")</f>
        <v/>
      </c>
      <c r="AJ121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12" s="1">
        <f>COUNTIFS(Apresentação!$E$23:$E$29,ESTIMATIVA[[#This Row],[CD_UPNIVEL1]])</f>
        <v>0</v>
      </c>
    </row>
    <row r="1213" spans="1:37" x14ac:dyDescent="0.3">
      <c r="A1213">
        <v>20511</v>
      </c>
      <c r="B1213" t="s">
        <v>67</v>
      </c>
      <c r="C1213">
        <v>97</v>
      </c>
      <c r="D1213">
        <v>5</v>
      </c>
      <c r="E1213" t="s">
        <v>268</v>
      </c>
      <c r="F1213" s="85" t="s">
        <v>331</v>
      </c>
      <c r="G1213"/>
      <c r="H1213" t="s">
        <v>294</v>
      </c>
      <c r="I1213" t="s">
        <v>221</v>
      </c>
      <c r="J1213" t="s">
        <v>176</v>
      </c>
      <c r="K1213" s="1">
        <v>13.05</v>
      </c>
      <c r="L1213" s="1">
        <v>0</v>
      </c>
      <c r="M1213" s="1">
        <v>0</v>
      </c>
      <c r="N1213" s="1">
        <v>13.05</v>
      </c>
      <c r="O1213" s="1">
        <v>652.5</v>
      </c>
      <c r="P1213" s="1">
        <v>0</v>
      </c>
      <c r="Q1213" s="1">
        <v>0</v>
      </c>
      <c r="R1213" s="1">
        <v>789.71</v>
      </c>
      <c r="S1213" t="s">
        <v>12</v>
      </c>
      <c r="T1213" s="13">
        <v>45837</v>
      </c>
      <c r="U1213" s="1" t="str">
        <f>IF(ESTIMATIVA[[#This Row],[QT_AREA_REAL]]&gt;0,"1- Colhido","2- à Colher")</f>
        <v>1- Colhido</v>
      </c>
      <c r="V1213" s="1" t="str">
        <f>IF(ESTIMATIVA[[#This Row],[QT_AREA_REST1]]&gt;0,"Reestimativa 1",IF(ESTIMATIVA[[#This Row],[QT_AREA_REAL]]=0,"Reestimativa 1","Realizado"))</f>
        <v>Realizado</v>
      </c>
      <c r="W1213" s="1" t="str">
        <f>IF(ESTIMATIVA[[#This Row],[QT_AREA_REST2]]&gt;0,"Reestimativa 2",IF(ESTIMATIVA[[#This Row],[QT_AREA_REAL]]=0,"Reestimativa 2","Realizado"))</f>
        <v>Realizado</v>
      </c>
      <c r="X1213" s="1">
        <f>ESTIMATIVA[[#This Row],[QT_AREA_EST]]</f>
        <v>13.05</v>
      </c>
      <c r="Y1213" s="1">
        <f>IF(ESTIMATIVA[[#This Row],[QT_AREA_REST1]]&gt;0,ESTIMATIVA[[#This Row],[QT_AREA_REST1]],
  IF(ESTIMATIVA[[#This Row],[QT_AREA_REAL]]&gt;0,ESTIMATIVA[[#This Row],[QT_AREA_REAL]],ESTIMATIVA[[#This Row],[QT_AREA_EST]]))</f>
        <v>13.05</v>
      </c>
      <c r="Z121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13.05</v>
      </c>
      <c r="AA1213" s="1">
        <f>ESTIMATIVA[[#This Row],[QT_CANA_EST]]</f>
        <v>652.5</v>
      </c>
      <c r="AB1213" s="1">
        <f>IF(ESTIMATIVA[[#This Row],[QT_CANA_REST1]]&gt;0,ESTIMATIVA[[#This Row],[QT_CANA_REST1]],
  IF(ESTIMATIVA[[#This Row],[QT_CANA_REAL]]&gt;0,ESTIMATIVA[[#This Row],[QT_CANA_REAL]],ESTIMATIVA[[#This Row],[QT_CANA_EST]]))</f>
        <v>789.71</v>
      </c>
      <c r="AC121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789.71</v>
      </c>
      <c r="AD1213" s="1">
        <f>IF(ESTIMATIVA[[#This Row],[QT_AREA_REAL]]&gt;0,ESTIMATIVA[[#This Row],[QT_CANA_REAL]],ESTIMATIVA[[#This Row],[QT_CANA_EST]])</f>
        <v>789.71</v>
      </c>
      <c r="AE1213" s="1">
        <f>IF(ESTIMATIVA[[#This Row],[QT_AREA_REAL]]&gt;0,ESTIMATIVA[[#This Row],[QT_CANA_REAL]],ESTIMATIVA[[#This Row],[QT_CANA_REST1]])</f>
        <v>789.71</v>
      </c>
      <c r="AF1213" s="1">
        <f>IF(ESTIMATIVA[[#This Row],[QT_AREA_REAL]]&gt;0,ESTIMATIVA[[#This Row],[QT_CANA_REAL]],ESTIMATIVA[[#This Row],[QT_CANA_REST2]])</f>
        <v>789.71</v>
      </c>
      <c r="AG1213" s="1" t="str">
        <f>IF(COUNTIFS(GEADA!A:A,VALUE(ESTIMATIVA[[#This Row],[CD_UPNIVEL1]]&amp;TEXT(ESTIMATIVA[[#This Row],[CD_UPNIVEL3]],"0000")))&gt;0,"S","N")</f>
        <v>N</v>
      </c>
      <c r="AH121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13" s="55" t="str">
        <f>IF(ESTIMATIVA[[#This Row],[TP_CULTIVO]]="Irrigado",_xlfn.MAXIFS(IRRIGADO!J:J,IRRIGADO!C:C,ESTIMATIVA[[#This Row],[CD_UPNIVEL1]],IRRIGADO!E:E,ESTIMATIVA[[#This Row],[CD_UPNIVEL3]]),"")</f>
        <v/>
      </c>
      <c r="AJ121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13" s="1">
        <f>COUNTIFS(Apresentação!$E$23:$E$29,ESTIMATIVA[[#This Row],[CD_UPNIVEL1]])</f>
        <v>0</v>
      </c>
    </row>
    <row r="1214" spans="1:37" x14ac:dyDescent="0.3">
      <c r="A1214">
        <v>20511</v>
      </c>
      <c r="B1214" t="s">
        <v>67</v>
      </c>
      <c r="C1214">
        <v>98</v>
      </c>
      <c r="D1214">
        <v>5</v>
      </c>
      <c r="E1214" t="s">
        <v>268</v>
      </c>
      <c r="F1214" s="85" t="s">
        <v>331</v>
      </c>
      <c r="G1214"/>
      <c r="H1214" t="s">
        <v>294</v>
      </c>
      <c r="I1214" t="s">
        <v>221</v>
      </c>
      <c r="J1214" t="s">
        <v>176</v>
      </c>
      <c r="K1214" s="1">
        <v>5.16</v>
      </c>
      <c r="L1214" s="1">
        <v>0</v>
      </c>
      <c r="M1214" s="1">
        <v>0</v>
      </c>
      <c r="N1214" s="1">
        <v>5.16</v>
      </c>
      <c r="O1214" s="1">
        <v>258</v>
      </c>
      <c r="P1214" s="1">
        <v>0</v>
      </c>
      <c r="Q1214" s="1">
        <v>0</v>
      </c>
      <c r="R1214" s="1">
        <v>311.95999999999998</v>
      </c>
      <c r="S1214" t="s">
        <v>12</v>
      </c>
      <c r="T1214" s="13">
        <v>45837</v>
      </c>
      <c r="U1214" s="1" t="str">
        <f>IF(ESTIMATIVA[[#This Row],[QT_AREA_REAL]]&gt;0,"1- Colhido","2- à Colher")</f>
        <v>1- Colhido</v>
      </c>
      <c r="V1214" s="1" t="str">
        <f>IF(ESTIMATIVA[[#This Row],[QT_AREA_REST1]]&gt;0,"Reestimativa 1",IF(ESTIMATIVA[[#This Row],[QT_AREA_REAL]]=0,"Reestimativa 1","Realizado"))</f>
        <v>Realizado</v>
      </c>
      <c r="W1214" s="1" t="str">
        <f>IF(ESTIMATIVA[[#This Row],[QT_AREA_REST2]]&gt;0,"Reestimativa 2",IF(ESTIMATIVA[[#This Row],[QT_AREA_REAL]]=0,"Reestimativa 2","Realizado"))</f>
        <v>Realizado</v>
      </c>
      <c r="X1214" s="1">
        <f>ESTIMATIVA[[#This Row],[QT_AREA_EST]]</f>
        <v>5.16</v>
      </c>
      <c r="Y1214" s="1">
        <f>IF(ESTIMATIVA[[#This Row],[QT_AREA_REST1]]&gt;0,ESTIMATIVA[[#This Row],[QT_AREA_REST1]],
  IF(ESTIMATIVA[[#This Row],[QT_AREA_REAL]]&gt;0,ESTIMATIVA[[#This Row],[QT_AREA_REAL]],ESTIMATIVA[[#This Row],[QT_AREA_EST]]))</f>
        <v>5.16</v>
      </c>
      <c r="Z121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5.16</v>
      </c>
      <c r="AA1214" s="1">
        <f>ESTIMATIVA[[#This Row],[QT_CANA_EST]]</f>
        <v>258</v>
      </c>
      <c r="AB1214" s="1">
        <f>IF(ESTIMATIVA[[#This Row],[QT_CANA_REST1]]&gt;0,ESTIMATIVA[[#This Row],[QT_CANA_REST1]],
  IF(ESTIMATIVA[[#This Row],[QT_CANA_REAL]]&gt;0,ESTIMATIVA[[#This Row],[QT_CANA_REAL]],ESTIMATIVA[[#This Row],[QT_CANA_EST]]))</f>
        <v>311.95999999999998</v>
      </c>
      <c r="AC121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311.95999999999998</v>
      </c>
      <c r="AD1214" s="1">
        <f>IF(ESTIMATIVA[[#This Row],[QT_AREA_REAL]]&gt;0,ESTIMATIVA[[#This Row],[QT_CANA_REAL]],ESTIMATIVA[[#This Row],[QT_CANA_EST]])</f>
        <v>311.95999999999998</v>
      </c>
      <c r="AE1214" s="1">
        <f>IF(ESTIMATIVA[[#This Row],[QT_AREA_REAL]]&gt;0,ESTIMATIVA[[#This Row],[QT_CANA_REAL]],ESTIMATIVA[[#This Row],[QT_CANA_REST1]])</f>
        <v>311.95999999999998</v>
      </c>
      <c r="AF1214" s="1">
        <f>IF(ESTIMATIVA[[#This Row],[QT_AREA_REAL]]&gt;0,ESTIMATIVA[[#This Row],[QT_CANA_REAL]],ESTIMATIVA[[#This Row],[QT_CANA_REST2]])</f>
        <v>311.95999999999998</v>
      </c>
      <c r="AG1214" s="1" t="str">
        <f>IF(COUNTIFS(GEADA!A:A,VALUE(ESTIMATIVA[[#This Row],[CD_UPNIVEL1]]&amp;TEXT(ESTIMATIVA[[#This Row],[CD_UPNIVEL3]],"0000")))&gt;0,"S","N")</f>
        <v>N</v>
      </c>
      <c r="AH121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14" s="55" t="str">
        <f>IF(ESTIMATIVA[[#This Row],[TP_CULTIVO]]="Irrigado",_xlfn.MAXIFS(IRRIGADO!J:J,IRRIGADO!C:C,ESTIMATIVA[[#This Row],[CD_UPNIVEL1]],IRRIGADO!E:E,ESTIMATIVA[[#This Row],[CD_UPNIVEL3]]),"")</f>
        <v/>
      </c>
      <c r="AJ121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14" s="1">
        <f>COUNTIFS(Apresentação!$E$23:$E$29,ESTIMATIVA[[#This Row],[CD_UPNIVEL1]])</f>
        <v>0</v>
      </c>
    </row>
    <row r="1215" spans="1:37" x14ac:dyDescent="0.3">
      <c r="A1215">
        <v>20511</v>
      </c>
      <c r="B1215" t="s">
        <v>67</v>
      </c>
      <c r="C1215">
        <v>99</v>
      </c>
      <c r="D1215">
        <v>5</v>
      </c>
      <c r="E1215" t="s">
        <v>268</v>
      </c>
      <c r="F1215" s="85" t="s">
        <v>331</v>
      </c>
      <c r="G1215"/>
      <c r="H1215" t="s">
        <v>294</v>
      </c>
      <c r="I1215" t="s">
        <v>221</v>
      </c>
      <c r="J1215" t="s">
        <v>176</v>
      </c>
      <c r="K1215" s="1">
        <v>17.18</v>
      </c>
      <c r="L1215" s="1">
        <v>0</v>
      </c>
      <c r="M1215" s="1">
        <v>0</v>
      </c>
      <c r="N1215" s="1">
        <v>17.18</v>
      </c>
      <c r="O1215" s="1">
        <v>927.72</v>
      </c>
      <c r="P1215" s="1">
        <v>0</v>
      </c>
      <c r="Q1215" s="1">
        <v>0</v>
      </c>
      <c r="R1215" s="1">
        <v>1122.31</v>
      </c>
      <c r="S1215" t="s">
        <v>12</v>
      </c>
      <c r="T1215" s="13">
        <v>45837</v>
      </c>
      <c r="U1215" s="1" t="str">
        <f>IF(ESTIMATIVA[[#This Row],[QT_AREA_REAL]]&gt;0,"1- Colhido","2- à Colher")</f>
        <v>1- Colhido</v>
      </c>
      <c r="V1215" s="1" t="str">
        <f>IF(ESTIMATIVA[[#This Row],[QT_AREA_REST1]]&gt;0,"Reestimativa 1",IF(ESTIMATIVA[[#This Row],[QT_AREA_REAL]]=0,"Reestimativa 1","Realizado"))</f>
        <v>Realizado</v>
      </c>
      <c r="W1215" s="1" t="str">
        <f>IF(ESTIMATIVA[[#This Row],[QT_AREA_REST2]]&gt;0,"Reestimativa 2",IF(ESTIMATIVA[[#This Row],[QT_AREA_REAL]]=0,"Reestimativa 2","Realizado"))</f>
        <v>Realizado</v>
      </c>
      <c r="X1215" s="1">
        <f>ESTIMATIVA[[#This Row],[QT_AREA_EST]]</f>
        <v>17.18</v>
      </c>
      <c r="Y1215" s="1">
        <f>IF(ESTIMATIVA[[#This Row],[QT_AREA_REST1]]&gt;0,ESTIMATIVA[[#This Row],[QT_AREA_REST1]],
  IF(ESTIMATIVA[[#This Row],[QT_AREA_REAL]]&gt;0,ESTIMATIVA[[#This Row],[QT_AREA_REAL]],ESTIMATIVA[[#This Row],[QT_AREA_EST]]))</f>
        <v>17.18</v>
      </c>
      <c r="Z121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17.18</v>
      </c>
      <c r="AA1215" s="1">
        <f>ESTIMATIVA[[#This Row],[QT_CANA_EST]]</f>
        <v>927.72</v>
      </c>
      <c r="AB1215" s="1">
        <f>IF(ESTIMATIVA[[#This Row],[QT_CANA_REST1]]&gt;0,ESTIMATIVA[[#This Row],[QT_CANA_REST1]],
  IF(ESTIMATIVA[[#This Row],[QT_CANA_REAL]]&gt;0,ESTIMATIVA[[#This Row],[QT_CANA_REAL]],ESTIMATIVA[[#This Row],[QT_CANA_EST]]))</f>
        <v>1122.31</v>
      </c>
      <c r="AC121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1122.31</v>
      </c>
      <c r="AD1215" s="1">
        <f>IF(ESTIMATIVA[[#This Row],[QT_AREA_REAL]]&gt;0,ESTIMATIVA[[#This Row],[QT_CANA_REAL]],ESTIMATIVA[[#This Row],[QT_CANA_EST]])</f>
        <v>1122.31</v>
      </c>
      <c r="AE1215" s="1">
        <f>IF(ESTIMATIVA[[#This Row],[QT_AREA_REAL]]&gt;0,ESTIMATIVA[[#This Row],[QT_CANA_REAL]],ESTIMATIVA[[#This Row],[QT_CANA_REST1]])</f>
        <v>1122.31</v>
      </c>
      <c r="AF1215" s="1">
        <f>IF(ESTIMATIVA[[#This Row],[QT_AREA_REAL]]&gt;0,ESTIMATIVA[[#This Row],[QT_CANA_REAL]],ESTIMATIVA[[#This Row],[QT_CANA_REST2]])</f>
        <v>1122.31</v>
      </c>
      <c r="AG1215" s="1" t="str">
        <f>IF(COUNTIFS(GEADA!A:A,VALUE(ESTIMATIVA[[#This Row],[CD_UPNIVEL1]]&amp;TEXT(ESTIMATIVA[[#This Row],[CD_UPNIVEL3]],"0000")))&gt;0,"S","N")</f>
        <v>N</v>
      </c>
      <c r="AH121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15" s="55" t="str">
        <f>IF(ESTIMATIVA[[#This Row],[TP_CULTIVO]]="Irrigado",_xlfn.MAXIFS(IRRIGADO!J:J,IRRIGADO!C:C,ESTIMATIVA[[#This Row],[CD_UPNIVEL1]],IRRIGADO!E:E,ESTIMATIVA[[#This Row],[CD_UPNIVEL3]]),"")</f>
        <v/>
      </c>
      <c r="AJ121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15" s="1">
        <f>COUNTIFS(Apresentação!$E$23:$E$29,ESTIMATIVA[[#This Row],[CD_UPNIVEL1]])</f>
        <v>0</v>
      </c>
    </row>
    <row r="1216" spans="1:37" x14ac:dyDescent="0.3">
      <c r="A1216">
        <v>20511</v>
      </c>
      <c r="B1216" t="s">
        <v>67</v>
      </c>
      <c r="C1216">
        <v>100</v>
      </c>
      <c r="D1216">
        <v>5</v>
      </c>
      <c r="E1216" t="s">
        <v>268</v>
      </c>
      <c r="F1216" s="85" t="s">
        <v>331</v>
      </c>
      <c r="G1216"/>
      <c r="H1216" t="s">
        <v>294</v>
      </c>
      <c r="I1216" t="s">
        <v>221</v>
      </c>
      <c r="J1216" t="s">
        <v>176</v>
      </c>
      <c r="K1216" s="1">
        <v>11.35</v>
      </c>
      <c r="L1216" s="1">
        <v>0</v>
      </c>
      <c r="M1216" s="1">
        <v>0</v>
      </c>
      <c r="N1216" s="1">
        <v>11.35</v>
      </c>
      <c r="O1216" s="1">
        <v>612.9</v>
      </c>
      <c r="P1216" s="1">
        <v>0</v>
      </c>
      <c r="Q1216" s="1">
        <v>0</v>
      </c>
      <c r="R1216" s="1">
        <v>742.3</v>
      </c>
      <c r="S1216" t="s">
        <v>12</v>
      </c>
      <c r="T1216" s="13">
        <v>45837</v>
      </c>
      <c r="U1216" s="1" t="str">
        <f>IF(ESTIMATIVA[[#This Row],[QT_AREA_REAL]]&gt;0,"1- Colhido","2- à Colher")</f>
        <v>1- Colhido</v>
      </c>
      <c r="V1216" s="1" t="str">
        <f>IF(ESTIMATIVA[[#This Row],[QT_AREA_REST1]]&gt;0,"Reestimativa 1",IF(ESTIMATIVA[[#This Row],[QT_AREA_REAL]]=0,"Reestimativa 1","Realizado"))</f>
        <v>Realizado</v>
      </c>
      <c r="W1216" s="1" t="str">
        <f>IF(ESTIMATIVA[[#This Row],[QT_AREA_REST2]]&gt;0,"Reestimativa 2",IF(ESTIMATIVA[[#This Row],[QT_AREA_REAL]]=0,"Reestimativa 2","Realizado"))</f>
        <v>Realizado</v>
      </c>
      <c r="X1216" s="1">
        <f>ESTIMATIVA[[#This Row],[QT_AREA_EST]]</f>
        <v>11.35</v>
      </c>
      <c r="Y1216" s="1">
        <f>IF(ESTIMATIVA[[#This Row],[QT_AREA_REST1]]&gt;0,ESTIMATIVA[[#This Row],[QT_AREA_REST1]],
  IF(ESTIMATIVA[[#This Row],[QT_AREA_REAL]]&gt;0,ESTIMATIVA[[#This Row],[QT_AREA_REAL]],ESTIMATIVA[[#This Row],[QT_AREA_EST]]))</f>
        <v>11.35</v>
      </c>
      <c r="Z121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11.35</v>
      </c>
      <c r="AA1216" s="1">
        <f>ESTIMATIVA[[#This Row],[QT_CANA_EST]]</f>
        <v>612.9</v>
      </c>
      <c r="AB1216" s="1">
        <f>IF(ESTIMATIVA[[#This Row],[QT_CANA_REST1]]&gt;0,ESTIMATIVA[[#This Row],[QT_CANA_REST1]],
  IF(ESTIMATIVA[[#This Row],[QT_CANA_REAL]]&gt;0,ESTIMATIVA[[#This Row],[QT_CANA_REAL]],ESTIMATIVA[[#This Row],[QT_CANA_EST]]))</f>
        <v>742.3</v>
      </c>
      <c r="AC121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742.3</v>
      </c>
      <c r="AD1216" s="1">
        <f>IF(ESTIMATIVA[[#This Row],[QT_AREA_REAL]]&gt;0,ESTIMATIVA[[#This Row],[QT_CANA_REAL]],ESTIMATIVA[[#This Row],[QT_CANA_EST]])</f>
        <v>742.3</v>
      </c>
      <c r="AE1216" s="1">
        <f>IF(ESTIMATIVA[[#This Row],[QT_AREA_REAL]]&gt;0,ESTIMATIVA[[#This Row],[QT_CANA_REAL]],ESTIMATIVA[[#This Row],[QT_CANA_REST1]])</f>
        <v>742.3</v>
      </c>
      <c r="AF1216" s="1">
        <f>IF(ESTIMATIVA[[#This Row],[QT_AREA_REAL]]&gt;0,ESTIMATIVA[[#This Row],[QT_CANA_REAL]],ESTIMATIVA[[#This Row],[QT_CANA_REST2]])</f>
        <v>742.3</v>
      </c>
      <c r="AG1216" s="1" t="str">
        <f>IF(COUNTIFS(GEADA!A:A,VALUE(ESTIMATIVA[[#This Row],[CD_UPNIVEL1]]&amp;TEXT(ESTIMATIVA[[#This Row],[CD_UPNIVEL3]],"0000")))&gt;0,"S","N")</f>
        <v>N</v>
      </c>
      <c r="AH121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16" s="55" t="str">
        <f>IF(ESTIMATIVA[[#This Row],[TP_CULTIVO]]="Irrigado",_xlfn.MAXIFS(IRRIGADO!J:J,IRRIGADO!C:C,ESTIMATIVA[[#This Row],[CD_UPNIVEL1]],IRRIGADO!E:E,ESTIMATIVA[[#This Row],[CD_UPNIVEL3]]),"")</f>
        <v/>
      </c>
      <c r="AJ121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16" s="1">
        <f>COUNTIFS(Apresentação!$E$23:$E$29,ESTIMATIVA[[#This Row],[CD_UPNIVEL1]])</f>
        <v>0</v>
      </c>
    </row>
    <row r="1217" spans="1:37" x14ac:dyDescent="0.3">
      <c r="A1217">
        <v>20511</v>
      </c>
      <c r="B1217" t="s">
        <v>67</v>
      </c>
      <c r="C1217">
        <v>101</v>
      </c>
      <c r="D1217">
        <v>5</v>
      </c>
      <c r="E1217" t="s">
        <v>268</v>
      </c>
      <c r="F1217" s="85" t="s">
        <v>331</v>
      </c>
      <c r="G1217"/>
      <c r="H1217" t="s">
        <v>294</v>
      </c>
      <c r="I1217" t="s">
        <v>221</v>
      </c>
      <c r="J1217" t="s">
        <v>176</v>
      </c>
      <c r="K1217" s="1">
        <v>5.96</v>
      </c>
      <c r="L1217" s="1">
        <v>0</v>
      </c>
      <c r="M1217" s="1">
        <v>0</v>
      </c>
      <c r="N1217" s="1">
        <v>5.96</v>
      </c>
      <c r="O1217" s="1">
        <v>321.83999999999997</v>
      </c>
      <c r="P1217" s="1">
        <v>0</v>
      </c>
      <c r="Q1217" s="1">
        <v>0</v>
      </c>
      <c r="R1217" s="1">
        <v>391.78</v>
      </c>
      <c r="S1217" t="s">
        <v>12</v>
      </c>
      <c r="T1217" s="13">
        <v>45837</v>
      </c>
      <c r="U1217" s="1" t="str">
        <f>IF(ESTIMATIVA[[#This Row],[QT_AREA_REAL]]&gt;0,"1- Colhido","2- à Colher")</f>
        <v>1- Colhido</v>
      </c>
      <c r="V1217" s="1" t="str">
        <f>IF(ESTIMATIVA[[#This Row],[QT_AREA_REST1]]&gt;0,"Reestimativa 1",IF(ESTIMATIVA[[#This Row],[QT_AREA_REAL]]=0,"Reestimativa 1","Realizado"))</f>
        <v>Realizado</v>
      </c>
      <c r="W1217" s="1" t="str">
        <f>IF(ESTIMATIVA[[#This Row],[QT_AREA_REST2]]&gt;0,"Reestimativa 2",IF(ESTIMATIVA[[#This Row],[QT_AREA_REAL]]=0,"Reestimativa 2","Realizado"))</f>
        <v>Realizado</v>
      </c>
      <c r="X1217" s="1">
        <f>ESTIMATIVA[[#This Row],[QT_AREA_EST]]</f>
        <v>5.96</v>
      </c>
      <c r="Y1217" s="1">
        <f>IF(ESTIMATIVA[[#This Row],[QT_AREA_REST1]]&gt;0,ESTIMATIVA[[#This Row],[QT_AREA_REST1]],
  IF(ESTIMATIVA[[#This Row],[QT_AREA_REAL]]&gt;0,ESTIMATIVA[[#This Row],[QT_AREA_REAL]],ESTIMATIVA[[#This Row],[QT_AREA_EST]]))</f>
        <v>5.96</v>
      </c>
      <c r="Z121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5.96</v>
      </c>
      <c r="AA1217" s="1">
        <f>ESTIMATIVA[[#This Row],[QT_CANA_EST]]</f>
        <v>321.83999999999997</v>
      </c>
      <c r="AB1217" s="1">
        <f>IF(ESTIMATIVA[[#This Row],[QT_CANA_REST1]]&gt;0,ESTIMATIVA[[#This Row],[QT_CANA_REST1]],
  IF(ESTIMATIVA[[#This Row],[QT_CANA_REAL]]&gt;0,ESTIMATIVA[[#This Row],[QT_CANA_REAL]],ESTIMATIVA[[#This Row],[QT_CANA_EST]]))</f>
        <v>391.78</v>
      </c>
      <c r="AC121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391.78</v>
      </c>
      <c r="AD1217" s="1">
        <f>IF(ESTIMATIVA[[#This Row],[QT_AREA_REAL]]&gt;0,ESTIMATIVA[[#This Row],[QT_CANA_REAL]],ESTIMATIVA[[#This Row],[QT_CANA_EST]])</f>
        <v>391.78</v>
      </c>
      <c r="AE1217" s="1">
        <f>IF(ESTIMATIVA[[#This Row],[QT_AREA_REAL]]&gt;0,ESTIMATIVA[[#This Row],[QT_CANA_REAL]],ESTIMATIVA[[#This Row],[QT_CANA_REST1]])</f>
        <v>391.78</v>
      </c>
      <c r="AF1217" s="1">
        <f>IF(ESTIMATIVA[[#This Row],[QT_AREA_REAL]]&gt;0,ESTIMATIVA[[#This Row],[QT_CANA_REAL]],ESTIMATIVA[[#This Row],[QT_CANA_REST2]])</f>
        <v>391.78</v>
      </c>
      <c r="AG1217" s="1" t="str">
        <f>IF(COUNTIFS(GEADA!A:A,VALUE(ESTIMATIVA[[#This Row],[CD_UPNIVEL1]]&amp;TEXT(ESTIMATIVA[[#This Row],[CD_UPNIVEL3]],"0000")))&gt;0,"S","N")</f>
        <v>N</v>
      </c>
      <c r="AH121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17" s="55" t="str">
        <f>IF(ESTIMATIVA[[#This Row],[TP_CULTIVO]]="Irrigado",_xlfn.MAXIFS(IRRIGADO!J:J,IRRIGADO!C:C,ESTIMATIVA[[#This Row],[CD_UPNIVEL1]],IRRIGADO!E:E,ESTIMATIVA[[#This Row],[CD_UPNIVEL3]]),"")</f>
        <v/>
      </c>
      <c r="AJ121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17" s="1">
        <f>COUNTIFS(Apresentação!$E$23:$E$29,ESTIMATIVA[[#This Row],[CD_UPNIVEL1]])</f>
        <v>0</v>
      </c>
    </row>
    <row r="1218" spans="1:37" x14ac:dyDescent="0.3">
      <c r="A1218">
        <v>20511</v>
      </c>
      <c r="B1218" t="s">
        <v>67</v>
      </c>
      <c r="C1218">
        <v>102</v>
      </c>
      <c r="D1218">
        <v>5</v>
      </c>
      <c r="E1218" t="s">
        <v>268</v>
      </c>
      <c r="F1218" s="85" t="s">
        <v>331</v>
      </c>
      <c r="G1218"/>
      <c r="H1218" t="s">
        <v>294</v>
      </c>
      <c r="I1218" t="s">
        <v>221</v>
      </c>
      <c r="J1218" t="s">
        <v>176</v>
      </c>
      <c r="K1218" s="1">
        <v>35.520000000000003</v>
      </c>
      <c r="L1218" s="1">
        <v>0</v>
      </c>
      <c r="M1218" s="1">
        <v>0</v>
      </c>
      <c r="N1218" s="1">
        <v>35.520000000000003</v>
      </c>
      <c r="O1218" s="1">
        <v>1918.08</v>
      </c>
      <c r="P1218" s="1">
        <v>0</v>
      </c>
      <c r="Q1218" s="1">
        <v>0</v>
      </c>
      <c r="R1218" s="1">
        <v>2332.38</v>
      </c>
      <c r="S1218" t="s">
        <v>12</v>
      </c>
      <c r="T1218" s="13">
        <v>45837</v>
      </c>
      <c r="U1218" s="1" t="str">
        <f>IF(ESTIMATIVA[[#This Row],[QT_AREA_REAL]]&gt;0,"1- Colhido","2- à Colher")</f>
        <v>1- Colhido</v>
      </c>
      <c r="V1218" s="1" t="str">
        <f>IF(ESTIMATIVA[[#This Row],[QT_AREA_REST1]]&gt;0,"Reestimativa 1",IF(ESTIMATIVA[[#This Row],[QT_AREA_REAL]]=0,"Reestimativa 1","Realizado"))</f>
        <v>Realizado</v>
      </c>
      <c r="W1218" s="1" t="str">
        <f>IF(ESTIMATIVA[[#This Row],[QT_AREA_REST2]]&gt;0,"Reestimativa 2",IF(ESTIMATIVA[[#This Row],[QT_AREA_REAL]]=0,"Reestimativa 2","Realizado"))</f>
        <v>Realizado</v>
      </c>
      <c r="X1218" s="1">
        <f>ESTIMATIVA[[#This Row],[QT_AREA_EST]]</f>
        <v>35.520000000000003</v>
      </c>
      <c r="Y1218" s="1">
        <f>IF(ESTIMATIVA[[#This Row],[QT_AREA_REST1]]&gt;0,ESTIMATIVA[[#This Row],[QT_AREA_REST1]],
  IF(ESTIMATIVA[[#This Row],[QT_AREA_REAL]]&gt;0,ESTIMATIVA[[#This Row],[QT_AREA_REAL]],ESTIMATIVA[[#This Row],[QT_AREA_EST]]))</f>
        <v>35.520000000000003</v>
      </c>
      <c r="Z121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35.520000000000003</v>
      </c>
      <c r="AA1218" s="1">
        <f>ESTIMATIVA[[#This Row],[QT_CANA_EST]]</f>
        <v>1918.08</v>
      </c>
      <c r="AB1218" s="1">
        <f>IF(ESTIMATIVA[[#This Row],[QT_CANA_REST1]]&gt;0,ESTIMATIVA[[#This Row],[QT_CANA_REST1]],
  IF(ESTIMATIVA[[#This Row],[QT_CANA_REAL]]&gt;0,ESTIMATIVA[[#This Row],[QT_CANA_REAL]],ESTIMATIVA[[#This Row],[QT_CANA_EST]]))</f>
        <v>2332.38</v>
      </c>
      <c r="AC121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2332.38</v>
      </c>
      <c r="AD1218" s="1">
        <f>IF(ESTIMATIVA[[#This Row],[QT_AREA_REAL]]&gt;0,ESTIMATIVA[[#This Row],[QT_CANA_REAL]],ESTIMATIVA[[#This Row],[QT_CANA_EST]])</f>
        <v>2332.38</v>
      </c>
      <c r="AE1218" s="1">
        <f>IF(ESTIMATIVA[[#This Row],[QT_AREA_REAL]]&gt;0,ESTIMATIVA[[#This Row],[QT_CANA_REAL]],ESTIMATIVA[[#This Row],[QT_CANA_REST1]])</f>
        <v>2332.38</v>
      </c>
      <c r="AF1218" s="1">
        <f>IF(ESTIMATIVA[[#This Row],[QT_AREA_REAL]]&gt;0,ESTIMATIVA[[#This Row],[QT_CANA_REAL]],ESTIMATIVA[[#This Row],[QT_CANA_REST2]])</f>
        <v>2332.38</v>
      </c>
      <c r="AG1218" s="1" t="str">
        <f>IF(COUNTIFS(GEADA!A:A,VALUE(ESTIMATIVA[[#This Row],[CD_UPNIVEL1]]&amp;TEXT(ESTIMATIVA[[#This Row],[CD_UPNIVEL3]],"0000")))&gt;0,"S","N")</f>
        <v>N</v>
      </c>
      <c r="AH121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18" s="55" t="str">
        <f>IF(ESTIMATIVA[[#This Row],[TP_CULTIVO]]="Irrigado",_xlfn.MAXIFS(IRRIGADO!J:J,IRRIGADO!C:C,ESTIMATIVA[[#This Row],[CD_UPNIVEL1]],IRRIGADO!E:E,ESTIMATIVA[[#This Row],[CD_UPNIVEL3]]),"")</f>
        <v/>
      </c>
      <c r="AJ121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18" s="1">
        <f>COUNTIFS(Apresentação!$E$23:$E$29,ESTIMATIVA[[#This Row],[CD_UPNIVEL1]])</f>
        <v>0</v>
      </c>
    </row>
    <row r="1219" spans="1:37" x14ac:dyDescent="0.3">
      <c r="A1219">
        <v>20511</v>
      </c>
      <c r="B1219" t="s">
        <v>67</v>
      </c>
      <c r="C1219">
        <v>103</v>
      </c>
      <c r="D1219">
        <v>5</v>
      </c>
      <c r="E1219" t="s">
        <v>268</v>
      </c>
      <c r="F1219" s="85" t="s">
        <v>331</v>
      </c>
      <c r="G1219"/>
      <c r="H1219" t="s">
        <v>294</v>
      </c>
      <c r="I1219" t="s">
        <v>194</v>
      </c>
      <c r="J1219" t="s">
        <v>176</v>
      </c>
      <c r="K1219" s="1">
        <v>15.86</v>
      </c>
      <c r="L1219" s="1">
        <v>0</v>
      </c>
      <c r="M1219" s="1">
        <v>0</v>
      </c>
      <c r="N1219" s="1">
        <v>15.86</v>
      </c>
      <c r="O1219" s="1">
        <v>856.44</v>
      </c>
      <c r="P1219" s="1">
        <v>0</v>
      </c>
      <c r="Q1219" s="1">
        <v>0</v>
      </c>
      <c r="R1219" s="1">
        <v>1043.48</v>
      </c>
      <c r="S1219" t="s">
        <v>12</v>
      </c>
      <c r="T1219" s="13">
        <v>45837</v>
      </c>
      <c r="U1219" s="1" t="str">
        <f>IF(ESTIMATIVA[[#This Row],[QT_AREA_REAL]]&gt;0,"1- Colhido","2- à Colher")</f>
        <v>1- Colhido</v>
      </c>
      <c r="V1219" s="1" t="str">
        <f>IF(ESTIMATIVA[[#This Row],[QT_AREA_REST1]]&gt;0,"Reestimativa 1",IF(ESTIMATIVA[[#This Row],[QT_AREA_REAL]]=0,"Reestimativa 1","Realizado"))</f>
        <v>Realizado</v>
      </c>
      <c r="W1219" s="1" t="str">
        <f>IF(ESTIMATIVA[[#This Row],[QT_AREA_REST2]]&gt;0,"Reestimativa 2",IF(ESTIMATIVA[[#This Row],[QT_AREA_REAL]]=0,"Reestimativa 2","Realizado"))</f>
        <v>Realizado</v>
      </c>
      <c r="X1219" s="1">
        <f>ESTIMATIVA[[#This Row],[QT_AREA_EST]]</f>
        <v>15.86</v>
      </c>
      <c r="Y1219" s="1">
        <f>IF(ESTIMATIVA[[#This Row],[QT_AREA_REST1]]&gt;0,ESTIMATIVA[[#This Row],[QT_AREA_REST1]],
  IF(ESTIMATIVA[[#This Row],[QT_AREA_REAL]]&gt;0,ESTIMATIVA[[#This Row],[QT_AREA_REAL]],ESTIMATIVA[[#This Row],[QT_AREA_EST]]))</f>
        <v>15.86</v>
      </c>
      <c r="Z121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15.86</v>
      </c>
      <c r="AA1219" s="1">
        <f>ESTIMATIVA[[#This Row],[QT_CANA_EST]]</f>
        <v>856.44</v>
      </c>
      <c r="AB1219" s="1">
        <f>IF(ESTIMATIVA[[#This Row],[QT_CANA_REST1]]&gt;0,ESTIMATIVA[[#This Row],[QT_CANA_REST1]],
  IF(ESTIMATIVA[[#This Row],[QT_CANA_REAL]]&gt;0,ESTIMATIVA[[#This Row],[QT_CANA_REAL]],ESTIMATIVA[[#This Row],[QT_CANA_EST]]))</f>
        <v>1043.48</v>
      </c>
      <c r="AC121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1043.48</v>
      </c>
      <c r="AD1219" s="1">
        <f>IF(ESTIMATIVA[[#This Row],[QT_AREA_REAL]]&gt;0,ESTIMATIVA[[#This Row],[QT_CANA_REAL]],ESTIMATIVA[[#This Row],[QT_CANA_EST]])</f>
        <v>1043.48</v>
      </c>
      <c r="AE1219" s="1">
        <f>IF(ESTIMATIVA[[#This Row],[QT_AREA_REAL]]&gt;0,ESTIMATIVA[[#This Row],[QT_CANA_REAL]],ESTIMATIVA[[#This Row],[QT_CANA_REST1]])</f>
        <v>1043.48</v>
      </c>
      <c r="AF1219" s="1">
        <f>IF(ESTIMATIVA[[#This Row],[QT_AREA_REAL]]&gt;0,ESTIMATIVA[[#This Row],[QT_CANA_REAL]],ESTIMATIVA[[#This Row],[QT_CANA_REST2]])</f>
        <v>1043.48</v>
      </c>
      <c r="AG1219" s="1" t="str">
        <f>IF(COUNTIFS(GEADA!A:A,VALUE(ESTIMATIVA[[#This Row],[CD_UPNIVEL1]]&amp;TEXT(ESTIMATIVA[[#This Row],[CD_UPNIVEL3]],"0000")))&gt;0,"S","N")</f>
        <v>N</v>
      </c>
      <c r="AH121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19" s="55" t="str">
        <f>IF(ESTIMATIVA[[#This Row],[TP_CULTIVO]]="Irrigado",_xlfn.MAXIFS(IRRIGADO!J:J,IRRIGADO!C:C,ESTIMATIVA[[#This Row],[CD_UPNIVEL1]],IRRIGADO!E:E,ESTIMATIVA[[#This Row],[CD_UPNIVEL3]]),"")</f>
        <v/>
      </c>
      <c r="AJ121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19" s="1">
        <f>COUNTIFS(Apresentação!$E$23:$E$29,ESTIMATIVA[[#This Row],[CD_UPNIVEL1]])</f>
        <v>0</v>
      </c>
    </row>
    <row r="1220" spans="1:37" x14ac:dyDescent="0.3">
      <c r="A1220">
        <v>20511</v>
      </c>
      <c r="B1220" t="s">
        <v>67</v>
      </c>
      <c r="C1220">
        <v>104</v>
      </c>
      <c r="D1220">
        <v>5</v>
      </c>
      <c r="E1220" t="s">
        <v>268</v>
      </c>
      <c r="F1220" s="85" t="s">
        <v>331</v>
      </c>
      <c r="G1220"/>
      <c r="H1220" t="s">
        <v>294</v>
      </c>
      <c r="I1220" t="s">
        <v>194</v>
      </c>
      <c r="J1220" t="s">
        <v>176</v>
      </c>
      <c r="K1220" s="1">
        <v>29.47</v>
      </c>
      <c r="L1220" s="1">
        <v>0</v>
      </c>
      <c r="M1220" s="1">
        <v>0</v>
      </c>
      <c r="N1220" s="1">
        <v>29.47</v>
      </c>
      <c r="O1220" s="1">
        <v>1502.97</v>
      </c>
      <c r="P1220" s="1">
        <v>0</v>
      </c>
      <c r="Q1220" s="1">
        <v>0</v>
      </c>
      <c r="R1220" s="1">
        <v>1827.14</v>
      </c>
      <c r="S1220" t="s">
        <v>12</v>
      </c>
      <c r="T1220" s="13">
        <v>45837</v>
      </c>
      <c r="U1220" s="1" t="str">
        <f>IF(ESTIMATIVA[[#This Row],[QT_AREA_REAL]]&gt;0,"1- Colhido","2- à Colher")</f>
        <v>1- Colhido</v>
      </c>
      <c r="V1220" s="1" t="str">
        <f>IF(ESTIMATIVA[[#This Row],[QT_AREA_REST1]]&gt;0,"Reestimativa 1",IF(ESTIMATIVA[[#This Row],[QT_AREA_REAL]]=0,"Reestimativa 1","Realizado"))</f>
        <v>Realizado</v>
      </c>
      <c r="W1220" s="1" t="str">
        <f>IF(ESTIMATIVA[[#This Row],[QT_AREA_REST2]]&gt;0,"Reestimativa 2",IF(ESTIMATIVA[[#This Row],[QT_AREA_REAL]]=0,"Reestimativa 2","Realizado"))</f>
        <v>Realizado</v>
      </c>
      <c r="X1220" s="1">
        <f>ESTIMATIVA[[#This Row],[QT_AREA_EST]]</f>
        <v>29.47</v>
      </c>
      <c r="Y1220" s="1">
        <f>IF(ESTIMATIVA[[#This Row],[QT_AREA_REST1]]&gt;0,ESTIMATIVA[[#This Row],[QT_AREA_REST1]],
  IF(ESTIMATIVA[[#This Row],[QT_AREA_REAL]]&gt;0,ESTIMATIVA[[#This Row],[QT_AREA_REAL]],ESTIMATIVA[[#This Row],[QT_AREA_EST]]))</f>
        <v>29.47</v>
      </c>
      <c r="Z122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29.47</v>
      </c>
      <c r="AA1220" s="1">
        <f>ESTIMATIVA[[#This Row],[QT_CANA_EST]]</f>
        <v>1502.97</v>
      </c>
      <c r="AB1220" s="1">
        <f>IF(ESTIMATIVA[[#This Row],[QT_CANA_REST1]]&gt;0,ESTIMATIVA[[#This Row],[QT_CANA_REST1]],
  IF(ESTIMATIVA[[#This Row],[QT_CANA_REAL]]&gt;0,ESTIMATIVA[[#This Row],[QT_CANA_REAL]],ESTIMATIVA[[#This Row],[QT_CANA_EST]]))</f>
        <v>1827.14</v>
      </c>
      <c r="AC122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1827.14</v>
      </c>
      <c r="AD1220" s="1">
        <f>IF(ESTIMATIVA[[#This Row],[QT_AREA_REAL]]&gt;0,ESTIMATIVA[[#This Row],[QT_CANA_REAL]],ESTIMATIVA[[#This Row],[QT_CANA_EST]])</f>
        <v>1827.14</v>
      </c>
      <c r="AE1220" s="1">
        <f>IF(ESTIMATIVA[[#This Row],[QT_AREA_REAL]]&gt;0,ESTIMATIVA[[#This Row],[QT_CANA_REAL]],ESTIMATIVA[[#This Row],[QT_CANA_REST1]])</f>
        <v>1827.14</v>
      </c>
      <c r="AF1220" s="1">
        <f>IF(ESTIMATIVA[[#This Row],[QT_AREA_REAL]]&gt;0,ESTIMATIVA[[#This Row],[QT_CANA_REAL]],ESTIMATIVA[[#This Row],[QT_CANA_REST2]])</f>
        <v>1827.14</v>
      </c>
      <c r="AG1220" s="1" t="str">
        <f>IF(COUNTIFS(GEADA!A:A,VALUE(ESTIMATIVA[[#This Row],[CD_UPNIVEL1]]&amp;TEXT(ESTIMATIVA[[#This Row],[CD_UPNIVEL3]],"0000")))&gt;0,"S","N")</f>
        <v>N</v>
      </c>
      <c r="AH122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20" s="55" t="str">
        <f>IF(ESTIMATIVA[[#This Row],[TP_CULTIVO]]="Irrigado",_xlfn.MAXIFS(IRRIGADO!J:J,IRRIGADO!C:C,ESTIMATIVA[[#This Row],[CD_UPNIVEL1]],IRRIGADO!E:E,ESTIMATIVA[[#This Row],[CD_UPNIVEL3]]),"")</f>
        <v/>
      </c>
      <c r="AJ122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20" s="1">
        <f>COUNTIFS(Apresentação!$E$23:$E$29,ESTIMATIVA[[#This Row],[CD_UPNIVEL1]])</f>
        <v>0</v>
      </c>
    </row>
    <row r="1221" spans="1:37" x14ac:dyDescent="0.3">
      <c r="A1221">
        <v>20511</v>
      </c>
      <c r="B1221" t="s">
        <v>67</v>
      </c>
      <c r="C1221">
        <v>105</v>
      </c>
      <c r="D1221">
        <v>5</v>
      </c>
      <c r="E1221" t="s">
        <v>268</v>
      </c>
      <c r="F1221" s="85" t="s">
        <v>331</v>
      </c>
      <c r="G1221"/>
      <c r="H1221" t="s">
        <v>294</v>
      </c>
      <c r="I1221" t="s">
        <v>221</v>
      </c>
      <c r="J1221" t="s">
        <v>176</v>
      </c>
      <c r="K1221" s="1">
        <v>20.86</v>
      </c>
      <c r="L1221" s="1">
        <v>0</v>
      </c>
      <c r="M1221" s="1">
        <v>0</v>
      </c>
      <c r="N1221" s="1">
        <v>20.86</v>
      </c>
      <c r="O1221" s="1">
        <v>1063.8599999999999</v>
      </c>
      <c r="P1221" s="1">
        <v>0</v>
      </c>
      <c r="Q1221" s="1">
        <v>0</v>
      </c>
      <c r="R1221" s="1">
        <v>1268.76</v>
      </c>
      <c r="S1221" t="s">
        <v>12</v>
      </c>
      <c r="T1221" s="13">
        <v>45837</v>
      </c>
      <c r="U1221" s="1" t="str">
        <f>IF(ESTIMATIVA[[#This Row],[QT_AREA_REAL]]&gt;0,"1- Colhido","2- à Colher")</f>
        <v>1- Colhido</v>
      </c>
      <c r="V1221" s="1" t="str">
        <f>IF(ESTIMATIVA[[#This Row],[QT_AREA_REST1]]&gt;0,"Reestimativa 1",IF(ESTIMATIVA[[#This Row],[QT_AREA_REAL]]=0,"Reestimativa 1","Realizado"))</f>
        <v>Realizado</v>
      </c>
      <c r="W1221" s="1" t="str">
        <f>IF(ESTIMATIVA[[#This Row],[QT_AREA_REST2]]&gt;0,"Reestimativa 2",IF(ESTIMATIVA[[#This Row],[QT_AREA_REAL]]=0,"Reestimativa 2","Realizado"))</f>
        <v>Realizado</v>
      </c>
      <c r="X1221" s="1">
        <f>ESTIMATIVA[[#This Row],[QT_AREA_EST]]</f>
        <v>20.86</v>
      </c>
      <c r="Y1221" s="1">
        <f>IF(ESTIMATIVA[[#This Row],[QT_AREA_REST1]]&gt;0,ESTIMATIVA[[#This Row],[QT_AREA_REST1]],
  IF(ESTIMATIVA[[#This Row],[QT_AREA_REAL]]&gt;0,ESTIMATIVA[[#This Row],[QT_AREA_REAL]],ESTIMATIVA[[#This Row],[QT_AREA_EST]]))</f>
        <v>20.86</v>
      </c>
      <c r="Z122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20.86</v>
      </c>
      <c r="AA1221" s="1">
        <f>ESTIMATIVA[[#This Row],[QT_CANA_EST]]</f>
        <v>1063.8599999999999</v>
      </c>
      <c r="AB1221" s="1">
        <f>IF(ESTIMATIVA[[#This Row],[QT_CANA_REST1]]&gt;0,ESTIMATIVA[[#This Row],[QT_CANA_REST1]],
  IF(ESTIMATIVA[[#This Row],[QT_CANA_REAL]]&gt;0,ESTIMATIVA[[#This Row],[QT_CANA_REAL]],ESTIMATIVA[[#This Row],[QT_CANA_EST]]))</f>
        <v>1268.76</v>
      </c>
      <c r="AC122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1268.76</v>
      </c>
      <c r="AD1221" s="1">
        <f>IF(ESTIMATIVA[[#This Row],[QT_AREA_REAL]]&gt;0,ESTIMATIVA[[#This Row],[QT_CANA_REAL]],ESTIMATIVA[[#This Row],[QT_CANA_EST]])</f>
        <v>1268.76</v>
      </c>
      <c r="AE1221" s="1">
        <f>IF(ESTIMATIVA[[#This Row],[QT_AREA_REAL]]&gt;0,ESTIMATIVA[[#This Row],[QT_CANA_REAL]],ESTIMATIVA[[#This Row],[QT_CANA_REST1]])</f>
        <v>1268.76</v>
      </c>
      <c r="AF1221" s="1">
        <f>IF(ESTIMATIVA[[#This Row],[QT_AREA_REAL]]&gt;0,ESTIMATIVA[[#This Row],[QT_CANA_REAL]],ESTIMATIVA[[#This Row],[QT_CANA_REST2]])</f>
        <v>1268.76</v>
      </c>
      <c r="AG1221" s="1" t="str">
        <f>IF(COUNTIFS(GEADA!A:A,VALUE(ESTIMATIVA[[#This Row],[CD_UPNIVEL1]]&amp;TEXT(ESTIMATIVA[[#This Row],[CD_UPNIVEL3]],"0000")))&gt;0,"S","N")</f>
        <v>N</v>
      </c>
      <c r="AH122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21" s="55" t="str">
        <f>IF(ESTIMATIVA[[#This Row],[TP_CULTIVO]]="Irrigado",_xlfn.MAXIFS(IRRIGADO!J:J,IRRIGADO!C:C,ESTIMATIVA[[#This Row],[CD_UPNIVEL1]],IRRIGADO!E:E,ESTIMATIVA[[#This Row],[CD_UPNIVEL3]]),"")</f>
        <v/>
      </c>
      <c r="AJ122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21" s="1">
        <f>COUNTIFS(Apresentação!$E$23:$E$29,ESTIMATIVA[[#This Row],[CD_UPNIVEL1]])</f>
        <v>0</v>
      </c>
    </row>
    <row r="1222" spans="1:37" x14ac:dyDescent="0.3">
      <c r="A1222">
        <v>20511</v>
      </c>
      <c r="B1222" t="s">
        <v>67</v>
      </c>
      <c r="C1222">
        <v>106</v>
      </c>
      <c r="D1222">
        <v>5</v>
      </c>
      <c r="E1222" t="s">
        <v>268</v>
      </c>
      <c r="F1222" s="85" t="s">
        <v>331</v>
      </c>
      <c r="G1222"/>
      <c r="H1222" t="s">
        <v>294</v>
      </c>
      <c r="I1222" t="s">
        <v>194</v>
      </c>
      <c r="J1222" t="s">
        <v>176</v>
      </c>
      <c r="K1222" s="1">
        <v>24.09</v>
      </c>
      <c r="L1222" s="1">
        <v>0</v>
      </c>
      <c r="M1222" s="1">
        <v>0</v>
      </c>
      <c r="N1222" s="1">
        <v>24.09</v>
      </c>
      <c r="O1222" s="1">
        <v>1228.5899999999999</v>
      </c>
      <c r="P1222" s="1">
        <v>0</v>
      </c>
      <c r="Q1222" s="1">
        <v>0</v>
      </c>
      <c r="R1222" s="1">
        <v>1466.05</v>
      </c>
      <c r="S1222" t="s">
        <v>12</v>
      </c>
      <c r="T1222" s="13">
        <v>45837</v>
      </c>
      <c r="U1222" s="1" t="str">
        <f>IF(ESTIMATIVA[[#This Row],[QT_AREA_REAL]]&gt;0,"1- Colhido","2- à Colher")</f>
        <v>1- Colhido</v>
      </c>
      <c r="V1222" s="1" t="str">
        <f>IF(ESTIMATIVA[[#This Row],[QT_AREA_REST1]]&gt;0,"Reestimativa 1",IF(ESTIMATIVA[[#This Row],[QT_AREA_REAL]]=0,"Reestimativa 1","Realizado"))</f>
        <v>Realizado</v>
      </c>
      <c r="W1222" s="1" t="str">
        <f>IF(ESTIMATIVA[[#This Row],[QT_AREA_REST2]]&gt;0,"Reestimativa 2",IF(ESTIMATIVA[[#This Row],[QT_AREA_REAL]]=0,"Reestimativa 2","Realizado"))</f>
        <v>Realizado</v>
      </c>
      <c r="X1222" s="1">
        <f>ESTIMATIVA[[#This Row],[QT_AREA_EST]]</f>
        <v>24.09</v>
      </c>
      <c r="Y1222" s="1">
        <f>IF(ESTIMATIVA[[#This Row],[QT_AREA_REST1]]&gt;0,ESTIMATIVA[[#This Row],[QT_AREA_REST1]],
  IF(ESTIMATIVA[[#This Row],[QT_AREA_REAL]]&gt;0,ESTIMATIVA[[#This Row],[QT_AREA_REAL]],ESTIMATIVA[[#This Row],[QT_AREA_EST]]))</f>
        <v>24.09</v>
      </c>
      <c r="Z122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24.09</v>
      </c>
      <c r="AA1222" s="1">
        <f>ESTIMATIVA[[#This Row],[QT_CANA_EST]]</f>
        <v>1228.5899999999999</v>
      </c>
      <c r="AB1222" s="1">
        <f>IF(ESTIMATIVA[[#This Row],[QT_CANA_REST1]]&gt;0,ESTIMATIVA[[#This Row],[QT_CANA_REST1]],
  IF(ESTIMATIVA[[#This Row],[QT_CANA_REAL]]&gt;0,ESTIMATIVA[[#This Row],[QT_CANA_REAL]],ESTIMATIVA[[#This Row],[QT_CANA_EST]]))</f>
        <v>1466.05</v>
      </c>
      <c r="AC122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1466.05</v>
      </c>
      <c r="AD1222" s="1">
        <f>IF(ESTIMATIVA[[#This Row],[QT_AREA_REAL]]&gt;0,ESTIMATIVA[[#This Row],[QT_CANA_REAL]],ESTIMATIVA[[#This Row],[QT_CANA_EST]])</f>
        <v>1466.05</v>
      </c>
      <c r="AE1222" s="1">
        <f>IF(ESTIMATIVA[[#This Row],[QT_AREA_REAL]]&gt;0,ESTIMATIVA[[#This Row],[QT_CANA_REAL]],ESTIMATIVA[[#This Row],[QT_CANA_REST1]])</f>
        <v>1466.05</v>
      </c>
      <c r="AF1222" s="1">
        <f>IF(ESTIMATIVA[[#This Row],[QT_AREA_REAL]]&gt;0,ESTIMATIVA[[#This Row],[QT_CANA_REAL]],ESTIMATIVA[[#This Row],[QT_CANA_REST2]])</f>
        <v>1466.05</v>
      </c>
      <c r="AG1222" s="1" t="str">
        <f>IF(COUNTIFS(GEADA!A:A,VALUE(ESTIMATIVA[[#This Row],[CD_UPNIVEL1]]&amp;TEXT(ESTIMATIVA[[#This Row],[CD_UPNIVEL3]],"0000")))&gt;0,"S","N")</f>
        <v>N</v>
      </c>
      <c r="AH122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22" s="55" t="str">
        <f>IF(ESTIMATIVA[[#This Row],[TP_CULTIVO]]="Irrigado",_xlfn.MAXIFS(IRRIGADO!J:J,IRRIGADO!C:C,ESTIMATIVA[[#This Row],[CD_UPNIVEL1]],IRRIGADO!E:E,ESTIMATIVA[[#This Row],[CD_UPNIVEL3]]),"")</f>
        <v/>
      </c>
      <c r="AJ122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22" s="1">
        <f>COUNTIFS(Apresentação!$E$23:$E$29,ESTIMATIVA[[#This Row],[CD_UPNIVEL1]])</f>
        <v>0</v>
      </c>
    </row>
    <row r="1223" spans="1:37" x14ac:dyDescent="0.3">
      <c r="A1223">
        <v>20512</v>
      </c>
      <c r="B1223" t="s">
        <v>148</v>
      </c>
      <c r="C1223">
        <v>4</v>
      </c>
      <c r="D1223">
        <v>3</v>
      </c>
      <c r="E1223" t="s">
        <v>263</v>
      </c>
      <c r="F1223" s="85" t="s">
        <v>331</v>
      </c>
      <c r="G1223"/>
      <c r="H1223" t="s">
        <v>294</v>
      </c>
      <c r="I1223" t="s">
        <v>224</v>
      </c>
      <c r="J1223" t="s">
        <v>176</v>
      </c>
      <c r="K1223" s="1">
        <v>14.18</v>
      </c>
      <c r="L1223" s="1">
        <v>14.18</v>
      </c>
      <c r="M1223" s="1">
        <v>14.18</v>
      </c>
      <c r="N1223" s="1">
        <v>14.18</v>
      </c>
      <c r="O1223" s="1">
        <v>1063.5</v>
      </c>
      <c r="P1223" s="1">
        <v>1063.5</v>
      </c>
      <c r="Q1223" s="1">
        <v>964.24</v>
      </c>
      <c r="R1223" s="1">
        <v>900.68</v>
      </c>
      <c r="S1223" t="s">
        <v>12</v>
      </c>
      <c r="T1223" s="13">
        <v>46005</v>
      </c>
      <c r="U1223" s="1" t="str">
        <f>IF(ESTIMATIVA[[#This Row],[QT_AREA_REAL]]&gt;0,"1- Colhido","2- à Colher")</f>
        <v>1- Colhido</v>
      </c>
      <c r="V1223" s="1" t="str">
        <f>IF(ESTIMATIVA[[#This Row],[QT_AREA_REST1]]&gt;0,"Reestimativa 1",IF(ESTIMATIVA[[#This Row],[QT_AREA_REAL]]=0,"Reestimativa 1","Realizado"))</f>
        <v>Reestimativa 1</v>
      </c>
      <c r="W1223" s="1" t="str">
        <f>IF(ESTIMATIVA[[#This Row],[QT_AREA_REST2]]&gt;0,"Reestimativa 2",IF(ESTIMATIVA[[#This Row],[QT_AREA_REAL]]=0,"Reestimativa 2","Realizado"))</f>
        <v>Reestimativa 2</v>
      </c>
      <c r="X1223" s="1">
        <f>ESTIMATIVA[[#This Row],[QT_AREA_EST]]</f>
        <v>14.18</v>
      </c>
      <c r="Y1223" s="1">
        <f>IF(ESTIMATIVA[[#This Row],[QT_AREA_REST1]]&gt;0,ESTIMATIVA[[#This Row],[QT_AREA_REST1]],
  IF(ESTIMATIVA[[#This Row],[QT_AREA_REAL]]&gt;0,ESTIMATIVA[[#This Row],[QT_AREA_REAL]],ESTIMATIVA[[#This Row],[QT_AREA_EST]]))</f>
        <v>14.18</v>
      </c>
      <c r="Z122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14.18</v>
      </c>
      <c r="AA1223" s="1">
        <f>ESTIMATIVA[[#This Row],[QT_CANA_EST]]</f>
        <v>1063.5</v>
      </c>
      <c r="AB1223" s="1">
        <f>IF(ESTIMATIVA[[#This Row],[QT_CANA_REST1]]&gt;0,ESTIMATIVA[[#This Row],[QT_CANA_REST1]],
  IF(ESTIMATIVA[[#This Row],[QT_CANA_REAL]]&gt;0,ESTIMATIVA[[#This Row],[QT_CANA_REAL]],ESTIMATIVA[[#This Row],[QT_CANA_EST]]))</f>
        <v>1063.5</v>
      </c>
      <c r="AC122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964.24</v>
      </c>
      <c r="AD1223" s="1">
        <f>IF(ESTIMATIVA[[#This Row],[QT_AREA_REAL]]&gt;0,ESTIMATIVA[[#This Row],[QT_CANA_REAL]],ESTIMATIVA[[#This Row],[QT_CANA_EST]])</f>
        <v>900.68</v>
      </c>
      <c r="AE1223" s="1">
        <f>IF(ESTIMATIVA[[#This Row],[QT_AREA_REAL]]&gt;0,ESTIMATIVA[[#This Row],[QT_CANA_REAL]],ESTIMATIVA[[#This Row],[QT_CANA_REST1]])</f>
        <v>900.68</v>
      </c>
      <c r="AF1223" s="1">
        <f>IF(ESTIMATIVA[[#This Row],[QT_AREA_REAL]]&gt;0,ESTIMATIVA[[#This Row],[QT_CANA_REAL]],ESTIMATIVA[[#This Row],[QT_CANA_REST2]])</f>
        <v>900.68</v>
      </c>
      <c r="AG1223" s="1" t="str">
        <f>IF(COUNTIFS(GEADA!A:A,VALUE(ESTIMATIVA[[#This Row],[CD_UPNIVEL1]]&amp;TEXT(ESTIMATIVA[[#This Row],[CD_UPNIVEL3]],"0000")))&gt;0,"S","N")</f>
        <v>S</v>
      </c>
      <c r="AH122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23" s="55" t="str">
        <f>IF(ESTIMATIVA[[#This Row],[TP_CULTIVO]]="Irrigado",_xlfn.MAXIFS(IRRIGADO!J:J,IRRIGADO!C:C,ESTIMATIVA[[#This Row],[CD_UPNIVEL1]],IRRIGADO!E:E,ESTIMATIVA[[#This Row],[CD_UPNIVEL3]]),"")</f>
        <v/>
      </c>
      <c r="AJ122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23" s="1">
        <f>COUNTIFS(Apresentação!$E$23:$E$29,ESTIMATIVA[[#This Row],[CD_UPNIVEL1]])</f>
        <v>0</v>
      </c>
    </row>
    <row r="1224" spans="1:37" x14ac:dyDescent="0.3">
      <c r="A1224">
        <v>20515</v>
      </c>
      <c r="B1224" t="s">
        <v>149</v>
      </c>
      <c r="C1224">
        <v>1</v>
      </c>
      <c r="D1224">
        <v>6</v>
      </c>
      <c r="E1224" t="s">
        <v>261</v>
      </c>
      <c r="F1224" s="85" t="s">
        <v>332</v>
      </c>
      <c r="G1224"/>
      <c r="H1224" t="s">
        <v>294</v>
      </c>
      <c r="I1224" t="s">
        <v>194</v>
      </c>
      <c r="J1224" t="s">
        <v>176</v>
      </c>
      <c r="K1224" s="1">
        <v>8.6300000000000008</v>
      </c>
      <c r="L1224" s="1">
        <v>8.6300000000000008</v>
      </c>
      <c r="M1224" s="1">
        <v>8.6300000000000008</v>
      </c>
      <c r="N1224" s="1">
        <v>8.6300000000000008</v>
      </c>
      <c r="O1224" s="1">
        <v>276.16000000000003</v>
      </c>
      <c r="P1224" s="1">
        <v>241.64</v>
      </c>
      <c r="Q1224" s="1">
        <v>241.64</v>
      </c>
      <c r="R1224" s="1">
        <v>161.44</v>
      </c>
      <c r="S1224" t="s">
        <v>12</v>
      </c>
      <c r="T1224" s="13">
        <v>45977</v>
      </c>
      <c r="U1224" s="1" t="str">
        <f>IF(ESTIMATIVA[[#This Row],[QT_AREA_REAL]]&gt;0,"1- Colhido","2- à Colher")</f>
        <v>1- Colhido</v>
      </c>
      <c r="V1224" s="1" t="str">
        <f>IF(ESTIMATIVA[[#This Row],[QT_AREA_REST1]]&gt;0,"Reestimativa 1",IF(ESTIMATIVA[[#This Row],[QT_AREA_REAL]]=0,"Reestimativa 1","Realizado"))</f>
        <v>Reestimativa 1</v>
      </c>
      <c r="W1224" s="1" t="str">
        <f>IF(ESTIMATIVA[[#This Row],[QT_AREA_REST2]]&gt;0,"Reestimativa 2",IF(ESTIMATIVA[[#This Row],[QT_AREA_REAL]]=0,"Reestimativa 2","Realizado"))</f>
        <v>Reestimativa 2</v>
      </c>
      <c r="X1224" s="1">
        <f>ESTIMATIVA[[#This Row],[QT_AREA_EST]]</f>
        <v>8.6300000000000008</v>
      </c>
      <c r="Y1224" s="1">
        <f>IF(ESTIMATIVA[[#This Row],[QT_AREA_REST1]]&gt;0,ESTIMATIVA[[#This Row],[QT_AREA_REST1]],
  IF(ESTIMATIVA[[#This Row],[QT_AREA_REAL]]&gt;0,ESTIMATIVA[[#This Row],[QT_AREA_REAL]],ESTIMATIVA[[#This Row],[QT_AREA_EST]]))</f>
        <v>8.6300000000000008</v>
      </c>
      <c r="Z122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8.6300000000000008</v>
      </c>
      <c r="AA1224" s="1">
        <f>ESTIMATIVA[[#This Row],[QT_CANA_EST]]</f>
        <v>276.16000000000003</v>
      </c>
      <c r="AB1224" s="1">
        <f>IF(ESTIMATIVA[[#This Row],[QT_CANA_REST1]]&gt;0,ESTIMATIVA[[#This Row],[QT_CANA_REST1]],
  IF(ESTIMATIVA[[#This Row],[QT_CANA_REAL]]&gt;0,ESTIMATIVA[[#This Row],[QT_CANA_REAL]],ESTIMATIVA[[#This Row],[QT_CANA_EST]]))</f>
        <v>241.64</v>
      </c>
      <c r="AC122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241.64</v>
      </c>
      <c r="AD1224" s="1">
        <f>IF(ESTIMATIVA[[#This Row],[QT_AREA_REAL]]&gt;0,ESTIMATIVA[[#This Row],[QT_CANA_REAL]],ESTIMATIVA[[#This Row],[QT_CANA_EST]])</f>
        <v>161.44</v>
      </c>
      <c r="AE1224" s="1">
        <f>IF(ESTIMATIVA[[#This Row],[QT_AREA_REAL]]&gt;0,ESTIMATIVA[[#This Row],[QT_CANA_REAL]],ESTIMATIVA[[#This Row],[QT_CANA_REST1]])</f>
        <v>161.44</v>
      </c>
      <c r="AF1224" s="1">
        <f>IF(ESTIMATIVA[[#This Row],[QT_AREA_REAL]]&gt;0,ESTIMATIVA[[#This Row],[QT_CANA_REAL]],ESTIMATIVA[[#This Row],[QT_CANA_REST2]])</f>
        <v>161.44</v>
      </c>
      <c r="AG1224" s="1" t="str">
        <f>IF(COUNTIFS(GEADA!A:A,VALUE(ESTIMATIVA[[#This Row],[CD_UPNIVEL1]]&amp;TEXT(ESTIMATIVA[[#This Row],[CD_UPNIVEL3]],"0000")))&gt;0,"S","N")</f>
        <v>S</v>
      </c>
      <c r="AH122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24" s="55" t="str">
        <f>IF(ESTIMATIVA[[#This Row],[TP_CULTIVO]]="Irrigado",_xlfn.MAXIFS(IRRIGADO!J:J,IRRIGADO!C:C,ESTIMATIVA[[#This Row],[CD_UPNIVEL1]],IRRIGADO!E:E,ESTIMATIVA[[#This Row],[CD_UPNIVEL3]]),"")</f>
        <v/>
      </c>
      <c r="AJ122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24" s="1">
        <f>COUNTIFS(Apresentação!$E$23:$E$29,ESTIMATIVA[[#This Row],[CD_UPNIVEL1]])</f>
        <v>0</v>
      </c>
    </row>
    <row r="1225" spans="1:37" x14ac:dyDescent="0.3">
      <c r="A1225">
        <v>20515</v>
      </c>
      <c r="B1225" t="s">
        <v>149</v>
      </c>
      <c r="C1225">
        <v>2</v>
      </c>
      <c r="D1225">
        <v>6</v>
      </c>
      <c r="E1225" t="s">
        <v>261</v>
      </c>
      <c r="F1225" s="85" t="s">
        <v>332</v>
      </c>
      <c r="G1225"/>
      <c r="H1225" t="s">
        <v>294</v>
      </c>
      <c r="I1225" t="s">
        <v>194</v>
      </c>
      <c r="J1225" t="s">
        <v>176</v>
      </c>
      <c r="K1225" s="1">
        <v>7.27</v>
      </c>
      <c r="L1225" s="1">
        <v>7.27</v>
      </c>
      <c r="M1225" s="1">
        <v>7.27</v>
      </c>
      <c r="N1225" s="1">
        <v>7.27</v>
      </c>
      <c r="O1225" s="1">
        <v>232.64</v>
      </c>
      <c r="P1225" s="1">
        <v>203.56</v>
      </c>
      <c r="Q1225" s="1">
        <v>203.56</v>
      </c>
      <c r="R1225" s="1">
        <v>136.09</v>
      </c>
      <c r="S1225" t="s">
        <v>12</v>
      </c>
      <c r="T1225" s="13">
        <v>45977</v>
      </c>
      <c r="U1225" s="1" t="str">
        <f>IF(ESTIMATIVA[[#This Row],[QT_AREA_REAL]]&gt;0,"1- Colhido","2- à Colher")</f>
        <v>1- Colhido</v>
      </c>
      <c r="V1225" s="1" t="str">
        <f>IF(ESTIMATIVA[[#This Row],[QT_AREA_REST1]]&gt;0,"Reestimativa 1",IF(ESTIMATIVA[[#This Row],[QT_AREA_REAL]]=0,"Reestimativa 1","Realizado"))</f>
        <v>Reestimativa 1</v>
      </c>
      <c r="W1225" s="1" t="str">
        <f>IF(ESTIMATIVA[[#This Row],[QT_AREA_REST2]]&gt;0,"Reestimativa 2",IF(ESTIMATIVA[[#This Row],[QT_AREA_REAL]]=0,"Reestimativa 2","Realizado"))</f>
        <v>Reestimativa 2</v>
      </c>
      <c r="X1225" s="1">
        <f>ESTIMATIVA[[#This Row],[QT_AREA_EST]]</f>
        <v>7.27</v>
      </c>
      <c r="Y1225" s="1">
        <f>IF(ESTIMATIVA[[#This Row],[QT_AREA_REST1]]&gt;0,ESTIMATIVA[[#This Row],[QT_AREA_REST1]],
  IF(ESTIMATIVA[[#This Row],[QT_AREA_REAL]]&gt;0,ESTIMATIVA[[#This Row],[QT_AREA_REAL]],ESTIMATIVA[[#This Row],[QT_AREA_EST]]))</f>
        <v>7.27</v>
      </c>
      <c r="Z122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7.27</v>
      </c>
      <c r="AA1225" s="1">
        <f>ESTIMATIVA[[#This Row],[QT_CANA_EST]]</f>
        <v>232.64</v>
      </c>
      <c r="AB1225" s="1">
        <f>IF(ESTIMATIVA[[#This Row],[QT_CANA_REST1]]&gt;0,ESTIMATIVA[[#This Row],[QT_CANA_REST1]],
  IF(ESTIMATIVA[[#This Row],[QT_CANA_REAL]]&gt;0,ESTIMATIVA[[#This Row],[QT_CANA_REAL]],ESTIMATIVA[[#This Row],[QT_CANA_EST]]))</f>
        <v>203.56</v>
      </c>
      <c r="AC122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203.56</v>
      </c>
      <c r="AD1225" s="1">
        <f>IF(ESTIMATIVA[[#This Row],[QT_AREA_REAL]]&gt;0,ESTIMATIVA[[#This Row],[QT_CANA_REAL]],ESTIMATIVA[[#This Row],[QT_CANA_EST]])</f>
        <v>136.09</v>
      </c>
      <c r="AE1225" s="1">
        <f>IF(ESTIMATIVA[[#This Row],[QT_AREA_REAL]]&gt;0,ESTIMATIVA[[#This Row],[QT_CANA_REAL]],ESTIMATIVA[[#This Row],[QT_CANA_REST1]])</f>
        <v>136.09</v>
      </c>
      <c r="AF1225" s="1">
        <f>IF(ESTIMATIVA[[#This Row],[QT_AREA_REAL]]&gt;0,ESTIMATIVA[[#This Row],[QT_CANA_REAL]],ESTIMATIVA[[#This Row],[QT_CANA_REST2]])</f>
        <v>136.09</v>
      </c>
      <c r="AG1225" s="1" t="str">
        <f>IF(COUNTIFS(GEADA!A:A,VALUE(ESTIMATIVA[[#This Row],[CD_UPNIVEL1]]&amp;TEXT(ESTIMATIVA[[#This Row],[CD_UPNIVEL3]],"0000")))&gt;0,"S","N")</f>
        <v>S</v>
      </c>
      <c r="AH122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25" s="55" t="str">
        <f>IF(ESTIMATIVA[[#This Row],[TP_CULTIVO]]="Irrigado",_xlfn.MAXIFS(IRRIGADO!J:J,IRRIGADO!C:C,ESTIMATIVA[[#This Row],[CD_UPNIVEL1]],IRRIGADO!E:E,ESTIMATIVA[[#This Row],[CD_UPNIVEL3]]),"")</f>
        <v/>
      </c>
      <c r="AJ122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25" s="1">
        <f>COUNTIFS(Apresentação!$E$23:$E$29,ESTIMATIVA[[#This Row],[CD_UPNIVEL1]])</f>
        <v>0</v>
      </c>
    </row>
    <row r="1226" spans="1:37" x14ac:dyDescent="0.3">
      <c r="A1226">
        <v>20518</v>
      </c>
      <c r="B1226" t="s">
        <v>68</v>
      </c>
      <c r="C1226">
        <v>1</v>
      </c>
      <c r="D1226">
        <v>6</v>
      </c>
      <c r="E1226" t="s">
        <v>261</v>
      </c>
      <c r="F1226" s="85" t="s">
        <v>331</v>
      </c>
      <c r="G1226"/>
      <c r="H1226" t="s">
        <v>294</v>
      </c>
      <c r="I1226" t="s">
        <v>195</v>
      </c>
      <c r="J1226" t="s">
        <v>176</v>
      </c>
      <c r="K1226" s="1">
        <v>18.420000000000002</v>
      </c>
      <c r="L1226" s="1">
        <v>18.420000000000002</v>
      </c>
      <c r="M1226" s="1">
        <v>0</v>
      </c>
      <c r="N1226" s="1">
        <v>18.420000000000002</v>
      </c>
      <c r="O1226" s="1">
        <v>736.8</v>
      </c>
      <c r="P1226" s="1">
        <v>810.48</v>
      </c>
      <c r="Q1226" s="1">
        <v>0</v>
      </c>
      <c r="R1226" s="1">
        <v>1069.58</v>
      </c>
      <c r="S1226" t="s">
        <v>12</v>
      </c>
      <c r="T1226" s="13">
        <v>45900</v>
      </c>
      <c r="U1226" s="1" t="str">
        <f>IF(ESTIMATIVA[[#This Row],[QT_AREA_REAL]]&gt;0,"1- Colhido","2- à Colher")</f>
        <v>1- Colhido</v>
      </c>
      <c r="V1226" s="1" t="str">
        <f>IF(ESTIMATIVA[[#This Row],[QT_AREA_REST1]]&gt;0,"Reestimativa 1",IF(ESTIMATIVA[[#This Row],[QT_AREA_REAL]]=0,"Reestimativa 1","Realizado"))</f>
        <v>Reestimativa 1</v>
      </c>
      <c r="W1226" s="1" t="str">
        <f>IF(ESTIMATIVA[[#This Row],[QT_AREA_REST2]]&gt;0,"Reestimativa 2",IF(ESTIMATIVA[[#This Row],[QT_AREA_REAL]]=0,"Reestimativa 2","Realizado"))</f>
        <v>Realizado</v>
      </c>
      <c r="X1226" s="1">
        <f>ESTIMATIVA[[#This Row],[QT_AREA_EST]]</f>
        <v>18.420000000000002</v>
      </c>
      <c r="Y1226" s="1">
        <f>IF(ESTIMATIVA[[#This Row],[QT_AREA_REST1]]&gt;0,ESTIMATIVA[[#This Row],[QT_AREA_REST1]],
  IF(ESTIMATIVA[[#This Row],[QT_AREA_REAL]]&gt;0,ESTIMATIVA[[#This Row],[QT_AREA_REAL]],ESTIMATIVA[[#This Row],[QT_AREA_EST]]))</f>
        <v>18.420000000000002</v>
      </c>
      <c r="Z122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18.420000000000002</v>
      </c>
      <c r="AA1226" s="1">
        <f>ESTIMATIVA[[#This Row],[QT_CANA_EST]]</f>
        <v>736.8</v>
      </c>
      <c r="AB1226" s="1">
        <f>IF(ESTIMATIVA[[#This Row],[QT_CANA_REST1]]&gt;0,ESTIMATIVA[[#This Row],[QT_CANA_REST1]],
  IF(ESTIMATIVA[[#This Row],[QT_CANA_REAL]]&gt;0,ESTIMATIVA[[#This Row],[QT_CANA_REAL]],ESTIMATIVA[[#This Row],[QT_CANA_EST]]))</f>
        <v>810.48</v>
      </c>
      <c r="AC122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1069.58</v>
      </c>
      <c r="AD1226" s="1">
        <f>IF(ESTIMATIVA[[#This Row],[QT_AREA_REAL]]&gt;0,ESTIMATIVA[[#This Row],[QT_CANA_REAL]],ESTIMATIVA[[#This Row],[QT_CANA_EST]])</f>
        <v>1069.58</v>
      </c>
      <c r="AE1226" s="1">
        <f>IF(ESTIMATIVA[[#This Row],[QT_AREA_REAL]]&gt;0,ESTIMATIVA[[#This Row],[QT_CANA_REAL]],ESTIMATIVA[[#This Row],[QT_CANA_REST1]])</f>
        <v>1069.58</v>
      </c>
      <c r="AF1226" s="1">
        <f>IF(ESTIMATIVA[[#This Row],[QT_AREA_REAL]]&gt;0,ESTIMATIVA[[#This Row],[QT_CANA_REAL]],ESTIMATIVA[[#This Row],[QT_CANA_REST2]])</f>
        <v>1069.58</v>
      </c>
      <c r="AG1226" s="1" t="str">
        <f>IF(COUNTIFS(GEADA!A:A,VALUE(ESTIMATIVA[[#This Row],[CD_UPNIVEL1]]&amp;TEXT(ESTIMATIVA[[#This Row],[CD_UPNIVEL3]],"0000")))&gt;0,"S","N")</f>
        <v>N</v>
      </c>
      <c r="AH122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26" s="55" t="str">
        <f>IF(ESTIMATIVA[[#This Row],[TP_CULTIVO]]="Irrigado",_xlfn.MAXIFS(IRRIGADO!J:J,IRRIGADO!C:C,ESTIMATIVA[[#This Row],[CD_UPNIVEL1]],IRRIGADO!E:E,ESTIMATIVA[[#This Row],[CD_UPNIVEL3]]),"")</f>
        <v/>
      </c>
      <c r="AJ122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26" s="1">
        <f>COUNTIFS(Apresentação!$E$23:$E$29,ESTIMATIVA[[#This Row],[CD_UPNIVEL1]])</f>
        <v>0</v>
      </c>
    </row>
    <row r="1227" spans="1:37" x14ac:dyDescent="0.3">
      <c r="A1227">
        <v>20518</v>
      </c>
      <c r="B1227" t="s">
        <v>68</v>
      </c>
      <c r="C1227">
        <v>2</v>
      </c>
      <c r="D1227">
        <v>6</v>
      </c>
      <c r="E1227" t="s">
        <v>261</v>
      </c>
      <c r="F1227" s="85" t="s">
        <v>331</v>
      </c>
      <c r="G1227"/>
      <c r="H1227" t="s">
        <v>294</v>
      </c>
      <c r="I1227" t="s">
        <v>195</v>
      </c>
      <c r="J1227" t="s">
        <v>176</v>
      </c>
      <c r="K1227" s="1">
        <v>21.26</v>
      </c>
      <c r="L1227" s="1">
        <v>21.26</v>
      </c>
      <c r="M1227" s="1">
        <v>0</v>
      </c>
      <c r="N1227" s="1">
        <v>21.26</v>
      </c>
      <c r="O1227" s="1">
        <v>850.4</v>
      </c>
      <c r="P1227" s="1">
        <v>935.44</v>
      </c>
      <c r="Q1227" s="1">
        <v>0</v>
      </c>
      <c r="R1227" s="1">
        <v>1234.6500000000001</v>
      </c>
      <c r="S1227" t="s">
        <v>12</v>
      </c>
      <c r="T1227" s="13">
        <v>45900</v>
      </c>
      <c r="U1227" s="1" t="str">
        <f>IF(ESTIMATIVA[[#This Row],[QT_AREA_REAL]]&gt;0,"1- Colhido","2- à Colher")</f>
        <v>1- Colhido</v>
      </c>
      <c r="V1227" s="1" t="str">
        <f>IF(ESTIMATIVA[[#This Row],[QT_AREA_REST1]]&gt;0,"Reestimativa 1",IF(ESTIMATIVA[[#This Row],[QT_AREA_REAL]]=0,"Reestimativa 1","Realizado"))</f>
        <v>Reestimativa 1</v>
      </c>
      <c r="W1227" s="1" t="str">
        <f>IF(ESTIMATIVA[[#This Row],[QT_AREA_REST2]]&gt;0,"Reestimativa 2",IF(ESTIMATIVA[[#This Row],[QT_AREA_REAL]]=0,"Reestimativa 2","Realizado"))</f>
        <v>Realizado</v>
      </c>
      <c r="X1227" s="1">
        <f>ESTIMATIVA[[#This Row],[QT_AREA_EST]]</f>
        <v>21.26</v>
      </c>
      <c r="Y1227" s="1">
        <f>IF(ESTIMATIVA[[#This Row],[QT_AREA_REST1]]&gt;0,ESTIMATIVA[[#This Row],[QT_AREA_REST1]],
  IF(ESTIMATIVA[[#This Row],[QT_AREA_REAL]]&gt;0,ESTIMATIVA[[#This Row],[QT_AREA_REAL]],ESTIMATIVA[[#This Row],[QT_AREA_EST]]))</f>
        <v>21.26</v>
      </c>
      <c r="Z122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21.26</v>
      </c>
      <c r="AA1227" s="1">
        <f>ESTIMATIVA[[#This Row],[QT_CANA_EST]]</f>
        <v>850.4</v>
      </c>
      <c r="AB1227" s="1">
        <f>IF(ESTIMATIVA[[#This Row],[QT_CANA_REST1]]&gt;0,ESTIMATIVA[[#This Row],[QT_CANA_REST1]],
  IF(ESTIMATIVA[[#This Row],[QT_CANA_REAL]]&gt;0,ESTIMATIVA[[#This Row],[QT_CANA_REAL]],ESTIMATIVA[[#This Row],[QT_CANA_EST]]))</f>
        <v>935.44</v>
      </c>
      <c r="AC122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1234.6500000000001</v>
      </c>
      <c r="AD1227" s="1">
        <f>IF(ESTIMATIVA[[#This Row],[QT_AREA_REAL]]&gt;0,ESTIMATIVA[[#This Row],[QT_CANA_REAL]],ESTIMATIVA[[#This Row],[QT_CANA_EST]])</f>
        <v>1234.6500000000001</v>
      </c>
      <c r="AE1227" s="1">
        <f>IF(ESTIMATIVA[[#This Row],[QT_AREA_REAL]]&gt;0,ESTIMATIVA[[#This Row],[QT_CANA_REAL]],ESTIMATIVA[[#This Row],[QT_CANA_REST1]])</f>
        <v>1234.6500000000001</v>
      </c>
      <c r="AF1227" s="1">
        <f>IF(ESTIMATIVA[[#This Row],[QT_AREA_REAL]]&gt;0,ESTIMATIVA[[#This Row],[QT_CANA_REAL]],ESTIMATIVA[[#This Row],[QT_CANA_REST2]])</f>
        <v>1234.6500000000001</v>
      </c>
      <c r="AG1227" s="1" t="str">
        <f>IF(COUNTIFS(GEADA!A:A,VALUE(ESTIMATIVA[[#This Row],[CD_UPNIVEL1]]&amp;TEXT(ESTIMATIVA[[#This Row],[CD_UPNIVEL3]],"0000")))&gt;0,"S","N")</f>
        <v>N</v>
      </c>
      <c r="AH122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27" s="55" t="str">
        <f>IF(ESTIMATIVA[[#This Row],[TP_CULTIVO]]="Irrigado",_xlfn.MAXIFS(IRRIGADO!J:J,IRRIGADO!C:C,ESTIMATIVA[[#This Row],[CD_UPNIVEL1]],IRRIGADO!E:E,ESTIMATIVA[[#This Row],[CD_UPNIVEL3]]),"")</f>
        <v/>
      </c>
      <c r="AJ122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27" s="1">
        <f>COUNTIFS(Apresentação!$E$23:$E$29,ESTIMATIVA[[#This Row],[CD_UPNIVEL1]])</f>
        <v>0</v>
      </c>
    </row>
    <row r="1228" spans="1:37" x14ac:dyDescent="0.3">
      <c r="A1228">
        <v>20518</v>
      </c>
      <c r="B1228" t="s">
        <v>68</v>
      </c>
      <c r="C1228">
        <v>3</v>
      </c>
      <c r="D1228">
        <v>6</v>
      </c>
      <c r="E1228" t="s">
        <v>261</v>
      </c>
      <c r="F1228" s="85" t="s">
        <v>331</v>
      </c>
      <c r="G1228"/>
      <c r="H1228" t="s">
        <v>294</v>
      </c>
      <c r="I1228" t="s">
        <v>195</v>
      </c>
      <c r="J1228" t="s">
        <v>176</v>
      </c>
      <c r="K1228" s="1">
        <v>11.08</v>
      </c>
      <c r="L1228" s="1">
        <v>11.08</v>
      </c>
      <c r="M1228" s="1">
        <v>0</v>
      </c>
      <c r="N1228" s="1">
        <v>11.08</v>
      </c>
      <c r="O1228" s="1">
        <v>443.2</v>
      </c>
      <c r="P1228" s="1">
        <v>443.2</v>
      </c>
      <c r="Q1228" s="1">
        <v>0</v>
      </c>
      <c r="R1228" s="1">
        <v>584.92999999999995</v>
      </c>
      <c r="S1228" t="s">
        <v>12</v>
      </c>
      <c r="T1228" s="13">
        <v>45900</v>
      </c>
      <c r="U1228" s="1" t="str">
        <f>IF(ESTIMATIVA[[#This Row],[QT_AREA_REAL]]&gt;0,"1- Colhido","2- à Colher")</f>
        <v>1- Colhido</v>
      </c>
      <c r="V1228" s="1" t="str">
        <f>IF(ESTIMATIVA[[#This Row],[QT_AREA_REST1]]&gt;0,"Reestimativa 1",IF(ESTIMATIVA[[#This Row],[QT_AREA_REAL]]=0,"Reestimativa 1","Realizado"))</f>
        <v>Reestimativa 1</v>
      </c>
      <c r="W1228" s="1" t="str">
        <f>IF(ESTIMATIVA[[#This Row],[QT_AREA_REST2]]&gt;0,"Reestimativa 2",IF(ESTIMATIVA[[#This Row],[QT_AREA_REAL]]=0,"Reestimativa 2","Realizado"))</f>
        <v>Realizado</v>
      </c>
      <c r="X1228" s="1">
        <f>ESTIMATIVA[[#This Row],[QT_AREA_EST]]</f>
        <v>11.08</v>
      </c>
      <c r="Y1228" s="1">
        <f>IF(ESTIMATIVA[[#This Row],[QT_AREA_REST1]]&gt;0,ESTIMATIVA[[#This Row],[QT_AREA_REST1]],
  IF(ESTIMATIVA[[#This Row],[QT_AREA_REAL]]&gt;0,ESTIMATIVA[[#This Row],[QT_AREA_REAL]],ESTIMATIVA[[#This Row],[QT_AREA_EST]]))</f>
        <v>11.08</v>
      </c>
      <c r="Z122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11.08</v>
      </c>
      <c r="AA1228" s="1">
        <f>ESTIMATIVA[[#This Row],[QT_CANA_EST]]</f>
        <v>443.2</v>
      </c>
      <c r="AB1228" s="1">
        <f>IF(ESTIMATIVA[[#This Row],[QT_CANA_REST1]]&gt;0,ESTIMATIVA[[#This Row],[QT_CANA_REST1]],
  IF(ESTIMATIVA[[#This Row],[QT_CANA_REAL]]&gt;0,ESTIMATIVA[[#This Row],[QT_CANA_REAL]],ESTIMATIVA[[#This Row],[QT_CANA_EST]]))</f>
        <v>443.2</v>
      </c>
      <c r="AC122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584.92999999999995</v>
      </c>
      <c r="AD1228" s="1">
        <f>IF(ESTIMATIVA[[#This Row],[QT_AREA_REAL]]&gt;0,ESTIMATIVA[[#This Row],[QT_CANA_REAL]],ESTIMATIVA[[#This Row],[QT_CANA_EST]])</f>
        <v>584.92999999999995</v>
      </c>
      <c r="AE1228" s="1">
        <f>IF(ESTIMATIVA[[#This Row],[QT_AREA_REAL]]&gt;0,ESTIMATIVA[[#This Row],[QT_CANA_REAL]],ESTIMATIVA[[#This Row],[QT_CANA_REST1]])</f>
        <v>584.92999999999995</v>
      </c>
      <c r="AF1228" s="1">
        <f>IF(ESTIMATIVA[[#This Row],[QT_AREA_REAL]]&gt;0,ESTIMATIVA[[#This Row],[QT_CANA_REAL]],ESTIMATIVA[[#This Row],[QT_CANA_REST2]])</f>
        <v>584.92999999999995</v>
      </c>
      <c r="AG1228" s="1" t="str">
        <f>IF(COUNTIFS(GEADA!A:A,VALUE(ESTIMATIVA[[#This Row],[CD_UPNIVEL1]]&amp;TEXT(ESTIMATIVA[[#This Row],[CD_UPNIVEL3]],"0000")))&gt;0,"S","N")</f>
        <v>N</v>
      </c>
      <c r="AH122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28" s="55" t="str">
        <f>IF(ESTIMATIVA[[#This Row],[TP_CULTIVO]]="Irrigado",_xlfn.MAXIFS(IRRIGADO!J:J,IRRIGADO!C:C,ESTIMATIVA[[#This Row],[CD_UPNIVEL1]],IRRIGADO!E:E,ESTIMATIVA[[#This Row],[CD_UPNIVEL3]]),"")</f>
        <v/>
      </c>
      <c r="AJ122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28" s="1">
        <f>COUNTIFS(Apresentação!$E$23:$E$29,ESTIMATIVA[[#This Row],[CD_UPNIVEL1]])</f>
        <v>0</v>
      </c>
    </row>
    <row r="1229" spans="1:37" x14ac:dyDescent="0.3">
      <c r="A1229">
        <v>20518</v>
      </c>
      <c r="B1229" t="s">
        <v>68</v>
      </c>
      <c r="C1229">
        <v>4</v>
      </c>
      <c r="D1229">
        <v>6</v>
      </c>
      <c r="E1229" t="s">
        <v>261</v>
      </c>
      <c r="F1229" s="85" t="s">
        <v>331</v>
      </c>
      <c r="G1229"/>
      <c r="H1229" t="s">
        <v>294</v>
      </c>
      <c r="I1229" t="s">
        <v>195</v>
      </c>
      <c r="J1229" t="s">
        <v>176</v>
      </c>
      <c r="K1229" s="1">
        <v>20.350000000000001</v>
      </c>
      <c r="L1229" s="1">
        <v>20.350000000000001</v>
      </c>
      <c r="M1229" s="1">
        <v>0</v>
      </c>
      <c r="N1229" s="1">
        <v>20.350000000000001</v>
      </c>
      <c r="O1229" s="1">
        <v>814</v>
      </c>
      <c r="P1229" s="1">
        <v>407</v>
      </c>
      <c r="Q1229" s="1">
        <v>0</v>
      </c>
      <c r="R1229" s="1">
        <v>537.38</v>
      </c>
      <c r="S1229" t="s">
        <v>12</v>
      </c>
      <c r="T1229" s="13">
        <v>45900</v>
      </c>
      <c r="U1229" s="1" t="str">
        <f>IF(ESTIMATIVA[[#This Row],[QT_AREA_REAL]]&gt;0,"1- Colhido","2- à Colher")</f>
        <v>1- Colhido</v>
      </c>
      <c r="V1229" s="1" t="str">
        <f>IF(ESTIMATIVA[[#This Row],[QT_AREA_REST1]]&gt;0,"Reestimativa 1",IF(ESTIMATIVA[[#This Row],[QT_AREA_REAL]]=0,"Reestimativa 1","Realizado"))</f>
        <v>Reestimativa 1</v>
      </c>
      <c r="W1229" s="1" t="str">
        <f>IF(ESTIMATIVA[[#This Row],[QT_AREA_REST2]]&gt;0,"Reestimativa 2",IF(ESTIMATIVA[[#This Row],[QT_AREA_REAL]]=0,"Reestimativa 2","Realizado"))</f>
        <v>Realizado</v>
      </c>
      <c r="X1229" s="1">
        <f>ESTIMATIVA[[#This Row],[QT_AREA_EST]]</f>
        <v>20.350000000000001</v>
      </c>
      <c r="Y1229" s="1">
        <f>IF(ESTIMATIVA[[#This Row],[QT_AREA_REST1]]&gt;0,ESTIMATIVA[[#This Row],[QT_AREA_REST1]],
  IF(ESTIMATIVA[[#This Row],[QT_AREA_REAL]]&gt;0,ESTIMATIVA[[#This Row],[QT_AREA_REAL]],ESTIMATIVA[[#This Row],[QT_AREA_EST]]))</f>
        <v>20.350000000000001</v>
      </c>
      <c r="Z122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20.350000000000001</v>
      </c>
      <c r="AA1229" s="1">
        <f>ESTIMATIVA[[#This Row],[QT_CANA_EST]]</f>
        <v>814</v>
      </c>
      <c r="AB1229" s="1">
        <f>IF(ESTIMATIVA[[#This Row],[QT_CANA_REST1]]&gt;0,ESTIMATIVA[[#This Row],[QT_CANA_REST1]],
  IF(ESTIMATIVA[[#This Row],[QT_CANA_REAL]]&gt;0,ESTIMATIVA[[#This Row],[QT_CANA_REAL]],ESTIMATIVA[[#This Row],[QT_CANA_EST]]))</f>
        <v>407</v>
      </c>
      <c r="AC122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537.38</v>
      </c>
      <c r="AD1229" s="1">
        <f>IF(ESTIMATIVA[[#This Row],[QT_AREA_REAL]]&gt;0,ESTIMATIVA[[#This Row],[QT_CANA_REAL]],ESTIMATIVA[[#This Row],[QT_CANA_EST]])</f>
        <v>537.38</v>
      </c>
      <c r="AE1229" s="1">
        <f>IF(ESTIMATIVA[[#This Row],[QT_AREA_REAL]]&gt;0,ESTIMATIVA[[#This Row],[QT_CANA_REAL]],ESTIMATIVA[[#This Row],[QT_CANA_REST1]])</f>
        <v>537.38</v>
      </c>
      <c r="AF1229" s="1">
        <f>IF(ESTIMATIVA[[#This Row],[QT_AREA_REAL]]&gt;0,ESTIMATIVA[[#This Row],[QT_CANA_REAL]],ESTIMATIVA[[#This Row],[QT_CANA_REST2]])</f>
        <v>537.38</v>
      </c>
      <c r="AG1229" s="1" t="str">
        <f>IF(COUNTIFS(GEADA!A:A,VALUE(ESTIMATIVA[[#This Row],[CD_UPNIVEL1]]&amp;TEXT(ESTIMATIVA[[#This Row],[CD_UPNIVEL3]],"0000")))&gt;0,"S","N")</f>
        <v>N</v>
      </c>
      <c r="AH122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29" s="55" t="str">
        <f>IF(ESTIMATIVA[[#This Row],[TP_CULTIVO]]="Irrigado",_xlfn.MAXIFS(IRRIGADO!J:J,IRRIGADO!C:C,ESTIMATIVA[[#This Row],[CD_UPNIVEL1]],IRRIGADO!E:E,ESTIMATIVA[[#This Row],[CD_UPNIVEL3]]),"")</f>
        <v/>
      </c>
      <c r="AJ122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29" s="1">
        <f>COUNTIFS(Apresentação!$E$23:$E$29,ESTIMATIVA[[#This Row],[CD_UPNIVEL1]])</f>
        <v>0</v>
      </c>
    </row>
    <row r="1230" spans="1:37" x14ac:dyDescent="0.3">
      <c r="A1230">
        <v>20518</v>
      </c>
      <c r="B1230" t="s">
        <v>68</v>
      </c>
      <c r="C1230">
        <v>5</v>
      </c>
      <c r="D1230">
        <v>6</v>
      </c>
      <c r="E1230" t="s">
        <v>261</v>
      </c>
      <c r="F1230" s="85" t="s">
        <v>331</v>
      </c>
      <c r="G1230"/>
      <c r="H1230" t="s">
        <v>294</v>
      </c>
      <c r="I1230" t="s">
        <v>195</v>
      </c>
      <c r="J1230" t="s">
        <v>176</v>
      </c>
      <c r="K1230" s="1">
        <v>19.66</v>
      </c>
      <c r="L1230" s="1">
        <v>19.66</v>
      </c>
      <c r="M1230" s="1">
        <v>0</v>
      </c>
      <c r="N1230" s="1">
        <v>19.66</v>
      </c>
      <c r="O1230" s="1">
        <v>786.4</v>
      </c>
      <c r="P1230" s="1">
        <v>393.2</v>
      </c>
      <c r="Q1230" s="1">
        <v>0</v>
      </c>
      <c r="R1230" s="1">
        <v>518.91</v>
      </c>
      <c r="S1230" t="s">
        <v>12</v>
      </c>
      <c r="T1230" s="13">
        <v>45900</v>
      </c>
      <c r="U1230" s="1" t="str">
        <f>IF(ESTIMATIVA[[#This Row],[QT_AREA_REAL]]&gt;0,"1- Colhido","2- à Colher")</f>
        <v>1- Colhido</v>
      </c>
      <c r="V1230" s="1" t="str">
        <f>IF(ESTIMATIVA[[#This Row],[QT_AREA_REST1]]&gt;0,"Reestimativa 1",IF(ESTIMATIVA[[#This Row],[QT_AREA_REAL]]=0,"Reestimativa 1","Realizado"))</f>
        <v>Reestimativa 1</v>
      </c>
      <c r="W1230" s="1" t="str">
        <f>IF(ESTIMATIVA[[#This Row],[QT_AREA_REST2]]&gt;0,"Reestimativa 2",IF(ESTIMATIVA[[#This Row],[QT_AREA_REAL]]=0,"Reestimativa 2","Realizado"))</f>
        <v>Realizado</v>
      </c>
      <c r="X1230" s="1">
        <f>ESTIMATIVA[[#This Row],[QT_AREA_EST]]</f>
        <v>19.66</v>
      </c>
      <c r="Y1230" s="1">
        <f>IF(ESTIMATIVA[[#This Row],[QT_AREA_REST1]]&gt;0,ESTIMATIVA[[#This Row],[QT_AREA_REST1]],
  IF(ESTIMATIVA[[#This Row],[QT_AREA_REAL]]&gt;0,ESTIMATIVA[[#This Row],[QT_AREA_REAL]],ESTIMATIVA[[#This Row],[QT_AREA_EST]]))</f>
        <v>19.66</v>
      </c>
      <c r="Z123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19.66</v>
      </c>
      <c r="AA1230" s="1">
        <f>ESTIMATIVA[[#This Row],[QT_CANA_EST]]</f>
        <v>786.4</v>
      </c>
      <c r="AB1230" s="1">
        <f>IF(ESTIMATIVA[[#This Row],[QT_CANA_REST1]]&gt;0,ESTIMATIVA[[#This Row],[QT_CANA_REST1]],
  IF(ESTIMATIVA[[#This Row],[QT_CANA_REAL]]&gt;0,ESTIMATIVA[[#This Row],[QT_CANA_REAL]],ESTIMATIVA[[#This Row],[QT_CANA_EST]]))</f>
        <v>393.2</v>
      </c>
      <c r="AC123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518.91</v>
      </c>
      <c r="AD1230" s="1">
        <f>IF(ESTIMATIVA[[#This Row],[QT_AREA_REAL]]&gt;0,ESTIMATIVA[[#This Row],[QT_CANA_REAL]],ESTIMATIVA[[#This Row],[QT_CANA_EST]])</f>
        <v>518.91</v>
      </c>
      <c r="AE1230" s="1">
        <f>IF(ESTIMATIVA[[#This Row],[QT_AREA_REAL]]&gt;0,ESTIMATIVA[[#This Row],[QT_CANA_REAL]],ESTIMATIVA[[#This Row],[QT_CANA_REST1]])</f>
        <v>518.91</v>
      </c>
      <c r="AF1230" s="1">
        <f>IF(ESTIMATIVA[[#This Row],[QT_AREA_REAL]]&gt;0,ESTIMATIVA[[#This Row],[QT_CANA_REAL]],ESTIMATIVA[[#This Row],[QT_CANA_REST2]])</f>
        <v>518.91</v>
      </c>
      <c r="AG1230" s="1" t="str">
        <f>IF(COUNTIFS(GEADA!A:A,VALUE(ESTIMATIVA[[#This Row],[CD_UPNIVEL1]]&amp;TEXT(ESTIMATIVA[[#This Row],[CD_UPNIVEL3]],"0000")))&gt;0,"S","N")</f>
        <v>S</v>
      </c>
      <c r="AH123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30" s="55" t="str">
        <f>IF(ESTIMATIVA[[#This Row],[TP_CULTIVO]]="Irrigado",_xlfn.MAXIFS(IRRIGADO!J:J,IRRIGADO!C:C,ESTIMATIVA[[#This Row],[CD_UPNIVEL1]],IRRIGADO!E:E,ESTIMATIVA[[#This Row],[CD_UPNIVEL3]]),"")</f>
        <v/>
      </c>
      <c r="AJ123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30" s="1">
        <f>COUNTIFS(Apresentação!$E$23:$E$29,ESTIMATIVA[[#This Row],[CD_UPNIVEL1]])</f>
        <v>0</v>
      </c>
    </row>
    <row r="1231" spans="1:37" x14ac:dyDescent="0.3">
      <c r="A1231">
        <v>20518</v>
      </c>
      <c r="B1231" t="s">
        <v>68</v>
      </c>
      <c r="C1231">
        <v>6</v>
      </c>
      <c r="D1231">
        <v>6</v>
      </c>
      <c r="E1231" t="s">
        <v>261</v>
      </c>
      <c r="F1231" s="85" t="s">
        <v>331</v>
      </c>
      <c r="G1231"/>
      <c r="H1231" t="s">
        <v>294</v>
      </c>
      <c r="I1231" t="s">
        <v>195</v>
      </c>
      <c r="J1231" t="s">
        <v>176</v>
      </c>
      <c r="K1231" s="1">
        <v>16.010000000000002</v>
      </c>
      <c r="L1231" s="1">
        <v>16.010000000000002</v>
      </c>
      <c r="M1231" s="1">
        <v>0</v>
      </c>
      <c r="N1231" s="1">
        <v>16.010000000000002</v>
      </c>
      <c r="O1231" s="1">
        <v>640.4</v>
      </c>
      <c r="P1231" s="1">
        <v>640.4</v>
      </c>
      <c r="Q1231" s="1">
        <v>0</v>
      </c>
      <c r="R1231" s="1">
        <v>845.08</v>
      </c>
      <c r="S1231" t="s">
        <v>12</v>
      </c>
      <c r="T1231" s="13">
        <v>45900</v>
      </c>
      <c r="U1231" s="1" t="str">
        <f>IF(ESTIMATIVA[[#This Row],[QT_AREA_REAL]]&gt;0,"1- Colhido","2- à Colher")</f>
        <v>1- Colhido</v>
      </c>
      <c r="V1231" s="1" t="str">
        <f>IF(ESTIMATIVA[[#This Row],[QT_AREA_REST1]]&gt;0,"Reestimativa 1",IF(ESTIMATIVA[[#This Row],[QT_AREA_REAL]]=0,"Reestimativa 1","Realizado"))</f>
        <v>Reestimativa 1</v>
      </c>
      <c r="W1231" s="1" t="str">
        <f>IF(ESTIMATIVA[[#This Row],[QT_AREA_REST2]]&gt;0,"Reestimativa 2",IF(ESTIMATIVA[[#This Row],[QT_AREA_REAL]]=0,"Reestimativa 2","Realizado"))</f>
        <v>Realizado</v>
      </c>
      <c r="X1231" s="1">
        <f>ESTIMATIVA[[#This Row],[QT_AREA_EST]]</f>
        <v>16.010000000000002</v>
      </c>
      <c r="Y1231" s="1">
        <f>IF(ESTIMATIVA[[#This Row],[QT_AREA_REST1]]&gt;0,ESTIMATIVA[[#This Row],[QT_AREA_REST1]],
  IF(ESTIMATIVA[[#This Row],[QT_AREA_REAL]]&gt;0,ESTIMATIVA[[#This Row],[QT_AREA_REAL]],ESTIMATIVA[[#This Row],[QT_AREA_EST]]))</f>
        <v>16.010000000000002</v>
      </c>
      <c r="Z123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16.010000000000002</v>
      </c>
      <c r="AA1231" s="1">
        <f>ESTIMATIVA[[#This Row],[QT_CANA_EST]]</f>
        <v>640.4</v>
      </c>
      <c r="AB1231" s="1">
        <f>IF(ESTIMATIVA[[#This Row],[QT_CANA_REST1]]&gt;0,ESTIMATIVA[[#This Row],[QT_CANA_REST1]],
  IF(ESTIMATIVA[[#This Row],[QT_CANA_REAL]]&gt;0,ESTIMATIVA[[#This Row],[QT_CANA_REAL]],ESTIMATIVA[[#This Row],[QT_CANA_EST]]))</f>
        <v>640.4</v>
      </c>
      <c r="AC123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845.08</v>
      </c>
      <c r="AD1231" s="1">
        <f>IF(ESTIMATIVA[[#This Row],[QT_AREA_REAL]]&gt;0,ESTIMATIVA[[#This Row],[QT_CANA_REAL]],ESTIMATIVA[[#This Row],[QT_CANA_EST]])</f>
        <v>845.08</v>
      </c>
      <c r="AE1231" s="1">
        <f>IF(ESTIMATIVA[[#This Row],[QT_AREA_REAL]]&gt;0,ESTIMATIVA[[#This Row],[QT_CANA_REAL]],ESTIMATIVA[[#This Row],[QT_CANA_REST1]])</f>
        <v>845.08</v>
      </c>
      <c r="AF1231" s="1">
        <f>IF(ESTIMATIVA[[#This Row],[QT_AREA_REAL]]&gt;0,ESTIMATIVA[[#This Row],[QT_CANA_REAL]],ESTIMATIVA[[#This Row],[QT_CANA_REST2]])</f>
        <v>845.08</v>
      </c>
      <c r="AG1231" s="1" t="str">
        <f>IF(COUNTIFS(GEADA!A:A,VALUE(ESTIMATIVA[[#This Row],[CD_UPNIVEL1]]&amp;TEXT(ESTIMATIVA[[#This Row],[CD_UPNIVEL3]],"0000")))&gt;0,"S","N")</f>
        <v>S</v>
      </c>
      <c r="AH123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31" s="55" t="str">
        <f>IF(ESTIMATIVA[[#This Row],[TP_CULTIVO]]="Irrigado",_xlfn.MAXIFS(IRRIGADO!J:J,IRRIGADO!C:C,ESTIMATIVA[[#This Row],[CD_UPNIVEL1]],IRRIGADO!E:E,ESTIMATIVA[[#This Row],[CD_UPNIVEL3]]),"")</f>
        <v/>
      </c>
      <c r="AJ123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31" s="1">
        <f>COUNTIFS(Apresentação!$E$23:$E$29,ESTIMATIVA[[#This Row],[CD_UPNIVEL1]])</f>
        <v>0</v>
      </c>
    </row>
    <row r="1232" spans="1:37" x14ac:dyDescent="0.3">
      <c r="A1232">
        <v>20518</v>
      </c>
      <c r="B1232" t="s">
        <v>68</v>
      </c>
      <c r="C1232">
        <v>7</v>
      </c>
      <c r="D1232">
        <v>6</v>
      </c>
      <c r="E1232" t="s">
        <v>261</v>
      </c>
      <c r="F1232" s="85" t="s">
        <v>331</v>
      </c>
      <c r="G1232"/>
      <c r="H1232" t="s">
        <v>294</v>
      </c>
      <c r="I1232" t="s">
        <v>195</v>
      </c>
      <c r="J1232" t="s">
        <v>176</v>
      </c>
      <c r="K1232" s="1">
        <v>28.23</v>
      </c>
      <c r="L1232" s="1">
        <v>28.23</v>
      </c>
      <c r="M1232" s="1">
        <v>0</v>
      </c>
      <c r="N1232" s="1">
        <v>28.23</v>
      </c>
      <c r="O1232" s="1">
        <v>1129.2</v>
      </c>
      <c r="P1232" s="1">
        <v>564.6</v>
      </c>
      <c r="Q1232" s="1">
        <v>0</v>
      </c>
      <c r="R1232" s="1">
        <v>746.62</v>
      </c>
      <c r="S1232" t="s">
        <v>12</v>
      </c>
      <c r="T1232" s="13">
        <v>45900</v>
      </c>
      <c r="U1232" s="1" t="str">
        <f>IF(ESTIMATIVA[[#This Row],[QT_AREA_REAL]]&gt;0,"1- Colhido","2- à Colher")</f>
        <v>1- Colhido</v>
      </c>
      <c r="V1232" s="1" t="str">
        <f>IF(ESTIMATIVA[[#This Row],[QT_AREA_REST1]]&gt;0,"Reestimativa 1",IF(ESTIMATIVA[[#This Row],[QT_AREA_REAL]]=0,"Reestimativa 1","Realizado"))</f>
        <v>Reestimativa 1</v>
      </c>
      <c r="W1232" s="1" t="str">
        <f>IF(ESTIMATIVA[[#This Row],[QT_AREA_REST2]]&gt;0,"Reestimativa 2",IF(ESTIMATIVA[[#This Row],[QT_AREA_REAL]]=0,"Reestimativa 2","Realizado"))</f>
        <v>Realizado</v>
      </c>
      <c r="X1232" s="1">
        <f>ESTIMATIVA[[#This Row],[QT_AREA_EST]]</f>
        <v>28.23</v>
      </c>
      <c r="Y1232" s="1">
        <f>IF(ESTIMATIVA[[#This Row],[QT_AREA_REST1]]&gt;0,ESTIMATIVA[[#This Row],[QT_AREA_REST1]],
  IF(ESTIMATIVA[[#This Row],[QT_AREA_REAL]]&gt;0,ESTIMATIVA[[#This Row],[QT_AREA_REAL]],ESTIMATIVA[[#This Row],[QT_AREA_EST]]))</f>
        <v>28.23</v>
      </c>
      <c r="Z123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28.23</v>
      </c>
      <c r="AA1232" s="1">
        <f>ESTIMATIVA[[#This Row],[QT_CANA_EST]]</f>
        <v>1129.2</v>
      </c>
      <c r="AB1232" s="1">
        <f>IF(ESTIMATIVA[[#This Row],[QT_CANA_REST1]]&gt;0,ESTIMATIVA[[#This Row],[QT_CANA_REST1]],
  IF(ESTIMATIVA[[#This Row],[QT_CANA_REAL]]&gt;0,ESTIMATIVA[[#This Row],[QT_CANA_REAL]],ESTIMATIVA[[#This Row],[QT_CANA_EST]]))</f>
        <v>564.6</v>
      </c>
      <c r="AC123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746.62</v>
      </c>
      <c r="AD1232" s="1">
        <f>IF(ESTIMATIVA[[#This Row],[QT_AREA_REAL]]&gt;0,ESTIMATIVA[[#This Row],[QT_CANA_REAL]],ESTIMATIVA[[#This Row],[QT_CANA_EST]])</f>
        <v>746.62</v>
      </c>
      <c r="AE1232" s="1">
        <f>IF(ESTIMATIVA[[#This Row],[QT_AREA_REAL]]&gt;0,ESTIMATIVA[[#This Row],[QT_CANA_REAL]],ESTIMATIVA[[#This Row],[QT_CANA_REST1]])</f>
        <v>746.62</v>
      </c>
      <c r="AF1232" s="1">
        <f>IF(ESTIMATIVA[[#This Row],[QT_AREA_REAL]]&gt;0,ESTIMATIVA[[#This Row],[QT_CANA_REAL]],ESTIMATIVA[[#This Row],[QT_CANA_REST2]])</f>
        <v>746.62</v>
      </c>
      <c r="AG1232" s="1" t="str">
        <f>IF(COUNTIFS(GEADA!A:A,VALUE(ESTIMATIVA[[#This Row],[CD_UPNIVEL1]]&amp;TEXT(ESTIMATIVA[[#This Row],[CD_UPNIVEL3]],"0000")))&gt;0,"S","N")</f>
        <v>S</v>
      </c>
      <c r="AH123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32" s="55" t="str">
        <f>IF(ESTIMATIVA[[#This Row],[TP_CULTIVO]]="Irrigado",_xlfn.MAXIFS(IRRIGADO!J:J,IRRIGADO!C:C,ESTIMATIVA[[#This Row],[CD_UPNIVEL1]],IRRIGADO!E:E,ESTIMATIVA[[#This Row],[CD_UPNIVEL3]]),"")</f>
        <v/>
      </c>
      <c r="AJ123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32" s="1">
        <f>COUNTIFS(Apresentação!$E$23:$E$29,ESTIMATIVA[[#This Row],[CD_UPNIVEL1]])</f>
        <v>0</v>
      </c>
    </row>
    <row r="1233" spans="1:37" x14ac:dyDescent="0.3">
      <c r="A1233">
        <v>20518</v>
      </c>
      <c r="B1233" t="s">
        <v>68</v>
      </c>
      <c r="C1233">
        <v>8</v>
      </c>
      <c r="D1233">
        <v>3</v>
      </c>
      <c r="E1233" t="s">
        <v>263</v>
      </c>
      <c r="F1233" s="85" t="s">
        <v>331</v>
      </c>
      <c r="G1233"/>
      <c r="H1233" t="s">
        <v>294</v>
      </c>
      <c r="I1233" t="s">
        <v>205</v>
      </c>
      <c r="J1233" t="s">
        <v>176</v>
      </c>
      <c r="K1233" s="1">
        <v>14.63</v>
      </c>
      <c r="L1233" s="1">
        <v>14.63</v>
      </c>
      <c r="M1233" s="1">
        <v>0</v>
      </c>
      <c r="N1233" s="1">
        <v>14.63</v>
      </c>
      <c r="O1233" s="1">
        <v>1243.55</v>
      </c>
      <c r="P1233" s="1">
        <v>1258.18</v>
      </c>
      <c r="Q1233" s="1">
        <v>0</v>
      </c>
      <c r="R1233" s="1">
        <v>1371.97</v>
      </c>
      <c r="S1233" t="s">
        <v>12</v>
      </c>
      <c r="T1233" s="13">
        <v>45900</v>
      </c>
      <c r="U1233" s="1" t="str">
        <f>IF(ESTIMATIVA[[#This Row],[QT_AREA_REAL]]&gt;0,"1- Colhido","2- à Colher")</f>
        <v>1- Colhido</v>
      </c>
      <c r="V1233" s="1" t="str">
        <f>IF(ESTIMATIVA[[#This Row],[QT_AREA_REST1]]&gt;0,"Reestimativa 1",IF(ESTIMATIVA[[#This Row],[QT_AREA_REAL]]=0,"Reestimativa 1","Realizado"))</f>
        <v>Reestimativa 1</v>
      </c>
      <c r="W1233" s="1" t="str">
        <f>IF(ESTIMATIVA[[#This Row],[QT_AREA_REST2]]&gt;0,"Reestimativa 2",IF(ESTIMATIVA[[#This Row],[QT_AREA_REAL]]=0,"Reestimativa 2","Realizado"))</f>
        <v>Realizado</v>
      </c>
      <c r="X1233" s="1">
        <f>ESTIMATIVA[[#This Row],[QT_AREA_EST]]</f>
        <v>14.63</v>
      </c>
      <c r="Y1233" s="1">
        <f>IF(ESTIMATIVA[[#This Row],[QT_AREA_REST1]]&gt;0,ESTIMATIVA[[#This Row],[QT_AREA_REST1]],
  IF(ESTIMATIVA[[#This Row],[QT_AREA_REAL]]&gt;0,ESTIMATIVA[[#This Row],[QT_AREA_REAL]],ESTIMATIVA[[#This Row],[QT_AREA_EST]]))</f>
        <v>14.63</v>
      </c>
      <c r="Z123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14.63</v>
      </c>
      <c r="AA1233" s="1">
        <f>ESTIMATIVA[[#This Row],[QT_CANA_EST]]</f>
        <v>1243.55</v>
      </c>
      <c r="AB1233" s="1">
        <f>IF(ESTIMATIVA[[#This Row],[QT_CANA_REST1]]&gt;0,ESTIMATIVA[[#This Row],[QT_CANA_REST1]],
  IF(ESTIMATIVA[[#This Row],[QT_CANA_REAL]]&gt;0,ESTIMATIVA[[#This Row],[QT_CANA_REAL]],ESTIMATIVA[[#This Row],[QT_CANA_EST]]))</f>
        <v>1258.18</v>
      </c>
      <c r="AC123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1371.97</v>
      </c>
      <c r="AD1233" s="1">
        <f>IF(ESTIMATIVA[[#This Row],[QT_AREA_REAL]]&gt;0,ESTIMATIVA[[#This Row],[QT_CANA_REAL]],ESTIMATIVA[[#This Row],[QT_CANA_EST]])</f>
        <v>1371.97</v>
      </c>
      <c r="AE1233" s="1">
        <f>IF(ESTIMATIVA[[#This Row],[QT_AREA_REAL]]&gt;0,ESTIMATIVA[[#This Row],[QT_CANA_REAL]],ESTIMATIVA[[#This Row],[QT_CANA_REST1]])</f>
        <v>1371.97</v>
      </c>
      <c r="AF1233" s="1">
        <f>IF(ESTIMATIVA[[#This Row],[QT_AREA_REAL]]&gt;0,ESTIMATIVA[[#This Row],[QT_CANA_REAL]],ESTIMATIVA[[#This Row],[QT_CANA_REST2]])</f>
        <v>1371.97</v>
      </c>
      <c r="AG1233" s="1" t="str">
        <f>IF(COUNTIFS(GEADA!A:A,VALUE(ESTIMATIVA[[#This Row],[CD_UPNIVEL1]]&amp;TEXT(ESTIMATIVA[[#This Row],[CD_UPNIVEL3]],"0000")))&gt;0,"S","N")</f>
        <v>N</v>
      </c>
      <c r="AH123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33" s="55" t="str">
        <f>IF(ESTIMATIVA[[#This Row],[TP_CULTIVO]]="Irrigado",_xlfn.MAXIFS(IRRIGADO!J:J,IRRIGADO!C:C,ESTIMATIVA[[#This Row],[CD_UPNIVEL1]],IRRIGADO!E:E,ESTIMATIVA[[#This Row],[CD_UPNIVEL3]]),"")</f>
        <v/>
      </c>
      <c r="AJ123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33" s="1">
        <f>COUNTIFS(Apresentação!$E$23:$E$29,ESTIMATIVA[[#This Row],[CD_UPNIVEL1]])</f>
        <v>0</v>
      </c>
    </row>
    <row r="1234" spans="1:37" x14ac:dyDescent="0.3">
      <c r="A1234">
        <v>20518</v>
      </c>
      <c r="B1234" t="s">
        <v>68</v>
      </c>
      <c r="C1234">
        <v>9</v>
      </c>
      <c r="D1234">
        <v>3</v>
      </c>
      <c r="E1234" t="s">
        <v>263</v>
      </c>
      <c r="F1234" s="85" t="s">
        <v>331</v>
      </c>
      <c r="G1234"/>
      <c r="H1234" t="s">
        <v>294</v>
      </c>
      <c r="I1234" t="s">
        <v>205</v>
      </c>
      <c r="J1234" t="s">
        <v>176</v>
      </c>
      <c r="K1234" s="1">
        <v>22.92</v>
      </c>
      <c r="L1234" s="1">
        <v>22.92</v>
      </c>
      <c r="M1234" s="1">
        <v>0</v>
      </c>
      <c r="N1234" s="1">
        <v>22.92</v>
      </c>
      <c r="O1234" s="1">
        <v>1948.2</v>
      </c>
      <c r="P1234" s="1">
        <v>1971.12</v>
      </c>
      <c r="Q1234" s="1">
        <v>0</v>
      </c>
      <c r="R1234" s="1">
        <v>2149.63</v>
      </c>
      <c r="S1234" t="s">
        <v>12</v>
      </c>
      <c r="T1234" s="13">
        <v>45900</v>
      </c>
      <c r="U1234" s="1" t="str">
        <f>IF(ESTIMATIVA[[#This Row],[QT_AREA_REAL]]&gt;0,"1- Colhido","2- à Colher")</f>
        <v>1- Colhido</v>
      </c>
      <c r="V1234" s="1" t="str">
        <f>IF(ESTIMATIVA[[#This Row],[QT_AREA_REST1]]&gt;0,"Reestimativa 1",IF(ESTIMATIVA[[#This Row],[QT_AREA_REAL]]=0,"Reestimativa 1","Realizado"))</f>
        <v>Reestimativa 1</v>
      </c>
      <c r="W1234" s="1" t="str">
        <f>IF(ESTIMATIVA[[#This Row],[QT_AREA_REST2]]&gt;0,"Reestimativa 2",IF(ESTIMATIVA[[#This Row],[QT_AREA_REAL]]=0,"Reestimativa 2","Realizado"))</f>
        <v>Realizado</v>
      </c>
      <c r="X1234" s="1">
        <f>ESTIMATIVA[[#This Row],[QT_AREA_EST]]</f>
        <v>22.92</v>
      </c>
      <c r="Y1234" s="1">
        <f>IF(ESTIMATIVA[[#This Row],[QT_AREA_REST1]]&gt;0,ESTIMATIVA[[#This Row],[QT_AREA_REST1]],
  IF(ESTIMATIVA[[#This Row],[QT_AREA_REAL]]&gt;0,ESTIMATIVA[[#This Row],[QT_AREA_REAL]],ESTIMATIVA[[#This Row],[QT_AREA_EST]]))</f>
        <v>22.92</v>
      </c>
      <c r="Z123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22.92</v>
      </c>
      <c r="AA1234" s="1">
        <f>ESTIMATIVA[[#This Row],[QT_CANA_EST]]</f>
        <v>1948.2</v>
      </c>
      <c r="AB1234" s="1">
        <f>IF(ESTIMATIVA[[#This Row],[QT_CANA_REST1]]&gt;0,ESTIMATIVA[[#This Row],[QT_CANA_REST1]],
  IF(ESTIMATIVA[[#This Row],[QT_CANA_REAL]]&gt;0,ESTIMATIVA[[#This Row],[QT_CANA_REAL]],ESTIMATIVA[[#This Row],[QT_CANA_EST]]))</f>
        <v>1971.12</v>
      </c>
      <c r="AC123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2149.63</v>
      </c>
      <c r="AD1234" s="1">
        <f>IF(ESTIMATIVA[[#This Row],[QT_AREA_REAL]]&gt;0,ESTIMATIVA[[#This Row],[QT_CANA_REAL]],ESTIMATIVA[[#This Row],[QT_CANA_EST]])</f>
        <v>2149.63</v>
      </c>
      <c r="AE1234" s="1">
        <f>IF(ESTIMATIVA[[#This Row],[QT_AREA_REAL]]&gt;0,ESTIMATIVA[[#This Row],[QT_CANA_REAL]],ESTIMATIVA[[#This Row],[QT_CANA_REST1]])</f>
        <v>2149.63</v>
      </c>
      <c r="AF1234" s="1">
        <f>IF(ESTIMATIVA[[#This Row],[QT_AREA_REAL]]&gt;0,ESTIMATIVA[[#This Row],[QT_CANA_REAL]],ESTIMATIVA[[#This Row],[QT_CANA_REST2]])</f>
        <v>2149.63</v>
      </c>
      <c r="AG1234" s="1" t="str">
        <f>IF(COUNTIFS(GEADA!A:A,VALUE(ESTIMATIVA[[#This Row],[CD_UPNIVEL1]]&amp;TEXT(ESTIMATIVA[[#This Row],[CD_UPNIVEL3]],"0000")))&gt;0,"S","N")</f>
        <v>N</v>
      </c>
      <c r="AH123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34" s="55" t="str">
        <f>IF(ESTIMATIVA[[#This Row],[TP_CULTIVO]]="Irrigado",_xlfn.MAXIFS(IRRIGADO!J:J,IRRIGADO!C:C,ESTIMATIVA[[#This Row],[CD_UPNIVEL1]],IRRIGADO!E:E,ESTIMATIVA[[#This Row],[CD_UPNIVEL3]]),"")</f>
        <v/>
      </c>
      <c r="AJ123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34" s="1">
        <f>COUNTIFS(Apresentação!$E$23:$E$29,ESTIMATIVA[[#This Row],[CD_UPNIVEL1]])</f>
        <v>0</v>
      </c>
    </row>
    <row r="1235" spans="1:37" x14ac:dyDescent="0.3">
      <c r="A1235">
        <v>20518</v>
      </c>
      <c r="B1235" t="s">
        <v>68</v>
      </c>
      <c r="C1235">
        <v>10</v>
      </c>
      <c r="D1235">
        <v>3</v>
      </c>
      <c r="E1235" t="s">
        <v>263</v>
      </c>
      <c r="F1235" s="85" t="s">
        <v>331</v>
      </c>
      <c r="G1235"/>
      <c r="H1235" t="s">
        <v>294</v>
      </c>
      <c r="I1235" t="s">
        <v>205</v>
      </c>
      <c r="J1235" t="s">
        <v>176</v>
      </c>
      <c r="K1235" s="1">
        <v>23.07</v>
      </c>
      <c r="L1235" s="1">
        <v>23.07</v>
      </c>
      <c r="M1235" s="1">
        <v>0</v>
      </c>
      <c r="N1235" s="1">
        <v>23.07</v>
      </c>
      <c r="O1235" s="1">
        <v>1960.95</v>
      </c>
      <c r="P1235" s="1">
        <v>1984.02</v>
      </c>
      <c r="Q1235" s="1">
        <v>0</v>
      </c>
      <c r="R1235" s="1">
        <v>2014.24</v>
      </c>
      <c r="S1235" t="s">
        <v>12</v>
      </c>
      <c r="T1235" s="13">
        <v>45900</v>
      </c>
      <c r="U1235" s="1" t="str">
        <f>IF(ESTIMATIVA[[#This Row],[QT_AREA_REAL]]&gt;0,"1- Colhido","2- à Colher")</f>
        <v>1- Colhido</v>
      </c>
      <c r="V1235" s="1" t="str">
        <f>IF(ESTIMATIVA[[#This Row],[QT_AREA_REST1]]&gt;0,"Reestimativa 1",IF(ESTIMATIVA[[#This Row],[QT_AREA_REAL]]=0,"Reestimativa 1","Realizado"))</f>
        <v>Reestimativa 1</v>
      </c>
      <c r="W1235" s="1" t="str">
        <f>IF(ESTIMATIVA[[#This Row],[QT_AREA_REST2]]&gt;0,"Reestimativa 2",IF(ESTIMATIVA[[#This Row],[QT_AREA_REAL]]=0,"Reestimativa 2","Realizado"))</f>
        <v>Realizado</v>
      </c>
      <c r="X1235" s="1">
        <f>ESTIMATIVA[[#This Row],[QT_AREA_EST]]</f>
        <v>23.07</v>
      </c>
      <c r="Y1235" s="1">
        <f>IF(ESTIMATIVA[[#This Row],[QT_AREA_REST1]]&gt;0,ESTIMATIVA[[#This Row],[QT_AREA_REST1]],
  IF(ESTIMATIVA[[#This Row],[QT_AREA_REAL]]&gt;0,ESTIMATIVA[[#This Row],[QT_AREA_REAL]],ESTIMATIVA[[#This Row],[QT_AREA_EST]]))</f>
        <v>23.07</v>
      </c>
      <c r="Z123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23.07</v>
      </c>
      <c r="AA1235" s="1">
        <f>ESTIMATIVA[[#This Row],[QT_CANA_EST]]</f>
        <v>1960.95</v>
      </c>
      <c r="AB1235" s="1">
        <f>IF(ESTIMATIVA[[#This Row],[QT_CANA_REST1]]&gt;0,ESTIMATIVA[[#This Row],[QT_CANA_REST1]],
  IF(ESTIMATIVA[[#This Row],[QT_CANA_REAL]]&gt;0,ESTIMATIVA[[#This Row],[QT_CANA_REAL]],ESTIMATIVA[[#This Row],[QT_CANA_EST]]))</f>
        <v>1984.02</v>
      </c>
      <c r="AC123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2014.24</v>
      </c>
      <c r="AD1235" s="1">
        <f>IF(ESTIMATIVA[[#This Row],[QT_AREA_REAL]]&gt;0,ESTIMATIVA[[#This Row],[QT_CANA_REAL]],ESTIMATIVA[[#This Row],[QT_CANA_EST]])</f>
        <v>2014.24</v>
      </c>
      <c r="AE1235" s="1">
        <f>IF(ESTIMATIVA[[#This Row],[QT_AREA_REAL]]&gt;0,ESTIMATIVA[[#This Row],[QT_CANA_REAL]],ESTIMATIVA[[#This Row],[QT_CANA_REST1]])</f>
        <v>2014.24</v>
      </c>
      <c r="AF1235" s="1">
        <f>IF(ESTIMATIVA[[#This Row],[QT_AREA_REAL]]&gt;0,ESTIMATIVA[[#This Row],[QT_CANA_REAL]],ESTIMATIVA[[#This Row],[QT_CANA_REST2]])</f>
        <v>2014.24</v>
      </c>
      <c r="AG1235" s="1" t="str">
        <f>IF(COUNTIFS(GEADA!A:A,VALUE(ESTIMATIVA[[#This Row],[CD_UPNIVEL1]]&amp;TEXT(ESTIMATIVA[[#This Row],[CD_UPNIVEL3]],"0000")))&gt;0,"S","N")</f>
        <v>N</v>
      </c>
      <c r="AH123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35" s="55" t="str">
        <f>IF(ESTIMATIVA[[#This Row],[TP_CULTIVO]]="Irrigado",_xlfn.MAXIFS(IRRIGADO!J:J,IRRIGADO!C:C,ESTIMATIVA[[#This Row],[CD_UPNIVEL1]],IRRIGADO!E:E,ESTIMATIVA[[#This Row],[CD_UPNIVEL3]]),"")</f>
        <v/>
      </c>
      <c r="AJ123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35" s="1">
        <f>COUNTIFS(Apresentação!$E$23:$E$29,ESTIMATIVA[[#This Row],[CD_UPNIVEL1]])</f>
        <v>0</v>
      </c>
    </row>
    <row r="1236" spans="1:37" x14ac:dyDescent="0.3">
      <c r="A1236">
        <v>20518</v>
      </c>
      <c r="B1236" t="s">
        <v>68</v>
      </c>
      <c r="C1236">
        <v>11</v>
      </c>
      <c r="D1236">
        <v>3</v>
      </c>
      <c r="E1236" t="s">
        <v>263</v>
      </c>
      <c r="F1236" s="85" t="s">
        <v>331</v>
      </c>
      <c r="G1236"/>
      <c r="H1236" t="s">
        <v>294</v>
      </c>
      <c r="I1236" t="s">
        <v>205</v>
      </c>
      <c r="J1236" t="s">
        <v>176</v>
      </c>
      <c r="K1236" s="1">
        <v>30.33</v>
      </c>
      <c r="L1236" s="1">
        <v>30.33</v>
      </c>
      <c r="M1236" s="1">
        <v>0</v>
      </c>
      <c r="N1236" s="1">
        <v>30.33</v>
      </c>
      <c r="O1236" s="1">
        <v>2578.0500000000002</v>
      </c>
      <c r="P1236" s="1">
        <v>2608.38</v>
      </c>
      <c r="Q1236" s="1">
        <v>0</v>
      </c>
      <c r="R1236" s="1">
        <v>3011.01</v>
      </c>
      <c r="S1236" t="s">
        <v>12</v>
      </c>
      <c r="T1236" s="13">
        <v>45900</v>
      </c>
      <c r="U1236" s="1" t="str">
        <f>IF(ESTIMATIVA[[#This Row],[QT_AREA_REAL]]&gt;0,"1- Colhido","2- à Colher")</f>
        <v>1- Colhido</v>
      </c>
      <c r="V1236" s="1" t="str">
        <f>IF(ESTIMATIVA[[#This Row],[QT_AREA_REST1]]&gt;0,"Reestimativa 1",IF(ESTIMATIVA[[#This Row],[QT_AREA_REAL]]=0,"Reestimativa 1","Realizado"))</f>
        <v>Reestimativa 1</v>
      </c>
      <c r="W1236" s="1" t="str">
        <f>IF(ESTIMATIVA[[#This Row],[QT_AREA_REST2]]&gt;0,"Reestimativa 2",IF(ESTIMATIVA[[#This Row],[QT_AREA_REAL]]=0,"Reestimativa 2","Realizado"))</f>
        <v>Realizado</v>
      </c>
      <c r="X1236" s="1">
        <f>ESTIMATIVA[[#This Row],[QT_AREA_EST]]</f>
        <v>30.33</v>
      </c>
      <c r="Y1236" s="1">
        <f>IF(ESTIMATIVA[[#This Row],[QT_AREA_REST1]]&gt;0,ESTIMATIVA[[#This Row],[QT_AREA_REST1]],
  IF(ESTIMATIVA[[#This Row],[QT_AREA_REAL]]&gt;0,ESTIMATIVA[[#This Row],[QT_AREA_REAL]],ESTIMATIVA[[#This Row],[QT_AREA_EST]]))</f>
        <v>30.33</v>
      </c>
      <c r="Z123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30.33</v>
      </c>
      <c r="AA1236" s="1">
        <f>ESTIMATIVA[[#This Row],[QT_CANA_EST]]</f>
        <v>2578.0500000000002</v>
      </c>
      <c r="AB1236" s="1">
        <f>IF(ESTIMATIVA[[#This Row],[QT_CANA_REST1]]&gt;0,ESTIMATIVA[[#This Row],[QT_CANA_REST1]],
  IF(ESTIMATIVA[[#This Row],[QT_CANA_REAL]]&gt;0,ESTIMATIVA[[#This Row],[QT_CANA_REAL]],ESTIMATIVA[[#This Row],[QT_CANA_EST]]))</f>
        <v>2608.38</v>
      </c>
      <c r="AC123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3011.01</v>
      </c>
      <c r="AD1236" s="1">
        <f>IF(ESTIMATIVA[[#This Row],[QT_AREA_REAL]]&gt;0,ESTIMATIVA[[#This Row],[QT_CANA_REAL]],ESTIMATIVA[[#This Row],[QT_CANA_EST]])</f>
        <v>3011.01</v>
      </c>
      <c r="AE1236" s="1">
        <f>IF(ESTIMATIVA[[#This Row],[QT_AREA_REAL]]&gt;0,ESTIMATIVA[[#This Row],[QT_CANA_REAL]],ESTIMATIVA[[#This Row],[QT_CANA_REST1]])</f>
        <v>3011.01</v>
      </c>
      <c r="AF1236" s="1">
        <f>IF(ESTIMATIVA[[#This Row],[QT_AREA_REAL]]&gt;0,ESTIMATIVA[[#This Row],[QT_CANA_REAL]],ESTIMATIVA[[#This Row],[QT_CANA_REST2]])</f>
        <v>3011.01</v>
      </c>
      <c r="AG1236" s="1" t="str">
        <f>IF(COUNTIFS(GEADA!A:A,VALUE(ESTIMATIVA[[#This Row],[CD_UPNIVEL1]]&amp;TEXT(ESTIMATIVA[[#This Row],[CD_UPNIVEL3]],"0000")))&gt;0,"S","N")</f>
        <v>N</v>
      </c>
      <c r="AH123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36" s="55" t="str">
        <f>IF(ESTIMATIVA[[#This Row],[TP_CULTIVO]]="Irrigado",_xlfn.MAXIFS(IRRIGADO!J:J,IRRIGADO!C:C,ESTIMATIVA[[#This Row],[CD_UPNIVEL1]],IRRIGADO!E:E,ESTIMATIVA[[#This Row],[CD_UPNIVEL3]]),"")</f>
        <v/>
      </c>
      <c r="AJ123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36" s="1">
        <f>COUNTIFS(Apresentação!$E$23:$E$29,ESTIMATIVA[[#This Row],[CD_UPNIVEL1]])</f>
        <v>0</v>
      </c>
    </row>
    <row r="1237" spans="1:37" x14ac:dyDescent="0.3">
      <c r="A1237">
        <v>20518</v>
      </c>
      <c r="B1237" t="s">
        <v>68</v>
      </c>
      <c r="C1237">
        <v>12</v>
      </c>
      <c r="D1237">
        <v>3</v>
      </c>
      <c r="E1237" t="s">
        <v>263</v>
      </c>
      <c r="F1237" s="85" t="s">
        <v>331</v>
      </c>
      <c r="G1237"/>
      <c r="H1237" t="s">
        <v>294</v>
      </c>
      <c r="I1237" t="s">
        <v>205</v>
      </c>
      <c r="J1237" t="s">
        <v>176</v>
      </c>
      <c r="K1237" s="1">
        <v>13.95</v>
      </c>
      <c r="L1237" s="1">
        <v>0</v>
      </c>
      <c r="M1237" s="1">
        <v>0</v>
      </c>
      <c r="N1237" s="1">
        <v>13.95</v>
      </c>
      <c r="O1237" s="1">
        <v>1185.75</v>
      </c>
      <c r="P1237" s="1">
        <v>0</v>
      </c>
      <c r="Q1237" s="1">
        <v>0</v>
      </c>
      <c r="R1237" s="1">
        <v>1421.6</v>
      </c>
      <c r="S1237" t="s">
        <v>12</v>
      </c>
      <c r="T1237" s="13">
        <v>45795</v>
      </c>
      <c r="U1237" s="1" t="str">
        <f>IF(ESTIMATIVA[[#This Row],[QT_AREA_REAL]]&gt;0,"1- Colhido","2- à Colher")</f>
        <v>1- Colhido</v>
      </c>
      <c r="V1237" s="1" t="str">
        <f>IF(ESTIMATIVA[[#This Row],[QT_AREA_REST1]]&gt;0,"Reestimativa 1",IF(ESTIMATIVA[[#This Row],[QT_AREA_REAL]]=0,"Reestimativa 1","Realizado"))</f>
        <v>Realizado</v>
      </c>
      <c r="W1237" s="1" t="str">
        <f>IF(ESTIMATIVA[[#This Row],[QT_AREA_REST2]]&gt;0,"Reestimativa 2",IF(ESTIMATIVA[[#This Row],[QT_AREA_REAL]]=0,"Reestimativa 2","Realizado"))</f>
        <v>Realizado</v>
      </c>
      <c r="X1237" s="1">
        <f>ESTIMATIVA[[#This Row],[QT_AREA_EST]]</f>
        <v>13.95</v>
      </c>
      <c r="Y1237" s="1">
        <f>IF(ESTIMATIVA[[#This Row],[QT_AREA_REST1]]&gt;0,ESTIMATIVA[[#This Row],[QT_AREA_REST1]],
  IF(ESTIMATIVA[[#This Row],[QT_AREA_REAL]]&gt;0,ESTIMATIVA[[#This Row],[QT_AREA_REAL]],ESTIMATIVA[[#This Row],[QT_AREA_EST]]))</f>
        <v>13.95</v>
      </c>
      <c r="Z123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13.95</v>
      </c>
      <c r="AA1237" s="1">
        <f>ESTIMATIVA[[#This Row],[QT_CANA_EST]]</f>
        <v>1185.75</v>
      </c>
      <c r="AB1237" s="1">
        <f>IF(ESTIMATIVA[[#This Row],[QT_CANA_REST1]]&gt;0,ESTIMATIVA[[#This Row],[QT_CANA_REST1]],
  IF(ESTIMATIVA[[#This Row],[QT_CANA_REAL]]&gt;0,ESTIMATIVA[[#This Row],[QT_CANA_REAL]],ESTIMATIVA[[#This Row],[QT_CANA_EST]]))</f>
        <v>1421.6</v>
      </c>
      <c r="AC123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1421.6</v>
      </c>
      <c r="AD1237" s="1">
        <f>IF(ESTIMATIVA[[#This Row],[QT_AREA_REAL]]&gt;0,ESTIMATIVA[[#This Row],[QT_CANA_REAL]],ESTIMATIVA[[#This Row],[QT_CANA_EST]])</f>
        <v>1421.6</v>
      </c>
      <c r="AE1237" s="1">
        <f>IF(ESTIMATIVA[[#This Row],[QT_AREA_REAL]]&gt;0,ESTIMATIVA[[#This Row],[QT_CANA_REAL]],ESTIMATIVA[[#This Row],[QT_CANA_REST1]])</f>
        <v>1421.6</v>
      </c>
      <c r="AF1237" s="1">
        <f>IF(ESTIMATIVA[[#This Row],[QT_AREA_REAL]]&gt;0,ESTIMATIVA[[#This Row],[QT_CANA_REAL]],ESTIMATIVA[[#This Row],[QT_CANA_REST2]])</f>
        <v>1421.6</v>
      </c>
      <c r="AG1237" s="1" t="str">
        <f>IF(COUNTIFS(GEADA!A:A,VALUE(ESTIMATIVA[[#This Row],[CD_UPNIVEL1]]&amp;TEXT(ESTIMATIVA[[#This Row],[CD_UPNIVEL3]],"0000")))&gt;0,"S","N")</f>
        <v>N</v>
      </c>
      <c r="AH123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37" s="55" t="str">
        <f>IF(ESTIMATIVA[[#This Row],[TP_CULTIVO]]="Irrigado",_xlfn.MAXIFS(IRRIGADO!J:J,IRRIGADO!C:C,ESTIMATIVA[[#This Row],[CD_UPNIVEL1]],IRRIGADO!E:E,ESTIMATIVA[[#This Row],[CD_UPNIVEL3]]),"")</f>
        <v/>
      </c>
      <c r="AJ123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37" s="1">
        <f>COUNTIFS(Apresentação!$E$23:$E$29,ESTIMATIVA[[#This Row],[CD_UPNIVEL1]])</f>
        <v>0</v>
      </c>
    </row>
    <row r="1238" spans="1:37" x14ac:dyDescent="0.3">
      <c r="A1238">
        <v>20518</v>
      </c>
      <c r="B1238" t="s">
        <v>68</v>
      </c>
      <c r="C1238">
        <v>13</v>
      </c>
      <c r="D1238">
        <v>3</v>
      </c>
      <c r="E1238" t="s">
        <v>263</v>
      </c>
      <c r="F1238" s="85" t="s">
        <v>332</v>
      </c>
      <c r="G1238"/>
      <c r="H1238" t="s">
        <v>294</v>
      </c>
      <c r="I1238" t="s">
        <v>205</v>
      </c>
      <c r="J1238" t="s">
        <v>176</v>
      </c>
      <c r="K1238" s="1">
        <v>12.87</v>
      </c>
      <c r="L1238" s="1">
        <v>12.87</v>
      </c>
      <c r="M1238" s="1">
        <v>0</v>
      </c>
      <c r="N1238" s="1">
        <v>12.87</v>
      </c>
      <c r="O1238" s="1">
        <v>1093.95</v>
      </c>
      <c r="P1238" s="1">
        <v>1106.82</v>
      </c>
      <c r="Q1238" s="1">
        <v>0</v>
      </c>
      <c r="R1238" s="1">
        <v>1207.28</v>
      </c>
      <c r="S1238" t="s">
        <v>12</v>
      </c>
      <c r="T1238" s="13">
        <v>45900</v>
      </c>
      <c r="U1238" s="1" t="str">
        <f>IF(ESTIMATIVA[[#This Row],[QT_AREA_REAL]]&gt;0,"1- Colhido","2- à Colher")</f>
        <v>1- Colhido</v>
      </c>
      <c r="V1238" s="1" t="str">
        <f>IF(ESTIMATIVA[[#This Row],[QT_AREA_REST1]]&gt;0,"Reestimativa 1",IF(ESTIMATIVA[[#This Row],[QT_AREA_REAL]]=0,"Reestimativa 1","Realizado"))</f>
        <v>Reestimativa 1</v>
      </c>
      <c r="W1238" s="1" t="str">
        <f>IF(ESTIMATIVA[[#This Row],[QT_AREA_REST2]]&gt;0,"Reestimativa 2",IF(ESTIMATIVA[[#This Row],[QT_AREA_REAL]]=0,"Reestimativa 2","Realizado"))</f>
        <v>Realizado</v>
      </c>
      <c r="X1238" s="1">
        <f>ESTIMATIVA[[#This Row],[QT_AREA_EST]]</f>
        <v>12.87</v>
      </c>
      <c r="Y1238" s="1">
        <f>IF(ESTIMATIVA[[#This Row],[QT_AREA_REST1]]&gt;0,ESTIMATIVA[[#This Row],[QT_AREA_REST1]],
  IF(ESTIMATIVA[[#This Row],[QT_AREA_REAL]]&gt;0,ESTIMATIVA[[#This Row],[QT_AREA_REAL]],ESTIMATIVA[[#This Row],[QT_AREA_EST]]))</f>
        <v>12.87</v>
      </c>
      <c r="Z123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12.87</v>
      </c>
      <c r="AA1238" s="1">
        <f>ESTIMATIVA[[#This Row],[QT_CANA_EST]]</f>
        <v>1093.95</v>
      </c>
      <c r="AB1238" s="1">
        <f>IF(ESTIMATIVA[[#This Row],[QT_CANA_REST1]]&gt;0,ESTIMATIVA[[#This Row],[QT_CANA_REST1]],
  IF(ESTIMATIVA[[#This Row],[QT_CANA_REAL]]&gt;0,ESTIMATIVA[[#This Row],[QT_CANA_REAL]],ESTIMATIVA[[#This Row],[QT_CANA_EST]]))</f>
        <v>1106.82</v>
      </c>
      <c r="AC123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1207.28</v>
      </c>
      <c r="AD1238" s="1">
        <f>IF(ESTIMATIVA[[#This Row],[QT_AREA_REAL]]&gt;0,ESTIMATIVA[[#This Row],[QT_CANA_REAL]],ESTIMATIVA[[#This Row],[QT_CANA_EST]])</f>
        <v>1207.28</v>
      </c>
      <c r="AE1238" s="1">
        <f>IF(ESTIMATIVA[[#This Row],[QT_AREA_REAL]]&gt;0,ESTIMATIVA[[#This Row],[QT_CANA_REAL]],ESTIMATIVA[[#This Row],[QT_CANA_REST1]])</f>
        <v>1207.28</v>
      </c>
      <c r="AF1238" s="1">
        <f>IF(ESTIMATIVA[[#This Row],[QT_AREA_REAL]]&gt;0,ESTIMATIVA[[#This Row],[QT_CANA_REAL]],ESTIMATIVA[[#This Row],[QT_CANA_REST2]])</f>
        <v>1207.28</v>
      </c>
      <c r="AG1238" s="1" t="str">
        <f>IF(COUNTIFS(GEADA!A:A,VALUE(ESTIMATIVA[[#This Row],[CD_UPNIVEL1]]&amp;TEXT(ESTIMATIVA[[#This Row],[CD_UPNIVEL3]],"0000")))&gt;0,"S","N")</f>
        <v>N</v>
      </c>
      <c r="AH123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38" s="55" t="str">
        <f>IF(ESTIMATIVA[[#This Row],[TP_CULTIVO]]="Irrigado",_xlfn.MAXIFS(IRRIGADO!J:J,IRRIGADO!C:C,ESTIMATIVA[[#This Row],[CD_UPNIVEL1]],IRRIGADO!E:E,ESTIMATIVA[[#This Row],[CD_UPNIVEL3]]),"")</f>
        <v/>
      </c>
      <c r="AJ123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38" s="1">
        <f>COUNTIFS(Apresentação!$E$23:$E$29,ESTIMATIVA[[#This Row],[CD_UPNIVEL1]])</f>
        <v>0</v>
      </c>
    </row>
    <row r="1239" spans="1:37" x14ac:dyDescent="0.3">
      <c r="A1239">
        <v>20518</v>
      </c>
      <c r="B1239" t="s">
        <v>68</v>
      </c>
      <c r="C1239">
        <v>14</v>
      </c>
      <c r="D1239">
        <v>3</v>
      </c>
      <c r="E1239" t="s">
        <v>263</v>
      </c>
      <c r="F1239" s="85" t="s">
        <v>332</v>
      </c>
      <c r="G1239"/>
      <c r="H1239" t="s">
        <v>294</v>
      </c>
      <c r="I1239" t="s">
        <v>205</v>
      </c>
      <c r="J1239" t="s">
        <v>176</v>
      </c>
      <c r="K1239" s="1">
        <v>3.24</v>
      </c>
      <c r="L1239" s="1">
        <v>3.24</v>
      </c>
      <c r="M1239" s="1">
        <v>0</v>
      </c>
      <c r="N1239" s="1">
        <v>3.24</v>
      </c>
      <c r="O1239" s="1">
        <v>275.39999999999998</v>
      </c>
      <c r="P1239" s="1">
        <v>278.64</v>
      </c>
      <c r="Q1239" s="1">
        <v>0</v>
      </c>
      <c r="R1239" s="1">
        <v>304.18</v>
      </c>
      <c r="S1239" t="s">
        <v>12</v>
      </c>
      <c r="T1239" s="13">
        <v>45900</v>
      </c>
      <c r="U1239" s="1" t="str">
        <f>IF(ESTIMATIVA[[#This Row],[QT_AREA_REAL]]&gt;0,"1- Colhido","2- à Colher")</f>
        <v>1- Colhido</v>
      </c>
      <c r="V1239" s="1" t="str">
        <f>IF(ESTIMATIVA[[#This Row],[QT_AREA_REST1]]&gt;0,"Reestimativa 1",IF(ESTIMATIVA[[#This Row],[QT_AREA_REAL]]=0,"Reestimativa 1","Realizado"))</f>
        <v>Reestimativa 1</v>
      </c>
      <c r="W1239" s="1" t="str">
        <f>IF(ESTIMATIVA[[#This Row],[QT_AREA_REST2]]&gt;0,"Reestimativa 2",IF(ESTIMATIVA[[#This Row],[QT_AREA_REAL]]=0,"Reestimativa 2","Realizado"))</f>
        <v>Realizado</v>
      </c>
      <c r="X1239" s="1">
        <f>ESTIMATIVA[[#This Row],[QT_AREA_EST]]</f>
        <v>3.24</v>
      </c>
      <c r="Y1239" s="1">
        <f>IF(ESTIMATIVA[[#This Row],[QT_AREA_REST1]]&gt;0,ESTIMATIVA[[#This Row],[QT_AREA_REST1]],
  IF(ESTIMATIVA[[#This Row],[QT_AREA_REAL]]&gt;0,ESTIMATIVA[[#This Row],[QT_AREA_REAL]],ESTIMATIVA[[#This Row],[QT_AREA_EST]]))</f>
        <v>3.24</v>
      </c>
      <c r="Z123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3.24</v>
      </c>
      <c r="AA1239" s="1">
        <f>ESTIMATIVA[[#This Row],[QT_CANA_EST]]</f>
        <v>275.39999999999998</v>
      </c>
      <c r="AB1239" s="1">
        <f>IF(ESTIMATIVA[[#This Row],[QT_CANA_REST1]]&gt;0,ESTIMATIVA[[#This Row],[QT_CANA_REST1]],
  IF(ESTIMATIVA[[#This Row],[QT_CANA_REAL]]&gt;0,ESTIMATIVA[[#This Row],[QT_CANA_REAL]],ESTIMATIVA[[#This Row],[QT_CANA_EST]]))</f>
        <v>278.64</v>
      </c>
      <c r="AC123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304.18</v>
      </c>
      <c r="AD1239" s="1">
        <f>IF(ESTIMATIVA[[#This Row],[QT_AREA_REAL]]&gt;0,ESTIMATIVA[[#This Row],[QT_CANA_REAL]],ESTIMATIVA[[#This Row],[QT_CANA_EST]])</f>
        <v>304.18</v>
      </c>
      <c r="AE1239" s="1">
        <f>IF(ESTIMATIVA[[#This Row],[QT_AREA_REAL]]&gt;0,ESTIMATIVA[[#This Row],[QT_CANA_REAL]],ESTIMATIVA[[#This Row],[QT_CANA_REST1]])</f>
        <v>304.18</v>
      </c>
      <c r="AF1239" s="1">
        <f>IF(ESTIMATIVA[[#This Row],[QT_AREA_REAL]]&gt;0,ESTIMATIVA[[#This Row],[QT_CANA_REAL]],ESTIMATIVA[[#This Row],[QT_CANA_REST2]])</f>
        <v>304.18</v>
      </c>
      <c r="AG1239" s="1" t="str">
        <f>IF(COUNTIFS(GEADA!A:A,VALUE(ESTIMATIVA[[#This Row],[CD_UPNIVEL1]]&amp;TEXT(ESTIMATIVA[[#This Row],[CD_UPNIVEL3]],"0000")))&gt;0,"S","N")</f>
        <v>N</v>
      </c>
      <c r="AH123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39" s="55" t="str">
        <f>IF(ESTIMATIVA[[#This Row],[TP_CULTIVO]]="Irrigado",_xlfn.MAXIFS(IRRIGADO!J:J,IRRIGADO!C:C,ESTIMATIVA[[#This Row],[CD_UPNIVEL1]],IRRIGADO!E:E,ESTIMATIVA[[#This Row],[CD_UPNIVEL3]]),"")</f>
        <v/>
      </c>
      <c r="AJ123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39" s="1">
        <f>COUNTIFS(Apresentação!$E$23:$E$29,ESTIMATIVA[[#This Row],[CD_UPNIVEL1]])</f>
        <v>0</v>
      </c>
    </row>
    <row r="1240" spans="1:37" x14ac:dyDescent="0.3">
      <c r="A1240">
        <v>20518</v>
      </c>
      <c r="B1240" t="s">
        <v>68</v>
      </c>
      <c r="C1240">
        <v>15</v>
      </c>
      <c r="D1240">
        <v>3</v>
      </c>
      <c r="E1240" t="s">
        <v>263</v>
      </c>
      <c r="F1240" s="85" t="s">
        <v>332</v>
      </c>
      <c r="G1240"/>
      <c r="H1240" t="s">
        <v>294</v>
      </c>
      <c r="I1240" t="s">
        <v>205</v>
      </c>
      <c r="J1240" t="s">
        <v>176</v>
      </c>
      <c r="K1240" s="1">
        <v>14.68</v>
      </c>
      <c r="L1240" s="1">
        <v>14.68</v>
      </c>
      <c r="M1240" s="1">
        <v>0</v>
      </c>
      <c r="N1240" s="1">
        <v>14.68</v>
      </c>
      <c r="O1240" s="1">
        <v>1247.8</v>
      </c>
      <c r="P1240" s="1">
        <v>1262.48</v>
      </c>
      <c r="Q1240" s="1">
        <v>0</v>
      </c>
      <c r="R1240" s="1">
        <v>1376.34</v>
      </c>
      <c r="S1240" t="s">
        <v>12</v>
      </c>
      <c r="T1240" s="13">
        <v>45900</v>
      </c>
      <c r="U1240" s="1" t="str">
        <f>IF(ESTIMATIVA[[#This Row],[QT_AREA_REAL]]&gt;0,"1- Colhido","2- à Colher")</f>
        <v>1- Colhido</v>
      </c>
      <c r="V1240" s="1" t="str">
        <f>IF(ESTIMATIVA[[#This Row],[QT_AREA_REST1]]&gt;0,"Reestimativa 1",IF(ESTIMATIVA[[#This Row],[QT_AREA_REAL]]=0,"Reestimativa 1","Realizado"))</f>
        <v>Reestimativa 1</v>
      </c>
      <c r="W1240" s="1" t="str">
        <f>IF(ESTIMATIVA[[#This Row],[QT_AREA_REST2]]&gt;0,"Reestimativa 2",IF(ESTIMATIVA[[#This Row],[QT_AREA_REAL]]=0,"Reestimativa 2","Realizado"))</f>
        <v>Realizado</v>
      </c>
      <c r="X1240" s="1">
        <f>ESTIMATIVA[[#This Row],[QT_AREA_EST]]</f>
        <v>14.68</v>
      </c>
      <c r="Y1240" s="1">
        <f>IF(ESTIMATIVA[[#This Row],[QT_AREA_REST1]]&gt;0,ESTIMATIVA[[#This Row],[QT_AREA_REST1]],
  IF(ESTIMATIVA[[#This Row],[QT_AREA_REAL]]&gt;0,ESTIMATIVA[[#This Row],[QT_AREA_REAL]],ESTIMATIVA[[#This Row],[QT_AREA_EST]]))</f>
        <v>14.68</v>
      </c>
      <c r="Z124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14.68</v>
      </c>
      <c r="AA1240" s="1">
        <f>ESTIMATIVA[[#This Row],[QT_CANA_EST]]</f>
        <v>1247.8</v>
      </c>
      <c r="AB1240" s="1">
        <f>IF(ESTIMATIVA[[#This Row],[QT_CANA_REST1]]&gt;0,ESTIMATIVA[[#This Row],[QT_CANA_REST1]],
  IF(ESTIMATIVA[[#This Row],[QT_CANA_REAL]]&gt;0,ESTIMATIVA[[#This Row],[QT_CANA_REAL]],ESTIMATIVA[[#This Row],[QT_CANA_EST]]))</f>
        <v>1262.48</v>
      </c>
      <c r="AC124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1376.34</v>
      </c>
      <c r="AD1240" s="1">
        <f>IF(ESTIMATIVA[[#This Row],[QT_AREA_REAL]]&gt;0,ESTIMATIVA[[#This Row],[QT_CANA_REAL]],ESTIMATIVA[[#This Row],[QT_CANA_EST]])</f>
        <v>1376.34</v>
      </c>
      <c r="AE1240" s="1">
        <f>IF(ESTIMATIVA[[#This Row],[QT_AREA_REAL]]&gt;0,ESTIMATIVA[[#This Row],[QT_CANA_REAL]],ESTIMATIVA[[#This Row],[QT_CANA_REST1]])</f>
        <v>1376.34</v>
      </c>
      <c r="AF1240" s="1">
        <f>IF(ESTIMATIVA[[#This Row],[QT_AREA_REAL]]&gt;0,ESTIMATIVA[[#This Row],[QT_CANA_REAL]],ESTIMATIVA[[#This Row],[QT_CANA_REST2]])</f>
        <v>1376.34</v>
      </c>
      <c r="AG1240" s="1" t="str">
        <f>IF(COUNTIFS(GEADA!A:A,VALUE(ESTIMATIVA[[#This Row],[CD_UPNIVEL1]]&amp;TEXT(ESTIMATIVA[[#This Row],[CD_UPNIVEL3]],"0000")))&gt;0,"S","N")</f>
        <v>N</v>
      </c>
      <c r="AH124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40" s="55" t="str">
        <f>IF(ESTIMATIVA[[#This Row],[TP_CULTIVO]]="Irrigado",_xlfn.MAXIFS(IRRIGADO!J:J,IRRIGADO!C:C,ESTIMATIVA[[#This Row],[CD_UPNIVEL1]],IRRIGADO!E:E,ESTIMATIVA[[#This Row],[CD_UPNIVEL3]]),"")</f>
        <v/>
      </c>
      <c r="AJ124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40" s="1">
        <f>COUNTIFS(Apresentação!$E$23:$E$29,ESTIMATIVA[[#This Row],[CD_UPNIVEL1]])</f>
        <v>0</v>
      </c>
    </row>
    <row r="1241" spans="1:37" x14ac:dyDescent="0.3">
      <c r="A1241">
        <v>20518</v>
      </c>
      <c r="B1241" t="s">
        <v>68</v>
      </c>
      <c r="C1241">
        <v>16</v>
      </c>
      <c r="D1241">
        <v>3</v>
      </c>
      <c r="E1241" t="s">
        <v>263</v>
      </c>
      <c r="F1241" s="85" t="s">
        <v>331</v>
      </c>
      <c r="G1241"/>
      <c r="H1241" t="s">
        <v>294</v>
      </c>
      <c r="I1241" t="s">
        <v>205</v>
      </c>
      <c r="J1241" t="s">
        <v>176</v>
      </c>
      <c r="K1241" s="1">
        <v>10.35</v>
      </c>
      <c r="L1241" s="1">
        <v>10.35</v>
      </c>
      <c r="M1241" s="1">
        <v>0</v>
      </c>
      <c r="N1241" s="1">
        <v>10.35</v>
      </c>
      <c r="O1241" s="1">
        <v>879.75</v>
      </c>
      <c r="P1241" s="1">
        <v>890.1</v>
      </c>
      <c r="Q1241" s="1">
        <v>0</v>
      </c>
      <c r="R1241" s="1">
        <v>970.6</v>
      </c>
      <c r="S1241" t="s">
        <v>12</v>
      </c>
      <c r="T1241" s="13">
        <v>45900</v>
      </c>
      <c r="U1241" s="1" t="str">
        <f>IF(ESTIMATIVA[[#This Row],[QT_AREA_REAL]]&gt;0,"1- Colhido","2- à Colher")</f>
        <v>1- Colhido</v>
      </c>
      <c r="V1241" s="1" t="str">
        <f>IF(ESTIMATIVA[[#This Row],[QT_AREA_REST1]]&gt;0,"Reestimativa 1",IF(ESTIMATIVA[[#This Row],[QT_AREA_REAL]]=0,"Reestimativa 1","Realizado"))</f>
        <v>Reestimativa 1</v>
      </c>
      <c r="W1241" s="1" t="str">
        <f>IF(ESTIMATIVA[[#This Row],[QT_AREA_REST2]]&gt;0,"Reestimativa 2",IF(ESTIMATIVA[[#This Row],[QT_AREA_REAL]]=0,"Reestimativa 2","Realizado"))</f>
        <v>Realizado</v>
      </c>
      <c r="X1241" s="1">
        <f>ESTIMATIVA[[#This Row],[QT_AREA_EST]]</f>
        <v>10.35</v>
      </c>
      <c r="Y1241" s="1">
        <f>IF(ESTIMATIVA[[#This Row],[QT_AREA_REST1]]&gt;0,ESTIMATIVA[[#This Row],[QT_AREA_REST1]],
  IF(ESTIMATIVA[[#This Row],[QT_AREA_REAL]]&gt;0,ESTIMATIVA[[#This Row],[QT_AREA_REAL]],ESTIMATIVA[[#This Row],[QT_AREA_EST]]))</f>
        <v>10.35</v>
      </c>
      <c r="Z124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10.35</v>
      </c>
      <c r="AA1241" s="1">
        <f>ESTIMATIVA[[#This Row],[QT_CANA_EST]]</f>
        <v>879.75</v>
      </c>
      <c r="AB1241" s="1">
        <f>IF(ESTIMATIVA[[#This Row],[QT_CANA_REST1]]&gt;0,ESTIMATIVA[[#This Row],[QT_CANA_REST1]],
  IF(ESTIMATIVA[[#This Row],[QT_CANA_REAL]]&gt;0,ESTIMATIVA[[#This Row],[QT_CANA_REAL]],ESTIMATIVA[[#This Row],[QT_CANA_EST]]))</f>
        <v>890.1</v>
      </c>
      <c r="AC124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970.6</v>
      </c>
      <c r="AD1241" s="1">
        <f>IF(ESTIMATIVA[[#This Row],[QT_AREA_REAL]]&gt;0,ESTIMATIVA[[#This Row],[QT_CANA_REAL]],ESTIMATIVA[[#This Row],[QT_CANA_EST]])</f>
        <v>970.6</v>
      </c>
      <c r="AE1241" s="1">
        <f>IF(ESTIMATIVA[[#This Row],[QT_AREA_REAL]]&gt;0,ESTIMATIVA[[#This Row],[QT_CANA_REAL]],ESTIMATIVA[[#This Row],[QT_CANA_REST1]])</f>
        <v>970.6</v>
      </c>
      <c r="AF1241" s="1">
        <f>IF(ESTIMATIVA[[#This Row],[QT_AREA_REAL]]&gt;0,ESTIMATIVA[[#This Row],[QT_CANA_REAL]],ESTIMATIVA[[#This Row],[QT_CANA_REST2]])</f>
        <v>970.6</v>
      </c>
      <c r="AG1241" s="1" t="str">
        <f>IF(COUNTIFS(GEADA!A:A,VALUE(ESTIMATIVA[[#This Row],[CD_UPNIVEL1]]&amp;TEXT(ESTIMATIVA[[#This Row],[CD_UPNIVEL3]],"0000")))&gt;0,"S","N")</f>
        <v>N</v>
      </c>
      <c r="AH124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41" s="55" t="str">
        <f>IF(ESTIMATIVA[[#This Row],[TP_CULTIVO]]="Irrigado",_xlfn.MAXIFS(IRRIGADO!J:J,IRRIGADO!C:C,ESTIMATIVA[[#This Row],[CD_UPNIVEL1]],IRRIGADO!E:E,ESTIMATIVA[[#This Row],[CD_UPNIVEL3]]),"")</f>
        <v/>
      </c>
      <c r="AJ124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41" s="1">
        <f>COUNTIFS(Apresentação!$E$23:$E$29,ESTIMATIVA[[#This Row],[CD_UPNIVEL1]])</f>
        <v>0</v>
      </c>
    </row>
    <row r="1242" spans="1:37" x14ac:dyDescent="0.3">
      <c r="A1242">
        <v>20518</v>
      </c>
      <c r="B1242" t="s">
        <v>68</v>
      </c>
      <c r="C1242">
        <v>17</v>
      </c>
      <c r="D1242">
        <v>3</v>
      </c>
      <c r="E1242" t="s">
        <v>263</v>
      </c>
      <c r="F1242" s="85" t="s">
        <v>333</v>
      </c>
      <c r="G1242"/>
      <c r="H1242" t="s">
        <v>294</v>
      </c>
      <c r="I1242" t="s">
        <v>205</v>
      </c>
      <c r="J1242" t="s">
        <v>176</v>
      </c>
      <c r="K1242" s="1">
        <v>0.62</v>
      </c>
      <c r="L1242" s="1">
        <v>0.62</v>
      </c>
      <c r="M1242" s="1">
        <v>0</v>
      </c>
      <c r="N1242" s="1">
        <v>0.62</v>
      </c>
      <c r="O1242" s="1">
        <v>52.7</v>
      </c>
      <c r="P1242" s="1">
        <v>53.32</v>
      </c>
      <c r="Q1242" s="1">
        <v>0</v>
      </c>
      <c r="R1242" s="1">
        <v>57.69</v>
      </c>
      <c r="S1242" t="s">
        <v>12</v>
      </c>
      <c r="T1242" s="13">
        <v>45900</v>
      </c>
      <c r="U1242" s="1" t="str">
        <f>IF(ESTIMATIVA[[#This Row],[QT_AREA_REAL]]&gt;0,"1- Colhido","2- à Colher")</f>
        <v>1- Colhido</v>
      </c>
      <c r="V1242" s="1" t="str">
        <f>IF(ESTIMATIVA[[#This Row],[QT_AREA_REST1]]&gt;0,"Reestimativa 1",IF(ESTIMATIVA[[#This Row],[QT_AREA_REAL]]=0,"Reestimativa 1","Realizado"))</f>
        <v>Reestimativa 1</v>
      </c>
      <c r="W1242" s="1" t="str">
        <f>IF(ESTIMATIVA[[#This Row],[QT_AREA_REST2]]&gt;0,"Reestimativa 2",IF(ESTIMATIVA[[#This Row],[QT_AREA_REAL]]=0,"Reestimativa 2","Realizado"))</f>
        <v>Realizado</v>
      </c>
      <c r="X1242" s="1">
        <f>ESTIMATIVA[[#This Row],[QT_AREA_EST]]</f>
        <v>0.62</v>
      </c>
      <c r="Y1242" s="1">
        <f>IF(ESTIMATIVA[[#This Row],[QT_AREA_REST1]]&gt;0,ESTIMATIVA[[#This Row],[QT_AREA_REST1]],
  IF(ESTIMATIVA[[#This Row],[QT_AREA_REAL]]&gt;0,ESTIMATIVA[[#This Row],[QT_AREA_REAL]],ESTIMATIVA[[#This Row],[QT_AREA_EST]]))</f>
        <v>0.62</v>
      </c>
      <c r="Z124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0.62</v>
      </c>
      <c r="AA1242" s="1">
        <f>ESTIMATIVA[[#This Row],[QT_CANA_EST]]</f>
        <v>52.7</v>
      </c>
      <c r="AB1242" s="1">
        <f>IF(ESTIMATIVA[[#This Row],[QT_CANA_REST1]]&gt;0,ESTIMATIVA[[#This Row],[QT_CANA_REST1]],
  IF(ESTIMATIVA[[#This Row],[QT_CANA_REAL]]&gt;0,ESTIMATIVA[[#This Row],[QT_CANA_REAL]],ESTIMATIVA[[#This Row],[QT_CANA_EST]]))</f>
        <v>53.32</v>
      </c>
      <c r="AC124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57.69</v>
      </c>
      <c r="AD1242" s="1">
        <f>IF(ESTIMATIVA[[#This Row],[QT_AREA_REAL]]&gt;0,ESTIMATIVA[[#This Row],[QT_CANA_REAL]],ESTIMATIVA[[#This Row],[QT_CANA_EST]])</f>
        <v>57.69</v>
      </c>
      <c r="AE1242" s="1">
        <f>IF(ESTIMATIVA[[#This Row],[QT_AREA_REAL]]&gt;0,ESTIMATIVA[[#This Row],[QT_CANA_REAL]],ESTIMATIVA[[#This Row],[QT_CANA_REST1]])</f>
        <v>57.69</v>
      </c>
      <c r="AF1242" s="1">
        <f>IF(ESTIMATIVA[[#This Row],[QT_AREA_REAL]]&gt;0,ESTIMATIVA[[#This Row],[QT_CANA_REAL]],ESTIMATIVA[[#This Row],[QT_CANA_REST2]])</f>
        <v>57.69</v>
      </c>
      <c r="AG1242" s="1" t="str">
        <f>IF(COUNTIFS(GEADA!A:A,VALUE(ESTIMATIVA[[#This Row],[CD_UPNIVEL1]]&amp;TEXT(ESTIMATIVA[[#This Row],[CD_UPNIVEL3]],"0000")))&gt;0,"S","N")</f>
        <v>N</v>
      </c>
      <c r="AH124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42" s="55" t="str">
        <f>IF(ESTIMATIVA[[#This Row],[TP_CULTIVO]]="Irrigado",_xlfn.MAXIFS(IRRIGADO!J:J,IRRIGADO!C:C,ESTIMATIVA[[#This Row],[CD_UPNIVEL1]],IRRIGADO!E:E,ESTIMATIVA[[#This Row],[CD_UPNIVEL3]]),"")</f>
        <v/>
      </c>
      <c r="AJ124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42" s="1">
        <f>COUNTIFS(Apresentação!$E$23:$E$29,ESTIMATIVA[[#This Row],[CD_UPNIVEL1]])</f>
        <v>0</v>
      </c>
    </row>
    <row r="1243" spans="1:37" x14ac:dyDescent="0.3">
      <c r="A1243">
        <v>20518</v>
      </c>
      <c r="B1243" t="s">
        <v>68</v>
      </c>
      <c r="C1243">
        <v>18</v>
      </c>
      <c r="D1243">
        <v>3</v>
      </c>
      <c r="E1243" t="s">
        <v>263</v>
      </c>
      <c r="F1243" s="85" t="s">
        <v>332</v>
      </c>
      <c r="G1243"/>
      <c r="H1243" t="s">
        <v>294</v>
      </c>
      <c r="I1243" t="s">
        <v>205</v>
      </c>
      <c r="J1243" t="s">
        <v>176</v>
      </c>
      <c r="K1243" s="1">
        <v>5.08</v>
      </c>
      <c r="L1243" s="1">
        <v>5.08</v>
      </c>
      <c r="M1243" s="1">
        <v>0</v>
      </c>
      <c r="N1243" s="1">
        <v>5.08</v>
      </c>
      <c r="O1243" s="1">
        <v>431.8</v>
      </c>
      <c r="P1243" s="1">
        <v>436.88</v>
      </c>
      <c r="Q1243" s="1">
        <v>0</v>
      </c>
      <c r="R1243" s="1">
        <v>477.5</v>
      </c>
      <c r="S1243" t="s">
        <v>12</v>
      </c>
      <c r="T1243" s="13">
        <v>45900</v>
      </c>
      <c r="U1243" s="1" t="str">
        <f>IF(ESTIMATIVA[[#This Row],[QT_AREA_REAL]]&gt;0,"1- Colhido","2- à Colher")</f>
        <v>1- Colhido</v>
      </c>
      <c r="V1243" s="1" t="str">
        <f>IF(ESTIMATIVA[[#This Row],[QT_AREA_REST1]]&gt;0,"Reestimativa 1",IF(ESTIMATIVA[[#This Row],[QT_AREA_REAL]]=0,"Reestimativa 1","Realizado"))</f>
        <v>Reestimativa 1</v>
      </c>
      <c r="W1243" s="1" t="str">
        <f>IF(ESTIMATIVA[[#This Row],[QT_AREA_REST2]]&gt;0,"Reestimativa 2",IF(ESTIMATIVA[[#This Row],[QT_AREA_REAL]]=0,"Reestimativa 2","Realizado"))</f>
        <v>Realizado</v>
      </c>
      <c r="X1243" s="1">
        <f>ESTIMATIVA[[#This Row],[QT_AREA_EST]]</f>
        <v>5.08</v>
      </c>
      <c r="Y1243" s="1">
        <f>IF(ESTIMATIVA[[#This Row],[QT_AREA_REST1]]&gt;0,ESTIMATIVA[[#This Row],[QT_AREA_REST1]],
  IF(ESTIMATIVA[[#This Row],[QT_AREA_REAL]]&gt;0,ESTIMATIVA[[#This Row],[QT_AREA_REAL]],ESTIMATIVA[[#This Row],[QT_AREA_EST]]))</f>
        <v>5.08</v>
      </c>
      <c r="Z124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5.08</v>
      </c>
      <c r="AA1243" s="1">
        <f>ESTIMATIVA[[#This Row],[QT_CANA_EST]]</f>
        <v>431.8</v>
      </c>
      <c r="AB1243" s="1">
        <f>IF(ESTIMATIVA[[#This Row],[QT_CANA_REST1]]&gt;0,ESTIMATIVA[[#This Row],[QT_CANA_REST1]],
  IF(ESTIMATIVA[[#This Row],[QT_CANA_REAL]]&gt;0,ESTIMATIVA[[#This Row],[QT_CANA_REAL]],ESTIMATIVA[[#This Row],[QT_CANA_EST]]))</f>
        <v>436.88</v>
      </c>
      <c r="AC124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477.5</v>
      </c>
      <c r="AD1243" s="1">
        <f>IF(ESTIMATIVA[[#This Row],[QT_AREA_REAL]]&gt;0,ESTIMATIVA[[#This Row],[QT_CANA_REAL]],ESTIMATIVA[[#This Row],[QT_CANA_EST]])</f>
        <v>477.5</v>
      </c>
      <c r="AE1243" s="1">
        <f>IF(ESTIMATIVA[[#This Row],[QT_AREA_REAL]]&gt;0,ESTIMATIVA[[#This Row],[QT_CANA_REAL]],ESTIMATIVA[[#This Row],[QT_CANA_REST1]])</f>
        <v>477.5</v>
      </c>
      <c r="AF1243" s="1">
        <f>IF(ESTIMATIVA[[#This Row],[QT_AREA_REAL]]&gt;0,ESTIMATIVA[[#This Row],[QT_CANA_REAL]],ESTIMATIVA[[#This Row],[QT_CANA_REST2]])</f>
        <v>477.5</v>
      </c>
      <c r="AG1243" s="1" t="str">
        <f>IF(COUNTIFS(GEADA!A:A,VALUE(ESTIMATIVA[[#This Row],[CD_UPNIVEL1]]&amp;TEXT(ESTIMATIVA[[#This Row],[CD_UPNIVEL3]],"0000")))&gt;0,"S","N")</f>
        <v>N</v>
      </c>
      <c r="AH124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43" s="55" t="str">
        <f>IF(ESTIMATIVA[[#This Row],[TP_CULTIVO]]="Irrigado",_xlfn.MAXIFS(IRRIGADO!J:J,IRRIGADO!C:C,ESTIMATIVA[[#This Row],[CD_UPNIVEL1]],IRRIGADO!E:E,ESTIMATIVA[[#This Row],[CD_UPNIVEL3]]),"")</f>
        <v/>
      </c>
      <c r="AJ124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43" s="1">
        <f>COUNTIFS(Apresentação!$E$23:$E$29,ESTIMATIVA[[#This Row],[CD_UPNIVEL1]])</f>
        <v>0</v>
      </c>
    </row>
    <row r="1244" spans="1:37" x14ac:dyDescent="0.3">
      <c r="A1244">
        <v>20518</v>
      </c>
      <c r="B1244" t="s">
        <v>68</v>
      </c>
      <c r="C1244">
        <v>19</v>
      </c>
      <c r="D1244">
        <v>3</v>
      </c>
      <c r="E1244" t="s">
        <v>263</v>
      </c>
      <c r="F1244" s="85" t="s">
        <v>331</v>
      </c>
      <c r="G1244"/>
      <c r="H1244" t="s">
        <v>294</v>
      </c>
      <c r="I1244" t="s">
        <v>205</v>
      </c>
      <c r="J1244" t="s">
        <v>176</v>
      </c>
      <c r="K1244" s="1">
        <v>0.8</v>
      </c>
      <c r="L1244" s="1">
        <v>0.8</v>
      </c>
      <c r="M1244" s="1">
        <v>0</v>
      </c>
      <c r="N1244" s="1">
        <v>0.8</v>
      </c>
      <c r="O1244" s="1">
        <v>68</v>
      </c>
      <c r="P1244" s="1">
        <v>68.8</v>
      </c>
      <c r="Q1244" s="1">
        <v>0</v>
      </c>
      <c r="R1244" s="1">
        <v>79.709999999999994</v>
      </c>
      <c r="S1244" t="s">
        <v>12</v>
      </c>
      <c r="T1244" s="13">
        <v>45900</v>
      </c>
      <c r="U1244" s="1" t="str">
        <f>IF(ESTIMATIVA[[#This Row],[QT_AREA_REAL]]&gt;0,"1- Colhido","2- à Colher")</f>
        <v>1- Colhido</v>
      </c>
      <c r="V1244" s="1" t="str">
        <f>IF(ESTIMATIVA[[#This Row],[QT_AREA_REST1]]&gt;0,"Reestimativa 1",IF(ESTIMATIVA[[#This Row],[QT_AREA_REAL]]=0,"Reestimativa 1","Realizado"))</f>
        <v>Reestimativa 1</v>
      </c>
      <c r="W1244" s="1" t="str">
        <f>IF(ESTIMATIVA[[#This Row],[QT_AREA_REST2]]&gt;0,"Reestimativa 2",IF(ESTIMATIVA[[#This Row],[QT_AREA_REAL]]=0,"Reestimativa 2","Realizado"))</f>
        <v>Realizado</v>
      </c>
      <c r="X1244" s="1">
        <f>ESTIMATIVA[[#This Row],[QT_AREA_EST]]</f>
        <v>0.8</v>
      </c>
      <c r="Y1244" s="1">
        <f>IF(ESTIMATIVA[[#This Row],[QT_AREA_REST1]]&gt;0,ESTIMATIVA[[#This Row],[QT_AREA_REST1]],
  IF(ESTIMATIVA[[#This Row],[QT_AREA_REAL]]&gt;0,ESTIMATIVA[[#This Row],[QT_AREA_REAL]],ESTIMATIVA[[#This Row],[QT_AREA_EST]]))</f>
        <v>0.8</v>
      </c>
      <c r="Z124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0.8</v>
      </c>
      <c r="AA1244" s="1">
        <f>ESTIMATIVA[[#This Row],[QT_CANA_EST]]</f>
        <v>68</v>
      </c>
      <c r="AB1244" s="1">
        <f>IF(ESTIMATIVA[[#This Row],[QT_CANA_REST1]]&gt;0,ESTIMATIVA[[#This Row],[QT_CANA_REST1]],
  IF(ESTIMATIVA[[#This Row],[QT_CANA_REAL]]&gt;0,ESTIMATIVA[[#This Row],[QT_CANA_REAL]],ESTIMATIVA[[#This Row],[QT_CANA_EST]]))</f>
        <v>68.8</v>
      </c>
      <c r="AC124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79.709999999999994</v>
      </c>
      <c r="AD1244" s="1">
        <f>IF(ESTIMATIVA[[#This Row],[QT_AREA_REAL]]&gt;0,ESTIMATIVA[[#This Row],[QT_CANA_REAL]],ESTIMATIVA[[#This Row],[QT_CANA_EST]])</f>
        <v>79.709999999999994</v>
      </c>
      <c r="AE1244" s="1">
        <f>IF(ESTIMATIVA[[#This Row],[QT_AREA_REAL]]&gt;0,ESTIMATIVA[[#This Row],[QT_CANA_REAL]],ESTIMATIVA[[#This Row],[QT_CANA_REST1]])</f>
        <v>79.709999999999994</v>
      </c>
      <c r="AF1244" s="1">
        <f>IF(ESTIMATIVA[[#This Row],[QT_AREA_REAL]]&gt;0,ESTIMATIVA[[#This Row],[QT_CANA_REAL]],ESTIMATIVA[[#This Row],[QT_CANA_REST2]])</f>
        <v>79.709999999999994</v>
      </c>
      <c r="AG1244" s="1" t="str">
        <f>IF(COUNTIFS(GEADA!A:A,VALUE(ESTIMATIVA[[#This Row],[CD_UPNIVEL1]]&amp;TEXT(ESTIMATIVA[[#This Row],[CD_UPNIVEL3]],"0000")))&gt;0,"S","N")</f>
        <v>N</v>
      </c>
      <c r="AH124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44" s="55" t="str">
        <f>IF(ESTIMATIVA[[#This Row],[TP_CULTIVO]]="Irrigado",_xlfn.MAXIFS(IRRIGADO!J:J,IRRIGADO!C:C,ESTIMATIVA[[#This Row],[CD_UPNIVEL1]],IRRIGADO!E:E,ESTIMATIVA[[#This Row],[CD_UPNIVEL3]]),"")</f>
        <v/>
      </c>
      <c r="AJ124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44" s="1">
        <f>COUNTIFS(Apresentação!$E$23:$E$29,ESTIMATIVA[[#This Row],[CD_UPNIVEL1]])</f>
        <v>0</v>
      </c>
    </row>
    <row r="1245" spans="1:37" x14ac:dyDescent="0.3">
      <c r="A1245">
        <v>20521</v>
      </c>
      <c r="B1245" t="s">
        <v>69</v>
      </c>
      <c r="C1245">
        <v>1</v>
      </c>
      <c r="D1245">
        <v>2</v>
      </c>
      <c r="E1245" t="s">
        <v>266</v>
      </c>
      <c r="F1245" s="85" t="s">
        <v>331</v>
      </c>
      <c r="G1245"/>
      <c r="H1245" t="s">
        <v>294</v>
      </c>
      <c r="I1245" t="s">
        <v>205</v>
      </c>
      <c r="J1245" t="s">
        <v>176</v>
      </c>
      <c r="K1245" s="1">
        <v>3.96</v>
      </c>
      <c r="L1245" s="1">
        <v>3.96</v>
      </c>
      <c r="M1245" s="1">
        <v>0</v>
      </c>
      <c r="N1245" s="1">
        <v>3.96</v>
      </c>
      <c r="O1245" s="1">
        <v>336.6</v>
      </c>
      <c r="P1245" s="1">
        <v>340.56</v>
      </c>
      <c r="Q1245" s="1">
        <v>0</v>
      </c>
      <c r="R1245" s="1">
        <v>426.26</v>
      </c>
      <c r="S1245" t="s">
        <v>12</v>
      </c>
      <c r="T1245" s="13">
        <v>45886</v>
      </c>
      <c r="U1245" s="1" t="str">
        <f>IF(ESTIMATIVA[[#This Row],[QT_AREA_REAL]]&gt;0,"1- Colhido","2- à Colher")</f>
        <v>1- Colhido</v>
      </c>
      <c r="V1245" s="1" t="str">
        <f>IF(ESTIMATIVA[[#This Row],[QT_AREA_REST1]]&gt;0,"Reestimativa 1",IF(ESTIMATIVA[[#This Row],[QT_AREA_REAL]]=0,"Reestimativa 1","Realizado"))</f>
        <v>Reestimativa 1</v>
      </c>
      <c r="W1245" s="1" t="str">
        <f>IF(ESTIMATIVA[[#This Row],[QT_AREA_REST2]]&gt;0,"Reestimativa 2",IF(ESTIMATIVA[[#This Row],[QT_AREA_REAL]]=0,"Reestimativa 2","Realizado"))</f>
        <v>Realizado</v>
      </c>
      <c r="X1245" s="1">
        <f>ESTIMATIVA[[#This Row],[QT_AREA_EST]]</f>
        <v>3.96</v>
      </c>
      <c r="Y1245" s="1">
        <f>IF(ESTIMATIVA[[#This Row],[QT_AREA_REST1]]&gt;0,ESTIMATIVA[[#This Row],[QT_AREA_REST1]],
  IF(ESTIMATIVA[[#This Row],[QT_AREA_REAL]]&gt;0,ESTIMATIVA[[#This Row],[QT_AREA_REAL]],ESTIMATIVA[[#This Row],[QT_AREA_EST]]))</f>
        <v>3.96</v>
      </c>
      <c r="Z124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3.96</v>
      </c>
      <c r="AA1245" s="1">
        <f>ESTIMATIVA[[#This Row],[QT_CANA_EST]]</f>
        <v>336.6</v>
      </c>
      <c r="AB1245" s="1">
        <f>IF(ESTIMATIVA[[#This Row],[QT_CANA_REST1]]&gt;0,ESTIMATIVA[[#This Row],[QT_CANA_REST1]],
  IF(ESTIMATIVA[[#This Row],[QT_CANA_REAL]]&gt;0,ESTIMATIVA[[#This Row],[QT_CANA_REAL]],ESTIMATIVA[[#This Row],[QT_CANA_EST]]))</f>
        <v>340.56</v>
      </c>
      <c r="AC124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426.26</v>
      </c>
      <c r="AD1245" s="1">
        <f>IF(ESTIMATIVA[[#This Row],[QT_AREA_REAL]]&gt;0,ESTIMATIVA[[#This Row],[QT_CANA_REAL]],ESTIMATIVA[[#This Row],[QT_CANA_EST]])</f>
        <v>426.26</v>
      </c>
      <c r="AE1245" s="1">
        <f>IF(ESTIMATIVA[[#This Row],[QT_AREA_REAL]]&gt;0,ESTIMATIVA[[#This Row],[QT_CANA_REAL]],ESTIMATIVA[[#This Row],[QT_CANA_REST1]])</f>
        <v>426.26</v>
      </c>
      <c r="AF1245" s="1">
        <f>IF(ESTIMATIVA[[#This Row],[QT_AREA_REAL]]&gt;0,ESTIMATIVA[[#This Row],[QT_CANA_REAL]],ESTIMATIVA[[#This Row],[QT_CANA_REST2]])</f>
        <v>426.26</v>
      </c>
      <c r="AG1245" s="1" t="str">
        <f>IF(COUNTIFS(GEADA!A:A,VALUE(ESTIMATIVA[[#This Row],[CD_UPNIVEL1]]&amp;TEXT(ESTIMATIVA[[#This Row],[CD_UPNIVEL3]],"0000")))&gt;0,"S","N")</f>
        <v>N</v>
      </c>
      <c r="AH124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45" s="55" t="str">
        <f>IF(ESTIMATIVA[[#This Row],[TP_CULTIVO]]="Irrigado",_xlfn.MAXIFS(IRRIGADO!J:J,IRRIGADO!C:C,ESTIMATIVA[[#This Row],[CD_UPNIVEL1]],IRRIGADO!E:E,ESTIMATIVA[[#This Row],[CD_UPNIVEL3]]),"")</f>
        <v/>
      </c>
      <c r="AJ124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45" s="1">
        <f>COUNTIFS(Apresentação!$E$23:$E$29,ESTIMATIVA[[#This Row],[CD_UPNIVEL1]])</f>
        <v>0</v>
      </c>
    </row>
    <row r="1246" spans="1:37" x14ac:dyDescent="0.3">
      <c r="A1246">
        <v>20521</v>
      </c>
      <c r="B1246" t="s">
        <v>69</v>
      </c>
      <c r="C1246">
        <v>2</v>
      </c>
      <c r="D1246">
        <v>2</v>
      </c>
      <c r="E1246" t="s">
        <v>266</v>
      </c>
      <c r="F1246" s="85" t="s">
        <v>331</v>
      </c>
      <c r="G1246"/>
      <c r="H1246" t="s">
        <v>294</v>
      </c>
      <c r="I1246" t="s">
        <v>205</v>
      </c>
      <c r="J1246" t="s">
        <v>176</v>
      </c>
      <c r="K1246" s="1">
        <v>3.63</v>
      </c>
      <c r="L1246" s="1">
        <v>3.63</v>
      </c>
      <c r="M1246" s="1">
        <v>0</v>
      </c>
      <c r="N1246" s="1">
        <v>3.63</v>
      </c>
      <c r="O1246" s="1">
        <v>308.55</v>
      </c>
      <c r="P1246" s="1">
        <v>312.18</v>
      </c>
      <c r="Q1246" s="1">
        <v>0</v>
      </c>
      <c r="R1246" s="1">
        <v>389.99</v>
      </c>
      <c r="S1246" t="s">
        <v>12</v>
      </c>
      <c r="T1246" s="13">
        <v>45886</v>
      </c>
      <c r="U1246" s="1" t="str">
        <f>IF(ESTIMATIVA[[#This Row],[QT_AREA_REAL]]&gt;0,"1- Colhido","2- à Colher")</f>
        <v>1- Colhido</v>
      </c>
      <c r="V1246" s="1" t="str">
        <f>IF(ESTIMATIVA[[#This Row],[QT_AREA_REST1]]&gt;0,"Reestimativa 1",IF(ESTIMATIVA[[#This Row],[QT_AREA_REAL]]=0,"Reestimativa 1","Realizado"))</f>
        <v>Reestimativa 1</v>
      </c>
      <c r="W1246" s="1" t="str">
        <f>IF(ESTIMATIVA[[#This Row],[QT_AREA_REST2]]&gt;0,"Reestimativa 2",IF(ESTIMATIVA[[#This Row],[QT_AREA_REAL]]=0,"Reestimativa 2","Realizado"))</f>
        <v>Realizado</v>
      </c>
      <c r="X1246" s="1">
        <f>ESTIMATIVA[[#This Row],[QT_AREA_EST]]</f>
        <v>3.63</v>
      </c>
      <c r="Y1246" s="1">
        <f>IF(ESTIMATIVA[[#This Row],[QT_AREA_REST1]]&gt;0,ESTIMATIVA[[#This Row],[QT_AREA_REST1]],
  IF(ESTIMATIVA[[#This Row],[QT_AREA_REAL]]&gt;0,ESTIMATIVA[[#This Row],[QT_AREA_REAL]],ESTIMATIVA[[#This Row],[QT_AREA_EST]]))</f>
        <v>3.63</v>
      </c>
      <c r="Z124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3.63</v>
      </c>
      <c r="AA1246" s="1">
        <f>ESTIMATIVA[[#This Row],[QT_CANA_EST]]</f>
        <v>308.55</v>
      </c>
      <c r="AB1246" s="1">
        <f>IF(ESTIMATIVA[[#This Row],[QT_CANA_REST1]]&gt;0,ESTIMATIVA[[#This Row],[QT_CANA_REST1]],
  IF(ESTIMATIVA[[#This Row],[QT_CANA_REAL]]&gt;0,ESTIMATIVA[[#This Row],[QT_CANA_REAL]],ESTIMATIVA[[#This Row],[QT_CANA_EST]]))</f>
        <v>312.18</v>
      </c>
      <c r="AC124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389.99</v>
      </c>
      <c r="AD1246" s="1">
        <f>IF(ESTIMATIVA[[#This Row],[QT_AREA_REAL]]&gt;0,ESTIMATIVA[[#This Row],[QT_CANA_REAL]],ESTIMATIVA[[#This Row],[QT_CANA_EST]])</f>
        <v>389.99</v>
      </c>
      <c r="AE1246" s="1">
        <f>IF(ESTIMATIVA[[#This Row],[QT_AREA_REAL]]&gt;0,ESTIMATIVA[[#This Row],[QT_CANA_REAL]],ESTIMATIVA[[#This Row],[QT_CANA_REST1]])</f>
        <v>389.99</v>
      </c>
      <c r="AF1246" s="1">
        <f>IF(ESTIMATIVA[[#This Row],[QT_AREA_REAL]]&gt;0,ESTIMATIVA[[#This Row],[QT_CANA_REAL]],ESTIMATIVA[[#This Row],[QT_CANA_REST2]])</f>
        <v>389.99</v>
      </c>
      <c r="AG1246" s="1" t="str">
        <f>IF(COUNTIFS(GEADA!A:A,VALUE(ESTIMATIVA[[#This Row],[CD_UPNIVEL1]]&amp;TEXT(ESTIMATIVA[[#This Row],[CD_UPNIVEL3]],"0000")))&gt;0,"S","N")</f>
        <v>N</v>
      </c>
      <c r="AH124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46" s="55" t="str">
        <f>IF(ESTIMATIVA[[#This Row],[TP_CULTIVO]]="Irrigado",_xlfn.MAXIFS(IRRIGADO!J:J,IRRIGADO!C:C,ESTIMATIVA[[#This Row],[CD_UPNIVEL1]],IRRIGADO!E:E,ESTIMATIVA[[#This Row],[CD_UPNIVEL3]]),"")</f>
        <v/>
      </c>
      <c r="AJ124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46" s="1">
        <f>COUNTIFS(Apresentação!$E$23:$E$29,ESTIMATIVA[[#This Row],[CD_UPNIVEL1]])</f>
        <v>0</v>
      </c>
    </row>
    <row r="1247" spans="1:37" x14ac:dyDescent="0.3">
      <c r="A1247">
        <v>20521</v>
      </c>
      <c r="B1247" t="s">
        <v>69</v>
      </c>
      <c r="C1247">
        <v>3</v>
      </c>
      <c r="D1247">
        <v>2</v>
      </c>
      <c r="E1247" t="s">
        <v>266</v>
      </c>
      <c r="F1247" s="85" t="s">
        <v>331</v>
      </c>
      <c r="G1247"/>
      <c r="H1247" t="s">
        <v>294</v>
      </c>
      <c r="I1247" t="s">
        <v>205</v>
      </c>
      <c r="J1247" t="s">
        <v>176</v>
      </c>
      <c r="K1247" s="1">
        <v>2.66</v>
      </c>
      <c r="L1247" s="1">
        <v>2.66</v>
      </c>
      <c r="M1247" s="1">
        <v>0</v>
      </c>
      <c r="N1247" s="1">
        <v>2.66</v>
      </c>
      <c r="O1247" s="1">
        <v>239.4</v>
      </c>
      <c r="P1247" s="1">
        <v>239.4</v>
      </c>
      <c r="Q1247" s="1">
        <v>0</v>
      </c>
      <c r="R1247" s="1">
        <v>298.72000000000003</v>
      </c>
      <c r="S1247" t="s">
        <v>12</v>
      </c>
      <c r="T1247" s="13">
        <v>45886</v>
      </c>
      <c r="U1247" s="1" t="str">
        <f>IF(ESTIMATIVA[[#This Row],[QT_AREA_REAL]]&gt;0,"1- Colhido","2- à Colher")</f>
        <v>1- Colhido</v>
      </c>
      <c r="V1247" s="1" t="str">
        <f>IF(ESTIMATIVA[[#This Row],[QT_AREA_REST1]]&gt;0,"Reestimativa 1",IF(ESTIMATIVA[[#This Row],[QT_AREA_REAL]]=0,"Reestimativa 1","Realizado"))</f>
        <v>Reestimativa 1</v>
      </c>
      <c r="W1247" s="1" t="str">
        <f>IF(ESTIMATIVA[[#This Row],[QT_AREA_REST2]]&gt;0,"Reestimativa 2",IF(ESTIMATIVA[[#This Row],[QT_AREA_REAL]]=0,"Reestimativa 2","Realizado"))</f>
        <v>Realizado</v>
      </c>
      <c r="X1247" s="1">
        <f>ESTIMATIVA[[#This Row],[QT_AREA_EST]]</f>
        <v>2.66</v>
      </c>
      <c r="Y1247" s="1">
        <f>IF(ESTIMATIVA[[#This Row],[QT_AREA_REST1]]&gt;0,ESTIMATIVA[[#This Row],[QT_AREA_REST1]],
  IF(ESTIMATIVA[[#This Row],[QT_AREA_REAL]]&gt;0,ESTIMATIVA[[#This Row],[QT_AREA_REAL]],ESTIMATIVA[[#This Row],[QT_AREA_EST]]))</f>
        <v>2.66</v>
      </c>
      <c r="Z124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2.66</v>
      </c>
      <c r="AA1247" s="1">
        <f>ESTIMATIVA[[#This Row],[QT_CANA_EST]]</f>
        <v>239.4</v>
      </c>
      <c r="AB1247" s="1">
        <f>IF(ESTIMATIVA[[#This Row],[QT_CANA_REST1]]&gt;0,ESTIMATIVA[[#This Row],[QT_CANA_REST1]],
  IF(ESTIMATIVA[[#This Row],[QT_CANA_REAL]]&gt;0,ESTIMATIVA[[#This Row],[QT_CANA_REAL]],ESTIMATIVA[[#This Row],[QT_CANA_EST]]))</f>
        <v>239.4</v>
      </c>
      <c r="AC124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298.72000000000003</v>
      </c>
      <c r="AD1247" s="1">
        <f>IF(ESTIMATIVA[[#This Row],[QT_AREA_REAL]]&gt;0,ESTIMATIVA[[#This Row],[QT_CANA_REAL]],ESTIMATIVA[[#This Row],[QT_CANA_EST]])</f>
        <v>298.72000000000003</v>
      </c>
      <c r="AE1247" s="1">
        <f>IF(ESTIMATIVA[[#This Row],[QT_AREA_REAL]]&gt;0,ESTIMATIVA[[#This Row],[QT_CANA_REAL]],ESTIMATIVA[[#This Row],[QT_CANA_REST1]])</f>
        <v>298.72000000000003</v>
      </c>
      <c r="AF1247" s="1">
        <f>IF(ESTIMATIVA[[#This Row],[QT_AREA_REAL]]&gt;0,ESTIMATIVA[[#This Row],[QT_CANA_REAL]],ESTIMATIVA[[#This Row],[QT_CANA_REST2]])</f>
        <v>298.72000000000003</v>
      </c>
      <c r="AG1247" s="1" t="str">
        <f>IF(COUNTIFS(GEADA!A:A,VALUE(ESTIMATIVA[[#This Row],[CD_UPNIVEL1]]&amp;TEXT(ESTIMATIVA[[#This Row],[CD_UPNIVEL3]],"0000")))&gt;0,"S","N")</f>
        <v>N</v>
      </c>
      <c r="AH124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47" s="55" t="str">
        <f>IF(ESTIMATIVA[[#This Row],[TP_CULTIVO]]="Irrigado",_xlfn.MAXIFS(IRRIGADO!J:J,IRRIGADO!C:C,ESTIMATIVA[[#This Row],[CD_UPNIVEL1]],IRRIGADO!E:E,ESTIMATIVA[[#This Row],[CD_UPNIVEL3]]),"")</f>
        <v/>
      </c>
      <c r="AJ124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47" s="1">
        <f>COUNTIFS(Apresentação!$E$23:$E$29,ESTIMATIVA[[#This Row],[CD_UPNIVEL1]])</f>
        <v>0</v>
      </c>
    </row>
    <row r="1248" spans="1:37" x14ac:dyDescent="0.3">
      <c r="A1248">
        <v>20521</v>
      </c>
      <c r="B1248" t="s">
        <v>69</v>
      </c>
      <c r="C1248">
        <v>4</v>
      </c>
      <c r="D1248">
        <v>2</v>
      </c>
      <c r="E1248" t="s">
        <v>266</v>
      </c>
      <c r="F1248" s="85" t="s">
        <v>331</v>
      </c>
      <c r="G1248"/>
      <c r="H1248" t="s">
        <v>294</v>
      </c>
      <c r="I1248" t="s">
        <v>205</v>
      </c>
      <c r="J1248" t="s">
        <v>176</v>
      </c>
      <c r="K1248" s="1">
        <v>21.63</v>
      </c>
      <c r="L1248" s="1">
        <v>21.63</v>
      </c>
      <c r="M1248" s="1">
        <v>0</v>
      </c>
      <c r="N1248" s="1">
        <v>21.63</v>
      </c>
      <c r="O1248" s="1">
        <v>1946.7</v>
      </c>
      <c r="P1248" s="1">
        <v>1946.7</v>
      </c>
      <c r="Q1248" s="1">
        <v>0</v>
      </c>
      <c r="R1248" s="1">
        <v>2434.1799999999998</v>
      </c>
      <c r="S1248" t="s">
        <v>12</v>
      </c>
      <c r="T1248" s="13">
        <v>45886</v>
      </c>
      <c r="U1248" s="1" t="str">
        <f>IF(ESTIMATIVA[[#This Row],[QT_AREA_REAL]]&gt;0,"1- Colhido","2- à Colher")</f>
        <v>1- Colhido</v>
      </c>
      <c r="V1248" s="1" t="str">
        <f>IF(ESTIMATIVA[[#This Row],[QT_AREA_REST1]]&gt;0,"Reestimativa 1",IF(ESTIMATIVA[[#This Row],[QT_AREA_REAL]]=0,"Reestimativa 1","Realizado"))</f>
        <v>Reestimativa 1</v>
      </c>
      <c r="W1248" s="1" t="str">
        <f>IF(ESTIMATIVA[[#This Row],[QT_AREA_REST2]]&gt;0,"Reestimativa 2",IF(ESTIMATIVA[[#This Row],[QT_AREA_REAL]]=0,"Reestimativa 2","Realizado"))</f>
        <v>Realizado</v>
      </c>
      <c r="X1248" s="1">
        <f>ESTIMATIVA[[#This Row],[QT_AREA_EST]]</f>
        <v>21.63</v>
      </c>
      <c r="Y1248" s="1">
        <f>IF(ESTIMATIVA[[#This Row],[QT_AREA_REST1]]&gt;0,ESTIMATIVA[[#This Row],[QT_AREA_REST1]],
  IF(ESTIMATIVA[[#This Row],[QT_AREA_REAL]]&gt;0,ESTIMATIVA[[#This Row],[QT_AREA_REAL]],ESTIMATIVA[[#This Row],[QT_AREA_EST]]))</f>
        <v>21.63</v>
      </c>
      <c r="Z124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21.63</v>
      </c>
      <c r="AA1248" s="1">
        <f>ESTIMATIVA[[#This Row],[QT_CANA_EST]]</f>
        <v>1946.7</v>
      </c>
      <c r="AB1248" s="1">
        <f>IF(ESTIMATIVA[[#This Row],[QT_CANA_REST1]]&gt;0,ESTIMATIVA[[#This Row],[QT_CANA_REST1]],
  IF(ESTIMATIVA[[#This Row],[QT_CANA_REAL]]&gt;0,ESTIMATIVA[[#This Row],[QT_CANA_REAL]],ESTIMATIVA[[#This Row],[QT_CANA_EST]]))</f>
        <v>1946.7</v>
      </c>
      <c r="AC124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2434.1799999999998</v>
      </c>
      <c r="AD1248" s="1">
        <f>IF(ESTIMATIVA[[#This Row],[QT_AREA_REAL]]&gt;0,ESTIMATIVA[[#This Row],[QT_CANA_REAL]],ESTIMATIVA[[#This Row],[QT_CANA_EST]])</f>
        <v>2434.1799999999998</v>
      </c>
      <c r="AE1248" s="1">
        <f>IF(ESTIMATIVA[[#This Row],[QT_AREA_REAL]]&gt;0,ESTIMATIVA[[#This Row],[QT_CANA_REAL]],ESTIMATIVA[[#This Row],[QT_CANA_REST1]])</f>
        <v>2434.1799999999998</v>
      </c>
      <c r="AF1248" s="1">
        <f>IF(ESTIMATIVA[[#This Row],[QT_AREA_REAL]]&gt;0,ESTIMATIVA[[#This Row],[QT_CANA_REAL]],ESTIMATIVA[[#This Row],[QT_CANA_REST2]])</f>
        <v>2434.1799999999998</v>
      </c>
      <c r="AG1248" s="1" t="str">
        <f>IF(COUNTIFS(GEADA!A:A,VALUE(ESTIMATIVA[[#This Row],[CD_UPNIVEL1]]&amp;TEXT(ESTIMATIVA[[#This Row],[CD_UPNIVEL3]],"0000")))&gt;0,"S","N")</f>
        <v>N</v>
      </c>
      <c r="AH124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48" s="55" t="str">
        <f>IF(ESTIMATIVA[[#This Row],[TP_CULTIVO]]="Irrigado",_xlfn.MAXIFS(IRRIGADO!J:J,IRRIGADO!C:C,ESTIMATIVA[[#This Row],[CD_UPNIVEL1]],IRRIGADO!E:E,ESTIMATIVA[[#This Row],[CD_UPNIVEL3]]),"")</f>
        <v/>
      </c>
      <c r="AJ124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48" s="1">
        <f>COUNTIFS(Apresentação!$E$23:$E$29,ESTIMATIVA[[#This Row],[CD_UPNIVEL1]])</f>
        <v>0</v>
      </c>
    </row>
    <row r="1249" spans="1:37" x14ac:dyDescent="0.3">
      <c r="A1249">
        <v>20521</v>
      </c>
      <c r="B1249" t="s">
        <v>69</v>
      </c>
      <c r="C1249">
        <v>5</v>
      </c>
      <c r="D1249">
        <v>2</v>
      </c>
      <c r="E1249" t="s">
        <v>266</v>
      </c>
      <c r="F1249" s="85" t="s">
        <v>331</v>
      </c>
      <c r="G1249"/>
      <c r="H1249" t="s">
        <v>294</v>
      </c>
      <c r="I1249" t="s">
        <v>205</v>
      </c>
      <c r="J1249" t="s">
        <v>176</v>
      </c>
      <c r="K1249" s="1">
        <v>14.23</v>
      </c>
      <c r="L1249" s="1">
        <v>14.23</v>
      </c>
      <c r="M1249" s="1">
        <v>0</v>
      </c>
      <c r="N1249" s="1">
        <v>14.23</v>
      </c>
      <c r="O1249" s="1">
        <v>1280.7</v>
      </c>
      <c r="P1249" s="1">
        <v>1280.7</v>
      </c>
      <c r="Q1249" s="1">
        <v>0</v>
      </c>
      <c r="R1249" s="1">
        <v>1601.49</v>
      </c>
      <c r="S1249" t="s">
        <v>12</v>
      </c>
      <c r="T1249" s="13">
        <v>45886</v>
      </c>
      <c r="U1249" s="1" t="str">
        <f>IF(ESTIMATIVA[[#This Row],[QT_AREA_REAL]]&gt;0,"1- Colhido","2- à Colher")</f>
        <v>1- Colhido</v>
      </c>
      <c r="V1249" s="1" t="str">
        <f>IF(ESTIMATIVA[[#This Row],[QT_AREA_REST1]]&gt;0,"Reestimativa 1",IF(ESTIMATIVA[[#This Row],[QT_AREA_REAL]]=0,"Reestimativa 1","Realizado"))</f>
        <v>Reestimativa 1</v>
      </c>
      <c r="W1249" s="1" t="str">
        <f>IF(ESTIMATIVA[[#This Row],[QT_AREA_REST2]]&gt;0,"Reestimativa 2",IF(ESTIMATIVA[[#This Row],[QT_AREA_REAL]]=0,"Reestimativa 2","Realizado"))</f>
        <v>Realizado</v>
      </c>
      <c r="X1249" s="1">
        <f>ESTIMATIVA[[#This Row],[QT_AREA_EST]]</f>
        <v>14.23</v>
      </c>
      <c r="Y1249" s="1">
        <f>IF(ESTIMATIVA[[#This Row],[QT_AREA_REST1]]&gt;0,ESTIMATIVA[[#This Row],[QT_AREA_REST1]],
  IF(ESTIMATIVA[[#This Row],[QT_AREA_REAL]]&gt;0,ESTIMATIVA[[#This Row],[QT_AREA_REAL]],ESTIMATIVA[[#This Row],[QT_AREA_EST]]))</f>
        <v>14.23</v>
      </c>
      <c r="Z124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14.23</v>
      </c>
      <c r="AA1249" s="1">
        <f>ESTIMATIVA[[#This Row],[QT_CANA_EST]]</f>
        <v>1280.7</v>
      </c>
      <c r="AB1249" s="1">
        <f>IF(ESTIMATIVA[[#This Row],[QT_CANA_REST1]]&gt;0,ESTIMATIVA[[#This Row],[QT_CANA_REST1]],
  IF(ESTIMATIVA[[#This Row],[QT_CANA_REAL]]&gt;0,ESTIMATIVA[[#This Row],[QT_CANA_REAL]],ESTIMATIVA[[#This Row],[QT_CANA_EST]]))</f>
        <v>1280.7</v>
      </c>
      <c r="AC124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1601.49</v>
      </c>
      <c r="AD1249" s="1">
        <f>IF(ESTIMATIVA[[#This Row],[QT_AREA_REAL]]&gt;0,ESTIMATIVA[[#This Row],[QT_CANA_REAL]],ESTIMATIVA[[#This Row],[QT_CANA_EST]])</f>
        <v>1601.49</v>
      </c>
      <c r="AE1249" s="1">
        <f>IF(ESTIMATIVA[[#This Row],[QT_AREA_REAL]]&gt;0,ESTIMATIVA[[#This Row],[QT_CANA_REAL]],ESTIMATIVA[[#This Row],[QT_CANA_REST1]])</f>
        <v>1601.49</v>
      </c>
      <c r="AF1249" s="1">
        <f>IF(ESTIMATIVA[[#This Row],[QT_AREA_REAL]]&gt;0,ESTIMATIVA[[#This Row],[QT_CANA_REAL]],ESTIMATIVA[[#This Row],[QT_CANA_REST2]])</f>
        <v>1601.49</v>
      </c>
      <c r="AG1249" s="1" t="str">
        <f>IF(COUNTIFS(GEADA!A:A,VALUE(ESTIMATIVA[[#This Row],[CD_UPNIVEL1]]&amp;TEXT(ESTIMATIVA[[#This Row],[CD_UPNIVEL3]],"0000")))&gt;0,"S","N")</f>
        <v>N</v>
      </c>
      <c r="AH124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49" s="55" t="str">
        <f>IF(ESTIMATIVA[[#This Row],[TP_CULTIVO]]="Irrigado",_xlfn.MAXIFS(IRRIGADO!J:J,IRRIGADO!C:C,ESTIMATIVA[[#This Row],[CD_UPNIVEL1]],IRRIGADO!E:E,ESTIMATIVA[[#This Row],[CD_UPNIVEL3]]),"")</f>
        <v/>
      </c>
      <c r="AJ124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49" s="1">
        <f>COUNTIFS(Apresentação!$E$23:$E$29,ESTIMATIVA[[#This Row],[CD_UPNIVEL1]])</f>
        <v>0</v>
      </c>
    </row>
    <row r="1250" spans="1:37" x14ac:dyDescent="0.3">
      <c r="A1250">
        <v>20521</v>
      </c>
      <c r="B1250" t="s">
        <v>69</v>
      </c>
      <c r="C1250">
        <v>6</v>
      </c>
      <c r="D1250">
        <v>2</v>
      </c>
      <c r="E1250" t="s">
        <v>266</v>
      </c>
      <c r="F1250" s="85" t="s">
        <v>331</v>
      </c>
      <c r="G1250"/>
      <c r="H1250" t="s">
        <v>294</v>
      </c>
      <c r="I1250" t="s">
        <v>205</v>
      </c>
      <c r="J1250" t="s">
        <v>176</v>
      </c>
      <c r="K1250" s="1">
        <v>9.3699999999999992</v>
      </c>
      <c r="L1250" s="1">
        <v>9.3699999999999992</v>
      </c>
      <c r="M1250" s="1">
        <v>0</v>
      </c>
      <c r="N1250" s="1">
        <v>9.3699999999999992</v>
      </c>
      <c r="O1250" s="1">
        <v>843.3</v>
      </c>
      <c r="P1250" s="1">
        <v>843.3</v>
      </c>
      <c r="Q1250" s="1">
        <v>0</v>
      </c>
      <c r="R1250" s="1">
        <v>1054.44</v>
      </c>
      <c r="S1250" t="s">
        <v>12</v>
      </c>
      <c r="T1250" s="13">
        <v>45886</v>
      </c>
      <c r="U1250" s="1" t="str">
        <f>IF(ESTIMATIVA[[#This Row],[QT_AREA_REAL]]&gt;0,"1- Colhido","2- à Colher")</f>
        <v>1- Colhido</v>
      </c>
      <c r="V1250" s="1" t="str">
        <f>IF(ESTIMATIVA[[#This Row],[QT_AREA_REST1]]&gt;0,"Reestimativa 1",IF(ESTIMATIVA[[#This Row],[QT_AREA_REAL]]=0,"Reestimativa 1","Realizado"))</f>
        <v>Reestimativa 1</v>
      </c>
      <c r="W1250" s="1" t="str">
        <f>IF(ESTIMATIVA[[#This Row],[QT_AREA_REST2]]&gt;0,"Reestimativa 2",IF(ESTIMATIVA[[#This Row],[QT_AREA_REAL]]=0,"Reestimativa 2","Realizado"))</f>
        <v>Realizado</v>
      </c>
      <c r="X1250" s="1">
        <f>ESTIMATIVA[[#This Row],[QT_AREA_EST]]</f>
        <v>9.3699999999999992</v>
      </c>
      <c r="Y1250" s="1">
        <f>IF(ESTIMATIVA[[#This Row],[QT_AREA_REST1]]&gt;0,ESTIMATIVA[[#This Row],[QT_AREA_REST1]],
  IF(ESTIMATIVA[[#This Row],[QT_AREA_REAL]]&gt;0,ESTIMATIVA[[#This Row],[QT_AREA_REAL]],ESTIMATIVA[[#This Row],[QT_AREA_EST]]))</f>
        <v>9.3699999999999992</v>
      </c>
      <c r="Z125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9.3699999999999992</v>
      </c>
      <c r="AA1250" s="1">
        <f>ESTIMATIVA[[#This Row],[QT_CANA_EST]]</f>
        <v>843.3</v>
      </c>
      <c r="AB1250" s="1">
        <f>IF(ESTIMATIVA[[#This Row],[QT_CANA_REST1]]&gt;0,ESTIMATIVA[[#This Row],[QT_CANA_REST1]],
  IF(ESTIMATIVA[[#This Row],[QT_CANA_REAL]]&gt;0,ESTIMATIVA[[#This Row],[QT_CANA_REAL]],ESTIMATIVA[[#This Row],[QT_CANA_EST]]))</f>
        <v>843.3</v>
      </c>
      <c r="AC125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1054.44</v>
      </c>
      <c r="AD1250" s="1">
        <f>IF(ESTIMATIVA[[#This Row],[QT_AREA_REAL]]&gt;0,ESTIMATIVA[[#This Row],[QT_CANA_REAL]],ESTIMATIVA[[#This Row],[QT_CANA_EST]])</f>
        <v>1054.44</v>
      </c>
      <c r="AE1250" s="1">
        <f>IF(ESTIMATIVA[[#This Row],[QT_AREA_REAL]]&gt;0,ESTIMATIVA[[#This Row],[QT_CANA_REAL]],ESTIMATIVA[[#This Row],[QT_CANA_REST1]])</f>
        <v>1054.44</v>
      </c>
      <c r="AF1250" s="1">
        <f>IF(ESTIMATIVA[[#This Row],[QT_AREA_REAL]]&gt;0,ESTIMATIVA[[#This Row],[QT_CANA_REAL]],ESTIMATIVA[[#This Row],[QT_CANA_REST2]])</f>
        <v>1054.44</v>
      </c>
      <c r="AG1250" s="1" t="str">
        <f>IF(COUNTIFS(GEADA!A:A,VALUE(ESTIMATIVA[[#This Row],[CD_UPNIVEL1]]&amp;TEXT(ESTIMATIVA[[#This Row],[CD_UPNIVEL3]],"0000")))&gt;0,"S","N")</f>
        <v>N</v>
      </c>
      <c r="AH125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50" s="55" t="str">
        <f>IF(ESTIMATIVA[[#This Row],[TP_CULTIVO]]="Irrigado",_xlfn.MAXIFS(IRRIGADO!J:J,IRRIGADO!C:C,ESTIMATIVA[[#This Row],[CD_UPNIVEL1]],IRRIGADO!E:E,ESTIMATIVA[[#This Row],[CD_UPNIVEL3]]),"")</f>
        <v/>
      </c>
      <c r="AJ125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50" s="1">
        <f>COUNTIFS(Apresentação!$E$23:$E$29,ESTIMATIVA[[#This Row],[CD_UPNIVEL1]])</f>
        <v>0</v>
      </c>
    </row>
    <row r="1251" spans="1:37" x14ac:dyDescent="0.3">
      <c r="A1251">
        <v>20530</v>
      </c>
      <c r="B1251" t="s">
        <v>64</v>
      </c>
      <c r="C1251">
        <v>1</v>
      </c>
      <c r="D1251">
        <v>1</v>
      </c>
      <c r="E1251" t="s">
        <v>267</v>
      </c>
      <c r="F1251" s="85" t="s">
        <v>333</v>
      </c>
      <c r="G1251"/>
      <c r="H1251" t="s">
        <v>295</v>
      </c>
      <c r="I1251" t="s">
        <v>225</v>
      </c>
      <c r="J1251" t="s">
        <v>176</v>
      </c>
      <c r="K1251" s="1">
        <v>19</v>
      </c>
      <c r="L1251" s="1">
        <v>19</v>
      </c>
      <c r="M1251" s="1">
        <v>0</v>
      </c>
      <c r="N1251" s="1">
        <v>19</v>
      </c>
      <c r="O1251" s="1">
        <v>2185</v>
      </c>
      <c r="P1251" s="1">
        <v>1900</v>
      </c>
      <c r="Q1251" s="1">
        <v>0</v>
      </c>
      <c r="R1251" s="1">
        <v>1843.96</v>
      </c>
      <c r="S1251" t="s">
        <v>12</v>
      </c>
      <c r="T1251" s="13">
        <v>45886</v>
      </c>
      <c r="U1251" s="1" t="str">
        <f>IF(ESTIMATIVA[[#This Row],[QT_AREA_REAL]]&gt;0,"1- Colhido","2- à Colher")</f>
        <v>1- Colhido</v>
      </c>
      <c r="V1251" s="1" t="str">
        <f>IF(ESTIMATIVA[[#This Row],[QT_AREA_REST1]]&gt;0,"Reestimativa 1",IF(ESTIMATIVA[[#This Row],[QT_AREA_REAL]]=0,"Reestimativa 1","Realizado"))</f>
        <v>Reestimativa 1</v>
      </c>
      <c r="W1251" s="1" t="str">
        <f>IF(ESTIMATIVA[[#This Row],[QT_AREA_REST2]]&gt;0,"Reestimativa 2",IF(ESTIMATIVA[[#This Row],[QT_AREA_REAL]]=0,"Reestimativa 2","Realizado"))</f>
        <v>Realizado</v>
      </c>
      <c r="X1251" s="1">
        <f>ESTIMATIVA[[#This Row],[QT_AREA_EST]]</f>
        <v>19</v>
      </c>
      <c r="Y1251" s="1">
        <f>IF(ESTIMATIVA[[#This Row],[QT_AREA_REST1]]&gt;0,ESTIMATIVA[[#This Row],[QT_AREA_REST1]],
  IF(ESTIMATIVA[[#This Row],[QT_AREA_REAL]]&gt;0,ESTIMATIVA[[#This Row],[QT_AREA_REAL]],ESTIMATIVA[[#This Row],[QT_AREA_EST]]))</f>
        <v>19</v>
      </c>
      <c r="Z125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</v>
      </c>
      <c r="AA1251" s="1">
        <f>ESTIMATIVA[[#This Row],[QT_CANA_EST]]</f>
        <v>2185</v>
      </c>
      <c r="AB1251" s="1">
        <f>IF(ESTIMATIVA[[#This Row],[QT_CANA_REST1]]&gt;0,ESTIMATIVA[[#This Row],[QT_CANA_REST1]],
  IF(ESTIMATIVA[[#This Row],[QT_CANA_REAL]]&gt;0,ESTIMATIVA[[#This Row],[QT_CANA_REAL]],ESTIMATIVA[[#This Row],[QT_CANA_EST]]))</f>
        <v>1900</v>
      </c>
      <c r="AC125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1843.96</v>
      </c>
      <c r="AD1251" s="1">
        <f>IF(ESTIMATIVA[[#This Row],[QT_AREA_REAL]]&gt;0,ESTIMATIVA[[#This Row],[QT_CANA_REAL]],ESTIMATIVA[[#This Row],[QT_CANA_EST]])</f>
        <v>1843.96</v>
      </c>
      <c r="AE1251" s="1">
        <f>IF(ESTIMATIVA[[#This Row],[QT_AREA_REAL]]&gt;0,ESTIMATIVA[[#This Row],[QT_CANA_REAL]],ESTIMATIVA[[#This Row],[QT_CANA_REST1]])</f>
        <v>1843.96</v>
      </c>
      <c r="AF1251" s="1">
        <f>IF(ESTIMATIVA[[#This Row],[QT_AREA_REAL]]&gt;0,ESTIMATIVA[[#This Row],[QT_CANA_REAL]],ESTIMATIVA[[#This Row],[QT_CANA_REST2]])</f>
        <v>1843.96</v>
      </c>
      <c r="AG1251" s="1" t="str">
        <f>IF(COUNTIFS(GEADA!A:A,VALUE(ESTIMATIVA[[#This Row],[CD_UPNIVEL1]]&amp;TEXT(ESTIMATIVA[[#This Row],[CD_UPNIVEL3]],"0000")))&gt;0,"S","N")</f>
        <v>N</v>
      </c>
      <c r="AH125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251" s="55" t="str">
        <f>IF(ESTIMATIVA[[#This Row],[TP_CULTIVO]]="Irrigado",_xlfn.MAXIFS(IRRIGADO!J:J,IRRIGADO!C:C,ESTIMATIVA[[#This Row],[CD_UPNIVEL1]],IRRIGADO!E:E,ESTIMATIVA[[#This Row],[CD_UPNIVEL3]]),"")</f>
        <v/>
      </c>
      <c r="AJ125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51" s="1">
        <f>COUNTIFS(Apresentação!$E$23:$E$29,ESTIMATIVA[[#This Row],[CD_UPNIVEL1]])</f>
        <v>0</v>
      </c>
    </row>
    <row r="1252" spans="1:37" x14ac:dyDescent="0.3">
      <c r="A1252">
        <v>20530</v>
      </c>
      <c r="B1252" t="s">
        <v>64</v>
      </c>
      <c r="C1252">
        <v>2</v>
      </c>
      <c r="D1252">
        <v>1</v>
      </c>
      <c r="E1252" t="s">
        <v>267</v>
      </c>
      <c r="F1252" s="85" t="s">
        <v>333</v>
      </c>
      <c r="G1252"/>
      <c r="H1252" t="s">
        <v>295</v>
      </c>
      <c r="I1252" t="s">
        <v>225</v>
      </c>
      <c r="J1252" t="s">
        <v>176</v>
      </c>
      <c r="K1252" s="1">
        <v>23.58</v>
      </c>
      <c r="L1252" s="1">
        <v>23.58</v>
      </c>
      <c r="M1252" s="1">
        <v>0</v>
      </c>
      <c r="N1252" s="1">
        <v>23.58</v>
      </c>
      <c r="O1252" s="1">
        <v>2711.7</v>
      </c>
      <c r="P1252" s="1">
        <v>2711.7</v>
      </c>
      <c r="Q1252" s="1">
        <v>0</v>
      </c>
      <c r="R1252" s="1">
        <v>2632.1</v>
      </c>
      <c r="S1252" t="s">
        <v>12</v>
      </c>
      <c r="T1252" s="13">
        <v>45886</v>
      </c>
      <c r="U1252" s="1" t="str">
        <f>IF(ESTIMATIVA[[#This Row],[QT_AREA_REAL]]&gt;0,"1- Colhido","2- à Colher")</f>
        <v>1- Colhido</v>
      </c>
      <c r="V1252" s="1" t="str">
        <f>IF(ESTIMATIVA[[#This Row],[QT_AREA_REST1]]&gt;0,"Reestimativa 1",IF(ESTIMATIVA[[#This Row],[QT_AREA_REAL]]=0,"Reestimativa 1","Realizado"))</f>
        <v>Reestimativa 1</v>
      </c>
      <c r="W1252" s="1" t="str">
        <f>IF(ESTIMATIVA[[#This Row],[QT_AREA_REST2]]&gt;0,"Reestimativa 2",IF(ESTIMATIVA[[#This Row],[QT_AREA_REAL]]=0,"Reestimativa 2","Realizado"))</f>
        <v>Realizado</v>
      </c>
      <c r="X1252" s="1">
        <f>ESTIMATIVA[[#This Row],[QT_AREA_EST]]</f>
        <v>23.58</v>
      </c>
      <c r="Y1252" s="1">
        <f>IF(ESTIMATIVA[[#This Row],[QT_AREA_REST1]]&gt;0,ESTIMATIVA[[#This Row],[QT_AREA_REST1]],
  IF(ESTIMATIVA[[#This Row],[QT_AREA_REAL]]&gt;0,ESTIMATIVA[[#This Row],[QT_AREA_REAL]],ESTIMATIVA[[#This Row],[QT_AREA_EST]]))</f>
        <v>23.58</v>
      </c>
      <c r="Z125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23.58</v>
      </c>
      <c r="AA1252" s="1">
        <f>ESTIMATIVA[[#This Row],[QT_CANA_EST]]</f>
        <v>2711.7</v>
      </c>
      <c r="AB1252" s="1">
        <f>IF(ESTIMATIVA[[#This Row],[QT_CANA_REST1]]&gt;0,ESTIMATIVA[[#This Row],[QT_CANA_REST1]],
  IF(ESTIMATIVA[[#This Row],[QT_CANA_REAL]]&gt;0,ESTIMATIVA[[#This Row],[QT_CANA_REAL]],ESTIMATIVA[[#This Row],[QT_CANA_EST]]))</f>
        <v>2711.7</v>
      </c>
      <c r="AC125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2632.1</v>
      </c>
      <c r="AD1252" s="1">
        <f>IF(ESTIMATIVA[[#This Row],[QT_AREA_REAL]]&gt;0,ESTIMATIVA[[#This Row],[QT_CANA_REAL]],ESTIMATIVA[[#This Row],[QT_CANA_EST]])</f>
        <v>2632.1</v>
      </c>
      <c r="AE1252" s="1">
        <f>IF(ESTIMATIVA[[#This Row],[QT_AREA_REAL]]&gt;0,ESTIMATIVA[[#This Row],[QT_CANA_REAL]],ESTIMATIVA[[#This Row],[QT_CANA_REST1]])</f>
        <v>2632.1</v>
      </c>
      <c r="AF1252" s="1">
        <f>IF(ESTIMATIVA[[#This Row],[QT_AREA_REAL]]&gt;0,ESTIMATIVA[[#This Row],[QT_CANA_REAL]],ESTIMATIVA[[#This Row],[QT_CANA_REST2]])</f>
        <v>2632.1</v>
      </c>
      <c r="AG1252" s="1" t="str">
        <f>IF(COUNTIFS(GEADA!A:A,VALUE(ESTIMATIVA[[#This Row],[CD_UPNIVEL1]]&amp;TEXT(ESTIMATIVA[[#This Row],[CD_UPNIVEL3]],"0000")))&gt;0,"S","N")</f>
        <v>N</v>
      </c>
      <c r="AH125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252" s="55" t="str">
        <f>IF(ESTIMATIVA[[#This Row],[TP_CULTIVO]]="Irrigado",_xlfn.MAXIFS(IRRIGADO!J:J,IRRIGADO!C:C,ESTIMATIVA[[#This Row],[CD_UPNIVEL1]],IRRIGADO!E:E,ESTIMATIVA[[#This Row],[CD_UPNIVEL3]]),"")</f>
        <v/>
      </c>
      <c r="AJ125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52" s="1">
        <f>COUNTIFS(Apresentação!$E$23:$E$29,ESTIMATIVA[[#This Row],[CD_UPNIVEL1]])</f>
        <v>0</v>
      </c>
    </row>
    <row r="1253" spans="1:37" x14ac:dyDescent="0.3">
      <c r="A1253">
        <v>20530</v>
      </c>
      <c r="B1253" t="s">
        <v>64</v>
      </c>
      <c r="C1253">
        <v>3</v>
      </c>
      <c r="D1253">
        <v>1</v>
      </c>
      <c r="E1253" t="s">
        <v>267</v>
      </c>
      <c r="F1253" s="85" t="s">
        <v>333</v>
      </c>
      <c r="G1253"/>
      <c r="H1253" t="s">
        <v>295</v>
      </c>
      <c r="I1253" t="s">
        <v>225</v>
      </c>
      <c r="J1253" t="s">
        <v>176</v>
      </c>
      <c r="K1253" s="1">
        <v>34.619999999999997</v>
      </c>
      <c r="L1253" s="1">
        <v>34.619999999999997</v>
      </c>
      <c r="M1253" s="1">
        <v>0</v>
      </c>
      <c r="N1253" s="1">
        <v>34.619999999999997</v>
      </c>
      <c r="O1253" s="1">
        <v>3600.48</v>
      </c>
      <c r="P1253" s="1">
        <v>3600.48</v>
      </c>
      <c r="Q1253" s="1">
        <v>0</v>
      </c>
      <c r="R1253" s="1">
        <v>3493.97</v>
      </c>
      <c r="S1253" t="s">
        <v>12</v>
      </c>
      <c r="T1253" s="13">
        <v>45886</v>
      </c>
      <c r="U1253" s="1" t="str">
        <f>IF(ESTIMATIVA[[#This Row],[QT_AREA_REAL]]&gt;0,"1- Colhido","2- à Colher")</f>
        <v>1- Colhido</v>
      </c>
      <c r="V1253" s="1" t="str">
        <f>IF(ESTIMATIVA[[#This Row],[QT_AREA_REST1]]&gt;0,"Reestimativa 1",IF(ESTIMATIVA[[#This Row],[QT_AREA_REAL]]=0,"Reestimativa 1","Realizado"))</f>
        <v>Reestimativa 1</v>
      </c>
      <c r="W1253" s="1" t="str">
        <f>IF(ESTIMATIVA[[#This Row],[QT_AREA_REST2]]&gt;0,"Reestimativa 2",IF(ESTIMATIVA[[#This Row],[QT_AREA_REAL]]=0,"Reestimativa 2","Realizado"))</f>
        <v>Realizado</v>
      </c>
      <c r="X1253" s="1">
        <f>ESTIMATIVA[[#This Row],[QT_AREA_EST]]</f>
        <v>34.619999999999997</v>
      </c>
      <c r="Y1253" s="1">
        <f>IF(ESTIMATIVA[[#This Row],[QT_AREA_REST1]]&gt;0,ESTIMATIVA[[#This Row],[QT_AREA_REST1]],
  IF(ESTIMATIVA[[#This Row],[QT_AREA_REAL]]&gt;0,ESTIMATIVA[[#This Row],[QT_AREA_REAL]],ESTIMATIVA[[#This Row],[QT_AREA_EST]]))</f>
        <v>34.619999999999997</v>
      </c>
      <c r="Z125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34.619999999999997</v>
      </c>
      <c r="AA1253" s="1">
        <f>ESTIMATIVA[[#This Row],[QT_CANA_EST]]</f>
        <v>3600.48</v>
      </c>
      <c r="AB1253" s="1">
        <f>IF(ESTIMATIVA[[#This Row],[QT_CANA_REST1]]&gt;0,ESTIMATIVA[[#This Row],[QT_CANA_REST1]],
  IF(ESTIMATIVA[[#This Row],[QT_CANA_REAL]]&gt;0,ESTIMATIVA[[#This Row],[QT_CANA_REAL]],ESTIMATIVA[[#This Row],[QT_CANA_EST]]))</f>
        <v>3600.48</v>
      </c>
      <c r="AC125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3493.97</v>
      </c>
      <c r="AD1253" s="1">
        <f>IF(ESTIMATIVA[[#This Row],[QT_AREA_REAL]]&gt;0,ESTIMATIVA[[#This Row],[QT_CANA_REAL]],ESTIMATIVA[[#This Row],[QT_CANA_EST]])</f>
        <v>3493.97</v>
      </c>
      <c r="AE1253" s="1">
        <f>IF(ESTIMATIVA[[#This Row],[QT_AREA_REAL]]&gt;0,ESTIMATIVA[[#This Row],[QT_CANA_REAL]],ESTIMATIVA[[#This Row],[QT_CANA_REST1]])</f>
        <v>3493.97</v>
      </c>
      <c r="AF1253" s="1">
        <f>IF(ESTIMATIVA[[#This Row],[QT_AREA_REAL]]&gt;0,ESTIMATIVA[[#This Row],[QT_CANA_REAL]],ESTIMATIVA[[#This Row],[QT_CANA_REST2]])</f>
        <v>3493.97</v>
      </c>
      <c r="AG1253" s="1" t="str">
        <f>IF(COUNTIFS(GEADA!A:A,VALUE(ESTIMATIVA[[#This Row],[CD_UPNIVEL1]]&amp;TEXT(ESTIMATIVA[[#This Row],[CD_UPNIVEL3]],"0000")))&gt;0,"S","N")</f>
        <v>N</v>
      </c>
      <c r="AH125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253" s="55" t="str">
        <f>IF(ESTIMATIVA[[#This Row],[TP_CULTIVO]]="Irrigado",_xlfn.MAXIFS(IRRIGADO!J:J,IRRIGADO!C:C,ESTIMATIVA[[#This Row],[CD_UPNIVEL1]],IRRIGADO!E:E,ESTIMATIVA[[#This Row],[CD_UPNIVEL3]]),"")</f>
        <v/>
      </c>
      <c r="AJ125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53" s="1">
        <f>COUNTIFS(Apresentação!$E$23:$E$29,ESTIMATIVA[[#This Row],[CD_UPNIVEL1]])</f>
        <v>0</v>
      </c>
    </row>
    <row r="1254" spans="1:37" x14ac:dyDescent="0.3">
      <c r="A1254">
        <v>20530</v>
      </c>
      <c r="B1254" t="s">
        <v>64</v>
      </c>
      <c r="C1254">
        <v>4</v>
      </c>
      <c r="D1254">
        <v>1</v>
      </c>
      <c r="E1254" t="s">
        <v>267</v>
      </c>
      <c r="F1254" s="85" t="s">
        <v>333</v>
      </c>
      <c r="G1254"/>
      <c r="H1254" t="s">
        <v>295</v>
      </c>
      <c r="I1254" t="s">
        <v>225</v>
      </c>
      <c r="J1254" t="s">
        <v>176</v>
      </c>
      <c r="K1254" s="1">
        <v>15.14</v>
      </c>
      <c r="L1254" s="1">
        <v>15.14</v>
      </c>
      <c r="M1254" s="1">
        <v>0</v>
      </c>
      <c r="N1254" s="1">
        <v>15.14</v>
      </c>
      <c r="O1254" s="1">
        <v>1362.6</v>
      </c>
      <c r="P1254" s="1">
        <v>1453.44</v>
      </c>
      <c r="Q1254" s="1">
        <v>0</v>
      </c>
      <c r="R1254" s="1">
        <v>1410.69</v>
      </c>
      <c r="S1254" t="s">
        <v>12</v>
      </c>
      <c r="T1254" s="13">
        <v>45886</v>
      </c>
      <c r="U1254" s="1" t="str">
        <f>IF(ESTIMATIVA[[#This Row],[QT_AREA_REAL]]&gt;0,"1- Colhido","2- à Colher")</f>
        <v>1- Colhido</v>
      </c>
      <c r="V1254" s="1" t="str">
        <f>IF(ESTIMATIVA[[#This Row],[QT_AREA_REST1]]&gt;0,"Reestimativa 1",IF(ESTIMATIVA[[#This Row],[QT_AREA_REAL]]=0,"Reestimativa 1","Realizado"))</f>
        <v>Reestimativa 1</v>
      </c>
      <c r="W1254" s="1" t="str">
        <f>IF(ESTIMATIVA[[#This Row],[QT_AREA_REST2]]&gt;0,"Reestimativa 2",IF(ESTIMATIVA[[#This Row],[QT_AREA_REAL]]=0,"Reestimativa 2","Realizado"))</f>
        <v>Realizado</v>
      </c>
      <c r="X1254" s="1">
        <f>ESTIMATIVA[[#This Row],[QT_AREA_EST]]</f>
        <v>15.14</v>
      </c>
      <c r="Y1254" s="1">
        <f>IF(ESTIMATIVA[[#This Row],[QT_AREA_REST1]]&gt;0,ESTIMATIVA[[#This Row],[QT_AREA_REST1]],
  IF(ESTIMATIVA[[#This Row],[QT_AREA_REAL]]&gt;0,ESTIMATIVA[[#This Row],[QT_AREA_REAL]],ESTIMATIVA[[#This Row],[QT_AREA_EST]]))</f>
        <v>15.14</v>
      </c>
      <c r="Z125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15.14</v>
      </c>
      <c r="AA1254" s="1">
        <f>ESTIMATIVA[[#This Row],[QT_CANA_EST]]</f>
        <v>1362.6</v>
      </c>
      <c r="AB1254" s="1">
        <f>IF(ESTIMATIVA[[#This Row],[QT_CANA_REST1]]&gt;0,ESTIMATIVA[[#This Row],[QT_CANA_REST1]],
  IF(ESTIMATIVA[[#This Row],[QT_CANA_REAL]]&gt;0,ESTIMATIVA[[#This Row],[QT_CANA_REAL]],ESTIMATIVA[[#This Row],[QT_CANA_EST]]))</f>
        <v>1453.44</v>
      </c>
      <c r="AC125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1410.69</v>
      </c>
      <c r="AD1254" s="1">
        <f>IF(ESTIMATIVA[[#This Row],[QT_AREA_REAL]]&gt;0,ESTIMATIVA[[#This Row],[QT_CANA_REAL]],ESTIMATIVA[[#This Row],[QT_CANA_EST]])</f>
        <v>1410.69</v>
      </c>
      <c r="AE1254" s="1">
        <f>IF(ESTIMATIVA[[#This Row],[QT_AREA_REAL]]&gt;0,ESTIMATIVA[[#This Row],[QT_CANA_REAL]],ESTIMATIVA[[#This Row],[QT_CANA_REST1]])</f>
        <v>1410.69</v>
      </c>
      <c r="AF1254" s="1">
        <f>IF(ESTIMATIVA[[#This Row],[QT_AREA_REAL]]&gt;0,ESTIMATIVA[[#This Row],[QT_CANA_REAL]],ESTIMATIVA[[#This Row],[QT_CANA_REST2]])</f>
        <v>1410.69</v>
      </c>
      <c r="AG1254" s="1" t="str">
        <f>IF(COUNTIFS(GEADA!A:A,VALUE(ESTIMATIVA[[#This Row],[CD_UPNIVEL1]]&amp;TEXT(ESTIMATIVA[[#This Row],[CD_UPNIVEL3]],"0000")))&gt;0,"S","N")</f>
        <v>N</v>
      </c>
      <c r="AH125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254" s="55" t="str">
        <f>IF(ESTIMATIVA[[#This Row],[TP_CULTIVO]]="Irrigado",_xlfn.MAXIFS(IRRIGADO!J:J,IRRIGADO!C:C,ESTIMATIVA[[#This Row],[CD_UPNIVEL1]],IRRIGADO!E:E,ESTIMATIVA[[#This Row],[CD_UPNIVEL3]]),"")</f>
        <v/>
      </c>
      <c r="AJ125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54" s="1">
        <f>COUNTIFS(Apresentação!$E$23:$E$29,ESTIMATIVA[[#This Row],[CD_UPNIVEL1]])</f>
        <v>0</v>
      </c>
    </row>
    <row r="1255" spans="1:37" x14ac:dyDescent="0.3">
      <c r="A1255">
        <v>20530</v>
      </c>
      <c r="B1255" t="s">
        <v>64</v>
      </c>
      <c r="C1255">
        <v>5</v>
      </c>
      <c r="D1255">
        <v>1</v>
      </c>
      <c r="E1255" t="s">
        <v>267</v>
      </c>
      <c r="F1255" s="85" t="s">
        <v>333</v>
      </c>
      <c r="G1255"/>
      <c r="H1255" t="s">
        <v>295</v>
      </c>
      <c r="I1255" t="s">
        <v>225</v>
      </c>
      <c r="J1255" t="s">
        <v>176</v>
      </c>
      <c r="K1255" s="1">
        <v>35.03</v>
      </c>
      <c r="L1255" s="1">
        <v>35.03</v>
      </c>
      <c r="M1255" s="1">
        <v>0</v>
      </c>
      <c r="N1255" s="1">
        <v>35.03</v>
      </c>
      <c r="O1255" s="1">
        <v>3503</v>
      </c>
      <c r="P1255" s="1">
        <v>3503</v>
      </c>
      <c r="Q1255" s="1">
        <v>0</v>
      </c>
      <c r="R1255" s="1">
        <v>3420.57</v>
      </c>
      <c r="S1255" t="s">
        <v>12</v>
      </c>
      <c r="T1255" s="13">
        <v>45886</v>
      </c>
      <c r="U1255" s="1" t="str">
        <f>IF(ESTIMATIVA[[#This Row],[QT_AREA_REAL]]&gt;0,"1- Colhido","2- à Colher")</f>
        <v>1- Colhido</v>
      </c>
      <c r="V1255" s="1" t="str">
        <f>IF(ESTIMATIVA[[#This Row],[QT_AREA_REST1]]&gt;0,"Reestimativa 1",IF(ESTIMATIVA[[#This Row],[QT_AREA_REAL]]=0,"Reestimativa 1","Realizado"))</f>
        <v>Reestimativa 1</v>
      </c>
      <c r="W1255" s="1" t="str">
        <f>IF(ESTIMATIVA[[#This Row],[QT_AREA_REST2]]&gt;0,"Reestimativa 2",IF(ESTIMATIVA[[#This Row],[QT_AREA_REAL]]=0,"Reestimativa 2","Realizado"))</f>
        <v>Realizado</v>
      </c>
      <c r="X1255" s="1">
        <f>ESTIMATIVA[[#This Row],[QT_AREA_EST]]</f>
        <v>35.03</v>
      </c>
      <c r="Y1255" s="1">
        <f>IF(ESTIMATIVA[[#This Row],[QT_AREA_REST1]]&gt;0,ESTIMATIVA[[#This Row],[QT_AREA_REST1]],
  IF(ESTIMATIVA[[#This Row],[QT_AREA_REAL]]&gt;0,ESTIMATIVA[[#This Row],[QT_AREA_REAL]],ESTIMATIVA[[#This Row],[QT_AREA_EST]]))</f>
        <v>35.03</v>
      </c>
      <c r="Z125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35.03</v>
      </c>
      <c r="AA1255" s="1">
        <f>ESTIMATIVA[[#This Row],[QT_CANA_EST]]</f>
        <v>3503</v>
      </c>
      <c r="AB1255" s="1">
        <f>IF(ESTIMATIVA[[#This Row],[QT_CANA_REST1]]&gt;0,ESTIMATIVA[[#This Row],[QT_CANA_REST1]],
  IF(ESTIMATIVA[[#This Row],[QT_CANA_REAL]]&gt;0,ESTIMATIVA[[#This Row],[QT_CANA_REAL]],ESTIMATIVA[[#This Row],[QT_CANA_EST]]))</f>
        <v>3503</v>
      </c>
      <c r="AC125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3420.57</v>
      </c>
      <c r="AD1255" s="1">
        <f>IF(ESTIMATIVA[[#This Row],[QT_AREA_REAL]]&gt;0,ESTIMATIVA[[#This Row],[QT_CANA_REAL]],ESTIMATIVA[[#This Row],[QT_CANA_EST]])</f>
        <v>3420.57</v>
      </c>
      <c r="AE1255" s="1">
        <f>IF(ESTIMATIVA[[#This Row],[QT_AREA_REAL]]&gt;0,ESTIMATIVA[[#This Row],[QT_CANA_REAL]],ESTIMATIVA[[#This Row],[QT_CANA_REST1]])</f>
        <v>3420.57</v>
      </c>
      <c r="AF1255" s="1">
        <f>IF(ESTIMATIVA[[#This Row],[QT_AREA_REAL]]&gt;0,ESTIMATIVA[[#This Row],[QT_CANA_REAL]],ESTIMATIVA[[#This Row],[QT_CANA_REST2]])</f>
        <v>3420.57</v>
      </c>
      <c r="AG1255" s="1" t="str">
        <f>IF(COUNTIFS(GEADA!A:A,VALUE(ESTIMATIVA[[#This Row],[CD_UPNIVEL1]]&amp;TEXT(ESTIMATIVA[[#This Row],[CD_UPNIVEL3]],"0000")))&gt;0,"S","N")</f>
        <v>N</v>
      </c>
      <c r="AH125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255" s="55" t="str">
        <f>IF(ESTIMATIVA[[#This Row],[TP_CULTIVO]]="Irrigado",_xlfn.MAXIFS(IRRIGADO!J:J,IRRIGADO!C:C,ESTIMATIVA[[#This Row],[CD_UPNIVEL1]],IRRIGADO!E:E,ESTIMATIVA[[#This Row],[CD_UPNIVEL3]]),"")</f>
        <v/>
      </c>
      <c r="AJ125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55" s="1">
        <f>COUNTIFS(Apresentação!$E$23:$E$29,ESTIMATIVA[[#This Row],[CD_UPNIVEL1]])</f>
        <v>0</v>
      </c>
    </row>
    <row r="1256" spans="1:37" x14ac:dyDescent="0.3">
      <c r="A1256">
        <v>20530</v>
      </c>
      <c r="B1256" t="s">
        <v>64</v>
      </c>
      <c r="C1256">
        <v>6</v>
      </c>
      <c r="D1256">
        <v>1</v>
      </c>
      <c r="E1256" t="s">
        <v>267</v>
      </c>
      <c r="F1256" s="85" t="s">
        <v>333</v>
      </c>
      <c r="G1256"/>
      <c r="H1256" t="s">
        <v>295</v>
      </c>
      <c r="I1256" t="s">
        <v>225</v>
      </c>
      <c r="J1256" t="s">
        <v>176</v>
      </c>
      <c r="K1256" s="1">
        <v>41.27</v>
      </c>
      <c r="L1256" s="1">
        <v>41.27</v>
      </c>
      <c r="M1256" s="1">
        <v>0</v>
      </c>
      <c r="N1256" s="1">
        <v>41.27</v>
      </c>
      <c r="O1256" s="1">
        <v>4127</v>
      </c>
      <c r="P1256" s="1">
        <v>4168.2700000000004</v>
      </c>
      <c r="Q1256" s="1">
        <v>0</v>
      </c>
      <c r="R1256" s="1">
        <v>4069.98</v>
      </c>
      <c r="S1256" t="s">
        <v>12</v>
      </c>
      <c r="T1256" s="13">
        <v>45886</v>
      </c>
      <c r="U1256" s="1" t="str">
        <f>IF(ESTIMATIVA[[#This Row],[QT_AREA_REAL]]&gt;0,"1- Colhido","2- à Colher")</f>
        <v>1- Colhido</v>
      </c>
      <c r="V1256" s="1" t="str">
        <f>IF(ESTIMATIVA[[#This Row],[QT_AREA_REST1]]&gt;0,"Reestimativa 1",IF(ESTIMATIVA[[#This Row],[QT_AREA_REAL]]=0,"Reestimativa 1","Realizado"))</f>
        <v>Reestimativa 1</v>
      </c>
      <c r="W1256" s="1" t="str">
        <f>IF(ESTIMATIVA[[#This Row],[QT_AREA_REST2]]&gt;0,"Reestimativa 2",IF(ESTIMATIVA[[#This Row],[QT_AREA_REAL]]=0,"Reestimativa 2","Realizado"))</f>
        <v>Realizado</v>
      </c>
      <c r="X1256" s="1">
        <f>ESTIMATIVA[[#This Row],[QT_AREA_EST]]</f>
        <v>41.27</v>
      </c>
      <c r="Y1256" s="1">
        <f>IF(ESTIMATIVA[[#This Row],[QT_AREA_REST1]]&gt;0,ESTIMATIVA[[#This Row],[QT_AREA_REST1]],
  IF(ESTIMATIVA[[#This Row],[QT_AREA_REAL]]&gt;0,ESTIMATIVA[[#This Row],[QT_AREA_REAL]],ESTIMATIVA[[#This Row],[QT_AREA_EST]]))</f>
        <v>41.27</v>
      </c>
      <c r="Z125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41.27</v>
      </c>
      <c r="AA1256" s="1">
        <f>ESTIMATIVA[[#This Row],[QT_CANA_EST]]</f>
        <v>4127</v>
      </c>
      <c r="AB1256" s="1">
        <f>IF(ESTIMATIVA[[#This Row],[QT_CANA_REST1]]&gt;0,ESTIMATIVA[[#This Row],[QT_CANA_REST1]],
  IF(ESTIMATIVA[[#This Row],[QT_CANA_REAL]]&gt;0,ESTIMATIVA[[#This Row],[QT_CANA_REAL]],ESTIMATIVA[[#This Row],[QT_CANA_EST]]))</f>
        <v>4168.2700000000004</v>
      </c>
      <c r="AC125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4069.98</v>
      </c>
      <c r="AD1256" s="1">
        <f>IF(ESTIMATIVA[[#This Row],[QT_AREA_REAL]]&gt;0,ESTIMATIVA[[#This Row],[QT_CANA_REAL]],ESTIMATIVA[[#This Row],[QT_CANA_EST]])</f>
        <v>4069.98</v>
      </c>
      <c r="AE1256" s="1">
        <f>IF(ESTIMATIVA[[#This Row],[QT_AREA_REAL]]&gt;0,ESTIMATIVA[[#This Row],[QT_CANA_REAL]],ESTIMATIVA[[#This Row],[QT_CANA_REST1]])</f>
        <v>4069.98</v>
      </c>
      <c r="AF1256" s="1">
        <f>IF(ESTIMATIVA[[#This Row],[QT_AREA_REAL]]&gt;0,ESTIMATIVA[[#This Row],[QT_CANA_REAL]],ESTIMATIVA[[#This Row],[QT_CANA_REST2]])</f>
        <v>4069.98</v>
      </c>
      <c r="AG1256" s="1" t="str">
        <f>IF(COUNTIFS(GEADA!A:A,VALUE(ESTIMATIVA[[#This Row],[CD_UPNIVEL1]]&amp;TEXT(ESTIMATIVA[[#This Row],[CD_UPNIVEL3]],"0000")))&gt;0,"S","N")</f>
        <v>N</v>
      </c>
      <c r="AH125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256" s="55" t="str">
        <f>IF(ESTIMATIVA[[#This Row],[TP_CULTIVO]]="Irrigado",_xlfn.MAXIFS(IRRIGADO!J:J,IRRIGADO!C:C,ESTIMATIVA[[#This Row],[CD_UPNIVEL1]],IRRIGADO!E:E,ESTIMATIVA[[#This Row],[CD_UPNIVEL3]]),"")</f>
        <v/>
      </c>
      <c r="AJ125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56" s="1">
        <f>COUNTIFS(Apresentação!$E$23:$E$29,ESTIMATIVA[[#This Row],[CD_UPNIVEL1]])</f>
        <v>0</v>
      </c>
    </row>
    <row r="1257" spans="1:37" x14ac:dyDescent="0.3">
      <c r="A1257">
        <v>20530</v>
      </c>
      <c r="B1257" t="s">
        <v>64</v>
      </c>
      <c r="C1257">
        <v>7</v>
      </c>
      <c r="D1257">
        <v>1</v>
      </c>
      <c r="E1257" t="s">
        <v>267</v>
      </c>
      <c r="F1257" s="85" t="s">
        <v>333</v>
      </c>
      <c r="G1257"/>
      <c r="H1257" t="s">
        <v>295</v>
      </c>
      <c r="I1257" t="s">
        <v>225</v>
      </c>
      <c r="J1257" t="s">
        <v>176</v>
      </c>
      <c r="K1257" s="1">
        <v>39.51</v>
      </c>
      <c r="L1257" s="1">
        <v>39.51</v>
      </c>
      <c r="M1257" s="1">
        <v>0</v>
      </c>
      <c r="N1257" s="1">
        <v>39.51</v>
      </c>
      <c r="O1257" s="1">
        <v>3832.47</v>
      </c>
      <c r="P1257" s="1">
        <v>3951</v>
      </c>
      <c r="Q1257" s="1">
        <v>0</v>
      </c>
      <c r="R1257" s="1">
        <v>3858.59</v>
      </c>
      <c r="S1257" t="s">
        <v>12</v>
      </c>
      <c r="T1257" s="13">
        <v>45886</v>
      </c>
      <c r="U1257" s="1" t="str">
        <f>IF(ESTIMATIVA[[#This Row],[QT_AREA_REAL]]&gt;0,"1- Colhido","2- à Colher")</f>
        <v>1- Colhido</v>
      </c>
      <c r="V1257" s="1" t="str">
        <f>IF(ESTIMATIVA[[#This Row],[QT_AREA_REST1]]&gt;0,"Reestimativa 1",IF(ESTIMATIVA[[#This Row],[QT_AREA_REAL]]=0,"Reestimativa 1","Realizado"))</f>
        <v>Reestimativa 1</v>
      </c>
      <c r="W1257" s="1" t="str">
        <f>IF(ESTIMATIVA[[#This Row],[QT_AREA_REST2]]&gt;0,"Reestimativa 2",IF(ESTIMATIVA[[#This Row],[QT_AREA_REAL]]=0,"Reestimativa 2","Realizado"))</f>
        <v>Realizado</v>
      </c>
      <c r="X1257" s="1">
        <f>ESTIMATIVA[[#This Row],[QT_AREA_EST]]</f>
        <v>39.51</v>
      </c>
      <c r="Y1257" s="1">
        <f>IF(ESTIMATIVA[[#This Row],[QT_AREA_REST1]]&gt;0,ESTIMATIVA[[#This Row],[QT_AREA_REST1]],
  IF(ESTIMATIVA[[#This Row],[QT_AREA_REAL]]&gt;0,ESTIMATIVA[[#This Row],[QT_AREA_REAL]],ESTIMATIVA[[#This Row],[QT_AREA_EST]]))</f>
        <v>39.51</v>
      </c>
      <c r="Z125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39.51</v>
      </c>
      <c r="AA1257" s="1">
        <f>ESTIMATIVA[[#This Row],[QT_CANA_EST]]</f>
        <v>3832.47</v>
      </c>
      <c r="AB1257" s="1">
        <f>IF(ESTIMATIVA[[#This Row],[QT_CANA_REST1]]&gt;0,ESTIMATIVA[[#This Row],[QT_CANA_REST1]],
  IF(ESTIMATIVA[[#This Row],[QT_CANA_REAL]]&gt;0,ESTIMATIVA[[#This Row],[QT_CANA_REAL]],ESTIMATIVA[[#This Row],[QT_CANA_EST]]))</f>
        <v>3951</v>
      </c>
      <c r="AC125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3858.59</v>
      </c>
      <c r="AD1257" s="1">
        <f>IF(ESTIMATIVA[[#This Row],[QT_AREA_REAL]]&gt;0,ESTIMATIVA[[#This Row],[QT_CANA_REAL]],ESTIMATIVA[[#This Row],[QT_CANA_EST]])</f>
        <v>3858.59</v>
      </c>
      <c r="AE1257" s="1">
        <f>IF(ESTIMATIVA[[#This Row],[QT_AREA_REAL]]&gt;0,ESTIMATIVA[[#This Row],[QT_CANA_REAL]],ESTIMATIVA[[#This Row],[QT_CANA_REST1]])</f>
        <v>3858.59</v>
      </c>
      <c r="AF1257" s="1">
        <f>IF(ESTIMATIVA[[#This Row],[QT_AREA_REAL]]&gt;0,ESTIMATIVA[[#This Row],[QT_CANA_REAL]],ESTIMATIVA[[#This Row],[QT_CANA_REST2]])</f>
        <v>3858.59</v>
      </c>
      <c r="AG1257" s="1" t="str">
        <f>IF(COUNTIFS(GEADA!A:A,VALUE(ESTIMATIVA[[#This Row],[CD_UPNIVEL1]]&amp;TEXT(ESTIMATIVA[[#This Row],[CD_UPNIVEL3]],"0000")))&gt;0,"S","N")</f>
        <v>N</v>
      </c>
      <c r="AH125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257" s="55" t="str">
        <f>IF(ESTIMATIVA[[#This Row],[TP_CULTIVO]]="Irrigado",_xlfn.MAXIFS(IRRIGADO!J:J,IRRIGADO!C:C,ESTIMATIVA[[#This Row],[CD_UPNIVEL1]],IRRIGADO!E:E,ESTIMATIVA[[#This Row],[CD_UPNIVEL3]]),"")</f>
        <v/>
      </c>
      <c r="AJ125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57" s="1">
        <f>COUNTIFS(Apresentação!$E$23:$E$29,ESTIMATIVA[[#This Row],[CD_UPNIVEL1]])</f>
        <v>0</v>
      </c>
    </row>
    <row r="1258" spans="1:37" x14ac:dyDescent="0.3">
      <c r="A1258">
        <v>20532</v>
      </c>
      <c r="B1258" t="s">
        <v>70</v>
      </c>
      <c r="C1258">
        <v>1</v>
      </c>
      <c r="D1258">
        <v>3</v>
      </c>
      <c r="E1258" t="s">
        <v>263</v>
      </c>
      <c r="F1258" s="85" t="s">
        <v>331</v>
      </c>
      <c r="G1258"/>
      <c r="H1258" t="s">
        <v>294</v>
      </c>
      <c r="I1258" t="s">
        <v>205</v>
      </c>
      <c r="J1258" t="s">
        <v>176</v>
      </c>
      <c r="K1258" s="1">
        <v>18.84</v>
      </c>
      <c r="L1258" s="1">
        <v>18.84</v>
      </c>
      <c r="M1258" s="1">
        <v>0</v>
      </c>
      <c r="N1258" s="1">
        <v>18.84</v>
      </c>
      <c r="O1258" s="1">
        <v>1507.2</v>
      </c>
      <c r="P1258" s="1">
        <v>1507.2</v>
      </c>
      <c r="Q1258" s="1">
        <v>0</v>
      </c>
      <c r="R1258" s="1">
        <v>1343.35</v>
      </c>
      <c r="S1258" t="s">
        <v>12</v>
      </c>
      <c r="T1258" s="13">
        <v>45886</v>
      </c>
      <c r="U1258" s="1" t="str">
        <f>IF(ESTIMATIVA[[#This Row],[QT_AREA_REAL]]&gt;0,"1- Colhido","2- à Colher")</f>
        <v>1- Colhido</v>
      </c>
      <c r="V1258" s="1" t="str">
        <f>IF(ESTIMATIVA[[#This Row],[QT_AREA_REST1]]&gt;0,"Reestimativa 1",IF(ESTIMATIVA[[#This Row],[QT_AREA_REAL]]=0,"Reestimativa 1","Realizado"))</f>
        <v>Reestimativa 1</v>
      </c>
      <c r="W1258" s="1" t="str">
        <f>IF(ESTIMATIVA[[#This Row],[QT_AREA_REST2]]&gt;0,"Reestimativa 2",IF(ESTIMATIVA[[#This Row],[QT_AREA_REAL]]=0,"Reestimativa 2","Realizado"))</f>
        <v>Realizado</v>
      </c>
      <c r="X1258" s="1">
        <f>ESTIMATIVA[[#This Row],[QT_AREA_EST]]</f>
        <v>18.84</v>
      </c>
      <c r="Y1258" s="1">
        <f>IF(ESTIMATIVA[[#This Row],[QT_AREA_REST1]]&gt;0,ESTIMATIVA[[#This Row],[QT_AREA_REST1]],
  IF(ESTIMATIVA[[#This Row],[QT_AREA_REAL]]&gt;0,ESTIMATIVA[[#This Row],[QT_AREA_REAL]],ESTIMATIVA[[#This Row],[QT_AREA_EST]]))</f>
        <v>18.84</v>
      </c>
      <c r="Z125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18.84</v>
      </c>
      <c r="AA1258" s="1">
        <f>ESTIMATIVA[[#This Row],[QT_CANA_EST]]</f>
        <v>1507.2</v>
      </c>
      <c r="AB1258" s="1">
        <f>IF(ESTIMATIVA[[#This Row],[QT_CANA_REST1]]&gt;0,ESTIMATIVA[[#This Row],[QT_CANA_REST1]],
  IF(ESTIMATIVA[[#This Row],[QT_CANA_REAL]]&gt;0,ESTIMATIVA[[#This Row],[QT_CANA_REAL]],ESTIMATIVA[[#This Row],[QT_CANA_EST]]))</f>
        <v>1507.2</v>
      </c>
      <c r="AC125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1343.35</v>
      </c>
      <c r="AD1258" s="1">
        <f>IF(ESTIMATIVA[[#This Row],[QT_AREA_REAL]]&gt;0,ESTIMATIVA[[#This Row],[QT_CANA_REAL]],ESTIMATIVA[[#This Row],[QT_CANA_EST]])</f>
        <v>1343.35</v>
      </c>
      <c r="AE1258" s="1">
        <f>IF(ESTIMATIVA[[#This Row],[QT_AREA_REAL]]&gt;0,ESTIMATIVA[[#This Row],[QT_CANA_REAL]],ESTIMATIVA[[#This Row],[QT_CANA_REST1]])</f>
        <v>1343.35</v>
      </c>
      <c r="AF1258" s="1">
        <f>IF(ESTIMATIVA[[#This Row],[QT_AREA_REAL]]&gt;0,ESTIMATIVA[[#This Row],[QT_CANA_REAL]],ESTIMATIVA[[#This Row],[QT_CANA_REST2]])</f>
        <v>1343.35</v>
      </c>
      <c r="AG1258" s="1" t="str">
        <f>IF(COUNTIFS(GEADA!A:A,VALUE(ESTIMATIVA[[#This Row],[CD_UPNIVEL1]]&amp;TEXT(ESTIMATIVA[[#This Row],[CD_UPNIVEL3]],"0000")))&gt;0,"S","N")</f>
        <v>N</v>
      </c>
      <c r="AH125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58" s="55" t="str">
        <f>IF(ESTIMATIVA[[#This Row],[TP_CULTIVO]]="Irrigado",_xlfn.MAXIFS(IRRIGADO!J:J,IRRIGADO!C:C,ESTIMATIVA[[#This Row],[CD_UPNIVEL1]],IRRIGADO!E:E,ESTIMATIVA[[#This Row],[CD_UPNIVEL3]]),"")</f>
        <v/>
      </c>
      <c r="AJ125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58" s="1">
        <f>COUNTIFS(Apresentação!$E$23:$E$29,ESTIMATIVA[[#This Row],[CD_UPNIVEL1]])</f>
        <v>0</v>
      </c>
    </row>
    <row r="1259" spans="1:37" x14ac:dyDescent="0.3">
      <c r="A1259">
        <v>20532</v>
      </c>
      <c r="B1259" t="s">
        <v>70</v>
      </c>
      <c r="C1259">
        <v>2</v>
      </c>
      <c r="D1259">
        <v>3</v>
      </c>
      <c r="E1259" t="s">
        <v>263</v>
      </c>
      <c r="F1259" s="85" t="s">
        <v>331</v>
      </c>
      <c r="G1259"/>
      <c r="H1259" t="s">
        <v>294</v>
      </c>
      <c r="I1259" t="s">
        <v>205</v>
      </c>
      <c r="J1259" t="s">
        <v>176</v>
      </c>
      <c r="K1259" s="1">
        <v>13.29</v>
      </c>
      <c r="L1259" s="1">
        <v>13.29</v>
      </c>
      <c r="M1259" s="1">
        <v>0</v>
      </c>
      <c r="N1259" s="1">
        <v>13.29</v>
      </c>
      <c r="O1259" s="1">
        <v>1063.2</v>
      </c>
      <c r="P1259" s="1">
        <v>956.88</v>
      </c>
      <c r="Q1259" s="1">
        <v>0</v>
      </c>
      <c r="R1259" s="1">
        <v>853.12</v>
      </c>
      <c r="S1259" t="s">
        <v>12</v>
      </c>
      <c r="T1259" s="13">
        <v>45886</v>
      </c>
      <c r="U1259" s="1" t="str">
        <f>IF(ESTIMATIVA[[#This Row],[QT_AREA_REAL]]&gt;0,"1- Colhido","2- à Colher")</f>
        <v>1- Colhido</v>
      </c>
      <c r="V1259" s="1" t="str">
        <f>IF(ESTIMATIVA[[#This Row],[QT_AREA_REST1]]&gt;0,"Reestimativa 1",IF(ESTIMATIVA[[#This Row],[QT_AREA_REAL]]=0,"Reestimativa 1","Realizado"))</f>
        <v>Reestimativa 1</v>
      </c>
      <c r="W1259" s="1" t="str">
        <f>IF(ESTIMATIVA[[#This Row],[QT_AREA_REST2]]&gt;0,"Reestimativa 2",IF(ESTIMATIVA[[#This Row],[QT_AREA_REAL]]=0,"Reestimativa 2","Realizado"))</f>
        <v>Realizado</v>
      </c>
      <c r="X1259" s="1">
        <f>ESTIMATIVA[[#This Row],[QT_AREA_EST]]</f>
        <v>13.29</v>
      </c>
      <c r="Y1259" s="1">
        <f>IF(ESTIMATIVA[[#This Row],[QT_AREA_REST1]]&gt;0,ESTIMATIVA[[#This Row],[QT_AREA_REST1]],
  IF(ESTIMATIVA[[#This Row],[QT_AREA_REAL]]&gt;0,ESTIMATIVA[[#This Row],[QT_AREA_REAL]],ESTIMATIVA[[#This Row],[QT_AREA_EST]]))</f>
        <v>13.29</v>
      </c>
      <c r="Z125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13.29</v>
      </c>
      <c r="AA1259" s="1">
        <f>ESTIMATIVA[[#This Row],[QT_CANA_EST]]</f>
        <v>1063.2</v>
      </c>
      <c r="AB1259" s="1">
        <f>IF(ESTIMATIVA[[#This Row],[QT_CANA_REST1]]&gt;0,ESTIMATIVA[[#This Row],[QT_CANA_REST1]],
  IF(ESTIMATIVA[[#This Row],[QT_CANA_REAL]]&gt;0,ESTIMATIVA[[#This Row],[QT_CANA_REAL]],ESTIMATIVA[[#This Row],[QT_CANA_EST]]))</f>
        <v>956.88</v>
      </c>
      <c r="AC125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853.12</v>
      </c>
      <c r="AD1259" s="1">
        <f>IF(ESTIMATIVA[[#This Row],[QT_AREA_REAL]]&gt;0,ESTIMATIVA[[#This Row],[QT_CANA_REAL]],ESTIMATIVA[[#This Row],[QT_CANA_EST]])</f>
        <v>853.12</v>
      </c>
      <c r="AE1259" s="1">
        <f>IF(ESTIMATIVA[[#This Row],[QT_AREA_REAL]]&gt;0,ESTIMATIVA[[#This Row],[QT_CANA_REAL]],ESTIMATIVA[[#This Row],[QT_CANA_REST1]])</f>
        <v>853.12</v>
      </c>
      <c r="AF1259" s="1">
        <f>IF(ESTIMATIVA[[#This Row],[QT_AREA_REAL]]&gt;0,ESTIMATIVA[[#This Row],[QT_CANA_REAL]],ESTIMATIVA[[#This Row],[QT_CANA_REST2]])</f>
        <v>853.12</v>
      </c>
      <c r="AG1259" s="1" t="str">
        <f>IF(COUNTIFS(GEADA!A:A,VALUE(ESTIMATIVA[[#This Row],[CD_UPNIVEL1]]&amp;TEXT(ESTIMATIVA[[#This Row],[CD_UPNIVEL3]],"0000")))&gt;0,"S","N")</f>
        <v>S</v>
      </c>
      <c r="AH125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59" s="55" t="str">
        <f>IF(ESTIMATIVA[[#This Row],[TP_CULTIVO]]="Irrigado",_xlfn.MAXIFS(IRRIGADO!J:J,IRRIGADO!C:C,ESTIMATIVA[[#This Row],[CD_UPNIVEL1]],IRRIGADO!E:E,ESTIMATIVA[[#This Row],[CD_UPNIVEL3]]),"")</f>
        <v/>
      </c>
      <c r="AJ125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59" s="1">
        <f>COUNTIFS(Apresentação!$E$23:$E$29,ESTIMATIVA[[#This Row],[CD_UPNIVEL1]])</f>
        <v>0</v>
      </c>
    </row>
    <row r="1260" spans="1:37" x14ac:dyDescent="0.3">
      <c r="A1260">
        <v>20532</v>
      </c>
      <c r="B1260" t="s">
        <v>70</v>
      </c>
      <c r="C1260">
        <v>3</v>
      </c>
      <c r="D1260">
        <v>3</v>
      </c>
      <c r="E1260" t="s">
        <v>263</v>
      </c>
      <c r="F1260" s="85" t="s">
        <v>331</v>
      </c>
      <c r="G1260"/>
      <c r="H1260" t="s">
        <v>294</v>
      </c>
      <c r="I1260" t="s">
        <v>205</v>
      </c>
      <c r="J1260" t="s">
        <v>176</v>
      </c>
      <c r="K1260" s="1">
        <v>25.27</v>
      </c>
      <c r="L1260" s="1">
        <v>25.27</v>
      </c>
      <c r="M1260" s="1">
        <v>0</v>
      </c>
      <c r="N1260" s="1">
        <v>25.27</v>
      </c>
      <c r="O1260" s="1">
        <v>1819.44</v>
      </c>
      <c r="P1260" s="1">
        <v>1768.9</v>
      </c>
      <c r="Q1260" s="1">
        <v>0</v>
      </c>
      <c r="R1260" s="1">
        <v>1618.21</v>
      </c>
      <c r="S1260" t="s">
        <v>12</v>
      </c>
      <c r="T1260" s="13">
        <v>45886</v>
      </c>
      <c r="U1260" s="1" t="str">
        <f>IF(ESTIMATIVA[[#This Row],[QT_AREA_REAL]]&gt;0,"1- Colhido","2- à Colher")</f>
        <v>1- Colhido</v>
      </c>
      <c r="V1260" s="1" t="str">
        <f>IF(ESTIMATIVA[[#This Row],[QT_AREA_REST1]]&gt;0,"Reestimativa 1",IF(ESTIMATIVA[[#This Row],[QT_AREA_REAL]]=0,"Reestimativa 1","Realizado"))</f>
        <v>Reestimativa 1</v>
      </c>
      <c r="W1260" s="1" t="str">
        <f>IF(ESTIMATIVA[[#This Row],[QT_AREA_REST2]]&gt;0,"Reestimativa 2",IF(ESTIMATIVA[[#This Row],[QT_AREA_REAL]]=0,"Reestimativa 2","Realizado"))</f>
        <v>Realizado</v>
      </c>
      <c r="X1260" s="1">
        <f>ESTIMATIVA[[#This Row],[QT_AREA_EST]]</f>
        <v>25.27</v>
      </c>
      <c r="Y1260" s="1">
        <f>IF(ESTIMATIVA[[#This Row],[QT_AREA_REST1]]&gt;0,ESTIMATIVA[[#This Row],[QT_AREA_REST1]],
  IF(ESTIMATIVA[[#This Row],[QT_AREA_REAL]]&gt;0,ESTIMATIVA[[#This Row],[QT_AREA_REAL]],ESTIMATIVA[[#This Row],[QT_AREA_EST]]))</f>
        <v>25.27</v>
      </c>
      <c r="Z126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25.27</v>
      </c>
      <c r="AA1260" s="1">
        <f>ESTIMATIVA[[#This Row],[QT_CANA_EST]]</f>
        <v>1819.44</v>
      </c>
      <c r="AB1260" s="1">
        <f>IF(ESTIMATIVA[[#This Row],[QT_CANA_REST1]]&gt;0,ESTIMATIVA[[#This Row],[QT_CANA_REST1]],
  IF(ESTIMATIVA[[#This Row],[QT_CANA_REAL]]&gt;0,ESTIMATIVA[[#This Row],[QT_CANA_REAL]],ESTIMATIVA[[#This Row],[QT_CANA_EST]]))</f>
        <v>1768.9</v>
      </c>
      <c r="AC126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1618.21</v>
      </c>
      <c r="AD1260" s="1">
        <f>IF(ESTIMATIVA[[#This Row],[QT_AREA_REAL]]&gt;0,ESTIMATIVA[[#This Row],[QT_CANA_REAL]],ESTIMATIVA[[#This Row],[QT_CANA_EST]])</f>
        <v>1618.21</v>
      </c>
      <c r="AE1260" s="1">
        <f>IF(ESTIMATIVA[[#This Row],[QT_AREA_REAL]]&gt;0,ESTIMATIVA[[#This Row],[QT_CANA_REAL]],ESTIMATIVA[[#This Row],[QT_CANA_REST1]])</f>
        <v>1618.21</v>
      </c>
      <c r="AF1260" s="1">
        <f>IF(ESTIMATIVA[[#This Row],[QT_AREA_REAL]]&gt;0,ESTIMATIVA[[#This Row],[QT_CANA_REAL]],ESTIMATIVA[[#This Row],[QT_CANA_REST2]])</f>
        <v>1618.21</v>
      </c>
      <c r="AG1260" s="1" t="str">
        <f>IF(COUNTIFS(GEADA!A:A,VALUE(ESTIMATIVA[[#This Row],[CD_UPNIVEL1]]&amp;TEXT(ESTIMATIVA[[#This Row],[CD_UPNIVEL3]],"0000")))&gt;0,"S","N")</f>
        <v>N</v>
      </c>
      <c r="AH126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60" s="55" t="str">
        <f>IF(ESTIMATIVA[[#This Row],[TP_CULTIVO]]="Irrigado",_xlfn.MAXIFS(IRRIGADO!J:J,IRRIGADO!C:C,ESTIMATIVA[[#This Row],[CD_UPNIVEL1]],IRRIGADO!E:E,ESTIMATIVA[[#This Row],[CD_UPNIVEL3]]),"")</f>
        <v/>
      </c>
      <c r="AJ126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60" s="1">
        <f>COUNTIFS(Apresentação!$E$23:$E$29,ESTIMATIVA[[#This Row],[CD_UPNIVEL1]])</f>
        <v>0</v>
      </c>
    </row>
    <row r="1261" spans="1:37" x14ac:dyDescent="0.3">
      <c r="A1261">
        <v>20532</v>
      </c>
      <c r="B1261" t="s">
        <v>70</v>
      </c>
      <c r="C1261">
        <v>4</v>
      </c>
      <c r="D1261">
        <v>3</v>
      </c>
      <c r="E1261" t="s">
        <v>263</v>
      </c>
      <c r="F1261" s="85" t="s">
        <v>331</v>
      </c>
      <c r="G1261"/>
      <c r="H1261" t="s">
        <v>294</v>
      </c>
      <c r="I1261" t="s">
        <v>205</v>
      </c>
      <c r="J1261" t="s">
        <v>176</v>
      </c>
      <c r="K1261" s="1">
        <v>25.9</v>
      </c>
      <c r="L1261" s="1">
        <v>25.9</v>
      </c>
      <c r="M1261" s="1">
        <v>0</v>
      </c>
      <c r="N1261" s="1">
        <v>25.9</v>
      </c>
      <c r="O1261" s="1">
        <v>1864.8</v>
      </c>
      <c r="P1261" s="1">
        <v>1864.8</v>
      </c>
      <c r="Q1261" s="1">
        <v>0</v>
      </c>
      <c r="R1261" s="1">
        <v>1706.13</v>
      </c>
      <c r="S1261" t="s">
        <v>12</v>
      </c>
      <c r="T1261" s="13">
        <v>45886</v>
      </c>
      <c r="U1261" s="1" t="str">
        <f>IF(ESTIMATIVA[[#This Row],[QT_AREA_REAL]]&gt;0,"1- Colhido","2- à Colher")</f>
        <v>1- Colhido</v>
      </c>
      <c r="V1261" s="1" t="str">
        <f>IF(ESTIMATIVA[[#This Row],[QT_AREA_REST1]]&gt;0,"Reestimativa 1",IF(ESTIMATIVA[[#This Row],[QT_AREA_REAL]]=0,"Reestimativa 1","Realizado"))</f>
        <v>Reestimativa 1</v>
      </c>
      <c r="W1261" s="1" t="str">
        <f>IF(ESTIMATIVA[[#This Row],[QT_AREA_REST2]]&gt;0,"Reestimativa 2",IF(ESTIMATIVA[[#This Row],[QT_AREA_REAL]]=0,"Reestimativa 2","Realizado"))</f>
        <v>Realizado</v>
      </c>
      <c r="X1261" s="1">
        <f>ESTIMATIVA[[#This Row],[QT_AREA_EST]]</f>
        <v>25.9</v>
      </c>
      <c r="Y1261" s="1">
        <f>IF(ESTIMATIVA[[#This Row],[QT_AREA_REST1]]&gt;0,ESTIMATIVA[[#This Row],[QT_AREA_REST1]],
  IF(ESTIMATIVA[[#This Row],[QT_AREA_REAL]]&gt;0,ESTIMATIVA[[#This Row],[QT_AREA_REAL]],ESTIMATIVA[[#This Row],[QT_AREA_EST]]))</f>
        <v>25.9</v>
      </c>
      <c r="Z126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25.9</v>
      </c>
      <c r="AA1261" s="1">
        <f>ESTIMATIVA[[#This Row],[QT_CANA_EST]]</f>
        <v>1864.8</v>
      </c>
      <c r="AB1261" s="1">
        <f>IF(ESTIMATIVA[[#This Row],[QT_CANA_REST1]]&gt;0,ESTIMATIVA[[#This Row],[QT_CANA_REST1]],
  IF(ESTIMATIVA[[#This Row],[QT_CANA_REAL]]&gt;0,ESTIMATIVA[[#This Row],[QT_CANA_REAL]],ESTIMATIVA[[#This Row],[QT_CANA_EST]]))</f>
        <v>1864.8</v>
      </c>
      <c r="AC126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1706.13</v>
      </c>
      <c r="AD1261" s="1">
        <f>IF(ESTIMATIVA[[#This Row],[QT_AREA_REAL]]&gt;0,ESTIMATIVA[[#This Row],[QT_CANA_REAL]],ESTIMATIVA[[#This Row],[QT_CANA_EST]])</f>
        <v>1706.13</v>
      </c>
      <c r="AE1261" s="1">
        <f>IF(ESTIMATIVA[[#This Row],[QT_AREA_REAL]]&gt;0,ESTIMATIVA[[#This Row],[QT_CANA_REAL]],ESTIMATIVA[[#This Row],[QT_CANA_REST1]])</f>
        <v>1706.13</v>
      </c>
      <c r="AF1261" s="1">
        <f>IF(ESTIMATIVA[[#This Row],[QT_AREA_REAL]]&gt;0,ESTIMATIVA[[#This Row],[QT_CANA_REAL]],ESTIMATIVA[[#This Row],[QT_CANA_REST2]])</f>
        <v>1706.13</v>
      </c>
      <c r="AG1261" s="1" t="str">
        <f>IF(COUNTIFS(GEADA!A:A,VALUE(ESTIMATIVA[[#This Row],[CD_UPNIVEL1]]&amp;TEXT(ESTIMATIVA[[#This Row],[CD_UPNIVEL3]],"0000")))&gt;0,"S","N")</f>
        <v>N</v>
      </c>
      <c r="AH126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61" s="55" t="str">
        <f>IF(ESTIMATIVA[[#This Row],[TP_CULTIVO]]="Irrigado",_xlfn.MAXIFS(IRRIGADO!J:J,IRRIGADO!C:C,ESTIMATIVA[[#This Row],[CD_UPNIVEL1]],IRRIGADO!E:E,ESTIMATIVA[[#This Row],[CD_UPNIVEL3]]),"")</f>
        <v/>
      </c>
      <c r="AJ126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61" s="1">
        <f>COUNTIFS(Apresentação!$E$23:$E$29,ESTIMATIVA[[#This Row],[CD_UPNIVEL1]])</f>
        <v>0</v>
      </c>
    </row>
    <row r="1262" spans="1:37" x14ac:dyDescent="0.3">
      <c r="A1262">
        <v>20533</v>
      </c>
      <c r="B1262" t="s">
        <v>71</v>
      </c>
      <c r="C1262">
        <v>1</v>
      </c>
      <c r="D1262">
        <v>5</v>
      </c>
      <c r="E1262" t="s">
        <v>268</v>
      </c>
      <c r="F1262" s="85" t="s">
        <v>331</v>
      </c>
      <c r="G1262"/>
      <c r="H1262" t="s">
        <v>294</v>
      </c>
      <c r="I1262" t="s">
        <v>202</v>
      </c>
      <c r="J1262" t="s">
        <v>176</v>
      </c>
      <c r="K1262" s="1">
        <v>6.78</v>
      </c>
      <c r="L1262" s="1">
        <v>0</v>
      </c>
      <c r="M1262" s="1">
        <v>0</v>
      </c>
      <c r="N1262" s="1">
        <v>6.78</v>
      </c>
      <c r="O1262" s="1">
        <v>461.04</v>
      </c>
      <c r="P1262" s="1">
        <v>0</v>
      </c>
      <c r="Q1262" s="1">
        <v>0</v>
      </c>
      <c r="R1262" s="1">
        <v>389.66</v>
      </c>
      <c r="S1262" t="s">
        <v>12</v>
      </c>
      <c r="T1262" s="13">
        <v>45739</v>
      </c>
      <c r="U1262" s="1" t="str">
        <f>IF(ESTIMATIVA[[#This Row],[QT_AREA_REAL]]&gt;0,"1- Colhido","2- à Colher")</f>
        <v>1- Colhido</v>
      </c>
      <c r="V1262" s="1" t="str">
        <f>IF(ESTIMATIVA[[#This Row],[QT_AREA_REST1]]&gt;0,"Reestimativa 1",IF(ESTIMATIVA[[#This Row],[QT_AREA_REAL]]=0,"Reestimativa 1","Realizado"))</f>
        <v>Realizado</v>
      </c>
      <c r="W1262" s="1" t="str">
        <f>IF(ESTIMATIVA[[#This Row],[QT_AREA_REST2]]&gt;0,"Reestimativa 2",IF(ESTIMATIVA[[#This Row],[QT_AREA_REAL]]=0,"Reestimativa 2","Realizado"))</f>
        <v>Realizado</v>
      </c>
      <c r="X1262" s="1">
        <f>ESTIMATIVA[[#This Row],[QT_AREA_EST]]</f>
        <v>6.78</v>
      </c>
      <c r="Y1262" s="1">
        <f>IF(ESTIMATIVA[[#This Row],[QT_AREA_REST1]]&gt;0,ESTIMATIVA[[#This Row],[QT_AREA_REST1]],
  IF(ESTIMATIVA[[#This Row],[QT_AREA_REAL]]&gt;0,ESTIMATIVA[[#This Row],[QT_AREA_REAL]],ESTIMATIVA[[#This Row],[QT_AREA_EST]]))</f>
        <v>6.78</v>
      </c>
      <c r="Z126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6.78</v>
      </c>
      <c r="AA1262" s="1">
        <f>ESTIMATIVA[[#This Row],[QT_CANA_EST]]</f>
        <v>461.04</v>
      </c>
      <c r="AB1262" s="1">
        <f>IF(ESTIMATIVA[[#This Row],[QT_CANA_REST1]]&gt;0,ESTIMATIVA[[#This Row],[QT_CANA_REST1]],
  IF(ESTIMATIVA[[#This Row],[QT_CANA_REAL]]&gt;0,ESTIMATIVA[[#This Row],[QT_CANA_REAL]],ESTIMATIVA[[#This Row],[QT_CANA_EST]]))</f>
        <v>389.66</v>
      </c>
      <c r="AC126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389.66</v>
      </c>
      <c r="AD1262" s="1">
        <f>IF(ESTIMATIVA[[#This Row],[QT_AREA_REAL]]&gt;0,ESTIMATIVA[[#This Row],[QT_CANA_REAL]],ESTIMATIVA[[#This Row],[QT_CANA_EST]])</f>
        <v>389.66</v>
      </c>
      <c r="AE1262" s="1">
        <f>IF(ESTIMATIVA[[#This Row],[QT_AREA_REAL]]&gt;0,ESTIMATIVA[[#This Row],[QT_CANA_REAL]],ESTIMATIVA[[#This Row],[QT_CANA_REST1]])</f>
        <v>389.66</v>
      </c>
      <c r="AF1262" s="1">
        <f>IF(ESTIMATIVA[[#This Row],[QT_AREA_REAL]]&gt;0,ESTIMATIVA[[#This Row],[QT_CANA_REAL]],ESTIMATIVA[[#This Row],[QT_CANA_REST2]])</f>
        <v>389.66</v>
      </c>
      <c r="AG1262" s="1" t="str">
        <f>IF(COUNTIFS(GEADA!A:A,VALUE(ESTIMATIVA[[#This Row],[CD_UPNIVEL1]]&amp;TEXT(ESTIMATIVA[[#This Row],[CD_UPNIVEL3]],"0000")))&gt;0,"S","N")</f>
        <v>N</v>
      </c>
      <c r="AH126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62" s="55" t="str">
        <f>IF(ESTIMATIVA[[#This Row],[TP_CULTIVO]]="Irrigado",_xlfn.MAXIFS(IRRIGADO!J:J,IRRIGADO!C:C,ESTIMATIVA[[#This Row],[CD_UPNIVEL1]],IRRIGADO!E:E,ESTIMATIVA[[#This Row],[CD_UPNIVEL3]]),"")</f>
        <v/>
      </c>
      <c r="AJ126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62" s="1">
        <f>COUNTIFS(Apresentação!$E$23:$E$29,ESTIMATIVA[[#This Row],[CD_UPNIVEL1]])</f>
        <v>0</v>
      </c>
    </row>
    <row r="1263" spans="1:37" x14ac:dyDescent="0.3">
      <c r="A1263">
        <v>20533</v>
      </c>
      <c r="B1263" t="s">
        <v>71</v>
      </c>
      <c r="C1263">
        <v>2</v>
      </c>
      <c r="D1263">
        <v>5</v>
      </c>
      <c r="E1263" t="s">
        <v>268</v>
      </c>
      <c r="F1263" s="85" t="s">
        <v>331</v>
      </c>
      <c r="G1263"/>
      <c r="H1263" t="s">
        <v>294</v>
      </c>
      <c r="I1263" t="s">
        <v>202</v>
      </c>
      <c r="J1263" t="s">
        <v>176</v>
      </c>
      <c r="K1263" s="1">
        <v>20.47</v>
      </c>
      <c r="L1263" s="1">
        <v>0</v>
      </c>
      <c r="M1263" s="1">
        <v>0</v>
      </c>
      <c r="N1263" s="1">
        <v>20.47</v>
      </c>
      <c r="O1263" s="1">
        <v>1371.49</v>
      </c>
      <c r="P1263" s="1">
        <v>0</v>
      </c>
      <c r="Q1263" s="1">
        <v>0</v>
      </c>
      <c r="R1263" s="1">
        <v>1159.23</v>
      </c>
      <c r="S1263" t="s">
        <v>12</v>
      </c>
      <c r="T1263" s="13">
        <v>45739</v>
      </c>
      <c r="U1263" s="1" t="str">
        <f>IF(ESTIMATIVA[[#This Row],[QT_AREA_REAL]]&gt;0,"1- Colhido","2- à Colher")</f>
        <v>1- Colhido</v>
      </c>
      <c r="V1263" s="1" t="str">
        <f>IF(ESTIMATIVA[[#This Row],[QT_AREA_REST1]]&gt;0,"Reestimativa 1",IF(ESTIMATIVA[[#This Row],[QT_AREA_REAL]]=0,"Reestimativa 1","Realizado"))</f>
        <v>Realizado</v>
      </c>
      <c r="W1263" s="1" t="str">
        <f>IF(ESTIMATIVA[[#This Row],[QT_AREA_REST2]]&gt;0,"Reestimativa 2",IF(ESTIMATIVA[[#This Row],[QT_AREA_REAL]]=0,"Reestimativa 2","Realizado"))</f>
        <v>Realizado</v>
      </c>
      <c r="X1263" s="1">
        <f>ESTIMATIVA[[#This Row],[QT_AREA_EST]]</f>
        <v>20.47</v>
      </c>
      <c r="Y1263" s="1">
        <f>IF(ESTIMATIVA[[#This Row],[QT_AREA_REST1]]&gt;0,ESTIMATIVA[[#This Row],[QT_AREA_REST1]],
  IF(ESTIMATIVA[[#This Row],[QT_AREA_REAL]]&gt;0,ESTIMATIVA[[#This Row],[QT_AREA_REAL]],ESTIMATIVA[[#This Row],[QT_AREA_EST]]))</f>
        <v>20.47</v>
      </c>
      <c r="Z126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20.47</v>
      </c>
      <c r="AA1263" s="1">
        <f>ESTIMATIVA[[#This Row],[QT_CANA_EST]]</f>
        <v>1371.49</v>
      </c>
      <c r="AB1263" s="1">
        <f>IF(ESTIMATIVA[[#This Row],[QT_CANA_REST1]]&gt;0,ESTIMATIVA[[#This Row],[QT_CANA_REST1]],
  IF(ESTIMATIVA[[#This Row],[QT_CANA_REAL]]&gt;0,ESTIMATIVA[[#This Row],[QT_CANA_REAL]],ESTIMATIVA[[#This Row],[QT_CANA_EST]]))</f>
        <v>1159.23</v>
      </c>
      <c r="AC126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1159.23</v>
      </c>
      <c r="AD1263" s="1">
        <f>IF(ESTIMATIVA[[#This Row],[QT_AREA_REAL]]&gt;0,ESTIMATIVA[[#This Row],[QT_CANA_REAL]],ESTIMATIVA[[#This Row],[QT_CANA_EST]])</f>
        <v>1159.23</v>
      </c>
      <c r="AE1263" s="1">
        <f>IF(ESTIMATIVA[[#This Row],[QT_AREA_REAL]]&gt;0,ESTIMATIVA[[#This Row],[QT_CANA_REAL]],ESTIMATIVA[[#This Row],[QT_CANA_REST1]])</f>
        <v>1159.23</v>
      </c>
      <c r="AF1263" s="1">
        <f>IF(ESTIMATIVA[[#This Row],[QT_AREA_REAL]]&gt;0,ESTIMATIVA[[#This Row],[QT_CANA_REAL]],ESTIMATIVA[[#This Row],[QT_CANA_REST2]])</f>
        <v>1159.23</v>
      </c>
      <c r="AG1263" s="1" t="str">
        <f>IF(COUNTIFS(GEADA!A:A,VALUE(ESTIMATIVA[[#This Row],[CD_UPNIVEL1]]&amp;TEXT(ESTIMATIVA[[#This Row],[CD_UPNIVEL3]],"0000")))&gt;0,"S","N")</f>
        <v>N</v>
      </c>
      <c r="AH126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63" s="55" t="str">
        <f>IF(ESTIMATIVA[[#This Row],[TP_CULTIVO]]="Irrigado",_xlfn.MAXIFS(IRRIGADO!J:J,IRRIGADO!C:C,ESTIMATIVA[[#This Row],[CD_UPNIVEL1]],IRRIGADO!E:E,ESTIMATIVA[[#This Row],[CD_UPNIVEL3]]),"")</f>
        <v/>
      </c>
      <c r="AJ126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63" s="1">
        <f>COUNTIFS(Apresentação!$E$23:$E$29,ESTIMATIVA[[#This Row],[CD_UPNIVEL1]])</f>
        <v>0</v>
      </c>
    </row>
    <row r="1264" spans="1:37" x14ac:dyDescent="0.3">
      <c r="A1264">
        <v>20533</v>
      </c>
      <c r="B1264" t="s">
        <v>71</v>
      </c>
      <c r="C1264">
        <v>3</v>
      </c>
      <c r="D1264">
        <v>5</v>
      </c>
      <c r="E1264" t="s">
        <v>268</v>
      </c>
      <c r="F1264" s="85" t="s">
        <v>331</v>
      </c>
      <c r="G1264"/>
      <c r="H1264" t="s">
        <v>294</v>
      </c>
      <c r="I1264" t="s">
        <v>202</v>
      </c>
      <c r="J1264" t="s">
        <v>176</v>
      </c>
      <c r="K1264" s="1">
        <v>5</v>
      </c>
      <c r="L1264" s="1">
        <v>0</v>
      </c>
      <c r="M1264" s="1">
        <v>0</v>
      </c>
      <c r="N1264" s="1">
        <v>5</v>
      </c>
      <c r="O1264" s="1">
        <v>270</v>
      </c>
      <c r="P1264" s="1">
        <v>0</v>
      </c>
      <c r="Q1264" s="1">
        <v>0</v>
      </c>
      <c r="R1264" s="1">
        <v>228.36</v>
      </c>
      <c r="S1264" t="s">
        <v>12</v>
      </c>
      <c r="T1264" s="13">
        <v>45739</v>
      </c>
      <c r="U1264" s="1" t="str">
        <f>IF(ESTIMATIVA[[#This Row],[QT_AREA_REAL]]&gt;0,"1- Colhido","2- à Colher")</f>
        <v>1- Colhido</v>
      </c>
      <c r="V1264" s="1" t="str">
        <f>IF(ESTIMATIVA[[#This Row],[QT_AREA_REST1]]&gt;0,"Reestimativa 1",IF(ESTIMATIVA[[#This Row],[QT_AREA_REAL]]=0,"Reestimativa 1","Realizado"))</f>
        <v>Realizado</v>
      </c>
      <c r="W1264" s="1" t="str">
        <f>IF(ESTIMATIVA[[#This Row],[QT_AREA_REST2]]&gt;0,"Reestimativa 2",IF(ESTIMATIVA[[#This Row],[QT_AREA_REAL]]=0,"Reestimativa 2","Realizado"))</f>
        <v>Realizado</v>
      </c>
      <c r="X1264" s="1">
        <f>ESTIMATIVA[[#This Row],[QT_AREA_EST]]</f>
        <v>5</v>
      </c>
      <c r="Y1264" s="1">
        <f>IF(ESTIMATIVA[[#This Row],[QT_AREA_REST1]]&gt;0,ESTIMATIVA[[#This Row],[QT_AREA_REST1]],
  IF(ESTIMATIVA[[#This Row],[QT_AREA_REAL]]&gt;0,ESTIMATIVA[[#This Row],[QT_AREA_REAL]],ESTIMATIVA[[#This Row],[QT_AREA_EST]]))</f>
        <v>5</v>
      </c>
      <c r="Z126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</v>
      </c>
      <c r="AA1264" s="1">
        <f>ESTIMATIVA[[#This Row],[QT_CANA_EST]]</f>
        <v>270</v>
      </c>
      <c r="AB1264" s="1">
        <f>IF(ESTIMATIVA[[#This Row],[QT_CANA_REST1]]&gt;0,ESTIMATIVA[[#This Row],[QT_CANA_REST1]],
  IF(ESTIMATIVA[[#This Row],[QT_CANA_REAL]]&gt;0,ESTIMATIVA[[#This Row],[QT_CANA_REAL]],ESTIMATIVA[[#This Row],[QT_CANA_EST]]))</f>
        <v>228.36</v>
      </c>
      <c r="AC126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228.36</v>
      </c>
      <c r="AD1264" s="1">
        <f>IF(ESTIMATIVA[[#This Row],[QT_AREA_REAL]]&gt;0,ESTIMATIVA[[#This Row],[QT_CANA_REAL]],ESTIMATIVA[[#This Row],[QT_CANA_EST]])</f>
        <v>228.36</v>
      </c>
      <c r="AE1264" s="1">
        <f>IF(ESTIMATIVA[[#This Row],[QT_AREA_REAL]]&gt;0,ESTIMATIVA[[#This Row],[QT_CANA_REAL]],ESTIMATIVA[[#This Row],[QT_CANA_REST1]])</f>
        <v>228.36</v>
      </c>
      <c r="AF1264" s="1">
        <f>IF(ESTIMATIVA[[#This Row],[QT_AREA_REAL]]&gt;0,ESTIMATIVA[[#This Row],[QT_CANA_REAL]],ESTIMATIVA[[#This Row],[QT_CANA_REST2]])</f>
        <v>228.36</v>
      </c>
      <c r="AG1264" s="1" t="str">
        <f>IF(COUNTIFS(GEADA!A:A,VALUE(ESTIMATIVA[[#This Row],[CD_UPNIVEL1]]&amp;TEXT(ESTIMATIVA[[#This Row],[CD_UPNIVEL3]],"0000")))&gt;0,"S","N")</f>
        <v>N</v>
      </c>
      <c r="AH126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64" s="55" t="str">
        <f>IF(ESTIMATIVA[[#This Row],[TP_CULTIVO]]="Irrigado",_xlfn.MAXIFS(IRRIGADO!J:J,IRRIGADO!C:C,ESTIMATIVA[[#This Row],[CD_UPNIVEL1]],IRRIGADO!E:E,ESTIMATIVA[[#This Row],[CD_UPNIVEL3]]),"")</f>
        <v/>
      </c>
      <c r="AJ126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64" s="1">
        <f>COUNTIFS(Apresentação!$E$23:$E$29,ESTIMATIVA[[#This Row],[CD_UPNIVEL1]])</f>
        <v>0</v>
      </c>
    </row>
    <row r="1265" spans="1:37" x14ac:dyDescent="0.3">
      <c r="A1265">
        <v>20535</v>
      </c>
      <c r="B1265" t="s">
        <v>64</v>
      </c>
      <c r="C1265">
        <v>1</v>
      </c>
      <c r="D1265">
        <v>2</v>
      </c>
      <c r="E1265" t="s">
        <v>266</v>
      </c>
      <c r="F1265" s="85" t="s">
        <v>333</v>
      </c>
      <c r="G1265"/>
      <c r="H1265" t="s">
        <v>294</v>
      </c>
      <c r="I1265" t="s">
        <v>195</v>
      </c>
      <c r="J1265" t="s">
        <v>176</v>
      </c>
      <c r="K1265" s="1">
        <v>33.65</v>
      </c>
      <c r="L1265" s="1">
        <v>33.65</v>
      </c>
      <c r="M1265" s="1">
        <v>33.65</v>
      </c>
      <c r="N1265" s="1">
        <v>33.65</v>
      </c>
      <c r="O1265" s="1">
        <v>2355.5</v>
      </c>
      <c r="P1265" s="1">
        <v>2288.1999999999998</v>
      </c>
      <c r="Q1265" s="1">
        <v>2321.85</v>
      </c>
      <c r="R1265" s="1">
        <v>2222.0300000000002</v>
      </c>
      <c r="S1265" t="s">
        <v>12</v>
      </c>
      <c r="T1265" s="13">
        <v>45977</v>
      </c>
      <c r="U1265" s="1" t="str">
        <f>IF(ESTIMATIVA[[#This Row],[QT_AREA_REAL]]&gt;0,"1- Colhido","2- à Colher")</f>
        <v>1- Colhido</v>
      </c>
      <c r="V1265" s="1" t="str">
        <f>IF(ESTIMATIVA[[#This Row],[QT_AREA_REST1]]&gt;0,"Reestimativa 1",IF(ESTIMATIVA[[#This Row],[QT_AREA_REAL]]=0,"Reestimativa 1","Realizado"))</f>
        <v>Reestimativa 1</v>
      </c>
      <c r="W1265" s="1" t="str">
        <f>IF(ESTIMATIVA[[#This Row],[QT_AREA_REST2]]&gt;0,"Reestimativa 2",IF(ESTIMATIVA[[#This Row],[QT_AREA_REAL]]=0,"Reestimativa 2","Realizado"))</f>
        <v>Reestimativa 2</v>
      </c>
      <c r="X1265" s="1">
        <f>ESTIMATIVA[[#This Row],[QT_AREA_EST]]</f>
        <v>33.65</v>
      </c>
      <c r="Y1265" s="1">
        <f>IF(ESTIMATIVA[[#This Row],[QT_AREA_REST1]]&gt;0,ESTIMATIVA[[#This Row],[QT_AREA_REST1]],
  IF(ESTIMATIVA[[#This Row],[QT_AREA_REAL]]&gt;0,ESTIMATIVA[[#This Row],[QT_AREA_REAL]],ESTIMATIVA[[#This Row],[QT_AREA_EST]]))</f>
        <v>33.65</v>
      </c>
      <c r="Z126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33.65</v>
      </c>
      <c r="AA1265" s="1">
        <f>ESTIMATIVA[[#This Row],[QT_CANA_EST]]</f>
        <v>2355.5</v>
      </c>
      <c r="AB1265" s="1">
        <f>IF(ESTIMATIVA[[#This Row],[QT_CANA_REST1]]&gt;0,ESTIMATIVA[[#This Row],[QT_CANA_REST1]],
  IF(ESTIMATIVA[[#This Row],[QT_CANA_REAL]]&gt;0,ESTIMATIVA[[#This Row],[QT_CANA_REAL]],ESTIMATIVA[[#This Row],[QT_CANA_EST]]))</f>
        <v>2288.1999999999998</v>
      </c>
      <c r="AC126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2321.85</v>
      </c>
      <c r="AD1265" s="1">
        <f>IF(ESTIMATIVA[[#This Row],[QT_AREA_REAL]]&gt;0,ESTIMATIVA[[#This Row],[QT_CANA_REAL]],ESTIMATIVA[[#This Row],[QT_CANA_EST]])</f>
        <v>2222.0300000000002</v>
      </c>
      <c r="AE1265" s="1">
        <f>IF(ESTIMATIVA[[#This Row],[QT_AREA_REAL]]&gt;0,ESTIMATIVA[[#This Row],[QT_CANA_REAL]],ESTIMATIVA[[#This Row],[QT_CANA_REST1]])</f>
        <v>2222.0300000000002</v>
      </c>
      <c r="AF1265" s="1">
        <f>IF(ESTIMATIVA[[#This Row],[QT_AREA_REAL]]&gt;0,ESTIMATIVA[[#This Row],[QT_CANA_REAL]],ESTIMATIVA[[#This Row],[QT_CANA_REST2]])</f>
        <v>2222.0300000000002</v>
      </c>
      <c r="AG1265" s="1" t="str">
        <f>IF(COUNTIFS(GEADA!A:A,VALUE(ESTIMATIVA[[#This Row],[CD_UPNIVEL1]]&amp;TEXT(ESTIMATIVA[[#This Row],[CD_UPNIVEL3]],"0000")))&gt;0,"S","N")</f>
        <v>N</v>
      </c>
      <c r="AH126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65" s="55" t="str">
        <f>IF(ESTIMATIVA[[#This Row],[TP_CULTIVO]]="Irrigado",_xlfn.MAXIFS(IRRIGADO!J:J,IRRIGADO!C:C,ESTIMATIVA[[#This Row],[CD_UPNIVEL1]],IRRIGADO!E:E,ESTIMATIVA[[#This Row],[CD_UPNIVEL3]]),"")</f>
        <v/>
      </c>
      <c r="AJ126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65" s="1">
        <f>COUNTIFS(Apresentação!$E$23:$E$29,ESTIMATIVA[[#This Row],[CD_UPNIVEL1]])</f>
        <v>0</v>
      </c>
    </row>
    <row r="1266" spans="1:37" x14ac:dyDescent="0.3">
      <c r="A1266">
        <v>20535</v>
      </c>
      <c r="B1266" t="s">
        <v>64</v>
      </c>
      <c r="C1266">
        <v>2</v>
      </c>
      <c r="D1266">
        <v>2</v>
      </c>
      <c r="E1266" t="s">
        <v>266</v>
      </c>
      <c r="F1266" s="85" t="s">
        <v>333</v>
      </c>
      <c r="G1266"/>
      <c r="H1266" t="s">
        <v>294</v>
      </c>
      <c r="I1266" t="s">
        <v>195</v>
      </c>
      <c r="J1266" t="s">
        <v>176</v>
      </c>
      <c r="K1266" s="1">
        <v>34.76</v>
      </c>
      <c r="L1266" s="1">
        <v>34.76</v>
      </c>
      <c r="M1266" s="1">
        <v>34.76</v>
      </c>
      <c r="N1266" s="1">
        <v>34.76</v>
      </c>
      <c r="O1266" s="1">
        <v>2433.1999999999998</v>
      </c>
      <c r="P1266" s="1">
        <v>2363.6799999999998</v>
      </c>
      <c r="Q1266" s="1">
        <v>2398.44</v>
      </c>
      <c r="R1266" s="1">
        <v>2294.75</v>
      </c>
      <c r="S1266" t="s">
        <v>12</v>
      </c>
      <c r="T1266" s="13">
        <v>45977</v>
      </c>
      <c r="U1266" s="1" t="str">
        <f>IF(ESTIMATIVA[[#This Row],[QT_AREA_REAL]]&gt;0,"1- Colhido","2- à Colher")</f>
        <v>1- Colhido</v>
      </c>
      <c r="V1266" s="1" t="str">
        <f>IF(ESTIMATIVA[[#This Row],[QT_AREA_REST1]]&gt;0,"Reestimativa 1",IF(ESTIMATIVA[[#This Row],[QT_AREA_REAL]]=0,"Reestimativa 1","Realizado"))</f>
        <v>Reestimativa 1</v>
      </c>
      <c r="W1266" s="1" t="str">
        <f>IF(ESTIMATIVA[[#This Row],[QT_AREA_REST2]]&gt;0,"Reestimativa 2",IF(ESTIMATIVA[[#This Row],[QT_AREA_REAL]]=0,"Reestimativa 2","Realizado"))</f>
        <v>Reestimativa 2</v>
      </c>
      <c r="X1266" s="1">
        <f>ESTIMATIVA[[#This Row],[QT_AREA_EST]]</f>
        <v>34.76</v>
      </c>
      <c r="Y1266" s="1">
        <f>IF(ESTIMATIVA[[#This Row],[QT_AREA_REST1]]&gt;0,ESTIMATIVA[[#This Row],[QT_AREA_REST1]],
  IF(ESTIMATIVA[[#This Row],[QT_AREA_REAL]]&gt;0,ESTIMATIVA[[#This Row],[QT_AREA_REAL]],ESTIMATIVA[[#This Row],[QT_AREA_EST]]))</f>
        <v>34.76</v>
      </c>
      <c r="Z126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34.76</v>
      </c>
      <c r="AA1266" s="1">
        <f>ESTIMATIVA[[#This Row],[QT_CANA_EST]]</f>
        <v>2433.1999999999998</v>
      </c>
      <c r="AB1266" s="1">
        <f>IF(ESTIMATIVA[[#This Row],[QT_CANA_REST1]]&gt;0,ESTIMATIVA[[#This Row],[QT_CANA_REST1]],
  IF(ESTIMATIVA[[#This Row],[QT_CANA_REAL]]&gt;0,ESTIMATIVA[[#This Row],[QT_CANA_REAL]],ESTIMATIVA[[#This Row],[QT_CANA_EST]]))</f>
        <v>2363.6799999999998</v>
      </c>
      <c r="AC126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2398.44</v>
      </c>
      <c r="AD1266" s="1">
        <f>IF(ESTIMATIVA[[#This Row],[QT_AREA_REAL]]&gt;0,ESTIMATIVA[[#This Row],[QT_CANA_REAL]],ESTIMATIVA[[#This Row],[QT_CANA_EST]])</f>
        <v>2294.75</v>
      </c>
      <c r="AE1266" s="1">
        <f>IF(ESTIMATIVA[[#This Row],[QT_AREA_REAL]]&gt;0,ESTIMATIVA[[#This Row],[QT_CANA_REAL]],ESTIMATIVA[[#This Row],[QT_CANA_REST1]])</f>
        <v>2294.75</v>
      </c>
      <c r="AF1266" s="1">
        <f>IF(ESTIMATIVA[[#This Row],[QT_AREA_REAL]]&gt;0,ESTIMATIVA[[#This Row],[QT_CANA_REAL]],ESTIMATIVA[[#This Row],[QT_CANA_REST2]])</f>
        <v>2294.75</v>
      </c>
      <c r="AG1266" s="1" t="str">
        <f>IF(COUNTIFS(GEADA!A:A,VALUE(ESTIMATIVA[[#This Row],[CD_UPNIVEL1]]&amp;TEXT(ESTIMATIVA[[#This Row],[CD_UPNIVEL3]],"0000")))&gt;0,"S","N")</f>
        <v>N</v>
      </c>
      <c r="AH126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66" s="55" t="str">
        <f>IF(ESTIMATIVA[[#This Row],[TP_CULTIVO]]="Irrigado",_xlfn.MAXIFS(IRRIGADO!J:J,IRRIGADO!C:C,ESTIMATIVA[[#This Row],[CD_UPNIVEL1]],IRRIGADO!E:E,ESTIMATIVA[[#This Row],[CD_UPNIVEL3]]),"")</f>
        <v/>
      </c>
      <c r="AJ126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66" s="1">
        <f>COUNTIFS(Apresentação!$E$23:$E$29,ESTIMATIVA[[#This Row],[CD_UPNIVEL1]])</f>
        <v>0</v>
      </c>
    </row>
    <row r="1267" spans="1:37" x14ac:dyDescent="0.3">
      <c r="A1267">
        <v>20535</v>
      </c>
      <c r="B1267" t="s">
        <v>64</v>
      </c>
      <c r="C1267">
        <v>3</v>
      </c>
      <c r="D1267">
        <v>2</v>
      </c>
      <c r="E1267" t="s">
        <v>266</v>
      </c>
      <c r="F1267" s="85" t="s">
        <v>333</v>
      </c>
      <c r="G1267"/>
      <c r="H1267" t="s">
        <v>294</v>
      </c>
      <c r="I1267" t="s">
        <v>195</v>
      </c>
      <c r="J1267" t="s">
        <v>176</v>
      </c>
      <c r="K1267" s="1">
        <v>16.59</v>
      </c>
      <c r="L1267" s="1">
        <v>16.59</v>
      </c>
      <c r="M1267" s="1">
        <v>16.59</v>
      </c>
      <c r="N1267" s="1">
        <v>16.59</v>
      </c>
      <c r="O1267" s="1">
        <v>1327.2</v>
      </c>
      <c r="P1267" s="1">
        <v>1128.1199999999999</v>
      </c>
      <c r="Q1267" s="1">
        <v>1144.71</v>
      </c>
      <c r="R1267" s="1">
        <v>1095.6400000000001</v>
      </c>
      <c r="S1267" t="s">
        <v>12</v>
      </c>
      <c r="T1267" s="13">
        <v>45977</v>
      </c>
      <c r="U1267" s="1" t="str">
        <f>IF(ESTIMATIVA[[#This Row],[QT_AREA_REAL]]&gt;0,"1- Colhido","2- à Colher")</f>
        <v>1- Colhido</v>
      </c>
      <c r="V1267" s="1" t="str">
        <f>IF(ESTIMATIVA[[#This Row],[QT_AREA_REST1]]&gt;0,"Reestimativa 1",IF(ESTIMATIVA[[#This Row],[QT_AREA_REAL]]=0,"Reestimativa 1","Realizado"))</f>
        <v>Reestimativa 1</v>
      </c>
      <c r="W1267" s="1" t="str">
        <f>IF(ESTIMATIVA[[#This Row],[QT_AREA_REST2]]&gt;0,"Reestimativa 2",IF(ESTIMATIVA[[#This Row],[QT_AREA_REAL]]=0,"Reestimativa 2","Realizado"))</f>
        <v>Reestimativa 2</v>
      </c>
      <c r="X1267" s="1">
        <f>ESTIMATIVA[[#This Row],[QT_AREA_EST]]</f>
        <v>16.59</v>
      </c>
      <c r="Y1267" s="1">
        <f>IF(ESTIMATIVA[[#This Row],[QT_AREA_REST1]]&gt;0,ESTIMATIVA[[#This Row],[QT_AREA_REST1]],
  IF(ESTIMATIVA[[#This Row],[QT_AREA_REAL]]&gt;0,ESTIMATIVA[[#This Row],[QT_AREA_REAL]],ESTIMATIVA[[#This Row],[QT_AREA_EST]]))</f>
        <v>16.59</v>
      </c>
      <c r="Z126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16.59</v>
      </c>
      <c r="AA1267" s="1">
        <f>ESTIMATIVA[[#This Row],[QT_CANA_EST]]</f>
        <v>1327.2</v>
      </c>
      <c r="AB1267" s="1">
        <f>IF(ESTIMATIVA[[#This Row],[QT_CANA_REST1]]&gt;0,ESTIMATIVA[[#This Row],[QT_CANA_REST1]],
  IF(ESTIMATIVA[[#This Row],[QT_CANA_REAL]]&gt;0,ESTIMATIVA[[#This Row],[QT_CANA_REAL]],ESTIMATIVA[[#This Row],[QT_CANA_EST]]))</f>
        <v>1128.1199999999999</v>
      </c>
      <c r="AC126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1144.71</v>
      </c>
      <c r="AD1267" s="1">
        <f>IF(ESTIMATIVA[[#This Row],[QT_AREA_REAL]]&gt;0,ESTIMATIVA[[#This Row],[QT_CANA_REAL]],ESTIMATIVA[[#This Row],[QT_CANA_EST]])</f>
        <v>1095.6400000000001</v>
      </c>
      <c r="AE1267" s="1">
        <f>IF(ESTIMATIVA[[#This Row],[QT_AREA_REAL]]&gt;0,ESTIMATIVA[[#This Row],[QT_CANA_REAL]],ESTIMATIVA[[#This Row],[QT_CANA_REST1]])</f>
        <v>1095.6400000000001</v>
      </c>
      <c r="AF1267" s="1">
        <f>IF(ESTIMATIVA[[#This Row],[QT_AREA_REAL]]&gt;0,ESTIMATIVA[[#This Row],[QT_CANA_REAL]],ESTIMATIVA[[#This Row],[QT_CANA_REST2]])</f>
        <v>1095.6400000000001</v>
      </c>
      <c r="AG1267" s="1" t="str">
        <f>IF(COUNTIFS(GEADA!A:A,VALUE(ESTIMATIVA[[#This Row],[CD_UPNIVEL1]]&amp;TEXT(ESTIMATIVA[[#This Row],[CD_UPNIVEL3]],"0000")))&gt;0,"S","N")</f>
        <v>N</v>
      </c>
      <c r="AH126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67" s="55" t="str">
        <f>IF(ESTIMATIVA[[#This Row],[TP_CULTIVO]]="Irrigado",_xlfn.MAXIFS(IRRIGADO!J:J,IRRIGADO!C:C,ESTIMATIVA[[#This Row],[CD_UPNIVEL1]],IRRIGADO!E:E,ESTIMATIVA[[#This Row],[CD_UPNIVEL3]]),"")</f>
        <v/>
      </c>
      <c r="AJ126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67" s="1">
        <f>COUNTIFS(Apresentação!$E$23:$E$29,ESTIMATIVA[[#This Row],[CD_UPNIVEL1]])</f>
        <v>0</v>
      </c>
    </row>
    <row r="1268" spans="1:37" x14ac:dyDescent="0.3">
      <c r="A1268">
        <v>20535</v>
      </c>
      <c r="B1268" t="s">
        <v>64</v>
      </c>
      <c r="C1268">
        <v>4</v>
      </c>
      <c r="D1268">
        <v>2</v>
      </c>
      <c r="E1268" t="s">
        <v>266</v>
      </c>
      <c r="F1268" s="85" t="s">
        <v>333</v>
      </c>
      <c r="G1268"/>
      <c r="H1268" t="s">
        <v>294</v>
      </c>
      <c r="I1268" t="s">
        <v>195</v>
      </c>
      <c r="J1268" t="s">
        <v>176</v>
      </c>
      <c r="K1268" s="1">
        <v>17.079999999999998</v>
      </c>
      <c r="L1268" s="1">
        <v>17.079999999999998</v>
      </c>
      <c r="M1268" s="1">
        <v>17.079999999999998</v>
      </c>
      <c r="N1268" s="1">
        <v>17.079999999999998</v>
      </c>
      <c r="O1268" s="1">
        <v>1366.4</v>
      </c>
      <c r="P1268" s="1">
        <v>1161.44</v>
      </c>
      <c r="Q1268" s="1">
        <v>1178.52</v>
      </c>
      <c r="R1268" s="1">
        <v>1128.18</v>
      </c>
      <c r="S1268" t="s">
        <v>12</v>
      </c>
      <c r="T1268" s="13">
        <v>45977</v>
      </c>
      <c r="U1268" s="1" t="str">
        <f>IF(ESTIMATIVA[[#This Row],[QT_AREA_REAL]]&gt;0,"1- Colhido","2- à Colher")</f>
        <v>1- Colhido</v>
      </c>
      <c r="V1268" s="1" t="str">
        <f>IF(ESTIMATIVA[[#This Row],[QT_AREA_REST1]]&gt;0,"Reestimativa 1",IF(ESTIMATIVA[[#This Row],[QT_AREA_REAL]]=0,"Reestimativa 1","Realizado"))</f>
        <v>Reestimativa 1</v>
      </c>
      <c r="W1268" s="1" t="str">
        <f>IF(ESTIMATIVA[[#This Row],[QT_AREA_REST2]]&gt;0,"Reestimativa 2",IF(ESTIMATIVA[[#This Row],[QT_AREA_REAL]]=0,"Reestimativa 2","Realizado"))</f>
        <v>Reestimativa 2</v>
      </c>
      <c r="X1268" s="1">
        <f>ESTIMATIVA[[#This Row],[QT_AREA_EST]]</f>
        <v>17.079999999999998</v>
      </c>
      <c r="Y1268" s="1">
        <f>IF(ESTIMATIVA[[#This Row],[QT_AREA_REST1]]&gt;0,ESTIMATIVA[[#This Row],[QT_AREA_REST1]],
  IF(ESTIMATIVA[[#This Row],[QT_AREA_REAL]]&gt;0,ESTIMATIVA[[#This Row],[QT_AREA_REAL]],ESTIMATIVA[[#This Row],[QT_AREA_EST]]))</f>
        <v>17.079999999999998</v>
      </c>
      <c r="Z126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17.079999999999998</v>
      </c>
      <c r="AA1268" s="1">
        <f>ESTIMATIVA[[#This Row],[QT_CANA_EST]]</f>
        <v>1366.4</v>
      </c>
      <c r="AB1268" s="1">
        <f>IF(ESTIMATIVA[[#This Row],[QT_CANA_REST1]]&gt;0,ESTIMATIVA[[#This Row],[QT_CANA_REST1]],
  IF(ESTIMATIVA[[#This Row],[QT_CANA_REAL]]&gt;0,ESTIMATIVA[[#This Row],[QT_CANA_REAL]],ESTIMATIVA[[#This Row],[QT_CANA_EST]]))</f>
        <v>1161.44</v>
      </c>
      <c r="AC126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1178.52</v>
      </c>
      <c r="AD1268" s="1">
        <f>IF(ESTIMATIVA[[#This Row],[QT_AREA_REAL]]&gt;0,ESTIMATIVA[[#This Row],[QT_CANA_REAL]],ESTIMATIVA[[#This Row],[QT_CANA_EST]])</f>
        <v>1128.18</v>
      </c>
      <c r="AE1268" s="1">
        <f>IF(ESTIMATIVA[[#This Row],[QT_AREA_REAL]]&gt;0,ESTIMATIVA[[#This Row],[QT_CANA_REAL]],ESTIMATIVA[[#This Row],[QT_CANA_REST1]])</f>
        <v>1128.18</v>
      </c>
      <c r="AF1268" s="1">
        <f>IF(ESTIMATIVA[[#This Row],[QT_AREA_REAL]]&gt;0,ESTIMATIVA[[#This Row],[QT_CANA_REAL]],ESTIMATIVA[[#This Row],[QT_CANA_REST2]])</f>
        <v>1128.18</v>
      </c>
      <c r="AG1268" s="1" t="str">
        <f>IF(COUNTIFS(GEADA!A:A,VALUE(ESTIMATIVA[[#This Row],[CD_UPNIVEL1]]&amp;TEXT(ESTIMATIVA[[#This Row],[CD_UPNIVEL3]],"0000")))&gt;0,"S","N")</f>
        <v>N</v>
      </c>
      <c r="AH126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68" s="55" t="str">
        <f>IF(ESTIMATIVA[[#This Row],[TP_CULTIVO]]="Irrigado",_xlfn.MAXIFS(IRRIGADO!J:J,IRRIGADO!C:C,ESTIMATIVA[[#This Row],[CD_UPNIVEL1]],IRRIGADO!E:E,ESTIMATIVA[[#This Row],[CD_UPNIVEL3]]),"")</f>
        <v/>
      </c>
      <c r="AJ126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68" s="1">
        <f>COUNTIFS(Apresentação!$E$23:$E$29,ESTIMATIVA[[#This Row],[CD_UPNIVEL1]])</f>
        <v>0</v>
      </c>
    </row>
    <row r="1269" spans="1:37" x14ac:dyDescent="0.3">
      <c r="A1269">
        <v>20535</v>
      </c>
      <c r="B1269" t="s">
        <v>64</v>
      </c>
      <c r="C1269">
        <v>5</v>
      </c>
      <c r="D1269">
        <v>2</v>
      </c>
      <c r="E1269" t="s">
        <v>266</v>
      </c>
      <c r="F1269" s="85" t="s">
        <v>333</v>
      </c>
      <c r="G1269"/>
      <c r="H1269" t="s">
        <v>294</v>
      </c>
      <c r="I1269" t="s">
        <v>195</v>
      </c>
      <c r="J1269" t="s">
        <v>176</v>
      </c>
      <c r="K1269" s="1">
        <v>2.11</v>
      </c>
      <c r="L1269" s="1">
        <v>2.11</v>
      </c>
      <c r="M1269" s="1">
        <v>2.11</v>
      </c>
      <c r="N1269" s="1">
        <v>2.11</v>
      </c>
      <c r="O1269" s="1">
        <v>147.69999999999999</v>
      </c>
      <c r="P1269" s="1">
        <v>143.47999999999999</v>
      </c>
      <c r="Q1269" s="1">
        <v>145.59</v>
      </c>
      <c r="R1269" s="1">
        <v>140.16</v>
      </c>
      <c r="S1269" t="s">
        <v>12</v>
      </c>
      <c r="T1269" s="13">
        <v>45977</v>
      </c>
      <c r="U1269" s="1" t="str">
        <f>IF(ESTIMATIVA[[#This Row],[QT_AREA_REAL]]&gt;0,"1- Colhido","2- à Colher")</f>
        <v>1- Colhido</v>
      </c>
      <c r="V1269" s="1" t="str">
        <f>IF(ESTIMATIVA[[#This Row],[QT_AREA_REST1]]&gt;0,"Reestimativa 1",IF(ESTIMATIVA[[#This Row],[QT_AREA_REAL]]=0,"Reestimativa 1","Realizado"))</f>
        <v>Reestimativa 1</v>
      </c>
      <c r="W1269" s="1" t="str">
        <f>IF(ESTIMATIVA[[#This Row],[QT_AREA_REST2]]&gt;0,"Reestimativa 2",IF(ESTIMATIVA[[#This Row],[QT_AREA_REAL]]=0,"Reestimativa 2","Realizado"))</f>
        <v>Reestimativa 2</v>
      </c>
      <c r="X1269" s="1">
        <f>ESTIMATIVA[[#This Row],[QT_AREA_EST]]</f>
        <v>2.11</v>
      </c>
      <c r="Y1269" s="1">
        <f>IF(ESTIMATIVA[[#This Row],[QT_AREA_REST1]]&gt;0,ESTIMATIVA[[#This Row],[QT_AREA_REST1]],
  IF(ESTIMATIVA[[#This Row],[QT_AREA_REAL]]&gt;0,ESTIMATIVA[[#This Row],[QT_AREA_REAL]],ESTIMATIVA[[#This Row],[QT_AREA_EST]]))</f>
        <v>2.11</v>
      </c>
      <c r="Z126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2.11</v>
      </c>
      <c r="AA1269" s="1">
        <f>ESTIMATIVA[[#This Row],[QT_CANA_EST]]</f>
        <v>147.69999999999999</v>
      </c>
      <c r="AB1269" s="1">
        <f>IF(ESTIMATIVA[[#This Row],[QT_CANA_REST1]]&gt;0,ESTIMATIVA[[#This Row],[QT_CANA_REST1]],
  IF(ESTIMATIVA[[#This Row],[QT_CANA_REAL]]&gt;0,ESTIMATIVA[[#This Row],[QT_CANA_REAL]],ESTIMATIVA[[#This Row],[QT_CANA_EST]]))</f>
        <v>143.47999999999999</v>
      </c>
      <c r="AC126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145.59</v>
      </c>
      <c r="AD1269" s="1">
        <f>IF(ESTIMATIVA[[#This Row],[QT_AREA_REAL]]&gt;0,ESTIMATIVA[[#This Row],[QT_CANA_REAL]],ESTIMATIVA[[#This Row],[QT_CANA_EST]])</f>
        <v>140.16</v>
      </c>
      <c r="AE1269" s="1">
        <f>IF(ESTIMATIVA[[#This Row],[QT_AREA_REAL]]&gt;0,ESTIMATIVA[[#This Row],[QT_CANA_REAL]],ESTIMATIVA[[#This Row],[QT_CANA_REST1]])</f>
        <v>140.16</v>
      </c>
      <c r="AF1269" s="1">
        <f>IF(ESTIMATIVA[[#This Row],[QT_AREA_REAL]]&gt;0,ESTIMATIVA[[#This Row],[QT_CANA_REAL]],ESTIMATIVA[[#This Row],[QT_CANA_REST2]])</f>
        <v>140.16</v>
      </c>
      <c r="AG1269" s="1" t="str">
        <f>IF(COUNTIFS(GEADA!A:A,VALUE(ESTIMATIVA[[#This Row],[CD_UPNIVEL1]]&amp;TEXT(ESTIMATIVA[[#This Row],[CD_UPNIVEL3]],"0000")))&gt;0,"S","N")</f>
        <v>N</v>
      </c>
      <c r="AH126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69" s="55" t="str">
        <f>IF(ESTIMATIVA[[#This Row],[TP_CULTIVO]]="Irrigado",_xlfn.MAXIFS(IRRIGADO!J:J,IRRIGADO!C:C,ESTIMATIVA[[#This Row],[CD_UPNIVEL1]],IRRIGADO!E:E,ESTIMATIVA[[#This Row],[CD_UPNIVEL3]]),"")</f>
        <v/>
      </c>
      <c r="AJ126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69" s="1">
        <f>COUNTIFS(Apresentação!$E$23:$E$29,ESTIMATIVA[[#This Row],[CD_UPNIVEL1]])</f>
        <v>0</v>
      </c>
    </row>
    <row r="1270" spans="1:37" x14ac:dyDescent="0.3">
      <c r="A1270">
        <v>20538</v>
      </c>
      <c r="B1270" t="s">
        <v>72</v>
      </c>
      <c r="C1270">
        <v>1</v>
      </c>
      <c r="D1270">
        <v>1</v>
      </c>
      <c r="E1270" t="s">
        <v>264</v>
      </c>
      <c r="F1270" s="85" t="s">
        <v>331</v>
      </c>
      <c r="G1270"/>
      <c r="H1270" t="s">
        <v>294</v>
      </c>
      <c r="I1270" t="s">
        <v>200</v>
      </c>
      <c r="J1270" t="s">
        <v>176</v>
      </c>
      <c r="K1270" s="1">
        <v>7.78</v>
      </c>
      <c r="L1270" s="1">
        <v>0</v>
      </c>
      <c r="M1270" s="1">
        <v>0</v>
      </c>
      <c r="N1270" s="1">
        <v>7.78</v>
      </c>
      <c r="O1270" s="1">
        <v>902.48</v>
      </c>
      <c r="P1270" s="1">
        <v>0</v>
      </c>
      <c r="Q1270" s="1">
        <v>0</v>
      </c>
      <c r="R1270" s="1">
        <v>861.86</v>
      </c>
      <c r="S1270" t="s">
        <v>12</v>
      </c>
      <c r="T1270" s="13">
        <v>45753</v>
      </c>
      <c r="U1270" s="1" t="str">
        <f>IF(ESTIMATIVA[[#This Row],[QT_AREA_REAL]]&gt;0,"1- Colhido","2- à Colher")</f>
        <v>1- Colhido</v>
      </c>
      <c r="V1270" s="1" t="str">
        <f>IF(ESTIMATIVA[[#This Row],[QT_AREA_REST1]]&gt;0,"Reestimativa 1",IF(ESTIMATIVA[[#This Row],[QT_AREA_REAL]]=0,"Reestimativa 1","Realizado"))</f>
        <v>Realizado</v>
      </c>
      <c r="W1270" s="1" t="str">
        <f>IF(ESTIMATIVA[[#This Row],[QT_AREA_REST2]]&gt;0,"Reestimativa 2",IF(ESTIMATIVA[[#This Row],[QT_AREA_REAL]]=0,"Reestimativa 2","Realizado"))</f>
        <v>Realizado</v>
      </c>
      <c r="X1270" s="1">
        <f>ESTIMATIVA[[#This Row],[QT_AREA_EST]]</f>
        <v>7.78</v>
      </c>
      <c r="Y1270" s="1">
        <f>IF(ESTIMATIVA[[#This Row],[QT_AREA_REST1]]&gt;0,ESTIMATIVA[[#This Row],[QT_AREA_REST1]],
  IF(ESTIMATIVA[[#This Row],[QT_AREA_REAL]]&gt;0,ESTIMATIVA[[#This Row],[QT_AREA_REAL]],ESTIMATIVA[[#This Row],[QT_AREA_EST]]))</f>
        <v>7.78</v>
      </c>
      <c r="Z127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7.78</v>
      </c>
      <c r="AA1270" s="1">
        <f>ESTIMATIVA[[#This Row],[QT_CANA_EST]]</f>
        <v>902.48</v>
      </c>
      <c r="AB1270" s="1">
        <f>IF(ESTIMATIVA[[#This Row],[QT_CANA_REST1]]&gt;0,ESTIMATIVA[[#This Row],[QT_CANA_REST1]],
  IF(ESTIMATIVA[[#This Row],[QT_CANA_REAL]]&gt;0,ESTIMATIVA[[#This Row],[QT_CANA_REAL]],ESTIMATIVA[[#This Row],[QT_CANA_EST]]))</f>
        <v>861.86</v>
      </c>
      <c r="AC127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861.86</v>
      </c>
      <c r="AD1270" s="1">
        <f>IF(ESTIMATIVA[[#This Row],[QT_AREA_REAL]]&gt;0,ESTIMATIVA[[#This Row],[QT_CANA_REAL]],ESTIMATIVA[[#This Row],[QT_CANA_EST]])</f>
        <v>861.86</v>
      </c>
      <c r="AE1270" s="1">
        <f>IF(ESTIMATIVA[[#This Row],[QT_AREA_REAL]]&gt;0,ESTIMATIVA[[#This Row],[QT_CANA_REAL]],ESTIMATIVA[[#This Row],[QT_CANA_REST1]])</f>
        <v>861.86</v>
      </c>
      <c r="AF1270" s="1">
        <f>IF(ESTIMATIVA[[#This Row],[QT_AREA_REAL]]&gt;0,ESTIMATIVA[[#This Row],[QT_CANA_REAL]],ESTIMATIVA[[#This Row],[QT_CANA_REST2]])</f>
        <v>861.86</v>
      </c>
      <c r="AG1270" s="1" t="str">
        <f>IF(COUNTIFS(GEADA!A:A,VALUE(ESTIMATIVA[[#This Row],[CD_UPNIVEL1]]&amp;TEXT(ESTIMATIVA[[#This Row],[CD_UPNIVEL3]],"0000")))&gt;0,"S","N")</f>
        <v>N</v>
      </c>
      <c r="AH127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70" s="55" t="str">
        <f>IF(ESTIMATIVA[[#This Row],[TP_CULTIVO]]="Irrigado",_xlfn.MAXIFS(IRRIGADO!J:J,IRRIGADO!C:C,ESTIMATIVA[[#This Row],[CD_UPNIVEL1]],IRRIGADO!E:E,ESTIMATIVA[[#This Row],[CD_UPNIVEL3]]),"")</f>
        <v/>
      </c>
      <c r="AJ127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70" s="1">
        <f>COUNTIFS(Apresentação!$E$23:$E$29,ESTIMATIVA[[#This Row],[CD_UPNIVEL1]])</f>
        <v>0</v>
      </c>
    </row>
    <row r="1271" spans="1:37" x14ac:dyDescent="0.3">
      <c r="A1271">
        <v>20538</v>
      </c>
      <c r="B1271" t="s">
        <v>72</v>
      </c>
      <c r="C1271">
        <v>2</v>
      </c>
      <c r="D1271">
        <v>1</v>
      </c>
      <c r="E1271" t="s">
        <v>264</v>
      </c>
      <c r="F1271" s="85" t="s">
        <v>332</v>
      </c>
      <c r="G1271"/>
      <c r="H1271" t="s">
        <v>294</v>
      </c>
      <c r="I1271" t="s">
        <v>200</v>
      </c>
      <c r="J1271" t="s">
        <v>176</v>
      </c>
      <c r="K1271" s="1">
        <v>10.9</v>
      </c>
      <c r="L1271" s="1">
        <v>0</v>
      </c>
      <c r="M1271" s="1">
        <v>0</v>
      </c>
      <c r="N1271" s="1">
        <v>10.9</v>
      </c>
      <c r="O1271" s="1">
        <v>1242.5999999999999</v>
      </c>
      <c r="P1271" s="1">
        <v>0</v>
      </c>
      <c r="Q1271" s="1">
        <v>0</v>
      </c>
      <c r="R1271" s="1">
        <v>1407.36</v>
      </c>
      <c r="S1271" t="s">
        <v>12</v>
      </c>
      <c r="T1271" s="13">
        <v>45753</v>
      </c>
      <c r="U1271" s="1" t="str">
        <f>IF(ESTIMATIVA[[#This Row],[QT_AREA_REAL]]&gt;0,"1- Colhido","2- à Colher")</f>
        <v>1- Colhido</v>
      </c>
      <c r="V1271" s="1" t="str">
        <f>IF(ESTIMATIVA[[#This Row],[QT_AREA_REST1]]&gt;0,"Reestimativa 1",IF(ESTIMATIVA[[#This Row],[QT_AREA_REAL]]=0,"Reestimativa 1","Realizado"))</f>
        <v>Realizado</v>
      </c>
      <c r="W1271" s="1" t="str">
        <f>IF(ESTIMATIVA[[#This Row],[QT_AREA_REST2]]&gt;0,"Reestimativa 2",IF(ESTIMATIVA[[#This Row],[QT_AREA_REAL]]=0,"Reestimativa 2","Realizado"))</f>
        <v>Realizado</v>
      </c>
      <c r="X1271" s="1">
        <f>ESTIMATIVA[[#This Row],[QT_AREA_EST]]</f>
        <v>10.9</v>
      </c>
      <c r="Y1271" s="1">
        <f>IF(ESTIMATIVA[[#This Row],[QT_AREA_REST1]]&gt;0,ESTIMATIVA[[#This Row],[QT_AREA_REST1]],
  IF(ESTIMATIVA[[#This Row],[QT_AREA_REAL]]&gt;0,ESTIMATIVA[[#This Row],[QT_AREA_REAL]],ESTIMATIVA[[#This Row],[QT_AREA_EST]]))</f>
        <v>10.9</v>
      </c>
      <c r="Z127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10.9</v>
      </c>
      <c r="AA1271" s="1">
        <f>ESTIMATIVA[[#This Row],[QT_CANA_EST]]</f>
        <v>1242.5999999999999</v>
      </c>
      <c r="AB1271" s="1">
        <f>IF(ESTIMATIVA[[#This Row],[QT_CANA_REST1]]&gt;0,ESTIMATIVA[[#This Row],[QT_CANA_REST1]],
  IF(ESTIMATIVA[[#This Row],[QT_CANA_REAL]]&gt;0,ESTIMATIVA[[#This Row],[QT_CANA_REAL]],ESTIMATIVA[[#This Row],[QT_CANA_EST]]))</f>
        <v>1407.36</v>
      </c>
      <c r="AC127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1407.36</v>
      </c>
      <c r="AD1271" s="1">
        <f>IF(ESTIMATIVA[[#This Row],[QT_AREA_REAL]]&gt;0,ESTIMATIVA[[#This Row],[QT_CANA_REAL]],ESTIMATIVA[[#This Row],[QT_CANA_EST]])</f>
        <v>1407.36</v>
      </c>
      <c r="AE1271" s="1">
        <f>IF(ESTIMATIVA[[#This Row],[QT_AREA_REAL]]&gt;0,ESTIMATIVA[[#This Row],[QT_CANA_REAL]],ESTIMATIVA[[#This Row],[QT_CANA_REST1]])</f>
        <v>1407.36</v>
      </c>
      <c r="AF1271" s="1">
        <f>IF(ESTIMATIVA[[#This Row],[QT_AREA_REAL]]&gt;0,ESTIMATIVA[[#This Row],[QT_CANA_REAL]],ESTIMATIVA[[#This Row],[QT_CANA_REST2]])</f>
        <v>1407.36</v>
      </c>
      <c r="AG1271" s="1" t="str">
        <f>IF(COUNTIFS(GEADA!A:A,VALUE(ESTIMATIVA[[#This Row],[CD_UPNIVEL1]]&amp;TEXT(ESTIMATIVA[[#This Row],[CD_UPNIVEL3]],"0000")))&gt;0,"S","N")</f>
        <v>N</v>
      </c>
      <c r="AH127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71" s="55" t="str">
        <f>IF(ESTIMATIVA[[#This Row],[TP_CULTIVO]]="Irrigado",_xlfn.MAXIFS(IRRIGADO!J:J,IRRIGADO!C:C,ESTIMATIVA[[#This Row],[CD_UPNIVEL1]],IRRIGADO!E:E,ESTIMATIVA[[#This Row],[CD_UPNIVEL3]]),"")</f>
        <v/>
      </c>
      <c r="AJ127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71" s="1">
        <f>COUNTIFS(Apresentação!$E$23:$E$29,ESTIMATIVA[[#This Row],[CD_UPNIVEL1]])</f>
        <v>0</v>
      </c>
    </row>
    <row r="1272" spans="1:37" x14ac:dyDescent="0.3">
      <c r="A1272">
        <v>20538</v>
      </c>
      <c r="B1272" t="s">
        <v>72</v>
      </c>
      <c r="C1272">
        <v>3</v>
      </c>
      <c r="D1272">
        <v>1</v>
      </c>
      <c r="E1272" t="s">
        <v>264</v>
      </c>
      <c r="F1272" s="85" t="s">
        <v>333</v>
      </c>
      <c r="G1272"/>
      <c r="H1272" t="s">
        <v>294</v>
      </c>
      <c r="I1272" t="s">
        <v>200</v>
      </c>
      <c r="J1272" t="s">
        <v>176</v>
      </c>
      <c r="K1272" s="1">
        <v>11.41</v>
      </c>
      <c r="L1272" s="1">
        <v>0</v>
      </c>
      <c r="M1272" s="1">
        <v>0</v>
      </c>
      <c r="N1272" s="1">
        <v>11.41</v>
      </c>
      <c r="O1272" s="1">
        <v>1369.2</v>
      </c>
      <c r="P1272" s="1">
        <v>0</v>
      </c>
      <c r="Q1272" s="1">
        <v>0</v>
      </c>
      <c r="R1272" s="1">
        <v>1550.12</v>
      </c>
      <c r="S1272" t="s">
        <v>12</v>
      </c>
      <c r="T1272" s="13">
        <v>45753</v>
      </c>
      <c r="U1272" s="1" t="str">
        <f>IF(ESTIMATIVA[[#This Row],[QT_AREA_REAL]]&gt;0,"1- Colhido","2- à Colher")</f>
        <v>1- Colhido</v>
      </c>
      <c r="V1272" s="1" t="str">
        <f>IF(ESTIMATIVA[[#This Row],[QT_AREA_REST1]]&gt;0,"Reestimativa 1",IF(ESTIMATIVA[[#This Row],[QT_AREA_REAL]]=0,"Reestimativa 1","Realizado"))</f>
        <v>Realizado</v>
      </c>
      <c r="W1272" s="1" t="str">
        <f>IF(ESTIMATIVA[[#This Row],[QT_AREA_REST2]]&gt;0,"Reestimativa 2",IF(ESTIMATIVA[[#This Row],[QT_AREA_REAL]]=0,"Reestimativa 2","Realizado"))</f>
        <v>Realizado</v>
      </c>
      <c r="X1272" s="1">
        <f>ESTIMATIVA[[#This Row],[QT_AREA_EST]]</f>
        <v>11.41</v>
      </c>
      <c r="Y1272" s="1">
        <f>IF(ESTIMATIVA[[#This Row],[QT_AREA_REST1]]&gt;0,ESTIMATIVA[[#This Row],[QT_AREA_REST1]],
  IF(ESTIMATIVA[[#This Row],[QT_AREA_REAL]]&gt;0,ESTIMATIVA[[#This Row],[QT_AREA_REAL]],ESTIMATIVA[[#This Row],[QT_AREA_EST]]))</f>
        <v>11.41</v>
      </c>
      <c r="Z127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11.41</v>
      </c>
      <c r="AA1272" s="1">
        <f>ESTIMATIVA[[#This Row],[QT_CANA_EST]]</f>
        <v>1369.2</v>
      </c>
      <c r="AB1272" s="1">
        <f>IF(ESTIMATIVA[[#This Row],[QT_CANA_REST1]]&gt;0,ESTIMATIVA[[#This Row],[QT_CANA_REST1]],
  IF(ESTIMATIVA[[#This Row],[QT_CANA_REAL]]&gt;0,ESTIMATIVA[[#This Row],[QT_CANA_REAL]],ESTIMATIVA[[#This Row],[QT_CANA_EST]]))</f>
        <v>1550.12</v>
      </c>
      <c r="AC127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1550.12</v>
      </c>
      <c r="AD1272" s="1">
        <f>IF(ESTIMATIVA[[#This Row],[QT_AREA_REAL]]&gt;0,ESTIMATIVA[[#This Row],[QT_CANA_REAL]],ESTIMATIVA[[#This Row],[QT_CANA_EST]])</f>
        <v>1550.12</v>
      </c>
      <c r="AE1272" s="1">
        <f>IF(ESTIMATIVA[[#This Row],[QT_AREA_REAL]]&gt;0,ESTIMATIVA[[#This Row],[QT_CANA_REAL]],ESTIMATIVA[[#This Row],[QT_CANA_REST1]])</f>
        <v>1550.12</v>
      </c>
      <c r="AF1272" s="1">
        <f>IF(ESTIMATIVA[[#This Row],[QT_AREA_REAL]]&gt;0,ESTIMATIVA[[#This Row],[QT_CANA_REAL]],ESTIMATIVA[[#This Row],[QT_CANA_REST2]])</f>
        <v>1550.12</v>
      </c>
      <c r="AG1272" s="1" t="str">
        <f>IF(COUNTIFS(GEADA!A:A,VALUE(ESTIMATIVA[[#This Row],[CD_UPNIVEL1]]&amp;TEXT(ESTIMATIVA[[#This Row],[CD_UPNIVEL3]],"0000")))&gt;0,"S","N")</f>
        <v>N</v>
      </c>
      <c r="AH127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72" s="55" t="str">
        <f>IF(ESTIMATIVA[[#This Row],[TP_CULTIVO]]="Irrigado",_xlfn.MAXIFS(IRRIGADO!J:J,IRRIGADO!C:C,ESTIMATIVA[[#This Row],[CD_UPNIVEL1]],IRRIGADO!E:E,ESTIMATIVA[[#This Row],[CD_UPNIVEL3]]),"")</f>
        <v/>
      </c>
      <c r="AJ127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72" s="1">
        <f>COUNTIFS(Apresentação!$E$23:$E$29,ESTIMATIVA[[#This Row],[CD_UPNIVEL1]])</f>
        <v>0</v>
      </c>
    </row>
    <row r="1273" spans="1:37" x14ac:dyDescent="0.3">
      <c r="A1273">
        <v>20540</v>
      </c>
      <c r="B1273" t="s">
        <v>73</v>
      </c>
      <c r="C1273">
        <v>1</v>
      </c>
      <c r="D1273">
        <v>3</v>
      </c>
      <c r="E1273" t="s">
        <v>263</v>
      </c>
      <c r="F1273" s="85" t="s">
        <v>331</v>
      </c>
      <c r="G1273"/>
      <c r="H1273" t="s">
        <v>294</v>
      </c>
      <c r="I1273" t="s">
        <v>207</v>
      </c>
      <c r="J1273" t="s">
        <v>176</v>
      </c>
      <c r="K1273" s="1">
        <v>10.31</v>
      </c>
      <c r="L1273" s="1">
        <v>0</v>
      </c>
      <c r="M1273" s="1">
        <v>0</v>
      </c>
      <c r="N1273" s="1">
        <v>10.31</v>
      </c>
      <c r="O1273" s="1">
        <v>773.25</v>
      </c>
      <c r="P1273" s="1">
        <v>0</v>
      </c>
      <c r="Q1273" s="1">
        <v>0</v>
      </c>
      <c r="R1273" s="1">
        <v>645.51</v>
      </c>
      <c r="S1273" t="s">
        <v>12</v>
      </c>
      <c r="T1273" s="13">
        <v>45851</v>
      </c>
      <c r="U1273" s="1" t="str">
        <f>IF(ESTIMATIVA[[#This Row],[QT_AREA_REAL]]&gt;0,"1- Colhido","2- à Colher")</f>
        <v>1- Colhido</v>
      </c>
      <c r="V1273" s="1" t="str">
        <f>IF(ESTIMATIVA[[#This Row],[QT_AREA_REST1]]&gt;0,"Reestimativa 1",IF(ESTIMATIVA[[#This Row],[QT_AREA_REAL]]=0,"Reestimativa 1","Realizado"))</f>
        <v>Realizado</v>
      </c>
      <c r="W1273" s="1" t="str">
        <f>IF(ESTIMATIVA[[#This Row],[QT_AREA_REST2]]&gt;0,"Reestimativa 2",IF(ESTIMATIVA[[#This Row],[QT_AREA_REAL]]=0,"Reestimativa 2","Realizado"))</f>
        <v>Realizado</v>
      </c>
      <c r="X1273" s="1">
        <f>ESTIMATIVA[[#This Row],[QT_AREA_EST]]</f>
        <v>10.31</v>
      </c>
      <c r="Y1273" s="1">
        <f>IF(ESTIMATIVA[[#This Row],[QT_AREA_REST1]]&gt;0,ESTIMATIVA[[#This Row],[QT_AREA_REST1]],
  IF(ESTIMATIVA[[#This Row],[QT_AREA_REAL]]&gt;0,ESTIMATIVA[[#This Row],[QT_AREA_REAL]],ESTIMATIVA[[#This Row],[QT_AREA_EST]]))</f>
        <v>10.31</v>
      </c>
      <c r="Z127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10.31</v>
      </c>
      <c r="AA1273" s="1">
        <f>ESTIMATIVA[[#This Row],[QT_CANA_EST]]</f>
        <v>773.25</v>
      </c>
      <c r="AB1273" s="1">
        <f>IF(ESTIMATIVA[[#This Row],[QT_CANA_REST1]]&gt;0,ESTIMATIVA[[#This Row],[QT_CANA_REST1]],
  IF(ESTIMATIVA[[#This Row],[QT_CANA_REAL]]&gt;0,ESTIMATIVA[[#This Row],[QT_CANA_REAL]],ESTIMATIVA[[#This Row],[QT_CANA_EST]]))</f>
        <v>645.51</v>
      </c>
      <c r="AC127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645.51</v>
      </c>
      <c r="AD1273" s="1">
        <f>IF(ESTIMATIVA[[#This Row],[QT_AREA_REAL]]&gt;0,ESTIMATIVA[[#This Row],[QT_CANA_REAL]],ESTIMATIVA[[#This Row],[QT_CANA_EST]])</f>
        <v>645.51</v>
      </c>
      <c r="AE1273" s="1">
        <f>IF(ESTIMATIVA[[#This Row],[QT_AREA_REAL]]&gt;0,ESTIMATIVA[[#This Row],[QT_CANA_REAL]],ESTIMATIVA[[#This Row],[QT_CANA_REST1]])</f>
        <v>645.51</v>
      </c>
      <c r="AF1273" s="1">
        <f>IF(ESTIMATIVA[[#This Row],[QT_AREA_REAL]]&gt;0,ESTIMATIVA[[#This Row],[QT_CANA_REAL]],ESTIMATIVA[[#This Row],[QT_CANA_REST2]])</f>
        <v>645.51</v>
      </c>
      <c r="AG1273" s="1" t="str">
        <f>IF(COUNTIFS(GEADA!A:A,VALUE(ESTIMATIVA[[#This Row],[CD_UPNIVEL1]]&amp;TEXT(ESTIMATIVA[[#This Row],[CD_UPNIVEL3]],"0000")))&gt;0,"S","N")</f>
        <v>N</v>
      </c>
      <c r="AH127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73" s="55" t="str">
        <f>IF(ESTIMATIVA[[#This Row],[TP_CULTIVO]]="Irrigado",_xlfn.MAXIFS(IRRIGADO!J:J,IRRIGADO!C:C,ESTIMATIVA[[#This Row],[CD_UPNIVEL1]],IRRIGADO!E:E,ESTIMATIVA[[#This Row],[CD_UPNIVEL3]]),"")</f>
        <v/>
      </c>
      <c r="AJ127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73" s="1">
        <f>COUNTIFS(Apresentação!$E$23:$E$29,ESTIMATIVA[[#This Row],[CD_UPNIVEL1]])</f>
        <v>0</v>
      </c>
    </row>
    <row r="1274" spans="1:37" x14ac:dyDescent="0.3">
      <c r="A1274">
        <v>20540</v>
      </c>
      <c r="B1274" t="s">
        <v>73</v>
      </c>
      <c r="C1274">
        <v>2</v>
      </c>
      <c r="D1274">
        <v>3</v>
      </c>
      <c r="E1274" t="s">
        <v>263</v>
      </c>
      <c r="F1274" s="85" t="s">
        <v>331</v>
      </c>
      <c r="G1274"/>
      <c r="H1274" t="s">
        <v>294</v>
      </c>
      <c r="I1274" t="s">
        <v>207</v>
      </c>
      <c r="J1274" t="s">
        <v>176</v>
      </c>
      <c r="K1274" s="1">
        <v>11.53</v>
      </c>
      <c r="L1274" s="1">
        <v>0</v>
      </c>
      <c r="M1274" s="1">
        <v>0</v>
      </c>
      <c r="N1274" s="1">
        <v>11.53</v>
      </c>
      <c r="O1274" s="1">
        <v>864.75</v>
      </c>
      <c r="P1274" s="1">
        <v>0</v>
      </c>
      <c r="Q1274" s="1">
        <v>0</v>
      </c>
      <c r="R1274" s="1">
        <v>722.37</v>
      </c>
      <c r="S1274" t="s">
        <v>12</v>
      </c>
      <c r="T1274" s="13">
        <v>45851</v>
      </c>
      <c r="U1274" s="1" t="str">
        <f>IF(ESTIMATIVA[[#This Row],[QT_AREA_REAL]]&gt;0,"1- Colhido","2- à Colher")</f>
        <v>1- Colhido</v>
      </c>
      <c r="V1274" s="1" t="str">
        <f>IF(ESTIMATIVA[[#This Row],[QT_AREA_REST1]]&gt;0,"Reestimativa 1",IF(ESTIMATIVA[[#This Row],[QT_AREA_REAL]]=0,"Reestimativa 1","Realizado"))</f>
        <v>Realizado</v>
      </c>
      <c r="W1274" s="1" t="str">
        <f>IF(ESTIMATIVA[[#This Row],[QT_AREA_REST2]]&gt;0,"Reestimativa 2",IF(ESTIMATIVA[[#This Row],[QT_AREA_REAL]]=0,"Reestimativa 2","Realizado"))</f>
        <v>Realizado</v>
      </c>
      <c r="X1274" s="1">
        <f>ESTIMATIVA[[#This Row],[QT_AREA_EST]]</f>
        <v>11.53</v>
      </c>
      <c r="Y1274" s="1">
        <f>IF(ESTIMATIVA[[#This Row],[QT_AREA_REST1]]&gt;0,ESTIMATIVA[[#This Row],[QT_AREA_REST1]],
  IF(ESTIMATIVA[[#This Row],[QT_AREA_REAL]]&gt;0,ESTIMATIVA[[#This Row],[QT_AREA_REAL]],ESTIMATIVA[[#This Row],[QT_AREA_EST]]))</f>
        <v>11.53</v>
      </c>
      <c r="Z127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11.53</v>
      </c>
      <c r="AA1274" s="1">
        <f>ESTIMATIVA[[#This Row],[QT_CANA_EST]]</f>
        <v>864.75</v>
      </c>
      <c r="AB1274" s="1">
        <f>IF(ESTIMATIVA[[#This Row],[QT_CANA_REST1]]&gt;0,ESTIMATIVA[[#This Row],[QT_CANA_REST1]],
  IF(ESTIMATIVA[[#This Row],[QT_CANA_REAL]]&gt;0,ESTIMATIVA[[#This Row],[QT_CANA_REAL]],ESTIMATIVA[[#This Row],[QT_CANA_EST]]))</f>
        <v>722.37</v>
      </c>
      <c r="AC127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722.37</v>
      </c>
      <c r="AD1274" s="1">
        <f>IF(ESTIMATIVA[[#This Row],[QT_AREA_REAL]]&gt;0,ESTIMATIVA[[#This Row],[QT_CANA_REAL]],ESTIMATIVA[[#This Row],[QT_CANA_EST]])</f>
        <v>722.37</v>
      </c>
      <c r="AE1274" s="1">
        <f>IF(ESTIMATIVA[[#This Row],[QT_AREA_REAL]]&gt;0,ESTIMATIVA[[#This Row],[QT_CANA_REAL]],ESTIMATIVA[[#This Row],[QT_CANA_REST1]])</f>
        <v>722.37</v>
      </c>
      <c r="AF1274" s="1">
        <f>IF(ESTIMATIVA[[#This Row],[QT_AREA_REAL]]&gt;0,ESTIMATIVA[[#This Row],[QT_CANA_REAL]],ESTIMATIVA[[#This Row],[QT_CANA_REST2]])</f>
        <v>722.37</v>
      </c>
      <c r="AG1274" s="1" t="str">
        <f>IF(COUNTIFS(GEADA!A:A,VALUE(ESTIMATIVA[[#This Row],[CD_UPNIVEL1]]&amp;TEXT(ESTIMATIVA[[#This Row],[CD_UPNIVEL3]],"0000")))&gt;0,"S","N")</f>
        <v>N</v>
      </c>
      <c r="AH127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74" s="55" t="str">
        <f>IF(ESTIMATIVA[[#This Row],[TP_CULTIVO]]="Irrigado",_xlfn.MAXIFS(IRRIGADO!J:J,IRRIGADO!C:C,ESTIMATIVA[[#This Row],[CD_UPNIVEL1]],IRRIGADO!E:E,ESTIMATIVA[[#This Row],[CD_UPNIVEL3]]),"")</f>
        <v/>
      </c>
      <c r="AJ127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74" s="1">
        <f>COUNTIFS(Apresentação!$E$23:$E$29,ESTIMATIVA[[#This Row],[CD_UPNIVEL1]])</f>
        <v>0</v>
      </c>
    </row>
    <row r="1275" spans="1:37" x14ac:dyDescent="0.3">
      <c r="A1275">
        <v>20540</v>
      </c>
      <c r="B1275" t="s">
        <v>73</v>
      </c>
      <c r="C1275">
        <v>3</v>
      </c>
      <c r="D1275">
        <v>3</v>
      </c>
      <c r="E1275" t="s">
        <v>263</v>
      </c>
      <c r="F1275" s="85" t="s">
        <v>331</v>
      </c>
      <c r="G1275"/>
      <c r="H1275" t="s">
        <v>294</v>
      </c>
      <c r="I1275" t="s">
        <v>207</v>
      </c>
      <c r="J1275" t="s">
        <v>176</v>
      </c>
      <c r="K1275" s="1">
        <v>12.8</v>
      </c>
      <c r="L1275" s="1">
        <v>12.8</v>
      </c>
      <c r="M1275" s="1">
        <v>0</v>
      </c>
      <c r="N1275" s="1">
        <v>12.8</v>
      </c>
      <c r="O1275" s="1">
        <v>960</v>
      </c>
      <c r="P1275" s="1">
        <v>1024</v>
      </c>
      <c r="Q1275" s="1">
        <v>0</v>
      </c>
      <c r="R1275" s="1">
        <v>934.33</v>
      </c>
      <c r="S1275" t="s">
        <v>12</v>
      </c>
      <c r="T1275" s="13">
        <v>45865</v>
      </c>
      <c r="U1275" s="1" t="str">
        <f>IF(ESTIMATIVA[[#This Row],[QT_AREA_REAL]]&gt;0,"1- Colhido","2- à Colher")</f>
        <v>1- Colhido</v>
      </c>
      <c r="V1275" s="1" t="str">
        <f>IF(ESTIMATIVA[[#This Row],[QT_AREA_REST1]]&gt;0,"Reestimativa 1",IF(ESTIMATIVA[[#This Row],[QT_AREA_REAL]]=0,"Reestimativa 1","Realizado"))</f>
        <v>Reestimativa 1</v>
      </c>
      <c r="W1275" s="1" t="str">
        <f>IF(ESTIMATIVA[[#This Row],[QT_AREA_REST2]]&gt;0,"Reestimativa 2",IF(ESTIMATIVA[[#This Row],[QT_AREA_REAL]]=0,"Reestimativa 2","Realizado"))</f>
        <v>Realizado</v>
      </c>
      <c r="X1275" s="1">
        <f>ESTIMATIVA[[#This Row],[QT_AREA_EST]]</f>
        <v>12.8</v>
      </c>
      <c r="Y1275" s="1">
        <f>IF(ESTIMATIVA[[#This Row],[QT_AREA_REST1]]&gt;0,ESTIMATIVA[[#This Row],[QT_AREA_REST1]],
  IF(ESTIMATIVA[[#This Row],[QT_AREA_REAL]]&gt;0,ESTIMATIVA[[#This Row],[QT_AREA_REAL]],ESTIMATIVA[[#This Row],[QT_AREA_EST]]))</f>
        <v>12.8</v>
      </c>
      <c r="Z127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12.8</v>
      </c>
      <c r="AA1275" s="1">
        <f>ESTIMATIVA[[#This Row],[QT_CANA_EST]]</f>
        <v>960</v>
      </c>
      <c r="AB1275" s="1">
        <f>IF(ESTIMATIVA[[#This Row],[QT_CANA_REST1]]&gt;0,ESTIMATIVA[[#This Row],[QT_CANA_REST1]],
  IF(ESTIMATIVA[[#This Row],[QT_CANA_REAL]]&gt;0,ESTIMATIVA[[#This Row],[QT_CANA_REAL]],ESTIMATIVA[[#This Row],[QT_CANA_EST]]))</f>
        <v>1024</v>
      </c>
      <c r="AC127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934.33</v>
      </c>
      <c r="AD1275" s="1">
        <f>IF(ESTIMATIVA[[#This Row],[QT_AREA_REAL]]&gt;0,ESTIMATIVA[[#This Row],[QT_CANA_REAL]],ESTIMATIVA[[#This Row],[QT_CANA_EST]])</f>
        <v>934.33</v>
      </c>
      <c r="AE1275" s="1">
        <f>IF(ESTIMATIVA[[#This Row],[QT_AREA_REAL]]&gt;0,ESTIMATIVA[[#This Row],[QT_CANA_REAL]],ESTIMATIVA[[#This Row],[QT_CANA_REST1]])</f>
        <v>934.33</v>
      </c>
      <c r="AF1275" s="1">
        <f>IF(ESTIMATIVA[[#This Row],[QT_AREA_REAL]]&gt;0,ESTIMATIVA[[#This Row],[QT_CANA_REAL]],ESTIMATIVA[[#This Row],[QT_CANA_REST2]])</f>
        <v>934.33</v>
      </c>
      <c r="AG1275" s="1" t="str">
        <f>IF(COUNTIFS(GEADA!A:A,VALUE(ESTIMATIVA[[#This Row],[CD_UPNIVEL1]]&amp;TEXT(ESTIMATIVA[[#This Row],[CD_UPNIVEL3]],"0000")))&gt;0,"S","N")</f>
        <v>N</v>
      </c>
      <c r="AH127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75" s="55" t="str">
        <f>IF(ESTIMATIVA[[#This Row],[TP_CULTIVO]]="Irrigado",_xlfn.MAXIFS(IRRIGADO!J:J,IRRIGADO!C:C,ESTIMATIVA[[#This Row],[CD_UPNIVEL1]],IRRIGADO!E:E,ESTIMATIVA[[#This Row],[CD_UPNIVEL3]]),"")</f>
        <v/>
      </c>
      <c r="AJ127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75" s="1">
        <f>COUNTIFS(Apresentação!$E$23:$E$29,ESTIMATIVA[[#This Row],[CD_UPNIVEL1]])</f>
        <v>0</v>
      </c>
    </row>
    <row r="1276" spans="1:37" x14ac:dyDescent="0.3">
      <c r="A1276">
        <v>20540</v>
      </c>
      <c r="B1276" t="s">
        <v>73</v>
      </c>
      <c r="C1276">
        <v>4</v>
      </c>
      <c r="D1276">
        <v>3</v>
      </c>
      <c r="E1276" t="s">
        <v>263</v>
      </c>
      <c r="F1276" s="85" t="s">
        <v>331</v>
      </c>
      <c r="G1276"/>
      <c r="H1276" t="s">
        <v>294</v>
      </c>
      <c r="I1276" t="s">
        <v>207</v>
      </c>
      <c r="J1276" t="s">
        <v>176</v>
      </c>
      <c r="K1276" s="1">
        <v>12.64</v>
      </c>
      <c r="L1276" s="1">
        <v>12.64</v>
      </c>
      <c r="M1276" s="1">
        <v>0</v>
      </c>
      <c r="N1276" s="1">
        <v>12.64</v>
      </c>
      <c r="O1276" s="1">
        <v>948</v>
      </c>
      <c r="P1276" s="1">
        <v>1011.2</v>
      </c>
      <c r="Q1276" s="1">
        <v>0</v>
      </c>
      <c r="R1276" s="1">
        <v>922.48</v>
      </c>
      <c r="S1276" t="s">
        <v>12</v>
      </c>
      <c r="T1276" s="13">
        <v>45865</v>
      </c>
      <c r="U1276" s="1" t="str">
        <f>IF(ESTIMATIVA[[#This Row],[QT_AREA_REAL]]&gt;0,"1- Colhido","2- à Colher")</f>
        <v>1- Colhido</v>
      </c>
      <c r="V1276" s="1" t="str">
        <f>IF(ESTIMATIVA[[#This Row],[QT_AREA_REST1]]&gt;0,"Reestimativa 1",IF(ESTIMATIVA[[#This Row],[QT_AREA_REAL]]=0,"Reestimativa 1","Realizado"))</f>
        <v>Reestimativa 1</v>
      </c>
      <c r="W1276" s="1" t="str">
        <f>IF(ESTIMATIVA[[#This Row],[QT_AREA_REST2]]&gt;0,"Reestimativa 2",IF(ESTIMATIVA[[#This Row],[QT_AREA_REAL]]=0,"Reestimativa 2","Realizado"))</f>
        <v>Realizado</v>
      </c>
      <c r="X1276" s="1">
        <f>ESTIMATIVA[[#This Row],[QT_AREA_EST]]</f>
        <v>12.64</v>
      </c>
      <c r="Y1276" s="1">
        <f>IF(ESTIMATIVA[[#This Row],[QT_AREA_REST1]]&gt;0,ESTIMATIVA[[#This Row],[QT_AREA_REST1]],
  IF(ESTIMATIVA[[#This Row],[QT_AREA_REAL]]&gt;0,ESTIMATIVA[[#This Row],[QT_AREA_REAL]],ESTIMATIVA[[#This Row],[QT_AREA_EST]]))</f>
        <v>12.64</v>
      </c>
      <c r="Z127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12.64</v>
      </c>
      <c r="AA1276" s="1">
        <f>ESTIMATIVA[[#This Row],[QT_CANA_EST]]</f>
        <v>948</v>
      </c>
      <c r="AB1276" s="1">
        <f>IF(ESTIMATIVA[[#This Row],[QT_CANA_REST1]]&gt;0,ESTIMATIVA[[#This Row],[QT_CANA_REST1]],
  IF(ESTIMATIVA[[#This Row],[QT_CANA_REAL]]&gt;0,ESTIMATIVA[[#This Row],[QT_CANA_REAL]],ESTIMATIVA[[#This Row],[QT_CANA_EST]]))</f>
        <v>1011.2</v>
      </c>
      <c r="AC127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922.48</v>
      </c>
      <c r="AD1276" s="1">
        <f>IF(ESTIMATIVA[[#This Row],[QT_AREA_REAL]]&gt;0,ESTIMATIVA[[#This Row],[QT_CANA_REAL]],ESTIMATIVA[[#This Row],[QT_CANA_EST]])</f>
        <v>922.48</v>
      </c>
      <c r="AE1276" s="1">
        <f>IF(ESTIMATIVA[[#This Row],[QT_AREA_REAL]]&gt;0,ESTIMATIVA[[#This Row],[QT_CANA_REAL]],ESTIMATIVA[[#This Row],[QT_CANA_REST1]])</f>
        <v>922.48</v>
      </c>
      <c r="AF1276" s="1">
        <f>IF(ESTIMATIVA[[#This Row],[QT_AREA_REAL]]&gt;0,ESTIMATIVA[[#This Row],[QT_CANA_REAL]],ESTIMATIVA[[#This Row],[QT_CANA_REST2]])</f>
        <v>922.48</v>
      </c>
      <c r="AG1276" s="1" t="str">
        <f>IF(COUNTIFS(GEADA!A:A,VALUE(ESTIMATIVA[[#This Row],[CD_UPNIVEL1]]&amp;TEXT(ESTIMATIVA[[#This Row],[CD_UPNIVEL3]],"0000")))&gt;0,"S","N")</f>
        <v>N</v>
      </c>
      <c r="AH127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76" s="55" t="str">
        <f>IF(ESTIMATIVA[[#This Row],[TP_CULTIVO]]="Irrigado",_xlfn.MAXIFS(IRRIGADO!J:J,IRRIGADO!C:C,ESTIMATIVA[[#This Row],[CD_UPNIVEL1]],IRRIGADO!E:E,ESTIMATIVA[[#This Row],[CD_UPNIVEL3]]),"")</f>
        <v/>
      </c>
      <c r="AJ127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76" s="1">
        <f>COUNTIFS(Apresentação!$E$23:$E$29,ESTIMATIVA[[#This Row],[CD_UPNIVEL1]])</f>
        <v>0</v>
      </c>
    </row>
    <row r="1277" spans="1:37" x14ac:dyDescent="0.3">
      <c r="A1277">
        <v>20540</v>
      </c>
      <c r="B1277" t="s">
        <v>73</v>
      </c>
      <c r="C1277">
        <v>5</v>
      </c>
      <c r="D1277">
        <v>3</v>
      </c>
      <c r="E1277" t="s">
        <v>263</v>
      </c>
      <c r="F1277" s="85" t="s">
        <v>331</v>
      </c>
      <c r="G1277"/>
      <c r="H1277" t="s">
        <v>294</v>
      </c>
      <c r="I1277" t="s">
        <v>207</v>
      </c>
      <c r="J1277" t="s">
        <v>176</v>
      </c>
      <c r="K1277" s="1">
        <v>12.97</v>
      </c>
      <c r="L1277" s="1">
        <v>12.97</v>
      </c>
      <c r="M1277" s="1">
        <v>0</v>
      </c>
      <c r="N1277" s="1">
        <v>12.97</v>
      </c>
      <c r="O1277" s="1">
        <v>972.75</v>
      </c>
      <c r="P1277" s="1">
        <v>907.9</v>
      </c>
      <c r="Q1277" s="1">
        <v>0</v>
      </c>
      <c r="R1277" s="1">
        <v>828.61</v>
      </c>
      <c r="S1277" t="s">
        <v>12</v>
      </c>
      <c r="T1277" s="13">
        <v>45865</v>
      </c>
      <c r="U1277" s="1" t="str">
        <f>IF(ESTIMATIVA[[#This Row],[QT_AREA_REAL]]&gt;0,"1- Colhido","2- à Colher")</f>
        <v>1- Colhido</v>
      </c>
      <c r="V1277" s="1" t="str">
        <f>IF(ESTIMATIVA[[#This Row],[QT_AREA_REST1]]&gt;0,"Reestimativa 1",IF(ESTIMATIVA[[#This Row],[QT_AREA_REAL]]=0,"Reestimativa 1","Realizado"))</f>
        <v>Reestimativa 1</v>
      </c>
      <c r="W1277" s="1" t="str">
        <f>IF(ESTIMATIVA[[#This Row],[QT_AREA_REST2]]&gt;0,"Reestimativa 2",IF(ESTIMATIVA[[#This Row],[QT_AREA_REAL]]=0,"Reestimativa 2","Realizado"))</f>
        <v>Realizado</v>
      </c>
      <c r="X1277" s="1">
        <f>ESTIMATIVA[[#This Row],[QT_AREA_EST]]</f>
        <v>12.97</v>
      </c>
      <c r="Y1277" s="1">
        <f>IF(ESTIMATIVA[[#This Row],[QT_AREA_REST1]]&gt;0,ESTIMATIVA[[#This Row],[QT_AREA_REST1]],
  IF(ESTIMATIVA[[#This Row],[QT_AREA_REAL]]&gt;0,ESTIMATIVA[[#This Row],[QT_AREA_REAL]],ESTIMATIVA[[#This Row],[QT_AREA_EST]]))</f>
        <v>12.97</v>
      </c>
      <c r="Z127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12.97</v>
      </c>
      <c r="AA1277" s="1">
        <f>ESTIMATIVA[[#This Row],[QT_CANA_EST]]</f>
        <v>972.75</v>
      </c>
      <c r="AB1277" s="1">
        <f>IF(ESTIMATIVA[[#This Row],[QT_CANA_REST1]]&gt;0,ESTIMATIVA[[#This Row],[QT_CANA_REST1]],
  IF(ESTIMATIVA[[#This Row],[QT_CANA_REAL]]&gt;0,ESTIMATIVA[[#This Row],[QT_CANA_REAL]],ESTIMATIVA[[#This Row],[QT_CANA_EST]]))</f>
        <v>907.9</v>
      </c>
      <c r="AC127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828.61</v>
      </c>
      <c r="AD1277" s="1">
        <f>IF(ESTIMATIVA[[#This Row],[QT_AREA_REAL]]&gt;0,ESTIMATIVA[[#This Row],[QT_CANA_REAL]],ESTIMATIVA[[#This Row],[QT_CANA_EST]])</f>
        <v>828.61</v>
      </c>
      <c r="AE1277" s="1">
        <f>IF(ESTIMATIVA[[#This Row],[QT_AREA_REAL]]&gt;0,ESTIMATIVA[[#This Row],[QT_CANA_REAL]],ESTIMATIVA[[#This Row],[QT_CANA_REST1]])</f>
        <v>828.61</v>
      </c>
      <c r="AF1277" s="1">
        <f>IF(ESTIMATIVA[[#This Row],[QT_AREA_REAL]]&gt;0,ESTIMATIVA[[#This Row],[QT_CANA_REAL]],ESTIMATIVA[[#This Row],[QT_CANA_REST2]])</f>
        <v>828.61</v>
      </c>
      <c r="AG1277" s="1" t="str">
        <f>IF(COUNTIFS(GEADA!A:A,VALUE(ESTIMATIVA[[#This Row],[CD_UPNIVEL1]]&amp;TEXT(ESTIMATIVA[[#This Row],[CD_UPNIVEL3]],"0000")))&gt;0,"S","N")</f>
        <v>S</v>
      </c>
      <c r="AH127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77" s="55" t="str">
        <f>IF(ESTIMATIVA[[#This Row],[TP_CULTIVO]]="Irrigado",_xlfn.MAXIFS(IRRIGADO!J:J,IRRIGADO!C:C,ESTIMATIVA[[#This Row],[CD_UPNIVEL1]],IRRIGADO!E:E,ESTIMATIVA[[#This Row],[CD_UPNIVEL3]]),"")</f>
        <v/>
      </c>
      <c r="AJ127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77" s="1">
        <f>COUNTIFS(Apresentação!$E$23:$E$29,ESTIMATIVA[[#This Row],[CD_UPNIVEL1]])</f>
        <v>0</v>
      </c>
    </row>
    <row r="1278" spans="1:37" x14ac:dyDescent="0.3">
      <c r="A1278">
        <v>20541</v>
      </c>
      <c r="B1278" t="s">
        <v>150</v>
      </c>
      <c r="C1278">
        <v>1</v>
      </c>
      <c r="D1278">
        <v>2</v>
      </c>
      <c r="E1278" t="s">
        <v>266</v>
      </c>
      <c r="F1278" s="85" t="s">
        <v>333</v>
      </c>
      <c r="G1278"/>
      <c r="H1278" t="s">
        <v>295</v>
      </c>
      <c r="I1278" t="s">
        <v>207</v>
      </c>
      <c r="J1278" t="s">
        <v>176</v>
      </c>
      <c r="K1278" s="1">
        <v>17.41</v>
      </c>
      <c r="L1278" s="1">
        <v>17.41</v>
      </c>
      <c r="M1278" s="1">
        <v>17.41</v>
      </c>
      <c r="N1278" s="1">
        <v>17.41</v>
      </c>
      <c r="O1278" s="1">
        <v>1305.75</v>
      </c>
      <c r="P1278" s="1">
        <v>1392.8</v>
      </c>
      <c r="Q1278" s="1">
        <v>1357.98</v>
      </c>
      <c r="R1278" s="1">
        <v>1461.46</v>
      </c>
      <c r="S1278" t="s">
        <v>12</v>
      </c>
      <c r="T1278" s="13">
        <v>45942</v>
      </c>
      <c r="U1278" s="1" t="str">
        <f>IF(ESTIMATIVA[[#This Row],[QT_AREA_REAL]]&gt;0,"1- Colhido","2- à Colher")</f>
        <v>1- Colhido</v>
      </c>
      <c r="V1278" s="1" t="str">
        <f>IF(ESTIMATIVA[[#This Row],[QT_AREA_REST1]]&gt;0,"Reestimativa 1",IF(ESTIMATIVA[[#This Row],[QT_AREA_REAL]]=0,"Reestimativa 1","Realizado"))</f>
        <v>Reestimativa 1</v>
      </c>
      <c r="W1278" s="1" t="str">
        <f>IF(ESTIMATIVA[[#This Row],[QT_AREA_REST2]]&gt;0,"Reestimativa 2",IF(ESTIMATIVA[[#This Row],[QT_AREA_REAL]]=0,"Reestimativa 2","Realizado"))</f>
        <v>Reestimativa 2</v>
      </c>
      <c r="X1278" s="1">
        <f>ESTIMATIVA[[#This Row],[QT_AREA_EST]]</f>
        <v>17.41</v>
      </c>
      <c r="Y1278" s="1">
        <f>IF(ESTIMATIVA[[#This Row],[QT_AREA_REST1]]&gt;0,ESTIMATIVA[[#This Row],[QT_AREA_REST1]],
  IF(ESTIMATIVA[[#This Row],[QT_AREA_REAL]]&gt;0,ESTIMATIVA[[#This Row],[QT_AREA_REAL]],ESTIMATIVA[[#This Row],[QT_AREA_EST]]))</f>
        <v>17.41</v>
      </c>
      <c r="Z127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17.41</v>
      </c>
      <c r="AA1278" s="1">
        <f>ESTIMATIVA[[#This Row],[QT_CANA_EST]]</f>
        <v>1305.75</v>
      </c>
      <c r="AB1278" s="1">
        <f>IF(ESTIMATIVA[[#This Row],[QT_CANA_REST1]]&gt;0,ESTIMATIVA[[#This Row],[QT_CANA_REST1]],
  IF(ESTIMATIVA[[#This Row],[QT_CANA_REAL]]&gt;0,ESTIMATIVA[[#This Row],[QT_CANA_REAL]],ESTIMATIVA[[#This Row],[QT_CANA_EST]]))</f>
        <v>1392.8</v>
      </c>
      <c r="AC127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1357.98</v>
      </c>
      <c r="AD1278" s="1">
        <f>IF(ESTIMATIVA[[#This Row],[QT_AREA_REAL]]&gt;0,ESTIMATIVA[[#This Row],[QT_CANA_REAL]],ESTIMATIVA[[#This Row],[QT_CANA_EST]])</f>
        <v>1461.46</v>
      </c>
      <c r="AE1278" s="1">
        <f>IF(ESTIMATIVA[[#This Row],[QT_AREA_REAL]]&gt;0,ESTIMATIVA[[#This Row],[QT_CANA_REAL]],ESTIMATIVA[[#This Row],[QT_CANA_REST1]])</f>
        <v>1461.46</v>
      </c>
      <c r="AF1278" s="1">
        <f>IF(ESTIMATIVA[[#This Row],[QT_AREA_REAL]]&gt;0,ESTIMATIVA[[#This Row],[QT_CANA_REAL]],ESTIMATIVA[[#This Row],[QT_CANA_REST2]])</f>
        <v>1461.46</v>
      </c>
      <c r="AG1278" s="1" t="str">
        <f>IF(COUNTIFS(GEADA!A:A,VALUE(ESTIMATIVA[[#This Row],[CD_UPNIVEL1]]&amp;TEXT(ESTIMATIVA[[#This Row],[CD_UPNIVEL3]],"0000")))&gt;0,"S","N")</f>
        <v>N</v>
      </c>
      <c r="AH127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278" s="55" t="str">
        <f>IF(ESTIMATIVA[[#This Row],[TP_CULTIVO]]="Irrigado",_xlfn.MAXIFS(IRRIGADO!J:J,IRRIGADO!C:C,ESTIMATIVA[[#This Row],[CD_UPNIVEL1]],IRRIGADO!E:E,ESTIMATIVA[[#This Row],[CD_UPNIVEL3]]),"")</f>
        <v/>
      </c>
      <c r="AJ127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78" s="1">
        <f>COUNTIFS(Apresentação!$E$23:$E$29,ESTIMATIVA[[#This Row],[CD_UPNIVEL1]])</f>
        <v>0</v>
      </c>
    </row>
    <row r="1279" spans="1:37" x14ac:dyDescent="0.3">
      <c r="A1279">
        <v>20541</v>
      </c>
      <c r="B1279" t="s">
        <v>150</v>
      </c>
      <c r="C1279">
        <v>2</v>
      </c>
      <c r="D1279">
        <v>2</v>
      </c>
      <c r="E1279" t="s">
        <v>266</v>
      </c>
      <c r="F1279" s="85" t="s">
        <v>333</v>
      </c>
      <c r="G1279"/>
      <c r="H1279" t="s">
        <v>295</v>
      </c>
      <c r="I1279" t="s">
        <v>207</v>
      </c>
      <c r="J1279" t="s">
        <v>176</v>
      </c>
      <c r="K1279" s="1">
        <v>0.7</v>
      </c>
      <c r="L1279" s="1">
        <v>0.7</v>
      </c>
      <c r="M1279" s="1">
        <v>0.7</v>
      </c>
      <c r="N1279" s="1">
        <v>0.7</v>
      </c>
      <c r="O1279" s="1">
        <v>53.2</v>
      </c>
      <c r="P1279" s="1">
        <v>56</v>
      </c>
      <c r="Q1279" s="1">
        <v>54.6</v>
      </c>
      <c r="R1279" s="1">
        <v>59.1</v>
      </c>
      <c r="S1279" t="s">
        <v>12</v>
      </c>
      <c r="T1279" s="13">
        <v>45942</v>
      </c>
      <c r="U1279" s="1" t="str">
        <f>IF(ESTIMATIVA[[#This Row],[QT_AREA_REAL]]&gt;0,"1- Colhido","2- à Colher")</f>
        <v>1- Colhido</v>
      </c>
      <c r="V1279" s="1" t="str">
        <f>IF(ESTIMATIVA[[#This Row],[QT_AREA_REST1]]&gt;0,"Reestimativa 1",IF(ESTIMATIVA[[#This Row],[QT_AREA_REAL]]=0,"Reestimativa 1","Realizado"))</f>
        <v>Reestimativa 1</v>
      </c>
      <c r="W1279" s="1" t="str">
        <f>IF(ESTIMATIVA[[#This Row],[QT_AREA_REST2]]&gt;0,"Reestimativa 2",IF(ESTIMATIVA[[#This Row],[QT_AREA_REAL]]=0,"Reestimativa 2","Realizado"))</f>
        <v>Reestimativa 2</v>
      </c>
      <c r="X1279" s="1">
        <f>ESTIMATIVA[[#This Row],[QT_AREA_EST]]</f>
        <v>0.7</v>
      </c>
      <c r="Y1279" s="1">
        <f>IF(ESTIMATIVA[[#This Row],[QT_AREA_REST1]]&gt;0,ESTIMATIVA[[#This Row],[QT_AREA_REST1]],
  IF(ESTIMATIVA[[#This Row],[QT_AREA_REAL]]&gt;0,ESTIMATIVA[[#This Row],[QT_AREA_REAL]],ESTIMATIVA[[#This Row],[QT_AREA_EST]]))</f>
        <v>0.7</v>
      </c>
      <c r="Z127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0.7</v>
      </c>
      <c r="AA1279" s="1">
        <f>ESTIMATIVA[[#This Row],[QT_CANA_EST]]</f>
        <v>53.2</v>
      </c>
      <c r="AB1279" s="1">
        <f>IF(ESTIMATIVA[[#This Row],[QT_CANA_REST1]]&gt;0,ESTIMATIVA[[#This Row],[QT_CANA_REST1]],
  IF(ESTIMATIVA[[#This Row],[QT_CANA_REAL]]&gt;0,ESTIMATIVA[[#This Row],[QT_CANA_REAL]],ESTIMATIVA[[#This Row],[QT_CANA_EST]]))</f>
        <v>56</v>
      </c>
      <c r="AC127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54.6</v>
      </c>
      <c r="AD1279" s="1">
        <f>IF(ESTIMATIVA[[#This Row],[QT_AREA_REAL]]&gt;0,ESTIMATIVA[[#This Row],[QT_CANA_REAL]],ESTIMATIVA[[#This Row],[QT_CANA_EST]])</f>
        <v>59.1</v>
      </c>
      <c r="AE1279" s="1">
        <f>IF(ESTIMATIVA[[#This Row],[QT_AREA_REAL]]&gt;0,ESTIMATIVA[[#This Row],[QT_CANA_REAL]],ESTIMATIVA[[#This Row],[QT_CANA_REST1]])</f>
        <v>59.1</v>
      </c>
      <c r="AF1279" s="1">
        <f>IF(ESTIMATIVA[[#This Row],[QT_AREA_REAL]]&gt;0,ESTIMATIVA[[#This Row],[QT_CANA_REAL]],ESTIMATIVA[[#This Row],[QT_CANA_REST2]])</f>
        <v>59.1</v>
      </c>
      <c r="AG1279" s="1" t="str">
        <f>IF(COUNTIFS(GEADA!A:A,VALUE(ESTIMATIVA[[#This Row],[CD_UPNIVEL1]]&amp;TEXT(ESTIMATIVA[[#This Row],[CD_UPNIVEL3]],"0000")))&gt;0,"S","N")</f>
        <v>N</v>
      </c>
      <c r="AH127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279" s="55" t="str">
        <f>IF(ESTIMATIVA[[#This Row],[TP_CULTIVO]]="Irrigado",_xlfn.MAXIFS(IRRIGADO!J:J,IRRIGADO!C:C,ESTIMATIVA[[#This Row],[CD_UPNIVEL1]],IRRIGADO!E:E,ESTIMATIVA[[#This Row],[CD_UPNIVEL3]]),"")</f>
        <v/>
      </c>
      <c r="AJ127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79" s="1">
        <f>COUNTIFS(Apresentação!$E$23:$E$29,ESTIMATIVA[[#This Row],[CD_UPNIVEL1]])</f>
        <v>0</v>
      </c>
    </row>
    <row r="1280" spans="1:37" x14ac:dyDescent="0.3">
      <c r="A1280">
        <v>20541</v>
      </c>
      <c r="B1280" t="s">
        <v>150</v>
      </c>
      <c r="C1280">
        <v>3</v>
      </c>
      <c r="D1280">
        <v>2</v>
      </c>
      <c r="E1280" t="s">
        <v>266</v>
      </c>
      <c r="F1280" s="85" t="s">
        <v>333</v>
      </c>
      <c r="G1280"/>
      <c r="H1280" t="s">
        <v>295</v>
      </c>
      <c r="I1280" t="s">
        <v>207</v>
      </c>
      <c r="J1280" t="s">
        <v>176</v>
      </c>
      <c r="K1280" s="1">
        <v>22.25</v>
      </c>
      <c r="L1280" s="1">
        <v>22.25</v>
      </c>
      <c r="M1280" s="1">
        <v>22.25</v>
      </c>
      <c r="N1280" s="1">
        <v>22.25</v>
      </c>
      <c r="O1280" s="1">
        <v>1691</v>
      </c>
      <c r="P1280" s="1">
        <v>1780</v>
      </c>
      <c r="Q1280" s="1">
        <v>1735.5</v>
      </c>
      <c r="R1280" s="1">
        <v>1868.29</v>
      </c>
      <c r="S1280" t="s">
        <v>12</v>
      </c>
      <c r="T1280" s="13">
        <v>45942</v>
      </c>
      <c r="U1280" s="1" t="str">
        <f>IF(ESTIMATIVA[[#This Row],[QT_AREA_REAL]]&gt;0,"1- Colhido","2- à Colher")</f>
        <v>1- Colhido</v>
      </c>
      <c r="V1280" s="1" t="str">
        <f>IF(ESTIMATIVA[[#This Row],[QT_AREA_REST1]]&gt;0,"Reestimativa 1",IF(ESTIMATIVA[[#This Row],[QT_AREA_REAL]]=0,"Reestimativa 1","Realizado"))</f>
        <v>Reestimativa 1</v>
      </c>
      <c r="W1280" s="1" t="str">
        <f>IF(ESTIMATIVA[[#This Row],[QT_AREA_REST2]]&gt;0,"Reestimativa 2",IF(ESTIMATIVA[[#This Row],[QT_AREA_REAL]]=0,"Reestimativa 2","Realizado"))</f>
        <v>Reestimativa 2</v>
      </c>
      <c r="X1280" s="1">
        <f>ESTIMATIVA[[#This Row],[QT_AREA_EST]]</f>
        <v>22.25</v>
      </c>
      <c r="Y1280" s="1">
        <f>IF(ESTIMATIVA[[#This Row],[QT_AREA_REST1]]&gt;0,ESTIMATIVA[[#This Row],[QT_AREA_REST1]],
  IF(ESTIMATIVA[[#This Row],[QT_AREA_REAL]]&gt;0,ESTIMATIVA[[#This Row],[QT_AREA_REAL]],ESTIMATIVA[[#This Row],[QT_AREA_EST]]))</f>
        <v>22.25</v>
      </c>
      <c r="Z128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22.25</v>
      </c>
      <c r="AA1280" s="1">
        <f>ESTIMATIVA[[#This Row],[QT_CANA_EST]]</f>
        <v>1691</v>
      </c>
      <c r="AB1280" s="1">
        <f>IF(ESTIMATIVA[[#This Row],[QT_CANA_REST1]]&gt;0,ESTIMATIVA[[#This Row],[QT_CANA_REST1]],
  IF(ESTIMATIVA[[#This Row],[QT_CANA_REAL]]&gt;0,ESTIMATIVA[[#This Row],[QT_CANA_REAL]],ESTIMATIVA[[#This Row],[QT_CANA_EST]]))</f>
        <v>1780</v>
      </c>
      <c r="AC128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1735.5</v>
      </c>
      <c r="AD1280" s="1">
        <f>IF(ESTIMATIVA[[#This Row],[QT_AREA_REAL]]&gt;0,ESTIMATIVA[[#This Row],[QT_CANA_REAL]],ESTIMATIVA[[#This Row],[QT_CANA_EST]])</f>
        <v>1868.29</v>
      </c>
      <c r="AE1280" s="1">
        <f>IF(ESTIMATIVA[[#This Row],[QT_AREA_REAL]]&gt;0,ESTIMATIVA[[#This Row],[QT_CANA_REAL]],ESTIMATIVA[[#This Row],[QT_CANA_REST1]])</f>
        <v>1868.29</v>
      </c>
      <c r="AF1280" s="1">
        <f>IF(ESTIMATIVA[[#This Row],[QT_AREA_REAL]]&gt;0,ESTIMATIVA[[#This Row],[QT_CANA_REAL]],ESTIMATIVA[[#This Row],[QT_CANA_REST2]])</f>
        <v>1868.29</v>
      </c>
      <c r="AG1280" s="1" t="str">
        <f>IF(COUNTIFS(GEADA!A:A,VALUE(ESTIMATIVA[[#This Row],[CD_UPNIVEL1]]&amp;TEXT(ESTIMATIVA[[#This Row],[CD_UPNIVEL3]],"0000")))&gt;0,"S","N")</f>
        <v>N</v>
      </c>
      <c r="AH128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280" s="55" t="str">
        <f>IF(ESTIMATIVA[[#This Row],[TP_CULTIVO]]="Irrigado",_xlfn.MAXIFS(IRRIGADO!J:J,IRRIGADO!C:C,ESTIMATIVA[[#This Row],[CD_UPNIVEL1]],IRRIGADO!E:E,ESTIMATIVA[[#This Row],[CD_UPNIVEL3]]),"")</f>
        <v/>
      </c>
      <c r="AJ128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80" s="1">
        <f>COUNTIFS(Apresentação!$E$23:$E$29,ESTIMATIVA[[#This Row],[CD_UPNIVEL1]])</f>
        <v>0</v>
      </c>
    </row>
    <row r="1281" spans="1:37" x14ac:dyDescent="0.3">
      <c r="A1281">
        <v>20541</v>
      </c>
      <c r="B1281" t="s">
        <v>150</v>
      </c>
      <c r="C1281">
        <v>4</v>
      </c>
      <c r="D1281">
        <v>2</v>
      </c>
      <c r="E1281" t="s">
        <v>266</v>
      </c>
      <c r="F1281" s="85" t="s">
        <v>333</v>
      </c>
      <c r="G1281"/>
      <c r="H1281" t="s">
        <v>295</v>
      </c>
      <c r="I1281" t="s">
        <v>207</v>
      </c>
      <c r="J1281" t="s">
        <v>176</v>
      </c>
      <c r="K1281" s="1">
        <v>22.27</v>
      </c>
      <c r="L1281" s="1">
        <v>22.27</v>
      </c>
      <c r="M1281" s="1">
        <v>22.27</v>
      </c>
      <c r="N1281" s="1">
        <v>22.27</v>
      </c>
      <c r="O1281" s="1">
        <v>2004.3</v>
      </c>
      <c r="P1281" s="1">
        <v>2048.84</v>
      </c>
      <c r="Q1281" s="1">
        <v>2004.3</v>
      </c>
      <c r="R1281" s="1">
        <v>2156.7199999999998</v>
      </c>
      <c r="S1281" t="s">
        <v>12</v>
      </c>
      <c r="T1281" s="13">
        <v>45942</v>
      </c>
      <c r="U1281" s="1" t="str">
        <f>IF(ESTIMATIVA[[#This Row],[QT_AREA_REAL]]&gt;0,"1- Colhido","2- à Colher")</f>
        <v>1- Colhido</v>
      </c>
      <c r="V1281" s="1" t="str">
        <f>IF(ESTIMATIVA[[#This Row],[QT_AREA_REST1]]&gt;0,"Reestimativa 1",IF(ESTIMATIVA[[#This Row],[QT_AREA_REAL]]=0,"Reestimativa 1","Realizado"))</f>
        <v>Reestimativa 1</v>
      </c>
      <c r="W1281" s="1" t="str">
        <f>IF(ESTIMATIVA[[#This Row],[QT_AREA_REST2]]&gt;0,"Reestimativa 2",IF(ESTIMATIVA[[#This Row],[QT_AREA_REAL]]=0,"Reestimativa 2","Realizado"))</f>
        <v>Reestimativa 2</v>
      </c>
      <c r="X1281" s="1">
        <f>ESTIMATIVA[[#This Row],[QT_AREA_EST]]</f>
        <v>22.27</v>
      </c>
      <c r="Y1281" s="1">
        <f>IF(ESTIMATIVA[[#This Row],[QT_AREA_REST1]]&gt;0,ESTIMATIVA[[#This Row],[QT_AREA_REST1]],
  IF(ESTIMATIVA[[#This Row],[QT_AREA_REAL]]&gt;0,ESTIMATIVA[[#This Row],[QT_AREA_REAL]],ESTIMATIVA[[#This Row],[QT_AREA_EST]]))</f>
        <v>22.27</v>
      </c>
      <c r="Z128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22.27</v>
      </c>
      <c r="AA1281" s="1">
        <f>ESTIMATIVA[[#This Row],[QT_CANA_EST]]</f>
        <v>2004.3</v>
      </c>
      <c r="AB1281" s="1">
        <f>IF(ESTIMATIVA[[#This Row],[QT_CANA_REST1]]&gt;0,ESTIMATIVA[[#This Row],[QT_CANA_REST1]],
  IF(ESTIMATIVA[[#This Row],[QT_CANA_REAL]]&gt;0,ESTIMATIVA[[#This Row],[QT_CANA_REAL]],ESTIMATIVA[[#This Row],[QT_CANA_EST]]))</f>
        <v>2048.84</v>
      </c>
      <c r="AC128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2004.3</v>
      </c>
      <c r="AD1281" s="1">
        <f>IF(ESTIMATIVA[[#This Row],[QT_AREA_REAL]]&gt;0,ESTIMATIVA[[#This Row],[QT_CANA_REAL]],ESTIMATIVA[[#This Row],[QT_CANA_EST]])</f>
        <v>2156.7199999999998</v>
      </c>
      <c r="AE1281" s="1">
        <f>IF(ESTIMATIVA[[#This Row],[QT_AREA_REAL]]&gt;0,ESTIMATIVA[[#This Row],[QT_CANA_REAL]],ESTIMATIVA[[#This Row],[QT_CANA_REST1]])</f>
        <v>2156.7199999999998</v>
      </c>
      <c r="AF1281" s="1">
        <f>IF(ESTIMATIVA[[#This Row],[QT_AREA_REAL]]&gt;0,ESTIMATIVA[[#This Row],[QT_CANA_REAL]],ESTIMATIVA[[#This Row],[QT_CANA_REST2]])</f>
        <v>2156.7199999999998</v>
      </c>
      <c r="AG1281" s="1" t="str">
        <f>IF(COUNTIFS(GEADA!A:A,VALUE(ESTIMATIVA[[#This Row],[CD_UPNIVEL1]]&amp;TEXT(ESTIMATIVA[[#This Row],[CD_UPNIVEL3]],"0000")))&gt;0,"S","N")</f>
        <v>N</v>
      </c>
      <c r="AH128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281" s="55" t="str">
        <f>IF(ESTIMATIVA[[#This Row],[TP_CULTIVO]]="Irrigado",_xlfn.MAXIFS(IRRIGADO!J:J,IRRIGADO!C:C,ESTIMATIVA[[#This Row],[CD_UPNIVEL1]],IRRIGADO!E:E,ESTIMATIVA[[#This Row],[CD_UPNIVEL3]]),"")</f>
        <v/>
      </c>
      <c r="AJ128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81" s="1">
        <f>COUNTIFS(Apresentação!$E$23:$E$29,ESTIMATIVA[[#This Row],[CD_UPNIVEL1]])</f>
        <v>0</v>
      </c>
    </row>
    <row r="1282" spans="1:37" x14ac:dyDescent="0.3">
      <c r="A1282">
        <v>20541</v>
      </c>
      <c r="B1282" t="s">
        <v>150</v>
      </c>
      <c r="C1282">
        <v>5005</v>
      </c>
      <c r="D1282">
        <v>3</v>
      </c>
      <c r="E1282" t="s">
        <v>263</v>
      </c>
      <c r="F1282" s="85" t="s">
        <v>331</v>
      </c>
      <c r="G1282"/>
      <c r="H1282" t="s">
        <v>295</v>
      </c>
      <c r="I1282" t="s">
        <v>207</v>
      </c>
      <c r="J1282" t="s">
        <v>176</v>
      </c>
      <c r="K1282" s="1">
        <v>4.12</v>
      </c>
      <c r="L1282" s="1">
        <v>4.12</v>
      </c>
      <c r="M1282" s="1">
        <v>4.12</v>
      </c>
      <c r="N1282" s="1">
        <v>4.12</v>
      </c>
      <c r="O1282" s="1">
        <v>370.8</v>
      </c>
      <c r="P1282" s="1">
        <v>379.04</v>
      </c>
      <c r="Q1282" s="1">
        <v>379.04</v>
      </c>
      <c r="R1282" s="1">
        <v>408.29</v>
      </c>
      <c r="S1282" t="s">
        <v>12</v>
      </c>
      <c r="T1282" s="13">
        <v>45942</v>
      </c>
      <c r="U1282" s="1" t="str">
        <f>IF(ESTIMATIVA[[#This Row],[QT_AREA_REAL]]&gt;0,"1- Colhido","2- à Colher")</f>
        <v>1- Colhido</v>
      </c>
      <c r="V1282" s="1" t="str">
        <f>IF(ESTIMATIVA[[#This Row],[QT_AREA_REST1]]&gt;0,"Reestimativa 1",IF(ESTIMATIVA[[#This Row],[QT_AREA_REAL]]=0,"Reestimativa 1","Realizado"))</f>
        <v>Reestimativa 1</v>
      </c>
      <c r="W1282" s="1" t="str">
        <f>IF(ESTIMATIVA[[#This Row],[QT_AREA_REST2]]&gt;0,"Reestimativa 2",IF(ESTIMATIVA[[#This Row],[QT_AREA_REAL]]=0,"Reestimativa 2","Realizado"))</f>
        <v>Reestimativa 2</v>
      </c>
      <c r="X1282" s="1">
        <f>ESTIMATIVA[[#This Row],[QT_AREA_EST]]</f>
        <v>4.12</v>
      </c>
      <c r="Y1282" s="1">
        <f>IF(ESTIMATIVA[[#This Row],[QT_AREA_REST1]]&gt;0,ESTIMATIVA[[#This Row],[QT_AREA_REST1]],
  IF(ESTIMATIVA[[#This Row],[QT_AREA_REAL]]&gt;0,ESTIMATIVA[[#This Row],[QT_AREA_REAL]],ESTIMATIVA[[#This Row],[QT_AREA_EST]]))</f>
        <v>4.12</v>
      </c>
      <c r="Z128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4.12</v>
      </c>
      <c r="AA1282" s="1">
        <f>ESTIMATIVA[[#This Row],[QT_CANA_EST]]</f>
        <v>370.8</v>
      </c>
      <c r="AB1282" s="1">
        <f>IF(ESTIMATIVA[[#This Row],[QT_CANA_REST1]]&gt;0,ESTIMATIVA[[#This Row],[QT_CANA_REST1]],
  IF(ESTIMATIVA[[#This Row],[QT_CANA_REAL]]&gt;0,ESTIMATIVA[[#This Row],[QT_CANA_REAL]],ESTIMATIVA[[#This Row],[QT_CANA_EST]]))</f>
        <v>379.04</v>
      </c>
      <c r="AC128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379.04</v>
      </c>
      <c r="AD1282" s="1">
        <f>IF(ESTIMATIVA[[#This Row],[QT_AREA_REAL]]&gt;0,ESTIMATIVA[[#This Row],[QT_CANA_REAL]],ESTIMATIVA[[#This Row],[QT_CANA_EST]])</f>
        <v>408.29</v>
      </c>
      <c r="AE1282" s="1">
        <f>IF(ESTIMATIVA[[#This Row],[QT_AREA_REAL]]&gt;0,ESTIMATIVA[[#This Row],[QT_CANA_REAL]],ESTIMATIVA[[#This Row],[QT_CANA_REST1]])</f>
        <v>408.29</v>
      </c>
      <c r="AF1282" s="1">
        <f>IF(ESTIMATIVA[[#This Row],[QT_AREA_REAL]]&gt;0,ESTIMATIVA[[#This Row],[QT_CANA_REAL]],ESTIMATIVA[[#This Row],[QT_CANA_REST2]])</f>
        <v>408.29</v>
      </c>
      <c r="AG1282" s="1" t="str">
        <f>IF(COUNTIFS(GEADA!A:A,VALUE(ESTIMATIVA[[#This Row],[CD_UPNIVEL1]]&amp;TEXT(ESTIMATIVA[[#This Row],[CD_UPNIVEL3]],"0000")))&gt;0,"S","N")</f>
        <v>N</v>
      </c>
      <c r="AH128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282" s="55" t="str">
        <f>IF(ESTIMATIVA[[#This Row],[TP_CULTIVO]]="Irrigado",_xlfn.MAXIFS(IRRIGADO!J:J,IRRIGADO!C:C,ESTIMATIVA[[#This Row],[CD_UPNIVEL1]],IRRIGADO!E:E,ESTIMATIVA[[#This Row],[CD_UPNIVEL3]]),"")</f>
        <v/>
      </c>
      <c r="AJ128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82" s="1">
        <f>COUNTIFS(Apresentação!$E$23:$E$29,ESTIMATIVA[[#This Row],[CD_UPNIVEL1]])</f>
        <v>0</v>
      </c>
    </row>
    <row r="1283" spans="1:37" x14ac:dyDescent="0.3">
      <c r="A1283">
        <v>20543</v>
      </c>
      <c r="B1283" t="s">
        <v>74</v>
      </c>
      <c r="C1283">
        <v>1</v>
      </c>
      <c r="D1283">
        <v>3</v>
      </c>
      <c r="E1283" t="s">
        <v>263</v>
      </c>
      <c r="F1283" s="85" t="s">
        <v>331</v>
      </c>
      <c r="G1283"/>
      <c r="H1283" t="s">
        <v>294</v>
      </c>
      <c r="I1283" t="s">
        <v>207</v>
      </c>
      <c r="J1283" t="s">
        <v>176</v>
      </c>
      <c r="K1283" s="1">
        <v>12.64</v>
      </c>
      <c r="L1283" s="1">
        <v>0</v>
      </c>
      <c r="M1283" s="1">
        <v>0</v>
      </c>
      <c r="N1283" s="1">
        <v>12.64</v>
      </c>
      <c r="O1283" s="1">
        <v>884.8</v>
      </c>
      <c r="P1283" s="1">
        <v>0</v>
      </c>
      <c r="Q1283" s="1">
        <v>0</v>
      </c>
      <c r="R1283" s="1">
        <v>1155.8399999999999</v>
      </c>
      <c r="S1283" t="s">
        <v>12</v>
      </c>
      <c r="T1283" s="13">
        <v>45851</v>
      </c>
      <c r="U1283" s="1" t="str">
        <f>IF(ESTIMATIVA[[#This Row],[QT_AREA_REAL]]&gt;0,"1- Colhido","2- à Colher")</f>
        <v>1- Colhido</v>
      </c>
      <c r="V1283" s="1" t="str">
        <f>IF(ESTIMATIVA[[#This Row],[QT_AREA_REST1]]&gt;0,"Reestimativa 1",IF(ESTIMATIVA[[#This Row],[QT_AREA_REAL]]=0,"Reestimativa 1","Realizado"))</f>
        <v>Realizado</v>
      </c>
      <c r="W1283" s="1" t="str">
        <f>IF(ESTIMATIVA[[#This Row],[QT_AREA_REST2]]&gt;0,"Reestimativa 2",IF(ESTIMATIVA[[#This Row],[QT_AREA_REAL]]=0,"Reestimativa 2","Realizado"))</f>
        <v>Realizado</v>
      </c>
      <c r="X1283" s="1">
        <f>ESTIMATIVA[[#This Row],[QT_AREA_EST]]</f>
        <v>12.64</v>
      </c>
      <c r="Y1283" s="1">
        <f>IF(ESTIMATIVA[[#This Row],[QT_AREA_REST1]]&gt;0,ESTIMATIVA[[#This Row],[QT_AREA_REST1]],
  IF(ESTIMATIVA[[#This Row],[QT_AREA_REAL]]&gt;0,ESTIMATIVA[[#This Row],[QT_AREA_REAL]],ESTIMATIVA[[#This Row],[QT_AREA_EST]]))</f>
        <v>12.64</v>
      </c>
      <c r="Z128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12.64</v>
      </c>
      <c r="AA1283" s="1">
        <f>ESTIMATIVA[[#This Row],[QT_CANA_EST]]</f>
        <v>884.8</v>
      </c>
      <c r="AB1283" s="1">
        <f>IF(ESTIMATIVA[[#This Row],[QT_CANA_REST1]]&gt;0,ESTIMATIVA[[#This Row],[QT_CANA_REST1]],
  IF(ESTIMATIVA[[#This Row],[QT_CANA_REAL]]&gt;0,ESTIMATIVA[[#This Row],[QT_CANA_REAL]],ESTIMATIVA[[#This Row],[QT_CANA_EST]]))</f>
        <v>1155.8399999999999</v>
      </c>
      <c r="AC128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1155.8399999999999</v>
      </c>
      <c r="AD1283" s="1">
        <f>IF(ESTIMATIVA[[#This Row],[QT_AREA_REAL]]&gt;0,ESTIMATIVA[[#This Row],[QT_CANA_REAL]],ESTIMATIVA[[#This Row],[QT_CANA_EST]])</f>
        <v>1155.8399999999999</v>
      </c>
      <c r="AE1283" s="1">
        <f>IF(ESTIMATIVA[[#This Row],[QT_AREA_REAL]]&gt;0,ESTIMATIVA[[#This Row],[QT_CANA_REAL]],ESTIMATIVA[[#This Row],[QT_CANA_REST1]])</f>
        <v>1155.8399999999999</v>
      </c>
      <c r="AF1283" s="1">
        <f>IF(ESTIMATIVA[[#This Row],[QT_AREA_REAL]]&gt;0,ESTIMATIVA[[#This Row],[QT_CANA_REAL]],ESTIMATIVA[[#This Row],[QT_CANA_REST2]])</f>
        <v>1155.8399999999999</v>
      </c>
      <c r="AG1283" s="1" t="str">
        <f>IF(COUNTIFS(GEADA!A:A,VALUE(ESTIMATIVA[[#This Row],[CD_UPNIVEL1]]&amp;TEXT(ESTIMATIVA[[#This Row],[CD_UPNIVEL3]],"0000")))&gt;0,"S","N")</f>
        <v>N</v>
      </c>
      <c r="AH128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83" s="55" t="str">
        <f>IF(ESTIMATIVA[[#This Row],[TP_CULTIVO]]="Irrigado",_xlfn.MAXIFS(IRRIGADO!J:J,IRRIGADO!C:C,ESTIMATIVA[[#This Row],[CD_UPNIVEL1]],IRRIGADO!E:E,ESTIMATIVA[[#This Row],[CD_UPNIVEL3]]),"")</f>
        <v/>
      </c>
      <c r="AJ128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83" s="1">
        <f>COUNTIFS(Apresentação!$E$23:$E$29,ESTIMATIVA[[#This Row],[CD_UPNIVEL1]])</f>
        <v>0</v>
      </c>
    </row>
    <row r="1284" spans="1:37" x14ac:dyDescent="0.3">
      <c r="A1284">
        <v>20543</v>
      </c>
      <c r="B1284" t="s">
        <v>74</v>
      </c>
      <c r="C1284">
        <v>2</v>
      </c>
      <c r="D1284">
        <v>3</v>
      </c>
      <c r="E1284" t="s">
        <v>263</v>
      </c>
      <c r="F1284" s="85" t="s">
        <v>331</v>
      </c>
      <c r="G1284"/>
      <c r="H1284" t="s">
        <v>294</v>
      </c>
      <c r="I1284" t="s">
        <v>207</v>
      </c>
      <c r="J1284" t="s">
        <v>176</v>
      </c>
      <c r="K1284" s="1">
        <v>16.59</v>
      </c>
      <c r="L1284" s="1">
        <v>16.59</v>
      </c>
      <c r="M1284" s="1">
        <v>0</v>
      </c>
      <c r="N1284" s="1">
        <v>16.59</v>
      </c>
      <c r="O1284" s="1">
        <v>1161.3</v>
      </c>
      <c r="P1284" s="1">
        <v>1161.3</v>
      </c>
      <c r="Q1284" s="1">
        <v>0</v>
      </c>
      <c r="R1284" s="1">
        <v>1047.9000000000001</v>
      </c>
      <c r="S1284" t="s">
        <v>12</v>
      </c>
      <c r="T1284" s="13">
        <v>45858</v>
      </c>
      <c r="U1284" s="1" t="str">
        <f>IF(ESTIMATIVA[[#This Row],[QT_AREA_REAL]]&gt;0,"1- Colhido","2- à Colher")</f>
        <v>1- Colhido</v>
      </c>
      <c r="V1284" s="1" t="str">
        <f>IF(ESTIMATIVA[[#This Row],[QT_AREA_REST1]]&gt;0,"Reestimativa 1",IF(ESTIMATIVA[[#This Row],[QT_AREA_REAL]]=0,"Reestimativa 1","Realizado"))</f>
        <v>Reestimativa 1</v>
      </c>
      <c r="W1284" s="1" t="str">
        <f>IF(ESTIMATIVA[[#This Row],[QT_AREA_REST2]]&gt;0,"Reestimativa 2",IF(ESTIMATIVA[[#This Row],[QT_AREA_REAL]]=0,"Reestimativa 2","Realizado"))</f>
        <v>Realizado</v>
      </c>
      <c r="X1284" s="1">
        <f>ESTIMATIVA[[#This Row],[QT_AREA_EST]]</f>
        <v>16.59</v>
      </c>
      <c r="Y1284" s="1">
        <f>IF(ESTIMATIVA[[#This Row],[QT_AREA_REST1]]&gt;0,ESTIMATIVA[[#This Row],[QT_AREA_REST1]],
  IF(ESTIMATIVA[[#This Row],[QT_AREA_REAL]]&gt;0,ESTIMATIVA[[#This Row],[QT_AREA_REAL]],ESTIMATIVA[[#This Row],[QT_AREA_EST]]))</f>
        <v>16.59</v>
      </c>
      <c r="Z128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16.59</v>
      </c>
      <c r="AA1284" s="1">
        <f>ESTIMATIVA[[#This Row],[QT_CANA_EST]]</f>
        <v>1161.3</v>
      </c>
      <c r="AB1284" s="1">
        <f>IF(ESTIMATIVA[[#This Row],[QT_CANA_REST1]]&gt;0,ESTIMATIVA[[#This Row],[QT_CANA_REST1]],
  IF(ESTIMATIVA[[#This Row],[QT_CANA_REAL]]&gt;0,ESTIMATIVA[[#This Row],[QT_CANA_REAL]],ESTIMATIVA[[#This Row],[QT_CANA_EST]]))</f>
        <v>1161.3</v>
      </c>
      <c r="AC128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1047.9000000000001</v>
      </c>
      <c r="AD1284" s="1">
        <f>IF(ESTIMATIVA[[#This Row],[QT_AREA_REAL]]&gt;0,ESTIMATIVA[[#This Row],[QT_CANA_REAL]],ESTIMATIVA[[#This Row],[QT_CANA_EST]])</f>
        <v>1047.9000000000001</v>
      </c>
      <c r="AE1284" s="1">
        <f>IF(ESTIMATIVA[[#This Row],[QT_AREA_REAL]]&gt;0,ESTIMATIVA[[#This Row],[QT_CANA_REAL]],ESTIMATIVA[[#This Row],[QT_CANA_REST1]])</f>
        <v>1047.9000000000001</v>
      </c>
      <c r="AF1284" s="1">
        <f>IF(ESTIMATIVA[[#This Row],[QT_AREA_REAL]]&gt;0,ESTIMATIVA[[#This Row],[QT_CANA_REAL]],ESTIMATIVA[[#This Row],[QT_CANA_REST2]])</f>
        <v>1047.9000000000001</v>
      </c>
      <c r="AG1284" s="1" t="str">
        <f>IF(COUNTIFS(GEADA!A:A,VALUE(ESTIMATIVA[[#This Row],[CD_UPNIVEL1]]&amp;TEXT(ESTIMATIVA[[#This Row],[CD_UPNIVEL3]],"0000")))&gt;0,"S","N")</f>
        <v>N</v>
      </c>
      <c r="AH128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84" s="55" t="str">
        <f>IF(ESTIMATIVA[[#This Row],[TP_CULTIVO]]="Irrigado",_xlfn.MAXIFS(IRRIGADO!J:J,IRRIGADO!C:C,ESTIMATIVA[[#This Row],[CD_UPNIVEL1]],IRRIGADO!E:E,ESTIMATIVA[[#This Row],[CD_UPNIVEL3]]),"")</f>
        <v/>
      </c>
      <c r="AJ128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84" s="1">
        <f>COUNTIFS(Apresentação!$E$23:$E$29,ESTIMATIVA[[#This Row],[CD_UPNIVEL1]])</f>
        <v>0</v>
      </c>
    </row>
    <row r="1285" spans="1:37" x14ac:dyDescent="0.3">
      <c r="A1285">
        <v>20543</v>
      </c>
      <c r="B1285" t="s">
        <v>74</v>
      </c>
      <c r="C1285">
        <v>3</v>
      </c>
      <c r="D1285">
        <v>3</v>
      </c>
      <c r="E1285" t="s">
        <v>263</v>
      </c>
      <c r="F1285" s="85" t="s">
        <v>331</v>
      </c>
      <c r="G1285"/>
      <c r="H1285" t="s">
        <v>294</v>
      </c>
      <c r="I1285" t="s">
        <v>207</v>
      </c>
      <c r="J1285" t="s">
        <v>176</v>
      </c>
      <c r="K1285" s="1">
        <v>20.5</v>
      </c>
      <c r="L1285" s="1">
        <v>20.5</v>
      </c>
      <c r="M1285" s="1">
        <v>0</v>
      </c>
      <c r="N1285" s="1">
        <v>20.5</v>
      </c>
      <c r="O1285" s="1">
        <v>1435</v>
      </c>
      <c r="P1285" s="1">
        <v>1517</v>
      </c>
      <c r="Q1285" s="1">
        <v>0</v>
      </c>
      <c r="R1285" s="1">
        <v>1369.25</v>
      </c>
      <c r="S1285" t="s">
        <v>12</v>
      </c>
      <c r="T1285" s="13">
        <v>45858</v>
      </c>
      <c r="U1285" s="1" t="str">
        <f>IF(ESTIMATIVA[[#This Row],[QT_AREA_REAL]]&gt;0,"1- Colhido","2- à Colher")</f>
        <v>1- Colhido</v>
      </c>
      <c r="V1285" s="1" t="str">
        <f>IF(ESTIMATIVA[[#This Row],[QT_AREA_REST1]]&gt;0,"Reestimativa 1",IF(ESTIMATIVA[[#This Row],[QT_AREA_REAL]]=0,"Reestimativa 1","Realizado"))</f>
        <v>Reestimativa 1</v>
      </c>
      <c r="W1285" s="1" t="str">
        <f>IF(ESTIMATIVA[[#This Row],[QT_AREA_REST2]]&gt;0,"Reestimativa 2",IF(ESTIMATIVA[[#This Row],[QT_AREA_REAL]]=0,"Reestimativa 2","Realizado"))</f>
        <v>Realizado</v>
      </c>
      <c r="X1285" s="1">
        <f>ESTIMATIVA[[#This Row],[QT_AREA_EST]]</f>
        <v>20.5</v>
      </c>
      <c r="Y1285" s="1">
        <f>IF(ESTIMATIVA[[#This Row],[QT_AREA_REST1]]&gt;0,ESTIMATIVA[[#This Row],[QT_AREA_REST1]],
  IF(ESTIMATIVA[[#This Row],[QT_AREA_REAL]]&gt;0,ESTIMATIVA[[#This Row],[QT_AREA_REAL]],ESTIMATIVA[[#This Row],[QT_AREA_EST]]))</f>
        <v>20.5</v>
      </c>
      <c r="Z128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20.5</v>
      </c>
      <c r="AA1285" s="1">
        <f>ESTIMATIVA[[#This Row],[QT_CANA_EST]]</f>
        <v>1435</v>
      </c>
      <c r="AB1285" s="1">
        <f>IF(ESTIMATIVA[[#This Row],[QT_CANA_REST1]]&gt;0,ESTIMATIVA[[#This Row],[QT_CANA_REST1]],
  IF(ESTIMATIVA[[#This Row],[QT_CANA_REAL]]&gt;0,ESTIMATIVA[[#This Row],[QT_CANA_REAL]],ESTIMATIVA[[#This Row],[QT_CANA_EST]]))</f>
        <v>1517</v>
      </c>
      <c r="AC128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1369.25</v>
      </c>
      <c r="AD1285" s="1">
        <f>IF(ESTIMATIVA[[#This Row],[QT_AREA_REAL]]&gt;0,ESTIMATIVA[[#This Row],[QT_CANA_REAL]],ESTIMATIVA[[#This Row],[QT_CANA_EST]])</f>
        <v>1369.25</v>
      </c>
      <c r="AE1285" s="1">
        <f>IF(ESTIMATIVA[[#This Row],[QT_AREA_REAL]]&gt;0,ESTIMATIVA[[#This Row],[QT_CANA_REAL]],ESTIMATIVA[[#This Row],[QT_CANA_REST1]])</f>
        <v>1369.25</v>
      </c>
      <c r="AF1285" s="1">
        <f>IF(ESTIMATIVA[[#This Row],[QT_AREA_REAL]]&gt;0,ESTIMATIVA[[#This Row],[QT_CANA_REAL]],ESTIMATIVA[[#This Row],[QT_CANA_REST2]])</f>
        <v>1369.25</v>
      </c>
      <c r="AG1285" s="1" t="str">
        <f>IF(COUNTIFS(GEADA!A:A,VALUE(ESTIMATIVA[[#This Row],[CD_UPNIVEL1]]&amp;TEXT(ESTIMATIVA[[#This Row],[CD_UPNIVEL3]],"0000")))&gt;0,"S","N")</f>
        <v>N</v>
      </c>
      <c r="AH128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85" s="55" t="str">
        <f>IF(ESTIMATIVA[[#This Row],[TP_CULTIVO]]="Irrigado",_xlfn.MAXIFS(IRRIGADO!J:J,IRRIGADO!C:C,ESTIMATIVA[[#This Row],[CD_UPNIVEL1]],IRRIGADO!E:E,ESTIMATIVA[[#This Row],[CD_UPNIVEL3]]),"")</f>
        <v/>
      </c>
      <c r="AJ128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85" s="1">
        <f>COUNTIFS(Apresentação!$E$23:$E$29,ESTIMATIVA[[#This Row],[CD_UPNIVEL1]])</f>
        <v>0</v>
      </c>
    </row>
    <row r="1286" spans="1:37" x14ac:dyDescent="0.3">
      <c r="A1286">
        <v>20543</v>
      </c>
      <c r="B1286" t="s">
        <v>74</v>
      </c>
      <c r="C1286">
        <v>4</v>
      </c>
      <c r="D1286">
        <v>3</v>
      </c>
      <c r="E1286" t="s">
        <v>263</v>
      </c>
      <c r="F1286" s="85" t="s">
        <v>331</v>
      </c>
      <c r="G1286"/>
      <c r="H1286" t="s">
        <v>294</v>
      </c>
      <c r="I1286" t="s">
        <v>207</v>
      </c>
      <c r="J1286" t="s">
        <v>176</v>
      </c>
      <c r="K1286" s="1">
        <v>22.02</v>
      </c>
      <c r="L1286" s="1">
        <v>22.02</v>
      </c>
      <c r="M1286" s="1">
        <v>0</v>
      </c>
      <c r="N1286" s="1">
        <v>22.02</v>
      </c>
      <c r="O1286" s="1">
        <v>1541.4</v>
      </c>
      <c r="P1286" s="1">
        <v>1321.2</v>
      </c>
      <c r="Q1286" s="1">
        <v>0</v>
      </c>
      <c r="R1286" s="1">
        <v>1192.49</v>
      </c>
      <c r="S1286" t="s">
        <v>12</v>
      </c>
      <c r="T1286" s="13">
        <v>45858</v>
      </c>
      <c r="U1286" s="1" t="str">
        <f>IF(ESTIMATIVA[[#This Row],[QT_AREA_REAL]]&gt;0,"1- Colhido","2- à Colher")</f>
        <v>1- Colhido</v>
      </c>
      <c r="V1286" s="1" t="str">
        <f>IF(ESTIMATIVA[[#This Row],[QT_AREA_REST1]]&gt;0,"Reestimativa 1",IF(ESTIMATIVA[[#This Row],[QT_AREA_REAL]]=0,"Reestimativa 1","Realizado"))</f>
        <v>Reestimativa 1</v>
      </c>
      <c r="W1286" s="1" t="str">
        <f>IF(ESTIMATIVA[[#This Row],[QT_AREA_REST2]]&gt;0,"Reestimativa 2",IF(ESTIMATIVA[[#This Row],[QT_AREA_REAL]]=0,"Reestimativa 2","Realizado"))</f>
        <v>Realizado</v>
      </c>
      <c r="X1286" s="1">
        <f>ESTIMATIVA[[#This Row],[QT_AREA_EST]]</f>
        <v>22.02</v>
      </c>
      <c r="Y1286" s="1">
        <f>IF(ESTIMATIVA[[#This Row],[QT_AREA_REST1]]&gt;0,ESTIMATIVA[[#This Row],[QT_AREA_REST1]],
  IF(ESTIMATIVA[[#This Row],[QT_AREA_REAL]]&gt;0,ESTIMATIVA[[#This Row],[QT_AREA_REAL]],ESTIMATIVA[[#This Row],[QT_AREA_EST]]))</f>
        <v>22.02</v>
      </c>
      <c r="Z128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22.02</v>
      </c>
      <c r="AA1286" s="1">
        <f>ESTIMATIVA[[#This Row],[QT_CANA_EST]]</f>
        <v>1541.4</v>
      </c>
      <c r="AB1286" s="1">
        <f>IF(ESTIMATIVA[[#This Row],[QT_CANA_REST1]]&gt;0,ESTIMATIVA[[#This Row],[QT_CANA_REST1]],
  IF(ESTIMATIVA[[#This Row],[QT_CANA_REAL]]&gt;0,ESTIMATIVA[[#This Row],[QT_CANA_REAL]],ESTIMATIVA[[#This Row],[QT_CANA_EST]]))</f>
        <v>1321.2</v>
      </c>
      <c r="AC128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1192.49</v>
      </c>
      <c r="AD1286" s="1">
        <f>IF(ESTIMATIVA[[#This Row],[QT_AREA_REAL]]&gt;0,ESTIMATIVA[[#This Row],[QT_CANA_REAL]],ESTIMATIVA[[#This Row],[QT_CANA_EST]])</f>
        <v>1192.49</v>
      </c>
      <c r="AE1286" s="1">
        <f>IF(ESTIMATIVA[[#This Row],[QT_AREA_REAL]]&gt;0,ESTIMATIVA[[#This Row],[QT_CANA_REAL]],ESTIMATIVA[[#This Row],[QT_CANA_REST1]])</f>
        <v>1192.49</v>
      </c>
      <c r="AF1286" s="1">
        <f>IF(ESTIMATIVA[[#This Row],[QT_AREA_REAL]]&gt;0,ESTIMATIVA[[#This Row],[QT_CANA_REAL]],ESTIMATIVA[[#This Row],[QT_CANA_REST2]])</f>
        <v>1192.49</v>
      </c>
      <c r="AG1286" s="1" t="str">
        <f>IF(COUNTIFS(GEADA!A:A,VALUE(ESTIMATIVA[[#This Row],[CD_UPNIVEL1]]&amp;TEXT(ESTIMATIVA[[#This Row],[CD_UPNIVEL3]],"0000")))&gt;0,"S","N")</f>
        <v>S</v>
      </c>
      <c r="AH128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86" s="55" t="str">
        <f>IF(ESTIMATIVA[[#This Row],[TP_CULTIVO]]="Irrigado",_xlfn.MAXIFS(IRRIGADO!J:J,IRRIGADO!C:C,ESTIMATIVA[[#This Row],[CD_UPNIVEL1]],IRRIGADO!E:E,ESTIMATIVA[[#This Row],[CD_UPNIVEL3]]),"")</f>
        <v/>
      </c>
      <c r="AJ128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86" s="1">
        <f>COUNTIFS(Apresentação!$E$23:$E$29,ESTIMATIVA[[#This Row],[CD_UPNIVEL1]])</f>
        <v>0</v>
      </c>
    </row>
    <row r="1287" spans="1:37" x14ac:dyDescent="0.3">
      <c r="A1287">
        <v>20544</v>
      </c>
      <c r="B1287" t="s">
        <v>75</v>
      </c>
      <c r="C1287">
        <v>1</v>
      </c>
      <c r="D1287">
        <v>6</v>
      </c>
      <c r="E1287" t="s">
        <v>261</v>
      </c>
      <c r="F1287" s="85" t="s">
        <v>331</v>
      </c>
      <c r="G1287"/>
      <c r="H1287" t="s">
        <v>294</v>
      </c>
      <c r="I1287" t="s">
        <v>202</v>
      </c>
      <c r="J1287" t="s">
        <v>176</v>
      </c>
      <c r="K1287" s="1">
        <v>6.92</v>
      </c>
      <c r="L1287" s="1">
        <v>6.92</v>
      </c>
      <c r="M1287" s="1">
        <v>0</v>
      </c>
      <c r="N1287" s="1">
        <v>6.92</v>
      </c>
      <c r="O1287" s="1">
        <v>262.95999999999998</v>
      </c>
      <c r="P1287" s="1">
        <v>262.95999999999998</v>
      </c>
      <c r="Q1287" s="1">
        <v>0</v>
      </c>
      <c r="R1287" s="1">
        <v>231.44</v>
      </c>
      <c r="S1287" t="s">
        <v>12</v>
      </c>
      <c r="T1287" s="13">
        <v>45900</v>
      </c>
      <c r="U1287" s="1" t="str">
        <f>IF(ESTIMATIVA[[#This Row],[QT_AREA_REAL]]&gt;0,"1- Colhido","2- à Colher")</f>
        <v>1- Colhido</v>
      </c>
      <c r="V1287" s="1" t="str">
        <f>IF(ESTIMATIVA[[#This Row],[QT_AREA_REST1]]&gt;0,"Reestimativa 1",IF(ESTIMATIVA[[#This Row],[QT_AREA_REAL]]=0,"Reestimativa 1","Realizado"))</f>
        <v>Reestimativa 1</v>
      </c>
      <c r="W1287" s="1" t="str">
        <f>IF(ESTIMATIVA[[#This Row],[QT_AREA_REST2]]&gt;0,"Reestimativa 2",IF(ESTIMATIVA[[#This Row],[QT_AREA_REAL]]=0,"Reestimativa 2","Realizado"))</f>
        <v>Realizado</v>
      </c>
      <c r="X1287" s="1">
        <f>ESTIMATIVA[[#This Row],[QT_AREA_EST]]</f>
        <v>6.92</v>
      </c>
      <c r="Y1287" s="1">
        <f>IF(ESTIMATIVA[[#This Row],[QT_AREA_REST1]]&gt;0,ESTIMATIVA[[#This Row],[QT_AREA_REST1]],
  IF(ESTIMATIVA[[#This Row],[QT_AREA_REAL]]&gt;0,ESTIMATIVA[[#This Row],[QT_AREA_REAL]],ESTIMATIVA[[#This Row],[QT_AREA_EST]]))</f>
        <v>6.92</v>
      </c>
      <c r="Z128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6.92</v>
      </c>
      <c r="AA1287" s="1">
        <f>ESTIMATIVA[[#This Row],[QT_CANA_EST]]</f>
        <v>262.95999999999998</v>
      </c>
      <c r="AB1287" s="1">
        <f>IF(ESTIMATIVA[[#This Row],[QT_CANA_REST1]]&gt;0,ESTIMATIVA[[#This Row],[QT_CANA_REST1]],
  IF(ESTIMATIVA[[#This Row],[QT_CANA_REAL]]&gt;0,ESTIMATIVA[[#This Row],[QT_CANA_REAL]],ESTIMATIVA[[#This Row],[QT_CANA_EST]]))</f>
        <v>262.95999999999998</v>
      </c>
      <c r="AC128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231.44</v>
      </c>
      <c r="AD1287" s="1">
        <f>IF(ESTIMATIVA[[#This Row],[QT_AREA_REAL]]&gt;0,ESTIMATIVA[[#This Row],[QT_CANA_REAL]],ESTIMATIVA[[#This Row],[QT_CANA_EST]])</f>
        <v>231.44</v>
      </c>
      <c r="AE1287" s="1">
        <f>IF(ESTIMATIVA[[#This Row],[QT_AREA_REAL]]&gt;0,ESTIMATIVA[[#This Row],[QT_CANA_REAL]],ESTIMATIVA[[#This Row],[QT_CANA_REST1]])</f>
        <v>231.44</v>
      </c>
      <c r="AF1287" s="1">
        <f>IF(ESTIMATIVA[[#This Row],[QT_AREA_REAL]]&gt;0,ESTIMATIVA[[#This Row],[QT_CANA_REAL]],ESTIMATIVA[[#This Row],[QT_CANA_REST2]])</f>
        <v>231.44</v>
      </c>
      <c r="AG1287" s="1" t="str">
        <f>IF(COUNTIFS(GEADA!A:A,VALUE(ESTIMATIVA[[#This Row],[CD_UPNIVEL1]]&amp;TEXT(ESTIMATIVA[[#This Row],[CD_UPNIVEL3]],"0000")))&gt;0,"S","N")</f>
        <v>S</v>
      </c>
      <c r="AH128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87" s="55" t="str">
        <f>IF(ESTIMATIVA[[#This Row],[TP_CULTIVO]]="Irrigado",_xlfn.MAXIFS(IRRIGADO!J:J,IRRIGADO!C:C,ESTIMATIVA[[#This Row],[CD_UPNIVEL1]],IRRIGADO!E:E,ESTIMATIVA[[#This Row],[CD_UPNIVEL3]]),"")</f>
        <v/>
      </c>
      <c r="AJ128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87" s="1">
        <f>COUNTIFS(Apresentação!$E$23:$E$29,ESTIMATIVA[[#This Row],[CD_UPNIVEL1]])</f>
        <v>0</v>
      </c>
    </row>
    <row r="1288" spans="1:37" x14ac:dyDescent="0.3">
      <c r="A1288">
        <v>20544</v>
      </c>
      <c r="B1288" t="s">
        <v>75</v>
      </c>
      <c r="C1288">
        <v>2</v>
      </c>
      <c r="D1288">
        <v>6</v>
      </c>
      <c r="E1288" t="s">
        <v>261</v>
      </c>
      <c r="F1288" s="85" t="s">
        <v>331</v>
      </c>
      <c r="G1288"/>
      <c r="H1288" t="s">
        <v>294</v>
      </c>
      <c r="I1288" t="s">
        <v>202</v>
      </c>
      <c r="J1288" t="s">
        <v>176</v>
      </c>
      <c r="K1288" s="1">
        <v>5.79</v>
      </c>
      <c r="L1288" s="1">
        <v>5.79</v>
      </c>
      <c r="M1288" s="1">
        <v>0</v>
      </c>
      <c r="N1288" s="1">
        <v>5.79</v>
      </c>
      <c r="O1288" s="1">
        <v>220.02</v>
      </c>
      <c r="P1288" s="1">
        <v>220.02</v>
      </c>
      <c r="Q1288" s="1">
        <v>0</v>
      </c>
      <c r="R1288" s="1">
        <v>193.58</v>
      </c>
      <c r="S1288" t="s">
        <v>12</v>
      </c>
      <c r="T1288" s="13">
        <v>45900</v>
      </c>
      <c r="U1288" s="1" t="str">
        <f>IF(ESTIMATIVA[[#This Row],[QT_AREA_REAL]]&gt;0,"1- Colhido","2- à Colher")</f>
        <v>1- Colhido</v>
      </c>
      <c r="V1288" s="1" t="str">
        <f>IF(ESTIMATIVA[[#This Row],[QT_AREA_REST1]]&gt;0,"Reestimativa 1",IF(ESTIMATIVA[[#This Row],[QT_AREA_REAL]]=0,"Reestimativa 1","Realizado"))</f>
        <v>Reestimativa 1</v>
      </c>
      <c r="W1288" s="1" t="str">
        <f>IF(ESTIMATIVA[[#This Row],[QT_AREA_REST2]]&gt;0,"Reestimativa 2",IF(ESTIMATIVA[[#This Row],[QT_AREA_REAL]]=0,"Reestimativa 2","Realizado"))</f>
        <v>Realizado</v>
      </c>
      <c r="X1288" s="1">
        <f>ESTIMATIVA[[#This Row],[QT_AREA_EST]]</f>
        <v>5.79</v>
      </c>
      <c r="Y1288" s="1">
        <f>IF(ESTIMATIVA[[#This Row],[QT_AREA_REST1]]&gt;0,ESTIMATIVA[[#This Row],[QT_AREA_REST1]],
  IF(ESTIMATIVA[[#This Row],[QT_AREA_REAL]]&gt;0,ESTIMATIVA[[#This Row],[QT_AREA_REAL]],ESTIMATIVA[[#This Row],[QT_AREA_EST]]))</f>
        <v>5.79</v>
      </c>
      <c r="Z128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5.79</v>
      </c>
      <c r="AA1288" s="1">
        <f>ESTIMATIVA[[#This Row],[QT_CANA_EST]]</f>
        <v>220.02</v>
      </c>
      <c r="AB1288" s="1">
        <f>IF(ESTIMATIVA[[#This Row],[QT_CANA_REST1]]&gt;0,ESTIMATIVA[[#This Row],[QT_CANA_REST1]],
  IF(ESTIMATIVA[[#This Row],[QT_CANA_REAL]]&gt;0,ESTIMATIVA[[#This Row],[QT_CANA_REAL]],ESTIMATIVA[[#This Row],[QT_CANA_EST]]))</f>
        <v>220.02</v>
      </c>
      <c r="AC128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193.58</v>
      </c>
      <c r="AD1288" s="1">
        <f>IF(ESTIMATIVA[[#This Row],[QT_AREA_REAL]]&gt;0,ESTIMATIVA[[#This Row],[QT_CANA_REAL]],ESTIMATIVA[[#This Row],[QT_CANA_EST]])</f>
        <v>193.58</v>
      </c>
      <c r="AE1288" s="1">
        <f>IF(ESTIMATIVA[[#This Row],[QT_AREA_REAL]]&gt;0,ESTIMATIVA[[#This Row],[QT_CANA_REAL]],ESTIMATIVA[[#This Row],[QT_CANA_REST1]])</f>
        <v>193.58</v>
      </c>
      <c r="AF1288" s="1">
        <f>IF(ESTIMATIVA[[#This Row],[QT_AREA_REAL]]&gt;0,ESTIMATIVA[[#This Row],[QT_CANA_REAL]],ESTIMATIVA[[#This Row],[QT_CANA_REST2]])</f>
        <v>193.58</v>
      </c>
      <c r="AG1288" s="1" t="str">
        <f>IF(COUNTIFS(GEADA!A:A,VALUE(ESTIMATIVA[[#This Row],[CD_UPNIVEL1]]&amp;TEXT(ESTIMATIVA[[#This Row],[CD_UPNIVEL3]],"0000")))&gt;0,"S","N")</f>
        <v>S</v>
      </c>
      <c r="AH128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88" s="55" t="str">
        <f>IF(ESTIMATIVA[[#This Row],[TP_CULTIVO]]="Irrigado",_xlfn.MAXIFS(IRRIGADO!J:J,IRRIGADO!C:C,ESTIMATIVA[[#This Row],[CD_UPNIVEL1]],IRRIGADO!E:E,ESTIMATIVA[[#This Row],[CD_UPNIVEL3]]),"")</f>
        <v/>
      </c>
      <c r="AJ128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88" s="1">
        <f>COUNTIFS(Apresentação!$E$23:$E$29,ESTIMATIVA[[#This Row],[CD_UPNIVEL1]])</f>
        <v>0</v>
      </c>
    </row>
    <row r="1289" spans="1:37" x14ac:dyDescent="0.3">
      <c r="A1289">
        <v>20544</v>
      </c>
      <c r="B1289" t="s">
        <v>75</v>
      </c>
      <c r="C1289">
        <v>3</v>
      </c>
      <c r="D1289">
        <v>6</v>
      </c>
      <c r="E1289" t="s">
        <v>261</v>
      </c>
      <c r="F1289" s="85" t="s">
        <v>331</v>
      </c>
      <c r="G1289"/>
      <c r="H1289" t="s">
        <v>294</v>
      </c>
      <c r="I1289" t="s">
        <v>202</v>
      </c>
      <c r="J1289" t="s">
        <v>176</v>
      </c>
      <c r="K1289" s="1">
        <v>24.4</v>
      </c>
      <c r="L1289" s="1">
        <v>24.4</v>
      </c>
      <c r="M1289" s="1">
        <v>0</v>
      </c>
      <c r="N1289" s="1">
        <v>24.4</v>
      </c>
      <c r="O1289" s="1">
        <v>927.2</v>
      </c>
      <c r="P1289" s="1">
        <v>927.2</v>
      </c>
      <c r="Q1289" s="1">
        <v>0</v>
      </c>
      <c r="R1289" s="1">
        <v>815.87</v>
      </c>
      <c r="S1289" t="s">
        <v>12</v>
      </c>
      <c r="T1289" s="13">
        <v>45900</v>
      </c>
      <c r="U1289" s="1" t="str">
        <f>IF(ESTIMATIVA[[#This Row],[QT_AREA_REAL]]&gt;0,"1- Colhido","2- à Colher")</f>
        <v>1- Colhido</v>
      </c>
      <c r="V1289" s="1" t="str">
        <f>IF(ESTIMATIVA[[#This Row],[QT_AREA_REST1]]&gt;0,"Reestimativa 1",IF(ESTIMATIVA[[#This Row],[QT_AREA_REAL]]=0,"Reestimativa 1","Realizado"))</f>
        <v>Reestimativa 1</v>
      </c>
      <c r="W1289" s="1" t="str">
        <f>IF(ESTIMATIVA[[#This Row],[QT_AREA_REST2]]&gt;0,"Reestimativa 2",IF(ESTIMATIVA[[#This Row],[QT_AREA_REAL]]=0,"Reestimativa 2","Realizado"))</f>
        <v>Realizado</v>
      </c>
      <c r="X1289" s="1">
        <f>ESTIMATIVA[[#This Row],[QT_AREA_EST]]</f>
        <v>24.4</v>
      </c>
      <c r="Y1289" s="1">
        <f>IF(ESTIMATIVA[[#This Row],[QT_AREA_REST1]]&gt;0,ESTIMATIVA[[#This Row],[QT_AREA_REST1]],
  IF(ESTIMATIVA[[#This Row],[QT_AREA_REAL]]&gt;0,ESTIMATIVA[[#This Row],[QT_AREA_REAL]],ESTIMATIVA[[#This Row],[QT_AREA_EST]]))</f>
        <v>24.4</v>
      </c>
      <c r="Z128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24.4</v>
      </c>
      <c r="AA1289" s="1">
        <f>ESTIMATIVA[[#This Row],[QT_CANA_EST]]</f>
        <v>927.2</v>
      </c>
      <c r="AB1289" s="1">
        <f>IF(ESTIMATIVA[[#This Row],[QT_CANA_REST1]]&gt;0,ESTIMATIVA[[#This Row],[QT_CANA_REST1]],
  IF(ESTIMATIVA[[#This Row],[QT_CANA_REAL]]&gt;0,ESTIMATIVA[[#This Row],[QT_CANA_REAL]],ESTIMATIVA[[#This Row],[QT_CANA_EST]]))</f>
        <v>927.2</v>
      </c>
      <c r="AC128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815.87</v>
      </c>
      <c r="AD1289" s="1">
        <f>IF(ESTIMATIVA[[#This Row],[QT_AREA_REAL]]&gt;0,ESTIMATIVA[[#This Row],[QT_CANA_REAL]],ESTIMATIVA[[#This Row],[QT_CANA_EST]])</f>
        <v>815.87</v>
      </c>
      <c r="AE1289" s="1">
        <f>IF(ESTIMATIVA[[#This Row],[QT_AREA_REAL]]&gt;0,ESTIMATIVA[[#This Row],[QT_CANA_REAL]],ESTIMATIVA[[#This Row],[QT_CANA_REST1]])</f>
        <v>815.87</v>
      </c>
      <c r="AF1289" s="1">
        <f>IF(ESTIMATIVA[[#This Row],[QT_AREA_REAL]]&gt;0,ESTIMATIVA[[#This Row],[QT_CANA_REAL]],ESTIMATIVA[[#This Row],[QT_CANA_REST2]])</f>
        <v>815.87</v>
      </c>
      <c r="AG1289" s="1" t="str">
        <f>IF(COUNTIFS(GEADA!A:A,VALUE(ESTIMATIVA[[#This Row],[CD_UPNIVEL1]]&amp;TEXT(ESTIMATIVA[[#This Row],[CD_UPNIVEL3]],"0000")))&gt;0,"S","N")</f>
        <v>S</v>
      </c>
      <c r="AH128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89" s="55" t="str">
        <f>IF(ESTIMATIVA[[#This Row],[TP_CULTIVO]]="Irrigado",_xlfn.MAXIFS(IRRIGADO!J:J,IRRIGADO!C:C,ESTIMATIVA[[#This Row],[CD_UPNIVEL1]],IRRIGADO!E:E,ESTIMATIVA[[#This Row],[CD_UPNIVEL3]]),"")</f>
        <v/>
      </c>
      <c r="AJ128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89" s="1">
        <f>COUNTIFS(Apresentação!$E$23:$E$29,ESTIMATIVA[[#This Row],[CD_UPNIVEL1]])</f>
        <v>0</v>
      </c>
    </row>
    <row r="1290" spans="1:37" x14ac:dyDescent="0.3">
      <c r="A1290">
        <v>20544</v>
      </c>
      <c r="B1290" t="s">
        <v>75</v>
      </c>
      <c r="C1290">
        <v>4</v>
      </c>
      <c r="D1290">
        <v>6</v>
      </c>
      <c r="E1290" t="s">
        <v>261</v>
      </c>
      <c r="F1290" s="85" t="s">
        <v>333</v>
      </c>
      <c r="G1290"/>
      <c r="H1290" t="s">
        <v>294</v>
      </c>
      <c r="I1290" t="s">
        <v>202</v>
      </c>
      <c r="J1290" t="s">
        <v>176</v>
      </c>
      <c r="K1290" s="1">
        <v>33.68</v>
      </c>
      <c r="L1290" s="1">
        <v>33.68</v>
      </c>
      <c r="M1290" s="1">
        <v>0</v>
      </c>
      <c r="N1290" s="1">
        <v>33.68</v>
      </c>
      <c r="O1290" s="1">
        <v>1279.8399999999999</v>
      </c>
      <c r="P1290" s="1">
        <v>673.6</v>
      </c>
      <c r="Q1290" s="1">
        <v>0</v>
      </c>
      <c r="R1290" s="1">
        <v>1083.3699999999999</v>
      </c>
      <c r="S1290" t="s">
        <v>12</v>
      </c>
      <c r="T1290" s="13">
        <v>45893</v>
      </c>
      <c r="U1290" s="1" t="str">
        <f>IF(ESTIMATIVA[[#This Row],[QT_AREA_REAL]]&gt;0,"1- Colhido","2- à Colher")</f>
        <v>1- Colhido</v>
      </c>
      <c r="V1290" s="1" t="str">
        <f>IF(ESTIMATIVA[[#This Row],[QT_AREA_REST1]]&gt;0,"Reestimativa 1",IF(ESTIMATIVA[[#This Row],[QT_AREA_REAL]]=0,"Reestimativa 1","Realizado"))</f>
        <v>Reestimativa 1</v>
      </c>
      <c r="W1290" s="1" t="str">
        <f>IF(ESTIMATIVA[[#This Row],[QT_AREA_REST2]]&gt;0,"Reestimativa 2",IF(ESTIMATIVA[[#This Row],[QT_AREA_REAL]]=0,"Reestimativa 2","Realizado"))</f>
        <v>Realizado</v>
      </c>
      <c r="X1290" s="1">
        <f>ESTIMATIVA[[#This Row],[QT_AREA_EST]]</f>
        <v>33.68</v>
      </c>
      <c r="Y1290" s="1">
        <f>IF(ESTIMATIVA[[#This Row],[QT_AREA_REST1]]&gt;0,ESTIMATIVA[[#This Row],[QT_AREA_REST1]],
  IF(ESTIMATIVA[[#This Row],[QT_AREA_REAL]]&gt;0,ESTIMATIVA[[#This Row],[QT_AREA_REAL]],ESTIMATIVA[[#This Row],[QT_AREA_EST]]))</f>
        <v>33.68</v>
      </c>
      <c r="Z129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33.68</v>
      </c>
      <c r="AA1290" s="1">
        <f>ESTIMATIVA[[#This Row],[QT_CANA_EST]]</f>
        <v>1279.8399999999999</v>
      </c>
      <c r="AB1290" s="1">
        <f>IF(ESTIMATIVA[[#This Row],[QT_CANA_REST1]]&gt;0,ESTIMATIVA[[#This Row],[QT_CANA_REST1]],
  IF(ESTIMATIVA[[#This Row],[QT_CANA_REAL]]&gt;0,ESTIMATIVA[[#This Row],[QT_CANA_REAL]],ESTIMATIVA[[#This Row],[QT_CANA_EST]]))</f>
        <v>673.6</v>
      </c>
      <c r="AC129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1083.3699999999999</v>
      </c>
      <c r="AD1290" s="1">
        <f>IF(ESTIMATIVA[[#This Row],[QT_AREA_REAL]]&gt;0,ESTIMATIVA[[#This Row],[QT_CANA_REAL]],ESTIMATIVA[[#This Row],[QT_CANA_EST]])</f>
        <v>1083.3699999999999</v>
      </c>
      <c r="AE1290" s="1">
        <f>IF(ESTIMATIVA[[#This Row],[QT_AREA_REAL]]&gt;0,ESTIMATIVA[[#This Row],[QT_CANA_REAL]],ESTIMATIVA[[#This Row],[QT_CANA_REST1]])</f>
        <v>1083.3699999999999</v>
      </c>
      <c r="AF1290" s="1">
        <f>IF(ESTIMATIVA[[#This Row],[QT_AREA_REAL]]&gt;0,ESTIMATIVA[[#This Row],[QT_CANA_REAL]],ESTIMATIVA[[#This Row],[QT_CANA_REST2]])</f>
        <v>1083.3699999999999</v>
      </c>
      <c r="AG1290" s="1" t="str">
        <f>IF(COUNTIFS(GEADA!A:A,VALUE(ESTIMATIVA[[#This Row],[CD_UPNIVEL1]]&amp;TEXT(ESTIMATIVA[[#This Row],[CD_UPNIVEL3]],"0000")))&gt;0,"S","N")</f>
        <v>N</v>
      </c>
      <c r="AH129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90" s="55" t="str">
        <f>IF(ESTIMATIVA[[#This Row],[TP_CULTIVO]]="Irrigado",_xlfn.MAXIFS(IRRIGADO!J:J,IRRIGADO!C:C,ESTIMATIVA[[#This Row],[CD_UPNIVEL1]],IRRIGADO!E:E,ESTIMATIVA[[#This Row],[CD_UPNIVEL3]]),"")</f>
        <v/>
      </c>
      <c r="AJ129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90" s="1">
        <f>COUNTIFS(Apresentação!$E$23:$E$29,ESTIMATIVA[[#This Row],[CD_UPNIVEL1]])</f>
        <v>0</v>
      </c>
    </row>
    <row r="1291" spans="1:37" x14ac:dyDescent="0.3">
      <c r="A1291">
        <v>20544</v>
      </c>
      <c r="B1291" t="s">
        <v>75</v>
      </c>
      <c r="C1291">
        <v>5</v>
      </c>
      <c r="D1291">
        <v>6</v>
      </c>
      <c r="E1291" t="s">
        <v>261</v>
      </c>
      <c r="F1291" s="85" t="s">
        <v>333</v>
      </c>
      <c r="G1291"/>
      <c r="H1291" t="s">
        <v>294</v>
      </c>
      <c r="I1291" t="s">
        <v>202</v>
      </c>
      <c r="J1291" t="s">
        <v>176</v>
      </c>
      <c r="K1291" s="1">
        <v>33.83</v>
      </c>
      <c r="L1291" s="1">
        <v>33.83</v>
      </c>
      <c r="M1291" s="1">
        <v>0</v>
      </c>
      <c r="N1291" s="1">
        <v>33.83</v>
      </c>
      <c r="O1291" s="1">
        <v>1285.54</v>
      </c>
      <c r="P1291" s="1">
        <v>676.6</v>
      </c>
      <c r="Q1291" s="1">
        <v>0</v>
      </c>
      <c r="R1291" s="1">
        <v>1088.25</v>
      </c>
      <c r="S1291" t="s">
        <v>12</v>
      </c>
      <c r="T1291" s="13">
        <v>45893</v>
      </c>
      <c r="U1291" s="1" t="str">
        <f>IF(ESTIMATIVA[[#This Row],[QT_AREA_REAL]]&gt;0,"1- Colhido","2- à Colher")</f>
        <v>1- Colhido</v>
      </c>
      <c r="V1291" s="1" t="str">
        <f>IF(ESTIMATIVA[[#This Row],[QT_AREA_REST1]]&gt;0,"Reestimativa 1",IF(ESTIMATIVA[[#This Row],[QT_AREA_REAL]]=0,"Reestimativa 1","Realizado"))</f>
        <v>Reestimativa 1</v>
      </c>
      <c r="W1291" s="1" t="str">
        <f>IF(ESTIMATIVA[[#This Row],[QT_AREA_REST2]]&gt;0,"Reestimativa 2",IF(ESTIMATIVA[[#This Row],[QT_AREA_REAL]]=0,"Reestimativa 2","Realizado"))</f>
        <v>Realizado</v>
      </c>
      <c r="X1291" s="1">
        <f>ESTIMATIVA[[#This Row],[QT_AREA_EST]]</f>
        <v>33.83</v>
      </c>
      <c r="Y1291" s="1">
        <f>IF(ESTIMATIVA[[#This Row],[QT_AREA_REST1]]&gt;0,ESTIMATIVA[[#This Row],[QT_AREA_REST1]],
  IF(ESTIMATIVA[[#This Row],[QT_AREA_REAL]]&gt;0,ESTIMATIVA[[#This Row],[QT_AREA_REAL]],ESTIMATIVA[[#This Row],[QT_AREA_EST]]))</f>
        <v>33.83</v>
      </c>
      <c r="Z129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33.83</v>
      </c>
      <c r="AA1291" s="1">
        <f>ESTIMATIVA[[#This Row],[QT_CANA_EST]]</f>
        <v>1285.54</v>
      </c>
      <c r="AB1291" s="1">
        <f>IF(ESTIMATIVA[[#This Row],[QT_CANA_REST1]]&gt;0,ESTIMATIVA[[#This Row],[QT_CANA_REST1]],
  IF(ESTIMATIVA[[#This Row],[QT_CANA_REAL]]&gt;0,ESTIMATIVA[[#This Row],[QT_CANA_REAL]],ESTIMATIVA[[#This Row],[QT_CANA_EST]]))</f>
        <v>676.6</v>
      </c>
      <c r="AC129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1088.25</v>
      </c>
      <c r="AD1291" s="1">
        <f>IF(ESTIMATIVA[[#This Row],[QT_AREA_REAL]]&gt;0,ESTIMATIVA[[#This Row],[QT_CANA_REAL]],ESTIMATIVA[[#This Row],[QT_CANA_EST]])</f>
        <v>1088.25</v>
      </c>
      <c r="AE1291" s="1">
        <f>IF(ESTIMATIVA[[#This Row],[QT_AREA_REAL]]&gt;0,ESTIMATIVA[[#This Row],[QT_CANA_REAL]],ESTIMATIVA[[#This Row],[QT_CANA_REST1]])</f>
        <v>1088.25</v>
      </c>
      <c r="AF1291" s="1">
        <f>IF(ESTIMATIVA[[#This Row],[QT_AREA_REAL]]&gt;0,ESTIMATIVA[[#This Row],[QT_CANA_REAL]],ESTIMATIVA[[#This Row],[QT_CANA_REST2]])</f>
        <v>1088.25</v>
      </c>
      <c r="AG1291" s="1" t="str">
        <f>IF(COUNTIFS(GEADA!A:A,VALUE(ESTIMATIVA[[#This Row],[CD_UPNIVEL1]]&amp;TEXT(ESTIMATIVA[[#This Row],[CD_UPNIVEL3]],"0000")))&gt;0,"S","N")</f>
        <v>S</v>
      </c>
      <c r="AH129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91" s="55" t="str">
        <f>IF(ESTIMATIVA[[#This Row],[TP_CULTIVO]]="Irrigado",_xlfn.MAXIFS(IRRIGADO!J:J,IRRIGADO!C:C,ESTIMATIVA[[#This Row],[CD_UPNIVEL1]],IRRIGADO!E:E,ESTIMATIVA[[#This Row],[CD_UPNIVEL3]]),"")</f>
        <v/>
      </c>
      <c r="AJ129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91" s="1">
        <f>COUNTIFS(Apresentação!$E$23:$E$29,ESTIMATIVA[[#This Row],[CD_UPNIVEL1]])</f>
        <v>0</v>
      </c>
    </row>
    <row r="1292" spans="1:37" x14ac:dyDescent="0.3">
      <c r="A1292">
        <v>20544</v>
      </c>
      <c r="B1292" t="s">
        <v>75</v>
      </c>
      <c r="C1292">
        <v>6</v>
      </c>
      <c r="D1292">
        <v>6</v>
      </c>
      <c r="E1292" t="s">
        <v>261</v>
      </c>
      <c r="F1292" s="85" t="s">
        <v>333</v>
      </c>
      <c r="G1292"/>
      <c r="H1292" t="s">
        <v>294</v>
      </c>
      <c r="I1292" t="s">
        <v>202</v>
      </c>
      <c r="J1292" t="s">
        <v>176</v>
      </c>
      <c r="K1292" s="1">
        <v>43.24</v>
      </c>
      <c r="L1292" s="1">
        <v>43.24</v>
      </c>
      <c r="M1292" s="1">
        <v>0</v>
      </c>
      <c r="N1292" s="1">
        <v>43.24</v>
      </c>
      <c r="O1292" s="1">
        <v>1297.2</v>
      </c>
      <c r="P1292" s="1">
        <v>864.8</v>
      </c>
      <c r="Q1292" s="1">
        <v>0</v>
      </c>
      <c r="R1292" s="1">
        <v>1449.57</v>
      </c>
      <c r="S1292" t="s">
        <v>12</v>
      </c>
      <c r="T1292" s="13">
        <v>45893</v>
      </c>
      <c r="U1292" s="1" t="str">
        <f>IF(ESTIMATIVA[[#This Row],[QT_AREA_REAL]]&gt;0,"1- Colhido","2- à Colher")</f>
        <v>1- Colhido</v>
      </c>
      <c r="V1292" s="1" t="str">
        <f>IF(ESTIMATIVA[[#This Row],[QT_AREA_REST1]]&gt;0,"Reestimativa 1",IF(ESTIMATIVA[[#This Row],[QT_AREA_REAL]]=0,"Reestimativa 1","Realizado"))</f>
        <v>Reestimativa 1</v>
      </c>
      <c r="W1292" s="1" t="str">
        <f>IF(ESTIMATIVA[[#This Row],[QT_AREA_REST2]]&gt;0,"Reestimativa 2",IF(ESTIMATIVA[[#This Row],[QT_AREA_REAL]]=0,"Reestimativa 2","Realizado"))</f>
        <v>Realizado</v>
      </c>
      <c r="X1292" s="1">
        <f>ESTIMATIVA[[#This Row],[QT_AREA_EST]]</f>
        <v>43.24</v>
      </c>
      <c r="Y1292" s="1">
        <f>IF(ESTIMATIVA[[#This Row],[QT_AREA_REST1]]&gt;0,ESTIMATIVA[[#This Row],[QT_AREA_REST1]],
  IF(ESTIMATIVA[[#This Row],[QT_AREA_REAL]]&gt;0,ESTIMATIVA[[#This Row],[QT_AREA_REAL]],ESTIMATIVA[[#This Row],[QT_AREA_EST]]))</f>
        <v>43.24</v>
      </c>
      <c r="Z129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43.24</v>
      </c>
      <c r="AA1292" s="1">
        <f>ESTIMATIVA[[#This Row],[QT_CANA_EST]]</f>
        <v>1297.2</v>
      </c>
      <c r="AB1292" s="1">
        <f>IF(ESTIMATIVA[[#This Row],[QT_CANA_REST1]]&gt;0,ESTIMATIVA[[#This Row],[QT_CANA_REST1]],
  IF(ESTIMATIVA[[#This Row],[QT_CANA_REAL]]&gt;0,ESTIMATIVA[[#This Row],[QT_CANA_REAL]],ESTIMATIVA[[#This Row],[QT_CANA_EST]]))</f>
        <v>864.8</v>
      </c>
      <c r="AC129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1449.57</v>
      </c>
      <c r="AD1292" s="1">
        <f>IF(ESTIMATIVA[[#This Row],[QT_AREA_REAL]]&gt;0,ESTIMATIVA[[#This Row],[QT_CANA_REAL]],ESTIMATIVA[[#This Row],[QT_CANA_EST]])</f>
        <v>1449.57</v>
      </c>
      <c r="AE1292" s="1">
        <f>IF(ESTIMATIVA[[#This Row],[QT_AREA_REAL]]&gt;0,ESTIMATIVA[[#This Row],[QT_CANA_REAL]],ESTIMATIVA[[#This Row],[QT_CANA_REST1]])</f>
        <v>1449.57</v>
      </c>
      <c r="AF1292" s="1">
        <f>IF(ESTIMATIVA[[#This Row],[QT_AREA_REAL]]&gt;0,ESTIMATIVA[[#This Row],[QT_CANA_REAL]],ESTIMATIVA[[#This Row],[QT_CANA_REST2]])</f>
        <v>1449.57</v>
      </c>
      <c r="AG1292" s="1" t="str">
        <f>IF(COUNTIFS(GEADA!A:A,VALUE(ESTIMATIVA[[#This Row],[CD_UPNIVEL1]]&amp;TEXT(ESTIMATIVA[[#This Row],[CD_UPNIVEL3]],"0000")))&gt;0,"S","N")</f>
        <v>S</v>
      </c>
      <c r="AH129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92" s="55" t="str">
        <f>IF(ESTIMATIVA[[#This Row],[TP_CULTIVO]]="Irrigado",_xlfn.MAXIFS(IRRIGADO!J:J,IRRIGADO!C:C,ESTIMATIVA[[#This Row],[CD_UPNIVEL1]],IRRIGADO!E:E,ESTIMATIVA[[#This Row],[CD_UPNIVEL3]]),"")</f>
        <v/>
      </c>
      <c r="AJ129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92" s="1">
        <f>COUNTIFS(Apresentação!$E$23:$E$29,ESTIMATIVA[[#This Row],[CD_UPNIVEL1]])</f>
        <v>0</v>
      </c>
    </row>
    <row r="1293" spans="1:37" x14ac:dyDescent="0.3">
      <c r="A1293">
        <v>20544</v>
      </c>
      <c r="B1293" t="s">
        <v>75</v>
      </c>
      <c r="C1293">
        <v>7</v>
      </c>
      <c r="D1293">
        <v>6</v>
      </c>
      <c r="E1293" t="s">
        <v>261</v>
      </c>
      <c r="F1293" s="85" t="s">
        <v>333</v>
      </c>
      <c r="G1293"/>
      <c r="H1293" t="s">
        <v>294</v>
      </c>
      <c r="I1293" t="s">
        <v>202</v>
      </c>
      <c r="J1293" t="s">
        <v>176</v>
      </c>
      <c r="K1293" s="1">
        <v>17.88</v>
      </c>
      <c r="L1293" s="1">
        <v>17.88</v>
      </c>
      <c r="M1293" s="1">
        <v>0</v>
      </c>
      <c r="N1293" s="1">
        <v>17.88</v>
      </c>
      <c r="O1293" s="1">
        <v>536.4</v>
      </c>
      <c r="P1293" s="1">
        <v>357.6</v>
      </c>
      <c r="Q1293" s="1">
        <v>0</v>
      </c>
      <c r="R1293" s="1">
        <v>599.91</v>
      </c>
      <c r="S1293" t="s">
        <v>12</v>
      </c>
      <c r="T1293" s="13">
        <v>45893</v>
      </c>
      <c r="U1293" s="1" t="str">
        <f>IF(ESTIMATIVA[[#This Row],[QT_AREA_REAL]]&gt;0,"1- Colhido","2- à Colher")</f>
        <v>1- Colhido</v>
      </c>
      <c r="V1293" s="1" t="str">
        <f>IF(ESTIMATIVA[[#This Row],[QT_AREA_REST1]]&gt;0,"Reestimativa 1",IF(ESTIMATIVA[[#This Row],[QT_AREA_REAL]]=0,"Reestimativa 1","Realizado"))</f>
        <v>Reestimativa 1</v>
      </c>
      <c r="W1293" s="1" t="str">
        <f>IF(ESTIMATIVA[[#This Row],[QT_AREA_REST2]]&gt;0,"Reestimativa 2",IF(ESTIMATIVA[[#This Row],[QT_AREA_REAL]]=0,"Reestimativa 2","Realizado"))</f>
        <v>Realizado</v>
      </c>
      <c r="X1293" s="1">
        <f>ESTIMATIVA[[#This Row],[QT_AREA_EST]]</f>
        <v>17.88</v>
      </c>
      <c r="Y1293" s="1">
        <f>IF(ESTIMATIVA[[#This Row],[QT_AREA_REST1]]&gt;0,ESTIMATIVA[[#This Row],[QT_AREA_REST1]],
  IF(ESTIMATIVA[[#This Row],[QT_AREA_REAL]]&gt;0,ESTIMATIVA[[#This Row],[QT_AREA_REAL]],ESTIMATIVA[[#This Row],[QT_AREA_EST]]))</f>
        <v>17.88</v>
      </c>
      <c r="Z129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17.88</v>
      </c>
      <c r="AA1293" s="1">
        <f>ESTIMATIVA[[#This Row],[QT_CANA_EST]]</f>
        <v>536.4</v>
      </c>
      <c r="AB1293" s="1">
        <f>IF(ESTIMATIVA[[#This Row],[QT_CANA_REST1]]&gt;0,ESTIMATIVA[[#This Row],[QT_CANA_REST1]],
  IF(ESTIMATIVA[[#This Row],[QT_CANA_REAL]]&gt;0,ESTIMATIVA[[#This Row],[QT_CANA_REAL]],ESTIMATIVA[[#This Row],[QT_CANA_EST]]))</f>
        <v>357.6</v>
      </c>
      <c r="AC129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599.91</v>
      </c>
      <c r="AD1293" s="1">
        <f>IF(ESTIMATIVA[[#This Row],[QT_AREA_REAL]]&gt;0,ESTIMATIVA[[#This Row],[QT_CANA_REAL]],ESTIMATIVA[[#This Row],[QT_CANA_EST]])</f>
        <v>599.91</v>
      </c>
      <c r="AE1293" s="1">
        <f>IF(ESTIMATIVA[[#This Row],[QT_AREA_REAL]]&gt;0,ESTIMATIVA[[#This Row],[QT_CANA_REAL]],ESTIMATIVA[[#This Row],[QT_CANA_REST1]])</f>
        <v>599.91</v>
      </c>
      <c r="AF1293" s="1">
        <f>IF(ESTIMATIVA[[#This Row],[QT_AREA_REAL]]&gt;0,ESTIMATIVA[[#This Row],[QT_CANA_REAL]],ESTIMATIVA[[#This Row],[QT_CANA_REST2]])</f>
        <v>599.91</v>
      </c>
      <c r="AG1293" s="1" t="str">
        <f>IF(COUNTIFS(GEADA!A:A,VALUE(ESTIMATIVA[[#This Row],[CD_UPNIVEL1]]&amp;TEXT(ESTIMATIVA[[#This Row],[CD_UPNIVEL3]],"0000")))&gt;0,"S","N")</f>
        <v>S</v>
      </c>
      <c r="AH129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93" s="55" t="str">
        <f>IF(ESTIMATIVA[[#This Row],[TP_CULTIVO]]="Irrigado",_xlfn.MAXIFS(IRRIGADO!J:J,IRRIGADO!C:C,ESTIMATIVA[[#This Row],[CD_UPNIVEL1]],IRRIGADO!E:E,ESTIMATIVA[[#This Row],[CD_UPNIVEL3]]),"")</f>
        <v/>
      </c>
      <c r="AJ129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93" s="1">
        <f>COUNTIFS(Apresentação!$E$23:$E$29,ESTIMATIVA[[#This Row],[CD_UPNIVEL1]])</f>
        <v>0</v>
      </c>
    </row>
    <row r="1294" spans="1:37" x14ac:dyDescent="0.3">
      <c r="A1294">
        <v>20544</v>
      </c>
      <c r="B1294" t="s">
        <v>75</v>
      </c>
      <c r="C1294">
        <v>8</v>
      </c>
      <c r="D1294">
        <v>6</v>
      </c>
      <c r="E1294" t="s">
        <v>261</v>
      </c>
      <c r="F1294" s="85" t="s">
        <v>333</v>
      </c>
      <c r="G1294"/>
      <c r="H1294" t="s">
        <v>294</v>
      </c>
      <c r="I1294" t="s">
        <v>202</v>
      </c>
      <c r="J1294" t="s">
        <v>176</v>
      </c>
      <c r="K1294" s="1">
        <v>32.26</v>
      </c>
      <c r="L1294" s="1">
        <v>32.26</v>
      </c>
      <c r="M1294" s="1">
        <v>0</v>
      </c>
      <c r="N1294" s="1">
        <v>32.26</v>
      </c>
      <c r="O1294" s="1">
        <v>967.8</v>
      </c>
      <c r="P1294" s="1">
        <v>645.20000000000005</v>
      </c>
      <c r="Q1294" s="1">
        <v>0</v>
      </c>
      <c r="R1294" s="1">
        <v>1081.02</v>
      </c>
      <c r="S1294" t="s">
        <v>12</v>
      </c>
      <c r="T1294" s="13">
        <v>45893</v>
      </c>
      <c r="U1294" s="1" t="str">
        <f>IF(ESTIMATIVA[[#This Row],[QT_AREA_REAL]]&gt;0,"1- Colhido","2- à Colher")</f>
        <v>1- Colhido</v>
      </c>
      <c r="V1294" s="1" t="str">
        <f>IF(ESTIMATIVA[[#This Row],[QT_AREA_REST1]]&gt;0,"Reestimativa 1",IF(ESTIMATIVA[[#This Row],[QT_AREA_REAL]]=0,"Reestimativa 1","Realizado"))</f>
        <v>Reestimativa 1</v>
      </c>
      <c r="W1294" s="1" t="str">
        <f>IF(ESTIMATIVA[[#This Row],[QT_AREA_REST2]]&gt;0,"Reestimativa 2",IF(ESTIMATIVA[[#This Row],[QT_AREA_REAL]]=0,"Reestimativa 2","Realizado"))</f>
        <v>Realizado</v>
      </c>
      <c r="X1294" s="1">
        <f>ESTIMATIVA[[#This Row],[QT_AREA_EST]]</f>
        <v>32.26</v>
      </c>
      <c r="Y1294" s="1">
        <f>IF(ESTIMATIVA[[#This Row],[QT_AREA_REST1]]&gt;0,ESTIMATIVA[[#This Row],[QT_AREA_REST1]],
  IF(ESTIMATIVA[[#This Row],[QT_AREA_REAL]]&gt;0,ESTIMATIVA[[#This Row],[QT_AREA_REAL]],ESTIMATIVA[[#This Row],[QT_AREA_EST]]))</f>
        <v>32.26</v>
      </c>
      <c r="Z129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32.26</v>
      </c>
      <c r="AA1294" s="1">
        <f>ESTIMATIVA[[#This Row],[QT_CANA_EST]]</f>
        <v>967.8</v>
      </c>
      <c r="AB1294" s="1">
        <f>IF(ESTIMATIVA[[#This Row],[QT_CANA_REST1]]&gt;0,ESTIMATIVA[[#This Row],[QT_CANA_REST1]],
  IF(ESTIMATIVA[[#This Row],[QT_CANA_REAL]]&gt;0,ESTIMATIVA[[#This Row],[QT_CANA_REAL]],ESTIMATIVA[[#This Row],[QT_CANA_EST]]))</f>
        <v>645.20000000000005</v>
      </c>
      <c r="AC129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1081.02</v>
      </c>
      <c r="AD1294" s="1">
        <f>IF(ESTIMATIVA[[#This Row],[QT_AREA_REAL]]&gt;0,ESTIMATIVA[[#This Row],[QT_CANA_REAL]],ESTIMATIVA[[#This Row],[QT_CANA_EST]])</f>
        <v>1081.02</v>
      </c>
      <c r="AE1294" s="1">
        <f>IF(ESTIMATIVA[[#This Row],[QT_AREA_REAL]]&gt;0,ESTIMATIVA[[#This Row],[QT_CANA_REAL]],ESTIMATIVA[[#This Row],[QT_CANA_REST1]])</f>
        <v>1081.02</v>
      </c>
      <c r="AF1294" s="1">
        <f>IF(ESTIMATIVA[[#This Row],[QT_AREA_REAL]]&gt;0,ESTIMATIVA[[#This Row],[QT_CANA_REAL]],ESTIMATIVA[[#This Row],[QT_CANA_REST2]])</f>
        <v>1081.02</v>
      </c>
      <c r="AG1294" s="1" t="str">
        <f>IF(COUNTIFS(GEADA!A:A,VALUE(ESTIMATIVA[[#This Row],[CD_UPNIVEL1]]&amp;TEXT(ESTIMATIVA[[#This Row],[CD_UPNIVEL3]],"0000")))&gt;0,"S","N")</f>
        <v>S</v>
      </c>
      <c r="AH129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94" s="55" t="str">
        <f>IF(ESTIMATIVA[[#This Row],[TP_CULTIVO]]="Irrigado",_xlfn.MAXIFS(IRRIGADO!J:J,IRRIGADO!C:C,ESTIMATIVA[[#This Row],[CD_UPNIVEL1]],IRRIGADO!E:E,ESTIMATIVA[[#This Row],[CD_UPNIVEL3]]),"")</f>
        <v/>
      </c>
      <c r="AJ129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94" s="1">
        <f>COUNTIFS(Apresentação!$E$23:$E$29,ESTIMATIVA[[#This Row],[CD_UPNIVEL1]])</f>
        <v>0</v>
      </c>
    </row>
    <row r="1295" spans="1:37" x14ac:dyDescent="0.3">
      <c r="A1295">
        <v>20544</v>
      </c>
      <c r="B1295" t="s">
        <v>75</v>
      </c>
      <c r="C1295">
        <v>9</v>
      </c>
      <c r="D1295">
        <v>4</v>
      </c>
      <c r="E1295" t="s">
        <v>265</v>
      </c>
      <c r="F1295" s="85" t="s">
        <v>331</v>
      </c>
      <c r="G1295"/>
      <c r="H1295" t="s">
        <v>294</v>
      </c>
      <c r="I1295" t="s">
        <v>195</v>
      </c>
      <c r="J1295" t="s">
        <v>176</v>
      </c>
      <c r="K1295" s="1">
        <v>36.369999999999997</v>
      </c>
      <c r="L1295" s="1">
        <v>36.369999999999997</v>
      </c>
      <c r="M1295" s="1">
        <v>0</v>
      </c>
      <c r="N1295" s="1">
        <v>36.369999999999997</v>
      </c>
      <c r="O1295" s="1">
        <v>2327.6799999999998</v>
      </c>
      <c r="P1295" s="1">
        <v>1818.5</v>
      </c>
      <c r="Q1295" s="1">
        <v>0</v>
      </c>
      <c r="R1295" s="1">
        <v>1600.98</v>
      </c>
      <c r="S1295" t="s">
        <v>12</v>
      </c>
      <c r="T1295" s="13">
        <v>45900</v>
      </c>
      <c r="U1295" s="1" t="str">
        <f>IF(ESTIMATIVA[[#This Row],[QT_AREA_REAL]]&gt;0,"1- Colhido","2- à Colher")</f>
        <v>1- Colhido</v>
      </c>
      <c r="V1295" s="1" t="str">
        <f>IF(ESTIMATIVA[[#This Row],[QT_AREA_REST1]]&gt;0,"Reestimativa 1",IF(ESTIMATIVA[[#This Row],[QT_AREA_REAL]]=0,"Reestimativa 1","Realizado"))</f>
        <v>Reestimativa 1</v>
      </c>
      <c r="W1295" s="1" t="str">
        <f>IF(ESTIMATIVA[[#This Row],[QT_AREA_REST2]]&gt;0,"Reestimativa 2",IF(ESTIMATIVA[[#This Row],[QT_AREA_REAL]]=0,"Reestimativa 2","Realizado"))</f>
        <v>Realizado</v>
      </c>
      <c r="X1295" s="1">
        <f>ESTIMATIVA[[#This Row],[QT_AREA_EST]]</f>
        <v>36.369999999999997</v>
      </c>
      <c r="Y1295" s="1">
        <f>IF(ESTIMATIVA[[#This Row],[QT_AREA_REST1]]&gt;0,ESTIMATIVA[[#This Row],[QT_AREA_REST1]],
  IF(ESTIMATIVA[[#This Row],[QT_AREA_REAL]]&gt;0,ESTIMATIVA[[#This Row],[QT_AREA_REAL]],ESTIMATIVA[[#This Row],[QT_AREA_EST]]))</f>
        <v>36.369999999999997</v>
      </c>
      <c r="Z129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36.369999999999997</v>
      </c>
      <c r="AA1295" s="1">
        <f>ESTIMATIVA[[#This Row],[QT_CANA_EST]]</f>
        <v>2327.6799999999998</v>
      </c>
      <c r="AB1295" s="1">
        <f>IF(ESTIMATIVA[[#This Row],[QT_CANA_REST1]]&gt;0,ESTIMATIVA[[#This Row],[QT_CANA_REST1]],
  IF(ESTIMATIVA[[#This Row],[QT_CANA_REAL]]&gt;0,ESTIMATIVA[[#This Row],[QT_CANA_REAL]],ESTIMATIVA[[#This Row],[QT_CANA_EST]]))</f>
        <v>1818.5</v>
      </c>
      <c r="AC129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1600.98</v>
      </c>
      <c r="AD1295" s="1">
        <f>IF(ESTIMATIVA[[#This Row],[QT_AREA_REAL]]&gt;0,ESTIMATIVA[[#This Row],[QT_CANA_REAL]],ESTIMATIVA[[#This Row],[QT_CANA_EST]])</f>
        <v>1600.98</v>
      </c>
      <c r="AE1295" s="1">
        <f>IF(ESTIMATIVA[[#This Row],[QT_AREA_REAL]]&gt;0,ESTIMATIVA[[#This Row],[QT_CANA_REAL]],ESTIMATIVA[[#This Row],[QT_CANA_REST1]])</f>
        <v>1600.98</v>
      </c>
      <c r="AF1295" s="1">
        <f>IF(ESTIMATIVA[[#This Row],[QT_AREA_REAL]]&gt;0,ESTIMATIVA[[#This Row],[QT_CANA_REAL]],ESTIMATIVA[[#This Row],[QT_CANA_REST2]])</f>
        <v>1600.98</v>
      </c>
      <c r="AG1295" s="1" t="str">
        <f>IF(COUNTIFS(GEADA!A:A,VALUE(ESTIMATIVA[[#This Row],[CD_UPNIVEL1]]&amp;TEXT(ESTIMATIVA[[#This Row],[CD_UPNIVEL3]],"0000")))&gt;0,"S","N")</f>
        <v>S</v>
      </c>
      <c r="AH129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95" s="55" t="str">
        <f>IF(ESTIMATIVA[[#This Row],[TP_CULTIVO]]="Irrigado",_xlfn.MAXIFS(IRRIGADO!J:J,IRRIGADO!C:C,ESTIMATIVA[[#This Row],[CD_UPNIVEL1]],IRRIGADO!E:E,ESTIMATIVA[[#This Row],[CD_UPNIVEL3]]),"")</f>
        <v/>
      </c>
      <c r="AJ129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95" s="1">
        <f>COUNTIFS(Apresentação!$E$23:$E$29,ESTIMATIVA[[#This Row],[CD_UPNIVEL1]])</f>
        <v>0</v>
      </c>
    </row>
    <row r="1296" spans="1:37" x14ac:dyDescent="0.3">
      <c r="A1296">
        <v>20544</v>
      </c>
      <c r="B1296" t="s">
        <v>75</v>
      </c>
      <c r="C1296">
        <v>10</v>
      </c>
      <c r="D1296">
        <v>4</v>
      </c>
      <c r="E1296" t="s">
        <v>265</v>
      </c>
      <c r="F1296" s="85" t="s">
        <v>331</v>
      </c>
      <c r="G1296"/>
      <c r="H1296" t="s">
        <v>294</v>
      </c>
      <c r="I1296" t="s">
        <v>195</v>
      </c>
      <c r="J1296" t="s">
        <v>176</v>
      </c>
      <c r="K1296" s="1">
        <v>24.31</v>
      </c>
      <c r="L1296" s="1">
        <v>24.31</v>
      </c>
      <c r="M1296" s="1">
        <v>0</v>
      </c>
      <c r="N1296" s="1">
        <v>24.31</v>
      </c>
      <c r="O1296" s="1">
        <v>1555.84</v>
      </c>
      <c r="P1296" s="1">
        <v>1215.5</v>
      </c>
      <c r="Q1296" s="1">
        <v>0</v>
      </c>
      <c r="R1296" s="1">
        <v>1070.52</v>
      </c>
      <c r="S1296" t="s">
        <v>12</v>
      </c>
      <c r="T1296" s="13">
        <v>45900</v>
      </c>
      <c r="U1296" s="1" t="str">
        <f>IF(ESTIMATIVA[[#This Row],[QT_AREA_REAL]]&gt;0,"1- Colhido","2- à Colher")</f>
        <v>1- Colhido</v>
      </c>
      <c r="V1296" s="1" t="str">
        <f>IF(ESTIMATIVA[[#This Row],[QT_AREA_REST1]]&gt;0,"Reestimativa 1",IF(ESTIMATIVA[[#This Row],[QT_AREA_REAL]]=0,"Reestimativa 1","Realizado"))</f>
        <v>Reestimativa 1</v>
      </c>
      <c r="W1296" s="1" t="str">
        <f>IF(ESTIMATIVA[[#This Row],[QT_AREA_REST2]]&gt;0,"Reestimativa 2",IF(ESTIMATIVA[[#This Row],[QT_AREA_REAL]]=0,"Reestimativa 2","Realizado"))</f>
        <v>Realizado</v>
      </c>
      <c r="X1296" s="1">
        <f>ESTIMATIVA[[#This Row],[QT_AREA_EST]]</f>
        <v>24.31</v>
      </c>
      <c r="Y1296" s="1">
        <f>IF(ESTIMATIVA[[#This Row],[QT_AREA_REST1]]&gt;0,ESTIMATIVA[[#This Row],[QT_AREA_REST1]],
  IF(ESTIMATIVA[[#This Row],[QT_AREA_REAL]]&gt;0,ESTIMATIVA[[#This Row],[QT_AREA_REAL]],ESTIMATIVA[[#This Row],[QT_AREA_EST]]))</f>
        <v>24.31</v>
      </c>
      <c r="Z129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24.31</v>
      </c>
      <c r="AA1296" s="1">
        <f>ESTIMATIVA[[#This Row],[QT_CANA_EST]]</f>
        <v>1555.84</v>
      </c>
      <c r="AB1296" s="1">
        <f>IF(ESTIMATIVA[[#This Row],[QT_CANA_REST1]]&gt;0,ESTIMATIVA[[#This Row],[QT_CANA_REST1]],
  IF(ESTIMATIVA[[#This Row],[QT_CANA_REAL]]&gt;0,ESTIMATIVA[[#This Row],[QT_CANA_REAL]],ESTIMATIVA[[#This Row],[QT_CANA_EST]]))</f>
        <v>1215.5</v>
      </c>
      <c r="AC129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1070.52</v>
      </c>
      <c r="AD1296" s="1">
        <f>IF(ESTIMATIVA[[#This Row],[QT_AREA_REAL]]&gt;0,ESTIMATIVA[[#This Row],[QT_CANA_REAL]],ESTIMATIVA[[#This Row],[QT_CANA_EST]])</f>
        <v>1070.52</v>
      </c>
      <c r="AE1296" s="1">
        <f>IF(ESTIMATIVA[[#This Row],[QT_AREA_REAL]]&gt;0,ESTIMATIVA[[#This Row],[QT_CANA_REAL]],ESTIMATIVA[[#This Row],[QT_CANA_REST1]])</f>
        <v>1070.52</v>
      </c>
      <c r="AF1296" s="1">
        <f>IF(ESTIMATIVA[[#This Row],[QT_AREA_REAL]]&gt;0,ESTIMATIVA[[#This Row],[QT_CANA_REAL]],ESTIMATIVA[[#This Row],[QT_CANA_REST2]])</f>
        <v>1070.52</v>
      </c>
      <c r="AG1296" s="1" t="str">
        <f>IF(COUNTIFS(GEADA!A:A,VALUE(ESTIMATIVA[[#This Row],[CD_UPNIVEL1]]&amp;TEXT(ESTIMATIVA[[#This Row],[CD_UPNIVEL3]],"0000")))&gt;0,"S","N")</f>
        <v>N</v>
      </c>
      <c r="AH129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96" s="55" t="str">
        <f>IF(ESTIMATIVA[[#This Row],[TP_CULTIVO]]="Irrigado",_xlfn.MAXIFS(IRRIGADO!J:J,IRRIGADO!C:C,ESTIMATIVA[[#This Row],[CD_UPNIVEL1]],IRRIGADO!E:E,ESTIMATIVA[[#This Row],[CD_UPNIVEL3]]),"")</f>
        <v/>
      </c>
      <c r="AJ129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96" s="1">
        <f>COUNTIFS(Apresentação!$E$23:$E$29,ESTIMATIVA[[#This Row],[CD_UPNIVEL1]])</f>
        <v>0</v>
      </c>
    </row>
    <row r="1297" spans="1:37" x14ac:dyDescent="0.3">
      <c r="A1297">
        <v>20548</v>
      </c>
      <c r="B1297" t="s">
        <v>76</v>
      </c>
      <c r="C1297">
        <v>1</v>
      </c>
      <c r="D1297">
        <v>3</v>
      </c>
      <c r="E1297" t="s">
        <v>263</v>
      </c>
      <c r="F1297" s="85" t="s">
        <v>333</v>
      </c>
      <c r="G1297"/>
      <c r="H1297" t="s">
        <v>294</v>
      </c>
      <c r="I1297" t="s">
        <v>195</v>
      </c>
      <c r="J1297" t="s">
        <v>176</v>
      </c>
      <c r="K1297" s="1">
        <v>22.52</v>
      </c>
      <c r="L1297" s="1">
        <v>22.52</v>
      </c>
      <c r="M1297" s="1">
        <v>22.52</v>
      </c>
      <c r="N1297" s="1">
        <v>22.52</v>
      </c>
      <c r="O1297" s="1">
        <v>1351.2</v>
      </c>
      <c r="P1297" s="1">
        <v>540.48</v>
      </c>
      <c r="Q1297" s="1">
        <v>698.12</v>
      </c>
      <c r="R1297" s="1">
        <v>658.96</v>
      </c>
      <c r="S1297" t="s">
        <v>12</v>
      </c>
      <c r="T1297" s="13">
        <v>45977</v>
      </c>
      <c r="U1297" s="1" t="str">
        <f>IF(ESTIMATIVA[[#This Row],[QT_AREA_REAL]]&gt;0,"1- Colhido","2- à Colher")</f>
        <v>1- Colhido</v>
      </c>
      <c r="V1297" s="1" t="str">
        <f>IF(ESTIMATIVA[[#This Row],[QT_AREA_REST1]]&gt;0,"Reestimativa 1",IF(ESTIMATIVA[[#This Row],[QT_AREA_REAL]]=0,"Reestimativa 1","Realizado"))</f>
        <v>Reestimativa 1</v>
      </c>
      <c r="W1297" s="1" t="str">
        <f>IF(ESTIMATIVA[[#This Row],[QT_AREA_REST2]]&gt;0,"Reestimativa 2",IF(ESTIMATIVA[[#This Row],[QT_AREA_REAL]]=0,"Reestimativa 2","Realizado"))</f>
        <v>Reestimativa 2</v>
      </c>
      <c r="X1297" s="1">
        <f>ESTIMATIVA[[#This Row],[QT_AREA_EST]]</f>
        <v>22.52</v>
      </c>
      <c r="Y1297" s="1">
        <f>IF(ESTIMATIVA[[#This Row],[QT_AREA_REST1]]&gt;0,ESTIMATIVA[[#This Row],[QT_AREA_REST1]],
  IF(ESTIMATIVA[[#This Row],[QT_AREA_REAL]]&gt;0,ESTIMATIVA[[#This Row],[QT_AREA_REAL]],ESTIMATIVA[[#This Row],[QT_AREA_EST]]))</f>
        <v>22.52</v>
      </c>
      <c r="Z129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22.52</v>
      </c>
      <c r="AA1297" s="1">
        <f>ESTIMATIVA[[#This Row],[QT_CANA_EST]]</f>
        <v>1351.2</v>
      </c>
      <c r="AB1297" s="1">
        <f>IF(ESTIMATIVA[[#This Row],[QT_CANA_REST1]]&gt;0,ESTIMATIVA[[#This Row],[QT_CANA_REST1]],
  IF(ESTIMATIVA[[#This Row],[QT_CANA_REAL]]&gt;0,ESTIMATIVA[[#This Row],[QT_CANA_REAL]],ESTIMATIVA[[#This Row],[QT_CANA_EST]]))</f>
        <v>540.48</v>
      </c>
      <c r="AC129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698.12</v>
      </c>
      <c r="AD1297" s="1">
        <f>IF(ESTIMATIVA[[#This Row],[QT_AREA_REAL]]&gt;0,ESTIMATIVA[[#This Row],[QT_CANA_REAL]],ESTIMATIVA[[#This Row],[QT_CANA_EST]])</f>
        <v>658.96</v>
      </c>
      <c r="AE1297" s="1">
        <f>IF(ESTIMATIVA[[#This Row],[QT_AREA_REAL]]&gt;0,ESTIMATIVA[[#This Row],[QT_CANA_REAL]],ESTIMATIVA[[#This Row],[QT_CANA_REST1]])</f>
        <v>658.96</v>
      </c>
      <c r="AF1297" s="1">
        <f>IF(ESTIMATIVA[[#This Row],[QT_AREA_REAL]]&gt;0,ESTIMATIVA[[#This Row],[QT_CANA_REAL]],ESTIMATIVA[[#This Row],[QT_CANA_REST2]])</f>
        <v>658.96</v>
      </c>
      <c r="AG1297" s="1" t="str">
        <f>IF(COUNTIFS(GEADA!A:A,VALUE(ESTIMATIVA[[#This Row],[CD_UPNIVEL1]]&amp;TEXT(ESTIMATIVA[[#This Row],[CD_UPNIVEL3]],"0000")))&gt;0,"S","N")</f>
        <v>S</v>
      </c>
      <c r="AH129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97" s="55" t="str">
        <f>IF(ESTIMATIVA[[#This Row],[TP_CULTIVO]]="Irrigado",_xlfn.MAXIFS(IRRIGADO!J:J,IRRIGADO!C:C,ESTIMATIVA[[#This Row],[CD_UPNIVEL1]],IRRIGADO!E:E,ESTIMATIVA[[#This Row],[CD_UPNIVEL3]]),"")</f>
        <v/>
      </c>
      <c r="AJ129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97" s="1">
        <f>COUNTIFS(Apresentação!$E$23:$E$29,ESTIMATIVA[[#This Row],[CD_UPNIVEL1]])</f>
        <v>0</v>
      </c>
    </row>
    <row r="1298" spans="1:37" x14ac:dyDescent="0.3">
      <c r="A1298">
        <v>20548</v>
      </c>
      <c r="B1298" t="s">
        <v>76</v>
      </c>
      <c r="C1298">
        <v>2</v>
      </c>
      <c r="D1298">
        <v>3</v>
      </c>
      <c r="E1298" t="s">
        <v>263</v>
      </c>
      <c r="F1298" s="85" t="s">
        <v>333</v>
      </c>
      <c r="G1298"/>
      <c r="H1298" t="s">
        <v>294</v>
      </c>
      <c r="I1298" t="s">
        <v>195</v>
      </c>
      <c r="J1298" t="s">
        <v>176</v>
      </c>
      <c r="K1298" s="1">
        <v>35.74</v>
      </c>
      <c r="L1298" s="1">
        <v>35.74</v>
      </c>
      <c r="M1298" s="1">
        <v>35.74</v>
      </c>
      <c r="N1298" s="1">
        <v>35.74</v>
      </c>
      <c r="O1298" s="1">
        <v>2144.4</v>
      </c>
      <c r="P1298" s="1">
        <v>857.76</v>
      </c>
      <c r="Q1298" s="1">
        <v>1107.94</v>
      </c>
      <c r="R1298" s="1">
        <v>1046.56</v>
      </c>
      <c r="S1298" t="s">
        <v>12</v>
      </c>
      <c r="T1298" s="13">
        <v>45977</v>
      </c>
      <c r="U1298" s="1" t="str">
        <f>IF(ESTIMATIVA[[#This Row],[QT_AREA_REAL]]&gt;0,"1- Colhido","2- à Colher")</f>
        <v>1- Colhido</v>
      </c>
      <c r="V1298" s="1" t="str">
        <f>IF(ESTIMATIVA[[#This Row],[QT_AREA_REST1]]&gt;0,"Reestimativa 1",IF(ESTIMATIVA[[#This Row],[QT_AREA_REAL]]=0,"Reestimativa 1","Realizado"))</f>
        <v>Reestimativa 1</v>
      </c>
      <c r="W1298" s="1" t="str">
        <f>IF(ESTIMATIVA[[#This Row],[QT_AREA_REST2]]&gt;0,"Reestimativa 2",IF(ESTIMATIVA[[#This Row],[QT_AREA_REAL]]=0,"Reestimativa 2","Realizado"))</f>
        <v>Reestimativa 2</v>
      </c>
      <c r="X1298" s="1">
        <f>ESTIMATIVA[[#This Row],[QT_AREA_EST]]</f>
        <v>35.74</v>
      </c>
      <c r="Y1298" s="1">
        <f>IF(ESTIMATIVA[[#This Row],[QT_AREA_REST1]]&gt;0,ESTIMATIVA[[#This Row],[QT_AREA_REST1]],
  IF(ESTIMATIVA[[#This Row],[QT_AREA_REAL]]&gt;0,ESTIMATIVA[[#This Row],[QT_AREA_REAL]],ESTIMATIVA[[#This Row],[QT_AREA_EST]]))</f>
        <v>35.74</v>
      </c>
      <c r="Z129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35.74</v>
      </c>
      <c r="AA1298" s="1">
        <f>ESTIMATIVA[[#This Row],[QT_CANA_EST]]</f>
        <v>2144.4</v>
      </c>
      <c r="AB1298" s="1">
        <f>IF(ESTIMATIVA[[#This Row],[QT_CANA_REST1]]&gt;0,ESTIMATIVA[[#This Row],[QT_CANA_REST1]],
  IF(ESTIMATIVA[[#This Row],[QT_CANA_REAL]]&gt;0,ESTIMATIVA[[#This Row],[QT_CANA_REAL]],ESTIMATIVA[[#This Row],[QT_CANA_EST]]))</f>
        <v>857.76</v>
      </c>
      <c r="AC129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1107.94</v>
      </c>
      <c r="AD1298" s="1">
        <f>IF(ESTIMATIVA[[#This Row],[QT_AREA_REAL]]&gt;0,ESTIMATIVA[[#This Row],[QT_CANA_REAL]],ESTIMATIVA[[#This Row],[QT_CANA_EST]])</f>
        <v>1046.56</v>
      </c>
      <c r="AE1298" s="1">
        <f>IF(ESTIMATIVA[[#This Row],[QT_AREA_REAL]]&gt;0,ESTIMATIVA[[#This Row],[QT_CANA_REAL]],ESTIMATIVA[[#This Row],[QT_CANA_REST1]])</f>
        <v>1046.56</v>
      </c>
      <c r="AF1298" s="1">
        <f>IF(ESTIMATIVA[[#This Row],[QT_AREA_REAL]]&gt;0,ESTIMATIVA[[#This Row],[QT_CANA_REAL]],ESTIMATIVA[[#This Row],[QT_CANA_REST2]])</f>
        <v>1046.56</v>
      </c>
      <c r="AG1298" s="1" t="str">
        <f>IF(COUNTIFS(GEADA!A:A,VALUE(ESTIMATIVA[[#This Row],[CD_UPNIVEL1]]&amp;TEXT(ESTIMATIVA[[#This Row],[CD_UPNIVEL3]],"0000")))&gt;0,"S","N")</f>
        <v>S</v>
      </c>
      <c r="AH129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98" s="55" t="str">
        <f>IF(ESTIMATIVA[[#This Row],[TP_CULTIVO]]="Irrigado",_xlfn.MAXIFS(IRRIGADO!J:J,IRRIGADO!C:C,ESTIMATIVA[[#This Row],[CD_UPNIVEL1]],IRRIGADO!E:E,ESTIMATIVA[[#This Row],[CD_UPNIVEL3]]),"")</f>
        <v/>
      </c>
      <c r="AJ129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98" s="1">
        <f>COUNTIFS(Apresentação!$E$23:$E$29,ESTIMATIVA[[#This Row],[CD_UPNIVEL1]])</f>
        <v>0</v>
      </c>
    </row>
    <row r="1299" spans="1:37" x14ac:dyDescent="0.3">
      <c r="A1299">
        <v>20548</v>
      </c>
      <c r="B1299" t="s">
        <v>76</v>
      </c>
      <c r="C1299">
        <v>3</v>
      </c>
      <c r="D1299">
        <v>3</v>
      </c>
      <c r="E1299" t="s">
        <v>263</v>
      </c>
      <c r="F1299" s="85" t="s">
        <v>331</v>
      </c>
      <c r="G1299"/>
      <c r="H1299" t="s">
        <v>294</v>
      </c>
      <c r="I1299" t="s">
        <v>195</v>
      </c>
      <c r="J1299" t="s">
        <v>176</v>
      </c>
      <c r="K1299" s="1">
        <v>31.17</v>
      </c>
      <c r="L1299" s="1">
        <v>31.17</v>
      </c>
      <c r="M1299" s="1">
        <v>31.17</v>
      </c>
      <c r="N1299" s="1">
        <v>31.17</v>
      </c>
      <c r="O1299" s="1">
        <v>1870.2</v>
      </c>
      <c r="P1299" s="1">
        <v>1870.2</v>
      </c>
      <c r="Q1299" s="1">
        <v>1246.8</v>
      </c>
      <c r="R1299" s="1">
        <v>1143.74</v>
      </c>
      <c r="S1299" t="s">
        <v>12</v>
      </c>
      <c r="T1299" s="13">
        <v>45977</v>
      </c>
      <c r="U1299" s="1" t="str">
        <f>IF(ESTIMATIVA[[#This Row],[QT_AREA_REAL]]&gt;0,"1- Colhido","2- à Colher")</f>
        <v>1- Colhido</v>
      </c>
      <c r="V1299" s="1" t="str">
        <f>IF(ESTIMATIVA[[#This Row],[QT_AREA_REST1]]&gt;0,"Reestimativa 1",IF(ESTIMATIVA[[#This Row],[QT_AREA_REAL]]=0,"Reestimativa 1","Realizado"))</f>
        <v>Reestimativa 1</v>
      </c>
      <c r="W1299" s="1" t="str">
        <f>IF(ESTIMATIVA[[#This Row],[QT_AREA_REST2]]&gt;0,"Reestimativa 2",IF(ESTIMATIVA[[#This Row],[QT_AREA_REAL]]=0,"Reestimativa 2","Realizado"))</f>
        <v>Reestimativa 2</v>
      </c>
      <c r="X1299" s="1">
        <f>ESTIMATIVA[[#This Row],[QT_AREA_EST]]</f>
        <v>31.17</v>
      </c>
      <c r="Y1299" s="1">
        <f>IF(ESTIMATIVA[[#This Row],[QT_AREA_REST1]]&gt;0,ESTIMATIVA[[#This Row],[QT_AREA_REST1]],
  IF(ESTIMATIVA[[#This Row],[QT_AREA_REAL]]&gt;0,ESTIMATIVA[[#This Row],[QT_AREA_REAL]],ESTIMATIVA[[#This Row],[QT_AREA_EST]]))</f>
        <v>31.17</v>
      </c>
      <c r="Z129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31.17</v>
      </c>
      <c r="AA1299" s="1">
        <f>ESTIMATIVA[[#This Row],[QT_CANA_EST]]</f>
        <v>1870.2</v>
      </c>
      <c r="AB1299" s="1">
        <f>IF(ESTIMATIVA[[#This Row],[QT_CANA_REST1]]&gt;0,ESTIMATIVA[[#This Row],[QT_CANA_REST1]],
  IF(ESTIMATIVA[[#This Row],[QT_CANA_REAL]]&gt;0,ESTIMATIVA[[#This Row],[QT_CANA_REAL]],ESTIMATIVA[[#This Row],[QT_CANA_EST]]))</f>
        <v>1870.2</v>
      </c>
      <c r="AC129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1246.8</v>
      </c>
      <c r="AD1299" s="1">
        <f>IF(ESTIMATIVA[[#This Row],[QT_AREA_REAL]]&gt;0,ESTIMATIVA[[#This Row],[QT_CANA_REAL]],ESTIMATIVA[[#This Row],[QT_CANA_EST]])</f>
        <v>1143.74</v>
      </c>
      <c r="AE1299" s="1">
        <f>IF(ESTIMATIVA[[#This Row],[QT_AREA_REAL]]&gt;0,ESTIMATIVA[[#This Row],[QT_CANA_REAL]],ESTIMATIVA[[#This Row],[QT_CANA_REST1]])</f>
        <v>1143.74</v>
      </c>
      <c r="AF1299" s="1">
        <f>IF(ESTIMATIVA[[#This Row],[QT_AREA_REAL]]&gt;0,ESTIMATIVA[[#This Row],[QT_CANA_REAL]],ESTIMATIVA[[#This Row],[QT_CANA_REST2]])</f>
        <v>1143.74</v>
      </c>
      <c r="AG1299" s="1" t="str">
        <f>IF(COUNTIFS(GEADA!A:A,VALUE(ESTIMATIVA[[#This Row],[CD_UPNIVEL1]]&amp;TEXT(ESTIMATIVA[[#This Row],[CD_UPNIVEL3]],"0000")))&gt;0,"S","N")</f>
        <v>S</v>
      </c>
      <c r="AH129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299" s="55" t="str">
        <f>IF(ESTIMATIVA[[#This Row],[TP_CULTIVO]]="Irrigado",_xlfn.MAXIFS(IRRIGADO!J:J,IRRIGADO!C:C,ESTIMATIVA[[#This Row],[CD_UPNIVEL1]],IRRIGADO!E:E,ESTIMATIVA[[#This Row],[CD_UPNIVEL3]]),"")</f>
        <v/>
      </c>
      <c r="AJ129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299" s="1">
        <f>COUNTIFS(Apresentação!$E$23:$E$29,ESTIMATIVA[[#This Row],[CD_UPNIVEL1]])</f>
        <v>0</v>
      </c>
    </row>
    <row r="1300" spans="1:37" x14ac:dyDescent="0.3">
      <c r="A1300">
        <v>20548</v>
      </c>
      <c r="B1300" t="s">
        <v>76</v>
      </c>
      <c r="C1300">
        <v>4</v>
      </c>
      <c r="D1300">
        <v>3</v>
      </c>
      <c r="E1300" t="s">
        <v>263</v>
      </c>
      <c r="F1300" s="85" t="s">
        <v>333</v>
      </c>
      <c r="G1300"/>
      <c r="H1300" t="s">
        <v>294</v>
      </c>
      <c r="I1300" t="s">
        <v>195</v>
      </c>
      <c r="J1300" t="s">
        <v>176</v>
      </c>
      <c r="K1300" s="1">
        <v>32.54</v>
      </c>
      <c r="L1300" s="1">
        <v>32.54</v>
      </c>
      <c r="M1300" s="1">
        <v>32.54</v>
      </c>
      <c r="N1300" s="1">
        <v>32.54</v>
      </c>
      <c r="O1300" s="1">
        <v>2277.8000000000002</v>
      </c>
      <c r="P1300" s="1">
        <v>780.96</v>
      </c>
      <c r="Q1300" s="1">
        <v>780.96</v>
      </c>
      <c r="R1300" s="1">
        <v>1370.57</v>
      </c>
      <c r="S1300" t="s">
        <v>12</v>
      </c>
      <c r="T1300" s="13">
        <v>45977</v>
      </c>
      <c r="U1300" s="1" t="str">
        <f>IF(ESTIMATIVA[[#This Row],[QT_AREA_REAL]]&gt;0,"1- Colhido","2- à Colher")</f>
        <v>1- Colhido</v>
      </c>
      <c r="V1300" s="1" t="str">
        <f>IF(ESTIMATIVA[[#This Row],[QT_AREA_REST1]]&gt;0,"Reestimativa 1",IF(ESTIMATIVA[[#This Row],[QT_AREA_REAL]]=0,"Reestimativa 1","Realizado"))</f>
        <v>Reestimativa 1</v>
      </c>
      <c r="W1300" s="1" t="str">
        <f>IF(ESTIMATIVA[[#This Row],[QT_AREA_REST2]]&gt;0,"Reestimativa 2",IF(ESTIMATIVA[[#This Row],[QT_AREA_REAL]]=0,"Reestimativa 2","Realizado"))</f>
        <v>Reestimativa 2</v>
      </c>
      <c r="X1300" s="1">
        <f>ESTIMATIVA[[#This Row],[QT_AREA_EST]]</f>
        <v>32.54</v>
      </c>
      <c r="Y1300" s="1">
        <f>IF(ESTIMATIVA[[#This Row],[QT_AREA_REST1]]&gt;0,ESTIMATIVA[[#This Row],[QT_AREA_REST1]],
  IF(ESTIMATIVA[[#This Row],[QT_AREA_REAL]]&gt;0,ESTIMATIVA[[#This Row],[QT_AREA_REAL]],ESTIMATIVA[[#This Row],[QT_AREA_EST]]))</f>
        <v>32.54</v>
      </c>
      <c r="Z130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32.54</v>
      </c>
      <c r="AA1300" s="1">
        <f>ESTIMATIVA[[#This Row],[QT_CANA_EST]]</f>
        <v>2277.8000000000002</v>
      </c>
      <c r="AB1300" s="1">
        <f>IF(ESTIMATIVA[[#This Row],[QT_CANA_REST1]]&gt;0,ESTIMATIVA[[#This Row],[QT_CANA_REST1]],
  IF(ESTIMATIVA[[#This Row],[QT_CANA_REAL]]&gt;0,ESTIMATIVA[[#This Row],[QT_CANA_REAL]],ESTIMATIVA[[#This Row],[QT_CANA_EST]]))</f>
        <v>780.96</v>
      </c>
      <c r="AC130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780.96</v>
      </c>
      <c r="AD1300" s="1">
        <f>IF(ESTIMATIVA[[#This Row],[QT_AREA_REAL]]&gt;0,ESTIMATIVA[[#This Row],[QT_CANA_REAL]],ESTIMATIVA[[#This Row],[QT_CANA_EST]])</f>
        <v>1370.57</v>
      </c>
      <c r="AE1300" s="1">
        <f>IF(ESTIMATIVA[[#This Row],[QT_AREA_REAL]]&gt;0,ESTIMATIVA[[#This Row],[QT_CANA_REAL]],ESTIMATIVA[[#This Row],[QT_CANA_REST1]])</f>
        <v>1370.57</v>
      </c>
      <c r="AF1300" s="1">
        <f>IF(ESTIMATIVA[[#This Row],[QT_AREA_REAL]]&gt;0,ESTIMATIVA[[#This Row],[QT_CANA_REAL]],ESTIMATIVA[[#This Row],[QT_CANA_REST2]])</f>
        <v>1370.57</v>
      </c>
      <c r="AG1300" s="1" t="str">
        <f>IF(COUNTIFS(GEADA!A:A,VALUE(ESTIMATIVA[[#This Row],[CD_UPNIVEL1]]&amp;TEXT(ESTIMATIVA[[#This Row],[CD_UPNIVEL3]],"0000")))&gt;0,"S","N")</f>
        <v>S</v>
      </c>
      <c r="AH130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00" s="55" t="str">
        <f>IF(ESTIMATIVA[[#This Row],[TP_CULTIVO]]="Irrigado",_xlfn.MAXIFS(IRRIGADO!J:J,IRRIGADO!C:C,ESTIMATIVA[[#This Row],[CD_UPNIVEL1]],IRRIGADO!E:E,ESTIMATIVA[[#This Row],[CD_UPNIVEL3]]),"")</f>
        <v/>
      </c>
      <c r="AJ130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00" s="1">
        <f>COUNTIFS(Apresentação!$E$23:$E$29,ESTIMATIVA[[#This Row],[CD_UPNIVEL1]])</f>
        <v>0</v>
      </c>
    </row>
    <row r="1301" spans="1:37" x14ac:dyDescent="0.3">
      <c r="A1301">
        <v>20548</v>
      </c>
      <c r="B1301" t="s">
        <v>76</v>
      </c>
      <c r="C1301">
        <v>5</v>
      </c>
      <c r="D1301">
        <v>3</v>
      </c>
      <c r="E1301" t="s">
        <v>263</v>
      </c>
      <c r="F1301" s="85" t="s">
        <v>333</v>
      </c>
      <c r="G1301"/>
      <c r="H1301" t="s">
        <v>294</v>
      </c>
      <c r="I1301" t="s">
        <v>195</v>
      </c>
      <c r="J1301" t="s">
        <v>176</v>
      </c>
      <c r="K1301" s="1">
        <v>51.52</v>
      </c>
      <c r="L1301" s="1">
        <v>51.52</v>
      </c>
      <c r="M1301" s="1">
        <v>51.52</v>
      </c>
      <c r="N1301" s="1">
        <v>51.52</v>
      </c>
      <c r="O1301" s="1">
        <v>3606.4</v>
      </c>
      <c r="P1301" s="1">
        <v>3606.4</v>
      </c>
      <c r="Q1301" s="1">
        <v>3400.32</v>
      </c>
      <c r="R1301" s="1">
        <v>1498.65</v>
      </c>
      <c r="S1301" t="s">
        <v>12</v>
      </c>
      <c r="T1301" s="13">
        <v>45977</v>
      </c>
      <c r="U1301" s="1" t="str">
        <f>IF(ESTIMATIVA[[#This Row],[QT_AREA_REAL]]&gt;0,"1- Colhido","2- à Colher")</f>
        <v>1- Colhido</v>
      </c>
      <c r="V1301" s="1" t="str">
        <f>IF(ESTIMATIVA[[#This Row],[QT_AREA_REST1]]&gt;0,"Reestimativa 1",IF(ESTIMATIVA[[#This Row],[QT_AREA_REAL]]=0,"Reestimativa 1","Realizado"))</f>
        <v>Reestimativa 1</v>
      </c>
      <c r="W1301" s="1" t="str">
        <f>IF(ESTIMATIVA[[#This Row],[QT_AREA_REST2]]&gt;0,"Reestimativa 2",IF(ESTIMATIVA[[#This Row],[QT_AREA_REAL]]=0,"Reestimativa 2","Realizado"))</f>
        <v>Reestimativa 2</v>
      </c>
      <c r="X1301" s="1">
        <f>ESTIMATIVA[[#This Row],[QT_AREA_EST]]</f>
        <v>51.52</v>
      </c>
      <c r="Y1301" s="1">
        <f>IF(ESTIMATIVA[[#This Row],[QT_AREA_REST1]]&gt;0,ESTIMATIVA[[#This Row],[QT_AREA_REST1]],
  IF(ESTIMATIVA[[#This Row],[QT_AREA_REAL]]&gt;0,ESTIMATIVA[[#This Row],[QT_AREA_REAL]],ESTIMATIVA[[#This Row],[QT_AREA_EST]]))</f>
        <v>51.52</v>
      </c>
      <c r="Z130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51.52</v>
      </c>
      <c r="AA1301" s="1">
        <f>ESTIMATIVA[[#This Row],[QT_CANA_EST]]</f>
        <v>3606.4</v>
      </c>
      <c r="AB1301" s="1">
        <f>IF(ESTIMATIVA[[#This Row],[QT_CANA_REST1]]&gt;0,ESTIMATIVA[[#This Row],[QT_CANA_REST1]],
  IF(ESTIMATIVA[[#This Row],[QT_CANA_REAL]]&gt;0,ESTIMATIVA[[#This Row],[QT_CANA_REAL]],ESTIMATIVA[[#This Row],[QT_CANA_EST]]))</f>
        <v>3606.4</v>
      </c>
      <c r="AC130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3400.32</v>
      </c>
      <c r="AD1301" s="1">
        <f>IF(ESTIMATIVA[[#This Row],[QT_AREA_REAL]]&gt;0,ESTIMATIVA[[#This Row],[QT_CANA_REAL]],ESTIMATIVA[[#This Row],[QT_CANA_EST]])</f>
        <v>1498.65</v>
      </c>
      <c r="AE1301" s="1">
        <f>IF(ESTIMATIVA[[#This Row],[QT_AREA_REAL]]&gt;0,ESTIMATIVA[[#This Row],[QT_CANA_REAL]],ESTIMATIVA[[#This Row],[QT_CANA_REST1]])</f>
        <v>1498.65</v>
      </c>
      <c r="AF1301" s="1">
        <f>IF(ESTIMATIVA[[#This Row],[QT_AREA_REAL]]&gt;0,ESTIMATIVA[[#This Row],[QT_CANA_REAL]],ESTIMATIVA[[#This Row],[QT_CANA_REST2]])</f>
        <v>1498.65</v>
      </c>
      <c r="AG1301" s="1" t="str">
        <f>IF(COUNTIFS(GEADA!A:A,VALUE(ESTIMATIVA[[#This Row],[CD_UPNIVEL1]]&amp;TEXT(ESTIMATIVA[[#This Row],[CD_UPNIVEL3]],"0000")))&gt;0,"S","N")</f>
        <v>N</v>
      </c>
      <c r="AH130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01" s="55" t="str">
        <f>IF(ESTIMATIVA[[#This Row],[TP_CULTIVO]]="Irrigado",_xlfn.MAXIFS(IRRIGADO!J:J,IRRIGADO!C:C,ESTIMATIVA[[#This Row],[CD_UPNIVEL1]],IRRIGADO!E:E,ESTIMATIVA[[#This Row],[CD_UPNIVEL3]]),"")</f>
        <v/>
      </c>
      <c r="AJ130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01" s="1">
        <f>COUNTIFS(Apresentação!$E$23:$E$29,ESTIMATIVA[[#This Row],[CD_UPNIVEL1]])</f>
        <v>0</v>
      </c>
    </row>
    <row r="1302" spans="1:37" x14ac:dyDescent="0.3">
      <c r="A1302">
        <v>20548</v>
      </c>
      <c r="B1302" t="s">
        <v>76</v>
      </c>
      <c r="C1302">
        <v>6</v>
      </c>
      <c r="D1302">
        <v>3</v>
      </c>
      <c r="E1302" t="s">
        <v>263</v>
      </c>
      <c r="F1302" s="85" t="s">
        <v>333</v>
      </c>
      <c r="G1302"/>
      <c r="H1302" t="s">
        <v>294</v>
      </c>
      <c r="I1302" t="s">
        <v>195</v>
      </c>
      <c r="J1302" t="s">
        <v>176</v>
      </c>
      <c r="K1302" s="1">
        <v>22.79</v>
      </c>
      <c r="L1302" s="1">
        <v>22.79</v>
      </c>
      <c r="M1302" s="1">
        <v>22.79</v>
      </c>
      <c r="N1302" s="1">
        <v>22.79</v>
      </c>
      <c r="O1302" s="1">
        <v>1595.3</v>
      </c>
      <c r="P1302" s="1">
        <v>1595.3</v>
      </c>
      <c r="Q1302" s="1">
        <v>1595.3</v>
      </c>
      <c r="R1302" s="1">
        <v>659.55</v>
      </c>
      <c r="S1302" t="s">
        <v>12</v>
      </c>
      <c r="T1302" s="13">
        <v>45977</v>
      </c>
      <c r="U1302" s="1" t="str">
        <f>IF(ESTIMATIVA[[#This Row],[QT_AREA_REAL]]&gt;0,"1- Colhido","2- à Colher")</f>
        <v>1- Colhido</v>
      </c>
      <c r="V1302" s="1" t="str">
        <f>IF(ESTIMATIVA[[#This Row],[QT_AREA_REST1]]&gt;0,"Reestimativa 1",IF(ESTIMATIVA[[#This Row],[QT_AREA_REAL]]=0,"Reestimativa 1","Realizado"))</f>
        <v>Reestimativa 1</v>
      </c>
      <c r="W1302" s="1" t="str">
        <f>IF(ESTIMATIVA[[#This Row],[QT_AREA_REST2]]&gt;0,"Reestimativa 2",IF(ESTIMATIVA[[#This Row],[QT_AREA_REAL]]=0,"Reestimativa 2","Realizado"))</f>
        <v>Reestimativa 2</v>
      </c>
      <c r="X1302" s="1">
        <f>ESTIMATIVA[[#This Row],[QT_AREA_EST]]</f>
        <v>22.79</v>
      </c>
      <c r="Y1302" s="1">
        <f>IF(ESTIMATIVA[[#This Row],[QT_AREA_REST1]]&gt;0,ESTIMATIVA[[#This Row],[QT_AREA_REST1]],
  IF(ESTIMATIVA[[#This Row],[QT_AREA_REAL]]&gt;0,ESTIMATIVA[[#This Row],[QT_AREA_REAL]],ESTIMATIVA[[#This Row],[QT_AREA_EST]]))</f>
        <v>22.79</v>
      </c>
      <c r="Z130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22.79</v>
      </c>
      <c r="AA1302" s="1">
        <f>ESTIMATIVA[[#This Row],[QT_CANA_EST]]</f>
        <v>1595.3</v>
      </c>
      <c r="AB1302" s="1">
        <f>IF(ESTIMATIVA[[#This Row],[QT_CANA_REST1]]&gt;0,ESTIMATIVA[[#This Row],[QT_CANA_REST1]],
  IF(ESTIMATIVA[[#This Row],[QT_CANA_REAL]]&gt;0,ESTIMATIVA[[#This Row],[QT_CANA_REAL]],ESTIMATIVA[[#This Row],[QT_CANA_EST]]))</f>
        <v>1595.3</v>
      </c>
      <c r="AC130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1595.3</v>
      </c>
      <c r="AD1302" s="1">
        <f>IF(ESTIMATIVA[[#This Row],[QT_AREA_REAL]]&gt;0,ESTIMATIVA[[#This Row],[QT_CANA_REAL]],ESTIMATIVA[[#This Row],[QT_CANA_EST]])</f>
        <v>659.55</v>
      </c>
      <c r="AE1302" s="1">
        <f>IF(ESTIMATIVA[[#This Row],[QT_AREA_REAL]]&gt;0,ESTIMATIVA[[#This Row],[QT_CANA_REAL]],ESTIMATIVA[[#This Row],[QT_CANA_REST1]])</f>
        <v>659.55</v>
      </c>
      <c r="AF1302" s="1">
        <f>IF(ESTIMATIVA[[#This Row],[QT_AREA_REAL]]&gt;0,ESTIMATIVA[[#This Row],[QT_CANA_REAL]],ESTIMATIVA[[#This Row],[QT_CANA_REST2]])</f>
        <v>659.55</v>
      </c>
      <c r="AG1302" s="1" t="str">
        <f>IF(COUNTIFS(GEADA!A:A,VALUE(ESTIMATIVA[[#This Row],[CD_UPNIVEL1]]&amp;TEXT(ESTIMATIVA[[#This Row],[CD_UPNIVEL3]],"0000")))&gt;0,"S","N")</f>
        <v>N</v>
      </c>
      <c r="AH130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02" s="55" t="str">
        <f>IF(ESTIMATIVA[[#This Row],[TP_CULTIVO]]="Irrigado",_xlfn.MAXIFS(IRRIGADO!J:J,IRRIGADO!C:C,ESTIMATIVA[[#This Row],[CD_UPNIVEL1]],IRRIGADO!E:E,ESTIMATIVA[[#This Row],[CD_UPNIVEL3]]),"")</f>
        <v/>
      </c>
      <c r="AJ130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02" s="1">
        <f>COUNTIFS(Apresentação!$E$23:$E$29,ESTIMATIVA[[#This Row],[CD_UPNIVEL1]])</f>
        <v>0</v>
      </c>
    </row>
    <row r="1303" spans="1:37" x14ac:dyDescent="0.3">
      <c r="A1303">
        <v>20548</v>
      </c>
      <c r="B1303" t="s">
        <v>76</v>
      </c>
      <c r="C1303">
        <v>7</v>
      </c>
      <c r="D1303">
        <v>3</v>
      </c>
      <c r="E1303" t="s">
        <v>263</v>
      </c>
      <c r="F1303" s="85" t="s">
        <v>331</v>
      </c>
      <c r="G1303"/>
      <c r="H1303" t="s">
        <v>294</v>
      </c>
      <c r="I1303" t="s">
        <v>195</v>
      </c>
      <c r="J1303" t="s">
        <v>176</v>
      </c>
      <c r="K1303" s="1">
        <v>3.7</v>
      </c>
      <c r="L1303" s="1">
        <v>0</v>
      </c>
      <c r="M1303" s="1">
        <v>0</v>
      </c>
      <c r="N1303" s="1">
        <v>3.7</v>
      </c>
      <c r="O1303" s="1">
        <v>259</v>
      </c>
      <c r="P1303" s="1">
        <v>0</v>
      </c>
      <c r="Q1303" s="1">
        <v>0</v>
      </c>
      <c r="R1303" s="1">
        <v>132.69</v>
      </c>
      <c r="S1303" t="s">
        <v>12</v>
      </c>
      <c r="T1303" s="13">
        <v>45851</v>
      </c>
      <c r="U1303" s="1" t="str">
        <f>IF(ESTIMATIVA[[#This Row],[QT_AREA_REAL]]&gt;0,"1- Colhido","2- à Colher")</f>
        <v>1- Colhido</v>
      </c>
      <c r="V1303" s="1" t="str">
        <f>IF(ESTIMATIVA[[#This Row],[QT_AREA_REST1]]&gt;0,"Reestimativa 1",IF(ESTIMATIVA[[#This Row],[QT_AREA_REAL]]=0,"Reestimativa 1","Realizado"))</f>
        <v>Realizado</v>
      </c>
      <c r="W1303" s="1" t="str">
        <f>IF(ESTIMATIVA[[#This Row],[QT_AREA_REST2]]&gt;0,"Reestimativa 2",IF(ESTIMATIVA[[#This Row],[QT_AREA_REAL]]=0,"Reestimativa 2","Realizado"))</f>
        <v>Realizado</v>
      </c>
      <c r="X1303" s="1">
        <f>ESTIMATIVA[[#This Row],[QT_AREA_EST]]</f>
        <v>3.7</v>
      </c>
      <c r="Y1303" s="1">
        <f>IF(ESTIMATIVA[[#This Row],[QT_AREA_REST1]]&gt;0,ESTIMATIVA[[#This Row],[QT_AREA_REST1]],
  IF(ESTIMATIVA[[#This Row],[QT_AREA_REAL]]&gt;0,ESTIMATIVA[[#This Row],[QT_AREA_REAL]],ESTIMATIVA[[#This Row],[QT_AREA_EST]]))</f>
        <v>3.7</v>
      </c>
      <c r="Z130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3.7</v>
      </c>
      <c r="AA1303" s="1">
        <f>ESTIMATIVA[[#This Row],[QT_CANA_EST]]</f>
        <v>259</v>
      </c>
      <c r="AB1303" s="1">
        <f>IF(ESTIMATIVA[[#This Row],[QT_CANA_REST1]]&gt;0,ESTIMATIVA[[#This Row],[QT_CANA_REST1]],
  IF(ESTIMATIVA[[#This Row],[QT_CANA_REAL]]&gt;0,ESTIMATIVA[[#This Row],[QT_CANA_REAL]],ESTIMATIVA[[#This Row],[QT_CANA_EST]]))</f>
        <v>132.69</v>
      </c>
      <c r="AC130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132.69</v>
      </c>
      <c r="AD1303" s="1">
        <f>IF(ESTIMATIVA[[#This Row],[QT_AREA_REAL]]&gt;0,ESTIMATIVA[[#This Row],[QT_CANA_REAL]],ESTIMATIVA[[#This Row],[QT_CANA_EST]])</f>
        <v>132.69</v>
      </c>
      <c r="AE1303" s="1">
        <f>IF(ESTIMATIVA[[#This Row],[QT_AREA_REAL]]&gt;0,ESTIMATIVA[[#This Row],[QT_CANA_REAL]],ESTIMATIVA[[#This Row],[QT_CANA_REST1]])</f>
        <v>132.69</v>
      </c>
      <c r="AF1303" s="1">
        <f>IF(ESTIMATIVA[[#This Row],[QT_AREA_REAL]]&gt;0,ESTIMATIVA[[#This Row],[QT_CANA_REAL]],ESTIMATIVA[[#This Row],[QT_CANA_REST2]])</f>
        <v>132.69</v>
      </c>
      <c r="AG1303" s="1" t="str">
        <f>IF(COUNTIFS(GEADA!A:A,VALUE(ESTIMATIVA[[#This Row],[CD_UPNIVEL1]]&amp;TEXT(ESTIMATIVA[[#This Row],[CD_UPNIVEL3]],"0000")))&gt;0,"S","N")</f>
        <v>S</v>
      </c>
      <c r="AH130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03" s="55" t="str">
        <f>IF(ESTIMATIVA[[#This Row],[TP_CULTIVO]]="Irrigado",_xlfn.MAXIFS(IRRIGADO!J:J,IRRIGADO!C:C,ESTIMATIVA[[#This Row],[CD_UPNIVEL1]],IRRIGADO!E:E,ESTIMATIVA[[#This Row],[CD_UPNIVEL3]]),"")</f>
        <v/>
      </c>
      <c r="AJ130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03" s="1">
        <f>COUNTIFS(Apresentação!$E$23:$E$29,ESTIMATIVA[[#This Row],[CD_UPNIVEL1]])</f>
        <v>0</v>
      </c>
    </row>
    <row r="1304" spans="1:37" x14ac:dyDescent="0.3">
      <c r="A1304">
        <v>20548</v>
      </c>
      <c r="B1304" t="s">
        <v>76</v>
      </c>
      <c r="C1304">
        <v>8</v>
      </c>
      <c r="D1304">
        <v>3</v>
      </c>
      <c r="E1304" t="s">
        <v>263</v>
      </c>
      <c r="F1304" s="85" t="s">
        <v>331</v>
      </c>
      <c r="G1304"/>
      <c r="H1304" t="s">
        <v>294</v>
      </c>
      <c r="I1304" t="s">
        <v>195</v>
      </c>
      <c r="J1304" t="s">
        <v>176</v>
      </c>
      <c r="K1304" s="1">
        <v>23.2</v>
      </c>
      <c r="L1304" s="1">
        <v>0</v>
      </c>
      <c r="M1304" s="1">
        <v>0</v>
      </c>
      <c r="N1304" s="1">
        <v>23.2</v>
      </c>
      <c r="O1304" s="1">
        <v>1624</v>
      </c>
      <c r="P1304" s="1">
        <v>0</v>
      </c>
      <c r="Q1304" s="1">
        <v>0</v>
      </c>
      <c r="R1304" s="1">
        <v>832.12</v>
      </c>
      <c r="S1304" t="s">
        <v>12</v>
      </c>
      <c r="T1304" s="13">
        <v>45851</v>
      </c>
      <c r="U1304" s="1" t="str">
        <f>IF(ESTIMATIVA[[#This Row],[QT_AREA_REAL]]&gt;0,"1- Colhido","2- à Colher")</f>
        <v>1- Colhido</v>
      </c>
      <c r="V1304" s="1" t="str">
        <f>IF(ESTIMATIVA[[#This Row],[QT_AREA_REST1]]&gt;0,"Reestimativa 1",IF(ESTIMATIVA[[#This Row],[QT_AREA_REAL]]=0,"Reestimativa 1","Realizado"))</f>
        <v>Realizado</v>
      </c>
      <c r="W1304" s="1" t="str">
        <f>IF(ESTIMATIVA[[#This Row],[QT_AREA_REST2]]&gt;0,"Reestimativa 2",IF(ESTIMATIVA[[#This Row],[QT_AREA_REAL]]=0,"Reestimativa 2","Realizado"))</f>
        <v>Realizado</v>
      </c>
      <c r="X1304" s="1">
        <f>ESTIMATIVA[[#This Row],[QT_AREA_EST]]</f>
        <v>23.2</v>
      </c>
      <c r="Y1304" s="1">
        <f>IF(ESTIMATIVA[[#This Row],[QT_AREA_REST1]]&gt;0,ESTIMATIVA[[#This Row],[QT_AREA_REST1]],
  IF(ESTIMATIVA[[#This Row],[QT_AREA_REAL]]&gt;0,ESTIMATIVA[[#This Row],[QT_AREA_REAL]],ESTIMATIVA[[#This Row],[QT_AREA_EST]]))</f>
        <v>23.2</v>
      </c>
      <c r="Z130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23.2</v>
      </c>
      <c r="AA1304" s="1">
        <f>ESTIMATIVA[[#This Row],[QT_CANA_EST]]</f>
        <v>1624</v>
      </c>
      <c r="AB1304" s="1">
        <f>IF(ESTIMATIVA[[#This Row],[QT_CANA_REST1]]&gt;0,ESTIMATIVA[[#This Row],[QT_CANA_REST1]],
  IF(ESTIMATIVA[[#This Row],[QT_CANA_REAL]]&gt;0,ESTIMATIVA[[#This Row],[QT_CANA_REAL]],ESTIMATIVA[[#This Row],[QT_CANA_EST]]))</f>
        <v>832.12</v>
      </c>
      <c r="AC130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832.12</v>
      </c>
      <c r="AD1304" s="1">
        <f>IF(ESTIMATIVA[[#This Row],[QT_AREA_REAL]]&gt;0,ESTIMATIVA[[#This Row],[QT_CANA_REAL]],ESTIMATIVA[[#This Row],[QT_CANA_EST]])</f>
        <v>832.12</v>
      </c>
      <c r="AE1304" s="1">
        <f>IF(ESTIMATIVA[[#This Row],[QT_AREA_REAL]]&gt;0,ESTIMATIVA[[#This Row],[QT_CANA_REAL]],ESTIMATIVA[[#This Row],[QT_CANA_REST1]])</f>
        <v>832.12</v>
      </c>
      <c r="AF1304" s="1">
        <f>IF(ESTIMATIVA[[#This Row],[QT_AREA_REAL]]&gt;0,ESTIMATIVA[[#This Row],[QT_CANA_REAL]],ESTIMATIVA[[#This Row],[QT_CANA_REST2]])</f>
        <v>832.12</v>
      </c>
      <c r="AG1304" s="1" t="str">
        <f>IF(COUNTIFS(GEADA!A:A,VALUE(ESTIMATIVA[[#This Row],[CD_UPNIVEL1]]&amp;TEXT(ESTIMATIVA[[#This Row],[CD_UPNIVEL3]],"0000")))&gt;0,"S","N")</f>
        <v>S</v>
      </c>
      <c r="AH130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04" s="55" t="str">
        <f>IF(ESTIMATIVA[[#This Row],[TP_CULTIVO]]="Irrigado",_xlfn.MAXIFS(IRRIGADO!J:J,IRRIGADO!C:C,ESTIMATIVA[[#This Row],[CD_UPNIVEL1]],IRRIGADO!E:E,ESTIMATIVA[[#This Row],[CD_UPNIVEL3]]),"")</f>
        <v/>
      </c>
      <c r="AJ130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04" s="1">
        <f>COUNTIFS(Apresentação!$E$23:$E$29,ESTIMATIVA[[#This Row],[CD_UPNIVEL1]])</f>
        <v>0</v>
      </c>
    </row>
    <row r="1305" spans="1:37" x14ac:dyDescent="0.3">
      <c r="A1305">
        <v>20548</v>
      </c>
      <c r="B1305" t="s">
        <v>76</v>
      </c>
      <c r="C1305">
        <v>9</v>
      </c>
      <c r="D1305">
        <v>3</v>
      </c>
      <c r="E1305" t="s">
        <v>263</v>
      </c>
      <c r="F1305" s="85" t="s">
        <v>333</v>
      </c>
      <c r="G1305"/>
      <c r="H1305" t="s">
        <v>294</v>
      </c>
      <c r="I1305" t="s">
        <v>195</v>
      </c>
      <c r="J1305" t="s">
        <v>176</v>
      </c>
      <c r="K1305" s="1">
        <v>25.43</v>
      </c>
      <c r="L1305" s="1">
        <v>25.43</v>
      </c>
      <c r="M1305" s="1">
        <v>25.43</v>
      </c>
      <c r="N1305" s="1">
        <v>25.43</v>
      </c>
      <c r="O1305" s="1">
        <v>1780.1</v>
      </c>
      <c r="P1305" s="1">
        <v>1780.1</v>
      </c>
      <c r="Q1305" s="1">
        <v>1678.38</v>
      </c>
      <c r="R1305" s="1">
        <v>739.6</v>
      </c>
      <c r="S1305" t="s">
        <v>12</v>
      </c>
      <c r="T1305" s="13">
        <v>45977</v>
      </c>
      <c r="U1305" s="1" t="str">
        <f>IF(ESTIMATIVA[[#This Row],[QT_AREA_REAL]]&gt;0,"1- Colhido","2- à Colher")</f>
        <v>1- Colhido</v>
      </c>
      <c r="V1305" s="1" t="str">
        <f>IF(ESTIMATIVA[[#This Row],[QT_AREA_REST1]]&gt;0,"Reestimativa 1",IF(ESTIMATIVA[[#This Row],[QT_AREA_REAL]]=0,"Reestimativa 1","Realizado"))</f>
        <v>Reestimativa 1</v>
      </c>
      <c r="W1305" s="1" t="str">
        <f>IF(ESTIMATIVA[[#This Row],[QT_AREA_REST2]]&gt;0,"Reestimativa 2",IF(ESTIMATIVA[[#This Row],[QT_AREA_REAL]]=0,"Reestimativa 2","Realizado"))</f>
        <v>Reestimativa 2</v>
      </c>
      <c r="X1305" s="1">
        <f>ESTIMATIVA[[#This Row],[QT_AREA_EST]]</f>
        <v>25.43</v>
      </c>
      <c r="Y1305" s="1">
        <f>IF(ESTIMATIVA[[#This Row],[QT_AREA_REST1]]&gt;0,ESTIMATIVA[[#This Row],[QT_AREA_REST1]],
  IF(ESTIMATIVA[[#This Row],[QT_AREA_REAL]]&gt;0,ESTIMATIVA[[#This Row],[QT_AREA_REAL]],ESTIMATIVA[[#This Row],[QT_AREA_EST]]))</f>
        <v>25.43</v>
      </c>
      <c r="Z130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25.43</v>
      </c>
      <c r="AA1305" s="1">
        <f>ESTIMATIVA[[#This Row],[QT_CANA_EST]]</f>
        <v>1780.1</v>
      </c>
      <c r="AB1305" s="1">
        <f>IF(ESTIMATIVA[[#This Row],[QT_CANA_REST1]]&gt;0,ESTIMATIVA[[#This Row],[QT_CANA_REST1]],
  IF(ESTIMATIVA[[#This Row],[QT_CANA_REAL]]&gt;0,ESTIMATIVA[[#This Row],[QT_CANA_REAL]],ESTIMATIVA[[#This Row],[QT_CANA_EST]]))</f>
        <v>1780.1</v>
      </c>
      <c r="AC130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1678.38</v>
      </c>
      <c r="AD1305" s="1">
        <f>IF(ESTIMATIVA[[#This Row],[QT_AREA_REAL]]&gt;0,ESTIMATIVA[[#This Row],[QT_CANA_REAL]],ESTIMATIVA[[#This Row],[QT_CANA_EST]])</f>
        <v>739.6</v>
      </c>
      <c r="AE1305" s="1">
        <f>IF(ESTIMATIVA[[#This Row],[QT_AREA_REAL]]&gt;0,ESTIMATIVA[[#This Row],[QT_CANA_REAL]],ESTIMATIVA[[#This Row],[QT_CANA_REST1]])</f>
        <v>739.6</v>
      </c>
      <c r="AF1305" s="1">
        <f>IF(ESTIMATIVA[[#This Row],[QT_AREA_REAL]]&gt;0,ESTIMATIVA[[#This Row],[QT_CANA_REAL]],ESTIMATIVA[[#This Row],[QT_CANA_REST2]])</f>
        <v>739.6</v>
      </c>
      <c r="AG1305" s="1" t="str">
        <f>IF(COUNTIFS(GEADA!A:A,VALUE(ESTIMATIVA[[#This Row],[CD_UPNIVEL1]]&amp;TEXT(ESTIMATIVA[[#This Row],[CD_UPNIVEL3]],"0000")))&gt;0,"S","N")</f>
        <v>N</v>
      </c>
      <c r="AH130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05" s="55" t="str">
        <f>IF(ESTIMATIVA[[#This Row],[TP_CULTIVO]]="Irrigado",_xlfn.MAXIFS(IRRIGADO!J:J,IRRIGADO!C:C,ESTIMATIVA[[#This Row],[CD_UPNIVEL1]],IRRIGADO!E:E,ESTIMATIVA[[#This Row],[CD_UPNIVEL3]]),"")</f>
        <v/>
      </c>
      <c r="AJ130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05" s="1">
        <f>COUNTIFS(Apresentação!$E$23:$E$29,ESTIMATIVA[[#This Row],[CD_UPNIVEL1]])</f>
        <v>0</v>
      </c>
    </row>
    <row r="1306" spans="1:37" x14ac:dyDescent="0.3">
      <c r="A1306">
        <v>20548</v>
      </c>
      <c r="B1306" t="s">
        <v>76</v>
      </c>
      <c r="C1306">
        <v>10</v>
      </c>
      <c r="D1306">
        <v>3</v>
      </c>
      <c r="E1306" t="s">
        <v>263</v>
      </c>
      <c r="F1306" s="85" t="s">
        <v>333</v>
      </c>
      <c r="G1306"/>
      <c r="H1306" t="s">
        <v>294</v>
      </c>
      <c r="I1306" t="s">
        <v>195</v>
      </c>
      <c r="J1306" t="s">
        <v>176</v>
      </c>
      <c r="K1306" s="1">
        <v>10.94</v>
      </c>
      <c r="L1306" s="1">
        <v>10.94</v>
      </c>
      <c r="M1306" s="1">
        <v>10.94</v>
      </c>
      <c r="N1306" s="1">
        <v>10.94</v>
      </c>
      <c r="O1306" s="1">
        <v>765.8</v>
      </c>
      <c r="P1306" s="1">
        <v>765.8</v>
      </c>
      <c r="Q1306" s="1">
        <v>722.04</v>
      </c>
      <c r="R1306" s="1">
        <v>318.2</v>
      </c>
      <c r="S1306" t="s">
        <v>12</v>
      </c>
      <c r="T1306" s="13">
        <v>45977</v>
      </c>
      <c r="U1306" s="1" t="str">
        <f>IF(ESTIMATIVA[[#This Row],[QT_AREA_REAL]]&gt;0,"1- Colhido","2- à Colher")</f>
        <v>1- Colhido</v>
      </c>
      <c r="V1306" s="1" t="str">
        <f>IF(ESTIMATIVA[[#This Row],[QT_AREA_REST1]]&gt;0,"Reestimativa 1",IF(ESTIMATIVA[[#This Row],[QT_AREA_REAL]]=0,"Reestimativa 1","Realizado"))</f>
        <v>Reestimativa 1</v>
      </c>
      <c r="W1306" s="1" t="str">
        <f>IF(ESTIMATIVA[[#This Row],[QT_AREA_REST2]]&gt;0,"Reestimativa 2",IF(ESTIMATIVA[[#This Row],[QT_AREA_REAL]]=0,"Reestimativa 2","Realizado"))</f>
        <v>Reestimativa 2</v>
      </c>
      <c r="X1306" s="1">
        <f>ESTIMATIVA[[#This Row],[QT_AREA_EST]]</f>
        <v>10.94</v>
      </c>
      <c r="Y1306" s="1">
        <f>IF(ESTIMATIVA[[#This Row],[QT_AREA_REST1]]&gt;0,ESTIMATIVA[[#This Row],[QT_AREA_REST1]],
  IF(ESTIMATIVA[[#This Row],[QT_AREA_REAL]]&gt;0,ESTIMATIVA[[#This Row],[QT_AREA_REAL]],ESTIMATIVA[[#This Row],[QT_AREA_EST]]))</f>
        <v>10.94</v>
      </c>
      <c r="Z130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10.94</v>
      </c>
      <c r="AA1306" s="1">
        <f>ESTIMATIVA[[#This Row],[QT_CANA_EST]]</f>
        <v>765.8</v>
      </c>
      <c r="AB1306" s="1">
        <f>IF(ESTIMATIVA[[#This Row],[QT_CANA_REST1]]&gt;0,ESTIMATIVA[[#This Row],[QT_CANA_REST1]],
  IF(ESTIMATIVA[[#This Row],[QT_CANA_REAL]]&gt;0,ESTIMATIVA[[#This Row],[QT_CANA_REAL]],ESTIMATIVA[[#This Row],[QT_CANA_EST]]))</f>
        <v>765.8</v>
      </c>
      <c r="AC130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722.04</v>
      </c>
      <c r="AD1306" s="1">
        <f>IF(ESTIMATIVA[[#This Row],[QT_AREA_REAL]]&gt;0,ESTIMATIVA[[#This Row],[QT_CANA_REAL]],ESTIMATIVA[[#This Row],[QT_CANA_EST]])</f>
        <v>318.2</v>
      </c>
      <c r="AE1306" s="1">
        <f>IF(ESTIMATIVA[[#This Row],[QT_AREA_REAL]]&gt;0,ESTIMATIVA[[#This Row],[QT_CANA_REAL]],ESTIMATIVA[[#This Row],[QT_CANA_REST1]])</f>
        <v>318.2</v>
      </c>
      <c r="AF1306" s="1">
        <f>IF(ESTIMATIVA[[#This Row],[QT_AREA_REAL]]&gt;0,ESTIMATIVA[[#This Row],[QT_CANA_REAL]],ESTIMATIVA[[#This Row],[QT_CANA_REST2]])</f>
        <v>318.2</v>
      </c>
      <c r="AG1306" s="1" t="str">
        <f>IF(COUNTIFS(GEADA!A:A,VALUE(ESTIMATIVA[[#This Row],[CD_UPNIVEL1]]&amp;TEXT(ESTIMATIVA[[#This Row],[CD_UPNIVEL3]],"0000")))&gt;0,"S","N")</f>
        <v>N</v>
      </c>
      <c r="AH130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06" s="55" t="str">
        <f>IF(ESTIMATIVA[[#This Row],[TP_CULTIVO]]="Irrigado",_xlfn.MAXIFS(IRRIGADO!J:J,IRRIGADO!C:C,ESTIMATIVA[[#This Row],[CD_UPNIVEL1]],IRRIGADO!E:E,ESTIMATIVA[[#This Row],[CD_UPNIVEL3]]),"")</f>
        <v/>
      </c>
      <c r="AJ130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06" s="1">
        <f>COUNTIFS(Apresentação!$E$23:$E$29,ESTIMATIVA[[#This Row],[CD_UPNIVEL1]])</f>
        <v>0</v>
      </c>
    </row>
    <row r="1307" spans="1:37" x14ac:dyDescent="0.3">
      <c r="A1307">
        <v>20548</v>
      </c>
      <c r="B1307" t="s">
        <v>76</v>
      </c>
      <c r="C1307">
        <v>11</v>
      </c>
      <c r="D1307">
        <v>3</v>
      </c>
      <c r="E1307" t="s">
        <v>263</v>
      </c>
      <c r="F1307" s="85" t="s">
        <v>333</v>
      </c>
      <c r="G1307"/>
      <c r="H1307" t="s">
        <v>294</v>
      </c>
      <c r="I1307" t="s">
        <v>195</v>
      </c>
      <c r="J1307" t="s">
        <v>176</v>
      </c>
      <c r="K1307" s="1">
        <v>27.5</v>
      </c>
      <c r="L1307" s="1">
        <v>27.5</v>
      </c>
      <c r="M1307" s="1">
        <v>27.5</v>
      </c>
      <c r="N1307" s="1">
        <v>27.5</v>
      </c>
      <c r="O1307" s="1">
        <v>1925</v>
      </c>
      <c r="P1307" s="1">
        <v>1925</v>
      </c>
      <c r="Q1307" s="1">
        <v>1925</v>
      </c>
      <c r="R1307" s="1">
        <v>887.95</v>
      </c>
      <c r="S1307" t="s">
        <v>12</v>
      </c>
      <c r="T1307" s="13">
        <v>45977</v>
      </c>
      <c r="U1307" s="1" t="str">
        <f>IF(ESTIMATIVA[[#This Row],[QT_AREA_REAL]]&gt;0,"1- Colhido","2- à Colher")</f>
        <v>1- Colhido</v>
      </c>
      <c r="V1307" s="1" t="str">
        <f>IF(ESTIMATIVA[[#This Row],[QT_AREA_REST1]]&gt;0,"Reestimativa 1",IF(ESTIMATIVA[[#This Row],[QT_AREA_REAL]]=0,"Reestimativa 1","Realizado"))</f>
        <v>Reestimativa 1</v>
      </c>
      <c r="W1307" s="1" t="str">
        <f>IF(ESTIMATIVA[[#This Row],[QT_AREA_REST2]]&gt;0,"Reestimativa 2",IF(ESTIMATIVA[[#This Row],[QT_AREA_REAL]]=0,"Reestimativa 2","Realizado"))</f>
        <v>Reestimativa 2</v>
      </c>
      <c r="X1307" s="1">
        <f>ESTIMATIVA[[#This Row],[QT_AREA_EST]]</f>
        <v>27.5</v>
      </c>
      <c r="Y1307" s="1">
        <f>IF(ESTIMATIVA[[#This Row],[QT_AREA_REST1]]&gt;0,ESTIMATIVA[[#This Row],[QT_AREA_REST1]],
  IF(ESTIMATIVA[[#This Row],[QT_AREA_REAL]]&gt;0,ESTIMATIVA[[#This Row],[QT_AREA_REAL]],ESTIMATIVA[[#This Row],[QT_AREA_EST]]))</f>
        <v>27.5</v>
      </c>
      <c r="Z130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27.5</v>
      </c>
      <c r="AA1307" s="1">
        <f>ESTIMATIVA[[#This Row],[QT_CANA_EST]]</f>
        <v>1925</v>
      </c>
      <c r="AB1307" s="1">
        <f>IF(ESTIMATIVA[[#This Row],[QT_CANA_REST1]]&gt;0,ESTIMATIVA[[#This Row],[QT_CANA_REST1]],
  IF(ESTIMATIVA[[#This Row],[QT_CANA_REAL]]&gt;0,ESTIMATIVA[[#This Row],[QT_CANA_REAL]],ESTIMATIVA[[#This Row],[QT_CANA_EST]]))</f>
        <v>1925</v>
      </c>
      <c r="AC130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1925</v>
      </c>
      <c r="AD1307" s="1">
        <f>IF(ESTIMATIVA[[#This Row],[QT_AREA_REAL]]&gt;0,ESTIMATIVA[[#This Row],[QT_CANA_REAL]],ESTIMATIVA[[#This Row],[QT_CANA_EST]])</f>
        <v>887.95</v>
      </c>
      <c r="AE1307" s="1">
        <f>IF(ESTIMATIVA[[#This Row],[QT_AREA_REAL]]&gt;0,ESTIMATIVA[[#This Row],[QT_CANA_REAL]],ESTIMATIVA[[#This Row],[QT_CANA_REST1]])</f>
        <v>887.95</v>
      </c>
      <c r="AF1307" s="1">
        <f>IF(ESTIMATIVA[[#This Row],[QT_AREA_REAL]]&gt;0,ESTIMATIVA[[#This Row],[QT_CANA_REAL]],ESTIMATIVA[[#This Row],[QT_CANA_REST2]])</f>
        <v>887.95</v>
      </c>
      <c r="AG1307" s="1" t="str">
        <f>IF(COUNTIFS(GEADA!A:A,VALUE(ESTIMATIVA[[#This Row],[CD_UPNIVEL1]]&amp;TEXT(ESTIMATIVA[[#This Row],[CD_UPNIVEL3]],"0000")))&gt;0,"S","N")</f>
        <v>S</v>
      </c>
      <c r="AH130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07" s="55" t="str">
        <f>IF(ESTIMATIVA[[#This Row],[TP_CULTIVO]]="Irrigado",_xlfn.MAXIFS(IRRIGADO!J:J,IRRIGADO!C:C,ESTIMATIVA[[#This Row],[CD_UPNIVEL1]],IRRIGADO!E:E,ESTIMATIVA[[#This Row],[CD_UPNIVEL3]]),"")</f>
        <v/>
      </c>
      <c r="AJ130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07" s="1">
        <f>COUNTIFS(Apresentação!$E$23:$E$29,ESTIMATIVA[[#This Row],[CD_UPNIVEL1]])</f>
        <v>0</v>
      </c>
    </row>
    <row r="1308" spans="1:37" x14ac:dyDescent="0.3">
      <c r="A1308">
        <v>20548</v>
      </c>
      <c r="B1308" t="s">
        <v>76</v>
      </c>
      <c r="C1308">
        <v>12</v>
      </c>
      <c r="D1308">
        <v>3</v>
      </c>
      <c r="E1308" t="s">
        <v>263</v>
      </c>
      <c r="F1308" s="85" t="s">
        <v>333</v>
      </c>
      <c r="G1308"/>
      <c r="H1308" t="s">
        <v>294</v>
      </c>
      <c r="I1308" t="s">
        <v>195</v>
      </c>
      <c r="J1308" t="s">
        <v>176</v>
      </c>
      <c r="K1308" s="1">
        <v>40.630000000000003</v>
      </c>
      <c r="L1308" s="1">
        <v>0</v>
      </c>
      <c r="M1308" s="1">
        <v>0</v>
      </c>
      <c r="N1308" s="1">
        <v>40.630000000000003</v>
      </c>
      <c r="O1308" s="1">
        <v>2844.1</v>
      </c>
      <c r="P1308" s="1">
        <v>0</v>
      </c>
      <c r="Q1308" s="1">
        <v>0</v>
      </c>
      <c r="R1308" s="1">
        <v>1369.82</v>
      </c>
      <c r="S1308" t="s">
        <v>12</v>
      </c>
      <c r="T1308" s="13">
        <v>45851</v>
      </c>
      <c r="U1308" s="1" t="str">
        <f>IF(ESTIMATIVA[[#This Row],[QT_AREA_REAL]]&gt;0,"1- Colhido","2- à Colher")</f>
        <v>1- Colhido</v>
      </c>
      <c r="V1308" s="1" t="str">
        <f>IF(ESTIMATIVA[[#This Row],[QT_AREA_REST1]]&gt;0,"Reestimativa 1",IF(ESTIMATIVA[[#This Row],[QT_AREA_REAL]]=0,"Reestimativa 1","Realizado"))</f>
        <v>Realizado</v>
      </c>
      <c r="W1308" s="1" t="str">
        <f>IF(ESTIMATIVA[[#This Row],[QT_AREA_REST2]]&gt;0,"Reestimativa 2",IF(ESTIMATIVA[[#This Row],[QT_AREA_REAL]]=0,"Reestimativa 2","Realizado"))</f>
        <v>Realizado</v>
      </c>
      <c r="X1308" s="1">
        <f>ESTIMATIVA[[#This Row],[QT_AREA_EST]]</f>
        <v>40.630000000000003</v>
      </c>
      <c r="Y1308" s="1">
        <f>IF(ESTIMATIVA[[#This Row],[QT_AREA_REST1]]&gt;0,ESTIMATIVA[[#This Row],[QT_AREA_REST1]],
  IF(ESTIMATIVA[[#This Row],[QT_AREA_REAL]]&gt;0,ESTIMATIVA[[#This Row],[QT_AREA_REAL]],ESTIMATIVA[[#This Row],[QT_AREA_EST]]))</f>
        <v>40.630000000000003</v>
      </c>
      <c r="Z130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40.630000000000003</v>
      </c>
      <c r="AA1308" s="1">
        <f>ESTIMATIVA[[#This Row],[QT_CANA_EST]]</f>
        <v>2844.1</v>
      </c>
      <c r="AB1308" s="1">
        <f>IF(ESTIMATIVA[[#This Row],[QT_CANA_REST1]]&gt;0,ESTIMATIVA[[#This Row],[QT_CANA_REST1]],
  IF(ESTIMATIVA[[#This Row],[QT_CANA_REAL]]&gt;0,ESTIMATIVA[[#This Row],[QT_CANA_REAL]],ESTIMATIVA[[#This Row],[QT_CANA_EST]]))</f>
        <v>1369.82</v>
      </c>
      <c r="AC130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1369.82</v>
      </c>
      <c r="AD1308" s="1">
        <f>IF(ESTIMATIVA[[#This Row],[QT_AREA_REAL]]&gt;0,ESTIMATIVA[[#This Row],[QT_CANA_REAL]],ESTIMATIVA[[#This Row],[QT_CANA_EST]])</f>
        <v>1369.82</v>
      </c>
      <c r="AE1308" s="1">
        <f>IF(ESTIMATIVA[[#This Row],[QT_AREA_REAL]]&gt;0,ESTIMATIVA[[#This Row],[QT_CANA_REAL]],ESTIMATIVA[[#This Row],[QT_CANA_REST1]])</f>
        <v>1369.82</v>
      </c>
      <c r="AF1308" s="1">
        <f>IF(ESTIMATIVA[[#This Row],[QT_AREA_REAL]]&gt;0,ESTIMATIVA[[#This Row],[QT_CANA_REAL]],ESTIMATIVA[[#This Row],[QT_CANA_REST2]])</f>
        <v>1369.82</v>
      </c>
      <c r="AG1308" s="1" t="str">
        <f>IF(COUNTIFS(GEADA!A:A,VALUE(ESTIMATIVA[[#This Row],[CD_UPNIVEL1]]&amp;TEXT(ESTIMATIVA[[#This Row],[CD_UPNIVEL3]],"0000")))&gt;0,"S","N")</f>
        <v>S</v>
      </c>
      <c r="AH130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08" s="55" t="str">
        <f>IF(ESTIMATIVA[[#This Row],[TP_CULTIVO]]="Irrigado",_xlfn.MAXIFS(IRRIGADO!J:J,IRRIGADO!C:C,ESTIMATIVA[[#This Row],[CD_UPNIVEL1]],IRRIGADO!E:E,ESTIMATIVA[[#This Row],[CD_UPNIVEL3]]),"")</f>
        <v/>
      </c>
      <c r="AJ130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08" s="1">
        <f>COUNTIFS(Apresentação!$E$23:$E$29,ESTIMATIVA[[#This Row],[CD_UPNIVEL1]])</f>
        <v>0</v>
      </c>
    </row>
    <row r="1309" spans="1:37" x14ac:dyDescent="0.3">
      <c r="A1309">
        <v>20548</v>
      </c>
      <c r="B1309" t="s">
        <v>76</v>
      </c>
      <c r="C1309">
        <v>13</v>
      </c>
      <c r="D1309">
        <v>3</v>
      </c>
      <c r="E1309" t="s">
        <v>263</v>
      </c>
      <c r="F1309" s="85" t="s">
        <v>333</v>
      </c>
      <c r="G1309"/>
      <c r="H1309" t="s">
        <v>294</v>
      </c>
      <c r="I1309" t="s">
        <v>195</v>
      </c>
      <c r="J1309" t="s">
        <v>176</v>
      </c>
      <c r="K1309" s="1">
        <v>5.45</v>
      </c>
      <c r="L1309" s="1">
        <v>0</v>
      </c>
      <c r="M1309" s="1">
        <v>0</v>
      </c>
      <c r="N1309" s="1">
        <v>5.45</v>
      </c>
      <c r="O1309" s="1">
        <v>381.5</v>
      </c>
      <c r="P1309" s="1">
        <v>0</v>
      </c>
      <c r="Q1309" s="1">
        <v>0</v>
      </c>
      <c r="R1309" s="1">
        <v>183.95</v>
      </c>
      <c r="S1309" t="s">
        <v>12</v>
      </c>
      <c r="T1309" s="13">
        <v>45851</v>
      </c>
      <c r="U1309" s="1" t="str">
        <f>IF(ESTIMATIVA[[#This Row],[QT_AREA_REAL]]&gt;0,"1- Colhido","2- à Colher")</f>
        <v>1- Colhido</v>
      </c>
      <c r="V1309" s="1" t="str">
        <f>IF(ESTIMATIVA[[#This Row],[QT_AREA_REST1]]&gt;0,"Reestimativa 1",IF(ESTIMATIVA[[#This Row],[QT_AREA_REAL]]=0,"Reestimativa 1","Realizado"))</f>
        <v>Realizado</v>
      </c>
      <c r="W1309" s="1" t="str">
        <f>IF(ESTIMATIVA[[#This Row],[QT_AREA_REST2]]&gt;0,"Reestimativa 2",IF(ESTIMATIVA[[#This Row],[QT_AREA_REAL]]=0,"Reestimativa 2","Realizado"))</f>
        <v>Realizado</v>
      </c>
      <c r="X1309" s="1">
        <f>ESTIMATIVA[[#This Row],[QT_AREA_EST]]</f>
        <v>5.45</v>
      </c>
      <c r="Y1309" s="1">
        <f>IF(ESTIMATIVA[[#This Row],[QT_AREA_REST1]]&gt;0,ESTIMATIVA[[#This Row],[QT_AREA_REST1]],
  IF(ESTIMATIVA[[#This Row],[QT_AREA_REAL]]&gt;0,ESTIMATIVA[[#This Row],[QT_AREA_REAL]],ESTIMATIVA[[#This Row],[QT_AREA_EST]]))</f>
        <v>5.45</v>
      </c>
      <c r="Z130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5.45</v>
      </c>
      <c r="AA1309" s="1">
        <f>ESTIMATIVA[[#This Row],[QT_CANA_EST]]</f>
        <v>381.5</v>
      </c>
      <c r="AB1309" s="1">
        <f>IF(ESTIMATIVA[[#This Row],[QT_CANA_REST1]]&gt;0,ESTIMATIVA[[#This Row],[QT_CANA_REST1]],
  IF(ESTIMATIVA[[#This Row],[QT_CANA_REAL]]&gt;0,ESTIMATIVA[[#This Row],[QT_CANA_REAL]],ESTIMATIVA[[#This Row],[QT_CANA_EST]]))</f>
        <v>183.95</v>
      </c>
      <c r="AC130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183.95</v>
      </c>
      <c r="AD1309" s="1">
        <f>IF(ESTIMATIVA[[#This Row],[QT_AREA_REAL]]&gt;0,ESTIMATIVA[[#This Row],[QT_CANA_REAL]],ESTIMATIVA[[#This Row],[QT_CANA_EST]])</f>
        <v>183.95</v>
      </c>
      <c r="AE1309" s="1">
        <f>IF(ESTIMATIVA[[#This Row],[QT_AREA_REAL]]&gt;0,ESTIMATIVA[[#This Row],[QT_CANA_REAL]],ESTIMATIVA[[#This Row],[QT_CANA_REST1]])</f>
        <v>183.95</v>
      </c>
      <c r="AF1309" s="1">
        <f>IF(ESTIMATIVA[[#This Row],[QT_AREA_REAL]]&gt;0,ESTIMATIVA[[#This Row],[QT_CANA_REAL]],ESTIMATIVA[[#This Row],[QT_CANA_REST2]])</f>
        <v>183.95</v>
      </c>
      <c r="AG1309" s="1" t="str">
        <f>IF(COUNTIFS(GEADA!A:A,VALUE(ESTIMATIVA[[#This Row],[CD_UPNIVEL1]]&amp;TEXT(ESTIMATIVA[[#This Row],[CD_UPNIVEL3]],"0000")))&gt;0,"S","N")</f>
        <v>S</v>
      </c>
      <c r="AH130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09" s="55" t="str">
        <f>IF(ESTIMATIVA[[#This Row],[TP_CULTIVO]]="Irrigado",_xlfn.MAXIFS(IRRIGADO!J:J,IRRIGADO!C:C,ESTIMATIVA[[#This Row],[CD_UPNIVEL1]],IRRIGADO!E:E,ESTIMATIVA[[#This Row],[CD_UPNIVEL3]]),"")</f>
        <v/>
      </c>
      <c r="AJ130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09" s="1">
        <f>COUNTIFS(Apresentação!$E$23:$E$29,ESTIMATIVA[[#This Row],[CD_UPNIVEL1]])</f>
        <v>0</v>
      </c>
    </row>
    <row r="1310" spans="1:37" x14ac:dyDescent="0.3">
      <c r="A1310">
        <v>20548</v>
      </c>
      <c r="B1310" t="s">
        <v>76</v>
      </c>
      <c r="C1310">
        <v>14</v>
      </c>
      <c r="D1310">
        <v>3</v>
      </c>
      <c r="E1310" t="s">
        <v>263</v>
      </c>
      <c r="F1310" s="85" t="s">
        <v>333</v>
      </c>
      <c r="G1310"/>
      <c r="H1310" t="s">
        <v>294</v>
      </c>
      <c r="I1310" t="s">
        <v>195</v>
      </c>
      <c r="J1310" t="s">
        <v>176</v>
      </c>
      <c r="K1310" s="1">
        <v>29.54</v>
      </c>
      <c r="L1310" s="1">
        <v>0</v>
      </c>
      <c r="M1310" s="1">
        <v>0</v>
      </c>
      <c r="N1310" s="1">
        <v>29.54</v>
      </c>
      <c r="O1310" s="1">
        <v>2067.8000000000002</v>
      </c>
      <c r="P1310" s="1">
        <v>0</v>
      </c>
      <c r="Q1310" s="1">
        <v>0</v>
      </c>
      <c r="R1310" s="1">
        <v>996.24</v>
      </c>
      <c r="S1310" t="s">
        <v>12</v>
      </c>
      <c r="T1310" s="13">
        <v>45851</v>
      </c>
      <c r="U1310" s="1" t="str">
        <f>IF(ESTIMATIVA[[#This Row],[QT_AREA_REAL]]&gt;0,"1- Colhido","2- à Colher")</f>
        <v>1- Colhido</v>
      </c>
      <c r="V1310" s="1" t="str">
        <f>IF(ESTIMATIVA[[#This Row],[QT_AREA_REST1]]&gt;0,"Reestimativa 1",IF(ESTIMATIVA[[#This Row],[QT_AREA_REAL]]=0,"Reestimativa 1","Realizado"))</f>
        <v>Realizado</v>
      </c>
      <c r="W1310" s="1" t="str">
        <f>IF(ESTIMATIVA[[#This Row],[QT_AREA_REST2]]&gt;0,"Reestimativa 2",IF(ESTIMATIVA[[#This Row],[QT_AREA_REAL]]=0,"Reestimativa 2","Realizado"))</f>
        <v>Realizado</v>
      </c>
      <c r="X1310" s="1">
        <f>ESTIMATIVA[[#This Row],[QT_AREA_EST]]</f>
        <v>29.54</v>
      </c>
      <c r="Y1310" s="1">
        <f>IF(ESTIMATIVA[[#This Row],[QT_AREA_REST1]]&gt;0,ESTIMATIVA[[#This Row],[QT_AREA_REST1]],
  IF(ESTIMATIVA[[#This Row],[QT_AREA_REAL]]&gt;0,ESTIMATIVA[[#This Row],[QT_AREA_REAL]],ESTIMATIVA[[#This Row],[QT_AREA_EST]]))</f>
        <v>29.54</v>
      </c>
      <c r="Z131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29.54</v>
      </c>
      <c r="AA1310" s="1">
        <f>ESTIMATIVA[[#This Row],[QT_CANA_EST]]</f>
        <v>2067.8000000000002</v>
      </c>
      <c r="AB1310" s="1">
        <f>IF(ESTIMATIVA[[#This Row],[QT_CANA_REST1]]&gt;0,ESTIMATIVA[[#This Row],[QT_CANA_REST1]],
  IF(ESTIMATIVA[[#This Row],[QT_CANA_REAL]]&gt;0,ESTIMATIVA[[#This Row],[QT_CANA_REAL]],ESTIMATIVA[[#This Row],[QT_CANA_EST]]))</f>
        <v>996.24</v>
      </c>
      <c r="AC131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996.24</v>
      </c>
      <c r="AD1310" s="1">
        <f>IF(ESTIMATIVA[[#This Row],[QT_AREA_REAL]]&gt;0,ESTIMATIVA[[#This Row],[QT_CANA_REAL]],ESTIMATIVA[[#This Row],[QT_CANA_EST]])</f>
        <v>996.24</v>
      </c>
      <c r="AE1310" s="1">
        <f>IF(ESTIMATIVA[[#This Row],[QT_AREA_REAL]]&gt;0,ESTIMATIVA[[#This Row],[QT_CANA_REAL]],ESTIMATIVA[[#This Row],[QT_CANA_REST1]])</f>
        <v>996.24</v>
      </c>
      <c r="AF1310" s="1">
        <f>IF(ESTIMATIVA[[#This Row],[QT_AREA_REAL]]&gt;0,ESTIMATIVA[[#This Row],[QT_CANA_REAL]],ESTIMATIVA[[#This Row],[QT_CANA_REST2]])</f>
        <v>996.24</v>
      </c>
      <c r="AG1310" s="1" t="str">
        <f>IF(COUNTIFS(GEADA!A:A,VALUE(ESTIMATIVA[[#This Row],[CD_UPNIVEL1]]&amp;TEXT(ESTIMATIVA[[#This Row],[CD_UPNIVEL3]],"0000")))&gt;0,"S","N")</f>
        <v>S</v>
      </c>
      <c r="AH131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10" s="55" t="str">
        <f>IF(ESTIMATIVA[[#This Row],[TP_CULTIVO]]="Irrigado",_xlfn.MAXIFS(IRRIGADO!J:J,IRRIGADO!C:C,ESTIMATIVA[[#This Row],[CD_UPNIVEL1]],IRRIGADO!E:E,ESTIMATIVA[[#This Row],[CD_UPNIVEL3]]),"")</f>
        <v/>
      </c>
      <c r="AJ131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10" s="1">
        <f>COUNTIFS(Apresentação!$E$23:$E$29,ESTIMATIVA[[#This Row],[CD_UPNIVEL1]])</f>
        <v>0</v>
      </c>
    </row>
    <row r="1311" spans="1:37" x14ac:dyDescent="0.3">
      <c r="A1311">
        <v>20549</v>
      </c>
      <c r="B1311" t="s">
        <v>64</v>
      </c>
      <c r="C1311">
        <v>1</v>
      </c>
      <c r="D1311">
        <v>6</v>
      </c>
      <c r="E1311" t="s">
        <v>261</v>
      </c>
      <c r="F1311" s="85" t="s">
        <v>331</v>
      </c>
      <c r="G1311"/>
      <c r="H1311" t="s">
        <v>294</v>
      </c>
      <c r="I1311" t="s">
        <v>202</v>
      </c>
      <c r="J1311" t="s">
        <v>176</v>
      </c>
      <c r="K1311" s="1">
        <v>4.3899999999999997</v>
      </c>
      <c r="L1311" s="1">
        <v>0</v>
      </c>
      <c r="M1311" s="1">
        <v>0</v>
      </c>
      <c r="N1311" s="1">
        <v>4.3899999999999997</v>
      </c>
      <c r="O1311" s="1">
        <v>131.69999999999999</v>
      </c>
      <c r="P1311" s="1">
        <v>0</v>
      </c>
      <c r="Q1311" s="1">
        <v>0</v>
      </c>
      <c r="R1311" s="1">
        <v>165.03</v>
      </c>
      <c r="S1311" t="s">
        <v>12</v>
      </c>
      <c r="T1311" s="13">
        <v>45746</v>
      </c>
      <c r="U1311" s="1" t="str">
        <f>IF(ESTIMATIVA[[#This Row],[QT_AREA_REAL]]&gt;0,"1- Colhido","2- à Colher")</f>
        <v>1- Colhido</v>
      </c>
      <c r="V1311" s="1" t="str">
        <f>IF(ESTIMATIVA[[#This Row],[QT_AREA_REST1]]&gt;0,"Reestimativa 1",IF(ESTIMATIVA[[#This Row],[QT_AREA_REAL]]=0,"Reestimativa 1","Realizado"))</f>
        <v>Realizado</v>
      </c>
      <c r="W1311" s="1" t="str">
        <f>IF(ESTIMATIVA[[#This Row],[QT_AREA_REST2]]&gt;0,"Reestimativa 2",IF(ESTIMATIVA[[#This Row],[QT_AREA_REAL]]=0,"Reestimativa 2","Realizado"))</f>
        <v>Realizado</v>
      </c>
      <c r="X1311" s="1">
        <f>ESTIMATIVA[[#This Row],[QT_AREA_EST]]</f>
        <v>4.3899999999999997</v>
      </c>
      <c r="Y1311" s="1">
        <f>IF(ESTIMATIVA[[#This Row],[QT_AREA_REST1]]&gt;0,ESTIMATIVA[[#This Row],[QT_AREA_REST1]],
  IF(ESTIMATIVA[[#This Row],[QT_AREA_REAL]]&gt;0,ESTIMATIVA[[#This Row],[QT_AREA_REAL]],ESTIMATIVA[[#This Row],[QT_AREA_EST]]))</f>
        <v>4.3899999999999997</v>
      </c>
      <c r="Z131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4.3899999999999997</v>
      </c>
      <c r="AA1311" s="1">
        <f>ESTIMATIVA[[#This Row],[QT_CANA_EST]]</f>
        <v>131.69999999999999</v>
      </c>
      <c r="AB1311" s="1">
        <f>IF(ESTIMATIVA[[#This Row],[QT_CANA_REST1]]&gt;0,ESTIMATIVA[[#This Row],[QT_CANA_REST1]],
  IF(ESTIMATIVA[[#This Row],[QT_CANA_REAL]]&gt;0,ESTIMATIVA[[#This Row],[QT_CANA_REAL]],ESTIMATIVA[[#This Row],[QT_CANA_EST]]))</f>
        <v>165.03</v>
      </c>
      <c r="AC131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165.03</v>
      </c>
      <c r="AD1311" s="1">
        <f>IF(ESTIMATIVA[[#This Row],[QT_AREA_REAL]]&gt;0,ESTIMATIVA[[#This Row],[QT_CANA_REAL]],ESTIMATIVA[[#This Row],[QT_CANA_EST]])</f>
        <v>165.03</v>
      </c>
      <c r="AE1311" s="1">
        <f>IF(ESTIMATIVA[[#This Row],[QT_AREA_REAL]]&gt;0,ESTIMATIVA[[#This Row],[QT_CANA_REAL]],ESTIMATIVA[[#This Row],[QT_CANA_REST1]])</f>
        <v>165.03</v>
      </c>
      <c r="AF1311" s="1">
        <f>IF(ESTIMATIVA[[#This Row],[QT_AREA_REAL]]&gt;0,ESTIMATIVA[[#This Row],[QT_CANA_REAL]],ESTIMATIVA[[#This Row],[QT_CANA_REST2]])</f>
        <v>165.03</v>
      </c>
      <c r="AG1311" s="1" t="str">
        <f>IF(COUNTIFS(GEADA!A:A,VALUE(ESTIMATIVA[[#This Row],[CD_UPNIVEL1]]&amp;TEXT(ESTIMATIVA[[#This Row],[CD_UPNIVEL3]],"0000")))&gt;0,"S","N")</f>
        <v>N</v>
      </c>
      <c r="AH131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11" s="55" t="str">
        <f>IF(ESTIMATIVA[[#This Row],[TP_CULTIVO]]="Irrigado",_xlfn.MAXIFS(IRRIGADO!J:J,IRRIGADO!C:C,ESTIMATIVA[[#This Row],[CD_UPNIVEL1]],IRRIGADO!E:E,ESTIMATIVA[[#This Row],[CD_UPNIVEL3]]),"")</f>
        <v/>
      </c>
      <c r="AJ131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11" s="1">
        <f>COUNTIFS(Apresentação!$E$23:$E$29,ESTIMATIVA[[#This Row],[CD_UPNIVEL1]])</f>
        <v>0</v>
      </c>
    </row>
    <row r="1312" spans="1:37" x14ac:dyDescent="0.3">
      <c r="A1312">
        <v>20549</v>
      </c>
      <c r="B1312" t="s">
        <v>64</v>
      </c>
      <c r="C1312">
        <v>2</v>
      </c>
      <c r="D1312">
        <v>6</v>
      </c>
      <c r="E1312" t="s">
        <v>261</v>
      </c>
      <c r="F1312" s="85" t="s">
        <v>331</v>
      </c>
      <c r="G1312"/>
      <c r="H1312" t="s">
        <v>294</v>
      </c>
      <c r="I1312" t="s">
        <v>202</v>
      </c>
      <c r="J1312" t="s">
        <v>176</v>
      </c>
      <c r="K1312" s="1">
        <v>13.03</v>
      </c>
      <c r="L1312" s="1">
        <v>0</v>
      </c>
      <c r="M1312" s="1">
        <v>0</v>
      </c>
      <c r="N1312" s="1">
        <v>13.03</v>
      </c>
      <c r="O1312" s="1">
        <v>390.9</v>
      </c>
      <c r="P1312" s="1">
        <v>0</v>
      </c>
      <c r="Q1312" s="1">
        <v>0</v>
      </c>
      <c r="R1312" s="1">
        <v>488.9</v>
      </c>
      <c r="S1312" t="s">
        <v>12</v>
      </c>
      <c r="T1312" s="13">
        <v>45746</v>
      </c>
      <c r="U1312" s="1" t="str">
        <f>IF(ESTIMATIVA[[#This Row],[QT_AREA_REAL]]&gt;0,"1- Colhido","2- à Colher")</f>
        <v>1- Colhido</v>
      </c>
      <c r="V1312" s="1" t="str">
        <f>IF(ESTIMATIVA[[#This Row],[QT_AREA_REST1]]&gt;0,"Reestimativa 1",IF(ESTIMATIVA[[#This Row],[QT_AREA_REAL]]=0,"Reestimativa 1","Realizado"))</f>
        <v>Realizado</v>
      </c>
      <c r="W1312" s="1" t="str">
        <f>IF(ESTIMATIVA[[#This Row],[QT_AREA_REST2]]&gt;0,"Reestimativa 2",IF(ESTIMATIVA[[#This Row],[QT_AREA_REAL]]=0,"Reestimativa 2","Realizado"))</f>
        <v>Realizado</v>
      </c>
      <c r="X1312" s="1">
        <f>ESTIMATIVA[[#This Row],[QT_AREA_EST]]</f>
        <v>13.03</v>
      </c>
      <c r="Y1312" s="1">
        <f>IF(ESTIMATIVA[[#This Row],[QT_AREA_REST1]]&gt;0,ESTIMATIVA[[#This Row],[QT_AREA_REST1]],
  IF(ESTIMATIVA[[#This Row],[QT_AREA_REAL]]&gt;0,ESTIMATIVA[[#This Row],[QT_AREA_REAL]],ESTIMATIVA[[#This Row],[QT_AREA_EST]]))</f>
        <v>13.03</v>
      </c>
      <c r="Z131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13.03</v>
      </c>
      <c r="AA1312" s="1">
        <f>ESTIMATIVA[[#This Row],[QT_CANA_EST]]</f>
        <v>390.9</v>
      </c>
      <c r="AB1312" s="1">
        <f>IF(ESTIMATIVA[[#This Row],[QT_CANA_REST1]]&gt;0,ESTIMATIVA[[#This Row],[QT_CANA_REST1]],
  IF(ESTIMATIVA[[#This Row],[QT_CANA_REAL]]&gt;0,ESTIMATIVA[[#This Row],[QT_CANA_REAL]],ESTIMATIVA[[#This Row],[QT_CANA_EST]]))</f>
        <v>488.9</v>
      </c>
      <c r="AC131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488.9</v>
      </c>
      <c r="AD1312" s="1">
        <f>IF(ESTIMATIVA[[#This Row],[QT_AREA_REAL]]&gt;0,ESTIMATIVA[[#This Row],[QT_CANA_REAL]],ESTIMATIVA[[#This Row],[QT_CANA_EST]])</f>
        <v>488.9</v>
      </c>
      <c r="AE1312" s="1">
        <f>IF(ESTIMATIVA[[#This Row],[QT_AREA_REAL]]&gt;0,ESTIMATIVA[[#This Row],[QT_CANA_REAL]],ESTIMATIVA[[#This Row],[QT_CANA_REST1]])</f>
        <v>488.9</v>
      </c>
      <c r="AF1312" s="1">
        <f>IF(ESTIMATIVA[[#This Row],[QT_AREA_REAL]]&gt;0,ESTIMATIVA[[#This Row],[QT_CANA_REAL]],ESTIMATIVA[[#This Row],[QT_CANA_REST2]])</f>
        <v>488.9</v>
      </c>
      <c r="AG1312" s="1" t="str">
        <f>IF(COUNTIFS(GEADA!A:A,VALUE(ESTIMATIVA[[#This Row],[CD_UPNIVEL1]]&amp;TEXT(ESTIMATIVA[[#This Row],[CD_UPNIVEL3]],"0000")))&gt;0,"S","N")</f>
        <v>N</v>
      </c>
      <c r="AH131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12" s="55" t="str">
        <f>IF(ESTIMATIVA[[#This Row],[TP_CULTIVO]]="Irrigado",_xlfn.MAXIFS(IRRIGADO!J:J,IRRIGADO!C:C,ESTIMATIVA[[#This Row],[CD_UPNIVEL1]],IRRIGADO!E:E,ESTIMATIVA[[#This Row],[CD_UPNIVEL3]]),"")</f>
        <v/>
      </c>
      <c r="AJ131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12" s="1">
        <f>COUNTIFS(Apresentação!$E$23:$E$29,ESTIMATIVA[[#This Row],[CD_UPNIVEL1]])</f>
        <v>0</v>
      </c>
    </row>
    <row r="1313" spans="1:37" x14ac:dyDescent="0.3">
      <c r="A1313">
        <v>20549</v>
      </c>
      <c r="B1313" t="s">
        <v>64</v>
      </c>
      <c r="C1313">
        <v>3</v>
      </c>
      <c r="D1313">
        <v>6</v>
      </c>
      <c r="E1313" t="s">
        <v>261</v>
      </c>
      <c r="F1313" s="85" t="s">
        <v>331</v>
      </c>
      <c r="G1313"/>
      <c r="H1313" t="s">
        <v>294</v>
      </c>
      <c r="I1313" t="s">
        <v>202</v>
      </c>
      <c r="J1313" t="s">
        <v>176</v>
      </c>
      <c r="K1313" s="1">
        <v>19.350000000000001</v>
      </c>
      <c r="L1313" s="1">
        <v>0</v>
      </c>
      <c r="M1313" s="1">
        <v>0</v>
      </c>
      <c r="N1313" s="1">
        <v>19.350000000000001</v>
      </c>
      <c r="O1313" s="1">
        <v>580.5</v>
      </c>
      <c r="P1313" s="1">
        <v>0</v>
      </c>
      <c r="Q1313" s="1">
        <v>0</v>
      </c>
      <c r="R1313" s="1">
        <v>726.49</v>
      </c>
      <c r="S1313" t="s">
        <v>12</v>
      </c>
      <c r="T1313" s="13">
        <v>45746</v>
      </c>
      <c r="U1313" s="1" t="str">
        <f>IF(ESTIMATIVA[[#This Row],[QT_AREA_REAL]]&gt;0,"1- Colhido","2- à Colher")</f>
        <v>1- Colhido</v>
      </c>
      <c r="V1313" s="1" t="str">
        <f>IF(ESTIMATIVA[[#This Row],[QT_AREA_REST1]]&gt;0,"Reestimativa 1",IF(ESTIMATIVA[[#This Row],[QT_AREA_REAL]]=0,"Reestimativa 1","Realizado"))</f>
        <v>Realizado</v>
      </c>
      <c r="W1313" s="1" t="str">
        <f>IF(ESTIMATIVA[[#This Row],[QT_AREA_REST2]]&gt;0,"Reestimativa 2",IF(ESTIMATIVA[[#This Row],[QT_AREA_REAL]]=0,"Reestimativa 2","Realizado"))</f>
        <v>Realizado</v>
      </c>
      <c r="X1313" s="1">
        <f>ESTIMATIVA[[#This Row],[QT_AREA_EST]]</f>
        <v>19.350000000000001</v>
      </c>
      <c r="Y1313" s="1">
        <f>IF(ESTIMATIVA[[#This Row],[QT_AREA_REST1]]&gt;0,ESTIMATIVA[[#This Row],[QT_AREA_REST1]],
  IF(ESTIMATIVA[[#This Row],[QT_AREA_REAL]]&gt;0,ESTIMATIVA[[#This Row],[QT_AREA_REAL]],ESTIMATIVA[[#This Row],[QT_AREA_EST]]))</f>
        <v>19.350000000000001</v>
      </c>
      <c r="Z131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19.350000000000001</v>
      </c>
      <c r="AA1313" s="1">
        <f>ESTIMATIVA[[#This Row],[QT_CANA_EST]]</f>
        <v>580.5</v>
      </c>
      <c r="AB1313" s="1">
        <f>IF(ESTIMATIVA[[#This Row],[QT_CANA_REST1]]&gt;0,ESTIMATIVA[[#This Row],[QT_CANA_REST1]],
  IF(ESTIMATIVA[[#This Row],[QT_CANA_REAL]]&gt;0,ESTIMATIVA[[#This Row],[QT_CANA_REAL]],ESTIMATIVA[[#This Row],[QT_CANA_EST]]))</f>
        <v>726.49</v>
      </c>
      <c r="AC131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726.49</v>
      </c>
      <c r="AD1313" s="1">
        <f>IF(ESTIMATIVA[[#This Row],[QT_AREA_REAL]]&gt;0,ESTIMATIVA[[#This Row],[QT_CANA_REAL]],ESTIMATIVA[[#This Row],[QT_CANA_EST]])</f>
        <v>726.49</v>
      </c>
      <c r="AE1313" s="1">
        <f>IF(ESTIMATIVA[[#This Row],[QT_AREA_REAL]]&gt;0,ESTIMATIVA[[#This Row],[QT_CANA_REAL]],ESTIMATIVA[[#This Row],[QT_CANA_REST1]])</f>
        <v>726.49</v>
      </c>
      <c r="AF1313" s="1">
        <f>IF(ESTIMATIVA[[#This Row],[QT_AREA_REAL]]&gt;0,ESTIMATIVA[[#This Row],[QT_CANA_REAL]],ESTIMATIVA[[#This Row],[QT_CANA_REST2]])</f>
        <v>726.49</v>
      </c>
      <c r="AG1313" s="1" t="str">
        <f>IF(COUNTIFS(GEADA!A:A,VALUE(ESTIMATIVA[[#This Row],[CD_UPNIVEL1]]&amp;TEXT(ESTIMATIVA[[#This Row],[CD_UPNIVEL3]],"0000")))&gt;0,"S","N")</f>
        <v>N</v>
      </c>
      <c r="AH131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13" s="55" t="str">
        <f>IF(ESTIMATIVA[[#This Row],[TP_CULTIVO]]="Irrigado",_xlfn.MAXIFS(IRRIGADO!J:J,IRRIGADO!C:C,ESTIMATIVA[[#This Row],[CD_UPNIVEL1]],IRRIGADO!E:E,ESTIMATIVA[[#This Row],[CD_UPNIVEL3]]),"")</f>
        <v/>
      </c>
      <c r="AJ131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13" s="1">
        <f>COUNTIFS(Apresentação!$E$23:$E$29,ESTIMATIVA[[#This Row],[CD_UPNIVEL1]])</f>
        <v>0</v>
      </c>
    </row>
    <row r="1314" spans="1:37" x14ac:dyDescent="0.3">
      <c r="A1314">
        <v>20549</v>
      </c>
      <c r="B1314" t="s">
        <v>64</v>
      </c>
      <c r="C1314">
        <v>4</v>
      </c>
      <c r="D1314">
        <v>6</v>
      </c>
      <c r="E1314" t="s">
        <v>261</v>
      </c>
      <c r="F1314" s="85" t="s">
        <v>331</v>
      </c>
      <c r="G1314"/>
      <c r="H1314" t="s">
        <v>294</v>
      </c>
      <c r="I1314" t="s">
        <v>202</v>
      </c>
      <c r="J1314" t="s">
        <v>176</v>
      </c>
      <c r="K1314" s="1">
        <v>7.88</v>
      </c>
      <c r="L1314" s="1">
        <v>0</v>
      </c>
      <c r="M1314" s="1">
        <v>0</v>
      </c>
      <c r="N1314" s="1">
        <v>7.88</v>
      </c>
      <c r="O1314" s="1">
        <v>394</v>
      </c>
      <c r="P1314" s="1">
        <v>0</v>
      </c>
      <c r="Q1314" s="1">
        <v>0</v>
      </c>
      <c r="R1314" s="1">
        <v>492.76</v>
      </c>
      <c r="S1314" t="s">
        <v>12</v>
      </c>
      <c r="T1314" s="13">
        <v>45746</v>
      </c>
      <c r="U1314" s="1" t="str">
        <f>IF(ESTIMATIVA[[#This Row],[QT_AREA_REAL]]&gt;0,"1- Colhido","2- à Colher")</f>
        <v>1- Colhido</v>
      </c>
      <c r="V1314" s="1" t="str">
        <f>IF(ESTIMATIVA[[#This Row],[QT_AREA_REST1]]&gt;0,"Reestimativa 1",IF(ESTIMATIVA[[#This Row],[QT_AREA_REAL]]=0,"Reestimativa 1","Realizado"))</f>
        <v>Realizado</v>
      </c>
      <c r="W1314" s="1" t="str">
        <f>IF(ESTIMATIVA[[#This Row],[QT_AREA_REST2]]&gt;0,"Reestimativa 2",IF(ESTIMATIVA[[#This Row],[QT_AREA_REAL]]=0,"Reestimativa 2","Realizado"))</f>
        <v>Realizado</v>
      </c>
      <c r="X1314" s="1">
        <f>ESTIMATIVA[[#This Row],[QT_AREA_EST]]</f>
        <v>7.88</v>
      </c>
      <c r="Y1314" s="1">
        <f>IF(ESTIMATIVA[[#This Row],[QT_AREA_REST1]]&gt;0,ESTIMATIVA[[#This Row],[QT_AREA_REST1]],
  IF(ESTIMATIVA[[#This Row],[QT_AREA_REAL]]&gt;0,ESTIMATIVA[[#This Row],[QT_AREA_REAL]],ESTIMATIVA[[#This Row],[QT_AREA_EST]]))</f>
        <v>7.88</v>
      </c>
      <c r="Z131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7.88</v>
      </c>
      <c r="AA1314" s="1">
        <f>ESTIMATIVA[[#This Row],[QT_CANA_EST]]</f>
        <v>394</v>
      </c>
      <c r="AB1314" s="1">
        <f>IF(ESTIMATIVA[[#This Row],[QT_CANA_REST1]]&gt;0,ESTIMATIVA[[#This Row],[QT_CANA_REST1]],
  IF(ESTIMATIVA[[#This Row],[QT_CANA_REAL]]&gt;0,ESTIMATIVA[[#This Row],[QT_CANA_REAL]],ESTIMATIVA[[#This Row],[QT_CANA_EST]]))</f>
        <v>492.76</v>
      </c>
      <c r="AC131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492.76</v>
      </c>
      <c r="AD1314" s="1">
        <f>IF(ESTIMATIVA[[#This Row],[QT_AREA_REAL]]&gt;0,ESTIMATIVA[[#This Row],[QT_CANA_REAL]],ESTIMATIVA[[#This Row],[QT_CANA_EST]])</f>
        <v>492.76</v>
      </c>
      <c r="AE1314" s="1">
        <f>IF(ESTIMATIVA[[#This Row],[QT_AREA_REAL]]&gt;0,ESTIMATIVA[[#This Row],[QT_CANA_REAL]],ESTIMATIVA[[#This Row],[QT_CANA_REST1]])</f>
        <v>492.76</v>
      </c>
      <c r="AF1314" s="1">
        <f>IF(ESTIMATIVA[[#This Row],[QT_AREA_REAL]]&gt;0,ESTIMATIVA[[#This Row],[QT_CANA_REAL]],ESTIMATIVA[[#This Row],[QT_CANA_REST2]])</f>
        <v>492.76</v>
      </c>
      <c r="AG1314" s="1" t="str">
        <f>IF(COUNTIFS(GEADA!A:A,VALUE(ESTIMATIVA[[#This Row],[CD_UPNIVEL1]]&amp;TEXT(ESTIMATIVA[[#This Row],[CD_UPNIVEL3]],"0000")))&gt;0,"S","N")</f>
        <v>N</v>
      </c>
      <c r="AH131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14" s="55" t="str">
        <f>IF(ESTIMATIVA[[#This Row],[TP_CULTIVO]]="Irrigado",_xlfn.MAXIFS(IRRIGADO!J:J,IRRIGADO!C:C,ESTIMATIVA[[#This Row],[CD_UPNIVEL1]],IRRIGADO!E:E,ESTIMATIVA[[#This Row],[CD_UPNIVEL3]]),"")</f>
        <v/>
      </c>
      <c r="AJ131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14" s="1">
        <f>COUNTIFS(Apresentação!$E$23:$E$29,ESTIMATIVA[[#This Row],[CD_UPNIVEL1]])</f>
        <v>0</v>
      </c>
    </row>
    <row r="1315" spans="1:37" x14ac:dyDescent="0.3">
      <c r="A1315">
        <v>20549</v>
      </c>
      <c r="B1315" t="s">
        <v>64</v>
      </c>
      <c r="C1315">
        <v>5</v>
      </c>
      <c r="D1315">
        <v>6</v>
      </c>
      <c r="E1315" t="s">
        <v>261</v>
      </c>
      <c r="F1315" s="85" t="s">
        <v>331</v>
      </c>
      <c r="G1315"/>
      <c r="H1315" t="s">
        <v>294</v>
      </c>
      <c r="I1315" t="s">
        <v>202</v>
      </c>
      <c r="J1315" t="s">
        <v>176</v>
      </c>
      <c r="K1315" s="1">
        <v>14.92</v>
      </c>
      <c r="L1315" s="1">
        <v>0</v>
      </c>
      <c r="M1315" s="1">
        <v>0</v>
      </c>
      <c r="N1315" s="1">
        <v>14.92</v>
      </c>
      <c r="O1315" s="1">
        <v>746</v>
      </c>
      <c r="P1315" s="1">
        <v>0</v>
      </c>
      <c r="Q1315" s="1">
        <v>0</v>
      </c>
      <c r="R1315" s="1">
        <v>620.64</v>
      </c>
      <c r="S1315" t="s">
        <v>12</v>
      </c>
      <c r="T1315" s="13">
        <v>45746</v>
      </c>
      <c r="U1315" s="1" t="str">
        <f>IF(ESTIMATIVA[[#This Row],[QT_AREA_REAL]]&gt;0,"1- Colhido","2- à Colher")</f>
        <v>1- Colhido</v>
      </c>
      <c r="V1315" s="1" t="str">
        <f>IF(ESTIMATIVA[[#This Row],[QT_AREA_REST1]]&gt;0,"Reestimativa 1",IF(ESTIMATIVA[[#This Row],[QT_AREA_REAL]]=0,"Reestimativa 1","Realizado"))</f>
        <v>Realizado</v>
      </c>
      <c r="W1315" s="1" t="str">
        <f>IF(ESTIMATIVA[[#This Row],[QT_AREA_REST2]]&gt;0,"Reestimativa 2",IF(ESTIMATIVA[[#This Row],[QT_AREA_REAL]]=0,"Reestimativa 2","Realizado"))</f>
        <v>Realizado</v>
      </c>
      <c r="X1315" s="1">
        <f>ESTIMATIVA[[#This Row],[QT_AREA_EST]]</f>
        <v>14.92</v>
      </c>
      <c r="Y1315" s="1">
        <f>IF(ESTIMATIVA[[#This Row],[QT_AREA_REST1]]&gt;0,ESTIMATIVA[[#This Row],[QT_AREA_REST1]],
  IF(ESTIMATIVA[[#This Row],[QT_AREA_REAL]]&gt;0,ESTIMATIVA[[#This Row],[QT_AREA_REAL]],ESTIMATIVA[[#This Row],[QT_AREA_EST]]))</f>
        <v>14.92</v>
      </c>
      <c r="Z131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14.92</v>
      </c>
      <c r="AA1315" s="1">
        <f>ESTIMATIVA[[#This Row],[QT_CANA_EST]]</f>
        <v>746</v>
      </c>
      <c r="AB1315" s="1">
        <f>IF(ESTIMATIVA[[#This Row],[QT_CANA_REST1]]&gt;0,ESTIMATIVA[[#This Row],[QT_CANA_REST1]],
  IF(ESTIMATIVA[[#This Row],[QT_CANA_REAL]]&gt;0,ESTIMATIVA[[#This Row],[QT_CANA_REAL]],ESTIMATIVA[[#This Row],[QT_CANA_EST]]))</f>
        <v>620.64</v>
      </c>
      <c r="AC131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620.64</v>
      </c>
      <c r="AD1315" s="1">
        <f>IF(ESTIMATIVA[[#This Row],[QT_AREA_REAL]]&gt;0,ESTIMATIVA[[#This Row],[QT_CANA_REAL]],ESTIMATIVA[[#This Row],[QT_CANA_EST]])</f>
        <v>620.64</v>
      </c>
      <c r="AE1315" s="1">
        <f>IF(ESTIMATIVA[[#This Row],[QT_AREA_REAL]]&gt;0,ESTIMATIVA[[#This Row],[QT_CANA_REAL]],ESTIMATIVA[[#This Row],[QT_CANA_REST1]])</f>
        <v>620.64</v>
      </c>
      <c r="AF1315" s="1">
        <f>IF(ESTIMATIVA[[#This Row],[QT_AREA_REAL]]&gt;0,ESTIMATIVA[[#This Row],[QT_CANA_REAL]],ESTIMATIVA[[#This Row],[QT_CANA_REST2]])</f>
        <v>620.64</v>
      </c>
      <c r="AG1315" s="1" t="str">
        <f>IF(COUNTIFS(GEADA!A:A,VALUE(ESTIMATIVA[[#This Row],[CD_UPNIVEL1]]&amp;TEXT(ESTIMATIVA[[#This Row],[CD_UPNIVEL3]],"0000")))&gt;0,"S","N")</f>
        <v>N</v>
      </c>
      <c r="AH131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15" s="55" t="str">
        <f>IF(ESTIMATIVA[[#This Row],[TP_CULTIVO]]="Irrigado",_xlfn.MAXIFS(IRRIGADO!J:J,IRRIGADO!C:C,ESTIMATIVA[[#This Row],[CD_UPNIVEL1]],IRRIGADO!E:E,ESTIMATIVA[[#This Row],[CD_UPNIVEL3]]),"")</f>
        <v/>
      </c>
      <c r="AJ131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15" s="1">
        <f>COUNTIFS(Apresentação!$E$23:$E$29,ESTIMATIVA[[#This Row],[CD_UPNIVEL1]])</f>
        <v>0</v>
      </c>
    </row>
    <row r="1316" spans="1:37" x14ac:dyDescent="0.3">
      <c r="A1316">
        <v>20549</v>
      </c>
      <c r="B1316" t="s">
        <v>64</v>
      </c>
      <c r="C1316">
        <v>6</v>
      </c>
      <c r="D1316">
        <v>6</v>
      </c>
      <c r="E1316" t="s">
        <v>261</v>
      </c>
      <c r="F1316" s="85" t="s">
        <v>331</v>
      </c>
      <c r="G1316"/>
      <c r="H1316" t="s">
        <v>294</v>
      </c>
      <c r="I1316" t="s">
        <v>202</v>
      </c>
      <c r="J1316" t="s">
        <v>176</v>
      </c>
      <c r="K1316" s="1">
        <v>12.52</v>
      </c>
      <c r="L1316" s="1">
        <v>0</v>
      </c>
      <c r="M1316" s="1">
        <v>0</v>
      </c>
      <c r="N1316" s="1">
        <v>12.52</v>
      </c>
      <c r="O1316" s="1">
        <v>626</v>
      </c>
      <c r="P1316" s="1">
        <v>0</v>
      </c>
      <c r="Q1316" s="1">
        <v>0</v>
      </c>
      <c r="R1316" s="1">
        <v>520.27</v>
      </c>
      <c r="S1316" t="s">
        <v>12</v>
      </c>
      <c r="T1316" s="13">
        <v>45746</v>
      </c>
      <c r="U1316" s="1" t="str">
        <f>IF(ESTIMATIVA[[#This Row],[QT_AREA_REAL]]&gt;0,"1- Colhido","2- à Colher")</f>
        <v>1- Colhido</v>
      </c>
      <c r="V1316" s="1" t="str">
        <f>IF(ESTIMATIVA[[#This Row],[QT_AREA_REST1]]&gt;0,"Reestimativa 1",IF(ESTIMATIVA[[#This Row],[QT_AREA_REAL]]=0,"Reestimativa 1","Realizado"))</f>
        <v>Realizado</v>
      </c>
      <c r="W1316" s="1" t="str">
        <f>IF(ESTIMATIVA[[#This Row],[QT_AREA_REST2]]&gt;0,"Reestimativa 2",IF(ESTIMATIVA[[#This Row],[QT_AREA_REAL]]=0,"Reestimativa 2","Realizado"))</f>
        <v>Realizado</v>
      </c>
      <c r="X1316" s="1">
        <f>ESTIMATIVA[[#This Row],[QT_AREA_EST]]</f>
        <v>12.52</v>
      </c>
      <c r="Y1316" s="1">
        <f>IF(ESTIMATIVA[[#This Row],[QT_AREA_REST1]]&gt;0,ESTIMATIVA[[#This Row],[QT_AREA_REST1]],
  IF(ESTIMATIVA[[#This Row],[QT_AREA_REAL]]&gt;0,ESTIMATIVA[[#This Row],[QT_AREA_REAL]],ESTIMATIVA[[#This Row],[QT_AREA_EST]]))</f>
        <v>12.52</v>
      </c>
      <c r="Z131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12.52</v>
      </c>
      <c r="AA1316" s="1">
        <f>ESTIMATIVA[[#This Row],[QT_CANA_EST]]</f>
        <v>626</v>
      </c>
      <c r="AB1316" s="1">
        <f>IF(ESTIMATIVA[[#This Row],[QT_CANA_REST1]]&gt;0,ESTIMATIVA[[#This Row],[QT_CANA_REST1]],
  IF(ESTIMATIVA[[#This Row],[QT_CANA_REAL]]&gt;0,ESTIMATIVA[[#This Row],[QT_CANA_REAL]],ESTIMATIVA[[#This Row],[QT_CANA_EST]]))</f>
        <v>520.27</v>
      </c>
      <c r="AC131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520.27</v>
      </c>
      <c r="AD1316" s="1">
        <f>IF(ESTIMATIVA[[#This Row],[QT_AREA_REAL]]&gt;0,ESTIMATIVA[[#This Row],[QT_CANA_REAL]],ESTIMATIVA[[#This Row],[QT_CANA_EST]])</f>
        <v>520.27</v>
      </c>
      <c r="AE1316" s="1">
        <f>IF(ESTIMATIVA[[#This Row],[QT_AREA_REAL]]&gt;0,ESTIMATIVA[[#This Row],[QT_CANA_REAL]],ESTIMATIVA[[#This Row],[QT_CANA_REST1]])</f>
        <v>520.27</v>
      </c>
      <c r="AF1316" s="1">
        <f>IF(ESTIMATIVA[[#This Row],[QT_AREA_REAL]]&gt;0,ESTIMATIVA[[#This Row],[QT_CANA_REAL]],ESTIMATIVA[[#This Row],[QT_CANA_REST2]])</f>
        <v>520.27</v>
      </c>
      <c r="AG1316" s="1" t="str">
        <f>IF(COUNTIFS(GEADA!A:A,VALUE(ESTIMATIVA[[#This Row],[CD_UPNIVEL1]]&amp;TEXT(ESTIMATIVA[[#This Row],[CD_UPNIVEL3]],"0000")))&gt;0,"S","N")</f>
        <v>N</v>
      </c>
      <c r="AH131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16" s="55" t="str">
        <f>IF(ESTIMATIVA[[#This Row],[TP_CULTIVO]]="Irrigado",_xlfn.MAXIFS(IRRIGADO!J:J,IRRIGADO!C:C,ESTIMATIVA[[#This Row],[CD_UPNIVEL1]],IRRIGADO!E:E,ESTIMATIVA[[#This Row],[CD_UPNIVEL3]]),"")</f>
        <v/>
      </c>
      <c r="AJ131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16" s="1">
        <f>COUNTIFS(Apresentação!$E$23:$E$29,ESTIMATIVA[[#This Row],[CD_UPNIVEL1]])</f>
        <v>0</v>
      </c>
    </row>
    <row r="1317" spans="1:37" x14ac:dyDescent="0.3">
      <c r="A1317">
        <v>20549</v>
      </c>
      <c r="B1317" t="s">
        <v>64</v>
      </c>
      <c r="C1317">
        <v>7</v>
      </c>
      <c r="D1317">
        <v>6</v>
      </c>
      <c r="E1317" t="s">
        <v>261</v>
      </c>
      <c r="F1317" s="85" t="s">
        <v>331</v>
      </c>
      <c r="G1317"/>
      <c r="H1317" t="s">
        <v>294</v>
      </c>
      <c r="I1317" t="s">
        <v>202</v>
      </c>
      <c r="J1317" t="s">
        <v>176</v>
      </c>
      <c r="K1317" s="1">
        <v>13.79</v>
      </c>
      <c r="L1317" s="1">
        <v>0</v>
      </c>
      <c r="M1317" s="1">
        <v>0</v>
      </c>
      <c r="N1317" s="1">
        <v>13.79</v>
      </c>
      <c r="O1317" s="1">
        <v>689.5</v>
      </c>
      <c r="P1317" s="1">
        <v>0</v>
      </c>
      <c r="Q1317" s="1">
        <v>0</v>
      </c>
      <c r="R1317" s="1">
        <v>573.65</v>
      </c>
      <c r="S1317" t="s">
        <v>12</v>
      </c>
      <c r="T1317" s="13">
        <v>45746</v>
      </c>
      <c r="U1317" s="1" t="str">
        <f>IF(ESTIMATIVA[[#This Row],[QT_AREA_REAL]]&gt;0,"1- Colhido","2- à Colher")</f>
        <v>1- Colhido</v>
      </c>
      <c r="V1317" s="1" t="str">
        <f>IF(ESTIMATIVA[[#This Row],[QT_AREA_REST1]]&gt;0,"Reestimativa 1",IF(ESTIMATIVA[[#This Row],[QT_AREA_REAL]]=0,"Reestimativa 1","Realizado"))</f>
        <v>Realizado</v>
      </c>
      <c r="W1317" s="1" t="str">
        <f>IF(ESTIMATIVA[[#This Row],[QT_AREA_REST2]]&gt;0,"Reestimativa 2",IF(ESTIMATIVA[[#This Row],[QT_AREA_REAL]]=0,"Reestimativa 2","Realizado"))</f>
        <v>Realizado</v>
      </c>
      <c r="X1317" s="1">
        <f>ESTIMATIVA[[#This Row],[QT_AREA_EST]]</f>
        <v>13.79</v>
      </c>
      <c r="Y1317" s="1">
        <f>IF(ESTIMATIVA[[#This Row],[QT_AREA_REST1]]&gt;0,ESTIMATIVA[[#This Row],[QT_AREA_REST1]],
  IF(ESTIMATIVA[[#This Row],[QT_AREA_REAL]]&gt;0,ESTIMATIVA[[#This Row],[QT_AREA_REAL]],ESTIMATIVA[[#This Row],[QT_AREA_EST]]))</f>
        <v>13.79</v>
      </c>
      <c r="Z131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13.79</v>
      </c>
      <c r="AA1317" s="1">
        <f>ESTIMATIVA[[#This Row],[QT_CANA_EST]]</f>
        <v>689.5</v>
      </c>
      <c r="AB1317" s="1">
        <f>IF(ESTIMATIVA[[#This Row],[QT_CANA_REST1]]&gt;0,ESTIMATIVA[[#This Row],[QT_CANA_REST1]],
  IF(ESTIMATIVA[[#This Row],[QT_CANA_REAL]]&gt;0,ESTIMATIVA[[#This Row],[QT_CANA_REAL]],ESTIMATIVA[[#This Row],[QT_CANA_EST]]))</f>
        <v>573.65</v>
      </c>
      <c r="AC131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573.65</v>
      </c>
      <c r="AD1317" s="1">
        <f>IF(ESTIMATIVA[[#This Row],[QT_AREA_REAL]]&gt;0,ESTIMATIVA[[#This Row],[QT_CANA_REAL]],ESTIMATIVA[[#This Row],[QT_CANA_EST]])</f>
        <v>573.65</v>
      </c>
      <c r="AE1317" s="1">
        <f>IF(ESTIMATIVA[[#This Row],[QT_AREA_REAL]]&gt;0,ESTIMATIVA[[#This Row],[QT_CANA_REAL]],ESTIMATIVA[[#This Row],[QT_CANA_REST1]])</f>
        <v>573.65</v>
      </c>
      <c r="AF1317" s="1">
        <f>IF(ESTIMATIVA[[#This Row],[QT_AREA_REAL]]&gt;0,ESTIMATIVA[[#This Row],[QT_CANA_REAL]],ESTIMATIVA[[#This Row],[QT_CANA_REST2]])</f>
        <v>573.65</v>
      </c>
      <c r="AG1317" s="1" t="str">
        <f>IF(COUNTIFS(GEADA!A:A,VALUE(ESTIMATIVA[[#This Row],[CD_UPNIVEL1]]&amp;TEXT(ESTIMATIVA[[#This Row],[CD_UPNIVEL3]],"0000")))&gt;0,"S","N")</f>
        <v>N</v>
      </c>
      <c r="AH131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17" s="55" t="str">
        <f>IF(ESTIMATIVA[[#This Row],[TP_CULTIVO]]="Irrigado",_xlfn.MAXIFS(IRRIGADO!J:J,IRRIGADO!C:C,ESTIMATIVA[[#This Row],[CD_UPNIVEL1]],IRRIGADO!E:E,ESTIMATIVA[[#This Row],[CD_UPNIVEL3]]),"")</f>
        <v/>
      </c>
      <c r="AJ131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17" s="1">
        <f>COUNTIFS(Apresentação!$E$23:$E$29,ESTIMATIVA[[#This Row],[CD_UPNIVEL1]])</f>
        <v>0</v>
      </c>
    </row>
    <row r="1318" spans="1:37" x14ac:dyDescent="0.3">
      <c r="A1318">
        <v>20549</v>
      </c>
      <c r="B1318" t="s">
        <v>64</v>
      </c>
      <c r="C1318">
        <v>8</v>
      </c>
      <c r="D1318">
        <v>6</v>
      </c>
      <c r="E1318" t="s">
        <v>261</v>
      </c>
      <c r="F1318" s="85" t="s">
        <v>331</v>
      </c>
      <c r="G1318"/>
      <c r="H1318" t="s">
        <v>294</v>
      </c>
      <c r="I1318" t="s">
        <v>202</v>
      </c>
      <c r="J1318" t="s">
        <v>176</v>
      </c>
      <c r="K1318" s="1">
        <v>17.77</v>
      </c>
      <c r="L1318" s="1">
        <v>0</v>
      </c>
      <c r="M1318" s="1">
        <v>0</v>
      </c>
      <c r="N1318" s="1">
        <v>17.77</v>
      </c>
      <c r="O1318" s="1">
        <v>888.5</v>
      </c>
      <c r="P1318" s="1">
        <v>0</v>
      </c>
      <c r="Q1318" s="1">
        <v>0</v>
      </c>
      <c r="R1318" s="1">
        <v>739.48</v>
      </c>
      <c r="S1318" t="s">
        <v>12</v>
      </c>
      <c r="T1318" s="13">
        <v>45746</v>
      </c>
      <c r="U1318" s="1" t="str">
        <f>IF(ESTIMATIVA[[#This Row],[QT_AREA_REAL]]&gt;0,"1- Colhido","2- à Colher")</f>
        <v>1- Colhido</v>
      </c>
      <c r="V1318" s="1" t="str">
        <f>IF(ESTIMATIVA[[#This Row],[QT_AREA_REST1]]&gt;0,"Reestimativa 1",IF(ESTIMATIVA[[#This Row],[QT_AREA_REAL]]=0,"Reestimativa 1","Realizado"))</f>
        <v>Realizado</v>
      </c>
      <c r="W1318" s="1" t="str">
        <f>IF(ESTIMATIVA[[#This Row],[QT_AREA_REST2]]&gt;0,"Reestimativa 2",IF(ESTIMATIVA[[#This Row],[QT_AREA_REAL]]=0,"Reestimativa 2","Realizado"))</f>
        <v>Realizado</v>
      </c>
      <c r="X1318" s="1">
        <f>ESTIMATIVA[[#This Row],[QT_AREA_EST]]</f>
        <v>17.77</v>
      </c>
      <c r="Y1318" s="1">
        <f>IF(ESTIMATIVA[[#This Row],[QT_AREA_REST1]]&gt;0,ESTIMATIVA[[#This Row],[QT_AREA_REST1]],
  IF(ESTIMATIVA[[#This Row],[QT_AREA_REAL]]&gt;0,ESTIMATIVA[[#This Row],[QT_AREA_REAL]],ESTIMATIVA[[#This Row],[QT_AREA_EST]]))</f>
        <v>17.77</v>
      </c>
      <c r="Z131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17.77</v>
      </c>
      <c r="AA1318" s="1">
        <f>ESTIMATIVA[[#This Row],[QT_CANA_EST]]</f>
        <v>888.5</v>
      </c>
      <c r="AB1318" s="1">
        <f>IF(ESTIMATIVA[[#This Row],[QT_CANA_REST1]]&gt;0,ESTIMATIVA[[#This Row],[QT_CANA_REST1]],
  IF(ESTIMATIVA[[#This Row],[QT_CANA_REAL]]&gt;0,ESTIMATIVA[[#This Row],[QT_CANA_REAL]],ESTIMATIVA[[#This Row],[QT_CANA_EST]]))</f>
        <v>739.48</v>
      </c>
      <c r="AC131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739.48</v>
      </c>
      <c r="AD1318" s="1">
        <f>IF(ESTIMATIVA[[#This Row],[QT_AREA_REAL]]&gt;0,ESTIMATIVA[[#This Row],[QT_CANA_REAL]],ESTIMATIVA[[#This Row],[QT_CANA_EST]])</f>
        <v>739.48</v>
      </c>
      <c r="AE1318" s="1">
        <f>IF(ESTIMATIVA[[#This Row],[QT_AREA_REAL]]&gt;0,ESTIMATIVA[[#This Row],[QT_CANA_REAL]],ESTIMATIVA[[#This Row],[QT_CANA_REST1]])</f>
        <v>739.48</v>
      </c>
      <c r="AF1318" s="1">
        <f>IF(ESTIMATIVA[[#This Row],[QT_AREA_REAL]]&gt;0,ESTIMATIVA[[#This Row],[QT_CANA_REAL]],ESTIMATIVA[[#This Row],[QT_CANA_REST2]])</f>
        <v>739.48</v>
      </c>
      <c r="AG1318" s="1" t="str">
        <f>IF(COUNTIFS(GEADA!A:A,VALUE(ESTIMATIVA[[#This Row],[CD_UPNIVEL1]]&amp;TEXT(ESTIMATIVA[[#This Row],[CD_UPNIVEL3]],"0000")))&gt;0,"S","N")</f>
        <v>N</v>
      </c>
      <c r="AH131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18" s="55" t="str">
        <f>IF(ESTIMATIVA[[#This Row],[TP_CULTIVO]]="Irrigado",_xlfn.MAXIFS(IRRIGADO!J:J,IRRIGADO!C:C,ESTIMATIVA[[#This Row],[CD_UPNIVEL1]],IRRIGADO!E:E,ESTIMATIVA[[#This Row],[CD_UPNIVEL3]]),"")</f>
        <v/>
      </c>
      <c r="AJ131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18" s="1">
        <f>COUNTIFS(Apresentação!$E$23:$E$29,ESTIMATIVA[[#This Row],[CD_UPNIVEL1]])</f>
        <v>0</v>
      </c>
    </row>
    <row r="1319" spans="1:37" x14ac:dyDescent="0.3">
      <c r="A1319">
        <v>20549</v>
      </c>
      <c r="B1319" t="s">
        <v>64</v>
      </c>
      <c r="C1319">
        <v>9</v>
      </c>
      <c r="D1319">
        <v>6</v>
      </c>
      <c r="E1319" t="s">
        <v>261</v>
      </c>
      <c r="F1319" s="85" t="s">
        <v>331</v>
      </c>
      <c r="G1319"/>
      <c r="H1319" t="s">
        <v>294</v>
      </c>
      <c r="I1319" t="s">
        <v>202</v>
      </c>
      <c r="J1319" t="s">
        <v>176</v>
      </c>
      <c r="K1319" s="1">
        <v>18.32</v>
      </c>
      <c r="L1319" s="1">
        <v>0</v>
      </c>
      <c r="M1319" s="1">
        <v>0</v>
      </c>
      <c r="N1319" s="1">
        <v>18.32</v>
      </c>
      <c r="O1319" s="1">
        <v>916</v>
      </c>
      <c r="P1319" s="1">
        <v>0</v>
      </c>
      <c r="Q1319" s="1">
        <v>0</v>
      </c>
      <c r="R1319" s="1">
        <v>762.07</v>
      </c>
      <c r="S1319" t="s">
        <v>12</v>
      </c>
      <c r="T1319" s="13">
        <v>45746</v>
      </c>
      <c r="U1319" s="1" t="str">
        <f>IF(ESTIMATIVA[[#This Row],[QT_AREA_REAL]]&gt;0,"1- Colhido","2- à Colher")</f>
        <v>1- Colhido</v>
      </c>
      <c r="V1319" s="1" t="str">
        <f>IF(ESTIMATIVA[[#This Row],[QT_AREA_REST1]]&gt;0,"Reestimativa 1",IF(ESTIMATIVA[[#This Row],[QT_AREA_REAL]]=0,"Reestimativa 1","Realizado"))</f>
        <v>Realizado</v>
      </c>
      <c r="W1319" s="1" t="str">
        <f>IF(ESTIMATIVA[[#This Row],[QT_AREA_REST2]]&gt;0,"Reestimativa 2",IF(ESTIMATIVA[[#This Row],[QT_AREA_REAL]]=0,"Reestimativa 2","Realizado"))</f>
        <v>Realizado</v>
      </c>
      <c r="X1319" s="1">
        <f>ESTIMATIVA[[#This Row],[QT_AREA_EST]]</f>
        <v>18.32</v>
      </c>
      <c r="Y1319" s="1">
        <f>IF(ESTIMATIVA[[#This Row],[QT_AREA_REST1]]&gt;0,ESTIMATIVA[[#This Row],[QT_AREA_REST1]],
  IF(ESTIMATIVA[[#This Row],[QT_AREA_REAL]]&gt;0,ESTIMATIVA[[#This Row],[QT_AREA_REAL]],ESTIMATIVA[[#This Row],[QT_AREA_EST]]))</f>
        <v>18.32</v>
      </c>
      <c r="Z131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18.32</v>
      </c>
      <c r="AA1319" s="1">
        <f>ESTIMATIVA[[#This Row],[QT_CANA_EST]]</f>
        <v>916</v>
      </c>
      <c r="AB1319" s="1">
        <f>IF(ESTIMATIVA[[#This Row],[QT_CANA_REST1]]&gt;0,ESTIMATIVA[[#This Row],[QT_CANA_REST1]],
  IF(ESTIMATIVA[[#This Row],[QT_CANA_REAL]]&gt;0,ESTIMATIVA[[#This Row],[QT_CANA_REAL]],ESTIMATIVA[[#This Row],[QT_CANA_EST]]))</f>
        <v>762.07</v>
      </c>
      <c r="AC131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762.07</v>
      </c>
      <c r="AD1319" s="1">
        <f>IF(ESTIMATIVA[[#This Row],[QT_AREA_REAL]]&gt;0,ESTIMATIVA[[#This Row],[QT_CANA_REAL]],ESTIMATIVA[[#This Row],[QT_CANA_EST]])</f>
        <v>762.07</v>
      </c>
      <c r="AE1319" s="1">
        <f>IF(ESTIMATIVA[[#This Row],[QT_AREA_REAL]]&gt;0,ESTIMATIVA[[#This Row],[QT_CANA_REAL]],ESTIMATIVA[[#This Row],[QT_CANA_REST1]])</f>
        <v>762.07</v>
      </c>
      <c r="AF1319" s="1">
        <f>IF(ESTIMATIVA[[#This Row],[QT_AREA_REAL]]&gt;0,ESTIMATIVA[[#This Row],[QT_CANA_REAL]],ESTIMATIVA[[#This Row],[QT_CANA_REST2]])</f>
        <v>762.07</v>
      </c>
      <c r="AG1319" s="1" t="str">
        <f>IF(COUNTIFS(GEADA!A:A,VALUE(ESTIMATIVA[[#This Row],[CD_UPNIVEL1]]&amp;TEXT(ESTIMATIVA[[#This Row],[CD_UPNIVEL3]],"0000")))&gt;0,"S","N")</f>
        <v>N</v>
      </c>
      <c r="AH131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19" s="55" t="str">
        <f>IF(ESTIMATIVA[[#This Row],[TP_CULTIVO]]="Irrigado",_xlfn.MAXIFS(IRRIGADO!J:J,IRRIGADO!C:C,ESTIMATIVA[[#This Row],[CD_UPNIVEL1]],IRRIGADO!E:E,ESTIMATIVA[[#This Row],[CD_UPNIVEL3]]),"")</f>
        <v/>
      </c>
      <c r="AJ131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19" s="1">
        <f>COUNTIFS(Apresentação!$E$23:$E$29,ESTIMATIVA[[#This Row],[CD_UPNIVEL1]])</f>
        <v>0</v>
      </c>
    </row>
    <row r="1320" spans="1:37" x14ac:dyDescent="0.3">
      <c r="A1320">
        <v>20549</v>
      </c>
      <c r="B1320" t="s">
        <v>64</v>
      </c>
      <c r="C1320">
        <v>10</v>
      </c>
      <c r="D1320">
        <v>6</v>
      </c>
      <c r="E1320" t="s">
        <v>261</v>
      </c>
      <c r="F1320" s="85" t="s">
        <v>333</v>
      </c>
      <c r="G1320"/>
      <c r="H1320" t="s">
        <v>294</v>
      </c>
      <c r="I1320" t="s">
        <v>202</v>
      </c>
      <c r="J1320" t="s">
        <v>176</v>
      </c>
      <c r="K1320" s="1">
        <v>18.48</v>
      </c>
      <c r="L1320" s="1">
        <v>0</v>
      </c>
      <c r="M1320" s="1">
        <v>0</v>
      </c>
      <c r="N1320" s="1">
        <v>18.48</v>
      </c>
      <c r="O1320" s="1">
        <v>924</v>
      </c>
      <c r="P1320" s="1">
        <v>0</v>
      </c>
      <c r="Q1320" s="1">
        <v>0</v>
      </c>
      <c r="R1320" s="1">
        <v>768.75</v>
      </c>
      <c r="S1320" t="s">
        <v>12</v>
      </c>
      <c r="T1320" s="13">
        <v>45746</v>
      </c>
      <c r="U1320" s="1" t="str">
        <f>IF(ESTIMATIVA[[#This Row],[QT_AREA_REAL]]&gt;0,"1- Colhido","2- à Colher")</f>
        <v>1- Colhido</v>
      </c>
      <c r="V1320" s="1" t="str">
        <f>IF(ESTIMATIVA[[#This Row],[QT_AREA_REST1]]&gt;0,"Reestimativa 1",IF(ESTIMATIVA[[#This Row],[QT_AREA_REAL]]=0,"Reestimativa 1","Realizado"))</f>
        <v>Realizado</v>
      </c>
      <c r="W1320" s="1" t="str">
        <f>IF(ESTIMATIVA[[#This Row],[QT_AREA_REST2]]&gt;0,"Reestimativa 2",IF(ESTIMATIVA[[#This Row],[QT_AREA_REAL]]=0,"Reestimativa 2","Realizado"))</f>
        <v>Realizado</v>
      </c>
      <c r="X1320" s="1">
        <f>ESTIMATIVA[[#This Row],[QT_AREA_EST]]</f>
        <v>18.48</v>
      </c>
      <c r="Y1320" s="1">
        <f>IF(ESTIMATIVA[[#This Row],[QT_AREA_REST1]]&gt;0,ESTIMATIVA[[#This Row],[QT_AREA_REST1]],
  IF(ESTIMATIVA[[#This Row],[QT_AREA_REAL]]&gt;0,ESTIMATIVA[[#This Row],[QT_AREA_REAL]],ESTIMATIVA[[#This Row],[QT_AREA_EST]]))</f>
        <v>18.48</v>
      </c>
      <c r="Z132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18.48</v>
      </c>
      <c r="AA1320" s="1">
        <f>ESTIMATIVA[[#This Row],[QT_CANA_EST]]</f>
        <v>924</v>
      </c>
      <c r="AB1320" s="1">
        <f>IF(ESTIMATIVA[[#This Row],[QT_CANA_REST1]]&gt;0,ESTIMATIVA[[#This Row],[QT_CANA_REST1]],
  IF(ESTIMATIVA[[#This Row],[QT_CANA_REAL]]&gt;0,ESTIMATIVA[[#This Row],[QT_CANA_REAL]],ESTIMATIVA[[#This Row],[QT_CANA_EST]]))</f>
        <v>768.75</v>
      </c>
      <c r="AC132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768.75</v>
      </c>
      <c r="AD1320" s="1">
        <f>IF(ESTIMATIVA[[#This Row],[QT_AREA_REAL]]&gt;0,ESTIMATIVA[[#This Row],[QT_CANA_REAL]],ESTIMATIVA[[#This Row],[QT_CANA_EST]])</f>
        <v>768.75</v>
      </c>
      <c r="AE1320" s="1">
        <f>IF(ESTIMATIVA[[#This Row],[QT_AREA_REAL]]&gt;0,ESTIMATIVA[[#This Row],[QT_CANA_REAL]],ESTIMATIVA[[#This Row],[QT_CANA_REST1]])</f>
        <v>768.75</v>
      </c>
      <c r="AF1320" s="1">
        <f>IF(ESTIMATIVA[[#This Row],[QT_AREA_REAL]]&gt;0,ESTIMATIVA[[#This Row],[QT_CANA_REAL]],ESTIMATIVA[[#This Row],[QT_CANA_REST2]])</f>
        <v>768.75</v>
      </c>
      <c r="AG1320" s="1" t="str">
        <f>IF(COUNTIFS(GEADA!A:A,VALUE(ESTIMATIVA[[#This Row],[CD_UPNIVEL1]]&amp;TEXT(ESTIMATIVA[[#This Row],[CD_UPNIVEL3]],"0000")))&gt;0,"S","N")</f>
        <v>N</v>
      </c>
      <c r="AH132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20" s="55" t="str">
        <f>IF(ESTIMATIVA[[#This Row],[TP_CULTIVO]]="Irrigado",_xlfn.MAXIFS(IRRIGADO!J:J,IRRIGADO!C:C,ESTIMATIVA[[#This Row],[CD_UPNIVEL1]],IRRIGADO!E:E,ESTIMATIVA[[#This Row],[CD_UPNIVEL3]]),"")</f>
        <v/>
      </c>
      <c r="AJ132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20" s="1">
        <f>COUNTIFS(Apresentação!$E$23:$E$29,ESTIMATIVA[[#This Row],[CD_UPNIVEL1]])</f>
        <v>0</v>
      </c>
    </row>
    <row r="1321" spans="1:37" x14ac:dyDescent="0.3">
      <c r="A1321">
        <v>20549</v>
      </c>
      <c r="B1321" t="s">
        <v>64</v>
      </c>
      <c r="C1321">
        <v>11</v>
      </c>
      <c r="D1321">
        <v>6</v>
      </c>
      <c r="E1321" t="s">
        <v>261</v>
      </c>
      <c r="F1321" s="85" t="s">
        <v>333</v>
      </c>
      <c r="G1321"/>
      <c r="H1321" t="s">
        <v>294</v>
      </c>
      <c r="I1321" t="s">
        <v>202</v>
      </c>
      <c r="J1321" t="s">
        <v>176</v>
      </c>
      <c r="K1321" s="1">
        <v>7.67</v>
      </c>
      <c r="L1321" s="1">
        <v>0</v>
      </c>
      <c r="M1321" s="1">
        <v>0</v>
      </c>
      <c r="N1321" s="1">
        <v>7.67</v>
      </c>
      <c r="O1321" s="1">
        <v>383.5</v>
      </c>
      <c r="P1321" s="1">
        <v>0</v>
      </c>
      <c r="Q1321" s="1">
        <v>0</v>
      </c>
      <c r="R1321" s="1">
        <v>319.52</v>
      </c>
      <c r="S1321" t="s">
        <v>12</v>
      </c>
      <c r="T1321" s="13">
        <v>45746</v>
      </c>
      <c r="U1321" s="1" t="str">
        <f>IF(ESTIMATIVA[[#This Row],[QT_AREA_REAL]]&gt;0,"1- Colhido","2- à Colher")</f>
        <v>1- Colhido</v>
      </c>
      <c r="V1321" s="1" t="str">
        <f>IF(ESTIMATIVA[[#This Row],[QT_AREA_REST1]]&gt;0,"Reestimativa 1",IF(ESTIMATIVA[[#This Row],[QT_AREA_REAL]]=0,"Reestimativa 1","Realizado"))</f>
        <v>Realizado</v>
      </c>
      <c r="W1321" s="1" t="str">
        <f>IF(ESTIMATIVA[[#This Row],[QT_AREA_REST2]]&gt;0,"Reestimativa 2",IF(ESTIMATIVA[[#This Row],[QT_AREA_REAL]]=0,"Reestimativa 2","Realizado"))</f>
        <v>Realizado</v>
      </c>
      <c r="X1321" s="1">
        <f>ESTIMATIVA[[#This Row],[QT_AREA_EST]]</f>
        <v>7.67</v>
      </c>
      <c r="Y1321" s="1">
        <f>IF(ESTIMATIVA[[#This Row],[QT_AREA_REST1]]&gt;0,ESTIMATIVA[[#This Row],[QT_AREA_REST1]],
  IF(ESTIMATIVA[[#This Row],[QT_AREA_REAL]]&gt;0,ESTIMATIVA[[#This Row],[QT_AREA_REAL]],ESTIMATIVA[[#This Row],[QT_AREA_EST]]))</f>
        <v>7.67</v>
      </c>
      <c r="Z132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7.67</v>
      </c>
      <c r="AA1321" s="1">
        <f>ESTIMATIVA[[#This Row],[QT_CANA_EST]]</f>
        <v>383.5</v>
      </c>
      <c r="AB1321" s="1">
        <f>IF(ESTIMATIVA[[#This Row],[QT_CANA_REST1]]&gt;0,ESTIMATIVA[[#This Row],[QT_CANA_REST1]],
  IF(ESTIMATIVA[[#This Row],[QT_CANA_REAL]]&gt;0,ESTIMATIVA[[#This Row],[QT_CANA_REAL]],ESTIMATIVA[[#This Row],[QT_CANA_EST]]))</f>
        <v>319.52</v>
      </c>
      <c r="AC132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319.52</v>
      </c>
      <c r="AD1321" s="1">
        <f>IF(ESTIMATIVA[[#This Row],[QT_AREA_REAL]]&gt;0,ESTIMATIVA[[#This Row],[QT_CANA_REAL]],ESTIMATIVA[[#This Row],[QT_CANA_EST]])</f>
        <v>319.52</v>
      </c>
      <c r="AE1321" s="1">
        <f>IF(ESTIMATIVA[[#This Row],[QT_AREA_REAL]]&gt;0,ESTIMATIVA[[#This Row],[QT_CANA_REAL]],ESTIMATIVA[[#This Row],[QT_CANA_REST1]])</f>
        <v>319.52</v>
      </c>
      <c r="AF1321" s="1">
        <f>IF(ESTIMATIVA[[#This Row],[QT_AREA_REAL]]&gt;0,ESTIMATIVA[[#This Row],[QT_CANA_REAL]],ESTIMATIVA[[#This Row],[QT_CANA_REST2]])</f>
        <v>319.52</v>
      </c>
      <c r="AG1321" s="1" t="str">
        <f>IF(COUNTIFS(GEADA!A:A,VALUE(ESTIMATIVA[[#This Row],[CD_UPNIVEL1]]&amp;TEXT(ESTIMATIVA[[#This Row],[CD_UPNIVEL3]],"0000")))&gt;0,"S","N")</f>
        <v>N</v>
      </c>
      <c r="AH132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21" s="55" t="str">
        <f>IF(ESTIMATIVA[[#This Row],[TP_CULTIVO]]="Irrigado",_xlfn.MAXIFS(IRRIGADO!J:J,IRRIGADO!C:C,ESTIMATIVA[[#This Row],[CD_UPNIVEL1]],IRRIGADO!E:E,ESTIMATIVA[[#This Row],[CD_UPNIVEL3]]),"")</f>
        <v/>
      </c>
      <c r="AJ132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21" s="1">
        <f>COUNTIFS(Apresentação!$E$23:$E$29,ESTIMATIVA[[#This Row],[CD_UPNIVEL1]])</f>
        <v>0</v>
      </c>
    </row>
    <row r="1322" spans="1:37" x14ac:dyDescent="0.3">
      <c r="A1322">
        <v>20549</v>
      </c>
      <c r="B1322" t="s">
        <v>64</v>
      </c>
      <c r="C1322">
        <v>12</v>
      </c>
      <c r="D1322">
        <v>6</v>
      </c>
      <c r="E1322" t="s">
        <v>261</v>
      </c>
      <c r="F1322" s="85" t="s">
        <v>333</v>
      </c>
      <c r="G1322"/>
      <c r="H1322" t="s">
        <v>294</v>
      </c>
      <c r="I1322" t="s">
        <v>202</v>
      </c>
      <c r="J1322" t="s">
        <v>176</v>
      </c>
      <c r="K1322" s="1">
        <v>2.71</v>
      </c>
      <c r="L1322" s="1">
        <v>0</v>
      </c>
      <c r="M1322" s="1">
        <v>0</v>
      </c>
      <c r="N1322" s="1">
        <v>2.71</v>
      </c>
      <c r="O1322" s="1">
        <v>135.5</v>
      </c>
      <c r="P1322" s="1">
        <v>0</v>
      </c>
      <c r="Q1322" s="1">
        <v>0</v>
      </c>
      <c r="R1322" s="1">
        <v>113.38</v>
      </c>
      <c r="S1322" t="s">
        <v>12</v>
      </c>
      <c r="T1322" s="13">
        <v>45746</v>
      </c>
      <c r="U1322" s="1" t="str">
        <f>IF(ESTIMATIVA[[#This Row],[QT_AREA_REAL]]&gt;0,"1- Colhido","2- à Colher")</f>
        <v>1- Colhido</v>
      </c>
      <c r="V1322" s="1" t="str">
        <f>IF(ESTIMATIVA[[#This Row],[QT_AREA_REST1]]&gt;0,"Reestimativa 1",IF(ESTIMATIVA[[#This Row],[QT_AREA_REAL]]=0,"Reestimativa 1","Realizado"))</f>
        <v>Realizado</v>
      </c>
      <c r="W1322" s="1" t="str">
        <f>IF(ESTIMATIVA[[#This Row],[QT_AREA_REST2]]&gt;0,"Reestimativa 2",IF(ESTIMATIVA[[#This Row],[QT_AREA_REAL]]=0,"Reestimativa 2","Realizado"))</f>
        <v>Realizado</v>
      </c>
      <c r="X1322" s="1">
        <f>ESTIMATIVA[[#This Row],[QT_AREA_EST]]</f>
        <v>2.71</v>
      </c>
      <c r="Y1322" s="1">
        <f>IF(ESTIMATIVA[[#This Row],[QT_AREA_REST1]]&gt;0,ESTIMATIVA[[#This Row],[QT_AREA_REST1]],
  IF(ESTIMATIVA[[#This Row],[QT_AREA_REAL]]&gt;0,ESTIMATIVA[[#This Row],[QT_AREA_REAL]],ESTIMATIVA[[#This Row],[QT_AREA_EST]]))</f>
        <v>2.71</v>
      </c>
      <c r="Z132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2.71</v>
      </c>
      <c r="AA1322" s="1">
        <f>ESTIMATIVA[[#This Row],[QT_CANA_EST]]</f>
        <v>135.5</v>
      </c>
      <c r="AB1322" s="1">
        <f>IF(ESTIMATIVA[[#This Row],[QT_CANA_REST1]]&gt;0,ESTIMATIVA[[#This Row],[QT_CANA_REST1]],
  IF(ESTIMATIVA[[#This Row],[QT_CANA_REAL]]&gt;0,ESTIMATIVA[[#This Row],[QT_CANA_REAL]],ESTIMATIVA[[#This Row],[QT_CANA_EST]]))</f>
        <v>113.38</v>
      </c>
      <c r="AC132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113.38</v>
      </c>
      <c r="AD1322" s="1">
        <f>IF(ESTIMATIVA[[#This Row],[QT_AREA_REAL]]&gt;0,ESTIMATIVA[[#This Row],[QT_CANA_REAL]],ESTIMATIVA[[#This Row],[QT_CANA_EST]])</f>
        <v>113.38</v>
      </c>
      <c r="AE1322" s="1">
        <f>IF(ESTIMATIVA[[#This Row],[QT_AREA_REAL]]&gt;0,ESTIMATIVA[[#This Row],[QT_CANA_REAL]],ESTIMATIVA[[#This Row],[QT_CANA_REST1]])</f>
        <v>113.38</v>
      </c>
      <c r="AF1322" s="1">
        <f>IF(ESTIMATIVA[[#This Row],[QT_AREA_REAL]]&gt;0,ESTIMATIVA[[#This Row],[QT_CANA_REAL]],ESTIMATIVA[[#This Row],[QT_CANA_REST2]])</f>
        <v>113.38</v>
      </c>
      <c r="AG1322" s="1" t="str">
        <f>IF(COUNTIFS(GEADA!A:A,VALUE(ESTIMATIVA[[#This Row],[CD_UPNIVEL1]]&amp;TEXT(ESTIMATIVA[[#This Row],[CD_UPNIVEL3]],"0000")))&gt;0,"S","N")</f>
        <v>N</v>
      </c>
      <c r="AH132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22" s="55" t="str">
        <f>IF(ESTIMATIVA[[#This Row],[TP_CULTIVO]]="Irrigado",_xlfn.MAXIFS(IRRIGADO!J:J,IRRIGADO!C:C,ESTIMATIVA[[#This Row],[CD_UPNIVEL1]],IRRIGADO!E:E,ESTIMATIVA[[#This Row],[CD_UPNIVEL3]]),"")</f>
        <v/>
      </c>
      <c r="AJ132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22" s="1">
        <f>COUNTIFS(Apresentação!$E$23:$E$29,ESTIMATIVA[[#This Row],[CD_UPNIVEL1]])</f>
        <v>0</v>
      </c>
    </row>
    <row r="1323" spans="1:37" x14ac:dyDescent="0.3">
      <c r="A1323">
        <v>20549</v>
      </c>
      <c r="B1323" t="s">
        <v>64</v>
      </c>
      <c r="C1323">
        <v>13</v>
      </c>
      <c r="D1323">
        <v>6</v>
      </c>
      <c r="E1323" t="s">
        <v>261</v>
      </c>
      <c r="F1323" s="85" t="s">
        <v>333</v>
      </c>
      <c r="G1323"/>
      <c r="H1323" t="s">
        <v>294</v>
      </c>
      <c r="I1323" t="s">
        <v>202</v>
      </c>
      <c r="J1323" t="s">
        <v>176</v>
      </c>
      <c r="K1323" s="1">
        <v>1.86</v>
      </c>
      <c r="L1323" s="1">
        <v>0</v>
      </c>
      <c r="M1323" s="1">
        <v>0</v>
      </c>
      <c r="N1323" s="1">
        <v>1.86</v>
      </c>
      <c r="O1323" s="1">
        <v>93</v>
      </c>
      <c r="P1323" s="1">
        <v>0</v>
      </c>
      <c r="Q1323" s="1">
        <v>0</v>
      </c>
      <c r="R1323" s="1">
        <v>77.209999999999994</v>
      </c>
      <c r="S1323" t="s">
        <v>12</v>
      </c>
      <c r="T1323" s="13">
        <v>45746</v>
      </c>
      <c r="U1323" s="1" t="str">
        <f>IF(ESTIMATIVA[[#This Row],[QT_AREA_REAL]]&gt;0,"1- Colhido","2- à Colher")</f>
        <v>1- Colhido</v>
      </c>
      <c r="V1323" s="1" t="str">
        <f>IF(ESTIMATIVA[[#This Row],[QT_AREA_REST1]]&gt;0,"Reestimativa 1",IF(ESTIMATIVA[[#This Row],[QT_AREA_REAL]]=0,"Reestimativa 1","Realizado"))</f>
        <v>Realizado</v>
      </c>
      <c r="W1323" s="1" t="str">
        <f>IF(ESTIMATIVA[[#This Row],[QT_AREA_REST2]]&gt;0,"Reestimativa 2",IF(ESTIMATIVA[[#This Row],[QT_AREA_REAL]]=0,"Reestimativa 2","Realizado"))</f>
        <v>Realizado</v>
      </c>
      <c r="X1323" s="1">
        <f>ESTIMATIVA[[#This Row],[QT_AREA_EST]]</f>
        <v>1.86</v>
      </c>
      <c r="Y1323" s="1">
        <f>IF(ESTIMATIVA[[#This Row],[QT_AREA_REST1]]&gt;0,ESTIMATIVA[[#This Row],[QT_AREA_REST1]],
  IF(ESTIMATIVA[[#This Row],[QT_AREA_REAL]]&gt;0,ESTIMATIVA[[#This Row],[QT_AREA_REAL]],ESTIMATIVA[[#This Row],[QT_AREA_EST]]))</f>
        <v>1.86</v>
      </c>
      <c r="Z132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1.86</v>
      </c>
      <c r="AA1323" s="1">
        <f>ESTIMATIVA[[#This Row],[QT_CANA_EST]]</f>
        <v>93</v>
      </c>
      <c r="AB1323" s="1">
        <f>IF(ESTIMATIVA[[#This Row],[QT_CANA_REST1]]&gt;0,ESTIMATIVA[[#This Row],[QT_CANA_REST1]],
  IF(ESTIMATIVA[[#This Row],[QT_CANA_REAL]]&gt;0,ESTIMATIVA[[#This Row],[QT_CANA_REAL]],ESTIMATIVA[[#This Row],[QT_CANA_EST]]))</f>
        <v>77.209999999999994</v>
      </c>
      <c r="AC132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77.209999999999994</v>
      </c>
      <c r="AD1323" s="1">
        <f>IF(ESTIMATIVA[[#This Row],[QT_AREA_REAL]]&gt;0,ESTIMATIVA[[#This Row],[QT_CANA_REAL]],ESTIMATIVA[[#This Row],[QT_CANA_EST]])</f>
        <v>77.209999999999994</v>
      </c>
      <c r="AE1323" s="1">
        <f>IF(ESTIMATIVA[[#This Row],[QT_AREA_REAL]]&gt;0,ESTIMATIVA[[#This Row],[QT_CANA_REAL]],ESTIMATIVA[[#This Row],[QT_CANA_REST1]])</f>
        <v>77.209999999999994</v>
      </c>
      <c r="AF1323" s="1">
        <f>IF(ESTIMATIVA[[#This Row],[QT_AREA_REAL]]&gt;0,ESTIMATIVA[[#This Row],[QT_CANA_REAL]],ESTIMATIVA[[#This Row],[QT_CANA_REST2]])</f>
        <v>77.209999999999994</v>
      </c>
      <c r="AG1323" s="1" t="str">
        <f>IF(COUNTIFS(GEADA!A:A,VALUE(ESTIMATIVA[[#This Row],[CD_UPNIVEL1]]&amp;TEXT(ESTIMATIVA[[#This Row],[CD_UPNIVEL3]],"0000")))&gt;0,"S","N")</f>
        <v>N</v>
      </c>
      <c r="AH132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23" s="55" t="str">
        <f>IF(ESTIMATIVA[[#This Row],[TP_CULTIVO]]="Irrigado",_xlfn.MAXIFS(IRRIGADO!J:J,IRRIGADO!C:C,ESTIMATIVA[[#This Row],[CD_UPNIVEL1]],IRRIGADO!E:E,ESTIMATIVA[[#This Row],[CD_UPNIVEL3]]),"")</f>
        <v/>
      </c>
      <c r="AJ132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23" s="1">
        <f>COUNTIFS(Apresentação!$E$23:$E$29,ESTIMATIVA[[#This Row],[CD_UPNIVEL1]])</f>
        <v>0</v>
      </c>
    </row>
    <row r="1324" spans="1:37" x14ac:dyDescent="0.3">
      <c r="A1324">
        <v>20549</v>
      </c>
      <c r="B1324" t="s">
        <v>64</v>
      </c>
      <c r="C1324">
        <v>14</v>
      </c>
      <c r="D1324">
        <v>5</v>
      </c>
      <c r="E1324" t="s">
        <v>268</v>
      </c>
      <c r="F1324" s="85" t="s">
        <v>331</v>
      </c>
      <c r="G1324"/>
      <c r="H1324" t="s">
        <v>294</v>
      </c>
      <c r="I1324" t="s">
        <v>202</v>
      </c>
      <c r="J1324" t="s">
        <v>176</v>
      </c>
      <c r="K1324" s="1">
        <v>12.7</v>
      </c>
      <c r="L1324" s="1">
        <v>0</v>
      </c>
      <c r="M1324" s="1">
        <v>0</v>
      </c>
      <c r="N1324" s="1">
        <v>12.7</v>
      </c>
      <c r="O1324" s="1">
        <v>635</v>
      </c>
      <c r="P1324" s="1">
        <v>0</v>
      </c>
      <c r="Q1324" s="1">
        <v>0</v>
      </c>
      <c r="R1324" s="1">
        <v>528.22</v>
      </c>
      <c r="S1324" t="s">
        <v>12</v>
      </c>
      <c r="T1324" s="13">
        <v>45746</v>
      </c>
      <c r="U1324" s="1" t="str">
        <f>IF(ESTIMATIVA[[#This Row],[QT_AREA_REAL]]&gt;0,"1- Colhido","2- à Colher")</f>
        <v>1- Colhido</v>
      </c>
      <c r="V1324" s="1" t="str">
        <f>IF(ESTIMATIVA[[#This Row],[QT_AREA_REST1]]&gt;0,"Reestimativa 1",IF(ESTIMATIVA[[#This Row],[QT_AREA_REAL]]=0,"Reestimativa 1","Realizado"))</f>
        <v>Realizado</v>
      </c>
      <c r="W1324" s="1" t="str">
        <f>IF(ESTIMATIVA[[#This Row],[QT_AREA_REST2]]&gt;0,"Reestimativa 2",IF(ESTIMATIVA[[#This Row],[QT_AREA_REAL]]=0,"Reestimativa 2","Realizado"))</f>
        <v>Realizado</v>
      </c>
      <c r="X1324" s="1">
        <f>ESTIMATIVA[[#This Row],[QT_AREA_EST]]</f>
        <v>12.7</v>
      </c>
      <c r="Y1324" s="1">
        <f>IF(ESTIMATIVA[[#This Row],[QT_AREA_REST1]]&gt;0,ESTIMATIVA[[#This Row],[QT_AREA_REST1]],
  IF(ESTIMATIVA[[#This Row],[QT_AREA_REAL]]&gt;0,ESTIMATIVA[[#This Row],[QT_AREA_REAL]],ESTIMATIVA[[#This Row],[QT_AREA_EST]]))</f>
        <v>12.7</v>
      </c>
      <c r="Z132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12.7</v>
      </c>
      <c r="AA1324" s="1">
        <f>ESTIMATIVA[[#This Row],[QT_CANA_EST]]</f>
        <v>635</v>
      </c>
      <c r="AB1324" s="1">
        <f>IF(ESTIMATIVA[[#This Row],[QT_CANA_REST1]]&gt;0,ESTIMATIVA[[#This Row],[QT_CANA_REST1]],
  IF(ESTIMATIVA[[#This Row],[QT_CANA_REAL]]&gt;0,ESTIMATIVA[[#This Row],[QT_CANA_REAL]],ESTIMATIVA[[#This Row],[QT_CANA_EST]]))</f>
        <v>528.22</v>
      </c>
      <c r="AC132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528.22</v>
      </c>
      <c r="AD1324" s="1">
        <f>IF(ESTIMATIVA[[#This Row],[QT_AREA_REAL]]&gt;0,ESTIMATIVA[[#This Row],[QT_CANA_REAL]],ESTIMATIVA[[#This Row],[QT_CANA_EST]])</f>
        <v>528.22</v>
      </c>
      <c r="AE1324" s="1">
        <f>IF(ESTIMATIVA[[#This Row],[QT_AREA_REAL]]&gt;0,ESTIMATIVA[[#This Row],[QT_CANA_REAL]],ESTIMATIVA[[#This Row],[QT_CANA_REST1]])</f>
        <v>528.22</v>
      </c>
      <c r="AF1324" s="1">
        <f>IF(ESTIMATIVA[[#This Row],[QT_AREA_REAL]]&gt;0,ESTIMATIVA[[#This Row],[QT_CANA_REAL]],ESTIMATIVA[[#This Row],[QT_CANA_REST2]])</f>
        <v>528.22</v>
      </c>
      <c r="AG1324" s="1" t="str">
        <f>IF(COUNTIFS(GEADA!A:A,VALUE(ESTIMATIVA[[#This Row],[CD_UPNIVEL1]]&amp;TEXT(ESTIMATIVA[[#This Row],[CD_UPNIVEL3]],"0000")))&gt;0,"S","N")</f>
        <v>N</v>
      </c>
      <c r="AH132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24" s="55" t="str">
        <f>IF(ESTIMATIVA[[#This Row],[TP_CULTIVO]]="Irrigado",_xlfn.MAXIFS(IRRIGADO!J:J,IRRIGADO!C:C,ESTIMATIVA[[#This Row],[CD_UPNIVEL1]],IRRIGADO!E:E,ESTIMATIVA[[#This Row],[CD_UPNIVEL3]]),"")</f>
        <v/>
      </c>
      <c r="AJ132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24" s="1">
        <f>COUNTIFS(Apresentação!$E$23:$E$29,ESTIMATIVA[[#This Row],[CD_UPNIVEL1]])</f>
        <v>0</v>
      </c>
    </row>
    <row r="1325" spans="1:37" x14ac:dyDescent="0.3">
      <c r="A1325">
        <v>20549</v>
      </c>
      <c r="B1325" t="s">
        <v>64</v>
      </c>
      <c r="C1325">
        <v>15</v>
      </c>
      <c r="D1325">
        <v>5</v>
      </c>
      <c r="E1325" t="s">
        <v>268</v>
      </c>
      <c r="F1325" s="85" t="s">
        <v>333</v>
      </c>
      <c r="G1325"/>
      <c r="H1325" t="s">
        <v>294</v>
      </c>
      <c r="I1325" t="s">
        <v>202</v>
      </c>
      <c r="J1325" t="s">
        <v>176</v>
      </c>
      <c r="K1325" s="1">
        <v>1.7</v>
      </c>
      <c r="L1325" s="1">
        <v>0</v>
      </c>
      <c r="M1325" s="1">
        <v>0</v>
      </c>
      <c r="N1325" s="1">
        <v>1.7</v>
      </c>
      <c r="O1325" s="1">
        <v>85</v>
      </c>
      <c r="P1325" s="1">
        <v>0</v>
      </c>
      <c r="Q1325" s="1">
        <v>0</v>
      </c>
      <c r="R1325" s="1">
        <v>71.849999999999994</v>
      </c>
      <c r="S1325" t="s">
        <v>12</v>
      </c>
      <c r="T1325" s="13">
        <v>45746</v>
      </c>
      <c r="U1325" s="1" t="str">
        <f>IF(ESTIMATIVA[[#This Row],[QT_AREA_REAL]]&gt;0,"1- Colhido","2- à Colher")</f>
        <v>1- Colhido</v>
      </c>
      <c r="V1325" s="1" t="str">
        <f>IF(ESTIMATIVA[[#This Row],[QT_AREA_REST1]]&gt;0,"Reestimativa 1",IF(ESTIMATIVA[[#This Row],[QT_AREA_REAL]]=0,"Reestimativa 1","Realizado"))</f>
        <v>Realizado</v>
      </c>
      <c r="W1325" s="1" t="str">
        <f>IF(ESTIMATIVA[[#This Row],[QT_AREA_REST2]]&gt;0,"Reestimativa 2",IF(ESTIMATIVA[[#This Row],[QT_AREA_REAL]]=0,"Reestimativa 2","Realizado"))</f>
        <v>Realizado</v>
      </c>
      <c r="X1325" s="1">
        <f>ESTIMATIVA[[#This Row],[QT_AREA_EST]]</f>
        <v>1.7</v>
      </c>
      <c r="Y1325" s="1">
        <f>IF(ESTIMATIVA[[#This Row],[QT_AREA_REST1]]&gt;0,ESTIMATIVA[[#This Row],[QT_AREA_REST1]],
  IF(ESTIMATIVA[[#This Row],[QT_AREA_REAL]]&gt;0,ESTIMATIVA[[#This Row],[QT_AREA_REAL]],ESTIMATIVA[[#This Row],[QT_AREA_EST]]))</f>
        <v>1.7</v>
      </c>
      <c r="Z132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1.7</v>
      </c>
      <c r="AA1325" s="1">
        <f>ESTIMATIVA[[#This Row],[QT_CANA_EST]]</f>
        <v>85</v>
      </c>
      <c r="AB1325" s="1">
        <f>IF(ESTIMATIVA[[#This Row],[QT_CANA_REST1]]&gt;0,ESTIMATIVA[[#This Row],[QT_CANA_REST1]],
  IF(ESTIMATIVA[[#This Row],[QT_CANA_REAL]]&gt;0,ESTIMATIVA[[#This Row],[QT_CANA_REAL]],ESTIMATIVA[[#This Row],[QT_CANA_EST]]))</f>
        <v>71.849999999999994</v>
      </c>
      <c r="AC132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71.849999999999994</v>
      </c>
      <c r="AD1325" s="1">
        <f>IF(ESTIMATIVA[[#This Row],[QT_AREA_REAL]]&gt;0,ESTIMATIVA[[#This Row],[QT_CANA_REAL]],ESTIMATIVA[[#This Row],[QT_CANA_EST]])</f>
        <v>71.849999999999994</v>
      </c>
      <c r="AE1325" s="1">
        <f>IF(ESTIMATIVA[[#This Row],[QT_AREA_REAL]]&gt;0,ESTIMATIVA[[#This Row],[QT_CANA_REAL]],ESTIMATIVA[[#This Row],[QT_CANA_REST1]])</f>
        <v>71.849999999999994</v>
      </c>
      <c r="AF1325" s="1">
        <f>IF(ESTIMATIVA[[#This Row],[QT_AREA_REAL]]&gt;0,ESTIMATIVA[[#This Row],[QT_CANA_REAL]],ESTIMATIVA[[#This Row],[QT_CANA_REST2]])</f>
        <v>71.849999999999994</v>
      </c>
      <c r="AG1325" s="1" t="str">
        <f>IF(COUNTIFS(GEADA!A:A,VALUE(ESTIMATIVA[[#This Row],[CD_UPNIVEL1]]&amp;TEXT(ESTIMATIVA[[#This Row],[CD_UPNIVEL3]],"0000")))&gt;0,"S","N")</f>
        <v>N</v>
      </c>
      <c r="AH132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25" s="55" t="str">
        <f>IF(ESTIMATIVA[[#This Row],[TP_CULTIVO]]="Irrigado",_xlfn.MAXIFS(IRRIGADO!J:J,IRRIGADO!C:C,ESTIMATIVA[[#This Row],[CD_UPNIVEL1]],IRRIGADO!E:E,ESTIMATIVA[[#This Row],[CD_UPNIVEL3]]),"")</f>
        <v/>
      </c>
      <c r="AJ132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25" s="1">
        <f>COUNTIFS(Apresentação!$E$23:$E$29,ESTIMATIVA[[#This Row],[CD_UPNIVEL1]])</f>
        <v>0</v>
      </c>
    </row>
    <row r="1326" spans="1:37" x14ac:dyDescent="0.3">
      <c r="A1326">
        <v>20550</v>
      </c>
      <c r="B1326" t="s">
        <v>77</v>
      </c>
      <c r="C1326">
        <v>1</v>
      </c>
      <c r="D1326">
        <v>2</v>
      </c>
      <c r="E1326" t="s">
        <v>266</v>
      </c>
      <c r="F1326" s="85" t="s">
        <v>333</v>
      </c>
      <c r="G1326"/>
      <c r="H1326" t="s">
        <v>294</v>
      </c>
      <c r="I1326" t="s">
        <v>207</v>
      </c>
      <c r="J1326" t="s">
        <v>176</v>
      </c>
      <c r="K1326" s="1">
        <v>25.68</v>
      </c>
      <c r="L1326" s="1">
        <v>25.68</v>
      </c>
      <c r="M1326" s="1">
        <v>0</v>
      </c>
      <c r="N1326" s="1">
        <v>25.68</v>
      </c>
      <c r="O1326" s="1">
        <v>1848.96</v>
      </c>
      <c r="P1326" s="1">
        <v>1797.6</v>
      </c>
      <c r="Q1326" s="1">
        <v>0</v>
      </c>
      <c r="R1326" s="1">
        <v>1698.48</v>
      </c>
      <c r="S1326" t="s">
        <v>12</v>
      </c>
      <c r="T1326" s="13">
        <v>45921</v>
      </c>
      <c r="U1326" s="1" t="str">
        <f>IF(ESTIMATIVA[[#This Row],[QT_AREA_REAL]]&gt;0,"1- Colhido","2- à Colher")</f>
        <v>1- Colhido</v>
      </c>
      <c r="V1326" s="1" t="str">
        <f>IF(ESTIMATIVA[[#This Row],[QT_AREA_REST1]]&gt;0,"Reestimativa 1",IF(ESTIMATIVA[[#This Row],[QT_AREA_REAL]]=0,"Reestimativa 1","Realizado"))</f>
        <v>Reestimativa 1</v>
      </c>
      <c r="W1326" s="1" t="str">
        <f>IF(ESTIMATIVA[[#This Row],[QT_AREA_REST2]]&gt;0,"Reestimativa 2",IF(ESTIMATIVA[[#This Row],[QT_AREA_REAL]]=0,"Reestimativa 2","Realizado"))</f>
        <v>Realizado</v>
      </c>
      <c r="X1326" s="1">
        <f>ESTIMATIVA[[#This Row],[QT_AREA_EST]]</f>
        <v>25.68</v>
      </c>
      <c r="Y1326" s="1">
        <f>IF(ESTIMATIVA[[#This Row],[QT_AREA_REST1]]&gt;0,ESTIMATIVA[[#This Row],[QT_AREA_REST1]],
  IF(ESTIMATIVA[[#This Row],[QT_AREA_REAL]]&gt;0,ESTIMATIVA[[#This Row],[QT_AREA_REAL]],ESTIMATIVA[[#This Row],[QT_AREA_EST]]))</f>
        <v>25.68</v>
      </c>
      <c r="Z132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25.68</v>
      </c>
      <c r="AA1326" s="1">
        <f>ESTIMATIVA[[#This Row],[QT_CANA_EST]]</f>
        <v>1848.96</v>
      </c>
      <c r="AB1326" s="1">
        <f>IF(ESTIMATIVA[[#This Row],[QT_CANA_REST1]]&gt;0,ESTIMATIVA[[#This Row],[QT_CANA_REST1]],
  IF(ESTIMATIVA[[#This Row],[QT_CANA_REAL]]&gt;0,ESTIMATIVA[[#This Row],[QT_CANA_REAL]],ESTIMATIVA[[#This Row],[QT_CANA_EST]]))</f>
        <v>1797.6</v>
      </c>
      <c r="AC132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1698.48</v>
      </c>
      <c r="AD1326" s="1">
        <f>IF(ESTIMATIVA[[#This Row],[QT_AREA_REAL]]&gt;0,ESTIMATIVA[[#This Row],[QT_CANA_REAL]],ESTIMATIVA[[#This Row],[QT_CANA_EST]])</f>
        <v>1698.48</v>
      </c>
      <c r="AE1326" s="1">
        <f>IF(ESTIMATIVA[[#This Row],[QT_AREA_REAL]]&gt;0,ESTIMATIVA[[#This Row],[QT_CANA_REAL]],ESTIMATIVA[[#This Row],[QT_CANA_REST1]])</f>
        <v>1698.48</v>
      </c>
      <c r="AF1326" s="1">
        <f>IF(ESTIMATIVA[[#This Row],[QT_AREA_REAL]]&gt;0,ESTIMATIVA[[#This Row],[QT_CANA_REAL]],ESTIMATIVA[[#This Row],[QT_CANA_REST2]])</f>
        <v>1698.48</v>
      </c>
      <c r="AG1326" s="1" t="str">
        <f>IF(COUNTIFS(GEADA!A:A,VALUE(ESTIMATIVA[[#This Row],[CD_UPNIVEL1]]&amp;TEXT(ESTIMATIVA[[#This Row],[CD_UPNIVEL3]],"0000")))&gt;0,"S","N")</f>
        <v>S</v>
      </c>
      <c r="AH132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26" s="55" t="str">
        <f>IF(ESTIMATIVA[[#This Row],[TP_CULTIVO]]="Irrigado",_xlfn.MAXIFS(IRRIGADO!J:J,IRRIGADO!C:C,ESTIMATIVA[[#This Row],[CD_UPNIVEL1]],IRRIGADO!E:E,ESTIMATIVA[[#This Row],[CD_UPNIVEL3]]),"")</f>
        <v/>
      </c>
      <c r="AJ132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26" s="1">
        <f>COUNTIFS(Apresentação!$E$23:$E$29,ESTIMATIVA[[#This Row],[CD_UPNIVEL1]])</f>
        <v>0</v>
      </c>
    </row>
    <row r="1327" spans="1:37" x14ac:dyDescent="0.3">
      <c r="A1327">
        <v>20550</v>
      </c>
      <c r="B1327" t="s">
        <v>77</v>
      </c>
      <c r="C1327">
        <v>6</v>
      </c>
      <c r="D1327">
        <v>5</v>
      </c>
      <c r="E1327" t="s">
        <v>268</v>
      </c>
      <c r="F1327" s="85" t="s">
        <v>333</v>
      </c>
      <c r="G1327"/>
      <c r="H1327" t="s">
        <v>294</v>
      </c>
      <c r="I1327" t="s">
        <v>202</v>
      </c>
      <c r="J1327" t="s">
        <v>176</v>
      </c>
      <c r="K1327" s="1">
        <v>19.899999999999999</v>
      </c>
      <c r="L1327" s="1">
        <v>19.899999999999999</v>
      </c>
      <c r="M1327" s="1">
        <v>0</v>
      </c>
      <c r="N1327" s="1">
        <v>19.899999999999999</v>
      </c>
      <c r="O1327" s="1">
        <v>995</v>
      </c>
      <c r="P1327" s="1">
        <v>398</v>
      </c>
      <c r="Q1327" s="1">
        <v>0</v>
      </c>
      <c r="R1327" s="1">
        <v>606.16999999999996</v>
      </c>
      <c r="S1327" t="s">
        <v>12</v>
      </c>
      <c r="T1327" s="13">
        <v>45858</v>
      </c>
      <c r="U1327" s="1" t="str">
        <f>IF(ESTIMATIVA[[#This Row],[QT_AREA_REAL]]&gt;0,"1- Colhido","2- à Colher")</f>
        <v>1- Colhido</v>
      </c>
      <c r="V1327" s="1" t="str">
        <f>IF(ESTIMATIVA[[#This Row],[QT_AREA_REST1]]&gt;0,"Reestimativa 1",IF(ESTIMATIVA[[#This Row],[QT_AREA_REAL]]=0,"Reestimativa 1","Realizado"))</f>
        <v>Reestimativa 1</v>
      </c>
      <c r="W1327" s="1" t="str">
        <f>IF(ESTIMATIVA[[#This Row],[QT_AREA_REST2]]&gt;0,"Reestimativa 2",IF(ESTIMATIVA[[#This Row],[QT_AREA_REAL]]=0,"Reestimativa 2","Realizado"))</f>
        <v>Realizado</v>
      </c>
      <c r="X1327" s="1">
        <f>ESTIMATIVA[[#This Row],[QT_AREA_EST]]</f>
        <v>19.899999999999999</v>
      </c>
      <c r="Y1327" s="1">
        <f>IF(ESTIMATIVA[[#This Row],[QT_AREA_REST1]]&gt;0,ESTIMATIVA[[#This Row],[QT_AREA_REST1]],
  IF(ESTIMATIVA[[#This Row],[QT_AREA_REAL]]&gt;0,ESTIMATIVA[[#This Row],[QT_AREA_REAL]],ESTIMATIVA[[#This Row],[QT_AREA_EST]]))</f>
        <v>19.899999999999999</v>
      </c>
      <c r="Z132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19.899999999999999</v>
      </c>
      <c r="AA1327" s="1">
        <f>ESTIMATIVA[[#This Row],[QT_CANA_EST]]</f>
        <v>995</v>
      </c>
      <c r="AB1327" s="1">
        <f>IF(ESTIMATIVA[[#This Row],[QT_CANA_REST1]]&gt;0,ESTIMATIVA[[#This Row],[QT_CANA_REST1]],
  IF(ESTIMATIVA[[#This Row],[QT_CANA_REAL]]&gt;0,ESTIMATIVA[[#This Row],[QT_CANA_REAL]],ESTIMATIVA[[#This Row],[QT_CANA_EST]]))</f>
        <v>398</v>
      </c>
      <c r="AC132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606.16999999999996</v>
      </c>
      <c r="AD1327" s="1">
        <f>IF(ESTIMATIVA[[#This Row],[QT_AREA_REAL]]&gt;0,ESTIMATIVA[[#This Row],[QT_CANA_REAL]],ESTIMATIVA[[#This Row],[QT_CANA_EST]])</f>
        <v>606.16999999999996</v>
      </c>
      <c r="AE1327" s="1">
        <f>IF(ESTIMATIVA[[#This Row],[QT_AREA_REAL]]&gt;0,ESTIMATIVA[[#This Row],[QT_CANA_REAL]],ESTIMATIVA[[#This Row],[QT_CANA_REST1]])</f>
        <v>606.16999999999996</v>
      </c>
      <c r="AF1327" s="1">
        <f>IF(ESTIMATIVA[[#This Row],[QT_AREA_REAL]]&gt;0,ESTIMATIVA[[#This Row],[QT_CANA_REAL]],ESTIMATIVA[[#This Row],[QT_CANA_REST2]])</f>
        <v>606.16999999999996</v>
      </c>
      <c r="AG1327" s="1" t="str">
        <f>IF(COUNTIFS(GEADA!A:A,VALUE(ESTIMATIVA[[#This Row],[CD_UPNIVEL1]]&amp;TEXT(ESTIMATIVA[[#This Row],[CD_UPNIVEL3]],"0000")))&gt;0,"S","N")</f>
        <v>S</v>
      </c>
      <c r="AH132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27" s="55" t="str">
        <f>IF(ESTIMATIVA[[#This Row],[TP_CULTIVO]]="Irrigado",_xlfn.MAXIFS(IRRIGADO!J:J,IRRIGADO!C:C,ESTIMATIVA[[#This Row],[CD_UPNIVEL1]],IRRIGADO!E:E,ESTIMATIVA[[#This Row],[CD_UPNIVEL3]]),"")</f>
        <v/>
      </c>
      <c r="AJ132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27" s="1">
        <f>COUNTIFS(Apresentação!$E$23:$E$29,ESTIMATIVA[[#This Row],[CD_UPNIVEL1]])</f>
        <v>0</v>
      </c>
    </row>
    <row r="1328" spans="1:37" x14ac:dyDescent="0.3">
      <c r="A1328">
        <v>20550</v>
      </c>
      <c r="B1328" t="s">
        <v>77</v>
      </c>
      <c r="C1328">
        <v>7</v>
      </c>
      <c r="D1328">
        <v>5</v>
      </c>
      <c r="E1328" t="s">
        <v>268</v>
      </c>
      <c r="F1328" s="85" t="s">
        <v>333</v>
      </c>
      <c r="G1328"/>
      <c r="H1328" t="s">
        <v>294</v>
      </c>
      <c r="I1328" t="s">
        <v>202</v>
      </c>
      <c r="J1328" t="s">
        <v>176</v>
      </c>
      <c r="K1328" s="1">
        <v>20.64</v>
      </c>
      <c r="L1328" s="1">
        <v>20.64</v>
      </c>
      <c r="M1328" s="1">
        <v>0</v>
      </c>
      <c r="N1328" s="1">
        <v>20.64</v>
      </c>
      <c r="O1328" s="1">
        <v>1032</v>
      </c>
      <c r="P1328" s="1">
        <v>412.8</v>
      </c>
      <c r="Q1328" s="1">
        <v>0</v>
      </c>
      <c r="R1328" s="1">
        <v>629.02</v>
      </c>
      <c r="S1328" t="s">
        <v>12</v>
      </c>
      <c r="T1328" s="13">
        <v>45858</v>
      </c>
      <c r="U1328" s="1" t="str">
        <f>IF(ESTIMATIVA[[#This Row],[QT_AREA_REAL]]&gt;0,"1- Colhido","2- à Colher")</f>
        <v>1- Colhido</v>
      </c>
      <c r="V1328" s="1" t="str">
        <f>IF(ESTIMATIVA[[#This Row],[QT_AREA_REST1]]&gt;0,"Reestimativa 1",IF(ESTIMATIVA[[#This Row],[QT_AREA_REAL]]=0,"Reestimativa 1","Realizado"))</f>
        <v>Reestimativa 1</v>
      </c>
      <c r="W1328" s="1" t="str">
        <f>IF(ESTIMATIVA[[#This Row],[QT_AREA_REST2]]&gt;0,"Reestimativa 2",IF(ESTIMATIVA[[#This Row],[QT_AREA_REAL]]=0,"Reestimativa 2","Realizado"))</f>
        <v>Realizado</v>
      </c>
      <c r="X1328" s="1">
        <f>ESTIMATIVA[[#This Row],[QT_AREA_EST]]</f>
        <v>20.64</v>
      </c>
      <c r="Y1328" s="1">
        <f>IF(ESTIMATIVA[[#This Row],[QT_AREA_REST1]]&gt;0,ESTIMATIVA[[#This Row],[QT_AREA_REST1]],
  IF(ESTIMATIVA[[#This Row],[QT_AREA_REAL]]&gt;0,ESTIMATIVA[[#This Row],[QT_AREA_REAL]],ESTIMATIVA[[#This Row],[QT_AREA_EST]]))</f>
        <v>20.64</v>
      </c>
      <c r="Z132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20.64</v>
      </c>
      <c r="AA1328" s="1">
        <f>ESTIMATIVA[[#This Row],[QT_CANA_EST]]</f>
        <v>1032</v>
      </c>
      <c r="AB1328" s="1">
        <f>IF(ESTIMATIVA[[#This Row],[QT_CANA_REST1]]&gt;0,ESTIMATIVA[[#This Row],[QT_CANA_REST1]],
  IF(ESTIMATIVA[[#This Row],[QT_CANA_REAL]]&gt;0,ESTIMATIVA[[#This Row],[QT_CANA_REAL]],ESTIMATIVA[[#This Row],[QT_CANA_EST]]))</f>
        <v>412.8</v>
      </c>
      <c r="AC132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629.02</v>
      </c>
      <c r="AD1328" s="1">
        <f>IF(ESTIMATIVA[[#This Row],[QT_AREA_REAL]]&gt;0,ESTIMATIVA[[#This Row],[QT_CANA_REAL]],ESTIMATIVA[[#This Row],[QT_CANA_EST]])</f>
        <v>629.02</v>
      </c>
      <c r="AE1328" s="1">
        <f>IF(ESTIMATIVA[[#This Row],[QT_AREA_REAL]]&gt;0,ESTIMATIVA[[#This Row],[QT_CANA_REAL]],ESTIMATIVA[[#This Row],[QT_CANA_REST1]])</f>
        <v>629.02</v>
      </c>
      <c r="AF1328" s="1">
        <f>IF(ESTIMATIVA[[#This Row],[QT_AREA_REAL]]&gt;0,ESTIMATIVA[[#This Row],[QT_CANA_REAL]],ESTIMATIVA[[#This Row],[QT_CANA_REST2]])</f>
        <v>629.02</v>
      </c>
      <c r="AG1328" s="1" t="str">
        <f>IF(COUNTIFS(GEADA!A:A,VALUE(ESTIMATIVA[[#This Row],[CD_UPNIVEL1]]&amp;TEXT(ESTIMATIVA[[#This Row],[CD_UPNIVEL3]],"0000")))&gt;0,"S","N")</f>
        <v>S</v>
      </c>
      <c r="AH132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28" s="55" t="str">
        <f>IF(ESTIMATIVA[[#This Row],[TP_CULTIVO]]="Irrigado",_xlfn.MAXIFS(IRRIGADO!J:J,IRRIGADO!C:C,ESTIMATIVA[[#This Row],[CD_UPNIVEL1]],IRRIGADO!E:E,ESTIMATIVA[[#This Row],[CD_UPNIVEL3]]),"")</f>
        <v/>
      </c>
      <c r="AJ132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28" s="1">
        <f>COUNTIFS(Apresentação!$E$23:$E$29,ESTIMATIVA[[#This Row],[CD_UPNIVEL1]])</f>
        <v>0</v>
      </c>
    </row>
    <row r="1329" spans="1:37" x14ac:dyDescent="0.3">
      <c r="A1329">
        <v>20550</v>
      </c>
      <c r="B1329" t="s">
        <v>77</v>
      </c>
      <c r="C1329">
        <v>8</v>
      </c>
      <c r="D1329">
        <v>5</v>
      </c>
      <c r="E1329" t="s">
        <v>268</v>
      </c>
      <c r="F1329" s="85" t="s">
        <v>333</v>
      </c>
      <c r="G1329"/>
      <c r="H1329" t="s">
        <v>294</v>
      </c>
      <c r="I1329" t="s">
        <v>202</v>
      </c>
      <c r="J1329" t="s">
        <v>176</v>
      </c>
      <c r="K1329" s="1">
        <v>14.4</v>
      </c>
      <c r="L1329" s="1">
        <v>14.4</v>
      </c>
      <c r="M1329" s="1">
        <v>0</v>
      </c>
      <c r="N1329" s="1">
        <v>14.4</v>
      </c>
      <c r="O1329" s="1">
        <v>720</v>
      </c>
      <c r="P1329" s="1">
        <v>288</v>
      </c>
      <c r="Q1329" s="1">
        <v>0</v>
      </c>
      <c r="R1329" s="1">
        <v>438.62</v>
      </c>
      <c r="S1329" t="s">
        <v>12</v>
      </c>
      <c r="T1329" s="13">
        <v>45858</v>
      </c>
      <c r="U1329" s="1" t="str">
        <f>IF(ESTIMATIVA[[#This Row],[QT_AREA_REAL]]&gt;0,"1- Colhido","2- à Colher")</f>
        <v>1- Colhido</v>
      </c>
      <c r="V1329" s="1" t="str">
        <f>IF(ESTIMATIVA[[#This Row],[QT_AREA_REST1]]&gt;0,"Reestimativa 1",IF(ESTIMATIVA[[#This Row],[QT_AREA_REAL]]=0,"Reestimativa 1","Realizado"))</f>
        <v>Reestimativa 1</v>
      </c>
      <c r="W1329" s="1" t="str">
        <f>IF(ESTIMATIVA[[#This Row],[QT_AREA_REST2]]&gt;0,"Reestimativa 2",IF(ESTIMATIVA[[#This Row],[QT_AREA_REAL]]=0,"Reestimativa 2","Realizado"))</f>
        <v>Realizado</v>
      </c>
      <c r="X1329" s="1">
        <f>ESTIMATIVA[[#This Row],[QT_AREA_EST]]</f>
        <v>14.4</v>
      </c>
      <c r="Y1329" s="1">
        <f>IF(ESTIMATIVA[[#This Row],[QT_AREA_REST1]]&gt;0,ESTIMATIVA[[#This Row],[QT_AREA_REST1]],
  IF(ESTIMATIVA[[#This Row],[QT_AREA_REAL]]&gt;0,ESTIMATIVA[[#This Row],[QT_AREA_REAL]],ESTIMATIVA[[#This Row],[QT_AREA_EST]]))</f>
        <v>14.4</v>
      </c>
      <c r="Z132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14.4</v>
      </c>
      <c r="AA1329" s="1">
        <f>ESTIMATIVA[[#This Row],[QT_CANA_EST]]</f>
        <v>720</v>
      </c>
      <c r="AB1329" s="1">
        <f>IF(ESTIMATIVA[[#This Row],[QT_CANA_REST1]]&gt;0,ESTIMATIVA[[#This Row],[QT_CANA_REST1]],
  IF(ESTIMATIVA[[#This Row],[QT_CANA_REAL]]&gt;0,ESTIMATIVA[[#This Row],[QT_CANA_REAL]],ESTIMATIVA[[#This Row],[QT_CANA_EST]]))</f>
        <v>288</v>
      </c>
      <c r="AC132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438.62</v>
      </c>
      <c r="AD1329" s="1">
        <f>IF(ESTIMATIVA[[#This Row],[QT_AREA_REAL]]&gt;0,ESTIMATIVA[[#This Row],[QT_CANA_REAL]],ESTIMATIVA[[#This Row],[QT_CANA_EST]])</f>
        <v>438.62</v>
      </c>
      <c r="AE1329" s="1">
        <f>IF(ESTIMATIVA[[#This Row],[QT_AREA_REAL]]&gt;0,ESTIMATIVA[[#This Row],[QT_CANA_REAL]],ESTIMATIVA[[#This Row],[QT_CANA_REST1]])</f>
        <v>438.62</v>
      </c>
      <c r="AF1329" s="1">
        <f>IF(ESTIMATIVA[[#This Row],[QT_AREA_REAL]]&gt;0,ESTIMATIVA[[#This Row],[QT_CANA_REAL]],ESTIMATIVA[[#This Row],[QT_CANA_REST2]])</f>
        <v>438.62</v>
      </c>
      <c r="AG1329" s="1" t="str">
        <f>IF(COUNTIFS(GEADA!A:A,VALUE(ESTIMATIVA[[#This Row],[CD_UPNIVEL1]]&amp;TEXT(ESTIMATIVA[[#This Row],[CD_UPNIVEL3]],"0000")))&gt;0,"S","N")</f>
        <v>S</v>
      </c>
      <c r="AH132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29" s="55" t="str">
        <f>IF(ESTIMATIVA[[#This Row],[TP_CULTIVO]]="Irrigado",_xlfn.MAXIFS(IRRIGADO!J:J,IRRIGADO!C:C,ESTIMATIVA[[#This Row],[CD_UPNIVEL1]],IRRIGADO!E:E,ESTIMATIVA[[#This Row],[CD_UPNIVEL3]]),"")</f>
        <v/>
      </c>
      <c r="AJ132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29" s="1">
        <f>COUNTIFS(Apresentação!$E$23:$E$29,ESTIMATIVA[[#This Row],[CD_UPNIVEL1]])</f>
        <v>0</v>
      </c>
    </row>
    <row r="1330" spans="1:37" x14ac:dyDescent="0.3">
      <c r="A1330">
        <v>20550</v>
      </c>
      <c r="B1330" t="s">
        <v>77</v>
      </c>
      <c r="C1330">
        <v>9</v>
      </c>
      <c r="D1330">
        <v>5</v>
      </c>
      <c r="E1330" t="s">
        <v>268</v>
      </c>
      <c r="F1330" s="85" t="s">
        <v>333</v>
      </c>
      <c r="G1330"/>
      <c r="H1330" t="s">
        <v>294</v>
      </c>
      <c r="I1330" t="s">
        <v>202</v>
      </c>
      <c r="J1330" t="s">
        <v>176</v>
      </c>
      <c r="K1330" s="1">
        <v>1.32</v>
      </c>
      <c r="L1330" s="1">
        <v>1.32</v>
      </c>
      <c r="M1330" s="1">
        <v>0</v>
      </c>
      <c r="N1330" s="1">
        <v>1.32</v>
      </c>
      <c r="O1330" s="1">
        <v>66</v>
      </c>
      <c r="P1330" s="1">
        <v>26.4</v>
      </c>
      <c r="Q1330" s="1">
        <v>0</v>
      </c>
      <c r="R1330" s="1">
        <v>39.53</v>
      </c>
      <c r="S1330" t="s">
        <v>12</v>
      </c>
      <c r="T1330" s="13">
        <v>45858</v>
      </c>
      <c r="U1330" s="1" t="str">
        <f>IF(ESTIMATIVA[[#This Row],[QT_AREA_REAL]]&gt;0,"1- Colhido","2- à Colher")</f>
        <v>1- Colhido</v>
      </c>
      <c r="V1330" s="1" t="str">
        <f>IF(ESTIMATIVA[[#This Row],[QT_AREA_REST1]]&gt;0,"Reestimativa 1",IF(ESTIMATIVA[[#This Row],[QT_AREA_REAL]]=0,"Reestimativa 1","Realizado"))</f>
        <v>Reestimativa 1</v>
      </c>
      <c r="W1330" s="1" t="str">
        <f>IF(ESTIMATIVA[[#This Row],[QT_AREA_REST2]]&gt;0,"Reestimativa 2",IF(ESTIMATIVA[[#This Row],[QT_AREA_REAL]]=0,"Reestimativa 2","Realizado"))</f>
        <v>Realizado</v>
      </c>
      <c r="X1330" s="1">
        <f>ESTIMATIVA[[#This Row],[QT_AREA_EST]]</f>
        <v>1.32</v>
      </c>
      <c r="Y1330" s="1">
        <f>IF(ESTIMATIVA[[#This Row],[QT_AREA_REST1]]&gt;0,ESTIMATIVA[[#This Row],[QT_AREA_REST1]],
  IF(ESTIMATIVA[[#This Row],[QT_AREA_REAL]]&gt;0,ESTIMATIVA[[#This Row],[QT_AREA_REAL]],ESTIMATIVA[[#This Row],[QT_AREA_EST]]))</f>
        <v>1.32</v>
      </c>
      <c r="Z133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1.32</v>
      </c>
      <c r="AA1330" s="1">
        <f>ESTIMATIVA[[#This Row],[QT_CANA_EST]]</f>
        <v>66</v>
      </c>
      <c r="AB1330" s="1">
        <f>IF(ESTIMATIVA[[#This Row],[QT_CANA_REST1]]&gt;0,ESTIMATIVA[[#This Row],[QT_CANA_REST1]],
  IF(ESTIMATIVA[[#This Row],[QT_CANA_REAL]]&gt;0,ESTIMATIVA[[#This Row],[QT_CANA_REAL]],ESTIMATIVA[[#This Row],[QT_CANA_EST]]))</f>
        <v>26.4</v>
      </c>
      <c r="AC133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39.53</v>
      </c>
      <c r="AD1330" s="1">
        <f>IF(ESTIMATIVA[[#This Row],[QT_AREA_REAL]]&gt;0,ESTIMATIVA[[#This Row],[QT_CANA_REAL]],ESTIMATIVA[[#This Row],[QT_CANA_EST]])</f>
        <v>39.53</v>
      </c>
      <c r="AE1330" s="1">
        <f>IF(ESTIMATIVA[[#This Row],[QT_AREA_REAL]]&gt;0,ESTIMATIVA[[#This Row],[QT_CANA_REAL]],ESTIMATIVA[[#This Row],[QT_CANA_REST1]])</f>
        <v>39.53</v>
      </c>
      <c r="AF1330" s="1">
        <f>IF(ESTIMATIVA[[#This Row],[QT_AREA_REAL]]&gt;0,ESTIMATIVA[[#This Row],[QT_CANA_REAL]],ESTIMATIVA[[#This Row],[QT_CANA_REST2]])</f>
        <v>39.53</v>
      </c>
      <c r="AG1330" s="1" t="str">
        <f>IF(COUNTIFS(GEADA!A:A,VALUE(ESTIMATIVA[[#This Row],[CD_UPNIVEL1]]&amp;TEXT(ESTIMATIVA[[#This Row],[CD_UPNIVEL3]],"0000")))&gt;0,"S","N")</f>
        <v>S</v>
      </c>
      <c r="AH133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30" s="55" t="str">
        <f>IF(ESTIMATIVA[[#This Row],[TP_CULTIVO]]="Irrigado",_xlfn.MAXIFS(IRRIGADO!J:J,IRRIGADO!C:C,ESTIMATIVA[[#This Row],[CD_UPNIVEL1]],IRRIGADO!E:E,ESTIMATIVA[[#This Row],[CD_UPNIVEL3]]),"")</f>
        <v/>
      </c>
      <c r="AJ133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30" s="1">
        <f>COUNTIFS(Apresentação!$E$23:$E$29,ESTIMATIVA[[#This Row],[CD_UPNIVEL1]])</f>
        <v>0</v>
      </c>
    </row>
    <row r="1331" spans="1:37" x14ac:dyDescent="0.3">
      <c r="A1331">
        <v>20550</v>
      </c>
      <c r="B1331" t="s">
        <v>77</v>
      </c>
      <c r="C1331">
        <v>10</v>
      </c>
      <c r="D1331">
        <v>5</v>
      </c>
      <c r="E1331" t="s">
        <v>268</v>
      </c>
      <c r="F1331" s="85" t="s">
        <v>331</v>
      </c>
      <c r="G1331"/>
      <c r="H1331" t="s">
        <v>294</v>
      </c>
      <c r="I1331" t="s">
        <v>202</v>
      </c>
      <c r="J1331" t="s">
        <v>176</v>
      </c>
      <c r="K1331" s="1">
        <v>31.53</v>
      </c>
      <c r="L1331" s="1">
        <v>31.53</v>
      </c>
      <c r="M1331" s="1">
        <v>0</v>
      </c>
      <c r="N1331" s="1">
        <v>31.53</v>
      </c>
      <c r="O1331" s="1">
        <v>1576.5</v>
      </c>
      <c r="P1331" s="1">
        <v>630.6</v>
      </c>
      <c r="Q1331" s="1">
        <v>0</v>
      </c>
      <c r="R1331" s="1">
        <v>961.08</v>
      </c>
      <c r="S1331" t="s">
        <v>12</v>
      </c>
      <c r="T1331" s="13">
        <v>45858</v>
      </c>
      <c r="U1331" s="1" t="str">
        <f>IF(ESTIMATIVA[[#This Row],[QT_AREA_REAL]]&gt;0,"1- Colhido","2- à Colher")</f>
        <v>1- Colhido</v>
      </c>
      <c r="V1331" s="1" t="str">
        <f>IF(ESTIMATIVA[[#This Row],[QT_AREA_REST1]]&gt;0,"Reestimativa 1",IF(ESTIMATIVA[[#This Row],[QT_AREA_REAL]]=0,"Reestimativa 1","Realizado"))</f>
        <v>Reestimativa 1</v>
      </c>
      <c r="W1331" s="1" t="str">
        <f>IF(ESTIMATIVA[[#This Row],[QT_AREA_REST2]]&gt;0,"Reestimativa 2",IF(ESTIMATIVA[[#This Row],[QT_AREA_REAL]]=0,"Reestimativa 2","Realizado"))</f>
        <v>Realizado</v>
      </c>
      <c r="X1331" s="1">
        <f>ESTIMATIVA[[#This Row],[QT_AREA_EST]]</f>
        <v>31.53</v>
      </c>
      <c r="Y1331" s="1">
        <f>IF(ESTIMATIVA[[#This Row],[QT_AREA_REST1]]&gt;0,ESTIMATIVA[[#This Row],[QT_AREA_REST1]],
  IF(ESTIMATIVA[[#This Row],[QT_AREA_REAL]]&gt;0,ESTIMATIVA[[#This Row],[QT_AREA_REAL]],ESTIMATIVA[[#This Row],[QT_AREA_EST]]))</f>
        <v>31.53</v>
      </c>
      <c r="Z133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31.53</v>
      </c>
      <c r="AA1331" s="1">
        <f>ESTIMATIVA[[#This Row],[QT_CANA_EST]]</f>
        <v>1576.5</v>
      </c>
      <c r="AB1331" s="1">
        <f>IF(ESTIMATIVA[[#This Row],[QT_CANA_REST1]]&gt;0,ESTIMATIVA[[#This Row],[QT_CANA_REST1]],
  IF(ESTIMATIVA[[#This Row],[QT_CANA_REAL]]&gt;0,ESTIMATIVA[[#This Row],[QT_CANA_REAL]],ESTIMATIVA[[#This Row],[QT_CANA_EST]]))</f>
        <v>630.6</v>
      </c>
      <c r="AC133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961.08</v>
      </c>
      <c r="AD1331" s="1">
        <f>IF(ESTIMATIVA[[#This Row],[QT_AREA_REAL]]&gt;0,ESTIMATIVA[[#This Row],[QT_CANA_REAL]],ESTIMATIVA[[#This Row],[QT_CANA_EST]])</f>
        <v>961.08</v>
      </c>
      <c r="AE1331" s="1">
        <f>IF(ESTIMATIVA[[#This Row],[QT_AREA_REAL]]&gt;0,ESTIMATIVA[[#This Row],[QT_CANA_REAL]],ESTIMATIVA[[#This Row],[QT_CANA_REST1]])</f>
        <v>961.08</v>
      </c>
      <c r="AF1331" s="1">
        <f>IF(ESTIMATIVA[[#This Row],[QT_AREA_REAL]]&gt;0,ESTIMATIVA[[#This Row],[QT_CANA_REAL]],ESTIMATIVA[[#This Row],[QT_CANA_REST2]])</f>
        <v>961.08</v>
      </c>
      <c r="AG1331" s="1" t="str">
        <f>IF(COUNTIFS(GEADA!A:A,VALUE(ESTIMATIVA[[#This Row],[CD_UPNIVEL1]]&amp;TEXT(ESTIMATIVA[[#This Row],[CD_UPNIVEL3]],"0000")))&gt;0,"S","N")</f>
        <v>S</v>
      </c>
      <c r="AH133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31" s="55" t="str">
        <f>IF(ESTIMATIVA[[#This Row],[TP_CULTIVO]]="Irrigado",_xlfn.MAXIFS(IRRIGADO!J:J,IRRIGADO!C:C,ESTIMATIVA[[#This Row],[CD_UPNIVEL1]],IRRIGADO!E:E,ESTIMATIVA[[#This Row],[CD_UPNIVEL3]]),"")</f>
        <v/>
      </c>
      <c r="AJ133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31" s="1">
        <f>COUNTIFS(Apresentação!$E$23:$E$29,ESTIMATIVA[[#This Row],[CD_UPNIVEL1]])</f>
        <v>0</v>
      </c>
    </row>
    <row r="1332" spans="1:37" x14ac:dyDescent="0.3">
      <c r="A1332">
        <v>20550</v>
      </c>
      <c r="B1332" t="s">
        <v>77</v>
      </c>
      <c r="C1332">
        <v>11</v>
      </c>
      <c r="D1332">
        <v>5</v>
      </c>
      <c r="E1332" t="s">
        <v>268</v>
      </c>
      <c r="F1332" s="85" t="s">
        <v>331</v>
      </c>
      <c r="G1332"/>
      <c r="H1332" t="s">
        <v>294</v>
      </c>
      <c r="I1332" t="s">
        <v>202</v>
      </c>
      <c r="J1332" t="s">
        <v>176</v>
      </c>
      <c r="K1332" s="1">
        <v>20.02</v>
      </c>
      <c r="L1332" s="1">
        <v>20.02</v>
      </c>
      <c r="M1332" s="1">
        <v>0</v>
      </c>
      <c r="N1332" s="1">
        <v>20.02</v>
      </c>
      <c r="O1332" s="1">
        <v>1001</v>
      </c>
      <c r="P1332" s="1">
        <v>400.4</v>
      </c>
      <c r="Q1332" s="1">
        <v>0</v>
      </c>
      <c r="R1332" s="1">
        <v>609.22</v>
      </c>
      <c r="S1332" t="s">
        <v>12</v>
      </c>
      <c r="T1332" s="13">
        <v>45858</v>
      </c>
      <c r="U1332" s="1" t="str">
        <f>IF(ESTIMATIVA[[#This Row],[QT_AREA_REAL]]&gt;0,"1- Colhido","2- à Colher")</f>
        <v>1- Colhido</v>
      </c>
      <c r="V1332" s="1" t="str">
        <f>IF(ESTIMATIVA[[#This Row],[QT_AREA_REST1]]&gt;0,"Reestimativa 1",IF(ESTIMATIVA[[#This Row],[QT_AREA_REAL]]=0,"Reestimativa 1","Realizado"))</f>
        <v>Reestimativa 1</v>
      </c>
      <c r="W1332" s="1" t="str">
        <f>IF(ESTIMATIVA[[#This Row],[QT_AREA_REST2]]&gt;0,"Reestimativa 2",IF(ESTIMATIVA[[#This Row],[QT_AREA_REAL]]=0,"Reestimativa 2","Realizado"))</f>
        <v>Realizado</v>
      </c>
      <c r="X1332" s="1">
        <f>ESTIMATIVA[[#This Row],[QT_AREA_EST]]</f>
        <v>20.02</v>
      </c>
      <c r="Y1332" s="1">
        <f>IF(ESTIMATIVA[[#This Row],[QT_AREA_REST1]]&gt;0,ESTIMATIVA[[#This Row],[QT_AREA_REST1]],
  IF(ESTIMATIVA[[#This Row],[QT_AREA_REAL]]&gt;0,ESTIMATIVA[[#This Row],[QT_AREA_REAL]],ESTIMATIVA[[#This Row],[QT_AREA_EST]]))</f>
        <v>20.02</v>
      </c>
      <c r="Z133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20.02</v>
      </c>
      <c r="AA1332" s="1">
        <f>ESTIMATIVA[[#This Row],[QT_CANA_EST]]</f>
        <v>1001</v>
      </c>
      <c r="AB1332" s="1">
        <f>IF(ESTIMATIVA[[#This Row],[QT_CANA_REST1]]&gt;0,ESTIMATIVA[[#This Row],[QT_CANA_REST1]],
  IF(ESTIMATIVA[[#This Row],[QT_CANA_REAL]]&gt;0,ESTIMATIVA[[#This Row],[QT_CANA_REAL]],ESTIMATIVA[[#This Row],[QT_CANA_EST]]))</f>
        <v>400.4</v>
      </c>
      <c r="AC133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609.22</v>
      </c>
      <c r="AD1332" s="1">
        <f>IF(ESTIMATIVA[[#This Row],[QT_AREA_REAL]]&gt;0,ESTIMATIVA[[#This Row],[QT_CANA_REAL]],ESTIMATIVA[[#This Row],[QT_CANA_EST]])</f>
        <v>609.22</v>
      </c>
      <c r="AE1332" s="1">
        <f>IF(ESTIMATIVA[[#This Row],[QT_AREA_REAL]]&gt;0,ESTIMATIVA[[#This Row],[QT_CANA_REAL]],ESTIMATIVA[[#This Row],[QT_CANA_REST1]])</f>
        <v>609.22</v>
      </c>
      <c r="AF1332" s="1">
        <f>IF(ESTIMATIVA[[#This Row],[QT_AREA_REAL]]&gt;0,ESTIMATIVA[[#This Row],[QT_CANA_REAL]],ESTIMATIVA[[#This Row],[QT_CANA_REST2]])</f>
        <v>609.22</v>
      </c>
      <c r="AG1332" s="1" t="str">
        <f>IF(COUNTIFS(GEADA!A:A,VALUE(ESTIMATIVA[[#This Row],[CD_UPNIVEL1]]&amp;TEXT(ESTIMATIVA[[#This Row],[CD_UPNIVEL3]],"0000")))&gt;0,"S","N")</f>
        <v>S</v>
      </c>
      <c r="AH133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32" s="55" t="str">
        <f>IF(ESTIMATIVA[[#This Row],[TP_CULTIVO]]="Irrigado",_xlfn.MAXIFS(IRRIGADO!J:J,IRRIGADO!C:C,ESTIMATIVA[[#This Row],[CD_UPNIVEL1]],IRRIGADO!E:E,ESTIMATIVA[[#This Row],[CD_UPNIVEL3]]),"")</f>
        <v/>
      </c>
      <c r="AJ133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32" s="1">
        <f>COUNTIFS(Apresentação!$E$23:$E$29,ESTIMATIVA[[#This Row],[CD_UPNIVEL1]])</f>
        <v>0</v>
      </c>
    </row>
    <row r="1333" spans="1:37" x14ac:dyDescent="0.3">
      <c r="A1333">
        <v>20550</v>
      </c>
      <c r="B1333" t="s">
        <v>77</v>
      </c>
      <c r="C1333">
        <v>12</v>
      </c>
      <c r="D1333">
        <v>5</v>
      </c>
      <c r="E1333" t="s">
        <v>268</v>
      </c>
      <c r="F1333" s="85" t="s">
        <v>331</v>
      </c>
      <c r="G1333"/>
      <c r="H1333" t="s">
        <v>294</v>
      </c>
      <c r="I1333" t="s">
        <v>202</v>
      </c>
      <c r="J1333" t="s">
        <v>176</v>
      </c>
      <c r="K1333" s="1">
        <v>46.46</v>
      </c>
      <c r="L1333" s="1">
        <v>46.46</v>
      </c>
      <c r="M1333" s="1">
        <v>0</v>
      </c>
      <c r="N1333" s="1">
        <v>46.46</v>
      </c>
      <c r="O1333" s="1">
        <v>2323</v>
      </c>
      <c r="P1333" s="1">
        <v>929.2</v>
      </c>
      <c r="Q1333" s="1">
        <v>0</v>
      </c>
      <c r="R1333" s="1">
        <v>1415.01</v>
      </c>
      <c r="S1333" t="s">
        <v>12</v>
      </c>
      <c r="T1333" s="13">
        <v>45858</v>
      </c>
      <c r="U1333" s="1" t="str">
        <f>IF(ESTIMATIVA[[#This Row],[QT_AREA_REAL]]&gt;0,"1- Colhido","2- à Colher")</f>
        <v>1- Colhido</v>
      </c>
      <c r="V1333" s="1" t="str">
        <f>IF(ESTIMATIVA[[#This Row],[QT_AREA_REST1]]&gt;0,"Reestimativa 1",IF(ESTIMATIVA[[#This Row],[QT_AREA_REAL]]=0,"Reestimativa 1","Realizado"))</f>
        <v>Reestimativa 1</v>
      </c>
      <c r="W1333" s="1" t="str">
        <f>IF(ESTIMATIVA[[#This Row],[QT_AREA_REST2]]&gt;0,"Reestimativa 2",IF(ESTIMATIVA[[#This Row],[QT_AREA_REAL]]=0,"Reestimativa 2","Realizado"))</f>
        <v>Realizado</v>
      </c>
      <c r="X1333" s="1">
        <f>ESTIMATIVA[[#This Row],[QT_AREA_EST]]</f>
        <v>46.46</v>
      </c>
      <c r="Y1333" s="1">
        <f>IF(ESTIMATIVA[[#This Row],[QT_AREA_REST1]]&gt;0,ESTIMATIVA[[#This Row],[QT_AREA_REST1]],
  IF(ESTIMATIVA[[#This Row],[QT_AREA_REAL]]&gt;0,ESTIMATIVA[[#This Row],[QT_AREA_REAL]],ESTIMATIVA[[#This Row],[QT_AREA_EST]]))</f>
        <v>46.46</v>
      </c>
      <c r="Z133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46.46</v>
      </c>
      <c r="AA1333" s="1">
        <f>ESTIMATIVA[[#This Row],[QT_CANA_EST]]</f>
        <v>2323</v>
      </c>
      <c r="AB1333" s="1">
        <f>IF(ESTIMATIVA[[#This Row],[QT_CANA_REST1]]&gt;0,ESTIMATIVA[[#This Row],[QT_CANA_REST1]],
  IF(ESTIMATIVA[[#This Row],[QT_CANA_REAL]]&gt;0,ESTIMATIVA[[#This Row],[QT_CANA_REAL]],ESTIMATIVA[[#This Row],[QT_CANA_EST]]))</f>
        <v>929.2</v>
      </c>
      <c r="AC133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1415.01</v>
      </c>
      <c r="AD1333" s="1">
        <f>IF(ESTIMATIVA[[#This Row],[QT_AREA_REAL]]&gt;0,ESTIMATIVA[[#This Row],[QT_CANA_REAL]],ESTIMATIVA[[#This Row],[QT_CANA_EST]])</f>
        <v>1415.01</v>
      </c>
      <c r="AE1333" s="1">
        <f>IF(ESTIMATIVA[[#This Row],[QT_AREA_REAL]]&gt;0,ESTIMATIVA[[#This Row],[QT_CANA_REAL]],ESTIMATIVA[[#This Row],[QT_CANA_REST1]])</f>
        <v>1415.01</v>
      </c>
      <c r="AF1333" s="1">
        <f>IF(ESTIMATIVA[[#This Row],[QT_AREA_REAL]]&gt;0,ESTIMATIVA[[#This Row],[QT_CANA_REAL]],ESTIMATIVA[[#This Row],[QT_CANA_REST2]])</f>
        <v>1415.01</v>
      </c>
      <c r="AG1333" s="1" t="str">
        <f>IF(COUNTIFS(GEADA!A:A,VALUE(ESTIMATIVA[[#This Row],[CD_UPNIVEL1]]&amp;TEXT(ESTIMATIVA[[#This Row],[CD_UPNIVEL3]],"0000")))&gt;0,"S","N")</f>
        <v>S</v>
      </c>
      <c r="AH133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33" s="55" t="str">
        <f>IF(ESTIMATIVA[[#This Row],[TP_CULTIVO]]="Irrigado",_xlfn.MAXIFS(IRRIGADO!J:J,IRRIGADO!C:C,ESTIMATIVA[[#This Row],[CD_UPNIVEL1]],IRRIGADO!E:E,ESTIMATIVA[[#This Row],[CD_UPNIVEL3]]),"")</f>
        <v/>
      </c>
      <c r="AJ133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33" s="1">
        <f>COUNTIFS(Apresentação!$E$23:$E$29,ESTIMATIVA[[#This Row],[CD_UPNIVEL1]])</f>
        <v>0</v>
      </c>
    </row>
    <row r="1334" spans="1:37" x14ac:dyDescent="0.3">
      <c r="A1334">
        <v>20550</v>
      </c>
      <c r="B1334" t="s">
        <v>77</v>
      </c>
      <c r="C1334">
        <v>13</v>
      </c>
      <c r="D1334">
        <v>5</v>
      </c>
      <c r="E1334" t="s">
        <v>268</v>
      </c>
      <c r="F1334" s="85" t="s">
        <v>333</v>
      </c>
      <c r="G1334"/>
      <c r="H1334" t="s">
        <v>294</v>
      </c>
      <c r="I1334" t="s">
        <v>202</v>
      </c>
      <c r="J1334" t="s">
        <v>176</v>
      </c>
      <c r="K1334" s="1">
        <v>2.97</v>
      </c>
      <c r="L1334" s="1">
        <v>2.97</v>
      </c>
      <c r="M1334" s="1">
        <v>0</v>
      </c>
      <c r="N1334" s="1">
        <v>2.97</v>
      </c>
      <c r="O1334" s="1">
        <v>148.5</v>
      </c>
      <c r="P1334" s="1">
        <v>59.4</v>
      </c>
      <c r="Q1334" s="1">
        <v>0</v>
      </c>
      <c r="R1334" s="1">
        <v>89.79</v>
      </c>
      <c r="S1334" t="s">
        <v>12</v>
      </c>
      <c r="T1334" s="13">
        <v>45858</v>
      </c>
      <c r="U1334" s="1" t="str">
        <f>IF(ESTIMATIVA[[#This Row],[QT_AREA_REAL]]&gt;0,"1- Colhido","2- à Colher")</f>
        <v>1- Colhido</v>
      </c>
      <c r="V1334" s="1" t="str">
        <f>IF(ESTIMATIVA[[#This Row],[QT_AREA_REST1]]&gt;0,"Reestimativa 1",IF(ESTIMATIVA[[#This Row],[QT_AREA_REAL]]=0,"Reestimativa 1","Realizado"))</f>
        <v>Reestimativa 1</v>
      </c>
      <c r="W1334" s="1" t="str">
        <f>IF(ESTIMATIVA[[#This Row],[QT_AREA_REST2]]&gt;0,"Reestimativa 2",IF(ESTIMATIVA[[#This Row],[QT_AREA_REAL]]=0,"Reestimativa 2","Realizado"))</f>
        <v>Realizado</v>
      </c>
      <c r="X1334" s="1">
        <f>ESTIMATIVA[[#This Row],[QT_AREA_EST]]</f>
        <v>2.97</v>
      </c>
      <c r="Y1334" s="1">
        <f>IF(ESTIMATIVA[[#This Row],[QT_AREA_REST1]]&gt;0,ESTIMATIVA[[#This Row],[QT_AREA_REST1]],
  IF(ESTIMATIVA[[#This Row],[QT_AREA_REAL]]&gt;0,ESTIMATIVA[[#This Row],[QT_AREA_REAL]],ESTIMATIVA[[#This Row],[QT_AREA_EST]]))</f>
        <v>2.97</v>
      </c>
      <c r="Z133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2.97</v>
      </c>
      <c r="AA1334" s="1">
        <f>ESTIMATIVA[[#This Row],[QT_CANA_EST]]</f>
        <v>148.5</v>
      </c>
      <c r="AB1334" s="1">
        <f>IF(ESTIMATIVA[[#This Row],[QT_CANA_REST1]]&gt;0,ESTIMATIVA[[#This Row],[QT_CANA_REST1]],
  IF(ESTIMATIVA[[#This Row],[QT_CANA_REAL]]&gt;0,ESTIMATIVA[[#This Row],[QT_CANA_REAL]],ESTIMATIVA[[#This Row],[QT_CANA_EST]]))</f>
        <v>59.4</v>
      </c>
      <c r="AC133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89.79</v>
      </c>
      <c r="AD1334" s="1">
        <f>IF(ESTIMATIVA[[#This Row],[QT_AREA_REAL]]&gt;0,ESTIMATIVA[[#This Row],[QT_CANA_REAL]],ESTIMATIVA[[#This Row],[QT_CANA_EST]])</f>
        <v>89.79</v>
      </c>
      <c r="AE1334" s="1">
        <f>IF(ESTIMATIVA[[#This Row],[QT_AREA_REAL]]&gt;0,ESTIMATIVA[[#This Row],[QT_CANA_REAL]],ESTIMATIVA[[#This Row],[QT_CANA_REST1]])</f>
        <v>89.79</v>
      </c>
      <c r="AF1334" s="1">
        <f>IF(ESTIMATIVA[[#This Row],[QT_AREA_REAL]]&gt;0,ESTIMATIVA[[#This Row],[QT_CANA_REAL]],ESTIMATIVA[[#This Row],[QT_CANA_REST2]])</f>
        <v>89.79</v>
      </c>
      <c r="AG1334" s="1" t="str">
        <f>IF(COUNTIFS(GEADA!A:A,VALUE(ESTIMATIVA[[#This Row],[CD_UPNIVEL1]]&amp;TEXT(ESTIMATIVA[[#This Row],[CD_UPNIVEL3]],"0000")))&gt;0,"S","N")</f>
        <v>S</v>
      </c>
      <c r="AH133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34" s="55" t="str">
        <f>IF(ESTIMATIVA[[#This Row],[TP_CULTIVO]]="Irrigado",_xlfn.MAXIFS(IRRIGADO!J:J,IRRIGADO!C:C,ESTIMATIVA[[#This Row],[CD_UPNIVEL1]],IRRIGADO!E:E,ESTIMATIVA[[#This Row],[CD_UPNIVEL3]]),"")</f>
        <v/>
      </c>
      <c r="AJ133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34" s="1">
        <f>COUNTIFS(Apresentação!$E$23:$E$29,ESTIMATIVA[[#This Row],[CD_UPNIVEL1]])</f>
        <v>0</v>
      </c>
    </row>
    <row r="1335" spans="1:37" x14ac:dyDescent="0.3">
      <c r="A1335">
        <v>20550</v>
      </c>
      <c r="B1335" t="s">
        <v>77</v>
      </c>
      <c r="C1335">
        <v>14</v>
      </c>
      <c r="D1335">
        <v>5</v>
      </c>
      <c r="E1335" t="s">
        <v>268</v>
      </c>
      <c r="F1335" s="85" t="s">
        <v>331</v>
      </c>
      <c r="G1335"/>
      <c r="H1335" t="s">
        <v>294</v>
      </c>
      <c r="I1335" t="s">
        <v>202</v>
      </c>
      <c r="J1335" t="s">
        <v>176</v>
      </c>
      <c r="K1335" s="1">
        <v>34.64</v>
      </c>
      <c r="L1335" s="1">
        <v>34.64</v>
      </c>
      <c r="M1335" s="1">
        <v>0</v>
      </c>
      <c r="N1335" s="1">
        <v>34.64</v>
      </c>
      <c r="O1335" s="1">
        <v>1732</v>
      </c>
      <c r="P1335" s="1">
        <v>692.8</v>
      </c>
      <c r="Q1335" s="1">
        <v>0</v>
      </c>
      <c r="R1335" s="1">
        <v>898.75</v>
      </c>
      <c r="S1335" t="s">
        <v>12</v>
      </c>
      <c r="T1335" s="13">
        <v>45872</v>
      </c>
      <c r="U1335" s="1" t="str">
        <f>IF(ESTIMATIVA[[#This Row],[QT_AREA_REAL]]&gt;0,"1- Colhido","2- à Colher")</f>
        <v>1- Colhido</v>
      </c>
      <c r="V1335" s="1" t="str">
        <f>IF(ESTIMATIVA[[#This Row],[QT_AREA_REST1]]&gt;0,"Reestimativa 1",IF(ESTIMATIVA[[#This Row],[QT_AREA_REAL]]=0,"Reestimativa 1","Realizado"))</f>
        <v>Reestimativa 1</v>
      </c>
      <c r="W1335" s="1" t="str">
        <f>IF(ESTIMATIVA[[#This Row],[QT_AREA_REST2]]&gt;0,"Reestimativa 2",IF(ESTIMATIVA[[#This Row],[QT_AREA_REAL]]=0,"Reestimativa 2","Realizado"))</f>
        <v>Realizado</v>
      </c>
      <c r="X1335" s="1">
        <f>ESTIMATIVA[[#This Row],[QT_AREA_EST]]</f>
        <v>34.64</v>
      </c>
      <c r="Y1335" s="1">
        <f>IF(ESTIMATIVA[[#This Row],[QT_AREA_REST1]]&gt;0,ESTIMATIVA[[#This Row],[QT_AREA_REST1]],
  IF(ESTIMATIVA[[#This Row],[QT_AREA_REAL]]&gt;0,ESTIMATIVA[[#This Row],[QT_AREA_REAL]],ESTIMATIVA[[#This Row],[QT_AREA_EST]]))</f>
        <v>34.64</v>
      </c>
      <c r="Z133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34.64</v>
      </c>
      <c r="AA1335" s="1">
        <f>ESTIMATIVA[[#This Row],[QT_CANA_EST]]</f>
        <v>1732</v>
      </c>
      <c r="AB1335" s="1">
        <f>IF(ESTIMATIVA[[#This Row],[QT_CANA_REST1]]&gt;0,ESTIMATIVA[[#This Row],[QT_CANA_REST1]],
  IF(ESTIMATIVA[[#This Row],[QT_CANA_REAL]]&gt;0,ESTIMATIVA[[#This Row],[QT_CANA_REAL]],ESTIMATIVA[[#This Row],[QT_CANA_EST]]))</f>
        <v>692.8</v>
      </c>
      <c r="AC133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898.75</v>
      </c>
      <c r="AD1335" s="1">
        <f>IF(ESTIMATIVA[[#This Row],[QT_AREA_REAL]]&gt;0,ESTIMATIVA[[#This Row],[QT_CANA_REAL]],ESTIMATIVA[[#This Row],[QT_CANA_EST]])</f>
        <v>898.75</v>
      </c>
      <c r="AE1335" s="1">
        <f>IF(ESTIMATIVA[[#This Row],[QT_AREA_REAL]]&gt;0,ESTIMATIVA[[#This Row],[QT_CANA_REAL]],ESTIMATIVA[[#This Row],[QT_CANA_REST1]])</f>
        <v>898.75</v>
      </c>
      <c r="AF1335" s="1">
        <f>IF(ESTIMATIVA[[#This Row],[QT_AREA_REAL]]&gt;0,ESTIMATIVA[[#This Row],[QT_CANA_REAL]],ESTIMATIVA[[#This Row],[QT_CANA_REST2]])</f>
        <v>898.75</v>
      </c>
      <c r="AG1335" s="1" t="str">
        <f>IF(COUNTIFS(GEADA!A:A,VALUE(ESTIMATIVA[[#This Row],[CD_UPNIVEL1]]&amp;TEXT(ESTIMATIVA[[#This Row],[CD_UPNIVEL3]],"0000")))&gt;0,"S","N")</f>
        <v>S</v>
      </c>
      <c r="AH133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35" s="55" t="str">
        <f>IF(ESTIMATIVA[[#This Row],[TP_CULTIVO]]="Irrigado",_xlfn.MAXIFS(IRRIGADO!J:J,IRRIGADO!C:C,ESTIMATIVA[[#This Row],[CD_UPNIVEL1]],IRRIGADO!E:E,ESTIMATIVA[[#This Row],[CD_UPNIVEL3]]),"")</f>
        <v/>
      </c>
      <c r="AJ133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35" s="1">
        <f>COUNTIFS(Apresentação!$E$23:$E$29,ESTIMATIVA[[#This Row],[CD_UPNIVEL1]])</f>
        <v>0</v>
      </c>
    </row>
    <row r="1336" spans="1:37" x14ac:dyDescent="0.3">
      <c r="A1336">
        <v>20550</v>
      </c>
      <c r="B1336" t="s">
        <v>77</v>
      </c>
      <c r="C1336">
        <v>15</v>
      </c>
      <c r="D1336">
        <v>5</v>
      </c>
      <c r="E1336" t="s">
        <v>268</v>
      </c>
      <c r="F1336" s="85" t="s">
        <v>331</v>
      </c>
      <c r="G1336"/>
      <c r="H1336" t="s">
        <v>294</v>
      </c>
      <c r="I1336" t="s">
        <v>202</v>
      </c>
      <c r="J1336" t="s">
        <v>176</v>
      </c>
      <c r="K1336" s="1">
        <v>34.06</v>
      </c>
      <c r="L1336" s="1">
        <v>34.06</v>
      </c>
      <c r="M1336" s="1">
        <v>0</v>
      </c>
      <c r="N1336" s="1">
        <v>34.06</v>
      </c>
      <c r="O1336" s="1">
        <v>1703</v>
      </c>
      <c r="P1336" s="1">
        <v>1703</v>
      </c>
      <c r="Q1336" s="1">
        <v>0</v>
      </c>
      <c r="R1336" s="1">
        <v>1788.86</v>
      </c>
      <c r="S1336" t="s">
        <v>12</v>
      </c>
      <c r="T1336" s="13">
        <v>45872</v>
      </c>
      <c r="U1336" s="1" t="str">
        <f>IF(ESTIMATIVA[[#This Row],[QT_AREA_REAL]]&gt;0,"1- Colhido","2- à Colher")</f>
        <v>1- Colhido</v>
      </c>
      <c r="V1336" s="1" t="str">
        <f>IF(ESTIMATIVA[[#This Row],[QT_AREA_REST1]]&gt;0,"Reestimativa 1",IF(ESTIMATIVA[[#This Row],[QT_AREA_REAL]]=0,"Reestimativa 1","Realizado"))</f>
        <v>Reestimativa 1</v>
      </c>
      <c r="W1336" s="1" t="str">
        <f>IF(ESTIMATIVA[[#This Row],[QT_AREA_REST2]]&gt;0,"Reestimativa 2",IF(ESTIMATIVA[[#This Row],[QT_AREA_REAL]]=0,"Reestimativa 2","Realizado"))</f>
        <v>Realizado</v>
      </c>
      <c r="X1336" s="1">
        <f>ESTIMATIVA[[#This Row],[QT_AREA_EST]]</f>
        <v>34.06</v>
      </c>
      <c r="Y1336" s="1">
        <f>IF(ESTIMATIVA[[#This Row],[QT_AREA_REST1]]&gt;0,ESTIMATIVA[[#This Row],[QT_AREA_REST1]],
  IF(ESTIMATIVA[[#This Row],[QT_AREA_REAL]]&gt;0,ESTIMATIVA[[#This Row],[QT_AREA_REAL]],ESTIMATIVA[[#This Row],[QT_AREA_EST]]))</f>
        <v>34.06</v>
      </c>
      <c r="Z133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34.06</v>
      </c>
      <c r="AA1336" s="1">
        <f>ESTIMATIVA[[#This Row],[QT_CANA_EST]]</f>
        <v>1703</v>
      </c>
      <c r="AB1336" s="1">
        <f>IF(ESTIMATIVA[[#This Row],[QT_CANA_REST1]]&gt;0,ESTIMATIVA[[#This Row],[QT_CANA_REST1]],
  IF(ESTIMATIVA[[#This Row],[QT_CANA_REAL]]&gt;0,ESTIMATIVA[[#This Row],[QT_CANA_REAL]],ESTIMATIVA[[#This Row],[QT_CANA_EST]]))</f>
        <v>1703</v>
      </c>
      <c r="AC133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1788.86</v>
      </c>
      <c r="AD1336" s="1">
        <f>IF(ESTIMATIVA[[#This Row],[QT_AREA_REAL]]&gt;0,ESTIMATIVA[[#This Row],[QT_CANA_REAL]],ESTIMATIVA[[#This Row],[QT_CANA_EST]])</f>
        <v>1788.86</v>
      </c>
      <c r="AE1336" s="1">
        <f>IF(ESTIMATIVA[[#This Row],[QT_AREA_REAL]]&gt;0,ESTIMATIVA[[#This Row],[QT_CANA_REAL]],ESTIMATIVA[[#This Row],[QT_CANA_REST1]])</f>
        <v>1788.86</v>
      </c>
      <c r="AF1336" s="1">
        <f>IF(ESTIMATIVA[[#This Row],[QT_AREA_REAL]]&gt;0,ESTIMATIVA[[#This Row],[QT_CANA_REAL]],ESTIMATIVA[[#This Row],[QT_CANA_REST2]])</f>
        <v>1788.86</v>
      </c>
      <c r="AG1336" s="1" t="str">
        <f>IF(COUNTIFS(GEADA!A:A,VALUE(ESTIMATIVA[[#This Row],[CD_UPNIVEL1]]&amp;TEXT(ESTIMATIVA[[#This Row],[CD_UPNIVEL3]],"0000")))&gt;0,"S","N")</f>
        <v>N</v>
      </c>
      <c r="AH133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36" s="55" t="str">
        <f>IF(ESTIMATIVA[[#This Row],[TP_CULTIVO]]="Irrigado",_xlfn.MAXIFS(IRRIGADO!J:J,IRRIGADO!C:C,ESTIMATIVA[[#This Row],[CD_UPNIVEL1]],IRRIGADO!E:E,ESTIMATIVA[[#This Row],[CD_UPNIVEL3]]),"")</f>
        <v/>
      </c>
      <c r="AJ133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36" s="1">
        <f>COUNTIFS(Apresentação!$E$23:$E$29,ESTIMATIVA[[#This Row],[CD_UPNIVEL1]])</f>
        <v>0</v>
      </c>
    </row>
    <row r="1337" spans="1:37" x14ac:dyDescent="0.3">
      <c r="A1337">
        <v>20550</v>
      </c>
      <c r="B1337" t="s">
        <v>77</v>
      </c>
      <c r="C1337">
        <v>16</v>
      </c>
      <c r="D1337">
        <v>5</v>
      </c>
      <c r="E1337" t="s">
        <v>268</v>
      </c>
      <c r="F1337" s="85" t="s">
        <v>333</v>
      </c>
      <c r="G1337"/>
      <c r="H1337" t="s">
        <v>294</v>
      </c>
      <c r="I1337" t="s">
        <v>202</v>
      </c>
      <c r="J1337" t="s">
        <v>176</v>
      </c>
      <c r="K1337" s="1">
        <v>29.39</v>
      </c>
      <c r="L1337" s="1">
        <v>29.39</v>
      </c>
      <c r="M1337" s="1">
        <v>29.39</v>
      </c>
      <c r="N1337" s="1">
        <v>29.39</v>
      </c>
      <c r="O1337" s="1">
        <v>1469.5</v>
      </c>
      <c r="P1337" s="1">
        <v>1469.5</v>
      </c>
      <c r="Q1337" s="1">
        <v>1469.5</v>
      </c>
      <c r="R1337" s="1">
        <v>1162.55</v>
      </c>
      <c r="S1337" t="s">
        <v>12</v>
      </c>
      <c r="T1337" s="13">
        <v>45956</v>
      </c>
      <c r="U1337" s="1" t="str">
        <f>IF(ESTIMATIVA[[#This Row],[QT_AREA_REAL]]&gt;0,"1- Colhido","2- à Colher")</f>
        <v>1- Colhido</v>
      </c>
      <c r="V1337" s="1" t="str">
        <f>IF(ESTIMATIVA[[#This Row],[QT_AREA_REST1]]&gt;0,"Reestimativa 1",IF(ESTIMATIVA[[#This Row],[QT_AREA_REAL]]=0,"Reestimativa 1","Realizado"))</f>
        <v>Reestimativa 1</v>
      </c>
      <c r="W1337" s="1" t="str">
        <f>IF(ESTIMATIVA[[#This Row],[QT_AREA_REST2]]&gt;0,"Reestimativa 2",IF(ESTIMATIVA[[#This Row],[QT_AREA_REAL]]=0,"Reestimativa 2","Realizado"))</f>
        <v>Reestimativa 2</v>
      </c>
      <c r="X1337" s="1">
        <f>ESTIMATIVA[[#This Row],[QT_AREA_EST]]</f>
        <v>29.39</v>
      </c>
      <c r="Y1337" s="1">
        <f>IF(ESTIMATIVA[[#This Row],[QT_AREA_REST1]]&gt;0,ESTIMATIVA[[#This Row],[QT_AREA_REST1]],
  IF(ESTIMATIVA[[#This Row],[QT_AREA_REAL]]&gt;0,ESTIMATIVA[[#This Row],[QT_AREA_REAL]],ESTIMATIVA[[#This Row],[QT_AREA_EST]]))</f>
        <v>29.39</v>
      </c>
      <c r="Z133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29.39</v>
      </c>
      <c r="AA1337" s="1">
        <f>ESTIMATIVA[[#This Row],[QT_CANA_EST]]</f>
        <v>1469.5</v>
      </c>
      <c r="AB1337" s="1">
        <f>IF(ESTIMATIVA[[#This Row],[QT_CANA_REST1]]&gt;0,ESTIMATIVA[[#This Row],[QT_CANA_REST1]],
  IF(ESTIMATIVA[[#This Row],[QT_CANA_REAL]]&gt;0,ESTIMATIVA[[#This Row],[QT_CANA_REAL]],ESTIMATIVA[[#This Row],[QT_CANA_EST]]))</f>
        <v>1469.5</v>
      </c>
      <c r="AC133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1469.5</v>
      </c>
      <c r="AD1337" s="1">
        <f>IF(ESTIMATIVA[[#This Row],[QT_AREA_REAL]]&gt;0,ESTIMATIVA[[#This Row],[QT_CANA_REAL]],ESTIMATIVA[[#This Row],[QT_CANA_EST]])</f>
        <v>1162.55</v>
      </c>
      <c r="AE1337" s="1">
        <f>IF(ESTIMATIVA[[#This Row],[QT_AREA_REAL]]&gt;0,ESTIMATIVA[[#This Row],[QT_CANA_REAL]],ESTIMATIVA[[#This Row],[QT_CANA_REST1]])</f>
        <v>1162.55</v>
      </c>
      <c r="AF1337" s="1">
        <f>IF(ESTIMATIVA[[#This Row],[QT_AREA_REAL]]&gt;0,ESTIMATIVA[[#This Row],[QT_CANA_REAL]],ESTIMATIVA[[#This Row],[QT_CANA_REST2]])</f>
        <v>1162.55</v>
      </c>
      <c r="AG1337" s="1" t="str">
        <f>IF(COUNTIFS(GEADA!A:A,VALUE(ESTIMATIVA[[#This Row],[CD_UPNIVEL1]]&amp;TEXT(ESTIMATIVA[[#This Row],[CD_UPNIVEL3]],"0000")))&gt;0,"S","N")</f>
        <v>N</v>
      </c>
      <c r="AH133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37" s="55" t="str">
        <f>IF(ESTIMATIVA[[#This Row],[TP_CULTIVO]]="Irrigado",_xlfn.MAXIFS(IRRIGADO!J:J,IRRIGADO!C:C,ESTIMATIVA[[#This Row],[CD_UPNIVEL1]],IRRIGADO!E:E,ESTIMATIVA[[#This Row],[CD_UPNIVEL3]]),"")</f>
        <v/>
      </c>
      <c r="AJ133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37" s="1">
        <f>COUNTIFS(Apresentação!$E$23:$E$29,ESTIMATIVA[[#This Row],[CD_UPNIVEL1]])</f>
        <v>0</v>
      </c>
    </row>
    <row r="1338" spans="1:37" x14ac:dyDescent="0.3">
      <c r="A1338">
        <v>20550</v>
      </c>
      <c r="B1338" t="s">
        <v>77</v>
      </c>
      <c r="C1338">
        <v>17</v>
      </c>
      <c r="D1338">
        <v>5</v>
      </c>
      <c r="E1338" t="s">
        <v>268</v>
      </c>
      <c r="F1338" s="85" t="s">
        <v>331</v>
      </c>
      <c r="G1338"/>
      <c r="H1338" t="s">
        <v>294</v>
      </c>
      <c r="I1338" t="s">
        <v>202</v>
      </c>
      <c r="J1338" t="s">
        <v>176</v>
      </c>
      <c r="K1338" s="1">
        <v>44.97</v>
      </c>
      <c r="L1338" s="1">
        <v>44.97</v>
      </c>
      <c r="M1338" s="1">
        <v>44.97</v>
      </c>
      <c r="N1338" s="1">
        <v>44.97</v>
      </c>
      <c r="O1338" s="1">
        <v>2248.5</v>
      </c>
      <c r="P1338" s="1">
        <v>2248.5</v>
      </c>
      <c r="Q1338" s="1">
        <v>2248.5</v>
      </c>
      <c r="R1338" s="1">
        <v>1778.67</v>
      </c>
      <c r="S1338" t="s">
        <v>12</v>
      </c>
      <c r="T1338" s="13">
        <v>45956</v>
      </c>
      <c r="U1338" s="1" t="str">
        <f>IF(ESTIMATIVA[[#This Row],[QT_AREA_REAL]]&gt;0,"1- Colhido","2- à Colher")</f>
        <v>1- Colhido</v>
      </c>
      <c r="V1338" s="1" t="str">
        <f>IF(ESTIMATIVA[[#This Row],[QT_AREA_REST1]]&gt;0,"Reestimativa 1",IF(ESTIMATIVA[[#This Row],[QT_AREA_REAL]]=0,"Reestimativa 1","Realizado"))</f>
        <v>Reestimativa 1</v>
      </c>
      <c r="W1338" s="1" t="str">
        <f>IF(ESTIMATIVA[[#This Row],[QT_AREA_REST2]]&gt;0,"Reestimativa 2",IF(ESTIMATIVA[[#This Row],[QT_AREA_REAL]]=0,"Reestimativa 2","Realizado"))</f>
        <v>Reestimativa 2</v>
      </c>
      <c r="X1338" s="1">
        <f>ESTIMATIVA[[#This Row],[QT_AREA_EST]]</f>
        <v>44.97</v>
      </c>
      <c r="Y1338" s="1">
        <f>IF(ESTIMATIVA[[#This Row],[QT_AREA_REST1]]&gt;0,ESTIMATIVA[[#This Row],[QT_AREA_REST1]],
  IF(ESTIMATIVA[[#This Row],[QT_AREA_REAL]]&gt;0,ESTIMATIVA[[#This Row],[QT_AREA_REAL]],ESTIMATIVA[[#This Row],[QT_AREA_EST]]))</f>
        <v>44.97</v>
      </c>
      <c r="Z133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44.97</v>
      </c>
      <c r="AA1338" s="1">
        <f>ESTIMATIVA[[#This Row],[QT_CANA_EST]]</f>
        <v>2248.5</v>
      </c>
      <c r="AB1338" s="1">
        <f>IF(ESTIMATIVA[[#This Row],[QT_CANA_REST1]]&gt;0,ESTIMATIVA[[#This Row],[QT_CANA_REST1]],
  IF(ESTIMATIVA[[#This Row],[QT_CANA_REAL]]&gt;0,ESTIMATIVA[[#This Row],[QT_CANA_REAL]],ESTIMATIVA[[#This Row],[QT_CANA_EST]]))</f>
        <v>2248.5</v>
      </c>
      <c r="AC133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2248.5</v>
      </c>
      <c r="AD1338" s="1">
        <f>IF(ESTIMATIVA[[#This Row],[QT_AREA_REAL]]&gt;0,ESTIMATIVA[[#This Row],[QT_CANA_REAL]],ESTIMATIVA[[#This Row],[QT_CANA_EST]])</f>
        <v>1778.67</v>
      </c>
      <c r="AE1338" s="1">
        <f>IF(ESTIMATIVA[[#This Row],[QT_AREA_REAL]]&gt;0,ESTIMATIVA[[#This Row],[QT_CANA_REAL]],ESTIMATIVA[[#This Row],[QT_CANA_REST1]])</f>
        <v>1778.67</v>
      </c>
      <c r="AF1338" s="1">
        <f>IF(ESTIMATIVA[[#This Row],[QT_AREA_REAL]]&gt;0,ESTIMATIVA[[#This Row],[QT_CANA_REAL]],ESTIMATIVA[[#This Row],[QT_CANA_REST2]])</f>
        <v>1778.67</v>
      </c>
      <c r="AG1338" s="1" t="str">
        <f>IF(COUNTIFS(GEADA!A:A,VALUE(ESTIMATIVA[[#This Row],[CD_UPNIVEL1]]&amp;TEXT(ESTIMATIVA[[#This Row],[CD_UPNIVEL3]],"0000")))&gt;0,"S","N")</f>
        <v>N</v>
      </c>
      <c r="AH133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38" s="55" t="str">
        <f>IF(ESTIMATIVA[[#This Row],[TP_CULTIVO]]="Irrigado",_xlfn.MAXIFS(IRRIGADO!J:J,IRRIGADO!C:C,ESTIMATIVA[[#This Row],[CD_UPNIVEL1]],IRRIGADO!E:E,ESTIMATIVA[[#This Row],[CD_UPNIVEL3]]),"")</f>
        <v/>
      </c>
      <c r="AJ133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38" s="1">
        <f>COUNTIFS(Apresentação!$E$23:$E$29,ESTIMATIVA[[#This Row],[CD_UPNIVEL1]])</f>
        <v>0</v>
      </c>
    </row>
    <row r="1339" spans="1:37" x14ac:dyDescent="0.3">
      <c r="A1339">
        <v>20550</v>
      </c>
      <c r="B1339" t="s">
        <v>77</v>
      </c>
      <c r="C1339">
        <v>18</v>
      </c>
      <c r="D1339">
        <v>5</v>
      </c>
      <c r="E1339" t="s">
        <v>268</v>
      </c>
      <c r="F1339" s="85" t="s">
        <v>331</v>
      </c>
      <c r="G1339"/>
      <c r="H1339" t="s">
        <v>294</v>
      </c>
      <c r="I1339" t="s">
        <v>202</v>
      </c>
      <c r="J1339" t="s">
        <v>176</v>
      </c>
      <c r="K1339" s="1">
        <v>12.04</v>
      </c>
      <c r="L1339" s="1">
        <v>12.04</v>
      </c>
      <c r="M1339" s="1">
        <v>12.04</v>
      </c>
      <c r="N1339" s="1">
        <v>12.04</v>
      </c>
      <c r="O1339" s="1">
        <v>602</v>
      </c>
      <c r="P1339" s="1">
        <v>602</v>
      </c>
      <c r="Q1339" s="1">
        <v>602</v>
      </c>
      <c r="R1339" s="1">
        <v>476.05</v>
      </c>
      <c r="S1339" t="s">
        <v>12</v>
      </c>
      <c r="T1339" s="13">
        <v>45956</v>
      </c>
      <c r="U1339" s="1" t="str">
        <f>IF(ESTIMATIVA[[#This Row],[QT_AREA_REAL]]&gt;0,"1- Colhido","2- à Colher")</f>
        <v>1- Colhido</v>
      </c>
      <c r="V1339" s="1" t="str">
        <f>IF(ESTIMATIVA[[#This Row],[QT_AREA_REST1]]&gt;0,"Reestimativa 1",IF(ESTIMATIVA[[#This Row],[QT_AREA_REAL]]=0,"Reestimativa 1","Realizado"))</f>
        <v>Reestimativa 1</v>
      </c>
      <c r="W1339" s="1" t="str">
        <f>IF(ESTIMATIVA[[#This Row],[QT_AREA_REST2]]&gt;0,"Reestimativa 2",IF(ESTIMATIVA[[#This Row],[QT_AREA_REAL]]=0,"Reestimativa 2","Realizado"))</f>
        <v>Reestimativa 2</v>
      </c>
      <c r="X1339" s="1">
        <f>ESTIMATIVA[[#This Row],[QT_AREA_EST]]</f>
        <v>12.04</v>
      </c>
      <c r="Y1339" s="1">
        <f>IF(ESTIMATIVA[[#This Row],[QT_AREA_REST1]]&gt;0,ESTIMATIVA[[#This Row],[QT_AREA_REST1]],
  IF(ESTIMATIVA[[#This Row],[QT_AREA_REAL]]&gt;0,ESTIMATIVA[[#This Row],[QT_AREA_REAL]],ESTIMATIVA[[#This Row],[QT_AREA_EST]]))</f>
        <v>12.04</v>
      </c>
      <c r="Z133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12.04</v>
      </c>
      <c r="AA1339" s="1">
        <f>ESTIMATIVA[[#This Row],[QT_CANA_EST]]</f>
        <v>602</v>
      </c>
      <c r="AB1339" s="1">
        <f>IF(ESTIMATIVA[[#This Row],[QT_CANA_REST1]]&gt;0,ESTIMATIVA[[#This Row],[QT_CANA_REST1]],
  IF(ESTIMATIVA[[#This Row],[QT_CANA_REAL]]&gt;0,ESTIMATIVA[[#This Row],[QT_CANA_REAL]],ESTIMATIVA[[#This Row],[QT_CANA_EST]]))</f>
        <v>602</v>
      </c>
      <c r="AC133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602</v>
      </c>
      <c r="AD1339" s="1">
        <f>IF(ESTIMATIVA[[#This Row],[QT_AREA_REAL]]&gt;0,ESTIMATIVA[[#This Row],[QT_CANA_REAL]],ESTIMATIVA[[#This Row],[QT_CANA_EST]])</f>
        <v>476.05</v>
      </c>
      <c r="AE1339" s="1">
        <f>IF(ESTIMATIVA[[#This Row],[QT_AREA_REAL]]&gt;0,ESTIMATIVA[[#This Row],[QT_CANA_REAL]],ESTIMATIVA[[#This Row],[QT_CANA_REST1]])</f>
        <v>476.05</v>
      </c>
      <c r="AF1339" s="1">
        <f>IF(ESTIMATIVA[[#This Row],[QT_AREA_REAL]]&gt;0,ESTIMATIVA[[#This Row],[QT_CANA_REAL]],ESTIMATIVA[[#This Row],[QT_CANA_REST2]])</f>
        <v>476.05</v>
      </c>
      <c r="AG1339" s="1" t="str">
        <f>IF(COUNTIFS(GEADA!A:A,VALUE(ESTIMATIVA[[#This Row],[CD_UPNIVEL1]]&amp;TEXT(ESTIMATIVA[[#This Row],[CD_UPNIVEL3]],"0000")))&gt;0,"S","N")</f>
        <v>N</v>
      </c>
      <c r="AH133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39" s="55" t="str">
        <f>IF(ESTIMATIVA[[#This Row],[TP_CULTIVO]]="Irrigado",_xlfn.MAXIFS(IRRIGADO!J:J,IRRIGADO!C:C,ESTIMATIVA[[#This Row],[CD_UPNIVEL1]],IRRIGADO!E:E,ESTIMATIVA[[#This Row],[CD_UPNIVEL3]]),"")</f>
        <v/>
      </c>
      <c r="AJ133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39" s="1">
        <f>COUNTIFS(Apresentação!$E$23:$E$29,ESTIMATIVA[[#This Row],[CD_UPNIVEL1]])</f>
        <v>0</v>
      </c>
    </row>
    <row r="1340" spans="1:37" x14ac:dyDescent="0.3">
      <c r="A1340">
        <v>20550</v>
      </c>
      <c r="B1340" t="s">
        <v>77</v>
      </c>
      <c r="C1340">
        <v>19</v>
      </c>
      <c r="D1340">
        <v>5</v>
      </c>
      <c r="E1340" t="s">
        <v>268</v>
      </c>
      <c r="F1340" s="85" t="s">
        <v>332</v>
      </c>
      <c r="G1340"/>
      <c r="H1340" t="s">
        <v>294</v>
      </c>
      <c r="I1340" t="s">
        <v>202</v>
      </c>
      <c r="J1340" t="s">
        <v>176</v>
      </c>
      <c r="K1340" s="1">
        <v>9.51</v>
      </c>
      <c r="L1340" s="1">
        <v>9.51</v>
      </c>
      <c r="M1340" s="1">
        <v>9.51</v>
      </c>
      <c r="N1340" s="1">
        <v>9.51</v>
      </c>
      <c r="O1340" s="1">
        <v>475.5</v>
      </c>
      <c r="P1340" s="1">
        <v>475.5</v>
      </c>
      <c r="Q1340" s="1">
        <v>475.5</v>
      </c>
      <c r="R1340" s="1">
        <v>376.38</v>
      </c>
      <c r="S1340" t="s">
        <v>12</v>
      </c>
      <c r="T1340" s="13">
        <v>45956</v>
      </c>
      <c r="U1340" s="1" t="str">
        <f>IF(ESTIMATIVA[[#This Row],[QT_AREA_REAL]]&gt;0,"1- Colhido","2- à Colher")</f>
        <v>1- Colhido</v>
      </c>
      <c r="V1340" s="1" t="str">
        <f>IF(ESTIMATIVA[[#This Row],[QT_AREA_REST1]]&gt;0,"Reestimativa 1",IF(ESTIMATIVA[[#This Row],[QT_AREA_REAL]]=0,"Reestimativa 1","Realizado"))</f>
        <v>Reestimativa 1</v>
      </c>
      <c r="W1340" s="1" t="str">
        <f>IF(ESTIMATIVA[[#This Row],[QT_AREA_REST2]]&gt;0,"Reestimativa 2",IF(ESTIMATIVA[[#This Row],[QT_AREA_REAL]]=0,"Reestimativa 2","Realizado"))</f>
        <v>Reestimativa 2</v>
      </c>
      <c r="X1340" s="1">
        <f>ESTIMATIVA[[#This Row],[QT_AREA_EST]]</f>
        <v>9.51</v>
      </c>
      <c r="Y1340" s="1">
        <f>IF(ESTIMATIVA[[#This Row],[QT_AREA_REST1]]&gt;0,ESTIMATIVA[[#This Row],[QT_AREA_REST1]],
  IF(ESTIMATIVA[[#This Row],[QT_AREA_REAL]]&gt;0,ESTIMATIVA[[#This Row],[QT_AREA_REAL]],ESTIMATIVA[[#This Row],[QT_AREA_EST]]))</f>
        <v>9.51</v>
      </c>
      <c r="Z134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9.51</v>
      </c>
      <c r="AA1340" s="1">
        <f>ESTIMATIVA[[#This Row],[QT_CANA_EST]]</f>
        <v>475.5</v>
      </c>
      <c r="AB1340" s="1">
        <f>IF(ESTIMATIVA[[#This Row],[QT_CANA_REST1]]&gt;0,ESTIMATIVA[[#This Row],[QT_CANA_REST1]],
  IF(ESTIMATIVA[[#This Row],[QT_CANA_REAL]]&gt;0,ESTIMATIVA[[#This Row],[QT_CANA_REAL]],ESTIMATIVA[[#This Row],[QT_CANA_EST]]))</f>
        <v>475.5</v>
      </c>
      <c r="AC134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475.5</v>
      </c>
      <c r="AD1340" s="1">
        <f>IF(ESTIMATIVA[[#This Row],[QT_AREA_REAL]]&gt;0,ESTIMATIVA[[#This Row],[QT_CANA_REAL]],ESTIMATIVA[[#This Row],[QT_CANA_EST]])</f>
        <v>376.38</v>
      </c>
      <c r="AE1340" s="1">
        <f>IF(ESTIMATIVA[[#This Row],[QT_AREA_REAL]]&gt;0,ESTIMATIVA[[#This Row],[QT_CANA_REAL]],ESTIMATIVA[[#This Row],[QT_CANA_REST1]])</f>
        <v>376.38</v>
      </c>
      <c r="AF1340" s="1">
        <f>IF(ESTIMATIVA[[#This Row],[QT_AREA_REAL]]&gt;0,ESTIMATIVA[[#This Row],[QT_CANA_REAL]],ESTIMATIVA[[#This Row],[QT_CANA_REST2]])</f>
        <v>376.38</v>
      </c>
      <c r="AG1340" s="1" t="str">
        <f>IF(COUNTIFS(GEADA!A:A,VALUE(ESTIMATIVA[[#This Row],[CD_UPNIVEL1]]&amp;TEXT(ESTIMATIVA[[#This Row],[CD_UPNIVEL3]],"0000")))&gt;0,"S","N")</f>
        <v>N</v>
      </c>
      <c r="AH134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40" s="55" t="str">
        <f>IF(ESTIMATIVA[[#This Row],[TP_CULTIVO]]="Irrigado",_xlfn.MAXIFS(IRRIGADO!J:J,IRRIGADO!C:C,ESTIMATIVA[[#This Row],[CD_UPNIVEL1]],IRRIGADO!E:E,ESTIMATIVA[[#This Row],[CD_UPNIVEL3]]),"")</f>
        <v/>
      </c>
      <c r="AJ134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40" s="1">
        <f>COUNTIFS(Apresentação!$E$23:$E$29,ESTIMATIVA[[#This Row],[CD_UPNIVEL1]])</f>
        <v>0</v>
      </c>
    </row>
    <row r="1341" spans="1:37" x14ac:dyDescent="0.3">
      <c r="A1341">
        <v>20550</v>
      </c>
      <c r="B1341" t="s">
        <v>77</v>
      </c>
      <c r="C1341">
        <v>37</v>
      </c>
      <c r="D1341">
        <v>6</v>
      </c>
      <c r="E1341" t="s">
        <v>261</v>
      </c>
      <c r="F1341" s="85" t="s">
        <v>331</v>
      </c>
      <c r="G1341"/>
      <c r="H1341" t="s">
        <v>294</v>
      </c>
      <c r="I1341" t="s">
        <v>202</v>
      </c>
      <c r="J1341" t="s">
        <v>176</v>
      </c>
      <c r="K1341" s="1">
        <v>36.65</v>
      </c>
      <c r="L1341" s="1">
        <v>36.65</v>
      </c>
      <c r="M1341" s="1">
        <v>36.65</v>
      </c>
      <c r="N1341" s="1">
        <v>36.65</v>
      </c>
      <c r="O1341" s="1">
        <v>1539.3</v>
      </c>
      <c r="P1341" s="1">
        <v>1832.5</v>
      </c>
      <c r="Q1341" s="1">
        <v>1832.5</v>
      </c>
      <c r="R1341" s="1">
        <v>1450.06</v>
      </c>
      <c r="S1341" t="s">
        <v>12</v>
      </c>
      <c r="T1341" s="13">
        <v>45956</v>
      </c>
      <c r="U1341" s="1" t="str">
        <f>IF(ESTIMATIVA[[#This Row],[QT_AREA_REAL]]&gt;0,"1- Colhido","2- à Colher")</f>
        <v>1- Colhido</v>
      </c>
      <c r="V1341" s="1" t="str">
        <f>IF(ESTIMATIVA[[#This Row],[QT_AREA_REST1]]&gt;0,"Reestimativa 1",IF(ESTIMATIVA[[#This Row],[QT_AREA_REAL]]=0,"Reestimativa 1","Realizado"))</f>
        <v>Reestimativa 1</v>
      </c>
      <c r="W1341" s="1" t="str">
        <f>IF(ESTIMATIVA[[#This Row],[QT_AREA_REST2]]&gt;0,"Reestimativa 2",IF(ESTIMATIVA[[#This Row],[QT_AREA_REAL]]=0,"Reestimativa 2","Realizado"))</f>
        <v>Reestimativa 2</v>
      </c>
      <c r="X1341" s="1">
        <f>ESTIMATIVA[[#This Row],[QT_AREA_EST]]</f>
        <v>36.65</v>
      </c>
      <c r="Y1341" s="1">
        <f>IF(ESTIMATIVA[[#This Row],[QT_AREA_REST1]]&gt;0,ESTIMATIVA[[#This Row],[QT_AREA_REST1]],
  IF(ESTIMATIVA[[#This Row],[QT_AREA_REAL]]&gt;0,ESTIMATIVA[[#This Row],[QT_AREA_REAL]],ESTIMATIVA[[#This Row],[QT_AREA_EST]]))</f>
        <v>36.65</v>
      </c>
      <c r="Z134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36.65</v>
      </c>
      <c r="AA1341" s="1">
        <f>ESTIMATIVA[[#This Row],[QT_CANA_EST]]</f>
        <v>1539.3</v>
      </c>
      <c r="AB1341" s="1">
        <f>IF(ESTIMATIVA[[#This Row],[QT_CANA_REST1]]&gt;0,ESTIMATIVA[[#This Row],[QT_CANA_REST1]],
  IF(ESTIMATIVA[[#This Row],[QT_CANA_REAL]]&gt;0,ESTIMATIVA[[#This Row],[QT_CANA_REAL]],ESTIMATIVA[[#This Row],[QT_CANA_EST]]))</f>
        <v>1832.5</v>
      </c>
      <c r="AC134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1832.5</v>
      </c>
      <c r="AD1341" s="1">
        <f>IF(ESTIMATIVA[[#This Row],[QT_AREA_REAL]]&gt;0,ESTIMATIVA[[#This Row],[QT_CANA_REAL]],ESTIMATIVA[[#This Row],[QT_CANA_EST]])</f>
        <v>1450.06</v>
      </c>
      <c r="AE1341" s="1">
        <f>IF(ESTIMATIVA[[#This Row],[QT_AREA_REAL]]&gt;0,ESTIMATIVA[[#This Row],[QT_CANA_REAL]],ESTIMATIVA[[#This Row],[QT_CANA_REST1]])</f>
        <v>1450.06</v>
      </c>
      <c r="AF1341" s="1">
        <f>IF(ESTIMATIVA[[#This Row],[QT_AREA_REAL]]&gt;0,ESTIMATIVA[[#This Row],[QT_CANA_REAL]],ESTIMATIVA[[#This Row],[QT_CANA_REST2]])</f>
        <v>1450.06</v>
      </c>
      <c r="AG1341" s="1" t="str">
        <f>IF(COUNTIFS(GEADA!A:A,VALUE(ESTIMATIVA[[#This Row],[CD_UPNIVEL1]]&amp;TEXT(ESTIMATIVA[[#This Row],[CD_UPNIVEL3]],"0000")))&gt;0,"S","N")</f>
        <v>N</v>
      </c>
      <c r="AH134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41" s="55" t="str">
        <f>IF(ESTIMATIVA[[#This Row],[TP_CULTIVO]]="Irrigado",_xlfn.MAXIFS(IRRIGADO!J:J,IRRIGADO!C:C,ESTIMATIVA[[#This Row],[CD_UPNIVEL1]],IRRIGADO!E:E,ESTIMATIVA[[#This Row],[CD_UPNIVEL3]]),"")</f>
        <v/>
      </c>
      <c r="AJ134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41" s="1">
        <f>COUNTIFS(Apresentação!$E$23:$E$29,ESTIMATIVA[[#This Row],[CD_UPNIVEL1]])</f>
        <v>0</v>
      </c>
    </row>
    <row r="1342" spans="1:37" x14ac:dyDescent="0.3">
      <c r="A1342">
        <v>20550</v>
      </c>
      <c r="B1342" t="s">
        <v>77</v>
      </c>
      <c r="C1342">
        <v>38</v>
      </c>
      <c r="D1342">
        <v>6</v>
      </c>
      <c r="E1342" t="s">
        <v>261</v>
      </c>
      <c r="F1342" s="85" t="s">
        <v>331</v>
      </c>
      <c r="G1342"/>
      <c r="H1342" t="s">
        <v>294</v>
      </c>
      <c r="I1342" t="s">
        <v>202</v>
      </c>
      <c r="J1342" t="s">
        <v>176</v>
      </c>
      <c r="K1342" s="1">
        <v>74.489999999999995</v>
      </c>
      <c r="L1342" s="1">
        <v>74.489999999999995</v>
      </c>
      <c r="M1342" s="1">
        <v>74.489999999999995</v>
      </c>
      <c r="N1342" s="1">
        <v>74.489999999999995</v>
      </c>
      <c r="O1342" s="1">
        <v>3128.58</v>
      </c>
      <c r="P1342" s="1">
        <v>3724.5</v>
      </c>
      <c r="Q1342" s="1">
        <v>3724.5</v>
      </c>
      <c r="R1342" s="1">
        <v>3241.65</v>
      </c>
      <c r="S1342" t="s">
        <v>12</v>
      </c>
      <c r="T1342" s="13">
        <v>45963</v>
      </c>
      <c r="U1342" s="1" t="str">
        <f>IF(ESTIMATIVA[[#This Row],[QT_AREA_REAL]]&gt;0,"1- Colhido","2- à Colher")</f>
        <v>1- Colhido</v>
      </c>
      <c r="V1342" s="1" t="str">
        <f>IF(ESTIMATIVA[[#This Row],[QT_AREA_REST1]]&gt;0,"Reestimativa 1",IF(ESTIMATIVA[[#This Row],[QT_AREA_REAL]]=0,"Reestimativa 1","Realizado"))</f>
        <v>Reestimativa 1</v>
      </c>
      <c r="W1342" s="1" t="str">
        <f>IF(ESTIMATIVA[[#This Row],[QT_AREA_REST2]]&gt;0,"Reestimativa 2",IF(ESTIMATIVA[[#This Row],[QT_AREA_REAL]]=0,"Reestimativa 2","Realizado"))</f>
        <v>Reestimativa 2</v>
      </c>
      <c r="X1342" s="1">
        <f>ESTIMATIVA[[#This Row],[QT_AREA_EST]]</f>
        <v>74.489999999999995</v>
      </c>
      <c r="Y1342" s="1">
        <f>IF(ESTIMATIVA[[#This Row],[QT_AREA_REST1]]&gt;0,ESTIMATIVA[[#This Row],[QT_AREA_REST1]],
  IF(ESTIMATIVA[[#This Row],[QT_AREA_REAL]]&gt;0,ESTIMATIVA[[#This Row],[QT_AREA_REAL]],ESTIMATIVA[[#This Row],[QT_AREA_EST]]))</f>
        <v>74.489999999999995</v>
      </c>
      <c r="Z134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74.489999999999995</v>
      </c>
      <c r="AA1342" s="1">
        <f>ESTIMATIVA[[#This Row],[QT_CANA_EST]]</f>
        <v>3128.58</v>
      </c>
      <c r="AB1342" s="1">
        <f>IF(ESTIMATIVA[[#This Row],[QT_CANA_REST1]]&gt;0,ESTIMATIVA[[#This Row],[QT_CANA_REST1]],
  IF(ESTIMATIVA[[#This Row],[QT_CANA_REAL]]&gt;0,ESTIMATIVA[[#This Row],[QT_CANA_REAL]],ESTIMATIVA[[#This Row],[QT_CANA_EST]]))</f>
        <v>3724.5</v>
      </c>
      <c r="AC134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3724.5</v>
      </c>
      <c r="AD1342" s="1">
        <f>IF(ESTIMATIVA[[#This Row],[QT_AREA_REAL]]&gt;0,ESTIMATIVA[[#This Row],[QT_CANA_REAL]],ESTIMATIVA[[#This Row],[QT_CANA_EST]])</f>
        <v>3241.65</v>
      </c>
      <c r="AE1342" s="1">
        <f>IF(ESTIMATIVA[[#This Row],[QT_AREA_REAL]]&gt;0,ESTIMATIVA[[#This Row],[QT_CANA_REAL]],ESTIMATIVA[[#This Row],[QT_CANA_REST1]])</f>
        <v>3241.65</v>
      </c>
      <c r="AF1342" s="1">
        <f>IF(ESTIMATIVA[[#This Row],[QT_AREA_REAL]]&gt;0,ESTIMATIVA[[#This Row],[QT_CANA_REAL]],ESTIMATIVA[[#This Row],[QT_CANA_REST2]])</f>
        <v>3241.65</v>
      </c>
      <c r="AG1342" s="1" t="str">
        <f>IF(COUNTIFS(GEADA!A:A,VALUE(ESTIMATIVA[[#This Row],[CD_UPNIVEL1]]&amp;TEXT(ESTIMATIVA[[#This Row],[CD_UPNIVEL3]],"0000")))&gt;0,"S","N")</f>
        <v>N</v>
      </c>
      <c r="AH134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42" s="55" t="str">
        <f>IF(ESTIMATIVA[[#This Row],[TP_CULTIVO]]="Irrigado",_xlfn.MAXIFS(IRRIGADO!J:J,IRRIGADO!C:C,ESTIMATIVA[[#This Row],[CD_UPNIVEL1]],IRRIGADO!E:E,ESTIMATIVA[[#This Row],[CD_UPNIVEL3]]),"")</f>
        <v/>
      </c>
      <c r="AJ134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42" s="1">
        <f>COUNTIFS(Apresentação!$E$23:$E$29,ESTIMATIVA[[#This Row],[CD_UPNIVEL1]])</f>
        <v>0</v>
      </c>
    </row>
    <row r="1343" spans="1:37" x14ac:dyDescent="0.3">
      <c r="A1343">
        <v>20550</v>
      </c>
      <c r="B1343" t="s">
        <v>77</v>
      </c>
      <c r="C1343">
        <v>39</v>
      </c>
      <c r="D1343">
        <v>6</v>
      </c>
      <c r="E1343" t="s">
        <v>261</v>
      </c>
      <c r="F1343" s="85" t="s">
        <v>332</v>
      </c>
      <c r="G1343"/>
      <c r="H1343" t="s">
        <v>294</v>
      </c>
      <c r="I1343" t="s">
        <v>202</v>
      </c>
      <c r="J1343" t="s">
        <v>176</v>
      </c>
      <c r="K1343" s="1">
        <v>17.27</v>
      </c>
      <c r="L1343" s="1">
        <v>17.27</v>
      </c>
      <c r="M1343" s="1">
        <v>17.27</v>
      </c>
      <c r="N1343" s="1">
        <v>17.27</v>
      </c>
      <c r="O1343" s="1">
        <v>725.34</v>
      </c>
      <c r="P1343" s="1">
        <v>863.5</v>
      </c>
      <c r="Q1343" s="1">
        <v>863.5</v>
      </c>
      <c r="R1343" s="1">
        <v>824.66</v>
      </c>
      <c r="S1343" t="s">
        <v>12</v>
      </c>
      <c r="T1343" s="13">
        <v>45963</v>
      </c>
      <c r="U1343" s="1" t="str">
        <f>IF(ESTIMATIVA[[#This Row],[QT_AREA_REAL]]&gt;0,"1- Colhido","2- à Colher")</f>
        <v>1- Colhido</v>
      </c>
      <c r="V1343" s="1" t="str">
        <f>IF(ESTIMATIVA[[#This Row],[QT_AREA_REST1]]&gt;0,"Reestimativa 1",IF(ESTIMATIVA[[#This Row],[QT_AREA_REAL]]=0,"Reestimativa 1","Realizado"))</f>
        <v>Reestimativa 1</v>
      </c>
      <c r="W1343" s="1" t="str">
        <f>IF(ESTIMATIVA[[#This Row],[QT_AREA_REST2]]&gt;0,"Reestimativa 2",IF(ESTIMATIVA[[#This Row],[QT_AREA_REAL]]=0,"Reestimativa 2","Realizado"))</f>
        <v>Reestimativa 2</v>
      </c>
      <c r="X1343" s="1">
        <f>ESTIMATIVA[[#This Row],[QT_AREA_EST]]</f>
        <v>17.27</v>
      </c>
      <c r="Y1343" s="1">
        <f>IF(ESTIMATIVA[[#This Row],[QT_AREA_REST1]]&gt;0,ESTIMATIVA[[#This Row],[QT_AREA_REST1]],
  IF(ESTIMATIVA[[#This Row],[QT_AREA_REAL]]&gt;0,ESTIMATIVA[[#This Row],[QT_AREA_REAL]],ESTIMATIVA[[#This Row],[QT_AREA_EST]]))</f>
        <v>17.27</v>
      </c>
      <c r="Z134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17.27</v>
      </c>
      <c r="AA1343" s="1">
        <f>ESTIMATIVA[[#This Row],[QT_CANA_EST]]</f>
        <v>725.34</v>
      </c>
      <c r="AB1343" s="1">
        <f>IF(ESTIMATIVA[[#This Row],[QT_CANA_REST1]]&gt;0,ESTIMATIVA[[#This Row],[QT_CANA_REST1]],
  IF(ESTIMATIVA[[#This Row],[QT_CANA_REAL]]&gt;0,ESTIMATIVA[[#This Row],[QT_CANA_REAL]],ESTIMATIVA[[#This Row],[QT_CANA_EST]]))</f>
        <v>863.5</v>
      </c>
      <c r="AC134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863.5</v>
      </c>
      <c r="AD1343" s="1">
        <f>IF(ESTIMATIVA[[#This Row],[QT_AREA_REAL]]&gt;0,ESTIMATIVA[[#This Row],[QT_CANA_REAL]],ESTIMATIVA[[#This Row],[QT_CANA_EST]])</f>
        <v>824.66</v>
      </c>
      <c r="AE1343" s="1">
        <f>IF(ESTIMATIVA[[#This Row],[QT_AREA_REAL]]&gt;0,ESTIMATIVA[[#This Row],[QT_CANA_REAL]],ESTIMATIVA[[#This Row],[QT_CANA_REST1]])</f>
        <v>824.66</v>
      </c>
      <c r="AF1343" s="1">
        <f>IF(ESTIMATIVA[[#This Row],[QT_AREA_REAL]]&gt;0,ESTIMATIVA[[#This Row],[QT_CANA_REAL]],ESTIMATIVA[[#This Row],[QT_CANA_REST2]])</f>
        <v>824.66</v>
      </c>
      <c r="AG1343" s="1" t="str">
        <f>IF(COUNTIFS(GEADA!A:A,VALUE(ESTIMATIVA[[#This Row],[CD_UPNIVEL1]]&amp;TEXT(ESTIMATIVA[[#This Row],[CD_UPNIVEL3]],"0000")))&gt;0,"S","N")</f>
        <v>N</v>
      </c>
      <c r="AH134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43" s="55" t="str">
        <f>IF(ESTIMATIVA[[#This Row],[TP_CULTIVO]]="Irrigado",_xlfn.MAXIFS(IRRIGADO!J:J,IRRIGADO!C:C,ESTIMATIVA[[#This Row],[CD_UPNIVEL1]],IRRIGADO!E:E,ESTIMATIVA[[#This Row],[CD_UPNIVEL3]]),"")</f>
        <v/>
      </c>
      <c r="AJ134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43" s="1">
        <f>COUNTIFS(Apresentação!$E$23:$E$29,ESTIMATIVA[[#This Row],[CD_UPNIVEL1]])</f>
        <v>0</v>
      </c>
    </row>
    <row r="1344" spans="1:37" x14ac:dyDescent="0.3">
      <c r="A1344">
        <v>20550</v>
      </c>
      <c r="B1344" t="s">
        <v>77</v>
      </c>
      <c r="C1344">
        <v>40</v>
      </c>
      <c r="D1344">
        <v>6</v>
      </c>
      <c r="E1344" t="s">
        <v>261</v>
      </c>
      <c r="F1344" s="85" t="s">
        <v>331</v>
      </c>
      <c r="G1344"/>
      <c r="H1344" t="s">
        <v>294</v>
      </c>
      <c r="I1344" t="s">
        <v>202</v>
      </c>
      <c r="J1344" t="s">
        <v>176</v>
      </c>
      <c r="K1344" s="1">
        <v>37.630000000000003</v>
      </c>
      <c r="L1344" s="1">
        <v>37.630000000000003</v>
      </c>
      <c r="M1344" s="1">
        <v>37.630000000000003</v>
      </c>
      <c r="N1344" s="1">
        <v>37.630000000000003</v>
      </c>
      <c r="O1344" s="1">
        <v>1580.46</v>
      </c>
      <c r="P1344" s="1">
        <v>1806.24</v>
      </c>
      <c r="Q1344" s="1">
        <v>1806.24</v>
      </c>
      <c r="R1344" s="1">
        <v>1723.91</v>
      </c>
      <c r="S1344" t="s">
        <v>12</v>
      </c>
      <c r="T1344" s="13">
        <v>45963</v>
      </c>
      <c r="U1344" s="1" t="str">
        <f>IF(ESTIMATIVA[[#This Row],[QT_AREA_REAL]]&gt;0,"1- Colhido","2- à Colher")</f>
        <v>1- Colhido</v>
      </c>
      <c r="V1344" s="1" t="str">
        <f>IF(ESTIMATIVA[[#This Row],[QT_AREA_REST1]]&gt;0,"Reestimativa 1",IF(ESTIMATIVA[[#This Row],[QT_AREA_REAL]]=0,"Reestimativa 1","Realizado"))</f>
        <v>Reestimativa 1</v>
      </c>
      <c r="W1344" s="1" t="str">
        <f>IF(ESTIMATIVA[[#This Row],[QT_AREA_REST2]]&gt;0,"Reestimativa 2",IF(ESTIMATIVA[[#This Row],[QT_AREA_REAL]]=0,"Reestimativa 2","Realizado"))</f>
        <v>Reestimativa 2</v>
      </c>
      <c r="X1344" s="1">
        <f>ESTIMATIVA[[#This Row],[QT_AREA_EST]]</f>
        <v>37.630000000000003</v>
      </c>
      <c r="Y1344" s="1">
        <f>IF(ESTIMATIVA[[#This Row],[QT_AREA_REST1]]&gt;0,ESTIMATIVA[[#This Row],[QT_AREA_REST1]],
  IF(ESTIMATIVA[[#This Row],[QT_AREA_REAL]]&gt;0,ESTIMATIVA[[#This Row],[QT_AREA_REAL]],ESTIMATIVA[[#This Row],[QT_AREA_EST]]))</f>
        <v>37.630000000000003</v>
      </c>
      <c r="Z134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37.630000000000003</v>
      </c>
      <c r="AA1344" s="1">
        <f>ESTIMATIVA[[#This Row],[QT_CANA_EST]]</f>
        <v>1580.46</v>
      </c>
      <c r="AB1344" s="1">
        <f>IF(ESTIMATIVA[[#This Row],[QT_CANA_REST1]]&gt;0,ESTIMATIVA[[#This Row],[QT_CANA_REST1]],
  IF(ESTIMATIVA[[#This Row],[QT_CANA_REAL]]&gt;0,ESTIMATIVA[[#This Row],[QT_CANA_REAL]],ESTIMATIVA[[#This Row],[QT_CANA_EST]]))</f>
        <v>1806.24</v>
      </c>
      <c r="AC134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1806.24</v>
      </c>
      <c r="AD1344" s="1">
        <f>IF(ESTIMATIVA[[#This Row],[QT_AREA_REAL]]&gt;0,ESTIMATIVA[[#This Row],[QT_CANA_REAL]],ESTIMATIVA[[#This Row],[QT_CANA_EST]])</f>
        <v>1723.91</v>
      </c>
      <c r="AE1344" s="1">
        <f>IF(ESTIMATIVA[[#This Row],[QT_AREA_REAL]]&gt;0,ESTIMATIVA[[#This Row],[QT_CANA_REAL]],ESTIMATIVA[[#This Row],[QT_CANA_REST1]])</f>
        <v>1723.91</v>
      </c>
      <c r="AF1344" s="1">
        <f>IF(ESTIMATIVA[[#This Row],[QT_AREA_REAL]]&gt;0,ESTIMATIVA[[#This Row],[QT_CANA_REAL]],ESTIMATIVA[[#This Row],[QT_CANA_REST2]])</f>
        <v>1723.91</v>
      </c>
      <c r="AG1344" s="1" t="str">
        <f>IF(COUNTIFS(GEADA!A:A,VALUE(ESTIMATIVA[[#This Row],[CD_UPNIVEL1]]&amp;TEXT(ESTIMATIVA[[#This Row],[CD_UPNIVEL3]],"0000")))&gt;0,"S","N")</f>
        <v>N</v>
      </c>
      <c r="AH134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44" s="55" t="str">
        <f>IF(ESTIMATIVA[[#This Row],[TP_CULTIVO]]="Irrigado",_xlfn.MAXIFS(IRRIGADO!J:J,IRRIGADO!C:C,ESTIMATIVA[[#This Row],[CD_UPNIVEL1]],IRRIGADO!E:E,ESTIMATIVA[[#This Row],[CD_UPNIVEL3]]),"")</f>
        <v/>
      </c>
      <c r="AJ134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44" s="1">
        <f>COUNTIFS(Apresentação!$E$23:$E$29,ESTIMATIVA[[#This Row],[CD_UPNIVEL1]])</f>
        <v>0</v>
      </c>
    </row>
    <row r="1345" spans="1:37" x14ac:dyDescent="0.3">
      <c r="A1345">
        <v>20550</v>
      </c>
      <c r="B1345" t="s">
        <v>77</v>
      </c>
      <c r="C1345">
        <v>41</v>
      </c>
      <c r="D1345">
        <v>6</v>
      </c>
      <c r="E1345" t="s">
        <v>261</v>
      </c>
      <c r="F1345" s="85" t="s">
        <v>331</v>
      </c>
      <c r="G1345"/>
      <c r="H1345" t="s">
        <v>294</v>
      </c>
      <c r="I1345" t="s">
        <v>202</v>
      </c>
      <c r="J1345" t="s">
        <v>176</v>
      </c>
      <c r="K1345" s="1">
        <v>32.590000000000003</v>
      </c>
      <c r="L1345" s="1">
        <v>32.590000000000003</v>
      </c>
      <c r="M1345" s="1">
        <v>32.590000000000003</v>
      </c>
      <c r="N1345" s="1">
        <v>32.590000000000003</v>
      </c>
      <c r="O1345" s="1">
        <v>1368.78</v>
      </c>
      <c r="P1345" s="1">
        <v>1564.32</v>
      </c>
      <c r="Q1345" s="1">
        <v>1564.32</v>
      </c>
      <c r="R1345" s="1">
        <v>1255.3699999999999</v>
      </c>
      <c r="S1345" t="s">
        <v>12</v>
      </c>
      <c r="T1345" s="13">
        <v>45963</v>
      </c>
      <c r="U1345" s="1" t="str">
        <f>IF(ESTIMATIVA[[#This Row],[QT_AREA_REAL]]&gt;0,"1- Colhido","2- à Colher")</f>
        <v>1- Colhido</v>
      </c>
      <c r="V1345" s="1" t="str">
        <f>IF(ESTIMATIVA[[#This Row],[QT_AREA_REST1]]&gt;0,"Reestimativa 1",IF(ESTIMATIVA[[#This Row],[QT_AREA_REAL]]=0,"Reestimativa 1","Realizado"))</f>
        <v>Reestimativa 1</v>
      </c>
      <c r="W1345" s="1" t="str">
        <f>IF(ESTIMATIVA[[#This Row],[QT_AREA_REST2]]&gt;0,"Reestimativa 2",IF(ESTIMATIVA[[#This Row],[QT_AREA_REAL]]=0,"Reestimativa 2","Realizado"))</f>
        <v>Reestimativa 2</v>
      </c>
      <c r="X1345" s="1">
        <f>ESTIMATIVA[[#This Row],[QT_AREA_EST]]</f>
        <v>32.590000000000003</v>
      </c>
      <c r="Y1345" s="1">
        <f>IF(ESTIMATIVA[[#This Row],[QT_AREA_REST1]]&gt;0,ESTIMATIVA[[#This Row],[QT_AREA_REST1]],
  IF(ESTIMATIVA[[#This Row],[QT_AREA_REAL]]&gt;0,ESTIMATIVA[[#This Row],[QT_AREA_REAL]],ESTIMATIVA[[#This Row],[QT_AREA_EST]]))</f>
        <v>32.590000000000003</v>
      </c>
      <c r="Z134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32.590000000000003</v>
      </c>
      <c r="AA1345" s="1">
        <f>ESTIMATIVA[[#This Row],[QT_CANA_EST]]</f>
        <v>1368.78</v>
      </c>
      <c r="AB1345" s="1">
        <f>IF(ESTIMATIVA[[#This Row],[QT_CANA_REST1]]&gt;0,ESTIMATIVA[[#This Row],[QT_CANA_REST1]],
  IF(ESTIMATIVA[[#This Row],[QT_CANA_REAL]]&gt;0,ESTIMATIVA[[#This Row],[QT_CANA_REAL]],ESTIMATIVA[[#This Row],[QT_CANA_EST]]))</f>
        <v>1564.32</v>
      </c>
      <c r="AC134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1564.32</v>
      </c>
      <c r="AD1345" s="1">
        <f>IF(ESTIMATIVA[[#This Row],[QT_AREA_REAL]]&gt;0,ESTIMATIVA[[#This Row],[QT_CANA_REAL]],ESTIMATIVA[[#This Row],[QT_CANA_EST]])</f>
        <v>1255.3699999999999</v>
      </c>
      <c r="AE1345" s="1">
        <f>IF(ESTIMATIVA[[#This Row],[QT_AREA_REAL]]&gt;0,ESTIMATIVA[[#This Row],[QT_CANA_REAL]],ESTIMATIVA[[#This Row],[QT_CANA_REST1]])</f>
        <v>1255.3699999999999</v>
      </c>
      <c r="AF1345" s="1">
        <f>IF(ESTIMATIVA[[#This Row],[QT_AREA_REAL]]&gt;0,ESTIMATIVA[[#This Row],[QT_CANA_REAL]],ESTIMATIVA[[#This Row],[QT_CANA_REST2]])</f>
        <v>1255.3699999999999</v>
      </c>
      <c r="AG1345" s="1" t="str">
        <f>IF(COUNTIFS(GEADA!A:A,VALUE(ESTIMATIVA[[#This Row],[CD_UPNIVEL1]]&amp;TEXT(ESTIMATIVA[[#This Row],[CD_UPNIVEL3]],"0000")))&gt;0,"S","N")</f>
        <v>N</v>
      </c>
      <c r="AH134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45" s="55" t="str">
        <f>IF(ESTIMATIVA[[#This Row],[TP_CULTIVO]]="Irrigado",_xlfn.MAXIFS(IRRIGADO!J:J,IRRIGADO!C:C,ESTIMATIVA[[#This Row],[CD_UPNIVEL1]],IRRIGADO!E:E,ESTIMATIVA[[#This Row],[CD_UPNIVEL3]]),"")</f>
        <v/>
      </c>
      <c r="AJ134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45" s="1">
        <f>COUNTIFS(Apresentação!$E$23:$E$29,ESTIMATIVA[[#This Row],[CD_UPNIVEL1]])</f>
        <v>0</v>
      </c>
    </row>
    <row r="1346" spans="1:37" x14ac:dyDescent="0.3">
      <c r="A1346">
        <v>20550</v>
      </c>
      <c r="B1346" t="s">
        <v>77</v>
      </c>
      <c r="C1346">
        <v>42</v>
      </c>
      <c r="D1346">
        <v>6</v>
      </c>
      <c r="E1346" t="s">
        <v>261</v>
      </c>
      <c r="F1346" s="85" t="s">
        <v>331</v>
      </c>
      <c r="G1346"/>
      <c r="H1346" t="s">
        <v>294</v>
      </c>
      <c r="I1346" t="s">
        <v>202</v>
      </c>
      <c r="J1346" t="s">
        <v>176</v>
      </c>
      <c r="K1346" s="1">
        <v>28.34</v>
      </c>
      <c r="L1346" s="1">
        <v>28.34</v>
      </c>
      <c r="M1346" s="1">
        <v>28.34</v>
      </c>
      <c r="N1346" s="1">
        <v>28.34</v>
      </c>
      <c r="O1346" s="1">
        <v>1190.28</v>
      </c>
      <c r="P1346" s="1">
        <v>1360.32</v>
      </c>
      <c r="Q1346" s="1">
        <v>1360.32</v>
      </c>
      <c r="R1346" s="1">
        <v>1091.7</v>
      </c>
      <c r="S1346" t="s">
        <v>12</v>
      </c>
      <c r="T1346" s="13">
        <v>45963</v>
      </c>
      <c r="U1346" s="1" t="str">
        <f>IF(ESTIMATIVA[[#This Row],[QT_AREA_REAL]]&gt;0,"1- Colhido","2- à Colher")</f>
        <v>1- Colhido</v>
      </c>
      <c r="V1346" s="1" t="str">
        <f>IF(ESTIMATIVA[[#This Row],[QT_AREA_REST1]]&gt;0,"Reestimativa 1",IF(ESTIMATIVA[[#This Row],[QT_AREA_REAL]]=0,"Reestimativa 1","Realizado"))</f>
        <v>Reestimativa 1</v>
      </c>
      <c r="W1346" s="1" t="str">
        <f>IF(ESTIMATIVA[[#This Row],[QT_AREA_REST2]]&gt;0,"Reestimativa 2",IF(ESTIMATIVA[[#This Row],[QT_AREA_REAL]]=0,"Reestimativa 2","Realizado"))</f>
        <v>Reestimativa 2</v>
      </c>
      <c r="X1346" s="1">
        <f>ESTIMATIVA[[#This Row],[QT_AREA_EST]]</f>
        <v>28.34</v>
      </c>
      <c r="Y1346" s="1">
        <f>IF(ESTIMATIVA[[#This Row],[QT_AREA_REST1]]&gt;0,ESTIMATIVA[[#This Row],[QT_AREA_REST1]],
  IF(ESTIMATIVA[[#This Row],[QT_AREA_REAL]]&gt;0,ESTIMATIVA[[#This Row],[QT_AREA_REAL]],ESTIMATIVA[[#This Row],[QT_AREA_EST]]))</f>
        <v>28.34</v>
      </c>
      <c r="Z134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28.34</v>
      </c>
      <c r="AA1346" s="1">
        <f>ESTIMATIVA[[#This Row],[QT_CANA_EST]]</f>
        <v>1190.28</v>
      </c>
      <c r="AB1346" s="1">
        <f>IF(ESTIMATIVA[[#This Row],[QT_CANA_REST1]]&gt;0,ESTIMATIVA[[#This Row],[QT_CANA_REST1]],
  IF(ESTIMATIVA[[#This Row],[QT_CANA_REAL]]&gt;0,ESTIMATIVA[[#This Row],[QT_CANA_REAL]],ESTIMATIVA[[#This Row],[QT_CANA_EST]]))</f>
        <v>1360.32</v>
      </c>
      <c r="AC134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1360.32</v>
      </c>
      <c r="AD1346" s="1">
        <f>IF(ESTIMATIVA[[#This Row],[QT_AREA_REAL]]&gt;0,ESTIMATIVA[[#This Row],[QT_CANA_REAL]],ESTIMATIVA[[#This Row],[QT_CANA_EST]])</f>
        <v>1091.7</v>
      </c>
      <c r="AE1346" s="1">
        <f>IF(ESTIMATIVA[[#This Row],[QT_AREA_REAL]]&gt;0,ESTIMATIVA[[#This Row],[QT_CANA_REAL]],ESTIMATIVA[[#This Row],[QT_CANA_REST1]])</f>
        <v>1091.7</v>
      </c>
      <c r="AF1346" s="1">
        <f>IF(ESTIMATIVA[[#This Row],[QT_AREA_REAL]]&gt;0,ESTIMATIVA[[#This Row],[QT_CANA_REAL]],ESTIMATIVA[[#This Row],[QT_CANA_REST2]])</f>
        <v>1091.7</v>
      </c>
      <c r="AG1346" s="1" t="str">
        <f>IF(COUNTIFS(GEADA!A:A,VALUE(ESTIMATIVA[[#This Row],[CD_UPNIVEL1]]&amp;TEXT(ESTIMATIVA[[#This Row],[CD_UPNIVEL3]],"0000")))&gt;0,"S","N")</f>
        <v>N</v>
      </c>
      <c r="AH134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46" s="55" t="str">
        <f>IF(ESTIMATIVA[[#This Row],[TP_CULTIVO]]="Irrigado",_xlfn.MAXIFS(IRRIGADO!J:J,IRRIGADO!C:C,ESTIMATIVA[[#This Row],[CD_UPNIVEL1]],IRRIGADO!E:E,ESTIMATIVA[[#This Row],[CD_UPNIVEL3]]),"")</f>
        <v/>
      </c>
      <c r="AJ134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46" s="1">
        <f>COUNTIFS(Apresentação!$E$23:$E$29,ESTIMATIVA[[#This Row],[CD_UPNIVEL1]])</f>
        <v>0</v>
      </c>
    </row>
    <row r="1347" spans="1:37" x14ac:dyDescent="0.3">
      <c r="A1347">
        <v>20550</v>
      </c>
      <c r="B1347" t="s">
        <v>77</v>
      </c>
      <c r="C1347">
        <v>43</v>
      </c>
      <c r="D1347">
        <v>6</v>
      </c>
      <c r="E1347" t="s">
        <v>261</v>
      </c>
      <c r="F1347" s="85" t="s">
        <v>331</v>
      </c>
      <c r="G1347"/>
      <c r="H1347" t="s">
        <v>294</v>
      </c>
      <c r="I1347" t="s">
        <v>202</v>
      </c>
      <c r="J1347" t="s">
        <v>176</v>
      </c>
      <c r="K1347" s="1">
        <v>56.26</v>
      </c>
      <c r="L1347" s="1">
        <v>56.26</v>
      </c>
      <c r="M1347" s="1">
        <v>56.26</v>
      </c>
      <c r="N1347" s="1">
        <v>56.26</v>
      </c>
      <c r="O1347" s="1">
        <v>2362.92</v>
      </c>
      <c r="P1347" s="1">
        <v>2700.48</v>
      </c>
      <c r="Q1347" s="1">
        <v>2700.48</v>
      </c>
      <c r="R1347" s="1">
        <v>2796.74</v>
      </c>
      <c r="S1347" t="s">
        <v>12</v>
      </c>
      <c r="T1347" s="13">
        <v>45963</v>
      </c>
      <c r="U1347" s="1" t="str">
        <f>IF(ESTIMATIVA[[#This Row],[QT_AREA_REAL]]&gt;0,"1- Colhido","2- à Colher")</f>
        <v>1- Colhido</v>
      </c>
      <c r="V1347" s="1" t="str">
        <f>IF(ESTIMATIVA[[#This Row],[QT_AREA_REST1]]&gt;0,"Reestimativa 1",IF(ESTIMATIVA[[#This Row],[QT_AREA_REAL]]=0,"Reestimativa 1","Realizado"))</f>
        <v>Reestimativa 1</v>
      </c>
      <c r="W1347" s="1" t="str">
        <f>IF(ESTIMATIVA[[#This Row],[QT_AREA_REST2]]&gt;0,"Reestimativa 2",IF(ESTIMATIVA[[#This Row],[QT_AREA_REAL]]=0,"Reestimativa 2","Realizado"))</f>
        <v>Reestimativa 2</v>
      </c>
      <c r="X1347" s="1">
        <f>ESTIMATIVA[[#This Row],[QT_AREA_EST]]</f>
        <v>56.26</v>
      </c>
      <c r="Y1347" s="1">
        <f>IF(ESTIMATIVA[[#This Row],[QT_AREA_REST1]]&gt;0,ESTIMATIVA[[#This Row],[QT_AREA_REST1]],
  IF(ESTIMATIVA[[#This Row],[QT_AREA_REAL]]&gt;0,ESTIMATIVA[[#This Row],[QT_AREA_REAL]],ESTIMATIVA[[#This Row],[QT_AREA_EST]]))</f>
        <v>56.26</v>
      </c>
      <c r="Z134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56.26</v>
      </c>
      <c r="AA1347" s="1">
        <f>ESTIMATIVA[[#This Row],[QT_CANA_EST]]</f>
        <v>2362.92</v>
      </c>
      <c r="AB1347" s="1">
        <f>IF(ESTIMATIVA[[#This Row],[QT_CANA_REST1]]&gt;0,ESTIMATIVA[[#This Row],[QT_CANA_REST1]],
  IF(ESTIMATIVA[[#This Row],[QT_CANA_REAL]]&gt;0,ESTIMATIVA[[#This Row],[QT_CANA_REAL]],ESTIMATIVA[[#This Row],[QT_CANA_EST]]))</f>
        <v>2700.48</v>
      </c>
      <c r="AC134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2700.48</v>
      </c>
      <c r="AD1347" s="1">
        <f>IF(ESTIMATIVA[[#This Row],[QT_AREA_REAL]]&gt;0,ESTIMATIVA[[#This Row],[QT_CANA_REAL]],ESTIMATIVA[[#This Row],[QT_CANA_EST]])</f>
        <v>2796.74</v>
      </c>
      <c r="AE1347" s="1">
        <f>IF(ESTIMATIVA[[#This Row],[QT_AREA_REAL]]&gt;0,ESTIMATIVA[[#This Row],[QT_CANA_REAL]],ESTIMATIVA[[#This Row],[QT_CANA_REST1]])</f>
        <v>2796.74</v>
      </c>
      <c r="AF1347" s="1">
        <f>IF(ESTIMATIVA[[#This Row],[QT_AREA_REAL]]&gt;0,ESTIMATIVA[[#This Row],[QT_CANA_REAL]],ESTIMATIVA[[#This Row],[QT_CANA_REST2]])</f>
        <v>2796.74</v>
      </c>
      <c r="AG1347" s="1" t="str">
        <f>IF(COUNTIFS(GEADA!A:A,VALUE(ESTIMATIVA[[#This Row],[CD_UPNIVEL1]]&amp;TEXT(ESTIMATIVA[[#This Row],[CD_UPNIVEL3]],"0000")))&gt;0,"S","N")</f>
        <v>N</v>
      </c>
      <c r="AH134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47" s="55" t="str">
        <f>IF(ESTIMATIVA[[#This Row],[TP_CULTIVO]]="Irrigado",_xlfn.MAXIFS(IRRIGADO!J:J,IRRIGADO!C:C,ESTIMATIVA[[#This Row],[CD_UPNIVEL1]],IRRIGADO!E:E,ESTIMATIVA[[#This Row],[CD_UPNIVEL3]]),"")</f>
        <v/>
      </c>
      <c r="AJ134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47" s="1">
        <f>COUNTIFS(Apresentação!$E$23:$E$29,ESTIMATIVA[[#This Row],[CD_UPNIVEL1]])</f>
        <v>0</v>
      </c>
    </row>
    <row r="1348" spans="1:37" x14ac:dyDescent="0.3">
      <c r="A1348">
        <v>20550</v>
      </c>
      <c r="B1348" t="s">
        <v>77</v>
      </c>
      <c r="C1348">
        <v>44</v>
      </c>
      <c r="D1348">
        <v>6</v>
      </c>
      <c r="E1348" t="s">
        <v>261</v>
      </c>
      <c r="F1348" s="85" t="s">
        <v>331</v>
      </c>
      <c r="G1348"/>
      <c r="H1348" t="s">
        <v>294</v>
      </c>
      <c r="I1348" t="s">
        <v>202</v>
      </c>
      <c r="J1348" t="s">
        <v>176</v>
      </c>
      <c r="K1348" s="1">
        <v>57.38</v>
      </c>
      <c r="L1348" s="1">
        <v>57.38</v>
      </c>
      <c r="M1348" s="1">
        <v>57.38</v>
      </c>
      <c r="N1348" s="1">
        <v>57.38</v>
      </c>
      <c r="O1348" s="1">
        <v>2409.96</v>
      </c>
      <c r="P1348" s="1">
        <v>2754.24</v>
      </c>
      <c r="Q1348" s="1">
        <v>2754.24</v>
      </c>
      <c r="R1348" s="1">
        <v>2828.92</v>
      </c>
      <c r="S1348" t="s">
        <v>12</v>
      </c>
      <c r="T1348" s="13">
        <v>45963</v>
      </c>
      <c r="U1348" s="1" t="str">
        <f>IF(ESTIMATIVA[[#This Row],[QT_AREA_REAL]]&gt;0,"1- Colhido","2- à Colher")</f>
        <v>1- Colhido</v>
      </c>
      <c r="V1348" s="1" t="str">
        <f>IF(ESTIMATIVA[[#This Row],[QT_AREA_REST1]]&gt;0,"Reestimativa 1",IF(ESTIMATIVA[[#This Row],[QT_AREA_REAL]]=0,"Reestimativa 1","Realizado"))</f>
        <v>Reestimativa 1</v>
      </c>
      <c r="W1348" s="1" t="str">
        <f>IF(ESTIMATIVA[[#This Row],[QT_AREA_REST2]]&gt;0,"Reestimativa 2",IF(ESTIMATIVA[[#This Row],[QT_AREA_REAL]]=0,"Reestimativa 2","Realizado"))</f>
        <v>Reestimativa 2</v>
      </c>
      <c r="X1348" s="1">
        <f>ESTIMATIVA[[#This Row],[QT_AREA_EST]]</f>
        <v>57.38</v>
      </c>
      <c r="Y1348" s="1">
        <f>IF(ESTIMATIVA[[#This Row],[QT_AREA_REST1]]&gt;0,ESTIMATIVA[[#This Row],[QT_AREA_REST1]],
  IF(ESTIMATIVA[[#This Row],[QT_AREA_REAL]]&gt;0,ESTIMATIVA[[#This Row],[QT_AREA_REAL]],ESTIMATIVA[[#This Row],[QT_AREA_EST]]))</f>
        <v>57.38</v>
      </c>
      <c r="Z134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57.38</v>
      </c>
      <c r="AA1348" s="1">
        <f>ESTIMATIVA[[#This Row],[QT_CANA_EST]]</f>
        <v>2409.96</v>
      </c>
      <c r="AB1348" s="1">
        <f>IF(ESTIMATIVA[[#This Row],[QT_CANA_REST1]]&gt;0,ESTIMATIVA[[#This Row],[QT_CANA_REST1]],
  IF(ESTIMATIVA[[#This Row],[QT_CANA_REAL]]&gt;0,ESTIMATIVA[[#This Row],[QT_CANA_REAL]],ESTIMATIVA[[#This Row],[QT_CANA_EST]]))</f>
        <v>2754.24</v>
      </c>
      <c r="AC134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2754.24</v>
      </c>
      <c r="AD1348" s="1">
        <f>IF(ESTIMATIVA[[#This Row],[QT_AREA_REAL]]&gt;0,ESTIMATIVA[[#This Row],[QT_CANA_REAL]],ESTIMATIVA[[#This Row],[QT_CANA_EST]])</f>
        <v>2828.92</v>
      </c>
      <c r="AE1348" s="1">
        <f>IF(ESTIMATIVA[[#This Row],[QT_AREA_REAL]]&gt;0,ESTIMATIVA[[#This Row],[QT_CANA_REAL]],ESTIMATIVA[[#This Row],[QT_CANA_REST1]])</f>
        <v>2828.92</v>
      </c>
      <c r="AF1348" s="1">
        <f>IF(ESTIMATIVA[[#This Row],[QT_AREA_REAL]]&gt;0,ESTIMATIVA[[#This Row],[QT_CANA_REAL]],ESTIMATIVA[[#This Row],[QT_CANA_REST2]])</f>
        <v>2828.92</v>
      </c>
      <c r="AG1348" s="1" t="str">
        <f>IF(COUNTIFS(GEADA!A:A,VALUE(ESTIMATIVA[[#This Row],[CD_UPNIVEL1]]&amp;TEXT(ESTIMATIVA[[#This Row],[CD_UPNIVEL3]],"0000")))&gt;0,"S","N")</f>
        <v>N</v>
      </c>
      <c r="AH134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48" s="55" t="str">
        <f>IF(ESTIMATIVA[[#This Row],[TP_CULTIVO]]="Irrigado",_xlfn.MAXIFS(IRRIGADO!J:J,IRRIGADO!C:C,ESTIMATIVA[[#This Row],[CD_UPNIVEL1]],IRRIGADO!E:E,ESTIMATIVA[[#This Row],[CD_UPNIVEL3]]),"")</f>
        <v/>
      </c>
      <c r="AJ134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48" s="1">
        <f>COUNTIFS(Apresentação!$E$23:$E$29,ESTIMATIVA[[#This Row],[CD_UPNIVEL1]])</f>
        <v>0</v>
      </c>
    </row>
    <row r="1349" spans="1:37" x14ac:dyDescent="0.3">
      <c r="A1349">
        <v>20551</v>
      </c>
      <c r="B1349" t="s">
        <v>78</v>
      </c>
      <c r="C1349">
        <v>1</v>
      </c>
      <c r="D1349">
        <v>1</v>
      </c>
      <c r="E1349" t="s">
        <v>264</v>
      </c>
      <c r="F1349" s="85" t="s">
        <v>333</v>
      </c>
      <c r="G1349"/>
      <c r="H1349" t="s">
        <v>295</v>
      </c>
      <c r="I1349" t="s">
        <v>202</v>
      </c>
      <c r="J1349" t="s">
        <v>176</v>
      </c>
      <c r="K1349" s="1">
        <v>20.21</v>
      </c>
      <c r="L1349" s="1">
        <v>0</v>
      </c>
      <c r="M1349" s="1">
        <v>0</v>
      </c>
      <c r="N1349" s="1">
        <v>20.21</v>
      </c>
      <c r="O1349" s="1">
        <v>1899.74</v>
      </c>
      <c r="P1349" s="1">
        <v>0</v>
      </c>
      <c r="Q1349" s="1">
        <v>0</v>
      </c>
      <c r="R1349" s="1">
        <v>2015.1</v>
      </c>
      <c r="S1349" t="s">
        <v>12</v>
      </c>
      <c r="T1349" s="13">
        <v>45746</v>
      </c>
      <c r="U1349" s="1" t="str">
        <f>IF(ESTIMATIVA[[#This Row],[QT_AREA_REAL]]&gt;0,"1- Colhido","2- à Colher")</f>
        <v>1- Colhido</v>
      </c>
      <c r="V1349" s="1" t="str">
        <f>IF(ESTIMATIVA[[#This Row],[QT_AREA_REST1]]&gt;0,"Reestimativa 1",IF(ESTIMATIVA[[#This Row],[QT_AREA_REAL]]=0,"Reestimativa 1","Realizado"))</f>
        <v>Realizado</v>
      </c>
      <c r="W1349" s="1" t="str">
        <f>IF(ESTIMATIVA[[#This Row],[QT_AREA_REST2]]&gt;0,"Reestimativa 2",IF(ESTIMATIVA[[#This Row],[QT_AREA_REAL]]=0,"Reestimativa 2","Realizado"))</f>
        <v>Realizado</v>
      </c>
      <c r="X1349" s="1">
        <f>ESTIMATIVA[[#This Row],[QT_AREA_EST]]</f>
        <v>20.21</v>
      </c>
      <c r="Y1349" s="1">
        <f>IF(ESTIMATIVA[[#This Row],[QT_AREA_REST1]]&gt;0,ESTIMATIVA[[#This Row],[QT_AREA_REST1]],
  IF(ESTIMATIVA[[#This Row],[QT_AREA_REAL]]&gt;0,ESTIMATIVA[[#This Row],[QT_AREA_REAL]],ESTIMATIVA[[#This Row],[QT_AREA_EST]]))</f>
        <v>20.21</v>
      </c>
      <c r="Z134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20.21</v>
      </c>
      <c r="AA1349" s="1">
        <f>ESTIMATIVA[[#This Row],[QT_CANA_EST]]</f>
        <v>1899.74</v>
      </c>
      <c r="AB1349" s="1">
        <f>IF(ESTIMATIVA[[#This Row],[QT_CANA_REST1]]&gt;0,ESTIMATIVA[[#This Row],[QT_CANA_REST1]],
  IF(ESTIMATIVA[[#This Row],[QT_CANA_REAL]]&gt;0,ESTIMATIVA[[#This Row],[QT_CANA_REAL]],ESTIMATIVA[[#This Row],[QT_CANA_EST]]))</f>
        <v>2015.1</v>
      </c>
      <c r="AC134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2015.1</v>
      </c>
      <c r="AD1349" s="1">
        <f>IF(ESTIMATIVA[[#This Row],[QT_AREA_REAL]]&gt;0,ESTIMATIVA[[#This Row],[QT_CANA_REAL]],ESTIMATIVA[[#This Row],[QT_CANA_EST]])</f>
        <v>2015.1</v>
      </c>
      <c r="AE1349" s="1">
        <f>IF(ESTIMATIVA[[#This Row],[QT_AREA_REAL]]&gt;0,ESTIMATIVA[[#This Row],[QT_CANA_REAL]],ESTIMATIVA[[#This Row],[QT_CANA_REST1]])</f>
        <v>2015.1</v>
      </c>
      <c r="AF1349" s="1">
        <f>IF(ESTIMATIVA[[#This Row],[QT_AREA_REAL]]&gt;0,ESTIMATIVA[[#This Row],[QT_CANA_REAL]],ESTIMATIVA[[#This Row],[QT_CANA_REST2]])</f>
        <v>2015.1</v>
      </c>
      <c r="AG1349" s="1" t="str">
        <f>IF(COUNTIFS(GEADA!A:A,VALUE(ESTIMATIVA[[#This Row],[CD_UPNIVEL1]]&amp;TEXT(ESTIMATIVA[[#This Row],[CD_UPNIVEL3]],"0000")))&gt;0,"S","N")</f>
        <v>N</v>
      </c>
      <c r="AH134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349" s="55" t="str">
        <f>IF(ESTIMATIVA[[#This Row],[TP_CULTIVO]]="Irrigado",_xlfn.MAXIFS(IRRIGADO!J:J,IRRIGADO!C:C,ESTIMATIVA[[#This Row],[CD_UPNIVEL1]],IRRIGADO!E:E,ESTIMATIVA[[#This Row],[CD_UPNIVEL3]]),"")</f>
        <v/>
      </c>
      <c r="AJ134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49" s="1">
        <f>COUNTIFS(Apresentação!$E$23:$E$29,ESTIMATIVA[[#This Row],[CD_UPNIVEL1]])</f>
        <v>0</v>
      </c>
    </row>
    <row r="1350" spans="1:37" x14ac:dyDescent="0.3">
      <c r="A1350">
        <v>20551</v>
      </c>
      <c r="B1350" t="s">
        <v>78</v>
      </c>
      <c r="C1350">
        <v>2</v>
      </c>
      <c r="D1350">
        <v>1</v>
      </c>
      <c r="E1350" t="s">
        <v>264</v>
      </c>
      <c r="F1350" s="85" t="s">
        <v>333</v>
      </c>
      <c r="G1350"/>
      <c r="H1350" t="s">
        <v>295</v>
      </c>
      <c r="I1350" t="s">
        <v>202</v>
      </c>
      <c r="J1350" t="s">
        <v>176</v>
      </c>
      <c r="K1350" s="1">
        <v>18.39</v>
      </c>
      <c r="L1350" s="1">
        <v>0</v>
      </c>
      <c r="M1350" s="1">
        <v>0</v>
      </c>
      <c r="N1350" s="1">
        <v>18.39</v>
      </c>
      <c r="O1350" s="1">
        <v>1728.66</v>
      </c>
      <c r="P1350" s="1">
        <v>0</v>
      </c>
      <c r="Q1350" s="1">
        <v>0</v>
      </c>
      <c r="R1350" s="1">
        <v>1833.71</v>
      </c>
      <c r="S1350" t="s">
        <v>12</v>
      </c>
      <c r="T1350" s="13">
        <v>45746</v>
      </c>
      <c r="U1350" s="1" t="str">
        <f>IF(ESTIMATIVA[[#This Row],[QT_AREA_REAL]]&gt;0,"1- Colhido","2- à Colher")</f>
        <v>1- Colhido</v>
      </c>
      <c r="V1350" s="1" t="str">
        <f>IF(ESTIMATIVA[[#This Row],[QT_AREA_REST1]]&gt;0,"Reestimativa 1",IF(ESTIMATIVA[[#This Row],[QT_AREA_REAL]]=0,"Reestimativa 1","Realizado"))</f>
        <v>Realizado</v>
      </c>
      <c r="W1350" s="1" t="str">
        <f>IF(ESTIMATIVA[[#This Row],[QT_AREA_REST2]]&gt;0,"Reestimativa 2",IF(ESTIMATIVA[[#This Row],[QT_AREA_REAL]]=0,"Reestimativa 2","Realizado"))</f>
        <v>Realizado</v>
      </c>
      <c r="X1350" s="1">
        <f>ESTIMATIVA[[#This Row],[QT_AREA_EST]]</f>
        <v>18.39</v>
      </c>
      <c r="Y1350" s="1">
        <f>IF(ESTIMATIVA[[#This Row],[QT_AREA_REST1]]&gt;0,ESTIMATIVA[[#This Row],[QT_AREA_REST1]],
  IF(ESTIMATIVA[[#This Row],[QT_AREA_REAL]]&gt;0,ESTIMATIVA[[#This Row],[QT_AREA_REAL]],ESTIMATIVA[[#This Row],[QT_AREA_EST]]))</f>
        <v>18.39</v>
      </c>
      <c r="Z135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18.39</v>
      </c>
      <c r="AA1350" s="1">
        <f>ESTIMATIVA[[#This Row],[QT_CANA_EST]]</f>
        <v>1728.66</v>
      </c>
      <c r="AB1350" s="1">
        <f>IF(ESTIMATIVA[[#This Row],[QT_CANA_REST1]]&gt;0,ESTIMATIVA[[#This Row],[QT_CANA_REST1]],
  IF(ESTIMATIVA[[#This Row],[QT_CANA_REAL]]&gt;0,ESTIMATIVA[[#This Row],[QT_CANA_REAL]],ESTIMATIVA[[#This Row],[QT_CANA_EST]]))</f>
        <v>1833.71</v>
      </c>
      <c r="AC135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1833.71</v>
      </c>
      <c r="AD1350" s="1">
        <f>IF(ESTIMATIVA[[#This Row],[QT_AREA_REAL]]&gt;0,ESTIMATIVA[[#This Row],[QT_CANA_REAL]],ESTIMATIVA[[#This Row],[QT_CANA_EST]])</f>
        <v>1833.71</v>
      </c>
      <c r="AE1350" s="1">
        <f>IF(ESTIMATIVA[[#This Row],[QT_AREA_REAL]]&gt;0,ESTIMATIVA[[#This Row],[QT_CANA_REAL]],ESTIMATIVA[[#This Row],[QT_CANA_REST1]])</f>
        <v>1833.71</v>
      </c>
      <c r="AF1350" s="1">
        <f>IF(ESTIMATIVA[[#This Row],[QT_AREA_REAL]]&gt;0,ESTIMATIVA[[#This Row],[QT_CANA_REAL]],ESTIMATIVA[[#This Row],[QT_CANA_REST2]])</f>
        <v>1833.71</v>
      </c>
      <c r="AG1350" s="1" t="str">
        <f>IF(COUNTIFS(GEADA!A:A,VALUE(ESTIMATIVA[[#This Row],[CD_UPNIVEL1]]&amp;TEXT(ESTIMATIVA[[#This Row],[CD_UPNIVEL3]],"0000")))&gt;0,"S","N")</f>
        <v>N</v>
      </c>
      <c r="AH135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350" s="55" t="str">
        <f>IF(ESTIMATIVA[[#This Row],[TP_CULTIVO]]="Irrigado",_xlfn.MAXIFS(IRRIGADO!J:J,IRRIGADO!C:C,ESTIMATIVA[[#This Row],[CD_UPNIVEL1]],IRRIGADO!E:E,ESTIMATIVA[[#This Row],[CD_UPNIVEL3]]),"")</f>
        <v/>
      </c>
      <c r="AJ135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50" s="1">
        <f>COUNTIFS(Apresentação!$E$23:$E$29,ESTIMATIVA[[#This Row],[CD_UPNIVEL1]])</f>
        <v>0</v>
      </c>
    </row>
    <row r="1351" spans="1:37" x14ac:dyDescent="0.3">
      <c r="A1351">
        <v>20551</v>
      </c>
      <c r="B1351" t="s">
        <v>78</v>
      </c>
      <c r="C1351">
        <v>3</v>
      </c>
      <c r="D1351">
        <v>1</v>
      </c>
      <c r="E1351" t="s">
        <v>264</v>
      </c>
      <c r="F1351" s="85" t="s">
        <v>333</v>
      </c>
      <c r="G1351"/>
      <c r="H1351" t="s">
        <v>295</v>
      </c>
      <c r="I1351" t="s">
        <v>202</v>
      </c>
      <c r="J1351" t="s">
        <v>176</v>
      </c>
      <c r="K1351" s="1">
        <v>17.78</v>
      </c>
      <c r="L1351" s="1">
        <v>0</v>
      </c>
      <c r="M1351" s="1">
        <v>0</v>
      </c>
      <c r="N1351" s="1">
        <v>17.78</v>
      </c>
      <c r="O1351" s="1">
        <v>1671.32</v>
      </c>
      <c r="P1351" s="1">
        <v>0</v>
      </c>
      <c r="Q1351" s="1">
        <v>0</v>
      </c>
      <c r="R1351" s="1">
        <v>1772.2</v>
      </c>
      <c r="S1351" t="s">
        <v>12</v>
      </c>
      <c r="T1351" s="13">
        <v>45746</v>
      </c>
      <c r="U1351" s="1" t="str">
        <f>IF(ESTIMATIVA[[#This Row],[QT_AREA_REAL]]&gt;0,"1- Colhido","2- à Colher")</f>
        <v>1- Colhido</v>
      </c>
      <c r="V1351" s="1" t="str">
        <f>IF(ESTIMATIVA[[#This Row],[QT_AREA_REST1]]&gt;0,"Reestimativa 1",IF(ESTIMATIVA[[#This Row],[QT_AREA_REAL]]=0,"Reestimativa 1","Realizado"))</f>
        <v>Realizado</v>
      </c>
      <c r="W1351" s="1" t="str">
        <f>IF(ESTIMATIVA[[#This Row],[QT_AREA_REST2]]&gt;0,"Reestimativa 2",IF(ESTIMATIVA[[#This Row],[QT_AREA_REAL]]=0,"Reestimativa 2","Realizado"))</f>
        <v>Realizado</v>
      </c>
      <c r="X1351" s="1">
        <f>ESTIMATIVA[[#This Row],[QT_AREA_EST]]</f>
        <v>17.78</v>
      </c>
      <c r="Y1351" s="1">
        <f>IF(ESTIMATIVA[[#This Row],[QT_AREA_REST1]]&gt;0,ESTIMATIVA[[#This Row],[QT_AREA_REST1]],
  IF(ESTIMATIVA[[#This Row],[QT_AREA_REAL]]&gt;0,ESTIMATIVA[[#This Row],[QT_AREA_REAL]],ESTIMATIVA[[#This Row],[QT_AREA_EST]]))</f>
        <v>17.78</v>
      </c>
      <c r="Z135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17.78</v>
      </c>
      <c r="AA1351" s="1">
        <f>ESTIMATIVA[[#This Row],[QT_CANA_EST]]</f>
        <v>1671.32</v>
      </c>
      <c r="AB1351" s="1">
        <f>IF(ESTIMATIVA[[#This Row],[QT_CANA_REST1]]&gt;0,ESTIMATIVA[[#This Row],[QT_CANA_REST1]],
  IF(ESTIMATIVA[[#This Row],[QT_CANA_REAL]]&gt;0,ESTIMATIVA[[#This Row],[QT_CANA_REAL]],ESTIMATIVA[[#This Row],[QT_CANA_EST]]))</f>
        <v>1772.2</v>
      </c>
      <c r="AC135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1772.2</v>
      </c>
      <c r="AD1351" s="1">
        <f>IF(ESTIMATIVA[[#This Row],[QT_AREA_REAL]]&gt;0,ESTIMATIVA[[#This Row],[QT_CANA_REAL]],ESTIMATIVA[[#This Row],[QT_CANA_EST]])</f>
        <v>1772.2</v>
      </c>
      <c r="AE1351" s="1">
        <f>IF(ESTIMATIVA[[#This Row],[QT_AREA_REAL]]&gt;0,ESTIMATIVA[[#This Row],[QT_CANA_REAL]],ESTIMATIVA[[#This Row],[QT_CANA_REST1]])</f>
        <v>1772.2</v>
      </c>
      <c r="AF1351" s="1">
        <f>IF(ESTIMATIVA[[#This Row],[QT_AREA_REAL]]&gt;0,ESTIMATIVA[[#This Row],[QT_CANA_REAL]],ESTIMATIVA[[#This Row],[QT_CANA_REST2]])</f>
        <v>1772.2</v>
      </c>
      <c r="AG1351" s="1" t="str">
        <f>IF(COUNTIFS(GEADA!A:A,VALUE(ESTIMATIVA[[#This Row],[CD_UPNIVEL1]]&amp;TEXT(ESTIMATIVA[[#This Row],[CD_UPNIVEL3]],"0000")))&gt;0,"S","N")</f>
        <v>N</v>
      </c>
      <c r="AH135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351" s="55" t="str">
        <f>IF(ESTIMATIVA[[#This Row],[TP_CULTIVO]]="Irrigado",_xlfn.MAXIFS(IRRIGADO!J:J,IRRIGADO!C:C,ESTIMATIVA[[#This Row],[CD_UPNIVEL1]],IRRIGADO!E:E,ESTIMATIVA[[#This Row],[CD_UPNIVEL3]]),"")</f>
        <v/>
      </c>
      <c r="AJ135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51" s="1">
        <f>COUNTIFS(Apresentação!$E$23:$E$29,ESTIMATIVA[[#This Row],[CD_UPNIVEL1]])</f>
        <v>0</v>
      </c>
    </row>
    <row r="1352" spans="1:37" x14ac:dyDescent="0.3">
      <c r="A1352">
        <v>20551</v>
      </c>
      <c r="B1352" t="s">
        <v>78</v>
      </c>
      <c r="C1352">
        <v>4</v>
      </c>
      <c r="D1352">
        <v>1</v>
      </c>
      <c r="E1352" t="s">
        <v>264</v>
      </c>
      <c r="F1352" s="85" t="s">
        <v>333</v>
      </c>
      <c r="G1352"/>
      <c r="H1352" t="s">
        <v>295</v>
      </c>
      <c r="I1352" t="s">
        <v>202</v>
      </c>
      <c r="J1352" t="s">
        <v>176</v>
      </c>
      <c r="K1352" s="1">
        <v>24.33</v>
      </c>
      <c r="L1352" s="1">
        <v>0</v>
      </c>
      <c r="M1352" s="1">
        <v>0</v>
      </c>
      <c r="N1352" s="1">
        <v>24.33</v>
      </c>
      <c r="O1352" s="1">
        <v>2287.02</v>
      </c>
      <c r="P1352" s="1">
        <v>0</v>
      </c>
      <c r="Q1352" s="1">
        <v>0</v>
      </c>
      <c r="R1352" s="1">
        <v>2425.5700000000002</v>
      </c>
      <c r="S1352" t="s">
        <v>12</v>
      </c>
      <c r="T1352" s="13">
        <v>45746</v>
      </c>
      <c r="U1352" s="1" t="str">
        <f>IF(ESTIMATIVA[[#This Row],[QT_AREA_REAL]]&gt;0,"1- Colhido","2- à Colher")</f>
        <v>1- Colhido</v>
      </c>
      <c r="V1352" s="1" t="str">
        <f>IF(ESTIMATIVA[[#This Row],[QT_AREA_REST1]]&gt;0,"Reestimativa 1",IF(ESTIMATIVA[[#This Row],[QT_AREA_REAL]]=0,"Reestimativa 1","Realizado"))</f>
        <v>Realizado</v>
      </c>
      <c r="W1352" s="1" t="str">
        <f>IF(ESTIMATIVA[[#This Row],[QT_AREA_REST2]]&gt;0,"Reestimativa 2",IF(ESTIMATIVA[[#This Row],[QT_AREA_REAL]]=0,"Reestimativa 2","Realizado"))</f>
        <v>Realizado</v>
      </c>
      <c r="X1352" s="1">
        <f>ESTIMATIVA[[#This Row],[QT_AREA_EST]]</f>
        <v>24.33</v>
      </c>
      <c r="Y1352" s="1">
        <f>IF(ESTIMATIVA[[#This Row],[QT_AREA_REST1]]&gt;0,ESTIMATIVA[[#This Row],[QT_AREA_REST1]],
  IF(ESTIMATIVA[[#This Row],[QT_AREA_REAL]]&gt;0,ESTIMATIVA[[#This Row],[QT_AREA_REAL]],ESTIMATIVA[[#This Row],[QT_AREA_EST]]))</f>
        <v>24.33</v>
      </c>
      <c r="Z135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24.33</v>
      </c>
      <c r="AA1352" s="1">
        <f>ESTIMATIVA[[#This Row],[QT_CANA_EST]]</f>
        <v>2287.02</v>
      </c>
      <c r="AB1352" s="1">
        <f>IF(ESTIMATIVA[[#This Row],[QT_CANA_REST1]]&gt;0,ESTIMATIVA[[#This Row],[QT_CANA_REST1]],
  IF(ESTIMATIVA[[#This Row],[QT_CANA_REAL]]&gt;0,ESTIMATIVA[[#This Row],[QT_CANA_REAL]],ESTIMATIVA[[#This Row],[QT_CANA_EST]]))</f>
        <v>2425.5700000000002</v>
      </c>
      <c r="AC135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2425.5700000000002</v>
      </c>
      <c r="AD1352" s="1">
        <f>IF(ESTIMATIVA[[#This Row],[QT_AREA_REAL]]&gt;0,ESTIMATIVA[[#This Row],[QT_CANA_REAL]],ESTIMATIVA[[#This Row],[QT_CANA_EST]])</f>
        <v>2425.5700000000002</v>
      </c>
      <c r="AE1352" s="1">
        <f>IF(ESTIMATIVA[[#This Row],[QT_AREA_REAL]]&gt;0,ESTIMATIVA[[#This Row],[QT_CANA_REAL]],ESTIMATIVA[[#This Row],[QT_CANA_REST1]])</f>
        <v>2425.5700000000002</v>
      </c>
      <c r="AF1352" s="1">
        <f>IF(ESTIMATIVA[[#This Row],[QT_AREA_REAL]]&gt;0,ESTIMATIVA[[#This Row],[QT_CANA_REAL]],ESTIMATIVA[[#This Row],[QT_CANA_REST2]])</f>
        <v>2425.5700000000002</v>
      </c>
      <c r="AG1352" s="1" t="str">
        <f>IF(COUNTIFS(GEADA!A:A,VALUE(ESTIMATIVA[[#This Row],[CD_UPNIVEL1]]&amp;TEXT(ESTIMATIVA[[#This Row],[CD_UPNIVEL3]],"0000")))&gt;0,"S","N")</f>
        <v>N</v>
      </c>
      <c r="AH135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352" s="55" t="str">
        <f>IF(ESTIMATIVA[[#This Row],[TP_CULTIVO]]="Irrigado",_xlfn.MAXIFS(IRRIGADO!J:J,IRRIGADO!C:C,ESTIMATIVA[[#This Row],[CD_UPNIVEL1]],IRRIGADO!E:E,ESTIMATIVA[[#This Row],[CD_UPNIVEL3]]),"")</f>
        <v/>
      </c>
      <c r="AJ135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52" s="1">
        <f>COUNTIFS(Apresentação!$E$23:$E$29,ESTIMATIVA[[#This Row],[CD_UPNIVEL1]])</f>
        <v>0</v>
      </c>
    </row>
    <row r="1353" spans="1:37" x14ac:dyDescent="0.3">
      <c r="A1353">
        <v>20551</v>
      </c>
      <c r="B1353" t="s">
        <v>78</v>
      </c>
      <c r="C1353">
        <v>5</v>
      </c>
      <c r="D1353">
        <v>1</v>
      </c>
      <c r="E1353" t="s">
        <v>264</v>
      </c>
      <c r="F1353" s="85" t="s">
        <v>333</v>
      </c>
      <c r="G1353"/>
      <c r="H1353" t="s">
        <v>295</v>
      </c>
      <c r="I1353" t="s">
        <v>202</v>
      </c>
      <c r="J1353" t="s">
        <v>176</v>
      </c>
      <c r="K1353" s="1">
        <v>26.8</v>
      </c>
      <c r="L1353" s="1">
        <v>0</v>
      </c>
      <c r="M1353" s="1">
        <v>0</v>
      </c>
      <c r="N1353" s="1">
        <v>26.8</v>
      </c>
      <c r="O1353" s="1">
        <v>2519.1999999999998</v>
      </c>
      <c r="P1353" s="1">
        <v>0</v>
      </c>
      <c r="Q1353" s="1">
        <v>0</v>
      </c>
      <c r="R1353" s="1">
        <v>2672.45</v>
      </c>
      <c r="S1353" t="s">
        <v>12</v>
      </c>
      <c r="T1353" s="13">
        <v>45746</v>
      </c>
      <c r="U1353" s="1" t="str">
        <f>IF(ESTIMATIVA[[#This Row],[QT_AREA_REAL]]&gt;0,"1- Colhido","2- à Colher")</f>
        <v>1- Colhido</v>
      </c>
      <c r="V1353" s="1" t="str">
        <f>IF(ESTIMATIVA[[#This Row],[QT_AREA_REST1]]&gt;0,"Reestimativa 1",IF(ESTIMATIVA[[#This Row],[QT_AREA_REAL]]=0,"Reestimativa 1","Realizado"))</f>
        <v>Realizado</v>
      </c>
      <c r="W1353" s="1" t="str">
        <f>IF(ESTIMATIVA[[#This Row],[QT_AREA_REST2]]&gt;0,"Reestimativa 2",IF(ESTIMATIVA[[#This Row],[QT_AREA_REAL]]=0,"Reestimativa 2","Realizado"))</f>
        <v>Realizado</v>
      </c>
      <c r="X1353" s="1">
        <f>ESTIMATIVA[[#This Row],[QT_AREA_EST]]</f>
        <v>26.8</v>
      </c>
      <c r="Y1353" s="1">
        <f>IF(ESTIMATIVA[[#This Row],[QT_AREA_REST1]]&gt;0,ESTIMATIVA[[#This Row],[QT_AREA_REST1]],
  IF(ESTIMATIVA[[#This Row],[QT_AREA_REAL]]&gt;0,ESTIMATIVA[[#This Row],[QT_AREA_REAL]],ESTIMATIVA[[#This Row],[QT_AREA_EST]]))</f>
        <v>26.8</v>
      </c>
      <c r="Z135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26.8</v>
      </c>
      <c r="AA1353" s="1">
        <f>ESTIMATIVA[[#This Row],[QT_CANA_EST]]</f>
        <v>2519.1999999999998</v>
      </c>
      <c r="AB1353" s="1">
        <f>IF(ESTIMATIVA[[#This Row],[QT_CANA_REST1]]&gt;0,ESTIMATIVA[[#This Row],[QT_CANA_REST1]],
  IF(ESTIMATIVA[[#This Row],[QT_CANA_REAL]]&gt;0,ESTIMATIVA[[#This Row],[QT_CANA_REAL]],ESTIMATIVA[[#This Row],[QT_CANA_EST]]))</f>
        <v>2672.45</v>
      </c>
      <c r="AC135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2672.45</v>
      </c>
      <c r="AD1353" s="1">
        <f>IF(ESTIMATIVA[[#This Row],[QT_AREA_REAL]]&gt;0,ESTIMATIVA[[#This Row],[QT_CANA_REAL]],ESTIMATIVA[[#This Row],[QT_CANA_EST]])</f>
        <v>2672.45</v>
      </c>
      <c r="AE1353" s="1">
        <f>IF(ESTIMATIVA[[#This Row],[QT_AREA_REAL]]&gt;0,ESTIMATIVA[[#This Row],[QT_CANA_REAL]],ESTIMATIVA[[#This Row],[QT_CANA_REST1]])</f>
        <v>2672.45</v>
      </c>
      <c r="AF1353" s="1">
        <f>IF(ESTIMATIVA[[#This Row],[QT_AREA_REAL]]&gt;0,ESTIMATIVA[[#This Row],[QT_CANA_REAL]],ESTIMATIVA[[#This Row],[QT_CANA_REST2]])</f>
        <v>2672.45</v>
      </c>
      <c r="AG1353" s="1" t="str">
        <f>IF(COUNTIFS(GEADA!A:A,VALUE(ESTIMATIVA[[#This Row],[CD_UPNIVEL1]]&amp;TEXT(ESTIMATIVA[[#This Row],[CD_UPNIVEL3]],"0000")))&gt;0,"S","N")</f>
        <v>N</v>
      </c>
      <c r="AH135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353" s="55" t="str">
        <f>IF(ESTIMATIVA[[#This Row],[TP_CULTIVO]]="Irrigado",_xlfn.MAXIFS(IRRIGADO!J:J,IRRIGADO!C:C,ESTIMATIVA[[#This Row],[CD_UPNIVEL1]],IRRIGADO!E:E,ESTIMATIVA[[#This Row],[CD_UPNIVEL3]]),"")</f>
        <v/>
      </c>
      <c r="AJ135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53" s="1">
        <f>COUNTIFS(Apresentação!$E$23:$E$29,ESTIMATIVA[[#This Row],[CD_UPNIVEL1]])</f>
        <v>0</v>
      </c>
    </row>
    <row r="1354" spans="1:37" x14ac:dyDescent="0.3">
      <c r="A1354">
        <v>20552</v>
      </c>
      <c r="B1354" t="s">
        <v>79</v>
      </c>
      <c r="C1354">
        <v>1</v>
      </c>
      <c r="D1354">
        <v>1</v>
      </c>
      <c r="E1354" t="s">
        <v>264</v>
      </c>
      <c r="F1354" s="85" t="s">
        <v>333</v>
      </c>
      <c r="G1354"/>
      <c r="H1354" t="s">
        <v>295</v>
      </c>
      <c r="I1354" t="s">
        <v>202</v>
      </c>
      <c r="J1354" t="s">
        <v>176</v>
      </c>
      <c r="K1354" s="1">
        <v>39.86</v>
      </c>
      <c r="L1354" s="1">
        <v>0</v>
      </c>
      <c r="M1354" s="1">
        <v>0</v>
      </c>
      <c r="N1354" s="1">
        <v>39.86</v>
      </c>
      <c r="O1354" s="1">
        <v>3746.84</v>
      </c>
      <c r="P1354" s="1">
        <v>0</v>
      </c>
      <c r="Q1354" s="1">
        <v>0</v>
      </c>
      <c r="R1354" s="1">
        <v>4190.9799999999996</v>
      </c>
      <c r="S1354" t="s">
        <v>12</v>
      </c>
      <c r="T1354" s="13">
        <v>45746</v>
      </c>
      <c r="U1354" s="1" t="str">
        <f>IF(ESTIMATIVA[[#This Row],[QT_AREA_REAL]]&gt;0,"1- Colhido","2- à Colher")</f>
        <v>1- Colhido</v>
      </c>
      <c r="V1354" s="1" t="str">
        <f>IF(ESTIMATIVA[[#This Row],[QT_AREA_REST1]]&gt;0,"Reestimativa 1",IF(ESTIMATIVA[[#This Row],[QT_AREA_REAL]]=0,"Reestimativa 1","Realizado"))</f>
        <v>Realizado</v>
      </c>
      <c r="W1354" s="1" t="str">
        <f>IF(ESTIMATIVA[[#This Row],[QT_AREA_REST2]]&gt;0,"Reestimativa 2",IF(ESTIMATIVA[[#This Row],[QT_AREA_REAL]]=0,"Reestimativa 2","Realizado"))</f>
        <v>Realizado</v>
      </c>
      <c r="X1354" s="1">
        <f>ESTIMATIVA[[#This Row],[QT_AREA_EST]]</f>
        <v>39.86</v>
      </c>
      <c r="Y1354" s="1">
        <f>IF(ESTIMATIVA[[#This Row],[QT_AREA_REST1]]&gt;0,ESTIMATIVA[[#This Row],[QT_AREA_REST1]],
  IF(ESTIMATIVA[[#This Row],[QT_AREA_REAL]]&gt;0,ESTIMATIVA[[#This Row],[QT_AREA_REAL]],ESTIMATIVA[[#This Row],[QT_AREA_EST]]))</f>
        <v>39.86</v>
      </c>
      <c r="Z135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39.86</v>
      </c>
      <c r="AA1354" s="1">
        <f>ESTIMATIVA[[#This Row],[QT_CANA_EST]]</f>
        <v>3746.84</v>
      </c>
      <c r="AB1354" s="1">
        <f>IF(ESTIMATIVA[[#This Row],[QT_CANA_REST1]]&gt;0,ESTIMATIVA[[#This Row],[QT_CANA_REST1]],
  IF(ESTIMATIVA[[#This Row],[QT_CANA_REAL]]&gt;0,ESTIMATIVA[[#This Row],[QT_CANA_REAL]],ESTIMATIVA[[#This Row],[QT_CANA_EST]]))</f>
        <v>4190.9799999999996</v>
      </c>
      <c r="AC135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4190.9799999999996</v>
      </c>
      <c r="AD1354" s="1">
        <f>IF(ESTIMATIVA[[#This Row],[QT_AREA_REAL]]&gt;0,ESTIMATIVA[[#This Row],[QT_CANA_REAL]],ESTIMATIVA[[#This Row],[QT_CANA_EST]])</f>
        <v>4190.9799999999996</v>
      </c>
      <c r="AE1354" s="1">
        <f>IF(ESTIMATIVA[[#This Row],[QT_AREA_REAL]]&gt;0,ESTIMATIVA[[#This Row],[QT_CANA_REAL]],ESTIMATIVA[[#This Row],[QT_CANA_REST1]])</f>
        <v>4190.9799999999996</v>
      </c>
      <c r="AF1354" s="1">
        <f>IF(ESTIMATIVA[[#This Row],[QT_AREA_REAL]]&gt;0,ESTIMATIVA[[#This Row],[QT_CANA_REAL]],ESTIMATIVA[[#This Row],[QT_CANA_REST2]])</f>
        <v>4190.9799999999996</v>
      </c>
      <c r="AG1354" s="1" t="str">
        <f>IF(COUNTIFS(GEADA!A:A,VALUE(ESTIMATIVA[[#This Row],[CD_UPNIVEL1]]&amp;TEXT(ESTIMATIVA[[#This Row],[CD_UPNIVEL3]],"0000")))&gt;0,"S","N")</f>
        <v>N</v>
      </c>
      <c r="AH135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354" s="55" t="str">
        <f>IF(ESTIMATIVA[[#This Row],[TP_CULTIVO]]="Irrigado",_xlfn.MAXIFS(IRRIGADO!J:J,IRRIGADO!C:C,ESTIMATIVA[[#This Row],[CD_UPNIVEL1]],IRRIGADO!E:E,ESTIMATIVA[[#This Row],[CD_UPNIVEL3]]),"")</f>
        <v/>
      </c>
      <c r="AJ135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54" s="1">
        <f>COUNTIFS(Apresentação!$E$23:$E$29,ESTIMATIVA[[#This Row],[CD_UPNIVEL1]])</f>
        <v>0</v>
      </c>
    </row>
    <row r="1355" spans="1:37" x14ac:dyDescent="0.3">
      <c r="A1355">
        <v>20552</v>
      </c>
      <c r="B1355" t="s">
        <v>79</v>
      </c>
      <c r="C1355">
        <v>2</v>
      </c>
      <c r="D1355">
        <v>1</v>
      </c>
      <c r="E1355" t="s">
        <v>264</v>
      </c>
      <c r="F1355" s="85" t="s">
        <v>333</v>
      </c>
      <c r="G1355"/>
      <c r="H1355" t="s">
        <v>295</v>
      </c>
      <c r="I1355" t="s">
        <v>202</v>
      </c>
      <c r="J1355" t="s">
        <v>176</v>
      </c>
      <c r="K1355" s="1">
        <v>21.9</v>
      </c>
      <c r="L1355" s="1">
        <v>0</v>
      </c>
      <c r="M1355" s="1">
        <v>0</v>
      </c>
      <c r="N1355" s="1">
        <v>21.9</v>
      </c>
      <c r="O1355" s="1">
        <v>2058.6</v>
      </c>
      <c r="P1355" s="1">
        <v>0</v>
      </c>
      <c r="Q1355" s="1">
        <v>0</v>
      </c>
      <c r="R1355" s="1">
        <v>2770.39</v>
      </c>
      <c r="S1355" t="s">
        <v>12</v>
      </c>
      <c r="T1355" s="13">
        <v>45746</v>
      </c>
      <c r="U1355" s="1" t="str">
        <f>IF(ESTIMATIVA[[#This Row],[QT_AREA_REAL]]&gt;0,"1- Colhido","2- à Colher")</f>
        <v>1- Colhido</v>
      </c>
      <c r="V1355" s="1" t="str">
        <f>IF(ESTIMATIVA[[#This Row],[QT_AREA_REST1]]&gt;0,"Reestimativa 1",IF(ESTIMATIVA[[#This Row],[QT_AREA_REAL]]=0,"Reestimativa 1","Realizado"))</f>
        <v>Realizado</v>
      </c>
      <c r="W1355" s="1" t="str">
        <f>IF(ESTIMATIVA[[#This Row],[QT_AREA_REST2]]&gt;0,"Reestimativa 2",IF(ESTIMATIVA[[#This Row],[QT_AREA_REAL]]=0,"Reestimativa 2","Realizado"))</f>
        <v>Realizado</v>
      </c>
      <c r="X1355" s="1">
        <f>ESTIMATIVA[[#This Row],[QT_AREA_EST]]</f>
        <v>21.9</v>
      </c>
      <c r="Y1355" s="1">
        <f>IF(ESTIMATIVA[[#This Row],[QT_AREA_REST1]]&gt;0,ESTIMATIVA[[#This Row],[QT_AREA_REST1]],
  IF(ESTIMATIVA[[#This Row],[QT_AREA_REAL]]&gt;0,ESTIMATIVA[[#This Row],[QT_AREA_REAL]],ESTIMATIVA[[#This Row],[QT_AREA_EST]]))</f>
        <v>21.9</v>
      </c>
      <c r="Z135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21.9</v>
      </c>
      <c r="AA1355" s="1">
        <f>ESTIMATIVA[[#This Row],[QT_CANA_EST]]</f>
        <v>2058.6</v>
      </c>
      <c r="AB1355" s="1">
        <f>IF(ESTIMATIVA[[#This Row],[QT_CANA_REST1]]&gt;0,ESTIMATIVA[[#This Row],[QT_CANA_REST1]],
  IF(ESTIMATIVA[[#This Row],[QT_CANA_REAL]]&gt;0,ESTIMATIVA[[#This Row],[QT_CANA_REAL]],ESTIMATIVA[[#This Row],[QT_CANA_EST]]))</f>
        <v>2770.39</v>
      </c>
      <c r="AC135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2770.39</v>
      </c>
      <c r="AD1355" s="1">
        <f>IF(ESTIMATIVA[[#This Row],[QT_AREA_REAL]]&gt;0,ESTIMATIVA[[#This Row],[QT_CANA_REAL]],ESTIMATIVA[[#This Row],[QT_CANA_EST]])</f>
        <v>2770.39</v>
      </c>
      <c r="AE1355" s="1">
        <f>IF(ESTIMATIVA[[#This Row],[QT_AREA_REAL]]&gt;0,ESTIMATIVA[[#This Row],[QT_CANA_REAL]],ESTIMATIVA[[#This Row],[QT_CANA_REST1]])</f>
        <v>2770.39</v>
      </c>
      <c r="AF1355" s="1">
        <f>IF(ESTIMATIVA[[#This Row],[QT_AREA_REAL]]&gt;0,ESTIMATIVA[[#This Row],[QT_CANA_REAL]],ESTIMATIVA[[#This Row],[QT_CANA_REST2]])</f>
        <v>2770.39</v>
      </c>
      <c r="AG1355" s="1" t="str">
        <f>IF(COUNTIFS(GEADA!A:A,VALUE(ESTIMATIVA[[#This Row],[CD_UPNIVEL1]]&amp;TEXT(ESTIMATIVA[[#This Row],[CD_UPNIVEL3]],"0000")))&gt;0,"S","N")</f>
        <v>N</v>
      </c>
      <c r="AH135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355" s="55" t="str">
        <f>IF(ESTIMATIVA[[#This Row],[TP_CULTIVO]]="Irrigado",_xlfn.MAXIFS(IRRIGADO!J:J,IRRIGADO!C:C,ESTIMATIVA[[#This Row],[CD_UPNIVEL1]],IRRIGADO!E:E,ESTIMATIVA[[#This Row],[CD_UPNIVEL3]]),"")</f>
        <v/>
      </c>
      <c r="AJ135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55" s="1">
        <f>COUNTIFS(Apresentação!$E$23:$E$29,ESTIMATIVA[[#This Row],[CD_UPNIVEL1]])</f>
        <v>0</v>
      </c>
    </row>
    <row r="1356" spans="1:37" x14ac:dyDescent="0.3">
      <c r="A1356">
        <v>20552</v>
      </c>
      <c r="B1356" t="s">
        <v>79</v>
      </c>
      <c r="C1356">
        <v>3</v>
      </c>
      <c r="D1356">
        <v>1</v>
      </c>
      <c r="E1356" t="s">
        <v>264</v>
      </c>
      <c r="F1356" s="85" t="s">
        <v>333</v>
      </c>
      <c r="G1356"/>
      <c r="H1356" t="s">
        <v>295</v>
      </c>
      <c r="I1356" t="s">
        <v>202</v>
      </c>
      <c r="J1356" t="s">
        <v>176</v>
      </c>
      <c r="K1356" s="1">
        <v>29.34</v>
      </c>
      <c r="L1356" s="1">
        <v>0</v>
      </c>
      <c r="M1356" s="1">
        <v>0</v>
      </c>
      <c r="N1356" s="1">
        <v>29.34</v>
      </c>
      <c r="O1356" s="1">
        <v>2757.96</v>
      </c>
      <c r="P1356" s="1">
        <v>0</v>
      </c>
      <c r="Q1356" s="1">
        <v>0</v>
      </c>
      <c r="R1356" s="1">
        <v>2785.22</v>
      </c>
      <c r="S1356" t="s">
        <v>12</v>
      </c>
      <c r="T1356" s="13">
        <v>45739</v>
      </c>
      <c r="U1356" s="1" t="str">
        <f>IF(ESTIMATIVA[[#This Row],[QT_AREA_REAL]]&gt;0,"1- Colhido","2- à Colher")</f>
        <v>1- Colhido</v>
      </c>
      <c r="V1356" s="1" t="str">
        <f>IF(ESTIMATIVA[[#This Row],[QT_AREA_REST1]]&gt;0,"Reestimativa 1",IF(ESTIMATIVA[[#This Row],[QT_AREA_REAL]]=0,"Reestimativa 1","Realizado"))</f>
        <v>Realizado</v>
      </c>
      <c r="W1356" s="1" t="str">
        <f>IF(ESTIMATIVA[[#This Row],[QT_AREA_REST2]]&gt;0,"Reestimativa 2",IF(ESTIMATIVA[[#This Row],[QT_AREA_REAL]]=0,"Reestimativa 2","Realizado"))</f>
        <v>Realizado</v>
      </c>
      <c r="X1356" s="1">
        <f>ESTIMATIVA[[#This Row],[QT_AREA_EST]]</f>
        <v>29.34</v>
      </c>
      <c r="Y1356" s="1">
        <f>IF(ESTIMATIVA[[#This Row],[QT_AREA_REST1]]&gt;0,ESTIMATIVA[[#This Row],[QT_AREA_REST1]],
  IF(ESTIMATIVA[[#This Row],[QT_AREA_REAL]]&gt;0,ESTIMATIVA[[#This Row],[QT_AREA_REAL]],ESTIMATIVA[[#This Row],[QT_AREA_EST]]))</f>
        <v>29.34</v>
      </c>
      <c r="Z135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29.34</v>
      </c>
      <c r="AA1356" s="1">
        <f>ESTIMATIVA[[#This Row],[QT_CANA_EST]]</f>
        <v>2757.96</v>
      </c>
      <c r="AB1356" s="1">
        <f>IF(ESTIMATIVA[[#This Row],[QT_CANA_REST1]]&gt;0,ESTIMATIVA[[#This Row],[QT_CANA_REST1]],
  IF(ESTIMATIVA[[#This Row],[QT_CANA_REAL]]&gt;0,ESTIMATIVA[[#This Row],[QT_CANA_REAL]],ESTIMATIVA[[#This Row],[QT_CANA_EST]]))</f>
        <v>2785.22</v>
      </c>
      <c r="AC135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2785.22</v>
      </c>
      <c r="AD1356" s="1">
        <f>IF(ESTIMATIVA[[#This Row],[QT_AREA_REAL]]&gt;0,ESTIMATIVA[[#This Row],[QT_CANA_REAL]],ESTIMATIVA[[#This Row],[QT_CANA_EST]])</f>
        <v>2785.22</v>
      </c>
      <c r="AE1356" s="1">
        <f>IF(ESTIMATIVA[[#This Row],[QT_AREA_REAL]]&gt;0,ESTIMATIVA[[#This Row],[QT_CANA_REAL]],ESTIMATIVA[[#This Row],[QT_CANA_REST1]])</f>
        <v>2785.22</v>
      </c>
      <c r="AF1356" s="1">
        <f>IF(ESTIMATIVA[[#This Row],[QT_AREA_REAL]]&gt;0,ESTIMATIVA[[#This Row],[QT_CANA_REAL]],ESTIMATIVA[[#This Row],[QT_CANA_REST2]])</f>
        <v>2785.22</v>
      </c>
      <c r="AG1356" s="1" t="str">
        <f>IF(COUNTIFS(GEADA!A:A,VALUE(ESTIMATIVA[[#This Row],[CD_UPNIVEL1]]&amp;TEXT(ESTIMATIVA[[#This Row],[CD_UPNIVEL3]],"0000")))&gt;0,"S","N")</f>
        <v>N</v>
      </c>
      <c r="AH135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356" s="55" t="str">
        <f>IF(ESTIMATIVA[[#This Row],[TP_CULTIVO]]="Irrigado",_xlfn.MAXIFS(IRRIGADO!J:J,IRRIGADO!C:C,ESTIMATIVA[[#This Row],[CD_UPNIVEL1]],IRRIGADO!E:E,ESTIMATIVA[[#This Row],[CD_UPNIVEL3]]),"")</f>
        <v/>
      </c>
      <c r="AJ135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56" s="1">
        <f>COUNTIFS(Apresentação!$E$23:$E$29,ESTIMATIVA[[#This Row],[CD_UPNIVEL1]])</f>
        <v>0</v>
      </c>
    </row>
    <row r="1357" spans="1:37" x14ac:dyDescent="0.3">
      <c r="A1357">
        <v>20552</v>
      </c>
      <c r="B1357" t="s">
        <v>79</v>
      </c>
      <c r="C1357">
        <v>4</v>
      </c>
      <c r="D1357">
        <v>1</v>
      </c>
      <c r="E1357" t="s">
        <v>264</v>
      </c>
      <c r="F1357" s="85" t="s">
        <v>333</v>
      </c>
      <c r="G1357"/>
      <c r="H1357" t="s">
        <v>295</v>
      </c>
      <c r="I1357" t="s">
        <v>202</v>
      </c>
      <c r="J1357" t="s">
        <v>176</v>
      </c>
      <c r="K1357" s="1">
        <v>27.91</v>
      </c>
      <c r="L1357" s="1">
        <v>0</v>
      </c>
      <c r="M1357" s="1">
        <v>0</v>
      </c>
      <c r="N1357" s="1">
        <v>27.91</v>
      </c>
      <c r="O1357" s="1">
        <v>2623.54</v>
      </c>
      <c r="P1357" s="1">
        <v>0</v>
      </c>
      <c r="Q1357" s="1">
        <v>0</v>
      </c>
      <c r="R1357" s="1">
        <v>2649.89</v>
      </c>
      <c r="S1357" t="s">
        <v>12</v>
      </c>
      <c r="T1357" s="13">
        <v>45739</v>
      </c>
      <c r="U1357" s="1" t="str">
        <f>IF(ESTIMATIVA[[#This Row],[QT_AREA_REAL]]&gt;0,"1- Colhido","2- à Colher")</f>
        <v>1- Colhido</v>
      </c>
      <c r="V1357" s="1" t="str">
        <f>IF(ESTIMATIVA[[#This Row],[QT_AREA_REST1]]&gt;0,"Reestimativa 1",IF(ESTIMATIVA[[#This Row],[QT_AREA_REAL]]=0,"Reestimativa 1","Realizado"))</f>
        <v>Realizado</v>
      </c>
      <c r="W1357" s="1" t="str">
        <f>IF(ESTIMATIVA[[#This Row],[QT_AREA_REST2]]&gt;0,"Reestimativa 2",IF(ESTIMATIVA[[#This Row],[QT_AREA_REAL]]=0,"Reestimativa 2","Realizado"))</f>
        <v>Realizado</v>
      </c>
      <c r="X1357" s="1">
        <f>ESTIMATIVA[[#This Row],[QT_AREA_EST]]</f>
        <v>27.91</v>
      </c>
      <c r="Y1357" s="1">
        <f>IF(ESTIMATIVA[[#This Row],[QT_AREA_REST1]]&gt;0,ESTIMATIVA[[#This Row],[QT_AREA_REST1]],
  IF(ESTIMATIVA[[#This Row],[QT_AREA_REAL]]&gt;0,ESTIMATIVA[[#This Row],[QT_AREA_REAL]],ESTIMATIVA[[#This Row],[QT_AREA_EST]]))</f>
        <v>27.91</v>
      </c>
      <c r="Z135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27.91</v>
      </c>
      <c r="AA1357" s="1">
        <f>ESTIMATIVA[[#This Row],[QT_CANA_EST]]</f>
        <v>2623.54</v>
      </c>
      <c r="AB1357" s="1">
        <f>IF(ESTIMATIVA[[#This Row],[QT_CANA_REST1]]&gt;0,ESTIMATIVA[[#This Row],[QT_CANA_REST1]],
  IF(ESTIMATIVA[[#This Row],[QT_CANA_REAL]]&gt;0,ESTIMATIVA[[#This Row],[QT_CANA_REAL]],ESTIMATIVA[[#This Row],[QT_CANA_EST]]))</f>
        <v>2649.89</v>
      </c>
      <c r="AC135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2649.89</v>
      </c>
      <c r="AD1357" s="1">
        <f>IF(ESTIMATIVA[[#This Row],[QT_AREA_REAL]]&gt;0,ESTIMATIVA[[#This Row],[QT_CANA_REAL]],ESTIMATIVA[[#This Row],[QT_CANA_EST]])</f>
        <v>2649.89</v>
      </c>
      <c r="AE1357" s="1">
        <f>IF(ESTIMATIVA[[#This Row],[QT_AREA_REAL]]&gt;0,ESTIMATIVA[[#This Row],[QT_CANA_REAL]],ESTIMATIVA[[#This Row],[QT_CANA_REST1]])</f>
        <v>2649.89</v>
      </c>
      <c r="AF1357" s="1">
        <f>IF(ESTIMATIVA[[#This Row],[QT_AREA_REAL]]&gt;0,ESTIMATIVA[[#This Row],[QT_CANA_REAL]],ESTIMATIVA[[#This Row],[QT_CANA_REST2]])</f>
        <v>2649.89</v>
      </c>
      <c r="AG1357" s="1" t="str">
        <f>IF(COUNTIFS(GEADA!A:A,VALUE(ESTIMATIVA[[#This Row],[CD_UPNIVEL1]]&amp;TEXT(ESTIMATIVA[[#This Row],[CD_UPNIVEL3]],"0000")))&gt;0,"S","N")</f>
        <v>N</v>
      </c>
      <c r="AH135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357" s="55" t="str">
        <f>IF(ESTIMATIVA[[#This Row],[TP_CULTIVO]]="Irrigado",_xlfn.MAXIFS(IRRIGADO!J:J,IRRIGADO!C:C,ESTIMATIVA[[#This Row],[CD_UPNIVEL1]],IRRIGADO!E:E,ESTIMATIVA[[#This Row],[CD_UPNIVEL3]]),"")</f>
        <v/>
      </c>
      <c r="AJ135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57" s="1">
        <f>COUNTIFS(Apresentação!$E$23:$E$29,ESTIMATIVA[[#This Row],[CD_UPNIVEL1]])</f>
        <v>0</v>
      </c>
    </row>
    <row r="1358" spans="1:37" x14ac:dyDescent="0.3">
      <c r="A1358">
        <v>20552</v>
      </c>
      <c r="B1358" t="s">
        <v>79</v>
      </c>
      <c r="C1358">
        <v>5</v>
      </c>
      <c r="D1358">
        <v>1</v>
      </c>
      <c r="E1358" t="s">
        <v>264</v>
      </c>
      <c r="F1358" s="85" t="s">
        <v>333</v>
      </c>
      <c r="G1358"/>
      <c r="H1358" t="s">
        <v>295</v>
      </c>
      <c r="I1358" t="s">
        <v>202</v>
      </c>
      <c r="J1358" t="s">
        <v>176</v>
      </c>
      <c r="K1358" s="1">
        <v>31.34</v>
      </c>
      <c r="L1358" s="1">
        <v>0</v>
      </c>
      <c r="M1358" s="1">
        <v>0</v>
      </c>
      <c r="N1358" s="1">
        <v>31.34</v>
      </c>
      <c r="O1358" s="1">
        <v>2945.96</v>
      </c>
      <c r="P1358" s="1">
        <v>0</v>
      </c>
      <c r="Q1358" s="1">
        <v>0</v>
      </c>
      <c r="R1358" s="1">
        <v>2975.09</v>
      </c>
      <c r="S1358" t="s">
        <v>12</v>
      </c>
      <c r="T1358" s="13">
        <v>45739</v>
      </c>
      <c r="U1358" s="1" t="str">
        <f>IF(ESTIMATIVA[[#This Row],[QT_AREA_REAL]]&gt;0,"1- Colhido","2- à Colher")</f>
        <v>1- Colhido</v>
      </c>
      <c r="V1358" s="1" t="str">
        <f>IF(ESTIMATIVA[[#This Row],[QT_AREA_REST1]]&gt;0,"Reestimativa 1",IF(ESTIMATIVA[[#This Row],[QT_AREA_REAL]]=0,"Reestimativa 1","Realizado"))</f>
        <v>Realizado</v>
      </c>
      <c r="W1358" s="1" t="str">
        <f>IF(ESTIMATIVA[[#This Row],[QT_AREA_REST2]]&gt;0,"Reestimativa 2",IF(ESTIMATIVA[[#This Row],[QT_AREA_REAL]]=0,"Reestimativa 2","Realizado"))</f>
        <v>Realizado</v>
      </c>
      <c r="X1358" s="1">
        <f>ESTIMATIVA[[#This Row],[QT_AREA_EST]]</f>
        <v>31.34</v>
      </c>
      <c r="Y1358" s="1">
        <f>IF(ESTIMATIVA[[#This Row],[QT_AREA_REST1]]&gt;0,ESTIMATIVA[[#This Row],[QT_AREA_REST1]],
  IF(ESTIMATIVA[[#This Row],[QT_AREA_REAL]]&gt;0,ESTIMATIVA[[#This Row],[QT_AREA_REAL]],ESTIMATIVA[[#This Row],[QT_AREA_EST]]))</f>
        <v>31.34</v>
      </c>
      <c r="Z135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31.34</v>
      </c>
      <c r="AA1358" s="1">
        <f>ESTIMATIVA[[#This Row],[QT_CANA_EST]]</f>
        <v>2945.96</v>
      </c>
      <c r="AB1358" s="1">
        <f>IF(ESTIMATIVA[[#This Row],[QT_CANA_REST1]]&gt;0,ESTIMATIVA[[#This Row],[QT_CANA_REST1]],
  IF(ESTIMATIVA[[#This Row],[QT_CANA_REAL]]&gt;0,ESTIMATIVA[[#This Row],[QT_CANA_REAL]],ESTIMATIVA[[#This Row],[QT_CANA_EST]]))</f>
        <v>2975.09</v>
      </c>
      <c r="AC135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2975.09</v>
      </c>
      <c r="AD1358" s="1">
        <f>IF(ESTIMATIVA[[#This Row],[QT_AREA_REAL]]&gt;0,ESTIMATIVA[[#This Row],[QT_CANA_REAL]],ESTIMATIVA[[#This Row],[QT_CANA_EST]])</f>
        <v>2975.09</v>
      </c>
      <c r="AE1358" s="1">
        <f>IF(ESTIMATIVA[[#This Row],[QT_AREA_REAL]]&gt;0,ESTIMATIVA[[#This Row],[QT_CANA_REAL]],ESTIMATIVA[[#This Row],[QT_CANA_REST1]])</f>
        <v>2975.09</v>
      </c>
      <c r="AF1358" s="1">
        <f>IF(ESTIMATIVA[[#This Row],[QT_AREA_REAL]]&gt;0,ESTIMATIVA[[#This Row],[QT_CANA_REAL]],ESTIMATIVA[[#This Row],[QT_CANA_REST2]])</f>
        <v>2975.09</v>
      </c>
      <c r="AG1358" s="1" t="str">
        <f>IF(COUNTIFS(GEADA!A:A,VALUE(ESTIMATIVA[[#This Row],[CD_UPNIVEL1]]&amp;TEXT(ESTIMATIVA[[#This Row],[CD_UPNIVEL3]],"0000")))&gt;0,"S","N")</f>
        <v>N</v>
      </c>
      <c r="AH135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358" s="55" t="str">
        <f>IF(ESTIMATIVA[[#This Row],[TP_CULTIVO]]="Irrigado",_xlfn.MAXIFS(IRRIGADO!J:J,IRRIGADO!C:C,ESTIMATIVA[[#This Row],[CD_UPNIVEL1]],IRRIGADO!E:E,ESTIMATIVA[[#This Row],[CD_UPNIVEL3]]),"")</f>
        <v/>
      </c>
      <c r="AJ135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58" s="1">
        <f>COUNTIFS(Apresentação!$E$23:$E$29,ESTIMATIVA[[#This Row],[CD_UPNIVEL1]])</f>
        <v>0</v>
      </c>
    </row>
    <row r="1359" spans="1:37" x14ac:dyDescent="0.3">
      <c r="A1359">
        <v>20552</v>
      </c>
      <c r="B1359" t="s">
        <v>79</v>
      </c>
      <c r="C1359">
        <v>6</v>
      </c>
      <c r="D1359">
        <v>1</v>
      </c>
      <c r="E1359" t="s">
        <v>264</v>
      </c>
      <c r="F1359" s="85" t="s">
        <v>333</v>
      </c>
      <c r="G1359"/>
      <c r="H1359" t="s">
        <v>295</v>
      </c>
      <c r="I1359" t="s">
        <v>202</v>
      </c>
      <c r="J1359" t="s">
        <v>176</v>
      </c>
      <c r="K1359" s="1">
        <v>28.23</v>
      </c>
      <c r="L1359" s="1">
        <v>0</v>
      </c>
      <c r="M1359" s="1">
        <v>0</v>
      </c>
      <c r="N1359" s="1">
        <v>28.23</v>
      </c>
      <c r="O1359" s="1">
        <v>2653.62</v>
      </c>
      <c r="P1359" s="1">
        <v>0</v>
      </c>
      <c r="Q1359" s="1">
        <v>0</v>
      </c>
      <c r="R1359" s="1">
        <v>2514.56</v>
      </c>
      <c r="S1359" t="s">
        <v>12</v>
      </c>
      <c r="T1359" s="13">
        <v>45746</v>
      </c>
      <c r="U1359" s="1" t="str">
        <f>IF(ESTIMATIVA[[#This Row],[QT_AREA_REAL]]&gt;0,"1- Colhido","2- à Colher")</f>
        <v>1- Colhido</v>
      </c>
      <c r="V1359" s="1" t="str">
        <f>IF(ESTIMATIVA[[#This Row],[QT_AREA_REST1]]&gt;0,"Reestimativa 1",IF(ESTIMATIVA[[#This Row],[QT_AREA_REAL]]=0,"Reestimativa 1","Realizado"))</f>
        <v>Realizado</v>
      </c>
      <c r="W1359" s="1" t="str">
        <f>IF(ESTIMATIVA[[#This Row],[QT_AREA_REST2]]&gt;0,"Reestimativa 2",IF(ESTIMATIVA[[#This Row],[QT_AREA_REAL]]=0,"Reestimativa 2","Realizado"))</f>
        <v>Realizado</v>
      </c>
      <c r="X1359" s="1">
        <f>ESTIMATIVA[[#This Row],[QT_AREA_EST]]</f>
        <v>28.23</v>
      </c>
      <c r="Y1359" s="1">
        <f>IF(ESTIMATIVA[[#This Row],[QT_AREA_REST1]]&gt;0,ESTIMATIVA[[#This Row],[QT_AREA_REST1]],
  IF(ESTIMATIVA[[#This Row],[QT_AREA_REAL]]&gt;0,ESTIMATIVA[[#This Row],[QT_AREA_REAL]],ESTIMATIVA[[#This Row],[QT_AREA_EST]]))</f>
        <v>28.23</v>
      </c>
      <c r="Z135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28.23</v>
      </c>
      <c r="AA1359" s="1">
        <f>ESTIMATIVA[[#This Row],[QT_CANA_EST]]</f>
        <v>2653.62</v>
      </c>
      <c r="AB1359" s="1">
        <f>IF(ESTIMATIVA[[#This Row],[QT_CANA_REST1]]&gt;0,ESTIMATIVA[[#This Row],[QT_CANA_REST1]],
  IF(ESTIMATIVA[[#This Row],[QT_CANA_REAL]]&gt;0,ESTIMATIVA[[#This Row],[QT_CANA_REAL]],ESTIMATIVA[[#This Row],[QT_CANA_EST]]))</f>
        <v>2514.56</v>
      </c>
      <c r="AC135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2514.56</v>
      </c>
      <c r="AD1359" s="1">
        <f>IF(ESTIMATIVA[[#This Row],[QT_AREA_REAL]]&gt;0,ESTIMATIVA[[#This Row],[QT_CANA_REAL]],ESTIMATIVA[[#This Row],[QT_CANA_EST]])</f>
        <v>2514.56</v>
      </c>
      <c r="AE1359" s="1">
        <f>IF(ESTIMATIVA[[#This Row],[QT_AREA_REAL]]&gt;0,ESTIMATIVA[[#This Row],[QT_CANA_REAL]],ESTIMATIVA[[#This Row],[QT_CANA_REST1]])</f>
        <v>2514.56</v>
      </c>
      <c r="AF1359" s="1">
        <f>IF(ESTIMATIVA[[#This Row],[QT_AREA_REAL]]&gt;0,ESTIMATIVA[[#This Row],[QT_CANA_REAL]],ESTIMATIVA[[#This Row],[QT_CANA_REST2]])</f>
        <v>2514.56</v>
      </c>
      <c r="AG1359" s="1" t="str">
        <f>IF(COUNTIFS(GEADA!A:A,VALUE(ESTIMATIVA[[#This Row],[CD_UPNIVEL1]]&amp;TEXT(ESTIMATIVA[[#This Row],[CD_UPNIVEL3]],"0000")))&gt;0,"S","N")</f>
        <v>N</v>
      </c>
      <c r="AH135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359" s="55" t="str">
        <f>IF(ESTIMATIVA[[#This Row],[TP_CULTIVO]]="Irrigado",_xlfn.MAXIFS(IRRIGADO!J:J,IRRIGADO!C:C,ESTIMATIVA[[#This Row],[CD_UPNIVEL1]],IRRIGADO!E:E,ESTIMATIVA[[#This Row],[CD_UPNIVEL3]]),"")</f>
        <v/>
      </c>
      <c r="AJ135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59" s="1">
        <f>COUNTIFS(Apresentação!$E$23:$E$29,ESTIMATIVA[[#This Row],[CD_UPNIVEL1]])</f>
        <v>0</v>
      </c>
    </row>
    <row r="1360" spans="1:37" x14ac:dyDescent="0.3">
      <c r="A1360">
        <v>20552</v>
      </c>
      <c r="B1360" t="s">
        <v>79</v>
      </c>
      <c r="C1360">
        <v>7</v>
      </c>
      <c r="D1360">
        <v>1</v>
      </c>
      <c r="E1360" t="s">
        <v>264</v>
      </c>
      <c r="F1360" s="85" t="s">
        <v>333</v>
      </c>
      <c r="G1360"/>
      <c r="H1360" t="s">
        <v>295</v>
      </c>
      <c r="I1360" t="s">
        <v>202</v>
      </c>
      <c r="J1360" t="s">
        <v>176</v>
      </c>
      <c r="K1360" s="1">
        <v>18.72</v>
      </c>
      <c r="L1360" s="1">
        <v>0</v>
      </c>
      <c r="M1360" s="1">
        <v>0</v>
      </c>
      <c r="N1360" s="1">
        <v>18.72</v>
      </c>
      <c r="O1360" s="1">
        <v>1759.68</v>
      </c>
      <c r="P1360" s="1">
        <v>0</v>
      </c>
      <c r="Q1360" s="1">
        <v>0</v>
      </c>
      <c r="R1360" s="1">
        <v>1777.88</v>
      </c>
      <c r="S1360" t="s">
        <v>12</v>
      </c>
      <c r="T1360" s="13">
        <v>45739</v>
      </c>
      <c r="U1360" s="1" t="str">
        <f>IF(ESTIMATIVA[[#This Row],[QT_AREA_REAL]]&gt;0,"1- Colhido","2- à Colher")</f>
        <v>1- Colhido</v>
      </c>
      <c r="V1360" s="1" t="str">
        <f>IF(ESTIMATIVA[[#This Row],[QT_AREA_REST1]]&gt;0,"Reestimativa 1",IF(ESTIMATIVA[[#This Row],[QT_AREA_REAL]]=0,"Reestimativa 1","Realizado"))</f>
        <v>Realizado</v>
      </c>
      <c r="W1360" s="1" t="str">
        <f>IF(ESTIMATIVA[[#This Row],[QT_AREA_REST2]]&gt;0,"Reestimativa 2",IF(ESTIMATIVA[[#This Row],[QT_AREA_REAL]]=0,"Reestimativa 2","Realizado"))</f>
        <v>Realizado</v>
      </c>
      <c r="X1360" s="1">
        <f>ESTIMATIVA[[#This Row],[QT_AREA_EST]]</f>
        <v>18.72</v>
      </c>
      <c r="Y1360" s="1">
        <f>IF(ESTIMATIVA[[#This Row],[QT_AREA_REST1]]&gt;0,ESTIMATIVA[[#This Row],[QT_AREA_REST1]],
  IF(ESTIMATIVA[[#This Row],[QT_AREA_REAL]]&gt;0,ESTIMATIVA[[#This Row],[QT_AREA_REAL]],ESTIMATIVA[[#This Row],[QT_AREA_EST]]))</f>
        <v>18.72</v>
      </c>
      <c r="Z136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18.72</v>
      </c>
      <c r="AA1360" s="1">
        <f>ESTIMATIVA[[#This Row],[QT_CANA_EST]]</f>
        <v>1759.68</v>
      </c>
      <c r="AB1360" s="1">
        <f>IF(ESTIMATIVA[[#This Row],[QT_CANA_REST1]]&gt;0,ESTIMATIVA[[#This Row],[QT_CANA_REST1]],
  IF(ESTIMATIVA[[#This Row],[QT_CANA_REAL]]&gt;0,ESTIMATIVA[[#This Row],[QT_CANA_REAL]],ESTIMATIVA[[#This Row],[QT_CANA_EST]]))</f>
        <v>1777.88</v>
      </c>
      <c r="AC136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1777.88</v>
      </c>
      <c r="AD1360" s="1">
        <f>IF(ESTIMATIVA[[#This Row],[QT_AREA_REAL]]&gt;0,ESTIMATIVA[[#This Row],[QT_CANA_REAL]],ESTIMATIVA[[#This Row],[QT_CANA_EST]])</f>
        <v>1777.88</v>
      </c>
      <c r="AE1360" s="1">
        <f>IF(ESTIMATIVA[[#This Row],[QT_AREA_REAL]]&gt;0,ESTIMATIVA[[#This Row],[QT_CANA_REAL]],ESTIMATIVA[[#This Row],[QT_CANA_REST1]])</f>
        <v>1777.88</v>
      </c>
      <c r="AF1360" s="1">
        <f>IF(ESTIMATIVA[[#This Row],[QT_AREA_REAL]]&gt;0,ESTIMATIVA[[#This Row],[QT_CANA_REAL]],ESTIMATIVA[[#This Row],[QT_CANA_REST2]])</f>
        <v>1777.88</v>
      </c>
      <c r="AG1360" s="1" t="str">
        <f>IF(COUNTIFS(GEADA!A:A,VALUE(ESTIMATIVA[[#This Row],[CD_UPNIVEL1]]&amp;TEXT(ESTIMATIVA[[#This Row],[CD_UPNIVEL3]],"0000")))&gt;0,"S","N")</f>
        <v>N</v>
      </c>
      <c r="AH136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360" s="55" t="str">
        <f>IF(ESTIMATIVA[[#This Row],[TP_CULTIVO]]="Irrigado",_xlfn.MAXIFS(IRRIGADO!J:J,IRRIGADO!C:C,ESTIMATIVA[[#This Row],[CD_UPNIVEL1]],IRRIGADO!E:E,ESTIMATIVA[[#This Row],[CD_UPNIVEL3]]),"")</f>
        <v/>
      </c>
      <c r="AJ136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60" s="1">
        <f>COUNTIFS(Apresentação!$E$23:$E$29,ESTIMATIVA[[#This Row],[CD_UPNIVEL1]])</f>
        <v>0</v>
      </c>
    </row>
    <row r="1361" spans="1:37" x14ac:dyDescent="0.3">
      <c r="A1361">
        <v>20552</v>
      </c>
      <c r="B1361" t="s">
        <v>79</v>
      </c>
      <c r="C1361">
        <v>8</v>
      </c>
      <c r="D1361">
        <v>1</v>
      </c>
      <c r="E1361" t="s">
        <v>264</v>
      </c>
      <c r="F1361" s="85" t="s">
        <v>333</v>
      </c>
      <c r="G1361"/>
      <c r="H1361" t="s">
        <v>295</v>
      </c>
      <c r="I1361" t="s">
        <v>202</v>
      </c>
      <c r="J1361" t="s">
        <v>176</v>
      </c>
      <c r="K1361" s="1">
        <v>35.25</v>
      </c>
      <c r="L1361" s="1">
        <v>0</v>
      </c>
      <c r="M1361" s="1">
        <v>0</v>
      </c>
      <c r="N1361" s="1">
        <v>35.25</v>
      </c>
      <c r="O1361" s="1">
        <v>3313.5</v>
      </c>
      <c r="P1361" s="1">
        <v>0</v>
      </c>
      <c r="Q1361" s="1">
        <v>0</v>
      </c>
      <c r="R1361" s="1">
        <v>3232.18</v>
      </c>
      <c r="S1361" t="s">
        <v>12</v>
      </c>
      <c r="T1361" s="13">
        <v>45746</v>
      </c>
      <c r="U1361" s="1" t="str">
        <f>IF(ESTIMATIVA[[#This Row],[QT_AREA_REAL]]&gt;0,"1- Colhido","2- à Colher")</f>
        <v>1- Colhido</v>
      </c>
      <c r="V1361" s="1" t="str">
        <f>IF(ESTIMATIVA[[#This Row],[QT_AREA_REST1]]&gt;0,"Reestimativa 1",IF(ESTIMATIVA[[#This Row],[QT_AREA_REAL]]=0,"Reestimativa 1","Realizado"))</f>
        <v>Realizado</v>
      </c>
      <c r="W1361" s="1" t="str">
        <f>IF(ESTIMATIVA[[#This Row],[QT_AREA_REST2]]&gt;0,"Reestimativa 2",IF(ESTIMATIVA[[#This Row],[QT_AREA_REAL]]=0,"Reestimativa 2","Realizado"))</f>
        <v>Realizado</v>
      </c>
      <c r="X1361" s="1">
        <f>ESTIMATIVA[[#This Row],[QT_AREA_EST]]</f>
        <v>35.25</v>
      </c>
      <c r="Y1361" s="1">
        <f>IF(ESTIMATIVA[[#This Row],[QT_AREA_REST1]]&gt;0,ESTIMATIVA[[#This Row],[QT_AREA_REST1]],
  IF(ESTIMATIVA[[#This Row],[QT_AREA_REAL]]&gt;0,ESTIMATIVA[[#This Row],[QT_AREA_REAL]],ESTIMATIVA[[#This Row],[QT_AREA_EST]]))</f>
        <v>35.25</v>
      </c>
      <c r="Z136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35.25</v>
      </c>
      <c r="AA1361" s="1">
        <f>ESTIMATIVA[[#This Row],[QT_CANA_EST]]</f>
        <v>3313.5</v>
      </c>
      <c r="AB1361" s="1">
        <f>IF(ESTIMATIVA[[#This Row],[QT_CANA_REST1]]&gt;0,ESTIMATIVA[[#This Row],[QT_CANA_REST1]],
  IF(ESTIMATIVA[[#This Row],[QT_CANA_REAL]]&gt;0,ESTIMATIVA[[#This Row],[QT_CANA_REAL]],ESTIMATIVA[[#This Row],[QT_CANA_EST]]))</f>
        <v>3232.18</v>
      </c>
      <c r="AC136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3232.18</v>
      </c>
      <c r="AD1361" s="1">
        <f>IF(ESTIMATIVA[[#This Row],[QT_AREA_REAL]]&gt;0,ESTIMATIVA[[#This Row],[QT_CANA_REAL]],ESTIMATIVA[[#This Row],[QT_CANA_EST]])</f>
        <v>3232.18</v>
      </c>
      <c r="AE1361" s="1">
        <f>IF(ESTIMATIVA[[#This Row],[QT_AREA_REAL]]&gt;0,ESTIMATIVA[[#This Row],[QT_CANA_REAL]],ESTIMATIVA[[#This Row],[QT_CANA_REST1]])</f>
        <v>3232.18</v>
      </c>
      <c r="AF1361" s="1">
        <f>IF(ESTIMATIVA[[#This Row],[QT_AREA_REAL]]&gt;0,ESTIMATIVA[[#This Row],[QT_CANA_REAL]],ESTIMATIVA[[#This Row],[QT_CANA_REST2]])</f>
        <v>3232.18</v>
      </c>
      <c r="AG1361" s="1" t="str">
        <f>IF(COUNTIFS(GEADA!A:A,VALUE(ESTIMATIVA[[#This Row],[CD_UPNIVEL1]]&amp;TEXT(ESTIMATIVA[[#This Row],[CD_UPNIVEL3]],"0000")))&gt;0,"S","N")</f>
        <v>N</v>
      </c>
      <c r="AH136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361" s="55" t="str">
        <f>IF(ESTIMATIVA[[#This Row],[TP_CULTIVO]]="Irrigado",_xlfn.MAXIFS(IRRIGADO!J:J,IRRIGADO!C:C,ESTIMATIVA[[#This Row],[CD_UPNIVEL1]],IRRIGADO!E:E,ESTIMATIVA[[#This Row],[CD_UPNIVEL3]]),"")</f>
        <v/>
      </c>
      <c r="AJ136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61" s="1">
        <f>COUNTIFS(Apresentação!$E$23:$E$29,ESTIMATIVA[[#This Row],[CD_UPNIVEL1]])</f>
        <v>0</v>
      </c>
    </row>
    <row r="1362" spans="1:37" x14ac:dyDescent="0.3">
      <c r="A1362">
        <v>20552</v>
      </c>
      <c r="B1362" t="s">
        <v>79</v>
      </c>
      <c r="C1362">
        <v>9</v>
      </c>
      <c r="D1362">
        <v>1</v>
      </c>
      <c r="E1362" t="s">
        <v>264</v>
      </c>
      <c r="F1362" s="85" t="s">
        <v>333</v>
      </c>
      <c r="G1362"/>
      <c r="H1362" t="s">
        <v>295</v>
      </c>
      <c r="I1362" t="s">
        <v>202</v>
      </c>
      <c r="J1362" t="s">
        <v>176</v>
      </c>
      <c r="K1362" s="1">
        <v>12.32</v>
      </c>
      <c r="L1362" s="1">
        <v>0</v>
      </c>
      <c r="M1362" s="1">
        <v>0</v>
      </c>
      <c r="N1362" s="1">
        <v>12.32</v>
      </c>
      <c r="O1362" s="1">
        <v>1158.08</v>
      </c>
      <c r="P1362" s="1">
        <v>0</v>
      </c>
      <c r="Q1362" s="1">
        <v>0</v>
      </c>
      <c r="R1362" s="1">
        <v>1129.5</v>
      </c>
      <c r="S1362" t="s">
        <v>12</v>
      </c>
      <c r="T1362" s="13">
        <v>45746</v>
      </c>
      <c r="U1362" s="1" t="str">
        <f>IF(ESTIMATIVA[[#This Row],[QT_AREA_REAL]]&gt;0,"1- Colhido","2- à Colher")</f>
        <v>1- Colhido</v>
      </c>
      <c r="V1362" s="1" t="str">
        <f>IF(ESTIMATIVA[[#This Row],[QT_AREA_REST1]]&gt;0,"Reestimativa 1",IF(ESTIMATIVA[[#This Row],[QT_AREA_REAL]]=0,"Reestimativa 1","Realizado"))</f>
        <v>Realizado</v>
      </c>
      <c r="W1362" s="1" t="str">
        <f>IF(ESTIMATIVA[[#This Row],[QT_AREA_REST2]]&gt;0,"Reestimativa 2",IF(ESTIMATIVA[[#This Row],[QT_AREA_REAL]]=0,"Reestimativa 2","Realizado"))</f>
        <v>Realizado</v>
      </c>
      <c r="X1362" s="1">
        <f>ESTIMATIVA[[#This Row],[QT_AREA_EST]]</f>
        <v>12.32</v>
      </c>
      <c r="Y1362" s="1">
        <f>IF(ESTIMATIVA[[#This Row],[QT_AREA_REST1]]&gt;0,ESTIMATIVA[[#This Row],[QT_AREA_REST1]],
  IF(ESTIMATIVA[[#This Row],[QT_AREA_REAL]]&gt;0,ESTIMATIVA[[#This Row],[QT_AREA_REAL]],ESTIMATIVA[[#This Row],[QT_AREA_EST]]))</f>
        <v>12.32</v>
      </c>
      <c r="Z136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12.32</v>
      </c>
      <c r="AA1362" s="1">
        <f>ESTIMATIVA[[#This Row],[QT_CANA_EST]]</f>
        <v>1158.08</v>
      </c>
      <c r="AB1362" s="1">
        <f>IF(ESTIMATIVA[[#This Row],[QT_CANA_REST1]]&gt;0,ESTIMATIVA[[#This Row],[QT_CANA_REST1]],
  IF(ESTIMATIVA[[#This Row],[QT_CANA_REAL]]&gt;0,ESTIMATIVA[[#This Row],[QT_CANA_REAL]],ESTIMATIVA[[#This Row],[QT_CANA_EST]]))</f>
        <v>1129.5</v>
      </c>
      <c r="AC136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1129.5</v>
      </c>
      <c r="AD1362" s="1">
        <f>IF(ESTIMATIVA[[#This Row],[QT_AREA_REAL]]&gt;0,ESTIMATIVA[[#This Row],[QT_CANA_REAL]],ESTIMATIVA[[#This Row],[QT_CANA_EST]])</f>
        <v>1129.5</v>
      </c>
      <c r="AE1362" s="1">
        <f>IF(ESTIMATIVA[[#This Row],[QT_AREA_REAL]]&gt;0,ESTIMATIVA[[#This Row],[QT_CANA_REAL]],ESTIMATIVA[[#This Row],[QT_CANA_REST1]])</f>
        <v>1129.5</v>
      </c>
      <c r="AF1362" s="1">
        <f>IF(ESTIMATIVA[[#This Row],[QT_AREA_REAL]]&gt;0,ESTIMATIVA[[#This Row],[QT_CANA_REAL]],ESTIMATIVA[[#This Row],[QT_CANA_REST2]])</f>
        <v>1129.5</v>
      </c>
      <c r="AG1362" s="1" t="str">
        <f>IF(COUNTIFS(GEADA!A:A,VALUE(ESTIMATIVA[[#This Row],[CD_UPNIVEL1]]&amp;TEXT(ESTIMATIVA[[#This Row],[CD_UPNIVEL3]],"0000")))&gt;0,"S","N")</f>
        <v>N</v>
      </c>
      <c r="AH136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362" s="55" t="str">
        <f>IF(ESTIMATIVA[[#This Row],[TP_CULTIVO]]="Irrigado",_xlfn.MAXIFS(IRRIGADO!J:J,IRRIGADO!C:C,ESTIMATIVA[[#This Row],[CD_UPNIVEL1]],IRRIGADO!E:E,ESTIMATIVA[[#This Row],[CD_UPNIVEL3]]),"")</f>
        <v/>
      </c>
      <c r="AJ136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62" s="1">
        <f>COUNTIFS(Apresentação!$E$23:$E$29,ESTIMATIVA[[#This Row],[CD_UPNIVEL1]])</f>
        <v>0</v>
      </c>
    </row>
    <row r="1363" spans="1:37" x14ac:dyDescent="0.3">
      <c r="A1363">
        <v>20553</v>
      </c>
      <c r="B1363" t="s">
        <v>151</v>
      </c>
      <c r="C1363">
        <v>1</v>
      </c>
      <c r="D1363">
        <v>4</v>
      </c>
      <c r="E1363" t="s">
        <v>265</v>
      </c>
      <c r="F1363" s="85" t="s">
        <v>331</v>
      </c>
      <c r="G1363"/>
      <c r="H1363" t="s">
        <v>295</v>
      </c>
      <c r="I1363" t="s">
        <v>212</v>
      </c>
      <c r="J1363" t="s">
        <v>176</v>
      </c>
      <c r="K1363" s="1">
        <v>17.48</v>
      </c>
      <c r="L1363" s="1">
        <v>17.48</v>
      </c>
      <c r="M1363" s="1">
        <v>17.48</v>
      </c>
      <c r="N1363" s="1">
        <v>17.48</v>
      </c>
      <c r="O1363" s="1">
        <v>1188.6400000000001</v>
      </c>
      <c r="P1363" s="1">
        <v>1206.1199999999999</v>
      </c>
      <c r="Q1363" s="1">
        <v>1223.5999999999999</v>
      </c>
      <c r="R1363" s="1">
        <v>1313.28</v>
      </c>
      <c r="S1363" t="s">
        <v>12</v>
      </c>
      <c r="T1363" s="13">
        <v>45935</v>
      </c>
      <c r="U1363" s="1" t="str">
        <f>IF(ESTIMATIVA[[#This Row],[QT_AREA_REAL]]&gt;0,"1- Colhido","2- à Colher")</f>
        <v>1- Colhido</v>
      </c>
      <c r="V1363" s="1" t="str">
        <f>IF(ESTIMATIVA[[#This Row],[QT_AREA_REST1]]&gt;0,"Reestimativa 1",IF(ESTIMATIVA[[#This Row],[QT_AREA_REAL]]=0,"Reestimativa 1","Realizado"))</f>
        <v>Reestimativa 1</v>
      </c>
      <c r="W1363" s="1" t="str">
        <f>IF(ESTIMATIVA[[#This Row],[QT_AREA_REST2]]&gt;0,"Reestimativa 2",IF(ESTIMATIVA[[#This Row],[QT_AREA_REAL]]=0,"Reestimativa 2","Realizado"))</f>
        <v>Reestimativa 2</v>
      </c>
      <c r="X1363" s="1">
        <f>ESTIMATIVA[[#This Row],[QT_AREA_EST]]</f>
        <v>17.48</v>
      </c>
      <c r="Y1363" s="1">
        <f>IF(ESTIMATIVA[[#This Row],[QT_AREA_REST1]]&gt;0,ESTIMATIVA[[#This Row],[QT_AREA_REST1]],
  IF(ESTIMATIVA[[#This Row],[QT_AREA_REAL]]&gt;0,ESTIMATIVA[[#This Row],[QT_AREA_REAL]],ESTIMATIVA[[#This Row],[QT_AREA_EST]]))</f>
        <v>17.48</v>
      </c>
      <c r="Z136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17.48</v>
      </c>
      <c r="AA1363" s="1">
        <f>ESTIMATIVA[[#This Row],[QT_CANA_EST]]</f>
        <v>1188.6400000000001</v>
      </c>
      <c r="AB1363" s="1">
        <f>IF(ESTIMATIVA[[#This Row],[QT_CANA_REST1]]&gt;0,ESTIMATIVA[[#This Row],[QT_CANA_REST1]],
  IF(ESTIMATIVA[[#This Row],[QT_CANA_REAL]]&gt;0,ESTIMATIVA[[#This Row],[QT_CANA_REAL]],ESTIMATIVA[[#This Row],[QT_CANA_EST]]))</f>
        <v>1206.1199999999999</v>
      </c>
      <c r="AC136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1223.5999999999999</v>
      </c>
      <c r="AD1363" s="1">
        <f>IF(ESTIMATIVA[[#This Row],[QT_AREA_REAL]]&gt;0,ESTIMATIVA[[#This Row],[QT_CANA_REAL]],ESTIMATIVA[[#This Row],[QT_CANA_EST]])</f>
        <v>1313.28</v>
      </c>
      <c r="AE1363" s="1">
        <f>IF(ESTIMATIVA[[#This Row],[QT_AREA_REAL]]&gt;0,ESTIMATIVA[[#This Row],[QT_CANA_REAL]],ESTIMATIVA[[#This Row],[QT_CANA_REST1]])</f>
        <v>1313.28</v>
      </c>
      <c r="AF1363" s="1">
        <f>IF(ESTIMATIVA[[#This Row],[QT_AREA_REAL]]&gt;0,ESTIMATIVA[[#This Row],[QT_CANA_REAL]],ESTIMATIVA[[#This Row],[QT_CANA_REST2]])</f>
        <v>1313.28</v>
      </c>
      <c r="AG1363" s="1" t="str">
        <f>IF(COUNTIFS(GEADA!A:A,VALUE(ESTIMATIVA[[#This Row],[CD_UPNIVEL1]]&amp;TEXT(ESTIMATIVA[[#This Row],[CD_UPNIVEL3]],"0000")))&gt;0,"S","N")</f>
        <v>N</v>
      </c>
      <c r="AH1363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363" s="55">
        <f>IF(ESTIMATIVA[[#This Row],[TP_CULTIVO]]="Irrigado",_xlfn.MAXIFS(IRRIGADO!J:J,IRRIGADO!C:C,ESTIMATIVA[[#This Row],[CD_UPNIVEL1]],IRRIGADO!E:E,ESTIMATIVA[[#This Row],[CD_UPNIVEL3]]),"")</f>
        <v>45626</v>
      </c>
      <c r="AJ1363" s="1">
        <f>IF(ESTIMATIVA[[#This Row],[TP_CULTIVO]]&lt;&gt;"Irrigado",0,AVERAGEIFS(IRRIGADO!G:G,IRRIGADO!C:C,ESTIMATIVA[[#This Row],[CD_UPNIVEL1]],IRRIGADO!E:E,ESTIMATIVA[[#This Row],[CD_UPNIVEL3]])*ESTIMATIVA[[#This Row],[QT_AREA_REAL]])</f>
        <v>349.6</v>
      </c>
      <c r="AK1363" s="1">
        <f>COUNTIFS(Apresentação!$E$23:$E$29,ESTIMATIVA[[#This Row],[CD_UPNIVEL1]])</f>
        <v>0</v>
      </c>
    </row>
    <row r="1364" spans="1:37" x14ac:dyDescent="0.3">
      <c r="A1364">
        <v>20553</v>
      </c>
      <c r="B1364" t="s">
        <v>151</v>
      </c>
      <c r="C1364">
        <v>2</v>
      </c>
      <c r="D1364">
        <v>4</v>
      </c>
      <c r="E1364" t="s">
        <v>265</v>
      </c>
      <c r="F1364" s="85" t="s">
        <v>331</v>
      </c>
      <c r="G1364"/>
      <c r="H1364" t="s">
        <v>295</v>
      </c>
      <c r="I1364" t="s">
        <v>212</v>
      </c>
      <c r="J1364" t="s">
        <v>176</v>
      </c>
      <c r="K1364" s="1">
        <v>26.08</v>
      </c>
      <c r="L1364" s="1">
        <v>26.08</v>
      </c>
      <c r="M1364" s="1">
        <v>26.08</v>
      </c>
      <c r="N1364" s="1">
        <v>26.08</v>
      </c>
      <c r="O1364" s="1">
        <v>1773.44</v>
      </c>
      <c r="P1364" s="1">
        <v>1799.52</v>
      </c>
      <c r="Q1364" s="1">
        <v>1799.52</v>
      </c>
      <c r="R1364" s="1">
        <v>1931.33</v>
      </c>
      <c r="S1364" t="s">
        <v>12</v>
      </c>
      <c r="T1364" s="13">
        <v>45935</v>
      </c>
      <c r="U1364" s="1" t="str">
        <f>IF(ESTIMATIVA[[#This Row],[QT_AREA_REAL]]&gt;0,"1- Colhido","2- à Colher")</f>
        <v>1- Colhido</v>
      </c>
      <c r="V1364" s="1" t="str">
        <f>IF(ESTIMATIVA[[#This Row],[QT_AREA_REST1]]&gt;0,"Reestimativa 1",IF(ESTIMATIVA[[#This Row],[QT_AREA_REAL]]=0,"Reestimativa 1","Realizado"))</f>
        <v>Reestimativa 1</v>
      </c>
      <c r="W1364" s="1" t="str">
        <f>IF(ESTIMATIVA[[#This Row],[QT_AREA_REST2]]&gt;0,"Reestimativa 2",IF(ESTIMATIVA[[#This Row],[QT_AREA_REAL]]=0,"Reestimativa 2","Realizado"))</f>
        <v>Reestimativa 2</v>
      </c>
      <c r="X1364" s="1">
        <f>ESTIMATIVA[[#This Row],[QT_AREA_EST]]</f>
        <v>26.08</v>
      </c>
      <c r="Y1364" s="1">
        <f>IF(ESTIMATIVA[[#This Row],[QT_AREA_REST1]]&gt;0,ESTIMATIVA[[#This Row],[QT_AREA_REST1]],
  IF(ESTIMATIVA[[#This Row],[QT_AREA_REAL]]&gt;0,ESTIMATIVA[[#This Row],[QT_AREA_REAL]],ESTIMATIVA[[#This Row],[QT_AREA_EST]]))</f>
        <v>26.08</v>
      </c>
      <c r="Z136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26.08</v>
      </c>
      <c r="AA1364" s="1">
        <f>ESTIMATIVA[[#This Row],[QT_CANA_EST]]</f>
        <v>1773.44</v>
      </c>
      <c r="AB1364" s="1">
        <f>IF(ESTIMATIVA[[#This Row],[QT_CANA_REST1]]&gt;0,ESTIMATIVA[[#This Row],[QT_CANA_REST1]],
  IF(ESTIMATIVA[[#This Row],[QT_CANA_REAL]]&gt;0,ESTIMATIVA[[#This Row],[QT_CANA_REAL]],ESTIMATIVA[[#This Row],[QT_CANA_EST]]))</f>
        <v>1799.52</v>
      </c>
      <c r="AC136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1799.52</v>
      </c>
      <c r="AD1364" s="1">
        <f>IF(ESTIMATIVA[[#This Row],[QT_AREA_REAL]]&gt;0,ESTIMATIVA[[#This Row],[QT_CANA_REAL]],ESTIMATIVA[[#This Row],[QT_CANA_EST]])</f>
        <v>1931.33</v>
      </c>
      <c r="AE1364" s="1">
        <f>IF(ESTIMATIVA[[#This Row],[QT_AREA_REAL]]&gt;0,ESTIMATIVA[[#This Row],[QT_CANA_REAL]],ESTIMATIVA[[#This Row],[QT_CANA_REST1]])</f>
        <v>1931.33</v>
      </c>
      <c r="AF1364" s="1">
        <f>IF(ESTIMATIVA[[#This Row],[QT_AREA_REAL]]&gt;0,ESTIMATIVA[[#This Row],[QT_CANA_REAL]],ESTIMATIVA[[#This Row],[QT_CANA_REST2]])</f>
        <v>1931.33</v>
      </c>
      <c r="AG1364" s="1" t="str">
        <f>IF(COUNTIFS(GEADA!A:A,VALUE(ESTIMATIVA[[#This Row],[CD_UPNIVEL1]]&amp;TEXT(ESTIMATIVA[[#This Row],[CD_UPNIVEL3]],"0000")))&gt;0,"S","N")</f>
        <v>N</v>
      </c>
      <c r="AH1364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364" s="55">
        <f>IF(ESTIMATIVA[[#This Row],[TP_CULTIVO]]="Irrigado",_xlfn.MAXIFS(IRRIGADO!J:J,IRRIGADO!C:C,ESTIMATIVA[[#This Row],[CD_UPNIVEL1]],IRRIGADO!E:E,ESTIMATIVA[[#This Row],[CD_UPNIVEL3]]),"")</f>
        <v>45626</v>
      </c>
      <c r="AJ1364" s="1">
        <f>IF(ESTIMATIVA[[#This Row],[TP_CULTIVO]]&lt;&gt;"Irrigado",0,AVERAGEIFS(IRRIGADO!G:G,IRRIGADO!C:C,ESTIMATIVA[[#This Row],[CD_UPNIVEL1]],IRRIGADO!E:E,ESTIMATIVA[[#This Row],[CD_UPNIVEL3]])*ESTIMATIVA[[#This Row],[QT_AREA_REAL]])</f>
        <v>521.59999999999991</v>
      </c>
      <c r="AK1364" s="1">
        <f>COUNTIFS(Apresentação!$E$23:$E$29,ESTIMATIVA[[#This Row],[CD_UPNIVEL1]])</f>
        <v>0</v>
      </c>
    </row>
    <row r="1365" spans="1:37" x14ac:dyDescent="0.3">
      <c r="A1365">
        <v>20553</v>
      </c>
      <c r="B1365" t="s">
        <v>151</v>
      </c>
      <c r="C1365">
        <v>3</v>
      </c>
      <c r="D1365">
        <v>4</v>
      </c>
      <c r="E1365" t="s">
        <v>265</v>
      </c>
      <c r="F1365" s="85" t="s">
        <v>331</v>
      </c>
      <c r="G1365"/>
      <c r="H1365" t="s">
        <v>295</v>
      </c>
      <c r="I1365" t="s">
        <v>212</v>
      </c>
      <c r="J1365" t="s">
        <v>176</v>
      </c>
      <c r="K1365" s="1">
        <v>30.98</v>
      </c>
      <c r="L1365" s="1">
        <v>30.98</v>
      </c>
      <c r="M1365" s="1">
        <v>30.98</v>
      </c>
      <c r="N1365" s="1">
        <v>30.98</v>
      </c>
      <c r="O1365" s="1">
        <v>2106.64</v>
      </c>
      <c r="P1365" s="1">
        <v>2137.62</v>
      </c>
      <c r="Q1365" s="1">
        <v>2137.62</v>
      </c>
      <c r="R1365" s="1">
        <v>2294.27</v>
      </c>
      <c r="S1365" t="s">
        <v>12</v>
      </c>
      <c r="T1365" s="13">
        <v>45935</v>
      </c>
      <c r="U1365" s="1" t="str">
        <f>IF(ESTIMATIVA[[#This Row],[QT_AREA_REAL]]&gt;0,"1- Colhido","2- à Colher")</f>
        <v>1- Colhido</v>
      </c>
      <c r="V1365" s="1" t="str">
        <f>IF(ESTIMATIVA[[#This Row],[QT_AREA_REST1]]&gt;0,"Reestimativa 1",IF(ESTIMATIVA[[#This Row],[QT_AREA_REAL]]=0,"Reestimativa 1","Realizado"))</f>
        <v>Reestimativa 1</v>
      </c>
      <c r="W1365" s="1" t="str">
        <f>IF(ESTIMATIVA[[#This Row],[QT_AREA_REST2]]&gt;0,"Reestimativa 2",IF(ESTIMATIVA[[#This Row],[QT_AREA_REAL]]=0,"Reestimativa 2","Realizado"))</f>
        <v>Reestimativa 2</v>
      </c>
      <c r="X1365" s="1">
        <f>ESTIMATIVA[[#This Row],[QT_AREA_EST]]</f>
        <v>30.98</v>
      </c>
      <c r="Y1365" s="1">
        <f>IF(ESTIMATIVA[[#This Row],[QT_AREA_REST1]]&gt;0,ESTIMATIVA[[#This Row],[QT_AREA_REST1]],
  IF(ESTIMATIVA[[#This Row],[QT_AREA_REAL]]&gt;0,ESTIMATIVA[[#This Row],[QT_AREA_REAL]],ESTIMATIVA[[#This Row],[QT_AREA_EST]]))</f>
        <v>30.98</v>
      </c>
      <c r="Z136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30.98</v>
      </c>
      <c r="AA1365" s="1">
        <f>ESTIMATIVA[[#This Row],[QT_CANA_EST]]</f>
        <v>2106.64</v>
      </c>
      <c r="AB1365" s="1">
        <f>IF(ESTIMATIVA[[#This Row],[QT_CANA_REST1]]&gt;0,ESTIMATIVA[[#This Row],[QT_CANA_REST1]],
  IF(ESTIMATIVA[[#This Row],[QT_CANA_REAL]]&gt;0,ESTIMATIVA[[#This Row],[QT_CANA_REAL]],ESTIMATIVA[[#This Row],[QT_CANA_EST]]))</f>
        <v>2137.62</v>
      </c>
      <c r="AC136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2137.62</v>
      </c>
      <c r="AD1365" s="1">
        <f>IF(ESTIMATIVA[[#This Row],[QT_AREA_REAL]]&gt;0,ESTIMATIVA[[#This Row],[QT_CANA_REAL]],ESTIMATIVA[[#This Row],[QT_CANA_EST]])</f>
        <v>2294.27</v>
      </c>
      <c r="AE1365" s="1">
        <f>IF(ESTIMATIVA[[#This Row],[QT_AREA_REAL]]&gt;0,ESTIMATIVA[[#This Row],[QT_CANA_REAL]],ESTIMATIVA[[#This Row],[QT_CANA_REST1]])</f>
        <v>2294.27</v>
      </c>
      <c r="AF1365" s="1">
        <f>IF(ESTIMATIVA[[#This Row],[QT_AREA_REAL]]&gt;0,ESTIMATIVA[[#This Row],[QT_CANA_REAL]],ESTIMATIVA[[#This Row],[QT_CANA_REST2]])</f>
        <v>2294.27</v>
      </c>
      <c r="AG1365" s="1" t="str">
        <f>IF(COUNTIFS(GEADA!A:A,VALUE(ESTIMATIVA[[#This Row],[CD_UPNIVEL1]]&amp;TEXT(ESTIMATIVA[[#This Row],[CD_UPNIVEL3]],"0000")))&gt;0,"S","N")</f>
        <v>N</v>
      </c>
      <c r="AH1365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365" s="55">
        <f>IF(ESTIMATIVA[[#This Row],[TP_CULTIVO]]="Irrigado",_xlfn.MAXIFS(IRRIGADO!J:J,IRRIGADO!C:C,ESTIMATIVA[[#This Row],[CD_UPNIVEL1]],IRRIGADO!E:E,ESTIMATIVA[[#This Row],[CD_UPNIVEL3]]),"")</f>
        <v>45626</v>
      </c>
      <c r="AJ1365" s="1">
        <f>IF(ESTIMATIVA[[#This Row],[TP_CULTIVO]]&lt;&gt;"Irrigado",0,AVERAGEIFS(IRRIGADO!G:G,IRRIGADO!C:C,ESTIMATIVA[[#This Row],[CD_UPNIVEL1]],IRRIGADO!E:E,ESTIMATIVA[[#This Row],[CD_UPNIVEL3]])*ESTIMATIVA[[#This Row],[QT_AREA_REAL]])</f>
        <v>619.6</v>
      </c>
      <c r="AK1365" s="1">
        <f>COUNTIFS(Apresentação!$E$23:$E$29,ESTIMATIVA[[#This Row],[CD_UPNIVEL1]])</f>
        <v>0</v>
      </c>
    </row>
    <row r="1366" spans="1:37" x14ac:dyDescent="0.3">
      <c r="A1366">
        <v>20553</v>
      </c>
      <c r="B1366" t="s">
        <v>151</v>
      </c>
      <c r="C1366">
        <v>4</v>
      </c>
      <c r="D1366">
        <v>4</v>
      </c>
      <c r="E1366" t="s">
        <v>265</v>
      </c>
      <c r="F1366" s="85" t="s">
        <v>331</v>
      </c>
      <c r="G1366"/>
      <c r="H1366" t="s">
        <v>295</v>
      </c>
      <c r="I1366" t="s">
        <v>212</v>
      </c>
      <c r="J1366" t="s">
        <v>176</v>
      </c>
      <c r="K1366" s="1">
        <v>39.520000000000003</v>
      </c>
      <c r="L1366" s="1">
        <v>39.520000000000003</v>
      </c>
      <c r="M1366" s="1">
        <v>39.520000000000003</v>
      </c>
      <c r="N1366" s="1">
        <v>39.520000000000003</v>
      </c>
      <c r="O1366" s="1">
        <v>2687.36</v>
      </c>
      <c r="P1366" s="1">
        <v>2726.88</v>
      </c>
      <c r="Q1366" s="1">
        <v>2371.1999999999998</v>
      </c>
      <c r="R1366" s="1">
        <v>2796.69</v>
      </c>
      <c r="S1366" t="s">
        <v>12</v>
      </c>
      <c r="T1366" s="13">
        <v>45942</v>
      </c>
      <c r="U1366" s="1" t="str">
        <f>IF(ESTIMATIVA[[#This Row],[QT_AREA_REAL]]&gt;0,"1- Colhido","2- à Colher")</f>
        <v>1- Colhido</v>
      </c>
      <c r="V1366" s="1" t="str">
        <f>IF(ESTIMATIVA[[#This Row],[QT_AREA_REST1]]&gt;0,"Reestimativa 1",IF(ESTIMATIVA[[#This Row],[QT_AREA_REAL]]=0,"Reestimativa 1","Realizado"))</f>
        <v>Reestimativa 1</v>
      </c>
      <c r="W1366" s="1" t="str">
        <f>IF(ESTIMATIVA[[#This Row],[QT_AREA_REST2]]&gt;0,"Reestimativa 2",IF(ESTIMATIVA[[#This Row],[QT_AREA_REAL]]=0,"Reestimativa 2","Realizado"))</f>
        <v>Reestimativa 2</v>
      </c>
      <c r="X1366" s="1">
        <f>ESTIMATIVA[[#This Row],[QT_AREA_EST]]</f>
        <v>39.520000000000003</v>
      </c>
      <c r="Y1366" s="1">
        <f>IF(ESTIMATIVA[[#This Row],[QT_AREA_REST1]]&gt;0,ESTIMATIVA[[#This Row],[QT_AREA_REST1]],
  IF(ESTIMATIVA[[#This Row],[QT_AREA_REAL]]&gt;0,ESTIMATIVA[[#This Row],[QT_AREA_REAL]],ESTIMATIVA[[#This Row],[QT_AREA_EST]]))</f>
        <v>39.520000000000003</v>
      </c>
      <c r="Z136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39.520000000000003</v>
      </c>
      <c r="AA1366" s="1">
        <f>ESTIMATIVA[[#This Row],[QT_CANA_EST]]</f>
        <v>2687.36</v>
      </c>
      <c r="AB1366" s="1">
        <f>IF(ESTIMATIVA[[#This Row],[QT_CANA_REST1]]&gt;0,ESTIMATIVA[[#This Row],[QT_CANA_REST1]],
  IF(ESTIMATIVA[[#This Row],[QT_CANA_REAL]]&gt;0,ESTIMATIVA[[#This Row],[QT_CANA_REAL]],ESTIMATIVA[[#This Row],[QT_CANA_EST]]))</f>
        <v>2726.88</v>
      </c>
      <c r="AC136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2371.1999999999998</v>
      </c>
      <c r="AD1366" s="1">
        <f>IF(ESTIMATIVA[[#This Row],[QT_AREA_REAL]]&gt;0,ESTIMATIVA[[#This Row],[QT_CANA_REAL]],ESTIMATIVA[[#This Row],[QT_CANA_EST]])</f>
        <v>2796.69</v>
      </c>
      <c r="AE1366" s="1">
        <f>IF(ESTIMATIVA[[#This Row],[QT_AREA_REAL]]&gt;0,ESTIMATIVA[[#This Row],[QT_CANA_REAL]],ESTIMATIVA[[#This Row],[QT_CANA_REST1]])</f>
        <v>2796.69</v>
      </c>
      <c r="AF1366" s="1">
        <f>IF(ESTIMATIVA[[#This Row],[QT_AREA_REAL]]&gt;0,ESTIMATIVA[[#This Row],[QT_CANA_REAL]],ESTIMATIVA[[#This Row],[QT_CANA_REST2]])</f>
        <v>2796.69</v>
      </c>
      <c r="AG1366" s="1" t="str">
        <f>IF(COUNTIFS(GEADA!A:A,VALUE(ESTIMATIVA[[#This Row],[CD_UPNIVEL1]]&amp;TEXT(ESTIMATIVA[[#This Row],[CD_UPNIVEL3]],"0000")))&gt;0,"S","N")</f>
        <v>S</v>
      </c>
      <c r="AH1366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366" s="55">
        <f>IF(ESTIMATIVA[[#This Row],[TP_CULTIVO]]="Irrigado",_xlfn.MAXIFS(IRRIGADO!J:J,IRRIGADO!C:C,ESTIMATIVA[[#This Row],[CD_UPNIVEL1]],IRRIGADO!E:E,ESTIMATIVA[[#This Row],[CD_UPNIVEL3]]),"")</f>
        <v>45626</v>
      </c>
      <c r="AJ1366" s="1">
        <f>IF(ESTIMATIVA[[#This Row],[TP_CULTIVO]]&lt;&gt;"Irrigado",0,AVERAGEIFS(IRRIGADO!G:G,IRRIGADO!C:C,ESTIMATIVA[[#This Row],[CD_UPNIVEL1]],IRRIGADO!E:E,ESTIMATIVA[[#This Row],[CD_UPNIVEL3]])*ESTIMATIVA[[#This Row],[QT_AREA_REAL]])</f>
        <v>790.40000000000009</v>
      </c>
      <c r="AK1366" s="1">
        <f>COUNTIFS(Apresentação!$E$23:$E$29,ESTIMATIVA[[#This Row],[CD_UPNIVEL1]])</f>
        <v>0</v>
      </c>
    </row>
    <row r="1367" spans="1:37" x14ac:dyDescent="0.3">
      <c r="A1367">
        <v>20553</v>
      </c>
      <c r="B1367" t="s">
        <v>151</v>
      </c>
      <c r="C1367">
        <v>5</v>
      </c>
      <c r="D1367">
        <v>4</v>
      </c>
      <c r="E1367" t="s">
        <v>265</v>
      </c>
      <c r="F1367" s="85" t="s">
        <v>333</v>
      </c>
      <c r="G1367"/>
      <c r="H1367" t="s">
        <v>295</v>
      </c>
      <c r="I1367" t="s">
        <v>212</v>
      </c>
      <c r="J1367" t="s">
        <v>176</v>
      </c>
      <c r="K1367" s="1">
        <v>36.93</v>
      </c>
      <c r="L1367" s="1">
        <v>36.93</v>
      </c>
      <c r="M1367" s="1">
        <v>36.93</v>
      </c>
      <c r="N1367" s="1">
        <v>36.93</v>
      </c>
      <c r="O1367" s="1">
        <v>2511.2399999999998</v>
      </c>
      <c r="P1367" s="1">
        <v>2548.17</v>
      </c>
      <c r="Q1367" s="1">
        <v>2289.66</v>
      </c>
      <c r="R1367" s="1">
        <v>2701.33</v>
      </c>
      <c r="S1367" t="s">
        <v>12</v>
      </c>
      <c r="T1367" s="13">
        <v>45942</v>
      </c>
      <c r="U1367" s="1" t="str">
        <f>IF(ESTIMATIVA[[#This Row],[QT_AREA_REAL]]&gt;0,"1- Colhido","2- à Colher")</f>
        <v>1- Colhido</v>
      </c>
      <c r="V1367" s="1" t="str">
        <f>IF(ESTIMATIVA[[#This Row],[QT_AREA_REST1]]&gt;0,"Reestimativa 1",IF(ESTIMATIVA[[#This Row],[QT_AREA_REAL]]=0,"Reestimativa 1","Realizado"))</f>
        <v>Reestimativa 1</v>
      </c>
      <c r="W1367" s="1" t="str">
        <f>IF(ESTIMATIVA[[#This Row],[QT_AREA_REST2]]&gt;0,"Reestimativa 2",IF(ESTIMATIVA[[#This Row],[QT_AREA_REAL]]=0,"Reestimativa 2","Realizado"))</f>
        <v>Reestimativa 2</v>
      </c>
      <c r="X1367" s="1">
        <f>ESTIMATIVA[[#This Row],[QT_AREA_EST]]</f>
        <v>36.93</v>
      </c>
      <c r="Y1367" s="1">
        <f>IF(ESTIMATIVA[[#This Row],[QT_AREA_REST1]]&gt;0,ESTIMATIVA[[#This Row],[QT_AREA_REST1]],
  IF(ESTIMATIVA[[#This Row],[QT_AREA_REAL]]&gt;0,ESTIMATIVA[[#This Row],[QT_AREA_REAL]],ESTIMATIVA[[#This Row],[QT_AREA_EST]]))</f>
        <v>36.93</v>
      </c>
      <c r="Z136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36.93</v>
      </c>
      <c r="AA1367" s="1">
        <f>ESTIMATIVA[[#This Row],[QT_CANA_EST]]</f>
        <v>2511.2399999999998</v>
      </c>
      <c r="AB1367" s="1">
        <f>IF(ESTIMATIVA[[#This Row],[QT_CANA_REST1]]&gt;0,ESTIMATIVA[[#This Row],[QT_CANA_REST1]],
  IF(ESTIMATIVA[[#This Row],[QT_CANA_REAL]]&gt;0,ESTIMATIVA[[#This Row],[QT_CANA_REAL]],ESTIMATIVA[[#This Row],[QT_CANA_EST]]))</f>
        <v>2548.17</v>
      </c>
      <c r="AC136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2289.66</v>
      </c>
      <c r="AD1367" s="1">
        <f>IF(ESTIMATIVA[[#This Row],[QT_AREA_REAL]]&gt;0,ESTIMATIVA[[#This Row],[QT_CANA_REAL]],ESTIMATIVA[[#This Row],[QT_CANA_EST]])</f>
        <v>2701.33</v>
      </c>
      <c r="AE1367" s="1">
        <f>IF(ESTIMATIVA[[#This Row],[QT_AREA_REAL]]&gt;0,ESTIMATIVA[[#This Row],[QT_CANA_REAL]],ESTIMATIVA[[#This Row],[QT_CANA_REST1]])</f>
        <v>2701.33</v>
      </c>
      <c r="AF1367" s="1">
        <f>IF(ESTIMATIVA[[#This Row],[QT_AREA_REAL]]&gt;0,ESTIMATIVA[[#This Row],[QT_CANA_REAL]],ESTIMATIVA[[#This Row],[QT_CANA_REST2]])</f>
        <v>2701.33</v>
      </c>
      <c r="AG1367" s="1" t="str">
        <f>IF(COUNTIFS(GEADA!A:A,VALUE(ESTIMATIVA[[#This Row],[CD_UPNIVEL1]]&amp;TEXT(ESTIMATIVA[[#This Row],[CD_UPNIVEL3]],"0000")))&gt;0,"S","N")</f>
        <v>S</v>
      </c>
      <c r="AH1367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367" s="55">
        <f>IF(ESTIMATIVA[[#This Row],[TP_CULTIVO]]="Irrigado",_xlfn.MAXIFS(IRRIGADO!J:J,IRRIGADO!C:C,ESTIMATIVA[[#This Row],[CD_UPNIVEL1]],IRRIGADO!E:E,ESTIMATIVA[[#This Row],[CD_UPNIVEL3]]),"")</f>
        <v>45626</v>
      </c>
      <c r="AJ1367" s="1">
        <f>IF(ESTIMATIVA[[#This Row],[TP_CULTIVO]]&lt;&gt;"Irrigado",0,AVERAGEIFS(IRRIGADO!G:G,IRRIGADO!C:C,ESTIMATIVA[[#This Row],[CD_UPNIVEL1]],IRRIGADO!E:E,ESTIMATIVA[[#This Row],[CD_UPNIVEL3]])*ESTIMATIVA[[#This Row],[QT_AREA_REAL]])</f>
        <v>738.6</v>
      </c>
      <c r="AK1367" s="1">
        <f>COUNTIFS(Apresentação!$E$23:$E$29,ESTIMATIVA[[#This Row],[CD_UPNIVEL1]])</f>
        <v>0</v>
      </c>
    </row>
    <row r="1368" spans="1:37" x14ac:dyDescent="0.3">
      <c r="A1368">
        <v>20553</v>
      </c>
      <c r="B1368" t="s">
        <v>151</v>
      </c>
      <c r="C1368">
        <v>7</v>
      </c>
      <c r="D1368">
        <v>4</v>
      </c>
      <c r="E1368" t="s">
        <v>265</v>
      </c>
      <c r="F1368" s="85" t="s">
        <v>331</v>
      </c>
      <c r="G1368"/>
      <c r="H1368" t="s">
        <v>295</v>
      </c>
      <c r="I1368" t="s">
        <v>212</v>
      </c>
      <c r="J1368" t="s">
        <v>176</v>
      </c>
      <c r="K1368" s="1">
        <v>15.17</v>
      </c>
      <c r="L1368" s="1">
        <v>15.17</v>
      </c>
      <c r="M1368" s="1">
        <v>15.17</v>
      </c>
      <c r="N1368" s="1">
        <v>15.17</v>
      </c>
      <c r="O1368" s="1">
        <v>1031.56</v>
      </c>
      <c r="P1368" s="1">
        <v>1061.9000000000001</v>
      </c>
      <c r="Q1368" s="1">
        <v>1061.9000000000001</v>
      </c>
      <c r="R1368" s="1">
        <v>1142.02</v>
      </c>
      <c r="S1368" t="s">
        <v>12</v>
      </c>
      <c r="T1368" s="13">
        <v>45991</v>
      </c>
      <c r="U1368" s="1" t="str">
        <f>IF(ESTIMATIVA[[#This Row],[QT_AREA_REAL]]&gt;0,"1- Colhido","2- à Colher")</f>
        <v>1- Colhido</v>
      </c>
      <c r="V1368" s="1" t="str">
        <f>IF(ESTIMATIVA[[#This Row],[QT_AREA_REST1]]&gt;0,"Reestimativa 1",IF(ESTIMATIVA[[#This Row],[QT_AREA_REAL]]=0,"Reestimativa 1","Realizado"))</f>
        <v>Reestimativa 1</v>
      </c>
      <c r="W1368" s="1" t="str">
        <f>IF(ESTIMATIVA[[#This Row],[QT_AREA_REST2]]&gt;0,"Reestimativa 2",IF(ESTIMATIVA[[#This Row],[QT_AREA_REAL]]=0,"Reestimativa 2","Realizado"))</f>
        <v>Reestimativa 2</v>
      </c>
      <c r="X1368" s="1">
        <f>ESTIMATIVA[[#This Row],[QT_AREA_EST]]</f>
        <v>15.17</v>
      </c>
      <c r="Y1368" s="1">
        <f>IF(ESTIMATIVA[[#This Row],[QT_AREA_REST1]]&gt;0,ESTIMATIVA[[#This Row],[QT_AREA_REST1]],
  IF(ESTIMATIVA[[#This Row],[QT_AREA_REAL]]&gt;0,ESTIMATIVA[[#This Row],[QT_AREA_REAL]],ESTIMATIVA[[#This Row],[QT_AREA_EST]]))</f>
        <v>15.17</v>
      </c>
      <c r="Z136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15.17</v>
      </c>
      <c r="AA1368" s="1">
        <f>ESTIMATIVA[[#This Row],[QT_CANA_EST]]</f>
        <v>1031.56</v>
      </c>
      <c r="AB1368" s="1">
        <f>IF(ESTIMATIVA[[#This Row],[QT_CANA_REST1]]&gt;0,ESTIMATIVA[[#This Row],[QT_CANA_REST1]],
  IF(ESTIMATIVA[[#This Row],[QT_CANA_REAL]]&gt;0,ESTIMATIVA[[#This Row],[QT_CANA_REAL]],ESTIMATIVA[[#This Row],[QT_CANA_EST]]))</f>
        <v>1061.9000000000001</v>
      </c>
      <c r="AC136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1061.9000000000001</v>
      </c>
      <c r="AD1368" s="1">
        <f>IF(ESTIMATIVA[[#This Row],[QT_AREA_REAL]]&gt;0,ESTIMATIVA[[#This Row],[QT_CANA_REAL]],ESTIMATIVA[[#This Row],[QT_CANA_EST]])</f>
        <v>1142.02</v>
      </c>
      <c r="AE1368" s="1">
        <f>IF(ESTIMATIVA[[#This Row],[QT_AREA_REAL]]&gt;0,ESTIMATIVA[[#This Row],[QT_CANA_REAL]],ESTIMATIVA[[#This Row],[QT_CANA_REST1]])</f>
        <v>1142.02</v>
      </c>
      <c r="AF1368" s="1">
        <f>IF(ESTIMATIVA[[#This Row],[QT_AREA_REAL]]&gt;0,ESTIMATIVA[[#This Row],[QT_CANA_REAL]],ESTIMATIVA[[#This Row],[QT_CANA_REST2]])</f>
        <v>1142.02</v>
      </c>
      <c r="AG1368" s="1" t="str">
        <f>IF(COUNTIFS(GEADA!A:A,VALUE(ESTIMATIVA[[#This Row],[CD_UPNIVEL1]]&amp;TEXT(ESTIMATIVA[[#This Row],[CD_UPNIVEL3]],"0000")))&gt;0,"S","N")</f>
        <v>N</v>
      </c>
      <c r="AH136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368" s="55" t="str">
        <f>IF(ESTIMATIVA[[#This Row],[TP_CULTIVO]]="Irrigado",_xlfn.MAXIFS(IRRIGADO!J:J,IRRIGADO!C:C,ESTIMATIVA[[#This Row],[CD_UPNIVEL1]],IRRIGADO!E:E,ESTIMATIVA[[#This Row],[CD_UPNIVEL3]]),"")</f>
        <v/>
      </c>
      <c r="AJ136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68" s="1">
        <f>COUNTIFS(Apresentação!$E$23:$E$29,ESTIMATIVA[[#This Row],[CD_UPNIVEL1]])</f>
        <v>0</v>
      </c>
    </row>
    <row r="1369" spans="1:37" x14ac:dyDescent="0.3">
      <c r="A1369">
        <v>20553</v>
      </c>
      <c r="B1369" t="s">
        <v>151</v>
      </c>
      <c r="C1369">
        <v>8</v>
      </c>
      <c r="D1369">
        <v>4</v>
      </c>
      <c r="E1369" t="s">
        <v>265</v>
      </c>
      <c r="F1369" s="85" t="s">
        <v>333</v>
      </c>
      <c r="G1369"/>
      <c r="H1369" t="s">
        <v>295</v>
      </c>
      <c r="I1369" t="s">
        <v>212</v>
      </c>
      <c r="J1369" t="s">
        <v>176</v>
      </c>
      <c r="K1369" s="1">
        <v>16.78</v>
      </c>
      <c r="L1369" s="1">
        <v>16.78</v>
      </c>
      <c r="M1369" s="1">
        <v>16.78</v>
      </c>
      <c r="N1369" s="1">
        <v>16.78</v>
      </c>
      <c r="O1369" s="1">
        <v>1141.04</v>
      </c>
      <c r="P1369" s="1">
        <v>1174.5999999999999</v>
      </c>
      <c r="Q1369" s="1">
        <v>1174.5999999999999</v>
      </c>
      <c r="R1369" s="1">
        <v>899.46</v>
      </c>
      <c r="S1369" t="s">
        <v>12</v>
      </c>
      <c r="T1369" s="13">
        <v>45991</v>
      </c>
      <c r="U1369" s="1" t="str">
        <f>IF(ESTIMATIVA[[#This Row],[QT_AREA_REAL]]&gt;0,"1- Colhido","2- à Colher")</f>
        <v>1- Colhido</v>
      </c>
      <c r="V1369" s="1" t="str">
        <f>IF(ESTIMATIVA[[#This Row],[QT_AREA_REST1]]&gt;0,"Reestimativa 1",IF(ESTIMATIVA[[#This Row],[QT_AREA_REAL]]=0,"Reestimativa 1","Realizado"))</f>
        <v>Reestimativa 1</v>
      </c>
      <c r="W1369" s="1" t="str">
        <f>IF(ESTIMATIVA[[#This Row],[QT_AREA_REST2]]&gt;0,"Reestimativa 2",IF(ESTIMATIVA[[#This Row],[QT_AREA_REAL]]=0,"Reestimativa 2","Realizado"))</f>
        <v>Reestimativa 2</v>
      </c>
      <c r="X1369" s="1">
        <f>ESTIMATIVA[[#This Row],[QT_AREA_EST]]</f>
        <v>16.78</v>
      </c>
      <c r="Y1369" s="1">
        <f>IF(ESTIMATIVA[[#This Row],[QT_AREA_REST1]]&gt;0,ESTIMATIVA[[#This Row],[QT_AREA_REST1]],
  IF(ESTIMATIVA[[#This Row],[QT_AREA_REAL]]&gt;0,ESTIMATIVA[[#This Row],[QT_AREA_REAL]],ESTIMATIVA[[#This Row],[QT_AREA_EST]]))</f>
        <v>16.78</v>
      </c>
      <c r="Z136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16.78</v>
      </c>
      <c r="AA1369" s="1">
        <f>ESTIMATIVA[[#This Row],[QT_CANA_EST]]</f>
        <v>1141.04</v>
      </c>
      <c r="AB1369" s="1">
        <f>IF(ESTIMATIVA[[#This Row],[QT_CANA_REST1]]&gt;0,ESTIMATIVA[[#This Row],[QT_CANA_REST1]],
  IF(ESTIMATIVA[[#This Row],[QT_CANA_REAL]]&gt;0,ESTIMATIVA[[#This Row],[QT_CANA_REAL]],ESTIMATIVA[[#This Row],[QT_CANA_EST]]))</f>
        <v>1174.5999999999999</v>
      </c>
      <c r="AC136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1174.5999999999999</v>
      </c>
      <c r="AD1369" s="1">
        <f>IF(ESTIMATIVA[[#This Row],[QT_AREA_REAL]]&gt;0,ESTIMATIVA[[#This Row],[QT_CANA_REAL]],ESTIMATIVA[[#This Row],[QT_CANA_EST]])</f>
        <v>899.46</v>
      </c>
      <c r="AE1369" s="1">
        <f>IF(ESTIMATIVA[[#This Row],[QT_AREA_REAL]]&gt;0,ESTIMATIVA[[#This Row],[QT_CANA_REAL]],ESTIMATIVA[[#This Row],[QT_CANA_REST1]])</f>
        <v>899.46</v>
      </c>
      <c r="AF1369" s="1">
        <f>IF(ESTIMATIVA[[#This Row],[QT_AREA_REAL]]&gt;0,ESTIMATIVA[[#This Row],[QT_CANA_REAL]],ESTIMATIVA[[#This Row],[QT_CANA_REST2]])</f>
        <v>899.46</v>
      </c>
      <c r="AG1369" s="1" t="str">
        <f>IF(COUNTIFS(GEADA!A:A,VALUE(ESTIMATIVA[[#This Row],[CD_UPNIVEL1]]&amp;TEXT(ESTIMATIVA[[#This Row],[CD_UPNIVEL3]],"0000")))&gt;0,"S","N")</f>
        <v>S</v>
      </c>
      <c r="AH136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369" s="55" t="str">
        <f>IF(ESTIMATIVA[[#This Row],[TP_CULTIVO]]="Irrigado",_xlfn.MAXIFS(IRRIGADO!J:J,IRRIGADO!C:C,ESTIMATIVA[[#This Row],[CD_UPNIVEL1]],IRRIGADO!E:E,ESTIMATIVA[[#This Row],[CD_UPNIVEL3]]),"")</f>
        <v/>
      </c>
      <c r="AJ136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69" s="1">
        <f>COUNTIFS(Apresentação!$E$23:$E$29,ESTIMATIVA[[#This Row],[CD_UPNIVEL1]])</f>
        <v>0</v>
      </c>
    </row>
    <row r="1370" spans="1:37" x14ac:dyDescent="0.3">
      <c r="A1370">
        <v>20554</v>
      </c>
      <c r="B1370" t="s">
        <v>80</v>
      </c>
      <c r="C1370">
        <v>1</v>
      </c>
      <c r="D1370">
        <v>4</v>
      </c>
      <c r="E1370" t="s">
        <v>265</v>
      </c>
      <c r="F1370" s="85" t="s">
        <v>331</v>
      </c>
      <c r="G1370"/>
      <c r="H1370" t="s">
        <v>294</v>
      </c>
      <c r="I1370" t="s">
        <v>201</v>
      </c>
      <c r="J1370" t="s">
        <v>176</v>
      </c>
      <c r="K1370" s="1">
        <v>4.41</v>
      </c>
      <c r="L1370" s="1">
        <v>0</v>
      </c>
      <c r="M1370" s="1">
        <v>0</v>
      </c>
      <c r="N1370" s="1">
        <v>4.41</v>
      </c>
      <c r="O1370" s="1">
        <v>277.83</v>
      </c>
      <c r="P1370" s="1">
        <v>0</v>
      </c>
      <c r="Q1370" s="1">
        <v>0</v>
      </c>
      <c r="R1370" s="1">
        <v>281.01</v>
      </c>
      <c r="S1370" t="s">
        <v>12</v>
      </c>
      <c r="T1370" s="13">
        <v>45795</v>
      </c>
      <c r="U1370" s="1" t="str">
        <f>IF(ESTIMATIVA[[#This Row],[QT_AREA_REAL]]&gt;0,"1- Colhido","2- à Colher")</f>
        <v>1- Colhido</v>
      </c>
      <c r="V1370" s="1" t="str">
        <f>IF(ESTIMATIVA[[#This Row],[QT_AREA_REST1]]&gt;0,"Reestimativa 1",IF(ESTIMATIVA[[#This Row],[QT_AREA_REAL]]=0,"Reestimativa 1","Realizado"))</f>
        <v>Realizado</v>
      </c>
      <c r="W1370" s="1" t="str">
        <f>IF(ESTIMATIVA[[#This Row],[QT_AREA_REST2]]&gt;0,"Reestimativa 2",IF(ESTIMATIVA[[#This Row],[QT_AREA_REAL]]=0,"Reestimativa 2","Realizado"))</f>
        <v>Realizado</v>
      </c>
      <c r="X1370" s="1">
        <f>ESTIMATIVA[[#This Row],[QT_AREA_EST]]</f>
        <v>4.41</v>
      </c>
      <c r="Y1370" s="1">
        <f>IF(ESTIMATIVA[[#This Row],[QT_AREA_REST1]]&gt;0,ESTIMATIVA[[#This Row],[QT_AREA_REST1]],
  IF(ESTIMATIVA[[#This Row],[QT_AREA_REAL]]&gt;0,ESTIMATIVA[[#This Row],[QT_AREA_REAL]],ESTIMATIVA[[#This Row],[QT_AREA_EST]]))</f>
        <v>4.41</v>
      </c>
      <c r="Z137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4.41</v>
      </c>
      <c r="AA1370" s="1">
        <f>ESTIMATIVA[[#This Row],[QT_CANA_EST]]</f>
        <v>277.83</v>
      </c>
      <c r="AB1370" s="1">
        <f>IF(ESTIMATIVA[[#This Row],[QT_CANA_REST1]]&gt;0,ESTIMATIVA[[#This Row],[QT_CANA_REST1]],
  IF(ESTIMATIVA[[#This Row],[QT_CANA_REAL]]&gt;0,ESTIMATIVA[[#This Row],[QT_CANA_REAL]],ESTIMATIVA[[#This Row],[QT_CANA_EST]]))</f>
        <v>281.01</v>
      </c>
      <c r="AC137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281.01</v>
      </c>
      <c r="AD1370" s="1">
        <f>IF(ESTIMATIVA[[#This Row],[QT_AREA_REAL]]&gt;0,ESTIMATIVA[[#This Row],[QT_CANA_REAL]],ESTIMATIVA[[#This Row],[QT_CANA_EST]])</f>
        <v>281.01</v>
      </c>
      <c r="AE1370" s="1">
        <f>IF(ESTIMATIVA[[#This Row],[QT_AREA_REAL]]&gt;0,ESTIMATIVA[[#This Row],[QT_CANA_REAL]],ESTIMATIVA[[#This Row],[QT_CANA_REST1]])</f>
        <v>281.01</v>
      </c>
      <c r="AF1370" s="1">
        <f>IF(ESTIMATIVA[[#This Row],[QT_AREA_REAL]]&gt;0,ESTIMATIVA[[#This Row],[QT_CANA_REAL]],ESTIMATIVA[[#This Row],[QT_CANA_REST2]])</f>
        <v>281.01</v>
      </c>
      <c r="AG1370" s="1" t="str">
        <f>IF(COUNTIFS(GEADA!A:A,VALUE(ESTIMATIVA[[#This Row],[CD_UPNIVEL1]]&amp;TEXT(ESTIMATIVA[[#This Row],[CD_UPNIVEL3]],"0000")))&gt;0,"S","N")</f>
        <v>N</v>
      </c>
      <c r="AH137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70" s="55" t="str">
        <f>IF(ESTIMATIVA[[#This Row],[TP_CULTIVO]]="Irrigado",_xlfn.MAXIFS(IRRIGADO!J:J,IRRIGADO!C:C,ESTIMATIVA[[#This Row],[CD_UPNIVEL1]],IRRIGADO!E:E,ESTIMATIVA[[#This Row],[CD_UPNIVEL3]]),"")</f>
        <v/>
      </c>
      <c r="AJ137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70" s="1">
        <f>COUNTIFS(Apresentação!$E$23:$E$29,ESTIMATIVA[[#This Row],[CD_UPNIVEL1]])</f>
        <v>0</v>
      </c>
    </row>
    <row r="1371" spans="1:37" x14ac:dyDescent="0.3">
      <c r="A1371">
        <v>20554</v>
      </c>
      <c r="B1371" t="s">
        <v>80</v>
      </c>
      <c r="C1371">
        <v>2</v>
      </c>
      <c r="D1371">
        <v>4</v>
      </c>
      <c r="E1371" t="s">
        <v>265</v>
      </c>
      <c r="F1371" s="85" t="s">
        <v>331</v>
      </c>
      <c r="G1371"/>
      <c r="H1371" t="s">
        <v>294</v>
      </c>
      <c r="I1371" t="s">
        <v>201</v>
      </c>
      <c r="J1371" t="s">
        <v>176</v>
      </c>
      <c r="K1371" s="1">
        <v>21.7</v>
      </c>
      <c r="L1371" s="1">
        <v>0</v>
      </c>
      <c r="M1371" s="1">
        <v>0</v>
      </c>
      <c r="N1371" s="1">
        <v>21.7</v>
      </c>
      <c r="O1371" s="1">
        <v>1367.1</v>
      </c>
      <c r="P1371" s="1">
        <v>0</v>
      </c>
      <c r="Q1371" s="1">
        <v>0</v>
      </c>
      <c r="R1371" s="1">
        <v>1382.03</v>
      </c>
      <c r="S1371" t="s">
        <v>12</v>
      </c>
      <c r="T1371" s="13">
        <v>45795</v>
      </c>
      <c r="U1371" s="1" t="str">
        <f>IF(ESTIMATIVA[[#This Row],[QT_AREA_REAL]]&gt;0,"1- Colhido","2- à Colher")</f>
        <v>1- Colhido</v>
      </c>
      <c r="V1371" s="1" t="str">
        <f>IF(ESTIMATIVA[[#This Row],[QT_AREA_REST1]]&gt;0,"Reestimativa 1",IF(ESTIMATIVA[[#This Row],[QT_AREA_REAL]]=0,"Reestimativa 1","Realizado"))</f>
        <v>Realizado</v>
      </c>
      <c r="W1371" s="1" t="str">
        <f>IF(ESTIMATIVA[[#This Row],[QT_AREA_REST2]]&gt;0,"Reestimativa 2",IF(ESTIMATIVA[[#This Row],[QT_AREA_REAL]]=0,"Reestimativa 2","Realizado"))</f>
        <v>Realizado</v>
      </c>
      <c r="X1371" s="1">
        <f>ESTIMATIVA[[#This Row],[QT_AREA_EST]]</f>
        <v>21.7</v>
      </c>
      <c r="Y1371" s="1">
        <f>IF(ESTIMATIVA[[#This Row],[QT_AREA_REST1]]&gt;0,ESTIMATIVA[[#This Row],[QT_AREA_REST1]],
  IF(ESTIMATIVA[[#This Row],[QT_AREA_REAL]]&gt;0,ESTIMATIVA[[#This Row],[QT_AREA_REAL]],ESTIMATIVA[[#This Row],[QT_AREA_EST]]))</f>
        <v>21.7</v>
      </c>
      <c r="Z137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21.7</v>
      </c>
      <c r="AA1371" s="1">
        <f>ESTIMATIVA[[#This Row],[QT_CANA_EST]]</f>
        <v>1367.1</v>
      </c>
      <c r="AB1371" s="1">
        <f>IF(ESTIMATIVA[[#This Row],[QT_CANA_REST1]]&gt;0,ESTIMATIVA[[#This Row],[QT_CANA_REST1]],
  IF(ESTIMATIVA[[#This Row],[QT_CANA_REAL]]&gt;0,ESTIMATIVA[[#This Row],[QT_CANA_REAL]],ESTIMATIVA[[#This Row],[QT_CANA_EST]]))</f>
        <v>1382.03</v>
      </c>
      <c r="AC137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1382.03</v>
      </c>
      <c r="AD1371" s="1">
        <f>IF(ESTIMATIVA[[#This Row],[QT_AREA_REAL]]&gt;0,ESTIMATIVA[[#This Row],[QT_CANA_REAL]],ESTIMATIVA[[#This Row],[QT_CANA_EST]])</f>
        <v>1382.03</v>
      </c>
      <c r="AE1371" s="1">
        <f>IF(ESTIMATIVA[[#This Row],[QT_AREA_REAL]]&gt;0,ESTIMATIVA[[#This Row],[QT_CANA_REAL]],ESTIMATIVA[[#This Row],[QT_CANA_REST1]])</f>
        <v>1382.03</v>
      </c>
      <c r="AF1371" s="1">
        <f>IF(ESTIMATIVA[[#This Row],[QT_AREA_REAL]]&gt;0,ESTIMATIVA[[#This Row],[QT_CANA_REAL]],ESTIMATIVA[[#This Row],[QT_CANA_REST2]])</f>
        <v>1382.03</v>
      </c>
      <c r="AG1371" s="1" t="str">
        <f>IF(COUNTIFS(GEADA!A:A,VALUE(ESTIMATIVA[[#This Row],[CD_UPNIVEL1]]&amp;TEXT(ESTIMATIVA[[#This Row],[CD_UPNIVEL3]],"0000")))&gt;0,"S","N")</f>
        <v>N</v>
      </c>
      <c r="AH137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71" s="55" t="str">
        <f>IF(ESTIMATIVA[[#This Row],[TP_CULTIVO]]="Irrigado",_xlfn.MAXIFS(IRRIGADO!J:J,IRRIGADO!C:C,ESTIMATIVA[[#This Row],[CD_UPNIVEL1]],IRRIGADO!E:E,ESTIMATIVA[[#This Row],[CD_UPNIVEL3]]),"")</f>
        <v/>
      </c>
      <c r="AJ137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71" s="1">
        <f>COUNTIFS(Apresentação!$E$23:$E$29,ESTIMATIVA[[#This Row],[CD_UPNIVEL1]])</f>
        <v>0</v>
      </c>
    </row>
    <row r="1372" spans="1:37" x14ac:dyDescent="0.3">
      <c r="A1372">
        <v>20554</v>
      </c>
      <c r="B1372" t="s">
        <v>80</v>
      </c>
      <c r="C1372">
        <v>3</v>
      </c>
      <c r="D1372">
        <v>4</v>
      </c>
      <c r="E1372" t="s">
        <v>265</v>
      </c>
      <c r="F1372" s="85" t="s">
        <v>331</v>
      </c>
      <c r="G1372"/>
      <c r="H1372" t="s">
        <v>294</v>
      </c>
      <c r="I1372" t="s">
        <v>201</v>
      </c>
      <c r="J1372" t="s">
        <v>176</v>
      </c>
      <c r="K1372" s="1">
        <v>9.33</v>
      </c>
      <c r="L1372" s="1">
        <v>0</v>
      </c>
      <c r="M1372" s="1">
        <v>0</v>
      </c>
      <c r="N1372" s="1">
        <v>9.33</v>
      </c>
      <c r="O1372" s="1">
        <v>587.79</v>
      </c>
      <c r="P1372" s="1">
        <v>0</v>
      </c>
      <c r="Q1372" s="1">
        <v>0</v>
      </c>
      <c r="R1372" s="1">
        <v>594.42999999999995</v>
      </c>
      <c r="S1372" t="s">
        <v>12</v>
      </c>
      <c r="T1372" s="13">
        <v>45795</v>
      </c>
      <c r="U1372" s="1" t="str">
        <f>IF(ESTIMATIVA[[#This Row],[QT_AREA_REAL]]&gt;0,"1- Colhido","2- à Colher")</f>
        <v>1- Colhido</v>
      </c>
      <c r="V1372" s="1" t="str">
        <f>IF(ESTIMATIVA[[#This Row],[QT_AREA_REST1]]&gt;0,"Reestimativa 1",IF(ESTIMATIVA[[#This Row],[QT_AREA_REAL]]=0,"Reestimativa 1","Realizado"))</f>
        <v>Realizado</v>
      </c>
      <c r="W1372" s="1" t="str">
        <f>IF(ESTIMATIVA[[#This Row],[QT_AREA_REST2]]&gt;0,"Reestimativa 2",IF(ESTIMATIVA[[#This Row],[QT_AREA_REAL]]=0,"Reestimativa 2","Realizado"))</f>
        <v>Realizado</v>
      </c>
      <c r="X1372" s="1">
        <f>ESTIMATIVA[[#This Row],[QT_AREA_EST]]</f>
        <v>9.33</v>
      </c>
      <c r="Y1372" s="1">
        <f>IF(ESTIMATIVA[[#This Row],[QT_AREA_REST1]]&gt;0,ESTIMATIVA[[#This Row],[QT_AREA_REST1]],
  IF(ESTIMATIVA[[#This Row],[QT_AREA_REAL]]&gt;0,ESTIMATIVA[[#This Row],[QT_AREA_REAL]],ESTIMATIVA[[#This Row],[QT_AREA_EST]]))</f>
        <v>9.33</v>
      </c>
      <c r="Z137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9.33</v>
      </c>
      <c r="AA1372" s="1">
        <f>ESTIMATIVA[[#This Row],[QT_CANA_EST]]</f>
        <v>587.79</v>
      </c>
      <c r="AB1372" s="1">
        <f>IF(ESTIMATIVA[[#This Row],[QT_CANA_REST1]]&gt;0,ESTIMATIVA[[#This Row],[QT_CANA_REST1]],
  IF(ESTIMATIVA[[#This Row],[QT_CANA_REAL]]&gt;0,ESTIMATIVA[[#This Row],[QT_CANA_REAL]],ESTIMATIVA[[#This Row],[QT_CANA_EST]]))</f>
        <v>594.42999999999995</v>
      </c>
      <c r="AC137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594.42999999999995</v>
      </c>
      <c r="AD1372" s="1">
        <f>IF(ESTIMATIVA[[#This Row],[QT_AREA_REAL]]&gt;0,ESTIMATIVA[[#This Row],[QT_CANA_REAL]],ESTIMATIVA[[#This Row],[QT_CANA_EST]])</f>
        <v>594.42999999999995</v>
      </c>
      <c r="AE1372" s="1">
        <f>IF(ESTIMATIVA[[#This Row],[QT_AREA_REAL]]&gt;0,ESTIMATIVA[[#This Row],[QT_CANA_REAL]],ESTIMATIVA[[#This Row],[QT_CANA_REST1]])</f>
        <v>594.42999999999995</v>
      </c>
      <c r="AF1372" s="1">
        <f>IF(ESTIMATIVA[[#This Row],[QT_AREA_REAL]]&gt;0,ESTIMATIVA[[#This Row],[QT_CANA_REAL]],ESTIMATIVA[[#This Row],[QT_CANA_REST2]])</f>
        <v>594.42999999999995</v>
      </c>
      <c r="AG1372" s="1" t="str">
        <f>IF(COUNTIFS(GEADA!A:A,VALUE(ESTIMATIVA[[#This Row],[CD_UPNIVEL1]]&amp;TEXT(ESTIMATIVA[[#This Row],[CD_UPNIVEL3]],"0000")))&gt;0,"S","N")</f>
        <v>N</v>
      </c>
      <c r="AH137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72" s="55" t="str">
        <f>IF(ESTIMATIVA[[#This Row],[TP_CULTIVO]]="Irrigado",_xlfn.MAXIFS(IRRIGADO!J:J,IRRIGADO!C:C,ESTIMATIVA[[#This Row],[CD_UPNIVEL1]],IRRIGADO!E:E,ESTIMATIVA[[#This Row],[CD_UPNIVEL3]]),"")</f>
        <v/>
      </c>
      <c r="AJ137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72" s="1">
        <f>COUNTIFS(Apresentação!$E$23:$E$29,ESTIMATIVA[[#This Row],[CD_UPNIVEL1]])</f>
        <v>0</v>
      </c>
    </row>
    <row r="1373" spans="1:37" x14ac:dyDescent="0.3">
      <c r="A1373">
        <v>20554</v>
      </c>
      <c r="B1373" t="s">
        <v>80</v>
      </c>
      <c r="C1373">
        <v>4</v>
      </c>
      <c r="D1373">
        <v>4</v>
      </c>
      <c r="E1373" t="s">
        <v>265</v>
      </c>
      <c r="F1373" s="85" t="s">
        <v>331</v>
      </c>
      <c r="G1373"/>
      <c r="H1373" t="s">
        <v>294</v>
      </c>
      <c r="I1373" t="s">
        <v>201</v>
      </c>
      <c r="J1373" t="s">
        <v>176</v>
      </c>
      <c r="K1373" s="1">
        <v>2.67</v>
      </c>
      <c r="L1373" s="1">
        <v>0</v>
      </c>
      <c r="M1373" s="1">
        <v>0</v>
      </c>
      <c r="N1373" s="1">
        <v>2.67</v>
      </c>
      <c r="O1373" s="1">
        <v>168.21</v>
      </c>
      <c r="P1373" s="1">
        <v>0</v>
      </c>
      <c r="Q1373" s="1">
        <v>0</v>
      </c>
      <c r="R1373" s="1">
        <v>169.8</v>
      </c>
      <c r="S1373" t="s">
        <v>12</v>
      </c>
      <c r="T1373" s="13">
        <v>45795</v>
      </c>
      <c r="U1373" s="1" t="str">
        <f>IF(ESTIMATIVA[[#This Row],[QT_AREA_REAL]]&gt;0,"1- Colhido","2- à Colher")</f>
        <v>1- Colhido</v>
      </c>
      <c r="V1373" s="1" t="str">
        <f>IF(ESTIMATIVA[[#This Row],[QT_AREA_REST1]]&gt;0,"Reestimativa 1",IF(ESTIMATIVA[[#This Row],[QT_AREA_REAL]]=0,"Reestimativa 1","Realizado"))</f>
        <v>Realizado</v>
      </c>
      <c r="W1373" s="1" t="str">
        <f>IF(ESTIMATIVA[[#This Row],[QT_AREA_REST2]]&gt;0,"Reestimativa 2",IF(ESTIMATIVA[[#This Row],[QT_AREA_REAL]]=0,"Reestimativa 2","Realizado"))</f>
        <v>Realizado</v>
      </c>
      <c r="X1373" s="1">
        <f>ESTIMATIVA[[#This Row],[QT_AREA_EST]]</f>
        <v>2.67</v>
      </c>
      <c r="Y1373" s="1">
        <f>IF(ESTIMATIVA[[#This Row],[QT_AREA_REST1]]&gt;0,ESTIMATIVA[[#This Row],[QT_AREA_REST1]],
  IF(ESTIMATIVA[[#This Row],[QT_AREA_REAL]]&gt;0,ESTIMATIVA[[#This Row],[QT_AREA_REAL]],ESTIMATIVA[[#This Row],[QT_AREA_EST]]))</f>
        <v>2.67</v>
      </c>
      <c r="Z137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2.67</v>
      </c>
      <c r="AA1373" s="1">
        <f>ESTIMATIVA[[#This Row],[QT_CANA_EST]]</f>
        <v>168.21</v>
      </c>
      <c r="AB1373" s="1">
        <f>IF(ESTIMATIVA[[#This Row],[QT_CANA_REST1]]&gt;0,ESTIMATIVA[[#This Row],[QT_CANA_REST1]],
  IF(ESTIMATIVA[[#This Row],[QT_CANA_REAL]]&gt;0,ESTIMATIVA[[#This Row],[QT_CANA_REAL]],ESTIMATIVA[[#This Row],[QT_CANA_EST]]))</f>
        <v>169.8</v>
      </c>
      <c r="AC137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169.8</v>
      </c>
      <c r="AD1373" s="1">
        <f>IF(ESTIMATIVA[[#This Row],[QT_AREA_REAL]]&gt;0,ESTIMATIVA[[#This Row],[QT_CANA_REAL]],ESTIMATIVA[[#This Row],[QT_CANA_EST]])</f>
        <v>169.8</v>
      </c>
      <c r="AE1373" s="1">
        <f>IF(ESTIMATIVA[[#This Row],[QT_AREA_REAL]]&gt;0,ESTIMATIVA[[#This Row],[QT_CANA_REAL]],ESTIMATIVA[[#This Row],[QT_CANA_REST1]])</f>
        <v>169.8</v>
      </c>
      <c r="AF1373" s="1">
        <f>IF(ESTIMATIVA[[#This Row],[QT_AREA_REAL]]&gt;0,ESTIMATIVA[[#This Row],[QT_CANA_REAL]],ESTIMATIVA[[#This Row],[QT_CANA_REST2]])</f>
        <v>169.8</v>
      </c>
      <c r="AG1373" s="1" t="str">
        <f>IF(COUNTIFS(GEADA!A:A,VALUE(ESTIMATIVA[[#This Row],[CD_UPNIVEL1]]&amp;TEXT(ESTIMATIVA[[#This Row],[CD_UPNIVEL3]],"0000")))&gt;0,"S","N")</f>
        <v>N</v>
      </c>
      <c r="AH137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73" s="55" t="str">
        <f>IF(ESTIMATIVA[[#This Row],[TP_CULTIVO]]="Irrigado",_xlfn.MAXIFS(IRRIGADO!J:J,IRRIGADO!C:C,ESTIMATIVA[[#This Row],[CD_UPNIVEL1]],IRRIGADO!E:E,ESTIMATIVA[[#This Row],[CD_UPNIVEL3]]),"")</f>
        <v/>
      </c>
      <c r="AJ137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73" s="1">
        <f>COUNTIFS(Apresentação!$E$23:$E$29,ESTIMATIVA[[#This Row],[CD_UPNIVEL1]])</f>
        <v>0</v>
      </c>
    </row>
    <row r="1374" spans="1:37" x14ac:dyDescent="0.3">
      <c r="A1374">
        <v>20554</v>
      </c>
      <c r="B1374" t="s">
        <v>80</v>
      </c>
      <c r="C1374">
        <v>5</v>
      </c>
      <c r="D1374">
        <v>4</v>
      </c>
      <c r="E1374" t="s">
        <v>265</v>
      </c>
      <c r="F1374" s="85" t="s">
        <v>331</v>
      </c>
      <c r="G1374"/>
      <c r="H1374" t="s">
        <v>294</v>
      </c>
      <c r="I1374" t="s">
        <v>201</v>
      </c>
      <c r="J1374" t="s">
        <v>176</v>
      </c>
      <c r="K1374" s="1">
        <v>3.16</v>
      </c>
      <c r="L1374" s="1">
        <v>0</v>
      </c>
      <c r="M1374" s="1">
        <v>0</v>
      </c>
      <c r="N1374" s="1">
        <v>3.16</v>
      </c>
      <c r="O1374" s="1">
        <v>199.08</v>
      </c>
      <c r="P1374" s="1">
        <v>0</v>
      </c>
      <c r="Q1374" s="1">
        <v>0</v>
      </c>
      <c r="R1374" s="1">
        <v>201.14</v>
      </c>
      <c r="S1374" t="s">
        <v>12</v>
      </c>
      <c r="T1374" s="13">
        <v>45795</v>
      </c>
      <c r="U1374" s="1" t="str">
        <f>IF(ESTIMATIVA[[#This Row],[QT_AREA_REAL]]&gt;0,"1- Colhido","2- à Colher")</f>
        <v>1- Colhido</v>
      </c>
      <c r="V1374" s="1" t="str">
        <f>IF(ESTIMATIVA[[#This Row],[QT_AREA_REST1]]&gt;0,"Reestimativa 1",IF(ESTIMATIVA[[#This Row],[QT_AREA_REAL]]=0,"Reestimativa 1","Realizado"))</f>
        <v>Realizado</v>
      </c>
      <c r="W1374" s="1" t="str">
        <f>IF(ESTIMATIVA[[#This Row],[QT_AREA_REST2]]&gt;0,"Reestimativa 2",IF(ESTIMATIVA[[#This Row],[QT_AREA_REAL]]=0,"Reestimativa 2","Realizado"))</f>
        <v>Realizado</v>
      </c>
      <c r="X1374" s="1">
        <f>ESTIMATIVA[[#This Row],[QT_AREA_EST]]</f>
        <v>3.16</v>
      </c>
      <c r="Y1374" s="1">
        <f>IF(ESTIMATIVA[[#This Row],[QT_AREA_REST1]]&gt;0,ESTIMATIVA[[#This Row],[QT_AREA_REST1]],
  IF(ESTIMATIVA[[#This Row],[QT_AREA_REAL]]&gt;0,ESTIMATIVA[[#This Row],[QT_AREA_REAL]],ESTIMATIVA[[#This Row],[QT_AREA_EST]]))</f>
        <v>3.16</v>
      </c>
      <c r="Z137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3.16</v>
      </c>
      <c r="AA1374" s="1">
        <f>ESTIMATIVA[[#This Row],[QT_CANA_EST]]</f>
        <v>199.08</v>
      </c>
      <c r="AB1374" s="1">
        <f>IF(ESTIMATIVA[[#This Row],[QT_CANA_REST1]]&gt;0,ESTIMATIVA[[#This Row],[QT_CANA_REST1]],
  IF(ESTIMATIVA[[#This Row],[QT_CANA_REAL]]&gt;0,ESTIMATIVA[[#This Row],[QT_CANA_REAL]],ESTIMATIVA[[#This Row],[QT_CANA_EST]]))</f>
        <v>201.14</v>
      </c>
      <c r="AC137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201.14</v>
      </c>
      <c r="AD1374" s="1">
        <f>IF(ESTIMATIVA[[#This Row],[QT_AREA_REAL]]&gt;0,ESTIMATIVA[[#This Row],[QT_CANA_REAL]],ESTIMATIVA[[#This Row],[QT_CANA_EST]])</f>
        <v>201.14</v>
      </c>
      <c r="AE1374" s="1">
        <f>IF(ESTIMATIVA[[#This Row],[QT_AREA_REAL]]&gt;0,ESTIMATIVA[[#This Row],[QT_CANA_REAL]],ESTIMATIVA[[#This Row],[QT_CANA_REST1]])</f>
        <v>201.14</v>
      </c>
      <c r="AF1374" s="1">
        <f>IF(ESTIMATIVA[[#This Row],[QT_AREA_REAL]]&gt;0,ESTIMATIVA[[#This Row],[QT_CANA_REAL]],ESTIMATIVA[[#This Row],[QT_CANA_REST2]])</f>
        <v>201.14</v>
      </c>
      <c r="AG1374" s="1" t="str">
        <f>IF(COUNTIFS(GEADA!A:A,VALUE(ESTIMATIVA[[#This Row],[CD_UPNIVEL1]]&amp;TEXT(ESTIMATIVA[[#This Row],[CD_UPNIVEL3]],"0000")))&gt;0,"S","N")</f>
        <v>N</v>
      </c>
      <c r="AH137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74" s="55" t="str">
        <f>IF(ESTIMATIVA[[#This Row],[TP_CULTIVO]]="Irrigado",_xlfn.MAXIFS(IRRIGADO!J:J,IRRIGADO!C:C,ESTIMATIVA[[#This Row],[CD_UPNIVEL1]],IRRIGADO!E:E,ESTIMATIVA[[#This Row],[CD_UPNIVEL3]]),"")</f>
        <v/>
      </c>
      <c r="AJ137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74" s="1">
        <f>COUNTIFS(Apresentação!$E$23:$E$29,ESTIMATIVA[[#This Row],[CD_UPNIVEL1]])</f>
        <v>0</v>
      </c>
    </row>
    <row r="1375" spans="1:37" x14ac:dyDescent="0.3">
      <c r="A1375">
        <v>20554</v>
      </c>
      <c r="B1375" t="s">
        <v>80</v>
      </c>
      <c r="C1375">
        <v>6</v>
      </c>
      <c r="D1375">
        <v>4</v>
      </c>
      <c r="E1375" t="s">
        <v>265</v>
      </c>
      <c r="F1375" s="85" t="s">
        <v>331</v>
      </c>
      <c r="G1375"/>
      <c r="H1375" t="s">
        <v>294</v>
      </c>
      <c r="I1375" t="s">
        <v>201</v>
      </c>
      <c r="J1375" t="s">
        <v>176</v>
      </c>
      <c r="K1375" s="1">
        <v>5.56</v>
      </c>
      <c r="L1375" s="1">
        <v>0</v>
      </c>
      <c r="M1375" s="1">
        <v>0</v>
      </c>
      <c r="N1375" s="1">
        <v>5.56</v>
      </c>
      <c r="O1375" s="1">
        <v>344.72</v>
      </c>
      <c r="P1375" s="1">
        <v>0</v>
      </c>
      <c r="Q1375" s="1">
        <v>0</v>
      </c>
      <c r="R1375" s="1">
        <v>348.76</v>
      </c>
      <c r="S1375" t="s">
        <v>12</v>
      </c>
      <c r="T1375" s="13">
        <v>45795</v>
      </c>
      <c r="U1375" s="1" t="str">
        <f>IF(ESTIMATIVA[[#This Row],[QT_AREA_REAL]]&gt;0,"1- Colhido","2- à Colher")</f>
        <v>1- Colhido</v>
      </c>
      <c r="V1375" s="1" t="str">
        <f>IF(ESTIMATIVA[[#This Row],[QT_AREA_REST1]]&gt;0,"Reestimativa 1",IF(ESTIMATIVA[[#This Row],[QT_AREA_REAL]]=0,"Reestimativa 1","Realizado"))</f>
        <v>Realizado</v>
      </c>
      <c r="W1375" s="1" t="str">
        <f>IF(ESTIMATIVA[[#This Row],[QT_AREA_REST2]]&gt;0,"Reestimativa 2",IF(ESTIMATIVA[[#This Row],[QT_AREA_REAL]]=0,"Reestimativa 2","Realizado"))</f>
        <v>Realizado</v>
      </c>
      <c r="X1375" s="1">
        <f>ESTIMATIVA[[#This Row],[QT_AREA_EST]]</f>
        <v>5.56</v>
      </c>
      <c r="Y1375" s="1">
        <f>IF(ESTIMATIVA[[#This Row],[QT_AREA_REST1]]&gt;0,ESTIMATIVA[[#This Row],[QT_AREA_REST1]],
  IF(ESTIMATIVA[[#This Row],[QT_AREA_REAL]]&gt;0,ESTIMATIVA[[#This Row],[QT_AREA_REAL]],ESTIMATIVA[[#This Row],[QT_AREA_EST]]))</f>
        <v>5.56</v>
      </c>
      <c r="Z137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5.56</v>
      </c>
      <c r="AA1375" s="1">
        <f>ESTIMATIVA[[#This Row],[QT_CANA_EST]]</f>
        <v>344.72</v>
      </c>
      <c r="AB1375" s="1">
        <f>IF(ESTIMATIVA[[#This Row],[QT_CANA_REST1]]&gt;0,ESTIMATIVA[[#This Row],[QT_CANA_REST1]],
  IF(ESTIMATIVA[[#This Row],[QT_CANA_REAL]]&gt;0,ESTIMATIVA[[#This Row],[QT_CANA_REAL]],ESTIMATIVA[[#This Row],[QT_CANA_EST]]))</f>
        <v>348.76</v>
      </c>
      <c r="AC137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348.76</v>
      </c>
      <c r="AD1375" s="1">
        <f>IF(ESTIMATIVA[[#This Row],[QT_AREA_REAL]]&gt;0,ESTIMATIVA[[#This Row],[QT_CANA_REAL]],ESTIMATIVA[[#This Row],[QT_CANA_EST]])</f>
        <v>348.76</v>
      </c>
      <c r="AE1375" s="1">
        <f>IF(ESTIMATIVA[[#This Row],[QT_AREA_REAL]]&gt;0,ESTIMATIVA[[#This Row],[QT_CANA_REAL]],ESTIMATIVA[[#This Row],[QT_CANA_REST1]])</f>
        <v>348.76</v>
      </c>
      <c r="AF1375" s="1">
        <f>IF(ESTIMATIVA[[#This Row],[QT_AREA_REAL]]&gt;0,ESTIMATIVA[[#This Row],[QT_CANA_REAL]],ESTIMATIVA[[#This Row],[QT_CANA_REST2]])</f>
        <v>348.76</v>
      </c>
      <c r="AG1375" s="1" t="str">
        <f>IF(COUNTIFS(GEADA!A:A,VALUE(ESTIMATIVA[[#This Row],[CD_UPNIVEL1]]&amp;TEXT(ESTIMATIVA[[#This Row],[CD_UPNIVEL3]],"0000")))&gt;0,"S","N")</f>
        <v>N</v>
      </c>
      <c r="AH137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75" s="55" t="str">
        <f>IF(ESTIMATIVA[[#This Row],[TP_CULTIVO]]="Irrigado",_xlfn.MAXIFS(IRRIGADO!J:J,IRRIGADO!C:C,ESTIMATIVA[[#This Row],[CD_UPNIVEL1]],IRRIGADO!E:E,ESTIMATIVA[[#This Row],[CD_UPNIVEL3]]),"")</f>
        <v/>
      </c>
      <c r="AJ137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75" s="1">
        <f>COUNTIFS(Apresentação!$E$23:$E$29,ESTIMATIVA[[#This Row],[CD_UPNIVEL1]])</f>
        <v>0</v>
      </c>
    </row>
    <row r="1376" spans="1:37" x14ac:dyDescent="0.3">
      <c r="A1376">
        <v>20554</v>
      </c>
      <c r="B1376" t="s">
        <v>80</v>
      </c>
      <c r="C1376">
        <v>7</v>
      </c>
      <c r="D1376">
        <v>4</v>
      </c>
      <c r="E1376" t="s">
        <v>265</v>
      </c>
      <c r="F1376" s="85" t="s">
        <v>333</v>
      </c>
      <c r="G1376"/>
      <c r="H1376" t="s">
        <v>294</v>
      </c>
      <c r="I1376" t="s">
        <v>201</v>
      </c>
      <c r="J1376" t="s">
        <v>176</v>
      </c>
      <c r="K1376" s="1">
        <v>3.89</v>
      </c>
      <c r="L1376" s="1">
        <v>0</v>
      </c>
      <c r="M1376" s="1">
        <v>0</v>
      </c>
      <c r="N1376" s="1">
        <v>3.89</v>
      </c>
      <c r="O1376" s="1">
        <v>241.18</v>
      </c>
      <c r="P1376" s="1">
        <v>0</v>
      </c>
      <c r="Q1376" s="1">
        <v>0</v>
      </c>
      <c r="R1376" s="1">
        <v>243.6</v>
      </c>
      <c r="S1376" t="s">
        <v>12</v>
      </c>
      <c r="T1376" s="13">
        <v>45795</v>
      </c>
      <c r="U1376" s="1" t="str">
        <f>IF(ESTIMATIVA[[#This Row],[QT_AREA_REAL]]&gt;0,"1- Colhido","2- à Colher")</f>
        <v>1- Colhido</v>
      </c>
      <c r="V1376" s="1" t="str">
        <f>IF(ESTIMATIVA[[#This Row],[QT_AREA_REST1]]&gt;0,"Reestimativa 1",IF(ESTIMATIVA[[#This Row],[QT_AREA_REAL]]=0,"Reestimativa 1","Realizado"))</f>
        <v>Realizado</v>
      </c>
      <c r="W1376" s="1" t="str">
        <f>IF(ESTIMATIVA[[#This Row],[QT_AREA_REST2]]&gt;0,"Reestimativa 2",IF(ESTIMATIVA[[#This Row],[QT_AREA_REAL]]=0,"Reestimativa 2","Realizado"))</f>
        <v>Realizado</v>
      </c>
      <c r="X1376" s="1">
        <f>ESTIMATIVA[[#This Row],[QT_AREA_EST]]</f>
        <v>3.89</v>
      </c>
      <c r="Y1376" s="1">
        <f>IF(ESTIMATIVA[[#This Row],[QT_AREA_REST1]]&gt;0,ESTIMATIVA[[#This Row],[QT_AREA_REST1]],
  IF(ESTIMATIVA[[#This Row],[QT_AREA_REAL]]&gt;0,ESTIMATIVA[[#This Row],[QT_AREA_REAL]],ESTIMATIVA[[#This Row],[QT_AREA_EST]]))</f>
        <v>3.89</v>
      </c>
      <c r="Z137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3.89</v>
      </c>
      <c r="AA1376" s="1">
        <f>ESTIMATIVA[[#This Row],[QT_CANA_EST]]</f>
        <v>241.18</v>
      </c>
      <c r="AB1376" s="1">
        <f>IF(ESTIMATIVA[[#This Row],[QT_CANA_REST1]]&gt;0,ESTIMATIVA[[#This Row],[QT_CANA_REST1]],
  IF(ESTIMATIVA[[#This Row],[QT_CANA_REAL]]&gt;0,ESTIMATIVA[[#This Row],[QT_CANA_REAL]],ESTIMATIVA[[#This Row],[QT_CANA_EST]]))</f>
        <v>243.6</v>
      </c>
      <c r="AC137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243.6</v>
      </c>
      <c r="AD1376" s="1">
        <f>IF(ESTIMATIVA[[#This Row],[QT_AREA_REAL]]&gt;0,ESTIMATIVA[[#This Row],[QT_CANA_REAL]],ESTIMATIVA[[#This Row],[QT_CANA_EST]])</f>
        <v>243.6</v>
      </c>
      <c r="AE1376" s="1">
        <f>IF(ESTIMATIVA[[#This Row],[QT_AREA_REAL]]&gt;0,ESTIMATIVA[[#This Row],[QT_CANA_REAL]],ESTIMATIVA[[#This Row],[QT_CANA_REST1]])</f>
        <v>243.6</v>
      </c>
      <c r="AF1376" s="1">
        <f>IF(ESTIMATIVA[[#This Row],[QT_AREA_REAL]]&gt;0,ESTIMATIVA[[#This Row],[QT_CANA_REAL]],ESTIMATIVA[[#This Row],[QT_CANA_REST2]])</f>
        <v>243.6</v>
      </c>
      <c r="AG1376" s="1" t="str">
        <f>IF(COUNTIFS(GEADA!A:A,VALUE(ESTIMATIVA[[#This Row],[CD_UPNIVEL1]]&amp;TEXT(ESTIMATIVA[[#This Row],[CD_UPNIVEL3]],"0000")))&gt;0,"S","N")</f>
        <v>N</v>
      </c>
      <c r="AH137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76" s="55" t="str">
        <f>IF(ESTIMATIVA[[#This Row],[TP_CULTIVO]]="Irrigado",_xlfn.MAXIFS(IRRIGADO!J:J,IRRIGADO!C:C,ESTIMATIVA[[#This Row],[CD_UPNIVEL1]],IRRIGADO!E:E,ESTIMATIVA[[#This Row],[CD_UPNIVEL3]]),"")</f>
        <v/>
      </c>
      <c r="AJ137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76" s="1">
        <f>COUNTIFS(Apresentação!$E$23:$E$29,ESTIMATIVA[[#This Row],[CD_UPNIVEL1]])</f>
        <v>0</v>
      </c>
    </row>
    <row r="1377" spans="1:37" x14ac:dyDescent="0.3">
      <c r="A1377">
        <v>20554</v>
      </c>
      <c r="B1377" t="s">
        <v>80</v>
      </c>
      <c r="C1377">
        <v>8</v>
      </c>
      <c r="D1377">
        <v>4</v>
      </c>
      <c r="E1377" t="s">
        <v>265</v>
      </c>
      <c r="F1377" s="85" t="s">
        <v>333</v>
      </c>
      <c r="G1377"/>
      <c r="H1377" t="s">
        <v>294</v>
      </c>
      <c r="I1377" t="s">
        <v>201</v>
      </c>
      <c r="J1377" t="s">
        <v>176</v>
      </c>
      <c r="K1377" s="1">
        <v>7.99</v>
      </c>
      <c r="L1377" s="1">
        <v>0</v>
      </c>
      <c r="M1377" s="1">
        <v>0</v>
      </c>
      <c r="N1377" s="1">
        <v>7.99</v>
      </c>
      <c r="O1377" s="1">
        <v>495.38</v>
      </c>
      <c r="P1377" s="1">
        <v>0</v>
      </c>
      <c r="Q1377" s="1">
        <v>0</v>
      </c>
      <c r="R1377" s="1">
        <v>500.86</v>
      </c>
      <c r="S1377" t="s">
        <v>12</v>
      </c>
      <c r="T1377" s="13">
        <v>45795</v>
      </c>
      <c r="U1377" s="1" t="str">
        <f>IF(ESTIMATIVA[[#This Row],[QT_AREA_REAL]]&gt;0,"1- Colhido","2- à Colher")</f>
        <v>1- Colhido</v>
      </c>
      <c r="V1377" s="1" t="str">
        <f>IF(ESTIMATIVA[[#This Row],[QT_AREA_REST1]]&gt;0,"Reestimativa 1",IF(ESTIMATIVA[[#This Row],[QT_AREA_REAL]]=0,"Reestimativa 1","Realizado"))</f>
        <v>Realizado</v>
      </c>
      <c r="W1377" s="1" t="str">
        <f>IF(ESTIMATIVA[[#This Row],[QT_AREA_REST2]]&gt;0,"Reestimativa 2",IF(ESTIMATIVA[[#This Row],[QT_AREA_REAL]]=0,"Reestimativa 2","Realizado"))</f>
        <v>Realizado</v>
      </c>
      <c r="X1377" s="1">
        <f>ESTIMATIVA[[#This Row],[QT_AREA_EST]]</f>
        <v>7.99</v>
      </c>
      <c r="Y1377" s="1">
        <f>IF(ESTIMATIVA[[#This Row],[QT_AREA_REST1]]&gt;0,ESTIMATIVA[[#This Row],[QT_AREA_REST1]],
  IF(ESTIMATIVA[[#This Row],[QT_AREA_REAL]]&gt;0,ESTIMATIVA[[#This Row],[QT_AREA_REAL]],ESTIMATIVA[[#This Row],[QT_AREA_EST]]))</f>
        <v>7.99</v>
      </c>
      <c r="Z137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7.99</v>
      </c>
      <c r="AA1377" s="1">
        <f>ESTIMATIVA[[#This Row],[QT_CANA_EST]]</f>
        <v>495.38</v>
      </c>
      <c r="AB1377" s="1">
        <f>IF(ESTIMATIVA[[#This Row],[QT_CANA_REST1]]&gt;0,ESTIMATIVA[[#This Row],[QT_CANA_REST1]],
  IF(ESTIMATIVA[[#This Row],[QT_CANA_REAL]]&gt;0,ESTIMATIVA[[#This Row],[QT_CANA_REAL]],ESTIMATIVA[[#This Row],[QT_CANA_EST]]))</f>
        <v>500.86</v>
      </c>
      <c r="AC137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500.86</v>
      </c>
      <c r="AD1377" s="1">
        <f>IF(ESTIMATIVA[[#This Row],[QT_AREA_REAL]]&gt;0,ESTIMATIVA[[#This Row],[QT_CANA_REAL]],ESTIMATIVA[[#This Row],[QT_CANA_EST]])</f>
        <v>500.86</v>
      </c>
      <c r="AE1377" s="1">
        <f>IF(ESTIMATIVA[[#This Row],[QT_AREA_REAL]]&gt;0,ESTIMATIVA[[#This Row],[QT_CANA_REAL]],ESTIMATIVA[[#This Row],[QT_CANA_REST1]])</f>
        <v>500.86</v>
      </c>
      <c r="AF1377" s="1">
        <f>IF(ESTIMATIVA[[#This Row],[QT_AREA_REAL]]&gt;0,ESTIMATIVA[[#This Row],[QT_CANA_REAL]],ESTIMATIVA[[#This Row],[QT_CANA_REST2]])</f>
        <v>500.86</v>
      </c>
      <c r="AG1377" s="1" t="str">
        <f>IF(COUNTIFS(GEADA!A:A,VALUE(ESTIMATIVA[[#This Row],[CD_UPNIVEL1]]&amp;TEXT(ESTIMATIVA[[#This Row],[CD_UPNIVEL3]],"0000")))&gt;0,"S","N")</f>
        <v>N</v>
      </c>
      <c r="AH137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77" s="55" t="str">
        <f>IF(ESTIMATIVA[[#This Row],[TP_CULTIVO]]="Irrigado",_xlfn.MAXIFS(IRRIGADO!J:J,IRRIGADO!C:C,ESTIMATIVA[[#This Row],[CD_UPNIVEL1]],IRRIGADO!E:E,ESTIMATIVA[[#This Row],[CD_UPNIVEL3]]),"")</f>
        <v/>
      </c>
      <c r="AJ137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77" s="1">
        <f>COUNTIFS(Apresentação!$E$23:$E$29,ESTIMATIVA[[#This Row],[CD_UPNIVEL1]])</f>
        <v>0</v>
      </c>
    </row>
    <row r="1378" spans="1:37" x14ac:dyDescent="0.3">
      <c r="A1378">
        <v>20554</v>
      </c>
      <c r="B1378" t="s">
        <v>80</v>
      </c>
      <c r="C1378">
        <v>10</v>
      </c>
      <c r="D1378">
        <v>4</v>
      </c>
      <c r="E1378" t="s">
        <v>265</v>
      </c>
      <c r="F1378" s="85" t="s">
        <v>331</v>
      </c>
      <c r="G1378"/>
      <c r="H1378" t="s">
        <v>294</v>
      </c>
      <c r="I1378" t="s">
        <v>201</v>
      </c>
      <c r="J1378" t="s">
        <v>176</v>
      </c>
      <c r="K1378" s="1">
        <v>24.69</v>
      </c>
      <c r="L1378" s="1">
        <v>0</v>
      </c>
      <c r="M1378" s="1">
        <v>0</v>
      </c>
      <c r="N1378" s="1">
        <v>24.69</v>
      </c>
      <c r="O1378" s="1">
        <v>1530.78</v>
      </c>
      <c r="P1378" s="1">
        <v>0</v>
      </c>
      <c r="Q1378" s="1">
        <v>0</v>
      </c>
      <c r="R1378" s="1">
        <v>789.76</v>
      </c>
      <c r="S1378" t="s">
        <v>12</v>
      </c>
      <c r="T1378" s="13">
        <v>45886</v>
      </c>
      <c r="U1378" s="1" t="str">
        <f>IF(ESTIMATIVA[[#This Row],[QT_AREA_REAL]]&gt;0,"1- Colhido","2- à Colher")</f>
        <v>1- Colhido</v>
      </c>
      <c r="V1378" s="1" t="str">
        <f>IF(ESTIMATIVA[[#This Row],[QT_AREA_REST1]]&gt;0,"Reestimativa 1",IF(ESTIMATIVA[[#This Row],[QT_AREA_REAL]]=0,"Reestimativa 1","Realizado"))</f>
        <v>Realizado</v>
      </c>
      <c r="W1378" s="1" t="str">
        <f>IF(ESTIMATIVA[[#This Row],[QT_AREA_REST2]]&gt;0,"Reestimativa 2",IF(ESTIMATIVA[[#This Row],[QT_AREA_REAL]]=0,"Reestimativa 2","Realizado"))</f>
        <v>Realizado</v>
      </c>
      <c r="X1378" s="1">
        <f>ESTIMATIVA[[#This Row],[QT_AREA_EST]]</f>
        <v>24.69</v>
      </c>
      <c r="Y1378" s="1">
        <f>IF(ESTIMATIVA[[#This Row],[QT_AREA_REST1]]&gt;0,ESTIMATIVA[[#This Row],[QT_AREA_REST1]],
  IF(ESTIMATIVA[[#This Row],[QT_AREA_REAL]]&gt;0,ESTIMATIVA[[#This Row],[QT_AREA_REAL]],ESTIMATIVA[[#This Row],[QT_AREA_EST]]))</f>
        <v>24.69</v>
      </c>
      <c r="Z137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24.69</v>
      </c>
      <c r="AA1378" s="1">
        <f>ESTIMATIVA[[#This Row],[QT_CANA_EST]]</f>
        <v>1530.78</v>
      </c>
      <c r="AB1378" s="1">
        <f>IF(ESTIMATIVA[[#This Row],[QT_CANA_REST1]]&gt;0,ESTIMATIVA[[#This Row],[QT_CANA_REST1]],
  IF(ESTIMATIVA[[#This Row],[QT_CANA_REAL]]&gt;0,ESTIMATIVA[[#This Row],[QT_CANA_REAL]],ESTIMATIVA[[#This Row],[QT_CANA_EST]]))</f>
        <v>789.76</v>
      </c>
      <c r="AC137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789.76</v>
      </c>
      <c r="AD1378" s="1">
        <f>IF(ESTIMATIVA[[#This Row],[QT_AREA_REAL]]&gt;0,ESTIMATIVA[[#This Row],[QT_CANA_REAL]],ESTIMATIVA[[#This Row],[QT_CANA_EST]])</f>
        <v>789.76</v>
      </c>
      <c r="AE1378" s="1">
        <f>IF(ESTIMATIVA[[#This Row],[QT_AREA_REAL]]&gt;0,ESTIMATIVA[[#This Row],[QT_CANA_REAL]],ESTIMATIVA[[#This Row],[QT_CANA_REST1]])</f>
        <v>789.76</v>
      </c>
      <c r="AF1378" s="1">
        <f>IF(ESTIMATIVA[[#This Row],[QT_AREA_REAL]]&gt;0,ESTIMATIVA[[#This Row],[QT_CANA_REAL]],ESTIMATIVA[[#This Row],[QT_CANA_REST2]])</f>
        <v>789.76</v>
      </c>
      <c r="AG1378" s="1" t="str">
        <f>IF(COUNTIFS(GEADA!A:A,VALUE(ESTIMATIVA[[#This Row],[CD_UPNIVEL1]]&amp;TEXT(ESTIMATIVA[[#This Row],[CD_UPNIVEL3]],"0000")))&gt;0,"S","N")</f>
        <v>N</v>
      </c>
      <c r="AH137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78" s="55" t="str">
        <f>IF(ESTIMATIVA[[#This Row],[TP_CULTIVO]]="Irrigado",_xlfn.MAXIFS(IRRIGADO!J:J,IRRIGADO!C:C,ESTIMATIVA[[#This Row],[CD_UPNIVEL1]],IRRIGADO!E:E,ESTIMATIVA[[#This Row],[CD_UPNIVEL3]]),"")</f>
        <v/>
      </c>
      <c r="AJ137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78" s="1">
        <f>COUNTIFS(Apresentação!$E$23:$E$29,ESTIMATIVA[[#This Row],[CD_UPNIVEL1]])</f>
        <v>0</v>
      </c>
    </row>
    <row r="1379" spans="1:37" x14ac:dyDescent="0.3">
      <c r="A1379">
        <v>20554</v>
      </c>
      <c r="B1379" t="s">
        <v>80</v>
      </c>
      <c r="C1379">
        <v>12</v>
      </c>
      <c r="D1379">
        <v>4</v>
      </c>
      <c r="E1379" t="s">
        <v>265</v>
      </c>
      <c r="F1379" s="85" t="s">
        <v>331</v>
      </c>
      <c r="G1379"/>
      <c r="H1379" t="s">
        <v>294</v>
      </c>
      <c r="I1379" t="s">
        <v>201</v>
      </c>
      <c r="J1379" t="s">
        <v>176</v>
      </c>
      <c r="K1379" s="1">
        <v>0.37</v>
      </c>
      <c r="L1379" s="1">
        <v>0.37</v>
      </c>
      <c r="M1379" s="1">
        <v>0</v>
      </c>
      <c r="N1379" s="1">
        <v>0.37</v>
      </c>
      <c r="O1379" s="1">
        <v>22.94</v>
      </c>
      <c r="P1379" s="1">
        <v>22.94</v>
      </c>
      <c r="Q1379" s="1">
        <v>0</v>
      </c>
      <c r="R1379" s="1">
        <v>13.99</v>
      </c>
      <c r="S1379" t="s">
        <v>12</v>
      </c>
      <c r="T1379" s="13">
        <v>45886</v>
      </c>
      <c r="U1379" s="1" t="str">
        <f>IF(ESTIMATIVA[[#This Row],[QT_AREA_REAL]]&gt;0,"1- Colhido","2- à Colher")</f>
        <v>1- Colhido</v>
      </c>
      <c r="V1379" s="1" t="str">
        <f>IF(ESTIMATIVA[[#This Row],[QT_AREA_REST1]]&gt;0,"Reestimativa 1",IF(ESTIMATIVA[[#This Row],[QT_AREA_REAL]]=0,"Reestimativa 1","Realizado"))</f>
        <v>Reestimativa 1</v>
      </c>
      <c r="W1379" s="1" t="str">
        <f>IF(ESTIMATIVA[[#This Row],[QT_AREA_REST2]]&gt;0,"Reestimativa 2",IF(ESTIMATIVA[[#This Row],[QT_AREA_REAL]]=0,"Reestimativa 2","Realizado"))</f>
        <v>Realizado</v>
      </c>
      <c r="X1379" s="1">
        <f>ESTIMATIVA[[#This Row],[QT_AREA_EST]]</f>
        <v>0.37</v>
      </c>
      <c r="Y1379" s="1">
        <f>IF(ESTIMATIVA[[#This Row],[QT_AREA_REST1]]&gt;0,ESTIMATIVA[[#This Row],[QT_AREA_REST1]],
  IF(ESTIMATIVA[[#This Row],[QT_AREA_REAL]]&gt;0,ESTIMATIVA[[#This Row],[QT_AREA_REAL]],ESTIMATIVA[[#This Row],[QT_AREA_EST]]))</f>
        <v>0.37</v>
      </c>
      <c r="Z137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0.37</v>
      </c>
      <c r="AA1379" s="1">
        <f>ESTIMATIVA[[#This Row],[QT_CANA_EST]]</f>
        <v>22.94</v>
      </c>
      <c r="AB1379" s="1">
        <f>IF(ESTIMATIVA[[#This Row],[QT_CANA_REST1]]&gt;0,ESTIMATIVA[[#This Row],[QT_CANA_REST1]],
  IF(ESTIMATIVA[[#This Row],[QT_CANA_REAL]]&gt;0,ESTIMATIVA[[#This Row],[QT_CANA_REAL]],ESTIMATIVA[[#This Row],[QT_CANA_EST]]))</f>
        <v>22.94</v>
      </c>
      <c r="AC137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13.99</v>
      </c>
      <c r="AD1379" s="1">
        <f>IF(ESTIMATIVA[[#This Row],[QT_AREA_REAL]]&gt;0,ESTIMATIVA[[#This Row],[QT_CANA_REAL]],ESTIMATIVA[[#This Row],[QT_CANA_EST]])</f>
        <v>13.99</v>
      </c>
      <c r="AE1379" s="1">
        <f>IF(ESTIMATIVA[[#This Row],[QT_AREA_REAL]]&gt;0,ESTIMATIVA[[#This Row],[QT_CANA_REAL]],ESTIMATIVA[[#This Row],[QT_CANA_REST1]])</f>
        <v>13.99</v>
      </c>
      <c r="AF1379" s="1">
        <f>IF(ESTIMATIVA[[#This Row],[QT_AREA_REAL]]&gt;0,ESTIMATIVA[[#This Row],[QT_CANA_REAL]],ESTIMATIVA[[#This Row],[QT_CANA_REST2]])</f>
        <v>13.99</v>
      </c>
      <c r="AG1379" s="1" t="str">
        <f>IF(COUNTIFS(GEADA!A:A,VALUE(ESTIMATIVA[[#This Row],[CD_UPNIVEL1]]&amp;TEXT(ESTIMATIVA[[#This Row],[CD_UPNIVEL3]],"0000")))&gt;0,"S","N")</f>
        <v>N</v>
      </c>
      <c r="AH137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79" s="55" t="str">
        <f>IF(ESTIMATIVA[[#This Row],[TP_CULTIVO]]="Irrigado",_xlfn.MAXIFS(IRRIGADO!J:J,IRRIGADO!C:C,ESTIMATIVA[[#This Row],[CD_UPNIVEL1]],IRRIGADO!E:E,ESTIMATIVA[[#This Row],[CD_UPNIVEL3]]),"")</f>
        <v/>
      </c>
      <c r="AJ137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79" s="1">
        <f>COUNTIFS(Apresentação!$E$23:$E$29,ESTIMATIVA[[#This Row],[CD_UPNIVEL1]])</f>
        <v>0</v>
      </c>
    </row>
    <row r="1380" spans="1:37" x14ac:dyDescent="0.3">
      <c r="A1380">
        <v>20554</v>
      </c>
      <c r="B1380" t="s">
        <v>80</v>
      </c>
      <c r="C1380">
        <v>13</v>
      </c>
      <c r="D1380">
        <v>4</v>
      </c>
      <c r="E1380" t="s">
        <v>265</v>
      </c>
      <c r="F1380" s="85" t="s">
        <v>331</v>
      </c>
      <c r="G1380"/>
      <c r="H1380" t="s">
        <v>294</v>
      </c>
      <c r="I1380" t="s">
        <v>201</v>
      </c>
      <c r="J1380" t="s">
        <v>176</v>
      </c>
      <c r="K1380" s="1">
        <v>16.170000000000002</v>
      </c>
      <c r="L1380" s="1">
        <v>0</v>
      </c>
      <c r="M1380" s="1">
        <v>0</v>
      </c>
      <c r="N1380" s="1">
        <v>16.170000000000002</v>
      </c>
      <c r="O1380" s="1">
        <v>1002.54</v>
      </c>
      <c r="P1380" s="1">
        <v>0</v>
      </c>
      <c r="Q1380" s="1">
        <v>0</v>
      </c>
      <c r="R1380" s="1">
        <v>531.19000000000005</v>
      </c>
      <c r="S1380" t="s">
        <v>12</v>
      </c>
      <c r="T1380" s="13">
        <v>45886</v>
      </c>
      <c r="U1380" s="1" t="str">
        <f>IF(ESTIMATIVA[[#This Row],[QT_AREA_REAL]]&gt;0,"1- Colhido","2- à Colher")</f>
        <v>1- Colhido</v>
      </c>
      <c r="V1380" s="1" t="str">
        <f>IF(ESTIMATIVA[[#This Row],[QT_AREA_REST1]]&gt;0,"Reestimativa 1",IF(ESTIMATIVA[[#This Row],[QT_AREA_REAL]]=0,"Reestimativa 1","Realizado"))</f>
        <v>Realizado</v>
      </c>
      <c r="W1380" s="1" t="str">
        <f>IF(ESTIMATIVA[[#This Row],[QT_AREA_REST2]]&gt;0,"Reestimativa 2",IF(ESTIMATIVA[[#This Row],[QT_AREA_REAL]]=0,"Reestimativa 2","Realizado"))</f>
        <v>Realizado</v>
      </c>
      <c r="X1380" s="1">
        <f>ESTIMATIVA[[#This Row],[QT_AREA_EST]]</f>
        <v>16.170000000000002</v>
      </c>
      <c r="Y1380" s="1">
        <f>IF(ESTIMATIVA[[#This Row],[QT_AREA_REST1]]&gt;0,ESTIMATIVA[[#This Row],[QT_AREA_REST1]],
  IF(ESTIMATIVA[[#This Row],[QT_AREA_REAL]]&gt;0,ESTIMATIVA[[#This Row],[QT_AREA_REAL]],ESTIMATIVA[[#This Row],[QT_AREA_EST]]))</f>
        <v>16.170000000000002</v>
      </c>
      <c r="Z138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16.170000000000002</v>
      </c>
      <c r="AA1380" s="1">
        <f>ESTIMATIVA[[#This Row],[QT_CANA_EST]]</f>
        <v>1002.54</v>
      </c>
      <c r="AB1380" s="1">
        <f>IF(ESTIMATIVA[[#This Row],[QT_CANA_REST1]]&gt;0,ESTIMATIVA[[#This Row],[QT_CANA_REST1]],
  IF(ESTIMATIVA[[#This Row],[QT_CANA_REAL]]&gt;0,ESTIMATIVA[[#This Row],[QT_CANA_REAL]],ESTIMATIVA[[#This Row],[QT_CANA_EST]]))</f>
        <v>531.19000000000005</v>
      </c>
      <c r="AC138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531.19000000000005</v>
      </c>
      <c r="AD1380" s="1">
        <f>IF(ESTIMATIVA[[#This Row],[QT_AREA_REAL]]&gt;0,ESTIMATIVA[[#This Row],[QT_CANA_REAL]],ESTIMATIVA[[#This Row],[QT_CANA_EST]])</f>
        <v>531.19000000000005</v>
      </c>
      <c r="AE1380" s="1">
        <f>IF(ESTIMATIVA[[#This Row],[QT_AREA_REAL]]&gt;0,ESTIMATIVA[[#This Row],[QT_CANA_REAL]],ESTIMATIVA[[#This Row],[QT_CANA_REST1]])</f>
        <v>531.19000000000005</v>
      </c>
      <c r="AF1380" s="1">
        <f>IF(ESTIMATIVA[[#This Row],[QT_AREA_REAL]]&gt;0,ESTIMATIVA[[#This Row],[QT_CANA_REAL]],ESTIMATIVA[[#This Row],[QT_CANA_REST2]])</f>
        <v>531.19000000000005</v>
      </c>
      <c r="AG1380" s="1" t="str">
        <f>IF(COUNTIFS(GEADA!A:A,VALUE(ESTIMATIVA[[#This Row],[CD_UPNIVEL1]]&amp;TEXT(ESTIMATIVA[[#This Row],[CD_UPNIVEL3]],"0000")))&gt;0,"S","N")</f>
        <v>N</v>
      </c>
      <c r="AH138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80" s="55" t="str">
        <f>IF(ESTIMATIVA[[#This Row],[TP_CULTIVO]]="Irrigado",_xlfn.MAXIFS(IRRIGADO!J:J,IRRIGADO!C:C,ESTIMATIVA[[#This Row],[CD_UPNIVEL1]],IRRIGADO!E:E,ESTIMATIVA[[#This Row],[CD_UPNIVEL3]]),"")</f>
        <v/>
      </c>
      <c r="AJ138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80" s="1">
        <f>COUNTIFS(Apresentação!$E$23:$E$29,ESTIMATIVA[[#This Row],[CD_UPNIVEL1]])</f>
        <v>0</v>
      </c>
    </row>
    <row r="1381" spans="1:37" x14ac:dyDescent="0.3">
      <c r="A1381">
        <v>20554</v>
      </c>
      <c r="B1381" t="s">
        <v>80</v>
      </c>
      <c r="C1381">
        <v>14</v>
      </c>
      <c r="D1381">
        <v>4</v>
      </c>
      <c r="E1381" t="s">
        <v>265</v>
      </c>
      <c r="F1381" s="85" t="s">
        <v>333</v>
      </c>
      <c r="G1381"/>
      <c r="H1381" t="s">
        <v>294</v>
      </c>
      <c r="I1381" t="s">
        <v>201</v>
      </c>
      <c r="J1381" t="s">
        <v>176</v>
      </c>
      <c r="K1381" s="1">
        <v>7.38</v>
      </c>
      <c r="L1381" s="1">
        <v>7.38</v>
      </c>
      <c r="M1381" s="1">
        <v>0</v>
      </c>
      <c r="N1381" s="1">
        <v>7.38</v>
      </c>
      <c r="O1381" s="1">
        <v>457.56</v>
      </c>
      <c r="P1381" s="1">
        <v>457.56</v>
      </c>
      <c r="Q1381" s="1">
        <v>0</v>
      </c>
      <c r="R1381" s="1">
        <v>278.97000000000003</v>
      </c>
      <c r="S1381" t="s">
        <v>12</v>
      </c>
      <c r="T1381" s="13">
        <v>45886</v>
      </c>
      <c r="U1381" s="1" t="str">
        <f>IF(ESTIMATIVA[[#This Row],[QT_AREA_REAL]]&gt;0,"1- Colhido","2- à Colher")</f>
        <v>1- Colhido</v>
      </c>
      <c r="V1381" s="1" t="str">
        <f>IF(ESTIMATIVA[[#This Row],[QT_AREA_REST1]]&gt;0,"Reestimativa 1",IF(ESTIMATIVA[[#This Row],[QT_AREA_REAL]]=0,"Reestimativa 1","Realizado"))</f>
        <v>Reestimativa 1</v>
      </c>
      <c r="W1381" s="1" t="str">
        <f>IF(ESTIMATIVA[[#This Row],[QT_AREA_REST2]]&gt;0,"Reestimativa 2",IF(ESTIMATIVA[[#This Row],[QT_AREA_REAL]]=0,"Reestimativa 2","Realizado"))</f>
        <v>Realizado</v>
      </c>
      <c r="X1381" s="1">
        <f>ESTIMATIVA[[#This Row],[QT_AREA_EST]]</f>
        <v>7.38</v>
      </c>
      <c r="Y1381" s="1">
        <f>IF(ESTIMATIVA[[#This Row],[QT_AREA_REST1]]&gt;0,ESTIMATIVA[[#This Row],[QT_AREA_REST1]],
  IF(ESTIMATIVA[[#This Row],[QT_AREA_REAL]]&gt;0,ESTIMATIVA[[#This Row],[QT_AREA_REAL]],ESTIMATIVA[[#This Row],[QT_AREA_EST]]))</f>
        <v>7.38</v>
      </c>
      <c r="Z138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7.38</v>
      </c>
      <c r="AA1381" s="1">
        <f>ESTIMATIVA[[#This Row],[QT_CANA_EST]]</f>
        <v>457.56</v>
      </c>
      <c r="AB1381" s="1">
        <f>IF(ESTIMATIVA[[#This Row],[QT_CANA_REST1]]&gt;0,ESTIMATIVA[[#This Row],[QT_CANA_REST1]],
  IF(ESTIMATIVA[[#This Row],[QT_CANA_REAL]]&gt;0,ESTIMATIVA[[#This Row],[QT_CANA_REAL]],ESTIMATIVA[[#This Row],[QT_CANA_EST]]))</f>
        <v>457.56</v>
      </c>
      <c r="AC138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278.97000000000003</v>
      </c>
      <c r="AD1381" s="1">
        <f>IF(ESTIMATIVA[[#This Row],[QT_AREA_REAL]]&gt;0,ESTIMATIVA[[#This Row],[QT_CANA_REAL]],ESTIMATIVA[[#This Row],[QT_CANA_EST]])</f>
        <v>278.97000000000003</v>
      </c>
      <c r="AE1381" s="1">
        <f>IF(ESTIMATIVA[[#This Row],[QT_AREA_REAL]]&gt;0,ESTIMATIVA[[#This Row],[QT_CANA_REAL]],ESTIMATIVA[[#This Row],[QT_CANA_REST1]])</f>
        <v>278.97000000000003</v>
      </c>
      <c r="AF1381" s="1">
        <f>IF(ESTIMATIVA[[#This Row],[QT_AREA_REAL]]&gt;0,ESTIMATIVA[[#This Row],[QT_CANA_REAL]],ESTIMATIVA[[#This Row],[QT_CANA_REST2]])</f>
        <v>278.97000000000003</v>
      </c>
      <c r="AG1381" s="1" t="str">
        <f>IF(COUNTIFS(GEADA!A:A,VALUE(ESTIMATIVA[[#This Row],[CD_UPNIVEL1]]&amp;TEXT(ESTIMATIVA[[#This Row],[CD_UPNIVEL3]],"0000")))&gt;0,"S","N")</f>
        <v>N</v>
      </c>
      <c r="AH138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81" s="55" t="str">
        <f>IF(ESTIMATIVA[[#This Row],[TP_CULTIVO]]="Irrigado",_xlfn.MAXIFS(IRRIGADO!J:J,IRRIGADO!C:C,ESTIMATIVA[[#This Row],[CD_UPNIVEL1]],IRRIGADO!E:E,ESTIMATIVA[[#This Row],[CD_UPNIVEL3]]),"")</f>
        <v/>
      </c>
      <c r="AJ138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81" s="1">
        <f>COUNTIFS(Apresentação!$E$23:$E$29,ESTIMATIVA[[#This Row],[CD_UPNIVEL1]])</f>
        <v>0</v>
      </c>
    </row>
    <row r="1382" spans="1:37" x14ac:dyDescent="0.3">
      <c r="A1382">
        <v>20554</v>
      </c>
      <c r="B1382" t="s">
        <v>80</v>
      </c>
      <c r="C1382">
        <v>15</v>
      </c>
      <c r="D1382">
        <v>4</v>
      </c>
      <c r="E1382" t="s">
        <v>265</v>
      </c>
      <c r="F1382" s="85" t="s">
        <v>333</v>
      </c>
      <c r="G1382"/>
      <c r="H1382" t="s">
        <v>294</v>
      </c>
      <c r="I1382" t="s">
        <v>201</v>
      </c>
      <c r="J1382" t="s">
        <v>176</v>
      </c>
      <c r="K1382" s="1">
        <v>6.81</v>
      </c>
      <c r="L1382" s="1">
        <v>6.81</v>
      </c>
      <c r="M1382" s="1">
        <v>0</v>
      </c>
      <c r="N1382" s="1">
        <v>6.81</v>
      </c>
      <c r="O1382" s="1">
        <v>422.22</v>
      </c>
      <c r="P1382" s="1">
        <v>422.22</v>
      </c>
      <c r="Q1382" s="1">
        <v>0</v>
      </c>
      <c r="R1382" s="1">
        <v>257.14</v>
      </c>
      <c r="S1382" t="s">
        <v>12</v>
      </c>
      <c r="T1382" s="13">
        <v>45886</v>
      </c>
      <c r="U1382" s="1" t="str">
        <f>IF(ESTIMATIVA[[#This Row],[QT_AREA_REAL]]&gt;0,"1- Colhido","2- à Colher")</f>
        <v>1- Colhido</v>
      </c>
      <c r="V1382" s="1" t="str">
        <f>IF(ESTIMATIVA[[#This Row],[QT_AREA_REST1]]&gt;0,"Reestimativa 1",IF(ESTIMATIVA[[#This Row],[QT_AREA_REAL]]=0,"Reestimativa 1","Realizado"))</f>
        <v>Reestimativa 1</v>
      </c>
      <c r="W1382" s="1" t="str">
        <f>IF(ESTIMATIVA[[#This Row],[QT_AREA_REST2]]&gt;0,"Reestimativa 2",IF(ESTIMATIVA[[#This Row],[QT_AREA_REAL]]=0,"Reestimativa 2","Realizado"))</f>
        <v>Realizado</v>
      </c>
      <c r="X1382" s="1">
        <f>ESTIMATIVA[[#This Row],[QT_AREA_EST]]</f>
        <v>6.81</v>
      </c>
      <c r="Y1382" s="1">
        <f>IF(ESTIMATIVA[[#This Row],[QT_AREA_REST1]]&gt;0,ESTIMATIVA[[#This Row],[QT_AREA_REST1]],
  IF(ESTIMATIVA[[#This Row],[QT_AREA_REAL]]&gt;0,ESTIMATIVA[[#This Row],[QT_AREA_REAL]],ESTIMATIVA[[#This Row],[QT_AREA_EST]]))</f>
        <v>6.81</v>
      </c>
      <c r="Z138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6.81</v>
      </c>
      <c r="AA1382" s="1">
        <f>ESTIMATIVA[[#This Row],[QT_CANA_EST]]</f>
        <v>422.22</v>
      </c>
      <c r="AB1382" s="1">
        <f>IF(ESTIMATIVA[[#This Row],[QT_CANA_REST1]]&gt;0,ESTIMATIVA[[#This Row],[QT_CANA_REST1]],
  IF(ESTIMATIVA[[#This Row],[QT_CANA_REAL]]&gt;0,ESTIMATIVA[[#This Row],[QT_CANA_REAL]],ESTIMATIVA[[#This Row],[QT_CANA_EST]]))</f>
        <v>422.22</v>
      </c>
      <c r="AC138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257.14</v>
      </c>
      <c r="AD1382" s="1">
        <f>IF(ESTIMATIVA[[#This Row],[QT_AREA_REAL]]&gt;0,ESTIMATIVA[[#This Row],[QT_CANA_REAL]],ESTIMATIVA[[#This Row],[QT_CANA_EST]])</f>
        <v>257.14</v>
      </c>
      <c r="AE1382" s="1">
        <f>IF(ESTIMATIVA[[#This Row],[QT_AREA_REAL]]&gt;0,ESTIMATIVA[[#This Row],[QT_CANA_REAL]],ESTIMATIVA[[#This Row],[QT_CANA_REST1]])</f>
        <v>257.14</v>
      </c>
      <c r="AF1382" s="1">
        <f>IF(ESTIMATIVA[[#This Row],[QT_AREA_REAL]]&gt;0,ESTIMATIVA[[#This Row],[QT_CANA_REAL]],ESTIMATIVA[[#This Row],[QT_CANA_REST2]])</f>
        <v>257.14</v>
      </c>
      <c r="AG1382" s="1" t="str">
        <f>IF(COUNTIFS(GEADA!A:A,VALUE(ESTIMATIVA[[#This Row],[CD_UPNIVEL1]]&amp;TEXT(ESTIMATIVA[[#This Row],[CD_UPNIVEL3]],"0000")))&gt;0,"S","N")</f>
        <v>N</v>
      </c>
      <c r="AH138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82" s="55" t="str">
        <f>IF(ESTIMATIVA[[#This Row],[TP_CULTIVO]]="Irrigado",_xlfn.MAXIFS(IRRIGADO!J:J,IRRIGADO!C:C,ESTIMATIVA[[#This Row],[CD_UPNIVEL1]],IRRIGADO!E:E,ESTIMATIVA[[#This Row],[CD_UPNIVEL3]]),"")</f>
        <v/>
      </c>
      <c r="AJ138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82" s="1">
        <f>COUNTIFS(Apresentação!$E$23:$E$29,ESTIMATIVA[[#This Row],[CD_UPNIVEL1]])</f>
        <v>0</v>
      </c>
    </row>
    <row r="1383" spans="1:37" x14ac:dyDescent="0.3">
      <c r="A1383">
        <v>20555</v>
      </c>
      <c r="B1383" t="s">
        <v>81</v>
      </c>
      <c r="C1383">
        <v>1</v>
      </c>
      <c r="D1383">
        <v>3</v>
      </c>
      <c r="E1383" t="s">
        <v>263</v>
      </c>
      <c r="F1383" s="85" t="s">
        <v>332</v>
      </c>
      <c r="G1383"/>
      <c r="H1383" t="s">
        <v>294</v>
      </c>
      <c r="I1383" t="s">
        <v>197</v>
      </c>
      <c r="J1383" t="s">
        <v>176</v>
      </c>
      <c r="K1383" s="1">
        <v>33.35</v>
      </c>
      <c r="L1383" s="1">
        <v>0</v>
      </c>
      <c r="M1383" s="1">
        <v>0</v>
      </c>
      <c r="N1383" s="1">
        <v>33.35</v>
      </c>
      <c r="O1383" s="1">
        <v>2134.4</v>
      </c>
      <c r="P1383" s="1">
        <v>0</v>
      </c>
      <c r="Q1383" s="1">
        <v>0</v>
      </c>
      <c r="R1383" s="1">
        <v>2719.92</v>
      </c>
      <c r="S1383" t="s">
        <v>12</v>
      </c>
      <c r="T1383" s="13">
        <v>45795</v>
      </c>
      <c r="U1383" s="1" t="str">
        <f>IF(ESTIMATIVA[[#This Row],[QT_AREA_REAL]]&gt;0,"1- Colhido","2- à Colher")</f>
        <v>1- Colhido</v>
      </c>
      <c r="V1383" s="1" t="str">
        <f>IF(ESTIMATIVA[[#This Row],[QT_AREA_REST1]]&gt;0,"Reestimativa 1",IF(ESTIMATIVA[[#This Row],[QT_AREA_REAL]]=0,"Reestimativa 1","Realizado"))</f>
        <v>Realizado</v>
      </c>
      <c r="W1383" s="1" t="str">
        <f>IF(ESTIMATIVA[[#This Row],[QT_AREA_REST2]]&gt;0,"Reestimativa 2",IF(ESTIMATIVA[[#This Row],[QT_AREA_REAL]]=0,"Reestimativa 2","Realizado"))</f>
        <v>Realizado</v>
      </c>
      <c r="X1383" s="1">
        <f>ESTIMATIVA[[#This Row],[QT_AREA_EST]]</f>
        <v>33.35</v>
      </c>
      <c r="Y1383" s="1">
        <f>IF(ESTIMATIVA[[#This Row],[QT_AREA_REST1]]&gt;0,ESTIMATIVA[[#This Row],[QT_AREA_REST1]],
  IF(ESTIMATIVA[[#This Row],[QT_AREA_REAL]]&gt;0,ESTIMATIVA[[#This Row],[QT_AREA_REAL]],ESTIMATIVA[[#This Row],[QT_AREA_EST]]))</f>
        <v>33.35</v>
      </c>
      <c r="Z138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33.35</v>
      </c>
      <c r="AA1383" s="1">
        <f>ESTIMATIVA[[#This Row],[QT_CANA_EST]]</f>
        <v>2134.4</v>
      </c>
      <c r="AB1383" s="1">
        <f>IF(ESTIMATIVA[[#This Row],[QT_CANA_REST1]]&gt;0,ESTIMATIVA[[#This Row],[QT_CANA_REST1]],
  IF(ESTIMATIVA[[#This Row],[QT_CANA_REAL]]&gt;0,ESTIMATIVA[[#This Row],[QT_CANA_REAL]],ESTIMATIVA[[#This Row],[QT_CANA_EST]]))</f>
        <v>2719.92</v>
      </c>
      <c r="AC138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2719.92</v>
      </c>
      <c r="AD1383" s="1">
        <f>IF(ESTIMATIVA[[#This Row],[QT_AREA_REAL]]&gt;0,ESTIMATIVA[[#This Row],[QT_CANA_REAL]],ESTIMATIVA[[#This Row],[QT_CANA_EST]])</f>
        <v>2719.92</v>
      </c>
      <c r="AE1383" s="1">
        <f>IF(ESTIMATIVA[[#This Row],[QT_AREA_REAL]]&gt;0,ESTIMATIVA[[#This Row],[QT_CANA_REAL]],ESTIMATIVA[[#This Row],[QT_CANA_REST1]])</f>
        <v>2719.92</v>
      </c>
      <c r="AF1383" s="1">
        <f>IF(ESTIMATIVA[[#This Row],[QT_AREA_REAL]]&gt;0,ESTIMATIVA[[#This Row],[QT_CANA_REAL]],ESTIMATIVA[[#This Row],[QT_CANA_REST2]])</f>
        <v>2719.92</v>
      </c>
      <c r="AG1383" s="1" t="str">
        <f>IF(COUNTIFS(GEADA!A:A,VALUE(ESTIMATIVA[[#This Row],[CD_UPNIVEL1]]&amp;TEXT(ESTIMATIVA[[#This Row],[CD_UPNIVEL3]],"0000")))&gt;0,"S","N")</f>
        <v>N</v>
      </c>
      <c r="AH138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83" s="55" t="str">
        <f>IF(ESTIMATIVA[[#This Row],[TP_CULTIVO]]="Irrigado",_xlfn.MAXIFS(IRRIGADO!J:J,IRRIGADO!C:C,ESTIMATIVA[[#This Row],[CD_UPNIVEL1]],IRRIGADO!E:E,ESTIMATIVA[[#This Row],[CD_UPNIVEL3]]),"")</f>
        <v/>
      </c>
      <c r="AJ138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83" s="1">
        <f>COUNTIFS(Apresentação!$E$23:$E$29,ESTIMATIVA[[#This Row],[CD_UPNIVEL1]])</f>
        <v>0</v>
      </c>
    </row>
    <row r="1384" spans="1:37" x14ac:dyDescent="0.3">
      <c r="A1384">
        <v>20555</v>
      </c>
      <c r="B1384" t="s">
        <v>81</v>
      </c>
      <c r="C1384">
        <v>2</v>
      </c>
      <c r="D1384">
        <v>3</v>
      </c>
      <c r="E1384" t="s">
        <v>263</v>
      </c>
      <c r="F1384" s="85" t="s">
        <v>332</v>
      </c>
      <c r="G1384"/>
      <c r="H1384" t="s">
        <v>294</v>
      </c>
      <c r="I1384" t="s">
        <v>197</v>
      </c>
      <c r="J1384" t="s">
        <v>176</v>
      </c>
      <c r="K1384" s="1">
        <v>18.8</v>
      </c>
      <c r="L1384" s="1">
        <v>0</v>
      </c>
      <c r="M1384" s="1">
        <v>0</v>
      </c>
      <c r="N1384" s="1">
        <v>18.8</v>
      </c>
      <c r="O1384" s="1">
        <v>1203.2</v>
      </c>
      <c r="P1384" s="1">
        <v>0</v>
      </c>
      <c r="Q1384" s="1">
        <v>0</v>
      </c>
      <c r="R1384" s="1">
        <v>1533.24</v>
      </c>
      <c r="S1384" t="s">
        <v>12</v>
      </c>
      <c r="T1384" s="13">
        <v>45795</v>
      </c>
      <c r="U1384" s="1" t="str">
        <f>IF(ESTIMATIVA[[#This Row],[QT_AREA_REAL]]&gt;0,"1- Colhido","2- à Colher")</f>
        <v>1- Colhido</v>
      </c>
      <c r="V1384" s="1" t="str">
        <f>IF(ESTIMATIVA[[#This Row],[QT_AREA_REST1]]&gt;0,"Reestimativa 1",IF(ESTIMATIVA[[#This Row],[QT_AREA_REAL]]=0,"Reestimativa 1","Realizado"))</f>
        <v>Realizado</v>
      </c>
      <c r="W1384" s="1" t="str">
        <f>IF(ESTIMATIVA[[#This Row],[QT_AREA_REST2]]&gt;0,"Reestimativa 2",IF(ESTIMATIVA[[#This Row],[QT_AREA_REAL]]=0,"Reestimativa 2","Realizado"))</f>
        <v>Realizado</v>
      </c>
      <c r="X1384" s="1">
        <f>ESTIMATIVA[[#This Row],[QT_AREA_EST]]</f>
        <v>18.8</v>
      </c>
      <c r="Y1384" s="1">
        <f>IF(ESTIMATIVA[[#This Row],[QT_AREA_REST1]]&gt;0,ESTIMATIVA[[#This Row],[QT_AREA_REST1]],
  IF(ESTIMATIVA[[#This Row],[QT_AREA_REAL]]&gt;0,ESTIMATIVA[[#This Row],[QT_AREA_REAL]],ESTIMATIVA[[#This Row],[QT_AREA_EST]]))</f>
        <v>18.8</v>
      </c>
      <c r="Z138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18.8</v>
      </c>
      <c r="AA1384" s="1">
        <f>ESTIMATIVA[[#This Row],[QT_CANA_EST]]</f>
        <v>1203.2</v>
      </c>
      <c r="AB1384" s="1">
        <f>IF(ESTIMATIVA[[#This Row],[QT_CANA_REST1]]&gt;0,ESTIMATIVA[[#This Row],[QT_CANA_REST1]],
  IF(ESTIMATIVA[[#This Row],[QT_CANA_REAL]]&gt;0,ESTIMATIVA[[#This Row],[QT_CANA_REAL]],ESTIMATIVA[[#This Row],[QT_CANA_EST]]))</f>
        <v>1533.24</v>
      </c>
      <c r="AC138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1533.24</v>
      </c>
      <c r="AD1384" s="1">
        <f>IF(ESTIMATIVA[[#This Row],[QT_AREA_REAL]]&gt;0,ESTIMATIVA[[#This Row],[QT_CANA_REAL]],ESTIMATIVA[[#This Row],[QT_CANA_EST]])</f>
        <v>1533.24</v>
      </c>
      <c r="AE1384" s="1">
        <f>IF(ESTIMATIVA[[#This Row],[QT_AREA_REAL]]&gt;0,ESTIMATIVA[[#This Row],[QT_CANA_REAL]],ESTIMATIVA[[#This Row],[QT_CANA_REST1]])</f>
        <v>1533.24</v>
      </c>
      <c r="AF1384" s="1">
        <f>IF(ESTIMATIVA[[#This Row],[QT_AREA_REAL]]&gt;0,ESTIMATIVA[[#This Row],[QT_CANA_REAL]],ESTIMATIVA[[#This Row],[QT_CANA_REST2]])</f>
        <v>1533.24</v>
      </c>
      <c r="AG1384" s="1" t="str">
        <f>IF(COUNTIFS(GEADA!A:A,VALUE(ESTIMATIVA[[#This Row],[CD_UPNIVEL1]]&amp;TEXT(ESTIMATIVA[[#This Row],[CD_UPNIVEL3]],"0000")))&gt;0,"S","N")</f>
        <v>N</v>
      </c>
      <c r="AH138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84" s="55" t="str">
        <f>IF(ESTIMATIVA[[#This Row],[TP_CULTIVO]]="Irrigado",_xlfn.MAXIFS(IRRIGADO!J:J,IRRIGADO!C:C,ESTIMATIVA[[#This Row],[CD_UPNIVEL1]],IRRIGADO!E:E,ESTIMATIVA[[#This Row],[CD_UPNIVEL3]]),"")</f>
        <v/>
      </c>
      <c r="AJ138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84" s="1">
        <f>COUNTIFS(Apresentação!$E$23:$E$29,ESTIMATIVA[[#This Row],[CD_UPNIVEL1]])</f>
        <v>0</v>
      </c>
    </row>
    <row r="1385" spans="1:37" x14ac:dyDescent="0.3">
      <c r="A1385">
        <v>20555</v>
      </c>
      <c r="B1385" t="s">
        <v>81</v>
      </c>
      <c r="C1385">
        <v>3</v>
      </c>
      <c r="D1385">
        <v>3</v>
      </c>
      <c r="E1385" t="s">
        <v>263</v>
      </c>
      <c r="F1385" s="85" t="s">
        <v>332</v>
      </c>
      <c r="G1385"/>
      <c r="H1385" t="s">
        <v>294</v>
      </c>
      <c r="I1385" t="s">
        <v>197</v>
      </c>
      <c r="J1385" t="s">
        <v>176</v>
      </c>
      <c r="K1385" s="1">
        <v>36.53</v>
      </c>
      <c r="L1385" s="1">
        <v>0</v>
      </c>
      <c r="M1385" s="1">
        <v>0</v>
      </c>
      <c r="N1385" s="1">
        <v>36.53</v>
      </c>
      <c r="O1385" s="1">
        <v>2337.92</v>
      </c>
      <c r="P1385" s="1">
        <v>0</v>
      </c>
      <c r="Q1385" s="1">
        <v>0</v>
      </c>
      <c r="R1385" s="1">
        <v>2979.93</v>
      </c>
      <c r="S1385" t="s">
        <v>12</v>
      </c>
      <c r="T1385" s="13">
        <v>45795</v>
      </c>
      <c r="U1385" s="1" t="str">
        <f>IF(ESTIMATIVA[[#This Row],[QT_AREA_REAL]]&gt;0,"1- Colhido","2- à Colher")</f>
        <v>1- Colhido</v>
      </c>
      <c r="V1385" s="1" t="str">
        <f>IF(ESTIMATIVA[[#This Row],[QT_AREA_REST1]]&gt;0,"Reestimativa 1",IF(ESTIMATIVA[[#This Row],[QT_AREA_REAL]]=0,"Reestimativa 1","Realizado"))</f>
        <v>Realizado</v>
      </c>
      <c r="W1385" s="1" t="str">
        <f>IF(ESTIMATIVA[[#This Row],[QT_AREA_REST2]]&gt;0,"Reestimativa 2",IF(ESTIMATIVA[[#This Row],[QT_AREA_REAL]]=0,"Reestimativa 2","Realizado"))</f>
        <v>Realizado</v>
      </c>
      <c r="X1385" s="1">
        <f>ESTIMATIVA[[#This Row],[QT_AREA_EST]]</f>
        <v>36.53</v>
      </c>
      <c r="Y1385" s="1">
        <f>IF(ESTIMATIVA[[#This Row],[QT_AREA_REST1]]&gt;0,ESTIMATIVA[[#This Row],[QT_AREA_REST1]],
  IF(ESTIMATIVA[[#This Row],[QT_AREA_REAL]]&gt;0,ESTIMATIVA[[#This Row],[QT_AREA_REAL]],ESTIMATIVA[[#This Row],[QT_AREA_EST]]))</f>
        <v>36.53</v>
      </c>
      <c r="Z138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36.53</v>
      </c>
      <c r="AA1385" s="1">
        <f>ESTIMATIVA[[#This Row],[QT_CANA_EST]]</f>
        <v>2337.92</v>
      </c>
      <c r="AB1385" s="1">
        <f>IF(ESTIMATIVA[[#This Row],[QT_CANA_REST1]]&gt;0,ESTIMATIVA[[#This Row],[QT_CANA_REST1]],
  IF(ESTIMATIVA[[#This Row],[QT_CANA_REAL]]&gt;0,ESTIMATIVA[[#This Row],[QT_CANA_REAL]],ESTIMATIVA[[#This Row],[QT_CANA_EST]]))</f>
        <v>2979.93</v>
      </c>
      <c r="AC138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2979.93</v>
      </c>
      <c r="AD1385" s="1">
        <f>IF(ESTIMATIVA[[#This Row],[QT_AREA_REAL]]&gt;0,ESTIMATIVA[[#This Row],[QT_CANA_REAL]],ESTIMATIVA[[#This Row],[QT_CANA_EST]])</f>
        <v>2979.93</v>
      </c>
      <c r="AE1385" s="1">
        <f>IF(ESTIMATIVA[[#This Row],[QT_AREA_REAL]]&gt;0,ESTIMATIVA[[#This Row],[QT_CANA_REAL]],ESTIMATIVA[[#This Row],[QT_CANA_REST1]])</f>
        <v>2979.93</v>
      </c>
      <c r="AF1385" s="1">
        <f>IF(ESTIMATIVA[[#This Row],[QT_AREA_REAL]]&gt;0,ESTIMATIVA[[#This Row],[QT_CANA_REAL]],ESTIMATIVA[[#This Row],[QT_CANA_REST2]])</f>
        <v>2979.93</v>
      </c>
      <c r="AG1385" s="1" t="str">
        <f>IF(COUNTIFS(GEADA!A:A,VALUE(ESTIMATIVA[[#This Row],[CD_UPNIVEL1]]&amp;TEXT(ESTIMATIVA[[#This Row],[CD_UPNIVEL3]],"0000")))&gt;0,"S","N")</f>
        <v>N</v>
      </c>
      <c r="AH138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85" s="55" t="str">
        <f>IF(ESTIMATIVA[[#This Row],[TP_CULTIVO]]="Irrigado",_xlfn.MAXIFS(IRRIGADO!J:J,IRRIGADO!C:C,ESTIMATIVA[[#This Row],[CD_UPNIVEL1]],IRRIGADO!E:E,ESTIMATIVA[[#This Row],[CD_UPNIVEL3]]),"")</f>
        <v/>
      </c>
      <c r="AJ138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85" s="1">
        <f>COUNTIFS(Apresentação!$E$23:$E$29,ESTIMATIVA[[#This Row],[CD_UPNIVEL1]])</f>
        <v>0</v>
      </c>
    </row>
    <row r="1386" spans="1:37" x14ac:dyDescent="0.3">
      <c r="A1386">
        <v>20555</v>
      </c>
      <c r="B1386" t="s">
        <v>81</v>
      </c>
      <c r="C1386">
        <v>4</v>
      </c>
      <c r="D1386">
        <v>3</v>
      </c>
      <c r="E1386" t="s">
        <v>263</v>
      </c>
      <c r="F1386" s="85" t="s">
        <v>331</v>
      </c>
      <c r="G1386"/>
      <c r="H1386" t="s">
        <v>294</v>
      </c>
      <c r="I1386" t="s">
        <v>197</v>
      </c>
      <c r="J1386" t="s">
        <v>176</v>
      </c>
      <c r="K1386" s="1">
        <v>14.41</v>
      </c>
      <c r="L1386" s="1">
        <v>0</v>
      </c>
      <c r="M1386" s="1">
        <v>0</v>
      </c>
      <c r="N1386" s="1">
        <v>14.41</v>
      </c>
      <c r="O1386" s="1">
        <v>922.24</v>
      </c>
      <c r="P1386" s="1">
        <v>0</v>
      </c>
      <c r="Q1386" s="1">
        <v>0</v>
      </c>
      <c r="R1386" s="1">
        <v>1175.55</v>
      </c>
      <c r="S1386" t="s">
        <v>12</v>
      </c>
      <c r="T1386" s="13">
        <v>45795</v>
      </c>
      <c r="U1386" s="1" t="str">
        <f>IF(ESTIMATIVA[[#This Row],[QT_AREA_REAL]]&gt;0,"1- Colhido","2- à Colher")</f>
        <v>1- Colhido</v>
      </c>
      <c r="V1386" s="1" t="str">
        <f>IF(ESTIMATIVA[[#This Row],[QT_AREA_REST1]]&gt;0,"Reestimativa 1",IF(ESTIMATIVA[[#This Row],[QT_AREA_REAL]]=0,"Reestimativa 1","Realizado"))</f>
        <v>Realizado</v>
      </c>
      <c r="W1386" s="1" t="str">
        <f>IF(ESTIMATIVA[[#This Row],[QT_AREA_REST2]]&gt;0,"Reestimativa 2",IF(ESTIMATIVA[[#This Row],[QT_AREA_REAL]]=0,"Reestimativa 2","Realizado"))</f>
        <v>Realizado</v>
      </c>
      <c r="X1386" s="1">
        <f>ESTIMATIVA[[#This Row],[QT_AREA_EST]]</f>
        <v>14.41</v>
      </c>
      <c r="Y1386" s="1">
        <f>IF(ESTIMATIVA[[#This Row],[QT_AREA_REST1]]&gt;0,ESTIMATIVA[[#This Row],[QT_AREA_REST1]],
  IF(ESTIMATIVA[[#This Row],[QT_AREA_REAL]]&gt;0,ESTIMATIVA[[#This Row],[QT_AREA_REAL]],ESTIMATIVA[[#This Row],[QT_AREA_EST]]))</f>
        <v>14.41</v>
      </c>
      <c r="Z138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14.41</v>
      </c>
      <c r="AA1386" s="1">
        <f>ESTIMATIVA[[#This Row],[QT_CANA_EST]]</f>
        <v>922.24</v>
      </c>
      <c r="AB1386" s="1">
        <f>IF(ESTIMATIVA[[#This Row],[QT_CANA_REST1]]&gt;0,ESTIMATIVA[[#This Row],[QT_CANA_REST1]],
  IF(ESTIMATIVA[[#This Row],[QT_CANA_REAL]]&gt;0,ESTIMATIVA[[#This Row],[QT_CANA_REAL]],ESTIMATIVA[[#This Row],[QT_CANA_EST]]))</f>
        <v>1175.55</v>
      </c>
      <c r="AC138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1175.55</v>
      </c>
      <c r="AD1386" s="1">
        <f>IF(ESTIMATIVA[[#This Row],[QT_AREA_REAL]]&gt;0,ESTIMATIVA[[#This Row],[QT_CANA_REAL]],ESTIMATIVA[[#This Row],[QT_CANA_EST]])</f>
        <v>1175.55</v>
      </c>
      <c r="AE1386" s="1">
        <f>IF(ESTIMATIVA[[#This Row],[QT_AREA_REAL]]&gt;0,ESTIMATIVA[[#This Row],[QT_CANA_REAL]],ESTIMATIVA[[#This Row],[QT_CANA_REST1]])</f>
        <v>1175.55</v>
      </c>
      <c r="AF1386" s="1">
        <f>IF(ESTIMATIVA[[#This Row],[QT_AREA_REAL]]&gt;0,ESTIMATIVA[[#This Row],[QT_CANA_REAL]],ESTIMATIVA[[#This Row],[QT_CANA_REST2]])</f>
        <v>1175.55</v>
      </c>
      <c r="AG1386" s="1" t="str">
        <f>IF(COUNTIFS(GEADA!A:A,VALUE(ESTIMATIVA[[#This Row],[CD_UPNIVEL1]]&amp;TEXT(ESTIMATIVA[[#This Row],[CD_UPNIVEL3]],"0000")))&gt;0,"S","N")</f>
        <v>N</v>
      </c>
      <c r="AH138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86" s="55" t="str">
        <f>IF(ESTIMATIVA[[#This Row],[TP_CULTIVO]]="Irrigado",_xlfn.MAXIFS(IRRIGADO!J:J,IRRIGADO!C:C,ESTIMATIVA[[#This Row],[CD_UPNIVEL1]],IRRIGADO!E:E,ESTIMATIVA[[#This Row],[CD_UPNIVEL3]]),"")</f>
        <v/>
      </c>
      <c r="AJ138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86" s="1">
        <f>COUNTIFS(Apresentação!$E$23:$E$29,ESTIMATIVA[[#This Row],[CD_UPNIVEL1]])</f>
        <v>0</v>
      </c>
    </row>
    <row r="1387" spans="1:37" x14ac:dyDescent="0.3">
      <c r="A1387">
        <v>20555</v>
      </c>
      <c r="B1387" t="s">
        <v>81</v>
      </c>
      <c r="C1387">
        <v>5</v>
      </c>
      <c r="D1387">
        <v>4</v>
      </c>
      <c r="E1387" t="s">
        <v>265</v>
      </c>
      <c r="F1387" s="85" t="s">
        <v>331</v>
      </c>
      <c r="G1387"/>
      <c r="H1387" t="s">
        <v>294</v>
      </c>
      <c r="I1387" t="s">
        <v>197</v>
      </c>
      <c r="J1387" t="s">
        <v>176</v>
      </c>
      <c r="K1387" s="1">
        <v>7.15</v>
      </c>
      <c r="L1387" s="1">
        <v>0</v>
      </c>
      <c r="M1387" s="1">
        <v>0</v>
      </c>
      <c r="N1387" s="1">
        <v>7.15</v>
      </c>
      <c r="O1387" s="1">
        <v>407.55</v>
      </c>
      <c r="P1387" s="1">
        <v>0</v>
      </c>
      <c r="Q1387" s="1">
        <v>0</v>
      </c>
      <c r="R1387" s="1">
        <v>85.37</v>
      </c>
      <c r="S1387" t="s">
        <v>12</v>
      </c>
      <c r="T1387" s="13">
        <v>45795</v>
      </c>
      <c r="U1387" s="1" t="str">
        <f>IF(ESTIMATIVA[[#This Row],[QT_AREA_REAL]]&gt;0,"1- Colhido","2- à Colher")</f>
        <v>1- Colhido</v>
      </c>
      <c r="V1387" s="1" t="str">
        <f>IF(ESTIMATIVA[[#This Row],[QT_AREA_REST1]]&gt;0,"Reestimativa 1",IF(ESTIMATIVA[[#This Row],[QT_AREA_REAL]]=0,"Reestimativa 1","Realizado"))</f>
        <v>Realizado</v>
      </c>
      <c r="W1387" s="1" t="str">
        <f>IF(ESTIMATIVA[[#This Row],[QT_AREA_REST2]]&gt;0,"Reestimativa 2",IF(ESTIMATIVA[[#This Row],[QT_AREA_REAL]]=0,"Reestimativa 2","Realizado"))</f>
        <v>Realizado</v>
      </c>
      <c r="X1387" s="1">
        <f>ESTIMATIVA[[#This Row],[QT_AREA_EST]]</f>
        <v>7.15</v>
      </c>
      <c r="Y1387" s="1">
        <f>IF(ESTIMATIVA[[#This Row],[QT_AREA_REST1]]&gt;0,ESTIMATIVA[[#This Row],[QT_AREA_REST1]],
  IF(ESTIMATIVA[[#This Row],[QT_AREA_REAL]]&gt;0,ESTIMATIVA[[#This Row],[QT_AREA_REAL]],ESTIMATIVA[[#This Row],[QT_AREA_EST]]))</f>
        <v>7.15</v>
      </c>
      <c r="Z138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7.15</v>
      </c>
      <c r="AA1387" s="1">
        <f>ESTIMATIVA[[#This Row],[QT_CANA_EST]]</f>
        <v>407.55</v>
      </c>
      <c r="AB1387" s="1">
        <f>IF(ESTIMATIVA[[#This Row],[QT_CANA_REST1]]&gt;0,ESTIMATIVA[[#This Row],[QT_CANA_REST1]],
  IF(ESTIMATIVA[[#This Row],[QT_CANA_REAL]]&gt;0,ESTIMATIVA[[#This Row],[QT_CANA_REAL]],ESTIMATIVA[[#This Row],[QT_CANA_EST]]))</f>
        <v>85.37</v>
      </c>
      <c r="AC138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85.37</v>
      </c>
      <c r="AD1387" s="1">
        <f>IF(ESTIMATIVA[[#This Row],[QT_AREA_REAL]]&gt;0,ESTIMATIVA[[#This Row],[QT_CANA_REAL]],ESTIMATIVA[[#This Row],[QT_CANA_EST]])</f>
        <v>85.37</v>
      </c>
      <c r="AE1387" s="1">
        <f>IF(ESTIMATIVA[[#This Row],[QT_AREA_REAL]]&gt;0,ESTIMATIVA[[#This Row],[QT_CANA_REAL]],ESTIMATIVA[[#This Row],[QT_CANA_REST1]])</f>
        <v>85.37</v>
      </c>
      <c r="AF1387" s="1">
        <f>IF(ESTIMATIVA[[#This Row],[QT_AREA_REAL]]&gt;0,ESTIMATIVA[[#This Row],[QT_CANA_REAL]],ESTIMATIVA[[#This Row],[QT_CANA_REST2]])</f>
        <v>85.37</v>
      </c>
      <c r="AG1387" s="1" t="str">
        <f>IF(COUNTIFS(GEADA!A:A,VALUE(ESTIMATIVA[[#This Row],[CD_UPNIVEL1]]&amp;TEXT(ESTIMATIVA[[#This Row],[CD_UPNIVEL3]],"0000")))&gt;0,"S","N")</f>
        <v>N</v>
      </c>
      <c r="AH138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87" s="55" t="str">
        <f>IF(ESTIMATIVA[[#This Row],[TP_CULTIVO]]="Irrigado",_xlfn.MAXIFS(IRRIGADO!J:J,IRRIGADO!C:C,ESTIMATIVA[[#This Row],[CD_UPNIVEL1]],IRRIGADO!E:E,ESTIMATIVA[[#This Row],[CD_UPNIVEL3]]),"")</f>
        <v/>
      </c>
      <c r="AJ138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87" s="1">
        <f>COUNTIFS(Apresentação!$E$23:$E$29,ESTIMATIVA[[#This Row],[CD_UPNIVEL1]])</f>
        <v>0</v>
      </c>
    </row>
    <row r="1388" spans="1:37" x14ac:dyDescent="0.3">
      <c r="A1388">
        <v>20555</v>
      </c>
      <c r="B1388" t="s">
        <v>81</v>
      </c>
      <c r="C1388">
        <v>6</v>
      </c>
      <c r="D1388">
        <v>4</v>
      </c>
      <c r="E1388" t="s">
        <v>265</v>
      </c>
      <c r="F1388" s="85" t="s">
        <v>331</v>
      </c>
      <c r="G1388"/>
      <c r="H1388" t="s">
        <v>294</v>
      </c>
      <c r="I1388" t="s">
        <v>197</v>
      </c>
      <c r="J1388" t="s">
        <v>176</v>
      </c>
      <c r="K1388" s="1">
        <v>25.15</v>
      </c>
      <c r="L1388" s="1">
        <v>0</v>
      </c>
      <c r="M1388" s="1">
        <v>0</v>
      </c>
      <c r="N1388" s="1">
        <v>25.15</v>
      </c>
      <c r="O1388" s="1">
        <v>1358.1</v>
      </c>
      <c r="P1388" s="1">
        <v>0</v>
      </c>
      <c r="Q1388" s="1">
        <v>0</v>
      </c>
      <c r="R1388" s="1">
        <v>284.17</v>
      </c>
      <c r="S1388" t="s">
        <v>12</v>
      </c>
      <c r="T1388" s="13">
        <v>45795</v>
      </c>
      <c r="U1388" s="1" t="str">
        <f>IF(ESTIMATIVA[[#This Row],[QT_AREA_REAL]]&gt;0,"1- Colhido","2- à Colher")</f>
        <v>1- Colhido</v>
      </c>
      <c r="V1388" s="1" t="str">
        <f>IF(ESTIMATIVA[[#This Row],[QT_AREA_REST1]]&gt;0,"Reestimativa 1",IF(ESTIMATIVA[[#This Row],[QT_AREA_REAL]]=0,"Reestimativa 1","Realizado"))</f>
        <v>Realizado</v>
      </c>
      <c r="W1388" s="1" t="str">
        <f>IF(ESTIMATIVA[[#This Row],[QT_AREA_REST2]]&gt;0,"Reestimativa 2",IF(ESTIMATIVA[[#This Row],[QT_AREA_REAL]]=0,"Reestimativa 2","Realizado"))</f>
        <v>Realizado</v>
      </c>
      <c r="X1388" s="1">
        <f>ESTIMATIVA[[#This Row],[QT_AREA_EST]]</f>
        <v>25.15</v>
      </c>
      <c r="Y1388" s="1">
        <f>IF(ESTIMATIVA[[#This Row],[QT_AREA_REST1]]&gt;0,ESTIMATIVA[[#This Row],[QT_AREA_REST1]],
  IF(ESTIMATIVA[[#This Row],[QT_AREA_REAL]]&gt;0,ESTIMATIVA[[#This Row],[QT_AREA_REAL]],ESTIMATIVA[[#This Row],[QT_AREA_EST]]))</f>
        <v>25.15</v>
      </c>
      <c r="Z138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25.15</v>
      </c>
      <c r="AA1388" s="1">
        <f>ESTIMATIVA[[#This Row],[QT_CANA_EST]]</f>
        <v>1358.1</v>
      </c>
      <c r="AB1388" s="1">
        <f>IF(ESTIMATIVA[[#This Row],[QT_CANA_REST1]]&gt;0,ESTIMATIVA[[#This Row],[QT_CANA_REST1]],
  IF(ESTIMATIVA[[#This Row],[QT_CANA_REAL]]&gt;0,ESTIMATIVA[[#This Row],[QT_CANA_REAL]],ESTIMATIVA[[#This Row],[QT_CANA_EST]]))</f>
        <v>284.17</v>
      </c>
      <c r="AC138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284.17</v>
      </c>
      <c r="AD1388" s="1">
        <f>IF(ESTIMATIVA[[#This Row],[QT_AREA_REAL]]&gt;0,ESTIMATIVA[[#This Row],[QT_CANA_REAL]],ESTIMATIVA[[#This Row],[QT_CANA_EST]])</f>
        <v>284.17</v>
      </c>
      <c r="AE1388" s="1">
        <f>IF(ESTIMATIVA[[#This Row],[QT_AREA_REAL]]&gt;0,ESTIMATIVA[[#This Row],[QT_CANA_REAL]],ESTIMATIVA[[#This Row],[QT_CANA_REST1]])</f>
        <v>284.17</v>
      </c>
      <c r="AF1388" s="1">
        <f>IF(ESTIMATIVA[[#This Row],[QT_AREA_REAL]]&gt;0,ESTIMATIVA[[#This Row],[QT_CANA_REAL]],ESTIMATIVA[[#This Row],[QT_CANA_REST2]])</f>
        <v>284.17</v>
      </c>
      <c r="AG1388" s="1" t="str">
        <f>IF(COUNTIFS(GEADA!A:A,VALUE(ESTIMATIVA[[#This Row],[CD_UPNIVEL1]]&amp;TEXT(ESTIMATIVA[[#This Row],[CD_UPNIVEL3]],"0000")))&gt;0,"S","N")</f>
        <v>N</v>
      </c>
      <c r="AH138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88" s="55" t="str">
        <f>IF(ESTIMATIVA[[#This Row],[TP_CULTIVO]]="Irrigado",_xlfn.MAXIFS(IRRIGADO!J:J,IRRIGADO!C:C,ESTIMATIVA[[#This Row],[CD_UPNIVEL1]],IRRIGADO!E:E,ESTIMATIVA[[#This Row],[CD_UPNIVEL3]]),"")</f>
        <v/>
      </c>
      <c r="AJ138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88" s="1">
        <f>COUNTIFS(Apresentação!$E$23:$E$29,ESTIMATIVA[[#This Row],[CD_UPNIVEL1]])</f>
        <v>0</v>
      </c>
    </row>
    <row r="1389" spans="1:37" x14ac:dyDescent="0.3">
      <c r="A1389">
        <v>20555</v>
      </c>
      <c r="B1389" t="s">
        <v>81</v>
      </c>
      <c r="C1389">
        <v>7</v>
      </c>
      <c r="D1389">
        <v>4</v>
      </c>
      <c r="E1389" t="s">
        <v>265</v>
      </c>
      <c r="F1389" s="85" t="s">
        <v>331</v>
      </c>
      <c r="G1389"/>
      <c r="H1389" t="s">
        <v>294</v>
      </c>
      <c r="I1389" t="s">
        <v>197</v>
      </c>
      <c r="J1389" t="s">
        <v>176</v>
      </c>
      <c r="K1389" s="1">
        <v>13.55</v>
      </c>
      <c r="L1389" s="1">
        <v>0</v>
      </c>
      <c r="M1389" s="1">
        <v>0</v>
      </c>
      <c r="N1389" s="1">
        <v>13.55</v>
      </c>
      <c r="O1389" s="1">
        <v>731.7</v>
      </c>
      <c r="P1389" s="1">
        <v>0</v>
      </c>
      <c r="Q1389" s="1">
        <v>0</v>
      </c>
      <c r="R1389" s="1">
        <v>440.53</v>
      </c>
      <c r="S1389" t="s">
        <v>12</v>
      </c>
      <c r="T1389" s="13">
        <v>45795</v>
      </c>
      <c r="U1389" s="1" t="str">
        <f>IF(ESTIMATIVA[[#This Row],[QT_AREA_REAL]]&gt;0,"1- Colhido","2- à Colher")</f>
        <v>1- Colhido</v>
      </c>
      <c r="V1389" s="1" t="str">
        <f>IF(ESTIMATIVA[[#This Row],[QT_AREA_REST1]]&gt;0,"Reestimativa 1",IF(ESTIMATIVA[[#This Row],[QT_AREA_REAL]]=0,"Reestimativa 1","Realizado"))</f>
        <v>Realizado</v>
      </c>
      <c r="W1389" s="1" t="str">
        <f>IF(ESTIMATIVA[[#This Row],[QT_AREA_REST2]]&gt;0,"Reestimativa 2",IF(ESTIMATIVA[[#This Row],[QT_AREA_REAL]]=0,"Reestimativa 2","Realizado"))</f>
        <v>Realizado</v>
      </c>
      <c r="X1389" s="1">
        <f>ESTIMATIVA[[#This Row],[QT_AREA_EST]]</f>
        <v>13.55</v>
      </c>
      <c r="Y1389" s="1">
        <f>IF(ESTIMATIVA[[#This Row],[QT_AREA_REST1]]&gt;0,ESTIMATIVA[[#This Row],[QT_AREA_REST1]],
  IF(ESTIMATIVA[[#This Row],[QT_AREA_REAL]]&gt;0,ESTIMATIVA[[#This Row],[QT_AREA_REAL]],ESTIMATIVA[[#This Row],[QT_AREA_EST]]))</f>
        <v>13.55</v>
      </c>
      <c r="Z138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13.55</v>
      </c>
      <c r="AA1389" s="1">
        <f>ESTIMATIVA[[#This Row],[QT_CANA_EST]]</f>
        <v>731.7</v>
      </c>
      <c r="AB1389" s="1">
        <f>IF(ESTIMATIVA[[#This Row],[QT_CANA_REST1]]&gt;0,ESTIMATIVA[[#This Row],[QT_CANA_REST1]],
  IF(ESTIMATIVA[[#This Row],[QT_CANA_REAL]]&gt;0,ESTIMATIVA[[#This Row],[QT_CANA_REAL]],ESTIMATIVA[[#This Row],[QT_CANA_EST]]))</f>
        <v>440.53</v>
      </c>
      <c r="AC138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440.53</v>
      </c>
      <c r="AD1389" s="1">
        <f>IF(ESTIMATIVA[[#This Row],[QT_AREA_REAL]]&gt;0,ESTIMATIVA[[#This Row],[QT_CANA_REAL]],ESTIMATIVA[[#This Row],[QT_CANA_EST]])</f>
        <v>440.53</v>
      </c>
      <c r="AE1389" s="1">
        <f>IF(ESTIMATIVA[[#This Row],[QT_AREA_REAL]]&gt;0,ESTIMATIVA[[#This Row],[QT_CANA_REAL]],ESTIMATIVA[[#This Row],[QT_CANA_REST1]])</f>
        <v>440.53</v>
      </c>
      <c r="AF1389" s="1">
        <f>IF(ESTIMATIVA[[#This Row],[QT_AREA_REAL]]&gt;0,ESTIMATIVA[[#This Row],[QT_CANA_REAL]],ESTIMATIVA[[#This Row],[QT_CANA_REST2]])</f>
        <v>440.53</v>
      </c>
      <c r="AG1389" s="1" t="str">
        <f>IF(COUNTIFS(GEADA!A:A,VALUE(ESTIMATIVA[[#This Row],[CD_UPNIVEL1]]&amp;TEXT(ESTIMATIVA[[#This Row],[CD_UPNIVEL3]],"0000")))&gt;0,"S","N")</f>
        <v>N</v>
      </c>
      <c r="AH138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89" s="55" t="str">
        <f>IF(ESTIMATIVA[[#This Row],[TP_CULTIVO]]="Irrigado",_xlfn.MAXIFS(IRRIGADO!J:J,IRRIGADO!C:C,ESTIMATIVA[[#This Row],[CD_UPNIVEL1]],IRRIGADO!E:E,ESTIMATIVA[[#This Row],[CD_UPNIVEL3]]),"")</f>
        <v/>
      </c>
      <c r="AJ138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89" s="1">
        <f>COUNTIFS(Apresentação!$E$23:$E$29,ESTIMATIVA[[#This Row],[CD_UPNIVEL1]])</f>
        <v>0</v>
      </c>
    </row>
    <row r="1390" spans="1:37" x14ac:dyDescent="0.3">
      <c r="A1390">
        <v>20555</v>
      </c>
      <c r="B1390" t="s">
        <v>81</v>
      </c>
      <c r="C1390">
        <v>8</v>
      </c>
      <c r="D1390">
        <v>4</v>
      </c>
      <c r="E1390" t="s">
        <v>265</v>
      </c>
      <c r="F1390" s="85" t="s">
        <v>331</v>
      </c>
      <c r="G1390"/>
      <c r="H1390" t="s">
        <v>294</v>
      </c>
      <c r="I1390" t="s">
        <v>197</v>
      </c>
      <c r="J1390" t="s">
        <v>176</v>
      </c>
      <c r="K1390" s="1">
        <v>9.65</v>
      </c>
      <c r="L1390" s="1">
        <v>0</v>
      </c>
      <c r="M1390" s="1">
        <v>0</v>
      </c>
      <c r="N1390" s="1">
        <v>9.65</v>
      </c>
      <c r="O1390" s="1">
        <v>521.1</v>
      </c>
      <c r="P1390" s="1">
        <v>0</v>
      </c>
      <c r="Q1390" s="1">
        <v>0</v>
      </c>
      <c r="R1390" s="1">
        <v>571.1</v>
      </c>
      <c r="S1390" t="s">
        <v>12</v>
      </c>
      <c r="T1390" s="13">
        <v>45767</v>
      </c>
      <c r="U1390" s="1" t="str">
        <f>IF(ESTIMATIVA[[#This Row],[QT_AREA_REAL]]&gt;0,"1- Colhido","2- à Colher")</f>
        <v>1- Colhido</v>
      </c>
      <c r="V1390" s="1" t="str">
        <f>IF(ESTIMATIVA[[#This Row],[QT_AREA_REST1]]&gt;0,"Reestimativa 1",IF(ESTIMATIVA[[#This Row],[QT_AREA_REAL]]=0,"Reestimativa 1","Realizado"))</f>
        <v>Realizado</v>
      </c>
      <c r="W1390" s="1" t="str">
        <f>IF(ESTIMATIVA[[#This Row],[QT_AREA_REST2]]&gt;0,"Reestimativa 2",IF(ESTIMATIVA[[#This Row],[QT_AREA_REAL]]=0,"Reestimativa 2","Realizado"))</f>
        <v>Realizado</v>
      </c>
      <c r="X1390" s="1">
        <f>ESTIMATIVA[[#This Row],[QT_AREA_EST]]</f>
        <v>9.65</v>
      </c>
      <c r="Y1390" s="1">
        <f>IF(ESTIMATIVA[[#This Row],[QT_AREA_REST1]]&gt;0,ESTIMATIVA[[#This Row],[QT_AREA_REST1]],
  IF(ESTIMATIVA[[#This Row],[QT_AREA_REAL]]&gt;0,ESTIMATIVA[[#This Row],[QT_AREA_REAL]],ESTIMATIVA[[#This Row],[QT_AREA_EST]]))</f>
        <v>9.65</v>
      </c>
      <c r="Z139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9.65</v>
      </c>
      <c r="AA1390" s="1">
        <f>ESTIMATIVA[[#This Row],[QT_CANA_EST]]</f>
        <v>521.1</v>
      </c>
      <c r="AB1390" s="1">
        <f>IF(ESTIMATIVA[[#This Row],[QT_CANA_REST1]]&gt;0,ESTIMATIVA[[#This Row],[QT_CANA_REST1]],
  IF(ESTIMATIVA[[#This Row],[QT_CANA_REAL]]&gt;0,ESTIMATIVA[[#This Row],[QT_CANA_REAL]],ESTIMATIVA[[#This Row],[QT_CANA_EST]]))</f>
        <v>571.1</v>
      </c>
      <c r="AC139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571.1</v>
      </c>
      <c r="AD1390" s="1">
        <f>IF(ESTIMATIVA[[#This Row],[QT_AREA_REAL]]&gt;0,ESTIMATIVA[[#This Row],[QT_CANA_REAL]],ESTIMATIVA[[#This Row],[QT_CANA_EST]])</f>
        <v>571.1</v>
      </c>
      <c r="AE1390" s="1">
        <f>IF(ESTIMATIVA[[#This Row],[QT_AREA_REAL]]&gt;0,ESTIMATIVA[[#This Row],[QT_CANA_REAL]],ESTIMATIVA[[#This Row],[QT_CANA_REST1]])</f>
        <v>571.1</v>
      </c>
      <c r="AF1390" s="1">
        <f>IF(ESTIMATIVA[[#This Row],[QT_AREA_REAL]]&gt;0,ESTIMATIVA[[#This Row],[QT_CANA_REAL]],ESTIMATIVA[[#This Row],[QT_CANA_REST2]])</f>
        <v>571.1</v>
      </c>
      <c r="AG1390" s="1" t="str">
        <f>IF(COUNTIFS(GEADA!A:A,VALUE(ESTIMATIVA[[#This Row],[CD_UPNIVEL1]]&amp;TEXT(ESTIMATIVA[[#This Row],[CD_UPNIVEL3]],"0000")))&gt;0,"S","N")</f>
        <v>N</v>
      </c>
      <c r="AH139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90" s="55" t="str">
        <f>IF(ESTIMATIVA[[#This Row],[TP_CULTIVO]]="Irrigado",_xlfn.MAXIFS(IRRIGADO!J:J,IRRIGADO!C:C,ESTIMATIVA[[#This Row],[CD_UPNIVEL1]],IRRIGADO!E:E,ESTIMATIVA[[#This Row],[CD_UPNIVEL3]]),"")</f>
        <v/>
      </c>
      <c r="AJ139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90" s="1">
        <f>COUNTIFS(Apresentação!$E$23:$E$29,ESTIMATIVA[[#This Row],[CD_UPNIVEL1]])</f>
        <v>0</v>
      </c>
    </row>
    <row r="1391" spans="1:37" x14ac:dyDescent="0.3">
      <c r="A1391">
        <v>20555</v>
      </c>
      <c r="B1391" t="s">
        <v>81</v>
      </c>
      <c r="C1391">
        <v>10</v>
      </c>
      <c r="D1391">
        <v>3</v>
      </c>
      <c r="E1391" t="s">
        <v>263</v>
      </c>
      <c r="F1391" s="85" t="s">
        <v>331</v>
      </c>
      <c r="G1391"/>
      <c r="H1391" t="s">
        <v>294</v>
      </c>
      <c r="I1391" t="s">
        <v>197</v>
      </c>
      <c r="J1391" t="s">
        <v>176</v>
      </c>
      <c r="K1391" s="1">
        <v>6.09</v>
      </c>
      <c r="L1391" s="1">
        <v>0</v>
      </c>
      <c r="M1391" s="1">
        <v>0</v>
      </c>
      <c r="N1391" s="1">
        <v>6.09</v>
      </c>
      <c r="O1391" s="1">
        <v>414.12</v>
      </c>
      <c r="P1391" s="1">
        <v>0</v>
      </c>
      <c r="Q1391" s="1">
        <v>0</v>
      </c>
      <c r="R1391" s="1">
        <v>421.65</v>
      </c>
      <c r="S1391" t="s">
        <v>12</v>
      </c>
      <c r="T1391" s="13">
        <v>45767</v>
      </c>
      <c r="U1391" s="1" t="str">
        <f>IF(ESTIMATIVA[[#This Row],[QT_AREA_REAL]]&gt;0,"1- Colhido","2- à Colher")</f>
        <v>1- Colhido</v>
      </c>
      <c r="V1391" s="1" t="str">
        <f>IF(ESTIMATIVA[[#This Row],[QT_AREA_REST1]]&gt;0,"Reestimativa 1",IF(ESTIMATIVA[[#This Row],[QT_AREA_REAL]]=0,"Reestimativa 1","Realizado"))</f>
        <v>Realizado</v>
      </c>
      <c r="W1391" s="1" t="str">
        <f>IF(ESTIMATIVA[[#This Row],[QT_AREA_REST2]]&gt;0,"Reestimativa 2",IF(ESTIMATIVA[[#This Row],[QT_AREA_REAL]]=0,"Reestimativa 2","Realizado"))</f>
        <v>Realizado</v>
      </c>
      <c r="X1391" s="1">
        <f>ESTIMATIVA[[#This Row],[QT_AREA_EST]]</f>
        <v>6.09</v>
      </c>
      <c r="Y1391" s="1">
        <f>IF(ESTIMATIVA[[#This Row],[QT_AREA_REST1]]&gt;0,ESTIMATIVA[[#This Row],[QT_AREA_REST1]],
  IF(ESTIMATIVA[[#This Row],[QT_AREA_REAL]]&gt;0,ESTIMATIVA[[#This Row],[QT_AREA_REAL]],ESTIMATIVA[[#This Row],[QT_AREA_EST]]))</f>
        <v>6.09</v>
      </c>
      <c r="Z139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6.09</v>
      </c>
      <c r="AA1391" s="1">
        <f>ESTIMATIVA[[#This Row],[QT_CANA_EST]]</f>
        <v>414.12</v>
      </c>
      <c r="AB1391" s="1">
        <f>IF(ESTIMATIVA[[#This Row],[QT_CANA_REST1]]&gt;0,ESTIMATIVA[[#This Row],[QT_CANA_REST1]],
  IF(ESTIMATIVA[[#This Row],[QT_CANA_REAL]]&gt;0,ESTIMATIVA[[#This Row],[QT_CANA_REAL]],ESTIMATIVA[[#This Row],[QT_CANA_EST]]))</f>
        <v>421.65</v>
      </c>
      <c r="AC139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421.65</v>
      </c>
      <c r="AD1391" s="1">
        <f>IF(ESTIMATIVA[[#This Row],[QT_AREA_REAL]]&gt;0,ESTIMATIVA[[#This Row],[QT_CANA_REAL]],ESTIMATIVA[[#This Row],[QT_CANA_EST]])</f>
        <v>421.65</v>
      </c>
      <c r="AE1391" s="1">
        <f>IF(ESTIMATIVA[[#This Row],[QT_AREA_REAL]]&gt;0,ESTIMATIVA[[#This Row],[QT_CANA_REAL]],ESTIMATIVA[[#This Row],[QT_CANA_REST1]])</f>
        <v>421.65</v>
      </c>
      <c r="AF1391" s="1">
        <f>IF(ESTIMATIVA[[#This Row],[QT_AREA_REAL]]&gt;0,ESTIMATIVA[[#This Row],[QT_CANA_REAL]],ESTIMATIVA[[#This Row],[QT_CANA_REST2]])</f>
        <v>421.65</v>
      </c>
      <c r="AG1391" s="1" t="str">
        <f>IF(COUNTIFS(GEADA!A:A,VALUE(ESTIMATIVA[[#This Row],[CD_UPNIVEL1]]&amp;TEXT(ESTIMATIVA[[#This Row],[CD_UPNIVEL3]],"0000")))&gt;0,"S","N")</f>
        <v>N</v>
      </c>
      <c r="AH139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91" s="55" t="str">
        <f>IF(ESTIMATIVA[[#This Row],[TP_CULTIVO]]="Irrigado",_xlfn.MAXIFS(IRRIGADO!J:J,IRRIGADO!C:C,ESTIMATIVA[[#This Row],[CD_UPNIVEL1]],IRRIGADO!E:E,ESTIMATIVA[[#This Row],[CD_UPNIVEL3]]),"")</f>
        <v/>
      </c>
      <c r="AJ139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91" s="1">
        <f>COUNTIFS(Apresentação!$E$23:$E$29,ESTIMATIVA[[#This Row],[CD_UPNIVEL1]])</f>
        <v>0</v>
      </c>
    </row>
    <row r="1392" spans="1:37" x14ac:dyDescent="0.3">
      <c r="A1392">
        <v>20555</v>
      </c>
      <c r="B1392" t="s">
        <v>81</v>
      </c>
      <c r="C1392">
        <v>11</v>
      </c>
      <c r="D1392">
        <v>3</v>
      </c>
      <c r="E1392" t="s">
        <v>263</v>
      </c>
      <c r="F1392" s="85" t="s">
        <v>331</v>
      </c>
      <c r="G1392"/>
      <c r="H1392" t="s">
        <v>294</v>
      </c>
      <c r="I1392" t="s">
        <v>197</v>
      </c>
      <c r="J1392" t="s">
        <v>176</v>
      </c>
      <c r="K1392" s="1">
        <v>14.73</v>
      </c>
      <c r="L1392" s="1">
        <v>0</v>
      </c>
      <c r="M1392" s="1">
        <v>0</v>
      </c>
      <c r="N1392" s="1">
        <v>14.73</v>
      </c>
      <c r="O1392" s="1">
        <v>1001.64</v>
      </c>
      <c r="P1392" s="1">
        <v>0</v>
      </c>
      <c r="Q1392" s="1">
        <v>0</v>
      </c>
      <c r="R1392" s="1">
        <v>1020.57</v>
      </c>
      <c r="S1392" t="s">
        <v>12</v>
      </c>
      <c r="T1392" s="13">
        <v>45767</v>
      </c>
      <c r="U1392" s="1" t="str">
        <f>IF(ESTIMATIVA[[#This Row],[QT_AREA_REAL]]&gt;0,"1- Colhido","2- à Colher")</f>
        <v>1- Colhido</v>
      </c>
      <c r="V1392" s="1" t="str">
        <f>IF(ESTIMATIVA[[#This Row],[QT_AREA_REST1]]&gt;0,"Reestimativa 1",IF(ESTIMATIVA[[#This Row],[QT_AREA_REAL]]=0,"Reestimativa 1","Realizado"))</f>
        <v>Realizado</v>
      </c>
      <c r="W1392" s="1" t="str">
        <f>IF(ESTIMATIVA[[#This Row],[QT_AREA_REST2]]&gt;0,"Reestimativa 2",IF(ESTIMATIVA[[#This Row],[QT_AREA_REAL]]=0,"Reestimativa 2","Realizado"))</f>
        <v>Realizado</v>
      </c>
      <c r="X1392" s="1">
        <f>ESTIMATIVA[[#This Row],[QT_AREA_EST]]</f>
        <v>14.73</v>
      </c>
      <c r="Y1392" s="1">
        <f>IF(ESTIMATIVA[[#This Row],[QT_AREA_REST1]]&gt;0,ESTIMATIVA[[#This Row],[QT_AREA_REST1]],
  IF(ESTIMATIVA[[#This Row],[QT_AREA_REAL]]&gt;0,ESTIMATIVA[[#This Row],[QT_AREA_REAL]],ESTIMATIVA[[#This Row],[QT_AREA_EST]]))</f>
        <v>14.73</v>
      </c>
      <c r="Z139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14.73</v>
      </c>
      <c r="AA1392" s="1">
        <f>ESTIMATIVA[[#This Row],[QT_CANA_EST]]</f>
        <v>1001.64</v>
      </c>
      <c r="AB1392" s="1">
        <f>IF(ESTIMATIVA[[#This Row],[QT_CANA_REST1]]&gt;0,ESTIMATIVA[[#This Row],[QT_CANA_REST1]],
  IF(ESTIMATIVA[[#This Row],[QT_CANA_REAL]]&gt;0,ESTIMATIVA[[#This Row],[QT_CANA_REAL]],ESTIMATIVA[[#This Row],[QT_CANA_EST]]))</f>
        <v>1020.57</v>
      </c>
      <c r="AC139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1020.57</v>
      </c>
      <c r="AD1392" s="1">
        <f>IF(ESTIMATIVA[[#This Row],[QT_AREA_REAL]]&gt;0,ESTIMATIVA[[#This Row],[QT_CANA_REAL]],ESTIMATIVA[[#This Row],[QT_CANA_EST]])</f>
        <v>1020.57</v>
      </c>
      <c r="AE1392" s="1">
        <f>IF(ESTIMATIVA[[#This Row],[QT_AREA_REAL]]&gt;0,ESTIMATIVA[[#This Row],[QT_CANA_REAL]],ESTIMATIVA[[#This Row],[QT_CANA_REST1]])</f>
        <v>1020.57</v>
      </c>
      <c r="AF1392" s="1">
        <f>IF(ESTIMATIVA[[#This Row],[QT_AREA_REAL]]&gt;0,ESTIMATIVA[[#This Row],[QT_CANA_REAL]],ESTIMATIVA[[#This Row],[QT_CANA_REST2]])</f>
        <v>1020.57</v>
      </c>
      <c r="AG1392" s="1" t="str">
        <f>IF(COUNTIFS(GEADA!A:A,VALUE(ESTIMATIVA[[#This Row],[CD_UPNIVEL1]]&amp;TEXT(ESTIMATIVA[[#This Row],[CD_UPNIVEL3]],"0000")))&gt;0,"S","N")</f>
        <v>N</v>
      </c>
      <c r="AH139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92" s="55" t="str">
        <f>IF(ESTIMATIVA[[#This Row],[TP_CULTIVO]]="Irrigado",_xlfn.MAXIFS(IRRIGADO!J:J,IRRIGADO!C:C,ESTIMATIVA[[#This Row],[CD_UPNIVEL1]],IRRIGADO!E:E,ESTIMATIVA[[#This Row],[CD_UPNIVEL3]]),"")</f>
        <v/>
      </c>
      <c r="AJ139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92" s="1">
        <f>COUNTIFS(Apresentação!$E$23:$E$29,ESTIMATIVA[[#This Row],[CD_UPNIVEL1]])</f>
        <v>0</v>
      </c>
    </row>
    <row r="1393" spans="1:37" x14ac:dyDescent="0.3">
      <c r="A1393">
        <v>20555</v>
      </c>
      <c r="B1393" t="s">
        <v>81</v>
      </c>
      <c r="C1393">
        <v>12</v>
      </c>
      <c r="D1393">
        <v>3</v>
      </c>
      <c r="E1393" t="s">
        <v>263</v>
      </c>
      <c r="F1393" s="85" t="s">
        <v>331</v>
      </c>
      <c r="G1393"/>
      <c r="H1393" t="s">
        <v>294</v>
      </c>
      <c r="I1393" t="s">
        <v>197</v>
      </c>
      <c r="J1393" t="s">
        <v>176</v>
      </c>
      <c r="K1393" s="1">
        <v>27.43</v>
      </c>
      <c r="L1393" s="1">
        <v>0</v>
      </c>
      <c r="M1393" s="1">
        <v>0</v>
      </c>
      <c r="N1393" s="1">
        <v>27.43</v>
      </c>
      <c r="O1393" s="1">
        <v>1865.24</v>
      </c>
      <c r="P1393" s="1">
        <v>0</v>
      </c>
      <c r="Q1393" s="1">
        <v>0</v>
      </c>
      <c r="R1393" s="1">
        <v>1899.61</v>
      </c>
      <c r="S1393" t="s">
        <v>12</v>
      </c>
      <c r="T1393" s="13">
        <v>45767</v>
      </c>
      <c r="U1393" s="1" t="str">
        <f>IF(ESTIMATIVA[[#This Row],[QT_AREA_REAL]]&gt;0,"1- Colhido","2- à Colher")</f>
        <v>1- Colhido</v>
      </c>
      <c r="V1393" s="1" t="str">
        <f>IF(ESTIMATIVA[[#This Row],[QT_AREA_REST1]]&gt;0,"Reestimativa 1",IF(ESTIMATIVA[[#This Row],[QT_AREA_REAL]]=0,"Reestimativa 1","Realizado"))</f>
        <v>Realizado</v>
      </c>
      <c r="W1393" s="1" t="str">
        <f>IF(ESTIMATIVA[[#This Row],[QT_AREA_REST2]]&gt;0,"Reestimativa 2",IF(ESTIMATIVA[[#This Row],[QT_AREA_REAL]]=0,"Reestimativa 2","Realizado"))</f>
        <v>Realizado</v>
      </c>
      <c r="X1393" s="1">
        <f>ESTIMATIVA[[#This Row],[QT_AREA_EST]]</f>
        <v>27.43</v>
      </c>
      <c r="Y1393" s="1">
        <f>IF(ESTIMATIVA[[#This Row],[QT_AREA_REST1]]&gt;0,ESTIMATIVA[[#This Row],[QT_AREA_REST1]],
  IF(ESTIMATIVA[[#This Row],[QT_AREA_REAL]]&gt;0,ESTIMATIVA[[#This Row],[QT_AREA_REAL]],ESTIMATIVA[[#This Row],[QT_AREA_EST]]))</f>
        <v>27.43</v>
      </c>
      <c r="Z139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27.43</v>
      </c>
      <c r="AA1393" s="1">
        <f>ESTIMATIVA[[#This Row],[QT_CANA_EST]]</f>
        <v>1865.24</v>
      </c>
      <c r="AB1393" s="1">
        <f>IF(ESTIMATIVA[[#This Row],[QT_CANA_REST1]]&gt;0,ESTIMATIVA[[#This Row],[QT_CANA_REST1]],
  IF(ESTIMATIVA[[#This Row],[QT_CANA_REAL]]&gt;0,ESTIMATIVA[[#This Row],[QT_CANA_REAL]],ESTIMATIVA[[#This Row],[QT_CANA_EST]]))</f>
        <v>1899.61</v>
      </c>
      <c r="AC139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1899.61</v>
      </c>
      <c r="AD1393" s="1">
        <f>IF(ESTIMATIVA[[#This Row],[QT_AREA_REAL]]&gt;0,ESTIMATIVA[[#This Row],[QT_CANA_REAL]],ESTIMATIVA[[#This Row],[QT_CANA_EST]])</f>
        <v>1899.61</v>
      </c>
      <c r="AE1393" s="1">
        <f>IF(ESTIMATIVA[[#This Row],[QT_AREA_REAL]]&gt;0,ESTIMATIVA[[#This Row],[QT_CANA_REAL]],ESTIMATIVA[[#This Row],[QT_CANA_REST1]])</f>
        <v>1899.61</v>
      </c>
      <c r="AF1393" s="1">
        <f>IF(ESTIMATIVA[[#This Row],[QT_AREA_REAL]]&gt;0,ESTIMATIVA[[#This Row],[QT_CANA_REAL]],ESTIMATIVA[[#This Row],[QT_CANA_REST2]])</f>
        <v>1899.61</v>
      </c>
      <c r="AG1393" s="1" t="str">
        <f>IF(COUNTIFS(GEADA!A:A,VALUE(ESTIMATIVA[[#This Row],[CD_UPNIVEL1]]&amp;TEXT(ESTIMATIVA[[#This Row],[CD_UPNIVEL3]],"0000")))&gt;0,"S","N")</f>
        <v>N</v>
      </c>
      <c r="AH139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93" s="55" t="str">
        <f>IF(ESTIMATIVA[[#This Row],[TP_CULTIVO]]="Irrigado",_xlfn.MAXIFS(IRRIGADO!J:J,IRRIGADO!C:C,ESTIMATIVA[[#This Row],[CD_UPNIVEL1]],IRRIGADO!E:E,ESTIMATIVA[[#This Row],[CD_UPNIVEL3]]),"")</f>
        <v/>
      </c>
      <c r="AJ139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93" s="1">
        <f>COUNTIFS(Apresentação!$E$23:$E$29,ESTIMATIVA[[#This Row],[CD_UPNIVEL1]])</f>
        <v>0</v>
      </c>
    </row>
    <row r="1394" spans="1:37" x14ac:dyDescent="0.3">
      <c r="A1394">
        <v>20555</v>
      </c>
      <c r="B1394" t="s">
        <v>81</v>
      </c>
      <c r="C1394">
        <v>13</v>
      </c>
      <c r="D1394">
        <v>3</v>
      </c>
      <c r="E1394" t="s">
        <v>263</v>
      </c>
      <c r="F1394" s="85" t="s">
        <v>333</v>
      </c>
      <c r="G1394"/>
      <c r="H1394" t="s">
        <v>294</v>
      </c>
      <c r="I1394" t="s">
        <v>197</v>
      </c>
      <c r="J1394" t="s">
        <v>176</v>
      </c>
      <c r="K1394" s="1">
        <v>7.85</v>
      </c>
      <c r="L1394" s="1">
        <v>0</v>
      </c>
      <c r="M1394" s="1">
        <v>0</v>
      </c>
      <c r="N1394" s="1">
        <v>7.85</v>
      </c>
      <c r="O1394" s="1">
        <v>533.79999999999995</v>
      </c>
      <c r="P1394" s="1">
        <v>0</v>
      </c>
      <c r="Q1394" s="1">
        <v>0</v>
      </c>
      <c r="R1394" s="1">
        <v>544.09</v>
      </c>
      <c r="S1394" t="s">
        <v>12</v>
      </c>
      <c r="T1394" s="13">
        <v>45767</v>
      </c>
      <c r="U1394" s="1" t="str">
        <f>IF(ESTIMATIVA[[#This Row],[QT_AREA_REAL]]&gt;0,"1- Colhido","2- à Colher")</f>
        <v>1- Colhido</v>
      </c>
      <c r="V1394" s="1" t="str">
        <f>IF(ESTIMATIVA[[#This Row],[QT_AREA_REST1]]&gt;0,"Reestimativa 1",IF(ESTIMATIVA[[#This Row],[QT_AREA_REAL]]=0,"Reestimativa 1","Realizado"))</f>
        <v>Realizado</v>
      </c>
      <c r="W1394" s="1" t="str">
        <f>IF(ESTIMATIVA[[#This Row],[QT_AREA_REST2]]&gt;0,"Reestimativa 2",IF(ESTIMATIVA[[#This Row],[QT_AREA_REAL]]=0,"Reestimativa 2","Realizado"))</f>
        <v>Realizado</v>
      </c>
      <c r="X1394" s="1">
        <f>ESTIMATIVA[[#This Row],[QT_AREA_EST]]</f>
        <v>7.85</v>
      </c>
      <c r="Y1394" s="1">
        <f>IF(ESTIMATIVA[[#This Row],[QT_AREA_REST1]]&gt;0,ESTIMATIVA[[#This Row],[QT_AREA_REST1]],
  IF(ESTIMATIVA[[#This Row],[QT_AREA_REAL]]&gt;0,ESTIMATIVA[[#This Row],[QT_AREA_REAL]],ESTIMATIVA[[#This Row],[QT_AREA_EST]]))</f>
        <v>7.85</v>
      </c>
      <c r="Z139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7.85</v>
      </c>
      <c r="AA1394" s="1">
        <f>ESTIMATIVA[[#This Row],[QT_CANA_EST]]</f>
        <v>533.79999999999995</v>
      </c>
      <c r="AB1394" s="1">
        <f>IF(ESTIMATIVA[[#This Row],[QT_CANA_REST1]]&gt;0,ESTIMATIVA[[#This Row],[QT_CANA_REST1]],
  IF(ESTIMATIVA[[#This Row],[QT_CANA_REAL]]&gt;0,ESTIMATIVA[[#This Row],[QT_CANA_REAL]],ESTIMATIVA[[#This Row],[QT_CANA_EST]]))</f>
        <v>544.09</v>
      </c>
      <c r="AC139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544.09</v>
      </c>
      <c r="AD1394" s="1">
        <f>IF(ESTIMATIVA[[#This Row],[QT_AREA_REAL]]&gt;0,ESTIMATIVA[[#This Row],[QT_CANA_REAL]],ESTIMATIVA[[#This Row],[QT_CANA_EST]])</f>
        <v>544.09</v>
      </c>
      <c r="AE1394" s="1">
        <f>IF(ESTIMATIVA[[#This Row],[QT_AREA_REAL]]&gt;0,ESTIMATIVA[[#This Row],[QT_CANA_REAL]],ESTIMATIVA[[#This Row],[QT_CANA_REST1]])</f>
        <v>544.09</v>
      </c>
      <c r="AF1394" s="1">
        <f>IF(ESTIMATIVA[[#This Row],[QT_AREA_REAL]]&gt;0,ESTIMATIVA[[#This Row],[QT_CANA_REAL]],ESTIMATIVA[[#This Row],[QT_CANA_REST2]])</f>
        <v>544.09</v>
      </c>
      <c r="AG1394" s="1" t="str">
        <f>IF(COUNTIFS(GEADA!A:A,VALUE(ESTIMATIVA[[#This Row],[CD_UPNIVEL1]]&amp;TEXT(ESTIMATIVA[[#This Row],[CD_UPNIVEL3]],"0000")))&gt;0,"S","N")</f>
        <v>N</v>
      </c>
      <c r="AH139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94" s="55" t="str">
        <f>IF(ESTIMATIVA[[#This Row],[TP_CULTIVO]]="Irrigado",_xlfn.MAXIFS(IRRIGADO!J:J,IRRIGADO!C:C,ESTIMATIVA[[#This Row],[CD_UPNIVEL1]],IRRIGADO!E:E,ESTIMATIVA[[#This Row],[CD_UPNIVEL3]]),"")</f>
        <v/>
      </c>
      <c r="AJ139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94" s="1">
        <f>COUNTIFS(Apresentação!$E$23:$E$29,ESTIMATIVA[[#This Row],[CD_UPNIVEL1]])</f>
        <v>0</v>
      </c>
    </row>
    <row r="1395" spans="1:37" x14ac:dyDescent="0.3">
      <c r="A1395">
        <v>20568</v>
      </c>
      <c r="B1395" t="s">
        <v>62</v>
      </c>
      <c r="C1395">
        <v>1</v>
      </c>
      <c r="D1395">
        <v>1</v>
      </c>
      <c r="E1395" t="s">
        <v>267</v>
      </c>
      <c r="F1395" s="85" t="s">
        <v>331</v>
      </c>
      <c r="G1395"/>
      <c r="H1395" t="s">
        <v>294</v>
      </c>
      <c r="I1395" t="s">
        <v>200</v>
      </c>
      <c r="J1395" t="s">
        <v>176</v>
      </c>
      <c r="K1395" s="1">
        <v>41.84</v>
      </c>
      <c r="L1395" s="1">
        <v>0</v>
      </c>
      <c r="M1395" s="1">
        <v>0</v>
      </c>
      <c r="N1395" s="1">
        <v>41.84</v>
      </c>
      <c r="O1395" s="1">
        <v>4602.3999999999996</v>
      </c>
      <c r="P1395" s="1">
        <v>0</v>
      </c>
      <c r="Q1395" s="1">
        <v>0</v>
      </c>
      <c r="R1395" s="1">
        <v>5252.97</v>
      </c>
      <c r="S1395" t="s">
        <v>12</v>
      </c>
      <c r="T1395" s="13">
        <v>45809</v>
      </c>
      <c r="U1395" s="1" t="str">
        <f>IF(ESTIMATIVA[[#This Row],[QT_AREA_REAL]]&gt;0,"1- Colhido","2- à Colher")</f>
        <v>1- Colhido</v>
      </c>
      <c r="V1395" s="1" t="str">
        <f>IF(ESTIMATIVA[[#This Row],[QT_AREA_REST1]]&gt;0,"Reestimativa 1",IF(ESTIMATIVA[[#This Row],[QT_AREA_REAL]]=0,"Reestimativa 1","Realizado"))</f>
        <v>Realizado</v>
      </c>
      <c r="W1395" s="1" t="str">
        <f>IF(ESTIMATIVA[[#This Row],[QT_AREA_REST2]]&gt;0,"Reestimativa 2",IF(ESTIMATIVA[[#This Row],[QT_AREA_REAL]]=0,"Reestimativa 2","Realizado"))</f>
        <v>Realizado</v>
      </c>
      <c r="X1395" s="1">
        <f>ESTIMATIVA[[#This Row],[QT_AREA_EST]]</f>
        <v>41.84</v>
      </c>
      <c r="Y1395" s="1">
        <f>IF(ESTIMATIVA[[#This Row],[QT_AREA_REST1]]&gt;0,ESTIMATIVA[[#This Row],[QT_AREA_REST1]],
  IF(ESTIMATIVA[[#This Row],[QT_AREA_REAL]]&gt;0,ESTIMATIVA[[#This Row],[QT_AREA_REAL]],ESTIMATIVA[[#This Row],[QT_AREA_EST]]))</f>
        <v>41.84</v>
      </c>
      <c r="Z139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41.84</v>
      </c>
      <c r="AA1395" s="1">
        <f>ESTIMATIVA[[#This Row],[QT_CANA_EST]]</f>
        <v>4602.3999999999996</v>
      </c>
      <c r="AB1395" s="1">
        <f>IF(ESTIMATIVA[[#This Row],[QT_CANA_REST1]]&gt;0,ESTIMATIVA[[#This Row],[QT_CANA_REST1]],
  IF(ESTIMATIVA[[#This Row],[QT_CANA_REAL]]&gt;0,ESTIMATIVA[[#This Row],[QT_CANA_REAL]],ESTIMATIVA[[#This Row],[QT_CANA_EST]]))</f>
        <v>5252.97</v>
      </c>
      <c r="AC139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5252.97</v>
      </c>
      <c r="AD1395" s="1">
        <f>IF(ESTIMATIVA[[#This Row],[QT_AREA_REAL]]&gt;0,ESTIMATIVA[[#This Row],[QT_CANA_REAL]],ESTIMATIVA[[#This Row],[QT_CANA_EST]])</f>
        <v>5252.97</v>
      </c>
      <c r="AE1395" s="1">
        <f>IF(ESTIMATIVA[[#This Row],[QT_AREA_REAL]]&gt;0,ESTIMATIVA[[#This Row],[QT_CANA_REAL]],ESTIMATIVA[[#This Row],[QT_CANA_REST1]])</f>
        <v>5252.97</v>
      </c>
      <c r="AF1395" s="1">
        <f>IF(ESTIMATIVA[[#This Row],[QT_AREA_REAL]]&gt;0,ESTIMATIVA[[#This Row],[QT_CANA_REAL]],ESTIMATIVA[[#This Row],[QT_CANA_REST2]])</f>
        <v>5252.97</v>
      </c>
      <c r="AG1395" s="1" t="str">
        <f>IF(COUNTIFS(GEADA!A:A,VALUE(ESTIMATIVA[[#This Row],[CD_UPNIVEL1]]&amp;TEXT(ESTIMATIVA[[#This Row],[CD_UPNIVEL3]],"0000")))&gt;0,"S","N")</f>
        <v>N</v>
      </c>
      <c r="AH139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95" s="55" t="str">
        <f>IF(ESTIMATIVA[[#This Row],[TP_CULTIVO]]="Irrigado",_xlfn.MAXIFS(IRRIGADO!J:J,IRRIGADO!C:C,ESTIMATIVA[[#This Row],[CD_UPNIVEL1]],IRRIGADO!E:E,ESTIMATIVA[[#This Row],[CD_UPNIVEL3]]),"")</f>
        <v/>
      </c>
      <c r="AJ139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95" s="1">
        <f>COUNTIFS(Apresentação!$E$23:$E$29,ESTIMATIVA[[#This Row],[CD_UPNIVEL1]])</f>
        <v>0</v>
      </c>
    </row>
    <row r="1396" spans="1:37" x14ac:dyDescent="0.3">
      <c r="A1396">
        <v>20568</v>
      </c>
      <c r="B1396" t="s">
        <v>62</v>
      </c>
      <c r="C1396">
        <v>2</v>
      </c>
      <c r="D1396">
        <v>1</v>
      </c>
      <c r="E1396" t="s">
        <v>267</v>
      </c>
      <c r="F1396" s="85" t="s">
        <v>331</v>
      </c>
      <c r="G1396"/>
      <c r="H1396" t="s">
        <v>294</v>
      </c>
      <c r="I1396" t="s">
        <v>200</v>
      </c>
      <c r="J1396" t="s">
        <v>176</v>
      </c>
      <c r="K1396" s="1">
        <v>27.23</v>
      </c>
      <c r="L1396" s="1">
        <v>0</v>
      </c>
      <c r="M1396" s="1">
        <v>0</v>
      </c>
      <c r="N1396" s="1">
        <v>27.23</v>
      </c>
      <c r="O1396" s="1">
        <v>2995.3</v>
      </c>
      <c r="P1396" s="1">
        <v>0</v>
      </c>
      <c r="Q1396" s="1">
        <v>0</v>
      </c>
      <c r="R1396" s="1">
        <v>3418.88</v>
      </c>
      <c r="S1396" t="s">
        <v>12</v>
      </c>
      <c r="T1396" s="13">
        <v>45809</v>
      </c>
      <c r="U1396" s="1" t="str">
        <f>IF(ESTIMATIVA[[#This Row],[QT_AREA_REAL]]&gt;0,"1- Colhido","2- à Colher")</f>
        <v>1- Colhido</v>
      </c>
      <c r="V1396" s="1" t="str">
        <f>IF(ESTIMATIVA[[#This Row],[QT_AREA_REST1]]&gt;0,"Reestimativa 1",IF(ESTIMATIVA[[#This Row],[QT_AREA_REAL]]=0,"Reestimativa 1","Realizado"))</f>
        <v>Realizado</v>
      </c>
      <c r="W1396" s="1" t="str">
        <f>IF(ESTIMATIVA[[#This Row],[QT_AREA_REST2]]&gt;0,"Reestimativa 2",IF(ESTIMATIVA[[#This Row],[QT_AREA_REAL]]=0,"Reestimativa 2","Realizado"))</f>
        <v>Realizado</v>
      </c>
      <c r="X1396" s="1">
        <f>ESTIMATIVA[[#This Row],[QT_AREA_EST]]</f>
        <v>27.23</v>
      </c>
      <c r="Y1396" s="1">
        <f>IF(ESTIMATIVA[[#This Row],[QT_AREA_REST1]]&gt;0,ESTIMATIVA[[#This Row],[QT_AREA_REST1]],
  IF(ESTIMATIVA[[#This Row],[QT_AREA_REAL]]&gt;0,ESTIMATIVA[[#This Row],[QT_AREA_REAL]],ESTIMATIVA[[#This Row],[QT_AREA_EST]]))</f>
        <v>27.23</v>
      </c>
      <c r="Z139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27.23</v>
      </c>
      <c r="AA1396" s="1">
        <f>ESTIMATIVA[[#This Row],[QT_CANA_EST]]</f>
        <v>2995.3</v>
      </c>
      <c r="AB1396" s="1">
        <f>IF(ESTIMATIVA[[#This Row],[QT_CANA_REST1]]&gt;0,ESTIMATIVA[[#This Row],[QT_CANA_REST1]],
  IF(ESTIMATIVA[[#This Row],[QT_CANA_REAL]]&gt;0,ESTIMATIVA[[#This Row],[QT_CANA_REAL]],ESTIMATIVA[[#This Row],[QT_CANA_EST]]))</f>
        <v>3418.88</v>
      </c>
      <c r="AC139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3418.88</v>
      </c>
      <c r="AD1396" s="1">
        <f>IF(ESTIMATIVA[[#This Row],[QT_AREA_REAL]]&gt;0,ESTIMATIVA[[#This Row],[QT_CANA_REAL]],ESTIMATIVA[[#This Row],[QT_CANA_EST]])</f>
        <v>3418.88</v>
      </c>
      <c r="AE1396" s="1">
        <f>IF(ESTIMATIVA[[#This Row],[QT_AREA_REAL]]&gt;0,ESTIMATIVA[[#This Row],[QT_CANA_REAL]],ESTIMATIVA[[#This Row],[QT_CANA_REST1]])</f>
        <v>3418.88</v>
      </c>
      <c r="AF1396" s="1">
        <f>IF(ESTIMATIVA[[#This Row],[QT_AREA_REAL]]&gt;0,ESTIMATIVA[[#This Row],[QT_CANA_REAL]],ESTIMATIVA[[#This Row],[QT_CANA_REST2]])</f>
        <v>3418.88</v>
      </c>
      <c r="AG1396" s="1" t="str">
        <f>IF(COUNTIFS(GEADA!A:A,VALUE(ESTIMATIVA[[#This Row],[CD_UPNIVEL1]]&amp;TEXT(ESTIMATIVA[[#This Row],[CD_UPNIVEL3]],"0000")))&gt;0,"S","N")</f>
        <v>N</v>
      </c>
      <c r="AH139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96" s="55" t="str">
        <f>IF(ESTIMATIVA[[#This Row],[TP_CULTIVO]]="Irrigado",_xlfn.MAXIFS(IRRIGADO!J:J,IRRIGADO!C:C,ESTIMATIVA[[#This Row],[CD_UPNIVEL1]],IRRIGADO!E:E,ESTIMATIVA[[#This Row],[CD_UPNIVEL3]]),"")</f>
        <v/>
      </c>
      <c r="AJ139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96" s="1">
        <f>COUNTIFS(Apresentação!$E$23:$E$29,ESTIMATIVA[[#This Row],[CD_UPNIVEL1]])</f>
        <v>0</v>
      </c>
    </row>
    <row r="1397" spans="1:37" x14ac:dyDescent="0.3">
      <c r="A1397">
        <v>20568</v>
      </c>
      <c r="B1397" t="s">
        <v>62</v>
      </c>
      <c r="C1397">
        <v>3</v>
      </c>
      <c r="D1397">
        <v>1</v>
      </c>
      <c r="E1397" t="s">
        <v>267</v>
      </c>
      <c r="F1397" s="85" t="s">
        <v>331</v>
      </c>
      <c r="G1397"/>
      <c r="H1397" t="s">
        <v>294</v>
      </c>
      <c r="I1397" t="s">
        <v>200</v>
      </c>
      <c r="J1397" t="s">
        <v>176</v>
      </c>
      <c r="K1397" s="1">
        <v>23.61</v>
      </c>
      <c r="L1397" s="1">
        <v>0</v>
      </c>
      <c r="M1397" s="1">
        <v>0</v>
      </c>
      <c r="N1397" s="1">
        <v>23.61</v>
      </c>
      <c r="O1397" s="1">
        <v>2597.1</v>
      </c>
      <c r="P1397" s="1">
        <v>0</v>
      </c>
      <c r="Q1397" s="1">
        <v>0</v>
      </c>
      <c r="R1397" s="1">
        <v>2787.28</v>
      </c>
      <c r="S1397" t="s">
        <v>12</v>
      </c>
      <c r="T1397" s="13">
        <v>45809</v>
      </c>
      <c r="U1397" s="1" t="str">
        <f>IF(ESTIMATIVA[[#This Row],[QT_AREA_REAL]]&gt;0,"1- Colhido","2- à Colher")</f>
        <v>1- Colhido</v>
      </c>
      <c r="V1397" s="1" t="str">
        <f>IF(ESTIMATIVA[[#This Row],[QT_AREA_REST1]]&gt;0,"Reestimativa 1",IF(ESTIMATIVA[[#This Row],[QT_AREA_REAL]]=0,"Reestimativa 1","Realizado"))</f>
        <v>Realizado</v>
      </c>
      <c r="W1397" s="1" t="str">
        <f>IF(ESTIMATIVA[[#This Row],[QT_AREA_REST2]]&gt;0,"Reestimativa 2",IF(ESTIMATIVA[[#This Row],[QT_AREA_REAL]]=0,"Reestimativa 2","Realizado"))</f>
        <v>Realizado</v>
      </c>
      <c r="X1397" s="1">
        <f>ESTIMATIVA[[#This Row],[QT_AREA_EST]]</f>
        <v>23.61</v>
      </c>
      <c r="Y1397" s="1">
        <f>IF(ESTIMATIVA[[#This Row],[QT_AREA_REST1]]&gt;0,ESTIMATIVA[[#This Row],[QT_AREA_REST1]],
  IF(ESTIMATIVA[[#This Row],[QT_AREA_REAL]]&gt;0,ESTIMATIVA[[#This Row],[QT_AREA_REAL]],ESTIMATIVA[[#This Row],[QT_AREA_EST]]))</f>
        <v>23.61</v>
      </c>
      <c r="Z139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23.61</v>
      </c>
      <c r="AA1397" s="1">
        <f>ESTIMATIVA[[#This Row],[QT_CANA_EST]]</f>
        <v>2597.1</v>
      </c>
      <c r="AB1397" s="1">
        <f>IF(ESTIMATIVA[[#This Row],[QT_CANA_REST1]]&gt;0,ESTIMATIVA[[#This Row],[QT_CANA_REST1]],
  IF(ESTIMATIVA[[#This Row],[QT_CANA_REAL]]&gt;0,ESTIMATIVA[[#This Row],[QT_CANA_REAL]],ESTIMATIVA[[#This Row],[QT_CANA_EST]]))</f>
        <v>2787.28</v>
      </c>
      <c r="AC139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2787.28</v>
      </c>
      <c r="AD1397" s="1">
        <f>IF(ESTIMATIVA[[#This Row],[QT_AREA_REAL]]&gt;0,ESTIMATIVA[[#This Row],[QT_CANA_REAL]],ESTIMATIVA[[#This Row],[QT_CANA_EST]])</f>
        <v>2787.28</v>
      </c>
      <c r="AE1397" s="1">
        <f>IF(ESTIMATIVA[[#This Row],[QT_AREA_REAL]]&gt;0,ESTIMATIVA[[#This Row],[QT_CANA_REAL]],ESTIMATIVA[[#This Row],[QT_CANA_REST1]])</f>
        <v>2787.28</v>
      </c>
      <c r="AF1397" s="1">
        <f>IF(ESTIMATIVA[[#This Row],[QT_AREA_REAL]]&gt;0,ESTIMATIVA[[#This Row],[QT_CANA_REAL]],ESTIMATIVA[[#This Row],[QT_CANA_REST2]])</f>
        <v>2787.28</v>
      </c>
      <c r="AG1397" s="1" t="str">
        <f>IF(COUNTIFS(GEADA!A:A,VALUE(ESTIMATIVA[[#This Row],[CD_UPNIVEL1]]&amp;TEXT(ESTIMATIVA[[#This Row],[CD_UPNIVEL3]],"0000")))&gt;0,"S","N")</f>
        <v>N</v>
      </c>
      <c r="AH139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97" s="55" t="str">
        <f>IF(ESTIMATIVA[[#This Row],[TP_CULTIVO]]="Irrigado",_xlfn.MAXIFS(IRRIGADO!J:J,IRRIGADO!C:C,ESTIMATIVA[[#This Row],[CD_UPNIVEL1]],IRRIGADO!E:E,ESTIMATIVA[[#This Row],[CD_UPNIVEL3]]),"")</f>
        <v/>
      </c>
      <c r="AJ139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97" s="1">
        <f>COUNTIFS(Apresentação!$E$23:$E$29,ESTIMATIVA[[#This Row],[CD_UPNIVEL1]])</f>
        <v>0</v>
      </c>
    </row>
    <row r="1398" spans="1:37" x14ac:dyDescent="0.3">
      <c r="A1398">
        <v>20568</v>
      </c>
      <c r="B1398" t="s">
        <v>62</v>
      </c>
      <c r="C1398">
        <v>4</v>
      </c>
      <c r="D1398">
        <v>1</v>
      </c>
      <c r="E1398" t="s">
        <v>264</v>
      </c>
      <c r="F1398" s="85" t="s">
        <v>331</v>
      </c>
      <c r="G1398"/>
      <c r="H1398" t="s">
        <v>294</v>
      </c>
      <c r="I1398" t="s">
        <v>200</v>
      </c>
      <c r="J1398" t="s">
        <v>176</v>
      </c>
      <c r="K1398" s="1">
        <v>20.87</v>
      </c>
      <c r="L1398" s="1">
        <v>0</v>
      </c>
      <c r="M1398" s="1">
        <v>0</v>
      </c>
      <c r="N1398" s="1">
        <v>20.87</v>
      </c>
      <c r="O1398" s="1">
        <v>2295.6999999999998</v>
      </c>
      <c r="P1398" s="1">
        <v>0</v>
      </c>
      <c r="Q1398" s="1">
        <v>0</v>
      </c>
      <c r="R1398" s="1">
        <v>2464.38</v>
      </c>
      <c r="S1398" t="s">
        <v>12</v>
      </c>
      <c r="T1398" s="13">
        <v>45809</v>
      </c>
      <c r="U1398" s="1" t="str">
        <f>IF(ESTIMATIVA[[#This Row],[QT_AREA_REAL]]&gt;0,"1- Colhido","2- à Colher")</f>
        <v>1- Colhido</v>
      </c>
      <c r="V1398" s="1" t="str">
        <f>IF(ESTIMATIVA[[#This Row],[QT_AREA_REST1]]&gt;0,"Reestimativa 1",IF(ESTIMATIVA[[#This Row],[QT_AREA_REAL]]=0,"Reestimativa 1","Realizado"))</f>
        <v>Realizado</v>
      </c>
      <c r="W1398" s="1" t="str">
        <f>IF(ESTIMATIVA[[#This Row],[QT_AREA_REST2]]&gt;0,"Reestimativa 2",IF(ESTIMATIVA[[#This Row],[QT_AREA_REAL]]=0,"Reestimativa 2","Realizado"))</f>
        <v>Realizado</v>
      </c>
      <c r="X1398" s="1">
        <f>ESTIMATIVA[[#This Row],[QT_AREA_EST]]</f>
        <v>20.87</v>
      </c>
      <c r="Y1398" s="1">
        <f>IF(ESTIMATIVA[[#This Row],[QT_AREA_REST1]]&gt;0,ESTIMATIVA[[#This Row],[QT_AREA_REST1]],
  IF(ESTIMATIVA[[#This Row],[QT_AREA_REAL]]&gt;0,ESTIMATIVA[[#This Row],[QT_AREA_REAL]],ESTIMATIVA[[#This Row],[QT_AREA_EST]]))</f>
        <v>20.87</v>
      </c>
      <c r="Z139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20.87</v>
      </c>
      <c r="AA1398" s="1">
        <f>ESTIMATIVA[[#This Row],[QT_CANA_EST]]</f>
        <v>2295.6999999999998</v>
      </c>
      <c r="AB1398" s="1">
        <f>IF(ESTIMATIVA[[#This Row],[QT_CANA_REST1]]&gt;0,ESTIMATIVA[[#This Row],[QT_CANA_REST1]],
  IF(ESTIMATIVA[[#This Row],[QT_CANA_REAL]]&gt;0,ESTIMATIVA[[#This Row],[QT_CANA_REAL]],ESTIMATIVA[[#This Row],[QT_CANA_EST]]))</f>
        <v>2464.38</v>
      </c>
      <c r="AC139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2464.38</v>
      </c>
      <c r="AD1398" s="1">
        <f>IF(ESTIMATIVA[[#This Row],[QT_AREA_REAL]]&gt;0,ESTIMATIVA[[#This Row],[QT_CANA_REAL]],ESTIMATIVA[[#This Row],[QT_CANA_EST]])</f>
        <v>2464.38</v>
      </c>
      <c r="AE1398" s="1">
        <f>IF(ESTIMATIVA[[#This Row],[QT_AREA_REAL]]&gt;0,ESTIMATIVA[[#This Row],[QT_CANA_REAL]],ESTIMATIVA[[#This Row],[QT_CANA_REST1]])</f>
        <v>2464.38</v>
      </c>
      <c r="AF1398" s="1">
        <f>IF(ESTIMATIVA[[#This Row],[QT_AREA_REAL]]&gt;0,ESTIMATIVA[[#This Row],[QT_CANA_REAL]],ESTIMATIVA[[#This Row],[QT_CANA_REST2]])</f>
        <v>2464.38</v>
      </c>
      <c r="AG1398" s="1" t="str">
        <f>IF(COUNTIFS(GEADA!A:A,VALUE(ESTIMATIVA[[#This Row],[CD_UPNIVEL1]]&amp;TEXT(ESTIMATIVA[[#This Row],[CD_UPNIVEL3]],"0000")))&gt;0,"S","N")</f>
        <v>N</v>
      </c>
      <c r="AH139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398" s="55" t="str">
        <f>IF(ESTIMATIVA[[#This Row],[TP_CULTIVO]]="Irrigado",_xlfn.MAXIFS(IRRIGADO!J:J,IRRIGADO!C:C,ESTIMATIVA[[#This Row],[CD_UPNIVEL1]],IRRIGADO!E:E,ESTIMATIVA[[#This Row],[CD_UPNIVEL3]]),"")</f>
        <v/>
      </c>
      <c r="AJ139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98" s="1">
        <f>COUNTIFS(Apresentação!$E$23:$E$29,ESTIMATIVA[[#This Row],[CD_UPNIVEL1]])</f>
        <v>0</v>
      </c>
    </row>
    <row r="1399" spans="1:37" x14ac:dyDescent="0.3">
      <c r="A1399">
        <v>20569</v>
      </c>
      <c r="B1399" t="s">
        <v>82</v>
      </c>
      <c r="C1399">
        <v>1</v>
      </c>
      <c r="D1399">
        <v>7</v>
      </c>
      <c r="E1399" t="s">
        <v>270</v>
      </c>
      <c r="F1399" s="85" t="s">
        <v>331</v>
      </c>
      <c r="G1399"/>
      <c r="H1399" t="s">
        <v>295</v>
      </c>
      <c r="I1399" t="s">
        <v>208</v>
      </c>
      <c r="J1399" t="s">
        <v>176</v>
      </c>
      <c r="K1399" s="1">
        <v>19.27</v>
      </c>
      <c r="L1399" s="1">
        <v>0</v>
      </c>
      <c r="M1399" s="1">
        <v>0</v>
      </c>
      <c r="N1399" s="1">
        <v>19.27</v>
      </c>
      <c r="O1399" s="1">
        <v>1348.9</v>
      </c>
      <c r="P1399" s="1">
        <v>0</v>
      </c>
      <c r="Q1399" s="1">
        <v>0</v>
      </c>
      <c r="R1399" s="1">
        <v>1695.5</v>
      </c>
      <c r="S1399" t="s">
        <v>12</v>
      </c>
      <c r="T1399" s="13">
        <v>45816</v>
      </c>
      <c r="U1399" s="1" t="str">
        <f>IF(ESTIMATIVA[[#This Row],[QT_AREA_REAL]]&gt;0,"1- Colhido","2- à Colher")</f>
        <v>1- Colhido</v>
      </c>
      <c r="V1399" s="1" t="str">
        <f>IF(ESTIMATIVA[[#This Row],[QT_AREA_REST1]]&gt;0,"Reestimativa 1",IF(ESTIMATIVA[[#This Row],[QT_AREA_REAL]]=0,"Reestimativa 1","Realizado"))</f>
        <v>Realizado</v>
      </c>
      <c r="W1399" s="1" t="str">
        <f>IF(ESTIMATIVA[[#This Row],[QT_AREA_REST2]]&gt;0,"Reestimativa 2",IF(ESTIMATIVA[[#This Row],[QT_AREA_REAL]]=0,"Reestimativa 2","Realizado"))</f>
        <v>Realizado</v>
      </c>
      <c r="X1399" s="1">
        <f>ESTIMATIVA[[#This Row],[QT_AREA_EST]]</f>
        <v>19.27</v>
      </c>
      <c r="Y1399" s="1">
        <f>IF(ESTIMATIVA[[#This Row],[QT_AREA_REST1]]&gt;0,ESTIMATIVA[[#This Row],[QT_AREA_REST1]],
  IF(ESTIMATIVA[[#This Row],[QT_AREA_REAL]]&gt;0,ESTIMATIVA[[#This Row],[QT_AREA_REAL]],ESTIMATIVA[[#This Row],[QT_AREA_EST]]))</f>
        <v>19.27</v>
      </c>
      <c r="Z139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19.27</v>
      </c>
      <c r="AA1399" s="1">
        <f>ESTIMATIVA[[#This Row],[QT_CANA_EST]]</f>
        <v>1348.9</v>
      </c>
      <c r="AB1399" s="1">
        <f>IF(ESTIMATIVA[[#This Row],[QT_CANA_REST1]]&gt;0,ESTIMATIVA[[#This Row],[QT_CANA_REST1]],
  IF(ESTIMATIVA[[#This Row],[QT_CANA_REAL]]&gt;0,ESTIMATIVA[[#This Row],[QT_CANA_REAL]],ESTIMATIVA[[#This Row],[QT_CANA_EST]]))</f>
        <v>1695.5</v>
      </c>
      <c r="AC139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1695.5</v>
      </c>
      <c r="AD1399" s="1">
        <f>IF(ESTIMATIVA[[#This Row],[QT_AREA_REAL]]&gt;0,ESTIMATIVA[[#This Row],[QT_CANA_REAL]],ESTIMATIVA[[#This Row],[QT_CANA_EST]])</f>
        <v>1695.5</v>
      </c>
      <c r="AE1399" s="1">
        <f>IF(ESTIMATIVA[[#This Row],[QT_AREA_REAL]]&gt;0,ESTIMATIVA[[#This Row],[QT_CANA_REAL]],ESTIMATIVA[[#This Row],[QT_CANA_REST1]])</f>
        <v>1695.5</v>
      </c>
      <c r="AF1399" s="1">
        <f>IF(ESTIMATIVA[[#This Row],[QT_AREA_REAL]]&gt;0,ESTIMATIVA[[#This Row],[QT_CANA_REAL]],ESTIMATIVA[[#This Row],[QT_CANA_REST2]])</f>
        <v>1695.5</v>
      </c>
      <c r="AG1399" s="1" t="str">
        <f>IF(COUNTIFS(GEADA!A:A,VALUE(ESTIMATIVA[[#This Row],[CD_UPNIVEL1]]&amp;TEXT(ESTIMATIVA[[#This Row],[CD_UPNIVEL3]],"0000")))&gt;0,"S","N")</f>
        <v>N</v>
      </c>
      <c r="AH139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399" s="55" t="str">
        <f>IF(ESTIMATIVA[[#This Row],[TP_CULTIVO]]="Irrigado",_xlfn.MAXIFS(IRRIGADO!J:J,IRRIGADO!C:C,ESTIMATIVA[[#This Row],[CD_UPNIVEL1]],IRRIGADO!E:E,ESTIMATIVA[[#This Row],[CD_UPNIVEL3]]),"")</f>
        <v/>
      </c>
      <c r="AJ139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399" s="1">
        <f>COUNTIFS(Apresentação!$E$23:$E$29,ESTIMATIVA[[#This Row],[CD_UPNIVEL1]])</f>
        <v>0</v>
      </c>
    </row>
    <row r="1400" spans="1:37" x14ac:dyDescent="0.3">
      <c r="A1400">
        <v>20569</v>
      </c>
      <c r="B1400" t="s">
        <v>82</v>
      </c>
      <c r="C1400">
        <v>2</v>
      </c>
      <c r="D1400">
        <v>7</v>
      </c>
      <c r="E1400" t="s">
        <v>270</v>
      </c>
      <c r="F1400" s="85" t="s">
        <v>331</v>
      </c>
      <c r="G1400"/>
      <c r="H1400" t="s">
        <v>295</v>
      </c>
      <c r="I1400" t="s">
        <v>208</v>
      </c>
      <c r="J1400" t="s">
        <v>176</v>
      </c>
      <c r="K1400" s="1">
        <v>6.49</v>
      </c>
      <c r="L1400" s="1">
        <v>0</v>
      </c>
      <c r="M1400" s="1">
        <v>0</v>
      </c>
      <c r="N1400" s="1">
        <v>6.49</v>
      </c>
      <c r="O1400" s="1">
        <v>454.3</v>
      </c>
      <c r="P1400" s="1">
        <v>0</v>
      </c>
      <c r="Q1400" s="1">
        <v>0</v>
      </c>
      <c r="R1400" s="1">
        <v>570.59</v>
      </c>
      <c r="S1400" t="s">
        <v>12</v>
      </c>
      <c r="T1400" s="13">
        <v>45816</v>
      </c>
      <c r="U1400" s="1" t="str">
        <f>IF(ESTIMATIVA[[#This Row],[QT_AREA_REAL]]&gt;0,"1- Colhido","2- à Colher")</f>
        <v>1- Colhido</v>
      </c>
      <c r="V1400" s="1" t="str">
        <f>IF(ESTIMATIVA[[#This Row],[QT_AREA_REST1]]&gt;0,"Reestimativa 1",IF(ESTIMATIVA[[#This Row],[QT_AREA_REAL]]=0,"Reestimativa 1","Realizado"))</f>
        <v>Realizado</v>
      </c>
      <c r="W1400" s="1" t="str">
        <f>IF(ESTIMATIVA[[#This Row],[QT_AREA_REST2]]&gt;0,"Reestimativa 2",IF(ESTIMATIVA[[#This Row],[QT_AREA_REAL]]=0,"Reestimativa 2","Realizado"))</f>
        <v>Realizado</v>
      </c>
      <c r="X1400" s="1">
        <f>ESTIMATIVA[[#This Row],[QT_AREA_EST]]</f>
        <v>6.49</v>
      </c>
      <c r="Y1400" s="1">
        <f>IF(ESTIMATIVA[[#This Row],[QT_AREA_REST1]]&gt;0,ESTIMATIVA[[#This Row],[QT_AREA_REST1]],
  IF(ESTIMATIVA[[#This Row],[QT_AREA_REAL]]&gt;0,ESTIMATIVA[[#This Row],[QT_AREA_REAL]],ESTIMATIVA[[#This Row],[QT_AREA_EST]]))</f>
        <v>6.49</v>
      </c>
      <c r="Z140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6.49</v>
      </c>
      <c r="AA1400" s="1">
        <f>ESTIMATIVA[[#This Row],[QT_CANA_EST]]</f>
        <v>454.3</v>
      </c>
      <c r="AB1400" s="1">
        <f>IF(ESTIMATIVA[[#This Row],[QT_CANA_REST1]]&gt;0,ESTIMATIVA[[#This Row],[QT_CANA_REST1]],
  IF(ESTIMATIVA[[#This Row],[QT_CANA_REAL]]&gt;0,ESTIMATIVA[[#This Row],[QT_CANA_REAL]],ESTIMATIVA[[#This Row],[QT_CANA_EST]]))</f>
        <v>570.59</v>
      </c>
      <c r="AC140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570.59</v>
      </c>
      <c r="AD1400" s="1">
        <f>IF(ESTIMATIVA[[#This Row],[QT_AREA_REAL]]&gt;0,ESTIMATIVA[[#This Row],[QT_CANA_REAL]],ESTIMATIVA[[#This Row],[QT_CANA_EST]])</f>
        <v>570.59</v>
      </c>
      <c r="AE1400" s="1">
        <f>IF(ESTIMATIVA[[#This Row],[QT_AREA_REAL]]&gt;0,ESTIMATIVA[[#This Row],[QT_CANA_REAL]],ESTIMATIVA[[#This Row],[QT_CANA_REST1]])</f>
        <v>570.59</v>
      </c>
      <c r="AF1400" s="1">
        <f>IF(ESTIMATIVA[[#This Row],[QT_AREA_REAL]]&gt;0,ESTIMATIVA[[#This Row],[QT_CANA_REAL]],ESTIMATIVA[[#This Row],[QT_CANA_REST2]])</f>
        <v>570.59</v>
      </c>
      <c r="AG1400" s="1" t="str">
        <f>IF(COUNTIFS(GEADA!A:A,VALUE(ESTIMATIVA[[#This Row],[CD_UPNIVEL1]]&amp;TEXT(ESTIMATIVA[[#This Row],[CD_UPNIVEL3]],"0000")))&gt;0,"S","N")</f>
        <v>N</v>
      </c>
      <c r="AH140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00" s="55" t="str">
        <f>IF(ESTIMATIVA[[#This Row],[TP_CULTIVO]]="Irrigado",_xlfn.MAXIFS(IRRIGADO!J:J,IRRIGADO!C:C,ESTIMATIVA[[#This Row],[CD_UPNIVEL1]],IRRIGADO!E:E,ESTIMATIVA[[#This Row],[CD_UPNIVEL3]]),"")</f>
        <v/>
      </c>
      <c r="AJ140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00" s="1">
        <f>COUNTIFS(Apresentação!$E$23:$E$29,ESTIMATIVA[[#This Row],[CD_UPNIVEL1]])</f>
        <v>0</v>
      </c>
    </row>
    <row r="1401" spans="1:37" x14ac:dyDescent="0.3">
      <c r="A1401">
        <v>20569</v>
      </c>
      <c r="B1401" t="s">
        <v>82</v>
      </c>
      <c r="C1401">
        <v>3</v>
      </c>
      <c r="D1401">
        <v>7</v>
      </c>
      <c r="E1401" t="s">
        <v>270</v>
      </c>
      <c r="F1401" s="85" t="s">
        <v>331</v>
      </c>
      <c r="G1401"/>
      <c r="H1401" t="s">
        <v>295</v>
      </c>
      <c r="I1401" t="s">
        <v>208</v>
      </c>
      <c r="J1401" t="s">
        <v>176</v>
      </c>
      <c r="K1401" s="1">
        <v>2.14</v>
      </c>
      <c r="L1401" s="1">
        <v>0</v>
      </c>
      <c r="M1401" s="1">
        <v>0</v>
      </c>
      <c r="N1401" s="1">
        <v>2.14</v>
      </c>
      <c r="O1401" s="1">
        <v>149.80000000000001</v>
      </c>
      <c r="P1401" s="1">
        <v>0</v>
      </c>
      <c r="Q1401" s="1">
        <v>0</v>
      </c>
      <c r="R1401" s="1">
        <v>188.49</v>
      </c>
      <c r="S1401" t="s">
        <v>12</v>
      </c>
      <c r="T1401" s="13">
        <v>45816</v>
      </c>
      <c r="U1401" s="1" t="str">
        <f>IF(ESTIMATIVA[[#This Row],[QT_AREA_REAL]]&gt;0,"1- Colhido","2- à Colher")</f>
        <v>1- Colhido</v>
      </c>
      <c r="V1401" s="1" t="str">
        <f>IF(ESTIMATIVA[[#This Row],[QT_AREA_REST1]]&gt;0,"Reestimativa 1",IF(ESTIMATIVA[[#This Row],[QT_AREA_REAL]]=0,"Reestimativa 1","Realizado"))</f>
        <v>Realizado</v>
      </c>
      <c r="W1401" s="1" t="str">
        <f>IF(ESTIMATIVA[[#This Row],[QT_AREA_REST2]]&gt;0,"Reestimativa 2",IF(ESTIMATIVA[[#This Row],[QT_AREA_REAL]]=0,"Reestimativa 2","Realizado"))</f>
        <v>Realizado</v>
      </c>
      <c r="X1401" s="1">
        <f>ESTIMATIVA[[#This Row],[QT_AREA_EST]]</f>
        <v>2.14</v>
      </c>
      <c r="Y1401" s="1">
        <f>IF(ESTIMATIVA[[#This Row],[QT_AREA_REST1]]&gt;0,ESTIMATIVA[[#This Row],[QT_AREA_REST1]],
  IF(ESTIMATIVA[[#This Row],[QT_AREA_REAL]]&gt;0,ESTIMATIVA[[#This Row],[QT_AREA_REAL]],ESTIMATIVA[[#This Row],[QT_AREA_EST]]))</f>
        <v>2.14</v>
      </c>
      <c r="Z140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2.14</v>
      </c>
      <c r="AA1401" s="1">
        <f>ESTIMATIVA[[#This Row],[QT_CANA_EST]]</f>
        <v>149.80000000000001</v>
      </c>
      <c r="AB1401" s="1">
        <f>IF(ESTIMATIVA[[#This Row],[QT_CANA_REST1]]&gt;0,ESTIMATIVA[[#This Row],[QT_CANA_REST1]],
  IF(ESTIMATIVA[[#This Row],[QT_CANA_REAL]]&gt;0,ESTIMATIVA[[#This Row],[QT_CANA_REAL]],ESTIMATIVA[[#This Row],[QT_CANA_EST]]))</f>
        <v>188.49</v>
      </c>
      <c r="AC140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188.49</v>
      </c>
      <c r="AD1401" s="1">
        <f>IF(ESTIMATIVA[[#This Row],[QT_AREA_REAL]]&gt;0,ESTIMATIVA[[#This Row],[QT_CANA_REAL]],ESTIMATIVA[[#This Row],[QT_CANA_EST]])</f>
        <v>188.49</v>
      </c>
      <c r="AE1401" s="1">
        <f>IF(ESTIMATIVA[[#This Row],[QT_AREA_REAL]]&gt;0,ESTIMATIVA[[#This Row],[QT_CANA_REAL]],ESTIMATIVA[[#This Row],[QT_CANA_REST1]])</f>
        <v>188.49</v>
      </c>
      <c r="AF1401" s="1">
        <f>IF(ESTIMATIVA[[#This Row],[QT_AREA_REAL]]&gt;0,ESTIMATIVA[[#This Row],[QT_CANA_REAL]],ESTIMATIVA[[#This Row],[QT_CANA_REST2]])</f>
        <v>188.49</v>
      </c>
      <c r="AG1401" s="1" t="str">
        <f>IF(COUNTIFS(GEADA!A:A,VALUE(ESTIMATIVA[[#This Row],[CD_UPNIVEL1]]&amp;TEXT(ESTIMATIVA[[#This Row],[CD_UPNIVEL3]],"0000")))&gt;0,"S","N")</f>
        <v>N</v>
      </c>
      <c r="AH140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01" s="55" t="str">
        <f>IF(ESTIMATIVA[[#This Row],[TP_CULTIVO]]="Irrigado",_xlfn.MAXIFS(IRRIGADO!J:J,IRRIGADO!C:C,ESTIMATIVA[[#This Row],[CD_UPNIVEL1]],IRRIGADO!E:E,ESTIMATIVA[[#This Row],[CD_UPNIVEL3]]),"")</f>
        <v/>
      </c>
      <c r="AJ140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01" s="1">
        <f>COUNTIFS(Apresentação!$E$23:$E$29,ESTIMATIVA[[#This Row],[CD_UPNIVEL1]])</f>
        <v>0</v>
      </c>
    </row>
    <row r="1402" spans="1:37" x14ac:dyDescent="0.3">
      <c r="A1402">
        <v>20569</v>
      </c>
      <c r="B1402" t="s">
        <v>82</v>
      </c>
      <c r="C1402">
        <v>4</v>
      </c>
      <c r="D1402">
        <v>7</v>
      </c>
      <c r="E1402" t="s">
        <v>270</v>
      </c>
      <c r="F1402" s="85" t="s">
        <v>332</v>
      </c>
      <c r="G1402"/>
      <c r="H1402" t="s">
        <v>295</v>
      </c>
      <c r="I1402" t="s">
        <v>208</v>
      </c>
      <c r="J1402" t="s">
        <v>176</v>
      </c>
      <c r="K1402" s="1">
        <v>1.57</v>
      </c>
      <c r="L1402" s="1">
        <v>0</v>
      </c>
      <c r="M1402" s="1">
        <v>0</v>
      </c>
      <c r="N1402" s="1">
        <v>1.57</v>
      </c>
      <c r="O1402" s="1">
        <v>109.9</v>
      </c>
      <c r="P1402" s="1">
        <v>0</v>
      </c>
      <c r="Q1402" s="1">
        <v>0</v>
      </c>
      <c r="R1402" s="1">
        <v>138.21</v>
      </c>
      <c r="S1402" t="s">
        <v>12</v>
      </c>
      <c r="T1402" s="13">
        <v>45816</v>
      </c>
      <c r="U1402" s="1" t="str">
        <f>IF(ESTIMATIVA[[#This Row],[QT_AREA_REAL]]&gt;0,"1- Colhido","2- à Colher")</f>
        <v>1- Colhido</v>
      </c>
      <c r="V1402" s="1" t="str">
        <f>IF(ESTIMATIVA[[#This Row],[QT_AREA_REST1]]&gt;0,"Reestimativa 1",IF(ESTIMATIVA[[#This Row],[QT_AREA_REAL]]=0,"Reestimativa 1","Realizado"))</f>
        <v>Realizado</v>
      </c>
      <c r="W1402" s="1" t="str">
        <f>IF(ESTIMATIVA[[#This Row],[QT_AREA_REST2]]&gt;0,"Reestimativa 2",IF(ESTIMATIVA[[#This Row],[QT_AREA_REAL]]=0,"Reestimativa 2","Realizado"))</f>
        <v>Realizado</v>
      </c>
      <c r="X1402" s="1">
        <f>ESTIMATIVA[[#This Row],[QT_AREA_EST]]</f>
        <v>1.57</v>
      </c>
      <c r="Y1402" s="1">
        <f>IF(ESTIMATIVA[[#This Row],[QT_AREA_REST1]]&gt;0,ESTIMATIVA[[#This Row],[QT_AREA_REST1]],
  IF(ESTIMATIVA[[#This Row],[QT_AREA_REAL]]&gt;0,ESTIMATIVA[[#This Row],[QT_AREA_REAL]],ESTIMATIVA[[#This Row],[QT_AREA_EST]]))</f>
        <v>1.57</v>
      </c>
      <c r="Z140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1.57</v>
      </c>
      <c r="AA1402" s="1">
        <f>ESTIMATIVA[[#This Row],[QT_CANA_EST]]</f>
        <v>109.9</v>
      </c>
      <c r="AB1402" s="1">
        <f>IF(ESTIMATIVA[[#This Row],[QT_CANA_REST1]]&gt;0,ESTIMATIVA[[#This Row],[QT_CANA_REST1]],
  IF(ESTIMATIVA[[#This Row],[QT_CANA_REAL]]&gt;0,ESTIMATIVA[[#This Row],[QT_CANA_REAL]],ESTIMATIVA[[#This Row],[QT_CANA_EST]]))</f>
        <v>138.21</v>
      </c>
      <c r="AC140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138.21</v>
      </c>
      <c r="AD1402" s="1">
        <f>IF(ESTIMATIVA[[#This Row],[QT_AREA_REAL]]&gt;0,ESTIMATIVA[[#This Row],[QT_CANA_REAL]],ESTIMATIVA[[#This Row],[QT_CANA_EST]])</f>
        <v>138.21</v>
      </c>
      <c r="AE1402" s="1">
        <f>IF(ESTIMATIVA[[#This Row],[QT_AREA_REAL]]&gt;0,ESTIMATIVA[[#This Row],[QT_CANA_REAL]],ESTIMATIVA[[#This Row],[QT_CANA_REST1]])</f>
        <v>138.21</v>
      </c>
      <c r="AF1402" s="1">
        <f>IF(ESTIMATIVA[[#This Row],[QT_AREA_REAL]]&gt;0,ESTIMATIVA[[#This Row],[QT_CANA_REAL]],ESTIMATIVA[[#This Row],[QT_CANA_REST2]])</f>
        <v>138.21</v>
      </c>
      <c r="AG1402" s="1" t="str">
        <f>IF(COUNTIFS(GEADA!A:A,VALUE(ESTIMATIVA[[#This Row],[CD_UPNIVEL1]]&amp;TEXT(ESTIMATIVA[[#This Row],[CD_UPNIVEL3]],"0000")))&gt;0,"S","N")</f>
        <v>N</v>
      </c>
      <c r="AH140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02" s="55" t="str">
        <f>IF(ESTIMATIVA[[#This Row],[TP_CULTIVO]]="Irrigado",_xlfn.MAXIFS(IRRIGADO!J:J,IRRIGADO!C:C,ESTIMATIVA[[#This Row],[CD_UPNIVEL1]],IRRIGADO!E:E,ESTIMATIVA[[#This Row],[CD_UPNIVEL3]]),"")</f>
        <v/>
      </c>
      <c r="AJ140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02" s="1">
        <f>COUNTIFS(Apresentação!$E$23:$E$29,ESTIMATIVA[[#This Row],[CD_UPNIVEL1]])</f>
        <v>0</v>
      </c>
    </row>
    <row r="1403" spans="1:37" x14ac:dyDescent="0.3">
      <c r="A1403">
        <v>20569</v>
      </c>
      <c r="B1403" t="s">
        <v>82</v>
      </c>
      <c r="C1403">
        <v>5</v>
      </c>
      <c r="D1403">
        <v>7</v>
      </c>
      <c r="E1403" t="s">
        <v>270</v>
      </c>
      <c r="F1403" s="85" t="s">
        <v>332</v>
      </c>
      <c r="G1403"/>
      <c r="H1403" t="s">
        <v>295</v>
      </c>
      <c r="I1403" t="s">
        <v>208</v>
      </c>
      <c r="J1403" t="s">
        <v>176</v>
      </c>
      <c r="K1403" s="1">
        <v>1.87</v>
      </c>
      <c r="L1403" s="1">
        <v>0</v>
      </c>
      <c r="M1403" s="1">
        <v>0</v>
      </c>
      <c r="N1403" s="1">
        <v>1.87</v>
      </c>
      <c r="O1403" s="1">
        <v>130.9</v>
      </c>
      <c r="P1403" s="1">
        <v>0</v>
      </c>
      <c r="Q1403" s="1">
        <v>0</v>
      </c>
      <c r="R1403" s="1">
        <v>132.9</v>
      </c>
      <c r="S1403" t="s">
        <v>12</v>
      </c>
      <c r="T1403" s="13">
        <v>45872</v>
      </c>
      <c r="U1403" s="1" t="str">
        <f>IF(ESTIMATIVA[[#This Row],[QT_AREA_REAL]]&gt;0,"1- Colhido","2- à Colher")</f>
        <v>1- Colhido</v>
      </c>
      <c r="V1403" s="1" t="str">
        <f>IF(ESTIMATIVA[[#This Row],[QT_AREA_REST1]]&gt;0,"Reestimativa 1",IF(ESTIMATIVA[[#This Row],[QT_AREA_REAL]]=0,"Reestimativa 1","Realizado"))</f>
        <v>Realizado</v>
      </c>
      <c r="W1403" s="1" t="str">
        <f>IF(ESTIMATIVA[[#This Row],[QT_AREA_REST2]]&gt;0,"Reestimativa 2",IF(ESTIMATIVA[[#This Row],[QT_AREA_REAL]]=0,"Reestimativa 2","Realizado"))</f>
        <v>Realizado</v>
      </c>
      <c r="X1403" s="1">
        <f>ESTIMATIVA[[#This Row],[QT_AREA_EST]]</f>
        <v>1.87</v>
      </c>
      <c r="Y1403" s="1">
        <f>IF(ESTIMATIVA[[#This Row],[QT_AREA_REST1]]&gt;0,ESTIMATIVA[[#This Row],[QT_AREA_REST1]],
  IF(ESTIMATIVA[[#This Row],[QT_AREA_REAL]]&gt;0,ESTIMATIVA[[#This Row],[QT_AREA_REAL]],ESTIMATIVA[[#This Row],[QT_AREA_EST]]))</f>
        <v>1.87</v>
      </c>
      <c r="Z140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1.87</v>
      </c>
      <c r="AA1403" s="1">
        <f>ESTIMATIVA[[#This Row],[QT_CANA_EST]]</f>
        <v>130.9</v>
      </c>
      <c r="AB1403" s="1">
        <f>IF(ESTIMATIVA[[#This Row],[QT_CANA_REST1]]&gt;0,ESTIMATIVA[[#This Row],[QT_CANA_REST1]],
  IF(ESTIMATIVA[[#This Row],[QT_CANA_REAL]]&gt;0,ESTIMATIVA[[#This Row],[QT_CANA_REAL]],ESTIMATIVA[[#This Row],[QT_CANA_EST]]))</f>
        <v>132.9</v>
      </c>
      <c r="AC140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132.9</v>
      </c>
      <c r="AD1403" s="1">
        <f>IF(ESTIMATIVA[[#This Row],[QT_AREA_REAL]]&gt;0,ESTIMATIVA[[#This Row],[QT_CANA_REAL]],ESTIMATIVA[[#This Row],[QT_CANA_EST]])</f>
        <v>132.9</v>
      </c>
      <c r="AE1403" s="1">
        <f>IF(ESTIMATIVA[[#This Row],[QT_AREA_REAL]]&gt;0,ESTIMATIVA[[#This Row],[QT_CANA_REAL]],ESTIMATIVA[[#This Row],[QT_CANA_REST1]])</f>
        <v>132.9</v>
      </c>
      <c r="AF1403" s="1">
        <f>IF(ESTIMATIVA[[#This Row],[QT_AREA_REAL]]&gt;0,ESTIMATIVA[[#This Row],[QT_CANA_REAL]],ESTIMATIVA[[#This Row],[QT_CANA_REST2]])</f>
        <v>132.9</v>
      </c>
      <c r="AG1403" s="1" t="str">
        <f>IF(COUNTIFS(GEADA!A:A,VALUE(ESTIMATIVA[[#This Row],[CD_UPNIVEL1]]&amp;TEXT(ESTIMATIVA[[#This Row],[CD_UPNIVEL3]],"0000")))&gt;0,"S","N")</f>
        <v>N</v>
      </c>
      <c r="AH140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03" s="55" t="str">
        <f>IF(ESTIMATIVA[[#This Row],[TP_CULTIVO]]="Irrigado",_xlfn.MAXIFS(IRRIGADO!J:J,IRRIGADO!C:C,ESTIMATIVA[[#This Row],[CD_UPNIVEL1]],IRRIGADO!E:E,ESTIMATIVA[[#This Row],[CD_UPNIVEL3]]),"")</f>
        <v/>
      </c>
      <c r="AJ140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03" s="1">
        <f>COUNTIFS(Apresentação!$E$23:$E$29,ESTIMATIVA[[#This Row],[CD_UPNIVEL1]])</f>
        <v>0</v>
      </c>
    </row>
    <row r="1404" spans="1:37" x14ac:dyDescent="0.3">
      <c r="A1404">
        <v>20569</v>
      </c>
      <c r="B1404" t="s">
        <v>82</v>
      </c>
      <c r="C1404">
        <v>6</v>
      </c>
      <c r="D1404">
        <v>7</v>
      </c>
      <c r="E1404" t="s">
        <v>270</v>
      </c>
      <c r="F1404" s="85" t="s">
        <v>331</v>
      </c>
      <c r="G1404"/>
      <c r="H1404" t="s">
        <v>295</v>
      </c>
      <c r="I1404" t="s">
        <v>208</v>
      </c>
      <c r="J1404" t="s">
        <v>176</v>
      </c>
      <c r="K1404" s="1">
        <v>1.26</v>
      </c>
      <c r="L1404" s="1">
        <v>0</v>
      </c>
      <c r="M1404" s="1">
        <v>0</v>
      </c>
      <c r="N1404" s="1">
        <v>1.26</v>
      </c>
      <c r="O1404" s="1">
        <v>88.2</v>
      </c>
      <c r="P1404" s="1">
        <v>0</v>
      </c>
      <c r="Q1404" s="1">
        <v>0</v>
      </c>
      <c r="R1404" s="1">
        <v>110.78</v>
      </c>
      <c r="S1404" t="s">
        <v>12</v>
      </c>
      <c r="T1404" s="13">
        <v>45816</v>
      </c>
      <c r="U1404" s="1" t="str">
        <f>IF(ESTIMATIVA[[#This Row],[QT_AREA_REAL]]&gt;0,"1- Colhido","2- à Colher")</f>
        <v>1- Colhido</v>
      </c>
      <c r="V1404" s="1" t="str">
        <f>IF(ESTIMATIVA[[#This Row],[QT_AREA_REST1]]&gt;0,"Reestimativa 1",IF(ESTIMATIVA[[#This Row],[QT_AREA_REAL]]=0,"Reestimativa 1","Realizado"))</f>
        <v>Realizado</v>
      </c>
      <c r="W1404" s="1" t="str">
        <f>IF(ESTIMATIVA[[#This Row],[QT_AREA_REST2]]&gt;0,"Reestimativa 2",IF(ESTIMATIVA[[#This Row],[QT_AREA_REAL]]=0,"Reestimativa 2","Realizado"))</f>
        <v>Realizado</v>
      </c>
      <c r="X1404" s="1">
        <f>ESTIMATIVA[[#This Row],[QT_AREA_EST]]</f>
        <v>1.26</v>
      </c>
      <c r="Y1404" s="1">
        <f>IF(ESTIMATIVA[[#This Row],[QT_AREA_REST1]]&gt;0,ESTIMATIVA[[#This Row],[QT_AREA_REST1]],
  IF(ESTIMATIVA[[#This Row],[QT_AREA_REAL]]&gt;0,ESTIMATIVA[[#This Row],[QT_AREA_REAL]],ESTIMATIVA[[#This Row],[QT_AREA_EST]]))</f>
        <v>1.26</v>
      </c>
      <c r="Z140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1.26</v>
      </c>
      <c r="AA1404" s="1">
        <f>ESTIMATIVA[[#This Row],[QT_CANA_EST]]</f>
        <v>88.2</v>
      </c>
      <c r="AB1404" s="1">
        <f>IF(ESTIMATIVA[[#This Row],[QT_CANA_REST1]]&gt;0,ESTIMATIVA[[#This Row],[QT_CANA_REST1]],
  IF(ESTIMATIVA[[#This Row],[QT_CANA_REAL]]&gt;0,ESTIMATIVA[[#This Row],[QT_CANA_REAL]],ESTIMATIVA[[#This Row],[QT_CANA_EST]]))</f>
        <v>110.78</v>
      </c>
      <c r="AC140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110.78</v>
      </c>
      <c r="AD1404" s="1">
        <f>IF(ESTIMATIVA[[#This Row],[QT_AREA_REAL]]&gt;0,ESTIMATIVA[[#This Row],[QT_CANA_REAL]],ESTIMATIVA[[#This Row],[QT_CANA_EST]])</f>
        <v>110.78</v>
      </c>
      <c r="AE1404" s="1">
        <f>IF(ESTIMATIVA[[#This Row],[QT_AREA_REAL]]&gt;0,ESTIMATIVA[[#This Row],[QT_CANA_REAL]],ESTIMATIVA[[#This Row],[QT_CANA_REST1]])</f>
        <v>110.78</v>
      </c>
      <c r="AF1404" s="1">
        <f>IF(ESTIMATIVA[[#This Row],[QT_AREA_REAL]]&gt;0,ESTIMATIVA[[#This Row],[QT_CANA_REAL]],ESTIMATIVA[[#This Row],[QT_CANA_REST2]])</f>
        <v>110.78</v>
      </c>
      <c r="AG1404" s="1" t="str">
        <f>IF(COUNTIFS(GEADA!A:A,VALUE(ESTIMATIVA[[#This Row],[CD_UPNIVEL1]]&amp;TEXT(ESTIMATIVA[[#This Row],[CD_UPNIVEL3]],"0000")))&gt;0,"S","N")</f>
        <v>N</v>
      </c>
      <c r="AH140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04" s="55" t="str">
        <f>IF(ESTIMATIVA[[#This Row],[TP_CULTIVO]]="Irrigado",_xlfn.MAXIFS(IRRIGADO!J:J,IRRIGADO!C:C,ESTIMATIVA[[#This Row],[CD_UPNIVEL1]],IRRIGADO!E:E,ESTIMATIVA[[#This Row],[CD_UPNIVEL3]]),"")</f>
        <v/>
      </c>
      <c r="AJ140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04" s="1">
        <f>COUNTIFS(Apresentação!$E$23:$E$29,ESTIMATIVA[[#This Row],[CD_UPNIVEL1]])</f>
        <v>0</v>
      </c>
    </row>
    <row r="1405" spans="1:37" x14ac:dyDescent="0.3">
      <c r="A1405">
        <v>20569</v>
      </c>
      <c r="B1405" t="s">
        <v>82</v>
      </c>
      <c r="C1405">
        <v>7</v>
      </c>
      <c r="D1405">
        <v>7</v>
      </c>
      <c r="E1405" t="s">
        <v>270</v>
      </c>
      <c r="F1405" s="85" t="s">
        <v>332</v>
      </c>
      <c r="G1405"/>
      <c r="H1405" t="s">
        <v>295</v>
      </c>
      <c r="I1405" t="s">
        <v>208</v>
      </c>
      <c r="J1405" t="s">
        <v>176</v>
      </c>
      <c r="K1405" s="1">
        <v>3.97</v>
      </c>
      <c r="L1405" s="1">
        <v>3.97</v>
      </c>
      <c r="M1405" s="1">
        <v>0</v>
      </c>
      <c r="N1405" s="1">
        <v>3.97</v>
      </c>
      <c r="O1405" s="1">
        <v>277.89999999999998</v>
      </c>
      <c r="P1405" s="1">
        <v>277.89999999999998</v>
      </c>
      <c r="Q1405" s="1">
        <v>0</v>
      </c>
      <c r="R1405" s="1">
        <v>192.91</v>
      </c>
      <c r="S1405" t="s">
        <v>12</v>
      </c>
      <c r="T1405" s="13">
        <v>45872</v>
      </c>
      <c r="U1405" s="1" t="str">
        <f>IF(ESTIMATIVA[[#This Row],[QT_AREA_REAL]]&gt;0,"1- Colhido","2- à Colher")</f>
        <v>1- Colhido</v>
      </c>
      <c r="V1405" s="1" t="str">
        <f>IF(ESTIMATIVA[[#This Row],[QT_AREA_REST1]]&gt;0,"Reestimativa 1",IF(ESTIMATIVA[[#This Row],[QT_AREA_REAL]]=0,"Reestimativa 1","Realizado"))</f>
        <v>Reestimativa 1</v>
      </c>
      <c r="W1405" s="1" t="str">
        <f>IF(ESTIMATIVA[[#This Row],[QT_AREA_REST2]]&gt;0,"Reestimativa 2",IF(ESTIMATIVA[[#This Row],[QT_AREA_REAL]]=0,"Reestimativa 2","Realizado"))</f>
        <v>Realizado</v>
      </c>
      <c r="X1405" s="1">
        <f>ESTIMATIVA[[#This Row],[QT_AREA_EST]]</f>
        <v>3.97</v>
      </c>
      <c r="Y1405" s="1">
        <f>IF(ESTIMATIVA[[#This Row],[QT_AREA_REST1]]&gt;0,ESTIMATIVA[[#This Row],[QT_AREA_REST1]],
  IF(ESTIMATIVA[[#This Row],[QT_AREA_REAL]]&gt;0,ESTIMATIVA[[#This Row],[QT_AREA_REAL]],ESTIMATIVA[[#This Row],[QT_AREA_EST]]))</f>
        <v>3.97</v>
      </c>
      <c r="Z140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3.97</v>
      </c>
      <c r="AA1405" s="1">
        <f>ESTIMATIVA[[#This Row],[QT_CANA_EST]]</f>
        <v>277.89999999999998</v>
      </c>
      <c r="AB1405" s="1">
        <f>IF(ESTIMATIVA[[#This Row],[QT_CANA_REST1]]&gt;0,ESTIMATIVA[[#This Row],[QT_CANA_REST1]],
  IF(ESTIMATIVA[[#This Row],[QT_CANA_REAL]]&gt;0,ESTIMATIVA[[#This Row],[QT_CANA_REAL]],ESTIMATIVA[[#This Row],[QT_CANA_EST]]))</f>
        <v>277.89999999999998</v>
      </c>
      <c r="AC140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192.91</v>
      </c>
      <c r="AD1405" s="1">
        <f>IF(ESTIMATIVA[[#This Row],[QT_AREA_REAL]]&gt;0,ESTIMATIVA[[#This Row],[QT_CANA_REAL]],ESTIMATIVA[[#This Row],[QT_CANA_EST]])</f>
        <v>192.91</v>
      </c>
      <c r="AE1405" s="1">
        <f>IF(ESTIMATIVA[[#This Row],[QT_AREA_REAL]]&gt;0,ESTIMATIVA[[#This Row],[QT_CANA_REAL]],ESTIMATIVA[[#This Row],[QT_CANA_REST1]])</f>
        <v>192.91</v>
      </c>
      <c r="AF1405" s="1">
        <f>IF(ESTIMATIVA[[#This Row],[QT_AREA_REAL]]&gt;0,ESTIMATIVA[[#This Row],[QT_CANA_REAL]],ESTIMATIVA[[#This Row],[QT_CANA_REST2]])</f>
        <v>192.91</v>
      </c>
      <c r="AG1405" s="1" t="str">
        <f>IF(COUNTIFS(GEADA!A:A,VALUE(ESTIMATIVA[[#This Row],[CD_UPNIVEL1]]&amp;TEXT(ESTIMATIVA[[#This Row],[CD_UPNIVEL3]],"0000")))&gt;0,"S","N")</f>
        <v>N</v>
      </c>
      <c r="AH140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05" s="55" t="str">
        <f>IF(ESTIMATIVA[[#This Row],[TP_CULTIVO]]="Irrigado",_xlfn.MAXIFS(IRRIGADO!J:J,IRRIGADO!C:C,ESTIMATIVA[[#This Row],[CD_UPNIVEL1]],IRRIGADO!E:E,ESTIMATIVA[[#This Row],[CD_UPNIVEL3]]),"")</f>
        <v/>
      </c>
      <c r="AJ140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05" s="1">
        <f>COUNTIFS(Apresentação!$E$23:$E$29,ESTIMATIVA[[#This Row],[CD_UPNIVEL1]])</f>
        <v>0</v>
      </c>
    </row>
    <row r="1406" spans="1:37" x14ac:dyDescent="0.3">
      <c r="A1406">
        <v>20569</v>
      </c>
      <c r="B1406" t="s">
        <v>82</v>
      </c>
      <c r="C1406">
        <v>8</v>
      </c>
      <c r="D1406">
        <v>7</v>
      </c>
      <c r="E1406" t="s">
        <v>270</v>
      </c>
      <c r="F1406" s="85" t="s">
        <v>332</v>
      </c>
      <c r="G1406"/>
      <c r="H1406" t="s">
        <v>295</v>
      </c>
      <c r="I1406" t="s">
        <v>208</v>
      </c>
      <c r="J1406" t="s">
        <v>176</v>
      </c>
      <c r="K1406" s="1">
        <v>2.12</v>
      </c>
      <c r="L1406" s="1">
        <v>2.12</v>
      </c>
      <c r="M1406" s="1">
        <v>0</v>
      </c>
      <c r="N1406" s="1">
        <v>2.12</v>
      </c>
      <c r="O1406" s="1">
        <v>148.4</v>
      </c>
      <c r="P1406" s="1">
        <v>156.88</v>
      </c>
      <c r="Q1406" s="1">
        <v>0</v>
      </c>
      <c r="R1406" s="1">
        <v>108.92</v>
      </c>
      <c r="S1406" t="s">
        <v>12</v>
      </c>
      <c r="T1406" s="13">
        <v>45872</v>
      </c>
      <c r="U1406" s="1" t="str">
        <f>IF(ESTIMATIVA[[#This Row],[QT_AREA_REAL]]&gt;0,"1- Colhido","2- à Colher")</f>
        <v>1- Colhido</v>
      </c>
      <c r="V1406" s="1" t="str">
        <f>IF(ESTIMATIVA[[#This Row],[QT_AREA_REST1]]&gt;0,"Reestimativa 1",IF(ESTIMATIVA[[#This Row],[QT_AREA_REAL]]=0,"Reestimativa 1","Realizado"))</f>
        <v>Reestimativa 1</v>
      </c>
      <c r="W1406" s="1" t="str">
        <f>IF(ESTIMATIVA[[#This Row],[QT_AREA_REST2]]&gt;0,"Reestimativa 2",IF(ESTIMATIVA[[#This Row],[QT_AREA_REAL]]=0,"Reestimativa 2","Realizado"))</f>
        <v>Realizado</v>
      </c>
      <c r="X1406" s="1">
        <f>ESTIMATIVA[[#This Row],[QT_AREA_EST]]</f>
        <v>2.12</v>
      </c>
      <c r="Y1406" s="1">
        <f>IF(ESTIMATIVA[[#This Row],[QT_AREA_REST1]]&gt;0,ESTIMATIVA[[#This Row],[QT_AREA_REST1]],
  IF(ESTIMATIVA[[#This Row],[QT_AREA_REAL]]&gt;0,ESTIMATIVA[[#This Row],[QT_AREA_REAL]],ESTIMATIVA[[#This Row],[QT_AREA_EST]]))</f>
        <v>2.12</v>
      </c>
      <c r="Z140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2.12</v>
      </c>
      <c r="AA1406" s="1">
        <f>ESTIMATIVA[[#This Row],[QT_CANA_EST]]</f>
        <v>148.4</v>
      </c>
      <c r="AB1406" s="1">
        <f>IF(ESTIMATIVA[[#This Row],[QT_CANA_REST1]]&gt;0,ESTIMATIVA[[#This Row],[QT_CANA_REST1]],
  IF(ESTIMATIVA[[#This Row],[QT_CANA_REAL]]&gt;0,ESTIMATIVA[[#This Row],[QT_CANA_REAL]],ESTIMATIVA[[#This Row],[QT_CANA_EST]]))</f>
        <v>156.88</v>
      </c>
      <c r="AC140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108.92</v>
      </c>
      <c r="AD1406" s="1">
        <f>IF(ESTIMATIVA[[#This Row],[QT_AREA_REAL]]&gt;0,ESTIMATIVA[[#This Row],[QT_CANA_REAL]],ESTIMATIVA[[#This Row],[QT_CANA_EST]])</f>
        <v>108.92</v>
      </c>
      <c r="AE1406" s="1">
        <f>IF(ESTIMATIVA[[#This Row],[QT_AREA_REAL]]&gt;0,ESTIMATIVA[[#This Row],[QT_CANA_REAL]],ESTIMATIVA[[#This Row],[QT_CANA_REST1]])</f>
        <v>108.92</v>
      </c>
      <c r="AF1406" s="1">
        <f>IF(ESTIMATIVA[[#This Row],[QT_AREA_REAL]]&gt;0,ESTIMATIVA[[#This Row],[QT_CANA_REAL]],ESTIMATIVA[[#This Row],[QT_CANA_REST2]])</f>
        <v>108.92</v>
      </c>
      <c r="AG1406" s="1" t="str">
        <f>IF(COUNTIFS(GEADA!A:A,VALUE(ESTIMATIVA[[#This Row],[CD_UPNIVEL1]]&amp;TEXT(ESTIMATIVA[[#This Row],[CD_UPNIVEL3]],"0000")))&gt;0,"S","N")</f>
        <v>N</v>
      </c>
      <c r="AH140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06" s="55" t="str">
        <f>IF(ESTIMATIVA[[#This Row],[TP_CULTIVO]]="Irrigado",_xlfn.MAXIFS(IRRIGADO!J:J,IRRIGADO!C:C,ESTIMATIVA[[#This Row],[CD_UPNIVEL1]],IRRIGADO!E:E,ESTIMATIVA[[#This Row],[CD_UPNIVEL3]]),"")</f>
        <v/>
      </c>
      <c r="AJ140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06" s="1">
        <f>COUNTIFS(Apresentação!$E$23:$E$29,ESTIMATIVA[[#This Row],[CD_UPNIVEL1]])</f>
        <v>0</v>
      </c>
    </row>
    <row r="1407" spans="1:37" x14ac:dyDescent="0.3">
      <c r="A1407">
        <v>20569</v>
      </c>
      <c r="B1407" t="s">
        <v>82</v>
      </c>
      <c r="C1407">
        <v>9</v>
      </c>
      <c r="D1407">
        <v>7</v>
      </c>
      <c r="E1407" t="s">
        <v>270</v>
      </c>
      <c r="F1407" s="85" t="s">
        <v>332</v>
      </c>
      <c r="G1407"/>
      <c r="H1407" t="s">
        <v>295</v>
      </c>
      <c r="I1407" t="s">
        <v>208</v>
      </c>
      <c r="J1407" t="s">
        <v>176</v>
      </c>
      <c r="K1407" s="1">
        <v>2.0099999999999998</v>
      </c>
      <c r="L1407" s="1">
        <v>2.0099999999999998</v>
      </c>
      <c r="M1407" s="1">
        <v>0</v>
      </c>
      <c r="N1407" s="1">
        <v>2.0099999999999998</v>
      </c>
      <c r="O1407" s="1">
        <v>140.69999999999999</v>
      </c>
      <c r="P1407" s="1">
        <v>148.74</v>
      </c>
      <c r="Q1407" s="1">
        <v>0</v>
      </c>
      <c r="R1407" s="1">
        <v>103.37</v>
      </c>
      <c r="S1407" t="s">
        <v>12</v>
      </c>
      <c r="T1407" s="13">
        <v>45872</v>
      </c>
      <c r="U1407" s="1" t="str">
        <f>IF(ESTIMATIVA[[#This Row],[QT_AREA_REAL]]&gt;0,"1- Colhido","2- à Colher")</f>
        <v>1- Colhido</v>
      </c>
      <c r="V1407" s="1" t="str">
        <f>IF(ESTIMATIVA[[#This Row],[QT_AREA_REST1]]&gt;0,"Reestimativa 1",IF(ESTIMATIVA[[#This Row],[QT_AREA_REAL]]=0,"Reestimativa 1","Realizado"))</f>
        <v>Reestimativa 1</v>
      </c>
      <c r="W1407" s="1" t="str">
        <f>IF(ESTIMATIVA[[#This Row],[QT_AREA_REST2]]&gt;0,"Reestimativa 2",IF(ESTIMATIVA[[#This Row],[QT_AREA_REAL]]=0,"Reestimativa 2","Realizado"))</f>
        <v>Realizado</v>
      </c>
      <c r="X1407" s="1">
        <f>ESTIMATIVA[[#This Row],[QT_AREA_EST]]</f>
        <v>2.0099999999999998</v>
      </c>
      <c r="Y1407" s="1">
        <f>IF(ESTIMATIVA[[#This Row],[QT_AREA_REST1]]&gt;0,ESTIMATIVA[[#This Row],[QT_AREA_REST1]],
  IF(ESTIMATIVA[[#This Row],[QT_AREA_REAL]]&gt;0,ESTIMATIVA[[#This Row],[QT_AREA_REAL]],ESTIMATIVA[[#This Row],[QT_AREA_EST]]))</f>
        <v>2.0099999999999998</v>
      </c>
      <c r="Z140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2.0099999999999998</v>
      </c>
      <c r="AA1407" s="1">
        <f>ESTIMATIVA[[#This Row],[QT_CANA_EST]]</f>
        <v>140.69999999999999</v>
      </c>
      <c r="AB1407" s="1">
        <f>IF(ESTIMATIVA[[#This Row],[QT_CANA_REST1]]&gt;0,ESTIMATIVA[[#This Row],[QT_CANA_REST1]],
  IF(ESTIMATIVA[[#This Row],[QT_CANA_REAL]]&gt;0,ESTIMATIVA[[#This Row],[QT_CANA_REAL]],ESTIMATIVA[[#This Row],[QT_CANA_EST]]))</f>
        <v>148.74</v>
      </c>
      <c r="AC140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103.37</v>
      </c>
      <c r="AD1407" s="1">
        <f>IF(ESTIMATIVA[[#This Row],[QT_AREA_REAL]]&gt;0,ESTIMATIVA[[#This Row],[QT_CANA_REAL]],ESTIMATIVA[[#This Row],[QT_CANA_EST]])</f>
        <v>103.37</v>
      </c>
      <c r="AE1407" s="1">
        <f>IF(ESTIMATIVA[[#This Row],[QT_AREA_REAL]]&gt;0,ESTIMATIVA[[#This Row],[QT_CANA_REAL]],ESTIMATIVA[[#This Row],[QT_CANA_REST1]])</f>
        <v>103.37</v>
      </c>
      <c r="AF1407" s="1">
        <f>IF(ESTIMATIVA[[#This Row],[QT_AREA_REAL]]&gt;0,ESTIMATIVA[[#This Row],[QT_CANA_REAL]],ESTIMATIVA[[#This Row],[QT_CANA_REST2]])</f>
        <v>103.37</v>
      </c>
      <c r="AG1407" s="1" t="str">
        <f>IF(COUNTIFS(GEADA!A:A,VALUE(ESTIMATIVA[[#This Row],[CD_UPNIVEL1]]&amp;TEXT(ESTIMATIVA[[#This Row],[CD_UPNIVEL3]],"0000")))&gt;0,"S","N")</f>
        <v>N</v>
      </c>
      <c r="AH140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07" s="55" t="str">
        <f>IF(ESTIMATIVA[[#This Row],[TP_CULTIVO]]="Irrigado",_xlfn.MAXIFS(IRRIGADO!J:J,IRRIGADO!C:C,ESTIMATIVA[[#This Row],[CD_UPNIVEL1]],IRRIGADO!E:E,ESTIMATIVA[[#This Row],[CD_UPNIVEL3]]),"")</f>
        <v/>
      </c>
      <c r="AJ140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07" s="1">
        <f>COUNTIFS(Apresentação!$E$23:$E$29,ESTIMATIVA[[#This Row],[CD_UPNIVEL1]])</f>
        <v>0</v>
      </c>
    </row>
    <row r="1408" spans="1:37" x14ac:dyDescent="0.3">
      <c r="A1408">
        <v>20569</v>
      </c>
      <c r="B1408" t="s">
        <v>82</v>
      </c>
      <c r="C1408">
        <v>10</v>
      </c>
      <c r="D1408">
        <v>7</v>
      </c>
      <c r="E1408" t="s">
        <v>270</v>
      </c>
      <c r="F1408" s="85" t="s">
        <v>332</v>
      </c>
      <c r="G1408"/>
      <c r="H1408" t="s">
        <v>295</v>
      </c>
      <c r="I1408" t="s">
        <v>208</v>
      </c>
      <c r="J1408" t="s">
        <v>176</v>
      </c>
      <c r="K1408" s="1">
        <v>2.5099999999999998</v>
      </c>
      <c r="L1408" s="1">
        <v>2.5099999999999998</v>
      </c>
      <c r="M1408" s="1">
        <v>0</v>
      </c>
      <c r="N1408" s="1">
        <v>2.5099999999999998</v>
      </c>
      <c r="O1408" s="1">
        <v>175.7</v>
      </c>
      <c r="P1408" s="1">
        <v>185.74</v>
      </c>
      <c r="Q1408" s="1">
        <v>0</v>
      </c>
      <c r="R1408" s="1">
        <v>129.04</v>
      </c>
      <c r="S1408" t="s">
        <v>12</v>
      </c>
      <c r="T1408" s="13">
        <v>45872</v>
      </c>
      <c r="U1408" s="1" t="str">
        <f>IF(ESTIMATIVA[[#This Row],[QT_AREA_REAL]]&gt;0,"1- Colhido","2- à Colher")</f>
        <v>1- Colhido</v>
      </c>
      <c r="V1408" s="1" t="str">
        <f>IF(ESTIMATIVA[[#This Row],[QT_AREA_REST1]]&gt;0,"Reestimativa 1",IF(ESTIMATIVA[[#This Row],[QT_AREA_REAL]]=0,"Reestimativa 1","Realizado"))</f>
        <v>Reestimativa 1</v>
      </c>
      <c r="W1408" s="1" t="str">
        <f>IF(ESTIMATIVA[[#This Row],[QT_AREA_REST2]]&gt;0,"Reestimativa 2",IF(ESTIMATIVA[[#This Row],[QT_AREA_REAL]]=0,"Reestimativa 2","Realizado"))</f>
        <v>Realizado</v>
      </c>
      <c r="X1408" s="1">
        <f>ESTIMATIVA[[#This Row],[QT_AREA_EST]]</f>
        <v>2.5099999999999998</v>
      </c>
      <c r="Y1408" s="1">
        <f>IF(ESTIMATIVA[[#This Row],[QT_AREA_REST1]]&gt;0,ESTIMATIVA[[#This Row],[QT_AREA_REST1]],
  IF(ESTIMATIVA[[#This Row],[QT_AREA_REAL]]&gt;0,ESTIMATIVA[[#This Row],[QT_AREA_REAL]],ESTIMATIVA[[#This Row],[QT_AREA_EST]]))</f>
        <v>2.5099999999999998</v>
      </c>
      <c r="Z140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2.5099999999999998</v>
      </c>
      <c r="AA1408" s="1">
        <f>ESTIMATIVA[[#This Row],[QT_CANA_EST]]</f>
        <v>175.7</v>
      </c>
      <c r="AB1408" s="1">
        <f>IF(ESTIMATIVA[[#This Row],[QT_CANA_REST1]]&gt;0,ESTIMATIVA[[#This Row],[QT_CANA_REST1]],
  IF(ESTIMATIVA[[#This Row],[QT_CANA_REAL]]&gt;0,ESTIMATIVA[[#This Row],[QT_CANA_REAL]],ESTIMATIVA[[#This Row],[QT_CANA_EST]]))</f>
        <v>185.74</v>
      </c>
      <c r="AC140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129.04</v>
      </c>
      <c r="AD1408" s="1">
        <f>IF(ESTIMATIVA[[#This Row],[QT_AREA_REAL]]&gt;0,ESTIMATIVA[[#This Row],[QT_CANA_REAL]],ESTIMATIVA[[#This Row],[QT_CANA_EST]])</f>
        <v>129.04</v>
      </c>
      <c r="AE1408" s="1">
        <f>IF(ESTIMATIVA[[#This Row],[QT_AREA_REAL]]&gt;0,ESTIMATIVA[[#This Row],[QT_CANA_REAL]],ESTIMATIVA[[#This Row],[QT_CANA_REST1]])</f>
        <v>129.04</v>
      </c>
      <c r="AF1408" s="1">
        <f>IF(ESTIMATIVA[[#This Row],[QT_AREA_REAL]]&gt;0,ESTIMATIVA[[#This Row],[QT_CANA_REAL]],ESTIMATIVA[[#This Row],[QT_CANA_REST2]])</f>
        <v>129.04</v>
      </c>
      <c r="AG1408" s="1" t="str">
        <f>IF(COUNTIFS(GEADA!A:A,VALUE(ESTIMATIVA[[#This Row],[CD_UPNIVEL1]]&amp;TEXT(ESTIMATIVA[[#This Row],[CD_UPNIVEL3]],"0000")))&gt;0,"S","N")</f>
        <v>N</v>
      </c>
      <c r="AH140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08" s="55" t="str">
        <f>IF(ESTIMATIVA[[#This Row],[TP_CULTIVO]]="Irrigado",_xlfn.MAXIFS(IRRIGADO!J:J,IRRIGADO!C:C,ESTIMATIVA[[#This Row],[CD_UPNIVEL1]],IRRIGADO!E:E,ESTIMATIVA[[#This Row],[CD_UPNIVEL3]]),"")</f>
        <v/>
      </c>
      <c r="AJ140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08" s="1">
        <f>COUNTIFS(Apresentação!$E$23:$E$29,ESTIMATIVA[[#This Row],[CD_UPNIVEL1]])</f>
        <v>0</v>
      </c>
    </row>
    <row r="1409" spans="1:37" x14ac:dyDescent="0.3">
      <c r="A1409">
        <v>20569</v>
      </c>
      <c r="B1409" t="s">
        <v>82</v>
      </c>
      <c r="C1409">
        <v>11</v>
      </c>
      <c r="D1409">
        <v>7</v>
      </c>
      <c r="E1409" t="s">
        <v>270</v>
      </c>
      <c r="F1409" s="85" t="s">
        <v>332</v>
      </c>
      <c r="G1409"/>
      <c r="H1409" t="s">
        <v>295</v>
      </c>
      <c r="I1409" t="s">
        <v>208</v>
      </c>
      <c r="J1409" t="s">
        <v>176</v>
      </c>
      <c r="K1409" s="1">
        <v>4.0599999999999996</v>
      </c>
      <c r="L1409" s="1">
        <v>4.0599999999999996</v>
      </c>
      <c r="M1409" s="1">
        <v>0</v>
      </c>
      <c r="N1409" s="1">
        <v>4.0599999999999996</v>
      </c>
      <c r="O1409" s="1">
        <v>284.2</v>
      </c>
      <c r="P1409" s="1">
        <v>300.44</v>
      </c>
      <c r="Q1409" s="1">
        <v>0</v>
      </c>
      <c r="R1409" s="1">
        <v>208.17</v>
      </c>
      <c r="S1409" t="s">
        <v>12</v>
      </c>
      <c r="T1409" s="13">
        <v>45872</v>
      </c>
      <c r="U1409" s="1" t="str">
        <f>IF(ESTIMATIVA[[#This Row],[QT_AREA_REAL]]&gt;0,"1- Colhido","2- à Colher")</f>
        <v>1- Colhido</v>
      </c>
      <c r="V1409" s="1" t="str">
        <f>IF(ESTIMATIVA[[#This Row],[QT_AREA_REST1]]&gt;0,"Reestimativa 1",IF(ESTIMATIVA[[#This Row],[QT_AREA_REAL]]=0,"Reestimativa 1","Realizado"))</f>
        <v>Reestimativa 1</v>
      </c>
      <c r="W1409" s="1" t="str">
        <f>IF(ESTIMATIVA[[#This Row],[QT_AREA_REST2]]&gt;0,"Reestimativa 2",IF(ESTIMATIVA[[#This Row],[QT_AREA_REAL]]=0,"Reestimativa 2","Realizado"))</f>
        <v>Realizado</v>
      </c>
      <c r="X1409" s="1">
        <f>ESTIMATIVA[[#This Row],[QT_AREA_EST]]</f>
        <v>4.0599999999999996</v>
      </c>
      <c r="Y1409" s="1">
        <f>IF(ESTIMATIVA[[#This Row],[QT_AREA_REST1]]&gt;0,ESTIMATIVA[[#This Row],[QT_AREA_REST1]],
  IF(ESTIMATIVA[[#This Row],[QT_AREA_REAL]]&gt;0,ESTIMATIVA[[#This Row],[QT_AREA_REAL]],ESTIMATIVA[[#This Row],[QT_AREA_EST]]))</f>
        <v>4.0599999999999996</v>
      </c>
      <c r="Z140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4.0599999999999996</v>
      </c>
      <c r="AA1409" s="1">
        <f>ESTIMATIVA[[#This Row],[QT_CANA_EST]]</f>
        <v>284.2</v>
      </c>
      <c r="AB1409" s="1">
        <f>IF(ESTIMATIVA[[#This Row],[QT_CANA_REST1]]&gt;0,ESTIMATIVA[[#This Row],[QT_CANA_REST1]],
  IF(ESTIMATIVA[[#This Row],[QT_CANA_REAL]]&gt;0,ESTIMATIVA[[#This Row],[QT_CANA_REAL]],ESTIMATIVA[[#This Row],[QT_CANA_EST]]))</f>
        <v>300.44</v>
      </c>
      <c r="AC140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208.17</v>
      </c>
      <c r="AD1409" s="1">
        <f>IF(ESTIMATIVA[[#This Row],[QT_AREA_REAL]]&gt;0,ESTIMATIVA[[#This Row],[QT_CANA_REAL]],ESTIMATIVA[[#This Row],[QT_CANA_EST]])</f>
        <v>208.17</v>
      </c>
      <c r="AE1409" s="1">
        <f>IF(ESTIMATIVA[[#This Row],[QT_AREA_REAL]]&gt;0,ESTIMATIVA[[#This Row],[QT_CANA_REAL]],ESTIMATIVA[[#This Row],[QT_CANA_REST1]])</f>
        <v>208.17</v>
      </c>
      <c r="AF1409" s="1">
        <f>IF(ESTIMATIVA[[#This Row],[QT_AREA_REAL]]&gt;0,ESTIMATIVA[[#This Row],[QT_CANA_REAL]],ESTIMATIVA[[#This Row],[QT_CANA_REST2]])</f>
        <v>208.17</v>
      </c>
      <c r="AG1409" s="1" t="str">
        <f>IF(COUNTIFS(GEADA!A:A,VALUE(ESTIMATIVA[[#This Row],[CD_UPNIVEL1]]&amp;TEXT(ESTIMATIVA[[#This Row],[CD_UPNIVEL3]],"0000")))&gt;0,"S","N")</f>
        <v>N</v>
      </c>
      <c r="AH140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09" s="55" t="str">
        <f>IF(ESTIMATIVA[[#This Row],[TP_CULTIVO]]="Irrigado",_xlfn.MAXIFS(IRRIGADO!J:J,IRRIGADO!C:C,ESTIMATIVA[[#This Row],[CD_UPNIVEL1]],IRRIGADO!E:E,ESTIMATIVA[[#This Row],[CD_UPNIVEL3]]),"")</f>
        <v/>
      </c>
      <c r="AJ140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09" s="1">
        <f>COUNTIFS(Apresentação!$E$23:$E$29,ESTIMATIVA[[#This Row],[CD_UPNIVEL1]])</f>
        <v>0</v>
      </c>
    </row>
    <row r="1410" spans="1:37" x14ac:dyDescent="0.3">
      <c r="A1410">
        <v>20569</v>
      </c>
      <c r="B1410" t="s">
        <v>82</v>
      </c>
      <c r="C1410">
        <v>12</v>
      </c>
      <c r="D1410">
        <v>7</v>
      </c>
      <c r="E1410" t="s">
        <v>270</v>
      </c>
      <c r="F1410" s="85" t="s">
        <v>332</v>
      </c>
      <c r="G1410"/>
      <c r="H1410" t="s">
        <v>295</v>
      </c>
      <c r="I1410" t="s">
        <v>208</v>
      </c>
      <c r="J1410" t="s">
        <v>176</v>
      </c>
      <c r="K1410" s="1">
        <v>1.53</v>
      </c>
      <c r="L1410" s="1">
        <v>1.53</v>
      </c>
      <c r="M1410" s="1">
        <v>0</v>
      </c>
      <c r="N1410" s="1">
        <v>1.53</v>
      </c>
      <c r="O1410" s="1">
        <v>107.1</v>
      </c>
      <c r="P1410" s="1">
        <v>113.22</v>
      </c>
      <c r="Q1410" s="1">
        <v>0</v>
      </c>
      <c r="R1410" s="1">
        <v>78.38</v>
      </c>
      <c r="S1410" t="s">
        <v>12</v>
      </c>
      <c r="T1410" s="13">
        <v>45872</v>
      </c>
      <c r="U1410" s="1" t="str">
        <f>IF(ESTIMATIVA[[#This Row],[QT_AREA_REAL]]&gt;0,"1- Colhido","2- à Colher")</f>
        <v>1- Colhido</v>
      </c>
      <c r="V1410" s="1" t="str">
        <f>IF(ESTIMATIVA[[#This Row],[QT_AREA_REST1]]&gt;0,"Reestimativa 1",IF(ESTIMATIVA[[#This Row],[QT_AREA_REAL]]=0,"Reestimativa 1","Realizado"))</f>
        <v>Reestimativa 1</v>
      </c>
      <c r="W1410" s="1" t="str">
        <f>IF(ESTIMATIVA[[#This Row],[QT_AREA_REST2]]&gt;0,"Reestimativa 2",IF(ESTIMATIVA[[#This Row],[QT_AREA_REAL]]=0,"Reestimativa 2","Realizado"))</f>
        <v>Realizado</v>
      </c>
      <c r="X1410" s="1">
        <f>ESTIMATIVA[[#This Row],[QT_AREA_EST]]</f>
        <v>1.53</v>
      </c>
      <c r="Y1410" s="1">
        <f>IF(ESTIMATIVA[[#This Row],[QT_AREA_REST1]]&gt;0,ESTIMATIVA[[#This Row],[QT_AREA_REST1]],
  IF(ESTIMATIVA[[#This Row],[QT_AREA_REAL]]&gt;0,ESTIMATIVA[[#This Row],[QT_AREA_REAL]],ESTIMATIVA[[#This Row],[QT_AREA_EST]]))</f>
        <v>1.53</v>
      </c>
      <c r="Z141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1.53</v>
      </c>
      <c r="AA1410" s="1">
        <f>ESTIMATIVA[[#This Row],[QT_CANA_EST]]</f>
        <v>107.1</v>
      </c>
      <c r="AB1410" s="1">
        <f>IF(ESTIMATIVA[[#This Row],[QT_CANA_REST1]]&gt;0,ESTIMATIVA[[#This Row],[QT_CANA_REST1]],
  IF(ESTIMATIVA[[#This Row],[QT_CANA_REAL]]&gt;0,ESTIMATIVA[[#This Row],[QT_CANA_REAL]],ESTIMATIVA[[#This Row],[QT_CANA_EST]]))</f>
        <v>113.22</v>
      </c>
      <c r="AC141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78.38</v>
      </c>
      <c r="AD1410" s="1">
        <f>IF(ESTIMATIVA[[#This Row],[QT_AREA_REAL]]&gt;0,ESTIMATIVA[[#This Row],[QT_CANA_REAL]],ESTIMATIVA[[#This Row],[QT_CANA_EST]])</f>
        <v>78.38</v>
      </c>
      <c r="AE1410" s="1">
        <f>IF(ESTIMATIVA[[#This Row],[QT_AREA_REAL]]&gt;0,ESTIMATIVA[[#This Row],[QT_CANA_REAL]],ESTIMATIVA[[#This Row],[QT_CANA_REST1]])</f>
        <v>78.38</v>
      </c>
      <c r="AF1410" s="1">
        <f>IF(ESTIMATIVA[[#This Row],[QT_AREA_REAL]]&gt;0,ESTIMATIVA[[#This Row],[QT_CANA_REAL]],ESTIMATIVA[[#This Row],[QT_CANA_REST2]])</f>
        <v>78.38</v>
      </c>
      <c r="AG1410" s="1" t="str">
        <f>IF(COUNTIFS(GEADA!A:A,VALUE(ESTIMATIVA[[#This Row],[CD_UPNIVEL1]]&amp;TEXT(ESTIMATIVA[[#This Row],[CD_UPNIVEL3]],"0000")))&gt;0,"S","N")</f>
        <v>N</v>
      </c>
      <c r="AH141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10" s="55" t="str">
        <f>IF(ESTIMATIVA[[#This Row],[TP_CULTIVO]]="Irrigado",_xlfn.MAXIFS(IRRIGADO!J:J,IRRIGADO!C:C,ESTIMATIVA[[#This Row],[CD_UPNIVEL1]],IRRIGADO!E:E,ESTIMATIVA[[#This Row],[CD_UPNIVEL3]]),"")</f>
        <v/>
      </c>
      <c r="AJ141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10" s="1">
        <f>COUNTIFS(Apresentação!$E$23:$E$29,ESTIMATIVA[[#This Row],[CD_UPNIVEL1]])</f>
        <v>0</v>
      </c>
    </row>
    <row r="1411" spans="1:37" x14ac:dyDescent="0.3">
      <c r="A1411">
        <v>20569</v>
      </c>
      <c r="B1411" t="s">
        <v>82</v>
      </c>
      <c r="C1411">
        <v>13</v>
      </c>
      <c r="D1411">
        <v>7</v>
      </c>
      <c r="E1411" t="s">
        <v>270</v>
      </c>
      <c r="F1411" s="85" t="s">
        <v>332</v>
      </c>
      <c r="G1411"/>
      <c r="H1411" t="s">
        <v>295</v>
      </c>
      <c r="I1411" t="s">
        <v>208</v>
      </c>
      <c r="J1411" t="s">
        <v>176</v>
      </c>
      <c r="K1411" s="1">
        <v>3.19</v>
      </c>
      <c r="L1411" s="1">
        <v>3.19</v>
      </c>
      <c r="M1411" s="1">
        <v>0</v>
      </c>
      <c r="N1411" s="1">
        <v>3.19</v>
      </c>
      <c r="O1411" s="1">
        <v>223.3</v>
      </c>
      <c r="P1411" s="1">
        <v>236.06</v>
      </c>
      <c r="Q1411" s="1">
        <v>0</v>
      </c>
      <c r="R1411" s="1">
        <v>163.75</v>
      </c>
      <c r="S1411" t="s">
        <v>12</v>
      </c>
      <c r="T1411" s="13">
        <v>45872</v>
      </c>
      <c r="U1411" s="1" t="str">
        <f>IF(ESTIMATIVA[[#This Row],[QT_AREA_REAL]]&gt;0,"1- Colhido","2- à Colher")</f>
        <v>1- Colhido</v>
      </c>
      <c r="V1411" s="1" t="str">
        <f>IF(ESTIMATIVA[[#This Row],[QT_AREA_REST1]]&gt;0,"Reestimativa 1",IF(ESTIMATIVA[[#This Row],[QT_AREA_REAL]]=0,"Reestimativa 1","Realizado"))</f>
        <v>Reestimativa 1</v>
      </c>
      <c r="W1411" s="1" t="str">
        <f>IF(ESTIMATIVA[[#This Row],[QT_AREA_REST2]]&gt;0,"Reestimativa 2",IF(ESTIMATIVA[[#This Row],[QT_AREA_REAL]]=0,"Reestimativa 2","Realizado"))</f>
        <v>Realizado</v>
      </c>
      <c r="X1411" s="1">
        <f>ESTIMATIVA[[#This Row],[QT_AREA_EST]]</f>
        <v>3.19</v>
      </c>
      <c r="Y1411" s="1">
        <f>IF(ESTIMATIVA[[#This Row],[QT_AREA_REST1]]&gt;0,ESTIMATIVA[[#This Row],[QT_AREA_REST1]],
  IF(ESTIMATIVA[[#This Row],[QT_AREA_REAL]]&gt;0,ESTIMATIVA[[#This Row],[QT_AREA_REAL]],ESTIMATIVA[[#This Row],[QT_AREA_EST]]))</f>
        <v>3.19</v>
      </c>
      <c r="Z141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3.19</v>
      </c>
      <c r="AA1411" s="1">
        <f>ESTIMATIVA[[#This Row],[QT_CANA_EST]]</f>
        <v>223.3</v>
      </c>
      <c r="AB1411" s="1">
        <f>IF(ESTIMATIVA[[#This Row],[QT_CANA_REST1]]&gt;0,ESTIMATIVA[[#This Row],[QT_CANA_REST1]],
  IF(ESTIMATIVA[[#This Row],[QT_CANA_REAL]]&gt;0,ESTIMATIVA[[#This Row],[QT_CANA_REAL]],ESTIMATIVA[[#This Row],[QT_CANA_EST]]))</f>
        <v>236.06</v>
      </c>
      <c r="AC141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163.75</v>
      </c>
      <c r="AD1411" s="1">
        <f>IF(ESTIMATIVA[[#This Row],[QT_AREA_REAL]]&gt;0,ESTIMATIVA[[#This Row],[QT_CANA_REAL]],ESTIMATIVA[[#This Row],[QT_CANA_EST]])</f>
        <v>163.75</v>
      </c>
      <c r="AE1411" s="1">
        <f>IF(ESTIMATIVA[[#This Row],[QT_AREA_REAL]]&gt;0,ESTIMATIVA[[#This Row],[QT_CANA_REAL]],ESTIMATIVA[[#This Row],[QT_CANA_REST1]])</f>
        <v>163.75</v>
      </c>
      <c r="AF1411" s="1">
        <f>IF(ESTIMATIVA[[#This Row],[QT_AREA_REAL]]&gt;0,ESTIMATIVA[[#This Row],[QT_CANA_REAL]],ESTIMATIVA[[#This Row],[QT_CANA_REST2]])</f>
        <v>163.75</v>
      </c>
      <c r="AG1411" s="1" t="str">
        <f>IF(COUNTIFS(GEADA!A:A,VALUE(ESTIMATIVA[[#This Row],[CD_UPNIVEL1]]&amp;TEXT(ESTIMATIVA[[#This Row],[CD_UPNIVEL3]],"0000")))&gt;0,"S","N")</f>
        <v>N</v>
      </c>
      <c r="AH141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11" s="55" t="str">
        <f>IF(ESTIMATIVA[[#This Row],[TP_CULTIVO]]="Irrigado",_xlfn.MAXIFS(IRRIGADO!J:J,IRRIGADO!C:C,ESTIMATIVA[[#This Row],[CD_UPNIVEL1]],IRRIGADO!E:E,ESTIMATIVA[[#This Row],[CD_UPNIVEL3]]),"")</f>
        <v/>
      </c>
      <c r="AJ141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11" s="1">
        <f>COUNTIFS(Apresentação!$E$23:$E$29,ESTIMATIVA[[#This Row],[CD_UPNIVEL1]])</f>
        <v>0</v>
      </c>
    </row>
    <row r="1412" spans="1:37" x14ac:dyDescent="0.3">
      <c r="A1412">
        <v>20569</v>
      </c>
      <c r="B1412" t="s">
        <v>82</v>
      </c>
      <c r="C1412">
        <v>14</v>
      </c>
      <c r="D1412">
        <v>7</v>
      </c>
      <c r="E1412" t="s">
        <v>270</v>
      </c>
      <c r="F1412" s="85" t="s">
        <v>332</v>
      </c>
      <c r="G1412"/>
      <c r="H1412" t="s">
        <v>295</v>
      </c>
      <c r="I1412" t="s">
        <v>208</v>
      </c>
      <c r="J1412" t="s">
        <v>176</v>
      </c>
      <c r="K1412" s="1">
        <v>1.34</v>
      </c>
      <c r="L1412" s="1">
        <v>1.34</v>
      </c>
      <c r="M1412" s="1">
        <v>0</v>
      </c>
      <c r="N1412" s="1">
        <v>1.34</v>
      </c>
      <c r="O1412" s="1">
        <v>93.8</v>
      </c>
      <c r="P1412" s="1">
        <v>99.16</v>
      </c>
      <c r="Q1412" s="1">
        <v>0</v>
      </c>
      <c r="R1412" s="1">
        <v>68.66</v>
      </c>
      <c r="S1412" t="s">
        <v>12</v>
      </c>
      <c r="T1412" s="13">
        <v>45872</v>
      </c>
      <c r="U1412" s="1" t="str">
        <f>IF(ESTIMATIVA[[#This Row],[QT_AREA_REAL]]&gt;0,"1- Colhido","2- à Colher")</f>
        <v>1- Colhido</v>
      </c>
      <c r="V1412" s="1" t="str">
        <f>IF(ESTIMATIVA[[#This Row],[QT_AREA_REST1]]&gt;0,"Reestimativa 1",IF(ESTIMATIVA[[#This Row],[QT_AREA_REAL]]=0,"Reestimativa 1","Realizado"))</f>
        <v>Reestimativa 1</v>
      </c>
      <c r="W1412" s="1" t="str">
        <f>IF(ESTIMATIVA[[#This Row],[QT_AREA_REST2]]&gt;0,"Reestimativa 2",IF(ESTIMATIVA[[#This Row],[QT_AREA_REAL]]=0,"Reestimativa 2","Realizado"))</f>
        <v>Realizado</v>
      </c>
      <c r="X1412" s="1">
        <f>ESTIMATIVA[[#This Row],[QT_AREA_EST]]</f>
        <v>1.34</v>
      </c>
      <c r="Y1412" s="1">
        <f>IF(ESTIMATIVA[[#This Row],[QT_AREA_REST1]]&gt;0,ESTIMATIVA[[#This Row],[QT_AREA_REST1]],
  IF(ESTIMATIVA[[#This Row],[QT_AREA_REAL]]&gt;0,ESTIMATIVA[[#This Row],[QT_AREA_REAL]],ESTIMATIVA[[#This Row],[QT_AREA_EST]]))</f>
        <v>1.34</v>
      </c>
      <c r="Z141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1.34</v>
      </c>
      <c r="AA1412" s="1">
        <f>ESTIMATIVA[[#This Row],[QT_CANA_EST]]</f>
        <v>93.8</v>
      </c>
      <c r="AB1412" s="1">
        <f>IF(ESTIMATIVA[[#This Row],[QT_CANA_REST1]]&gt;0,ESTIMATIVA[[#This Row],[QT_CANA_REST1]],
  IF(ESTIMATIVA[[#This Row],[QT_CANA_REAL]]&gt;0,ESTIMATIVA[[#This Row],[QT_CANA_REAL]],ESTIMATIVA[[#This Row],[QT_CANA_EST]]))</f>
        <v>99.16</v>
      </c>
      <c r="AC141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68.66</v>
      </c>
      <c r="AD1412" s="1">
        <f>IF(ESTIMATIVA[[#This Row],[QT_AREA_REAL]]&gt;0,ESTIMATIVA[[#This Row],[QT_CANA_REAL]],ESTIMATIVA[[#This Row],[QT_CANA_EST]])</f>
        <v>68.66</v>
      </c>
      <c r="AE1412" s="1">
        <f>IF(ESTIMATIVA[[#This Row],[QT_AREA_REAL]]&gt;0,ESTIMATIVA[[#This Row],[QT_CANA_REAL]],ESTIMATIVA[[#This Row],[QT_CANA_REST1]])</f>
        <v>68.66</v>
      </c>
      <c r="AF1412" s="1">
        <f>IF(ESTIMATIVA[[#This Row],[QT_AREA_REAL]]&gt;0,ESTIMATIVA[[#This Row],[QT_CANA_REAL]],ESTIMATIVA[[#This Row],[QT_CANA_REST2]])</f>
        <v>68.66</v>
      </c>
      <c r="AG1412" s="1" t="str">
        <f>IF(COUNTIFS(GEADA!A:A,VALUE(ESTIMATIVA[[#This Row],[CD_UPNIVEL1]]&amp;TEXT(ESTIMATIVA[[#This Row],[CD_UPNIVEL3]],"0000")))&gt;0,"S","N")</f>
        <v>N</v>
      </c>
      <c r="AH141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12" s="55" t="str">
        <f>IF(ESTIMATIVA[[#This Row],[TP_CULTIVO]]="Irrigado",_xlfn.MAXIFS(IRRIGADO!J:J,IRRIGADO!C:C,ESTIMATIVA[[#This Row],[CD_UPNIVEL1]],IRRIGADO!E:E,ESTIMATIVA[[#This Row],[CD_UPNIVEL3]]),"")</f>
        <v/>
      </c>
      <c r="AJ141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12" s="1">
        <f>COUNTIFS(Apresentação!$E$23:$E$29,ESTIMATIVA[[#This Row],[CD_UPNIVEL1]])</f>
        <v>0</v>
      </c>
    </row>
    <row r="1413" spans="1:37" x14ac:dyDescent="0.3">
      <c r="A1413">
        <v>20569</v>
      </c>
      <c r="B1413" t="s">
        <v>82</v>
      </c>
      <c r="C1413">
        <v>15</v>
      </c>
      <c r="D1413">
        <v>7</v>
      </c>
      <c r="E1413" t="s">
        <v>270</v>
      </c>
      <c r="F1413" s="85" t="s">
        <v>332</v>
      </c>
      <c r="G1413"/>
      <c r="H1413" t="s">
        <v>295</v>
      </c>
      <c r="I1413" t="s">
        <v>208</v>
      </c>
      <c r="J1413" t="s">
        <v>176</v>
      </c>
      <c r="K1413" s="1">
        <v>2.2599999999999998</v>
      </c>
      <c r="L1413" s="1">
        <v>2.2599999999999998</v>
      </c>
      <c r="M1413" s="1">
        <v>0</v>
      </c>
      <c r="N1413" s="1">
        <v>2.2599999999999998</v>
      </c>
      <c r="O1413" s="1">
        <v>158.19999999999999</v>
      </c>
      <c r="P1413" s="1">
        <v>167.24</v>
      </c>
      <c r="Q1413" s="1">
        <v>0</v>
      </c>
      <c r="R1413" s="1">
        <v>115.86</v>
      </c>
      <c r="S1413" t="s">
        <v>12</v>
      </c>
      <c r="T1413" s="13">
        <v>45872</v>
      </c>
      <c r="U1413" s="1" t="str">
        <f>IF(ESTIMATIVA[[#This Row],[QT_AREA_REAL]]&gt;0,"1- Colhido","2- à Colher")</f>
        <v>1- Colhido</v>
      </c>
      <c r="V1413" s="1" t="str">
        <f>IF(ESTIMATIVA[[#This Row],[QT_AREA_REST1]]&gt;0,"Reestimativa 1",IF(ESTIMATIVA[[#This Row],[QT_AREA_REAL]]=0,"Reestimativa 1","Realizado"))</f>
        <v>Reestimativa 1</v>
      </c>
      <c r="W1413" s="1" t="str">
        <f>IF(ESTIMATIVA[[#This Row],[QT_AREA_REST2]]&gt;0,"Reestimativa 2",IF(ESTIMATIVA[[#This Row],[QT_AREA_REAL]]=0,"Reestimativa 2","Realizado"))</f>
        <v>Realizado</v>
      </c>
      <c r="X1413" s="1">
        <f>ESTIMATIVA[[#This Row],[QT_AREA_EST]]</f>
        <v>2.2599999999999998</v>
      </c>
      <c r="Y1413" s="1">
        <f>IF(ESTIMATIVA[[#This Row],[QT_AREA_REST1]]&gt;0,ESTIMATIVA[[#This Row],[QT_AREA_REST1]],
  IF(ESTIMATIVA[[#This Row],[QT_AREA_REAL]]&gt;0,ESTIMATIVA[[#This Row],[QT_AREA_REAL]],ESTIMATIVA[[#This Row],[QT_AREA_EST]]))</f>
        <v>2.2599999999999998</v>
      </c>
      <c r="Z141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2.2599999999999998</v>
      </c>
      <c r="AA1413" s="1">
        <f>ESTIMATIVA[[#This Row],[QT_CANA_EST]]</f>
        <v>158.19999999999999</v>
      </c>
      <c r="AB1413" s="1">
        <f>IF(ESTIMATIVA[[#This Row],[QT_CANA_REST1]]&gt;0,ESTIMATIVA[[#This Row],[QT_CANA_REST1]],
  IF(ESTIMATIVA[[#This Row],[QT_CANA_REAL]]&gt;0,ESTIMATIVA[[#This Row],[QT_CANA_REAL]],ESTIMATIVA[[#This Row],[QT_CANA_EST]]))</f>
        <v>167.24</v>
      </c>
      <c r="AC141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115.86</v>
      </c>
      <c r="AD1413" s="1">
        <f>IF(ESTIMATIVA[[#This Row],[QT_AREA_REAL]]&gt;0,ESTIMATIVA[[#This Row],[QT_CANA_REAL]],ESTIMATIVA[[#This Row],[QT_CANA_EST]])</f>
        <v>115.86</v>
      </c>
      <c r="AE1413" s="1">
        <f>IF(ESTIMATIVA[[#This Row],[QT_AREA_REAL]]&gt;0,ESTIMATIVA[[#This Row],[QT_CANA_REAL]],ESTIMATIVA[[#This Row],[QT_CANA_REST1]])</f>
        <v>115.86</v>
      </c>
      <c r="AF1413" s="1">
        <f>IF(ESTIMATIVA[[#This Row],[QT_AREA_REAL]]&gt;0,ESTIMATIVA[[#This Row],[QT_CANA_REAL]],ESTIMATIVA[[#This Row],[QT_CANA_REST2]])</f>
        <v>115.86</v>
      </c>
      <c r="AG1413" s="1" t="str">
        <f>IF(COUNTIFS(GEADA!A:A,VALUE(ESTIMATIVA[[#This Row],[CD_UPNIVEL1]]&amp;TEXT(ESTIMATIVA[[#This Row],[CD_UPNIVEL3]],"0000")))&gt;0,"S","N")</f>
        <v>N</v>
      </c>
      <c r="AH141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13" s="55" t="str">
        <f>IF(ESTIMATIVA[[#This Row],[TP_CULTIVO]]="Irrigado",_xlfn.MAXIFS(IRRIGADO!J:J,IRRIGADO!C:C,ESTIMATIVA[[#This Row],[CD_UPNIVEL1]],IRRIGADO!E:E,ESTIMATIVA[[#This Row],[CD_UPNIVEL3]]),"")</f>
        <v/>
      </c>
      <c r="AJ141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13" s="1">
        <f>COUNTIFS(Apresentação!$E$23:$E$29,ESTIMATIVA[[#This Row],[CD_UPNIVEL1]])</f>
        <v>0</v>
      </c>
    </row>
    <row r="1414" spans="1:37" x14ac:dyDescent="0.3">
      <c r="A1414">
        <v>20569</v>
      </c>
      <c r="B1414" t="s">
        <v>82</v>
      </c>
      <c r="C1414">
        <v>16</v>
      </c>
      <c r="D1414">
        <v>7</v>
      </c>
      <c r="E1414" t="s">
        <v>270</v>
      </c>
      <c r="F1414" s="85" t="s">
        <v>332</v>
      </c>
      <c r="G1414"/>
      <c r="H1414" t="s">
        <v>295</v>
      </c>
      <c r="I1414" t="s">
        <v>208</v>
      </c>
      <c r="J1414" t="s">
        <v>176</v>
      </c>
      <c r="K1414" s="1">
        <v>3.02</v>
      </c>
      <c r="L1414" s="1">
        <v>3.02</v>
      </c>
      <c r="M1414" s="1">
        <v>0</v>
      </c>
      <c r="N1414" s="1">
        <v>3.02</v>
      </c>
      <c r="O1414" s="1">
        <v>211.4</v>
      </c>
      <c r="P1414" s="1">
        <v>223.48</v>
      </c>
      <c r="Q1414" s="1">
        <v>0</v>
      </c>
      <c r="R1414" s="1">
        <v>154.72999999999999</v>
      </c>
      <c r="S1414" t="s">
        <v>12</v>
      </c>
      <c r="T1414" s="13">
        <v>45872</v>
      </c>
      <c r="U1414" s="1" t="str">
        <f>IF(ESTIMATIVA[[#This Row],[QT_AREA_REAL]]&gt;0,"1- Colhido","2- à Colher")</f>
        <v>1- Colhido</v>
      </c>
      <c r="V1414" s="1" t="str">
        <f>IF(ESTIMATIVA[[#This Row],[QT_AREA_REST1]]&gt;0,"Reestimativa 1",IF(ESTIMATIVA[[#This Row],[QT_AREA_REAL]]=0,"Reestimativa 1","Realizado"))</f>
        <v>Reestimativa 1</v>
      </c>
      <c r="W1414" s="1" t="str">
        <f>IF(ESTIMATIVA[[#This Row],[QT_AREA_REST2]]&gt;0,"Reestimativa 2",IF(ESTIMATIVA[[#This Row],[QT_AREA_REAL]]=0,"Reestimativa 2","Realizado"))</f>
        <v>Realizado</v>
      </c>
      <c r="X1414" s="1">
        <f>ESTIMATIVA[[#This Row],[QT_AREA_EST]]</f>
        <v>3.02</v>
      </c>
      <c r="Y1414" s="1">
        <f>IF(ESTIMATIVA[[#This Row],[QT_AREA_REST1]]&gt;0,ESTIMATIVA[[#This Row],[QT_AREA_REST1]],
  IF(ESTIMATIVA[[#This Row],[QT_AREA_REAL]]&gt;0,ESTIMATIVA[[#This Row],[QT_AREA_REAL]],ESTIMATIVA[[#This Row],[QT_AREA_EST]]))</f>
        <v>3.02</v>
      </c>
      <c r="Z141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3.02</v>
      </c>
      <c r="AA1414" s="1">
        <f>ESTIMATIVA[[#This Row],[QT_CANA_EST]]</f>
        <v>211.4</v>
      </c>
      <c r="AB1414" s="1">
        <f>IF(ESTIMATIVA[[#This Row],[QT_CANA_REST1]]&gt;0,ESTIMATIVA[[#This Row],[QT_CANA_REST1]],
  IF(ESTIMATIVA[[#This Row],[QT_CANA_REAL]]&gt;0,ESTIMATIVA[[#This Row],[QT_CANA_REAL]],ESTIMATIVA[[#This Row],[QT_CANA_EST]]))</f>
        <v>223.48</v>
      </c>
      <c r="AC141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154.72999999999999</v>
      </c>
      <c r="AD1414" s="1">
        <f>IF(ESTIMATIVA[[#This Row],[QT_AREA_REAL]]&gt;0,ESTIMATIVA[[#This Row],[QT_CANA_REAL]],ESTIMATIVA[[#This Row],[QT_CANA_EST]])</f>
        <v>154.72999999999999</v>
      </c>
      <c r="AE1414" s="1">
        <f>IF(ESTIMATIVA[[#This Row],[QT_AREA_REAL]]&gt;0,ESTIMATIVA[[#This Row],[QT_CANA_REAL]],ESTIMATIVA[[#This Row],[QT_CANA_REST1]])</f>
        <v>154.72999999999999</v>
      </c>
      <c r="AF1414" s="1">
        <f>IF(ESTIMATIVA[[#This Row],[QT_AREA_REAL]]&gt;0,ESTIMATIVA[[#This Row],[QT_CANA_REAL]],ESTIMATIVA[[#This Row],[QT_CANA_REST2]])</f>
        <v>154.72999999999999</v>
      </c>
      <c r="AG1414" s="1" t="str">
        <f>IF(COUNTIFS(GEADA!A:A,VALUE(ESTIMATIVA[[#This Row],[CD_UPNIVEL1]]&amp;TEXT(ESTIMATIVA[[#This Row],[CD_UPNIVEL3]],"0000")))&gt;0,"S","N")</f>
        <v>N</v>
      </c>
      <c r="AH141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14" s="55" t="str">
        <f>IF(ESTIMATIVA[[#This Row],[TP_CULTIVO]]="Irrigado",_xlfn.MAXIFS(IRRIGADO!J:J,IRRIGADO!C:C,ESTIMATIVA[[#This Row],[CD_UPNIVEL1]],IRRIGADO!E:E,ESTIMATIVA[[#This Row],[CD_UPNIVEL3]]),"")</f>
        <v/>
      </c>
      <c r="AJ141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14" s="1">
        <f>COUNTIFS(Apresentação!$E$23:$E$29,ESTIMATIVA[[#This Row],[CD_UPNIVEL1]])</f>
        <v>0</v>
      </c>
    </row>
    <row r="1415" spans="1:37" x14ac:dyDescent="0.3">
      <c r="A1415">
        <v>20569</v>
      </c>
      <c r="B1415" t="s">
        <v>82</v>
      </c>
      <c r="C1415">
        <v>17</v>
      </c>
      <c r="D1415">
        <v>7</v>
      </c>
      <c r="E1415" t="s">
        <v>270</v>
      </c>
      <c r="F1415" s="85" t="s">
        <v>332</v>
      </c>
      <c r="G1415"/>
      <c r="H1415" t="s">
        <v>295</v>
      </c>
      <c r="I1415" t="s">
        <v>208</v>
      </c>
      <c r="J1415" t="s">
        <v>176</v>
      </c>
      <c r="K1415" s="1">
        <v>1</v>
      </c>
      <c r="L1415" s="1">
        <v>1</v>
      </c>
      <c r="M1415" s="1">
        <v>0</v>
      </c>
      <c r="N1415" s="1">
        <v>1</v>
      </c>
      <c r="O1415" s="1">
        <v>70</v>
      </c>
      <c r="P1415" s="1">
        <v>74</v>
      </c>
      <c r="Q1415" s="1">
        <v>0</v>
      </c>
      <c r="R1415" s="1">
        <v>51.3</v>
      </c>
      <c r="S1415" t="s">
        <v>12</v>
      </c>
      <c r="T1415" s="13">
        <v>45872</v>
      </c>
      <c r="U1415" s="1" t="str">
        <f>IF(ESTIMATIVA[[#This Row],[QT_AREA_REAL]]&gt;0,"1- Colhido","2- à Colher")</f>
        <v>1- Colhido</v>
      </c>
      <c r="V1415" s="1" t="str">
        <f>IF(ESTIMATIVA[[#This Row],[QT_AREA_REST1]]&gt;0,"Reestimativa 1",IF(ESTIMATIVA[[#This Row],[QT_AREA_REAL]]=0,"Reestimativa 1","Realizado"))</f>
        <v>Reestimativa 1</v>
      </c>
      <c r="W1415" s="1" t="str">
        <f>IF(ESTIMATIVA[[#This Row],[QT_AREA_REST2]]&gt;0,"Reestimativa 2",IF(ESTIMATIVA[[#This Row],[QT_AREA_REAL]]=0,"Reestimativa 2","Realizado"))</f>
        <v>Realizado</v>
      </c>
      <c r="X1415" s="1">
        <f>ESTIMATIVA[[#This Row],[QT_AREA_EST]]</f>
        <v>1</v>
      </c>
      <c r="Y1415" s="1">
        <f>IF(ESTIMATIVA[[#This Row],[QT_AREA_REST1]]&gt;0,ESTIMATIVA[[#This Row],[QT_AREA_REST1]],
  IF(ESTIMATIVA[[#This Row],[QT_AREA_REAL]]&gt;0,ESTIMATIVA[[#This Row],[QT_AREA_REAL]],ESTIMATIVA[[#This Row],[QT_AREA_EST]]))</f>
        <v>1</v>
      </c>
      <c r="Z141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</v>
      </c>
      <c r="AA1415" s="1">
        <f>ESTIMATIVA[[#This Row],[QT_CANA_EST]]</f>
        <v>70</v>
      </c>
      <c r="AB1415" s="1">
        <f>IF(ESTIMATIVA[[#This Row],[QT_CANA_REST1]]&gt;0,ESTIMATIVA[[#This Row],[QT_CANA_REST1]],
  IF(ESTIMATIVA[[#This Row],[QT_CANA_REAL]]&gt;0,ESTIMATIVA[[#This Row],[QT_CANA_REAL]],ESTIMATIVA[[#This Row],[QT_CANA_EST]]))</f>
        <v>74</v>
      </c>
      <c r="AC141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51.3</v>
      </c>
      <c r="AD1415" s="1">
        <f>IF(ESTIMATIVA[[#This Row],[QT_AREA_REAL]]&gt;0,ESTIMATIVA[[#This Row],[QT_CANA_REAL]],ESTIMATIVA[[#This Row],[QT_CANA_EST]])</f>
        <v>51.3</v>
      </c>
      <c r="AE1415" s="1">
        <f>IF(ESTIMATIVA[[#This Row],[QT_AREA_REAL]]&gt;0,ESTIMATIVA[[#This Row],[QT_CANA_REAL]],ESTIMATIVA[[#This Row],[QT_CANA_REST1]])</f>
        <v>51.3</v>
      </c>
      <c r="AF1415" s="1">
        <f>IF(ESTIMATIVA[[#This Row],[QT_AREA_REAL]]&gt;0,ESTIMATIVA[[#This Row],[QT_CANA_REAL]],ESTIMATIVA[[#This Row],[QT_CANA_REST2]])</f>
        <v>51.3</v>
      </c>
      <c r="AG1415" s="1" t="str">
        <f>IF(COUNTIFS(GEADA!A:A,VALUE(ESTIMATIVA[[#This Row],[CD_UPNIVEL1]]&amp;TEXT(ESTIMATIVA[[#This Row],[CD_UPNIVEL3]],"0000")))&gt;0,"S","N")</f>
        <v>N</v>
      </c>
      <c r="AH141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15" s="55" t="str">
        <f>IF(ESTIMATIVA[[#This Row],[TP_CULTIVO]]="Irrigado",_xlfn.MAXIFS(IRRIGADO!J:J,IRRIGADO!C:C,ESTIMATIVA[[#This Row],[CD_UPNIVEL1]],IRRIGADO!E:E,ESTIMATIVA[[#This Row],[CD_UPNIVEL3]]),"")</f>
        <v/>
      </c>
      <c r="AJ141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15" s="1">
        <f>COUNTIFS(Apresentação!$E$23:$E$29,ESTIMATIVA[[#This Row],[CD_UPNIVEL1]])</f>
        <v>0</v>
      </c>
    </row>
    <row r="1416" spans="1:37" x14ac:dyDescent="0.3">
      <c r="A1416">
        <v>20569</v>
      </c>
      <c r="B1416" t="s">
        <v>82</v>
      </c>
      <c r="C1416">
        <v>18</v>
      </c>
      <c r="D1416">
        <v>7</v>
      </c>
      <c r="E1416" t="s">
        <v>270</v>
      </c>
      <c r="F1416" s="85" t="s">
        <v>331</v>
      </c>
      <c r="G1416"/>
      <c r="H1416" t="s">
        <v>295</v>
      </c>
      <c r="I1416" t="s">
        <v>208</v>
      </c>
      <c r="J1416" t="s">
        <v>176</v>
      </c>
      <c r="K1416" s="1">
        <v>2.76</v>
      </c>
      <c r="L1416" s="1">
        <v>2.76</v>
      </c>
      <c r="M1416" s="1">
        <v>0</v>
      </c>
      <c r="N1416" s="1">
        <v>2.76</v>
      </c>
      <c r="O1416" s="1">
        <v>193.2</v>
      </c>
      <c r="P1416" s="1">
        <v>204.24</v>
      </c>
      <c r="Q1416" s="1">
        <v>0</v>
      </c>
      <c r="R1416" s="1">
        <v>141.55000000000001</v>
      </c>
      <c r="S1416" t="s">
        <v>12</v>
      </c>
      <c r="T1416" s="13">
        <v>45872</v>
      </c>
      <c r="U1416" s="1" t="str">
        <f>IF(ESTIMATIVA[[#This Row],[QT_AREA_REAL]]&gt;0,"1- Colhido","2- à Colher")</f>
        <v>1- Colhido</v>
      </c>
      <c r="V1416" s="1" t="str">
        <f>IF(ESTIMATIVA[[#This Row],[QT_AREA_REST1]]&gt;0,"Reestimativa 1",IF(ESTIMATIVA[[#This Row],[QT_AREA_REAL]]=0,"Reestimativa 1","Realizado"))</f>
        <v>Reestimativa 1</v>
      </c>
      <c r="W1416" s="1" t="str">
        <f>IF(ESTIMATIVA[[#This Row],[QT_AREA_REST2]]&gt;0,"Reestimativa 2",IF(ESTIMATIVA[[#This Row],[QT_AREA_REAL]]=0,"Reestimativa 2","Realizado"))</f>
        <v>Realizado</v>
      </c>
      <c r="X1416" s="1">
        <f>ESTIMATIVA[[#This Row],[QT_AREA_EST]]</f>
        <v>2.76</v>
      </c>
      <c r="Y1416" s="1">
        <f>IF(ESTIMATIVA[[#This Row],[QT_AREA_REST1]]&gt;0,ESTIMATIVA[[#This Row],[QT_AREA_REST1]],
  IF(ESTIMATIVA[[#This Row],[QT_AREA_REAL]]&gt;0,ESTIMATIVA[[#This Row],[QT_AREA_REAL]],ESTIMATIVA[[#This Row],[QT_AREA_EST]]))</f>
        <v>2.76</v>
      </c>
      <c r="Z141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2.76</v>
      </c>
      <c r="AA1416" s="1">
        <f>ESTIMATIVA[[#This Row],[QT_CANA_EST]]</f>
        <v>193.2</v>
      </c>
      <c r="AB1416" s="1">
        <f>IF(ESTIMATIVA[[#This Row],[QT_CANA_REST1]]&gt;0,ESTIMATIVA[[#This Row],[QT_CANA_REST1]],
  IF(ESTIMATIVA[[#This Row],[QT_CANA_REAL]]&gt;0,ESTIMATIVA[[#This Row],[QT_CANA_REAL]],ESTIMATIVA[[#This Row],[QT_CANA_EST]]))</f>
        <v>204.24</v>
      </c>
      <c r="AC141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141.55000000000001</v>
      </c>
      <c r="AD1416" s="1">
        <f>IF(ESTIMATIVA[[#This Row],[QT_AREA_REAL]]&gt;0,ESTIMATIVA[[#This Row],[QT_CANA_REAL]],ESTIMATIVA[[#This Row],[QT_CANA_EST]])</f>
        <v>141.55000000000001</v>
      </c>
      <c r="AE1416" s="1">
        <f>IF(ESTIMATIVA[[#This Row],[QT_AREA_REAL]]&gt;0,ESTIMATIVA[[#This Row],[QT_CANA_REAL]],ESTIMATIVA[[#This Row],[QT_CANA_REST1]])</f>
        <v>141.55000000000001</v>
      </c>
      <c r="AF1416" s="1">
        <f>IF(ESTIMATIVA[[#This Row],[QT_AREA_REAL]]&gt;0,ESTIMATIVA[[#This Row],[QT_CANA_REAL]],ESTIMATIVA[[#This Row],[QT_CANA_REST2]])</f>
        <v>141.55000000000001</v>
      </c>
      <c r="AG1416" s="1" t="str">
        <f>IF(COUNTIFS(GEADA!A:A,VALUE(ESTIMATIVA[[#This Row],[CD_UPNIVEL1]]&amp;TEXT(ESTIMATIVA[[#This Row],[CD_UPNIVEL3]],"0000")))&gt;0,"S","N")</f>
        <v>N</v>
      </c>
      <c r="AH141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16" s="55" t="str">
        <f>IF(ESTIMATIVA[[#This Row],[TP_CULTIVO]]="Irrigado",_xlfn.MAXIFS(IRRIGADO!J:J,IRRIGADO!C:C,ESTIMATIVA[[#This Row],[CD_UPNIVEL1]],IRRIGADO!E:E,ESTIMATIVA[[#This Row],[CD_UPNIVEL3]]),"")</f>
        <v/>
      </c>
      <c r="AJ141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16" s="1">
        <f>COUNTIFS(Apresentação!$E$23:$E$29,ESTIMATIVA[[#This Row],[CD_UPNIVEL1]])</f>
        <v>0</v>
      </c>
    </row>
    <row r="1417" spans="1:37" x14ac:dyDescent="0.3">
      <c r="A1417">
        <v>20569</v>
      </c>
      <c r="B1417" t="s">
        <v>82</v>
      </c>
      <c r="C1417">
        <v>19</v>
      </c>
      <c r="D1417">
        <v>7</v>
      </c>
      <c r="E1417" t="s">
        <v>270</v>
      </c>
      <c r="F1417" s="85" t="s">
        <v>333</v>
      </c>
      <c r="G1417"/>
      <c r="H1417" t="s">
        <v>295</v>
      </c>
      <c r="I1417" t="s">
        <v>208</v>
      </c>
      <c r="J1417" t="s">
        <v>176</v>
      </c>
      <c r="K1417" s="1">
        <v>1.31</v>
      </c>
      <c r="L1417" s="1">
        <v>1.31</v>
      </c>
      <c r="M1417" s="1">
        <v>0</v>
      </c>
      <c r="N1417" s="1">
        <v>1.31</v>
      </c>
      <c r="O1417" s="1">
        <v>91.7</v>
      </c>
      <c r="P1417" s="1">
        <v>96.94</v>
      </c>
      <c r="Q1417" s="1">
        <v>0</v>
      </c>
      <c r="R1417" s="1">
        <v>67.27</v>
      </c>
      <c r="S1417" t="s">
        <v>12</v>
      </c>
      <c r="T1417" s="13">
        <v>45872</v>
      </c>
      <c r="U1417" s="1" t="str">
        <f>IF(ESTIMATIVA[[#This Row],[QT_AREA_REAL]]&gt;0,"1- Colhido","2- à Colher")</f>
        <v>1- Colhido</v>
      </c>
      <c r="V1417" s="1" t="str">
        <f>IF(ESTIMATIVA[[#This Row],[QT_AREA_REST1]]&gt;0,"Reestimativa 1",IF(ESTIMATIVA[[#This Row],[QT_AREA_REAL]]=0,"Reestimativa 1","Realizado"))</f>
        <v>Reestimativa 1</v>
      </c>
      <c r="W1417" s="1" t="str">
        <f>IF(ESTIMATIVA[[#This Row],[QT_AREA_REST2]]&gt;0,"Reestimativa 2",IF(ESTIMATIVA[[#This Row],[QT_AREA_REAL]]=0,"Reestimativa 2","Realizado"))</f>
        <v>Realizado</v>
      </c>
      <c r="X1417" s="1">
        <f>ESTIMATIVA[[#This Row],[QT_AREA_EST]]</f>
        <v>1.31</v>
      </c>
      <c r="Y1417" s="1">
        <f>IF(ESTIMATIVA[[#This Row],[QT_AREA_REST1]]&gt;0,ESTIMATIVA[[#This Row],[QT_AREA_REST1]],
  IF(ESTIMATIVA[[#This Row],[QT_AREA_REAL]]&gt;0,ESTIMATIVA[[#This Row],[QT_AREA_REAL]],ESTIMATIVA[[#This Row],[QT_AREA_EST]]))</f>
        <v>1.31</v>
      </c>
      <c r="Z141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1.31</v>
      </c>
      <c r="AA1417" s="1">
        <f>ESTIMATIVA[[#This Row],[QT_CANA_EST]]</f>
        <v>91.7</v>
      </c>
      <c r="AB1417" s="1">
        <f>IF(ESTIMATIVA[[#This Row],[QT_CANA_REST1]]&gt;0,ESTIMATIVA[[#This Row],[QT_CANA_REST1]],
  IF(ESTIMATIVA[[#This Row],[QT_CANA_REAL]]&gt;0,ESTIMATIVA[[#This Row],[QT_CANA_REAL]],ESTIMATIVA[[#This Row],[QT_CANA_EST]]))</f>
        <v>96.94</v>
      </c>
      <c r="AC141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67.27</v>
      </c>
      <c r="AD1417" s="1">
        <f>IF(ESTIMATIVA[[#This Row],[QT_AREA_REAL]]&gt;0,ESTIMATIVA[[#This Row],[QT_CANA_REAL]],ESTIMATIVA[[#This Row],[QT_CANA_EST]])</f>
        <v>67.27</v>
      </c>
      <c r="AE1417" s="1">
        <f>IF(ESTIMATIVA[[#This Row],[QT_AREA_REAL]]&gt;0,ESTIMATIVA[[#This Row],[QT_CANA_REAL]],ESTIMATIVA[[#This Row],[QT_CANA_REST1]])</f>
        <v>67.27</v>
      </c>
      <c r="AF1417" s="1">
        <f>IF(ESTIMATIVA[[#This Row],[QT_AREA_REAL]]&gt;0,ESTIMATIVA[[#This Row],[QT_CANA_REAL]],ESTIMATIVA[[#This Row],[QT_CANA_REST2]])</f>
        <v>67.27</v>
      </c>
      <c r="AG1417" s="1" t="str">
        <f>IF(COUNTIFS(GEADA!A:A,VALUE(ESTIMATIVA[[#This Row],[CD_UPNIVEL1]]&amp;TEXT(ESTIMATIVA[[#This Row],[CD_UPNIVEL3]],"0000")))&gt;0,"S","N")</f>
        <v>N</v>
      </c>
      <c r="AH141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17" s="55" t="str">
        <f>IF(ESTIMATIVA[[#This Row],[TP_CULTIVO]]="Irrigado",_xlfn.MAXIFS(IRRIGADO!J:J,IRRIGADO!C:C,ESTIMATIVA[[#This Row],[CD_UPNIVEL1]],IRRIGADO!E:E,ESTIMATIVA[[#This Row],[CD_UPNIVEL3]]),"")</f>
        <v/>
      </c>
      <c r="AJ141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17" s="1">
        <f>COUNTIFS(Apresentação!$E$23:$E$29,ESTIMATIVA[[#This Row],[CD_UPNIVEL1]])</f>
        <v>0</v>
      </c>
    </row>
    <row r="1418" spans="1:37" x14ac:dyDescent="0.3">
      <c r="A1418">
        <v>20569</v>
      </c>
      <c r="B1418" t="s">
        <v>82</v>
      </c>
      <c r="C1418">
        <v>20</v>
      </c>
      <c r="D1418">
        <v>7</v>
      </c>
      <c r="E1418" t="s">
        <v>270</v>
      </c>
      <c r="F1418" s="85" t="s">
        <v>333</v>
      </c>
      <c r="G1418"/>
      <c r="H1418" t="s">
        <v>295</v>
      </c>
      <c r="I1418" t="s">
        <v>208</v>
      </c>
      <c r="J1418" t="s">
        <v>176</v>
      </c>
      <c r="K1418" s="1">
        <v>1.41</v>
      </c>
      <c r="L1418" s="1">
        <v>1.41</v>
      </c>
      <c r="M1418" s="1">
        <v>0</v>
      </c>
      <c r="N1418" s="1">
        <v>1.41</v>
      </c>
      <c r="O1418" s="1">
        <v>98.7</v>
      </c>
      <c r="P1418" s="1">
        <v>104.34</v>
      </c>
      <c r="Q1418" s="1">
        <v>0</v>
      </c>
      <c r="R1418" s="1">
        <v>72.13</v>
      </c>
      <c r="S1418" t="s">
        <v>12</v>
      </c>
      <c r="T1418" s="13">
        <v>45872</v>
      </c>
      <c r="U1418" s="1" t="str">
        <f>IF(ESTIMATIVA[[#This Row],[QT_AREA_REAL]]&gt;0,"1- Colhido","2- à Colher")</f>
        <v>1- Colhido</v>
      </c>
      <c r="V1418" s="1" t="str">
        <f>IF(ESTIMATIVA[[#This Row],[QT_AREA_REST1]]&gt;0,"Reestimativa 1",IF(ESTIMATIVA[[#This Row],[QT_AREA_REAL]]=0,"Reestimativa 1","Realizado"))</f>
        <v>Reestimativa 1</v>
      </c>
      <c r="W1418" s="1" t="str">
        <f>IF(ESTIMATIVA[[#This Row],[QT_AREA_REST2]]&gt;0,"Reestimativa 2",IF(ESTIMATIVA[[#This Row],[QT_AREA_REAL]]=0,"Reestimativa 2","Realizado"))</f>
        <v>Realizado</v>
      </c>
      <c r="X1418" s="1">
        <f>ESTIMATIVA[[#This Row],[QT_AREA_EST]]</f>
        <v>1.41</v>
      </c>
      <c r="Y1418" s="1">
        <f>IF(ESTIMATIVA[[#This Row],[QT_AREA_REST1]]&gt;0,ESTIMATIVA[[#This Row],[QT_AREA_REST1]],
  IF(ESTIMATIVA[[#This Row],[QT_AREA_REAL]]&gt;0,ESTIMATIVA[[#This Row],[QT_AREA_REAL]],ESTIMATIVA[[#This Row],[QT_AREA_EST]]))</f>
        <v>1.41</v>
      </c>
      <c r="Z141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1.41</v>
      </c>
      <c r="AA1418" s="1">
        <f>ESTIMATIVA[[#This Row],[QT_CANA_EST]]</f>
        <v>98.7</v>
      </c>
      <c r="AB1418" s="1">
        <f>IF(ESTIMATIVA[[#This Row],[QT_CANA_REST1]]&gt;0,ESTIMATIVA[[#This Row],[QT_CANA_REST1]],
  IF(ESTIMATIVA[[#This Row],[QT_CANA_REAL]]&gt;0,ESTIMATIVA[[#This Row],[QT_CANA_REAL]],ESTIMATIVA[[#This Row],[QT_CANA_EST]]))</f>
        <v>104.34</v>
      </c>
      <c r="AC141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72.13</v>
      </c>
      <c r="AD1418" s="1">
        <f>IF(ESTIMATIVA[[#This Row],[QT_AREA_REAL]]&gt;0,ESTIMATIVA[[#This Row],[QT_CANA_REAL]],ESTIMATIVA[[#This Row],[QT_CANA_EST]])</f>
        <v>72.13</v>
      </c>
      <c r="AE1418" s="1">
        <f>IF(ESTIMATIVA[[#This Row],[QT_AREA_REAL]]&gt;0,ESTIMATIVA[[#This Row],[QT_CANA_REAL]],ESTIMATIVA[[#This Row],[QT_CANA_REST1]])</f>
        <v>72.13</v>
      </c>
      <c r="AF1418" s="1">
        <f>IF(ESTIMATIVA[[#This Row],[QT_AREA_REAL]]&gt;0,ESTIMATIVA[[#This Row],[QT_CANA_REAL]],ESTIMATIVA[[#This Row],[QT_CANA_REST2]])</f>
        <v>72.13</v>
      </c>
      <c r="AG1418" s="1" t="str">
        <f>IF(COUNTIFS(GEADA!A:A,VALUE(ESTIMATIVA[[#This Row],[CD_UPNIVEL1]]&amp;TEXT(ESTIMATIVA[[#This Row],[CD_UPNIVEL3]],"0000")))&gt;0,"S","N")</f>
        <v>N</v>
      </c>
      <c r="AH141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18" s="55" t="str">
        <f>IF(ESTIMATIVA[[#This Row],[TP_CULTIVO]]="Irrigado",_xlfn.MAXIFS(IRRIGADO!J:J,IRRIGADO!C:C,ESTIMATIVA[[#This Row],[CD_UPNIVEL1]],IRRIGADO!E:E,ESTIMATIVA[[#This Row],[CD_UPNIVEL3]]),"")</f>
        <v/>
      </c>
      <c r="AJ141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18" s="1">
        <f>COUNTIFS(Apresentação!$E$23:$E$29,ESTIMATIVA[[#This Row],[CD_UPNIVEL1]])</f>
        <v>0</v>
      </c>
    </row>
    <row r="1419" spans="1:37" x14ac:dyDescent="0.3">
      <c r="A1419">
        <v>20569</v>
      </c>
      <c r="B1419" t="s">
        <v>82</v>
      </c>
      <c r="C1419">
        <v>21</v>
      </c>
      <c r="D1419">
        <v>7</v>
      </c>
      <c r="E1419" t="s">
        <v>270</v>
      </c>
      <c r="F1419" s="85" t="s">
        <v>331</v>
      </c>
      <c r="G1419"/>
      <c r="H1419" t="s">
        <v>295</v>
      </c>
      <c r="I1419" t="s">
        <v>208</v>
      </c>
      <c r="J1419" t="s">
        <v>176</v>
      </c>
      <c r="K1419" s="1">
        <v>5.71</v>
      </c>
      <c r="L1419" s="1">
        <v>0</v>
      </c>
      <c r="M1419" s="1">
        <v>0</v>
      </c>
      <c r="N1419" s="1">
        <v>5.71</v>
      </c>
      <c r="O1419" s="1">
        <v>399.7</v>
      </c>
      <c r="P1419" s="1">
        <v>0</v>
      </c>
      <c r="Q1419" s="1">
        <v>0</v>
      </c>
      <c r="R1419" s="1">
        <v>449.58</v>
      </c>
      <c r="S1419" t="s">
        <v>12</v>
      </c>
      <c r="T1419" s="13">
        <v>45816</v>
      </c>
      <c r="U1419" s="1" t="str">
        <f>IF(ESTIMATIVA[[#This Row],[QT_AREA_REAL]]&gt;0,"1- Colhido","2- à Colher")</f>
        <v>1- Colhido</v>
      </c>
      <c r="V1419" s="1" t="str">
        <f>IF(ESTIMATIVA[[#This Row],[QT_AREA_REST1]]&gt;0,"Reestimativa 1",IF(ESTIMATIVA[[#This Row],[QT_AREA_REAL]]=0,"Reestimativa 1","Realizado"))</f>
        <v>Realizado</v>
      </c>
      <c r="W1419" s="1" t="str">
        <f>IF(ESTIMATIVA[[#This Row],[QT_AREA_REST2]]&gt;0,"Reestimativa 2",IF(ESTIMATIVA[[#This Row],[QT_AREA_REAL]]=0,"Reestimativa 2","Realizado"))</f>
        <v>Realizado</v>
      </c>
      <c r="X1419" s="1">
        <f>ESTIMATIVA[[#This Row],[QT_AREA_EST]]</f>
        <v>5.71</v>
      </c>
      <c r="Y1419" s="1">
        <f>IF(ESTIMATIVA[[#This Row],[QT_AREA_REST1]]&gt;0,ESTIMATIVA[[#This Row],[QT_AREA_REST1]],
  IF(ESTIMATIVA[[#This Row],[QT_AREA_REAL]]&gt;0,ESTIMATIVA[[#This Row],[QT_AREA_REAL]],ESTIMATIVA[[#This Row],[QT_AREA_EST]]))</f>
        <v>5.71</v>
      </c>
      <c r="Z141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5.71</v>
      </c>
      <c r="AA1419" s="1">
        <f>ESTIMATIVA[[#This Row],[QT_CANA_EST]]</f>
        <v>399.7</v>
      </c>
      <c r="AB1419" s="1">
        <f>IF(ESTIMATIVA[[#This Row],[QT_CANA_REST1]]&gt;0,ESTIMATIVA[[#This Row],[QT_CANA_REST1]],
  IF(ESTIMATIVA[[#This Row],[QT_CANA_REAL]]&gt;0,ESTIMATIVA[[#This Row],[QT_CANA_REAL]],ESTIMATIVA[[#This Row],[QT_CANA_EST]]))</f>
        <v>449.58</v>
      </c>
      <c r="AC141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449.58</v>
      </c>
      <c r="AD1419" s="1">
        <f>IF(ESTIMATIVA[[#This Row],[QT_AREA_REAL]]&gt;0,ESTIMATIVA[[#This Row],[QT_CANA_REAL]],ESTIMATIVA[[#This Row],[QT_CANA_EST]])</f>
        <v>449.58</v>
      </c>
      <c r="AE1419" s="1">
        <f>IF(ESTIMATIVA[[#This Row],[QT_AREA_REAL]]&gt;0,ESTIMATIVA[[#This Row],[QT_CANA_REAL]],ESTIMATIVA[[#This Row],[QT_CANA_REST1]])</f>
        <v>449.58</v>
      </c>
      <c r="AF1419" s="1">
        <f>IF(ESTIMATIVA[[#This Row],[QT_AREA_REAL]]&gt;0,ESTIMATIVA[[#This Row],[QT_CANA_REAL]],ESTIMATIVA[[#This Row],[QT_CANA_REST2]])</f>
        <v>449.58</v>
      </c>
      <c r="AG1419" s="1" t="str">
        <f>IF(COUNTIFS(GEADA!A:A,VALUE(ESTIMATIVA[[#This Row],[CD_UPNIVEL1]]&amp;TEXT(ESTIMATIVA[[#This Row],[CD_UPNIVEL3]],"0000")))&gt;0,"S","N")</f>
        <v>N</v>
      </c>
      <c r="AH141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19" s="55" t="str">
        <f>IF(ESTIMATIVA[[#This Row],[TP_CULTIVO]]="Irrigado",_xlfn.MAXIFS(IRRIGADO!J:J,IRRIGADO!C:C,ESTIMATIVA[[#This Row],[CD_UPNIVEL1]],IRRIGADO!E:E,ESTIMATIVA[[#This Row],[CD_UPNIVEL3]]),"")</f>
        <v/>
      </c>
      <c r="AJ141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19" s="1">
        <f>COUNTIFS(Apresentação!$E$23:$E$29,ESTIMATIVA[[#This Row],[CD_UPNIVEL1]])</f>
        <v>0</v>
      </c>
    </row>
    <row r="1420" spans="1:37" x14ac:dyDescent="0.3">
      <c r="A1420">
        <v>20569</v>
      </c>
      <c r="B1420" t="s">
        <v>82</v>
      </c>
      <c r="C1420">
        <v>22</v>
      </c>
      <c r="D1420">
        <v>7</v>
      </c>
      <c r="E1420" t="s">
        <v>270</v>
      </c>
      <c r="F1420" s="85" t="s">
        <v>331</v>
      </c>
      <c r="G1420"/>
      <c r="H1420" t="s">
        <v>295</v>
      </c>
      <c r="I1420" t="s">
        <v>208</v>
      </c>
      <c r="J1420" t="s">
        <v>176</v>
      </c>
      <c r="K1420" s="1">
        <v>2.2000000000000002</v>
      </c>
      <c r="L1420" s="1">
        <v>0</v>
      </c>
      <c r="M1420" s="1">
        <v>0</v>
      </c>
      <c r="N1420" s="1">
        <v>2.2000000000000002</v>
      </c>
      <c r="O1420" s="1">
        <v>154</v>
      </c>
      <c r="P1420" s="1">
        <v>0</v>
      </c>
      <c r="Q1420" s="1">
        <v>0</v>
      </c>
      <c r="R1420" s="1">
        <v>173.08</v>
      </c>
      <c r="S1420" t="s">
        <v>12</v>
      </c>
      <c r="T1420" s="13">
        <v>45816</v>
      </c>
      <c r="U1420" s="1" t="str">
        <f>IF(ESTIMATIVA[[#This Row],[QT_AREA_REAL]]&gt;0,"1- Colhido","2- à Colher")</f>
        <v>1- Colhido</v>
      </c>
      <c r="V1420" s="1" t="str">
        <f>IF(ESTIMATIVA[[#This Row],[QT_AREA_REST1]]&gt;0,"Reestimativa 1",IF(ESTIMATIVA[[#This Row],[QT_AREA_REAL]]=0,"Reestimativa 1","Realizado"))</f>
        <v>Realizado</v>
      </c>
      <c r="W1420" s="1" t="str">
        <f>IF(ESTIMATIVA[[#This Row],[QT_AREA_REST2]]&gt;0,"Reestimativa 2",IF(ESTIMATIVA[[#This Row],[QT_AREA_REAL]]=0,"Reestimativa 2","Realizado"))</f>
        <v>Realizado</v>
      </c>
      <c r="X1420" s="1">
        <f>ESTIMATIVA[[#This Row],[QT_AREA_EST]]</f>
        <v>2.2000000000000002</v>
      </c>
      <c r="Y1420" s="1">
        <f>IF(ESTIMATIVA[[#This Row],[QT_AREA_REST1]]&gt;0,ESTIMATIVA[[#This Row],[QT_AREA_REST1]],
  IF(ESTIMATIVA[[#This Row],[QT_AREA_REAL]]&gt;0,ESTIMATIVA[[#This Row],[QT_AREA_REAL]],ESTIMATIVA[[#This Row],[QT_AREA_EST]]))</f>
        <v>2.2000000000000002</v>
      </c>
      <c r="Z142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2.2000000000000002</v>
      </c>
      <c r="AA1420" s="1">
        <f>ESTIMATIVA[[#This Row],[QT_CANA_EST]]</f>
        <v>154</v>
      </c>
      <c r="AB1420" s="1">
        <f>IF(ESTIMATIVA[[#This Row],[QT_CANA_REST1]]&gt;0,ESTIMATIVA[[#This Row],[QT_CANA_REST1]],
  IF(ESTIMATIVA[[#This Row],[QT_CANA_REAL]]&gt;0,ESTIMATIVA[[#This Row],[QT_CANA_REAL]],ESTIMATIVA[[#This Row],[QT_CANA_EST]]))</f>
        <v>173.08</v>
      </c>
      <c r="AC142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173.08</v>
      </c>
      <c r="AD1420" s="1">
        <f>IF(ESTIMATIVA[[#This Row],[QT_AREA_REAL]]&gt;0,ESTIMATIVA[[#This Row],[QT_CANA_REAL]],ESTIMATIVA[[#This Row],[QT_CANA_EST]])</f>
        <v>173.08</v>
      </c>
      <c r="AE1420" s="1">
        <f>IF(ESTIMATIVA[[#This Row],[QT_AREA_REAL]]&gt;0,ESTIMATIVA[[#This Row],[QT_CANA_REAL]],ESTIMATIVA[[#This Row],[QT_CANA_REST1]])</f>
        <v>173.08</v>
      </c>
      <c r="AF1420" s="1">
        <f>IF(ESTIMATIVA[[#This Row],[QT_AREA_REAL]]&gt;0,ESTIMATIVA[[#This Row],[QT_CANA_REAL]],ESTIMATIVA[[#This Row],[QT_CANA_REST2]])</f>
        <v>173.08</v>
      </c>
      <c r="AG1420" s="1" t="str">
        <f>IF(COUNTIFS(GEADA!A:A,VALUE(ESTIMATIVA[[#This Row],[CD_UPNIVEL1]]&amp;TEXT(ESTIMATIVA[[#This Row],[CD_UPNIVEL3]],"0000")))&gt;0,"S","N")</f>
        <v>N</v>
      </c>
      <c r="AH142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20" s="55" t="str">
        <f>IF(ESTIMATIVA[[#This Row],[TP_CULTIVO]]="Irrigado",_xlfn.MAXIFS(IRRIGADO!J:J,IRRIGADO!C:C,ESTIMATIVA[[#This Row],[CD_UPNIVEL1]],IRRIGADO!E:E,ESTIMATIVA[[#This Row],[CD_UPNIVEL3]]),"")</f>
        <v/>
      </c>
      <c r="AJ142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20" s="1">
        <f>COUNTIFS(Apresentação!$E$23:$E$29,ESTIMATIVA[[#This Row],[CD_UPNIVEL1]])</f>
        <v>0</v>
      </c>
    </row>
    <row r="1421" spans="1:37" x14ac:dyDescent="0.3">
      <c r="A1421">
        <v>20569</v>
      </c>
      <c r="B1421" t="s">
        <v>82</v>
      </c>
      <c r="C1421">
        <v>23</v>
      </c>
      <c r="D1421">
        <v>7</v>
      </c>
      <c r="E1421" t="s">
        <v>270</v>
      </c>
      <c r="F1421" s="85" t="s">
        <v>331</v>
      </c>
      <c r="G1421"/>
      <c r="H1421" t="s">
        <v>295</v>
      </c>
      <c r="I1421" t="s">
        <v>208</v>
      </c>
      <c r="J1421" t="s">
        <v>176</v>
      </c>
      <c r="K1421" s="1">
        <v>2.23</v>
      </c>
      <c r="L1421" s="1">
        <v>0</v>
      </c>
      <c r="M1421" s="1">
        <v>0</v>
      </c>
      <c r="N1421" s="1">
        <v>2.23</v>
      </c>
      <c r="O1421" s="1">
        <v>156.1</v>
      </c>
      <c r="P1421" s="1">
        <v>0</v>
      </c>
      <c r="Q1421" s="1">
        <v>0</v>
      </c>
      <c r="R1421" s="1">
        <v>175.33</v>
      </c>
      <c r="S1421" t="s">
        <v>12</v>
      </c>
      <c r="T1421" s="13">
        <v>45816</v>
      </c>
      <c r="U1421" s="1" t="str">
        <f>IF(ESTIMATIVA[[#This Row],[QT_AREA_REAL]]&gt;0,"1- Colhido","2- à Colher")</f>
        <v>1- Colhido</v>
      </c>
      <c r="V1421" s="1" t="str">
        <f>IF(ESTIMATIVA[[#This Row],[QT_AREA_REST1]]&gt;0,"Reestimativa 1",IF(ESTIMATIVA[[#This Row],[QT_AREA_REAL]]=0,"Reestimativa 1","Realizado"))</f>
        <v>Realizado</v>
      </c>
      <c r="W1421" s="1" t="str">
        <f>IF(ESTIMATIVA[[#This Row],[QT_AREA_REST2]]&gt;0,"Reestimativa 2",IF(ESTIMATIVA[[#This Row],[QT_AREA_REAL]]=0,"Reestimativa 2","Realizado"))</f>
        <v>Realizado</v>
      </c>
      <c r="X1421" s="1">
        <f>ESTIMATIVA[[#This Row],[QT_AREA_EST]]</f>
        <v>2.23</v>
      </c>
      <c r="Y1421" s="1">
        <f>IF(ESTIMATIVA[[#This Row],[QT_AREA_REST1]]&gt;0,ESTIMATIVA[[#This Row],[QT_AREA_REST1]],
  IF(ESTIMATIVA[[#This Row],[QT_AREA_REAL]]&gt;0,ESTIMATIVA[[#This Row],[QT_AREA_REAL]],ESTIMATIVA[[#This Row],[QT_AREA_EST]]))</f>
        <v>2.23</v>
      </c>
      <c r="Z142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2.23</v>
      </c>
      <c r="AA1421" s="1">
        <f>ESTIMATIVA[[#This Row],[QT_CANA_EST]]</f>
        <v>156.1</v>
      </c>
      <c r="AB1421" s="1">
        <f>IF(ESTIMATIVA[[#This Row],[QT_CANA_REST1]]&gt;0,ESTIMATIVA[[#This Row],[QT_CANA_REST1]],
  IF(ESTIMATIVA[[#This Row],[QT_CANA_REAL]]&gt;0,ESTIMATIVA[[#This Row],[QT_CANA_REAL]],ESTIMATIVA[[#This Row],[QT_CANA_EST]]))</f>
        <v>175.33</v>
      </c>
      <c r="AC142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175.33</v>
      </c>
      <c r="AD1421" s="1">
        <f>IF(ESTIMATIVA[[#This Row],[QT_AREA_REAL]]&gt;0,ESTIMATIVA[[#This Row],[QT_CANA_REAL]],ESTIMATIVA[[#This Row],[QT_CANA_EST]])</f>
        <v>175.33</v>
      </c>
      <c r="AE1421" s="1">
        <f>IF(ESTIMATIVA[[#This Row],[QT_AREA_REAL]]&gt;0,ESTIMATIVA[[#This Row],[QT_CANA_REAL]],ESTIMATIVA[[#This Row],[QT_CANA_REST1]])</f>
        <v>175.33</v>
      </c>
      <c r="AF1421" s="1">
        <f>IF(ESTIMATIVA[[#This Row],[QT_AREA_REAL]]&gt;0,ESTIMATIVA[[#This Row],[QT_CANA_REAL]],ESTIMATIVA[[#This Row],[QT_CANA_REST2]])</f>
        <v>175.33</v>
      </c>
      <c r="AG1421" s="1" t="str">
        <f>IF(COUNTIFS(GEADA!A:A,VALUE(ESTIMATIVA[[#This Row],[CD_UPNIVEL1]]&amp;TEXT(ESTIMATIVA[[#This Row],[CD_UPNIVEL3]],"0000")))&gt;0,"S","N")</f>
        <v>N</v>
      </c>
      <c r="AH142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21" s="55" t="str">
        <f>IF(ESTIMATIVA[[#This Row],[TP_CULTIVO]]="Irrigado",_xlfn.MAXIFS(IRRIGADO!J:J,IRRIGADO!C:C,ESTIMATIVA[[#This Row],[CD_UPNIVEL1]],IRRIGADO!E:E,ESTIMATIVA[[#This Row],[CD_UPNIVEL3]]),"")</f>
        <v/>
      </c>
      <c r="AJ142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21" s="1">
        <f>COUNTIFS(Apresentação!$E$23:$E$29,ESTIMATIVA[[#This Row],[CD_UPNIVEL1]])</f>
        <v>0</v>
      </c>
    </row>
    <row r="1422" spans="1:37" x14ac:dyDescent="0.3">
      <c r="A1422">
        <v>20569</v>
      </c>
      <c r="B1422" t="s">
        <v>82</v>
      </c>
      <c r="C1422">
        <v>24</v>
      </c>
      <c r="D1422">
        <v>7</v>
      </c>
      <c r="E1422" t="s">
        <v>270</v>
      </c>
      <c r="F1422" s="85" t="s">
        <v>331</v>
      </c>
      <c r="G1422"/>
      <c r="H1422" t="s">
        <v>295</v>
      </c>
      <c r="I1422" t="s">
        <v>208</v>
      </c>
      <c r="J1422" t="s">
        <v>176</v>
      </c>
      <c r="K1422" s="1">
        <v>3.56</v>
      </c>
      <c r="L1422" s="1">
        <v>0</v>
      </c>
      <c r="M1422" s="1">
        <v>0</v>
      </c>
      <c r="N1422" s="1">
        <v>3.56</v>
      </c>
      <c r="O1422" s="1">
        <v>249.2</v>
      </c>
      <c r="P1422" s="1">
        <v>0</v>
      </c>
      <c r="Q1422" s="1">
        <v>0</v>
      </c>
      <c r="R1422" s="1">
        <v>279.92</v>
      </c>
      <c r="S1422" t="s">
        <v>12</v>
      </c>
      <c r="T1422" s="13">
        <v>45816</v>
      </c>
      <c r="U1422" s="1" t="str">
        <f>IF(ESTIMATIVA[[#This Row],[QT_AREA_REAL]]&gt;0,"1- Colhido","2- à Colher")</f>
        <v>1- Colhido</v>
      </c>
      <c r="V1422" s="1" t="str">
        <f>IF(ESTIMATIVA[[#This Row],[QT_AREA_REST1]]&gt;0,"Reestimativa 1",IF(ESTIMATIVA[[#This Row],[QT_AREA_REAL]]=0,"Reestimativa 1","Realizado"))</f>
        <v>Realizado</v>
      </c>
      <c r="W1422" s="1" t="str">
        <f>IF(ESTIMATIVA[[#This Row],[QT_AREA_REST2]]&gt;0,"Reestimativa 2",IF(ESTIMATIVA[[#This Row],[QT_AREA_REAL]]=0,"Reestimativa 2","Realizado"))</f>
        <v>Realizado</v>
      </c>
      <c r="X1422" s="1">
        <f>ESTIMATIVA[[#This Row],[QT_AREA_EST]]</f>
        <v>3.56</v>
      </c>
      <c r="Y1422" s="1">
        <f>IF(ESTIMATIVA[[#This Row],[QT_AREA_REST1]]&gt;0,ESTIMATIVA[[#This Row],[QT_AREA_REST1]],
  IF(ESTIMATIVA[[#This Row],[QT_AREA_REAL]]&gt;0,ESTIMATIVA[[#This Row],[QT_AREA_REAL]],ESTIMATIVA[[#This Row],[QT_AREA_EST]]))</f>
        <v>3.56</v>
      </c>
      <c r="Z142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3.56</v>
      </c>
      <c r="AA1422" s="1">
        <f>ESTIMATIVA[[#This Row],[QT_CANA_EST]]</f>
        <v>249.2</v>
      </c>
      <c r="AB1422" s="1">
        <f>IF(ESTIMATIVA[[#This Row],[QT_CANA_REST1]]&gt;0,ESTIMATIVA[[#This Row],[QT_CANA_REST1]],
  IF(ESTIMATIVA[[#This Row],[QT_CANA_REAL]]&gt;0,ESTIMATIVA[[#This Row],[QT_CANA_REAL]],ESTIMATIVA[[#This Row],[QT_CANA_EST]]))</f>
        <v>279.92</v>
      </c>
      <c r="AC142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279.92</v>
      </c>
      <c r="AD1422" s="1">
        <f>IF(ESTIMATIVA[[#This Row],[QT_AREA_REAL]]&gt;0,ESTIMATIVA[[#This Row],[QT_CANA_REAL]],ESTIMATIVA[[#This Row],[QT_CANA_EST]])</f>
        <v>279.92</v>
      </c>
      <c r="AE1422" s="1">
        <f>IF(ESTIMATIVA[[#This Row],[QT_AREA_REAL]]&gt;0,ESTIMATIVA[[#This Row],[QT_CANA_REAL]],ESTIMATIVA[[#This Row],[QT_CANA_REST1]])</f>
        <v>279.92</v>
      </c>
      <c r="AF1422" s="1">
        <f>IF(ESTIMATIVA[[#This Row],[QT_AREA_REAL]]&gt;0,ESTIMATIVA[[#This Row],[QT_CANA_REAL]],ESTIMATIVA[[#This Row],[QT_CANA_REST2]])</f>
        <v>279.92</v>
      </c>
      <c r="AG1422" s="1" t="str">
        <f>IF(COUNTIFS(GEADA!A:A,VALUE(ESTIMATIVA[[#This Row],[CD_UPNIVEL1]]&amp;TEXT(ESTIMATIVA[[#This Row],[CD_UPNIVEL3]],"0000")))&gt;0,"S","N")</f>
        <v>N</v>
      </c>
      <c r="AH142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22" s="55" t="str">
        <f>IF(ESTIMATIVA[[#This Row],[TP_CULTIVO]]="Irrigado",_xlfn.MAXIFS(IRRIGADO!J:J,IRRIGADO!C:C,ESTIMATIVA[[#This Row],[CD_UPNIVEL1]],IRRIGADO!E:E,ESTIMATIVA[[#This Row],[CD_UPNIVEL3]]),"")</f>
        <v/>
      </c>
      <c r="AJ142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22" s="1">
        <f>COUNTIFS(Apresentação!$E$23:$E$29,ESTIMATIVA[[#This Row],[CD_UPNIVEL1]])</f>
        <v>0</v>
      </c>
    </row>
    <row r="1423" spans="1:37" x14ac:dyDescent="0.3">
      <c r="A1423">
        <v>20569</v>
      </c>
      <c r="B1423" t="s">
        <v>82</v>
      </c>
      <c r="C1423">
        <v>25</v>
      </c>
      <c r="D1423">
        <v>7</v>
      </c>
      <c r="E1423" t="s">
        <v>270</v>
      </c>
      <c r="F1423" s="85" t="s">
        <v>331</v>
      </c>
      <c r="G1423"/>
      <c r="H1423" t="s">
        <v>295</v>
      </c>
      <c r="I1423" t="s">
        <v>208</v>
      </c>
      <c r="J1423" t="s">
        <v>176</v>
      </c>
      <c r="K1423" s="1">
        <v>2.93</v>
      </c>
      <c r="L1423" s="1">
        <v>0</v>
      </c>
      <c r="M1423" s="1">
        <v>0</v>
      </c>
      <c r="N1423" s="1">
        <v>2.93</v>
      </c>
      <c r="O1423" s="1">
        <v>205.1</v>
      </c>
      <c r="P1423" s="1">
        <v>0</v>
      </c>
      <c r="Q1423" s="1">
        <v>0</v>
      </c>
      <c r="R1423" s="1">
        <v>208</v>
      </c>
      <c r="S1423" t="s">
        <v>12</v>
      </c>
      <c r="T1423" s="13">
        <v>45872</v>
      </c>
      <c r="U1423" s="1" t="str">
        <f>IF(ESTIMATIVA[[#This Row],[QT_AREA_REAL]]&gt;0,"1- Colhido","2- à Colher")</f>
        <v>1- Colhido</v>
      </c>
      <c r="V1423" s="1" t="str">
        <f>IF(ESTIMATIVA[[#This Row],[QT_AREA_REST1]]&gt;0,"Reestimativa 1",IF(ESTIMATIVA[[#This Row],[QT_AREA_REAL]]=0,"Reestimativa 1","Realizado"))</f>
        <v>Realizado</v>
      </c>
      <c r="W1423" s="1" t="str">
        <f>IF(ESTIMATIVA[[#This Row],[QT_AREA_REST2]]&gt;0,"Reestimativa 2",IF(ESTIMATIVA[[#This Row],[QT_AREA_REAL]]=0,"Reestimativa 2","Realizado"))</f>
        <v>Realizado</v>
      </c>
      <c r="X1423" s="1">
        <f>ESTIMATIVA[[#This Row],[QT_AREA_EST]]</f>
        <v>2.93</v>
      </c>
      <c r="Y1423" s="1">
        <f>IF(ESTIMATIVA[[#This Row],[QT_AREA_REST1]]&gt;0,ESTIMATIVA[[#This Row],[QT_AREA_REST1]],
  IF(ESTIMATIVA[[#This Row],[QT_AREA_REAL]]&gt;0,ESTIMATIVA[[#This Row],[QT_AREA_REAL]],ESTIMATIVA[[#This Row],[QT_AREA_EST]]))</f>
        <v>2.93</v>
      </c>
      <c r="Z142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2.93</v>
      </c>
      <c r="AA1423" s="1">
        <f>ESTIMATIVA[[#This Row],[QT_CANA_EST]]</f>
        <v>205.1</v>
      </c>
      <c r="AB1423" s="1">
        <f>IF(ESTIMATIVA[[#This Row],[QT_CANA_REST1]]&gt;0,ESTIMATIVA[[#This Row],[QT_CANA_REST1]],
  IF(ESTIMATIVA[[#This Row],[QT_CANA_REAL]]&gt;0,ESTIMATIVA[[#This Row],[QT_CANA_REAL]],ESTIMATIVA[[#This Row],[QT_CANA_EST]]))</f>
        <v>208</v>
      </c>
      <c r="AC142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208</v>
      </c>
      <c r="AD1423" s="1">
        <f>IF(ESTIMATIVA[[#This Row],[QT_AREA_REAL]]&gt;0,ESTIMATIVA[[#This Row],[QT_CANA_REAL]],ESTIMATIVA[[#This Row],[QT_CANA_EST]])</f>
        <v>208</v>
      </c>
      <c r="AE1423" s="1">
        <f>IF(ESTIMATIVA[[#This Row],[QT_AREA_REAL]]&gt;0,ESTIMATIVA[[#This Row],[QT_CANA_REAL]],ESTIMATIVA[[#This Row],[QT_CANA_REST1]])</f>
        <v>208</v>
      </c>
      <c r="AF1423" s="1">
        <f>IF(ESTIMATIVA[[#This Row],[QT_AREA_REAL]]&gt;0,ESTIMATIVA[[#This Row],[QT_CANA_REAL]],ESTIMATIVA[[#This Row],[QT_CANA_REST2]])</f>
        <v>208</v>
      </c>
      <c r="AG1423" s="1" t="str">
        <f>IF(COUNTIFS(GEADA!A:A,VALUE(ESTIMATIVA[[#This Row],[CD_UPNIVEL1]]&amp;TEXT(ESTIMATIVA[[#This Row],[CD_UPNIVEL3]],"0000")))&gt;0,"S","N")</f>
        <v>N</v>
      </c>
      <c r="AH142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23" s="55" t="str">
        <f>IF(ESTIMATIVA[[#This Row],[TP_CULTIVO]]="Irrigado",_xlfn.MAXIFS(IRRIGADO!J:J,IRRIGADO!C:C,ESTIMATIVA[[#This Row],[CD_UPNIVEL1]],IRRIGADO!E:E,ESTIMATIVA[[#This Row],[CD_UPNIVEL3]]),"")</f>
        <v/>
      </c>
      <c r="AJ142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23" s="1">
        <f>COUNTIFS(Apresentação!$E$23:$E$29,ESTIMATIVA[[#This Row],[CD_UPNIVEL1]])</f>
        <v>0</v>
      </c>
    </row>
    <row r="1424" spans="1:37" x14ac:dyDescent="0.3">
      <c r="A1424">
        <v>20569</v>
      </c>
      <c r="B1424" t="s">
        <v>82</v>
      </c>
      <c r="C1424">
        <v>26</v>
      </c>
      <c r="D1424">
        <v>7</v>
      </c>
      <c r="E1424" t="s">
        <v>270</v>
      </c>
      <c r="F1424" s="85" t="s">
        <v>331</v>
      </c>
      <c r="G1424"/>
      <c r="H1424" t="s">
        <v>295</v>
      </c>
      <c r="I1424" t="s">
        <v>208</v>
      </c>
      <c r="J1424" t="s">
        <v>176</v>
      </c>
      <c r="K1424" s="1">
        <v>0.85</v>
      </c>
      <c r="L1424" s="1">
        <v>0</v>
      </c>
      <c r="M1424" s="1">
        <v>0</v>
      </c>
      <c r="N1424" s="1">
        <v>0.85</v>
      </c>
      <c r="O1424" s="1">
        <v>59.5</v>
      </c>
      <c r="P1424" s="1">
        <v>0</v>
      </c>
      <c r="Q1424" s="1">
        <v>0</v>
      </c>
      <c r="R1424" s="1">
        <v>60.65</v>
      </c>
      <c r="S1424" t="s">
        <v>12</v>
      </c>
      <c r="T1424" s="13">
        <v>45872</v>
      </c>
      <c r="U1424" s="1" t="str">
        <f>IF(ESTIMATIVA[[#This Row],[QT_AREA_REAL]]&gt;0,"1- Colhido","2- à Colher")</f>
        <v>1- Colhido</v>
      </c>
      <c r="V1424" s="1" t="str">
        <f>IF(ESTIMATIVA[[#This Row],[QT_AREA_REST1]]&gt;0,"Reestimativa 1",IF(ESTIMATIVA[[#This Row],[QT_AREA_REAL]]=0,"Reestimativa 1","Realizado"))</f>
        <v>Realizado</v>
      </c>
      <c r="W1424" s="1" t="str">
        <f>IF(ESTIMATIVA[[#This Row],[QT_AREA_REST2]]&gt;0,"Reestimativa 2",IF(ESTIMATIVA[[#This Row],[QT_AREA_REAL]]=0,"Reestimativa 2","Realizado"))</f>
        <v>Realizado</v>
      </c>
      <c r="X1424" s="1">
        <f>ESTIMATIVA[[#This Row],[QT_AREA_EST]]</f>
        <v>0.85</v>
      </c>
      <c r="Y1424" s="1">
        <f>IF(ESTIMATIVA[[#This Row],[QT_AREA_REST1]]&gt;0,ESTIMATIVA[[#This Row],[QT_AREA_REST1]],
  IF(ESTIMATIVA[[#This Row],[QT_AREA_REAL]]&gt;0,ESTIMATIVA[[#This Row],[QT_AREA_REAL]],ESTIMATIVA[[#This Row],[QT_AREA_EST]]))</f>
        <v>0.85</v>
      </c>
      <c r="Z142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0.85</v>
      </c>
      <c r="AA1424" s="1">
        <f>ESTIMATIVA[[#This Row],[QT_CANA_EST]]</f>
        <v>59.5</v>
      </c>
      <c r="AB1424" s="1">
        <f>IF(ESTIMATIVA[[#This Row],[QT_CANA_REST1]]&gt;0,ESTIMATIVA[[#This Row],[QT_CANA_REST1]],
  IF(ESTIMATIVA[[#This Row],[QT_CANA_REAL]]&gt;0,ESTIMATIVA[[#This Row],[QT_CANA_REAL]],ESTIMATIVA[[#This Row],[QT_CANA_EST]]))</f>
        <v>60.65</v>
      </c>
      <c r="AC142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60.65</v>
      </c>
      <c r="AD1424" s="1">
        <f>IF(ESTIMATIVA[[#This Row],[QT_AREA_REAL]]&gt;0,ESTIMATIVA[[#This Row],[QT_CANA_REAL]],ESTIMATIVA[[#This Row],[QT_CANA_EST]])</f>
        <v>60.65</v>
      </c>
      <c r="AE1424" s="1">
        <f>IF(ESTIMATIVA[[#This Row],[QT_AREA_REAL]]&gt;0,ESTIMATIVA[[#This Row],[QT_CANA_REAL]],ESTIMATIVA[[#This Row],[QT_CANA_REST1]])</f>
        <v>60.65</v>
      </c>
      <c r="AF1424" s="1">
        <f>IF(ESTIMATIVA[[#This Row],[QT_AREA_REAL]]&gt;0,ESTIMATIVA[[#This Row],[QT_CANA_REAL]],ESTIMATIVA[[#This Row],[QT_CANA_REST2]])</f>
        <v>60.65</v>
      </c>
      <c r="AG1424" s="1" t="str">
        <f>IF(COUNTIFS(GEADA!A:A,VALUE(ESTIMATIVA[[#This Row],[CD_UPNIVEL1]]&amp;TEXT(ESTIMATIVA[[#This Row],[CD_UPNIVEL3]],"0000")))&gt;0,"S","N")</f>
        <v>N</v>
      </c>
      <c r="AH142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24" s="55" t="str">
        <f>IF(ESTIMATIVA[[#This Row],[TP_CULTIVO]]="Irrigado",_xlfn.MAXIFS(IRRIGADO!J:J,IRRIGADO!C:C,ESTIMATIVA[[#This Row],[CD_UPNIVEL1]],IRRIGADO!E:E,ESTIMATIVA[[#This Row],[CD_UPNIVEL3]]),"")</f>
        <v/>
      </c>
      <c r="AJ142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24" s="1">
        <f>COUNTIFS(Apresentação!$E$23:$E$29,ESTIMATIVA[[#This Row],[CD_UPNIVEL1]])</f>
        <v>0</v>
      </c>
    </row>
    <row r="1425" spans="1:37" x14ac:dyDescent="0.3">
      <c r="A1425">
        <v>20569</v>
      </c>
      <c r="B1425" t="s">
        <v>82</v>
      </c>
      <c r="C1425">
        <v>27</v>
      </c>
      <c r="D1425">
        <v>7</v>
      </c>
      <c r="E1425" t="s">
        <v>270</v>
      </c>
      <c r="F1425" s="85" t="s">
        <v>331</v>
      </c>
      <c r="G1425"/>
      <c r="H1425" t="s">
        <v>295</v>
      </c>
      <c r="I1425" t="s">
        <v>208</v>
      </c>
      <c r="J1425" t="s">
        <v>176</v>
      </c>
      <c r="K1425" s="1">
        <v>0.64</v>
      </c>
      <c r="L1425" s="1">
        <v>0</v>
      </c>
      <c r="M1425" s="1">
        <v>0</v>
      </c>
      <c r="N1425" s="1">
        <v>0.64</v>
      </c>
      <c r="O1425" s="1">
        <v>44.8</v>
      </c>
      <c r="P1425" s="1">
        <v>0</v>
      </c>
      <c r="Q1425" s="1">
        <v>0</v>
      </c>
      <c r="R1425" s="1">
        <v>45.8</v>
      </c>
      <c r="S1425" t="s">
        <v>12</v>
      </c>
      <c r="T1425" s="13">
        <v>45872</v>
      </c>
      <c r="U1425" s="1" t="str">
        <f>IF(ESTIMATIVA[[#This Row],[QT_AREA_REAL]]&gt;0,"1- Colhido","2- à Colher")</f>
        <v>1- Colhido</v>
      </c>
      <c r="V1425" s="1" t="str">
        <f>IF(ESTIMATIVA[[#This Row],[QT_AREA_REST1]]&gt;0,"Reestimativa 1",IF(ESTIMATIVA[[#This Row],[QT_AREA_REAL]]=0,"Reestimativa 1","Realizado"))</f>
        <v>Realizado</v>
      </c>
      <c r="W1425" s="1" t="str">
        <f>IF(ESTIMATIVA[[#This Row],[QT_AREA_REST2]]&gt;0,"Reestimativa 2",IF(ESTIMATIVA[[#This Row],[QT_AREA_REAL]]=0,"Reestimativa 2","Realizado"))</f>
        <v>Realizado</v>
      </c>
      <c r="X1425" s="1">
        <f>ESTIMATIVA[[#This Row],[QT_AREA_EST]]</f>
        <v>0.64</v>
      </c>
      <c r="Y1425" s="1">
        <f>IF(ESTIMATIVA[[#This Row],[QT_AREA_REST1]]&gt;0,ESTIMATIVA[[#This Row],[QT_AREA_REST1]],
  IF(ESTIMATIVA[[#This Row],[QT_AREA_REAL]]&gt;0,ESTIMATIVA[[#This Row],[QT_AREA_REAL]],ESTIMATIVA[[#This Row],[QT_AREA_EST]]))</f>
        <v>0.64</v>
      </c>
      <c r="Z142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0.64</v>
      </c>
      <c r="AA1425" s="1">
        <f>ESTIMATIVA[[#This Row],[QT_CANA_EST]]</f>
        <v>44.8</v>
      </c>
      <c r="AB1425" s="1">
        <f>IF(ESTIMATIVA[[#This Row],[QT_CANA_REST1]]&gt;0,ESTIMATIVA[[#This Row],[QT_CANA_REST1]],
  IF(ESTIMATIVA[[#This Row],[QT_CANA_REAL]]&gt;0,ESTIMATIVA[[#This Row],[QT_CANA_REAL]],ESTIMATIVA[[#This Row],[QT_CANA_EST]]))</f>
        <v>45.8</v>
      </c>
      <c r="AC142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45.8</v>
      </c>
      <c r="AD1425" s="1">
        <f>IF(ESTIMATIVA[[#This Row],[QT_AREA_REAL]]&gt;0,ESTIMATIVA[[#This Row],[QT_CANA_REAL]],ESTIMATIVA[[#This Row],[QT_CANA_EST]])</f>
        <v>45.8</v>
      </c>
      <c r="AE1425" s="1">
        <f>IF(ESTIMATIVA[[#This Row],[QT_AREA_REAL]]&gt;0,ESTIMATIVA[[#This Row],[QT_CANA_REAL]],ESTIMATIVA[[#This Row],[QT_CANA_REST1]])</f>
        <v>45.8</v>
      </c>
      <c r="AF1425" s="1">
        <f>IF(ESTIMATIVA[[#This Row],[QT_AREA_REAL]]&gt;0,ESTIMATIVA[[#This Row],[QT_CANA_REAL]],ESTIMATIVA[[#This Row],[QT_CANA_REST2]])</f>
        <v>45.8</v>
      </c>
      <c r="AG1425" s="1" t="str">
        <f>IF(COUNTIFS(GEADA!A:A,VALUE(ESTIMATIVA[[#This Row],[CD_UPNIVEL1]]&amp;TEXT(ESTIMATIVA[[#This Row],[CD_UPNIVEL3]],"0000")))&gt;0,"S","N")</f>
        <v>N</v>
      </c>
      <c r="AH142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25" s="55" t="str">
        <f>IF(ESTIMATIVA[[#This Row],[TP_CULTIVO]]="Irrigado",_xlfn.MAXIFS(IRRIGADO!J:J,IRRIGADO!C:C,ESTIMATIVA[[#This Row],[CD_UPNIVEL1]],IRRIGADO!E:E,ESTIMATIVA[[#This Row],[CD_UPNIVEL3]]),"")</f>
        <v/>
      </c>
      <c r="AJ142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25" s="1">
        <f>COUNTIFS(Apresentação!$E$23:$E$29,ESTIMATIVA[[#This Row],[CD_UPNIVEL1]])</f>
        <v>0</v>
      </c>
    </row>
    <row r="1426" spans="1:37" x14ac:dyDescent="0.3">
      <c r="A1426">
        <v>20569</v>
      </c>
      <c r="B1426" t="s">
        <v>82</v>
      </c>
      <c r="C1426">
        <v>28</v>
      </c>
      <c r="D1426">
        <v>7</v>
      </c>
      <c r="E1426" t="s">
        <v>270</v>
      </c>
      <c r="F1426" s="85" t="s">
        <v>332</v>
      </c>
      <c r="G1426"/>
      <c r="H1426" t="s">
        <v>295</v>
      </c>
      <c r="I1426" t="s">
        <v>208</v>
      </c>
      <c r="J1426" t="s">
        <v>176</v>
      </c>
      <c r="K1426" s="1">
        <v>2.65</v>
      </c>
      <c r="L1426" s="1">
        <v>0</v>
      </c>
      <c r="M1426" s="1">
        <v>0</v>
      </c>
      <c r="N1426" s="1">
        <v>2.65</v>
      </c>
      <c r="O1426" s="1">
        <v>159</v>
      </c>
      <c r="P1426" s="1">
        <v>0</v>
      </c>
      <c r="Q1426" s="1">
        <v>0</v>
      </c>
      <c r="R1426" s="1">
        <v>160.93</v>
      </c>
      <c r="S1426" t="s">
        <v>12</v>
      </c>
      <c r="T1426" s="13">
        <v>45872</v>
      </c>
      <c r="U1426" s="1" t="str">
        <f>IF(ESTIMATIVA[[#This Row],[QT_AREA_REAL]]&gt;0,"1- Colhido","2- à Colher")</f>
        <v>1- Colhido</v>
      </c>
      <c r="V1426" s="1" t="str">
        <f>IF(ESTIMATIVA[[#This Row],[QT_AREA_REST1]]&gt;0,"Reestimativa 1",IF(ESTIMATIVA[[#This Row],[QT_AREA_REAL]]=0,"Reestimativa 1","Realizado"))</f>
        <v>Realizado</v>
      </c>
      <c r="W1426" s="1" t="str">
        <f>IF(ESTIMATIVA[[#This Row],[QT_AREA_REST2]]&gt;0,"Reestimativa 2",IF(ESTIMATIVA[[#This Row],[QT_AREA_REAL]]=0,"Reestimativa 2","Realizado"))</f>
        <v>Realizado</v>
      </c>
      <c r="X1426" s="1">
        <f>ESTIMATIVA[[#This Row],[QT_AREA_EST]]</f>
        <v>2.65</v>
      </c>
      <c r="Y1426" s="1">
        <f>IF(ESTIMATIVA[[#This Row],[QT_AREA_REST1]]&gt;0,ESTIMATIVA[[#This Row],[QT_AREA_REST1]],
  IF(ESTIMATIVA[[#This Row],[QT_AREA_REAL]]&gt;0,ESTIMATIVA[[#This Row],[QT_AREA_REAL]],ESTIMATIVA[[#This Row],[QT_AREA_EST]]))</f>
        <v>2.65</v>
      </c>
      <c r="Z142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2.65</v>
      </c>
      <c r="AA1426" s="1">
        <f>ESTIMATIVA[[#This Row],[QT_CANA_EST]]</f>
        <v>159</v>
      </c>
      <c r="AB1426" s="1">
        <f>IF(ESTIMATIVA[[#This Row],[QT_CANA_REST1]]&gt;0,ESTIMATIVA[[#This Row],[QT_CANA_REST1]],
  IF(ESTIMATIVA[[#This Row],[QT_CANA_REAL]]&gt;0,ESTIMATIVA[[#This Row],[QT_CANA_REAL]],ESTIMATIVA[[#This Row],[QT_CANA_EST]]))</f>
        <v>160.93</v>
      </c>
      <c r="AC142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160.93</v>
      </c>
      <c r="AD1426" s="1">
        <f>IF(ESTIMATIVA[[#This Row],[QT_AREA_REAL]]&gt;0,ESTIMATIVA[[#This Row],[QT_CANA_REAL]],ESTIMATIVA[[#This Row],[QT_CANA_EST]])</f>
        <v>160.93</v>
      </c>
      <c r="AE1426" s="1">
        <f>IF(ESTIMATIVA[[#This Row],[QT_AREA_REAL]]&gt;0,ESTIMATIVA[[#This Row],[QT_CANA_REAL]],ESTIMATIVA[[#This Row],[QT_CANA_REST1]])</f>
        <v>160.93</v>
      </c>
      <c r="AF1426" s="1">
        <f>IF(ESTIMATIVA[[#This Row],[QT_AREA_REAL]]&gt;0,ESTIMATIVA[[#This Row],[QT_CANA_REAL]],ESTIMATIVA[[#This Row],[QT_CANA_REST2]])</f>
        <v>160.93</v>
      </c>
      <c r="AG1426" s="1" t="str">
        <f>IF(COUNTIFS(GEADA!A:A,VALUE(ESTIMATIVA[[#This Row],[CD_UPNIVEL1]]&amp;TEXT(ESTIMATIVA[[#This Row],[CD_UPNIVEL3]],"0000")))&gt;0,"S","N")</f>
        <v>N</v>
      </c>
      <c r="AH142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26" s="55" t="str">
        <f>IF(ESTIMATIVA[[#This Row],[TP_CULTIVO]]="Irrigado",_xlfn.MAXIFS(IRRIGADO!J:J,IRRIGADO!C:C,ESTIMATIVA[[#This Row],[CD_UPNIVEL1]],IRRIGADO!E:E,ESTIMATIVA[[#This Row],[CD_UPNIVEL3]]),"")</f>
        <v/>
      </c>
      <c r="AJ142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26" s="1">
        <f>COUNTIFS(Apresentação!$E$23:$E$29,ESTIMATIVA[[#This Row],[CD_UPNIVEL1]])</f>
        <v>0</v>
      </c>
    </row>
    <row r="1427" spans="1:37" x14ac:dyDescent="0.3">
      <c r="A1427">
        <v>20569</v>
      </c>
      <c r="B1427" t="s">
        <v>82</v>
      </c>
      <c r="C1427">
        <v>29</v>
      </c>
      <c r="D1427">
        <v>7</v>
      </c>
      <c r="E1427" t="s">
        <v>270</v>
      </c>
      <c r="F1427" s="85" t="s">
        <v>331</v>
      </c>
      <c r="G1427"/>
      <c r="H1427" t="s">
        <v>295</v>
      </c>
      <c r="I1427" t="s">
        <v>208</v>
      </c>
      <c r="J1427" t="s">
        <v>176</v>
      </c>
      <c r="K1427" s="1">
        <v>0.89</v>
      </c>
      <c r="L1427" s="1">
        <v>0</v>
      </c>
      <c r="M1427" s="1">
        <v>0</v>
      </c>
      <c r="N1427" s="1">
        <v>0.89</v>
      </c>
      <c r="O1427" s="1">
        <v>53.4</v>
      </c>
      <c r="P1427" s="1">
        <v>0</v>
      </c>
      <c r="Q1427" s="1">
        <v>0</v>
      </c>
      <c r="R1427" s="1">
        <v>53.82</v>
      </c>
      <c r="S1427" t="s">
        <v>12</v>
      </c>
      <c r="T1427" s="13">
        <v>45872</v>
      </c>
      <c r="U1427" s="1" t="str">
        <f>IF(ESTIMATIVA[[#This Row],[QT_AREA_REAL]]&gt;0,"1- Colhido","2- à Colher")</f>
        <v>1- Colhido</v>
      </c>
      <c r="V1427" s="1" t="str">
        <f>IF(ESTIMATIVA[[#This Row],[QT_AREA_REST1]]&gt;0,"Reestimativa 1",IF(ESTIMATIVA[[#This Row],[QT_AREA_REAL]]=0,"Reestimativa 1","Realizado"))</f>
        <v>Realizado</v>
      </c>
      <c r="W1427" s="1" t="str">
        <f>IF(ESTIMATIVA[[#This Row],[QT_AREA_REST2]]&gt;0,"Reestimativa 2",IF(ESTIMATIVA[[#This Row],[QT_AREA_REAL]]=0,"Reestimativa 2","Realizado"))</f>
        <v>Realizado</v>
      </c>
      <c r="X1427" s="1">
        <f>ESTIMATIVA[[#This Row],[QT_AREA_EST]]</f>
        <v>0.89</v>
      </c>
      <c r="Y1427" s="1">
        <f>IF(ESTIMATIVA[[#This Row],[QT_AREA_REST1]]&gt;0,ESTIMATIVA[[#This Row],[QT_AREA_REST1]],
  IF(ESTIMATIVA[[#This Row],[QT_AREA_REAL]]&gt;0,ESTIMATIVA[[#This Row],[QT_AREA_REAL]],ESTIMATIVA[[#This Row],[QT_AREA_EST]]))</f>
        <v>0.89</v>
      </c>
      <c r="Z142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0.89</v>
      </c>
      <c r="AA1427" s="1">
        <f>ESTIMATIVA[[#This Row],[QT_CANA_EST]]</f>
        <v>53.4</v>
      </c>
      <c r="AB1427" s="1">
        <f>IF(ESTIMATIVA[[#This Row],[QT_CANA_REST1]]&gt;0,ESTIMATIVA[[#This Row],[QT_CANA_REST1]],
  IF(ESTIMATIVA[[#This Row],[QT_CANA_REAL]]&gt;0,ESTIMATIVA[[#This Row],[QT_CANA_REAL]],ESTIMATIVA[[#This Row],[QT_CANA_EST]]))</f>
        <v>53.82</v>
      </c>
      <c r="AC142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53.82</v>
      </c>
      <c r="AD1427" s="1">
        <f>IF(ESTIMATIVA[[#This Row],[QT_AREA_REAL]]&gt;0,ESTIMATIVA[[#This Row],[QT_CANA_REAL]],ESTIMATIVA[[#This Row],[QT_CANA_EST]])</f>
        <v>53.82</v>
      </c>
      <c r="AE1427" s="1">
        <f>IF(ESTIMATIVA[[#This Row],[QT_AREA_REAL]]&gt;0,ESTIMATIVA[[#This Row],[QT_CANA_REAL]],ESTIMATIVA[[#This Row],[QT_CANA_REST1]])</f>
        <v>53.82</v>
      </c>
      <c r="AF1427" s="1">
        <f>IF(ESTIMATIVA[[#This Row],[QT_AREA_REAL]]&gt;0,ESTIMATIVA[[#This Row],[QT_CANA_REAL]],ESTIMATIVA[[#This Row],[QT_CANA_REST2]])</f>
        <v>53.82</v>
      </c>
      <c r="AG1427" s="1" t="str">
        <f>IF(COUNTIFS(GEADA!A:A,VALUE(ESTIMATIVA[[#This Row],[CD_UPNIVEL1]]&amp;TEXT(ESTIMATIVA[[#This Row],[CD_UPNIVEL3]],"0000")))&gt;0,"S","N")</f>
        <v>N</v>
      </c>
      <c r="AH142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27" s="55" t="str">
        <f>IF(ESTIMATIVA[[#This Row],[TP_CULTIVO]]="Irrigado",_xlfn.MAXIFS(IRRIGADO!J:J,IRRIGADO!C:C,ESTIMATIVA[[#This Row],[CD_UPNIVEL1]],IRRIGADO!E:E,ESTIMATIVA[[#This Row],[CD_UPNIVEL3]]),"")</f>
        <v/>
      </c>
      <c r="AJ142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27" s="1">
        <f>COUNTIFS(Apresentação!$E$23:$E$29,ESTIMATIVA[[#This Row],[CD_UPNIVEL1]])</f>
        <v>0</v>
      </c>
    </row>
    <row r="1428" spans="1:37" x14ac:dyDescent="0.3">
      <c r="A1428">
        <v>20569</v>
      </c>
      <c r="B1428" t="s">
        <v>82</v>
      </c>
      <c r="C1428">
        <v>30</v>
      </c>
      <c r="D1428">
        <v>7</v>
      </c>
      <c r="E1428" t="s">
        <v>270</v>
      </c>
      <c r="F1428" s="85" t="s">
        <v>331</v>
      </c>
      <c r="G1428"/>
      <c r="H1428" t="s">
        <v>295</v>
      </c>
      <c r="I1428" t="s">
        <v>208</v>
      </c>
      <c r="J1428" t="s">
        <v>176</v>
      </c>
      <c r="K1428" s="1">
        <v>1.26</v>
      </c>
      <c r="L1428" s="1">
        <v>0</v>
      </c>
      <c r="M1428" s="1">
        <v>0</v>
      </c>
      <c r="N1428" s="1">
        <v>1.26</v>
      </c>
      <c r="O1428" s="1">
        <v>75.599999999999994</v>
      </c>
      <c r="P1428" s="1">
        <v>0</v>
      </c>
      <c r="Q1428" s="1">
        <v>0</v>
      </c>
      <c r="R1428" s="1">
        <v>76.66</v>
      </c>
      <c r="S1428" t="s">
        <v>12</v>
      </c>
      <c r="T1428" s="13">
        <v>45872</v>
      </c>
      <c r="U1428" s="1" t="str">
        <f>IF(ESTIMATIVA[[#This Row],[QT_AREA_REAL]]&gt;0,"1- Colhido","2- à Colher")</f>
        <v>1- Colhido</v>
      </c>
      <c r="V1428" s="1" t="str">
        <f>IF(ESTIMATIVA[[#This Row],[QT_AREA_REST1]]&gt;0,"Reestimativa 1",IF(ESTIMATIVA[[#This Row],[QT_AREA_REAL]]=0,"Reestimativa 1","Realizado"))</f>
        <v>Realizado</v>
      </c>
      <c r="W1428" s="1" t="str">
        <f>IF(ESTIMATIVA[[#This Row],[QT_AREA_REST2]]&gt;0,"Reestimativa 2",IF(ESTIMATIVA[[#This Row],[QT_AREA_REAL]]=0,"Reestimativa 2","Realizado"))</f>
        <v>Realizado</v>
      </c>
      <c r="X1428" s="1">
        <f>ESTIMATIVA[[#This Row],[QT_AREA_EST]]</f>
        <v>1.26</v>
      </c>
      <c r="Y1428" s="1">
        <f>IF(ESTIMATIVA[[#This Row],[QT_AREA_REST1]]&gt;0,ESTIMATIVA[[#This Row],[QT_AREA_REST1]],
  IF(ESTIMATIVA[[#This Row],[QT_AREA_REAL]]&gt;0,ESTIMATIVA[[#This Row],[QT_AREA_REAL]],ESTIMATIVA[[#This Row],[QT_AREA_EST]]))</f>
        <v>1.26</v>
      </c>
      <c r="Z142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1.26</v>
      </c>
      <c r="AA1428" s="1">
        <f>ESTIMATIVA[[#This Row],[QT_CANA_EST]]</f>
        <v>75.599999999999994</v>
      </c>
      <c r="AB1428" s="1">
        <f>IF(ESTIMATIVA[[#This Row],[QT_CANA_REST1]]&gt;0,ESTIMATIVA[[#This Row],[QT_CANA_REST1]],
  IF(ESTIMATIVA[[#This Row],[QT_CANA_REAL]]&gt;0,ESTIMATIVA[[#This Row],[QT_CANA_REAL]],ESTIMATIVA[[#This Row],[QT_CANA_EST]]))</f>
        <v>76.66</v>
      </c>
      <c r="AC142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76.66</v>
      </c>
      <c r="AD1428" s="1">
        <f>IF(ESTIMATIVA[[#This Row],[QT_AREA_REAL]]&gt;0,ESTIMATIVA[[#This Row],[QT_CANA_REAL]],ESTIMATIVA[[#This Row],[QT_CANA_EST]])</f>
        <v>76.66</v>
      </c>
      <c r="AE1428" s="1">
        <f>IF(ESTIMATIVA[[#This Row],[QT_AREA_REAL]]&gt;0,ESTIMATIVA[[#This Row],[QT_CANA_REAL]],ESTIMATIVA[[#This Row],[QT_CANA_REST1]])</f>
        <v>76.66</v>
      </c>
      <c r="AF1428" s="1">
        <f>IF(ESTIMATIVA[[#This Row],[QT_AREA_REAL]]&gt;0,ESTIMATIVA[[#This Row],[QT_CANA_REAL]],ESTIMATIVA[[#This Row],[QT_CANA_REST2]])</f>
        <v>76.66</v>
      </c>
      <c r="AG1428" s="1" t="str">
        <f>IF(COUNTIFS(GEADA!A:A,VALUE(ESTIMATIVA[[#This Row],[CD_UPNIVEL1]]&amp;TEXT(ESTIMATIVA[[#This Row],[CD_UPNIVEL3]],"0000")))&gt;0,"S","N")</f>
        <v>N</v>
      </c>
      <c r="AH142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28" s="55" t="str">
        <f>IF(ESTIMATIVA[[#This Row],[TP_CULTIVO]]="Irrigado",_xlfn.MAXIFS(IRRIGADO!J:J,IRRIGADO!C:C,ESTIMATIVA[[#This Row],[CD_UPNIVEL1]],IRRIGADO!E:E,ESTIMATIVA[[#This Row],[CD_UPNIVEL3]]),"")</f>
        <v/>
      </c>
      <c r="AJ142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28" s="1">
        <f>COUNTIFS(Apresentação!$E$23:$E$29,ESTIMATIVA[[#This Row],[CD_UPNIVEL1]])</f>
        <v>0</v>
      </c>
    </row>
    <row r="1429" spans="1:37" x14ac:dyDescent="0.3">
      <c r="A1429">
        <v>20569</v>
      </c>
      <c r="B1429" t="s">
        <v>82</v>
      </c>
      <c r="C1429">
        <v>31</v>
      </c>
      <c r="D1429">
        <v>7</v>
      </c>
      <c r="E1429" t="s">
        <v>270</v>
      </c>
      <c r="F1429" s="85" t="s">
        <v>332</v>
      </c>
      <c r="G1429"/>
      <c r="H1429" t="s">
        <v>295</v>
      </c>
      <c r="I1429" t="s">
        <v>208</v>
      </c>
      <c r="J1429" t="s">
        <v>176</v>
      </c>
      <c r="K1429" s="1">
        <v>1.5</v>
      </c>
      <c r="L1429" s="1">
        <v>0</v>
      </c>
      <c r="M1429" s="1">
        <v>0</v>
      </c>
      <c r="N1429" s="1">
        <v>1.5</v>
      </c>
      <c r="O1429" s="1">
        <v>90</v>
      </c>
      <c r="P1429" s="1">
        <v>0</v>
      </c>
      <c r="Q1429" s="1">
        <v>0</v>
      </c>
      <c r="R1429" s="1">
        <v>91.71</v>
      </c>
      <c r="S1429" t="s">
        <v>12</v>
      </c>
      <c r="T1429" s="13">
        <v>45872</v>
      </c>
      <c r="U1429" s="1" t="str">
        <f>IF(ESTIMATIVA[[#This Row],[QT_AREA_REAL]]&gt;0,"1- Colhido","2- à Colher")</f>
        <v>1- Colhido</v>
      </c>
      <c r="V1429" s="1" t="str">
        <f>IF(ESTIMATIVA[[#This Row],[QT_AREA_REST1]]&gt;0,"Reestimativa 1",IF(ESTIMATIVA[[#This Row],[QT_AREA_REAL]]=0,"Reestimativa 1","Realizado"))</f>
        <v>Realizado</v>
      </c>
      <c r="W1429" s="1" t="str">
        <f>IF(ESTIMATIVA[[#This Row],[QT_AREA_REST2]]&gt;0,"Reestimativa 2",IF(ESTIMATIVA[[#This Row],[QT_AREA_REAL]]=0,"Reestimativa 2","Realizado"))</f>
        <v>Realizado</v>
      </c>
      <c r="X1429" s="1">
        <f>ESTIMATIVA[[#This Row],[QT_AREA_EST]]</f>
        <v>1.5</v>
      </c>
      <c r="Y1429" s="1">
        <f>IF(ESTIMATIVA[[#This Row],[QT_AREA_REST1]]&gt;0,ESTIMATIVA[[#This Row],[QT_AREA_REST1]],
  IF(ESTIMATIVA[[#This Row],[QT_AREA_REAL]]&gt;0,ESTIMATIVA[[#This Row],[QT_AREA_REAL]],ESTIMATIVA[[#This Row],[QT_AREA_EST]]))</f>
        <v>1.5</v>
      </c>
      <c r="Z142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1.5</v>
      </c>
      <c r="AA1429" s="1">
        <f>ESTIMATIVA[[#This Row],[QT_CANA_EST]]</f>
        <v>90</v>
      </c>
      <c r="AB1429" s="1">
        <f>IF(ESTIMATIVA[[#This Row],[QT_CANA_REST1]]&gt;0,ESTIMATIVA[[#This Row],[QT_CANA_REST1]],
  IF(ESTIMATIVA[[#This Row],[QT_CANA_REAL]]&gt;0,ESTIMATIVA[[#This Row],[QT_CANA_REAL]],ESTIMATIVA[[#This Row],[QT_CANA_EST]]))</f>
        <v>91.71</v>
      </c>
      <c r="AC142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91.71</v>
      </c>
      <c r="AD1429" s="1">
        <f>IF(ESTIMATIVA[[#This Row],[QT_AREA_REAL]]&gt;0,ESTIMATIVA[[#This Row],[QT_CANA_REAL]],ESTIMATIVA[[#This Row],[QT_CANA_EST]])</f>
        <v>91.71</v>
      </c>
      <c r="AE1429" s="1">
        <f>IF(ESTIMATIVA[[#This Row],[QT_AREA_REAL]]&gt;0,ESTIMATIVA[[#This Row],[QT_CANA_REAL]],ESTIMATIVA[[#This Row],[QT_CANA_REST1]])</f>
        <v>91.71</v>
      </c>
      <c r="AF1429" s="1">
        <f>IF(ESTIMATIVA[[#This Row],[QT_AREA_REAL]]&gt;0,ESTIMATIVA[[#This Row],[QT_CANA_REAL]],ESTIMATIVA[[#This Row],[QT_CANA_REST2]])</f>
        <v>91.71</v>
      </c>
      <c r="AG1429" s="1" t="str">
        <f>IF(COUNTIFS(GEADA!A:A,VALUE(ESTIMATIVA[[#This Row],[CD_UPNIVEL1]]&amp;TEXT(ESTIMATIVA[[#This Row],[CD_UPNIVEL3]],"0000")))&gt;0,"S","N")</f>
        <v>N</v>
      </c>
      <c r="AH142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29" s="55" t="str">
        <f>IF(ESTIMATIVA[[#This Row],[TP_CULTIVO]]="Irrigado",_xlfn.MAXIFS(IRRIGADO!J:J,IRRIGADO!C:C,ESTIMATIVA[[#This Row],[CD_UPNIVEL1]],IRRIGADO!E:E,ESTIMATIVA[[#This Row],[CD_UPNIVEL3]]),"")</f>
        <v/>
      </c>
      <c r="AJ142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29" s="1">
        <f>COUNTIFS(Apresentação!$E$23:$E$29,ESTIMATIVA[[#This Row],[CD_UPNIVEL1]])</f>
        <v>0</v>
      </c>
    </row>
    <row r="1430" spans="1:37" x14ac:dyDescent="0.3">
      <c r="A1430">
        <v>20569</v>
      </c>
      <c r="B1430" t="s">
        <v>82</v>
      </c>
      <c r="C1430">
        <v>32</v>
      </c>
      <c r="D1430">
        <v>7</v>
      </c>
      <c r="E1430" t="s">
        <v>270</v>
      </c>
      <c r="F1430" s="85" t="s">
        <v>332</v>
      </c>
      <c r="G1430"/>
      <c r="H1430" t="s">
        <v>295</v>
      </c>
      <c r="I1430" t="s">
        <v>208</v>
      </c>
      <c r="J1430" t="s">
        <v>176</v>
      </c>
      <c r="K1430" s="1">
        <v>1.1200000000000001</v>
      </c>
      <c r="L1430" s="1">
        <v>0</v>
      </c>
      <c r="M1430" s="1">
        <v>0</v>
      </c>
      <c r="N1430" s="1">
        <v>1.1200000000000001</v>
      </c>
      <c r="O1430" s="1">
        <v>67.2</v>
      </c>
      <c r="P1430" s="1">
        <v>0</v>
      </c>
      <c r="Q1430" s="1">
        <v>0</v>
      </c>
      <c r="R1430" s="1">
        <v>68.180000000000007</v>
      </c>
      <c r="S1430" t="s">
        <v>12</v>
      </c>
      <c r="T1430" s="13">
        <v>45872</v>
      </c>
      <c r="U1430" s="1" t="str">
        <f>IF(ESTIMATIVA[[#This Row],[QT_AREA_REAL]]&gt;0,"1- Colhido","2- à Colher")</f>
        <v>1- Colhido</v>
      </c>
      <c r="V1430" s="1" t="str">
        <f>IF(ESTIMATIVA[[#This Row],[QT_AREA_REST1]]&gt;0,"Reestimativa 1",IF(ESTIMATIVA[[#This Row],[QT_AREA_REAL]]=0,"Reestimativa 1","Realizado"))</f>
        <v>Realizado</v>
      </c>
      <c r="W1430" s="1" t="str">
        <f>IF(ESTIMATIVA[[#This Row],[QT_AREA_REST2]]&gt;0,"Reestimativa 2",IF(ESTIMATIVA[[#This Row],[QT_AREA_REAL]]=0,"Reestimativa 2","Realizado"))</f>
        <v>Realizado</v>
      </c>
      <c r="X1430" s="1">
        <f>ESTIMATIVA[[#This Row],[QT_AREA_EST]]</f>
        <v>1.1200000000000001</v>
      </c>
      <c r="Y1430" s="1">
        <f>IF(ESTIMATIVA[[#This Row],[QT_AREA_REST1]]&gt;0,ESTIMATIVA[[#This Row],[QT_AREA_REST1]],
  IF(ESTIMATIVA[[#This Row],[QT_AREA_REAL]]&gt;0,ESTIMATIVA[[#This Row],[QT_AREA_REAL]],ESTIMATIVA[[#This Row],[QT_AREA_EST]]))</f>
        <v>1.1200000000000001</v>
      </c>
      <c r="Z143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1.1200000000000001</v>
      </c>
      <c r="AA1430" s="1">
        <f>ESTIMATIVA[[#This Row],[QT_CANA_EST]]</f>
        <v>67.2</v>
      </c>
      <c r="AB1430" s="1">
        <f>IF(ESTIMATIVA[[#This Row],[QT_CANA_REST1]]&gt;0,ESTIMATIVA[[#This Row],[QT_CANA_REST1]],
  IF(ESTIMATIVA[[#This Row],[QT_CANA_REAL]]&gt;0,ESTIMATIVA[[#This Row],[QT_CANA_REAL]],ESTIMATIVA[[#This Row],[QT_CANA_EST]]))</f>
        <v>68.180000000000007</v>
      </c>
      <c r="AC143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68.180000000000007</v>
      </c>
      <c r="AD1430" s="1">
        <f>IF(ESTIMATIVA[[#This Row],[QT_AREA_REAL]]&gt;0,ESTIMATIVA[[#This Row],[QT_CANA_REAL]],ESTIMATIVA[[#This Row],[QT_CANA_EST]])</f>
        <v>68.180000000000007</v>
      </c>
      <c r="AE1430" s="1">
        <f>IF(ESTIMATIVA[[#This Row],[QT_AREA_REAL]]&gt;0,ESTIMATIVA[[#This Row],[QT_CANA_REAL]],ESTIMATIVA[[#This Row],[QT_CANA_REST1]])</f>
        <v>68.180000000000007</v>
      </c>
      <c r="AF1430" s="1">
        <f>IF(ESTIMATIVA[[#This Row],[QT_AREA_REAL]]&gt;0,ESTIMATIVA[[#This Row],[QT_CANA_REAL]],ESTIMATIVA[[#This Row],[QT_CANA_REST2]])</f>
        <v>68.180000000000007</v>
      </c>
      <c r="AG1430" s="1" t="str">
        <f>IF(COUNTIFS(GEADA!A:A,VALUE(ESTIMATIVA[[#This Row],[CD_UPNIVEL1]]&amp;TEXT(ESTIMATIVA[[#This Row],[CD_UPNIVEL3]],"0000")))&gt;0,"S","N")</f>
        <v>N</v>
      </c>
      <c r="AH143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30" s="55" t="str">
        <f>IF(ESTIMATIVA[[#This Row],[TP_CULTIVO]]="Irrigado",_xlfn.MAXIFS(IRRIGADO!J:J,IRRIGADO!C:C,ESTIMATIVA[[#This Row],[CD_UPNIVEL1]],IRRIGADO!E:E,ESTIMATIVA[[#This Row],[CD_UPNIVEL3]]),"")</f>
        <v/>
      </c>
      <c r="AJ143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30" s="1">
        <f>COUNTIFS(Apresentação!$E$23:$E$29,ESTIMATIVA[[#This Row],[CD_UPNIVEL1]])</f>
        <v>0</v>
      </c>
    </row>
    <row r="1431" spans="1:37" x14ac:dyDescent="0.3">
      <c r="A1431">
        <v>20569</v>
      </c>
      <c r="B1431" t="s">
        <v>82</v>
      </c>
      <c r="C1431">
        <v>33</v>
      </c>
      <c r="D1431">
        <v>7</v>
      </c>
      <c r="E1431" t="s">
        <v>270</v>
      </c>
      <c r="F1431" s="85" t="s">
        <v>332</v>
      </c>
      <c r="G1431"/>
      <c r="H1431" t="s">
        <v>295</v>
      </c>
      <c r="I1431" t="s">
        <v>208</v>
      </c>
      <c r="J1431" t="s">
        <v>176</v>
      </c>
      <c r="K1431" s="1">
        <v>1.1100000000000001</v>
      </c>
      <c r="L1431" s="1">
        <v>0</v>
      </c>
      <c r="M1431" s="1">
        <v>0</v>
      </c>
      <c r="N1431" s="1">
        <v>1.1100000000000001</v>
      </c>
      <c r="O1431" s="1">
        <v>66.599999999999994</v>
      </c>
      <c r="P1431" s="1">
        <v>0</v>
      </c>
      <c r="Q1431" s="1">
        <v>0</v>
      </c>
      <c r="R1431" s="1">
        <v>67.48</v>
      </c>
      <c r="S1431" t="s">
        <v>12</v>
      </c>
      <c r="T1431" s="13">
        <v>45872</v>
      </c>
      <c r="U1431" s="1" t="str">
        <f>IF(ESTIMATIVA[[#This Row],[QT_AREA_REAL]]&gt;0,"1- Colhido","2- à Colher")</f>
        <v>1- Colhido</v>
      </c>
      <c r="V1431" s="1" t="str">
        <f>IF(ESTIMATIVA[[#This Row],[QT_AREA_REST1]]&gt;0,"Reestimativa 1",IF(ESTIMATIVA[[#This Row],[QT_AREA_REAL]]=0,"Reestimativa 1","Realizado"))</f>
        <v>Realizado</v>
      </c>
      <c r="W1431" s="1" t="str">
        <f>IF(ESTIMATIVA[[#This Row],[QT_AREA_REST2]]&gt;0,"Reestimativa 2",IF(ESTIMATIVA[[#This Row],[QT_AREA_REAL]]=0,"Reestimativa 2","Realizado"))</f>
        <v>Realizado</v>
      </c>
      <c r="X1431" s="1">
        <f>ESTIMATIVA[[#This Row],[QT_AREA_EST]]</f>
        <v>1.1100000000000001</v>
      </c>
      <c r="Y1431" s="1">
        <f>IF(ESTIMATIVA[[#This Row],[QT_AREA_REST1]]&gt;0,ESTIMATIVA[[#This Row],[QT_AREA_REST1]],
  IF(ESTIMATIVA[[#This Row],[QT_AREA_REAL]]&gt;0,ESTIMATIVA[[#This Row],[QT_AREA_REAL]],ESTIMATIVA[[#This Row],[QT_AREA_EST]]))</f>
        <v>1.1100000000000001</v>
      </c>
      <c r="Z143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1.1100000000000001</v>
      </c>
      <c r="AA1431" s="1">
        <f>ESTIMATIVA[[#This Row],[QT_CANA_EST]]</f>
        <v>66.599999999999994</v>
      </c>
      <c r="AB1431" s="1">
        <f>IF(ESTIMATIVA[[#This Row],[QT_CANA_REST1]]&gt;0,ESTIMATIVA[[#This Row],[QT_CANA_REST1]],
  IF(ESTIMATIVA[[#This Row],[QT_CANA_REAL]]&gt;0,ESTIMATIVA[[#This Row],[QT_CANA_REAL]],ESTIMATIVA[[#This Row],[QT_CANA_EST]]))</f>
        <v>67.48</v>
      </c>
      <c r="AC143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67.48</v>
      </c>
      <c r="AD1431" s="1">
        <f>IF(ESTIMATIVA[[#This Row],[QT_AREA_REAL]]&gt;0,ESTIMATIVA[[#This Row],[QT_CANA_REAL]],ESTIMATIVA[[#This Row],[QT_CANA_EST]])</f>
        <v>67.48</v>
      </c>
      <c r="AE1431" s="1">
        <f>IF(ESTIMATIVA[[#This Row],[QT_AREA_REAL]]&gt;0,ESTIMATIVA[[#This Row],[QT_CANA_REAL]],ESTIMATIVA[[#This Row],[QT_CANA_REST1]])</f>
        <v>67.48</v>
      </c>
      <c r="AF1431" s="1">
        <f>IF(ESTIMATIVA[[#This Row],[QT_AREA_REAL]]&gt;0,ESTIMATIVA[[#This Row],[QT_CANA_REAL]],ESTIMATIVA[[#This Row],[QT_CANA_REST2]])</f>
        <v>67.48</v>
      </c>
      <c r="AG1431" s="1" t="str">
        <f>IF(COUNTIFS(GEADA!A:A,VALUE(ESTIMATIVA[[#This Row],[CD_UPNIVEL1]]&amp;TEXT(ESTIMATIVA[[#This Row],[CD_UPNIVEL3]],"0000")))&gt;0,"S","N")</f>
        <v>N</v>
      </c>
      <c r="AH143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31" s="55" t="str">
        <f>IF(ESTIMATIVA[[#This Row],[TP_CULTIVO]]="Irrigado",_xlfn.MAXIFS(IRRIGADO!J:J,IRRIGADO!C:C,ESTIMATIVA[[#This Row],[CD_UPNIVEL1]],IRRIGADO!E:E,ESTIMATIVA[[#This Row],[CD_UPNIVEL3]]),"")</f>
        <v/>
      </c>
      <c r="AJ143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31" s="1">
        <f>COUNTIFS(Apresentação!$E$23:$E$29,ESTIMATIVA[[#This Row],[CD_UPNIVEL1]])</f>
        <v>0</v>
      </c>
    </row>
    <row r="1432" spans="1:37" x14ac:dyDescent="0.3">
      <c r="A1432">
        <v>20569</v>
      </c>
      <c r="B1432" t="s">
        <v>82</v>
      </c>
      <c r="C1432">
        <v>34</v>
      </c>
      <c r="D1432">
        <v>7</v>
      </c>
      <c r="E1432" t="s">
        <v>270</v>
      </c>
      <c r="F1432" s="85" t="s">
        <v>332</v>
      </c>
      <c r="G1432"/>
      <c r="H1432" t="s">
        <v>295</v>
      </c>
      <c r="I1432" t="s">
        <v>208</v>
      </c>
      <c r="J1432" t="s">
        <v>176</v>
      </c>
      <c r="K1432" s="1">
        <v>2.91</v>
      </c>
      <c r="L1432" s="1">
        <v>0</v>
      </c>
      <c r="M1432" s="1">
        <v>0</v>
      </c>
      <c r="N1432" s="1">
        <v>2.91</v>
      </c>
      <c r="O1432" s="1">
        <v>174.6</v>
      </c>
      <c r="P1432" s="1">
        <v>0</v>
      </c>
      <c r="Q1432" s="1">
        <v>0</v>
      </c>
      <c r="R1432" s="1">
        <v>176.93</v>
      </c>
      <c r="S1432" t="s">
        <v>12</v>
      </c>
      <c r="T1432" s="13">
        <v>45872</v>
      </c>
      <c r="U1432" s="1" t="str">
        <f>IF(ESTIMATIVA[[#This Row],[QT_AREA_REAL]]&gt;0,"1- Colhido","2- à Colher")</f>
        <v>1- Colhido</v>
      </c>
      <c r="V1432" s="1" t="str">
        <f>IF(ESTIMATIVA[[#This Row],[QT_AREA_REST1]]&gt;0,"Reestimativa 1",IF(ESTIMATIVA[[#This Row],[QT_AREA_REAL]]=0,"Reestimativa 1","Realizado"))</f>
        <v>Realizado</v>
      </c>
      <c r="W1432" s="1" t="str">
        <f>IF(ESTIMATIVA[[#This Row],[QT_AREA_REST2]]&gt;0,"Reestimativa 2",IF(ESTIMATIVA[[#This Row],[QT_AREA_REAL]]=0,"Reestimativa 2","Realizado"))</f>
        <v>Realizado</v>
      </c>
      <c r="X1432" s="1">
        <f>ESTIMATIVA[[#This Row],[QT_AREA_EST]]</f>
        <v>2.91</v>
      </c>
      <c r="Y1432" s="1">
        <f>IF(ESTIMATIVA[[#This Row],[QT_AREA_REST1]]&gt;0,ESTIMATIVA[[#This Row],[QT_AREA_REST1]],
  IF(ESTIMATIVA[[#This Row],[QT_AREA_REAL]]&gt;0,ESTIMATIVA[[#This Row],[QT_AREA_REAL]],ESTIMATIVA[[#This Row],[QT_AREA_EST]]))</f>
        <v>2.91</v>
      </c>
      <c r="Z143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2.91</v>
      </c>
      <c r="AA1432" s="1">
        <f>ESTIMATIVA[[#This Row],[QT_CANA_EST]]</f>
        <v>174.6</v>
      </c>
      <c r="AB1432" s="1">
        <f>IF(ESTIMATIVA[[#This Row],[QT_CANA_REST1]]&gt;0,ESTIMATIVA[[#This Row],[QT_CANA_REST1]],
  IF(ESTIMATIVA[[#This Row],[QT_CANA_REAL]]&gt;0,ESTIMATIVA[[#This Row],[QT_CANA_REAL]],ESTIMATIVA[[#This Row],[QT_CANA_EST]]))</f>
        <v>176.93</v>
      </c>
      <c r="AC143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176.93</v>
      </c>
      <c r="AD1432" s="1">
        <f>IF(ESTIMATIVA[[#This Row],[QT_AREA_REAL]]&gt;0,ESTIMATIVA[[#This Row],[QT_CANA_REAL]],ESTIMATIVA[[#This Row],[QT_CANA_EST]])</f>
        <v>176.93</v>
      </c>
      <c r="AE1432" s="1">
        <f>IF(ESTIMATIVA[[#This Row],[QT_AREA_REAL]]&gt;0,ESTIMATIVA[[#This Row],[QT_CANA_REAL]],ESTIMATIVA[[#This Row],[QT_CANA_REST1]])</f>
        <v>176.93</v>
      </c>
      <c r="AF1432" s="1">
        <f>IF(ESTIMATIVA[[#This Row],[QT_AREA_REAL]]&gt;0,ESTIMATIVA[[#This Row],[QT_CANA_REAL]],ESTIMATIVA[[#This Row],[QT_CANA_REST2]])</f>
        <v>176.93</v>
      </c>
      <c r="AG1432" s="1" t="str">
        <f>IF(COUNTIFS(GEADA!A:A,VALUE(ESTIMATIVA[[#This Row],[CD_UPNIVEL1]]&amp;TEXT(ESTIMATIVA[[#This Row],[CD_UPNIVEL3]],"0000")))&gt;0,"S","N")</f>
        <v>N</v>
      </c>
      <c r="AH143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32" s="55" t="str">
        <f>IF(ESTIMATIVA[[#This Row],[TP_CULTIVO]]="Irrigado",_xlfn.MAXIFS(IRRIGADO!J:J,IRRIGADO!C:C,ESTIMATIVA[[#This Row],[CD_UPNIVEL1]],IRRIGADO!E:E,ESTIMATIVA[[#This Row],[CD_UPNIVEL3]]),"")</f>
        <v/>
      </c>
      <c r="AJ143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32" s="1">
        <f>COUNTIFS(Apresentação!$E$23:$E$29,ESTIMATIVA[[#This Row],[CD_UPNIVEL1]])</f>
        <v>0</v>
      </c>
    </row>
    <row r="1433" spans="1:37" x14ac:dyDescent="0.3">
      <c r="A1433">
        <v>20569</v>
      </c>
      <c r="B1433" t="s">
        <v>82</v>
      </c>
      <c r="C1433">
        <v>35</v>
      </c>
      <c r="D1433">
        <v>7</v>
      </c>
      <c r="E1433" t="s">
        <v>270</v>
      </c>
      <c r="F1433" s="85" t="s">
        <v>332</v>
      </c>
      <c r="G1433"/>
      <c r="H1433" t="s">
        <v>295</v>
      </c>
      <c r="I1433" t="s">
        <v>208</v>
      </c>
      <c r="J1433" t="s">
        <v>176</v>
      </c>
      <c r="K1433" s="1">
        <v>3.81</v>
      </c>
      <c r="L1433" s="1">
        <v>0</v>
      </c>
      <c r="M1433" s="1">
        <v>0</v>
      </c>
      <c r="N1433" s="1">
        <v>3.81</v>
      </c>
      <c r="O1433" s="1">
        <v>266.7</v>
      </c>
      <c r="P1433" s="1">
        <v>0</v>
      </c>
      <c r="Q1433" s="1">
        <v>0</v>
      </c>
      <c r="R1433" s="1">
        <v>270.39</v>
      </c>
      <c r="S1433" t="s">
        <v>12</v>
      </c>
      <c r="T1433" s="13">
        <v>45872</v>
      </c>
      <c r="U1433" s="1" t="str">
        <f>IF(ESTIMATIVA[[#This Row],[QT_AREA_REAL]]&gt;0,"1- Colhido","2- à Colher")</f>
        <v>1- Colhido</v>
      </c>
      <c r="V1433" s="1" t="str">
        <f>IF(ESTIMATIVA[[#This Row],[QT_AREA_REST1]]&gt;0,"Reestimativa 1",IF(ESTIMATIVA[[#This Row],[QT_AREA_REAL]]=0,"Reestimativa 1","Realizado"))</f>
        <v>Realizado</v>
      </c>
      <c r="W1433" s="1" t="str">
        <f>IF(ESTIMATIVA[[#This Row],[QT_AREA_REST2]]&gt;0,"Reestimativa 2",IF(ESTIMATIVA[[#This Row],[QT_AREA_REAL]]=0,"Reestimativa 2","Realizado"))</f>
        <v>Realizado</v>
      </c>
      <c r="X1433" s="1">
        <f>ESTIMATIVA[[#This Row],[QT_AREA_EST]]</f>
        <v>3.81</v>
      </c>
      <c r="Y1433" s="1">
        <f>IF(ESTIMATIVA[[#This Row],[QT_AREA_REST1]]&gt;0,ESTIMATIVA[[#This Row],[QT_AREA_REST1]],
  IF(ESTIMATIVA[[#This Row],[QT_AREA_REAL]]&gt;0,ESTIMATIVA[[#This Row],[QT_AREA_REAL]],ESTIMATIVA[[#This Row],[QT_AREA_EST]]))</f>
        <v>3.81</v>
      </c>
      <c r="Z143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3.81</v>
      </c>
      <c r="AA1433" s="1">
        <f>ESTIMATIVA[[#This Row],[QT_CANA_EST]]</f>
        <v>266.7</v>
      </c>
      <c r="AB1433" s="1">
        <f>IF(ESTIMATIVA[[#This Row],[QT_CANA_REST1]]&gt;0,ESTIMATIVA[[#This Row],[QT_CANA_REST1]],
  IF(ESTIMATIVA[[#This Row],[QT_CANA_REAL]]&gt;0,ESTIMATIVA[[#This Row],[QT_CANA_REAL]],ESTIMATIVA[[#This Row],[QT_CANA_EST]]))</f>
        <v>270.39</v>
      </c>
      <c r="AC143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270.39</v>
      </c>
      <c r="AD1433" s="1">
        <f>IF(ESTIMATIVA[[#This Row],[QT_AREA_REAL]]&gt;0,ESTIMATIVA[[#This Row],[QT_CANA_REAL]],ESTIMATIVA[[#This Row],[QT_CANA_EST]])</f>
        <v>270.39</v>
      </c>
      <c r="AE1433" s="1">
        <f>IF(ESTIMATIVA[[#This Row],[QT_AREA_REAL]]&gt;0,ESTIMATIVA[[#This Row],[QT_CANA_REAL]],ESTIMATIVA[[#This Row],[QT_CANA_REST1]])</f>
        <v>270.39</v>
      </c>
      <c r="AF1433" s="1">
        <f>IF(ESTIMATIVA[[#This Row],[QT_AREA_REAL]]&gt;0,ESTIMATIVA[[#This Row],[QT_CANA_REAL]],ESTIMATIVA[[#This Row],[QT_CANA_REST2]])</f>
        <v>270.39</v>
      </c>
      <c r="AG1433" s="1" t="str">
        <f>IF(COUNTIFS(GEADA!A:A,VALUE(ESTIMATIVA[[#This Row],[CD_UPNIVEL1]]&amp;TEXT(ESTIMATIVA[[#This Row],[CD_UPNIVEL3]],"0000")))&gt;0,"S","N")</f>
        <v>N</v>
      </c>
      <c r="AH143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33" s="55" t="str">
        <f>IF(ESTIMATIVA[[#This Row],[TP_CULTIVO]]="Irrigado",_xlfn.MAXIFS(IRRIGADO!J:J,IRRIGADO!C:C,ESTIMATIVA[[#This Row],[CD_UPNIVEL1]],IRRIGADO!E:E,ESTIMATIVA[[#This Row],[CD_UPNIVEL3]]),"")</f>
        <v/>
      </c>
      <c r="AJ143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33" s="1">
        <f>COUNTIFS(Apresentação!$E$23:$E$29,ESTIMATIVA[[#This Row],[CD_UPNIVEL1]])</f>
        <v>0</v>
      </c>
    </row>
    <row r="1434" spans="1:37" x14ac:dyDescent="0.3">
      <c r="A1434">
        <v>20569</v>
      </c>
      <c r="B1434" t="s">
        <v>82</v>
      </c>
      <c r="C1434">
        <v>36</v>
      </c>
      <c r="D1434">
        <v>7</v>
      </c>
      <c r="E1434" t="s">
        <v>270</v>
      </c>
      <c r="F1434" s="85" t="s">
        <v>332</v>
      </c>
      <c r="G1434"/>
      <c r="H1434" t="s">
        <v>295</v>
      </c>
      <c r="I1434" t="s">
        <v>208</v>
      </c>
      <c r="J1434" t="s">
        <v>176</v>
      </c>
      <c r="K1434" s="1">
        <v>1.01</v>
      </c>
      <c r="L1434" s="1">
        <v>0</v>
      </c>
      <c r="M1434" s="1">
        <v>0</v>
      </c>
      <c r="N1434" s="1">
        <v>1.01</v>
      </c>
      <c r="O1434" s="1">
        <v>70.7</v>
      </c>
      <c r="P1434" s="1">
        <v>0</v>
      </c>
      <c r="Q1434" s="1">
        <v>0</v>
      </c>
      <c r="R1434" s="1">
        <v>72.180000000000007</v>
      </c>
      <c r="S1434" t="s">
        <v>12</v>
      </c>
      <c r="T1434" s="13">
        <v>45872</v>
      </c>
      <c r="U1434" s="1" t="str">
        <f>IF(ESTIMATIVA[[#This Row],[QT_AREA_REAL]]&gt;0,"1- Colhido","2- à Colher")</f>
        <v>1- Colhido</v>
      </c>
      <c r="V1434" s="1" t="str">
        <f>IF(ESTIMATIVA[[#This Row],[QT_AREA_REST1]]&gt;0,"Reestimativa 1",IF(ESTIMATIVA[[#This Row],[QT_AREA_REAL]]=0,"Reestimativa 1","Realizado"))</f>
        <v>Realizado</v>
      </c>
      <c r="W1434" s="1" t="str">
        <f>IF(ESTIMATIVA[[#This Row],[QT_AREA_REST2]]&gt;0,"Reestimativa 2",IF(ESTIMATIVA[[#This Row],[QT_AREA_REAL]]=0,"Reestimativa 2","Realizado"))</f>
        <v>Realizado</v>
      </c>
      <c r="X1434" s="1">
        <f>ESTIMATIVA[[#This Row],[QT_AREA_EST]]</f>
        <v>1.01</v>
      </c>
      <c r="Y1434" s="1">
        <f>IF(ESTIMATIVA[[#This Row],[QT_AREA_REST1]]&gt;0,ESTIMATIVA[[#This Row],[QT_AREA_REST1]],
  IF(ESTIMATIVA[[#This Row],[QT_AREA_REAL]]&gt;0,ESTIMATIVA[[#This Row],[QT_AREA_REAL]],ESTIMATIVA[[#This Row],[QT_AREA_EST]]))</f>
        <v>1.01</v>
      </c>
      <c r="Z143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1.01</v>
      </c>
      <c r="AA1434" s="1">
        <f>ESTIMATIVA[[#This Row],[QT_CANA_EST]]</f>
        <v>70.7</v>
      </c>
      <c r="AB1434" s="1">
        <f>IF(ESTIMATIVA[[#This Row],[QT_CANA_REST1]]&gt;0,ESTIMATIVA[[#This Row],[QT_CANA_REST1]],
  IF(ESTIMATIVA[[#This Row],[QT_CANA_REAL]]&gt;0,ESTIMATIVA[[#This Row],[QT_CANA_REAL]],ESTIMATIVA[[#This Row],[QT_CANA_EST]]))</f>
        <v>72.180000000000007</v>
      </c>
      <c r="AC143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72.180000000000007</v>
      </c>
      <c r="AD1434" s="1">
        <f>IF(ESTIMATIVA[[#This Row],[QT_AREA_REAL]]&gt;0,ESTIMATIVA[[#This Row],[QT_CANA_REAL]],ESTIMATIVA[[#This Row],[QT_CANA_EST]])</f>
        <v>72.180000000000007</v>
      </c>
      <c r="AE1434" s="1">
        <f>IF(ESTIMATIVA[[#This Row],[QT_AREA_REAL]]&gt;0,ESTIMATIVA[[#This Row],[QT_CANA_REAL]],ESTIMATIVA[[#This Row],[QT_CANA_REST1]])</f>
        <v>72.180000000000007</v>
      </c>
      <c r="AF1434" s="1">
        <f>IF(ESTIMATIVA[[#This Row],[QT_AREA_REAL]]&gt;0,ESTIMATIVA[[#This Row],[QT_CANA_REAL]],ESTIMATIVA[[#This Row],[QT_CANA_REST2]])</f>
        <v>72.180000000000007</v>
      </c>
      <c r="AG1434" s="1" t="str">
        <f>IF(COUNTIFS(GEADA!A:A,VALUE(ESTIMATIVA[[#This Row],[CD_UPNIVEL1]]&amp;TEXT(ESTIMATIVA[[#This Row],[CD_UPNIVEL3]],"0000")))&gt;0,"S","N")</f>
        <v>N</v>
      </c>
      <c r="AH143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34" s="55" t="str">
        <f>IF(ESTIMATIVA[[#This Row],[TP_CULTIVO]]="Irrigado",_xlfn.MAXIFS(IRRIGADO!J:J,IRRIGADO!C:C,ESTIMATIVA[[#This Row],[CD_UPNIVEL1]],IRRIGADO!E:E,ESTIMATIVA[[#This Row],[CD_UPNIVEL3]]),"")</f>
        <v/>
      </c>
      <c r="AJ143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34" s="1">
        <f>COUNTIFS(Apresentação!$E$23:$E$29,ESTIMATIVA[[#This Row],[CD_UPNIVEL1]])</f>
        <v>0</v>
      </c>
    </row>
    <row r="1435" spans="1:37" x14ac:dyDescent="0.3">
      <c r="A1435">
        <v>20569</v>
      </c>
      <c r="B1435" t="s">
        <v>82</v>
      </c>
      <c r="C1435">
        <v>37</v>
      </c>
      <c r="D1435">
        <v>7</v>
      </c>
      <c r="E1435" t="s">
        <v>270</v>
      </c>
      <c r="F1435" s="85" t="s">
        <v>331</v>
      </c>
      <c r="G1435"/>
      <c r="H1435" t="s">
        <v>295</v>
      </c>
      <c r="I1435" t="s">
        <v>208</v>
      </c>
      <c r="J1435" t="s">
        <v>176</v>
      </c>
      <c r="K1435" s="1">
        <v>1</v>
      </c>
      <c r="L1435" s="1">
        <v>0</v>
      </c>
      <c r="M1435" s="1">
        <v>0</v>
      </c>
      <c r="N1435" s="1">
        <v>1</v>
      </c>
      <c r="O1435" s="1">
        <v>70</v>
      </c>
      <c r="P1435" s="1">
        <v>0</v>
      </c>
      <c r="Q1435" s="1">
        <v>0</v>
      </c>
      <c r="R1435" s="1">
        <v>71.7</v>
      </c>
      <c r="S1435" t="s">
        <v>12</v>
      </c>
      <c r="T1435" s="13">
        <v>45872</v>
      </c>
      <c r="U1435" s="1" t="str">
        <f>IF(ESTIMATIVA[[#This Row],[QT_AREA_REAL]]&gt;0,"1- Colhido","2- à Colher")</f>
        <v>1- Colhido</v>
      </c>
      <c r="V1435" s="1" t="str">
        <f>IF(ESTIMATIVA[[#This Row],[QT_AREA_REST1]]&gt;0,"Reestimativa 1",IF(ESTIMATIVA[[#This Row],[QT_AREA_REAL]]=0,"Reestimativa 1","Realizado"))</f>
        <v>Realizado</v>
      </c>
      <c r="W1435" s="1" t="str">
        <f>IF(ESTIMATIVA[[#This Row],[QT_AREA_REST2]]&gt;0,"Reestimativa 2",IF(ESTIMATIVA[[#This Row],[QT_AREA_REAL]]=0,"Reestimativa 2","Realizado"))</f>
        <v>Realizado</v>
      </c>
      <c r="X1435" s="1">
        <f>ESTIMATIVA[[#This Row],[QT_AREA_EST]]</f>
        <v>1</v>
      </c>
      <c r="Y1435" s="1">
        <f>IF(ESTIMATIVA[[#This Row],[QT_AREA_REST1]]&gt;0,ESTIMATIVA[[#This Row],[QT_AREA_REST1]],
  IF(ESTIMATIVA[[#This Row],[QT_AREA_REAL]]&gt;0,ESTIMATIVA[[#This Row],[QT_AREA_REAL]],ESTIMATIVA[[#This Row],[QT_AREA_EST]]))</f>
        <v>1</v>
      </c>
      <c r="Z143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</v>
      </c>
      <c r="AA1435" s="1">
        <f>ESTIMATIVA[[#This Row],[QT_CANA_EST]]</f>
        <v>70</v>
      </c>
      <c r="AB1435" s="1">
        <f>IF(ESTIMATIVA[[#This Row],[QT_CANA_REST1]]&gt;0,ESTIMATIVA[[#This Row],[QT_CANA_REST1]],
  IF(ESTIMATIVA[[#This Row],[QT_CANA_REAL]]&gt;0,ESTIMATIVA[[#This Row],[QT_CANA_REAL]],ESTIMATIVA[[#This Row],[QT_CANA_EST]]))</f>
        <v>71.7</v>
      </c>
      <c r="AC143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71.7</v>
      </c>
      <c r="AD1435" s="1">
        <f>IF(ESTIMATIVA[[#This Row],[QT_AREA_REAL]]&gt;0,ESTIMATIVA[[#This Row],[QT_CANA_REAL]],ESTIMATIVA[[#This Row],[QT_CANA_EST]])</f>
        <v>71.7</v>
      </c>
      <c r="AE1435" s="1">
        <f>IF(ESTIMATIVA[[#This Row],[QT_AREA_REAL]]&gt;0,ESTIMATIVA[[#This Row],[QT_CANA_REAL]],ESTIMATIVA[[#This Row],[QT_CANA_REST1]])</f>
        <v>71.7</v>
      </c>
      <c r="AF1435" s="1">
        <f>IF(ESTIMATIVA[[#This Row],[QT_AREA_REAL]]&gt;0,ESTIMATIVA[[#This Row],[QT_CANA_REAL]],ESTIMATIVA[[#This Row],[QT_CANA_REST2]])</f>
        <v>71.7</v>
      </c>
      <c r="AG1435" s="1" t="str">
        <f>IF(COUNTIFS(GEADA!A:A,VALUE(ESTIMATIVA[[#This Row],[CD_UPNIVEL1]]&amp;TEXT(ESTIMATIVA[[#This Row],[CD_UPNIVEL3]],"0000")))&gt;0,"S","N")</f>
        <v>N</v>
      </c>
      <c r="AH143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35" s="55" t="str">
        <f>IF(ESTIMATIVA[[#This Row],[TP_CULTIVO]]="Irrigado",_xlfn.MAXIFS(IRRIGADO!J:J,IRRIGADO!C:C,ESTIMATIVA[[#This Row],[CD_UPNIVEL1]],IRRIGADO!E:E,ESTIMATIVA[[#This Row],[CD_UPNIVEL3]]),"")</f>
        <v/>
      </c>
      <c r="AJ143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35" s="1">
        <f>COUNTIFS(Apresentação!$E$23:$E$29,ESTIMATIVA[[#This Row],[CD_UPNIVEL1]])</f>
        <v>0</v>
      </c>
    </row>
    <row r="1436" spans="1:37" x14ac:dyDescent="0.3">
      <c r="A1436">
        <v>20569</v>
      </c>
      <c r="B1436" t="s">
        <v>82</v>
      </c>
      <c r="C1436">
        <v>38</v>
      </c>
      <c r="D1436">
        <v>7</v>
      </c>
      <c r="E1436" t="s">
        <v>270</v>
      </c>
      <c r="F1436" s="85" t="s">
        <v>332</v>
      </c>
      <c r="G1436"/>
      <c r="H1436" t="s">
        <v>295</v>
      </c>
      <c r="I1436" t="s">
        <v>208</v>
      </c>
      <c r="J1436" t="s">
        <v>176</v>
      </c>
      <c r="K1436" s="1">
        <v>3.19</v>
      </c>
      <c r="L1436" s="1">
        <v>0</v>
      </c>
      <c r="M1436" s="1">
        <v>0</v>
      </c>
      <c r="N1436" s="1">
        <v>3.19</v>
      </c>
      <c r="O1436" s="1">
        <v>223.3</v>
      </c>
      <c r="P1436" s="1">
        <v>0</v>
      </c>
      <c r="Q1436" s="1">
        <v>0</v>
      </c>
      <c r="R1436" s="1">
        <v>226.35</v>
      </c>
      <c r="S1436" t="s">
        <v>12</v>
      </c>
      <c r="T1436" s="13">
        <v>45872</v>
      </c>
      <c r="U1436" s="1" t="str">
        <f>IF(ESTIMATIVA[[#This Row],[QT_AREA_REAL]]&gt;0,"1- Colhido","2- à Colher")</f>
        <v>1- Colhido</v>
      </c>
      <c r="V1436" s="1" t="str">
        <f>IF(ESTIMATIVA[[#This Row],[QT_AREA_REST1]]&gt;0,"Reestimativa 1",IF(ESTIMATIVA[[#This Row],[QT_AREA_REAL]]=0,"Reestimativa 1","Realizado"))</f>
        <v>Realizado</v>
      </c>
      <c r="W1436" s="1" t="str">
        <f>IF(ESTIMATIVA[[#This Row],[QT_AREA_REST2]]&gt;0,"Reestimativa 2",IF(ESTIMATIVA[[#This Row],[QT_AREA_REAL]]=0,"Reestimativa 2","Realizado"))</f>
        <v>Realizado</v>
      </c>
      <c r="X1436" s="1">
        <f>ESTIMATIVA[[#This Row],[QT_AREA_EST]]</f>
        <v>3.19</v>
      </c>
      <c r="Y1436" s="1">
        <f>IF(ESTIMATIVA[[#This Row],[QT_AREA_REST1]]&gt;0,ESTIMATIVA[[#This Row],[QT_AREA_REST1]],
  IF(ESTIMATIVA[[#This Row],[QT_AREA_REAL]]&gt;0,ESTIMATIVA[[#This Row],[QT_AREA_REAL]],ESTIMATIVA[[#This Row],[QT_AREA_EST]]))</f>
        <v>3.19</v>
      </c>
      <c r="Z143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3.19</v>
      </c>
      <c r="AA1436" s="1">
        <f>ESTIMATIVA[[#This Row],[QT_CANA_EST]]</f>
        <v>223.3</v>
      </c>
      <c r="AB1436" s="1">
        <f>IF(ESTIMATIVA[[#This Row],[QT_CANA_REST1]]&gt;0,ESTIMATIVA[[#This Row],[QT_CANA_REST1]],
  IF(ESTIMATIVA[[#This Row],[QT_CANA_REAL]]&gt;0,ESTIMATIVA[[#This Row],[QT_CANA_REAL]],ESTIMATIVA[[#This Row],[QT_CANA_EST]]))</f>
        <v>226.35</v>
      </c>
      <c r="AC143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226.35</v>
      </c>
      <c r="AD1436" s="1">
        <f>IF(ESTIMATIVA[[#This Row],[QT_AREA_REAL]]&gt;0,ESTIMATIVA[[#This Row],[QT_CANA_REAL]],ESTIMATIVA[[#This Row],[QT_CANA_EST]])</f>
        <v>226.35</v>
      </c>
      <c r="AE1436" s="1">
        <f>IF(ESTIMATIVA[[#This Row],[QT_AREA_REAL]]&gt;0,ESTIMATIVA[[#This Row],[QT_CANA_REAL]],ESTIMATIVA[[#This Row],[QT_CANA_REST1]])</f>
        <v>226.35</v>
      </c>
      <c r="AF1436" s="1">
        <f>IF(ESTIMATIVA[[#This Row],[QT_AREA_REAL]]&gt;0,ESTIMATIVA[[#This Row],[QT_CANA_REAL]],ESTIMATIVA[[#This Row],[QT_CANA_REST2]])</f>
        <v>226.35</v>
      </c>
      <c r="AG1436" s="1" t="str">
        <f>IF(COUNTIFS(GEADA!A:A,VALUE(ESTIMATIVA[[#This Row],[CD_UPNIVEL1]]&amp;TEXT(ESTIMATIVA[[#This Row],[CD_UPNIVEL3]],"0000")))&gt;0,"S","N")</f>
        <v>N</v>
      </c>
      <c r="AH143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36" s="55" t="str">
        <f>IF(ESTIMATIVA[[#This Row],[TP_CULTIVO]]="Irrigado",_xlfn.MAXIFS(IRRIGADO!J:J,IRRIGADO!C:C,ESTIMATIVA[[#This Row],[CD_UPNIVEL1]],IRRIGADO!E:E,ESTIMATIVA[[#This Row],[CD_UPNIVEL3]]),"")</f>
        <v/>
      </c>
      <c r="AJ143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36" s="1">
        <f>COUNTIFS(Apresentação!$E$23:$E$29,ESTIMATIVA[[#This Row],[CD_UPNIVEL1]])</f>
        <v>0</v>
      </c>
    </row>
    <row r="1437" spans="1:37" x14ac:dyDescent="0.3">
      <c r="A1437">
        <v>20569</v>
      </c>
      <c r="B1437" t="s">
        <v>82</v>
      </c>
      <c r="C1437">
        <v>39</v>
      </c>
      <c r="D1437">
        <v>7</v>
      </c>
      <c r="E1437" t="s">
        <v>270</v>
      </c>
      <c r="F1437" s="85" t="s">
        <v>332</v>
      </c>
      <c r="G1437"/>
      <c r="H1437" t="s">
        <v>295</v>
      </c>
      <c r="I1437" t="s">
        <v>208</v>
      </c>
      <c r="J1437" t="s">
        <v>176</v>
      </c>
      <c r="K1437" s="1">
        <v>0.82</v>
      </c>
      <c r="L1437" s="1">
        <v>0</v>
      </c>
      <c r="M1437" s="1">
        <v>0</v>
      </c>
      <c r="N1437" s="1">
        <v>0.82</v>
      </c>
      <c r="O1437" s="1">
        <v>57.4</v>
      </c>
      <c r="P1437" s="1">
        <v>0</v>
      </c>
      <c r="Q1437" s="1">
        <v>0</v>
      </c>
      <c r="R1437" s="1">
        <v>57.82</v>
      </c>
      <c r="S1437" t="s">
        <v>12</v>
      </c>
      <c r="T1437" s="13">
        <v>45872</v>
      </c>
      <c r="U1437" s="1" t="str">
        <f>IF(ESTIMATIVA[[#This Row],[QT_AREA_REAL]]&gt;0,"1- Colhido","2- à Colher")</f>
        <v>1- Colhido</v>
      </c>
      <c r="V1437" s="1" t="str">
        <f>IF(ESTIMATIVA[[#This Row],[QT_AREA_REST1]]&gt;0,"Reestimativa 1",IF(ESTIMATIVA[[#This Row],[QT_AREA_REAL]]=0,"Reestimativa 1","Realizado"))</f>
        <v>Realizado</v>
      </c>
      <c r="W1437" s="1" t="str">
        <f>IF(ESTIMATIVA[[#This Row],[QT_AREA_REST2]]&gt;0,"Reestimativa 2",IF(ESTIMATIVA[[#This Row],[QT_AREA_REAL]]=0,"Reestimativa 2","Realizado"))</f>
        <v>Realizado</v>
      </c>
      <c r="X1437" s="1">
        <f>ESTIMATIVA[[#This Row],[QT_AREA_EST]]</f>
        <v>0.82</v>
      </c>
      <c r="Y1437" s="1">
        <f>IF(ESTIMATIVA[[#This Row],[QT_AREA_REST1]]&gt;0,ESTIMATIVA[[#This Row],[QT_AREA_REST1]],
  IF(ESTIMATIVA[[#This Row],[QT_AREA_REAL]]&gt;0,ESTIMATIVA[[#This Row],[QT_AREA_REAL]],ESTIMATIVA[[#This Row],[QT_AREA_EST]]))</f>
        <v>0.82</v>
      </c>
      <c r="Z143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0.82</v>
      </c>
      <c r="AA1437" s="1">
        <f>ESTIMATIVA[[#This Row],[QT_CANA_EST]]</f>
        <v>57.4</v>
      </c>
      <c r="AB1437" s="1">
        <f>IF(ESTIMATIVA[[#This Row],[QT_CANA_REST1]]&gt;0,ESTIMATIVA[[#This Row],[QT_CANA_REST1]],
  IF(ESTIMATIVA[[#This Row],[QT_CANA_REAL]]&gt;0,ESTIMATIVA[[#This Row],[QT_CANA_REAL]],ESTIMATIVA[[#This Row],[QT_CANA_EST]]))</f>
        <v>57.82</v>
      </c>
      <c r="AC143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57.82</v>
      </c>
      <c r="AD1437" s="1">
        <f>IF(ESTIMATIVA[[#This Row],[QT_AREA_REAL]]&gt;0,ESTIMATIVA[[#This Row],[QT_CANA_REAL]],ESTIMATIVA[[#This Row],[QT_CANA_EST]])</f>
        <v>57.82</v>
      </c>
      <c r="AE1437" s="1">
        <f>IF(ESTIMATIVA[[#This Row],[QT_AREA_REAL]]&gt;0,ESTIMATIVA[[#This Row],[QT_CANA_REAL]],ESTIMATIVA[[#This Row],[QT_CANA_REST1]])</f>
        <v>57.82</v>
      </c>
      <c r="AF1437" s="1">
        <f>IF(ESTIMATIVA[[#This Row],[QT_AREA_REAL]]&gt;0,ESTIMATIVA[[#This Row],[QT_CANA_REAL]],ESTIMATIVA[[#This Row],[QT_CANA_REST2]])</f>
        <v>57.82</v>
      </c>
      <c r="AG1437" s="1" t="str">
        <f>IF(COUNTIFS(GEADA!A:A,VALUE(ESTIMATIVA[[#This Row],[CD_UPNIVEL1]]&amp;TEXT(ESTIMATIVA[[#This Row],[CD_UPNIVEL3]],"0000")))&gt;0,"S","N")</f>
        <v>N</v>
      </c>
      <c r="AH143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37" s="55" t="str">
        <f>IF(ESTIMATIVA[[#This Row],[TP_CULTIVO]]="Irrigado",_xlfn.MAXIFS(IRRIGADO!J:J,IRRIGADO!C:C,ESTIMATIVA[[#This Row],[CD_UPNIVEL1]],IRRIGADO!E:E,ESTIMATIVA[[#This Row],[CD_UPNIVEL3]]),"")</f>
        <v/>
      </c>
      <c r="AJ143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37" s="1">
        <f>COUNTIFS(Apresentação!$E$23:$E$29,ESTIMATIVA[[#This Row],[CD_UPNIVEL1]])</f>
        <v>0</v>
      </c>
    </row>
    <row r="1438" spans="1:37" x14ac:dyDescent="0.3">
      <c r="A1438">
        <v>20569</v>
      </c>
      <c r="B1438" t="s">
        <v>82</v>
      </c>
      <c r="C1438">
        <v>40</v>
      </c>
      <c r="D1438">
        <v>7</v>
      </c>
      <c r="E1438" t="s">
        <v>270</v>
      </c>
      <c r="F1438" s="85" t="s">
        <v>332</v>
      </c>
      <c r="G1438"/>
      <c r="H1438" t="s">
        <v>295</v>
      </c>
      <c r="I1438" t="s">
        <v>208</v>
      </c>
      <c r="J1438" t="s">
        <v>176</v>
      </c>
      <c r="K1438" s="1">
        <v>1.2</v>
      </c>
      <c r="L1438" s="1">
        <v>0</v>
      </c>
      <c r="M1438" s="1">
        <v>0</v>
      </c>
      <c r="N1438" s="1">
        <v>1.2</v>
      </c>
      <c r="O1438" s="1">
        <v>84</v>
      </c>
      <c r="P1438" s="1">
        <v>0</v>
      </c>
      <c r="Q1438" s="1">
        <v>0</v>
      </c>
      <c r="R1438" s="1">
        <v>85.36</v>
      </c>
      <c r="S1438" t="s">
        <v>12</v>
      </c>
      <c r="T1438" s="13">
        <v>45872</v>
      </c>
      <c r="U1438" s="1" t="str">
        <f>IF(ESTIMATIVA[[#This Row],[QT_AREA_REAL]]&gt;0,"1- Colhido","2- à Colher")</f>
        <v>1- Colhido</v>
      </c>
      <c r="V1438" s="1" t="str">
        <f>IF(ESTIMATIVA[[#This Row],[QT_AREA_REST1]]&gt;0,"Reestimativa 1",IF(ESTIMATIVA[[#This Row],[QT_AREA_REAL]]=0,"Reestimativa 1","Realizado"))</f>
        <v>Realizado</v>
      </c>
      <c r="W1438" s="1" t="str">
        <f>IF(ESTIMATIVA[[#This Row],[QT_AREA_REST2]]&gt;0,"Reestimativa 2",IF(ESTIMATIVA[[#This Row],[QT_AREA_REAL]]=0,"Reestimativa 2","Realizado"))</f>
        <v>Realizado</v>
      </c>
      <c r="X1438" s="1">
        <f>ESTIMATIVA[[#This Row],[QT_AREA_EST]]</f>
        <v>1.2</v>
      </c>
      <c r="Y1438" s="1">
        <f>IF(ESTIMATIVA[[#This Row],[QT_AREA_REST1]]&gt;0,ESTIMATIVA[[#This Row],[QT_AREA_REST1]],
  IF(ESTIMATIVA[[#This Row],[QT_AREA_REAL]]&gt;0,ESTIMATIVA[[#This Row],[QT_AREA_REAL]],ESTIMATIVA[[#This Row],[QT_AREA_EST]]))</f>
        <v>1.2</v>
      </c>
      <c r="Z143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1.2</v>
      </c>
      <c r="AA1438" s="1">
        <f>ESTIMATIVA[[#This Row],[QT_CANA_EST]]</f>
        <v>84</v>
      </c>
      <c r="AB1438" s="1">
        <f>IF(ESTIMATIVA[[#This Row],[QT_CANA_REST1]]&gt;0,ESTIMATIVA[[#This Row],[QT_CANA_REST1]],
  IF(ESTIMATIVA[[#This Row],[QT_CANA_REAL]]&gt;0,ESTIMATIVA[[#This Row],[QT_CANA_REAL]],ESTIMATIVA[[#This Row],[QT_CANA_EST]]))</f>
        <v>85.36</v>
      </c>
      <c r="AC143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85.36</v>
      </c>
      <c r="AD1438" s="1">
        <f>IF(ESTIMATIVA[[#This Row],[QT_AREA_REAL]]&gt;0,ESTIMATIVA[[#This Row],[QT_CANA_REAL]],ESTIMATIVA[[#This Row],[QT_CANA_EST]])</f>
        <v>85.36</v>
      </c>
      <c r="AE1438" s="1">
        <f>IF(ESTIMATIVA[[#This Row],[QT_AREA_REAL]]&gt;0,ESTIMATIVA[[#This Row],[QT_CANA_REAL]],ESTIMATIVA[[#This Row],[QT_CANA_REST1]])</f>
        <v>85.36</v>
      </c>
      <c r="AF1438" s="1">
        <f>IF(ESTIMATIVA[[#This Row],[QT_AREA_REAL]]&gt;0,ESTIMATIVA[[#This Row],[QT_CANA_REAL]],ESTIMATIVA[[#This Row],[QT_CANA_REST2]])</f>
        <v>85.36</v>
      </c>
      <c r="AG1438" s="1" t="str">
        <f>IF(COUNTIFS(GEADA!A:A,VALUE(ESTIMATIVA[[#This Row],[CD_UPNIVEL1]]&amp;TEXT(ESTIMATIVA[[#This Row],[CD_UPNIVEL3]],"0000")))&gt;0,"S","N")</f>
        <v>N</v>
      </c>
      <c r="AH143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38" s="55" t="str">
        <f>IF(ESTIMATIVA[[#This Row],[TP_CULTIVO]]="Irrigado",_xlfn.MAXIFS(IRRIGADO!J:J,IRRIGADO!C:C,ESTIMATIVA[[#This Row],[CD_UPNIVEL1]],IRRIGADO!E:E,ESTIMATIVA[[#This Row],[CD_UPNIVEL3]]),"")</f>
        <v/>
      </c>
      <c r="AJ143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38" s="1">
        <f>COUNTIFS(Apresentação!$E$23:$E$29,ESTIMATIVA[[#This Row],[CD_UPNIVEL1]])</f>
        <v>0</v>
      </c>
    </row>
    <row r="1439" spans="1:37" x14ac:dyDescent="0.3">
      <c r="A1439">
        <v>20569</v>
      </c>
      <c r="B1439" t="s">
        <v>82</v>
      </c>
      <c r="C1439">
        <v>41</v>
      </c>
      <c r="D1439">
        <v>7</v>
      </c>
      <c r="E1439" t="s">
        <v>270</v>
      </c>
      <c r="F1439" s="85" t="s">
        <v>331</v>
      </c>
      <c r="G1439"/>
      <c r="H1439" t="s">
        <v>295</v>
      </c>
      <c r="I1439" t="s">
        <v>208</v>
      </c>
      <c r="J1439" t="s">
        <v>176</v>
      </c>
      <c r="K1439" s="1">
        <v>0.41</v>
      </c>
      <c r="L1439" s="1">
        <v>0</v>
      </c>
      <c r="M1439" s="1">
        <v>0</v>
      </c>
      <c r="N1439" s="1">
        <v>0.41</v>
      </c>
      <c r="O1439" s="1">
        <v>28.7</v>
      </c>
      <c r="P1439" s="1">
        <v>0</v>
      </c>
      <c r="Q1439" s="1">
        <v>0</v>
      </c>
      <c r="R1439" s="1">
        <v>29.11</v>
      </c>
      <c r="S1439" t="s">
        <v>12</v>
      </c>
      <c r="T1439" s="13">
        <v>45872</v>
      </c>
      <c r="U1439" s="1" t="str">
        <f>IF(ESTIMATIVA[[#This Row],[QT_AREA_REAL]]&gt;0,"1- Colhido","2- à Colher")</f>
        <v>1- Colhido</v>
      </c>
      <c r="V1439" s="1" t="str">
        <f>IF(ESTIMATIVA[[#This Row],[QT_AREA_REST1]]&gt;0,"Reestimativa 1",IF(ESTIMATIVA[[#This Row],[QT_AREA_REAL]]=0,"Reestimativa 1","Realizado"))</f>
        <v>Realizado</v>
      </c>
      <c r="W1439" s="1" t="str">
        <f>IF(ESTIMATIVA[[#This Row],[QT_AREA_REST2]]&gt;0,"Reestimativa 2",IF(ESTIMATIVA[[#This Row],[QT_AREA_REAL]]=0,"Reestimativa 2","Realizado"))</f>
        <v>Realizado</v>
      </c>
      <c r="X1439" s="1">
        <f>ESTIMATIVA[[#This Row],[QT_AREA_EST]]</f>
        <v>0.41</v>
      </c>
      <c r="Y1439" s="1">
        <f>IF(ESTIMATIVA[[#This Row],[QT_AREA_REST1]]&gt;0,ESTIMATIVA[[#This Row],[QT_AREA_REST1]],
  IF(ESTIMATIVA[[#This Row],[QT_AREA_REAL]]&gt;0,ESTIMATIVA[[#This Row],[QT_AREA_REAL]],ESTIMATIVA[[#This Row],[QT_AREA_EST]]))</f>
        <v>0.41</v>
      </c>
      <c r="Z143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0.41</v>
      </c>
      <c r="AA1439" s="1">
        <f>ESTIMATIVA[[#This Row],[QT_CANA_EST]]</f>
        <v>28.7</v>
      </c>
      <c r="AB1439" s="1">
        <f>IF(ESTIMATIVA[[#This Row],[QT_CANA_REST1]]&gt;0,ESTIMATIVA[[#This Row],[QT_CANA_REST1]],
  IF(ESTIMATIVA[[#This Row],[QT_CANA_REAL]]&gt;0,ESTIMATIVA[[#This Row],[QT_CANA_REAL]],ESTIMATIVA[[#This Row],[QT_CANA_EST]]))</f>
        <v>29.11</v>
      </c>
      <c r="AC143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29.11</v>
      </c>
      <c r="AD1439" s="1">
        <f>IF(ESTIMATIVA[[#This Row],[QT_AREA_REAL]]&gt;0,ESTIMATIVA[[#This Row],[QT_CANA_REAL]],ESTIMATIVA[[#This Row],[QT_CANA_EST]])</f>
        <v>29.11</v>
      </c>
      <c r="AE1439" s="1">
        <f>IF(ESTIMATIVA[[#This Row],[QT_AREA_REAL]]&gt;0,ESTIMATIVA[[#This Row],[QT_CANA_REAL]],ESTIMATIVA[[#This Row],[QT_CANA_REST1]])</f>
        <v>29.11</v>
      </c>
      <c r="AF1439" s="1">
        <f>IF(ESTIMATIVA[[#This Row],[QT_AREA_REAL]]&gt;0,ESTIMATIVA[[#This Row],[QT_CANA_REAL]],ESTIMATIVA[[#This Row],[QT_CANA_REST2]])</f>
        <v>29.11</v>
      </c>
      <c r="AG1439" s="1" t="str">
        <f>IF(COUNTIFS(GEADA!A:A,VALUE(ESTIMATIVA[[#This Row],[CD_UPNIVEL1]]&amp;TEXT(ESTIMATIVA[[#This Row],[CD_UPNIVEL3]],"0000")))&gt;0,"S","N")</f>
        <v>N</v>
      </c>
      <c r="AH143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39" s="55" t="str">
        <f>IF(ESTIMATIVA[[#This Row],[TP_CULTIVO]]="Irrigado",_xlfn.MAXIFS(IRRIGADO!J:J,IRRIGADO!C:C,ESTIMATIVA[[#This Row],[CD_UPNIVEL1]],IRRIGADO!E:E,ESTIMATIVA[[#This Row],[CD_UPNIVEL3]]),"")</f>
        <v/>
      </c>
      <c r="AJ143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39" s="1">
        <f>COUNTIFS(Apresentação!$E$23:$E$29,ESTIMATIVA[[#This Row],[CD_UPNIVEL1]])</f>
        <v>0</v>
      </c>
    </row>
    <row r="1440" spans="1:37" x14ac:dyDescent="0.3">
      <c r="A1440">
        <v>20569</v>
      </c>
      <c r="B1440" t="s">
        <v>82</v>
      </c>
      <c r="C1440">
        <v>42</v>
      </c>
      <c r="D1440">
        <v>7</v>
      </c>
      <c r="E1440" t="s">
        <v>270</v>
      </c>
      <c r="F1440" s="85" t="s">
        <v>331</v>
      </c>
      <c r="G1440"/>
      <c r="H1440" t="s">
        <v>295</v>
      </c>
      <c r="I1440" t="s">
        <v>208</v>
      </c>
      <c r="J1440" t="s">
        <v>176</v>
      </c>
      <c r="K1440" s="1">
        <v>2.83</v>
      </c>
      <c r="L1440" s="1">
        <v>0</v>
      </c>
      <c r="M1440" s="1">
        <v>0</v>
      </c>
      <c r="N1440" s="1">
        <v>2.83</v>
      </c>
      <c r="O1440" s="1">
        <v>198.1</v>
      </c>
      <c r="P1440" s="1">
        <v>0</v>
      </c>
      <c r="Q1440" s="1">
        <v>0</v>
      </c>
      <c r="R1440" s="1">
        <v>201.16</v>
      </c>
      <c r="S1440" t="s">
        <v>12</v>
      </c>
      <c r="T1440" s="13">
        <v>45872</v>
      </c>
      <c r="U1440" s="1" t="str">
        <f>IF(ESTIMATIVA[[#This Row],[QT_AREA_REAL]]&gt;0,"1- Colhido","2- à Colher")</f>
        <v>1- Colhido</v>
      </c>
      <c r="V1440" s="1" t="str">
        <f>IF(ESTIMATIVA[[#This Row],[QT_AREA_REST1]]&gt;0,"Reestimativa 1",IF(ESTIMATIVA[[#This Row],[QT_AREA_REAL]]=0,"Reestimativa 1","Realizado"))</f>
        <v>Realizado</v>
      </c>
      <c r="W1440" s="1" t="str">
        <f>IF(ESTIMATIVA[[#This Row],[QT_AREA_REST2]]&gt;0,"Reestimativa 2",IF(ESTIMATIVA[[#This Row],[QT_AREA_REAL]]=0,"Reestimativa 2","Realizado"))</f>
        <v>Realizado</v>
      </c>
      <c r="X1440" s="1">
        <f>ESTIMATIVA[[#This Row],[QT_AREA_EST]]</f>
        <v>2.83</v>
      </c>
      <c r="Y1440" s="1">
        <f>IF(ESTIMATIVA[[#This Row],[QT_AREA_REST1]]&gt;0,ESTIMATIVA[[#This Row],[QT_AREA_REST1]],
  IF(ESTIMATIVA[[#This Row],[QT_AREA_REAL]]&gt;0,ESTIMATIVA[[#This Row],[QT_AREA_REAL]],ESTIMATIVA[[#This Row],[QT_AREA_EST]]))</f>
        <v>2.83</v>
      </c>
      <c r="Z144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2.83</v>
      </c>
      <c r="AA1440" s="1">
        <f>ESTIMATIVA[[#This Row],[QT_CANA_EST]]</f>
        <v>198.1</v>
      </c>
      <c r="AB1440" s="1">
        <f>IF(ESTIMATIVA[[#This Row],[QT_CANA_REST1]]&gt;0,ESTIMATIVA[[#This Row],[QT_CANA_REST1]],
  IF(ESTIMATIVA[[#This Row],[QT_CANA_REAL]]&gt;0,ESTIMATIVA[[#This Row],[QT_CANA_REAL]],ESTIMATIVA[[#This Row],[QT_CANA_EST]]))</f>
        <v>201.16</v>
      </c>
      <c r="AC144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201.16</v>
      </c>
      <c r="AD1440" s="1">
        <f>IF(ESTIMATIVA[[#This Row],[QT_AREA_REAL]]&gt;0,ESTIMATIVA[[#This Row],[QT_CANA_REAL]],ESTIMATIVA[[#This Row],[QT_CANA_EST]])</f>
        <v>201.16</v>
      </c>
      <c r="AE1440" s="1">
        <f>IF(ESTIMATIVA[[#This Row],[QT_AREA_REAL]]&gt;0,ESTIMATIVA[[#This Row],[QT_CANA_REAL]],ESTIMATIVA[[#This Row],[QT_CANA_REST1]])</f>
        <v>201.16</v>
      </c>
      <c r="AF1440" s="1">
        <f>IF(ESTIMATIVA[[#This Row],[QT_AREA_REAL]]&gt;0,ESTIMATIVA[[#This Row],[QT_CANA_REAL]],ESTIMATIVA[[#This Row],[QT_CANA_REST2]])</f>
        <v>201.16</v>
      </c>
      <c r="AG1440" s="1" t="str">
        <f>IF(COUNTIFS(GEADA!A:A,VALUE(ESTIMATIVA[[#This Row],[CD_UPNIVEL1]]&amp;TEXT(ESTIMATIVA[[#This Row],[CD_UPNIVEL3]],"0000")))&gt;0,"S","N")</f>
        <v>N</v>
      </c>
      <c r="AH144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40" s="55" t="str">
        <f>IF(ESTIMATIVA[[#This Row],[TP_CULTIVO]]="Irrigado",_xlfn.MAXIFS(IRRIGADO!J:J,IRRIGADO!C:C,ESTIMATIVA[[#This Row],[CD_UPNIVEL1]],IRRIGADO!E:E,ESTIMATIVA[[#This Row],[CD_UPNIVEL3]]),"")</f>
        <v/>
      </c>
      <c r="AJ144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40" s="1">
        <f>COUNTIFS(Apresentação!$E$23:$E$29,ESTIMATIVA[[#This Row],[CD_UPNIVEL1]])</f>
        <v>0</v>
      </c>
    </row>
    <row r="1441" spans="1:37" x14ac:dyDescent="0.3">
      <c r="A1441">
        <v>20569</v>
      </c>
      <c r="B1441" t="s">
        <v>82</v>
      </c>
      <c r="C1441">
        <v>43</v>
      </c>
      <c r="D1441">
        <v>7</v>
      </c>
      <c r="E1441" t="s">
        <v>270</v>
      </c>
      <c r="F1441" s="85" t="s">
        <v>332</v>
      </c>
      <c r="G1441"/>
      <c r="H1441" t="s">
        <v>295</v>
      </c>
      <c r="I1441" t="s">
        <v>208</v>
      </c>
      <c r="J1441" t="s">
        <v>176</v>
      </c>
      <c r="K1441" s="1">
        <v>2.17</v>
      </c>
      <c r="L1441" s="1">
        <v>0</v>
      </c>
      <c r="M1441" s="1">
        <v>0</v>
      </c>
      <c r="N1441" s="1">
        <v>2.17</v>
      </c>
      <c r="O1441" s="1">
        <v>151.9</v>
      </c>
      <c r="P1441" s="1">
        <v>0</v>
      </c>
      <c r="Q1441" s="1">
        <v>0</v>
      </c>
      <c r="R1441" s="1">
        <v>154.1</v>
      </c>
      <c r="S1441" t="s">
        <v>12</v>
      </c>
      <c r="T1441" s="13">
        <v>45872</v>
      </c>
      <c r="U1441" s="1" t="str">
        <f>IF(ESTIMATIVA[[#This Row],[QT_AREA_REAL]]&gt;0,"1- Colhido","2- à Colher")</f>
        <v>1- Colhido</v>
      </c>
      <c r="V1441" s="1" t="str">
        <f>IF(ESTIMATIVA[[#This Row],[QT_AREA_REST1]]&gt;0,"Reestimativa 1",IF(ESTIMATIVA[[#This Row],[QT_AREA_REAL]]=0,"Reestimativa 1","Realizado"))</f>
        <v>Realizado</v>
      </c>
      <c r="W1441" s="1" t="str">
        <f>IF(ESTIMATIVA[[#This Row],[QT_AREA_REST2]]&gt;0,"Reestimativa 2",IF(ESTIMATIVA[[#This Row],[QT_AREA_REAL]]=0,"Reestimativa 2","Realizado"))</f>
        <v>Realizado</v>
      </c>
      <c r="X1441" s="1">
        <f>ESTIMATIVA[[#This Row],[QT_AREA_EST]]</f>
        <v>2.17</v>
      </c>
      <c r="Y1441" s="1">
        <f>IF(ESTIMATIVA[[#This Row],[QT_AREA_REST1]]&gt;0,ESTIMATIVA[[#This Row],[QT_AREA_REST1]],
  IF(ESTIMATIVA[[#This Row],[QT_AREA_REAL]]&gt;0,ESTIMATIVA[[#This Row],[QT_AREA_REAL]],ESTIMATIVA[[#This Row],[QT_AREA_EST]]))</f>
        <v>2.17</v>
      </c>
      <c r="Z144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2.17</v>
      </c>
      <c r="AA1441" s="1">
        <f>ESTIMATIVA[[#This Row],[QT_CANA_EST]]</f>
        <v>151.9</v>
      </c>
      <c r="AB1441" s="1">
        <f>IF(ESTIMATIVA[[#This Row],[QT_CANA_REST1]]&gt;0,ESTIMATIVA[[#This Row],[QT_CANA_REST1]],
  IF(ESTIMATIVA[[#This Row],[QT_CANA_REAL]]&gt;0,ESTIMATIVA[[#This Row],[QT_CANA_REAL]],ESTIMATIVA[[#This Row],[QT_CANA_EST]]))</f>
        <v>154.1</v>
      </c>
      <c r="AC144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154.1</v>
      </c>
      <c r="AD1441" s="1">
        <f>IF(ESTIMATIVA[[#This Row],[QT_AREA_REAL]]&gt;0,ESTIMATIVA[[#This Row],[QT_CANA_REAL]],ESTIMATIVA[[#This Row],[QT_CANA_EST]])</f>
        <v>154.1</v>
      </c>
      <c r="AE1441" s="1">
        <f>IF(ESTIMATIVA[[#This Row],[QT_AREA_REAL]]&gt;0,ESTIMATIVA[[#This Row],[QT_CANA_REAL]],ESTIMATIVA[[#This Row],[QT_CANA_REST1]])</f>
        <v>154.1</v>
      </c>
      <c r="AF1441" s="1">
        <f>IF(ESTIMATIVA[[#This Row],[QT_AREA_REAL]]&gt;0,ESTIMATIVA[[#This Row],[QT_CANA_REAL]],ESTIMATIVA[[#This Row],[QT_CANA_REST2]])</f>
        <v>154.1</v>
      </c>
      <c r="AG1441" s="1" t="str">
        <f>IF(COUNTIFS(GEADA!A:A,VALUE(ESTIMATIVA[[#This Row],[CD_UPNIVEL1]]&amp;TEXT(ESTIMATIVA[[#This Row],[CD_UPNIVEL3]],"0000")))&gt;0,"S","N")</f>
        <v>N</v>
      </c>
      <c r="AH144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41" s="55" t="str">
        <f>IF(ESTIMATIVA[[#This Row],[TP_CULTIVO]]="Irrigado",_xlfn.MAXIFS(IRRIGADO!J:J,IRRIGADO!C:C,ESTIMATIVA[[#This Row],[CD_UPNIVEL1]],IRRIGADO!E:E,ESTIMATIVA[[#This Row],[CD_UPNIVEL3]]),"")</f>
        <v/>
      </c>
      <c r="AJ144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41" s="1">
        <f>COUNTIFS(Apresentação!$E$23:$E$29,ESTIMATIVA[[#This Row],[CD_UPNIVEL1]])</f>
        <v>0</v>
      </c>
    </row>
    <row r="1442" spans="1:37" x14ac:dyDescent="0.3">
      <c r="A1442">
        <v>20569</v>
      </c>
      <c r="B1442" t="s">
        <v>82</v>
      </c>
      <c r="C1442">
        <v>44</v>
      </c>
      <c r="D1442">
        <v>7</v>
      </c>
      <c r="E1442" t="s">
        <v>270</v>
      </c>
      <c r="F1442" s="85" t="s">
        <v>332</v>
      </c>
      <c r="G1442"/>
      <c r="H1442" t="s">
        <v>295</v>
      </c>
      <c r="I1442" t="s">
        <v>208</v>
      </c>
      <c r="J1442" t="s">
        <v>176</v>
      </c>
      <c r="K1442" s="1">
        <v>1.73</v>
      </c>
      <c r="L1442" s="1">
        <v>0</v>
      </c>
      <c r="M1442" s="1">
        <v>0</v>
      </c>
      <c r="N1442" s="1">
        <v>1.73</v>
      </c>
      <c r="O1442" s="1">
        <v>121.1</v>
      </c>
      <c r="P1442" s="1">
        <v>0</v>
      </c>
      <c r="Q1442" s="1">
        <v>0</v>
      </c>
      <c r="R1442" s="1">
        <v>123.25</v>
      </c>
      <c r="S1442" t="s">
        <v>12</v>
      </c>
      <c r="T1442" s="13">
        <v>45872</v>
      </c>
      <c r="U1442" s="1" t="str">
        <f>IF(ESTIMATIVA[[#This Row],[QT_AREA_REAL]]&gt;0,"1- Colhido","2- à Colher")</f>
        <v>1- Colhido</v>
      </c>
      <c r="V1442" s="1" t="str">
        <f>IF(ESTIMATIVA[[#This Row],[QT_AREA_REST1]]&gt;0,"Reestimativa 1",IF(ESTIMATIVA[[#This Row],[QT_AREA_REAL]]=0,"Reestimativa 1","Realizado"))</f>
        <v>Realizado</v>
      </c>
      <c r="W1442" s="1" t="str">
        <f>IF(ESTIMATIVA[[#This Row],[QT_AREA_REST2]]&gt;0,"Reestimativa 2",IF(ESTIMATIVA[[#This Row],[QT_AREA_REAL]]=0,"Reestimativa 2","Realizado"))</f>
        <v>Realizado</v>
      </c>
      <c r="X1442" s="1">
        <f>ESTIMATIVA[[#This Row],[QT_AREA_EST]]</f>
        <v>1.73</v>
      </c>
      <c r="Y1442" s="1">
        <f>IF(ESTIMATIVA[[#This Row],[QT_AREA_REST1]]&gt;0,ESTIMATIVA[[#This Row],[QT_AREA_REST1]],
  IF(ESTIMATIVA[[#This Row],[QT_AREA_REAL]]&gt;0,ESTIMATIVA[[#This Row],[QT_AREA_REAL]],ESTIMATIVA[[#This Row],[QT_AREA_EST]]))</f>
        <v>1.73</v>
      </c>
      <c r="Z144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1.73</v>
      </c>
      <c r="AA1442" s="1">
        <f>ESTIMATIVA[[#This Row],[QT_CANA_EST]]</f>
        <v>121.1</v>
      </c>
      <c r="AB1442" s="1">
        <f>IF(ESTIMATIVA[[#This Row],[QT_CANA_REST1]]&gt;0,ESTIMATIVA[[#This Row],[QT_CANA_REST1]],
  IF(ESTIMATIVA[[#This Row],[QT_CANA_REAL]]&gt;0,ESTIMATIVA[[#This Row],[QT_CANA_REAL]],ESTIMATIVA[[#This Row],[QT_CANA_EST]]))</f>
        <v>123.25</v>
      </c>
      <c r="AC144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123.25</v>
      </c>
      <c r="AD1442" s="1">
        <f>IF(ESTIMATIVA[[#This Row],[QT_AREA_REAL]]&gt;0,ESTIMATIVA[[#This Row],[QT_CANA_REAL]],ESTIMATIVA[[#This Row],[QT_CANA_EST]])</f>
        <v>123.25</v>
      </c>
      <c r="AE1442" s="1">
        <f>IF(ESTIMATIVA[[#This Row],[QT_AREA_REAL]]&gt;0,ESTIMATIVA[[#This Row],[QT_CANA_REAL]],ESTIMATIVA[[#This Row],[QT_CANA_REST1]])</f>
        <v>123.25</v>
      </c>
      <c r="AF1442" s="1">
        <f>IF(ESTIMATIVA[[#This Row],[QT_AREA_REAL]]&gt;0,ESTIMATIVA[[#This Row],[QT_CANA_REAL]],ESTIMATIVA[[#This Row],[QT_CANA_REST2]])</f>
        <v>123.25</v>
      </c>
      <c r="AG1442" s="1" t="str">
        <f>IF(COUNTIFS(GEADA!A:A,VALUE(ESTIMATIVA[[#This Row],[CD_UPNIVEL1]]&amp;TEXT(ESTIMATIVA[[#This Row],[CD_UPNIVEL3]],"0000")))&gt;0,"S","N")</f>
        <v>N</v>
      </c>
      <c r="AH144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42" s="55" t="str">
        <f>IF(ESTIMATIVA[[#This Row],[TP_CULTIVO]]="Irrigado",_xlfn.MAXIFS(IRRIGADO!J:J,IRRIGADO!C:C,ESTIMATIVA[[#This Row],[CD_UPNIVEL1]],IRRIGADO!E:E,ESTIMATIVA[[#This Row],[CD_UPNIVEL3]]),"")</f>
        <v/>
      </c>
      <c r="AJ144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42" s="1">
        <f>COUNTIFS(Apresentação!$E$23:$E$29,ESTIMATIVA[[#This Row],[CD_UPNIVEL1]])</f>
        <v>0</v>
      </c>
    </row>
    <row r="1443" spans="1:37" x14ac:dyDescent="0.3">
      <c r="A1443">
        <v>20569</v>
      </c>
      <c r="B1443" t="s">
        <v>82</v>
      </c>
      <c r="C1443">
        <v>45</v>
      </c>
      <c r="D1443">
        <v>7</v>
      </c>
      <c r="E1443" t="s">
        <v>270</v>
      </c>
      <c r="F1443" s="85" t="s">
        <v>331</v>
      </c>
      <c r="G1443"/>
      <c r="H1443" t="s">
        <v>295</v>
      </c>
      <c r="I1443" t="s">
        <v>208</v>
      </c>
      <c r="J1443" t="s">
        <v>176</v>
      </c>
      <c r="K1443" s="1">
        <v>3.99</v>
      </c>
      <c r="L1443" s="1">
        <v>0</v>
      </c>
      <c r="M1443" s="1">
        <v>0</v>
      </c>
      <c r="N1443" s="1">
        <v>3.99</v>
      </c>
      <c r="O1443" s="1">
        <v>279.3</v>
      </c>
      <c r="P1443" s="1">
        <v>0</v>
      </c>
      <c r="Q1443" s="1">
        <v>0</v>
      </c>
      <c r="R1443" s="1">
        <v>283.79000000000002</v>
      </c>
      <c r="S1443" t="s">
        <v>12</v>
      </c>
      <c r="T1443" s="13">
        <v>45872</v>
      </c>
      <c r="U1443" s="1" t="str">
        <f>IF(ESTIMATIVA[[#This Row],[QT_AREA_REAL]]&gt;0,"1- Colhido","2- à Colher")</f>
        <v>1- Colhido</v>
      </c>
      <c r="V1443" s="1" t="str">
        <f>IF(ESTIMATIVA[[#This Row],[QT_AREA_REST1]]&gt;0,"Reestimativa 1",IF(ESTIMATIVA[[#This Row],[QT_AREA_REAL]]=0,"Reestimativa 1","Realizado"))</f>
        <v>Realizado</v>
      </c>
      <c r="W1443" s="1" t="str">
        <f>IF(ESTIMATIVA[[#This Row],[QT_AREA_REST2]]&gt;0,"Reestimativa 2",IF(ESTIMATIVA[[#This Row],[QT_AREA_REAL]]=0,"Reestimativa 2","Realizado"))</f>
        <v>Realizado</v>
      </c>
      <c r="X1443" s="1">
        <f>ESTIMATIVA[[#This Row],[QT_AREA_EST]]</f>
        <v>3.99</v>
      </c>
      <c r="Y1443" s="1">
        <f>IF(ESTIMATIVA[[#This Row],[QT_AREA_REST1]]&gt;0,ESTIMATIVA[[#This Row],[QT_AREA_REST1]],
  IF(ESTIMATIVA[[#This Row],[QT_AREA_REAL]]&gt;0,ESTIMATIVA[[#This Row],[QT_AREA_REAL]],ESTIMATIVA[[#This Row],[QT_AREA_EST]]))</f>
        <v>3.99</v>
      </c>
      <c r="Z144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3.99</v>
      </c>
      <c r="AA1443" s="1">
        <f>ESTIMATIVA[[#This Row],[QT_CANA_EST]]</f>
        <v>279.3</v>
      </c>
      <c r="AB1443" s="1">
        <f>IF(ESTIMATIVA[[#This Row],[QT_CANA_REST1]]&gt;0,ESTIMATIVA[[#This Row],[QT_CANA_REST1]],
  IF(ESTIMATIVA[[#This Row],[QT_CANA_REAL]]&gt;0,ESTIMATIVA[[#This Row],[QT_CANA_REAL]],ESTIMATIVA[[#This Row],[QT_CANA_EST]]))</f>
        <v>283.79000000000002</v>
      </c>
      <c r="AC144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283.79000000000002</v>
      </c>
      <c r="AD1443" s="1">
        <f>IF(ESTIMATIVA[[#This Row],[QT_AREA_REAL]]&gt;0,ESTIMATIVA[[#This Row],[QT_CANA_REAL]],ESTIMATIVA[[#This Row],[QT_CANA_EST]])</f>
        <v>283.79000000000002</v>
      </c>
      <c r="AE1443" s="1">
        <f>IF(ESTIMATIVA[[#This Row],[QT_AREA_REAL]]&gt;0,ESTIMATIVA[[#This Row],[QT_CANA_REAL]],ESTIMATIVA[[#This Row],[QT_CANA_REST1]])</f>
        <v>283.79000000000002</v>
      </c>
      <c r="AF1443" s="1">
        <f>IF(ESTIMATIVA[[#This Row],[QT_AREA_REAL]]&gt;0,ESTIMATIVA[[#This Row],[QT_CANA_REAL]],ESTIMATIVA[[#This Row],[QT_CANA_REST2]])</f>
        <v>283.79000000000002</v>
      </c>
      <c r="AG1443" s="1" t="str">
        <f>IF(COUNTIFS(GEADA!A:A,VALUE(ESTIMATIVA[[#This Row],[CD_UPNIVEL1]]&amp;TEXT(ESTIMATIVA[[#This Row],[CD_UPNIVEL3]],"0000")))&gt;0,"S","N")</f>
        <v>N</v>
      </c>
      <c r="AH144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43" s="55" t="str">
        <f>IF(ESTIMATIVA[[#This Row],[TP_CULTIVO]]="Irrigado",_xlfn.MAXIFS(IRRIGADO!J:J,IRRIGADO!C:C,ESTIMATIVA[[#This Row],[CD_UPNIVEL1]],IRRIGADO!E:E,ESTIMATIVA[[#This Row],[CD_UPNIVEL3]]),"")</f>
        <v/>
      </c>
      <c r="AJ144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43" s="1">
        <f>COUNTIFS(Apresentação!$E$23:$E$29,ESTIMATIVA[[#This Row],[CD_UPNIVEL1]])</f>
        <v>0</v>
      </c>
    </row>
    <row r="1444" spans="1:37" x14ac:dyDescent="0.3">
      <c r="A1444">
        <v>20569</v>
      </c>
      <c r="B1444" t="s">
        <v>82</v>
      </c>
      <c r="C1444">
        <v>46</v>
      </c>
      <c r="D1444">
        <v>7</v>
      </c>
      <c r="E1444" t="s">
        <v>270</v>
      </c>
      <c r="F1444" s="85" t="s">
        <v>331</v>
      </c>
      <c r="G1444"/>
      <c r="H1444" t="s">
        <v>295</v>
      </c>
      <c r="I1444" t="s">
        <v>208</v>
      </c>
      <c r="J1444" t="s">
        <v>176</v>
      </c>
      <c r="K1444" s="1">
        <v>1.23</v>
      </c>
      <c r="L1444" s="1">
        <v>0</v>
      </c>
      <c r="M1444" s="1">
        <v>0</v>
      </c>
      <c r="N1444" s="1">
        <v>1.23</v>
      </c>
      <c r="O1444" s="1">
        <v>73.8</v>
      </c>
      <c r="P1444" s="1">
        <v>0</v>
      </c>
      <c r="Q1444" s="1">
        <v>0</v>
      </c>
      <c r="R1444" s="1">
        <v>76.39</v>
      </c>
      <c r="S1444" t="s">
        <v>12</v>
      </c>
      <c r="T1444" s="13">
        <v>45872</v>
      </c>
      <c r="U1444" s="1" t="str">
        <f>IF(ESTIMATIVA[[#This Row],[QT_AREA_REAL]]&gt;0,"1- Colhido","2- à Colher")</f>
        <v>1- Colhido</v>
      </c>
      <c r="V1444" s="1" t="str">
        <f>IF(ESTIMATIVA[[#This Row],[QT_AREA_REST1]]&gt;0,"Reestimativa 1",IF(ESTIMATIVA[[#This Row],[QT_AREA_REAL]]=0,"Reestimativa 1","Realizado"))</f>
        <v>Realizado</v>
      </c>
      <c r="W1444" s="1" t="str">
        <f>IF(ESTIMATIVA[[#This Row],[QT_AREA_REST2]]&gt;0,"Reestimativa 2",IF(ESTIMATIVA[[#This Row],[QT_AREA_REAL]]=0,"Reestimativa 2","Realizado"))</f>
        <v>Realizado</v>
      </c>
      <c r="X1444" s="1">
        <f>ESTIMATIVA[[#This Row],[QT_AREA_EST]]</f>
        <v>1.23</v>
      </c>
      <c r="Y1444" s="1">
        <f>IF(ESTIMATIVA[[#This Row],[QT_AREA_REST1]]&gt;0,ESTIMATIVA[[#This Row],[QT_AREA_REST1]],
  IF(ESTIMATIVA[[#This Row],[QT_AREA_REAL]]&gt;0,ESTIMATIVA[[#This Row],[QT_AREA_REAL]],ESTIMATIVA[[#This Row],[QT_AREA_EST]]))</f>
        <v>1.23</v>
      </c>
      <c r="Z144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1.23</v>
      </c>
      <c r="AA1444" s="1">
        <f>ESTIMATIVA[[#This Row],[QT_CANA_EST]]</f>
        <v>73.8</v>
      </c>
      <c r="AB1444" s="1">
        <f>IF(ESTIMATIVA[[#This Row],[QT_CANA_REST1]]&gt;0,ESTIMATIVA[[#This Row],[QT_CANA_REST1]],
  IF(ESTIMATIVA[[#This Row],[QT_CANA_REAL]]&gt;0,ESTIMATIVA[[#This Row],[QT_CANA_REAL]],ESTIMATIVA[[#This Row],[QT_CANA_EST]]))</f>
        <v>76.39</v>
      </c>
      <c r="AC144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76.39</v>
      </c>
      <c r="AD1444" s="1">
        <f>IF(ESTIMATIVA[[#This Row],[QT_AREA_REAL]]&gt;0,ESTIMATIVA[[#This Row],[QT_CANA_REAL]],ESTIMATIVA[[#This Row],[QT_CANA_EST]])</f>
        <v>76.39</v>
      </c>
      <c r="AE1444" s="1">
        <f>IF(ESTIMATIVA[[#This Row],[QT_AREA_REAL]]&gt;0,ESTIMATIVA[[#This Row],[QT_CANA_REAL]],ESTIMATIVA[[#This Row],[QT_CANA_REST1]])</f>
        <v>76.39</v>
      </c>
      <c r="AF1444" s="1">
        <f>IF(ESTIMATIVA[[#This Row],[QT_AREA_REAL]]&gt;0,ESTIMATIVA[[#This Row],[QT_CANA_REAL]],ESTIMATIVA[[#This Row],[QT_CANA_REST2]])</f>
        <v>76.39</v>
      </c>
      <c r="AG1444" s="1" t="str">
        <f>IF(COUNTIFS(GEADA!A:A,VALUE(ESTIMATIVA[[#This Row],[CD_UPNIVEL1]]&amp;TEXT(ESTIMATIVA[[#This Row],[CD_UPNIVEL3]],"0000")))&gt;0,"S","N")</f>
        <v>N</v>
      </c>
      <c r="AH144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44" s="55" t="str">
        <f>IF(ESTIMATIVA[[#This Row],[TP_CULTIVO]]="Irrigado",_xlfn.MAXIFS(IRRIGADO!J:J,IRRIGADO!C:C,ESTIMATIVA[[#This Row],[CD_UPNIVEL1]],IRRIGADO!E:E,ESTIMATIVA[[#This Row],[CD_UPNIVEL3]]),"")</f>
        <v/>
      </c>
      <c r="AJ144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44" s="1">
        <f>COUNTIFS(Apresentação!$E$23:$E$29,ESTIMATIVA[[#This Row],[CD_UPNIVEL1]])</f>
        <v>0</v>
      </c>
    </row>
    <row r="1445" spans="1:37" x14ac:dyDescent="0.3">
      <c r="A1445">
        <v>20569</v>
      </c>
      <c r="B1445" t="s">
        <v>82</v>
      </c>
      <c r="C1445">
        <v>47</v>
      </c>
      <c r="D1445">
        <v>7</v>
      </c>
      <c r="E1445" t="s">
        <v>270</v>
      </c>
      <c r="F1445" s="85" t="s">
        <v>331</v>
      </c>
      <c r="G1445"/>
      <c r="H1445" t="s">
        <v>295</v>
      </c>
      <c r="I1445" t="s">
        <v>208</v>
      </c>
      <c r="J1445" t="s">
        <v>176</v>
      </c>
      <c r="K1445" s="1">
        <v>1.9</v>
      </c>
      <c r="L1445" s="1">
        <v>0</v>
      </c>
      <c r="M1445" s="1">
        <v>0</v>
      </c>
      <c r="N1445" s="1">
        <v>1.9</v>
      </c>
      <c r="O1445" s="1">
        <v>114</v>
      </c>
      <c r="P1445" s="1">
        <v>0</v>
      </c>
      <c r="Q1445" s="1">
        <v>0</v>
      </c>
      <c r="R1445" s="1">
        <v>115.73</v>
      </c>
      <c r="S1445" t="s">
        <v>12</v>
      </c>
      <c r="T1445" s="13">
        <v>45872</v>
      </c>
      <c r="U1445" s="1" t="str">
        <f>IF(ESTIMATIVA[[#This Row],[QT_AREA_REAL]]&gt;0,"1- Colhido","2- à Colher")</f>
        <v>1- Colhido</v>
      </c>
      <c r="V1445" s="1" t="str">
        <f>IF(ESTIMATIVA[[#This Row],[QT_AREA_REST1]]&gt;0,"Reestimativa 1",IF(ESTIMATIVA[[#This Row],[QT_AREA_REAL]]=0,"Reestimativa 1","Realizado"))</f>
        <v>Realizado</v>
      </c>
      <c r="W1445" s="1" t="str">
        <f>IF(ESTIMATIVA[[#This Row],[QT_AREA_REST2]]&gt;0,"Reestimativa 2",IF(ESTIMATIVA[[#This Row],[QT_AREA_REAL]]=0,"Reestimativa 2","Realizado"))</f>
        <v>Realizado</v>
      </c>
      <c r="X1445" s="1">
        <f>ESTIMATIVA[[#This Row],[QT_AREA_EST]]</f>
        <v>1.9</v>
      </c>
      <c r="Y1445" s="1">
        <f>IF(ESTIMATIVA[[#This Row],[QT_AREA_REST1]]&gt;0,ESTIMATIVA[[#This Row],[QT_AREA_REST1]],
  IF(ESTIMATIVA[[#This Row],[QT_AREA_REAL]]&gt;0,ESTIMATIVA[[#This Row],[QT_AREA_REAL]],ESTIMATIVA[[#This Row],[QT_AREA_EST]]))</f>
        <v>1.9</v>
      </c>
      <c r="Z144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1.9</v>
      </c>
      <c r="AA1445" s="1">
        <f>ESTIMATIVA[[#This Row],[QT_CANA_EST]]</f>
        <v>114</v>
      </c>
      <c r="AB1445" s="1">
        <f>IF(ESTIMATIVA[[#This Row],[QT_CANA_REST1]]&gt;0,ESTIMATIVA[[#This Row],[QT_CANA_REST1]],
  IF(ESTIMATIVA[[#This Row],[QT_CANA_REAL]]&gt;0,ESTIMATIVA[[#This Row],[QT_CANA_REAL]],ESTIMATIVA[[#This Row],[QT_CANA_EST]]))</f>
        <v>115.73</v>
      </c>
      <c r="AC144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115.73</v>
      </c>
      <c r="AD1445" s="1">
        <f>IF(ESTIMATIVA[[#This Row],[QT_AREA_REAL]]&gt;0,ESTIMATIVA[[#This Row],[QT_CANA_REAL]],ESTIMATIVA[[#This Row],[QT_CANA_EST]])</f>
        <v>115.73</v>
      </c>
      <c r="AE1445" s="1">
        <f>IF(ESTIMATIVA[[#This Row],[QT_AREA_REAL]]&gt;0,ESTIMATIVA[[#This Row],[QT_CANA_REAL]],ESTIMATIVA[[#This Row],[QT_CANA_REST1]])</f>
        <v>115.73</v>
      </c>
      <c r="AF1445" s="1">
        <f>IF(ESTIMATIVA[[#This Row],[QT_AREA_REAL]]&gt;0,ESTIMATIVA[[#This Row],[QT_CANA_REAL]],ESTIMATIVA[[#This Row],[QT_CANA_REST2]])</f>
        <v>115.73</v>
      </c>
      <c r="AG1445" s="1" t="str">
        <f>IF(COUNTIFS(GEADA!A:A,VALUE(ESTIMATIVA[[#This Row],[CD_UPNIVEL1]]&amp;TEXT(ESTIMATIVA[[#This Row],[CD_UPNIVEL3]],"0000")))&gt;0,"S","N")</f>
        <v>N</v>
      </c>
      <c r="AH144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45" s="55" t="str">
        <f>IF(ESTIMATIVA[[#This Row],[TP_CULTIVO]]="Irrigado",_xlfn.MAXIFS(IRRIGADO!J:J,IRRIGADO!C:C,ESTIMATIVA[[#This Row],[CD_UPNIVEL1]],IRRIGADO!E:E,ESTIMATIVA[[#This Row],[CD_UPNIVEL3]]),"")</f>
        <v/>
      </c>
      <c r="AJ144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45" s="1">
        <f>COUNTIFS(Apresentação!$E$23:$E$29,ESTIMATIVA[[#This Row],[CD_UPNIVEL1]])</f>
        <v>0</v>
      </c>
    </row>
    <row r="1446" spans="1:37" x14ac:dyDescent="0.3">
      <c r="A1446">
        <v>20569</v>
      </c>
      <c r="B1446" t="s">
        <v>82</v>
      </c>
      <c r="C1446">
        <v>48</v>
      </c>
      <c r="D1446">
        <v>7</v>
      </c>
      <c r="E1446" t="s">
        <v>270</v>
      </c>
      <c r="F1446" s="85" t="s">
        <v>331</v>
      </c>
      <c r="G1446"/>
      <c r="H1446" t="s">
        <v>295</v>
      </c>
      <c r="I1446" t="s">
        <v>208</v>
      </c>
      <c r="J1446" t="s">
        <v>176</v>
      </c>
      <c r="K1446" s="1">
        <v>1.74</v>
      </c>
      <c r="L1446" s="1">
        <v>0</v>
      </c>
      <c r="M1446" s="1">
        <v>0</v>
      </c>
      <c r="N1446" s="1">
        <v>1.74</v>
      </c>
      <c r="O1446" s="1">
        <v>104.4</v>
      </c>
      <c r="P1446" s="1">
        <v>0</v>
      </c>
      <c r="Q1446" s="1">
        <v>0</v>
      </c>
      <c r="R1446" s="1">
        <v>105.37</v>
      </c>
      <c r="S1446" t="s">
        <v>12</v>
      </c>
      <c r="T1446" s="13">
        <v>45872</v>
      </c>
      <c r="U1446" s="1" t="str">
        <f>IF(ESTIMATIVA[[#This Row],[QT_AREA_REAL]]&gt;0,"1- Colhido","2- à Colher")</f>
        <v>1- Colhido</v>
      </c>
      <c r="V1446" s="1" t="str">
        <f>IF(ESTIMATIVA[[#This Row],[QT_AREA_REST1]]&gt;0,"Reestimativa 1",IF(ESTIMATIVA[[#This Row],[QT_AREA_REAL]]=0,"Reestimativa 1","Realizado"))</f>
        <v>Realizado</v>
      </c>
      <c r="W1446" s="1" t="str">
        <f>IF(ESTIMATIVA[[#This Row],[QT_AREA_REST2]]&gt;0,"Reestimativa 2",IF(ESTIMATIVA[[#This Row],[QT_AREA_REAL]]=0,"Reestimativa 2","Realizado"))</f>
        <v>Realizado</v>
      </c>
      <c r="X1446" s="1">
        <f>ESTIMATIVA[[#This Row],[QT_AREA_EST]]</f>
        <v>1.74</v>
      </c>
      <c r="Y1446" s="1">
        <f>IF(ESTIMATIVA[[#This Row],[QT_AREA_REST1]]&gt;0,ESTIMATIVA[[#This Row],[QT_AREA_REST1]],
  IF(ESTIMATIVA[[#This Row],[QT_AREA_REAL]]&gt;0,ESTIMATIVA[[#This Row],[QT_AREA_REAL]],ESTIMATIVA[[#This Row],[QT_AREA_EST]]))</f>
        <v>1.74</v>
      </c>
      <c r="Z144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1.74</v>
      </c>
      <c r="AA1446" s="1">
        <f>ESTIMATIVA[[#This Row],[QT_CANA_EST]]</f>
        <v>104.4</v>
      </c>
      <c r="AB1446" s="1">
        <f>IF(ESTIMATIVA[[#This Row],[QT_CANA_REST1]]&gt;0,ESTIMATIVA[[#This Row],[QT_CANA_REST1]],
  IF(ESTIMATIVA[[#This Row],[QT_CANA_REAL]]&gt;0,ESTIMATIVA[[#This Row],[QT_CANA_REAL]],ESTIMATIVA[[#This Row],[QT_CANA_EST]]))</f>
        <v>105.37</v>
      </c>
      <c r="AC144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105.37</v>
      </c>
      <c r="AD1446" s="1">
        <f>IF(ESTIMATIVA[[#This Row],[QT_AREA_REAL]]&gt;0,ESTIMATIVA[[#This Row],[QT_CANA_REAL]],ESTIMATIVA[[#This Row],[QT_CANA_EST]])</f>
        <v>105.37</v>
      </c>
      <c r="AE1446" s="1">
        <f>IF(ESTIMATIVA[[#This Row],[QT_AREA_REAL]]&gt;0,ESTIMATIVA[[#This Row],[QT_CANA_REAL]],ESTIMATIVA[[#This Row],[QT_CANA_REST1]])</f>
        <v>105.37</v>
      </c>
      <c r="AF1446" s="1">
        <f>IF(ESTIMATIVA[[#This Row],[QT_AREA_REAL]]&gt;0,ESTIMATIVA[[#This Row],[QT_CANA_REAL]],ESTIMATIVA[[#This Row],[QT_CANA_REST2]])</f>
        <v>105.37</v>
      </c>
      <c r="AG1446" s="1" t="str">
        <f>IF(COUNTIFS(GEADA!A:A,VALUE(ESTIMATIVA[[#This Row],[CD_UPNIVEL1]]&amp;TEXT(ESTIMATIVA[[#This Row],[CD_UPNIVEL3]],"0000")))&gt;0,"S","N")</f>
        <v>N</v>
      </c>
      <c r="AH144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46" s="55" t="str">
        <f>IF(ESTIMATIVA[[#This Row],[TP_CULTIVO]]="Irrigado",_xlfn.MAXIFS(IRRIGADO!J:J,IRRIGADO!C:C,ESTIMATIVA[[#This Row],[CD_UPNIVEL1]],IRRIGADO!E:E,ESTIMATIVA[[#This Row],[CD_UPNIVEL3]]),"")</f>
        <v/>
      </c>
      <c r="AJ144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46" s="1">
        <f>COUNTIFS(Apresentação!$E$23:$E$29,ESTIMATIVA[[#This Row],[CD_UPNIVEL1]])</f>
        <v>0</v>
      </c>
    </row>
    <row r="1447" spans="1:37" x14ac:dyDescent="0.3">
      <c r="A1447">
        <v>20569</v>
      </c>
      <c r="B1447" t="s">
        <v>82</v>
      </c>
      <c r="C1447">
        <v>49</v>
      </c>
      <c r="D1447">
        <v>7</v>
      </c>
      <c r="E1447" t="s">
        <v>270</v>
      </c>
      <c r="F1447" s="85" t="s">
        <v>331</v>
      </c>
      <c r="G1447"/>
      <c r="H1447" t="s">
        <v>295</v>
      </c>
      <c r="I1447" t="s">
        <v>208</v>
      </c>
      <c r="J1447" t="s">
        <v>176</v>
      </c>
      <c r="K1447" s="1">
        <v>3.34</v>
      </c>
      <c r="L1447" s="1">
        <v>0</v>
      </c>
      <c r="M1447" s="1">
        <v>0</v>
      </c>
      <c r="N1447" s="1">
        <v>3.34</v>
      </c>
      <c r="O1447" s="1">
        <v>200.4</v>
      </c>
      <c r="P1447" s="1">
        <v>0</v>
      </c>
      <c r="Q1447" s="1">
        <v>0</v>
      </c>
      <c r="R1447" s="1">
        <v>203.52</v>
      </c>
      <c r="S1447" t="s">
        <v>12</v>
      </c>
      <c r="T1447" s="13">
        <v>45872</v>
      </c>
      <c r="U1447" s="1" t="str">
        <f>IF(ESTIMATIVA[[#This Row],[QT_AREA_REAL]]&gt;0,"1- Colhido","2- à Colher")</f>
        <v>1- Colhido</v>
      </c>
      <c r="V1447" s="1" t="str">
        <f>IF(ESTIMATIVA[[#This Row],[QT_AREA_REST1]]&gt;0,"Reestimativa 1",IF(ESTIMATIVA[[#This Row],[QT_AREA_REAL]]=0,"Reestimativa 1","Realizado"))</f>
        <v>Realizado</v>
      </c>
      <c r="W1447" s="1" t="str">
        <f>IF(ESTIMATIVA[[#This Row],[QT_AREA_REST2]]&gt;0,"Reestimativa 2",IF(ESTIMATIVA[[#This Row],[QT_AREA_REAL]]=0,"Reestimativa 2","Realizado"))</f>
        <v>Realizado</v>
      </c>
      <c r="X1447" s="1">
        <f>ESTIMATIVA[[#This Row],[QT_AREA_EST]]</f>
        <v>3.34</v>
      </c>
      <c r="Y1447" s="1">
        <f>IF(ESTIMATIVA[[#This Row],[QT_AREA_REST1]]&gt;0,ESTIMATIVA[[#This Row],[QT_AREA_REST1]],
  IF(ESTIMATIVA[[#This Row],[QT_AREA_REAL]]&gt;0,ESTIMATIVA[[#This Row],[QT_AREA_REAL]],ESTIMATIVA[[#This Row],[QT_AREA_EST]]))</f>
        <v>3.34</v>
      </c>
      <c r="Z144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3.34</v>
      </c>
      <c r="AA1447" s="1">
        <f>ESTIMATIVA[[#This Row],[QT_CANA_EST]]</f>
        <v>200.4</v>
      </c>
      <c r="AB1447" s="1">
        <f>IF(ESTIMATIVA[[#This Row],[QT_CANA_REST1]]&gt;0,ESTIMATIVA[[#This Row],[QT_CANA_REST1]],
  IF(ESTIMATIVA[[#This Row],[QT_CANA_REAL]]&gt;0,ESTIMATIVA[[#This Row],[QT_CANA_REAL]],ESTIMATIVA[[#This Row],[QT_CANA_EST]]))</f>
        <v>203.52</v>
      </c>
      <c r="AC144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203.52</v>
      </c>
      <c r="AD1447" s="1">
        <f>IF(ESTIMATIVA[[#This Row],[QT_AREA_REAL]]&gt;0,ESTIMATIVA[[#This Row],[QT_CANA_REAL]],ESTIMATIVA[[#This Row],[QT_CANA_EST]])</f>
        <v>203.52</v>
      </c>
      <c r="AE1447" s="1">
        <f>IF(ESTIMATIVA[[#This Row],[QT_AREA_REAL]]&gt;0,ESTIMATIVA[[#This Row],[QT_CANA_REAL]],ESTIMATIVA[[#This Row],[QT_CANA_REST1]])</f>
        <v>203.52</v>
      </c>
      <c r="AF1447" s="1">
        <f>IF(ESTIMATIVA[[#This Row],[QT_AREA_REAL]]&gt;0,ESTIMATIVA[[#This Row],[QT_CANA_REAL]],ESTIMATIVA[[#This Row],[QT_CANA_REST2]])</f>
        <v>203.52</v>
      </c>
      <c r="AG1447" s="1" t="str">
        <f>IF(COUNTIFS(GEADA!A:A,VALUE(ESTIMATIVA[[#This Row],[CD_UPNIVEL1]]&amp;TEXT(ESTIMATIVA[[#This Row],[CD_UPNIVEL3]],"0000")))&gt;0,"S","N")</f>
        <v>N</v>
      </c>
      <c r="AH144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47" s="55" t="str">
        <f>IF(ESTIMATIVA[[#This Row],[TP_CULTIVO]]="Irrigado",_xlfn.MAXIFS(IRRIGADO!J:J,IRRIGADO!C:C,ESTIMATIVA[[#This Row],[CD_UPNIVEL1]],IRRIGADO!E:E,ESTIMATIVA[[#This Row],[CD_UPNIVEL3]]),"")</f>
        <v/>
      </c>
      <c r="AJ144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47" s="1">
        <f>COUNTIFS(Apresentação!$E$23:$E$29,ESTIMATIVA[[#This Row],[CD_UPNIVEL1]])</f>
        <v>0</v>
      </c>
    </row>
    <row r="1448" spans="1:37" x14ac:dyDescent="0.3">
      <c r="A1448">
        <v>20569</v>
      </c>
      <c r="B1448" t="s">
        <v>82</v>
      </c>
      <c r="C1448">
        <v>50</v>
      </c>
      <c r="D1448">
        <v>7</v>
      </c>
      <c r="E1448" t="s">
        <v>270</v>
      </c>
      <c r="F1448" s="85" t="s">
        <v>331</v>
      </c>
      <c r="G1448"/>
      <c r="H1448" t="s">
        <v>295</v>
      </c>
      <c r="I1448" t="s">
        <v>208</v>
      </c>
      <c r="J1448" t="s">
        <v>176</v>
      </c>
      <c r="K1448" s="1">
        <v>3.23</v>
      </c>
      <c r="L1448" s="1">
        <v>0</v>
      </c>
      <c r="M1448" s="1">
        <v>0</v>
      </c>
      <c r="N1448" s="1">
        <v>3.23</v>
      </c>
      <c r="O1448" s="1">
        <v>193.8</v>
      </c>
      <c r="P1448" s="1">
        <v>0</v>
      </c>
      <c r="Q1448" s="1">
        <v>0</v>
      </c>
      <c r="R1448" s="1">
        <v>196.48</v>
      </c>
      <c r="S1448" t="s">
        <v>12</v>
      </c>
      <c r="T1448" s="13">
        <v>45872</v>
      </c>
      <c r="U1448" s="1" t="str">
        <f>IF(ESTIMATIVA[[#This Row],[QT_AREA_REAL]]&gt;0,"1- Colhido","2- à Colher")</f>
        <v>1- Colhido</v>
      </c>
      <c r="V1448" s="1" t="str">
        <f>IF(ESTIMATIVA[[#This Row],[QT_AREA_REST1]]&gt;0,"Reestimativa 1",IF(ESTIMATIVA[[#This Row],[QT_AREA_REAL]]=0,"Reestimativa 1","Realizado"))</f>
        <v>Realizado</v>
      </c>
      <c r="W1448" s="1" t="str">
        <f>IF(ESTIMATIVA[[#This Row],[QT_AREA_REST2]]&gt;0,"Reestimativa 2",IF(ESTIMATIVA[[#This Row],[QT_AREA_REAL]]=0,"Reestimativa 2","Realizado"))</f>
        <v>Realizado</v>
      </c>
      <c r="X1448" s="1">
        <f>ESTIMATIVA[[#This Row],[QT_AREA_EST]]</f>
        <v>3.23</v>
      </c>
      <c r="Y1448" s="1">
        <f>IF(ESTIMATIVA[[#This Row],[QT_AREA_REST1]]&gt;0,ESTIMATIVA[[#This Row],[QT_AREA_REST1]],
  IF(ESTIMATIVA[[#This Row],[QT_AREA_REAL]]&gt;0,ESTIMATIVA[[#This Row],[QT_AREA_REAL]],ESTIMATIVA[[#This Row],[QT_AREA_EST]]))</f>
        <v>3.23</v>
      </c>
      <c r="Z144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3.23</v>
      </c>
      <c r="AA1448" s="1">
        <f>ESTIMATIVA[[#This Row],[QT_CANA_EST]]</f>
        <v>193.8</v>
      </c>
      <c r="AB1448" s="1">
        <f>IF(ESTIMATIVA[[#This Row],[QT_CANA_REST1]]&gt;0,ESTIMATIVA[[#This Row],[QT_CANA_REST1]],
  IF(ESTIMATIVA[[#This Row],[QT_CANA_REAL]]&gt;0,ESTIMATIVA[[#This Row],[QT_CANA_REAL]],ESTIMATIVA[[#This Row],[QT_CANA_EST]]))</f>
        <v>196.48</v>
      </c>
      <c r="AC144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196.48</v>
      </c>
      <c r="AD1448" s="1">
        <f>IF(ESTIMATIVA[[#This Row],[QT_AREA_REAL]]&gt;0,ESTIMATIVA[[#This Row],[QT_CANA_REAL]],ESTIMATIVA[[#This Row],[QT_CANA_EST]])</f>
        <v>196.48</v>
      </c>
      <c r="AE1448" s="1">
        <f>IF(ESTIMATIVA[[#This Row],[QT_AREA_REAL]]&gt;0,ESTIMATIVA[[#This Row],[QT_CANA_REAL]],ESTIMATIVA[[#This Row],[QT_CANA_REST1]])</f>
        <v>196.48</v>
      </c>
      <c r="AF1448" s="1">
        <f>IF(ESTIMATIVA[[#This Row],[QT_AREA_REAL]]&gt;0,ESTIMATIVA[[#This Row],[QT_CANA_REAL]],ESTIMATIVA[[#This Row],[QT_CANA_REST2]])</f>
        <v>196.48</v>
      </c>
      <c r="AG1448" s="1" t="str">
        <f>IF(COUNTIFS(GEADA!A:A,VALUE(ESTIMATIVA[[#This Row],[CD_UPNIVEL1]]&amp;TEXT(ESTIMATIVA[[#This Row],[CD_UPNIVEL3]],"0000")))&gt;0,"S","N")</f>
        <v>N</v>
      </c>
      <c r="AH144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48" s="55" t="str">
        <f>IF(ESTIMATIVA[[#This Row],[TP_CULTIVO]]="Irrigado",_xlfn.MAXIFS(IRRIGADO!J:J,IRRIGADO!C:C,ESTIMATIVA[[#This Row],[CD_UPNIVEL1]],IRRIGADO!E:E,ESTIMATIVA[[#This Row],[CD_UPNIVEL3]]),"")</f>
        <v/>
      </c>
      <c r="AJ144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48" s="1">
        <f>COUNTIFS(Apresentação!$E$23:$E$29,ESTIMATIVA[[#This Row],[CD_UPNIVEL1]])</f>
        <v>0</v>
      </c>
    </row>
    <row r="1449" spans="1:37" x14ac:dyDescent="0.3">
      <c r="A1449">
        <v>20569</v>
      </c>
      <c r="B1449" t="s">
        <v>82</v>
      </c>
      <c r="C1449">
        <v>51</v>
      </c>
      <c r="D1449">
        <v>7</v>
      </c>
      <c r="E1449" t="s">
        <v>270</v>
      </c>
      <c r="F1449" s="85" t="s">
        <v>331</v>
      </c>
      <c r="G1449"/>
      <c r="H1449" t="s">
        <v>295</v>
      </c>
      <c r="I1449" t="s">
        <v>208</v>
      </c>
      <c r="J1449" t="s">
        <v>176</v>
      </c>
      <c r="K1449" s="1">
        <v>1.57</v>
      </c>
      <c r="L1449" s="1">
        <v>0</v>
      </c>
      <c r="M1449" s="1">
        <v>0</v>
      </c>
      <c r="N1449" s="1">
        <v>1.57</v>
      </c>
      <c r="O1449" s="1">
        <v>94.2</v>
      </c>
      <c r="P1449" s="1">
        <v>0</v>
      </c>
      <c r="Q1449" s="1">
        <v>0</v>
      </c>
      <c r="R1449" s="1">
        <v>95.71</v>
      </c>
      <c r="S1449" t="s">
        <v>12</v>
      </c>
      <c r="T1449" s="13">
        <v>45872</v>
      </c>
      <c r="U1449" s="1" t="str">
        <f>IF(ESTIMATIVA[[#This Row],[QT_AREA_REAL]]&gt;0,"1- Colhido","2- à Colher")</f>
        <v>1- Colhido</v>
      </c>
      <c r="V1449" s="1" t="str">
        <f>IF(ESTIMATIVA[[#This Row],[QT_AREA_REST1]]&gt;0,"Reestimativa 1",IF(ESTIMATIVA[[#This Row],[QT_AREA_REAL]]=0,"Reestimativa 1","Realizado"))</f>
        <v>Realizado</v>
      </c>
      <c r="W1449" s="1" t="str">
        <f>IF(ESTIMATIVA[[#This Row],[QT_AREA_REST2]]&gt;0,"Reestimativa 2",IF(ESTIMATIVA[[#This Row],[QT_AREA_REAL]]=0,"Reestimativa 2","Realizado"))</f>
        <v>Realizado</v>
      </c>
      <c r="X1449" s="1">
        <f>ESTIMATIVA[[#This Row],[QT_AREA_EST]]</f>
        <v>1.57</v>
      </c>
      <c r="Y1449" s="1">
        <f>IF(ESTIMATIVA[[#This Row],[QT_AREA_REST1]]&gt;0,ESTIMATIVA[[#This Row],[QT_AREA_REST1]],
  IF(ESTIMATIVA[[#This Row],[QT_AREA_REAL]]&gt;0,ESTIMATIVA[[#This Row],[QT_AREA_REAL]],ESTIMATIVA[[#This Row],[QT_AREA_EST]]))</f>
        <v>1.57</v>
      </c>
      <c r="Z144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1.57</v>
      </c>
      <c r="AA1449" s="1">
        <f>ESTIMATIVA[[#This Row],[QT_CANA_EST]]</f>
        <v>94.2</v>
      </c>
      <c r="AB1449" s="1">
        <f>IF(ESTIMATIVA[[#This Row],[QT_CANA_REST1]]&gt;0,ESTIMATIVA[[#This Row],[QT_CANA_REST1]],
  IF(ESTIMATIVA[[#This Row],[QT_CANA_REAL]]&gt;0,ESTIMATIVA[[#This Row],[QT_CANA_REAL]],ESTIMATIVA[[#This Row],[QT_CANA_EST]]))</f>
        <v>95.71</v>
      </c>
      <c r="AC144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95.71</v>
      </c>
      <c r="AD1449" s="1">
        <f>IF(ESTIMATIVA[[#This Row],[QT_AREA_REAL]]&gt;0,ESTIMATIVA[[#This Row],[QT_CANA_REAL]],ESTIMATIVA[[#This Row],[QT_CANA_EST]])</f>
        <v>95.71</v>
      </c>
      <c r="AE1449" s="1">
        <f>IF(ESTIMATIVA[[#This Row],[QT_AREA_REAL]]&gt;0,ESTIMATIVA[[#This Row],[QT_CANA_REAL]],ESTIMATIVA[[#This Row],[QT_CANA_REST1]])</f>
        <v>95.71</v>
      </c>
      <c r="AF1449" s="1">
        <f>IF(ESTIMATIVA[[#This Row],[QT_AREA_REAL]]&gt;0,ESTIMATIVA[[#This Row],[QT_CANA_REAL]],ESTIMATIVA[[#This Row],[QT_CANA_REST2]])</f>
        <v>95.71</v>
      </c>
      <c r="AG1449" s="1" t="str">
        <f>IF(COUNTIFS(GEADA!A:A,VALUE(ESTIMATIVA[[#This Row],[CD_UPNIVEL1]]&amp;TEXT(ESTIMATIVA[[#This Row],[CD_UPNIVEL3]],"0000")))&gt;0,"S","N")</f>
        <v>N</v>
      </c>
      <c r="AH144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49" s="55" t="str">
        <f>IF(ESTIMATIVA[[#This Row],[TP_CULTIVO]]="Irrigado",_xlfn.MAXIFS(IRRIGADO!J:J,IRRIGADO!C:C,ESTIMATIVA[[#This Row],[CD_UPNIVEL1]],IRRIGADO!E:E,ESTIMATIVA[[#This Row],[CD_UPNIVEL3]]),"")</f>
        <v/>
      </c>
      <c r="AJ144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49" s="1">
        <f>COUNTIFS(Apresentação!$E$23:$E$29,ESTIMATIVA[[#This Row],[CD_UPNIVEL1]])</f>
        <v>0</v>
      </c>
    </row>
    <row r="1450" spans="1:37" x14ac:dyDescent="0.3">
      <c r="A1450">
        <v>20569</v>
      </c>
      <c r="B1450" t="s">
        <v>82</v>
      </c>
      <c r="C1450">
        <v>52</v>
      </c>
      <c r="D1450">
        <v>7</v>
      </c>
      <c r="E1450" t="s">
        <v>270</v>
      </c>
      <c r="F1450" s="85" t="s">
        <v>331</v>
      </c>
      <c r="G1450"/>
      <c r="H1450" t="s">
        <v>295</v>
      </c>
      <c r="I1450" t="s">
        <v>208</v>
      </c>
      <c r="J1450" t="s">
        <v>176</v>
      </c>
      <c r="K1450" s="1">
        <v>1.0900000000000001</v>
      </c>
      <c r="L1450" s="1">
        <v>0</v>
      </c>
      <c r="M1450" s="1">
        <v>0</v>
      </c>
      <c r="N1450" s="1">
        <v>1.0900000000000001</v>
      </c>
      <c r="O1450" s="1">
        <v>65.400000000000006</v>
      </c>
      <c r="P1450" s="1">
        <v>0</v>
      </c>
      <c r="Q1450" s="1">
        <v>0</v>
      </c>
      <c r="R1450" s="1">
        <v>69.12</v>
      </c>
      <c r="S1450" t="s">
        <v>12</v>
      </c>
      <c r="T1450" s="13">
        <v>45872</v>
      </c>
      <c r="U1450" s="1" t="str">
        <f>IF(ESTIMATIVA[[#This Row],[QT_AREA_REAL]]&gt;0,"1- Colhido","2- à Colher")</f>
        <v>1- Colhido</v>
      </c>
      <c r="V1450" s="1" t="str">
        <f>IF(ESTIMATIVA[[#This Row],[QT_AREA_REST1]]&gt;0,"Reestimativa 1",IF(ESTIMATIVA[[#This Row],[QT_AREA_REAL]]=0,"Reestimativa 1","Realizado"))</f>
        <v>Realizado</v>
      </c>
      <c r="W1450" s="1" t="str">
        <f>IF(ESTIMATIVA[[#This Row],[QT_AREA_REST2]]&gt;0,"Reestimativa 2",IF(ESTIMATIVA[[#This Row],[QT_AREA_REAL]]=0,"Reestimativa 2","Realizado"))</f>
        <v>Realizado</v>
      </c>
      <c r="X1450" s="1">
        <f>ESTIMATIVA[[#This Row],[QT_AREA_EST]]</f>
        <v>1.0900000000000001</v>
      </c>
      <c r="Y1450" s="1">
        <f>IF(ESTIMATIVA[[#This Row],[QT_AREA_REST1]]&gt;0,ESTIMATIVA[[#This Row],[QT_AREA_REST1]],
  IF(ESTIMATIVA[[#This Row],[QT_AREA_REAL]]&gt;0,ESTIMATIVA[[#This Row],[QT_AREA_REAL]],ESTIMATIVA[[#This Row],[QT_AREA_EST]]))</f>
        <v>1.0900000000000001</v>
      </c>
      <c r="Z145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1.0900000000000001</v>
      </c>
      <c r="AA1450" s="1">
        <f>ESTIMATIVA[[#This Row],[QT_CANA_EST]]</f>
        <v>65.400000000000006</v>
      </c>
      <c r="AB1450" s="1">
        <f>IF(ESTIMATIVA[[#This Row],[QT_CANA_REST1]]&gt;0,ESTIMATIVA[[#This Row],[QT_CANA_REST1]],
  IF(ESTIMATIVA[[#This Row],[QT_CANA_REAL]]&gt;0,ESTIMATIVA[[#This Row],[QT_CANA_REAL]],ESTIMATIVA[[#This Row],[QT_CANA_EST]]))</f>
        <v>69.12</v>
      </c>
      <c r="AC145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69.12</v>
      </c>
      <c r="AD1450" s="1">
        <f>IF(ESTIMATIVA[[#This Row],[QT_AREA_REAL]]&gt;0,ESTIMATIVA[[#This Row],[QT_CANA_REAL]],ESTIMATIVA[[#This Row],[QT_CANA_EST]])</f>
        <v>69.12</v>
      </c>
      <c r="AE1450" s="1">
        <f>IF(ESTIMATIVA[[#This Row],[QT_AREA_REAL]]&gt;0,ESTIMATIVA[[#This Row],[QT_CANA_REAL]],ESTIMATIVA[[#This Row],[QT_CANA_REST1]])</f>
        <v>69.12</v>
      </c>
      <c r="AF1450" s="1">
        <f>IF(ESTIMATIVA[[#This Row],[QT_AREA_REAL]]&gt;0,ESTIMATIVA[[#This Row],[QT_CANA_REAL]],ESTIMATIVA[[#This Row],[QT_CANA_REST2]])</f>
        <v>69.12</v>
      </c>
      <c r="AG1450" s="1" t="str">
        <f>IF(COUNTIFS(GEADA!A:A,VALUE(ESTIMATIVA[[#This Row],[CD_UPNIVEL1]]&amp;TEXT(ESTIMATIVA[[#This Row],[CD_UPNIVEL3]],"0000")))&gt;0,"S","N")</f>
        <v>N</v>
      </c>
      <c r="AH145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50" s="55" t="str">
        <f>IF(ESTIMATIVA[[#This Row],[TP_CULTIVO]]="Irrigado",_xlfn.MAXIFS(IRRIGADO!J:J,IRRIGADO!C:C,ESTIMATIVA[[#This Row],[CD_UPNIVEL1]],IRRIGADO!E:E,ESTIMATIVA[[#This Row],[CD_UPNIVEL3]]),"")</f>
        <v/>
      </c>
      <c r="AJ145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50" s="1">
        <f>COUNTIFS(Apresentação!$E$23:$E$29,ESTIMATIVA[[#This Row],[CD_UPNIVEL1]])</f>
        <v>0</v>
      </c>
    </row>
    <row r="1451" spans="1:37" x14ac:dyDescent="0.3">
      <c r="A1451">
        <v>20569</v>
      </c>
      <c r="B1451" t="s">
        <v>82</v>
      </c>
      <c r="C1451">
        <v>53</v>
      </c>
      <c r="D1451">
        <v>7</v>
      </c>
      <c r="E1451" t="s">
        <v>270</v>
      </c>
      <c r="F1451" s="85" t="s">
        <v>331</v>
      </c>
      <c r="G1451"/>
      <c r="H1451" t="s">
        <v>295</v>
      </c>
      <c r="I1451" t="s">
        <v>208</v>
      </c>
      <c r="J1451" t="s">
        <v>176</v>
      </c>
      <c r="K1451" s="1">
        <v>2.0499999999999998</v>
      </c>
      <c r="L1451" s="1">
        <v>0</v>
      </c>
      <c r="M1451" s="1">
        <v>0</v>
      </c>
      <c r="N1451" s="1">
        <v>2.0499999999999998</v>
      </c>
      <c r="O1451" s="1">
        <v>135.30000000000001</v>
      </c>
      <c r="P1451" s="1">
        <v>0</v>
      </c>
      <c r="Q1451" s="1">
        <v>0</v>
      </c>
      <c r="R1451" s="1">
        <v>155.86000000000001</v>
      </c>
      <c r="S1451" t="s">
        <v>12</v>
      </c>
      <c r="T1451" s="13">
        <v>45823</v>
      </c>
      <c r="U1451" s="1" t="str">
        <f>IF(ESTIMATIVA[[#This Row],[QT_AREA_REAL]]&gt;0,"1- Colhido","2- à Colher")</f>
        <v>1- Colhido</v>
      </c>
      <c r="V1451" s="1" t="str">
        <f>IF(ESTIMATIVA[[#This Row],[QT_AREA_REST1]]&gt;0,"Reestimativa 1",IF(ESTIMATIVA[[#This Row],[QT_AREA_REAL]]=0,"Reestimativa 1","Realizado"))</f>
        <v>Realizado</v>
      </c>
      <c r="W1451" s="1" t="str">
        <f>IF(ESTIMATIVA[[#This Row],[QT_AREA_REST2]]&gt;0,"Reestimativa 2",IF(ESTIMATIVA[[#This Row],[QT_AREA_REAL]]=0,"Reestimativa 2","Realizado"))</f>
        <v>Realizado</v>
      </c>
      <c r="X1451" s="1">
        <f>ESTIMATIVA[[#This Row],[QT_AREA_EST]]</f>
        <v>2.0499999999999998</v>
      </c>
      <c r="Y1451" s="1">
        <f>IF(ESTIMATIVA[[#This Row],[QT_AREA_REST1]]&gt;0,ESTIMATIVA[[#This Row],[QT_AREA_REST1]],
  IF(ESTIMATIVA[[#This Row],[QT_AREA_REAL]]&gt;0,ESTIMATIVA[[#This Row],[QT_AREA_REAL]],ESTIMATIVA[[#This Row],[QT_AREA_EST]]))</f>
        <v>2.0499999999999998</v>
      </c>
      <c r="Z145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2.0499999999999998</v>
      </c>
      <c r="AA1451" s="1">
        <f>ESTIMATIVA[[#This Row],[QT_CANA_EST]]</f>
        <v>135.30000000000001</v>
      </c>
      <c r="AB1451" s="1">
        <f>IF(ESTIMATIVA[[#This Row],[QT_CANA_REST1]]&gt;0,ESTIMATIVA[[#This Row],[QT_CANA_REST1]],
  IF(ESTIMATIVA[[#This Row],[QT_CANA_REAL]]&gt;0,ESTIMATIVA[[#This Row],[QT_CANA_REAL]],ESTIMATIVA[[#This Row],[QT_CANA_EST]]))</f>
        <v>155.86000000000001</v>
      </c>
      <c r="AC145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155.86000000000001</v>
      </c>
      <c r="AD1451" s="1">
        <f>IF(ESTIMATIVA[[#This Row],[QT_AREA_REAL]]&gt;0,ESTIMATIVA[[#This Row],[QT_CANA_REAL]],ESTIMATIVA[[#This Row],[QT_CANA_EST]])</f>
        <v>155.86000000000001</v>
      </c>
      <c r="AE1451" s="1">
        <f>IF(ESTIMATIVA[[#This Row],[QT_AREA_REAL]]&gt;0,ESTIMATIVA[[#This Row],[QT_CANA_REAL]],ESTIMATIVA[[#This Row],[QT_CANA_REST1]])</f>
        <v>155.86000000000001</v>
      </c>
      <c r="AF1451" s="1">
        <f>IF(ESTIMATIVA[[#This Row],[QT_AREA_REAL]]&gt;0,ESTIMATIVA[[#This Row],[QT_CANA_REAL]],ESTIMATIVA[[#This Row],[QT_CANA_REST2]])</f>
        <v>155.86000000000001</v>
      </c>
      <c r="AG1451" s="1" t="str">
        <f>IF(COUNTIFS(GEADA!A:A,VALUE(ESTIMATIVA[[#This Row],[CD_UPNIVEL1]]&amp;TEXT(ESTIMATIVA[[#This Row],[CD_UPNIVEL3]],"0000")))&gt;0,"S","N")</f>
        <v>N</v>
      </c>
      <c r="AH145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51" s="55" t="str">
        <f>IF(ESTIMATIVA[[#This Row],[TP_CULTIVO]]="Irrigado",_xlfn.MAXIFS(IRRIGADO!J:J,IRRIGADO!C:C,ESTIMATIVA[[#This Row],[CD_UPNIVEL1]],IRRIGADO!E:E,ESTIMATIVA[[#This Row],[CD_UPNIVEL3]]),"")</f>
        <v/>
      </c>
      <c r="AJ145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51" s="1">
        <f>COUNTIFS(Apresentação!$E$23:$E$29,ESTIMATIVA[[#This Row],[CD_UPNIVEL1]])</f>
        <v>0</v>
      </c>
    </row>
    <row r="1452" spans="1:37" x14ac:dyDescent="0.3">
      <c r="A1452">
        <v>20569</v>
      </c>
      <c r="B1452" t="s">
        <v>82</v>
      </c>
      <c r="C1452">
        <v>54</v>
      </c>
      <c r="D1452">
        <v>7</v>
      </c>
      <c r="E1452" t="s">
        <v>270</v>
      </c>
      <c r="F1452" s="85" t="s">
        <v>331</v>
      </c>
      <c r="G1452"/>
      <c r="H1452" t="s">
        <v>295</v>
      </c>
      <c r="I1452" t="s">
        <v>208</v>
      </c>
      <c r="J1452" t="s">
        <v>176</v>
      </c>
      <c r="K1452" s="1">
        <v>2.63</v>
      </c>
      <c r="L1452" s="1">
        <v>0</v>
      </c>
      <c r="M1452" s="1">
        <v>0</v>
      </c>
      <c r="N1452" s="1">
        <v>2.63</v>
      </c>
      <c r="O1452" s="1">
        <v>173.58</v>
      </c>
      <c r="P1452" s="1">
        <v>0</v>
      </c>
      <c r="Q1452" s="1">
        <v>0</v>
      </c>
      <c r="R1452" s="1">
        <v>200.81</v>
      </c>
      <c r="S1452" t="s">
        <v>12</v>
      </c>
      <c r="T1452" s="13">
        <v>45823</v>
      </c>
      <c r="U1452" s="1" t="str">
        <f>IF(ESTIMATIVA[[#This Row],[QT_AREA_REAL]]&gt;0,"1- Colhido","2- à Colher")</f>
        <v>1- Colhido</v>
      </c>
      <c r="V1452" s="1" t="str">
        <f>IF(ESTIMATIVA[[#This Row],[QT_AREA_REST1]]&gt;0,"Reestimativa 1",IF(ESTIMATIVA[[#This Row],[QT_AREA_REAL]]=0,"Reestimativa 1","Realizado"))</f>
        <v>Realizado</v>
      </c>
      <c r="W1452" s="1" t="str">
        <f>IF(ESTIMATIVA[[#This Row],[QT_AREA_REST2]]&gt;0,"Reestimativa 2",IF(ESTIMATIVA[[#This Row],[QT_AREA_REAL]]=0,"Reestimativa 2","Realizado"))</f>
        <v>Realizado</v>
      </c>
      <c r="X1452" s="1">
        <f>ESTIMATIVA[[#This Row],[QT_AREA_EST]]</f>
        <v>2.63</v>
      </c>
      <c r="Y1452" s="1">
        <f>IF(ESTIMATIVA[[#This Row],[QT_AREA_REST1]]&gt;0,ESTIMATIVA[[#This Row],[QT_AREA_REST1]],
  IF(ESTIMATIVA[[#This Row],[QT_AREA_REAL]]&gt;0,ESTIMATIVA[[#This Row],[QT_AREA_REAL]],ESTIMATIVA[[#This Row],[QT_AREA_EST]]))</f>
        <v>2.63</v>
      </c>
      <c r="Z145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2.63</v>
      </c>
      <c r="AA1452" s="1">
        <f>ESTIMATIVA[[#This Row],[QT_CANA_EST]]</f>
        <v>173.58</v>
      </c>
      <c r="AB1452" s="1">
        <f>IF(ESTIMATIVA[[#This Row],[QT_CANA_REST1]]&gt;0,ESTIMATIVA[[#This Row],[QT_CANA_REST1]],
  IF(ESTIMATIVA[[#This Row],[QT_CANA_REAL]]&gt;0,ESTIMATIVA[[#This Row],[QT_CANA_REAL]],ESTIMATIVA[[#This Row],[QT_CANA_EST]]))</f>
        <v>200.81</v>
      </c>
      <c r="AC145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200.81</v>
      </c>
      <c r="AD1452" s="1">
        <f>IF(ESTIMATIVA[[#This Row],[QT_AREA_REAL]]&gt;0,ESTIMATIVA[[#This Row],[QT_CANA_REAL]],ESTIMATIVA[[#This Row],[QT_CANA_EST]])</f>
        <v>200.81</v>
      </c>
      <c r="AE1452" s="1">
        <f>IF(ESTIMATIVA[[#This Row],[QT_AREA_REAL]]&gt;0,ESTIMATIVA[[#This Row],[QT_CANA_REAL]],ESTIMATIVA[[#This Row],[QT_CANA_REST1]])</f>
        <v>200.81</v>
      </c>
      <c r="AF1452" s="1">
        <f>IF(ESTIMATIVA[[#This Row],[QT_AREA_REAL]]&gt;0,ESTIMATIVA[[#This Row],[QT_CANA_REAL]],ESTIMATIVA[[#This Row],[QT_CANA_REST2]])</f>
        <v>200.81</v>
      </c>
      <c r="AG1452" s="1" t="str">
        <f>IF(COUNTIFS(GEADA!A:A,VALUE(ESTIMATIVA[[#This Row],[CD_UPNIVEL1]]&amp;TEXT(ESTIMATIVA[[#This Row],[CD_UPNIVEL3]],"0000")))&gt;0,"S","N")</f>
        <v>N</v>
      </c>
      <c r="AH145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52" s="55" t="str">
        <f>IF(ESTIMATIVA[[#This Row],[TP_CULTIVO]]="Irrigado",_xlfn.MAXIFS(IRRIGADO!J:J,IRRIGADO!C:C,ESTIMATIVA[[#This Row],[CD_UPNIVEL1]],IRRIGADO!E:E,ESTIMATIVA[[#This Row],[CD_UPNIVEL3]]),"")</f>
        <v/>
      </c>
      <c r="AJ145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52" s="1">
        <f>COUNTIFS(Apresentação!$E$23:$E$29,ESTIMATIVA[[#This Row],[CD_UPNIVEL1]])</f>
        <v>0</v>
      </c>
    </row>
    <row r="1453" spans="1:37" x14ac:dyDescent="0.3">
      <c r="A1453">
        <v>20569</v>
      </c>
      <c r="B1453" t="s">
        <v>82</v>
      </c>
      <c r="C1453">
        <v>55</v>
      </c>
      <c r="D1453">
        <v>7</v>
      </c>
      <c r="E1453" t="s">
        <v>270</v>
      </c>
      <c r="F1453" s="85" t="s">
        <v>331</v>
      </c>
      <c r="G1453"/>
      <c r="H1453" t="s">
        <v>295</v>
      </c>
      <c r="I1453" t="s">
        <v>208</v>
      </c>
      <c r="J1453" t="s">
        <v>176</v>
      </c>
      <c r="K1453" s="1">
        <v>3.14</v>
      </c>
      <c r="L1453" s="1">
        <v>0</v>
      </c>
      <c r="M1453" s="1">
        <v>0</v>
      </c>
      <c r="N1453" s="1">
        <v>3.14</v>
      </c>
      <c r="O1453" s="1">
        <v>207.24</v>
      </c>
      <c r="P1453" s="1">
        <v>0</v>
      </c>
      <c r="Q1453" s="1">
        <v>0</v>
      </c>
      <c r="R1453" s="1">
        <v>239.09</v>
      </c>
      <c r="S1453" t="s">
        <v>12</v>
      </c>
      <c r="T1453" s="13">
        <v>45823</v>
      </c>
      <c r="U1453" s="1" t="str">
        <f>IF(ESTIMATIVA[[#This Row],[QT_AREA_REAL]]&gt;0,"1- Colhido","2- à Colher")</f>
        <v>1- Colhido</v>
      </c>
      <c r="V1453" s="1" t="str">
        <f>IF(ESTIMATIVA[[#This Row],[QT_AREA_REST1]]&gt;0,"Reestimativa 1",IF(ESTIMATIVA[[#This Row],[QT_AREA_REAL]]=0,"Reestimativa 1","Realizado"))</f>
        <v>Realizado</v>
      </c>
      <c r="W1453" s="1" t="str">
        <f>IF(ESTIMATIVA[[#This Row],[QT_AREA_REST2]]&gt;0,"Reestimativa 2",IF(ESTIMATIVA[[#This Row],[QT_AREA_REAL]]=0,"Reestimativa 2","Realizado"))</f>
        <v>Realizado</v>
      </c>
      <c r="X1453" s="1">
        <f>ESTIMATIVA[[#This Row],[QT_AREA_EST]]</f>
        <v>3.14</v>
      </c>
      <c r="Y1453" s="1">
        <f>IF(ESTIMATIVA[[#This Row],[QT_AREA_REST1]]&gt;0,ESTIMATIVA[[#This Row],[QT_AREA_REST1]],
  IF(ESTIMATIVA[[#This Row],[QT_AREA_REAL]]&gt;0,ESTIMATIVA[[#This Row],[QT_AREA_REAL]],ESTIMATIVA[[#This Row],[QT_AREA_EST]]))</f>
        <v>3.14</v>
      </c>
      <c r="Z145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3.14</v>
      </c>
      <c r="AA1453" s="1">
        <f>ESTIMATIVA[[#This Row],[QT_CANA_EST]]</f>
        <v>207.24</v>
      </c>
      <c r="AB1453" s="1">
        <f>IF(ESTIMATIVA[[#This Row],[QT_CANA_REST1]]&gt;0,ESTIMATIVA[[#This Row],[QT_CANA_REST1]],
  IF(ESTIMATIVA[[#This Row],[QT_CANA_REAL]]&gt;0,ESTIMATIVA[[#This Row],[QT_CANA_REAL]],ESTIMATIVA[[#This Row],[QT_CANA_EST]]))</f>
        <v>239.09</v>
      </c>
      <c r="AC145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239.09</v>
      </c>
      <c r="AD1453" s="1">
        <f>IF(ESTIMATIVA[[#This Row],[QT_AREA_REAL]]&gt;0,ESTIMATIVA[[#This Row],[QT_CANA_REAL]],ESTIMATIVA[[#This Row],[QT_CANA_EST]])</f>
        <v>239.09</v>
      </c>
      <c r="AE1453" s="1">
        <f>IF(ESTIMATIVA[[#This Row],[QT_AREA_REAL]]&gt;0,ESTIMATIVA[[#This Row],[QT_CANA_REAL]],ESTIMATIVA[[#This Row],[QT_CANA_REST1]])</f>
        <v>239.09</v>
      </c>
      <c r="AF1453" s="1">
        <f>IF(ESTIMATIVA[[#This Row],[QT_AREA_REAL]]&gt;0,ESTIMATIVA[[#This Row],[QT_CANA_REAL]],ESTIMATIVA[[#This Row],[QT_CANA_REST2]])</f>
        <v>239.09</v>
      </c>
      <c r="AG1453" s="1" t="str">
        <f>IF(COUNTIFS(GEADA!A:A,VALUE(ESTIMATIVA[[#This Row],[CD_UPNIVEL1]]&amp;TEXT(ESTIMATIVA[[#This Row],[CD_UPNIVEL3]],"0000")))&gt;0,"S","N")</f>
        <v>N</v>
      </c>
      <c r="AH145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53" s="55" t="str">
        <f>IF(ESTIMATIVA[[#This Row],[TP_CULTIVO]]="Irrigado",_xlfn.MAXIFS(IRRIGADO!J:J,IRRIGADO!C:C,ESTIMATIVA[[#This Row],[CD_UPNIVEL1]],IRRIGADO!E:E,ESTIMATIVA[[#This Row],[CD_UPNIVEL3]]),"")</f>
        <v/>
      </c>
      <c r="AJ145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53" s="1">
        <f>COUNTIFS(Apresentação!$E$23:$E$29,ESTIMATIVA[[#This Row],[CD_UPNIVEL1]])</f>
        <v>0</v>
      </c>
    </row>
    <row r="1454" spans="1:37" x14ac:dyDescent="0.3">
      <c r="A1454">
        <v>20569</v>
      </c>
      <c r="B1454" t="s">
        <v>82</v>
      </c>
      <c r="C1454">
        <v>56</v>
      </c>
      <c r="D1454">
        <v>7</v>
      </c>
      <c r="E1454" t="s">
        <v>270</v>
      </c>
      <c r="F1454" s="85" t="s">
        <v>331</v>
      </c>
      <c r="G1454"/>
      <c r="H1454" t="s">
        <v>295</v>
      </c>
      <c r="I1454" t="s">
        <v>208</v>
      </c>
      <c r="J1454" t="s">
        <v>176</v>
      </c>
      <c r="K1454" s="1">
        <v>1.5</v>
      </c>
      <c r="L1454" s="1">
        <v>0</v>
      </c>
      <c r="M1454" s="1">
        <v>0</v>
      </c>
      <c r="N1454" s="1">
        <v>1.5</v>
      </c>
      <c r="O1454" s="1">
        <v>99</v>
      </c>
      <c r="P1454" s="1">
        <v>0</v>
      </c>
      <c r="Q1454" s="1">
        <v>0</v>
      </c>
      <c r="R1454" s="1">
        <v>113.75</v>
      </c>
      <c r="S1454" t="s">
        <v>12</v>
      </c>
      <c r="T1454" s="13">
        <v>45823</v>
      </c>
      <c r="U1454" s="1" t="str">
        <f>IF(ESTIMATIVA[[#This Row],[QT_AREA_REAL]]&gt;0,"1- Colhido","2- à Colher")</f>
        <v>1- Colhido</v>
      </c>
      <c r="V1454" s="1" t="str">
        <f>IF(ESTIMATIVA[[#This Row],[QT_AREA_REST1]]&gt;0,"Reestimativa 1",IF(ESTIMATIVA[[#This Row],[QT_AREA_REAL]]=0,"Reestimativa 1","Realizado"))</f>
        <v>Realizado</v>
      </c>
      <c r="W1454" s="1" t="str">
        <f>IF(ESTIMATIVA[[#This Row],[QT_AREA_REST2]]&gt;0,"Reestimativa 2",IF(ESTIMATIVA[[#This Row],[QT_AREA_REAL]]=0,"Reestimativa 2","Realizado"))</f>
        <v>Realizado</v>
      </c>
      <c r="X1454" s="1">
        <f>ESTIMATIVA[[#This Row],[QT_AREA_EST]]</f>
        <v>1.5</v>
      </c>
      <c r="Y1454" s="1">
        <f>IF(ESTIMATIVA[[#This Row],[QT_AREA_REST1]]&gt;0,ESTIMATIVA[[#This Row],[QT_AREA_REST1]],
  IF(ESTIMATIVA[[#This Row],[QT_AREA_REAL]]&gt;0,ESTIMATIVA[[#This Row],[QT_AREA_REAL]],ESTIMATIVA[[#This Row],[QT_AREA_EST]]))</f>
        <v>1.5</v>
      </c>
      <c r="Z145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1.5</v>
      </c>
      <c r="AA1454" s="1">
        <f>ESTIMATIVA[[#This Row],[QT_CANA_EST]]</f>
        <v>99</v>
      </c>
      <c r="AB1454" s="1">
        <f>IF(ESTIMATIVA[[#This Row],[QT_CANA_REST1]]&gt;0,ESTIMATIVA[[#This Row],[QT_CANA_REST1]],
  IF(ESTIMATIVA[[#This Row],[QT_CANA_REAL]]&gt;0,ESTIMATIVA[[#This Row],[QT_CANA_REAL]],ESTIMATIVA[[#This Row],[QT_CANA_EST]]))</f>
        <v>113.75</v>
      </c>
      <c r="AC145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113.75</v>
      </c>
      <c r="AD1454" s="1">
        <f>IF(ESTIMATIVA[[#This Row],[QT_AREA_REAL]]&gt;0,ESTIMATIVA[[#This Row],[QT_CANA_REAL]],ESTIMATIVA[[#This Row],[QT_CANA_EST]])</f>
        <v>113.75</v>
      </c>
      <c r="AE1454" s="1">
        <f>IF(ESTIMATIVA[[#This Row],[QT_AREA_REAL]]&gt;0,ESTIMATIVA[[#This Row],[QT_CANA_REAL]],ESTIMATIVA[[#This Row],[QT_CANA_REST1]])</f>
        <v>113.75</v>
      </c>
      <c r="AF1454" s="1">
        <f>IF(ESTIMATIVA[[#This Row],[QT_AREA_REAL]]&gt;0,ESTIMATIVA[[#This Row],[QT_CANA_REAL]],ESTIMATIVA[[#This Row],[QT_CANA_REST2]])</f>
        <v>113.75</v>
      </c>
      <c r="AG1454" s="1" t="str">
        <f>IF(COUNTIFS(GEADA!A:A,VALUE(ESTIMATIVA[[#This Row],[CD_UPNIVEL1]]&amp;TEXT(ESTIMATIVA[[#This Row],[CD_UPNIVEL3]],"0000")))&gt;0,"S","N")</f>
        <v>N</v>
      </c>
      <c r="AH145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54" s="55" t="str">
        <f>IF(ESTIMATIVA[[#This Row],[TP_CULTIVO]]="Irrigado",_xlfn.MAXIFS(IRRIGADO!J:J,IRRIGADO!C:C,ESTIMATIVA[[#This Row],[CD_UPNIVEL1]],IRRIGADO!E:E,ESTIMATIVA[[#This Row],[CD_UPNIVEL3]]),"")</f>
        <v/>
      </c>
      <c r="AJ145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54" s="1">
        <f>COUNTIFS(Apresentação!$E$23:$E$29,ESTIMATIVA[[#This Row],[CD_UPNIVEL1]])</f>
        <v>0</v>
      </c>
    </row>
    <row r="1455" spans="1:37" x14ac:dyDescent="0.3">
      <c r="A1455">
        <v>20569</v>
      </c>
      <c r="B1455" t="s">
        <v>82</v>
      </c>
      <c r="C1455">
        <v>57</v>
      </c>
      <c r="D1455">
        <v>7</v>
      </c>
      <c r="E1455" t="s">
        <v>270</v>
      </c>
      <c r="F1455" s="85" t="s">
        <v>331</v>
      </c>
      <c r="G1455"/>
      <c r="H1455" t="s">
        <v>295</v>
      </c>
      <c r="I1455" t="s">
        <v>208</v>
      </c>
      <c r="J1455" t="s">
        <v>176</v>
      </c>
      <c r="K1455" s="1">
        <v>2.5099999999999998</v>
      </c>
      <c r="L1455" s="1">
        <v>0</v>
      </c>
      <c r="M1455" s="1">
        <v>0</v>
      </c>
      <c r="N1455" s="1">
        <v>2.5099999999999998</v>
      </c>
      <c r="O1455" s="1">
        <v>165.66</v>
      </c>
      <c r="P1455" s="1">
        <v>0</v>
      </c>
      <c r="Q1455" s="1">
        <v>0</v>
      </c>
      <c r="R1455" s="1">
        <v>191.25</v>
      </c>
      <c r="S1455" t="s">
        <v>12</v>
      </c>
      <c r="T1455" s="13">
        <v>45823</v>
      </c>
      <c r="U1455" s="1" t="str">
        <f>IF(ESTIMATIVA[[#This Row],[QT_AREA_REAL]]&gt;0,"1- Colhido","2- à Colher")</f>
        <v>1- Colhido</v>
      </c>
      <c r="V1455" s="1" t="str">
        <f>IF(ESTIMATIVA[[#This Row],[QT_AREA_REST1]]&gt;0,"Reestimativa 1",IF(ESTIMATIVA[[#This Row],[QT_AREA_REAL]]=0,"Reestimativa 1","Realizado"))</f>
        <v>Realizado</v>
      </c>
      <c r="W1455" s="1" t="str">
        <f>IF(ESTIMATIVA[[#This Row],[QT_AREA_REST2]]&gt;0,"Reestimativa 2",IF(ESTIMATIVA[[#This Row],[QT_AREA_REAL]]=0,"Reestimativa 2","Realizado"))</f>
        <v>Realizado</v>
      </c>
      <c r="X1455" s="1">
        <f>ESTIMATIVA[[#This Row],[QT_AREA_EST]]</f>
        <v>2.5099999999999998</v>
      </c>
      <c r="Y1455" s="1">
        <f>IF(ESTIMATIVA[[#This Row],[QT_AREA_REST1]]&gt;0,ESTIMATIVA[[#This Row],[QT_AREA_REST1]],
  IF(ESTIMATIVA[[#This Row],[QT_AREA_REAL]]&gt;0,ESTIMATIVA[[#This Row],[QT_AREA_REAL]],ESTIMATIVA[[#This Row],[QT_AREA_EST]]))</f>
        <v>2.5099999999999998</v>
      </c>
      <c r="Z145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2.5099999999999998</v>
      </c>
      <c r="AA1455" s="1">
        <f>ESTIMATIVA[[#This Row],[QT_CANA_EST]]</f>
        <v>165.66</v>
      </c>
      <c r="AB1455" s="1">
        <f>IF(ESTIMATIVA[[#This Row],[QT_CANA_REST1]]&gt;0,ESTIMATIVA[[#This Row],[QT_CANA_REST1]],
  IF(ESTIMATIVA[[#This Row],[QT_CANA_REAL]]&gt;0,ESTIMATIVA[[#This Row],[QT_CANA_REAL]],ESTIMATIVA[[#This Row],[QT_CANA_EST]]))</f>
        <v>191.25</v>
      </c>
      <c r="AC145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191.25</v>
      </c>
      <c r="AD1455" s="1">
        <f>IF(ESTIMATIVA[[#This Row],[QT_AREA_REAL]]&gt;0,ESTIMATIVA[[#This Row],[QT_CANA_REAL]],ESTIMATIVA[[#This Row],[QT_CANA_EST]])</f>
        <v>191.25</v>
      </c>
      <c r="AE1455" s="1">
        <f>IF(ESTIMATIVA[[#This Row],[QT_AREA_REAL]]&gt;0,ESTIMATIVA[[#This Row],[QT_CANA_REAL]],ESTIMATIVA[[#This Row],[QT_CANA_REST1]])</f>
        <v>191.25</v>
      </c>
      <c r="AF1455" s="1">
        <f>IF(ESTIMATIVA[[#This Row],[QT_AREA_REAL]]&gt;0,ESTIMATIVA[[#This Row],[QT_CANA_REAL]],ESTIMATIVA[[#This Row],[QT_CANA_REST2]])</f>
        <v>191.25</v>
      </c>
      <c r="AG1455" s="1" t="str">
        <f>IF(COUNTIFS(GEADA!A:A,VALUE(ESTIMATIVA[[#This Row],[CD_UPNIVEL1]]&amp;TEXT(ESTIMATIVA[[#This Row],[CD_UPNIVEL3]],"0000")))&gt;0,"S","N")</f>
        <v>N</v>
      </c>
      <c r="AH145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55" s="55" t="str">
        <f>IF(ESTIMATIVA[[#This Row],[TP_CULTIVO]]="Irrigado",_xlfn.MAXIFS(IRRIGADO!J:J,IRRIGADO!C:C,ESTIMATIVA[[#This Row],[CD_UPNIVEL1]],IRRIGADO!E:E,ESTIMATIVA[[#This Row],[CD_UPNIVEL3]]),"")</f>
        <v/>
      </c>
      <c r="AJ145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55" s="1">
        <f>COUNTIFS(Apresentação!$E$23:$E$29,ESTIMATIVA[[#This Row],[CD_UPNIVEL1]])</f>
        <v>0</v>
      </c>
    </row>
    <row r="1456" spans="1:37" x14ac:dyDescent="0.3">
      <c r="A1456">
        <v>20569</v>
      </c>
      <c r="B1456" t="s">
        <v>82</v>
      </c>
      <c r="C1456">
        <v>58</v>
      </c>
      <c r="D1456">
        <v>7</v>
      </c>
      <c r="E1456" t="s">
        <v>270</v>
      </c>
      <c r="F1456" s="85" t="s">
        <v>331</v>
      </c>
      <c r="G1456"/>
      <c r="H1456" t="s">
        <v>295</v>
      </c>
      <c r="I1456" t="s">
        <v>208</v>
      </c>
      <c r="J1456" t="s">
        <v>176</v>
      </c>
      <c r="K1456" s="1">
        <v>8.02</v>
      </c>
      <c r="L1456" s="1">
        <v>0</v>
      </c>
      <c r="M1456" s="1">
        <v>0</v>
      </c>
      <c r="N1456" s="1">
        <v>8.02</v>
      </c>
      <c r="O1456" s="1">
        <v>433.08</v>
      </c>
      <c r="P1456" s="1">
        <v>0</v>
      </c>
      <c r="Q1456" s="1">
        <v>0</v>
      </c>
      <c r="R1456" s="1">
        <v>499.28</v>
      </c>
      <c r="S1456" t="s">
        <v>12</v>
      </c>
      <c r="T1456" s="13">
        <v>45823</v>
      </c>
      <c r="U1456" s="1" t="str">
        <f>IF(ESTIMATIVA[[#This Row],[QT_AREA_REAL]]&gt;0,"1- Colhido","2- à Colher")</f>
        <v>1- Colhido</v>
      </c>
      <c r="V1456" s="1" t="str">
        <f>IF(ESTIMATIVA[[#This Row],[QT_AREA_REST1]]&gt;0,"Reestimativa 1",IF(ESTIMATIVA[[#This Row],[QT_AREA_REAL]]=0,"Reestimativa 1","Realizado"))</f>
        <v>Realizado</v>
      </c>
      <c r="W1456" s="1" t="str">
        <f>IF(ESTIMATIVA[[#This Row],[QT_AREA_REST2]]&gt;0,"Reestimativa 2",IF(ESTIMATIVA[[#This Row],[QT_AREA_REAL]]=0,"Reestimativa 2","Realizado"))</f>
        <v>Realizado</v>
      </c>
      <c r="X1456" s="1">
        <f>ESTIMATIVA[[#This Row],[QT_AREA_EST]]</f>
        <v>8.02</v>
      </c>
      <c r="Y1456" s="1">
        <f>IF(ESTIMATIVA[[#This Row],[QT_AREA_REST1]]&gt;0,ESTIMATIVA[[#This Row],[QT_AREA_REST1]],
  IF(ESTIMATIVA[[#This Row],[QT_AREA_REAL]]&gt;0,ESTIMATIVA[[#This Row],[QT_AREA_REAL]],ESTIMATIVA[[#This Row],[QT_AREA_EST]]))</f>
        <v>8.02</v>
      </c>
      <c r="Z145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8.02</v>
      </c>
      <c r="AA1456" s="1">
        <f>ESTIMATIVA[[#This Row],[QT_CANA_EST]]</f>
        <v>433.08</v>
      </c>
      <c r="AB1456" s="1">
        <f>IF(ESTIMATIVA[[#This Row],[QT_CANA_REST1]]&gt;0,ESTIMATIVA[[#This Row],[QT_CANA_REST1]],
  IF(ESTIMATIVA[[#This Row],[QT_CANA_REAL]]&gt;0,ESTIMATIVA[[#This Row],[QT_CANA_REAL]],ESTIMATIVA[[#This Row],[QT_CANA_EST]]))</f>
        <v>499.28</v>
      </c>
      <c r="AC145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499.28</v>
      </c>
      <c r="AD1456" s="1">
        <f>IF(ESTIMATIVA[[#This Row],[QT_AREA_REAL]]&gt;0,ESTIMATIVA[[#This Row],[QT_CANA_REAL]],ESTIMATIVA[[#This Row],[QT_CANA_EST]])</f>
        <v>499.28</v>
      </c>
      <c r="AE1456" s="1">
        <f>IF(ESTIMATIVA[[#This Row],[QT_AREA_REAL]]&gt;0,ESTIMATIVA[[#This Row],[QT_CANA_REAL]],ESTIMATIVA[[#This Row],[QT_CANA_REST1]])</f>
        <v>499.28</v>
      </c>
      <c r="AF1456" s="1">
        <f>IF(ESTIMATIVA[[#This Row],[QT_AREA_REAL]]&gt;0,ESTIMATIVA[[#This Row],[QT_CANA_REAL]],ESTIMATIVA[[#This Row],[QT_CANA_REST2]])</f>
        <v>499.28</v>
      </c>
      <c r="AG1456" s="1" t="str">
        <f>IF(COUNTIFS(GEADA!A:A,VALUE(ESTIMATIVA[[#This Row],[CD_UPNIVEL1]]&amp;TEXT(ESTIMATIVA[[#This Row],[CD_UPNIVEL3]],"0000")))&gt;0,"S","N")</f>
        <v>N</v>
      </c>
      <c r="AH145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56" s="55" t="str">
        <f>IF(ESTIMATIVA[[#This Row],[TP_CULTIVO]]="Irrigado",_xlfn.MAXIFS(IRRIGADO!J:J,IRRIGADO!C:C,ESTIMATIVA[[#This Row],[CD_UPNIVEL1]],IRRIGADO!E:E,ESTIMATIVA[[#This Row],[CD_UPNIVEL3]]),"")</f>
        <v/>
      </c>
      <c r="AJ145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56" s="1">
        <f>COUNTIFS(Apresentação!$E$23:$E$29,ESTIMATIVA[[#This Row],[CD_UPNIVEL1]])</f>
        <v>0</v>
      </c>
    </row>
    <row r="1457" spans="1:37" x14ac:dyDescent="0.3">
      <c r="A1457">
        <v>20569</v>
      </c>
      <c r="B1457" t="s">
        <v>82</v>
      </c>
      <c r="C1457">
        <v>59</v>
      </c>
      <c r="D1457">
        <v>7</v>
      </c>
      <c r="E1457" t="s">
        <v>270</v>
      </c>
      <c r="F1457" s="85" t="s">
        <v>331</v>
      </c>
      <c r="G1457"/>
      <c r="H1457" t="s">
        <v>295</v>
      </c>
      <c r="I1457" t="s">
        <v>208</v>
      </c>
      <c r="J1457" t="s">
        <v>176</v>
      </c>
      <c r="K1457" s="1">
        <v>7.52</v>
      </c>
      <c r="L1457" s="1">
        <v>0</v>
      </c>
      <c r="M1457" s="1">
        <v>0</v>
      </c>
      <c r="N1457" s="1">
        <v>7.52</v>
      </c>
      <c r="O1457" s="1">
        <v>376</v>
      </c>
      <c r="P1457" s="1">
        <v>0</v>
      </c>
      <c r="Q1457" s="1">
        <v>0</v>
      </c>
      <c r="R1457" s="1">
        <v>433.27</v>
      </c>
      <c r="S1457" t="s">
        <v>12</v>
      </c>
      <c r="T1457" s="13">
        <v>45823</v>
      </c>
      <c r="U1457" s="1" t="str">
        <f>IF(ESTIMATIVA[[#This Row],[QT_AREA_REAL]]&gt;0,"1- Colhido","2- à Colher")</f>
        <v>1- Colhido</v>
      </c>
      <c r="V1457" s="1" t="str">
        <f>IF(ESTIMATIVA[[#This Row],[QT_AREA_REST1]]&gt;0,"Reestimativa 1",IF(ESTIMATIVA[[#This Row],[QT_AREA_REAL]]=0,"Reestimativa 1","Realizado"))</f>
        <v>Realizado</v>
      </c>
      <c r="W1457" s="1" t="str">
        <f>IF(ESTIMATIVA[[#This Row],[QT_AREA_REST2]]&gt;0,"Reestimativa 2",IF(ESTIMATIVA[[#This Row],[QT_AREA_REAL]]=0,"Reestimativa 2","Realizado"))</f>
        <v>Realizado</v>
      </c>
      <c r="X1457" s="1">
        <f>ESTIMATIVA[[#This Row],[QT_AREA_EST]]</f>
        <v>7.52</v>
      </c>
      <c r="Y1457" s="1">
        <f>IF(ESTIMATIVA[[#This Row],[QT_AREA_REST1]]&gt;0,ESTIMATIVA[[#This Row],[QT_AREA_REST1]],
  IF(ESTIMATIVA[[#This Row],[QT_AREA_REAL]]&gt;0,ESTIMATIVA[[#This Row],[QT_AREA_REAL]],ESTIMATIVA[[#This Row],[QT_AREA_EST]]))</f>
        <v>7.52</v>
      </c>
      <c r="Z145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7.52</v>
      </c>
      <c r="AA1457" s="1">
        <f>ESTIMATIVA[[#This Row],[QT_CANA_EST]]</f>
        <v>376</v>
      </c>
      <c r="AB1457" s="1">
        <f>IF(ESTIMATIVA[[#This Row],[QT_CANA_REST1]]&gt;0,ESTIMATIVA[[#This Row],[QT_CANA_REST1]],
  IF(ESTIMATIVA[[#This Row],[QT_CANA_REAL]]&gt;0,ESTIMATIVA[[#This Row],[QT_CANA_REAL]],ESTIMATIVA[[#This Row],[QT_CANA_EST]]))</f>
        <v>433.27</v>
      </c>
      <c r="AC145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433.27</v>
      </c>
      <c r="AD1457" s="1">
        <f>IF(ESTIMATIVA[[#This Row],[QT_AREA_REAL]]&gt;0,ESTIMATIVA[[#This Row],[QT_CANA_REAL]],ESTIMATIVA[[#This Row],[QT_CANA_EST]])</f>
        <v>433.27</v>
      </c>
      <c r="AE1457" s="1">
        <f>IF(ESTIMATIVA[[#This Row],[QT_AREA_REAL]]&gt;0,ESTIMATIVA[[#This Row],[QT_CANA_REAL]],ESTIMATIVA[[#This Row],[QT_CANA_REST1]])</f>
        <v>433.27</v>
      </c>
      <c r="AF1457" s="1">
        <f>IF(ESTIMATIVA[[#This Row],[QT_AREA_REAL]]&gt;0,ESTIMATIVA[[#This Row],[QT_CANA_REAL]],ESTIMATIVA[[#This Row],[QT_CANA_REST2]])</f>
        <v>433.27</v>
      </c>
      <c r="AG1457" s="1" t="str">
        <f>IF(COUNTIFS(GEADA!A:A,VALUE(ESTIMATIVA[[#This Row],[CD_UPNIVEL1]]&amp;TEXT(ESTIMATIVA[[#This Row],[CD_UPNIVEL3]],"0000")))&gt;0,"S","N")</f>
        <v>N</v>
      </c>
      <c r="AH145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57" s="55" t="str">
        <f>IF(ESTIMATIVA[[#This Row],[TP_CULTIVO]]="Irrigado",_xlfn.MAXIFS(IRRIGADO!J:J,IRRIGADO!C:C,ESTIMATIVA[[#This Row],[CD_UPNIVEL1]],IRRIGADO!E:E,ESTIMATIVA[[#This Row],[CD_UPNIVEL3]]),"")</f>
        <v/>
      </c>
      <c r="AJ145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57" s="1">
        <f>COUNTIFS(Apresentação!$E$23:$E$29,ESTIMATIVA[[#This Row],[CD_UPNIVEL1]])</f>
        <v>0</v>
      </c>
    </row>
    <row r="1458" spans="1:37" x14ac:dyDescent="0.3">
      <c r="A1458">
        <v>20569</v>
      </c>
      <c r="B1458" t="s">
        <v>82</v>
      </c>
      <c r="C1458">
        <v>60</v>
      </c>
      <c r="D1458">
        <v>7</v>
      </c>
      <c r="E1458" t="s">
        <v>270</v>
      </c>
      <c r="F1458" s="85" t="s">
        <v>331</v>
      </c>
      <c r="G1458"/>
      <c r="H1458" t="s">
        <v>295</v>
      </c>
      <c r="I1458" t="s">
        <v>208</v>
      </c>
      <c r="J1458" t="s">
        <v>176</v>
      </c>
      <c r="K1458" s="1">
        <v>2.59</v>
      </c>
      <c r="L1458" s="1">
        <v>0</v>
      </c>
      <c r="M1458" s="1">
        <v>0</v>
      </c>
      <c r="N1458" s="1">
        <v>2.59</v>
      </c>
      <c r="O1458" s="1">
        <v>103.6</v>
      </c>
      <c r="P1458" s="1">
        <v>0</v>
      </c>
      <c r="Q1458" s="1">
        <v>0</v>
      </c>
      <c r="R1458" s="1">
        <v>119.5</v>
      </c>
      <c r="S1458" t="s">
        <v>12</v>
      </c>
      <c r="T1458" s="13">
        <v>45823</v>
      </c>
      <c r="U1458" s="1" t="str">
        <f>IF(ESTIMATIVA[[#This Row],[QT_AREA_REAL]]&gt;0,"1- Colhido","2- à Colher")</f>
        <v>1- Colhido</v>
      </c>
      <c r="V1458" s="1" t="str">
        <f>IF(ESTIMATIVA[[#This Row],[QT_AREA_REST1]]&gt;0,"Reestimativa 1",IF(ESTIMATIVA[[#This Row],[QT_AREA_REAL]]=0,"Reestimativa 1","Realizado"))</f>
        <v>Realizado</v>
      </c>
      <c r="W1458" s="1" t="str">
        <f>IF(ESTIMATIVA[[#This Row],[QT_AREA_REST2]]&gt;0,"Reestimativa 2",IF(ESTIMATIVA[[#This Row],[QT_AREA_REAL]]=0,"Reestimativa 2","Realizado"))</f>
        <v>Realizado</v>
      </c>
      <c r="X1458" s="1">
        <f>ESTIMATIVA[[#This Row],[QT_AREA_EST]]</f>
        <v>2.59</v>
      </c>
      <c r="Y1458" s="1">
        <f>IF(ESTIMATIVA[[#This Row],[QT_AREA_REST1]]&gt;0,ESTIMATIVA[[#This Row],[QT_AREA_REST1]],
  IF(ESTIMATIVA[[#This Row],[QT_AREA_REAL]]&gt;0,ESTIMATIVA[[#This Row],[QT_AREA_REAL]],ESTIMATIVA[[#This Row],[QT_AREA_EST]]))</f>
        <v>2.59</v>
      </c>
      <c r="Z145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2.59</v>
      </c>
      <c r="AA1458" s="1">
        <f>ESTIMATIVA[[#This Row],[QT_CANA_EST]]</f>
        <v>103.6</v>
      </c>
      <c r="AB1458" s="1">
        <f>IF(ESTIMATIVA[[#This Row],[QT_CANA_REST1]]&gt;0,ESTIMATIVA[[#This Row],[QT_CANA_REST1]],
  IF(ESTIMATIVA[[#This Row],[QT_CANA_REAL]]&gt;0,ESTIMATIVA[[#This Row],[QT_CANA_REAL]],ESTIMATIVA[[#This Row],[QT_CANA_EST]]))</f>
        <v>119.5</v>
      </c>
      <c r="AC145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119.5</v>
      </c>
      <c r="AD1458" s="1">
        <f>IF(ESTIMATIVA[[#This Row],[QT_AREA_REAL]]&gt;0,ESTIMATIVA[[#This Row],[QT_CANA_REAL]],ESTIMATIVA[[#This Row],[QT_CANA_EST]])</f>
        <v>119.5</v>
      </c>
      <c r="AE1458" s="1">
        <f>IF(ESTIMATIVA[[#This Row],[QT_AREA_REAL]]&gt;0,ESTIMATIVA[[#This Row],[QT_CANA_REAL]],ESTIMATIVA[[#This Row],[QT_CANA_REST1]])</f>
        <v>119.5</v>
      </c>
      <c r="AF1458" s="1">
        <f>IF(ESTIMATIVA[[#This Row],[QT_AREA_REAL]]&gt;0,ESTIMATIVA[[#This Row],[QT_CANA_REAL]],ESTIMATIVA[[#This Row],[QT_CANA_REST2]])</f>
        <v>119.5</v>
      </c>
      <c r="AG1458" s="1" t="str">
        <f>IF(COUNTIFS(GEADA!A:A,VALUE(ESTIMATIVA[[#This Row],[CD_UPNIVEL1]]&amp;TEXT(ESTIMATIVA[[#This Row],[CD_UPNIVEL3]],"0000")))&gt;0,"S","N")</f>
        <v>N</v>
      </c>
      <c r="AH145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58" s="55" t="str">
        <f>IF(ESTIMATIVA[[#This Row],[TP_CULTIVO]]="Irrigado",_xlfn.MAXIFS(IRRIGADO!J:J,IRRIGADO!C:C,ESTIMATIVA[[#This Row],[CD_UPNIVEL1]],IRRIGADO!E:E,ESTIMATIVA[[#This Row],[CD_UPNIVEL3]]),"")</f>
        <v/>
      </c>
      <c r="AJ145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58" s="1">
        <f>COUNTIFS(Apresentação!$E$23:$E$29,ESTIMATIVA[[#This Row],[CD_UPNIVEL1]])</f>
        <v>0</v>
      </c>
    </row>
    <row r="1459" spans="1:37" x14ac:dyDescent="0.3">
      <c r="A1459">
        <v>20569</v>
      </c>
      <c r="B1459" t="s">
        <v>82</v>
      </c>
      <c r="C1459">
        <v>61</v>
      </c>
      <c r="D1459">
        <v>7</v>
      </c>
      <c r="E1459" t="s">
        <v>270</v>
      </c>
      <c r="F1459" s="85" t="s">
        <v>331</v>
      </c>
      <c r="G1459"/>
      <c r="H1459" t="s">
        <v>295</v>
      </c>
      <c r="I1459" t="s">
        <v>208</v>
      </c>
      <c r="J1459" t="s">
        <v>176</v>
      </c>
      <c r="K1459" s="1">
        <v>1.84</v>
      </c>
      <c r="L1459" s="1">
        <v>0</v>
      </c>
      <c r="M1459" s="1">
        <v>0</v>
      </c>
      <c r="N1459" s="1">
        <v>1.84</v>
      </c>
      <c r="O1459" s="1">
        <v>125.12</v>
      </c>
      <c r="P1459" s="1">
        <v>0</v>
      </c>
      <c r="Q1459" s="1">
        <v>0</v>
      </c>
      <c r="R1459" s="1">
        <v>144.37</v>
      </c>
      <c r="S1459" t="s">
        <v>12</v>
      </c>
      <c r="T1459" s="13">
        <v>45823</v>
      </c>
      <c r="U1459" s="1" t="str">
        <f>IF(ESTIMATIVA[[#This Row],[QT_AREA_REAL]]&gt;0,"1- Colhido","2- à Colher")</f>
        <v>1- Colhido</v>
      </c>
      <c r="V1459" s="1" t="str">
        <f>IF(ESTIMATIVA[[#This Row],[QT_AREA_REST1]]&gt;0,"Reestimativa 1",IF(ESTIMATIVA[[#This Row],[QT_AREA_REAL]]=0,"Reestimativa 1","Realizado"))</f>
        <v>Realizado</v>
      </c>
      <c r="W1459" s="1" t="str">
        <f>IF(ESTIMATIVA[[#This Row],[QT_AREA_REST2]]&gt;0,"Reestimativa 2",IF(ESTIMATIVA[[#This Row],[QT_AREA_REAL]]=0,"Reestimativa 2","Realizado"))</f>
        <v>Realizado</v>
      </c>
      <c r="X1459" s="1">
        <f>ESTIMATIVA[[#This Row],[QT_AREA_EST]]</f>
        <v>1.84</v>
      </c>
      <c r="Y1459" s="1">
        <f>IF(ESTIMATIVA[[#This Row],[QT_AREA_REST1]]&gt;0,ESTIMATIVA[[#This Row],[QT_AREA_REST1]],
  IF(ESTIMATIVA[[#This Row],[QT_AREA_REAL]]&gt;0,ESTIMATIVA[[#This Row],[QT_AREA_REAL]],ESTIMATIVA[[#This Row],[QT_AREA_EST]]))</f>
        <v>1.84</v>
      </c>
      <c r="Z145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1.84</v>
      </c>
      <c r="AA1459" s="1">
        <f>ESTIMATIVA[[#This Row],[QT_CANA_EST]]</f>
        <v>125.12</v>
      </c>
      <c r="AB1459" s="1">
        <f>IF(ESTIMATIVA[[#This Row],[QT_CANA_REST1]]&gt;0,ESTIMATIVA[[#This Row],[QT_CANA_REST1]],
  IF(ESTIMATIVA[[#This Row],[QT_CANA_REAL]]&gt;0,ESTIMATIVA[[#This Row],[QT_CANA_REAL]],ESTIMATIVA[[#This Row],[QT_CANA_EST]]))</f>
        <v>144.37</v>
      </c>
      <c r="AC145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144.37</v>
      </c>
      <c r="AD1459" s="1">
        <f>IF(ESTIMATIVA[[#This Row],[QT_AREA_REAL]]&gt;0,ESTIMATIVA[[#This Row],[QT_CANA_REAL]],ESTIMATIVA[[#This Row],[QT_CANA_EST]])</f>
        <v>144.37</v>
      </c>
      <c r="AE1459" s="1">
        <f>IF(ESTIMATIVA[[#This Row],[QT_AREA_REAL]]&gt;0,ESTIMATIVA[[#This Row],[QT_CANA_REAL]],ESTIMATIVA[[#This Row],[QT_CANA_REST1]])</f>
        <v>144.37</v>
      </c>
      <c r="AF1459" s="1">
        <f>IF(ESTIMATIVA[[#This Row],[QT_AREA_REAL]]&gt;0,ESTIMATIVA[[#This Row],[QT_CANA_REAL]],ESTIMATIVA[[#This Row],[QT_CANA_REST2]])</f>
        <v>144.37</v>
      </c>
      <c r="AG1459" s="1" t="str">
        <f>IF(COUNTIFS(GEADA!A:A,VALUE(ESTIMATIVA[[#This Row],[CD_UPNIVEL1]]&amp;TEXT(ESTIMATIVA[[#This Row],[CD_UPNIVEL3]],"0000")))&gt;0,"S","N")</f>
        <v>N</v>
      </c>
      <c r="AH145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59" s="55" t="str">
        <f>IF(ESTIMATIVA[[#This Row],[TP_CULTIVO]]="Irrigado",_xlfn.MAXIFS(IRRIGADO!J:J,IRRIGADO!C:C,ESTIMATIVA[[#This Row],[CD_UPNIVEL1]],IRRIGADO!E:E,ESTIMATIVA[[#This Row],[CD_UPNIVEL3]]),"")</f>
        <v/>
      </c>
      <c r="AJ145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59" s="1">
        <f>COUNTIFS(Apresentação!$E$23:$E$29,ESTIMATIVA[[#This Row],[CD_UPNIVEL1]])</f>
        <v>0</v>
      </c>
    </row>
    <row r="1460" spans="1:37" x14ac:dyDescent="0.3">
      <c r="A1460">
        <v>20569</v>
      </c>
      <c r="B1460" t="s">
        <v>82</v>
      </c>
      <c r="C1460">
        <v>62</v>
      </c>
      <c r="D1460">
        <v>7</v>
      </c>
      <c r="E1460" t="s">
        <v>270</v>
      </c>
      <c r="F1460" s="85" t="s">
        <v>331</v>
      </c>
      <c r="G1460"/>
      <c r="H1460" t="s">
        <v>295</v>
      </c>
      <c r="I1460" t="s">
        <v>208</v>
      </c>
      <c r="J1460" t="s">
        <v>176</v>
      </c>
      <c r="K1460" s="1">
        <v>2.64</v>
      </c>
      <c r="L1460" s="1">
        <v>0</v>
      </c>
      <c r="M1460" s="1">
        <v>0</v>
      </c>
      <c r="N1460" s="1">
        <v>2.64</v>
      </c>
      <c r="O1460" s="1">
        <v>179.52</v>
      </c>
      <c r="P1460" s="1">
        <v>0</v>
      </c>
      <c r="Q1460" s="1">
        <v>0</v>
      </c>
      <c r="R1460" s="1">
        <v>207.51</v>
      </c>
      <c r="S1460" t="s">
        <v>12</v>
      </c>
      <c r="T1460" s="13">
        <v>45823</v>
      </c>
      <c r="U1460" s="1" t="str">
        <f>IF(ESTIMATIVA[[#This Row],[QT_AREA_REAL]]&gt;0,"1- Colhido","2- à Colher")</f>
        <v>1- Colhido</v>
      </c>
      <c r="V1460" s="1" t="str">
        <f>IF(ESTIMATIVA[[#This Row],[QT_AREA_REST1]]&gt;0,"Reestimativa 1",IF(ESTIMATIVA[[#This Row],[QT_AREA_REAL]]=0,"Reestimativa 1","Realizado"))</f>
        <v>Realizado</v>
      </c>
      <c r="W1460" s="1" t="str">
        <f>IF(ESTIMATIVA[[#This Row],[QT_AREA_REST2]]&gt;0,"Reestimativa 2",IF(ESTIMATIVA[[#This Row],[QT_AREA_REAL]]=0,"Reestimativa 2","Realizado"))</f>
        <v>Realizado</v>
      </c>
      <c r="X1460" s="1">
        <f>ESTIMATIVA[[#This Row],[QT_AREA_EST]]</f>
        <v>2.64</v>
      </c>
      <c r="Y1460" s="1">
        <f>IF(ESTIMATIVA[[#This Row],[QT_AREA_REST1]]&gt;0,ESTIMATIVA[[#This Row],[QT_AREA_REST1]],
  IF(ESTIMATIVA[[#This Row],[QT_AREA_REAL]]&gt;0,ESTIMATIVA[[#This Row],[QT_AREA_REAL]],ESTIMATIVA[[#This Row],[QT_AREA_EST]]))</f>
        <v>2.64</v>
      </c>
      <c r="Z146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2.64</v>
      </c>
      <c r="AA1460" s="1">
        <f>ESTIMATIVA[[#This Row],[QT_CANA_EST]]</f>
        <v>179.52</v>
      </c>
      <c r="AB1460" s="1">
        <f>IF(ESTIMATIVA[[#This Row],[QT_CANA_REST1]]&gt;0,ESTIMATIVA[[#This Row],[QT_CANA_REST1]],
  IF(ESTIMATIVA[[#This Row],[QT_CANA_REAL]]&gt;0,ESTIMATIVA[[#This Row],[QT_CANA_REAL]],ESTIMATIVA[[#This Row],[QT_CANA_EST]]))</f>
        <v>207.51</v>
      </c>
      <c r="AC146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207.51</v>
      </c>
      <c r="AD1460" s="1">
        <f>IF(ESTIMATIVA[[#This Row],[QT_AREA_REAL]]&gt;0,ESTIMATIVA[[#This Row],[QT_CANA_REAL]],ESTIMATIVA[[#This Row],[QT_CANA_EST]])</f>
        <v>207.51</v>
      </c>
      <c r="AE1460" s="1">
        <f>IF(ESTIMATIVA[[#This Row],[QT_AREA_REAL]]&gt;0,ESTIMATIVA[[#This Row],[QT_CANA_REAL]],ESTIMATIVA[[#This Row],[QT_CANA_REST1]])</f>
        <v>207.51</v>
      </c>
      <c r="AF1460" s="1">
        <f>IF(ESTIMATIVA[[#This Row],[QT_AREA_REAL]]&gt;0,ESTIMATIVA[[#This Row],[QT_CANA_REAL]],ESTIMATIVA[[#This Row],[QT_CANA_REST2]])</f>
        <v>207.51</v>
      </c>
      <c r="AG1460" s="1" t="str">
        <f>IF(COUNTIFS(GEADA!A:A,VALUE(ESTIMATIVA[[#This Row],[CD_UPNIVEL1]]&amp;TEXT(ESTIMATIVA[[#This Row],[CD_UPNIVEL3]],"0000")))&gt;0,"S","N")</f>
        <v>N</v>
      </c>
      <c r="AH146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60" s="55" t="str">
        <f>IF(ESTIMATIVA[[#This Row],[TP_CULTIVO]]="Irrigado",_xlfn.MAXIFS(IRRIGADO!J:J,IRRIGADO!C:C,ESTIMATIVA[[#This Row],[CD_UPNIVEL1]],IRRIGADO!E:E,ESTIMATIVA[[#This Row],[CD_UPNIVEL3]]),"")</f>
        <v/>
      </c>
      <c r="AJ146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60" s="1">
        <f>COUNTIFS(Apresentação!$E$23:$E$29,ESTIMATIVA[[#This Row],[CD_UPNIVEL1]])</f>
        <v>0</v>
      </c>
    </row>
    <row r="1461" spans="1:37" x14ac:dyDescent="0.3">
      <c r="A1461">
        <v>20569</v>
      </c>
      <c r="B1461" t="s">
        <v>82</v>
      </c>
      <c r="C1461">
        <v>63</v>
      </c>
      <c r="D1461">
        <v>7</v>
      </c>
      <c r="E1461" t="s">
        <v>270</v>
      </c>
      <c r="F1461" s="85" t="s">
        <v>331</v>
      </c>
      <c r="G1461"/>
      <c r="H1461" t="s">
        <v>295</v>
      </c>
      <c r="I1461" t="s">
        <v>208</v>
      </c>
      <c r="J1461" t="s">
        <v>176</v>
      </c>
      <c r="K1461" s="1">
        <v>4</v>
      </c>
      <c r="L1461" s="1">
        <v>0</v>
      </c>
      <c r="M1461" s="1">
        <v>0</v>
      </c>
      <c r="N1461" s="1">
        <v>4</v>
      </c>
      <c r="O1461" s="1">
        <v>272</v>
      </c>
      <c r="P1461" s="1">
        <v>0</v>
      </c>
      <c r="Q1461" s="1">
        <v>0</v>
      </c>
      <c r="R1461" s="1">
        <v>313.69</v>
      </c>
      <c r="S1461" t="s">
        <v>12</v>
      </c>
      <c r="T1461" s="13">
        <v>45823</v>
      </c>
      <c r="U1461" s="1" t="str">
        <f>IF(ESTIMATIVA[[#This Row],[QT_AREA_REAL]]&gt;0,"1- Colhido","2- à Colher")</f>
        <v>1- Colhido</v>
      </c>
      <c r="V1461" s="1" t="str">
        <f>IF(ESTIMATIVA[[#This Row],[QT_AREA_REST1]]&gt;0,"Reestimativa 1",IF(ESTIMATIVA[[#This Row],[QT_AREA_REAL]]=0,"Reestimativa 1","Realizado"))</f>
        <v>Realizado</v>
      </c>
      <c r="W1461" s="1" t="str">
        <f>IF(ESTIMATIVA[[#This Row],[QT_AREA_REST2]]&gt;0,"Reestimativa 2",IF(ESTIMATIVA[[#This Row],[QT_AREA_REAL]]=0,"Reestimativa 2","Realizado"))</f>
        <v>Realizado</v>
      </c>
      <c r="X1461" s="1">
        <f>ESTIMATIVA[[#This Row],[QT_AREA_EST]]</f>
        <v>4</v>
      </c>
      <c r="Y1461" s="1">
        <f>IF(ESTIMATIVA[[#This Row],[QT_AREA_REST1]]&gt;0,ESTIMATIVA[[#This Row],[QT_AREA_REST1]],
  IF(ESTIMATIVA[[#This Row],[QT_AREA_REAL]]&gt;0,ESTIMATIVA[[#This Row],[QT_AREA_REAL]],ESTIMATIVA[[#This Row],[QT_AREA_EST]]))</f>
        <v>4</v>
      </c>
      <c r="Z146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</v>
      </c>
      <c r="AA1461" s="1">
        <f>ESTIMATIVA[[#This Row],[QT_CANA_EST]]</f>
        <v>272</v>
      </c>
      <c r="AB1461" s="1">
        <f>IF(ESTIMATIVA[[#This Row],[QT_CANA_REST1]]&gt;0,ESTIMATIVA[[#This Row],[QT_CANA_REST1]],
  IF(ESTIMATIVA[[#This Row],[QT_CANA_REAL]]&gt;0,ESTIMATIVA[[#This Row],[QT_CANA_REAL]],ESTIMATIVA[[#This Row],[QT_CANA_EST]]))</f>
        <v>313.69</v>
      </c>
      <c r="AC146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313.69</v>
      </c>
      <c r="AD1461" s="1">
        <f>IF(ESTIMATIVA[[#This Row],[QT_AREA_REAL]]&gt;0,ESTIMATIVA[[#This Row],[QT_CANA_REAL]],ESTIMATIVA[[#This Row],[QT_CANA_EST]])</f>
        <v>313.69</v>
      </c>
      <c r="AE1461" s="1">
        <f>IF(ESTIMATIVA[[#This Row],[QT_AREA_REAL]]&gt;0,ESTIMATIVA[[#This Row],[QT_CANA_REAL]],ESTIMATIVA[[#This Row],[QT_CANA_REST1]])</f>
        <v>313.69</v>
      </c>
      <c r="AF1461" s="1">
        <f>IF(ESTIMATIVA[[#This Row],[QT_AREA_REAL]]&gt;0,ESTIMATIVA[[#This Row],[QT_CANA_REAL]],ESTIMATIVA[[#This Row],[QT_CANA_REST2]])</f>
        <v>313.69</v>
      </c>
      <c r="AG1461" s="1" t="str">
        <f>IF(COUNTIFS(GEADA!A:A,VALUE(ESTIMATIVA[[#This Row],[CD_UPNIVEL1]]&amp;TEXT(ESTIMATIVA[[#This Row],[CD_UPNIVEL3]],"0000")))&gt;0,"S","N")</f>
        <v>N</v>
      </c>
      <c r="AH146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61" s="55" t="str">
        <f>IF(ESTIMATIVA[[#This Row],[TP_CULTIVO]]="Irrigado",_xlfn.MAXIFS(IRRIGADO!J:J,IRRIGADO!C:C,ESTIMATIVA[[#This Row],[CD_UPNIVEL1]],IRRIGADO!E:E,ESTIMATIVA[[#This Row],[CD_UPNIVEL3]]),"")</f>
        <v/>
      </c>
      <c r="AJ146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61" s="1">
        <f>COUNTIFS(Apresentação!$E$23:$E$29,ESTIMATIVA[[#This Row],[CD_UPNIVEL1]])</f>
        <v>0</v>
      </c>
    </row>
    <row r="1462" spans="1:37" x14ac:dyDescent="0.3">
      <c r="A1462">
        <v>20569</v>
      </c>
      <c r="B1462" t="s">
        <v>82</v>
      </c>
      <c r="C1462">
        <v>64</v>
      </c>
      <c r="D1462">
        <v>7</v>
      </c>
      <c r="E1462" t="s">
        <v>270</v>
      </c>
      <c r="F1462" s="85" t="s">
        <v>331</v>
      </c>
      <c r="G1462"/>
      <c r="H1462" t="s">
        <v>295</v>
      </c>
      <c r="I1462" t="s">
        <v>208</v>
      </c>
      <c r="J1462" t="s">
        <v>176</v>
      </c>
      <c r="K1462" s="1">
        <v>5.15</v>
      </c>
      <c r="L1462" s="1">
        <v>0</v>
      </c>
      <c r="M1462" s="1">
        <v>0</v>
      </c>
      <c r="N1462" s="1">
        <v>5.15</v>
      </c>
      <c r="O1462" s="1">
        <v>329.6</v>
      </c>
      <c r="P1462" s="1">
        <v>0</v>
      </c>
      <c r="Q1462" s="1">
        <v>0</v>
      </c>
      <c r="R1462" s="1">
        <v>379.69</v>
      </c>
      <c r="S1462" t="s">
        <v>12</v>
      </c>
      <c r="T1462" s="13">
        <v>45823</v>
      </c>
      <c r="U1462" s="1" t="str">
        <f>IF(ESTIMATIVA[[#This Row],[QT_AREA_REAL]]&gt;0,"1- Colhido","2- à Colher")</f>
        <v>1- Colhido</v>
      </c>
      <c r="V1462" s="1" t="str">
        <f>IF(ESTIMATIVA[[#This Row],[QT_AREA_REST1]]&gt;0,"Reestimativa 1",IF(ESTIMATIVA[[#This Row],[QT_AREA_REAL]]=0,"Reestimativa 1","Realizado"))</f>
        <v>Realizado</v>
      </c>
      <c r="W1462" s="1" t="str">
        <f>IF(ESTIMATIVA[[#This Row],[QT_AREA_REST2]]&gt;0,"Reestimativa 2",IF(ESTIMATIVA[[#This Row],[QT_AREA_REAL]]=0,"Reestimativa 2","Realizado"))</f>
        <v>Realizado</v>
      </c>
      <c r="X1462" s="1">
        <f>ESTIMATIVA[[#This Row],[QT_AREA_EST]]</f>
        <v>5.15</v>
      </c>
      <c r="Y1462" s="1">
        <f>IF(ESTIMATIVA[[#This Row],[QT_AREA_REST1]]&gt;0,ESTIMATIVA[[#This Row],[QT_AREA_REST1]],
  IF(ESTIMATIVA[[#This Row],[QT_AREA_REAL]]&gt;0,ESTIMATIVA[[#This Row],[QT_AREA_REAL]],ESTIMATIVA[[#This Row],[QT_AREA_EST]]))</f>
        <v>5.15</v>
      </c>
      <c r="Z146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5.15</v>
      </c>
      <c r="AA1462" s="1">
        <f>ESTIMATIVA[[#This Row],[QT_CANA_EST]]</f>
        <v>329.6</v>
      </c>
      <c r="AB1462" s="1">
        <f>IF(ESTIMATIVA[[#This Row],[QT_CANA_REST1]]&gt;0,ESTIMATIVA[[#This Row],[QT_CANA_REST1]],
  IF(ESTIMATIVA[[#This Row],[QT_CANA_REAL]]&gt;0,ESTIMATIVA[[#This Row],[QT_CANA_REAL]],ESTIMATIVA[[#This Row],[QT_CANA_EST]]))</f>
        <v>379.69</v>
      </c>
      <c r="AC146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379.69</v>
      </c>
      <c r="AD1462" s="1">
        <f>IF(ESTIMATIVA[[#This Row],[QT_AREA_REAL]]&gt;0,ESTIMATIVA[[#This Row],[QT_CANA_REAL]],ESTIMATIVA[[#This Row],[QT_CANA_EST]])</f>
        <v>379.69</v>
      </c>
      <c r="AE1462" s="1">
        <f>IF(ESTIMATIVA[[#This Row],[QT_AREA_REAL]]&gt;0,ESTIMATIVA[[#This Row],[QT_CANA_REAL]],ESTIMATIVA[[#This Row],[QT_CANA_REST1]])</f>
        <v>379.69</v>
      </c>
      <c r="AF1462" s="1">
        <f>IF(ESTIMATIVA[[#This Row],[QT_AREA_REAL]]&gt;0,ESTIMATIVA[[#This Row],[QT_CANA_REAL]],ESTIMATIVA[[#This Row],[QT_CANA_REST2]])</f>
        <v>379.69</v>
      </c>
      <c r="AG1462" s="1" t="str">
        <f>IF(COUNTIFS(GEADA!A:A,VALUE(ESTIMATIVA[[#This Row],[CD_UPNIVEL1]]&amp;TEXT(ESTIMATIVA[[#This Row],[CD_UPNIVEL3]],"0000")))&gt;0,"S","N")</f>
        <v>N</v>
      </c>
      <c r="AH146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62" s="55" t="str">
        <f>IF(ESTIMATIVA[[#This Row],[TP_CULTIVO]]="Irrigado",_xlfn.MAXIFS(IRRIGADO!J:J,IRRIGADO!C:C,ESTIMATIVA[[#This Row],[CD_UPNIVEL1]],IRRIGADO!E:E,ESTIMATIVA[[#This Row],[CD_UPNIVEL3]]),"")</f>
        <v/>
      </c>
      <c r="AJ146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62" s="1">
        <f>COUNTIFS(Apresentação!$E$23:$E$29,ESTIMATIVA[[#This Row],[CD_UPNIVEL1]])</f>
        <v>0</v>
      </c>
    </row>
    <row r="1463" spans="1:37" x14ac:dyDescent="0.3">
      <c r="A1463">
        <v>20569</v>
      </c>
      <c r="B1463" t="s">
        <v>82</v>
      </c>
      <c r="C1463">
        <v>65</v>
      </c>
      <c r="D1463">
        <v>7</v>
      </c>
      <c r="E1463" t="s">
        <v>270</v>
      </c>
      <c r="F1463" s="85" t="s">
        <v>331</v>
      </c>
      <c r="G1463"/>
      <c r="H1463" t="s">
        <v>295</v>
      </c>
      <c r="I1463" t="s">
        <v>208</v>
      </c>
      <c r="J1463" t="s">
        <v>176</v>
      </c>
      <c r="K1463" s="1">
        <v>2.2400000000000002</v>
      </c>
      <c r="L1463" s="1">
        <v>0</v>
      </c>
      <c r="M1463" s="1">
        <v>0</v>
      </c>
      <c r="N1463" s="1">
        <v>2.2400000000000002</v>
      </c>
      <c r="O1463" s="1">
        <v>89.6</v>
      </c>
      <c r="P1463" s="1">
        <v>0</v>
      </c>
      <c r="Q1463" s="1">
        <v>0</v>
      </c>
      <c r="R1463" s="1">
        <v>103.23</v>
      </c>
      <c r="S1463" t="s">
        <v>12</v>
      </c>
      <c r="T1463" s="13">
        <v>45823</v>
      </c>
      <c r="U1463" s="1" t="str">
        <f>IF(ESTIMATIVA[[#This Row],[QT_AREA_REAL]]&gt;0,"1- Colhido","2- à Colher")</f>
        <v>1- Colhido</v>
      </c>
      <c r="V1463" s="1" t="str">
        <f>IF(ESTIMATIVA[[#This Row],[QT_AREA_REST1]]&gt;0,"Reestimativa 1",IF(ESTIMATIVA[[#This Row],[QT_AREA_REAL]]=0,"Reestimativa 1","Realizado"))</f>
        <v>Realizado</v>
      </c>
      <c r="W1463" s="1" t="str">
        <f>IF(ESTIMATIVA[[#This Row],[QT_AREA_REST2]]&gt;0,"Reestimativa 2",IF(ESTIMATIVA[[#This Row],[QT_AREA_REAL]]=0,"Reestimativa 2","Realizado"))</f>
        <v>Realizado</v>
      </c>
      <c r="X1463" s="1">
        <f>ESTIMATIVA[[#This Row],[QT_AREA_EST]]</f>
        <v>2.2400000000000002</v>
      </c>
      <c r="Y1463" s="1">
        <f>IF(ESTIMATIVA[[#This Row],[QT_AREA_REST1]]&gt;0,ESTIMATIVA[[#This Row],[QT_AREA_REST1]],
  IF(ESTIMATIVA[[#This Row],[QT_AREA_REAL]]&gt;0,ESTIMATIVA[[#This Row],[QT_AREA_REAL]],ESTIMATIVA[[#This Row],[QT_AREA_EST]]))</f>
        <v>2.2400000000000002</v>
      </c>
      <c r="Z146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2.2400000000000002</v>
      </c>
      <c r="AA1463" s="1">
        <f>ESTIMATIVA[[#This Row],[QT_CANA_EST]]</f>
        <v>89.6</v>
      </c>
      <c r="AB1463" s="1">
        <f>IF(ESTIMATIVA[[#This Row],[QT_CANA_REST1]]&gt;0,ESTIMATIVA[[#This Row],[QT_CANA_REST1]],
  IF(ESTIMATIVA[[#This Row],[QT_CANA_REAL]]&gt;0,ESTIMATIVA[[#This Row],[QT_CANA_REAL]],ESTIMATIVA[[#This Row],[QT_CANA_EST]]))</f>
        <v>103.23</v>
      </c>
      <c r="AC146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103.23</v>
      </c>
      <c r="AD1463" s="1">
        <f>IF(ESTIMATIVA[[#This Row],[QT_AREA_REAL]]&gt;0,ESTIMATIVA[[#This Row],[QT_CANA_REAL]],ESTIMATIVA[[#This Row],[QT_CANA_EST]])</f>
        <v>103.23</v>
      </c>
      <c r="AE1463" s="1">
        <f>IF(ESTIMATIVA[[#This Row],[QT_AREA_REAL]]&gt;0,ESTIMATIVA[[#This Row],[QT_CANA_REAL]],ESTIMATIVA[[#This Row],[QT_CANA_REST1]])</f>
        <v>103.23</v>
      </c>
      <c r="AF1463" s="1">
        <f>IF(ESTIMATIVA[[#This Row],[QT_AREA_REAL]]&gt;0,ESTIMATIVA[[#This Row],[QT_CANA_REAL]],ESTIMATIVA[[#This Row],[QT_CANA_REST2]])</f>
        <v>103.23</v>
      </c>
      <c r="AG1463" s="1" t="str">
        <f>IF(COUNTIFS(GEADA!A:A,VALUE(ESTIMATIVA[[#This Row],[CD_UPNIVEL1]]&amp;TEXT(ESTIMATIVA[[#This Row],[CD_UPNIVEL3]],"0000")))&gt;0,"S","N")</f>
        <v>N</v>
      </c>
      <c r="AH146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63" s="55" t="str">
        <f>IF(ESTIMATIVA[[#This Row],[TP_CULTIVO]]="Irrigado",_xlfn.MAXIFS(IRRIGADO!J:J,IRRIGADO!C:C,ESTIMATIVA[[#This Row],[CD_UPNIVEL1]],IRRIGADO!E:E,ESTIMATIVA[[#This Row],[CD_UPNIVEL3]]),"")</f>
        <v/>
      </c>
      <c r="AJ146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63" s="1">
        <f>COUNTIFS(Apresentação!$E$23:$E$29,ESTIMATIVA[[#This Row],[CD_UPNIVEL1]])</f>
        <v>0</v>
      </c>
    </row>
    <row r="1464" spans="1:37" x14ac:dyDescent="0.3">
      <c r="A1464">
        <v>20569</v>
      </c>
      <c r="B1464" t="s">
        <v>82</v>
      </c>
      <c r="C1464">
        <v>66</v>
      </c>
      <c r="D1464">
        <v>7</v>
      </c>
      <c r="E1464" t="s">
        <v>270</v>
      </c>
      <c r="F1464" s="85" t="s">
        <v>331</v>
      </c>
      <c r="G1464"/>
      <c r="H1464" t="s">
        <v>295</v>
      </c>
      <c r="I1464" t="s">
        <v>208</v>
      </c>
      <c r="J1464" t="s">
        <v>176</v>
      </c>
      <c r="K1464" s="1">
        <v>2.3199999999999998</v>
      </c>
      <c r="L1464" s="1">
        <v>0</v>
      </c>
      <c r="M1464" s="1">
        <v>0</v>
      </c>
      <c r="N1464" s="1">
        <v>2.3199999999999998</v>
      </c>
      <c r="O1464" s="1">
        <v>92.8</v>
      </c>
      <c r="P1464" s="1">
        <v>0</v>
      </c>
      <c r="Q1464" s="1">
        <v>0</v>
      </c>
      <c r="R1464" s="1">
        <v>107.06</v>
      </c>
      <c r="S1464" t="s">
        <v>12</v>
      </c>
      <c r="T1464" s="13">
        <v>45823</v>
      </c>
      <c r="U1464" s="1" t="str">
        <f>IF(ESTIMATIVA[[#This Row],[QT_AREA_REAL]]&gt;0,"1- Colhido","2- à Colher")</f>
        <v>1- Colhido</v>
      </c>
      <c r="V1464" s="1" t="str">
        <f>IF(ESTIMATIVA[[#This Row],[QT_AREA_REST1]]&gt;0,"Reestimativa 1",IF(ESTIMATIVA[[#This Row],[QT_AREA_REAL]]=0,"Reestimativa 1","Realizado"))</f>
        <v>Realizado</v>
      </c>
      <c r="W1464" s="1" t="str">
        <f>IF(ESTIMATIVA[[#This Row],[QT_AREA_REST2]]&gt;0,"Reestimativa 2",IF(ESTIMATIVA[[#This Row],[QT_AREA_REAL]]=0,"Reestimativa 2","Realizado"))</f>
        <v>Realizado</v>
      </c>
      <c r="X1464" s="1">
        <f>ESTIMATIVA[[#This Row],[QT_AREA_EST]]</f>
        <v>2.3199999999999998</v>
      </c>
      <c r="Y1464" s="1">
        <f>IF(ESTIMATIVA[[#This Row],[QT_AREA_REST1]]&gt;0,ESTIMATIVA[[#This Row],[QT_AREA_REST1]],
  IF(ESTIMATIVA[[#This Row],[QT_AREA_REAL]]&gt;0,ESTIMATIVA[[#This Row],[QT_AREA_REAL]],ESTIMATIVA[[#This Row],[QT_AREA_EST]]))</f>
        <v>2.3199999999999998</v>
      </c>
      <c r="Z146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2.3199999999999998</v>
      </c>
      <c r="AA1464" s="1">
        <f>ESTIMATIVA[[#This Row],[QT_CANA_EST]]</f>
        <v>92.8</v>
      </c>
      <c r="AB1464" s="1">
        <f>IF(ESTIMATIVA[[#This Row],[QT_CANA_REST1]]&gt;0,ESTIMATIVA[[#This Row],[QT_CANA_REST1]],
  IF(ESTIMATIVA[[#This Row],[QT_CANA_REAL]]&gt;0,ESTIMATIVA[[#This Row],[QT_CANA_REAL]],ESTIMATIVA[[#This Row],[QT_CANA_EST]]))</f>
        <v>107.06</v>
      </c>
      <c r="AC146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107.06</v>
      </c>
      <c r="AD1464" s="1">
        <f>IF(ESTIMATIVA[[#This Row],[QT_AREA_REAL]]&gt;0,ESTIMATIVA[[#This Row],[QT_CANA_REAL]],ESTIMATIVA[[#This Row],[QT_CANA_EST]])</f>
        <v>107.06</v>
      </c>
      <c r="AE1464" s="1">
        <f>IF(ESTIMATIVA[[#This Row],[QT_AREA_REAL]]&gt;0,ESTIMATIVA[[#This Row],[QT_CANA_REAL]],ESTIMATIVA[[#This Row],[QT_CANA_REST1]])</f>
        <v>107.06</v>
      </c>
      <c r="AF1464" s="1">
        <f>IF(ESTIMATIVA[[#This Row],[QT_AREA_REAL]]&gt;0,ESTIMATIVA[[#This Row],[QT_CANA_REAL]],ESTIMATIVA[[#This Row],[QT_CANA_REST2]])</f>
        <v>107.06</v>
      </c>
      <c r="AG1464" s="1" t="str">
        <f>IF(COUNTIFS(GEADA!A:A,VALUE(ESTIMATIVA[[#This Row],[CD_UPNIVEL1]]&amp;TEXT(ESTIMATIVA[[#This Row],[CD_UPNIVEL3]],"0000")))&gt;0,"S","N")</f>
        <v>N</v>
      </c>
      <c r="AH146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64" s="55" t="str">
        <f>IF(ESTIMATIVA[[#This Row],[TP_CULTIVO]]="Irrigado",_xlfn.MAXIFS(IRRIGADO!J:J,IRRIGADO!C:C,ESTIMATIVA[[#This Row],[CD_UPNIVEL1]],IRRIGADO!E:E,ESTIMATIVA[[#This Row],[CD_UPNIVEL3]]),"")</f>
        <v/>
      </c>
      <c r="AJ146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64" s="1">
        <f>COUNTIFS(Apresentação!$E$23:$E$29,ESTIMATIVA[[#This Row],[CD_UPNIVEL1]])</f>
        <v>0</v>
      </c>
    </row>
    <row r="1465" spans="1:37" x14ac:dyDescent="0.3">
      <c r="A1465">
        <v>20569</v>
      </c>
      <c r="B1465" t="s">
        <v>82</v>
      </c>
      <c r="C1465">
        <v>67</v>
      </c>
      <c r="D1465">
        <v>7</v>
      </c>
      <c r="E1465" t="s">
        <v>270</v>
      </c>
      <c r="F1465" s="85" t="s">
        <v>331</v>
      </c>
      <c r="G1465"/>
      <c r="H1465" t="s">
        <v>295</v>
      </c>
      <c r="I1465" t="s">
        <v>208</v>
      </c>
      <c r="J1465" t="s">
        <v>176</v>
      </c>
      <c r="K1465" s="1">
        <v>3.14</v>
      </c>
      <c r="L1465" s="1">
        <v>0</v>
      </c>
      <c r="M1465" s="1">
        <v>0</v>
      </c>
      <c r="N1465" s="1">
        <v>3.14</v>
      </c>
      <c r="O1465" s="1">
        <v>125.6</v>
      </c>
      <c r="P1465" s="1">
        <v>0</v>
      </c>
      <c r="Q1465" s="1">
        <v>0</v>
      </c>
      <c r="R1465" s="1">
        <v>145.34</v>
      </c>
      <c r="S1465" t="s">
        <v>12</v>
      </c>
      <c r="T1465" s="13">
        <v>45823</v>
      </c>
      <c r="U1465" s="1" t="str">
        <f>IF(ESTIMATIVA[[#This Row],[QT_AREA_REAL]]&gt;0,"1- Colhido","2- à Colher")</f>
        <v>1- Colhido</v>
      </c>
      <c r="V1465" s="1" t="str">
        <f>IF(ESTIMATIVA[[#This Row],[QT_AREA_REST1]]&gt;0,"Reestimativa 1",IF(ESTIMATIVA[[#This Row],[QT_AREA_REAL]]=0,"Reestimativa 1","Realizado"))</f>
        <v>Realizado</v>
      </c>
      <c r="W1465" s="1" t="str">
        <f>IF(ESTIMATIVA[[#This Row],[QT_AREA_REST2]]&gt;0,"Reestimativa 2",IF(ESTIMATIVA[[#This Row],[QT_AREA_REAL]]=0,"Reestimativa 2","Realizado"))</f>
        <v>Realizado</v>
      </c>
      <c r="X1465" s="1">
        <f>ESTIMATIVA[[#This Row],[QT_AREA_EST]]</f>
        <v>3.14</v>
      </c>
      <c r="Y1465" s="1">
        <f>IF(ESTIMATIVA[[#This Row],[QT_AREA_REST1]]&gt;0,ESTIMATIVA[[#This Row],[QT_AREA_REST1]],
  IF(ESTIMATIVA[[#This Row],[QT_AREA_REAL]]&gt;0,ESTIMATIVA[[#This Row],[QT_AREA_REAL]],ESTIMATIVA[[#This Row],[QT_AREA_EST]]))</f>
        <v>3.14</v>
      </c>
      <c r="Z146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3.14</v>
      </c>
      <c r="AA1465" s="1">
        <f>ESTIMATIVA[[#This Row],[QT_CANA_EST]]</f>
        <v>125.6</v>
      </c>
      <c r="AB1465" s="1">
        <f>IF(ESTIMATIVA[[#This Row],[QT_CANA_REST1]]&gt;0,ESTIMATIVA[[#This Row],[QT_CANA_REST1]],
  IF(ESTIMATIVA[[#This Row],[QT_CANA_REAL]]&gt;0,ESTIMATIVA[[#This Row],[QT_CANA_REAL]],ESTIMATIVA[[#This Row],[QT_CANA_EST]]))</f>
        <v>145.34</v>
      </c>
      <c r="AC146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145.34</v>
      </c>
      <c r="AD1465" s="1">
        <f>IF(ESTIMATIVA[[#This Row],[QT_AREA_REAL]]&gt;0,ESTIMATIVA[[#This Row],[QT_CANA_REAL]],ESTIMATIVA[[#This Row],[QT_CANA_EST]])</f>
        <v>145.34</v>
      </c>
      <c r="AE1465" s="1">
        <f>IF(ESTIMATIVA[[#This Row],[QT_AREA_REAL]]&gt;0,ESTIMATIVA[[#This Row],[QT_CANA_REAL]],ESTIMATIVA[[#This Row],[QT_CANA_REST1]])</f>
        <v>145.34</v>
      </c>
      <c r="AF1465" s="1">
        <f>IF(ESTIMATIVA[[#This Row],[QT_AREA_REAL]]&gt;0,ESTIMATIVA[[#This Row],[QT_CANA_REAL]],ESTIMATIVA[[#This Row],[QT_CANA_REST2]])</f>
        <v>145.34</v>
      </c>
      <c r="AG1465" s="1" t="str">
        <f>IF(COUNTIFS(GEADA!A:A,VALUE(ESTIMATIVA[[#This Row],[CD_UPNIVEL1]]&amp;TEXT(ESTIMATIVA[[#This Row],[CD_UPNIVEL3]],"0000")))&gt;0,"S","N")</f>
        <v>N</v>
      </c>
      <c r="AH146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65" s="55" t="str">
        <f>IF(ESTIMATIVA[[#This Row],[TP_CULTIVO]]="Irrigado",_xlfn.MAXIFS(IRRIGADO!J:J,IRRIGADO!C:C,ESTIMATIVA[[#This Row],[CD_UPNIVEL1]],IRRIGADO!E:E,ESTIMATIVA[[#This Row],[CD_UPNIVEL3]]),"")</f>
        <v/>
      </c>
      <c r="AJ146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65" s="1">
        <f>COUNTIFS(Apresentação!$E$23:$E$29,ESTIMATIVA[[#This Row],[CD_UPNIVEL1]])</f>
        <v>0</v>
      </c>
    </row>
    <row r="1466" spans="1:37" x14ac:dyDescent="0.3">
      <c r="A1466">
        <v>20569</v>
      </c>
      <c r="B1466" t="s">
        <v>82</v>
      </c>
      <c r="C1466">
        <v>68</v>
      </c>
      <c r="D1466">
        <v>7</v>
      </c>
      <c r="E1466" t="s">
        <v>270</v>
      </c>
      <c r="F1466" s="85" t="s">
        <v>331</v>
      </c>
      <c r="G1466"/>
      <c r="H1466" t="s">
        <v>295</v>
      </c>
      <c r="I1466" t="s">
        <v>208</v>
      </c>
      <c r="J1466" t="s">
        <v>176</v>
      </c>
      <c r="K1466" s="1">
        <v>3.18</v>
      </c>
      <c r="L1466" s="1">
        <v>0</v>
      </c>
      <c r="M1466" s="1">
        <v>0</v>
      </c>
      <c r="N1466" s="1">
        <v>3.18</v>
      </c>
      <c r="O1466" s="1">
        <v>235.32</v>
      </c>
      <c r="P1466" s="1">
        <v>0</v>
      </c>
      <c r="Q1466" s="1">
        <v>0</v>
      </c>
      <c r="R1466" s="1">
        <v>271.62</v>
      </c>
      <c r="S1466" t="s">
        <v>12</v>
      </c>
      <c r="T1466" s="13">
        <v>45823</v>
      </c>
      <c r="U1466" s="1" t="str">
        <f>IF(ESTIMATIVA[[#This Row],[QT_AREA_REAL]]&gt;0,"1- Colhido","2- à Colher")</f>
        <v>1- Colhido</v>
      </c>
      <c r="V1466" s="1" t="str">
        <f>IF(ESTIMATIVA[[#This Row],[QT_AREA_REST1]]&gt;0,"Reestimativa 1",IF(ESTIMATIVA[[#This Row],[QT_AREA_REAL]]=0,"Reestimativa 1","Realizado"))</f>
        <v>Realizado</v>
      </c>
      <c r="W1466" s="1" t="str">
        <f>IF(ESTIMATIVA[[#This Row],[QT_AREA_REST2]]&gt;0,"Reestimativa 2",IF(ESTIMATIVA[[#This Row],[QT_AREA_REAL]]=0,"Reestimativa 2","Realizado"))</f>
        <v>Realizado</v>
      </c>
      <c r="X1466" s="1">
        <f>ESTIMATIVA[[#This Row],[QT_AREA_EST]]</f>
        <v>3.18</v>
      </c>
      <c r="Y1466" s="1">
        <f>IF(ESTIMATIVA[[#This Row],[QT_AREA_REST1]]&gt;0,ESTIMATIVA[[#This Row],[QT_AREA_REST1]],
  IF(ESTIMATIVA[[#This Row],[QT_AREA_REAL]]&gt;0,ESTIMATIVA[[#This Row],[QT_AREA_REAL]],ESTIMATIVA[[#This Row],[QT_AREA_EST]]))</f>
        <v>3.18</v>
      </c>
      <c r="Z146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3.18</v>
      </c>
      <c r="AA1466" s="1">
        <f>ESTIMATIVA[[#This Row],[QT_CANA_EST]]</f>
        <v>235.32</v>
      </c>
      <c r="AB1466" s="1">
        <f>IF(ESTIMATIVA[[#This Row],[QT_CANA_REST1]]&gt;0,ESTIMATIVA[[#This Row],[QT_CANA_REST1]],
  IF(ESTIMATIVA[[#This Row],[QT_CANA_REAL]]&gt;0,ESTIMATIVA[[#This Row],[QT_CANA_REAL]],ESTIMATIVA[[#This Row],[QT_CANA_EST]]))</f>
        <v>271.62</v>
      </c>
      <c r="AC146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271.62</v>
      </c>
      <c r="AD1466" s="1">
        <f>IF(ESTIMATIVA[[#This Row],[QT_AREA_REAL]]&gt;0,ESTIMATIVA[[#This Row],[QT_CANA_REAL]],ESTIMATIVA[[#This Row],[QT_CANA_EST]])</f>
        <v>271.62</v>
      </c>
      <c r="AE1466" s="1">
        <f>IF(ESTIMATIVA[[#This Row],[QT_AREA_REAL]]&gt;0,ESTIMATIVA[[#This Row],[QT_CANA_REAL]],ESTIMATIVA[[#This Row],[QT_CANA_REST1]])</f>
        <v>271.62</v>
      </c>
      <c r="AF1466" s="1">
        <f>IF(ESTIMATIVA[[#This Row],[QT_AREA_REAL]]&gt;0,ESTIMATIVA[[#This Row],[QT_CANA_REAL]],ESTIMATIVA[[#This Row],[QT_CANA_REST2]])</f>
        <v>271.62</v>
      </c>
      <c r="AG1466" s="1" t="str">
        <f>IF(COUNTIFS(GEADA!A:A,VALUE(ESTIMATIVA[[#This Row],[CD_UPNIVEL1]]&amp;TEXT(ESTIMATIVA[[#This Row],[CD_UPNIVEL3]],"0000")))&gt;0,"S","N")</f>
        <v>N</v>
      </c>
      <c r="AH146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66" s="55" t="str">
        <f>IF(ESTIMATIVA[[#This Row],[TP_CULTIVO]]="Irrigado",_xlfn.MAXIFS(IRRIGADO!J:J,IRRIGADO!C:C,ESTIMATIVA[[#This Row],[CD_UPNIVEL1]],IRRIGADO!E:E,ESTIMATIVA[[#This Row],[CD_UPNIVEL3]]),"")</f>
        <v/>
      </c>
      <c r="AJ146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66" s="1">
        <f>COUNTIFS(Apresentação!$E$23:$E$29,ESTIMATIVA[[#This Row],[CD_UPNIVEL1]])</f>
        <v>0</v>
      </c>
    </row>
    <row r="1467" spans="1:37" x14ac:dyDescent="0.3">
      <c r="A1467">
        <v>20569</v>
      </c>
      <c r="B1467" t="s">
        <v>82</v>
      </c>
      <c r="C1467">
        <v>69</v>
      </c>
      <c r="D1467">
        <v>7</v>
      </c>
      <c r="E1467" t="s">
        <v>270</v>
      </c>
      <c r="F1467" s="85" t="s">
        <v>331</v>
      </c>
      <c r="G1467"/>
      <c r="H1467" t="s">
        <v>295</v>
      </c>
      <c r="I1467" t="s">
        <v>208</v>
      </c>
      <c r="J1467" t="s">
        <v>176</v>
      </c>
      <c r="K1467" s="1">
        <v>2.71</v>
      </c>
      <c r="L1467" s="1">
        <v>0</v>
      </c>
      <c r="M1467" s="1">
        <v>0</v>
      </c>
      <c r="N1467" s="1">
        <v>2.71</v>
      </c>
      <c r="O1467" s="1">
        <v>200.54</v>
      </c>
      <c r="P1467" s="1">
        <v>0</v>
      </c>
      <c r="Q1467" s="1">
        <v>0</v>
      </c>
      <c r="R1467" s="1">
        <v>231.42</v>
      </c>
      <c r="S1467" t="s">
        <v>12</v>
      </c>
      <c r="T1467" s="13">
        <v>45823</v>
      </c>
      <c r="U1467" s="1" t="str">
        <f>IF(ESTIMATIVA[[#This Row],[QT_AREA_REAL]]&gt;0,"1- Colhido","2- à Colher")</f>
        <v>1- Colhido</v>
      </c>
      <c r="V1467" s="1" t="str">
        <f>IF(ESTIMATIVA[[#This Row],[QT_AREA_REST1]]&gt;0,"Reestimativa 1",IF(ESTIMATIVA[[#This Row],[QT_AREA_REAL]]=0,"Reestimativa 1","Realizado"))</f>
        <v>Realizado</v>
      </c>
      <c r="W1467" s="1" t="str">
        <f>IF(ESTIMATIVA[[#This Row],[QT_AREA_REST2]]&gt;0,"Reestimativa 2",IF(ESTIMATIVA[[#This Row],[QT_AREA_REAL]]=0,"Reestimativa 2","Realizado"))</f>
        <v>Realizado</v>
      </c>
      <c r="X1467" s="1">
        <f>ESTIMATIVA[[#This Row],[QT_AREA_EST]]</f>
        <v>2.71</v>
      </c>
      <c r="Y1467" s="1">
        <f>IF(ESTIMATIVA[[#This Row],[QT_AREA_REST1]]&gt;0,ESTIMATIVA[[#This Row],[QT_AREA_REST1]],
  IF(ESTIMATIVA[[#This Row],[QT_AREA_REAL]]&gt;0,ESTIMATIVA[[#This Row],[QT_AREA_REAL]],ESTIMATIVA[[#This Row],[QT_AREA_EST]]))</f>
        <v>2.71</v>
      </c>
      <c r="Z146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2.71</v>
      </c>
      <c r="AA1467" s="1">
        <f>ESTIMATIVA[[#This Row],[QT_CANA_EST]]</f>
        <v>200.54</v>
      </c>
      <c r="AB1467" s="1">
        <f>IF(ESTIMATIVA[[#This Row],[QT_CANA_REST1]]&gt;0,ESTIMATIVA[[#This Row],[QT_CANA_REST1]],
  IF(ESTIMATIVA[[#This Row],[QT_CANA_REAL]]&gt;0,ESTIMATIVA[[#This Row],[QT_CANA_REAL]],ESTIMATIVA[[#This Row],[QT_CANA_EST]]))</f>
        <v>231.42</v>
      </c>
      <c r="AC146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231.42</v>
      </c>
      <c r="AD1467" s="1">
        <f>IF(ESTIMATIVA[[#This Row],[QT_AREA_REAL]]&gt;0,ESTIMATIVA[[#This Row],[QT_CANA_REAL]],ESTIMATIVA[[#This Row],[QT_CANA_EST]])</f>
        <v>231.42</v>
      </c>
      <c r="AE1467" s="1">
        <f>IF(ESTIMATIVA[[#This Row],[QT_AREA_REAL]]&gt;0,ESTIMATIVA[[#This Row],[QT_CANA_REAL]],ESTIMATIVA[[#This Row],[QT_CANA_REST1]])</f>
        <v>231.42</v>
      </c>
      <c r="AF1467" s="1">
        <f>IF(ESTIMATIVA[[#This Row],[QT_AREA_REAL]]&gt;0,ESTIMATIVA[[#This Row],[QT_CANA_REAL]],ESTIMATIVA[[#This Row],[QT_CANA_REST2]])</f>
        <v>231.42</v>
      </c>
      <c r="AG1467" s="1" t="str">
        <f>IF(COUNTIFS(GEADA!A:A,VALUE(ESTIMATIVA[[#This Row],[CD_UPNIVEL1]]&amp;TEXT(ESTIMATIVA[[#This Row],[CD_UPNIVEL3]],"0000")))&gt;0,"S","N")</f>
        <v>N</v>
      </c>
      <c r="AH146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67" s="55" t="str">
        <f>IF(ESTIMATIVA[[#This Row],[TP_CULTIVO]]="Irrigado",_xlfn.MAXIFS(IRRIGADO!J:J,IRRIGADO!C:C,ESTIMATIVA[[#This Row],[CD_UPNIVEL1]],IRRIGADO!E:E,ESTIMATIVA[[#This Row],[CD_UPNIVEL3]]),"")</f>
        <v/>
      </c>
      <c r="AJ146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67" s="1">
        <f>COUNTIFS(Apresentação!$E$23:$E$29,ESTIMATIVA[[#This Row],[CD_UPNIVEL1]])</f>
        <v>0</v>
      </c>
    </row>
    <row r="1468" spans="1:37" x14ac:dyDescent="0.3">
      <c r="A1468">
        <v>20569</v>
      </c>
      <c r="B1468" t="s">
        <v>82</v>
      </c>
      <c r="C1468">
        <v>70</v>
      </c>
      <c r="D1468">
        <v>7</v>
      </c>
      <c r="E1468" t="s">
        <v>270</v>
      </c>
      <c r="F1468" s="85" t="s">
        <v>331</v>
      </c>
      <c r="G1468"/>
      <c r="H1468" t="s">
        <v>295</v>
      </c>
      <c r="I1468" t="s">
        <v>208</v>
      </c>
      <c r="J1468" t="s">
        <v>176</v>
      </c>
      <c r="K1468" s="1">
        <v>6.35</v>
      </c>
      <c r="L1468" s="1">
        <v>0</v>
      </c>
      <c r="M1468" s="1">
        <v>0</v>
      </c>
      <c r="N1468" s="1">
        <v>6.35</v>
      </c>
      <c r="O1468" s="1">
        <v>469.9</v>
      </c>
      <c r="P1468" s="1">
        <v>0</v>
      </c>
      <c r="Q1468" s="1">
        <v>0</v>
      </c>
      <c r="R1468" s="1">
        <v>541.37</v>
      </c>
      <c r="S1468" t="s">
        <v>12</v>
      </c>
      <c r="T1468" s="13">
        <v>45823</v>
      </c>
      <c r="U1468" s="1" t="str">
        <f>IF(ESTIMATIVA[[#This Row],[QT_AREA_REAL]]&gt;0,"1- Colhido","2- à Colher")</f>
        <v>1- Colhido</v>
      </c>
      <c r="V1468" s="1" t="str">
        <f>IF(ESTIMATIVA[[#This Row],[QT_AREA_REST1]]&gt;0,"Reestimativa 1",IF(ESTIMATIVA[[#This Row],[QT_AREA_REAL]]=0,"Reestimativa 1","Realizado"))</f>
        <v>Realizado</v>
      </c>
      <c r="W1468" s="1" t="str">
        <f>IF(ESTIMATIVA[[#This Row],[QT_AREA_REST2]]&gt;0,"Reestimativa 2",IF(ESTIMATIVA[[#This Row],[QT_AREA_REAL]]=0,"Reestimativa 2","Realizado"))</f>
        <v>Realizado</v>
      </c>
      <c r="X1468" s="1">
        <f>ESTIMATIVA[[#This Row],[QT_AREA_EST]]</f>
        <v>6.35</v>
      </c>
      <c r="Y1468" s="1">
        <f>IF(ESTIMATIVA[[#This Row],[QT_AREA_REST1]]&gt;0,ESTIMATIVA[[#This Row],[QT_AREA_REST1]],
  IF(ESTIMATIVA[[#This Row],[QT_AREA_REAL]]&gt;0,ESTIMATIVA[[#This Row],[QT_AREA_REAL]],ESTIMATIVA[[#This Row],[QT_AREA_EST]]))</f>
        <v>6.35</v>
      </c>
      <c r="Z146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6.35</v>
      </c>
      <c r="AA1468" s="1">
        <f>ESTIMATIVA[[#This Row],[QT_CANA_EST]]</f>
        <v>469.9</v>
      </c>
      <c r="AB1468" s="1">
        <f>IF(ESTIMATIVA[[#This Row],[QT_CANA_REST1]]&gt;0,ESTIMATIVA[[#This Row],[QT_CANA_REST1]],
  IF(ESTIMATIVA[[#This Row],[QT_CANA_REAL]]&gt;0,ESTIMATIVA[[#This Row],[QT_CANA_REAL]],ESTIMATIVA[[#This Row],[QT_CANA_EST]]))</f>
        <v>541.37</v>
      </c>
      <c r="AC146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541.37</v>
      </c>
      <c r="AD1468" s="1">
        <f>IF(ESTIMATIVA[[#This Row],[QT_AREA_REAL]]&gt;0,ESTIMATIVA[[#This Row],[QT_CANA_REAL]],ESTIMATIVA[[#This Row],[QT_CANA_EST]])</f>
        <v>541.37</v>
      </c>
      <c r="AE1468" s="1">
        <f>IF(ESTIMATIVA[[#This Row],[QT_AREA_REAL]]&gt;0,ESTIMATIVA[[#This Row],[QT_CANA_REAL]],ESTIMATIVA[[#This Row],[QT_CANA_REST1]])</f>
        <v>541.37</v>
      </c>
      <c r="AF1468" s="1">
        <f>IF(ESTIMATIVA[[#This Row],[QT_AREA_REAL]]&gt;0,ESTIMATIVA[[#This Row],[QT_CANA_REAL]],ESTIMATIVA[[#This Row],[QT_CANA_REST2]])</f>
        <v>541.37</v>
      </c>
      <c r="AG1468" s="1" t="str">
        <f>IF(COUNTIFS(GEADA!A:A,VALUE(ESTIMATIVA[[#This Row],[CD_UPNIVEL1]]&amp;TEXT(ESTIMATIVA[[#This Row],[CD_UPNIVEL3]],"0000")))&gt;0,"S","N")</f>
        <v>N</v>
      </c>
      <c r="AH146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68" s="55" t="str">
        <f>IF(ESTIMATIVA[[#This Row],[TP_CULTIVO]]="Irrigado",_xlfn.MAXIFS(IRRIGADO!J:J,IRRIGADO!C:C,ESTIMATIVA[[#This Row],[CD_UPNIVEL1]],IRRIGADO!E:E,ESTIMATIVA[[#This Row],[CD_UPNIVEL3]]),"")</f>
        <v/>
      </c>
      <c r="AJ146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68" s="1">
        <f>COUNTIFS(Apresentação!$E$23:$E$29,ESTIMATIVA[[#This Row],[CD_UPNIVEL1]])</f>
        <v>0</v>
      </c>
    </row>
    <row r="1469" spans="1:37" x14ac:dyDescent="0.3">
      <c r="A1469">
        <v>20569</v>
      </c>
      <c r="B1469" t="s">
        <v>82</v>
      </c>
      <c r="C1469">
        <v>71</v>
      </c>
      <c r="D1469">
        <v>7</v>
      </c>
      <c r="E1469" t="s">
        <v>270</v>
      </c>
      <c r="F1469" s="85" t="s">
        <v>331</v>
      </c>
      <c r="G1469"/>
      <c r="H1469" t="s">
        <v>295</v>
      </c>
      <c r="I1469" t="s">
        <v>208</v>
      </c>
      <c r="J1469" t="s">
        <v>176</v>
      </c>
      <c r="K1469" s="1">
        <v>7.29</v>
      </c>
      <c r="L1469" s="1">
        <v>0</v>
      </c>
      <c r="M1469" s="1">
        <v>0</v>
      </c>
      <c r="N1469" s="1">
        <v>7.29</v>
      </c>
      <c r="O1469" s="1">
        <v>539.46</v>
      </c>
      <c r="P1469" s="1">
        <v>0</v>
      </c>
      <c r="Q1469" s="1">
        <v>0</v>
      </c>
      <c r="R1469" s="1">
        <v>623.04999999999995</v>
      </c>
      <c r="S1469" t="s">
        <v>12</v>
      </c>
      <c r="T1469" s="13">
        <v>45823</v>
      </c>
      <c r="U1469" s="1" t="str">
        <f>IF(ESTIMATIVA[[#This Row],[QT_AREA_REAL]]&gt;0,"1- Colhido","2- à Colher")</f>
        <v>1- Colhido</v>
      </c>
      <c r="V1469" s="1" t="str">
        <f>IF(ESTIMATIVA[[#This Row],[QT_AREA_REST1]]&gt;0,"Reestimativa 1",IF(ESTIMATIVA[[#This Row],[QT_AREA_REAL]]=0,"Reestimativa 1","Realizado"))</f>
        <v>Realizado</v>
      </c>
      <c r="W1469" s="1" t="str">
        <f>IF(ESTIMATIVA[[#This Row],[QT_AREA_REST2]]&gt;0,"Reestimativa 2",IF(ESTIMATIVA[[#This Row],[QT_AREA_REAL]]=0,"Reestimativa 2","Realizado"))</f>
        <v>Realizado</v>
      </c>
      <c r="X1469" s="1">
        <f>ESTIMATIVA[[#This Row],[QT_AREA_EST]]</f>
        <v>7.29</v>
      </c>
      <c r="Y1469" s="1">
        <f>IF(ESTIMATIVA[[#This Row],[QT_AREA_REST1]]&gt;0,ESTIMATIVA[[#This Row],[QT_AREA_REST1]],
  IF(ESTIMATIVA[[#This Row],[QT_AREA_REAL]]&gt;0,ESTIMATIVA[[#This Row],[QT_AREA_REAL]],ESTIMATIVA[[#This Row],[QT_AREA_EST]]))</f>
        <v>7.29</v>
      </c>
      <c r="Z146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7.29</v>
      </c>
      <c r="AA1469" s="1">
        <f>ESTIMATIVA[[#This Row],[QT_CANA_EST]]</f>
        <v>539.46</v>
      </c>
      <c r="AB1469" s="1">
        <f>IF(ESTIMATIVA[[#This Row],[QT_CANA_REST1]]&gt;0,ESTIMATIVA[[#This Row],[QT_CANA_REST1]],
  IF(ESTIMATIVA[[#This Row],[QT_CANA_REAL]]&gt;0,ESTIMATIVA[[#This Row],[QT_CANA_REAL]],ESTIMATIVA[[#This Row],[QT_CANA_EST]]))</f>
        <v>623.04999999999995</v>
      </c>
      <c r="AC146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623.04999999999995</v>
      </c>
      <c r="AD1469" s="1">
        <f>IF(ESTIMATIVA[[#This Row],[QT_AREA_REAL]]&gt;0,ESTIMATIVA[[#This Row],[QT_CANA_REAL]],ESTIMATIVA[[#This Row],[QT_CANA_EST]])</f>
        <v>623.04999999999995</v>
      </c>
      <c r="AE1469" s="1">
        <f>IF(ESTIMATIVA[[#This Row],[QT_AREA_REAL]]&gt;0,ESTIMATIVA[[#This Row],[QT_CANA_REAL]],ESTIMATIVA[[#This Row],[QT_CANA_REST1]])</f>
        <v>623.04999999999995</v>
      </c>
      <c r="AF1469" s="1">
        <f>IF(ESTIMATIVA[[#This Row],[QT_AREA_REAL]]&gt;0,ESTIMATIVA[[#This Row],[QT_CANA_REAL]],ESTIMATIVA[[#This Row],[QT_CANA_REST2]])</f>
        <v>623.04999999999995</v>
      </c>
      <c r="AG1469" s="1" t="str">
        <f>IF(COUNTIFS(GEADA!A:A,VALUE(ESTIMATIVA[[#This Row],[CD_UPNIVEL1]]&amp;TEXT(ESTIMATIVA[[#This Row],[CD_UPNIVEL3]],"0000")))&gt;0,"S","N")</f>
        <v>N</v>
      </c>
      <c r="AH146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69" s="55" t="str">
        <f>IF(ESTIMATIVA[[#This Row],[TP_CULTIVO]]="Irrigado",_xlfn.MAXIFS(IRRIGADO!J:J,IRRIGADO!C:C,ESTIMATIVA[[#This Row],[CD_UPNIVEL1]],IRRIGADO!E:E,ESTIMATIVA[[#This Row],[CD_UPNIVEL3]]),"")</f>
        <v/>
      </c>
      <c r="AJ146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69" s="1">
        <f>COUNTIFS(Apresentação!$E$23:$E$29,ESTIMATIVA[[#This Row],[CD_UPNIVEL1]])</f>
        <v>0</v>
      </c>
    </row>
    <row r="1470" spans="1:37" x14ac:dyDescent="0.3">
      <c r="A1470">
        <v>20569</v>
      </c>
      <c r="B1470" t="s">
        <v>82</v>
      </c>
      <c r="C1470">
        <v>73</v>
      </c>
      <c r="D1470">
        <v>7</v>
      </c>
      <c r="E1470" t="s">
        <v>270</v>
      </c>
      <c r="F1470" s="85" t="s">
        <v>331</v>
      </c>
      <c r="G1470"/>
      <c r="H1470" t="s">
        <v>295</v>
      </c>
      <c r="I1470" t="s">
        <v>208</v>
      </c>
      <c r="J1470" t="s">
        <v>176</v>
      </c>
      <c r="K1470" s="1">
        <v>1.91</v>
      </c>
      <c r="L1470" s="1">
        <v>0</v>
      </c>
      <c r="M1470" s="1">
        <v>0</v>
      </c>
      <c r="N1470" s="1">
        <v>1.91</v>
      </c>
      <c r="O1470" s="1">
        <v>141.34</v>
      </c>
      <c r="P1470" s="1">
        <v>0</v>
      </c>
      <c r="Q1470" s="1">
        <v>0</v>
      </c>
      <c r="R1470" s="1">
        <v>126.99</v>
      </c>
      <c r="S1470" t="s">
        <v>12</v>
      </c>
      <c r="T1470" s="13">
        <v>45823</v>
      </c>
      <c r="U1470" s="1" t="str">
        <f>IF(ESTIMATIVA[[#This Row],[QT_AREA_REAL]]&gt;0,"1- Colhido","2- à Colher")</f>
        <v>1- Colhido</v>
      </c>
      <c r="V1470" s="1" t="str">
        <f>IF(ESTIMATIVA[[#This Row],[QT_AREA_REST1]]&gt;0,"Reestimativa 1",IF(ESTIMATIVA[[#This Row],[QT_AREA_REAL]]=0,"Reestimativa 1","Realizado"))</f>
        <v>Realizado</v>
      </c>
      <c r="W1470" s="1" t="str">
        <f>IF(ESTIMATIVA[[#This Row],[QT_AREA_REST2]]&gt;0,"Reestimativa 2",IF(ESTIMATIVA[[#This Row],[QT_AREA_REAL]]=0,"Reestimativa 2","Realizado"))</f>
        <v>Realizado</v>
      </c>
      <c r="X1470" s="1">
        <f>ESTIMATIVA[[#This Row],[QT_AREA_EST]]</f>
        <v>1.91</v>
      </c>
      <c r="Y1470" s="1">
        <f>IF(ESTIMATIVA[[#This Row],[QT_AREA_REST1]]&gt;0,ESTIMATIVA[[#This Row],[QT_AREA_REST1]],
  IF(ESTIMATIVA[[#This Row],[QT_AREA_REAL]]&gt;0,ESTIMATIVA[[#This Row],[QT_AREA_REAL]],ESTIMATIVA[[#This Row],[QT_AREA_EST]]))</f>
        <v>1.91</v>
      </c>
      <c r="Z147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1.91</v>
      </c>
      <c r="AA1470" s="1">
        <f>ESTIMATIVA[[#This Row],[QT_CANA_EST]]</f>
        <v>141.34</v>
      </c>
      <c r="AB1470" s="1">
        <f>IF(ESTIMATIVA[[#This Row],[QT_CANA_REST1]]&gt;0,ESTIMATIVA[[#This Row],[QT_CANA_REST1]],
  IF(ESTIMATIVA[[#This Row],[QT_CANA_REAL]]&gt;0,ESTIMATIVA[[#This Row],[QT_CANA_REAL]],ESTIMATIVA[[#This Row],[QT_CANA_EST]]))</f>
        <v>126.99</v>
      </c>
      <c r="AC147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126.99</v>
      </c>
      <c r="AD1470" s="1">
        <f>IF(ESTIMATIVA[[#This Row],[QT_AREA_REAL]]&gt;0,ESTIMATIVA[[#This Row],[QT_CANA_REAL]],ESTIMATIVA[[#This Row],[QT_CANA_EST]])</f>
        <v>126.99</v>
      </c>
      <c r="AE1470" s="1">
        <f>IF(ESTIMATIVA[[#This Row],[QT_AREA_REAL]]&gt;0,ESTIMATIVA[[#This Row],[QT_CANA_REAL]],ESTIMATIVA[[#This Row],[QT_CANA_REST1]])</f>
        <v>126.99</v>
      </c>
      <c r="AF1470" s="1">
        <f>IF(ESTIMATIVA[[#This Row],[QT_AREA_REAL]]&gt;0,ESTIMATIVA[[#This Row],[QT_CANA_REAL]],ESTIMATIVA[[#This Row],[QT_CANA_REST2]])</f>
        <v>126.99</v>
      </c>
      <c r="AG1470" s="1" t="str">
        <f>IF(COUNTIFS(GEADA!A:A,VALUE(ESTIMATIVA[[#This Row],[CD_UPNIVEL1]]&amp;TEXT(ESTIMATIVA[[#This Row],[CD_UPNIVEL3]],"0000")))&gt;0,"S","N")</f>
        <v>N</v>
      </c>
      <c r="AH147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70" s="55" t="str">
        <f>IF(ESTIMATIVA[[#This Row],[TP_CULTIVO]]="Irrigado",_xlfn.MAXIFS(IRRIGADO!J:J,IRRIGADO!C:C,ESTIMATIVA[[#This Row],[CD_UPNIVEL1]],IRRIGADO!E:E,ESTIMATIVA[[#This Row],[CD_UPNIVEL3]]),"")</f>
        <v/>
      </c>
      <c r="AJ147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70" s="1">
        <f>COUNTIFS(Apresentação!$E$23:$E$29,ESTIMATIVA[[#This Row],[CD_UPNIVEL1]])</f>
        <v>0</v>
      </c>
    </row>
    <row r="1471" spans="1:37" x14ac:dyDescent="0.3">
      <c r="A1471">
        <v>20569</v>
      </c>
      <c r="B1471" t="s">
        <v>82</v>
      </c>
      <c r="C1471">
        <v>74</v>
      </c>
      <c r="D1471">
        <v>7</v>
      </c>
      <c r="E1471" t="s">
        <v>270</v>
      </c>
      <c r="F1471" s="85" t="s">
        <v>331</v>
      </c>
      <c r="G1471"/>
      <c r="H1471" t="s">
        <v>295</v>
      </c>
      <c r="I1471" t="s">
        <v>208</v>
      </c>
      <c r="J1471" t="s">
        <v>176</v>
      </c>
      <c r="K1471" s="1">
        <v>2.72</v>
      </c>
      <c r="L1471" s="1">
        <v>0</v>
      </c>
      <c r="M1471" s="1">
        <v>0</v>
      </c>
      <c r="N1471" s="1">
        <v>2.72</v>
      </c>
      <c r="O1471" s="1">
        <v>201.28</v>
      </c>
      <c r="P1471" s="1">
        <v>0</v>
      </c>
      <c r="Q1471" s="1">
        <v>0</v>
      </c>
      <c r="R1471" s="1">
        <v>181</v>
      </c>
      <c r="S1471" t="s">
        <v>12</v>
      </c>
      <c r="T1471" s="13">
        <v>45823</v>
      </c>
      <c r="U1471" s="1" t="str">
        <f>IF(ESTIMATIVA[[#This Row],[QT_AREA_REAL]]&gt;0,"1- Colhido","2- à Colher")</f>
        <v>1- Colhido</v>
      </c>
      <c r="V1471" s="1" t="str">
        <f>IF(ESTIMATIVA[[#This Row],[QT_AREA_REST1]]&gt;0,"Reestimativa 1",IF(ESTIMATIVA[[#This Row],[QT_AREA_REAL]]=0,"Reestimativa 1","Realizado"))</f>
        <v>Realizado</v>
      </c>
      <c r="W1471" s="1" t="str">
        <f>IF(ESTIMATIVA[[#This Row],[QT_AREA_REST2]]&gt;0,"Reestimativa 2",IF(ESTIMATIVA[[#This Row],[QT_AREA_REAL]]=0,"Reestimativa 2","Realizado"))</f>
        <v>Realizado</v>
      </c>
      <c r="X1471" s="1">
        <f>ESTIMATIVA[[#This Row],[QT_AREA_EST]]</f>
        <v>2.72</v>
      </c>
      <c r="Y1471" s="1">
        <f>IF(ESTIMATIVA[[#This Row],[QT_AREA_REST1]]&gt;0,ESTIMATIVA[[#This Row],[QT_AREA_REST1]],
  IF(ESTIMATIVA[[#This Row],[QT_AREA_REAL]]&gt;0,ESTIMATIVA[[#This Row],[QT_AREA_REAL]],ESTIMATIVA[[#This Row],[QT_AREA_EST]]))</f>
        <v>2.72</v>
      </c>
      <c r="Z147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2.72</v>
      </c>
      <c r="AA1471" s="1">
        <f>ESTIMATIVA[[#This Row],[QT_CANA_EST]]</f>
        <v>201.28</v>
      </c>
      <c r="AB1471" s="1">
        <f>IF(ESTIMATIVA[[#This Row],[QT_CANA_REST1]]&gt;0,ESTIMATIVA[[#This Row],[QT_CANA_REST1]],
  IF(ESTIMATIVA[[#This Row],[QT_CANA_REAL]]&gt;0,ESTIMATIVA[[#This Row],[QT_CANA_REAL]],ESTIMATIVA[[#This Row],[QT_CANA_EST]]))</f>
        <v>181</v>
      </c>
      <c r="AC147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181</v>
      </c>
      <c r="AD1471" s="1">
        <f>IF(ESTIMATIVA[[#This Row],[QT_AREA_REAL]]&gt;0,ESTIMATIVA[[#This Row],[QT_CANA_REAL]],ESTIMATIVA[[#This Row],[QT_CANA_EST]])</f>
        <v>181</v>
      </c>
      <c r="AE1471" s="1">
        <f>IF(ESTIMATIVA[[#This Row],[QT_AREA_REAL]]&gt;0,ESTIMATIVA[[#This Row],[QT_CANA_REAL]],ESTIMATIVA[[#This Row],[QT_CANA_REST1]])</f>
        <v>181</v>
      </c>
      <c r="AF1471" s="1">
        <f>IF(ESTIMATIVA[[#This Row],[QT_AREA_REAL]]&gt;0,ESTIMATIVA[[#This Row],[QT_CANA_REAL]],ESTIMATIVA[[#This Row],[QT_CANA_REST2]])</f>
        <v>181</v>
      </c>
      <c r="AG1471" s="1" t="str">
        <f>IF(COUNTIFS(GEADA!A:A,VALUE(ESTIMATIVA[[#This Row],[CD_UPNIVEL1]]&amp;TEXT(ESTIMATIVA[[#This Row],[CD_UPNIVEL3]],"0000")))&gt;0,"S","N")</f>
        <v>N</v>
      </c>
      <c r="AH147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71" s="55" t="str">
        <f>IF(ESTIMATIVA[[#This Row],[TP_CULTIVO]]="Irrigado",_xlfn.MAXIFS(IRRIGADO!J:J,IRRIGADO!C:C,ESTIMATIVA[[#This Row],[CD_UPNIVEL1]],IRRIGADO!E:E,ESTIMATIVA[[#This Row],[CD_UPNIVEL3]]),"")</f>
        <v/>
      </c>
      <c r="AJ147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71" s="1">
        <f>COUNTIFS(Apresentação!$E$23:$E$29,ESTIMATIVA[[#This Row],[CD_UPNIVEL1]])</f>
        <v>0</v>
      </c>
    </row>
    <row r="1472" spans="1:37" x14ac:dyDescent="0.3">
      <c r="A1472">
        <v>20569</v>
      </c>
      <c r="B1472" t="s">
        <v>82</v>
      </c>
      <c r="C1472">
        <v>75</v>
      </c>
      <c r="D1472">
        <v>7</v>
      </c>
      <c r="E1472" t="s">
        <v>270</v>
      </c>
      <c r="F1472" s="85" t="s">
        <v>331</v>
      </c>
      <c r="G1472"/>
      <c r="H1472" t="s">
        <v>295</v>
      </c>
      <c r="I1472" t="s">
        <v>208</v>
      </c>
      <c r="J1472" t="s">
        <v>176</v>
      </c>
      <c r="K1472" s="1">
        <v>3.84</v>
      </c>
      <c r="L1472" s="1">
        <v>0</v>
      </c>
      <c r="M1472" s="1">
        <v>0</v>
      </c>
      <c r="N1472" s="1">
        <v>3.84</v>
      </c>
      <c r="O1472" s="1">
        <v>245.76</v>
      </c>
      <c r="P1472" s="1">
        <v>0</v>
      </c>
      <c r="Q1472" s="1">
        <v>0</v>
      </c>
      <c r="R1472" s="1">
        <v>221.68</v>
      </c>
      <c r="S1472" t="s">
        <v>12</v>
      </c>
      <c r="T1472" s="13">
        <v>45823</v>
      </c>
      <c r="U1472" s="1" t="str">
        <f>IF(ESTIMATIVA[[#This Row],[QT_AREA_REAL]]&gt;0,"1- Colhido","2- à Colher")</f>
        <v>1- Colhido</v>
      </c>
      <c r="V1472" s="1" t="str">
        <f>IF(ESTIMATIVA[[#This Row],[QT_AREA_REST1]]&gt;0,"Reestimativa 1",IF(ESTIMATIVA[[#This Row],[QT_AREA_REAL]]=0,"Reestimativa 1","Realizado"))</f>
        <v>Realizado</v>
      </c>
      <c r="W1472" s="1" t="str">
        <f>IF(ESTIMATIVA[[#This Row],[QT_AREA_REST2]]&gt;0,"Reestimativa 2",IF(ESTIMATIVA[[#This Row],[QT_AREA_REAL]]=0,"Reestimativa 2","Realizado"))</f>
        <v>Realizado</v>
      </c>
      <c r="X1472" s="1">
        <f>ESTIMATIVA[[#This Row],[QT_AREA_EST]]</f>
        <v>3.84</v>
      </c>
      <c r="Y1472" s="1">
        <f>IF(ESTIMATIVA[[#This Row],[QT_AREA_REST1]]&gt;0,ESTIMATIVA[[#This Row],[QT_AREA_REST1]],
  IF(ESTIMATIVA[[#This Row],[QT_AREA_REAL]]&gt;0,ESTIMATIVA[[#This Row],[QT_AREA_REAL]],ESTIMATIVA[[#This Row],[QT_AREA_EST]]))</f>
        <v>3.84</v>
      </c>
      <c r="Z147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3.84</v>
      </c>
      <c r="AA1472" s="1">
        <f>ESTIMATIVA[[#This Row],[QT_CANA_EST]]</f>
        <v>245.76</v>
      </c>
      <c r="AB1472" s="1">
        <f>IF(ESTIMATIVA[[#This Row],[QT_CANA_REST1]]&gt;0,ESTIMATIVA[[#This Row],[QT_CANA_REST1]],
  IF(ESTIMATIVA[[#This Row],[QT_CANA_REAL]]&gt;0,ESTIMATIVA[[#This Row],[QT_CANA_REAL]],ESTIMATIVA[[#This Row],[QT_CANA_EST]]))</f>
        <v>221.68</v>
      </c>
      <c r="AC147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221.68</v>
      </c>
      <c r="AD1472" s="1">
        <f>IF(ESTIMATIVA[[#This Row],[QT_AREA_REAL]]&gt;0,ESTIMATIVA[[#This Row],[QT_CANA_REAL]],ESTIMATIVA[[#This Row],[QT_CANA_EST]])</f>
        <v>221.68</v>
      </c>
      <c r="AE1472" s="1">
        <f>IF(ESTIMATIVA[[#This Row],[QT_AREA_REAL]]&gt;0,ESTIMATIVA[[#This Row],[QT_CANA_REAL]],ESTIMATIVA[[#This Row],[QT_CANA_REST1]])</f>
        <v>221.68</v>
      </c>
      <c r="AF1472" s="1">
        <f>IF(ESTIMATIVA[[#This Row],[QT_AREA_REAL]]&gt;0,ESTIMATIVA[[#This Row],[QT_CANA_REAL]],ESTIMATIVA[[#This Row],[QT_CANA_REST2]])</f>
        <v>221.68</v>
      </c>
      <c r="AG1472" s="1" t="str">
        <f>IF(COUNTIFS(GEADA!A:A,VALUE(ESTIMATIVA[[#This Row],[CD_UPNIVEL1]]&amp;TEXT(ESTIMATIVA[[#This Row],[CD_UPNIVEL3]],"0000")))&gt;0,"S","N")</f>
        <v>N</v>
      </c>
      <c r="AH147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72" s="55" t="str">
        <f>IF(ESTIMATIVA[[#This Row],[TP_CULTIVO]]="Irrigado",_xlfn.MAXIFS(IRRIGADO!J:J,IRRIGADO!C:C,ESTIMATIVA[[#This Row],[CD_UPNIVEL1]],IRRIGADO!E:E,ESTIMATIVA[[#This Row],[CD_UPNIVEL3]]),"")</f>
        <v/>
      </c>
      <c r="AJ147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72" s="1">
        <f>COUNTIFS(Apresentação!$E$23:$E$29,ESTIMATIVA[[#This Row],[CD_UPNIVEL1]])</f>
        <v>0</v>
      </c>
    </row>
    <row r="1473" spans="1:37" x14ac:dyDescent="0.3">
      <c r="A1473">
        <v>20569</v>
      </c>
      <c r="B1473" t="s">
        <v>82</v>
      </c>
      <c r="C1473">
        <v>76</v>
      </c>
      <c r="D1473">
        <v>7</v>
      </c>
      <c r="E1473" t="s">
        <v>270</v>
      </c>
      <c r="F1473" s="85" t="s">
        <v>331</v>
      </c>
      <c r="G1473"/>
      <c r="H1473" t="s">
        <v>295</v>
      </c>
      <c r="I1473" t="s">
        <v>208</v>
      </c>
      <c r="J1473" t="s">
        <v>176</v>
      </c>
      <c r="K1473" s="1">
        <v>3.88</v>
      </c>
      <c r="L1473" s="1">
        <v>0</v>
      </c>
      <c r="M1473" s="1">
        <v>0</v>
      </c>
      <c r="N1473" s="1">
        <v>3.88</v>
      </c>
      <c r="O1473" s="1">
        <v>248.32</v>
      </c>
      <c r="P1473" s="1">
        <v>0</v>
      </c>
      <c r="Q1473" s="1">
        <v>0</v>
      </c>
      <c r="R1473" s="1">
        <v>223.35</v>
      </c>
      <c r="S1473" t="s">
        <v>12</v>
      </c>
      <c r="T1473" s="13">
        <v>45823</v>
      </c>
      <c r="U1473" s="1" t="str">
        <f>IF(ESTIMATIVA[[#This Row],[QT_AREA_REAL]]&gt;0,"1- Colhido","2- à Colher")</f>
        <v>1- Colhido</v>
      </c>
      <c r="V1473" s="1" t="str">
        <f>IF(ESTIMATIVA[[#This Row],[QT_AREA_REST1]]&gt;0,"Reestimativa 1",IF(ESTIMATIVA[[#This Row],[QT_AREA_REAL]]=0,"Reestimativa 1","Realizado"))</f>
        <v>Realizado</v>
      </c>
      <c r="W1473" s="1" t="str">
        <f>IF(ESTIMATIVA[[#This Row],[QT_AREA_REST2]]&gt;0,"Reestimativa 2",IF(ESTIMATIVA[[#This Row],[QT_AREA_REAL]]=0,"Reestimativa 2","Realizado"))</f>
        <v>Realizado</v>
      </c>
      <c r="X1473" s="1">
        <f>ESTIMATIVA[[#This Row],[QT_AREA_EST]]</f>
        <v>3.88</v>
      </c>
      <c r="Y1473" s="1">
        <f>IF(ESTIMATIVA[[#This Row],[QT_AREA_REST1]]&gt;0,ESTIMATIVA[[#This Row],[QT_AREA_REST1]],
  IF(ESTIMATIVA[[#This Row],[QT_AREA_REAL]]&gt;0,ESTIMATIVA[[#This Row],[QT_AREA_REAL]],ESTIMATIVA[[#This Row],[QT_AREA_EST]]))</f>
        <v>3.88</v>
      </c>
      <c r="Z147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3.88</v>
      </c>
      <c r="AA1473" s="1">
        <f>ESTIMATIVA[[#This Row],[QT_CANA_EST]]</f>
        <v>248.32</v>
      </c>
      <c r="AB1473" s="1">
        <f>IF(ESTIMATIVA[[#This Row],[QT_CANA_REST1]]&gt;0,ESTIMATIVA[[#This Row],[QT_CANA_REST1]],
  IF(ESTIMATIVA[[#This Row],[QT_CANA_REAL]]&gt;0,ESTIMATIVA[[#This Row],[QT_CANA_REAL]],ESTIMATIVA[[#This Row],[QT_CANA_EST]]))</f>
        <v>223.35</v>
      </c>
      <c r="AC147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223.35</v>
      </c>
      <c r="AD1473" s="1">
        <f>IF(ESTIMATIVA[[#This Row],[QT_AREA_REAL]]&gt;0,ESTIMATIVA[[#This Row],[QT_CANA_REAL]],ESTIMATIVA[[#This Row],[QT_CANA_EST]])</f>
        <v>223.35</v>
      </c>
      <c r="AE1473" s="1">
        <f>IF(ESTIMATIVA[[#This Row],[QT_AREA_REAL]]&gt;0,ESTIMATIVA[[#This Row],[QT_CANA_REAL]],ESTIMATIVA[[#This Row],[QT_CANA_REST1]])</f>
        <v>223.35</v>
      </c>
      <c r="AF1473" s="1">
        <f>IF(ESTIMATIVA[[#This Row],[QT_AREA_REAL]]&gt;0,ESTIMATIVA[[#This Row],[QT_CANA_REAL]],ESTIMATIVA[[#This Row],[QT_CANA_REST2]])</f>
        <v>223.35</v>
      </c>
      <c r="AG1473" s="1" t="str">
        <f>IF(COUNTIFS(GEADA!A:A,VALUE(ESTIMATIVA[[#This Row],[CD_UPNIVEL1]]&amp;TEXT(ESTIMATIVA[[#This Row],[CD_UPNIVEL3]],"0000")))&gt;0,"S","N")</f>
        <v>N</v>
      </c>
      <c r="AH147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73" s="55" t="str">
        <f>IF(ESTIMATIVA[[#This Row],[TP_CULTIVO]]="Irrigado",_xlfn.MAXIFS(IRRIGADO!J:J,IRRIGADO!C:C,ESTIMATIVA[[#This Row],[CD_UPNIVEL1]],IRRIGADO!E:E,ESTIMATIVA[[#This Row],[CD_UPNIVEL3]]),"")</f>
        <v/>
      </c>
      <c r="AJ147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73" s="1">
        <f>COUNTIFS(Apresentação!$E$23:$E$29,ESTIMATIVA[[#This Row],[CD_UPNIVEL1]])</f>
        <v>0</v>
      </c>
    </row>
    <row r="1474" spans="1:37" x14ac:dyDescent="0.3">
      <c r="A1474">
        <v>20569</v>
      </c>
      <c r="B1474" t="s">
        <v>82</v>
      </c>
      <c r="C1474">
        <v>77</v>
      </c>
      <c r="D1474">
        <v>7</v>
      </c>
      <c r="E1474" t="s">
        <v>270</v>
      </c>
      <c r="F1474" s="85" t="s">
        <v>331</v>
      </c>
      <c r="G1474"/>
      <c r="H1474" t="s">
        <v>295</v>
      </c>
      <c r="I1474" t="s">
        <v>208</v>
      </c>
      <c r="J1474" t="s">
        <v>176</v>
      </c>
      <c r="K1474" s="1">
        <v>3.56</v>
      </c>
      <c r="L1474" s="1">
        <v>0</v>
      </c>
      <c r="M1474" s="1">
        <v>0</v>
      </c>
      <c r="N1474" s="1">
        <v>3.56</v>
      </c>
      <c r="O1474" s="1">
        <v>227.84</v>
      </c>
      <c r="P1474" s="1">
        <v>0</v>
      </c>
      <c r="Q1474" s="1">
        <v>0</v>
      </c>
      <c r="R1474" s="1">
        <v>205.35</v>
      </c>
      <c r="S1474" t="s">
        <v>12</v>
      </c>
      <c r="T1474" s="13">
        <v>45823</v>
      </c>
      <c r="U1474" s="1" t="str">
        <f>IF(ESTIMATIVA[[#This Row],[QT_AREA_REAL]]&gt;0,"1- Colhido","2- à Colher")</f>
        <v>1- Colhido</v>
      </c>
      <c r="V1474" s="1" t="str">
        <f>IF(ESTIMATIVA[[#This Row],[QT_AREA_REST1]]&gt;0,"Reestimativa 1",IF(ESTIMATIVA[[#This Row],[QT_AREA_REAL]]=0,"Reestimativa 1","Realizado"))</f>
        <v>Realizado</v>
      </c>
      <c r="W1474" s="1" t="str">
        <f>IF(ESTIMATIVA[[#This Row],[QT_AREA_REST2]]&gt;0,"Reestimativa 2",IF(ESTIMATIVA[[#This Row],[QT_AREA_REAL]]=0,"Reestimativa 2","Realizado"))</f>
        <v>Realizado</v>
      </c>
      <c r="X1474" s="1">
        <f>ESTIMATIVA[[#This Row],[QT_AREA_EST]]</f>
        <v>3.56</v>
      </c>
      <c r="Y1474" s="1">
        <f>IF(ESTIMATIVA[[#This Row],[QT_AREA_REST1]]&gt;0,ESTIMATIVA[[#This Row],[QT_AREA_REST1]],
  IF(ESTIMATIVA[[#This Row],[QT_AREA_REAL]]&gt;0,ESTIMATIVA[[#This Row],[QT_AREA_REAL]],ESTIMATIVA[[#This Row],[QT_AREA_EST]]))</f>
        <v>3.56</v>
      </c>
      <c r="Z147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3.56</v>
      </c>
      <c r="AA1474" s="1">
        <f>ESTIMATIVA[[#This Row],[QT_CANA_EST]]</f>
        <v>227.84</v>
      </c>
      <c r="AB1474" s="1">
        <f>IF(ESTIMATIVA[[#This Row],[QT_CANA_REST1]]&gt;0,ESTIMATIVA[[#This Row],[QT_CANA_REST1]],
  IF(ESTIMATIVA[[#This Row],[QT_CANA_REAL]]&gt;0,ESTIMATIVA[[#This Row],[QT_CANA_REAL]],ESTIMATIVA[[#This Row],[QT_CANA_EST]]))</f>
        <v>205.35</v>
      </c>
      <c r="AC147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205.35</v>
      </c>
      <c r="AD1474" s="1">
        <f>IF(ESTIMATIVA[[#This Row],[QT_AREA_REAL]]&gt;0,ESTIMATIVA[[#This Row],[QT_CANA_REAL]],ESTIMATIVA[[#This Row],[QT_CANA_EST]])</f>
        <v>205.35</v>
      </c>
      <c r="AE1474" s="1">
        <f>IF(ESTIMATIVA[[#This Row],[QT_AREA_REAL]]&gt;0,ESTIMATIVA[[#This Row],[QT_CANA_REAL]],ESTIMATIVA[[#This Row],[QT_CANA_REST1]])</f>
        <v>205.35</v>
      </c>
      <c r="AF1474" s="1">
        <f>IF(ESTIMATIVA[[#This Row],[QT_AREA_REAL]]&gt;0,ESTIMATIVA[[#This Row],[QT_CANA_REAL]],ESTIMATIVA[[#This Row],[QT_CANA_REST2]])</f>
        <v>205.35</v>
      </c>
      <c r="AG1474" s="1" t="str">
        <f>IF(COUNTIFS(GEADA!A:A,VALUE(ESTIMATIVA[[#This Row],[CD_UPNIVEL1]]&amp;TEXT(ESTIMATIVA[[#This Row],[CD_UPNIVEL3]],"0000")))&gt;0,"S","N")</f>
        <v>N</v>
      </c>
      <c r="AH147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74" s="55" t="str">
        <f>IF(ESTIMATIVA[[#This Row],[TP_CULTIVO]]="Irrigado",_xlfn.MAXIFS(IRRIGADO!J:J,IRRIGADO!C:C,ESTIMATIVA[[#This Row],[CD_UPNIVEL1]],IRRIGADO!E:E,ESTIMATIVA[[#This Row],[CD_UPNIVEL3]]),"")</f>
        <v/>
      </c>
      <c r="AJ147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74" s="1">
        <f>COUNTIFS(Apresentação!$E$23:$E$29,ESTIMATIVA[[#This Row],[CD_UPNIVEL1]])</f>
        <v>0</v>
      </c>
    </row>
    <row r="1475" spans="1:37" x14ac:dyDescent="0.3">
      <c r="A1475">
        <v>20569</v>
      </c>
      <c r="B1475" t="s">
        <v>82</v>
      </c>
      <c r="C1475">
        <v>78</v>
      </c>
      <c r="D1475">
        <v>7</v>
      </c>
      <c r="E1475" t="s">
        <v>270</v>
      </c>
      <c r="F1475" s="85" t="s">
        <v>331</v>
      </c>
      <c r="G1475"/>
      <c r="H1475" t="s">
        <v>295</v>
      </c>
      <c r="I1475" t="s">
        <v>208</v>
      </c>
      <c r="J1475" t="s">
        <v>176</v>
      </c>
      <c r="K1475" s="1">
        <v>3.26</v>
      </c>
      <c r="L1475" s="1">
        <v>0</v>
      </c>
      <c r="M1475" s="1">
        <v>0</v>
      </c>
      <c r="N1475" s="1">
        <v>3.26</v>
      </c>
      <c r="O1475" s="1">
        <v>176.04</v>
      </c>
      <c r="P1475" s="1">
        <v>0</v>
      </c>
      <c r="Q1475" s="1">
        <v>0</v>
      </c>
      <c r="R1475" s="1">
        <v>158.66999999999999</v>
      </c>
      <c r="S1475" t="s">
        <v>12</v>
      </c>
      <c r="T1475" s="13">
        <v>45823</v>
      </c>
      <c r="U1475" s="1" t="str">
        <f>IF(ESTIMATIVA[[#This Row],[QT_AREA_REAL]]&gt;0,"1- Colhido","2- à Colher")</f>
        <v>1- Colhido</v>
      </c>
      <c r="V1475" s="1" t="str">
        <f>IF(ESTIMATIVA[[#This Row],[QT_AREA_REST1]]&gt;0,"Reestimativa 1",IF(ESTIMATIVA[[#This Row],[QT_AREA_REAL]]=0,"Reestimativa 1","Realizado"))</f>
        <v>Realizado</v>
      </c>
      <c r="W1475" s="1" t="str">
        <f>IF(ESTIMATIVA[[#This Row],[QT_AREA_REST2]]&gt;0,"Reestimativa 2",IF(ESTIMATIVA[[#This Row],[QT_AREA_REAL]]=0,"Reestimativa 2","Realizado"))</f>
        <v>Realizado</v>
      </c>
      <c r="X1475" s="1">
        <f>ESTIMATIVA[[#This Row],[QT_AREA_EST]]</f>
        <v>3.26</v>
      </c>
      <c r="Y1475" s="1">
        <f>IF(ESTIMATIVA[[#This Row],[QT_AREA_REST1]]&gt;0,ESTIMATIVA[[#This Row],[QT_AREA_REST1]],
  IF(ESTIMATIVA[[#This Row],[QT_AREA_REAL]]&gt;0,ESTIMATIVA[[#This Row],[QT_AREA_REAL]],ESTIMATIVA[[#This Row],[QT_AREA_EST]]))</f>
        <v>3.26</v>
      </c>
      <c r="Z147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3.26</v>
      </c>
      <c r="AA1475" s="1">
        <f>ESTIMATIVA[[#This Row],[QT_CANA_EST]]</f>
        <v>176.04</v>
      </c>
      <c r="AB1475" s="1">
        <f>IF(ESTIMATIVA[[#This Row],[QT_CANA_REST1]]&gt;0,ESTIMATIVA[[#This Row],[QT_CANA_REST1]],
  IF(ESTIMATIVA[[#This Row],[QT_CANA_REAL]]&gt;0,ESTIMATIVA[[#This Row],[QT_CANA_REAL]],ESTIMATIVA[[#This Row],[QT_CANA_EST]]))</f>
        <v>158.66999999999999</v>
      </c>
      <c r="AC147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158.66999999999999</v>
      </c>
      <c r="AD1475" s="1">
        <f>IF(ESTIMATIVA[[#This Row],[QT_AREA_REAL]]&gt;0,ESTIMATIVA[[#This Row],[QT_CANA_REAL]],ESTIMATIVA[[#This Row],[QT_CANA_EST]])</f>
        <v>158.66999999999999</v>
      </c>
      <c r="AE1475" s="1">
        <f>IF(ESTIMATIVA[[#This Row],[QT_AREA_REAL]]&gt;0,ESTIMATIVA[[#This Row],[QT_CANA_REAL]],ESTIMATIVA[[#This Row],[QT_CANA_REST1]])</f>
        <v>158.66999999999999</v>
      </c>
      <c r="AF1475" s="1">
        <f>IF(ESTIMATIVA[[#This Row],[QT_AREA_REAL]]&gt;0,ESTIMATIVA[[#This Row],[QT_CANA_REAL]],ESTIMATIVA[[#This Row],[QT_CANA_REST2]])</f>
        <v>158.66999999999999</v>
      </c>
      <c r="AG1475" s="1" t="str">
        <f>IF(COUNTIFS(GEADA!A:A,VALUE(ESTIMATIVA[[#This Row],[CD_UPNIVEL1]]&amp;TEXT(ESTIMATIVA[[#This Row],[CD_UPNIVEL3]],"0000")))&gt;0,"S","N")</f>
        <v>N</v>
      </c>
      <c r="AH147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75" s="55" t="str">
        <f>IF(ESTIMATIVA[[#This Row],[TP_CULTIVO]]="Irrigado",_xlfn.MAXIFS(IRRIGADO!J:J,IRRIGADO!C:C,ESTIMATIVA[[#This Row],[CD_UPNIVEL1]],IRRIGADO!E:E,ESTIMATIVA[[#This Row],[CD_UPNIVEL3]]),"")</f>
        <v/>
      </c>
      <c r="AJ147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75" s="1">
        <f>COUNTIFS(Apresentação!$E$23:$E$29,ESTIMATIVA[[#This Row],[CD_UPNIVEL1]])</f>
        <v>0</v>
      </c>
    </row>
    <row r="1476" spans="1:37" x14ac:dyDescent="0.3">
      <c r="A1476">
        <v>20569</v>
      </c>
      <c r="B1476" t="s">
        <v>82</v>
      </c>
      <c r="C1476">
        <v>79</v>
      </c>
      <c r="D1476">
        <v>7</v>
      </c>
      <c r="E1476" t="s">
        <v>270</v>
      </c>
      <c r="F1476" s="85" t="s">
        <v>331</v>
      </c>
      <c r="G1476"/>
      <c r="H1476" t="s">
        <v>295</v>
      </c>
      <c r="I1476" t="s">
        <v>208</v>
      </c>
      <c r="J1476" t="s">
        <v>176</v>
      </c>
      <c r="K1476" s="1">
        <v>1.19</v>
      </c>
      <c r="L1476" s="1">
        <v>0</v>
      </c>
      <c r="M1476" s="1">
        <v>0</v>
      </c>
      <c r="N1476" s="1">
        <v>1.19</v>
      </c>
      <c r="O1476" s="1">
        <v>64.260000000000005</v>
      </c>
      <c r="P1476" s="1">
        <v>0</v>
      </c>
      <c r="Q1476" s="1">
        <v>0</v>
      </c>
      <c r="R1476" s="1">
        <v>57.64</v>
      </c>
      <c r="S1476" t="s">
        <v>12</v>
      </c>
      <c r="T1476" s="13">
        <v>45823</v>
      </c>
      <c r="U1476" s="1" t="str">
        <f>IF(ESTIMATIVA[[#This Row],[QT_AREA_REAL]]&gt;0,"1- Colhido","2- à Colher")</f>
        <v>1- Colhido</v>
      </c>
      <c r="V1476" s="1" t="str">
        <f>IF(ESTIMATIVA[[#This Row],[QT_AREA_REST1]]&gt;0,"Reestimativa 1",IF(ESTIMATIVA[[#This Row],[QT_AREA_REAL]]=0,"Reestimativa 1","Realizado"))</f>
        <v>Realizado</v>
      </c>
      <c r="W1476" s="1" t="str">
        <f>IF(ESTIMATIVA[[#This Row],[QT_AREA_REST2]]&gt;0,"Reestimativa 2",IF(ESTIMATIVA[[#This Row],[QT_AREA_REAL]]=0,"Reestimativa 2","Realizado"))</f>
        <v>Realizado</v>
      </c>
      <c r="X1476" s="1">
        <f>ESTIMATIVA[[#This Row],[QT_AREA_EST]]</f>
        <v>1.19</v>
      </c>
      <c r="Y1476" s="1">
        <f>IF(ESTIMATIVA[[#This Row],[QT_AREA_REST1]]&gt;0,ESTIMATIVA[[#This Row],[QT_AREA_REST1]],
  IF(ESTIMATIVA[[#This Row],[QT_AREA_REAL]]&gt;0,ESTIMATIVA[[#This Row],[QT_AREA_REAL]],ESTIMATIVA[[#This Row],[QT_AREA_EST]]))</f>
        <v>1.19</v>
      </c>
      <c r="Z147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1.19</v>
      </c>
      <c r="AA1476" s="1">
        <f>ESTIMATIVA[[#This Row],[QT_CANA_EST]]</f>
        <v>64.260000000000005</v>
      </c>
      <c r="AB1476" s="1">
        <f>IF(ESTIMATIVA[[#This Row],[QT_CANA_REST1]]&gt;0,ESTIMATIVA[[#This Row],[QT_CANA_REST1]],
  IF(ESTIMATIVA[[#This Row],[QT_CANA_REAL]]&gt;0,ESTIMATIVA[[#This Row],[QT_CANA_REAL]],ESTIMATIVA[[#This Row],[QT_CANA_EST]]))</f>
        <v>57.64</v>
      </c>
      <c r="AC147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57.64</v>
      </c>
      <c r="AD1476" s="1">
        <f>IF(ESTIMATIVA[[#This Row],[QT_AREA_REAL]]&gt;0,ESTIMATIVA[[#This Row],[QT_CANA_REAL]],ESTIMATIVA[[#This Row],[QT_CANA_EST]])</f>
        <v>57.64</v>
      </c>
      <c r="AE1476" s="1">
        <f>IF(ESTIMATIVA[[#This Row],[QT_AREA_REAL]]&gt;0,ESTIMATIVA[[#This Row],[QT_CANA_REAL]],ESTIMATIVA[[#This Row],[QT_CANA_REST1]])</f>
        <v>57.64</v>
      </c>
      <c r="AF1476" s="1">
        <f>IF(ESTIMATIVA[[#This Row],[QT_AREA_REAL]]&gt;0,ESTIMATIVA[[#This Row],[QT_CANA_REAL]],ESTIMATIVA[[#This Row],[QT_CANA_REST2]])</f>
        <v>57.64</v>
      </c>
      <c r="AG1476" s="1" t="str">
        <f>IF(COUNTIFS(GEADA!A:A,VALUE(ESTIMATIVA[[#This Row],[CD_UPNIVEL1]]&amp;TEXT(ESTIMATIVA[[#This Row],[CD_UPNIVEL3]],"0000")))&gt;0,"S","N")</f>
        <v>N</v>
      </c>
      <c r="AH147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76" s="55" t="str">
        <f>IF(ESTIMATIVA[[#This Row],[TP_CULTIVO]]="Irrigado",_xlfn.MAXIFS(IRRIGADO!J:J,IRRIGADO!C:C,ESTIMATIVA[[#This Row],[CD_UPNIVEL1]],IRRIGADO!E:E,ESTIMATIVA[[#This Row],[CD_UPNIVEL3]]),"")</f>
        <v/>
      </c>
      <c r="AJ147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76" s="1">
        <f>COUNTIFS(Apresentação!$E$23:$E$29,ESTIMATIVA[[#This Row],[CD_UPNIVEL1]])</f>
        <v>0</v>
      </c>
    </row>
    <row r="1477" spans="1:37" x14ac:dyDescent="0.3">
      <c r="A1477">
        <v>20569</v>
      </c>
      <c r="B1477" t="s">
        <v>82</v>
      </c>
      <c r="C1477">
        <v>80</v>
      </c>
      <c r="D1477">
        <v>7</v>
      </c>
      <c r="E1477" t="s">
        <v>270</v>
      </c>
      <c r="F1477" s="85" t="s">
        <v>331</v>
      </c>
      <c r="G1477"/>
      <c r="H1477" t="s">
        <v>295</v>
      </c>
      <c r="I1477" t="s">
        <v>208</v>
      </c>
      <c r="J1477" t="s">
        <v>176</v>
      </c>
      <c r="K1477" s="1">
        <v>2.8</v>
      </c>
      <c r="L1477" s="1">
        <v>0</v>
      </c>
      <c r="M1477" s="1">
        <v>0</v>
      </c>
      <c r="N1477" s="1">
        <v>2.8</v>
      </c>
      <c r="O1477" s="1">
        <v>151.19999999999999</v>
      </c>
      <c r="P1477" s="1">
        <v>0</v>
      </c>
      <c r="Q1477" s="1">
        <v>0</v>
      </c>
      <c r="R1477" s="1">
        <v>135.99</v>
      </c>
      <c r="S1477" t="s">
        <v>12</v>
      </c>
      <c r="T1477" s="13">
        <v>45823</v>
      </c>
      <c r="U1477" s="1" t="str">
        <f>IF(ESTIMATIVA[[#This Row],[QT_AREA_REAL]]&gt;0,"1- Colhido","2- à Colher")</f>
        <v>1- Colhido</v>
      </c>
      <c r="V1477" s="1" t="str">
        <f>IF(ESTIMATIVA[[#This Row],[QT_AREA_REST1]]&gt;0,"Reestimativa 1",IF(ESTIMATIVA[[#This Row],[QT_AREA_REAL]]=0,"Reestimativa 1","Realizado"))</f>
        <v>Realizado</v>
      </c>
      <c r="W1477" s="1" t="str">
        <f>IF(ESTIMATIVA[[#This Row],[QT_AREA_REST2]]&gt;0,"Reestimativa 2",IF(ESTIMATIVA[[#This Row],[QT_AREA_REAL]]=0,"Reestimativa 2","Realizado"))</f>
        <v>Realizado</v>
      </c>
      <c r="X1477" s="1">
        <f>ESTIMATIVA[[#This Row],[QT_AREA_EST]]</f>
        <v>2.8</v>
      </c>
      <c r="Y1477" s="1">
        <f>IF(ESTIMATIVA[[#This Row],[QT_AREA_REST1]]&gt;0,ESTIMATIVA[[#This Row],[QT_AREA_REST1]],
  IF(ESTIMATIVA[[#This Row],[QT_AREA_REAL]]&gt;0,ESTIMATIVA[[#This Row],[QT_AREA_REAL]],ESTIMATIVA[[#This Row],[QT_AREA_EST]]))</f>
        <v>2.8</v>
      </c>
      <c r="Z147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2.8</v>
      </c>
      <c r="AA1477" s="1">
        <f>ESTIMATIVA[[#This Row],[QT_CANA_EST]]</f>
        <v>151.19999999999999</v>
      </c>
      <c r="AB1477" s="1">
        <f>IF(ESTIMATIVA[[#This Row],[QT_CANA_REST1]]&gt;0,ESTIMATIVA[[#This Row],[QT_CANA_REST1]],
  IF(ESTIMATIVA[[#This Row],[QT_CANA_REAL]]&gt;0,ESTIMATIVA[[#This Row],[QT_CANA_REAL]],ESTIMATIVA[[#This Row],[QT_CANA_EST]]))</f>
        <v>135.99</v>
      </c>
      <c r="AC147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135.99</v>
      </c>
      <c r="AD1477" s="1">
        <f>IF(ESTIMATIVA[[#This Row],[QT_AREA_REAL]]&gt;0,ESTIMATIVA[[#This Row],[QT_CANA_REAL]],ESTIMATIVA[[#This Row],[QT_CANA_EST]])</f>
        <v>135.99</v>
      </c>
      <c r="AE1477" s="1">
        <f>IF(ESTIMATIVA[[#This Row],[QT_AREA_REAL]]&gt;0,ESTIMATIVA[[#This Row],[QT_CANA_REAL]],ESTIMATIVA[[#This Row],[QT_CANA_REST1]])</f>
        <v>135.99</v>
      </c>
      <c r="AF1477" s="1">
        <f>IF(ESTIMATIVA[[#This Row],[QT_AREA_REAL]]&gt;0,ESTIMATIVA[[#This Row],[QT_CANA_REAL]],ESTIMATIVA[[#This Row],[QT_CANA_REST2]])</f>
        <v>135.99</v>
      </c>
      <c r="AG1477" s="1" t="str">
        <f>IF(COUNTIFS(GEADA!A:A,VALUE(ESTIMATIVA[[#This Row],[CD_UPNIVEL1]]&amp;TEXT(ESTIMATIVA[[#This Row],[CD_UPNIVEL3]],"0000")))&gt;0,"S","N")</f>
        <v>N</v>
      </c>
      <c r="AH147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77" s="55" t="str">
        <f>IF(ESTIMATIVA[[#This Row],[TP_CULTIVO]]="Irrigado",_xlfn.MAXIFS(IRRIGADO!J:J,IRRIGADO!C:C,ESTIMATIVA[[#This Row],[CD_UPNIVEL1]],IRRIGADO!E:E,ESTIMATIVA[[#This Row],[CD_UPNIVEL3]]),"")</f>
        <v/>
      </c>
      <c r="AJ147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77" s="1">
        <f>COUNTIFS(Apresentação!$E$23:$E$29,ESTIMATIVA[[#This Row],[CD_UPNIVEL1]])</f>
        <v>0</v>
      </c>
    </row>
    <row r="1478" spans="1:37" x14ac:dyDescent="0.3">
      <c r="A1478">
        <v>20569</v>
      </c>
      <c r="B1478" t="s">
        <v>82</v>
      </c>
      <c r="C1478">
        <v>81</v>
      </c>
      <c r="D1478">
        <v>7</v>
      </c>
      <c r="E1478" t="s">
        <v>270</v>
      </c>
      <c r="F1478" s="85" t="s">
        <v>331</v>
      </c>
      <c r="G1478"/>
      <c r="H1478" t="s">
        <v>295</v>
      </c>
      <c r="I1478" t="s">
        <v>208</v>
      </c>
      <c r="J1478" t="s">
        <v>176</v>
      </c>
      <c r="K1478" s="1">
        <v>1.97</v>
      </c>
      <c r="L1478" s="1">
        <v>0</v>
      </c>
      <c r="M1478" s="1">
        <v>0</v>
      </c>
      <c r="N1478" s="1">
        <v>1.97</v>
      </c>
      <c r="O1478" s="1">
        <v>106.38</v>
      </c>
      <c r="P1478" s="1">
        <v>0</v>
      </c>
      <c r="Q1478" s="1">
        <v>0</v>
      </c>
      <c r="R1478" s="1">
        <v>95.31</v>
      </c>
      <c r="S1478" t="s">
        <v>12</v>
      </c>
      <c r="T1478" s="13">
        <v>45823</v>
      </c>
      <c r="U1478" s="1" t="str">
        <f>IF(ESTIMATIVA[[#This Row],[QT_AREA_REAL]]&gt;0,"1- Colhido","2- à Colher")</f>
        <v>1- Colhido</v>
      </c>
      <c r="V1478" s="1" t="str">
        <f>IF(ESTIMATIVA[[#This Row],[QT_AREA_REST1]]&gt;0,"Reestimativa 1",IF(ESTIMATIVA[[#This Row],[QT_AREA_REAL]]=0,"Reestimativa 1","Realizado"))</f>
        <v>Realizado</v>
      </c>
      <c r="W1478" s="1" t="str">
        <f>IF(ESTIMATIVA[[#This Row],[QT_AREA_REST2]]&gt;0,"Reestimativa 2",IF(ESTIMATIVA[[#This Row],[QT_AREA_REAL]]=0,"Reestimativa 2","Realizado"))</f>
        <v>Realizado</v>
      </c>
      <c r="X1478" s="1">
        <f>ESTIMATIVA[[#This Row],[QT_AREA_EST]]</f>
        <v>1.97</v>
      </c>
      <c r="Y1478" s="1">
        <f>IF(ESTIMATIVA[[#This Row],[QT_AREA_REST1]]&gt;0,ESTIMATIVA[[#This Row],[QT_AREA_REST1]],
  IF(ESTIMATIVA[[#This Row],[QT_AREA_REAL]]&gt;0,ESTIMATIVA[[#This Row],[QT_AREA_REAL]],ESTIMATIVA[[#This Row],[QT_AREA_EST]]))</f>
        <v>1.97</v>
      </c>
      <c r="Z147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1.97</v>
      </c>
      <c r="AA1478" s="1">
        <f>ESTIMATIVA[[#This Row],[QT_CANA_EST]]</f>
        <v>106.38</v>
      </c>
      <c r="AB1478" s="1">
        <f>IF(ESTIMATIVA[[#This Row],[QT_CANA_REST1]]&gt;0,ESTIMATIVA[[#This Row],[QT_CANA_REST1]],
  IF(ESTIMATIVA[[#This Row],[QT_CANA_REAL]]&gt;0,ESTIMATIVA[[#This Row],[QT_CANA_REAL]],ESTIMATIVA[[#This Row],[QT_CANA_EST]]))</f>
        <v>95.31</v>
      </c>
      <c r="AC147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95.31</v>
      </c>
      <c r="AD1478" s="1">
        <f>IF(ESTIMATIVA[[#This Row],[QT_AREA_REAL]]&gt;0,ESTIMATIVA[[#This Row],[QT_CANA_REAL]],ESTIMATIVA[[#This Row],[QT_CANA_EST]])</f>
        <v>95.31</v>
      </c>
      <c r="AE1478" s="1">
        <f>IF(ESTIMATIVA[[#This Row],[QT_AREA_REAL]]&gt;0,ESTIMATIVA[[#This Row],[QT_CANA_REAL]],ESTIMATIVA[[#This Row],[QT_CANA_REST1]])</f>
        <v>95.31</v>
      </c>
      <c r="AF1478" s="1">
        <f>IF(ESTIMATIVA[[#This Row],[QT_AREA_REAL]]&gt;0,ESTIMATIVA[[#This Row],[QT_CANA_REAL]],ESTIMATIVA[[#This Row],[QT_CANA_REST2]])</f>
        <v>95.31</v>
      </c>
      <c r="AG1478" s="1" t="str">
        <f>IF(COUNTIFS(GEADA!A:A,VALUE(ESTIMATIVA[[#This Row],[CD_UPNIVEL1]]&amp;TEXT(ESTIMATIVA[[#This Row],[CD_UPNIVEL3]],"0000")))&gt;0,"S","N")</f>
        <v>N</v>
      </c>
      <c r="AH147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78" s="55" t="str">
        <f>IF(ESTIMATIVA[[#This Row],[TP_CULTIVO]]="Irrigado",_xlfn.MAXIFS(IRRIGADO!J:J,IRRIGADO!C:C,ESTIMATIVA[[#This Row],[CD_UPNIVEL1]],IRRIGADO!E:E,ESTIMATIVA[[#This Row],[CD_UPNIVEL3]]),"")</f>
        <v/>
      </c>
      <c r="AJ147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78" s="1">
        <f>COUNTIFS(Apresentação!$E$23:$E$29,ESTIMATIVA[[#This Row],[CD_UPNIVEL1]])</f>
        <v>0</v>
      </c>
    </row>
    <row r="1479" spans="1:37" x14ac:dyDescent="0.3">
      <c r="A1479">
        <v>20569</v>
      </c>
      <c r="B1479" t="s">
        <v>82</v>
      </c>
      <c r="C1479">
        <v>82</v>
      </c>
      <c r="D1479">
        <v>7</v>
      </c>
      <c r="E1479" t="s">
        <v>270</v>
      </c>
      <c r="F1479" s="85" t="s">
        <v>331</v>
      </c>
      <c r="G1479"/>
      <c r="H1479" t="s">
        <v>295</v>
      </c>
      <c r="I1479" t="s">
        <v>208</v>
      </c>
      <c r="J1479" t="s">
        <v>176</v>
      </c>
      <c r="K1479" s="1">
        <v>4.54</v>
      </c>
      <c r="L1479" s="1">
        <v>0</v>
      </c>
      <c r="M1479" s="1">
        <v>0</v>
      </c>
      <c r="N1479" s="1">
        <v>4.54</v>
      </c>
      <c r="O1479" s="1">
        <v>245.16</v>
      </c>
      <c r="P1479" s="1">
        <v>0</v>
      </c>
      <c r="Q1479" s="1">
        <v>0</v>
      </c>
      <c r="R1479" s="1">
        <v>220.69</v>
      </c>
      <c r="S1479" t="s">
        <v>12</v>
      </c>
      <c r="T1479" s="13">
        <v>45823</v>
      </c>
      <c r="U1479" s="1" t="str">
        <f>IF(ESTIMATIVA[[#This Row],[QT_AREA_REAL]]&gt;0,"1- Colhido","2- à Colher")</f>
        <v>1- Colhido</v>
      </c>
      <c r="V1479" s="1" t="str">
        <f>IF(ESTIMATIVA[[#This Row],[QT_AREA_REST1]]&gt;0,"Reestimativa 1",IF(ESTIMATIVA[[#This Row],[QT_AREA_REAL]]=0,"Reestimativa 1","Realizado"))</f>
        <v>Realizado</v>
      </c>
      <c r="W1479" s="1" t="str">
        <f>IF(ESTIMATIVA[[#This Row],[QT_AREA_REST2]]&gt;0,"Reestimativa 2",IF(ESTIMATIVA[[#This Row],[QT_AREA_REAL]]=0,"Reestimativa 2","Realizado"))</f>
        <v>Realizado</v>
      </c>
      <c r="X1479" s="1">
        <f>ESTIMATIVA[[#This Row],[QT_AREA_EST]]</f>
        <v>4.54</v>
      </c>
      <c r="Y1479" s="1">
        <f>IF(ESTIMATIVA[[#This Row],[QT_AREA_REST1]]&gt;0,ESTIMATIVA[[#This Row],[QT_AREA_REST1]],
  IF(ESTIMATIVA[[#This Row],[QT_AREA_REAL]]&gt;0,ESTIMATIVA[[#This Row],[QT_AREA_REAL]],ESTIMATIVA[[#This Row],[QT_AREA_EST]]))</f>
        <v>4.54</v>
      </c>
      <c r="Z147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4.54</v>
      </c>
      <c r="AA1479" s="1">
        <f>ESTIMATIVA[[#This Row],[QT_CANA_EST]]</f>
        <v>245.16</v>
      </c>
      <c r="AB1479" s="1">
        <f>IF(ESTIMATIVA[[#This Row],[QT_CANA_REST1]]&gt;0,ESTIMATIVA[[#This Row],[QT_CANA_REST1]],
  IF(ESTIMATIVA[[#This Row],[QT_CANA_REAL]]&gt;0,ESTIMATIVA[[#This Row],[QT_CANA_REAL]],ESTIMATIVA[[#This Row],[QT_CANA_EST]]))</f>
        <v>220.69</v>
      </c>
      <c r="AC147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220.69</v>
      </c>
      <c r="AD1479" s="1">
        <f>IF(ESTIMATIVA[[#This Row],[QT_AREA_REAL]]&gt;0,ESTIMATIVA[[#This Row],[QT_CANA_REAL]],ESTIMATIVA[[#This Row],[QT_CANA_EST]])</f>
        <v>220.69</v>
      </c>
      <c r="AE1479" s="1">
        <f>IF(ESTIMATIVA[[#This Row],[QT_AREA_REAL]]&gt;0,ESTIMATIVA[[#This Row],[QT_CANA_REAL]],ESTIMATIVA[[#This Row],[QT_CANA_REST1]])</f>
        <v>220.69</v>
      </c>
      <c r="AF1479" s="1">
        <f>IF(ESTIMATIVA[[#This Row],[QT_AREA_REAL]]&gt;0,ESTIMATIVA[[#This Row],[QT_CANA_REAL]],ESTIMATIVA[[#This Row],[QT_CANA_REST2]])</f>
        <v>220.69</v>
      </c>
      <c r="AG1479" s="1" t="str">
        <f>IF(COUNTIFS(GEADA!A:A,VALUE(ESTIMATIVA[[#This Row],[CD_UPNIVEL1]]&amp;TEXT(ESTIMATIVA[[#This Row],[CD_UPNIVEL3]],"0000")))&gt;0,"S","N")</f>
        <v>N</v>
      </c>
      <c r="AH147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79" s="55" t="str">
        <f>IF(ESTIMATIVA[[#This Row],[TP_CULTIVO]]="Irrigado",_xlfn.MAXIFS(IRRIGADO!J:J,IRRIGADO!C:C,ESTIMATIVA[[#This Row],[CD_UPNIVEL1]],IRRIGADO!E:E,ESTIMATIVA[[#This Row],[CD_UPNIVEL3]]),"")</f>
        <v/>
      </c>
      <c r="AJ147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79" s="1">
        <f>COUNTIFS(Apresentação!$E$23:$E$29,ESTIMATIVA[[#This Row],[CD_UPNIVEL1]])</f>
        <v>0</v>
      </c>
    </row>
    <row r="1480" spans="1:37" x14ac:dyDescent="0.3">
      <c r="A1480">
        <v>20569</v>
      </c>
      <c r="B1480" t="s">
        <v>82</v>
      </c>
      <c r="C1480">
        <v>83</v>
      </c>
      <c r="D1480">
        <v>7</v>
      </c>
      <c r="E1480" t="s">
        <v>270</v>
      </c>
      <c r="F1480" s="85" t="s">
        <v>331</v>
      </c>
      <c r="G1480"/>
      <c r="H1480" t="s">
        <v>295</v>
      </c>
      <c r="I1480" t="s">
        <v>208</v>
      </c>
      <c r="J1480" t="s">
        <v>176</v>
      </c>
      <c r="K1480" s="1">
        <v>2.93</v>
      </c>
      <c r="L1480" s="1">
        <v>0</v>
      </c>
      <c r="M1480" s="1">
        <v>0</v>
      </c>
      <c r="N1480" s="1">
        <v>2.93</v>
      </c>
      <c r="O1480" s="1">
        <v>158.22</v>
      </c>
      <c r="P1480" s="1">
        <v>0</v>
      </c>
      <c r="Q1480" s="1">
        <v>0</v>
      </c>
      <c r="R1480" s="1">
        <v>142.33000000000001</v>
      </c>
      <c r="S1480" t="s">
        <v>12</v>
      </c>
      <c r="T1480" s="13">
        <v>45823</v>
      </c>
      <c r="U1480" s="1" t="str">
        <f>IF(ESTIMATIVA[[#This Row],[QT_AREA_REAL]]&gt;0,"1- Colhido","2- à Colher")</f>
        <v>1- Colhido</v>
      </c>
      <c r="V1480" s="1" t="str">
        <f>IF(ESTIMATIVA[[#This Row],[QT_AREA_REST1]]&gt;0,"Reestimativa 1",IF(ESTIMATIVA[[#This Row],[QT_AREA_REAL]]=0,"Reestimativa 1","Realizado"))</f>
        <v>Realizado</v>
      </c>
      <c r="W1480" s="1" t="str">
        <f>IF(ESTIMATIVA[[#This Row],[QT_AREA_REST2]]&gt;0,"Reestimativa 2",IF(ESTIMATIVA[[#This Row],[QT_AREA_REAL]]=0,"Reestimativa 2","Realizado"))</f>
        <v>Realizado</v>
      </c>
      <c r="X1480" s="1">
        <f>ESTIMATIVA[[#This Row],[QT_AREA_EST]]</f>
        <v>2.93</v>
      </c>
      <c r="Y1480" s="1">
        <f>IF(ESTIMATIVA[[#This Row],[QT_AREA_REST1]]&gt;0,ESTIMATIVA[[#This Row],[QT_AREA_REST1]],
  IF(ESTIMATIVA[[#This Row],[QT_AREA_REAL]]&gt;0,ESTIMATIVA[[#This Row],[QT_AREA_REAL]],ESTIMATIVA[[#This Row],[QT_AREA_EST]]))</f>
        <v>2.93</v>
      </c>
      <c r="Z148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2.93</v>
      </c>
      <c r="AA1480" s="1">
        <f>ESTIMATIVA[[#This Row],[QT_CANA_EST]]</f>
        <v>158.22</v>
      </c>
      <c r="AB1480" s="1">
        <f>IF(ESTIMATIVA[[#This Row],[QT_CANA_REST1]]&gt;0,ESTIMATIVA[[#This Row],[QT_CANA_REST1]],
  IF(ESTIMATIVA[[#This Row],[QT_CANA_REAL]]&gt;0,ESTIMATIVA[[#This Row],[QT_CANA_REAL]],ESTIMATIVA[[#This Row],[QT_CANA_EST]]))</f>
        <v>142.33000000000001</v>
      </c>
      <c r="AC148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142.33000000000001</v>
      </c>
      <c r="AD1480" s="1">
        <f>IF(ESTIMATIVA[[#This Row],[QT_AREA_REAL]]&gt;0,ESTIMATIVA[[#This Row],[QT_CANA_REAL]],ESTIMATIVA[[#This Row],[QT_CANA_EST]])</f>
        <v>142.33000000000001</v>
      </c>
      <c r="AE1480" s="1">
        <f>IF(ESTIMATIVA[[#This Row],[QT_AREA_REAL]]&gt;0,ESTIMATIVA[[#This Row],[QT_CANA_REAL]],ESTIMATIVA[[#This Row],[QT_CANA_REST1]])</f>
        <v>142.33000000000001</v>
      </c>
      <c r="AF1480" s="1">
        <f>IF(ESTIMATIVA[[#This Row],[QT_AREA_REAL]]&gt;0,ESTIMATIVA[[#This Row],[QT_CANA_REAL]],ESTIMATIVA[[#This Row],[QT_CANA_REST2]])</f>
        <v>142.33000000000001</v>
      </c>
      <c r="AG1480" s="1" t="str">
        <f>IF(COUNTIFS(GEADA!A:A,VALUE(ESTIMATIVA[[#This Row],[CD_UPNIVEL1]]&amp;TEXT(ESTIMATIVA[[#This Row],[CD_UPNIVEL3]],"0000")))&gt;0,"S","N")</f>
        <v>N</v>
      </c>
      <c r="AH148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80" s="55" t="str">
        <f>IF(ESTIMATIVA[[#This Row],[TP_CULTIVO]]="Irrigado",_xlfn.MAXIFS(IRRIGADO!J:J,IRRIGADO!C:C,ESTIMATIVA[[#This Row],[CD_UPNIVEL1]],IRRIGADO!E:E,ESTIMATIVA[[#This Row],[CD_UPNIVEL3]]),"")</f>
        <v/>
      </c>
      <c r="AJ148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80" s="1">
        <f>COUNTIFS(Apresentação!$E$23:$E$29,ESTIMATIVA[[#This Row],[CD_UPNIVEL1]])</f>
        <v>0</v>
      </c>
    </row>
    <row r="1481" spans="1:37" x14ac:dyDescent="0.3">
      <c r="A1481">
        <v>20569</v>
      </c>
      <c r="B1481" t="s">
        <v>82</v>
      </c>
      <c r="C1481">
        <v>84</v>
      </c>
      <c r="D1481">
        <v>7</v>
      </c>
      <c r="E1481" t="s">
        <v>270</v>
      </c>
      <c r="F1481" s="85" t="s">
        <v>331</v>
      </c>
      <c r="G1481"/>
      <c r="H1481" t="s">
        <v>295</v>
      </c>
      <c r="I1481" t="s">
        <v>208</v>
      </c>
      <c r="J1481" t="s">
        <v>176</v>
      </c>
      <c r="K1481" s="1">
        <v>6.88</v>
      </c>
      <c r="L1481" s="1">
        <v>0</v>
      </c>
      <c r="M1481" s="1">
        <v>0</v>
      </c>
      <c r="N1481" s="1">
        <v>6.88</v>
      </c>
      <c r="O1481" s="1">
        <v>371.52</v>
      </c>
      <c r="P1481" s="1">
        <v>0</v>
      </c>
      <c r="Q1481" s="1">
        <v>0</v>
      </c>
      <c r="R1481" s="1">
        <v>335.4</v>
      </c>
      <c r="S1481" t="s">
        <v>12</v>
      </c>
      <c r="T1481" s="13">
        <v>45823</v>
      </c>
      <c r="U1481" s="1" t="str">
        <f>IF(ESTIMATIVA[[#This Row],[QT_AREA_REAL]]&gt;0,"1- Colhido","2- à Colher")</f>
        <v>1- Colhido</v>
      </c>
      <c r="V1481" s="1" t="str">
        <f>IF(ESTIMATIVA[[#This Row],[QT_AREA_REST1]]&gt;0,"Reestimativa 1",IF(ESTIMATIVA[[#This Row],[QT_AREA_REAL]]=0,"Reestimativa 1","Realizado"))</f>
        <v>Realizado</v>
      </c>
      <c r="W1481" s="1" t="str">
        <f>IF(ESTIMATIVA[[#This Row],[QT_AREA_REST2]]&gt;0,"Reestimativa 2",IF(ESTIMATIVA[[#This Row],[QT_AREA_REAL]]=0,"Reestimativa 2","Realizado"))</f>
        <v>Realizado</v>
      </c>
      <c r="X1481" s="1">
        <f>ESTIMATIVA[[#This Row],[QT_AREA_EST]]</f>
        <v>6.88</v>
      </c>
      <c r="Y1481" s="1">
        <f>IF(ESTIMATIVA[[#This Row],[QT_AREA_REST1]]&gt;0,ESTIMATIVA[[#This Row],[QT_AREA_REST1]],
  IF(ESTIMATIVA[[#This Row],[QT_AREA_REAL]]&gt;0,ESTIMATIVA[[#This Row],[QT_AREA_REAL]],ESTIMATIVA[[#This Row],[QT_AREA_EST]]))</f>
        <v>6.88</v>
      </c>
      <c r="Z148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6.88</v>
      </c>
      <c r="AA1481" s="1">
        <f>ESTIMATIVA[[#This Row],[QT_CANA_EST]]</f>
        <v>371.52</v>
      </c>
      <c r="AB1481" s="1">
        <f>IF(ESTIMATIVA[[#This Row],[QT_CANA_REST1]]&gt;0,ESTIMATIVA[[#This Row],[QT_CANA_REST1]],
  IF(ESTIMATIVA[[#This Row],[QT_CANA_REAL]]&gt;0,ESTIMATIVA[[#This Row],[QT_CANA_REAL]],ESTIMATIVA[[#This Row],[QT_CANA_EST]]))</f>
        <v>335.4</v>
      </c>
      <c r="AC148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335.4</v>
      </c>
      <c r="AD1481" s="1">
        <f>IF(ESTIMATIVA[[#This Row],[QT_AREA_REAL]]&gt;0,ESTIMATIVA[[#This Row],[QT_CANA_REAL]],ESTIMATIVA[[#This Row],[QT_CANA_EST]])</f>
        <v>335.4</v>
      </c>
      <c r="AE1481" s="1">
        <f>IF(ESTIMATIVA[[#This Row],[QT_AREA_REAL]]&gt;0,ESTIMATIVA[[#This Row],[QT_CANA_REAL]],ESTIMATIVA[[#This Row],[QT_CANA_REST1]])</f>
        <v>335.4</v>
      </c>
      <c r="AF1481" s="1">
        <f>IF(ESTIMATIVA[[#This Row],[QT_AREA_REAL]]&gt;0,ESTIMATIVA[[#This Row],[QT_CANA_REAL]],ESTIMATIVA[[#This Row],[QT_CANA_REST2]])</f>
        <v>335.4</v>
      </c>
      <c r="AG1481" s="1" t="str">
        <f>IF(COUNTIFS(GEADA!A:A,VALUE(ESTIMATIVA[[#This Row],[CD_UPNIVEL1]]&amp;TEXT(ESTIMATIVA[[#This Row],[CD_UPNIVEL3]],"0000")))&gt;0,"S","N")</f>
        <v>N</v>
      </c>
      <c r="AH148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81" s="55" t="str">
        <f>IF(ESTIMATIVA[[#This Row],[TP_CULTIVO]]="Irrigado",_xlfn.MAXIFS(IRRIGADO!J:J,IRRIGADO!C:C,ESTIMATIVA[[#This Row],[CD_UPNIVEL1]],IRRIGADO!E:E,ESTIMATIVA[[#This Row],[CD_UPNIVEL3]]),"")</f>
        <v/>
      </c>
      <c r="AJ148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81" s="1">
        <f>COUNTIFS(Apresentação!$E$23:$E$29,ESTIMATIVA[[#This Row],[CD_UPNIVEL1]])</f>
        <v>0</v>
      </c>
    </row>
    <row r="1482" spans="1:37" x14ac:dyDescent="0.3">
      <c r="A1482">
        <v>20569</v>
      </c>
      <c r="B1482" t="s">
        <v>82</v>
      </c>
      <c r="C1482">
        <v>85</v>
      </c>
      <c r="D1482">
        <v>7</v>
      </c>
      <c r="E1482" t="s">
        <v>270</v>
      </c>
      <c r="F1482" s="85" t="s">
        <v>331</v>
      </c>
      <c r="G1482"/>
      <c r="H1482" t="s">
        <v>295</v>
      </c>
      <c r="I1482" t="s">
        <v>208</v>
      </c>
      <c r="J1482" t="s">
        <v>176</v>
      </c>
      <c r="K1482" s="1">
        <v>6.9</v>
      </c>
      <c r="L1482" s="1">
        <v>0</v>
      </c>
      <c r="M1482" s="1">
        <v>0</v>
      </c>
      <c r="N1482" s="1">
        <v>6.9</v>
      </c>
      <c r="O1482" s="1">
        <v>483</v>
      </c>
      <c r="P1482" s="1">
        <v>0</v>
      </c>
      <c r="Q1482" s="1">
        <v>0</v>
      </c>
      <c r="R1482" s="1">
        <v>435.43</v>
      </c>
      <c r="S1482" t="s">
        <v>12</v>
      </c>
      <c r="T1482" s="13">
        <v>45823</v>
      </c>
      <c r="U1482" s="1" t="str">
        <f>IF(ESTIMATIVA[[#This Row],[QT_AREA_REAL]]&gt;0,"1- Colhido","2- à Colher")</f>
        <v>1- Colhido</v>
      </c>
      <c r="V1482" s="1" t="str">
        <f>IF(ESTIMATIVA[[#This Row],[QT_AREA_REST1]]&gt;0,"Reestimativa 1",IF(ESTIMATIVA[[#This Row],[QT_AREA_REAL]]=0,"Reestimativa 1","Realizado"))</f>
        <v>Realizado</v>
      </c>
      <c r="W1482" s="1" t="str">
        <f>IF(ESTIMATIVA[[#This Row],[QT_AREA_REST2]]&gt;0,"Reestimativa 2",IF(ESTIMATIVA[[#This Row],[QT_AREA_REAL]]=0,"Reestimativa 2","Realizado"))</f>
        <v>Realizado</v>
      </c>
      <c r="X1482" s="1">
        <f>ESTIMATIVA[[#This Row],[QT_AREA_EST]]</f>
        <v>6.9</v>
      </c>
      <c r="Y1482" s="1">
        <f>IF(ESTIMATIVA[[#This Row],[QT_AREA_REST1]]&gt;0,ESTIMATIVA[[#This Row],[QT_AREA_REST1]],
  IF(ESTIMATIVA[[#This Row],[QT_AREA_REAL]]&gt;0,ESTIMATIVA[[#This Row],[QT_AREA_REAL]],ESTIMATIVA[[#This Row],[QT_AREA_EST]]))</f>
        <v>6.9</v>
      </c>
      <c r="Z148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6.9</v>
      </c>
      <c r="AA1482" s="1">
        <f>ESTIMATIVA[[#This Row],[QT_CANA_EST]]</f>
        <v>483</v>
      </c>
      <c r="AB1482" s="1">
        <f>IF(ESTIMATIVA[[#This Row],[QT_CANA_REST1]]&gt;0,ESTIMATIVA[[#This Row],[QT_CANA_REST1]],
  IF(ESTIMATIVA[[#This Row],[QT_CANA_REAL]]&gt;0,ESTIMATIVA[[#This Row],[QT_CANA_REAL]],ESTIMATIVA[[#This Row],[QT_CANA_EST]]))</f>
        <v>435.43</v>
      </c>
      <c r="AC148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435.43</v>
      </c>
      <c r="AD1482" s="1">
        <f>IF(ESTIMATIVA[[#This Row],[QT_AREA_REAL]]&gt;0,ESTIMATIVA[[#This Row],[QT_CANA_REAL]],ESTIMATIVA[[#This Row],[QT_CANA_EST]])</f>
        <v>435.43</v>
      </c>
      <c r="AE1482" s="1">
        <f>IF(ESTIMATIVA[[#This Row],[QT_AREA_REAL]]&gt;0,ESTIMATIVA[[#This Row],[QT_CANA_REAL]],ESTIMATIVA[[#This Row],[QT_CANA_REST1]])</f>
        <v>435.43</v>
      </c>
      <c r="AF1482" s="1">
        <f>IF(ESTIMATIVA[[#This Row],[QT_AREA_REAL]]&gt;0,ESTIMATIVA[[#This Row],[QT_CANA_REAL]],ESTIMATIVA[[#This Row],[QT_CANA_REST2]])</f>
        <v>435.43</v>
      </c>
      <c r="AG1482" s="1" t="str">
        <f>IF(COUNTIFS(GEADA!A:A,VALUE(ESTIMATIVA[[#This Row],[CD_UPNIVEL1]]&amp;TEXT(ESTIMATIVA[[#This Row],[CD_UPNIVEL3]],"0000")))&gt;0,"S","N")</f>
        <v>N</v>
      </c>
      <c r="AH148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82" s="55" t="str">
        <f>IF(ESTIMATIVA[[#This Row],[TP_CULTIVO]]="Irrigado",_xlfn.MAXIFS(IRRIGADO!J:J,IRRIGADO!C:C,ESTIMATIVA[[#This Row],[CD_UPNIVEL1]],IRRIGADO!E:E,ESTIMATIVA[[#This Row],[CD_UPNIVEL3]]),"")</f>
        <v/>
      </c>
      <c r="AJ148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82" s="1">
        <f>COUNTIFS(Apresentação!$E$23:$E$29,ESTIMATIVA[[#This Row],[CD_UPNIVEL1]])</f>
        <v>0</v>
      </c>
    </row>
    <row r="1483" spans="1:37" x14ac:dyDescent="0.3">
      <c r="A1483">
        <v>20569</v>
      </c>
      <c r="B1483" t="s">
        <v>82</v>
      </c>
      <c r="C1483">
        <v>86</v>
      </c>
      <c r="D1483">
        <v>7</v>
      </c>
      <c r="E1483" t="s">
        <v>270</v>
      </c>
      <c r="F1483" s="85" t="s">
        <v>331</v>
      </c>
      <c r="G1483"/>
      <c r="H1483" t="s">
        <v>295</v>
      </c>
      <c r="I1483" t="s">
        <v>208</v>
      </c>
      <c r="J1483" t="s">
        <v>176</v>
      </c>
      <c r="K1483" s="1">
        <v>4.4400000000000004</v>
      </c>
      <c r="L1483" s="1">
        <v>0</v>
      </c>
      <c r="M1483" s="1">
        <v>0</v>
      </c>
      <c r="N1483" s="1">
        <v>4.4400000000000004</v>
      </c>
      <c r="O1483" s="1">
        <v>310.8</v>
      </c>
      <c r="P1483" s="1">
        <v>0</v>
      </c>
      <c r="Q1483" s="1">
        <v>0</v>
      </c>
      <c r="R1483" s="1">
        <v>280.38</v>
      </c>
      <c r="S1483" t="s">
        <v>12</v>
      </c>
      <c r="T1483" s="13">
        <v>45823</v>
      </c>
      <c r="U1483" s="1" t="str">
        <f>IF(ESTIMATIVA[[#This Row],[QT_AREA_REAL]]&gt;0,"1- Colhido","2- à Colher")</f>
        <v>1- Colhido</v>
      </c>
      <c r="V1483" s="1" t="str">
        <f>IF(ESTIMATIVA[[#This Row],[QT_AREA_REST1]]&gt;0,"Reestimativa 1",IF(ESTIMATIVA[[#This Row],[QT_AREA_REAL]]=0,"Reestimativa 1","Realizado"))</f>
        <v>Realizado</v>
      </c>
      <c r="W1483" s="1" t="str">
        <f>IF(ESTIMATIVA[[#This Row],[QT_AREA_REST2]]&gt;0,"Reestimativa 2",IF(ESTIMATIVA[[#This Row],[QT_AREA_REAL]]=0,"Reestimativa 2","Realizado"))</f>
        <v>Realizado</v>
      </c>
      <c r="X1483" s="1">
        <f>ESTIMATIVA[[#This Row],[QT_AREA_EST]]</f>
        <v>4.4400000000000004</v>
      </c>
      <c r="Y1483" s="1">
        <f>IF(ESTIMATIVA[[#This Row],[QT_AREA_REST1]]&gt;0,ESTIMATIVA[[#This Row],[QT_AREA_REST1]],
  IF(ESTIMATIVA[[#This Row],[QT_AREA_REAL]]&gt;0,ESTIMATIVA[[#This Row],[QT_AREA_REAL]],ESTIMATIVA[[#This Row],[QT_AREA_EST]]))</f>
        <v>4.4400000000000004</v>
      </c>
      <c r="Z148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4.4400000000000004</v>
      </c>
      <c r="AA1483" s="1">
        <f>ESTIMATIVA[[#This Row],[QT_CANA_EST]]</f>
        <v>310.8</v>
      </c>
      <c r="AB1483" s="1">
        <f>IF(ESTIMATIVA[[#This Row],[QT_CANA_REST1]]&gt;0,ESTIMATIVA[[#This Row],[QT_CANA_REST1]],
  IF(ESTIMATIVA[[#This Row],[QT_CANA_REAL]]&gt;0,ESTIMATIVA[[#This Row],[QT_CANA_REAL]],ESTIMATIVA[[#This Row],[QT_CANA_EST]]))</f>
        <v>280.38</v>
      </c>
      <c r="AC148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280.38</v>
      </c>
      <c r="AD1483" s="1">
        <f>IF(ESTIMATIVA[[#This Row],[QT_AREA_REAL]]&gt;0,ESTIMATIVA[[#This Row],[QT_CANA_REAL]],ESTIMATIVA[[#This Row],[QT_CANA_EST]])</f>
        <v>280.38</v>
      </c>
      <c r="AE1483" s="1">
        <f>IF(ESTIMATIVA[[#This Row],[QT_AREA_REAL]]&gt;0,ESTIMATIVA[[#This Row],[QT_CANA_REAL]],ESTIMATIVA[[#This Row],[QT_CANA_REST1]])</f>
        <v>280.38</v>
      </c>
      <c r="AF1483" s="1">
        <f>IF(ESTIMATIVA[[#This Row],[QT_AREA_REAL]]&gt;0,ESTIMATIVA[[#This Row],[QT_CANA_REAL]],ESTIMATIVA[[#This Row],[QT_CANA_REST2]])</f>
        <v>280.38</v>
      </c>
      <c r="AG1483" s="1" t="str">
        <f>IF(COUNTIFS(GEADA!A:A,VALUE(ESTIMATIVA[[#This Row],[CD_UPNIVEL1]]&amp;TEXT(ESTIMATIVA[[#This Row],[CD_UPNIVEL3]],"0000")))&gt;0,"S","N")</f>
        <v>N</v>
      </c>
      <c r="AH148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83" s="55" t="str">
        <f>IF(ESTIMATIVA[[#This Row],[TP_CULTIVO]]="Irrigado",_xlfn.MAXIFS(IRRIGADO!J:J,IRRIGADO!C:C,ESTIMATIVA[[#This Row],[CD_UPNIVEL1]],IRRIGADO!E:E,ESTIMATIVA[[#This Row],[CD_UPNIVEL3]]),"")</f>
        <v/>
      </c>
      <c r="AJ148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83" s="1">
        <f>COUNTIFS(Apresentação!$E$23:$E$29,ESTIMATIVA[[#This Row],[CD_UPNIVEL1]])</f>
        <v>0</v>
      </c>
    </row>
    <row r="1484" spans="1:37" x14ac:dyDescent="0.3">
      <c r="A1484">
        <v>20569</v>
      </c>
      <c r="B1484" t="s">
        <v>82</v>
      </c>
      <c r="C1484">
        <v>87</v>
      </c>
      <c r="D1484">
        <v>7</v>
      </c>
      <c r="E1484" t="s">
        <v>270</v>
      </c>
      <c r="F1484" s="85" t="s">
        <v>331</v>
      </c>
      <c r="G1484"/>
      <c r="H1484" t="s">
        <v>295</v>
      </c>
      <c r="I1484" t="s">
        <v>208</v>
      </c>
      <c r="J1484" t="s">
        <v>176</v>
      </c>
      <c r="K1484" s="1">
        <v>4.8099999999999996</v>
      </c>
      <c r="L1484" s="1">
        <v>0</v>
      </c>
      <c r="M1484" s="1">
        <v>0</v>
      </c>
      <c r="N1484" s="1">
        <v>4.8099999999999996</v>
      </c>
      <c r="O1484" s="1">
        <v>336.7</v>
      </c>
      <c r="P1484" s="1">
        <v>0</v>
      </c>
      <c r="Q1484" s="1">
        <v>0</v>
      </c>
      <c r="R1484" s="1">
        <v>304.05</v>
      </c>
      <c r="S1484" t="s">
        <v>12</v>
      </c>
      <c r="T1484" s="13">
        <v>45823</v>
      </c>
      <c r="U1484" s="1" t="str">
        <f>IF(ESTIMATIVA[[#This Row],[QT_AREA_REAL]]&gt;0,"1- Colhido","2- à Colher")</f>
        <v>1- Colhido</v>
      </c>
      <c r="V1484" s="1" t="str">
        <f>IF(ESTIMATIVA[[#This Row],[QT_AREA_REST1]]&gt;0,"Reestimativa 1",IF(ESTIMATIVA[[#This Row],[QT_AREA_REAL]]=0,"Reestimativa 1","Realizado"))</f>
        <v>Realizado</v>
      </c>
      <c r="W1484" s="1" t="str">
        <f>IF(ESTIMATIVA[[#This Row],[QT_AREA_REST2]]&gt;0,"Reestimativa 2",IF(ESTIMATIVA[[#This Row],[QT_AREA_REAL]]=0,"Reestimativa 2","Realizado"))</f>
        <v>Realizado</v>
      </c>
      <c r="X1484" s="1">
        <f>ESTIMATIVA[[#This Row],[QT_AREA_EST]]</f>
        <v>4.8099999999999996</v>
      </c>
      <c r="Y1484" s="1">
        <f>IF(ESTIMATIVA[[#This Row],[QT_AREA_REST1]]&gt;0,ESTIMATIVA[[#This Row],[QT_AREA_REST1]],
  IF(ESTIMATIVA[[#This Row],[QT_AREA_REAL]]&gt;0,ESTIMATIVA[[#This Row],[QT_AREA_REAL]],ESTIMATIVA[[#This Row],[QT_AREA_EST]]))</f>
        <v>4.8099999999999996</v>
      </c>
      <c r="Z148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4.8099999999999996</v>
      </c>
      <c r="AA1484" s="1">
        <f>ESTIMATIVA[[#This Row],[QT_CANA_EST]]</f>
        <v>336.7</v>
      </c>
      <c r="AB1484" s="1">
        <f>IF(ESTIMATIVA[[#This Row],[QT_CANA_REST1]]&gt;0,ESTIMATIVA[[#This Row],[QT_CANA_REST1]],
  IF(ESTIMATIVA[[#This Row],[QT_CANA_REAL]]&gt;0,ESTIMATIVA[[#This Row],[QT_CANA_REAL]],ESTIMATIVA[[#This Row],[QT_CANA_EST]]))</f>
        <v>304.05</v>
      </c>
      <c r="AC148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304.05</v>
      </c>
      <c r="AD1484" s="1">
        <f>IF(ESTIMATIVA[[#This Row],[QT_AREA_REAL]]&gt;0,ESTIMATIVA[[#This Row],[QT_CANA_REAL]],ESTIMATIVA[[#This Row],[QT_CANA_EST]])</f>
        <v>304.05</v>
      </c>
      <c r="AE1484" s="1">
        <f>IF(ESTIMATIVA[[#This Row],[QT_AREA_REAL]]&gt;0,ESTIMATIVA[[#This Row],[QT_CANA_REAL]],ESTIMATIVA[[#This Row],[QT_CANA_REST1]])</f>
        <v>304.05</v>
      </c>
      <c r="AF1484" s="1">
        <f>IF(ESTIMATIVA[[#This Row],[QT_AREA_REAL]]&gt;0,ESTIMATIVA[[#This Row],[QT_CANA_REAL]],ESTIMATIVA[[#This Row],[QT_CANA_REST2]])</f>
        <v>304.05</v>
      </c>
      <c r="AG1484" s="1" t="str">
        <f>IF(COUNTIFS(GEADA!A:A,VALUE(ESTIMATIVA[[#This Row],[CD_UPNIVEL1]]&amp;TEXT(ESTIMATIVA[[#This Row],[CD_UPNIVEL3]],"0000")))&gt;0,"S","N")</f>
        <v>N</v>
      </c>
      <c r="AH148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84" s="55" t="str">
        <f>IF(ESTIMATIVA[[#This Row],[TP_CULTIVO]]="Irrigado",_xlfn.MAXIFS(IRRIGADO!J:J,IRRIGADO!C:C,ESTIMATIVA[[#This Row],[CD_UPNIVEL1]],IRRIGADO!E:E,ESTIMATIVA[[#This Row],[CD_UPNIVEL3]]),"")</f>
        <v/>
      </c>
      <c r="AJ148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84" s="1">
        <f>COUNTIFS(Apresentação!$E$23:$E$29,ESTIMATIVA[[#This Row],[CD_UPNIVEL1]])</f>
        <v>0</v>
      </c>
    </row>
    <row r="1485" spans="1:37" x14ac:dyDescent="0.3">
      <c r="A1485">
        <v>20569</v>
      </c>
      <c r="B1485" t="s">
        <v>82</v>
      </c>
      <c r="C1485">
        <v>88</v>
      </c>
      <c r="D1485">
        <v>7</v>
      </c>
      <c r="E1485" t="s">
        <v>270</v>
      </c>
      <c r="F1485" s="85" t="s">
        <v>331</v>
      </c>
      <c r="G1485"/>
      <c r="H1485" t="s">
        <v>295</v>
      </c>
      <c r="I1485" t="s">
        <v>208</v>
      </c>
      <c r="J1485" t="s">
        <v>176</v>
      </c>
      <c r="K1485" s="1">
        <v>3.86</v>
      </c>
      <c r="L1485" s="1">
        <v>0</v>
      </c>
      <c r="M1485" s="1">
        <v>0</v>
      </c>
      <c r="N1485" s="1">
        <v>3.86</v>
      </c>
      <c r="O1485" s="1">
        <v>270.2</v>
      </c>
      <c r="P1485" s="1">
        <v>0</v>
      </c>
      <c r="Q1485" s="1">
        <v>0</v>
      </c>
      <c r="R1485" s="1">
        <v>244.02</v>
      </c>
      <c r="S1485" t="s">
        <v>12</v>
      </c>
      <c r="T1485" s="13">
        <v>45823</v>
      </c>
      <c r="U1485" s="1" t="str">
        <f>IF(ESTIMATIVA[[#This Row],[QT_AREA_REAL]]&gt;0,"1- Colhido","2- à Colher")</f>
        <v>1- Colhido</v>
      </c>
      <c r="V1485" s="1" t="str">
        <f>IF(ESTIMATIVA[[#This Row],[QT_AREA_REST1]]&gt;0,"Reestimativa 1",IF(ESTIMATIVA[[#This Row],[QT_AREA_REAL]]=0,"Reestimativa 1","Realizado"))</f>
        <v>Realizado</v>
      </c>
      <c r="W1485" s="1" t="str">
        <f>IF(ESTIMATIVA[[#This Row],[QT_AREA_REST2]]&gt;0,"Reestimativa 2",IF(ESTIMATIVA[[#This Row],[QT_AREA_REAL]]=0,"Reestimativa 2","Realizado"))</f>
        <v>Realizado</v>
      </c>
      <c r="X1485" s="1">
        <f>ESTIMATIVA[[#This Row],[QT_AREA_EST]]</f>
        <v>3.86</v>
      </c>
      <c r="Y1485" s="1">
        <f>IF(ESTIMATIVA[[#This Row],[QT_AREA_REST1]]&gt;0,ESTIMATIVA[[#This Row],[QT_AREA_REST1]],
  IF(ESTIMATIVA[[#This Row],[QT_AREA_REAL]]&gt;0,ESTIMATIVA[[#This Row],[QT_AREA_REAL]],ESTIMATIVA[[#This Row],[QT_AREA_EST]]))</f>
        <v>3.86</v>
      </c>
      <c r="Z148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3.86</v>
      </c>
      <c r="AA1485" s="1">
        <f>ESTIMATIVA[[#This Row],[QT_CANA_EST]]</f>
        <v>270.2</v>
      </c>
      <c r="AB1485" s="1">
        <f>IF(ESTIMATIVA[[#This Row],[QT_CANA_REST1]]&gt;0,ESTIMATIVA[[#This Row],[QT_CANA_REST1]],
  IF(ESTIMATIVA[[#This Row],[QT_CANA_REAL]]&gt;0,ESTIMATIVA[[#This Row],[QT_CANA_REAL]],ESTIMATIVA[[#This Row],[QT_CANA_EST]]))</f>
        <v>244.02</v>
      </c>
      <c r="AC148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244.02</v>
      </c>
      <c r="AD1485" s="1">
        <f>IF(ESTIMATIVA[[#This Row],[QT_AREA_REAL]]&gt;0,ESTIMATIVA[[#This Row],[QT_CANA_REAL]],ESTIMATIVA[[#This Row],[QT_CANA_EST]])</f>
        <v>244.02</v>
      </c>
      <c r="AE1485" s="1">
        <f>IF(ESTIMATIVA[[#This Row],[QT_AREA_REAL]]&gt;0,ESTIMATIVA[[#This Row],[QT_CANA_REAL]],ESTIMATIVA[[#This Row],[QT_CANA_REST1]])</f>
        <v>244.02</v>
      </c>
      <c r="AF1485" s="1">
        <f>IF(ESTIMATIVA[[#This Row],[QT_AREA_REAL]]&gt;0,ESTIMATIVA[[#This Row],[QT_CANA_REAL]],ESTIMATIVA[[#This Row],[QT_CANA_REST2]])</f>
        <v>244.02</v>
      </c>
      <c r="AG1485" s="1" t="str">
        <f>IF(COUNTIFS(GEADA!A:A,VALUE(ESTIMATIVA[[#This Row],[CD_UPNIVEL1]]&amp;TEXT(ESTIMATIVA[[#This Row],[CD_UPNIVEL3]],"0000")))&gt;0,"S","N")</f>
        <v>N</v>
      </c>
      <c r="AH148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85" s="55" t="str">
        <f>IF(ESTIMATIVA[[#This Row],[TP_CULTIVO]]="Irrigado",_xlfn.MAXIFS(IRRIGADO!J:J,IRRIGADO!C:C,ESTIMATIVA[[#This Row],[CD_UPNIVEL1]],IRRIGADO!E:E,ESTIMATIVA[[#This Row],[CD_UPNIVEL3]]),"")</f>
        <v/>
      </c>
      <c r="AJ148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85" s="1">
        <f>COUNTIFS(Apresentação!$E$23:$E$29,ESTIMATIVA[[#This Row],[CD_UPNIVEL1]])</f>
        <v>0</v>
      </c>
    </row>
    <row r="1486" spans="1:37" x14ac:dyDescent="0.3">
      <c r="A1486">
        <v>20569</v>
      </c>
      <c r="B1486" t="s">
        <v>82</v>
      </c>
      <c r="C1486">
        <v>89</v>
      </c>
      <c r="D1486">
        <v>7</v>
      </c>
      <c r="E1486" t="s">
        <v>270</v>
      </c>
      <c r="F1486" s="85" t="s">
        <v>332</v>
      </c>
      <c r="G1486"/>
      <c r="H1486" t="s">
        <v>295</v>
      </c>
      <c r="I1486" t="s">
        <v>208</v>
      </c>
      <c r="J1486" t="s">
        <v>176</v>
      </c>
      <c r="K1486" s="1">
        <v>1.94</v>
      </c>
      <c r="L1486" s="1">
        <v>0</v>
      </c>
      <c r="M1486" s="1">
        <v>0</v>
      </c>
      <c r="N1486" s="1">
        <v>1.94</v>
      </c>
      <c r="O1486" s="1">
        <v>135.80000000000001</v>
      </c>
      <c r="P1486" s="1">
        <v>0</v>
      </c>
      <c r="Q1486" s="1">
        <v>0</v>
      </c>
      <c r="R1486" s="1">
        <v>123.59</v>
      </c>
      <c r="S1486" t="s">
        <v>12</v>
      </c>
      <c r="T1486" s="13">
        <v>45823</v>
      </c>
      <c r="U1486" s="1" t="str">
        <f>IF(ESTIMATIVA[[#This Row],[QT_AREA_REAL]]&gt;0,"1- Colhido","2- à Colher")</f>
        <v>1- Colhido</v>
      </c>
      <c r="V1486" s="1" t="str">
        <f>IF(ESTIMATIVA[[#This Row],[QT_AREA_REST1]]&gt;0,"Reestimativa 1",IF(ESTIMATIVA[[#This Row],[QT_AREA_REAL]]=0,"Reestimativa 1","Realizado"))</f>
        <v>Realizado</v>
      </c>
      <c r="W1486" s="1" t="str">
        <f>IF(ESTIMATIVA[[#This Row],[QT_AREA_REST2]]&gt;0,"Reestimativa 2",IF(ESTIMATIVA[[#This Row],[QT_AREA_REAL]]=0,"Reestimativa 2","Realizado"))</f>
        <v>Realizado</v>
      </c>
      <c r="X1486" s="1">
        <f>ESTIMATIVA[[#This Row],[QT_AREA_EST]]</f>
        <v>1.94</v>
      </c>
      <c r="Y1486" s="1">
        <f>IF(ESTIMATIVA[[#This Row],[QT_AREA_REST1]]&gt;0,ESTIMATIVA[[#This Row],[QT_AREA_REST1]],
  IF(ESTIMATIVA[[#This Row],[QT_AREA_REAL]]&gt;0,ESTIMATIVA[[#This Row],[QT_AREA_REAL]],ESTIMATIVA[[#This Row],[QT_AREA_EST]]))</f>
        <v>1.94</v>
      </c>
      <c r="Z148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1.94</v>
      </c>
      <c r="AA1486" s="1">
        <f>ESTIMATIVA[[#This Row],[QT_CANA_EST]]</f>
        <v>135.80000000000001</v>
      </c>
      <c r="AB1486" s="1">
        <f>IF(ESTIMATIVA[[#This Row],[QT_CANA_REST1]]&gt;0,ESTIMATIVA[[#This Row],[QT_CANA_REST1]],
  IF(ESTIMATIVA[[#This Row],[QT_CANA_REAL]]&gt;0,ESTIMATIVA[[#This Row],[QT_CANA_REAL]],ESTIMATIVA[[#This Row],[QT_CANA_EST]]))</f>
        <v>123.59</v>
      </c>
      <c r="AC148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123.59</v>
      </c>
      <c r="AD1486" s="1">
        <f>IF(ESTIMATIVA[[#This Row],[QT_AREA_REAL]]&gt;0,ESTIMATIVA[[#This Row],[QT_CANA_REAL]],ESTIMATIVA[[#This Row],[QT_CANA_EST]])</f>
        <v>123.59</v>
      </c>
      <c r="AE1486" s="1">
        <f>IF(ESTIMATIVA[[#This Row],[QT_AREA_REAL]]&gt;0,ESTIMATIVA[[#This Row],[QT_CANA_REAL]],ESTIMATIVA[[#This Row],[QT_CANA_REST1]])</f>
        <v>123.59</v>
      </c>
      <c r="AF1486" s="1">
        <f>IF(ESTIMATIVA[[#This Row],[QT_AREA_REAL]]&gt;0,ESTIMATIVA[[#This Row],[QT_CANA_REAL]],ESTIMATIVA[[#This Row],[QT_CANA_REST2]])</f>
        <v>123.59</v>
      </c>
      <c r="AG1486" s="1" t="str">
        <f>IF(COUNTIFS(GEADA!A:A,VALUE(ESTIMATIVA[[#This Row],[CD_UPNIVEL1]]&amp;TEXT(ESTIMATIVA[[#This Row],[CD_UPNIVEL3]],"0000")))&gt;0,"S","N")</f>
        <v>N</v>
      </c>
      <c r="AH148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86" s="55" t="str">
        <f>IF(ESTIMATIVA[[#This Row],[TP_CULTIVO]]="Irrigado",_xlfn.MAXIFS(IRRIGADO!J:J,IRRIGADO!C:C,ESTIMATIVA[[#This Row],[CD_UPNIVEL1]],IRRIGADO!E:E,ESTIMATIVA[[#This Row],[CD_UPNIVEL3]]),"")</f>
        <v/>
      </c>
      <c r="AJ148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86" s="1">
        <f>COUNTIFS(Apresentação!$E$23:$E$29,ESTIMATIVA[[#This Row],[CD_UPNIVEL1]])</f>
        <v>0</v>
      </c>
    </row>
    <row r="1487" spans="1:37" x14ac:dyDescent="0.3">
      <c r="A1487">
        <v>20569</v>
      </c>
      <c r="B1487" t="s">
        <v>82</v>
      </c>
      <c r="C1487">
        <v>90</v>
      </c>
      <c r="D1487">
        <v>6</v>
      </c>
      <c r="E1487" t="s">
        <v>261</v>
      </c>
      <c r="F1487" s="85" t="s">
        <v>332</v>
      </c>
      <c r="G1487"/>
      <c r="H1487" t="s">
        <v>295</v>
      </c>
      <c r="I1487" t="s">
        <v>194</v>
      </c>
      <c r="J1487" t="s">
        <v>176</v>
      </c>
      <c r="K1487" s="1">
        <v>7.14</v>
      </c>
      <c r="L1487" s="1">
        <v>7.14</v>
      </c>
      <c r="M1487" s="1">
        <v>7.14</v>
      </c>
      <c r="N1487" s="1">
        <v>7.14</v>
      </c>
      <c r="O1487" s="1">
        <v>499.8</v>
      </c>
      <c r="P1487" s="1">
        <v>499.8</v>
      </c>
      <c r="Q1487" s="1">
        <v>499.8</v>
      </c>
      <c r="R1487" s="1">
        <v>538.21</v>
      </c>
      <c r="S1487" t="s">
        <v>12</v>
      </c>
      <c r="T1487" s="13">
        <v>45956</v>
      </c>
      <c r="U1487" s="1" t="str">
        <f>IF(ESTIMATIVA[[#This Row],[QT_AREA_REAL]]&gt;0,"1- Colhido","2- à Colher")</f>
        <v>1- Colhido</v>
      </c>
      <c r="V1487" s="1" t="str">
        <f>IF(ESTIMATIVA[[#This Row],[QT_AREA_REST1]]&gt;0,"Reestimativa 1",IF(ESTIMATIVA[[#This Row],[QT_AREA_REAL]]=0,"Reestimativa 1","Realizado"))</f>
        <v>Reestimativa 1</v>
      </c>
      <c r="W1487" s="1" t="str">
        <f>IF(ESTIMATIVA[[#This Row],[QT_AREA_REST2]]&gt;0,"Reestimativa 2",IF(ESTIMATIVA[[#This Row],[QT_AREA_REAL]]=0,"Reestimativa 2","Realizado"))</f>
        <v>Reestimativa 2</v>
      </c>
      <c r="X1487" s="1">
        <f>ESTIMATIVA[[#This Row],[QT_AREA_EST]]</f>
        <v>7.14</v>
      </c>
      <c r="Y1487" s="1">
        <f>IF(ESTIMATIVA[[#This Row],[QT_AREA_REST1]]&gt;0,ESTIMATIVA[[#This Row],[QT_AREA_REST1]],
  IF(ESTIMATIVA[[#This Row],[QT_AREA_REAL]]&gt;0,ESTIMATIVA[[#This Row],[QT_AREA_REAL]],ESTIMATIVA[[#This Row],[QT_AREA_EST]]))</f>
        <v>7.14</v>
      </c>
      <c r="Z148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7.14</v>
      </c>
      <c r="AA1487" s="1">
        <f>ESTIMATIVA[[#This Row],[QT_CANA_EST]]</f>
        <v>499.8</v>
      </c>
      <c r="AB1487" s="1">
        <f>IF(ESTIMATIVA[[#This Row],[QT_CANA_REST1]]&gt;0,ESTIMATIVA[[#This Row],[QT_CANA_REST1]],
  IF(ESTIMATIVA[[#This Row],[QT_CANA_REAL]]&gt;0,ESTIMATIVA[[#This Row],[QT_CANA_REAL]],ESTIMATIVA[[#This Row],[QT_CANA_EST]]))</f>
        <v>499.8</v>
      </c>
      <c r="AC148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499.8</v>
      </c>
      <c r="AD1487" s="1">
        <f>IF(ESTIMATIVA[[#This Row],[QT_AREA_REAL]]&gt;0,ESTIMATIVA[[#This Row],[QT_CANA_REAL]],ESTIMATIVA[[#This Row],[QT_CANA_EST]])</f>
        <v>538.21</v>
      </c>
      <c r="AE1487" s="1">
        <f>IF(ESTIMATIVA[[#This Row],[QT_AREA_REAL]]&gt;0,ESTIMATIVA[[#This Row],[QT_CANA_REAL]],ESTIMATIVA[[#This Row],[QT_CANA_REST1]])</f>
        <v>538.21</v>
      </c>
      <c r="AF1487" s="1">
        <f>IF(ESTIMATIVA[[#This Row],[QT_AREA_REAL]]&gt;0,ESTIMATIVA[[#This Row],[QT_CANA_REAL]],ESTIMATIVA[[#This Row],[QT_CANA_REST2]])</f>
        <v>538.21</v>
      </c>
      <c r="AG1487" s="1" t="str">
        <f>IF(COUNTIFS(GEADA!A:A,VALUE(ESTIMATIVA[[#This Row],[CD_UPNIVEL1]]&amp;TEXT(ESTIMATIVA[[#This Row],[CD_UPNIVEL3]],"0000")))&gt;0,"S","N")</f>
        <v>N</v>
      </c>
      <c r="AH148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87" s="55" t="str">
        <f>IF(ESTIMATIVA[[#This Row],[TP_CULTIVO]]="Irrigado",_xlfn.MAXIFS(IRRIGADO!J:J,IRRIGADO!C:C,ESTIMATIVA[[#This Row],[CD_UPNIVEL1]],IRRIGADO!E:E,ESTIMATIVA[[#This Row],[CD_UPNIVEL3]]),"")</f>
        <v/>
      </c>
      <c r="AJ148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87" s="1">
        <f>COUNTIFS(Apresentação!$E$23:$E$29,ESTIMATIVA[[#This Row],[CD_UPNIVEL1]])</f>
        <v>0</v>
      </c>
    </row>
    <row r="1488" spans="1:37" x14ac:dyDescent="0.3">
      <c r="A1488">
        <v>20569</v>
      </c>
      <c r="B1488" t="s">
        <v>82</v>
      </c>
      <c r="C1488">
        <v>91</v>
      </c>
      <c r="D1488">
        <v>6</v>
      </c>
      <c r="E1488" t="s">
        <v>261</v>
      </c>
      <c r="F1488" s="85" t="s">
        <v>332</v>
      </c>
      <c r="G1488"/>
      <c r="H1488" t="s">
        <v>295</v>
      </c>
      <c r="I1488" t="s">
        <v>194</v>
      </c>
      <c r="J1488" t="s">
        <v>176</v>
      </c>
      <c r="K1488" s="1">
        <v>15.73</v>
      </c>
      <c r="L1488" s="1">
        <v>15.73</v>
      </c>
      <c r="M1488" s="1">
        <v>15.73</v>
      </c>
      <c r="N1488" s="1">
        <v>15.73</v>
      </c>
      <c r="O1488" s="1">
        <v>1101.0999999999999</v>
      </c>
      <c r="P1488" s="1">
        <v>1101.0999999999999</v>
      </c>
      <c r="Q1488" s="1">
        <v>1101.0999999999999</v>
      </c>
      <c r="R1488" s="1">
        <v>1185.24</v>
      </c>
      <c r="S1488" t="s">
        <v>12</v>
      </c>
      <c r="T1488" s="13">
        <v>45956</v>
      </c>
      <c r="U1488" s="1" t="str">
        <f>IF(ESTIMATIVA[[#This Row],[QT_AREA_REAL]]&gt;0,"1- Colhido","2- à Colher")</f>
        <v>1- Colhido</v>
      </c>
      <c r="V1488" s="1" t="str">
        <f>IF(ESTIMATIVA[[#This Row],[QT_AREA_REST1]]&gt;0,"Reestimativa 1",IF(ESTIMATIVA[[#This Row],[QT_AREA_REAL]]=0,"Reestimativa 1","Realizado"))</f>
        <v>Reestimativa 1</v>
      </c>
      <c r="W1488" s="1" t="str">
        <f>IF(ESTIMATIVA[[#This Row],[QT_AREA_REST2]]&gt;0,"Reestimativa 2",IF(ESTIMATIVA[[#This Row],[QT_AREA_REAL]]=0,"Reestimativa 2","Realizado"))</f>
        <v>Reestimativa 2</v>
      </c>
      <c r="X1488" s="1">
        <f>ESTIMATIVA[[#This Row],[QT_AREA_EST]]</f>
        <v>15.73</v>
      </c>
      <c r="Y1488" s="1">
        <f>IF(ESTIMATIVA[[#This Row],[QT_AREA_REST1]]&gt;0,ESTIMATIVA[[#This Row],[QT_AREA_REST1]],
  IF(ESTIMATIVA[[#This Row],[QT_AREA_REAL]]&gt;0,ESTIMATIVA[[#This Row],[QT_AREA_REAL]],ESTIMATIVA[[#This Row],[QT_AREA_EST]]))</f>
        <v>15.73</v>
      </c>
      <c r="Z148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15.73</v>
      </c>
      <c r="AA1488" s="1">
        <f>ESTIMATIVA[[#This Row],[QT_CANA_EST]]</f>
        <v>1101.0999999999999</v>
      </c>
      <c r="AB1488" s="1">
        <f>IF(ESTIMATIVA[[#This Row],[QT_CANA_REST1]]&gt;0,ESTIMATIVA[[#This Row],[QT_CANA_REST1]],
  IF(ESTIMATIVA[[#This Row],[QT_CANA_REAL]]&gt;0,ESTIMATIVA[[#This Row],[QT_CANA_REAL]],ESTIMATIVA[[#This Row],[QT_CANA_EST]]))</f>
        <v>1101.0999999999999</v>
      </c>
      <c r="AC148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1101.0999999999999</v>
      </c>
      <c r="AD1488" s="1">
        <f>IF(ESTIMATIVA[[#This Row],[QT_AREA_REAL]]&gt;0,ESTIMATIVA[[#This Row],[QT_CANA_REAL]],ESTIMATIVA[[#This Row],[QT_CANA_EST]])</f>
        <v>1185.24</v>
      </c>
      <c r="AE1488" s="1">
        <f>IF(ESTIMATIVA[[#This Row],[QT_AREA_REAL]]&gt;0,ESTIMATIVA[[#This Row],[QT_CANA_REAL]],ESTIMATIVA[[#This Row],[QT_CANA_REST1]])</f>
        <v>1185.24</v>
      </c>
      <c r="AF1488" s="1">
        <f>IF(ESTIMATIVA[[#This Row],[QT_AREA_REAL]]&gt;0,ESTIMATIVA[[#This Row],[QT_CANA_REAL]],ESTIMATIVA[[#This Row],[QT_CANA_REST2]])</f>
        <v>1185.24</v>
      </c>
      <c r="AG1488" s="1" t="str">
        <f>IF(COUNTIFS(GEADA!A:A,VALUE(ESTIMATIVA[[#This Row],[CD_UPNIVEL1]]&amp;TEXT(ESTIMATIVA[[#This Row],[CD_UPNIVEL3]],"0000")))&gt;0,"S","N")</f>
        <v>N</v>
      </c>
      <c r="AH148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88" s="55" t="str">
        <f>IF(ESTIMATIVA[[#This Row],[TP_CULTIVO]]="Irrigado",_xlfn.MAXIFS(IRRIGADO!J:J,IRRIGADO!C:C,ESTIMATIVA[[#This Row],[CD_UPNIVEL1]],IRRIGADO!E:E,ESTIMATIVA[[#This Row],[CD_UPNIVEL3]]),"")</f>
        <v/>
      </c>
      <c r="AJ148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88" s="1">
        <f>COUNTIFS(Apresentação!$E$23:$E$29,ESTIMATIVA[[#This Row],[CD_UPNIVEL1]])</f>
        <v>0</v>
      </c>
    </row>
    <row r="1489" spans="1:37" x14ac:dyDescent="0.3">
      <c r="A1489">
        <v>20569</v>
      </c>
      <c r="B1489" t="s">
        <v>82</v>
      </c>
      <c r="C1489">
        <v>92</v>
      </c>
      <c r="D1489">
        <v>6</v>
      </c>
      <c r="E1489" t="s">
        <v>261</v>
      </c>
      <c r="F1489" s="85" t="s">
        <v>331</v>
      </c>
      <c r="G1489"/>
      <c r="H1489" t="s">
        <v>295</v>
      </c>
      <c r="I1489" t="s">
        <v>194</v>
      </c>
      <c r="J1489" t="s">
        <v>176</v>
      </c>
      <c r="K1489" s="1">
        <v>14.52</v>
      </c>
      <c r="L1489" s="1">
        <v>14.52</v>
      </c>
      <c r="M1489" s="1">
        <v>14.52</v>
      </c>
      <c r="N1489" s="1">
        <v>14.52</v>
      </c>
      <c r="O1489" s="1">
        <v>595.32000000000005</v>
      </c>
      <c r="P1489" s="1">
        <v>653.4</v>
      </c>
      <c r="Q1489" s="1">
        <v>653.4</v>
      </c>
      <c r="R1489" s="1">
        <v>702.92</v>
      </c>
      <c r="S1489" t="s">
        <v>12</v>
      </c>
      <c r="T1489" s="13">
        <v>45956</v>
      </c>
      <c r="U1489" s="1" t="str">
        <f>IF(ESTIMATIVA[[#This Row],[QT_AREA_REAL]]&gt;0,"1- Colhido","2- à Colher")</f>
        <v>1- Colhido</v>
      </c>
      <c r="V1489" s="1" t="str">
        <f>IF(ESTIMATIVA[[#This Row],[QT_AREA_REST1]]&gt;0,"Reestimativa 1",IF(ESTIMATIVA[[#This Row],[QT_AREA_REAL]]=0,"Reestimativa 1","Realizado"))</f>
        <v>Reestimativa 1</v>
      </c>
      <c r="W1489" s="1" t="str">
        <f>IF(ESTIMATIVA[[#This Row],[QT_AREA_REST2]]&gt;0,"Reestimativa 2",IF(ESTIMATIVA[[#This Row],[QT_AREA_REAL]]=0,"Reestimativa 2","Realizado"))</f>
        <v>Reestimativa 2</v>
      </c>
      <c r="X1489" s="1">
        <f>ESTIMATIVA[[#This Row],[QT_AREA_EST]]</f>
        <v>14.52</v>
      </c>
      <c r="Y1489" s="1">
        <f>IF(ESTIMATIVA[[#This Row],[QT_AREA_REST1]]&gt;0,ESTIMATIVA[[#This Row],[QT_AREA_REST1]],
  IF(ESTIMATIVA[[#This Row],[QT_AREA_REAL]]&gt;0,ESTIMATIVA[[#This Row],[QT_AREA_REAL]],ESTIMATIVA[[#This Row],[QT_AREA_EST]]))</f>
        <v>14.52</v>
      </c>
      <c r="Z148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14.52</v>
      </c>
      <c r="AA1489" s="1">
        <f>ESTIMATIVA[[#This Row],[QT_CANA_EST]]</f>
        <v>595.32000000000005</v>
      </c>
      <c r="AB1489" s="1">
        <f>IF(ESTIMATIVA[[#This Row],[QT_CANA_REST1]]&gt;0,ESTIMATIVA[[#This Row],[QT_CANA_REST1]],
  IF(ESTIMATIVA[[#This Row],[QT_CANA_REAL]]&gt;0,ESTIMATIVA[[#This Row],[QT_CANA_REAL]],ESTIMATIVA[[#This Row],[QT_CANA_EST]]))</f>
        <v>653.4</v>
      </c>
      <c r="AC148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653.4</v>
      </c>
      <c r="AD1489" s="1">
        <f>IF(ESTIMATIVA[[#This Row],[QT_AREA_REAL]]&gt;0,ESTIMATIVA[[#This Row],[QT_CANA_REAL]],ESTIMATIVA[[#This Row],[QT_CANA_EST]])</f>
        <v>702.92</v>
      </c>
      <c r="AE1489" s="1">
        <f>IF(ESTIMATIVA[[#This Row],[QT_AREA_REAL]]&gt;0,ESTIMATIVA[[#This Row],[QT_CANA_REAL]],ESTIMATIVA[[#This Row],[QT_CANA_REST1]])</f>
        <v>702.92</v>
      </c>
      <c r="AF1489" s="1">
        <f>IF(ESTIMATIVA[[#This Row],[QT_AREA_REAL]]&gt;0,ESTIMATIVA[[#This Row],[QT_CANA_REAL]],ESTIMATIVA[[#This Row],[QT_CANA_REST2]])</f>
        <v>702.92</v>
      </c>
      <c r="AG1489" s="1" t="str">
        <f>IF(COUNTIFS(GEADA!A:A,VALUE(ESTIMATIVA[[#This Row],[CD_UPNIVEL1]]&amp;TEXT(ESTIMATIVA[[#This Row],[CD_UPNIVEL3]],"0000")))&gt;0,"S","N")</f>
        <v>N</v>
      </c>
      <c r="AH148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89" s="55" t="str">
        <f>IF(ESTIMATIVA[[#This Row],[TP_CULTIVO]]="Irrigado",_xlfn.MAXIFS(IRRIGADO!J:J,IRRIGADO!C:C,ESTIMATIVA[[#This Row],[CD_UPNIVEL1]],IRRIGADO!E:E,ESTIMATIVA[[#This Row],[CD_UPNIVEL3]]),"")</f>
        <v/>
      </c>
      <c r="AJ148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89" s="1">
        <f>COUNTIFS(Apresentação!$E$23:$E$29,ESTIMATIVA[[#This Row],[CD_UPNIVEL1]])</f>
        <v>0</v>
      </c>
    </row>
    <row r="1490" spans="1:37" x14ac:dyDescent="0.3">
      <c r="A1490">
        <v>20569</v>
      </c>
      <c r="B1490" t="s">
        <v>82</v>
      </c>
      <c r="C1490">
        <v>93</v>
      </c>
      <c r="D1490">
        <v>6</v>
      </c>
      <c r="E1490" t="s">
        <v>261</v>
      </c>
      <c r="F1490" s="85" t="s">
        <v>331</v>
      </c>
      <c r="G1490"/>
      <c r="H1490" t="s">
        <v>295</v>
      </c>
      <c r="I1490" t="s">
        <v>194</v>
      </c>
      <c r="J1490" t="s">
        <v>176</v>
      </c>
      <c r="K1490" s="1">
        <v>18.87</v>
      </c>
      <c r="L1490" s="1">
        <v>18.87</v>
      </c>
      <c r="M1490" s="1">
        <v>18.87</v>
      </c>
      <c r="N1490" s="1">
        <v>18.87</v>
      </c>
      <c r="O1490" s="1">
        <v>773.67</v>
      </c>
      <c r="P1490" s="1">
        <v>849.15</v>
      </c>
      <c r="Q1490" s="1">
        <v>849.15</v>
      </c>
      <c r="R1490" s="1">
        <v>913.94</v>
      </c>
      <c r="S1490" t="s">
        <v>12</v>
      </c>
      <c r="T1490" s="13">
        <v>45956</v>
      </c>
      <c r="U1490" s="1" t="str">
        <f>IF(ESTIMATIVA[[#This Row],[QT_AREA_REAL]]&gt;0,"1- Colhido","2- à Colher")</f>
        <v>1- Colhido</v>
      </c>
      <c r="V1490" s="1" t="str">
        <f>IF(ESTIMATIVA[[#This Row],[QT_AREA_REST1]]&gt;0,"Reestimativa 1",IF(ESTIMATIVA[[#This Row],[QT_AREA_REAL]]=0,"Reestimativa 1","Realizado"))</f>
        <v>Reestimativa 1</v>
      </c>
      <c r="W1490" s="1" t="str">
        <f>IF(ESTIMATIVA[[#This Row],[QT_AREA_REST2]]&gt;0,"Reestimativa 2",IF(ESTIMATIVA[[#This Row],[QT_AREA_REAL]]=0,"Reestimativa 2","Realizado"))</f>
        <v>Reestimativa 2</v>
      </c>
      <c r="X1490" s="1">
        <f>ESTIMATIVA[[#This Row],[QT_AREA_EST]]</f>
        <v>18.87</v>
      </c>
      <c r="Y1490" s="1">
        <f>IF(ESTIMATIVA[[#This Row],[QT_AREA_REST1]]&gt;0,ESTIMATIVA[[#This Row],[QT_AREA_REST1]],
  IF(ESTIMATIVA[[#This Row],[QT_AREA_REAL]]&gt;0,ESTIMATIVA[[#This Row],[QT_AREA_REAL]],ESTIMATIVA[[#This Row],[QT_AREA_EST]]))</f>
        <v>18.87</v>
      </c>
      <c r="Z149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18.87</v>
      </c>
      <c r="AA1490" s="1">
        <f>ESTIMATIVA[[#This Row],[QT_CANA_EST]]</f>
        <v>773.67</v>
      </c>
      <c r="AB1490" s="1">
        <f>IF(ESTIMATIVA[[#This Row],[QT_CANA_REST1]]&gt;0,ESTIMATIVA[[#This Row],[QT_CANA_REST1]],
  IF(ESTIMATIVA[[#This Row],[QT_CANA_REAL]]&gt;0,ESTIMATIVA[[#This Row],[QT_CANA_REAL]],ESTIMATIVA[[#This Row],[QT_CANA_EST]]))</f>
        <v>849.15</v>
      </c>
      <c r="AC149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849.15</v>
      </c>
      <c r="AD1490" s="1">
        <f>IF(ESTIMATIVA[[#This Row],[QT_AREA_REAL]]&gt;0,ESTIMATIVA[[#This Row],[QT_CANA_REAL]],ESTIMATIVA[[#This Row],[QT_CANA_EST]])</f>
        <v>913.94</v>
      </c>
      <c r="AE1490" s="1">
        <f>IF(ESTIMATIVA[[#This Row],[QT_AREA_REAL]]&gt;0,ESTIMATIVA[[#This Row],[QT_CANA_REAL]],ESTIMATIVA[[#This Row],[QT_CANA_REST1]])</f>
        <v>913.94</v>
      </c>
      <c r="AF1490" s="1">
        <f>IF(ESTIMATIVA[[#This Row],[QT_AREA_REAL]]&gt;0,ESTIMATIVA[[#This Row],[QT_CANA_REAL]],ESTIMATIVA[[#This Row],[QT_CANA_REST2]])</f>
        <v>913.94</v>
      </c>
      <c r="AG1490" s="1" t="str">
        <f>IF(COUNTIFS(GEADA!A:A,VALUE(ESTIMATIVA[[#This Row],[CD_UPNIVEL1]]&amp;TEXT(ESTIMATIVA[[#This Row],[CD_UPNIVEL3]],"0000")))&gt;0,"S","N")</f>
        <v>N</v>
      </c>
      <c r="AH149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90" s="55" t="str">
        <f>IF(ESTIMATIVA[[#This Row],[TP_CULTIVO]]="Irrigado",_xlfn.MAXIFS(IRRIGADO!J:J,IRRIGADO!C:C,ESTIMATIVA[[#This Row],[CD_UPNIVEL1]],IRRIGADO!E:E,ESTIMATIVA[[#This Row],[CD_UPNIVEL3]]),"")</f>
        <v/>
      </c>
      <c r="AJ149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90" s="1">
        <f>COUNTIFS(Apresentação!$E$23:$E$29,ESTIMATIVA[[#This Row],[CD_UPNIVEL1]])</f>
        <v>0</v>
      </c>
    </row>
    <row r="1491" spans="1:37" x14ac:dyDescent="0.3">
      <c r="A1491">
        <v>20569</v>
      </c>
      <c r="B1491" t="s">
        <v>82</v>
      </c>
      <c r="C1491">
        <v>94</v>
      </c>
      <c r="D1491">
        <v>6</v>
      </c>
      <c r="E1491" t="s">
        <v>261</v>
      </c>
      <c r="F1491" s="85" t="s">
        <v>332</v>
      </c>
      <c r="G1491"/>
      <c r="H1491" t="s">
        <v>295</v>
      </c>
      <c r="I1491" t="s">
        <v>194</v>
      </c>
      <c r="J1491" t="s">
        <v>176</v>
      </c>
      <c r="K1491" s="1">
        <v>14.58</v>
      </c>
      <c r="L1491" s="1">
        <v>14.58</v>
      </c>
      <c r="M1491" s="1">
        <v>14.58</v>
      </c>
      <c r="N1491" s="1">
        <v>14.58</v>
      </c>
      <c r="O1491" s="1">
        <v>597.78</v>
      </c>
      <c r="P1491" s="1">
        <v>656.1</v>
      </c>
      <c r="Q1491" s="1">
        <v>656.1</v>
      </c>
      <c r="R1491" s="1">
        <v>706.15</v>
      </c>
      <c r="S1491" t="s">
        <v>12</v>
      </c>
      <c r="T1491" s="13">
        <v>45956</v>
      </c>
      <c r="U1491" s="1" t="str">
        <f>IF(ESTIMATIVA[[#This Row],[QT_AREA_REAL]]&gt;0,"1- Colhido","2- à Colher")</f>
        <v>1- Colhido</v>
      </c>
      <c r="V1491" s="1" t="str">
        <f>IF(ESTIMATIVA[[#This Row],[QT_AREA_REST1]]&gt;0,"Reestimativa 1",IF(ESTIMATIVA[[#This Row],[QT_AREA_REAL]]=0,"Reestimativa 1","Realizado"))</f>
        <v>Reestimativa 1</v>
      </c>
      <c r="W1491" s="1" t="str">
        <f>IF(ESTIMATIVA[[#This Row],[QT_AREA_REST2]]&gt;0,"Reestimativa 2",IF(ESTIMATIVA[[#This Row],[QT_AREA_REAL]]=0,"Reestimativa 2","Realizado"))</f>
        <v>Reestimativa 2</v>
      </c>
      <c r="X1491" s="1">
        <f>ESTIMATIVA[[#This Row],[QT_AREA_EST]]</f>
        <v>14.58</v>
      </c>
      <c r="Y1491" s="1">
        <f>IF(ESTIMATIVA[[#This Row],[QT_AREA_REST1]]&gt;0,ESTIMATIVA[[#This Row],[QT_AREA_REST1]],
  IF(ESTIMATIVA[[#This Row],[QT_AREA_REAL]]&gt;0,ESTIMATIVA[[#This Row],[QT_AREA_REAL]],ESTIMATIVA[[#This Row],[QT_AREA_EST]]))</f>
        <v>14.58</v>
      </c>
      <c r="Z149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14.58</v>
      </c>
      <c r="AA1491" s="1">
        <f>ESTIMATIVA[[#This Row],[QT_CANA_EST]]</f>
        <v>597.78</v>
      </c>
      <c r="AB1491" s="1">
        <f>IF(ESTIMATIVA[[#This Row],[QT_CANA_REST1]]&gt;0,ESTIMATIVA[[#This Row],[QT_CANA_REST1]],
  IF(ESTIMATIVA[[#This Row],[QT_CANA_REAL]]&gt;0,ESTIMATIVA[[#This Row],[QT_CANA_REAL]],ESTIMATIVA[[#This Row],[QT_CANA_EST]]))</f>
        <v>656.1</v>
      </c>
      <c r="AC149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656.1</v>
      </c>
      <c r="AD1491" s="1">
        <f>IF(ESTIMATIVA[[#This Row],[QT_AREA_REAL]]&gt;0,ESTIMATIVA[[#This Row],[QT_CANA_REAL]],ESTIMATIVA[[#This Row],[QT_CANA_EST]])</f>
        <v>706.15</v>
      </c>
      <c r="AE1491" s="1">
        <f>IF(ESTIMATIVA[[#This Row],[QT_AREA_REAL]]&gt;0,ESTIMATIVA[[#This Row],[QT_CANA_REAL]],ESTIMATIVA[[#This Row],[QT_CANA_REST1]])</f>
        <v>706.15</v>
      </c>
      <c r="AF1491" s="1">
        <f>IF(ESTIMATIVA[[#This Row],[QT_AREA_REAL]]&gt;0,ESTIMATIVA[[#This Row],[QT_CANA_REAL]],ESTIMATIVA[[#This Row],[QT_CANA_REST2]])</f>
        <v>706.15</v>
      </c>
      <c r="AG1491" s="1" t="str">
        <f>IF(COUNTIFS(GEADA!A:A,VALUE(ESTIMATIVA[[#This Row],[CD_UPNIVEL1]]&amp;TEXT(ESTIMATIVA[[#This Row],[CD_UPNIVEL3]],"0000")))&gt;0,"S","N")</f>
        <v>N</v>
      </c>
      <c r="AH149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91" s="55" t="str">
        <f>IF(ESTIMATIVA[[#This Row],[TP_CULTIVO]]="Irrigado",_xlfn.MAXIFS(IRRIGADO!J:J,IRRIGADO!C:C,ESTIMATIVA[[#This Row],[CD_UPNIVEL1]],IRRIGADO!E:E,ESTIMATIVA[[#This Row],[CD_UPNIVEL3]]),"")</f>
        <v/>
      </c>
      <c r="AJ149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91" s="1">
        <f>COUNTIFS(Apresentação!$E$23:$E$29,ESTIMATIVA[[#This Row],[CD_UPNIVEL1]])</f>
        <v>0</v>
      </c>
    </row>
    <row r="1492" spans="1:37" x14ac:dyDescent="0.3">
      <c r="A1492">
        <v>20569</v>
      </c>
      <c r="B1492" t="s">
        <v>82</v>
      </c>
      <c r="C1492">
        <v>95</v>
      </c>
      <c r="D1492">
        <v>6</v>
      </c>
      <c r="E1492" t="s">
        <v>261</v>
      </c>
      <c r="F1492" s="85" t="s">
        <v>331</v>
      </c>
      <c r="G1492"/>
      <c r="H1492" t="s">
        <v>295</v>
      </c>
      <c r="I1492" t="s">
        <v>194</v>
      </c>
      <c r="J1492" t="s">
        <v>176</v>
      </c>
      <c r="K1492" s="1">
        <v>25.06</v>
      </c>
      <c r="L1492" s="1">
        <v>25.06</v>
      </c>
      <c r="M1492" s="1">
        <v>25.06</v>
      </c>
      <c r="N1492" s="1">
        <v>25.06</v>
      </c>
      <c r="O1492" s="1">
        <v>1027.46</v>
      </c>
      <c r="P1492" s="1">
        <v>1127.7</v>
      </c>
      <c r="Q1492" s="1">
        <v>1127.7</v>
      </c>
      <c r="R1492" s="1">
        <v>1214.31</v>
      </c>
      <c r="S1492" t="s">
        <v>12</v>
      </c>
      <c r="T1492" s="13">
        <v>45956</v>
      </c>
      <c r="U1492" s="1" t="str">
        <f>IF(ESTIMATIVA[[#This Row],[QT_AREA_REAL]]&gt;0,"1- Colhido","2- à Colher")</f>
        <v>1- Colhido</v>
      </c>
      <c r="V1492" s="1" t="str">
        <f>IF(ESTIMATIVA[[#This Row],[QT_AREA_REST1]]&gt;0,"Reestimativa 1",IF(ESTIMATIVA[[#This Row],[QT_AREA_REAL]]=0,"Reestimativa 1","Realizado"))</f>
        <v>Reestimativa 1</v>
      </c>
      <c r="W1492" s="1" t="str">
        <f>IF(ESTIMATIVA[[#This Row],[QT_AREA_REST2]]&gt;0,"Reestimativa 2",IF(ESTIMATIVA[[#This Row],[QT_AREA_REAL]]=0,"Reestimativa 2","Realizado"))</f>
        <v>Reestimativa 2</v>
      </c>
      <c r="X1492" s="1">
        <f>ESTIMATIVA[[#This Row],[QT_AREA_EST]]</f>
        <v>25.06</v>
      </c>
      <c r="Y1492" s="1">
        <f>IF(ESTIMATIVA[[#This Row],[QT_AREA_REST1]]&gt;0,ESTIMATIVA[[#This Row],[QT_AREA_REST1]],
  IF(ESTIMATIVA[[#This Row],[QT_AREA_REAL]]&gt;0,ESTIMATIVA[[#This Row],[QT_AREA_REAL]],ESTIMATIVA[[#This Row],[QT_AREA_EST]]))</f>
        <v>25.06</v>
      </c>
      <c r="Z149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25.06</v>
      </c>
      <c r="AA1492" s="1">
        <f>ESTIMATIVA[[#This Row],[QT_CANA_EST]]</f>
        <v>1027.46</v>
      </c>
      <c r="AB1492" s="1">
        <f>IF(ESTIMATIVA[[#This Row],[QT_CANA_REST1]]&gt;0,ESTIMATIVA[[#This Row],[QT_CANA_REST1]],
  IF(ESTIMATIVA[[#This Row],[QT_CANA_REAL]]&gt;0,ESTIMATIVA[[#This Row],[QT_CANA_REAL]],ESTIMATIVA[[#This Row],[QT_CANA_EST]]))</f>
        <v>1127.7</v>
      </c>
      <c r="AC149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1127.7</v>
      </c>
      <c r="AD1492" s="1">
        <f>IF(ESTIMATIVA[[#This Row],[QT_AREA_REAL]]&gt;0,ESTIMATIVA[[#This Row],[QT_CANA_REAL]],ESTIMATIVA[[#This Row],[QT_CANA_EST]])</f>
        <v>1214.31</v>
      </c>
      <c r="AE1492" s="1">
        <f>IF(ESTIMATIVA[[#This Row],[QT_AREA_REAL]]&gt;0,ESTIMATIVA[[#This Row],[QT_CANA_REAL]],ESTIMATIVA[[#This Row],[QT_CANA_REST1]])</f>
        <v>1214.31</v>
      </c>
      <c r="AF1492" s="1">
        <f>IF(ESTIMATIVA[[#This Row],[QT_AREA_REAL]]&gt;0,ESTIMATIVA[[#This Row],[QT_CANA_REAL]],ESTIMATIVA[[#This Row],[QT_CANA_REST2]])</f>
        <v>1214.31</v>
      </c>
      <c r="AG1492" s="1" t="str">
        <f>IF(COUNTIFS(GEADA!A:A,VALUE(ESTIMATIVA[[#This Row],[CD_UPNIVEL1]]&amp;TEXT(ESTIMATIVA[[#This Row],[CD_UPNIVEL3]],"0000")))&gt;0,"S","N")</f>
        <v>N</v>
      </c>
      <c r="AH149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92" s="55" t="str">
        <f>IF(ESTIMATIVA[[#This Row],[TP_CULTIVO]]="Irrigado",_xlfn.MAXIFS(IRRIGADO!J:J,IRRIGADO!C:C,ESTIMATIVA[[#This Row],[CD_UPNIVEL1]],IRRIGADO!E:E,ESTIMATIVA[[#This Row],[CD_UPNIVEL3]]),"")</f>
        <v/>
      </c>
      <c r="AJ149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92" s="1">
        <f>COUNTIFS(Apresentação!$E$23:$E$29,ESTIMATIVA[[#This Row],[CD_UPNIVEL1]])</f>
        <v>0</v>
      </c>
    </row>
    <row r="1493" spans="1:37" x14ac:dyDescent="0.3">
      <c r="A1493">
        <v>20569</v>
      </c>
      <c r="B1493" t="s">
        <v>82</v>
      </c>
      <c r="C1493">
        <v>96</v>
      </c>
      <c r="D1493">
        <v>6</v>
      </c>
      <c r="E1493" t="s">
        <v>261</v>
      </c>
      <c r="F1493" s="85" t="s">
        <v>332</v>
      </c>
      <c r="G1493"/>
      <c r="H1493" t="s">
        <v>295</v>
      </c>
      <c r="I1493" t="s">
        <v>194</v>
      </c>
      <c r="J1493" t="s">
        <v>176</v>
      </c>
      <c r="K1493" s="1">
        <v>7.7</v>
      </c>
      <c r="L1493" s="1">
        <v>7.7</v>
      </c>
      <c r="M1493" s="1">
        <v>7.7</v>
      </c>
      <c r="N1493" s="1">
        <v>7.7</v>
      </c>
      <c r="O1493" s="1">
        <v>315.7</v>
      </c>
      <c r="P1493" s="1">
        <v>346.5</v>
      </c>
      <c r="Q1493" s="1">
        <v>346.5</v>
      </c>
      <c r="R1493" s="1">
        <v>373.48</v>
      </c>
      <c r="S1493" t="s">
        <v>12</v>
      </c>
      <c r="T1493" s="13">
        <v>45956</v>
      </c>
      <c r="U1493" s="1" t="str">
        <f>IF(ESTIMATIVA[[#This Row],[QT_AREA_REAL]]&gt;0,"1- Colhido","2- à Colher")</f>
        <v>1- Colhido</v>
      </c>
      <c r="V1493" s="1" t="str">
        <f>IF(ESTIMATIVA[[#This Row],[QT_AREA_REST1]]&gt;0,"Reestimativa 1",IF(ESTIMATIVA[[#This Row],[QT_AREA_REAL]]=0,"Reestimativa 1","Realizado"))</f>
        <v>Reestimativa 1</v>
      </c>
      <c r="W1493" s="1" t="str">
        <f>IF(ESTIMATIVA[[#This Row],[QT_AREA_REST2]]&gt;0,"Reestimativa 2",IF(ESTIMATIVA[[#This Row],[QT_AREA_REAL]]=0,"Reestimativa 2","Realizado"))</f>
        <v>Reestimativa 2</v>
      </c>
      <c r="X1493" s="1">
        <f>ESTIMATIVA[[#This Row],[QT_AREA_EST]]</f>
        <v>7.7</v>
      </c>
      <c r="Y1493" s="1">
        <f>IF(ESTIMATIVA[[#This Row],[QT_AREA_REST1]]&gt;0,ESTIMATIVA[[#This Row],[QT_AREA_REST1]],
  IF(ESTIMATIVA[[#This Row],[QT_AREA_REAL]]&gt;0,ESTIMATIVA[[#This Row],[QT_AREA_REAL]],ESTIMATIVA[[#This Row],[QT_AREA_EST]]))</f>
        <v>7.7</v>
      </c>
      <c r="Z149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7.7</v>
      </c>
      <c r="AA1493" s="1">
        <f>ESTIMATIVA[[#This Row],[QT_CANA_EST]]</f>
        <v>315.7</v>
      </c>
      <c r="AB1493" s="1">
        <f>IF(ESTIMATIVA[[#This Row],[QT_CANA_REST1]]&gt;0,ESTIMATIVA[[#This Row],[QT_CANA_REST1]],
  IF(ESTIMATIVA[[#This Row],[QT_CANA_REAL]]&gt;0,ESTIMATIVA[[#This Row],[QT_CANA_REAL]],ESTIMATIVA[[#This Row],[QT_CANA_EST]]))</f>
        <v>346.5</v>
      </c>
      <c r="AC149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346.5</v>
      </c>
      <c r="AD1493" s="1">
        <f>IF(ESTIMATIVA[[#This Row],[QT_AREA_REAL]]&gt;0,ESTIMATIVA[[#This Row],[QT_CANA_REAL]],ESTIMATIVA[[#This Row],[QT_CANA_EST]])</f>
        <v>373.48</v>
      </c>
      <c r="AE1493" s="1">
        <f>IF(ESTIMATIVA[[#This Row],[QT_AREA_REAL]]&gt;0,ESTIMATIVA[[#This Row],[QT_CANA_REAL]],ESTIMATIVA[[#This Row],[QT_CANA_REST1]])</f>
        <v>373.48</v>
      </c>
      <c r="AF1493" s="1">
        <f>IF(ESTIMATIVA[[#This Row],[QT_AREA_REAL]]&gt;0,ESTIMATIVA[[#This Row],[QT_CANA_REAL]],ESTIMATIVA[[#This Row],[QT_CANA_REST2]])</f>
        <v>373.48</v>
      </c>
      <c r="AG1493" s="1" t="str">
        <f>IF(COUNTIFS(GEADA!A:A,VALUE(ESTIMATIVA[[#This Row],[CD_UPNIVEL1]]&amp;TEXT(ESTIMATIVA[[#This Row],[CD_UPNIVEL3]],"0000")))&gt;0,"S","N")</f>
        <v>N</v>
      </c>
      <c r="AH149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93" s="55" t="str">
        <f>IF(ESTIMATIVA[[#This Row],[TP_CULTIVO]]="Irrigado",_xlfn.MAXIFS(IRRIGADO!J:J,IRRIGADO!C:C,ESTIMATIVA[[#This Row],[CD_UPNIVEL1]],IRRIGADO!E:E,ESTIMATIVA[[#This Row],[CD_UPNIVEL3]]),"")</f>
        <v/>
      </c>
      <c r="AJ149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93" s="1">
        <f>COUNTIFS(Apresentação!$E$23:$E$29,ESTIMATIVA[[#This Row],[CD_UPNIVEL1]])</f>
        <v>0</v>
      </c>
    </row>
    <row r="1494" spans="1:37" x14ac:dyDescent="0.3">
      <c r="A1494">
        <v>20569</v>
      </c>
      <c r="B1494" t="s">
        <v>82</v>
      </c>
      <c r="C1494">
        <v>97</v>
      </c>
      <c r="D1494">
        <v>5</v>
      </c>
      <c r="E1494" t="s">
        <v>268</v>
      </c>
      <c r="F1494" s="85" t="s">
        <v>331</v>
      </c>
      <c r="G1494"/>
      <c r="H1494" t="s">
        <v>295</v>
      </c>
      <c r="I1494" t="s">
        <v>205</v>
      </c>
      <c r="J1494" t="s">
        <v>176</v>
      </c>
      <c r="K1494" s="1">
        <v>3.11</v>
      </c>
      <c r="L1494" s="1">
        <v>3.11</v>
      </c>
      <c r="M1494" s="1">
        <v>0</v>
      </c>
      <c r="N1494" s="1">
        <v>3.11</v>
      </c>
      <c r="O1494" s="1">
        <v>127.51</v>
      </c>
      <c r="P1494" s="1">
        <v>139.94999999999999</v>
      </c>
      <c r="Q1494" s="1">
        <v>0</v>
      </c>
      <c r="R1494" s="1">
        <v>167.44</v>
      </c>
      <c r="S1494" t="s">
        <v>12</v>
      </c>
      <c r="T1494" s="13">
        <v>45900</v>
      </c>
      <c r="U1494" s="1" t="str">
        <f>IF(ESTIMATIVA[[#This Row],[QT_AREA_REAL]]&gt;0,"1- Colhido","2- à Colher")</f>
        <v>1- Colhido</v>
      </c>
      <c r="V1494" s="1" t="str">
        <f>IF(ESTIMATIVA[[#This Row],[QT_AREA_REST1]]&gt;0,"Reestimativa 1",IF(ESTIMATIVA[[#This Row],[QT_AREA_REAL]]=0,"Reestimativa 1","Realizado"))</f>
        <v>Reestimativa 1</v>
      </c>
      <c r="W1494" s="1" t="str">
        <f>IF(ESTIMATIVA[[#This Row],[QT_AREA_REST2]]&gt;0,"Reestimativa 2",IF(ESTIMATIVA[[#This Row],[QT_AREA_REAL]]=0,"Reestimativa 2","Realizado"))</f>
        <v>Realizado</v>
      </c>
      <c r="X1494" s="1">
        <f>ESTIMATIVA[[#This Row],[QT_AREA_EST]]</f>
        <v>3.11</v>
      </c>
      <c r="Y1494" s="1">
        <f>IF(ESTIMATIVA[[#This Row],[QT_AREA_REST1]]&gt;0,ESTIMATIVA[[#This Row],[QT_AREA_REST1]],
  IF(ESTIMATIVA[[#This Row],[QT_AREA_REAL]]&gt;0,ESTIMATIVA[[#This Row],[QT_AREA_REAL]],ESTIMATIVA[[#This Row],[QT_AREA_EST]]))</f>
        <v>3.11</v>
      </c>
      <c r="Z149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3.11</v>
      </c>
      <c r="AA1494" s="1">
        <f>ESTIMATIVA[[#This Row],[QT_CANA_EST]]</f>
        <v>127.51</v>
      </c>
      <c r="AB1494" s="1">
        <f>IF(ESTIMATIVA[[#This Row],[QT_CANA_REST1]]&gt;0,ESTIMATIVA[[#This Row],[QT_CANA_REST1]],
  IF(ESTIMATIVA[[#This Row],[QT_CANA_REAL]]&gt;0,ESTIMATIVA[[#This Row],[QT_CANA_REAL]],ESTIMATIVA[[#This Row],[QT_CANA_EST]]))</f>
        <v>139.94999999999999</v>
      </c>
      <c r="AC149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167.44</v>
      </c>
      <c r="AD1494" s="1">
        <f>IF(ESTIMATIVA[[#This Row],[QT_AREA_REAL]]&gt;0,ESTIMATIVA[[#This Row],[QT_CANA_REAL]],ESTIMATIVA[[#This Row],[QT_CANA_EST]])</f>
        <v>167.44</v>
      </c>
      <c r="AE1494" s="1">
        <f>IF(ESTIMATIVA[[#This Row],[QT_AREA_REAL]]&gt;0,ESTIMATIVA[[#This Row],[QT_CANA_REAL]],ESTIMATIVA[[#This Row],[QT_CANA_REST1]])</f>
        <v>167.44</v>
      </c>
      <c r="AF1494" s="1">
        <f>IF(ESTIMATIVA[[#This Row],[QT_AREA_REAL]]&gt;0,ESTIMATIVA[[#This Row],[QT_CANA_REAL]],ESTIMATIVA[[#This Row],[QT_CANA_REST2]])</f>
        <v>167.44</v>
      </c>
      <c r="AG1494" s="1" t="str">
        <f>IF(COUNTIFS(GEADA!A:A,VALUE(ESTIMATIVA[[#This Row],[CD_UPNIVEL1]]&amp;TEXT(ESTIMATIVA[[#This Row],[CD_UPNIVEL3]],"0000")))&gt;0,"S","N")</f>
        <v>N</v>
      </c>
      <c r="AH149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94" s="55" t="str">
        <f>IF(ESTIMATIVA[[#This Row],[TP_CULTIVO]]="Irrigado",_xlfn.MAXIFS(IRRIGADO!J:J,IRRIGADO!C:C,ESTIMATIVA[[#This Row],[CD_UPNIVEL1]],IRRIGADO!E:E,ESTIMATIVA[[#This Row],[CD_UPNIVEL3]]),"")</f>
        <v/>
      </c>
      <c r="AJ149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94" s="1">
        <f>COUNTIFS(Apresentação!$E$23:$E$29,ESTIMATIVA[[#This Row],[CD_UPNIVEL1]])</f>
        <v>0</v>
      </c>
    </row>
    <row r="1495" spans="1:37" x14ac:dyDescent="0.3">
      <c r="A1495">
        <v>20569</v>
      </c>
      <c r="B1495" t="s">
        <v>82</v>
      </c>
      <c r="C1495">
        <v>98</v>
      </c>
      <c r="D1495">
        <v>4</v>
      </c>
      <c r="E1495" t="s">
        <v>265</v>
      </c>
      <c r="F1495" s="85" t="s">
        <v>331</v>
      </c>
      <c r="G1495"/>
      <c r="H1495" t="s">
        <v>295</v>
      </c>
      <c r="I1495" t="s">
        <v>205</v>
      </c>
      <c r="J1495" t="s">
        <v>176</v>
      </c>
      <c r="K1495" s="1">
        <v>25.64</v>
      </c>
      <c r="L1495" s="1">
        <v>25.64</v>
      </c>
      <c r="M1495" s="1">
        <v>0</v>
      </c>
      <c r="N1495" s="1">
        <v>25.64</v>
      </c>
      <c r="O1495" s="1">
        <v>1999.92</v>
      </c>
      <c r="P1495" s="1">
        <v>1999.92</v>
      </c>
      <c r="Q1495" s="1">
        <v>0</v>
      </c>
      <c r="R1495" s="1">
        <v>2393.67</v>
      </c>
      <c r="S1495" t="s">
        <v>12</v>
      </c>
      <c r="T1495" s="13">
        <v>45900</v>
      </c>
      <c r="U1495" s="1" t="str">
        <f>IF(ESTIMATIVA[[#This Row],[QT_AREA_REAL]]&gt;0,"1- Colhido","2- à Colher")</f>
        <v>1- Colhido</v>
      </c>
      <c r="V1495" s="1" t="str">
        <f>IF(ESTIMATIVA[[#This Row],[QT_AREA_REST1]]&gt;0,"Reestimativa 1",IF(ESTIMATIVA[[#This Row],[QT_AREA_REAL]]=0,"Reestimativa 1","Realizado"))</f>
        <v>Reestimativa 1</v>
      </c>
      <c r="W1495" s="1" t="str">
        <f>IF(ESTIMATIVA[[#This Row],[QT_AREA_REST2]]&gt;0,"Reestimativa 2",IF(ESTIMATIVA[[#This Row],[QT_AREA_REAL]]=0,"Reestimativa 2","Realizado"))</f>
        <v>Realizado</v>
      </c>
      <c r="X1495" s="1">
        <f>ESTIMATIVA[[#This Row],[QT_AREA_EST]]</f>
        <v>25.64</v>
      </c>
      <c r="Y1495" s="1">
        <f>IF(ESTIMATIVA[[#This Row],[QT_AREA_REST1]]&gt;0,ESTIMATIVA[[#This Row],[QT_AREA_REST1]],
  IF(ESTIMATIVA[[#This Row],[QT_AREA_REAL]]&gt;0,ESTIMATIVA[[#This Row],[QT_AREA_REAL]],ESTIMATIVA[[#This Row],[QT_AREA_EST]]))</f>
        <v>25.64</v>
      </c>
      <c r="Z149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25.64</v>
      </c>
      <c r="AA1495" s="1">
        <f>ESTIMATIVA[[#This Row],[QT_CANA_EST]]</f>
        <v>1999.92</v>
      </c>
      <c r="AB1495" s="1">
        <f>IF(ESTIMATIVA[[#This Row],[QT_CANA_REST1]]&gt;0,ESTIMATIVA[[#This Row],[QT_CANA_REST1]],
  IF(ESTIMATIVA[[#This Row],[QT_CANA_REAL]]&gt;0,ESTIMATIVA[[#This Row],[QT_CANA_REAL]],ESTIMATIVA[[#This Row],[QT_CANA_EST]]))</f>
        <v>1999.92</v>
      </c>
      <c r="AC149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2393.67</v>
      </c>
      <c r="AD1495" s="1">
        <f>IF(ESTIMATIVA[[#This Row],[QT_AREA_REAL]]&gt;0,ESTIMATIVA[[#This Row],[QT_CANA_REAL]],ESTIMATIVA[[#This Row],[QT_CANA_EST]])</f>
        <v>2393.67</v>
      </c>
      <c r="AE1495" s="1">
        <f>IF(ESTIMATIVA[[#This Row],[QT_AREA_REAL]]&gt;0,ESTIMATIVA[[#This Row],[QT_CANA_REAL]],ESTIMATIVA[[#This Row],[QT_CANA_REST1]])</f>
        <v>2393.67</v>
      </c>
      <c r="AF1495" s="1">
        <f>IF(ESTIMATIVA[[#This Row],[QT_AREA_REAL]]&gt;0,ESTIMATIVA[[#This Row],[QT_CANA_REAL]],ESTIMATIVA[[#This Row],[QT_CANA_REST2]])</f>
        <v>2393.67</v>
      </c>
      <c r="AG1495" s="1" t="str">
        <f>IF(COUNTIFS(GEADA!A:A,VALUE(ESTIMATIVA[[#This Row],[CD_UPNIVEL1]]&amp;TEXT(ESTIMATIVA[[#This Row],[CD_UPNIVEL3]],"0000")))&gt;0,"S","N")</f>
        <v>N</v>
      </c>
      <c r="AH149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95" s="55" t="str">
        <f>IF(ESTIMATIVA[[#This Row],[TP_CULTIVO]]="Irrigado",_xlfn.MAXIFS(IRRIGADO!J:J,IRRIGADO!C:C,ESTIMATIVA[[#This Row],[CD_UPNIVEL1]],IRRIGADO!E:E,ESTIMATIVA[[#This Row],[CD_UPNIVEL3]]),"")</f>
        <v/>
      </c>
      <c r="AJ149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95" s="1">
        <f>COUNTIFS(Apresentação!$E$23:$E$29,ESTIMATIVA[[#This Row],[CD_UPNIVEL1]])</f>
        <v>0</v>
      </c>
    </row>
    <row r="1496" spans="1:37" x14ac:dyDescent="0.3">
      <c r="A1496">
        <v>20569</v>
      </c>
      <c r="B1496" t="s">
        <v>82</v>
      </c>
      <c r="C1496">
        <v>99</v>
      </c>
      <c r="D1496">
        <v>4</v>
      </c>
      <c r="E1496" t="s">
        <v>265</v>
      </c>
      <c r="F1496" s="85" t="s">
        <v>331</v>
      </c>
      <c r="G1496"/>
      <c r="H1496" t="s">
        <v>295</v>
      </c>
      <c r="I1496" t="s">
        <v>205</v>
      </c>
      <c r="J1496" t="s">
        <v>176</v>
      </c>
      <c r="K1496" s="1">
        <v>11.71</v>
      </c>
      <c r="L1496" s="1">
        <v>11.71</v>
      </c>
      <c r="M1496" s="1">
        <v>0</v>
      </c>
      <c r="N1496" s="1">
        <v>11.71</v>
      </c>
      <c r="O1496" s="1">
        <v>913.38</v>
      </c>
      <c r="P1496" s="1">
        <v>913.38</v>
      </c>
      <c r="Q1496" s="1">
        <v>0</v>
      </c>
      <c r="R1496" s="1">
        <v>1092.6400000000001</v>
      </c>
      <c r="S1496" t="s">
        <v>12</v>
      </c>
      <c r="T1496" s="13">
        <v>45900</v>
      </c>
      <c r="U1496" s="1" t="str">
        <f>IF(ESTIMATIVA[[#This Row],[QT_AREA_REAL]]&gt;0,"1- Colhido","2- à Colher")</f>
        <v>1- Colhido</v>
      </c>
      <c r="V1496" s="1" t="str">
        <f>IF(ESTIMATIVA[[#This Row],[QT_AREA_REST1]]&gt;0,"Reestimativa 1",IF(ESTIMATIVA[[#This Row],[QT_AREA_REAL]]=0,"Reestimativa 1","Realizado"))</f>
        <v>Reestimativa 1</v>
      </c>
      <c r="W1496" s="1" t="str">
        <f>IF(ESTIMATIVA[[#This Row],[QT_AREA_REST2]]&gt;0,"Reestimativa 2",IF(ESTIMATIVA[[#This Row],[QT_AREA_REAL]]=0,"Reestimativa 2","Realizado"))</f>
        <v>Realizado</v>
      </c>
      <c r="X1496" s="1">
        <f>ESTIMATIVA[[#This Row],[QT_AREA_EST]]</f>
        <v>11.71</v>
      </c>
      <c r="Y1496" s="1">
        <f>IF(ESTIMATIVA[[#This Row],[QT_AREA_REST1]]&gt;0,ESTIMATIVA[[#This Row],[QT_AREA_REST1]],
  IF(ESTIMATIVA[[#This Row],[QT_AREA_REAL]]&gt;0,ESTIMATIVA[[#This Row],[QT_AREA_REAL]],ESTIMATIVA[[#This Row],[QT_AREA_EST]]))</f>
        <v>11.71</v>
      </c>
      <c r="Z149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11.71</v>
      </c>
      <c r="AA1496" s="1">
        <f>ESTIMATIVA[[#This Row],[QT_CANA_EST]]</f>
        <v>913.38</v>
      </c>
      <c r="AB1496" s="1">
        <f>IF(ESTIMATIVA[[#This Row],[QT_CANA_REST1]]&gt;0,ESTIMATIVA[[#This Row],[QT_CANA_REST1]],
  IF(ESTIMATIVA[[#This Row],[QT_CANA_REAL]]&gt;0,ESTIMATIVA[[#This Row],[QT_CANA_REAL]],ESTIMATIVA[[#This Row],[QT_CANA_EST]]))</f>
        <v>913.38</v>
      </c>
      <c r="AC149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1092.6400000000001</v>
      </c>
      <c r="AD1496" s="1">
        <f>IF(ESTIMATIVA[[#This Row],[QT_AREA_REAL]]&gt;0,ESTIMATIVA[[#This Row],[QT_CANA_REAL]],ESTIMATIVA[[#This Row],[QT_CANA_EST]])</f>
        <v>1092.6400000000001</v>
      </c>
      <c r="AE1496" s="1">
        <f>IF(ESTIMATIVA[[#This Row],[QT_AREA_REAL]]&gt;0,ESTIMATIVA[[#This Row],[QT_CANA_REAL]],ESTIMATIVA[[#This Row],[QT_CANA_REST1]])</f>
        <v>1092.6400000000001</v>
      </c>
      <c r="AF1496" s="1">
        <f>IF(ESTIMATIVA[[#This Row],[QT_AREA_REAL]]&gt;0,ESTIMATIVA[[#This Row],[QT_CANA_REAL]],ESTIMATIVA[[#This Row],[QT_CANA_REST2]])</f>
        <v>1092.6400000000001</v>
      </c>
      <c r="AG1496" s="1" t="str">
        <f>IF(COUNTIFS(GEADA!A:A,VALUE(ESTIMATIVA[[#This Row],[CD_UPNIVEL1]]&amp;TEXT(ESTIMATIVA[[#This Row],[CD_UPNIVEL3]],"0000")))&gt;0,"S","N")</f>
        <v>N</v>
      </c>
      <c r="AH149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96" s="55" t="str">
        <f>IF(ESTIMATIVA[[#This Row],[TP_CULTIVO]]="Irrigado",_xlfn.MAXIFS(IRRIGADO!J:J,IRRIGADO!C:C,ESTIMATIVA[[#This Row],[CD_UPNIVEL1]],IRRIGADO!E:E,ESTIMATIVA[[#This Row],[CD_UPNIVEL3]]),"")</f>
        <v/>
      </c>
      <c r="AJ149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96" s="1">
        <f>COUNTIFS(Apresentação!$E$23:$E$29,ESTIMATIVA[[#This Row],[CD_UPNIVEL1]])</f>
        <v>0</v>
      </c>
    </row>
    <row r="1497" spans="1:37" x14ac:dyDescent="0.3">
      <c r="A1497">
        <v>20569</v>
      </c>
      <c r="B1497" t="s">
        <v>82</v>
      </c>
      <c r="C1497">
        <v>100</v>
      </c>
      <c r="D1497">
        <v>4</v>
      </c>
      <c r="E1497" t="s">
        <v>265</v>
      </c>
      <c r="F1497" s="85" t="s">
        <v>332</v>
      </c>
      <c r="G1497"/>
      <c r="H1497" t="s">
        <v>295</v>
      </c>
      <c r="I1497" t="s">
        <v>212</v>
      </c>
      <c r="J1497" t="s">
        <v>176</v>
      </c>
      <c r="K1497" s="1">
        <v>19.059999999999999</v>
      </c>
      <c r="L1497" s="1">
        <v>19.059999999999999</v>
      </c>
      <c r="M1497" s="1">
        <v>0</v>
      </c>
      <c r="N1497" s="1">
        <v>19.059999999999999</v>
      </c>
      <c r="O1497" s="1">
        <v>1143.5999999999999</v>
      </c>
      <c r="P1497" s="1">
        <v>1200.78</v>
      </c>
      <c r="Q1497" s="1">
        <v>0</v>
      </c>
      <c r="R1497" s="1">
        <v>1437.35</v>
      </c>
      <c r="S1497" t="s">
        <v>12</v>
      </c>
      <c r="T1497" s="13">
        <v>45900</v>
      </c>
      <c r="U1497" s="1" t="str">
        <f>IF(ESTIMATIVA[[#This Row],[QT_AREA_REAL]]&gt;0,"1- Colhido","2- à Colher")</f>
        <v>1- Colhido</v>
      </c>
      <c r="V1497" s="1" t="str">
        <f>IF(ESTIMATIVA[[#This Row],[QT_AREA_REST1]]&gt;0,"Reestimativa 1",IF(ESTIMATIVA[[#This Row],[QT_AREA_REAL]]=0,"Reestimativa 1","Realizado"))</f>
        <v>Reestimativa 1</v>
      </c>
      <c r="W1497" s="1" t="str">
        <f>IF(ESTIMATIVA[[#This Row],[QT_AREA_REST2]]&gt;0,"Reestimativa 2",IF(ESTIMATIVA[[#This Row],[QT_AREA_REAL]]=0,"Reestimativa 2","Realizado"))</f>
        <v>Realizado</v>
      </c>
      <c r="X1497" s="1">
        <f>ESTIMATIVA[[#This Row],[QT_AREA_EST]]</f>
        <v>19.059999999999999</v>
      </c>
      <c r="Y1497" s="1">
        <f>IF(ESTIMATIVA[[#This Row],[QT_AREA_REST1]]&gt;0,ESTIMATIVA[[#This Row],[QT_AREA_REST1]],
  IF(ESTIMATIVA[[#This Row],[QT_AREA_REAL]]&gt;0,ESTIMATIVA[[#This Row],[QT_AREA_REAL]],ESTIMATIVA[[#This Row],[QT_AREA_EST]]))</f>
        <v>19.059999999999999</v>
      </c>
      <c r="Z149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19.059999999999999</v>
      </c>
      <c r="AA1497" s="1">
        <f>ESTIMATIVA[[#This Row],[QT_CANA_EST]]</f>
        <v>1143.5999999999999</v>
      </c>
      <c r="AB1497" s="1">
        <f>IF(ESTIMATIVA[[#This Row],[QT_CANA_REST1]]&gt;0,ESTIMATIVA[[#This Row],[QT_CANA_REST1]],
  IF(ESTIMATIVA[[#This Row],[QT_CANA_REAL]]&gt;0,ESTIMATIVA[[#This Row],[QT_CANA_REAL]],ESTIMATIVA[[#This Row],[QT_CANA_EST]]))</f>
        <v>1200.78</v>
      </c>
      <c r="AC149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1437.35</v>
      </c>
      <c r="AD1497" s="1">
        <f>IF(ESTIMATIVA[[#This Row],[QT_AREA_REAL]]&gt;0,ESTIMATIVA[[#This Row],[QT_CANA_REAL]],ESTIMATIVA[[#This Row],[QT_CANA_EST]])</f>
        <v>1437.35</v>
      </c>
      <c r="AE1497" s="1">
        <f>IF(ESTIMATIVA[[#This Row],[QT_AREA_REAL]]&gt;0,ESTIMATIVA[[#This Row],[QT_CANA_REAL]],ESTIMATIVA[[#This Row],[QT_CANA_REST1]])</f>
        <v>1437.35</v>
      </c>
      <c r="AF1497" s="1">
        <f>IF(ESTIMATIVA[[#This Row],[QT_AREA_REAL]]&gt;0,ESTIMATIVA[[#This Row],[QT_CANA_REAL]],ESTIMATIVA[[#This Row],[QT_CANA_REST2]])</f>
        <v>1437.35</v>
      </c>
      <c r="AG1497" s="1" t="str">
        <f>IF(COUNTIFS(GEADA!A:A,VALUE(ESTIMATIVA[[#This Row],[CD_UPNIVEL1]]&amp;TEXT(ESTIMATIVA[[#This Row],[CD_UPNIVEL3]],"0000")))&gt;0,"S","N")</f>
        <v>N</v>
      </c>
      <c r="AH149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97" s="55" t="str">
        <f>IF(ESTIMATIVA[[#This Row],[TP_CULTIVO]]="Irrigado",_xlfn.MAXIFS(IRRIGADO!J:J,IRRIGADO!C:C,ESTIMATIVA[[#This Row],[CD_UPNIVEL1]],IRRIGADO!E:E,ESTIMATIVA[[#This Row],[CD_UPNIVEL3]]),"")</f>
        <v/>
      </c>
      <c r="AJ149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97" s="1">
        <f>COUNTIFS(Apresentação!$E$23:$E$29,ESTIMATIVA[[#This Row],[CD_UPNIVEL1]])</f>
        <v>0</v>
      </c>
    </row>
    <row r="1498" spans="1:37" x14ac:dyDescent="0.3">
      <c r="A1498">
        <v>20569</v>
      </c>
      <c r="B1498" t="s">
        <v>82</v>
      </c>
      <c r="C1498">
        <v>101</v>
      </c>
      <c r="D1498">
        <v>4</v>
      </c>
      <c r="E1498" t="s">
        <v>265</v>
      </c>
      <c r="F1498" s="85" t="s">
        <v>331</v>
      </c>
      <c r="G1498"/>
      <c r="H1498" t="s">
        <v>295</v>
      </c>
      <c r="I1498" t="s">
        <v>212</v>
      </c>
      <c r="J1498" t="s">
        <v>176</v>
      </c>
      <c r="K1498" s="1">
        <v>5.67</v>
      </c>
      <c r="L1498" s="1">
        <v>5.67</v>
      </c>
      <c r="M1498" s="1">
        <v>0</v>
      </c>
      <c r="N1498" s="1">
        <v>5.67</v>
      </c>
      <c r="O1498" s="1">
        <v>340.2</v>
      </c>
      <c r="P1498" s="1">
        <v>357.21</v>
      </c>
      <c r="Q1498" s="1">
        <v>0</v>
      </c>
      <c r="R1498" s="1">
        <v>427.18</v>
      </c>
      <c r="S1498" t="s">
        <v>12</v>
      </c>
      <c r="T1498" s="13">
        <v>45900</v>
      </c>
      <c r="U1498" s="1" t="str">
        <f>IF(ESTIMATIVA[[#This Row],[QT_AREA_REAL]]&gt;0,"1- Colhido","2- à Colher")</f>
        <v>1- Colhido</v>
      </c>
      <c r="V1498" s="1" t="str">
        <f>IF(ESTIMATIVA[[#This Row],[QT_AREA_REST1]]&gt;0,"Reestimativa 1",IF(ESTIMATIVA[[#This Row],[QT_AREA_REAL]]=0,"Reestimativa 1","Realizado"))</f>
        <v>Reestimativa 1</v>
      </c>
      <c r="W1498" s="1" t="str">
        <f>IF(ESTIMATIVA[[#This Row],[QT_AREA_REST2]]&gt;0,"Reestimativa 2",IF(ESTIMATIVA[[#This Row],[QT_AREA_REAL]]=0,"Reestimativa 2","Realizado"))</f>
        <v>Realizado</v>
      </c>
      <c r="X1498" s="1">
        <f>ESTIMATIVA[[#This Row],[QT_AREA_EST]]</f>
        <v>5.67</v>
      </c>
      <c r="Y1498" s="1">
        <f>IF(ESTIMATIVA[[#This Row],[QT_AREA_REST1]]&gt;0,ESTIMATIVA[[#This Row],[QT_AREA_REST1]],
  IF(ESTIMATIVA[[#This Row],[QT_AREA_REAL]]&gt;0,ESTIMATIVA[[#This Row],[QT_AREA_REAL]],ESTIMATIVA[[#This Row],[QT_AREA_EST]]))</f>
        <v>5.67</v>
      </c>
      <c r="Z149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5.67</v>
      </c>
      <c r="AA1498" s="1">
        <f>ESTIMATIVA[[#This Row],[QT_CANA_EST]]</f>
        <v>340.2</v>
      </c>
      <c r="AB1498" s="1">
        <f>IF(ESTIMATIVA[[#This Row],[QT_CANA_REST1]]&gt;0,ESTIMATIVA[[#This Row],[QT_CANA_REST1]],
  IF(ESTIMATIVA[[#This Row],[QT_CANA_REAL]]&gt;0,ESTIMATIVA[[#This Row],[QT_CANA_REAL]],ESTIMATIVA[[#This Row],[QT_CANA_EST]]))</f>
        <v>357.21</v>
      </c>
      <c r="AC149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427.18</v>
      </c>
      <c r="AD1498" s="1">
        <f>IF(ESTIMATIVA[[#This Row],[QT_AREA_REAL]]&gt;0,ESTIMATIVA[[#This Row],[QT_CANA_REAL]],ESTIMATIVA[[#This Row],[QT_CANA_EST]])</f>
        <v>427.18</v>
      </c>
      <c r="AE1498" s="1">
        <f>IF(ESTIMATIVA[[#This Row],[QT_AREA_REAL]]&gt;0,ESTIMATIVA[[#This Row],[QT_CANA_REAL]],ESTIMATIVA[[#This Row],[QT_CANA_REST1]])</f>
        <v>427.18</v>
      </c>
      <c r="AF1498" s="1">
        <f>IF(ESTIMATIVA[[#This Row],[QT_AREA_REAL]]&gt;0,ESTIMATIVA[[#This Row],[QT_CANA_REAL]],ESTIMATIVA[[#This Row],[QT_CANA_REST2]])</f>
        <v>427.18</v>
      </c>
      <c r="AG1498" s="1" t="str">
        <f>IF(COUNTIFS(GEADA!A:A,VALUE(ESTIMATIVA[[#This Row],[CD_UPNIVEL1]]&amp;TEXT(ESTIMATIVA[[#This Row],[CD_UPNIVEL3]],"0000")))&gt;0,"S","N")</f>
        <v>N</v>
      </c>
      <c r="AH149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98" s="55" t="str">
        <f>IF(ESTIMATIVA[[#This Row],[TP_CULTIVO]]="Irrigado",_xlfn.MAXIFS(IRRIGADO!J:J,IRRIGADO!C:C,ESTIMATIVA[[#This Row],[CD_UPNIVEL1]],IRRIGADO!E:E,ESTIMATIVA[[#This Row],[CD_UPNIVEL3]]),"")</f>
        <v/>
      </c>
      <c r="AJ149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98" s="1">
        <f>COUNTIFS(Apresentação!$E$23:$E$29,ESTIMATIVA[[#This Row],[CD_UPNIVEL1]])</f>
        <v>0</v>
      </c>
    </row>
    <row r="1499" spans="1:37" x14ac:dyDescent="0.3">
      <c r="A1499">
        <v>20569</v>
      </c>
      <c r="B1499" t="s">
        <v>82</v>
      </c>
      <c r="C1499">
        <v>102</v>
      </c>
      <c r="D1499">
        <v>4</v>
      </c>
      <c r="E1499" t="s">
        <v>265</v>
      </c>
      <c r="F1499" s="85" t="s">
        <v>332</v>
      </c>
      <c r="G1499"/>
      <c r="H1499" t="s">
        <v>295</v>
      </c>
      <c r="I1499" t="s">
        <v>212</v>
      </c>
      <c r="J1499" t="s">
        <v>176</v>
      </c>
      <c r="K1499" s="1">
        <v>16.63</v>
      </c>
      <c r="L1499" s="1">
        <v>16.63</v>
      </c>
      <c r="M1499" s="1">
        <v>0</v>
      </c>
      <c r="N1499" s="1">
        <v>16.63</v>
      </c>
      <c r="O1499" s="1">
        <v>997.8</v>
      </c>
      <c r="P1499" s="1">
        <v>1047.69</v>
      </c>
      <c r="Q1499" s="1">
        <v>0</v>
      </c>
      <c r="R1499" s="1">
        <v>1254.22</v>
      </c>
      <c r="S1499" t="s">
        <v>12</v>
      </c>
      <c r="T1499" s="13">
        <v>45900</v>
      </c>
      <c r="U1499" s="1" t="str">
        <f>IF(ESTIMATIVA[[#This Row],[QT_AREA_REAL]]&gt;0,"1- Colhido","2- à Colher")</f>
        <v>1- Colhido</v>
      </c>
      <c r="V1499" s="1" t="str">
        <f>IF(ESTIMATIVA[[#This Row],[QT_AREA_REST1]]&gt;0,"Reestimativa 1",IF(ESTIMATIVA[[#This Row],[QT_AREA_REAL]]=0,"Reestimativa 1","Realizado"))</f>
        <v>Reestimativa 1</v>
      </c>
      <c r="W1499" s="1" t="str">
        <f>IF(ESTIMATIVA[[#This Row],[QT_AREA_REST2]]&gt;0,"Reestimativa 2",IF(ESTIMATIVA[[#This Row],[QT_AREA_REAL]]=0,"Reestimativa 2","Realizado"))</f>
        <v>Realizado</v>
      </c>
      <c r="X1499" s="1">
        <f>ESTIMATIVA[[#This Row],[QT_AREA_EST]]</f>
        <v>16.63</v>
      </c>
      <c r="Y1499" s="1">
        <f>IF(ESTIMATIVA[[#This Row],[QT_AREA_REST1]]&gt;0,ESTIMATIVA[[#This Row],[QT_AREA_REST1]],
  IF(ESTIMATIVA[[#This Row],[QT_AREA_REAL]]&gt;0,ESTIMATIVA[[#This Row],[QT_AREA_REAL]],ESTIMATIVA[[#This Row],[QT_AREA_EST]]))</f>
        <v>16.63</v>
      </c>
      <c r="Z149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16.63</v>
      </c>
      <c r="AA1499" s="1">
        <f>ESTIMATIVA[[#This Row],[QT_CANA_EST]]</f>
        <v>997.8</v>
      </c>
      <c r="AB1499" s="1">
        <f>IF(ESTIMATIVA[[#This Row],[QT_CANA_REST1]]&gt;0,ESTIMATIVA[[#This Row],[QT_CANA_REST1]],
  IF(ESTIMATIVA[[#This Row],[QT_CANA_REAL]]&gt;0,ESTIMATIVA[[#This Row],[QT_CANA_REAL]],ESTIMATIVA[[#This Row],[QT_CANA_EST]]))</f>
        <v>1047.69</v>
      </c>
      <c r="AC149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1254.22</v>
      </c>
      <c r="AD1499" s="1">
        <f>IF(ESTIMATIVA[[#This Row],[QT_AREA_REAL]]&gt;0,ESTIMATIVA[[#This Row],[QT_CANA_REAL]],ESTIMATIVA[[#This Row],[QT_CANA_EST]])</f>
        <v>1254.22</v>
      </c>
      <c r="AE1499" s="1">
        <f>IF(ESTIMATIVA[[#This Row],[QT_AREA_REAL]]&gt;0,ESTIMATIVA[[#This Row],[QT_CANA_REAL]],ESTIMATIVA[[#This Row],[QT_CANA_REST1]])</f>
        <v>1254.22</v>
      </c>
      <c r="AF1499" s="1">
        <f>IF(ESTIMATIVA[[#This Row],[QT_AREA_REAL]]&gt;0,ESTIMATIVA[[#This Row],[QT_CANA_REAL]],ESTIMATIVA[[#This Row],[QT_CANA_REST2]])</f>
        <v>1254.22</v>
      </c>
      <c r="AG1499" s="1" t="str">
        <f>IF(COUNTIFS(GEADA!A:A,VALUE(ESTIMATIVA[[#This Row],[CD_UPNIVEL1]]&amp;TEXT(ESTIMATIVA[[#This Row],[CD_UPNIVEL3]],"0000")))&gt;0,"S","N")</f>
        <v>N</v>
      </c>
      <c r="AH149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499" s="55" t="str">
        <f>IF(ESTIMATIVA[[#This Row],[TP_CULTIVO]]="Irrigado",_xlfn.MAXIFS(IRRIGADO!J:J,IRRIGADO!C:C,ESTIMATIVA[[#This Row],[CD_UPNIVEL1]],IRRIGADO!E:E,ESTIMATIVA[[#This Row],[CD_UPNIVEL3]]),"")</f>
        <v/>
      </c>
      <c r="AJ149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499" s="1">
        <f>COUNTIFS(Apresentação!$E$23:$E$29,ESTIMATIVA[[#This Row],[CD_UPNIVEL1]])</f>
        <v>0</v>
      </c>
    </row>
    <row r="1500" spans="1:37" x14ac:dyDescent="0.3">
      <c r="A1500">
        <v>20569</v>
      </c>
      <c r="B1500" t="s">
        <v>82</v>
      </c>
      <c r="C1500">
        <v>103</v>
      </c>
      <c r="D1500">
        <v>4</v>
      </c>
      <c r="E1500" t="s">
        <v>265</v>
      </c>
      <c r="F1500" s="85" t="s">
        <v>332</v>
      </c>
      <c r="G1500"/>
      <c r="H1500" t="s">
        <v>295</v>
      </c>
      <c r="I1500" t="s">
        <v>212</v>
      </c>
      <c r="J1500" t="s">
        <v>176</v>
      </c>
      <c r="K1500" s="1">
        <v>13.11</v>
      </c>
      <c r="L1500" s="1">
        <v>13.11</v>
      </c>
      <c r="M1500" s="1">
        <v>0</v>
      </c>
      <c r="N1500" s="1">
        <v>13.11</v>
      </c>
      <c r="O1500" s="1">
        <v>786.6</v>
      </c>
      <c r="P1500" s="1">
        <v>786.6</v>
      </c>
      <c r="Q1500" s="1">
        <v>0</v>
      </c>
      <c r="R1500" s="1">
        <v>942.7</v>
      </c>
      <c r="S1500" t="s">
        <v>12</v>
      </c>
      <c r="T1500" s="13">
        <v>45900</v>
      </c>
      <c r="U1500" s="1" t="str">
        <f>IF(ESTIMATIVA[[#This Row],[QT_AREA_REAL]]&gt;0,"1- Colhido","2- à Colher")</f>
        <v>1- Colhido</v>
      </c>
      <c r="V1500" s="1" t="str">
        <f>IF(ESTIMATIVA[[#This Row],[QT_AREA_REST1]]&gt;0,"Reestimativa 1",IF(ESTIMATIVA[[#This Row],[QT_AREA_REAL]]=0,"Reestimativa 1","Realizado"))</f>
        <v>Reestimativa 1</v>
      </c>
      <c r="W1500" s="1" t="str">
        <f>IF(ESTIMATIVA[[#This Row],[QT_AREA_REST2]]&gt;0,"Reestimativa 2",IF(ESTIMATIVA[[#This Row],[QT_AREA_REAL]]=0,"Reestimativa 2","Realizado"))</f>
        <v>Realizado</v>
      </c>
      <c r="X1500" s="1">
        <f>ESTIMATIVA[[#This Row],[QT_AREA_EST]]</f>
        <v>13.11</v>
      </c>
      <c r="Y1500" s="1">
        <f>IF(ESTIMATIVA[[#This Row],[QT_AREA_REST1]]&gt;0,ESTIMATIVA[[#This Row],[QT_AREA_REST1]],
  IF(ESTIMATIVA[[#This Row],[QT_AREA_REAL]]&gt;0,ESTIMATIVA[[#This Row],[QT_AREA_REAL]],ESTIMATIVA[[#This Row],[QT_AREA_EST]]))</f>
        <v>13.11</v>
      </c>
      <c r="Z150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13.11</v>
      </c>
      <c r="AA1500" s="1">
        <f>ESTIMATIVA[[#This Row],[QT_CANA_EST]]</f>
        <v>786.6</v>
      </c>
      <c r="AB1500" s="1">
        <f>IF(ESTIMATIVA[[#This Row],[QT_CANA_REST1]]&gt;0,ESTIMATIVA[[#This Row],[QT_CANA_REST1]],
  IF(ESTIMATIVA[[#This Row],[QT_CANA_REAL]]&gt;0,ESTIMATIVA[[#This Row],[QT_CANA_REAL]],ESTIMATIVA[[#This Row],[QT_CANA_EST]]))</f>
        <v>786.6</v>
      </c>
      <c r="AC150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942.7</v>
      </c>
      <c r="AD1500" s="1">
        <f>IF(ESTIMATIVA[[#This Row],[QT_AREA_REAL]]&gt;0,ESTIMATIVA[[#This Row],[QT_CANA_REAL]],ESTIMATIVA[[#This Row],[QT_CANA_EST]])</f>
        <v>942.7</v>
      </c>
      <c r="AE1500" s="1">
        <f>IF(ESTIMATIVA[[#This Row],[QT_AREA_REAL]]&gt;0,ESTIMATIVA[[#This Row],[QT_CANA_REAL]],ESTIMATIVA[[#This Row],[QT_CANA_REST1]])</f>
        <v>942.7</v>
      </c>
      <c r="AF1500" s="1">
        <f>IF(ESTIMATIVA[[#This Row],[QT_AREA_REAL]]&gt;0,ESTIMATIVA[[#This Row],[QT_CANA_REAL]],ESTIMATIVA[[#This Row],[QT_CANA_REST2]])</f>
        <v>942.7</v>
      </c>
      <c r="AG1500" s="1" t="str">
        <f>IF(COUNTIFS(GEADA!A:A,VALUE(ESTIMATIVA[[#This Row],[CD_UPNIVEL1]]&amp;TEXT(ESTIMATIVA[[#This Row],[CD_UPNIVEL3]],"0000")))&gt;0,"S","N")</f>
        <v>N</v>
      </c>
      <c r="AH150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00" s="55" t="str">
        <f>IF(ESTIMATIVA[[#This Row],[TP_CULTIVO]]="Irrigado",_xlfn.MAXIFS(IRRIGADO!J:J,IRRIGADO!C:C,ESTIMATIVA[[#This Row],[CD_UPNIVEL1]],IRRIGADO!E:E,ESTIMATIVA[[#This Row],[CD_UPNIVEL3]]),"")</f>
        <v/>
      </c>
      <c r="AJ150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00" s="1">
        <f>COUNTIFS(Apresentação!$E$23:$E$29,ESTIMATIVA[[#This Row],[CD_UPNIVEL1]])</f>
        <v>0</v>
      </c>
    </row>
    <row r="1501" spans="1:37" x14ac:dyDescent="0.3">
      <c r="A1501">
        <v>20569</v>
      </c>
      <c r="B1501" t="s">
        <v>82</v>
      </c>
      <c r="C1501">
        <v>104</v>
      </c>
      <c r="D1501">
        <v>6</v>
      </c>
      <c r="E1501" t="s">
        <v>261</v>
      </c>
      <c r="F1501" s="85" t="s">
        <v>332</v>
      </c>
      <c r="G1501"/>
      <c r="H1501" t="s">
        <v>295</v>
      </c>
      <c r="I1501" t="s">
        <v>197</v>
      </c>
      <c r="J1501" t="s">
        <v>176</v>
      </c>
      <c r="K1501" s="1">
        <v>0.43</v>
      </c>
      <c r="L1501" s="1">
        <v>0.43</v>
      </c>
      <c r="M1501" s="1">
        <v>0</v>
      </c>
      <c r="N1501" s="1">
        <v>0.43</v>
      </c>
      <c r="O1501" s="1">
        <v>21.5</v>
      </c>
      <c r="P1501" s="1">
        <v>21.5</v>
      </c>
      <c r="Q1501" s="1">
        <v>0</v>
      </c>
      <c r="R1501" s="1">
        <v>71.239999999999995</v>
      </c>
      <c r="S1501" t="s">
        <v>12</v>
      </c>
      <c r="T1501" s="13">
        <v>45886</v>
      </c>
      <c r="U1501" s="1" t="str">
        <f>IF(ESTIMATIVA[[#This Row],[QT_AREA_REAL]]&gt;0,"1- Colhido","2- à Colher")</f>
        <v>1- Colhido</v>
      </c>
      <c r="V1501" s="1" t="str">
        <f>IF(ESTIMATIVA[[#This Row],[QT_AREA_REST1]]&gt;0,"Reestimativa 1",IF(ESTIMATIVA[[#This Row],[QT_AREA_REAL]]=0,"Reestimativa 1","Realizado"))</f>
        <v>Reestimativa 1</v>
      </c>
      <c r="W1501" s="1" t="str">
        <f>IF(ESTIMATIVA[[#This Row],[QT_AREA_REST2]]&gt;0,"Reestimativa 2",IF(ESTIMATIVA[[#This Row],[QT_AREA_REAL]]=0,"Reestimativa 2","Realizado"))</f>
        <v>Realizado</v>
      </c>
      <c r="X1501" s="1">
        <f>ESTIMATIVA[[#This Row],[QT_AREA_EST]]</f>
        <v>0.43</v>
      </c>
      <c r="Y1501" s="1">
        <f>IF(ESTIMATIVA[[#This Row],[QT_AREA_REST1]]&gt;0,ESTIMATIVA[[#This Row],[QT_AREA_REST1]],
  IF(ESTIMATIVA[[#This Row],[QT_AREA_REAL]]&gt;0,ESTIMATIVA[[#This Row],[QT_AREA_REAL]],ESTIMATIVA[[#This Row],[QT_AREA_EST]]))</f>
        <v>0.43</v>
      </c>
      <c r="Z150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0.43</v>
      </c>
      <c r="AA1501" s="1">
        <f>ESTIMATIVA[[#This Row],[QT_CANA_EST]]</f>
        <v>21.5</v>
      </c>
      <c r="AB1501" s="1">
        <f>IF(ESTIMATIVA[[#This Row],[QT_CANA_REST1]]&gt;0,ESTIMATIVA[[#This Row],[QT_CANA_REST1]],
  IF(ESTIMATIVA[[#This Row],[QT_CANA_REAL]]&gt;0,ESTIMATIVA[[#This Row],[QT_CANA_REAL]],ESTIMATIVA[[#This Row],[QT_CANA_EST]]))</f>
        <v>21.5</v>
      </c>
      <c r="AC150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71.239999999999995</v>
      </c>
      <c r="AD1501" s="1">
        <f>IF(ESTIMATIVA[[#This Row],[QT_AREA_REAL]]&gt;0,ESTIMATIVA[[#This Row],[QT_CANA_REAL]],ESTIMATIVA[[#This Row],[QT_CANA_EST]])</f>
        <v>71.239999999999995</v>
      </c>
      <c r="AE1501" s="1">
        <f>IF(ESTIMATIVA[[#This Row],[QT_AREA_REAL]]&gt;0,ESTIMATIVA[[#This Row],[QT_CANA_REAL]],ESTIMATIVA[[#This Row],[QT_CANA_REST1]])</f>
        <v>71.239999999999995</v>
      </c>
      <c r="AF1501" s="1">
        <f>IF(ESTIMATIVA[[#This Row],[QT_AREA_REAL]]&gt;0,ESTIMATIVA[[#This Row],[QT_CANA_REAL]],ESTIMATIVA[[#This Row],[QT_CANA_REST2]])</f>
        <v>71.239999999999995</v>
      </c>
      <c r="AG1501" s="1" t="str">
        <f>IF(COUNTIFS(GEADA!A:A,VALUE(ESTIMATIVA[[#This Row],[CD_UPNIVEL1]]&amp;TEXT(ESTIMATIVA[[#This Row],[CD_UPNIVEL3]],"0000")))&gt;0,"S","N")</f>
        <v>N</v>
      </c>
      <c r="AH150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01" s="55" t="str">
        <f>IF(ESTIMATIVA[[#This Row],[TP_CULTIVO]]="Irrigado",_xlfn.MAXIFS(IRRIGADO!J:J,IRRIGADO!C:C,ESTIMATIVA[[#This Row],[CD_UPNIVEL1]],IRRIGADO!E:E,ESTIMATIVA[[#This Row],[CD_UPNIVEL3]]),"")</f>
        <v/>
      </c>
      <c r="AJ150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01" s="1">
        <f>COUNTIFS(Apresentação!$E$23:$E$29,ESTIMATIVA[[#This Row],[CD_UPNIVEL1]])</f>
        <v>0</v>
      </c>
    </row>
    <row r="1502" spans="1:37" x14ac:dyDescent="0.3">
      <c r="A1502">
        <v>20569</v>
      </c>
      <c r="B1502" t="s">
        <v>82</v>
      </c>
      <c r="C1502">
        <v>105</v>
      </c>
      <c r="D1502">
        <v>4</v>
      </c>
      <c r="E1502" t="s">
        <v>265</v>
      </c>
      <c r="F1502" s="85" t="s">
        <v>332</v>
      </c>
      <c r="G1502"/>
      <c r="H1502" t="s">
        <v>295</v>
      </c>
      <c r="I1502" t="s">
        <v>208</v>
      </c>
      <c r="J1502" t="s">
        <v>176</v>
      </c>
      <c r="K1502" s="1">
        <v>0.17</v>
      </c>
      <c r="L1502" s="1">
        <v>0.17</v>
      </c>
      <c r="M1502" s="1">
        <v>0</v>
      </c>
      <c r="N1502" s="1">
        <v>0.17</v>
      </c>
      <c r="O1502" s="1">
        <v>10.199999999999999</v>
      </c>
      <c r="P1502" s="1">
        <v>10.199999999999999</v>
      </c>
      <c r="Q1502" s="1">
        <v>0</v>
      </c>
      <c r="R1502" s="1">
        <v>32.380000000000003</v>
      </c>
      <c r="S1502" t="s">
        <v>12</v>
      </c>
      <c r="T1502" s="13">
        <v>45886</v>
      </c>
      <c r="U1502" s="1" t="str">
        <f>IF(ESTIMATIVA[[#This Row],[QT_AREA_REAL]]&gt;0,"1- Colhido","2- à Colher")</f>
        <v>1- Colhido</v>
      </c>
      <c r="V1502" s="1" t="str">
        <f>IF(ESTIMATIVA[[#This Row],[QT_AREA_REST1]]&gt;0,"Reestimativa 1",IF(ESTIMATIVA[[#This Row],[QT_AREA_REAL]]=0,"Reestimativa 1","Realizado"))</f>
        <v>Reestimativa 1</v>
      </c>
      <c r="W1502" s="1" t="str">
        <f>IF(ESTIMATIVA[[#This Row],[QT_AREA_REST2]]&gt;0,"Reestimativa 2",IF(ESTIMATIVA[[#This Row],[QT_AREA_REAL]]=0,"Reestimativa 2","Realizado"))</f>
        <v>Realizado</v>
      </c>
      <c r="X1502" s="1">
        <f>ESTIMATIVA[[#This Row],[QT_AREA_EST]]</f>
        <v>0.17</v>
      </c>
      <c r="Y1502" s="1">
        <f>IF(ESTIMATIVA[[#This Row],[QT_AREA_REST1]]&gt;0,ESTIMATIVA[[#This Row],[QT_AREA_REST1]],
  IF(ESTIMATIVA[[#This Row],[QT_AREA_REAL]]&gt;0,ESTIMATIVA[[#This Row],[QT_AREA_REAL]],ESTIMATIVA[[#This Row],[QT_AREA_EST]]))</f>
        <v>0.17</v>
      </c>
      <c r="Z150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0.17</v>
      </c>
      <c r="AA1502" s="1">
        <f>ESTIMATIVA[[#This Row],[QT_CANA_EST]]</f>
        <v>10.199999999999999</v>
      </c>
      <c r="AB1502" s="1">
        <f>IF(ESTIMATIVA[[#This Row],[QT_CANA_REST1]]&gt;0,ESTIMATIVA[[#This Row],[QT_CANA_REST1]],
  IF(ESTIMATIVA[[#This Row],[QT_CANA_REAL]]&gt;0,ESTIMATIVA[[#This Row],[QT_CANA_REAL]],ESTIMATIVA[[#This Row],[QT_CANA_EST]]))</f>
        <v>10.199999999999999</v>
      </c>
      <c r="AC150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32.380000000000003</v>
      </c>
      <c r="AD1502" s="1">
        <f>IF(ESTIMATIVA[[#This Row],[QT_AREA_REAL]]&gt;0,ESTIMATIVA[[#This Row],[QT_CANA_REAL]],ESTIMATIVA[[#This Row],[QT_CANA_EST]])</f>
        <v>32.380000000000003</v>
      </c>
      <c r="AE1502" s="1">
        <f>IF(ESTIMATIVA[[#This Row],[QT_AREA_REAL]]&gt;0,ESTIMATIVA[[#This Row],[QT_CANA_REAL]],ESTIMATIVA[[#This Row],[QT_CANA_REST1]])</f>
        <v>32.380000000000003</v>
      </c>
      <c r="AF1502" s="1">
        <f>IF(ESTIMATIVA[[#This Row],[QT_AREA_REAL]]&gt;0,ESTIMATIVA[[#This Row],[QT_CANA_REAL]],ESTIMATIVA[[#This Row],[QT_CANA_REST2]])</f>
        <v>32.380000000000003</v>
      </c>
      <c r="AG1502" s="1" t="str">
        <f>IF(COUNTIFS(GEADA!A:A,VALUE(ESTIMATIVA[[#This Row],[CD_UPNIVEL1]]&amp;TEXT(ESTIMATIVA[[#This Row],[CD_UPNIVEL3]],"0000")))&gt;0,"S","N")</f>
        <v>N</v>
      </c>
      <c r="AH150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02" s="55" t="str">
        <f>IF(ESTIMATIVA[[#This Row],[TP_CULTIVO]]="Irrigado",_xlfn.MAXIFS(IRRIGADO!J:J,IRRIGADO!C:C,ESTIMATIVA[[#This Row],[CD_UPNIVEL1]],IRRIGADO!E:E,ESTIMATIVA[[#This Row],[CD_UPNIVEL3]]),"")</f>
        <v/>
      </c>
      <c r="AJ150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02" s="1">
        <f>COUNTIFS(Apresentação!$E$23:$E$29,ESTIMATIVA[[#This Row],[CD_UPNIVEL1]])</f>
        <v>0</v>
      </c>
    </row>
    <row r="1503" spans="1:37" x14ac:dyDescent="0.3">
      <c r="A1503">
        <v>20569</v>
      </c>
      <c r="B1503" t="s">
        <v>82</v>
      </c>
      <c r="C1503">
        <v>125</v>
      </c>
      <c r="D1503">
        <v>6</v>
      </c>
      <c r="E1503" t="s">
        <v>261</v>
      </c>
      <c r="F1503" s="85" t="s">
        <v>332</v>
      </c>
      <c r="G1503"/>
      <c r="H1503" t="s">
        <v>295</v>
      </c>
      <c r="I1503" t="s">
        <v>194</v>
      </c>
      <c r="J1503" t="s">
        <v>176</v>
      </c>
      <c r="K1503" s="1">
        <v>6.09</v>
      </c>
      <c r="L1503" s="1">
        <v>6.09</v>
      </c>
      <c r="M1503" s="1">
        <v>6.09</v>
      </c>
      <c r="N1503" s="1">
        <v>6.09</v>
      </c>
      <c r="O1503" s="1">
        <v>304.5</v>
      </c>
      <c r="P1503" s="1">
        <v>304.5</v>
      </c>
      <c r="Q1503" s="1">
        <v>304.5</v>
      </c>
      <c r="R1503" s="1">
        <v>328.27</v>
      </c>
      <c r="S1503" t="s">
        <v>12</v>
      </c>
      <c r="T1503" s="13">
        <v>45956</v>
      </c>
      <c r="U1503" s="1" t="str">
        <f>IF(ESTIMATIVA[[#This Row],[QT_AREA_REAL]]&gt;0,"1- Colhido","2- à Colher")</f>
        <v>1- Colhido</v>
      </c>
      <c r="V1503" s="1" t="str">
        <f>IF(ESTIMATIVA[[#This Row],[QT_AREA_REST1]]&gt;0,"Reestimativa 1",IF(ESTIMATIVA[[#This Row],[QT_AREA_REAL]]=0,"Reestimativa 1","Realizado"))</f>
        <v>Reestimativa 1</v>
      </c>
      <c r="W1503" s="1" t="str">
        <f>IF(ESTIMATIVA[[#This Row],[QT_AREA_REST2]]&gt;0,"Reestimativa 2",IF(ESTIMATIVA[[#This Row],[QT_AREA_REAL]]=0,"Reestimativa 2","Realizado"))</f>
        <v>Reestimativa 2</v>
      </c>
      <c r="X1503" s="1">
        <f>ESTIMATIVA[[#This Row],[QT_AREA_EST]]</f>
        <v>6.09</v>
      </c>
      <c r="Y1503" s="1">
        <f>IF(ESTIMATIVA[[#This Row],[QT_AREA_REST1]]&gt;0,ESTIMATIVA[[#This Row],[QT_AREA_REST1]],
  IF(ESTIMATIVA[[#This Row],[QT_AREA_REAL]]&gt;0,ESTIMATIVA[[#This Row],[QT_AREA_REAL]],ESTIMATIVA[[#This Row],[QT_AREA_EST]]))</f>
        <v>6.09</v>
      </c>
      <c r="Z150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6.09</v>
      </c>
      <c r="AA1503" s="1">
        <f>ESTIMATIVA[[#This Row],[QT_CANA_EST]]</f>
        <v>304.5</v>
      </c>
      <c r="AB1503" s="1">
        <f>IF(ESTIMATIVA[[#This Row],[QT_CANA_REST1]]&gt;0,ESTIMATIVA[[#This Row],[QT_CANA_REST1]],
  IF(ESTIMATIVA[[#This Row],[QT_CANA_REAL]]&gt;0,ESTIMATIVA[[#This Row],[QT_CANA_REAL]],ESTIMATIVA[[#This Row],[QT_CANA_EST]]))</f>
        <v>304.5</v>
      </c>
      <c r="AC150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304.5</v>
      </c>
      <c r="AD1503" s="1">
        <f>IF(ESTIMATIVA[[#This Row],[QT_AREA_REAL]]&gt;0,ESTIMATIVA[[#This Row],[QT_CANA_REAL]],ESTIMATIVA[[#This Row],[QT_CANA_EST]])</f>
        <v>328.27</v>
      </c>
      <c r="AE1503" s="1">
        <f>IF(ESTIMATIVA[[#This Row],[QT_AREA_REAL]]&gt;0,ESTIMATIVA[[#This Row],[QT_CANA_REAL]],ESTIMATIVA[[#This Row],[QT_CANA_REST1]])</f>
        <v>328.27</v>
      </c>
      <c r="AF1503" s="1">
        <f>IF(ESTIMATIVA[[#This Row],[QT_AREA_REAL]]&gt;0,ESTIMATIVA[[#This Row],[QT_CANA_REAL]],ESTIMATIVA[[#This Row],[QT_CANA_REST2]])</f>
        <v>328.27</v>
      </c>
      <c r="AG1503" s="1" t="str">
        <f>IF(COUNTIFS(GEADA!A:A,VALUE(ESTIMATIVA[[#This Row],[CD_UPNIVEL1]]&amp;TEXT(ESTIMATIVA[[#This Row],[CD_UPNIVEL3]],"0000")))&gt;0,"S","N")</f>
        <v>N</v>
      </c>
      <c r="AH150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03" s="55" t="str">
        <f>IF(ESTIMATIVA[[#This Row],[TP_CULTIVO]]="Irrigado",_xlfn.MAXIFS(IRRIGADO!J:J,IRRIGADO!C:C,ESTIMATIVA[[#This Row],[CD_UPNIVEL1]],IRRIGADO!E:E,ESTIMATIVA[[#This Row],[CD_UPNIVEL3]]),"")</f>
        <v/>
      </c>
      <c r="AJ150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03" s="1">
        <f>COUNTIFS(Apresentação!$E$23:$E$29,ESTIMATIVA[[#This Row],[CD_UPNIVEL1]])</f>
        <v>0</v>
      </c>
    </row>
    <row r="1504" spans="1:37" x14ac:dyDescent="0.3">
      <c r="A1504">
        <v>20569</v>
      </c>
      <c r="B1504" t="s">
        <v>82</v>
      </c>
      <c r="C1504">
        <v>126</v>
      </c>
      <c r="D1504">
        <v>6</v>
      </c>
      <c r="E1504" t="s">
        <v>261</v>
      </c>
      <c r="F1504" s="85" t="s">
        <v>332</v>
      </c>
      <c r="G1504"/>
      <c r="H1504" t="s">
        <v>295</v>
      </c>
      <c r="I1504" t="s">
        <v>194</v>
      </c>
      <c r="J1504" t="s">
        <v>176</v>
      </c>
      <c r="K1504" s="1">
        <v>2.36</v>
      </c>
      <c r="L1504" s="1">
        <v>2.36</v>
      </c>
      <c r="M1504" s="1">
        <v>2.36</v>
      </c>
      <c r="N1504" s="1">
        <v>2.36</v>
      </c>
      <c r="O1504" s="1">
        <v>118</v>
      </c>
      <c r="P1504" s="1">
        <v>118</v>
      </c>
      <c r="Q1504" s="1">
        <v>118</v>
      </c>
      <c r="R1504" s="1">
        <v>127.81</v>
      </c>
      <c r="S1504" t="s">
        <v>12</v>
      </c>
      <c r="T1504" s="13">
        <v>45956</v>
      </c>
      <c r="U1504" s="1" t="str">
        <f>IF(ESTIMATIVA[[#This Row],[QT_AREA_REAL]]&gt;0,"1- Colhido","2- à Colher")</f>
        <v>1- Colhido</v>
      </c>
      <c r="V1504" s="1" t="str">
        <f>IF(ESTIMATIVA[[#This Row],[QT_AREA_REST1]]&gt;0,"Reestimativa 1",IF(ESTIMATIVA[[#This Row],[QT_AREA_REAL]]=0,"Reestimativa 1","Realizado"))</f>
        <v>Reestimativa 1</v>
      </c>
      <c r="W1504" s="1" t="str">
        <f>IF(ESTIMATIVA[[#This Row],[QT_AREA_REST2]]&gt;0,"Reestimativa 2",IF(ESTIMATIVA[[#This Row],[QT_AREA_REAL]]=0,"Reestimativa 2","Realizado"))</f>
        <v>Reestimativa 2</v>
      </c>
      <c r="X1504" s="1">
        <f>ESTIMATIVA[[#This Row],[QT_AREA_EST]]</f>
        <v>2.36</v>
      </c>
      <c r="Y1504" s="1">
        <f>IF(ESTIMATIVA[[#This Row],[QT_AREA_REST1]]&gt;0,ESTIMATIVA[[#This Row],[QT_AREA_REST1]],
  IF(ESTIMATIVA[[#This Row],[QT_AREA_REAL]]&gt;0,ESTIMATIVA[[#This Row],[QT_AREA_REAL]],ESTIMATIVA[[#This Row],[QT_AREA_EST]]))</f>
        <v>2.36</v>
      </c>
      <c r="Z150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2.36</v>
      </c>
      <c r="AA1504" s="1">
        <f>ESTIMATIVA[[#This Row],[QT_CANA_EST]]</f>
        <v>118</v>
      </c>
      <c r="AB1504" s="1">
        <f>IF(ESTIMATIVA[[#This Row],[QT_CANA_REST1]]&gt;0,ESTIMATIVA[[#This Row],[QT_CANA_REST1]],
  IF(ESTIMATIVA[[#This Row],[QT_CANA_REAL]]&gt;0,ESTIMATIVA[[#This Row],[QT_CANA_REAL]],ESTIMATIVA[[#This Row],[QT_CANA_EST]]))</f>
        <v>118</v>
      </c>
      <c r="AC150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118</v>
      </c>
      <c r="AD1504" s="1">
        <f>IF(ESTIMATIVA[[#This Row],[QT_AREA_REAL]]&gt;0,ESTIMATIVA[[#This Row],[QT_CANA_REAL]],ESTIMATIVA[[#This Row],[QT_CANA_EST]])</f>
        <v>127.81</v>
      </c>
      <c r="AE1504" s="1">
        <f>IF(ESTIMATIVA[[#This Row],[QT_AREA_REAL]]&gt;0,ESTIMATIVA[[#This Row],[QT_CANA_REAL]],ESTIMATIVA[[#This Row],[QT_CANA_REST1]])</f>
        <v>127.81</v>
      </c>
      <c r="AF1504" s="1">
        <f>IF(ESTIMATIVA[[#This Row],[QT_AREA_REAL]]&gt;0,ESTIMATIVA[[#This Row],[QT_CANA_REAL]],ESTIMATIVA[[#This Row],[QT_CANA_REST2]])</f>
        <v>127.81</v>
      </c>
      <c r="AG1504" s="1" t="str">
        <f>IF(COUNTIFS(GEADA!A:A,VALUE(ESTIMATIVA[[#This Row],[CD_UPNIVEL1]]&amp;TEXT(ESTIMATIVA[[#This Row],[CD_UPNIVEL3]],"0000")))&gt;0,"S","N")</f>
        <v>N</v>
      </c>
      <c r="AH150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04" s="55" t="str">
        <f>IF(ESTIMATIVA[[#This Row],[TP_CULTIVO]]="Irrigado",_xlfn.MAXIFS(IRRIGADO!J:J,IRRIGADO!C:C,ESTIMATIVA[[#This Row],[CD_UPNIVEL1]],IRRIGADO!E:E,ESTIMATIVA[[#This Row],[CD_UPNIVEL3]]),"")</f>
        <v/>
      </c>
      <c r="AJ150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04" s="1">
        <f>COUNTIFS(Apresentação!$E$23:$E$29,ESTIMATIVA[[#This Row],[CD_UPNIVEL1]])</f>
        <v>0</v>
      </c>
    </row>
    <row r="1505" spans="1:37" x14ac:dyDescent="0.3">
      <c r="A1505">
        <v>20569</v>
      </c>
      <c r="B1505" t="s">
        <v>82</v>
      </c>
      <c r="C1505">
        <v>169</v>
      </c>
      <c r="D1505">
        <v>3</v>
      </c>
      <c r="E1505" t="s">
        <v>263</v>
      </c>
      <c r="F1505" s="85" t="s">
        <v>332</v>
      </c>
      <c r="G1505"/>
      <c r="H1505" t="s">
        <v>295</v>
      </c>
      <c r="I1505" t="s">
        <v>210</v>
      </c>
      <c r="J1505" t="s">
        <v>176</v>
      </c>
      <c r="K1505" s="1">
        <v>5.68</v>
      </c>
      <c r="L1505" s="1">
        <v>5.68</v>
      </c>
      <c r="M1505" s="1">
        <v>0</v>
      </c>
      <c r="N1505" s="1">
        <v>5.68</v>
      </c>
      <c r="O1505" s="1">
        <v>499.84</v>
      </c>
      <c r="P1505" s="1">
        <v>511.2</v>
      </c>
      <c r="Q1505" s="1">
        <v>0</v>
      </c>
      <c r="R1505" s="1">
        <v>534.26</v>
      </c>
      <c r="S1505" t="s">
        <v>12</v>
      </c>
      <c r="T1505" s="13">
        <v>45865</v>
      </c>
      <c r="U1505" s="1" t="str">
        <f>IF(ESTIMATIVA[[#This Row],[QT_AREA_REAL]]&gt;0,"1- Colhido","2- à Colher")</f>
        <v>1- Colhido</v>
      </c>
      <c r="V1505" s="1" t="str">
        <f>IF(ESTIMATIVA[[#This Row],[QT_AREA_REST1]]&gt;0,"Reestimativa 1",IF(ESTIMATIVA[[#This Row],[QT_AREA_REAL]]=0,"Reestimativa 1","Realizado"))</f>
        <v>Reestimativa 1</v>
      </c>
      <c r="W1505" s="1" t="str">
        <f>IF(ESTIMATIVA[[#This Row],[QT_AREA_REST2]]&gt;0,"Reestimativa 2",IF(ESTIMATIVA[[#This Row],[QT_AREA_REAL]]=0,"Reestimativa 2","Realizado"))</f>
        <v>Realizado</v>
      </c>
      <c r="X1505" s="1">
        <f>ESTIMATIVA[[#This Row],[QT_AREA_EST]]</f>
        <v>5.68</v>
      </c>
      <c r="Y1505" s="1">
        <f>IF(ESTIMATIVA[[#This Row],[QT_AREA_REST1]]&gt;0,ESTIMATIVA[[#This Row],[QT_AREA_REST1]],
  IF(ESTIMATIVA[[#This Row],[QT_AREA_REAL]]&gt;0,ESTIMATIVA[[#This Row],[QT_AREA_REAL]],ESTIMATIVA[[#This Row],[QT_AREA_EST]]))</f>
        <v>5.68</v>
      </c>
      <c r="Z150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5.68</v>
      </c>
      <c r="AA1505" s="1">
        <f>ESTIMATIVA[[#This Row],[QT_CANA_EST]]</f>
        <v>499.84</v>
      </c>
      <c r="AB1505" s="1">
        <f>IF(ESTIMATIVA[[#This Row],[QT_CANA_REST1]]&gt;0,ESTIMATIVA[[#This Row],[QT_CANA_REST1]],
  IF(ESTIMATIVA[[#This Row],[QT_CANA_REAL]]&gt;0,ESTIMATIVA[[#This Row],[QT_CANA_REAL]],ESTIMATIVA[[#This Row],[QT_CANA_EST]]))</f>
        <v>511.2</v>
      </c>
      <c r="AC150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534.26</v>
      </c>
      <c r="AD1505" s="1">
        <f>IF(ESTIMATIVA[[#This Row],[QT_AREA_REAL]]&gt;0,ESTIMATIVA[[#This Row],[QT_CANA_REAL]],ESTIMATIVA[[#This Row],[QT_CANA_EST]])</f>
        <v>534.26</v>
      </c>
      <c r="AE1505" s="1">
        <f>IF(ESTIMATIVA[[#This Row],[QT_AREA_REAL]]&gt;0,ESTIMATIVA[[#This Row],[QT_CANA_REAL]],ESTIMATIVA[[#This Row],[QT_CANA_REST1]])</f>
        <v>534.26</v>
      </c>
      <c r="AF1505" s="1">
        <f>IF(ESTIMATIVA[[#This Row],[QT_AREA_REAL]]&gt;0,ESTIMATIVA[[#This Row],[QT_CANA_REAL]],ESTIMATIVA[[#This Row],[QT_CANA_REST2]])</f>
        <v>534.26</v>
      </c>
      <c r="AG1505" s="1" t="str">
        <f>IF(COUNTIFS(GEADA!A:A,VALUE(ESTIMATIVA[[#This Row],[CD_UPNIVEL1]]&amp;TEXT(ESTIMATIVA[[#This Row],[CD_UPNIVEL3]],"0000")))&gt;0,"S","N")</f>
        <v>N</v>
      </c>
      <c r="AH150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05" s="55" t="str">
        <f>IF(ESTIMATIVA[[#This Row],[TP_CULTIVO]]="Irrigado",_xlfn.MAXIFS(IRRIGADO!J:J,IRRIGADO!C:C,ESTIMATIVA[[#This Row],[CD_UPNIVEL1]],IRRIGADO!E:E,ESTIMATIVA[[#This Row],[CD_UPNIVEL3]]),"")</f>
        <v/>
      </c>
      <c r="AJ150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05" s="1">
        <f>COUNTIFS(Apresentação!$E$23:$E$29,ESTIMATIVA[[#This Row],[CD_UPNIVEL1]])</f>
        <v>0</v>
      </c>
    </row>
    <row r="1506" spans="1:37" x14ac:dyDescent="0.3">
      <c r="A1506">
        <v>20569</v>
      </c>
      <c r="B1506" t="s">
        <v>82</v>
      </c>
      <c r="C1506">
        <v>170</v>
      </c>
      <c r="D1506">
        <v>3</v>
      </c>
      <c r="E1506" t="s">
        <v>263</v>
      </c>
      <c r="F1506" s="85" t="s">
        <v>332</v>
      </c>
      <c r="G1506"/>
      <c r="H1506" t="s">
        <v>295</v>
      </c>
      <c r="I1506" t="s">
        <v>210</v>
      </c>
      <c r="J1506" t="s">
        <v>176</v>
      </c>
      <c r="K1506" s="1">
        <v>8.15</v>
      </c>
      <c r="L1506" s="1">
        <v>8.15</v>
      </c>
      <c r="M1506" s="1">
        <v>0</v>
      </c>
      <c r="N1506" s="1">
        <v>8.15</v>
      </c>
      <c r="O1506" s="1">
        <v>717.2</v>
      </c>
      <c r="P1506" s="1">
        <v>733.5</v>
      </c>
      <c r="Q1506" s="1">
        <v>0</v>
      </c>
      <c r="R1506" s="1">
        <v>767.45</v>
      </c>
      <c r="S1506" t="s">
        <v>12</v>
      </c>
      <c r="T1506" s="13">
        <v>45865</v>
      </c>
      <c r="U1506" s="1" t="str">
        <f>IF(ESTIMATIVA[[#This Row],[QT_AREA_REAL]]&gt;0,"1- Colhido","2- à Colher")</f>
        <v>1- Colhido</v>
      </c>
      <c r="V1506" s="1" t="str">
        <f>IF(ESTIMATIVA[[#This Row],[QT_AREA_REST1]]&gt;0,"Reestimativa 1",IF(ESTIMATIVA[[#This Row],[QT_AREA_REAL]]=0,"Reestimativa 1","Realizado"))</f>
        <v>Reestimativa 1</v>
      </c>
      <c r="W1506" s="1" t="str">
        <f>IF(ESTIMATIVA[[#This Row],[QT_AREA_REST2]]&gt;0,"Reestimativa 2",IF(ESTIMATIVA[[#This Row],[QT_AREA_REAL]]=0,"Reestimativa 2","Realizado"))</f>
        <v>Realizado</v>
      </c>
      <c r="X1506" s="1">
        <f>ESTIMATIVA[[#This Row],[QT_AREA_EST]]</f>
        <v>8.15</v>
      </c>
      <c r="Y1506" s="1">
        <f>IF(ESTIMATIVA[[#This Row],[QT_AREA_REST1]]&gt;0,ESTIMATIVA[[#This Row],[QT_AREA_REST1]],
  IF(ESTIMATIVA[[#This Row],[QT_AREA_REAL]]&gt;0,ESTIMATIVA[[#This Row],[QT_AREA_REAL]],ESTIMATIVA[[#This Row],[QT_AREA_EST]]))</f>
        <v>8.15</v>
      </c>
      <c r="Z150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8.15</v>
      </c>
      <c r="AA1506" s="1">
        <f>ESTIMATIVA[[#This Row],[QT_CANA_EST]]</f>
        <v>717.2</v>
      </c>
      <c r="AB1506" s="1">
        <f>IF(ESTIMATIVA[[#This Row],[QT_CANA_REST1]]&gt;0,ESTIMATIVA[[#This Row],[QT_CANA_REST1]],
  IF(ESTIMATIVA[[#This Row],[QT_CANA_REAL]]&gt;0,ESTIMATIVA[[#This Row],[QT_CANA_REAL]],ESTIMATIVA[[#This Row],[QT_CANA_EST]]))</f>
        <v>733.5</v>
      </c>
      <c r="AC150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767.45</v>
      </c>
      <c r="AD1506" s="1">
        <f>IF(ESTIMATIVA[[#This Row],[QT_AREA_REAL]]&gt;0,ESTIMATIVA[[#This Row],[QT_CANA_REAL]],ESTIMATIVA[[#This Row],[QT_CANA_EST]])</f>
        <v>767.45</v>
      </c>
      <c r="AE1506" s="1">
        <f>IF(ESTIMATIVA[[#This Row],[QT_AREA_REAL]]&gt;0,ESTIMATIVA[[#This Row],[QT_CANA_REAL]],ESTIMATIVA[[#This Row],[QT_CANA_REST1]])</f>
        <v>767.45</v>
      </c>
      <c r="AF1506" s="1">
        <f>IF(ESTIMATIVA[[#This Row],[QT_AREA_REAL]]&gt;0,ESTIMATIVA[[#This Row],[QT_CANA_REAL]],ESTIMATIVA[[#This Row],[QT_CANA_REST2]])</f>
        <v>767.45</v>
      </c>
      <c r="AG1506" s="1" t="str">
        <f>IF(COUNTIFS(GEADA!A:A,VALUE(ESTIMATIVA[[#This Row],[CD_UPNIVEL1]]&amp;TEXT(ESTIMATIVA[[#This Row],[CD_UPNIVEL3]],"0000")))&gt;0,"S","N")</f>
        <v>N</v>
      </c>
      <c r="AH150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06" s="55" t="str">
        <f>IF(ESTIMATIVA[[#This Row],[TP_CULTIVO]]="Irrigado",_xlfn.MAXIFS(IRRIGADO!J:J,IRRIGADO!C:C,ESTIMATIVA[[#This Row],[CD_UPNIVEL1]],IRRIGADO!E:E,ESTIMATIVA[[#This Row],[CD_UPNIVEL3]]),"")</f>
        <v/>
      </c>
      <c r="AJ150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06" s="1">
        <f>COUNTIFS(Apresentação!$E$23:$E$29,ESTIMATIVA[[#This Row],[CD_UPNIVEL1]])</f>
        <v>0</v>
      </c>
    </row>
    <row r="1507" spans="1:37" x14ac:dyDescent="0.3">
      <c r="A1507">
        <v>20569</v>
      </c>
      <c r="B1507" t="s">
        <v>82</v>
      </c>
      <c r="C1507">
        <v>171</v>
      </c>
      <c r="D1507">
        <v>3</v>
      </c>
      <c r="E1507" t="s">
        <v>263</v>
      </c>
      <c r="F1507" s="85" t="s">
        <v>331</v>
      </c>
      <c r="G1507"/>
      <c r="H1507" t="s">
        <v>295</v>
      </c>
      <c r="I1507" t="s">
        <v>210</v>
      </c>
      <c r="J1507" t="s">
        <v>176</v>
      </c>
      <c r="K1507" s="1">
        <v>19.98</v>
      </c>
      <c r="L1507" s="1">
        <v>19.98</v>
      </c>
      <c r="M1507" s="1">
        <v>0</v>
      </c>
      <c r="N1507" s="1">
        <v>19.98</v>
      </c>
      <c r="O1507" s="1">
        <v>1758.24</v>
      </c>
      <c r="P1507" s="1">
        <v>1798.2</v>
      </c>
      <c r="Q1507" s="1">
        <v>0</v>
      </c>
      <c r="R1507" s="1">
        <v>1880.07</v>
      </c>
      <c r="S1507" t="s">
        <v>12</v>
      </c>
      <c r="T1507" s="13">
        <v>45865</v>
      </c>
      <c r="U1507" s="1" t="str">
        <f>IF(ESTIMATIVA[[#This Row],[QT_AREA_REAL]]&gt;0,"1- Colhido","2- à Colher")</f>
        <v>1- Colhido</v>
      </c>
      <c r="V1507" s="1" t="str">
        <f>IF(ESTIMATIVA[[#This Row],[QT_AREA_REST1]]&gt;0,"Reestimativa 1",IF(ESTIMATIVA[[#This Row],[QT_AREA_REAL]]=0,"Reestimativa 1","Realizado"))</f>
        <v>Reestimativa 1</v>
      </c>
      <c r="W1507" s="1" t="str">
        <f>IF(ESTIMATIVA[[#This Row],[QT_AREA_REST2]]&gt;0,"Reestimativa 2",IF(ESTIMATIVA[[#This Row],[QT_AREA_REAL]]=0,"Reestimativa 2","Realizado"))</f>
        <v>Realizado</v>
      </c>
      <c r="X1507" s="1">
        <f>ESTIMATIVA[[#This Row],[QT_AREA_EST]]</f>
        <v>19.98</v>
      </c>
      <c r="Y1507" s="1">
        <f>IF(ESTIMATIVA[[#This Row],[QT_AREA_REST1]]&gt;0,ESTIMATIVA[[#This Row],[QT_AREA_REST1]],
  IF(ESTIMATIVA[[#This Row],[QT_AREA_REAL]]&gt;0,ESTIMATIVA[[#This Row],[QT_AREA_REAL]],ESTIMATIVA[[#This Row],[QT_AREA_EST]]))</f>
        <v>19.98</v>
      </c>
      <c r="Z150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19.98</v>
      </c>
      <c r="AA1507" s="1">
        <f>ESTIMATIVA[[#This Row],[QT_CANA_EST]]</f>
        <v>1758.24</v>
      </c>
      <c r="AB1507" s="1">
        <f>IF(ESTIMATIVA[[#This Row],[QT_CANA_REST1]]&gt;0,ESTIMATIVA[[#This Row],[QT_CANA_REST1]],
  IF(ESTIMATIVA[[#This Row],[QT_CANA_REAL]]&gt;0,ESTIMATIVA[[#This Row],[QT_CANA_REAL]],ESTIMATIVA[[#This Row],[QT_CANA_EST]]))</f>
        <v>1798.2</v>
      </c>
      <c r="AC150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1880.07</v>
      </c>
      <c r="AD1507" s="1">
        <f>IF(ESTIMATIVA[[#This Row],[QT_AREA_REAL]]&gt;0,ESTIMATIVA[[#This Row],[QT_CANA_REAL]],ESTIMATIVA[[#This Row],[QT_CANA_EST]])</f>
        <v>1880.07</v>
      </c>
      <c r="AE1507" s="1">
        <f>IF(ESTIMATIVA[[#This Row],[QT_AREA_REAL]]&gt;0,ESTIMATIVA[[#This Row],[QT_CANA_REAL]],ESTIMATIVA[[#This Row],[QT_CANA_REST1]])</f>
        <v>1880.07</v>
      </c>
      <c r="AF1507" s="1">
        <f>IF(ESTIMATIVA[[#This Row],[QT_AREA_REAL]]&gt;0,ESTIMATIVA[[#This Row],[QT_CANA_REAL]],ESTIMATIVA[[#This Row],[QT_CANA_REST2]])</f>
        <v>1880.07</v>
      </c>
      <c r="AG1507" s="1" t="str">
        <f>IF(COUNTIFS(GEADA!A:A,VALUE(ESTIMATIVA[[#This Row],[CD_UPNIVEL1]]&amp;TEXT(ESTIMATIVA[[#This Row],[CD_UPNIVEL3]],"0000")))&gt;0,"S","N")</f>
        <v>N</v>
      </c>
      <c r="AH150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07" s="55" t="str">
        <f>IF(ESTIMATIVA[[#This Row],[TP_CULTIVO]]="Irrigado",_xlfn.MAXIFS(IRRIGADO!J:J,IRRIGADO!C:C,ESTIMATIVA[[#This Row],[CD_UPNIVEL1]],IRRIGADO!E:E,ESTIMATIVA[[#This Row],[CD_UPNIVEL3]]),"")</f>
        <v/>
      </c>
      <c r="AJ150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07" s="1">
        <f>COUNTIFS(Apresentação!$E$23:$E$29,ESTIMATIVA[[#This Row],[CD_UPNIVEL1]])</f>
        <v>0</v>
      </c>
    </row>
    <row r="1508" spans="1:37" x14ac:dyDescent="0.3">
      <c r="A1508">
        <v>20569</v>
      </c>
      <c r="B1508" t="s">
        <v>82</v>
      </c>
      <c r="C1508">
        <v>172</v>
      </c>
      <c r="D1508">
        <v>3</v>
      </c>
      <c r="E1508" t="s">
        <v>263</v>
      </c>
      <c r="F1508" s="85" t="s">
        <v>331</v>
      </c>
      <c r="G1508"/>
      <c r="H1508" t="s">
        <v>295</v>
      </c>
      <c r="I1508" t="s">
        <v>210</v>
      </c>
      <c r="J1508" t="s">
        <v>176</v>
      </c>
      <c r="K1508" s="1">
        <v>18.72</v>
      </c>
      <c r="L1508" s="1">
        <v>18.72</v>
      </c>
      <c r="M1508" s="1">
        <v>0</v>
      </c>
      <c r="N1508" s="1">
        <v>18.72</v>
      </c>
      <c r="O1508" s="1">
        <v>1647.36</v>
      </c>
      <c r="P1508" s="1">
        <v>1684.8</v>
      </c>
      <c r="Q1508" s="1">
        <v>0</v>
      </c>
      <c r="R1508" s="1">
        <v>1761.89</v>
      </c>
      <c r="S1508" t="s">
        <v>12</v>
      </c>
      <c r="T1508" s="13">
        <v>45865</v>
      </c>
      <c r="U1508" s="1" t="str">
        <f>IF(ESTIMATIVA[[#This Row],[QT_AREA_REAL]]&gt;0,"1- Colhido","2- à Colher")</f>
        <v>1- Colhido</v>
      </c>
      <c r="V1508" s="1" t="str">
        <f>IF(ESTIMATIVA[[#This Row],[QT_AREA_REST1]]&gt;0,"Reestimativa 1",IF(ESTIMATIVA[[#This Row],[QT_AREA_REAL]]=0,"Reestimativa 1","Realizado"))</f>
        <v>Reestimativa 1</v>
      </c>
      <c r="W1508" s="1" t="str">
        <f>IF(ESTIMATIVA[[#This Row],[QT_AREA_REST2]]&gt;0,"Reestimativa 2",IF(ESTIMATIVA[[#This Row],[QT_AREA_REAL]]=0,"Reestimativa 2","Realizado"))</f>
        <v>Realizado</v>
      </c>
      <c r="X1508" s="1">
        <f>ESTIMATIVA[[#This Row],[QT_AREA_EST]]</f>
        <v>18.72</v>
      </c>
      <c r="Y1508" s="1">
        <f>IF(ESTIMATIVA[[#This Row],[QT_AREA_REST1]]&gt;0,ESTIMATIVA[[#This Row],[QT_AREA_REST1]],
  IF(ESTIMATIVA[[#This Row],[QT_AREA_REAL]]&gt;0,ESTIMATIVA[[#This Row],[QT_AREA_REAL]],ESTIMATIVA[[#This Row],[QT_AREA_EST]]))</f>
        <v>18.72</v>
      </c>
      <c r="Z150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18.72</v>
      </c>
      <c r="AA1508" s="1">
        <f>ESTIMATIVA[[#This Row],[QT_CANA_EST]]</f>
        <v>1647.36</v>
      </c>
      <c r="AB1508" s="1">
        <f>IF(ESTIMATIVA[[#This Row],[QT_CANA_REST1]]&gt;0,ESTIMATIVA[[#This Row],[QT_CANA_REST1]],
  IF(ESTIMATIVA[[#This Row],[QT_CANA_REAL]]&gt;0,ESTIMATIVA[[#This Row],[QT_CANA_REAL]],ESTIMATIVA[[#This Row],[QT_CANA_EST]]))</f>
        <v>1684.8</v>
      </c>
      <c r="AC150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1761.89</v>
      </c>
      <c r="AD1508" s="1">
        <f>IF(ESTIMATIVA[[#This Row],[QT_AREA_REAL]]&gt;0,ESTIMATIVA[[#This Row],[QT_CANA_REAL]],ESTIMATIVA[[#This Row],[QT_CANA_EST]])</f>
        <v>1761.89</v>
      </c>
      <c r="AE1508" s="1">
        <f>IF(ESTIMATIVA[[#This Row],[QT_AREA_REAL]]&gt;0,ESTIMATIVA[[#This Row],[QT_CANA_REAL]],ESTIMATIVA[[#This Row],[QT_CANA_REST1]])</f>
        <v>1761.89</v>
      </c>
      <c r="AF1508" s="1">
        <f>IF(ESTIMATIVA[[#This Row],[QT_AREA_REAL]]&gt;0,ESTIMATIVA[[#This Row],[QT_CANA_REAL]],ESTIMATIVA[[#This Row],[QT_CANA_REST2]])</f>
        <v>1761.89</v>
      </c>
      <c r="AG1508" s="1" t="str">
        <f>IF(COUNTIFS(GEADA!A:A,VALUE(ESTIMATIVA[[#This Row],[CD_UPNIVEL1]]&amp;TEXT(ESTIMATIVA[[#This Row],[CD_UPNIVEL3]],"0000")))&gt;0,"S","N")</f>
        <v>N</v>
      </c>
      <c r="AH150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08" s="55" t="str">
        <f>IF(ESTIMATIVA[[#This Row],[TP_CULTIVO]]="Irrigado",_xlfn.MAXIFS(IRRIGADO!J:J,IRRIGADO!C:C,ESTIMATIVA[[#This Row],[CD_UPNIVEL1]],IRRIGADO!E:E,ESTIMATIVA[[#This Row],[CD_UPNIVEL3]]),"")</f>
        <v/>
      </c>
      <c r="AJ150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08" s="1">
        <f>COUNTIFS(Apresentação!$E$23:$E$29,ESTIMATIVA[[#This Row],[CD_UPNIVEL1]])</f>
        <v>0</v>
      </c>
    </row>
    <row r="1509" spans="1:37" x14ac:dyDescent="0.3">
      <c r="A1509">
        <v>20569</v>
      </c>
      <c r="B1509" t="s">
        <v>82</v>
      </c>
      <c r="C1509">
        <v>173</v>
      </c>
      <c r="D1509">
        <v>3</v>
      </c>
      <c r="E1509" t="s">
        <v>263</v>
      </c>
      <c r="F1509" s="85" t="s">
        <v>331</v>
      </c>
      <c r="G1509"/>
      <c r="H1509" t="s">
        <v>295</v>
      </c>
      <c r="I1509" t="s">
        <v>210</v>
      </c>
      <c r="J1509" t="s">
        <v>176</v>
      </c>
      <c r="K1509" s="1">
        <v>9.83</v>
      </c>
      <c r="L1509" s="1">
        <v>9.83</v>
      </c>
      <c r="M1509" s="1">
        <v>0</v>
      </c>
      <c r="N1509" s="1">
        <v>9.83</v>
      </c>
      <c r="O1509" s="1">
        <v>865.04</v>
      </c>
      <c r="P1509" s="1">
        <v>884.7</v>
      </c>
      <c r="Q1509" s="1">
        <v>0</v>
      </c>
      <c r="R1509" s="1">
        <v>925.81</v>
      </c>
      <c r="S1509" t="s">
        <v>12</v>
      </c>
      <c r="T1509" s="13">
        <v>45865</v>
      </c>
      <c r="U1509" s="1" t="str">
        <f>IF(ESTIMATIVA[[#This Row],[QT_AREA_REAL]]&gt;0,"1- Colhido","2- à Colher")</f>
        <v>1- Colhido</v>
      </c>
      <c r="V1509" s="1" t="str">
        <f>IF(ESTIMATIVA[[#This Row],[QT_AREA_REST1]]&gt;0,"Reestimativa 1",IF(ESTIMATIVA[[#This Row],[QT_AREA_REAL]]=0,"Reestimativa 1","Realizado"))</f>
        <v>Reestimativa 1</v>
      </c>
      <c r="W1509" s="1" t="str">
        <f>IF(ESTIMATIVA[[#This Row],[QT_AREA_REST2]]&gt;0,"Reestimativa 2",IF(ESTIMATIVA[[#This Row],[QT_AREA_REAL]]=0,"Reestimativa 2","Realizado"))</f>
        <v>Realizado</v>
      </c>
      <c r="X1509" s="1">
        <f>ESTIMATIVA[[#This Row],[QT_AREA_EST]]</f>
        <v>9.83</v>
      </c>
      <c r="Y1509" s="1">
        <f>IF(ESTIMATIVA[[#This Row],[QT_AREA_REST1]]&gt;0,ESTIMATIVA[[#This Row],[QT_AREA_REST1]],
  IF(ESTIMATIVA[[#This Row],[QT_AREA_REAL]]&gt;0,ESTIMATIVA[[#This Row],[QT_AREA_REAL]],ESTIMATIVA[[#This Row],[QT_AREA_EST]]))</f>
        <v>9.83</v>
      </c>
      <c r="Z150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9.83</v>
      </c>
      <c r="AA1509" s="1">
        <f>ESTIMATIVA[[#This Row],[QT_CANA_EST]]</f>
        <v>865.04</v>
      </c>
      <c r="AB1509" s="1">
        <f>IF(ESTIMATIVA[[#This Row],[QT_CANA_REST1]]&gt;0,ESTIMATIVA[[#This Row],[QT_CANA_REST1]],
  IF(ESTIMATIVA[[#This Row],[QT_CANA_REAL]]&gt;0,ESTIMATIVA[[#This Row],[QT_CANA_REAL]],ESTIMATIVA[[#This Row],[QT_CANA_EST]]))</f>
        <v>884.7</v>
      </c>
      <c r="AC150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925.81</v>
      </c>
      <c r="AD1509" s="1">
        <f>IF(ESTIMATIVA[[#This Row],[QT_AREA_REAL]]&gt;0,ESTIMATIVA[[#This Row],[QT_CANA_REAL]],ESTIMATIVA[[#This Row],[QT_CANA_EST]])</f>
        <v>925.81</v>
      </c>
      <c r="AE1509" s="1">
        <f>IF(ESTIMATIVA[[#This Row],[QT_AREA_REAL]]&gt;0,ESTIMATIVA[[#This Row],[QT_CANA_REAL]],ESTIMATIVA[[#This Row],[QT_CANA_REST1]])</f>
        <v>925.81</v>
      </c>
      <c r="AF1509" s="1">
        <f>IF(ESTIMATIVA[[#This Row],[QT_AREA_REAL]]&gt;0,ESTIMATIVA[[#This Row],[QT_CANA_REAL]],ESTIMATIVA[[#This Row],[QT_CANA_REST2]])</f>
        <v>925.81</v>
      </c>
      <c r="AG1509" s="1" t="str">
        <f>IF(COUNTIFS(GEADA!A:A,VALUE(ESTIMATIVA[[#This Row],[CD_UPNIVEL1]]&amp;TEXT(ESTIMATIVA[[#This Row],[CD_UPNIVEL3]],"0000")))&gt;0,"S","N")</f>
        <v>N</v>
      </c>
      <c r="AH150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09" s="55" t="str">
        <f>IF(ESTIMATIVA[[#This Row],[TP_CULTIVO]]="Irrigado",_xlfn.MAXIFS(IRRIGADO!J:J,IRRIGADO!C:C,ESTIMATIVA[[#This Row],[CD_UPNIVEL1]],IRRIGADO!E:E,ESTIMATIVA[[#This Row],[CD_UPNIVEL3]]),"")</f>
        <v/>
      </c>
      <c r="AJ150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09" s="1">
        <f>COUNTIFS(Apresentação!$E$23:$E$29,ESTIMATIVA[[#This Row],[CD_UPNIVEL1]])</f>
        <v>0</v>
      </c>
    </row>
    <row r="1510" spans="1:37" x14ac:dyDescent="0.3">
      <c r="A1510">
        <v>20569</v>
      </c>
      <c r="B1510" t="s">
        <v>82</v>
      </c>
      <c r="C1510">
        <v>174</v>
      </c>
      <c r="D1510">
        <v>3</v>
      </c>
      <c r="E1510" t="s">
        <v>263</v>
      </c>
      <c r="F1510" s="85" t="s">
        <v>331</v>
      </c>
      <c r="G1510"/>
      <c r="H1510" t="s">
        <v>295</v>
      </c>
      <c r="I1510" t="s">
        <v>212</v>
      </c>
      <c r="J1510" t="s">
        <v>176</v>
      </c>
      <c r="K1510" s="1">
        <v>44.61</v>
      </c>
      <c r="L1510" s="1">
        <v>44.61</v>
      </c>
      <c r="M1510" s="1">
        <v>0</v>
      </c>
      <c r="N1510" s="1">
        <v>44.61</v>
      </c>
      <c r="O1510" s="1">
        <v>3479.58</v>
      </c>
      <c r="P1510" s="1">
        <v>3479.58</v>
      </c>
      <c r="Q1510" s="1">
        <v>0</v>
      </c>
      <c r="R1510" s="1">
        <v>4082.72</v>
      </c>
      <c r="S1510" t="s">
        <v>12</v>
      </c>
      <c r="T1510" s="13">
        <v>45907</v>
      </c>
      <c r="U1510" s="1" t="str">
        <f>IF(ESTIMATIVA[[#This Row],[QT_AREA_REAL]]&gt;0,"1- Colhido","2- à Colher")</f>
        <v>1- Colhido</v>
      </c>
      <c r="V1510" s="1" t="str">
        <f>IF(ESTIMATIVA[[#This Row],[QT_AREA_REST1]]&gt;0,"Reestimativa 1",IF(ESTIMATIVA[[#This Row],[QT_AREA_REAL]]=0,"Reestimativa 1","Realizado"))</f>
        <v>Reestimativa 1</v>
      </c>
      <c r="W1510" s="1" t="str">
        <f>IF(ESTIMATIVA[[#This Row],[QT_AREA_REST2]]&gt;0,"Reestimativa 2",IF(ESTIMATIVA[[#This Row],[QT_AREA_REAL]]=0,"Reestimativa 2","Realizado"))</f>
        <v>Realizado</v>
      </c>
      <c r="X1510" s="1">
        <f>ESTIMATIVA[[#This Row],[QT_AREA_EST]]</f>
        <v>44.61</v>
      </c>
      <c r="Y1510" s="1">
        <f>IF(ESTIMATIVA[[#This Row],[QT_AREA_REST1]]&gt;0,ESTIMATIVA[[#This Row],[QT_AREA_REST1]],
  IF(ESTIMATIVA[[#This Row],[QT_AREA_REAL]]&gt;0,ESTIMATIVA[[#This Row],[QT_AREA_REAL]],ESTIMATIVA[[#This Row],[QT_AREA_EST]]))</f>
        <v>44.61</v>
      </c>
      <c r="Z151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44.61</v>
      </c>
      <c r="AA1510" s="1">
        <f>ESTIMATIVA[[#This Row],[QT_CANA_EST]]</f>
        <v>3479.58</v>
      </c>
      <c r="AB1510" s="1">
        <f>IF(ESTIMATIVA[[#This Row],[QT_CANA_REST1]]&gt;0,ESTIMATIVA[[#This Row],[QT_CANA_REST1]],
  IF(ESTIMATIVA[[#This Row],[QT_CANA_REAL]]&gt;0,ESTIMATIVA[[#This Row],[QT_CANA_REAL]],ESTIMATIVA[[#This Row],[QT_CANA_EST]]))</f>
        <v>3479.58</v>
      </c>
      <c r="AC151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4082.72</v>
      </c>
      <c r="AD1510" s="1">
        <f>IF(ESTIMATIVA[[#This Row],[QT_AREA_REAL]]&gt;0,ESTIMATIVA[[#This Row],[QT_CANA_REAL]],ESTIMATIVA[[#This Row],[QT_CANA_EST]])</f>
        <v>4082.72</v>
      </c>
      <c r="AE1510" s="1">
        <f>IF(ESTIMATIVA[[#This Row],[QT_AREA_REAL]]&gt;0,ESTIMATIVA[[#This Row],[QT_CANA_REAL]],ESTIMATIVA[[#This Row],[QT_CANA_REST1]])</f>
        <v>4082.72</v>
      </c>
      <c r="AF1510" s="1">
        <f>IF(ESTIMATIVA[[#This Row],[QT_AREA_REAL]]&gt;0,ESTIMATIVA[[#This Row],[QT_CANA_REAL]],ESTIMATIVA[[#This Row],[QT_CANA_REST2]])</f>
        <v>4082.72</v>
      </c>
      <c r="AG1510" s="1" t="str">
        <f>IF(COUNTIFS(GEADA!A:A,VALUE(ESTIMATIVA[[#This Row],[CD_UPNIVEL1]]&amp;TEXT(ESTIMATIVA[[#This Row],[CD_UPNIVEL3]],"0000")))&gt;0,"S","N")</f>
        <v>N</v>
      </c>
      <c r="AH151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10" s="55" t="str">
        <f>IF(ESTIMATIVA[[#This Row],[TP_CULTIVO]]="Irrigado",_xlfn.MAXIFS(IRRIGADO!J:J,IRRIGADO!C:C,ESTIMATIVA[[#This Row],[CD_UPNIVEL1]],IRRIGADO!E:E,ESTIMATIVA[[#This Row],[CD_UPNIVEL3]]),"")</f>
        <v/>
      </c>
      <c r="AJ151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10" s="1">
        <f>COUNTIFS(Apresentação!$E$23:$E$29,ESTIMATIVA[[#This Row],[CD_UPNIVEL1]])</f>
        <v>0</v>
      </c>
    </row>
    <row r="1511" spans="1:37" x14ac:dyDescent="0.3">
      <c r="A1511">
        <v>20569</v>
      </c>
      <c r="B1511" t="s">
        <v>82</v>
      </c>
      <c r="C1511">
        <v>175</v>
      </c>
      <c r="D1511">
        <v>3</v>
      </c>
      <c r="E1511" t="s">
        <v>263</v>
      </c>
      <c r="F1511" s="85" t="s">
        <v>332</v>
      </c>
      <c r="G1511"/>
      <c r="H1511" t="s">
        <v>295</v>
      </c>
      <c r="I1511" t="s">
        <v>212</v>
      </c>
      <c r="J1511" t="s">
        <v>176</v>
      </c>
      <c r="K1511" s="1">
        <v>61.8</v>
      </c>
      <c r="L1511" s="1">
        <v>61.8</v>
      </c>
      <c r="M1511" s="1">
        <v>0</v>
      </c>
      <c r="N1511" s="1">
        <v>61.8</v>
      </c>
      <c r="O1511" s="1">
        <v>4820.3999999999996</v>
      </c>
      <c r="P1511" s="1">
        <v>4820.3999999999996</v>
      </c>
      <c r="Q1511" s="1">
        <v>0</v>
      </c>
      <c r="R1511" s="1">
        <v>5655.15</v>
      </c>
      <c r="S1511" t="s">
        <v>12</v>
      </c>
      <c r="T1511" s="13">
        <v>45907</v>
      </c>
      <c r="U1511" s="1" t="str">
        <f>IF(ESTIMATIVA[[#This Row],[QT_AREA_REAL]]&gt;0,"1- Colhido","2- à Colher")</f>
        <v>1- Colhido</v>
      </c>
      <c r="V1511" s="1" t="str">
        <f>IF(ESTIMATIVA[[#This Row],[QT_AREA_REST1]]&gt;0,"Reestimativa 1",IF(ESTIMATIVA[[#This Row],[QT_AREA_REAL]]=0,"Reestimativa 1","Realizado"))</f>
        <v>Reestimativa 1</v>
      </c>
      <c r="W1511" s="1" t="str">
        <f>IF(ESTIMATIVA[[#This Row],[QT_AREA_REST2]]&gt;0,"Reestimativa 2",IF(ESTIMATIVA[[#This Row],[QT_AREA_REAL]]=0,"Reestimativa 2","Realizado"))</f>
        <v>Realizado</v>
      </c>
      <c r="X1511" s="1">
        <f>ESTIMATIVA[[#This Row],[QT_AREA_EST]]</f>
        <v>61.8</v>
      </c>
      <c r="Y1511" s="1">
        <f>IF(ESTIMATIVA[[#This Row],[QT_AREA_REST1]]&gt;0,ESTIMATIVA[[#This Row],[QT_AREA_REST1]],
  IF(ESTIMATIVA[[#This Row],[QT_AREA_REAL]]&gt;0,ESTIMATIVA[[#This Row],[QT_AREA_REAL]],ESTIMATIVA[[#This Row],[QT_AREA_EST]]))</f>
        <v>61.8</v>
      </c>
      <c r="Z151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61.8</v>
      </c>
      <c r="AA1511" s="1">
        <f>ESTIMATIVA[[#This Row],[QT_CANA_EST]]</f>
        <v>4820.3999999999996</v>
      </c>
      <c r="AB1511" s="1">
        <f>IF(ESTIMATIVA[[#This Row],[QT_CANA_REST1]]&gt;0,ESTIMATIVA[[#This Row],[QT_CANA_REST1]],
  IF(ESTIMATIVA[[#This Row],[QT_CANA_REAL]]&gt;0,ESTIMATIVA[[#This Row],[QT_CANA_REAL]],ESTIMATIVA[[#This Row],[QT_CANA_EST]]))</f>
        <v>4820.3999999999996</v>
      </c>
      <c r="AC151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5655.15</v>
      </c>
      <c r="AD1511" s="1">
        <f>IF(ESTIMATIVA[[#This Row],[QT_AREA_REAL]]&gt;0,ESTIMATIVA[[#This Row],[QT_CANA_REAL]],ESTIMATIVA[[#This Row],[QT_CANA_EST]])</f>
        <v>5655.15</v>
      </c>
      <c r="AE1511" s="1">
        <f>IF(ESTIMATIVA[[#This Row],[QT_AREA_REAL]]&gt;0,ESTIMATIVA[[#This Row],[QT_CANA_REAL]],ESTIMATIVA[[#This Row],[QT_CANA_REST1]])</f>
        <v>5655.15</v>
      </c>
      <c r="AF1511" s="1">
        <f>IF(ESTIMATIVA[[#This Row],[QT_AREA_REAL]]&gt;0,ESTIMATIVA[[#This Row],[QT_CANA_REAL]],ESTIMATIVA[[#This Row],[QT_CANA_REST2]])</f>
        <v>5655.15</v>
      </c>
      <c r="AG1511" s="1" t="str">
        <f>IF(COUNTIFS(GEADA!A:A,VALUE(ESTIMATIVA[[#This Row],[CD_UPNIVEL1]]&amp;TEXT(ESTIMATIVA[[#This Row],[CD_UPNIVEL3]],"0000")))&gt;0,"S","N")</f>
        <v>N</v>
      </c>
      <c r="AH151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11" s="55" t="str">
        <f>IF(ESTIMATIVA[[#This Row],[TP_CULTIVO]]="Irrigado",_xlfn.MAXIFS(IRRIGADO!J:J,IRRIGADO!C:C,ESTIMATIVA[[#This Row],[CD_UPNIVEL1]],IRRIGADO!E:E,ESTIMATIVA[[#This Row],[CD_UPNIVEL3]]),"")</f>
        <v/>
      </c>
      <c r="AJ151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11" s="1">
        <f>COUNTIFS(Apresentação!$E$23:$E$29,ESTIMATIVA[[#This Row],[CD_UPNIVEL1]])</f>
        <v>0</v>
      </c>
    </row>
    <row r="1512" spans="1:37" x14ac:dyDescent="0.3">
      <c r="A1512">
        <v>20569</v>
      </c>
      <c r="B1512" t="s">
        <v>82</v>
      </c>
      <c r="C1512">
        <v>189</v>
      </c>
      <c r="D1512">
        <v>4</v>
      </c>
      <c r="E1512" t="s">
        <v>265</v>
      </c>
      <c r="F1512" s="85" t="s">
        <v>332</v>
      </c>
      <c r="G1512"/>
      <c r="H1512" t="s">
        <v>295</v>
      </c>
      <c r="I1512" t="s">
        <v>204</v>
      </c>
      <c r="J1512" t="s">
        <v>176</v>
      </c>
      <c r="K1512" s="1">
        <v>7.97</v>
      </c>
      <c r="L1512" s="1">
        <v>7.97</v>
      </c>
      <c r="M1512" s="1">
        <v>0</v>
      </c>
      <c r="N1512" s="1">
        <v>7.97</v>
      </c>
      <c r="O1512" s="1">
        <v>533.99</v>
      </c>
      <c r="P1512" s="1">
        <v>557.9</v>
      </c>
      <c r="Q1512" s="1">
        <v>0</v>
      </c>
      <c r="R1512" s="1">
        <v>327.60000000000002</v>
      </c>
      <c r="S1512" t="s">
        <v>12</v>
      </c>
      <c r="T1512" s="13">
        <v>45865</v>
      </c>
      <c r="U1512" s="1" t="str">
        <f>IF(ESTIMATIVA[[#This Row],[QT_AREA_REAL]]&gt;0,"1- Colhido","2- à Colher")</f>
        <v>1- Colhido</v>
      </c>
      <c r="V1512" s="1" t="str">
        <f>IF(ESTIMATIVA[[#This Row],[QT_AREA_REST1]]&gt;0,"Reestimativa 1",IF(ESTIMATIVA[[#This Row],[QT_AREA_REAL]]=0,"Reestimativa 1","Realizado"))</f>
        <v>Reestimativa 1</v>
      </c>
      <c r="W1512" s="1" t="str">
        <f>IF(ESTIMATIVA[[#This Row],[QT_AREA_REST2]]&gt;0,"Reestimativa 2",IF(ESTIMATIVA[[#This Row],[QT_AREA_REAL]]=0,"Reestimativa 2","Realizado"))</f>
        <v>Realizado</v>
      </c>
      <c r="X1512" s="1">
        <f>ESTIMATIVA[[#This Row],[QT_AREA_EST]]</f>
        <v>7.97</v>
      </c>
      <c r="Y1512" s="1">
        <f>IF(ESTIMATIVA[[#This Row],[QT_AREA_REST1]]&gt;0,ESTIMATIVA[[#This Row],[QT_AREA_REST1]],
  IF(ESTIMATIVA[[#This Row],[QT_AREA_REAL]]&gt;0,ESTIMATIVA[[#This Row],[QT_AREA_REAL]],ESTIMATIVA[[#This Row],[QT_AREA_EST]]))</f>
        <v>7.97</v>
      </c>
      <c r="Z151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7.97</v>
      </c>
      <c r="AA1512" s="1">
        <f>ESTIMATIVA[[#This Row],[QT_CANA_EST]]</f>
        <v>533.99</v>
      </c>
      <c r="AB1512" s="1">
        <f>IF(ESTIMATIVA[[#This Row],[QT_CANA_REST1]]&gt;0,ESTIMATIVA[[#This Row],[QT_CANA_REST1]],
  IF(ESTIMATIVA[[#This Row],[QT_CANA_REAL]]&gt;0,ESTIMATIVA[[#This Row],[QT_CANA_REAL]],ESTIMATIVA[[#This Row],[QT_CANA_EST]]))</f>
        <v>557.9</v>
      </c>
      <c r="AC151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327.60000000000002</v>
      </c>
      <c r="AD1512" s="1">
        <f>IF(ESTIMATIVA[[#This Row],[QT_AREA_REAL]]&gt;0,ESTIMATIVA[[#This Row],[QT_CANA_REAL]],ESTIMATIVA[[#This Row],[QT_CANA_EST]])</f>
        <v>327.60000000000002</v>
      </c>
      <c r="AE1512" s="1">
        <f>IF(ESTIMATIVA[[#This Row],[QT_AREA_REAL]]&gt;0,ESTIMATIVA[[#This Row],[QT_CANA_REAL]],ESTIMATIVA[[#This Row],[QT_CANA_REST1]])</f>
        <v>327.60000000000002</v>
      </c>
      <c r="AF1512" s="1">
        <f>IF(ESTIMATIVA[[#This Row],[QT_AREA_REAL]]&gt;0,ESTIMATIVA[[#This Row],[QT_CANA_REAL]],ESTIMATIVA[[#This Row],[QT_CANA_REST2]])</f>
        <v>327.60000000000002</v>
      </c>
      <c r="AG1512" s="1" t="str">
        <f>IF(COUNTIFS(GEADA!A:A,VALUE(ESTIMATIVA[[#This Row],[CD_UPNIVEL1]]&amp;TEXT(ESTIMATIVA[[#This Row],[CD_UPNIVEL3]],"0000")))&gt;0,"S","N")</f>
        <v>N</v>
      </c>
      <c r="AH151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12" s="55" t="str">
        <f>IF(ESTIMATIVA[[#This Row],[TP_CULTIVO]]="Irrigado",_xlfn.MAXIFS(IRRIGADO!J:J,IRRIGADO!C:C,ESTIMATIVA[[#This Row],[CD_UPNIVEL1]],IRRIGADO!E:E,ESTIMATIVA[[#This Row],[CD_UPNIVEL3]]),"")</f>
        <v/>
      </c>
      <c r="AJ151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12" s="1">
        <f>COUNTIFS(Apresentação!$E$23:$E$29,ESTIMATIVA[[#This Row],[CD_UPNIVEL1]])</f>
        <v>0</v>
      </c>
    </row>
    <row r="1513" spans="1:37" x14ac:dyDescent="0.3">
      <c r="A1513">
        <v>20569</v>
      </c>
      <c r="B1513" t="s">
        <v>82</v>
      </c>
      <c r="C1513">
        <v>198</v>
      </c>
      <c r="D1513">
        <v>8</v>
      </c>
      <c r="E1513" t="s">
        <v>262</v>
      </c>
      <c r="F1513" s="85" t="s">
        <v>332</v>
      </c>
      <c r="G1513"/>
      <c r="H1513" t="s">
        <v>295</v>
      </c>
      <c r="I1513" t="s">
        <v>221</v>
      </c>
      <c r="J1513" t="s">
        <v>176</v>
      </c>
      <c r="K1513" s="1">
        <v>43.71</v>
      </c>
      <c r="L1513" s="1">
        <v>0</v>
      </c>
      <c r="M1513" s="1">
        <v>0</v>
      </c>
      <c r="N1513" s="1">
        <v>43.71</v>
      </c>
      <c r="O1513" s="1">
        <v>1923.24</v>
      </c>
      <c r="P1513" s="1">
        <v>0</v>
      </c>
      <c r="Q1513" s="1">
        <v>0</v>
      </c>
      <c r="R1513" s="1">
        <v>2734.3</v>
      </c>
      <c r="S1513" t="s">
        <v>12</v>
      </c>
      <c r="T1513" s="13">
        <v>45816</v>
      </c>
      <c r="U1513" s="1" t="str">
        <f>IF(ESTIMATIVA[[#This Row],[QT_AREA_REAL]]&gt;0,"1- Colhido","2- à Colher")</f>
        <v>1- Colhido</v>
      </c>
      <c r="V1513" s="1" t="str">
        <f>IF(ESTIMATIVA[[#This Row],[QT_AREA_REST1]]&gt;0,"Reestimativa 1",IF(ESTIMATIVA[[#This Row],[QT_AREA_REAL]]=0,"Reestimativa 1","Realizado"))</f>
        <v>Realizado</v>
      </c>
      <c r="W1513" s="1" t="str">
        <f>IF(ESTIMATIVA[[#This Row],[QT_AREA_REST2]]&gt;0,"Reestimativa 2",IF(ESTIMATIVA[[#This Row],[QT_AREA_REAL]]=0,"Reestimativa 2","Realizado"))</f>
        <v>Realizado</v>
      </c>
      <c r="X1513" s="1">
        <f>ESTIMATIVA[[#This Row],[QT_AREA_EST]]</f>
        <v>43.71</v>
      </c>
      <c r="Y1513" s="1">
        <f>IF(ESTIMATIVA[[#This Row],[QT_AREA_REST1]]&gt;0,ESTIMATIVA[[#This Row],[QT_AREA_REST1]],
  IF(ESTIMATIVA[[#This Row],[QT_AREA_REAL]]&gt;0,ESTIMATIVA[[#This Row],[QT_AREA_REAL]],ESTIMATIVA[[#This Row],[QT_AREA_EST]]))</f>
        <v>43.71</v>
      </c>
      <c r="Z151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43.71</v>
      </c>
      <c r="AA1513" s="1">
        <f>ESTIMATIVA[[#This Row],[QT_CANA_EST]]</f>
        <v>1923.24</v>
      </c>
      <c r="AB1513" s="1">
        <f>IF(ESTIMATIVA[[#This Row],[QT_CANA_REST1]]&gt;0,ESTIMATIVA[[#This Row],[QT_CANA_REST1]],
  IF(ESTIMATIVA[[#This Row],[QT_CANA_REAL]]&gt;0,ESTIMATIVA[[#This Row],[QT_CANA_REAL]],ESTIMATIVA[[#This Row],[QT_CANA_EST]]))</f>
        <v>2734.3</v>
      </c>
      <c r="AC151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2734.3</v>
      </c>
      <c r="AD1513" s="1">
        <f>IF(ESTIMATIVA[[#This Row],[QT_AREA_REAL]]&gt;0,ESTIMATIVA[[#This Row],[QT_CANA_REAL]],ESTIMATIVA[[#This Row],[QT_CANA_EST]])</f>
        <v>2734.3</v>
      </c>
      <c r="AE1513" s="1">
        <f>IF(ESTIMATIVA[[#This Row],[QT_AREA_REAL]]&gt;0,ESTIMATIVA[[#This Row],[QT_CANA_REAL]],ESTIMATIVA[[#This Row],[QT_CANA_REST1]])</f>
        <v>2734.3</v>
      </c>
      <c r="AF1513" s="1">
        <f>IF(ESTIMATIVA[[#This Row],[QT_AREA_REAL]]&gt;0,ESTIMATIVA[[#This Row],[QT_CANA_REAL]],ESTIMATIVA[[#This Row],[QT_CANA_REST2]])</f>
        <v>2734.3</v>
      </c>
      <c r="AG1513" s="1" t="str">
        <f>IF(COUNTIFS(GEADA!A:A,VALUE(ESTIMATIVA[[#This Row],[CD_UPNIVEL1]]&amp;TEXT(ESTIMATIVA[[#This Row],[CD_UPNIVEL3]],"0000")))&gt;0,"S","N")</f>
        <v>N</v>
      </c>
      <c r="AH151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13" s="55" t="str">
        <f>IF(ESTIMATIVA[[#This Row],[TP_CULTIVO]]="Irrigado",_xlfn.MAXIFS(IRRIGADO!J:J,IRRIGADO!C:C,ESTIMATIVA[[#This Row],[CD_UPNIVEL1]],IRRIGADO!E:E,ESTIMATIVA[[#This Row],[CD_UPNIVEL3]]),"")</f>
        <v/>
      </c>
      <c r="AJ151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13" s="1">
        <f>COUNTIFS(Apresentação!$E$23:$E$29,ESTIMATIVA[[#This Row],[CD_UPNIVEL1]])</f>
        <v>0</v>
      </c>
    </row>
    <row r="1514" spans="1:37" x14ac:dyDescent="0.3">
      <c r="A1514">
        <v>20570</v>
      </c>
      <c r="B1514" t="s">
        <v>76</v>
      </c>
      <c r="C1514">
        <v>22</v>
      </c>
      <c r="D1514">
        <v>3</v>
      </c>
      <c r="E1514" t="s">
        <v>263</v>
      </c>
      <c r="F1514" s="85" t="s">
        <v>331</v>
      </c>
      <c r="G1514"/>
      <c r="H1514" t="s">
        <v>294</v>
      </c>
      <c r="I1514" t="s">
        <v>205</v>
      </c>
      <c r="J1514" t="s">
        <v>176</v>
      </c>
      <c r="K1514" s="1">
        <v>20.07</v>
      </c>
      <c r="L1514" s="1">
        <v>20.07</v>
      </c>
      <c r="M1514" s="1">
        <v>0</v>
      </c>
      <c r="N1514" s="1">
        <v>20.07</v>
      </c>
      <c r="O1514" s="1">
        <v>1806.3</v>
      </c>
      <c r="P1514" s="1">
        <v>1826.37</v>
      </c>
      <c r="Q1514" s="1">
        <v>0</v>
      </c>
      <c r="R1514" s="1">
        <v>1857.98</v>
      </c>
      <c r="S1514" t="s">
        <v>12</v>
      </c>
      <c r="T1514" s="13">
        <v>45893</v>
      </c>
      <c r="U1514" s="1" t="str">
        <f>IF(ESTIMATIVA[[#This Row],[QT_AREA_REAL]]&gt;0,"1- Colhido","2- à Colher")</f>
        <v>1- Colhido</v>
      </c>
      <c r="V1514" s="1" t="str">
        <f>IF(ESTIMATIVA[[#This Row],[QT_AREA_REST1]]&gt;0,"Reestimativa 1",IF(ESTIMATIVA[[#This Row],[QT_AREA_REAL]]=0,"Reestimativa 1","Realizado"))</f>
        <v>Reestimativa 1</v>
      </c>
      <c r="W1514" s="1" t="str">
        <f>IF(ESTIMATIVA[[#This Row],[QT_AREA_REST2]]&gt;0,"Reestimativa 2",IF(ESTIMATIVA[[#This Row],[QT_AREA_REAL]]=0,"Reestimativa 2","Realizado"))</f>
        <v>Realizado</v>
      </c>
      <c r="X1514" s="1">
        <f>ESTIMATIVA[[#This Row],[QT_AREA_EST]]</f>
        <v>20.07</v>
      </c>
      <c r="Y1514" s="1">
        <f>IF(ESTIMATIVA[[#This Row],[QT_AREA_REST1]]&gt;0,ESTIMATIVA[[#This Row],[QT_AREA_REST1]],
  IF(ESTIMATIVA[[#This Row],[QT_AREA_REAL]]&gt;0,ESTIMATIVA[[#This Row],[QT_AREA_REAL]],ESTIMATIVA[[#This Row],[QT_AREA_EST]]))</f>
        <v>20.07</v>
      </c>
      <c r="Z151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20.07</v>
      </c>
      <c r="AA1514" s="1">
        <f>ESTIMATIVA[[#This Row],[QT_CANA_EST]]</f>
        <v>1806.3</v>
      </c>
      <c r="AB1514" s="1">
        <f>IF(ESTIMATIVA[[#This Row],[QT_CANA_REST1]]&gt;0,ESTIMATIVA[[#This Row],[QT_CANA_REST1]],
  IF(ESTIMATIVA[[#This Row],[QT_CANA_REAL]]&gt;0,ESTIMATIVA[[#This Row],[QT_CANA_REAL]],ESTIMATIVA[[#This Row],[QT_CANA_EST]]))</f>
        <v>1826.37</v>
      </c>
      <c r="AC151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1857.98</v>
      </c>
      <c r="AD1514" s="1">
        <f>IF(ESTIMATIVA[[#This Row],[QT_AREA_REAL]]&gt;0,ESTIMATIVA[[#This Row],[QT_CANA_REAL]],ESTIMATIVA[[#This Row],[QT_CANA_EST]])</f>
        <v>1857.98</v>
      </c>
      <c r="AE1514" s="1">
        <f>IF(ESTIMATIVA[[#This Row],[QT_AREA_REAL]]&gt;0,ESTIMATIVA[[#This Row],[QT_CANA_REAL]],ESTIMATIVA[[#This Row],[QT_CANA_REST1]])</f>
        <v>1857.98</v>
      </c>
      <c r="AF1514" s="1">
        <f>IF(ESTIMATIVA[[#This Row],[QT_AREA_REAL]]&gt;0,ESTIMATIVA[[#This Row],[QT_CANA_REAL]],ESTIMATIVA[[#This Row],[QT_CANA_REST2]])</f>
        <v>1857.98</v>
      </c>
      <c r="AG1514" s="1" t="str">
        <f>IF(COUNTIFS(GEADA!A:A,VALUE(ESTIMATIVA[[#This Row],[CD_UPNIVEL1]]&amp;TEXT(ESTIMATIVA[[#This Row],[CD_UPNIVEL3]],"0000")))&gt;0,"S","N")</f>
        <v>N</v>
      </c>
      <c r="AH151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14" s="55" t="str">
        <f>IF(ESTIMATIVA[[#This Row],[TP_CULTIVO]]="Irrigado",_xlfn.MAXIFS(IRRIGADO!J:J,IRRIGADO!C:C,ESTIMATIVA[[#This Row],[CD_UPNIVEL1]],IRRIGADO!E:E,ESTIMATIVA[[#This Row],[CD_UPNIVEL3]]),"")</f>
        <v/>
      </c>
      <c r="AJ151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14" s="1">
        <f>COUNTIFS(Apresentação!$E$23:$E$29,ESTIMATIVA[[#This Row],[CD_UPNIVEL1]])</f>
        <v>0</v>
      </c>
    </row>
    <row r="1515" spans="1:37" x14ac:dyDescent="0.3">
      <c r="A1515">
        <v>20570</v>
      </c>
      <c r="B1515" t="s">
        <v>76</v>
      </c>
      <c r="C1515">
        <v>23</v>
      </c>
      <c r="D1515">
        <v>3</v>
      </c>
      <c r="E1515" t="s">
        <v>263</v>
      </c>
      <c r="F1515" s="85" t="s">
        <v>331</v>
      </c>
      <c r="G1515"/>
      <c r="H1515" t="s">
        <v>294</v>
      </c>
      <c r="I1515" t="s">
        <v>205</v>
      </c>
      <c r="J1515" t="s">
        <v>176</v>
      </c>
      <c r="K1515" s="1">
        <v>17.690000000000001</v>
      </c>
      <c r="L1515" s="1">
        <v>17.690000000000001</v>
      </c>
      <c r="M1515" s="1">
        <v>0</v>
      </c>
      <c r="N1515" s="1">
        <v>17.690000000000001</v>
      </c>
      <c r="O1515" s="1">
        <v>1592.1</v>
      </c>
      <c r="P1515" s="1">
        <v>1609.79</v>
      </c>
      <c r="Q1515" s="1">
        <v>0</v>
      </c>
      <c r="R1515" s="1">
        <v>1638.16</v>
      </c>
      <c r="S1515" t="s">
        <v>12</v>
      </c>
      <c r="T1515" s="13">
        <v>45893</v>
      </c>
      <c r="U1515" s="1" t="str">
        <f>IF(ESTIMATIVA[[#This Row],[QT_AREA_REAL]]&gt;0,"1- Colhido","2- à Colher")</f>
        <v>1- Colhido</v>
      </c>
      <c r="V1515" s="1" t="str">
        <f>IF(ESTIMATIVA[[#This Row],[QT_AREA_REST1]]&gt;0,"Reestimativa 1",IF(ESTIMATIVA[[#This Row],[QT_AREA_REAL]]=0,"Reestimativa 1","Realizado"))</f>
        <v>Reestimativa 1</v>
      </c>
      <c r="W1515" s="1" t="str">
        <f>IF(ESTIMATIVA[[#This Row],[QT_AREA_REST2]]&gt;0,"Reestimativa 2",IF(ESTIMATIVA[[#This Row],[QT_AREA_REAL]]=0,"Reestimativa 2","Realizado"))</f>
        <v>Realizado</v>
      </c>
      <c r="X1515" s="1">
        <f>ESTIMATIVA[[#This Row],[QT_AREA_EST]]</f>
        <v>17.690000000000001</v>
      </c>
      <c r="Y1515" s="1">
        <f>IF(ESTIMATIVA[[#This Row],[QT_AREA_REST1]]&gt;0,ESTIMATIVA[[#This Row],[QT_AREA_REST1]],
  IF(ESTIMATIVA[[#This Row],[QT_AREA_REAL]]&gt;0,ESTIMATIVA[[#This Row],[QT_AREA_REAL]],ESTIMATIVA[[#This Row],[QT_AREA_EST]]))</f>
        <v>17.690000000000001</v>
      </c>
      <c r="Z151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17.690000000000001</v>
      </c>
      <c r="AA1515" s="1">
        <f>ESTIMATIVA[[#This Row],[QT_CANA_EST]]</f>
        <v>1592.1</v>
      </c>
      <c r="AB1515" s="1">
        <f>IF(ESTIMATIVA[[#This Row],[QT_CANA_REST1]]&gt;0,ESTIMATIVA[[#This Row],[QT_CANA_REST1]],
  IF(ESTIMATIVA[[#This Row],[QT_CANA_REAL]]&gt;0,ESTIMATIVA[[#This Row],[QT_CANA_REAL]],ESTIMATIVA[[#This Row],[QT_CANA_EST]]))</f>
        <v>1609.79</v>
      </c>
      <c r="AC151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1638.16</v>
      </c>
      <c r="AD1515" s="1">
        <f>IF(ESTIMATIVA[[#This Row],[QT_AREA_REAL]]&gt;0,ESTIMATIVA[[#This Row],[QT_CANA_REAL]],ESTIMATIVA[[#This Row],[QT_CANA_EST]])</f>
        <v>1638.16</v>
      </c>
      <c r="AE1515" s="1">
        <f>IF(ESTIMATIVA[[#This Row],[QT_AREA_REAL]]&gt;0,ESTIMATIVA[[#This Row],[QT_CANA_REAL]],ESTIMATIVA[[#This Row],[QT_CANA_REST1]])</f>
        <v>1638.16</v>
      </c>
      <c r="AF1515" s="1">
        <f>IF(ESTIMATIVA[[#This Row],[QT_AREA_REAL]]&gt;0,ESTIMATIVA[[#This Row],[QT_CANA_REAL]],ESTIMATIVA[[#This Row],[QT_CANA_REST2]])</f>
        <v>1638.16</v>
      </c>
      <c r="AG1515" s="1" t="str">
        <f>IF(COUNTIFS(GEADA!A:A,VALUE(ESTIMATIVA[[#This Row],[CD_UPNIVEL1]]&amp;TEXT(ESTIMATIVA[[#This Row],[CD_UPNIVEL3]],"0000")))&gt;0,"S","N")</f>
        <v>N</v>
      </c>
      <c r="AH151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15" s="55" t="str">
        <f>IF(ESTIMATIVA[[#This Row],[TP_CULTIVO]]="Irrigado",_xlfn.MAXIFS(IRRIGADO!J:J,IRRIGADO!C:C,ESTIMATIVA[[#This Row],[CD_UPNIVEL1]],IRRIGADO!E:E,ESTIMATIVA[[#This Row],[CD_UPNIVEL3]]),"")</f>
        <v/>
      </c>
      <c r="AJ151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15" s="1">
        <f>COUNTIFS(Apresentação!$E$23:$E$29,ESTIMATIVA[[#This Row],[CD_UPNIVEL1]])</f>
        <v>0</v>
      </c>
    </row>
    <row r="1516" spans="1:37" x14ac:dyDescent="0.3">
      <c r="A1516">
        <v>20570</v>
      </c>
      <c r="B1516" t="s">
        <v>76</v>
      </c>
      <c r="C1516">
        <v>24</v>
      </c>
      <c r="D1516">
        <v>3</v>
      </c>
      <c r="E1516" t="s">
        <v>263</v>
      </c>
      <c r="F1516" s="85" t="s">
        <v>331</v>
      </c>
      <c r="G1516"/>
      <c r="H1516" t="s">
        <v>294</v>
      </c>
      <c r="I1516" t="s">
        <v>205</v>
      </c>
      <c r="J1516" t="s">
        <v>176</v>
      </c>
      <c r="K1516" s="1">
        <v>45.2</v>
      </c>
      <c r="L1516" s="1">
        <v>45.2</v>
      </c>
      <c r="M1516" s="1">
        <v>0</v>
      </c>
      <c r="N1516" s="1">
        <v>45.2</v>
      </c>
      <c r="O1516" s="1">
        <v>4068</v>
      </c>
      <c r="P1516" s="1">
        <v>4113.2</v>
      </c>
      <c r="Q1516" s="1">
        <v>0</v>
      </c>
      <c r="R1516" s="1">
        <v>4185.24</v>
      </c>
      <c r="S1516" t="s">
        <v>12</v>
      </c>
      <c r="T1516" s="13">
        <v>45893</v>
      </c>
      <c r="U1516" s="1" t="str">
        <f>IF(ESTIMATIVA[[#This Row],[QT_AREA_REAL]]&gt;0,"1- Colhido","2- à Colher")</f>
        <v>1- Colhido</v>
      </c>
      <c r="V1516" s="1" t="str">
        <f>IF(ESTIMATIVA[[#This Row],[QT_AREA_REST1]]&gt;0,"Reestimativa 1",IF(ESTIMATIVA[[#This Row],[QT_AREA_REAL]]=0,"Reestimativa 1","Realizado"))</f>
        <v>Reestimativa 1</v>
      </c>
      <c r="W1516" s="1" t="str">
        <f>IF(ESTIMATIVA[[#This Row],[QT_AREA_REST2]]&gt;0,"Reestimativa 2",IF(ESTIMATIVA[[#This Row],[QT_AREA_REAL]]=0,"Reestimativa 2","Realizado"))</f>
        <v>Realizado</v>
      </c>
      <c r="X1516" s="1">
        <f>ESTIMATIVA[[#This Row],[QT_AREA_EST]]</f>
        <v>45.2</v>
      </c>
      <c r="Y1516" s="1">
        <f>IF(ESTIMATIVA[[#This Row],[QT_AREA_REST1]]&gt;0,ESTIMATIVA[[#This Row],[QT_AREA_REST1]],
  IF(ESTIMATIVA[[#This Row],[QT_AREA_REAL]]&gt;0,ESTIMATIVA[[#This Row],[QT_AREA_REAL]],ESTIMATIVA[[#This Row],[QT_AREA_EST]]))</f>
        <v>45.2</v>
      </c>
      <c r="Z151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45.2</v>
      </c>
      <c r="AA1516" s="1">
        <f>ESTIMATIVA[[#This Row],[QT_CANA_EST]]</f>
        <v>4068</v>
      </c>
      <c r="AB1516" s="1">
        <f>IF(ESTIMATIVA[[#This Row],[QT_CANA_REST1]]&gt;0,ESTIMATIVA[[#This Row],[QT_CANA_REST1]],
  IF(ESTIMATIVA[[#This Row],[QT_CANA_REAL]]&gt;0,ESTIMATIVA[[#This Row],[QT_CANA_REAL]],ESTIMATIVA[[#This Row],[QT_CANA_EST]]))</f>
        <v>4113.2</v>
      </c>
      <c r="AC151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4185.24</v>
      </c>
      <c r="AD1516" s="1">
        <f>IF(ESTIMATIVA[[#This Row],[QT_AREA_REAL]]&gt;0,ESTIMATIVA[[#This Row],[QT_CANA_REAL]],ESTIMATIVA[[#This Row],[QT_CANA_EST]])</f>
        <v>4185.24</v>
      </c>
      <c r="AE1516" s="1">
        <f>IF(ESTIMATIVA[[#This Row],[QT_AREA_REAL]]&gt;0,ESTIMATIVA[[#This Row],[QT_CANA_REAL]],ESTIMATIVA[[#This Row],[QT_CANA_REST1]])</f>
        <v>4185.24</v>
      </c>
      <c r="AF1516" s="1">
        <f>IF(ESTIMATIVA[[#This Row],[QT_AREA_REAL]]&gt;0,ESTIMATIVA[[#This Row],[QT_CANA_REAL]],ESTIMATIVA[[#This Row],[QT_CANA_REST2]])</f>
        <v>4185.24</v>
      </c>
      <c r="AG1516" s="1" t="str">
        <f>IF(COUNTIFS(GEADA!A:A,VALUE(ESTIMATIVA[[#This Row],[CD_UPNIVEL1]]&amp;TEXT(ESTIMATIVA[[#This Row],[CD_UPNIVEL3]],"0000")))&gt;0,"S","N")</f>
        <v>N</v>
      </c>
      <c r="AH151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16" s="55" t="str">
        <f>IF(ESTIMATIVA[[#This Row],[TP_CULTIVO]]="Irrigado",_xlfn.MAXIFS(IRRIGADO!J:J,IRRIGADO!C:C,ESTIMATIVA[[#This Row],[CD_UPNIVEL1]],IRRIGADO!E:E,ESTIMATIVA[[#This Row],[CD_UPNIVEL3]]),"")</f>
        <v/>
      </c>
      <c r="AJ151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16" s="1">
        <f>COUNTIFS(Apresentação!$E$23:$E$29,ESTIMATIVA[[#This Row],[CD_UPNIVEL1]])</f>
        <v>0</v>
      </c>
    </row>
    <row r="1517" spans="1:37" x14ac:dyDescent="0.3">
      <c r="A1517">
        <v>20570</v>
      </c>
      <c r="B1517" t="s">
        <v>76</v>
      </c>
      <c r="C1517">
        <v>25</v>
      </c>
      <c r="D1517">
        <v>3</v>
      </c>
      <c r="E1517" t="s">
        <v>263</v>
      </c>
      <c r="F1517" s="85" t="s">
        <v>331</v>
      </c>
      <c r="G1517"/>
      <c r="H1517" t="s">
        <v>294</v>
      </c>
      <c r="I1517" t="s">
        <v>205</v>
      </c>
      <c r="J1517" t="s">
        <v>176</v>
      </c>
      <c r="K1517" s="1">
        <v>23.43</v>
      </c>
      <c r="L1517" s="1">
        <v>23.43</v>
      </c>
      <c r="M1517" s="1">
        <v>0</v>
      </c>
      <c r="N1517" s="1">
        <v>23.43</v>
      </c>
      <c r="O1517" s="1">
        <v>2108.6999999999998</v>
      </c>
      <c r="P1517" s="1">
        <v>2132.13</v>
      </c>
      <c r="Q1517" s="1">
        <v>0</v>
      </c>
      <c r="R1517" s="1">
        <v>2169.35</v>
      </c>
      <c r="S1517" t="s">
        <v>12</v>
      </c>
      <c r="T1517" s="13">
        <v>45893</v>
      </c>
      <c r="U1517" s="1" t="str">
        <f>IF(ESTIMATIVA[[#This Row],[QT_AREA_REAL]]&gt;0,"1- Colhido","2- à Colher")</f>
        <v>1- Colhido</v>
      </c>
      <c r="V1517" s="1" t="str">
        <f>IF(ESTIMATIVA[[#This Row],[QT_AREA_REST1]]&gt;0,"Reestimativa 1",IF(ESTIMATIVA[[#This Row],[QT_AREA_REAL]]=0,"Reestimativa 1","Realizado"))</f>
        <v>Reestimativa 1</v>
      </c>
      <c r="W1517" s="1" t="str">
        <f>IF(ESTIMATIVA[[#This Row],[QT_AREA_REST2]]&gt;0,"Reestimativa 2",IF(ESTIMATIVA[[#This Row],[QT_AREA_REAL]]=0,"Reestimativa 2","Realizado"))</f>
        <v>Realizado</v>
      </c>
      <c r="X1517" s="1">
        <f>ESTIMATIVA[[#This Row],[QT_AREA_EST]]</f>
        <v>23.43</v>
      </c>
      <c r="Y1517" s="1">
        <f>IF(ESTIMATIVA[[#This Row],[QT_AREA_REST1]]&gt;0,ESTIMATIVA[[#This Row],[QT_AREA_REST1]],
  IF(ESTIMATIVA[[#This Row],[QT_AREA_REAL]]&gt;0,ESTIMATIVA[[#This Row],[QT_AREA_REAL]],ESTIMATIVA[[#This Row],[QT_AREA_EST]]))</f>
        <v>23.43</v>
      </c>
      <c r="Z151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23.43</v>
      </c>
      <c r="AA1517" s="1">
        <f>ESTIMATIVA[[#This Row],[QT_CANA_EST]]</f>
        <v>2108.6999999999998</v>
      </c>
      <c r="AB1517" s="1">
        <f>IF(ESTIMATIVA[[#This Row],[QT_CANA_REST1]]&gt;0,ESTIMATIVA[[#This Row],[QT_CANA_REST1]],
  IF(ESTIMATIVA[[#This Row],[QT_CANA_REAL]]&gt;0,ESTIMATIVA[[#This Row],[QT_CANA_REAL]],ESTIMATIVA[[#This Row],[QT_CANA_EST]]))</f>
        <v>2132.13</v>
      </c>
      <c r="AC151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2169.35</v>
      </c>
      <c r="AD1517" s="1">
        <f>IF(ESTIMATIVA[[#This Row],[QT_AREA_REAL]]&gt;0,ESTIMATIVA[[#This Row],[QT_CANA_REAL]],ESTIMATIVA[[#This Row],[QT_CANA_EST]])</f>
        <v>2169.35</v>
      </c>
      <c r="AE1517" s="1">
        <f>IF(ESTIMATIVA[[#This Row],[QT_AREA_REAL]]&gt;0,ESTIMATIVA[[#This Row],[QT_CANA_REAL]],ESTIMATIVA[[#This Row],[QT_CANA_REST1]])</f>
        <v>2169.35</v>
      </c>
      <c r="AF1517" s="1">
        <f>IF(ESTIMATIVA[[#This Row],[QT_AREA_REAL]]&gt;0,ESTIMATIVA[[#This Row],[QT_CANA_REAL]],ESTIMATIVA[[#This Row],[QT_CANA_REST2]])</f>
        <v>2169.35</v>
      </c>
      <c r="AG1517" s="1" t="str">
        <f>IF(COUNTIFS(GEADA!A:A,VALUE(ESTIMATIVA[[#This Row],[CD_UPNIVEL1]]&amp;TEXT(ESTIMATIVA[[#This Row],[CD_UPNIVEL3]],"0000")))&gt;0,"S","N")</f>
        <v>N</v>
      </c>
      <c r="AH151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17" s="55" t="str">
        <f>IF(ESTIMATIVA[[#This Row],[TP_CULTIVO]]="Irrigado",_xlfn.MAXIFS(IRRIGADO!J:J,IRRIGADO!C:C,ESTIMATIVA[[#This Row],[CD_UPNIVEL1]],IRRIGADO!E:E,ESTIMATIVA[[#This Row],[CD_UPNIVEL3]]),"")</f>
        <v/>
      </c>
      <c r="AJ151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17" s="1">
        <f>COUNTIFS(Apresentação!$E$23:$E$29,ESTIMATIVA[[#This Row],[CD_UPNIVEL1]])</f>
        <v>0</v>
      </c>
    </row>
    <row r="1518" spans="1:37" x14ac:dyDescent="0.3">
      <c r="A1518">
        <v>20570</v>
      </c>
      <c r="B1518" t="s">
        <v>76</v>
      </c>
      <c r="C1518">
        <v>26</v>
      </c>
      <c r="D1518">
        <v>3</v>
      </c>
      <c r="E1518" t="s">
        <v>263</v>
      </c>
      <c r="F1518" s="85" t="s">
        <v>331</v>
      </c>
      <c r="G1518"/>
      <c r="H1518" t="s">
        <v>294</v>
      </c>
      <c r="I1518" t="s">
        <v>205</v>
      </c>
      <c r="J1518" t="s">
        <v>176</v>
      </c>
      <c r="K1518" s="1">
        <v>21.34</v>
      </c>
      <c r="L1518" s="1">
        <v>21.34</v>
      </c>
      <c r="M1518" s="1">
        <v>0</v>
      </c>
      <c r="N1518" s="1">
        <v>21.34</v>
      </c>
      <c r="O1518" s="1">
        <v>1920.6</v>
      </c>
      <c r="P1518" s="1">
        <v>1941.94</v>
      </c>
      <c r="Q1518" s="1">
        <v>0</v>
      </c>
      <c r="R1518" s="1">
        <v>1976.92</v>
      </c>
      <c r="S1518" t="s">
        <v>12</v>
      </c>
      <c r="T1518" s="13">
        <v>45893</v>
      </c>
      <c r="U1518" s="1" t="str">
        <f>IF(ESTIMATIVA[[#This Row],[QT_AREA_REAL]]&gt;0,"1- Colhido","2- à Colher")</f>
        <v>1- Colhido</v>
      </c>
      <c r="V1518" s="1" t="str">
        <f>IF(ESTIMATIVA[[#This Row],[QT_AREA_REST1]]&gt;0,"Reestimativa 1",IF(ESTIMATIVA[[#This Row],[QT_AREA_REAL]]=0,"Reestimativa 1","Realizado"))</f>
        <v>Reestimativa 1</v>
      </c>
      <c r="W1518" s="1" t="str">
        <f>IF(ESTIMATIVA[[#This Row],[QT_AREA_REST2]]&gt;0,"Reestimativa 2",IF(ESTIMATIVA[[#This Row],[QT_AREA_REAL]]=0,"Reestimativa 2","Realizado"))</f>
        <v>Realizado</v>
      </c>
      <c r="X1518" s="1">
        <f>ESTIMATIVA[[#This Row],[QT_AREA_EST]]</f>
        <v>21.34</v>
      </c>
      <c r="Y1518" s="1">
        <f>IF(ESTIMATIVA[[#This Row],[QT_AREA_REST1]]&gt;0,ESTIMATIVA[[#This Row],[QT_AREA_REST1]],
  IF(ESTIMATIVA[[#This Row],[QT_AREA_REAL]]&gt;0,ESTIMATIVA[[#This Row],[QT_AREA_REAL]],ESTIMATIVA[[#This Row],[QT_AREA_EST]]))</f>
        <v>21.34</v>
      </c>
      <c r="Z151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21.34</v>
      </c>
      <c r="AA1518" s="1">
        <f>ESTIMATIVA[[#This Row],[QT_CANA_EST]]</f>
        <v>1920.6</v>
      </c>
      <c r="AB1518" s="1">
        <f>IF(ESTIMATIVA[[#This Row],[QT_CANA_REST1]]&gt;0,ESTIMATIVA[[#This Row],[QT_CANA_REST1]],
  IF(ESTIMATIVA[[#This Row],[QT_CANA_REAL]]&gt;0,ESTIMATIVA[[#This Row],[QT_CANA_REAL]],ESTIMATIVA[[#This Row],[QT_CANA_EST]]))</f>
        <v>1941.94</v>
      </c>
      <c r="AC151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1976.92</v>
      </c>
      <c r="AD1518" s="1">
        <f>IF(ESTIMATIVA[[#This Row],[QT_AREA_REAL]]&gt;0,ESTIMATIVA[[#This Row],[QT_CANA_REAL]],ESTIMATIVA[[#This Row],[QT_CANA_EST]])</f>
        <v>1976.92</v>
      </c>
      <c r="AE1518" s="1">
        <f>IF(ESTIMATIVA[[#This Row],[QT_AREA_REAL]]&gt;0,ESTIMATIVA[[#This Row],[QT_CANA_REAL]],ESTIMATIVA[[#This Row],[QT_CANA_REST1]])</f>
        <v>1976.92</v>
      </c>
      <c r="AF1518" s="1">
        <f>IF(ESTIMATIVA[[#This Row],[QT_AREA_REAL]]&gt;0,ESTIMATIVA[[#This Row],[QT_CANA_REAL]],ESTIMATIVA[[#This Row],[QT_CANA_REST2]])</f>
        <v>1976.92</v>
      </c>
      <c r="AG1518" s="1" t="str">
        <f>IF(COUNTIFS(GEADA!A:A,VALUE(ESTIMATIVA[[#This Row],[CD_UPNIVEL1]]&amp;TEXT(ESTIMATIVA[[#This Row],[CD_UPNIVEL3]],"0000")))&gt;0,"S","N")</f>
        <v>N</v>
      </c>
      <c r="AH151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18" s="55" t="str">
        <f>IF(ESTIMATIVA[[#This Row],[TP_CULTIVO]]="Irrigado",_xlfn.MAXIFS(IRRIGADO!J:J,IRRIGADO!C:C,ESTIMATIVA[[#This Row],[CD_UPNIVEL1]],IRRIGADO!E:E,ESTIMATIVA[[#This Row],[CD_UPNIVEL3]]),"")</f>
        <v/>
      </c>
      <c r="AJ151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18" s="1">
        <f>COUNTIFS(Apresentação!$E$23:$E$29,ESTIMATIVA[[#This Row],[CD_UPNIVEL1]])</f>
        <v>0</v>
      </c>
    </row>
    <row r="1519" spans="1:37" x14ac:dyDescent="0.3">
      <c r="A1519">
        <v>20570</v>
      </c>
      <c r="B1519" t="s">
        <v>76</v>
      </c>
      <c r="C1519">
        <v>27</v>
      </c>
      <c r="D1519">
        <v>3</v>
      </c>
      <c r="E1519" t="s">
        <v>263</v>
      </c>
      <c r="F1519" s="85" t="s">
        <v>333</v>
      </c>
      <c r="G1519"/>
      <c r="H1519" t="s">
        <v>294</v>
      </c>
      <c r="I1519" t="s">
        <v>205</v>
      </c>
      <c r="J1519" t="s">
        <v>176</v>
      </c>
      <c r="K1519" s="1">
        <v>40.869999999999997</v>
      </c>
      <c r="L1519" s="1">
        <v>40.869999999999997</v>
      </c>
      <c r="M1519" s="1">
        <v>0</v>
      </c>
      <c r="N1519" s="1">
        <v>40.869999999999997</v>
      </c>
      <c r="O1519" s="1">
        <v>3678.3</v>
      </c>
      <c r="P1519" s="1">
        <v>3719.17</v>
      </c>
      <c r="Q1519" s="1">
        <v>0</v>
      </c>
      <c r="R1519" s="1">
        <v>3190.86</v>
      </c>
      <c r="S1519" t="s">
        <v>12</v>
      </c>
      <c r="T1519" s="13">
        <v>45900</v>
      </c>
      <c r="U1519" s="1" t="str">
        <f>IF(ESTIMATIVA[[#This Row],[QT_AREA_REAL]]&gt;0,"1- Colhido","2- à Colher")</f>
        <v>1- Colhido</v>
      </c>
      <c r="V1519" s="1" t="str">
        <f>IF(ESTIMATIVA[[#This Row],[QT_AREA_REST1]]&gt;0,"Reestimativa 1",IF(ESTIMATIVA[[#This Row],[QT_AREA_REAL]]=0,"Reestimativa 1","Realizado"))</f>
        <v>Reestimativa 1</v>
      </c>
      <c r="W1519" s="1" t="str">
        <f>IF(ESTIMATIVA[[#This Row],[QT_AREA_REST2]]&gt;0,"Reestimativa 2",IF(ESTIMATIVA[[#This Row],[QT_AREA_REAL]]=0,"Reestimativa 2","Realizado"))</f>
        <v>Realizado</v>
      </c>
      <c r="X1519" s="1">
        <f>ESTIMATIVA[[#This Row],[QT_AREA_EST]]</f>
        <v>40.869999999999997</v>
      </c>
      <c r="Y1519" s="1">
        <f>IF(ESTIMATIVA[[#This Row],[QT_AREA_REST1]]&gt;0,ESTIMATIVA[[#This Row],[QT_AREA_REST1]],
  IF(ESTIMATIVA[[#This Row],[QT_AREA_REAL]]&gt;0,ESTIMATIVA[[#This Row],[QT_AREA_REAL]],ESTIMATIVA[[#This Row],[QT_AREA_EST]]))</f>
        <v>40.869999999999997</v>
      </c>
      <c r="Z151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40.869999999999997</v>
      </c>
      <c r="AA1519" s="1">
        <f>ESTIMATIVA[[#This Row],[QT_CANA_EST]]</f>
        <v>3678.3</v>
      </c>
      <c r="AB1519" s="1">
        <f>IF(ESTIMATIVA[[#This Row],[QT_CANA_REST1]]&gt;0,ESTIMATIVA[[#This Row],[QT_CANA_REST1]],
  IF(ESTIMATIVA[[#This Row],[QT_CANA_REAL]]&gt;0,ESTIMATIVA[[#This Row],[QT_CANA_REAL]],ESTIMATIVA[[#This Row],[QT_CANA_EST]]))</f>
        <v>3719.17</v>
      </c>
      <c r="AC151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3190.86</v>
      </c>
      <c r="AD1519" s="1">
        <f>IF(ESTIMATIVA[[#This Row],[QT_AREA_REAL]]&gt;0,ESTIMATIVA[[#This Row],[QT_CANA_REAL]],ESTIMATIVA[[#This Row],[QT_CANA_EST]])</f>
        <v>3190.86</v>
      </c>
      <c r="AE1519" s="1">
        <f>IF(ESTIMATIVA[[#This Row],[QT_AREA_REAL]]&gt;0,ESTIMATIVA[[#This Row],[QT_CANA_REAL]],ESTIMATIVA[[#This Row],[QT_CANA_REST1]])</f>
        <v>3190.86</v>
      </c>
      <c r="AF1519" s="1">
        <f>IF(ESTIMATIVA[[#This Row],[QT_AREA_REAL]]&gt;0,ESTIMATIVA[[#This Row],[QT_CANA_REAL]],ESTIMATIVA[[#This Row],[QT_CANA_REST2]])</f>
        <v>3190.86</v>
      </c>
      <c r="AG1519" s="1" t="str">
        <f>IF(COUNTIFS(GEADA!A:A,VALUE(ESTIMATIVA[[#This Row],[CD_UPNIVEL1]]&amp;TEXT(ESTIMATIVA[[#This Row],[CD_UPNIVEL3]],"0000")))&gt;0,"S","N")</f>
        <v>N</v>
      </c>
      <c r="AH151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19" s="55" t="str">
        <f>IF(ESTIMATIVA[[#This Row],[TP_CULTIVO]]="Irrigado",_xlfn.MAXIFS(IRRIGADO!J:J,IRRIGADO!C:C,ESTIMATIVA[[#This Row],[CD_UPNIVEL1]],IRRIGADO!E:E,ESTIMATIVA[[#This Row],[CD_UPNIVEL3]]),"")</f>
        <v/>
      </c>
      <c r="AJ151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19" s="1">
        <f>COUNTIFS(Apresentação!$E$23:$E$29,ESTIMATIVA[[#This Row],[CD_UPNIVEL1]])</f>
        <v>0</v>
      </c>
    </row>
    <row r="1520" spans="1:37" x14ac:dyDescent="0.3">
      <c r="A1520">
        <v>20570</v>
      </c>
      <c r="B1520" t="s">
        <v>76</v>
      </c>
      <c r="C1520">
        <v>28</v>
      </c>
      <c r="D1520">
        <v>3</v>
      </c>
      <c r="E1520" t="s">
        <v>263</v>
      </c>
      <c r="F1520" s="85" t="s">
        <v>333</v>
      </c>
      <c r="G1520"/>
      <c r="H1520" t="s">
        <v>294</v>
      </c>
      <c r="I1520" t="s">
        <v>205</v>
      </c>
      <c r="J1520" t="s">
        <v>176</v>
      </c>
      <c r="K1520" s="1">
        <v>43.13</v>
      </c>
      <c r="L1520" s="1">
        <v>43.13</v>
      </c>
      <c r="M1520" s="1">
        <v>0</v>
      </c>
      <c r="N1520" s="1">
        <v>43.13</v>
      </c>
      <c r="O1520" s="1">
        <v>3881.7</v>
      </c>
      <c r="P1520" s="1">
        <v>3924.83</v>
      </c>
      <c r="Q1520" s="1">
        <v>0</v>
      </c>
      <c r="R1520" s="1">
        <v>3367.61</v>
      </c>
      <c r="S1520" t="s">
        <v>12</v>
      </c>
      <c r="T1520" s="13">
        <v>45900</v>
      </c>
      <c r="U1520" s="1" t="str">
        <f>IF(ESTIMATIVA[[#This Row],[QT_AREA_REAL]]&gt;0,"1- Colhido","2- à Colher")</f>
        <v>1- Colhido</v>
      </c>
      <c r="V1520" s="1" t="str">
        <f>IF(ESTIMATIVA[[#This Row],[QT_AREA_REST1]]&gt;0,"Reestimativa 1",IF(ESTIMATIVA[[#This Row],[QT_AREA_REAL]]=0,"Reestimativa 1","Realizado"))</f>
        <v>Reestimativa 1</v>
      </c>
      <c r="W1520" s="1" t="str">
        <f>IF(ESTIMATIVA[[#This Row],[QT_AREA_REST2]]&gt;0,"Reestimativa 2",IF(ESTIMATIVA[[#This Row],[QT_AREA_REAL]]=0,"Reestimativa 2","Realizado"))</f>
        <v>Realizado</v>
      </c>
      <c r="X1520" s="1">
        <f>ESTIMATIVA[[#This Row],[QT_AREA_EST]]</f>
        <v>43.13</v>
      </c>
      <c r="Y1520" s="1">
        <f>IF(ESTIMATIVA[[#This Row],[QT_AREA_REST1]]&gt;0,ESTIMATIVA[[#This Row],[QT_AREA_REST1]],
  IF(ESTIMATIVA[[#This Row],[QT_AREA_REAL]]&gt;0,ESTIMATIVA[[#This Row],[QT_AREA_REAL]],ESTIMATIVA[[#This Row],[QT_AREA_EST]]))</f>
        <v>43.13</v>
      </c>
      <c r="Z152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43.13</v>
      </c>
      <c r="AA1520" s="1">
        <f>ESTIMATIVA[[#This Row],[QT_CANA_EST]]</f>
        <v>3881.7</v>
      </c>
      <c r="AB1520" s="1">
        <f>IF(ESTIMATIVA[[#This Row],[QT_CANA_REST1]]&gt;0,ESTIMATIVA[[#This Row],[QT_CANA_REST1]],
  IF(ESTIMATIVA[[#This Row],[QT_CANA_REAL]]&gt;0,ESTIMATIVA[[#This Row],[QT_CANA_REAL]],ESTIMATIVA[[#This Row],[QT_CANA_EST]]))</f>
        <v>3924.83</v>
      </c>
      <c r="AC152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3367.61</v>
      </c>
      <c r="AD1520" s="1">
        <f>IF(ESTIMATIVA[[#This Row],[QT_AREA_REAL]]&gt;0,ESTIMATIVA[[#This Row],[QT_CANA_REAL]],ESTIMATIVA[[#This Row],[QT_CANA_EST]])</f>
        <v>3367.61</v>
      </c>
      <c r="AE1520" s="1">
        <f>IF(ESTIMATIVA[[#This Row],[QT_AREA_REAL]]&gt;0,ESTIMATIVA[[#This Row],[QT_CANA_REAL]],ESTIMATIVA[[#This Row],[QT_CANA_REST1]])</f>
        <v>3367.61</v>
      </c>
      <c r="AF1520" s="1">
        <f>IF(ESTIMATIVA[[#This Row],[QT_AREA_REAL]]&gt;0,ESTIMATIVA[[#This Row],[QT_CANA_REAL]],ESTIMATIVA[[#This Row],[QT_CANA_REST2]])</f>
        <v>3367.61</v>
      </c>
      <c r="AG1520" s="1" t="str">
        <f>IF(COUNTIFS(GEADA!A:A,VALUE(ESTIMATIVA[[#This Row],[CD_UPNIVEL1]]&amp;TEXT(ESTIMATIVA[[#This Row],[CD_UPNIVEL3]],"0000")))&gt;0,"S","N")</f>
        <v>N</v>
      </c>
      <c r="AH152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20" s="55" t="str">
        <f>IF(ESTIMATIVA[[#This Row],[TP_CULTIVO]]="Irrigado",_xlfn.MAXIFS(IRRIGADO!J:J,IRRIGADO!C:C,ESTIMATIVA[[#This Row],[CD_UPNIVEL1]],IRRIGADO!E:E,ESTIMATIVA[[#This Row],[CD_UPNIVEL3]]),"")</f>
        <v/>
      </c>
      <c r="AJ152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20" s="1">
        <f>COUNTIFS(Apresentação!$E$23:$E$29,ESTIMATIVA[[#This Row],[CD_UPNIVEL1]])</f>
        <v>0</v>
      </c>
    </row>
    <row r="1521" spans="1:37" x14ac:dyDescent="0.3">
      <c r="A1521">
        <v>20570</v>
      </c>
      <c r="B1521" t="s">
        <v>76</v>
      </c>
      <c r="C1521">
        <v>30</v>
      </c>
      <c r="D1521">
        <v>2</v>
      </c>
      <c r="E1521" t="s">
        <v>266</v>
      </c>
      <c r="F1521" s="85" t="s">
        <v>333</v>
      </c>
      <c r="G1521"/>
      <c r="H1521" t="s">
        <v>294</v>
      </c>
      <c r="I1521" t="s">
        <v>198</v>
      </c>
      <c r="J1521" t="s">
        <v>176</v>
      </c>
      <c r="K1521" s="1">
        <v>66.13</v>
      </c>
      <c r="L1521" s="1">
        <v>66.13</v>
      </c>
      <c r="M1521" s="1">
        <v>0</v>
      </c>
      <c r="N1521" s="1">
        <v>66.13</v>
      </c>
      <c r="O1521" s="1">
        <v>4430.71</v>
      </c>
      <c r="P1521" s="1">
        <v>4893.62</v>
      </c>
      <c r="Q1521" s="1">
        <v>0</v>
      </c>
      <c r="R1521" s="1">
        <v>4199.5200000000004</v>
      </c>
      <c r="S1521" t="s">
        <v>12</v>
      </c>
      <c r="T1521" s="13">
        <v>45900</v>
      </c>
      <c r="U1521" s="1" t="str">
        <f>IF(ESTIMATIVA[[#This Row],[QT_AREA_REAL]]&gt;0,"1- Colhido","2- à Colher")</f>
        <v>1- Colhido</v>
      </c>
      <c r="V1521" s="1" t="str">
        <f>IF(ESTIMATIVA[[#This Row],[QT_AREA_REST1]]&gt;0,"Reestimativa 1",IF(ESTIMATIVA[[#This Row],[QT_AREA_REAL]]=0,"Reestimativa 1","Realizado"))</f>
        <v>Reestimativa 1</v>
      </c>
      <c r="W1521" s="1" t="str">
        <f>IF(ESTIMATIVA[[#This Row],[QT_AREA_REST2]]&gt;0,"Reestimativa 2",IF(ESTIMATIVA[[#This Row],[QT_AREA_REAL]]=0,"Reestimativa 2","Realizado"))</f>
        <v>Realizado</v>
      </c>
      <c r="X1521" s="1">
        <f>ESTIMATIVA[[#This Row],[QT_AREA_EST]]</f>
        <v>66.13</v>
      </c>
      <c r="Y1521" s="1">
        <f>IF(ESTIMATIVA[[#This Row],[QT_AREA_REST1]]&gt;0,ESTIMATIVA[[#This Row],[QT_AREA_REST1]],
  IF(ESTIMATIVA[[#This Row],[QT_AREA_REAL]]&gt;0,ESTIMATIVA[[#This Row],[QT_AREA_REAL]],ESTIMATIVA[[#This Row],[QT_AREA_EST]]))</f>
        <v>66.13</v>
      </c>
      <c r="Z152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66.13</v>
      </c>
      <c r="AA1521" s="1">
        <f>ESTIMATIVA[[#This Row],[QT_CANA_EST]]</f>
        <v>4430.71</v>
      </c>
      <c r="AB1521" s="1">
        <f>IF(ESTIMATIVA[[#This Row],[QT_CANA_REST1]]&gt;0,ESTIMATIVA[[#This Row],[QT_CANA_REST1]],
  IF(ESTIMATIVA[[#This Row],[QT_CANA_REAL]]&gt;0,ESTIMATIVA[[#This Row],[QT_CANA_REAL]],ESTIMATIVA[[#This Row],[QT_CANA_EST]]))</f>
        <v>4893.62</v>
      </c>
      <c r="AC152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4199.5200000000004</v>
      </c>
      <c r="AD1521" s="1">
        <f>IF(ESTIMATIVA[[#This Row],[QT_AREA_REAL]]&gt;0,ESTIMATIVA[[#This Row],[QT_CANA_REAL]],ESTIMATIVA[[#This Row],[QT_CANA_EST]])</f>
        <v>4199.5200000000004</v>
      </c>
      <c r="AE1521" s="1">
        <f>IF(ESTIMATIVA[[#This Row],[QT_AREA_REAL]]&gt;0,ESTIMATIVA[[#This Row],[QT_CANA_REAL]],ESTIMATIVA[[#This Row],[QT_CANA_REST1]])</f>
        <v>4199.5200000000004</v>
      </c>
      <c r="AF1521" s="1">
        <f>IF(ESTIMATIVA[[#This Row],[QT_AREA_REAL]]&gt;0,ESTIMATIVA[[#This Row],[QT_CANA_REAL]],ESTIMATIVA[[#This Row],[QT_CANA_REST2]])</f>
        <v>4199.5200000000004</v>
      </c>
      <c r="AG1521" s="1" t="str">
        <f>IF(COUNTIFS(GEADA!A:A,VALUE(ESTIMATIVA[[#This Row],[CD_UPNIVEL1]]&amp;TEXT(ESTIMATIVA[[#This Row],[CD_UPNIVEL3]],"0000")))&gt;0,"S","N")</f>
        <v>N</v>
      </c>
      <c r="AH152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21" s="55" t="str">
        <f>IF(ESTIMATIVA[[#This Row],[TP_CULTIVO]]="Irrigado",_xlfn.MAXIFS(IRRIGADO!J:J,IRRIGADO!C:C,ESTIMATIVA[[#This Row],[CD_UPNIVEL1]],IRRIGADO!E:E,ESTIMATIVA[[#This Row],[CD_UPNIVEL3]]),"")</f>
        <v/>
      </c>
      <c r="AJ152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21" s="1">
        <f>COUNTIFS(Apresentação!$E$23:$E$29,ESTIMATIVA[[#This Row],[CD_UPNIVEL1]])</f>
        <v>0</v>
      </c>
    </row>
    <row r="1522" spans="1:37" x14ac:dyDescent="0.3">
      <c r="A1522">
        <v>20570</v>
      </c>
      <c r="B1522" t="s">
        <v>76</v>
      </c>
      <c r="C1522">
        <v>31</v>
      </c>
      <c r="D1522">
        <v>3</v>
      </c>
      <c r="E1522" t="s">
        <v>263</v>
      </c>
      <c r="F1522" s="85" t="s">
        <v>333</v>
      </c>
      <c r="G1522"/>
      <c r="H1522" t="s">
        <v>294</v>
      </c>
      <c r="I1522" t="s">
        <v>205</v>
      </c>
      <c r="J1522" t="s">
        <v>176</v>
      </c>
      <c r="K1522" s="1">
        <v>28.99</v>
      </c>
      <c r="L1522" s="1">
        <v>28.99</v>
      </c>
      <c r="M1522" s="1">
        <v>0</v>
      </c>
      <c r="N1522" s="1">
        <v>28.99</v>
      </c>
      <c r="O1522" s="1">
        <v>2609.1</v>
      </c>
      <c r="P1522" s="1">
        <v>2638.09</v>
      </c>
      <c r="Q1522" s="1">
        <v>0</v>
      </c>
      <c r="R1522" s="1">
        <v>2231.4299999999998</v>
      </c>
      <c r="S1522" t="s">
        <v>12</v>
      </c>
      <c r="T1522" s="13">
        <v>45893</v>
      </c>
      <c r="U1522" s="1" t="str">
        <f>IF(ESTIMATIVA[[#This Row],[QT_AREA_REAL]]&gt;0,"1- Colhido","2- à Colher")</f>
        <v>1- Colhido</v>
      </c>
      <c r="V1522" s="1" t="str">
        <f>IF(ESTIMATIVA[[#This Row],[QT_AREA_REST1]]&gt;0,"Reestimativa 1",IF(ESTIMATIVA[[#This Row],[QT_AREA_REAL]]=0,"Reestimativa 1","Realizado"))</f>
        <v>Reestimativa 1</v>
      </c>
      <c r="W1522" s="1" t="str">
        <f>IF(ESTIMATIVA[[#This Row],[QT_AREA_REST2]]&gt;0,"Reestimativa 2",IF(ESTIMATIVA[[#This Row],[QT_AREA_REAL]]=0,"Reestimativa 2","Realizado"))</f>
        <v>Realizado</v>
      </c>
      <c r="X1522" s="1">
        <f>ESTIMATIVA[[#This Row],[QT_AREA_EST]]</f>
        <v>28.99</v>
      </c>
      <c r="Y1522" s="1">
        <f>IF(ESTIMATIVA[[#This Row],[QT_AREA_REST1]]&gt;0,ESTIMATIVA[[#This Row],[QT_AREA_REST1]],
  IF(ESTIMATIVA[[#This Row],[QT_AREA_REAL]]&gt;0,ESTIMATIVA[[#This Row],[QT_AREA_REAL]],ESTIMATIVA[[#This Row],[QT_AREA_EST]]))</f>
        <v>28.99</v>
      </c>
      <c r="Z152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28.99</v>
      </c>
      <c r="AA1522" s="1">
        <f>ESTIMATIVA[[#This Row],[QT_CANA_EST]]</f>
        <v>2609.1</v>
      </c>
      <c r="AB1522" s="1">
        <f>IF(ESTIMATIVA[[#This Row],[QT_CANA_REST1]]&gt;0,ESTIMATIVA[[#This Row],[QT_CANA_REST1]],
  IF(ESTIMATIVA[[#This Row],[QT_CANA_REAL]]&gt;0,ESTIMATIVA[[#This Row],[QT_CANA_REAL]],ESTIMATIVA[[#This Row],[QT_CANA_EST]]))</f>
        <v>2638.09</v>
      </c>
      <c r="AC152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2231.4299999999998</v>
      </c>
      <c r="AD1522" s="1">
        <f>IF(ESTIMATIVA[[#This Row],[QT_AREA_REAL]]&gt;0,ESTIMATIVA[[#This Row],[QT_CANA_REAL]],ESTIMATIVA[[#This Row],[QT_CANA_EST]])</f>
        <v>2231.4299999999998</v>
      </c>
      <c r="AE1522" s="1">
        <f>IF(ESTIMATIVA[[#This Row],[QT_AREA_REAL]]&gt;0,ESTIMATIVA[[#This Row],[QT_CANA_REAL]],ESTIMATIVA[[#This Row],[QT_CANA_REST1]])</f>
        <v>2231.4299999999998</v>
      </c>
      <c r="AF1522" s="1">
        <f>IF(ESTIMATIVA[[#This Row],[QT_AREA_REAL]]&gt;0,ESTIMATIVA[[#This Row],[QT_CANA_REAL]],ESTIMATIVA[[#This Row],[QT_CANA_REST2]])</f>
        <v>2231.4299999999998</v>
      </c>
      <c r="AG1522" s="1" t="str">
        <f>IF(COUNTIFS(GEADA!A:A,VALUE(ESTIMATIVA[[#This Row],[CD_UPNIVEL1]]&amp;TEXT(ESTIMATIVA[[#This Row],[CD_UPNIVEL3]],"0000")))&gt;0,"S","N")</f>
        <v>N</v>
      </c>
      <c r="AH152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22" s="55" t="str">
        <f>IF(ESTIMATIVA[[#This Row],[TP_CULTIVO]]="Irrigado",_xlfn.MAXIFS(IRRIGADO!J:J,IRRIGADO!C:C,ESTIMATIVA[[#This Row],[CD_UPNIVEL1]],IRRIGADO!E:E,ESTIMATIVA[[#This Row],[CD_UPNIVEL3]]),"")</f>
        <v/>
      </c>
      <c r="AJ152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22" s="1">
        <f>COUNTIFS(Apresentação!$E$23:$E$29,ESTIMATIVA[[#This Row],[CD_UPNIVEL1]])</f>
        <v>0</v>
      </c>
    </row>
    <row r="1523" spans="1:37" x14ac:dyDescent="0.3">
      <c r="A1523">
        <v>20570</v>
      </c>
      <c r="B1523" t="s">
        <v>76</v>
      </c>
      <c r="C1523">
        <v>32</v>
      </c>
      <c r="D1523">
        <v>3</v>
      </c>
      <c r="E1523" t="s">
        <v>263</v>
      </c>
      <c r="F1523" s="85" t="s">
        <v>333</v>
      </c>
      <c r="G1523"/>
      <c r="H1523" t="s">
        <v>294</v>
      </c>
      <c r="I1523" t="s">
        <v>205</v>
      </c>
      <c r="J1523" t="s">
        <v>176</v>
      </c>
      <c r="K1523" s="1">
        <v>27.56</v>
      </c>
      <c r="L1523" s="1">
        <v>27.56</v>
      </c>
      <c r="M1523" s="1">
        <v>0</v>
      </c>
      <c r="N1523" s="1">
        <v>27.56</v>
      </c>
      <c r="O1523" s="1">
        <v>2480.4</v>
      </c>
      <c r="P1523" s="1">
        <v>2507.96</v>
      </c>
      <c r="Q1523" s="1">
        <v>0</v>
      </c>
      <c r="R1523" s="1">
        <v>2121.58</v>
      </c>
      <c r="S1523" t="s">
        <v>12</v>
      </c>
      <c r="T1523" s="13">
        <v>45893</v>
      </c>
      <c r="U1523" s="1" t="str">
        <f>IF(ESTIMATIVA[[#This Row],[QT_AREA_REAL]]&gt;0,"1- Colhido","2- à Colher")</f>
        <v>1- Colhido</v>
      </c>
      <c r="V1523" s="1" t="str">
        <f>IF(ESTIMATIVA[[#This Row],[QT_AREA_REST1]]&gt;0,"Reestimativa 1",IF(ESTIMATIVA[[#This Row],[QT_AREA_REAL]]=0,"Reestimativa 1","Realizado"))</f>
        <v>Reestimativa 1</v>
      </c>
      <c r="W1523" s="1" t="str">
        <f>IF(ESTIMATIVA[[#This Row],[QT_AREA_REST2]]&gt;0,"Reestimativa 2",IF(ESTIMATIVA[[#This Row],[QT_AREA_REAL]]=0,"Reestimativa 2","Realizado"))</f>
        <v>Realizado</v>
      </c>
      <c r="X1523" s="1">
        <f>ESTIMATIVA[[#This Row],[QT_AREA_EST]]</f>
        <v>27.56</v>
      </c>
      <c r="Y1523" s="1">
        <f>IF(ESTIMATIVA[[#This Row],[QT_AREA_REST1]]&gt;0,ESTIMATIVA[[#This Row],[QT_AREA_REST1]],
  IF(ESTIMATIVA[[#This Row],[QT_AREA_REAL]]&gt;0,ESTIMATIVA[[#This Row],[QT_AREA_REAL]],ESTIMATIVA[[#This Row],[QT_AREA_EST]]))</f>
        <v>27.56</v>
      </c>
      <c r="Z152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27.56</v>
      </c>
      <c r="AA1523" s="1">
        <f>ESTIMATIVA[[#This Row],[QT_CANA_EST]]</f>
        <v>2480.4</v>
      </c>
      <c r="AB1523" s="1">
        <f>IF(ESTIMATIVA[[#This Row],[QT_CANA_REST1]]&gt;0,ESTIMATIVA[[#This Row],[QT_CANA_REST1]],
  IF(ESTIMATIVA[[#This Row],[QT_CANA_REAL]]&gt;0,ESTIMATIVA[[#This Row],[QT_CANA_REAL]],ESTIMATIVA[[#This Row],[QT_CANA_EST]]))</f>
        <v>2507.96</v>
      </c>
      <c r="AC152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2121.58</v>
      </c>
      <c r="AD1523" s="1">
        <f>IF(ESTIMATIVA[[#This Row],[QT_AREA_REAL]]&gt;0,ESTIMATIVA[[#This Row],[QT_CANA_REAL]],ESTIMATIVA[[#This Row],[QT_CANA_EST]])</f>
        <v>2121.58</v>
      </c>
      <c r="AE1523" s="1">
        <f>IF(ESTIMATIVA[[#This Row],[QT_AREA_REAL]]&gt;0,ESTIMATIVA[[#This Row],[QT_CANA_REAL]],ESTIMATIVA[[#This Row],[QT_CANA_REST1]])</f>
        <v>2121.58</v>
      </c>
      <c r="AF1523" s="1">
        <f>IF(ESTIMATIVA[[#This Row],[QT_AREA_REAL]]&gt;0,ESTIMATIVA[[#This Row],[QT_CANA_REAL]],ESTIMATIVA[[#This Row],[QT_CANA_REST2]])</f>
        <v>2121.58</v>
      </c>
      <c r="AG1523" s="1" t="str">
        <f>IF(COUNTIFS(GEADA!A:A,VALUE(ESTIMATIVA[[#This Row],[CD_UPNIVEL1]]&amp;TEXT(ESTIMATIVA[[#This Row],[CD_UPNIVEL3]],"0000")))&gt;0,"S","N")</f>
        <v>N</v>
      </c>
      <c r="AH152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23" s="55" t="str">
        <f>IF(ESTIMATIVA[[#This Row],[TP_CULTIVO]]="Irrigado",_xlfn.MAXIFS(IRRIGADO!J:J,IRRIGADO!C:C,ESTIMATIVA[[#This Row],[CD_UPNIVEL1]],IRRIGADO!E:E,ESTIMATIVA[[#This Row],[CD_UPNIVEL3]]),"")</f>
        <v/>
      </c>
      <c r="AJ152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23" s="1">
        <f>COUNTIFS(Apresentação!$E$23:$E$29,ESTIMATIVA[[#This Row],[CD_UPNIVEL1]])</f>
        <v>0</v>
      </c>
    </row>
    <row r="1524" spans="1:37" x14ac:dyDescent="0.3">
      <c r="A1524">
        <v>20570</v>
      </c>
      <c r="B1524" t="s">
        <v>76</v>
      </c>
      <c r="C1524">
        <v>33</v>
      </c>
      <c r="D1524">
        <v>3</v>
      </c>
      <c r="E1524" t="s">
        <v>263</v>
      </c>
      <c r="F1524" s="85" t="s">
        <v>333</v>
      </c>
      <c r="G1524"/>
      <c r="H1524" t="s">
        <v>294</v>
      </c>
      <c r="I1524" t="s">
        <v>205</v>
      </c>
      <c r="J1524" t="s">
        <v>176</v>
      </c>
      <c r="K1524" s="1">
        <v>19.5</v>
      </c>
      <c r="L1524" s="1">
        <v>19.5</v>
      </c>
      <c r="M1524" s="1">
        <v>0</v>
      </c>
      <c r="N1524" s="1">
        <v>19.5</v>
      </c>
      <c r="O1524" s="1">
        <v>1755</v>
      </c>
      <c r="P1524" s="1">
        <v>1774.5</v>
      </c>
      <c r="Q1524" s="1">
        <v>0</v>
      </c>
      <c r="R1524" s="1">
        <v>1554.35</v>
      </c>
      <c r="S1524" t="s">
        <v>12</v>
      </c>
      <c r="T1524" s="13">
        <v>45893</v>
      </c>
      <c r="U1524" s="1" t="str">
        <f>IF(ESTIMATIVA[[#This Row],[QT_AREA_REAL]]&gt;0,"1- Colhido","2- à Colher")</f>
        <v>1- Colhido</v>
      </c>
      <c r="V1524" s="1" t="str">
        <f>IF(ESTIMATIVA[[#This Row],[QT_AREA_REST1]]&gt;0,"Reestimativa 1",IF(ESTIMATIVA[[#This Row],[QT_AREA_REAL]]=0,"Reestimativa 1","Realizado"))</f>
        <v>Reestimativa 1</v>
      </c>
      <c r="W1524" s="1" t="str">
        <f>IF(ESTIMATIVA[[#This Row],[QT_AREA_REST2]]&gt;0,"Reestimativa 2",IF(ESTIMATIVA[[#This Row],[QT_AREA_REAL]]=0,"Reestimativa 2","Realizado"))</f>
        <v>Realizado</v>
      </c>
      <c r="X1524" s="1">
        <f>ESTIMATIVA[[#This Row],[QT_AREA_EST]]</f>
        <v>19.5</v>
      </c>
      <c r="Y1524" s="1">
        <f>IF(ESTIMATIVA[[#This Row],[QT_AREA_REST1]]&gt;0,ESTIMATIVA[[#This Row],[QT_AREA_REST1]],
  IF(ESTIMATIVA[[#This Row],[QT_AREA_REAL]]&gt;0,ESTIMATIVA[[#This Row],[QT_AREA_REAL]],ESTIMATIVA[[#This Row],[QT_AREA_EST]]))</f>
        <v>19.5</v>
      </c>
      <c r="Z152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19.5</v>
      </c>
      <c r="AA1524" s="1">
        <f>ESTIMATIVA[[#This Row],[QT_CANA_EST]]</f>
        <v>1755</v>
      </c>
      <c r="AB1524" s="1">
        <f>IF(ESTIMATIVA[[#This Row],[QT_CANA_REST1]]&gt;0,ESTIMATIVA[[#This Row],[QT_CANA_REST1]],
  IF(ESTIMATIVA[[#This Row],[QT_CANA_REAL]]&gt;0,ESTIMATIVA[[#This Row],[QT_CANA_REAL]],ESTIMATIVA[[#This Row],[QT_CANA_EST]]))</f>
        <v>1774.5</v>
      </c>
      <c r="AC152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1554.35</v>
      </c>
      <c r="AD1524" s="1">
        <f>IF(ESTIMATIVA[[#This Row],[QT_AREA_REAL]]&gt;0,ESTIMATIVA[[#This Row],[QT_CANA_REAL]],ESTIMATIVA[[#This Row],[QT_CANA_EST]])</f>
        <v>1554.35</v>
      </c>
      <c r="AE1524" s="1">
        <f>IF(ESTIMATIVA[[#This Row],[QT_AREA_REAL]]&gt;0,ESTIMATIVA[[#This Row],[QT_CANA_REAL]],ESTIMATIVA[[#This Row],[QT_CANA_REST1]])</f>
        <v>1554.35</v>
      </c>
      <c r="AF1524" s="1">
        <f>IF(ESTIMATIVA[[#This Row],[QT_AREA_REAL]]&gt;0,ESTIMATIVA[[#This Row],[QT_CANA_REAL]],ESTIMATIVA[[#This Row],[QT_CANA_REST2]])</f>
        <v>1554.35</v>
      </c>
      <c r="AG1524" s="1" t="str">
        <f>IF(COUNTIFS(GEADA!A:A,VALUE(ESTIMATIVA[[#This Row],[CD_UPNIVEL1]]&amp;TEXT(ESTIMATIVA[[#This Row],[CD_UPNIVEL3]],"0000")))&gt;0,"S","N")</f>
        <v>N</v>
      </c>
      <c r="AH152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24" s="55" t="str">
        <f>IF(ESTIMATIVA[[#This Row],[TP_CULTIVO]]="Irrigado",_xlfn.MAXIFS(IRRIGADO!J:J,IRRIGADO!C:C,ESTIMATIVA[[#This Row],[CD_UPNIVEL1]],IRRIGADO!E:E,ESTIMATIVA[[#This Row],[CD_UPNIVEL3]]),"")</f>
        <v/>
      </c>
      <c r="AJ152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24" s="1">
        <f>COUNTIFS(Apresentação!$E$23:$E$29,ESTIMATIVA[[#This Row],[CD_UPNIVEL1]])</f>
        <v>0</v>
      </c>
    </row>
    <row r="1525" spans="1:37" x14ac:dyDescent="0.3">
      <c r="A1525">
        <v>20570</v>
      </c>
      <c r="B1525" t="s">
        <v>76</v>
      </c>
      <c r="C1525">
        <v>34</v>
      </c>
      <c r="D1525">
        <v>3</v>
      </c>
      <c r="E1525" t="s">
        <v>263</v>
      </c>
      <c r="F1525" s="85" t="s">
        <v>331</v>
      </c>
      <c r="G1525"/>
      <c r="H1525" t="s">
        <v>294</v>
      </c>
      <c r="I1525" t="s">
        <v>205</v>
      </c>
      <c r="J1525" t="s">
        <v>176</v>
      </c>
      <c r="K1525" s="1">
        <v>21.97</v>
      </c>
      <c r="L1525" s="1">
        <v>21.97</v>
      </c>
      <c r="M1525" s="1">
        <v>0</v>
      </c>
      <c r="N1525" s="1">
        <v>21.97</v>
      </c>
      <c r="O1525" s="1">
        <v>1977.3</v>
      </c>
      <c r="P1525" s="1">
        <v>1999.27</v>
      </c>
      <c r="Q1525" s="1">
        <v>0</v>
      </c>
      <c r="R1525" s="1">
        <v>1750.62</v>
      </c>
      <c r="S1525" t="s">
        <v>12</v>
      </c>
      <c r="T1525" s="13">
        <v>45893</v>
      </c>
      <c r="U1525" s="1" t="str">
        <f>IF(ESTIMATIVA[[#This Row],[QT_AREA_REAL]]&gt;0,"1- Colhido","2- à Colher")</f>
        <v>1- Colhido</v>
      </c>
      <c r="V1525" s="1" t="str">
        <f>IF(ESTIMATIVA[[#This Row],[QT_AREA_REST1]]&gt;0,"Reestimativa 1",IF(ESTIMATIVA[[#This Row],[QT_AREA_REAL]]=0,"Reestimativa 1","Realizado"))</f>
        <v>Reestimativa 1</v>
      </c>
      <c r="W1525" s="1" t="str">
        <f>IF(ESTIMATIVA[[#This Row],[QT_AREA_REST2]]&gt;0,"Reestimativa 2",IF(ESTIMATIVA[[#This Row],[QT_AREA_REAL]]=0,"Reestimativa 2","Realizado"))</f>
        <v>Realizado</v>
      </c>
      <c r="X1525" s="1">
        <f>ESTIMATIVA[[#This Row],[QT_AREA_EST]]</f>
        <v>21.97</v>
      </c>
      <c r="Y1525" s="1">
        <f>IF(ESTIMATIVA[[#This Row],[QT_AREA_REST1]]&gt;0,ESTIMATIVA[[#This Row],[QT_AREA_REST1]],
  IF(ESTIMATIVA[[#This Row],[QT_AREA_REAL]]&gt;0,ESTIMATIVA[[#This Row],[QT_AREA_REAL]],ESTIMATIVA[[#This Row],[QT_AREA_EST]]))</f>
        <v>21.97</v>
      </c>
      <c r="Z152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21.97</v>
      </c>
      <c r="AA1525" s="1">
        <f>ESTIMATIVA[[#This Row],[QT_CANA_EST]]</f>
        <v>1977.3</v>
      </c>
      <c r="AB1525" s="1">
        <f>IF(ESTIMATIVA[[#This Row],[QT_CANA_REST1]]&gt;0,ESTIMATIVA[[#This Row],[QT_CANA_REST1]],
  IF(ESTIMATIVA[[#This Row],[QT_CANA_REAL]]&gt;0,ESTIMATIVA[[#This Row],[QT_CANA_REAL]],ESTIMATIVA[[#This Row],[QT_CANA_EST]]))</f>
        <v>1999.27</v>
      </c>
      <c r="AC152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1750.62</v>
      </c>
      <c r="AD1525" s="1">
        <f>IF(ESTIMATIVA[[#This Row],[QT_AREA_REAL]]&gt;0,ESTIMATIVA[[#This Row],[QT_CANA_REAL]],ESTIMATIVA[[#This Row],[QT_CANA_EST]])</f>
        <v>1750.62</v>
      </c>
      <c r="AE1525" s="1">
        <f>IF(ESTIMATIVA[[#This Row],[QT_AREA_REAL]]&gt;0,ESTIMATIVA[[#This Row],[QT_CANA_REAL]],ESTIMATIVA[[#This Row],[QT_CANA_REST1]])</f>
        <v>1750.62</v>
      </c>
      <c r="AF1525" s="1">
        <f>IF(ESTIMATIVA[[#This Row],[QT_AREA_REAL]]&gt;0,ESTIMATIVA[[#This Row],[QT_CANA_REAL]],ESTIMATIVA[[#This Row],[QT_CANA_REST2]])</f>
        <v>1750.62</v>
      </c>
      <c r="AG1525" s="1" t="str">
        <f>IF(COUNTIFS(GEADA!A:A,VALUE(ESTIMATIVA[[#This Row],[CD_UPNIVEL1]]&amp;TEXT(ESTIMATIVA[[#This Row],[CD_UPNIVEL3]],"0000")))&gt;0,"S","N")</f>
        <v>N</v>
      </c>
      <c r="AH152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25" s="55" t="str">
        <f>IF(ESTIMATIVA[[#This Row],[TP_CULTIVO]]="Irrigado",_xlfn.MAXIFS(IRRIGADO!J:J,IRRIGADO!C:C,ESTIMATIVA[[#This Row],[CD_UPNIVEL1]],IRRIGADO!E:E,ESTIMATIVA[[#This Row],[CD_UPNIVEL3]]),"")</f>
        <v/>
      </c>
      <c r="AJ152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25" s="1">
        <f>COUNTIFS(Apresentação!$E$23:$E$29,ESTIMATIVA[[#This Row],[CD_UPNIVEL1]])</f>
        <v>0</v>
      </c>
    </row>
    <row r="1526" spans="1:37" x14ac:dyDescent="0.3">
      <c r="A1526">
        <v>20570</v>
      </c>
      <c r="B1526" t="s">
        <v>76</v>
      </c>
      <c r="C1526">
        <v>35</v>
      </c>
      <c r="D1526">
        <v>2</v>
      </c>
      <c r="E1526" t="s">
        <v>266</v>
      </c>
      <c r="F1526" s="85" t="s">
        <v>333</v>
      </c>
      <c r="G1526"/>
      <c r="H1526" t="s">
        <v>294</v>
      </c>
      <c r="I1526" t="s">
        <v>198</v>
      </c>
      <c r="J1526" t="s">
        <v>176</v>
      </c>
      <c r="K1526" s="1">
        <v>49.96</v>
      </c>
      <c r="L1526" s="1">
        <v>49.96</v>
      </c>
      <c r="M1526" s="1">
        <v>0</v>
      </c>
      <c r="N1526" s="1">
        <v>49.96</v>
      </c>
      <c r="O1526" s="1">
        <v>3996.8</v>
      </c>
      <c r="P1526" s="1">
        <v>3896.88</v>
      </c>
      <c r="Q1526" s="1">
        <v>0</v>
      </c>
      <c r="R1526" s="1">
        <v>3517.51</v>
      </c>
      <c r="S1526" t="s">
        <v>12</v>
      </c>
      <c r="T1526" s="13">
        <v>45893</v>
      </c>
      <c r="U1526" s="1" t="str">
        <f>IF(ESTIMATIVA[[#This Row],[QT_AREA_REAL]]&gt;0,"1- Colhido","2- à Colher")</f>
        <v>1- Colhido</v>
      </c>
      <c r="V1526" s="1" t="str">
        <f>IF(ESTIMATIVA[[#This Row],[QT_AREA_REST1]]&gt;0,"Reestimativa 1",IF(ESTIMATIVA[[#This Row],[QT_AREA_REAL]]=0,"Reestimativa 1","Realizado"))</f>
        <v>Reestimativa 1</v>
      </c>
      <c r="W1526" s="1" t="str">
        <f>IF(ESTIMATIVA[[#This Row],[QT_AREA_REST2]]&gt;0,"Reestimativa 2",IF(ESTIMATIVA[[#This Row],[QT_AREA_REAL]]=0,"Reestimativa 2","Realizado"))</f>
        <v>Realizado</v>
      </c>
      <c r="X1526" s="1">
        <f>ESTIMATIVA[[#This Row],[QT_AREA_EST]]</f>
        <v>49.96</v>
      </c>
      <c r="Y1526" s="1">
        <f>IF(ESTIMATIVA[[#This Row],[QT_AREA_REST1]]&gt;0,ESTIMATIVA[[#This Row],[QT_AREA_REST1]],
  IF(ESTIMATIVA[[#This Row],[QT_AREA_REAL]]&gt;0,ESTIMATIVA[[#This Row],[QT_AREA_REAL]],ESTIMATIVA[[#This Row],[QT_AREA_EST]]))</f>
        <v>49.96</v>
      </c>
      <c r="Z152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49.96</v>
      </c>
      <c r="AA1526" s="1">
        <f>ESTIMATIVA[[#This Row],[QT_CANA_EST]]</f>
        <v>3996.8</v>
      </c>
      <c r="AB1526" s="1">
        <f>IF(ESTIMATIVA[[#This Row],[QT_CANA_REST1]]&gt;0,ESTIMATIVA[[#This Row],[QT_CANA_REST1]],
  IF(ESTIMATIVA[[#This Row],[QT_CANA_REAL]]&gt;0,ESTIMATIVA[[#This Row],[QT_CANA_REAL]],ESTIMATIVA[[#This Row],[QT_CANA_EST]]))</f>
        <v>3896.88</v>
      </c>
      <c r="AC152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3517.51</v>
      </c>
      <c r="AD1526" s="1">
        <f>IF(ESTIMATIVA[[#This Row],[QT_AREA_REAL]]&gt;0,ESTIMATIVA[[#This Row],[QT_CANA_REAL]],ESTIMATIVA[[#This Row],[QT_CANA_EST]])</f>
        <v>3517.51</v>
      </c>
      <c r="AE1526" s="1">
        <f>IF(ESTIMATIVA[[#This Row],[QT_AREA_REAL]]&gt;0,ESTIMATIVA[[#This Row],[QT_CANA_REAL]],ESTIMATIVA[[#This Row],[QT_CANA_REST1]])</f>
        <v>3517.51</v>
      </c>
      <c r="AF1526" s="1">
        <f>IF(ESTIMATIVA[[#This Row],[QT_AREA_REAL]]&gt;0,ESTIMATIVA[[#This Row],[QT_CANA_REAL]],ESTIMATIVA[[#This Row],[QT_CANA_REST2]])</f>
        <v>3517.51</v>
      </c>
      <c r="AG1526" s="1" t="str">
        <f>IF(COUNTIFS(GEADA!A:A,VALUE(ESTIMATIVA[[#This Row],[CD_UPNIVEL1]]&amp;TEXT(ESTIMATIVA[[#This Row],[CD_UPNIVEL3]],"0000")))&gt;0,"S","N")</f>
        <v>S</v>
      </c>
      <c r="AH152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26" s="55" t="str">
        <f>IF(ESTIMATIVA[[#This Row],[TP_CULTIVO]]="Irrigado",_xlfn.MAXIFS(IRRIGADO!J:J,IRRIGADO!C:C,ESTIMATIVA[[#This Row],[CD_UPNIVEL1]],IRRIGADO!E:E,ESTIMATIVA[[#This Row],[CD_UPNIVEL3]]),"")</f>
        <v/>
      </c>
      <c r="AJ152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26" s="1">
        <f>COUNTIFS(Apresentação!$E$23:$E$29,ESTIMATIVA[[#This Row],[CD_UPNIVEL1]])</f>
        <v>0</v>
      </c>
    </row>
    <row r="1527" spans="1:37" x14ac:dyDescent="0.3">
      <c r="A1527">
        <v>20570</v>
      </c>
      <c r="B1527" t="s">
        <v>76</v>
      </c>
      <c r="C1527">
        <v>84</v>
      </c>
      <c r="D1527">
        <v>3</v>
      </c>
      <c r="E1527" t="s">
        <v>263</v>
      </c>
      <c r="F1527" s="85" t="s">
        <v>331</v>
      </c>
      <c r="G1527"/>
      <c r="H1527" t="s">
        <v>294</v>
      </c>
      <c r="I1527" t="s">
        <v>205</v>
      </c>
      <c r="J1527" t="s">
        <v>176</v>
      </c>
      <c r="K1527" s="1">
        <v>46.39</v>
      </c>
      <c r="L1527" s="1">
        <v>46.39</v>
      </c>
      <c r="M1527" s="1">
        <v>0</v>
      </c>
      <c r="N1527" s="1">
        <v>46.39</v>
      </c>
      <c r="O1527" s="1">
        <v>4175.1000000000004</v>
      </c>
      <c r="P1527" s="1">
        <v>3757.59</v>
      </c>
      <c r="Q1527" s="1">
        <v>0</v>
      </c>
      <c r="R1527" s="1">
        <v>4046.44</v>
      </c>
      <c r="S1527" t="s">
        <v>12</v>
      </c>
      <c r="T1527" s="13">
        <v>45893</v>
      </c>
      <c r="U1527" s="1" t="str">
        <f>IF(ESTIMATIVA[[#This Row],[QT_AREA_REAL]]&gt;0,"1- Colhido","2- à Colher")</f>
        <v>1- Colhido</v>
      </c>
      <c r="V1527" s="1" t="str">
        <f>IF(ESTIMATIVA[[#This Row],[QT_AREA_REST1]]&gt;0,"Reestimativa 1",IF(ESTIMATIVA[[#This Row],[QT_AREA_REAL]]=0,"Reestimativa 1","Realizado"))</f>
        <v>Reestimativa 1</v>
      </c>
      <c r="W1527" s="1" t="str">
        <f>IF(ESTIMATIVA[[#This Row],[QT_AREA_REST2]]&gt;0,"Reestimativa 2",IF(ESTIMATIVA[[#This Row],[QT_AREA_REAL]]=0,"Reestimativa 2","Realizado"))</f>
        <v>Realizado</v>
      </c>
      <c r="X1527" s="1">
        <f>ESTIMATIVA[[#This Row],[QT_AREA_EST]]</f>
        <v>46.39</v>
      </c>
      <c r="Y1527" s="1">
        <f>IF(ESTIMATIVA[[#This Row],[QT_AREA_REST1]]&gt;0,ESTIMATIVA[[#This Row],[QT_AREA_REST1]],
  IF(ESTIMATIVA[[#This Row],[QT_AREA_REAL]]&gt;0,ESTIMATIVA[[#This Row],[QT_AREA_REAL]],ESTIMATIVA[[#This Row],[QT_AREA_EST]]))</f>
        <v>46.39</v>
      </c>
      <c r="Z152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46.39</v>
      </c>
      <c r="AA1527" s="1">
        <f>ESTIMATIVA[[#This Row],[QT_CANA_EST]]</f>
        <v>4175.1000000000004</v>
      </c>
      <c r="AB1527" s="1">
        <f>IF(ESTIMATIVA[[#This Row],[QT_CANA_REST1]]&gt;0,ESTIMATIVA[[#This Row],[QT_CANA_REST1]],
  IF(ESTIMATIVA[[#This Row],[QT_CANA_REAL]]&gt;0,ESTIMATIVA[[#This Row],[QT_CANA_REAL]],ESTIMATIVA[[#This Row],[QT_CANA_EST]]))</f>
        <v>3757.59</v>
      </c>
      <c r="AC152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4046.44</v>
      </c>
      <c r="AD1527" s="1">
        <f>IF(ESTIMATIVA[[#This Row],[QT_AREA_REAL]]&gt;0,ESTIMATIVA[[#This Row],[QT_CANA_REAL]],ESTIMATIVA[[#This Row],[QT_CANA_EST]])</f>
        <v>4046.44</v>
      </c>
      <c r="AE1527" s="1">
        <f>IF(ESTIMATIVA[[#This Row],[QT_AREA_REAL]]&gt;0,ESTIMATIVA[[#This Row],[QT_CANA_REAL]],ESTIMATIVA[[#This Row],[QT_CANA_REST1]])</f>
        <v>4046.44</v>
      </c>
      <c r="AF1527" s="1">
        <f>IF(ESTIMATIVA[[#This Row],[QT_AREA_REAL]]&gt;0,ESTIMATIVA[[#This Row],[QT_CANA_REAL]],ESTIMATIVA[[#This Row],[QT_CANA_REST2]])</f>
        <v>4046.44</v>
      </c>
      <c r="AG1527" s="1" t="str">
        <f>IF(COUNTIFS(GEADA!A:A,VALUE(ESTIMATIVA[[#This Row],[CD_UPNIVEL1]]&amp;TEXT(ESTIMATIVA[[#This Row],[CD_UPNIVEL3]],"0000")))&gt;0,"S","N")</f>
        <v>N</v>
      </c>
      <c r="AH152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27" s="55" t="str">
        <f>IF(ESTIMATIVA[[#This Row],[TP_CULTIVO]]="Irrigado",_xlfn.MAXIFS(IRRIGADO!J:J,IRRIGADO!C:C,ESTIMATIVA[[#This Row],[CD_UPNIVEL1]],IRRIGADO!E:E,ESTIMATIVA[[#This Row],[CD_UPNIVEL3]]),"")</f>
        <v/>
      </c>
      <c r="AJ152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27" s="1">
        <f>COUNTIFS(Apresentação!$E$23:$E$29,ESTIMATIVA[[#This Row],[CD_UPNIVEL1]])</f>
        <v>0</v>
      </c>
    </row>
    <row r="1528" spans="1:37" x14ac:dyDescent="0.3">
      <c r="A1528">
        <v>20570</v>
      </c>
      <c r="B1528" t="s">
        <v>76</v>
      </c>
      <c r="C1528">
        <v>85</v>
      </c>
      <c r="D1528">
        <v>3</v>
      </c>
      <c r="E1528" t="s">
        <v>263</v>
      </c>
      <c r="F1528" s="85" t="s">
        <v>331</v>
      </c>
      <c r="G1528"/>
      <c r="H1528" t="s">
        <v>294</v>
      </c>
      <c r="I1528" t="s">
        <v>205</v>
      </c>
      <c r="J1528" t="s">
        <v>176</v>
      </c>
      <c r="K1528" s="1">
        <v>50.37</v>
      </c>
      <c r="L1528" s="1">
        <v>50.37</v>
      </c>
      <c r="M1528" s="1">
        <v>0</v>
      </c>
      <c r="N1528" s="1">
        <v>50.37</v>
      </c>
      <c r="O1528" s="1">
        <v>4533.3</v>
      </c>
      <c r="P1528" s="1">
        <v>4583.67</v>
      </c>
      <c r="Q1528" s="1">
        <v>0</v>
      </c>
      <c r="R1528" s="1">
        <v>4936.12</v>
      </c>
      <c r="S1528" t="s">
        <v>12</v>
      </c>
      <c r="T1528" s="13">
        <v>45893</v>
      </c>
      <c r="U1528" s="1" t="str">
        <f>IF(ESTIMATIVA[[#This Row],[QT_AREA_REAL]]&gt;0,"1- Colhido","2- à Colher")</f>
        <v>1- Colhido</v>
      </c>
      <c r="V1528" s="1" t="str">
        <f>IF(ESTIMATIVA[[#This Row],[QT_AREA_REST1]]&gt;0,"Reestimativa 1",IF(ESTIMATIVA[[#This Row],[QT_AREA_REAL]]=0,"Reestimativa 1","Realizado"))</f>
        <v>Reestimativa 1</v>
      </c>
      <c r="W1528" s="1" t="str">
        <f>IF(ESTIMATIVA[[#This Row],[QT_AREA_REST2]]&gt;0,"Reestimativa 2",IF(ESTIMATIVA[[#This Row],[QT_AREA_REAL]]=0,"Reestimativa 2","Realizado"))</f>
        <v>Realizado</v>
      </c>
      <c r="X1528" s="1">
        <f>ESTIMATIVA[[#This Row],[QT_AREA_EST]]</f>
        <v>50.37</v>
      </c>
      <c r="Y1528" s="1">
        <f>IF(ESTIMATIVA[[#This Row],[QT_AREA_REST1]]&gt;0,ESTIMATIVA[[#This Row],[QT_AREA_REST1]],
  IF(ESTIMATIVA[[#This Row],[QT_AREA_REAL]]&gt;0,ESTIMATIVA[[#This Row],[QT_AREA_REAL]],ESTIMATIVA[[#This Row],[QT_AREA_EST]]))</f>
        <v>50.37</v>
      </c>
      <c r="Z152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50.37</v>
      </c>
      <c r="AA1528" s="1">
        <f>ESTIMATIVA[[#This Row],[QT_CANA_EST]]</f>
        <v>4533.3</v>
      </c>
      <c r="AB1528" s="1">
        <f>IF(ESTIMATIVA[[#This Row],[QT_CANA_REST1]]&gt;0,ESTIMATIVA[[#This Row],[QT_CANA_REST1]],
  IF(ESTIMATIVA[[#This Row],[QT_CANA_REAL]]&gt;0,ESTIMATIVA[[#This Row],[QT_CANA_REAL]],ESTIMATIVA[[#This Row],[QT_CANA_EST]]))</f>
        <v>4583.67</v>
      </c>
      <c r="AC152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4936.12</v>
      </c>
      <c r="AD1528" s="1">
        <f>IF(ESTIMATIVA[[#This Row],[QT_AREA_REAL]]&gt;0,ESTIMATIVA[[#This Row],[QT_CANA_REAL]],ESTIMATIVA[[#This Row],[QT_CANA_EST]])</f>
        <v>4936.12</v>
      </c>
      <c r="AE1528" s="1">
        <f>IF(ESTIMATIVA[[#This Row],[QT_AREA_REAL]]&gt;0,ESTIMATIVA[[#This Row],[QT_CANA_REAL]],ESTIMATIVA[[#This Row],[QT_CANA_REST1]])</f>
        <v>4936.12</v>
      </c>
      <c r="AF1528" s="1">
        <f>IF(ESTIMATIVA[[#This Row],[QT_AREA_REAL]]&gt;0,ESTIMATIVA[[#This Row],[QT_CANA_REAL]],ESTIMATIVA[[#This Row],[QT_CANA_REST2]])</f>
        <v>4936.12</v>
      </c>
      <c r="AG1528" s="1" t="str">
        <f>IF(COUNTIFS(GEADA!A:A,VALUE(ESTIMATIVA[[#This Row],[CD_UPNIVEL1]]&amp;TEXT(ESTIMATIVA[[#This Row],[CD_UPNIVEL3]],"0000")))&gt;0,"S","N")</f>
        <v>N</v>
      </c>
      <c r="AH152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28" s="55" t="str">
        <f>IF(ESTIMATIVA[[#This Row],[TP_CULTIVO]]="Irrigado",_xlfn.MAXIFS(IRRIGADO!J:J,IRRIGADO!C:C,ESTIMATIVA[[#This Row],[CD_UPNIVEL1]],IRRIGADO!E:E,ESTIMATIVA[[#This Row],[CD_UPNIVEL3]]),"")</f>
        <v/>
      </c>
      <c r="AJ152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28" s="1">
        <f>COUNTIFS(Apresentação!$E$23:$E$29,ESTIMATIVA[[#This Row],[CD_UPNIVEL1]])</f>
        <v>0</v>
      </c>
    </row>
    <row r="1529" spans="1:37" x14ac:dyDescent="0.3">
      <c r="A1529">
        <v>20571</v>
      </c>
      <c r="B1529" t="s">
        <v>62</v>
      </c>
      <c r="C1529">
        <v>1</v>
      </c>
      <c r="D1529">
        <v>5</v>
      </c>
      <c r="E1529" t="s">
        <v>268</v>
      </c>
      <c r="F1529" s="85" t="s">
        <v>331</v>
      </c>
      <c r="G1529"/>
      <c r="H1529" t="s">
        <v>294</v>
      </c>
      <c r="I1529" t="s">
        <v>221</v>
      </c>
      <c r="J1529" t="s">
        <v>176</v>
      </c>
      <c r="K1529" s="1">
        <v>12.51</v>
      </c>
      <c r="L1529" s="1">
        <v>12.51</v>
      </c>
      <c r="M1529" s="1">
        <v>0</v>
      </c>
      <c r="N1529" s="1">
        <v>12.51</v>
      </c>
      <c r="O1529" s="1">
        <v>625.5</v>
      </c>
      <c r="P1529" s="1">
        <v>750.6</v>
      </c>
      <c r="Q1529" s="1">
        <v>0</v>
      </c>
      <c r="R1529" s="1">
        <v>573.88</v>
      </c>
      <c r="S1529" t="s">
        <v>12</v>
      </c>
      <c r="T1529" s="13">
        <v>45886</v>
      </c>
      <c r="U1529" s="1" t="str">
        <f>IF(ESTIMATIVA[[#This Row],[QT_AREA_REAL]]&gt;0,"1- Colhido","2- à Colher")</f>
        <v>1- Colhido</v>
      </c>
      <c r="V1529" s="1" t="str">
        <f>IF(ESTIMATIVA[[#This Row],[QT_AREA_REST1]]&gt;0,"Reestimativa 1",IF(ESTIMATIVA[[#This Row],[QT_AREA_REAL]]=0,"Reestimativa 1","Realizado"))</f>
        <v>Reestimativa 1</v>
      </c>
      <c r="W1529" s="1" t="str">
        <f>IF(ESTIMATIVA[[#This Row],[QT_AREA_REST2]]&gt;0,"Reestimativa 2",IF(ESTIMATIVA[[#This Row],[QT_AREA_REAL]]=0,"Reestimativa 2","Realizado"))</f>
        <v>Realizado</v>
      </c>
      <c r="X1529" s="1">
        <f>ESTIMATIVA[[#This Row],[QT_AREA_EST]]</f>
        <v>12.51</v>
      </c>
      <c r="Y1529" s="1">
        <f>IF(ESTIMATIVA[[#This Row],[QT_AREA_REST1]]&gt;0,ESTIMATIVA[[#This Row],[QT_AREA_REST1]],
  IF(ESTIMATIVA[[#This Row],[QT_AREA_REAL]]&gt;0,ESTIMATIVA[[#This Row],[QT_AREA_REAL]],ESTIMATIVA[[#This Row],[QT_AREA_EST]]))</f>
        <v>12.51</v>
      </c>
      <c r="Z152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12.51</v>
      </c>
      <c r="AA1529" s="1">
        <f>ESTIMATIVA[[#This Row],[QT_CANA_EST]]</f>
        <v>625.5</v>
      </c>
      <c r="AB1529" s="1">
        <f>IF(ESTIMATIVA[[#This Row],[QT_CANA_REST1]]&gt;0,ESTIMATIVA[[#This Row],[QT_CANA_REST1]],
  IF(ESTIMATIVA[[#This Row],[QT_CANA_REAL]]&gt;0,ESTIMATIVA[[#This Row],[QT_CANA_REAL]],ESTIMATIVA[[#This Row],[QT_CANA_EST]]))</f>
        <v>750.6</v>
      </c>
      <c r="AC152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573.88</v>
      </c>
      <c r="AD1529" s="1">
        <f>IF(ESTIMATIVA[[#This Row],[QT_AREA_REAL]]&gt;0,ESTIMATIVA[[#This Row],[QT_CANA_REAL]],ESTIMATIVA[[#This Row],[QT_CANA_EST]])</f>
        <v>573.88</v>
      </c>
      <c r="AE1529" s="1">
        <f>IF(ESTIMATIVA[[#This Row],[QT_AREA_REAL]]&gt;0,ESTIMATIVA[[#This Row],[QT_CANA_REAL]],ESTIMATIVA[[#This Row],[QT_CANA_REST1]])</f>
        <v>573.88</v>
      </c>
      <c r="AF1529" s="1">
        <f>IF(ESTIMATIVA[[#This Row],[QT_AREA_REAL]]&gt;0,ESTIMATIVA[[#This Row],[QT_CANA_REAL]],ESTIMATIVA[[#This Row],[QT_CANA_REST2]])</f>
        <v>573.88</v>
      </c>
      <c r="AG1529" s="1" t="str">
        <f>IF(COUNTIFS(GEADA!A:A,VALUE(ESTIMATIVA[[#This Row],[CD_UPNIVEL1]]&amp;TEXT(ESTIMATIVA[[#This Row],[CD_UPNIVEL3]],"0000")))&gt;0,"S","N")</f>
        <v>N</v>
      </c>
      <c r="AH152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29" s="55" t="str">
        <f>IF(ESTIMATIVA[[#This Row],[TP_CULTIVO]]="Irrigado",_xlfn.MAXIFS(IRRIGADO!J:J,IRRIGADO!C:C,ESTIMATIVA[[#This Row],[CD_UPNIVEL1]],IRRIGADO!E:E,ESTIMATIVA[[#This Row],[CD_UPNIVEL3]]),"")</f>
        <v/>
      </c>
      <c r="AJ152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29" s="1">
        <f>COUNTIFS(Apresentação!$E$23:$E$29,ESTIMATIVA[[#This Row],[CD_UPNIVEL1]])</f>
        <v>0</v>
      </c>
    </row>
    <row r="1530" spans="1:37" x14ac:dyDescent="0.3">
      <c r="A1530">
        <v>20571</v>
      </c>
      <c r="B1530" t="s">
        <v>62</v>
      </c>
      <c r="C1530">
        <v>2</v>
      </c>
      <c r="D1530">
        <v>5</v>
      </c>
      <c r="E1530" t="s">
        <v>268</v>
      </c>
      <c r="F1530" s="85" t="s">
        <v>331</v>
      </c>
      <c r="G1530"/>
      <c r="H1530" t="s">
        <v>294</v>
      </c>
      <c r="I1530" t="s">
        <v>221</v>
      </c>
      <c r="J1530" t="s">
        <v>176</v>
      </c>
      <c r="K1530" s="1">
        <v>16.77</v>
      </c>
      <c r="L1530" s="1">
        <v>16.77</v>
      </c>
      <c r="M1530" s="1">
        <v>0</v>
      </c>
      <c r="N1530" s="1">
        <v>16.77</v>
      </c>
      <c r="O1530" s="1">
        <v>838.5</v>
      </c>
      <c r="P1530" s="1">
        <v>1006.2</v>
      </c>
      <c r="Q1530" s="1">
        <v>0</v>
      </c>
      <c r="R1530" s="1">
        <v>768.77</v>
      </c>
      <c r="S1530" t="s">
        <v>12</v>
      </c>
      <c r="T1530" s="13">
        <v>45886</v>
      </c>
      <c r="U1530" s="1" t="str">
        <f>IF(ESTIMATIVA[[#This Row],[QT_AREA_REAL]]&gt;0,"1- Colhido","2- à Colher")</f>
        <v>1- Colhido</v>
      </c>
      <c r="V1530" s="1" t="str">
        <f>IF(ESTIMATIVA[[#This Row],[QT_AREA_REST1]]&gt;0,"Reestimativa 1",IF(ESTIMATIVA[[#This Row],[QT_AREA_REAL]]=0,"Reestimativa 1","Realizado"))</f>
        <v>Reestimativa 1</v>
      </c>
      <c r="W1530" s="1" t="str">
        <f>IF(ESTIMATIVA[[#This Row],[QT_AREA_REST2]]&gt;0,"Reestimativa 2",IF(ESTIMATIVA[[#This Row],[QT_AREA_REAL]]=0,"Reestimativa 2","Realizado"))</f>
        <v>Realizado</v>
      </c>
      <c r="X1530" s="1">
        <f>ESTIMATIVA[[#This Row],[QT_AREA_EST]]</f>
        <v>16.77</v>
      </c>
      <c r="Y1530" s="1">
        <f>IF(ESTIMATIVA[[#This Row],[QT_AREA_REST1]]&gt;0,ESTIMATIVA[[#This Row],[QT_AREA_REST1]],
  IF(ESTIMATIVA[[#This Row],[QT_AREA_REAL]]&gt;0,ESTIMATIVA[[#This Row],[QT_AREA_REAL]],ESTIMATIVA[[#This Row],[QT_AREA_EST]]))</f>
        <v>16.77</v>
      </c>
      <c r="Z153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16.77</v>
      </c>
      <c r="AA1530" s="1">
        <f>ESTIMATIVA[[#This Row],[QT_CANA_EST]]</f>
        <v>838.5</v>
      </c>
      <c r="AB1530" s="1">
        <f>IF(ESTIMATIVA[[#This Row],[QT_CANA_REST1]]&gt;0,ESTIMATIVA[[#This Row],[QT_CANA_REST1]],
  IF(ESTIMATIVA[[#This Row],[QT_CANA_REAL]]&gt;0,ESTIMATIVA[[#This Row],[QT_CANA_REAL]],ESTIMATIVA[[#This Row],[QT_CANA_EST]]))</f>
        <v>1006.2</v>
      </c>
      <c r="AC153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768.77</v>
      </c>
      <c r="AD1530" s="1">
        <f>IF(ESTIMATIVA[[#This Row],[QT_AREA_REAL]]&gt;0,ESTIMATIVA[[#This Row],[QT_CANA_REAL]],ESTIMATIVA[[#This Row],[QT_CANA_EST]])</f>
        <v>768.77</v>
      </c>
      <c r="AE1530" s="1">
        <f>IF(ESTIMATIVA[[#This Row],[QT_AREA_REAL]]&gt;0,ESTIMATIVA[[#This Row],[QT_CANA_REAL]],ESTIMATIVA[[#This Row],[QT_CANA_REST1]])</f>
        <v>768.77</v>
      </c>
      <c r="AF1530" s="1">
        <f>IF(ESTIMATIVA[[#This Row],[QT_AREA_REAL]]&gt;0,ESTIMATIVA[[#This Row],[QT_CANA_REAL]],ESTIMATIVA[[#This Row],[QT_CANA_REST2]])</f>
        <v>768.77</v>
      </c>
      <c r="AG1530" s="1" t="str">
        <f>IF(COUNTIFS(GEADA!A:A,VALUE(ESTIMATIVA[[#This Row],[CD_UPNIVEL1]]&amp;TEXT(ESTIMATIVA[[#This Row],[CD_UPNIVEL3]],"0000")))&gt;0,"S","N")</f>
        <v>N</v>
      </c>
      <c r="AH153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30" s="55" t="str">
        <f>IF(ESTIMATIVA[[#This Row],[TP_CULTIVO]]="Irrigado",_xlfn.MAXIFS(IRRIGADO!J:J,IRRIGADO!C:C,ESTIMATIVA[[#This Row],[CD_UPNIVEL1]],IRRIGADO!E:E,ESTIMATIVA[[#This Row],[CD_UPNIVEL3]]),"")</f>
        <v/>
      </c>
      <c r="AJ153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30" s="1">
        <f>COUNTIFS(Apresentação!$E$23:$E$29,ESTIMATIVA[[#This Row],[CD_UPNIVEL1]])</f>
        <v>0</v>
      </c>
    </row>
    <row r="1531" spans="1:37" x14ac:dyDescent="0.3">
      <c r="A1531">
        <v>20571</v>
      </c>
      <c r="B1531" t="s">
        <v>62</v>
      </c>
      <c r="C1531">
        <v>3</v>
      </c>
      <c r="D1531">
        <v>5</v>
      </c>
      <c r="E1531" t="s">
        <v>268</v>
      </c>
      <c r="F1531" s="85" t="s">
        <v>331</v>
      </c>
      <c r="G1531"/>
      <c r="H1531" t="s">
        <v>294</v>
      </c>
      <c r="I1531" t="s">
        <v>221</v>
      </c>
      <c r="J1531" t="s">
        <v>176</v>
      </c>
      <c r="K1531" s="1">
        <v>25.36</v>
      </c>
      <c r="L1531" s="1">
        <v>25.36</v>
      </c>
      <c r="M1531" s="1">
        <v>0</v>
      </c>
      <c r="N1531" s="1">
        <v>25.36</v>
      </c>
      <c r="O1531" s="1">
        <v>1268</v>
      </c>
      <c r="P1531" s="1">
        <v>1470.88</v>
      </c>
      <c r="Q1531" s="1">
        <v>0</v>
      </c>
      <c r="R1531" s="1">
        <v>1124.1300000000001</v>
      </c>
      <c r="S1531" t="s">
        <v>12</v>
      </c>
      <c r="T1531" s="13">
        <v>45886</v>
      </c>
      <c r="U1531" s="1" t="str">
        <f>IF(ESTIMATIVA[[#This Row],[QT_AREA_REAL]]&gt;0,"1- Colhido","2- à Colher")</f>
        <v>1- Colhido</v>
      </c>
      <c r="V1531" s="1" t="str">
        <f>IF(ESTIMATIVA[[#This Row],[QT_AREA_REST1]]&gt;0,"Reestimativa 1",IF(ESTIMATIVA[[#This Row],[QT_AREA_REAL]]=0,"Reestimativa 1","Realizado"))</f>
        <v>Reestimativa 1</v>
      </c>
      <c r="W1531" s="1" t="str">
        <f>IF(ESTIMATIVA[[#This Row],[QT_AREA_REST2]]&gt;0,"Reestimativa 2",IF(ESTIMATIVA[[#This Row],[QT_AREA_REAL]]=0,"Reestimativa 2","Realizado"))</f>
        <v>Realizado</v>
      </c>
      <c r="X1531" s="1">
        <f>ESTIMATIVA[[#This Row],[QT_AREA_EST]]</f>
        <v>25.36</v>
      </c>
      <c r="Y1531" s="1">
        <f>IF(ESTIMATIVA[[#This Row],[QT_AREA_REST1]]&gt;0,ESTIMATIVA[[#This Row],[QT_AREA_REST1]],
  IF(ESTIMATIVA[[#This Row],[QT_AREA_REAL]]&gt;0,ESTIMATIVA[[#This Row],[QT_AREA_REAL]],ESTIMATIVA[[#This Row],[QT_AREA_EST]]))</f>
        <v>25.36</v>
      </c>
      <c r="Z153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25.36</v>
      </c>
      <c r="AA1531" s="1">
        <f>ESTIMATIVA[[#This Row],[QT_CANA_EST]]</f>
        <v>1268</v>
      </c>
      <c r="AB1531" s="1">
        <f>IF(ESTIMATIVA[[#This Row],[QT_CANA_REST1]]&gt;0,ESTIMATIVA[[#This Row],[QT_CANA_REST1]],
  IF(ESTIMATIVA[[#This Row],[QT_CANA_REAL]]&gt;0,ESTIMATIVA[[#This Row],[QT_CANA_REAL]],ESTIMATIVA[[#This Row],[QT_CANA_EST]]))</f>
        <v>1470.88</v>
      </c>
      <c r="AC153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1124.1300000000001</v>
      </c>
      <c r="AD1531" s="1">
        <f>IF(ESTIMATIVA[[#This Row],[QT_AREA_REAL]]&gt;0,ESTIMATIVA[[#This Row],[QT_CANA_REAL]],ESTIMATIVA[[#This Row],[QT_CANA_EST]])</f>
        <v>1124.1300000000001</v>
      </c>
      <c r="AE1531" s="1">
        <f>IF(ESTIMATIVA[[#This Row],[QT_AREA_REAL]]&gt;0,ESTIMATIVA[[#This Row],[QT_CANA_REAL]],ESTIMATIVA[[#This Row],[QT_CANA_REST1]])</f>
        <v>1124.1300000000001</v>
      </c>
      <c r="AF1531" s="1">
        <f>IF(ESTIMATIVA[[#This Row],[QT_AREA_REAL]]&gt;0,ESTIMATIVA[[#This Row],[QT_CANA_REAL]],ESTIMATIVA[[#This Row],[QT_CANA_REST2]])</f>
        <v>1124.1300000000001</v>
      </c>
      <c r="AG1531" s="1" t="str">
        <f>IF(COUNTIFS(GEADA!A:A,VALUE(ESTIMATIVA[[#This Row],[CD_UPNIVEL1]]&amp;TEXT(ESTIMATIVA[[#This Row],[CD_UPNIVEL3]],"0000")))&gt;0,"S","N")</f>
        <v>N</v>
      </c>
      <c r="AH153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31" s="55" t="str">
        <f>IF(ESTIMATIVA[[#This Row],[TP_CULTIVO]]="Irrigado",_xlfn.MAXIFS(IRRIGADO!J:J,IRRIGADO!C:C,ESTIMATIVA[[#This Row],[CD_UPNIVEL1]],IRRIGADO!E:E,ESTIMATIVA[[#This Row],[CD_UPNIVEL3]]),"")</f>
        <v/>
      </c>
      <c r="AJ153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31" s="1">
        <f>COUNTIFS(Apresentação!$E$23:$E$29,ESTIMATIVA[[#This Row],[CD_UPNIVEL1]])</f>
        <v>0</v>
      </c>
    </row>
    <row r="1532" spans="1:37" x14ac:dyDescent="0.3">
      <c r="A1532">
        <v>20571</v>
      </c>
      <c r="B1532" t="s">
        <v>62</v>
      </c>
      <c r="C1532">
        <v>4</v>
      </c>
      <c r="D1532">
        <v>5</v>
      </c>
      <c r="E1532" t="s">
        <v>268</v>
      </c>
      <c r="F1532" s="85" t="s">
        <v>331</v>
      </c>
      <c r="G1532"/>
      <c r="H1532" t="s">
        <v>294</v>
      </c>
      <c r="I1532" t="s">
        <v>221</v>
      </c>
      <c r="J1532" t="s">
        <v>176</v>
      </c>
      <c r="K1532" s="1">
        <v>27.76</v>
      </c>
      <c r="L1532" s="1">
        <v>27.76</v>
      </c>
      <c r="M1532" s="1">
        <v>0</v>
      </c>
      <c r="N1532" s="1">
        <v>27.76</v>
      </c>
      <c r="O1532" s="1">
        <v>1388</v>
      </c>
      <c r="P1532" s="1">
        <v>1610.08</v>
      </c>
      <c r="Q1532" s="1">
        <v>0</v>
      </c>
      <c r="R1532" s="1">
        <v>1230.56</v>
      </c>
      <c r="S1532" t="s">
        <v>12</v>
      </c>
      <c r="T1532" s="13">
        <v>45886</v>
      </c>
      <c r="U1532" s="1" t="str">
        <f>IF(ESTIMATIVA[[#This Row],[QT_AREA_REAL]]&gt;0,"1- Colhido","2- à Colher")</f>
        <v>1- Colhido</v>
      </c>
      <c r="V1532" s="1" t="str">
        <f>IF(ESTIMATIVA[[#This Row],[QT_AREA_REST1]]&gt;0,"Reestimativa 1",IF(ESTIMATIVA[[#This Row],[QT_AREA_REAL]]=0,"Reestimativa 1","Realizado"))</f>
        <v>Reestimativa 1</v>
      </c>
      <c r="W1532" s="1" t="str">
        <f>IF(ESTIMATIVA[[#This Row],[QT_AREA_REST2]]&gt;0,"Reestimativa 2",IF(ESTIMATIVA[[#This Row],[QT_AREA_REAL]]=0,"Reestimativa 2","Realizado"))</f>
        <v>Realizado</v>
      </c>
      <c r="X1532" s="1">
        <f>ESTIMATIVA[[#This Row],[QT_AREA_EST]]</f>
        <v>27.76</v>
      </c>
      <c r="Y1532" s="1">
        <f>IF(ESTIMATIVA[[#This Row],[QT_AREA_REST1]]&gt;0,ESTIMATIVA[[#This Row],[QT_AREA_REST1]],
  IF(ESTIMATIVA[[#This Row],[QT_AREA_REAL]]&gt;0,ESTIMATIVA[[#This Row],[QT_AREA_REAL]],ESTIMATIVA[[#This Row],[QT_AREA_EST]]))</f>
        <v>27.76</v>
      </c>
      <c r="Z153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27.76</v>
      </c>
      <c r="AA1532" s="1">
        <f>ESTIMATIVA[[#This Row],[QT_CANA_EST]]</f>
        <v>1388</v>
      </c>
      <c r="AB1532" s="1">
        <f>IF(ESTIMATIVA[[#This Row],[QT_CANA_REST1]]&gt;0,ESTIMATIVA[[#This Row],[QT_CANA_REST1]],
  IF(ESTIMATIVA[[#This Row],[QT_CANA_REAL]]&gt;0,ESTIMATIVA[[#This Row],[QT_CANA_REAL]],ESTIMATIVA[[#This Row],[QT_CANA_EST]]))</f>
        <v>1610.08</v>
      </c>
      <c r="AC153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1230.56</v>
      </c>
      <c r="AD1532" s="1">
        <f>IF(ESTIMATIVA[[#This Row],[QT_AREA_REAL]]&gt;0,ESTIMATIVA[[#This Row],[QT_CANA_REAL]],ESTIMATIVA[[#This Row],[QT_CANA_EST]])</f>
        <v>1230.56</v>
      </c>
      <c r="AE1532" s="1">
        <f>IF(ESTIMATIVA[[#This Row],[QT_AREA_REAL]]&gt;0,ESTIMATIVA[[#This Row],[QT_CANA_REAL]],ESTIMATIVA[[#This Row],[QT_CANA_REST1]])</f>
        <v>1230.56</v>
      </c>
      <c r="AF1532" s="1">
        <f>IF(ESTIMATIVA[[#This Row],[QT_AREA_REAL]]&gt;0,ESTIMATIVA[[#This Row],[QT_CANA_REAL]],ESTIMATIVA[[#This Row],[QT_CANA_REST2]])</f>
        <v>1230.56</v>
      </c>
      <c r="AG1532" s="1" t="str">
        <f>IF(COUNTIFS(GEADA!A:A,VALUE(ESTIMATIVA[[#This Row],[CD_UPNIVEL1]]&amp;TEXT(ESTIMATIVA[[#This Row],[CD_UPNIVEL3]],"0000")))&gt;0,"S","N")</f>
        <v>N</v>
      </c>
      <c r="AH153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32" s="55" t="str">
        <f>IF(ESTIMATIVA[[#This Row],[TP_CULTIVO]]="Irrigado",_xlfn.MAXIFS(IRRIGADO!J:J,IRRIGADO!C:C,ESTIMATIVA[[#This Row],[CD_UPNIVEL1]],IRRIGADO!E:E,ESTIMATIVA[[#This Row],[CD_UPNIVEL3]]),"")</f>
        <v/>
      </c>
      <c r="AJ153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32" s="1">
        <f>COUNTIFS(Apresentação!$E$23:$E$29,ESTIMATIVA[[#This Row],[CD_UPNIVEL1]])</f>
        <v>0</v>
      </c>
    </row>
    <row r="1533" spans="1:37" x14ac:dyDescent="0.3">
      <c r="A1533">
        <v>20571</v>
      </c>
      <c r="B1533" t="s">
        <v>62</v>
      </c>
      <c r="C1533">
        <v>5</v>
      </c>
      <c r="D1533">
        <v>5</v>
      </c>
      <c r="E1533" t="s">
        <v>268</v>
      </c>
      <c r="F1533" s="85" t="s">
        <v>331</v>
      </c>
      <c r="G1533"/>
      <c r="H1533" t="s">
        <v>294</v>
      </c>
      <c r="I1533" t="s">
        <v>221</v>
      </c>
      <c r="J1533" t="s">
        <v>176</v>
      </c>
      <c r="K1533" s="1">
        <v>1.6</v>
      </c>
      <c r="L1533" s="1">
        <v>0</v>
      </c>
      <c r="M1533" s="1">
        <v>0</v>
      </c>
      <c r="N1533" s="1">
        <v>1.6</v>
      </c>
      <c r="O1533" s="1">
        <v>80</v>
      </c>
      <c r="P1533" s="1">
        <v>0</v>
      </c>
      <c r="Q1533" s="1">
        <v>0</v>
      </c>
      <c r="R1533" s="1">
        <v>107.61</v>
      </c>
      <c r="S1533" t="s">
        <v>12</v>
      </c>
      <c r="T1533" s="13">
        <v>45830</v>
      </c>
      <c r="U1533" s="1" t="str">
        <f>IF(ESTIMATIVA[[#This Row],[QT_AREA_REAL]]&gt;0,"1- Colhido","2- à Colher")</f>
        <v>1- Colhido</v>
      </c>
      <c r="V1533" s="1" t="str">
        <f>IF(ESTIMATIVA[[#This Row],[QT_AREA_REST1]]&gt;0,"Reestimativa 1",IF(ESTIMATIVA[[#This Row],[QT_AREA_REAL]]=0,"Reestimativa 1","Realizado"))</f>
        <v>Realizado</v>
      </c>
      <c r="W1533" s="1" t="str">
        <f>IF(ESTIMATIVA[[#This Row],[QT_AREA_REST2]]&gt;0,"Reestimativa 2",IF(ESTIMATIVA[[#This Row],[QT_AREA_REAL]]=0,"Reestimativa 2","Realizado"))</f>
        <v>Realizado</v>
      </c>
      <c r="X1533" s="1">
        <f>ESTIMATIVA[[#This Row],[QT_AREA_EST]]</f>
        <v>1.6</v>
      </c>
      <c r="Y1533" s="1">
        <f>IF(ESTIMATIVA[[#This Row],[QT_AREA_REST1]]&gt;0,ESTIMATIVA[[#This Row],[QT_AREA_REST1]],
  IF(ESTIMATIVA[[#This Row],[QT_AREA_REAL]]&gt;0,ESTIMATIVA[[#This Row],[QT_AREA_REAL]],ESTIMATIVA[[#This Row],[QT_AREA_EST]]))</f>
        <v>1.6</v>
      </c>
      <c r="Z153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1.6</v>
      </c>
      <c r="AA1533" s="1">
        <f>ESTIMATIVA[[#This Row],[QT_CANA_EST]]</f>
        <v>80</v>
      </c>
      <c r="AB1533" s="1">
        <f>IF(ESTIMATIVA[[#This Row],[QT_CANA_REST1]]&gt;0,ESTIMATIVA[[#This Row],[QT_CANA_REST1]],
  IF(ESTIMATIVA[[#This Row],[QT_CANA_REAL]]&gt;0,ESTIMATIVA[[#This Row],[QT_CANA_REAL]],ESTIMATIVA[[#This Row],[QT_CANA_EST]]))</f>
        <v>107.61</v>
      </c>
      <c r="AC153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107.61</v>
      </c>
      <c r="AD1533" s="1">
        <f>IF(ESTIMATIVA[[#This Row],[QT_AREA_REAL]]&gt;0,ESTIMATIVA[[#This Row],[QT_CANA_REAL]],ESTIMATIVA[[#This Row],[QT_CANA_EST]])</f>
        <v>107.61</v>
      </c>
      <c r="AE1533" s="1">
        <f>IF(ESTIMATIVA[[#This Row],[QT_AREA_REAL]]&gt;0,ESTIMATIVA[[#This Row],[QT_CANA_REAL]],ESTIMATIVA[[#This Row],[QT_CANA_REST1]])</f>
        <v>107.61</v>
      </c>
      <c r="AF1533" s="1">
        <f>IF(ESTIMATIVA[[#This Row],[QT_AREA_REAL]]&gt;0,ESTIMATIVA[[#This Row],[QT_CANA_REAL]],ESTIMATIVA[[#This Row],[QT_CANA_REST2]])</f>
        <v>107.61</v>
      </c>
      <c r="AG1533" s="1" t="str">
        <f>IF(COUNTIFS(GEADA!A:A,VALUE(ESTIMATIVA[[#This Row],[CD_UPNIVEL1]]&amp;TEXT(ESTIMATIVA[[#This Row],[CD_UPNIVEL3]],"0000")))&gt;0,"S","N")</f>
        <v>N</v>
      </c>
      <c r="AH153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33" s="55" t="str">
        <f>IF(ESTIMATIVA[[#This Row],[TP_CULTIVO]]="Irrigado",_xlfn.MAXIFS(IRRIGADO!J:J,IRRIGADO!C:C,ESTIMATIVA[[#This Row],[CD_UPNIVEL1]],IRRIGADO!E:E,ESTIMATIVA[[#This Row],[CD_UPNIVEL3]]),"")</f>
        <v/>
      </c>
      <c r="AJ153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33" s="1">
        <f>COUNTIFS(Apresentação!$E$23:$E$29,ESTIMATIVA[[#This Row],[CD_UPNIVEL1]])</f>
        <v>0</v>
      </c>
    </row>
    <row r="1534" spans="1:37" x14ac:dyDescent="0.3">
      <c r="A1534">
        <v>20571</v>
      </c>
      <c r="B1534" t="s">
        <v>62</v>
      </c>
      <c r="C1534">
        <v>6</v>
      </c>
      <c r="D1534">
        <v>5</v>
      </c>
      <c r="E1534" t="s">
        <v>268</v>
      </c>
      <c r="F1534" s="85" t="s">
        <v>331</v>
      </c>
      <c r="G1534"/>
      <c r="H1534" t="s">
        <v>294</v>
      </c>
      <c r="I1534" t="s">
        <v>221</v>
      </c>
      <c r="J1534" t="s">
        <v>176</v>
      </c>
      <c r="K1534" s="1">
        <v>22.53</v>
      </c>
      <c r="L1534" s="1">
        <v>0</v>
      </c>
      <c r="M1534" s="1">
        <v>0</v>
      </c>
      <c r="N1534" s="1">
        <v>22.53</v>
      </c>
      <c r="O1534" s="1">
        <v>1013.85</v>
      </c>
      <c r="P1534" s="1">
        <v>0</v>
      </c>
      <c r="Q1534" s="1">
        <v>0</v>
      </c>
      <c r="R1534" s="1">
        <v>1364.18</v>
      </c>
      <c r="S1534" t="s">
        <v>12</v>
      </c>
      <c r="T1534" s="13">
        <v>45830</v>
      </c>
      <c r="U1534" s="1" t="str">
        <f>IF(ESTIMATIVA[[#This Row],[QT_AREA_REAL]]&gt;0,"1- Colhido","2- à Colher")</f>
        <v>1- Colhido</v>
      </c>
      <c r="V1534" s="1" t="str">
        <f>IF(ESTIMATIVA[[#This Row],[QT_AREA_REST1]]&gt;0,"Reestimativa 1",IF(ESTIMATIVA[[#This Row],[QT_AREA_REAL]]=0,"Reestimativa 1","Realizado"))</f>
        <v>Realizado</v>
      </c>
      <c r="W1534" s="1" t="str">
        <f>IF(ESTIMATIVA[[#This Row],[QT_AREA_REST2]]&gt;0,"Reestimativa 2",IF(ESTIMATIVA[[#This Row],[QT_AREA_REAL]]=0,"Reestimativa 2","Realizado"))</f>
        <v>Realizado</v>
      </c>
      <c r="X1534" s="1">
        <f>ESTIMATIVA[[#This Row],[QT_AREA_EST]]</f>
        <v>22.53</v>
      </c>
      <c r="Y1534" s="1">
        <f>IF(ESTIMATIVA[[#This Row],[QT_AREA_REST1]]&gt;0,ESTIMATIVA[[#This Row],[QT_AREA_REST1]],
  IF(ESTIMATIVA[[#This Row],[QT_AREA_REAL]]&gt;0,ESTIMATIVA[[#This Row],[QT_AREA_REAL]],ESTIMATIVA[[#This Row],[QT_AREA_EST]]))</f>
        <v>22.53</v>
      </c>
      <c r="Z153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22.53</v>
      </c>
      <c r="AA1534" s="1">
        <f>ESTIMATIVA[[#This Row],[QT_CANA_EST]]</f>
        <v>1013.85</v>
      </c>
      <c r="AB1534" s="1">
        <f>IF(ESTIMATIVA[[#This Row],[QT_CANA_REST1]]&gt;0,ESTIMATIVA[[#This Row],[QT_CANA_REST1]],
  IF(ESTIMATIVA[[#This Row],[QT_CANA_REAL]]&gt;0,ESTIMATIVA[[#This Row],[QT_CANA_REAL]],ESTIMATIVA[[#This Row],[QT_CANA_EST]]))</f>
        <v>1364.18</v>
      </c>
      <c r="AC153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1364.18</v>
      </c>
      <c r="AD1534" s="1">
        <f>IF(ESTIMATIVA[[#This Row],[QT_AREA_REAL]]&gt;0,ESTIMATIVA[[#This Row],[QT_CANA_REAL]],ESTIMATIVA[[#This Row],[QT_CANA_EST]])</f>
        <v>1364.18</v>
      </c>
      <c r="AE1534" s="1">
        <f>IF(ESTIMATIVA[[#This Row],[QT_AREA_REAL]]&gt;0,ESTIMATIVA[[#This Row],[QT_CANA_REAL]],ESTIMATIVA[[#This Row],[QT_CANA_REST1]])</f>
        <v>1364.18</v>
      </c>
      <c r="AF1534" s="1">
        <f>IF(ESTIMATIVA[[#This Row],[QT_AREA_REAL]]&gt;0,ESTIMATIVA[[#This Row],[QT_CANA_REAL]],ESTIMATIVA[[#This Row],[QT_CANA_REST2]])</f>
        <v>1364.18</v>
      </c>
      <c r="AG1534" s="1" t="str">
        <f>IF(COUNTIFS(GEADA!A:A,VALUE(ESTIMATIVA[[#This Row],[CD_UPNIVEL1]]&amp;TEXT(ESTIMATIVA[[#This Row],[CD_UPNIVEL3]],"0000")))&gt;0,"S","N")</f>
        <v>N</v>
      </c>
      <c r="AH153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34" s="55" t="str">
        <f>IF(ESTIMATIVA[[#This Row],[TP_CULTIVO]]="Irrigado",_xlfn.MAXIFS(IRRIGADO!J:J,IRRIGADO!C:C,ESTIMATIVA[[#This Row],[CD_UPNIVEL1]],IRRIGADO!E:E,ESTIMATIVA[[#This Row],[CD_UPNIVEL3]]),"")</f>
        <v/>
      </c>
      <c r="AJ153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34" s="1">
        <f>COUNTIFS(Apresentação!$E$23:$E$29,ESTIMATIVA[[#This Row],[CD_UPNIVEL1]])</f>
        <v>0</v>
      </c>
    </row>
    <row r="1535" spans="1:37" x14ac:dyDescent="0.3">
      <c r="A1535">
        <v>20571</v>
      </c>
      <c r="B1535" t="s">
        <v>62</v>
      </c>
      <c r="C1535">
        <v>9</v>
      </c>
      <c r="D1535">
        <v>2</v>
      </c>
      <c r="E1535" t="s">
        <v>266</v>
      </c>
      <c r="F1535" s="85" t="s">
        <v>331</v>
      </c>
      <c r="G1535"/>
      <c r="H1535" t="s">
        <v>294</v>
      </c>
      <c r="I1535" t="s">
        <v>195</v>
      </c>
      <c r="J1535" t="s">
        <v>176</v>
      </c>
      <c r="K1535" s="1">
        <v>1.61</v>
      </c>
      <c r="L1535" s="1">
        <v>1.61</v>
      </c>
      <c r="M1535" s="1">
        <v>1.61</v>
      </c>
      <c r="N1535" s="1">
        <v>1.61</v>
      </c>
      <c r="O1535" s="1">
        <v>136.85</v>
      </c>
      <c r="P1535" s="1">
        <v>144.9</v>
      </c>
      <c r="Q1535" s="1">
        <v>144.9</v>
      </c>
      <c r="R1535" s="1">
        <v>173.29</v>
      </c>
      <c r="S1535" t="s">
        <v>12</v>
      </c>
      <c r="T1535" s="13">
        <v>45991</v>
      </c>
      <c r="U1535" s="1" t="str">
        <f>IF(ESTIMATIVA[[#This Row],[QT_AREA_REAL]]&gt;0,"1- Colhido","2- à Colher")</f>
        <v>1- Colhido</v>
      </c>
      <c r="V1535" s="1" t="str">
        <f>IF(ESTIMATIVA[[#This Row],[QT_AREA_REST1]]&gt;0,"Reestimativa 1",IF(ESTIMATIVA[[#This Row],[QT_AREA_REAL]]=0,"Reestimativa 1","Realizado"))</f>
        <v>Reestimativa 1</v>
      </c>
      <c r="W1535" s="1" t="str">
        <f>IF(ESTIMATIVA[[#This Row],[QT_AREA_REST2]]&gt;0,"Reestimativa 2",IF(ESTIMATIVA[[#This Row],[QT_AREA_REAL]]=0,"Reestimativa 2","Realizado"))</f>
        <v>Reestimativa 2</v>
      </c>
      <c r="X1535" s="1">
        <f>ESTIMATIVA[[#This Row],[QT_AREA_EST]]</f>
        <v>1.61</v>
      </c>
      <c r="Y1535" s="1">
        <f>IF(ESTIMATIVA[[#This Row],[QT_AREA_REST1]]&gt;0,ESTIMATIVA[[#This Row],[QT_AREA_REST1]],
  IF(ESTIMATIVA[[#This Row],[QT_AREA_REAL]]&gt;0,ESTIMATIVA[[#This Row],[QT_AREA_REAL]],ESTIMATIVA[[#This Row],[QT_AREA_EST]]))</f>
        <v>1.61</v>
      </c>
      <c r="Z153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1.61</v>
      </c>
      <c r="AA1535" s="1">
        <f>ESTIMATIVA[[#This Row],[QT_CANA_EST]]</f>
        <v>136.85</v>
      </c>
      <c r="AB1535" s="1">
        <f>IF(ESTIMATIVA[[#This Row],[QT_CANA_REST1]]&gt;0,ESTIMATIVA[[#This Row],[QT_CANA_REST1]],
  IF(ESTIMATIVA[[#This Row],[QT_CANA_REAL]]&gt;0,ESTIMATIVA[[#This Row],[QT_CANA_REAL]],ESTIMATIVA[[#This Row],[QT_CANA_EST]]))</f>
        <v>144.9</v>
      </c>
      <c r="AC153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144.9</v>
      </c>
      <c r="AD1535" s="1">
        <f>IF(ESTIMATIVA[[#This Row],[QT_AREA_REAL]]&gt;0,ESTIMATIVA[[#This Row],[QT_CANA_REAL]],ESTIMATIVA[[#This Row],[QT_CANA_EST]])</f>
        <v>173.29</v>
      </c>
      <c r="AE1535" s="1">
        <f>IF(ESTIMATIVA[[#This Row],[QT_AREA_REAL]]&gt;0,ESTIMATIVA[[#This Row],[QT_CANA_REAL]],ESTIMATIVA[[#This Row],[QT_CANA_REST1]])</f>
        <v>173.29</v>
      </c>
      <c r="AF1535" s="1">
        <f>IF(ESTIMATIVA[[#This Row],[QT_AREA_REAL]]&gt;0,ESTIMATIVA[[#This Row],[QT_CANA_REAL]],ESTIMATIVA[[#This Row],[QT_CANA_REST2]])</f>
        <v>173.29</v>
      </c>
      <c r="AG1535" s="1" t="str">
        <f>IF(COUNTIFS(GEADA!A:A,VALUE(ESTIMATIVA[[#This Row],[CD_UPNIVEL1]]&amp;TEXT(ESTIMATIVA[[#This Row],[CD_UPNIVEL3]],"0000")))&gt;0,"S","N")</f>
        <v>N</v>
      </c>
      <c r="AH153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35" s="55" t="str">
        <f>IF(ESTIMATIVA[[#This Row],[TP_CULTIVO]]="Irrigado",_xlfn.MAXIFS(IRRIGADO!J:J,IRRIGADO!C:C,ESTIMATIVA[[#This Row],[CD_UPNIVEL1]],IRRIGADO!E:E,ESTIMATIVA[[#This Row],[CD_UPNIVEL3]]),"")</f>
        <v/>
      </c>
      <c r="AJ153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35" s="1">
        <f>COUNTIFS(Apresentação!$E$23:$E$29,ESTIMATIVA[[#This Row],[CD_UPNIVEL1]])</f>
        <v>0</v>
      </c>
    </row>
    <row r="1536" spans="1:37" x14ac:dyDescent="0.3">
      <c r="A1536">
        <v>20571</v>
      </c>
      <c r="B1536" t="s">
        <v>62</v>
      </c>
      <c r="C1536">
        <v>10</v>
      </c>
      <c r="D1536">
        <v>2</v>
      </c>
      <c r="E1536" t="s">
        <v>266</v>
      </c>
      <c r="F1536" s="85" t="s">
        <v>331</v>
      </c>
      <c r="G1536"/>
      <c r="H1536" t="s">
        <v>294</v>
      </c>
      <c r="I1536" t="s">
        <v>224</v>
      </c>
      <c r="J1536" t="s">
        <v>176</v>
      </c>
      <c r="K1536" s="1">
        <v>3.87</v>
      </c>
      <c r="L1536" s="1">
        <v>3.87</v>
      </c>
      <c r="M1536" s="1">
        <v>3.87</v>
      </c>
      <c r="N1536" s="1">
        <v>3.87</v>
      </c>
      <c r="O1536" s="1">
        <v>328.95</v>
      </c>
      <c r="P1536" s="1">
        <v>348.3</v>
      </c>
      <c r="Q1536" s="1">
        <v>348.3</v>
      </c>
      <c r="R1536" s="1">
        <v>415.91</v>
      </c>
      <c r="S1536" t="s">
        <v>12</v>
      </c>
      <c r="T1536" s="13">
        <v>45991</v>
      </c>
      <c r="U1536" s="1" t="str">
        <f>IF(ESTIMATIVA[[#This Row],[QT_AREA_REAL]]&gt;0,"1- Colhido","2- à Colher")</f>
        <v>1- Colhido</v>
      </c>
      <c r="V1536" s="1" t="str">
        <f>IF(ESTIMATIVA[[#This Row],[QT_AREA_REST1]]&gt;0,"Reestimativa 1",IF(ESTIMATIVA[[#This Row],[QT_AREA_REAL]]=0,"Reestimativa 1","Realizado"))</f>
        <v>Reestimativa 1</v>
      </c>
      <c r="W1536" s="1" t="str">
        <f>IF(ESTIMATIVA[[#This Row],[QT_AREA_REST2]]&gt;0,"Reestimativa 2",IF(ESTIMATIVA[[#This Row],[QT_AREA_REAL]]=0,"Reestimativa 2","Realizado"))</f>
        <v>Reestimativa 2</v>
      </c>
      <c r="X1536" s="1">
        <f>ESTIMATIVA[[#This Row],[QT_AREA_EST]]</f>
        <v>3.87</v>
      </c>
      <c r="Y1536" s="1">
        <f>IF(ESTIMATIVA[[#This Row],[QT_AREA_REST1]]&gt;0,ESTIMATIVA[[#This Row],[QT_AREA_REST1]],
  IF(ESTIMATIVA[[#This Row],[QT_AREA_REAL]]&gt;0,ESTIMATIVA[[#This Row],[QT_AREA_REAL]],ESTIMATIVA[[#This Row],[QT_AREA_EST]]))</f>
        <v>3.87</v>
      </c>
      <c r="Z153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3.87</v>
      </c>
      <c r="AA1536" s="1">
        <f>ESTIMATIVA[[#This Row],[QT_CANA_EST]]</f>
        <v>328.95</v>
      </c>
      <c r="AB1536" s="1">
        <f>IF(ESTIMATIVA[[#This Row],[QT_CANA_REST1]]&gt;0,ESTIMATIVA[[#This Row],[QT_CANA_REST1]],
  IF(ESTIMATIVA[[#This Row],[QT_CANA_REAL]]&gt;0,ESTIMATIVA[[#This Row],[QT_CANA_REAL]],ESTIMATIVA[[#This Row],[QT_CANA_EST]]))</f>
        <v>348.3</v>
      </c>
      <c r="AC153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348.3</v>
      </c>
      <c r="AD1536" s="1">
        <f>IF(ESTIMATIVA[[#This Row],[QT_AREA_REAL]]&gt;0,ESTIMATIVA[[#This Row],[QT_CANA_REAL]],ESTIMATIVA[[#This Row],[QT_CANA_EST]])</f>
        <v>415.91</v>
      </c>
      <c r="AE1536" s="1">
        <f>IF(ESTIMATIVA[[#This Row],[QT_AREA_REAL]]&gt;0,ESTIMATIVA[[#This Row],[QT_CANA_REAL]],ESTIMATIVA[[#This Row],[QT_CANA_REST1]])</f>
        <v>415.91</v>
      </c>
      <c r="AF1536" s="1">
        <f>IF(ESTIMATIVA[[#This Row],[QT_AREA_REAL]]&gt;0,ESTIMATIVA[[#This Row],[QT_CANA_REAL]],ESTIMATIVA[[#This Row],[QT_CANA_REST2]])</f>
        <v>415.91</v>
      </c>
      <c r="AG1536" s="1" t="str">
        <f>IF(COUNTIFS(GEADA!A:A,VALUE(ESTIMATIVA[[#This Row],[CD_UPNIVEL1]]&amp;TEXT(ESTIMATIVA[[#This Row],[CD_UPNIVEL3]],"0000")))&gt;0,"S","N")</f>
        <v>N</v>
      </c>
      <c r="AH153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36" s="55" t="str">
        <f>IF(ESTIMATIVA[[#This Row],[TP_CULTIVO]]="Irrigado",_xlfn.MAXIFS(IRRIGADO!J:J,IRRIGADO!C:C,ESTIMATIVA[[#This Row],[CD_UPNIVEL1]],IRRIGADO!E:E,ESTIMATIVA[[#This Row],[CD_UPNIVEL3]]),"")</f>
        <v/>
      </c>
      <c r="AJ153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36" s="1">
        <f>COUNTIFS(Apresentação!$E$23:$E$29,ESTIMATIVA[[#This Row],[CD_UPNIVEL1]])</f>
        <v>0</v>
      </c>
    </row>
    <row r="1537" spans="1:37" x14ac:dyDescent="0.3">
      <c r="A1537">
        <v>20571</v>
      </c>
      <c r="B1537" t="s">
        <v>62</v>
      </c>
      <c r="C1537">
        <v>13</v>
      </c>
      <c r="D1537">
        <v>2</v>
      </c>
      <c r="E1537" t="s">
        <v>266</v>
      </c>
      <c r="F1537" s="85" t="s">
        <v>331</v>
      </c>
      <c r="G1537"/>
      <c r="H1537" t="s">
        <v>294</v>
      </c>
      <c r="I1537" t="s">
        <v>195</v>
      </c>
      <c r="J1537" t="s">
        <v>176</v>
      </c>
      <c r="K1537" s="1">
        <v>3.51</v>
      </c>
      <c r="L1537" s="1">
        <v>3.51</v>
      </c>
      <c r="M1537" s="1">
        <v>3.51</v>
      </c>
      <c r="N1537" s="1">
        <v>3.51</v>
      </c>
      <c r="O1537" s="1">
        <v>298.35000000000002</v>
      </c>
      <c r="P1537" s="1">
        <v>315.89999999999998</v>
      </c>
      <c r="Q1537" s="1">
        <v>315.89999999999998</v>
      </c>
      <c r="R1537" s="1">
        <v>338.13</v>
      </c>
      <c r="S1537" t="s">
        <v>12</v>
      </c>
      <c r="T1537" s="13">
        <v>45991</v>
      </c>
      <c r="U1537" s="1" t="str">
        <f>IF(ESTIMATIVA[[#This Row],[QT_AREA_REAL]]&gt;0,"1- Colhido","2- à Colher")</f>
        <v>1- Colhido</v>
      </c>
      <c r="V1537" s="1" t="str">
        <f>IF(ESTIMATIVA[[#This Row],[QT_AREA_REST1]]&gt;0,"Reestimativa 1",IF(ESTIMATIVA[[#This Row],[QT_AREA_REAL]]=0,"Reestimativa 1","Realizado"))</f>
        <v>Reestimativa 1</v>
      </c>
      <c r="W1537" s="1" t="str">
        <f>IF(ESTIMATIVA[[#This Row],[QT_AREA_REST2]]&gt;0,"Reestimativa 2",IF(ESTIMATIVA[[#This Row],[QT_AREA_REAL]]=0,"Reestimativa 2","Realizado"))</f>
        <v>Reestimativa 2</v>
      </c>
      <c r="X1537" s="1">
        <f>ESTIMATIVA[[#This Row],[QT_AREA_EST]]</f>
        <v>3.51</v>
      </c>
      <c r="Y1537" s="1">
        <f>IF(ESTIMATIVA[[#This Row],[QT_AREA_REST1]]&gt;0,ESTIMATIVA[[#This Row],[QT_AREA_REST1]],
  IF(ESTIMATIVA[[#This Row],[QT_AREA_REAL]]&gt;0,ESTIMATIVA[[#This Row],[QT_AREA_REAL]],ESTIMATIVA[[#This Row],[QT_AREA_EST]]))</f>
        <v>3.51</v>
      </c>
      <c r="Z153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3.51</v>
      </c>
      <c r="AA1537" s="1">
        <f>ESTIMATIVA[[#This Row],[QT_CANA_EST]]</f>
        <v>298.35000000000002</v>
      </c>
      <c r="AB1537" s="1">
        <f>IF(ESTIMATIVA[[#This Row],[QT_CANA_REST1]]&gt;0,ESTIMATIVA[[#This Row],[QT_CANA_REST1]],
  IF(ESTIMATIVA[[#This Row],[QT_CANA_REAL]]&gt;0,ESTIMATIVA[[#This Row],[QT_CANA_REAL]],ESTIMATIVA[[#This Row],[QT_CANA_EST]]))</f>
        <v>315.89999999999998</v>
      </c>
      <c r="AC153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315.89999999999998</v>
      </c>
      <c r="AD1537" s="1">
        <f>IF(ESTIMATIVA[[#This Row],[QT_AREA_REAL]]&gt;0,ESTIMATIVA[[#This Row],[QT_CANA_REAL]],ESTIMATIVA[[#This Row],[QT_CANA_EST]])</f>
        <v>338.13</v>
      </c>
      <c r="AE1537" s="1">
        <f>IF(ESTIMATIVA[[#This Row],[QT_AREA_REAL]]&gt;0,ESTIMATIVA[[#This Row],[QT_CANA_REAL]],ESTIMATIVA[[#This Row],[QT_CANA_REST1]])</f>
        <v>338.13</v>
      </c>
      <c r="AF1537" s="1">
        <f>IF(ESTIMATIVA[[#This Row],[QT_AREA_REAL]]&gt;0,ESTIMATIVA[[#This Row],[QT_CANA_REAL]],ESTIMATIVA[[#This Row],[QT_CANA_REST2]])</f>
        <v>338.13</v>
      </c>
      <c r="AG1537" s="1" t="str">
        <f>IF(COUNTIFS(GEADA!A:A,VALUE(ESTIMATIVA[[#This Row],[CD_UPNIVEL1]]&amp;TEXT(ESTIMATIVA[[#This Row],[CD_UPNIVEL3]],"0000")))&gt;0,"S","N")</f>
        <v>N</v>
      </c>
      <c r="AH153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37" s="55" t="str">
        <f>IF(ESTIMATIVA[[#This Row],[TP_CULTIVO]]="Irrigado",_xlfn.MAXIFS(IRRIGADO!J:J,IRRIGADO!C:C,ESTIMATIVA[[#This Row],[CD_UPNIVEL1]],IRRIGADO!E:E,ESTIMATIVA[[#This Row],[CD_UPNIVEL3]]),"")</f>
        <v/>
      </c>
      <c r="AJ153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37" s="1">
        <f>COUNTIFS(Apresentação!$E$23:$E$29,ESTIMATIVA[[#This Row],[CD_UPNIVEL1]])</f>
        <v>0</v>
      </c>
    </row>
    <row r="1538" spans="1:37" x14ac:dyDescent="0.3">
      <c r="A1538">
        <v>20572</v>
      </c>
      <c r="B1538" t="s">
        <v>83</v>
      </c>
      <c r="C1538">
        <v>1</v>
      </c>
      <c r="D1538">
        <v>7</v>
      </c>
      <c r="E1538" t="s">
        <v>271</v>
      </c>
      <c r="F1538" s="85" t="s">
        <v>331</v>
      </c>
      <c r="G1538" t="s">
        <v>272</v>
      </c>
      <c r="H1538" t="s">
        <v>294</v>
      </c>
      <c r="I1538" t="s">
        <v>221</v>
      </c>
      <c r="J1538" t="s">
        <v>176</v>
      </c>
      <c r="K1538" s="1">
        <v>36.04</v>
      </c>
      <c r="L1538" s="1">
        <v>0</v>
      </c>
      <c r="M1538" s="1">
        <v>0</v>
      </c>
      <c r="N1538" s="1">
        <v>36.04</v>
      </c>
      <c r="O1538" s="1">
        <v>1441.6</v>
      </c>
      <c r="P1538" s="1">
        <v>0</v>
      </c>
      <c r="Q1538" s="1">
        <v>0</v>
      </c>
      <c r="R1538" s="1">
        <v>2662.81</v>
      </c>
      <c r="S1538" t="s">
        <v>12</v>
      </c>
      <c r="T1538" s="13">
        <v>45739</v>
      </c>
      <c r="U1538" s="1" t="str">
        <f>IF(ESTIMATIVA[[#This Row],[QT_AREA_REAL]]&gt;0,"1- Colhido","2- à Colher")</f>
        <v>1- Colhido</v>
      </c>
      <c r="V1538" s="1" t="str">
        <f>IF(ESTIMATIVA[[#This Row],[QT_AREA_REST1]]&gt;0,"Reestimativa 1",IF(ESTIMATIVA[[#This Row],[QT_AREA_REAL]]=0,"Reestimativa 1","Realizado"))</f>
        <v>Realizado</v>
      </c>
      <c r="W1538" s="1" t="str">
        <f>IF(ESTIMATIVA[[#This Row],[QT_AREA_REST2]]&gt;0,"Reestimativa 2",IF(ESTIMATIVA[[#This Row],[QT_AREA_REAL]]=0,"Reestimativa 2","Realizado"))</f>
        <v>Realizado</v>
      </c>
      <c r="X1538" s="1">
        <f>ESTIMATIVA[[#This Row],[QT_AREA_EST]]</f>
        <v>36.04</v>
      </c>
      <c r="Y1538" s="1">
        <f>IF(ESTIMATIVA[[#This Row],[QT_AREA_REST1]]&gt;0,ESTIMATIVA[[#This Row],[QT_AREA_REST1]],
  IF(ESTIMATIVA[[#This Row],[QT_AREA_REAL]]&gt;0,ESTIMATIVA[[#This Row],[QT_AREA_REAL]],ESTIMATIVA[[#This Row],[QT_AREA_EST]]))</f>
        <v>36.04</v>
      </c>
      <c r="Z153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36.04</v>
      </c>
      <c r="AA1538" s="1">
        <f>ESTIMATIVA[[#This Row],[QT_CANA_EST]]</f>
        <v>1441.6</v>
      </c>
      <c r="AB1538" s="1">
        <f>IF(ESTIMATIVA[[#This Row],[QT_CANA_REST1]]&gt;0,ESTIMATIVA[[#This Row],[QT_CANA_REST1]],
  IF(ESTIMATIVA[[#This Row],[QT_CANA_REAL]]&gt;0,ESTIMATIVA[[#This Row],[QT_CANA_REAL]],ESTIMATIVA[[#This Row],[QT_CANA_EST]]))</f>
        <v>2662.81</v>
      </c>
      <c r="AC153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2662.81</v>
      </c>
      <c r="AD1538" s="1">
        <f>IF(ESTIMATIVA[[#This Row],[QT_AREA_REAL]]&gt;0,ESTIMATIVA[[#This Row],[QT_CANA_REAL]],ESTIMATIVA[[#This Row],[QT_CANA_EST]])</f>
        <v>2662.81</v>
      </c>
      <c r="AE1538" s="1">
        <f>IF(ESTIMATIVA[[#This Row],[QT_AREA_REAL]]&gt;0,ESTIMATIVA[[#This Row],[QT_CANA_REAL]],ESTIMATIVA[[#This Row],[QT_CANA_REST1]])</f>
        <v>2662.81</v>
      </c>
      <c r="AF1538" s="1">
        <f>IF(ESTIMATIVA[[#This Row],[QT_AREA_REAL]]&gt;0,ESTIMATIVA[[#This Row],[QT_CANA_REAL]],ESTIMATIVA[[#This Row],[QT_CANA_REST2]])</f>
        <v>2662.81</v>
      </c>
      <c r="AG1538" s="1" t="str">
        <f>IF(COUNTIFS(GEADA!A:A,VALUE(ESTIMATIVA[[#This Row],[CD_UPNIVEL1]]&amp;TEXT(ESTIMATIVA[[#This Row],[CD_UPNIVEL3]],"0000")))&gt;0,"S","N")</f>
        <v>N</v>
      </c>
      <c r="AH153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38" s="55" t="str">
        <f>IF(ESTIMATIVA[[#This Row],[TP_CULTIVO]]="Irrigado",_xlfn.MAXIFS(IRRIGADO!J:J,IRRIGADO!C:C,ESTIMATIVA[[#This Row],[CD_UPNIVEL1]],IRRIGADO!E:E,ESTIMATIVA[[#This Row],[CD_UPNIVEL3]]),"")</f>
        <v/>
      </c>
      <c r="AJ153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38" s="1">
        <f>COUNTIFS(Apresentação!$E$23:$E$29,ESTIMATIVA[[#This Row],[CD_UPNIVEL1]])</f>
        <v>0</v>
      </c>
    </row>
    <row r="1539" spans="1:37" x14ac:dyDescent="0.3">
      <c r="A1539">
        <v>20572</v>
      </c>
      <c r="B1539" t="s">
        <v>83</v>
      </c>
      <c r="C1539">
        <v>3</v>
      </c>
      <c r="D1539">
        <v>6</v>
      </c>
      <c r="E1539" t="s">
        <v>261</v>
      </c>
      <c r="F1539" s="85" t="s">
        <v>331</v>
      </c>
      <c r="G1539"/>
      <c r="H1539" t="s">
        <v>294</v>
      </c>
      <c r="I1539" t="s">
        <v>195</v>
      </c>
      <c r="J1539" t="s">
        <v>176</v>
      </c>
      <c r="K1539" s="1">
        <v>10.57</v>
      </c>
      <c r="L1539" s="1">
        <v>0</v>
      </c>
      <c r="M1539" s="1">
        <v>0</v>
      </c>
      <c r="N1539" s="1">
        <v>10.57</v>
      </c>
      <c r="O1539" s="1">
        <v>528.5</v>
      </c>
      <c r="P1539" s="1">
        <v>0</v>
      </c>
      <c r="Q1539" s="1">
        <v>0</v>
      </c>
      <c r="R1539" s="1">
        <v>637.02</v>
      </c>
      <c r="S1539" t="s">
        <v>12</v>
      </c>
      <c r="T1539" s="13">
        <v>45830</v>
      </c>
      <c r="U1539" s="1" t="str">
        <f>IF(ESTIMATIVA[[#This Row],[QT_AREA_REAL]]&gt;0,"1- Colhido","2- à Colher")</f>
        <v>1- Colhido</v>
      </c>
      <c r="V1539" s="1" t="str">
        <f>IF(ESTIMATIVA[[#This Row],[QT_AREA_REST1]]&gt;0,"Reestimativa 1",IF(ESTIMATIVA[[#This Row],[QT_AREA_REAL]]=0,"Reestimativa 1","Realizado"))</f>
        <v>Realizado</v>
      </c>
      <c r="W1539" s="1" t="str">
        <f>IF(ESTIMATIVA[[#This Row],[QT_AREA_REST2]]&gt;0,"Reestimativa 2",IF(ESTIMATIVA[[#This Row],[QT_AREA_REAL]]=0,"Reestimativa 2","Realizado"))</f>
        <v>Realizado</v>
      </c>
      <c r="X1539" s="1">
        <f>ESTIMATIVA[[#This Row],[QT_AREA_EST]]</f>
        <v>10.57</v>
      </c>
      <c r="Y1539" s="1">
        <f>IF(ESTIMATIVA[[#This Row],[QT_AREA_REST1]]&gt;0,ESTIMATIVA[[#This Row],[QT_AREA_REST1]],
  IF(ESTIMATIVA[[#This Row],[QT_AREA_REAL]]&gt;0,ESTIMATIVA[[#This Row],[QT_AREA_REAL]],ESTIMATIVA[[#This Row],[QT_AREA_EST]]))</f>
        <v>10.57</v>
      </c>
      <c r="Z153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10.57</v>
      </c>
      <c r="AA1539" s="1">
        <f>ESTIMATIVA[[#This Row],[QT_CANA_EST]]</f>
        <v>528.5</v>
      </c>
      <c r="AB1539" s="1">
        <f>IF(ESTIMATIVA[[#This Row],[QT_CANA_REST1]]&gt;0,ESTIMATIVA[[#This Row],[QT_CANA_REST1]],
  IF(ESTIMATIVA[[#This Row],[QT_CANA_REAL]]&gt;0,ESTIMATIVA[[#This Row],[QT_CANA_REAL]],ESTIMATIVA[[#This Row],[QT_CANA_EST]]))</f>
        <v>637.02</v>
      </c>
      <c r="AC153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637.02</v>
      </c>
      <c r="AD1539" s="1">
        <f>IF(ESTIMATIVA[[#This Row],[QT_AREA_REAL]]&gt;0,ESTIMATIVA[[#This Row],[QT_CANA_REAL]],ESTIMATIVA[[#This Row],[QT_CANA_EST]])</f>
        <v>637.02</v>
      </c>
      <c r="AE1539" s="1">
        <f>IF(ESTIMATIVA[[#This Row],[QT_AREA_REAL]]&gt;0,ESTIMATIVA[[#This Row],[QT_CANA_REAL]],ESTIMATIVA[[#This Row],[QT_CANA_REST1]])</f>
        <v>637.02</v>
      </c>
      <c r="AF1539" s="1">
        <f>IF(ESTIMATIVA[[#This Row],[QT_AREA_REAL]]&gt;0,ESTIMATIVA[[#This Row],[QT_CANA_REAL]],ESTIMATIVA[[#This Row],[QT_CANA_REST2]])</f>
        <v>637.02</v>
      </c>
      <c r="AG1539" s="1" t="str">
        <f>IF(COUNTIFS(GEADA!A:A,VALUE(ESTIMATIVA[[#This Row],[CD_UPNIVEL1]]&amp;TEXT(ESTIMATIVA[[#This Row],[CD_UPNIVEL3]],"0000")))&gt;0,"S","N")</f>
        <v>N</v>
      </c>
      <c r="AH153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39" s="55" t="str">
        <f>IF(ESTIMATIVA[[#This Row],[TP_CULTIVO]]="Irrigado",_xlfn.MAXIFS(IRRIGADO!J:J,IRRIGADO!C:C,ESTIMATIVA[[#This Row],[CD_UPNIVEL1]],IRRIGADO!E:E,ESTIMATIVA[[#This Row],[CD_UPNIVEL3]]),"")</f>
        <v/>
      </c>
      <c r="AJ153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39" s="1">
        <f>COUNTIFS(Apresentação!$E$23:$E$29,ESTIMATIVA[[#This Row],[CD_UPNIVEL1]])</f>
        <v>0</v>
      </c>
    </row>
    <row r="1540" spans="1:37" x14ac:dyDescent="0.3">
      <c r="A1540">
        <v>20572</v>
      </c>
      <c r="B1540" t="s">
        <v>83</v>
      </c>
      <c r="C1540">
        <v>4</v>
      </c>
      <c r="D1540">
        <v>6</v>
      </c>
      <c r="E1540" t="s">
        <v>261</v>
      </c>
      <c r="F1540" s="85" t="s">
        <v>331</v>
      </c>
      <c r="G1540"/>
      <c r="H1540" t="s">
        <v>294</v>
      </c>
      <c r="I1540" t="s">
        <v>195</v>
      </c>
      <c r="J1540" t="s">
        <v>176</v>
      </c>
      <c r="K1540" s="1">
        <v>6.91</v>
      </c>
      <c r="L1540" s="1">
        <v>0</v>
      </c>
      <c r="M1540" s="1">
        <v>0</v>
      </c>
      <c r="N1540" s="1">
        <v>6.91</v>
      </c>
      <c r="O1540" s="1">
        <v>345.5</v>
      </c>
      <c r="P1540" s="1">
        <v>0</v>
      </c>
      <c r="Q1540" s="1">
        <v>0</v>
      </c>
      <c r="R1540" s="1">
        <v>416.64</v>
      </c>
      <c r="S1540" t="s">
        <v>12</v>
      </c>
      <c r="T1540" s="13">
        <v>45830</v>
      </c>
      <c r="U1540" s="1" t="str">
        <f>IF(ESTIMATIVA[[#This Row],[QT_AREA_REAL]]&gt;0,"1- Colhido","2- à Colher")</f>
        <v>1- Colhido</v>
      </c>
      <c r="V1540" s="1" t="str">
        <f>IF(ESTIMATIVA[[#This Row],[QT_AREA_REST1]]&gt;0,"Reestimativa 1",IF(ESTIMATIVA[[#This Row],[QT_AREA_REAL]]=0,"Reestimativa 1","Realizado"))</f>
        <v>Realizado</v>
      </c>
      <c r="W1540" s="1" t="str">
        <f>IF(ESTIMATIVA[[#This Row],[QT_AREA_REST2]]&gt;0,"Reestimativa 2",IF(ESTIMATIVA[[#This Row],[QT_AREA_REAL]]=0,"Reestimativa 2","Realizado"))</f>
        <v>Realizado</v>
      </c>
      <c r="X1540" s="1">
        <f>ESTIMATIVA[[#This Row],[QT_AREA_EST]]</f>
        <v>6.91</v>
      </c>
      <c r="Y1540" s="1">
        <f>IF(ESTIMATIVA[[#This Row],[QT_AREA_REST1]]&gt;0,ESTIMATIVA[[#This Row],[QT_AREA_REST1]],
  IF(ESTIMATIVA[[#This Row],[QT_AREA_REAL]]&gt;0,ESTIMATIVA[[#This Row],[QT_AREA_REAL]],ESTIMATIVA[[#This Row],[QT_AREA_EST]]))</f>
        <v>6.91</v>
      </c>
      <c r="Z154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6.91</v>
      </c>
      <c r="AA1540" s="1">
        <f>ESTIMATIVA[[#This Row],[QT_CANA_EST]]</f>
        <v>345.5</v>
      </c>
      <c r="AB1540" s="1">
        <f>IF(ESTIMATIVA[[#This Row],[QT_CANA_REST1]]&gt;0,ESTIMATIVA[[#This Row],[QT_CANA_REST1]],
  IF(ESTIMATIVA[[#This Row],[QT_CANA_REAL]]&gt;0,ESTIMATIVA[[#This Row],[QT_CANA_REAL]],ESTIMATIVA[[#This Row],[QT_CANA_EST]]))</f>
        <v>416.64</v>
      </c>
      <c r="AC154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416.64</v>
      </c>
      <c r="AD1540" s="1">
        <f>IF(ESTIMATIVA[[#This Row],[QT_AREA_REAL]]&gt;0,ESTIMATIVA[[#This Row],[QT_CANA_REAL]],ESTIMATIVA[[#This Row],[QT_CANA_EST]])</f>
        <v>416.64</v>
      </c>
      <c r="AE1540" s="1">
        <f>IF(ESTIMATIVA[[#This Row],[QT_AREA_REAL]]&gt;0,ESTIMATIVA[[#This Row],[QT_CANA_REAL]],ESTIMATIVA[[#This Row],[QT_CANA_REST1]])</f>
        <v>416.64</v>
      </c>
      <c r="AF1540" s="1">
        <f>IF(ESTIMATIVA[[#This Row],[QT_AREA_REAL]]&gt;0,ESTIMATIVA[[#This Row],[QT_CANA_REAL]],ESTIMATIVA[[#This Row],[QT_CANA_REST2]])</f>
        <v>416.64</v>
      </c>
      <c r="AG1540" s="1" t="str">
        <f>IF(COUNTIFS(GEADA!A:A,VALUE(ESTIMATIVA[[#This Row],[CD_UPNIVEL1]]&amp;TEXT(ESTIMATIVA[[#This Row],[CD_UPNIVEL3]],"0000")))&gt;0,"S","N")</f>
        <v>N</v>
      </c>
      <c r="AH154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40" s="55" t="str">
        <f>IF(ESTIMATIVA[[#This Row],[TP_CULTIVO]]="Irrigado",_xlfn.MAXIFS(IRRIGADO!J:J,IRRIGADO!C:C,ESTIMATIVA[[#This Row],[CD_UPNIVEL1]],IRRIGADO!E:E,ESTIMATIVA[[#This Row],[CD_UPNIVEL3]]),"")</f>
        <v/>
      </c>
      <c r="AJ154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40" s="1">
        <f>COUNTIFS(Apresentação!$E$23:$E$29,ESTIMATIVA[[#This Row],[CD_UPNIVEL1]])</f>
        <v>0</v>
      </c>
    </row>
    <row r="1541" spans="1:37" x14ac:dyDescent="0.3">
      <c r="A1541">
        <v>20572</v>
      </c>
      <c r="B1541" t="s">
        <v>83</v>
      </c>
      <c r="C1541">
        <v>5</v>
      </c>
      <c r="D1541">
        <v>6</v>
      </c>
      <c r="E1541" t="s">
        <v>261</v>
      </c>
      <c r="F1541" s="85" t="s">
        <v>331</v>
      </c>
      <c r="G1541"/>
      <c r="H1541" t="s">
        <v>294</v>
      </c>
      <c r="I1541" t="s">
        <v>195</v>
      </c>
      <c r="J1541" t="s">
        <v>176</v>
      </c>
      <c r="K1541" s="1">
        <v>4.9400000000000004</v>
      </c>
      <c r="L1541" s="1">
        <v>0</v>
      </c>
      <c r="M1541" s="1">
        <v>0</v>
      </c>
      <c r="N1541" s="1">
        <v>4.9400000000000004</v>
      </c>
      <c r="O1541" s="1">
        <v>247</v>
      </c>
      <c r="P1541" s="1">
        <v>0</v>
      </c>
      <c r="Q1541" s="1">
        <v>0</v>
      </c>
      <c r="R1541" s="1">
        <v>297.41000000000003</v>
      </c>
      <c r="S1541" t="s">
        <v>12</v>
      </c>
      <c r="T1541" s="13">
        <v>45830</v>
      </c>
      <c r="U1541" s="1" t="str">
        <f>IF(ESTIMATIVA[[#This Row],[QT_AREA_REAL]]&gt;0,"1- Colhido","2- à Colher")</f>
        <v>1- Colhido</v>
      </c>
      <c r="V1541" s="1" t="str">
        <f>IF(ESTIMATIVA[[#This Row],[QT_AREA_REST1]]&gt;0,"Reestimativa 1",IF(ESTIMATIVA[[#This Row],[QT_AREA_REAL]]=0,"Reestimativa 1","Realizado"))</f>
        <v>Realizado</v>
      </c>
      <c r="W1541" s="1" t="str">
        <f>IF(ESTIMATIVA[[#This Row],[QT_AREA_REST2]]&gt;0,"Reestimativa 2",IF(ESTIMATIVA[[#This Row],[QT_AREA_REAL]]=0,"Reestimativa 2","Realizado"))</f>
        <v>Realizado</v>
      </c>
      <c r="X1541" s="1">
        <f>ESTIMATIVA[[#This Row],[QT_AREA_EST]]</f>
        <v>4.9400000000000004</v>
      </c>
      <c r="Y1541" s="1">
        <f>IF(ESTIMATIVA[[#This Row],[QT_AREA_REST1]]&gt;0,ESTIMATIVA[[#This Row],[QT_AREA_REST1]],
  IF(ESTIMATIVA[[#This Row],[QT_AREA_REAL]]&gt;0,ESTIMATIVA[[#This Row],[QT_AREA_REAL]],ESTIMATIVA[[#This Row],[QT_AREA_EST]]))</f>
        <v>4.9400000000000004</v>
      </c>
      <c r="Z154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4.9400000000000004</v>
      </c>
      <c r="AA1541" s="1">
        <f>ESTIMATIVA[[#This Row],[QT_CANA_EST]]</f>
        <v>247</v>
      </c>
      <c r="AB1541" s="1">
        <f>IF(ESTIMATIVA[[#This Row],[QT_CANA_REST1]]&gt;0,ESTIMATIVA[[#This Row],[QT_CANA_REST1]],
  IF(ESTIMATIVA[[#This Row],[QT_CANA_REAL]]&gt;0,ESTIMATIVA[[#This Row],[QT_CANA_REAL]],ESTIMATIVA[[#This Row],[QT_CANA_EST]]))</f>
        <v>297.41000000000003</v>
      </c>
      <c r="AC154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297.41000000000003</v>
      </c>
      <c r="AD1541" s="1">
        <f>IF(ESTIMATIVA[[#This Row],[QT_AREA_REAL]]&gt;0,ESTIMATIVA[[#This Row],[QT_CANA_REAL]],ESTIMATIVA[[#This Row],[QT_CANA_EST]])</f>
        <v>297.41000000000003</v>
      </c>
      <c r="AE1541" s="1">
        <f>IF(ESTIMATIVA[[#This Row],[QT_AREA_REAL]]&gt;0,ESTIMATIVA[[#This Row],[QT_CANA_REAL]],ESTIMATIVA[[#This Row],[QT_CANA_REST1]])</f>
        <v>297.41000000000003</v>
      </c>
      <c r="AF1541" s="1">
        <f>IF(ESTIMATIVA[[#This Row],[QT_AREA_REAL]]&gt;0,ESTIMATIVA[[#This Row],[QT_CANA_REAL]],ESTIMATIVA[[#This Row],[QT_CANA_REST2]])</f>
        <v>297.41000000000003</v>
      </c>
      <c r="AG1541" s="1" t="str">
        <f>IF(COUNTIFS(GEADA!A:A,VALUE(ESTIMATIVA[[#This Row],[CD_UPNIVEL1]]&amp;TEXT(ESTIMATIVA[[#This Row],[CD_UPNIVEL3]],"0000")))&gt;0,"S","N")</f>
        <v>N</v>
      </c>
      <c r="AH154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41" s="55" t="str">
        <f>IF(ESTIMATIVA[[#This Row],[TP_CULTIVO]]="Irrigado",_xlfn.MAXIFS(IRRIGADO!J:J,IRRIGADO!C:C,ESTIMATIVA[[#This Row],[CD_UPNIVEL1]],IRRIGADO!E:E,ESTIMATIVA[[#This Row],[CD_UPNIVEL3]]),"")</f>
        <v/>
      </c>
      <c r="AJ154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41" s="1">
        <f>COUNTIFS(Apresentação!$E$23:$E$29,ESTIMATIVA[[#This Row],[CD_UPNIVEL1]])</f>
        <v>0</v>
      </c>
    </row>
    <row r="1542" spans="1:37" x14ac:dyDescent="0.3">
      <c r="A1542">
        <v>20572</v>
      </c>
      <c r="B1542" t="s">
        <v>83</v>
      </c>
      <c r="C1542">
        <v>6</v>
      </c>
      <c r="D1542">
        <v>5</v>
      </c>
      <c r="E1542" t="s">
        <v>273</v>
      </c>
      <c r="F1542" s="85" t="s">
        <v>331</v>
      </c>
      <c r="G1542" t="s">
        <v>272</v>
      </c>
      <c r="H1542" t="s">
        <v>294</v>
      </c>
      <c r="I1542" t="s">
        <v>195</v>
      </c>
      <c r="J1542" t="s">
        <v>176</v>
      </c>
      <c r="K1542" s="1">
        <v>10.95</v>
      </c>
      <c r="L1542" s="1">
        <v>0</v>
      </c>
      <c r="M1542" s="1">
        <v>0</v>
      </c>
      <c r="N1542" s="1">
        <v>10.95</v>
      </c>
      <c r="O1542" s="1">
        <v>306.60000000000002</v>
      </c>
      <c r="P1542" s="1">
        <v>0</v>
      </c>
      <c r="Q1542" s="1">
        <v>0</v>
      </c>
      <c r="R1542" s="1">
        <v>535.04999999999995</v>
      </c>
      <c r="S1542" t="s">
        <v>12</v>
      </c>
      <c r="T1542" s="13">
        <v>45739</v>
      </c>
      <c r="U1542" s="1" t="str">
        <f>IF(ESTIMATIVA[[#This Row],[QT_AREA_REAL]]&gt;0,"1- Colhido","2- à Colher")</f>
        <v>1- Colhido</v>
      </c>
      <c r="V1542" s="1" t="str">
        <f>IF(ESTIMATIVA[[#This Row],[QT_AREA_REST1]]&gt;0,"Reestimativa 1",IF(ESTIMATIVA[[#This Row],[QT_AREA_REAL]]=0,"Reestimativa 1","Realizado"))</f>
        <v>Realizado</v>
      </c>
      <c r="W1542" s="1" t="str">
        <f>IF(ESTIMATIVA[[#This Row],[QT_AREA_REST2]]&gt;0,"Reestimativa 2",IF(ESTIMATIVA[[#This Row],[QT_AREA_REAL]]=0,"Reestimativa 2","Realizado"))</f>
        <v>Realizado</v>
      </c>
      <c r="X1542" s="1">
        <f>ESTIMATIVA[[#This Row],[QT_AREA_EST]]</f>
        <v>10.95</v>
      </c>
      <c r="Y1542" s="1">
        <f>IF(ESTIMATIVA[[#This Row],[QT_AREA_REST1]]&gt;0,ESTIMATIVA[[#This Row],[QT_AREA_REST1]],
  IF(ESTIMATIVA[[#This Row],[QT_AREA_REAL]]&gt;0,ESTIMATIVA[[#This Row],[QT_AREA_REAL]],ESTIMATIVA[[#This Row],[QT_AREA_EST]]))</f>
        <v>10.95</v>
      </c>
      <c r="Z154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10.95</v>
      </c>
      <c r="AA1542" s="1">
        <f>ESTIMATIVA[[#This Row],[QT_CANA_EST]]</f>
        <v>306.60000000000002</v>
      </c>
      <c r="AB1542" s="1">
        <f>IF(ESTIMATIVA[[#This Row],[QT_CANA_REST1]]&gt;0,ESTIMATIVA[[#This Row],[QT_CANA_REST1]],
  IF(ESTIMATIVA[[#This Row],[QT_CANA_REAL]]&gt;0,ESTIMATIVA[[#This Row],[QT_CANA_REAL]],ESTIMATIVA[[#This Row],[QT_CANA_EST]]))</f>
        <v>535.04999999999995</v>
      </c>
      <c r="AC154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535.04999999999995</v>
      </c>
      <c r="AD1542" s="1">
        <f>IF(ESTIMATIVA[[#This Row],[QT_AREA_REAL]]&gt;0,ESTIMATIVA[[#This Row],[QT_CANA_REAL]],ESTIMATIVA[[#This Row],[QT_CANA_EST]])</f>
        <v>535.04999999999995</v>
      </c>
      <c r="AE1542" s="1">
        <f>IF(ESTIMATIVA[[#This Row],[QT_AREA_REAL]]&gt;0,ESTIMATIVA[[#This Row],[QT_CANA_REAL]],ESTIMATIVA[[#This Row],[QT_CANA_REST1]])</f>
        <v>535.04999999999995</v>
      </c>
      <c r="AF1542" s="1">
        <f>IF(ESTIMATIVA[[#This Row],[QT_AREA_REAL]]&gt;0,ESTIMATIVA[[#This Row],[QT_CANA_REAL]],ESTIMATIVA[[#This Row],[QT_CANA_REST2]])</f>
        <v>535.04999999999995</v>
      </c>
      <c r="AG1542" s="1" t="str">
        <f>IF(COUNTIFS(GEADA!A:A,VALUE(ESTIMATIVA[[#This Row],[CD_UPNIVEL1]]&amp;TEXT(ESTIMATIVA[[#This Row],[CD_UPNIVEL3]],"0000")))&gt;0,"S","N")</f>
        <v>N</v>
      </c>
      <c r="AH154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42" s="55" t="str">
        <f>IF(ESTIMATIVA[[#This Row],[TP_CULTIVO]]="Irrigado",_xlfn.MAXIFS(IRRIGADO!J:J,IRRIGADO!C:C,ESTIMATIVA[[#This Row],[CD_UPNIVEL1]],IRRIGADO!E:E,ESTIMATIVA[[#This Row],[CD_UPNIVEL3]]),"")</f>
        <v/>
      </c>
      <c r="AJ154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42" s="1">
        <f>COUNTIFS(Apresentação!$E$23:$E$29,ESTIMATIVA[[#This Row],[CD_UPNIVEL1]])</f>
        <v>0</v>
      </c>
    </row>
    <row r="1543" spans="1:37" x14ac:dyDescent="0.3">
      <c r="A1543">
        <v>20572</v>
      </c>
      <c r="B1543" t="s">
        <v>83</v>
      </c>
      <c r="C1543">
        <v>7</v>
      </c>
      <c r="D1543">
        <v>6</v>
      </c>
      <c r="E1543" t="s">
        <v>261</v>
      </c>
      <c r="F1543" s="85" t="s">
        <v>331</v>
      </c>
      <c r="G1543"/>
      <c r="H1543" t="s">
        <v>294</v>
      </c>
      <c r="I1543" t="s">
        <v>195</v>
      </c>
      <c r="J1543" t="s">
        <v>176</v>
      </c>
      <c r="K1543" s="1">
        <v>17.73</v>
      </c>
      <c r="L1543" s="1">
        <v>0</v>
      </c>
      <c r="M1543" s="1">
        <v>0</v>
      </c>
      <c r="N1543" s="1">
        <v>17.73</v>
      </c>
      <c r="O1543" s="1">
        <v>886.5</v>
      </c>
      <c r="P1543" s="1">
        <v>0</v>
      </c>
      <c r="Q1543" s="1">
        <v>0</v>
      </c>
      <c r="R1543" s="1">
        <v>860.85</v>
      </c>
      <c r="S1543" t="s">
        <v>12</v>
      </c>
      <c r="T1543" s="13">
        <v>45830</v>
      </c>
      <c r="U1543" s="1" t="str">
        <f>IF(ESTIMATIVA[[#This Row],[QT_AREA_REAL]]&gt;0,"1- Colhido","2- à Colher")</f>
        <v>1- Colhido</v>
      </c>
      <c r="V1543" s="1" t="str">
        <f>IF(ESTIMATIVA[[#This Row],[QT_AREA_REST1]]&gt;0,"Reestimativa 1",IF(ESTIMATIVA[[#This Row],[QT_AREA_REAL]]=0,"Reestimativa 1","Realizado"))</f>
        <v>Realizado</v>
      </c>
      <c r="W1543" s="1" t="str">
        <f>IF(ESTIMATIVA[[#This Row],[QT_AREA_REST2]]&gt;0,"Reestimativa 2",IF(ESTIMATIVA[[#This Row],[QT_AREA_REAL]]=0,"Reestimativa 2","Realizado"))</f>
        <v>Realizado</v>
      </c>
      <c r="X1543" s="1">
        <f>ESTIMATIVA[[#This Row],[QT_AREA_EST]]</f>
        <v>17.73</v>
      </c>
      <c r="Y1543" s="1">
        <f>IF(ESTIMATIVA[[#This Row],[QT_AREA_REST1]]&gt;0,ESTIMATIVA[[#This Row],[QT_AREA_REST1]],
  IF(ESTIMATIVA[[#This Row],[QT_AREA_REAL]]&gt;0,ESTIMATIVA[[#This Row],[QT_AREA_REAL]],ESTIMATIVA[[#This Row],[QT_AREA_EST]]))</f>
        <v>17.73</v>
      </c>
      <c r="Z154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17.73</v>
      </c>
      <c r="AA1543" s="1">
        <f>ESTIMATIVA[[#This Row],[QT_CANA_EST]]</f>
        <v>886.5</v>
      </c>
      <c r="AB1543" s="1">
        <f>IF(ESTIMATIVA[[#This Row],[QT_CANA_REST1]]&gt;0,ESTIMATIVA[[#This Row],[QT_CANA_REST1]],
  IF(ESTIMATIVA[[#This Row],[QT_CANA_REAL]]&gt;0,ESTIMATIVA[[#This Row],[QT_CANA_REAL]],ESTIMATIVA[[#This Row],[QT_CANA_EST]]))</f>
        <v>860.85</v>
      </c>
      <c r="AC154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860.85</v>
      </c>
      <c r="AD1543" s="1">
        <f>IF(ESTIMATIVA[[#This Row],[QT_AREA_REAL]]&gt;0,ESTIMATIVA[[#This Row],[QT_CANA_REAL]],ESTIMATIVA[[#This Row],[QT_CANA_EST]])</f>
        <v>860.85</v>
      </c>
      <c r="AE1543" s="1">
        <f>IF(ESTIMATIVA[[#This Row],[QT_AREA_REAL]]&gt;0,ESTIMATIVA[[#This Row],[QT_CANA_REAL]],ESTIMATIVA[[#This Row],[QT_CANA_REST1]])</f>
        <v>860.85</v>
      </c>
      <c r="AF1543" s="1">
        <f>IF(ESTIMATIVA[[#This Row],[QT_AREA_REAL]]&gt;0,ESTIMATIVA[[#This Row],[QT_CANA_REAL]],ESTIMATIVA[[#This Row],[QT_CANA_REST2]])</f>
        <v>860.85</v>
      </c>
      <c r="AG1543" s="1" t="str">
        <f>IF(COUNTIFS(GEADA!A:A,VALUE(ESTIMATIVA[[#This Row],[CD_UPNIVEL1]]&amp;TEXT(ESTIMATIVA[[#This Row],[CD_UPNIVEL3]],"0000")))&gt;0,"S","N")</f>
        <v>N</v>
      </c>
      <c r="AH154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43" s="55" t="str">
        <f>IF(ESTIMATIVA[[#This Row],[TP_CULTIVO]]="Irrigado",_xlfn.MAXIFS(IRRIGADO!J:J,IRRIGADO!C:C,ESTIMATIVA[[#This Row],[CD_UPNIVEL1]],IRRIGADO!E:E,ESTIMATIVA[[#This Row],[CD_UPNIVEL3]]),"")</f>
        <v/>
      </c>
      <c r="AJ154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43" s="1">
        <f>COUNTIFS(Apresentação!$E$23:$E$29,ESTIMATIVA[[#This Row],[CD_UPNIVEL1]])</f>
        <v>0</v>
      </c>
    </row>
    <row r="1544" spans="1:37" x14ac:dyDescent="0.3">
      <c r="A1544">
        <v>20572</v>
      </c>
      <c r="B1544" t="s">
        <v>83</v>
      </c>
      <c r="C1544">
        <v>8</v>
      </c>
      <c r="D1544">
        <v>6</v>
      </c>
      <c r="E1544" t="s">
        <v>261</v>
      </c>
      <c r="F1544" s="85" t="s">
        <v>331</v>
      </c>
      <c r="G1544"/>
      <c r="H1544" t="s">
        <v>294</v>
      </c>
      <c r="I1544" t="s">
        <v>195</v>
      </c>
      <c r="J1544" t="s">
        <v>176</v>
      </c>
      <c r="K1544" s="1">
        <v>6.9</v>
      </c>
      <c r="L1544" s="1">
        <v>0</v>
      </c>
      <c r="M1544" s="1">
        <v>0</v>
      </c>
      <c r="N1544" s="1">
        <v>6.9</v>
      </c>
      <c r="O1544" s="1">
        <v>345</v>
      </c>
      <c r="P1544" s="1">
        <v>0</v>
      </c>
      <c r="Q1544" s="1">
        <v>0</v>
      </c>
      <c r="R1544" s="1">
        <v>335.54</v>
      </c>
      <c r="S1544" t="s">
        <v>12</v>
      </c>
      <c r="T1544" s="13">
        <v>45830</v>
      </c>
      <c r="U1544" s="1" t="str">
        <f>IF(ESTIMATIVA[[#This Row],[QT_AREA_REAL]]&gt;0,"1- Colhido","2- à Colher")</f>
        <v>1- Colhido</v>
      </c>
      <c r="V1544" s="1" t="str">
        <f>IF(ESTIMATIVA[[#This Row],[QT_AREA_REST1]]&gt;0,"Reestimativa 1",IF(ESTIMATIVA[[#This Row],[QT_AREA_REAL]]=0,"Reestimativa 1","Realizado"))</f>
        <v>Realizado</v>
      </c>
      <c r="W1544" s="1" t="str">
        <f>IF(ESTIMATIVA[[#This Row],[QT_AREA_REST2]]&gt;0,"Reestimativa 2",IF(ESTIMATIVA[[#This Row],[QT_AREA_REAL]]=0,"Reestimativa 2","Realizado"))</f>
        <v>Realizado</v>
      </c>
      <c r="X1544" s="1">
        <f>ESTIMATIVA[[#This Row],[QT_AREA_EST]]</f>
        <v>6.9</v>
      </c>
      <c r="Y1544" s="1">
        <f>IF(ESTIMATIVA[[#This Row],[QT_AREA_REST1]]&gt;0,ESTIMATIVA[[#This Row],[QT_AREA_REST1]],
  IF(ESTIMATIVA[[#This Row],[QT_AREA_REAL]]&gt;0,ESTIMATIVA[[#This Row],[QT_AREA_REAL]],ESTIMATIVA[[#This Row],[QT_AREA_EST]]))</f>
        <v>6.9</v>
      </c>
      <c r="Z154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6.9</v>
      </c>
      <c r="AA1544" s="1">
        <f>ESTIMATIVA[[#This Row],[QT_CANA_EST]]</f>
        <v>345</v>
      </c>
      <c r="AB1544" s="1">
        <f>IF(ESTIMATIVA[[#This Row],[QT_CANA_REST1]]&gt;0,ESTIMATIVA[[#This Row],[QT_CANA_REST1]],
  IF(ESTIMATIVA[[#This Row],[QT_CANA_REAL]]&gt;0,ESTIMATIVA[[#This Row],[QT_CANA_REAL]],ESTIMATIVA[[#This Row],[QT_CANA_EST]]))</f>
        <v>335.54</v>
      </c>
      <c r="AC154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335.54</v>
      </c>
      <c r="AD1544" s="1">
        <f>IF(ESTIMATIVA[[#This Row],[QT_AREA_REAL]]&gt;0,ESTIMATIVA[[#This Row],[QT_CANA_REAL]],ESTIMATIVA[[#This Row],[QT_CANA_EST]])</f>
        <v>335.54</v>
      </c>
      <c r="AE1544" s="1">
        <f>IF(ESTIMATIVA[[#This Row],[QT_AREA_REAL]]&gt;0,ESTIMATIVA[[#This Row],[QT_CANA_REAL]],ESTIMATIVA[[#This Row],[QT_CANA_REST1]])</f>
        <v>335.54</v>
      </c>
      <c r="AF1544" s="1">
        <f>IF(ESTIMATIVA[[#This Row],[QT_AREA_REAL]]&gt;0,ESTIMATIVA[[#This Row],[QT_CANA_REAL]],ESTIMATIVA[[#This Row],[QT_CANA_REST2]])</f>
        <v>335.54</v>
      </c>
      <c r="AG1544" s="1" t="str">
        <f>IF(COUNTIFS(GEADA!A:A,VALUE(ESTIMATIVA[[#This Row],[CD_UPNIVEL1]]&amp;TEXT(ESTIMATIVA[[#This Row],[CD_UPNIVEL3]],"0000")))&gt;0,"S","N")</f>
        <v>N</v>
      </c>
      <c r="AH154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44" s="55" t="str">
        <f>IF(ESTIMATIVA[[#This Row],[TP_CULTIVO]]="Irrigado",_xlfn.MAXIFS(IRRIGADO!J:J,IRRIGADO!C:C,ESTIMATIVA[[#This Row],[CD_UPNIVEL1]],IRRIGADO!E:E,ESTIMATIVA[[#This Row],[CD_UPNIVEL3]]),"")</f>
        <v/>
      </c>
      <c r="AJ154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44" s="1">
        <f>COUNTIFS(Apresentação!$E$23:$E$29,ESTIMATIVA[[#This Row],[CD_UPNIVEL1]])</f>
        <v>0</v>
      </c>
    </row>
    <row r="1545" spans="1:37" x14ac:dyDescent="0.3">
      <c r="A1545">
        <v>20572</v>
      </c>
      <c r="B1545" t="s">
        <v>83</v>
      </c>
      <c r="C1545">
        <v>9</v>
      </c>
      <c r="D1545">
        <v>8</v>
      </c>
      <c r="E1545" t="s">
        <v>262</v>
      </c>
      <c r="F1545" s="85" t="s">
        <v>331</v>
      </c>
      <c r="G1545"/>
      <c r="H1545" t="s">
        <v>294</v>
      </c>
      <c r="I1545" t="s">
        <v>221</v>
      </c>
      <c r="J1545" t="s">
        <v>176</v>
      </c>
      <c r="K1545" s="1">
        <v>33.49</v>
      </c>
      <c r="L1545" s="1">
        <v>0</v>
      </c>
      <c r="M1545" s="1">
        <v>0</v>
      </c>
      <c r="N1545" s="1">
        <v>33.49</v>
      </c>
      <c r="O1545" s="1">
        <v>1674.5</v>
      </c>
      <c r="P1545" s="1">
        <v>0</v>
      </c>
      <c r="Q1545" s="1">
        <v>0</v>
      </c>
      <c r="R1545" s="1">
        <v>1807.59</v>
      </c>
      <c r="S1545" t="s">
        <v>12</v>
      </c>
      <c r="T1545" s="13">
        <v>45830</v>
      </c>
      <c r="U1545" s="1" t="str">
        <f>IF(ESTIMATIVA[[#This Row],[QT_AREA_REAL]]&gt;0,"1- Colhido","2- à Colher")</f>
        <v>1- Colhido</v>
      </c>
      <c r="V1545" s="1" t="str">
        <f>IF(ESTIMATIVA[[#This Row],[QT_AREA_REST1]]&gt;0,"Reestimativa 1",IF(ESTIMATIVA[[#This Row],[QT_AREA_REAL]]=0,"Reestimativa 1","Realizado"))</f>
        <v>Realizado</v>
      </c>
      <c r="W1545" s="1" t="str">
        <f>IF(ESTIMATIVA[[#This Row],[QT_AREA_REST2]]&gt;0,"Reestimativa 2",IF(ESTIMATIVA[[#This Row],[QT_AREA_REAL]]=0,"Reestimativa 2","Realizado"))</f>
        <v>Realizado</v>
      </c>
      <c r="X1545" s="1">
        <f>ESTIMATIVA[[#This Row],[QT_AREA_EST]]</f>
        <v>33.49</v>
      </c>
      <c r="Y1545" s="1">
        <f>IF(ESTIMATIVA[[#This Row],[QT_AREA_REST1]]&gt;0,ESTIMATIVA[[#This Row],[QT_AREA_REST1]],
  IF(ESTIMATIVA[[#This Row],[QT_AREA_REAL]]&gt;0,ESTIMATIVA[[#This Row],[QT_AREA_REAL]],ESTIMATIVA[[#This Row],[QT_AREA_EST]]))</f>
        <v>33.49</v>
      </c>
      <c r="Z154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33.49</v>
      </c>
      <c r="AA1545" s="1">
        <f>ESTIMATIVA[[#This Row],[QT_CANA_EST]]</f>
        <v>1674.5</v>
      </c>
      <c r="AB1545" s="1">
        <f>IF(ESTIMATIVA[[#This Row],[QT_CANA_REST1]]&gt;0,ESTIMATIVA[[#This Row],[QT_CANA_REST1]],
  IF(ESTIMATIVA[[#This Row],[QT_CANA_REAL]]&gt;0,ESTIMATIVA[[#This Row],[QT_CANA_REAL]],ESTIMATIVA[[#This Row],[QT_CANA_EST]]))</f>
        <v>1807.59</v>
      </c>
      <c r="AC154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1807.59</v>
      </c>
      <c r="AD1545" s="1">
        <f>IF(ESTIMATIVA[[#This Row],[QT_AREA_REAL]]&gt;0,ESTIMATIVA[[#This Row],[QT_CANA_REAL]],ESTIMATIVA[[#This Row],[QT_CANA_EST]])</f>
        <v>1807.59</v>
      </c>
      <c r="AE1545" s="1">
        <f>IF(ESTIMATIVA[[#This Row],[QT_AREA_REAL]]&gt;0,ESTIMATIVA[[#This Row],[QT_CANA_REAL]],ESTIMATIVA[[#This Row],[QT_CANA_REST1]])</f>
        <v>1807.59</v>
      </c>
      <c r="AF1545" s="1">
        <f>IF(ESTIMATIVA[[#This Row],[QT_AREA_REAL]]&gt;0,ESTIMATIVA[[#This Row],[QT_CANA_REAL]],ESTIMATIVA[[#This Row],[QT_CANA_REST2]])</f>
        <v>1807.59</v>
      </c>
      <c r="AG1545" s="1" t="str">
        <f>IF(COUNTIFS(GEADA!A:A,VALUE(ESTIMATIVA[[#This Row],[CD_UPNIVEL1]]&amp;TEXT(ESTIMATIVA[[#This Row],[CD_UPNIVEL3]],"0000")))&gt;0,"S","N")</f>
        <v>N</v>
      </c>
      <c r="AH154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45" s="55" t="str">
        <f>IF(ESTIMATIVA[[#This Row],[TP_CULTIVO]]="Irrigado",_xlfn.MAXIFS(IRRIGADO!J:J,IRRIGADO!C:C,ESTIMATIVA[[#This Row],[CD_UPNIVEL1]],IRRIGADO!E:E,ESTIMATIVA[[#This Row],[CD_UPNIVEL3]]),"")</f>
        <v/>
      </c>
      <c r="AJ154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45" s="1">
        <f>COUNTIFS(Apresentação!$E$23:$E$29,ESTIMATIVA[[#This Row],[CD_UPNIVEL1]])</f>
        <v>0</v>
      </c>
    </row>
    <row r="1546" spans="1:37" x14ac:dyDescent="0.3">
      <c r="A1546">
        <v>20572</v>
      </c>
      <c r="B1546" t="s">
        <v>83</v>
      </c>
      <c r="C1546">
        <v>11</v>
      </c>
      <c r="D1546">
        <v>6</v>
      </c>
      <c r="E1546" t="s">
        <v>261</v>
      </c>
      <c r="F1546" s="85" t="s">
        <v>331</v>
      </c>
      <c r="G1546"/>
      <c r="H1546" t="s">
        <v>294</v>
      </c>
      <c r="I1546" t="s">
        <v>195</v>
      </c>
      <c r="J1546" t="s">
        <v>176</v>
      </c>
      <c r="K1546" s="1">
        <v>19.79</v>
      </c>
      <c r="L1546" s="1">
        <v>0</v>
      </c>
      <c r="M1546" s="1">
        <v>0</v>
      </c>
      <c r="N1546" s="1">
        <v>19.79</v>
      </c>
      <c r="O1546" s="1">
        <v>989.5</v>
      </c>
      <c r="P1546" s="1">
        <v>0</v>
      </c>
      <c r="Q1546" s="1">
        <v>0</v>
      </c>
      <c r="R1546" s="1">
        <v>1068.98</v>
      </c>
      <c r="S1546" t="s">
        <v>12</v>
      </c>
      <c r="T1546" s="13">
        <v>45830</v>
      </c>
      <c r="U1546" s="1" t="str">
        <f>IF(ESTIMATIVA[[#This Row],[QT_AREA_REAL]]&gt;0,"1- Colhido","2- à Colher")</f>
        <v>1- Colhido</v>
      </c>
      <c r="V1546" s="1" t="str">
        <f>IF(ESTIMATIVA[[#This Row],[QT_AREA_REST1]]&gt;0,"Reestimativa 1",IF(ESTIMATIVA[[#This Row],[QT_AREA_REAL]]=0,"Reestimativa 1","Realizado"))</f>
        <v>Realizado</v>
      </c>
      <c r="W1546" s="1" t="str">
        <f>IF(ESTIMATIVA[[#This Row],[QT_AREA_REST2]]&gt;0,"Reestimativa 2",IF(ESTIMATIVA[[#This Row],[QT_AREA_REAL]]=0,"Reestimativa 2","Realizado"))</f>
        <v>Realizado</v>
      </c>
      <c r="X1546" s="1">
        <f>ESTIMATIVA[[#This Row],[QT_AREA_EST]]</f>
        <v>19.79</v>
      </c>
      <c r="Y1546" s="1">
        <f>IF(ESTIMATIVA[[#This Row],[QT_AREA_REST1]]&gt;0,ESTIMATIVA[[#This Row],[QT_AREA_REST1]],
  IF(ESTIMATIVA[[#This Row],[QT_AREA_REAL]]&gt;0,ESTIMATIVA[[#This Row],[QT_AREA_REAL]],ESTIMATIVA[[#This Row],[QT_AREA_EST]]))</f>
        <v>19.79</v>
      </c>
      <c r="Z154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19.79</v>
      </c>
      <c r="AA1546" s="1">
        <f>ESTIMATIVA[[#This Row],[QT_CANA_EST]]</f>
        <v>989.5</v>
      </c>
      <c r="AB1546" s="1">
        <f>IF(ESTIMATIVA[[#This Row],[QT_CANA_REST1]]&gt;0,ESTIMATIVA[[#This Row],[QT_CANA_REST1]],
  IF(ESTIMATIVA[[#This Row],[QT_CANA_REAL]]&gt;0,ESTIMATIVA[[#This Row],[QT_CANA_REAL]],ESTIMATIVA[[#This Row],[QT_CANA_EST]]))</f>
        <v>1068.98</v>
      </c>
      <c r="AC154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1068.98</v>
      </c>
      <c r="AD1546" s="1">
        <f>IF(ESTIMATIVA[[#This Row],[QT_AREA_REAL]]&gt;0,ESTIMATIVA[[#This Row],[QT_CANA_REAL]],ESTIMATIVA[[#This Row],[QT_CANA_EST]])</f>
        <v>1068.98</v>
      </c>
      <c r="AE1546" s="1">
        <f>IF(ESTIMATIVA[[#This Row],[QT_AREA_REAL]]&gt;0,ESTIMATIVA[[#This Row],[QT_CANA_REAL]],ESTIMATIVA[[#This Row],[QT_CANA_REST1]])</f>
        <v>1068.98</v>
      </c>
      <c r="AF1546" s="1">
        <f>IF(ESTIMATIVA[[#This Row],[QT_AREA_REAL]]&gt;0,ESTIMATIVA[[#This Row],[QT_CANA_REAL]],ESTIMATIVA[[#This Row],[QT_CANA_REST2]])</f>
        <v>1068.98</v>
      </c>
      <c r="AG1546" s="1" t="str">
        <f>IF(COUNTIFS(GEADA!A:A,VALUE(ESTIMATIVA[[#This Row],[CD_UPNIVEL1]]&amp;TEXT(ESTIMATIVA[[#This Row],[CD_UPNIVEL3]],"0000")))&gt;0,"S","N")</f>
        <v>N</v>
      </c>
      <c r="AH154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46" s="55" t="str">
        <f>IF(ESTIMATIVA[[#This Row],[TP_CULTIVO]]="Irrigado",_xlfn.MAXIFS(IRRIGADO!J:J,IRRIGADO!C:C,ESTIMATIVA[[#This Row],[CD_UPNIVEL1]],IRRIGADO!E:E,ESTIMATIVA[[#This Row],[CD_UPNIVEL3]]),"")</f>
        <v/>
      </c>
      <c r="AJ154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46" s="1">
        <f>COUNTIFS(Apresentação!$E$23:$E$29,ESTIMATIVA[[#This Row],[CD_UPNIVEL1]])</f>
        <v>0</v>
      </c>
    </row>
    <row r="1547" spans="1:37" x14ac:dyDescent="0.3">
      <c r="A1547">
        <v>20572</v>
      </c>
      <c r="B1547" t="s">
        <v>83</v>
      </c>
      <c r="C1547">
        <v>12</v>
      </c>
      <c r="D1547">
        <v>8</v>
      </c>
      <c r="E1547" t="s">
        <v>274</v>
      </c>
      <c r="F1547" s="85" t="s">
        <v>331</v>
      </c>
      <c r="G1547" t="s">
        <v>272</v>
      </c>
      <c r="H1547" t="s">
        <v>294</v>
      </c>
      <c r="I1547" t="s">
        <v>202</v>
      </c>
      <c r="J1547" t="s">
        <v>176</v>
      </c>
      <c r="K1547" s="1">
        <v>22.18</v>
      </c>
      <c r="L1547" s="1">
        <v>0</v>
      </c>
      <c r="M1547" s="1">
        <v>0</v>
      </c>
      <c r="N1547" s="1">
        <v>22.18</v>
      </c>
      <c r="O1547" s="1">
        <v>621.04</v>
      </c>
      <c r="P1547" s="1">
        <v>0</v>
      </c>
      <c r="Q1547" s="1">
        <v>0</v>
      </c>
      <c r="R1547" s="1">
        <v>1149.3599999999999</v>
      </c>
      <c r="S1547" t="s">
        <v>12</v>
      </c>
      <c r="T1547" s="13">
        <v>45739</v>
      </c>
      <c r="U1547" s="1" t="str">
        <f>IF(ESTIMATIVA[[#This Row],[QT_AREA_REAL]]&gt;0,"1- Colhido","2- à Colher")</f>
        <v>1- Colhido</v>
      </c>
      <c r="V1547" s="1" t="str">
        <f>IF(ESTIMATIVA[[#This Row],[QT_AREA_REST1]]&gt;0,"Reestimativa 1",IF(ESTIMATIVA[[#This Row],[QT_AREA_REAL]]=0,"Reestimativa 1","Realizado"))</f>
        <v>Realizado</v>
      </c>
      <c r="W1547" s="1" t="str">
        <f>IF(ESTIMATIVA[[#This Row],[QT_AREA_REST2]]&gt;0,"Reestimativa 2",IF(ESTIMATIVA[[#This Row],[QT_AREA_REAL]]=0,"Reestimativa 2","Realizado"))</f>
        <v>Realizado</v>
      </c>
      <c r="X1547" s="1">
        <f>ESTIMATIVA[[#This Row],[QT_AREA_EST]]</f>
        <v>22.18</v>
      </c>
      <c r="Y1547" s="1">
        <f>IF(ESTIMATIVA[[#This Row],[QT_AREA_REST1]]&gt;0,ESTIMATIVA[[#This Row],[QT_AREA_REST1]],
  IF(ESTIMATIVA[[#This Row],[QT_AREA_REAL]]&gt;0,ESTIMATIVA[[#This Row],[QT_AREA_REAL]],ESTIMATIVA[[#This Row],[QT_AREA_EST]]))</f>
        <v>22.18</v>
      </c>
      <c r="Z154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22.18</v>
      </c>
      <c r="AA1547" s="1">
        <f>ESTIMATIVA[[#This Row],[QT_CANA_EST]]</f>
        <v>621.04</v>
      </c>
      <c r="AB1547" s="1">
        <f>IF(ESTIMATIVA[[#This Row],[QT_CANA_REST1]]&gt;0,ESTIMATIVA[[#This Row],[QT_CANA_REST1]],
  IF(ESTIMATIVA[[#This Row],[QT_CANA_REAL]]&gt;0,ESTIMATIVA[[#This Row],[QT_CANA_REAL]],ESTIMATIVA[[#This Row],[QT_CANA_EST]]))</f>
        <v>1149.3599999999999</v>
      </c>
      <c r="AC154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1149.3599999999999</v>
      </c>
      <c r="AD1547" s="1">
        <f>IF(ESTIMATIVA[[#This Row],[QT_AREA_REAL]]&gt;0,ESTIMATIVA[[#This Row],[QT_CANA_REAL]],ESTIMATIVA[[#This Row],[QT_CANA_EST]])</f>
        <v>1149.3599999999999</v>
      </c>
      <c r="AE1547" s="1">
        <f>IF(ESTIMATIVA[[#This Row],[QT_AREA_REAL]]&gt;0,ESTIMATIVA[[#This Row],[QT_CANA_REAL]],ESTIMATIVA[[#This Row],[QT_CANA_REST1]])</f>
        <v>1149.3599999999999</v>
      </c>
      <c r="AF1547" s="1">
        <f>IF(ESTIMATIVA[[#This Row],[QT_AREA_REAL]]&gt;0,ESTIMATIVA[[#This Row],[QT_CANA_REAL]],ESTIMATIVA[[#This Row],[QT_CANA_REST2]])</f>
        <v>1149.3599999999999</v>
      </c>
      <c r="AG1547" s="1" t="str">
        <f>IF(COUNTIFS(GEADA!A:A,VALUE(ESTIMATIVA[[#This Row],[CD_UPNIVEL1]]&amp;TEXT(ESTIMATIVA[[#This Row],[CD_UPNIVEL3]],"0000")))&gt;0,"S","N")</f>
        <v>N</v>
      </c>
      <c r="AH154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47" s="55" t="str">
        <f>IF(ESTIMATIVA[[#This Row],[TP_CULTIVO]]="Irrigado",_xlfn.MAXIFS(IRRIGADO!J:J,IRRIGADO!C:C,ESTIMATIVA[[#This Row],[CD_UPNIVEL1]],IRRIGADO!E:E,ESTIMATIVA[[#This Row],[CD_UPNIVEL3]]),"")</f>
        <v/>
      </c>
      <c r="AJ154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47" s="1">
        <f>COUNTIFS(Apresentação!$E$23:$E$29,ESTIMATIVA[[#This Row],[CD_UPNIVEL1]])</f>
        <v>0</v>
      </c>
    </row>
    <row r="1548" spans="1:37" x14ac:dyDescent="0.3">
      <c r="A1548">
        <v>20572</v>
      </c>
      <c r="B1548" t="s">
        <v>83</v>
      </c>
      <c r="C1548">
        <v>13</v>
      </c>
      <c r="D1548">
        <v>7</v>
      </c>
      <c r="E1548" t="s">
        <v>271</v>
      </c>
      <c r="F1548" s="85" t="s">
        <v>331</v>
      </c>
      <c r="G1548" t="s">
        <v>272</v>
      </c>
      <c r="H1548" t="s">
        <v>294</v>
      </c>
      <c r="I1548" t="s">
        <v>202</v>
      </c>
      <c r="J1548" t="s">
        <v>176</v>
      </c>
      <c r="K1548" s="1">
        <v>27.11</v>
      </c>
      <c r="L1548" s="1">
        <v>0</v>
      </c>
      <c r="M1548" s="1">
        <v>0</v>
      </c>
      <c r="N1548" s="1">
        <v>27.11</v>
      </c>
      <c r="O1548" s="1">
        <v>759.08</v>
      </c>
      <c r="P1548" s="1">
        <v>0</v>
      </c>
      <c r="Q1548" s="1">
        <v>0</v>
      </c>
      <c r="R1548" s="1">
        <v>1027.72</v>
      </c>
      <c r="S1548" t="s">
        <v>12</v>
      </c>
      <c r="T1548" s="13">
        <v>45739</v>
      </c>
      <c r="U1548" s="1" t="str">
        <f>IF(ESTIMATIVA[[#This Row],[QT_AREA_REAL]]&gt;0,"1- Colhido","2- à Colher")</f>
        <v>1- Colhido</v>
      </c>
      <c r="V1548" s="1" t="str">
        <f>IF(ESTIMATIVA[[#This Row],[QT_AREA_REST1]]&gt;0,"Reestimativa 1",IF(ESTIMATIVA[[#This Row],[QT_AREA_REAL]]=0,"Reestimativa 1","Realizado"))</f>
        <v>Realizado</v>
      </c>
      <c r="W1548" s="1" t="str">
        <f>IF(ESTIMATIVA[[#This Row],[QT_AREA_REST2]]&gt;0,"Reestimativa 2",IF(ESTIMATIVA[[#This Row],[QT_AREA_REAL]]=0,"Reestimativa 2","Realizado"))</f>
        <v>Realizado</v>
      </c>
      <c r="X1548" s="1">
        <f>ESTIMATIVA[[#This Row],[QT_AREA_EST]]</f>
        <v>27.11</v>
      </c>
      <c r="Y1548" s="1">
        <f>IF(ESTIMATIVA[[#This Row],[QT_AREA_REST1]]&gt;0,ESTIMATIVA[[#This Row],[QT_AREA_REST1]],
  IF(ESTIMATIVA[[#This Row],[QT_AREA_REAL]]&gt;0,ESTIMATIVA[[#This Row],[QT_AREA_REAL]],ESTIMATIVA[[#This Row],[QT_AREA_EST]]))</f>
        <v>27.11</v>
      </c>
      <c r="Z154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27.11</v>
      </c>
      <c r="AA1548" s="1">
        <f>ESTIMATIVA[[#This Row],[QT_CANA_EST]]</f>
        <v>759.08</v>
      </c>
      <c r="AB1548" s="1">
        <f>IF(ESTIMATIVA[[#This Row],[QT_CANA_REST1]]&gt;0,ESTIMATIVA[[#This Row],[QT_CANA_REST1]],
  IF(ESTIMATIVA[[#This Row],[QT_CANA_REAL]]&gt;0,ESTIMATIVA[[#This Row],[QT_CANA_REAL]],ESTIMATIVA[[#This Row],[QT_CANA_EST]]))</f>
        <v>1027.72</v>
      </c>
      <c r="AC154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1027.72</v>
      </c>
      <c r="AD1548" s="1">
        <f>IF(ESTIMATIVA[[#This Row],[QT_AREA_REAL]]&gt;0,ESTIMATIVA[[#This Row],[QT_CANA_REAL]],ESTIMATIVA[[#This Row],[QT_CANA_EST]])</f>
        <v>1027.72</v>
      </c>
      <c r="AE1548" s="1">
        <f>IF(ESTIMATIVA[[#This Row],[QT_AREA_REAL]]&gt;0,ESTIMATIVA[[#This Row],[QT_CANA_REAL]],ESTIMATIVA[[#This Row],[QT_CANA_REST1]])</f>
        <v>1027.72</v>
      </c>
      <c r="AF1548" s="1">
        <f>IF(ESTIMATIVA[[#This Row],[QT_AREA_REAL]]&gt;0,ESTIMATIVA[[#This Row],[QT_CANA_REAL]],ESTIMATIVA[[#This Row],[QT_CANA_REST2]])</f>
        <v>1027.72</v>
      </c>
      <c r="AG1548" s="1" t="str">
        <f>IF(COUNTIFS(GEADA!A:A,VALUE(ESTIMATIVA[[#This Row],[CD_UPNIVEL1]]&amp;TEXT(ESTIMATIVA[[#This Row],[CD_UPNIVEL3]],"0000")))&gt;0,"S","N")</f>
        <v>N</v>
      </c>
      <c r="AH154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48" s="55" t="str">
        <f>IF(ESTIMATIVA[[#This Row],[TP_CULTIVO]]="Irrigado",_xlfn.MAXIFS(IRRIGADO!J:J,IRRIGADO!C:C,ESTIMATIVA[[#This Row],[CD_UPNIVEL1]],IRRIGADO!E:E,ESTIMATIVA[[#This Row],[CD_UPNIVEL3]]),"")</f>
        <v/>
      </c>
      <c r="AJ154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48" s="1">
        <f>COUNTIFS(Apresentação!$E$23:$E$29,ESTIMATIVA[[#This Row],[CD_UPNIVEL1]])</f>
        <v>0</v>
      </c>
    </row>
    <row r="1549" spans="1:37" x14ac:dyDescent="0.3">
      <c r="A1549">
        <v>20572</v>
      </c>
      <c r="B1549" t="s">
        <v>83</v>
      </c>
      <c r="C1549">
        <v>14</v>
      </c>
      <c r="D1549">
        <v>8</v>
      </c>
      <c r="E1549" t="s">
        <v>274</v>
      </c>
      <c r="F1549" s="85" t="s">
        <v>331</v>
      </c>
      <c r="G1549" t="s">
        <v>272</v>
      </c>
      <c r="H1549" t="s">
        <v>294</v>
      </c>
      <c r="I1549" t="s">
        <v>202</v>
      </c>
      <c r="J1549" t="s">
        <v>176</v>
      </c>
      <c r="K1549" s="1">
        <v>48.85</v>
      </c>
      <c r="L1549" s="1">
        <v>0</v>
      </c>
      <c r="M1549" s="1">
        <v>0</v>
      </c>
      <c r="N1549" s="1">
        <v>48.85</v>
      </c>
      <c r="O1549" s="1">
        <v>1367.8</v>
      </c>
      <c r="P1549" s="1">
        <v>0</v>
      </c>
      <c r="Q1549" s="1">
        <v>0</v>
      </c>
      <c r="R1549" s="1">
        <v>2384.4899999999998</v>
      </c>
      <c r="S1549" t="s">
        <v>12</v>
      </c>
      <c r="T1549" s="13">
        <v>45739</v>
      </c>
      <c r="U1549" s="1" t="str">
        <f>IF(ESTIMATIVA[[#This Row],[QT_AREA_REAL]]&gt;0,"1- Colhido","2- à Colher")</f>
        <v>1- Colhido</v>
      </c>
      <c r="V1549" s="1" t="str">
        <f>IF(ESTIMATIVA[[#This Row],[QT_AREA_REST1]]&gt;0,"Reestimativa 1",IF(ESTIMATIVA[[#This Row],[QT_AREA_REAL]]=0,"Reestimativa 1","Realizado"))</f>
        <v>Realizado</v>
      </c>
      <c r="W1549" s="1" t="str">
        <f>IF(ESTIMATIVA[[#This Row],[QT_AREA_REST2]]&gt;0,"Reestimativa 2",IF(ESTIMATIVA[[#This Row],[QT_AREA_REAL]]=0,"Reestimativa 2","Realizado"))</f>
        <v>Realizado</v>
      </c>
      <c r="X1549" s="1">
        <f>ESTIMATIVA[[#This Row],[QT_AREA_EST]]</f>
        <v>48.85</v>
      </c>
      <c r="Y1549" s="1">
        <f>IF(ESTIMATIVA[[#This Row],[QT_AREA_REST1]]&gt;0,ESTIMATIVA[[#This Row],[QT_AREA_REST1]],
  IF(ESTIMATIVA[[#This Row],[QT_AREA_REAL]]&gt;0,ESTIMATIVA[[#This Row],[QT_AREA_REAL]],ESTIMATIVA[[#This Row],[QT_AREA_EST]]))</f>
        <v>48.85</v>
      </c>
      <c r="Z154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48.85</v>
      </c>
      <c r="AA1549" s="1">
        <f>ESTIMATIVA[[#This Row],[QT_CANA_EST]]</f>
        <v>1367.8</v>
      </c>
      <c r="AB1549" s="1">
        <f>IF(ESTIMATIVA[[#This Row],[QT_CANA_REST1]]&gt;0,ESTIMATIVA[[#This Row],[QT_CANA_REST1]],
  IF(ESTIMATIVA[[#This Row],[QT_CANA_REAL]]&gt;0,ESTIMATIVA[[#This Row],[QT_CANA_REAL]],ESTIMATIVA[[#This Row],[QT_CANA_EST]]))</f>
        <v>2384.4899999999998</v>
      </c>
      <c r="AC154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2384.4899999999998</v>
      </c>
      <c r="AD1549" s="1">
        <f>IF(ESTIMATIVA[[#This Row],[QT_AREA_REAL]]&gt;0,ESTIMATIVA[[#This Row],[QT_CANA_REAL]],ESTIMATIVA[[#This Row],[QT_CANA_EST]])</f>
        <v>2384.4899999999998</v>
      </c>
      <c r="AE1549" s="1">
        <f>IF(ESTIMATIVA[[#This Row],[QT_AREA_REAL]]&gt;0,ESTIMATIVA[[#This Row],[QT_CANA_REAL]],ESTIMATIVA[[#This Row],[QT_CANA_REST1]])</f>
        <v>2384.4899999999998</v>
      </c>
      <c r="AF1549" s="1">
        <f>IF(ESTIMATIVA[[#This Row],[QT_AREA_REAL]]&gt;0,ESTIMATIVA[[#This Row],[QT_CANA_REAL]],ESTIMATIVA[[#This Row],[QT_CANA_REST2]])</f>
        <v>2384.4899999999998</v>
      </c>
      <c r="AG1549" s="1" t="str">
        <f>IF(COUNTIFS(GEADA!A:A,VALUE(ESTIMATIVA[[#This Row],[CD_UPNIVEL1]]&amp;TEXT(ESTIMATIVA[[#This Row],[CD_UPNIVEL3]],"0000")))&gt;0,"S","N")</f>
        <v>N</v>
      </c>
      <c r="AH154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49" s="55" t="str">
        <f>IF(ESTIMATIVA[[#This Row],[TP_CULTIVO]]="Irrigado",_xlfn.MAXIFS(IRRIGADO!J:J,IRRIGADO!C:C,ESTIMATIVA[[#This Row],[CD_UPNIVEL1]],IRRIGADO!E:E,ESTIMATIVA[[#This Row],[CD_UPNIVEL3]]),"")</f>
        <v/>
      </c>
      <c r="AJ154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49" s="1">
        <f>COUNTIFS(Apresentação!$E$23:$E$29,ESTIMATIVA[[#This Row],[CD_UPNIVEL1]])</f>
        <v>0</v>
      </c>
    </row>
    <row r="1550" spans="1:37" x14ac:dyDescent="0.3">
      <c r="A1550">
        <v>20572</v>
      </c>
      <c r="B1550" t="s">
        <v>83</v>
      </c>
      <c r="C1550">
        <v>16</v>
      </c>
      <c r="D1550">
        <v>9</v>
      </c>
      <c r="E1550" t="s">
        <v>275</v>
      </c>
      <c r="F1550" s="85" t="s">
        <v>331</v>
      </c>
      <c r="G1550"/>
      <c r="H1550" t="s">
        <v>294</v>
      </c>
      <c r="I1550" t="s">
        <v>202</v>
      </c>
      <c r="J1550" t="s">
        <v>176</v>
      </c>
      <c r="K1550" s="1">
        <v>17.940000000000001</v>
      </c>
      <c r="L1550" s="1">
        <v>0</v>
      </c>
      <c r="M1550" s="1">
        <v>0</v>
      </c>
      <c r="N1550" s="1">
        <v>17.940000000000001</v>
      </c>
      <c r="O1550" s="1">
        <v>502.32</v>
      </c>
      <c r="P1550" s="1">
        <v>0</v>
      </c>
      <c r="Q1550" s="1">
        <v>0</v>
      </c>
      <c r="R1550" s="1">
        <v>848.02</v>
      </c>
      <c r="S1550" t="s">
        <v>12</v>
      </c>
      <c r="T1550" s="13">
        <v>45739</v>
      </c>
      <c r="U1550" s="1" t="str">
        <f>IF(ESTIMATIVA[[#This Row],[QT_AREA_REAL]]&gt;0,"1- Colhido","2- à Colher")</f>
        <v>1- Colhido</v>
      </c>
      <c r="V1550" s="1" t="str">
        <f>IF(ESTIMATIVA[[#This Row],[QT_AREA_REST1]]&gt;0,"Reestimativa 1",IF(ESTIMATIVA[[#This Row],[QT_AREA_REAL]]=0,"Reestimativa 1","Realizado"))</f>
        <v>Realizado</v>
      </c>
      <c r="W1550" s="1" t="str">
        <f>IF(ESTIMATIVA[[#This Row],[QT_AREA_REST2]]&gt;0,"Reestimativa 2",IF(ESTIMATIVA[[#This Row],[QT_AREA_REAL]]=0,"Reestimativa 2","Realizado"))</f>
        <v>Realizado</v>
      </c>
      <c r="X1550" s="1">
        <f>ESTIMATIVA[[#This Row],[QT_AREA_EST]]</f>
        <v>17.940000000000001</v>
      </c>
      <c r="Y1550" s="1">
        <f>IF(ESTIMATIVA[[#This Row],[QT_AREA_REST1]]&gt;0,ESTIMATIVA[[#This Row],[QT_AREA_REST1]],
  IF(ESTIMATIVA[[#This Row],[QT_AREA_REAL]]&gt;0,ESTIMATIVA[[#This Row],[QT_AREA_REAL]],ESTIMATIVA[[#This Row],[QT_AREA_EST]]))</f>
        <v>17.940000000000001</v>
      </c>
      <c r="Z155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17.940000000000001</v>
      </c>
      <c r="AA1550" s="1">
        <f>ESTIMATIVA[[#This Row],[QT_CANA_EST]]</f>
        <v>502.32</v>
      </c>
      <c r="AB1550" s="1">
        <f>IF(ESTIMATIVA[[#This Row],[QT_CANA_REST1]]&gt;0,ESTIMATIVA[[#This Row],[QT_CANA_REST1]],
  IF(ESTIMATIVA[[#This Row],[QT_CANA_REAL]]&gt;0,ESTIMATIVA[[#This Row],[QT_CANA_REAL]],ESTIMATIVA[[#This Row],[QT_CANA_EST]]))</f>
        <v>848.02</v>
      </c>
      <c r="AC155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848.02</v>
      </c>
      <c r="AD1550" s="1">
        <f>IF(ESTIMATIVA[[#This Row],[QT_AREA_REAL]]&gt;0,ESTIMATIVA[[#This Row],[QT_CANA_REAL]],ESTIMATIVA[[#This Row],[QT_CANA_EST]])</f>
        <v>848.02</v>
      </c>
      <c r="AE1550" s="1">
        <f>IF(ESTIMATIVA[[#This Row],[QT_AREA_REAL]]&gt;0,ESTIMATIVA[[#This Row],[QT_CANA_REAL]],ESTIMATIVA[[#This Row],[QT_CANA_REST1]])</f>
        <v>848.02</v>
      </c>
      <c r="AF1550" s="1">
        <f>IF(ESTIMATIVA[[#This Row],[QT_AREA_REAL]]&gt;0,ESTIMATIVA[[#This Row],[QT_CANA_REAL]],ESTIMATIVA[[#This Row],[QT_CANA_REST2]])</f>
        <v>848.02</v>
      </c>
      <c r="AG1550" s="1" t="str">
        <f>IF(COUNTIFS(GEADA!A:A,VALUE(ESTIMATIVA[[#This Row],[CD_UPNIVEL1]]&amp;TEXT(ESTIMATIVA[[#This Row],[CD_UPNIVEL3]],"0000")))&gt;0,"S","N")</f>
        <v>N</v>
      </c>
      <c r="AH155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50" s="55" t="str">
        <f>IF(ESTIMATIVA[[#This Row],[TP_CULTIVO]]="Irrigado",_xlfn.MAXIFS(IRRIGADO!J:J,IRRIGADO!C:C,ESTIMATIVA[[#This Row],[CD_UPNIVEL1]],IRRIGADO!E:E,ESTIMATIVA[[#This Row],[CD_UPNIVEL3]]),"")</f>
        <v/>
      </c>
      <c r="AJ155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50" s="1">
        <f>COUNTIFS(Apresentação!$E$23:$E$29,ESTIMATIVA[[#This Row],[CD_UPNIVEL1]])</f>
        <v>0</v>
      </c>
    </row>
    <row r="1551" spans="1:37" x14ac:dyDescent="0.3">
      <c r="A1551">
        <v>20572</v>
      </c>
      <c r="B1551" t="s">
        <v>83</v>
      </c>
      <c r="C1551">
        <v>17</v>
      </c>
      <c r="D1551">
        <v>9</v>
      </c>
      <c r="E1551" t="s">
        <v>275</v>
      </c>
      <c r="F1551" s="85" t="s">
        <v>332</v>
      </c>
      <c r="G1551"/>
      <c r="H1551" t="s">
        <v>294</v>
      </c>
      <c r="I1551" t="s">
        <v>202</v>
      </c>
      <c r="J1551" t="s">
        <v>176</v>
      </c>
      <c r="K1551" s="1">
        <v>9.26</v>
      </c>
      <c r="L1551" s="1">
        <v>0</v>
      </c>
      <c r="M1551" s="1">
        <v>0</v>
      </c>
      <c r="N1551" s="1">
        <v>9.26</v>
      </c>
      <c r="O1551" s="1">
        <v>259.27999999999997</v>
      </c>
      <c r="P1551" s="1">
        <v>0</v>
      </c>
      <c r="Q1551" s="1">
        <v>0</v>
      </c>
      <c r="R1551" s="1">
        <v>437.28</v>
      </c>
      <c r="S1551" t="s">
        <v>12</v>
      </c>
      <c r="T1551" s="13">
        <v>45739</v>
      </c>
      <c r="U1551" s="1" t="str">
        <f>IF(ESTIMATIVA[[#This Row],[QT_AREA_REAL]]&gt;0,"1- Colhido","2- à Colher")</f>
        <v>1- Colhido</v>
      </c>
      <c r="V1551" s="1" t="str">
        <f>IF(ESTIMATIVA[[#This Row],[QT_AREA_REST1]]&gt;0,"Reestimativa 1",IF(ESTIMATIVA[[#This Row],[QT_AREA_REAL]]=0,"Reestimativa 1","Realizado"))</f>
        <v>Realizado</v>
      </c>
      <c r="W1551" s="1" t="str">
        <f>IF(ESTIMATIVA[[#This Row],[QT_AREA_REST2]]&gt;0,"Reestimativa 2",IF(ESTIMATIVA[[#This Row],[QT_AREA_REAL]]=0,"Reestimativa 2","Realizado"))</f>
        <v>Realizado</v>
      </c>
      <c r="X1551" s="1">
        <f>ESTIMATIVA[[#This Row],[QT_AREA_EST]]</f>
        <v>9.26</v>
      </c>
      <c r="Y1551" s="1">
        <f>IF(ESTIMATIVA[[#This Row],[QT_AREA_REST1]]&gt;0,ESTIMATIVA[[#This Row],[QT_AREA_REST1]],
  IF(ESTIMATIVA[[#This Row],[QT_AREA_REAL]]&gt;0,ESTIMATIVA[[#This Row],[QT_AREA_REAL]],ESTIMATIVA[[#This Row],[QT_AREA_EST]]))</f>
        <v>9.26</v>
      </c>
      <c r="Z155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9.26</v>
      </c>
      <c r="AA1551" s="1">
        <f>ESTIMATIVA[[#This Row],[QT_CANA_EST]]</f>
        <v>259.27999999999997</v>
      </c>
      <c r="AB1551" s="1">
        <f>IF(ESTIMATIVA[[#This Row],[QT_CANA_REST1]]&gt;0,ESTIMATIVA[[#This Row],[QT_CANA_REST1]],
  IF(ESTIMATIVA[[#This Row],[QT_CANA_REAL]]&gt;0,ESTIMATIVA[[#This Row],[QT_CANA_REAL]],ESTIMATIVA[[#This Row],[QT_CANA_EST]]))</f>
        <v>437.28</v>
      </c>
      <c r="AC155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437.28</v>
      </c>
      <c r="AD1551" s="1">
        <f>IF(ESTIMATIVA[[#This Row],[QT_AREA_REAL]]&gt;0,ESTIMATIVA[[#This Row],[QT_CANA_REAL]],ESTIMATIVA[[#This Row],[QT_CANA_EST]])</f>
        <v>437.28</v>
      </c>
      <c r="AE1551" s="1">
        <f>IF(ESTIMATIVA[[#This Row],[QT_AREA_REAL]]&gt;0,ESTIMATIVA[[#This Row],[QT_CANA_REAL]],ESTIMATIVA[[#This Row],[QT_CANA_REST1]])</f>
        <v>437.28</v>
      </c>
      <c r="AF1551" s="1">
        <f>IF(ESTIMATIVA[[#This Row],[QT_AREA_REAL]]&gt;0,ESTIMATIVA[[#This Row],[QT_CANA_REAL]],ESTIMATIVA[[#This Row],[QT_CANA_REST2]])</f>
        <v>437.28</v>
      </c>
      <c r="AG1551" s="1" t="str">
        <f>IF(COUNTIFS(GEADA!A:A,VALUE(ESTIMATIVA[[#This Row],[CD_UPNIVEL1]]&amp;TEXT(ESTIMATIVA[[#This Row],[CD_UPNIVEL3]],"0000")))&gt;0,"S","N")</f>
        <v>N</v>
      </c>
      <c r="AH155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51" s="55" t="str">
        <f>IF(ESTIMATIVA[[#This Row],[TP_CULTIVO]]="Irrigado",_xlfn.MAXIFS(IRRIGADO!J:J,IRRIGADO!C:C,ESTIMATIVA[[#This Row],[CD_UPNIVEL1]],IRRIGADO!E:E,ESTIMATIVA[[#This Row],[CD_UPNIVEL3]]),"")</f>
        <v/>
      </c>
      <c r="AJ155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51" s="1">
        <f>COUNTIFS(Apresentação!$E$23:$E$29,ESTIMATIVA[[#This Row],[CD_UPNIVEL1]])</f>
        <v>0</v>
      </c>
    </row>
    <row r="1552" spans="1:37" x14ac:dyDescent="0.3">
      <c r="A1552">
        <v>20572</v>
      </c>
      <c r="B1552" t="s">
        <v>83</v>
      </c>
      <c r="C1552">
        <v>18</v>
      </c>
      <c r="D1552">
        <v>9</v>
      </c>
      <c r="E1552" t="s">
        <v>275</v>
      </c>
      <c r="F1552" s="85" t="s">
        <v>331</v>
      </c>
      <c r="G1552"/>
      <c r="H1552" t="s">
        <v>294</v>
      </c>
      <c r="I1552" t="s">
        <v>202</v>
      </c>
      <c r="J1552" t="s">
        <v>176</v>
      </c>
      <c r="K1552" s="1">
        <v>38.56</v>
      </c>
      <c r="L1552" s="1">
        <v>0</v>
      </c>
      <c r="M1552" s="1">
        <v>0</v>
      </c>
      <c r="N1552" s="1">
        <v>38.56</v>
      </c>
      <c r="O1552" s="1">
        <v>1928</v>
      </c>
      <c r="P1552" s="1">
        <v>0</v>
      </c>
      <c r="Q1552" s="1">
        <v>0</v>
      </c>
      <c r="R1552" s="1">
        <v>1781.81</v>
      </c>
      <c r="S1552" t="s">
        <v>12</v>
      </c>
      <c r="T1552" s="13">
        <v>45830</v>
      </c>
      <c r="U1552" s="1" t="str">
        <f>IF(ESTIMATIVA[[#This Row],[QT_AREA_REAL]]&gt;0,"1- Colhido","2- à Colher")</f>
        <v>1- Colhido</v>
      </c>
      <c r="V1552" s="1" t="str">
        <f>IF(ESTIMATIVA[[#This Row],[QT_AREA_REST1]]&gt;0,"Reestimativa 1",IF(ESTIMATIVA[[#This Row],[QT_AREA_REAL]]=0,"Reestimativa 1","Realizado"))</f>
        <v>Realizado</v>
      </c>
      <c r="W1552" s="1" t="str">
        <f>IF(ESTIMATIVA[[#This Row],[QT_AREA_REST2]]&gt;0,"Reestimativa 2",IF(ESTIMATIVA[[#This Row],[QT_AREA_REAL]]=0,"Reestimativa 2","Realizado"))</f>
        <v>Realizado</v>
      </c>
      <c r="X1552" s="1">
        <f>ESTIMATIVA[[#This Row],[QT_AREA_EST]]</f>
        <v>38.56</v>
      </c>
      <c r="Y1552" s="1">
        <f>IF(ESTIMATIVA[[#This Row],[QT_AREA_REST1]]&gt;0,ESTIMATIVA[[#This Row],[QT_AREA_REST1]],
  IF(ESTIMATIVA[[#This Row],[QT_AREA_REAL]]&gt;0,ESTIMATIVA[[#This Row],[QT_AREA_REAL]],ESTIMATIVA[[#This Row],[QT_AREA_EST]]))</f>
        <v>38.56</v>
      </c>
      <c r="Z155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38.56</v>
      </c>
      <c r="AA1552" s="1">
        <f>ESTIMATIVA[[#This Row],[QT_CANA_EST]]</f>
        <v>1928</v>
      </c>
      <c r="AB1552" s="1">
        <f>IF(ESTIMATIVA[[#This Row],[QT_CANA_REST1]]&gt;0,ESTIMATIVA[[#This Row],[QT_CANA_REST1]],
  IF(ESTIMATIVA[[#This Row],[QT_CANA_REAL]]&gt;0,ESTIMATIVA[[#This Row],[QT_CANA_REAL]],ESTIMATIVA[[#This Row],[QT_CANA_EST]]))</f>
        <v>1781.81</v>
      </c>
      <c r="AC155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1781.81</v>
      </c>
      <c r="AD1552" s="1">
        <f>IF(ESTIMATIVA[[#This Row],[QT_AREA_REAL]]&gt;0,ESTIMATIVA[[#This Row],[QT_CANA_REAL]],ESTIMATIVA[[#This Row],[QT_CANA_EST]])</f>
        <v>1781.81</v>
      </c>
      <c r="AE1552" s="1">
        <f>IF(ESTIMATIVA[[#This Row],[QT_AREA_REAL]]&gt;0,ESTIMATIVA[[#This Row],[QT_CANA_REAL]],ESTIMATIVA[[#This Row],[QT_CANA_REST1]])</f>
        <v>1781.81</v>
      </c>
      <c r="AF1552" s="1">
        <f>IF(ESTIMATIVA[[#This Row],[QT_AREA_REAL]]&gt;0,ESTIMATIVA[[#This Row],[QT_CANA_REAL]],ESTIMATIVA[[#This Row],[QT_CANA_REST2]])</f>
        <v>1781.81</v>
      </c>
      <c r="AG1552" s="1" t="str">
        <f>IF(COUNTIFS(GEADA!A:A,VALUE(ESTIMATIVA[[#This Row],[CD_UPNIVEL1]]&amp;TEXT(ESTIMATIVA[[#This Row],[CD_UPNIVEL3]],"0000")))&gt;0,"S","N")</f>
        <v>N</v>
      </c>
      <c r="AH155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52" s="55" t="str">
        <f>IF(ESTIMATIVA[[#This Row],[TP_CULTIVO]]="Irrigado",_xlfn.MAXIFS(IRRIGADO!J:J,IRRIGADO!C:C,ESTIMATIVA[[#This Row],[CD_UPNIVEL1]],IRRIGADO!E:E,ESTIMATIVA[[#This Row],[CD_UPNIVEL3]]),"")</f>
        <v/>
      </c>
      <c r="AJ155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52" s="1">
        <f>COUNTIFS(Apresentação!$E$23:$E$29,ESTIMATIVA[[#This Row],[CD_UPNIVEL1]])</f>
        <v>0</v>
      </c>
    </row>
    <row r="1553" spans="1:37" x14ac:dyDescent="0.3">
      <c r="A1553">
        <v>20572</v>
      </c>
      <c r="B1553" t="s">
        <v>83</v>
      </c>
      <c r="C1553">
        <v>19</v>
      </c>
      <c r="D1553">
        <v>9</v>
      </c>
      <c r="E1553" t="s">
        <v>275</v>
      </c>
      <c r="F1553" s="85" t="s">
        <v>332</v>
      </c>
      <c r="G1553"/>
      <c r="H1553" t="s">
        <v>294</v>
      </c>
      <c r="I1553" t="s">
        <v>202</v>
      </c>
      <c r="J1553" t="s">
        <v>176</v>
      </c>
      <c r="K1553" s="1">
        <v>27</v>
      </c>
      <c r="L1553" s="1">
        <v>0</v>
      </c>
      <c r="M1553" s="1">
        <v>27</v>
      </c>
      <c r="N1553" s="1">
        <v>27</v>
      </c>
      <c r="O1553" s="1">
        <v>1755</v>
      </c>
      <c r="P1553" s="1">
        <v>0</v>
      </c>
      <c r="Q1553" s="1">
        <v>1755</v>
      </c>
      <c r="R1553" s="1">
        <v>1362.01</v>
      </c>
      <c r="S1553" t="s">
        <v>12</v>
      </c>
      <c r="T1553" s="13">
        <v>45949</v>
      </c>
      <c r="U1553" s="1" t="str">
        <f>IF(ESTIMATIVA[[#This Row],[QT_AREA_REAL]]&gt;0,"1- Colhido","2- à Colher")</f>
        <v>1- Colhido</v>
      </c>
      <c r="V1553" s="1" t="str">
        <f>IF(ESTIMATIVA[[#This Row],[QT_AREA_REST1]]&gt;0,"Reestimativa 1",IF(ESTIMATIVA[[#This Row],[QT_AREA_REAL]]=0,"Reestimativa 1","Realizado"))</f>
        <v>Realizado</v>
      </c>
      <c r="W1553" s="1" t="str">
        <f>IF(ESTIMATIVA[[#This Row],[QT_AREA_REST2]]&gt;0,"Reestimativa 2",IF(ESTIMATIVA[[#This Row],[QT_AREA_REAL]]=0,"Reestimativa 2","Realizado"))</f>
        <v>Reestimativa 2</v>
      </c>
      <c r="X1553" s="1">
        <f>ESTIMATIVA[[#This Row],[QT_AREA_EST]]</f>
        <v>27</v>
      </c>
      <c r="Y1553" s="1">
        <f>IF(ESTIMATIVA[[#This Row],[QT_AREA_REST1]]&gt;0,ESTIMATIVA[[#This Row],[QT_AREA_REST1]],
  IF(ESTIMATIVA[[#This Row],[QT_AREA_REAL]]&gt;0,ESTIMATIVA[[#This Row],[QT_AREA_REAL]],ESTIMATIVA[[#This Row],[QT_AREA_EST]]))</f>
        <v>27</v>
      </c>
      <c r="Z155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</v>
      </c>
      <c r="AA1553" s="1">
        <f>ESTIMATIVA[[#This Row],[QT_CANA_EST]]</f>
        <v>1755</v>
      </c>
      <c r="AB1553" s="1">
        <f>IF(ESTIMATIVA[[#This Row],[QT_CANA_REST1]]&gt;0,ESTIMATIVA[[#This Row],[QT_CANA_REST1]],
  IF(ESTIMATIVA[[#This Row],[QT_CANA_REAL]]&gt;0,ESTIMATIVA[[#This Row],[QT_CANA_REAL]],ESTIMATIVA[[#This Row],[QT_CANA_EST]]))</f>
        <v>1362.01</v>
      </c>
      <c r="AC155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1755</v>
      </c>
      <c r="AD1553" s="1">
        <f>IF(ESTIMATIVA[[#This Row],[QT_AREA_REAL]]&gt;0,ESTIMATIVA[[#This Row],[QT_CANA_REAL]],ESTIMATIVA[[#This Row],[QT_CANA_EST]])</f>
        <v>1362.01</v>
      </c>
      <c r="AE1553" s="1">
        <f>IF(ESTIMATIVA[[#This Row],[QT_AREA_REAL]]&gt;0,ESTIMATIVA[[#This Row],[QT_CANA_REAL]],ESTIMATIVA[[#This Row],[QT_CANA_REST1]])</f>
        <v>1362.01</v>
      </c>
      <c r="AF1553" s="1">
        <f>IF(ESTIMATIVA[[#This Row],[QT_AREA_REAL]]&gt;0,ESTIMATIVA[[#This Row],[QT_CANA_REAL]],ESTIMATIVA[[#This Row],[QT_CANA_REST2]])</f>
        <v>1362.01</v>
      </c>
      <c r="AG1553" s="1" t="str">
        <f>IF(COUNTIFS(GEADA!A:A,VALUE(ESTIMATIVA[[#This Row],[CD_UPNIVEL1]]&amp;TEXT(ESTIMATIVA[[#This Row],[CD_UPNIVEL3]],"0000")))&gt;0,"S","N")</f>
        <v>N</v>
      </c>
      <c r="AH155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53" s="55" t="str">
        <f>IF(ESTIMATIVA[[#This Row],[TP_CULTIVO]]="Irrigado",_xlfn.MAXIFS(IRRIGADO!J:J,IRRIGADO!C:C,ESTIMATIVA[[#This Row],[CD_UPNIVEL1]],IRRIGADO!E:E,ESTIMATIVA[[#This Row],[CD_UPNIVEL3]]),"")</f>
        <v/>
      </c>
      <c r="AJ155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53" s="1">
        <f>COUNTIFS(Apresentação!$E$23:$E$29,ESTIMATIVA[[#This Row],[CD_UPNIVEL1]])</f>
        <v>0</v>
      </c>
    </row>
    <row r="1554" spans="1:37" x14ac:dyDescent="0.3">
      <c r="A1554">
        <v>20572</v>
      </c>
      <c r="B1554" t="s">
        <v>83</v>
      </c>
      <c r="C1554">
        <v>20</v>
      </c>
      <c r="D1554">
        <v>8</v>
      </c>
      <c r="E1554" t="s">
        <v>262</v>
      </c>
      <c r="F1554" s="85" t="s">
        <v>332</v>
      </c>
      <c r="G1554"/>
      <c r="H1554" t="s">
        <v>294</v>
      </c>
      <c r="I1554" t="s">
        <v>221</v>
      </c>
      <c r="J1554" t="s">
        <v>176</v>
      </c>
      <c r="K1554" s="1">
        <v>27</v>
      </c>
      <c r="L1554" s="1">
        <v>0</v>
      </c>
      <c r="M1554" s="1">
        <v>27</v>
      </c>
      <c r="N1554" s="1">
        <v>27</v>
      </c>
      <c r="O1554" s="1">
        <v>1755</v>
      </c>
      <c r="P1554" s="1">
        <v>0</v>
      </c>
      <c r="Q1554" s="1">
        <v>1755</v>
      </c>
      <c r="R1554" s="1">
        <v>1362.01</v>
      </c>
      <c r="S1554" t="s">
        <v>12</v>
      </c>
      <c r="T1554" s="13">
        <v>45949</v>
      </c>
      <c r="U1554" s="1" t="str">
        <f>IF(ESTIMATIVA[[#This Row],[QT_AREA_REAL]]&gt;0,"1- Colhido","2- à Colher")</f>
        <v>1- Colhido</v>
      </c>
      <c r="V1554" s="1" t="str">
        <f>IF(ESTIMATIVA[[#This Row],[QT_AREA_REST1]]&gt;0,"Reestimativa 1",IF(ESTIMATIVA[[#This Row],[QT_AREA_REAL]]=0,"Reestimativa 1","Realizado"))</f>
        <v>Realizado</v>
      </c>
      <c r="W1554" s="1" t="str">
        <f>IF(ESTIMATIVA[[#This Row],[QT_AREA_REST2]]&gt;0,"Reestimativa 2",IF(ESTIMATIVA[[#This Row],[QT_AREA_REAL]]=0,"Reestimativa 2","Realizado"))</f>
        <v>Reestimativa 2</v>
      </c>
      <c r="X1554" s="1">
        <f>ESTIMATIVA[[#This Row],[QT_AREA_EST]]</f>
        <v>27</v>
      </c>
      <c r="Y1554" s="1">
        <f>IF(ESTIMATIVA[[#This Row],[QT_AREA_REST1]]&gt;0,ESTIMATIVA[[#This Row],[QT_AREA_REST1]],
  IF(ESTIMATIVA[[#This Row],[QT_AREA_REAL]]&gt;0,ESTIMATIVA[[#This Row],[QT_AREA_REAL]],ESTIMATIVA[[#This Row],[QT_AREA_EST]]))</f>
        <v>27</v>
      </c>
      <c r="Z155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</v>
      </c>
      <c r="AA1554" s="1">
        <f>ESTIMATIVA[[#This Row],[QT_CANA_EST]]</f>
        <v>1755</v>
      </c>
      <c r="AB1554" s="1">
        <f>IF(ESTIMATIVA[[#This Row],[QT_CANA_REST1]]&gt;0,ESTIMATIVA[[#This Row],[QT_CANA_REST1]],
  IF(ESTIMATIVA[[#This Row],[QT_CANA_REAL]]&gt;0,ESTIMATIVA[[#This Row],[QT_CANA_REAL]],ESTIMATIVA[[#This Row],[QT_CANA_EST]]))</f>
        <v>1362.01</v>
      </c>
      <c r="AC155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1755</v>
      </c>
      <c r="AD1554" s="1">
        <f>IF(ESTIMATIVA[[#This Row],[QT_AREA_REAL]]&gt;0,ESTIMATIVA[[#This Row],[QT_CANA_REAL]],ESTIMATIVA[[#This Row],[QT_CANA_EST]])</f>
        <v>1362.01</v>
      </c>
      <c r="AE1554" s="1">
        <f>IF(ESTIMATIVA[[#This Row],[QT_AREA_REAL]]&gt;0,ESTIMATIVA[[#This Row],[QT_CANA_REAL]],ESTIMATIVA[[#This Row],[QT_CANA_REST1]])</f>
        <v>1362.01</v>
      </c>
      <c r="AF1554" s="1">
        <f>IF(ESTIMATIVA[[#This Row],[QT_AREA_REAL]]&gt;0,ESTIMATIVA[[#This Row],[QT_CANA_REAL]],ESTIMATIVA[[#This Row],[QT_CANA_REST2]])</f>
        <v>1362.01</v>
      </c>
      <c r="AG1554" s="1" t="str">
        <f>IF(COUNTIFS(GEADA!A:A,VALUE(ESTIMATIVA[[#This Row],[CD_UPNIVEL1]]&amp;TEXT(ESTIMATIVA[[#This Row],[CD_UPNIVEL3]],"0000")))&gt;0,"S","N")</f>
        <v>N</v>
      </c>
      <c r="AH155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54" s="55" t="str">
        <f>IF(ESTIMATIVA[[#This Row],[TP_CULTIVO]]="Irrigado",_xlfn.MAXIFS(IRRIGADO!J:J,IRRIGADO!C:C,ESTIMATIVA[[#This Row],[CD_UPNIVEL1]],IRRIGADO!E:E,ESTIMATIVA[[#This Row],[CD_UPNIVEL3]]),"")</f>
        <v/>
      </c>
      <c r="AJ155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54" s="1">
        <f>COUNTIFS(Apresentação!$E$23:$E$29,ESTIMATIVA[[#This Row],[CD_UPNIVEL1]])</f>
        <v>0</v>
      </c>
    </row>
    <row r="1555" spans="1:37" x14ac:dyDescent="0.3">
      <c r="A1555">
        <v>20572</v>
      </c>
      <c r="B1555" t="s">
        <v>83</v>
      </c>
      <c r="C1555">
        <v>21</v>
      </c>
      <c r="D1555">
        <v>9</v>
      </c>
      <c r="E1555" t="s">
        <v>275</v>
      </c>
      <c r="F1555" s="85" t="s">
        <v>332</v>
      </c>
      <c r="G1555"/>
      <c r="H1555" t="s">
        <v>294</v>
      </c>
      <c r="I1555" t="s">
        <v>221</v>
      </c>
      <c r="J1555" t="s">
        <v>176</v>
      </c>
      <c r="K1555" s="1">
        <v>26</v>
      </c>
      <c r="L1555" s="1">
        <v>0</v>
      </c>
      <c r="M1555" s="1">
        <v>26</v>
      </c>
      <c r="N1555" s="1">
        <v>26</v>
      </c>
      <c r="O1555" s="1">
        <v>1690</v>
      </c>
      <c r="P1555" s="1">
        <v>0</v>
      </c>
      <c r="Q1555" s="1">
        <v>1690</v>
      </c>
      <c r="R1555" s="1">
        <v>1311.75</v>
      </c>
      <c r="S1555" t="s">
        <v>12</v>
      </c>
      <c r="T1555" s="13">
        <v>45949</v>
      </c>
      <c r="U1555" s="1" t="str">
        <f>IF(ESTIMATIVA[[#This Row],[QT_AREA_REAL]]&gt;0,"1- Colhido","2- à Colher")</f>
        <v>1- Colhido</v>
      </c>
      <c r="V1555" s="1" t="str">
        <f>IF(ESTIMATIVA[[#This Row],[QT_AREA_REST1]]&gt;0,"Reestimativa 1",IF(ESTIMATIVA[[#This Row],[QT_AREA_REAL]]=0,"Reestimativa 1","Realizado"))</f>
        <v>Realizado</v>
      </c>
      <c r="W1555" s="1" t="str">
        <f>IF(ESTIMATIVA[[#This Row],[QT_AREA_REST2]]&gt;0,"Reestimativa 2",IF(ESTIMATIVA[[#This Row],[QT_AREA_REAL]]=0,"Reestimativa 2","Realizado"))</f>
        <v>Reestimativa 2</v>
      </c>
      <c r="X1555" s="1">
        <f>ESTIMATIVA[[#This Row],[QT_AREA_EST]]</f>
        <v>26</v>
      </c>
      <c r="Y1555" s="1">
        <f>IF(ESTIMATIVA[[#This Row],[QT_AREA_REST1]]&gt;0,ESTIMATIVA[[#This Row],[QT_AREA_REST1]],
  IF(ESTIMATIVA[[#This Row],[QT_AREA_REAL]]&gt;0,ESTIMATIVA[[#This Row],[QT_AREA_REAL]],ESTIMATIVA[[#This Row],[QT_AREA_EST]]))</f>
        <v>26</v>
      </c>
      <c r="Z155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</v>
      </c>
      <c r="AA1555" s="1">
        <f>ESTIMATIVA[[#This Row],[QT_CANA_EST]]</f>
        <v>1690</v>
      </c>
      <c r="AB1555" s="1">
        <f>IF(ESTIMATIVA[[#This Row],[QT_CANA_REST1]]&gt;0,ESTIMATIVA[[#This Row],[QT_CANA_REST1]],
  IF(ESTIMATIVA[[#This Row],[QT_CANA_REAL]]&gt;0,ESTIMATIVA[[#This Row],[QT_CANA_REAL]],ESTIMATIVA[[#This Row],[QT_CANA_EST]]))</f>
        <v>1311.75</v>
      </c>
      <c r="AC155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1690</v>
      </c>
      <c r="AD1555" s="1">
        <f>IF(ESTIMATIVA[[#This Row],[QT_AREA_REAL]]&gt;0,ESTIMATIVA[[#This Row],[QT_CANA_REAL]],ESTIMATIVA[[#This Row],[QT_CANA_EST]])</f>
        <v>1311.75</v>
      </c>
      <c r="AE1555" s="1">
        <f>IF(ESTIMATIVA[[#This Row],[QT_AREA_REAL]]&gt;0,ESTIMATIVA[[#This Row],[QT_CANA_REAL]],ESTIMATIVA[[#This Row],[QT_CANA_REST1]])</f>
        <v>1311.75</v>
      </c>
      <c r="AF1555" s="1">
        <f>IF(ESTIMATIVA[[#This Row],[QT_AREA_REAL]]&gt;0,ESTIMATIVA[[#This Row],[QT_CANA_REAL]],ESTIMATIVA[[#This Row],[QT_CANA_REST2]])</f>
        <v>1311.75</v>
      </c>
      <c r="AG1555" s="1" t="str">
        <f>IF(COUNTIFS(GEADA!A:A,VALUE(ESTIMATIVA[[#This Row],[CD_UPNIVEL1]]&amp;TEXT(ESTIMATIVA[[#This Row],[CD_UPNIVEL3]],"0000")))&gt;0,"S","N")</f>
        <v>N</v>
      </c>
      <c r="AH155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55" s="55" t="str">
        <f>IF(ESTIMATIVA[[#This Row],[TP_CULTIVO]]="Irrigado",_xlfn.MAXIFS(IRRIGADO!J:J,IRRIGADO!C:C,ESTIMATIVA[[#This Row],[CD_UPNIVEL1]],IRRIGADO!E:E,ESTIMATIVA[[#This Row],[CD_UPNIVEL3]]),"")</f>
        <v/>
      </c>
      <c r="AJ155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55" s="1">
        <f>COUNTIFS(Apresentação!$E$23:$E$29,ESTIMATIVA[[#This Row],[CD_UPNIVEL1]])</f>
        <v>0</v>
      </c>
    </row>
    <row r="1556" spans="1:37" x14ac:dyDescent="0.3">
      <c r="A1556">
        <v>20572</v>
      </c>
      <c r="B1556" t="s">
        <v>83</v>
      </c>
      <c r="C1556">
        <v>29</v>
      </c>
      <c r="D1556">
        <v>5</v>
      </c>
      <c r="E1556" t="s">
        <v>273</v>
      </c>
      <c r="F1556" s="85" t="s">
        <v>332</v>
      </c>
      <c r="G1556" t="s">
        <v>272</v>
      </c>
      <c r="H1556" t="s">
        <v>294</v>
      </c>
      <c r="I1556" t="s">
        <v>195</v>
      </c>
      <c r="J1556" t="s">
        <v>176</v>
      </c>
      <c r="K1556" s="1">
        <v>17.079999999999998</v>
      </c>
      <c r="L1556" s="1">
        <v>0</v>
      </c>
      <c r="M1556" s="1">
        <v>0</v>
      </c>
      <c r="N1556" s="1">
        <v>17.079999999999998</v>
      </c>
      <c r="O1556" s="1">
        <v>478.24</v>
      </c>
      <c r="P1556" s="1">
        <v>0</v>
      </c>
      <c r="Q1556" s="1">
        <v>0</v>
      </c>
      <c r="R1556" s="1">
        <v>833.11</v>
      </c>
      <c r="S1556" t="s">
        <v>12</v>
      </c>
      <c r="T1556" s="13">
        <v>45739</v>
      </c>
      <c r="U1556" s="1" t="str">
        <f>IF(ESTIMATIVA[[#This Row],[QT_AREA_REAL]]&gt;0,"1- Colhido","2- à Colher")</f>
        <v>1- Colhido</v>
      </c>
      <c r="V1556" s="1" t="str">
        <f>IF(ESTIMATIVA[[#This Row],[QT_AREA_REST1]]&gt;0,"Reestimativa 1",IF(ESTIMATIVA[[#This Row],[QT_AREA_REAL]]=0,"Reestimativa 1","Realizado"))</f>
        <v>Realizado</v>
      </c>
      <c r="W1556" s="1" t="str">
        <f>IF(ESTIMATIVA[[#This Row],[QT_AREA_REST2]]&gt;0,"Reestimativa 2",IF(ESTIMATIVA[[#This Row],[QT_AREA_REAL]]=0,"Reestimativa 2","Realizado"))</f>
        <v>Realizado</v>
      </c>
      <c r="X1556" s="1">
        <f>ESTIMATIVA[[#This Row],[QT_AREA_EST]]</f>
        <v>17.079999999999998</v>
      </c>
      <c r="Y1556" s="1">
        <f>IF(ESTIMATIVA[[#This Row],[QT_AREA_REST1]]&gt;0,ESTIMATIVA[[#This Row],[QT_AREA_REST1]],
  IF(ESTIMATIVA[[#This Row],[QT_AREA_REAL]]&gt;0,ESTIMATIVA[[#This Row],[QT_AREA_REAL]],ESTIMATIVA[[#This Row],[QT_AREA_EST]]))</f>
        <v>17.079999999999998</v>
      </c>
      <c r="Z155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17.079999999999998</v>
      </c>
      <c r="AA1556" s="1">
        <f>ESTIMATIVA[[#This Row],[QT_CANA_EST]]</f>
        <v>478.24</v>
      </c>
      <c r="AB1556" s="1">
        <f>IF(ESTIMATIVA[[#This Row],[QT_CANA_REST1]]&gt;0,ESTIMATIVA[[#This Row],[QT_CANA_REST1]],
  IF(ESTIMATIVA[[#This Row],[QT_CANA_REAL]]&gt;0,ESTIMATIVA[[#This Row],[QT_CANA_REAL]],ESTIMATIVA[[#This Row],[QT_CANA_EST]]))</f>
        <v>833.11</v>
      </c>
      <c r="AC155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833.11</v>
      </c>
      <c r="AD1556" s="1">
        <f>IF(ESTIMATIVA[[#This Row],[QT_AREA_REAL]]&gt;0,ESTIMATIVA[[#This Row],[QT_CANA_REAL]],ESTIMATIVA[[#This Row],[QT_CANA_EST]])</f>
        <v>833.11</v>
      </c>
      <c r="AE1556" s="1">
        <f>IF(ESTIMATIVA[[#This Row],[QT_AREA_REAL]]&gt;0,ESTIMATIVA[[#This Row],[QT_CANA_REAL]],ESTIMATIVA[[#This Row],[QT_CANA_REST1]])</f>
        <v>833.11</v>
      </c>
      <c r="AF1556" s="1">
        <f>IF(ESTIMATIVA[[#This Row],[QT_AREA_REAL]]&gt;0,ESTIMATIVA[[#This Row],[QT_CANA_REAL]],ESTIMATIVA[[#This Row],[QT_CANA_REST2]])</f>
        <v>833.11</v>
      </c>
      <c r="AG1556" s="1" t="str">
        <f>IF(COUNTIFS(GEADA!A:A,VALUE(ESTIMATIVA[[#This Row],[CD_UPNIVEL1]]&amp;TEXT(ESTIMATIVA[[#This Row],[CD_UPNIVEL3]],"0000")))&gt;0,"S","N")</f>
        <v>N</v>
      </c>
      <c r="AH155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56" s="55" t="str">
        <f>IF(ESTIMATIVA[[#This Row],[TP_CULTIVO]]="Irrigado",_xlfn.MAXIFS(IRRIGADO!J:J,IRRIGADO!C:C,ESTIMATIVA[[#This Row],[CD_UPNIVEL1]],IRRIGADO!E:E,ESTIMATIVA[[#This Row],[CD_UPNIVEL3]]),"")</f>
        <v/>
      </c>
      <c r="AJ155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56" s="1">
        <f>COUNTIFS(Apresentação!$E$23:$E$29,ESTIMATIVA[[#This Row],[CD_UPNIVEL1]])</f>
        <v>0</v>
      </c>
    </row>
    <row r="1557" spans="1:37" x14ac:dyDescent="0.3">
      <c r="A1557">
        <v>20572</v>
      </c>
      <c r="B1557" t="s">
        <v>83</v>
      </c>
      <c r="C1557">
        <v>30</v>
      </c>
      <c r="D1557">
        <v>5</v>
      </c>
      <c r="E1557" t="s">
        <v>273</v>
      </c>
      <c r="F1557" s="85" t="s">
        <v>331</v>
      </c>
      <c r="G1557" t="s">
        <v>272</v>
      </c>
      <c r="H1557" t="s">
        <v>294</v>
      </c>
      <c r="I1557" t="s">
        <v>195</v>
      </c>
      <c r="J1557" t="s">
        <v>176</v>
      </c>
      <c r="K1557" s="1">
        <v>25.28</v>
      </c>
      <c r="L1557" s="1">
        <v>0</v>
      </c>
      <c r="M1557" s="1">
        <v>0</v>
      </c>
      <c r="N1557" s="1">
        <v>25.28</v>
      </c>
      <c r="O1557" s="1">
        <v>707.84</v>
      </c>
      <c r="P1557" s="1">
        <v>0</v>
      </c>
      <c r="Q1557" s="1">
        <v>0</v>
      </c>
      <c r="R1557" s="1">
        <v>1234.3900000000001</v>
      </c>
      <c r="S1557" t="s">
        <v>12</v>
      </c>
      <c r="T1557" s="13">
        <v>45739</v>
      </c>
      <c r="U1557" s="1" t="str">
        <f>IF(ESTIMATIVA[[#This Row],[QT_AREA_REAL]]&gt;0,"1- Colhido","2- à Colher")</f>
        <v>1- Colhido</v>
      </c>
      <c r="V1557" s="1" t="str">
        <f>IF(ESTIMATIVA[[#This Row],[QT_AREA_REST1]]&gt;0,"Reestimativa 1",IF(ESTIMATIVA[[#This Row],[QT_AREA_REAL]]=0,"Reestimativa 1","Realizado"))</f>
        <v>Realizado</v>
      </c>
      <c r="W1557" s="1" t="str">
        <f>IF(ESTIMATIVA[[#This Row],[QT_AREA_REST2]]&gt;0,"Reestimativa 2",IF(ESTIMATIVA[[#This Row],[QT_AREA_REAL]]=0,"Reestimativa 2","Realizado"))</f>
        <v>Realizado</v>
      </c>
      <c r="X1557" s="1">
        <f>ESTIMATIVA[[#This Row],[QT_AREA_EST]]</f>
        <v>25.28</v>
      </c>
      <c r="Y1557" s="1">
        <f>IF(ESTIMATIVA[[#This Row],[QT_AREA_REST1]]&gt;0,ESTIMATIVA[[#This Row],[QT_AREA_REST1]],
  IF(ESTIMATIVA[[#This Row],[QT_AREA_REAL]]&gt;0,ESTIMATIVA[[#This Row],[QT_AREA_REAL]],ESTIMATIVA[[#This Row],[QT_AREA_EST]]))</f>
        <v>25.28</v>
      </c>
      <c r="Z155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25.28</v>
      </c>
      <c r="AA1557" s="1">
        <f>ESTIMATIVA[[#This Row],[QT_CANA_EST]]</f>
        <v>707.84</v>
      </c>
      <c r="AB1557" s="1">
        <f>IF(ESTIMATIVA[[#This Row],[QT_CANA_REST1]]&gt;0,ESTIMATIVA[[#This Row],[QT_CANA_REST1]],
  IF(ESTIMATIVA[[#This Row],[QT_CANA_REAL]]&gt;0,ESTIMATIVA[[#This Row],[QT_CANA_REAL]],ESTIMATIVA[[#This Row],[QT_CANA_EST]]))</f>
        <v>1234.3900000000001</v>
      </c>
      <c r="AC155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1234.3900000000001</v>
      </c>
      <c r="AD1557" s="1">
        <f>IF(ESTIMATIVA[[#This Row],[QT_AREA_REAL]]&gt;0,ESTIMATIVA[[#This Row],[QT_CANA_REAL]],ESTIMATIVA[[#This Row],[QT_CANA_EST]])</f>
        <v>1234.3900000000001</v>
      </c>
      <c r="AE1557" s="1">
        <f>IF(ESTIMATIVA[[#This Row],[QT_AREA_REAL]]&gt;0,ESTIMATIVA[[#This Row],[QT_CANA_REAL]],ESTIMATIVA[[#This Row],[QT_CANA_REST1]])</f>
        <v>1234.3900000000001</v>
      </c>
      <c r="AF1557" s="1">
        <f>IF(ESTIMATIVA[[#This Row],[QT_AREA_REAL]]&gt;0,ESTIMATIVA[[#This Row],[QT_CANA_REAL]],ESTIMATIVA[[#This Row],[QT_CANA_REST2]])</f>
        <v>1234.3900000000001</v>
      </c>
      <c r="AG1557" s="1" t="str">
        <f>IF(COUNTIFS(GEADA!A:A,VALUE(ESTIMATIVA[[#This Row],[CD_UPNIVEL1]]&amp;TEXT(ESTIMATIVA[[#This Row],[CD_UPNIVEL3]],"0000")))&gt;0,"S","N")</f>
        <v>N</v>
      </c>
      <c r="AH155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57" s="55" t="str">
        <f>IF(ESTIMATIVA[[#This Row],[TP_CULTIVO]]="Irrigado",_xlfn.MAXIFS(IRRIGADO!J:J,IRRIGADO!C:C,ESTIMATIVA[[#This Row],[CD_UPNIVEL1]],IRRIGADO!E:E,ESTIMATIVA[[#This Row],[CD_UPNIVEL3]]),"")</f>
        <v/>
      </c>
      <c r="AJ155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57" s="1">
        <f>COUNTIFS(Apresentação!$E$23:$E$29,ESTIMATIVA[[#This Row],[CD_UPNIVEL1]])</f>
        <v>0</v>
      </c>
    </row>
    <row r="1558" spans="1:37" x14ac:dyDescent="0.3">
      <c r="A1558">
        <v>20573</v>
      </c>
      <c r="B1558" t="s">
        <v>152</v>
      </c>
      <c r="C1558">
        <v>1</v>
      </c>
      <c r="D1558">
        <v>3</v>
      </c>
      <c r="E1558" t="s">
        <v>263</v>
      </c>
      <c r="F1558" s="85" t="s">
        <v>333</v>
      </c>
      <c r="G1558"/>
      <c r="H1558" t="s">
        <v>295</v>
      </c>
      <c r="I1558" t="s">
        <v>207</v>
      </c>
      <c r="J1558" t="s">
        <v>176</v>
      </c>
      <c r="K1558" s="1">
        <v>7.31</v>
      </c>
      <c r="L1558" s="1">
        <v>7.31</v>
      </c>
      <c r="M1558" s="1">
        <v>7.31</v>
      </c>
      <c r="N1558" s="1">
        <v>7.31</v>
      </c>
      <c r="O1558" s="1">
        <v>489.77</v>
      </c>
      <c r="P1558" s="1">
        <v>489.77</v>
      </c>
      <c r="Q1558" s="1">
        <v>489.77</v>
      </c>
      <c r="R1558" s="1">
        <v>653.51</v>
      </c>
      <c r="S1558" t="s">
        <v>12</v>
      </c>
      <c r="T1558" s="13">
        <v>45963</v>
      </c>
      <c r="U1558" s="1" t="str">
        <f>IF(ESTIMATIVA[[#This Row],[QT_AREA_REAL]]&gt;0,"1- Colhido","2- à Colher")</f>
        <v>1- Colhido</v>
      </c>
      <c r="V1558" s="1" t="str">
        <f>IF(ESTIMATIVA[[#This Row],[QT_AREA_REST1]]&gt;0,"Reestimativa 1",IF(ESTIMATIVA[[#This Row],[QT_AREA_REAL]]=0,"Reestimativa 1","Realizado"))</f>
        <v>Reestimativa 1</v>
      </c>
      <c r="W1558" s="1" t="str">
        <f>IF(ESTIMATIVA[[#This Row],[QT_AREA_REST2]]&gt;0,"Reestimativa 2",IF(ESTIMATIVA[[#This Row],[QT_AREA_REAL]]=0,"Reestimativa 2","Realizado"))</f>
        <v>Reestimativa 2</v>
      </c>
      <c r="X1558" s="1">
        <f>ESTIMATIVA[[#This Row],[QT_AREA_EST]]</f>
        <v>7.31</v>
      </c>
      <c r="Y1558" s="1">
        <f>IF(ESTIMATIVA[[#This Row],[QT_AREA_REST1]]&gt;0,ESTIMATIVA[[#This Row],[QT_AREA_REST1]],
  IF(ESTIMATIVA[[#This Row],[QT_AREA_REAL]]&gt;0,ESTIMATIVA[[#This Row],[QT_AREA_REAL]],ESTIMATIVA[[#This Row],[QT_AREA_EST]]))</f>
        <v>7.31</v>
      </c>
      <c r="Z155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7.31</v>
      </c>
      <c r="AA1558" s="1">
        <f>ESTIMATIVA[[#This Row],[QT_CANA_EST]]</f>
        <v>489.77</v>
      </c>
      <c r="AB1558" s="1">
        <f>IF(ESTIMATIVA[[#This Row],[QT_CANA_REST1]]&gt;0,ESTIMATIVA[[#This Row],[QT_CANA_REST1]],
  IF(ESTIMATIVA[[#This Row],[QT_CANA_REAL]]&gt;0,ESTIMATIVA[[#This Row],[QT_CANA_REAL]],ESTIMATIVA[[#This Row],[QT_CANA_EST]]))</f>
        <v>489.77</v>
      </c>
      <c r="AC155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489.77</v>
      </c>
      <c r="AD1558" s="1">
        <f>IF(ESTIMATIVA[[#This Row],[QT_AREA_REAL]]&gt;0,ESTIMATIVA[[#This Row],[QT_CANA_REAL]],ESTIMATIVA[[#This Row],[QT_CANA_EST]])</f>
        <v>653.51</v>
      </c>
      <c r="AE1558" s="1">
        <f>IF(ESTIMATIVA[[#This Row],[QT_AREA_REAL]]&gt;0,ESTIMATIVA[[#This Row],[QT_CANA_REAL]],ESTIMATIVA[[#This Row],[QT_CANA_REST1]])</f>
        <v>653.51</v>
      </c>
      <c r="AF1558" s="1">
        <f>IF(ESTIMATIVA[[#This Row],[QT_AREA_REAL]]&gt;0,ESTIMATIVA[[#This Row],[QT_CANA_REAL]],ESTIMATIVA[[#This Row],[QT_CANA_REST2]])</f>
        <v>653.51</v>
      </c>
      <c r="AG1558" s="1" t="str">
        <f>IF(COUNTIFS(GEADA!A:A,VALUE(ESTIMATIVA[[#This Row],[CD_UPNIVEL1]]&amp;TEXT(ESTIMATIVA[[#This Row],[CD_UPNIVEL3]],"0000")))&gt;0,"S","N")</f>
        <v>N</v>
      </c>
      <c r="AH1558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558" s="55">
        <f>IF(ESTIMATIVA[[#This Row],[TP_CULTIVO]]="Irrigado",_xlfn.MAXIFS(IRRIGADO!J:J,IRRIGADO!C:C,ESTIMATIVA[[#This Row],[CD_UPNIVEL1]],IRRIGADO!E:E,ESTIMATIVA[[#This Row],[CD_UPNIVEL3]]),"")</f>
        <v>45596</v>
      </c>
      <c r="AJ1558" s="1">
        <f>IF(ESTIMATIVA[[#This Row],[TP_CULTIVO]]&lt;&gt;"Irrigado",0,AVERAGEIFS(IRRIGADO!G:G,IRRIGADO!C:C,ESTIMATIVA[[#This Row],[CD_UPNIVEL1]],IRRIGADO!E:E,ESTIMATIVA[[#This Row],[CD_UPNIVEL3]])*ESTIMATIVA[[#This Row],[QT_AREA_REAL]])</f>
        <v>190.06</v>
      </c>
      <c r="AK1558" s="1">
        <f>COUNTIFS(Apresentação!$E$23:$E$29,ESTIMATIVA[[#This Row],[CD_UPNIVEL1]])</f>
        <v>1</v>
      </c>
    </row>
    <row r="1559" spans="1:37" x14ac:dyDescent="0.3">
      <c r="A1559">
        <v>20573</v>
      </c>
      <c r="B1559" t="s">
        <v>152</v>
      </c>
      <c r="C1559">
        <v>2</v>
      </c>
      <c r="D1559">
        <v>3</v>
      </c>
      <c r="E1559" t="s">
        <v>263</v>
      </c>
      <c r="F1559" s="85" t="s">
        <v>333</v>
      </c>
      <c r="G1559"/>
      <c r="H1559" t="s">
        <v>295</v>
      </c>
      <c r="I1559" t="s">
        <v>207</v>
      </c>
      <c r="J1559" t="s">
        <v>176</v>
      </c>
      <c r="K1559" s="1">
        <v>16.38</v>
      </c>
      <c r="L1559" s="1">
        <v>16.38</v>
      </c>
      <c r="M1559" s="1">
        <v>16.38</v>
      </c>
      <c r="N1559" s="1">
        <v>16.38</v>
      </c>
      <c r="O1559" s="1">
        <v>1097.46</v>
      </c>
      <c r="P1559" s="1">
        <v>982.8</v>
      </c>
      <c r="Q1559" s="1">
        <v>982.8</v>
      </c>
      <c r="R1559" s="1">
        <v>799.12</v>
      </c>
      <c r="S1559" t="s">
        <v>12</v>
      </c>
      <c r="T1559" s="13">
        <v>45942</v>
      </c>
      <c r="U1559" s="1" t="str">
        <f>IF(ESTIMATIVA[[#This Row],[QT_AREA_REAL]]&gt;0,"1- Colhido","2- à Colher")</f>
        <v>1- Colhido</v>
      </c>
      <c r="V1559" s="1" t="str">
        <f>IF(ESTIMATIVA[[#This Row],[QT_AREA_REST1]]&gt;0,"Reestimativa 1",IF(ESTIMATIVA[[#This Row],[QT_AREA_REAL]]=0,"Reestimativa 1","Realizado"))</f>
        <v>Reestimativa 1</v>
      </c>
      <c r="W1559" s="1" t="str">
        <f>IF(ESTIMATIVA[[#This Row],[QT_AREA_REST2]]&gt;0,"Reestimativa 2",IF(ESTIMATIVA[[#This Row],[QT_AREA_REAL]]=0,"Reestimativa 2","Realizado"))</f>
        <v>Reestimativa 2</v>
      </c>
      <c r="X1559" s="1">
        <f>ESTIMATIVA[[#This Row],[QT_AREA_EST]]</f>
        <v>16.38</v>
      </c>
      <c r="Y1559" s="1">
        <f>IF(ESTIMATIVA[[#This Row],[QT_AREA_REST1]]&gt;0,ESTIMATIVA[[#This Row],[QT_AREA_REST1]],
  IF(ESTIMATIVA[[#This Row],[QT_AREA_REAL]]&gt;0,ESTIMATIVA[[#This Row],[QT_AREA_REAL]],ESTIMATIVA[[#This Row],[QT_AREA_EST]]))</f>
        <v>16.38</v>
      </c>
      <c r="Z155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16.38</v>
      </c>
      <c r="AA1559" s="1">
        <f>ESTIMATIVA[[#This Row],[QT_CANA_EST]]</f>
        <v>1097.46</v>
      </c>
      <c r="AB1559" s="1">
        <f>IF(ESTIMATIVA[[#This Row],[QT_CANA_REST1]]&gt;0,ESTIMATIVA[[#This Row],[QT_CANA_REST1]],
  IF(ESTIMATIVA[[#This Row],[QT_CANA_REAL]]&gt;0,ESTIMATIVA[[#This Row],[QT_CANA_REAL]],ESTIMATIVA[[#This Row],[QT_CANA_EST]]))</f>
        <v>982.8</v>
      </c>
      <c r="AC155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982.8</v>
      </c>
      <c r="AD1559" s="1">
        <f>IF(ESTIMATIVA[[#This Row],[QT_AREA_REAL]]&gt;0,ESTIMATIVA[[#This Row],[QT_CANA_REAL]],ESTIMATIVA[[#This Row],[QT_CANA_EST]])</f>
        <v>799.12</v>
      </c>
      <c r="AE1559" s="1">
        <f>IF(ESTIMATIVA[[#This Row],[QT_AREA_REAL]]&gt;0,ESTIMATIVA[[#This Row],[QT_CANA_REAL]],ESTIMATIVA[[#This Row],[QT_CANA_REST1]])</f>
        <v>799.12</v>
      </c>
      <c r="AF1559" s="1">
        <f>IF(ESTIMATIVA[[#This Row],[QT_AREA_REAL]]&gt;0,ESTIMATIVA[[#This Row],[QT_CANA_REAL]],ESTIMATIVA[[#This Row],[QT_CANA_REST2]])</f>
        <v>799.12</v>
      </c>
      <c r="AG1559" s="1" t="str">
        <f>IF(COUNTIFS(GEADA!A:A,VALUE(ESTIMATIVA[[#This Row],[CD_UPNIVEL1]]&amp;TEXT(ESTIMATIVA[[#This Row],[CD_UPNIVEL3]],"0000")))&gt;0,"S","N")</f>
        <v>S</v>
      </c>
      <c r="AH1559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559" s="55">
        <f>IF(ESTIMATIVA[[#This Row],[TP_CULTIVO]]="Irrigado",_xlfn.MAXIFS(IRRIGADO!J:J,IRRIGADO!C:C,ESTIMATIVA[[#This Row],[CD_UPNIVEL1]],IRRIGADO!E:E,ESTIMATIVA[[#This Row],[CD_UPNIVEL3]]),"")</f>
        <v>45596</v>
      </c>
      <c r="AJ1559" s="1">
        <f>IF(ESTIMATIVA[[#This Row],[TP_CULTIVO]]&lt;&gt;"Irrigado",0,AVERAGEIFS(IRRIGADO!G:G,IRRIGADO!C:C,ESTIMATIVA[[#This Row],[CD_UPNIVEL1]],IRRIGADO!E:E,ESTIMATIVA[[#This Row],[CD_UPNIVEL3]])*ESTIMATIVA[[#This Row],[QT_AREA_REAL]])</f>
        <v>425.88</v>
      </c>
      <c r="AK1559" s="1">
        <f>COUNTIFS(Apresentação!$E$23:$E$29,ESTIMATIVA[[#This Row],[CD_UPNIVEL1]])</f>
        <v>1</v>
      </c>
    </row>
    <row r="1560" spans="1:37" x14ac:dyDescent="0.3">
      <c r="A1560">
        <v>20573</v>
      </c>
      <c r="B1560" t="s">
        <v>152</v>
      </c>
      <c r="C1560">
        <v>3</v>
      </c>
      <c r="D1560">
        <v>3</v>
      </c>
      <c r="E1560" t="s">
        <v>263</v>
      </c>
      <c r="F1560" s="85" t="s">
        <v>333</v>
      </c>
      <c r="G1560"/>
      <c r="H1560" t="s">
        <v>295</v>
      </c>
      <c r="I1560" t="s">
        <v>207</v>
      </c>
      <c r="J1560" t="s">
        <v>176</v>
      </c>
      <c r="K1560" s="1">
        <v>9.8000000000000007</v>
      </c>
      <c r="L1560" s="1">
        <v>9.8000000000000007</v>
      </c>
      <c r="M1560" s="1">
        <v>9.8000000000000007</v>
      </c>
      <c r="N1560" s="1">
        <v>9.8000000000000007</v>
      </c>
      <c r="O1560" s="1">
        <v>656.6</v>
      </c>
      <c r="P1560" s="1">
        <v>588</v>
      </c>
      <c r="Q1560" s="1">
        <v>470.4</v>
      </c>
      <c r="R1560" s="1">
        <v>382.12</v>
      </c>
      <c r="S1560" t="s">
        <v>12</v>
      </c>
      <c r="T1560" s="13">
        <v>45942</v>
      </c>
      <c r="U1560" s="1" t="str">
        <f>IF(ESTIMATIVA[[#This Row],[QT_AREA_REAL]]&gt;0,"1- Colhido","2- à Colher")</f>
        <v>1- Colhido</v>
      </c>
      <c r="V1560" s="1" t="str">
        <f>IF(ESTIMATIVA[[#This Row],[QT_AREA_REST1]]&gt;0,"Reestimativa 1",IF(ESTIMATIVA[[#This Row],[QT_AREA_REAL]]=0,"Reestimativa 1","Realizado"))</f>
        <v>Reestimativa 1</v>
      </c>
      <c r="W1560" s="1" t="str">
        <f>IF(ESTIMATIVA[[#This Row],[QT_AREA_REST2]]&gt;0,"Reestimativa 2",IF(ESTIMATIVA[[#This Row],[QT_AREA_REAL]]=0,"Reestimativa 2","Realizado"))</f>
        <v>Reestimativa 2</v>
      </c>
      <c r="X1560" s="1">
        <f>ESTIMATIVA[[#This Row],[QT_AREA_EST]]</f>
        <v>9.8000000000000007</v>
      </c>
      <c r="Y1560" s="1">
        <f>IF(ESTIMATIVA[[#This Row],[QT_AREA_REST1]]&gt;0,ESTIMATIVA[[#This Row],[QT_AREA_REST1]],
  IF(ESTIMATIVA[[#This Row],[QT_AREA_REAL]]&gt;0,ESTIMATIVA[[#This Row],[QT_AREA_REAL]],ESTIMATIVA[[#This Row],[QT_AREA_EST]]))</f>
        <v>9.8000000000000007</v>
      </c>
      <c r="Z156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9.8000000000000007</v>
      </c>
      <c r="AA1560" s="1">
        <f>ESTIMATIVA[[#This Row],[QT_CANA_EST]]</f>
        <v>656.6</v>
      </c>
      <c r="AB1560" s="1">
        <f>IF(ESTIMATIVA[[#This Row],[QT_CANA_REST1]]&gt;0,ESTIMATIVA[[#This Row],[QT_CANA_REST1]],
  IF(ESTIMATIVA[[#This Row],[QT_CANA_REAL]]&gt;0,ESTIMATIVA[[#This Row],[QT_CANA_REAL]],ESTIMATIVA[[#This Row],[QT_CANA_EST]]))</f>
        <v>588</v>
      </c>
      <c r="AC156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470.4</v>
      </c>
      <c r="AD1560" s="1">
        <f>IF(ESTIMATIVA[[#This Row],[QT_AREA_REAL]]&gt;0,ESTIMATIVA[[#This Row],[QT_CANA_REAL]],ESTIMATIVA[[#This Row],[QT_CANA_EST]])</f>
        <v>382.12</v>
      </c>
      <c r="AE1560" s="1">
        <f>IF(ESTIMATIVA[[#This Row],[QT_AREA_REAL]]&gt;0,ESTIMATIVA[[#This Row],[QT_CANA_REAL]],ESTIMATIVA[[#This Row],[QT_CANA_REST1]])</f>
        <v>382.12</v>
      </c>
      <c r="AF1560" s="1">
        <f>IF(ESTIMATIVA[[#This Row],[QT_AREA_REAL]]&gt;0,ESTIMATIVA[[#This Row],[QT_CANA_REAL]],ESTIMATIVA[[#This Row],[QT_CANA_REST2]])</f>
        <v>382.12</v>
      </c>
      <c r="AG1560" s="1" t="str">
        <f>IF(COUNTIFS(GEADA!A:A,VALUE(ESTIMATIVA[[#This Row],[CD_UPNIVEL1]]&amp;TEXT(ESTIMATIVA[[#This Row],[CD_UPNIVEL3]],"0000")))&gt;0,"S","N")</f>
        <v>S</v>
      </c>
      <c r="AH1560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560" s="55">
        <f>IF(ESTIMATIVA[[#This Row],[TP_CULTIVO]]="Irrigado",_xlfn.MAXIFS(IRRIGADO!J:J,IRRIGADO!C:C,ESTIMATIVA[[#This Row],[CD_UPNIVEL1]],IRRIGADO!E:E,ESTIMATIVA[[#This Row],[CD_UPNIVEL3]]),"")</f>
        <v>45596</v>
      </c>
      <c r="AJ1560" s="1">
        <f>IF(ESTIMATIVA[[#This Row],[TP_CULTIVO]]&lt;&gt;"Irrigado",0,AVERAGEIFS(IRRIGADO!G:G,IRRIGADO!C:C,ESTIMATIVA[[#This Row],[CD_UPNIVEL1]],IRRIGADO!E:E,ESTIMATIVA[[#This Row],[CD_UPNIVEL3]])*ESTIMATIVA[[#This Row],[QT_AREA_REAL]])</f>
        <v>254.8</v>
      </c>
      <c r="AK1560" s="1">
        <f>COUNTIFS(Apresentação!$E$23:$E$29,ESTIMATIVA[[#This Row],[CD_UPNIVEL1]])</f>
        <v>1</v>
      </c>
    </row>
    <row r="1561" spans="1:37" x14ac:dyDescent="0.3">
      <c r="A1561">
        <v>20575</v>
      </c>
      <c r="B1561" t="s">
        <v>84</v>
      </c>
      <c r="C1561">
        <v>26</v>
      </c>
      <c r="D1561">
        <v>1</v>
      </c>
      <c r="E1561" t="s">
        <v>276</v>
      </c>
      <c r="F1561" s="85" t="s">
        <v>333</v>
      </c>
      <c r="G1561" t="s">
        <v>272</v>
      </c>
      <c r="H1561" t="s">
        <v>295</v>
      </c>
      <c r="I1561" t="s">
        <v>202</v>
      </c>
      <c r="J1561" t="s">
        <v>176</v>
      </c>
      <c r="K1561" s="1">
        <v>0.56000000000000005</v>
      </c>
      <c r="L1561" s="1">
        <v>0</v>
      </c>
      <c r="M1561" s="1">
        <v>0</v>
      </c>
      <c r="N1561" s="1">
        <v>0.56000000000000005</v>
      </c>
      <c r="O1561" s="1">
        <v>44.8</v>
      </c>
      <c r="P1561" s="1">
        <v>0</v>
      </c>
      <c r="Q1561" s="1">
        <v>0</v>
      </c>
      <c r="R1561" s="1">
        <v>65.489999999999995</v>
      </c>
      <c r="S1561" t="s">
        <v>12</v>
      </c>
      <c r="T1561" s="13">
        <v>45746</v>
      </c>
      <c r="U1561" s="1" t="str">
        <f>IF(ESTIMATIVA[[#This Row],[QT_AREA_REAL]]&gt;0,"1- Colhido","2- à Colher")</f>
        <v>1- Colhido</v>
      </c>
      <c r="V1561" s="1" t="str">
        <f>IF(ESTIMATIVA[[#This Row],[QT_AREA_REST1]]&gt;0,"Reestimativa 1",IF(ESTIMATIVA[[#This Row],[QT_AREA_REAL]]=0,"Reestimativa 1","Realizado"))</f>
        <v>Realizado</v>
      </c>
      <c r="W1561" s="1" t="str">
        <f>IF(ESTIMATIVA[[#This Row],[QT_AREA_REST2]]&gt;0,"Reestimativa 2",IF(ESTIMATIVA[[#This Row],[QT_AREA_REAL]]=0,"Reestimativa 2","Realizado"))</f>
        <v>Realizado</v>
      </c>
      <c r="X1561" s="1">
        <f>ESTIMATIVA[[#This Row],[QT_AREA_EST]]</f>
        <v>0.56000000000000005</v>
      </c>
      <c r="Y1561" s="1">
        <f>IF(ESTIMATIVA[[#This Row],[QT_AREA_REST1]]&gt;0,ESTIMATIVA[[#This Row],[QT_AREA_REST1]],
  IF(ESTIMATIVA[[#This Row],[QT_AREA_REAL]]&gt;0,ESTIMATIVA[[#This Row],[QT_AREA_REAL]],ESTIMATIVA[[#This Row],[QT_AREA_EST]]))</f>
        <v>0.56000000000000005</v>
      </c>
      <c r="Z156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0.56000000000000005</v>
      </c>
      <c r="AA1561" s="1">
        <f>ESTIMATIVA[[#This Row],[QT_CANA_EST]]</f>
        <v>44.8</v>
      </c>
      <c r="AB1561" s="1">
        <f>IF(ESTIMATIVA[[#This Row],[QT_CANA_REST1]]&gt;0,ESTIMATIVA[[#This Row],[QT_CANA_REST1]],
  IF(ESTIMATIVA[[#This Row],[QT_CANA_REAL]]&gt;0,ESTIMATIVA[[#This Row],[QT_CANA_REAL]],ESTIMATIVA[[#This Row],[QT_CANA_EST]]))</f>
        <v>65.489999999999995</v>
      </c>
      <c r="AC156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65.489999999999995</v>
      </c>
      <c r="AD1561" s="1">
        <f>IF(ESTIMATIVA[[#This Row],[QT_AREA_REAL]]&gt;0,ESTIMATIVA[[#This Row],[QT_CANA_REAL]],ESTIMATIVA[[#This Row],[QT_CANA_EST]])</f>
        <v>65.489999999999995</v>
      </c>
      <c r="AE1561" s="1">
        <f>IF(ESTIMATIVA[[#This Row],[QT_AREA_REAL]]&gt;0,ESTIMATIVA[[#This Row],[QT_CANA_REAL]],ESTIMATIVA[[#This Row],[QT_CANA_REST1]])</f>
        <v>65.489999999999995</v>
      </c>
      <c r="AF1561" s="1">
        <f>IF(ESTIMATIVA[[#This Row],[QT_AREA_REAL]]&gt;0,ESTIMATIVA[[#This Row],[QT_CANA_REAL]],ESTIMATIVA[[#This Row],[QT_CANA_REST2]])</f>
        <v>65.489999999999995</v>
      </c>
      <c r="AG1561" s="1" t="str">
        <f>IF(COUNTIFS(GEADA!A:A,VALUE(ESTIMATIVA[[#This Row],[CD_UPNIVEL1]]&amp;TEXT(ESTIMATIVA[[#This Row],[CD_UPNIVEL3]],"0000")))&gt;0,"S","N")</f>
        <v>N</v>
      </c>
      <c r="AH156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61" s="55" t="str">
        <f>IF(ESTIMATIVA[[#This Row],[TP_CULTIVO]]="Irrigado",_xlfn.MAXIFS(IRRIGADO!J:J,IRRIGADO!C:C,ESTIMATIVA[[#This Row],[CD_UPNIVEL1]],IRRIGADO!E:E,ESTIMATIVA[[#This Row],[CD_UPNIVEL3]]),"")</f>
        <v/>
      </c>
      <c r="AJ156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61" s="1">
        <f>COUNTIFS(Apresentação!$E$23:$E$29,ESTIMATIVA[[#This Row],[CD_UPNIVEL1]])</f>
        <v>0</v>
      </c>
    </row>
    <row r="1562" spans="1:37" x14ac:dyDescent="0.3">
      <c r="A1562">
        <v>20575</v>
      </c>
      <c r="B1562" t="s">
        <v>84</v>
      </c>
      <c r="C1562">
        <v>27</v>
      </c>
      <c r="D1562">
        <v>4</v>
      </c>
      <c r="E1562" t="s">
        <v>265</v>
      </c>
      <c r="F1562" s="85" t="s">
        <v>332</v>
      </c>
      <c r="G1562"/>
      <c r="H1562" t="s">
        <v>295</v>
      </c>
      <c r="I1562" t="s">
        <v>200</v>
      </c>
      <c r="J1562" t="s">
        <v>176</v>
      </c>
      <c r="K1562" s="1">
        <v>7.46</v>
      </c>
      <c r="L1562" s="1">
        <v>7.46</v>
      </c>
      <c r="M1562" s="1">
        <v>7.46</v>
      </c>
      <c r="N1562" s="1">
        <v>7.46</v>
      </c>
      <c r="O1562" s="1">
        <v>522.20000000000005</v>
      </c>
      <c r="P1562" s="1">
        <v>522.20000000000005</v>
      </c>
      <c r="Q1562" s="1">
        <v>522.20000000000005</v>
      </c>
      <c r="R1562" s="1">
        <v>528.54</v>
      </c>
      <c r="S1562" t="s">
        <v>12</v>
      </c>
      <c r="T1562" s="13">
        <v>45977</v>
      </c>
      <c r="U1562" s="1" t="str">
        <f>IF(ESTIMATIVA[[#This Row],[QT_AREA_REAL]]&gt;0,"1- Colhido","2- à Colher")</f>
        <v>1- Colhido</v>
      </c>
      <c r="V1562" s="1" t="str">
        <f>IF(ESTIMATIVA[[#This Row],[QT_AREA_REST1]]&gt;0,"Reestimativa 1",IF(ESTIMATIVA[[#This Row],[QT_AREA_REAL]]=0,"Reestimativa 1","Realizado"))</f>
        <v>Reestimativa 1</v>
      </c>
      <c r="W1562" s="1" t="str">
        <f>IF(ESTIMATIVA[[#This Row],[QT_AREA_REST2]]&gt;0,"Reestimativa 2",IF(ESTIMATIVA[[#This Row],[QT_AREA_REAL]]=0,"Reestimativa 2","Realizado"))</f>
        <v>Reestimativa 2</v>
      </c>
      <c r="X1562" s="1">
        <f>ESTIMATIVA[[#This Row],[QT_AREA_EST]]</f>
        <v>7.46</v>
      </c>
      <c r="Y1562" s="1">
        <f>IF(ESTIMATIVA[[#This Row],[QT_AREA_REST1]]&gt;0,ESTIMATIVA[[#This Row],[QT_AREA_REST1]],
  IF(ESTIMATIVA[[#This Row],[QT_AREA_REAL]]&gt;0,ESTIMATIVA[[#This Row],[QT_AREA_REAL]],ESTIMATIVA[[#This Row],[QT_AREA_EST]]))</f>
        <v>7.46</v>
      </c>
      <c r="Z156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7.46</v>
      </c>
      <c r="AA1562" s="1">
        <f>ESTIMATIVA[[#This Row],[QT_CANA_EST]]</f>
        <v>522.20000000000005</v>
      </c>
      <c r="AB1562" s="1">
        <f>IF(ESTIMATIVA[[#This Row],[QT_CANA_REST1]]&gt;0,ESTIMATIVA[[#This Row],[QT_CANA_REST1]],
  IF(ESTIMATIVA[[#This Row],[QT_CANA_REAL]]&gt;0,ESTIMATIVA[[#This Row],[QT_CANA_REAL]],ESTIMATIVA[[#This Row],[QT_CANA_EST]]))</f>
        <v>522.20000000000005</v>
      </c>
      <c r="AC156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522.20000000000005</v>
      </c>
      <c r="AD1562" s="1">
        <f>IF(ESTIMATIVA[[#This Row],[QT_AREA_REAL]]&gt;0,ESTIMATIVA[[#This Row],[QT_CANA_REAL]],ESTIMATIVA[[#This Row],[QT_CANA_EST]])</f>
        <v>528.54</v>
      </c>
      <c r="AE1562" s="1">
        <f>IF(ESTIMATIVA[[#This Row],[QT_AREA_REAL]]&gt;0,ESTIMATIVA[[#This Row],[QT_CANA_REAL]],ESTIMATIVA[[#This Row],[QT_CANA_REST1]])</f>
        <v>528.54</v>
      </c>
      <c r="AF1562" s="1">
        <f>IF(ESTIMATIVA[[#This Row],[QT_AREA_REAL]]&gt;0,ESTIMATIVA[[#This Row],[QT_CANA_REAL]],ESTIMATIVA[[#This Row],[QT_CANA_REST2]])</f>
        <v>528.54</v>
      </c>
      <c r="AG1562" s="1" t="str">
        <f>IF(COUNTIFS(GEADA!A:A,VALUE(ESTIMATIVA[[#This Row],[CD_UPNIVEL1]]&amp;TEXT(ESTIMATIVA[[#This Row],[CD_UPNIVEL3]],"0000")))&gt;0,"S","N")</f>
        <v>N</v>
      </c>
      <c r="AH156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62" s="55" t="str">
        <f>IF(ESTIMATIVA[[#This Row],[TP_CULTIVO]]="Irrigado",_xlfn.MAXIFS(IRRIGADO!J:J,IRRIGADO!C:C,ESTIMATIVA[[#This Row],[CD_UPNIVEL1]],IRRIGADO!E:E,ESTIMATIVA[[#This Row],[CD_UPNIVEL3]]),"")</f>
        <v/>
      </c>
      <c r="AJ156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62" s="1">
        <f>COUNTIFS(Apresentação!$E$23:$E$29,ESTIMATIVA[[#This Row],[CD_UPNIVEL1]])</f>
        <v>0</v>
      </c>
    </row>
    <row r="1563" spans="1:37" x14ac:dyDescent="0.3">
      <c r="A1563">
        <v>20575</v>
      </c>
      <c r="B1563" t="s">
        <v>84</v>
      </c>
      <c r="C1563">
        <v>28</v>
      </c>
      <c r="D1563">
        <v>4</v>
      </c>
      <c r="E1563" t="s">
        <v>265</v>
      </c>
      <c r="F1563" s="85" t="s">
        <v>332</v>
      </c>
      <c r="G1563"/>
      <c r="H1563" t="s">
        <v>295</v>
      </c>
      <c r="I1563" t="s">
        <v>200</v>
      </c>
      <c r="J1563" t="s">
        <v>176</v>
      </c>
      <c r="K1563" s="1">
        <v>18.13</v>
      </c>
      <c r="L1563" s="1">
        <v>18.13</v>
      </c>
      <c r="M1563" s="1">
        <v>18.13</v>
      </c>
      <c r="N1563" s="1">
        <v>18.13</v>
      </c>
      <c r="O1563" s="1">
        <v>1269.0999999999999</v>
      </c>
      <c r="P1563" s="1">
        <v>1269.0999999999999</v>
      </c>
      <c r="Q1563" s="1">
        <v>1269.0999999999999</v>
      </c>
      <c r="R1563" s="1">
        <v>1284.98</v>
      </c>
      <c r="S1563" t="s">
        <v>12</v>
      </c>
      <c r="T1563" s="13">
        <v>45977</v>
      </c>
      <c r="U1563" s="1" t="str">
        <f>IF(ESTIMATIVA[[#This Row],[QT_AREA_REAL]]&gt;0,"1- Colhido","2- à Colher")</f>
        <v>1- Colhido</v>
      </c>
      <c r="V1563" s="1" t="str">
        <f>IF(ESTIMATIVA[[#This Row],[QT_AREA_REST1]]&gt;0,"Reestimativa 1",IF(ESTIMATIVA[[#This Row],[QT_AREA_REAL]]=0,"Reestimativa 1","Realizado"))</f>
        <v>Reestimativa 1</v>
      </c>
      <c r="W1563" s="1" t="str">
        <f>IF(ESTIMATIVA[[#This Row],[QT_AREA_REST2]]&gt;0,"Reestimativa 2",IF(ESTIMATIVA[[#This Row],[QT_AREA_REAL]]=0,"Reestimativa 2","Realizado"))</f>
        <v>Reestimativa 2</v>
      </c>
      <c r="X1563" s="1">
        <f>ESTIMATIVA[[#This Row],[QT_AREA_EST]]</f>
        <v>18.13</v>
      </c>
      <c r="Y1563" s="1">
        <f>IF(ESTIMATIVA[[#This Row],[QT_AREA_REST1]]&gt;0,ESTIMATIVA[[#This Row],[QT_AREA_REST1]],
  IF(ESTIMATIVA[[#This Row],[QT_AREA_REAL]]&gt;0,ESTIMATIVA[[#This Row],[QT_AREA_REAL]],ESTIMATIVA[[#This Row],[QT_AREA_EST]]))</f>
        <v>18.13</v>
      </c>
      <c r="Z156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18.13</v>
      </c>
      <c r="AA1563" s="1">
        <f>ESTIMATIVA[[#This Row],[QT_CANA_EST]]</f>
        <v>1269.0999999999999</v>
      </c>
      <c r="AB1563" s="1">
        <f>IF(ESTIMATIVA[[#This Row],[QT_CANA_REST1]]&gt;0,ESTIMATIVA[[#This Row],[QT_CANA_REST1]],
  IF(ESTIMATIVA[[#This Row],[QT_CANA_REAL]]&gt;0,ESTIMATIVA[[#This Row],[QT_CANA_REAL]],ESTIMATIVA[[#This Row],[QT_CANA_EST]]))</f>
        <v>1269.0999999999999</v>
      </c>
      <c r="AC156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1269.0999999999999</v>
      </c>
      <c r="AD1563" s="1">
        <f>IF(ESTIMATIVA[[#This Row],[QT_AREA_REAL]]&gt;0,ESTIMATIVA[[#This Row],[QT_CANA_REAL]],ESTIMATIVA[[#This Row],[QT_CANA_EST]])</f>
        <v>1284.98</v>
      </c>
      <c r="AE1563" s="1">
        <f>IF(ESTIMATIVA[[#This Row],[QT_AREA_REAL]]&gt;0,ESTIMATIVA[[#This Row],[QT_CANA_REAL]],ESTIMATIVA[[#This Row],[QT_CANA_REST1]])</f>
        <v>1284.98</v>
      </c>
      <c r="AF1563" s="1">
        <f>IF(ESTIMATIVA[[#This Row],[QT_AREA_REAL]]&gt;0,ESTIMATIVA[[#This Row],[QT_CANA_REAL]],ESTIMATIVA[[#This Row],[QT_CANA_REST2]])</f>
        <v>1284.98</v>
      </c>
      <c r="AG1563" s="1" t="str">
        <f>IF(COUNTIFS(GEADA!A:A,VALUE(ESTIMATIVA[[#This Row],[CD_UPNIVEL1]]&amp;TEXT(ESTIMATIVA[[#This Row],[CD_UPNIVEL3]],"0000")))&gt;0,"S","N")</f>
        <v>N</v>
      </c>
      <c r="AH156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63" s="55" t="str">
        <f>IF(ESTIMATIVA[[#This Row],[TP_CULTIVO]]="Irrigado",_xlfn.MAXIFS(IRRIGADO!J:J,IRRIGADO!C:C,ESTIMATIVA[[#This Row],[CD_UPNIVEL1]],IRRIGADO!E:E,ESTIMATIVA[[#This Row],[CD_UPNIVEL3]]),"")</f>
        <v/>
      </c>
      <c r="AJ156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63" s="1">
        <f>COUNTIFS(Apresentação!$E$23:$E$29,ESTIMATIVA[[#This Row],[CD_UPNIVEL1]])</f>
        <v>0</v>
      </c>
    </row>
    <row r="1564" spans="1:37" x14ac:dyDescent="0.3">
      <c r="A1564">
        <v>20575</v>
      </c>
      <c r="B1564" t="s">
        <v>84</v>
      </c>
      <c r="C1564">
        <v>29</v>
      </c>
      <c r="D1564">
        <v>4</v>
      </c>
      <c r="E1564" t="s">
        <v>265</v>
      </c>
      <c r="F1564" s="85" t="s">
        <v>332</v>
      </c>
      <c r="G1564"/>
      <c r="H1564" t="s">
        <v>295</v>
      </c>
      <c r="I1564" t="s">
        <v>200</v>
      </c>
      <c r="J1564" t="s">
        <v>176</v>
      </c>
      <c r="K1564" s="1">
        <v>8.59</v>
      </c>
      <c r="L1564" s="1">
        <v>8.59</v>
      </c>
      <c r="M1564" s="1">
        <v>8.59</v>
      </c>
      <c r="N1564" s="1">
        <v>8.59</v>
      </c>
      <c r="O1564" s="1">
        <v>601.29999999999995</v>
      </c>
      <c r="P1564" s="1">
        <v>601.29999999999995</v>
      </c>
      <c r="Q1564" s="1">
        <v>601.29999999999995</v>
      </c>
      <c r="R1564" s="1">
        <v>608.54</v>
      </c>
      <c r="S1564" t="s">
        <v>12</v>
      </c>
      <c r="T1564" s="13">
        <v>45977</v>
      </c>
      <c r="U1564" s="1" t="str">
        <f>IF(ESTIMATIVA[[#This Row],[QT_AREA_REAL]]&gt;0,"1- Colhido","2- à Colher")</f>
        <v>1- Colhido</v>
      </c>
      <c r="V1564" s="1" t="str">
        <f>IF(ESTIMATIVA[[#This Row],[QT_AREA_REST1]]&gt;0,"Reestimativa 1",IF(ESTIMATIVA[[#This Row],[QT_AREA_REAL]]=0,"Reestimativa 1","Realizado"))</f>
        <v>Reestimativa 1</v>
      </c>
      <c r="W1564" s="1" t="str">
        <f>IF(ESTIMATIVA[[#This Row],[QT_AREA_REST2]]&gt;0,"Reestimativa 2",IF(ESTIMATIVA[[#This Row],[QT_AREA_REAL]]=0,"Reestimativa 2","Realizado"))</f>
        <v>Reestimativa 2</v>
      </c>
      <c r="X1564" s="1">
        <f>ESTIMATIVA[[#This Row],[QT_AREA_EST]]</f>
        <v>8.59</v>
      </c>
      <c r="Y1564" s="1">
        <f>IF(ESTIMATIVA[[#This Row],[QT_AREA_REST1]]&gt;0,ESTIMATIVA[[#This Row],[QT_AREA_REST1]],
  IF(ESTIMATIVA[[#This Row],[QT_AREA_REAL]]&gt;0,ESTIMATIVA[[#This Row],[QT_AREA_REAL]],ESTIMATIVA[[#This Row],[QT_AREA_EST]]))</f>
        <v>8.59</v>
      </c>
      <c r="Z156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8.59</v>
      </c>
      <c r="AA1564" s="1">
        <f>ESTIMATIVA[[#This Row],[QT_CANA_EST]]</f>
        <v>601.29999999999995</v>
      </c>
      <c r="AB1564" s="1">
        <f>IF(ESTIMATIVA[[#This Row],[QT_CANA_REST1]]&gt;0,ESTIMATIVA[[#This Row],[QT_CANA_REST1]],
  IF(ESTIMATIVA[[#This Row],[QT_CANA_REAL]]&gt;0,ESTIMATIVA[[#This Row],[QT_CANA_REAL]],ESTIMATIVA[[#This Row],[QT_CANA_EST]]))</f>
        <v>601.29999999999995</v>
      </c>
      <c r="AC156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601.29999999999995</v>
      </c>
      <c r="AD1564" s="1">
        <f>IF(ESTIMATIVA[[#This Row],[QT_AREA_REAL]]&gt;0,ESTIMATIVA[[#This Row],[QT_CANA_REAL]],ESTIMATIVA[[#This Row],[QT_CANA_EST]])</f>
        <v>608.54</v>
      </c>
      <c r="AE1564" s="1">
        <f>IF(ESTIMATIVA[[#This Row],[QT_AREA_REAL]]&gt;0,ESTIMATIVA[[#This Row],[QT_CANA_REAL]],ESTIMATIVA[[#This Row],[QT_CANA_REST1]])</f>
        <v>608.54</v>
      </c>
      <c r="AF1564" s="1">
        <f>IF(ESTIMATIVA[[#This Row],[QT_AREA_REAL]]&gt;0,ESTIMATIVA[[#This Row],[QT_CANA_REAL]],ESTIMATIVA[[#This Row],[QT_CANA_REST2]])</f>
        <v>608.54</v>
      </c>
      <c r="AG1564" s="1" t="str">
        <f>IF(COUNTIFS(GEADA!A:A,VALUE(ESTIMATIVA[[#This Row],[CD_UPNIVEL1]]&amp;TEXT(ESTIMATIVA[[#This Row],[CD_UPNIVEL3]],"0000")))&gt;0,"S","N")</f>
        <v>S</v>
      </c>
      <c r="AH156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64" s="55" t="str">
        <f>IF(ESTIMATIVA[[#This Row],[TP_CULTIVO]]="Irrigado",_xlfn.MAXIFS(IRRIGADO!J:J,IRRIGADO!C:C,ESTIMATIVA[[#This Row],[CD_UPNIVEL1]],IRRIGADO!E:E,ESTIMATIVA[[#This Row],[CD_UPNIVEL3]]),"")</f>
        <v/>
      </c>
      <c r="AJ156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64" s="1">
        <f>COUNTIFS(Apresentação!$E$23:$E$29,ESTIMATIVA[[#This Row],[CD_UPNIVEL1]])</f>
        <v>0</v>
      </c>
    </row>
    <row r="1565" spans="1:37" x14ac:dyDescent="0.3">
      <c r="A1565">
        <v>20575</v>
      </c>
      <c r="B1565" t="s">
        <v>84</v>
      </c>
      <c r="C1565">
        <v>30</v>
      </c>
      <c r="D1565">
        <v>4</v>
      </c>
      <c r="E1565" t="s">
        <v>265</v>
      </c>
      <c r="F1565" s="85" t="s">
        <v>333</v>
      </c>
      <c r="G1565"/>
      <c r="H1565" t="s">
        <v>295</v>
      </c>
      <c r="I1565" t="s">
        <v>212</v>
      </c>
      <c r="J1565" t="s">
        <v>176</v>
      </c>
      <c r="K1565" s="1">
        <v>10.38</v>
      </c>
      <c r="L1565" s="1">
        <v>10.38</v>
      </c>
      <c r="M1565" s="1">
        <v>10.38</v>
      </c>
      <c r="N1565" s="1">
        <v>10.38</v>
      </c>
      <c r="O1565" s="1">
        <v>622.79999999999995</v>
      </c>
      <c r="P1565" s="1">
        <v>622.79999999999995</v>
      </c>
      <c r="Q1565" s="1">
        <v>622.79999999999995</v>
      </c>
      <c r="R1565" s="1">
        <v>630.82000000000005</v>
      </c>
      <c r="S1565" t="s">
        <v>12</v>
      </c>
      <c r="T1565" s="13">
        <v>45977</v>
      </c>
      <c r="U1565" s="1" t="str">
        <f>IF(ESTIMATIVA[[#This Row],[QT_AREA_REAL]]&gt;0,"1- Colhido","2- à Colher")</f>
        <v>1- Colhido</v>
      </c>
      <c r="V1565" s="1" t="str">
        <f>IF(ESTIMATIVA[[#This Row],[QT_AREA_REST1]]&gt;0,"Reestimativa 1",IF(ESTIMATIVA[[#This Row],[QT_AREA_REAL]]=0,"Reestimativa 1","Realizado"))</f>
        <v>Reestimativa 1</v>
      </c>
      <c r="W1565" s="1" t="str">
        <f>IF(ESTIMATIVA[[#This Row],[QT_AREA_REST2]]&gt;0,"Reestimativa 2",IF(ESTIMATIVA[[#This Row],[QT_AREA_REAL]]=0,"Reestimativa 2","Realizado"))</f>
        <v>Reestimativa 2</v>
      </c>
      <c r="X1565" s="1">
        <f>ESTIMATIVA[[#This Row],[QT_AREA_EST]]</f>
        <v>10.38</v>
      </c>
      <c r="Y1565" s="1">
        <f>IF(ESTIMATIVA[[#This Row],[QT_AREA_REST1]]&gt;0,ESTIMATIVA[[#This Row],[QT_AREA_REST1]],
  IF(ESTIMATIVA[[#This Row],[QT_AREA_REAL]]&gt;0,ESTIMATIVA[[#This Row],[QT_AREA_REAL]],ESTIMATIVA[[#This Row],[QT_AREA_EST]]))</f>
        <v>10.38</v>
      </c>
      <c r="Z156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10.38</v>
      </c>
      <c r="AA1565" s="1">
        <f>ESTIMATIVA[[#This Row],[QT_CANA_EST]]</f>
        <v>622.79999999999995</v>
      </c>
      <c r="AB1565" s="1">
        <f>IF(ESTIMATIVA[[#This Row],[QT_CANA_REST1]]&gt;0,ESTIMATIVA[[#This Row],[QT_CANA_REST1]],
  IF(ESTIMATIVA[[#This Row],[QT_CANA_REAL]]&gt;0,ESTIMATIVA[[#This Row],[QT_CANA_REAL]],ESTIMATIVA[[#This Row],[QT_CANA_EST]]))</f>
        <v>622.79999999999995</v>
      </c>
      <c r="AC156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622.79999999999995</v>
      </c>
      <c r="AD1565" s="1">
        <f>IF(ESTIMATIVA[[#This Row],[QT_AREA_REAL]]&gt;0,ESTIMATIVA[[#This Row],[QT_CANA_REAL]],ESTIMATIVA[[#This Row],[QT_CANA_EST]])</f>
        <v>630.82000000000005</v>
      </c>
      <c r="AE1565" s="1">
        <f>IF(ESTIMATIVA[[#This Row],[QT_AREA_REAL]]&gt;0,ESTIMATIVA[[#This Row],[QT_CANA_REAL]],ESTIMATIVA[[#This Row],[QT_CANA_REST1]])</f>
        <v>630.82000000000005</v>
      </c>
      <c r="AF1565" s="1">
        <f>IF(ESTIMATIVA[[#This Row],[QT_AREA_REAL]]&gt;0,ESTIMATIVA[[#This Row],[QT_CANA_REAL]],ESTIMATIVA[[#This Row],[QT_CANA_REST2]])</f>
        <v>630.82000000000005</v>
      </c>
      <c r="AG1565" s="1" t="str">
        <f>IF(COUNTIFS(GEADA!A:A,VALUE(ESTIMATIVA[[#This Row],[CD_UPNIVEL1]]&amp;TEXT(ESTIMATIVA[[#This Row],[CD_UPNIVEL3]],"0000")))&gt;0,"S","N")</f>
        <v>N</v>
      </c>
      <c r="AH156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65" s="55" t="str">
        <f>IF(ESTIMATIVA[[#This Row],[TP_CULTIVO]]="Irrigado",_xlfn.MAXIFS(IRRIGADO!J:J,IRRIGADO!C:C,ESTIMATIVA[[#This Row],[CD_UPNIVEL1]],IRRIGADO!E:E,ESTIMATIVA[[#This Row],[CD_UPNIVEL3]]),"")</f>
        <v/>
      </c>
      <c r="AJ156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65" s="1">
        <f>COUNTIFS(Apresentação!$E$23:$E$29,ESTIMATIVA[[#This Row],[CD_UPNIVEL1]])</f>
        <v>0</v>
      </c>
    </row>
    <row r="1566" spans="1:37" x14ac:dyDescent="0.3">
      <c r="A1566">
        <v>20575</v>
      </c>
      <c r="B1566" t="s">
        <v>84</v>
      </c>
      <c r="C1566">
        <v>31</v>
      </c>
      <c r="D1566">
        <v>4</v>
      </c>
      <c r="E1566" t="s">
        <v>265</v>
      </c>
      <c r="F1566" s="85" t="s">
        <v>332</v>
      </c>
      <c r="G1566"/>
      <c r="H1566" t="s">
        <v>295</v>
      </c>
      <c r="I1566" t="s">
        <v>200</v>
      </c>
      <c r="J1566" t="s">
        <v>176</v>
      </c>
      <c r="K1566" s="1">
        <v>9.6</v>
      </c>
      <c r="L1566" s="1">
        <v>9.6</v>
      </c>
      <c r="M1566" s="1">
        <v>9.6</v>
      </c>
      <c r="N1566" s="1">
        <v>9.6</v>
      </c>
      <c r="O1566" s="1">
        <v>672</v>
      </c>
      <c r="P1566" s="1">
        <v>672</v>
      </c>
      <c r="Q1566" s="1">
        <v>672</v>
      </c>
      <c r="R1566" s="1">
        <v>680.44</v>
      </c>
      <c r="S1566" t="s">
        <v>12</v>
      </c>
      <c r="T1566" s="13">
        <v>45977</v>
      </c>
      <c r="U1566" s="1" t="str">
        <f>IF(ESTIMATIVA[[#This Row],[QT_AREA_REAL]]&gt;0,"1- Colhido","2- à Colher")</f>
        <v>1- Colhido</v>
      </c>
      <c r="V1566" s="1" t="str">
        <f>IF(ESTIMATIVA[[#This Row],[QT_AREA_REST1]]&gt;0,"Reestimativa 1",IF(ESTIMATIVA[[#This Row],[QT_AREA_REAL]]=0,"Reestimativa 1","Realizado"))</f>
        <v>Reestimativa 1</v>
      </c>
      <c r="W1566" s="1" t="str">
        <f>IF(ESTIMATIVA[[#This Row],[QT_AREA_REST2]]&gt;0,"Reestimativa 2",IF(ESTIMATIVA[[#This Row],[QT_AREA_REAL]]=0,"Reestimativa 2","Realizado"))</f>
        <v>Reestimativa 2</v>
      </c>
      <c r="X1566" s="1">
        <f>ESTIMATIVA[[#This Row],[QT_AREA_EST]]</f>
        <v>9.6</v>
      </c>
      <c r="Y1566" s="1">
        <f>IF(ESTIMATIVA[[#This Row],[QT_AREA_REST1]]&gt;0,ESTIMATIVA[[#This Row],[QT_AREA_REST1]],
  IF(ESTIMATIVA[[#This Row],[QT_AREA_REAL]]&gt;0,ESTIMATIVA[[#This Row],[QT_AREA_REAL]],ESTIMATIVA[[#This Row],[QT_AREA_EST]]))</f>
        <v>9.6</v>
      </c>
      <c r="Z156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9.6</v>
      </c>
      <c r="AA1566" s="1">
        <f>ESTIMATIVA[[#This Row],[QT_CANA_EST]]</f>
        <v>672</v>
      </c>
      <c r="AB1566" s="1">
        <f>IF(ESTIMATIVA[[#This Row],[QT_CANA_REST1]]&gt;0,ESTIMATIVA[[#This Row],[QT_CANA_REST1]],
  IF(ESTIMATIVA[[#This Row],[QT_CANA_REAL]]&gt;0,ESTIMATIVA[[#This Row],[QT_CANA_REAL]],ESTIMATIVA[[#This Row],[QT_CANA_EST]]))</f>
        <v>672</v>
      </c>
      <c r="AC156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672</v>
      </c>
      <c r="AD1566" s="1">
        <f>IF(ESTIMATIVA[[#This Row],[QT_AREA_REAL]]&gt;0,ESTIMATIVA[[#This Row],[QT_CANA_REAL]],ESTIMATIVA[[#This Row],[QT_CANA_EST]])</f>
        <v>680.44</v>
      </c>
      <c r="AE1566" s="1">
        <f>IF(ESTIMATIVA[[#This Row],[QT_AREA_REAL]]&gt;0,ESTIMATIVA[[#This Row],[QT_CANA_REAL]],ESTIMATIVA[[#This Row],[QT_CANA_REST1]])</f>
        <v>680.44</v>
      </c>
      <c r="AF1566" s="1">
        <f>IF(ESTIMATIVA[[#This Row],[QT_AREA_REAL]]&gt;0,ESTIMATIVA[[#This Row],[QT_CANA_REAL]],ESTIMATIVA[[#This Row],[QT_CANA_REST2]])</f>
        <v>680.44</v>
      </c>
      <c r="AG1566" s="1" t="str">
        <f>IF(COUNTIFS(GEADA!A:A,VALUE(ESTIMATIVA[[#This Row],[CD_UPNIVEL1]]&amp;TEXT(ESTIMATIVA[[#This Row],[CD_UPNIVEL3]],"0000")))&gt;0,"S","N")</f>
        <v>S</v>
      </c>
      <c r="AH156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66" s="55" t="str">
        <f>IF(ESTIMATIVA[[#This Row],[TP_CULTIVO]]="Irrigado",_xlfn.MAXIFS(IRRIGADO!J:J,IRRIGADO!C:C,ESTIMATIVA[[#This Row],[CD_UPNIVEL1]],IRRIGADO!E:E,ESTIMATIVA[[#This Row],[CD_UPNIVEL3]]),"")</f>
        <v/>
      </c>
      <c r="AJ156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66" s="1">
        <f>COUNTIFS(Apresentação!$E$23:$E$29,ESTIMATIVA[[#This Row],[CD_UPNIVEL1]])</f>
        <v>0</v>
      </c>
    </row>
    <row r="1567" spans="1:37" x14ac:dyDescent="0.3">
      <c r="A1567">
        <v>20575</v>
      </c>
      <c r="B1567" t="s">
        <v>84</v>
      </c>
      <c r="C1567">
        <v>32</v>
      </c>
      <c r="D1567">
        <v>4</v>
      </c>
      <c r="E1567" t="s">
        <v>265</v>
      </c>
      <c r="F1567" s="85" t="s">
        <v>332</v>
      </c>
      <c r="G1567"/>
      <c r="H1567" t="s">
        <v>295</v>
      </c>
      <c r="I1567" t="s">
        <v>200</v>
      </c>
      <c r="J1567" t="s">
        <v>176</v>
      </c>
      <c r="K1567" s="1">
        <v>3.88</v>
      </c>
      <c r="L1567" s="1">
        <v>3.88</v>
      </c>
      <c r="M1567" s="1">
        <v>3.88</v>
      </c>
      <c r="N1567" s="1">
        <v>3.88</v>
      </c>
      <c r="O1567" s="1">
        <v>271.60000000000002</v>
      </c>
      <c r="P1567" s="1">
        <v>271.60000000000002</v>
      </c>
      <c r="Q1567" s="1">
        <v>271.60000000000002</v>
      </c>
      <c r="R1567" s="1">
        <v>275.75</v>
      </c>
      <c r="S1567" t="s">
        <v>12</v>
      </c>
      <c r="T1567" s="13">
        <v>45977</v>
      </c>
      <c r="U1567" s="1" t="str">
        <f>IF(ESTIMATIVA[[#This Row],[QT_AREA_REAL]]&gt;0,"1- Colhido","2- à Colher")</f>
        <v>1- Colhido</v>
      </c>
      <c r="V1567" s="1" t="str">
        <f>IF(ESTIMATIVA[[#This Row],[QT_AREA_REST1]]&gt;0,"Reestimativa 1",IF(ESTIMATIVA[[#This Row],[QT_AREA_REAL]]=0,"Reestimativa 1","Realizado"))</f>
        <v>Reestimativa 1</v>
      </c>
      <c r="W1567" s="1" t="str">
        <f>IF(ESTIMATIVA[[#This Row],[QT_AREA_REST2]]&gt;0,"Reestimativa 2",IF(ESTIMATIVA[[#This Row],[QT_AREA_REAL]]=0,"Reestimativa 2","Realizado"))</f>
        <v>Reestimativa 2</v>
      </c>
      <c r="X1567" s="1">
        <f>ESTIMATIVA[[#This Row],[QT_AREA_EST]]</f>
        <v>3.88</v>
      </c>
      <c r="Y1567" s="1">
        <f>IF(ESTIMATIVA[[#This Row],[QT_AREA_REST1]]&gt;0,ESTIMATIVA[[#This Row],[QT_AREA_REST1]],
  IF(ESTIMATIVA[[#This Row],[QT_AREA_REAL]]&gt;0,ESTIMATIVA[[#This Row],[QT_AREA_REAL]],ESTIMATIVA[[#This Row],[QT_AREA_EST]]))</f>
        <v>3.88</v>
      </c>
      <c r="Z156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3.88</v>
      </c>
      <c r="AA1567" s="1">
        <f>ESTIMATIVA[[#This Row],[QT_CANA_EST]]</f>
        <v>271.60000000000002</v>
      </c>
      <c r="AB1567" s="1">
        <f>IF(ESTIMATIVA[[#This Row],[QT_CANA_REST1]]&gt;0,ESTIMATIVA[[#This Row],[QT_CANA_REST1]],
  IF(ESTIMATIVA[[#This Row],[QT_CANA_REAL]]&gt;0,ESTIMATIVA[[#This Row],[QT_CANA_REAL]],ESTIMATIVA[[#This Row],[QT_CANA_EST]]))</f>
        <v>271.60000000000002</v>
      </c>
      <c r="AC156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271.60000000000002</v>
      </c>
      <c r="AD1567" s="1">
        <f>IF(ESTIMATIVA[[#This Row],[QT_AREA_REAL]]&gt;0,ESTIMATIVA[[#This Row],[QT_CANA_REAL]],ESTIMATIVA[[#This Row],[QT_CANA_EST]])</f>
        <v>275.75</v>
      </c>
      <c r="AE1567" s="1">
        <f>IF(ESTIMATIVA[[#This Row],[QT_AREA_REAL]]&gt;0,ESTIMATIVA[[#This Row],[QT_CANA_REAL]],ESTIMATIVA[[#This Row],[QT_CANA_REST1]])</f>
        <v>275.75</v>
      </c>
      <c r="AF1567" s="1">
        <f>IF(ESTIMATIVA[[#This Row],[QT_AREA_REAL]]&gt;0,ESTIMATIVA[[#This Row],[QT_CANA_REAL]],ESTIMATIVA[[#This Row],[QT_CANA_REST2]])</f>
        <v>275.75</v>
      </c>
      <c r="AG1567" s="1" t="str">
        <f>IF(COUNTIFS(GEADA!A:A,VALUE(ESTIMATIVA[[#This Row],[CD_UPNIVEL1]]&amp;TEXT(ESTIMATIVA[[#This Row],[CD_UPNIVEL3]],"0000")))&gt;0,"S","N")</f>
        <v>S</v>
      </c>
      <c r="AH156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67" s="55" t="str">
        <f>IF(ESTIMATIVA[[#This Row],[TP_CULTIVO]]="Irrigado",_xlfn.MAXIFS(IRRIGADO!J:J,IRRIGADO!C:C,ESTIMATIVA[[#This Row],[CD_UPNIVEL1]],IRRIGADO!E:E,ESTIMATIVA[[#This Row],[CD_UPNIVEL3]]),"")</f>
        <v/>
      </c>
      <c r="AJ156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67" s="1">
        <f>COUNTIFS(Apresentação!$E$23:$E$29,ESTIMATIVA[[#This Row],[CD_UPNIVEL1]])</f>
        <v>0</v>
      </c>
    </row>
    <row r="1568" spans="1:37" x14ac:dyDescent="0.3">
      <c r="A1568">
        <v>20576</v>
      </c>
      <c r="B1568" t="s">
        <v>85</v>
      </c>
      <c r="C1568">
        <v>1</v>
      </c>
      <c r="D1568">
        <v>1</v>
      </c>
      <c r="E1568" t="s">
        <v>264</v>
      </c>
      <c r="F1568" s="85" t="s">
        <v>331</v>
      </c>
      <c r="G1568"/>
      <c r="H1568" t="s">
        <v>294</v>
      </c>
      <c r="I1568" t="s">
        <v>200</v>
      </c>
      <c r="J1568" t="s">
        <v>176</v>
      </c>
      <c r="K1568" s="1">
        <v>4.7</v>
      </c>
      <c r="L1568" s="1">
        <v>0</v>
      </c>
      <c r="M1568" s="1">
        <v>0</v>
      </c>
      <c r="N1568" s="1">
        <v>4.7</v>
      </c>
      <c r="O1568" s="1">
        <v>498.2</v>
      </c>
      <c r="P1568" s="1">
        <v>0</v>
      </c>
      <c r="Q1568" s="1">
        <v>0</v>
      </c>
      <c r="R1568" s="1">
        <v>621.47</v>
      </c>
      <c r="S1568" t="s">
        <v>12</v>
      </c>
      <c r="T1568" s="13">
        <v>45753</v>
      </c>
      <c r="U1568" s="1" t="str">
        <f>IF(ESTIMATIVA[[#This Row],[QT_AREA_REAL]]&gt;0,"1- Colhido","2- à Colher")</f>
        <v>1- Colhido</v>
      </c>
      <c r="V1568" s="1" t="str">
        <f>IF(ESTIMATIVA[[#This Row],[QT_AREA_REST1]]&gt;0,"Reestimativa 1",IF(ESTIMATIVA[[#This Row],[QT_AREA_REAL]]=0,"Reestimativa 1","Realizado"))</f>
        <v>Realizado</v>
      </c>
      <c r="W1568" s="1" t="str">
        <f>IF(ESTIMATIVA[[#This Row],[QT_AREA_REST2]]&gt;0,"Reestimativa 2",IF(ESTIMATIVA[[#This Row],[QT_AREA_REAL]]=0,"Reestimativa 2","Realizado"))</f>
        <v>Realizado</v>
      </c>
      <c r="X1568" s="1">
        <f>ESTIMATIVA[[#This Row],[QT_AREA_EST]]</f>
        <v>4.7</v>
      </c>
      <c r="Y1568" s="1">
        <f>IF(ESTIMATIVA[[#This Row],[QT_AREA_REST1]]&gt;0,ESTIMATIVA[[#This Row],[QT_AREA_REST1]],
  IF(ESTIMATIVA[[#This Row],[QT_AREA_REAL]]&gt;0,ESTIMATIVA[[#This Row],[QT_AREA_REAL]],ESTIMATIVA[[#This Row],[QT_AREA_EST]]))</f>
        <v>4.7</v>
      </c>
      <c r="Z156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4.7</v>
      </c>
      <c r="AA1568" s="1">
        <f>ESTIMATIVA[[#This Row],[QT_CANA_EST]]</f>
        <v>498.2</v>
      </c>
      <c r="AB1568" s="1">
        <f>IF(ESTIMATIVA[[#This Row],[QT_CANA_REST1]]&gt;0,ESTIMATIVA[[#This Row],[QT_CANA_REST1]],
  IF(ESTIMATIVA[[#This Row],[QT_CANA_REAL]]&gt;0,ESTIMATIVA[[#This Row],[QT_CANA_REAL]],ESTIMATIVA[[#This Row],[QT_CANA_EST]]))</f>
        <v>621.47</v>
      </c>
      <c r="AC156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621.47</v>
      </c>
      <c r="AD1568" s="1">
        <f>IF(ESTIMATIVA[[#This Row],[QT_AREA_REAL]]&gt;0,ESTIMATIVA[[#This Row],[QT_CANA_REAL]],ESTIMATIVA[[#This Row],[QT_CANA_EST]])</f>
        <v>621.47</v>
      </c>
      <c r="AE1568" s="1">
        <f>IF(ESTIMATIVA[[#This Row],[QT_AREA_REAL]]&gt;0,ESTIMATIVA[[#This Row],[QT_CANA_REAL]],ESTIMATIVA[[#This Row],[QT_CANA_REST1]])</f>
        <v>621.47</v>
      </c>
      <c r="AF1568" s="1">
        <f>IF(ESTIMATIVA[[#This Row],[QT_AREA_REAL]]&gt;0,ESTIMATIVA[[#This Row],[QT_CANA_REAL]],ESTIMATIVA[[#This Row],[QT_CANA_REST2]])</f>
        <v>621.47</v>
      </c>
      <c r="AG1568" s="1" t="str">
        <f>IF(COUNTIFS(GEADA!A:A,VALUE(ESTIMATIVA[[#This Row],[CD_UPNIVEL1]]&amp;TEXT(ESTIMATIVA[[#This Row],[CD_UPNIVEL3]],"0000")))&gt;0,"S","N")</f>
        <v>N</v>
      </c>
      <c r="AH156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68" s="55" t="str">
        <f>IF(ESTIMATIVA[[#This Row],[TP_CULTIVO]]="Irrigado",_xlfn.MAXIFS(IRRIGADO!J:J,IRRIGADO!C:C,ESTIMATIVA[[#This Row],[CD_UPNIVEL1]],IRRIGADO!E:E,ESTIMATIVA[[#This Row],[CD_UPNIVEL3]]),"")</f>
        <v/>
      </c>
      <c r="AJ156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68" s="1">
        <f>COUNTIFS(Apresentação!$E$23:$E$29,ESTIMATIVA[[#This Row],[CD_UPNIVEL1]])</f>
        <v>0</v>
      </c>
    </row>
    <row r="1569" spans="1:37" x14ac:dyDescent="0.3">
      <c r="A1569">
        <v>20576</v>
      </c>
      <c r="B1569" t="s">
        <v>85</v>
      </c>
      <c r="C1569">
        <v>2</v>
      </c>
      <c r="D1569">
        <v>1</v>
      </c>
      <c r="E1569" t="s">
        <v>264</v>
      </c>
      <c r="F1569" s="85" t="s">
        <v>332</v>
      </c>
      <c r="G1569"/>
      <c r="H1569" t="s">
        <v>294</v>
      </c>
      <c r="I1569" t="s">
        <v>200</v>
      </c>
      <c r="J1569" t="s">
        <v>176</v>
      </c>
      <c r="K1569" s="1">
        <v>9.17</v>
      </c>
      <c r="L1569" s="1">
        <v>0</v>
      </c>
      <c r="M1569" s="1">
        <v>0</v>
      </c>
      <c r="N1569" s="1">
        <v>9.17</v>
      </c>
      <c r="O1569" s="1">
        <v>1045.3800000000001</v>
      </c>
      <c r="P1569" s="1">
        <v>0</v>
      </c>
      <c r="Q1569" s="1">
        <v>0</v>
      </c>
      <c r="R1569" s="1">
        <v>902.99</v>
      </c>
      <c r="S1569" t="s">
        <v>12</v>
      </c>
      <c r="T1569" s="13">
        <v>45753</v>
      </c>
      <c r="U1569" s="1" t="str">
        <f>IF(ESTIMATIVA[[#This Row],[QT_AREA_REAL]]&gt;0,"1- Colhido","2- à Colher")</f>
        <v>1- Colhido</v>
      </c>
      <c r="V1569" s="1" t="str">
        <f>IF(ESTIMATIVA[[#This Row],[QT_AREA_REST1]]&gt;0,"Reestimativa 1",IF(ESTIMATIVA[[#This Row],[QT_AREA_REAL]]=0,"Reestimativa 1","Realizado"))</f>
        <v>Realizado</v>
      </c>
      <c r="W1569" s="1" t="str">
        <f>IF(ESTIMATIVA[[#This Row],[QT_AREA_REST2]]&gt;0,"Reestimativa 2",IF(ESTIMATIVA[[#This Row],[QT_AREA_REAL]]=0,"Reestimativa 2","Realizado"))</f>
        <v>Realizado</v>
      </c>
      <c r="X1569" s="1">
        <f>ESTIMATIVA[[#This Row],[QT_AREA_EST]]</f>
        <v>9.17</v>
      </c>
      <c r="Y1569" s="1">
        <f>IF(ESTIMATIVA[[#This Row],[QT_AREA_REST1]]&gt;0,ESTIMATIVA[[#This Row],[QT_AREA_REST1]],
  IF(ESTIMATIVA[[#This Row],[QT_AREA_REAL]]&gt;0,ESTIMATIVA[[#This Row],[QT_AREA_REAL]],ESTIMATIVA[[#This Row],[QT_AREA_EST]]))</f>
        <v>9.17</v>
      </c>
      <c r="Z156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9.17</v>
      </c>
      <c r="AA1569" s="1">
        <f>ESTIMATIVA[[#This Row],[QT_CANA_EST]]</f>
        <v>1045.3800000000001</v>
      </c>
      <c r="AB1569" s="1">
        <f>IF(ESTIMATIVA[[#This Row],[QT_CANA_REST1]]&gt;0,ESTIMATIVA[[#This Row],[QT_CANA_REST1]],
  IF(ESTIMATIVA[[#This Row],[QT_CANA_REAL]]&gt;0,ESTIMATIVA[[#This Row],[QT_CANA_REAL]],ESTIMATIVA[[#This Row],[QT_CANA_EST]]))</f>
        <v>902.99</v>
      </c>
      <c r="AC156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902.99</v>
      </c>
      <c r="AD1569" s="1">
        <f>IF(ESTIMATIVA[[#This Row],[QT_AREA_REAL]]&gt;0,ESTIMATIVA[[#This Row],[QT_CANA_REAL]],ESTIMATIVA[[#This Row],[QT_CANA_EST]])</f>
        <v>902.99</v>
      </c>
      <c r="AE1569" s="1">
        <f>IF(ESTIMATIVA[[#This Row],[QT_AREA_REAL]]&gt;0,ESTIMATIVA[[#This Row],[QT_CANA_REAL]],ESTIMATIVA[[#This Row],[QT_CANA_REST1]])</f>
        <v>902.99</v>
      </c>
      <c r="AF1569" s="1">
        <f>IF(ESTIMATIVA[[#This Row],[QT_AREA_REAL]]&gt;0,ESTIMATIVA[[#This Row],[QT_CANA_REAL]],ESTIMATIVA[[#This Row],[QT_CANA_REST2]])</f>
        <v>902.99</v>
      </c>
      <c r="AG1569" s="1" t="str">
        <f>IF(COUNTIFS(GEADA!A:A,VALUE(ESTIMATIVA[[#This Row],[CD_UPNIVEL1]]&amp;TEXT(ESTIMATIVA[[#This Row],[CD_UPNIVEL3]],"0000")))&gt;0,"S","N")</f>
        <v>N</v>
      </c>
      <c r="AH156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69" s="55" t="str">
        <f>IF(ESTIMATIVA[[#This Row],[TP_CULTIVO]]="Irrigado",_xlfn.MAXIFS(IRRIGADO!J:J,IRRIGADO!C:C,ESTIMATIVA[[#This Row],[CD_UPNIVEL1]],IRRIGADO!E:E,ESTIMATIVA[[#This Row],[CD_UPNIVEL3]]),"")</f>
        <v/>
      </c>
      <c r="AJ156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69" s="1">
        <f>COUNTIFS(Apresentação!$E$23:$E$29,ESTIMATIVA[[#This Row],[CD_UPNIVEL1]])</f>
        <v>0</v>
      </c>
    </row>
    <row r="1570" spans="1:37" x14ac:dyDescent="0.3">
      <c r="A1570">
        <v>20576</v>
      </c>
      <c r="B1570" t="s">
        <v>85</v>
      </c>
      <c r="C1570">
        <v>3</v>
      </c>
      <c r="D1570">
        <v>1</v>
      </c>
      <c r="E1570" t="s">
        <v>264</v>
      </c>
      <c r="F1570" s="85" t="s">
        <v>331</v>
      </c>
      <c r="G1570"/>
      <c r="H1570" t="s">
        <v>294</v>
      </c>
      <c r="I1570" t="s">
        <v>200</v>
      </c>
      <c r="J1570" t="s">
        <v>176</v>
      </c>
      <c r="K1570" s="1">
        <v>13.8</v>
      </c>
      <c r="L1570" s="1">
        <v>0</v>
      </c>
      <c r="M1570" s="1">
        <v>0</v>
      </c>
      <c r="N1570" s="1">
        <v>13.8</v>
      </c>
      <c r="O1570" s="1">
        <v>1656</v>
      </c>
      <c r="P1570" s="1">
        <v>0</v>
      </c>
      <c r="Q1570" s="1">
        <v>0</v>
      </c>
      <c r="R1570" s="1">
        <v>1430.98</v>
      </c>
      <c r="S1570" t="s">
        <v>12</v>
      </c>
      <c r="T1570" s="13">
        <v>45753</v>
      </c>
      <c r="U1570" s="1" t="str">
        <f>IF(ESTIMATIVA[[#This Row],[QT_AREA_REAL]]&gt;0,"1- Colhido","2- à Colher")</f>
        <v>1- Colhido</v>
      </c>
      <c r="V1570" s="1" t="str">
        <f>IF(ESTIMATIVA[[#This Row],[QT_AREA_REST1]]&gt;0,"Reestimativa 1",IF(ESTIMATIVA[[#This Row],[QT_AREA_REAL]]=0,"Reestimativa 1","Realizado"))</f>
        <v>Realizado</v>
      </c>
      <c r="W1570" s="1" t="str">
        <f>IF(ESTIMATIVA[[#This Row],[QT_AREA_REST2]]&gt;0,"Reestimativa 2",IF(ESTIMATIVA[[#This Row],[QT_AREA_REAL]]=0,"Reestimativa 2","Realizado"))</f>
        <v>Realizado</v>
      </c>
      <c r="X1570" s="1">
        <f>ESTIMATIVA[[#This Row],[QT_AREA_EST]]</f>
        <v>13.8</v>
      </c>
      <c r="Y1570" s="1">
        <f>IF(ESTIMATIVA[[#This Row],[QT_AREA_REST1]]&gt;0,ESTIMATIVA[[#This Row],[QT_AREA_REST1]],
  IF(ESTIMATIVA[[#This Row],[QT_AREA_REAL]]&gt;0,ESTIMATIVA[[#This Row],[QT_AREA_REAL]],ESTIMATIVA[[#This Row],[QT_AREA_EST]]))</f>
        <v>13.8</v>
      </c>
      <c r="Z157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13.8</v>
      </c>
      <c r="AA1570" s="1">
        <f>ESTIMATIVA[[#This Row],[QT_CANA_EST]]</f>
        <v>1656</v>
      </c>
      <c r="AB1570" s="1">
        <f>IF(ESTIMATIVA[[#This Row],[QT_CANA_REST1]]&gt;0,ESTIMATIVA[[#This Row],[QT_CANA_REST1]],
  IF(ESTIMATIVA[[#This Row],[QT_CANA_REAL]]&gt;0,ESTIMATIVA[[#This Row],[QT_CANA_REAL]],ESTIMATIVA[[#This Row],[QT_CANA_EST]]))</f>
        <v>1430.98</v>
      </c>
      <c r="AC157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1430.98</v>
      </c>
      <c r="AD1570" s="1">
        <f>IF(ESTIMATIVA[[#This Row],[QT_AREA_REAL]]&gt;0,ESTIMATIVA[[#This Row],[QT_CANA_REAL]],ESTIMATIVA[[#This Row],[QT_CANA_EST]])</f>
        <v>1430.98</v>
      </c>
      <c r="AE1570" s="1">
        <f>IF(ESTIMATIVA[[#This Row],[QT_AREA_REAL]]&gt;0,ESTIMATIVA[[#This Row],[QT_CANA_REAL]],ESTIMATIVA[[#This Row],[QT_CANA_REST1]])</f>
        <v>1430.98</v>
      </c>
      <c r="AF1570" s="1">
        <f>IF(ESTIMATIVA[[#This Row],[QT_AREA_REAL]]&gt;0,ESTIMATIVA[[#This Row],[QT_CANA_REAL]],ESTIMATIVA[[#This Row],[QT_CANA_REST2]])</f>
        <v>1430.98</v>
      </c>
      <c r="AG1570" s="1" t="str">
        <f>IF(COUNTIFS(GEADA!A:A,VALUE(ESTIMATIVA[[#This Row],[CD_UPNIVEL1]]&amp;TEXT(ESTIMATIVA[[#This Row],[CD_UPNIVEL3]],"0000")))&gt;0,"S","N")</f>
        <v>N</v>
      </c>
      <c r="AH157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70" s="55" t="str">
        <f>IF(ESTIMATIVA[[#This Row],[TP_CULTIVO]]="Irrigado",_xlfn.MAXIFS(IRRIGADO!J:J,IRRIGADO!C:C,ESTIMATIVA[[#This Row],[CD_UPNIVEL1]],IRRIGADO!E:E,ESTIMATIVA[[#This Row],[CD_UPNIVEL3]]),"")</f>
        <v/>
      </c>
      <c r="AJ157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70" s="1">
        <f>COUNTIFS(Apresentação!$E$23:$E$29,ESTIMATIVA[[#This Row],[CD_UPNIVEL1]])</f>
        <v>0</v>
      </c>
    </row>
    <row r="1571" spans="1:37" x14ac:dyDescent="0.3">
      <c r="A1571">
        <v>20576</v>
      </c>
      <c r="B1571" t="s">
        <v>85</v>
      </c>
      <c r="C1571">
        <v>4</v>
      </c>
      <c r="D1571">
        <v>1</v>
      </c>
      <c r="E1571" t="s">
        <v>264</v>
      </c>
      <c r="F1571" s="85" t="s">
        <v>333</v>
      </c>
      <c r="G1571"/>
      <c r="H1571" t="s">
        <v>294</v>
      </c>
      <c r="I1571" t="s">
        <v>200</v>
      </c>
      <c r="J1571" t="s">
        <v>176</v>
      </c>
      <c r="K1571" s="1">
        <v>0.7</v>
      </c>
      <c r="L1571" s="1">
        <v>0</v>
      </c>
      <c r="M1571" s="1">
        <v>0</v>
      </c>
      <c r="N1571" s="1">
        <v>0.7</v>
      </c>
      <c r="O1571" s="1">
        <v>79.8</v>
      </c>
      <c r="P1571" s="1">
        <v>0</v>
      </c>
      <c r="Q1571" s="1">
        <v>0</v>
      </c>
      <c r="R1571" s="1">
        <v>69.09</v>
      </c>
      <c r="S1571" t="s">
        <v>12</v>
      </c>
      <c r="T1571" s="13">
        <v>45753</v>
      </c>
      <c r="U1571" s="1" t="str">
        <f>IF(ESTIMATIVA[[#This Row],[QT_AREA_REAL]]&gt;0,"1- Colhido","2- à Colher")</f>
        <v>1- Colhido</v>
      </c>
      <c r="V1571" s="1" t="str">
        <f>IF(ESTIMATIVA[[#This Row],[QT_AREA_REST1]]&gt;0,"Reestimativa 1",IF(ESTIMATIVA[[#This Row],[QT_AREA_REAL]]=0,"Reestimativa 1","Realizado"))</f>
        <v>Realizado</v>
      </c>
      <c r="W1571" s="1" t="str">
        <f>IF(ESTIMATIVA[[#This Row],[QT_AREA_REST2]]&gt;0,"Reestimativa 2",IF(ESTIMATIVA[[#This Row],[QT_AREA_REAL]]=0,"Reestimativa 2","Realizado"))</f>
        <v>Realizado</v>
      </c>
      <c r="X1571" s="1">
        <f>ESTIMATIVA[[#This Row],[QT_AREA_EST]]</f>
        <v>0.7</v>
      </c>
      <c r="Y1571" s="1">
        <f>IF(ESTIMATIVA[[#This Row],[QT_AREA_REST1]]&gt;0,ESTIMATIVA[[#This Row],[QT_AREA_REST1]],
  IF(ESTIMATIVA[[#This Row],[QT_AREA_REAL]]&gt;0,ESTIMATIVA[[#This Row],[QT_AREA_REAL]],ESTIMATIVA[[#This Row],[QT_AREA_EST]]))</f>
        <v>0.7</v>
      </c>
      <c r="Z157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0.7</v>
      </c>
      <c r="AA1571" s="1">
        <f>ESTIMATIVA[[#This Row],[QT_CANA_EST]]</f>
        <v>79.8</v>
      </c>
      <c r="AB1571" s="1">
        <f>IF(ESTIMATIVA[[#This Row],[QT_CANA_REST1]]&gt;0,ESTIMATIVA[[#This Row],[QT_CANA_REST1]],
  IF(ESTIMATIVA[[#This Row],[QT_CANA_REAL]]&gt;0,ESTIMATIVA[[#This Row],[QT_CANA_REAL]],ESTIMATIVA[[#This Row],[QT_CANA_EST]]))</f>
        <v>69.09</v>
      </c>
      <c r="AC157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69.09</v>
      </c>
      <c r="AD1571" s="1">
        <f>IF(ESTIMATIVA[[#This Row],[QT_AREA_REAL]]&gt;0,ESTIMATIVA[[#This Row],[QT_CANA_REAL]],ESTIMATIVA[[#This Row],[QT_CANA_EST]])</f>
        <v>69.09</v>
      </c>
      <c r="AE1571" s="1">
        <f>IF(ESTIMATIVA[[#This Row],[QT_AREA_REAL]]&gt;0,ESTIMATIVA[[#This Row],[QT_CANA_REAL]],ESTIMATIVA[[#This Row],[QT_CANA_REST1]])</f>
        <v>69.09</v>
      </c>
      <c r="AF1571" s="1">
        <f>IF(ESTIMATIVA[[#This Row],[QT_AREA_REAL]]&gt;0,ESTIMATIVA[[#This Row],[QT_CANA_REAL]],ESTIMATIVA[[#This Row],[QT_CANA_REST2]])</f>
        <v>69.09</v>
      </c>
      <c r="AG1571" s="1" t="str">
        <f>IF(COUNTIFS(GEADA!A:A,VALUE(ESTIMATIVA[[#This Row],[CD_UPNIVEL1]]&amp;TEXT(ESTIMATIVA[[#This Row],[CD_UPNIVEL3]],"0000")))&gt;0,"S","N")</f>
        <v>N</v>
      </c>
      <c r="AH157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71" s="55" t="str">
        <f>IF(ESTIMATIVA[[#This Row],[TP_CULTIVO]]="Irrigado",_xlfn.MAXIFS(IRRIGADO!J:J,IRRIGADO!C:C,ESTIMATIVA[[#This Row],[CD_UPNIVEL1]],IRRIGADO!E:E,ESTIMATIVA[[#This Row],[CD_UPNIVEL3]]),"")</f>
        <v/>
      </c>
      <c r="AJ157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71" s="1">
        <f>COUNTIFS(Apresentação!$E$23:$E$29,ESTIMATIVA[[#This Row],[CD_UPNIVEL1]])</f>
        <v>0</v>
      </c>
    </row>
    <row r="1572" spans="1:37" x14ac:dyDescent="0.3">
      <c r="A1572">
        <v>20576</v>
      </c>
      <c r="B1572" t="s">
        <v>85</v>
      </c>
      <c r="C1572">
        <v>904</v>
      </c>
      <c r="D1572">
        <v>1</v>
      </c>
      <c r="E1572" t="s">
        <v>264</v>
      </c>
      <c r="F1572" s="85" t="s">
        <v>331</v>
      </c>
      <c r="G1572"/>
      <c r="H1572" t="s">
        <v>294</v>
      </c>
      <c r="I1572" t="s">
        <v>200</v>
      </c>
      <c r="J1572" t="s">
        <v>176</v>
      </c>
      <c r="K1572" s="1">
        <v>8.1999999999999993</v>
      </c>
      <c r="L1572" s="1">
        <v>0</v>
      </c>
      <c r="M1572" s="1">
        <v>0</v>
      </c>
      <c r="N1572" s="1">
        <v>8.1999999999999993</v>
      </c>
      <c r="O1572" s="1">
        <v>656</v>
      </c>
      <c r="P1572" s="1">
        <v>0</v>
      </c>
      <c r="Q1572" s="1">
        <v>0</v>
      </c>
      <c r="R1572" s="1">
        <v>567.01</v>
      </c>
      <c r="S1572" t="s">
        <v>12</v>
      </c>
      <c r="T1572" s="13">
        <v>45753</v>
      </c>
      <c r="U1572" s="1" t="str">
        <f>IF(ESTIMATIVA[[#This Row],[QT_AREA_REAL]]&gt;0,"1- Colhido","2- à Colher")</f>
        <v>1- Colhido</v>
      </c>
      <c r="V1572" s="1" t="str">
        <f>IF(ESTIMATIVA[[#This Row],[QT_AREA_REST1]]&gt;0,"Reestimativa 1",IF(ESTIMATIVA[[#This Row],[QT_AREA_REAL]]=0,"Reestimativa 1","Realizado"))</f>
        <v>Realizado</v>
      </c>
      <c r="W1572" s="1" t="str">
        <f>IF(ESTIMATIVA[[#This Row],[QT_AREA_REST2]]&gt;0,"Reestimativa 2",IF(ESTIMATIVA[[#This Row],[QT_AREA_REAL]]=0,"Reestimativa 2","Realizado"))</f>
        <v>Realizado</v>
      </c>
      <c r="X1572" s="1">
        <f>ESTIMATIVA[[#This Row],[QT_AREA_EST]]</f>
        <v>8.1999999999999993</v>
      </c>
      <c r="Y1572" s="1">
        <f>IF(ESTIMATIVA[[#This Row],[QT_AREA_REST1]]&gt;0,ESTIMATIVA[[#This Row],[QT_AREA_REST1]],
  IF(ESTIMATIVA[[#This Row],[QT_AREA_REAL]]&gt;0,ESTIMATIVA[[#This Row],[QT_AREA_REAL]],ESTIMATIVA[[#This Row],[QT_AREA_EST]]))</f>
        <v>8.1999999999999993</v>
      </c>
      <c r="Z157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8.1999999999999993</v>
      </c>
      <c r="AA1572" s="1">
        <f>ESTIMATIVA[[#This Row],[QT_CANA_EST]]</f>
        <v>656</v>
      </c>
      <c r="AB1572" s="1">
        <f>IF(ESTIMATIVA[[#This Row],[QT_CANA_REST1]]&gt;0,ESTIMATIVA[[#This Row],[QT_CANA_REST1]],
  IF(ESTIMATIVA[[#This Row],[QT_CANA_REAL]]&gt;0,ESTIMATIVA[[#This Row],[QT_CANA_REAL]],ESTIMATIVA[[#This Row],[QT_CANA_EST]]))</f>
        <v>567.01</v>
      </c>
      <c r="AC157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567.01</v>
      </c>
      <c r="AD1572" s="1">
        <f>IF(ESTIMATIVA[[#This Row],[QT_AREA_REAL]]&gt;0,ESTIMATIVA[[#This Row],[QT_CANA_REAL]],ESTIMATIVA[[#This Row],[QT_CANA_EST]])</f>
        <v>567.01</v>
      </c>
      <c r="AE1572" s="1">
        <f>IF(ESTIMATIVA[[#This Row],[QT_AREA_REAL]]&gt;0,ESTIMATIVA[[#This Row],[QT_CANA_REAL]],ESTIMATIVA[[#This Row],[QT_CANA_REST1]])</f>
        <v>567.01</v>
      </c>
      <c r="AF1572" s="1">
        <f>IF(ESTIMATIVA[[#This Row],[QT_AREA_REAL]]&gt;0,ESTIMATIVA[[#This Row],[QT_CANA_REAL]],ESTIMATIVA[[#This Row],[QT_CANA_REST2]])</f>
        <v>567.01</v>
      </c>
      <c r="AG1572" s="1" t="str">
        <f>IF(COUNTIFS(GEADA!A:A,VALUE(ESTIMATIVA[[#This Row],[CD_UPNIVEL1]]&amp;TEXT(ESTIMATIVA[[#This Row],[CD_UPNIVEL3]],"0000")))&gt;0,"S","N")</f>
        <v>N</v>
      </c>
      <c r="AH157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572" s="55" t="str">
        <f>IF(ESTIMATIVA[[#This Row],[TP_CULTIVO]]="Irrigado",_xlfn.MAXIFS(IRRIGADO!J:J,IRRIGADO!C:C,ESTIMATIVA[[#This Row],[CD_UPNIVEL1]],IRRIGADO!E:E,ESTIMATIVA[[#This Row],[CD_UPNIVEL3]]),"")</f>
        <v/>
      </c>
      <c r="AJ157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72" s="1">
        <f>COUNTIFS(Apresentação!$E$23:$E$29,ESTIMATIVA[[#This Row],[CD_UPNIVEL1]])</f>
        <v>0</v>
      </c>
    </row>
    <row r="1573" spans="1:37" x14ac:dyDescent="0.3">
      <c r="A1573">
        <v>20578</v>
      </c>
      <c r="B1573" t="s">
        <v>153</v>
      </c>
      <c r="C1573">
        <v>1</v>
      </c>
      <c r="D1573">
        <v>2</v>
      </c>
      <c r="E1573" t="s">
        <v>266</v>
      </c>
      <c r="F1573" s="85" t="s">
        <v>331</v>
      </c>
      <c r="G1573"/>
      <c r="H1573" t="s">
        <v>295</v>
      </c>
      <c r="I1573" t="s">
        <v>200</v>
      </c>
      <c r="J1573" t="s">
        <v>176</v>
      </c>
      <c r="K1573" s="1">
        <v>14.58</v>
      </c>
      <c r="L1573" s="1">
        <v>14.58</v>
      </c>
      <c r="M1573" s="1">
        <v>14.58</v>
      </c>
      <c r="N1573" s="1">
        <v>14.58</v>
      </c>
      <c r="O1573" s="1">
        <v>1239.3</v>
      </c>
      <c r="P1573" s="1">
        <v>1239.3</v>
      </c>
      <c r="Q1573" s="1">
        <v>1166.4000000000001</v>
      </c>
      <c r="R1573" s="1">
        <v>729.43</v>
      </c>
      <c r="S1573" t="s">
        <v>12</v>
      </c>
      <c r="T1573" s="13">
        <v>46005</v>
      </c>
      <c r="U1573" s="1" t="str">
        <f>IF(ESTIMATIVA[[#This Row],[QT_AREA_REAL]]&gt;0,"1- Colhido","2- à Colher")</f>
        <v>1- Colhido</v>
      </c>
      <c r="V1573" s="1" t="str">
        <f>IF(ESTIMATIVA[[#This Row],[QT_AREA_REST1]]&gt;0,"Reestimativa 1",IF(ESTIMATIVA[[#This Row],[QT_AREA_REAL]]=0,"Reestimativa 1","Realizado"))</f>
        <v>Reestimativa 1</v>
      </c>
      <c r="W1573" s="1" t="str">
        <f>IF(ESTIMATIVA[[#This Row],[QT_AREA_REST2]]&gt;0,"Reestimativa 2",IF(ESTIMATIVA[[#This Row],[QT_AREA_REAL]]=0,"Reestimativa 2","Realizado"))</f>
        <v>Reestimativa 2</v>
      </c>
      <c r="X1573" s="1">
        <f>ESTIMATIVA[[#This Row],[QT_AREA_EST]]</f>
        <v>14.58</v>
      </c>
      <c r="Y1573" s="1">
        <f>IF(ESTIMATIVA[[#This Row],[QT_AREA_REST1]]&gt;0,ESTIMATIVA[[#This Row],[QT_AREA_REST1]],
  IF(ESTIMATIVA[[#This Row],[QT_AREA_REAL]]&gt;0,ESTIMATIVA[[#This Row],[QT_AREA_REAL]],ESTIMATIVA[[#This Row],[QT_AREA_EST]]))</f>
        <v>14.58</v>
      </c>
      <c r="Z157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14.58</v>
      </c>
      <c r="AA1573" s="1">
        <f>ESTIMATIVA[[#This Row],[QT_CANA_EST]]</f>
        <v>1239.3</v>
      </c>
      <c r="AB1573" s="1">
        <f>IF(ESTIMATIVA[[#This Row],[QT_CANA_REST1]]&gt;0,ESTIMATIVA[[#This Row],[QT_CANA_REST1]],
  IF(ESTIMATIVA[[#This Row],[QT_CANA_REAL]]&gt;0,ESTIMATIVA[[#This Row],[QT_CANA_REAL]],ESTIMATIVA[[#This Row],[QT_CANA_EST]]))</f>
        <v>1239.3</v>
      </c>
      <c r="AC157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1166.4000000000001</v>
      </c>
      <c r="AD1573" s="1">
        <f>IF(ESTIMATIVA[[#This Row],[QT_AREA_REAL]]&gt;0,ESTIMATIVA[[#This Row],[QT_CANA_REAL]],ESTIMATIVA[[#This Row],[QT_CANA_EST]])</f>
        <v>729.43</v>
      </c>
      <c r="AE1573" s="1">
        <f>IF(ESTIMATIVA[[#This Row],[QT_AREA_REAL]]&gt;0,ESTIMATIVA[[#This Row],[QT_CANA_REAL]],ESTIMATIVA[[#This Row],[QT_CANA_REST1]])</f>
        <v>729.43</v>
      </c>
      <c r="AF1573" s="1">
        <f>IF(ESTIMATIVA[[#This Row],[QT_AREA_REAL]]&gt;0,ESTIMATIVA[[#This Row],[QT_CANA_REAL]],ESTIMATIVA[[#This Row],[QT_CANA_REST2]])</f>
        <v>729.43</v>
      </c>
      <c r="AG1573" s="1" t="str">
        <f>IF(COUNTIFS(GEADA!A:A,VALUE(ESTIMATIVA[[#This Row],[CD_UPNIVEL1]]&amp;TEXT(ESTIMATIVA[[#This Row],[CD_UPNIVEL3]],"0000")))&gt;0,"S","N")</f>
        <v>N</v>
      </c>
      <c r="AH157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73" s="55" t="str">
        <f>IF(ESTIMATIVA[[#This Row],[TP_CULTIVO]]="Irrigado",_xlfn.MAXIFS(IRRIGADO!J:J,IRRIGADO!C:C,ESTIMATIVA[[#This Row],[CD_UPNIVEL1]],IRRIGADO!E:E,ESTIMATIVA[[#This Row],[CD_UPNIVEL3]]),"")</f>
        <v/>
      </c>
      <c r="AJ157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73" s="1">
        <f>COUNTIFS(Apresentação!$E$23:$E$29,ESTIMATIVA[[#This Row],[CD_UPNIVEL1]])</f>
        <v>0</v>
      </c>
    </row>
    <row r="1574" spans="1:37" x14ac:dyDescent="0.3">
      <c r="A1574">
        <v>20578</v>
      </c>
      <c r="B1574" t="s">
        <v>153</v>
      </c>
      <c r="C1574">
        <v>2</v>
      </c>
      <c r="D1574">
        <v>2</v>
      </c>
      <c r="E1574" t="s">
        <v>266</v>
      </c>
      <c r="F1574" s="85" t="s">
        <v>331</v>
      </c>
      <c r="G1574"/>
      <c r="H1574" t="s">
        <v>295</v>
      </c>
      <c r="I1574" t="s">
        <v>200</v>
      </c>
      <c r="J1574" t="s">
        <v>176</v>
      </c>
      <c r="K1574" s="1">
        <v>26.86</v>
      </c>
      <c r="L1574" s="1">
        <v>26.86</v>
      </c>
      <c r="M1574" s="1">
        <v>26.86</v>
      </c>
      <c r="N1574" s="1">
        <v>0</v>
      </c>
      <c r="O1574" s="1">
        <v>2283.1</v>
      </c>
      <c r="P1574" s="1">
        <v>2283.1</v>
      </c>
      <c r="Q1574" s="1">
        <v>2148.8000000000002</v>
      </c>
      <c r="R1574" s="1">
        <v>0</v>
      </c>
      <c r="S1574" t="s">
        <v>12</v>
      </c>
      <c r="T1574" s="13"/>
      <c r="U1574" s="1" t="str">
        <f>IF(ESTIMATIVA[[#This Row],[QT_AREA_REAL]]&gt;0,"1- Colhido","2- à Colher")</f>
        <v>2- à Colher</v>
      </c>
      <c r="V1574" s="1" t="str">
        <f>IF(ESTIMATIVA[[#This Row],[QT_AREA_REST1]]&gt;0,"Reestimativa 1",IF(ESTIMATIVA[[#This Row],[QT_AREA_REAL]]=0,"Reestimativa 1","Realizado"))</f>
        <v>Reestimativa 1</v>
      </c>
      <c r="W1574" s="1" t="str">
        <f>IF(ESTIMATIVA[[#This Row],[QT_AREA_REST2]]&gt;0,"Reestimativa 2",IF(ESTIMATIVA[[#This Row],[QT_AREA_REAL]]=0,"Reestimativa 2","Realizado"))</f>
        <v>Reestimativa 2</v>
      </c>
      <c r="X1574" s="1">
        <f>ESTIMATIVA[[#This Row],[QT_AREA_EST]]</f>
        <v>26.86</v>
      </c>
      <c r="Y1574" s="1">
        <f>IF(ESTIMATIVA[[#This Row],[QT_AREA_REST1]]&gt;0,ESTIMATIVA[[#This Row],[QT_AREA_REST1]],
  IF(ESTIMATIVA[[#This Row],[QT_AREA_REAL]]&gt;0,ESTIMATIVA[[#This Row],[QT_AREA_REAL]],ESTIMATIVA[[#This Row],[QT_AREA_EST]]))</f>
        <v>26.86</v>
      </c>
      <c r="Z157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26.86</v>
      </c>
      <c r="AA1574" s="1">
        <f>ESTIMATIVA[[#This Row],[QT_CANA_EST]]</f>
        <v>2283.1</v>
      </c>
      <c r="AB1574" s="1">
        <f>IF(ESTIMATIVA[[#This Row],[QT_CANA_REST1]]&gt;0,ESTIMATIVA[[#This Row],[QT_CANA_REST1]],
  IF(ESTIMATIVA[[#This Row],[QT_CANA_REAL]]&gt;0,ESTIMATIVA[[#This Row],[QT_CANA_REAL]],ESTIMATIVA[[#This Row],[QT_CANA_EST]]))</f>
        <v>2283.1</v>
      </c>
      <c r="AC157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2148.8000000000002</v>
      </c>
      <c r="AD1574" s="1">
        <f>IF(ESTIMATIVA[[#This Row],[QT_AREA_REAL]]&gt;0,ESTIMATIVA[[#This Row],[QT_CANA_REAL]],ESTIMATIVA[[#This Row],[QT_CANA_EST]])</f>
        <v>2283.1</v>
      </c>
      <c r="AE1574" s="1">
        <f>IF(ESTIMATIVA[[#This Row],[QT_AREA_REAL]]&gt;0,ESTIMATIVA[[#This Row],[QT_CANA_REAL]],ESTIMATIVA[[#This Row],[QT_CANA_REST1]])</f>
        <v>2283.1</v>
      </c>
      <c r="AF1574" s="1">
        <f>IF(ESTIMATIVA[[#This Row],[QT_AREA_REAL]]&gt;0,ESTIMATIVA[[#This Row],[QT_CANA_REAL]],ESTIMATIVA[[#This Row],[QT_CANA_REST2]])</f>
        <v>2148.8000000000002</v>
      </c>
      <c r="AG1574" s="1" t="str">
        <f>IF(COUNTIFS(GEADA!A:A,VALUE(ESTIMATIVA[[#This Row],[CD_UPNIVEL1]]&amp;TEXT(ESTIMATIVA[[#This Row],[CD_UPNIVEL3]],"0000")))&gt;0,"S","N")</f>
        <v>N</v>
      </c>
      <c r="AH157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74" s="55" t="str">
        <f>IF(ESTIMATIVA[[#This Row],[TP_CULTIVO]]="Irrigado",_xlfn.MAXIFS(IRRIGADO!J:J,IRRIGADO!C:C,ESTIMATIVA[[#This Row],[CD_UPNIVEL1]],IRRIGADO!E:E,ESTIMATIVA[[#This Row],[CD_UPNIVEL3]]),"")</f>
        <v/>
      </c>
      <c r="AJ157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74" s="1">
        <f>COUNTIFS(Apresentação!$E$23:$E$29,ESTIMATIVA[[#This Row],[CD_UPNIVEL1]])</f>
        <v>0</v>
      </c>
    </row>
    <row r="1575" spans="1:37" x14ac:dyDescent="0.3">
      <c r="A1575">
        <v>20578</v>
      </c>
      <c r="B1575" t="s">
        <v>153</v>
      </c>
      <c r="C1575">
        <v>3</v>
      </c>
      <c r="D1575">
        <v>2</v>
      </c>
      <c r="E1575" t="s">
        <v>266</v>
      </c>
      <c r="F1575" s="85" t="s">
        <v>331</v>
      </c>
      <c r="G1575"/>
      <c r="H1575" t="s">
        <v>295</v>
      </c>
      <c r="I1575" t="s">
        <v>200</v>
      </c>
      <c r="J1575" t="s">
        <v>176</v>
      </c>
      <c r="K1575" s="1">
        <v>38.340000000000003</v>
      </c>
      <c r="L1575" s="1">
        <v>38.340000000000003</v>
      </c>
      <c r="M1575" s="1">
        <v>38.340000000000003</v>
      </c>
      <c r="N1575" s="1">
        <v>38.340000000000003</v>
      </c>
      <c r="O1575" s="1">
        <v>3258.9</v>
      </c>
      <c r="P1575" s="1">
        <v>3258.9</v>
      </c>
      <c r="Q1575" s="1">
        <v>3067.2</v>
      </c>
      <c r="R1575" s="1">
        <v>1919.55</v>
      </c>
      <c r="S1575" t="s">
        <v>12</v>
      </c>
      <c r="T1575" s="13">
        <v>46005</v>
      </c>
      <c r="U1575" s="1" t="str">
        <f>IF(ESTIMATIVA[[#This Row],[QT_AREA_REAL]]&gt;0,"1- Colhido","2- à Colher")</f>
        <v>1- Colhido</v>
      </c>
      <c r="V1575" s="1" t="str">
        <f>IF(ESTIMATIVA[[#This Row],[QT_AREA_REST1]]&gt;0,"Reestimativa 1",IF(ESTIMATIVA[[#This Row],[QT_AREA_REAL]]=0,"Reestimativa 1","Realizado"))</f>
        <v>Reestimativa 1</v>
      </c>
      <c r="W1575" s="1" t="str">
        <f>IF(ESTIMATIVA[[#This Row],[QT_AREA_REST2]]&gt;0,"Reestimativa 2",IF(ESTIMATIVA[[#This Row],[QT_AREA_REAL]]=0,"Reestimativa 2","Realizado"))</f>
        <v>Reestimativa 2</v>
      </c>
      <c r="X1575" s="1">
        <f>ESTIMATIVA[[#This Row],[QT_AREA_EST]]</f>
        <v>38.340000000000003</v>
      </c>
      <c r="Y1575" s="1">
        <f>IF(ESTIMATIVA[[#This Row],[QT_AREA_REST1]]&gt;0,ESTIMATIVA[[#This Row],[QT_AREA_REST1]],
  IF(ESTIMATIVA[[#This Row],[QT_AREA_REAL]]&gt;0,ESTIMATIVA[[#This Row],[QT_AREA_REAL]],ESTIMATIVA[[#This Row],[QT_AREA_EST]]))</f>
        <v>38.340000000000003</v>
      </c>
      <c r="Z157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38.340000000000003</v>
      </c>
      <c r="AA1575" s="1">
        <f>ESTIMATIVA[[#This Row],[QT_CANA_EST]]</f>
        <v>3258.9</v>
      </c>
      <c r="AB1575" s="1">
        <f>IF(ESTIMATIVA[[#This Row],[QT_CANA_REST1]]&gt;0,ESTIMATIVA[[#This Row],[QT_CANA_REST1]],
  IF(ESTIMATIVA[[#This Row],[QT_CANA_REAL]]&gt;0,ESTIMATIVA[[#This Row],[QT_CANA_REAL]],ESTIMATIVA[[#This Row],[QT_CANA_EST]]))</f>
        <v>3258.9</v>
      </c>
      <c r="AC157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3067.2</v>
      </c>
      <c r="AD1575" s="1">
        <f>IF(ESTIMATIVA[[#This Row],[QT_AREA_REAL]]&gt;0,ESTIMATIVA[[#This Row],[QT_CANA_REAL]],ESTIMATIVA[[#This Row],[QT_CANA_EST]])</f>
        <v>1919.55</v>
      </c>
      <c r="AE1575" s="1">
        <f>IF(ESTIMATIVA[[#This Row],[QT_AREA_REAL]]&gt;0,ESTIMATIVA[[#This Row],[QT_CANA_REAL]],ESTIMATIVA[[#This Row],[QT_CANA_REST1]])</f>
        <v>1919.55</v>
      </c>
      <c r="AF1575" s="1">
        <f>IF(ESTIMATIVA[[#This Row],[QT_AREA_REAL]]&gt;0,ESTIMATIVA[[#This Row],[QT_CANA_REAL]],ESTIMATIVA[[#This Row],[QT_CANA_REST2]])</f>
        <v>1919.55</v>
      </c>
      <c r="AG1575" s="1" t="str">
        <f>IF(COUNTIFS(GEADA!A:A,VALUE(ESTIMATIVA[[#This Row],[CD_UPNIVEL1]]&amp;TEXT(ESTIMATIVA[[#This Row],[CD_UPNIVEL3]],"0000")))&gt;0,"S","N")</f>
        <v>N</v>
      </c>
      <c r="AH157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75" s="55" t="str">
        <f>IF(ESTIMATIVA[[#This Row],[TP_CULTIVO]]="Irrigado",_xlfn.MAXIFS(IRRIGADO!J:J,IRRIGADO!C:C,ESTIMATIVA[[#This Row],[CD_UPNIVEL1]],IRRIGADO!E:E,ESTIMATIVA[[#This Row],[CD_UPNIVEL3]]),"")</f>
        <v/>
      </c>
      <c r="AJ157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75" s="1">
        <f>COUNTIFS(Apresentação!$E$23:$E$29,ESTIMATIVA[[#This Row],[CD_UPNIVEL1]])</f>
        <v>0</v>
      </c>
    </row>
    <row r="1576" spans="1:37" x14ac:dyDescent="0.3">
      <c r="A1576">
        <v>20579</v>
      </c>
      <c r="B1576" t="s">
        <v>22</v>
      </c>
      <c r="C1576">
        <v>1</v>
      </c>
      <c r="D1576">
        <v>1</v>
      </c>
      <c r="E1576" t="s">
        <v>267</v>
      </c>
      <c r="F1576" s="85" t="s">
        <v>332</v>
      </c>
      <c r="G1576"/>
      <c r="H1576" t="s">
        <v>295</v>
      </c>
      <c r="I1576" t="s">
        <v>226</v>
      </c>
      <c r="J1576" t="s">
        <v>175</v>
      </c>
      <c r="K1576" s="1">
        <v>14.54</v>
      </c>
      <c r="L1576" s="1">
        <v>14.54</v>
      </c>
      <c r="M1576" s="1">
        <v>0</v>
      </c>
      <c r="N1576" s="1">
        <v>14.54</v>
      </c>
      <c r="O1576" s="1">
        <v>1628.48</v>
      </c>
      <c r="P1576" s="1">
        <v>1657.56</v>
      </c>
      <c r="Q1576" s="1">
        <v>0</v>
      </c>
      <c r="R1576" s="1">
        <v>1741.55</v>
      </c>
      <c r="S1576" t="s">
        <v>12</v>
      </c>
      <c r="T1576" s="13">
        <v>45851</v>
      </c>
      <c r="U1576" s="1" t="str">
        <f>IF(ESTIMATIVA[[#This Row],[QT_AREA_REAL]]&gt;0,"1- Colhido","2- à Colher")</f>
        <v>1- Colhido</v>
      </c>
      <c r="V1576" s="1" t="str">
        <f>IF(ESTIMATIVA[[#This Row],[QT_AREA_REST1]]&gt;0,"Reestimativa 1",IF(ESTIMATIVA[[#This Row],[QT_AREA_REAL]]=0,"Reestimativa 1","Realizado"))</f>
        <v>Reestimativa 1</v>
      </c>
      <c r="W1576" s="1" t="str">
        <f>IF(ESTIMATIVA[[#This Row],[QT_AREA_REST2]]&gt;0,"Reestimativa 2",IF(ESTIMATIVA[[#This Row],[QT_AREA_REAL]]=0,"Reestimativa 2","Realizado"))</f>
        <v>Realizado</v>
      </c>
      <c r="X1576" s="1">
        <f>ESTIMATIVA[[#This Row],[QT_AREA_EST]]</f>
        <v>14.54</v>
      </c>
      <c r="Y1576" s="1">
        <f>IF(ESTIMATIVA[[#This Row],[QT_AREA_REST1]]&gt;0,ESTIMATIVA[[#This Row],[QT_AREA_REST1]],
  IF(ESTIMATIVA[[#This Row],[QT_AREA_REAL]]&gt;0,ESTIMATIVA[[#This Row],[QT_AREA_REAL]],ESTIMATIVA[[#This Row],[QT_AREA_EST]]))</f>
        <v>14.54</v>
      </c>
      <c r="Z157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14.54</v>
      </c>
      <c r="AA1576" s="1">
        <f>ESTIMATIVA[[#This Row],[QT_CANA_EST]]</f>
        <v>1628.48</v>
      </c>
      <c r="AB1576" s="1">
        <f>IF(ESTIMATIVA[[#This Row],[QT_CANA_REST1]]&gt;0,ESTIMATIVA[[#This Row],[QT_CANA_REST1]],
  IF(ESTIMATIVA[[#This Row],[QT_CANA_REAL]]&gt;0,ESTIMATIVA[[#This Row],[QT_CANA_REAL]],ESTIMATIVA[[#This Row],[QT_CANA_EST]]))</f>
        <v>1657.56</v>
      </c>
      <c r="AC157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1741.55</v>
      </c>
      <c r="AD1576" s="1">
        <f>IF(ESTIMATIVA[[#This Row],[QT_AREA_REAL]]&gt;0,ESTIMATIVA[[#This Row],[QT_CANA_REAL]],ESTIMATIVA[[#This Row],[QT_CANA_EST]])</f>
        <v>1741.55</v>
      </c>
      <c r="AE1576" s="1">
        <f>IF(ESTIMATIVA[[#This Row],[QT_AREA_REAL]]&gt;0,ESTIMATIVA[[#This Row],[QT_CANA_REAL]],ESTIMATIVA[[#This Row],[QT_CANA_REST1]])</f>
        <v>1741.55</v>
      </c>
      <c r="AF1576" s="1">
        <f>IF(ESTIMATIVA[[#This Row],[QT_AREA_REAL]]&gt;0,ESTIMATIVA[[#This Row],[QT_CANA_REAL]],ESTIMATIVA[[#This Row],[QT_CANA_REST2]])</f>
        <v>1741.55</v>
      </c>
      <c r="AG1576" s="1" t="str">
        <f>IF(COUNTIFS(GEADA!A:A,VALUE(ESTIMATIVA[[#This Row],[CD_UPNIVEL1]]&amp;TEXT(ESTIMATIVA[[#This Row],[CD_UPNIVEL3]],"0000")))&gt;0,"S","N")</f>
        <v>N</v>
      </c>
      <c r="AH157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76" s="55" t="str">
        <f>IF(ESTIMATIVA[[#This Row],[TP_CULTIVO]]="Irrigado",_xlfn.MAXIFS(IRRIGADO!J:J,IRRIGADO!C:C,ESTIMATIVA[[#This Row],[CD_UPNIVEL1]],IRRIGADO!E:E,ESTIMATIVA[[#This Row],[CD_UPNIVEL3]]),"")</f>
        <v/>
      </c>
      <c r="AJ157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76" s="1">
        <f>COUNTIFS(Apresentação!$E$23:$E$29,ESTIMATIVA[[#This Row],[CD_UPNIVEL1]])</f>
        <v>0</v>
      </c>
    </row>
    <row r="1577" spans="1:37" x14ac:dyDescent="0.3">
      <c r="A1577">
        <v>20579</v>
      </c>
      <c r="B1577" t="s">
        <v>22</v>
      </c>
      <c r="C1577">
        <v>2</v>
      </c>
      <c r="D1577">
        <v>1</v>
      </c>
      <c r="E1577" t="s">
        <v>267</v>
      </c>
      <c r="F1577" s="85" t="s">
        <v>332</v>
      </c>
      <c r="G1577"/>
      <c r="H1577" t="s">
        <v>295</v>
      </c>
      <c r="I1577" t="s">
        <v>208</v>
      </c>
      <c r="J1577" t="s">
        <v>175</v>
      </c>
      <c r="K1577" s="1">
        <v>10.75</v>
      </c>
      <c r="L1577" s="1">
        <v>10.75</v>
      </c>
      <c r="M1577" s="1">
        <v>0</v>
      </c>
      <c r="N1577" s="1">
        <v>10.75</v>
      </c>
      <c r="O1577" s="1">
        <v>1204</v>
      </c>
      <c r="P1577" s="1">
        <v>1204</v>
      </c>
      <c r="Q1577" s="1">
        <v>0</v>
      </c>
      <c r="R1577" s="1">
        <v>982.05</v>
      </c>
      <c r="S1577" t="s">
        <v>12</v>
      </c>
      <c r="T1577" s="13">
        <v>45858</v>
      </c>
      <c r="U1577" s="1" t="str">
        <f>IF(ESTIMATIVA[[#This Row],[QT_AREA_REAL]]&gt;0,"1- Colhido","2- à Colher")</f>
        <v>1- Colhido</v>
      </c>
      <c r="V1577" s="1" t="str">
        <f>IF(ESTIMATIVA[[#This Row],[QT_AREA_REST1]]&gt;0,"Reestimativa 1",IF(ESTIMATIVA[[#This Row],[QT_AREA_REAL]]=0,"Reestimativa 1","Realizado"))</f>
        <v>Reestimativa 1</v>
      </c>
      <c r="W1577" s="1" t="str">
        <f>IF(ESTIMATIVA[[#This Row],[QT_AREA_REST2]]&gt;0,"Reestimativa 2",IF(ESTIMATIVA[[#This Row],[QT_AREA_REAL]]=0,"Reestimativa 2","Realizado"))</f>
        <v>Realizado</v>
      </c>
      <c r="X1577" s="1">
        <f>ESTIMATIVA[[#This Row],[QT_AREA_EST]]</f>
        <v>10.75</v>
      </c>
      <c r="Y1577" s="1">
        <f>IF(ESTIMATIVA[[#This Row],[QT_AREA_REST1]]&gt;0,ESTIMATIVA[[#This Row],[QT_AREA_REST1]],
  IF(ESTIMATIVA[[#This Row],[QT_AREA_REAL]]&gt;0,ESTIMATIVA[[#This Row],[QT_AREA_REAL]],ESTIMATIVA[[#This Row],[QT_AREA_EST]]))</f>
        <v>10.75</v>
      </c>
      <c r="Z157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10.75</v>
      </c>
      <c r="AA1577" s="1">
        <f>ESTIMATIVA[[#This Row],[QT_CANA_EST]]</f>
        <v>1204</v>
      </c>
      <c r="AB1577" s="1">
        <f>IF(ESTIMATIVA[[#This Row],[QT_CANA_REST1]]&gt;0,ESTIMATIVA[[#This Row],[QT_CANA_REST1]],
  IF(ESTIMATIVA[[#This Row],[QT_CANA_REAL]]&gt;0,ESTIMATIVA[[#This Row],[QT_CANA_REAL]],ESTIMATIVA[[#This Row],[QT_CANA_EST]]))</f>
        <v>1204</v>
      </c>
      <c r="AC157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982.05</v>
      </c>
      <c r="AD1577" s="1">
        <f>IF(ESTIMATIVA[[#This Row],[QT_AREA_REAL]]&gt;0,ESTIMATIVA[[#This Row],[QT_CANA_REAL]],ESTIMATIVA[[#This Row],[QT_CANA_EST]])</f>
        <v>982.05</v>
      </c>
      <c r="AE1577" s="1">
        <f>IF(ESTIMATIVA[[#This Row],[QT_AREA_REAL]]&gt;0,ESTIMATIVA[[#This Row],[QT_CANA_REAL]],ESTIMATIVA[[#This Row],[QT_CANA_REST1]])</f>
        <v>982.05</v>
      </c>
      <c r="AF1577" s="1">
        <f>IF(ESTIMATIVA[[#This Row],[QT_AREA_REAL]]&gt;0,ESTIMATIVA[[#This Row],[QT_CANA_REAL]],ESTIMATIVA[[#This Row],[QT_CANA_REST2]])</f>
        <v>982.05</v>
      </c>
      <c r="AG1577" s="1" t="str">
        <f>IF(COUNTIFS(GEADA!A:A,VALUE(ESTIMATIVA[[#This Row],[CD_UPNIVEL1]]&amp;TEXT(ESTIMATIVA[[#This Row],[CD_UPNIVEL3]],"0000")))&gt;0,"S","N")</f>
        <v>N</v>
      </c>
      <c r="AH157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77" s="55" t="str">
        <f>IF(ESTIMATIVA[[#This Row],[TP_CULTIVO]]="Irrigado",_xlfn.MAXIFS(IRRIGADO!J:J,IRRIGADO!C:C,ESTIMATIVA[[#This Row],[CD_UPNIVEL1]],IRRIGADO!E:E,ESTIMATIVA[[#This Row],[CD_UPNIVEL3]]),"")</f>
        <v/>
      </c>
      <c r="AJ157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77" s="1">
        <f>COUNTIFS(Apresentação!$E$23:$E$29,ESTIMATIVA[[#This Row],[CD_UPNIVEL1]])</f>
        <v>0</v>
      </c>
    </row>
    <row r="1578" spans="1:37" x14ac:dyDescent="0.3">
      <c r="A1578">
        <v>20579</v>
      </c>
      <c r="B1578" t="s">
        <v>22</v>
      </c>
      <c r="C1578">
        <v>3</v>
      </c>
      <c r="D1578">
        <v>1</v>
      </c>
      <c r="E1578" t="s">
        <v>267</v>
      </c>
      <c r="F1578" s="85" t="s">
        <v>332</v>
      </c>
      <c r="G1578"/>
      <c r="H1578" t="s">
        <v>295</v>
      </c>
      <c r="I1578" t="s">
        <v>208</v>
      </c>
      <c r="J1578" t="s">
        <v>175</v>
      </c>
      <c r="K1578" s="1">
        <v>8.39</v>
      </c>
      <c r="L1578" s="1">
        <v>0</v>
      </c>
      <c r="M1578" s="1">
        <v>0</v>
      </c>
      <c r="N1578" s="1">
        <v>8.39</v>
      </c>
      <c r="O1578" s="1">
        <v>939.68</v>
      </c>
      <c r="P1578" s="1">
        <v>0</v>
      </c>
      <c r="Q1578" s="1">
        <v>0</v>
      </c>
      <c r="R1578" s="1">
        <v>1208.1400000000001</v>
      </c>
      <c r="S1578" t="s">
        <v>12</v>
      </c>
      <c r="T1578" s="13">
        <v>45851</v>
      </c>
      <c r="U1578" s="1" t="str">
        <f>IF(ESTIMATIVA[[#This Row],[QT_AREA_REAL]]&gt;0,"1- Colhido","2- à Colher")</f>
        <v>1- Colhido</v>
      </c>
      <c r="V1578" s="1" t="str">
        <f>IF(ESTIMATIVA[[#This Row],[QT_AREA_REST1]]&gt;0,"Reestimativa 1",IF(ESTIMATIVA[[#This Row],[QT_AREA_REAL]]=0,"Reestimativa 1","Realizado"))</f>
        <v>Realizado</v>
      </c>
      <c r="W1578" s="1" t="str">
        <f>IF(ESTIMATIVA[[#This Row],[QT_AREA_REST2]]&gt;0,"Reestimativa 2",IF(ESTIMATIVA[[#This Row],[QT_AREA_REAL]]=0,"Reestimativa 2","Realizado"))</f>
        <v>Realizado</v>
      </c>
      <c r="X1578" s="1">
        <f>ESTIMATIVA[[#This Row],[QT_AREA_EST]]</f>
        <v>8.39</v>
      </c>
      <c r="Y1578" s="1">
        <f>IF(ESTIMATIVA[[#This Row],[QT_AREA_REST1]]&gt;0,ESTIMATIVA[[#This Row],[QT_AREA_REST1]],
  IF(ESTIMATIVA[[#This Row],[QT_AREA_REAL]]&gt;0,ESTIMATIVA[[#This Row],[QT_AREA_REAL]],ESTIMATIVA[[#This Row],[QT_AREA_EST]]))</f>
        <v>8.39</v>
      </c>
      <c r="Z157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8.39</v>
      </c>
      <c r="AA1578" s="1">
        <f>ESTIMATIVA[[#This Row],[QT_CANA_EST]]</f>
        <v>939.68</v>
      </c>
      <c r="AB1578" s="1">
        <f>IF(ESTIMATIVA[[#This Row],[QT_CANA_REST1]]&gt;0,ESTIMATIVA[[#This Row],[QT_CANA_REST1]],
  IF(ESTIMATIVA[[#This Row],[QT_CANA_REAL]]&gt;0,ESTIMATIVA[[#This Row],[QT_CANA_REAL]],ESTIMATIVA[[#This Row],[QT_CANA_EST]]))</f>
        <v>1208.1400000000001</v>
      </c>
      <c r="AC157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1208.1400000000001</v>
      </c>
      <c r="AD1578" s="1">
        <f>IF(ESTIMATIVA[[#This Row],[QT_AREA_REAL]]&gt;0,ESTIMATIVA[[#This Row],[QT_CANA_REAL]],ESTIMATIVA[[#This Row],[QT_CANA_EST]])</f>
        <v>1208.1400000000001</v>
      </c>
      <c r="AE1578" s="1">
        <f>IF(ESTIMATIVA[[#This Row],[QT_AREA_REAL]]&gt;0,ESTIMATIVA[[#This Row],[QT_CANA_REAL]],ESTIMATIVA[[#This Row],[QT_CANA_REST1]])</f>
        <v>1208.1400000000001</v>
      </c>
      <c r="AF1578" s="1">
        <f>IF(ESTIMATIVA[[#This Row],[QT_AREA_REAL]]&gt;0,ESTIMATIVA[[#This Row],[QT_CANA_REAL]],ESTIMATIVA[[#This Row],[QT_CANA_REST2]])</f>
        <v>1208.1400000000001</v>
      </c>
      <c r="AG1578" s="1" t="str">
        <f>IF(COUNTIFS(GEADA!A:A,VALUE(ESTIMATIVA[[#This Row],[CD_UPNIVEL1]]&amp;TEXT(ESTIMATIVA[[#This Row],[CD_UPNIVEL3]],"0000")))&gt;0,"S","N")</f>
        <v>N</v>
      </c>
      <c r="AH157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78" s="55" t="str">
        <f>IF(ESTIMATIVA[[#This Row],[TP_CULTIVO]]="Irrigado",_xlfn.MAXIFS(IRRIGADO!J:J,IRRIGADO!C:C,ESTIMATIVA[[#This Row],[CD_UPNIVEL1]],IRRIGADO!E:E,ESTIMATIVA[[#This Row],[CD_UPNIVEL3]]),"")</f>
        <v/>
      </c>
      <c r="AJ157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78" s="1">
        <f>COUNTIFS(Apresentação!$E$23:$E$29,ESTIMATIVA[[#This Row],[CD_UPNIVEL1]])</f>
        <v>0</v>
      </c>
    </row>
    <row r="1579" spans="1:37" x14ac:dyDescent="0.3">
      <c r="A1579">
        <v>20579</v>
      </c>
      <c r="B1579" t="s">
        <v>22</v>
      </c>
      <c r="C1579">
        <v>4</v>
      </c>
      <c r="D1579">
        <v>1</v>
      </c>
      <c r="E1579" t="s">
        <v>267</v>
      </c>
      <c r="F1579" s="85" t="s">
        <v>332</v>
      </c>
      <c r="G1579"/>
      <c r="H1579" t="s">
        <v>295</v>
      </c>
      <c r="I1579" t="s">
        <v>208</v>
      </c>
      <c r="J1579" t="s">
        <v>175</v>
      </c>
      <c r="K1579" s="1">
        <v>13.26</v>
      </c>
      <c r="L1579" s="1">
        <v>0</v>
      </c>
      <c r="M1579" s="1">
        <v>0</v>
      </c>
      <c r="N1579" s="1">
        <v>13.26</v>
      </c>
      <c r="O1579" s="1">
        <v>1485.12</v>
      </c>
      <c r="P1579" s="1">
        <v>0</v>
      </c>
      <c r="Q1579" s="1">
        <v>0</v>
      </c>
      <c r="R1579" s="1">
        <v>1480.92</v>
      </c>
      <c r="S1579" t="s">
        <v>12</v>
      </c>
      <c r="T1579" s="13">
        <v>45851</v>
      </c>
      <c r="U1579" s="1" t="str">
        <f>IF(ESTIMATIVA[[#This Row],[QT_AREA_REAL]]&gt;0,"1- Colhido","2- à Colher")</f>
        <v>1- Colhido</v>
      </c>
      <c r="V1579" s="1" t="str">
        <f>IF(ESTIMATIVA[[#This Row],[QT_AREA_REST1]]&gt;0,"Reestimativa 1",IF(ESTIMATIVA[[#This Row],[QT_AREA_REAL]]=0,"Reestimativa 1","Realizado"))</f>
        <v>Realizado</v>
      </c>
      <c r="W1579" s="1" t="str">
        <f>IF(ESTIMATIVA[[#This Row],[QT_AREA_REST2]]&gt;0,"Reestimativa 2",IF(ESTIMATIVA[[#This Row],[QT_AREA_REAL]]=0,"Reestimativa 2","Realizado"))</f>
        <v>Realizado</v>
      </c>
      <c r="X1579" s="1">
        <f>ESTIMATIVA[[#This Row],[QT_AREA_EST]]</f>
        <v>13.26</v>
      </c>
      <c r="Y1579" s="1">
        <f>IF(ESTIMATIVA[[#This Row],[QT_AREA_REST1]]&gt;0,ESTIMATIVA[[#This Row],[QT_AREA_REST1]],
  IF(ESTIMATIVA[[#This Row],[QT_AREA_REAL]]&gt;0,ESTIMATIVA[[#This Row],[QT_AREA_REAL]],ESTIMATIVA[[#This Row],[QT_AREA_EST]]))</f>
        <v>13.26</v>
      </c>
      <c r="Z157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13.26</v>
      </c>
      <c r="AA1579" s="1">
        <f>ESTIMATIVA[[#This Row],[QT_CANA_EST]]</f>
        <v>1485.12</v>
      </c>
      <c r="AB1579" s="1">
        <f>IF(ESTIMATIVA[[#This Row],[QT_CANA_REST1]]&gt;0,ESTIMATIVA[[#This Row],[QT_CANA_REST1]],
  IF(ESTIMATIVA[[#This Row],[QT_CANA_REAL]]&gt;0,ESTIMATIVA[[#This Row],[QT_CANA_REAL]],ESTIMATIVA[[#This Row],[QT_CANA_EST]]))</f>
        <v>1480.92</v>
      </c>
      <c r="AC157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1480.92</v>
      </c>
      <c r="AD1579" s="1">
        <f>IF(ESTIMATIVA[[#This Row],[QT_AREA_REAL]]&gt;0,ESTIMATIVA[[#This Row],[QT_CANA_REAL]],ESTIMATIVA[[#This Row],[QT_CANA_EST]])</f>
        <v>1480.92</v>
      </c>
      <c r="AE1579" s="1">
        <f>IF(ESTIMATIVA[[#This Row],[QT_AREA_REAL]]&gt;0,ESTIMATIVA[[#This Row],[QT_CANA_REAL]],ESTIMATIVA[[#This Row],[QT_CANA_REST1]])</f>
        <v>1480.92</v>
      </c>
      <c r="AF1579" s="1">
        <f>IF(ESTIMATIVA[[#This Row],[QT_AREA_REAL]]&gt;0,ESTIMATIVA[[#This Row],[QT_CANA_REAL]],ESTIMATIVA[[#This Row],[QT_CANA_REST2]])</f>
        <v>1480.92</v>
      </c>
      <c r="AG1579" s="1" t="str">
        <f>IF(COUNTIFS(GEADA!A:A,VALUE(ESTIMATIVA[[#This Row],[CD_UPNIVEL1]]&amp;TEXT(ESTIMATIVA[[#This Row],[CD_UPNIVEL3]],"0000")))&gt;0,"S","N")</f>
        <v>N</v>
      </c>
      <c r="AH157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79" s="55" t="str">
        <f>IF(ESTIMATIVA[[#This Row],[TP_CULTIVO]]="Irrigado",_xlfn.MAXIFS(IRRIGADO!J:J,IRRIGADO!C:C,ESTIMATIVA[[#This Row],[CD_UPNIVEL1]],IRRIGADO!E:E,ESTIMATIVA[[#This Row],[CD_UPNIVEL3]]),"")</f>
        <v/>
      </c>
      <c r="AJ157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79" s="1">
        <f>COUNTIFS(Apresentação!$E$23:$E$29,ESTIMATIVA[[#This Row],[CD_UPNIVEL1]])</f>
        <v>0</v>
      </c>
    </row>
    <row r="1580" spans="1:37" x14ac:dyDescent="0.3">
      <c r="A1580">
        <v>20579</v>
      </c>
      <c r="B1580" t="s">
        <v>22</v>
      </c>
      <c r="C1580">
        <v>5</v>
      </c>
      <c r="D1580">
        <v>1</v>
      </c>
      <c r="E1580" t="s">
        <v>267</v>
      </c>
      <c r="F1580" s="85" t="s">
        <v>330</v>
      </c>
      <c r="G1580"/>
      <c r="H1580" t="s">
        <v>295</v>
      </c>
      <c r="I1580" t="s">
        <v>208</v>
      </c>
      <c r="J1580" t="s">
        <v>175</v>
      </c>
      <c r="K1580" s="1">
        <v>27</v>
      </c>
      <c r="L1580" s="1">
        <v>27</v>
      </c>
      <c r="M1580" s="1">
        <v>0</v>
      </c>
      <c r="N1580" s="1">
        <v>27</v>
      </c>
      <c r="O1580" s="1">
        <v>3024</v>
      </c>
      <c r="P1580" s="1">
        <v>3078</v>
      </c>
      <c r="Q1580" s="1">
        <v>0</v>
      </c>
      <c r="R1580" s="1">
        <v>2510.7800000000002</v>
      </c>
      <c r="S1580" t="s">
        <v>12</v>
      </c>
      <c r="T1580" s="13">
        <v>45858</v>
      </c>
      <c r="U1580" s="1" t="str">
        <f>IF(ESTIMATIVA[[#This Row],[QT_AREA_REAL]]&gt;0,"1- Colhido","2- à Colher")</f>
        <v>1- Colhido</v>
      </c>
      <c r="V1580" s="1" t="str">
        <f>IF(ESTIMATIVA[[#This Row],[QT_AREA_REST1]]&gt;0,"Reestimativa 1",IF(ESTIMATIVA[[#This Row],[QT_AREA_REAL]]=0,"Reestimativa 1","Realizado"))</f>
        <v>Reestimativa 1</v>
      </c>
      <c r="W1580" s="1" t="str">
        <f>IF(ESTIMATIVA[[#This Row],[QT_AREA_REST2]]&gt;0,"Reestimativa 2",IF(ESTIMATIVA[[#This Row],[QT_AREA_REAL]]=0,"Reestimativa 2","Realizado"))</f>
        <v>Realizado</v>
      </c>
      <c r="X1580" s="1">
        <f>ESTIMATIVA[[#This Row],[QT_AREA_EST]]</f>
        <v>27</v>
      </c>
      <c r="Y1580" s="1">
        <f>IF(ESTIMATIVA[[#This Row],[QT_AREA_REST1]]&gt;0,ESTIMATIVA[[#This Row],[QT_AREA_REST1]],
  IF(ESTIMATIVA[[#This Row],[QT_AREA_REAL]]&gt;0,ESTIMATIVA[[#This Row],[QT_AREA_REAL]],ESTIMATIVA[[#This Row],[QT_AREA_EST]]))</f>
        <v>27</v>
      </c>
      <c r="Z158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</v>
      </c>
      <c r="AA1580" s="1">
        <f>ESTIMATIVA[[#This Row],[QT_CANA_EST]]</f>
        <v>3024</v>
      </c>
      <c r="AB1580" s="1">
        <f>IF(ESTIMATIVA[[#This Row],[QT_CANA_REST1]]&gt;0,ESTIMATIVA[[#This Row],[QT_CANA_REST1]],
  IF(ESTIMATIVA[[#This Row],[QT_CANA_REAL]]&gt;0,ESTIMATIVA[[#This Row],[QT_CANA_REAL]],ESTIMATIVA[[#This Row],[QT_CANA_EST]]))</f>
        <v>3078</v>
      </c>
      <c r="AC158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2510.7800000000002</v>
      </c>
      <c r="AD1580" s="1">
        <f>IF(ESTIMATIVA[[#This Row],[QT_AREA_REAL]]&gt;0,ESTIMATIVA[[#This Row],[QT_CANA_REAL]],ESTIMATIVA[[#This Row],[QT_CANA_EST]])</f>
        <v>2510.7800000000002</v>
      </c>
      <c r="AE1580" s="1">
        <f>IF(ESTIMATIVA[[#This Row],[QT_AREA_REAL]]&gt;0,ESTIMATIVA[[#This Row],[QT_CANA_REAL]],ESTIMATIVA[[#This Row],[QT_CANA_REST1]])</f>
        <v>2510.7800000000002</v>
      </c>
      <c r="AF1580" s="1">
        <f>IF(ESTIMATIVA[[#This Row],[QT_AREA_REAL]]&gt;0,ESTIMATIVA[[#This Row],[QT_CANA_REAL]],ESTIMATIVA[[#This Row],[QT_CANA_REST2]])</f>
        <v>2510.7800000000002</v>
      </c>
      <c r="AG1580" s="1" t="str">
        <f>IF(COUNTIFS(GEADA!A:A,VALUE(ESTIMATIVA[[#This Row],[CD_UPNIVEL1]]&amp;TEXT(ESTIMATIVA[[#This Row],[CD_UPNIVEL3]],"0000")))&gt;0,"S","N")</f>
        <v>N</v>
      </c>
      <c r="AH158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80" s="55" t="str">
        <f>IF(ESTIMATIVA[[#This Row],[TP_CULTIVO]]="Irrigado",_xlfn.MAXIFS(IRRIGADO!J:J,IRRIGADO!C:C,ESTIMATIVA[[#This Row],[CD_UPNIVEL1]],IRRIGADO!E:E,ESTIMATIVA[[#This Row],[CD_UPNIVEL3]]),"")</f>
        <v/>
      </c>
      <c r="AJ158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80" s="1">
        <f>COUNTIFS(Apresentação!$E$23:$E$29,ESTIMATIVA[[#This Row],[CD_UPNIVEL1]])</f>
        <v>0</v>
      </c>
    </row>
    <row r="1581" spans="1:37" x14ac:dyDescent="0.3">
      <c r="A1581">
        <v>20579</v>
      </c>
      <c r="B1581" t="s">
        <v>22</v>
      </c>
      <c r="C1581">
        <v>6</v>
      </c>
      <c r="D1581">
        <v>1</v>
      </c>
      <c r="E1581" t="s">
        <v>267</v>
      </c>
      <c r="F1581" s="85" t="s">
        <v>332</v>
      </c>
      <c r="G1581"/>
      <c r="H1581" t="s">
        <v>295</v>
      </c>
      <c r="I1581" t="s">
        <v>208</v>
      </c>
      <c r="J1581" t="s">
        <v>175</v>
      </c>
      <c r="K1581" s="1">
        <v>15.16</v>
      </c>
      <c r="L1581" s="1">
        <v>0</v>
      </c>
      <c r="M1581" s="1">
        <v>0</v>
      </c>
      <c r="N1581" s="1">
        <v>15.16</v>
      </c>
      <c r="O1581" s="1">
        <v>1697.92</v>
      </c>
      <c r="P1581" s="1">
        <v>0</v>
      </c>
      <c r="Q1581" s="1">
        <v>0</v>
      </c>
      <c r="R1581" s="1">
        <v>1693.44</v>
      </c>
      <c r="S1581" t="s">
        <v>12</v>
      </c>
      <c r="T1581" s="13">
        <v>45851</v>
      </c>
      <c r="U1581" s="1" t="str">
        <f>IF(ESTIMATIVA[[#This Row],[QT_AREA_REAL]]&gt;0,"1- Colhido","2- à Colher")</f>
        <v>1- Colhido</v>
      </c>
      <c r="V1581" s="1" t="str">
        <f>IF(ESTIMATIVA[[#This Row],[QT_AREA_REST1]]&gt;0,"Reestimativa 1",IF(ESTIMATIVA[[#This Row],[QT_AREA_REAL]]=0,"Reestimativa 1","Realizado"))</f>
        <v>Realizado</v>
      </c>
      <c r="W1581" s="1" t="str">
        <f>IF(ESTIMATIVA[[#This Row],[QT_AREA_REST2]]&gt;0,"Reestimativa 2",IF(ESTIMATIVA[[#This Row],[QT_AREA_REAL]]=0,"Reestimativa 2","Realizado"))</f>
        <v>Realizado</v>
      </c>
      <c r="X1581" s="1">
        <f>ESTIMATIVA[[#This Row],[QT_AREA_EST]]</f>
        <v>15.16</v>
      </c>
      <c r="Y1581" s="1">
        <f>IF(ESTIMATIVA[[#This Row],[QT_AREA_REST1]]&gt;0,ESTIMATIVA[[#This Row],[QT_AREA_REST1]],
  IF(ESTIMATIVA[[#This Row],[QT_AREA_REAL]]&gt;0,ESTIMATIVA[[#This Row],[QT_AREA_REAL]],ESTIMATIVA[[#This Row],[QT_AREA_EST]]))</f>
        <v>15.16</v>
      </c>
      <c r="Z158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15.16</v>
      </c>
      <c r="AA1581" s="1">
        <f>ESTIMATIVA[[#This Row],[QT_CANA_EST]]</f>
        <v>1697.92</v>
      </c>
      <c r="AB1581" s="1">
        <f>IF(ESTIMATIVA[[#This Row],[QT_CANA_REST1]]&gt;0,ESTIMATIVA[[#This Row],[QT_CANA_REST1]],
  IF(ESTIMATIVA[[#This Row],[QT_CANA_REAL]]&gt;0,ESTIMATIVA[[#This Row],[QT_CANA_REAL]],ESTIMATIVA[[#This Row],[QT_CANA_EST]]))</f>
        <v>1693.44</v>
      </c>
      <c r="AC158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1693.44</v>
      </c>
      <c r="AD1581" s="1">
        <f>IF(ESTIMATIVA[[#This Row],[QT_AREA_REAL]]&gt;0,ESTIMATIVA[[#This Row],[QT_CANA_REAL]],ESTIMATIVA[[#This Row],[QT_CANA_EST]])</f>
        <v>1693.44</v>
      </c>
      <c r="AE1581" s="1">
        <f>IF(ESTIMATIVA[[#This Row],[QT_AREA_REAL]]&gt;0,ESTIMATIVA[[#This Row],[QT_CANA_REAL]],ESTIMATIVA[[#This Row],[QT_CANA_REST1]])</f>
        <v>1693.44</v>
      </c>
      <c r="AF1581" s="1">
        <f>IF(ESTIMATIVA[[#This Row],[QT_AREA_REAL]]&gt;0,ESTIMATIVA[[#This Row],[QT_CANA_REAL]],ESTIMATIVA[[#This Row],[QT_CANA_REST2]])</f>
        <v>1693.44</v>
      </c>
      <c r="AG1581" s="1" t="str">
        <f>IF(COUNTIFS(GEADA!A:A,VALUE(ESTIMATIVA[[#This Row],[CD_UPNIVEL1]]&amp;TEXT(ESTIMATIVA[[#This Row],[CD_UPNIVEL3]],"0000")))&gt;0,"S","N")</f>
        <v>N</v>
      </c>
      <c r="AH158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81" s="55" t="str">
        <f>IF(ESTIMATIVA[[#This Row],[TP_CULTIVO]]="Irrigado",_xlfn.MAXIFS(IRRIGADO!J:J,IRRIGADO!C:C,ESTIMATIVA[[#This Row],[CD_UPNIVEL1]],IRRIGADO!E:E,ESTIMATIVA[[#This Row],[CD_UPNIVEL3]]),"")</f>
        <v/>
      </c>
      <c r="AJ158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81" s="1">
        <f>COUNTIFS(Apresentação!$E$23:$E$29,ESTIMATIVA[[#This Row],[CD_UPNIVEL1]])</f>
        <v>0</v>
      </c>
    </row>
    <row r="1582" spans="1:37" x14ac:dyDescent="0.3">
      <c r="A1582">
        <v>20579</v>
      </c>
      <c r="B1582" t="s">
        <v>22</v>
      </c>
      <c r="C1582">
        <v>7</v>
      </c>
      <c r="D1582">
        <v>1</v>
      </c>
      <c r="E1582" t="s">
        <v>267</v>
      </c>
      <c r="F1582" s="85" t="s">
        <v>332</v>
      </c>
      <c r="G1582"/>
      <c r="H1582" t="s">
        <v>295</v>
      </c>
      <c r="I1582" t="s">
        <v>208</v>
      </c>
      <c r="J1582" t="s">
        <v>175</v>
      </c>
      <c r="K1582" s="1">
        <v>11.56</v>
      </c>
      <c r="L1582" s="1">
        <v>0</v>
      </c>
      <c r="M1582" s="1">
        <v>0</v>
      </c>
      <c r="N1582" s="1">
        <v>11.56</v>
      </c>
      <c r="O1582" s="1">
        <v>1294.72</v>
      </c>
      <c r="P1582" s="1">
        <v>0</v>
      </c>
      <c r="Q1582" s="1">
        <v>0</v>
      </c>
      <c r="R1582" s="1">
        <v>1664.43</v>
      </c>
      <c r="S1582" t="s">
        <v>12</v>
      </c>
      <c r="T1582" s="13">
        <v>45851</v>
      </c>
      <c r="U1582" s="1" t="str">
        <f>IF(ESTIMATIVA[[#This Row],[QT_AREA_REAL]]&gt;0,"1- Colhido","2- à Colher")</f>
        <v>1- Colhido</v>
      </c>
      <c r="V1582" s="1" t="str">
        <f>IF(ESTIMATIVA[[#This Row],[QT_AREA_REST1]]&gt;0,"Reestimativa 1",IF(ESTIMATIVA[[#This Row],[QT_AREA_REAL]]=0,"Reestimativa 1","Realizado"))</f>
        <v>Realizado</v>
      </c>
      <c r="W1582" s="1" t="str">
        <f>IF(ESTIMATIVA[[#This Row],[QT_AREA_REST2]]&gt;0,"Reestimativa 2",IF(ESTIMATIVA[[#This Row],[QT_AREA_REAL]]=0,"Reestimativa 2","Realizado"))</f>
        <v>Realizado</v>
      </c>
      <c r="X1582" s="1">
        <f>ESTIMATIVA[[#This Row],[QT_AREA_EST]]</f>
        <v>11.56</v>
      </c>
      <c r="Y1582" s="1">
        <f>IF(ESTIMATIVA[[#This Row],[QT_AREA_REST1]]&gt;0,ESTIMATIVA[[#This Row],[QT_AREA_REST1]],
  IF(ESTIMATIVA[[#This Row],[QT_AREA_REAL]]&gt;0,ESTIMATIVA[[#This Row],[QT_AREA_REAL]],ESTIMATIVA[[#This Row],[QT_AREA_EST]]))</f>
        <v>11.56</v>
      </c>
      <c r="Z158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11.56</v>
      </c>
      <c r="AA1582" s="1">
        <f>ESTIMATIVA[[#This Row],[QT_CANA_EST]]</f>
        <v>1294.72</v>
      </c>
      <c r="AB1582" s="1">
        <f>IF(ESTIMATIVA[[#This Row],[QT_CANA_REST1]]&gt;0,ESTIMATIVA[[#This Row],[QT_CANA_REST1]],
  IF(ESTIMATIVA[[#This Row],[QT_CANA_REAL]]&gt;0,ESTIMATIVA[[#This Row],[QT_CANA_REAL]],ESTIMATIVA[[#This Row],[QT_CANA_EST]]))</f>
        <v>1664.43</v>
      </c>
      <c r="AC158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1664.43</v>
      </c>
      <c r="AD1582" s="1">
        <f>IF(ESTIMATIVA[[#This Row],[QT_AREA_REAL]]&gt;0,ESTIMATIVA[[#This Row],[QT_CANA_REAL]],ESTIMATIVA[[#This Row],[QT_CANA_EST]])</f>
        <v>1664.43</v>
      </c>
      <c r="AE1582" s="1">
        <f>IF(ESTIMATIVA[[#This Row],[QT_AREA_REAL]]&gt;0,ESTIMATIVA[[#This Row],[QT_CANA_REAL]],ESTIMATIVA[[#This Row],[QT_CANA_REST1]])</f>
        <v>1664.43</v>
      </c>
      <c r="AF1582" s="1">
        <f>IF(ESTIMATIVA[[#This Row],[QT_AREA_REAL]]&gt;0,ESTIMATIVA[[#This Row],[QT_CANA_REAL]],ESTIMATIVA[[#This Row],[QT_CANA_REST2]])</f>
        <v>1664.43</v>
      </c>
      <c r="AG1582" s="1" t="str">
        <f>IF(COUNTIFS(GEADA!A:A,VALUE(ESTIMATIVA[[#This Row],[CD_UPNIVEL1]]&amp;TEXT(ESTIMATIVA[[#This Row],[CD_UPNIVEL3]],"0000")))&gt;0,"S","N")</f>
        <v>N</v>
      </c>
      <c r="AH158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82" s="55" t="str">
        <f>IF(ESTIMATIVA[[#This Row],[TP_CULTIVO]]="Irrigado",_xlfn.MAXIFS(IRRIGADO!J:J,IRRIGADO!C:C,ESTIMATIVA[[#This Row],[CD_UPNIVEL1]],IRRIGADO!E:E,ESTIMATIVA[[#This Row],[CD_UPNIVEL3]]),"")</f>
        <v/>
      </c>
      <c r="AJ158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82" s="1">
        <f>COUNTIFS(Apresentação!$E$23:$E$29,ESTIMATIVA[[#This Row],[CD_UPNIVEL1]])</f>
        <v>0</v>
      </c>
    </row>
    <row r="1583" spans="1:37" x14ac:dyDescent="0.3">
      <c r="A1583">
        <v>20579</v>
      </c>
      <c r="B1583" t="s">
        <v>22</v>
      </c>
      <c r="C1583">
        <v>8</v>
      </c>
      <c r="D1583">
        <v>1</v>
      </c>
      <c r="E1583" t="s">
        <v>267</v>
      </c>
      <c r="F1583" s="85" t="s">
        <v>332</v>
      </c>
      <c r="G1583"/>
      <c r="H1583" t="s">
        <v>295</v>
      </c>
      <c r="I1583" t="s">
        <v>208</v>
      </c>
      <c r="J1583" t="s">
        <v>175</v>
      </c>
      <c r="K1583" s="1">
        <v>12.93</v>
      </c>
      <c r="L1583" s="1">
        <v>0</v>
      </c>
      <c r="M1583" s="1">
        <v>0</v>
      </c>
      <c r="N1583" s="1">
        <v>12.93</v>
      </c>
      <c r="O1583" s="1">
        <v>1448.16</v>
      </c>
      <c r="P1583" s="1">
        <v>0</v>
      </c>
      <c r="Q1583" s="1">
        <v>0</v>
      </c>
      <c r="R1583" s="1">
        <v>1861.32</v>
      </c>
      <c r="S1583" t="s">
        <v>12</v>
      </c>
      <c r="T1583" s="13">
        <v>45851</v>
      </c>
      <c r="U1583" s="1" t="str">
        <f>IF(ESTIMATIVA[[#This Row],[QT_AREA_REAL]]&gt;0,"1- Colhido","2- à Colher")</f>
        <v>1- Colhido</v>
      </c>
      <c r="V1583" s="1" t="str">
        <f>IF(ESTIMATIVA[[#This Row],[QT_AREA_REST1]]&gt;0,"Reestimativa 1",IF(ESTIMATIVA[[#This Row],[QT_AREA_REAL]]=0,"Reestimativa 1","Realizado"))</f>
        <v>Realizado</v>
      </c>
      <c r="W1583" s="1" t="str">
        <f>IF(ESTIMATIVA[[#This Row],[QT_AREA_REST2]]&gt;0,"Reestimativa 2",IF(ESTIMATIVA[[#This Row],[QT_AREA_REAL]]=0,"Reestimativa 2","Realizado"))</f>
        <v>Realizado</v>
      </c>
      <c r="X1583" s="1">
        <f>ESTIMATIVA[[#This Row],[QT_AREA_EST]]</f>
        <v>12.93</v>
      </c>
      <c r="Y1583" s="1">
        <f>IF(ESTIMATIVA[[#This Row],[QT_AREA_REST1]]&gt;0,ESTIMATIVA[[#This Row],[QT_AREA_REST1]],
  IF(ESTIMATIVA[[#This Row],[QT_AREA_REAL]]&gt;0,ESTIMATIVA[[#This Row],[QT_AREA_REAL]],ESTIMATIVA[[#This Row],[QT_AREA_EST]]))</f>
        <v>12.93</v>
      </c>
      <c r="Z158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12.93</v>
      </c>
      <c r="AA1583" s="1">
        <f>ESTIMATIVA[[#This Row],[QT_CANA_EST]]</f>
        <v>1448.16</v>
      </c>
      <c r="AB1583" s="1">
        <f>IF(ESTIMATIVA[[#This Row],[QT_CANA_REST1]]&gt;0,ESTIMATIVA[[#This Row],[QT_CANA_REST1]],
  IF(ESTIMATIVA[[#This Row],[QT_CANA_REAL]]&gt;0,ESTIMATIVA[[#This Row],[QT_CANA_REAL]],ESTIMATIVA[[#This Row],[QT_CANA_EST]]))</f>
        <v>1861.32</v>
      </c>
      <c r="AC158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1861.32</v>
      </c>
      <c r="AD1583" s="1">
        <f>IF(ESTIMATIVA[[#This Row],[QT_AREA_REAL]]&gt;0,ESTIMATIVA[[#This Row],[QT_CANA_REAL]],ESTIMATIVA[[#This Row],[QT_CANA_EST]])</f>
        <v>1861.32</v>
      </c>
      <c r="AE1583" s="1">
        <f>IF(ESTIMATIVA[[#This Row],[QT_AREA_REAL]]&gt;0,ESTIMATIVA[[#This Row],[QT_CANA_REAL]],ESTIMATIVA[[#This Row],[QT_CANA_REST1]])</f>
        <v>1861.32</v>
      </c>
      <c r="AF1583" s="1">
        <f>IF(ESTIMATIVA[[#This Row],[QT_AREA_REAL]]&gt;0,ESTIMATIVA[[#This Row],[QT_CANA_REAL]],ESTIMATIVA[[#This Row],[QT_CANA_REST2]])</f>
        <v>1861.32</v>
      </c>
      <c r="AG1583" s="1" t="str">
        <f>IF(COUNTIFS(GEADA!A:A,VALUE(ESTIMATIVA[[#This Row],[CD_UPNIVEL1]]&amp;TEXT(ESTIMATIVA[[#This Row],[CD_UPNIVEL3]],"0000")))&gt;0,"S","N")</f>
        <v>N</v>
      </c>
      <c r="AH158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83" s="55" t="str">
        <f>IF(ESTIMATIVA[[#This Row],[TP_CULTIVO]]="Irrigado",_xlfn.MAXIFS(IRRIGADO!J:J,IRRIGADO!C:C,ESTIMATIVA[[#This Row],[CD_UPNIVEL1]],IRRIGADO!E:E,ESTIMATIVA[[#This Row],[CD_UPNIVEL3]]),"")</f>
        <v/>
      </c>
      <c r="AJ158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83" s="1">
        <f>COUNTIFS(Apresentação!$E$23:$E$29,ESTIMATIVA[[#This Row],[CD_UPNIVEL1]])</f>
        <v>0</v>
      </c>
    </row>
    <row r="1584" spans="1:37" x14ac:dyDescent="0.3">
      <c r="A1584">
        <v>20579</v>
      </c>
      <c r="B1584" t="s">
        <v>22</v>
      </c>
      <c r="C1584">
        <v>9</v>
      </c>
      <c r="D1584">
        <v>1</v>
      </c>
      <c r="E1584" t="s">
        <v>267</v>
      </c>
      <c r="F1584" s="85" t="s">
        <v>332</v>
      </c>
      <c r="G1584"/>
      <c r="H1584" t="s">
        <v>295</v>
      </c>
      <c r="I1584" t="s">
        <v>226</v>
      </c>
      <c r="J1584" t="s">
        <v>175</v>
      </c>
      <c r="K1584" s="1">
        <v>13.47</v>
      </c>
      <c r="L1584" s="1">
        <v>0</v>
      </c>
      <c r="M1584" s="1">
        <v>0</v>
      </c>
      <c r="N1584" s="1">
        <v>13.47</v>
      </c>
      <c r="O1584" s="1">
        <v>1060.6400000000001</v>
      </c>
      <c r="P1584" s="1">
        <v>0</v>
      </c>
      <c r="Q1584" s="1">
        <v>0</v>
      </c>
      <c r="R1584" s="1">
        <v>1326.58</v>
      </c>
      <c r="S1584" t="s">
        <v>12</v>
      </c>
      <c r="T1584" s="13">
        <v>45858</v>
      </c>
      <c r="U1584" s="1" t="str">
        <f>IF(ESTIMATIVA[[#This Row],[QT_AREA_REAL]]&gt;0,"1- Colhido","2- à Colher")</f>
        <v>1- Colhido</v>
      </c>
      <c r="V1584" s="1" t="str">
        <f>IF(ESTIMATIVA[[#This Row],[QT_AREA_REST1]]&gt;0,"Reestimativa 1",IF(ESTIMATIVA[[#This Row],[QT_AREA_REAL]]=0,"Reestimativa 1","Realizado"))</f>
        <v>Realizado</v>
      </c>
      <c r="W1584" s="1" t="str">
        <f>IF(ESTIMATIVA[[#This Row],[QT_AREA_REST2]]&gt;0,"Reestimativa 2",IF(ESTIMATIVA[[#This Row],[QT_AREA_REAL]]=0,"Reestimativa 2","Realizado"))</f>
        <v>Realizado</v>
      </c>
      <c r="X1584" s="1">
        <f>ESTIMATIVA[[#This Row],[QT_AREA_EST]]</f>
        <v>13.47</v>
      </c>
      <c r="Y1584" s="1">
        <f>IF(ESTIMATIVA[[#This Row],[QT_AREA_REST1]]&gt;0,ESTIMATIVA[[#This Row],[QT_AREA_REST1]],
  IF(ESTIMATIVA[[#This Row],[QT_AREA_REAL]]&gt;0,ESTIMATIVA[[#This Row],[QT_AREA_REAL]],ESTIMATIVA[[#This Row],[QT_AREA_EST]]))</f>
        <v>13.47</v>
      </c>
      <c r="Z158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13.47</v>
      </c>
      <c r="AA1584" s="1">
        <f>ESTIMATIVA[[#This Row],[QT_CANA_EST]]</f>
        <v>1060.6400000000001</v>
      </c>
      <c r="AB1584" s="1">
        <f>IF(ESTIMATIVA[[#This Row],[QT_CANA_REST1]]&gt;0,ESTIMATIVA[[#This Row],[QT_CANA_REST1]],
  IF(ESTIMATIVA[[#This Row],[QT_CANA_REAL]]&gt;0,ESTIMATIVA[[#This Row],[QT_CANA_REAL]],ESTIMATIVA[[#This Row],[QT_CANA_EST]]))</f>
        <v>1326.58</v>
      </c>
      <c r="AC158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1326.58</v>
      </c>
      <c r="AD1584" s="1">
        <f>IF(ESTIMATIVA[[#This Row],[QT_AREA_REAL]]&gt;0,ESTIMATIVA[[#This Row],[QT_CANA_REAL]],ESTIMATIVA[[#This Row],[QT_CANA_EST]])</f>
        <v>1326.58</v>
      </c>
      <c r="AE1584" s="1">
        <f>IF(ESTIMATIVA[[#This Row],[QT_AREA_REAL]]&gt;0,ESTIMATIVA[[#This Row],[QT_CANA_REAL]],ESTIMATIVA[[#This Row],[QT_CANA_REST1]])</f>
        <v>1326.58</v>
      </c>
      <c r="AF1584" s="1">
        <f>IF(ESTIMATIVA[[#This Row],[QT_AREA_REAL]]&gt;0,ESTIMATIVA[[#This Row],[QT_CANA_REAL]],ESTIMATIVA[[#This Row],[QT_CANA_REST2]])</f>
        <v>1326.58</v>
      </c>
      <c r="AG1584" s="1" t="str">
        <f>IF(COUNTIFS(GEADA!A:A,VALUE(ESTIMATIVA[[#This Row],[CD_UPNIVEL1]]&amp;TEXT(ESTIMATIVA[[#This Row],[CD_UPNIVEL3]],"0000")))&gt;0,"S","N")</f>
        <v>N</v>
      </c>
      <c r="AH158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84" s="55" t="str">
        <f>IF(ESTIMATIVA[[#This Row],[TP_CULTIVO]]="Irrigado",_xlfn.MAXIFS(IRRIGADO!J:J,IRRIGADO!C:C,ESTIMATIVA[[#This Row],[CD_UPNIVEL1]],IRRIGADO!E:E,ESTIMATIVA[[#This Row],[CD_UPNIVEL3]]),"")</f>
        <v/>
      </c>
      <c r="AJ158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84" s="1">
        <f>COUNTIFS(Apresentação!$E$23:$E$29,ESTIMATIVA[[#This Row],[CD_UPNIVEL1]])</f>
        <v>0</v>
      </c>
    </row>
    <row r="1585" spans="1:37" x14ac:dyDescent="0.3">
      <c r="A1585">
        <v>20579</v>
      </c>
      <c r="B1585" t="s">
        <v>22</v>
      </c>
      <c r="C1585">
        <v>10</v>
      </c>
      <c r="D1585">
        <v>1</v>
      </c>
      <c r="E1585" t="s">
        <v>267</v>
      </c>
      <c r="F1585" s="85" t="s">
        <v>331</v>
      </c>
      <c r="G1585"/>
      <c r="H1585" t="s">
        <v>295</v>
      </c>
      <c r="I1585" t="s">
        <v>208</v>
      </c>
      <c r="J1585" t="s">
        <v>175</v>
      </c>
      <c r="K1585" s="1">
        <v>19.91</v>
      </c>
      <c r="L1585" s="1">
        <v>0</v>
      </c>
      <c r="M1585" s="1">
        <v>0</v>
      </c>
      <c r="N1585" s="1">
        <v>19.91</v>
      </c>
      <c r="O1585" s="1">
        <v>2150.2800000000002</v>
      </c>
      <c r="P1585" s="1">
        <v>0</v>
      </c>
      <c r="Q1585" s="1">
        <v>0</v>
      </c>
      <c r="R1585" s="1">
        <v>2503.38</v>
      </c>
      <c r="S1585" t="s">
        <v>12</v>
      </c>
      <c r="T1585" s="13">
        <v>45851</v>
      </c>
      <c r="U1585" s="1" t="str">
        <f>IF(ESTIMATIVA[[#This Row],[QT_AREA_REAL]]&gt;0,"1- Colhido","2- à Colher")</f>
        <v>1- Colhido</v>
      </c>
      <c r="V1585" s="1" t="str">
        <f>IF(ESTIMATIVA[[#This Row],[QT_AREA_REST1]]&gt;0,"Reestimativa 1",IF(ESTIMATIVA[[#This Row],[QT_AREA_REAL]]=0,"Reestimativa 1","Realizado"))</f>
        <v>Realizado</v>
      </c>
      <c r="W1585" s="1" t="str">
        <f>IF(ESTIMATIVA[[#This Row],[QT_AREA_REST2]]&gt;0,"Reestimativa 2",IF(ESTIMATIVA[[#This Row],[QT_AREA_REAL]]=0,"Reestimativa 2","Realizado"))</f>
        <v>Realizado</v>
      </c>
      <c r="X1585" s="1">
        <f>ESTIMATIVA[[#This Row],[QT_AREA_EST]]</f>
        <v>19.91</v>
      </c>
      <c r="Y1585" s="1">
        <f>IF(ESTIMATIVA[[#This Row],[QT_AREA_REST1]]&gt;0,ESTIMATIVA[[#This Row],[QT_AREA_REST1]],
  IF(ESTIMATIVA[[#This Row],[QT_AREA_REAL]]&gt;0,ESTIMATIVA[[#This Row],[QT_AREA_REAL]],ESTIMATIVA[[#This Row],[QT_AREA_EST]]))</f>
        <v>19.91</v>
      </c>
      <c r="Z158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19.91</v>
      </c>
      <c r="AA1585" s="1">
        <f>ESTIMATIVA[[#This Row],[QT_CANA_EST]]</f>
        <v>2150.2800000000002</v>
      </c>
      <c r="AB1585" s="1">
        <f>IF(ESTIMATIVA[[#This Row],[QT_CANA_REST1]]&gt;0,ESTIMATIVA[[#This Row],[QT_CANA_REST1]],
  IF(ESTIMATIVA[[#This Row],[QT_CANA_REAL]]&gt;0,ESTIMATIVA[[#This Row],[QT_CANA_REAL]],ESTIMATIVA[[#This Row],[QT_CANA_EST]]))</f>
        <v>2503.38</v>
      </c>
      <c r="AC158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2503.38</v>
      </c>
      <c r="AD1585" s="1">
        <f>IF(ESTIMATIVA[[#This Row],[QT_AREA_REAL]]&gt;0,ESTIMATIVA[[#This Row],[QT_CANA_REAL]],ESTIMATIVA[[#This Row],[QT_CANA_EST]])</f>
        <v>2503.38</v>
      </c>
      <c r="AE1585" s="1">
        <f>IF(ESTIMATIVA[[#This Row],[QT_AREA_REAL]]&gt;0,ESTIMATIVA[[#This Row],[QT_CANA_REAL]],ESTIMATIVA[[#This Row],[QT_CANA_REST1]])</f>
        <v>2503.38</v>
      </c>
      <c r="AF1585" s="1">
        <f>IF(ESTIMATIVA[[#This Row],[QT_AREA_REAL]]&gt;0,ESTIMATIVA[[#This Row],[QT_CANA_REAL]],ESTIMATIVA[[#This Row],[QT_CANA_REST2]])</f>
        <v>2503.38</v>
      </c>
      <c r="AG1585" s="1" t="str">
        <f>IF(COUNTIFS(GEADA!A:A,VALUE(ESTIMATIVA[[#This Row],[CD_UPNIVEL1]]&amp;TEXT(ESTIMATIVA[[#This Row],[CD_UPNIVEL3]],"0000")))&gt;0,"S","N")</f>
        <v>N</v>
      </c>
      <c r="AH158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85" s="55" t="str">
        <f>IF(ESTIMATIVA[[#This Row],[TP_CULTIVO]]="Irrigado",_xlfn.MAXIFS(IRRIGADO!J:J,IRRIGADO!C:C,ESTIMATIVA[[#This Row],[CD_UPNIVEL1]],IRRIGADO!E:E,ESTIMATIVA[[#This Row],[CD_UPNIVEL3]]),"")</f>
        <v/>
      </c>
      <c r="AJ158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85" s="1">
        <f>COUNTIFS(Apresentação!$E$23:$E$29,ESTIMATIVA[[#This Row],[CD_UPNIVEL1]])</f>
        <v>0</v>
      </c>
    </row>
    <row r="1586" spans="1:37" x14ac:dyDescent="0.3">
      <c r="A1586">
        <v>20579</v>
      </c>
      <c r="B1586" t="s">
        <v>22</v>
      </c>
      <c r="C1586">
        <v>11</v>
      </c>
      <c r="D1586">
        <v>1</v>
      </c>
      <c r="E1586" t="s">
        <v>264</v>
      </c>
      <c r="F1586" s="85" t="s">
        <v>332</v>
      </c>
      <c r="G1586"/>
      <c r="H1586" t="s">
        <v>295</v>
      </c>
      <c r="I1586" t="s">
        <v>208</v>
      </c>
      <c r="J1586" t="s">
        <v>175</v>
      </c>
      <c r="K1586" s="1">
        <v>17.489999999999998</v>
      </c>
      <c r="L1586" s="1">
        <v>0</v>
      </c>
      <c r="M1586" s="1">
        <v>0</v>
      </c>
      <c r="N1586" s="1">
        <v>17.489999999999998</v>
      </c>
      <c r="O1586" s="1">
        <v>2046.33</v>
      </c>
      <c r="P1586" s="1">
        <v>0</v>
      </c>
      <c r="Q1586" s="1">
        <v>0</v>
      </c>
      <c r="R1586" s="1">
        <v>2758.09</v>
      </c>
      <c r="S1586" t="s">
        <v>12</v>
      </c>
      <c r="T1586" s="13">
        <v>45788</v>
      </c>
      <c r="U1586" s="1" t="str">
        <f>IF(ESTIMATIVA[[#This Row],[QT_AREA_REAL]]&gt;0,"1- Colhido","2- à Colher")</f>
        <v>1- Colhido</v>
      </c>
      <c r="V1586" s="1" t="str">
        <f>IF(ESTIMATIVA[[#This Row],[QT_AREA_REST1]]&gt;0,"Reestimativa 1",IF(ESTIMATIVA[[#This Row],[QT_AREA_REAL]]=0,"Reestimativa 1","Realizado"))</f>
        <v>Realizado</v>
      </c>
      <c r="W1586" s="1" t="str">
        <f>IF(ESTIMATIVA[[#This Row],[QT_AREA_REST2]]&gt;0,"Reestimativa 2",IF(ESTIMATIVA[[#This Row],[QT_AREA_REAL]]=0,"Reestimativa 2","Realizado"))</f>
        <v>Realizado</v>
      </c>
      <c r="X1586" s="1">
        <f>ESTIMATIVA[[#This Row],[QT_AREA_EST]]</f>
        <v>17.489999999999998</v>
      </c>
      <c r="Y1586" s="1">
        <f>IF(ESTIMATIVA[[#This Row],[QT_AREA_REST1]]&gt;0,ESTIMATIVA[[#This Row],[QT_AREA_REST1]],
  IF(ESTIMATIVA[[#This Row],[QT_AREA_REAL]]&gt;0,ESTIMATIVA[[#This Row],[QT_AREA_REAL]],ESTIMATIVA[[#This Row],[QT_AREA_EST]]))</f>
        <v>17.489999999999998</v>
      </c>
      <c r="Z158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17.489999999999998</v>
      </c>
      <c r="AA1586" s="1">
        <f>ESTIMATIVA[[#This Row],[QT_CANA_EST]]</f>
        <v>2046.33</v>
      </c>
      <c r="AB1586" s="1">
        <f>IF(ESTIMATIVA[[#This Row],[QT_CANA_REST1]]&gt;0,ESTIMATIVA[[#This Row],[QT_CANA_REST1]],
  IF(ESTIMATIVA[[#This Row],[QT_CANA_REAL]]&gt;0,ESTIMATIVA[[#This Row],[QT_CANA_REAL]],ESTIMATIVA[[#This Row],[QT_CANA_EST]]))</f>
        <v>2758.09</v>
      </c>
      <c r="AC158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2758.09</v>
      </c>
      <c r="AD1586" s="1">
        <f>IF(ESTIMATIVA[[#This Row],[QT_AREA_REAL]]&gt;0,ESTIMATIVA[[#This Row],[QT_CANA_REAL]],ESTIMATIVA[[#This Row],[QT_CANA_EST]])</f>
        <v>2758.09</v>
      </c>
      <c r="AE1586" s="1">
        <f>IF(ESTIMATIVA[[#This Row],[QT_AREA_REAL]]&gt;0,ESTIMATIVA[[#This Row],[QT_CANA_REAL]],ESTIMATIVA[[#This Row],[QT_CANA_REST1]])</f>
        <v>2758.09</v>
      </c>
      <c r="AF1586" s="1">
        <f>IF(ESTIMATIVA[[#This Row],[QT_AREA_REAL]]&gt;0,ESTIMATIVA[[#This Row],[QT_CANA_REAL]],ESTIMATIVA[[#This Row],[QT_CANA_REST2]])</f>
        <v>2758.09</v>
      </c>
      <c r="AG1586" s="1" t="str">
        <f>IF(COUNTIFS(GEADA!A:A,VALUE(ESTIMATIVA[[#This Row],[CD_UPNIVEL1]]&amp;TEXT(ESTIMATIVA[[#This Row],[CD_UPNIVEL3]],"0000")))&gt;0,"S","N")</f>
        <v>N</v>
      </c>
      <c r="AH158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86" s="55" t="str">
        <f>IF(ESTIMATIVA[[#This Row],[TP_CULTIVO]]="Irrigado",_xlfn.MAXIFS(IRRIGADO!J:J,IRRIGADO!C:C,ESTIMATIVA[[#This Row],[CD_UPNIVEL1]],IRRIGADO!E:E,ESTIMATIVA[[#This Row],[CD_UPNIVEL3]]),"")</f>
        <v/>
      </c>
      <c r="AJ158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86" s="1">
        <f>COUNTIFS(Apresentação!$E$23:$E$29,ESTIMATIVA[[#This Row],[CD_UPNIVEL1]])</f>
        <v>0</v>
      </c>
    </row>
    <row r="1587" spans="1:37" x14ac:dyDescent="0.3">
      <c r="A1587">
        <v>20579</v>
      </c>
      <c r="B1587" t="s">
        <v>22</v>
      </c>
      <c r="C1587">
        <v>12</v>
      </c>
      <c r="D1587">
        <v>1</v>
      </c>
      <c r="E1587" t="s">
        <v>264</v>
      </c>
      <c r="F1587" s="85" t="s">
        <v>332</v>
      </c>
      <c r="G1587"/>
      <c r="H1587" t="s">
        <v>295</v>
      </c>
      <c r="I1587" t="s">
        <v>208</v>
      </c>
      <c r="J1587" t="s">
        <v>175</v>
      </c>
      <c r="K1587" s="1">
        <v>13.32</v>
      </c>
      <c r="L1587" s="1">
        <v>0</v>
      </c>
      <c r="M1587" s="1">
        <v>0</v>
      </c>
      <c r="N1587" s="1">
        <v>13.32</v>
      </c>
      <c r="O1587" s="1">
        <v>1558.44</v>
      </c>
      <c r="P1587" s="1">
        <v>0</v>
      </c>
      <c r="Q1587" s="1">
        <v>0</v>
      </c>
      <c r="R1587" s="1">
        <v>2099.2399999999998</v>
      </c>
      <c r="S1587" t="s">
        <v>12</v>
      </c>
      <c r="T1587" s="13">
        <v>45788</v>
      </c>
      <c r="U1587" s="1" t="str">
        <f>IF(ESTIMATIVA[[#This Row],[QT_AREA_REAL]]&gt;0,"1- Colhido","2- à Colher")</f>
        <v>1- Colhido</v>
      </c>
      <c r="V1587" s="1" t="str">
        <f>IF(ESTIMATIVA[[#This Row],[QT_AREA_REST1]]&gt;0,"Reestimativa 1",IF(ESTIMATIVA[[#This Row],[QT_AREA_REAL]]=0,"Reestimativa 1","Realizado"))</f>
        <v>Realizado</v>
      </c>
      <c r="W1587" s="1" t="str">
        <f>IF(ESTIMATIVA[[#This Row],[QT_AREA_REST2]]&gt;0,"Reestimativa 2",IF(ESTIMATIVA[[#This Row],[QT_AREA_REAL]]=0,"Reestimativa 2","Realizado"))</f>
        <v>Realizado</v>
      </c>
      <c r="X1587" s="1">
        <f>ESTIMATIVA[[#This Row],[QT_AREA_EST]]</f>
        <v>13.32</v>
      </c>
      <c r="Y1587" s="1">
        <f>IF(ESTIMATIVA[[#This Row],[QT_AREA_REST1]]&gt;0,ESTIMATIVA[[#This Row],[QT_AREA_REST1]],
  IF(ESTIMATIVA[[#This Row],[QT_AREA_REAL]]&gt;0,ESTIMATIVA[[#This Row],[QT_AREA_REAL]],ESTIMATIVA[[#This Row],[QT_AREA_EST]]))</f>
        <v>13.32</v>
      </c>
      <c r="Z158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13.32</v>
      </c>
      <c r="AA1587" s="1">
        <f>ESTIMATIVA[[#This Row],[QT_CANA_EST]]</f>
        <v>1558.44</v>
      </c>
      <c r="AB1587" s="1">
        <f>IF(ESTIMATIVA[[#This Row],[QT_CANA_REST1]]&gt;0,ESTIMATIVA[[#This Row],[QT_CANA_REST1]],
  IF(ESTIMATIVA[[#This Row],[QT_CANA_REAL]]&gt;0,ESTIMATIVA[[#This Row],[QT_CANA_REAL]],ESTIMATIVA[[#This Row],[QT_CANA_EST]]))</f>
        <v>2099.2399999999998</v>
      </c>
      <c r="AC158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2099.2399999999998</v>
      </c>
      <c r="AD1587" s="1">
        <f>IF(ESTIMATIVA[[#This Row],[QT_AREA_REAL]]&gt;0,ESTIMATIVA[[#This Row],[QT_CANA_REAL]],ESTIMATIVA[[#This Row],[QT_CANA_EST]])</f>
        <v>2099.2399999999998</v>
      </c>
      <c r="AE1587" s="1">
        <f>IF(ESTIMATIVA[[#This Row],[QT_AREA_REAL]]&gt;0,ESTIMATIVA[[#This Row],[QT_CANA_REAL]],ESTIMATIVA[[#This Row],[QT_CANA_REST1]])</f>
        <v>2099.2399999999998</v>
      </c>
      <c r="AF1587" s="1">
        <f>IF(ESTIMATIVA[[#This Row],[QT_AREA_REAL]]&gt;0,ESTIMATIVA[[#This Row],[QT_CANA_REAL]],ESTIMATIVA[[#This Row],[QT_CANA_REST2]])</f>
        <v>2099.2399999999998</v>
      </c>
      <c r="AG1587" s="1" t="str">
        <f>IF(COUNTIFS(GEADA!A:A,VALUE(ESTIMATIVA[[#This Row],[CD_UPNIVEL1]]&amp;TEXT(ESTIMATIVA[[#This Row],[CD_UPNIVEL3]],"0000")))&gt;0,"S","N")</f>
        <v>N</v>
      </c>
      <c r="AH158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87" s="55" t="str">
        <f>IF(ESTIMATIVA[[#This Row],[TP_CULTIVO]]="Irrigado",_xlfn.MAXIFS(IRRIGADO!J:J,IRRIGADO!C:C,ESTIMATIVA[[#This Row],[CD_UPNIVEL1]],IRRIGADO!E:E,ESTIMATIVA[[#This Row],[CD_UPNIVEL3]]),"")</f>
        <v/>
      </c>
      <c r="AJ158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87" s="1">
        <f>COUNTIFS(Apresentação!$E$23:$E$29,ESTIMATIVA[[#This Row],[CD_UPNIVEL1]])</f>
        <v>0</v>
      </c>
    </row>
    <row r="1588" spans="1:37" x14ac:dyDescent="0.3">
      <c r="A1588">
        <v>20579</v>
      </c>
      <c r="B1588" t="s">
        <v>22</v>
      </c>
      <c r="C1588">
        <v>13</v>
      </c>
      <c r="D1588">
        <v>1</v>
      </c>
      <c r="E1588" t="s">
        <v>267</v>
      </c>
      <c r="F1588" s="85" t="s">
        <v>331</v>
      </c>
      <c r="G1588"/>
      <c r="H1588" t="s">
        <v>295</v>
      </c>
      <c r="I1588" t="s">
        <v>208</v>
      </c>
      <c r="J1588" t="s">
        <v>175</v>
      </c>
      <c r="K1588" s="1">
        <v>3.69</v>
      </c>
      <c r="L1588" s="1">
        <v>0</v>
      </c>
      <c r="M1588" s="1">
        <v>0</v>
      </c>
      <c r="N1588" s="1">
        <v>3.69</v>
      </c>
      <c r="O1588" s="1">
        <v>398.52</v>
      </c>
      <c r="P1588" s="1">
        <v>0</v>
      </c>
      <c r="Q1588" s="1">
        <v>0</v>
      </c>
      <c r="R1588" s="1">
        <v>413.3</v>
      </c>
      <c r="S1588" t="s">
        <v>12</v>
      </c>
      <c r="T1588" s="13">
        <v>45844</v>
      </c>
      <c r="U1588" s="1" t="str">
        <f>IF(ESTIMATIVA[[#This Row],[QT_AREA_REAL]]&gt;0,"1- Colhido","2- à Colher")</f>
        <v>1- Colhido</v>
      </c>
      <c r="V1588" s="1" t="str">
        <f>IF(ESTIMATIVA[[#This Row],[QT_AREA_REST1]]&gt;0,"Reestimativa 1",IF(ESTIMATIVA[[#This Row],[QT_AREA_REAL]]=0,"Reestimativa 1","Realizado"))</f>
        <v>Realizado</v>
      </c>
      <c r="W1588" s="1" t="str">
        <f>IF(ESTIMATIVA[[#This Row],[QT_AREA_REST2]]&gt;0,"Reestimativa 2",IF(ESTIMATIVA[[#This Row],[QT_AREA_REAL]]=0,"Reestimativa 2","Realizado"))</f>
        <v>Realizado</v>
      </c>
      <c r="X1588" s="1">
        <f>ESTIMATIVA[[#This Row],[QT_AREA_EST]]</f>
        <v>3.69</v>
      </c>
      <c r="Y1588" s="1">
        <f>IF(ESTIMATIVA[[#This Row],[QT_AREA_REST1]]&gt;0,ESTIMATIVA[[#This Row],[QT_AREA_REST1]],
  IF(ESTIMATIVA[[#This Row],[QT_AREA_REAL]]&gt;0,ESTIMATIVA[[#This Row],[QT_AREA_REAL]],ESTIMATIVA[[#This Row],[QT_AREA_EST]]))</f>
        <v>3.69</v>
      </c>
      <c r="Z158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3.69</v>
      </c>
      <c r="AA1588" s="1">
        <f>ESTIMATIVA[[#This Row],[QT_CANA_EST]]</f>
        <v>398.52</v>
      </c>
      <c r="AB1588" s="1">
        <f>IF(ESTIMATIVA[[#This Row],[QT_CANA_REST1]]&gt;0,ESTIMATIVA[[#This Row],[QT_CANA_REST1]],
  IF(ESTIMATIVA[[#This Row],[QT_CANA_REAL]]&gt;0,ESTIMATIVA[[#This Row],[QT_CANA_REAL]],ESTIMATIVA[[#This Row],[QT_CANA_EST]]))</f>
        <v>413.3</v>
      </c>
      <c r="AC158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413.3</v>
      </c>
      <c r="AD1588" s="1">
        <f>IF(ESTIMATIVA[[#This Row],[QT_AREA_REAL]]&gt;0,ESTIMATIVA[[#This Row],[QT_CANA_REAL]],ESTIMATIVA[[#This Row],[QT_CANA_EST]])</f>
        <v>413.3</v>
      </c>
      <c r="AE1588" s="1">
        <f>IF(ESTIMATIVA[[#This Row],[QT_AREA_REAL]]&gt;0,ESTIMATIVA[[#This Row],[QT_CANA_REAL]],ESTIMATIVA[[#This Row],[QT_CANA_REST1]])</f>
        <v>413.3</v>
      </c>
      <c r="AF1588" s="1">
        <f>IF(ESTIMATIVA[[#This Row],[QT_AREA_REAL]]&gt;0,ESTIMATIVA[[#This Row],[QT_CANA_REAL]],ESTIMATIVA[[#This Row],[QT_CANA_REST2]])</f>
        <v>413.3</v>
      </c>
      <c r="AG1588" s="1" t="str">
        <f>IF(COUNTIFS(GEADA!A:A,VALUE(ESTIMATIVA[[#This Row],[CD_UPNIVEL1]]&amp;TEXT(ESTIMATIVA[[#This Row],[CD_UPNIVEL3]],"0000")))&gt;0,"S","N")</f>
        <v>N</v>
      </c>
      <c r="AH158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88" s="55" t="str">
        <f>IF(ESTIMATIVA[[#This Row],[TP_CULTIVO]]="Irrigado",_xlfn.MAXIFS(IRRIGADO!J:J,IRRIGADO!C:C,ESTIMATIVA[[#This Row],[CD_UPNIVEL1]],IRRIGADO!E:E,ESTIMATIVA[[#This Row],[CD_UPNIVEL3]]),"")</f>
        <v/>
      </c>
      <c r="AJ158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88" s="1">
        <f>COUNTIFS(Apresentação!$E$23:$E$29,ESTIMATIVA[[#This Row],[CD_UPNIVEL1]])</f>
        <v>0</v>
      </c>
    </row>
    <row r="1589" spans="1:37" x14ac:dyDescent="0.3">
      <c r="A1589">
        <v>20579</v>
      </c>
      <c r="B1589" t="s">
        <v>22</v>
      </c>
      <c r="C1589">
        <v>14</v>
      </c>
      <c r="D1589">
        <v>1</v>
      </c>
      <c r="E1589" t="s">
        <v>264</v>
      </c>
      <c r="F1589" s="85" t="s">
        <v>332</v>
      </c>
      <c r="G1589"/>
      <c r="H1589" t="s">
        <v>295</v>
      </c>
      <c r="I1589" t="s">
        <v>208</v>
      </c>
      <c r="J1589" t="s">
        <v>175</v>
      </c>
      <c r="K1589" s="1">
        <v>17.75</v>
      </c>
      <c r="L1589" s="1">
        <v>0</v>
      </c>
      <c r="M1589" s="1">
        <v>0</v>
      </c>
      <c r="N1589" s="1">
        <v>17.75</v>
      </c>
      <c r="O1589" s="1">
        <v>2076.75</v>
      </c>
      <c r="P1589" s="1">
        <v>0</v>
      </c>
      <c r="Q1589" s="1">
        <v>0</v>
      </c>
      <c r="R1589" s="1">
        <v>2744.38</v>
      </c>
      <c r="S1589" t="s">
        <v>12</v>
      </c>
      <c r="T1589" s="13">
        <v>45844</v>
      </c>
      <c r="U1589" s="1" t="str">
        <f>IF(ESTIMATIVA[[#This Row],[QT_AREA_REAL]]&gt;0,"1- Colhido","2- à Colher")</f>
        <v>1- Colhido</v>
      </c>
      <c r="V1589" s="1" t="str">
        <f>IF(ESTIMATIVA[[#This Row],[QT_AREA_REST1]]&gt;0,"Reestimativa 1",IF(ESTIMATIVA[[#This Row],[QT_AREA_REAL]]=0,"Reestimativa 1","Realizado"))</f>
        <v>Realizado</v>
      </c>
      <c r="W1589" s="1" t="str">
        <f>IF(ESTIMATIVA[[#This Row],[QT_AREA_REST2]]&gt;0,"Reestimativa 2",IF(ESTIMATIVA[[#This Row],[QT_AREA_REAL]]=0,"Reestimativa 2","Realizado"))</f>
        <v>Realizado</v>
      </c>
      <c r="X1589" s="1">
        <f>ESTIMATIVA[[#This Row],[QT_AREA_EST]]</f>
        <v>17.75</v>
      </c>
      <c r="Y1589" s="1">
        <f>IF(ESTIMATIVA[[#This Row],[QT_AREA_REST1]]&gt;0,ESTIMATIVA[[#This Row],[QT_AREA_REST1]],
  IF(ESTIMATIVA[[#This Row],[QT_AREA_REAL]]&gt;0,ESTIMATIVA[[#This Row],[QT_AREA_REAL]],ESTIMATIVA[[#This Row],[QT_AREA_EST]]))</f>
        <v>17.75</v>
      </c>
      <c r="Z158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17.75</v>
      </c>
      <c r="AA1589" s="1">
        <f>ESTIMATIVA[[#This Row],[QT_CANA_EST]]</f>
        <v>2076.75</v>
      </c>
      <c r="AB1589" s="1">
        <f>IF(ESTIMATIVA[[#This Row],[QT_CANA_REST1]]&gt;0,ESTIMATIVA[[#This Row],[QT_CANA_REST1]],
  IF(ESTIMATIVA[[#This Row],[QT_CANA_REAL]]&gt;0,ESTIMATIVA[[#This Row],[QT_CANA_REAL]],ESTIMATIVA[[#This Row],[QT_CANA_EST]]))</f>
        <v>2744.38</v>
      </c>
      <c r="AC158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2744.38</v>
      </c>
      <c r="AD1589" s="1">
        <f>IF(ESTIMATIVA[[#This Row],[QT_AREA_REAL]]&gt;0,ESTIMATIVA[[#This Row],[QT_CANA_REAL]],ESTIMATIVA[[#This Row],[QT_CANA_EST]])</f>
        <v>2744.38</v>
      </c>
      <c r="AE1589" s="1">
        <f>IF(ESTIMATIVA[[#This Row],[QT_AREA_REAL]]&gt;0,ESTIMATIVA[[#This Row],[QT_CANA_REAL]],ESTIMATIVA[[#This Row],[QT_CANA_REST1]])</f>
        <v>2744.38</v>
      </c>
      <c r="AF1589" s="1">
        <f>IF(ESTIMATIVA[[#This Row],[QT_AREA_REAL]]&gt;0,ESTIMATIVA[[#This Row],[QT_CANA_REAL]],ESTIMATIVA[[#This Row],[QT_CANA_REST2]])</f>
        <v>2744.38</v>
      </c>
      <c r="AG1589" s="1" t="str">
        <f>IF(COUNTIFS(GEADA!A:A,VALUE(ESTIMATIVA[[#This Row],[CD_UPNIVEL1]]&amp;TEXT(ESTIMATIVA[[#This Row],[CD_UPNIVEL3]],"0000")))&gt;0,"S","N")</f>
        <v>N</v>
      </c>
      <c r="AH158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89" s="55" t="str">
        <f>IF(ESTIMATIVA[[#This Row],[TP_CULTIVO]]="Irrigado",_xlfn.MAXIFS(IRRIGADO!J:J,IRRIGADO!C:C,ESTIMATIVA[[#This Row],[CD_UPNIVEL1]],IRRIGADO!E:E,ESTIMATIVA[[#This Row],[CD_UPNIVEL3]]),"")</f>
        <v/>
      </c>
      <c r="AJ158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89" s="1">
        <f>COUNTIFS(Apresentação!$E$23:$E$29,ESTIMATIVA[[#This Row],[CD_UPNIVEL1]])</f>
        <v>0</v>
      </c>
    </row>
    <row r="1590" spans="1:37" x14ac:dyDescent="0.3">
      <c r="A1590">
        <v>20579</v>
      </c>
      <c r="B1590" t="s">
        <v>22</v>
      </c>
      <c r="C1590">
        <v>15</v>
      </c>
      <c r="D1590">
        <v>1</v>
      </c>
      <c r="E1590" t="s">
        <v>267</v>
      </c>
      <c r="F1590" s="85" t="s">
        <v>332</v>
      </c>
      <c r="G1590"/>
      <c r="H1590" t="s">
        <v>295</v>
      </c>
      <c r="I1590" t="s">
        <v>208</v>
      </c>
      <c r="J1590" t="s">
        <v>175</v>
      </c>
      <c r="K1590" s="1">
        <v>5.37</v>
      </c>
      <c r="L1590" s="1">
        <v>0</v>
      </c>
      <c r="M1590" s="1">
        <v>0</v>
      </c>
      <c r="N1590" s="1">
        <v>5.37</v>
      </c>
      <c r="O1590" s="1">
        <v>601.44000000000005</v>
      </c>
      <c r="P1590" s="1">
        <v>0</v>
      </c>
      <c r="Q1590" s="1">
        <v>0</v>
      </c>
      <c r="R1590" s="1">
        <v>623.61</v>
      </c>
      <c r="S1590" t="s">
        <v>12</v>
      </c>
      <c r="T1590" s="13">
        <v>45844</v>
      </c>
      <c r="U1590" s="1" t="str">
        <f>IF(ESTIMATIVA[[#This Row],[QT_AREA_REAL]]&gt;0,"1- Colhido","2- à Colher")</f>
        <v>1- Colhido</v>
      </c>
      <c r="V1590" s="1" t="str">
        <f>IF(ESTIMATIVA[[#This Row],[QT_AREA_REST1]]&gt;0,"Reestimativa 1",IF(ESTIMATIVA[[#This Row],[QT_AREA_REAL]]=0,"Reestimativa 1","Realizado"))</f>
        <v>Realizado</v>
      </c>
      <c r="W1590" s="1" t="str">
        <f>IF(ESTIMATIVA[[#This Row],[QT_AREA_REST2]]&gt;0,"Reestimativa 2",IF(ESTIMATIVA[[#This Row],[QT_AREA_REAL]]=0,"Reestimativa 2","Realizado"))</f>
        <v>Realizado</v>
      </c>
      <c r="X1590" s="1">
        <f>ESTIMATIVA[[#This Row],[QT_AREA_EST]]</f>
        <v>5.37</v>
      </c>
      <c r="Y1590" s="1">
        <f>IF(ESTIMATIVA[[#This Row],[QT_AREA_REST1]]&gt;0,ESTIMATIVA[[#This Row],[QT_AREA_REST1]],
  IF(ESTIMATIVA[[#This Row],[QT_AREA_REAL]]&gt;0,ESTIMATIVA[[#This Row],[QT_AREA_REAL]],ESTIMATIVA[[#This Row],[QT_AREA_EST]]))</f>
        <v>5.37</v>
      </c>
      <c r="Z159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5.37</v>
      </c>
      <c r="AA1590" s="1">
        <f>ESTIMATIVA[[#This Row],[QT_CANA_EST]]</f>
        <v>601.44000000000005</v>
      </c>
      <c r="AB1590" s="1">
        <f>IF(ESTIMATIVA[[#This Row],[QT_CANA_REST1]]&gt;0,ESTIMATIVA[[#This Row],[QT_CANA_REST1]],
  IF(ESTIMATIVA[[#This Row],[QT_CANA_REAL]]&gt;0,ESTIMATIVA[[#This Row],[QT_CANA_REAL]],ESTIMATIVA[[#This Row],[QT_CANA_EST]]))</f>
        <v>623.61</v>
      </c>
      <c r="AC159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623.61</v>
      </c>
      <c r="AD1590" s="1">
        <f>IF(ESTIMATIVA[[#This Row],[QT_AREA_REAL]]&gt;0,ESTIMATIVA[[#This Row],[QT_CANA_REAL]],ESTIMATIVA[[#This Row],[QT_CANA_EST]])</f>
        <v>623.61</v>
      </c>
      <c r="AE1590" s="1">
        <f>IF(ESTIMATIVA[[#This Row],[QT_AREA_REAL]]&gt;0,ESTIMATIVA[[#This Row],[QT_CANA_REAL]],ESTIMATIVA[[#This Row],[QT_CANA_REST1]])</f>
        <v>623.61</v>
      </c>
      <c r="AF1590" s="1">
        <f>IF(ESTIMATIVA[[#This Row],[QT_AREA_REAL]]&gt;0,ESTIMATIVA[[#This Row],[QT_CANA_REAL]],ESTIMATIVA[[#This Row],[QT_CANA_REST2]])</f>
        <v>623.61</v>
      </c>
      <c r="AG1590" s="1" t="str">
        <f>IF(COUNTIFS(GEADA!A:A,VALUE(ESTIMATIVA[[#This Row],[CD_UPNIVEL1]]&amp;TEXT(ESTIMATIVA[[#This Row],[CD_UPNIVEL3]],"0000")))&gt;0,"S","N")</f>
        <v>N</v>
      </c>
      <c r="AH159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90" s="55" t="str">
        <f>IF(ESTIMATIVA[[#This Row],[TP_CULTIVO]]="Irrigado",_xlfn.MAXIFS(IRRIGADO!J:J,IRRIGADO!C:C,ESTIMATIVA[[#This Row],[CD_UPNIVEL1]],IRRIGADO!E:E,ESTIMATIVA[[#This Row],[CD_UPNIVEL3]]),"")</f>
        <v/>
      </c>
      <c r="AJ159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90" s="1">
        <f>COUNTIFS(Apresentação!$E$23:$E$29,ESTIMATIVA[[#This Row],[CD_UPNIVEL1]])</f>
        <v>0</v>
      </c>
    </row>
    <row r="1591" spans="1:37" x14ac:dyDescent="0.3">
      <c r="A1591">
        <v>20579</v>
      </c>
      <c r="B1591" t="s">
        <v>22</v>
      </c>
      <c r="C1591">
        <v>16</v>
      </c>
      <c r="D1591">
        <v>1</v>
      </c>
      <c r="E1591" t="s">
        <v>267</v>
      </c>
      <c r="F1591" s="85" t="s">
        <v>331</v>
      </c>
      <c r="G1591"/>
      <c r="H1591" t="s">
        <v>295</v>
      </c>
      <c r="I1591" t="s">
        <v>208</v>
      </c>
      <c r="J1591" t="s">
        <v>175</v>
      </c>
      <c r="K1591" s="1">
        <v>16.66</v>
      </c>
      <c r="L1591" s="1">
        <v>0</v>
      </c>
      <c r="M1591" s="1">
        <v>0</v>
      </c>
      <c r="N1591" s="1">
        <v>16.66</v>
      </c>
      <c r="O1591" s="1">
        <v>1865.92</v>
      </c>
      <c r="P1591" s="1">
        <v>0</v>
      </c>
      <c r="Q1591" s="1">
        <v>0</v>
      </c>
      <c r="R1591" s="1">
        <v>1184.3</v>
      </c>
      <c r="S1591" t="s">
        <v>12</v>
      </c>
      <c r="T1591" s="13">
        <v>45851</v>
      </c>
      <c r="U1591" s="1" t="str">
        <f>IF(ESTIMATIVA[[#This Row],[QT_AREA_REAL]]&gt;0,"1- Colhido","2- à Colher")</f>
        <v>1- Colhido</v>
      </c>
      <c r="V1591" s="1" t="str">
        <f>IF(ESTIMATIVA[[#This Row],[QT_AREA_REST1]]&gt;0,"Reestimativa 1",IF(ESTIMATIVA[[#This Row],[QT_AREA_REAL]]=0,"Reestimativa 1","Realizado"))</f>
        <v>Realizado</v>
      </c>
      <c r="W1591" s="1" t="str">
        <f>IF(ESTIMATIVA[[#This Row],[QT_AREA_REST2]]&gt;0,"Reestimativa 2",IF(ESTIMATIVA[[#This Row],[QT_AREA_REAL]]=0,"Reestimativa 2","Realizado"))</f>
        <v>Realizado</v>
      </c>
      <c r="X1591" s="1">
        <f>ESTIMATIVA[[#This Row],[QT_AREA_EST]]</f>
        <v>16.66</v>
      </c>
      <c r="Y1591" s="1">
        <f>IF(ESTIMATIVA[[#This Row],[QT_AREA_REST1]]&gt;0,ESTIMATIVA[[#This Row],[QT_AREA_REST1]],
  IF(ESTIMATIVA[[#This Row],[QT_AREA_REAL]]&gt;0,ESTIMATIVA[[#This Row],[QT_AREA_REAL]],ESTIMATIVA[[#This Row],[QT_AREA_EST]]))</f>
        <v>16.66</v>
      </c>
      <c r="Z159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16.66</v>
      </c>
      <c r="AA1591" s="1">
        <f>ESTIMATIVA[[#This Row],[QT_CANA_EST]]</f>
        <v>1865.92</v>
      </c>
      <c r="AB1591" s="1">
        <f>IF(ESTIMATIVA[[#This Row],[QT_CANA_REST1]]&gt;0,ESTIMATIVA[[#This Row],[QT_CANA_REST1]],
  IF(ESTIMATIVA[[#This Row],[QT_CANA_REAL]]&gt;0,ESTIMATIVA[[#This Row],[QT_CANA_REAL]],ESTIMATIVA[[#This Row],[QT_CANA_EST]]))</f>
        <v>1184.3</v>
      </c>
      <c r="AC159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1184.3</v>
      </c>
      <c r="AD1591" s="1">
        <f>IF(ESTIMATIVA[[#This Row],[QT_AREA_REAL]]&gt;0,ESTIMATIVA[[#This Row],[QT_CANA_REAL]],ESTIMATIVA[[#This Row],[QT_CANA_EST]])</f>
        <v>1184.3</v>
      </c>
      <c r="AE1591" s="1">
        <f>IF(ESTIMATIVA[[#This Row],[QT_AREA_REAL]]&gt;0,ESTIMATIVA[[#This Row],[QT_CANA_REAL]],ESTIMATIVA[[#This Row],[QT_CANA_REST1]])</f>
        <v>1184.3</v>
      </c>
      <c r="AF1591" s="1">
        <f>IF(ESTIMATIVA[[#This Row],[QT_AREA_REAL]]&gt;0,ESTIMATIVA[[#This Row],[QT_CANA_REAL]],ESTIMATIVA[[#This Row],[QT_CANA_REST2]])</f>
        <v>1184.3</v>
      </c>
      <c r="AG1591" s="1" t="str">
        <f>IF(COUNTIFS(GEADA!A:A,VALUE(ESTIMATIVA[[#This Row],[CD_UPNIVEL1]]&amp;TEXT(ESTIMATIVA[[#This Row],[CD_UPNIVEL3]],"0000")))&gt;0,"S","N")</f>
        <v>N</v>
      </c>
      <c r="AH159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91" s="55" t="str">
        <f>IF(ESTIMATIVA[[#This Row],[TP_CULTIVO]]="Irrigado",_xlfn.MAXIFS(IRRIGADO!J:J,IRRIGADO!C:C,ESTIMATIVA[[#This Row],[CD_UPNIVEL1]],IRRIGADO!E:E,ESTIMATIVA[[#This Row],[CD_UPNIVEL3]]),"")</f>
        <v/>
      </c>
      <c r="AJ159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91" s="1">
        <f>COUNTIFS(Apresentação!$E$23:$E$29,ESTIMATIVA[[#This Row],[CD_UPNIVEL1]])</f>
        <v>0</v>
      </c>
    </row>
    <row r="1592" spans="1:37" x14ac:dyDescent="0.3">
      <c r="A1592">
        <v>20579</v>
      </c>
      <c r="B1592" t="s">
        <v>22</v>
      </c>
      <c r="C1592">
        <v>17</v>
      </c>
      <c r="D1592">
        <v>1</v>
      </c>
      <c r="E1592" t="s">
        <v>267</v>
      </c>
      <c r="F1592" s="85" t="s">
        <v>332</v>
      </c>
      <c r="G1592"/>
      <c r="H1592" t="s">
        <v>295</v>
      </c>
      <c r="I1592" t="s">
        <v>208</v>
      </c>
      <c r="J1592" t="s">
        <v>175</v>
      </c>
      <c r="K1592" s="1">
        <v>19.89</v>
      </c>
      <c r="L1592" s="1">
        <v>0</v>
      </c>
      <c r="M1592" s="1">
        <v>0</v>
      </c>
      <c r="N1592" s="1">
        <v>19.89</v>
      </c>
      <c r="O1592" s="1">
        <v>2227.6799999999998</v>
      </c>
      <c r="P1592" s="1">
        <v>0</v>
      </c>
      <c r="Q1592" s="1">
        <v>0</v>
      </c>
      <c r="R1592" s="1">
        <v>1414.14</v>
      </c>
      <c r="S1592" t="s">
        <v>12</v>
      </c>
      <c r="T1592" s="13">
        <v>45851</v>
      </c>
      <c r="U1592" s="1" t="str">
        <f>IF(ESTIMATIVA[[#This Row],[QT_AREA_REAL]]&gt;0,"1- Colhido","2- à Colher")</f>
        <v>1- Colhido</v>
      </c>
      <c r="V1592" s="1" t="str">
        <f>IF(ESTIMATIVA[[#This Row],[QT_AREA_REST1]]&gt;0,"Reestimativa 1",IF(ESTIMATIVA[[#This Row],[QT_AREA_REAL]]=0,"Reestimativa 1","Realizado"))</f>
        <v>Realizado</v>
      </c>
      <c r="W1592" s="1" t="str">
        <f>IF(ESTIMATIVA[[#This Row],[QT_AREA_REST2]]&gt;0,"Reestimativa 2",IF(ESTIMATIVA[[#This Row],[QT_AREA_REAL]]=0,"Reestimativa 2","Realizado"))</f>
        <v>Realizado</v>
      </c>
      <c r="X1592" s="1">
        <f>ESTIMATIVA[[#This Row],[QT_AREA_EST]]</f>
        <v>19.89</v>
      </c>
      <c r="Y1592" s="1">
        <f>IF(ESTIMATIVA[[#This Row],[QT_AREA_REST1]]&gt;0,ESTIMATIVA[[#This Row],[QT_AREA_REST1]],
  IF(ESTIMATIVA[[#This Row],[QT_AREA_REAL]]&gt;0,ESTIMATIVA[[#This Row],[QT_AREA_REAL]],ESTIMATIVA[[#This Row],[QT_AREA_EST]]))</f>
        <v>19.89</v>
      </c>
      <c r="Z159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19.89</v>
      </c>
      <c r="AA1592" s="1">
        <f>ESTIMATIVA[[#This Row],[QT_CANA_EST]]</f>
        <v>2227.6799999999998</v>
      </c>
      <c r="AB1592" s="1">
        <f>IF(ESTIMATIVA[[#This Row],[QT_CANA_REST1]]&gt;0,ESTIMATIVA[[#This Row],[QT_CANA_REST1]],
  IF(ESTIMATIVA[[#This Row],[QT_CANA_REAL]]&gt;0,ESTIMATIVA[[#This Row],[QT_CANA_REAL]],ESTIMATIVA[[#This Row],[QT_CANA_EST]]))</f>
        <v>1414.14</v>
      </c>
      <c r="AC159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1414.14</v>
      </c>
      <c r="AD1592" s="1">
        <f>IF(ESTIMATIVA[[#This Row],[QT_AREA_REAL]]&gt;0,ESTIMATIVA[[#This Row],[QT_CANA_REAL]],ESTIMATIVA[[#This Row],[QT_CANA_EST]])</f>
        <v>1414.14</v>
      </c>
      <c r="AE1592" s="1">
        <f>IF(ESTIMATIVA[[#This Row],[QT_AREA_REAL]]&gt;0,ESTIMATIVA[[#This Row],[QT_CANA_REAL]],ESTIMATIVA[[#This Row],[QT_CANA_REST1]])</f>
        <v>1414.14</v>
      </c>
      <c r="AF1592" s="1">
        <f>IF(ESTIMATIVA[[#This Row],[QT_AREA_REAL]]&gt;0,ESTIMATIVA[[#This Row],[QT_CANA_REAL]],ESTIMATIVA[[#This Row],[QT_CANA_REST2]])</f>
        <v>1414.14</v>
      </c>
      <c r="AG1592" s="1" t="str">
        <f>IF(COUNTIFS(GEADA!A:A,VALUE(ESTIMATIVA[[#This Row],[CD_UPNIVEL1]]&amp;TEXT(ESTIMATIVA[[#This Row],[CD_UPNIVEL3]],"0000")))&gt;0,"S","N")</f>
        <v>N</v>
      </c>
      <c r="AH159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92" s="55" t="str">
        <f>IF(ESTIMATIVA[[#This Row],[TP_CULTIVO]]="Irrigado",_xlfn.MAXIFS(IRRIGADO!J:J,IRRIGADO!C:C,ESTIMATIVA[[#This Row],[CD_UPNIVEL1]],IRRIGADO!E:E,ESTIMATIVA[[#This Row],[CD_UPNIVEL3]]),"")</f>
        <v/>
      </c>
      <c r="AJ159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92" s="1">
        <f>COUNTIFS(Apresentação!$E$23:$E$29,ESTIMATIVA[[#This Row],[CD_UPNIVEL1]])</f>
        <v>0</v>
      </c>
    </row>
    <row r="1593" spans="1:37" x14ac:dyDescent="0.3">
      <c r="A1593">
        <v>20579</v>
      </c>
      <c r="B1593" t="s">
        <v>22</v>
      </c>
      <c r="C1593">
        <v>18</v>
      </c>
      <c r="D1593">
        <v>1</v>
      </c>
      <c r="E1593" t="s">
        <v>264</v>
      </c>
      <c r="F1593" s="85" t="s">
        <v>332</v>
      </c>
      <c r="G1593"/>
      <c r="H1593" t="s">
        <v>295</v>
      </c>
      <c r="I1593" t="s">
        <v>208</v>
      </c>
      <c r="J1593" t="s">
        <v>175</v>
      </c>
      <c r="K1593" s="1">
        <v>14.17</v>
      </c>
      <c r="L1593" s="1">
        <v>0</v>
      </c>
      <c r="M1593" s="1">
        <v>0</v>
      </c>
      <c r="N1593" s="1">
        <v>14.17</v>
      </c>
      <c r="O1593" s="1">
        <v>1657.89</v>
      </c>
      <c r="P1593" s="1">
        <v>0</v>
      </c>
      <c r="Q1593" s="1">
        <v>0</v>
      </c>
      <c r="R1593" s="1">
        <v>2190.7600000000002</v>
      </c>
      <c r="S1593" t="s">
        <v>12</v>
      </c>
      <c r="T1593" s="13">
        <v>45844</v>
      </c>
      <c r="U1593" s="1" t="str">
        <f>IF(ESTIMATIVA[[#This Row],[QT_AREA_REAL]]&gt;0,"1- Colhido","2- à Colher")</f>
        <v>1- Colhido</v>
      </c>
      <c r="V1593" s="1" t="str">
        <f>IF(ESTIMATIVA[[#This Row],[QT_AREA_REST1]]&gt;0,"Reestimativa 1",IF(ESTIMATIVA[[#This Row],[QT_AREA_REAL]]=0,"Reestimativa 1","Realizado"))</f>
        <v>Realizado</v>
      </c>
      <c r="W1593" s="1" t="str">
        <f>IF(ESTIMATIVA[[#This Row],[QT_AREA_REST2]]&gt;0,"Reestimativa 2",IF(ESTIMATIVA[[#This Row],[QT_AREA_REAL]]=0,"Reestimativa 2","Realizado"))</f>
        <v>Realizado</v>
      </c>
      <c r="X1593" s="1">
        <f>ESTIMATIVA[[#This Row],[QT_AREA_EST]]</f>
        <v>14.17</v>
      </c>
      <c r="Y1593" s="1">
        <f>IF(ESTIMATIVA[[#This Row],[QT_AREA_REST1]]&gt;0,ESTIMATIVA[[#This Row],[QT_AREA_REST1]],
  IF(ESTIMATIVA[[#This Row],[QT_AREA_REAL]]&gt;0,ESTIMATIVA[[#This Row],[QT_AREA_REAL]],ESTIMATIVA[[#This Row],[QT_AREA_EST]]))</f>
        <v>14.17</v>
      </c>
      <c r="Z159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14.17</v>
      </c>
      <c r="AA1593" s="1">
        <f>ESTIMATIVA[[#This Row],[QT_CANA_EST]]</f>
        <v>1657.89</v>
      </c>
      <c r="AB1593" s="1">
        <f>IF(ESTIMATIVA[[#This Row],[QT_CANA_REST1]]&gt;0,ESTIMATIVA[[#This Row],[QT_CANA_REST1]],
  IF(ESTIMATIVA[[#This Row],[QT_CANA_REAL]]&gt;0,ESTIMATIVA[[#This Row],[QT_CANA_REAL]],ESTIMATIVA[[#This Row],[QT_CANA_EST]]))</f>
        <v>2190.7600000000002</v>
      </c>
      <c r="AC159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2190.7600000000002</v>
      </c>
      <c r="AD1593" s="1">
        <f>IF(ESTIMATIVA[[#This Row],[QT_AREA_REAL]]&gt;0,ESTIMATIVA[[#This Row],[QT_CANA_REAL]],ESTIMATIVA[[#This Row],[QT_CANA_EST]])</f>
        <v>2190.7600000000002</v>
      </c>
      <c r="AE1593" s="1">
        <f>IF(ESTIMATIVA[[#This Row],[QT_AREA_REAL]]&gt;0,ESTIMATIVA[[#This Row],[QT_CANA_REAL]],ESTIMATIVA[[#This Row],[QT_CANA_REST1]])</f>
        <v>2190.7600000000002</v>
      </c>
      <c r="AF1593" s="1">
        <f>IF(ESTIMATIVA[[#This Row],[QT_AREA_REAL]]&gt;0,ESTIMATIVA[[#This Row],[QT_CANA_REAL]],ESTIMATIVA[[#This Row],[QT_CANA_REST2]])</f>
        <v>2190.7600000000002</v>
      </c>
      <c r="AG1593" s="1" t="str">
        <f>IF(COUNTIFS(GEADA!A:A,VALUE(ESTIMATIVA[[#This Row],[CD_UPNIVEL1]]&amp;TEXT(ESTIMATIVA[[#This Row],[CD_UPNIVEL3]],"0000")))&gt;0,"S","N")</f>
        <v>N</v>
      </c>
      <c r="AH159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93" s="55" t="str">
        <f>IF(ESTIMATIVA[[#This Row],[TP_CULTIVO]]="Irrigado",_xlfn.MAXIFS(IRRIGADO!J:J,IRRIGADO!C:C,ESTIMATIVA[[#This Row],[CD_UPNIVEL1]],IRRIGADO!E:E,ESTIMATIVA[[#This Row],[CD_UPNIVEL3]]),"")</f>
        <v/>
      </c>
      <c r="AJ159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93" s="1">
        <f>COUNTIFS(Apresentação!$E$23:$E$29,ESTIMATIVA[[#This Row],[CD_UPNIVEL1]])</f>
        <v>0</v>
      </c>
    </row>
    <row r="1594" spans="1:37" x14ac:dyDescent="0.3">
      <c r="A1594">
        <v>20579</v>
      </c>
      <c r="B1594" t="s">
        <v>22</v>
      </c>
      <c r="C1594">
        <v>19</v>
      </c>
      <c r="D1594">
        <v>1</v>
      </c>
      <c r="E1594" t="s">
        <v>264</v>
      </c>
      <c r="F1594" s="85" t="s">
        <v>332</v>
      </c>
      <c r="G1594"/>
      <c r="H1594" t="s">
        <v>295</v>
      </c>
      <c r="I1594" t="s">
        <v>208</v>
      </c>
      <c r="J1594" t="s">
        <v>175</v>
      </c>
      <c r="K1594" s="1">
        <v>40.770000000000003</v>
      </c>
      <c r="L1594" s="1">
        <v>0</v>
      </c>
      <c r="M1594" s="1">
        <v>0</v>
      </c>
      <c r="N1594" s="1">
        <v>40.770000000000003</v>
      </c>
      <c r="O1594" s="1">
        <v>4770.09</v>
      </c>
      <c r="P1594" s="1">
        <v>0</v>
      </c>
      <c r="Q1594" s="1">
        <v>0</v>
      </c>
      <c r="R1594" s="1">
        <v>6301.95</v>
      </c>
      <c r="S1594" t="s">
        <v>12</v>
      </c>
      <c r="T1594" s="13">
        <v>45844</v>
      </c>
      <c r="U1594" s="1" t="str">
        <f>IF(ESTIMATIVA[[#This Row],[QT_AREA_REAL]]&gt;0,"1- Colhido","2- à Colher")</f>
        <v>1- Colhido</v>
      </c>
      <c r="V1594" s="1" t="str">
        <f>IF(ESTIMATIVA[[#This Row],[QT_AREA_REST1]]&gt;0,"Reestimativa 1",IF(ESTIMATIVA[[#This Row],[QT_AREA_REAL]]=0,"Reestimativa 1","Realizado"))</f>
        <v>Realizado</v>
      </c>
      <c r="W1594" s="1" t="str">
        <f>IF(ESTIMATIVA[[#This Row],[QT_AREA_REST2]]&gt;0,"Reestimativa 2",IF(ESTIMATIVA[[#This Row],[QT_AREA_REAL]]=0,"Reestimativa 2","Realizado"))</f>
        <v>Realizado</v>
      </c>
      <c r="X1594" s="1">
        <f>ESTIMATIVA[[#This Row],[QT_AREA_EST]]</f>
        <v>40.770000000000003</v>
      </c>
      <c r="Y1594" s="1">
        <f>IF(ESTIMATIVA[[#This Row],[QT_AREA_REST1]]&gt;0,ESTIMATIVA[[#This Row],[QT_AREA_REST1]],
  IF(ESTIMATIVA[[#This Row],[QT_AREA_REAL]]&gt;0,ESTIMATIVA[[#This Row],[QT_AREA_REAL]],ESTIMATIVA[[#This Row],[QT_AREA_EST]]))</f>
        <v>40.770000000000003</v>
      </c>
      <c r="Z159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40.770000000000003</v>
      </c>
      <c r="AA1594" s="1">
        <f>ESTIMATIVA[[#This Row],[QT_CANA_EST]]</f>
        <v>4770.09</v>
      </c>
      <c r="AB1594" s="1">
        <f>IF(ESTIMATIVA[[#This Row],[QT_CANA_REST1]]&gt;0,ESTIMATIVA[[#This Row],[QT_CANA_REST1]],
  IF(ESTIMATIVA[[#This Row],[QT_CANA_REAL]]&gt;0,ESTIMATIVA[[#This Row],[QT_CANA_REAL]],ESTIMATIVA[[#This Row],[QT_CANA_EST]]))</f>
        <v>6301.95</v>
      </c>
      <c r="AC159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6301.95</v>
      </c>
      <c r="AD1594" s="1">
        <f>IF(ESTIMATIVA[[#This Row],[QT_AREA_REAL]]&gt;0,ESTIMATIVA[[#This Row],[QT_CANA_REAL]],ESTIMATIVA[[#This Row],[QT_CANA_EST]])</f>
        <v>6301.95</v>
      </c>
      <c r="AE1594" s="1">
        <f>IF(ESTIMATIVA[[#This Row],[QT_AREA_REAL]]&gt;0,ESTIMATIVA[[#This Row],[QT_CANA_REAL]],ESTIMATIVA[[#This Row],[QT_CANA_REST1]])</f>
        <v>6301.95</v>
      </c>
      <c r="AF1594" s="1">
        <f>IF(ESTIMATIVA[[#This Row],[QT_AREA_REAL]]&gt;0,ESTIMATIVA[[#This Row],[QT_CANA_REAL]],ESTIMATIVA[[#This Row],[QT_CANA_REST2]])</f>
        <v>6301.95</v>
      </c>
      <c r="AG1594" s="1" t="str">
        <f>IF(COUNTIFS(GEADA!A:A,VALUE(ESTIMATIVA[[#This Row],[CD_UPNIVEL1]]&amp;TEXT(ESTIMATIVA[[#This Row],[CD_UPNIVEL3]],"0000")))&gt;0,"S","N")</f>
        <v>N</v>
      </c>
      <c r="AH159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94" s="55" t="str">
        <f>IF(ESTIMATIVA[[#This Row],[TP_CULTIVO]]="Irrigado",_xlfn.MAXIFS(IRRIGADO!J:J,IRRIGADO!C:C,ESTIMATIVA[[#This Row],[CD_UPNIVEL1]],IRRIGADO!E:E,ESTIMATIVA[[#This Row],[CD_UPNIVEL3]]),"")</f>
        <v/>
      </c>
      <c r="AJ159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94" s="1">
        <f>COUNTIFS(Apresentação!$E$23:$E$29,ESTIMATIVA[[#This Row],[CD_UPNIVEL1]])</f>
        <v>0</v>
      </c>
    </row>
    <row r="1595" spans="1:37" x14ac:dyDescent="0.3">
      <c r="A1595">
        <v>20579</v>
      </c>
      <c r="B1595" t="s">
        <v>22</v>
      </c>
      <c r="C1595">
        <v>20</v>
      </c>
      <c r="D1595">
        <v>1</v>
      </c>
      <c r="E1595" t="s">
        <v>264</v>
      </c>
      <c r="F1595" s="85" t="s">
        <v>332</v>
      </c>
      <c r="G1595"/>
      <c r="H1595" t="s">
        <v>295</v>
      </c>
      <c r="I1595" t="s">
        <v>208</v>
      </c>
      <c r="J1595" t="s">
        <v>175</v>
      </c>
      <c r="K1595" s="1">
        <v>4.07</v>
      </c>
      <c r="L1595" s="1">
        <v>0</v>
      </c>
      <c r="M1595" s="1">
        <v>0</v>
      </c>
      <c r="N1595" s="1">
        <v>4.07</v>
      </c>
      <c r="O1595" s="1">
        <v>476.19</v>
      </c>
      <c r="P1595" s="1">
        <v>0</v>
      </c>
      <c r="Q1595" s="1">
        <v>0</v>
      </c>
      <c r="R1595" s="1">
        <v>628.44000000000005</v>
      </c>
      <c r="S1595" t="s">
        <v>12</v>
      </c>
      <c r="T1595" s="13">
        <v>45844</v>
      </c>
      <c r="U1595" s="1" t="str">
        <f>IF(ESTIMATIVA[[#This Row],[QT_AREA_REAL]]&gt;0,"1- Colhido","2- à Colher")</f>
        <v>1- Colhido</v>
      </c>
      <c r="V1595" s="1" t="str">
        <f>IF(ESTIMATIVA[[#This Row],[QT_AREA_REST1]]&gt;0,"Reestimativa 1",IF(ESTIMATIVA[[#This Row],[QT_AREA_REAL]]=0,"Reestimativa 1","Realizado"))</f>
        <v>Realizado</v>
      </c>
      <c r="W1595" s="1" t="str">
        <f>IF(ESTIMATIVA[[#This Row],[QT_AREA_REST2]]&gt;0,"Reestimativa 2",IF(ESTIMATIVA[[#This Row],[QT_AREA_REAL]]=0,"Reestimativa 2","Realizado"))</f>
        <v>Realizado</v>
      </c>
      <c r="X1595" s="1">
        <f>ESTIMATIVA[[#This Row],[QT_AREA_EST]]</f>
        <v>4.07</v>
      </c>
      <c r="Y1595" s="1">
        <f>IF(ESTIMATIVA[[#This Row],[QT_AREA_REST1]]&gt;0,ESTIMATIVA[[#This Row],[QT_AREA_REST1]],
  IF(ESTIMATIVA[[#This Row],[QT_AREA_REAL]]&gt;0,ESTIMATIVA[[#This Row],[QT_AREA_REAL]],ESTIMATIVA[[#This Row],[QT_AREA_EST]]))</f>
        <v>4.07</v>
      </c>
      <c r="Z159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4.07</v>
      </c>
      <c r="AA1595" s="1">
        <f>ESTIMATIVA[[#This Row],[QT_CANA_EST]]</f>
        <v>476.19</v>
      </c>
      <c r="AB1595" s="1">
        <f>IF(ESTIMATIVA[[#This Row],[QT_CANA_REST1]]&gt;0,ESTIMATIVA[[#This Row],[QT_CANA_REST1]],
  IF(ESTIMATIVA[[#This Row],[QT_CANA_REAL]]&gt;0,ESTIMATIVA[[#This Row],[QT_CANA_REAL]],ESTIMATIVA[[#This Row],[QT_CANA_EST]]))</f>
        <v>628.44000000000005</v>
      </c>
      <c r="AC159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628.44000000000005</v>
      </c>
      <c r="AD1595" s="1">
        <f>IF(ESTIMATIVA[[#This Row],[QT_AREA_REAL]]&gt;0,ESTIMATIVA[[#This Row],[QT_CANA_REAL]],ESTIMATIVA[[#This Row],[QT_CANA_EST]])</f>
        <v>628.44000000000005</v>
      </c>
      <c r="AE1595" s="1">
        <f>IF(ESTIMATIVA[[#This Row],[QT_AREA_REAL]]&gt;0,ESTIMATIVA[[#This Row],[QT_CANA_REAL]],ESTIMATIVA[[#This Row],[QT_CANA_REST1]])</f>
        <v>628.44000000000005</v>
      </c>
      <c r="AF1595" s="1">
        <f>IF(ESTIMATIVA[[#This Row],[QT_AREA_REAL]]&gt;0,ESTIMATIVA[[#This Row],[QT_CANA_REAL]],ESTIMATIVA[[#This Row],[QT_CANA_REST2]])</f>
        <v>628.44000000000005</v>
      </c>
      <c r="AG1595" s="1" t="str">
        <f>IF(COUNTIFS(GEADA!A:A,VALUE(ESTIMATIVA[[#This Row],[CD_UPNIVEL1]]&amp;TEXT(ESTIMATIVA[[#This Row],[CD_UPNIVEL3]],"0000")))&gt;0,"S","N")</f>
        <v>N</v>
      </c>
      <c r="AH159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95" s="55" t="str">
        <f>IF(ESTIMATIVA[[#This Row],[TP_CULTIVO]]="Irrigado",_xlfn.MAXIFS(IRRIGADO!J:J,IRRIGADO!C:C,ESTIMATIVA[[#This Row],[CD_UPNIVEL1]],IRRIGADO!E:E,ESTIMATIVA[[#This Row],[CD_UPNIVEL3]]),"")</f>
        <v/>
      </c>
      <c r="AJ159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95" s="1">
        <f>COUNTIFS(Apresentação!$E$23:$E$29,ESTIMATIVA[[#This Row],[CD_UPNIVEL1]])</f>
        <v>0</v>
      </c>
    </row>
    <row r="1596" spans="1:37" x14ac:dyDescent="0.3">
      <c r="A1596">
        <v>20579</v>
      </c>
      <c r="B1596" t="s">
        <v>22</v>
      </c>
      <c r="C1596">
        <v>21</v>
      </c>
      <c r="D1596">
        <v>1</v>
      </c>
      <c r="E1596" t="s">
        <v>267</v>
      </c>
      <c r="F1596" s="85" t="s">
        <v>332</v>
      </c>
      <c r="G1596"/>
      <c r="H1596" t="s">
        <v>295</v>
      </c>
      <c r="I1596" t="s">
        <v>208</v>
      </c>
      <c r="J1596" t="s">
        <v>175</v>
      </c>
      <c r="K1596" s="1">
        <v>19.329999999999998</v>
      </c>
      <c r="L1596" s="1">
        <v>0</v>
      </c>
      <c r="M1596" s="1">
        <v>0</v>
      </c>
      <c r="N1596" s="1">
        <v>19.329999999999998</v>
      </c>
      <c r="O1596" s="1">
        <v>2087.64</v>
      </c>
      <c r="P1596" s="1">
        <v>0</v>
      </c>
      <c r="Q1596" s="1">
        <v>0</v>
      </c>
      <c r="R1596" s="1">
        <v>1872.8</v>
      </c>
      <c r="S1596" t="s">
        <v>12</v>
      </c>
      <c r="T1596" s="13">
        <v>45844</v>
      </c>
      <c r="U1596" s="1" t="str">
        <f>IF(ESTIMATIVA[[#This Row],[QT_AREA_REAL]]&gt;0,"1- Colhido","2- à Colher")</f>
        <v>1- Colhido</v>
      </c>
      <c r="V1596" s="1" t="str">
        <f>IF(ESTIMATIVA[[#This Row],[QT_AREA_REST1]]&gt;0,"Reestimativa 1",IF(ESTIMATIVA[[#This Row],[QT_AREA_REAL]]=0,"Reestimativa 1","Realizado"))</f>
        <v>Realizado</v>
      </c>
      <c r="W1596" s="1" t="str">
        <f>IF(ESTIMATIVA[[#This Row],[QT_AREA_REST2]]&gt;0,"Reestimativa 2",IF(ESTIMATIVA[[#This Row],[QT_AREA_REAL]]=0,"Reestimativa 2","Realizado"))</f>
        <v>Realizado</v>
      </c>
      <c r="X1596" s="1">
        <f>ESTIMATIVA[[#This Row],[QT_AREA_EST]]</f>
        <v>19.329999999999998</v>
      </c>
      <c r="Y1596" s="1">
        <f>IF(ESTIMATIVA[[#This Row],[QT_AREA_REST1]]&gt;0,ESTIMATIVA[[#This Row],[QT_AREA_REST1]],
  IF(ESTIMATIVA[[#This Row],[QT_AREA_REAL]]&gt;0,ESTIMATIVA[[#This Row],[QT_AREA_REAL]],ESTIMATIVA[[#This Row],[QT_AREA_EST]]))</f>
        <v>19.329999999999998</v>
      </c>
      <c r="Z159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19.329999999999998</v>
      </c>
      <c r="AA1596" s="1">
        <f>ESTIMATIVA[[#This Row],[QT_CANA_EST]]</f>
        <v>2087.64</v>
      </c>
      <c r="AB1596" s="1">
        <f>IF(ESTIMATIVA[[#This Row],[QT_CANA_REST1]]&gt;0,ESTIMATIVA[[#This Row],[QT_CANA_REST1]],
  IF(ESTIMATIVA[[#This Row],[QT_CANA_REAL]]&gt;0,ESTIMATIVA[[#This Row],[QT_CANA_REAL]],ESTIMATIVA[[#This Row],[QT_CANA_EST]]))</f>
        <v>1872.8</v>
      </c>
      <c r="AC159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1872.8</v>
      </c>
      <c r="AD1596" s="1">
        <f>IF(ESTIMATIVA[[#This Row],[QT_AREA_REAL]]&gt;0,ESTIMATIVA[[#This Row],[QT_CANA_REAL]],ESTIMATIVA[[#This Row],[QT_CANA_EST]])</f>
        <v>1872.8</v>
      </c>
      <c r="AE1596" s="1">
        <f>IF(ESTIMATIVA[[#This Row],[QT_AREA_REAL]]&gt;0,ESTIMATIVA[[#This Row],[QT_CANA_REAL]],ESTIMATIVA[[#This Row],[QT_CANA_REST1]])</f>
        <v>1872.8</v>
      </c>
      <c r="AF1596" s="1">
        <f>IF(ESTIMATIVA[[#This Row],[QT_AREA_REAL]]&gt;0,ESTIMATIVA[[#This Row],[QT_CANA_REAL]],ESTIMATIVA[[#This Row],[QT_CANA_REST2]])</f>
        <v>1872.8</v>
      </c>
      <c r="AG1596" s="1" t="str">
        <f>IF(COUNTIFS(GEADA!A:A,VALUE(ESTIMATIVA[[#This Row],[CD_UPNIVEL1]]&amp;TEXT(ESTIMATIVA[[#This Row],[CD_UPNIVEL3]],"0000")))&gt;0,"S","N")</f>
        <v>N</v>
      </c>
      <c r="AH159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96" s="55" t="str">
        <f>IF(ESTIMATIVA[[#This Row],[TP_CULTIVO]]="Irrigado",_xlfn.MAXIFS(IRRIGADO!J:J,IRRIGADO!C:C,ESTIMATIVA[[#This Row],[CD_UPNIVEL1]],IRRIGADO!E:E,ESTIMATIVA[[#This Row],[CD_UPNIVEL3]]),"")</f>
        <v/>
      </c>
      <c r="AJ159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96" s="1">
        <f>COUNTIFS(Apresentação!$E$23:$E$29,ESTIMATIVA[[#This Row],[CD_UPNIVEL1]])</f>
        <v>0</v>
      </c>
    </row>
    <row r="1597" spans="1:37" x14ac:dyDescent="0.3">
      <c r="A1597">
        <v>20579</v>
      </c>
      <c r="B1597" t="s">
        <v>22</v>
      </c>
      <c r="C1597">
        <v>22</v>
      </c>
      <c r="D1597">
        <v>1</v>
      </c>
      <c r="E1597" t="s">
        <v>267</v>
      </c>
      <c r="F1597" s="85" t="s">
        <v>332</v>
      </c>
      <c r="G1597"/>
      <c r="H1597" t="s">
        <v>295</v>
      </c>
      <c r="I1597" t="s">
        <v>208</v>
      </c>
      <c r="J1597" t="s">
        <v>175</v>
      </c>
      <c r="K1597" s="1">
        <v>24.17</v>
      </c>
      <c r="L1597" s="1">
        <v>0</v>
      </c>
      <c r="M1597" s="1">
        <v>0</v>
      </c>
      <c r="N1597" s="1">
        <v>24.17</v>
      </c>
      <c r="O1597" s="1">
        <v>2610.36</v>
      </c>
      <c r="P1597" s="1">
        <v>0</v>
      </c>
      <c r="Q1597" s="1">
        <v>0</v>
      </c>
      <c r="R1597" s="1">
        <v>2341.0300000000002</v>
      </c>
      <c r="S1597" t="s">
        <v>12</v>
      </c>
      <c r="T1597" s="13">
        <v>45844</v>
      </c>
      <c r="U1597" s="1" t="str">
        <f>IF(ESTIMATIVA[[#This Row],[QT_AREA_REAL]]&gt;0,"1- Colhido","2- à Colher")</f>
        <v>1- Colhido</v>
      </c>
      <c r="V1597" s="1" t="str">
        <f>IF(ESTIMATIVA[[#This Row],[QT_AREA_REST1]]&gt;0,"Reestimativa 1",IF(ESTIMATIVA[[#This Row],[QT_AREA_REAL]]=0,"Reestimativa 1","Realizado"))</f>
        <v>Realizado</v>
      </c>
      <c r="W1597" s="1" t="str">
        <f>IF(ESTIMATIVA[[#This Row],[QT_AREA_REST2]]&gt;0,"Reestimativa 2",IF(ESTIMATIVA[[#This Row],[QT_AREA_REAL]]=0,"Reestimativa 2","Realizado"))</f>
        <v>Realizado</v>
      </c>
      <c r="X1597" s="1">
        <f>ESTIMATIVA[[#This Row],[QT_AREA_EST]]</f>
        <v>24.17</v>
      </c>
      <c r="Y1597" s="1">
        <f>IF(ESTIMATIVA[[#This Row],[QT_AREA_REST1]]&gt;0,ESTIMATIVA[[#This Row],[QT_AREA_REST1]],
  IF(ESTIMATIVA[[#This Row],[QT_AREA_REAL]]&gt;0,ESTIMATIVA[[#This Row],[QT_AREA_REAL]],ESTIMATIVA[[#This Row],[QT_AREA_EST]]))</f>
        <v>24.17</v>
      </c>
      <c r="Z159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24.17</v>
      </c>
      <c r="AA1597" s="1">
        <f>ESTIMATIVA[[#This Row],[QT_CANA_EST]]</f>
        <v>2610.36</v>
      </c>
      <c r="AB1597" s="1">
        <f>IF(ESTIMATIVA[[#This Row],[QT_CANA_REST1]]&gt;0,ESTIMATIVA[[#This Row],[QT_CANA_REST1]],
  IF(ESTIMATIVA[[#This Row],[QT_CANA_REAL]]&gt;0,ESTIMATIVA[[#This Row],[QT_CANA_REAL]],ESTIMATIVA[[#This Row],[QT_CANA_EST]]))</f>
        <v>2341.0300000000002</v>
      </c>
      <c r="AC159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2341.0300000000002</v>
      </c>
      <c r="AD1597" s="1">
        <f>IF(ESTIMATIVA[[#This Row],[QT_AREA_REAL]]&gt;0,ESTIMATIVA[[#This Row],[QT_CANA_REAL]],ESTIMATIVA[[#This Row],[QT_CANA_EST]])</f>
        <v>2341.0300000000002</v>
      </c>
      <c r="AE1597" s="1">
        <f>IF(ESTIMATIVA[[#This Row],[QT_AREA_REAL]]&gt;0,ESTIMATIVA[[#This Row],[QT_CANA_REAL]],ESTIMATIVA[[#This Row],[QT_CANA_REST1]])</f>
        <v>2341.0300000000002</v>
      </c>
      <c r="AF1597" s="1">
        <f>IF(ESTIMATIVA[[#This Row],[QT_AREA_REAL]]&gt;0,ESTIMATIVA[[#This Row],[QT_CANA_REAL]],ESTIMATIVA[[#This Row],[QT_CANA_REST2]])</f>
        <v>2341.0300000000002</v>
      </c>
      <c r="AG1597" s="1" t="str">
        <f>IF(COUNTIFS(GEADA!A:A,VALUE(ESTIMATIVA[[#This Row],[CD_UPNIVEL1]]&amp;TEXT(ESTIMATIVA[[#This Row],[CD_UPNIVEL3]],"0000")))&gt;0,"S","N")</f>
        <v>N</v>
      </c>
      <c r="AH159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97" s="55" t="str">
        <f>IF(ESTIMATIVA[[#This Row],[TP_CULTIVO]]="Irrigado",_xlfn.MAXIFS(IRRIGADO!J:J,IRRIGADO!C:C,ESTIMATIVA[[#This Row],[CD_UPNIVEL1]],IRRIGADO!E:E,ESTIMATIVA[[#This Row],[CD_UPNIVEL3]]),"")</f>
        <v/>
      </c>
      <c r="AJ159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97" s="1">
        <f>COUNTIFS(Apresentação!$E$23:$E$29,ESTIMATIVA[[#This Row],[CD_UPNIVEL1]])</f>
        <v>0</v>
      </c>
    </row>
    <row r="1598" spans="1:37" x14ac:dyDescent="0.3">
      <c r="A1598">
        <v>20579</v>
      </c>
      <c r="B1598" t="s">
        <v>22</v>
      </c>
      <c r="C1598">
        <v>23</v>
      </c>
      <c r="D1598">
        <v>1</v>
      </c>
      <c r="E1598" t="s">
        <v>264</v>
      </c>
      <c r="F1598" s="85" t="s">
        <v>333</v>
      </c>
      <c r="G1598"/>
      <c r="H1598" t="s">
        <v>295</v>
      </c>
      <c r="I1598" t="s">
        <v>208</v>
      </c>
      <c r="J1598" t="s">
        <v>175</v>
      </c>
      <c r="K1598" s="1">
        <v>21.92</v>
      </c>
      <c r="L1598" s="1">
        <v>0</v>
      </c>
      <c r="M1598" s="1">
        <v>0</v>
      </c>
      <c r="N1598" s="1">
        <v>21.92</v>
      </c>
      <c r="O1598" s="1">
        <v>2323.52</v>
      </c>
      <c r="P1598" s="1">
        <v>0</v>
      </c>
      <c r="Q1598" s="1">
        <v>0</v>
      </c>
      <c r="R1598" s="1">
        <v>2262.58</v>
      </c>
      <c r="S1598" t="s">
        <v>12</v>
      </c>
      <c r="T1598" s="13">
        <v>45844</v>
      </c>
      <c r="U1598" s="1" t="str">
        <f>IF(ESTIMATIVA[[#This Row],[QT_AREA_REAL]]&gt;0,"1- Colhido","2- à Colher")</f>
        <v>1- Colhido</v>
      </c>
      <c r="V1598" s="1" t="str">
        <f>IF(ESTIMATIVA[[#This Row],[QT_AREA_REST1]]&gt;0,"Reestimativa 1",IF(ESTIMATIVA[[#This Row],[QT_AREA_REAL]]=0,"Reestimativa 1","Realizado"))</f>
        <v>Realizado</v>
      </c>
      <c r="W1598" s="1" t="str">
        <f>IF(ESTIMATIVA[[#This Row],[QT_AREA_REST2]]&gt;0,"Reestimativa 2",IF(ESTIMATIVA[[#This Row],[QT_AREA_REAL]]=0,"Reestimativa 2","Realizado"))</f>
        <v>Realizado</v>
      </c>
      <c r="X1598" s="1">
        <f>ESTIMATIVA[[#This Row],[QT_AREA_EST]]</f>
        <v>21.92</v>
      </c>
      <c r="Y1598" s="1">
        <f>IF(ESTIMATIVA[[#This Row],[QT_AREA_REST1]]&gt;0,ESTIMATIVA[[#This Row],[QT_AREA_REST1]],
  IF(ESTIMATIVA[[#This Row],[QT_AREA_REAL]]&gt;0,ESTIMATIVA[[#This Row],[QT_AREA_REAL]],ESTIMATIVA[[#This Row],[QT_AREA_EST]]))</f>
        <v>21.92</v>
      </c>
      <c r="Z159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21.92</v>
      </c>
      <c r="AA1598" s="1">
        <f>ESTIMATIVA[[#This Row],[QT_CANA_EST]]</f>
        <v>2323.52</v>
      </c>
      <c r="AB1598" s="1">
        <f>IF(ESTIMATIVA[[#This Row],[QT_CANA_REST1]]&gt;0,ESTIMATIVA[[#This Row],[QT_CANA_REST1]],
  IF(ESTIMATIVA[[#This Row],[QT_CANA_REAL]]&gt;0,ESTIMATIVA[[#This Row],[QT_CANA_REAL]],ESTIMATIVA[[#This Row],[QT_CANA_EST]]))</f>
        <v>2262.58</v>
      </c>
      <c r="AC159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2262.58</v>
      </c>
      <c r="AD1598" s="1">
        <f>IF(ESTIMATIVA[[#This Row],[QT_AREA_REAL]]&gt;0,ESTIMATIVA[[#This Row],[QT_CANA_REAL]],ESTIMATIVA[[#This Row],[QT_CANA_EST]])</f>
        <v>2262.58</v>
      </c>
      <c r="AE1598" s="1">
        <f>IF(ESTIMATIVA[[#This Row],[QT_AREA_REAL]]&gt;0,ESTIMATIVA[[#This Row],[QT_CANA_REAL]],ESTIMATIVA[[#This Row],[QT_CANA_REST1]])</f>
        <v>2262.58</v>
      </c>
      <c r="AF1598" s="1">
        <f>IF(ESTIMATIVA[[#This Row],[QT_AREA_REAL]]&gt;0,ESTIMATIVA[[#This Row],[QT_CANA_REAL]],ESTIMATIVA[[#This Row],[QT_CANA_REST2]])</f>
        <v>2262.58</v>
      </c>
      <c r="AG1598" s="1" t="str">
        <f>IF(COUNTIFS(GEADA!A:A,VALUE(ESTIMATIVA[[#This Row],[CD_UPNIVEL1]]&amp;TEXT(ESTIMATIVA[[#This Row],[CD_UPNIVEL3]],"0000")))&gt;0,"S","N")</f>
        <v>N</v>
      </c>
      <c r="AH159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98" s="55" t="str">
        <f>IF(ESTIMATIVA[[#This Row],[TP_CULTIVO]]="Irrigado",_xlfn.MAXIFS(IRRIGADO!J:J,IRRIGADO!C:C,ESTIMATIVA[[#This Row],[CD_UPNIVEL1]],IRRIGADO!E:E,ESTIMATIVA[[#This Row],[CD_UPNIVEL3]]),"")</f>
        <v/>
      </c>
      <c r="AJ159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98" s="1">
        <f>COUNTIFS(Apresentação!$E$23:$E$29,ESTIMATIVA[[#This Row],[CD_UPNIVEL1]])</f>
        <v>0</v>
      </c>
    </row>
    <row r="1599" spans="1:37" x14ac:dyDescent="0.3">
      <c r="A1599">
        <v>20579</v>
      </c>
      <c r="B1599" t="s">
        <v>22</v>
      </c>
      <c r="C1599">
        <v>24</v>
      </c>
      <c r="D1599">
        <v>1</v>
      </c>
      <c r="E1599" t="s">
        <v>264</v>
      </c>
      <c r="F1599" s="85" t="s">
        <v>333</v>
      </c>
      <c r="G1599"/>
      <c r="H1599" t="s">
        <v>295</v>
      </c>
      <c r="I1599" t="s">
        <v>208</v>
      </c>
      <c r="J1599" t="s">
        <v>175</v>
      </c>
      <c r="K1599" s="1">
        <v>16.87</v>
      </c>
      <c r="L1599" s="1">
        <v>0</v>
      </c>
      <c r="M1599" s="1">
        <v>0</v>
      </c>
      <c r="N1599" s="1">
        <v>16.87</v>
      </c>
      <c r="O1599" s="1">
        <v>1788.22</v>
      </c>
      <c r="P1599" s="1">
        <v>0</v>
      </c>
      <c r="Q1599" s="1">
        <v>0</v>
      </c>
      <c r="R1599" s="1">
        <v>1603.71</v>
      </c>
      <c r="S1599" t="s">
        <v>12</v>
      </c>
      <c r="T1599" s="13">
        <v>45844</v>
      </c>
      <c r="U1599" s="1" t="str">
        <f>IF(ESTIMATIVA[[#This Row],[QT_AREA_REAL]]&gt;0,"1- Colhido","2- à Colher")</f>
        <v>1- Colhido</v>
      </c>
      <c r="V1599" s="1" t="str">
        <f>IF(ESTIMATIVA[[#This Row],[QT_AREA_REST1]]&gt;0,"Reestimativa 1",IF(ESTIMATIVA[[#This Row],[QT_AREA_REAL]]=0,"Reestimativa 1","Realizado"))</f>
        <v>Realizado</v>
      </c>
      <c r="W1599" s="1" t="str">
        <f>IF(ESTIMATIVA[[#This Row],[QT_AREA_REST2]]&gt;0,"Reestimativa 2",IF(ESTIMATIVA[[#This Row],[QT_AREA_REAL]]=0,"Reestimativa 2","Realizado"))</f>
        <v>Realizado</v>
      </c>
      <c r="X1599" s="1">
        <f>ESTIMATIVA[[#This Row],[QT_AREA_EST]]</f>
        <v>16.87</v>
      </c>
      <c r="Y1599" s="1">
        <f>IF(ESTIMATIVA[[#This Row],[QT_AREA_REST1]]&gt;0,ESTIMATIVA[[#This Row],[QT_AREA_REST1]],
  IF(ESTIMATIVA[[#This Row],[QT_AREA_REAL]]&gt;0,ESTIMATIVA[[#This Row],[QT_AREA_REAL]],ESTIMATIVA[[#This Row],[QT_AREA_EST]]))</f>
        <v>16.87</v>
      </c>
      <c r="Z159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16.87</v>
      </c>
      <c r="AA1599" s="1">
        <f>ESTIMATIVA[[#This Row],[QT_CANA_EST]]</f>
        <v>1788.22</v>
      </c>
      <c r="AB1599" s="1">
        <f>IF(ESTIMATIVA[[#This Row],[QT_CANA_REST1]]&gt;0,ESTIMATIVA[[#This Row],[QT_CANA_REST1]],
  IF(ESTIMATIVA[[#This Row],[QT_CANA_REAL]]&gt;0,ESTIMATIVA[[#This Row],[QT_CANA_REAL]],ESTIMATIVA[[#This Row],[QT_CANA_EST]]))</f>
        <v>1603.71</v>
      </c>
      <c r="AC159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1603.71</v>
      </c>
      <c r="AD1599" s="1">
        <f>IF(ESTIMATIVA[[#This Row],[QT_AREA_REAL]]&gt;0,ESTIMATIVA[[#This Row],[QT_CANA_REAL]],ESTIMATIVA[[#This Row],[QT_CANA_EST]])</f>
        <v>1603.71</v>
      </c>
      <c r="AE1599" s="1">
        <f>IF(ESTIMATIVA[[#This Row],[QT_AREA_REAL]]&gt;0,ESTIMATIVA[[#This Row],[QT_CANA_REAL]],ESTIMATIVA[[#This Row],[QT_CANA_REST1]])</f>
        <v>1603.71</v>
      </c>
      <c r="AF1599" s="1">
        <f>IF(ESTIMATIVA[[#This Row],[QT_AREA_REAL]]&gt;0,ESTIMATIVA[[#This Row],[QT_CANA_REAL]],ESTIMATIVA[[#This Row],[QT_CANA_REST2]])</f>
        <v>1603.71</v>
      </c>
      <c r="AG1599" s="1" t="str">
        <f>IF(COUNTIFS(GEADA!A:A,VALUE(ESTIMATIVA[[#This Row],[CD_UPNIVEL1]]&amp;TEXT(ESTIMATIVA[[#This Row],[CD_UPNIVEL3]],"0000")))&gt;0,"S","N")</f>
        <v>N</v>
      </c>
      <c r="AH159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599" s="55" t="str">
        <f>IF(ESTIMATIVA[[#This Row],[TP_CULTIVO]]="Irrigado",_xlfn.MAXIFS(IRRIGADO!J:J,IRRIGADO!C:C,ESTIMATIVA[[#This Row],[CD_UPNIVEL1]],IRRIGADO!E:E,ESTIMATIVA[[#This Row],[CD_UPNIVEL3]]),"")</f>
        <v/>
      </c>
      <c r="AJ159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599" s="1">
        <f>COUNTIFS(Apresentação!$E$23:$E$29,ESTIMATIVA[[#This Row],[CD_UPNIVEL1]])</f>
        <v>0</v>
      </c>
    </row>
    <row r="1600" spans="1:37" x14ac:dyDescent="0.3">
      <c r="A1600">
        <v>20579</v>
      </c>
      <c r="B1600" t="s">
        <v>22</v>
      </c>
      <c r="C1600">
        <v>25</v>
      </c>
      <c r="D1600">
        <v>1</v>
      </c>
      <c r="E1600" t="s">
        <v>264</v>
      </c>
      <c r="F1600" s="85" t="s">
        <v>333</v>
      </c>
      <c r="G1600"/>
      <c r="H1600" t="s">
        <v>295</v>
      </c>
      <c r="I1600" t="s">
        <v>208</v>
      </c>
      <c r="J1600" t="s">
        <v>175</v>
      </c>
      <c r="K1600" s="1">
        <v>10.14</v>
      </c>
      <c r="L1600" s="1">
        <v>0</v>
      </c>
      <c r="M1600" s="1">
        <v>0</v>
      </c>
      <c r="N1600" s="1">
        <v>10.14</v>
      </c>
      <c r="O1600" s="1">
        <v>1095.1199999999999</v>
      </c>
      <c r="P1600" s="1">
        <v>0</v>
      </c>
      <c r="Q1600" s="1">
        <v>0</v>
      </c>
      <c r="R1600" s="1">
        <v>982.49</v>
      </c>
      <c r="S1600" t="s">
        <v>12</v>
      </c>
      <c r="T1600" s="13">
        <v>45844</v>
      </c>
      <c r="U1600" s="1" t="str">
        <f>IF(ESTIMATIVA[[#This Row],[QT_AREA_REAL]]&gt;0,"1- Colhido","2- à Colher")</f>
        <v>1- Colhido</v>
      </c>
      <c r="V1600" s="1" t="str">
        <f>IF(ESTIMATIVA[[#This Row],[QT_AREA_REST1]]&gt;0,"Reestimativa 1",IF(ESTIMATIVA[[#This Row],[QT_AREA_REAL]]=0,"Reestimativa 1","Realizado"))</f>
        <v>Realizado</v>
      </c>
      <c r="W1600" s="1" t="str">
        <f>IF(ESTIMATIVA[[#This Row],[QT_AREA_REST2]]&gt;0,"Reestimativa 2",IF(ESTIMATIVA[[#This Row],[QT_AREA_REAL]]=0,"Reestimativa 2","Realizado"))</f>
        <v>Realizado</v>
      </c>
      <c r="X1600" s="1">
        <f>ESTIMATIVA[[#This Row],[QT_AREA_EST]]</f>
        <v>10.14</v>
      </c>
      <c r="Y1600" s="1">
        <f>IF(ESTIMATIVA[[#This Row],[QT_AREA_REST1]]&gt;0,ESTIMATIVA[[#This Row],[QT_AREA_REST1]],
  IF(ESTIMATIVA[[#This Row],[QT_AREA_REAL]]&gt;0,ESTIMATIVA[[#This Row],[QT_AREA_REAL]],ESTIMATIVA[[#This Row],[QT_AREA_EST]]))</f>
        <v>10.14</v>
      </c>
      <c r="Z160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10.14</v>
      </c>
      <c r="AA1600" s="1">
        <f>ESTIMATIVA[[#This Row],[QT_CANA_EST]]</f>
        <v>1095.1199999999999</v>
      </c>
      <c r="AB1600" s="1">
        <f>IF(ESTIMATIVA[[#This Row],[QT_CANA_REST1]]&gt;0,ESTIMATIVA[[#This Row],[QT_CANA_REST1]],
  IF(ESTIMATIVA[[#This Row],[QT_CANA_REAL]]&gt;0,ESTIMATIVA[[#This Row],[QT_CANA_REAL]],ESTIMATIVA[[#This Row],[QT_CANA_EST]]))</f>
        <v>982.49</v>
      </c>
      <c r="AC160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982.49</v>
      </c>
      <c r="AD1600" s="1">
        <f>IF(ESTIMATIVA[[#This Row],[QT_AREA_REAL]]&gt;0,ESTIMATIVA[[#This Row],[QT_CANA_REAL]],ESTIMATIVA[[#This Row],[QT_CANA_EST]])</f>
        <v>982.49</v>
      </c>
      <c r="AE1600" s="1">
        <f>IF(ESTIMATIVA[[#This Row],[QT_AREA_REAL]]&gt;0,ESTIMATIVA[[#This Row],[QT_CANA_REAL]],ESTIMATIVA[[#This Row],[QT_CANA_REST1]])</f>
        <v>982.49</v>
      </c>
      <c r="AF1600" s="1">
        <f>IF(ESTIMATIVA[[#This Row],[QT_AREA_REAL]]&gt;0,ESTIMATIVA[[#This Row],[QT_CANA_REAL]],ESTIMATIVA[[#This Row],[QT_CANA_REST2]])</f>
        <v>982.49</v>
      </c>
      <c r="AG1600" s="1" t="str">
        <f>IF(COUNTIFS(GEADA!A:A,VALUE(ESTIMATIVA[[#This Row],[CD_UPNIVEL1]]&amp;TEXT(ESTIMATIVA[[#This Row],[CD_UPNIVEL3]],"0000")))&gt;0,"S","N")</f>
        <v>N</v>
      </c>
      <c r="AH160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00" s="55" t="str">
        <f>IF(ESTIMATIVA[[#This Row],[TP_CULTIVO]]="Irrigado",_xlfn.MAXIFS(IRRIGADO!J:J,IRRIGADO!C:C,ESTIMATIVA[[#This Row],[CD_UPNIVEL1]],IRRIGADO!E:E,ESTIMATIVA[[#This Row],[CD_UPNIVEL3]]),"")</f>
        <v/>
      </c>
      <c r="AJ160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00" s="1">
        <f>COUNTIFS(Apresentação!$E$23:$E$29,ESTIMATIVA[[#This Row],[CD_UPNIVEL1]])</f>
        <v>0</v>
      </c>
    </row>
    <row r="1601" spans="1:37" x14ac:dyDescent="0.3">
      <c r="A1601">
        <v>20579</v>
      </c>
      <c r="B1601" t="s">
        <v>22</v>
      </c>
      <c r="C1601">
        <v>26</v>
      </c>
      <c r="D1601">
        <v>1</v>
      </c>
      <c r="E1601" t="s">
        <v>264</v>
      </c>
      <c r="F1601" s="85" t="s">
        <v>333</v>
      </c>
      <c r="G1601"/>
      <c r="H1601" t="s">
        <v>295</v>
      </c>
      <c r="I1601" t="s">
        <v>208</v>
      </c>
      <c r="J1601" t="s">
        <v>175</v>
      </c>
      <c r="K1601" s="1">
        <v>23.69</v>
      </c>
      <c r="L1601" s="1">
        <v>0</v>
      </c>
      <c r="M1601" s="1">
        <v>0</v>
      </c>
      <c r="N1601" s="1">
        <v>23.69</v>
      </c>
      <c r="O1601" s="1">
        <v>2558.52</v>
      </c>
      <c r="P1601" s="1">
        <v>0</v>
      </c>
      <c r="Q1601" s="1">
        <v>0</v>
      </c>
      <c r="R1601" s="1">
        <v>2491.39</v>
      </c>
      <c r="S1601" t="s">
        <v>12</v>
      </c>
      <c r="T1601" s="13">
        <v>45844</v>
      </c>
      <c r="U1601" s="1" t="str">
        <f>IF(ESTIMATIVA[[#This Row],[QT_AREA_REAL]]&gt;0,"1- Colhido","2- à Colher")</f>
        <v>1- Colhido</v>
      </c>
      <c r="V1601" s="1" t="str">
        <f>IF(ESTIMATIVA[[#This Row],[QT_AREA_REST1]]&gt;0,"Reestimativa 1",IF(ESTIMATIVA[[#This Row],[QT_AREA_REAL]]=0,"Reestimativa 1","Realizado"))</f>
        <v>Realizado</v>
      </c>
      <c r="W1601" s="1" t="str">
        <f>IF(ESTIMATIVA[[#This Row],[QT_AREA_REST2]]&gt;0,"Reestimativa 2",IF(ESTIMATIVA[[#This Row],[QT_AREA_REAL]]=0,"Reestimativa 2","Realizado"))</f>
        <v>Realizado</v>
      </c>
      <c r="X1601" s="1">
        <f>ESTIMATIVA[[#This Row],[QT_AREA_EST]]</f>
        <v>23.69</v>
      </c>
      <c r="Y1601" s="1">
        <f>IF(ESTIMATIVA[[#This Row],[QT_AREA_REST1]]&gt;0,ESTIMATIVA[[#This Row],[QT_AREA_REST1]],
  IF(ESTIMATIVA[[#This Row],[QT_AREA_REAL]]&gt;0,ESTIMATIVA[[#This Row],[QT_AREA_REAL]],ESTIMATIVA[[#This Row],[QT_AREA_EST]]))</f>
        <v>23.69</v>
      </c>
      <c r="Z160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23.69</v>
      </c>
      <c r="AA1601" s="1">
        <f>ESTIMATIVA[[#This Row],[QT_CANA_EST]]</f>
        <v>2558.52</v>
      </c>
      <c r="AB1601" s="1">
        <f>IF(ESTIMATIVA[[#This Row],[QT_CANA_REST1]]&gt;0,ESTIMATIVA[[#This Row],[QT_CANA_REST1]],
  IF(ESTIMATIVA[[#This Row],[QT_CANA_REAL]]&gt;0,ESTIMATIVA[[#This Row],[QT_CANA_REAL]],ESTIMATIVA[[#This Row],[QT_CANA_EST]]))</f>
        <v>2491.39</v>
      </c>
      <c r="AC160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2491.39</v>
      </c>
      <c r="AD1601" s="1">
        <f>IF(ESTIMATIVA[[#This Row],[QT_AREA_REAL]]&gt;0,ESTIMATIVA[[#This Row],[QT_CANA_REAL]],ESTIMATIVA[[#This Row],[QT_CANA_EST]])</f>
        <v>2491.39</v>
      </c>
      <c r="AE1601" s="1">
        <f>IF(ESTIMATIVA[[#This Row],[QT_AREA_REAL]]&gt;0,ESTIMATIVA[[#This Row],[QT_CANA_REAL]],ESTIMATIVA[[#This Row],[QT_CANA_REST1]])</f>
        <v>2491.39</v>
      </c>
      <c r="AF1601" s="1">
        <f>IF(ESTIMATIVA[[#This Row],[QT_AREA_REAL]]&gt;0,ESTIMATIVA[[#This Row],[QT_CANA_REAL]],ESTIMATIVA[[#This Row],[QT_CANA_REST2]])</f>
        <v>2491.39</v>
      </c>
      <c r="AG1601" s="1" t="str">
        <f>IF(COUNTIFS(GEADA!A:A,VALUE(ESTIMATIVA[[#This Row],[CD_UPNIVEL1]]&amp;TEXT(ESTIMATIVA[[#This Row],[CD_UPNIVEL3]],"0000")))&gt;0,"S","N")</f>
        <v>N</v>
      </c>
      <c r="AH160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01" s="55" t="str">
        <f>IF(ESTIMATIVA[[#This Row],[TP_CULTIVO]]="Irrigado",_xlfn.MAXIFS(IRRIGADO!J:J,IRRIGADO!C:C,ESTIMATIVA[[#This Row],[CD_UPNIVEL1]],IRRIGADO!E:E,ESTIMATIVA[[#This Row],[CD_UPNIVEL3]]),"")</f>
        <v/>
      </c>
      <c r="AJ160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01" s="1">
        <f>COUNTIFS(Apresentação!$E$23:$E$29,ESTIMATIVA[[#This Row],[CD_UPNIVEL1]])</f>
        <v>0</v>
      </c>
    </row>
    <row r="1602" spans="1:37" x14ac:dyDescent="0.3">
      <c r="A1602">
        <v>20579</v>
      </c>
      <c r="B1602" t="s">
        <v>22</v>
      </c>
      <c r="C1602">
        <v>27</v>
      </c>
      <c r="D1602">
        <v>1</v>
      </c>
      <c r="E1602" t="s">
        <v>264</v>
      </c>
      <c r="F1602" s="85" t="s">
        <v>333</v>
      </c>
      <c r="G1602"/>
      <c r="H1602" t="s">
        <v>295</v>
      </c>
      <c r="I1602" t="s">
        <v>208</v>
      </c>
      <c r="J1602" t="s">
        <v>175</v>
      </c>
      <c r="K1602" s="1">
        <v>28.84</v>
      </c>
      <c r="L1602" s="1">
        <v>0</v>
      </c>
      <c r="M1602" s="1">
        <v>0</v>
      </c>
      <c r="N1602" s="1">
        <v>28.84</v>
      </c>
      <c r="O1602" s="1">
        <v>3114.72</v>
      </c>
      <c r="P1602" s="1">
        <v>0</v>
      </c>
      <c r="Q1602" s="1">
        <v>0</v>
      </c>
      <c r="R1602" s="1">
        <v>3032.72</v>
      </c>
      <c r="S1602" t="s">
        <v>12</v>
      </c>
      <c r="T1602" s="13">
        <v>45844</v>
      </c>
      <c r="U1602" s="1" t="str">
        <f>IF(ESTIMATIVA[[#This Row],[QT_AREA_REAL]]&gt;0,"1- Colhido","2- à Colher")</f>
        <v>1- Colhido</v>
      </c>
      <c r="V1602" s="1" t="str">
        <f>IF(ESTIMATIVA[[#This Row],[QT_AREA_REST1]]&gt;0,"Reestimativa 1",IF(ESTIMATIVA[[#This Row],[QT_AREA_REAL]]=0,"Reestimativa 1","Realizado"))</f>
        <v>Realizado</v>
      </c>
      <c r="W1602" s="1" t="str">
        <f>IF(ESTIMATIVA[[#This Row],[QT_AREA_REST2]]&gt;0,"Reestimativa 2",IF(ESTIMATIVA[[#This Row],[QT_AREA_REAL]]=0,"Reestimativa 2","Realizado"))</f>
        <v>Realizado</v>
      </c>
      <c r="X1602" s="1">
        <f>ESTIMATIVA[[#This Row],[QT_AREA_EST]]</f>
        <v>28.84</v>
      </c>
      <c r="Y1602" s="1">
        <f>IF(ESTIMATIVA[[#This Row],[QT_AREA_REST1]]&gt;0,ESTIMATIVA[[#This Row],[QT_AREA_REST1]],
  IF(ESTIMATIVA[[#This Row],[QT_AREA_REAL]]&gt;0,ESTIMATIVA[[#This Row],[QT_AREA_REAL]],ESTIMATIVA[[#This Row],[QT_AREA_EST]]))</f>
        <v>28.84</v>
      </c>
      <c r="Z160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28.84</v>
      </c>
      <c r="AA1602" s="1">
        <f>ESTIMATIVA[[#This Row],[QT_CANA_EST]]</f>
        <v>3114.72</v>
      </c>
      <c r="AB1602" s="1">
        <f>IF(ESTIMATIVA[[#This Row],[QT_CANA_REST1]]&gt;0,ESTIMATIVA[[#This Row],[QT_CANA_REST1]],
  IF(ESTIMATIVA[[#This Row],[QT_CANA_REAL]]&gt;0,ESTIMATIVA[[#This Row],[QT_CANA_REAL]],ESTIMATIVA[[#This Row],[QT_CANA_EST]]))</f>
        <v>3032.72</v>
      </c>
      <c r="AC160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3032.72</v>
      </c>
      <c r="AD1602" s="1">
        <f>IF(ESTIMATIVA[[#This Row],[QT_AREA_REAL]]&gt;0,ESTIMATIVA[[#This Row],[QT_CANA_REAL]],ESTIMATIVA[[#This Row],[QT_CANA_EST]])</f>
        <v>3032.72</v>
      </c>
      <c r="AE1602" s="1">
        <f>IF(ESTIMATIVA[[#This Row],[QT_AREA_REAL]]&gt;0,ESTIMATIVA[[#This Row],[QT_CANA_REAL]],ESTIMATIVA[[#This Row],[QT_CANA_REST1]])</f>
        <v>3032.72</v>
      </c>
      <c r="AF1602" s="1">
        <f>IF(ESTIMATIVA[[#This Row],[QT_AREA_REAL]]&gt;0,ESTIMATIVA[[#This Row],[QT_CANA_REAL]],ESTIMATIVA[[#This Row],[QT_CANA_REST2]])</f>
        <v>3032.72</v>
      </c>
      <c r="AG1602" s="1" t="str">
        <f>IF(COUNTIFS(GEADA!A:A,VALUE(ESTIMATIVA[[#This Row],[CD_UPNIVEL1]]&amp;TEXT(ESTIMATIVA[[#This Row],[CD_UPNIVEL3]],"0000")))&gt;0,"S","N")</f>
        <v>N</v>
      </c>
      <c r="AH160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02" s="55" t="str">
        <f>IF(ESTIMATIVA[[#This Row],[TP_CULTIVO]]="Irrigado",_xlfn.MAXIFS(IRRIGADO!J:J,IRRIGADO!C:C,ESTIMATIVA[[#This Row],[CD_UPNIVEL1]],IRRIGADO!E:E,ESTIMATIVA[[#This Row],[CD_UPNIVEL3]]),"")</f>
        <v/>
      </c>
      <c r="AJ160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02" s="1">
        <f>COUNTIFS(Apresentação!$E$23:$E$29,ESTIMATIVA[[#This Row],[CD_UPNIVEL1]])</f>
        <v>0</v>
      </c>
    </row>
    <row r="1603" spans="1:37" x14ac:dyDescent="0.3">
      <c r="A1603">
        <v>20579</v>
      </c>
      <c r="B1603" t="s">
        <v>22</v>
      </c>
      <c r="C1603">
        <v>28</v>
      </c>
      <c r="D1603">
        <v>1</v>
      </c>
      <c r="E1603" t="s">
        <v>264</v>
      </c>
      <c r="F1603" s="85" t="s">
        <v>332</v>
      </c>
      <c r="G1603"/>
      <c r="H1603" t="s">
        <v>295</v>
      </c>
      <c r="I1603" t="s">
        <v>208</v>
      </c>
      <c r="J1603" t="s">
        <v>175</v>
      </c>
      <c r="K1603" s="1">
        <v>26.26</v>
      </c>
      <c r="L1603" s="1">
        <v>0</v>
      </c>
      <c r="M1603" s="1">
        <v>0</v>
      </c>
      <c r="N1603" s="1">
        <v>26.26</v>
      </c>
      <c r="O1603" s="1">
        <v>3098.68</v>
      </c>
      <c r="P1603" s="1">
        <v>0</v>
      </c>
      <c r="Q1603" s="1">
        <v>0</v>
      </c>
      <c r="R1603" s="1">
        <v>3044.35</v>
      </c>
      <c r="S1603" t="s">
        <v>12</v>
      </c>
      <c r="T1603" s="13">
        <v>45837</v>
      </c>
      <c r="U1603" s="1" t="str">
        <f>IF(ESTIMATIVA[[#This Row],[QT_AREA_REAL]]&gt;0,"1- Colhido","2- à Colher")</f>
        <v>1- Colhido</v>
      </c>
      <c r="V1603" s="1" t="str">
        <f>IF(ESTIMATIVA[[#This Row],[QT_AREA_REST1]]&gt;0,"Reestimativa 1",IF(ESTIMATIVA[[#This Row],[QT_AREA_REAL]]=0,"Reestimativa 1","Realizado"))</f>
        <v>Realizado</v>
      </c>
      <c r="W1603" s="1" t="str">
        <f>IF(ESTIMATIVA[[#This Row],[QT_AREA_REST2]]&gt;0,"Reestimativa 2",IF(ESTIMATIVA[[#This Row],[QT_AREA_REAL]]=0,"Reestimativa 2","Realizado"))</f>
        <v>Realizado</v>
      </c>
      <c r="X1603" s="1">
        <f>ESTIMATIVA[[#This Row],[QT_AREA_EST]]</f>
        <v>26.26</v>
      </c>
      <c r="Y1603" s="1">
        <f>IF(ESTIMATIVA[[#This Row],[QT_AREA_REST1]]&gt;0,ESTIMATIVA[[#This Row],[QT_AREA_REST1]],
  IF(ESTIMATIVA[[#This Row],[QT_AREA_REAL]]&gt;0,ESTIMATIVA[[#This Row],[QT_AREA_REAL]],ESTIMATIVA[[#This Row],[QT_AREA_EST]]))</f>
        <v>26.26</v>
      </c>
      <c r="Z160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26.26</v>
      </c>
      <c r="AA1603" s="1">
        <f>ESTIMATIVA[[#This Row],[QT_CANA_EST]]</f>
        <v>3098.68</v>
      </c>
      <c r="AB1603" s="1">
        <f>IF(ESTIMATIVA[[#This Row],[QT_CANA_REST1]]&gt;0,ESTIMATIVA[[#This Row],[QT_CANA_REST1]],
  IF(ESTIMATIVA[[#This Row],[QT_CANA_REAL]]&gt;0,ESTIMATIVA[[#This Row],[QT_CANA_REAL]],ESTIMATIVA[[#This Row],[QT_CANA_EST]]))</f>
        <v>3044.35</v>
      </c>
      <c r="AC160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3044.35</v>
      </c>
      <c r="AD1603" s="1">
        <f>IF(ESTIMATIVA[[#This Row],[QT_AREA_REAL]]&gt;0,ESTIMATIVA[[#This Row],[QT_CANA_REAL]],ESTIMATIVA[[#This Row],[QT_CANA_EST]])</f>
        <v>3044.35</v>
      </c>
      <c r="AE1603" s="1">
        <f>IF(ESTIMATIVA[[#This Row],[QT_AREA_REAL]]&gt;0,ESTIMATIVA[[#This Row],[QT_CANA_REAL]],ESTIMATIVA[[#This Row],[QT_CANA_REST1]])</f>
        <v>3044.35</v>
      </c>
      <c r="AF1603" s="1">
        <f>IF(ESTIMATIVA[[#This Row],[QT_AREA_REAL]]&gt;0,ESTIMATIVA[[#This Row],[QT_CANA_REAL]],ESTIMATIVA[[#This Row],[QT_CANA_REST2]])</f>
        <v>3044.35</v>
      </c>
      <c r="AG1603" s="1" t="str">
        <f>IF(COUNTIFS(GEADA!A:A,VALUE(ESTIMATIVA[[#This Row],[CD_UPNIVEL1]]&amp;TEXT(ESTIMATIVA[[#This Row],[CD_UPNIVEL3]],"0000")))&gt;0,"S","N")</f>
        <v>N</v>
      </c>
      <c r="AH160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03" s="55" t="str">
        <f>IF(ESTIMATIVA[[#This Row],[TP_CULTIVO]]="Irrigado",_xlfn.MAXIFS(IRRIGADO!J:J,IRRIGADO!C:C,ESTIMATIVA[[#This Row],[CD_UPNIVEL1]],IRRIGADO!E:E,ESTIMATIVA[[#This Row],[CD_UPNIVEL3]]),"")</f>
        <v/>
      </c>
      <c r="AJ160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03" s="1">
        <f>COUNTIFS(Apresentação!$E$23:$E$29,ESTIMATIVA[[#This Row],[CD_UPNIVEL1]])</f>
        <v>0</v>
      </c>
    </row>
    <row r="1604" spans="1:37" x14ac:dyDescent="0.3">
      <c r="A1604">
        <v>20579</v>
      </c>
      <c r="B1604" t="s">
        <v>22</v>
      </c>
      <c r="C1604">
        <v>29</v>
      </c>
      <c r="D1604">
        <v>1</v>
      </c>
      <c r="E1604" t="s">
        <v>264</v>
      </c>
      <c r="F1604" s="85" t="s">
        <v>332</v>
      </c>
      <c r="G1604"/>
      <c r="H1604" t="s">
        <v>295</v>
      </c>
      <c r="I1604" t="s">
        <v>208</v>
      </c>
      <c r="J1604" t="s">
        <v>175</v>
      </c>
      <c r="K1604" s="1">
        <v>13.85</v>
      </c>
      <c r="L1604" s="1">
        <v>0</v>
      </c>
      <c r="M1604" s="1">
        <v>0</v>
      </c>
      <c r="N1604" s="1">
        <v>13.85</v>
      </c>
      <c r="O1604" s="1">
        <v>1634.3</v>
      </c>
      <c r="P1604" s="1">
        <v>0</v>
      </c>
      <c r="Q1604" s="1">
        <v>0</v>
      </c>
      <c r="R1604" s="1">
        <v>1605.54</v>
      </c>
      <c r="S1604" t="s">
        <v>12</v>
      </c>
      <c r="T1604" s="13">
        <v>45837</v>
      </c>
      <c r="U1604" s="1" t="str">
        <f>IF(ESTIMATIVA[[#This Row],[QT_AREA_REAL]]&gt;0,"1- Colhido","2- à Colher")</f>
        <v>1- Colhido</v>
      </c>
      <c r="V1604" s="1" t="str">
        <f>IF(ESTIMATIVA[[#This Row],[QT_AREA_REST1]]&gt;0,"Reestimativa 1",IF(ESTIMATIVA[[#This Row],[QT_AREA_REAL]]=0,"Reestimativa 1","Realizado"))</f>
        <v>Realizado</v>
      </c>
      <c r="W1604" s="1" t="str">
        <f>IF(ESTIMATIVA[[#This Row],[QT_AREA_REST2]]&gt;0,"Reestimativa 2",IF(ESTIMATIVA[[#This Row],[QT_AREA_REAL]]=0,"Reestimativa 2","Realizado"))</f>
        <v>Realizado</v>
      </c>
      <c r="X1604" s="1">
        <f>ESTIMATIVA[[#This Row],[QT_AREA_EST]]</f>
        <v>13.85</v>
      </c>
      <c r="Y1604" s="1">
        <f>IF(ESTIMATIVA[[#This Row],[QT_AREA_REST1]]&gt;0,ESTIMATIVA[[#This Row],[QT_AREA_REST1]],
  IF(ESTIMATIVA[[#This Row],[QT_AREA_REAL]]&gt;0,ESTIMATIVA[[#This Row],[QT_AREA_REAL]],ESTIMATIVA[[#This Row],[QT_AREA_EST]]))</f>
        <v>13.85</v>
      </c>
      <c r="Z160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13.85</v>
      </c>
      <c r="AA1604" s="1">
        <f>ESTIMATIVA[[#This Row],[QT_CANA_EST]]</f>
        <v>1634.3</v>
      </c>
      <c r="AB1604" s="1">
        <f>IF(ESTIMATIVA[[#This Row],[QT_CANA_REST1]]&gt;0,ESTIMATIVA[[#This Row],[QT_CANA_REST1]],
  IF(ESTIMATIVA[[#This Row],[QT_CANA_REAL]]&gt;0,ESTIMATIVA[[#This Row],[QT_CANA_REAL]],ESTIMATIVA[[#This Row],[QT_CANA_EST]]))</f>
        <v>1605.54</v>
      </c>
      <c r="AC160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1605.54</v>
      </c>
      <c r="AD1604" s="1">
        <f>IF(ESTIMATIVA[[#This Row],[QT_AREA_REAL]]&gt;0,ESTIMATIVA[[#This Row],[QT_CANA_REAL]],ESTIMATIVA[[#This Row],[QT_CANA_EST]])</f>
        <v>1605.54</v>
      </c>
      <c r="AE1604" s="1">
        <f>IF(ESTIMATIVA[[#This Row],[QT_AREA_REAL]]&gt;0,ESTIMATIVA[[#This Row],[QT_CANA_REAL]],ESTIMATIVA[[#This Row],[QT_CANA_REST1]])</f>
        <v>1605.54</v>
      </c>
      <c r="AF1604" s="1">
        <f>IF(ESTIMATIVA[[#This Row],[QT_AREA_REAL]]&gt;0,ESTIMATIVA[[#This Row],[QT_CANA_REAL]],ESTIMATIVA[[#This Row],[QT_CANA_REST2]])</f>
        <v>1605.54</v>
      </c>
      <c r="AG1604" s="1" t="str">
        <f>IF(COUNTIFS(GEADA!A:A,VALUE(ESTIMATIVA[[#This Row],[CD_UPNIVEL1]]&amp;TEXT(ESTIMATIVA[[#This Row],[CD_UPNIVEL3]],"0000")))&gt;0,"S","N")</f>
        <v>N</v>
      </c>
      <c r="AH160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04" s="55" t="str">
        <f>IF(ESTIMATIVA[[#This Row],[TP_CULTIVO]]="Irrigado",_xlfn.MAXIFS(IRRIGADO!J:J,IRRIGADO!C:C,ESTIMATIVA[[#This Row],[CD_UPNIVEL1]],IRRIGADO!E:E,ESTIMATIVA[[#This Row],[CD_UPNIVEL3]]),"")</f>
        <v/>
      </c>
      <c r="AJ160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04" s="1">
        <f>COUNTIFS(Apresentação!$E$23:$E$29,ESTIMATIVA[[#This Row],[CD_UPNIVEL1]])</f>
        <v>0</v>
      </c>
    </row>
    <row r="1605" spans="1:37" x14ac:dyDescent="0.3">
      <c r="A1605">
        <v>20579</v>
      </c>
      <c r="B1605" t="s">
        <v>22</v>
      </c>
      <c r="C1605">
        <v>30</v>
      </c>
      <c r="D1605">
        <v>1</v>
      </c>
      <c r="E1605" t="s">
        <v>267</v>
      </c>
      <c r="F1605" s="85" t="s">
        <v>331</v>
      </c>
      <c r="G1605"/>
      <c r="H1605" t="s">
        <v>295</v>
      </c>
      <c r="I1605" t="s">
        <v>211</v>
      </c>
      <c r="J1605" t="s">
        <v>175</v>
      </c>
      <c r="K1605" s="1">
        <v>1.37</v>
      </c>
      <c r="L1605" s="1">
        <v>0</v>
      </c>
      <c r="M1605" s="1">
        <v>0</v>
      </c>
      <c r="N1605" s="1">
        <v>1.37</v>
      </c>
      <c r="O1605" s="1">
        <v>147.96</v>
      </c>
      <c r="P1605" s="1">
        <v>0</v>
      </c>
      <c r="Q1605" s="1">
        <v>0</v>
      </c>
      <c r="R1605" s="1">
        <v>144.43</v>
      </c>
      <c r="S1605" t="s">
        <v>12</v>
      </c>
      <c r="T1605" s="13">
        <v>45837</v>
      </c>
      <c r="U1605" s="1" t="str">
        <f>IF(ESTIMATIVA[[#This Row],[QT_AREA_REAL]]&gt;0,"1- Colhido","2- à Colher")</f>
        <v>1- Colhido</v>
      </c>
      <c r="V1605" s="1" t="str">
        <f>IF(ESTIMATIVA[[#This Row],[QT_AREA_REST1]]&gt;0,"Reestimativa 1",IF(ESTIMATIVA[[#This Row],[QT_AREA_REAL]]=0,"Reestimativa 1","Realizado"))</f>
        <v>Realizado</v>
      </c>
      <c r="W1605" s="1" t="str">
        <f>IF(ESTIMATIVA[[#This Row],[QT_AREA_REST2]]&gt;0,"Reestimativa 2",IF(ESTIMATIVA[[#This Row],[QT_AREA_REAL]]=0,"Reestimativa 2","Realizado"))</f>
        <v>Realizado</v>
      </c>
      <c r="X1605" s="1">
        <f>ESTIMATIVA[[#This Row],[QT_AREA_EST]]</f>
        <v>1.37</v>
      </c>
      <c r="Y1605" s="1">
        <f>IF(ESTIMATIVA[[#This Row],[QT_AREA_REST1]]&gt;0,ESTIMATIVA[[#This Row],[QT_AREA_REST1]],
  IF(ESTIMATIVA[[#This Row],[QT_AREA_REAL]]&gt;0,ESTIMATIVA[[#This Row],[QT_AREA_REAL]],ESTIMATIVA[[#This Row],[QT_AREA_EST]]))</f>
        <v>1.37</v>
      </c>
      <c r="Z160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1.37</v>
      </c>
      <c r="AA1605" s="1">
        <f>ESTIMATIVA[[#This Row],[QT_CANA_EST]]</f>
        <v>147.96</v>
      </c>
      <c r="AB1605" s="1">
        <f>IF(ESTIMATIVA[[#This Row],[QT_CANA_REST1]]&gt;0,ESTIMATIVA[[#This Row],[QT_CANA_REST1]],
  IF(ESTIMATIVA[[#This Row],[QT_CANA_REAL]]&gt;0,ESTIMATIVA[[#This Row],[QT_CANA_REAL]],ESTIMATIVA[[#This Row],[QT_CANA_EST]]))</f>
        <v>144.43</v>
      </c>
      <c r="AC160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144.43</v>
      </c>
      <c r="AD1605" s="1">
        <f>IF(ESTIMATIVA[[#This Row],[QT_AREA_REAL]]&gt;0,ESTIMATIVA[[#This Row],[QT_CANA_REAL]],ESTIMATIVA[[#This Row],[QT_CANA_EST]])</f>
        <v>144.43</v>
      </c>
      <c r="AE1605" s="1">
        <f>IF(ESTIMATIVA[[#This Row],[QT_AREA_REAL]]&gt;0,ESTIMATIVA[[#This Row],[QT_CANA_REAL]],ESTIMATIVA[[#This Row],[QT_CANA_REST1]])</f>
        <v>144.43</v>
      </c>
      <c r="AF1605" s="1">
        <f>IF(ESTIMATIVA[[#This Row],[QT_AREA_REAL]]&gt;0,ESTIMATIVA[[#This Row],[QT_CANA_REAL]],ESTIMATIVA[[#This Row],[QT_CANA_REST2]])</f>
        <v>144.43</v>
      </c>
      <c r="AG1605" s="1" t="str">
        <f>IF(COUNTIFS(GEADA!A:A,VALUE(ESTIMATIVA[[#This Row],[CD_UPNIVEL1]]&amp;TEXT(ESTIMATIVA[[#This Row],[CD_UPNIVEL3]],"0000")))&gt;0,"S","N")</f>
        <v>N</v>
      </c>
      <c r="AH160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05" s="55" t="str">
        <f>IF(ESTIMATIVA[[#This Row],[TP_CULTIVO]]="Irrigado",_xlfn.MAXIFS(IRRIGADO!J:J,IRRIGADO!C:C,ESTIMATIVA[[#This Row],[CD_UPNIVEL1]],IRRIGADO!E:E,ESTIMATIVA[[#This Row],[CD_UPNIVEL3]]),"")</f>
        <v/>
      </c>
      <c r="AJ160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05" s="1">
        <f>COUNTIFS(Apresentação!$E$23:$E$29,ESTIMATIVA[[#This Row],[CD_UPNIVEL1]])</f>
        <v>0</v>
      </c>
    </row>
    <row r="1606" spans="1:37" x14ac:dyDescent="0.3">
      <c r="A1606">
        <v>20579</v>
      </c>
      <c r="B1606" t="s">
        <v>22</v>
      </c>
      <c r="C1606">
        <v>31</v>
      </c>
      <c r="D1606">
        <v>1</v>
      </c>
      <c r="E1606" t="s">
        <v>264</v>
      </c>
      <c r="F1606" s="85" t="s">
        <v>332</v>
      </c>
      <c r="G1606"/>
      <c r="H1606" t="s">
        <v>295</v>
      </c>
      <c r="I1606" t="s">
        <v>208</v>
      </c>
      <c r="J1606" t="s">
        <v>175</v>
      </c>
      <c r="K1606" s="1">
        <v>2.52</v>
      </c>
      <c r="L1606" s="1">
        <v>0</v>
      </c>
      <c r="M1606" s="1">
        <v>0</v>
      </c>
      <c r="N1606" s="1">
        <v>2.52</v>
      </c>
      <c r="O1606" s="1">
        <v>252</v>
      </c>
      <c r="P1606" s="1">
        <v>0</v>
      </c>
      <c r="Q1606" s="1">
        <v>0</v>
      </c>
      <c r="R1606" s="1">
        <v>245.71</v>
      </c>
      <c r="S1606" t="s">
        <v>12</v>
      </c>
      <c r="T1606" s="13">
        <v>45844</v>
      </c>
      <c r="U1606" s="1" t="str">
        <f>IF(ESTIMATIVA[[#This Row],[QT_AREA_REAL]]&gt;0,"1- Colhido","2- à Colher")</f>
        <v>1- Colhido</v>
      </c>
      <c r="V1606" s="1" t="str">
        <f>IF(ESTIMATIVA[[#This Row],[QT_AREA_REST1]]&gt;0,"Reestimativa 1",IF(ESTIMATIVA[[#This Row],[QT_AREA_REAL]]=0,"Reestimativa 1","Realizado"))</f>
        <v>Realizado</v>
      </c>
      <c r="W1606" s="1" t="str">
        <f>IF(ESTIMATIVA[[#This Row],[QT_AREA_REST2]]&gt;0,"Reestimativa 2",IF(ESTIMATIVA[[#This Row],[QT_AREA_REAL]]=0,"Reestimativa 2","Realizado"))</f>
        <v>Realizado</v>
      </c>
      <c r="X1606" s="1">
        <f>ESTIMATIVA[[#This Row],[QT_AREA_EST]]</f>
        <v>2.52</v>
      </c>
      <c r="Y1606" s="1">
        <f>IF(ESTIMATIVA[[#This Row],[QT_AREA_REST1]]&gt;0,ESTIMATIVA[[#This Row],[QT_AREA_REST1]],
  IF(ESTIMATIVA[[#This Row],[QT_AREA_REAL]]&gt;0,ESTIMATIVA[[#This Row],[QT_AREA_REAL]],ESTIMATIVA[[#This Row],[QT_AREA_EST]]))</f>
        <v>2.52</v>
      </c>
      <c r="Z160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2.52</v>
      </c>
      <c r="AA1606" s="1">
        <f>ESTIMATIVA[[#This Row],[QT_CANA_EST]]</f>
        <v>252</v>
      </c>
      <c r="AB1606" s="1">
        <f>IF(ESTIMATIVA[[#This Row],[QT_CANA_REST1]]&gt;0,ESTIMATIVA[[#This Row],[QT_CANA_REST1]],
  IF(ESTIMATIVA[[#This Row],[QT_CANA_REAL]]&gt;0,ESTIMATIVA[[#This Row],[QT_CANA_REAL]],ESTIMATIVA[[#This Row],[QT_CANA_EST]]))</f>
        <v>245.71</v>
      </c>
      <c r="AC160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245.71</v>
      </c>
      <c r="AD1606" s="1">
        <f>IF(ESTIMATIVA[[#This Row],[QT_AREA_REAL]]&gt;0,ESTIMATIVA[[#This Row],[QT_CANA_REAL]],ESTIMATIVA[[#This Row],[QT_CANA_EST]])</f>
        <v>245.71</v>
      </c>
      <c r="AE1606" s="1">
        <f>IF(ESTIMATIVA[[#This Row],[QT_AREA_REAL]]&gt;0,ESTIMATIVA[[#This Row],[QT_CANA_REAL]],ESTIMATIVA[[#This Row],[QT_CANA_REST1]])</f>
        <v>245.71</v>
      </c>
      <c r="AF1606" s="1">
        <f>IF(ESTIMATIVA[[#This Row],[QT_AREA_REAL]]&gt;0,ESTIMATIVA[[#This Row],[QT_CANA_REAL]],ESTIMATIVA[[#This Row],[QT_CANA_REST2]])</f>
        <v>245.71</v>
      </c>
      <c r="AG1606" s="1" t="str">
        <f>IF(COUNTIFS(GEADA!A:A,VALUE(ESTIMATIVA[[#This Row],[CD_UPNIVEL1]]&amp;TEXT(ESTIMATIVA[[#This Row],[CD_UPNIVEL3]],"0000")))&gt;0,"S","N")</f>
        <v>N</v>
      </c>
      <c r="AH160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06" s="55" t="str">
        <f>IF(ESTIMATIVA[[#This Row],[TP_CULTIVO]]="Irrigado",_xlfn.MAXIFS(IRRIGADO!J:J,IRRIGADO!C:C,ESTIMATIVA[[#This Row],[CD_UPNIVEL1]],IRRIGADO!E:E,ESTIMATIVA[[#This Row],[CD_UPNIVEL3]]),"")</f>
        <v/>
      </c>
      <c r="AJ160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06" s="1">
        <f>COUNTIFS(Apresentação!$E$23:$E$29,ESTIMATIVA[[#This Row],[CD_UPNIVEL1]])</f>
        <v>0</v>
      </c>
    </row>
    <row r="1607" spans="1:37" x14ac:dyDescent="0.3">
      <c r="A1607">
        <v>20579</v>
      </c>
      <c r="B1607" t="s">
        <v>22</v>
      </c>
      <c r="C1607">
        <v>9009</v>
      </c>
      <c r="D1607">
        <v>2</v>
      </c>
      <c r="E1607" t="s">
        <v>266</v>
      </c>
      <c r="F1607" s="85" t="s">
        <v>332</v>
      </c>
      <c r="G1607"/>
      <c r="H1607" t="s">
        <v>295</v>
      </c>
      <c r="I1607" t="s">
        <v>226</v>
      </c>
      <c r="J1607" t="s">
        <v>175</v>
      </c>
      <c r="K1607" s="1">
        <v>6.62</v>
      </c>
      <c r="L1607" s="1">
        <v>6.62</v>
      </c>
      <c r="M1607" s="1">
        <v>6.62</v>
      </c>
      <c r="N1607" s="1">
        <v>6.62</v>
      </c>
      <c r="O1607" s="1">
        <v>397.2</v>
      </c>
      <c r="P1607" s="1">
        <v>397.2</v>
      </c>
      <c r="Q1607" s="1">
        <v>397.2</v>
      </c>
      <c r="R1607" s="1">
        <v>280.17</v>
      </c>
      <c r="S1607" t="s">
        <v>12</v>
      </c>
      <c r="T1607" s="13">
        <v>45956</v>
      </c>
      <c r="U1607" s="1" t="str">
        <f>IF(ESTIMATIVA[[#This Row],[QT_AREA_REAL]]&gt;0,"1- Colhido","2- à Colher")</f>
        <v>1- Colhido</v>
      </c>
      <c r="V1607" s="1" t="str">
        <f>IF(ESTIMATIVA[[#This Row],[QT_AREA_REST1]]&gt;0,"Reestimativa 1",IF(ESTIMATIVA[[#This Row],[QT_AREA_REAL]]=0,"Reestimativa 1","Realizado"))</f>
        <v>Reestimativa 1</v>
      </c>
      <c r="W1607" s="1" t="str">
        <f>IF(ESTIMATIVA[[#This Row],[QT_AREA_REST2]]&gt;0,"Reestimativa 2",IF(ESTIMATIVA[[#This Row],[QT_AREA_REAL]]=0,"Reestimativa 2","Realizado"))</f>
        <v>Reestimativa 2</v>
      </c>
      <c r="X1607" s="1">
        <f>ESTIMATIVA[[#This Row],[QT_AREA_EST]]</f>
        <v>6.62</v>
      </c>
      <c r="Y1607" s="1">
        <f>IF(ESTIMATIVA[[#This Row],[QT_AREA_REST1]]&gt;0,ESTIMATIVA[[#This Row],[QT_AREA_REST1]],
  IF(ESTIMATIVA[[#This Row],[QT_AREA_REAL]]&gt;0,ESTIMATIVA[[#This Row],[QT_AREA_REAL]],ESTIMATIVA[[#This Row],[QT_AREA_EST]]))</f>
        <v>6.62</v>
      </c>
      <c r="Z160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6.62</v>
      </c>
      <c r="AA1607" s="1">
        <f>ESTIMATIVA[[#This Row],[QT_CANA_EST]]</f>
        <v>397.2</v>
      </c>
      <c r="AB1607" s="1">
        <f>IF(ESTIMATIVA[[#This Row],[QT_CANA_REST1]]&gt;0,ESTIMATIVA[[#This Row],[QT_CANA_REST1]],
  IF(ESTIMATIVA[[#This Row],[QT_CANA_REAL]]&gt;0,ESTIMATIVA[[#This Row],[QT_CANA_REAL]],ESTIMATIVA[[#This Row],[QT_CANA_EST]]))</f>
        <v>397.2</v>
      </c>
      <c r="AC160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397.2</v>
      </c>
      <c r="AD1607" s="1">
        <f>IF(ESTIMATIVA[[#This Row],[QT_AREA_REAL]]&gt;0,ESTIMATIVA[[#This Row],[QT_CANA_REAL]],ESTIMATIVA[[#This Row],[QT_CANA_EST]])</f>
        <v>280.17</v>
      </c>
      <c r="AE1607" s="1">
        <f>IF(ESTIMATIVA[[#This Row],[QT_AREA_REAL]]&gt;0,ESTIMATIVA[[#This Row],[QT_CANA_REAL]],ESTIMATIVA[[#This Row],[QT_CANA_REST1]])</f>
        <v>280.17</v>
      </c>
      <c r="AF1607" s="1">
        <f>IF(ESTIMATIVA[[#This Row],[QT_AREA_REAL]]&gt;0,ESTIMATIVA[[#This Row],[QT_CANA_REAL]],ESTIMATIVA[[#This Row],[QT_CANA_REST2]])</f>
        <v>280.17</v>
      </c>
      <c r="AG1607" s="1" t="str">
        <f>IF(COUNTIFS(GEADA!A:A,VALUE(ESTIMATIVA[[#This Row],[CD_UPNIVEL1]]&amp;TEXT(ESTIMATIVA[[#This Row],[CD_UPNIVEL3]],"0000")))&gt;0,"S","N")</f>
        <v>N</v>
      </c>
      <c r="AH160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07" s="55" t="str">
        <f>IF(ESTIMATIVA[[#This Row],[TP_CULTIVO]]="Irrigado",_xlfn.MAXIFS(IRRIGADO!J:J,IRRIGADO!C:C,ESTIMATIVA[[#This Row],[CD_UPNIVEL1]],IRRIGADO!E:E,ESTIMATIVA[[#This Row],[CD_UPNIVEL3]]),"")</f>
        <v/>
      </c>
      <c r="AJ160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07" s="1">
        <f>COUNTIFS(Apresentação!$E$23:$E$29,ESTIMATIVA[[#This Row],[CD_UPNIVEL1]])</f>
        <v>0</v>
      </c>
    </row>
    <row r="1608" spans="1:37" x14ac:dyDescent="0.3">
      <c r="A1608">
        <v>20580</v>
      </c>
      <c r="B1608" t="s">
        <v>86</v>
      </c>
      <c r="C1608">
        <v>1</v>
      </c>
      <c r="D1608">
        <v>5</v>
      </c>
      <c r="E1608" t="s">
        <v>268</v>
      </c>
      <c r="F1608" s="85" t="s">
        <v>331</v>
      </c>
      <c r="G1608"/>
      <c r="H1608" t="s">
        <v>294</v>
      </c>
      <c r="I1608" t="s">
        <v>221</v>
      </c>
      <c r="J1608" t="s">
        <v>176</v>
      </c>
      <c r="K1608" s="1">
        <v>19.670000000000002</v>
      </c>
      <c r="L1608" s="1">
        <v>0</v>
      </c>
      <c r="M1608" s="1">
        <v>0</v>
      </c>
      <c r="N1608" s="1">
        <v>19.670000000000002</v>
      </c>
      <c r="O1608" s="1">
        <v>983.5</v>
      </c>
      <c r="P1608" s="1">
        <v>0</v>
      </c>
      <c r="Q1608" s="1">
        <v>0</v>
      </c>
      <c r="R1608" s="1">
        <v>962.9</v>
      </c>
      <c r="S1608" t="s">
        <v>12</v>
      </c>
      <c r="T1608" s="13">
        <v>45886</v>
      </c>
      <c r="U1608" s="1" t="str">
        <f>IF(ESTIMATIVA[[#This Row],[QT_AREA_REAL]]&gt;0,"1- Colhido","2- à Colher")</f>
        <v>1- Colhido</v>
      </c>
      <c r="V1608" s="1" t="str">
        <f>IF(ESTIMATIVA[[#This Row],[QT_AREA_REST1]]&gt;0,"Reestimativa 1",IF(ESTIMATIVA[[#This Row],[QT_AREA_REAL]]=0,"Reestimativa 1","Realizado"))</f>
        <v>Realizado</v>
      </c>
      <c r="W1608" s="1" t="str">
        <f>IF(ESTIMATIVA[[#This Row],[QT_AREA_REST2]]&gt;0,"Reestimativa 2",IF(ESTIMATIVA[[#This Row],[QT_AREA_REAL]]=0,"Reestimativa 2","Realizado"))</f>
        <v>Realizado</v>
      </c>
      <c r="X1608" s="1">
        <f>ESTIMATIVA[[#This Row],[QT_AREA_EST]]</f>
        <v>19.670000000000002</v>
      </c>
      <c r="Y1608" s="1">
        <f>IF(ESTIMATIVA[[#This Row],[QT_AREA_REST1]]&gt;0,ESTIMATIVA[[#This Row],[QT_AREA_REST1]],
  IF(ESTIMATIVA[[#This Row],[QT_AREA_REAL]]&gt;0,ESTIMATIVA[[#This Row],[QT_AREA_REAL]],ESTIMATIVA[[#This Row],[QT_AREA_EST]]))</f>
        <v>19.670000000000002</v>
      </c>
      <c r="Z160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19.670000000000002</v>
      </c>
      <c r="AA1608" s="1">
        <f>ESTIMATIVA[[#This Row],[QT_CANA_EST]]</f>
        <v>983.5</v>
      </c>
      <c r="AB1608" s="1">
        <f>IF(ESTIMATIVA[[#This Row],[QT_CANA_REST1]]&gt;0,ESTIMATIVA[[#This Row],[QT_CANA_REST1]],
  IF(ESTIMATIVA[[#This Row],[QT_CANA_REAL]]&gt;0,ESTIMATIVA[[#This Row],[QT_CANA_REAL]],ESTIMATIVA[[#This Row],[QT_CANA_EST]]))</f>
        <v>962.9</v>
      </c>
      <c r="AC160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962.9</v>
      </c>
      <c r="AD1608" s="1">
        <f>IF(ESTIMATIVA[[#This Row],[QT_AREA_REAL]]&gt;0,ESTIMATIVA[[#This Row],[QT_CANA_REAL]],ESTIMATIVA[[#This Row],[QT_CANA_EST]])</f>
        <v>962.9</v>
      </c>
      <c r="AE1608" s="1">
        <f>IF(ESTIMATIVA[[#This Row],[QT_AREA_REAL]]&gt;0,ESTIMATIVA[[#This Row],[QT_CANA_REAL]],ESTIMATIVA[[#This Row],[QT_CANA_REST1]])</f>
        <v>962.9</v>
      </c>
      <c r="AF1608" s="1">
        <f>IF(ESTIMATIVA[[#This Row],[QT_AREA_REAL]]&gt;0,ESTIMATIVA[[#This Row],[QT_CANA_REAL]],ESTIMATIVA[[#This Row],[QT_CANA_REST2]])</f>
        <v>962.9</v>
      </c>
      <c r="AG1608" s="1" t="str">
        <f>IF(COUNTIFS(GEADA!A:A,VALUE(ESTIMATIVA[[#This Row],[CD_UPNIVEL1]]&amp;TEXT(ESTIMATIVA[[#This Row],[CD_UPNIVEL3]],"0000")))&gt;0,"S","N")</f>
        <v>S</v>
      </c>
      <c r="AH160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08" s="55" t="str">
        <f>IF(ESTIMATIVA[[#This Row],[TP_CULTIVO]]="Irrigado",_xlfn.MAXIFS(IRRIGADO!J:J,IRRIGADO!C:C,ESTIMATIVA[[#This Row],[CD_UPNIVEL1]],IRRIGADO!E:E,ESTIMATIVA[[#This Row],[CD_UPNIVEL3]]),"")</f>
        <v/>
      </c>
      <c r="AJ160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08" s="1">
        <f>COUNTIFS(Apresentação!$E$23:$E$29,ESTIMATIVA[[#This Row],[CD_UPNIVEL1]])</f>
        <v>0</v>
      </c>
    </row>
    <row r="1609" spans="1:37" x14ac:dyDescent="0.3">
      <c r="A1609">
        <v>20580</v>
      </c>
      <c r="B1609" t="s">
        <v>86</v>
      </c>
      <c r="C1609">
        <v>2</v>
      </c>
      <c r="D1609">
        <v>7</v>
      </c>
      <c r="E1609" t="s">
        <v>270</v>
      </c>
      <c r="F1609" s="85" t="s">
        <v>331</v>
      </c>
      <c r="G1609"/>
      <c r="H1609" t="s">
        <v>294</v>
      </c>
      <c r="I1609" t="s">
        <v>221</v>
      </c>
      <c r="J1609" t="s">
        <v>176</v>
      </c>
      <c r="K1609" s="1">
        <v>37.99</v>
      </c>
      <c r="L1609" s="1">
        <v>0</v>
      </c>
      <c r="M1609" s="1">
        <v>0</v>
      </c>
      <c r="N1609" s="1">
        <v>37.99</v>
      </c>
      <c r="O1609" s="1">
        <v>1899.5</v>
      </c>
      <c r="P1609" s="1">
        <v>0</v>
      </c>
      <c r="Q1609" s="1">
        <v>0</v>
      </c>
      <c r="R1609" s="1">
        <v>1868.73</v>
      </c>
      <c r="S1609" t="s">
        <v>12</v>
      </c>
      <c r="T1609" s="13">
        <v>45886</v>
      </c>
      <c r="U1609" s="1" t="str">
        <f>IF(ESTIMATIVA[[#This Row],[QT_AREA_REAL]]&gt;0,"1- Colhido","2- à Colher")</f>
        <v>1- Colhido</v>
      </c>
      <c r="V1609" s="1" t="str">
        <f>IF(ESTIMATIVA[[#This Row],[QT_AREA_REST1]]&gt;0,"Reestimativa 1",IF(ESTIMATIVA[[#This Row],[QT_AREA_REAL]]=0,"Reestimativa 1","Realizado"))</f>
        <v>Realizado</v>
      </c>
      <c r="W1609" s="1" t="str">
        <f>IF(ESTIMATIVA[[#This Row],[QT_AREA_REST2]]&gt;0,"Reestimativa 2",IF(ESTIMATIVA[[#This Row],[QT_AREA_REAL]]=0,"Reestimativa 2","Realizado"))</f>
        <v>Realizado</v>
      </c>
      <c r="X1609" s="1">
        <f>ESTIMATIVA[[#This Row],[QT_AREA_EST]]</f>
        <v>37.99</v>
      </c>
      <c r="Y1609" s="1">
        <f>IF(ESTIMATIVA[[#This Row],[QT_AREA_REST1]]&gt;0,ESTIMATIVA[[#This Row],[QT_AREA_REST1]],
  IF(ESTIMATIVA[[#This Row],[QT_AREA_REAL]]&gt;0,ESTIMATIVA[[#This Row],[QT_AREA_REAL]],ESTIMATIVA[[#This Row],[QT_AREA_EST]]))</f>
        <v>37.99</v>
      </c>
      <c r="Z160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37.99</v>
      </c>
      <c r="AA1609" s="1">
        <f>ESTIMATIVA[[#This Row],[QT_CANA_EST]]</f>
        <v>1899.5</v>
      </c>
      <c r="AB1609" s="1">
        <f>IF(ESTIMATIVA[[#This Row],[QT_CANA_REST1]]&gt;0,ESTIMATIVA[[#This Row],[QT_CANA_REST1]],
  IF(ESTIMATIVA[[#This Row],[QT_CANA_REAL]]&gt;0,ESTIMATIVA[[#This Row],[QT_CANA_REAL]],ESTIMATIVA[[#This Row],[QT_CANA_EST]]))</f>
        <v>1868.73</v>
      </c>
      <c r="AC160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1868.73</v>
      </c>
      <c r="AD1609" s="1">
        <f>IF(ESTIMATIVA[[#This Row],[QT_AREA_REAL]]&gt;0,ESTIMATIVA[[#This Row],[QT_CANA_REAL]],ESTIMATIVA[[#This Row],[QT_CANA_EST]])</f>
        <v>1868.73</v>
      </c>
      <c r="AE1609" s="1">
        <f>IF(ESTIMATIVA[[#This Row],[QT_AREA_REAL]]&gt;0,ESTIMATIVA[[#This Row],[QT_CANA_REAL]],ESTIMATIVA[[#This Row],[QT_CANA_REST1]])</f>
        <v>1868.73</v>
      </c>
      <c r="AF1609" s="1">
        <f>IF(ESTIMATIVA[[#This Row],[QT_AREA_REAL]]&gt;0,ESTIMATIVA[[#This Row],[QT_CANA_REAL]],ESTIMATIVA[[#This Row],[QT_CANA_REST2]])</f>
        <v>1868.73</v>
      </c>
      <c r="AG1609" s="1" t="str">
        <f>IF(COUNTIFS(GEADA!A:A,VALUE(ESTIMATIVA[[#This Row],[CD_UPNIVEL1]]&amp;TEXT(ESTIMATIVA[[#This Row],[CD_UPNIVEL3]],"0000")))&gt;0,"S","N")</f>
        <v>N</v>
      </c>
      <c r="AH160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09" s="55" t="str">
        <f>IF(ESTIMATIVA[[#This Row],[TP_CULTIVO]]="Irrigado",_xlfn.MAXIFS(IRRIGADO!J:J,IRRIGADO!C:C,ESTIMATIVA[[#This Row],[CD_UPNIVEL1]],IRRIGADO!E:E,ESTIMATIVA[[#This Row],[CD_UPNIVEL3]]),"")</f>
        <v/>
      </c>
      <c r="AJ160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09" s="1">
        <f>COUNTIFS(Apresentação!$E$23:$E$29,ESTIMATIVA[[#This Row],[CD_UPNIVEL1]])</f>
        <v>0</v>
      </c>
    </row>
    <row r="1610" spans="1:37" x14ac:dyDescent="0.3">
      <c r="A1610">
        <v>20580</v>
      </c>
      <c r="B1610" t="s">
        <v>86</v>
      </c>
      <c r="C1610">
        <v>3</v>
      </c>
      <c r="D1610">
        <v>7</v>
      </c>
      <c r="E1610" t="s">
        <v>270</v>
      </c>
      <c r="F1610" s="85" t="s">
        <v>331</v>
      </c>
      <c r="G1610"/>
      <c r="H1610" t="s">
        <v>294</v>
      </c>
      <c r="I1610" t="s">
        <v>221</v>
      </c>
      <c r="J1610" t="s">
        <v>176</v>
      </c>
      <c r="K1610" s="1">
        <v>10.41</v>
      </c>
      <c r="L1610" s="1">
        <v>0</v>
      </c>
      <c r="M1610" s="1">
        <v>0</v>
      </c>
      <c r="N1610" s="1">
        <v>10.41</v>
      </c>
      <c r="O1610" s="1">
        <v>520.5</v>
      </c>
      <c r="P1610" s="1">
        <v>0</v>
      </c>
      <c r="Q1610" s="1">
        <v>0</v>
      </c>
      <c r="R1610" s="1">
        <v>512.36</v>
      </c>
      <c r="S1610" t="s">
        <v>12</v>
      </c>
      <c r="T1610" s="13">
        <v>45886</v>
      </c>
      <c r="U1610" s="1" t="str">
        <f>IF(ESTIMATIVA[[#This Row],[QT_AREA_REAL]]&gt;0,"1- Colhido","2- à Colher")</f>
        <v>1- Colhido</v>
      </c>
      <c r="V1610" s="1" t="str">
        <f>IF(ESTIMATIVA[[#This Row],[QT_AREA_REST1]]&gt;0,"Reestimativa 1",IF(ESTIMATIVA[[#This Row],[QT_AREA_REAL]]=0,"Reestimativa 1","Realizado"))</f>
        <v>Realizado</v>
      </c>
      <c r="W1610" s="1" t="str">
        <f>IF(ESTIMATIVA[[#This Row],[QT_AREA_REST2]]&gt;0,"Reestimativa 2",IF(ESTIMATIVA[[#This Row],[QT_AREA_REAL]]=0,"Reestimativa 2","Realizado"))</f>
        <v>Realizado</v>
      </c>
      <c r="X1610" s="1">
        <f>ESTIMATIVA[[#This Row],[QT_AREA_EST]]</f>
        <v>10.41</v>
      </c>
      <c r="Y1610" s="1">
        <f>IF(ESTIMATIVA[[#This Row],[QT_AREA_REST1]]&gt;0,ESTIMATIVA[[#This Row],[QT_AREA_REST1]],
  IF(ESTIMATIVA[[#This Row],[QT_AREA_REAL]]&gt;0,ESTIMATIVA[[#This Row],[QT_AREA_REAL]],ESTIMATIVA[[#This Row],[QT_AREA_EST]]))</f>
        <v>10.41</v>
      </c>
      <c r="Z161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10.41</v>
      </c>
      <c r="AA1610" s="1">
        <f>ESTIMATIVA[[#This Row],[QT_CANA_EST]]</f>
        <v>520.5</v>
      </c>
      <c r="AB1610" s="1">
        <f>IF(ESTIMATIVA[[#This Row],[QT_CANA_REST1]]&gt;0,ESTIMATIVA[[#This Row],[QT_CANA_REST1]],
  IF(ESTIMATIVA[[#This Row],[QT_CANA_REAL]]&gt;0,ESTIMATIVA[[#This Row],[QT_CANA_REAL]],ESTIMATIVA[[#This Row],[QT_CANA_EST]]))</f>
        <v>512.36</v>
      </c>
      <c r="AC161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512.36</v>
      </c>
      <c r="AD1610" s="1">
        <f>IF(ESTIMATIVA[[#This Row],[QT_AREA_REAL]]&gt;0,ESTIMATIVA[[#This Row],[QT_CANA_REAL]],ESTIMATIVA[[#This Row],[QT_CANA_EST]])</f>
        <v>512.36</v>
      </c>
      <c r="AE1610" s="1">
        <f>IF(ESTIMATIVA[[#This Row],[QT_AREA_REAL]]&gt;0,ESTIMATIVA[[#This Row],[QT_CANA_REAL]],ESTIMATIVA[[#This Row],[QT_CANA_REST1]])</f>
        <v>512.36</v>
      </c>
      <c r="AF1610" s="1">
        <f>IF(ESTIMATIVA[[#This Row],[QT_AREA_REAL]]&gt;0,ESTIMATIVA[[#This Row],[QT_CANA_REAL]],ESTIMATIVA[[#This Row],[QT_CANA_REST2]])</f>
        <v>512.36</v>
      </c>
      <c r="AG1610" s="1" t="str">
        <f>IF(COUNTIFS(GEADA!A:A,VALUE(ESTIMATIVA[[#This Row],[CD_UPNIVEL1]]&amp;TEXT(ESTIMATIVA[[#This Row],[CD_UPNIVEL3]],"0000")))&gt;0,"S","N")</f>
        <v>N</v>
      </c>
      <c r="AH161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10" s="55" t="str">
        <f>IF(ESTIMATIVA[[#This Row],[TP_CULTIVO]]="Irrigado",_xlfn.MAXIFS(IRRIGADO!J:J,IRRIGADO!C:C,ESTIMATIVA[[#This Row],[CD_UPNIVEL1]],IRRIGADO!E:E,ESTIMATIVA[[#This Row],[CD_UPNIVEL3]]),"")</f>
        <v/>
      </c>
      <c r="AJ161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10" s="1">
        <f>COUNTIFS(Apresentação!$E$23:$E$29,ESTIMATIVA[[#This Row],[CD_UPNIVEL1]])</f>
        <v>0</v>
      </c>
    </row>
    <row r="1611" spans="1:37" x14ac:dyDescent="0.3">
      <c r="A1611">
        <v>20580</v>
      </c>
      <c r="B1611" t="s">
        <v>86</v>
      </c>
      <c r="C1611">
        <v>4</v>
      </c>
      <c r="D1611">
        <v>7</v>
      </c>
      <c r="E1611" t="s">
        <v>270</v>
      </c>
      <c r="F1611" s="85" t="s">
        <v>331</v>
      </c>
      <c r="G1611"/>
      <c r="H1611" t="s">
        <v>294</v>
      </c>
      <c r="I1611" t="s">
        <v>221</v>
      </c>
      <c r="J1611" t="s">
        <v>176</v>
      </c>
      <c r="K1611" s="1">
        <v>31.66</v>
      </c>
      <c r="L1611" s="1">
        <v>0</v>
      </c>
      <c r="M1611" s="1">
        <v>0</v>
      </c>
      <c r="N1611" s="1">
        <v>31.66</v>
      </c>
      <c r="O1611" s="1">
        <v>1583</v>
      </c>
      <c r="P1611" s="1">
        <v>0</v>
      </c>
      <c r="Q1611" s="1">
        <v>0</v>
      </c>
      <c r="R1611" s="1">
        <v>1557.91</v>
      </c>
      <c r="S1611" t="s">
        <v>12</v>
      </c>
      <c r="T1611" s="13">
        <v>45886</v>
      </c>
      <c r="U1611" s="1" t="str">
        <f>IF(ESTIMATIVA[[#This Row],[QT_AREA_REAL]]&gt;0,"1- Colhido","2- à Colher")</f>
        <v>1- Colhido</v>
      </c>
      <c r="V1611" s="1" t="str">
        <f>IF(ESTIMATIVA[[#This Row],[QT_AREA_REST1]]&gt;0,"Reestimativa 1",IF(ESTIMATIVA[[#This Row],[QT_AREA_REAL]]=0,"Reestimativa 1","Realizado"))</f>
        <v>Realizado</v>
      </c>
      <c r="W1611" s="1" t="str">
        <f>IF(ESTIMATIVA[[#This Row],[QT_AREA_REST2]]&gt;0,"Reestimativa 2",IF(ESTIMATIVA[[#This Row],[QT_AREA_REAL]]=0,"Reestimativa 2","Realizado"))</f>
        <v>Realizado</v>
      </c>
      <c r="X1611" s="1">
        <f>ESTIMATIVA[[#This Row],[QT_AREA_EST]]</f>
        <v>31.66</v>
      </c>
      <c r="Y1611" s="1">
        <f>IF(ESTIMATIVA[[#This Row],[QT_AREA_REST1]]&gt;0,ESTIMATIVA[[#This Row],[QT_AREA_REST1]],
  IF(ESTIMATIVA[[#This Row],[QT_AREA_REAL]]&gt;0,ESTIMATIVA[[#This Row],[QT_AREA_REAL]],ESTIMATIVA[[#This Row],[QT_AREA_EST]]))</f>
        <v>31.66</v>
      </c>
      <c r="Z161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31.66</v>
      </c>
      <c r="AA1611" s="1">
        <f>ESTIMATIVA[[#This Row],[QT_CANA_EST]]</f>
        <v>1583</v>
      </c>
      <c r="AB1611" s="1">
        <f>IF(ESTIMATIVA[[#This Row],[QT_CANA_REST1]]&gt;0,ESTIMATIVA[[#This Row],[QT_CANA_REST1]],
  IF(ESTIMATIVA[[#This Row],[QT_CANA_REAL]]&gt;0,ESTIMATIVA[[#This Row],[QT_CANA_REAL]],ESTIMATIVA[[#This Row],[QT_CANA_EST]]))</f>
        <v>1557.91</v>
      </c>
      <c r="AC161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1557.91</v>
      </c>
      <c r="AD1611" s="1">
        <f>IF(ESTIMATIVA[[#This Row],[QT_AREA_REAL]]&gt;0,ESTIMATIVA[[#This Row],[QT_CANA_REAL]],ESTIMATIVA[[#This Row],[QT_CANA_EST]])</f>
        <v>1557.91</v>
      </c>
      <c r="AE1611" s="1">
        <f>IF(ESTIMATIVA[[#This Row],[QT_AREA_REAL]]&gt;0,ESTIMATIVA[[#This Row],[QT_CANA_REAL]],ESTIMATIVA[[#This Row],[QT_CANA_REST1]])</f>
        <v>1557.91</v>
      </c>
      <c r="AF1611" s="1">
        <f>IF(ESTIMATIVA[[#This Row],[QT_AREA_REAL]]&gt;0,ESTIMATIVA[[#This Row],[QT_CANA_REAL]],ESTIMATIVA[[#This Row],[QT_CANA_REST2]])</f>
        <v>1557.91</v>
      </c>
      <c r="AG1611" s="1" t="str">
        <f>IF(COUNTIFS(GEADA!A:A,VALUE(ESTIMATIVA[[#This Row],[CD_UPNIVEL1]]&amp;TEXT(ESTIMATIVA[[#This Row],[CD_UPNIVEL3]],"0000")))&gt;0,"S","N")</f>
        <v>N</v>
      </c>
      <c r="AH161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11" s="55" t="str">
        <f>IF(ESTIMATIVA[[#This Row],[TP_CULTIVO]]="Irrigado",_xlfn.MAXIFS(IRRIGADO!J:J,IRRIGADO!C:C,ESTIMATIVA[[#This Row],[CD_UPNIVEL1]],IRRIGADO!E:E,ESTIMATIVA[[#This Row],[CD_UPNIVEL3]]),"")</f>
        <v/>
      </c>
      <c r="AJ161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11" s="1">
        <f>COUNTIFS(Apresentação!$E$23:$E$29,ESTIMATIVA[[#This Row],[CD_UPNIVEL1]])</f>
        <v>0</v>
      </c>
    </row>
    <row r="1612" spans="1:37" x14ac:dyDescent="0.3">
      <c r="A1612">
        <v>20580</v>
      </c>
      <c r="B1612" t="s">
        <v>86</v>
      </c>
      <c r="C1612">
        <v>5</v>
      </c>
      <c r="D1612">
        <v>7</v>
      </c>
      <c r="E1612" t="s">
        <v>270</v>
      </c>
      <c r="F1612" s="85" t="s">
        <v>331</v>
      </c>
      <c r="G1612"/>
      <c r="H1612" t="s">
        <v>294</v>
      </c>
      <c r="I1612" t="s">
        <v>221</v>
      </c>
      <c r="J1612" t="s">
        <v>176</v>
      </c>
      <c r="K1612" s="1">
        <v>44.78</v>
      </c>
      <c r="L1612" s="1">
        <v>0</v>
      </c>
      <c r="M1612" s="1">
        <v>0</v>
      </c>
      <c r="N1612" s="1">
        <v>44.78</v>
      </c>
      <c r="O1612" s="1">
        <v>2239</v>
      </c>
      <c r="P1612" s="1">
        <v>0</v>
      </c>
      <c r="Q1612" s="1">
        <v>0</v>
      </c>
      <c r="R1612" s="1">
        <v>2202.62</v>
      </c>
      <c r="S1612" t="s">
        <v>12</v>
      </c>
      <c r="T1612" s="13">
        <v>45886</v>
      </c>
      <c r="U1612" s="1" t="str">
        <f>IF(ESTIMATIVA[[#This Row],[QT_AREA_REAL]]&gt;0,"1- Colhido","2- à Colher")</f>
        <v>1- Colhido</v>
      </c>
      <c r="V1612" s="1" t="str">
        <f>IF(ESTIMATIVA[[#This Row],[QT_AREA_REST1]]&gt;0,"Reestimativa 1",IF(ESTIMATIVA[[#This Row],[QT_AREA_REAL]]=0,"Reestimativa 1","Realizado"))</f>
        <v>Realizado</v>
      </c>
      <c r="W1612" s="1" t="str">
        <f>IF(ESTIMATIVA[[#This Row],[QT_AREA_REST2]]&gt;0,"Reestimativa 2",IF(ESTIMATIVA[[#This Row],[QT_AREA_REAL]]=0,"Reestimativa 2","Realizado"))</f>
        <v>Realizado</v>
      </c>
      <c r="X1612" s="1">
        <f>ESTIMATIVA[[#This Row],[QT_AREA_EST]]</f>
        <v>44.78</v>
      </c>
      <c r="Y1612" s="1">
        <f>IF(ESTIMATIVA[[#This Row],[QT_AREA_REST1]]&gt;0,ESTIMATIVA[[#This Row],[QT_AREA_REST1]],
  IF(ESTIMATIVA[[#This Row],[QT_AREA_REAL]]&gt;0,ESTIMATIVA[[#This Row],[QT_AREA_REAL]],ESTIMATIVA[[#This Row],[QT_AREA_EST]]))</f>
        <v>44.78</v>
      </c>
      <c r="Z161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44.78</v>
      </c>
      <c r="AA1612" s="1">
        <f>ESTIMATIVA[[#This Row],[QT_CANA_EST]]</f>
        <v>2239</v>
      </c>
      <c r="AB1612" s="1">
        <f>IF(ESTIMATIVA[[#This Row],[QT_CANA_REST1]]&gt;0,ESTIMATIVA[[#This Row],[QT_CANA_REST1]],
  IF(ESTIMATIVA[[#This Row],[QT_CANA_REAL]]&gt;0,ESTIMATIVA[[#This Row],[QT_CANA_REAL]],ESTIMATIVA[[#This Row],[QT_CANA_EST]]))</f>
        <v>2202.62</v>
      </c>
      <c r="AC161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2202.62</v>
      </c>
      <c r="AD1612" s="1">
        <f>IF(ESTIMATIVA[[#This Row],[QT_AREA_REAL]]&gt;0,ESTIMATIVA[[#This Row],[QT_CANA_REAL]],ESTIMATIVA[[#This Row],[QT_CANA_EST]])</f>
        <v>2202.62</v>
      </c>
      <c r="AE1612" s="1">
        <f>IF(ESTIMATIVA[[#This Row],[QT_AREA_REAL]]&gt;0,ESTIMATIVA[[#This Row],[QT_CANA_REAL]],ESTIMATIVA[[#This Row],[QT_CANA_REST1]])</f>
        <v>2202.62</v>
      </c>
      <c r="AF1612" s="1">
        <f>IF(ESTIMATIVA[[#This Row],[QT_AREA_REAL]]&gt;0,ESTIMATIVA[[#This Row],[QT_CANA_REAL]],ESTIMATIVA[[#This Row],[QT_CANA_REST2]])</f>
        <v>2202.62</v>
      </c>
      <c r="AG1612" s="1" t="str">
        <f>IF(COUNTIFS(GEADA!A:A,VALUE(ESTIMATIVA[[#This Row],[CD_UPNIVEL1]]&amp;TEXT(ESTIMATIVA[[#This Row],[CD_UPNIVEL3]],"0000")))&gt;0,"S","N")</f>
        <v>N</v>
      </c>
      <c r="AH161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12" s="55" t="str">
        <f>IF(ESTIMATIVA[[#This Row],[TP_CULTIVO]]="Irrigado",_xlfn.MAXIFS(IRRIGADO!J:J,IRRIGADO!C:C,ESTIMATIVA[[#This Row],[CD_UPNIVEL1]],IRRIGADO!E:E,ESTIMATIVA[[#This Row],[CD_UPNIVEL3]]),"")</f>
        <v/>
      </c>
      <c r="AJ161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12" s="1">
        <f>COUNTIFS(Apresentação!$E$23:$E$29,ESTIMATIVA[[#This Row],[CD_UPNIVEL1]])</f>
        <v>0</v>
      </c>
    </row>
    <row r="1613" spans="1:37" x14ac:dyDescent="0.3">
      <c r="A1613">
        <v>20580</v>
      </c>
      <c r="B1613" t="s">
        <v>86</v>
      </c>
      <c r="C1613">
        <v>6</v>
      </c>
      <c r="D1613">
        <v>4</v>
      </c>
      <c r="E1613" t="s">
        <v>265</v>
      </c>
      <c r="F1613" s="85" t="s">
        <v>331</v>
      </c>
      <c r="G1613"/>
      <c r="H1613" t="s">
        <v>294</v>
      </c>
      <c r="I1613" t="s">
        <v>198</v>
      </c>
      <c r="J1613" t="s">
        <v>176</v>
      </c>
      <c r="K1613" s="1">
        <v>26.25</v>
      </c>
      <c r="L1613" s="1">
        <v>26.25</v>
      </c>
      <c r="M1613" s="1">
        <v>26.25</v>
      </c>
      <c r="N1613" s="1">
        <v>26.25</v>
      </c>
      <c r="O1613" s="1">
        <v>1522.5</v>
      </c>
      <c r="P1613" s="1">
        <v>1837.5</v>
      </c>
      <c r="Q1613" s="1">
        <v>1837.5</v>
      </c>
      <c r="R1613" s="1">
        <v>2380.12</v>
      </c>
      <c r="S1613" t="s">
        <v>12</v>
      </c>
      <c r="T1613" s="13">
        <v>45998</v>
      </c>
      <c r="U1613" s="1" t="str">
        <f>IF(ESTIMATIVA[[#This Row],[QT_AREA_REAL]]&gt;0,"1- Colhido","2- à Colher")</f>
        <v>1- Colhido</v>
      </c>
      <c r="V1613" s="1" t="str">
        <f>IF(ESTIMATIVA[[#This Row],[QT_AREA_REST1]]&gt;0,"Reestimativa 1",IF(ESTIMATIVA[[#This Row],[QT_AREA_REAL]]=0,"Reestimativa 1","Realizado"))</f>
        <v>Reestimativa 1</v>
      </c>
      <c r="W1613" s="1" t="str">
        <f>IF(ESTIMATIVA[[#This Row],[QT_AREA_REST2]]&gt;0,"Reestimativa 2",IF(ESTIMATIVA[[#This Row],[QT_AREA_REAL]]=0,"Reestimativa 2","Realizado"))</f>
        <v>Reestimativa 2</v>
      </c>
      <c r="X1613" s="1">
        <f>ESTIMATIVA[[#This Row],[QT_AREA_EST]]</f>
        <v>26.25</v>
      </c>
      <c r="Y1613" s="1">
        <f>IF(ESTIMATIVA[[#This Row],[QT_AREA_REST1]]&gt;0,ESTIMATIVA[[#This Row],[QT_AREA_REST1]],
  IF(ESTIMATIVA[[#This Row],[QT_AREA_REAL]]&gt;0,ESTIMATIVA[[#This Row],[QT_AREA_REAL]],ESTIMATIVA[[#This Row],[QT_AREA_EST]]))</f>
        <v>26.25</v>
      </c>
      <c r="Z161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26.25</v>
      </c>
      <c r="AA1613" s="1">
        <f>ESTIMATIVA[[#This Row],[QT_CANA_EST]]</f>
        <v>1522.5</v>
      </c>
      <c r="AB1613" s="1">
        <f>IF(ESTIMATIVA[[#This Row],[QT_CANA_REST1]]&gt;0,ESTIMATIVA[[#This Row],[QT_CANA_REST1]],
  IF(ESTIMATIVA[[#This Row],[QT_CANA_REAL]]&gt;0,ESTIMATIVA[[#This Row],[QT_CANA_REAL]],ESTIMATIVA[[#This Row],[QT_CANA_EST]]))</f>
        <v>1837.5</v>
      </c>
      <c r="AC161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1837.5</v>
      </c>
      <c r="AD1613" s="1">
        <f>IF(ESTIMATIVA[[#This Row],[QT_AREA_REAL]]&gt;0,ESTIMATIVA[[#This Row],[QT_CANA_REAL]],ESTIMATIVA[[#This Row],[QT_CANA_EST]])</f>
        <v>2380.12</v>
      </c>
      <c r="AE1613" s="1">
        <f>IF(ESTIMATIVA[[#This Row],[QT_AREA_REAL]]&gt;0,ESTIMATIVA[[#This Row],[QT_CANA_REAL]],ESTIMATIVA[[#This Row],[QT_CANA_REST1]])</f>
        <v>2380.12</v>
      </c>
      <c r="AF1613" s="1">
        <f>IF(ESTIMATIVA[[#This Row],[QT_AREA_REAL]]&gt;0,ESTIMATIVA[[#This Row],[QT_CANA_REAL]],ESTIMATIVA[[#This Row],[QT_CANA_REST2]])</f>
        <v>2380.12</v>
      </c>
      <c r="AG1613" s="1" t="str">
        <f>IF(COUNTIFS(GEADA!A:A,VALUE(ESTIMATIVA[[#This Row],[CD_UPNIVEL1]]&amp;TEXT(ESTIMATIVA[[#This Row],[CD_UPNIVEL3]],"0000")))&gt;0,"S","N")</f>
        <v>N</v>
      </c>
      <c r="AH161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13" s="55" t="str">
        <f>IF(ESTIMATIVA[[#This Row],[TP_CULTIVO]]="Irrigado",_xlfn.MAXIFS(IRRIGADO!J:J,IRRIGADO!C:C,ESTIMATIVA[[#This Row],[CD_UPNIVEL1]],IRRIGADO!E:E,ESTIMATIVA[[#This Row],[CD_UPNIVEL3]]),"")</f>
        <v/>
      </c>
      <c r="AJ161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13" s="1">
        <f>COUNTIFS(Apresentação!$E$23:$E$29,ESTIMATIVA[[#This Row],[CD_UPNIVEL1]])</f>
        <v>0</v>
      </c>
    </row>
    <row r="1614" spans="1:37" x14ac:dyDescent="0.3">
      <c r="A1614">
        <v>20580</v>
      </c>
      <c r="B1614" t="s">
        <v>86</v>
      </c>
      <c r="C1614">
        <v>7</v>
      </c>
      <c r="D1614">
        <v>4</v>
      </c>
      <c r="E1614" t="s">
        <v>265</v>
      </c>
      <c r="F1614" s="85" t="s">
        <v>331</v>
      </c>
      <c r="G1614"/>
      <c r="H1614" t="s">
        <v>294</v>
      </c>
      <c r="I1614" t="s">
        <v>195</v>
      </c>
      <c r="J1614" t="s">
        <v>176</v>
      </c>
      <c r="K1614" s="1">
        <v>21.88</v>
      </c>
      <c r="L1614" s="1">
        <v>21.88</v>
      </c>
      <c r="M1614" s="1">
        <v>21.88</v>
      </c>
      <c r="N1614" s="1">
        <v>21.88</v>
      </c>
      <c r="O1614" s="1">
        <v>1575.36</v>
      </c>
      <c r="P1614" s="1">
        <v>1619.12</v>
      </c>
      <c r="Q1614" s="1">
        <v>1619.12</v>
      </c>
      <c r="R1614" s="1">
        <v>1316.97</v>
      </c>
      <c r="S1614" t="s">
        <v>12</v>
      </c>
      <c r="T1614" s="13">
        <v>45998</v>
      </c>
      <c r="U1614" s="1" t="str">
        <f>IF(ESTIMATIVA[[#This Row],[QT_AREA_REAL]]&gt;0,"1- Colhido","2- à Colher")</f>
        <v>1- Colhido</v>
      </c>
      <c r="V1614" s="1" t="str">
        <f>IF(ESTIMATIVA[[#This Row],[QT_AREA_REST1]]&gt;0,"Reestimativa 1",IF(ESTIMATIVA[[#This Row],[QT_AREA_REAL]]=0,"Reestimativa 1","Realizado"))</f>
        <v>Reestimativa 1</v>
      </c>
      <c r="W1614" s="1" t="str">
        <f>IF(ESTIMATIVA[[#This Row],[QT_AREA_REST2]]&gt;0,"Reestimativa 2",IF(ESTIMATIVA[[#This Row],[QT_AREA_REAL]]=0,"Reestimativa 2","Realizado"))</f>
        <v>Reestimativa 2</v>
      </c>
      <c r="X1614" s="1">
        <f>ESTIMATIVA[[#This Row],[QT_AREA_EST]]</f>
        <v>21.88</v>
      </c>
      <c r="Y1614" s="1">
        <f>IF(ESTIMATIVA[[#This Row],[QT_AREA_REST1]]&gt;0,ESTIMATIVA[[#This Row],[QT_AREA_REST1]],
  IF(ESTIMATIVA[[#This Row],[QT_AREA_REAL]]&gt;0,ESTIMATIVA[[#This Row],[QT_AREA_REAL]],ESTIMATIVA[[#This Row],[QT_AREA_EST]]))</f>
        <v>21.88</v>
      </c>
      <c r="Z161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21.88</v>
      </c>
      <c r="AA1614" s="1">
        <f>ESTIMATIVA[[#This Row],[QT_CANA_EST]]</f>
        <v>1575.36</v>
      </c>
      <c r="AB1614" s="1">
        <f>IF(ESTIMATIVA[[#This Row],[QT_CANA_REST1]]&gt;0,ESTIMATIVA[[#This Row],[QT_CANA_REST1]],
  IF(ESTIMATIVA[[#This Row],[QT_CANA_REAL]]&gt;0,ESTIMATIVA[[#This Row],[QT_CANA_REAL]],ESTIMATIVA[[#This Row],[QT_CANA_EST]]))</f>
        <v>1619.12</v>
      </c>
      <c r="AC161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1619.12</v>
      </c>
      <c r="AD1614" s="1">
        <f>IF(ESTIMATIVA[[#This Row],[QT_AREA_REAL]]&gt;0,ESTIMATIVA[[#This Row],[QT_CANA_REAL]],ESTIMATIVA[[#This Row],[QT_CANA_EST]])</f>
        <v>1316.97</v>
      </c>
      <c r="AE1614" s="1">
        <f>IF(ESTIMATIVA[[#This Row],[QT_AREA_REAL]]&gt;0,ESTIMATIVA[[#This Row],[QT_CANA_REAL]],ESTIMATIVA[[#This Row],[QT_CANA_REST1]])</f>
        <v>1316.97</v>
      </c>
      <c r="AF1614" s="1">
        <f>IF(ESTIMATIVA[[#This Row],[QT_AREA_REAL]]&gt;0,ESTIMATIVA[[#This Row],[QT_CANA_REAL]],ESTIMATIVA[[#This Row],[QT_CANA_REST2]])</f>
        <v>1316.97</v>
      </c>
      <c r="AG1614" s="1" t="str">
        <f>IF(COUNTIFS(GEADA!A:A,VALUE(ESTIMATIVA[[#This Row],[CD_UPNIVEL1]]&amp;TEXT(ESTIMATIVA[[#This Row],[CD_UPNIVEL3]],"0000")))&gt;0,"S","N")</f>
        <v>N</v>
      </c>
      <c r="AH161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14" s="55" t="str">
        <f>IF(ESTIMATIVA[[#This Row],[TP_CULTIVO]]="Irrigado",_xlfn.MAXIFS(IRRIGADO!J:J,IRRIGADO!C:C,ESTIMATIVA[[#This Row],[CD_UPNIVEL1]],IRRIGADO!E:E,ESTIMATIVA[[#This Row],[CD_UPNIVEL3]]),"")</f>
        <v/>
      </c>
      <c r="AJ161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14" s="1">
        <f>COUNTIFS(Apresentação!$E$23:$E$29,ESTIMATIVA[[#This Row],[CD_UPNIVEL1]])</f>
        <v>0</v>
      </c>
    </row>
    <row r="1615" spans="1:37" x14ac:dyDescent="0.3">
      <c r="A1615">
        <v>20580</v>
      </c>
      <c r="B1615" t="s">
        <v>86</v>
      </c>
      <c r="C1615">
        <v>8</v>
      </c>
      <c r="D1615">
        <v>4</v>
      </c>
      <c r="E1615" t="s">
        <v>265</v>
      </c>
      <c r="F1615" s="85" t="s">
        <v>331</v>
      </c>
      <c r="G1615"/>
      <c r="H1615" t="s">
        <v>294</v>
      </c>
      <c r="I1615" t="s">
        <v>195</v>
      </c>
      <c r="J1615" t="s">
        <v>176</v>
      </c>
      <c r="K1615" s="1">
        <v>4.2</v>
      </c>
      <c r="L1615" s="1">
        <v>4.2</v>
      </c>
      <c r="M1615" s="1">
        <v>4.2</v>
      </c>
      <c r="N1615" s="1">
        <v>4.2</v>
      </c>
      <c r="O1615" s="1">
        <v>302.39999999999998</v>
      </c>
      <c r="P1615" s="1">
        <v>310.8</v>
      </c>
      <c r="Q1615" s="1">
        <v>310.8</v>
      </c>
      <c r="R1615" s="1">
        <v>252.94</v>
      </c>
      <c r="S1615" t="s">
        <v>12</v>
      </c>
      <c r="T1615" s="13">
        <v>45998</v>
      </c>
      <c r="U1615" s="1" t="str">
        <f>IF(ESTIMATIVA[[#This Row],[QT_AREA_REAL]]&gt;0,"1- Colhido","2- à Colher")</f>
        <v>1- Colhido</v>
      </c>
      <c r="V1615" s="1" t="str">
        <f>IF(ESTIMATIVA[[#This Row],[QT_AREA_REST1]]&gt;0,"Reestimativa 1",IF(ESTIMATIVA[[#This Row],[QT_AREA_REAL]]=0,"Reestimativa 1","Realizado"))</f>
        <v>Reestimativa 1</v>
      </c>
      <c r="W1615" s="1" t="str">
        <f>IF(ESTIMATIVA[[#This Row],[QT_AREA_REST2]]&gt;0,"Reestimativa 2",IF(ESTIMATIVA[[#This Row],[QT_AREA_REAL]]=0,"Reestimativa 2","Realizado"))</f>
        <v>Reestimativa 2</v>
      </c>
      <c r="X1615" s="1">
        <f>ESTIMATIVA[[#This Row],[QT_AREA_EST]]</f>
        <v>4.2</v>
      </c>
      <c r="Y1615" s="1">
        <f>IF(ESTIMATIVA[[#This Row],[QT_AREA_REST1]]&gt;0,ESTIMATIVA[[#This Row],[QT_AREA_REST1]],
  IF(ESTIMATIVA[[#This Row],[QT_AREA_REAL]]&gt;0,ESTIMATIVA[[#This Row],[QT_AREA_REAL]],ESTIMATIVA[[#This Row],[QT_AREA_EST]]))</f>
        <v>4.2</v>
      </c>
      <c r="Z161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4.2</v>
      </c>
      <c r="AA1615" s="1">
        <f>ESTIMATIVA[[#This Row],[QT_CANA_EST]]</f>
        <v>302.39999999999998</v>
      </c>
      <c r="AB1615" s="1">
        <f>IF(ESTIMATIVA[[#This Row],[QT_CANA_REST1]]&gt;0,ESTIMATIVA[[#This Row],[QT_CANA_REST1]],
  IF(ESTIMATIVA[[#This Row],[QT_CANA_REAL]]&gt;0,ESTIMATIVA[[#This Row],[QT_CANA_REAL]],ESTIMATIVA[[#This Row],[QT_CANA_EST]]))</f>
        <v>310.8</v>
      </c>
      <c r="AC161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310.8</v>
      </c>
      <c r="AD1615" s="1">
        <f>IF(ESTIMATIVA[[#This Row],[QT_AREA_REAL]]&gt;0,ESTIMATIVA[[#This Row],[QT_CANA_REAL]],ESTIMATIVA[[#This Row],[QT_CANA_EST]])</f>
        <v>252.94</v>
      </c>
      <c r="AE1615" s="1">
        <f>IF(ESTIMATIVA[[#This Row],[QT_AREA_REAL]]&gt;0,ESTIMATIVA[[#This Row],[QT_CANA_REAL]],ESTIMATIVA[[#This Row],[QT_CANA_REST1]])</f>
        <v>252.94</v>
      </c>
      <c r="AF1615" s="1">
        <f>IF(ESTIMATIVA[[#This Row],[QT_AREA_REAL]]&gt;0,ESTIMATIVA[[#This Row],[QT_CANA_REAL]],ESTIMATIVA[[#This Row],[QT_CANA_REST2]])</f>
        <v>252.94</v>
      </c>
      <c r="AG1615" s="1" t="str">
        <f>IF(COUNTIFS(GEADA!A:A,VALUE(ESTIMATIVA[[#This Row],[CD_UPNIVEL1]]&amp;TEXT(ESTIMATIVA[[#This Row],[CD_UPNIVEL3]],"0000")))&gt;0,"S","N")</f>
        <v>N</v>
      </c>
      <c r="AH161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15" s="55" t="str">
        <f>IF(ESTIMATIVA[[#This Row],[TP_CULTIVO]]="Irrigado",_xlfn.MAXIFS(IRRIGADO!J:J,IRRIGADO!C:C,ESTIMATIVA[[#This Row],[CD_UPNIVEL1]],IRRIGADO!E:E,ESTIMATIVA[[#This Row],[CD_UPNIVEL3]]),"")</f>
        <v/>
      </c>
      <c r="AJ161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15" s="1">
        <f>COUNTIFS(Apresentação!$E$23:$E$29,ESTIMATIVA[[#This Row],[CD_UPNIVEL1]])</f>
        <v>0</v>
      </c>
    </row>
    <row r="1616" spans="1:37" x14ac:dyDescent="0.3">
      <c r="A1616">
        <v>20580</v>
      </c>
      <c r="B1616" t="s">
        <v>86</v>
      </c>
      <c r="C1616">
        <v>9</v>
      </c>
      <c r="D1616">
        <v>4</v>
      </c>
      <c r="E1616" t="s">
        <v>265</v>
      </c>
      <c r="F1616" s="85" t="s">
        <v>331</v>
      </c>
      <c r="G1616"/>
      <c r="H1616" t="s">
        <v>294</v>
      </c>
      <c r="I1616" t="s">
        <v>195</v>
      </c>
      <c r="J1616" t="s">
        <v>176</v>
      </c>
      <c r="K1616" s="1">
        <v>7.27</v>
      </c>
      <c r="L1616" s="1">
        <v>7.27</v>
      </c>
      <c r="M1616" s="1">
        <v>7.27</v>
      </c>
      <c r="N1616" s="1">
        <v>7.27</v>
      </c>
      <c r="O1616" s="1">
        <v>523.44000000000005</v>
      </c>
      <c r="P1616" s="1">
        <v>537.98</v>
      </c>
      <c r="Q1616" s="1">
        <v>537.98</v>
      </c>
      <c r="R1616" s="1">
        <v>437.6</v>
      </c>
      <c r="S1616" t="s">
        <v>12</v>
      </c>
      <c r="T1616" s="13">
        <v>45998</v>
      </c>
      <c r="U1616" s="1" t="str">
        <f>IF(ESTIMATIVA[[#This Row],[QT_AREA_REAL]]&gt;0,"1- Colhido","2- à Colher")</f>
        <v>1- Colhido</v>
      </c>
      <c r="V1616" s="1" t="str">
        <f>IF(ESTIMATIVA[[#This Row],[QT_AREA_REST1]]&gt;0,"Reestimativa 1",IF(ESTIMATIVA[[#This Row],[QT_AREA_REAL]]=0,"Reestimativa 1","Realizado"))</f>
        <v>Reestimativa 1</v>
      </c>
      <c r="W1616" s="1" t="str">
        <f>IF(ESTIMATIVA[[#This Row],[QT_AREA_REST2]]&gt;0,"Reestimativa 2",IF(ESTIMATIVA[[#This Row],[QT_AREA_REAL]]=0,"Reestimativa 2","Realizado"))</f>
        <v>Reestimativa 2</v>
      </c>
      <c r="X1616" s="1">
        <f>ESTIMATIVA[[#This Row],[QT_AREA_EST]]</f>
        <v>7.27</v>
      </c>
      <c r="Y1616" s="1">
        <f>IF(ESTIMATIVA[[#This Row],[QT_AREA_REST1]]&gt;0,ESTIMATIVA[[#This Row],[QT_AREA_REST1]],
  IF(ESTIMATIVA[[#This Row],[QT_AREA_REAL]]&gt;0,ESTIMATIVA[[#This Row],[QT_AREA_REAL]],ESTIMATIVA[[#This Row],[QT_AREA_EST]]))</f>
        <v>7.27</v>
      </c>
      <c r="Z161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7.27</v>
      </c>
      <c r="AA1616" s="1">
        <f>ESTIMATIVA[[#This Row],[QT_CANA_EST]]</f>
        <v>523.44000000000005</v>
      </c>
      <c r="AB1616" s="1">
        <f>IF(ESTIMATIVA[[#This Row],[QT_CANA_REST1]]&gt;0,ESTIMATIVA[[#This Row],[QT_CANA_REST1]],
  IF(ESTIMATIVA[[#This Row],[QT_CANA_REAL]]&gt;0,ESTIMATIVA[[#This Row],[QT_CANA_REAL]],ESTIMATIVA[[#This Row],[QT_CANA_EST]]))</f>
        <v>537.98</v>
      </c>
      <c r="AC161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537.98</v>
      </c>
      <c r="AD1616" s="1">
        <f>IF(ESTIMATIVA[[#This Row],[QT_AREA_REAL]]&gt;0,ESTIMATIVA[[#This Row],[QT_CANA_REAL]],ESTIMATIVA[[#This Row],[QT_CANA_EST]])</f>
        <v>437.6</v>
      </c>
      <c r="AE1616" s="1">
        <f>IF(ESTIMATIVA[[#This Row],[QT_AREA_REAL]]&gt;0,ESTIMATIVA[[#This Row],[QT_CANA_REAL]],ESTIMATIVA[[#This Row],[QT_CANA_REST1]])</f>
        <v>437.6</v>
      </c>
      <c r="AF1616" s="1">
        <f>IF(ESTIMATIVA[[#This Row],[QT_AREA_REAL]]&gt;0,ESTIMATIVA[[#This Row],[QT_CANA_REAL]],ESTIMATIVA[[#This Row],[QT_CANA_REST2]])</f>
        <v>437.6</v>
      </c>
      <c r="AG1616" s="1" t="str">
        <f>IF(COUNTIFS(GEADA!A:A,VALUE(ESTIMATIVA[[#This Row],[CD_UPNIVEL1]]&amp;TEXT(ESTIMATIVA[[#This Row],[CD_UPNIVEL3]],"0000")))&gt;0,"S","N")</f>
        <v>N</v>
      </c>
      <c r="AH161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16" s="55" t="str">
        <f>IF(ESTIMATIVA[[#This Row],[TP_CULTIVO]]="Irrigado",_xlfn.MAXIFS(IRRIGADO!J:J,IRRIGADO!C:C,ESTIMATIVA[[#This Row],[CD_UPNIVEL1]],IRRIGADO!E:E,ESTIMATIVA[[#This Row],[CD_UPNIVEL3]]),"")</f>
        <v/>
      </c>
      <c r="AJ161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16" s="1">
        <f>COUNTIFS(Apresentação!$E$23:$E$29,ESTIMATIVA[[#This Row],[CD_UPNIVEL1]])</f>
        <v>0</v>
      </c>
    </row>
    <row r="1617" spans="1:37" x14ac:dyDescent="0.3">
      <c r="A1617">
        <v>20580</v>
      </c>
      <c r="B1617" t="s">
        <v>86</v>
      </c>
      <c r="C1617">
        <v>10</v>
      </c>
      <c r="D1617">
        <v>3</v>
      </c>
      <c r="E1617" t="s">
        <v>263</v>
      </c>
      <c r="F1617" s="85" t="s">
        <v>331</v>
      </c>
      <c r="G1617"/>
      <c r="H1617" t="s">
        <v>294</v>
      </c>
      <c r="I1617" t="s">
        <v>207</v>
      </c>
      <c r="J1617" t="s">
        <v>176</v>
      </c>
      <c r="K1617" s="1">
        <v>3.94</v>
      </c>
      <c r="L1617" s="1">
        <v>0</v>
      </c>
      <c r="M1617" s="1">
        <v>0</v>
      </c>
      <c r="N1617" s="1">
        <v>3.94</v>
      </c>
      <c r="O1617" s="1">
        <v>338.84</v>
      </c>
      <c r="P1617" s="1">
        <v>0</v>
      </c>
      <c r="Q1617" s="1">
        <v>0</v>
      </c>
      <c r="R1617" s="1">
        <v>385.4</v>
      </c>
      <c r="S1617" t="s">
        <v>12</v>
      </c>
      <c r="T1617" s="13">
        <v>45851</v>
      </c>
      <c r="U1617" s="1" t="str">
        <f>IF(ESTIMATIVA[[#This Row],[QT_AREA_REAL]]&gt;0,"1- Colhido","2- à Colher")</f>
        <v>1- Colhido</v>
      </c>
      <c r="V1617" s="1" t="str">
        <f>IF(ESTIMATIVA[[#This Row],[QT_AREA_REST1]]&gt;0,"Reestimativa 1",IF(ESTIMATIVA[[#This Row],[QT_AREA_REAL]]=0,"Reestimativa 1","Realizado"))</f>
        <v>Realizado</v>
      </c>
      <c r="W1617" s="1" t="str">
        <f>IF(ESTIMATIVA[[#This Row],[QT_AREA_REST2]]&gt;0,"Reestimativa 2",IF(ESTIMATIVA[[#This Row],[QT_AREA_REAL]]=0,"Reestimativa 2","Realizado"))</f>
        <v>Realizado</v>
      </c>
      <c r="X1617" s="1">
        <f>ESTIMATIVA[[#This Row],[QT_AREA_EST]]</f>
        <v>3.94</v>
      </c>
      <c r="Y1617" s="1">
        <f>IF(ESTIMATIVA[[#This Row],[QT_AREA_REST1]]&gt;0,ESTIMATIVA[[#This Row],[QT_AREA_REST1]],
  IF(ESTIMATIVA[[#This Row],[QT_AREA_REAL]]&gt;0,ESTIMATIVA[[#This Row],[QT_AREA_REAL]],ESTIMATIVA[[#This Row],[QT_AREA_EST]]))</f>
        <v>3.94</v>
      </c>
      <c r="Z161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3.94</v>
      </c>
      <c r="AA1617" s="1">
        <f>ESTIMATIVA[[#This Row],[QT_CANA_EST]]</f>
        <v>338.84</v>
      </c>
      <c r="AB1617" s="1">
        <f>IF(ESTIMATIVA[[#This Row],[QT_CANA_REST1]]&gt;0,ESTIMATIVA[[#This Row],[QT_CANA_REST1]],
  IF(ESTIMATIVA[[#This Row],[QT_CANA_REAL]]&gt;0,ESTIMATIVA[[#This Row],[QT_CANA_REAL]],ESTIMATIVA[[#This Row],[QT_CANA_EST]]))</f>
        <v>385.4</v>
      </c>
      <c r="AC161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385.4</v>
      </c>
      <c r="AD1617" s="1">
        <f>IF(ESTIMATIVA[[#This Row],[QT_AREA_REAL]]&gt;0,ESTIMATIVA[[#This Row],[QT_CANA_REAL]],ESTIMATIVA[[#This Row],[QT_CANA_EST]])</f>
        <v>385.4</v>
      </c>
      <c r="AE1617" s="1">
        <f>IF(ESTIMATIVA[[#This Row],[QT_AREA_REAL]]&gt;0,ESTIMATIVA[[#This Row],[QT_CANA_REAL]],ESTIMATIVA[[#This Row],[QT_CANA_REST1]])</f>
        <v>385.4</v>
      </c>
      <c r="AF1617" s="1">
        <f>IF(ESTIMATIVA[[#This Row],[QT_AREA_REAL]]&gt;0,ESTIMATIVA[[#This Row],[QT_CANA_REAL]],ESTIMATIVA[[#This Row],[QT_CANA_REST2]])</f>
        <v>385.4</v>
      </c>
      <c r="AG1617" s="1" t="str">
        <f>IF(COUNTIFS(GEADA!A:A,VALUE(ESTIMATIVA[[#This Row],[CD_UPNIVEL1]]&amp;TEXT(ESTIMATIVA[[#This Row],[CD_UPNIVEL3]],"0000")))&gt;0,"S","N")</f>
        <v>N</v>
      </c>
      <c r="AH161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17" s="55" t="str">
        <f>IF(ESTIMATIVA[[#This Row],[TP_CULTIVO]]="Irrigado",_xlfn.MAXIFS(IRRIGADO!J:J,IRRIGADO!C:C,ESTIMATIVA[[#This Row],[CD_UPNIVEL1]],IRRIGADO!E:E,ESTIMATIVA[[#This Row],[CD_UPNIVEL3]]),"")</f>
        <v/>
      </c>
      <c r="AJ161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17" s="1">
        <f>COUNTIFS(Apresentação!$E$23:$E$29,ESTIMATIVA[[#This Row],[CD_UPNIVEL1]])</f>
        <v>0</v>
      </c>
    </row>
    <row r="1618" spans="1:37" x14ac:dyDescent="0.3">
      <c r="A1618">
        <v>20580</v>
      </c>
      <c r="B1618" t="s">
        <v>86</v>
      </c>
      <c r="C1618">
        <v>11</v>
      </c>
      <c r="D1618">
        <v>3</v>
      </c>
      <c r="E1618" t="s">
        <v>263</v>
      </c>
      <c r="F1618" s="85" t="s">
        <v>331</v>
      </c>
      <c r="G1618"/>
      <c r="H1618" t="s">
        <v>294</v>
      </c>
      <c r="I1618" t="s">
        <v>207</v>
      </c>
      <c r="J1618" t="s">
        <v>176</v>
      </c>
      <c r="K1618" s="1">
        <v>11.28</v>
      </c>
      <c r="L1618" s="1">
        <v>11.28</v>
      </c>
      <c r="M1618" s="1">
        <v>11.28</v>
      </c>
      <c r="N1618" s="1">
        <v>11.28</v>
      </c>
      <c r="O1618" s="1">
        <v>970.08</v>
      </c>
      <c r="P1618" s="1">
        <v>970.08</v>
      </c>
      <c r="Q1618" s="1">
        <v>970.08</v>
      </c>
      <c r="R1618" s="1">
        <v>789.23</v>
      </c>
      <c r="S1618" t="s">
        <v>12</v>
      </c>
      <c r="T1618" s="13">
        <v>45998</v>
      </c>
      <c r="U1618" s="1" t="str">
        <f>IF(ESTIMATIVA[[#This Row],[QT_AREA_REAL]]&gt;0,"1- Colhido","2- à Colher")</f>
        <v>1- Colhido</v>
      </c>
      <c r="V1618" s="1" t="str">
        <f>IF(ESTIMATIVA[[#This Row],[QT_AREA_REST1]]&gt;0,"Reestimativa 1",IF(ESTIMATIVA[[#This Row],[QT_AREA_REAL]]=0,"Reestimativa 1","Realizado"))</f>
        <v>Reestimativa 1</v>
      </c>
      <c r="W1618" s="1" t="str">
        <f>IF(ESTIMATIVA[[#This Row],[QT_AREA_REST2]]&gt;0,"Reestimativa 2",IF(ESTIMATIVA[[#This Row],[QT_AREA_REAL]]=0,"Reestimativa 2","Realizado"))</f>
        <v>Reestimativa 2</v>
      </c>
      <c r="X1618" s="1">
        <f>ESTIMATIVA[[#This Row],[QT_AREA_EST]]</f>
        <v>11.28</v>
      </c>
      <c r="Y1618" s="1">
        <f>IF(ESTIMATIVA[[#This Row],[QT_AREA_REST1]]&gt;0,ESTIMATIVA[[#This Row],[QT_AREA_REST1]],
  IF(ESTIMATIVA[[#This Row],[QT_AREA_REAL]]&gt;0,ESTIMATIVA[[#This Row],[QT_AREA_REAL]],ESTIMATIVA[[#This Row],[QT_AREA_EST]]))</f>
        <v>11.28</v>
      </c>
      <c r="Z161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11.28</v>
      </c>
      <c r="AA1618" s="1">
        <f>ESTIMATIVA[[#This Row],[QT_CANA_EST]]</f>
        <v>970.08</v>
      </c>
      <c r="AB1618" s="1">
        <f>IF(ESTIMATIVA[[#This Row],[QT_CANA_REST1]]&gt;0,ESTIMATIVA[[#This Row],[QT_CANA_REST1]],
  IF(ESTIMATIVA[[#This Row],[QT_CANA_REAL]]&gt;0,ESTIMATIVA[[#This Row],[QT_CANA_REAL]],ESTIMATIVA[[#This Row],[QT_CANA_EST]]))</f>
        <v>970.08</v>
      </c>
      <c r="AC161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970.08</v>
      </c>
      <c r="AD1618" s="1">
        <f>IF(ESTIMATIVA[[#This Row],[QT_AREA_REAL]]&gt;0,ESTIMATIVA[[#This Row],[QT_CANA_REAL]],ESTIMATIVA[[#This Row],[QT_CANA_EST]])</f>
        <v>789.23</v>
      </c>
      <c r="AE1618" s="1">
        <f>IF(ESTIMATIVA[[#This Row],[QT_AREA_REAL]]&gt;0,ESTIMATIVA[[#This Row],[QT_CANA_REAL]],ESTIMATIVA[[#This Row],[QT_CANA_REST1]])</f>
        <v>789.23</v>
      </c>
      <c r="AF1618" s="1">
        <f>IF(ESTIMATIVA[[#This Row],[QT_AREA_REAL]]&gt;0,ESTIMATIVA[[#This Row],[QT_CANA_REAL]],ESTIMATIVA[[#This Row],[QT_CANA_REST2]])</f>
        <v>789.23</v>
      </c>
      <c r="AG1618" s="1" t="str">
        <f>IF(COUNTIFS(GEADA!A:A,VALUE(ESTIMATIVA[[#This Row],[CD_UPNIVEL1]]&amp;TEXT(ESTIMATIVA[[#This Row],[CD_UPNIVEL3]],"0000")))&gt;0,"S","N")</f>
        <v>N</v>
      </c>
      <c r="AH161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18" s="55" t="str">
        <f>IF(ESTIMATIVA[[#This Row],[TP_CULTIVO]]="Irrigado",_xlfn.MAXIFS(IRRIGADO!J:J,IRRIGADO!C:C,ESTIMATIVA[[#This Row],[CD_UPNIVEL1]],IRRIGADO!E:E,ESTIMATIVA[[#This Row],[CD_UPNIVEL3]]),"")</f>
        <v/>
      </c>
      <c r="AJ161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18" s="1">
        <f>COUNTIFS(Apresentação!$E$23:$E$29,ESTIMATIVA[[#This Row],[CD_UPNIVEL1]])</f>
        <v>0</v>
      </c>
    </row>
    <row r="1619" spans="1:37" x14ac:dyDescent="0.3">
      <c r="A1619">
        <v>20580</v>
      </c>
      <c r="B1619" t="s">
        <v>86</v>
      </c>
      <c r="C1619">
        <v>12</v>
      </c>
      <c r="D1619">
        <v>3</v>
      </c>
      <c r="E1619" t="s">
        <v>263</v>
      </c>
      <c r="F1619" s="85" t="s">
        <v>331</v>
      </c>
      <c r="G1619"/>
      <c r="H1619" t="s">
        <v>294</v>
      </c>
      <c r="I1619" t="s">
        <v>207</v>
      </c>
      <c r="J1619" t="s">
        <v>176</v>
      </c>
      <c r="K1619" s="1">
        <v>30.5</v>
      </c>
      <c r="L1619" s="1">
        <v>30.5</v>
      </c>
      <c r="M1619" s="1">
        <v>30.5</v>
      </c>
      <c r="N1619" s="1">
        <v>30.5</v>
      </c>
      <c r="O1619" s="1">
        <v>2623</v>
      </c>
      <c r="P1619" s="1">
        <v>2623</v>
      </c>
      <c r="Q1619" s="1">
        <v>2623</v>
      </c>
      <c r="R1619" s="1">
        <v>2221.31</v>
      </c>
      <c r="S1619" t="s">
        <v>12</v>
      </c>
      <c r="T1619" s="13">
        <v>45998</v>
      </c>
      <c r="U1619" s="1" t="str">
        <f>IF(ESTIMATIVA[[#This Row],[QT_AREA_REAL]]&gt;0,"1- Colhido","2- à Colher")</f>
        <v>1- Colhido</v>
      </c>
      <c r="V1619" s="1" t="str">
        <f>IF(ESTIMATIVA[[#This Row],[QT_AREA_REST1]]&gt;0,"Reestimativa 1",IF(ESTIMATIVA[[#This Row],[QT_AREA_REAL]]=0,"Reestimativa 1","Realizado"))</f>
        <v>Reestimativa 1</v>
      </c>
      <c r="W1619" s="1" t="str">
        <f>IF(ESTIMATIVA[[#This Row],[QT_AREA_REST2]]&gt;0,"Reestimativa 2",IF(ESTIMATIVA[[#This Row],[QT_AREA_REAL]]=0,"Reestimativa 2","Realizado"))</f>
        <v>Reestimativa 2</v>
      </c>
      <c r="X1619" s="1">
        <f>ESTIMATIVA[[#This Row],[QT_AREA_EST]]</f>
        <v>30.5</v>
      </c>
      <c r="Y1619" s="1">
        <f>IF(ESTIMATIVA[[#This Row],[QT_AREA_REST1]]&gt;0,ESTIMATIVA[[#This Row],[QT_AREA_REST1]],
  IF(ESTIMATIVA[[#This Row],[QT_AREA_REAL]]&gt;0,ESTIMATIVA[[#This Row],[QT_AREA_REAL]],ESTIMATIVA[[#This Row],[QT_AREA_EST]]))</f>
        <v>30.5</v>
      </c>
      <c r="Z161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30.5</v>
      </c>
      <c r="AA1619" s="1">
        <f>ESTIMATIVA[[#This Row],[QT_CANA_EST]]</f>
        <v>2623</v>
      </c>
      <c r="AB1619" s="1">
        <f>IF(ESTIMATIVA[[#This Row],[QT_CANA_REST1]]&gt;0,ESTIMATIVA[[#This Row],[QT_CANA_REST1]],
  IF(ESTIMATIVA[[#This Row],[QT_CANA_REAL]]&gt;0,ESTIMATIVA[[#This Row],[QT_CANA_REAL]],ESTIMATIVA[[#This Row],[QT_CANA_EST]]))</f>
        <v>2623</v>
      </c>
      <c r="AC161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2623</v>
      </c>
      <c r="AD1619" s="1">
        <f>IF(ESTIMATIVA[[#This Row],[QT_AREA_REAL]]&gt;0,ESTIMATIVA[[#This Row],[QT_CANA_REAL]],ESTIMATIVA[[#This Row],[QT_CANA_EST]])</f>
        <v>2221.31</v>
      </c>
      <c r="AE1619" s="1">
        <f>IF(ESTIMATIVA[[#This Row],[QT_AREA_REAL]]&gt;0,ESTIMATIVA[[#This Row],[QT_CANA_REAL]],ESTIMATIVA[[#This Row],[QT_CANA_REST1]])</f>
        <v>2221.31</v>
      </c>
      <c r="AF1619" s="1">
        <f>IF(ESTIMATIVA[[#This Row],[QT_AREA_REAL]]&gt;0,ESTIMATIVA[[#This Row],[QT_CANA_REAL]],ESTIMATIVA[[#This Row],[QT_CANA_REST2]])</f>
        <v>2221.31</v>
      </c>
      <c r="AG1619" s="1" t="str">
        <f>IF(COUNTIFS(GEADA!A:A,VALUE(ESTIMATIVA[[#This Row],[CD_UPNIVEL1]]&amp;TEXT(ESTIMATIVA[[#This Row],[CD_UPNIVEL3]],"0000")))&gt;0,"S","N")</f>
        <v>N</v>
      </c>
      <c r="AH161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19" s="55" t="str">
        <f>IF(ESTIMATIVA[[#This Row],[TP_CULTIVO]]="Irrigado",_xlfn.MAXIFS(IRRIGADO!J:J,IRRIGADO!C:C,ESTIMATIVA[[#This Row],[CD_UPNIVEL1]],IRRIGADO!E:E,ESTIMATIVA[[#This Row],[CD_UPNIVEL3]]),"")</f>
        <v/>
      </c>
      <c r="AJ161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19" s="1">
        <f>COUNTIFS(Apresentação!$E$23:$E$29,ESTIMATIVA[[#This Row],[CD_UPNIVEL1]])</f>
        <v>0</v>
      </c>
    </row>
    <row r="1620" spans="1:37" x14ac:dyDescent="0.3">
      <c r="A1620">
        <v>20580</v>
      </c>
      <c r="B1620" t="s">
        <v>86</v>
      </c>
      <c r="C1620">
        <v>13</v>
      </c>
      <c r="D1620">
        <v>3</v>
      </c>
      <c r="E1620" t="s">
        <v>263</v>
      </c>
      <c r="F1620" s="85" t="s">
        <v>331</v>
      </c>
      <c r="G1620"/>
      <c r="H1620" t="s">
        <v>294</v>
      </c>
      <c r="I1620" t="s">
        <v>207</v>
      </c>
      <c r="J1620" t="s">
        <v>176</v>
      </c>
      <c r="K1620" s="1">
        <v>12.92</v>
      </c>
      <c r="L1620" s="1">
        <v>12.92</v>
      </c>
      <c r="M1620" s="1">
        <v>12.92</v>
      </c>
      <c r="N1620" s="1">
        <v>12.92</v>
      </c>
      <c r="O1620" s="1">
        <v>1111.1199999999999</v>
      </c>
      <c r="P1620" s="1">
        <v>1111.1199999999999</v>
      </c>
      <c r="Q1620" s="1">
        <v>1111.1199999999999</v>
      </c>
      <c r="R1620" s="1">
        <v>940.93</v>
      </c>
      <c r="S1620" t="s">
        <v>12</v>
      </c>
      <c r="T1620" s="13">
        <v>45998</v>
      </c>
      <c r="U1620" s="1" t="str">
        <f>IF(ESTIMATIVA[[#This Row],[QT_AREA_REAL]]&gt;0,"1- Colhido","2- à Colher")</f>
        <v>1- Colhido</v>
      </c>
      <c r="V1620" s="1" t="str">
        <f>IF(ESTIMATIVA[[#This Row],[QT_AREA_REST1]]&gt;0,"Reestimativa 1",IF(ESTIMATIVA[[#This Row],[QT_AREA_REAL]]=0,"Reestimativa 1","Realizado"))</f>
        <v>Reestimativa 1</v>
      </c>
      <c r="W1620" s="1" t="str">
        <f>IF(ESTIMATIVA[[#This Row],[QT_AREA_REST2]]&gt;0,"Reestimativa 2",IF(ESTIMATIVA[[#This Row],[QT_AREA_REAL]]=0,"Reestimativa 2","Realizado"))</f>
        <v>Reestimativa 2</v>
      </c>
      <c r="X1620" s="1">
        <f>ESTIMATIVA[[#This Row],[QT_AREA_EST]]</f>
        <v>12.92</v>
      </c>
      <c r="Y1620" s="1">
        <f>IF(ESTIMATIVA[[#This Row],[QT_AREA_REST1]]&gt;0,ESTIMATIVA[[#This Row],[QT_AREA_REST1]],
  IF(ESTIMATIVA[[#This Row],[QT_AREA_REAL]]&gt;0,ESTIMATIVA[[#This Row],[QT_AREA_REAL]],ESTIMATIVA[[#This Row],[QT_AREA_EST]]))</f>
        <v>12.92</v>
      </c>
      <c r="Z162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12.92</v>
      </c>
      <c r="AA1620" s="1">
        <f>ESTIMATIVA[[#This Row],[QT_CANA_EST]]</f>
        <v>1111.1199999999999</v>
      </c>
      <c r="AB1620" s="1">
        <f>IF(ESTIMATIVA[[#This Row],[QT_CANA_REST1]]&gt;0,ESTIMATIVA[[#This Row],[QT_CANA_REST1]],
  IF(ESTIMATIVA[[#This Row],[QT_CANA_REAL]]&gt;0,ESTIMATIVA[[#This Row],[QT_CANA_REAL]],ESTIMATIVA[[#This Row],[QT_CANA_EST]]))</f>
        <v>1111.1199999999999</v>
      </c>
      <c r="AC162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1111.1199999999999</v>
      </c>
      <c r="AD1620" s="1">
        <f>IF(ESTIMATIVA[[#This Row],[QT_AREA_REAL]]&gt;0,ESTIMATIVA[[#This Row],[QT_CANA_REAL]],ESTIMATIVA[[#This Row],[QT_CANA_EST]])</f>
        <v>940.93</v>
      </c>
      <c r="AE1620" s="1">
        <f>IF(ESTIMATIVA[[#This Row],[QT_AREA_REAL]]&gt;0,ESTIMATIVA[[#This Row],[QT_CANA_REAL]],ESTIMATIVA[[#This Row],[QT_CANA_REST1]])</f>
        <v>940.93</v>
      </c>
      <c r="AF1620" s="1">
        <f>IF(ESTIMATIVA[[#This Row],[QT_AREA_REAL]]&gt;0,ESTIMATIVA[[#This Row],[QT_CANA_REAL]],ESTIMATIVA[[#This Row],[QT_CANA_REST2]])</f>
        <v>940.93</v>
      </c>
      <c r="AG1620" s="1" t="str">
        <f>IF(COUNTIFS(GEADA!A:A,VALUE(ESTIMATIVA[[#This Row],[CD_UPNIVEL1]]&amp;TEXT(ESTIMATIVA[[#This Row],[CD_UPNIVEL3]],"0000")))&gt;0,"S","N")</f>
        <v>N</v>
      </c>
      <c r="AH162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20" s="55" t="str">
        <f>IF(ESTIMATIVA[[#This Row],[TP_CULTIVO]]="Irrigado",_xlfn.MAXIFS(IRRIGADO!J:J,IRRIGADO!C:C,ESTIMATIVA[[#This Row],[CD_UPNIVEL1]],IRRIGADO!E:E,ESTIMATIVA[[#This Row],[CD_UPNIVEL3]]),"")</f>
        <v/>
      </c>
      <c r="AJ162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20" s="1">
        <f>COUNTIFS(Apresentação!$E$23:$E$29,ESTIMATIVA[[#This Row],[CD_UPNIVEL1]])</f>
        <v>0</v>
      </c>
    </row>
    <row r="1621" spans="1:37" x14ac:dyDescent="0.3">
      <c r="A1621">
        <v>20589</v>
      </c>
      <c r="B1621" t="s">
        <v>154</v>
      </c>
      <c r="C1621">
        <v>1</v>
      </c>
      <c r="D1621">
        <v>5</v>
      </c>
      <c r="E1621" t="s">
        <v>268</v>
      </c>
      <c r="F1621" s="85" t="s">
        <v>331</v>
      </c>
      <c r="G1621"/>
      <c r="H1621" t="s">
        <v>294</v>
      </c>
      <c r="I1621" t="s">
        <v>221</v>
      </c>
      <c r="J1621" t="s">
        <v>176</v>
      </c>
      <c r="K1621" s="1">
        <v>11.39</v>
      </c>
      <c r="L1621" s="1">
        <v>11.39</v>
      </c>
      <c r="M1621" s="1">
        <v>11.39</v>
      </c>
      <c r="N1621" s="1">
        <v>11.39</v>
      </c>
      <c r="O1621" s="1">
        <v>797.3</v>
      </c>
      <c r="P1621" s="1">
        <v>797.3</v>
      </c>
      <c r="Q1621" s="1">
        <v>797.3</v>
      </c>
      <c r="R1621" s="1">
        <v>695.06</v>
      </c>
      <c r="S1621" t="s">
        <v>12</v>
      </c>
      <c r="T1621" s="13">
        <v>45935</v>
      </c>
      <c r="U1621" s="1" t="str">
        <f>IF(ESTIMATIVA[[#This Row],[QT_AREA_REAL]]&gt;0,"1- Colhido","2- à Colher")</f>
        <v>1- Colhido</v>
      </c>
      <c r="V1621" s="1" t="str">
        <f>IF(ESTIMATIVA[[#This Row],[QT_AREA_REST1]]&gt;0,"Reestimativa 1",IF(ESTIMATIVA[[#This Row],[QT_AREA_REAL]]=0,"Reestimativa 1","Realizado"))</f>
        <v>Reestimativa 1</v>
      </c>
      <c r="W1621" s="1" t="str">
        <f>IF(ESTIMATIVA[[#This Row],[QT_AREA_REST2]]&gt;0,"Reestimativa 2",IF(ESTIMATIVA[[#This Row],[QT_AREA_REAL]]=0,"Reestimativa 2","Realizado"))</f>
        <v>Reestimativa 2</v>
      </c>
      <c r="X1621" s="1">
        <f>ESTIMATIVA[[#This Row],[QT_AREA_EST]]</f>
        <v>11.39</v>
      </c>
      <c r="Y1621" s="1">
        <f>IF(ESTIMATIVA[[#This Row],[QT_AREA_REST1]]&gt;0,ESTIMATIVA[[#This Row],[QT_AREA_REST1]],
  IF(ESTIMATIVA[[#This Row],[QT_AREA_REAL]]&gt;0,ESTIMATIVA[[#This Row],[QT_AREA_REAL]],ESTIMATIVA[[#This Row],[QT_AREA_EST]]))</f>
        <v>11.39</v>
      </c>
      <c r="Z162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11.39</v>
      </c>
      <c r="AA1621" s="1">
        <f>ESTIMATIVA[[#This Row],[QT_CANA_EST]]</f>
        <v>797.3</v>
      </c>
      <c r="AB1621" s="1">
        <f>IF(ESTIMATIVA[[#This Row],[QT_CANA_REST1]]&gt;0,ESTIMATIVA[[#This Row],[QT_CANA_REST1]],
  IF(ESTIMATIVA[[#This Row],[QT_CANA_REAL]]&gt;0,ESTIMATIVA[[#This Row],[QT_CANA_REAL]],ESTIMATIVA[[#This Row],[QT_CANA_EST]]))</f>
        <v>797.3</v>
      </c>
      <c r="AC162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797.3</v>
      </c>
      <c r="AD1621" s="1">
        <f>IF(ESTIMATIVA[[#This Row],[QT_AREA_REAL]]&gt;0,ESTIMATIVA[[#This Row],[QT_CANA_REAL]],ESTIMATIVA[[#This Row],[QT_CANA_EST]])</f>
        <v>695.06</v>
      </c>
      <c r="AE1621" s="1">
        <f>IF(ESTIMATIVA[[#This Row],[QT_AREA_REAL]]&gt;0,ESTIMATIVA[[#This Row],[QT_CANA_REAL]],ESTIMATIVA[[#This Row],[QT_CANA_REST1]])</f>
        <v>695.06</v>
      </c>
      <c r="AF1621" s="1">
        <f>IF(ESTIMATIVA[[#This Row],[QT_AREA_REAL]]&gt;0,ESTIMATIVA[[#This Row],[QT_CANA_REAL]],ESTIMATIVA[[#This Row],[QT_CANA_REST2]])</f>
        <v>695.06</v>
      </c>
      <c r="AG1621" s="1" t="str">
        <f>IF(COUNTIFS(GEADA!A:A,VALUE(ESTIMATIVA[[#This Row],[CD_UPNIVEL1]]&amp;TEXT(ESTIMATIVA[[#This Row],[CD_UPNIVEL3]],"0000")))&gt;0,"S","N")</f>
        <v>N</v>
      </c>
      <c r="AH162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21" s="55" t="str">
        <f>IF(ESTIMATIVA[[#This Row],[TP_CULTIVO]]="Irrigado",_xlfn.MAXIFS(IRRIGADO!J:J,IRRIGADO!C:C,ESTIMATIVA[[#This Row],[CD_UPNIVEL1]],IRRIGADO!E:E,ESTIMATIVA[[#This Row],[CD_UPNIVEL3]]),"")</f>
        <v/>
      </c>
      <c r="AJ162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21" s="1">
        <f>COUNTIFS(Apresentação!$E$23:$E$29,ESTIMATIVA[[#This Row],[CD_UPNIVEL1]])</f>
        <v>0</v>
      </c>
    </row>
    <row r="1622" spans="1:37" x14ac:dyDescent="0.3">
      <c r="A1622">
        <v>20589</v>
      </c>
      <c r="B1622" t="s">
        <v>154</v>
      </c>
      <c r="C1622">
        <v>2</v>
      </c>
      <c r="D1622">
        <v>5</v>
      </c>
      <c r="E1622" t="s">
        <v>268</v>
      </c>
      <c r="F1622" s="85" t="s">
        <v>331</v>
      </c>
      <c r="G1622"/>
      <c r="H1622" t="s">
        <v>294</v>
      </c>
      <c r="I1622" t="s">
        <v>221</v>
      </c>
      <c r="J1622" t="s">
        <v>176</v>
      </c>
      <c r="K1622" s="1">
        <v>42.52</v>
      </c>
      <c r="L1622" s="1">
        <v>42.52</v>
      </c>
      <c r="M1622" s="1">
        <v>42.52</v>
      </c>
      <c r="N1622" s="1">
        <v>42.52</v>
      </c>
      <c r="O1622" s="1">
        <v>2976.4</v>
      </c>
      <c r="P1622" s="1">
        <v>2976.4</v>
      </c>
      <c r="Q1622" s="1">
        <v>2976.4</v>
      </c>
      <c r="R1622" s="1">
        <v>2595.75</v>
      </c>
      <c r="S1622" t="s">
        <v>12</v>
      </c>
      <c r="T1622" s="13">
        <v>45935</v>
      </c>
      <c r="U1622" s="1" t="str">
        <f>IF(ESTIMATIVA[[#This Row],[QT_AREA_REAL]]&gt;0,"1- Colhido","2- à Colher")</f>
        <v>1- Colhido</v>
      </c>
      <c r="V1622" s="1" t="str">
        <f>IF(ESTIMATIVA[[#This Row],[QT_AREA_REST1]]&gt;0,"Reestimativa 1",IF(ESTIMATIVA[[#This Row],[QT_AREA_REAL]]=0,"Reestimativa 1","Realizado"))</f>
        <v>Reestimativa 1</v>
      </c>
      <c r="W1622" s="1" t="str">
        <f>IF(ESTIMATIVA[[#This Row],[QT_AREA_REST2]]&gt;0,"Reestimativa 2",IF(ESTIMATIVA[[#This Row],[QT_AREA_REAL]]=0,"Reestimativa 2","Realizado"))</f>
        <v>Reestimativa 2</v>
      </c>
      <c r="X1622" s="1">
        <f>ESTIMATIVA[[#This Row],[QT_AREA_EST]]</f>
        <v>42.52</v>
      </c>
      <c r="Y1622" s="1">
        <f>IF(ESTIMATIVA[[#This Row],[QT_AREA_REST1]]&gt;0,ESTIMATIVA[[#This Row],[QT_AREA_REST1]],
  IF(ESTIMATIVA[[#This Row],[QT_AREA_REAL]]&gt;0,ESTIMATIVA[[#This Row],[QT_AREA_REAL]],ESTIMATIVA[[#This Row],[QT_AREA_EST]]))</f>
        <v>42.52</v>
      </c>
      <c r="Z162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42.52</v>
      </c>
      <c r="AA1622" s="1">
        <f>ESTIMATIVA[[#This Row],[QT_CANA_EST]]</f>
        <v>2976.4</v>
      </c>
      <c r="AB1622" s="1">
        <f>IF(ESTIMATIVA[[#This Row],[QT_CANA_REST1]]&gt;0,ESTIMATIVA[[#This Row],[QT_CANA_REST1]],
  IF(ESTIMATIVA[[#This Row],[QT_CANA_REAL]]&gt;0,ESTIMATIVA[[#This Row],[QT_CANA_REAL]],ESTIMATIVA[[#This Row],[QT_CANA_EST]]))</f>
        <v>2976.4</v>
      </c>
      <c r="AC162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2976.4</v>
      </c>
      <c r="AD1622" s="1">
        <f>IF(ESTIMATIVA[[#This Row],[QT_AREA_REAL]]&gt;0,ESTIMATIVA[[#This Row],[QT_CANA_REAL]],ESTIMATIVA[[#This Row],[QT_CANA_EST]])</f>
        <v>2595.75</v>
      </c>
      <c r="AE1622" s="1">
        <f>IF(ESTIMATIVA[[#This Row],[QT_AREA_REAL]]&gt;0,ESTIMATIVA[[#This Row],[QT_CANA_REAL]],ESTIMATIVA[[#This Row],[QT_CANA_REST1]])</f>
        <v>2595.75</v>
      </c>
      <c r="AF1622" s="1">
        <f>IF(ESTIMATIVA[[#This Row],[QT_AREA_REAL]]&gt;0,ESTIMATIVA[[#This Row],[QT_CANA_REAL]],ESTIMATIVA[[#This Row],[QT_CANA_REST2]])</f>
        <v>2595.75</v>
      </c>
      <c r="AG1622" s="1" t="str">
        <f>IF(COUNTIFS(GEADA!A:A,VALUE(ESTIMATIVA[[#This Row],[CD_UPNIVEL1]]&amp;TEXT(ESTIMATIVA[[#This Row],[CD_UPNIVEL3]],"0000")))&gt;0,"S","N")</f>
        <v>N</v>
      </c>
      <c r="AH162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22" s="55" t="str">
        <f>IF(ESTIMATIVA[[#This Row],[TP_CULTIVO]]="Irrigado",_xlfn.MAXIFS(IRRIGADO!J:J,IRRIGADO!C:C,ESTIMATIVA[[#This Row],[CD_UPNIVEL1]],IRRIGADO!E:E,ESTIMATIVA[[#This Row],[CD_UPNIVEL3]]),"")</f>
        <v/>
      </c>
      <c r="AJ162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22" s="1">
        <f>COUNTIFS(Apresentação!$E$23:$E$29,ESTIMATIVA[[#This Row],[CD_UPNIVEL1]])</f>
        <v>0</v>
      </c>
    </row>
    <row r="1623" spans="1:37" x14ac:dyDescent="0.3">
      <c r="A1623">
        <v>20589</v>
      </c>
      <c r="B1623" t="s">
        <v>154</v>
      </c>
      <c r="C1623">
        <v>3</v>
      </c>
      <c r="D1623">
        <v>5</v>
      </c>
      <c r="E1623" t="s">
        <v>268</v>
      </c>
      <c r="F1623" s="85" t="s">
        <v>331</v>
      </c>
      <c r="G1623"/>
      <c r="H1623" t="s">
        <v>294</v>
      </c>
      <c r="I1623" t="s">
        <v>221</v>
      </c>
      <c r="J1623" t="s">
        <v>176</v>
      </c>
      <c r="K1623" s="1">
        <v>32.43</v>
      </c>
      <c r="L1623" s="1">
        <v>32.43</v>
      </c>
      <c r="M1623" s="1">
        <v>32.43</v>
      </c>
      <c r="N1623" s="1">
        <v>32.43</v>
      </c>
      <c r="O1623" s="1">
        <v>2270.1</v>
      </c>
      <c r="P1623" s="1">
        <v>2270.1</v>
      </c>
      <c r="Q1623" s="1">
        <v>2270.1</v>
      </c>
      <c r="R1623" s="1">
        <v>1979.92</v>
      </c>
      <c r="S1623" t="s">
        <v>12</v>
      </c>
      <c r="T1623" s="13">
        <v>45935</v>
      </c>
      <c r="U1623" s="1" t="str">
        <f>IF(ESTIMATIVA[[#This Row],[QT_AREA_REAL]]&gt;0,"1- Colhido","2- à Colher")</f>
        <v>1- Colhido</v>
      </c>
      <c r="V1623" s="1" t="str">
        <f>IF(ESTIMATIVA[[#This Row],[QT_AREA_REST1]]&gt;0,"Reestimativa 1",IF(ESTIMATIVA[[#This Row],[QT_AREA_REAL]]=0,"Reestimativa 1","Realizado"))</f>
        <v>Reestimativa 1</v>
      </c>
      <c r="W1623" s="1" t="str">
        <f>IF(ESTIMATIVA[[#This Row],[QT_AREA_REST2]]&gt;0,"Reestimativa 2",IF(ESTIMATIVA[[#This Row],[QT_AREA_REAL]]=0,"Reestimativa 2","Realizado"))</f>
        <v>Reestimativa 2</v>
      </c>
      <c r="X1623" s="1">
        <f>ESTIMATIVA[[#This Row],[QT_AREA_EST]]</f>
        <v>32.43</v>
      </c>
      <c r="Y1623" s="1">
        <f>IF(ESTIMATIVA[[#This Row],[QT_AREA_REST1]]&gt;0,ESTIMATIVA[[#This Row],[QT_AREA_REST1]],
  IF(ESTIMATIVA[[#This Row],[QT_AREA_REAL]]&gt;0,ESTIMATIVA[[#This Row],[QT_AREA_REAL]],ESTIMATIVA[[#This Row],[QT_AREA_EST]]))</f>
        <v>32.43</v>
      </c>
      <c r="Z162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32.43</v>
      </c>
      <c r="AA1623" s="1">
        <f>ESTIMATIVA[[#This Row],[QT_CANA_EST]]</f>
        <v>2270.1</v>
      </c>
      <c r="AB1623" s="1">
        <f>IF(ESTIMATIVA[[#This Row],[QT_CANA_REST1]]&gt;0,ESTIMATIVA[[#This Row],[QT_CANA_REST1]],
  IF(ESTIMATIVA[[#This Row],[QT_CANA_REAL]]&gt;0,ESTIMATIVA[[#This Row],[QT_CANA_REAL]],ESTIMATIVA[[#This Row],[QT_CANA_EST]]))</f>
        <v>2270.1</v>
      </c>
      <c r="AC162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2270.1</v>
      </c>
      <c r="AD1623" s="1">
        <f>IF(ESTIMATIVA[[#This Row],[QT_AREA_REAL]]&gt;0,ESTIMATIVA[[#This Row],[QT_CANA_REAL]],ESTIMATIVA[[#This Row],[QT_CANA_EST]])</f>
        <v>1979.92</v>
      </c>
      <c r="AE1623" s="1">
        <f>IF(ESTIMATIVA[[#This Row],[QT_AREA_REAL]]&gt;0,ESTIMATIVA[[#This Row],[QT_CANA_REAL]],ESTIMATIVA[[#This Row],[QT_CANA_REST1]])</f>
        <v>1979.92</v>
      </c>
      <c r="AF1623" s="1">
        <f>IF(ESTIMATIVA[[#This Row],[QT_AREA_REAL]]&gt;0,ESTIMATIVA[[#This Row],[QT_CANA_REAL]],ESTIMATIVA[[#This Row],[QT_CANA_REST2]])</f>
        <v>1979.92</v>
      </c>
      <c r="AG1623" s="1" t="str">
        <f>IF(COUNTIFS(GEADA!A:A,VALUE(ESTIMATIVA[[#This Row],[CD_UPNIVEL1]]&amp;TEXT(ESTIMATIVA[[#This Row],[CD_UPNIVEL3]],"0000")))&gt;0,"S","N")</f>
        <v>N</v>
      </c>
      <c r="AH162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23" s="55" t="str">
        <f>IF(ESTIMATIVA[[#This Row],[TP_CULTIVO]]="Irrigado",_xlfn.MAXIFS(IRRIGADO!J:J,IRRIGADO!C:C,ESTIMATIVA[[#This Row],[CD_UPNIVEL1]],IRRIGADO!E:E,ESTIMATIVA[[#This Row],[CD_UPNIVEL3]]),"")</f>
        <v/>
      </c>
      <c r="AJ162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23" s="1">
        <f>COUNTIFS(Apresentação!$E$23:$E$29,ESTIMATIVA[[#This Row],[CD_UPNIVEL1]])</f>
        <v>0</v>
      </c>
    </row>
    <row r="1624" spans="1:37" x14ac:dyDescent="0.3">
      <c r="A1624">
        <v>20589</v>
      </c>
      <c r="B1624" t="s">
        <v>154</v>
      </c>
      <c r="C1624">
        <v>4</v>
      </c>
      <c r="D1624">
        <v>5</v>
      </c>
      <c r="E1624" t="s">
        <v>268</v>
      </c>
      <c r="F1624" s="85" t="s">
        <v>331</v>
      </c>
      <c r="G1624"/>
      <c r="H1624" t="s">
        <v>294</v>
      </c>
      <c r="I1624" t="s">
        <v>221</v>
      </c>
      <c r="J1624" t="s">
        <v>176</v>
      </c>
      <c r="K1624" s="1">
        <v>81.66</v>
      </c>
      <c r="L1624" s="1">
        <v>81.66</v>
      </c>
      <c r="M1624" s="1">
        <v>81.66</v>
      </c>
      <c r="N1624" s="1">
        <v>81.66</v>
      </c>
      <c r="O1624" s="1">
        <v>5716.2</v>
      </c>
      <c r="P1624" s="1">
        <v>5716.2</v>
      </c>
      <c r="Q1624" s="1">
        <v>5716.2</v>
      </c>
      <c r="R1624" s="1">
        <v>4986.43</v>
      </c>
      <c r="S1624" t="s">
        <v>12</v>
      </c>
      <c r="T1624" s="13">
        <v>45935</v>
      </c>
      <c r="U1624" s="1" t="str">
        <f>IF(ESTIMATIVA[[#This Row],[QT_AREA_REAL]]&gt;0,"1- Colhido","2- à Colher")</f>
        <v>1- Colhido</v>
      </c>
      <c r="V1624" s="1" t="str">
        <f>IF(ESTIMATIVA[[#This Row],[QT_AREA_REST1]]&gt;0,"Reestimativa 1",IF(ESTIMATIVA[[#This Row],[QT_AREA_REAL]]=0,"Reestimativa 1","Realizado"))</f>
        <v>Reestimativa 1</v>
      </c>
      <c r="W1624" s="1" t="str">
        <f>IF(ESTIMATIVA[[#This Row],[QT_AREA_REST2]]&gt;0,"Reestimativa 2",IF(ESTIMATIVA[[#This Row],[QT_AREA_REAL]]=0,"Reestimativa 2","Realizado"))</f>
        <v>Reestimativa 2</v>
      </c>
      <c r="X1624" s="1">
        <f>ESTIMATIVA[[#This Row],[QT_AREA_EST]]</f>
        <v>81.66</v>
      </c>
      <c r="Y1624" s="1">
        <f>IF(ESTIMATIVA[[#This Row],[QT_AREA_REST1]]&gt;0,ESTIMATIVA[[#This Row],[QT_AREA_REST1]],
  IF(ESTIMATIVA[[#This Row],[QT_AREA_REAL]]&gt;0,ESTIMATIVA[[#This Row],[QT_AREA_REAL]],ESTIMATIVA[[#This Row],[QT_AREA_EST]]))</f>
        <v>81.66</v>
      </c>
      <c r="Z162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81.66</v>
      </c>
      <c r="AA1624" s="1">
        <f>ESTIMATIVA[[#This Row],[QT_CANA_EST]]</f>
        <v>5716.2</v>
      </c>
      <c r="AB1624" s="1">
        <f>IF(ESTIMATIVA[[#This Row],[QT_CANA_REST1]]&gt;0,ESTIMATIVA[[#This Row],[QT_CANA_REST1]],
  IF(ESTIMATIVA[[#This Row],[QT_CANA_REAL]]&gt;0,ESTIMATIVA[[#This Row],[QT_CANA_REAL]],ESTIMATIVA[[#This Row],[QT_CANA_EST]]))</f>
        <v>5716.2</v>
      </c>
      <c r="AC162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5716.2</v>
      </c>
      <c r="AD1624" s="1">
        <f>IF(ESTIMATIVA[[#This Row],[QT_AREA_REAL]]&gt;0,ESTIMATIVA[[#This Row],[QT_CANA_REAL]],ESTIMATIVA[[#This Row],[QT_CANA_EST]])</f>
        <v>4986.43</v>
      </c>
      <c r="AE1624" s="1">
        <f>IF(ESTIMATIVA[[#This Row],[QT_AREA_REAL]]&gt;0,ESTIMATIVA[[#This Row],[QT_CANA_REAL]],ESTIMATIVA[[#This Row],[QT_CANA_REST1]])</f>
        <v>4986.43</v>
      </c>
      <c r="AF1624" s="1">
        <f>IF(ESTIMATIVA[[#This Row],[QT_AREA_REAL]]&gt;0,ESTIMATIVA[[#This Row],[QT_CANA_REAL]],ESTIMATIVA[[#This Row],[QT_CANA_REST2]])</f>
        <v>4986.43</v>
      </c>
      <c r="AG1624" s="1" t="str">
        <f>IF(COUNTIFS(GEADA!A:A,VALUE(ESTIMATIVA[[#This Row],[CD_UPNIVEL1]]&amp;TEXT(ESTIMATIVA[[#This Row],[CD_UPNIVEL3]],"0000")))&gt;0,"S","N")</f>
        <v>N</v>
      </c>
      <c r="AH162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24" s="55" t="str">
        <f>IF(ESTIMATIVA[[#This Row],[TP_CULTIVO]]="Irrigado",_xlfn.MAXIFS(IRRIGADO!J:J,IRRIGADO!C:C,ESTIMATIVA[[#This Row],[CD_UPNIVEL1]],IRRIGADO!E:E,ESTIMATIVA[[#This Row],[CD_UPNIVEL3]]),"")</f>
        <v/>
      </c>
      <c r="AJ162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24" s="1">
        <f>COUNTIFS(Apresentação!$E$23:$E$29,ESTIMATIVA[[#This Row],[CD_UPNIVEL1]])</f>
        <v>0</v>
      </c>
    </row>
    <row r="1625" spans="1:37" x14ac:dyDescent="0.3">
      <c r="A1625">
        <v>20590</v>
      </c>
      <c r="B1625" t="s">
        <v>77</v>
      </c>
      <c r="C1625">
        <v>1</v>
      </c>
      <c r="D1625">
        <v>7</v>
      </c>
      <c r="E1625" t="s">
        <v>270</v>
      </c>
      <c r="F1625" s="85" t="s">
        <v>332</v>
      </c>
      <c r="G1625"/>
      <c r="H1625" t="s">
        <v>294</v>
      </c>
      <c r="I1625" t="s">
        <v>208</v>
      </c>
      <c r="J1625" t="s">
        <v>176</v>
      </c>
      <c r="K1625" s="1">
        <v>38.42</v>
      </c>
      <c r="L1625" s="1">
        <v>0</v>
      </c>
      <c r="M1625" s="1">
        <v>0</v>
      </c>
      <c r="N1625" s="1">
        <v>38.42</v>
      </c>
      <c r="O1625" s="1">
        <v>3073.6</v>
      </c>
      <c r="P1625" s="1">
        <v>0</v>
      </c>
      <c r="Q1625" s="1">
        <v>0</v>
      </c>
      <c r="R1625" s="1">
        <v>3250.22</v>
      </c>
      <c r="S1625" t="s">
        <v>12</v>
      </c>
      <c r="T1625" s="13">
        <v>45781</v>
      </c>
      <c r="U1625" s="1" t="str">
        <f>IF(ESTIMATIVA[[#This Row],[QT_AREA_REAL]]&gt;0,"1- Colhido","2- à Colher")</f>
        <v>1- Colhido</v>
      </c>
      <c r="V1625" s="1" t="str">
        <f>IF(ESTIMATIVA[[#This Row],[QT_AREA_REST1]]&gt;0,"Reestimativa 1",IF(ESTIMATIVA[[#This Row],[QT_AREA_REAL]]=0,"Reestimativa 1","Realizado"))</f>
        <v>Realizado</v>
      </c>
      <c r="W1625" s="1" t="str">
        <f>IF(ESTIMATIVA[[#This Row],[QT_AREA_REST2]]&gt;0,"Reestimativa 2",IF(ESTIMATIVA[[#This Row],[QT_AREA_REAL]]=0,"Reestimativa 2","Realizado"))</f>
        <v>Realizado</v>
      </c>
      <c r="X1625" s="1">
        <f>ESTIMATIVA[[#This Row],[QT_AREA_EST]]</f>
        <v>38.42</v>
      </c>
      <c r="Y1625" s="1">
        <f>IF(ESTIMATIVA[[#This Row],[QT_AREA_REST1]]&gt;0,ESTIMATIVA[[#This Row],[QT_AREA_REST1]],
  IF(ESTIMATIVA[[#This Row],[QT_AREA_REAL]]&gt;0,ESTIMATIVA[[#This Row],[QT_AREA_REAL]],ESTIMATIVA[[#This Row],[QT_AREA_EST]]))</f>
        <v>38.42</v>
      </c>
      <c r="Z162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38.42</v>
      </c>
      <c r="AA1625" s="1">
        <f>ESTIMATIVA[[#This Row],[QT_CANA_EST]]</f>
        <v>3073.6</v>
      </c>
      <c r="AB1625" s="1">
        <f>IF(ESTIMATIVA[[#This Row],[QT_CANA_REST1]]&gt;0,ESTIMATIVA[[#This Row],[QT_CANA_REST1]],
  IF(ESTIMATIVA[[#This Row],[QT_CANA_REAL]]&gt;0,ESTIMATIVA[[#This Row],[QT_CANA_REAL]],ESTIMATIVA[[#This Row],[QT_CANA_EST]]))</f>
        <v>3250.22</v>
      </c>
      <c r="AC162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3250.22</v>
      </c>
      <c r="AD1625" s="1">
        <f>IF(ESTIMATIVA[[#This Row],[QT_AREA_REAL]]&gt;0,ESTIMATIVA[[#This Row],[QT_CANA_REAL]],ESTIMATIVA[[#This Row],[QT_CANA_EST]])</f>
        <v>3250.22</v>
      </c>
      <c r="AE1625" s="1">
        <f>IF(ESTIMATIVA[[#This Row],[QT_AREA_REAL]]&gt;0,ESTIMATIVA[[#This Row],[QT_CANA_REAL]],ESTIMATIVA[[#This Row],[QT_CANA_REST1]])</f>
        <v>3250.22</v>
      </c>
      <c r="AF1625" s="1">
        <f>IF(ESTIMATIVA[[#This Row],[QT_AREA_REAL]]&gt;0,ESTIMATIVA[[#This Row],[QT_CANA_REAL]],ESTIMATIVA[[#This Row],[QT_CANA_REST2]])</f>
        <v>3250.22</v>
      </c>
      <c r="AG1625" s="1" t="str">
        <f>IF(COUNTIFS(GEADA!A:A,VALUE(ESTIMATIVA[[#This Row],[CD_UPNIVEL1]]&amp;TEXT(ESTIMATIVA[[#This Row],[CD_UPNIVEL3]],"0000")))&gt;0,"S","N")</f>
        <v>N</v>
      </c>
      <c r="AH162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25" s="55" t="str">
        <f>IF(ESTIMATIVA[[#This Row],[TP_CULTIVO]]="Irrigado",_xlfn.MAXIFS(IRRIGADO!J:J,IRRIGADO!C:C,ESTIMATIVA[[#This Row],[CD_UPNIVEL1]],IRRIGADO!E:E,ESTIMATIVA[[#This Row],[CD_UPNIVEL3]]),"")</f>
        <v/>
      </c>
      <c r="AJ162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25" s="1">
        <f>COUNTIFS(Apresentação!$E$23:$E$29,ESTIMATIVA[[#This Row],[CD_UPNIVEL1]])</f>
        <v>0</v>
      </c>
    </row>
    <row r="1626" spans="1:37" x14ac:dyDescent="0.3">
      <c r="A1626">
        <v>20590</v>
      </c>
      <c r="B1626" t="s">
        <v>77</v>
      </c>
      <c r="C1626">
        <v>2</v>
      </c>
      <c r="D1626">
        <v>7</v>
      </c>
      <c r="E1626" t="s">
        <v>270</v>
      </c>
      <c r="F1626" s="85" t="s">
        <v>332</v>
      </c>
      <c r="G1626"/>
      <c r="H1626" t="s">
        <v>294</v>
      </c>
      <c r="I1626" t="s">
        <v>208</v>
      </c>
      <c r="J1626" t="s">
        <v>176</v>
      </c>
      <c r="K1626" s="1">
        <v>29.96</v>
      </c>
      <c r="L1626" s="1">
        <v>0</v>
      </c>
      <c r="M1626" s="1">
        <v>0</v>
      </c>
      <c r="N1626" s="1">
        <v>29.96</v>
      </c>
      <c r="O1626" s="1">
        <v>2396.8000000000002</v>
      </c>
      <c r="P1626" s="1">
        <v>0</v>
      </c>
      <c r="Q1626" s="1">
        <v>0</v>
      </c>
      <c r="R1626" s="1">
        <v>2304.62</v>
      </c>
      <c r="S1626" t="s">
        <v>12</v>
      </c>
      <c r="T1626" s="13">
        <v>45802</v>
      </c>
      <c r="U1626" s="1" t="str">
        <f>IF(ESTIMATIVA[[#This Row],[QT_AREA_REAL]]&gt;0,"1- Colhido","2- à Colher")</f>
        <v>1- Colhido</v>
      </c>
      <c r="V1626" s="1" t="str">
        <f>IF(ESTIMATIVA[[#This Row],[QT_AREA_REST1]]&gt;0,"Reestimativa 1",IF(ESTIMATIVA[[#This Row],[QT_AREA_REAL]]=0,"Reestimativa 1","Realizado"))</f>
        <v>Realizado</v>
      </c>
      <c r="W1626" s="1" t="str">
        <f>IF(ESTIMATIVA[[#This Row],[QT_AREA_REST2]]&gt;0,"Reestimativa 2",IF(ESTIMATIVA[[#This Row],[QT_AREA_REAL]]=0,"Reestimativa 2","Realizado"))</f>
        <v>Realizado</v>
      </c>
      <c r="X1626" s="1">
        <f>ESTIMATIVA[[#This Row],[QT_AREA_EST]]</f>
        <v>29.96</v>
      </c>
      <c r="Y1626" s="1">
        <f>IF(ESTIMATIVA[[#This Row],[QT_AREA_REST1]]&gt;0,ESTIMATIVA[[#This Row],[QT_AREA_REST1]],
  IF(ESTIMATIVA[[#This Row],[QT_AREA_REAL]]&gt;0,ESTIMATIVA[[#This Row],[QT_AREA_REAL]],ESTIMATIVA[[#This Row],[QT_AREA_EST]]))</f>
        <v>29.96</v>
      </c>
      <c r="Z162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29.96</v>
      </c>
      <c r="AA1626" s="1">
        <f>ESTIMATIVA[[#This Row],[QT_CANA_EST]]</f>
        <v>2396.8000000000002</v>
      </c>
      <c r="AB1626" s="1">
        <f>IF(ESTIMATIVA[[#This Row],[QT_CANA_REST1]]&gt;0,ESTIMATIVA[[#This Row],[QT_CANA_REST1]],
  IF(ESTIMATIVA[[#This Row],[QT_CANA_REAL]]&gt;0,ESTIMATIVA[[#This Row],[QT_CANA_REAL]],ESTIMATIVA[[#This Row],[QT_CANA_EST]]))</f>
        <v>2304.62</v>
      </c>
      <c r="AC162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2304.62</v>
      </c>
      <c r="AD1626" s="1">
        <f>IF(ESTIMATIVA[[#This Row],[QT_AREA_REAL]]&gt;0,ESTIMATIVA[[#This Row],[QT_CANA_REAL]],ESTIMATIVA[[#This Row],[QT_CANA_EST]])</f>
        <v>2304.62</v>
      </c>
      <c r="AE1626" s="1">
        <f>IF(ESTIMATIVA[[#This Row],[QT_AREA_REAL]]&gt;0,ESTIMATIVA[[#This Row],[QT_CANA_REAL]],ESTIMATIVA[[#This Row],[QT_CANA_REST1]])</f>
        <v>2304.62</v>
      </c>
      <c r="AF1626" s="1">
        <f>IF(ESTIMATIVA[[#This Row],[QT_AREA_REAL]]&gt;0,ESTIMATIVA[[#This Row],[QT_CANA_REAL]],ESTIMATIVA[[#This Row],[QT_CANA_REST2]])</f>
        <v>2304.62</v>
      </c>
      <c r="AG1626" s="1" t="str">
        <f>IF(COUNTIFS(GEADA!A:A,VALUE(ESTIMATIVA[[#This Row],[CD_UPNIVEL1]]&amp;TEXT(ESTIMATIVA[[#This Row],[CD_UPNIVEL3]],"0000")))&gt;0,"S","N")</f>
        <v>N</v>
      </c>
      <c r="AH162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26" s="55" t="str">
        <f>IF(ESTIMATIVA[[#This Row],[TP_CULTIVO]]="Irrigado",_xlfn.MAXIFS(IRRIGADO!J:J,IRRIGADO!C:C,ESTIMATIVA[[#This Row],[CD_UPNIVEL1]],IRRIGADO!E:E,ESTIMATIVA[[#This Row],[CD_UPNIVEL3]]),"")</f>
        <v/>
      </c>
      <c r="AJ162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26" s="1">
        <f>COUNTIFS(Apresentação!$E$23:$E$29,ESTIMATIVA[[#This Row],[CD_UPNIVEL1]])</f>
        <v>0</v>
      </c>
    </row>
    <row r="1627" spans="1:37" x14ac:dyDescent="0.3">
      <c r="A1627">
        <v>20590</v>
      </c>
      <c r="B1627" t="s">
        <v>77</v>
      </c>
      <c r="C1627">
        <v>3</v>
      </c>
      <c r="D1627">
        <v>6</v>
      </c>
      <c r="E1627" t="s">
        <v>261</v>
      </c>
      <c r="F1627" s="85" t="s">
        <v>332</v>
      </c>
      <c r="G1627"/>
      <c r="H1627" t="s">
        <v>294</v>
      </c>
      <c r="I1627" t="s">
        <v>202</v>
      </c>
      <c r="J1627" t="s">
        <v>176</v>
      </c>
      <c r="K1627" s="1">
        <v>24.6</v>
      </c>
      <c r="L1627" s="1">
        <v>0</v>
      </c>
      <c r="M1627" s="1">
        <v>0</v>
      </c>
      <c r="N1627" s="1">
        <v>24.6</v>
      </c>
      <c r="O1627" s="1">
        <v>1968</v>
      </c>
      <c r="P1627" s="1">
        <v>0</v>
      </c>
      <c r="Q1627" s="1">
        <v>0</v>
      </c>
      <c r="R1627" s="1">
        <v>1892.27</v>
      </c>
      <c r="S1627" t="s">
        <v>12</v>
      </c>
      <c r="T1627" s="13">
        <v>45802</v>
      </c>
      <c r="U1627" s="1" t="str">
        <f>IF(ESTIMATIVA[[#This Row],[QT_AREA_REAL]]&gt;0,"1- Colhido","2- à Colher")</f>
        <v>1- Colhido</v>
      </c>
      <c r="V1627" s="1" t="str">
        <f>IF(ESTIMATIVA[[#This Row],[QT_AREA_REST1]]&gt;0,"Reestimativa 1",IF(ESTIMATIVA[[#This Row],[QT_AREA_REAL]]=0,"Reestimativa 1","Realizado"))</f>
        <v>Realizado</v>
      </c>
      <c r="W1627" s="1" t="str">
        <f>IF(ESTIMATIVA[[#This Row],[QT_AREA_REST2]]&gt;0,"Reestimativa 2",IF(ESTIMATIVA[[#This Row],[QT_AREA_REAL]]=0,"Reestimativa 2","Realizado"))</f>
        <v>Realizado</v>
      </c>
      <c r="X1627" s="1">
        <f>ESTIMATIVA[[#This Row],[QT_AREA_EST]]</f>
        <v>24.6</v>
      </c>
      <c r="Y1627" s="1">
        <f>IF(ESTIMATIVA[[#This Row],[QT_AREA_REST1]]&gt;0,ESTIMATIVA[[#This Row],[QT_AREA_REST1]],
  IF(ESTIMATIVA[[#This Row],[QT_AREA_REAL]]&gt;0,ESTIMATIVA[[#This Row],[QT_AREA_REAL]],ESTIMATIVA[[#This Row],[QT_AREA_EST]]))</f>
        <v>24.6</v>
      </c>
      <c r="Z162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24.6</v>
      </c>
      <c r="AA1627" s="1">
        <f>ESTIMATIVA[[#This Row],[QT_CANA_EST]]</f>
        <v>1968</v>
      </c>
      <c r="AB1627" s="1">
        <f>IF(ESTIMATIVA[[#This Row],[QT_CANA_REST1]]&gt;0,ESTIMATIVA[[#This Row],[QT_CANA_REST1]],
  IF(ESTIMATIVA[[#This Row],[QT_CANA_REAL]]&gt;0,ESTIMATIVA[[#This Row],[QT_CANA_REAL]],ESTIMATIVA[[#This Row],[QT_CANA_EST]]))</f>
        <v>1892.27</v>
      </c>
      <c r="AC162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1892.27</v>
      </c>
      <c r="AD1627" s="1">
        <f>IF(ESTIMATIVA[[#This Row],[QT_AREA_REAL]]&gt;0,ESTIMATIVA[[#This Row],[QT_CANA_REAL]],ESTIMATIVA[[#This Row],[QT_CANA_EST]])</f>
        <v>1892.27</v>
      </c>
      <c r="AE1627" s="1">
        <f>IF(ESTIMATIVA[[#This Row],[QT_AREA_REAL]]&gt;0,ESTIMATIVA[[#This Row],[QT_CANA_REAL]],ESTIMATIVA[[#This Row],[QT_CANA_REST1]])</f>
        <v>1892.27</v>
      </c>
      <c r="AF1627" s="1">
        <f>IF(ESTIMATIVA[[#This Row],[QT_AREA_REAL]]&gt;0,ESTIMATIVA[[#This Row],[QT_CANA_REAL]],ESTIMATIVA[[#This Row],[QT_CANA_REST2]])</f>
        <v>1892.27</v>
      </c>
      <c r="AG1627" s="1" t="str">
        <f>IF(COUNTIFS(GEADA!A:A,VALUE(ESTIMATIVA[[#This Row],[CD_UPNIVEL1]]&amp;TEXT(ESTIMATIVA[[#This Row],[CD_UPNIVEL3]],"0000")))&gt;0,"S","N")</f>
        <v>N</v>
      </c>
      <c r="AH162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27" s="55" t="str">
        <f>IF(ESTIMATIVA[[#This Row],[TP_CULTIVO]]="Irrigado",_xlfn.MAXIFS(IRRIGADO!J:J,IRRIGADO!C:C,ESTIMATIVA[[#This Row],[CD_UPNIVEL1]],IRRIGADO!E:E,ESTIMATIVA[[#This Row],[CD_UPNIVEL3]]),"")</f>
        <v/>
      </c>
      <c r="AJ162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27" s="1">
        <f>COUNTIFS(Apresentação!$E$23:$E$29,ESTIMATIVA[[#This Row],[CD_UPNIVEL1]])</f>
        <v>0</v>
      </c>
    </row>
    <row r="1628" spans="1:37" x14ac:dyDescent="0.3">
      <c r="A1628">
        <v>20590</v>
      </c>
      <c r="B1628" t="s">
        <v>77</v>
      </c>
      <c r="C1628">
        <v>4</v>
      </c>
      <c r="D1628">
        <v>6</v>
      </c>
      <c r="E1628" t="s">
        <v>261</v>
      </c>
      <c r="F1628" s="85" t="s">
        <v>332</v>
      </c>
      <c r="G1628"/>
      <c r="H1628" t="s">
        <v>294</v>
      </c>
      <c r="I1628" t="s">
        <v>202</v>
      </c>
      <c r="J1628" t="s">
        <v>176</v>
      </c>
      <c r="K1628" s="1">
        <v>24</v>
      </c>
      <c r="L1628" s="1">
        <v>0</v>
      </c>
      <c r="M1628" s="1">
        <v>0</v>
      </c>
      <c r="N1628" s="1">
        <v>24</v>
      </c>
      <c r="O1628" s="1">
        <v>1680</v>
      </c>
      <c r="P1628" s="1">
        <v>0</v>
      </c>
      <c r="Q1628" s="1">
        <v>0</v>
      </c>
      <c r="R1628" s="1">
        <v>1718.86</v>
      </c>
      <c r="S1628" t="s">
        <v>12</v>
      </c>
      <c r="T1628" s="13">
        <v>45809</v>
      </c>
      <c r="U1628" s="1" t="str">
        <f>IF(ESTIMATIVA[[#This Row],[QT_AREA_REAL]]&gt;0,"1- Colhido","2- à Colher")</f>
        <v>1- Colhido</v>
      </c>
      <c r="V1628" s="1" t="str">
        <f>IF(ESTIMATIVA[[#This Row],[QT_AREA_REST1]]&gt;0,"Reestimativa 1",IF(ESTIMATIVA[[#This Row],[QT_AREA_REAL]]=0,"Reestimativa 1","Realizado"))</f>
        <v>Realizado</v>
      </c>
      <c r="W1628" s="1" t="str">
        <f>IF(ESTIMATIVA[[#This Row],[QT_AREA_REST2]]&gt;0,"Reestimativa 2",IF(ESTIMATIVA[[#This Row],[QT_AREA_REAL]]=0,"Reestimativa 2","Realizado"))</f>
        <v>Realizado</v>
      </c>
      <c r="X1628" s="1">
        <f>ESTIMATIVA[[#This Row],[QT_AREA_EST]]</f>
        <v>24</v>
      </c>
      <c r="Y1628" s="1">
        <f>IF(ESTIMATIVA[[#This Row],[QT_AREA_REST1]]&gt;0,ESTIMATIVA[[#This Row],[QT_AREA_REST1]],
  IF(ESTIMATIVA[[#This Row],[QT_AREA_REAL]]&gt;0,ESTIMATIVA[[#This Row],[QT_AREA_REAL]],ESTIMATIVA[[#This Row],[QT_AREA_EST]]))</f>
        <v>24</v>
      </c>
      <c r="Z162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</v>
      </c>
      <c r="AA1628" s="1">
        <f>ESTIMATIVA[[#This Row],[QT_CANA_EST]]</f>
        <v>1680</v>
      </c>
      <c r="AB1628" s="1">
        <f>IF(ESTIMATIVA[[#This Row],[QT_CANA_REST1]]&gt;0,ESTIMATIVA[[#This Row],[QT_CANA_REST1]],
  IF(ESTIMATIVA[[#This Row],[QT_CANA_REAL]]&gt;0,ESTIMATIVA[[#This Row],[QT_CANA_REAL]],ESTIMATIVA[[#This Row],[QT_CANA_EST]]))</f>
        <v>1718.86</v>
      </c>
      <c r="AC162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1718.86</v>
      </c>
      <c r="AD1628" s="1">
        <f>IF(ESTIMATIVA[[#This Row],[QT_AREA_REAL]]&gt;0,ESTIMATIVA[[#This Row],[QT_CANA_REAL]],ESTIMATIVA[[#This Row],[QT_CANA_EST]])</f>
        <v>1718.86</v>
      </c>
      <c r="AE1628" s="1">
        <f>IF(ESTIMATIVA[[#This Row],[QT_AREA_REAL]]&gt;0,ESTIMATIVA[[#This Row],[QT_CANA_REAL]],ESTIMATIVA[[#This Row],[QT_CANA_REST1]])</f>
        <v>1718.86</v>
      </c>
      <c r="AF1628" s="1">
        <f>IF(ESTIMATIVA[[#This Row],[QT_AREA_REAL]]&gt;0,ESTIMATIVA[[#This Row],[QT_CANA_REAL]],ESTIMATIVA[[#This Row],[QT_CANA_REST2]])</f>
        <v>1718.86</v>
      </c>
      <c r="AG1628" s="1" t="str">
        <f>IF(COUNTIFS(GEADA!A:A,VALUE(ESTIMATIVA[[#This Row],[CD_UPNIVEL1]]&amp;TEXT(ESTIMATIVA[[#This Row],[CD_UPNIVEL3]],"0000")))&gt;0,"S","N")</f>
        <v>N</v>
      </c>
      <c r="AH162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28" s="55" t="str">
        <f>IF(ESTIMATIVA[[#This Row],[TP_CULTIVO]]="Irrigado",_xlfn.MAXIFS(IRRIGADO!J:J,IRRIGADO!C:C,ESTIMATIVA[[#This Row],[CD_UPNIVEL1]],IRRIGADO!E:E,ESTIMATIVA[[#This Row],[CD_UPNIVEL3]]),"")</f>
        <v/>
      </c>
      <c r="AJ162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28" s="1">
        <f>COUNTIFS(Apresentação!$E$23:$E$29,ESTIMATIVA[[#This Row],[CD_UPNIVEL1]])</f>
        <v>0</v>
      </c>
    </row>
    <row r="1629" spans="1:37" x14ac:dyDescent="0.3">
      <c r="A1629">
        <v>20590</v>
      </c>
      <c r="B1629" t="s">
        <v>77</v>
      </c>
      <c r="C1629">
        <v>5</v>
      </c>
      <c r="D1629">
        <v>6</v>
      </c>
      <c r="E1629" t="s">
        <v>261</v>
      </c>
      <c r="F1629" s="85" t="s">
        <v>332</v>
      </c>
      <c r="G1629"/>
      <c r="H1629" t="s">
        <v>294</v>
      </c>
      <c r="I1629" t="s">
        <v>202</v>
      </c>
      <c r="J1629" t="s">
        <v>176</v>
      </c>
      <c r="K1629" s="1">
        <v>33.49</v>
      </c>
      <c r="L1629" s="1">
        <v>0</v>
      </c>
      <c r="M1629" s="1">
        <v>0</v>
      </c>
      <c r="N1629" s="1">
        <v>33.49</v>
      </c>
      <c r="O1629" s="1">
        <v>2344.3000000000002</v>
      </c>
      <c r="P1629" s="1">
        <v>0</v>
      </c>
      <c r="Q1629" s="1">
        <v>0</v>
      </c>
      <c r="R1629" s="1">
        <v>2398.25</v>
      </c>
      <c r="S1629" t="s">
        <v>12</v>
      </c>
      <c r="T1629" s="13">
        <v>45809</v>
      </c>
      <c r="U1629" s="1" t="str">
        <f>IF(ESTIMATIVA[[#This Row],[QT_AREA_REAL]]&gt;0,"1- Colhido","2- à Colher")</f>
        <v>1- Colhido</v>
      </c>
      <c r="V1629" s="1" t="str">
        <f>IF(ESTIMATIVA[[#This Row],[QT_AREA_REST1]]&gt;0,"Reestimativa 1",IF(ESTIMATIVA[[#This Row],[QT_AREA_REAL]]=0,"Reestimativa 1","Realizado"))</f>
        <v>Realizado</v>
      </c>
      <c r="W1629" s="1" t="str">
        <f>IF(ESTIMATIVA[[#This Row],[QT_AREA_REST2]]&gt;0,"Reestimativa 2",IF(ESTIMATIVA[[#This Row],[QT_AREA_REAL]]=0,"Reestimativa 2","Realizado"))</f>
        <v>Realizado</v>
      </c>
      <c r="X1629" s="1">
        <f>ESTIMATIVA[[#This Row],[QT_AREA_EST]]</f>
        <v>33.49</v>
      </c>
      <c r="Y1629" s="1">
        <f>IF(ESTIMATIVA[[#This Row],[QT_AREA_REST1]]&gt;0,ESTIMATIVA[[#This Row],[QT_AREA_REST1]],
  IF(ESTIMATIVA[[#This Row],[QT_AREA_REAL]]&gt;0,ESTIMATIVA[[#This Row],[QT_AREA_REAL]],ESTIMATIVA[[#This Row],[QT_AREA_EST]]))</f>
        <v>33.49</v>
      </c>
      <c r="Z162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33.49</v>
      </c>
      <c r="AA1629" s="1">
        <f>ESTIMATIVA[[#This Row],[QT_CANA_EST]]</f>
        <v>2344.3000000000002</v>
      </c>
      <c r="AB1629" s="1">
        <f>IF(ESTIMATIVA[[#This Row],[QT_CANA_REST1]]&gt;0,ESTIMATIVA[[#This Row],[QT_CANA_REST1]],
  IF(ESTIMATIVA[[#This Row],[QT_CANA_REAL]]&gt;0,ESTIMATIVA[[#This Row],[QT_CANA_REAL]],ESTIMATIVA[[#This Row],[QT_CANA_EST]]))</f>
        <v>2398.25</v>
      </c>
      <c r="AC162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2398.25</v>
      </c>
      <c r="AD1629" s="1">
        <f>IF(ESTIMATIVA[[#This Row],[QT_AREA_REAL]]&gt;0,ESTIMATIVA[[#This Row],[QT_CANA_REAL]],ESTIMATIVA[[#This Row],[QT_CANA_EST]])</f>
        <v>2398.25</v>
      </c>
      <c r="AE1629" s="1">
        <f>IF(ESTIMATIVA[[#This Row],[QT_AREA_REAL]]&gt;0,ESTIMATIVA[[#This Row],[QT_CANA_REAL]],ESTIMATIVA[[#This Row],[QT_CANA_REST1]])</f>
        <v>2398.25</v>
      </c>
      <c r="AF1629" s="1">
        <f>IF(ESTIMATIVA[[#This Row],[QT_AREA_REAL]]&gt;0,ESTIMATIVA[[#This Row],[QT_CANA_REAL]],ESTIMATIVA[[#This Row],[QT_CANA_REST2]])</f>
        <v>2398.25</v>
      </c>
      <c r="AG1629" s="1" t="str">
        <f>IF(COUNTIFS(GEADA!A:A,VALUE(ESTIMATIVA[[#This Row],[CD_UPNIVEL1]]&amp;TEXT(ESTIMATIVA[[#This Row],[CD_UPNIVEL3]],"0000")))&gt;0,"S","N")</f>
        <v>N</v>
      </c>
      <c r="AH162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29" s="55" t="str">
        <f>IF(ESTIMATIVA[[#This Row],[TP_CULTIVO]]="Irrigado",_xlfn.MAXIFS(IRRIGADO!J:J,IRRIGADO!C:C,ESTIMATIVA[[#This Row],[CD_UPNIVEL1]],IRRIGADO!E:E,ESTIMATIVA[[#This Row],[CD_UPNIVEL3]]),"")</f>
        <v/>
      </c>
      <c r="AJ162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29" s="1">
        <f>COUNTIFS(Apresentação!$E$23:$E$29,ESTIMATIVA[[#This Row],[CD_UPNIVEL1]])</f>
        <v>0</v>
      </c>
    </row>
    <row r="1630" spans="1:37" x14ac:dyDescent="0.3">
      <c r="A1630">
        <v>20590</v>
      </c>
      <c r="B1630" t="s">
        <v>77</v>
      </c>
      <c r="C1630">
        <v>6</v>
      </c>
      <c r="D1630">
        <v>6</v>
      </c>
      <c r="E1630" t="s">
        <v>261</v>
      </c>
      <c r="F1630" s="85" t="s">
        <v>330</v>
      </c>
      <c r="G1630"/>
      <c r="H1630" t="s">
        <v>294</v>
      </c>
      <c r="I1630" t="s">
        <v>202</v>
      </c>
      <c r="J1630" t="s">
        <v>176</v>
      </c>
      <c r="K1630" s="1">
        <v>33.270000000000003</v>
      </c>
      <c r="L1630" s="1">
        <v>0</v>
      </c>
      <c r="M1630" s="1">
        <v>0</v>
      </c>
      <c r="N1630" s="1">
        <v>33.270000000000003</v>
      </c>
      <c r="O1630" s="1">
        <v>2328.9</v>
      </c>
      <c r="P1630" s="1">
        <v>0</v>
      </c>
      <c r="Q1630" s="1">
        <v>0</v>
      </c>
      <c r="R1630" s="1">
        <v>2383.1999999999998</v>
      </c>
      <c r="S1630" t="s">
        <v>12</v>
      </c>
      <c r="T1630" s="13">
        <v>45809</v>
      </c>
      <c r="U1630" s="1" t="str">
        <f>IF(ESTIMATIVA[[#This Row],[QT_AREA_REAL]]&gt;0,"1- Colhido","2- à Colher")</f>
        <v>1- Colhido</v>
      </c>
      <c r="V1630" s="1" t="str">
        <f>IF(ESTIMATIVA[[#This Row],[QT_AREA_REST1]]&gt;0,"Reestimativa 1",IF(ESTIMATIVA[[#This Row],[QT_AREA_REAL]]=0,"Reestimativa 1","Realizado"))</f>
        <v>Realizado</v>
      </c>
      <c r="W1630" s="1" t="str">
        <f>IF(ESTIMATIVA[[#This Row],[QT_AREA_REST2]]&gt;0,"Reestimativa 2",IF(ESTIMATIVA[[#This Row],[QT_AREA_REAL]]=0,"Reestimativa 2","Realizado"))</f>
        <v>Realizado</v>
      </c>
      <c r="X1630" s="1">
        <f>ESTIMATIVA[[#This Row],[QT_AREA_EST]]</f>
        <v>33.270000000000003</v>
      </c>
      <c r="Y1630" s="1">
        <f>IF(ESTIMATIVA[[#This Row],[QT_AREA_REST1]]&gt;0,ESTIMATIVA[[#This Row],[QT_AREA_REST1]],
  IF(ESTIMATIVA[[#This Row],[QT_AREA_REAL]]&gt;0,ESTIMATIVA[[#This Row],[QT_AREA_REAL]],ESTIMATIVA[[#This Row],[QT_AREA_EST]]))</f>
        <v>33.270000000000003</v>
      </c>
      <c r="Z163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33.270000000000003</v>
      </c>
      <c r="AA1630" s="1">
        <f>ESTIMATIVA[[#This Row],[QT_CANA_EST]]</f>
        <v>2328.9</v>
      </c>
      <c r="AB1630" s="1">
        <f>IF(ESTIMATIVA[[#This Row],[QT_CANA_REST1]]&gt;0,ESTIMATIVA[[#This Row],[QT_CANA_REST1]],
  IF(ESTIMATIVA[[#This Row],[QT_CANA_REAL]]&gt;0,ESTIMATIVA[[#This Row],[QT_CANA_REAL]],ESTIMATIVA[[#This Row],[QT_CANA_EST]]))</f>
        <v>2383.1999999999998</v>
      </c>
      <c r="AC163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2383.1999999999998</v>
      </c>
      <c r="AD1630" s="1">
        <f>IF(ESTIMATIVA[[#This Row],[QT_AREA_REAL]]&gt;0,ESTIMATIVA[[#This Row],[QT_CANA_REAL]],ESTIMATIVA[[#This Row],[QT_CANA_EST]])</f>
        <v>2383.1999999999998</v>
      </c>
      <c r="AE1630" s="1">
        <f>IF(ESTIMATIVA[[#This Row],[QT_AREA_REAL]]&gt;0,ESTIMATIVA[[#This Row],[QT_CANA_REAL]],ESTIMATIVA[[#This Row],[QT_CANA_REST1]])</f>
        <v>2383.1999999999998</v>
      </c>
      <c r="AF1630" s="1">
        <f>IF(ESTIMATIVA[[#This Row],[QT_AREA_REAL]]&gt;0,ESTIMATIVA[[#This Row],[QT_CANA_REAL]],ESTIMATIVA[[#This Row],[QT_CANA_REST2]])</f>
        <v>2383.1999999999998</v>
      </c>
      <c r="AG1630" s="1" t="str">
        <f>IF(COUNTIFS(GEADA!A:A,VALUE(ESTIMATIVA[[#This Row],[CD_UPNIVEL1]]&amp;TEXT(ESTIMATIVA[[#This Row],[CD_UPNIVEL3]],"0000")))&gt;0,"S","N")</f>
        <v>N</v>
      </c>
      <c r="AH163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30" s="55" t="str">
        <f>IF(ESTIMATIVA[[#This Row],[TP_CULTIVO]]="Irrigado",_xlfn.MAXIFS(IRRIGADO!J:J,IRRIGADO!C:C,ESTIMATIVA[[#This Row],[CD_UPNIVEL1]],IRRIGADO!E:E,ESTIMATIVA[[#This Row],[CD_UPNIVEL3]]),"")</f>
        <v/>
      </c>
      <c r="AJ163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30" s="1">
        <f>COUNTIFS(Apresentação!$E$23:$E$29,ESTIMATIVA[[#This Row],[CD_UPNIVEL1]])</f>
        <v>0</v>
      </c>
    </row>
    <row r="1631" spans="1:37" x14ac:dyDescent="0.3">
      <c r="A1631">
        <v>20590</v>
      </c>
      <c r="B1631" t="s">
        <v>77</v>
      </c>
      <c r="C1631">
        <v>7</v>
      </c>
      <c r="D1631">
        <v>7</v>
      </c>
      <c r="E1631" t="s">
        <v>270</v>
      </c>
      <c r="F1631" s="85" t="s">
        <v>330</v>
      </c>
      <c r="G1631"/>
      <c r="H1631" t="s">
        <v>294</v>
      </c>
      <c r="I1631" t="s">
        <v>208</v>
      </c>
      <c r="J1631" t="s">
        <v>176</v>
      </c>
      <c r="K1631" s="1">
        <v>26.97</v>
      </c>
      <c r="L1631" s="1">
        <v>0</v>
      </c>
      <c r="M1631" s="1">
        <v>0</v>
      </c>
      <c r="N1631" s="1">
        <v>26.97</v>
      </c>
      <c r="O1631" s="1">
        <v>2535.1799999999998</v>
      </c>
      <c r="P1631" s="1">
        <v>0</v>
      </c>
      <c r="Q1631" s="1">
        <v>0</v>
      </c>
      <c r="R1631" s="1">
        <v>2475.9699999999998</v>
      </c>
      <c r="S1631" t="s">
        <v>12</v>
      </c>
      <c r="T1631" s="13">
        <v>45802</v>
      </c>
      <c r="U1631" s="1" t="str">
        <f>IF(ESTIMATIVA[[#This Row],[QT_AREA_REAL]]&gt;0,"1- Colhido","2- à Colher")</f>
        <v>1- Colhido</v>
      </c>
      <c r="V1631" s="1" t="str">
        <f>IF(ESTIMATIVA[[#This Row],[QT_AREA_REST1]]&gt;0,"Reestimativa 1",IF(ESTIMATIVA[[#This Row],[QT_AREA_REAL]]=0,"Reestimativa 1","Realizado"))</f>
        <v>Realizado</v>
      </c>
      <c r="W1631" s="1" t="str">
        <f>IF(ESTIMATIVA[[#This Row],[QT_AREA_REST2]]&gt;0,"Reestimativa 2",IF(ESTIMATIVA[[#This Row],[QT_AREA_REAL]]=0,"Reestimativa 2","Realizado"))</f>
        <v>Realizado</v>
      </c>
      <c r="X1631" s="1">
        <f>ESTIMATIVA[[#This Row],[QT_AREA_EST]]</f>
        <v>26.97</v>
      </c>
      <c r="Y1631" s="1">
        <f>IF(ESTIMATIVA[[#This Row],[QT_AREA_REST1]]&gt;0,ESTIMATIVA[[#This Row],[QT_AREA_REST1]],
  IF(ESTIMATIVA[[#This Row],[QT_AREA_REAL]]&gt;0,ESTIMATIVA[[#This Row],[QT_AREA_REAL]],ESTIMATIVA[[#This Row],[QT_AREA_EST]]))</f>
        <v>26.97</v>
      </c>
      <c r="Z163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26.97</v>
      </c>
      <c r="AA1631" s="1">
        <f>ESTIMATIVA[[#This Row],[QT_CANA_EST]]</f>
        <v>2535.1799999999998</v>
      </c>
      <c r="AB1631" s="1">
        <f>IF(ESTIMATIVA[[#This Row],[QT_CANA_REST1]]&gt;0,ESTIMATIVA[[#This Row],[QT_CANA_REST1]],
  IF(ESTIMATIVA[[#This Row],[QT_CANA_REAL]]&gt;0,ESTIMATIVA[[#This Row],[QT_CANA_REAL]],ESTIMATIVA[[#This Row],[QT_CANA_EST]]))</f>
        <v>2475.9699999999998</v>
      </c>
      <c r="AC163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2475.9699999999998</v>
      </c>
      <c r="AD1631" s="1">
        <f>IF(ESTIMATIVA[[#This Row],[QT_AREA_REAL]]&gt;0,ESTIMATIVA[[#This Row],[QT_CANA_REAL]],ESTIMATIVA[[#This Row],[QT_CANA_EST]])</f>
        <v>2475.9699999999998</v>
      </c>
      <c r="AE1631" s="1">
        <f>IF(ESTIMATIVA[[#This Row],[QT_AREA_REAL]]&gt;0,ESTIMATIVA[[#This Row],[QT_CANA_REAL]],ESTIMATIVA[[#This Row],[QT_CANA_REST1]])</f>
        <v>2475.9699999999998</v>
      </c>
      <c r="AF1631" s="1">
        <f>IF(ESTIMATIVA[[#This Row],[QT_AREA_REAL]]&gt;0,ESTIMATIVA[[#This Row],[QT_CANA_REAL]],ESTIMATIVA[[#This Row],[QT_CANA_REST2]])</f>
        <v>2475.9699999999998</v>
      </c>
      <c r="AG1631" s="1" t="str">
        <f>IF(COUNTIFS(GEADA!A:A,VALUE(ESTIMATIVA[[#This Row],[CD_UPNIVEL1]]&amp;TEXT(ESTIMATIVA[[#This Row],[CD_UPNIVEL3]],"0000")))&gt;0,"S","N")</f>
        <v>N</v>
      </c>
      <c r="AH163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31" s="55" t="str">
        <f>IF(ESTIMATIVA[[#This Row],[TP_CULTIVO]]="Irrigado",_xlfn.MAXIFS(IRRIGADO!J:J,IRRIGADO!C:C,ESTIMATIVA[[#This Row],[CD_UPNIVEL1]],IRRIGADO!E:E,ESTIMATIVA[[#This Row],[CD_UPNIVEL3]]),"")</f>
        <v/>
      </c>
      <c r="AJ163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31" s="1">
        <f>COUNTIFS(Apresentação!$E$23:$E$29,ESTIMATIVA[[#This Row],[CD_UPNIVEL1]])</f>
        <v>0</v>
      </c>
    </row>
    <row r="1632" spans="1:37" x14ac:dyDescent="0.3">
      <c r="A1632">
        <v>20590</v>
      </c>
      <c r="B1632" t="s">
        <v>77</v>
      </c>
      <c r="C1632">
        <v>8</v>
      </c>
      <c r="D1632">
        <v>6</v>
      </c>
      <c r="E1632" t="s">
        <v>261</v>
      </c>
      <c r="F1632" s="85" t="s">
        <v>330</v>
      </c>
      <c r="G1632"/>
      <c r="H1632" t="s">
        <v>294</v>
      </c>
      <c r="I1632" t="s">
        <v>202</v>
      </c>
      <c r="J1632" t="s">
        <v>176</v>
      </c>
      <c r="K1632" s="1">
        <v>24.82</v>
      </c>
      <c r="L1632" s="1">
        <v>0</v>
      </c>
      <c r="M1632" s="1">
        <v>0</v>
      </c>
      <c r="N1632" s="1">
        <v>24.82</v>
      </c>
      <c r="O1632" s="1">
        <v>2233.8000000000002</v>
      </c>
      <c r="P1632" s="1">
        <v>0</v>
      </c>
      <c r="Q1632" s="1">
        <v>0</v>
      </c>
      <c r="R1632" s="1">
        <v>2181.98</v>
      </c>
      <c r="S1632" t="s">
        <v>12</v>
      </c>
      <c r="T1632" s="13">
        <v>45802</v>
      </c>
      <c r="U1632" s="1" t="str">
        <f>IF(ESTIMATIVA[[#This Row],[QT_AREA_REAL]]&gt;0,"1- Colhido","2- à Colher")</f>
        <v>1- Colhido</v>
      </c>
      <c r="V1632" s="1" t="str">
        <f>IF(ESTIMATIVA[[#This Row],[QT_AREA_REST1]]&gt;0,"Reestimativa 1",IF(ESTIMATIVA[[#This Row],[QT_AREA_REAL]]=0,"Reestimativa 1","Realizado"))</f>
        <v>Realizado</v>
      </c>
      <c r="W1632" s="1" t="str">
        <f>IF(ESTIMATIVA[[#This Row],[QT_AREA_REST2]]&gt;0,"Reestimativa 2",IF(ESTIMATIVA[[#This Row],[QT_AREA_REAL]]=0,"Reestimativa 2","Realizado"))</f>
        <v>Realizado</v>
      </c>
      <c r="X1632" s="1">
        <f>ESTIMATIVA[[#This Row],[QT_AREA_EST]]</f>
        <v>24.82</v>
      </c>
      <c r="Y1632" s="1">
        <f>IF(ESTIMATIVA[[#This Row],[QT_AREA_REST1]]&gt;0,ESTIMATIVA[[#This Row],[QT_AREA_REST1]],
  IF(ESTIMATIVA[[#This Row],[QT_AREA_REAL]]&gt;0,ESTIMATIVA[[#This Row],[QT_AREA_REAL]],ESTIMATIVA[[#This Row],[QT_AREA_EST]]))</f>
        <v>24.82</v>
      </c>
      <c r="Z163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24.82</v>
      </c>
      <c r="AA1632" s="1">
        <f>ESTIMATIVA[[#This Row],[QT_CANA_EST]]</f>
        <v>2233.8000000000002</v>
      </c>
      <c r="AB1632" s="1">
        <f>IF(ESTIMATIVA[[#This Row],[QT_CANA_REST1]]&gt;0,ESTIMATIVA[[#This Row],[QT_CANA_REST1]],
  IF(ESTIMATIVA[[#This Row],[QT_CANA_REAL]]&gt;0,ESTIMATIVA[[#This Row],[QT_CANA_REAL]],ESTIMATIVA[[#This Row],[QT_CANA_EST]]))</f>
        <v>2181.98</v>
      </c>
      <c r="AC163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2181.98</v>
      </c>
      <c r="AD1632" s="1">
        <f>IF(ESTIMATIVA[[#This Row],[QT_AREA_REAL]]&gt;0,ESTIMATIVA[[#This Row],[QT_CANA_REAL]],ESTIMATIVA[[#This Row],[QT_CANA_EST]])</f>
        <v>2181.98</v>
      </c>
      <c r="AE1632" s="1">
        <f>IF(ESTIMATIVA[[#This Row],[QT_AREA_REAL]]&gt;0,ESTIMATIVA[[#This Row],[QT_CANA_REAL]],ESTIMATIVA[[#This Row],[QT_CANA_REST1]])</f>
        <v>2181.98</v>
      </c>
      <c r="AF1632" s="1">
        <f>IF(ESTIMATIVA[[#This Row],[QT_AREA_REAL]]&gt;0,ESTIMATIVA[[#This Row],[QT_CANA_REAL]],ESTIMATIVA[[#This Row],[QT_CANA_REST2]])</f>
        <v>2181.98</v>
      </c>
      <c r="AG1632" s="1" t="str">
        <f>IF(COUNTIFS(GEADA!A:A,VALUE(ESTIMATIVA[[#This Row],[CD_UPNIVEL1]]&amp;TEXT(ESTIMATIVA[[#This Row],[CD_UPNIVEL3]],"0000")))&gt;0,"S","N")</f>
        <v>N</v>
      </c>
      <c r="AH163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32" s="55" t="str">
        <f>IF(ESTIMATIVA[[#This Row],[TP_CULTIVO]]="Irrigado",_xlfn.MAXIFS(IRRIGADO!J:J,IRRIGADO!C:C,ESTIMATIVA[[#This Row],[CD_UPNIVEL1]],IRRIGADO!E:E,ESTIMATIVA[[#This Row],[CD_UPNIVEL3]]),"")</f>
        <v/>
      </c>
      <c r="AJ163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32" s="1">
        <f>COUNTIFS(Apresentação!$E$23:$E$29,ESTIMATIVA[[#This Row],[CD_UPNIVEL1]])</f>
        <v>0</v>
      </c>
    </row>
    <row r="1633" spans="1:37" x14ac:dyDescent="0.3">
      <c r="A1633">
        <v>20590</v>
      </c>
      <c r="B1633" t="s">
        <v>77</v>
      </c>
      <c r="C1633">
        <v>9</v>
      </c>
      <c r="D1633">
        <v>5</v>
      </c>
      <c r="E1633" t="s">
        <v>268</v>
      </c>
      <c r="F1633" s="85" t="s">
        <v>332</v>
      </c>
      <c r="G1633"/>
      <c r="H1633" t="s">
        <v>294</v>
      </c>
      <c r="I1633" t="s">
        <v>197</v>
      </c>
      <c r="J1633" t="s">
        <v>176</v>
      </c>
      <c r="K1633" s="1">
        <v>23.55</v>
      </c>
      <c r="L1633" s="1">
        <v>0</v>
      </c>
      <c r="M1633" s="1">
        <v>0</v>
      </c>
      <c r="N1633" s="1">
        <v>23.55</v>
      </c>
      <c r="O1633" s="1">
        <v>2119.5</v>
      </c>
      <c r="P1633" s="1">
        <v>0</v>
      </c>
      <c r="Q1633" s="1">
        <v>0</v>
      </c>
      <c r="R1633" s="1">
        <v>2070.9299999999998</v>
      </c>
      <c r="S1633" t="s">
        <v>12</v>
      </c>
      <c r="T1633" s="13">
        <v>45802</v>
      </c>
      <c r="U1633" s="1" t="str">
        <f>IF(ESTIMATIVA[[#This Row],[QT_AREA_REAL]]&gt;0,"1- Colhido","2- à Colher")</f>
        <v>1- Colhido</v>
      </c>
      <c r="V1633" s="1" t="str">
        <f>IF(ESTIMATIVA[[#This Row],[QT_AREA_REST1]]&gt;0,"Reestimativa 1",IF(ESTIMATIVA[[#This Row],[QT_AREA_REAL]]=0,"Reestimativa 1","Realizado"))</f>
        <v>Realizado</v>
      </c>
      <c r="W1633" s="1" t="str">
        <f>IF(ESTIMATIVA[[#This Row],[QT_AREA_REST2]]&gt;0,"Reestimativa 2",IF(ESTIMATIVA[[#This Row],[QT_AREA_REAL]]=0,"Reestimativa 2","Realizado"))</f>
        <v>Realizado</v>
      </c>
      <c r="X1633" s="1">
        <f>ESTIMATIVA[[#This Row],[QT_AREA_EST]]</f>
        <v>23.55</v>
      </c>
      <c r="Y1633" s="1">
        <f>IF(ESTIMATIVA[[#This Row],[QT_AREA_REST1]]&gt;0,ESTIMATIVA[[#This Row],[QT_AREA_REST1]],
  IF(ESTIMATIVA[[#This Row],[QT_AREA_REAL]]&gt;0,ESTIMATIVA[[#This Row],[QT_AREA_REAL]],ESTIMATIVA[[#This Row],[QT_AREA_EST]]))</f>
        <v>23.55</v>
      </c>
      <c r="Z163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23.55</v>
      </c>
      <c r="AA1633" s="1">
        <f>ESTIMATIVA[[#This Row],[QT_CANA_EST]]</f>
        <v>2119.5</v>
      </c>
      <c r="AB1633" s="1">
        <f>IF(ESTIMATIVA[[#This Row],[QT_CANA_REST1]]&gt;0,ESTIMATIVA[[#This Row],[QT_CANA_REST1]],
  IF(ESTIMATIVA[[#This Row],[QT_CANA_REAL]]&gt;0,ESTIMATIVA[[#This Row],[QT_CANA_REAL]],ESTIMATIVA[[#This Row],[QT_CANA_EST]]))</f>
        <v>2070.9299999999998</v>
      </c>
      <c r="AC163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2070.9299999999998</v>
      </c>
      <c r="AD1633" s="1">
        <f>IF(ESTIMATIVA[[#This Row],[QT_AREA_REAL]]&gt;0,ESTIMATIVA[[#This Row],[QT_CANA_REAL]],ESTIMATIVA[[#This Row],[QT_CANA_EST]])</f>
        <v>2070.9299999999998</v>
      </c>
      <c r="AE1633" s="1">
        <f>IF(ESTIMATIVA[[#This Row],[QT_AREA_REAL]]&gt;0,ESTIMATIVA[[#This Row],[QT_CANA_REAL]],ESTIMATIVA[[#This Row],[QT_CANA_REST1]])</f>
        <v>2070.9299999999998</v>
      </c>
      <c r="AF1633" s="1">
        <f>IF(ESTIMATIVA[[#This Row],[QT_AREA_REAL]]&gt;0,ESTIMATIVA[[#This Row],[QT_CANA_REAL]],ESTIMATIVA[[#This Row],[QT_CANA_REST2]])</f>
        <v>2070.9299999999998</v>
      </c>
      <c r="AG1633" s="1" t="str">
        <f>IF(COUNTIFS(GEADA!A:A,VALUE(ESTIMATIVA[[#This Row],[CD_UPNIVEL1]]&amp;TEXT(ESTIMATIVA[[#This Row],[CD_UPNIVEL3]],"0000")))&gt;0,"S","N")</f>
        <v>N</v>
      </c>
      <c r="AH163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33" s="55" t="str">
        <f>IF(ESTIMATIVA[[#This Row],[TP_CULTIVO]]="Irrigado",_xlfn.MAXIFS(IRRIGADO!J:J,IRRIGADO!C:C,ESTIMATIVA[[#This Row],[CD_UPNIVEL1]],IRRIGADO!E:E,ESTIMATIVA[[#This Row],[CD_UPNIVEL3]]),"")</f>
        <v/>
      </c>
      <c r="AJ163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33" s="1">
        <f>COUNTIFS(Apresentação!$E$23:$E$29,ESTIMATIVA[[#This Row],[CD_UPNIVEL1]])</f>
        <v>0</v>
      </c>
    </row>
    <row r="1634" spans="1:37" x14ac:dyDescent="0.3">
      <c r="A1634">
        <v>20590</v>
      </c>
      <c r="B1634" t="s">
        <v>77</v>
      </c>
      <c r="C1634">
        <v>10</v>
      </c>
      <c r="D1634">
        <v>6</v>
      </c>
      <c r="E1634" t="s">
        <v>261</v>
      </c>
      <c r="F1634" s="85" t="s">
        <v>332</v>
      </c>
      <c r="G1634"/>
      <c r="H1634" t="s">
        <v>294</v>
      </c>
      <c r="I1634" t="s">
        <v>202</v>
      </c>
      <c r="J1634" t="s">
        <v>176</v>
      </c>
      <c r="K1634" s="1">
        <v>33.11</v>
      </c>
      <c r="L1634" s="1">
        <v>0</v>
      </c>
      <c r="M1634" s="1">
        <v>0</v>
      </c>
      <c r="N1634" s="1">
        <v>33.11</v>
      </c>
      <c r="O1634" s="1">
        <v>1986.6</v>
      </c>
      <c r="P1634" s="1">
        <v>0</v>
      </c>
      <c r="Q1634" s="1">
        <v>0</v>
      </c>
      <c r="R1634" s="1">
        <v>1919.37</v>
      </c>
      <c r="S1634" t="s">
        <v>12</v>
      </c>
      <c r="T1634" s="13">
        <v>45732</v>
      </c>
      <c r="U1634" s="1" t="str">
        <f>IF(ESTIMATIVA[[#This Row],[QT_AREA_REAL]]&gt;0,"1- Colhido","2- à Colher")</f>
        <v>1- Colhido</v>
      </c>
      <c r="V1634" s="1" t="str">
        <f>IF(ESTIMATIVA[[#This Row],[QT_AREA_REST1]]&gt;0,"Reestimativa 1",IF(ESTIMATIVA[[#This Row],[QT_AREA_REAL]]=0,"Reestimativa 1","Realizado"))</f>
        <v>Realizado</v>
      </c>
      <c r="W1634" s="1" t="str">
        <f>IF(ESTIMATIVA[[#This Row],[QT_AREA_REST2]]&gt;0,"Reestimativa 2",IF(ESTIMATIVA[[#This Row],[QT_AREA_REAL]]=0,"Reestimativa 2","Realizado"))</f>
        <v>Realizado</v>
      </c>
      <c r="X1634" s="1">
        <f>ESTIMATIVA[[#This Row],[QT_AREA_EST]]</f>
        <v>33.11</v>
      </c>
      <c r="Y1634" s="1">
        <f>IF(ESTIMATIVA[[#This Row],[QT_AREA_REST1]]&gt;0,ESTIMATIVA[[#This Row],[QT_AREA_REST1]],
  IF(ESTIMATIVA[[#This Row],[QT_AREA_REAL]]&gt;0,ESTIMATIVA[[#This Row],[QT_AREA_REAL]],ESTIMATIVA[[#This Row],[QT_AREA_EST]]))</f>
        <v>33.11</v>
      </c>
      <c r="Z163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33.11</v>
      </c>
      <c r="AA1634" s="1">
        <f>ESTIMATIVA[[#This Row],[QT_CANA_EST]]</f>
        <v>1986.6</v>
      </c>
      <c r="AB1634" s="1">
        <f>IF(ESTIMATIVA[[#This Row],[QT_CANA_REST1]]&gt;0,ESTIMATIVA[[#This Row],[QT_CANA_REST1]],
  IF(ESTIMATIVA[[#This Row],[QT_CANA_REAL]]&gt;0,ESTIMATIVA[[#This Row],[QT_CANA_REAL]],ESTIMATIVA[[#This Row],[QT_CANA_EST]]))</f>
        <v>1919.37</v>
      </c>
      <c r="AC163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1919.37</v>
      </c>
      <c r="AD1634" s="1">
        <f>IF(ESTIMATIVA[[#This Row],[QT_AREA_REAL]]&gt;0,ESTIMATIVA[[#This Row],[QT_CANA_REAL]],ESTIMATIVA[[#This Row],[QT_CANA_EST]])</f>
        <v>1919.37</v>
      </c>
      <c r="AE1634" s="1">
        <f>IF(ESTIMATIVA[[#This Row],[QT_AREA_REAL]]&gt;0,ESTIMATIVA[[#This Row],[QT_CANA_REAL]],ESTIMATIVA[[#This Row],[QT_CANA_REST1]])</f>
        <v>1919.37</v>
      </c>
      <c r="AF1634" s="1">
        <f>IF(ESTIMATIVA[[#This Row],[QT_AREA_REAL]]&gt;0,ESTIMATIVA[[#This Row],[QT_CANA_REAL]],ESTIMATIVA[[#This Row],[QT_CANA_REST2]])</f>
        <v>1919.37</v>
      </c>
      <c r="AG1634" s="1" t="str">
        <f>IF(COUNTIFS(GEADA!A:A,VALUE(ESTIMATIVA[[#This Row],[CD_UPNIVEL1]]&amp;TEXT(ESTIMATIVA[[#This Row],[CD_UPNIVEL3]],"0000")))&gt;0,"S","N")</f>
        <v>N</v>
      </c>
      <c r="AH163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34" s="55" t="str">
        <f>IF(ESTIMATIVA[[#This Row],[TP_CULTIVO]]="Irrigado",_xlfn.MAXIFS(IRRIGADO!J:J,IRRIGADO!C:C,ESTIMATIVA[[#This Row],[CD_UPNIVEL1]],IRRIGADO!E:E,ESTIMATIVA[[#This Row],[CD_UPNIVEL3]]),"")</f>
        <v/>
      </c>
      <c r="AJ163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34" s="1">
        <f>COUNTIFS(Apresentação!$E$23:$E$29,ESTIMATIVA[[#This Row],[CD_UPNIVEL1]])</f>
        <v>0</v>
      </c>
    </row>
    <row r="1635" spans="1:37" x14ac:dyDescent="0.3">
      <c r="A1635">
        <v>20591</v>
      </c>
      <c r="B1635" t="s">
        <v>87</v>
      </c>
      <c r="C1635">
        <v>1</v>
      </c>
      <c r="D1635">
        <v>1</v>
      </c>
      <c r="E1635" t="s">
        <v>267</v>
      </c>
      <c r="F1635" s="85" t="s">
        <v>331</v>
      </c>
      <c r="G1635"/>
      <c r="H1635" t="s">
        <v>295</v>
      </c>
      <c r="I1635" t="s">
        <v>200</v>
      </c>
      <c r="J1635" t="s">
        <v>176</v>
      </c>
      <c r="K1635" s="1">
        <v>45.27</v>
      </c>
      <c r="L1635" s="1">
        <v>45.27</v>
      </c>
      <c r="M1635" s="1">
        <v>0</v>
      </c>
      <c r="N1635" s="1">
        <v>45.27</v>
      </c>
      <c r="O1635" s="1">
        <v>4708.08</v>
      </c>
      <c r="P1635" s="1">
        <v>4798.62</v>
      </c>
      <c r="Q1635" s="1">
        <v>0</v>
      </c>
      <c r="R1635" s="1">
        <v>4307.68</v>
      </c>
      <c r="S1635" t="s">
        <v>12</v>
      </c>
      <c r="T1635" s="13">
        <v>45900</v>
      </c>
      <c r="U1635" s="1" t="str">
        <f>IF(ESTIMATIVA[[#This Row],[QT_AREA_REAL]]&gt;0,"1- Colhido","2- à Colher")</f>
        <v>1- Colhido</v>
      </c>
      <c r="V1635" s="1" t="str">
        <f>IF(ESTIMATIVA[[#This Row],[QT_AREA_REST1]]&gt;0,"Reestimativa 1",IF(ESTIMATIVA[[#This Row],[QT_AREA_REAL]]=0,"Reestimativa 1","Realizado"))</f>
        <v>Reestimativa 1</v>
      </c>
      <c r="W1635" s="1" t="str">
        <f>IF(ESTIMATIVA[[#This Row],[QT_AREA_REST2]]&gt;0,"Reestimativa 2",IF(ESTIMATIVA[[#This Row],[QT_AREA_REAL]]=0,"Reestimativa 2","Realizado"))</f>
        <v>Realizado</v>
      </c>
      <c r="X1635" s="1">
        <f>ESTIMATIVA[[#This Row],[QT_AREA_EST]]</f>
        <v>45.27</v>
      </c>
      <c r="Y1635" s="1">
        <f>IF(ESTIMATIVA[[#This Row],[QT_AREA_REST1]]&gt;0,ESTIMATIVA[[#This Row],[QT_AREA_REST1]],
  IF(ESTIMATIVA[[#This Row],[QT_AREA_REAL]]&gt;0,ESTIMATIVA[[#This Row],[QT_AREA_REAL]],ESTIMATIVA[[#This Row],[QT_AREA_EST]]))</f>
        <v>45.27</v>
      </c>
      <c r="Z163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45.27</v>
      </c>
      <c r="AA1635" s="1">
        <f>ESTIMATIVA[[#This Row],[QT_CANA_EST]]</f>
        <v>4708.08</v>
      </c>
      <c r="AB1635" s="1">
        <f>IF(ESTIMATIVA[[#This Row],[QT_CANA_REST1]]&gt;0,ESTIMATIVA[[#This Row],[QT_CANA_REST1]],
  IF(ESTIMATIVA[[#This Row],[QT_CANA_REAL]]&gt;0,ESTIMATIVA[[#This Row],[QT_CANA_REAL]],ESTIMATIVA[[#This Row],[QT_CANA_EST]]))</f>
        <v>4798.62</v>
      </c>
      <c r="AC163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4307.68</v>
      </c>
      <c r="AD1635" s="1">
        <f>IF(ESTIMATIVA[[#This Row],[QT_AREA_REAL]]&gt;0,ESTIMATIVA[[#This Row],[QT_CANA_REAL]],ESTIMATIVA[[#This Row],[QT_CANA_EST]])</f>
        <v>4307.68</v>
      </c>
      <c r="AE1635" s="1">
        <f>IF(ESTIMATIVA[[#This Row],[QT_AREA_REAL]]&gt;0,ESTIMATIVA[[#This Row],[QT_CANA_REAL]],ESTIMATIVA[[#This Row],[QT_CANA_REST1]])</f>
        <v>4307.68</v>
      </c>
      <c r="AF1635" s="1">
        <f>IF(ESTIMATIVA[[#This Row],[QT_AREA_REAL]]&gt;0,ESTIMATIVA[[#This Row],[QT_CANA_REAL]],ESTIMATIVA[[#This Row],[QT_CANA_REST2]])</f>
        <v>4307.68</v>
      </c>
      <c r="AG1635" s="1" t="str">
        <f>IF(COUNTIFS(GEADA!A:A,VALUE(ESTIMATIVA[[#This Row],[CD_UPNIVEL1]]&amp;TEXT(ESTIMATIVA[[#This Row],[CD_UPNIVEL3]],"0000")))&gt;0,"S","N")</f>
        <v>N</v>
      </c>
      <c r="AH163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35" s="55" t="str">
        <f>IF(ESTIMATIVA[[#This Row],[TP_CULTIVO]]="Irrigado",_xlfn.MAXIFS(IRRIGADO!J:J,IRRIGADO!C:C,ESTIMATIVA[[#This Row],[CD_UPNIVEL1]],IRRIGADO!E:E,ESTIMATIVA[[#This Row],[CD_UPNIVEL3]]),"")</f>
        <v/>
      </c>
      <c r="AJ163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35" s="1">
        <f>COUNTIFS(Apresentação!$E$23:$E$29,ESTIMATIVA[[#This Row],[CD_UPNIVEL1]])</f>
        <v>0</v>
      </c>
    </row>
    <row r="1636" spans="1:37" x14ac:dyDescent="0.3">
      <c r="A1636">
        <v>20591</v>
      </c>
      <c r="B1636" t="s">
        <v>87</v>
      </c>
      <c r="C1636">
        <v>2</v>
      </c>
      <c r="D1636">
        <v>1</v>
      </c>
      <c r="E1636" t="s">
        <v>267</v>
      </c>
      <c r="F1636" s="85" t="s">
        <v>331</v>
      </c>
      <c r="G1636"/>
      <c r="H1636" t="s">
        <v>295</v>
      </c>
      <c r="I1636" t="s">
        <v>200</v>
      </c>
      <c r="J1636" t="s">
        <v>176</v>
      </c>
      <c r="K1636" s="1">
        <v>57.42</v>
      </c>
      <c r="L1636" s="1">
        <v>57.42</v>
      </c>
      <c r="M1636" s="1">
        <v>0</v>
      </c>
      <c r="N1636" s="1">
        <v>57.42</v>
      </c>
      <c r="O1636" s="1">
        <v>6086.52</v>
      </c>
      <c r="P1636" s="1">
        <v>6201.36</v>
      </c>
      <c r="Q1636" s="1">
        <v>0</v>
      </c>
      <c r="R1636" s="1">
        <v>5566.49</v>
      </c>
      <c r="S1636" t="s">
        <v>12</v>
      </c>
      <c r="T1636" s="13">
        <v>45900</v>
      </c>
      <c r="U1636" s="1" t="str">
        <f>IF(ESTIMATIVA[[#This Row],[QT_AREA_REAL]]&gt;0,"1- Colhido","2- à Colher")</f>
        <v>1- Colhido</v>
      </c>
      <c r="V1636" s="1" t="str">
        <f>IF(ESTIMATIVA[[#This Row],[QT_AREA_REST1]]&gt;0,"Reestimativa 1",IF(ESTIMATIVA[[#This Row],[QT_AREA_REAL]]=0,"Reestimativa 1","Realizado"))</f>
        <v>Reestimativa 1</v>
      </c>
      <c r="W1636" s="1" t="str">
        <f>IF(ESTIMATIVA[[#This Row],[QT_AREA_REST2]]&gt;0,"Reestimativa 2",IF(ESTIMATIVA[[#This Row],[QT_AREA_REAL]]=0,"Reestimativa 2","Realizado"))</f>
        <v>Realizado</v>
      </c>
      <c r="X1636" s="1">
        <f>ESTIMATIVA[[#This Row],[QT_AREA_EST]]</f>
        <v>57.42</v>
      </c>
      <c r="Y1636" s="1">
        <f>IF(ESTIMATIVA[[#This Row],[QT_AREA_REST1]]&gt;0,ESTIMATIVA[[#This Row],[QT_AREA_REST1]],
  IF(ESTIMATIVA[[#This Row],[QT_AREA_REAL]]&gt;0,ESTIMATIVA[[#This Row],[QT_AREA_REAL]],ESTIMATIVA[[#This Row],[QT_AREA_EST]]))</f>
        <v>57.42</v>
      </c>
      <c r="Z163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57.42</v>
      </c>
      <c r="AA1636" s="1">
        <f>ESTIMATIVA[[#This Row],[QT_CANA_EST]]</f>
        <v>6086.52</v>
      </c>
      <c r="AB1636" s="1">
        <f>IF(ESTIMATIVA[[#This Row],[QT_CANA_REST1]]&gt;0,ESTIMATIVA[[#This Row],[QT_CANA_REST1]],
  IF(ESTIMATIVA[[#This Row],[QT_CANA_REAL]]&gt;0,ESTIMATIVA[[#This Row],[QT_CANA_REAL]],ESTIMATIVA[[#This Row],[QT_CANA_EST]]))</f>
        <v>6201.36</v>
      </c>
      <c r="AC163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5566.49</v>
      </c>
      <c r="AD1636" s="1">
        <f>IF(ESTIMATIVA[[#This Row],[QT_AREA_REAL]]&gt;0,ESTIMATIVA[[#This Row],[QT_CANA_REAL]],ESTIMATIVA[[#This Row],[QT_CANA_EST]])</f>
        <v>5566.49</v>
      </c>
      <c r="AE1636" s="1">
        <f>IF(ESTIMATIVA[[#This Row],[QT_AREA_REAL]]&gt;0,ESTIMATIVA[[#This Row],[QT_CANA_REAL]],ESTIMATIVA[[#This Row],[QT_CANA_REST1]])</f>
        <v>5566.49</v>
      </c>
      <c r="AF1636" s="1">
        <f>IF(ESTIMATIVA[[#This Row],[QT_AREA_REAL]]&gt;0,ESTIMATIVA[[#This Row],[QT_CANA_REAL]],ESTIMATIVA[[#This Row],[QT_CANA_REST2]])</f>
        <v>5566.49</v>
      </c>
      <c r="AG1636" s="1" t="str">
        <f>IF(COUNTIFS(GEADA!A:A,VALUE(ESTIMATIVA[[#This Row],[CD_UPNIVEL1]]&amp;TEXT(ESTIMATIVA[[#This Row],[CD_UPNIVEL3]],"0000")))&gt;0,"S","N")</f>
        <v>N</v>
      </c>
      <c r="AH163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36" s="55" t="str">
        <f>IF(ESTIMATIVA[[#This Row],[TP_CULTIVO]]="Irrigado",_xlfn.MAXIFS(IRRIGADO!J:J,IRRIGADO!C:C,ESTIMATIVA[[#This Row],[CD_UPNIVEL1]],IRRIGADO!E:E,ESTIMATIVA[[#This Row],[CD_UPNIVEL3]]),"")</f>
        <v/>
      </c>
      <c r="AJ163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36" s="1">
        <f>COUNTIFS(Apresentação!$E$23:$E$29,ESTIMATIVA[[#This Row],[CD_UPNIVEL1]])</f>
        <v>0</v>
      </c>
    </row>
    <row r="1637" spans="1:37" x14ac:dyDescent="0.3">
      <c r="A1637">
        <v>20591</v>
      </c>
      <c r="B1637" t="s">
        <v>87</v>
      </c>
      <c r="C1637">
        <v>3</v>
      </c>
      <c r="D1637">
        <v>1</v>
      </c>
      <c r="E1637" t="s">
        <v>267</v>
      </c>
      <c r="F1637" s="85" t="s">
        <v>331</v>
      </c>
      <c r="G1637"/>
      <c r="H1637" t="s">
        <v>295</v>
      </c>
      <c r="I1637" t="s">
        <v>200</v>
      </c>
      <c r="J1637" t="s">
        <v>176</v>
      </c>
      <c r="K1637" s="1">
        <v>31.82</v>
      </c>
      <c r="L1637" s="1">
        <v>31.82</v>
      </c>
      <c r="M1637" s="1">
        <v>0</v>
      </c>
      <c r="N1637" s="1">
        <v>31.82</v>
      </c>
      <c r="O1637" s="1">
        <v>3309.28</v>
      </c>
      <c r="P1637" s="1">
        <v>3372.92</v>
      </c>
      <c r="Q1637" s="1">
        <v>0</v>
      </c>
      <c r="R1637" s="1">
        <v>2632.03</v>
      </c>
      <c r="S1637" t="s">
        <v>12</v>
      </c>
      <c r="T1637" s="13">
        <v>45900</v>
      </c>
      <c r="U1637" s="1" t="str">
        <f>IF(ESTIMATIVA[[#This Row],[QT_AREA_REAL]]&gt;0,"1- Colhido","2- à Colher")</f>
        <v>1- Colhido</v>
      </c>
      <c r="V1637" s="1" t="str">
        <f>IF(ESTIMATIVA[[#This Row],[QT_AREA_REST1]]&gt;0,"Reestimativa 1",IF(ESTIMATIVA[[#This Row],[QT_AREA_REAL]]=0,"Reestimativa 1","Realizado"))</f>
        <v>Reestimativa 1</v>
      </c>
      <c r="W1637" s="1" t="str">
        <f>IF(ESTIMATIVA[[#This Row],[QT_AREA_REST2]]&gt;0,"Reestimativa 2",IF(ESTIMATIVA[[#This Row],[QT_AREA_REAL]]=0,"Reestimativa 2","Realizado"))</f>
        <v>Realizado</v>
      </c>
      <c r="X1637" s="1">
        <f>ESTIMATIVA[[#This Row],[QT_AREA_EST]]</f>
        <v>31.82</v>
      </c>
      <c r="Y1637" s="1">
        <f>IF(ESTIMATIVA[[#This Row],[QT_AREA_REST1]]&gt;0,ESTIMATIVA[[#This Row],[QT_AREA_REST1]],
  IF(ESTIMATIVA[[#This Row],[QT_AREA_REAL]]&gt;0,ESTIMATIVA[[#This Row],[QT_AREA_REAL]],ESTIMATIVA[[#This Row],[QT_AREA_EST]]))</f>
        <v>31.82</v>
      </c>
      <c r="Z163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31.82</v>
      </c>
      <c r="AA1637" s="1">
        <f>ESTIMATIVA[[#This Row],[QT_CANA_EST]]</f>
        <v>3309.28</v>
      </c>
      <c r="AB1637" s="1">
        <f>IF(ESTIMATIVA[[#This Row],[QT_CANA_REST1]]&gt;0,ESTIMATIVA[[#This Row],[QT_CANA_REST1]],
  IF(ESTIMATIVA[[#This Row],[QT_CANA_REAL]]&gt;0,ESTIMATIVA[[#This Row],[QT_CANA_REAL]],ESTIMATIVA[[#This Row],[QT_CANA_EST]]))</f>
        <v>3372.92</v>
      </c>
      <c r="AC163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2632.03</v>
      </c>
      <c r="AD1637" s="1">
        <f>IF(ESTIMATIVA[[#This Row],[QT_AREA_REAL]]&gt;0,ESTIMATIVA[[#This Row],[QT_CANA_REAL]],ESTIMATIVA[[#This Row],[QT_CANA_EST]])</f>
        <v>2632.03</v>
      </c>
      <c r="AE1637" s="1">
        <f>IF(ESTIMATIVA[[#This Row],[QT_AREA_REAL]]&gt;0,ESTIMATIVA[[#This Row],[QT_CANA_REAL]],ESTIMATIVA[[#This Row],[QT_CANA_REST1]])</f>
        <v>2632.03</v>
      </c>
      <c r="AF1637" s="1">
        <f>IF(ESTIMATIVA[[#This Row],[QT_AREA_REAL]]&gt;0,ESTIMATIVA[[#This Row],[QT_CANA_REAL]],ESTIMATIVA[[#This Row],[QT_CANA_REST2]])</f>
        <v>2632.03</v>
      </c>
      <c r="AG1637" s="1" t="str">
        <f>IF(COUNTIFS(GEADA!A:A,VALUE(ESTIMATIVA[[#This Row],[CD_UPNIVEL1]]&amp;TEXT(ESTIMATIVA[[#This Row],[CD_UPNIVEL3]],"0000")))&gt;0,"S","N")</f>
        <v>N</v>
      </c>
      <c r="AH163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37" s="55" t="str">
        <f>IF(ESTIMATIVA[[#This Row],[TP_CULTIVO]]="Irrigado",_xlfn.MAXIFS(IRRIGADO!J:J,IRRIGADO!C:C,ESTIMATIVA[[#This Row],[CD_UPNIVEL1]],IRRIGADO!E:E,ESTIMATIVA[[#This Row],[CD_UPNIVEL3]]),"")</f>
        <v/>
      </c>
      <c r="AJ163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37" s="1">
        <f>COUNTIFS(Apresentação!$E$23:$E$29,ESTIMATIVA[[#This Row],[CD_UPNIVEL1]])</f>
        <v>0</v>
      </c>
    </row>
    <row r="1638" spans="1:37" x14ac:dyDescent="0.3">
      <c r="A1638">
        <v>20591</v>
      </c>
      <c r="B1638" t="s">
        <v>87</v>
      </c>
      <c r="C1638">
        <v>4</v>
      </c>
      <c r="D1638">
        <v>1</v>
      </c>
      <c r="E1638" t="s">
        <v>267</v>
      </c>
      <c r="F1638" s="85" t="s">
        <v>331</v>
      </c>
      <c r="G1638"/>
      <c r="H1638" t="s">
        <v>295</v>
      </c>
      <c r="I1638" t="s">
        <v>200</v>
      </c>
      <c r="J1638" t="s">
        <v>176</v>
      </c>
      <c r="K1638" s="1">
        <v>23.45</v>
      </c>
      <c r="L1638" s="1">
        <v>23.45</v>
      </c>
      <c r="M1638" s="1">
        <v>0</v>
      </c>
      <c r="N1638" s="1">
        <v>23.45</v>
      </c>
      <c r="O1638" s="1">
        <v>2438.8000000000002</v>
      </c>
      <c r="P1638" s="1">
        <v>2485.6999999999998</v>
      </c>
      <c r="Q1638" s="1">
        <v>0</v>
      </c>
      <c r="R1638" s="1">
        <v>1940</v>
      </c>
      <c r="S1638" t="s">
        <v>12</v>
      </c>
      <c r="T1638" s="13">
        <v>45900</v>
      </c>
      <c r="U1638" s="1" t="str">
        <f>IF(ESTIMATIVA[[#This Row],[QT_AREA_REAL]]&gt;0,"1- Colhido","2- à Colher")</f>
        <v>1- Colhido</v>
      </c>
      <c r="V1638" s="1" t="str">
        <f>IF(ESTIMATIVA[[#This Row],[QT_AREA_REST1]]&gt;0,"Reestimativa 1",IF(ESTIMATIVA[[#This Row],[QT_AREA_REAL]]=0,"Reestimativa 1","Realizado"))</f>
        <v>Reestimativa 1</v>
      </c>
      <c r="W1638" s="1" t="str">
        <f>IF(ESTIMATIVA[[#This Row],[QT_AREA_REST2]]&gt;0,"Reestimativa 2",IF(ESTIMATIVA[[#This Row],[QT_AREA_REAL]]=0,"Reestimativa 2","Realizado"))</f>
        <v>Realizado</v>
      </c>
      <c r="X1638" s="1">
        <f>ESTIMATIVA[[#This Row],[QT_AREA_EST]]</f>
        <v>23.45</v>
      </c>
      <c r="Y1638" s="1">
        <f>IF(ESTIMATIVA[[#This Row],[QT_AREA_REST1]]&gt;0,ESTIMATIVA[[#This Row],[QT_AREA_REST1]],
  IF(ESTIMATIVA[[#This Row],[QT_AREA_REAL]]&gt;0,ESTIMATIVA[[#This Row],[QT_AREA_REAL]],ESTIMATIVA[[#This Row],[QT_AREA_EST]]))</f>
        <v>23.45</v>
      </c>
      <c r="Z163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23.45</v>
      </c>
      <c r="AA1638" s="1">
        <f>ESTIMATIVA[[#This Row],[QT_CANA_EST]]</f>
        <v>2438.8000000000002</v>
      </c>
      <c r="AB1638" s="1">
        <f>IF(ESTIMATIVA[[#This Row],[QT_CANA_REST1]]&gt;0,ESTIMATIVA[[#This Row],[QT_CANA_REST1]],
  IF(ESTIMATIVA[[#This Row],[QT_CANA_REAL]]&gt;0,ESTIMATIVA[[#This Row],[QT_CANA_REAL]],ESTIMATIVA[[#This Row],[QT_CANA_EST]]))</f>
        <v>2485.6999999999998</v>
      </c>
      <c r="AC163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1940</v>
      </c>
      <c r="AD1638" s="1">
        <f>IF(ESTIMATIVA[[#This Row],[QT_AREA_REAL]]&gt;0,ESTIMATIVA[[#This Row],[QT_CANA_REAL]],ESTIMATIVA[[#This Row],[QT_CANA_EST]])</f>
        <v>1940</v>
      </c>
      <c r="AE1638" s="1">
        <f>IF(ESTIMATIVA[[#This Row],[QT_AREA_REAL]]&gt;0,ESTIMATIVA[[#This Row],[QT_CANA_REAL]],ESTIMATIVA[[#This Row],[QT_CANA_REST1]])</f>
        <v>1940</v>
      </c>
      <c r="AF1638" s="1">
        <f>IF(ESTIMATIVA[[#This Row],[QT_AREA_REAL]]&gt;0,ESTIMATIVA[[#This Row],[QT_CANA_REAL]],ESTIMATIVA[[#This Row],[QT_CANA_REST2]])</f>
        <v>1940</v>
      </c>
      <c r="AG1638" s="1" t="str">
        <f>IF(COUNTIFS(GEADA!A:A,VALUE(ESTIMATIVA[[#This Row],[CD_UPNIVEL1]]&amp;TEXT(ESTIMATIVA[[#This Row],[CD_UPNIVEL3]],"0000")))&gt;0,"S","N")</f>
        <v>N</v>
      </c>
      <c r="AH163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38" s="55" t="str">
        <f>IF(ESTIMATIVA[[#This Row],[TP_CULTIVO]]="Irrigado",_xlfn.MAXIFS(IRRIGADO!J:J,IRRIGADO!C:C,ESTIMATIVA[[#This Row],[CD_UPNIVEL1]],IRRIGADO!E:E,ESTIMATIVA[[#This Row],[CD_UPNIVEL3]]),"")</f>
        <v/>
      </c>
      <c r="AJ163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38" s="1">
        <f>COUNTIFS(Apresentação!$E$23:$E$29,ESTIMATIVA[[#This Row],[CD_UPNIVEL1]])</f>
        <v>0</v>
      </c>
    </row>
    <row r="1639" spans="1:37" x14ac:dyDescent="0.3">
      <c r="A1639">
        <v>20591</v>
      </c>
      <c r="B1639" t="s">
        <v>87</v>
      </c>
      <c r="C1639">
        <v>5</v>
      </c>
      <c r="D1639">
        <v>1</v>
      </c>
      <c r="E1639" t="s">
        <v>267</v>
      </c>
      <c r="F1639" s="85" t="s">
        <v>331</v>
      </c>
      <c r="G1639"/>
      <c r="H1639" t="s">
        <v>295</v>
      </c>
      <c r="I1639" t="s">
        <v>200</v>
      </c>
      <c r="J1639" t="s">
        <v>176</v>
      </c>
      <c r="K1639" s="1">
        <v>64.349999999999994</v>
      </c>
      <c r="L1639" s="1">
        <v>64.349999999999994</v>
      </c>
      <c r="M1639" s="1">
        <v>0</v>
      </c>
      <c r="N1639" s="1">
        <v>64.349999999999994</v>
      </c>
      <c r="O1639" s="1">
        <v>7400.25</v>
      </c>
      <c r="P1639" s="1">
        <v>7593.3</v>
      </c>
      <c r="Q1639" s="1">
        <v>0</v>
      </c>
      <c r="R1639" s="1">
        <v>5885.38</v>
      </c>
      <c r="S1639" t="s">
        <v>12</v>
      </c>
      <c r="T1639" s="13">
        <v>45900</v>
      </c>
      <c r="U1639" s="1" t="str">
        <f>IF(ESTIMATIVA[[#This Row],[QT_AREA_REAL]]&gt;0,"1- Colhido","2- à Colher")</f>
        <v>1- Colhido</v>
      </c>
      <c r="V1639" s="1" t="str">
        <f>IF(ESTIMATIVA[[#This Row],[QT_AREA_REST1]]&gt;0,"Reestimativa 1",IF(ESTIMATIVA[[#This Row],[QT_AREA_REAL]]=0,"Reestimativa 1","Realizado"))</f>
        <v>Reestimativa 1</v>
      </c>
      <c r="W1639" s="1" t="str">
        <f>IF(ESTIMATIVA[[#This Row],[QT_AREA_REST2]]&gt;0,"Reestimativa 2",IF(ESTIMATIVA[[#This Row],[QT_AREA_REAL]]=0,"Reestimativa 2","Realizado"))</f>
        <v>Realizado</v>
      </c>
      <c r="X1639" s="1">
        <f>ESTIMATIVA[[#This Row],[QT_AREA_EST]]</f>
        <v>64.349999999999994</v>
      </c>
      <c r="Y1639" s="1">
        <f>IF(ESTIMATIVA[[#This Row],[QT_AREA_REST1]]&gt;0,ESTIMATIVA[[#This Row],[QT_AREA_REST1]],
  IF(ESTIMATIVA[[#This Row],[QT_AREA_REAL]]&gt;0,ESTIMATIVA[[#This Row],[QT_AREA_REAL]],ESTIMATIVA[[#This Row],[QT_AREA_EST]]))</f>
        <v>64.349999999999994</v>
      </c>
      <c r="Z163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64.349999999999994</v>
      </c>
      <c r="AA1639" s="1">
        <f>ESTIMATIVA[[#This Row],[QT_CANA_EST]]</f>
        <v>7400.25</v>
      </c>
      <c r="AB1639" s="1">
        <f>IF(ESTIMATIVA[[#This Row],[QT_CANA_REST1]]&gt;0,ESTIMATIVA[[#This Row],[QT_CANA_REST1]],
  IF(ESTIMATIVA[[#This Row],[QT_CANA_REAL]]&gt;0,ESTIMATIVA[[#This Row],[QT_CANA_REAL]],ESTIMATIVA[[#This Row],[QT_CANA_EST]]))</f>
        <v>7593.3</v>
      </c>
      <c r="AC163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5885.38</v>
      </c>
      <c r="AD1639" s="1">
        <f>IF(ESTIMATIVA[[#This Row],[QT_AREA_REAL]]&gt;0,ESTIMATIVA[[#This Row],[QT_CANA_REAL]],ESTIMATIVA[[#This Row],[QT_CANA_EST]])</f>
        <v>5885.38</v>
      </c>
      <c r="AE1639" s="1">
        <f>IF(ESTIMATIVA[[#This Row],[QT_AREA_REAL]]&gt;0,ESTIMATIVA[[#This Row],[QT_CANA_REAL]],ESTIMATIVA[[#This Row],[QT_CANA_REST1]])</f>
        <v>5885.38</v>
      </c>
      <c r="AF1639" s="1">
        <f>IF(ESTIMATIVA[[#This Row],[QT_AREA_REAL]]&gt;0,ESTIMATIVA[[#This Row],[QT_CANA_REAL]],ESTIMATIVA[[#This Row],[QT_CANA_REST2]])</f>
        <v>5885.38</v>
      </c>
      <c r="AG1639" s="1" t="str">
        <f>IF(COUNTIFS(GEADA!A:A,VALUE(ESTIMATIVA[[#This Row],[CD_UPNIVEL1]]&amp;TEXT(ESTIMATIVA[[#This Row],[CD_UPNIVEL3]],"0000")))&gt;0,"S","N")</f>
        <v>N</v>
      </c>
      <c r="AH163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39" s="55" t="str">
        <f>IF(ESTIMATIVA[[#This Row],[TP_CULTIVO]]="Irrigado",_xlfn.MAXIFS(IRRIGADO!J:J,IRRIGADO!C:C,ESTIMATIVA[[#This Row],[CD_UPNIVEL1]],IRRIGADO!E:E,ESTIMATIVA[[#This Row],[CD_UPNIVEL3]]),"")</f>
        <v/>
      </c>
      <c r="AJ163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39" s="1">
        <f>COUNTIFS(Apresentação!$E$23:$E$29,ESTIMATIVA[[#This Row],[CD_UPNIVEL1]])</f>
        <v>0</v>
      </c>
    </row>
    <row r="1640" spans="1:37" x14ac:dyDescent="0.3">
      <c r="A1640">
        <v>20591</v>
      </c>
      <c r="B1640" t="s">
        <v>87</v>
      </c>
      <c r="C1640">
        <v>6</v>
      </c>
      <c r="D1640">
        <v>1</v>
      </c>
      <c r="E1640" t="s">
        <v>267</v>
      </c>
      <c r="F1640" s="85" t="s">
        <v>331</v>
      </c>
      <c r="G1640"/>
      <c r="H1640" t="s">
        <v>295</v>
      </c>
      <c r="I1640" t="s">
        <v>200</v>
      </c>
      <c r="J1640" t="s">
        <v>176</v>
      </c>
      <c r="K1640" s="1">
        <v>32.93</v>
      </c>
      <c r="L1640" s="1">
        <v>32.93</v>
      </c>
      <c r="M1640" s="1">
        <v>0</v>
      </c>
      <c r="N1640" s="1">
        <v>32.93</v>
      </c>
      <c r="O1640" s="1">
        <v>3885.74</v>
      </c>
      <c r="P1640" s="1">
        <v>3951.6</v>
      </c>
      <c r="Q1640" s="1">
        <v>0</v>
      </c>
      <c r="R1640" s="1">
        <v>3359.41</v>
      </c>
      <c r="S1640" t="s">
        <v>12</v>
      </c>
      <c r="T1640" s="13">
        <v>45893</v>
      </c>
      <c r="U1640" s="1" t="str">
        <f>IF(ESTIMATIVA[[#This Row],[QT_AREA_REAL]]&gt;0,"1- Colhido","2- à Colher")</f>
        <v>1- Colhido</v>
      </c>
      <c r="V1640" s="1" t="str">
        <f>IF(ESTIMATIVA[[#This Row],[QT_AREA_REST1]]&gt;0,"Reestimativa 1",IF(ESTIMATIVA[[#This Row],[QT_AREA_REAL]]=0,"Reestimativa 1","Realizado"))</f>
        <v>Reestimativa 1</v>
      </c>
      <c r="W1640" s="1" t="str">
        <f>IF(ESTIMATIVA[[#This Row],[QT_AREA_REST2]]&gt;0,"Reestimativa 2",IF(ESTIMATIVA[[#This Row],[QT_AREA_REAL]]=0,"Reestimativa 2","Realizado"))</f>
        <v>Realizado</v>
      </c>
      <c r="X1640" s="1">
        <f>ESTIMATIVA[[#This Row],[QT_AREA_EST]]</f>
        <v>32.93</v>
      </c>
      <c r="Y1640" s="1">
        <f>IF(ESTIMATIVA[[#This Row],[QT_AREA_REST1]]&gt;0,ESTIMATIVA[[#This Row],[QT_AREA_REST1]],
  IF(ESTIMATIVA[[#This Row],[QT_AREA_REAL]]&gt;0,ESTIMATIVA[[#This Row],[QT_AREA_REAL]],ESTIMATIVA[[#This Row],[QT_AREA_EST]]))</f>
        <v>32.93</v>
      </c>
      <c r="Z164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32.93</v>
      </c>
      <c r="AA1640" s="1">
        <f>ESTIMATIVA[[#This Row],[QT_CANA_EST]]</f>
        <v>3885.74</v>
      </c>
      <c r="AB1640" s="1">
        <f>IF(ESTIMATIVA[[#This Row],[QT_CANA_REST1]]&gt;0,ESTIMATIVA[[#This Row],[QT_CANA_REST1]],
  IF(ESTIMATIVA[[#This Row],[QT_CANA_REAL]]&gt;0,ESTIMATIVA[[#This Row],[QT_CANA_REAL]],ESTIMATIVA[[#This Row],[QT_CANA_EST]]))</f>
        <v>3951.6</v>
      </c>
      <c r="AC164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3359.41</v>
      </c>
      <c r="AD1640" s="1">
        <f>IF(ESTIMATIVA[[#This Row],[QT_AREA_REAL]]&gt;0,ESTIMATIVA[[#This Row],[QT_CANA_REAL]],ESTIMATIVA[[#This Row],[QT_CANA_EST]])</f>
        <v>3359.41</v>
      </c>
      <c r="AE1640" s="1">
        <f>IF(ESTIMATIVA[[#This Row],[QT_AREA_REAL]]&gt;0,ESTIMATIVA[[#This Row],[QT_CANA_REAL]],ESTIMATIVA[[#This Row],[QT_CANA_REST1]])</f>
        <v>3359.41</v>
      </c>
      <c r="AF1640" s="1">
        <f>IF(ESTIMATIVA[[#This Row],[QT_AREA_REAL]]&gt;0,ESTIMATIVA[[#This Row],[QT_CANA_REAL]],ESTIMATIVA[[#This Row],[QT_CANA_REST2]])</f>
        <v>3359.41</v>
      </c>
      <c r="AG1640" s="1" t="str">
        <f>IF(COUNTIFS(GEADA!A:A,VALUE(ESTIMATIVA[[#This Row],[CD_UPNIVEL1]]&amp;TEXT(ESTIMATIVA[[#This Row],[CD_UPNIVEL3]],"0000")))&gt;0,"S","N")</f>
        <v>N</v>
      </c>
      <c r="AH164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40" s="55" t="str">
        <f>IF(ESTIMATIVA[[#This Row],[TP_CULTIVO]]="Irrigado",_xlfn.MAXIFS(IRRIGADO!J:J,IRRIGADO!C:C,ESTIMATIVA[[#This Row],[CD_UPNIVEL1]],IRRIGADO!E:E,ESTIMATIVA[[#This Row],[CD_UPNIVEL3]]),"")</f>
        <v/>
      </c>
      <c r="AJ164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40" s="1">
        <f>COUNTIFS(Apresentação!$E$23:$E$29,ESTIMATIVA[[#This Row],[CD_UPNIVEL1]])</f>
        <v>0</v>
      </c>
    </row>
    <row r="1641" spans="1:37" x14ac:dyDescent="0.3">
      <c r="A1641">
        <v>20591</v>
      </c>
      <c r="B1641" t="s">
        <v>87</v>
      </c>
      <c r="C1641">
        <v>7</v>
      </c>
      <c r="D1641">
        <v>1</v>
      </c>
      <c r="E1641" t="s">
        <v>267</v>
      </c>
      <c r="F1641" s="85" t="s">
        <v>331</v>
      </c>
      <c r="G1641"/>
      <c r="H1641" t="s">
        <v>295</v>
      </c>
      <c r="I1641" t="s">
        <v>200</v>
      </c>
      <c r="J1641" t="s">
        <v>176</v>
      </c>
      <c r="K1641" s="1">
        <v>56.47</v>
      </c>
      <c r="L1641" s="1">
        <v>56.47</v>
      </c>
      <c r="M1641" s="1">
        <v>0</v>
      </c>
      <c r="N1641" s="1">
        <v>56.47</v>
      </c>
      <c r="O1641" s="1">
        <v>6324.64</v>
      </c>
      <c r="P1641" s="1">
        <v>6437.58</v>
      </c>
      <c r="Q1641" s="1">
        <v>0</v>
      </c>
      <c r="R1641" s="1">
        <v>5473</v>
      </c>
      <c r="S1641" t="s">
        <v>12</v>
      </c>
      <c r="T1641" s="13">
        <v>45893</v>
      </c>
      <c r="U1641" s="1" t="str">
        <f>IF(ESTIMATIVA[[#This Row],[QT_AREA_REAL]]&gt;0,"1- Colhido","2- à Colher")</f>
        <v>1- Colhido</v>
      </c>
      <c r="V1641" s="1" t="str">
        <f>IF(ESTIMATIVA[[#This Row],[QT_AREA_REST1]]&gt;0,"Reestimativa 1",IF(ESTIMATIVA[[#This Row],[QT_AREA_REAL]]=0,"Reestimativa 1","Realizado"))</f>
        <v>Reestimativa 1</v>
      </c>
      <c r="W1641" s="1" t="str">
        <f>IF(ESTIMATIVA[[#This Row],[QT_AREA_REST2]]&gt;0,"Reestimativa 2",IF(ESTIMATIVA[[#This Row],[QT_AREA_REAL]]=0,"Reestimativa 2","Realizado"))</f>
        <v>Realizado</v>
      </c>
      <c r="X1641" s="1">
        <f>ESTIMATIVA[[#This Row],[QT_AREA_EST]]</f>
        <v>56.47</v>
      </c>
      <c r="Y1641" s="1">
        <f>IF(ESTIMATIVA[[#This Row],[QT_AREA_REST1]]&gt;0,ESTIMATIVA[[#This Row],[QT_AREA_REST1]],
  IF(ESTIMATIVA[[#This Row],[QT_AREA_REAL]]&gt;0,ESTIMATIVA[[#This Row],[QT_AREA_REAL]],ESTIMATIVA[[#This Row],[QT_AREA_EST]]))</f>
        <v>56.47</v>
      </c>
      <c r="Z164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56.47</v>
      </c>
      <c r="AA1641" s="1">
        <f>ESTIMATIVA[[#This Row],[QT_CANA_EST]]</f>
        <v>6324.64</v>
      </c>
      <c r="AB1641" s="1">
        <f>IF(ESTIMATIVA[[#This Row],[QT_CANA_REST1]]&gt;0,ESTIMATIVA[[#This Row],[QT_CANA_REST1]],
  IF(ESTIMATIVA[[#This Row],[QT_CANA_REAL]]&gt;0,ESTIMATIVA[[#This Row],[QT_CANA_REAL]],ESTIMATIVA[[#This Row],[QT_CANA_EST]]))</f>
        <v>6437.58</v>
      </c>
      <c r="AC164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5473</v>
      </c>
      <c r="AD1641" s="1">
        <f>IF(ESTIMATIVA[[#This Row],[QT_AREA_REAL]]&gt;0,ESTIMATIVA[[#This Row],[QT_CANA_REAL]],ESTIMATIVA[[#This Row],[QT_CANA_EST]])</f>
        <v>5473</v>
      </c>
      <c r="AE1641" s="1">
        <f>IF(ESTIMATIVA[[#This Row],[QT_AREA_REAL]]&gt;0,ESTIMATIVA[[#This Row],[QT_CANA_REAL]],ESTIMATIVA[[#This Row],[QT_CANA_REST1]])</f>
        <v>5473</v>
      </c>
      <c r="AF1641" s="1">
        <f>IF(ESTIMATIVA[[#This Row],[QT_AREA_REAL]]&gt;0,ESTIMATIVA[[#This Row],[QT_CANA_REAL]],ESTIMATIVA[[#This Row],[QT_CANA_REST2]])</f>
        <v>5473</v>
      </c>
      <c r="AG1641" s="1" t="str">
        <f>IF(COUNTIFS(GEADA!A:A,VALUE(ESTIMATIVA[[#This Row],[CD_UPNIVEL1]]&amp;TEXT(ESTIMATIVA[[#This Row],[CD_UPNIVEL3]],"0000")))&gt;0,"S","N")</f>
        <v>N</v>
      </c>
      <c r="AH164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41" s="55" t="str">
        <f>IF(ESTIMATIVA[[#This Row],[TP_CULTIVO]]="Irrigado",_xlfn.MAXIFS(IRRIGADO!J:J,IRRIGADO!C:C,ESTIMATIVA[[#This Row],[CD_UPNIVEL1]],IRRIGADO!E:E,ESTIMATIVA[[#This Row],[CD_UPNIVEL3]]),"")</f>
        <v/>
      </c>
      <c r="AJ164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41" s="1">
        <f>COUNTIFS(Apresentação!$E$23:$E$29,ESTIMATIVA[[#This Row],[CD_UPNIVEL1]])</f>
        <v>0</v>
      </c>
    </row>
    <row r="1642" spans="1:37" x14ac:dyDescent="0.3">
      <c r="A1642">
        <v>20591</v>
      </c>
      <c r="B1642" t="s">
        <v>87</v>
      </c>
      <c r="C1642">
        <v>8</v>
      </c>
      <c r="D1642">
        <v>1</v>
      </c>
      <c r="E1642" t="s">
        <v>267</v>
      </c>
      <c r="F1642" s="85" t="s">
        <v>331</v>
      </c>
      <c r="G1642"/>
      <c r="H1642" t="s">
        <v>295</v>
      </c>
      <c r="I1642" t="s">
        <v>200</v>
      </c>
      <c r="J1642" t="s">
        <v>176</v>
      </c>
      <c r="K1642" s="1">
        <v>49.06</v>
      </c>
      <c r="L1642" s="1">
        <v>49.06</v>
      </c>
      <c r="M1642" s="1">
        <v>0</v>
      </c>
      <c r="N1642" s="1">
        <v>49.06</v>
      </c>
      <c r="O1642" s="1">
        <v>5200.3599999999997</v>
      </c>
      <c r="P1642" s="1">
        <v>5396.6</v>
      </c>
      <c r="Q1642" s="1">
        <v>0</v>
      </c>
      <c r="R1642" s="1">
        <v>4183.5200000000004</v>
      </c>
      <c r="S1642" t="s">
        <v>12</v>
      </c>
      <c r="T1642" s="13">
        <v>45900</v>
      </c>
      <c r="U1642" s="1" t="str">
        <f>IF(ESTIMATIVA[[#This Row],[QT_AREA_REAL]]&gt;0,"1- Colhido","2- à Colher")</f>
        <v>1- Colhido</v>
      </c>
      <c r="V1642" s="1" t="str">
        <f>IF(ESTIMATIVA[[#This Row],[QT_AREA_REST1]]&gt;0,"Reestimativa 1",IF(ESTIMATIVA[[#This Row],[QT_AREA_REAL]]=0,"Reestimativa 1","Realizado"))</f>
        <v>Reestimativa 1</v>
      </c>
      <c r="W1642" s="1" t="str">
        <f>IF(ESTIMATIVA[[#This Row],[QT_AREA_REST2]]&gt;0,"Reestimativa 2",IF(ESTIMATIVA[[#This Row],[QT_AREA_REAL]]=0,"Reestimativa 2","Realizado"))</f>
        <v>Realizado</v>
      </c>
      <c r="X1642" s="1">
        <f>ESTIMATIVA[[#This Row],[QT_AREA_EST]]</f>
        <v>49.06</v>
      </c>
      <c r="Y1642" s="1">
        <f>IF(ESTIMATIVA[[#This Row],[QT_AREA_REST1]]&gt;0,ESTIMATIVA[[#This Row],[QT_AREA_REST1]],
  IF(ESTIMATIVA[[#This Row],[QT_AREA_REAL]]&gt;0,ESTIMATIVA[[#This Row],[QT_AREA_REAL]],ESTIMATIVA[[#This Row],[QT_AREA_EST]]))</f>
        <v>49.06</v>
      </c>
      <c r="Z164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49.06</v>
      </c>
      <c r="AA1642" s="1">
        <f>ESTIMATIVA[[#This Row],[QT_CANA_EST]]</f>
        <v>5200.3599999999997</v>
      </c>
      <c r="AB1642" s="1">
        <f>IF(ESTIMATIVA[[#This Row],[QT_CANA_REST1]]&gt;0,ESTIMATIVA[[#This Row],[QT_CANA_REST1]],
  IF(ESTIMATIVA[[#This Row],[QT_CANA_REAL]]&gt;0,ESTIMATIVA[[#This Row],[QT_CANA_REAL]],ESTIMATIVA[[#This Row],[QT_CANA_EST]]))</f>
        <v>5396.6</v>
      </c>
      <c r="AC164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4183.5200000000004</v>
      </c>
      <c r="AD1642" s="1">
        <f>IF(ESTIMATIVA[[#This Row],[QT_AREA_REAL]]&gt;0,ESTIMATIVA[[#This Row],[QT_CANA_REAL]],ESTIMATIVA[[#This Row],[QT_CANA_EST]])</f>
        <v>4183.5200000000004</v>
      </c>
      <c r="AE1642" s="1">
        <f>IF(ESTIMATIVA[[#This Row],[QT_AREA_REAL]]&gt;0,ESTIMATIVA[[#This Row],[QT_CANA_REAL]],ESTIMATIVA[[#This Row],[QT_CANA_REST1]])</f>
        <v>4183.5200000000004</v>
      </c>
      <c r="AF1642" s="1">
        <f>IF(ESTIMATIVA[[#This Row],[QT_AREA_REAL]]&gt;0,ESTIMATIVA[[#This Row],[QT_CANA_REAL]],ESTIMATIVA[[#This Row],[QT_CANA_REST2]])</f>
        <v>4183.5200000000004</v>
      </c>
      <c r="AG1642" s="1" t="str">
        <f>IF(COUNTIFS(GEADA!A:A,VALUE(ESTIMATIVA[[#This Row],[CD_UPNIVEL1]]&amp;TEXT(ESTIMATIVA[[#This Row],[CD_UPNIVEL3]],"0000")))&gt;0,"S","N")</f>
        <v>N</v>
      </c>
      <c r="AH164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42" s="55" t="str">
        <f>IF(ESTIMATIVA[[#This Row],[TP_CULTIVO]]="Irrigado",_xlfn.MAXIFS(IRRIGADO!J:J,IRRIGADO!C:C,ESTIMATIVA[[#This Row],[CD_UPNIVEL1]],IRRIGADO!E:E,ESTIMATIVA[[#This Row],[CD_UPNIVEL3]]),"")</f>
        <v/>
      </c>
      <c r="AJ164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42" s="1">
        <f>COUNTIFS(Apresentação!$E$23:$E$29,ESTIMATIVA[[#This Row],[CD_UPNIVEL1]])</f>
        <v>0</v>
      </c>
    </row>
    <row r="1643" spans="1:37" x14ac:dyDescent="0.3">
      <c r="A1643">
        <v>20591</v>
      </c>
      <c r="B1643" t="s">
        <v>87</v>
      </c>
      <c r="C1643">
        <v>11</v>
      </c>
      <c r="D1643">
        <v>5</v>
      </c>
      <c r="E1643" t="s">
        <v>268</v>
      </c>
      <c r="F1643" s="85" t="s">
        <v>333</v>
      </c>
      <c r="G1643"/>
      <c r="H1643" t="s">
        <v>295</v>
      </c>
      <c r="I1643" t="s">
        <v>197</v>
      </c>
      <c r="J1643" t="s">
        <v>176</v>
      </c>
      <c r="K1643" s="1">
        <v>0.09</v>
      </c>
      <c r="L1643" s="1">
        <v>0</v>
      </c>
      <c r="M1643" s="1">
        <v>0</v>
      </c>
      <c r="N1643" s="1">
        <v>0.09</v>
      </c>
      <c r="O1643" s="1">
        <v>3.69</v>
      </c>
      <c r="P1643" s="1">
        <v>0</v>
      </c>
      <c r="Q1643" s="1">
        <v>0</v>
      </c>
      <c r="R1643" s="1">
        <v>3.88</v>
      </c>
      <c r="S1643" t="s">
        <v>12</v>
      </c>
      <c r="T1643" s="13">
        <v>45725</v>
      </c>
      <c r="U1643" s="1" t="str">
        <f>IF(ESTIMATIVA[[#This Row],[QT_AREA_REAL]]&gt;0,"1- Colhido","2- à Colher")</f>
        <v>1- Colhido</v>
      </c>
      <c r="V1643" s="1" t="str">
        <f>IF(ESTIMATIVA[[#This Row],[QT_AREA_REST1]]&gt;0,"Reestimativa 1",IF(ESTIMATIVA[[#This Row],[QT_AREA_REAL]]=0,"Reestimativa 1","Realizado"))</f>
        <v>Realizado</v>
      </c>
      <c r="W1643" s="1" t="str">
        <f>IF(ESTIMATIVA[[#This Row],[QT_AREA_REST2]]&gt;0,"Reestimativa 2",IF(ESTIMATIVA[[#This Row],[QT_AREA_REAL]]=0,"Reestimativa 2","Realizado"))</f>
        <v>Realizado</v>
      </c>
      <c r="X1643" s="1">
        <f>ESTIMATIVA[[#This Row],[QT_AREA_EST]]</f>
        <v>0.09</v>
      </c>
      <c r="Y1643" s="1">
        <f>IF(ESTIMATIVA[[#This Row],[QT_AREA_REST1]]&gt;0,ESTIMATIVA[[#This Row],[QT_AREA_REST1]],
  IF(ESTIMATIVA[[#This Row],[QT_AREA_REAL]]&gt;0,ESTIMATIVA[[#This Row],[QT_AREA_REAL]],ESTIMATIVA[[#This Row],[QT_AREA_EST]]))</f>
        <v>0.09</v>
      </c>
      <c r="Z164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0.09</v>
      </c>
      <c r="AA1643" s="1">
        <f>ESTIMATIVA[[#This Row],[QT_CANA_EST]]</f>
        <v>3.69</v>
      </c>
      <c r="AB1643" s="1">
        <f>IF(ESTIMATIVA[[#This Row],[QT_CANA_REST1]]&gt;0,ESTIMATIVA[[#This Row],[QT_CANA_REST1]],
  IF(ESTIMATIVA[[#This Row],[QT_CANA_REAL]]&gt;0,ESTIMATIVA[[#This Row],[QT_CANA_REAL]],ESTIMATIVA[[#This Row],[QT_CANA_EST]]))</f>
        <v>3.88</v>
      </c>
      <c r="AC164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3.88</v>
      </c>
      <c r="AD1643" s="1">
        <f>IF(ESTIMATIVA[[#This Row],[QT_AREA_REAL]]&gt;0,ESTIMATIVA[[#This Row],[QT_CANA_REAL]],ESTIMATIVA[[#This Row],[QT_CANA_EST]])</f>
        <v>3.88</v>
      </c>
      <c r="AE1643" s="1">
        <f>IF(ESTIMATIVA[[#This Row],[QT_AREA_REAL]]&gt;0,ESTIMATIVA[[#This Row],[QT_CANA_REAL]],ESTIMATIVA[[#This Row],[QT_CANA_REST1]])</f>
        <v>3.88</v>
      </c>
      <c r="AF1643" s="1">
        <f>IF(ESTIMATIVA[[#This Row],[QT_AREA_REAL]]&gt;0,ESTIMATIVA[[#This Row],[QT_CANA_REAL]],ESTIMATIVA[[#This Row],[QT_CANA_REST2]])</f>
        <v>3.88</v>
      </c>
      <c r="AG1643" s="1" t="str">
        <f>IF(COUNTIFS(GEADA!A:A,VALUE(ESTIMATIVA[[#This Row],[CD_UPNIVEL1]]&amp;TEXT(ESTIMATIVA[[#This Row],[CD_UPNIVEL3]],"0000")))&gt;0,"S","N")</f>
        <v>N</v>
      </c>
      <c r="AH164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43" s="55" t="str">
        <f>IF(ESTIMATIVA[[#This Row],[TP_CULTIVO]]="Irrigado",_xlfn.MAXIFS(IRRIGADO!J:J,IRRIGADO!C:C,ESTIMATIVA[[#This Row],[CD_UPNIVEL1]],IRRIGADO!E:E,ESTIMATIVA[[#This Row],[CD_UPNIVEL3]]),"")</f>
        <v/>
      </c>
      <c r="AJ164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43" s="1">
        <f>COUNTIFS(Apresentação!$E$23:$E$29,ESTIMATIVA[[#This Row],[CD_UPNIVEL1]])</f>
        <v>0</v>
      </c>
    </row>
    <row r="1644" spans="1:37" x14ac:dyDescent="0.3">
      <c r="A1644">
        <v>20591</v>
      </c>
      <c r="B1644" t="s">
        <v>87</v>
      </c>
      <c r="C1644">
        <v>12</v>
      </c>
      <c r="D1644">
        <v>5</v>
      </c>
      <c r="E1644" t="s">
        <v>268</v>
      </c>
      <c r="F1644" s="85" t="s">
        <v>333</v>
      </c>
      <c r="G1644"/>
      <c r="H1644" t="s">
        <v>295</v>
      </c>
      <c r="I1644" t="s">
        <v>197</v>
      </c>
      <c r="J1644" t="s">
        <v>176</v>
      </c>
      <c r="K1644" s="1">
        <v>1.98</v>
      </c>
      <c r="L1644" s="1">
        <v>0</v>
      </c>
      <c r="M1644" s="1">
        <v>0</v>
      </c>
      <c r="N1644" s="1">
        <v>1.98</v>
      </c>
      <c r="O1644" s="1">
        <v>81.180000000000007</v>
      </c>
      <c r="P1644" s="1">
        <v>0</v>
      </c>
      <c r="Q1644" s="1">
        <v>0</v>
      </c>
      <c r="R1644" s="1">
        <v>79.23</v>
      </c>
      <c r="S1644" t="s">
        <v>12</v>
      </c>
      <c r="T1644" s="13">
        <v>45725</v>
      </c>
      <c r="U1644" s="1" t="str">
        <f>IF(ESTIMATIVA[[#This Row],[QT_AREA_REAL]]&gt;0,"1- Colhido","2- à Colher")</f>
        <v>1- Colhido</v>
      </c>
      <c r="V1644" s="1" t="str">
        <f>IF(ESTIMATIVA[[#This Row],[QT_AREA_REST1]]&gt;0,"Reestimativa 1",IF(ESTIMATIVA[[#This Row],[QT_AREA_REAL]]=0,"Reestimativa 1","Realizado"))</f>
        <v>Realizado</v>
      </c>
      <c r="W1644" s="1" t="str">
        <f>IF(ESTIMATIVA[[#This Row],[QT_AREA_REST2]]&gt;0,"Reestimativa 2",IF(ESTIMATIVA[[#This Row],[QT_AREA_REAL]]=0,"Reestimativa 2","Realizado"))</f>
        <v>Realizado</v>
      </c>
      <c r="X1644" s="1">
        <f>ESTIMATIVA[[#This Row],[QT_AREA_EST]]</f>
        <v>1.98</v>
      </c>
      <c r="Y1644" s="1">
        <f>IF(ESTIMATIVA[[#This Row],[QT_AREA_REST1]]&gt;0,ESTIMATIVA[[#This Row],[QT_AREA_REST1]],
  IF(ESTIMATIVA[[#This Row],[QT_AREA_REAL]]&gt;0,ESTIMATIVA[[#This Row],[QT_AREA_REAL]],ESTIMATIVA[[#This Row],[QT_AREA_EST]]))</f>
        <v>1.98</v>
      </c>
      <c r="Z164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1.98</v>
      </c>
      <c r="AA1644" s="1">
        <f>ESTIMATIVA[[#This Row],[QT_CANA_EST]]</f>
        <v>81.180000000000007</v>
      </c>
      <c r="AB1644" s="1">
        <f>IF(ESTIMATIVA[[#This Row],[QT_CANA_REST1]]&gt;0,ESTIMATIVA[[#This Row],[QT_CANA_REST1]],
  IF(ESTIMATIVA[[#This Row],[QT_CANA_REAL]]&gt;0,ESTIMATIVA[[#This Row],[QT_CANA_REAL]],ESTIMATIVA[[#This Row],[QT_CANA_EST]]))</f>
        <v>79.23</v>
      </c>
      <c r="AC164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79.23</v>
      </c>
      <c r="AD1644" s="1">
        <f>IF(ESTIMATIVA[[#This Row],[QT_AREA_REAL]]&gt;0,ESTIMATIVA[[#This Row],[QT_CANA_REAL]],ESTIMATIVA[[#This Row],[QT_CANA_EST]])</f>
        <v>79.23</v>
      </c>
      <c r="AE1644" s="1">
        <f>IF(ESTIMATIVA[[#This Row],[QT_AREA_REAL]]&gt;0,ESTIMATIVA[[#This Row],[QT_CANA_REAL]],ESTIMATIVA[[#This Row],[QT_CANA_REST1]])</f>
        <v>79.23</v>
      </c>
      <c r="AF1644" s="1">
        <f>IF(ESTIMATIVA[[#This Row],[QT_AREA_REAL]]&gt;0,ESTIMATIVA[[#This Row],[QT_CANA_REAL]],ESTIMATIVA[[#This Row],[QT_CANA_REST2]])</f>
        <v>79.23</v>
      </c>
      <c r="AG1644" s="1" t="str">
        <f>IF(COUNTIFS(GEADA!A:A,VALUE(ESTIMATIVA[[#This Row],[CD_UPNIVEL1]]&amp;TEXT(ESTIMATIVA[[#This Row],[CD_UPNIVEL3]],"0000")))&gt;0,"S","N")</f>
        <v>N</v>
      </c>
      <c r="AH164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44" s="55" t="str">
        <f>IF(ESTIMATIVA[[#This Row],[TP_CULTIVO]]="Irrigado",_xlfn.MAXIFS(IRRIGADO!J:J,IRRIGADO!C:C,ESTIMATIVA[[#This Row],[CD_UPNIVEL1]],IRRIGADO!E:E,ESTIMATIVA[[#This Row],[CD_UPNIVEL3]]),"")</f>
        <v/>
      </c>
      <c r="AJ164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44" s="1">
        <f>COUNTIFS(Apresentação!$E$23:$E$29,ESTIMATIVA[[#This Row],[CD_UPNIVEL1]])</f>
        <v>0</v>
      </c>
    </row>
    <row r="1645" spans="1:37" x14ac:dyDescent="0.3">
      <c r="A1645">
        <v>20591</v>
      </c>
      <c r="B1645" t="s">
        <v>87</v>
      </c>
      <c r="C1645">
        <v>13</v>
      </c>
      <c r="D1645">
        <v>5</v>
      </c>
      <c r="E1645" t="s">
        <v>268</v>
      </c>
      <c r="F1645" s="85" t="s">
        <v>333</v>
      </c>
      <c r="G1645"/>
      <c r="H1645" t="s">
        <v>295</v>
      </c>
      <c r="I1645" t="s">
        <v>197</v>
      </c>
      <c r="J1645" t="s">
        <v>176</v>
      </c>
      <c r="K1645" s="1">
        <v>3.63</v>
      </c>
      <c r="L1645" s="1">
        <v>0</v>
      </c>
      <c r="M1645" s="1">
        <v>0</v>
      </c>
      <c r="N1645" s="1">
        <v>3.63</v>
      </c>
      <c r="O1645" s="1">
        <v>148.83000000000001</v>
      </c>
      <c r="P1645" s="1">
        <v>0</v>
      </c>
      <c r="Q1645" s="1">
        <v>0</v>
      </c>
      <c r="R1645" s="1">
        <v>145.77000000000001</v>
      </c>
      <c r="S1645" t="s">
        <v>12</v>
      </c>
      <c r="T1645" s="13">
        <v>45725</v>
      </c>
      <c r="U1645" s="1" t="str">
        <f>IF(ESTIMATIVA[[#This Row],[QT_AREA_REAL]]&gt;0,"1- Colhido","2- à Colher")</f>
        <v>1- Colhido</v>
      </c>
      <c r="V1645" s="1" t="str">
        <f>IF(ESTIMATIVA[[#This Row],[QT_AREA_REST1]]&gt;0,"Reestimativa 1",IF(ESTIMATIVA[[#This Row],[QT_AREA_REAL]]=0,"Reestimativa 1","Realizado"))</f>
        <v>Realizado</v>
      </c>
      <c r="W1645" s="1" t="str">
        <f>IF(ESTIMATIVA[[#This Row],[QT_AREA_REST2]]&gt;0,"Reestimativa 2",IF(ESTIMATIVA[[#This Row],[QT_AREA_REAL]]=0,"Reestimativa 2","Realizado"))</f>
        <v>Realizado</v>
      </c>
      <c r="X1645" s="1">
        <f>ESTIMATIVA[[#This Row],[QT_AREA_EST]]</f>
        <v>3.63</v>
      </c>
      <c r="Y1645" s="1">
        <f>IF(ESTIMATIVA[[#This Row],[QT_AREA_REST1]]&gt;0,ESTIMATIVA[[#This Row],[QT_AREA_REST1]],
  IF(ESTIMATIVA[[#This Row],[QT_AREA_REAL]]&gt;0,ESTIMATIVA[[#This Row],[QT_AREA_REAL]],ESTIMATIVA[[#This Row],[QT_AREA_EST]]))</f>
        <v>3.63</v>
      </c>
      <c r="Z164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3.63</v>
      </c>
      <c r="AA1645" s="1">
        <f>ESTIMATIVA[[#This Row],[QT_CANA_EST]]</f>
        <v>148.83000000000001</v>
      </c>
      <c r="AB1645" s="1">
        <f>IF(ESTIMATIVA[[#This Row],[QT_CANA_REST1]]&gt;0,ESTIMATIVA[[#This Row],[QT_CANA_REST1]],
  IF(ESTIMATIVA[[#This Row],[QT_CANA_REAL]]&gt;0,ESTIMATIVA[[#This Row],[QT_CANA_REAL]],ESTIMATIVA[[#This Row],[QT_CANA_EST]]))</f>
        <v>145.77000000000001</v>
      </c>
      <c r="AC164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145.77000000000001</v>
      </c>
      <c r="AD1645" s="1">
        <f>IF(ESTIMATIVA[[#This Row],[QT_AREA_REAL]]&gt;0,ESTIMATIVA[[#This Row],[QT_CANA_REAL]],ESTIMATIVA[[#This Row],[QT_CANA_EST]])</f>
        <v>145.77000000000001</v>
      </c>
      <c r="AE1645" s="1">
        <f>IF(ESTIMATIVA[[#This Row],[QT_AREA_REAL]]&gt;0,ESTIMATIVA[[#This Row],[QT_CANA_REAL]],ESTIMATIVA[[#This Row],[QT_CANA_REST1]])</f>
        <v>145.77000000000001</v>
      </c>
      <c r="AF1645" s="1">
        <f>IF(ESTIMATIVA[[#This Row],[QT_AREA_REAL]]&gt;0,ESTIMATIVA[[#This Row],[QT_CANA_REAL]],ESTIMATIVA[[#This Row],[QT_CANA_REST2]])</f>
        <v>145.77000000000001</v>
      </c>
      <c r="AG1645" s="1" t="str">
        <f>IF(COUNTIFS(GEADA!A:A,VALUE(ESTIMATIVA[[#This Row],[CD_UPNIVEL1]]&amp;TEXT(ESTIMATIVA[[#This Row],[CD_UPNIVEL3]],"0000")))&gt;0,"S","N")</f>
        <v>N</v>
      </c>
      <c r="AH164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45" s="55" t="str">
        <f>IF(ESTIMATIVA[[#This Row],[TP_CULTIVO]]="Irrigado",_xlfn.MAXIFS(IRRIGADO!J:J,IRRIGADO!C:C,ESTIMATIVA[[#This Row],[CD_UPNIVEL1]],IRRIGADO!E:E,ESTIMATIVA[[#This Row],[CD_UPNIVEL3]]),"")</f>
        <v/>
      </c>
      <c r="AJ164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45" s="1">
        <f>COUNTIFS(Apresentação!$E$23:$E$29,ESTIMATIVA[[#This Row],[CD_UPNIVEL1]])</f>
        <v>0</v>
      </c>
    </row>
    <row r="1646" spans="1:37" x14ac:dyDescent="0.3">
      <c r="A1646">
        <v>20591</v>
      </c>
      <c r="B1646" t="s">
        <v>87</v>
      </c>
      <c r="C1646">
        <v>15</v>
      </c>
      <c r="D1646">
        <v>5</v>
      </c>
      <c r="E1646" t="s">
        <v>268</v>
      </c>
      <c r="F1646" s="85" t="s">
        <v>333</v>
      </c>
      <c r="G1646"/>
      <c r="H1646" t="s">
        <v>295</v>
      </c>
      <c r="I1646" t="s">
        <v>197</v>
      </c>
      <c r="J1646" t="s">
        <v>176</v>
      </c>
      <c r="K1646" s="1">
        <v>13.74</v>
      </c>
      <c r="L1646" s="1">
        <v>0</v>
      </c>
      <c r="M1646" s="1">
        <v>0</v>
      </c>
      <c r="N1646" s="1">
        <v>13.74</v>
      </c>
      <c r="O1646" s="1">
        <v>563.34</v>
      </c>
      <c r="P1646" s="1">
        <v>0</v>
      </c>
      <c r="Q1646" s="1">
        <v>0</v>
      </c>
      <c r="R1646" s="1">
        <v>550.89</v>
      </c>
      <c r="S1646" t="s">
        <v>12</v>
      </c>
      <c r="T1646" s="13">
        <v>45725</v>
      </c>
      <c r="U1646" s="1" t="str">
        <f>IF(ESTIMATIVA[[#This Row],[QT_AREA_REAL]]&gt;0,"1- Colhido","2- à Colher")</f>
        <v>1- Colhido</v>
      </c>
      <c r="V1646" s="1" t="str">
        <f>IF(ESTIMATIVA[[#This Row],[QT_AREA_REST1]]&gt;0,"Reestimativa 1",IF(ESTIMATIVA[[#This Row],[QT_AREA_REAL]]=0,"Reestimativa 1","Realizado"))</f>
        <v>Realizado</v>
      </c>
      <c r="W1646" s="1" t="str">
        <f>IF(ESTIMATIVA[[#This Row],[QT_AREA_REST2]]&gt;0,"Reestimativa 2",IF(ESTIMATIVA[[#This Row],[QT_AREA_REAL]]=0,"Reestimativa 2","Realizado"))</f>
        <v>Realizado</v>
      </c>
      <c r="X1646" s="1">
        <f>ESTIMATIVA[[#This Row],[QT_AREA_EST]]</f>
        <v>13.74</v>
      </c>
      <c r="Y1646" s="1">
        <f>IF(ESTIMATIVA[[#This Row],[QT_AREA_REST1]]&gt;0,ESTIMATIVA[[#This Row],[QT_AREA_REST1]],
  IF(ESTIMATIVA[[#This Row],[QT_AREA_REAL]]&gt;0,ESTIMATIVA[[#This Row],[QT_AREA_REAL]],ESTIMATIVA[[#This Row],[QT_AREA_EST]]))</f>
        <v>13.74</v>
      </c>
      <c r="Z164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13.74</v>
      </c>
      <c r="AA1646" s="1">
        <f>ESTIMATIVA[[#This Row],[QT_CANA_EST]]</f>
        <v>563.34</v>
      </c>
      <c r="AB1646" s="1">
        <f>IF(ESTIMATIVA[[#This Row],[QT_CANA_REST1]]&gt;0,ESTIMATIVA[[#This Row],[QT_CANA_REST1]],
  IF(ESTIMATIVA[[#This Row],[QT_CANA_REAL]]&gt;0,ESTIMATIVA[[#This Row],[QT_CANA_REAL]],ESTIMATIVA[[#This Row],[QT_CANA_EST]]))</f>
        <v>550.89</v>
      </c>
      <c r="AC164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550.89</v>
      </c>
      <c r="AD1646" s="1">
        <f>IF(ESTIMATIVA[[#This Row],[QT_AREA_REAL]]&gt;0,ESTIMATIVA[[#This Row],[QT_CANA_REAL]],ESTIMATIVA[[#This Row],[QT_CANA_EST]])</f>
        <v>550.89</v>
      </c>
      <c r="AE1646" s="1">
        <f>IF(ESTIMATIVA[[#This Row],[QT_AREA_REAL]]&gt;0,ESTIMATIVA[[#This Row],[QT_CANA_REAL]],ESTIMATIVA[[#This Row],[QT_CANA_REST1]])</f>
        <v>550.89</v>
      </c>
      <c r="AF1646" s="1">
        <f>IF(ESTIMATIVA[[#This Row],[QT_AREA_REAL]]&gt;0,ESTIMATIVA[[#This Row],[QT_CANA_REAL]],ESTIMATIVA[[#This Row],[QT_CANA_REST2]])</f>
        <v>550.89</v>
      </c>
      <c r="AG1646" s="1" t="str">
        <f>IF(COUNTIFS(GEADA!A:A,VALUE(ESTIMATIVA[[#This Row],[CD_UPNIVEL1]]&amp;TEXT(ESTIMATIVA[[#This Row],[CD_UPNIVEL3]],"0000")))&gt;0,"S","N")</f>
        <v>N</v>
      </c>
      <c r="AH164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46" s="55" t="str">
        <f>IF(ESTIMATIVA[[#This Row],[TP_CULTIVO]]="Irrigado",_xlfn.MAXIFS(IRRIGADO!J:J,IRRIGADO!C:C,ESTIMATIVA[[#This Row],[CD_UPNIVEL1]],IRRIGADO!E:E,ESTIMATIVA[[#This Row],[CD_UPNIVEL3]]),"")</f>
        <v/>
      </c>
      <c r="AJ164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46" s="1">
        <f>COUNTIFS(Apresentação!$E$23:$E$29,ESTIMATIVA[[#This Row],[CD_UPNIVEL1]])</f>
        <v>0</v>
      </c>
    </row>
    <row r="1647" spans="1:37" x14ac:dyDescent="0.3">
      <c r="A1647">
        <v>20591</v>
      </c>
      <c r="B1647" t="s">
        <v>87</v>
      </c>
      <c r="C1647">
        <v>16</v>
      </c>
      <c r="D1647">
        <v>5</v>
      </c>
      <c r="E1647" t="s">
        <v>268</v>
      </c>
      <c r="F1647" s="85" t="s">
        <v>333</v>
      </c>
      <c r="G1647"/>
      <c r="H1647" t="s">
        <v>295</v>
      </c>
      <c r="I1647" t="s">
        <v>197</v>
      </c>
      <c r="J1647" t="s">
        <v>176</v>
      </c>
      <c r="K1647" s="1">
        <v>23.32</v>
      </c>
      <c r="L1647" s="1">
        <v>0</v>
      </c>
      <c r="M1647" s="1">
        <v>0</v>
      </c>
      <c r="N1647" s="1">
        <v>23.32</v>
      </c>
      <c r="O1647" s="1">
        <v>956.12</v>
      </c>
      <c r="P1647" s="1">
        <v>0</v>
      </c>
      <c r="Q1647" s="1">
        <v>0</v>
      </c>
      <c r="R1647" s="1">
        <v>935.47</v>
      </c>
      <c r="S1647" t="s">
        <v>12</v>
      </c>
      <c r="T1647" s="13">
        <v>45725</v>
      </c>
      <c r="U1647" s="1" t="str">
        <f>IF(ESTIMATIVA[[#This Row],[QT_AREA_REAL]]&gt;0,"1- Colhido","2- à Colher")</f>
        <v>1- Colhido</v>
      </c>
      <c r="V1647" s="1" t="str">
        <f>IF(ESTIMATIVA[[#This Row],[QT_AREA_REST1]]&gt;0,"Reestimativa 1",IF(ESTIMATIVA[[#This Row],[QT_AREA_REAL]]=0,"Reestimativa 1","Realizado"))</f>
        <v>Realizado</v>
      </c>
      <c r="W1647" s="1" t="str">
        <f>IF(ESTIMATIVA[[#This Row],[QT_AREA_REST2]]&gt;0,"Reestimativa 2",IF(ESTIMATIVA[[#This Row],[QT_AREA_REAL]]=0,"Reestimativa 2","Realizado"))</f>
        <v>Realizado</v>
      </c>
      <c r="X1647" s="1">
        <f>ESTIMATIVA[[#This Row],[QT_AREA_EST]]</f>
        <v>23.32</v>
      </c>
      <c r="Y1647" s="1">
        <f>IF(ESTIMATIVA[[#This Row],[QT_AREA_REST1]]&gt;0,ESTIMATIVA[[#This Row],[QT_AREA_REST1]],
  IF(ESTIMATIVA[[#This Row],[QT_AREA_REAL]]&gt;0,ESTIMATIVA[[#This Row],[QT_AREA_REAL]],ESTIMATIVA[[#This Row],[QT_AREA_EST]]))</f>
        <v>23.32</v>
      </c>
      <c r="Z164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23.32</v>
      </c>
      <c r="AA1647" s="1">
        <f>ESTIMATIVA[[#This Row],[QT_CANA_EST]]</f>
        <v>956.12</v>
      </c>
      <c r="AB1647" s="1">
        <f>IF(ESTIMATIVA[[#This Row],[QT_CANA_REST1]]&gt;0,ESTIMATIVA[[#This Row],[QT_CANA_REST1]],
  IF(ESTIMATIVA[[#This Row],[QT_CANA_REAL]]&gt;0,ESTIMATIVA[[#This Row],[QT_CANA_REAL]],ESTIMATIVA[[#This Row],[QT_CANA_EST]]))</f>
        <v>935.47</v>
      </c>
      <c r="AC164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935.47</v>
      </c>
      <c r="AD1647" s="1">
        <f>IF(ESTIMATIVA[[#This Row],[QT_AREA_REAL]]&gt;0,ESTIMATIVA[[#This Row],[QT_CANA_REAL]],ESTIMATIVA[[#This Row],[QT_CANA_EST]])</f>
        <v>935.47</v>
      </c>
      <c r="AE1647" s="1">
        <f>IF(ESTIMATIVA[[#This Row],[QT_AREA_REAL]]&gt;0,ESTIMATIVA[[#This Row],[QT_CANA_REAL]],ESTIMATIVA[[#This Row],[QT_CANA_REST1]])</f>
        <v>935.47</v>
      </c>
      <c r="AF1647" s="1">
        <f>IF(ESTIMATIVA[[#This Row],[QT_AREA_REAL]]&gt;0,ESTIMATIVA[[#This Row],[QT_CANA_REAL]],ESTIMATIVA[[#This Row],[QT_CANA_REST2]])</f>
        <v>935.47</v>
      </c>
      <c r="AG1647" s="1" t="str">
        <f>IF(COUNTIFS(GEADA!A:A,VALUE(ESTIMATIVA[[#This Row],[CD_UPNIVEL1]]&amp;TEXT(ESTIMATIVA[[#This Row],[CD_UPNIVEL3]],"0000")))&gt;0,"S","N")</f>
        <v>N</v>
      </c>
      <c r="AH164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47" s="55" t="str">
        <f>IF(ESTIMATIVA[[#This Row],[TP_CULTIVO]]="Irrigado",_xlfn.MAXIFS(IRRIGADO!J:J,IRRIGADO!C:C,ESTIMATIVA[[#This Row],[CD_UPNIVEL1]],IRRIGADO!E:E,ESTIMATIVA[[#This Row],[CD_UPNIVEL3]]),"")</f>
        <v/>
      </c>
      <c r="AJ164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47" s="1">
        <f>COUNTIFS(Apresentação!$E$23:$E$29,ESTIMATIVA[[#This Row],[CD_UPNIVEL1]])</f>
        <v>0</v>
      </c>
    </row>
    <row r="1648" spans="1:37" x14ac:dyDescent="0.3">
      <c r="A1648">
        <v>20591</v>
      </c>
      <c r="B1648" t="s">
        <v>87</v>
      </c>
      <c r="C1648">
        <v>17</v>
      </c>
      <c r="D1648">
        <v>5</v>
      </c>
      <c r="E1648" t="s">
        <v>268</v>
      </c>
      <c r="F1648" s="85" t="s">
        <v>331</v>
      </c>
      <c r="G1648"/>
      <c r="H1648" t="s">
        <v>295</v>
      </c>
      <c r="I1648" t="s">
        <v>197</v>
      </c>
      <c r="J1648" t="s">
        <v>176</v>
      </c>
      <c r="K1648" s="1">
        <v>10.029999999999999</v>
      </c>
      <c r="L1648" s="1">
        <v>0</v>
      </c>
      <c r="M1648" s="1">
        <v>0</v>
      </c>
      <c r="N1648" s="1">
        <v>10.029999999999999</v>
      </c>
      <c r="O1648" s="1">
        <v>411.23</v>
      </c>
      <c r="P1648" s="1">
        <v>0</v>
      </c>
      <c r="Q1648" s="1">
        <v>0</v>
      </c>
      <c r="R1648" s="1">
        <v>402.15</v>
      </c>
      <c r="S1648" t="s">
        <v>12</v>
      </c>
      <c r="T1648" s="13">
        <v>45725</v>
      </c>
      <c r="U1648" s="1" t="str">
        <f>IF(ESTIMATIVA[[#This Row],[QT_AREA_REAL]]&gt;0,"1- Colhido","2- à Colher")</f>
        <v>1- Colhido</v>
      </c>
      <c r="V1648" s="1" t="str">
        <f>IF(ESTIMATIVA[[#This Row],[QT_AREA_REST1]]&gt;0,"Reestimativa 1",IF(ESTIMATIVA[[#This Row],[QT_AREA_REAL]]=0,"Reestimativa 1","Realizado"))</f>
        <v>Realizado</v>
      </c>
      <c r="W1648" s="1" t="str">
        <f>IF(ESTIMATIVA[[#This Row],[QT_AREA_REST2]]&gt;0,"Reestimativa 2",IF(ESTIMATIVA[[#This Row],[QT_AREA_REAL]]=0,"Reestimativa 2","Realizado"))</f>
        <v>Realizado</v>
      </c>
      <c r="X1648" s="1">
        <f>ESTIMATIVA[[#This Row],[QT_AREA_EST]]</f>
        <v>10.029999999999999</v>
      </c>
      <c r="Y1648" s="1">
        <f>IF(ESTIMATIVA[[#This Row],[QT_AREA_REST1]]&gt;0,ESTIMATIVA[[#This Row],[QT_AREA_REST1]],
  IF(ESTIMATIVA[[#This Row],[QT_AREA_REAL]]&gt;0,ESTIMATIVA[[#This Row],[QT_AREA_REAL]],ESTIMATIVA[[#This Row],[QT_AREA_EST]]))</f>
        <v>10.029999999999999</v>
      </c>
      <c r="Z164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10.029999999999999</v>
      </c>
      <c r="AA1648" s="1">
        <f>ESTIMATIVA[[#This Row],[QT_CANA_EST]]</f>
        <v>411.23</v>
      </c>
      <c r="AB1648" s="1">
        <f>IF(ESTIMATIVA[[#This Row],[QT_CANA_REST1]]&gt;0,ESTIMATIVA[[#This Row],[QT_CANA_REST1]],
  IF(ESTIMATIVA[[#This Row],[QT_CANA_REAL]]&gt;0,ESTIMATIVA[[#This Row],[QT_CANA_REAL]],ESTIMATIVA[[#This Row],[QT_CANA_EST]]))</f>
        <v>402.15</v>
      </c>
      <c r="AC164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402.15</v>
      </c>
      <c r="AD1648" s="1">
        <f>IF(ESTIMATIVA[[#This Row],[QT_AREA_REAL]]&gt;0,ESTIMATIVA[[#This Row],[QT_CANA_REAL]],ESTIMATIVA[[#This Row],[QT_CANA_EST]])</f>
        <v>402.15</v>
      </c>
      <c r="AE1648" s="1">
        <f>IF(ESTIMATIVA[[#This Row],[QT_AREA_REAL]]&gt;0,ESTIMATIVA[[#This Row],[QT_CANA_REAL]],ESTIMATIVA[[#This Row],[QT_CANA_REST1]])</f>
        <v>402.15</v>
      </c>
      <c r="AF1648" s="1">
        <f>IF(ESTIMATIVA[[#This Row],[QT_AREA_REAL]]&gt;0,ESTIMATIVA[[#This Row],[QT_CANA_REAL]],ESTIMATIVA[[#This Row],[QT_CANA_REST2]])</f>
        <v>402.15</v>
      </c>
      <c r="AG1648" s="1" t="str">
        <f>IF(COUNTIFS(GEADA!A:A,VALUE(ESTIMATIVA[[#This Row],[CD_UPNIVEL1]]&amp;TEXT(ESTIMATIVA[[#This Row],[CD_UPNIVEL3]],"0000")))&gt;0,"S","N")</f>
        <v>N</v>
      </c>
      <c r="AH164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48" s="55" t="str">
        <f>IF(ESTIMATIVA[[#This Row],[TP_CULTIVO]]="Irrigado",_xlfn.MAXIFS(IRRIGADO!J:J,IRRIGADO!C:C,ESTIMATIVA[[#This Row],[CD_UPNIVEL1]],IRRIGADO!E:E,ESTIMATIVA[[#This Row],[CD_UPNIVEL3]]),"")</f>
        <v/>
      </c>
      <c r="AJ164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48" s="1">
        <f>COUNTIFS(Apresentação!$E$23:$E$29,ESTIMATIVA[[#This Row],[CD_UPNIVEL1]])</f>
        <v>0</v>
      </c>
    </row>
    <row r="1649" spans="1:37" x14ac:dyDescent="0.3">
      <c r="A1649">
        <v>20591</v>
      </c>
      <c r="B1649" t="s">
        <v>87</v>
      </c>
      <c r="C1649">
        <v>18</v>
      </c>
      <c r="D1649">
        <v>5</v>
      </c>
      <c r="E1649" t="s">
        <v>268</v>
      </c>
      <c r="F1649" s="85" t="s">
        <v>331</v>
      </c>
      <c r="G1649"/>
      <c r="H1649" t="s">
        <v>295</v>
      </c>
      <c r="I1649" t="s">
        <v>197</v>
      </c>
      <c r="J1649" t="s">
        <v>176</v>
      </c>
      <c r="K1649" s="1">
        <v>7.58</v>
      </c>
      <c r="L1649" s="1">
        <v>0</v>
      </c>
      <c r="M1649" s="1">
        <v>0</v>
      </c>
      <c r="N1649" s="1">
        <v>7.58</v>
      </c>
      <c r="O1649" s="1">
        <v>310.77999999999997</v>
      </c>
      <c r="P1649" s="1">
        <v>0</v>
      </c>
      <c r="Q1649" s="1">
        <v>0</v>
      </c>
      <c r="R1649" s="1">
        <v>304.56</v>
      </c>
      <c r="S1649" t="s">
        <v>12</v>
      </c>
      <c r="T1649" s="13">
        <v>45725</v>
      </c>
      <c r="U1649" s="1" t="str">
        <f>IF(ESTIMATIVA[[#This Row],[QT_AREA_REAL]]&gt;0,"1- Colhido","2- à Colher")</f>
        <v>1- Colhido</v>
      </c>
      <c r="V1649" s="1" t="str">
        <f>IF(ESTIMATIVA[[#This Row],[QT_AREA_REST1]]&gt;0,"Reestimativa 1",IF(ESTIMATIVA[[#This Row],[QT_AREA_REAL]]=0,"Reestimativa 1","Realizado"))</f>
        <v>Realizado</v>
      </c>
      <c r="W1649" s="1" t="str">
        <f>IF(ESTIMATIVA[[#This Row],[QT_AREA_REST2]]&gt;0,"Reestimativa 2",IF(ESTIMATIVA[[#This Row],[QT_AREA_REAL]]=0,"Reestimativa 2","Realizado"))</f>
        <v>Realizado</v>
      </c>
      <c r="X1649" s="1">
        <f>ESTIMATIVA[[#This Row],[QT_AREA_EST]]</f>
        <v>7.58</v>
      </c>
      <c r="Y1649" s="1">
        <f>IF(ESTIMATIVA[[#This Row],[QT_AREA_REST1]]&gt;0,ESTIMATIVA[[#This Row],[QT_AREA_REST1]],
  IF(ESTIMATIVA[[#This Row],[QT_AREA_REAL]]&gt;0,ESTIMATIVA[[#This Row],[QT_AREA_REAL]],ESTIMATIVA[[#This Row],[QT_AREA_EST]]))</f>
        <v>7.58</v>
      </c>
      <c r="Z164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7.58</v>
      </c>
      <c r="AA1649" s="1">
        <f>ESTIMATIVA[[#This Row],[QT_CANA_EST]]</f>
        <v>310.77999999999997</v>
      </c>
      <c r="AB1649" s="1">
        <f>IF(ESTIMATIVA[[#This Row],[QT_CANA_REST1]]&gt;0,ESTIMATIVA[[#This Row],[QT_CANA_REST1]],
  IF(ESTIMATIVA[[#This Row],[QT_CANA_REAL]]&gt;0,ESTIMATIVA[[#This Row],[QT_CANA_REAL]],ESTIMATIVA[[#This Row],[QT_CANA_EST]]))</f>
        <v>304.56</v>
      </c>
      <c r="AC164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304.56</v>
      </c>
      <c r="AD1649" s="1">
        <f>IF(ESTIMATIVA[[#This Row],[QT_AREA_REAL]]&gt;0,ESTIMATIVA[[#This Row],[QT_CANA_REAL]],ESTIMATIVA[[#This Row],[QT_CANA_EST]])</f>
        <v>304.56</v>
      </c>
      <c r="AE1649" s="1">
        <f>IF(ESTIMATIVA[[#This Row],[QT_AREA_REAL]]&gt;0,ESTIMATIVA[[#This Row],[QT_CANA_REAL]],ESTIMATIVA[[#This Row],[QT_CANA_REST1]])</f>
        <v>304.56</v>
      </c>
      <c r="AF1649" s="1">
        <f>IF(ESTIMATIVA[[#This Row],[QT_AREA_REAL]]&gt;0,ESTIMATIVA[[#This Row],[QT_CANA_REAL]],ESTIMATIVA[[#This Row],[QT_CANA_REST2]])</f>
        <v>304.56</v>
      </c>
      <c r="AG1649" s="1" t="str">
        <f>IF(COUNTIFS(GEADA!A:A,VALUE(ESTIMATIVA[[#This Row],[CD_UPNIVEL1]]&amp;TEXT(ESTIMATIVA[[#This Row],[CD_UPNIVEL3]],"0000")))&gt;0,"S","N")</f>
        <v>N</v>
      </c>
      <c r="AH164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49" s="55" t="str">
        <f>IF(ESTIMATIVA[[#This Row],[TP_CULTIVO]]="Irrigado",_xlfn.MAXIFS(IRRIGADO!J:J,IRRIGADO!C:C,ESTIMATIVA[[#This Row],[CD_UPNIVEL1]],IRRIGADO!E:E,ESTIMATIVA[[#This Row],[CD_UPNIVEL3]]),"")</f>
        <v/>
      </c>
      <c r="AJ164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49" s="1">
        <f>COUNTIFS(Apresentação!$E$23:$E$29,ESTIMATIVA[[#This Row],[CD_UPNIVEL1]])</f>
        <v>0</v>
      </c>
    </row>
    <row r="1650" spans="1:37" x14ac:dyDescent="0.3">
      <c r="A1650">
        <v>20592</v>
      </c>
      <c r="B1650" t="s">
        <v>155</v>
      </c>
      <c r="C1650">
        <v>1</v>
      </c>
      <c r="D1650">
        <v>4</v>
      </c>
      <c r="E1650" t="s">
        <v>265</v>
      </c>
      <c r="F1650" s="85" t="s">
        <v>329</v>
      </c>
      <c r="G1650"/>
      <c r="H1650" t="s">
        <v>294</v>
      </c>
      <c r="I1650" t="s">
        <v>203</v>
      </c>
      <c r="J1650" t="s">
        <v>176</v>
      </c>
      <c r="K1650" s="1">
        <v>10.16</v>
      </c>
      <c r="L1650" s="1">
        <v>10.16</v>
      </c>
      <c r="M1650" s="1">
        <v>10.16</v>
      </c>
      <c r="N1650" s="1">
        <v>10.16</v>
      </c>
      <c r="O1650" s="1">
        <v>629.91999999999996</v>
      </c>
      <c r="P1650" s="1">
        <v>731.52</v>
      </c>
      <c r="Q1650" s="1">
        <v>731.52</v>
      </c>
      <c r="R1650" s="1">
        <v>904.83</v>
      </c>
      <c r="S1650" t="s">
        <v>12</v>
      </c>
      <c r="T1650" s="13">
        <v>45935</v>
      </c>
      <c r="U1650" s="1" t="str">
        <f>IF(ESTIMATIVA[[#This Row],[QT_AREA_REAL]]&gt;0,"1- Colhido","2- à Colher")</f>
        <v>1- Colhido</v>
      </c>
      <c r="V1650" s="1" t="str">
        <f>IF(ESTIMATIVA[[#This Row],[QT_AREA_REST1]]&gt;0,"Reestimativa 1",IF(ESTIMATIVA[[#This Row],[QT_AREA_REAL]]=0,"Reestimativa 1","Realizado"))</f>
        <v>Reestimativa 1</v>
      </c>
      <c r="W1650" s="1" t="str">
        <f>IF(ESTIMATIVA[[#This Row],[QT_AREA_REST2]]&gt;0,"Reestimativa 2",IF(ESTIMATIVA[[#This Row],[QT_AREA_REAL]]=0,"Reestimativa 2","Realizado"))</f>
        <v>Reestimativa 2</v>
      </c>
      <c r="X1650" s="1">
        <f>ESTIMATIVA[[#This Row],[QT_AREA_EST]]</f>
        <v>10.16</v>
      </c>
      <c r="Y1650" s="1">
        <f>IF(ESTIMATIVA[[#This Row],[QT_AREA_REST1]]&gt;0,ESTIMATIVA[[#This Row],[QT_AREA_REST1]],
  IF(ESTIMATIVA[[#This Row],[QT_AREA_REAL]]&gt;0,ESTIMATIVA[[#This Row],[QT_AREA_REAL]],ESTIMATIVA[[#This Row],[QT_AREA_EST]]))</f>
        <v>10.16</v>
      </c>
      <c r="Z165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10.16</v>
      </c>
      <c r="AA1650" s="1">
        <f>ESTIMATIVA[[#This Row],[QT_CANA_EST]]</f>
        <v>629.91999999999996</v>
      </c>
      <c r="AB1650" s="1">
        <f>IF(ESTIMATIVA[[#This Row],[QT_CANA_REST1]]&gt;0,ESTIMATIVA[[#This Row],[QT_CANA_REST1]],
  IF(ESTIMATIVA[[#This Row],[QT_CANA_REAL]]&gt;0,ESTIMATIVA[[#This Row],[QT_CANA_REAL]],ESTIMATIVA[[#This Row],[QT_CANA_EST]]))</f>
        <v>731.52</v>
      </c>
      <c r="AC165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731.52</v>
      </c>
      <c r="AD1650" s="1">
        <f>IF(ESTIMATIVA[[#This Row],[QT_AREA_REAL]]&gt;0,ESTIMATIVA[[#This Row],[QT_CANA_REAL]],ESTIMATIVA[[#This Row],[QT_CANA_EST]])</f>
        <v>904.83</v>
      </c>
      <c r="AE1650" s="1">
        <f>IF(ESTIMATIVA[[#This Row],[QT_AREA_REAL]]&gt;0,ESTIMATIVA[[#This Row],[QT_CANA_REAL]],ESTIMATIVA[[#This Row],[QT_CANA_REST1]])</f>
        <v>904.83</v>
      </c>
      <c r="AF1650" s="1">
        <f>IF(ESTIMATIVA[[#This Row],[QT_AREA_REAL]]&gt;0,ESTIMATIVA[[#This Row],[QT_CANA_REAL]],ESTIMATIVA[[#This Row],[QT_CANA_REST2]])</f>
        <v>904.83</v>
      </c>
      <c r="AG1650" s="1" t="str">
        <f>IF(COUNTIFS(GEADA!A:A,VALUE(ESTIMATIVA[[#This Row],[CD_UPNIVEL1]]&amp;TEXT(ESTIMATIVA[[#This Row],[CD_UPNIVEL3]],"0000")))&gt;0,"S","N")</f>
        <v>N</v>
      </c>
      <c r="AH165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50" s="55" t="str">
        <f>IF(ESTIMATIVA[[#This Row],[TP_CULTIVO]]="Irrigado",_xlfn.MAXIFS(IRRIGADO!J:J,IRRIGADO!C:C,ESTIMATIVA[[#This Row],[CD_UPNIVEL1]],IRRIGADO!E:E,ESTIMATIVA[[#This Row],[CD_UPNIVEL3]]),"")</f>
        <v/>
      </c>
      <c r="AJ165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50" s="1">
        <f>COUNTIFS(Apresentação!$E$23:$E$29,ESTIMATIVA[[#This Row],[CD_UPNIVEL1]])</f>
        <v>0</v>
      </c>
    </row>
    <row r="1651" spans="1:37" x14ac:dyDescent="0.3">
      <c r="A1651">
        <v>20592</v>
      </c>
      <c r="B1651" t="s">
        <v>155</v>
      </c>
      <c r="C1651">
        <v>2</v>
      </c>
      <c r="D1651">
        <v>4</v>
      </c>
      <c r="E1651" t="s">
        <v>265</v>
      </c>
      <c r="F1651" s="85" t="s">
        <v>329</v>
      </c>
      <c r="G1651"/>
      <c r="H1651" t="s">
        <v>294</v>
      </c>
      <c r="I1651" t="s">
        <v>224</v>
      </c>
      <c r="J1651" t="s">
        <v>176</v>
      </c>
      <c r="K1651" s="1">
        <v>6.86</v>
      </c>
      <c r="L1651" s="1">
        <v>6.86</v>
      </c>
      <c r="M1651" s="1">
        <v>6.86</v>
      </c>
      <c r="N1651" s="1">
        <v>6.86</v>
      </c>
      <c r="O1651" s="1">
        <v>425.32</v>
      </c>
      <c r="P1651" s="1">
        <v>493.92</v>
      </c>
      <c r="Q1651" s="1">
        <v>493.92</v>
      </c>
      <c r="R1651" s="1">
        <v>565.26</v>
      </c>
      <c r="S1651" t="s">
        <v>12</v>
      </c>
      <c r="T1651" s="13">
        <v>45935</v>
      </c>
      <c r="U1651" s="1" t="str">
        <f>IF(ESTIMATIVA[[#This Row],[QT_AREA_REAL]]&gt;0,"1- Colhido","2- à Colher")</f>
        <v>1- Colhido</v>
      </c>
      <c r="V1651" s="1" t="str">
        <f>IF(ESTIMATIVA[[#This Row],[QT_AREA_REST1]]&gt;0,"Reestimativa 1",IF(ESTIMATIVA[[#This Row],[QT_AREA_REAL]]=0,"Reestimativa 1","Realizado"))</f>
        <v>Reestimativa 1</v>
      </c>
      <c r="W1651" s="1" t="str">
        <f>IF(ESTIMATIVA[[#This Row],[QT_AREA_REST2]]&gt;0,"Reestimativa 2",IF(ESTIMATIVA[[#This Row],[QT_AREA_REAL]]=0,"Reestimativa 2","Realizado"))</f>
        <v>Reestimativa 2</v>
      </c>
      <c r="X1651" s="1">
        <f>ESTIMATIVA[[#This Row],[QT_AREA_EST]]</f>
        <v>6.86</v>
      </c>
      <c r="Y1651" s="1">
        <f>IF(ESTIMATIVA[[#This Row],[QT_AREA_REST1]]&gt;0,ESTIMATIVA[[#This Row],[QT_AREA_REST1]],
  IF(ESTIMATIVA[[#This Row],[QT_AREA_REAL]]&gt;0,ESTIMATIVA[[#This Row],[QT_AREA_REAL]],ESTIMATIVA[[#This Row],[QT_AREA_EST]]))</f>
        <v>6.86</v>
      </c>
      <c r="Z165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6.86</v>
      </c>
      <c r="AA1651" s="1">
        <f>ESTIMATIVA[[#This Row],[QT_CANA_EST]]</f>
        <v>425.32</v>
      </c>
      <c r="AB1651" s="1">
        <f>IF(ESTIMATIVA[[#This Row],[QT_CANA_REST1]]&gt;0,ESTIMATIVA[[#This Row],[QT_CANA_REST1]],
  IF(ESTIMATIVA[[#This Row],[QT_CANA_REAL]]&gt;0,ESTIMATIVA[[#This Row],[QT_CANA_REAL]],ESTIMATIVA[[#This Row],[QT_CANA_EST]]))</f>
        <v>493.92</v>
      </c>
      <c r="AC165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493.92</v>
      </c>
      <c r="AD1651" s="1">
        <f>IF(ESTIMATIVA[[#This Row],[QT_AREA_REAL]]&gt;0,ESTIMATIVA[[#This Row],[QT_CANA_REAL]],ESTIMATIVA[[#This Row],[QT_CANA_EST]])</f>
        <v>565.26</v>
      </c>
      <c r="AE1651" s="1">
        <f>IF(ESTIMATIVA[[#This Row],[QT_AREA_REAL]]&gt;0,ESTIMATIVA[[#This Row],[QT_CANA_REAL]],ESTIMATIVA[[#This Row],[QT_CANA_REST1]])</f>
        <v>565.26</v>
      </c>
      <c r="AF1651" s="1">
        <f>IF(ESTIMATIVA[[#This Row],[QT_AREA_REAL]]&gt;0,ESTIMATIVA[[#This Row],[QT_CANA_REAL]],ESTIMATIVA[[#This Row],[QT_CANA_REST2]])</f>
        <v>565.26</v>
      </c>
      <c r="AG1651" s="1" t="str">
        <f>IF(COUNTIFS(GEADA!A:A,VALUE(ESTIMATIVA[[#This Row],[CD_UPNIVEL1]]&amp;TEXT(ESTIMATIVA[[#This Row],[CD_UPNIVEL3]],"0000")))&gt;0,"S","N")</f>
        <v>N</v>
      </c>
      <c r="AH165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51" s="55" t="str">
        <f>IF(ESTIMATIVA[[#This Row],[TP_CULTIVO]]="Irrigado",_xlfn.MAXIFS(IRRIGADO!J:J,IRRIGADO!C:C,ESTIMATIVA[[#This Row],[CD_UPNIVEL1]],IRRIGADO!E:E,ESTIMATIVA[[#This Row],[CD_UPNIVEL3]]),"")</f>
        <v/>
      </c>
      <c r="AJ165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51" s="1">
        <f>COUNTIFS(Apresentação!$E$23:$E$29,ESTIMATIVA[[#This Row],[CD_UPNIVEL1]])</f>
        <v>0</v>
      </c>
    </row>
    <row r="1652" spans="1:37" x14ac:dyDescent="0.3">
      <c r="A1652">
        <v>20592</v>
      </c>
      <c r="B1652" t="s">
        <v>155</v>
      </c>
      <c r="C1652">
        <v>3</v>
      </c>
      <c r="D1652">
        <v>4</v>
      </c>
      <c r="E1652" t="s">
        <v>265</v>
      </c>
      <c r="F1652" s="85" t="s">
        <v>329</v>
      </c>
      <c r="G1652"/>
      <c r="H1652" t="s">
        <v>294</v>
      </c>
      <c r="I1652" t="s">
        <v>212</v>
      </c>
      <c r="J1652" t="s">
        <v>176</v>
      </c>
      <c r="K1652" s="1">
        <v>16.489999999999998</v>
      </c>
      <c r="L1652" s="1">
        <v>16.489999999999998</v>
      </c>
      <c r="M1652" s="1">
        <v>16.489999999999998</v>
      </c>
      <c r="N1652" s="1">
        <v>16.489999999999998</v>
      </c>
      <c r="O1652" s="1">
        <v>1022.38</v>
      </c>
      <c r="P1652" s="1">
        <v>1055.3599999999999</v>
      </c>
      <c r="Q1652" s="1">
        <v>1055.3599999999999</v>
      </c>
      <c r="R1652" s="1">
        <v>1207.3399999999999</v>
      </c>
      <c r="S1652" t="s">
        <v>12</v>
      </c>
      <c r="T1652" s="13">
        <v>45935</v>
      </c>
      <c r="U1652" s="1" t="str">
        <f>IF(ESTIMATIVA[[#This Row],[QT_AREA_REAL]]&gt;0,"1- Colhido","2- à Colher")</f>
        <v>1- Colhido</v>
      </c>
      <c r="V1652" s="1" t="str">
        <f>IF(ESTIMATIVA[[#This Row],[QT_AREA_REST1]]&gt;0,"Reestimativa 1",IF(ESTIMATIVA[[#This Row],[QT_AREA_REAL]]=0,"Reestimativa 1","Realizado"))</f>
        <v>Reestimativa 1</v>
      </c>
      <c r="W1652" s="1" t="str">
        <f>IF(ESTIMATIVA[[#This Row],[QT_AREA_REST2]]&gt;0,"Reestimativa 2",IF(ESTIMATIVA[[#This Row],[QT_AREA_REAL]]=0,"Reestimativa 2","Realizado"))</f>
        <v>Reestimativa 2</v>
      </c>
      <c r="X1652" s="1">
        <f>ESTIMATIVA[[#This Row],[QT_AREA_EST]]</f>
        <v>16.489999999999998</v>
      </c>
      <c r="Y1652" s="1">
        <f>IF(ESTIMATIVA[[#This Row],[QT_AREA_REST1]]&gt;0,ESTIMATIVA[[#This Row],[QT_AREA_REST1]],
  IF(ESTIMATIVA[[#This Row],[QT_AREA_REAL]]&gt;0,ESTIMATIVA[[#This Row],[QT_AREA_REAL]],ESTIMATIVA[[#This Row],[QT_AREA_EST]]))</f>
        <v>16.489999999999998</v>
      </c>
      <c r="Z165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16.489999999999998</v>
      </c>
      <c r="AA1652" s="1">
        <f>ESTIMATIVA[[#This Row],[QT_CANA_EST]]</f>
        <v>1022.38</v>
      </c>
      <c r="AB1652" s="1">
        <f>IF(ESTIMATIVA[[#This Row],[QT_CANA_REST1]]&gt;0,ESTIMATIVA[[#This Row],[QT_CANA_REST1]],
  IF(ESTIMATIVA[[#This Row],[QT_CANA_REAL]]&gt;0,ESTIMATIVA[[#This Row],[QT_CANA_REAL]],ESTIMATIVA[[#This Row],[QT_CANA_EST]]))</f>
        <v>1055.3599999999999</v>
      </c>
      <c r="AC165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1055.3599999999999</v>
      </c>
      <c r="AD1652" s="1">
        <f>IF(ESTIMATIVA[[#This Row],[QT_AREA_REAL]]&gt;0,ESTIMATIVA[[#This Row],[QT_CANA_REAL]],ESTIMATIVA[[#This Row],[QT_CANA_EST]])</f>
        <v>1207.3399999999999</v>
      </c>
      <c r="AE1652" s="1">
        <f>IF(ESTIMATIVA[[#This Row],[QT_AREA_REAL]]&gt;0,ESTIMATIVA[[#This Row],[QT_CANA_REAL]],ESTIMATIVA[[#This Row],[QT_CANA_REST1]])</f>
        <v>1207.3399999999999</v>
      </c>
      <c r="AF1652" s="1">
        <f>IF(ESTIMATIVA[[#This Row],[QT_AREA_REAL]]&gt;0,ESTIMATIVA[[#This Row],[QT_CANA_REAL]],ESTIMATIVA[[#This Row],[QT_CANA_REST2]])</f>
        <v>1207.3399999999999</v>
      </c>
      <c r="AG1652" s="1" t="str">
        <f>IF(COUNTIFS(GEADA!A:A,VALUE(ESTIMATIVA[[#This Row],[CD_UPNIVEL1]]&amp;TEXT(ESTIMATIVA[[#This Row],[CD_UPNIVEL3]],"0000")))&gt;0,"S","N")</f>
        <v>N</v>
      </c>
      <c r="AH1652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652" s="55">
        <f>IF(ESTIMATIVA[[#This Row],[TP_CULTIVO]]="Irrigado",_xlfn.MAXIFS(IRRIGADO!J:J,IRRIGADO!C:C,ESTIMATIVA[[#This Row],[CD_UPNIVEL1]],IRRIGADO!E:E,ESTIMATIVA[[#This Row],[CD_UPNIVEL3]]),"")</f>
        <v>45626</v>
      </c>
      <c r="AJ1652" s="1">
        <f>IF(ESTIMATIVA[[#This Row],[TP_CULTIVO]]&lt;&gt;"Irrigado",0,AVERAGEIFS(IRRIGADO!G:G,IRRIGADO!C:C,ESTIMATIVA[[#This Row],[CD_UPNIVEL1]],IRRIGADO!E:E,ESTIMATIVA[[#This Row],[CD_UPNIVEL3]])*ESTIMATIVA[[#This Row],[QT_AREA_REAL]])</f>
        <v>263.83999999999997</v>
      </c>
      <c r="AK1652" s="1">
        <f>COUNTIFS(Apresentação!$E$23:$E$29,ESTIMATIVA[[#This Row],[CD_UPNIVEL1]])</f>
        <v>0</v>
      </c>
    </row>
    <row r="1653" spans="1:37" x14ac:dyDescent="0.3">
      <c r="A1653">
        <v>20592</v>
      </c>
      <c r="B1653" t="s">
        <v>155</v>
      </c>
      <c r="C1653">
        <v>4</v>
      </c>
      <c r="D1653">
        <v>4</v>
      </c>
      <c r="E1653" t="s">
        <v>265</v>
      </c>
      <c r="F1653" s="85" t="s">
        <v>329</v>
      </c>
      <c r="G1653"/>
      <c r="H1653" t="s">
        <v>294</v>
      </c>
      <c r="I1653" t="s">
        <v>194</v>
      </c>
      <c r="J1653" t="s">
        <v>176</v>
      </c>
      <c r="K1653" s="1">
        <v>12.39</v>
      </c>
      <c r="L1653" s="1">
        <v>12.39</v>
      </c>
      <c r="M1653" s="1">
        <v>12.39</v>
      </c>
      <c r="N1653" s="1">
        <v>12.39</v>
      </c>
      <c r="O1653" s="1">
        <v>743.4</v>
      </c>
      <c r="P1653" s="1">
        <v>792.96</v>
      </c>
      <c r="Q1653" s="1">
        <v>792.96</v>
      </c>
      <c r="R1653" s="1">
        <v>907.47</v>
      </c>
      <c r="S1653" t="s">
        <v>12</v>
      </c>
      <c r="T1653" s="13">
        <v>45935</v>
      </c>
      <c r="U1653" s="1" t="str">
        <f>IF(ESTIMATIVA[[#This Row],[QT_AREA_REAL]]&gt;0,"1- Colhido","2- à Colher")</f>
        <v>1- Colhido</v>
      </c>
      <c r="V1653" s="1" t="str">
        <f>IF(ESTIMATIVA[[#This Row],[QT_AREA_REST1]]&gt;0,"Reestimativa 1",IF(ESTIMATIVA[[#This Row],[QT_AREA_REAL]]=0,"Reestimativa 1","Realizado"))</f>
        <v>Reestimativa 1</v>
      </c>
      <c r="W1653" s="1" t="str">
        <f>IF(ESTIMATIVA[[#This Row],[QT_AREA_REST2]]&gt;0,"Reestimativa 2",IF(ESTIMATIVA[[#This Row],[QT_AREA_REAL]]=0,"Reestimativa 2","Realizado"))</f>
        <v>Reestimativa 2</v>
      </c>
      <c r="X1653" s="1">
        <f>ESTIMATIVA[[#This Row],[QT_AREA_EST]]</f>
        <v>12.39</v>
      </c>
      <c r="Y1653" s="1">
        <f>IF(ESTIMATIVA[[#This Row],[QT_AREA_REST1]]&gt;0,ESTIMATIVA[[#This Row],[QT_AREA_REST1]],
  IF(ESTIMATIVA[[#This Row],[QT_AREA_REAL]]&gt;0,ESTIMATIVA[[#This Row],[QT_AREA_REAL]],ESTIMATIVA[[#This Row],[QT_AREA_EST]]))</f>
        <v>12.39</v>
      </c>
      <c r="Z165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12.39</v>
      </c>
      <c r="AA1653" s="1">
        <f>ESTIMATIVA[[#This Row],[QT_CANA_EST]]</f>
        <v>743.4</v>
      </c>
      <c r="AB1653" s="1">
        <f>IF(ESTIMATIVA[[#This Row],[QT_CANA_REST1]]&gt;0,ESTIMATIVA[[#This Row],[QT_CANA_REST1]],
  IF(ESTIMATIVA[[#This Row],[QT_CANA_REAL]]&gt;0,ESTIMATIVA[[#This Row],[QT_CANA_REAL]],ESTIMATIVA[[#This Row],[QT_CANA_EST]]))</f>
        <v>792.96</v>
      </c>
      <c r="AC165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792.96</v>
      </c>
      <c r="AD1653" s="1">
        <f>IF(ESTIMATIVA[[#This Row],[QT_AREA_REAL]]&gt;0,ESTIMATIVA[[#This Row],[QT_CANA_REAL]],ESTIMATIVA[[#This Row],[QT_CANA_EST]])</f>
        <v>907.47</v>
      </c>
      <c r="AE1653" s="1">
        <f>IF(ESTIMATIVA[[#This Row],[QT_AREA_REAL]]&gt;0,ESTIMATIVA[[#This Row],[QT_CANA_REAL]],ESTIMATIVA[[#This Row],[QT_CANA_REST1]])</f>
        <v>907.47</v>
      </c>
      <c r="AF1653" s="1">
        <f>IF(ESTIMATIVA[[#This Row],[QT_AREA_REAL]]&gt;0,ESTIMATIVA[[#This Row],[QT_CANA_REAL]],ESTIMATIVA[[#This Row],[QT_CANA_REST2]])</f>
        <v>907.47</v>
      </c>
      <c r="AG1653" s="1" t="str">
        <f>IF(COUNTIFS(GEADA!A:A,VALUE(ESTIMATIVA[[#This Row],[CD_UPNIVEL1]]&amp;TEXT(ESTIMATIVA[[#This Row],[CD_UPNIVEL3]],"0000")))&gt;0,"S","N")</f>
        <v>N</v>
      </c>
      <c r="AH1653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653" s="55">
        <f>IF(ESTIMATIVA[[#This Row],[TP_CULTIVO]]="Irrigado",_xlfn.MAXIFS(IRRIGADO!J:J,IRRIGADO!C:C,ESTIMATIVA[[#This Row],[CD_UPNIVEL1]],IRRIGADO!E:E,ESTIMATIVA[[#This Row],[CD_UPNIVEL3]]),"")</f>
        <v>45626</v>
      </c>
      <c r="AJ1653" s="1">
        <f>IF(ESTIMATIVA[[#This Row],[TP_CULTIVO]]&lt;&gt;"Irrigado",0,AVERAGEIFS(IRRIGADO!G:G,IRRIGADO!C:C,ESTIMATIVA[[#This Row],[CD_UPNIVEL1]],IRRIGADO!E:E,ESTIMATIVA[[#This Row],[CD_UPNIVEL3]])*ESTIMATIVA[[#This Row],[QT_AREA_REAL]])</f>
        <v>198.24</v>
      </c>
      <c r="AK1653" s="1">
        <f>COUNTIFS(Apresentação!$E$23:$E$29,ESTIMATIVA[[#This Row],[CD_UPNIVEL1]])</f>
        <v>0</v>
      </c>
    </row>
    <row r="1654" spans="1:37" x14ac:dyDescent="0.3">
      <c r="A1654">
        <v>20592</v>
      </c>
      <c r="B1654" t="s">
        <v>155</v>
      </c>
      <c r="C1654">
        <v>5</v>
      </c>
      <c r="D1654">
        <v>4</v>
      </c>
      <c r="E1654" t="s">
        <v>265</v>
      </c>
      <c r="F1654" s="85" t="s">
        <v>329</v>
      </c>
      <c r="G1654"/>
      <c r="H1654" t="s">
        <v>294</v>
      </c>
      <c r="I1654" t="s">
        <v>212</v>
      </c>
      <c r="J1654" t="s">
        <v>176</v>
      </c>
      <c r="K1654" s="1">
        <v>1.04</v>
      </c>
      <c r="L1654" s="1">
        <v>1.04</v>
      </c>
      <c r="M1654" s="1">
        <v>1.04</v>
      </c>
      <c r="N1654" s="1">
        <v>1.04</v>
      </c>
      <c r="O1654" s="1">
        <v>62.4</v>
      </c>
      <c r="P1654" s="1">
        <v>66.56</v>
      </c>
      <c r="Q1654" s="1">
        <v>66.56</v>
      </c>
      <c r="R1654" s="1">
        <v>82.75</v>
      </c>
      <c r="S1654" t="s">
        <v>12</v>
      </c>
      <c r="T1654" s="13">
        <v>45935</v>
      </c>
      <c r="U1654" s="1" t="str">
        <f>IF(ESTIMATIVA[[#This Row],[QT_AREA_REAL]]&gt;0,"1- Colhido","2- à Colher")</f>
        <v>1- Colhido</v>
      </c>
      <c r="V1654" s="1" t="str">
        <f>IF(ESTIMATIVA[[#This Row],[QT_AREA_REST1]]&gt;0,"Reestimativa 1",IF(ESTIMATIVA[[#This Row],[QT_AREA_REAL]]=0,"Reestimativa 1","Realizado"))</f>
        <v>Reestimativa 1</v>
      </c>
      <c r="W1654" s="1" t="str">
        <f>IF(ESTIMATIVA[[#This Row],[QT_AREA_REST2]]&gt;0,"Reestimativa 2",IF(ESTIMATIVA[[#This Row],[QT_AREA_REAL]]=0,"Reestimativa 2","Realizado"))</f>
        <v>Reestimativa 2</v>
      </c>
      <c r="X1654" s="1">
        <f>ESTIMATIVA[[#This Row],[QT_AREA_EST]]</f>
        <v>1.04</v>
      </c>
      <c r="Y1654" s="1">
        <f>IF(ESTIMATIVA[[#This Row],[QT_AREA_REST1]]&gt;0,ESTIMATIVA[[#This Row],[QT_AREA_REST1]],
  IF(ESTIMATIVA[[#This Row],[QT_AREA_REAL]]&gt;0,ESTIMATIVA[[#This Row],[QT_AREA_REAL]],ESTIMATIVA[[#This Row],[QT_AREA_EST]]))</f>
        <v>1.04</v>
      </c>
      <c r="Z165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1.04</v>
      </c>
      <c r="AA1654" s="1">
        <f>ESTIMATIVA[[#This Row],[QT_CANA_EST]]</f>
        <v>62.4</v>
      </c>
      <c r="AB1654" s="1">
        <f>IF(ESTIMATIVA[[#This Row],[QT_CANA_REST1]]&gt;0,ESTIMATIVA[[#This Row],[QT_CANA_REST1]],
  IF(ESTIMATIVA[[#This Row],[QT_CANA_REAL]]&gt;0,ESTIMATIVA[[#This Row],[QT_CANA_REAL]],ESTIMATIVA[[#This Row],[QT_CANA_EST]]))</f>
        <v>66.56</v>
      </c>
      <c r="AC165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66.56</v>
      </c>
      <c r="AD1654" s="1">
        <f>IF(ESTIMATIVA[[#This Row],[QT_AREA_REAL]]&gt;0,ESTIMATIVA[[#This Row],[QT_CANA_REAL]],ESTIMATIVA[[#This Row],[QT_CANA_EST]])</f>
        <v>82.75</v>
      </c>
      <c r="AE1654" s="1">
        <f>IF(ESTIMATIVA[[#This Row],[QT_AREA_REAL]]&gt;0,ESTIMATIVA[[#This Row],[QT_CANA_REAL]],ESTIMATIVA[[#This Row],[QT_CANA_REST1]])</f>
        <v>82.75</v>
      </c>
      <c r="AF1654" s="1">
        <f>IF(ESTIMATIVA[[#This Row],[QT_AREA_REAL]]&gt;0,ESTIMATIVA[[#This Row],[QT_CANA_REAL]],ESTIMATIVA[[#This Row],[QT_CANA_REST2]])</f>
        <v>82.75</v>
      </c>
      <c r="AG1654" s="1" t="str">
        <f>IF(COUNTIFS(GEADA!A:A,VALUE(ESTIMATIVA[[#This Row],[CD_UPNIVEL1]]&amp;TEXT(ESTIMATIVA[[#This Row],[CD_UPNIVEL3]],"0000")))&gt;0,"S","N")</f>
        <v>N</v>
      </c>
      <c r="AH165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54" s="55" t="str">
        <f>IF(ESTIMATIVA[[#This Row],[TP_CULTIVO]]="Irrigado",_xlfn.MAXIFS(IRRIGADO!J:J,IRRIGADO!C:C,ESTIMATIVA[[#This Row],[CD_UPNIVEL1]],IRRIGADO!E:E,ESTIMATIVA[[#This Row],[CD_UPNIVEL3]]),"")</f>
        <v/>
      </c>
      <c r="AJ165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54" s="1">
        <f>COUNTIFS(Apresentação!$E$23:$E$29,ESTIMATIVA[[#This Row],[CD_UPNIVEL1]])</f>
        <v>0</v>
      </c>
    </row>
    <row r="1655" spans="1:37" x14ac:dyDescent="0.3">
      <c r="A1655">
        <v>20592</v>
      </c>
      <c r="B1655" t="s">
        <v>155</v>
      </c>
      <c r="C1655">
        <v>6</v>
      </c>
      <c r="D1655">
        <v>3</v>
      </c>
      <c r="E1655" t="s">
        <v>263</v>
      </c>
      <c r="F1655" s="85" t="s">
        <v>329</v>
      </c>
      <c r="G1655"/>
      <c r="H1655" t="s">
        <v>294</v>
      </c>
      <c r="I1655" t="s">
        <v>212</v>
      </c>
      <c r="J1655" t="s">
        <v>176</v>
      </c>
      <c r="K1655" s="1">
        <v>2.5099999999999998</v>
      </c>
      <c r="L1655" s="1">
        <v>2.5099999999999998</v>
      </c>
      <c r="M1655" s="1">
        <v>2.5099999999999998</v>
      </c>
      <c r="N1655" s="1">
        <v>2.5099999999999998</v>
      </c>
      <c r="O1655" s="1">
        <v>210.84</v>
      </c>
      <c r="P1655" s="1">
        <v>210.84</v>
      </c>
      <c r="Q1655" s="1">
        <v>210.84</v>
      </c>
      <c r="R1655" s="1">
        <v>260.77</v>
      </c>
      <c r="S1655" t="s">
        <v>12</v>
      </c>
      <c r="T1655" s="13">
        <v>45935</v>
      </c>
      <c r="U1655" s="1" t="str">
        <f>IF(ESTIMATIVA[[#This Row],[QT_AREA_REAL]]&gt;0,"1- Colhido","2- à Colher")</f>
        <v>1- Colhido</v>
      </c>
      <c r="V1655" s="1" t="str">
        <f>IF(ESTIMATIVA[[#This Row],[QT_AREA_REST1]]&gt;0,"Reestimativa 1",IF(ESTIMATIVA[[#This Row],[QT_AREA_REAL]]=0,"Reestimativa 1","Realizado"))</f>
        <v>Reestimativa 1</v>
      </c>
      <c r="W1655" s="1" t="str">
        <f>IF(ESTIMATIVA[[#This Row],[QT_AREA_REST2]]&gt;0,"Reestimativa 2",IF(ESTIMATIVA[[#This Row],[QT_AREA_REAL]]=0,"Reestimativa 2","Realizado"))</f>
        <v>Reestimativa 2</v>
      </c>
      <c r="X1655" s="1">
        <f>ESTIMATIVA[[#This Row],[QT_AREA_EST]]</f>
        <v>2.5099999999999998</v>
      </c>
      <c r="Y1655" s="1">
        <f>IF(ESTIMATIVA[[#This Row],[QT_AREA_REST1]]&gt;0,ESTIMATIVA[[#This Row],[QT_AREA_REST1]],
  IF(ESTIMATIVA[[#This Row],[QT_AREA_REAL]]&gt;0,ESTIMATIVA[[#This Row],[QT_AREA_REAL]],ESTIMATIVA[[#This Row],[QT_AREA_EST]]))</f>
        <v>2.5099999999999998</v>
      </c>
      <c r="Z165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2.5099999999999998</v>
      </c>
      <c r="AA1655" s="1">
        <f>ESTIMATIVA[[#This Row],[QT_CANA_EST]]</f>
        <v>210.84</v>
      </c>
      <c r="AB1655" s="1">
        <f>IF(ESTIMATIVA[[#This Row],[QT_CANA_REST1]]&gt;0,ESTIMATIVA[[#This Row],[QT_CANA_REST1]],
  IF(ESTIMATIVA[[#This Row],[QT_CANA_REAL]]&gt;0,ESTIMATIVA[[#This Row],[QT_CANA_REAL]],ESTIMATIVA[[#This Row],[QT_CANA_EST]]))</f>
        <v>210.84</v>
      </c>
      <c r="AC165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210.84</v>
      </c>
      <c r="AD1655" s="1">
        <f>IF(ESTIMATIVA[[#This Row],[QT_AREA_REAL]]&gt;0,ESTIMATIVA[[#This Row],[QT_CANA_REAL]],ESTIMATIVA[[#This Row],[QT_CANA_EST]])</f>
        <v>260.77</v>
      </c>
      <c r="AE1655" s="1">
        <f>IF(ESTIMATIVA[[#This Row],[QT_AREA_REAL]]&gt;0,ESTIMATIVA[[#This Row],[QT_CANA_REAL]],ESTIMATIVA[[#This Row],[QT_CANA_REST1]])</f>
        <v>260.77</v>
      </c>
      <c r="AF1655" s="1">
        <f>IF(ESTIMATIVA[[#This Row],[QT_AREA_REAL]]&gt;0,ESTIMATIVA[[#This Row],[QT_CANA_REAL]],ESTIMATIVA[[#This Row],[QT_CANA_REST2]])</f>
        <v>260.77</v>
      </c>
      <c r="AG1655" s="1" t="str">
        <f>IF(COUNTIFS(GEADA!A:A,VALUE(ESTIMATIVA[[#This Row],[CD_UPNIVEL1]]&amp;TEXT(ESTIMATIVA[[#This Row],[CD_UPNIVEL3]],"0000")))&gt;0,"S","N")</f>
        <v>N</v>
      </c>
      <c r="AH165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55" s="55" t="str">
        <f>IF(ESTIMATIVA[[#This Row],[TP_CULTIVO]]="Irrigado",_xlfn.MAXIFS(IRRIGADO!J:J,IRRIGADO!C:C,ESTIMATIVA[[#This Row],[CD_UPNIVEL1]],IRRIGADO!E:E,ESTIMATIVA[[#This Row],[CD_UPNIVEL3]]),"")</f>
        <v/>
      </c>
      <c r="AJ165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55" s="1">
        <f>COUNTIFS(Apresentação!$E$23:$E$29,ESTIMATIVA[[#This Row],[CD_UPNIVEL1]])</f>
        <v>0</v>
      </c>
    </row>
    <row r="1656" spans="1:37" x14ac:dyDescent="0.3">
      <c r="A1656">
        <v>20592</v>
      </c>
      <c r="B1656" t="s">
        <v>155</v>
      </c>
      <c r="C1656">
        <v>7</v>
      </c>
      <c r="D1656">
        <v>3</v>
      </c>
      <c r="E1656" t="s">
        <v>263</v>
      </c>
      <c r="F1656" s="85" t="s">
        <v>329</v>
      </c>
      <c r="G1656"/>
      <c r="H1656" t="s">
        <v>294</v>
      </c>
      <c r="I1656" t="s">
        <v>212</v>
      </c>
      <c r="J1656" t="s">
        <v>176</v>
      </c>
      <c r="K1656" s="1">
        <v>18.78</v>
      </c>
      <c r="L1656" s="1">
        <v>18.78</v>
      </c>
      <c r="M1656" s="1">
        <v>18.78</v>
      </c>
      <c r="N1656" s="1">
        <v>18.78</v>
      </c>
      <c r="O1656" s="1">
        <v>1577.52</v>
      </c>
      <c r="P1656" s="1">
        <v>1577.52</v>
      </c>
      <c r="Q1656" s="1">
        <v>1577.52</v>
      </c>
      <c r="R1656" s="1">
        <v>1950.63</v>
      </c>
      <c r="S1656" t="s">
        <v>12</v>
      </c>
      <c r="T1656" s="13">
        <v>45935</v>
      </c>
      <c r="U1656" s="1" t="str">
        <f>IF(ESTIMATIVA[[#This Row],[QT_AREA_REAL]]&gt;0,"1- Colhido","2- à Colher")</f>
        <v>1- Colhido</v>
      </c>
      <c r="V1656" s="1" t="str">
        <f>IF(ESTIMATIVA[[#This Row],[QT_AREA_REST1]]&gt;0,"Reestimativa 1",IF(ESTIMATIVA[[#This Row],[QT_AREA_REAL]]=0,"Reestimativa 1","Realizado"))</f>
        <v>Reestimativa 1</v>
      </c>
      <c r="W1656" s="1" t="str">
        <f>IF(ESTIMATIVA[[#This Row],[QT_AREA_REST2]]&gt;0,"Reestimativa 2",IF(ESTIMATIVA[[#This Row],[QT_AREA_REAL]]=0,"Reestimativa 2","Realizado"))</f>
        <v>Reestimativa 2</v>
      </c>
      <c r="X1656" s="1">
        <f>ESTIMATIVA[[#This Row],[QT_AREA_EST]]</f>
        <v>18.78</v>
      </c>
      <c r="Y1656" s="1">
        <f>IF(ESTIMATIVA[[#This Row],[QT_AREA_REST1]]&gt;0,ESTIMATIVA[[#This Row],[QT_AREA_REST1]],
  IF(ESTIMATIVA[[#This Row],[QT_AREA_REAL]]&gt;0,ESTIMATIVA[[#This Row],[QT_AREA_REAL]],ESTIMATIVA[[#This Row],[QT_AREA_EST]]))</f>
        <v>18.78</v>
      </c>
      <c r="Z165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18.78</v>
      </c>
      <c r="AA1656" s="1">
        <f>ESTIMATIVA[[#This Row],[QT_CANA_EST]]</f>
        <v>1577.52</v>
      </c>
      <c r="AB1656" s="1">
        <f>IF(ESTIMATIVA[[#This Row],[QT_CANA_REST1]]&gt;0,ESTIMATIVA[[#This Row],[QT_CANA_REST1]],
  IF(ESTIMATIVA[[#This Row],[QT_CANA_REAL]]&gt;0,ESTIMATIVA[[#This Row],[QT_CANA_REAL]],ESTIMATIVA[[#This Row],[QT_CANA_EST]]))</f>
        <v>1577.52</v>
      </c>
      <c r="AC165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1577.52</v>
      </c>
      <c r="AD1656" s="1">
        <f>IF(ESTIMATIVA[[#This Row],[QT_AREA_REAL]]&gt;0,ESTIMATIVA[[#This Row],[QT_CANA_REAL]],ESTIMATIVA[[#This Row],[QT_CANA_EST]])</f>
        <v>1950.63</v>
      </c>
      <c r="AE1656" s="1">
        <f>IF(ESTIMATIVA[[#This Row],[QT_AREA_REAL]]&gt;0,ESTIMATIVA[[#This Row],[QT_CANA_REAL]],ESTIMATIVA[[#This Row],[QT_CANA_REST1]])</f>
        <v>1950.63</v>
      </c>
      <c r="AF1656" s="1">
        <f>IF(ESTIMATIVA[[#This Row],[QT_AREA_REAL]]&gt;0,ESTIMATIVA[[#This Row],[QT_CANA_REAL]],ESTIMATIVA[[#This Row],[QT_CANA_REST2]])</f>
        <v>1950.63</v>
      </c>
      <c r="AG1656" s="1" t="str">
        <f>IF(COUNTIFS(GEADA!A:A,VALUE(ESTIMATIVA[[#This Row],[CD_UPNIVEL1]]&amp;TEXT(ESTIMATIVA[[#This Row],[CD_UPNIVEL3]],"0000")))&gt;0,"S","N")</f>
        <v>N</v>
      </c>
      <c r="AH165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56" s="55" t="str">
        <f>IF(ESTIMATIVA[[#This Row],[TP_CULTIVO]]="Irrigado",_xlfn.MAXIFS(IRRIGADO!J:J,IRRIGADO!C:C,ESTIMATIVA[[#This Row],[CD_UPNIVEL1]],IRRIGADO!E:E,ESTIMATIVA[[#This Row],[CD_UPNIVEL3]]),"")</f>
        <v/>
      </c>
      <c r="AJ165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56" s="1">
        <f>COUNTIFS(Apresentação!$E$23:$E$29,ESTIMATIVA[[#This Row],[CD_UPNIVEL1]])</f>
        <v>0</v>
      </c>
    </row>
    <row r="1657" spans="1:37" x14ac:dyDescent="0.3">
      <c r="A1657">
        <v>20592</v>
      </c>
      <c r="B1657" t="s">
        <v>155</v>
      </c>
      <c r="C1657">
        <v>8</v>
      </c>
      <c r="D1657">
        <v>4</v>
      </c>
      <c r="E1657" t="s">
        <v>265</v>
      </c>
      <c r="F1657" s="85" t="s">
        <v>329</v>
      </c>
      <c r="G1657"/>
      <c r="H1657" t="s">
        <v>294</v>
      </c>
      <c r="I1657" t="s">
        <v>194</v>
      </c>
      <c r="J1657" t="s">
        <v>176</v>
      </c>
      <c r="K1657" s="1">
        <v>26.66</v>
      </c>
      <c r="L1657" s="1">
        <v>26.66</v>
      </c>
      <c r="M1657" s="1">
        <v>26.66</v>
      </c>
      <c r="N1657" s="1">
        <v>26.66</v>
      </c>
      <c r="O1657" s="1">
        <v>1892.86</v>
      </c>
      <c r="P1657" s="1">
        <v>1892.86</v>
      </c>
      <c r="Q1657" s="1">
        <v>1892.86</v>
      </c>
      <c r="R1657" s="1">
        <v>2166.46</v>
      </c>
      <c r="S1657" t="s">
        <v>12</v>
      </c>
      <c r="T1657" s="13">
        <v>45935</v>
      </c>
      <c r="U1657" s="1" t="str">
        <f>IF(ESTIMATIVA[[#This Row],[QT_AREA_REAL]]&gt;0,"1- Colhido","2- à Colher")</f>
        <v>1- Colhido</v>
      </c>
      <c r="V1657" s="1" t="str">
        <f>IF(ESTIMATIVA[[#This Row],[QT_AREA_REST1]]&gt;0,"Reestimativa 1",IF(ESTIMATIVA[[#This Row],[QT_AREA_REAL]]=0,"Reestimativa 1","Realizado"))</f>
        <v>Reestimativa 1</v>
      </c>
      <c r="W1657" s="1" t="str">
        <f>IF(ESTIMATIVA[[#This Row],[QT_AREA_REST2]]&gt;0,"Reestimativa 2",IF(ESTIMATIVA[[#This Row],[QT_AREA_REAL]]=0,"Reestimativa 2","Realizado"))</f>
        <v>Reestimativa 2</v>
      </c>
      <c r="X1657" s="1">
        <f>ESTIMATIVA[[#This Row],[QT_AREA_EST]]</f>
        <v>26.66</v>
      </c>
      <c r="Y1657" s="1">
        <f>IF(ESTIMATIVA[[#This Row],[QT_AREA_REST1]]&gt;0,ESTIMATIVA[[#This Row],[QT_AREA_REST1]],
  IF(ESTIMATIVA[[#This Row],[QT_AREA_REAL]]&gt;0,ESTIMATIVA[[#This Row],[QT_AREA_REAL]],ESTIMATIVA[[#This Row],[QT_AREA_EST]]))</f>
        <v>26.66</v>
      </c>
      <c r="Z165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26.66</v>
      </c>
      <c r="AA1657" s="1">
        <f>ESTIMATIVA[[#This Row],[QT_CANA_EST]]</f>
        <v>1892.86</v>
      </c>
      <c r="AB1657" s="1">
        <f>IF(ESTIMATIVA[[#This Row],[QT_CANA_REST1]]&gt;0,ESTIMATIVA[[#This Row],[QT_CANA_REST1]],
  IF(ESTIMATIVA[[#This Row],[QT_CANA_REAL]]&gt;0,ESTIMATIVA[[#This Row],[QT_CANA_REAL]],ESTIMATIVA[[#This Row],[QT_CANA_EST]]))</f>
        <v>1892.86</v>
      </c>
      <c r="AC165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1892.86</v>
      </c>
      <c r="AD1657" s="1">
        <f>IF(ESTIMATIVA[[#This Row],[QT_AREA_REAL]]&gt;0,ESTIMATIVA[[#This Row],[QT_CANA_REAL]],ESTIMATIVA[[#This Row],[QT_CANA_EST]])</f>
        <v>2166.46</v>
      </c>
      <c r="AE1657" s="1">
        <f>IF(ESTIMATIVA[[#This Row],[QT_AREA_REAL]]&gt;0,ESTIMATIVA[[#This Row],[QT_CANA_REAL]],ESTIMATIVA[[#This Row],[QT_CANA_REST1]])</f>
        <v>2166.46</v>
      </c>
      <c r="AF1657" s="1">
        <f>IF(ESTIMATIVA[[#This Row],[QT_AREA_REAL]]&gt;0,ESTIMATIVA[[#This Row],[QT_CANA_REAL]],ESTIMATIVA[[#This Row],[QT_CANA_REST2]])</f>
        <v>2166.46</v>
      </c>
      <c r="AG1657" s="1" t="str">
        <f>IF(COUNTIFS(GEADA!A:A,VALUE(ESTIMATIVA[[#This Row],[CD_UPNIVEL1]]&amp;TEXT(ESTIMATIVA[[#This Row],[CD_UPNIVEL3]],"0000")))&gt;0,"S","N")</f>
        <v>N</v>
      </c>
      <c r="AH165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57" s="55" t="str">
        <f>IF(ESTIMATIVA[[#This Row],[TP_CULTIVO]]="Irrigado",_xlfn.MAXIFS(IRRIGADO!J:J,IRRIGADO!C:C,ESTIMATIVA[[#This Row],[CD_UPNIVEL1]],IRRIGADO!E:E,ESTIMATIVA[[#This Row],[CD_UPNIVEL3]]),"")</f>
        <v/>
      </c>
      <c r="AJ165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57" s="1">
        <f>COUNTIFS(Apresentação!$E$23:$E$29,ESTIMATIVA[[#This Row],[CD_UPNIVEL1]])</f>
        <v>0</v>
      </c>
    </row>
    <row r="1658" spans="1:37" x14ac:dyDescent="0.3">
      <c r="A1658">
        <v>20592</v>
      </c>
      <c r="B1658" t="s">
        <v>155</v>
      </c>
      <c r="C1658">
        <v>9</v>
      </c>
      <c r="D1658">
        <v>4</v>
      </c>
      <c r="E1658" t="s">
        <v>265</v>
      </c>
      <c r="F1658" s="85" t="s">
        <v>332</v>
      </c>
      <c r="G1658"/>
      <c r="H1658" t="s">
        <v>294</v>
      </c>
      <c r="I1658" t="s">
        <v>194</v>
      </c>
      <c r="J1658" t="s">
        <v>176</v>
      </c>
      <c r="K1658" s="1">
        <v>7.63</v>
      </c>
      <c r="L1658" s="1">
        <v>7.63</v>
      </c>
      <c r="M1658" s="1">
        <v>7.63</v>
      </c>
      <c r="N1658" s="1">
        <v>7.63</v>
      </c>
      <c r="O1658" s="1">
        <v>541.73</v>
      </c>
      <c r="P1658" s="1">
        <v>541.73</v>
      </c>
      <c r="Q1658" s="1">
        <v>541.73</v>
      </c>
      <c r="R1658" s="1">
        <v>549.75</v>
      </c>
      <c r="S1658" t="s">
        <v>12</v>
      </c>
      <c r="T1658" s="13">
        <v>45942</v>
      </c>
      <c r="U1658" s="1" t="str">
        <f>IF(ESTIMATIVA[[#This Row],[QT_AREA_REAL]]&gt;0,"1- Colhido","2- à Colher")</f>
        <v>1- Colhido</v>
      </c>
      <c r="V1658" s="1" t="str">
        <f>IF(ESTIMATIVA[[#This Row],[QT_AREA_REST1]]&gt;0,"Reestimativa 1",IF(ESTIMATIVA[[#This Row],[QT_AREA_REAL]]=0,"Reestimativa 1","Realizado"))</f>
        <v>Reestimativa 1</v>
      </c>
      <c r="W1658" s="1" t="str">
        <f>IF(ESTIMATIVA[[#This Row],[QT_AREA_REST2]]&gt;0,"Reestimativa 2",IF(ESTIMATIVA[[#This Row],[QT_AREA_REAL]]=0,"Reestimativa 2","Realizado"))</f>
        <v>Reestimativa 2</v>
      </c>
      <c r="X1658" s="1">
        <f>ESTIMATIVA[[#This Row],[QT_AREA_EST]]</f>
        <v>7.63</v>
      </c>
      <c r="Y1658" s="1">
        <f>IF(ESTIMATIVA[[#This Row],[QT_AREA_REST1]]&gt;0,ESTIMATIVA[[#This Row],[QT_AREA_REST1]],
  IF(ESTIMATIVA[[#This Row],[QT_AREA_REAL]]&gt;0,ESTIMATIVA[[#This Row],[QT_AREA_REAL]],ESTIMATIVA[[#This Row],[QT_AREA_EST]]))</f>
        <v>7.63</v>
      </c>
      <c r="Z165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7.63</v>
      </c>
      <c r="AA1658" s="1">
        <f>ESTIMATIVA[[#This Row],[QT_CANA_EST]]</f>
        <v>541.73</v>
      </c>
      <c r="AB1658" s="1">
        <f>IF(ESTIMATIVA[[#This Row],[QT_CANA_REST1]]&gt;0,ESTIMATIVA[[#This Row],[QT_CANA_REST1]],
  IF(ESTIMATIVA[[#This Row],[QT_CANA_REAL]]&gt;0,ESTIMATIVA[[#This Row],[QT_CANA_REAL]],ESTIMATIVA[[#This Row],[QT_CANA_EST]]))</f>
        <v>541.73</v>
      </c>
      <c r="AC165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541.73</v>
      </c>
      <c r="AD1658" s="1">
        <f>IF(ESTIMATIVA[[#This Row],[QT_AREA_REAL]]&gt;0,ESTIMATIVA[[#This Row],[QT_CANA_REAL]],ESTIMATIVA[[#This Row],[QT_CANA_EST]])</f>
        <v>549.75</v>
      </c>
      <c r="AE1658" s="1">
        <f>IF(ESTIMATIVA[[#This Row],[QT_AREA_REAL]]&gt;0,ESTIMATIVA[[#This Row],[QT_CANA_REAL]],ESTIMATIVA[[#This Row],[QT_CANA_REST1]])</f>
        <v>549.75</v>
      </c>
      <c r="AF1658" s="1">
        <f>IF(ESTIMATIVA[[#This Row],[QT_AREA_REAL]]&gt;0,ESTIMATIVA[[#This Row],[QT_CANA_REAL]],ESTIMATIVA[[#This Row],[QT_CANA_REST2]])</f>
        <v>549.75</v>
      </c>
      <c r="AG1658" s="1" t="str">
        <f>IF(COUNTIFS(GEADA!A:A,VALUE(ESTIMATIVA[[#This Row],[CD_UPNIVEL1]]&amp;TEXT(ESTIMATIVA[[#This Row],[CD_UPNIVEL3]],"0000")))&gt;0,"S","N")</f>
        <v>N</v>
      </c>
      <c r="AH165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58" s="55" t="str">
        <f>IF(ESTIMATIVA[[#This Row],[TP_CULTIVO]]="Irrigado",_xlfn.MAXIFS(IRRIGADO!J:J,IRRIGADO!C:C,ESTIMATIVA[[#This Row],[CD_UPNIVEL1]],IRRIGADO!E:E,ESTIMATIVA[[#This Row],[CD_UPNIVEL3]]),"")</f>
        <v/>
      </c>
      <c r="AJ165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58" s="1">
        <f>COUNTIFS(Apresentação!$E$23:$E$29,ESTIMATIVA[[#This Row],[CD_UPNIVEL1]])</f>
        <v>0</v>
      </c>
    </row>
    <row r="1659" spans="1:37" x14ac:dyDescent="0.3">
      <c r="A1659">
        <v>20592</v>
      </c>
      <c r="B1659" t="s">
        <v>155</v>
      </c>
      <c r="C1659">
        <v>10</v>
      </c>
      <c r="D1659">
        <v>3</v>
      </c>
      <c r="E1659" t="s">
        <v>263</v>
      </c>
      <c r="F1659" s="85" t="s">
        <v>332</v>
      </c>
      <c r="G1659"/>
      <c r="H1659" t="s">
        <v>294</v>
      </c>
      <c r="I1659" t="s">
        <v>212</v>
      </c>
      <c r="J1659" t="s">
        <v>176</v>
      </c>
      <c r="K1659" s="1">
        <v>22.73</v>
      </c>
      <c r="L1659" s="1">
        <v>22.73</v>
      </c>
      <c r="M1659" s="1">
        <v>22.73</v>
      </c>
      <c r="N1659" s="1">
        <v>22.73</v>
      </c>
      <c r="O1659" s="1">
        <v>1909.32</v>
      </c>
      <c r="P1659" s="1">
        <v>1909.32</v>
      </c>
      <c r="Q1659" s="1">
        <v>1909.32</v>
      </c>
      <c r="R1659" s="1">
        <v>1936.5</v>
      </c>
      <c r="S1659" t="s">
        <v>12</v>
      </c>
      <c r="T1659" s="13">
        <v>45942</v>
      </c>
      <c r="U1659" s="1" t="str">
        <f>IF(ESTIMATIVA[[#This Row],[QT_AREA_REAL]]&gt;0,"1- Colhido","2- à Colher")</f>
        <v>1- Colhido</v>
      </c>
      <c r="V1659" s="1" t="str">
        <f>IF(ESTIMATIVA[[#This Row],[QT_AREA_REST1]]&gt;0,"Reestimativa 1",IF(ESTIMATIVA[[#This Row],[QT_AREA_REAL]]=0,"Reestimativa 1","Realizado"))</f>
        <v>Reestimativa 1</v>
      </c>
      <c r="W1659" s="1" t="str">
        <f>IF(ESTIMATIVA[[#This Row],[QT_AREA_REST2]]&gt;0,"Reestimativa 2",IF(ESTIMATIVA[[#This Row],[QT_AREA_REAL]]=0,"Reestimativa 2","Realizado"))</f>
        <v>Reestimativa 2</v>
      </c>
      <c r="X1659" s="1">
        <f>ESTIMATIVA[[#This Row],[QT_AREA_EST]]</f>
        <v>22.73</v>
      </c>
      <c r="Y1659" s="1">
        <f>IF(ESTIMATIVA[[#This Row],[QT_AREA_REST1]]&gt;0,ESTIMATIVA[[#This Row],[QT_AREA_REST1]],
  IF(ESTIMATIVA[[#This Row],[QT_AREA_REAL]]&gt;0,ESTIMATIVA[[#This Row],[QT_AREA_REAL]],ESTIMATIVA[[#This Row],[QT_AREA_EST]]))</f>
        <v>22.73</v>
      </c>
      <c r="Z165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22.73</v>
      </c>
      <c r="AA1659" s="1">
        <f>ESTIMATIVA[[#This Row],[QT_CANA_EST]]</f>
        <v>1909.32</v>
      </c>
      <c r="AB1659" s="1">
        <f>IF(ESTIMATIVA[[#This Row],[QT_CANA_REST1]]&gt;0,ESTIMATIVA[[#This Row],[QT_CANA_REST1]],
  IF(ESTIMATIVA[[#This Row],[QT_CANA_REAL]]&gt;0,ESTIMATIVA[[#This Row],[QT_CANA_REAL]],ESTIMATIVA[[#This Row],[QT_CANA_EST]]))</f>
        <v>1909.32</v>
      </c>
      <c r="AC165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1909.32</v>
      </c>
      <c r="AD1659" s="1">
        <f>IF(ESTIMATIVA[[#This Row],[QT_AREA_REAL]]&gt;0,ESTIMATIVA[[#This Row],[QT_CANA_REAL]],ESTIMATIVA[[#This Row],[QT_CANA_EST]])</f>
        <v>1936.5</v>
      </c>
      <c r="AE1659" s="1">
        <f>IF(ESTIMATIVA[[#This Row],[QT_AREA_REAL]]&gt;0,ESTIMATIVA[[#This Row],[QT_CANA_REAL]],ESTIMATIVA[[#This Row],[QT_CANA_REST1]])</f>
        <v>1936.5</v>
      </c>
      <c r="AF1659" s="1">
        <f>IF(ESTIMATIVA[[#This Row],[QT_AREA_REAL]]&gt;0,ESTIMATIVA[[#This Row],[QT_CANA_REAL]],ESTIMATIVA[[#This Row],[QT_CANA_REST2]])</f>
        <v>1936.5</v>
      </c>
      <c r="AG1659" s="1" t="str">
        <f>IF(COUNTIFS(GEADA!A:A,VALUE(ESTIMATIVA[[#This Row],[CD_UPNIVEL1]]&amp;TEXT(ESTIMATIVA[[#This Row],[CD_UPNIVEL3]],"0000")))&gt;0,"S","N")</f>
        <v>N</v>
      </c>
      <c r="AH165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59" s="55" t="str">
        <f>IF(ESTIMATIVA[[#This Row],[TP_CULTIVO]]="Irrigado",_xlfn.MAXIFS(IRRIGADO!J:J,IRRIGADO!C:C,ESTIMATIVA[[#This Row],[CD_UPNIVEL1]],IRRIGADO!E:E,ESTIMATIVA[[#This Row],[CD_UPNIVEL3]]),"")</f>
        <v/>
      </c>
      <c r="AJ165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59" s="1">
        <f>COUNTIFS(Apresentação!$E$23:$E$29,ESTIMATIVA[[#This Row],[CD_UPNIVEL1]])</f>
        <v>0</v>
      </c>
    </row>
    <row r="1660" spans="1:37" x14ac:dyDescent="0.3">
      <c r="A1660">
        <v>20592</v>
      </c>
      <c r="B1660" t="s">
        <v>155</v>
      </c>
      <c r="C1660">
        <v>15</v>
      </c>
      <c r="D1660">
        <v>6</v>
      </c>
      <c r="E1660" t="s">
        <v>261</v>
      </c>
      <c r="F1660" s="85" t="s">
        <v>331</v>
      </c>
      <c r="G1660"/>
      <c r="H1660" t="s">
        <v>294</v>
      </c>
      <c r="I1660" t="s">
        <v>194</v>
      </c>
      <c r="J1660" t="s">
        <v>176</v>
      </c>
      <c r="K1660" s="1">
        <v>7.23</v>
      </c>
      <c r="L1660" s="1">
        <v>7.23</v>
      </c>
      <c r="M1660" s="1">
        <v>7.23</v>
      </c>
      <c r="N1660" s="1">
        <v>7.23</v>
      </c>
      <c r="O1660" s="1">
        <v>325.35000000000002</v>
      </c>
      <c r="P1660" s="1">
        <v>332.58</v>
      </c>
      <c r="Q1660" s="1">
        <v>332.58</v>
      </c>
      <c r="R1660" s="1">
        <v>337.73</v>
      </c>
      <c r="S1660" t="s">
        <v>12</v>
      </c>
      <c r="T1660" s="13">
        <v>45942</v>
      </c>
      <c r="U1660" s="1" t="str">
        <f>IF(ESTIMATIVA[[#This Row],[QT_AREA_REAL]]&gt;0,"1- Colhido","2- à Colher")</f>
        <v>1- Colhido</v>
      </c>
      <c r="V1660" s="1" t="str">
        <f>IF(ESTIMATIVA[[#This Row],[QT_AREA_REST1]]&gt;0,"Reestimativa 1",IF(ESTIMATIVA[[#This Row],[QT_AREA_REAL]]=0,"Reestimativa 1","Realizado"))</f>
        <v>Reestimativa 1</v>
      </c>
      <c r="W1660" s="1" t="str">
        <f>IF(ESTIMATIVA[[#This Row],[QT_AREA_REST2]]&gt;0,"Reestimativa 2",IF(ESTIMATIVA[[#This Row],[QT_AREA_REAL]]=0,"Reestimativa 2","Realizado"))</f>
        <v>Reestimativa 2</v>
      </c>
      <c r="X1660" s="1">
        <f>ESTIMATIVA[[#This Row],[QT_AREA_EST]]</f>
        <v>7.23</v>
      </c>
      <c r="Y1660" s="1">
        <f>IF(ESTIMATIVA[[#This Row],[QT_AREA_REST1]]&gt;0,ESTIMATIVA[[#This Row],[QT_AREA_REST1]],
  IF(ESTIMATIVA[[#This Row],[QT_AREA_REAL]]&gt;0,ESTIMATIVA[[#This Row],[QT_AREA_REAL]],ESTIMATIVA[[#This Row],[QT_AREA_EST]]))</f>
        <v>7.23</v>
      </c>
      <c r="Z166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7.23</v>
      </c>
      <c r="AA1660" s="1">
        <f>ESTIMATIVA[[#This Row],[QT_CANA_EST]]</f>
        <v>325.35000000000002</v>
      </c>
      <c r="AB1660" s="1">
        <f>IF(ESTIMATIVA[[#This Row],[QT_CANA_REST1]]&gt;0,ESTIMATIVA[[#This Row],[QT_CANA_REST1]],
  IF(ESTIMATIVA[[#This Row],[QT_CANA_REAL]]&gt;0,ESTIMATIVA[[#This Row],[QT_CANA_REAL]],ESTIMATIVA[[#This Row],[QT_CANA_EST]]))</f>
        <v>332.58</v>
      </c>
      <c r="AC166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332.58</v>
      </c>
      <c r="AD1660" s="1">
        <f>IF(ESTIMATIVA[[#This Row],[QT_AREA_REAL]]&gt;0,ESTIMATIVA[[#This Row],[QT_CANA_REAL]],ESTIMATIVA[[#This Row],[QT_CANA_EST]])</f>
        <v>337.73</v>
      </c>
      <c r="AE1660" s="1">
        <f>IF(ESTIMATIVA[[#This Row],[QT_AREA_REAL]]&gt;0,ESTIMATIVA[[#This Row],[QT_CANA_REAL]],ESTIMATIVA[[#This Row],[QT_CANA_REST1]])</f>
        <v>337.73</v>
      </c>
      <c r="AF1660" s="1">
        <f>IF(ESTIMATIVA[[#This Row],[QT_AREA_REAL]]&gt;0,ESTIMATIVA[[#This Row],[QT_CANA_REAL]],ESTIMATIVA[[#This Row],[QT_CANA_REST2]])</f>
        <v>337.73</v>
      </c>
      <c r="AG1660" s="1" t="str">
        <f>IF(COUNTIFS(GEADA!A:A,VALUE(ESTIMATIVA[[#This Row],[CD_UPNIVEL1]]&amp;TEXT(ESTIMATIVA[[#This Row],[CD_UPNIVEL3]],"0000")))&gt;0,"S","N")</f>
        <v>N</v>
      </c>
      <c r="AH166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60" s="55" t="str">
        <f>IF(ESTIMATIVA[[#This Row],[TP_CULTIVO]]="Irrigado",_xlfn.MAXIFS(IRRIGADO!J:J,IRRIGADO!C:C,ESTIMATIVA[[#This Row],[CD_UPNIVEL1]],IRRIGADO!E:E,ESTIMATIVA[[#This Row],[CD_UPNIVEL3]]),"")</f>
        <v/>
      </c>
      <c r="AJ166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60" s="1">
        <f>COUNTIFS(Apresentação!$E$23:$E$29,ESTIMATIVA[[#This Row],[CD_UPNIVEL1]])</f>
        <v>0</v>
      </c>
    </row>
    <row r="1661" spans="1:37" x14ac:dyDescent="0.3">
      <c r="A1661">
        <v>20592</v>
      </c>
      <c r="B1661" t="s">
        <v>155</v>
      </c>
      <c r="C1661">
        <v>16</v>
      </c>
      <c r="D1661">
        <v>6</v>
      </c>
      <c r="E1661" t="s">
        <v>261</v>
      </c>
      <c r="F1661" s="85" t="s">
        <v>331</v>
      </c>
      <c r="G1661"/>
      <c r="H1661" t="s">
        <v>294</v>
      </c>
      <c r="I1661" t="s">
        <v>194</v>
      </c>
      <c r="J1661" t="s">
        <v>176</v>
      </c>
      <c r="K1661" s="1">
        <v>6.4</v>
      </c>
      <c r="L1661" s="1">
        <v>6.4</v>
      </c>
      <c r="M1661" s="1">
        <v>6.4</v>
      </c>
      <c r="N1661" s="1">
        <v>6.4</v>
      </c>
      <c r="O1661" s="1">
        <v>288</v>
      </c>
      <c r="P1661" s="1">
        <v>294.39999999999998</v>
      </c>
      <c r="Q1661" s="1">
        <v>294.39999999999998</v>
      </c>
      <c r="R1661" s="1">
        <v>298.17</v>
      </c>
      <c r="S1661" t="s">
        <v>12</v>
      </c>
      <c r="T1661" s="13">
        <v>45942</v>
      </c>
      <c r="U1661" s="1" t="str">
        <f>IF(ESTIMATIVA[[#This Row],[QT_AREA_REAL]]&gt;0,"1- Colhido","2- à Colher")</f>
        <v>1- Colhido</v>
      </c>
      <c r="V1661" s="1" t="str">
        <f>IF(ESTIMATIVA[[#This Row],[QT_AREA_REST1]]&gt;0,"Reestimativa 1",IF(ESTIMATIVA[[#This Row],[QT_AREA_REAL]]=0,"Reestimativa 1","Realizado"))</f>
        <v>Reestimativa 1</v>
      </c>
      <c r="W1661" s="1" t="str">
        <f>IF(ESTIMATIVA[[#This Row],[QT_AREA_REST2]]&gt;0,"Reestimativa 2",IF(ESTIMATIVA[[#This Row],[QT_AREA_REAL]]=0,"Reestimativa 2","Realizado"))</f>
        <v>Reestimativa 2</v>
      </c>
      <c r="X1661" s="1">
        <f>ESTIMATIVA[[#This Row],[QT_AREA_EST]]</f>
        <v>6.4</v>
      </c>
      <c r="Y1661" s="1">
        <f>IF(ESTIMATIVA[[#This Row],[QT_AREA_REST1]]&gt;0,ESTIMATIVA[[#This Row],[QT_AREA_REST1]],
  IF(ESTIMATIVA[[#This Row],[QT_AREA_REAL]]&gt;0,ESTIMATIVA[[#This Row],[QT_AREA_REAL]],ESTIMATIVA[[#This Row],[QT_AREA_EST]]))</f>
        <v>6.4</v>
      </c>
      <c r="Z166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6.4</v>
      </c>
      <c r="AA1661" s="1">
        <f>ESTIMATIVA[[#This Row],[QT_CANA_EST]]</f>
        <v>288</v>
      </c>
      <c r="AB1661" s="1">
        <f>IF(ESTIMATIVA[[#This Row],[QT_CANA_REST1]]&gt;0,ESTIMATIVA[[#This Row],[QT_CANA_REST1]],
  IF(ESTIMATIVA[[#This Row],[QT_CANA_REAL]]&gt;0,ESTIMATIVA[[#This Row],[QT_CANA_REAL]],ESTIMATIVA[[#This Row],[QT_CANA_EST]]))</f>
        <v>294.39999999999998</v>
      </c>
      <c r="AC166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294.39999999999998</v>
      </c>
      <c r="AD1661" s="1">
        <f>IF(ESTIMATIVA[[#This Row],[QT_AREA_REAL]]&gt;0,ESTIMATIVA[[#This Row],[QT_CANA_REAL]],ESTIMATIVA[[#This Row],[QT_CANA_EST]])</f>
        <v>298.17</v>
      </c>
      <c r="AE1661" s="1">
        <f>IF(ESTIMATIVA[[#This Row],[QT_AREA_REAL]]&gt;0,ESTIMATIVA[[#This Row],[QT_CANA_REAL]],ESTIMATIVA[[#This Row],[QT_CANA_REST1]])</f>
        <v>298.17</v>
      </c>
      <c r="AF1661" s="1">
        <f>IF(ESTIMATIVA[[#This Row],[QT_AREA_REAL]]&gt;0,ESTIMATIVA[[#This Row],[QT_CANA_REAL]],ESTIMATIVA[[#This Row],[QT_CANA_REST2]])</f>
        <v>298.17</v>
      </c>
      <c r="AG1661" s="1" t="str">
        <f>IF(COUNTIFS(GEADA!A:A,VALUE(ESTIMATIVA[[#This Row],[CD_UPNIVEL1]]&amp;TEXT(ESTIMATIVA[[#This Row],[CD_UPNIVEL3]],"0000")))&gt;0,"S","N")</f>
        <v>N</v>
      </c>
      <c r="AH166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61" s="55" t="str">
        <f>IF(ESTIMATIVA[[#This Row],[TP_CULTIVO]]="Irrigado",_xlfn.MAXIFS(IRRIGADO!J:J,IRRIGADO!C:C,ESTIMATIVA[[#This Row],[CD_UPNIVEL1]],IRRIGADO!E:E,ESTIMATIVA[[#This Row],[CD_UPNIVEL3]]),"")</f>
        <v/>
      </c>
      <c r="AJ166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61" s="1">
        <f>COUNTIFS(Apresentação!$E$23:$E$29,ESTIMATIVA[[#This Row],[CD_UPNIVEL1]])</f>
        <v>0</v>
      </c>
    </row>
    <row r="1662" spans="1:37" x14ac:dyDescent="0.3">
      <c r="A1662">
        <v>20592</v>
      </c>
      <c r="B1662" t="s">
        <v>155</v>
      </c>
      <c r="C1662">
        <v>17</v>
      </c>
      <c r="D1662">
        <v>6</v>
      </c>
      <c r="E1662" t="s">
        <v>261</v>
      </c>
      <c r="F1662" s="85" t="s">
        <v>331</v>
      </c>
      <c r="G1662"/>
      <c r="H1662" t="s">
        <v>294</v>
      </c>
      <c r="I1662" t="s">
        <v>194</v>
      </c>
      <c r="J1662" t="s">
        <v>176</v>
      </c>
      <c r="K1662" s="1">
        <v>14.31</v>
      </c>
      <c r="L1662" s="1">
        <v>14.31</v>
      </c>
      <c r="M1662" s="1">
        <v>14.31</v>
      </c>
      <c r="N1662" s="1">
        <v>14.31</v>
      </c>
      <c r="O1662" s="1">
        <v>643.95000000000005</v>
      </c>
      <c r="P1662" s="1">
        <v>658.26</v>
      </c>
      <c r="Q1662" s="1">
        <v>658.26</v>
      </c>
      <c r="R1662" s="1">
        <v>667.44</v>
      </c>
      <c r="S1662" t="s">
        <v>12</v>
      </c>
      <c r="T1662" s="13">
        <v>45942</v>
      </c>
      <c r="U1662" s="1" t="str">
        <f>IF(ESTIMATIVA[[#This Row],[QT_AREA_REAL]]&gt;0,"1- Colhido","2- à Colher")</f>
        <v>1- Colhido</v>
      </c>
      <c r="V1662" s="1" t="str">
        <f>IF(ESTIMATIVA[[#This Row],[QT_AREA_REST1]]&gt;0,"Reestimativa 1",IF(ESTIMATIVA[[#This Row],[QT_AREA_REAL]]=0,"Reestimativa 1","Realizado"))</f>
        <v>Reestimativa 1</v>
      </c>
      <c r="W1662" s="1" t="str">
        <f>IF(ESTIMATIVA[[#This Row],[QT_AREA_REST2]]&gt;0,"Reestimativa 2",IF(ESTIMATIVA[[#This Row],[QT_AREA_REAL]]=0,"Reestimativa 2","Realizado"))</f>
        <v>Reestimativa 2</v>
      </c>
      <c r="X1662" s="1">
        <f>ESTIMATIVA[[#This Row],[QT_AREA_EST]]</f>
        <v>14.31</v>
      </c>
      <c r="Y1662" s="1">
        <f>IF(ESTIMATIVA[[#This Row],[QT_AREA_REST1]]&gt;0,ESTIMATIVA[[#This Row],[QT_AREA_REST1]],
  IF(ESTIMATIVA[[#This Row],[QT_AREA_REAL]]&gt;0,ESTIMATIVA[[#This Row],[QT_AREA_REAL]],ESTIMATIVA[[#This Row],[QT_AREA_EST]]))</f>
        <v>14.31</v>
      </c>
      <c r="Z166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14.31</v>
      </c>
      <c r="AA1662" s="1">
        <f>ESTIMATIVA[[#This Row],[QT_CANA_EST]]</f>
        <v>643.95000000000005</v>
      </c>
      <c r="AB1662" s="1">
        <f>IF(ESTIMATIVA[[#This Row],[QT_CANA_REST1]]&gt;0,ESTIMATIVA[[#This Row],[QT_CANA_REST1]],
  IF(ESTIMATIVA[[#This Row],[QT_CANA_REAL]]&gt;0,ESTIMATIVA[[#This Row],[QT_CANA_REAL]],ESTIMATIVA[[#This Row],[QT_CANA_EST]]))</f>
        <v>658.26</v>
      </c>
      <c r="AC166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658.26</v>
      </c>
      <c r="AD1662" s="1">
        <f>IF(ESTIMATIVA[[#This Row],[QT_AREA_REAL]]&gt;0,ESTIMATIVA[[#This Row],[QT_CANA_REAL]],ESTIMATIVA[[#This Row],[QT_CANA_EST]])</f>
        <v>667.44</v>
      </c>
      <c r="AE1662" s="1">
        <f>IF(ESTIMATIVA[[#This Row],[QT_AREA_REAL]]&gt;0,ESTIMATIVA[[#This Row],[QT_CANA_REAL]],ESTIMATIVA[[#This Row],[QT_CANA_REST1]])</f>
        <v>667.44</v>
      </c>
      <c r="AF1662" s="1">
        <f>IF(ESTIMATIVA[[#This Row],[QT_AREA_REAL]]&gt;0,ESTIMATIVA[[#This Row],[QT_CANA_REAL]],ESTIMATIVA[[#This Row],[QT_CANA_REST2]])</f>
        <v>667.44</v>
      </c>
      <c r="AG1662" s="1" t="str">
        <f>IF(COUNTIFS(GEADA!A:A,VALUE(ESTIMATIVA[[#This Row],[CD_UPNIVEL1]]&amp;TEXT(ESTIMATIVA[[#This Row],[CD_UPNIVEL3]],"0000")))&gt;0,"S","N")</f>
        <v>N</v>
      </c>
      <c r="AH166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62" s="55" t="str">
        <f>IF(ESTIMATIVA[[#This Row],[TP_CULTIVO]]="Irrigado",_xlfn.MAXIFS(IRRIGADO!J:J,IRRIGADO!C:C,ESTIMATIVA[[#This Row],[CD_UPNIVEL1]],IRRIGADO!E:E,ESTIMATIVA[[#This Row],[CD_UPNIVEL3]]),"")</f>
        <v/>
      </c>
      <c r="AJ166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62" s="1">
        <f>COUNTIFS(Apresentação!$E$23:$E$29,ESTIMATIVA[[#This Row],[CD_UPNIVEL1]])</f>
        <v>0</v>
      </c>
    </row>
    <row r="1663" spans="1:37" x14ac:dyDescent="0.3">
      <c r="A1663">
        <v>20592</v>
      </c>
      <c r="B1663" t="s">
        <v>155</v>
      </c>
      <c r="C1663">
        <v>18</v>
      </c>
      <c r="D1663">
        <v>6</v>
      </c>
      <c r="E1663" t="s">
        <v>261</v>
      </c>
      <c r="F1663" s="85" t="s">
        <v>331</v>
      </c>
      <c r="G1663"/>
      <c r="H1663" t="s">
        <v>294</v>
      </c>
      <c r="I1663" t="s">
        <v>194</v>
      </c>
      <c r="J1663" t="s">
        <v>176</v>
      </c>
      <c r="K1663" s="1">
        <v>13.97</v>
      </c>
      <c r="L1663" s="1">
        <v>13.97</v>
      </c>
      <c r="M1663" s="1">
        <v>13.97</v>
      </c>
      <c r="N1663" s="1">
        <v>13.97</v>
      </c>
      <c r="O1663" s="1">
        <v>628.65</v>
      </c>
      <c r="P1663" s="1">
        <v>642.62</v>
      </c>
      <c r="Q1663" s="1">
        <v>642.62</v>
      </c>
      <c r="R1663" s="1">
        <v>652.22</v>
      </c>
      <c r="S1663" t="s">
        <v>12</v>
      </c>
      <c r="T1663" s="13">
        <v>45942</v>
      </c>
      <c r="U1663" s="1" t="str">
        <f>IF(ESTIMATIVA[[#This Row],[QT_AREA_REAL]]&gt;0,"1- Colhido","2- à Colher")</f>
        <v>1- Colhido</v>
      </c>
      <c r="V1663" s="1" t="str">
        <f>IF(ESTIMATIVA[[#This Row],[QT_AREA_REST1]]&gt;0,"Reestimativa 1",IF(ESTIMATIVA[[#This Row],[QT_AREA_REAL]]=0,"Reestimativa 1","Realizado"))</f>
        <v>Reestimativa 1</v>
      </c>
      <c r="W1663" s="1" t="str">
        <f>IF(ESTIMATIVA[[#This Row],[QT_AREA_REST2]]&gt;0,"Reestimativa 2",IF(ESTIMATIVA[[#This Row],[QT_AREA_REAL]]=0,"Reestimativa 2","Realizado"))</f>
        <v>Reestimativa 2</v>
      </c>
      <c r="X1663" s="1">
        <f>ESTIMATIVA[[#This Row],[QT_AREA_EST]]</f>
        <v>13.97</v>
      </c>
      <c r="Y1663" s="1">
        <f>IF(ESTIMATIVA[[#This Row],[QT_AREA_REST1]]&gt;0,ESTIMATIVA[[#This Row],[QT_AREA_REST1]],
  IF(ESTIMATIVA[[#This Row],[QT_AREA_REAL]]&gt;0,ESTIMATIVA[[#This Row],[QT_AREA_REAL]],ESTIMATIVA[[#This Row],[QT_AREA_EST]]))</f>
        <v>13.97</v>
      </c>
      <c r="Z166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13.97</v>
      </c>
      <c r="AA1663" s="1">
        <f>ESTIMATIVA[[#This Row],[QT_CANA_EST]]</f>
        <v>628.65</v>
      </c>
      <c r="AB1663" s="1">
        <f>IF(ESTIMATIVA[[#This Row],[QT_CANA_REST1]]&gt;0,ESTIMATIVA[[#This Row],[QT_CANA_REST1]],
  IF(ESTIMATIVA[[#This Row],[QT_CANA_REAL]]&gt;0,ESTIMATIVA[[#This Row],[QT_CANA_REAL]],ESTIMATIVA[[#This Row],[QT_CANA_EST]]))</f>
        <v>642.62</v>
      </c>
      <c r="AC166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642.62</v>
      </c>
      <c r="AD1663" s="1">
        <f>IF(ESTIMATIVA[[#This Row],[QT_AREA_REAL]]&gt;0,ESTIMATIVA[[#This Row],[QT_CANA_REAL]],ESTIMATIVA[[#This Row],[QT_CANA_EST]])</f>
        <v>652.22</v>
      </c>
      <c r="AE1663" s="1">
        <f>IF(ESTIMATIVA[[#This Row],[QT_AREA_REAL]]&gt;0,ESTIMATIVA[[#This Row],[QT_CANA_REAL]],ESTIMATIVA[[#This Row],[QT_CANA_REST1]])</f>
        <v>652.22</v>
      </c>
      <c r="AF1663" s="1">
        <f>IF(ESTIMATIVA[[#This Row],[QT_AREA_REAL]]&gt;0,ESTIMATIVA[[#This Row],[QT_CANA_REAL]],ESTIMATIVA[[#This Row],[QT_CANA_REST2]])</f>
        <v>652.22</v>
      </c>
      <c r="AG1663" s="1" t="str">
        <f>IF(COUNTIFS(GEADA!A:A,VALUE(ESTIMATIVA[[#This Row],[CD_UPNIVEL1]]&amp;TEXT(ESTIMATIVA[[#This Row],[CD_UPNIVEL3]],"0000")))&gt;0,"S","N")</f>
        <v>N</v>
      </c>
      <c r="AH166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63" s="55" t="str">
        <f>IF(ESTIMATIVA[[#This Row],[TP_CULTIVO]]="Irrigado",_xlfn.MAXIFS(IRRIGADO!J:J,IRRIGADO!C:C,ESTIMATIVA[[#This Row],[CD_UPNIVEL1]],IRRIGADO!E:E,ESTIMATIVA[[#This Row],[CD_UPNIVEL3]]),"")</f>
        <v/>
      </c>
      <c r="AJ166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63" s="1">
        <f>COUNTIFS(Apresentação!$E$23:$E$29,ESTIMATIVA[[#This Row],[CD_UPNIVEL1]])</f>
        <v>0</v>
      </c>
    </row>
    <row r="1664" spans="1:37" x14ac:dyDescent="0.3">
      <c r="A1664">
        <v>20592</v>
      </c>
      <c r="B1664" t="s">
        <v>155</v>
      </c>
      <c r="C1664">
        <v>19</v>
      </c>
      <c r="D1664">
        <v>4</v>
      </c>
      <c r="E1664" t="s">
        <v>265</v>
      </c>
      <c r="F1664" s="85" t="s">
        <v>329</v>
      </c>
      <c r="G1664"/>
      <c r="H1664" t="s">
        <v>294</v>
      </c>
      <c r="I1664" t="s">
        <v>194</v>
      </c>
      <c r="J1664" t="s">
        <v>176</v>
      </c>
      <c r="K1664" s="1">
        <v>50.37</v>
      </c>
      <c r="L1664" s="1">
        <v>50.37</v>
      </c>
      <c r="M1664" s="1">
        <v>50.37</v>
      </c>
      <c r="N1664" s="1">
        <v>50.37</v>
      </c>
      <c r="O1664" s="1">
        <v>3928.86</v>
      </c>
      <c r="P1664" s="1">
        <v>3928.86</v>
      </c>
      <c r="Q1664" s="1">
        <v>3928.86</v>
      </c>
      <c r="R1664" s="1">
        <v>4497.47</v>
      </c>
      <c r="S1664" t="s">
        <v>12</v>
      </c>
      <c r="T1664" s="13">
        <v>45935</v>
      </c>
      <c r="U1664" s="1" t="str">
        <f>IF(ESTIMATIVA[[#This Row],[QT_AREA_REAL]]&gt;0,"1- Colhido","2- à Colher")</f>
        <v>1- Colhido</v>
      </c>
      <c r="V1664" s="1" t="str">
        <f>IF(ESTIMATIVA[[#This Row],[QT_AREA_REST1]]&gt;0,"Reestimativa 1",IF(ESTIMATIVA[[#This Row],[QT_AREA_REAL]]=0,"Reestimativa 1","Realizado"))</f>
        <v>Reestimativa 1</v>
      </c>
      <c r="W1664" s="1" t="str">
        <f>IF(ESTIMATIVA[[#This Row],[QT_AREA_REST2]]&gt;0,"Reestimativa 2",IF(ESTIMATIVA[[#This Row],[QT_AREA_REAL]]=0,"Reestimativa 2","Realizado"))</f>
        <v>Reestimativa 2</v>
      </c>
      <c r="X1664" s="1">
        <f>ESTIMATIVA[[#This Row],[QT_AREA_EST]]</f>
        <v>50.37</v>
      </c>
      <c r="Y1664" s="1">
        <f>IF(ESTIMATIVA[[#This Row],[QT_AREA_REST1]]&gt;0,ESTIMATIVA[[#This Row],[QT_AREA_REST1]],
  IF(ESTIMATIVA[[#This Row],[QT_AREA_REAL]]&gt;0,ESTIMATIVA[[#This Row],[QT_AREA_REAL]],ESTIMATIVA[[#This Row],[QT_AREA_EST]]))</f>
        <v>50.37</v>
      </c>
      <c r="Z166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50.37</v>
      </c>
      <c r="AA1664" s="1">
        <f>ESTIMATIVA[[#This Row],[QT_CANA_EST]]</f>
        <v>3928.86</v>
      </c>
      <c r="AB1664" s="1">
        <f>IF(ESTIMATIVA[[#This Row],[QT_CANA_REST1]]&gt;0,ESTIMATIVA[[#This Row],[QT_CANA_REST1]],
  IF(ESTIMATIVA[[#This Row],[QT_CANA_REAL]]&gt;0,ESTIMATIVA[[#This Row],[QT_CANA_REAL]],ESTIMATIVA[[#This Row],[QT_CANA_EST]]))</f>
        <v>3928.86</v>
      </c>
      <c r="AC166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3928.86</v>
      </c>
      <c r="AD1664" s="1">
        <f>IF(ESTIMATIVA[[#This Row],[QT_AREA_REAL]]&gt;0,ESTIMATIVA[[#This Row],[QT_CANA_REAL]],ESTIMATIVA[[#This Row],[QT_CANA_EST]])</f>
        <v>4497.47</v>
      </c>
      <c r="AE1664" s="1">
        <f>IF(ESTIMATIVA[[#This Row],[QT_AREA_REAL]]&gt;0,ESTIMATIVA[[#This Row],[QT_CANA_REAL]],ESTIMATIVA[[#This Row],[QT_CANA_REST1]])</f>
        <v>4497.47</v>
      </c>
      <c r="AF1664" s="1">
        <f>IF(ESTIMATIVA[[#This Row],[QT_AREA_REAL]]&gt;0,ESTIMATIVA[[#This Row],[QT_CANA_REAL]],ESTIMATIVA[[#This Row],[QT_CANA_REST2]])</f>
        <v>4497.47</v>
      </c>
      <c r="AG1664" s="1" t="str">
        <f>IF(COUNTIFS(GEADA!A:A,VALUE(ESTIMATIVA[[#This Row],[CD_UPNIVEL1]]&amp;TEXT(ESTIMATIVA[[#This Row],[CD_UPNIVEL3]],"0000")))&gt;0,"S","N")</f>
        <v>N</v>
      </c>
      <c r="AH166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64" s="55" t="str">
        <f>IF(ESTIMATIVA[[#This Row],[TP_CULTIVO]]="Irrigado",_xlfn.MAXIFS(IRRIGADO!J:J,IRRIGADO!C:C,ESTIMATIVA[[#This Row],[CD_UPNIVEL1]],IRRIGADO!E:E,ESTIMATIVA[[#This Row],[CD_UPNIVEL3]]),"")</f>
        <v/>
      </c>
      <c r="AJ166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64" s="1">
        <f>COUNTIFS(Apresentação!$E$23:$E$29,ESTIMATIVA[[#This Row],[CD_UPNIVEL1]])</f>
        <v>0</v>
      </c>
    </row>
    <row r="1665" spans="1:37" x14ac:dyDescent="0.3">
      <c r="A1665">
        <v>20592</v>
      </c>
      <c r="B1665" t="s">
        <v>155</v>
      </c>
      <c r="C1665">
        <v>20</v>
      </c>
      <c r="D1665">
        <v>6</v>
      </c>
      <c r="E1665" t="s">
        <v>261</v>
      </c>
      <c r="F1665" s="85" t="s">
        <v>332</v>
      </c>
      <c r="G1665"/>
      <c r="H1665" t="s">
        <v>294</v>
      </c>
      <c r="I1665" t="s">
        <v>194</v>
      </c>
      <c r="J1665" t="s">
        <v>176</v>
      </c>
      <c r="K1665" s="1">
        <v>48.29</v>
      </c>
      <c r="L1665" s="1">
        <v>48.29</v>
      </c>
      <c r="M1665" s="1">
        <v>48.29</v>
      </c>
      <c r="N1665" s="1">
        <v>48.29</v>
      </c>
      <c r="O1665" s="1">
        <v>2173.0500000000002</v>
      </c>
      <c r="P1665" s="1">
        <v>2221.34</v>
      </c>
      <c r="Q1665" s="1">
        <v>2221.34</v>
      </c>
      <c r="R1665" s="1">
        <v>3806.21</v>
      </c>
      <c r="S1665" t="s">
        <v>12</v>
      </c>
      <c r="T1665" s="13">
        <v>45935</v>
      </c>
      <c r="U1665" s="1" t="str">
        <f>IF(ESTIMATIVA[[#This Row],[QT_AREA_REAL]]&gt;0,"1- Colhido","2- à Colher")</f>
        <v>1- Colhido</v>
      </c>
      <c r="V1665" s="1" t="str">
        <f>IF(ESTIMATIVA[[#This Row],[QT_AREA_REST1]]&gt;0,"Reestimativa 1",IF(ESTIMATIVA[[#This Row],[QT_AREA_REAL]]=0,"Reestimativa 1","Realizado"))</f>
        <v>Reestimativa 1</v>
      </c>
      <c r="W1665" s="1" t="str">
        <f>IF(ESTIMATIVA[[#This Row],[QT_AREA_REST2]]&gt;0,"Reestimativa 2",IF(ESTIMATIVA[[#This Row],[QT_AREA_REAL]]=0,"Reestimativa 2","Realizado"))</f>
        <v>Reestimativa 2</v>
      </c>
      <c r="X1665" s="1">
        <f>ESTIMATIVA[[#This Row],[QT_AREA_EST]]</f>
        <v>48.29</v>
      </c>
      <c r="Y1665" s="1">
        <f>IF(ESTIMATIVA[[#This Row],[QT_AREA_REST1]]&gt;0,ESTIMATIVA[[#This Row],[QT_AREA_REST1]],
  IF(ESTIMATIVA[[#This Row],[QT_AREA_REAL]]&gt;0,ESTIMATIVA[[#This Row],[QT_AREA_REAL]],ESTIMATIVA[[#This Row],[QT_AREA_EST]]))</f>
        <v>48.29</v>
      </c>
      <c r="Z166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48.29</v>
      </c>
      <c r="AA1665" s="1">
        <f>ESTIMATIVA[[#This Row],[QT_CANA_EST]]</f>
        <v>2173.0500000000002</v>
      </c>
      <c r="AB1665" s="1">
        <f>IF(ESTIMATIVA[[#This Row],[QT_CANA_REST1]]&gt;0,ESTIMATIVA[[#This Row],[QT_CANA_REST1]],
  IF(ESTIMATIVA[[#This Row],[QT_CANA_REAL]]&gt;0,ESTIMATIVA[[#This Row],[QT_CANA_REAL]],ESTIMATIVA[[#This Row],[QT_CANA_EST]]))</f>
        <v>2221.34</v>
      </c>
      <c r="AC166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2221.34</v>
      </c>
      <c r="AD1665" s="1">
        <f>IF(ESTIMATIVA[[#This Row],[QT_AREA_REAL]]&gt;0,ESTIMATIVA[[#This Row],[QT_CANA_REAL]],ESTIMATIVA[[#This Row],[QT_CANA_EST]])</f>
        <v>3806.21</v>
      </c>
      <c r="AE1665" s="1">
        <f>IF(ESTIMATIVA[[#This Row],[QT_AREA_REAL]]&gt;0,ESTIMATIVA[[#This Row],[QT_CANA_REAL]],ESTIMATIVA[[#This Row],[QT_CANA_REST1]])</f>
        <v>3806.21</v>
      </c>
      <c r="AF1665" s="1">
        <f>IF(ESTIMATIVA[[#This Row],[QT_AREA_REAL]]&gt;0,ESTIMATIVA[[#This Row],[QT_CANA_REAL]],ESTIMATIVA[[#This Row],[QT_CANA_REST2]])</f>
        <v>3806.21</v>
      </c>
      <c r="AG1665" s="1" t="str">
        <f>IF(COUNTIFS(GEADA!A:A,VALUE(ESTIMATIVA[[#This Row],[CD_UPNIVEL1]]&amp;TEXT(ESTIMATIVA[[#This Row],[CD_UPNIVEL3]],"0000")))&gt;0,"S","N")</f>
        <v>N</v>
      </c>
      <c r="AH166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65" s="55" t="str">
        <f>IF(ESTIMATIVA[[#This Row],[TP_CULTIVO]]="Irrigado",_xlfn.MAXIFS(IRRIGADO!J:J,IRRIGADO!C:C,ESTIMATIVA[[#This Row],[CD_UPNIVEL1]],IRRIGADO!E:E,ESTIMATIVA[[#This Row],[CD_UPNIVEL3]]),"")</f>
        <v/>
      </c>
      <c r="AJ166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65" s="1">
        <f>COUNTIFS(Apresentação!$E$23:$E$29,ESTIMATIVA[[#This Row],[CD_UPNIVEL1]])</f>
        <v>0</v>
      </c>
    </row>
    <row r="1666" spans="1:37" x14ac:dyDescent="0.3">
      <c r="A1666">
        <v>20592</v>
      </c>
      <c r="B1666" t="s">
        <v>155</v>
      </c>
      <c r="C1666">
        <v>21</v>
      </c>
      <c r="D1666">
        <v>6</v>
      </c>
      <c r="E1666" t="s">
        <v>261</v>
      </c>
      <c r="F1666" s="85" t="s">
        <v>332</v>
      </c>
      <c r="G1666"/>
      <c r="H1666" t="s">
        <v>294</v>
      </c>
      <c r="I1666" t="s">
        <v>194</v>
      </c>
      <c r="J1666" t="s">
        <v>176</v>
      </c>
      <c r="K1666" s="1">
        <v>8.83</v>
      </c>
      <c r="L1666" s="1">
        <v>8.83</v>
      </c>
      <c r="M1666" s="1">
        <v>8.83</v>
      </c>
      <c r="N1666" s="1">
        <v>8.83</v>
      </c>
      <c r="O1666" s="1">
        <v>397.35</v>
      </c>
      <c r="P1666" s="1">
        <v>406.18</v>
      </c>
      <c r="Q1666" s="1">
        <v>406.18</v>
      </c>
      <c r="R1666" s="1">
        <v>412.29</v>
      </c>
      <c r="S1666" t="s">
        <v>12</v>
      </c>
      <c r="T1666" s="13">
        <v>45942</v>
      </c>
      <c r="U1666" s="1" t="str">
        <f>IF(ESTIMATIVA[[#This Row],[QT_AREA_REAL]]&gt;0,"1- Colhido","2- à Colher")</f>
        <v>1- Colhido</v>
      </c>
      <c r="V1666" s="1" t="str">
        <f>IF(ESTIMATIVA[[#This Row],[QT_AREA_REST1]]&gt;0,"Reestimativa 1",IF(ESTIMATIVA[[#This Row],[QT_AREA_REAL]]=0,"Reestimativa 1","Realizado"))</f>
        <v>Reestimativa 1</v>
      </c>
      <c r="W1666" s="1" t="str">
        <f>IF(ESTIMATIVA[[#This Row],[QT_AREA_REST2]]&gt;0,"Reestimativa 2",IF(ESTIMATIVA[[#This Row],[QT_AREA_REAL]]=0,"Reestimativa 2","Realizado"))</f>
        <v>Reestimativa 2</v>
      </c>
      <c r="X1666" s="1">
        <f>ESTIMATIVA[[#This Row],[QT_AREA_EST]]</f>
        <v>8.83</v>
      </c>
      <c r="Y1666" s="1">
        <f>IF(ESTIMATIVA[[#This Row],[QT_AREA_REST1]]&gt;0,ESTIMATIVA[[#This Row],[QT_AREA_REST1]],
  IF(ESTIMATIVA[[#This Row],[QT_AREA_REAL]]&gt;0,ESTIMATIVA[[#This Row],[QT_AREA_REAL]],ESTIMATIVA[[#This Row],[QT_AREA_EST]]))</f>
        <v>8.83</v>
      </c>
      <c r="Z166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8.83</v>
      </c>
      <c r="AA1666" s="1">
        <f>ESTIMATIVA[[#This Row],[QT_CANA_EST]]</f>
        <v>397.35</v>
      </c>
      <c r="AB1666" s="1">
        <f>IF(ESTIMATIVA[[#This Row],[QT_CANA_REST1]]&gt;0,ESTIMATIVA[[#This Row],[QT_CANA_REST1]],
  IF(ESTIMATIVA[[#This Row],[QT_CANA_REAL]]&gt;0,ESTIMATIVA[[#This Row],[QT_CANA_REAL]],ESTIMATIVA[[#This Row],[QT_CANA_EST]]))</f>
        <v>406.18</v>
      </c>
      <c r="AC166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406.18</v>
      </c>
      <c r="AD1666" s="1">
        <f>IF(ESTIMATIVA[[#This Row],[QT_AREA_REAL]]&gt;0,ESTIMATIVA[[#This Row],[QT_CANA_REAL]],ESTIMATIVA[[#This Row],[QT_CANA_EST]])</f>
        <v>412.29</v>
      </c>
      <c r="AE1666" s="1">
        <f>IF(ESTIMATIVA[[#This Row],[QT_AREA_REAL]]&gt;0,ESTIMATIVA[[#This Row],[QT_CANA_REAL]],ESTIMATIVA[[#This Row],[QT_CANA_REST1]])</f>
        <v>412.29</v>
      </c>
      <c r="AF1666" s="1">
        <f>IF(ESTIMATIVA[[#This Row],[QT_AREA_REAL]]&gt;0,ESTIMATIVA[[#This Row],[QT_CANA_REAL]],ESTIMATIVA[[#This Row],[QT_CANA_REST2]])</f>
        <v>412.29</v>
      </c>
      <c r="AG1666" s="1" t="str">
        <f>IF(COUNTIFS(GEADA!A:A,VALUE(ESTIMATIVA[[#This Row],[CD_UPNIVEL1]]&amp;TEXT(ESTIMATIVA[[#This Row],[CD_UPNIVEL3]],"0000")))&gt;0,"S","N")</f>
        <v>N</v>
      </c>
      <c r="AH166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66" s="55" t="str">
        <f>IF(ESTIMATIVA[[#This Row],[TP_CULTIVO]]="Irrigado",_xlfn.MAXIFS(IRRIGADO!J:J,IRRIGADO!C:C,ESTIMATIVA[[#This Row],[CD_UPNIVEL1]],IRRIGADO!E:E,ESTIMATIVA[[#This Row],[CD_UPNIVEL3]]),"")</f>
        <v/>
      </c>
      <c r="AJ166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66" s="1">
        <f>COUNTIFS(Apresentação!$E$23:$E$29,ESTIMATIVA[[#This Row],[CD_UPNIVEL1]])</f>
        <v>0</v>
      </c>
    </row>
    <row r="1667" spans="1:37" x14ac:dyDescent="0.3">
      <c r="A1667">
        <v>20592</v>
      </c>
      <c r="B1667" t="s">
        <v>155</v>
      </c>
      <c r="C1667">
        <v>22</v>
      </c>
      <c r="D1667">
        <v>3</v>
      </c>
      <c r="E1667" t="s">
        <v>263</v>
      </c>
      <c r="F1667" s="85" t="s">
        <v>329</v>
      </c>
      <c r="G1667"/>
      <c r="H1667" t="s">
        <v>294</v>
      </c>
      <c r="I1667" t="s">
        <v>212</v>
      </c>
      <c r="J1667" t="s">
        <v>176</v>
      </c>
      <c r="K1667" s="1">
        <v>13.42</v>
      </c>
      <c r="L1667" s="1">
        <v>13.42</v>
      </c>
      <c r="M1667" s="1">
        <v>13.42</v>
      </c>
      <c r="N1667" s="1">
        <v>13.42</v>
      </c>
      <c r="O1667" s="1">
        <v>1073.5999999999999</v>
      </c>
      <c r="P1667" s="1">
        <v>1073.5999999999999</v>
      </c>
      <c r="Q1667" s="1">
        <v>1073.5999999999999</v>
      </c>
      <c r="R1667" s="1">
        <v>1327.92</v>
      </c>
      <c r="S1667" t="s">
        <v>12</v>
      </c>
      <c r="T1667" s="13">
        <v>45935</v>
      </c>
      <c r="U1667" s="1" t="str">
        <f>IF(ESTIMATIVA[[#This Row],[QT_AREA_REAL]]&gt;0,"1- Colhido","2- à Colher")</f>
        <v>1- Colhido</v>
      </c>
      <c r="V1667" s="1" t="str">
        <f>IF(ESTIMATIVA[[#This Row],[QT_AREA_REST1]]&gt;0,"Reestimativa 1",IF(ESTIMATIVA[[#This Row],[QT_AREA_REAL]]=0,"Reestimativa 1","Realizado"))</f>
        <v>Reestimativa 1</v>
      </c>
      <c r="W1667" s="1" t="str">
        <f>IF(ESTIMATIVA[[#This Row],[QT_AREA_REST2]]&gt;0,"Reestimativa 2",IF(ESTIMATIVA[[#This Row],[QT_AREA_REAL]]=0,"Reestimativa 2","Realizado"))</f>
        <v>Reestimativa 2</v>
      </c>
      <c r="X1667" s="1">
        <f>ESTIMATIVA[[#This Row],[QT_AREA_EST]]</f>
        <v>13.42</v>
      </c>
      <c r="Y1667" s="1">
        <f>IF(ESTIMATIVA[[#This Row],[QT_AREA_REST1]]&gt;0,ESTIMATIVA[[#This Row],[QT_AREA_REST1]],
  IF(ESTIMATIVA[[#This Row],[QT_AREA_REAL]]&gt;0,ESTIMATIVA[[#This Row],[QT_AREA_REAL]],ESTIMATIVA[[#This Row],[QT_AREA_EST]]))</f>
        <v>13.42</v>
      </c>
      <c r="Z166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13.42</v>
      </c>
      <c r="AA1667" s="1">
        <f>ESTIMATIVA[[#This Row],[QT_CANA_EST]]</f>
        <v>1073.5999999999999</v>
      </c>
      <c r="AB1667" s="1">
        <f>IF(ESTIMATIVA[[#This Row],[QT_CANA_REST1]]&gt;0,ESTIMATIVA[[#This Row],[QT_CANA_REST1]],
  IF(ESTIMATIVA[[#This Row],[QT_CANA_REAL]]&gt;0,ESTIMATIVA[[#This Row],[QT_CANA_REAL]],ESTIMATIVA[[#This Row],[QT_CANA_EST]]))</f>
        <v>1073.5999999999999</v>
      </c>
      <c r="AC166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1073.5999999999999</v>
      </c>
      <c r="AD1667" s="1">
        <f>IF(ESTIMATIVA[[#This Row],[QT_AREA_REAL]]&gt;0,ESTIMATIVA[[#This Row],[QT_CANA_REAL]],ESTIMATIVA[[#This Row],[QT_CANA_EST]])</f>
        <v>1327.92</v>
      </c>
      <c r="AE1667" s="1">
        <f>IF(ESTIMATIVA[[#This Row],[QT_AREA_REAL]]&gt;0,ESTIMATIVA[[#This Row],[QT_CANA_REAL]],ESTIMATIVA[[#This Row],[QT_CANA_REST1]])</f>
        <v>1327.92</v>
      </c>
      <c r="AF1667" s="1">
        <f>IF(ESTIMATIVA[[#This Row],[QT_AREA_REAL]]&gt;0,ESTIMATIVA[[#This Row],[QT_CANA_REAL]],ESTIMATIVA[[#This Row],[QT_CANA_REST2]])</f>
        <v>1327.92</v>
      </c>
      <c r="AG1667" s="1" t="str">
        <f>IF(COUNTIFS(GEADA!A:A,VALUE(ESTIMATIVA[[#This Row],[CD_UPNIVEL1]]&amp;TEXT(ESTIMATIVA[[#This Row],[CD_UPNIVEL3]],"0000")))&gt;0,"S","N")</f>
        <v>N</v>
      </c>
      <c r="AH166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67" s="55" t="str">
        <f>IF(ESTIMATIVA[[#This Row],[TP_CULTIVO]]="Irrigado",_xlfn.MAXIFS(IRRIGADO!J:J,IRRIGADO!C:C,ESTIMATIVA[[#This Row],[CD_UPNIVEL1]],IRRIGADO!E:E,ESTIMATIVA[[#This Row],[CD_UPNIVEL3]]),"")</f>
        <v/>
      </c>
      <c r="AJ166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67" s="1">
        <f>COUNTIFS(Apresentação!$E$23:$E$29,ESTIMATIVA[[#This Row],[CD_UPNIVEL1]])</f>
        <v>0</v>
      </c>
    </row>
    <row r="1668" spans="1:37" x14ac:dyDescent="0.3">
      <c r="A1668">
        <v>20592</v>
      </c>
      <c r="B1668" t="s">
        <v>155</v>
      </c>
      <c r="C1668">
        <v>23</v>
      </c>
      <c r="D1668">
        <v>7</v>
      </c>
      <c r="E1668" t="s">
        <v>270</v>
      </c>
      <c r="F1668" s="85" t="s">
        <v>331</v>
      </c>
      <c r="G1668"/>
      <c r="H1668" t="s">
        <v>294</v>
      </c>
      <c r="I1668" t="s">
        <v>194</v>
      </c>
      <c r="J1668" t="s">
        <v>176</v>
      </c>
      <c r="K1668" s="1">
        <v>19.93</v>
      </c>
      <c r="L1668" s="1">
        <v>19.93</v>
      </c>
      <c r="M1668" s="1">
        <v>19.93</v>
      </c>
      <c r="N1668" s="1">
        <v>19.93</v>
      </c>
      <c r="O1668" s="1">
        <v>896.85</v>
      </c>
      <c r="P1668" s="1">
        <v>916.78</v>
      </c>
      <c r="Q1668" s="1">
        <v>916.78</v>
      </c>
      <c r="R1668" s="1">
        <v>986.12</v>
      </c>
      <c r="S1668" t="s">
        <v>12</v>
      </c>
      <c r="T1668" s="13">
        <v>45942</v>
      </c>
      <c r="U1668" s="1" t="str">
        <f>IF(ESTIMATIVA[[#This Row],[QT_AREA_REAL]]&gt;0,"1- Colhido","2- à Colher")</f>
        <v>1- Colhido</v>
      </c>
      <c r="V1668" s="1" t="str">
        <f>IF(ESTIMATIVA[[#This Row],[QT_AREA_REST1]]&gt;0,"Reestimativa 1",IF(ESTIMATIVA[[#This Row],[QT_AREA_REAL]]=0,"Reestimativa 1","Realizado"))</f>
        <v>Reestimativa 1</v>
      </c>
      <c r="W1668" s="1" t="str">
        <f>IF(ESTIMATIVA[[#This Row],[QT_AREA_REST2]]&gt;0,"Reestimativa 2",IF(ESTIMATIVA[[#This Row],[QT_AREA_REAL]]=0,"Reestimativa 2","Realizado"))</f>
        <v>Reestimativa 2</v>
      </c>
      <c r="X1668" s="1">
        <f>ESTIMATIVA[[#This Row],[QT_AREA_EST]]</f>
        <v>19.93</v>
      </c>
      <c r="Y1668" s="1">
        <f>IF(ESTIMATIVA[[#This Row],[QT_AREA_REST1]]&gt;0,ESTIMATIVA[[#This Row],[QT_AREA_REST1]],
  IF(ESTIMATIVA[[#This Row],[QT_AREA_REAL]]&gt;0,ESTIMATIVA[[#This Row],[QT_AREA_REAL]],ESTIMATIVA[[#This Row],[QT_AREA_EST]]))</f>
        <v>19.93</v>
      </c>
      <c r="Z166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19.93</v>
      </c>
      <c r="AA1668" s="1">
        <f>ESTIMATIVA[[#This Row],[QT_CANA_EST]]</f>
        <v>896.85</v>
      </c>
      <c r="AB1668" s="1">
        <f>IF(ESTIMATIVA[[#This Row],[QT_CANA_REST1]]&gt;0,ESTIMATIVA[[#This Row],[QT_CANA_REST1]],
  IF(ESTIMATIVA[[#This Row],[QT_CANA_REAL]]&gt;0,ESTIMATIVA[[#This Row],[QT_CANA_REAL]],ESTIMATIVA[[#This Row],[QT_CANA_EST]]))</f>
        <v>916.78</v>
      </c>
      <c r="AC166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916.78</v>
      </c>
      <c r="AD1668" s="1">
        <f>IF(ESTIMATIVA[[#This Row],[QT_AREA_REAL]]&gt;0,ESTIMATIVA[[#This Row],[QT_CANA_REAL]],ESTIMATIVA[[#This Row],[QT_CANA_EST]])</f>
        <v>986.12</v>
      </c>
      <c r="AE1668" s="1">
        <f>IF(ESTIMATIVA[[#This Row],[QT_AREA_REAL]]&gt;0,ESTIMATIVA[[#This Row],[QT_CANA_REAL]],ESTIMATIVA[[#This Row],[QT_CANA_REST1]])</f>
        <v>986.12</v>
      </c>
      <c r="AF1668" s="1">
        <f>IF(ESTIMATIVA[[#This Row],[QT_AREA_REAL]]&gt;0,ESTIMATIVA[[#This Row],[QT_CANA_REAL]],ESTIMATIVA[[#This Row],[QT_CANA_REST2]])</f>
        <v>986.12</v>
      </c>
      <c r="AG1668" s="1" t="str">
        <f>IF(COUNTIFS(GEADA!A:A,VALUE(ESTIMATIVA[[#This Row],[CD_UPNIVEL1]]&amp;TEXT(ESTIMATIVA[[#This Row],[CD_UPNIVEL3]],"0000")))&gt;0,"S","N")</f>
        <v>N</v>
      </c>
      <c r="AH166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68" s="55" t="str">
        <f>IF(ESTIMATIVA[[#This Row],[TP_CULTIVO]]="Irrigado",_xlfn.MAXIFS(IRRIGADO!J:J,IRRIGADO!C:C,ESTIMATIVA[[#This Row],[CD_UPNIVEL1]],IRRIGADO!E:E,ESTIMATIVA[[#This Row],[CD_UPNIVEL3]]),"")</f>
        <v/>
      </c>
      <c r="AJ166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68" s="1">
        <f>COUNTIFS(Apresentação!$E$23:$E$29,ESTIMATIVA[[#This Row],[CD_UPNIVEL1]])</f>
        <v>0</v>
      </c>
    </row>
    <row r="1669" spans="1:37" x14ac:dyDescent="0.3">
      <c r="A1669">
        <v>20592</v>
      </c>
      <c r="B1669" t="s">
        <v>155</v>
      </c>
      <c r="C1669">
        <v>24</v>
      </c>
      <c r="D1669">
        <v>7</v>
      </c>
      <c r="E1669" t="s">
        <v>270</v>
      </c>
      <c r="F1669" s="85" t="s">
        <v>331</v>
      </c>
      <c r="G1669"/>
      <c r="H1669" t="s">
        <v>294</v>
      </c>
      <c r="I1669" t="s">
        <v>194</v>
      </c>
      <c r="J1669" t="s">
        <v>176</v>
      </c>
      <c r="K1669" s="1">
        <v>12.15</v>
      </c>
      <c r="L1669" s="1">
        <v>12.15</v>
      </c>
      <c r="M1669" s="1">
        <v>12.15</v>
      </c>
      <c r="N1669" s="1">
        <v>12.15</v>
      </c>
      <c r="O1669" s="1">
        <v>546.75</v>
      </c>
      <c r="P1669" s="1">
        <v>558.9</v>
      </c>
      <c r="Q1669" s="1">
        <v>558.9</v>
      </c>
      <c r="R1669" s="1">
        <v>601.11</v>
      </c>
      <c r="S1669" t="s">
        <v>12</v>
      </c>
      <c r="T1669" s="13">
        <v>45942</v>
      </c>
      <c r="U1669" s="1" t="str">
        <f>IF(ESTIMATIVA[[#This Row],[QT_AREA_REAL]]&gt;0,"1- Colhido","2- à Colher")</f>
        <v>1- Colhido</v>
      </c>
      <c r="V1669" s="1" t="str">
        <f>IF(ESTIMATIVA[[#This Row],[QT_AREA_REST1]]&gt;0,"Reestimativa 1",IF(ESTIMATIVA[[#This Row],[QT_AREA_REAL]]=0,"Reestimativa 1","Realizado"))</f>
        <v>Reestimativa 1</v>
      </c>
      <c r="W1669" s="1" t="str">
        <f>IF(ESTIMATIVA[[#This Row],[QT_AREA_REST2]]&gt;0,"Reestimativa 2",IF(ESTIMATIVA[[#This Row],[QT_AREA_REAL]]=0,"Reestimativa 2","Realizado"))</f>
        <v>Reestimativa 2</v>
      </c>
      <c r="X1669" s="1">
        <f>ESTIMATIVA[[#This Row],[QT_AREA_EST]]</f>
        <v>12.15</v>
      </c>
      <c r="Y1669" s="1">
        <f>IF(ESTIMATIVA[[#This Row],[QT_AREA_REST1]]&gt;0,ESTIMATIVA[[#This Row],[QT_AREA_REST1]],
  IF(ESTIMATIVA[[#This Row],[QT_AREA_REAL]]&gt;0,ESTIMATIVA[[#This Row],[QT_AREA_REAL]],ESTIMATIVA[[#This Row],[QT_AREA_EST]]))</f>
        <v>12.15</v>
      </c>
      <c r="Z166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12.15</v>
      </c>
      <c r="AA1669" s="1">
        <f>ESTIMATIVA[[#This Row],[QT_CANA_EST]]</f>
        <v>546.75</v>
      </c>
      <c r="AB1669" s="1">
        <f>IF(ESTIMATIVA[[#This Row],[QT_CANA_REST1]]&gt;0,ESTIMATIVA[[#This Row],[QT_CANA_REST1]],
  IF(ESTIMATIVA[[#This Row],[QT_CANA_REAL]]&gt;0,ESTIMATIVA[[#This Row],[QT_CANA_REAL]],ESTIMATIVA[[#This Row],[QT_CANA_EST]]))</f>
        <v>558.9</v>
      </c>
      <c r="AC166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558.9</v>
      </c>
      <c r="AD1669" s="1">
        <f>IF(ESTIMATIVA[[#This Row],[QT_AREA_REAL]]&gt;0,ESTIMATIVA[[#This Row],[QT_CANA_REAL]],ESTIMATIVA[[#This Row],[QT_CANA_EST]])</f>
        <v>601.11</v>
      </c>
      <c r="AE1669" s="1">
        <f>IF(ESTIMATIVA[[#This Row],[QT_AREA_REAL]]&gt;0,ESTIMATIVA[[#This Row],[QT_CANA_REAL]],ESTIMATIVA[[#This Row],[QT_CANA_REST1]])</f>
        <v>601.11</v>
      </c>
      <c r="AF1669" s="1">
        <f>IF(ESTIMATIVA[[#This Row],[QT_AREA_REAL]]&gt;0,ESTIMATIVA[[#This Row],[QT_CANA_REAL]],ESTIMATIVA[[#This Row],[QT_CANA_REST2]])</f>
        <v>601.11</v>
      </c>
      <c r="AG1669" s="1" t="str">
        <f>IF(COUNTIFS(GEADA!A:A,VALUE(ESTIMATIVA[[#This Row],[CD_UPNIVEL1]]&amp;TEXT(ESTIMATIVA[[#This Row],[CD_UPNIVEL3]],"0000")))&gt;0,"S","N")</f>
        <v>N</v>
      </c>
      <c r="AH166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69" s="55" t="str">
        <f>IF(ESTIMATIVA[[#This Row],[TP_CULTIVO]]="Irrigado",_xlfn.MAXIFS(IRRIGADO!J:J,IRRIGADO!C:C,ESTIMATIVA[[#This Row],[CD_UPNIVEL1]],IRRIGADO!E:E,ESTIMATIVA[[#This Row],[CD_UPNIVEL3]]),"")</f>
        <v/>
      </c>
      <c r="AJ166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69" s="1">
        <f>COUNTIFS(Apresentação!$E$23:$E$29,ESTIMATIVA[[#This Row],[CD_UPNIVEL1]])</f>
        <v>0</v>
      </c>
    </row>
    <row r="1670" spans="1:37" x14ac:dyDescent="0.3">
      <c r="A1670">
        <v>20592</v>
      </c>
      <c r="B1670" t="s">
        <v>155</v>
      </c>
      <c r="C1670">
        <v>25</v>
      </c>
      <c r="D1670">
        <v>4</v>
      </c>
      <c r="E1670" t="s">
        <v>265</v>
      </c>
      <c r="F1670" s="85" t="s">
        <v>330</v>
      </c>
      <c r="G1670"/>
      <c r="H1670" t="s">
        <v>294</v>
      </c>
      <c r="I1670" t="s">
        <v>194</v>
      </c>
      <c r="J1670" t="s">
        <v>176</v>
      </c>
      <c r="K1670" s="1">
        <v>14.06</v>
      </c>
      <c r="L1670" s="1">
        <v>14.06</v>
      </c>
      <c r="M1670" s="1">
        <v>14.06</v>
      </c>
      <c r="N1670" s="1">
        <v>14.06</v>
      </c>
      <c r="O1670" s="1">
        <v>857.66</v>
      </c>
      <c r="P1670" s="1">
        <v>857.66</v>
      </c>
      <c r="Q1670" s="1">
        <v>857.66</v>
      </c>
      <c r="R1670" s="1">
        <v>922.68</v>
      </c>
      <c r="S1670" t="s">
        <v>12</v>
      </c>
      <c r="T1670" s="13">
        <v>45942</v>
      </c>
      <c r="U1670" s="1" t="str">
        <f>IF(ESTIMATIVA[[#This Row],[QT_AREA_REAL]]&gt;0,"1- Colhido","2- à Colher")</f>
        <v>1- Colhido</v>
      </c>
      <c r="V1670" s="1" t="str">
        <f>IF(ESTIMATIVA[[#This Row],[QT_AREA_REST1]]&gt;0,"Reestimativa 1",IF(ESTIMATIVA[[#This Row],[QT_AREA_REAL]]=0,"Reestimativa 1","Realizado"))</f>
        <v>Reestimativa 1</v>
      </c>
      <c r="W1670" s="1" t="str">
        <f>IF(ESTIMATIVA[[#This Row],[QT_AREA_REST2]]&gt;0,"Reestimativa 2",IF(ESTIMATIVA[[#This Row],[QT_AREA_REAL]]=0,"Reestimativa 2","Realizado"))</f>
        <v>Reestimativa 2</v>
      </c>
      <c r="X1670" s="1">
        <f>ESTIMATIVA[[#This Row],[QT_AREA_EST]]</f>
        <v>14.06</v>
      </c>
      <c r="Y1670" s="1">
        <f>IF(ESTIMATIVA[[#This Row],[QT_AREA_REST1]]&gt;0,ESTIMATIVA[[#This Row],[QT_AREA_REST1]],
  IF(ESTIMATIVA[[#This Row],[QT_AREA_REAL]]&gt;0,ESTIMATIVA[[#This Row],[QT_AREA_REAL]],ESTIMATIVA[[#This Row],[QT_AREA_EST]]))</f>
        <v>14.06</v>
      </c>
      <c r="Z167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14.06</v>
      </c>
      <c r="AA1670" s="1">
        <f>ESTIMATIVA[[#This Row],[QT_CANA_EST]]</f>
        <v>857.66</v>
      </c>
      <c r="AB1670" s="1">
        <f>IF(ESTIMATIVA[[#This Row],[QT_CANA_REST1]]&gt;0,ESTIMATIVA[[#This Row],[QT_CANA_REST1]],
  IF(ESTIMATIVA[[#This Row],[QT_CANA_REAL]]&gt;0,ESTIMATIVA[[#This Row],[QT_CANA_REAL]],ESTIMATIVA[[#This Row],[QT_CANA_EST]]))</f>
        <v>857.66</v>
      </c>
      <c r="AC167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857.66</v>
      </c>
      <c r="AD1670" s="1">
        <f>IF(ESTIMATIVA[[#This Row],[QT_AREA_REAL]]&gt;0,ESTIMATIVA[[#This Row],[QT_CANA_REAL]],ESTIMATIVA[[#This Row],[QT_CANA_EST]])</f>
        <v>922.68</v>
      </c>
      <c r="AE1670" s="1">
        <f>IF(ESTIMATIVA[[#This Row],[QT_AREA_REAL]]&gt;0,ESTIMATIVA[[#This Row],[QT_CANA_REAL]],ESTIMATIVA[[#This Row],[QT_CANA_REST1]])</f>
        <v>922.68</v>
      </c>
      <c r="AF1670" s="1">
        <f>IF(ESTIMATIVA[[#This Row],[QT_AREA_REAL]]&gt;0,ESTIMATIVA[[#This Row],[QT_CANA_REAL]],ESTIMATIVA[[#This Row],[QT_CANA_REST2]])</f>
        <v>922.68</v>
      </c>
      <c r="AG1670" s="1" t="str">
        <f>IF(COUNTIFS(GEADA!A:A,VALUE(ESTIMATIVA[[#This Row],[CD_UPNIVEL1]]&amp;TEXT(ESTIMATIVA[[#This Row],[CD_UPNIVEL3]],"0000")))&gt;0,"S","N")</f>
        <v>N</v>
      </c>
      <c r="AH167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70" s="55" t="str">
        <f>IF(ESTIMATIVA[[#This Row],[TP_CULTIVO]]="Irrigado",_xlfn.MAXIFS(IRRIGADO!J:J,IRRIGADO!C:C,ESTIMATIVA[[#This Row],[CD_UPNIVEL1]],IRRIGADO!E:E,ESTIMATIVA[[#This Row],[CD_UPNIVEL3]]),"")</f>
        <v/>
      </c>
      <c r="AJ167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70" s="1">
        <f>COUNTIFS(Apresentação!$E$23:$E$29,ESTIMATIVA[[#This Row],[CD_UPNIVEL1]])</f>
        <v>0</v>
      </c>
    </row>
    <row r="1671" spans="1:37" x14ac:dyDescent="0.3">
      <c r="A1671">
        <v>20592</v>
      </c>
      <c r="B1671" t="s">
        <v>155</v>
      </c>
      <c r="C1671">
        <v>30</v>
      </c>
      <c r="D1671">
        <v>6</v>
      </c>
      <c r="E1671" t="s">
        <v>261</v>
      </c>
      <c r="F1671" s="85" t="s">
        <v>332</v>
      </c>
      <c r="G1671"/>
      <c r="H1671" t="s">
        <v>294</v>
      </c>
      <c r="I1671" t="s">
        <v>194</v>
      </c>
      <c r="J1671" t="s">
        <v>176</v>
      </c>
      <c r="K1671" s="1">
        <v>1.83</v>
      </c>
      <c r="L1671" s="1">
        <v>1.83</v>
      </c>
      <c r="M1671" s="1">
        <v>1.83</v>
      </c>
      <c r="N1671" s="1">
        <v>1.83</v>
      </c>
      <c r="O1671" s="1">
        <v>82.35</v>
      </c>
      <c r="P1671" s="1">
        <v>82.35</v>
      </c>
      <c r="Q1671" s="1">
        <v>82.35</v>
      </c>
      <c r="R1671" s="1">
        <v>88.12</v>
      </c>
      <c r="S1671" t="s">
        <v>12</v>
      </c>
      <c r="T1671" s="13">
        <v>45942</v>
      </c>
      <c r="U1671" s="1" t="str">
        <f>IF(ESTIMATIVA[[#This Row],[QT_AREA_REAL]]&gt;0,"1- Colhido","2- à Colher")</f>
        <v>1- Colhido</v>
      </c>
      <c r="V1671" s="1" t="str">
        <f>IF(ESTIMATIVA[[#This Row],[QT_AREA_REST1]]&gt;0,"Reestimativa 1",IF(ESTIMATIVA[[#This Row],[QT_AREA_REAL]]=0,"Reestimativa 1","Realizado"))</f>
        <v>Reestimativa 1</v>
      </c>
      <c r="W1671" s="1" t="str">
        <f>IF(ESTIMATIVA[[#This Row],[QT_AREA_REST2]]&gt;0,"Reestimativa 2",IF(ESTIMATIVA[[#This Row],[QT_AREA_REAL]]=0,"Reestimativa 2","Realizado"))</f>
        <v>Reestimativa 2</v>
      </c>
      <c r="X1671" s="1">
        <f>ESTIMATIVA[[#This Row],[QT_AREA_EST]]</f>
        <v>1.83</v>
      </c>
      <c r="Y1671" s="1">
        <f>IF(ESTIMATIVA[[#This Row],[QT_AREA_REST1]]&gt;0,ESTIMATIVA[[#This Row],[QT_AREA_REST1]],
  IF(ESTIMATIVA[[#This Row],[QT_AREA_REAL]]&gt;0,ESTIMATIVA[[#This Row],[QT_AREA_REAL]],ESTIMATIVA[[#This Row],[QT_AREA_EST]]))</f>
        <v>1.83</v>
      </c>
      <c r="Z167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1.83</v>
      </c>
      <c r="AA1671" s="1">
        <f>ESTIMATIVA[[#This Row],[QT_CANA_EST]]</f>
        <v>82.35</v>
      </c>
      <c r="AB1671" s="1">
        <f>IF(ESTIMATIVA[[#This Row],[QT_CANA_REST1]]&gt;0,ESTIMATIVA[[#This Row],[QT_CANA_REST1]],
  IF(ESTIMATIVA[[#This Row],[QT_CANA_REAL]]&gt;0,ESTIMATIVA[[#This Row],[QT_CANA_REAL]],ESTIMATIVA[[#This Row],[QT_CANA_EST]]))</f>
        <v>82.35</v>
      </c>
      <c r="AC167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82.35</v>
      </c>
      <c r="AD1671" s="1">
        <f>IF(ESTIMATIVA[[#This Row],[QT_AREA_REAL]]&gt;0,ESTIMATIVA[[#This Row],[QT_CANA_REAL]],ESTIMATIVA[[#This Row],[QT_CANA_EST]])</f>
        <v>88.12</v>
      </c>
      <c r="AE1671" s="1">
        <f>IF(ESTIMATIVA[[#This Row],[QT_AREA_REAL]]&gt;0,ESTIMATIVA[[#This Row],[QT_CANA_REAL]],ESTIMATIVA[[#This Row],[QT_CANA_REST1]])</f>
        <v>88.12</v>
      </c>
      <c r="AF1671" s="1">
        <f>IF(ESTIMATIVA[[#This Row],[QT_AREA_REAL]]&gt;0,ESTIMATIVA[[#This Row],[QT_CANA_REAL]],ESTIMATIVA[[#This Row],[QT_CANA_REST2]])</f>
        <v>88.12</v>
      </c>
      <c r="AG1671" s="1" t="str">
        <f>IF(COUNTIFS(GEADA!A:A,VALUE(ESTIMATIVA[[#This Row],[CD_UPNIVEL1]]&amp;TEXT(ESTIMATIVA[[#This Row],[CD_UPNIVEL3]],"0000")))&gt;0,"S","N")</f>
        <v>N</v>
      </c>
      <c r="AH167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71" s="55" t="str">
        <f>IF(ESTIMATIVA[[#This Row],[TP_CULTIVO]]="Irrigado",_xlfn.MAXIFS(IRRIGADO!J:J,IRRIGADO!C:C,ESTIMATIVA[[#This Row],[CD_UPNIVEL1]],IRRIGADO!E:E,ESTIMATIVA[[#This Row],[CD_UPNIVEL3]]),"")</f>
        <v/>
      </c>
      <c r="AJ167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71" s="1">
        <f>COUNTIFS(Apresentação!$E$23:$E$29,ESTIMATIVA[[#This Row],[CD_UPNIVEL1]])</f>
        <v>0</v>
      </c>
    </row>
    <row r="1672" spans="1:37" x14ac:dyDescent="0.3">
      <c r="A1672">
        <v>20592</v>
      </c>
      <c r="B1672" t="s">
        <v>155</v>
      </c>
      <c r="C1672">
        <v>32</v>
      </c>
      <c r="D1672">
        <v>7</v>
      </c>
      <c r="E1672" t="s">
        <v>270</v>
      </c>
      <c r="F1672" s="85" t="s">
        <v>332</v>
      </c>
      <c r="G1672"/>
      <c r="H1672" t="s">
        <v>294</v>
      </c>
      <c r="I1672" t="s">
        <v>194</v>
      </c>
      <c r="J1672" t="s">
        <v>176</v>
      </c>
      <c r="K1672" s="1">
        <v>12.99</v>
      </c>
      <c r="L1672" s="1">
        <v>12.99</v>
      </c>
      <c r="M1672" s="1">
        <v>12.99</v>
      </c>
      <c r="N1672" s="1">
        <v>12.99</v>
      </c>
      <c r="O1672" s="1">
        <v>584.54999999999995</v>
      </c>
      <c r="P1672" s="1">
        <v>363.72</v>
      </c>
      <c r="Q1672" s="1">
        <v>363.72</v>
      </c>
      <c r="R1672" s="1">
        <v>391.4</v>
      </c>
      <c r="S1672" t="s">
        <v>12</v>
      </c>
      <c r="T1672" s="13">
        <v>45942</v>
      </c>
      <c r="U1672" s="1" t="str">
        <f>IF(ESTIMATIVA[[#This Row],[QT_AREA_REAL]]&gt;0,"1- Colhido","2- à Colher")</f>
        <v>1- Colhido</v>
      </c>
      <c r="V1672" s="1" t="str">
        <f>IF(ESTIMATIVA[[#This Row],[QT_AREA_REST1]]&gt;0,"Reestimativa 1",IF(ESTIMATIVA[[#This Row],[QT_AREA_REAL]]=0,"Reestimativa 1","Realizado"))</f>
        <v>Reestimativa 1</v>
      </c>
      <c r="W1672" s="1" t="str">
        <f>IF(ESTIMATIVA[[#This Row],[QT_AREA_REST2]]&gt;0,"Reestimativa 2",IF(ESTIMATIVA[[#This Row],[QT_AREA_REAL]]=0,"Reestimativa 2","Realizado"))</f>
        <v>Reestimativa 2</v>
      </c>
      <c r="X1672" s="1">
        <f>ESTIMATIVA[[#This Row],[QT_AREA_EST]]</f>
        <v>12.99</v>
      </c>
      <c r="Y1672" s="1">
        <f>IF(ESTIMATIVA[[#This Row],[QT_AREA_REST1]]&gt;0,ESTIMATIVA[[#This Row],[QT_AREA_REST1]],
  IF(ESTIMATIVA[[#This Row],[QT_AREA_REAL]]&gt;0,ESTIMATIVA[[#This Row],[QT_AREA_REAL]],ESTIMATIVA[[#This Row],[QT_AREA_EST]]))</f>
        <v>12.99</v>
      </c>
      <c r="Z167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12.99</v>
      </c>
      <c r="AA1672" s="1">
        <f>ESTIMATIVA[[#This Row],[QT_CANA_EST]]</f>
        <v>584.54999999999995</v>
      </c>
      <c r="AB1672" s="1">
        <f>IF(ESTIMATIVA[[#This Row],[QT_CANA_REST1]]&gt;0,ESTIMATIVA[[#This Row],[QT_CANA_REST1]],
  IF(ESTIMATIVA[[#This Row],[QT_CANA_REAL]]&gt;0,ESTIMATIVA[[#This Row],[QT_CANA_REAL]],ESTIMATIVA[[#This Row],[QT_CANA_EST]]))</f>
        <v>363.72</v>
      </c>
      <c r="AC167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363.72</v>
      </c>
      <c r="AD1672" s="1">
        <f>IF(ESTIMATIVA[[#This Row],[QT_AREA_REAL]]&gt;0,ESTIMATIVA[[#This Row],[QT_CANA_REAL]],ESTIMATIVA[[#This Row],[QT_CANA_EST]])</f>
        <v>391.4</v>
      </c>
      <c r="AE1672" s="1">
        <f>IF(ESTIMATIVA[[#This Row],[QT_AREA_REAL]]&gt;0,ESTIMATIVA[[#This Row],[QT_CANA_REAL]],ESTIMATIVA[[#This Row],[QT_CANA_REST1]])</f>
        <v>391.4</v>
      </c>
      <c r="AF1672" s="1">
        <f>IF(ESTIMATIVA[[#This Row],[QT_AREA_REAL]]&gt;0,ESTIMATIVA[[#This Row],[QT_CANA_REAL]],ESTIMATIVA[[#This Row],[QT_CANA_REST2]])</f>
        <v>391.4</v>
      </c>
      <c r="AG1672" s="1" t="str">
        <f>IF(COUNTIFS(GEADA!A:A,VALUE(ESTIMATIVA[[#This Row],[CD_UPNIVEL1]]&amp;TEXT(ESTIMATIVA[[#This Row],[CD_UPNIVEL3]],"0000")))&gt;0,"S","N")</f>
        <v>S</v>
      </c>
      <c r="AH167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72" s="55" t="str">
        <f>IF(ESTIMATIVA[[#This Row],[TP_CULTIVO]]="Irrigado",_xlfn.MAXIFS(IRRIGADO!J:J,IRRIGADO!C:C,ESTIMATIVA[[#This Row],[CD_UPNIVEL1]],IRRIGADO!E:E,ESTIMATIVA[[#This Row],[CD_UPNIVEL3]]),"")</f>
        <v/>
      </c>
      <c r="AJ167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72" s="1">
        <f>COUNTIFS(Apresentação!$E$23:$E$29,ESTIMATIVA[[#This Row],[CD_UPNIVEL1]])</f>
        <v>0</v>
      </c>
    </row>
    <row r="1673" spans="1:37" x14ac:dyDescent="0.3">
      <c r="A1673">
        <v>20592</v>
      </c>
      <c r="B1673" t="s">
        <v>155</v>
      </c>
      <c r="C1673">
        <v>33</v>
      </c>
      <c r="D1673">
        <v>6</v>
      </c>
      <c r="E1673" t="s">
        <v>261</v>
      </c>
      <c r="F1673" s="85" t="s">
        <v>331</v>
      </c>
      <c r="G1673"/>
      <c r="H1673" t="s">
        <v>294</v>
      </c>
      <c r="I1673" t="s">
        <v>194</v>
      </c>
      <c r="J1673" t="s">
        <v>176</v>
      </c>
      <c r="K1673" s="1">
        <v>20.81</v>
      </c>
      <c r="L1673" s="1">
        <v>20.81</v>
      </c>
      <c r="M1673" s="1">
        <v>20.81</v>
      </c>
      <c r="N1673" s="1">
        <v>20.81</v>
      </c>
      <c r="O1673" s="1">
        <v>936.45</v>
      </c>
      <c r="P1673" s="1">
        <v>936.45</v>
      </c>
      <c r="Q1673" s="1">
        <v>936.45</v>
      </c>
      <c r="R1673" s="1">
        <v>1006.95</v>
      </c>
      <c r="S1673" t="s">
        <v>12</v>
      </c>
      <c r="T1673" s="13">
        <v>45942</v>
      </c>
      <c r="U1673" s="1" t="str">
        <f>IF(ESTIMATIVA[[#This Row],[QT_AREA_REAL]]&gt;0,"1- Colhido","2- à Colher")</f>
        <v>1- Colhido</v>
      </c>
      <c r="V1673" s="1" t="str">
        <f>IF(ESTIMATIVA[[#This Row],[QT_AREA_REST1]]&gt;0,"Reestimativa 1",IF(ESTIMATIVA[[#This Row],[QT_AREA_REAL]]=0,"Reestimativa 1","Realizado"))</f>
        <v>Reestimativa 1</v>
      </c>
      <c r="W1673" s="1" t="str">
        <f>IF(ESTIMATIVA[[#This Row],[QT_AREA_REST2]]&gt;0,"Reestimativa 2",IF(ESTIMATIVA[[#This Row],[QT_AREA_REAL]]=0,"Reestimativa 2","Realizado"))</f>
        <v>Reestimativa 2</v>
      </c>
      <c r="X1673" s="1">
        <f>ESTIMATIVA[[#This Row],[QT_AREA_EST]]</f>
        <v>20.81</v>
      </c>
      <c r="Y1673" s="1">
        <f>IF(ESTIMATIVA[[#This Row],[QT_AREA_REST1]]&gt;0,ESTIMATIVA[[#This Row],[QT_AREA_REST1]],
  IF(ESTIMATIVA[[#This Row],[QT_AREA_REAL]]&gt;0,ESTIMATIVA[[#This Row],[QT_AREA_REAL]],ESTIMATIVA[[#This Row],[QT_AREA_EST]]))</f>
        <v>20.81</v>
      </c>
      <c r="Z167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20.81</v>
      </c>
      <c r="AA1673" s="1">
        <f>ESTIMATIVA[[#This Row],[QT_CANA_EST]]</f>
        <v>936.45</v>
      </c>
      <c r="AB1673" s="1">
        <f>IF(ESTIMATIVA[[#This Row],[QT_CANA_REST1]]&gt;0,ESTIMATIVA[[#This Row],[QT_CANA_REST1]],
  IF(ESTIMATIVA[[#This Row],[QT_CANA_REAL]]&gt;0,ESTIMATIVA[[#This Row],[QT_CANA_REAL]],ESTIMATIVA[[#This Row],[QT_CANA_EST]]))</f>
        <v>936.45</v>
      </c>
      <c r="AC167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936.45</v>
      </c>
      <c r="AD1673" s="1">
        <f>IF(ESTIMATIVA[[#This Row],[QT_AREA_REAL]]&gt;0,ESTIMATIVA[[#This Row],[QT_CANA_REAL]],ESTIMATIVA[[#This Row],[QT_CANA_EST]])</f>
        <v>1006.95</v>
      </c>
      <c r="AE1673" s="1">
        <f>IF(ESTIMATIVA[[#This Row],[QT_AREA_REAL]]&gt;0,ESTIMATIVA[[#This Row],[QT_CANA_REAL]],ESTIMATIVA[[#This Row],[QT_CANA_REST1]])</f>
        <v>1006.95</v>
      </c>
      <c r="AF1673" s="1">
        <f>IF(ESTIMATIVA[[#This Row],[QT_AREA_REAL]]&gt;0,ESTIMATIVA[[#This Row],[QT_CANA_REAL]],ESTIMATIVA[[#This Row],[QT_CANA_REST2]])</f>
        <v>1006.95</v>
      </c>
      <c r="AG1673" s="1" t="str">
        <f>IF(COUNTIFS(GEADA!A:A,VALUE(ESTIMATIVA[[#This Row],[CD_UPNIVEL1]]&amp;TEXT(ESTIMATIVA[[#This Row],[CD_UPNIVEL3]],"0000")))&gt;0,"S","N")</f>
        <v>N</v>
      </c>
      <c r="AH167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73" s="55" t="str">
        <f>IF(ESTIMATIVA[[#This Row],[TP_CULTIVO]]="Irrigado",_xlfn.MAXIFS(IRRIGADO!J:J,IRRIGADO!C:C,ESTIMATIVA[[#This Row],[CD_UPNIVEL1]],IRRIGADO!E:E,ESTIMATIVA[[#This Row],[CD_UPNIVEL3]]),"")</f>
        <v/>
      </c>
      <c r="AJ167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73" s="1">
        <f>COUNTIFS(Apresentação!$E$23:$E$29,ESTIMATIVA[[#This Row],[CD_UPNIVEL1]])</f>
        <v>0</v>
      </c>
    </row>
    <row r="1674" spans="1:37" x14ac:dyDescent="0.3">
      <c r="A1674">
        <v>20594</v>
      </c>
      <c r="B1674" t="s">
        <v>88</v>
      </c>
      <c r="C1674">
        <v>1</v>
      </c>
      <c r="D1674">
        <v>1</v>
      </c>
      <c r="E1674" t="s">
        <v>267</v>
      </c>
      <c r="F1674" s="85" t="s">
        <v>333</v>
      </c>
      <c r="G1674"/>
      <c r="H1674" t="s">
        <v>295</v>
      </c>
      <c r="I1674" t="s">
        <v>200</v>
      </c>
      <c r="J1674" t="s">
        <v>176</v>
      </c>
      <c r="K1674" s="1">
        <v>6.88</v>
      </c>
      <c r="L1674" s="1">
        <v>6.88</v>
      </c>
      <c r="M1674" s="1">
        <v>0</v>
      </c>
      <c r="N1674" s="1">
        <v>6.88</v>
      </c>
      <c r="O1674" s="1">
        <v>756.8</v>
      </c>
      <c r="P1674" s="1">
        <v>784.32</v>
      </c>
      <c r="Q1674" s="1">
        <v>0</v>
      </c>
      <c r="R1674" s="1">
        <v>660.94</v>
      </c>
      <c r="S1674" t="s">
        <v>12</v>
      </c>
      <c r="T1674" s="13">
        <v>45900</v>
      </c>
      <c r="U1674" s="1" t="str">
        <f>IF(ESTIMATIVA[[#This Row],[QT_AREA_REAL]]&gt;0,"1- Colhido","2- à Colher")</f>
        <v>1- Colhido</v>
      </c>
      <c r="V1674" s="1" t="str">
        <f>IF(ESTIMATIVA[[#This Row],[QT_AREA_REST1]]&gt;0,"Reestimativa 1",IF(ESTIMATIVA[[#This Row],[QT_AREA_REAL]]=0,"Reestimativa 1","Realizado"))</f>
        <v>Reestimativa 1</v>
      </c>
      <c r="W1674" s="1" t="str">
        <f>IF(ESTIMATIVA[[#This Row],[QT_AREA_REST2]]&gt;0,"Reestimativa 2",IF(ESTIMATIVA[[#This Row],[QT_AREA_REAL]]=0,"Reestimativa 2","Realizado"))</f>
        <v>Realizado</v>
      </c>
      <c r="X1674" s="1">
        <f>ESTIMATIVA[[#This Row],[QT_AREA_EST]]</f>
        <v>6.88</v>
      </c>
      <c r="Y1674" s="1">
        <f>IF(ESTIMATIVA[[#This Row],[QT_AREA_REST1]]&gt;0,ESTIMATIVA[[#This Row],[QT_AREA_REST1]],
  IF(ESTIMATIVA[[#This Row],[QT_AREA_REAL]]&gt;0,ESTIMATIVA[[#This Row],[QT_AREA_REAL]],ESTIMATIVA[[#This Row],[QT_AREA_EST]]))</f>
        <v>6.88</v>
      </c>
      <c r="Z167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6.88</v>
      </c>
      <c r="AA1674" s="1">
        <f>ESTIMATIVA[[#This Row],[QT_CANA_EST]]</f>
        <v>756.8</v>
      </c>
      <c r="AB1674" s="1">
        <f>IF(ESTIMATIVA[[#This Row],[QT_CANA_REST1]]&gt;0,ESTIMATIVA[[#This Row],[QT_CANA_REST1]],
  IF(ESTIMATIVA[[#This Row],[QT_CANA_REAL]]&gt;0,ESTIMATIVA[[#This Row],[QT_CANA_REAL]],ESTIMATIVA[[#This Row],[QT_CANA_EST]]))</f>
        <v>784.32</v>
      </c>
      <c r="AC167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660.94</v>
      </c>
      <c r="AD1674" s="1">
        <f>IF(ESTIMATIVA[[#This Row],[QT_AREA_REAL]]&gt;0,ESTIMATIVA[[#This Row],[QT_CANA_REAL]],ESTIMATIVA[[#This Row],[QT_CANA_EST]])</f>
        <v>660.94</v>
      </c>
      <c r="AE1674" s="1">
        <f>IF(ESTIMATIVA[[#This Row],[QT_AREA_REAL]]&gt;0,ESTIMATIVA[[#This Row],[QT_CANA_REAL]],ESTIMATIVA[[#This Row],[QT_CANA_REST1]])</f>
        <v>660.94</v>
      </c>
      <c r="AF1674" s="1">
        <f>IF(ESTIMATIVA[[#This Row],[QT_AREA_REAL]]&gt;0,ESTIMATIVA[[#This Row],[QT_CANA_REAL]],ESTIMATIVA[[#This Row],[QT_CANA_REST2]])</f>
        <v>660.94</v>
      </c>
      <c r="AG1674" s="1" t="str">
        <f>IF(COUNTIFS(GEADA!A:A,VALUE(ESTIMATIVA[[#This Row],[CD_UPNIVEL1]]&amp;TEXT(ESTIMATIVA[[#This Row],[CD_UPNIVEL3]],"0000")))&gt;0,"S","N")</f>
        <v>N</v>
      </c>
      <c r="AH167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74" s="55" t="str">
        <f>IF(ESTIMATIVA[[#This Row],[TP_CULTIVO]]="Irrigado",_xlfn.MAXIFS(IRRIGADO!J:J,IRRIGADO!C:C,ESTIMATIVA[[#This Row],[CD_UPNIVEL1]],IRRIGADO!E:E,ESTIMATIVA[[#This Row],[CD_UPNIVEL3]]),"")</f>
        <v/>
      </c>
      <c r="AJ167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74" s="1">
        <f>COUNTIFS(Apresentação!$E$23:$E$29,ESTIMATIVA[[#This Row],[CD_UPNIVEL1]])</f>
        <v>0</v>
      </c>
    </row>
    <row r="1675" spans="1:37" x14ac:dyDescent="0.3">
      <c r="A1675">
        <v>20594</v>
      </c>
      <c r="B1675" t="s">
        <v>88</v>
      </c>
      <c r="C1675">
        <v>2</v>
      </c>
      <c r="D1675">
        <v>1</v>
      </c>
      <c r="E1675" t="s">
        <v>267</v>
      </c>
      <c r="F1675" s="85" t="s">
        <v>331</v>
      </c>
      <c r="G1675"/>
      <c r="H1675" t="s">
        <v>295</v>
      </c>
      <c r="I1675" t="s">
        <v>200</v>
      </c>
      <c r="J1675" t="s">
        <v>176</v>
      </c>
      <c r="K1675" s="1">
        <v>3.28</v>
      </c>
      <c r="L1675" s="1">
        <v>3.28</v>
      </c>
      <c r="M1675" s="1">
        <v>0</v>
      </c>
      <c r="N1675" s="1">
        <v>3.28</v>
      </c>
      <c r="O1675" s="1">
        <v>373.92</v>
      </c>
      <c r="P1675" s="1">
        <v>373.92</v>
      </c>
      <c r="Q1675" s="1">
        <v>0</v>
      </c>
      <c r="R1675" s="1">
        <v>315.26</v>
      </c>
      <c r="S1675" t="s">
        <v>12</v>
      </c>
      <c r="T1675" s="13">
        <v>45900</v>
      </c>
      <c r="U1675" s="1" t="str">
        <f>IF(ESTIMATIVA[[#This Row],[QT_AREA_REAL]]&gt;0,"1- Colhido","2- à Colher")</f>
        <v>1- Colhido</v>
      </c>
      <c r="V1675" s="1" t="str">
        <f>IF(ESTIMATIVA[[#This Row],[QT_AREA_REST1]]&gt;0,"Reestimativa 1",IF(ESTIMATIVA[[#This Row],[QT_AREA_REAL]]=0,"Reestimativa 1","Realizado"))</f>
        <v>Reestimativa 1</v>
      </c>
      <c r="W1675" s="1" t="str">
        <f>IF(ESTIMATIVA[[#This Row],[QT_AREA_REST2]]&gt;0,"Reestimativa 2",IF(ESTIMATIVA[[#This Row],[QT_AREA_REAL]]=0,"Reestimativa 2","Realizado"))</f>
        <v>Realizado</v>
      </c>
      <c r="X1675" s="1">
        <f>ESTIMATIVA[[#This Row],[QT_AREA_EST]]</f>
        <v>3.28</v>
      </c>
      <c r="Y1675" s="1">
        <f>IF(ESTIMATIVA[[#This Row],[QT_AREA_REST1]]&gt;0,ESTIMATIVA[[#This Row],[QT_AREA_REST1]],
  IF(ESTIMATIVA[[#This Row],[QT_AREA_REAL]]&gt;0,ESTIMATIVA[[#This Row],[QT_AREA_REAL]],ESTIMATIVA[[#This Row],[QT_AREA_EST]]))</f>
        <v>3.28</v>
      </c>
      <c r="Z167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3.28</v>
      </c>
      <c r="AA1675" s="1">
        <f>ESTIMATIVA[[#This Row],[QT_CANA_EST]]</f>
        <v>373.92</v>
      </c>
      <c r="AB1675" s="1">
        <f>IF(ESTIMATIVA[[#This Row],[QT_CANA_REST1]]&gt;0,ESTIMATIVA[[#This Row],[QT_CANA_REST1]],
  IF(ESTIMATIVA[[#This Row],[QT_CANA_REAL]]&gt;0,ESTIMATIVA[[#This Row],[QT_CANA_REAL]],ESTIMATIVA[[#This Row],[QT_CANA_EST]]))</f>
        <v>373.92</v>
      </c>
      <c r="AC167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315.26</v>
      </c>
      <c r="AD1675" s="1">
        <f>IF(ESTIMATIVA[[#This Row],[QT_AREA_REAL]]&gt;0,ESTIMATIVA[[#This Row],[QT_CANA_REAL]],ESTIMATIVA[[#This Row],[QT_CANA_EST]])</f>
        <v>315.26</v>
      </c>
      <c r="AE1675" s="1">
        <f>IF(ESTIMATIVA[[#This Row],[QT_AREA_REAL]]&gt;0,ESTIMATIVA[[#This Row],[QT_CANA_REAL]],ESTIMATIVA[[#This Row],[QT_CANA_REST1]])</f>
        <v>315.26</v>
      </c>
      <c r="AF1675" s="1">
        <f>IF(ESTIMATIVA[[#This Row],[QT_AREA_REAL]]&gt;0,ESTIMATIVA[[#This Row],[QT_CANA_REAL]],ESTIMATIVA[[#This Row],[QT_CANA_REST2]])</f>
        <v>315.26</v>
      </c>
      <c r="AG1675" s="1" t="str">
        <f>IF(COUNTIFS(GEADA!A:A,VALUE(ESTIMATIVA[[#This Row],[CD_UPNIVEL1]]&amp;TEXT(ESTIMATIVA[[#This Row],[CD_UPNIVEL3]],"0000")))&gt;0,"S","N")</f>
        <v>N</v>
      </c>
      <c r="AH167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75" s="55" t="str">
        <f>IF(ESTIMATIVA[[#This Row],[TP_CULTIVO]]="Irrigado",_xlfn.MAXIFS(IRRIGADO!J:J,IRRIGADO!C:C,ESTIMATIVA[[#This Row],[CD_UPNIVEL1]],IRRIGADO!E:E,ESTIMATIVA[[#This Row],[CD_UPNIVEL3]]),"")</f>
        <v/>
      </c>
      <c r="AJ167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75" s="1">
        <f>COUNTIFS(Apresentação!$E$23:$E$29,ESTIMATIVA[[#This Row],[CD_UPNIVEL1]])</f>
        <v>0</v>
      </c>
    </row>
    <row r="1676" spans="1:37" x14ac:dyDescent="0.3">
      <c r="A1676">
        <v>20594</v>
      </c>
      <c r="B1676" t="s">
        <v>88</v>
      </c>
      <c r="C1676">
        <v>3</v>
      </c>
      <c r="D1676">
        <v>1</v>
      </c>
      <c r="E1676" t="s">
        <v>267</v>
      </c>
      <c r="F1676" s="85" t="s">
        <v>333</v>
      </c>
      <c r="G1676"/>
      <c r="H1676" t="s">
        <v>295</v>
      </c>
      <c r="I1676" t="s">
        <v>200</v>
      </c>
      <c r="J1676" t="s">
        <v>176</v>
      </c>
      <c r="K1676" s="1">
        <v>16.260000000000002</v>
      </c>
      <c r="L1676" s="1">
        <v>16.260000000000002</v>
      </c>
      <c r="M1676" s="1">
        <v>0</v>
      </c>
      <c r="N1676" s="1">
        <v>16.260000000000002</v>
      </c>
      <c r="O1676" s="1">
        <v>1772.34</v>
      </c>
      <c r="P1676" s="1">
        <v>1837.38</v>
      </c>
      <c r="Q1676" s="1">
        <v>0</v>
      </c>
      <c r="R1676" s="1">
        <v>1548.76</v>
      </c>
      <c r="S1676" t="s">
        <v>12</v>
      </c>
      <c r="T1676" s="13">
        <v>45900</v>
      </c>
      <c r="U1676" s="1" t="str">
        <f>IF(ESTIMATIVA[[#This Row],[QT_AREA_REAL]]&gt;0,"1- Colhido","2- à Colher")</f>
        <v>1- Colhido</v>
      </c>
      <c r="V1676" s="1" t="str">
        <f>IF(ESTIMATIVA[[#This Row],[QT_AREA_REST1]]&gt;0,"Reestimativa 1",IF(ESTIMATIVA[[#This Row],[QT_AREA_REAL]]=0,"Reestimativa 1","Realizado"))</f>
        <v>Reestimativa 1</v>
      </c>
      <c r="W1676" s="1" t="str">
        <f>IF(ESTIMATIVA[[#This Row],[QT_AREA_REST2]]&gt;0,"Reestimativa 2",IF(ESTIMATIVA[[#This Row],[QT_AREA_REAL]]=0,"Reestimativa 2","Realizado"))</f>
        <v>Realizado</v>
      </c>
      <c r="X1676" s="1">
        <f>ESTIMATIVA[[#This Row],[QT_AREA_EST]]</f>
        <v>16.260000000000002</v>
      </c>
      <c r="Y1676" s="1">
        <f>IF(ESTIMATIVA[[#This Row],[QT_AREA_REST1]]&gt;0,ESTIMATIVA[[#This Row],[QT_AREA_REST1]],
  IF(ESTIMATIVA[[#This Row],[QT_AREA_REAL]]&gt;0,ESTIMATIVA[[#This Row],[QT_AREA_REAL]],ESTIMATIVA[[#This Row],[QT_AREA_EST]]))</f>
        <v>16.260000000000002</v>
      </c>
      <c r="Z167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16.260000000000002</v>
      </c>
      <c r="AA1676" s="1">
        <f>ESTIMATIVA[[#This Row],[QT_CANA_EST]]</f>
        <v>1772.34</v>
      </c>
      <c r="AB1676" s="1">
        <f>IF(ESTIMATIVA[[#This Row],[QT_CANA_REST1]]&gt;0,ESTIMATIVA[[#This Row],[QT_CANA_REST1]],
  IF(ESTIMATIVA[[#This Row],[QT_CANA_REAL]]&gt;0,ESTIMATIVA[[#This Row],[QT_CANA_REAL]],ESTIMATIVA[[#This Row],[QT_CANA_EST]]))</f>
        <v>1837.38</v>
      </c>
      <c r="AC167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1548.76</v>
      </c>
      <c r="AD1676" s="1">
        <f>IF(ESTIMATIVA[[#This Row],[QT_AREA_REAL]]&gt;0,ESTIMATIVA[[#This Row],[QT_CANA_REAL]],ESTIMATIVA[[#This Row],[QT_CANA_EST]])</f>
        <v>1548.76</v>
      </c>
      <c r="AE1676" s="1">
        <f>IF(ESTIMATIVA[[#This Row],[QT_AREA_REAL]]&gt;0,ESTIMATIVA[[#This Row],[QT_CANA_REAL]],ESTIMATIVA[[#This Row],[QT_CANA_REST1]])</f>
        <v>1548.76</v>
      </c>
      <c r="AF1676" s="1">
        <f>IF(ESTIMATIVA[[#This Row],[QT_AREA_REAL]]&gt;0,ESTIMATIVA[[#This Row],[QT_CANA_REAL]],ESTIMATIVA[[#This Row],[QT_CANA_REST2]])</f>
        <v>1548.76</v>
      </c>
      <c r="AG1676" s="1" t="str">
        <f>IF(COUNTIFS(GEADA!A:A,VALUE(ESTIMATIVA[[#This Row],[CD_UPNIVEL1]]&amp;TEXT(ESTIMATIVA[[#This Row],[CD_UPNIVEL3]],"0000")))&gt;0,"S","N")</f>
        <v>N</v>
      </c>
      <c r="AH167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76" s="55" t="str">
        <f>IF(ESTIMATIVA[[#This Row],[TP_CULTIVO]]="Irrigado",_xlfn.MAXIFS(IRRIGADO!J:J,IRRIGADO!C:C,ESTIMATIVA[[#This Row],[CD_UPNIVEL1]],IRRIGADO!E:E,ESTIMATIVA[[#This Row],[CD_UPNIVEL3]]),"")</f>
        <v/>
      </c>
      <c r="AJ167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76" s="1">
        <f>COUNTIFS(Apresentação!$E$23:$E$29,ESTIMATIVA[[#This Row],[CD_UPNIVEL1]])</f>
        <v>0</v>
      </c>
    </row>
    <row r="1677" spans="1:37" x14ac:dyDescent="0.3">
      <c r="A1677">
        <v>20594</v>
      </c>
      <c r="B1677" t="s">
        <v>88</v>
      </c>
      <c r="C1677">
        <v>4</v>
      </c>
      <c r="D1677">
        <v>1</v>
      </c>
      <c r="E1677" t="s">
        <v>267</v>
      </c>
      <c r="F1677" s="85" t="s">
        <v>331</v>
      </c>
      <c r="G1677"/>
      <c r="H1677" t="s">
        <v>295</v>
      </c>
      <c r="I1677" t="s">
        <v>200</v>
      </c>
      <c r="J1677" t="s">
        <v>176</v>
      </c>
      <c r="K1677" s="1">
        <v>12.07</v>
      </c>
      <c r="L1677" s="1">
        <v>12.07</v>
      </c>
      <c r="M1677" s="1">
        <v>0</v>
      </c>
      <c r="N1677" s="1">
        <v>12.07</v>
      </c>
      <c r="O1677" s="1">
        <v>1303.56</v>
      </c>
      <c r="P1677" s="1">
        <v>1375.98</v>
      </c>
      <c r="Q1677" s="1">
        <v>0</v>
      </c>
      <c r="R1677" s="1">
        <v>1160.08</v>
      </c>
      <c r="S1677" t="s">
        <v>12</v>
      </c>
      <c r="T1677" s="13">
        <v>45900</v>
      </c>
      <c r="U1677" s="1" t="str">
        <f>IF(ESTIMATIVA[[#This Row],[QT_AREA_REAL]]&gt;0,"1- Colhido","2- à Colher")</f>
        <v>1- Colhido</v>
      </c>
      <c r="V1677" s="1" t="str">
        <f>IF(ESTIMATIVA[[#This Row],[QT_AREA_REST1]]&gt;0,"Reestimativa 1",IF(ESTIMATIVA[[#This Row],[QT_AREA_REAL]]=0,"Reestimativa 1","Realizado"))</f>
        <v>Reestimativa 1</v>
      </c>
      <c r="W1677" s="1" t="str">
        <f>IF(ESTIMATIVA[[#This Row],[QT_AREA_REST2]]&gt;0,"Reestimativa 2",IF(ESTIMATIVA[[#This Row],[QT_AREA_REAL]]=0,"Reestimativa 2","Realizado"))</f>
        <v>Realizado</v>
      </c>
      <c r="X1677" s="1">
        <f>ESTIMATIVA[[#This Row],[QT_AREA_EST]]</f>
        <v>12.07</v>
      </c>
      <c r="Y1677" s="1">
        <f>IF(ESTIMATIVA[[#This Row],[QT_AREA_REST1]]&gt;0,ESTIMATIVA[[#This Row],[QT_AREA_REST1]],
  IF(ESTIMATIVA[[#This Row],[QT_AREA_REAL]]&gt;0,ESTIMATIVA[[#This Row],[QT_AREA_REAL]],ESTIMATIVA[[#This Row],[QT_AREA_EST]]))</f>
        <v>12.07</v>
      </c>
      <c r="Z167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12.07</v>
      </c>
      <c r="AA1677" s="1">
        <f>ESTIMATIVA[[#This Row],[QT_CANA_EST]]</f>
        <v>1303.56</v>
      </c>
      <c r="AB1677" s="1">
        <f>IF(ESTIMATIVA[[#This Row],[QT_CANA_REST1]]&gt;0,ESTIMATIVA[[#This Row],[QT_CANA_REST1]],
  IF(ESTIMATIVA[[#This Row],[QT_CANA_REAL]]&gt;0,ESTIMATIVA[[#This Row],[QT_CANA_REAL]],ESTIMATIVA[[#This Row],[QT_CANA_EST]]))</f>
        <v>1375.98</v>
      </c>
      <c r="AC167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1160.08</v>
      </c>
      <c r="AD1677" s="1">
        <f>IF(ESTIMATIVA[[#This Row],[QT_AREA_REAL]]&gt;0,ESTIMATIVA[[#This Row],[QT_CANA_REAL]],ESTIMATIVA[[#This Row],[QT_CANA_EST]])</f>
        <v>1160.08</v>
      </c>
      <c r="AE1677" s="1">
        <f>IF(ESTIMATIVA[[#This Row],[QT_AREA_REAL]]&gt;0,ESTIMATIVA[[#This Row],[QT_CANA_REAL]],ESTIMATIVA[[#This Row],[QT_CANA_REST1]])</f>
        <v>1160.08</v>
      </c>
      <c r="AF1677" s="1">
        <f>IF(ESTIMATIVA[[#This Row],[QT_AREA_REAL]]&gt;0,ESTIMATIVA[[#This Row],[QT_CANA_REAL]],ESTIMATIVA[[#This Row],[QT_CANA_REST2]])</f>
        <v>1160.08</v>
      </c>
      <c r="AG1677" s="1" t="str">
        <f>IF(COUNTIFS(GEADA!A:A,VALUE(ESTIMATIVA[[#This Row],[CD_UPNIVEL1]]&amp;TEXT(ESTIMATIVA[[#This Row],[CD_UPNIVEL3]],"0000")))&gt;0,"S","N")</f>
        <v>N</v>
      </c>
      <c r="AH167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77" s="55" t="str">
        <f>IF(ESTIMATIVA[[#This Row],[TP_CULTIVO]]="Irrigado",_xlfn.MAXIFS(IRRIGADO!J:J,IRRIGADO!C:C,ESTIMATIVA[[#This Row],[CD_UPNIVEL1]],IRRIGADO!E:E,ESTIMATIVA[[#This Row],[CD_UPNIVEL3]]),"")</f>
        <v/>
      </c>
      <c r="AJ167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77" s="1">
        <f>COUNTIFS(Apresentação!$E$23:$E$29,ESTIMATIVA[[#This Row],[CD_UPNIVEL1]])</f>
        <v>0</v>
      </c>
    </row>
    <row r="1678" spans="1:37" x14ac:dyDescent="0.3">
      <c r="A1678">
        <v>20594</v>
      </c>
      <c r="B1678" t="s">
        <v>88</v>
      </c>
      <c r="C1678">
        <v>5</v>
      </c>
      <c r="D1678">
        <v>1</v>
      </c>
      <c r="E1678" t="s">
        <v>267</v>
      </c>
      <c r="F1678" s="85" t="s">
        <v>331</v>
      </c>
      <c r="G1678"/>
      <c r="H1678" t="s">
        <v>295</v>
      </c>
      <c r="I1678" t="s">
        <v>200</v>
      </c>
      <c r="J1678" t="s">
        <v>176</v>
      </c>
      <c r="K1678" s="1">
        <v>7.13</v>
      </c>
      <c r="L1678" s="1">
        <v>7.13</v>
      </c>
      <c r="M1678" s="1">
        <v>0</v>
      </c>
      <c r="N1678" s="1">
        <v>7.13</v>
      </c>
      <c r="O1678" s="1">
        <v>770.04</v>
      </c>
      <c r="P1678" s="1">
        <v>812.82</v>
      </c>
      <c r="Q1678" s="1">
        <v>0</v>
      </c>
      <c r="R1678" s="1">
        <v>685.39</v>
      </c>
      <c r="S1678" t="s">
        <v>12</v>
      </c>
      <c r="T1678" s="13">
        <v>45900</v>
      </c>
      <c r="U1678" s="1" t="str">
        <f>IF(ESTIMATIVA[[#This Row],[QT_AREA_REAL]]&gt;0,"1- Colhido","2- à Colher")</f>
        <v>1- Colhido</v>
      </c>
      <c r="V1678" s="1" t="str">
        <f>IF(ESTIMATIVA[[#This Row],[QT_AREA_REST1]]&gt;0,"Reestimativa 1",IF(ESTIMATIVA[[#This Row],[QT_AREA_REAL]]=0,"Reestimativa 1","Realizado"))</f>
        <v>Reestimativa 1</v>
      </c>
      <c r="W1678" s="1" t="str">
        <f>IF(ESTIMATIVA[[#This Row],[QT_AREA_REST2]]&gt;0,"Reestimativa 2",IF(ESTIMATIVA[[#This Row],[QT_AREA_REAL]]=0,"Reestimativa 2","Realizado"))</f>
        <v>Realizado</v>
      </c>
      <c r="X1678" s="1">
        <f>ESTIMATIVA[[#This Row],[QT_AREA_EST]]</f>
        <v>7.13</v>
      </c>
      <c r="Y1678" s="1">
        <f>IF(ESTIMATIVA[[#This Row],[QT_AREA_REST1]]&gt;0,ESTIMATIVA[[#This Row],[QT_AREA_REST1]],
  IF(ESTIMATIVA[[#This Row],[QT_AREA_REAL]]&gt;0,ESTIMATIVA[[#This Row],[QT_AREA_REAL]],ESTIMATIVA[[#This Row],[QT_AREA_EST]]))</f>
        <v>7.13</v>
      </c>
      <c r="Z167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7.13</v>
      </c>
      <c r="AA1678" s="1">
        <f>ESTIMATIVA[[#This Row],[QT_CANA_EST]]</f>
        <v>770.04</v>
      </c>
      <c r="AB1678" s="1">
        <f>IF(ESTIMATIVA[[#This Row],[QT_CANA_REST1]]&gt;0,ESTIMATIVA[[#This Row],[QT_CANA_REST1]],
  IF(ESTIMATIVA[[#This Row],[QT_CANA_REAL]]&gt;0,ESTIMATIVA[[#This Row],[QT_CANA_REAL]],ESTIMATIVA[[#This Row],[QT_CANA_EST]]))</f>
        <v>812.82</v>
      </c>
      <c r="AC167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685.39</v>
      </c>
      <c r="AD1678" s="1">
        <f>IF(ESTIMATIVA[[#This Row],[QT_AREA_REAL]]&gt;0,ESTIMATIVA[[#This Row],[QT_CANA_REAL]],ESTIMATIVA[[#This Row],[QT_CANA_EST]])</f>
        <v>685.39</v>
      </c>
      <c r="AE1678" s="1">
        <f>IF(ESTIMATIVA[[#This Row],[QT_AREA_REAL]]&gt;0,ESTIMATIVA[[#This Row],[QT_CANA_REAL]],ESTIMATIVA[[#This Row],[QT_CANA_REST1]])</f>
        <v>685.39</v>
      </c>
      <c r="AF1678" s="1">
        <f>IF(ESTIMATIVA[[#This Row],[QT_AREA_REAL]]&gt;0,ESTIMATIVA[[#This Row],[QT_CANA_REAL]],ESTIMATIVA[[#This Row],[QT_CANA_REST2]])</f>
        <v>685.39</v>
      </c>
      <c r="AG1678" s="1" t="str">
        <f>IF(COUNTIFS(GEADA!A:A,VALUE(ESTIMATIVA[[#This Row],[CD_UPNIVEL1]]&amp;TEXT(ESTIMATIVA[[#This Row],[CD_UPNIVEL3]],"0000")))&gt;0,"S","N")</f>
        <v>N</v>
      </c>
      <c r="AH167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78" s="55" t="str">
        <f>IF(ESTIMATIVA[[#This Row],[TP_CULTIVO]]="Irrigado",_xlfn.MAXIFS(IRRIGADO!J:J,IRRIGADO!C:C,ESTIMATIVA[[#This Row],[CD_UPNIVEL1]],IRRIGADO!E:E,ESTIMATIVA[[#This Row],[CD_UPNIVEL3]]),"")</f>
        <v/>
      </c>
      <c r="AJ167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78" s="1">
        <f>COUNTIFS(Apresentação!$E$23:$E$29,ESTIMATIVA[[#This Row],[CD_UPNIVEL1]])</f>
        <v>0</v>
      </c>
    </row>
    <row r="1679" spans="1:37" x14ac:dyDescent="0.3">
      <c r="A1679">
        <v>20594</v>
      </c>
      <c r="B1679" t="s">
        <v>88</v>
      </c>
      <c r="C1679">
        <v>6</v>
      </c>
      <c r="D1679">
        <v>1</v>
      </c>
      <c r="E1679" t="s">
        <v>267</v>
      </c>
      <c r="F1679" s="85" t="s">
        <v>331</v>
      </c>
      <c r="G1679"/>
      <c r="H1679" t="s">
        <v>295</v>
      </c>
      <c r="I1679" t="s">
        <v>200</v>
      </c>
      <c r="J1679" t="s">
        <v>176</v>
      </c>
      <c r="K1679" s="1">
        <v>5.03</v>
      </c>
      <c r="L1679" s="1">
        <v>5.03</v>
      </c>
      <c r="M1679" s="1">
        <v>0</v>
      </c>
      <c r="N1679" s="1">
        <v>5.03</v>
      </c>
      <c r="O1679" s="1">
        <v>533.17999999999995</v>
      </c>
      <c r="P1679" s="1">
        <v>573.41999999999996</v>
      </c>
      <c r="Q1679" s="1">
        <v>0</v>
      </c>
      <c r="R1679" s="1">
        <v>483.49</v>
      </c>
      <c r="S1679" t="s">
        <v>12</v>
      </c>
      <c r="T1679" s="13">
        <v>45900</v>
      </c>
      <c r="U1679" s="1" t="str">
        <f>IF(ESTIMATIVA[[#This Row],[QT_AREA_REAL]]&gt;0,"1- Colhido","2- à Colher")</f>
        <v>1- Colhido</v>
      </c>
      <c r="V1679" s="1" t="str">
        <f>IF(ESTIMATIVA[[#This Row],[QT_AREA_REST1]]&gt;0,"Reestimativa 1",IF(ESTIMATIVA[[#This Row],[QT_AREA_REAL]]=0,"Reestimativa 1","Realizado"))</f>
        <v>Reestimativa 1</v>
      </c>
      <c r="W1679" s="1" t="str">
        <f>IF(ESTIMATIVA[[#This Row],[QT_AREA_REST2]]&gt;0,"Reestimativa 2",IF(ESTIMATIVA[[#This Row],[QT_AREA_REAL]]=0,"Reestimativa 2","Realizado"))</f>
        <v>Realizado</v>
      </c>
      <c r="X1679" s="1">
        <f>ESTIMATIVA[[#This Row],[QT_AREA_EST]]</f>
        <v>5.03</v>
      </c>
      <c r="Y1679" s="1">
        <f>IF(ESTIMATIVA[[#This Row],[QT_AREA_REST1]]&gt;0,ESTIMATIVA[[#This Row],[QT_AREA_REST1]],
  IF(ESTIMATIVA[[#This Row],[QT_AREA_REAL]]&gt;0,ESTIMATIVA[[#This Row],[QT_AREA_REAL]],ESTIMATIVA[[#This Row],[QT_AREA_EST]]))</f>
        <v>5.03</v>
      </c>
      <c r="Z167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5.03</v>
      </c>
      <c r="AA1679" s="1">
        <f>ESTIMATIVA[[#This Row],[QT_CANA_EST]]</f>
        <v>533.17999999999995</v>
      </c>
      <c r="AB1679" s="1">
        <f>IF(ESTIMATIVA[[#This Row],[QT_CANA_REST1]]&gt;0,ESTIMATIVA[[#This Row],[QT_CANA_REST1]],
  IF(ESTIMATIVA[[#This Row],[QT_CANA_REAL]]&gt;0,ESTIMATIVA[[#This Row],[QT_CANA_REAL]],ESTIMATIVA[[#This Row],[QT_CANA_EST]]))</f>
        <v>573.41999999999996</v>
      </c>
      <c r="AC167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483.49</v>
      </c>
      <c r="AD1679" s="1">
        <f>IF(ESTIMATIVA[[#This Row],[QT_AREA_REAL]]&gt;0,ESTIMATIVA[[#This Row],[QT_CANA_REAL]],ESTIMATIVA[[#This Row],[QT_CANA_EST]])</f>
        <v>483.49</v>
      </c>
      <c r="AE1679" s="1">
        <f>IF(ESTIMATIVA[[#This Row],[QT_AREA_REAL]]&gt;0,ESTIMATIVA[[#This Row],[QT_CANA_REAL]],ESTIMATIVA[[#This Row],[QT_CANA_REST1]])</f>
        <v>483.49</v>
      </c>
      <c r="AF1679" s="1">
        <f>IF(ESTIMATIVA[[#This Row],[QT_AREA_REAL]]&gt;0,ESTIMATIVA[[#This Row],[QT_CANA_REAL]],ESTIMATIVA[[#This Row],[QT_CANA_REST2]])</f>
        <v>483.49</v>
      </c>
      <c r="AG1679" s="1" t="str">
        <f>IF(COUNTIFS(GEADA!A:A,VALUE(ESTIMATIVA[[#This Row],[CD_UPNIVEL1]]&amp;TEXT(ESTIMATIVA[[#This Row],[CD_UPNIVEL3]],"0000")))&gt;0,"S","N")</f>
        <v>N</v>
      </c>
      <c r="AH167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79" s="55" t="str">
        <f>IF(ESTIMATIVA[[#This Row],[TP_CULTIVO]]="Irrigado",_xlfn.MAXIFS(IRRIGADO!J:J,IRRIGADO!C:C,ESTIMATIVA[[#This Row],[CD_UPNIVEL1]],IRRIGADO!E:E,ESTIMATIVA[[#This Row],[CD_UPNIVEL3]]),"")</f>
        <v/>
      </c>
      <c r="AJ167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79" s="1">
        <f>COUNTIFS(Apresentação!$E$23:$E$29,ESTIMATIVA[[#This Row],[CD_UPNIVEL1]])</f>
        <v>0</v>
      </c>
    </row>
    <row r="1680" spans="1:37" x14ac:dyDescent="0.3">
      <c r="A1680">
        <v>20595</v>
      </c>
      <c r="B1680" t="s">
        <v>89</v>
      </c>
      <c r="C1680">
        <v>1</v>
      </c>
      <c r="D1680">
        <v>6</v>
      </c>
      <c r="E1680" t="s">
        <v>261</v>
      </c>
      <c r="F1680" s="85" t="s">
        <v>333</v>
      </c>
      <c r="G1680"/>
      <c r="H1680" t="s">
        <v>295</v>
      </c>
      <c r="I1680" t="s">
        <v>197</v>
      </c>
      <c r="J1680" t="s">
        <v>176</v>
      </c>
      <c r="K1680" s="1">
        <v>19.309999999999999</v>
      </c>
      <c r="L1680" s="1">
        <v>0</v>
      </c>
      <c r="M1680" s="1">
        <v>0</v>
      </c>
      <c r="N1680" s="1">
        <v>19.309999999999999</v>
      </c>
      <c r="O1680" s="1">
        <v>579.29999999999995</v>
      </c>
      <c r="P1680" s="1">
        <v>0</v>
      </c>
      <c r="Q1680" s="1">
        <v>0</v>
      </c>
      <c r="R1680" s="1">
        <v>1116.94</v>
      </c>
      <c r="S1680" t="s">
        <v>12</v>
      </c>
      <c r="T1680" s="13">
        <v>45732</v>
      </c>
      <c r="U1680" s="1" t="str">
        <f>IF(ESTIMATIVA[[#This Row],[QT_AREA_REAL]]&gt;0,"1- Colhido","2- à Colher")</f>
        <v>1- Colhido</v>
      </c>
      <c r="V1680" s="1" t="str">
        <f>IF(ESTIMATIVA[[#This Row],[QT_AREA_REST1]]&gt;0,"Reestimativa 1",IF(ESTIMATIVA[[#This Row],[QT_AREA_REAL]]=0,"Reestimativa 1","Realizado"))</f>
        <v>Realizado</v>
      </c>
      <c r="W1680" s="1" t="str">
        <f>IF(ESTIMATIVA[[#This Row],[QT_AREA_REST2]]&gt;0,"Reestimativa 2",IF(ESTIMATIVA[[#This Row],[QT_AREA_REAL]]=0,"Reestimativa 2","Realizado"))</f>
        <v>Realizado</v>
      </c>
      <c r="X1680" s="1">
        <f>ESTIMATIVA[[#This Row],[QT_AREA_EST]]</f>
        <v>19.309999999999999</v>
      </c>
      <c r="Y1680" s="1">
        <f>IF(ESTIMATIVA[[#This Row],[QT_AREA_REST1]]&gt;0,ESTIMATIVA[[#This Row],[QT_AREA_REST1]],
  IF(ESTIMATIVA[[#This Row],[QT_AREA_REAL]]&gt;0,ESTIMATIVA[[#This Row],[QT_AREA_REAL]],ESTIMATIVA[[#This Row],[QT_AREA_EST]]))</f>
        <v>19.309999999999999</v>
      </c>
      <c r="Z168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19.309999999999999</v>
      </c>
      <c r="AA1680" s="1">
        <f>ESTIMATIVA[[#This Row],[QT_CANA_EST]]</f>
        <v>579.29999999999995</v>
      </c>
      <c r="AB1680" s="1">
        <f>IF(ESTIMATIVA[[#This Row],[QT_CANA_REST1]]&gt;0,ESTIMATIVA[[#This Row],[QT_CANA_REST1]],
  IF(ESTIMATIVA[[#This Row],[QT_CANA_REAL]]&gt;0,ESTIMATIVA[[#This Row],[QT_CANA_REAL]],ESTIMATIVA[[#This Row],[QT_CANA_EST]]))</f>
        <v>1116.94</v>
      </c>
      <c r="AC168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1116.94</v>
      </c>
      <c r="AD1680" s="1">
        <f>IF(ESTIMATIVA[[#This Row],[QT_AREA_REAL]]&gt;0,ESTIMATIVA[[#This Row],[QT_CANA_REAL]],ESTIMATIVA[[#This Row],[QT_CANA_EST]])</f>
        <v>1116.94</v>
      </c>
      <c r="AE1680" s="1">
        <f>IF(ESTIMATIVA[[#This Row],[QT_AREA_REAL]]&gt;0,ESTIMATIVA[[#This Row],[QT_CANA_REAL]],ESTIMATIVA[[#This Row],[QT_CANA_REST1]])</f>
        <v>1116.94</v>
      </c>
      <c r="AF1680" s="1">
        <f>IF(ESTIMATIVA[[#This Row],[QT_AREA_REAL]]&gt;0,ESTIMATIVA[[#This Row],[QT_CANA_REAL]],ESTIMATIVA[[#This Row],[QT_CANA_REST2]])</f>
        <v>1116.94</v>
      </c>
      <c r="AG1680" s="1" t="str">
        <f>IF(COUNTIFS(GEADA!A:A,VALUE(ESTIMATIVA[[#This Row],[CD_UPNIVEL1]]&amp;TEXT(ESTIMATIVA[[#This Row],[CD_UPNIVEL3]],"0000")))&gt;0,"S","N")</f>
        <v>N</v>
      </c>
      <c r="AH168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80" s="55" t="str">
        <f>IF(ESTIMATIVA[[#This Row],[TP_CULTIVO]]="Irrigado",_xlfn.MAXIFS(IRRIGADO!J:J,IRRIGADO!C:C,ESTIMATIVA[[#This Row],[CD_UPNIVEL1]],IRRIGADO!E:E,ESTIMATIVA[[#This Row],[CD_UPNIVEL3]]),"")</f>
        <v/>
      </c>
      <c r="AJ168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80" s="1">
        <f>COUNTIFS(Apresentação!$E$23:$E$29,ESTIMATIVA[[#This Row],[CD_UPNIVEL1]])</f>
        <v>0</v>
      </c>
    </row>
    <row r="1681" spans="1:37" x14ac:dyDescent="0.3">
      <c r="A1681">
        <v>20601</v>
      </c>
      <c r="B1681" t="s">
        <v>90</v>
      </c>
      <c r="C1681">
        <v>1</v>
      </c>
      <c r="D1681">
        <v>4</v>
      </c>
      <c r="E1681" t="s">
        <v>265</v>
      </c>
      <c r="F1681" s="85" t="s">
        <v>331</v>
      </c>
      <c r="G1681"/>
      <c r="H1681" t="s">
        <v>294</v>
      </c>
      <c r="I1681" t="s">
        <v>195</v>
      </c>
      <c r="J1681" t="s">
        <v>176</v>
      </c>
      <c r="K1681" s="1">
        <v>10.78</v>
      </c>
      <c r="L1681" s="1">
        <v>0</v>
      </c>
      <c r="M1681" s="1">
        <v>0</v>
      </c>
      <c r="N1681" s="1">
        <v>10.78</v>
      </c>
      <c r="O1681" s="1">
        <v>711.48</v>
      </c>
      <c r="P1681" s="1">
        <v>0</v>
      </c>
      <c r="Q1681" s="1">
        <v>0</v>
      </c>
      <c r="R1681" s="1">
        <v>857.1</v>
      </c>
      <c r="S1681" t="s">
        <v>12</v>
      </c>
      <c r="T1681" s="13">
        <v>45851</v>
      </c>
      <c r="U1681" s="1" t="str">
        <f>IF(ESTIMATIVA[[#This Row],[QT_AREA_REAL]]&gt;0,"1- Colhido","2- à Colher")</f>
        <v>1- Colhido</v>
      </c>
      <c r="V1681" s="1" t="str">
        <f>IF(ESTIMATIVA[[#This Row],[QT_AREA_REST1]]&gt;0,"Reestimativa 1",IF(ESTIMATIVA[[#This Row],[QT_AREA_REAL]]=0,"Reestimativa 1","Realizado"))</f>
        <v>Realizado</v>
      </c>
      <c r="W1681" s="1" t="str">
        <f>IF(ESTIMATIVA[[#This Row],[QT_AREA_REST2]]&gt;0,"Reestimativa 2",IF(ESTIMATIVA[[#This Row],[QT_AREA_REAL]]=0,"Reestimativa 2","Realizado"))</f>
        <v>Realizado</v>
      </c>
      <c r="X1681" s="1">
        <f>ESTIMATIVA[[#This Row],[QT_AREA_EST]]</f>
        <v>10.78</v>
      </c>
      <c r="Y1681" s="1">
        <f>IF(ESTIMATIVA[[#This Row],[QT_AREA_REST1]]&gt;0,ESTIMATIVA[[#This Row],[QT_AREA_REST1]],
  IF(ESTIMATIVA[[#This Row],[QT_AREA_REAL]]&gt;0,ESTIMATIVA[[#This Row],[QT_AREA_REAL]],ESTIMATIVA[[#This Row],[QT_AREA_EST]]))</f>
        <v>10.78</v>
      </c>
      <c r="Z168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10.78</v>
      </c>
      <c r="AA1681" s="1">
        <f>ESTIMATIVA[[#This Row],[QT_CANA_EST]]</f>
        <v>711.48</v>
      </c>
      <c r="AB1681" s="1">
        <f>IF(ESTIMATIVA[[#This Row],[QT_CANA_REST1]]&gt;0,ESTIMATIVA[[#This Row],[QT_CANA_REST1]],
  IF(ESTIMATIVA[[#This Row],[QT_CANA_REAL]]&gt;0,ESTIMATIVA[[#This Row],[QT_CANA_REAL]],ESTIMATIVA[[#This Row],[QT_CANA_EST]]))</f>
        <v>857.1</v>
      </c>
      <c r="AC168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857.1</v>
      </c>
      <c r="AD1681" s="1">
        <f>IF(ESTIMATIVA[[#This Row],[QT_AREA_REAL]]&gt;0,ESTIMATIVA[[#This Row],[QT_CANA_REAL]],ESTIMATIVA[[#This Row],[QT_CANA_EST]])</f>
        <v>857.1</v>
      </c>
      <c r="AE1681" s="1">
        <f>IF(ESTIMATIVA[[#This Row],[QT_AREA_REAL]]&gt;0,ESTIMATIVA[[#This Row],[QT_CANA_REAL]],ESTIMATIVA[[#This Row],[QT_CANA_REST1]])</f>
        <v>857.1</v>
      </c>
      <c r="AF1681" s="1">
        <f>IF(ESTIMATIVA[[#This Row],[QT_AREA_REAL]]&gt;0,ESTIMATIVA[[#This Row],[QT_CANA_REAL]],ESTIMATIVA[[#This Row],[QT_CANA_REST2]])</f>
        <v>857.1</v>
      </c>
      <c r="AG1681" s="1" t="str">
        <f>IF(COUNTIFS(GEADA!A:A,VALUE(ESTIMATIVA[[#This Row],[CD_UPNIVEL1]]&amp;TEXT(ESTIMATIVA[[#This Row],[CD_UPNIVEL3]],"0000")))&gt;0,"S","N")</f>
        <v>N</v>
      </c>
      <c r="AH168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81" s="55" t="str">
        <f>IF(ESTIMATIVA[[#This Row],[TP_CULTIVO]]="Irrigado",_xlfn.MAXIFS(IRRIGADO!J:J,IRRIGADO!C:C,ESTIMATIVA[[#This Row],[CD_UPNIVEL1]],IRRIGADO!E:E,ESTIMATIVA[[#This Row],[CD_UPNIVEL3]]),"")</f>
        <v/>
      </c>
      <c r="AJ168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81" s="1">
        <f>COUNTIFS(Apresentação!$E$23:$E$29,ESTIMATIVA[[#This Row],[CD_UPNIVEL1]])</f>
        <v>0</v>
      </c>
    </row>
    <row r="1682" spans="1:37" x14ac:dyDescent="0.3">
      <c r="A1682">
        <v>20601</v>
      </c>
      <c r="B1682" t="s">
        <v>90</v>
      </c>
      <c r="C1682">
        <v>2</v>
      </c>
      <c r="D1682">
        <v>4</v>
      </c>
      <c r="E1682" t="s">
        <v>265</v>
      </c>
      <c r="F1682" s="85" t="s">
        <v>331</v>
      </c>
      <c r="G1682"/>
      <c r="H1682" t="s">
        <v>294</v>
      </c>
      <c r="I1682" t="s">
        <v>207</v>
      </c>
      <c r="J1682" t="s">
        <v>176</v>
      </c>
      <c r="K1682" s="1">
        <v>12.16</v>
      </c>
      <c r="L1682" s="1">
        <v>0</v>
      </c>
      <c r="M1682" s="1">
        <v>0</v>
      </c>
      <c r="N1682" s="1">
        <v>12.16</v>
      </c>
      <c r="O1682" s="1">
        <v>802.56</v>
      </c>
      <c r="P1682" s="1">
        <v>0</v>
      </c>
      <c r="Q1682" s="1">
        <v>0</v>
      </c>
      <c r="R1682" s="1">
        <v>968.05</v>
      </c>
      <c r="S1682" t="s">
        <v>12</v>
      </c>
      <c r="T1682" s="13">
        <v>45851</v>
      </c>
      <c r="U1682" s="1" t="str">
        <f>IF(ESTIMATIVA[[#This Row],[QT_AREA_REAL]]&gt;0,"1- Colhido","2- à Colher")</f>
        <v>1- Colhido</v>
      </c>
      <c r="V1682" s="1" t="str">
        <f>IF(ESTIMATIVA[[#This Row],[QT_AREA_REST1]]&gt;0,"Reestimativa 1",IF(ESTIMATIVA[[#This Row],[QT_AREA_REAL]]=0,"Reestimativa 1","Realizado"))</f>
        <v>Realizado</v>
      </c>
      <c r="W1682" s="1" t="str">
        <f>IF(ESTIMATIVA[[#This Row],[QT_AREA_REST2]]&gt;0,"Reestimativa 2",IF(ESTIMATIVA[[#This Row],[QT_AREA_REAL]]=0,"Reestimativa 2","Realizado"))</f>
        <v>Realizado</v>
      </c>
      <c r="X1682" s="1">
        <f>ESTIMATIVA[[#This Row],[QT_AREA_EST]]</f>
        <v>12.16</v>
      </c>
      <c r="Y1682" s="1">
        <f>IF(ESTIMATIVA[[#This Row],[QT_AREA_REST1]]&gt;0,ESTIMATIVA[[#This Row],[QT_AREA_REST1]],
  IF(ESTIMATIVA[[#This Row],[QT_AREA_REAL]]&gt;0,ESTIMATIVA[[#This Row],[QT_AREA_REAL]],ESTIMATIVA[[#This Row],[QT_AREA_EST]]))</f>
        <v>12.16</v>
      </c>
      <c r="Z168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12.16</v>
      </c>
      <c r="AA1682" s="1">
        <f>ESTIMATIVA[[#This Row],[QT_CANA_EST]]</f>
        <v>802.56</v>
      </c>
      <c r="AB1682" s="1">
        <f>IF(ESTIMATIVA[[#This Row],[QT_CANA_REST1]]&gt;0,ESTIMATIVA[[#This Row],[QT_CANA_REST1]],
  IF(ESTIMATIVA[[#This Row],[QT_CANA_REAL]]&gt;0,ESTIMATIVA[[#This Row],[QT_CANA_REAL]],ESTIMATIVA[[#This Row],[QT_CANA_EST]]))</f>
        <v>968.05</v>
      </c>
      <c r="AC168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968.05</v>
      </c>
      <c r="AD1682" s="1">
        <f>IF(ESTIMATIVA[[#This Row],[QT_AREA_REAL]]&gt;0,ESTIMATIVA[[#This Row],[QT_CANA_REAL]],ESTIMATIVA[[#This Row],[QT_CANA_EST]])</f>
        <v>968.05</v>
      </c>
      <c r="AE1682" s="1">
        <f>IF(ESTIMATIVA[[#This Row],[QT_AREA_REAL]]&gt;0,ESTIMATIVA[[#This Row],[QT_CANA_REAL]],ESTIMATIVA[[#This Row],[QT_CANA_REST1]])</f>
        <v>968.05</v>
      </c>
      <c r="AF1682" s="1">
        <f>IF(ESTIMATIVA[[#This Row],[QT_AREA_REAL]]&gt;0,ESTIMATIVA[[#This Row],[QT_CANA_REAL]],ESTIMATIVA[[#This Row],[QT_CANA_REST2]])</f>
        <v>968.05</v>
      </c>
      <c r="AG1682" s="1" t="str">
        <f>IF(COUNTIFS(GEADA!A:A,VALUE(ESTIMATIVA[[#This Row],[CD_UPNIVEL1]]&amp;TEXT(ESTIMATIVA[[#This Row],[CD_UPNIVEL3]],"0000")))&gt;0,"S","N")</f>
        <v>N</v>
      </c>
      <c r="AH168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82" s="55" t="str">
        <f>IF(ESTIMATIVA[[#This Row],[TP_CULTIVO]]="Irrigado",_xlfn.MAXIFS(IRRIGADO!J:J,IRRIGADO!C:C,ESTIMATIVA[[#This Row],[CD_UPNIVEL1]],IRRIGADO!E:E,ESTIMATIVA[[#This Row],[CD_UPNIVEL3]]),"")</f>
        <v/>
      </c>
      <c r="AJ168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82" s="1">
        <f>COUNTIFS(Apresentação!$E$23:$E$29,ESTIMATIVA[[#This Row],[CD_UPNIVEL1]])</f>
        <v>0</v>
      </c>
    </row>
    <row r="1683" spans="1:37" x14ac:dyDescent="0.3">
      <c r="A1683">
        <v>20601</v>
      </c>
      <c r="B1683" t="s">
        <v>90</v>
      </c>
      <c r="C1683">
        <v>3</v>
      </c>
      <c r="D1683">
        <v>4</v>
      </c>
      <c r="E1683" t="s">
        <v>265</v>
      </c>
      <c r="F1683" s="85" t="s">
        <v>331</v>
      </c>
      <c r="G1683"/>
      <c r="H1683" t="s">
        <v>294</v>
      </c>
      <c r="I1683" t="s">
        <v>207</v>
      </c>
      <c r="J1683" t="s">
        <v>176</v>
      </c>
      <c r="K1683" s="1">
        <v>16.190000000000001</v>
      </c>
      <c r="L1683" s="1">
        <v>16.190000000000001</v>
      </c>
      <c r="M1683" s="1">
        <v>0</v>
      </c>
      <c r="N1683" s="1">
        <v>16.190000000000001</v>
      </c>
      <c r="O1683" s="1">
        <v>1068.54</v>
      </c>
      <c r="P1683" s="1">
        <v>1068.54</v>
      </c>
      <c r="Q1683" s="1">
        <v>0</v>
      </c>
      <c r="R1683" s="1">
        <v>1394.95</v>
      </c>
      <c r="S1683" t="s">
        <v>12</v>
      </c>
      <c r="T1683" s="13">
        <v>45858</v>
      </c>
      <c r="U1683" s="1" t="str">
        <f>IF(ESTIMATIVA[[#This Row],[QT_AREA_REAL]]&gt;0,"1- Colhido","2- à Colher")</f>
        <v>1- Colhido</v>
      </c>
      <c r="V1683" s="1" t="str">
        <f>IF(ESTIMATIVA[[#This Row],[QT_AREA_REST1]]&gt;0,"Reestimativa 1",IF(ESTIMATIVA[[#This Row],[QT_AREA_REAL]]=0,"Reestimativa 1","Realizado"))</f>
        <v>Reestimativa 1</v>
      </c>
      <c r="W1683" s="1" t="str">
        <f>IF(ESTIMATIVA[[#This Row],[QT_AREA_REST2]]&gt;0,"Reestimativa 2",IF(ESTIMATIVA[[#This Row],[QT_AREA_REAL]]=0,"Reestimativa 2","Realizado"))</f>
        <v>Realizado</v>
      </c>
      <c r="X1683" s="1">
        <f>ESTIMATIVA[[#This Row],[QT_AREA_EST]]</f>
        <v>16.190000000000001</v>
      </c>
      <c r="Y1683" s="1">
        <f>IF(ESTIMATIVA[[#This Row],[QT_AREA_REST1]]&gt;0,ESTIMATIVA[[#This Row],[QT_AREA_REST1]],
  IF(ESTIMATIVA[[#This Row],[QT_AREA_REAL]]&gt;0,ESTIMATIVA[[#This Row],[QT_AREA_REAL]],ESTIMATIVA[[#This Row],[QT_AREA_EST]]))</f>
        <v>16.190000000000001</v>
      </c>
      <c r="Z168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16.190000000000001</v>
      </c>
      <c r="AA1683" s="1">
        <f>ESTIMATIVA[[#This Row],[QT_CANA_EST]]</f>
        <v>1068.54</v>
      </c>
      <c r="AB1683" s="1">
        <f>IF(ESTIMATIVA[[#This Row],[QT_CANA_REST1]]&gt;0,ESTIMATIVA[[#This Row],[QT_CANA_REST1]],
  IF(ESTIMATIVA[[#This Row],[QT_CANA_REAL]]&gt;0,ESTIMATIVA[[#This Row],[QT_CANA_REAL]],ESTIMATIVA[[#This Row],[QT_CANA_EST]]))</f>
        <v>1068.54</v>
      </c>
      <c r="AC168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1394.95</v>
      </c>
      <c r="AD1683" s="1">
        <f>IF(ESTIMATIVA[[#This Row],[QT_AREA_REAL]]&gt;0,ESTIMATIVA[[#This Row],[QT_CANA_REAL]],ESTIMATIVA[[#This Row],[QT_CANA_EST]])</f>
        <v>1394.95</v>
      </c>
      <c r="AE1683" s="1">
        <f>IF(ESTIMATIVA[[#This Row],[QT_AREA_REAL]]&gt;0,ESTIMATIVA[[#This Row],[QT_CANA_REAL]],ESTIMATIVA[[#This Row],[QT_CANA_REST1]])</f>
        <v>1394.95</v>
      </c>
      <c r="AF1683" s="1">
        <f>IF(ESTIMATIVA[[#This Row],[QT_AREA_REAL]]&gt;0,ESTIMATIVA[[#This Row],[QT_CANA_REAL]],ESTIMATIVA[[#This Row],[QT_CANA_REST2]])</f>
        <v>1394.95</v>
      </c>
      <c r="AG1683" s="1" t="str">
        <f>IF(COUNTIFS(GEADA!A:A,VALUE(ESTIMATIVA[[#This Row],[CD_UPNIVEL1]]&amp;TEXT(ESTIMATIVA[[#This Row],[CD_UPNIVEL3]],"0000")))&gt;0,"S","N")</f>
        <v>N</v>
      </c>
      <c r="AH168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83" s="55" t="str">
        <f>IF(ESTIMATIVA[[#This Row],[TP_CULTIVO]]="Irrigado",_xlfn.MAXIFS(IRRIGADO!J:J,IRRIGADO!C:C,ESTIMATIVA[[#This Row],[CD_UPNIVEL1]],IRRIGADO!E:E,ESTIMATIVA[[#This Row],[CD_UPNIVEL3]]),"")</f>
        <v/>
      </c>
      <c r="AJ168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83" s="1">
        <f>COUNTIFS(Apresentação!$E$23:$E$29,ESTIMATIVA[[#This Row],[CD_UPNIVEL1]])</f>
        <v>0</v>
      </c>
    </row>
    <row r="1684" spans="1:37" x14ac:dyDescent="0.3">
      <c r="A1684">
        <v>20601</v>
      </c>
      <c r="B1684" t="s">
        <v>90</v>
      </c>
      <c r="C1684">
        <v>4</v>
      </c>
      <c r="D1684">
        <v>4</v>
      </c>
      <c r="E1684" t="s">
        <v>265</v>
      </c>
      <c r="F1684" s="85" t="s">
        <v>331</v>
      </c>
      <c r="G1684"/>
      <c r="H1684" t="s">
        <v>294</v>
      </c>
      <c r="I1684" t="s">
        <v>207</v>
      </c>
      <c r="J1684" t="s">
        <v>176</v>
      </c>
      <c r="K1684" s="1">
        <v>9.24</v>
      </c>
      <c r="L1684" s="1">
        <v>9.24</v>
      </c>
      <c r="M1684" s="1">
        <v>0</v>
      </c>
      <c r="N1684" s="1">
        <v>9.24</v>
      </c>
      <c r="O1684" s="1">
        <v>609.84</v>
      </c>
      <c r="P1684" s="1">
        <v>609.84</v>
      </c>
      <c r="Q1684" s="1">
        <v>0</v>
      </c>
      <c r="R1684" s="1">
        <v>795.98</v>
      </c>
      <c r="S1684" t="s">
        <v>12</v>
      </c>
      <c r="T1684" s="13">
        <v>45858</v>
      </c>
      <c r="U1684" s="1" t="str">
        <f>IF(ESTIMATIVA[[#This Row],[QT_AREA_REAL]]&gt;0,"1- Colhido","2- à Colher")</f>
        <v>1- Colhido</v>
      </c>
      <c r="V1684" s="1" t="str">
        <f>IF(ESTIMATIVA[[#This Row],[QT_AREA_REST1]]&gt;0,"Reestimativa 1",IF(ESTIMATIVA[[#This Row],[QT_AREA_REAL]]=0,"Reestimativa 1","Realizado"))</f>
        <v>Reestimativa 1</v>
      </c>
      <c r="W1684" s="1" t="str">
        <f>IF(ESTIMATIVA[[#This Row],[QT_AREA_REST2]]&gt;0,"Reestimativa 2",IF(ESTIMATIVA[[#This Row],[QT_AREA_REAL]]=0,"Reestimativa 2","Realizado"))</f>
        <v>Realizado</v>
      </c>
      <c r="X1684" s="1">
        <f>ESTIMATIVA[[#This Row],[QT_AREA_EST]]</f>
        <v>9.24</v>
      </c>
      <c r="Y1684" s="1">
        <f>IF(ESTIMATIVA[[#This Row],[QT_AREA_REST1]]&gt;0,ESTIMATIVA[[#This Row],[QT_AREA_REST1]],
  IF(ESTIMATIVA[[#This Row],[QT_AREA_REAL]]&gt;0,ESTIMATIVA[[#This Row],[QT_AREA_REAL]],ESTIMATIVA[[#This Row],[QT_AREA_EST]]))</f>
        <v>9.24</v>
      </c>
      <c r="Z168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9.24</v>
      </c>
      <c r="AA1684" s="1">
        <f>ESTIMATIVA[[#This Row],[QT_CANA_EST]]</f>
        <v>609.84</v>
      </c>
      <c r="AB1684" s="1">
        <f>IF(ESTIMATIVA[[#This Row],[QT_CANA_REST1]]&gt;0,ESTIMATIVA[[#This Row],[QT_CANA_REST1]],
  IF(ESTIMATIVA[[#This Row],[QT_CANA_REAL]]&gt;0,ESTIMATIVA[[#This Row],[QT_CANA_REAL]],ESTIMATIVA[[#This Row],[QT_CANA_EST]]))</f>
        <v>609.84</v>
      </c>
      <c r="AC168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795.98</v>
      </c>
      <c r="AD1684" s="1">
        <f>IF(ESTIMATIVA[[#This Row],[QT_AREA_REAL]]&gt;0,ESTIMATIVA[[#This Row],[QT_CANA_REAL]],ESTIMATIVA[[#This Row],[QT_CANA_EST]])</f>
        <v>795.98</v>
      </c>
      <c r="AE1684" s="1">
        <f>IF(ESTIMATIVA[[#This Row],[QT_AREA_REAL]]&gt;0,ESTIMATIVA[[#This Row],[QT_CANA_REAL]],ESTIMATIVA[[#This Row],[QT_CANA_REST1]])</f>
        <v>795.98</v>
      </c>
      <c r="AF1684" s="1">
        <f>IF(ESTIMATIVA[[#This Row],[QT_AREA_REAL]]&gt;0,ESTIMATIVA[[#This Row],[QT_CANA_REAL]],ESTIMATIVA[[#This Row],[QT_CANA_REST2]])</f>
        <v>795.98</v>
      </c>
      <c r="AG1684" s="1" t="str">
        <f>IF(COUNTIFS(GEADA!A:A,VALUE(ESTIMATIVA[[#This Row],[CD_UPNIVEL1]]&amp;TEXT(ESTIMATIVA[[#This Row],[CD_UPNIVEL3]],"0000")))&gt;0,"S","N")</f>
        <v>N</v>
      </c>
      <c r="AH168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84" s="55" t="str">
        <f>IF(ESTIMATIVA[[#This Row],[TP_CULTIVO]]="Irrigado",_xlfn.MAXIFS(IRRIGADO!J:J,IRRIGADO!C:C,ESTIMATIVA[[#This Row],[CD_UPNIVEL1]],IRRIGADO!E:E,ESTIMATIVA[[#This Row],[CD_UPNIVEL3]]),"")</f>
        <v/>
      </c>
      <c r="AJ168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84" s="1">
        <f>COUNTIFS(Apresentação!$E$23:$E$29,ESTIMATIVA[[#This Row],[CD_UPNIVEL1]])</f>
        <v>0</v>
      </c>
    </row>
    <row r="1685" spans="1:37" x14ac:dyDescent="0.3">
      <c r="A1685">
        <v>20601</v>
      </c>
      <c r="B1685" t="s">
        <v>90</v>
      </c>
      <c r="C1685">
        <v>5</v>
      </c>
      <c r="D1685">
        <v>4</v>
      </c>
      <c r="E1685" t="s">
        <v>265</v>
      </c>
      <c r="F1685" s="85" t="s">
        <v>331</v>
      </c>
      <c r="G1685"/>
      <c r="H1685" t="s">
        <v>294</v>
      </c>
      <c r="I1685" t="s">
        <v>207</v>
      </c>
      <c r="J1685" t="s">
        <v>176</v>
      </c>
      <c r="K1685" s="1">
        <v>14.19</v>
      </c>
      <c r="L1685" s="1">
        <v>14.19</v>
      </c>
      <c r="M1685" s="1">
        <v>0</v>
      </c>
      <c r="N1685" s="1">
        <v>14.19</v>
      </c>
      <c r="O1685" s="1">
        <v>936.54</v>
      </c>
      <c r="P1685" s="1">
        <v>851.4</v>
      </c>
      <c r="Q1685" s="1">
        <v>0</v>
      </c>
      <c r="R1685" s="1">
        <v>1110.6199999999999</v>
      </c>
      <c r="S1685" t="s">
        <v>12</v>
      </c>
      <c r="T1685" s="13">
        <v>45858</v>
      </c>
      <c r="U1685" s="1" t="str">
        <f>IF(ESTIMATIVA[[#This Row],[QT_AREA_REAL]]&gt;0,"1- Colhido","2- à Colher")</f>
        <v>1- Colhido</v>
      </c>
      <c r="V1685" s="1" t="str">
        <f>IF(ESTIMATIVA[[#This Row],[QT_AREA_REST1]]&gt;0,"Reestimativa 1",IF(ESTIMATIVA[[#This Row],[QT_AREA_REAL]]=0,"Reestimativa 1","Realizado"))</f>
        <v>Reestimativa 1</v>
      </c>
      <c r="W1685" s="1" t="str">
        <f>IF(ESTIMATIVA[[#This Row],[QT_AREA_REST2]]&gt;0,"Reestimativa 2",IF(ESTIMATIVA[[#This Row],[QT_AREA_REAL]]=0,"Reestimativa 2","Realizado"))</f>
        <v>Realizado</v>
      </c>
      <c r="X1685" s="1">
        <f>ESTIMATIVA[[#This Row],[QT_AREA_EST]]</f>
        <v>14.19</v>
      </c>
      <c r="Y1685" s="1">
        <f>IF(ESTIMATIVA[[#This Row],[QT_AREA_REST1]]&gt;0,ESTIMATIVA[[#This Row],[QT_AREA_REST1]],
  IF(ESTIMATIVA[[#This Row],[QT_AREA_REAL]]&gt;0,ESTIMATIVA[[#This Row],[QT_AREA_REAL]],ESTIMATIVA[[#This Row],[QT_AREA_EST]]))</f>
        <v>14.19</v>
      </c>
      <c r="Z168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14.19</v>
      </c>
      <c r="AA1685" s="1">
        <f>ESTIMATIVA[[#This Row],[QT_CANA_EST]]</f>
        <v>936.54</v>
      </c>
      <c r="AB1685" s="1">
        <f>IF(ESTIMATIVA[[#This Row],[QT_CANA_REST1]]&gt;0,ESTIMATIVA[[#This Row],[QT_CANA_REST1]],
  IF(ESTIMATIVA[[#This Row],[QT_CANA_REAL]]&gt;0,ESTIMATIVA[[#This Row],[QT_CANA_REAL]],ESTIMATIVA[[#This Row],[QT_CANA_EST]]))</f>
        <v>851.4</v>
      </c>
      <c r="AC168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1110.6199999999999</v>
      </c>
      <c r="AD1685" s="1">
        <f>IF(ESTIMATIVA[[#This Row],[QT_AREA_REAL]]&gt;0,ESTIMATIVA[[#This Row],[QT_CANA_REAL]],ESTIMATIVA[[#This Row],[QT_CANA_EST]])</f>
        <v>1110.6199999999999</v>
      </c>
      <c r="AE1685" s="1">
        <f>IF(ESTIMATIVA[[#This Row],[QT_AREA_REAL]]&gt;0,ESTIMATIVA[[#This Row],[QT_CANA_REAL]],ESTIMATIVA[[#This Row],[QT_CANA_REST1]])</f>
        <v>1110.6199999999999</v>
      </c>
      <c r="AF1685" s="1">
        <f>IF(ESTIMATIVA[[#This Row],[QT_AREA_REAL]]&gt;0,ESTIMATIVA[[#This Row],[QT_CANA_REAL]],ESTIMATIVA[[#This Row],[QT_CANA_REST2]])</f>
        <v>1110.6199999999999</v>
      </c>
      <c r="AG1685" s="1" t="str">
        <f>IF(COUNTIFS(GEADA!A:A,VALUE(ESTIMATIVA[[#This Row],[CD_UPNIVEL1]]&amp;TEXT(ESTIMATIVA[[#This Row],[CD_UPNIVEL3]],"0000")))&gt;0,"S","N")</f>
        <v>S</v>
      </c>
      <c r="AH168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85" s="55" t="str">
        <f>IF(ESTIMATIVA[[#This Row],[TP_CULTIVO]]="Irrigado",_xlfn.MAXIFS(IRRIGADO!J:J,IRRIGADO!C:C,ESTIMATIVA[[#This Row],[CD_UPNIVEL1]],IRRIGADO!E:E,ESTIMATIVA[[#This Row],[CD_UPNIVEL3]]),"")</f>
        <v/>
      </c>
      <c r="AJ168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85" s="1">
        <f>COUNTIFS(Apresentação!$E$23:$E$29,ESTIMATIVA[[#This Row],[CD_UPNIVEL1]])</f>
        <v>0</v>
      </c>
    </row>
    <row r="1686" spans="1:37" x14ac:dyDescent="0.3">
      <c r="A1686">
        <v>20603</v>
      </c>
      <c r="B1686" t="s">
        <v>91</v>
      </c>
      <c r="C1686">
        <v>1</v>
      </c>
      <c r="D1686">
        <v>4</v>
      </c>
      <c r="E1686" t="s">
        <v>265</v>
      </c>
      <c r="F1686" s="85" t="s">
        <v>331</v>
      </c>
      <c r="G1686"/>
      <c r="H1686" t="s">
        <v>294</v>
      </c>
      <c r="I1686" t="s">
        <v>197</v>
      </c>
      <c r="J1686" t="s">
        <v>176</v>
      </c>
      <c r="K1686" s="1">
        <v>27.27</v>
      </c>
      <c r="L1686" s="1">
        <v>0</v>
      </c>
      <c r="M1686" s="1">
        <v>0</v>
      </c>
      <c r="N1686" s="1">
        <v>27.27</v>
      </c>
      <c r="O1686" s="1">
        <v>1172.6099999999999</v>
      </c>
      <c r="P1686" s="1">
        <v>0</v>
      </c>
      <c r="Q1686" s="1">
        <v>0</v>
      </c>
      <c r="R1686" s="1">
        <v>1156.75</v>
      </c>
      <c r="S1686" t="s">
        <v>12</v>
      </c>
      <c r="T1686" s="13">
        <v>45739</v>
      </c>
      <c r="U1686" s="1" t="str">
        <f>IF(ESTIMATIVA[[#This Row],[QT_AREA_REAL]]&gt;0,"1- Colhido","2- à Colher")</f>
        <v>1- Colhido</v>
      </c>
      <c r="V1686" s="1" t="str">
        <f>IF(ESTIMATIVA[[#This Row],[QT_AREA_REST1]]&gt;0,"Reestimativa 1",IF(ESTIMATIVA[[#This Row],[QT_AREA_REAL]]=0,"Reestimativa 1","Realizado"))</f>
        <v>Realizado</v>
      </c>
      <c r="W1686" s="1" t="str">
        <f>IF(ESTIMATIVA[[#This Row],[QT_AREA_REST2]]&gt;0,"Reestimativa 2",IF(ESTIMATIVA[[#This Row],[QT_AREA_REAL]]=0,"Reestimativa 2","Realizado"))</f>
        <v>Realizado</v>
      </c>
      <c r="X1686" s="1">
        <f>ESTIMATIVA[[#This Row],[QT_AREA_EST]]</f>
        <v>27.27</v>
      </c>
      <c r="Y1686" s="1">
        <f>IF(ESTIMATIVA[[#This Row],[QT_AREA_REST1]]&gt;0,ESTIMATIVA[[#This Row],[QT_AREA_REST1]],
  IF(ESTIMATIVA[[#This Row],[QT_AREA_REAL]]&gt;0,ESTIMATIVA[[#This Row],[QT_AREA_REAL]],ESTIMATIVA[[#This Row],[QT_AREA_EST]]))</f>
        <v>27.27</v>
      </c>
      <c r="Z168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27.27</v>
      </c>
      <c r="AA1686" s="1">
        <f>ESTIMATIVA[[#This Row],[QT_CANA_EST]]</f>
        <v>1172.6099999999999</v>
      </c>
      <c r="AB1686" s="1">
        <f>IF(ESTIMATIVA[[#This Row],[QT_CANA_REST1]]&gt;0,ESTIMATIVA[[#This Row],[QT_CANA_REST1]],
  IF(ESTIMATIVA[[#This Row],[QT_CANA_REAL]]&gt;0,ESTIMATIVA[[#This Row],[QT_CANA_REAL]],ESTIMATIVA[[#This Row],[QT_CANA_EST]]))</f>
        <v>1156.75</v>
      </c>
      <c r="AC168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1156.75</v>
      </c>
      <c r="AD1686" s="1">
        <f>IF(ESTIMATIVA[[#This Row],[QT_AREA_REAL]]&gt;0,ESTIMATIVA[[#This Row],[QT_CANA_REAL]],ESTIMATIVA[[#This Row],[QT_CANA_EST]])</f>
        <v>1156.75</v>
      </c>
      <c r="AE1686" s="1">
        <f>IF(ESTIMATIVA[[#This Row],[QT_AREA_REAL]]&gt;0,ESTIMATIVA[[#This Row],[QT_CANA_REAL]],ESTIMATIVA[[#This Row],[QT_CANA_REST1]])</f>
        <v>1156.75</v>
      </c>
      <c r="AF1686" s="1">
        <f>IF(ESTIMATIVA[[#This Row],[QT_AREA_REAL]]&gt;0,ESTIMATIVA[[#This Row],[QT_CANA_REAL]],ESTIMATIVA[[#This Row],[QT_CANA_REST2]])</f>
        <v>1156.75</v>
      </c>
      <c r="AG1686" s="1" t="str">
        <f>IF(COUNTIFS(GEADA!A:A,VALUE(ESTIMATIVA[[#This Row],[CD_UPNIVEL1]]&amp;TEXT(ESTIMATIVA[[#This Row],[CD_UPNIVEL3]],"0000")))&gt;0,"S","N")</f>
        <v>N</v>
      </c>
      <c r="AH168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86" s="55" t="str">
        <f>IF(ESTIMATIVA[[#This Row],[TP_CULTIVO]]="Irrigado",_xlfn.MAXIFS(IRRIGADO!J:J,IRRIGADO!C:C,ESTIMATIVA[[#This Row],[CD_UPNIVEL1]],IRRIGADO!E:E,ESTIMATIVA[[#This Row],[CD_UPNIVEL3]]),"")</f>
        <v/>
      </c>
      <c r="AJ168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86" s="1">
        <f>COUNTIFS(Apresentação!$E$23:$E$29,ESTIMATIVA[[#This Row],[CD_UPNIVEL1]])</f>
        <v>0</v>
      </c>
    </row>
    <row r="1687" spans="1:37" x14ac:dyDescent="0.3">
      <c r="A1687">
        <v>20603</v>
      </c>
      <c r="B1687" t="s">
        <v>91</v>
      </c>
      <c r="C1687">
        <v>2</v>
      </c>
      <c r="D1687">
        <v>4</v>
      </c>
      <c r="E1687" t="s">
        <v>265</v>
      </c>
      <c r="F1687" s="85" t="s">
        <v>331</v>
      </c>
      <c r="G1687"/>
      <c r="H1687" t="s">
        <v>294</v>
      </c>
      <c r="I1687" t="s">
        <v>197</v>
      </c>
      <c r="J1687" t="s">
        <v>176</v>
      </c>
      <c r="K1687" s="1">
        <v>22.64</v>
      </c>
      <c r="L1687" s="1">
        <v>0</v>
      </c>
      <c r="M1687" s="1">
        <v>0</v>
      </c>
      <c r="N1687" s="1">
        <v>22.64</v>
      </c>
      <c r="O1687" s="1">
        <v>860.32</v>
      </c>
      <c r="P1687" s="1">
        <v>0</v>
      </c>
      <c r="Q1687" s="1">
        <v>0</v>
      </c>
      <c r="R1687" s="1">
        <v>848.13</v>
      </c>
      <c r="S1687" t="s">
        <v>12</v>
      </c>
      <c r="T1687" s="13">
        <v>45739</v>
      </c>
      <c r="U1687" s="1" t="str">
        <f>IF(ESTIMATIVA[[#This Row],[QT_AREA_REAL]]&gt;0,"1- Colhido","2- à Colher")</f>
        <v>1- Colhido</v>
      </c>
      <c r="V1687" s="1" t="str">
        <f>IF(ESTIMATIVA[[#This Row],[QT_AREA_REST1]]&gt;0,"Reestimativa 1",IF(ESTIMATIVA[[#This Row],[QT_AREA_REAL]]=0,"Reestimativa 1","Realizado"))</f>
        <v>Realizado</v>
      </c>
      <c r="W1687" s="1" t="str">
        <f>IF(ESTIMATIVA[[#This Row],[QT_AREA_REST2]]&gt;0,"Reestimativa 2",IF(ESTIMATIVA[[#This Row],[QT_AREA_REAL]]=0,"Reestimativa 2","Realizado"))</f>
        <v>Realizado</v>
      </c>
      <c r="X1687" s="1">
        <f>ESTIMATIVA[[#This Row],[QT_AREA_EST]]</f>
        <v>22.64</v>
      </c>
      <c r="Y1687" s="1">
        <f>IF(ESTIMATIVA[[#This Row],[QT_AREA_REST1]]&gt;0,ESTIMATIVA[[#This Row],[QT_AREA_REST1]],
  IF(ESTIMATIVA[[#This Row],[QT_AREA_REAL]]&gt;0,ESTIMATIVA[[#This Row],[QT_AREA_REAL]],ESTIMATIVA[[#This Row],[QT_AREA_EST]]))</f>
        <v>22.64</v>
      </c>
      <c r="Z168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22.64</v>
      </c>
      <c r="AA1687" s="1">
        <f>ESTIMATIVA[[#This Row],[QT_CANA_EST]]</f>
        <v>860.32</v>
      </c>
      <c r="AB1687" s="1">
        <f>IF(ESTIMATIVA[[#This Row],[QT_CANA_REST1]]&gt;0,ESTIMATIVA[[#This Row],[QT_CANA_REST1]],
  IF(ESTIMATIVA[[#This Row],[QT_CANA_REAL]]&gt;0,ESTIMATIVA[[#This Row],[QT_CANA_REAL]],ESTIMATIVA[[#This Row],[QT_CANA_EST]]))</f>
        <v>848.13</v>
      </c>
      <c r="AC168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848.13</v>
      </c>
      <c r="AD1687" s="1">
        <f>IF(ESTIMATIVA[[#This Row],[QT_AREA_REAL]]&gt;0,ESTIMATIVA[[#This Row],[QT_CANA_REAL]],ESTIMATIVA[[#This Row],[QT_CANA_EST]])</f>
        <v>848.13</v>
      </c>
      <c r="AE1687" s="1">
        <f>IF(ESTIMATIVA[[#This Row],[QT_AREA_REAL]]&gt;0,ESTIMATIVA[[#This Row],[QT_CANA_REAL]],ESTIMATIVA[[#This Row],[QT_CANA_REST1]])</f>
        <v>848.13</v>
      </c>
      <c r="AF1687" s="1">
        <f>IF(ESTIMATIVA[[#This Row],[QT_AREA_REAL]]&gt;0,ESTIMATIVA[[#This Row],[QT_CANA_REAL]],ESTIMATIVA[[#This Row],[QT_CANA_REST2]])</f>
        <v>848.13</v>
      </c>
      <c r="AG1687" s="1" t="str">
        <f>IF(COUNTIFS(GEADA!A:A,VALUE(ESTIMATIVA[[#This Row],[CD_UPNIVEL1]]&amp;TEXT(ESTIMATIVA[[#This Row],[CD_UPNIVEL3]],"0000")))&gt;0,"S","N")</f>
        <v>N</v>
      </c>
      <c r="AH168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687" s="55" t="str">
        <f>IF(ESTIMATIVA[[#This Row],[TP_CULTIVO]]="Irrigado",_xlfn.MAXIFS(IRRIGADO!J:J,IRRIGADO!C:C,ESTIMATIVA[[#This Row],[CD_UPNIVEL1]],IRRIGADO!E:E,ESTIMATIVA[[#This Row],[CD_UPNIVEL3]]),"")</f>
        <v/>
      </c>
      <c r="AJ168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87" s="1">
        <f>COUNTIFS(Apresentação!$E$23:$E$29,ESTIMATIVA[[#This Row],[CD_UPNIVEL1]])</f>
        <v>0</v>
      </c>
    </row>
    <row r="1688" spans="1:37" x14ac:dyDescent="0.3">
      <c r="A1688">
        <v>20604</v>
      </c>
      <c r="B1688" t="s">
        <v>156</v>
      </c>
      <c r="C1688">
        <v>1</v>
      </c>
      <c r="D1688">
        <v>2</v>
      </c>
      <c r="E1688" t="s">
        <v>266</v>
      </c>
      <c r="F1688" s="85" t="s">
        <v>331</v>
      </c>
      <c r="G1688"/>
      <c r="H1688" t="s">
        <v>295</v>
      </c>
      <c r="I1688" t="s">
        <v>200</v>
      </c>
      <c r="J1688" t="s">
        <v>176</v>
      </c>
      <c r="K1688" s="1">
        <v>9.59</v>
      </c>
      <c r="L1688" s="1">
        <v>9.59</v>
      </c>
      <c r="M1688" s="1">
        <v>9.59</v>
      </c>
      <c r="N1688" s="1">
        <v>9.59</v>
      </c>
      <c r="O1688" s="1">
        <v>1054.9000000000001</v>
      </c>
      <c r="P1688" s="1">
        <v>1054.9000000000001</v>
      </c>
      <c r="Q1688" s="1">
        <v>1054.9000000000001</v>
      </c>
      <c r="R1688" s="1">
        <v>1285.49</v>
      </c>
      <c r="S1688" t="s">
        <v>12</v>
      </c>
      <c r="T1688" s="13">
        <v>45984</v>
      </c>
      <c r="U1688" s="1" t="str">
        <f>IF(ESTIMATIVA[[#This Row],[QT_AREA_REAL]]&gt;0,"1- Colhido","2- à Colher")</f>
        <v>1- Colhido</v>
      </c>
      <c r="V1688" s="1" t="str">
        <f>IF(ESTIMATIVA[[#This Row],[QT_AREA_REST1]]&gt;0,"Reestimativa 1",IF(ESTIMATIVA[[#This Row],[QT_AREA_REAL]]=0,"Reestimativa 1","Realizado"))</f>
        <v>Reestimativa 1</v>
      </c>
      <c r="W1688" s="1" t="str">
        <f>IF(ESTIMATIVA[[#This Row],[QT_AREA_REST2]]&gt;0,"Reestimativa 2",IF(ESTIMATIVA[[#This Row],[QT_AREA_REAL]]=0,"Reestimativa 2","Realizado"))</f>
        <v>Reestimativa 2</v>
      </c>
      <c r="X1688" s="1">
        <f>ESTIMATIVA[[#This Row],[QT_AREA_EST]]</f>
        <v>9.59</v>
      </c>
      <c r="Y1688" s="1">
        <f>IF(ESTIMATIVA[[#This Row],[QT_AREA_REST1]]&gt;0,ESTIMATIVA[[#This Row],[QT_AREA_REST1]],
  IF(ESTIMATIVA[[#This Row],[QT_AREA_REAL]]&gt;0,ESTIMATIVA[[#This Row],[QT_AREA_REAL]],ESTIMATIVA[[#This Row],[QT_AREA_EST]]))</f>
        <v>9.59</v>
      </c>
      <c r="Z168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9.59</v>
      </c>
      <c r="AA1688" s="1">
        <f>ESTIMATIVA[[#This Row],[QT_CANA_EST]]</f>
        <v>1054.9000000000001</v>
      </c>
      <c r="AB1688" s="1">
        <f>IF(ESTIMATIVA[[#This Row],[QT_CANA_REST1]]&gt;0,ESTIMATIVA[[#This Row],[QT_CANA_REST1]],
  IF(ESTIMATIVA[[#This Row],[QT_CANA_REAL]]&gt;0,ESTIMATIVA[[#This Row],[QT_CANA_REAL]],ESTIMATIVA[[#This Row],[QT_CANA_EST]]))</f>
        <v>1054.9000000000001</v>
      </c>
      <c r="AC168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1054.9000000000001</v>
      </c>
      <c r="AD1688" s="1">
        <f>IF(ESTIMATIVA[[#This Row],[QT_AREA_REAL]]&gt;0,ESTIMATIVA[[#This Row],[QT_CANA_REAL]],ESTIMATIVA[[#This Row],[QT_CANA_EST]])</f>
        <v>1285.49</v>
      </c>
      <c r="AE1688" s="1">
        <f>IF(ESTIMATIVA[[#This Row],[QT_AREA_REAL]]&gt;0,ESTIMATIVA[[#This Row],[QT_CANA_REAL]],ESTIMATIVA[[#This Row],[QT_CANA_REST1]])</f>
        <v>1285.49</v>
      </c>
      <c r="AF1688" s="1">
        <f>IF(ESTIMATIVA[[#This Row],[QT_AREA_REAL]]&gt;0,ESTIMATIVA[[#This Row],[QT_CANA_REAL]],ESTIMATIVA[[#This Row],[QT_CANA_REST2]])</f>
        <v>1285.49</v>
      </c>
      <c r="AG1688" s="1" t="str">
        <f>IF(COUNTIFS(GEADA!A:A,VALUE(ESTIMATIVA[[#This Row],[CD_UPNIVEL1]]&amp;TEXT(ESTIMATIVA[[#This Row],[CD_UPNIVEL3]],"0000")))&gt;0,"S","N")</f>
        <v>N</v>
      </c>
      <c r="AH168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88" s="55" t="str">
        <f>IF(ESTIMATIVA[[#This Row],[TP_CULTIVO]]="Irrigado",_xlfn.MAXIFS(IRRIGADO!J:J,IRRIGADO!C:C,ESTIMATIVA[[#This Row],[CD_UPNIVEL1]],IRRIGADO!E:E,ESTIMATIVA[[#This Row],[CD_UPNIVEL3]]),"")</f>
        <v/>
      </c>
      <c r="AJ168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88" s="1">
        <f>COUNTIFS(Apresentação!$E$23:$E$29,ESTIMATIVA[[#This Row],[CD_UPNIVEL1]])</f>
        <v>0</v>
      </c>
    </row>
    <row r="1689" spans="1:37" x14ac:dyDescent="0.3">
      <c r="A1689">
        <v>20604</v>
      </c>
      <c r="B1689" t="s">
        <v>156</v>
      </c>
      <c r="C1689">
        <v>3</v>
      </c>
      <c r="D1689">
        <v>2</v>
      </c>
      <c r="E1689" t="s">
        <v>266</v>
      </c>
      <c r="F1689" s="85" t="s">
        <v>332</v>
      </c>
      <c r="G1689"/>
      <c r="H1689" t="s">
        <v>295</v>
      </c>
      <c r="I1689" t="s">
        <v>200</v>
      </c>
      <c r="J1689" t="s">
        <v>176</v>
      </c>
      <c r="K1689" s="1">
        <v>5.39</v>
      </c>
      <c r="L1689" s="1">
        <v>5.39</v>
      </c>
      <c r="M1689" s="1">
        <v>5.39</v>
      </c>
      <c r="N1689" s="1">
        <v>5.39</v>
      </c>
      <c r="O1689" s="1">
        <v>512.04999999999995</v>
      </c>
      <c r="P1689" s="1">
        <v>528.22</v>
      </c>
      <c r="Q1689" s="1">
        <v>528.22</v>
      </c>
      <c r="R1689" s="1">
        <v>643.4</v>
      </c>
      <c r="S1689" t="s">
        <v>12</v>
      </c>
      <c r="T1689" s="13">
        <v>45984</v>
      </c>
      <c r="U1689" s="1" t="str">
        <f>IF(ESTIMATIVA[[#This Row],[QT_AREA_REAL]]&gt;0,"1- Colhido","2- à Colher")</f>
        <v>1- Colhido</v>
      </c>
      <c r="V1689" s="1" t="str">
        <f>IF(ESTIMATIVA[[#This Row],[QT_AREA_REST1]]&gt;0,"Reestimativa 1",IF(ESTIMATIVA[[#This Row],[QT_AREA_REAL]]=0,"Reestimativa 1","Realizado"))</f>
        <v>Reestimativa 1</v>
      </c>
      <c r="W1689" s="1" t="str">
        <f>IF(ESTIMATIVA[[#This Row],[QT_AREA_REST2]]&gt;0,"Reestimativa 2",IF(ESTIMATIVA[[#This Row],[QT_AREA_REAL]]=0,"Reestimativa 2","Realizado"))</f>
        <v>Reestimativa 2</v>
      </c>
      <c r="X1689" s="1">
        <f>ESTIMATIVA[[#This Row],[QT_AREA_EST]]</f>
        <v>5.39</v>
      </c>
      <c r="Y1689" s="1">
        <f>IF(ESTIMATIVA[[#This Row],[QT_AREA_REST1]]&gt;0,ESTIMATIVA[[#This Row],[QT_AREA_REST1]],
  IF(ESTIMATIVA[[#This Row],[QT_AREA_REAL]]&gt;0,ESTIMATIVA[[#This Row],[QT_AREA_REAL]],ESTIMATIVA[[#This Row],[QT_AREA_EST]]))</f>
        <v>5.39</v>
      </c>
      <c r="Z168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5.39</v>
      </c>
      <c r="AA1689" s="1">
        <f>ESTIMATIVA[[#This Row],[QT_CANA_EST]]</f>
        <v>512.04999999999995</v>
      </c>
      <c r="AB1689" s="1">
        <f>IF(ESTIMATIVA[[#This Row],[QT_CANA_REST1]]&gt;0,ESTIMATIVA[[#This Row],[QT_CANA_REST1]],
  IF(ESTIMATIVA[[#This Row],[QT_CANA_REAL]]&gt;0,ESTIMATIVA[[#This Row],[QT_CANA_REAL]],ESTIMATIVA[[#This Row],[QT_CANA_EST]]))</f>
        <v>528.22</v>
      </c>
      <c r="AC168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528.22</v>
      </c>
      <c r="AD1689" s="1">
        <f>IF(ESTIMATIVA[[#This Row],[QT_AREA_REAL]]&gt;0,ESTIMATIVA[[#This Row],[QT_CANA_REAL]],ESTIMATIVA[[#This Row],[QT_CANA_EST]])</f>
        <v>643.4</v>
      </c>
      <c r="AE1689" s="1">
        <f>IF(ESTIMATIVA[[#This Row],[QT_AREA_REAL]]&gt;0,ESTIMATIVA[[#This Row],[QT_CANA_REAL]],ESTIMATIVA[[#This Row],[QT_CANA_REST1]])</f>
        <v>643.4</v>
      </c>
      <c r="AF1689" s="1">
        <f>IF(ESTIMATIVA[[#This Row],[QT_AREA_REAL]]&gt;0,ESTIMATIVA[[#This Row],[QT_CANA_REAL]],ESTIMATIVA[[#This Row],[QT_CANA_REST2]])</f>
        <v>643.4</v>
      </c>
      <c r="AG1689" s="1" t="str">
        <f>IF(COUNTIFS(GEADA!A:A,VALUE(ESTIMATIVA[[#This Row],[CD_UPNIVEL1]]&amp;TEXT(ESTIMATIVA[[#This Row],[CD_UPNIVEL3]],"0000")))&gt;0,"S","N")</f>
        <v>N</v>
      </c>
      <c r="AH168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89" s="55" t="str">
        <f>IF(ESTIMATIVA[[#This Row],[TP_CULTIVO]]="Irrigado",_xlfn.MAXIFS(IRRIGADO!J:J,IRRIGADO!C:C,ESTIMATIVA[[#This Row],[CD_UPNIVEL1]],IRRIGADO!E:E,ESTIMATIVA[[#This Row],[CD_UPNIVEL3]]),"")</f>
        <v/>
      </c>
      <c r="AJ168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89" s="1">
        <f>COUNTIFS(Apresentação!$E$23:$E$29,ESTIMATIVA[[#This Row],[CD_UPNIVEL1]])</f>
        <v>0</v>
      </c>
    </row>
    <row r="1690" spans="1:37" x14ac:dyDescent="0.3">
      <c r="A1690">
        <v>20610</v>
      </c>
      <c r="B1690" t="s">
        <v>157</v>
      </c>
      <c r="C1690">
        <v>1</v>
      </c>
      <c r="D1690">
        <v>3</v>
      </c>
      <c r="E1690" t="s">
        <v>263</v>
      </c>
      <c r="F1690" s="85" t="s">
        <v>333</v>
      </c>
      <c r="G1690"/>
      <c r="H1690" t="s">
        <v>295</v>
      </c>
      <c r="I1690" t="s">
        <v>207</v>
      </c>
      <c r="J1690" t="s">
        <v>176</v>
      </c>
      <c r="K1690" s="1">
        <v>3.54</v>
      </c>
      <c r="L1690" s="1">
        <v>3.54</v>
      </c>
      <c r="M1690" s="1">
        <v>3.54</v>
      </c>
      <c r="N1690" s="1">
        <v>3.54</v>
      </c>
      <c r="O1690" s="1">
        <v>212.4</v>
      </c>
      <c r="P1690" s="1">
        <v>212.4</v>
      </c>
      <c r="Q1690" s="1">
        <v>194.7</v>
      </c>
      <c r="R1690" s="1">
        <v>196.49</v>
      </c>
      <c r="S1690" t="s">
        <v>12</v>
      </c>
      <c r="T1690" s="13">
        <v>45984</v>
      </c>
      <c r="U1690" s="1" t="str">
        <f>IF(ESTIMATIVA[[#This Row],[QT_AREA_REAL]]&gt;0,"1- Colhido","2- à Colher")</f>
        <v>1- Colhido</v>
      </c>
      <c r="V1690" s="1" t="str">
        <f>IF(ESTIMATIVA[[#This Row],[QT_AREA_REST1]]&gt;0,"Reestimativa 1",IF(ESTIMATIVA[[#This Row],[QT_AREA_REAL]]=0,"Reestimativa 1","Realizado"))</f>
        <v>Reestimativa 1</v>
      </c>
      <c r="W1690" s="1" t="str">
        <f>IF(ESTIMATIVA[[#This Row],[QT_AREA_REST2]]&gt;0,"Reestimativa 2",IF(ESTIMATIVA[[#This Row],[QT_AREA_REAL]]=0,"Reestimativa 2","Realizado"))</f>
        <v>Reestimativa 2</v>
      </c>
      <c r="X1690" s="1">
        <f>ESTIMATIVA[[#This Row],[QT_AREA_EST]]</f>
        <v>3.54</v>
      </c>
      <c r="Y1690" s="1">
        <f>IF(ESTIMATIVA[[#This Row],[QT_AREA_REST1]]&gt;0,ESTIMATIVA[[#This Row],[QT_AREA_REST1]],
  IF(ESTIMATIVA[[#This Row],[QT_AREA_REAL]]&gt;0,ESTIMATIVA[[#This Row],[QT_AREA_REAL]],ESTIMATIVA[[#This Row],[QT_AREA_EST]]))</f>
        <v>3.54</v>
      </c>
      <c r="Z169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3.54</v>
      </c>
      <c r="AA1690" s="1">
        <f>ESTIMATIVA[[#This Row],[QT_CANA_EST]]</f>
        <v>212.4</v>
      </c>
      <c r="AB1690" s="1">
        <f>IF(ESTIMATIVA[[#This Row],[QT_CANA_REST1]]&gt;0,ESTIMATIVA[[#This Row],[QT_CANA_REST1]],
  IF(ESTIMATIVA[[#This Row],[QT_CANA_REAL]]&gt;0,ESTIMATIVA[[#This Row],[QT_CANA_REAL]],ESTIMATIVA[[#This Row],[QT_CANA_EST]]))</f>
        <v>212.4</v>
      </c>
      <c r="AC169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194.7</v>
      </c>
      <c r="AD1690" s="1">
        <f>IF(ESTIMATIVA[[#This Row],[QT_AREA_REAL]]&gt;0,ESTIMATIVA[[#This Row],[QT_CANA_REAL]],ESTIMATIVA[[#This Row],[QT_CANA_EST]])</f>
        <v>196.49</v>
      </c>
      <c r="AE1690" s="1">
        <f>IF(ESTIMATIVA[[#This Row],[QT_AREA_REAL]]&gt;0,ESTIMATIVA[[#This Row],[QT_CANA_REAL]],ESTIMATIVA[[#This Row],[QT_CANA_REST1]])</f>
        <v>196.49</v>
      </c>
      <c r="AF1690" s="1">
        <f>IF(ESTIMATIVA[[#This Row],[QT_AREA_REAL]]&gt;0,ESTIMATIVA[[#This Row],[QT_CANA_REAL]],ESTIMATIVA[[#This Row],[QT_CANA_REST2]])</f>
        <v>196.49</v>
      </c>
      <c r="AG1690" s="1" t="str">
        <f>IF(COUNTIFS(GEADA!A:A,VALUE(ESTIMATIVA[[#This Row],[CD_UPNIVEL1]]&amp;TEXT(ESTIMATIVA[[#This Row],[CD_UPNIVEL3]],"0000")))&gt;0,"S","N")</f>
        <v>N</v>
      </c>
      <c r="AH1690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90" s="55" t="str">
        <f>IF(ESTIMATIVA[[#This Row],[TP_CULTIVO]]="Irrigado",_xlfn.MAXIFS(IRRIGADO!J:J,IRRIGADO!C:C,ESTIMATIVA[[#This Row],[CD_UPNIVEL1]],IRRIGADO!E:E,ESTIMATIVA[[#This Row],[CD_UPNIVEL3]]),"")</f>
        <v/>
      </c>
      <c r="AJ169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90" s="1">
        <f>COUNTIFS(Apresentação!$E$23:$E$29,ESTIMATIVA[[#This Row],[CD_UPNIVEL1]])</f>
        <v>0</v>
      </c>
    </row>
    <row r="1691" spans="1:37" x14ac:dyDescent="0.3">
      <c r="A1691">
        <v>20610</v>
      </c>
      <c r="B1691" t="s">
        <v>157</v>
      </c>
      <c r="C1691">
        <v>2</v>
      </c>
      <c r="D1691">
        <v>3</v>
      </c>
      <c r="E1691" t="s">
        <v>263</v>
      </c>
      <c r="F1691" s="85" t="s">
        <v>333</v>
      </c>
      <c r="G1691"/>
      <c r="H1691" t="s">
        <v>295</v>
      </c>
      <c r="I1691" t="s">
        <v>207</v>
      </c>
      <c r="J1691" t="s">
        <v>176</v>
      </c>
      <c r="K1691" s="1">
        <v>22.43</v>
      </c>
      <c r="L1691" s="1">
        <v>22.43</v>
      </c>
      <c r="M1691" s="1">
        <v>22.43</v>
      </c>
      <c r="N1691" s="1">
        <v>22.43</v>
      </c>
      <c r="O1691" s="1">
        <v>1345.8</v>
      </c>
      <c r="P1691" s="1">
        <v>1345.8</v>
      </c>
      <c r="Q1691" s="1">
        <v>1233.6500000000001</v>
      </c>
      <c r="R1691" s="1">
        <v>1243.67</v>
      </c>
      <c r="S1691" t="s">
        <v>12</v>
      </c>
      <c r="T1691" s="13">
        <v>45984</v>
      </c>
      <c r="U1691" s="1" t="str">
        <f>IF(ESTIMATIVA[[#This Row],[QT_AREA_REAL]]&gt;0,"1- Colhido","2- à Colher")</f>
        <v>1- Colhido</v>
      </c>
      <c r="V1691" s="1" t="str">
        <f>IF(ESTIMATIVA[[#This Row],[QT_AREA_REST1]]&gt;0,"Reestimativa 1",IF(ESTIMATIVA[[#This Row],[QT_AREA_REAL]]=0,"Reestimativa 1","Realizado"))</f>
        <v>Reestimativa 1</v>
      </c>
      <c r="W1691" s="1" t="str">
        <f>IF(ESTIMATIVA[[#This Row],[QT_AREA_REST2]]&gt;0,"Reestimativa 2",IF(ESTIMATIVA[[#This Row],[QT_AREA_REAL]]=0,"Reestimativa 2","Realizado"))</f>
        <v>Reestimativa 2</v>
      </c>
      <c r="X1691" s="1">
        <f>ESTIMATIVA[[#This Row],[QT_AREA_EST]]</f>
        <v>22.43</v>
      </c>
      <c r="Y1691" s="1">
        <f>IF(ESTIMATIVA[[#This Row],[QT_AREA_REST1]]&gt;0,ESTIMATIVA[[#This Row],[QT_AREA_REST1]],
  IF(ESTIMATIVA[[#This Row],[QT_AREA_REAL]]&gt;0,ESTIMATIVA[[#This Row],[QT_AREA_REAL]],ESTIMATIVA[[#This Row],[QT_AREA_EST]]))</f>
        <v>22.43</v>
      </c>
      <c r="Z169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22.43</v>
      </c>
      <c r="AA1691" s="1">
        <f>ESTIMATIVA[[#This Row],[QT_CANA_EST]]</f>
        <v>1345.8</v>
      </c>
      <c r="AB1691" s="1">
        <f>IF(ESTIMATIVA[[#This Row],[QT_CANA_REST1]]&gt;0,ESTIMATIVA[[#This Row],[QT_CANA_REST1]],
  IF(ESTIMATIVA[[#This Row],[QT_CANA_REAL]]&gt;0,ESTIMATIVA[[#This Row],[QT_CANA_REAL]],ESTIMATIVA[[#This Row],[QT_CANA_EST]]))</f>
        <v>1345.8</v>
      </c>
      <c r="AC169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1233.6500000000001</v>
      </c>
      <c r="AD1691" s="1">
        <f>IF(ESTIMATIVA[[#This Row],[QT_AREA_REAL]]&gt;0,ESTIMATIVA[[#This Row],[QT_CANA_REAL]],ESTIMATIVA[[#This Row],[QT_CANA_EST]])</f>
        <v>1243.67</v>
      </c>
      <c r="AE1691" s="1">
        <f>IF(ESTIMATIVA[[#This Row],[QT_AREA_REAL]]&gt;0,ESTIMATIVA[[#This Row],[QT_CANA_REAL]],ESTIMATIVA[[#This Row],[QT_CANA_REST1]])</f>
        <v>1243.67</v>
      </c>
      <c r="AF1691" s="1">
        <f>IF(ESTIMATIVA[[#This Row],[QT_AREA_REAL]]&gt;0,ESTIMATIVA[[#This Row],[QT_CANA_REAL]],ESTIMATIVA[[#This Row],[QT_CANA_REST2]])</f>
        <v>1243.67</v>
      </c>
      <c r="AG1691" s="1" t="str">
        <f>IF(COUNTIFS(GEADA!A:A,VALUE(ESTIMATIVA[[#This Row],[CD_UPNIVEL1]]&amp;TEXT(ESTIMATIVA[[#This Row],[CD_UPNIVEL3]],"0000")))&gt;0,"S","N")</f>
        <v>N</v>
      </c>
      <c r="AH169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91" s="55" t="str">
        <f>IF(ESTIMATIVA[[#This Row],[TP_CULTIVO]]="Irrigado",_xlfn.MAXIFS(IRRIGADO!J:J,IRRIGADO!C:C,ESTIMATIVA[[#This Row],[CD_UPNIVEL1]],IRRIGADO!E:E,ESTIMATIVA[[#This Row],[CD_UPNIVEL3]]),"")</f>
        <v/>
      </c>
      <c r="AJ169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91" s="1">
        <f>COUNTIFS(Apresentação!$E$23:$E$29,ESTIMATIVA[[#This Row],[CD_UPNIVEL1]])</f>
        <v>0</v>
      </c>
    </row>
    <row r="1692" spans="1:37" x14ac:dyDescent="0.3">
      <c r="A1692">
        <v>20610</v>
      </c>
      <c r="B1692" t="s">
        <v>157</v>
      </c>
      <c r="C1692">
        <v>3</v>
      </c>
      <c r="D1692">
        <v>3</v>
      </c>
      <c r="E1692" t="s">
        <v>263</v>
      </c>
      <c r="F1692" s="85" t="s">
        <v>333</v>
      </c>
      <c r="G1692"/>
      <c r="H1692" t="s">
        <v>295</v>
      </c>
      <c r="I1692" t="s">
        <v>207</v>
      </c>
      <c r="J1692" t="s">
        <v>176</v>
      </c>
      <c r="K1692" s="1">
        <v>24.7</v>
      </c>
      <c r="L1692" s="1">
        <v>24.7</v>
      </c>
      <c r="M1692" s="1">
        <v>24.7</v>
      </c>
      <c r="N1692" s="1">
        <v>24.7</v>
      </c>
      <c r="O1692" s="1">
        <v>1482</v>
      </c>
      <c r="P1692" s="1">
        <v>1482</v>
      </c>
      <c r="Q1692" s="1">
        <v>1358.5</v>
      </c>
      <c r="R1692" s="1">
        <v>1369.65</v>
      </c>
      <c r="S1692" t="s">
        <v>12</v>
      </c>
      <c r="T1692" s="13">
        <v>45984</v>
      </c>
      <c r="U1692" s="1" t="str">
        <f>IF(ESTIMATIVA[[#This Row],[QT_AREA_REAL]]&gt;0,"1- Colhido","2- à Colher")</f>
        <v>1- Colhido</v>
      </c>
      <c r="V1692" s="1" t="str">
        <f>IF(ESTIMATIVA[[#This Row],[QT_AREA_REST1]]&gt;0,"Reestimativa 1",IF(ESTIMATIVA[[#This Row],[QT_AREA_REAL]]=0,"Reestimativa 1","Realizado"))</f>
        <v>Reestimativa 1</v>
      </c>
      <c r="W1692" s="1" t="str">
        <f>IF(ESTIMATIVA[[#This Row],[QT_AREA_REST2]]&gt;0,"Reestimativa 2",IF(ESTIMATIVA[[#This Row],[QT_AREA_REAL]]=0,"Reestimativa 2","Realizado"))</f>
        <v>Reestimativa 2</v>
      </c>
      <c r="X1692" s="1">
        <f>ESTIMATIVA[[#This Row],[QT_AREA_EST]]</f>
        <v>24.7</v>
      </c>
      <c r="Y1692" s="1">
        <f>IF(ESTIMATIVA[[#This Row],[QT_AREA_REST1]]&gt;0,ESTIMATIVA[[#This Row],[QT_AREA_REST1]],
  IF(ESTIMATIVA[[#This Row],[QT_AREA_REAL]]&gt;0,ESTIMATIVA[[#This Row],[QT_AREA_REAL]],ESTIMATIVA[[#This Row],[QT_AREA_EST]]))</f>
        <v>24.7</v>
      </c>
      <c r="Z169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24.7</v>
      </c>
      <c r="AA1692" s="1">
        <f>ESTIMATIVA[[#This Row],[QT_CANA_EST]]</f>
        <v>1482</v>
      </c>
      <c r="AB1692" s="1">
        <f>IF(ESTIMATIVA[[#This Row],[QT_CANA_REST1]]&gt;0,ESTIMATIVA[[#This Row],[QT_CANA_REST1]],
  IF(ESTIMATIVA[[#This Row],[QT_CANA_REAL]]&gt;0,ESTIMATIVA[[#This Row],[QT_CANA_REAL]],ESTIMATIVA[[#This Row],[QT_CANA_EST]]))</f>
        <v>1482</v>
      </c>
      <c r="AC169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1358.5</v>
      </c>
      <c r="AD1692" s="1">
        <f>IF(ESTIMATIVA[[#This Row],[QT_AREA_REAL]]&gt;0,ESTIMATIVA[[#This Row],[QT_CANA_REAL]],ESTIMATIVA[[#This Row],[QT_CANA_EST]])</f>
        <v>1369.65</v>
      </c>
      <c r="AE1692" s="1">
        <f>IF(ESTIMATIVA[[#This Row],[QT_AREA_REAL]]&gt;0,ESTIMATIVA[[#This Row],[QT_CANA_REAL]],ESTIMATIVA[[#This Row],[QT_CANA_REST1]])</f>
        <v>1369.65</v>
      </c>
      <c r="AF1692" s="1">
        <f>IF(ESTIMATIVA[[#This Row],[QT_AREA_REAL]]&gt;0,ESTIMATIVA[[#This Row],[QT_CANA_REAL]],ESTIMATIVA[[#This Row],[QT_CANA_REST2]])</f>
        <v>1369.65</v>
      </c>
      <c r="AG1692" s="1" t="str">
        <f>IF(COUNTIFS(GEADA!A:A,VALUE(ESTIMATIVA[[#This Row],[CD_UPNIVEL1]]&amp;TEXT(ESTIMATIVA[[#This Row],[CD_UPNIVEL3]],"0000")))&gt;0,"S","N")</f>
        <v>N</v>
      </c>
      <c r="AH169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92" s="55" t="str">
        <f>IF(ESTIMATIVA[[#This Row],[TP_CULTIVO]]="Irrigado",_xlfn.MAXIFS(IRRIGADO!J:J,IRRIGADO!C:C,ESTIMATIVA[[#This Row],[CD_UPNIVEL1]],IRRIGADO!E:E,ESTIMATIVA[[#This Row],[CD_UPNIVEL3]]),"")</f>
        <v/>
      </c>
      <c r="AJ169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92" s="1">
        <f>COUNTIFS(Apresentação!$E$23:$E$29,ESTIMATIVA[[#This Row],[CD_UPNIVEL1]])</f>
        <v>0</v>
      </c>
    </row>
    <row r="1693" spans="1:37" x14ac:dyDescent="0.3">
      <c r="A1693">
        <v>20610</v>
      </c>
      <c r="B1693" t="s">
        <v>157</v>
      </c>
      <c r="C1693">
        <v>4</v>
      </c>
      <c r="D1693">
        <v>3</v>
      </c>
      <c r="E1693" t="s">
        <v>263</v>
      </c>
      <c r="F1693" s="85" t="s">
        <v>333</v>
      </c>
      <c r="G1693"/>
      <c r="H1693" t="s">
        <v>295</v>
      </c>
      <c r="I1693" t="s">
        <v>207</v>
      </c>
      <c r="J1693" t="s">
        <v>176</v>
      </c>
      <c r="K1693" s="1">
        <v>1.26</v>
      </c>
      <c r="L1693" s="1">
        <v>1.26</v>
      </c>
      <c r="M1693" s="1">
        <v>1.26</v>
      </c>
      <c r="N1693" s="1">
        <v>1.26</v>
      </c>
      <c r="O1693" s="1">
        <v>75.599999999999994</v>
      </c>
      <c r="P1693" s="1">
        <v>59.22</v>
      </c>
      <c r="Q1693" s="1">
        <v>56.7</v>
      </c>
      <c r="R1693" s="1">
        <v>57.4</v>
      </c>
      <c r="S1693" t="s">
        <v>12</v>
      </c>
      <c r="T1693" s="13">
        <v>45984</v>
      </c>
      <c r="U1693" s="1" t="str">
        <f>IF(ESTIMATIVA[[#This Row],[QT_AREA_REAL]]&gt;0,"1- Colhido","2- à Colher")</f>
        <v>1- Colhido</v>
      </c>
      <c r="V1693" s="1" t="str">
        <f>IF(ESTIMATIVA[[#This Row],[QT_AREA_REST1]]&gt;0,"Reestimativa 1",IF(ESTIMATIVA[[#This Row],[QT_AREA_REAL]]=0,"Reestimativa 1","Realizado"))</f>
        <v>Reestimativa 1</v>
      </c>
      <c r="W1693" s="1" t="str">
        <f>IF(ESTIMATIVA[[#This Row],[QT_AREA_REST2]]&gt;0,"Reestimativa 2",IF(ESTIMATIVA[[#This Row],[QT_AREA_REAL]]=0,"Reestimativa 2","Realizado"))</f>
        <v>Reestimativa 2</v>
      </c>
      <c r="X1693" s="1">
        <f>ESTIMATIVA[[#This Row],[QT_AREA_EST]]</f>
        <v>1.26</v>
      </c>
      <c r="Y1693" s="1">
        <f>IF(ESTIMATIVA[[#This Row],[QT_AREA_REST1]]&gt;0,ESTIMATIVA[[#This Row],[QT_AREA_REST1]],
  IF(ESTIMATIVA[[#This Row],[QT_AREA_REAL]]&gt;0,ESTIMATIVA[[#This Row],[QT_AREA_REAL]],ESTIMATIVA[[#This Row],[QT_AREA_EST]]))</f>
        <v>1.26</v>
      </c>
      <c r="Z169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1.26</v>
      </c>
      <c r="AA1693" s="1">
        <f>ESTIMATIVA[[#This Row],[QT_CANA_EST]]</f>
        <v>75.599999999999994</v>
      </c>
      <c r="AB1693" s="1">
        <f>IF(ESTIMATIVA[[#This Row],[QT_CANA_REST1]]&gt;0,ESTIMATIVA[[#This Row],[QT_CANA_REST1]],
  IF(ESTIMATIVA[[#This Row],[QT_CANA_REAL]]&gt;0,ESTIMATIVA[[#This Row],[QT_CANA_REAL]],ESTIMATIVA[[#This Row],[QT_CANA_EST]]))</f>
        <v>59.22</v>
      </c>
      <c r="AC169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56.7</v>
      </c>
      <c r="AD1693" s="1">
        <f>IF(ESTIMATIVA[[#This Row],[QT_AREA_REAL]]&gt;0,ESTIMATIVA[[#This Row],[QT_CANA_REAL]],ESTIMATIVA[[#This Row],[QT_CANA_EST]])</f>
        <v>57.4</v>
      </c>
      <c r="AE1693" s="1">
        <f>IF(ESTIMATIVA[[#This Row],[QT_AREA_REAL]]&gt;0,ESTIMATIVA[[#This Row],[QT_CANA_REAL]],ESTIMATIVA[[#This Row],[QT_CANA_REST1]])</f>
        <v>57.4</v>
      </c>
      <c r="AF1693" s="1">
        <f>IF(ESTIMATIVA[[#This Row],[QT_AREA_REAL]]&gt;0,ESTIMATIVA[[#This Row],[QT_CANA_REAL]],ESTIMATIVA[[#This Row],[QT_CANA_REST2]])</f>
        <v>57.4</v>
      </c>
      <c r="AG1693" s="1" t="str">
        <f>IF(COUNTIFS(GEADA!A:A,VALUE(ESTIMATIVA[[#This Row],[CD_UPNIVEL1]]&amp;TEXT(ESTIMATIVA[[#This Row],[CD_UPNIVEL3]],"0000")))&gt;0,"S","N")</f>
        <v>N</v>
      </c>
      <c r="AH169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93" s="55" t="str">
        <f>IF(ESTIMATIVA[[#This Row],[TP_CULTIVO]]="Irrigado",_xlfn.MAXIFS(IRRIGADO!J:J,IRRIGADO!C:C,ESTIMATIVA[[#This Row],[CD_UPNIVEL1]],IRRIGADO!E:E,ESTIMATIVA[[#This Row],[CD_UPNIVEL3]]),"")</f>
        <v/>
      </c>
      <c r="AJ169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93" s="1">
        <f>COUNTIFS(Apresentação!$E$23:$E$29,ESTIMATIVA[[#This Row],[CD_UPNIVEL1]])</f>
        <v>0</v>
      </c>
    </row>
    <row r="1694" spans="1:37" x14ac:dyDescent="0.3">
      <c r="A1694">
        <v>20610</v>
      </c>
      <c r="B1694" t="s">
        <v>157</v>
      </c>
      <c r="C1694">
        <v>6</v>
      </c>
      <c r="D1694">
        <v>3</v>
      </c>
      <c r="E1694" t="s">
        <v>263</v>
      </c>
      <c r="F1694" s="85" t="s">
        <v>333</v>
      </c>
      <c r="G1694"/>
      <c r="H1694" t="s">
        <v>295</v>
      </c>
      <c r="I1694" t="s">
        <v>207</v>
      </c>
      <c r="J1694" t="s">
        <v>176</v>
      </c>
      <c r="K1694" s="1">
        <v>8.6199999999999992</v>
      </c>
      <c r="L1694" s="1">
        <v>8.6199999999999992</v>
      </c>
      <c r="M1694" s="1">
        <v>8.6199999999999992</v>
      </c>
      <c r="N1694" s="1">
        <v>8.6199999999999992</v>
      </c>
      <c r="O1694" s="1">
        <v>517.20000000000005</v>
      </c>
      <c r="P1694" s="1">
        <v>517.20000000000005</v>
      </c>
      <c r="Q1694" s="1">
        <v>474.1</v>
      </c>
      <c r="R1694" s="1">
        <v>477.95</v>
      </c>
      <c r="S1694" t="s">
        <v>12</v>
      </c>
      <c r="T1694" s="13">
        <v>45984</v>
      </c>
      <c r="U1694" s="1" t="str">
        <f>IF(ESTIMATIVA[[#This Row],[QT_AREA_REAL]]&gt;0,"1- Colhido","2- à Colher")</f>
        <v>1- Colhido</v>
      </c>
      <c r="V1694" s="1" t="str">
        <f>IF(ESTIMATIVA[[#This Row],[QT_AREA_REST1]]&gt;0,"Reestimativa 1",IF(ESTIMATIVA[[#This Row],[QT_AREA_REAL]]=0,"Reestimativa 1","Realizado"))</f>
        <v>Reestimativa 1</v>
      </c>
      <c r="W1694" s="1" t="str">
        <f>IF(ESTIMATIVA[[#This Row],[QT_AREA_REST2]]&gt;0,"Reestimativa 2",IF(ESTIMATIVA[[#This Row],[QT_AREA_REAL]]=0,"Reestimativa 2","Realizado"))</f>
        <v>Reestimativa 2</v>
      </c>
      <c r="X1694" s="1">
        <f>ESTIMATIVA[[#This Row],[QT_AREA_EST]]</f>
        <v>8.6199999999999992</v>
      </c>
      <c r="Y1694" s="1">
        <f>IF(ESTIMATIVA[[#This Row],[QT_AREA_REST1]]&gt;0,ESTIMATIVA[[#This Row],[QT_AREA_REST1]],
  IF(ESTIMATIVA[[#This Row],[QT_AREA_REAL]]&gt;0,ESTIMATIVA[[#This Row],[QT_AREA_REAL]],ESTIMATIVA[[#This Row],[QT_AREA_EST]]))</f>
        <v>8.6199999999999992</v>
      </c>
      <c r="Z169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8.6199999999999992</v>
      </c>
      <c r="AA1694" s="1">
        <f>ESTIMATIVA[[#This Row],[QT_CANA_EST]]</f>
        <v>517.20000000000005</v>
      </c>
      <c r="AB1694" s="1">
        <f>IF(ESTIMATIVA[[#This Row],[QT_CANA_REST1]]&gt;0,ESTIMATIVA[[#This Row],[QT_CANA_REST1]],
  IF(ESTIMATIVA[[#This Row],[QT_CANA_REAL]]&gt;0,ESTIMATIVA[[#This Row],[QT_CANA_REAL]],ESTIMATIVA[[#This Row],[QT_CANA_EST]]))</f>
        <v>517.20000000000005</v>
      </c>
      <c r="AC169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474.1</v>
      </c>
      <c r="AD1694" s="1">
        <f>IF(ESTIMATIVA[[#This Row],[QT_AREA_REAL]]&gt;0,ESTIMATIVA[[#This Row],[QT_CANA_REAL]],ESTIMATIVA[[#This Row],[QT_CANA_EST]])</f>
        <v>477.95</v>
      </c>
      <c r="AE1694" s="1">
        <f>IF(ESTIMATIVA[[#This Row],[QT_AREA_REAL]]&gt;0,ESTIMATIVA[[#This Row],[QT_CANA_REAL]],ESTIMATIVA[[#This Row],[QT_CANA_REST1]])</f>
        <v>477.95</v>
      </c>
      <c r="AF1694" s="1">
        <f>IF(ESTIMATIVA[[#This Row],[QT_AREA_REAL]]&gt;0,ESTIMATIVA[[#This Row],[QT_CANA_REAL]],ESTIMATIVA[[#This Row],[QT_CANA_REST2]])</f>
        <v>477.95</v>
      </c>
      <c r="AG1694" s="1" t="str">
        <f>IF(COUNTIFS(GEADA!A:A,VALUE(ESTIMATIVA[[#This Row],[CD_UPNIVEL1]]&amp;TEXT(ESTIMATIVA[[#This Row],[CD_UPNIVEL3]],"0000")))&gt;0,"S","N")</f>
        <v>N</v>
      </c>
      <c r="AH169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94" s="55" t="str">
        <f>IF(ESTIMATIVA[[#This Row],[TP_CULTIVO]]="Irrigado",_xlfn.MAXIFS(IRRIGADO!J:J,IRRIGADO!C:C,ESTIMATIVA[[#This Row],[CD_UPNIVEL1]],IRRIGADO!E:E,ESTIMATIVA[[#This Row],[CD_UPNIVEL3]]),"")</f>
        <v/>
      </c>
      <c r="AJ169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94" s="1">
        <f>COUNTIFS(Apresentação!$E$23:$E$29,ESTIMATIVA[[#This Row],[CD_UPNIVEL1]])</f>
        <v>0</v>
      </c>
    </row>
    <row r="1695" spans="1:37" x14ac:dyDescent="0.3">
      <c r="A1695">
        <v>20614</v>
      </c>
      <c r="B1695" t="s">
        <v>158</v>
      </c>
      <c r="C1695">
        <v>11</v>
      </c>
      <c r="D1695">
        <v>3</v>
      </c>
      <c r="E1695" t="s">
        <v>263</v>
      </c>
      <c r="F1695" s="85" t="s">
        <v>331</v>
      </c>
      <c r="G1695"/>
      <c r="H1695" t="s">
        <v>295</v>
      </c>
      <c r="I1695" t="s">
        <v>200</v>
      </c>
      <c r="J1695" t="s">
        <v>176</v>
      </c>
      <c r="K1695" s="1">
        <v>8.93</v>
      </c>
      <c r="L1695" s="1">
        <v>8.93</v>
      </c>
      <c r="M1695" s="1">
        <v>8.93</v>
      </c>
      <c r="N1695" s="1">
        <v>8.93</v>
      </c>
      <c r="O1695" s="1">
        <v>803.7</v>
      </c>
      <c r="P1695" s="1">
        <v>812.63</v>
      </c>
      <c r="Q1695" s="1">
        <v>803.7</v>
      </c>
      <c r="R1695" s="1">
        <v>614.77</v>
      </c>
      <c r="S1695" t="s">
        <v>12</v>
      </c>
      <c r="T1695" s="13">
        <v>46005</v>
      </c>
      <c r="U1695" s="1" t="str">
        <f>IF(ESTIMATIVA[[#This Row],[QT_AREA_REAL]]&gt;0,"1- Colhido","2- à Colher")</f>
        <v>1- Colhido</v>
      </c>
      <c r="V1695" s="1" t="str">
        <f>IF(ESTIMATIVA[[#This Row],[QT_AREA_REST1]]&gt;0,"Reestimativa 1",IF(ESTIMATIVA[[#This Row],[QT_AREA_REAL]]=0,"Reestimativa 1","Realizado"))</f>
        <v>Reestimativa 1</v>
      </c>
      <c r="W1695" s="1" t="str">
        <f>IF(ESTIMATIVA[[#This Row],[QT_AREA_REST2]]&gt;0,"Reestimativa 2",IF(ESTIMATIVA[[#This Row],[QT_AREA_REAL]]=0,"Reestimativa 2","Realizado"))</f>
        <v>Reestimativa 2</v>
      </c>
      <c r="X1695" s="1">
        <f>ESTIMATIVA[[#This Row],[QT_AREA_EST]]</f>
        <v>8.93</v>
      </c>
      <c r="Y1695" s="1">
        <f>IF(ESTIMATIVA[[#This Row],[QT_AREA_REST1]]&gt;0,ESTIMATIVA[[#This Row],[QT_AREA_REST1]],
  IF(ESTIMATIVA[[#This Row],[QT_AREA_REAL]]&gt;0,ESTIMATIVA[[#This Row],[QT_AREA_REAL]],ESTIMATIVA[[#This Row],[QT_AREA_EST]]))</f>
        <v>8.93</v>
      </c>
      <c r="Z169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8.93</v>
      </c>
      <c r="AA1695" s="1">
        <f>ESTIMATIVA[[#This Row],[QT_CANA_EST]]</f>
        <v>803.7</v>
      </c>
      <c r="AB1695" s="1">
        <f>IF(ESTIMATIVA[[#This Row],[QT_CANA_REST1]]&gt;0,ESTIMATIVA[[#This Row],[QT_CANA_REST1]],
  IF(ESTIMATIVA[[#This Row],[QT_CANA_REAL]]&gt;0,ESTIMATIVA[[#This Row],[QT_CANA_REAL]],ESTIMATIVA[[#This Row],[QT_CANA_EST]]))</f>
        <v>812.63</v>
      </c>
      <c r="AC169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803.7</v>
      </c>
      <c r="AD1695" s="1">
        <f>IF(ESTIMATIVA[[#This Row],[QT_AREA_REAL]]&gt;0,ESTIMATIVA[[#This Row],[QT_CANA_REAL]],ESTIMATIVA[[#This Row],[QT_CANA_EST]])</f>
        <v>614.77</v>
      </c>
      <c r="AE1695" s="1">
        <f>IF(ESTIMATIVA[[#This Row],[QT_AREA_REAL]]&gt;0,ESTIMATIVA[[#This Row],[QT_CANA_REAL]],ESTIMATIVA[[#This Row],[QT_CANA_REST1]])</f>
        <v>614.77</v>
      </c>
      <c r="AF1695" s="1">
        <f>IF(ESTIMATIVA[[#This Row],[QT_AREA_REAL]]&gt;0,ESTIMATIVA[[#This Row],[QT_CANA_REAL]],ESTIMATIVA[[#This Row],[QT_CANA_REST2]])</f>
        <v>614.77</v>
      </c>
      <c r="AG1695" s="1" t="str">
        <f>IF(COUNTIFS(GEADA!A:A,VALUE(ESTIMATIVA[[#This Row],[CD_UPNIVEL1]]&amp;TEXT(ESTIMATIVA[[#This Row],[CD_UPNIVEL3]],"0000")))&gt;0,"S","N")</f>
        <v>N</v>
      </c>
      <c r="AH169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95" s="55" t="str">
        <f>IF(ESTIMATIVA[[#This Row],[TP_CULTIVO]]="Irrigado",_xlfn.MAXIFS(IRRIGADO!J:J,IRRIGADO!C:C,ESTIMATIVA[[#This Row],[CD_UPNIVEL1]],IRRIGADO!E:E,ESTIMATIVA[[#This Row],[CD_UPNIVEL3]]),"")</f>
        <v/>
      </c>
      <c r="AJ169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95" s="1">
        <f>COUNTIFS(Apresentação!$E$23:$E$29,ESTIMATIVA[[#This Row],[CD_UPNIVEL1]])</f>
        <v>0</v>
      </c>
    </row>
    <row r="1696" spans="1:37" x14ac:dyDescent="0.3">
      <c r="A1696">
        <v>20614</v>
      </c>
      <c r="B1696" t="s">
        <v>158</v>
      </c>
      <c r="C1696">
        <v>12</v>
      </c>
      <c r="D1696">
        <v>3</v>
      </c>
      <c r="E1696" t="s">
        <v>263</v>
      </c>
      <c r="F1696" s="85" t="s">
        <v>331</v>
      </c>
      <c r="G1696"/>
      <c r="H1696" t="s">
        <v>295</v>
      </c>
      <c r="I1696" t="s">
        <v>200</v>
      </c>
      <c r="J1696" t="s">
        <v>176</v>
      </c>
      <c r="K1696" s="1">
        <v>5.66</v>
      </c>
      <c r="L1696" s="1">
        <v>5.66</v>
      </c>
      <c r="M1696" s="1">
        <v>5.66</v>
      </c>
      <c r="N1696" s="1">
        <v>5.66</v>
      </c>
      <c r="O1696" s="1">
        <v>509.4</v>
      </c>
      <c r="P1696" s="1">
        <v>515.05999999999995</v>
      </c>
      <c r="Q1696" s="1">
        <v>509.4</v>
      </c>
      <c r="R1696" s="1">
        <v>389.18</v>
      </c>
      <c r="S1696" t="s">
        <v>12</v>
      </c>
      <c r="T1696" s="13">
        <v>46005</v>
      </c>
      <c r="U1696" s="1" t="str">
        <f>IF(ESTIMATIVA[[#This Row],[QT_AREA_REAL]]&gt;0,"1- Colhido","2- à Colher")</f>
        <v>1- Colhido</v>
      </c>
      <c r="V1696" s="1" t="str">
        <f>IF(ESTIMATIVA[[#This Row],[QT_AREA_REST1]]&gt;0,"Reestimativa 1",IF(ESTIMATIVA[[#This Row],[QT_AREA_REAL]]=0,"Reestimativa 1","Realizado"))</f>
        <v>Reestimativa 1</v>
      </c>
      <c r="W1696" s="1" t="str">
        <f>IF(ESTIMATIVA[[#This Row],[QT_AREA_REST2]]&gt;0,"Reestimativa 2",IF(ESTIMATIVA[[#This Row],[QT_AREA_REAL]]=0,"Reestimativa 2","Realizado"))</f>
        <v>Reestimativa 2</v>
      </c>
      <c r="X1696" s="1">
        <f>ESTIMATIVA[[#This Row],[QT_AREA_EST]]</f>
        <v>5.66</v>
      </c>
      <c r="Y1696" s="1">
        <f>IF(ESTIMATIVA[[#This Row],[QT_AREA_REST1]]&gt;0,ESTIMATIVA[[#This Row],[QT_AREA_REST1]],
  IF(ESTIMATIVA[[#This Row],[QT_AREA_REAL]]&gt;0,ESTIMATIVA[[#This Row],[QT_AREA_REAL]],ESTIMATIVA[[#This Row],[QT_AREA_EST]]))</f>
        <v>5.66</v>
      </c>
      <c r="Z169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5.66</v>
      </c>
      <c r="AA1696" s="1">
        <f>ESTIMATIVA[[#This Row],[QT_CANA_EST]]</f>
        <v>509.4</v>
      </c>
      <c r="AB1696" s="1">
        <f>IF(ESTIMATIVA[[#This Row],[QT_CANA_REST1]]&gt;0,ESTIMATIVA[[#This Row],[QT_CANA_REST1]],
  IF(ESTIMATIVA[[#This Row],[QT_CANA_REAL]]&gt;0,ESTIMATIVA[[#This Row],[QT_CANA_REAL]],ESTIMATIVA[[#This Row],[QT_CANA_EST]]))</f>
        <v>515.05999999999995</v>
      </c>
      <c r="AC169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509.4</v>
      </c>
      <c r="AD1696" s="1">
        <f>IF(ESTIMATIVA[[#This Row],[QT_AREA_REAL]]&gt;0,ESTIMATIVA[[#This Row],[QT_CANA_REAL]],ESTIMATIVA[[#This Row],[QT_CANA_EST]])</f>
        <v>389.18</v>
      </c>
      <c r="AE1696" s="1">
        <f>IF(ESTIMATIVA[[#This Row],[QT_AREA_REAL]]&gt;0,ESTIMATIVA[[#This Row],[QT_CANA_REAL]],ESTIMATIVA[[#This Row],[QT_CANA_REST1]])</f>
        <v>389.18</v>
      </c>
      <c r="AF1696" s="1">
        <f>IF(ESTIMATIVA[[#This Row],[QT_AREA_REAL]]&gt;0,ESTIMATIVA[[#This Row],[QT_CANA_REAL]],ESTIMATIVA[[#This Row],[QT_CANA_REST2]])</f>
        <v>389.18</v>
      </c>
      <c r="AG1696" s="1" t="str">
        <f>IF(COUNTIFS(GEADA!A:A,VALUE(ESTIMATIVA[[#This Row],[CD_UPNIVEL1]]&amp;TEXT(ESTIMATIVA[[#This Row],[CD_UPNIVEL3]],"0000")))&gt;0,"S","N")</f>
        <v>N</v>
      </c>
      <c r="AH169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96" s="55" t="str">
        <f>IF(ESTIMATIVA[[#This Row],[TP_CULTIVO]]="Irrigado",_xlfn.MAXIFS(IRRIGADO!J:J,IRRIGADO!C:C,ESTIMATIVA[[#This Row],[CD_UPNIVEL1]],IRRIGADO!E:E,ESTIMATIVA[[#This Row],[CD_UPNIVEL3]]),"")</f>
        <v/>
      </c>
      <c r="AJ169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96" s="1">
        <f>COUNTIFS(Apresentação!$E$23:$E$29,ESTIMATIVA[[#This Row],[CD_UPNIVEL1]])</f>
        <v>0</v>
      </c>
    </row>
    <row r="1697" spans="1:37" x14ac:dyDescent="0.3">
      <c r="A1697">
        <v>20614</v>
      </c>
      <c r="B1697" t="s">
        <v>158</v>
      </c>
      <c r="C1697">
        <v>13</v>
      </c>
      <c r="D1697">
        <v>3</v>
      </c>
      <c r="E1697" t="s">
        <v>263</v>
      </c>
      <c r="F1697" s="85" t="s">
        <v>331</v>
      </c>
      <c r="G1697"/>
      <c r="H1697" t="s">
        <v>295</v>
      </c>
      <c r="I1697" t="s">
        <v>200</v>
      </c>
      <c r="J1697" t="s">
        <v>176</v>
      </c>
      <c r="K1697" s="1">
        <v>12.55</v>
      </c>
      <c r="L1697" s="1">
        <v>12.55</v>
      </c>
      <c r="M1697" s="1">
        <v>12.55</v>
      </c>
      <c r="N1697" s="1">
        <v>12.55</v>
      </c>
      <c r="O1697" s="1">
        <v>1129.5</v>
      </c>
      <c r="P1697" s="1">
        <v>1142.05</v>
      </c>
      <c r="Q1697" s="1">
        <v>1129.5</v>
      </c>
      <c r="R1697" s="1">
        <v>864.07</v>
      </c>
      <c r="S1697" t="s">
        <v>12</v>
      </c>
      <c r="T1697" s="13">
        <v>46005</v>
      </c>
      <c r="U1697" s="1" t="str">
        <f>IF(ESTIMATIVA[[#This Row],[QT_AREA_REAL]]&gt;0,"1- Colhido","2- à Colher")</f>
        <v>1- Colhido</v>
      </c>
      <c r="V1697" s="1" t="str">
        <f>IF(ESTIMATIVA[[#This Row],[QT_AREA_REST1]]&gt;0,"Reestimativa 1",IF(ESTIMATIVA[[#This Row],[QT_AREA_REAL]]=0,"Reestimativa 1","Realizado"))</f>
        <v>Reestimativa 1</v>
      </c>
      <c r="W1697" s="1" t="str">
        <f>IF(ESTIMATIVA[[#This Row],[QT_AREA_REST2]]&gt;0,"Reestimativa 2",IF(ESTIMATIVA[[#This Row],[QT_AREA_REAL]]=0,"Reestimativa 2","Realizado"))</f>
        <v>Reestimativa 2</v>
      </c>
      <c r="X1697" s="1">
        <f>ESTIMATIVA[[#This Row],[QT_AREA_EST]]</f>
        <v>12.55</v>
      </c>
      <c r="Y1697" s="1">
        <f>IF(ESTIMATIVA[[#This Row],[QT_AREA_REST1]]&gt;0,ESTIMATIVA[[#This Row],[QT_AREA_REST1]],
  IF(ESTIMATIVA[[#This Row],[QT_AREA_REAL]]&gt;0,ESTIMATIVA[[#This Row],[QT_AREA_REAL]],ESTIMATIVA[[#This Row],[QT_AREA_EST]]))</f>
        <v>12.55</v>
      </c>
      <c r="Z169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12.55</v>
      </c>
      <c r="AA1697" s="1">
        <f>ESTIMATIVA[[#This Row],[QT_CANA_EST]]</f>
        <v>1129.5</v>
      </c>
      <c r="AB1697" s="1">
        <f>IF(ESTIMATIVA[[#This Row],[QT_CANA_REST1]]&gt;0,ESTIMATIVA[[#This Row],[QT_CANA_REST1]],
  IF(ESTIMATIVA[[#This Row],[QT_CANA_REAL]]&gt;0,ESTIMATIVA[[#This Row],[QT_CANA_REAL]],ESTIMATIVA[[#This Row],[QT_CANA_EST]]))</f>
        <v>1142.05</v>
      </c>
      <c r="AC169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1129.5</v>
      </c>
      <c r="AD1697" s="1">
        <f>IF(ESTIMATIVA[[#This Row],[QT_AREA_REAL]]&gt;0,ESTIMATIVA[[#This Row],[QT_CANA_REAL]],ESTIMATIVA[[#This Row],[QT_CANA_EST]])</f>
        <v>864.07</v>
      </c>
      <c r="AE1697" s="1">
        <f>IF(ESTIMATIVA[[#This Row],[QT_AREA_REAL]]&gt;0,ESTIMATIVA[[#This Row],[QT_CANA_REAL]],ESTIMATIVA[[#This Row],[QT_CANA_REST1]])</f>
        <v>864.07</v>
      </c>
      <c r="AF1697" s="1">
        <f>IF(ESTIMATIVA[[#This Row],[QT_AREA_REAL]]&gt;0,ESTIMATIVA[[#This Row],[QT_CANA_REAL]],ESTIMATIVA[[#This Row],[QT_CANA_REST2]])</f>
        <v>864.07</v>
      </c>
      <c r="AG1697" s="1" t="str">
        <f>IF(COUNTIFS(GEADA!A:A,VALUE(ESTIMATIVA[[#This Row],[CD_UPNIVEL1]]&amp;TEXT(ESTIMATIVA[[#This Row],[CD_UPNIVEL3]],"0000")))&gt;0,"S","N")</f>
        <v>N</v>
      </c>
      <c r="AH169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97" s="55" t="str">
        <f>IF(ESTIMATIVA[[#This Row],[TP_CULTIVO]]="Irrigado",_xlfn.MAXIFS(IRRIGADO!J:J,IRRIGADO!C:C,ESTIMATIVA[[#This Row],[CD_UPNIVEL1]],IRRIGADO!E:E,ESTIMATIVA[[#This Row],[CD_UPNIVEL3]]),"")</f>
        <v/>
      </c>
      <c r="AJ169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97" s="1">
        <f>COUNTIFS(Apresentação!$E$23:$E$29,ESTIMATIVA[[#This Row],[CD_UPNIVEL1]])</f>
        <v>0</v>
      </c>
    </row>
    <row r="1698" spans="1:37" x14ac:dyDescent="0.3">
      <c r="A1698">
        <v>20614</v>
      </c>
      <c r="B1698" t="s">
        <v>158</v>
      </c>
      <c r="C1698">
        <v>14</v>
      </c>
      <c r="D1698">
        <v>3</v>
      </c>
      <c r="E1698" t="s">
        <v>263</v>
      </c>
      <c r="F1698" s="85" t="s">
        <v>331</v>
      </c>
      <c r="G1698"/>
      <c r="H1698" t="s">
        <v>295</v>
      </c>
      <c r="I1698" t="s">
        <v>200</v>
      </c>
      <c r="J1698" t="s">
        <v>176</v>
      </c>
      <c r="K1698" s="1">
        <v>15.67</v>
      </c>
      <c r="L1698" s="1">
        <v>15.67</v>
      </c>
      <c r="M1698" s="1">
        <v>15.67</v>
      </c>
      <c r="N1698" s="1">
        <v>15.67</v>
      </c>
      <c r="O1698" s="1">
        <v>1410.3</v>
      </c>
      <c r="P1698" s="1">
        <v>1425.97</v>
      </c>
      <c r="Q1698" s="1">
        <v>1410.3</v>
      </c>
      <c r="R1698" s="1">
        <v>1078.2</v>
      </c>
      <c r="S1698" t="s">
        <v>12</v>
      </c>
      <c r="T1698" s="13">
        <v>46005</v>
      </c>
      <c r="U1698" s="1" t="str">
        <f>IF(ESTIMATIVA[[#This Row],[QT_AREA_REAL]]&gt;0,"1- Colhido","2- à Colher")</f>
        <v>1- Colhido</v>
      </c>
      <c r="V1698" s="1" t="str">
        <f>IF(ESTIMATIVA[[#This Row],[QT_AREA_REST1]]&gt;0,"Reestimativa 1",IF(ESTIMATIVA[[#This Row],[QT_AREA_REAL]]=0,"Reestimativa 1","Realizado"))</f>
        <v>Reestimativa 1</v>
      </c>
      <c r="W1698" s="1" t="str">
        <f>IF(ESTIMATIVA[[#This Row],[QT_AREA_REST2]]&gt;0,"Reestimativa 2",IF(ESTIMATIVA[[#This Row],[QT_AREA_REAL]]=0,"Reestimativa 2","Realizado"))</f>
        <v>Reestimativa 2</v>
      </c>
      <c r="X1698" s="1">
        <f>ESTIMATIVA[[#This Row],[QT_AREA_EST]]</f>
        <v>15.67</v>
      </c>
      <c r="Y1698" s="1">
        <f>IF(ESTIMATIVA[[#This Row],[QT_AREA_REST1]]&gt;0,ESTIMATIVA[[#This Row],[QT_AREA_REST1]],
  IF(ESTIMATIVA[[#This Row],[QT_AREA_REAL]]&gt;0,ESTIMATIVA[[#This Row],[QT_AREA_REAL]],ESTIMATIVA[[#This Row],[QT_AREA_EST]]))</f>
        <v>15.67</v>
      </c>
      <c r="Z169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15.67</v>
      </c>
      <c r="AA1698" s="1">
        <f>ESTIMATIVA[[#This Row],[QT_CANA_EST]]</f>
        <v>1410.3</v>
      </c>
      <c r="AB1698" s="1">
        <f>IF(ESTIMATIVA[[#This Row],[QT_CANA_REST1]]&gt;0,ESTIMATIVA[[#This Row],[QT_CANA_REST1]],
  IF(ESTIMATIVA[[#This Row],[QT_CANA_REAL]]&gt;0,ESTIMATIVA[[#This Row],[QT_CANA_REAL]],ESTIMATIVA[[#This Row],[QT_CANA_EST]]))</f>
        <v>1425.97</v>
      </c>
      <c r="AC169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1410.3</v>
      </c>
      <c r="AD1698" s="1">
        <f>IF(ESTIMATIVA[[#This Row],[QT_AREA_REAL]]&gt;0,ESTIMATIVA[[#This Row],[QT_CANA_REAL]],ESTIMATIVA[[#This Row],[QT_CANA_EST]])</f>
        <v>1078.2</v>
      </c>
      <c r="AE1698" s="1">
        <f>IF(ESTIMATIVA[[#This Row],[QT_AREA_REAL]]&gt;0,ESTIMATIVA[[#This Row],[QT_CANA_REAL]],ESTIMATIVA[[#This Row],[QT_CANA_REST1]])</f>
        <v>1078.2</v>
      </c>
      <c r="AF1698" s="1">
        <f>IF(ESTIMATIVA[[#This Row],[QT_AREA_REAL]]&gt;0,ESTIMATIVA[[#This Row],[QT_CANA_REAL]],ESTIMATIVA[[#This Row],[QT_CANA_REST2]])</f>
        <v>1078.2</v>
      </c>
      <c r="AG1698" s="1" t="str">
        <f>IF(COUNTIFS(GEADA!A:A,VALUE(ESTIMATIVA[[#This Row],[CD_UPNIVEL1]]&amp;TEXT(ESTIMATIVA[[#This Row],[CD_UPNIVEL3]],"0000")))&gt;0,"S","N")</f>
        <v>N</v>
      </c>
      <c r="AH1698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98" s="55" t="str">
        <f>IF(ESTIMATIVA[[#This Row],[TP_CULTIVO]]="Irrigado",_xlfn.MAXIFS(IRRIGADO!J:J,IRRIGADO!C:C,ESTIMATIVA[[#This Row],[CD_UPNIVEL1]],IRRIGADO!E:E,ESTIMATIVA[[#This Row],[CD_UPNIVEL3]]),"")</f>
        <v/>
      </c>
      <c r="AJ169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98" s="1">
        <f>COUNTIFS(Apresentação!$E$23:$E$29,ESTIMATIVA[[#This Row],[CD_UPNIVEL1]])</f>
        <v>0</v>
      </c>
    </row>
    <row r="1699" spans="1:37" x14ac:dyDescent="0.3">
      <c r="A1699">
        <v>20614</v>
      </c>
      <c r="B1699" t="s">
        <v>158</v>
      </c>
      <c r="C1699">
        <v>15</v>
      </c>
      <c r="D1699">
        <v>3</v>
      </c>
      <c r="E1699" t="s">
        <v>263</v>
      </c>
      <c r="F1699" s="85" t="s">
        <v>331</v>
      </c>
      <c r="G1699"/>
      <c r="H1699" t="s">
        <v>295</v>
      </c>
      <c r="I1699" t="s">
        <v>200</v>
      </c>
      <c r="J1699" t="s">
        <v>176</v>
      </c>
      <c r="K1699" s="1">
        <v>9.59</v>
      </c>
      <c r="L1699" s="1">
        <v>9.59</v>
      </c>
      <c r="M1699" s="1">
        <v>9.59</v>
      </c>
      <c r="N1699" s="1">
        <v>9.59</v>
      </c>
      <c r="O1699" s="1">
        <v>863.1</v>
      </c>
      <c r="P1699" s="1">
        <v>872.69</v>
      </c>
      <c r="Q1699" s="1">
        <v>863.1</v>
      </c>
      <c r="R1699" s="1">
        <v>660.15</v>
      </c>
      <c r="S1699" t="s">
        <v>12</v>
      </c>
      <c r="T1699" s="13">
        <v>46005</v>
      </c>
      <c r="U1699" s="1" t="str">
        <f>IF(ESTIMATIVA[[#This Row],[QT_AREA_REAL]]&gt;0,"1- Colhido","2- à Colher")</f>
        <v>1- Colhido</v>
      </c>
      <c r="V1699" s="1" t="str">
        <f>IF(ESTIMATIVA[[#This Row],[QT_AREA_REST1]]&gt;0,"Reestimativa 1",IF(ESTIMATIVA[[#This Row],[QT_AREA_REAL]]=0,"Reestimativa 1","Realizado"))</f>
        <v>Reestimativa 1</v>
      </c>
      <c r="W1699" s="1" t="str">
        <f>IF(ESTIMATIVA[[#This Row],[QT_AREA_REST2]]&gt;0,"Reestimativa 2",IF(ESTIMATIVA[[#This Row],[QT_AREA_REAL]]=0,"Reestimativa 2","Realizado"))</f>
        <v>Reestimativa 2</v>
      </c>
      <c r="X1699" s="1">
        <f>ESTIMATIVA[[#This Row],[QT_AREA_EST]]</f>
        <v>9.59</v>
      </c>
      <c r="Y1699" s="1">
        <f>IF(ESTIMATIVA[[#This Row],[QT_AREA_REST1]]&gt;0,ESTIMATIVA[[#This Row],[QT_AREA_REST1]],
  IF(ESTIMATIVA[[#This Row],[QT_AREA_REAL]]&gt;0,ESTIMATIVA[[#This Row],[QT_AREA_REAL]],ESTIMATIVA[[#This Row],[QT_AREA_EST]]))</f>
        <v>9.59</v>
      </c>
      <c r="Z169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9.59</v>
      </c>
      <c r="AA1699" s="1">
        <f>ESTIMATIVA[[#This Row],[QT_CANA_EST]]</f>
        <v>863.1</v>
      </c>
      <c r="AB1699" s="1">
        <f>IF(ESTIMATIVA[[#This Row],[QT_CANA_REST1]]&gt;0,ESTIMATIVA[[#This Row],[QT_CANA_REST1]],
  IF(ESTIMATIVA[[#This Row],[QT_CANA_REAL]]&gt;0,ESTIMATIVA[[#This Row],[QT_CANA_REAL]],ESTIMATIVA[[#This Row],[QT_CANA_EST]]))</f>
        <v>872.69</v>
      </c>
      <c r="AC169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863.1</v>
      </c>
      <c r="AD1699" s="1">
        <f>IF(ESTIMATIVA[[#This Row],[QT_AREA_REAL]]&gt;0,ESTIMATIVA[[#This Row],[QT_CANA_REAL]],ESTIMATIVA[[#This Row],[QT_CANA_EST]])</f>
        <v>660.15</v>
      </c>
      <c r="AE1699" s="1">
        <f>IF(ESTIMATIVA[[#This Row],[QT_AREA_REAL]]&gt;0,ESTIMATIVA[[#This Row],[QT_CANA_REAL]],ESTIMATIVA[[#This Row],[QT_CANA_REST1]])</f>
        <v>660.15</v>
      </c>
      <c r="AF1699" s="1">
        <f>IF(ESTIMATIVA[[#This Row],[QT_AREA_REAL]]&gt;0,ESTIMATIVA[[#This Row],[QT_CANA_REAL]],ESTIMATIVA[[#This Row],[QT_CANA_REST2]])</f>
        <v>660.15</v>
      </c>
      <c r="AG1699" s="1" t="str">
        <f>IF(COUNTIFS(GEADA!A:A,VALUE(ESTIMATIVA[[#This Row],[CD_UPNIVEL1]]&amp;TEXT(ESTIMATIVA[[#This Row],[CD_UPNIVEL3]],"0000")))&gt;0,"S","N")</f>
        <v>N</v>
      </c>
      <c r="AH1699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699" s="55" t="str">
        <f>IF(ESTIMATIVA[[#This Row],[TP_CULTIVO]]="Irrigado",_xlfn.MAXIFS(IRRIGADO!J:J,IRRIGADO!C:C,ESTIMATIVA[[#This Row],[CD_UPNIVEL1]],IRRIGADO!E:E,ESTIMATIVA[[#This Row],[CD_UPNIVEL3]]),"")</f>
        <v/>
      </c>
      <c r="AJ169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699" s="1">
        <f>COUNTIFS(Apresentação!$E$23:$E$29,ESTIMATIVA[[#This Row],[CD_UPNIVEL1]])</f>
        <v>0</v>
      </c>
    </row>
    <row r="1700" spans="1:37" x14ac:dyDescent="0.3">
      <c r="A1700">
        <v>20615</v>
      </c>
      <c r="B1700" t="s">
        <v>159</v>
      </c>
      <c r="C1700">
        <v>1</v>
      </c>
      <c r="D1700">
        <v>5</v>
      </c>
      <c r="E1700" t="s">
        <v>268</v>
      </c>
      <c r="F1700" s="85" t="s">
        <v>331</v>
      </c>
      <c r="G1700"/>
      <c r="H1700" t="s">
        <v>294</v>
      </c>
      <c r="I1700" t="s">
        <v>221</v>
      </c>
      <c r="J1700" t="s">
        <v>176</v>
      </c>
      <c r="K1700" s="1">
        <v>40.19</v>
      </c>
      <c r="L1700" s="1">
        <v>40.19</v>
      </c>
      <c r="M1700" s="1">
        <v>40.19</v>
      </c>
      <c r="N1700" s="1">
        <v>40.19</v>
      </c>
      <c r="O1700" s="1">
        <v>2411.4</v>
      </c>
      <c r="P1700" s="1">
        <v>2773.11</v>
      </c>
      <c r="Q1700" s="1">
        <v>2773.11</v>
      </c>
      <c r="R1700" s="1">
        <v>2143.4299999999998</v>
      </c>
      <c r="S1700" t="s">
        <v>12</v>
      </c>
      <c r="T1700" s="13">
        <v>45935</v>
      </c>
      <c r="U1700" s="1" t="str">
        <f>IF(ESTIMATIVA[[#This Row],[QT_AREA_REAL]]&gt;0,"1- Colhido","2- à Colher")</f>
        <v>1- Colhido</v>
      </c>
      <c r="V1700" s="1" t="str">
        <f>IF(ESTIMATIVA[[#This Row],[QT_AREA_REST1]]&gt;0,"Reestimativa 1",IF(ESTIMATIVA[[#This Row],[QT_AREA_REAL]]=0,"Reestimativa 1","Realizado"))</f>
        <v>Reestimativa 1</v>
      </c>
      <c r="W1700" s="1" t="str">
        <f>IF(ESTIMATIVA[[#This Row],[QT_AREA_REST2]]&gt;0,"Reestimativa 2",IF(ESTIMATIVA[[#This Row],[QT_AREA_REAL]]=0,"Reestimativa 2","Realizado"))</f>
        <v>Reestimativa 2</v>
      </c>
      <c r="X1700" s="1">
        <f>ESTIMATIVA[[#This Row],[QT_AREA_EST]]</f>
        <v>40.19</v>
      </c>
      <c r="Y1700" s="1">
        <f>IF(ESTIMATIVA[[#This Row],[QT_AREA_REST1]]&gt;0,ESTIMATIVA[[#This Row],[QT_AREA_REST1]],
  IF(ESTIMATIVA[[#This Row],[QT_AREA_REAL]]&gt;0,ESTIMATIVA[[#This Row],[QT_AREA_REAL]],ESTIMATIVA[[#This Row],[QT_AREA_EST]]))</f>
        <v>40.19</v>
      </c>
      <c r="Z170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40.19</v>
      </c>
      <c r="AA1700" s="1">
        <f>ESTIMATIVA[[#This Row],[QT_CANA_EST]]</f>
        <v>2411.4</v>
      </c>
      <c r="AB1700" s="1">
        <f>IF(ESTIMATIVA[[#This Row],[QT_CANA_REST1]]&gt;0,ESTIMATIVA[[#This Row],[QT_CANA_REST1]],
  IF(ESTIMATIVA[[#This Row],[QT_CANA_REAL]]&gt;0,ESTIMATIVA[[#This Row],[QT_CANA_REAL]],ESTIMATIVA[[#This Row],[QT_CANA_EST]]))</f>
        <v>2773.11</v>
      </c>
      <c r="AC170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2773.11</v>
      </c>
      <c r="AD1700" s="1">
        <f>IF(ESTIMATIVA[[#This Row],[QT_AREA_REAL]]&gt;0,ESTIMATIVA[[#This Row],[QT_CANA_REAL]],ESTIMATIVA[[#This Row],[QT_CANA_EST]])</f>
        <v>2143.4299999999998</v>
      </c>
      <c r="AE1700" s="1">
        <f>IF(ESTIMATIVA[[#This Row],[QT_AREA_REAL]]&gt;0,ESTIMATIVA[[#This Row],[QT_CANA_REAL]],ESTIMATIVA[[#This Row],[QT_CANA_REST1]])</f>
        <v>2143.4299999999998</v>
      </c>
      <c r="AF1700" s="1">
        <f>IF(ESTIMATIVA[[#This Row],[QT_AREA_REAL]]&gt;0,ESTIMATIVA[[#This Row],[QT_CANA_REAL]],ESTIMATIVA[[#This Row],[QT_CANA_REST2]])</f>
        <v>2143.4299999999998</v>
      </c>
      <c r="AG1700" s="1" t="str">
        <f>IF(COUNTIFS(GEADA!A:A,VALUE(ESTIMATIVA[[#This Row],[CD_UPNIVEL1]]&amp;TEXT(ESTIMATIVA[[#This Row],[CD_UPNIVEL3]],"0000")))&gt;0,"S","N")</f>
        <v>N</v>
      </c>
      <c r="AH170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00" s="55" t="str">
        <f>IF(ESTIMATIVA[[#This Row],[TP_CULTIVO]]="Irrigado",_xlfn.MAXIFS(IRRIGADO!J:J,IRRIGADO!C:C,ESTIMATIVA[[#This Row],[CD_UPNIVEL1]],IRRIGADO!E:E,ESTIMATIVA[[#This Row],[CD_UPNIVEL3]]),"")</f>
        <v/>
      </c>
      <c r="AJ170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00" s="1">
        <f>COUNTIFS(Apresentação!$E$23:$E$29,ESTIMATIVA[[#This Row],[CD_UPNIVEL1]])</f>
        <v>0</v>
      </c>
    </row>
    <row r="1701" spans="1:37" x14ac:dyDescent="0.3">
      <c r="A1701">
        <v>20617</v>
      </c>
      <c r="B1701" t="s">
        <v>92</v>
      </c>
      <c r="C1701">
        <v>5</v>
      </c>
      <c r="D1701">
        <v>2</v>
      </c>
      <c r="E1701" t="s">
        <v>266</v>
      </c>
      <c r="F1701" s="85" t="s">
        <v>332</v>
      </c>
      <c r="G1701"/>
      <c r="H1701" t="s">
        <v>295</v>
      </c>
      <c r="I1701" t="s">
        <v>200</v>
      </c>
      <c r="J1701" t="s">
        <v>176</v>
      </c>
      <c r="K1701" s="1">
        <v>18.09</v>
      </c>
      <c r="L1701" s="1">
        <v>18.09</v>
      </c>
      <c r="M1701" s="1">
        <v>0</v>
      </c>
      <c r="N1701" s="1">
        <v>18.09</v>
      </c>
      <c r="O1701" s="1">
        <v>1700.46</v>
      </c>
      <c r="P1701" s="1">
        <v>1736.64</v>
      </c>
      <c r="Q1701" s="1">
        <v>0</v>
      </c>
      <c r="R1701" s="1">
        <v>1892.65</v>
      </c>
      <c r="S1701" t="s">
        <v>12</v>
      </c>
      <c r="T1701" s="13">
        <v>45865</v>
      </c>
      <c r="U1701" s="1" t="str">
        <f>IF(ESTIMATIVA[[#This Row],[QT_AREA_REAL]]&gt;0,"1- Colhido","2- à Colher")</f>
        <v>1- Colhido</v>
      </c>
      <c r="V1701" s="1" t="str">
        <f>IF(ESTIMATIVA[[#This Row],[QT_AREA_REST1]]&gt;0,"Reestimativa 1",IF(ESTIMATIVA[[#This Row],[QT_AREA_REAL]]=0,"Reestimativa 1","Realizado"))</f>
        <v>Reestimativa 1</v>
      </c>
      <c r="W1701" s="1" t="str">
        <f>IF(ESTIMATIVA[[#This Row],[QT_AREA_REST2]]&gt;0,"Reestimativa 2",IF(ESTIMATIVA[[#This Row],[QT_AREA_REAL]]=0,"Reestimativa 2","Realizado"))</f>
        <v>Realizado</v>
      </c>
      <c r="X1701" s="1">
        <f>ESTIMATIVA[[#This Row],[QT_AREA_EST]]</f>
        <v>18.09</v>
      </c>
      <c r="Y1701" s="1">
        <f>IF(ESTIMATIVA[[#This Row],[QT_AREA_REST1]]&gt;0,ESTIMATIVA[[#This Row],[QT_AREA_REST1]],
  IF(ESTIMATIVA[[#This Row],[QT_AREA_REAL]]&gt;0,ESTIMATIVA[[#This Row],[QT_AREA_REAL]],ESTIMATIVA[[#This Row],[QT_AREA_EST]]))</f>
        <v>18.09</v>
      </c>
      <c r="Z170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18.09</v>
      </c>
      <c r="AA1701" s="1">
        <f>ESTIMATIVA[[#This Row],[QT_CANA_EST]]</f>
        <v>1700.46</v>
      </c>
      <c r="AB1701" s="1">
        <f>IF(ESTIMATIVA[[#This Row],[QT_CANA_REST1]]&gt;0,ESTIMATIVA[[#This Row],[QT_CANA_REST1]],
  IF(ESTIMATIVA[[#This Row],[QT_CANA_REAL]]&gt;0,ESTIMATIVA[[#This Row],[QT_CANA_REAL]],ESTIMATIVA[[#This Row],[QT_CANA_EST]]))</f>
        <v>1736.64</v>
      </c>
      <c r="AC170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1892.65</v>
      </c>
      <c r="AD1701" s="1">
        <f>IF(ESTIMATIVA[[#This Row],[QT_AREA_REAL]]&gt;0,ESTIMATIVA[[#This Row],[QT_CANA_REAL]],ESTIMATIVA[[#This Row],[QT_CANA_EST]])</f>
        <v>1892.65</v>
      </c>
      <c r="AE1701" s="1">
        <f>IF(ESTIMATIVA[[#This Row],[QT_AREA_REAL]]&gt;0,ESTIMATIVA[[#This Row],[QT_CANA_REAL]],ESTIMATIVA[[#This Row],[QT_CANA_REST1]])</f>
        <v>1892.65</v>
      </c>
      <c r="AF1701" s="1">
        <f>IF(ESTIMATIVA[[#This Row],[QT_AREA_REAL]]&gt;0,ESTIMATIVA[[#This Row],[QT_CANA_REAL]],ESTIMATIVA[[#This Row],[QT_CANA_REST2]])</f>
        <v>1892.65</v>
      </c>
      <c r="AG1701" s="1" t="str">
        <f>IF(COUNTIFS(GEADA!A:A,VALUE(ESTIMATIVA[[#This Row],[CD_UPNIVEL1]]&amp;TEXT(ESTIMATIVA[[#This Row],[CD_UPNIVEL3]],"0000")))&gt;0,"S","N")</f>
        <v>N</v>
      </c>
      <c r="AH1701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701" s="55" t="str">
        <f>IF(ESTIMATIVA[[#This Row],[TP_CULTIVO]]="Irrigado",_xlfn.MAXIFS(IRRIGADO!J:J,IRRIGADO!C:C,ESTIMATIVA[[#This Row],[CD_UPNIVEL1]],IRRIGADO!E:E,ESTIMATIVA[[#This Row],[CD_UPNIVEL3]]),"")</f>
        <v/>
      </c>
      <c r="AJ170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01" s="1">
        <f>COUNTIFS(Apresentação!$E$23:$E$29,ESTIMATIVA[[#This Row],[CD_UPNIVEL1]])</f>
        <v>0</v>
      </c>
    </row>
    <row r="1702" spans="1:37" x14ac:dyDescent="0.3">
      <c r="A1702">
        <v>20619</v>
      </c>
      <c r="B1702" t="s">
        <v>93</v>
      </c>
      <c r="C1702">
        <v>1</v>
      </c>
      <c r="D1702">
        <v>2</v>
      </c>
      <c r="E1702" t="s">
        <v>266</v>
      </c>
      <c r="F1702" s="85" t="s">
        <v>330</v>
      </c>
      <c r="G1702"/>
      <c r="H1702" t="s">
        <v>294</v>
      </c>
      <c r="I1702" t="s">
        <v>212</v>
      </c>
      <c r="J1702" t="s">
        <v>176</v>
      </c>
      <c r="K1702" s="1">
        <v>62.22</v>
      </c>
      <c r="L1702" s="1">
        <v>62.22</v>
      </c>
      <c r="M1702" s="1">
        <v>0</v>
      </c>
      <c r="N1702" s="1">
        <v>62.22</v>
      </c>
      <c r="O1702" s="1">
        <v>5599.8</v>
      </c>
      <c r="P1702" s="1">
        <v>5724.24</v>
      </c>
      <c r="Q1702" s="1">
        <v>0</v>
      </c>
      <c r="R1702" s="1">
        <v>6592.76</v>
      </c>
      <c r="S1702" t="s">
        <v>12</v>
      </c>
      <c r="T1702" s="13">
        <v>45907</v>
      </c>
      <c r="U1702" s="1" t="str">
        <f>IF(ESTIMATIVA[[#This Row],[QT_AREA_REAL]]&gt;0,"1- Colhido","2- à Colher")</f>
        <v>1- Colhido</v>
      </c>
      <c r="V1702" s="1" t="str">
        <f>IF(ESTIMATIVA[[#This Row],[QT_AREA_REST1]]&gt;0,"Reestimativa 1",IF(ESTIMATIVA[[#This Row],[QT_AREA_REAL]]=0,"Reestimativa 1","Realizado"))</f>
        <v>Reestimativa 1</v>
      </c>
      <c r="W1702" s="1" t="str">
        <f>IF(ESTIMATIVA[[#This Row],[QT_AREA_REST2]]&gt;0,"Reestimativa 2",IF(ESTIMATIVA[[#This Row],[QT_AREA_REAL]]=0,"Reestimativa 2","Realizado"))</f>
        <v>Realizado</v>
      </c>
      <c r="X1702" s="1">
        <f>ESTIMATIVA[[#This Row],[QT_AREA_EST]]</f>
        <v>62.22</v>
      </c>
      <c r="Y1702" s="1">
        <f>IF(ESTIMATIVA[[#This Row],[QT_AREA_REST1]]&gt;0,ESTIMATIVA[[#This Row],[QT_AREA_REST1]],
  IF(ESTIMATIVA[[#This Row],[QT_AREA_REAL]]&gt;0,ESTIMATIVA[[#This Row],[QT_AREA_REAL]],ESTIMATIVA[[#This Row],[QT_AREA_EST]]))</f>
        <v>62.22</v>
      </c>
      <c r="Z170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62.22</v>
      </c>
      <c r="AA1702" s="1">
        <f>ESTIMATIVA[[#This Row],[QT_CANA_EST]]</f>
        <v>5599.8</v>
      </c>
      <c r="AB1702" s="1">
        <f>IF(ESTIMATIVA[[#This Row],[QT_CANA_REST1]]&gt;0,ESTIMATIVA[[#This Row],[QT_CANA_REST1]],
  IF(ESTIMATIVA[[#This Row],[QT_CANA_REAL]]&gt;0,ESTIMATIVA[[#This Row],[QT_CANA_REAL]],ESTIMATIVA[[#This Row],[QT_CANA_EST]]))</f>
        <v>5724.24</v>
      </c>
      <c r="AC170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6592.76</v>
      </c>
      <c r="AD1702" s="1">
        <f>IF(ESTIMATIVA[[#This Row],[QT_AREA_REAL]]&gt;0,ESTIMATIVA[[#This Row],[QT_CANA_REAL]],ESTIMATIVA[[#This Row],[QT_CANA_EST]])</f>
        <v>6592.76</v>
      </c>
      <c r="AE1702" s="1">
        <f>IF(ESTIMATIVA[[#This Row],[QT_AREA_REAL]]&gt;0,ESTIMATIVA[[#This Row],[QT_CANA_REAL]],ESTIMATIVA[[#This Row],[QT_CANA_REST1]])</f>
        <v>6592.76</v>
      </c>
      <c r="AF1702" s="1">
        <f>IF(ESTIMATIVA[[#This Row],[QT_AREA_REAL]]&gt;0,ESTIMATIVA[[#This Row],[QT_CANA_REAL]],ESTIMATIVA[[#This Row],[QT_CANA_REST2]])</f>
        <v>6592.76</v>
      </c>
      <c r="AG1702" s="1" t="str">
        <f>IF(COUNTIFS(GEADA!A:A,VALUE(ESTIMATIVA[[#This Row],[CD_UPNIVEL1]]&amp;TEXT(ESTIMATIVA[[#This Row],[CD_UPNIVEL3]],"0000")))&gt;0,"S","N")</f>
        <v>N</v>
      </c>
      <c r="AH1702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702" s="55">
        <f>IF(ESTIMATIVA[[#This Row],[TP_CULTIVO]]="Irrigado",_xlfn.MAXIFS(IRRIGADO!J:J,IRRIGADO!C:C,ESTIMATIVA[[#This Row],[CD_UPNIVEL1]],IRRIGADO!E:E,ESTIMATIVA[[#This Row],[CD_UPNIVEL3]]),"")</f>
        <v>45596</v>
      </c>
      <c r="AJ1702" s="1">
        <f>IF(ESTIMATIVA[[#This Row],[TP_CULTIVO]]&lt;&gt;"Irrigado",0,AVERAGEIFS(IRRIGADO!G:G,IRRIGADO!C:C,ESTIMATIVA[[#This Row],[CD_UPNIVEL1]],IRRIGADO!E:E,ESTIMATIVA[[#This Row],[CD_UPNIVEL3]])*ESTIMATIVA[[#This Row],[QT_AREA_REAL]])</f>
        <v>3422.1</v>
      </c>
      <c r="AK1702" s="1">
        <f>COUNTIFS(Apresentação!$E$23:$E$29,ESTIMATIVA[[#This Row],[CD_UPNIVEL1]])</f>
        <v>0</v>
      </c>
    </row>
    <row r="1703" spans="1:37" x14ac:dyDescent="0.3">
      <c r="A1703">
        <v>20619</v>
      </c>
      <c r="B1703" t="s">
        <v>93</v>
      </c>
      <c r="C1703">
        <v>2</v>
      </c>
      <c r="D1703">
        <v>2</v>
      </c>
      <c r="E1703" t="s">
        <v>266</v>
      </c>
      <c r="F1703" s="85" t="s">
        <v>330</v>
      </c>
      <c r="G1703"/>
      <c r="H1703" t="s">
        <v>294</v>
      </c>
      <c r="I1703" t="s">
        <v>212</v>
      </c>
      <c r="J1703" t="s">
        <v>176</v>
      </c>
      <c r="K1703" s="1">
        <v>49.49</v>
      </c>
      <c r="L1703" s="1">
        <v>49.49</v>
      </c>
      <c r="M1703" s="1">
        <v>0</v>
      </c>
      <c r="N1703" s="1">
        <v>49.49</v>
      </c>
      <c r="O1703" s="1">
        <v>4454.1000000000004</v>
      </c>
      <c r="P1703" s="1">
        <v>4553.08</v>
      </c>
      <c r="Q1703" s="1">
        <v>0</v>
      </c>
      <c r="R1703" s="1">
        <v>5012.24</v>
      </c>
      <c r="S1703" t="s">
        <v>12</v>
      </c>
      <c r="T1703" s="13">
        <v>45914</v>
      </c>
      <c r="U1703" s="1" t="str">
        <f>IF(ESTIMATIVA[[#This Row],[QT_AREA_REAL]]&gt;0,"1- Colhido","2- à Colher")</f>
        <v>1- Colhido</v>
      </c>
      <c r="V1703" s="1" t="str">
        <f>IF(ESTIMATIVA[[#This Row],[QT_AREA_REST1]]&gt;0,"Reestimativa 1",IF(ESTIMATIVA[[#This Row],[QT_AREA_REAL]]=0,"Reestimativa 1","Realizado"))</f>
        <v>Reestimativa 1</v>
      </c>
      <c r="W1703" s="1" t="str">
        <f>IF(ESTIMATIVA[[#This Row],[QT_AREA_REST2]]&gt;0,"Reestimativa 2",IF(ESTIMATIVA[[#This Row],[QT_AREA_REAL]]=0,"Reestimativa 2","Realizado"))</f>
        <v>Realizado</v>
      </c>
      <c r="X1703" s="1">
        <f>ESTIMATIVA[[#This Row],[QT_AREA_EST]]</f>
        <v>49.49</v>
      </c>
      <c r="Y1703" s="1">
        <f>IF(ESTIMATIVA[[#This Row],[QT_AREA_REST1]]&gt;0,ESTIMATIVA[[#This Row],[QT_AREA_REST1]],
  IF(ESTIMATIVA[[#This Row],[QT_AREA_REAL]]&gt;0,ESTIMATIVA[[#This Row],[QT_AREA_REAL]],ESTIMATIVA[[#This Row],[QT_AREA_EST]]))</f>
        <v>49.49</v>
      </c>
      <c r="Z170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49.49</v>
      </c>
      <c r="AA1703" s="1">
        <f>ESTIMATIVA[[#This Row],[QT_CANA_EST]]</f>
        <v>4454.1000000000004</v>
      </c>
      <c r="AB1703" s="1">
        <f>IF(ESTIMATIVA[[#This Row],[QT_CANA_REST1]]&gt;0,ESTIMATIVA[[#This Row],[QT_CANA_REST1]],
  IF(ESTIMATIVA[[#This Row],[QT_CANA_REAL]]&gt;0,ESTIMATIVA[[#This Row],[QT_CANA_REAL]],ESTIMATIVA[[#This Row],[QT_CANA_EST]]))</f>
        <v>4553.08</v>
      </c>
      <c r="AC170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5012.24</v>
      </c>
      <c r="AD1703" s="1">
        <f>IF(ESTIMATIVA[[#This Row],[QT_AREA_REAL]]&gt;0,ESTIMATIVA[[#This Row],[QT_CANA_REAL]],ESTIMATIVA[[#This Row],[QT_CANA_EST]])</f>
        <v>5012.24</v>
      </c>
      <c r="AE1703" s="1">
        <f>IF(ESTIMATIVA[[#This Row],[QT_AREA_REAL]]&gt;0,ESTIMATIVA[[#This Row],[QT_CANA_REAL]],ESTIMATIVA[[#This Row],[QT_CANA_REST1]])</f>
        <v>5012.24</v>
      </c>
      <c r="AF1703" s="1">
        <f>IF(ESTIMATIVA[[#This Row],[QT_AREA_REAL]]&gt;0,ESTIMATIVA[[#This Row],[QT_CANA_REAL]],ESTIMATIVA[[#This Row],[QT_CANA_REST2]])</f>
        <v>5012.24</v>
      </c>
      <c r="AG1703" s="1" t="str">
        <f>IF(COUNTIFS(GEADA!A:A,VALUE(ESTIMATIVA[[#This Row],[CD_UPNIVEL1]]&amp;TEXT(ESTIMATIVA[[#This Row],[CD_UPNIVEL3]],"0000")))&gt;0,"S","N")</f>
        <v>N</v>
      </c>
      <c r="AH1703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703" s="55">
        <f>IF(ESTIMATIVA[[#This Row],[TP_CULTIVO]]="Irrigado",_xlfn.MAXIFS(IRRIGADO!J:J,IRRIGADO!C:C,ESTIMATIVA[[#This Row],[CD_UPNIVEL1]],IRRIGADO!E:E,ESTIMATIVA[[#This Row],[CD_UPNIVEL3]]),"")</f>
        <v>45596</v>
      </c>
      <c r="AJ1703" s="1">
        <f>IF(ESTIMATIVA[[#This Row],[TP_CULTIVO]]&lt;&gt;"Irrigado",0,AVERAGEIFS(IRRIGADO!G:G,IRRIGADO!C:C,ESTIMATIVA[[#This Row],[CD_UPNIVEL1]],IRRIGADO!E:E,ESTIMATIVA[[#This Row],[CD_UPNIVEL3]])*ESTIMATIVA[[#This Row],[QT_AREA_REAL]])</f>
        <v>2721.9500000000003</v>
      </c>
      <c r="AK1703" s="1">
        <f>COUNTIFS(Apresentação!$E$23:$E$29,ESTIMATIVA[[#This Row],[CD_UPNIVEL1]])</f>
        <v>0</v>
      </c>
    </row>
    <row r="1704" spans="1:37" x14ac:dyDescent="0.3">
      <c r="A1704">
        <v>20619</v>
      </c>
      <c r="B1704" t="s">
        <v>93</v>
      </c>
      <c r="C1704">
        <v>3</v>
      </c>
      <c r="D1704">
        <v>2</v>
      </c>
      <c r="E1704" t="s">
        <v>266</v>
      </c>
      <c r="F1704" s="85" t="s">
        <v>329</v>
      </c>
      <c r="G1704"/>
      <c r="H1704" t="s">
        <v>294</v>
      </c>
      <c r="I1704" t="s">
        <v>212</v>
      </c>
      <c r="J1704" t="s">
        <v>176</v>
      </c>
      <c r="K1704" s="1">
        <v>66.64</v>
      </c>
      <c r="L1704" s="1">
        <v>66.64</v>
      </c>
      <c r="M1704" s="1">
        <v>0</v>
      </c>
      <c r="N1704" s="1">
        <v>66.64</v>
      </c>
      <c r="O1704" s="1">
        <v>5331.2</v>
      </c>
      <c r="P1704" s="1">
        <v>5331.2</v>
      </c>
      <c r="Q1704" s="1">
        <v>0</v>
      </c>
      <c r="R1704" s="1">
        <v>4773.67</v>
      </c>
      <c r="S1704" t="s">
        <v>12</v>
      </c>
      <c r="T1704" s="13">
        <v>45921</v>
      </c>
      <c r="U1704" s="1" t="str">
        <f>IF(ESTIMATIVA[[#This Row],[QT_AREA_REAL]]&gt;0,"1- Colhido","2- à Colher")</f>
        <v>1- Colhido</v>
      </c>
      <c r="V1704" s="1" t="str">
        <f>IF(ESTIMATIVA[[#This Row],[QT_AREA_REST1]]&gt;0,"Reestimativa 1",IF(ESTIMATIVA[[#This Row],[QT_AREA_REAL]]=0,"Reestimativa 1","Realizado"))</f>
        <v>Reestimativa 1</v>
      </c>
      <c r="W1704" s="1" t="str">
        <f>IF(ESTIMATIVA[[#This Row],[QT_AREA_REST2]]&gt;0,"Reestimativa 2",IF(ESTIMATIVA[[#This Row],[QT_AREA_REAL]]=0,"Reestimativa 2","Realizado"))</f>
        <v>Realizado</v>
      </c>
      <c r="X1704" s="1">
        <f>ESTIMATIVA[[#This Row],[QT_AREA_EST]]</f>
        <v>66.64</v>
      </c>
      <c r="Y1704" s="1">
        <f>IF(ESTIMATIVA[[#This Row],[QT_AREA_REST1]]&gt;0,ESTIMATIVA[[#This Row],[QT_AREA_REST1]],
  IF(ESTIMATIVA[[#This Row],[QT_AREA_REAL]]&gt;0,ESTIMATIVA[[#This Row],[QT_AREA_REAL]],ESTIMATIVA[[#This Row],[QT_AREA_EST]]))</f>
        <v>66.64</v>
      </c>
      <c r="Z170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66.64</v>
      </c>
      <c r="AA1704" s="1">
        <f>ESTIMATIVA[[#This Row],[QT_CANA_EST]]</f>
        <v>5331.2</v>
      </c>
      <c r="AB1704" s="1">
        <f>IF(ESTIMATIVA[[#This Row],[QT_CANA_REST1]]&gt;0,ESTIMATIVA[[#This Row],[QT_CANA_REST1]],
  IF(ESTIMATIVA[[#This Row],[QT_CANA_REAL]]&gt;0,ESTIMATIVA[[#This Row],[QT_CANA_REAL]],ESTIMATIVA[[#This Row],[QT_CANA_EST]]))</f>
        <v>5331.2</v>
      </c>
      <c r="AC170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4773.67</v>
      </c>
      <c r="AD1704" s="1">
        <f>IF(ESTIMATIVA[[#This Row],[QT_AREA_REAL]]&gt;0,ESTIMATIVA[[#This Row],[QT_CANA_REAL]],ESTIMATIVA[[#This Row],[QT_CANA_EST]])</f>
        <v>4773.67</v>
      </c>
      <c r="AE1704" s="1">
        <f>IF(ESTIMATIVA[[#This Row],[QT_AREA_REAL]]&gt;0,ESTIMATIVA[[#This Row],[QT_CANA_REAL]],ESTIMATIVA[[#This Row],[QT_CANA_REST1]])</f>
        <v>4773.67</v>
      </c>
      <c r="AF1704" s="1">
        <f>IF(ESTIMATIVA[[#This Row],[QT_AREA_REAL]]&gt;0,ESTIMATIVA[[#This Row],[QT_CANA_REAL]],ESTIMATIVA[[#This Row],[QT_CANA_REST2]])</f>
        <v>4773.67</v>
      </c>
      <c r="AG1704" s="1" t="str">
        <f>IF(COUNTIFS(GEADA!A:A,VALUE(ESTIMATIVA[[#This Row],[CD_UPNIVEL1]]&amp;TEXT(ESTIMATIVA[[#This Row],[CD_UPNIVEL3]],"0000")))&gt;0,"S","N")</f>
        <v>N</v>
      </c>
      <c r="AH170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04" s="55" t="str">
        <f>IF(ESTIMATIVA[[#This Row],[TP_CULTIVO]]="Irrigado",_xlfn.MAXIFS(IRRIGADO!J:J,IRRIGADO!C:C,ESTIMATIVA[[#This Row],[CD_UPNIVEL1]],IRRIGADO!E:E,ESTIMATIVA[[#This Row],[CD_UPNIVEL3]]),"")</f>
        <v/>
      </c>
      <c r="AJ170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04" s="1">
        <f>COUNTIFS(Apresentação!$E$23:$E$29,ESTIMATIVA[[#This Row],[CD_UPNIVEL1]])</f>
        <v>0</v>
      </c>
    </row>
    <row r="1705" spans="1:37" x14ac:dyDescent="0.3">
      <c r="A1705">
        <v>20619</v>
      </c>
      <c r="B1705" t="s">
        <v>93</v>
      </c>
      <c r="C1705">
        <v>4</v>
      </c>
      <c r="D1705">
        <v>1</v>
      </c>
      <c r="E1705" t="s">
        <v>264</v>
      </c>
      <c r="F1705" s="85" t="s">
        <v>329</v>
      </c>
      <c r="G1705"/>
      <c r="H1705" t="s">
        <v>294</v>
      </c>
      <c r="I1705" t="s">
        <v>212</v>
      </c>
      <c r="J1705" t="s">
        <v>176</v>
      </c>
      <c r="K1705" s="1">
        <v>47.14</v>
      </c>
      <c r="L1705" s="1">
        <v>47.14</v>
      </c>
      <c r="M1705" s="1">
        <v>0</v>
      </c>
      <c r="N1705" s="1">
        <v>47.14</v>
      </c>
      <c r="O1705" s="1">
        <v>5185.3999999999996</v>
      </c>
      <c r="P1705" s="1">
        <v>5185.3999999999996</v>
      </c>
      <c r="Q1705" s="1">
        <v>0</v>
      </c>
      <c r="R1705" s="1">
        <v>6160.92</v>
      </c>
      <c r="S1705" t="s">
        <v>12</v>
      </c>
      <c r="T1705" s="13">
        <v>45921</v>
      </c>
      <c r="U1705" s="1" t="str">
        <f>IF(ESTIMATIVA[[#This Row],[QT_AREA_REAL]]&gt;0,"1- Colhido","2- à Colher")</f>
        <v>1- Colhido</v>
      </c>
      <c r="V1705" s="1" t="str">
        <f>IF(ESTIMATIVA[[#This Row],[QT_AREA_REST1]]&gt;0,"Reestimativa 1",IF(ESTIMATIVA[[#This Row],[QT_AREA_REAL]]=0,"Reestimativa 1","Realizado"))</f>
        <v>Reestimativa 1</v>
      </c>
      <c r="W1705" s="1" t="str">
        <f>IF(ESTIMATIVA[[#This Row],[QT_AREA_REST2]]&gt;0,"Reestimativa 2",IF(ESTIMATIVA[[#This Row],[QT_AREA_REAL]]=0,"Reestimativa 2","Realizado"))</f>
        <v>Realizado</v>
      </c>
      <c r="X1705" s="1">
        <f>ESTIMATIVA[[#This Row],[QT_AREA_EST]]</f>
        <v>47.14</v>
      </c>
      <c r="Y1705" s="1">
        <f>IF(ESTIMATIVA[[#This Row],[QT_AREA_REST1]]&gt;0,ESTIMATIVA[[#This Row],[QT_AREA_REST1]],
  IF(ESTIMATIVA[[#This Row],[QT_AREA_REAL]]&gt;0,ESTIMATIVA[[#This Row],[QT_AREA_REAL]],ESTIMATIVA[[#This Row],[QT_AREA_EST]]))</f>
        <v>47.14</v>
      </c>
      <c r="Z170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47.14</v>
      </c>
      <c r="AA1705" s="1">
        <f>ESTIMATIVA[[#This Row],[QT_CANA_EST]]</f>
        <v>5185.3999999999996</v>
      </c>
      <c r="AB1705" s="1">
        <f>IF(ESTIMATIVA[[#This Row],[QT_CANA_REST1]]&gt;0,ESTIMATIVA[[#This Row],[QT_CANA_REST1]],
  IF(ESTIMATIVA[[#This Row],[QT_CANA_REAL]]&gt;0,ESTIMATIVA[[#This Row],[QT_CANA_REAL]],ESTIMATIVA[[#This Row],[QT_CANA_EST]]))</f>
        <v>5185.3999999999996</v>
      </c>
      <c r="AC170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6160.92</v>
      </c>
      <c r="AD1705" s="1">
        <f>IF(ESTIMATIVA[[#This Row],[QT_AREA_REAL]]&gt;0,ESTIMATIVA[[#This Row],[QT_CANA_REAL]],ESTIMATIVA[[#This Row],[QT_CANA_EST]])</f>
        <v>6160.92</v>
      </c>
      <c r="AE1705" s="1">
        <f>IF(ESTIMATIVA[[#This Row],[QT_AREA_REAL]]&gt;0,ESTIMATIVA[[#This Row],[QT_CANA_REAL]],ESTIMATIVA[[#This Row],[QT_CANA_REST1]])</f>
        <v>6160.92</v>
      </c>
      <c r="AF1705" s="1">
        <f>IF(ESTIMATIVA[[#This Row],[QT_AREA_REAL]]&gt;0,ESTIMATIVA[[#This Row],[QT_CANA_REAL]],ESTIMATIVA[[#This Row],[QT_CANA_REST2]])</f>
        <v>6160.92</v>
      </c>
      <c r="AG1705" s="1" t="str">
        <f>IF(COUNTIFS(GEADA!A:A,VALUE(ESTIMATIVA[[#This Row],[CD_UPNIVEL1]]&amp;TEXT(ESTIMATIVA[[#This Row],[CD_UPNIVEL3]],"0000")))&gt;0,"S","N")</f>
        <v>N</v>
      </c>
      <c r="AH170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05" s="55" t="str">
        <f>IF(ESTIMATIVA[[#This Row],[TP_CULTIVO]]="Irrigado",_xlfn.MAXIFS(IRRIGADO!J:J,IRRIGADO!C:C,ESTIMATIVA[[#This Row],[CD_UPNIVEL1]],IRRIGADO!E:E,ESTIMATIVA[[#This Row],[CD_UPNIVEL3]]),"")</f>
        <v/>
      </c>
      <c r="AJ170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05" s="1">
        <f>COUNTIFS(Apresentação!$E$23:$E$29,ESTIMATIVA[[#This Row],[CD_UPNIVEL1]])</f>
        <v>0</v>
      </c>
    </row>
    <row r="1706" spans="1:37" x14ac:dyDescent="0.3">
      <c r="A1706">
        <v>20619</v>
      </c>
      <c r="B1706" t="s">
        <v>93</v>
      </c>
      <c r="C1706">
        <v>5</v>
      </c>
      <c r="D1706">
        <v>2</v>
      </c>
      <c r="E1706" t="s">
        <v>266</v>
      </c>
      <c r="F1706" s="85" t="s">
        <v>330</v>
      </c>
      <c r="G1706"/>
      <c r="H1706" t="s">
        <v>294</v>
      </c>
      <c r="I1706" t="s">
        <v>212</v>
      </c>
      <c r="J1706" t="s">
        <v>176</v>
      </c>
      <c r="K1706" s="1">
        <v>45.98</v>
      </c>
      <c r="L1706" s="1">
        <v>45.98</v>
      </c>
      <c r="M1706" s="1">
        <v>0</v>
      </c>
      <c r="N1706" s="1">
        <v>45.98</v>
      </c>
      <c r="O1706" s="1">
        <v>3678.4</v>
      </c>
      <c r="P1706" s="1">
        <v>3724.38</v>
      </c>
      <c r="Q1706" s="1">
        <v>0</v>
      </c>
      <c r="R1706" s="1">
        <v>3226.14</v>
      </c>
      <c r="S1706" t="s">
        <v>12</v>
      </c>
      <c r="T1706" s="13">
        <v>45921</v>
      </c>
      <c r="U1706" s="1" t="str">
        <f>IF(ESTIMATIVA[[#This Row],[QT_AREA_REAL]]&gt;0,"1- Colhido","2- à Colher")</f>
        <v>1- Colhido</v>
      </c>
      <c r="V1706" s="1" t="str">
        <f>IF(ESTIMATIVA[[#This Row],[QT_AREA_REST1]]&gt;0,"Reestimativa 1",IF(ESTIMATIVA[[#This Row],[QT_AREA_REAL]]=0,"Reestimativa 1","Realizado"))</f>
        <v>Reestimativa 1</v>
      </c>
      <c r="W1706" s="1" t="str">
        <f>IF(ESTIMATIVA[[#This Row],[QT_AREA_REST2]]&gt;0,"Reestimativa 2",IF(ESTIMATIVA[[#This Row],[QT_AREA_REAL]]=0,"Reestimativa 2","Realizado"))</f>
        <v>Realizado</v>
      </c>
      <c r="X1706" s="1">
        <f>ESTIMATIVA[[#This Row],[QT_AREA_EST]]</f>
        <v>45.98</v>
      </c>
      <c r="Y1706" s="1">
        <f>IF(ESTIMATIVA[[#This Row],[QT_AREA_REST1]]&gt;0,ESTIMATIVA[[#This Row],[QT_AREA_REST1]],
  IF(ESTIMATIVA[[#This Row],[QT_AREA_REAL]]&gt;0,ESTIMATIVA[[#This Row],[QT_AREA_REAL]],ESTIMATIVA[[#This Row],[QT_AREA_EST]]))</f>
        <v>45.98</v>
      </c>
      <c r="Z170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45.98</v>
      </c>
      <c r="AA1706" s="1">
        <f>ESTIMATIVA[[#This Row],[QT_CANA_EST]]</f>
        <v>3678.4</v>
      </c>
      <c r="AB1706" s="1">
        <f>IF(ESTIMATIVA[[#This Row],[QT_CANA_REST1]]&gt;0,ESTIMATIVA[[#This Row],[QT_CANA_REST1]],
  IF(ESTIMATIVA[[#This Row],[QT_CANA_REAL]]&gt;0,ESTIMATIVA[[#This Row],[QT_CANA_REAL]],ESTIMATIVA[[#This Row],[QT_CANA_EST]]))</f>
        <v>3724.38</v>
      </c>
      <c r="AC170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3226.14</v>
      </c>
      <c r="AD1706" s="1">
        <f>IF(ESTIMATIVA[[#This Row],[QT_AREA_REAL]]&gt;0,ESTIMATIVA[[#This Row],[QT_CANA_REAL]],ESTIMATIVA[[#This Row],[QT_CANA_EST]])</f>
        <v>3226.14</v>
      </c>
      <c r="AE1706" s="1">
        <f>IF(ESTIMATIVA[[#This Row],[QT_AREA_REAL]]&gt;0,ESTIMATIVA[[#This Row],[QT_CANA_REAL]],ESTIMATIVA[[#This Row],[QT_CANA_REST1]])</f>
        <v>3226.14</v>
      </c>
      <c r="AF1706" s="1">
        <f>IF(ESTIMATIVA[[#This Row],[QT_AREA_REAL]]&gt;0,ESTIMATIVA[[#This Row],[QT_CANA_REAL]],ESTIMATIVA[[#This Row],[QT_CANA_REST2]])</f>
        <v>3226.14</v>
      </c>
      <c r="AG1706" s="1" t="str">
        <f>IF(COUNTIFS(GEADA!A:A,VALUE(ESTIMATIVA[[#This Row],[CD_UPNIVEL1]]&amp;TEXT(ESTIMATIVA[[#This Row],[CD_UPNIVEL3]],"0000")))&gt;0,"S","N")</f>
        <v>N</v>
      </c>
      <c r="AH1706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706" s="55">
        <f>IF(ESTIMATIVA[[#This Row],[TP_CULTIVO]]="Irrigado",_xlfn.MAXIFS(IRRIGADO!J:J,IRRIGADO!C:C,ESTIMATIVA[[#This Row],[CD_UPNIVEL1]],IRRIGADO!E:E,ESTIMATIVA[[#This Row],[CD_UPNIVEL3]]),"")</f>
        <v>45626</v>
      </c>
      <c r="AJ1706" s="1">
        <f>IF(ESTIMATIVA[[#This Row],[TP_CULTIVO]]&lt;&gt;"Irrigado",0,AVERAGEIFS(IRRIGADO!G:G,IRRIGADO!C:C,ESTIMATIVA[[#This Row],[CD_UPNIVEL1]],IRRIGADO!E:E,ESTIMATIVA[[#This Row],[CD_UPNIVEL3]])*ESTIMATIVA[[#This Row],[QT_AREA_REAL]])</f>
        <v>2528.8999999999996</v>
      </c>
      <c r="AK1706" s="1">
        <f>COUNTIFS(Apresentação!$E$23:$E$29,ESTIMATIVA[[#This Row],[CD_UPNIVEL1]])</f>
        <v>0</v>
      </c>
    </row>
    <row r="1707" spans="1:37" x14ac:dyDescent="0.3">
      <c r="A1707">
        <v>20619</v>
      </c>
      <c r="B1707" t="s">
        <v>93</v>
      </c>
      <c r="C1707">
        <v>6</v>
      </c>
      <c r="D1707">
        <v>2</v>
      </c>
      <c r="E1707" t="s">
        <v>266</v>
      </c>
      <c r="F1707" s="85" t="s">
        <v>330</v>
      </c>
      <c r="G1707"/>
      <c r="H1707" t="s">
        <v>294</v>
      </c>
      <c r="I1707" t="s">
        <v>212</v>
      </c>
      <c r="J1707" t="s">
        <v>176</v>
      </c>
      <c r="K1707" s="1">
        <v>71.819999999999993</v>
      </c>
      <c r="L1707" s="1">
        <v>71.819999999999993</v>
      </c>
      <c r="M1707" s="1">
        <v>0</v>
      </c>
      <c r="N1707" s="1">
        <v>71.819999999999993</v>
      </c>
      <c r="O1707" s="1">
        <v>6391.98</v>
      </c>
      <c r="P1707" s="1">
        <v>6463.8</v>
      </c>
      <c r="Q1707" s="1">
        <v>0</v>
      </c>
      <c r="R1707" s="1">
        <v>4754.8500000000004</v>
      </c>
      <c r="S1707" t="s">
        <v>12</v>
      </c>
      <c r="T1707" s="13">
        <v>45914</v>
      </c>
      <c r="U1707" s="1" t="str">
        <f>IF(ESTIMATIVA[[#This Row],[QT_AREA_REAL]]&gt;0,"1- Colhido","2- à Colher")</f>
        <v>1- Colhido</v>
      </c>
      <c r="V1707" s="1" t="str">
        <f>IF(ESTIMATIVA[[#This Row],[QT_AREA_REST1]]&gt;0,"Reestimativa 1",IF(ESTIMATIVA[[#This Row],[QT_AREA_REAL]]=0,"Reestimativa 1","Realizado"))</f>
        <v>Reestimativa 1</v>
      </c>
      <c r="W1707" s="1" t="str">
        <f>IF(ESTIMATIVA[[#This Row],[QT_AREA_REST2]]&gt;0,"Reestimativa 2",IF(ESTIMATIVA[[#This Row],[QT_AREA_REAL]]=0,"Reestimativa 2","Realizado"))</f>
        <v>Realizado</v>
      </c>
      <c r="X1707" s="1">
        <f>ESTIMATIVA[[#This Row],[QT_AREA_EST]]</f>
        <v>71.819999999999993</v>
      </c>
      <c r="Y1707" s="1">
        <f>IF(ESTIMATIVA[[#This Row],[QT_AREA_REST1]]&gt;0,ESTIMATIVA[[#This Row],[QT_AREA_REST1]],
  IF(ESTIMATIVA[[#This Row],[QT_AREA_REAL]]&gt;0,ESTIMATIVA[[#This Row],[QT_AREA_REAL]],ESTIMATIVA[[#This Row],[QT_AREA_EST]]))</f>
        <v>71.819999999999993</v>
      </c>
      <c r="Z170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71.819999999999993</v>
      </c>
      <c r="AA1707" s="1">
        <f>ESTIMATIVA[[#This Row],[QT_CANA_EST]]</f>
        <v>6391.98</v>
      </c>
      <c r="AB1707" s="1">
        <f>IF(ESTIMATIVA[[#This Row],[QT_CANA_REST1]]&gt;0,ESTIMATIVA[[#This Row],[QT_CANA_REST1]],
  IF(ESTIMATIVA[[#This Row],[QT_CANA_REAL]]&gt;0,ESTIMATIVA[[#This Row],[QT_CANA_REAL]],ESTIMATIVA[[#This Row],[QT_CANA_EST]]))</f>
        <v>6463.8</v>
      </c>
      <c r="AC170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4754.8500000000004</v>
      </c>
      <c r="AD1707" s="1">
        <f>IF(ESTIMATIVA[[#This Row],[QT_AREA_REAL]]&gt;0,ESTIMATIVA[[#This Row],[QT_CANA_REAL]],ESTIMATIVA[[#This Row],[QT_CANA_EST]])</f>
        <v>4754.8500000000004</v>
      </c>
      <c r="AE1707" s="1">
        <f>IF(ESTIMATIVA[[#This Row],[QT_AREA_REAL]]&gt;0,ESTIMATIVA[[#This Row],[QT_CANA_REAL]],ESTIMATIVA[[#This Row],[QT_CANA_REST1]])</f>
        <v>4754.8500000000004</v>
      </c>
      <c r="AF1707" s="1">
        <f>IF(ESTIMATIVA[[#This Row],[QT_AREA_REAL]]&gt;0,ESTIMATIVA[[#This Row],[QT_CANA_REAL]],ESTIMATIVA[[#This Row],[QT_CANA_REST2]])</f>
        <v>4754.8500000000004</v>
      </c>
      <c r="AG1707" s="1" t="str">
        <f>IF(COUNTIFS(GEADA!A:A,VALUE(ESTIMATIVA[[#This Row],[CD_UPNIVEL1]]&amp;TEXT(ESTIMATIVA[[#This Row],[CD_UPNIVEL3]],"0000")))&gt;0,"S","N")</f>
        <v>N</v>
      </c>
      <c r="AH1707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707" s="55">
        <f>IF(ESTIMATIVA[[#This Row],[TP_CULTIVO]]="Irrigado",_xlfn.MAXIFS(IRRIGADO!J:J,IRRIGADO!C:C,ESTIMATIVA[[#This Row],[CD_UPNIVEL1]],IRRIGADO!E:E,ESTIMATIVA[[#This Row],[CD_UPNIVEL3]]),"")</f>
        <v>45626</v>
      </c>
      <c r="AJ1707" s="1">
        <f>IF(ESTIMATIVA[[#This Row],[TP_CULTIVO]]&lt;&gt;"Irrigado",0,AVERAGEIFS(IRRIGADO!G:G,IRRIGADO!C:C,ESTIMATIVA[[#This Row],[CD_UPNIVEL1]],IRRIGADO!E:E,ESTIMATIVA[[#This Row],[CD_UPNIVEL3]])*ESTIMATIVA[[#This Row],[QT_AREA_REAL]])</f>
        <v>3950.0999999999995</v>
      </c>
      <c r="AK1707" s="1">
        <f>COUNTIFS(Apresentação!$E$23:$E$29,ESTIMATIVA[[#This Row],[CD_UPNIVEL1]])</f>
        <v>0</v>
      </c>
    </row>
    <row r="1708" spans="1:37" x14ac:dyDescent="0.3">
      <c r="A1708">
        <v>20619</v>
      </c>
      <c r="B1708" t="s">
        <v>93</v>
      </c>
      <c r="C1708">
        <v>7</v>
      </c>
      <c r="D1708">
        <v>2</v>
      </c>
      <c r="E1708" t="s">
        <v>266</v>
      </c>
      <c r="F1708" s="85" t="s">
        <v>330</v>
      </c>
      <c r="G1708"/>
      <c r="H1708" t="s">
        <v>294</v>
      </c>
      <c r="I1708" t="s">
        <v>212</v>
      </c>
      <c r="J1708" t="s">
        <v>176</v>
      </c>
      <c r="K1708" s="1">
        <v>44.87</v>
      </c>
      <c r="L1708" s="1">
        <v>44.87</v>
      </c>
      <c r="M1708" s="1">
        <v>0</v>
      </c>
      <c r="N1708" s="1">
        <v>44.87</v>
      </c>
      <c r="O1708" s="1">
        <v>3858.82</v>
      </c>
      <c r="P1708" s="1">
        <v>3948.56</v>
      </c>
      <c r="Q1708" s="1">
        <v>0</v>
      </c>
      <c r="R1708" s="1">
        <v>3101.13</v>
      </c>
      <c r="S1708" t="s">
        <v>12</v>
      </c>
      <c r="T1708" s="13">
        <v>45914</v>
      </c>
      <c r="U1708" s="1" t="str">
        <f>IF(ESTIMATIVA[[#This Row],[QT_AREA_REAL]]&gt;0,"1- Colhido","2- à Colher")</f>
        <v>1- Colhido</v>
      </c>
      <c r="V1708" s="1" t="str">
        <f>IF(ESTIMATIVA[[#This Row],[QT_AREA_REST1]]&gt;0,"Reestimativa 1",IF(ESTIMATIVA[[#This Row],[QT_AREA_REAL]]=0,"Reestimativa 1","Realizado"))</f>
        <v>Reestimativa 1</v>
      </c>
      <c r="W1708" s="1" t="str">
        <f>IF(ESTIMATIVA[[#This Row],[QT_AREA_REST2]]&gt;0,"Reestimativa 2",IF(ESTIMATIVA[[#This Row],[QT_AREA_REAL]]=0,"Reestimativa 2","Realizado"))</f>
        <v>Realizado</v>
      </c>
      <c r="X1708" s="1">
        <f>ESTIMATIVA[[#This Row],[QT_AREA_EST]]</f>
        <v>44.87</v>
      </c>
      <c r="Y1708" s="1">
        <f>IF(ESTIMATIVA[[#This Row],[QT_AREA_REST1]]&gt;0,ESTIMATIVA[[#This Row],[QT_AREA_REST1]],
  IF(ESTIMATIVA[[#This Row],[QT_AREA_REAL]]&gt;0,ESTIMATIVA[[#This Row],[QT_AREA_REAL]],ESTIMATIVA[[#This Row],[QT_AREA_EST]]))</f>
        <v>44.87</v>
      </c>
      <c r="Z170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44.87</v>
      </c>
      <c r="AA1708" s="1">
        <f>ESTIMATIVA[[#This Row],[QT_CANA_EST]]</f>
        <v>3858.82</v>
      </c>
      <c r="AB1708" s="1">
        <f>IF(ESTIMATIVA[[#This Row],[QT_CANA_REST1]]&gt;0,ESTIMATIVA[[#This Row],[QT_CANA_REST1]],
  IF(ESTIMATIVA[[#This Row],[QT_CANA_REAL]]&gt;0,ESTIMATIVA[[#This Row],[QT_CANA_REAL]],ESTIMATIVA[[#This Row],[QT_CANA_EST]]))</f>
        <v>3948.56</v>
      </c>
      <c r="AC170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3101.13</v>
      </c>
      <c r="AD1708" s="1">
        <f>IF(ESTIMATIVA[[#This Row],[QT_AREA_REAL]]&gt;0,ESTIMATIVA[[#This Row],[QT_CANA_REAL]],ESTIMATIVA[[#This Row],[QT_CANA_EST]])</f>
        <v>3101.13</v>
      </c>
      <c r="AE1708" s="1">
        <f>IF(ESTIMATIVA[[#This Row],[QT_AREA_REAL]]&gt;0,ESTIMATIVA[[#This Row],[QT_CANA_REAL]],ESTIMATIVA[[#This Row],[QT_CANA_REST1]])</f>
        <v>3101.13</v>
      </c>
      <c r="AF1708" s="1">
        <f>IF(ESTIMATIVA[[#This Row],[QT_AREA_REAL]]&gt;0,ESTIMATIVA[[#This Row],[QT_CANA_REAL]],ESTIMATIVA[[#This Row],[QT_CANA_REST2]])</f>
        <v>3101.13</v>
      </c>
      <c r="AG1708" s="1" t="str">
        <f>IF(COUNTIFS(GEADA!A:A,VALUE(ESTIMATIVA[[#This Row],[CD_UPNIVEL1]]&amp;TEXT(ESTIMATIVA[[#This Row],[CD_UPNIVEL3]],"0000")))&gt;0,"S","N")</f>
        <v>N</v>
      </c>
      <c r="AH1708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708" s="55">
        <f>IF(ESTIMATIVA[[#This Row],[TP_CULTIVO]]="Irrigado",_xlfn.MAXIFS(IRRIGADO!J:J,IRRIGADO!C:C,ESTIMATIVA[[#This Row],[CD_UPNIVEL1]],IRRIGADO!E:E,ESTIMATIVA[[#This Row],[CD_UPNIVEL3]]),"")</f>
        <v>45596</v>
      </c>
      <c r="AJ1708" s="1">
        <f>IF(ESTIMATIVA[[#This Row],[TP_CULTIVO]]&lt;&gt;"Irrigado",0,AVERAGEIFS(IRRIGADO!G:G,IRRIGADO!C:C,ESTIMATIVA[[#This Row],[CD_UPNIVEL1]],IRRIGADO!E:E,ESTIMATIVA[[#This Row],[CD_UPNIVEL3]])*ESTIMATIVA[[#This Row],[QT_AREA_REAL]])</f>
        <v>2467.85</v>
      </c>
      <c r="AK1708" s="1">
        <f>COUNTIFS(Apresentação!$E$23:$E$29,ESTIMATIVA[[#This Row],[CD_UPNIVEL1]])</f>
        <v>0</v>
      </c>
    </row>
    <row r="1709" spans="1:37" x14ac:dyDescent="0.3">
      <c r="A1709">
        <v>20619</v>
      </c>
      <c r="B1709" t="s">
        <v>93</v>
      </c>
      <c r="C1709">
        <v>8</v>
      </c>
      <c r="D1709">
        <v>2</v>
      </c>
      <c r="E1709" t="s">
        <v>266</v>
      </c>
      <c r="F1709" s="85" t="s">
        <v>330</v>
      </c>
      <c r="G1709"/>
      <c r="H1709" t="s">
        <v>294</v>
      </c>
      <c r="I1709" t="s">
        <v>212</v>
      </c>
      <c r="J1709" t="s">
        <v>176</v>
      </c>
      <c r="K1709" s="1">
        <v>32.47</v>
      </c>
      <c r="L1709" s="1">
        <v>32.47</v>
      </c>
      <c r="M1709" s="1">
        <v>0</v>
      </c>
      <c r="N1709" s="1">
        <v>32.47</v>
      </c>
      <c r="O1709" s="1">
        <v>2792.42</v>
      </c>
      <c r="P1709" s="1">
        <v>2857.36</v>
      </c>
      <c r="Q1709" s="1">
        <v>0</v>
      </c>
      <c r="R1709" s="1">
        <v>2243.7199999999998</v>
      </c>
      <c r="S1709" t="s">
        <v>12</v>
      </c>
      <c r="T1709" s="13">
        <v>45914</v>
      </c>
      <c r="U1709" s="1" t="str">
        <f>IF(ESTIMATIVA[[#This Row],[QT_AREA_REAL]]&gt;0,"1- Colhido","2- à Colher")</f>
        <v>1- Colhido</v>
      </c>
      <c r="V1709" s="1" t="str">
        <f>IF(ESTIMATIVA[[#This Row],[QT_AREA_REST1]]&gt;0,"Reestimativa 1",IF(ESTIMATIVA[[#This Row],[QT_AREA_REAL]]=0,"Reestimativa 1","Realizado"))</f>
        <v>Reestimativa 1</v>
      </c>
      <c r="W1709" s="1" t="str">
        <f>IF(ESTIMATIVA[[#This Row],[QT_AREA_REST2]]&gt;0,"Reestimativa 2",IF(ESTIMATIVA[[#This Row],[QT_AREA_REAL]]=0,"Reestimativa 2","Realizado"))</f>
        <v>Realizado</v>
      </c>
      <c r="X1709" s="1">
        <f>ESTIMATIVA[[#This Row],[QT_AREA_EST]]</f>
        <v>32.47</v>
      </c>
      <c r="Y1709" s="1">
        <f>IF(ESTIMATIVA[[#This Row],[QT_AREA_REST1]]&gt;0,ESTIMATIVA[[#This Row],[QT_AREA_REST1]],
  IF(ESTIMATIVA[[#This Row],[QT_AREA_REAL]]&gt;0,ESTIMATIVA[[#This Row],[QT_AREA_REAL]],ESTIMATIVA[[#This Row],[QT_AREA_EST]]))</f>
        <v>32.47</v>
      </c>
      <c r="Z170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32.47</v>
      </c>
      <c r="AA1709" s="1">
        <f>ESTIMATIVA[[#This Row],[QT_CANA_EST]]</f>
        <v>2792.42</v>
      </c>
      <c r="AB1709" s="1">
        <f>IF(ESTIMATIVA[[#This Row],[QT_CANA_REST1]]&gt;0,ESTIMATIVA[[#This Row],[QT_CANA_REST1]],
  IF(ESTIMATIVA[[#This Row],[QT_CANA_REAL]]&gt;0,ESTIMATIVA[[#This Row],[QT_CANA_REAL]],ESTIMATIVA[[#This Row],[QT_CANA_EST]]))</f>
        <v>2857.36</v>
      </c>
      <c r="AC170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2243.7199999999998</v>
      </c>
      <c r="AD1709" s="1">
        <f>IF(ESTIMATIVA[[#This Row],[QT_AREA_REAL]]&gt;0,ESTIMATIVA[[#This Row],[QT_CANA_REAL]],ESTIMATIVA[[#This Row],[QT_CANA_EST]])</f>
        <v>2243.7199999999998</v>
      </c>
      <c r="AE1709" s="1">
        <f>IF(ESTIMATIVA[[#This Row],[QT_AREA_REAL]]&gt;0,ESTIMATIVA[[#This Row],[QT_CANA_REAL]],ESTIMATIVA[[#This Row],[QT_CANA_REST1]])</f>
        <v>2243.7199999999998</v>
      </c>
      <c r="AF1709" s="1">
        <f>IF(ESTIMATIVA[[#This Row],[QT_AREA_REAL]]&gt;0,ESTIMATIVA[[#This Row],[QT_CANA_REAL]],ESTIMATIVA[[#This Row],[QT_CANA_REST2]])</f>
        <v>2243.7199999999998</v>
      </c>
      <c r="AG1709" s="1" t="str">
        <f>IF(COUNTIFS(GEADA!A:A,VALUE(ESTIMATIVA[[#This Row],[CD_UPNIVEL1]]&amp;TEXT(ESTIMATIVA[[#This Row],[CD_UPNIVEL3]],"0000")))&gt;0,"S","N")</f>
        <v>N</v>
      </c>
      <c r="AH1709" s="1" t="str">
        <f>IF(COUNTIFS(IRRIGADO!C:C,ESTIMATIVA[[#This Row],[CD_UPNIVEL1]],IRRIGADO!E:E,ESTIMATIVA[[#This Row],[CD_UPNIVEL3]])&gt;0,"Irrigado",IF(ESTIMATIVA[[#This Row],[DE_SIST_CULT]]="Mineral","Sequeiro",ESTIMATIVA[[#This Row],[DE_SIST_CULT]]))</f>
        <v>Irrigado</v>
      </c>
      <c r="AI1709" s="55">
        <f>IF(ESTIMATIVA[[#This Row],[TP_CULTIVO]]="Irrigado",_xlfn.MAXIFS(IRRIGADO!J:J,IRRIGADO!C:C,ESTIMATIVA[[#This Row],[CD_UPNIVEL1]],IRRIGADO!E:E,ESTIMATIVA[[#This Row],[CD_UPNIVEL3]]),"")</f>
        <v>45596</v>
      </c>
      <c r="AJ1709" s="1">
        <f>IF(ESTIMATIVA[[#This Row],[TP_CULTIVO]]&lt;&gt;"Irrigado",0,AVERAGEIFS(IRRIGADO!G:G,IRRIGADO!C:C,ESTIMATIVA[[#This Row],[CD_UPNIVEL1]],IRRIGADO!E:E,ESTIMATIVA[[#This Row],[CD_UPNIVEL3]])*ESTIMATIVA[[#This Row],[QT_AREA_REAL]])</f>
        <v>1785.85</v>
      </c>
      <c r="AK1709" s="1">
        <f>COUNTIFS(Apresentação!$E$23:$E$29,ESTIMATIVA[[#This Row],[CD_UPNIVEL1]])</f>
        <v>0</v>
      </c>
    </row>
    <row r="1710" spans="1:37" x14ac:dyDescent="0.3">
      <c r="A1710">
        <v>20620</v>
      </c>
      <c r="B1710" t="s">
        <v>51</v>
      </c>
      <c r="C1710">
        <v>2001</v>
      </c>
      <c r="D1710">
        <v>2</v>
      </c>
      <c r="E1710" t="s">
        <v>266</v>
      </c>
      <c r="F1710" s="85" t="s">
        <v>331</v>
      </c>
      <c r="G1710"/>
      <c r="H1710" t="s">
        <v>294</v>
      </c>
      <c r="I1710" t="s">
        <v>199</v>
      </c>
      <c r="J1710" t="s">
        <v>176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/>
      <c r="S1710" t="s">
        <v>12</v>
      </c>
      <c r="T1710" s="13">
        <v>45788</v>
      </c>
      <c r="U1710" s="1" t="str">
        <f>IF(ESTIMATIVA[[#This Row],[QT_AREA_REAL]]&gt;0,"1- Colhido","2- à Colher")</f>
        <v>2- à Colher</v>
      </c>
      <c r="V1710" s="1" t="str">
        <f>IF(ESTIMATIVA[[#This Row],[QT_AREA_REST1]]&gt;0,"Reestimativa 1",IF(ESTIMATIVA[[#This Row],[QT_AREA_REAL]]=0,"Reestimativa 1","Realizado"))</f>
        <v>Reestimativa 1</v>
      </c>
      <c r="W1710" s="1" t="str">
        <f>IF(ESTIMATIVA[[#This Row],[QT_AREA_REST2]]&gt;0,"Reestimativa 2",IF(ESTIMATIVA[[#This Row],[QT_AREA_REAL]]=0,"Reestimativa 2","Realizado"))</f>
        <v>Reestimativa 2</v>
      </c>
      <c r="X1710" s="1">
        <f>ESTIMATIVA[[#This Row],[QT_AREA_EST]]</f>
        <v>0</v>
      </c>
      <c r="Y1710" s="1">
        <f>IF(ESTIMATIVA[[#This Row],[QT_AREA_REST1]]&gt;0,ESTIMATIVA[[#This Row],[QT_AREA_REST1]],
  IF(ESTIMATIVA[[#This Row],[QT_AREA_REAL]]&gt;0,ESTIMATIVA[[#This Row],[QT_AREA_REAL]],ESTIMATIVA[[#This Row],[QT_AREA_EST]]))</f>
        <v>0</v>
      </c>
      <c r="Z171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</v>
      </c>
      <c r="AA1710" s="1">
        <f>ESTIMATIVA[[#This Row],[QT_CANA_EST]]</f>
        <v>0</v>
      </c>
      <c r="AB1710" s="1">
        <f>IF(ESTIMATIVA[[#This Row],[QT_CANA_REST1]]&gt;0,ESTIMATIVA[[#This Row],[QT_CANA_REST1]],
  IF(ESTIMATIVA[[#This Row],[QT_CANA_REAL]]&gt;0,ESTIMATIVA[[#This Row],[QT_CANA_REAL]],ESTIMATIVA[[#This Row],[QT_CANA_EST]]))</f>
        <v>0</v>
      </c>
      <c r="AC171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0</v>
      </c>
      <c r="AD1710" s="1">
        <f>IF(ESTIMATIVA[[#This Row],[QT_AREA_REAL]]&gt;0,ESTIMATIVA[[#This Row],[QT_CANA_REAL]],ESTIMATIVA[[#This Row],[QT_CANA_EST]])</f>
        <v>0</v>
      </c>
      <c r="AE1710" s="1">
        <f>IF(ESTIMATIVA[[#This Row],[QT_AREA_REAL]]&gt;0,ESTIMATIVA[[#This Row],[QT_CANA_REAL]],ESTIMATIVA[[#This Row],[QT_CANA_REST1]])</f>
        <v>0</v>
      </c>
      <c r="AF1710" s="1">
        <f>IF(ESTIMATIVA[[#This Row],[QT_AREA_REAL]]&gt;0,ESTIMATIVA[[#This Row],[QT_CANA_REAL]],ESTIMATIVA[[#This Row],[QT_CANA_REST2]])</f>
        <v>0</v>
      </c>
      <c r="AG1710" s="1" t="str">
        <f>IF(COUNTIFS(GEADA!A:A,VALUE(ESTIMATIVA[[#This Row],[CD_UPNIVEL1]]&amp;TEXT(ESTIMATIVA[[#This Row],[CD_UPNIVEL3]],"0000")))&gt;0,"S","N")</f>
        <v>N</v>
      </c>
      <c r="AH171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10" s="55" t="str">
        <f>IF(ESTIMATIVA[[#This Row],[TP_CULTIVO]]="Irrigado",_xlfn.MAXIFS(IRRIGADO!J:J,IRRIGADO!C:C,ESTIMATIVA[[#This Row],[CD_UPNIVEL1]],IRRIGADO!E:E,ESTIMATIVA[[#This Row],[CD_UPNIVEL3]]),"")</f>
        <v/>
      </c>
      <c r="AJ171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10" s="1">
        <f>COUNTIFS(Apresentação!$E$23:$E$29,ESTIMATIVA[[#This Row],[CD_UPNIVEL1]])</f>
        <v>0</v>
      </c>
    </row>
    <row r="1711" spans="1:37" x14ac:dyDescent="0.3">
      <c r="A1711">
        <v>20620</v>
      </c>
      <c r="B1711" t="s">
        <v>51</v>
      </c>
      <c r="C1711">
        <v>2002</v>
      </c>
      <c r="D1711">
        <v>2</v>
      </c>
      <c r="E1711" t="s">
        <v>266</v>
      </c>
      <c r="F1711" s="85" t="s">
        <v>331</v>
      </c>
      <c r="G1711"/>
      <c r="H1711" t="s">
        <v>294</v>
      </c>
      <c r="I1711" t="s">
        <v>199</v>
      </c>
      <c r="J1711" t="s">
        <v>176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/>
      <c r="S1711" t="s">
        <v>12</v>
      </c>
      <c r="T1711" s="13">
        <v>45788</v>
      </c>
      <c r="U1711" s="1" t="str">
        <f>IF(ESTIMATIVA[[#This Row],[QT_AREA_REAL]]&gt;0,"1- Colhido","2- à Colher")</f>
        <v>2- à Colher</v>
      </c>
      <c r="V1711" s="1" t="str">
        <f>IF(ESTIMATIVA[[#This Row],[QT_AREA_REST1]]&gt;0,"Reestimativa 1",IF(ESTIMATIVA[[#This Row],[QT_AREA_REAL]]=0,"Reestimativa 1","Realizado"))</f>
        <v>Reestimativa 1</v>
      </c>
      <c r="W1711" s="1" t="str">
        <f>IF(ESTIMATIVA[[#This Row],[QT_AREA_REST2]]&gt;0,"Reestimativa 2",IF(ESTIMATIVA[[#This Row],[QT_AREA_REAL]]=0,"Reestimativa 2","Realizado"))</f>
        <v>Reestimativa 2</v>
      </c>
      <c r="X1711" s="1">
        <f>ESTIMATIVA[[#This Row],[QT_AREA_EST]]</f>
        <v>0</v>
      </c>
      <c r="Y1711" s="1">
        <f>IF(ESTIMATIVA[[#This Row],[QT_AREA_REST1]]&gt;0,ESTIMATIVA[[#This Row],[QT_AREA_REST1]],
  IF(ESTIMATIVA[[#This Row],[QT_AREA_REAL]]&gt;0,ESTIMATIVA[[#This Row],[QT_AREA_REAL]],ESTIMATIVA[[#This Row],[QT_AREA_EST]]))</f>
        <v>0</v>
      </c>
      <c r="Z171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</v>
      </c>
      <c r="AA1711" s="1">
        <f>ESTIMATIVA[[#This Row],[QT_CANA_EST]]</f>
        <v>0</v>
      </c>
      <c r="AB1711" s="1">
        <f>IF(ESTIMATIVA[[#This Row],[QT_CANA_REST1]]&gt;0,ESTIMATIVA[[#This Row],[QT_CANA_REST1]],
  IF(ESTIMATIVA[[#This Row],[QT_CANA_REAL]]&gt;0,ESTIMATIVA[[#This Row],[QT_CANA_REAL]],ESTIMATIVA[[#This Row],[QT_CANA_EST]]))</f>
        <v>0</v>
      </c>
      <c r="AC171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0</v>
      </c>
      <c r="AD1711" s="1">
        <f>IF(ESTIMATIVA[[#This Row],[QT_AREA_REAL]]&gt;0,ESTIMATIVA[[#This Row],[QT_CANA_REAL]],ESTIMATIVA[[#This Row],[QT_CANA_EST]])</f>
        <v>0</v>
      </c>
      <c r="AE1711" s="1">
        <f>IF(ESTIMATIVA[[#This Row],[QT_AREA_REAL]]&gt;0,ESTIMATIVA[[#This Row],[QT_CANA_REAL]],ESTIMATIVA[[#This Row],[QT_CANA_REST1]])</f>
        <v>0</v>
      </c>
      <c r="AF1711" s="1">
        <f>IF(ESTIMATIVA[[#This Row],[QT_AREA_REAL]]&gt;0,ESTIMATIVA[[#This Row],[QT_CANA_REAL]],ESTIMATIVA[[#This Row],[QT_CANA_REST2]])</f>
        <v>0</v>
      </c>
      <c r="AG1711" s="1" t="str">
        <f>IF(COUNTIFS(GEADA!A:A,VALUE(ESTIMATIVA[[#This Row],[CD_UPNIVEL1]]&amp;TEXT(ESTIMATIVA[[#This Row],[CD_UPNIVEL3]],"0000")))&gt;0,"S","N")</f>
        <v>N</v>
      </c>
      <c r="AH171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11" s="55" t="str">
        <f>IF(ESTIMATIVA[[#This Row],[TP_CULTIVO]]="Irrigado",_xlfn.MAXIFS(IRRIGADO!J:J,IRRIGADO!C:C,ESTIMATIVA[[#This Row],[CD_UPNIVEL1]],IRRIGADO!E:E,ESTIMATIVA[[#This Row],[CD_UPNIVEL3]]),"")</f>
        <v/>
      </c>
      <c r="AJ171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11" s="1">
        <f>COUNTIFS(Apresentação!$E$23:$E$29,ESTIMATIVA[[#This Row],[CD_UPNIVEL1]])</f>
        <v>0</v>
      </c>
    </row>
    <row r="1712" spans="1:37" x14ac:dyDescent="0.3">
      <c r="A1712">
        <v>20620</v>
      </c>
      <c r="B1712" t="s">
        <v>51</v>
      </c>
      <c r="C1712">
        <v>2003</v>
      </c>
      <c r="D1712">
        <v>2</v>
      </c>
      <c r="E1712" t="s">
        <v>266</v>
      </c>
      <c r="F1712" s="85" t="s">
        <v>331</v>
      </c>
      <c r="G1712"/>
      <c r="H1712" t="s">
        <v>294</v>
      </c>
      <c r="I1712" t="s">
        <v>199</v>
      </c>
      <c r="J1712" t="s">
        <v>176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/>
      <c r="S1712" t="s">
        <v>12</v>
      </c>
      <c r="T1712" s="13">
        <v>45788</v>
      </c>
      <c r="U1712" s="1" t="str">
        <f>IF(ESTIMATIVA[[#This Row],[QT_AREA_REAL]]&gt;0,"1- Colhido","2- à Colher")</f>
        <v>2- à Colher</v>
      </c>
      <c r="V1712" s="1" t="str">
        <f>IF(ESTIMATIVA[[#This Row],[QT_AREA_REST1]]&gt;0,"Reestimativa 1",IF(ESTIMATIVA[[#This Row],[QT_AREA_REAL]]=0,"Reestimativa 1","Realizado"))</f>
        <v>Reestimativa 1</v>
      </c>
      <c r="W1712" s="1" t="str">
        <f>IF(ESTIMATIVA[[#This Row],[QT_AREA_REST2]]&gt;0,"Reestimativa 2",IF(ESTIMATIVA[[#This Row],[QT_AREA_REAL]]=0,"Reestimativa 2","Realizado"))</f>
        <v>Reestimativa 2</v>
      </c>
      <c r="X1712" s="1">
        <f>ESTIMATIVA[[#This Row],[QT_AREA_EST]]</f>
        <v>0</v>
      </c>
      <c r="Y1712" s="1">
        <f>IF(ESTIMATIVA[[#This Row],[QT_AREA_REST1]]&gt;0,ESTIMATIVA[[#This Row],[QT_AREA_REST1]],
  IF(ESTIMATIVA[[#This Row],[QT_AREA_REAL]]&gt;0,ESTIMATIVA[[#This Row],[QT_AREA_REAL]],ESTIMATIVA[[#This Row],[QT_AREA_EST]]))</f>
        <v>0</v>
      </c>
      <c r="Z171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</v>
      </c>
      <c r="AA1712" s="1">
        <f>ESTIMATIVA[[#This Row],[QT_CANA_EST]]</f>
        <v>0</v>
      </c>
      <c r="AB1712" s="1">
        <f>IF(ESTIMATIVA[[#This Row],[QT_CANA_REST1]]&gt;0,ESTIMATIVA[[#This Row],[QT_CANA_REST1]],
  IF(ESTIMATIVA[[#This Row],[QT_CANA_REAL]]&gt;0,ESTIMATIVA[[#This Row],[QT_CANA_REAL]],ESTIMATIVA[[#This Row],[QT_CANA_EST]]))</f>
        <v>0</v>
      </c>
      <c r="AC171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0</v>
      </c>
      <c r="AD1712" s="1">
        <f>IF(ESTIMATIVA[[#This Row],[QT_AREA_REAL]]&gt;0,ESTIMATIVA[[#This Row],[QT_CANA_REAL]],ESTIMATIVA[[#This Row],[QT_CANA_EST]])</f>
        <v>0</v>
      </c>
      <c r="AE1712" s="1">
        <f>IF(ESTIMATIVA[[#This Row],[QT_AREA_REAL]]&gt;0,ESTIMATIVA[[#This Row],[QT_CANA_REAL]],ESTIMATIVA[[#This Row],[QT_CANA_REST1]])</f>
        <v>0</v>
      </c>
      <c r="AF1712" s="1">
        <f>IF(ESTIMATIVA[[#This Row],[QT_AREA_REAL]]&gt;0,ESTIMATIVA[[#This Row],[QT_CANA_REAL]],ESTIMATIVA[[#This Row],[QT_CANA_REST2]])</f>
        <v>0</v>
      </c>
      <c r="AG1712" s="1" t="str">
        <f>IF(COUNTIFS(GEADA!A:A,VALUE(ESTIMATIVA[[#This Row],[CD_UPNIVEL1]]&amp;TEXT(ESTIMATIVA[[#This Row],[CD_UPNIVEL3]],"0000")))&gt;0,"S","N")</f>
        <v>N</v>
      </c>
      <c r="AH171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12" s="55" t="str">
        <f>IF(ESTIMATIVA[[#This Row],[TP_CULTIVO]]="Irrigado",_xlfn.MAXIFS(IRRIGADO!J:J,IRRIGADO!C:C,ESTIMATIVA[[#This Row],[CD_UPNIVEL1]],IRRIGADO!E:E,ESTIMATIVA[[#This Row],[CD_UPNIVEL3]]),"")</f>
        <v/>
      </c>
      <c r="AJ171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12" s="1">
        <f>COUNTIFS(Apresentação!$E$23:$E$29,ESTIMATIVA[[#This Row],[CD_UPNIVEL1]])</f>
        <v>0</v>
      </c>
    </row>
    <row r="1713" spans="1:37" x14ac:dyDescent="0.3">
      <c r="A1713">
        <v>20620</v>
      </c>
      <c r="B1713" t="s">
        <v>51</v>
      </c>
      <c r="C1713">
        <v>2004</v>
      </c>
      <c r="D1713">
        <v>2</v>
      </c>
      <c r="E1713" t="s">
        <v>266</v>
      </c>
      <c r="F1713" s="85" t="s">
        <v>331</v>
      </c>
      <c r="G1713"/>
      <c r="H1713" t="s">
        <v>294</v>
      </c>
      <c r="I1713" t="s">
        <v>199</v>
      </c>
      <c r="J1713" t="s">
        <v>176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/>
      <c r="S1713" t="s">
        <v>12</v>
      </c>
      <c r="T1713" s="13">
        <v>45788</v>
      </c>
      <c r="U1713" s="1" t="str">
        <f>IF(ESTIMATIVA[[#This Row],[QT_AREA_REAL]]&gt;0,"1- Colhido","2- à Colher")</f>
        <v>2- à Colher</v>
      </c>
      <c r="V1713" s="1" t="str">
        <f>IF(ESTIMATIVA[[#This Row],[QT_AREA_REST1]]&gt;0,"Reestimativa 1",IF(ESTIMATIVA[[#This Row],[QT_AREA_REAL]]=0,"Reestimativa 1","Realizado"))</f>
        <v>Reestimativa 1</v>
      </c>
      <c r="W1713" s="1" t="str">
        <f>IF(ESTIMATIVA[[#This Row],[QT_AREA_REST2]]&gt;0,"Reestimativa 2",IF(ESTIMATIVA[[#This Row],[QT_AREA_REAL]]=0,"Reestimativa 2","Realizado"))</f>
        <v>Reestimativa 2</v>
      </c>
      <c r="X1713" s="1">
        <f>ESTIMATIVA[[#This Row],[QT_AREA_EST]]</f>
        <v>0</v>
      </c>
      <c r="Y1713" s="1">
        <f>IF(ESTIMATIVA[[#This Row],[QT_AREA_REST1]]&gt;0,ESTIMATIVA[[#This Row],[QT_AREA_REST1]],
  IF(ESTIMATIVA[[#This Row],[QT_AREA_REAL]]&gt;0,ESTIMATIVA[[#This Row],[QT_AREA_REAL]],ESTIMATIVA[[#This Row],[QT_AREA_EST]]))</f>
        <v>0</v>
      </c>
      <c r="Z171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</v>
      </c>
      <c r="AA1713" s="1">
        <f>ESTIMATIVA[[#This Row],[QT_CANA_EST]]</f>
        <v>0</v>
      </c>
      <c r="AB1713" s="1">
        <f>IF(ESTIMATIVA[[#This Row],[QT_CANA_REST1]]&gt;0,ESTIMATIVA[[#This Row],[QT_CANA_REST1]],
  IF(ESTIMATIVA[[#This Row],[QT_CANA_REAL]]&gt;0,ESTIMATIVA[[#This Row],[QT_CANA_REAL]],ESTIMATIVA[[#This Row],[QT_CANA_EST]]))</f>
        <v>0</v>
      </c>
      <c r="AC171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0</v>
      </c>
      <c r="AD1713" s="1">
        <f>IF(ESTIMATIVA[[#This Row],[QT_AREA_REAL]]&gt;0,ESTIMATIVA[[#This Row],[QT_CANA_REAL]],ESTIMATIVA[[#This Row],[QT_CANA_EST]])</f>
        <v>0</v>
      </c>
      <c r="AE1713" s="1">
        <f>IF(ESTIMATIVA[[#This Row],[QT_AREA_REAL]]&gt;0,ESTIMATIVA[[#This Row],[QT_CANA_REAL]],ESTIMATIVA[[#This Row],[QT_CANA_REST1]])</f>
        <v>0</v>
      </c>
      <c r="AF1713" s="1">
        <f>IF(ESTIMATIVA[[#This Row],[QT_AREA_REAL]]&gt;0,ESTIMATIVA[[#This Row],[QT_CANA_REAL]],ESTIMATIVA[[#This Row],[QT_CANA_REST2]])</f>
        <v>0</v>
      </c>
      <c r="AG1713" s="1" t="str">
        <f>IF(COUNTIFS(GEADA!A:A,VALUE(ESTIMATIVA[[#This Row],[CD_UPNIVEL1]]&amp;TEXT(ESTIMATIVA[[#This Row],[CD_UPNIVEL3]],"0000")))&gt;0,"S","N")</f>
        <v>N</v>
      </c>
      <c r="AH171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13" s="55" t="str">
        <f>IF(ESTIMATIVA[[#This Row],[TP_CULTIVO]]="Irrigado",_xlfn.MAXIFS(IRRIGADO!J:J,IRRIGADO!C:C,ESTIMATIVA[[#This Row],[CD_UPNIVEL1]],IRRIGADO!E:E,ESTIMATIVA[[#This Row],[CD_UPNIVEL3]]),"")</f>
        <v/>
      </c>
      <c r="AJ171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13" s="1">
        <f>COUNTIFS(Apresentação!$E$23:$E$29,ESTIMATIVA[[#This Row],[CD_UPNIVEL1]])</f>
        <v>0</v>
      </c>
    </row>
    <row r="1714" spans="1:37" x14ac:dyDescent="0.3">
      <c r="A1714">
        <v>20620</v>
      </c>
      <c r="B1714" t="s">
        <v>51</v>
      </c>
      <c r="C1714">
        <v>2005</v>
      </c>
      <c r="D1714">
        <v>2</v>
      </c>
      <c r="E1714" t="s">
        <v>266</v>
      </c>
      <c r="F1714" s="85" t="s">
        <v>331</v>
      </c>
      <c r="G1714"/>
      <c r="H1714" t="s">
        <v>294</v>
      </c>
      <c r="I1714" t="s">
        <v>199</v>
      </c>
      <c r="J1714" t="s">
        <v>176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/>
      <c r="S1714" t="s">
        <v>12</v>
      </c>
      <c r="T1714" s="13">
        <v>45788</v>
      </c>
      <c r="U1714" s="1" t="str">
        <f>IF(ESTIMATIVA[[#This Row],[QT_AREA_REAL]]&gt;0,"1- Colhido","2- à Colher")</f>
        <v>2- à Colher</v>
      </c>
      <c r="V1714" s="1" t="str">
        <f>IF(ESTIMATIVA[[#This Row],[QT_AREA_REST1]]&gt;0,"Reestimativa 1",IF(ESTIMATIVA[[#This Row],[QT_AREA_REAL]]=0,"Reestimativa 1","Realizado"))</f>
        <v>Reestimativa 1</v>
      </c>
      <c r="W1714" s="1" t="str">
        <f>IF(ESTIMATIVA[[#This Row],[QT_AREA_REST2]]&gt;0,"Reestimativa 2",IF(ESTIMATIVA[[#This Row],[QT_AREA_REAL]]=0,"Reestimativa 2","Realizado"))</f>
        <v>Reestimativa 2</v>
      </c>
      <c r="X1714" s="1">
        <f>ESTIMATIVA[[#This Row],[QT_AREA_EST]]</f>
        <v>0</v>
      </c>
      <c r="Y1714" s="1">
        <f>IF(ESTIMATIVA[[#This Row],[QT_AREA_REST1]]&gt;0,ESTIMATIVA[[#This Row],[QT_AREA_REST1]],
  IF(ESTIMATIVA[[#This Row],[QT_AREA_REAL]]&gt;0,ESTIMATIVA[[#This Row],[QT_AREA_REAL]],ESTIMATIVA[[#This Row],[QT_AREA_EST]]))</f>
        <v>0</v>
      </c>
      <c r="Z171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</v>
      </c>
      <c r="AA1714" s="1">
        <f>ESTIMATIVA[[#This Row],[QT_CANA_EST]]</f>
        <v>0</v>
      </c>
      <c r="AB1714" s="1">
        <f>IF(ESTIMATIVA[[#This Row],[QT_CANA_REST1]]&gt;0,ESTIMATIVA[[#This Row],[QT_CANA_REST1]],
  IF(ESTIMATIVA[[#This Row],[QT_CANA_REAL]]&gt;0,ESTIMATIVA[[#This Row],[QT_CANA_REAL]],ESTIMATIVA[[#This Row],[QT_CANA_EST]]))</f>
        <v>0</v>
      </c>
      <c r="AC171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0</v>
      </c>
      <c r="AD1714" s="1">
        <f>IF(ESTIMATIVA[[#This Row],[QT_AREA_REAL]]&gt;0,ESTIMATIVA[[#This Row],[QT_CANA_REAL]],ESTIMATIVA[[#This Row],[QT_CANA_EST]])</f>
        <v>0</v>
      </c>
      <c r="AE1714" s="1">
        <f>IF(ESTIMATIVA[[#This Row],[QT_AREA_REAL]]&gt;0,ESTIMATIVA[[#This Row],[QT_CANA_REAL]],ESTIMATIVA[[#This Row],[QT_CANA_REST1]])</f>
        <v>0</v>
      </c>
      <c r="AF1714" s="1">
        <f>IF(ESTIMATIVA[[#This Row],[QT_AREA_REAL]]&gt;0,ESTIMATIVA[[#This Row],[QT_CANA_REAL]],ESTIMATIVA[[#This Row],[QT_CANA_REST2]])</f>
        <v>0</v>
      </c>
      <c r="AG1714" s="1" t="str">
        <f>IF(COUNTIFS(GEADA!A:A,VALUE(ESTIMATIVA[[#This Row],[CD_UPNIVEL1]]&amp;TEXT(ESTIMATIVA[[#This Row],[CD_UPNIVEL3]],"0000")))&gt;0,"S","N")</f>
        <v>N</v>
      </c>
      <c r="AH171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14" s="55" t="str">
        <f>IF(ESTIMATIVA[[#This Row],[TP_CULTIVO]]="Irrigado",_xlfn.MAXIFS(IRRIGADO!J:J,IRRIGADO!C:C,ESTIMATIVA[[#This Row],[CD_UPNIVEL1]],IRRIGADO!E:E,ESTIMATIVA[[#This Row],[CD_UPNIVEL3]]),"")</f>
        <v/>
      </c>
      <c r="AJ171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14" s="1">
        <f>COUNTIFS(Apresentação!$E$23:$E$29,ESTIMATIVA[[#This Row],[CD_UPNIVEL1]])</f>
        <v>0</v>
      </c>
    </row>
    <row r="1715" spans="1:37" x14ac:dyDescent="0.3">
      <c r="A1715">
        <v>20620</v>
      </c>
      <c r="B1715" t="s">
        <v>51</v>
      </c>
      <c r="C1715">
        <v>2007</v>
      </c>
      <c r="D1715">
        <v>2</v>
      </c>
      <c r="E1715" t="s">
        <v>266</v>
      </c>
      <c r="F1715" s="85" t="s">
        <v>331</v>
      </c>
      <c r="G1715"/>
      <c r="H1715" t="s">
        <v>294</v>
      </c>
      <c r="I1715" t="s">
        <v>199</v>
      </c>
      <c r="J1715" t="s">
        <v>176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/>
      <c r="S1715" t="s">
        <v>12</v>
      </c>
      <c r="T1715" s="13">
        <v>45788</v>
      </c>
      <c r="U1715" s="1" t="str">
        <f>IF(ESTIMATIVA[[#This Row],[QT_AREA_REAL]]&gt;0,"1- Colhido","2- à Colher")</f>
        <v>2- à Colher</v>
      </c>
      <c r="V1715" s="1" t="str">
        <f>IF(ESTIMATIVA[[#This Row],[QT_AREA_REST1]]&gt;0,"Reestimativa 1",IF(ESTIMATIVA[[#This Row],[QT_AREA_REAL]]=0,"Reestimativa 1","Realizado"))</f>
        <v>Reestimativa 1</v>
      </c>
      <c r="W1715" s="1" t="str">
        <f>IF(ESTIMATIVA[[#This Row],[QT_AREA_REST2]]&gt;0,"Reestimativa 2",IF(ESTIMATIVA[[#This Row],[QT_AREA_REAL]]=0,"Reestimativa 2","Realizado"))</f>
        <v>Reestimativa 2</v>
      </c>
      <c r="X1715" s="1">
        <f>ESTIMATIVA[[#This Row],[QT_AREA_EST]]</f>
        <v>0</v>
      </c>
      <c r="Y1715" s="1">
        <f>IF(ESTIMATIVA[[#This Row],[QT_AREA_REST1]]&gt;0,ESTIMATIVA[[#This Row],[QT_AREA_REST1]],
  IF(ESTIMATIVA[[#This Row],[QT_AREA_REAL]]&gt;0,ESTIMATIVA[[#This Row],[QT_AREA_REAL]],ESTIMATIVA[[#This Row],[QT_AREA_EST]]))</f>
        <v>0</v>
      </c>
      <c r="Z171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</v>
      </c>
      <c r="AA1715" s="1">
        <f>ESTIMATIVA[[#This Row],[QT_CANA_EST]]</f>
        <v>0</v>
      </c>
      <c r="AB1715" s="1">
        <f>IF(ESTIMATIVA[[#This Row],[QT_CANA_REST1]]&gt;0,ESTIMATIVA[[#This Row],[QT_CANA_REST1]],
  IF(ESTIMATIVA[[#This Row],[QT_CANA_REAL]]&gt;0,ESTIMATIVA[[#This Row],[QT_CANA_REAL]],ESTIMATIVA[[#This Row],[QT_CANA_EST]]))</f>
        <v>0</v>
      </c>
      <c r="AC171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0</v>
      </c>
      <c r="AD1715" s="1">
        <f>IF(ESTIMATIVA[[#This Row],[QT_AREA_REAL]]&gt;0,ESTIMATIVA[[#This Row],[QT_CANA_REAL]],ESTIMATIVA[[#This Row],[QT_CANA_EST]])</f>
        <v>0</v>
      </c>
      <c r="AE1715" s="1">
        <f>IF(ESTIMATIVA[[#This Row],[QT_AREA_REAL]]&gt;0,ESTIMATIVA[[#This Row],[QT_CANA_REAL]],ESTIMATIVA[[#This Row],[QT_CANA_REST1]])</f>
        <v>0</v>
      </c>
      <c r="AF1715" s="1">
        <f>IF(ESTIMATIVA[[#This Row],[QT_AREA_REAL]]&gt;0,ESTIMATIVA[[#This Row],[QT_CANA_REAL]],ESTIMATIVA[[#This Row],[QT_CANA_REST2]])</f>
        <v>0</v>
      </c>
      <c r="AG1715" s="1" t="str">
        <f>IF(COUNTIFS(GEADA!A:A,VALUE(ESTIMATIVA[[#This Row],[CD_UPNIVEL1]]&amp;TEXT(ESTIMATIVA[[#This Row],[CD_UPNIVEL3]],"0000")))&gt;0,"S","N")</f>
        <v>N</v>
      </c>
      <c r="AH171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15" s="55" t="str">
        <f>IF(ESTIMATIVA[[#This Row],[TP_CULTIVO]]="Irrigado",_xlfn.MAXIFS(IRRIGADO!J:J,IRRIGADO!C:C,ESTIMATIVA[[#This Row],[CD_UPNIVEL1]],IRRIGADO!E:E,ESTIMATIVA[[#This Row],[CD_UPNIVEL3]]),"")</f>
        <v/>
      </c>
      <c r="AJ171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15" s="1">
        <f>COUNTIFS(Apresentação!$E$23:$E$29,ESTIMATIVA[[#This Row],[CD_UPNIVEL1]])</f>
        <v>0</v>
      </c>
    </row>
    <row r="1716" spans="1:37" x14ac:dyDescent="0.3">
      <c r="A1716">
        <v>20620</v>
      </c>
      <c r="B1716" t="s">
        <v>51</v>
      </c>
      <c r="C1716">
        <v>2008</v>
      </c>
      <c r="D1716">
        <v>2</v>
      </c>
      <c r="E1716" t="s">
        <v>266</v>
      </c>
      <c r="F1716" s="85" t="s">
        <v>331</v>
      </c>
      <c r="G1716"/>
      <c r="H1716" t="s">
        <v>294</v>
      </c>
      <c r="I1716" t="s">
        <v>199</v>
      </c>
      <c r="J1716" t="s">
        <v>176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/>
      <c r="S1716" t="s">
        <v>12</v>
      </c>
      <c r="T1716" s="13">
        <v>45788</v>
      </c>
      <c r="U1716" s="1" t="str">
        <f>IF(ESTIMATIVA[[#This Row],[QT_AREA_REAL]]&gt;0,"1- Colhido","2- à Colher")</f>
        <v>2- à Colher</v>
      </c>
      <c r="V1716" s="1" t="str">
        <f>IF(ESTIMATIVA[[#This Row],[QT_AREA_REST1]]&gt;0,"Reestimativa 1",IF(ESTIMATIVA[[#This Row],[QT_AREA_REAL]]=0,"Reestimativa 1","Realizado"))</f>
        <v>Reestimativa 1</v>
      </c>
      <c r="W1716" s="1" t="str">
        <f>IF(ESTIMATIVA[[#This Row],[QT_AREA_REST2]]&gt;0,"Reestimativa 2",IF(ESTIMATIVA[[#This Row],[QT_AREA_REAL]]=0,"Reestimativa 2","Realizado"))</f>
        <v>Reestimativa 2</v>
      </c>
      <c r="X1716" s="1">
        <f>ESTIMATIVA[[#This Row],[QT_AREA_EST]]</f>
        <v>0</v>
      </c>
      <c r="Y1716" s="1">
        <f>IF(ESTIMATIVA[[#This Row],[QT_AREA_REST1]]&gt;0,ESTIMATIVA[[#This Row],[QT_AREA_REST1]],
  IF(ESTIMATIVA[[#This Row],[QT_AREA_REAL]]&gt;0,ESTIMATIVA[[#This Row],[QT_AREA_REAL]],ESTIMATIVA[[#This Row],[QT_AREA_EST]]))</f>
        <v>0</v>
      </c>
      <c r="Z171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</v>
      </c>
      <c r="AA1716" s="1">
        <f>ESTIMATIVA[[#This Row],[QT_CANA_EST]]</f>
        <v>0</v>
      </c>
      <c r="AB1716" s="1">
        <f>IF(ESTIMATIVA[[#This Row],[QT_CANA_REST1]]&gt;0,ESTIMATIVA[[#This Row],[QT_CANA_REST1]],
  IF(ESTIMATIVA[[#This Row],[QT_CANA_REAL]]&gt;0,ESTIMATIVA[[#This Row],[QT_CANA_REAL]],ESTIMATIVA[[#This Row],[QT_CANA_EST]]))</f>
        <v>0</v>
      </c>
      <c r="AC171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0</v>
      </c>
      <c r="AD1716" s="1">
        <f>IF(ESTIMATIVA[[#This Row],[QT_AREA_REAL]]&gt;0,ESTIMATIVA[[#This Row],[QT_CANA_REAL]],ESTIMATIVA[[#This Row],[QT_CANA_EST]])</f>
        <v>0</v>
      </c>
      <c r="AE1716" s="1">
        <f>IF(ESTIMATIVA[[#This Row],[QT_AREA_REAL]]&gt;0,ESTIMATIVA[[#This Row],[QT_CANA_REAL]],ESTIMATIVA[[#This Row],[QT_CANA_REST1]])</f>
        <v>0</v>
      </c>
      <c r="AF1716" s="1">
        <f>IF(ESTIMATIVA[[#This Row],[QT_AREA_REAL]]&gt;0,ESTIMATIVA[[#This Row],[QT_CANA_REAL]],ESTIMATIVA[[#This Row],[QT_CANA_REST2]])</f>
        <v>0</v>
      </c>
      <c r="AG1716" s="1" t="str">
        <f>IF(COUNTIFS(GEADA!A:A,VALUE(ESTIMATIVA[[#This Row],[CD_UPNIVEL1]]&amp;TEXT(ESTIMATIVA[[#This Row],[CD_UPNIVEL3]],"0000")))&gt;0,"S","N")</f>
        <v>N</v>
      </c>
      <c r="AH171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16" s="55" t="str">
        <f>IF(ESTIMATIVA[[#This Row],[TP_CULTIVO]]="Irrigado",_xlfn.MAXIFS(IRRIGADO!J:J,IRRIGADO!C:C,ESTIMATIVA[[#This Row],[CD_UPNIVEL1]],IRRIGADO!E:E,ESTIMATIVA[[#This Row],[CD_UPNIVEL3]]),"")</f>
        <v/>
      </c>
      <c r="AJ171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16" s="1">
        <f>COUNTIFS(Apresentação!$E$23:$E$29,ESTIMATIVA[[#This Row],[CD_UPNIVEL1]])</f>
        <v>0</v>
      </c>
    </row>
    <row r="1717" spans="1:37" x14ac:dyDescent="0.3">
      <c r="A1717">
        <v>20620</v>
      </c>
      <c r="B1717" t="s">
        <v>51</v>
      </c>
      <c r="C1717">
        <v>2009</v>
      </c>
      <c r="D1717">
        <v>2</v>
      </c>
      <c r="E1717" t="s">
        <v>266</v>
      </c>
      <c r="F1717" s="85" t="s">
        <v>331</v>
      </c>
      <c r="G1717"/>
      <c r="H1717" t="s">
        <v>294</v>
      </c>
      <c r="I1717" t="s">
        <v>199</v>
      </c>
      <c r="J1717" t="s">
        <v>176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/>
      <c r="S1717" t="s">
        <v>12</v>
      </c>
      <c r="T1717" s="13">
        <v>45788</v>
      </c>
      <c r="U1717" s="1" t="str">
        <f>IF(ESTIMATIVA[[#This Row],[QT_AREA_REAL]]&gt;0,"1- Colhido","2- à Colher")</f>
        <v>2- à Colher</v>
      </c>
      <c r="V1717" s="1" t="str">
        <f>IF(ESTIMATIVA[[#This Row],[QT_AREA_REST1]]&gt;0,"Reestimativa 1",IF(ESTIMATIVA[[#This Row],[QT_AREA_REAL]]=0,"Reestimativa 1","Realizado"))</f>
        <v>Reestimativa 1</v>
      </c>
      <c r="W1717" s="1" t="str">
        <f>IF(ESTIMATIVA[[#This Row],[QT_AREA_REST2]]&gt;0,"Reestimativa 2",IF(ESTIMATIVA[[#This Row],[QT_AREA_REAL]]=0,"Reestimativa 2","Realizado"))</f>
        <v>Reestimativa 2</v>
      </c>
      <c r="X1717" s="1">
        <f>ESTIMATIVA[[#This Row],[QT_AREA_EST]]</f>
        <v>0</v>
      </c>
      <c r="Y1717" s="1">
        <f>IF(ESTIMATIVA[[#This Row],[QT_AREA_REST1]]&gt;0,ESTIMATIVA[[#This Row],[QT_AREA_REST1]],
  IF(ESTIMATIVA[[#This Row],[QT_AREA_REAL]]&gt;0,ESTIMATIVA[[#This Row],[QT_AREA_REAL]],ESTIMATIVA[[#This Row],[QT_AREA_EST]]))</f>
        <v>0</v>
      </c>
      <c r="Z171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</v>
      </c>
      <c r="AA1717" s="1">
        <f>ESTIMATIVA[[#This Row],[QT_CANA_EST]]</f>
        <v>0</v>
      </c>
      <c r="AB1717" s="1">
        <f>IF(ESTIMATIVA[[#This Row],[QT_CANA_REST1]]&gt;0,ESTIMATIVA[[#This Row],[QT_CANA_REST1]],
  IF(ESTIMATIVA[[#This Row],[QT_CANA_REAL]]&gt;0,ESTIMATIVA[[#This Row],[QT_CANA_REAL]],ESTIMATIVA[[#This Row],[QT_CANA_EST]]))</f>
        <v>0</v>
      </c>
      <c r="AC171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0</v>
      </c>
      <c r="AD1717" s="1">
        <f>IF(ESTIMATIVA[[#This Row],[QT_AREA_REAL]]&gt;0,ESTIMATIVA[[#This Row],[QT_CANA_REAL]],ESTIMATIVA[[#This Row],[QT_CANA_EST]])</f>
        <v>0</v>
      </c>
      <c r="AE1717" s="1">
        <f>IF(ESTIMATIVA[[#This Row],[QT_AREA_REAL]]&gt;0,ESTIMATIVA[[#This Row],[QT_CANA_REAL]],ESTIMATIVA[[#This Row],[QT_CANA_REST1]])</f>
        <v>0</v>
      </c>
      <c r="AF1717" s="1">
        <f>IF(ESTIMATIVA[[#This Row],[QT_AREA_REAL]]&gt;0,ESTIMATIVA[[#This Row],[QT_CANA_REAL]],ESTIMATIVA[[#This Row],[QT_CANA_REST2]])</f>
        <v>0</v>
      </c>
      <c r="AG1717" s="1" t="str">
        <f>IF(COUNTIFS(GEADA!A:A,VALUE(ESTIMATIVA[[#This Row],[CD_UPNIVEL1]]&amp;TEXT(ESTIMATIVA[[#This Row],[CD_UPNIVEL3]],"0000")))&gt;0,"S","N")</f>
        <v>N</v>
      </c>
      <c r="AH171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17" s="55" t="str">
        <f>IF(ESTIMATIVA[[#This Row],[TP_CULTIVO]]="Irrigado",_xlfn.MAXIFS(IRRIGADO!J:J,IRRIGADO!C:C,ESTIMATIVA[[#This Row],[CD_UPNIVEL1]],IRRIGADO!E:E,ESTIMATIVA[[#This Row],[CD_UPNIVEL3]]),"")</f>
        <v/>
      </c>
      <c r="AJ171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17" s="1">
        <f>COUNTIFS(Apresentação!$E$23:$E$29,ESTIMATIVA[[#This Row],[CD_UPNIVEL1]])</f>
        <v>0</v>
      </c>
    </row>
    <row r="1718" spans="1:37" x14ac:dyDescent="0.3">
      <c r="A1718">
        <v>20620</v>
      </c>
      <c r="B1718" t="s">
        <v>51</v>
      </c>
      <c r="C1718">
        <v>2010</v>
      </c>
      <c r="D1718">
        <v>2</v>
      </c>
      <c r="E1718" t="s">
        <v>266</v>
      </c>
      <c r="F1718" s="85" t="s">
        <v>331</v>
      </c>
      <c r="G1718"/>
      <c r="H1718" t="s">
        <v>294</v>
      </c>
      <c r="I1718" t="s">
        <v>199</v>
      </c>
      <c r="J1718" t="s">
        <v>176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/>
      <c r="S1718" t="s">
        <v>12</v>
      </c>
      <c r="T1718" s="13">
        <v>45788</v>
      </c>
      <c r="U1718" s="1" t="str">
        <f>IF(ESTIMATIVA[[#This Row],[QT_AREA_REAL]]&gt;0,"1- Colhido","2- à Colher")</f>
        <v>2- à Colher</v>
      </c>
      <c r="V1718" s="1" t="str">
        <f>IF(ESTIMATIVA[[#This Row],[QT_AREA_REST1]]&gt;0,"Reestimativa 1",IF(ESTIMATIVA[[#This Row],[QT_AREA_REAL]]=0,"Reestimativa 1","Realizado"))</f>
        <v>Reestimativa 1</v>
      </c>
      <c r="W1718" s="1" t="str">
        <f>IF(ESTIMATIVA[[#This Row],[QT_AREA_REST2]]&gt;0,"Reestimativa 2",IF(ESTIMATIVA[[#This Row],[QT_AREA_REAL]]=0,"Reestimativa 2","Realizado"))</f>
        <v>Reestimativa 2</v>
      </c>
      <c r="X1718" s="1">
        <f>ESTIMATIVA[[#This Row],[QT_AREA_EST]]</f>
        <v>0</v>
      </c>
      <c r="Y1718" s="1">
        <f>IF(ESTIMATIVA[[#This Row],[QT_AREA_REST1]]&gt;0,ESTIMATIVA[[#This Row],[QT_AREA_REST1]],
  IF(ESTIMATIVA[[#This Row],[QT_AREA_REAL]]&gt;0,ESTIMATIVA[[#This Row],[QT_AREA_REAL]],ESTIMATIVA[[#This Row],[QT_AREA_EST]]))</f>
        <v>0</v>
      </c>
      <c r="Z171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</v>
      </c>
      <c r="AA1718" s="1">
        <f>ESTIMATIVA[[#This Row],[QT_CANA_EST]]</f>
        <v>0</v>
      </c>
      <c r="AB1718" s="1">
        <f>IF(ESTIMATIVA[[#This Row],[QT_CANA_REST1]]&gt;0,ESTIMATIVA[[#This Row],[QT_CANA_REST1]],
  IF(ESTIMATIVA[[#This Row],[QT_CANA_REAL]]&gt;0,ESTIMATIVA[[#This Row],[QT_CANA_REAL]],ESTIMATIVA[[#This Row],[QT_CANA_EST]]))</f>
        <v>0</v>
      </c>
      <c r="AC171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0</v>
      </c>
      <c r="AD1718" s="1">
        <f>IF(ESTIMATIVA[[#This Row],[QT_AREA_REAL]]&gt;0,ESTIMATIVA[[#This Row],[QT_CANA_REAL]],ESTIMATIVA[[#This Row],[QT_CANA_EST]])</f>
        <v>0</v>
      </c>
      <c r="AE1718" s="1">
        <f>IF(ESTIMATIVA[[#This Row],[QT_AREA_REAL]]&gt;0,ESTIMATIVA[[#This Row],[QT_CANA_REAL]],ESTIMATIVA[[#This Row],[QT_CANA_REST1]])</f>
        <v>0</v>
      </c>
      <c r="AF1718" s="1">
        <f>IF(ESTIMATIVA[[#This Row],[QT_AREA_REAL]]&gt;0,ESTIMATIVA[[#This Row],[QT_CANA_REAL]],ESTIMATIVA[[#This Row],[QT_CANA_REST2]])</f>
        <v>0</v>
      </c>
      <c r="AG1718" s="1" t="str">
        <f>IF(COUNTIFS(GEADA!A:A,VALUE(ESTIMATIVA[[#This Row],[CD_UPNIVEL1]]&amp;TEXT(ESTIMATIVA[[#This Row],[CD_UPNIVEL3]],"0000")))&gt;0,"S","N")</f>
        <v>N</v>
      </c>
      <c r="AH171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18" s="55" t="str">
        <f>IF(ESTIMATIVA[[#This Row],[TP_CULTIVO]]="Irrigado",_xlfn.MAXIFS(IRRIGADO!J:J,IRRIGADO!C:C,ESTIMATIVA[[#This Row],[CD_UPNIVEL1]],IRRIGADO!E:E,ESTIMATIVA[[#This Row],[CD_UPNIVEL3]]),"")</f>
        <v/>
      </c>
      <c r="AJ171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18" s="1">
        <f>COUNTIFS(Apresentação!$E$23:$E$29,ESTIMATIVA[[#This Row],[CD_UPNIVEL1]])</f>
        <v>0</v>
      </c>
    </row>
    <row r="1719" spans="1:37" x14ac:dyDescent="0.3">
      <c r="A1719">
        <v>20621</v>
      </c>
      <c r="B1719" t="s">
        <v>94</v>
      </c>
      <c r="C1719">
        <v>1</v>
      </c>
      <c r="D1719">
        <v>2</v>
      </c>
      <c r="E1719" t="s">
        <v>266</v>
      </c>
      <c r="F1719" s="85" t="s">
        <v>332</v>
      </c>
      <c r="G1719"/>
      <c r="H1719" t="s">
        <v>294</v>
      </c>
      <c r="I1719" t="s">
        <v>204</v>
      </c>
      <c r="J1719" t="s">
        <v>176</v>
      </c>
      <c r="K1719" s="1">
        <v>0.68</v>
      </c>
      <c r="L1719" s="1">
        <v>0</v>
      </c>
      <c r="M1719" s="1">
        <v>0</v>
      </c>
      <c r="N1719" s="1">
        <v>0.68</v>
      </c>
      <c r="O1719" s="1">
        <v>63.92</v>
      </c>
      <c r="P1719" s="1">
        <v>0</v>
      </c>
      <c r="Q1719" s="1">
        <v>0</v>
      </c>
      <c r="R1719" s="1">
        <v>66.23</v>
      </c>
      <c r="S1719" t="s">
        <v>12</v>
      </c>
      <c r="T1719" s="13">
        <v>45795</v>
      </c>
      <c r="U1719" s="1" t="str">
        <f>IF(ESTIMATIVA[[#This Row],[QT_AREA_REAL]]&gt;0,"1- Colhido","2- à Colher")</f>
        <v>1- Colhido</v>
      </c>
      <c r="V1719" s="1" t="str">
        <f>IF(ESTIMATIVA[[#This Row],[QT_AREA_REST1]]&gt;0,"Reestimativa 1",IF(ESTIMATIVA[[#This Row],[QT_AREA_REAL]]=0,"Reestimativa 1","Realizado"))</f>
        <v>Realizado</v>
      </c>
      <c r="W1719" s="1" t="str">
        <f>IF(ESTIMATIVA[[#This Row],[QT_AREA_REST2]]&gt;0,"Reestimativa 2",IF(ESTIMATIVA[[#This Row],[QT_AREA_REAL]]=0,"Reestimativa 2","Realizado"))</f>
        <v>Realizado</v>
      </c>
      <c r="X1719" s="1">
        <f>ESTIMATIVA[[#This Row],[QT_AREA_EST]]</f>
        <v>0.68</v>
      </c>
      <c r="Y1719" s="1">
        <f>IF(ESTIMATIVA[[#This Row],[QT_AREA_REST1]]&gt;0,ESTIMATIVA[[#This Row],[QT_AREA_REST1]],
  IF(ESTIMATIVA[[#This Row],[QT_AREA_REAL]]&gt;0,ESTIMATIVA[[#This Row],[QT_AREA_REAL]],ESTIMATIVA[[#This Row],[QT_AREA_EST]]))</f>
        <v>0.68</v>
      </c>
      <c r="Z171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0.68</v>
      </c>
      <c r="AA1719" s="1">
        <f>ESTIMATIVA[[#This Row],[QT_CANA_EST]]</f>
        <v>63.92</v>
      </c>
      <c r="AB1719" s="1">
        <f>IF(ESTIMATIVA[[#This Row],[QT_CANA_REST1]]&gt;0,ESTIMATIVA[[#This Row],[QT_CANA_REST1]],
  IF(ESTIMATIVA[[#This Row],[QT_CANA_REAL]]&gt;0,ESTIMATIVA[[#This Row],[QT_CANA_REAL]],ESTIMATIVA[[#This Row],[QT_CANA_EST]]))</f>
        <v>66.23</v>
      </c>
      <c r="AC171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66.23</v>
      </c>
      <c r="AD1719" s="1">
        <f>IF(ESTIMATIVA[[#This Row],[QT_AREA_REAL]]&gt;0,ESTIMATIVA[[#This Row],[QT_CANA_REAL]],ESTIMATIVA[[#This Row],[QT_CANA_EST]])</f>
        <v>66.23</v>
      </c>
      <c r="AE1719" s="1">
        <f>IF(ESTIMATIVA[[#This Row],[QT_AREA_REAL]]&gt;0,ESTIMATIVA[[#This Row],[QT_CANA_REAL]],ESTIMATIVA[[#This Row],[QT_CANA_REST1]])</f>
        <v>66.23</v>
      </c>
      <c r="AF1719" s="1">
        <f>IF(ESTIMATIVA[[#This Row],[QT_AREA_REAL]]&gt;0,ESTIMATIVA[[#This Row],[QT_CANA_REAL]],ESTIMATIVA[[#This Row],[QT_CANA_REST2]])</f>
        <v>66.23</v>
      </c>
      <c r="AG1719" s="1" t="str">
        <f>IF(COUNTIFS(GEADA!A:A,VALUE(ESTIMATIVA[[#This Row],[CD_UPNIVEL1]]&amp;TEXT(ESTIMATIVA[[#This Row],[CD_UPNIVEL3]],"0000")))&gt;0,"S","N")</f>
        <v>N</v>
      </c>
      <c r="AH171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19" s="55" t="str">
        <f>IF(ESTIMATIVA[[#This Row],[TP_CULTIVO]]="Irrigado",_xlfn.MAXIFS(IRRIGADO!J:J,IRRIGADO!C:C,ESTIMATIVA[[#This Row],[CD_UPNIVEL1]],IRRIGADO!E:E,ESTIMATIVA[[#This Row],[CD_UPNIVEL3]]),"")</f>
        <v/>
      </c>
      <c r="AJ171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19" s="1">
        <f>COUNTIFS(Apresentação!$E$23:$E$29,ESTIMATIVA[[#This Row],[CD_UPNIVEL1]])</f>
        <v>0</v>
      </c>
    </row>
    <row r="1720" spans="1:37" x14ac:dyDescent="0.3">
      <c r="A1720">
        <v>20621</v>
      </c>
      <c r="B1720" t="s">
        <v>94</v>
      </c>
      <c r="C1720">
        <v>2</v>
      </c>
      <c r="D1720">
        <v>2</v>
      </c>
      <c r="E1720" t="s">
        <v>266</v>
      </c>
      <c r="F1720" s="85" t="s">
        <v>332</v>
      </c>
      <c r="G1720"/>
      <c r="H1720" t="s">
        <v>294</v>
      </c>
      <c r="I1720" t="s">
        <v>204</v>
      </c>
      <c r="J1720" t="s">
        <v>176</v>
      </c>
      <c r="K1720" s="1">
        <v>20.18</v>
      </c>
      <c r="L1720" s="1">
        <v>0</v>
      </c>
      <c r="M1720" s="1">
        <v>0</v>
      </c>
      <c r="N1720" s="1">
        <v>20.18</v>
      </c>
      <c r="O1720" s="1">
        <v>1896.92</v>
      </c>
      <c r="P1720" s="1">
        <v>0</v>
      </c>
      <c r="Q1720" s="1">
        <v>0</v>
      </c>
      <c r="R1720" s="1">
        <v>1967.23</v>
      </c>
      <c r="S1720" t="s">
        <v>12</v>
      </c>
      <c r="T1720" s="13">
        <v>45795</v>
      </c>
      <c r="U1720" s="1" t="str">
        <f>IF(ESTIMATIVA[[#This Row],[QT_AREA_REAL]]&gt;0,"1- Colhido","2- à Colher")</f>
        <v>1- Colhido</v>
      </c>
      <c r="V1720" s="1" t="str">
        <f>IF(ESTIMATIVA[[#This Row],[QT_AREA_REST1]]&gt;0,"Reestimativa 1",IF(ESTIMATIVA[[#This Row],[QT_AREA_REAL]]=0,"Reestimativa 1","Realizado"))</f>
        <v>Realizado</v>
      </c>
      <c r="W1720" s="1" t="str">
        <f>IF(ESTIMATIVA[[#This Row],[QT_AREA_REST2]]&gt;0,"Reestimativa 2",IF(ESTIMATIVA[[#This Row],[QT_AREA_REAL]]=0,"Reestimativa 2","Realizado"))</f>
        <v>Realizado</v>
      </c>
      <c r="X1720" s="1">
        <f>ESTIMATIVA[[#This Row],[QT_AREA_EST]]</f>
        <v>20.18</v>
      </c>
      <c r="Y1720" s="1">
        <f>IF(ESTIMATIVA[[#This Row],[QT_AREA_REST1]]&gt;0,ESTIMATIVA[[#This Row],[QT_AREA_REST1]],
  IF(ESTIMATIVA[[#This Row],[QT_AREA_REAL]]&gt;0,ESTIMATIVA[[#This Row],[QT_AREA_REAL]],ESTIMATIVA[[#This Row],[QT_AREA_EST]]))</f>
        <v>20.18</v>
      </c>
      <c r="Z172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20.18</v>
      </c>
      <c r="AA1720" s="1">
        <f>ESTIMATIVA[[#This Row],[QT_CANA_EST]]</f>
        <v>1896.92</v>
      </c>
      <c r="AB1720" s="1">
        <f>IF(ESTIMATIVA[[#This Row],[QT_CANA_REST1]]&gt;0,ESTIMATIVA[[#This Row],[QT_CANA_REST1]],
  IF(ESTIMATIVA[[#This Row],[QT_CANA_REAL]]&gt;0,ESTIMATIVA[[#This Row],[QT_CANA_REAL]],ESTIMATIVA[[#This Row],[QT_CANA_EST]]))</f>
        <v>1967.23</v>
      </c>
      <c r="AC172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1967.23</v>
      </c>
      <c r="AD1720" s="1">
        <f>IF(ESTIMATIVA[[#This Row],[QT_AREA_REAL]]&gt;0,ESTIMATIVA[[#This Row],[QT_CANA_REAL]],ESTIMATIVA[[#This Row],[QT_CANA_EST]])</f>
        <v>1967.23</v>
      </c>
      <c r="AE1720" s="1">
        <f>IF(ESTIMATIVA[[#This Row],[QT_AREA_REAL]]&gt;0,ESTIMATIVA[[#This Row],[QT_CANA_REAL]],ESTIMATIVA[[#This Row],[QT_CANA_REST1]])</f>
        <v>1967.23</v>
      </c>
      <c r="AF1720" s="1">
        <f>IF(ESTIMATIVA[[#This Row],[QT_AREA_REAL]]&gt;0,ESTIMATIVA[[#This Row],[QT_CANA_REAL]],ESTIMATIVA[[#This Row],[QT_CANA_REST2]])</f>
        <v>1967.23</v>
      </c>
      <c r="AG1720" s="1" t="str">
        <f>IF(COUNTIFS(GEADA!A:A,VALUE(ESTIMATIVA[[#This Row],[CD_UPNIVEL1]]&amp;TEXT(ESTIMATIVA[[#This Row],[CD_UPNIVEL3]],"0000")))&gt;0,"S","N")</f>
        <v>N</v>
      </c>
      <c r="AH172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20" s="55" t="str">
        <f>IF(ESTIMATIVA[[#This Row],[TP_CULTIVO]]="Irrigado",_xlfn.MAXIFS(IRRIGADO!J:J,IRRIGADO!C:C,ESTIMATIVA[[#This Row],[CD_UPNIVEL1]],IRRIGADO!E:E,ESTIMATIVA[[#This Row],[CD_UPNIVEL3]]),"")</f>
        <v/>
      </c>
      <c r="AJ172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20" s="1">
        <f>COUNTIFS(Apresentação!$E$23:$E$29,ESTIMATIVA[[#This Row],[CD_UPNIVEL1]])</f>
        <v>0</v>
      </c>
    </row>
    <row r="1721" spans="1:37" x14ac:dyDescent="0.3">
      <c r="A1721">
        <v>20621</v>
      </c>
      <c r="B1721" t="s">
        <v>94</v>
      </c>
      <c r="C1721">
        <v>3</v>
      </c>
      <c r="D1721">
        <v>2</v>
      </c>
      <c r="E1721" t="s">
        <v>266</v>
      </c>
      <c r="F1721" s="85" t="s">
        <v>332</v>
      </c>
      <c r="G1721"/>
      <c r="H1721" t="s">
        <v>294</v>
      </c>
      <c r="I1721" t="s">
        <v>204</v>
      </c>
      <c r="J1721" t="s">
        <v>176</v>
      </c>
      <c r="K1721" s="1">
        <v>29.41</v>
      </c>
      <c r="L1721" s="1">
        <v>0</v>
      </c>
      <c r="M1721" s="1">
        <v>0</v>
      </c>
      <c r="N1721" s="1">
        <v>29.41</v>
      </c>
      <c r="O1721" s="1">
        <v>2764.54</v>
      </c>
      <c r="P1721" s="1">
        <v>0</v>
      </c>
      <c r="Q1721" s="1">
        <v>0</v>
      </c>
      <c r="R1721" s="1">
        <v>2867.44</v>
      </c>
      <c r="S1721" t="s">
        <v>12</v>
      </c>
      <c r="T1721" s="13">
        <v>45795</v>
      </c>
      <c r="U1721" s="1" t="str">
        <f>IF(ESTIMATIVA[[#This Row],[QT_AREA_REAL]]&gt;0,"1- Colhido","2- à Colher")</f>
        <v>1- Colhido</v>
      </c>
      <c r="V1721" s="1" t="str">
        <f>IF(ESTIMATIVA[[#This Row],[QT_AREA_REST1]]&gt;0,"Reestimativa 1",IF(ESTIMATIVA[[#This Row],[QT_AREA_REAL]]=0,"Reestimativa 1","Realizado"))</f>
        <v>Realizado</v>
      </c>
      <c r="W1721" s="1" t="str">
        <f>IF(ESTIMATIVA[[#This Row],[QT_AREA_REST2]]&gt;0,"Reestimativa 2",IF(ESTIMATIVA[[#This Row],[QT_AREA_REAL]]=0,"Reestimativa 2","Realizado"))</f>
        <v>Realizado</v>
      </c>
      <c r="X1721" s="1">
        <f>ESTIMATIVA[[#This Row],[QT_AREA_EST]]</f>
        <v>29.41</v>
      </c>
      <c r="Y1721" s="1">
        <f>IF(ESTIMATIVA[[#This Row],[QT_AREA_REST1]]&gt;0,ESTIMATIVA[[#This Row],[QT_AREA_REST1]],
  IF(ESTIMATIVA[[#This Row],[QT_AREA_REAL]]&gt;0,ESTIMATIVA[[#This Row],[QT_AREA_REAL]],ESTIMATIVA[[#This Row],[QT_AREA_EST]]))</f>
        <v>29.41</v>
      </c>
      <c r="Z172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29.41</v>
      </c>
      <c r="AA1721" s="1">
        <f>ESTIMATIVA[[#This Row],[QT_CANA_EST]]</f>
        <v>2764.54</v>
      </c>
      <c r="AB1721" s="1">
        <f>IF(ESTIMATIVA[[#This Row],[QT_CANA_REST1]]&gt;0,ESTIMATIVA[[#This Row],[QT_CANA_REST1]],
  IF(ESTIMATIVA[[#This Row],[QT_CANA_REAL]]&gt;0,ESTIMATIVA[[#This Row],[QT_CANA_REAL]],ESTIMATIVA[[#This Row],[QT_CANA_EST]]))</f>
        <v>2867.44</v>
      </c>
      <c r="AC172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2867.44</v>
      </c>
      <c r="AD1721" s="1">
        <f>IF(ESTIMATIVA[[#This Row],[QT_AREA_REAL]]&gt;0,ESTIMATIVA[[#This Row],[QT_CANA_REAL]],ESTIMATIVA[[#This Row],[QT_CANA_EST]])</f>
        <v>2867.44</v>
      </c>
      <c r="AE1721" s="1">
        <f>IF(ESTIMATIVA[[#This Row],[QT_AREA_REAL]]&gt;0,ESTIMATIVA[[#This Row],[QT_CANA_REAL]],ESTIMATIVA[[#This Row],[QT_CANA_REST1]])</f>
        <v>2867.44</v>
      </c>
      <c r="AF1721" s="1">
        <f>IF(ESTIMATIVA[[#This Row],[QT_AREA_REAL]]&gt;0,ESTIMATIVA[[#This Row],[QT_CANA_REAL]],ESTIMATIVA[[#This Row],[QT_CANA_REST2]])</f>
        <v>2867.44</v>
      </c>
      <c r="AG1721" s="1" t="str">
        <f>IF(COUNTIFS(GEADA!A:A,VALUE(ESTIMATIVA[[#This Row],[CD_UPNIVEL1]]&amp;TEXT(ESTIMATIVA[[#This Row],[CD_UPNIVEL3]],"0000")))&gt;0,"S","N")</f>
        <v>N</v>
      </c>
      <c r="AH172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21" s="55" t="str">
        <f>IF(ESTIMATIVA[[#This Row],[TP_CULTIVO]]="Irrigado",_xlfn.MAXIFS(IRRIGADO!J:J,IRRIGADO!C:C,ESTIMATIVA[[#This Row],[CD_UPNIVEL1]],IRRIGADO!E:E,ESTIMATIVA[[#This Row],[CD_UPNIVEL3]]),"")</f>
        <v/>
      </c>
      <c r="AJ172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21" s="1">
        <f>COUNTIFS(Apresentação!$E$23:$E$29,ESTIMATIVA[[#This Row],[CD_UPNIVEL1]])</f>
        <v>0</v>
      </c>
    </row>
    <row r="1722" spans="1:37" x14ac:dyDescent="0.3">
      <c r="A1722">
        <v>20621</v>
      </c>
      <c r="B1722" t="s">
        <v>94</v>
      </c>
      <c r="C1722">
        <v>4</v>
      </c>
      <c r="D1722">
        <v>2</v>
      </c>
      <c r="E1722" t="s">
        <v>266</v>
      </c>
      <c r="F1722" s="85" t="s">
        <v>332</v>
      </c>
      <c r="G1722"/>
      <c r="H1722" t="s">
        <v>294</v>
      </c>
      <c r="I1722" t="s">
        <v>204</v>
      </c>
      <c r="J1722" t="s">
        <v>176</v>
      </c>
      <c r="K1722" s="1">
        <v>36.200000000000003</v>
      </c>
      <c r="L1722" s="1">
        <v>0</v>
      </c>
      <c r="M1722" s="1">
        <v>0</v>
      </c>
      <c r="N1722" s="1">
        <v>36.200000000000003</v>
      </c>
      <c r="O1722" s="1">
        <v>3402.8</v>
      </c>
      <c r="P1722" s="1">
        <v>0</v>
      </c>
      <c r="Q1722" s="1">
        <v>0</v>
      </c>
      <c r="R1722" s="1">
        <v>3529.64</v>
      </c>
      <c r="S1722" t="s">
        <v>12</v>
      </c>
      <c r="T1722" s="13">
        <v>45795</v>
      </c>
      <c r="U1722" s="1" t="str">
        <f>IF(ESTIMATIVA[[#This Row],[QT_AREA_REAL]]&gt;0,"1- Colhido","2- à Colher")</f>
        <v>1- Colhido</v>
      </c>
      <c r="V1722" s="1" t="str">
        <f>IF(ESTIMATIVA[[#This Row],[QT_AREA_REST1]]&gt;0,"Reestimativa 1",IF(ESTIMATIVA[[#This Row],[QT_AREA_REAL]]=0,"Reestimativa 1","Realizado"))</f>
        <v>Realizado</v>
      </c>
      <c r="W1722" s="1" t="str">
        <f>IF(ESTIMATIVA[[#This Row],[QT_AREA_REST2]]&gt;0,"Reestimativa 2",IF(ESTIMATIVA[[#This Row],[QT_AREA_REAL]]=0,"Reestimativa 2","Realizado"))</f>
        <v>Realizado</v>
      </c>
      <c r="X1722" s="1">
        <f>ESTIMATIVA[[#This Row],[QT_AREA_EST]]</f>
        <v>36.200000000000003</v>
      </c>
      <c r="Y1722" s="1">
        <f>IF(ESTIMATIVA[[#This Row],[QT_AREA_REST1]]&gt;0,ESTIMATIVA[[#This Row],[QT_AREA_REST1]],
  IF(ESTIMATIVA[[#This Row],[QT_AREA_REAL]]&gt;0,ESTIMATIVA[[#This Row],[QT_AREA_REAL]],ESTIMATIVA[[#This Row],[QT_AREA_EST]]))</f>
        <v>36.200000000000003</v>
      </c>
      <c r="Z172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36.200000000000003</v>
      </c>
      <c r="AA1722" s="1">
        <f>ESTIMATIVA[[#This Row],[QT_CANA_EST]]</f>
        <v>3402.8</v>
      </c>
      <c r="AB1722" s="1">
        <f>IF(ESTIMATIVA[[#This Row],[QT_CANA_REST1]]&gt;0,ESTIMATIVA[[#This Row],[QT_CANA_REST1]],
  IF(ESTIMATIVA[[#This Row],[QT_CANA_REAL]]&gt;0,ESTIMATIVA[[#This Row],[QT_CANA_REAL]],ESTIMATIVA[[#This Row],[QT_CANA_EST]]))</f>
        <v>3529.64</v>
      </c>
      <c r="AC172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3529.64</v>
      </c>
      <c r="AD1722" s="1">
        <f>IF(ESTIMATIVA[[#This Row],[QT_AREA_REAL]]&gt;0,ESTIMATIVA[[#This Row],[QT_CANA_REAL]],ESTIMATIVA[[#This Row],[QT_CANA_EST]])</f>
        <v>3529.64</v>
      </c>
      <c r="AE1722" s="1">
        <f>IF(ESTIMATIVA[[#This Row],[QT_AREA_REAL]]&gt;0,ESTIMATIVA[[#This Row],[QT_CANA_REAL]],ESTIMATIVA[[#This Row],[QT_CANA_REST1]])</f>
        <v>3529.64</v>
      </c>
      <c r="AF1722" s="1">
        <f>IF(ESTIMATIVA[[#This Row],[QT_AREA_REAL]]&gt;0,ESTIMATIVA[[#This Row],[QT_CANA_REAL]],ESTIMATIVA[[#This Row],[QT_CANA_REST2]])</f>
        <v>3529.64</v>
      </c>
      <c r="AG1722" s="1" t="str">
        <f>IF(COUNTIFS(GEADA!A:A,VALUE(ESTIMATIVA[[#This Row],[CD_UPNIVEL1]]&amp;TEXT(ESTIMATIVA[[#This Row],[CD_UPNIVEL3]],"0000")))&gt;0,"S","N")</f>
        <v>N</v>
      </c>
      <c r="AH172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22" s="55" t="str">
        <f>IF(ESTIMATIVA[[#This Row],[TP_CULTIVO]]="Irrigado",_xlfn.MAXIFS(IRRIGADO!J:J,IRRIGADO!C:C,ESTIMATIVA[[#This Row],[CD_UPNIVEL1]],IRRIGADO!E:E,ESTIMATIVA[[#This Row],[CD_UPNIVEL3]]),"")</f>
        <v/>
      </c>
      <c r="AJ172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22" s="1">
        <f>COUNTIFS(Apresentação!$E$23:$E$29,ESTIMATIVA[[#This Row],[CD_UPNIVEL1]])</f>
        <v>0</v>
      </c>
    </row>
    <row r="1723" spans="1:37" x14ac:dyDescent="0.3">
      <c r="A1723">
        <v>20626</v>
      </c>
      <c r="B1723" t="s">
        <v>22</v>
      </c>
      <c r="C1723">
        <v>1</v>
      </c>
      <c r="D1723">
        <v>3</v>
      </c>
      <c r="E1723" t="s">
        <v>263</v>
      </c>
      <c r="F1723" s="85" t="s">
        <v>332</v>
      </c>
      <c r="G1723"/>
      <c r="H1723" t="s">
        <v>294</v>
      </c>
      <c r="I1723" t="s">
        <v>214</v>
      </c>
      <c r="J1723" t="s">
        <v>175</v>
      </c>
      <c r="K1723" s="1">
        <v>5</v>
      </c>
      <c r="L1723" s="1">
        <v>5</v>
      </c>
      <c r="M1723" s="1">
        <v>5</v>
      </c>
      <c r="N1723" s="1">
        <v>5</v>
      </c>
      <c r="O1723" s="1">
        <v>450</v>
      </c>
      <c r="P1723" s="1">
        <v>450</v>
      </c>
      <c r="Q1723" s="1">
        <v>450</v>
      </c>
      <c r="R1723" s="1">
        <v>310.38</v>
      </c>
      <c r="S1723" t="s">
        <v>12</v>
      </c>
      <c r="T1723" s="13">
        <v>45893</v>
      </c>
      <c r="U1723" s="1" t="str">
        <f>IF(ESTIMATIVA[[#This Row],[QT_AREA_REAL]]&gt;0,"1- Colhido","2- à Colher")</f>
        <v>1- Colhido</v>
      </c>
      <c r="V1723" s="1" t="str">
        <f>IF(ESTIMATIVA[[#This Row],[QT_AREA_REST1]]&gt;0,"Reestimativa 1",IF(ESTIMATIVA[[#This Row],[QT_AREA_REAL]]=0,"Reestimativa 1","Realizado"))</f>
        <v>Reestimativa 1</v>
      </c>
      <c r="W1723" s="1" t="str">
        <f>IF(ESTIMATIVA[[#This Row],[QT_AREA_REST2]]&gt;0,"Reestimativa 2",IF(ESTIMATIVA[[#This Row],[QT_AREA_REAL]]=0,"Reestimativa 2","Realizado"))</f>
        <v>Reestimativa 2</v>
      </c>
      <c r="X1723" s="1">
        <f>ESTIMATIVA[[#This Row],[QT_AREA_EST]]</f>
        <v>5</v>
      </c>
      <c r="Y1723" s="1">
        <f>IF(ESTIMATIVA[[#This Row],[QT_AREA_REST1]]&gt;0,ESTIMATIVA[[#This Row],[QT_AREA_REST1]],
  IF(ESTIMATIVA[[#This Row],[QT_AREA_REAL]]&gt;0,ESTIMATIVA[[#This Row],[QT_AREA_REAL]],ESTIMATIVA[[#This Row],[QT_AREA_EST]]))</f>
        <v>5</v>
      </c>
      <c r="Z172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</v>
      </c>
      <c r="AA1723" s="1">
        <f>ESTIMATIVA[[#This Row],[QT_CANA_EST]]</f>
        <v>450</v>
      </c>
      <c r="AB1723" s="1">
        <f>IF(ESTIMATIVA[[#This Row],[QT_CANA_REST1]]&gt;0,ESTIMATIVA[[#This Row],[QT_CANA_REST1]],
  IF(ESTIMATIVA[[#This Row],[QT_CANA_REAL]]&gt;0,ESTIMATIVA[[#This Row],[QT_CANA_REAL]],ESTIMATIVA[[#This Row],[QT_CANA_EST]]))</f>
        <v>450</v>
      </c>
      <c r="AC172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450</v>
      </c>
      <c r="AD1723" s="1">
        <f>IF(ESTIMATIVA[[#This Row],[QT_AREA_REAL]]&gt;0,ESTIMATIVA[[#This Row],[QT_CANA_REAL]],ESTIMATIVA[[#This Row],[QT_CANA_EST]])</f>
        <v>310.38</v>
      </c>
      <c r="AE1723" s="1">
        <f>IF(ESTIMATIVA[[#This Row],[QT_AREA_REAL]]&gt;0,ESTIMATIVA[[#This Row],[QT_CANA_REAL]],ESTIMATIVA[[#This Row],[QT_CANA_REST1]])</f>
        <v>310.38</v>
      </c>
      <c r="AF1723" s="1">
        <f>IF(ESTIMATIVA[[#This Row],[QT_AREA_REAL]]&gt;0,ESTIMATIVA[[#This Row],[QT_CANA_REAL]],ESTIMATIVA[[#This Row],[QT_CANA_REST2]])</f>
        <v>310.38</v>
      </c>
      <c r="AG1723" s="1" t="str">
        <f>IF(COUNTIFS(GEADA!A:A,VALUE(ESTIMATIVA[[#This Row],[CD_UPNIVEL1]]&amp;TEXT(ESTIMATIVA[[#This Row],[CD_UPNIVEL3]],"0000")))&gt;0,"S","N")</f>
        <v>N</v>
      </c>
      <c r="AH172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23" s="55" t="str">
        <f>IF(ESTIMATIVA[[#This Row],[TP_CULTIVO]]="Irrigado",_xlfn.MAXIFS(IRRIGADO!J:J,IRRIGADO!C:C,ESTIMATIVA[[#This Row],[CD_UPNIVEL1]],IRRIGADO!E:E,ESTIMATIVA[[#This Row],[CD_UPNIVEL3]]),"")</f>
        <v/>
      </c>
      <c r="AJ172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23" s="1">
        <f>COUNTIFS(Apresentação!$E$23:$E$29,ESTIMATIVA[[#This Row],[CD_UPNIVEL1]])</f>
        <v>0</v>
      </c>
    </row>
    <row r="1724" spans="1:37" x14ac:dyDescent="0.3">
      <c r="A1724">
        <v>20626</v>
      </c>
      <c r="B1724" t="s">
        <v>22</v>
      </c>
      <c r="C1724">
        <v>5</v>
      </c>
      <c r="D1724">
        <v>2</v>
      </c>
      <c r="E1724" t="s">
        <v>266</v>
      </c>
      <c r="F1724" s="85" t="s">
        <v>332</v>
      </c>
      <c r="G1724"/>
      <c r="H1724" t="s">
        <v>294</v>
      </c>
      <c r="I1724" t="s">
        <v>208</v>
      </c>
      <c r="J1724" t="s">
        <v>175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/>
      <c r="S1724" t="s">
        <v>12</v>
      </c>
      <c r="T1724" s="13">
        <v>45809</v>
      </c>
      <c r="U1724" s="1" t="str">
        <f>IF(ESTIMATIVA[[#This Row],[QT_AREA_REAL]]&gt;0,"1- Colhido","2- à Colher")</f>
        <v>2- à Colher</v>
      </c>
      <c r="V1724" s="1" t="str">
        <f>IF(ESTIMATIVA[[#This Row],[QT_AREA_REST1]]&gt;0,"Reestimativa 1",IF(ESTIMATIVA[[#This Row],[QT_AREA_REAL]]=0,"Reestimativa 1","Realizado"))</f>
        <v>Reestimativa 1</v>
      </c>
      <c r="W1724" s="1" t="str">
        <f>IF(ESTIMATIVA[[#This Row],[QT_AREA_REST2]]&gt;0,"Reestimativa 2",IF(ESTIMATIVA[[#This Row],[QT_AREA_REAL]]=0,"Reestimativa 2","Realizado"))</f>
        <v>Reestimativa 2</v>
      </c>
      <c r="X1724" s="1">
        <f>ESTIMATIVA[[#This Row],[QT_AREA_EST]]</f>
        <v>0</v>
      </c>
      <c r="Y1724" s="1">
        <f>IF(ESTIMATIVA[[#This Row],[QT_AREA_REST1]]&gt;0,ESTIMATIVA[[#This Row],[QT_AREA_REST1]],
  IF(ESTIMATIVA[[#This Row],[QT_AREA_REAL]]&gt;0,ESTIMATIVA[[#This Row],[QT_AREA_REAL]],ESTIMATIVA[[#This Row],[QT_AREA_EST]]))</f>
        <v>0</v>
      </c>
      <c r="Z172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</v>
      </c>
      <c r="AA1724" s="1">
        <f>ESTIMATIVA[[#This Row],[QT_CANA_EST]]</f>
        <v>0</v>
      </c>
      <c r="AB1724" s="1">
        <f>IF(ESTIMATIVA[[#This Row],[QT_CANA_REST1]]&gt;0,ESTIMATIVA[[#This Row],[QT_CANA_REST1]],
  IF(ESTIMATIVA[[#This Row],[QT_CANA_REAL]]&gt;0,ESTIMATIVA[[#This Row],[QT_CANA_REAL]],ESTIMATIVA[[#This Row],[QT_CANA_EST]]))</f>
        <v>0</v>
      </c>
      <c r="AC172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0</v>
      </c>
      <c r="AD1724" s="1">
        <f>IF(ESTIMATIVA[[#This Row],[QT_AREA_REAL]]&gt;0,ESTIMATIVA[[#This Row],[QT_CANA_REAL]],ESTIMATIVA[[#This Row],[QT_CANA_EST]])</f>
        <v>0</v>
      </c>
      <c r="AE1724" s="1">
        <f>IF(ESTIMATIVA[[#This Row],[QT_AREA_REAL]]&gt;0,ESTIMATIVA[[#This Row],[QT_CANA_REAL]],ESTIMATIVA[[#This Row],[QT_CANA_REST1]])</f>
        <v>0</v>
      </c>
      <c r="AF1724" s="1">
        <f>IF(ESTIMATIVA[[#This Row],[QT_AREA_REAL]]&gt;0,ESTIMATIVA[[#This Row],[QT_CANA_REAL]],ESTIMATIVA[[#This Row],[QT_CANA_REST2]])</f>
        <v>0</v>
      </c>
      <c r="AG1724" s="1" t="str">
        <f>IF(COUNTIFS(GEADA!A:A,VALUE(ESTIMATIVA[[#This Row],[CD_UPNIVEL1]]&amp;TEXT(ESTIMATIVA[[#This Row],[CD_UPNIVEL3]],"0000")))&gt;0,"S","N")</f>
        <v>N</v>
      </c>
      <c r="AH172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24" s="55" t="str">
        <f>IF(ESTIMATIVA[[#This Row],[TP_CULTIVO]]="Irrigado",_xlfn.MAXIFS(IRRIGADO!J:J,IRRIGADO!C:C,ESTIMATIVA[[#This Row],[CD_UPNIVEL1]],IRRIGADO!E:E,ESTIMATIVA[[#This Row],[CD_UPNIVEL3]]),"")</f>
        <v/>
      </c>
      <c r="AJ172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24" s="1">
        <f>COUNTIFS(Apresentação!$E$23:$E$29,ESTIMATIVA[[#This Row],[CD_UPNIVEL1]])</f>
        <v>0</v>
      </c>
    </row>
    <row r="1725" spans="1:37" x14ac:dyDescent="0.3">
      <c r="A1725">
        <v>20626</v>
      </c>
      <c r="B1725" t="s">
        <v>22</v>
      </c>
      <c r="C1725">
        <v>6</v>
      </c>
      <c r="D1725">
        <v>2</v>
      </c>
      <c r="E1725" t="s">
        <v>266</v>
      </c>
      <c r="F1725" s="85" t="s">
        <v>332</v>
      </c>
      <c r="G1725"/>
      <c r="H1725" t="s">
        <v>294</v>
      </c>
      <c r="I1725" t="s">
        <v>208</v>
      </c>
      <c r="J1725" t="s">
        <v>175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/>
      <c r="S1725" t="s">
        <v>12</v>
      </c>
      <c r="T1725" s="13">
        <v>45809</v>
      </c>
      <c r="U1725" s="1" t="str">
        <f>IF(ESTIMATIVA[[#This Row],[QT_AREA_REAL]]&gt;0,"1- Colhido","2- à Colher")</f>
        <v>2- à Colher</v>
      </c>
      <c r="V1725" s="1" t="str">
        <f>IF(ESTIMATIVA[[#This Row],[QT_AREA_REST1]]&gt;0,"Reestimativa 1",IF(ESTIMATIVA[[#This Row],[QT_AREA_REAL]]=0,"Reestimativa 1","Realizado"))</f>
        <v>Reestimativa 1</v>
      </c>
      <c r="W1725" s="1" t="str">
        <f>IF(ESTIMATIVA[[#This Row],[QT_AREA_REST2]]&gt;0,"Reestimativa 2",IF(ESTIMATIVA[[#This Row],[QT_AREA_REAL]]=0,"Reestimativa 2","Realizado"))</f>
        <v>Reestimativa 2</v>
      </c>
      <c r="X1725" s="1">
        <f>ESTIMATIVA[[#This Row],[QT_AREA_EST]]</f>
        <v>0</v>
      </c>
      <c r="Y1725" s="1">
        <f>IF(ESTIMATIVA[[#This Row],[QT_AREA_REST1]]&gt;0,ESTIMATIVA[[#This Row],[QT_AREA_REST1]],
  IF(ESTIMATIVA[[#This Row],[QT_AREA_REAL]]&gt;0,ESTIMATIVA[[#This Row],[QT_AREA_REAL]],ESTIMATIVA[[#This Row],[QT_AREA_EST]]))</f>
        <v>0</v>
      </c>
      <c r="Z172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</v>
      </c>
      <c r="AA1725" s="1">
        <f>ESTIMATIVA[[#This Row],[QT_CANA_EST]]</f>
        <v>0</v>
      </c>
      <c r="AB1725" s="1">
        <f>IF(ESTIMATIVA[[#This Row],[QT_CANA_REST1]]&gt;0,ESTIMATIVA[[#This Row],[QT_CANA_REST1]],
  IF(ESTIMATIVA[[#This Row],[QT_CANA_REAL]]&gt;0,ESTIMATIVA[[#This Row],[QT_CANA_REAL]],ESTIMATIVA[[#This Row],[QT_CANA_EST]]))</f>
        <v>0</v>
      </c>
      <c r="AC172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0</v>
      </c>
      <c r="AD1725" s="1">
        <f>IF(ESTIMATIVA[[#This Row],[QT_AREA_REAL]]&gt;0,ESTIMATIVA[[#This Row],[QT_CANA_REAL]],ESTIMATIVA[[#This Row],[QT_CANA_EST]])</f>
        <v>0</v>
      </c>
      <c r="AE1725" s="1">
        <f>IF(ESTIMATIVA[[#This Row],[QT_AREA_REAL]]&gt;0,ESTIMATIVA[[#This Row],[QT_CANA_REAL]],ESTIMATIVA[[#This Row],[QT_CANA_REST1]])</f>
        <v>0</v>
      </c>
      <c r="AF1725" s="1">
        <f>IF(ESTIMATIVA[[#This Row],[QT_AREA_REAL]]&gt;0,ESTIMATIVA[[#This Row],[QT_CANA_REAL]],ESTIMATIVA[[#This Row],[QT_CANA_REST2]])</f>
        <v>0</v>
      </c>
      <c r="AG1725" s="1" t="str">
        <f>IF(COUNTIFS(GEADA!A:A,VALUE(ESTIMATIVA[[#This Row],[CD_UPNIVEL1]]&amp;TEXT(ESTIMATIVA[[#This Row],[CD_UPNIVEL3]],"0000")))&gt;0,"S","N")</f>
        <v>N</v>
      </c>
      <c r="AH172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25" s="55" t="str">
        <f>IF(ESTIMATIVA[[#This Row],[TP_CULTIVO]]="Irrigado",_xlfn.MAXIFS(IRRIGADO!J:J,IRRIGADO!C:C,ESTIMATIVA[[#This Row],[CD_UPNIVEL1]],IRRIGADO!E:E,ESTIMATIVA[[#This Row],[CD_UPNIVEL3]]),"")</f>
        <v/>
      </c>
      <c r="AJ172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25" s="1">
        <f>COUNTIFS(Apresentação!$E$23:$E$29,ESTIMATIVA[[#This Row],[CD_UPNIVEL1]])</f>
        <v>0</v>
      </c>
    </row>
    <row r="1726" spans="1:37" x14ac:dyDescent="0.3">
      <c r="A1726">
        <v>20626</v>
      </c>
      <c r="B1726" t="s">
        <v>22</v>
      </c>
      <c r="C1726">
        <v>7</v>
      </c>
      <c r="D1726">
        <v>2</v>
      </c>
      <c r="E1726" t="s">
        <v>266</v>
      </c>
      <c r="F1726" s="85" t="s">
        <v>332</v>
      </c>
      <c r="G1726"/>
      <c r="H1726" t="s">
        <v>294</v>
      </c>
      <c r="I1726" t="s">
        <v>220</v>
      </c>
      <c r="J1726" t="s">
        <v>175</v>
      </c>
      <c r="K1726" s="1">
        <v>2.2799999999999998</v>
      </c>
      <c r="L1726" s="1">
        <v>0</v>
      </c>
      <c r="M1726" s="1">
        <v>0</v>
      </c>
      <c r="N1726" s="1">
        <v>2.2799999999999998</v>
      </c>
      <c r="O1726" s="1">
        <v>205.2</v>
      </c>
      <c r="P1726" s="1">
        <v>0</v>
      </c>
      <c r="Q1726" s="1">
        <v>0</v>
      </c>
      <c r="R1726" s="1">
        <v>217.37</v>
      </c>
      <c r="S1726" t="s">
        <v>12</v>
      </c>
      <c r="T1726" s="13">
        <v>45844</v>
      </c>
      <c r="U1726" s="1" t="str">
        <f>IF(ESTIMATIVA[[#This Row],[QT_AREA_REAL]]&gt;0,"1- Colhido","2- à Colher")</f>
        <v>1- Colhido</v>
      </c>
      <c r="V1726" s="1" t="str">
        <f>IF(ESTIMATIVA[[#This Row],[QT_AREA_REST1]]&gt;0,"Reestimativa 1",IF(ESTIMATIVA[[#This Row],[QT_AREA_REAL]]=0,"Reestimativa 1","Realizado"))</f>
        <v>Realizado</v>
      </c>
      <c r="W1726" s="1" t="str">
        <f>IF(ESTIMATIVA[[#This Row],[QT_AREA_REST2]]&gt;0,"Reestimativa 2",IF(ESTIMATIVA[[#This Row],[QT_AREA_REAL]]=0,"Reestimativa 2","Realizado"))</f>
        <v>Realizado</v>
      </c>
      <c r="X1726" s="1">
        <f>ESTIMATIVA[[#This Row],[QT_AREA_EST]]</f>
        <v>2.2799999999999998</v>
      </c>
      <c r="Y1726" s="1">
        <f>IF(ESTIMATIVA[[#This Row],[QT_AREA_REST1]]&gt;0,ESTIMATIVA[[#This Row],[QT_AREA_REST1]],
  IF(ESTIMATIVA[[#This Row],[QT_AREA_REAL]]&gt;0,ESTIMATIVA[[#This Row],[QT_AREA_REAL]],ESTIMATIVA[[#This Row],[QT_AREA_EST]]))</f>
        <v>2.2799999999999998</v>
      </c>
      <c r="Z172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2.2799999999999998</v>
      </c>
      <c r="AA1726" s="1">
        <f>ESTIMATIVA[[#This Row],[QT_CANA_EST]]</f>
        <v>205.2</v>
      </c>
      <c r="AB1726" s="1">
        <f>IF(ESTIMATIVA[[#This Row],[QT_CANA_REST1]]&gt;0,ESTIMATIVA[[#This Row],[QT_CANA_REST1]],
  IF(ESTIMATIVA[[#This Row],[QT_CANA_REAL]]&gt;0,ESTIMATIVA[[#This Row],[QT_CANA_REAL]],ESTIMATIVA[[#This Row],[QT_CANA_EST]]))</f>
        <v>217.37</v>
      </c>
      <c r="AC172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217.37</v>
      </c>
      <c r="AD1726" s="1">
        <f>IF(ESTIMATIVA[[#This Row],[QT_AREA_REAL]]&gt;0,ESTIMATIVA[[#This Row],[QT_CANA_REAL]],ESTIMATIVA[[#This Row],[QT_CANA_EST]])</f>
        <v>217.37</v>
      </c>
      <c r="AE1726" s="1">
        <f>IF(ESTIMATIVA[[#This Row],[QT_AREA_REAL]]&gt;0,ESTIMATIVA[[#This Row],[QT_CANA_REAL]],ESTIMATIVA[[#This Row],[QT_CANA_REST1]])</f>
        <v>217.37</v>
      </c>
      <c r="AF1726" s="1">
        <f>IF(ESTIMATIVA[[#This Row],[QT_AREA_REAL]]&gt;0,ESTIMATIVA[[#This Row],[QT_CANA_REAL]],ESTIMATIVA[[#This Row],[QT_CANA_REST2]])</f>
        <v>217.37</v>
      </c>
      <c r="AG1726" s="1" t="str">
        <f>IF(COUNTIFS(GEADA!A:A,VALUE(ESTIMATIVA[[#This Row],[CD_UPNIVEL1]]&amp;TEXT(ESTIMATIVA[[#This Row],[CD_UPNIVEL3]],"0000")))&gt;0,"S","N")</f>
        <v>N</v>
      </c>
      <c r="AH172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26" s="55" t="str">
        <f>IF(ESTIMATIVA[[#This Row],[TP_CULTIVO]]="Irrigado",_xlfn.MAXIFS(IRRIGADO!J:J,IRRIGADO!C:C,ESTIMATIVA[[#This Row],[CD_UPNIVEL1]],IRRIGADO!E:E,ESTIMATIVA[[#This Row],[CD_UPNIVEL3]]),"")</f>
        <v/>
      </c>
      <c r="AJ172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26" s="1">
        <f>COUNTIFS(Apresentação!$E$23:$E$29,ESTIMATIVA[[#This Row],[CD_UPNIVEL1]])</f>
        <v>0</v>
      </c>
    </row>
    <row r="1727" spans="1:37" x14ac:dyDescent="0.3">
      <c r="A1727">
        <v>20626</v>
      </c>
      <c r="B1727" t="s">
        <v>22</v>
      </c>
      <c r="C1727">
        <v>8</v>
      </c>
      <c r="D1727">
        <v>2</v>
      </c>
      <c r="E1727" t="s">
        <v>266</v>
      </c>
      <c r="F1727" s="85" t="s">
        <v>331</v>
      </c>
      <c r="G1727"/>
      <c r="H1727" t="s">
        <v>294</v>
      </c>
      <c r="I1727" t="s">
        <v>203</v>
      </c>
      <c r="J1727" t="s">
        <v>175</v>
      </c>
      <c r="K1727" s="1">
        <v>11.04</v>
      </c>
      <c r="L1727" s="1">
        <v>0</v>
      </c>
      <c r="M1727" s="1">
        <v>0</v>
      </c>
      <c r="N1727" s="1">
        <v>11.04</v>
      </c>
      <c r="O1727" s="1">
        <v>993.6</v>
      </c>
      <c r="P1727" s="1">
        <v>0</v>
      </c>
      <c r="Q1727" s="1">
        <v>0</v>
      </c>
      <c r="R1727" s="1">
        <v>1054.1600000000001</v>
      </c>
      <c r="S1727" t="s">
        <v>12</v>
      </c>
      <c r="T1727" s="13">
        <v>45844</v>
      </c>
      <c r="U1727" s="1" t="str">
        <f>IF(ESTIMATIVA[[#This Row],[QT_AREA_REAL]]&gt;0,"1- Colhido","2- à Colher")</f>
        <v>1- Colhido</v>
      </c>
      <c r="V1727" s="1" t="str">
        <f>IF(ESTIMATIVA[[#This Row],[QT_AREA_REST1]]&gt;0,"Reestimativa 1",IF(ESTIMATIVA[[#This Row],[QT_AREA_REAL]]=0,"Reestimativa 1","Realizado"))</f>
        <v>Realizado</v>
      </c>
      <c r="W1727" s="1" t="str">
        <f>IF(ESTIMATIVA[[#This Row],[QT_AREA_REST2]]&gt;0,"Reestimativa 2",IF(ESTIMATIVA[[#This Row],[QT_AREA_REAL]]=0,"Reestimativa 2","Realizado"))</f>
        <v>Realizado</v>
      </c>
      <c r="X1727" s="1">
        <f>ESTIMATIVA[[#This Row],[QT_AREA_EST]]</f>
        <v>11.04</v>
      </c>
      <c r="Y1727" s="1">
        <f>IF(ESTIMATIVA[[#This Row],[QT_AREA_REST1]]&gt;0,ESTIMATIVA[[#This Row],[QT_AREA_REST1]],
  IF(ESTIMATIVA[[#This Row],[QT_AREA_REAL]]&gt;0,ESTIMATIVA[[#This Row],[QT_AREA_REAL]],ESTIMATIVA[[#This Row],[QT_AREA_EST]]))</f>
        <v>11.04</v>
      </c>
      <c r="Z172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11.04</v>
      </c>
      <c r="AA1727" s="1">
        <f>ESTIMATIVA[[#This Row],[QT_CANA_EST]]</f>
        <v>993.6</v>
      </c>
      <c r="AB1727" s="1">
        <f>IF(ESTIMATIVA[[#This Row],[QT_CANA_REST1]]&gt;0,ESTIMATIVA[[#This Row],[QT_CANA_REST1]],
  IF(ESTIMATIVA[[#This Row],[QT_CANA_REAL]]&gt;0,ESTIMATIVA[[#This Row],[QT_CANA_REAL]],ESTIMATIVA[[#This Row],[QT_CANA_EST]]))</f>
        <v>1054.1600000000001</v>
      </c>
      <c r="AC172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1054.1600000000001</v>
      </c>
      <c r="AD1727" s="1">
        <f>IF(ESTIMATIVA[[#This Row],[QT_AREA_REAL]]&gt;0,ESTIMATIVA[[#This Row],[QT_CANA_REAL]],ESTIMATIVA[[#This Row],[QT_CANA_EST]])</f>
        <v>1054.1600000000001</v>
      </c>
      <c r="AE1727" s="1">
        <f>IF(ESTIMATIVA[[#This Row],[QT_AREA_REAL]]&gt;0,ESTIMATIVA[[#This Row],[QT_CANA_REAL]],ESTIMATIVA[[#This Row],[QT_CANA_REST1]])</f>
        <v>1054.1600000000001</v>
      </c>
      <c r="AF1727" s="1">
        <f>IF(ESTIMATIVA[[#This Row],[QT_AREA_REAL]]&gt;0,ESTIMATIVA[[#This Row],[QT_CANA_REAL]],ESTIMATIVA[[#This Row],[QT_CANA_REST2]])</f>
        <v>1054.1600000000001</v>
      </c>
      <c r="AG1727" s="1" t="str">
        <f>IF(COUNTIFS(GEADA!A:A,VALUE(ESTIMATIVA[[#This Row],[CD_UPNIVEL1]]&amp;TEXT(ESTIMATIVA[[#This Row],[CD_UPNIVEL3]],"0000")))&gt;0,"S","N")</f>
        <v>N</v>
      </c>
      <c r="AH172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27" s="55" t="str">
        <f>IF(ESTIMATIVA[[#This Row],[TP_CULTIVO]]="Irrigado",_xlfn.MAXIFS(IRRIGADO!J:J,IRRIGADO!C:C,ESTIMATIVA[[#This Row],[CD_UPNIVEL1]],IRRIGADO!E:E,ESTIMATIVA[[#This Row],[CD_UPNIVEL3]]),"")</f>
        <v/>
      </c>
      <c r="AJ172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27" s="1">
        <f>COUNTIFS(Apresentação!$E$23:$E$29,ESTIMATIVA[[#This Row],[CD_UPNIVEL1]])</f>
        <v>0</v>
      </c>
    </row>
    <row r="1728" spans="1:37" x14ac:dyDescent="0.3">
      <c r="A1728">
        <v>20626</v>
      </c>
      <c r="B1728" t="s">
        <v>22</v>
      </c>
      <c r="C1728">
        <v>9</v>
      </c>
      <c r="D1728">
        <v>2</v>
      </c>
      <c r="E1728" t="s">
        <v>266</v>
      </c>
      <c r="F1728" s="85" t="s">
        <v>331</v>
      </c>
      <c r="G1728"/>
      <c r="H1728" t="s">
        <v>294</v>
      </c>
      <c r="I1728" t="s">
        <v>203</v>
      </c>
      <c r="J1728" t="s">
        <v>175</v>
      </c>
      <c r="K1728" s="1">
        <v>8.0299999999999994</v>
      </c>
      <c r="L1728" s="1">
        <v>0</v>
      </c>
      <c r="M1728" s="1">
        <v>0</v>
      </c>
      <c r="N1728" s="1">
        <v>8.0299999999999994</v>
      </c>
      <c r="O1728" s="1">
        <v>722.7</v>
      </c>
      <c r="P1728" s="1">
        <v>0</v>
      </c>
      <c r="Q1728" s="1">
        <v>0</v>
      </c>
      <c r="R1728" s="1">
        <v>766.74</v>
      </c>
      <c r="S1728" t="s">
        <v>12</v>
      </c>
      <c r="T1728" s="13">
        <v>45844</v>
      </c>
      <c r="U1728" s="1" t="str">
        <f>IF(ESTIMATIVA[[#This Row],[QT_AREA_REAL]]&gt;0,"1- Colhido","2- à Colher")</f>
        <v>1- Colhido</v>
      </c>
      <c r="V1728" s="1" t="str">
        <f>IF(ESTIMATIVA[[#This Row],[QT_AREA_REST1]]&gt;0,"Reestimativa 1",IF(ESTIMATIVA[[#This Row],[QT_AREA_REAL]]=0,"Reestimativa 1","Realizado"))</f>
        <v>Realizado</v>
      </c>
      <c r="W1728" s="1" t="str">
        <f>IF(ESTIMATIVA[[#This Row],[QT_AREA_REST2]]&gt;0,"Reestimativa 2",IF(ESTIMATIVA[[#This Row],[QT_AREA_REAL]]=0,"Reestimativa 2","Realizado"))</f>
        <v>Realizado</v>
      </c>
      <c r="X1728" s="1">
        <f>ESTIMATIVA[[#This Row],[QT_AREA_EST]]</f>
        <v>8.0299999999999994</v>
      </c>
      <c r="Y1728" s="1">
        <f>IF(ESTIMATIVA[[#This Row],[QT_AREA_REST1]]&gt;0,ESTIMATIVA[[#This Row],[QT_AREA_REST1]],
  IF(ESTIMATIVA[[#This Row],[QT_AREA_REAL]]&gt;0,ESTIMATIVA[[#This Row],[QT_AREA_REAL]],ESTIMATIVA[[#This Row],[QT_AREA_EST]]))</f>
        <v>8.0299999999999994</v>
      </c>
      <c r="Z172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8.0299999999999994</v>
      </c>
      <c r="AA1728" s="1">
        <f>ESTIMATIVA[[#This Row],[QT_CANA_EST]]</f>
        <v>722.7</v>
      </c>
      <c r="AB1728" s="1">
        <f>IF(ESTIMATIVA[[#This Row],[QT_CANA_REST1]]&gt;0,ESTIMATIVA[[#This Row],[QT_CANA_REST1]],
  IF(ESTIMATIVA[[#This Row],[QT_CANA_REAL]]&gt;0,ESTIMATIVA[[#This Row],[QT_CANA_REAL]],ESTIMATIVA[[#This Row],[QT_CANA_EST]]))</f>
        <v>766.74</v>
      </c>
      <c r="AC172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766.74</v>
      </c>
      <c r="AD1728" s="1">
        <f>IF(ESTIMATIVA[[#This Row],[QT_AREA_REAL]]&gt;0,ESTIMATIVA[[#This Row],[QT_CANA_REAL]],ESTIMATIVA[[#This Row],[QT_CANA_EST]])</f>
        <v>766.74</v>
      </c>
      <c r="AE1728" s="1">
        <f>IF(ESTIMATIVA[[#This Row],[QT_AREA_REAL]]&gt;0,ESTIMATIVA[[#This Row],[QT_CANA_REAL]],ESTIMATIVA[[#This Row],[QT_CANA_REST1]])</f>
        <v>766.74</v>
      </c>
      <c r="AF1728" s="1">
        <f>IF(ESTIMATIVA[[#This Row],[QT_AREA_REAL]]&gt;0,ESTIMATIVA[[#This Row],[QT_CANA_REAL]],ESTIMATIVA[[#This Row],[QT_CANA_REST2]])</f>
        <v>766.74</v>
      </c>
      <c r="AG1728" s="1" t="str">
        <f>IF(COUNTIFS(GEADA!A:A,VALUE(ESTIMATIVA[[#This Row],[CD_UPNIVEL1]]&amp;TEXT(ESTIMATIVA[[#This Row],[CD_UPNIVEL3]],"0000")))&gt;0,"S","N")</f>
        <v>N</v>
      </c>
      <c r="AH172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28" s="55" t="str">
        <f>IF(ESTIMATIVA[[#This Row],[TP_CULTIVO]]="Irrigado",_xlfn.MAXIFS(IRRIGADO!J:J,IRRIGADO!C:C,ESTIMATIVA[[#This Row],[CD_UPNIVEL1]],IRRIGADO!E:E,ESTIMATIVA[[#This Row],[CD_UPNIVEL3]]),"")</f>
        <v/>
      </c>
      <c r="AJ172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28" s="1">
        <f>COUNTIFS(Apresentação!$E$23:$E$29,ESTIMATIVA[[#This Row],[CD_UPNIVEL1]])</f>
        <v>0</v>
      </c>
    </row>
    <row r="1729" spans="1:37" x14ac:dyDescent="0.3">
      <c r="A1729">
        <v>20626</v>
      </c>
      <c r="B1729" t="s">
        <v>22</v>
      </c>
      <c r="C1729">
        <v>10</v>
      </c>
      <c r="D1729">
        <v>2</v>
      </c>
      <c r="E1729" t="s">
        <v>266</v>
      </c>
      <c r="F1729" s="85" t="s">
        <v>331</v>
      </c>
      <c r="G1729"/>
      <c r="H1729" t="s">
        <v>294</v>
      </c>
      <c r="I1729" t="s">
        <v>200</v>
      </c>
      <c r="J1729" t="s">
        <v>175</v>
      </c>
      <c r="K1729" s="1">
        <v>15.49</v>
      </c>
      <c r="L1729" s="1">
        <v>0</v>
      </c>
      <c r="M1729" s="1">
        <v>0</v>
      </c>
      <c r="N1729" s="1">
        <v>15.49</v>
      </c>
      <c r="O1729" s="1">
        <v>1394.1</v>
      </c>
      <c r="P1729" s="1">
        <v>0</v>
      </c>
      <c r="Q1729" s="1">
        <v>0</v>
      </c>
      <c r="R1729" s="1">
        <v>1478.39</v>
      </c>
      <c r="S1729" t="s">
        <v>12</v>
      </c>
      <c r="T1729" s="13">
        <v>45844</v>
      </c>
      <c r="U1729" s="1" t="str">
        <f>IF(ESTIMATIVA[[#This Row],[QT_AREA_REAL]]&gt;0,"1- Colhido","2- à Colher")</f>
        <v>1- Colhido</v>
      </c>
      <c r="V1729" s="1" t="str">
        <f>IF(ESTIMATIVA[[#This Row],[QT_AREA_REST1]]&gt;0,"Reestimativa 1",IF(ESTIMATIVA[[#This Row],[QT_AREA_REAL]]=0,"Reestimativa 1","Realizado"))</f>
        <v>Realizado</v>
      </c>
      <c r="W1729" s="1" t="str">
        <f>IF(ESTIMATIVA[[#This Row],[QT_AREA_REST2]]&gt;0,"Reestimativa 2",IF(ESTIMATIVA[[#This Row],[QT_AREA_REAL]]=0,"Reestimativa 2","Realizado"))</f>
        <v>Realizado</v>
      </c>
      <c r="X1729" s="1">
        <f>ESTIMATIVA[[#This Row],[QT_AREA_EST]]</f>
        <v>15.49</v>
      </c>
      <c r="Y1729" s="1">
        <f>IF(ESTIMATIVA[[#This Row],[QT_AREA_REST1]]&gt;0,ESTIMATIVA[[#This Row],[QT_AREA_REST1]],
  IF(ESTIMATIVA[[#This Row],[QT_AREA_REAL]]&gt;0,ESTIMATIVA[[#This Row],[QT_AREA_REAL]],ESTIMATIVA[[#This Row],[QT_AREA_EST]]))</f>
        <v>15.49</v>
      </c>
      <c r="Z172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15.49</v>
      </c>
      <c r="AA1729" s="1">
        <f>ESTIMATIVA[[#This Row],[QT_CANA_EST]]</f>
        <v>1394.1</v>
      </c>
      <c r="AB1729" s="1">
        <f>IF(ESTIMATIVA[[#This Row],[QT_CANA_REST1]]&gt;0,ESTIMATIVA[[#This Row],[QT_CANA_REST1]],
  IF(ESTIMATIVA[[#This Row],[QT_CANA_REAL]]&gt;0,ESTIMATIVA[[#This Row],[QT_CANA_REAL]],ESTIMATIVA[[#This Row],[QT_CANA_EST]]))</f>
        <v>1478.39</v>
      </c>
      <c r="AC172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1478.39</v>
      </c>
      <c r="AD1729" s="1">
        <f>IF(ESTIMATIVA[[#This Row],[QT_AREA_REAL]]&gt;0,ESTIMATIVA[[#This Row],[QT_CANA_REAL]],ESTIMATIVA[[#This Row],[QT_CANA_EST]])</f>
        <v>1478.39</v>
      </c>
      <c r="AE1729" s="1">
        <f>IF(ESTIMATIVA[[#This Row],[QT_AREA_REAL]]&gt;0,ESTIMATIVA[[#This Row],[QT_CANA_REAL]],ESTIMATIVA[[#This Row],[QT_CANA_REST1]])</f>
        <v>1478.39</v>
      </c>
      <c r="AF1729" s="1">
        <f>IF(ESTIMATIVA[[#This Row],[QT_AREA_REAL]]&gt;0,ESTIMATIVA[[#This Row],[QT_CANA_REAL]],ESTIMATIVA[[#This Row],[QT_CANA_REST2]])</f>
        <v>1478.39</v>
      </c>
      <c r="AG1729" s="1" t="str">
        <f>IF(COUNTIFS(GEADA!A:A,VALUE(ESTIMATIVA[[#This Row],[CD_UPNIVEL1]]&amp;TEXT(ESTIMATIVA[[#This Row],[CD_UPNIVEL3]],"0000")))&gt;0,"S","N")</f>
        <v>N</v>
      </c>
      <c r="AH172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29" s="55" t="str">
        <f>IF(ESTIMATIVA[[#This Row],[TP_CULTIVO]]="Irrigado",_xlfn.MAXIFS(IRRIGADO!J:J,IRRIGADO!C:C,ESTIMATIVA[[#This Row],[CD_UPNIVEL1]],IRRIGADO!E:E,ESTIMATIVA[[#This Row],[CD_UPNIVEL3]]),"")</f>
        <v/>
      </c>
      <c r="AJ172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29" s="1">
        <f>COUNTIFS(Apresentação!$E$23:$E$29,ESTIMATIVA[[#This Row],[CD_UPNIVEL1]])</f>
        <v>0</v>
      </c>
    </row>
    <row r="1730" spans="1:37" x14ac:dyDescent="0.3">
      <c r="A1730">
        <v>20626</v>
      </c>
      <c r="B1730" t="s">
        <v>22</v>
      </c>
      <c r="C1730">
        <v>12</v>
      </c>
      <c r="D1730">
        <v>2</v>
      </c>
      <c r="E1730" t="s">
        <v>266</v>
      </c>
      <c r="F1730" s="85" t="s">
        <v>331</v>
      </c>
      <c r="G1730"/>
      <c r="H1730" t="s">
        <v>294</v>
      </c>
      <c r="I1730" t="s">
        <v>200</v>
      </c>
      <c r="J1730" t="s">
        <v>175</v>
      </c>
      <c r="K1730" s="1">
        <v>2.41</v>
      </c>
      <c r="L1730" s="1">
        <v>0</v>
      </c>
      <c r="M1730" s="1">
        <v>0</v>
      </c>
      <c r="N1730" s="1">
        <v>2.41</v>
      </c>
      <c r="O1730" s="1">
        <v>216.9</v>
      </c>
      <c r="P1730" s="1">
        <v>0</v>
      </c>
      <c r="Q1730" s="1">
        <v>0</v>
      </c>
      <c r="R1730" s="1">
        <v>230.38</v>
      </c>
      <c r="S1730" t="s">
        <v>12</v>
      </c>
      <c r="T1730" s="13">
        <v>45844</v>
      </c>
      <c r="U1730" s="1" t="str">
        <f>IF(ESTIMATIVA[[#This Row],[QT_AREA_REAL]]&gt;0,"1- Colhido","2- à Colher")</f>
        <v>1- Colhido</v>
      </c>
      <c r="V1730" s="1" t="str">
        <f>IF(ESTIMATIVA[[#This Row],[QT_AREA_REST1]]&gt;0,"Reestimativa 1",IF(ESTIMATIVA[[#This Row],[QT_AREA_REAL]]=0,"Reestimativa 1","Realizado"))</f>
        <v>Realizado</v>
      </c>
      <c r="W1730" s="1" t="str">
        <f>IF(ESTIMATIVA[[#This Row],[QT_AREA_REST2]]&gt;0,"Reestimativa 2",IF(ESTIMATIVA[[#This Row],[QT_AREA_REAL]]=0,"Reestimativa 2","Realizado"))</f>
        <v>Realizado</v>
      </c>
      <c r="X1730" s="1">
        <f>ESTIMATIVA[[#This Row],[QT_AREA_EST]]</f>
        <v>2.41</v>
      </c>
      <c r="Y1730" s="1">
        <f>IF(ESTIMATIVA[[#This Row],[QT_AREA_REST1]]&gt;0,ESTIMATIVA[[#This Row],[QT_AREA_REST1]],
  IF(ESTIMATIVA[[#This Row],[QT_AREA_REAL]]&gt;0,ESTIMATIVA[[#This Row],[QT_AREA_REAL]],ESTIMATIVA[[#This Row],[QT_AREA_EST]]))</f>
        <v>2.41</v>
      </c>
      <c r="Z173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2.41</v>
      </c>
      <c r="AA1730" s="1">
        <f>ESTIMATIVA[[#This Row],[QT_CANA_EST]]</f>
        <v>216.9</v>
      </c>
      <c r="AB1730" s="1">
        <f>IF(ESTIMATIVA[[#This Row],[QT_CANA_REST1]]&gt;0,ESTIMATIVA[[#This Row],[QT_CANA_REST1]],
  IF(ESTIMATIVA[[#This Row],[QT_CANA_REAL]]&gt;0,ESTIMATIVA[[#This Row],[QT_CANA_REAL]],ESTIMATIVA[[#This Row],[QT_CANA_EST]]))</f>
        <v>230.38</v>
      </c>
      <c r="AC173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230.38</v>
      </c>
      <c r="AD1730" s="1">
        <f>IF(ESTIMATIVA[[#This Row],[QT_AREA_REAL]]&gt;0,ESTIMATIVA[[#This Row],[QT_CANA_REAL]],ESTIMATIVA[[#This Row],[QT_CANA_EST]])</f>
        <v>230.38</v>
      </c>
      <c r="AE1730" s="1">
        <f>IF(ESTIMATIVA[[#This Row],[QT_AREA_REAL]]&gt;0,ESTIMATIVA[[#This Row],[QT_CANA_REAL]],ESTIMATIVA[[#This Row],[QT_CANA_REST1]])</f>
        <v>230.38</v>
      </c>
      <c r="AF1730" s="1">
        <f>IF(ESTIMATIVA[[#This Row],[QT_AREA_REAL]]&gt;0,ESTIMATIVA[[#This Row],[QT_CANA_REAL]],ESTIMATIVA[[#This Row],[QT_CANA_REST2]])</f>
        <v>230.38</v>
      </c>
      <c r="AG1730" s="1" t="str">
        <f>IF(COUNTIFS(GEADA!A:A,VALUE(ESTIMATIVA[[#This Row],[CD_UPNIVEL1]]&amp;TEXT(ESTIMATIVA[[#This Row],[CD_UPNIVEL3]],"0000")))&gt;0,"S","N")</f>
        <v>N</v>
      </c>
      <c r="AH173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30" s="55" t="str">
        <f>IF(ESTIMATIVA[[#This Row],[TP_CULTIVO]]="Irrigado",_xlfn.MAXIFS(IRRIGADO!J:J,IRRIGADO!C:C,ESTIMATIVA[[#This Row],[CD_UPNIVEL1]],IRRIGADO!E:E,ESTIMATIVA[[#This Row],[CD_UPNIVEL3]]),"")</f>
        <v/>
      </c>
      <c r="AJ173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30" s="1">
        <f>COUNTIFS(Apresentação!$E$23:$E$29,ESTIMATIVA[[#This Row],[CD_UPNIVEL1]])</f>
        <v>0</v>
      </c>
    </row>
    <row r="1731" spans="1:37" x14ac:dyDescent="0.3">
      <c r="A1731">
        <v>20626</v>
      </c>
      <c r="B1731" t="s">
        <v>22</v>
      </c>
      <c r="C1731">
        <v>15</v>
      </c>
      <c r="D1731">
        <v>2</v>
      </c>
      <c r="E1731" t="s">
        <v>266</v>
      </c>
      <c r="F1731" s="85" t="s">
        <v>331</v>
      </c>
      <c r="G1731"/>
      <c r="H1731" t="s">
        <v>294</v>
      </c>
      <c r="I1731" t="s">
        <v>208</v>
      </c>
      <c r="J1731" t="s">
        <v>175</v>
      </c>
      <c r="K1731" s="1">
        <v>9.39</v>
      </c>
      <c r="L1731" s="1">
        <v>9.39</v>
      </c>
      <c r="M1731" s="1">
        <v>0</v>
      </c>
      <c r="N1731" s="1">
        <v>9.39</v>
      </c>
      <c r="O1731" s="1">
        <v>845.1</v>
      </c>
      <c r="P1731" s="1">
        <v>845.1</v>
      </c>
      <c r="Q1731" s="1">
        <v>0</v>
      </c>
      <c r="R1731" s="1">
        <v>1550.63</v>
      </c>
      <c r="S1731" t="s">
        <v>12</v>
      </c>
      <c r="T1731" s="13">
        <v>45858</v>
      </c>
      <c r="U1731" s="1" t="str">
        <f>IF(ESTIMATIVA[[#This Row],[QT_AREA_REAL]]&gt;0,"1- Colhido","2- à Colher")</f>
        <v>1- Colhido</v>
      </c>
      <c r="V1731" s="1" t="str">
        <f>IF(ESTIMATIVA[[#This Row],[QT_AREA_REST1]]&gt;0,"Reestimativa 1",IF(ESTIMATIVA[[#This Row],[QT_AREA_REAL]]=0,"Reestimativa 1","Realizado"))</f>
        <v>Reestimativa 1</v>
      </c>
      <c r="W1731" s="1" t="str">
        <f>IF(ESTIMATIVA[[#This Row],[QT_AREA_REST2]]&gt;0,"Reestimativa 2",IF(ESTIMATIVA[[#This Row],[QT_AREA_REAL]]=0,"Reestimativa 2","Realizado"))</f>
        <v>Realizado</v>
      </c>
      <c r="X1731" s="1">
        <f>ESTIMATIVA[[#This Row],[QT_AREA_EST]]</f>
        <v>9.39</v>
      </c>
      <c r="Y1731" s="1">
        <f>IF(ESTIMATIVA[[#This Row],[QT_AREA_REST1]]&gt;0,ESTIMATIVA[[#This Row],[QT_AREA_REST1]],
  IF(ESTIMATIVA[[#This Row],[QT_AREA_REAL]]&gt;0,ESTIMATIVA[[#This Row],[QT_AREA_REAL]],ESTIMATIVA[[#This Row],[QT_AREA_EST]]))</f>
        <v>9.39</v>
      </c>
      <c r="Z173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9.39</v>
      </c>
      <c r="AA1731" s="1">
        <f>ESTIMATIVA[[#This Row],[QT_CANA_EST]]</f>
        <v>845.1</v>
      </c>
      <c r="AB1731" s="1">
        <f>IF(ESTIMATIVA[[#This Row],[QT_CANA_REST1]]&gt;0,ESTIMATIVA[[#This Row],[QT_CANA_REST1]],
  IF(ESTIMATIVA[[#This Row],[QT_CANA_REAL]]&gt;0,ESTIMATIVA[[#This Row],[QT_CANA_REAL]],ESTIMATIVA[[#This Row],[QT_CANA_EST]]))</f>
        <v>845.1</v>
      </c>
      <c r="AC173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1550.63</v>
      </c>
      <c r="AD1731" s="1">
        <f>IF(ESTIMATIVA[[#This Row],[QT_AREA_REAL]]&gt;0,ESTIMATIVA[[#This Row],[QT_CANA_REAL]],ESTIMATIVA[[#This Row],[QT_CANA_EST]])</f>
        <v>1550.63</v>
      </c>
      <c r="AE1731" s="1">
        <f>IF(ESTIMATIVA[[#This Row],[QT_AREA_REAL]]&gt;0,ESTIMATIVA[[#This Row],[QT_CANA_REAL]],ESTIMATIVA[[#This Row],[QT_CANA_REST1]])</f>
        <v>1550.63</v>
      </c>
      <c r="AF1731" s="1">
        <f>IF(ESTIMATIVA[[#This Row],[QT_AREA_REAL]]&gt;0,ESTIMATIVA[[#This Row],[QT_CANA_REAL]],ESTIMATIVA[[#This Row],[QT_CANA_REST2]])</f>
        <v>1550.63</v>
      </c>
      <c r="AG1731" s="1" t="str">
        <f>IF(COUNTIFS(GEADA!A:A,VALUE(ESTIMATIVA[[#This Row],[CD_UPNIVEL1]]&amp;TEXT(ESTIMATIVA[[#This Row],[CD_UPNIVEL3]],"0000")))&gt;0,"S","N")</f>
        <v>N</v>
      </c>
      <c r="AH173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31" s="55" t="str">
        <f>IF(ESTIMATIVA[[#This Row],[TP_CULTIVO]]="Irrigado",_xlfn.MAXIFS(IRRIGADO!J:J,IRRIGADO!C:C,ESTIMATIVA[[#This Row],[CD_UPNIVEL1]],IRRIGADO!E:E,ESTIMATIVA[[#This Row],[CD_UPNIVEL3]]),"")</f>
        <v/>
      </c>
      <c r="AJ173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31" s="1">
        <f>COUNTIFS(Apresentação!$E$23:$E$29,ESTIMATIVA[[#This Row],[CD_UPNIVEL1]])</f>
        <v>0</v>
      </c>
    </row>
    <row r="1732" spans="1:37" x14ac:dyDescent="0.3">
      <c r="A1732">
        <v>20626</v>
      </c>
      <c r="B1732" t="s">
        <v>22</v>
      </c>
      <c r="C1732">
        <v>16</v>
      </c>
      <c r="D1732">
        <v>2</v>
      </c>
      <c r="E1732" t="s">
        <v>266</v>
      </c>
      <c r="F1732" s="85" t="s">
        <v>331</v>
      </c>
      <c r="G1732"/>
      <c r="H1732" t="s">
        <v>294</v>
      </c>
      <c r="I1732" t="s">
        <v>208</v>
      </c>
      <c r="J1732" t="s">
        <v>175</v>
      </c>
      <c r="K1732" s="1">
        <v>4.16</v>
      </c>
      <c r="L1732" s="1">
        <v>4.16</v>
      </c>
      <c r="M1732" s="1">
        <v>0</v>
      </c>
      <c r="N1732" s="1">
        <v>4.16</v>
      </c>
      <c r="O1732" s="1">
        <v>374.4</v>
      </c>
      <c r="P1732" s="1">
        <v>374.4</v>
      </c>
      <c r="Q1732" s="1">
        <v>0</v>
      </c>
      <c r="R1732" s="1">
        <v>686.3</v>
      </c>
      <c r="S1732" t="s">
        <v>12</v>
      </c>
      <c r="T1732" s="13">
        <v>45858</v>
      </c>
      <c r="U1732" s="1" t="str">
        <f>IF(ESTIMATIVA[[#This Row],[QT_AREA_REAL]]&gt;0,"1- Colhido","2- à Colher")</f>
        <v>1- Colhido</v>
      </c>
      <c r="V1732" s="1" t="str">
        <f>IF(ESTIMATIVA[[#This Row],[QT_AREA_REST1]]&gt;0,"Reestimativa 1",IF(ESTIMATIVA[[#This Row],[QT_AREA_REAL]]=0,"Reestimativa 1","Realizado"))</f>
        <v>Reestimativa 1</v>
      </c>
      <c r="W1732" s="1" t="str">
        <f>IF(ESTIMATIVA[[#This Row],[QT_AREA_REST2]]&gt;0,"Reestimativa 2",IF(ESTIMATIVA[[#This Row],[QT_AREA_REAL]]=0,"Reestimativa 2","Realizado"))</f>
        <v>Realizado</v>
      </c>
      <c r="X1732" s="1">
        <f>ESTIMATIVA[[#This Row],[QT_AREA_EST]]</f>
        <v>4.16</v>
      </c>
      <c r="Y1732" s="1">
        <f>IF(ESTIMATIVA[[#This Row],[QT_AREA_REST1]]&gt;0,ESTIMATIVA[[#This Row],[QT_AREA_REST1]],
  IF(ESTIMATIVA[[#This Row],[QT_AREA_REAL]]&gt;0,ESTIMATIVA[[#This Row],[QT_AREA_REAL]],ESTIMATIVA[[#This Row],[QT_AREA_EST]]))</f>
        <v>4.16</v>
      </c>
      <c r="Z173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4.16</v>
      </c>
      <c r="AA1732" s="1">
        <f>ESTIMATIVA[[#This Row],[QT_CANA_EST]]</f>
        <v>374.4</v>
      </c>
      <c r="AB1732" s="1">
        <f>IF(ESTIMATIVA[[#This Row],[QT_CANA_REST1]]&gt;0,ESTIMATIVA[[#This Row],[QT_CANA_REST1]],
  IF(ESTIMATIVA[[#This Row],[QT_CANA_REAL]]&gt;0,ESTIMATIVA[[#This Row],[QT_CANA_REAL]],ESTIMATIVA[[#This Row],[QT_CANA_EST]]))</f>
        <v>374.4</v>
      </c>
      <c r="AC173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686.3</v>
      </c>
      <c r="AD1732" s="1">
        <f>IF(ESTIMATIVA[[#This Row],[QT_AREA_REAL]]&gt;0,ESTIMATIVA[[#This Row],[QT_CANA_REAL]],ESTIMATIVA[[#This Row],[QT_CANA_EST]])</f>
        <v>686.3</v>
      </c>
      <c r="AE1732" s="1">
        <f>IF(ESTIMATIVA[[#This Row],[QT_AREA_REAL]]&gt;0,ESTIMATIVA[[#This Row],[QT_CANA_REAL]],ESTIMATIVA[[#This Row],[QT_CANA_REST1]])</f>
        <v>686.3</v>
      </c>
      <c r="AF1732" s="1">
        <f>IF(ESTIMATIVA[[#This Row],[QT_AREA_REAL]]&gt;0,ESTIMATIVA[[#This Row],[QT_CANA_REAL]],ESTIMATIVA[[#This Row],[QT_CANA_REST2]])</f>
        <v>686.3</v>
      </c>
      <c r="AG1732" s="1" t="str">
        <f>IF(COUNTIFS(GEADA!A:A,VALUE(ESTIMATIVA[[#This Row],[CD_UPNIVEL1]]&amp;TEXT(ESTIMATIVA[[#This Row],[CD_UPNIVEL3]],"0000")))&gt;0,"S","N")</f>
        <v>N</v>
      </c>
      <c r="AH173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32" s="55" t="str">
        <f>IF(ESTIMATIVA[[#This Row],[TP_CULTIVO]]="Irrigado",_xlfn.MAXIFS(IRRIGADO!J:J,IRRIGADO!C:C,ESTIMATIVA[[#This Row],[CD_UPNIVEL1]],IRRIGADO!E:E,ESTIMATIVA[[#This Row],[CD_UPNIVEL3]]),"")</f>
        <v/>
      </c>
      <c r="AJ173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32" s="1">
        <f>COUNTIFS(Apresentação!$E$23:$E$29,ESTIMATIVA[[#This Row],[CD_UPNIVEL1]])</f>
        <v>0</v>
      </c>
    </row>
    <row r="1733" spans="1:37" x14ac:dyDescent="0.3">
      <c r="A1733">
        <v>20626</v>
      </c>
      <c r="B1733" t="s">
        <v>22</v>
      </c>
      <c r="C1733">
        <v>17</v>
      </c>
      <c r="D1733">
        <v>2</v>
      </c>
      <c r="E1733" t="s">
        <v>266</v>
      </c>
      <c r="F1733" s="85" t="s">
        <v>331</v>
      </c>
      <c r="G1733"/>
      <c r="H1733" t="s">
        <v>294</v>
      </c>
      <c r="I1733" t="s">
        <v>208</v>
      </c>
      <c r="J1733" t="s">
        <v>175</v>
      </c>
      <c r="K1733" s="1">
        <v>0.73</v>
      </c>
      <c r="L1733" s="1">
        <v>0.73</v>
      </c>
      <c r="M1733" s="1">
        <v>0</v>
      </c>
      <c r="N1733" s="1">
        <v>0.73</v>
      </c>
      <c r="O1733" s="1">
        <v>65.7</v>
      </c>
      <c r="P1733" s="1">
        <v>65.7</v>
      </c>
      <c r="Q1733" s="1">
        <v>0</v>
      </c>
      <c r="R1733" s="1">
        <v>121.19</v>
      </c>
      <c r="S1733" t="s">
        <v>12</v>
      </c>
      <c r="T1733" s="13">
        <v>45858</v>
      </c>
      <c r="U1733" s="1" t="str">
        <f>IF(ESTIMATIVA[[#This Row],[QT_AREA_REAL]]&gt;0,"1- Colhido","2- à Colher")</f>
        <v>1- Colhido</v>
      </c>
      <c r="V1733" s="1" t="str">
        <f>IF(ESTIMATIVA[[#This Row],[QT_AREA_REST1]]&gt;0,"Reestimativa 1",IF(ESTIMATIVA[[#This Row],[QT_AREA_REAL]]=0,"Reestimativa 1","Realizado"))</f>
        <v>Reestimativa 1</v>
      </c>
      <c r="W1733" s="1" t="str">
        <f>IF(ESTIMATIVA[[#This Row],[QT_AREA_REST2]]&gt;0,"Reestimativa 2",IF(ESTIMATIVA[[#This Row],[QT_AREA_REAL]]=0,"Reestimativa 2","Realizado"))</f>
        <v>Realizado</v>
      </c>
      <c r="X1733" s="1">
        <f>ESTIMATIVA[[#This Row],[QT_AREA_EST]]</f>
        <v>0.73</v>
      </c>
      <c r="Y1733" s="1">
        <f>IF(ESTIMATIVA[[#This Row],[QT_AREA_REST1]]&gt;0,ESTIMATIVA[[#This Row],[QT_AREA_REST1]],
  IF(ESTIMATIVA[[#This Row],[QT_AREA_REAL]]&gt;0,ESTIMATIVA[[#This Row],[QT_AREA_REAL]],ESTIMATIVA[[#This Row],[QT_AREA_EST]]))</f>
        <v>0.73</v>
      </c>
      <c r="Z173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0.73</v>
      </c>
      <c r="AA1733" s="1">
        <f>ESTIMATIVA[[#This Row],[QT_CANA_EST]]</f>
        <v>65.7</v>
      </c>
      <c r="AB1733" s="1">
        <f>IF(ESTIMATIVA[[#This Row],[QT_CANA_REST1]]&gt;0,ESTIMATIVA[[#This Row],[QT_CANA_REST1]],
  IF(ESTIMATIVA[[#This Row],[QT_CANA_REAL]]&gt;0,ESTIMATIVA[[#This Row],[QT_CANA_REAL]],ESTIMATIVA[[#This Row],[QT_CANA_EST]]))</f>
        <v>65.7</v>
      </c>
      <c r="AC173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121.19</v>
      </c>
      <c r="AD1733" s="1">
        <f>IF(ESTIMATIVA[[#This Row],[QT_AREA_REAL]]&gt;0,ESTIMATIVA[[#This Row],[QT_CANA_REAL]],ESTIMATIVA[[#This Row],[QT_CANA_EST]])</f>
        <v>121.19</v>
      </c>
      <c r="AE1733" s="1">
        <f>IF(ESTIMATIVA[[#This Row],[QT_AREA_REAL]]&gt;0,ESTIMATIVA[[#This Row],[QT_CANA_REAL]],ESTIMATIVA[[#This Row],[QT_CANA_REST1]])</f>
        <v>121.19</v>
      </c>
      <c r="AF1733" s="1">
        <f>IF(ESTIMATIVA[[#This Row],[QT_AREA_REAL]]&gt;0,ESTIMATIVA[[#This Row],[QT_CANA_REAL]],ESTIMATIVA[[#This Row],[QT_CANA_REST2]])</f>
        <v>121.19</v>
      </c>
      <c r="AG1733" s="1" t="str">
        <f>IF(COUNTIFS(GEADA!A:A,VALUE(ESTIMATIVA[[#This Row],[CD_UPNIVEL1]]&amp;TEXT(ESTIMATIVA[[#This Row],[CD_UPNIVEL3]],"0000")))&gt;0,"S","N")</f>
        <v>N</v>
      </c>
      <c r="AH173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33" s="55" t="str">
        <f>IF(ESTIMATIVA[[#This Row],[TP_CULTIVO]]="Irrigado",_xlfn.MAXIFS(IRRIGADO!J:J,IRRIGADO!C:C,ESTIMATIVA[[#This Row],[CD_UPNIVEL1]],IRRIGADO!E:E,ESTIMATIVA[[#This Row],[CD_UPNIVEL3]]),"")</f>
        <v/>
      </c>
      <c r="AJ173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33" s="1">
        <f>COUNTIFS(Apresentação!$E$23:$E$29,ESTIMATIVA[[#This Row],[CD_UPNIVEL1]])</f>
        <v>0</v>
      </c>
    </row>
    <row r="1734" spans="1:37" x14ac:dyDescent="0.3">
      <c r="A1734">
        <v>20628</v>
      </c>
      <c r="B1734" t="s">
        <v>95</v>
      </c>
      <c r="C1734">
        <v>1</v>
      </c>
      <c r="D1734">
        <v>1</v>
      </c>
      <c r="E1734" t="s">
        <v>264</v>
      </c>
      <c r="F1734" s="85" t="s">
        <v>331</v>
      </c>
      <c r="G1734"/>
      <c r="H1734" t="s">
        <v>294</v>
      </c>
      <c r="I1734" t="s">
        <v>227</v>
      </c>
      <c r="J1734" t="s">
        <v>176</v>
      </c>
      <c r="K1734" s="1">
        <v>29.92</v>
      </c>
      <c r="L1734" s="1">
        <v>0</v>
      </c>
      <c r="M1734" s="1">
        <v>0</v>
      </c>
      <c r="N1734" s="1">
        <v>29.92</v>
      </c>
      <c r="O1734" s="1">
        <v>3141.6</v>
      </c>
      <c r="P1734" s="1">
        <v>0</v>
      </c>
      <c r="Q1734" s="1">
        <v>0</v>
      </c>
      <c r="R1734" s="1">
        <v>3221.18</v>
      </c>
      <c r="S1734" t="s">
        <v>12</v>
      </c>
      <c r="T1734" s="13">
        <v>45837</v>
      </c>
      <c r="U1734" s="1" t="str">
        <f>IF(ESTIMATIVA[[#This Row],[QT_AREA_REAL]]&gt;0,"1- Colhido","2- à Colher")</f>
        <v>1- Colhido</v>
      </c>
      <c r="V1734" s="1" t="str">
        <f>IF(ESTIMATIVA[[#This Row],[QT_AREA_REST1]]&gt;0,"Reestimativa 1",IF(ESTIMATIVA[[#This Row],[QT_AREA_REAL]]=0,"Reestimativa 1","Realizado"))</f>
        <v>Realizado</v>
      </c>
      <c r="W1734" s="1" t="str">
        <f>IF(ESTIMATIVA[[#This Row],[QT_AREA_REST2]]&gt;0,"Reestimativa 2",IF(ESTIMATIVA[[#This Row],[QT_AREA_REAL]]=0,"Reestimativa 2","Realizado"))</f>
        <v>Realizado</v>
      </c>
      <c r="X1734" s="1">
        <f>ESTIMATIVA[[#This Row],[QT_AREA_EST]]</f>
        <v>29.92</v>
      </c>
      <c r="Y1734" s="1">
        <f>IF(ESTIMATIVA[[#This Row],[QT_AREA_REST1]]&gt;0,ESTIMATIVA[[#This Row],[QT_AREA_REST1]],
  IF(ESTIMATIVA[[#This Row],[QT_AREA_REAL]]&gt;0,ESTIMATIVA[[#This Row],[QT_AREA_REAL]],ESTIMATIVA[[#This Row],[QT_AREA_EST]]))</f>
        <v>29.92</v>
      </c>
      <c r="Z173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29.92</v>
      </c>
      <c r="AA1734" s="1">
        <f>ESTIMATIVA[[#This Row],[QT_CANA_EST]]</f>
        <v>3141.6</v>
      </c>
      <c r="AB1734" s="1">
        <f>IF(ESTIMATIVA[[#This Row],[QT_CANA_REST1]]&gt;0,ESTIMATIVA[[#This Row],[QT_CANA_REST1]],
  IF(ESTIMATIVA[[#This Row],[QT_CANA_REAL]]&gt;0,ESTIMATIVA[[#This Row],[QT_CANA_REAL]],ESTIMATIVA[[#This Row],[QT_CANA_EST]]))</f>
        <v>3221.18</v>
      </c>
      <c r="AC173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3221.18</v>
      </c>
      <c r="AD1734" s="1">
        <f>IF(ESTIMATIVA[[#This Row],[QT_AREA_REAL]]&gt;0,ESTIMATIVA[[#This Row],[QT_CANA_REAL]],ESTIMATIVA[[#This Row],[QT_CANA_EST]])</f>
        <v>3221.18</v>
      </c>
      <c r="AE1734" s="1">
        <f>IF(ESTIMATIVA[[#This Row],[QT_AREA_REAL]]&gt;0,ESTIMATIVA[[#This Row],[QT_CANA_REAL]],ESTIMATIVA[[#This Row],[QT_CANA_REST1]])</f>
        <v>3221.18</v>
      </c>
      <c r="AF1734" s="1">
        <f>IF(ESTIMATIVA[[#This Row],[QT_AREA_REAL]]&gt;0,ESTIMATIVA[[#This Row],[QT_CANA_REAL]],ESTIMATIVA[[#This Row],[QT_CANA_REST2]])</f>
        <v>3221.18</v>
      </c>
      <c r="AG1734" s="1" t="str">
        <f>IF(COUNTIFS(GEADA!A:A,VALUE(ESTIMATIVA[[#This Row],[CD_UPNIVEL1]]&amp;TEXT(ESTIMATIVA[[#This Row],[CD_UPNIVEL3]],"0000")))&gt;0,"S","N")</f>
        <v>N</v>
      </c>
      <c r="AH173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34" s="55" t="str">
        <f>IF(ESTIMATIVA[[#This Row],[TP_CULTIVO]]="Irrigado",_xlfn.MAXIFS(IRRIGADO!J:J,IRRIGADO!C:C,ESTIMATIVA[[#This Row],[CD_UPNIVEL1]],IRRIGADO!E:E,ESTIMATIVA[[#This Row],[CD_UPNIVEL3]]),"")</f>
        <v/>
      </c>
      <c r="AJ173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34" s="1">
        <f>COUNTIFS(Apresentação!$E$23:$E$29,ESTIMATIVA[[#This Row],[CD_UPNIVEL1]])</f>
        <v>0</v>
      </c>
    </row>
    <row r="1735" spans="1:37" x14ac:dyDescent="0.3">
      <c r="A1735">
        <v>20628</v>
      </c>
      <c r="B1735" t="s">
        <v>95</v>
      </c>
      <c r="C1735">
        <v>2</v>
      </c>
      <c r="D1735">
        <v>1</v>
      </c>
      <c r="E1735" t="s">
        <v>264</v>
      </c>
      <c r="F1735" s="85" t="s">
        <v>331</v>
      </c>
      <c r="G1735"/>
      <c r="H1735" t="s">
        <v>294</v>
      </c>
      <c r="I1735" t="s">
        <v>227</v>
      </c>
      <c r="J1735" t="s">
        <v>176</v>
      </c>
      <c r="K1735" s="1">
        <v>35.799999999999997</v>
      </c>
      <c r="L1735" s="1">
        <v>0</v>
      </c>
      <c r="M1735" s="1">
        <v>0</v>
      </c>
      <c r="N1735" s="1">
        <v>35.799999999999997</v>
      </c>
      <c r="O1735" s="1">
        <v>3830.6</v>
      </c>
      <c r="P1735" s="1">
        <v>0</v>
      </c>
      <c r="Q1735" s="1">
        <v>0</v>
      </c>
      <c r="R1735" s="1">
        <v>3927.78</v>
      </c>
      <c r="S1735" t="s">
        <v>12</v>
      </c>
      <c r="T1735" s="13">
        <v>45837</v>
      </c>
      <c r="U1735" s="1" t="str">
        <f>IF(ESTIMATIVA[[#This Row],[QT_AREA_REAL]]&gt;0,"1- Colhido","2- à Colher")</f>
        <v>1- Colhido</v>
      </c>
      <c r="V1735" s="1" t="str">
        <f>IF(ESTIMATIVA[[#This Row],[QT_AREA_REST1]]&gt;0,"Reestimativa 1",IF(ESTIMATIVA[[#This Row],[QT_AREA_REAL]]=0,"Reestimativa 1","Realizado"))</f>
        <v>Realizado</v>
      </c>
      <c r="W1735" s="1" t="str">
        <f>IF(ESTIMATIVA[[#This Row],[QT_AREA_REST2]]&gt;0,"Reestimativa 2",IF(ESTIMATIVA[[#This Row],[QT_AREA_REAL]]=0,"Reestimativa 2","Realizado"))</f>
        <v>Realizado</v>
      </c>
      <c r="X1735" s="1">
        <f>ESTIMATIVA[[#This Row],[QT_AREA_EST]]</f>
        <v>35.799999999999997</v>
      </c>
      <c r="Y1735" s="1">
        <f>IF(ESTIMATIVA[[#This Row],[QT_AREA_REST1]]&gt;0,ESTIMATIVA[[#This Row],[QT_AREA_REST1]],
  IF(ESTIMATIVA[[#This Row],[QT_AREA_REAL]]&gt;0,ESTIMATIVA[[#This Row],[QT_AREA_REAL]],ESTIMATIVA[[#This Row],[QT_AREA_EST]]))</f>
        <v>35.799999999999997</v>
      </c>
      <c r="Z173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35.799999999999997</v>
      </c>
      <c r="AA1735" s="1">
        <f>ESTIMATIVA[[#This Row],[QT_CANA_EST]]</f>
        <v>3830.6</v>
      </c>
      <c r="AB1735" s="1">
        <f>IF(ESTIMATIVA[[#This Row],[QT_CANA_REST1]]&gt;0,ESTIMATIVA[[#This Row],[QT_CANA_REST1]],
  IF(ESTIMATIVA[[#This Row],[QT_CANA_REAL]]&gt;0,ESTIMATIVA[[#This Row],[QT_CANA_REAL]],ESTIMATIVA[[#This Row],[QT_CANA_EST]]))</f>
        <v>3927.78</v>
      </c>
      <c r="AC173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3927.78</v>
      </c>
      <c r="AD1735" s="1">
        <f>IF(ESTIMATIVA[[#This Row],[QT_AREA_REAL]]&gt;0,ESTIMATIVA[[#This Row],[QT_CANA_REAL]],ESTIMATIVA[[#This Row],[QT_CANA_EST]])</f>
        <v>3927.78</v>
      </c>
      <c r="AE1735" s="1">
        <f>IF(ESTIMATIVA[[#This Row],[QT_AREA_REAL]]&gt;0,ESTIMATIVA[[#This Row],[QT_CANA_REAL]],ESTIMATIVA[[#This Row],[QT_CANA_REST1]])</f>
        <v>3927.78</v>
      </c>
      <c r="AF1735" s="1">
        <f>IF(ESTIMATIVA[[#This Row],[QT_AREA_REAL]]&gt;0,ESTIMATIVA[[#This Row],[QT_CANA_REAL]],ESTIMATIVA[[#This Row],[QT_CANA_REST2]])</f>
        <v>3927.78</v>
      </c>
      <c r="AG1735" s="1" t="str">
        <f>IF(COUNTIFS(GEADA!A:A,VALUE(ESTIMATIVA[[#This Row],[CD_UPNIVEL1]]&amp;TEXT(ESTIMATIVA[[#This Row],[CD_UPNIVEL3]],"0000")))&gt;0,"S","N")</f>
        <v>N</v>
      </c>
      <c r="AH173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35" s="55" t="str">
        <f>IF(ESTIMATIVA[[#This Row],[TP_CULTIVO]]="Irrigado",_xlfn.MAXIFS(IRRIGADO!J:J,IRRIGADO!C:C,ESTIMATIVA[[#This Row],[CD_UPNIVEL1]],IRRIGADO!E:E,ESTIMATIVA[[#This Row],[CD_UPNIVEL3]]),"")</f>
        <v/>
      </c>
      <c r="AJ173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35" s="1">
        <f>COUNTIFS(Apresentação!$E$23:$E$29,ESTIMATIVA[[#This Row],[CD_UPNIVEL1]])</f>
        <v>0</v>
      </c>
    </row>
    <row r="1736" spans="1:37" x14ac:dyDescent="0.3">
      <c r="A1736">
        <v>20628</v>
      </c>
      <c r="B1736" t="s">
        <v>95</v>
      </c>
      <c r="C1736">
        <v>3</v>
      </c>
      <c r="D1736">
        <v>1</v>
      </c>
      <c r="E1736" t="s">
        <v>264</v>
      </c>
      <c r="F1736" s="85" t="s">
        <v>331</v>
      </c>
      <c r="G1736"/>
      <c r="H1736" t="s">
        <v>294</v>
      </c>
      <c r="I1736" t="s">
        <v>227</v>
      </c>
      <c r="J1736" t="s">
        <v>176</v>
      </c>
      <c r="K1736" s="1">
        <v>25.36</v>
      </c>
      <c r="L1736" s="1">
        <v>0</v>
      </c>
      <c r="M1736" s="1">
        <v>0</v>
      </c>
      <c r="N1736" s="1">
        <v>25.36</v>
      </c>
      <c r="O1736" s="1">
        <v>2688.16</v>
      </c>
      <c r="P1736" s="1">
        <v>0</v>
      </c>
      <c r="Q1736" s="1">
        <v>0</v>
      </c>
      <c r="R1736" s="1">
        <v>2792.18</v>
      </c>
      <c r="S1736" t="s">
        <v>12</v>
      </c>
      <c r="T1736" s="13">
        <v>45837</v>
      </c>
      <c r="U1736" s="1" t="str">
        <f>IF(ESTIMATIVA[[#This Row],[QT_AREA_REAL]]&gt;0,"1- Colhido","2- à Colher")</f>
        <v>1- Colhido</v>
      </c>
      <c r="V1736" s="1" t="str">
        <f>IF(ESTIMATIVA[[#This Row],[QT_AREA_REST1]]&gt;0,"Reestimativa 1",IF(ESTIMATIVA[[#This Row],[QT_AREA_REAL]]=0,"Reestimativa 1","Realizado"))</f>
        <v>Realizado</v>
      </c>
      <c r="W1736" s="1" t="str">
        <f>IF(ESTIMATIVA[[#This Row],[QT_AREA_REST2]]&gt;0,"Reestimativa 2",IF(ESTIMATIVA[[#This Row],[QT_AREA_REAL]]=0,"Reestimativa 2","Realizado"))</f>
        <v>Realizado</v>
      </c>
      <c r="X1736" s="1">
        <f>ESTIMATIVA[[#This Row],[QT_AREA_EST]]</f>
        <v>25.36</v>
      </c>
      <c r="Y1736" s="1">
        <f>IF(ESTIMATIVA[[#This Row],[QT_AREA_REST1]]&gt;0,ESTIMATIVA[[#This Row],[QT_AREA_REST1]],
  IF(ESTIMATIVA[[#This Row],[QT_AREA_REAL]]&gt;0,ESTIMATIVA[[#This Row],[QT_AREA_REAL]],ESTIMATIVA[[#This Row],[QT_AREA_EST]]))</f>
        <v>25.36</v>
      </c>
      <c r="Z173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25.36</v>
      </c>
      <c r="AA1736" s="1">
        <f>ESTIMATIVA[[#This Row],[QT_CANA_EST]]</f>
        <v>2688.16</v>
      </c>
      <c r="AB1736" s="1">
        <f>IF(ESTIMATIVA[[#This Row],[QT_CANA_REST1]]&gt;0,ESTIMATIVA[[#This Row],[QT_CANA_REST1]],
  IF(ESTIMATIVA[[#This Row],[QT_CANA_REAL]]&gt;0,ESTIMATIVA[[#This Row],[QT_CANA_REAL]],ESTIMATIVA[[#This Row],[QT_CANA_EST]]))</f>
        <v>2792.18</v>
      </c>
      <c r="AC173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2792.18</v>
      </c>
      <c r="AD1736" s="1">
        <f>IF(ESTIMATIVA[[#This Row],[QT_AREA_REAL]]&gt;0,ESTIMATIVA[[#This Row],[QT_CANA_REAL]],ESTIMATIVA[[#This Row],[QT_CANA_EST]])</f>
        <v>2792.18</v>
      </c>
      <c r="AE1736" s="1">
        <f>IF(ESTIMATIVA[[#This Row],[QT_AREA_REAL]]&gt;0,ESTIMATIVA[[#This Row],[QT_CANA_REAL]],ESTIMATIVA[[#This Row],[QT_CANA_REST1]])</f>
        <v>2792.18</v>
      </c>
      <c r="AF1736" s="1">
        <f>IF(ESTIMATIVA[[#This Row],[QT_AREA_REAL]]&gt;0,ESTIMATIVA[[#This Row],[QT_CANA_REAL]],ESTIMATIVA[[#This Row],[QT_CANA_REST2]])</f>
        <v>2792.18</v>
      </c>
      <c r="AG1736" s="1" t="str">
        <f>IF(COUNTIFS(GEADA!A:A,VALUE(ESTIMATIVA[[#This Row],[CD_UPNIVEL1]]&amp;TEXT(ESTIMATIVA[[#This Row],[CD_UPNIVEL3]],"0000")))&gt;0,"S","N")</f>
        <v>N</v>
      </c>
      <c r="AH173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36" s="55" t="str">
        <f>IF(ESTIMATIVA[[#This Row],[TP_CULTIVO]]="Irrigado",_xlfn.MAXIFS(IRRIGADO!J:J,IRRIGADO!C:C,ESTIMATIVA[[#This Row],[CD_UPNIVEL1]],IRRIGADO!E:E,ESTIMATIVA[[#This Row],[CD_UPNIVEL3]]),"")</f>
        <v/>
      </c>
      <c r="AJ173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36" s="1">
        <f>COUNTIFS(Apresentação!$E$23:$E$29,ESTIMATIVA[[#This Row],[CD_UPNIVEL1]])</f>
        <v>0</v>
      </c>
    </row>
    <row r="1737" spans="1:37" x14ac:dyDescent="0.3">
      <c r="A1737">
        <v>20628</v>
      </c>
      <c r="B1737" t="s">
        <v>95</v>
      </c>
      <c r="C1737">
        <v>4</v>
      </c>
      <c r="D1737">
        <v>1</v>
      </c>
      <c r="E1737" t="s">
        <v>267</v>
      </c>
      <c r="F1737" s="85" t="s">
        <v>331</v>
      </c>
      <c r="G1737"/>
      <c r="H1737" t="s">
        <v>294</v>
      </c>
      <c r="I1737" t="s">
        <v>195</v>
      </c>
      <c r="J1737" t="s">
        <v>176</v>
      </c>
      <c r="K1737" s="1">
        <v>23.61</v>
      </c>
      <c r="L1737" s="1">
        <v>0</v>
      </c>
      <c r="M1737" s="1">
        <v>0</v>
      </c>
      <c r="N1737" s="1">
        <v>23.61</v>
      </c>
      <c r="O1737" s="1">
        <v>2549.88</v>
      </c>
      <c r="P1737" s="1">
        <v>0</v>
      </c>
      <c r="Q1737" s="1">
        <v>0</v>
      </c>
      <c r="R1737" s="1">
        <v>2648.83</v>
      </c>
      <c r="S1737" t="s">
        <v>12</v>
      </c>
      <c r="T1737" s="13">
        <v>45837</v>
      </c>
      <c r="U1737" s="1" t="str">
        <f>IF(ESTIMATIVA[[#This Row],[QT_AREA_REAL]]&gt;0,"1- Colhido","2- à Colher")</f>
        <v>1- Colhido</v>
      </c>
      <c r="V1737" s="1" t="str">
        <f>IF(ESTIMATIVA[[#This Row],[QT_AREA_REST1]]&gt;0,"Reestimativa 1",IF(ESTIMATIVA[[#This Row],[QT_AREA_REAL]]=0,"Reestimativa 1","Realizado"))</f>
        <v>Realizado</v>
      </c>
      <c r="W1737" s="1" t="str">
        <f>IF(ESTIMATIVA[[#This Row],[QT_AREA_REST2]]&gt;0,"Reestimativa 2",IF(ESTIMATIVA[[#This Row],[QT_AREA_REAL]]=0,"Reestimativa 2","Realizado"))</f>
        <v>Realizado</v>
      </c>
      <c r="X1737" s="1">
        <f>ESTIMATIVA[[#This Row],[QT_AREA_EST]]</f>
        <v>23.61</v>
      </c>
      <c r="Y1737" s="1">
        <f>IF(ESTIMATIVA[[#This Row],[QT_AREA_REST1]]&gt;0,ESTIMATIVA[[#This Row],[QT_AREA_REST1]],
  IF(ESTIMATIVA[[#This Row],[QT_AREA_REAL]]&gt;0,ESTIMATIVA[[#This Row],[QT_AREA_REAL]],ESTIMATIVA[[#This Row],[QT_AREA_EST]]))</f>
        <v>23.61</v>
      </c>
      <c r="Z173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23.61</v>
      </c>
      <c r="AA1737" s="1">
        <f>ESTIMATIVA[[#This Row],[QT_CANA_EST]]</f>
        <v>2549.88</v>
      </c>
      <c r="AB1737" s="1">
        <f>IF(ESTIMATIVA[[#This Row],[QT_CANA_REST1]]&gt;0,ESTIMATIVA[[#This Row],[QT_CANA_REST1]],
  IF(ESTIMATIVA[[#This Row],[QT_CANA_REAL]]&gt;0,ESTIMATIVA[[#This Row],[QT_CANA_REAL]],ESTIMATIVA[[#This Row],[QT_CANA_EST]]))</f>
        <v>2648.83</v>
      </c>
      <c r="AC173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2648.83</v>
      </c>
      <c r="AD1737" s="1">
        <f>IF(ESTIMATIVA[[#This Row],[QT_AREA_REAL]]&gt;0,ESTIMATIVA[[#This Row],[QT_CANA_REAL]],ESTIMATIVA[[#This Row],[QT_CANA_EST]])</f>
        <v>2648.83</v>
      </c>
      <c r="AE1737" s="1">
        <f>IF(ESTIMATIVA[[#This Row],[QT_AREA_REAL]]&gt;0,ESTIMATIVA[[#This Row],[QT_CANA_REAL]],ESTIMATIVA[[#This Row],[QT_CANA_REST1]])</f>
        <v>2648.83</v>
      </c>
      <c r="AF1737" s="1">
        <f>IF(ESTIMATIVA[[#This Row],[QT_AREA_REAL]]&gt;0,ESTIMATIVA[[#This Row],[QT_CANA_REAL]],ESTIMATIVA[[#This Row],[QT_CANA_REST2]])</f>
        <v>2648.83</v>
      </c>
      <c r="AG1737" s="1" t="str">
        <f>IF(COUNTIFS(GEADA!A:A,VALUE(ESTIMATIVA[[#This Row],[CD_UPNIVEL1]]&amp;TEXT(ESTIMATIVA[[#This Row],[CD_UPNIVEL3]],"0000")))&gt;0,"S","N")</f>
        <v>N</v>
      </c>
      <c r="AH173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37" s="55" t="str">
        <f>IF(ESTIMATIVA[[#This Row],[TP_CULTIVO]]="Irrigado",_xlfn.MAXIFS(IRRIGADO!J:J,IRRIGADO!C:C,ESTIMATIVA[[#This Row],[CD_UPNIVEL1]],IRRIGADO!E:E,ESTIMATIVA[[#This Row],[CD_UPNIVEL3]]),"")</f>
        <v/>
      </c>
      <c r="AJ173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37" s="1">
        <f>COUNTIFS(Apresentação!$E$23:$E$29,ESTIMATIVA[[#This Row],[CD_UPNIVEL1]])</f>
        <v>0</v>
      </c>
    </row>
    <row r="1738" spans="1:37" x14ac:dyDescent="0.3">
      <c r="A1738">
        <v>20628</v>
      </c>
      <c r="B1738" t="s">
        <v>95</v>
      </c>
      <c r="C1738">
        <v>5</v>
      </c>
      <c r="D1738">
        <v>1</v>
      </c>
      <c r="E1738" t="s">
        <v>267</v>
      </c>
      <c r="F1738" s="85" t="s">
        <v>331</v>
      </c>
      <c r="G1738"/>
      <c r="H1738" t="s">
        <v>294</v>
      </c>
      <c r="I1738" t="s">
        <v>195</v>
      </c>
      <c r="J1738" t="s">
        <v>176</v>
      </c>
      <c r="K1738" s="1">
        <v>6.14</v>
      </c>
      <c r="L1738" s="1">
        <v>0</v>
      </c>
      <c r="M1738" s="1">
        <v>0</v>
      </c>
      <c r="N1738" s="1">
        <v>6.14</v>
      </c>
      <c r="O1738" s="1">
        <v>663.12</v>
      </c>
      <c r="P1738" s="1">
        <v>0</v>
      </c>
      <c r="Q1738" s="1">
        <v>0</v>
      </c>
      <c r="R1738" s="1">
        <v>688.9</v>
      </c>
      <c r="S1738" t="s">
        <v>12</v>
      </c>
      <c r="T1738" s="13">
        <v>45837</v>
      </c>
      <c r="U1738" s="1" t="str">
        <f>IF(ESTIMATIVA[[#This Row],[QT_AREA_REAL]]&gt;0,"1- Colhido","2- à Colher")</f>
        <v>1- Colhido</v>
      </c>
      <c r="V1738" s="1" t="str">
        <f>IF(ESTIMATIVA[[#This Row],[QT_AREA_REST1]]&gt;0,"Reestimativa 1",IF(ESTIMATIVA[[#This Row],[QT_AREA_REAL]]=0,"Reestimativa 1","Realizado"))</f>
        <v>Realizado</v>
      </c>
      <c r="W1738" s="1" t="str">
        <f>IF(ESTIMATIVA[[#This Row],[QT_AREA_REST2]]&gt;0,"Reestimativa 2",IF(ESTIMATIVA[[#This Row],[QT_AREA_REAL]]=0,"Reestimativa 2","Realizado"))</f>
        <v>Realizado</v>
      </c>
      <c r="X1738" s="1">
        <f>ESTIMATIVA[[#This Row],[QT_AREA_EST]]</f>
        <v>6.14</v>
      </c>
      <c r="Y1738" s="1">
        <f>IF(ESTIMATIVA[[#This Row],[QT_AREA_REST1]]&gt;0,ESTIMATIVA[[#This Row],[QT_AREA_REST1]],
  IF(ESTIMATIVA[[#This Row],[QT_AREA_REAL]]&gt;0,ESTIMATIVA[[#This Row],[QT_AREA_REAL]],ESTIMATIVA[[#This Row],[QT_AREA_EST]]))</f>
        <v>6.14</v>
      </c>
      <c r="Z173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6.14</v>
      </c>
      <c r="AA1738" s="1">
        <f>ESTIMATIVA[[#This Row],[QT_CANA_EST]]</f>
        <v>663.12</v>
      </c>
      <c r="AB1738" s="1">
        <f>IF(ESTIMATIVA[[#This Row],[QT_CANA_REST1]]&gt;0,ESTIMATIVA[[#This Row],[QT_CANA_REST1]],
  IF(ESTIMATIVA[[#This Row],[QT_CANA_REAL]]&gt;0,ESTIMATIVA[[#This Row],[QT_CANA_REAL]],ESTIMATIVA[[#This Row],[QT_CANA_EST]]))</f>
        <v>688.9</v>
      </c>
      <c r="AC173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688.9</v>
      </c>
      <c r="AD1738" s="1">
        <f>IF(ESTIMATIVA[[#This Row],[QT_AREA_REAL]]&gt;0,ESTIMATIVA[[#This Row],[QT_CANA_REAL]],ESTIMATIVA[[#This Row],[QT_CANA_EST]])</f>
        <v>688.9</v>
      </c>
      <c r="AE1738" s="1">
        <f>IF(ESTIMATIVA[[#This Row],[QT_AREA_REAL]]&gt;0,ESTIMATIVA[[#This Row],[QT_CANA_REAL]],ESTIMATIVA[[#This Row],[QT_CANA_REST1]])</f>
        <v>688.9</v>
      </c>
      <c r="AF1738" s="1">
        <f>IF(ESTIMATIVA[[#This Row],[QT_AREA_REAL]]&gt;0,ESTIMATIVA[[#This Row],[QT_CANA_REAL]],ESTIMATIVA[[#This Row],[QT_CANA_REST2]])</f>
        <v>688.9</v>
      </c>
      <c r="AG1738" s="1" t="str">
        <f>IF(COUNTIFS(GEADA!A:A,VALUE(ESTIMATIVA[[#This Row],[CD_UPNIVEL1]]&amp;TEXT(ESTIMATIVA[[#This Row],[CD_UPNIVEL3]],"0000")))&gt;0,"S","N")</f>
        <v>N</v>
      </c>
      <c r="AH173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38" s="55" t="str">
        <f>IF(ESTIMATIVA[[#This Row],[TP_CULTIVO]]="Irrigado",_xlfn.MAXIFS(IRRIGADO!J:J,IRRIGADO!C:C,ESTIMATIVA[[#This Row],[CD_UPNIVEL1]],IRRIGADO!E:E,ESTIMATIVA[[#This Row],[CD_UPNIVEL3]]),"")</f>
        <v/>
      </c>
      <c r="AJ173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38" s="1">
        <f>COUNTIFS(Apresentação!$E$23:$E$29,ESTIMATIVA[[#This Row],[CD_UPNIVEL1]])</f>
        <v>0</v>
      </c>
    </row>
    <row r="1739" spans="1:37" x14ac:dyDescent="0.3">
      <c r="A1739">
        <v>20628</v>
      </c>
      <c r="B1739" t="s">
        <v>95</v>
      </c>
      <c r="C1739">
        <v>6</v>
      </c>
      <c r="D1739">
        <v>1</v>
      </c>
      <c r="E1739" t="s">
        <v>264</v>
      </c>
      <c r="F1739" s="85" t="s">
        <v>331</v>
      </c>
      <c r="G1739"/>
      <c r="H1739" t="s">
        <v>294</v>
      </c>
      <c r="I1739" t="s">
        <v>202</v>
      </c>
      <c r="J1739" t="s">
        <v>176</v>
      </c>
      <c r="K1739" s="1">
        <v>10.47</v>
      </c>
      <c r="L1739" s="1">
        <v>0</v>
      </c>
      <c r="M1739" s="1">
        <v>0</v>
      </c>
      <c r="N1739" s="1">
        <v>10.47</v>
      </c>
      <c r="O1739" s="1">
        <v>1088.8800000000001</v>
      </c>
      <c r="P1739" s="1">
        <v>0</v>
      </c>
      <c r="Q1739" s="1">
        <v>0</v>
      </c>
      <c r="R1739" s="1">
        <v>1128.18</v>
      </c>
      <c r="S1739" t="s">
        <v>12</v>
      </c>
      <c r="T1739" s="13">
        <v>45844</v>
      </c>
      <c r="U1739" s="1" t="str">
        <f>IF(ESTIMATIVA[[#This Row],[QT_AREA_REAL]]&gt;0,"1- Colhido","2- à Colher")</f>
        <v>1- Colhido</v>
      </c>
      <c r="V1739" s="1" t="str">
        <f>IF(ESTIMATIVA[[#This Row],[QT_AREA_REST1]]&gt;0,"Reestimativa 1",IF(ESTIMATIVA[[#This Row],[QT_AREA_REAL]]=0,"Reestimativa 1","Realizado"))</f>
        <v>Realizado</v>
      </c>
      <c r="W1739" s="1" t="str">
        <f>IF(ESTIMATIVA[[#This Row],[QT_AREA_REST2]]&gt;0,"Reestimativa 2",IF(ESTIMATIVA[[#This Row],[QT_AREA_REAL]]=0,"Reestimativa 2","Realizado"))</f>
        <v>Realizado</v>
      </c>
      <c r="X1739" s="1">
        <f>ESTIMATIVA[[#This Row],[QT_AREA_EST]]</f>
        <v>10.47</v>
      </c>
      <c r="Y1739" s="1">
        <f>IF(ESTIMATIVA[[#This Row],[QT_AREA_REST1]]&gt;0,ESTIMATIVA[[#This Row],[QT_AREA_REST1]],
  IF(ESTIMATIVA[[#This Row],[QT_AREA_REAL]]&gt;0,ESTIMATIVA[[#This Row],[QT_AREA_REAL]],ESTIMATIVA[[#This Row],[QT_AREA_EST]]))</f>
        <v>10.47</v>
      </c>
      <c r="Z173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10.47</v>
      </c>
      <c r="AA1739" s="1">
        <f>ESTIMATIVA[[#This Row],[QT_CANA_EST]]</f>
        <v>1088.8800000000001</v>
      </c>
      <c r="AB1739" s="1">
        <f>IF(ESTIMATIVA[[#This Row],[QT_CANA_REST1]]&gt;0,ESTIMATIVA[[#This Row],[QT_CANA_REST1]],
  IF(ESTIMATIVA[[#This Row],[QT_CANA_REAL]]&gt;0,ESTIMATIVA[[#This Row],[QT_CANA_REAL]],ESTIMATIVA[[#This Row],[QT_CANA_EST]]))</f>
        <v>1128.18</v>
      </c>
      <c r="AC173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1128.18</v>
      </c>
      <c r="AD1739" s="1">
        <f>IF(ESTIMATIVA[[#This Row],[QT_AREA_REAL]]&gt;0,ESTIMATIVA[[#This Row],[QT_CANA_REAL]],ESTIMATIVA[[#This Row],[QT_CANA_EST]])</f>
        <v>1128.18</v>
      </c>
      <c r="AE1739" s="1">
        <f>IF(ESTIMATIVA[[#This Row],[QT_AREA_REAL]]&gt;0,ESTIMATIVA[[#This Row],[QT_CANA_REAL]],ESTIMATIVA[[#This Row],[QT_CANA_REST1]])</f>
        <v>1128.18</v>
      </c>
      <c r="AF1739" s="1">
        <f>IF(ESTIMATIVA[[#This Row],[QT_AREA_REAL]]&gt;0,ESTIMATIVA[[#This Row],[QT_CANA_REAL]],ESTIMATIVA[[#This Row],[QT_CANA_REST2]])</f>
        <v>1128.18</v>
      </c>
      <c r="AG1739" s="1" t="str">
        <f>IF(COUNTIFS(GEADA!A:A,VALUE(ESTIMATIVA[[#This Row],[CD_UPNIVEL1]]&amp;TEXT(ESTIMATIVA[[#This Row],[CD_UPNIVEL3]],"0000")))&gt;0,"S","N")</f>
        <v>N</v>
      </c>
      <c r="AH173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39" s="55" t="str">
        <f>IF(ESTIMATIVA[[#This Row],[TP_CULTIVO]]="Irrigado",_xlfn.MAXIFS(IRRIGADO!J:J,IRRIGADO!C:C,ESTIMATIVA[[#This Row],[CD_UPNIVEL1]],IRRIGADO!E:E,ESTIMATIVA[[#This Row],[CD_UPNIVEL3]]),"")</f>
        <v/>
      </c>
      <c r="AJ173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39" s="1">
        <f>COUNTIFS(Apresentação!$E$23:$E$29,ESTIMATIVA[[#This Row],[CD_UPNIVEL1]])</f>
        <v>0</v>
      </c>
    </row>
    <row r="1740" spans="1:37" x14ac:dyDescent="0.3">
      <c r="A1740">
        <v>20628</v>
      </c>
      <c r="B1740" t="s">
        <v>95</v>
      </c>
      <c r="C1740">
        <v>7</v>
      </c>
      <c r="D1740">
        <v>1</v>
      </c>
      <c r="E1740" t="s">
        <v>264</v>
      </c>
      <c r="F1740" s="85" t="s">
        <v>331</v>
      </c>
      <c r="G1740"/>
      <c r="H1740" t="s">
        <v>294</v>
      </c>
      <c r="I1740" t="s">
        <v>202</v>
      </c>
      <c r="J1740" t="s">
        <v>176</v>
      </c>
      <c r="K1740" s="1">
        <v>15.24</v>
      </c>
      <c r="L1740" s="1">
        <v>0</v>
      </c>
      <c r="M1740" s="1">
        <v>0</v>
      </c>
      <c r="N1740" s="1">
        <v>15.24</v>
      </c>
      <c r="O1740" s="1">
        <v>1584.96</v>
      </c>
      <c r="P1740" s="1">
        <v>0</v>
      </c>
      <c r="Q1740" s="1">
        <v>0</v>
      </c>
      <c r="R1740" s="1">
        <v>1642.05</v>
      </c>
      <c r="S1740" t="s">
        <v>12</v>
      </c>
      <c r="T1740" s="13">
        <v>45844</v>
      </c>
      <c r="U1740" s="1" t="str">
        <f>IF(ESTIMATIVA[[#This Row],[QT_AREA_REAL]]&gt;0,"1- Colhido","2- à Colher")</f>
        <v>1- Colhido</v>
      </c>
      <c r="V1740" s="1" t="str">
        <f>IF(ESTIMATIVA[[#This Row],[QT_AREA_REST1]]&gt;0,"Reestimativa 1",IF(ESTIMATIVA[[#This Row],[QT_AREA_REAL]]=0,"Reestimativa 1","Realizado"))</f>
        <v>Realizado</v>
      </c>
      <c r="W1740" s="1" t="str">
        <f>IF(ESTIMATIVA[[#This Row],[QT_AREA_REST2]]&gt;0,"Reestimativa 2",IF(ESTIMATIVA[[#This Row],[QT_AREA_REAL]]=0,"Reestimativa 2","Realizado"))</f>
        <v>Realizado</v>
      </c>
      <c r="X1740" s="1">
        <f>ESTIMATIVA[[#This Row],[QT_AREA_EST]]</f>
        <v>15.24</v>
      </c>
      <c r="Y1740" s="1">
        <f>IF(ESTIMATIVA[[#This Row],[QT_AREA_REST1]]&gt;0,ESTIMATIVA[[#This Row],[QT_AREA_REST1]],
  IF(ESTIMATIVA[[#This Row],[QT_AREA_REAL]]&gt;0,ESTIMATIVA[[#This Row],[QT_AREA_REAL]],ESTIMATIVA[[#This Row],[QT_AREA_EST]]))</f>
        <v>15.24</v>
      </c>
      <c r="Z174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15.24</v>
      </c>
      <c r="AA1740" s="1">
        <f>ESTIMATIVA[[#This Row],[QT_CANA_EST]]</f>
        <v>1584.96</v>
      </c>
      <c r="AB1740" s="1">
        <f>IF(ESTIMATIVA[[#This Row],[QT_CANA_REST1]]&gt;0,ESTIMATIVA[[#This Row],[QT_CANA_REST1]],
  IF(ESTIMATIVA[[#This Row],[QT_CANA_REAL]]&gt;0,ESTIMATIVA[[#This Row],[QT_CANA_REAL]],ESTIMATIVA[[#This Row],[QT_CANA_EST]]))</f>
        <v>1642.05</v>
      </c>
      <c r="AC174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1642.05</v>
      </c>
      <c r="AD1740" s="1">
        <f>IF(ESTIMATIVA[[#This Row],[QT_AREA_REAL]]&gt;0,ESTIMATIVA[[#This Row],[QT_CANA_REAL]],ESTIMATIVA[[#This Row],[QT_CANA_EST]])</f>
        <v>1642.05</v>
      </c>
      <c r="AE1740" s="1">
        <f>IF(ESTIMATIVA[[#This Row],[QT_AREA_REAL]]&gt;0,ESTIMATIVA[[#This Row],[QT_CANA_REAL]],ESTIMATIVA[[#This Row],[QT_CANA_REST1]])</f>
        <v>1642.05</v>
      </c>
      <c r="AF1740" s="1">
        <f>IF(ESTIMATIVA[[#This Row],[QT_AREA_REAL]]&gt;0,ESTIMATIVA[[#This Row],[QT_CANA_REAL]],ESTIMATIVA[[#This Row],[QT_CANA_REST2]])</f>
        <v>1642.05</v>
      </c>
      <c r="AG1740" s="1" t="str">
        <f>IF(COUNTIFS(GEADA!A:A,VALUE(ESTIMATIVA[[#This Row],[CD_UPNIVEL1]]&amp;TEXT(ESTIMATIVA[[#This Row],[CD_UPNIVEL3]],"0000")))&gt;0,"S","N")</f>
        <v>N</v>
      </c>
      <c r="AH174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40" s="55" t="str">
        <f>IF(ESTIMATIVA[[#This Row],[TP_CULTIVO]]="Irrigado",_xlfn.MAXIFS(IRRIGADO!J:J,IRRIGADO!C:C,ESTIMATIVA[[#This Row],[CD_UPNIVEL1]],IRRIGADO!E:E,ESTIMATIVA[[#This Row],[CD_UPNIVEL3]]),"")</f>
        <v/>
      </c>
      <c r="AJ174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40" s="1">
        <f>COUNTIFS(Apresentação!$E$23:$E$29,ESTIMATIVA[[#This Row],[CD_UPNIVEL1]])</f>
        <v>0</v>
      </c>
    </row>
    <row r="1741" spans="1:37" x14ac:dyDescent="0.3">
      <c r="A1741">
        <v>20628</v>
      </c>
      <c r="B1741" t="s">
        <v>95</v>
      </c>
      <c r="C1741">
        <v>8</v>
      </c>
      <c r="D1741">
        <v>1</v>
      </c>
      <c r="E1741" t="s">
        <v>264</v>
      </c>
      <c r="F1741" s="85" t="s">
        <v>331</v>
      </c>
      <c r="G1741"/>
      <c r="H1741" t="s">
        <v>294</v>
      </c>
      <c r="I1741" t="s">
        <v>202</v>
      </c>
      <c r="J1741" t="s">
        <v>176</v>
      </c>
      <c r="K1741" s="1">
        <v>1.07</v>
      </c>
      <c r="L1741" s="1">
        <v>0</v>
      </c>
      <c r="M1741" s="1">
        <v>0</v>
      </c>
      <c r="N1741" s="1">
        <v>1.07</v>
      </c>
      <c r="O1741" s="1">
        <v>111.28</v>
      </c>
      <c r="P1741" s="1">
        <v>0</v>
      </c>
      <c r="Q1741" s="1">
        <v>0</v>
      </c>
      <c r="R1741" s="1">
        <v>115.08</v>
      </c>
      <c r="S1741" t="s">
        <v>12</v>
      </c>
      <c r="T1741" s="13">
        <v>45844</v>
      </c>
      <c r="U1741" s="1" t="str">
        <f>IF(ESTIMATIVA[[#This Row],[QT_AREA_REAL]]&gt;0,"1- Colhido","2- à Colher")</f>
        <v>1- Colhido</v>
      </c>
      <c r="V1741" s="1" t="str">
        <f>IF(ESTIMATIVA[[#This Row],[QT_AREA_REST1]]&gt;0,"Reestimativa 1",IF(ESTIMATIVA[[#This Row],[QT_AREA_REAL]]=0,"Reestimativa 1","Realizado"))</f>
        <v>Realizado</v>
      </c>
      <c r="W1741" s="1" t="str">
        <f>IF(ESTIMATIVA[[#This Row],[QT_AREA_REST2]]&gt;0,"Reestimativa 2",IF(ESTIMATIVA[[#This Row],[QT_AREA_REAL]]=0,"Reestimativa 2","Realizado"))</f>
        <v>Realizado</v>
      </c>
      <c r="X1741" s="1">
        <f>ESTIMATIVA[[#This Row],[QT_AREA_EST]]</f>
        <v>1.07</v>
      </c>
      <c r="Y1741" s="1">
        <f>IF(ESTIMATIVA[[#This Row],[QT_AREA_REST1]]&gt;0,ESTIMATIVA[[#This Row],[QT_AREA_REST1]],
  IF(ESTIMATIVA[[#This Row],[QT_AREA_REAL]]&gt;0,ESTIMATIVA[[#This Row],[QT_AREA_REAL]],ESTIMATIVA[[#This Row],[QT_AREA_EST]]))</f>
        <v>1.07</v>
      </c>
      <c r="Z174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1.07</v>
      </c>
      <c r="AA1741" s="1">
        <f>ESTIMATIVA[[#This Row],[QT_CANA_EST]]</f>
        <v>111.28</v>
      </c>
      <c r="AB1741" s="1">
        <f>IF(ESTIMATIVA[[#This Row],[QT_CANA_REST1]]&gt;0,ESTIMATIVA[[#This Row],[QT_CANA_REST1]],
  IF(ESTIMATIVA[[#This Row],[QT_CANA_REAL]]&gt;0,ESTIMATIVA[[#This Row],[QT_CANA_REAL]],ESTIMATIVA[[#This Row],[QT_CANA_EST]]))</f>
        <v>115.08</v>
      </c>
      <c r="AC174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115.08</v>
      </c>
      <c r="AD1741" s="1">
        <f>IF(ESTIMATIVA[[#This Row],[QT_AREA_REAL]]&gt;0,ESTIMATIVA[[#This Row],[QT_CANA_REAL]],ESTIMATIVA[[#This Row],[QT_CANA_EST]])</f>
        <v>115.08</v>
      </c>
      <c r="AE1741" s="1">
        <f>IF(ESTIMATIVA[[#This Row],[QT_AREA_REAL]]&gt;0,ESTIMATIVA[[#This Row],[QT_CANA_REAL]],ESTIMATIVA[[#This Row],[QT_CANA_REST1]])</f>
        <v>115.08</v>
      </c>
      <c r="AF1741" s="1">
        <f>IF(ESTIMATIVA[[#This Row],[QT_AREA_REAL]]&gt;0,ESTIMATIVA[[#This Row],[QT_CANA_REAL]],ESTIMATIVA[[#This Row],[QT_CANA_REST2]])</f>
        <v>115.08</v>
      </c>
      <c r="AG1741" s="1" t="str">
        <f>IF(COUNTIFS(GEADA!A:A,VALUE(ESTIMATIVA[[#This Row],[CD_UPNIVEL1]]&amp;TEXT(ESTIMATIVA[[#This Row],[CD_UPNIVEL3]],"0000")))&gt;0,"S","N")</f>
        <v>N</v>
      </c>
      <c r="AH174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41" s="55" t="str">
        <f>IF(ESTIMATIVA[[#This Row],[TP_CULTIVO]]="Irrigado",_xlfn.MAXIFS(IRRIGADO!J:J,IRRIGADO!C:C,ESTIMATIVA[[#This Row],[CD_UPNIVEL1]],IRRIGADO!E:E,ESTIMATIVA[[#This Row],[CD_UPNIVEL3]]),"")</f>
        <v/>
      </c>
      <c r="AJ174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41" s="1">
        <f>COUNTIFS(Apresentação!$E$23:$E$29,ESTIMATIVA[[#This Row],[CD_UPNIVEL1]])</f>
        <v>0</v>
      </c>
    </row>
    <row r="1742" spans="1:37" x14ac:dyDescent="0.3">
      <c r="A1742">
        <v>20630</v>
      </c>
      <c r="B1742" t="s">
        <v>30</v>
      </c>
      <c r="C1742">
        <v>1</v>
      </c>
      <c r="D1742">
        <v>1</v>
      </c>
      <c r="E1742" t="s">
        <v>264</v>
      </c>
      <c r="F1742" s="85" t="s">
        <v>331</v>
      </c>
      <c r="G1742"/>
      <c r="H1742" t="s">
        <v>295</v>
      </c>
      <c r="I1742" t="s">
        <v>199</v>
      </c>
      <c r="J1742" t="s">
        <v>176</v>
      </c>
      <c r="K1742" s="1">
        <v>16.420000000000002</v>
      </c>
      <c r="L1742" s="1">
        <v>0</v>
      </c>
      <c r="M1742" s="1">
        <v>0</v>
      </c>
      <c r="N1742" s="1">
        <v>16.420000000000002</v>
      </c>
      <c r="O1742" s="1">
        <v>1773.36</v>
      </c>
      <c r="P1742" s="1">
        <v>0</v>
      </c>
      <c r="Q1742" s="1">
        <v>0</v>
      </c>
      <c r="R1742" s="1">
        <v>2147.73</v>
      </c>
      <c r="S1742" t="s">
        <v>12</v>
      </c>
      <c r="T1742" s="13">
        <v>45725</v>
      </c>
      <c r="U1742" s="1" t="str">
        <f>IF(ESTIMATIVA[[#This Row],[QT_AREA_REAL]]&gt;0,"1- Colhido","2- à Colher")</f>
        <v>1- Colhido</v>
      </c>
      <c r="V1742" s="1" t="str">
        <f>IF(ESTIMATIVA[[#This Row],[QT_AREA_REST1]]&gt;0,"Reestimativa 1",IF(ESTIMATIVA[[#This Row],[QT_AREA_REAL]]=0,"Reestimativa 1","Realizado"))</f>
        <v>Realizado</v>
      </c>
      <c r="W1742" s="1" t="str">
        <f>IF(ESTIMATIVA[[#This Row],[QT_AREA_REST2]]&gt;0,"Reestimativa 2",IF(ESTIMATIVA[[#This Row],[QT_AREA_REAL]]=0,"Reestimativa 2","Realizado"))</f>
        <v>Realizado</v>
      </c>
      <c r="X1742" s="1">
        <f>ESTIMATIVA[[#This Row],[QT_AREA_EST]]</f>
        <v>16.420000000000002</v>
      </c>
      <c r="Y1742" s="1">
        <f>IF(ESTIMATIVA[[#This Row],[QT_AREA_REST1]]&gt;0,ESTIMATIVA[[#This Row],[QT_AREA_REST1]],
  IF(ESTIMATIVA[[#This Row],[QT_AREA_REAL]]&gt;0,ESTIMATIVA[[#This Row],[QT_AREA_REAL]],ESTIMATIVA[[#This Row],[QT_AREA_EST]]))</f>
        <v>16.420000000000002</v>
      </c>
      <c r="Z174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16.420000000000002</v>
      </c>
      <c r="AA1742" s="1">
        <f>ESTIMATIVA[[#This Row],[QT_CANA_EST]]</f>
        <v>1773.36</v>
      </c>
      <c r="AB1742" s="1">
        <f>IF(ESTIMATIVA[[#This Row],[QT_CANA_REST1]]&gt;0,ESTIMATIVA[[#This Row],[QT_CANA_REST1]],
  IF(ESTIMATIVA[[#This Row],[QT_CANA_REAL]]&gt;0,ESTIMATIVA[[#This Row],[QT_CANA_REAL]],ESTIMATIVA[[#This Row],[QT_CANA_EST]]))</f>
        <v>2147.73</v>
      </c>
      <c r="AC174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2147.73</v>
      </c>
      <c r="AD1742" s="1">
        <f>IF(ESTIMATIVA[[#This Row],[QT_AREA_REAL]]&gt;0,ESTIMATIVA[[#This Row],[QT_CANA_REAL]],ESTIMATIVA[[#This Row],[QT_CANA_EST]])</f>
        <v>2147.73</v>
      </c>
      <c r="AE1742" s="1">
        <f>IF(ESTIMATIVA[[#This Row],[QT_AREA_REAL]]&gt;0,ESTIMATIVA[[#This Row],[QT_CANA_REAL]],ESTIMATIVA[[#This Row],[QT_CANA_REST1]])</f>
        <v>2147.73</v>
      </c>
      <c r="AF1742" s="1">
        <f>IF(ESTIMATIVA[[#This Row],[QT_AREA_REAL]]&gt;0,ESTIMATIVA[[#This Row],[QT_CANA_REAL]],ESTIMATIVA[[#This Row],[QT_CANA_REST2]])</f>
        <v>2147.73</v>
      </c>
      <c r="AG1742" s="1" t="str">
        <f>IF(COUNTIFS(GEADA!A:A,VALUE(ESTIMATIVA[[#This Row],[CD_UPNIVEL1]]&amp;TEXT(ESTIMATIVA[[#This Row],[CD_UPNIVEL3]],"0000")))&gt;0,"S","N")</f>
        <v>N</v>
      </c>
      <c r="AH1742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742" s="55" t="str">
        <f>IF(ESTIMATIVA[[#This Row],[TP_CULTIVO]]="Irrigado",_xlfn.MAXIFS(IRRIGADO!J:J,IRRIGADO!C:C,ESTIMATIVA[[#This Row],[CD_UPNIVEL1]],IRRIGADO!E:E,ESTIMATIVA[[#This Row],[CD_UPNIVEL3]]),"")</f>
        <v/>
      </c>
      <c r="AJ174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42" s="1">
        <f>COUNTIFS(Apresentação!$E$23:$E$29,ESTIMATIVA[[#This Row],[CD_UPNIVEL1]])</f>
        <v>0</v>
      </c>
    </row>
    <row r="1743" spans="1:37" x14ac:dyDescent="0.3">
      <c r="A1743">
        <v>20630</v>
      </c>
      <c r="B1743" t="s">
        <v>30</v>
      </c>
      <c r="C1743">
        <v>2</v>
      </c>
      <c r="D1743">
        <v>1</v>
      </c>
      <c r="E1743" t="s">
        <v>264</v>
      </c>
      <c r="F1743" s="85" t="s">
        <v>333</v>
      </c>
      <c r="G1743"/>
      <c r="H1743" t="s">
        <v>295</v>
      </c>
      <c r="I1743" t="s">
        <v>199</v>
      </c>
      <c r="J1743" t="s">
        <v>176</v>
      </c>
      <c r="K1743" s="1">
        <v>11.39</v>
      </c>
      <c r="L1743" s="1">
        <v>0</v>
      </c>
      <c r="M1743" s="1">
        <v>0</v>
      </c>
      <c r="N1743" s="1">
        <v>11.39</v>
      </c>
      <c r="O1743" s="1">
        <v>1139</v>
      </c>
      <c r="P1743" s="1">
        <v>0</v>
      </c>
      <c r="Q1743" s="1">
        <v>0</v>
      </c>
      <c r="R1743" s="1">
        <v>1379.83</v>
      </c>
      <c r="S1743" t="s">
        <v>12</v>
      </c>
      <c r="T1743" s="13">
        <v>45725</v>
      </c>
      <c r="U1743" s="1" t="str">
        <f>IF(ESTIMATIVA[[#This Row],[QT_AREA_REAL]]&gt;0,"1- Colhido","2- à Colher")</f>
        <v>1- Colhido</v>
      </c>
      <c r="V1743" s="1" t="str">
        <f>IF(ESTIMATIVA[[#This Row],[QT_AREA_REST1]]&gt;0,"Reestimativa 1",IF(ESTIMATIVA[[#This Row],[QT_AREA_REAL]]=0,"Reestimativa 1","Realizado"))</f>
        <v>Realizado</v>
      </c>
      <c r="W1743" s="1" t="str">
        <f>IF(ESTIMATIVA[[#This Row],[QT_AREA_REST2]]&gt;0,"Reestimativa 2",IF(ESTIMATIVA[[#This Row],[QT_AREA_REAL]]=0,"Reestimativa 2","Realizado"))</f>
        <v>Realizado</v>
      </c>
      <c r="X1743" s="1">
        <f>ESTIMATIVA[[#This Row],[QT_AREA_EST]]</f>
        <v>11.39</v>
      </c>
      <c r="Y1743" s="1">
        <f>IF(ESTIMATIVA[[#This Row],[QT_AREA_REST1]]&gt;0,ESTIMATIVA[[#This Row],[QT_AREA_REST1]],
  IF(ESTIMATIVA[[#This Row],[QT_AREA_REAL]]&gt;0,ESTIMATIVA[[#This Row],[QT_AREA_REAL]],ESTIMATIVA[[#This Row],[QT_AREA_EST]]))</f>
        <v>11.39</v>
      </c>
      <c r="Z174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11.39</v>
      </c>
      <c r="AA1743" s="1">
        <f>ESTIMATIVA[[#This Row],[QT_CANA_EST]]</f>
        <v>1139</v>
      </c>
      <c r="AB1743" s="1">
        <f>IF(ESTIMATIVA[[#This Row],[QT_CANA_REST1]]&gt;0,ESTIMATIVA[[#This Row],[QT_CANA_REST1]],
  IF(ESTIMATIVA[[#This Row],[QT_CANA_REAL]]&gt;0,ESTIMATIVA[[#This Row],[QT_CANA_REAL]],ESTIMATIVA[[#This Row],[QT_CANA_EST]]))</f>
        <v>1379.83</v>
      </c>
      <c r="AC174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1379.83</v>
      </c>
      <c r="AD1743" s="1">
        <f>IF(ESTIMATIVA[[#This Row],[QT_AREA_REAL]]&gt;0,ESTIMATIVA[[#This Row],[QT_CANA_REAL]],ESTIMATIVA[[#This Row],[QT_CANA_EST]])</f>
        <v>1379.83</v>
      </c>
      <c r="AE1743" s="1">
        <f>IF(ESTIMATIVA[[#This Row],[QT_AREA_REAL]]&gt;0,ESTIMATIVA[[#This Row],[QT_CANA_REAL]],ESTIMATIVA[[#This Row],[QT_CANA_REST1]])</f>
        <v>1379.83</v>
      </c>
      <c r="AF1743" s="1">
        <f>IF(ESTIMATIVA[[#This Row],[QT_AREA_REAL]]&gt;0,ESTIMATIVA[[#This Row],[QT_CANA_REAL]],ESTIMATIVA[[#This Row],[QT_CANA_REST2]])</f>
        <v>1379.83</v>
      </c>
      <c r="AG1743" s="1" t="str">
        <f>IF(COUNTIFS(GEADA!A:A,VALUE(ESTIMATIVA[[#This Row],[CD_UPNIVEL1]]&amp;TEXT(ESTIMATIVA[[#This Row],[CD_UPNIVEL3]],"0000")))&gt;0,"S","N")</f>
        <v>N</v>
      </c>
      <c r="AH1743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743" s="55" t="str">
        <f>IF(ESTIMATIVA[[#This Row],[TP_CULTIVO]]="Irrigado",_xlfn.MAXIFS(IRRIGADO!J:J,IRRIGADO!C:C,ESTIMATIVA[[#This Row],[CD_UPNIVEL1]],IRRIGADO!E:E,ESTIMATIVA[[#This Row],[CD_UPNIVEL3]]),"")</f>
        <v/>
      </c>
      <c r="AJ174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43" s="1">
        <f>COUNTIFS(Apresentação!$E$23:$E$29,ESTIMATIVA[[#This Row],[CD_UPNIVEL1]])</f>
        <v>0</v>
      </c>
    </row>
    <row r="1744" spans="1:37" x14ac:dyDescent="0.3">
      <c r="A1744">
        <v>20631</v>
      </c>
      <c r="B1744" t="s">
        <v>96</v>
      </c>
      <c r="C1744">
        <v>1</v>
      </c>
      <c r="D1744">
        <v>2</v>
      </c>
      <c r="E1744" t="s">
        <v>266</v>
      </c>
      <c r="F1744" s="85" t="s">
        <v>331</v>
      </c>
      <c r="G1744"/>
      <c r="H1744" t="s">
        <v>295</v>
      </c>
      <c r="I1744" t="s">
        <v>195</v>
      </c>
      <c r="J1744" t="s">
        <v>176</v>
      </c>
      <c r="K1744" s="1">
        <v>40.630000000000003</v>
      </c>
      <c r="L1744" s="1">
        <v>40.630000000000003</v>
      </c>
      <c r="M1744" s="1">
        <v>0</v>
      </c>
      <c r="N1744" s="1">
        <v>40.630000000000003</v>
      </c>
      <c r="O1744" s="1">
        <v>3575.44</v>
      </c>
      <c r="P1744" s="1">
        <v>3656.7</v>
      </c>
      <c r="Q1744" s="1">
        <v>0</v>
      </c>
      <c r="R1744" s="1">
        <v>3173.48</v>
      </c>
      <c r="S1744" t="s">
        <v>12</v>
      </c>
      <c r="T1744" s="13">
        <v>45858</v>
      </c>
      <c r="U1744" s="1" t="str">
        <f>IF(ESTIMATIVA[[#This Row],[QT_AREA_REAL]]&gt;0,"1- Colhido","2- à Colher")</f>
        <v>1- Colhido</v>
      </c>
      <c r="V1744" s="1" t="str">
        <f>IF(ESTIMATIVA[[#This Row],[QT_AREA_REST1]]&gt;0,"Reestimativa 1",IF(ESTIMATIVA[[#This Row],[QT_AREA_REAL]]=0,"Reestimativa 1","Realizado"))</f>
        <v>Reestimativa 1</v>
      </c>
      <c r="W1744" s="1" t="str">
        <f>IF(ESTIMATIVA[[#This Row],[QT_AREA_REST2]]&gt;0,"Reestimativa 2",IF(ESTIMATIVA[[#This Row],[QT_AREA_REAL]]=0,"Reestimativa 2","Realizado"))</f>
        <v>Realizado</v>
      </c>
      <c r="X1744" s="1">
        <f>ESTIMATIVA[[#This Row],[QT_AREA_EST]]</f>
        <v>40.630000000000003</v>
      </c>
      <c r="Y1744" s="1">
        <f>IF(ESTIMATIVA[[#This Row],[QT_AREA_REST1]]&gt;0,ESTIMATIVA[[#This Row],[QT_AREA_REST1]],
  IF(ESTIMATIVA[[#This Row],[QT_AREA_REAL]]&gt;0,ESTIMATIVA[[#This Row],[QT_AREA_REAL]],ESTIMATIVA[[#This Row],[QT_AREA_EST]]))</f>
        <v>40.630000000000003</v>
      </c>
      <c r="Z174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40.630000000000003</v>
      </c>
      <c r="AA1744" s="1">
        <f>ESTIMATIVA[[#This Row],[QT_CANA_EST]]</f>
        <v>3575.44</v>
      </c>
      <c r="AB1744" s="1">
        <f>IF(ESTIMATIVA[[#This Row],[QT_CANA_REST1]]&gt;0,ESTIMATIVA[[#This Row],[QT_CANA_REST1]],
  IF(ESTIMATIVA[[#This Row],[QT_CANA_REAL]]&gt;0,ESTIMATIVA[[#This Row],[QT_CANA_REAL]],ESTIMATIVA[[#This Row],[QT_CANA_EST]]))</f>
        <v>3656.7</v>
      </c>
      <c r="AC174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3173.48</v>
      </c>
      <c r="AD1744" s="1">
        <f>IF(ESTIMATIVA[[#This Row],[QT_AREA_REAL]]&gt;0,ESTIMATIVA[[#This Row],[QT_CANA_REAL]],ESTIMATIVA[[#This Row],[QT_CANA_EST]])</f>
        <v>3173.48</v>
      </c>
      <c r="AE1744" s="1">
        <f>IF(ESTIMATIVA[[#This Row],[QT_AREA_REAL]]&gt;0,ESTIMATIVA[[#This Row],[QT_CANA_REAL]],ESTIMATIVA[[#This Row],[QT_CANA_REST1]])</f>
        <v>3173.48</v>
      </c>
      <c r="AF1744" s="1">
        <f>IF(ESTIMATIVA[[#This Row],[QT_AREA_REAL]]&gt;0,ESTIMATIVA[[#This Row],[QT_CANA_REAL]],ESTIMATIVA[[#This Row],[QT_CANA_REST2]])</f>
        <v>3173.48</v>
      </c>
      <c r="AG1744" s="1" t="str">
        <f>IF(COUNTIFS(GEADA!A:A,VALUE(ESTIMATIVA[[#This Row],[CD_UPNIVEL1]]&amp;TEXT(ESTIMATIVA[[#This Row],[CD_UPNIVEL3]],"0000")))&gt;0,"S","N")</f>
        <v>S</v>
      </c>
      <c r="AH1744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744" s="55" t="str">
        <f>IF(ESTIMATIVA[[#This Row],[TP_CULTIVO]]="Irrigado",_xlfn.MAXIFS(IRRIGADO!J:J,IRRIGADO!C:C,ESTIMATIVA[[#This Row],[CD_UPNIVEL1]],IRRIGADO!E:E,ESTIMATIVA[[#This Row],[CD_UPNIVEL3]]),"")</f>
        <v/>
      </c>
      <c r="AJ174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44" s="1">
        <f>COUNTIFS(Apresentação!$E$23:$E$29,ESTIMATIVA[[#This Row],[CD_UPNIVEL1]])</f>
        <v>0</v>
      </c>
    </row>
    <row r="1745" spans="1:37" x14ac:dyDescent="0.3">
      <c r="A1745">
        <v>20631</v>
      </c>
      <c r="B1745" t="s">
        <v>96</v>
      </c>
      <c r="C1745">
        <v>2</v>
      </c>
      <c r="D1745">
        <v>2</v>
      </c>
      <c r="E1745" t="s">
        <v>266</v>
      </c>
      <c r="F1745" s="85" t="s">
        <v>331</v>
      </c>
      <c r="G1745"/>
      <c r="H1745" t="s">
        <v>295</v>
      </c>
      <c r="I1745" t="s">
        <v>195</v>
      </c>
      <c r="J1745" t="s">
        <v>176</v>
      </c>
      <c r="K1745" s="1">
        <v>30.47</v>
      </c>
      <c r="L1745" s="1">
        <v>30.47</v>
      </c>
      <c r="M1745" s="1">
        <v>0</v>
      </c>
      <c r="N1745" s="1">
        <v>30.47</v>
      </c>
      <c r="O1745" s="1">
        <v>2681.36</v>
      </c>
      <c r="P1745" s="1">
        <v>2742.3</v>
      </c>
      <c r="Q1745" s="1">
        <v>0</v>
      </c>
      <c r="R1745" s="1">
        <v>2379.6</v>
      </c>
      <c r="S1745" t="s">
        <v>12</v>
      </c>
      <c r="T1745" s="13">
        <v>45858</v>
      </c>
      <c r="U1745" s="1" t="str">
        <f>IF(ESTIMATIVA[[#This Row],[QT_AREA_REAL]]&gt;0,"1- Colhido","2- à Colher")</f>
        <v>1- Colhido</v>
      </c>
      <c r="V1745" s="1" t="str">
        <f>IF(ESTIMATIVA[[#This Row],[QT_AREA_REST1]]&gt;0,"Reestimativa 1",IF(ESTIMATIVA[[#This Row],[QT_AREA_REAL]]=0,"Reestimativa 1","Realizado"))</f>
        <v>Reestimativa 1</v>
      </c>
      <c r="W1745" s="1" t="str">
        <f>IF(ESTIMATIVA[[#This Row],[QT_AREA_REST2]]&gt;0,"Reestimativa 2",IF(ESTIMATIVA[[#This Row],[QT_AREA_REAL]]=0,"Reestimativa 2","Realizado"))</f>
        <v>Realizado</v>
      </c>
      <c r="X1745" s="1">
        <f>ESTIMATIVA[[#This Row],[QT_AREA_EST]]</f>
        <v>30.47</v>
      </c>
      <c r="Y1745" s="1">
        <f>IF(ESTIMATIVA[[#This Row],[QT_AREA_REST1]]&gt;0,ESTIMATIVA[[#This Row],[QT_AREA_REST1]],
  IF(ESTIMATIVA[[#This Row],[QT_AREA_REAL]]&gt;0,ESTIMATIVA[[#This Row],[QT_AREA_REAL]],ESTIMATIVA[[#This Row],[QT_AREA_EST]]))</f>
        <v>30.47</v>
      </c>
      <c r="Z174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30.47</v>
      </c>
      <c r="AA1745" s="1">
        <f>ESTIMATIVA[[#This Row],[QT_CANA_EST]]</f>
        <v>2681.36</v>
      </c>
      <c r="AB1745" s="1">
        <f>IF(ESTIMATIVA[[#This Row],[QT_CANA_REST1]]&gt;0,ESTIMATIVA[[#This Row],[QT_CANA_REST1]],
  IF(ESTIMATIVA[[#This Row],[QT_CANA_REAL]]&gt;0,ESTIMATIVA[[#This Row],[QT_CANA_REAL]],ESTIMATIVA[[#This Row],[QT_CANA_EST]]))</f>
        <v>2742.3</v>
      </c>
      <c r="AC174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2379.6</v>
      </c>
      <c r="AD1745" s="1">
        <f>IF(ESTIMATIVA[[#This Row],[QT_AREA_REAL]]&gt;0,ESTIMATIVA[[#This Row],[QT_CANA_REAL]],ESTIMATIVA[[#This Row],[QT_CANA_EST]])</f>
        <v>2379.6</v>
      </c>
      <c r="AE1745" s="1">
        <f>IF(ESTIMATIVA[[#This Row],[QT_AREA_REAL]]&gt;0,ESTIMATIVA[[#This Row],[QT_CANA_REAL]],ESTIMATIVA[[#This Row],[QT_CANA_REST1]])</f>
        <v>2379.6</v>
      </c>
      <c r="AF1745" s="1">
        <f>IF(ESTIMATIVA[[#This Row],[QT_AREA_REAL]]&gt;0,ESTIMATIVA[[#This Row],[QT_CANA_REAL]],ESTIMATIVA[[#This Row],[QT_CANA_REST2]])</f>
        <v>2379.6</v>
      </c>
      <c r="AG1745" s="1" t="str">
        <f>IF(COUNTIFS(GEADA!A:A,VALUE(ESTIMATIVA[[#This Row],[CD_UPNIVEL1]]&amp;TEXT(ESTIMATIVA[[#This Row],[CD_UPNIVEL3]],"0000")))&gt;0,"S","N")</f>
        <v>S</v>
      </c>
      <c r="AH1745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745" s="55" t="str">
        <f>IF(ESTIMATIVA[[#This Row],[TP_CULTIVO]]="Irrigado",_xlfn.MAXIFS(IRRIGADO!J:J,IRRIGADO!C:C,ESTIMATIVA[[#This Row],[CD_UPNIVEL1]],IRRIGADO!E:E,ESTIMATIVA[[#This Row],[CD_UPNIVEL3]]),"")</f>
        <v/>
      </c>
      <c r="AJ174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45" s="1">
        <f>COUNTIFS(Apresentação!$E$23:$E$29,ESTIMATIVA[[#This Row],[CD_UPNIVEL1]])</f>
        <v>0</v>
      </c>
    </row>
    <row r="1746" spans="1:37" x14ac:dyDescent="0.3">
      <c r="A1746">
        <v>20631</v>
      </c>
      <c r="B1746" t="s">
        <v>96</v>
      </c>
      <c r="C1746">
        <v>3</v>
      </c>
      <c r="D1746">
        <v>2</v>
      </c>
      <c r="E1746" t="s">
        <v>266</v>
      </c>
      <c r="F1746" s="85" t="s">
        <v>331</v>
      </c>
      <c r="G1746"/>
      <c r="H1746" t="s">
        <v>295</v>
      </c>
      <c r="I1746" t="s">
        <v>195</v>
      </c>
      <c r="J1746" t="s">
        <v>176</v>
      </c>
      <c r="K1746" s="1">
        <v>44.27</v>
      </c>
      <c r="L1746" s="1">
        <v>44.27</v>
      </c>
      <c r="M1746" s="1">
        <v>0</v>
      </c>
      <c r="N1746" s="1">
        <v>44.27</v>
      </c>
      <c r="O1746" s="1">
        <v>3895.76</v>
      </c>
      <c r="P1746" s="1">
        <v>3984.3</v>
      </c>
      <c r="Q1746" s="1">
        <v>0</v>
      </c>
      <c r="R1746" s="1">
        <v>3924.8</v>
      </c>
      <c r="S1746" t="s">
        <v>12</v>
      </c>
      <c r="T1746" s="13">
        <v>45865</v>
      </c>
      <c r="U1746" s="1" t="str">
        <f>IF(ESTIMATIVA[[#This Row],[QT_AREA_REAL]]&gt;0,"1- Colhido","2- à Colher")</f>
        <v>1- Colhido</v>
      </c>
      <c r="V1746" s="1" t="str">
        <f>IF(ESTIMATIVA[[#This Row],[QT_AREA_REST1]]&gt;0,"Reestimativa 1",IF(ESTIMATIVA[[#This Row],[QT_AREA_REAL]]=0,"Reestimativa 1","Realizado"))</f>
        <v>Reestimativa 1</v>
      </c>
      <c r="W1746" s="1" t="str">
        <f>IF(ESTIMATIVA[[#This Row],[QT_AREA_REST2]]&gt;0,"Reestimativa 2",IF(ESTIMATIVA[[#This Row],[QT_AREA_REAL]]=0,"Reestimativa 2","Realizado"))</f>
        <v>Realizado</v>
      </c>
      <c r="X1746" s="1">
        <f>ESTIMATIVA[[#This Row],[QT_AREA_EST]]</f>
        <v>44.27</v>
      </c>
      <c r="Y1746" s="1">
        <f>IF(ESTIMATIVA[[#This Row],[QT_AREA_REST1]]&gt;0,ESTIMATIVA[[#This Row],[QT_AREA_REST1]],
  IF(ESTIMATIVA[[#This Row],[QT_AREA_REAL]]&gt;0,ESTIMATIVA[[#This Row],[QT_AREA_REAL]],ESTIMATIVA[[#This Row],[QT_AREA_EST]]))</f>
        <v>44.27</v>
      </c>
      <c r="Z174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44.27</v>
      </c>
      <c r="AA1746" s="1">
        <f>ESTIMATIVA[[#This Row],[QT_CANA_EST]]</f>
        <v>3895.76</v>
      </c>
      <c r="AB1746" s="1">
        <f>IF(ESTIMATIVA[[#This Row],[QT_CANA_REST1]]&gt;0,ESTIMATIVA[[#This Row],[QT_CANA_REST1]],
  IF(ESTIMATIVA[[#This Row],[QT_CANA_REAL]]&gt;0,ESTIMATIVA[[#This Row],[QT_CANA_REAL]],ESTIMATIVA[[#This Row],[QT_CANA_EST]]))</f>
        <v>3984.3</v>
      </c>
      <c r="AC174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3924.8</v>
      </c>
      <c r="AD1746" s="1">
        <f>IF(ESTIMATIVA[[#This Row],[QT_AREA_REAL]]&gt;0,ESTIMATIVA[[#This Row],[QT_CANA_REAL]],ESTIMATIVA[[#This Row],[QT_CANA_EST]])</f>
        <v>3924.8</v>
      </c>
      <c r="AE1746" s="1">
        <f>IF(ESTIMATIVA[[#This Row],[QT_AREA_REAL]]&gt;0,ESTIMATIVA[[#This Row],[QT_CANA_REAL]],ESTIMATIVA[[#This Row],[QT_CANA_REST1]])</f>
        <v>3924.8</v>
      </c>
      <c r="AF1746" s="1">
        <f>IF(ESTIMATIVA[[#This Row],[QT_AREA_REAL]]&gt;0,ESTIMATIVA[[#This Row],[QT_CANA_REAL]],ESTIMATIVA[[#This Row],[QT_CANA_REST2]])</f>
        <v>3924.8</v>
      </c>
      <c r="AG1746" s="1" t="str">
        <f>IF(COUNTIFS(GEADA!A:A,VALUE(ESTIMATIVA[[#This Row],[CD_UPNIVEL1]]&amp;TEXT(ESTIMATIVA[[#This Row],[CD_UPNIVEL3]],"0000")))&gt;0,"S","N")</f>
        <v>S</v>
      </c>
      <c r="AH1746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746" s="55" t="str">
        <f>IF(ESTIMATIVA[[#This Row],[TP_CULTIVO]]="Irrigado",_xlfn.MAXIFS(IRRIGADO!J:J,IRRIGADO!C:C,ESTIMATIVA[[#This Row],[CD_UPNIVEL1]],IRRIGADO!E:E,ESTIMATIVA[[#This Row],[CD_UPNIVEL3]]),"")</f>
        <v/>
      </c>
      <c r="AJ174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46" s="1">
        <f>COUNTIFS(Apresentação!$E$23:$E$29,ESTIMATIVA[[#This Row],[CD_UPNIVEL1]])</f>
        <v>0</v>
      </c>
    </row>
    <row r="1747" spans="1:37" x14ac:dyDescent="0.3">
      <c r="A1747">
        <v>20631</v>
      </c>
      <c r="B1747" t="s">
        <v>96</v>
      </c>
      <c r="C1747">
        <v>4</v>
      </c>
      <c r="D1747">
        <v>2</v>
      </c>
      <c r="E1747" t="s">
        <v>266</v>
      </c>
      <c r="F1747" s="85" t="s">
        <v>331</v>
      </c>
      <c r="G1747"/>
      <c r="H1747" t="s">
        <v>295</v>
      </c>
      <c r="I1747" t="s">
        <v>195</v>
      </c>
      <c r="J1747" t="s">
        <v>176</v>
      </c>
      <c r="K1747" s="1">
        <v>7.66</v>
      </c>
      <c r="L1747" s="1">
        <v>7.66</v>
      </c>
      <c r="M1747" s="1">
        <v>0</v>
      </c>
      <c r="N1747" s="1">
        <v>7.66</v>
      </c>
      <c r="O1747" s="1">
        <v>674.08</v>
      </c>
      <c r="P1747" s="1">
        <v>689.4</v>
      </c>
      <c r="Q1747" s="1">
        <v>0</v>
      </c>
      <c r="R1747" s="1">
        <v>664.69</v>
      </c>
      <c r="S1747" t="s">
        <v>12</v>
      </c>
      <c r="T1747" s="13">
        <v>45865</v>
      </c>
      <c r="U1747" s="1" t="str">
        <f>IF(ESTIMATIVA[[#This Row],[QT_AREA_REAL]]&gt;0,"1- Colhido","2- à Colher")</f>
        <v>1- Colhido</v>
      </c>
      <c r="V1747" s="1" t="str">
        <f>IF(ESTIMATIVA[[#This Row],[QT_AREA_REST1]]&gt;0,"Reestimativa 1",IF(ESTIMATIVA[[#This Row],[QT_AREA_REAL]]=0,"Reestimativa 1","Realizado"))</f>
        <v>Reestimativa 1</v>
      </c>
      <c r="W1747" s="1" t="str">
        <f>IF(ESTIMATIVA[[#This Row],[QT_AREA_REST2]]&gt;0,"Reestimativa 2",IF(ESTIMATIVA[[#This Row],[QT_AREA_REAL]]=0,"Reestimativa 2","Realizado"))</f>
        <v>Realizado</v>
      </c>
      <c r="X1747" s="1">
        <f>ESTIMATIVA[[#This Row],[QT_AREA_EST]]</f>
        <v>7.66</v>
      </c>
      <c r="Y1747" s="1">
        <f>IF(ESTIMATIVA[[#This Row],[QT_AREA_REST1]]&gt;0,ESTIMATIVA[[#This Row],[QT_AREA_REST1]],
  IF(ESTIMATIVA[[#This Row],[QT_AREA_REAL]]&gt;0,ESTIMATIVA[[#This Row],[QT_AREA_REAL]],ESTIMATIVA[[#This Row],[QT_AREA_EST]]))</f>
        <v>7.66</v>
      </c>
      <c r="Z174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7.66</v>
      </c>
      <c r="AA1747" s="1">
        <f>ESTIMATIVA[[#This Row],[QT_CANA_EST]]</f>
        <v>674.08</v>
      </c>
      <c r="AB1747" s="1">
        <f>IF(ESTIMATIVA[[#This Row],[QT_CANA_REST1]]&gt;0,ESTIMATIVA[[#This Row],[QT_CANA_REST1]],
  IF(ESTIMATIVA[[#This Row],[QT_CANA_REAL]]&gt;0,ESTIMATIVA[[#This Row],[QT_CANA_REAL]],ESTIMATIVA[[#This Row],[QT_CANA_EST]]))</f>
        <v>689.4</v>
      </c>
      <c r="AC174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664.69</v>
      </c>
      <c r="AD1747" s="1">
        <f>IF(ESTIMATIVA[[#This Row],[QT_AREA_REAL]]&gt;0,ESTIMATIVA[[#This Row],[QT_CANA_REAL]],ESTIMATIVA[[#This Row],[QT_CANA_EST]])</f>
        <v>664.69</v>
      </c>
      <c r="AE1747" s="1">
        <f>IF(ESTIMATIVA[[#This Row],[QT_AREA_REAL]]&gt;0,ESTIMATIVA[[#This Row],[QT_CANA_REAL]],ESTIMATIVA[[#This Row],[QT_CANA_REST1]])</f>
        <v>664.69</v>
      </c>
      <c r="AF1747" s="1">
        <f>IF(ESTIMATIVA[[#This Row],[QT_AREA_REAL]]&gt;0,ESTIMATIVA[[#This Row],[QT_CANA_REAL]],ESTIMATIVA[[#This Row],[QT_CANA_REST2]])</f>
        <v>664.69</v>
      </c>
      <c r="AG1747" s="1" t="str">
        <f>IF(COUNTIFS(GEADA!A:A,VALUE(ESTIMATIVA[[#This Row],[CD_UPNIVEL1]]&amp;TEXT(ESTIMATIVA[[#This Row],[CD_UPNIVEL3]],"0000")))&gt;0,"S","N")</f>
        <v>S</v>
      </c>
      <c r="AH1747" s="1" t="str">
        <f>IF(COUNTIFS(IRRIGADO!C:C,ESTIMATIVA[[#This Row],[CD_UPNIVEL1]],IRRIGADO!E:E,ESTIMATIVA[[#This Row],[CD_UPNIVEL3]])&gt;0,"Irrigado",IF(ESTIMATIVA[[#This Row],[DE_SIST_CULT]]="Mineral","Sequeiro",ESTIMATIVA[[#This Row],[DE_SIST_CULT]]))</f>
        <v>Fertirrigação</v>
      </c>
      <c r="AI1747" s="55" t="str">
        <f>IF(ESTIMATIVA[[#This Row],[TP_CULTIVO]]="Irrigado",_xlfn.MAXIFS(IRRIGADO!J:J,IRRIGADO!C:C,ESTIMATIVA[[#This Row],[CD_UPNIVEL1]],IRRIGADO!E:E,ESTIMATIVA[[#This Row],[CD_UPNIVEL3]]),"")</f>
        <v/>
      </c>
      <c r="AJ174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47" s="1">
        <f>COUNTIFS(Apresentação!$E$23:$E$29,ESTIMATIVA[[#This Row],[CD_UPNIVEL1]])</f>
        <v>0</v>
      </c>
    </row>
    <row r="1748" spans="1:37" x14ac:dyDescent="0.3">
      <c r="A1748">
        <v>20631</v>
      </c>
      <c r="B1748" t="s">
        <v>96</v>
      </c>
      <c r="C1748">
        <v>5</v>
      </c>
      <c r="D1748">
        <v>2</v>
      </c>
      <c r="E1748" t="s">
        <v>266</v>
      </c>
      <c r="F1748" s="85" t="s">
        <v>333</v>
      </c>
      <c r="G1748"/>
      <c r="H1748" t="s">
        <v>294</v>
      </c>
      <c r="I1748" t="s">
        <v>202</v>
      </c>
      <c r="J1748" t="s">
        <v>176</v>
      </c>
      <c r="K1748" s="1">
        <v>4.3899999999999997</v>
      </c>
      <c r="L1748" s="1">
        <v>4.3899999999999997</v>
      </c>
      <c r="M1748" s="1">
        <v>0</v>
      </c>
      <c r="N1748" s="1">
        <v>4.3899999999999997</v>
      </c>
      <c r="O1748" s="1">
        <v>329.25</v>
      </c>
      <c r="P1748" s="1">
        <v>355.59</v>
      </c>
      <c r="Q1748" s="1">
        <v>0</v>
      </c>
      <c r="R1748" s="1">
        <v>313.98</v>
      </c>
      <c r="S1748" t="s">
        <v>12</v>
      </c>
      <c r="T1748" s="13">
        <v>45872</v>
      </c>
      <c r="U1748" s="1" t="str">
        <f>IF(ESTIMATIVA[[#This Row],[QT_AREA_REAL]]&gt;0,"1- Colhido","2- à Colher")</f>
        <v>1- Colhido</v>
      </c>
      <c r="V1748" s="1" t="str">
        <f>IF(ESTIMATIVA[[#This Row],[QT_AREA_REST1]]&gt;0,"Reestimativa 1",IF(ESTIMATIVA[[#This Row],[QT_AREA_REAL]]=0,"Reestimativa 1","Realizado"))</f>
        <v>Reestimativa 1</v>
      </c>
      <c r="W1748" s="1" t="str">
        <f>IF(ESTIMATIVA[[#This Row],[QT_AREA_REST2]]&gt;0,"Reestimativa 2",IF(ESTIMATIVA[[#This Row],[QT_AREA_REAL]]=0,"Reestimativa 2","Realizado"))</f>
        <v>Realizado</v>
      </c>
      <c r="X1748" s="1">
        <f>ESTIMATIVA[[#This Row],[QT_AREA_EST]]</f>
        <v>4.3899999999999997</v>
      </c>
      <c r="Y1748" s="1">
        <f>IF(ESTIMATIVA[[#This Row],[QT_AREA_REST1]]&gt;0,ESTIMATIVA[[#This Row],[QT_AREA_REST1]],
  IF(ESTIMATIVA[[#This Row],[QT_AREA_REAL]]&gt;0,ESTIMATIVA[[#This Row],[QT_AREA_REAL]],ESTIMATIVA[[#This Row],[QT_AREA_EST]]))</f>
        <v>4.3899999999999997</v>
      </c>
      <c r="Z174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4.3899999999999997</v>
      </c>
      <c r="AA1748" s="1">
        <f>ESTIMATIVA[[#This Row],[QT_CANA_EST]]</f>
        <v>329.25</v>
      </c>
      <c r="AB1748" s="1">
        <f>IF(ESTIMATIVA[[#This Row],[QT_CANA_REST1]]&gt;0,ESTIMATIVA[[#This Row],[QT_CANA_REST1]],
  IF(ESTIMATIVA[[#This Row],[QT_CANA_REAL]]&gt;0,ESTIMATIVA[[#This Row],[QT_CANA_REAL]],ESTIMATIVA[[#This Row],[QT_CANA_EST]]))</f>
        <v>355.59</v>
      </c>
      <c r="AC174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313.98</v>
      </c>
      <c r="AD1748" s="1">
        <f>IF(ESTIMATIVA[[#This Row],[QT_AREA_REAL]]&gt;0,ESTIMATIVA[[#This Row],[QT_CANA_REAL]],ESTIMATIVA[[#This Row],[QT_CANA_EST]])</f>
        <v>313.98</v>
      </c>
      <c r="AE1748" s="1">
        <f>IF(ESTIMATIVA[[#This Row],[QT_AREA_REAL]]&gt;0,ESTIMATIVA[[#This Row],[QT_CANA_REAL]],ESTIMATIVA[[#This Row],[QT_CANA_REST1]])</f>
        <v>313.98</v>
      </c>
      <c r="AF1748" s="1">
        <f>IF(ESTIMATIVA[[#This Row],[QT_AREA_REAL]]&gt;0,ESTIMATIVA[[#This Row],[QT_CANA_REAL]],ESTIMATIVA[[#This Row],[QT_CANA_REST2]])</f>
        <v>313.98</v>
      </c>
      <c r="AG1748" s="1" t="str">
        <f>IF(COUNTIFS(GEADA!A:A,VALUE(ESTIMATIVA[[#This Row],[CD_UPNIVEL1]]&amp;TEXT(ESTIMATIVA[[#This Row],[CD_UPNIVEL3]],"0000")))&gt;0,"S","N")</f>
        <v>S</v>
      </c>
      <c r="AH174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48" s="55" t="str">
        <f>IF(ESTIMATIVA[[#This Row],[TP_CULTIVO]]="Irrigado",_xlfn.MAXIFS(IRRIGADO!J:J,IRRIGADO!C:C,ESTIMATIVA[[#This Row],[CD_UPNIVEL1]],IRRIGADO!E:E,ESTIMATIVA[[#This Row],[CD_UPNIVEL3]]),"")</f>
        <v/>
      </c>
      <c r="AJ174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48" s="1">
        <f>COUNTIFS(Apresentação!$E$23:$E$29,ESTIMATIVA[[#This Row],[CD_UPNIVEL1]])</f>
        <v>0</v>
      </c>
    </row>
    <row r="1749" spans="1:37" x14ac:dyDescent="0.3">
      <c r="A1749">
        <v>20631</v>
      </c>
      <c r="B1749" t="s">
        <v>96</v>
      </c>
      <c r="C1749">
        <v>6</v>
      </c>
      <c r="D1749">
        <v>2</v>
      </c>
      <c r="E1749" t="s">
        <v>266</v>
      </c>
      <c r="F1749" s="85" t="s">
        <v>333</v>
      </c>
      <c r="G1749"/>
      <c r="H1749" t="s">
        <v>294</v>
      </c>
      <c r="I1749" t="s">
        <v>202</v>
      </c>
      <c r="J1749" t="s">
        <v>176</v>
      </c>
      <c r="K1749" s="1">
        <v>43.12</v>
      </c>
      <c r="L1749" s="1">
        <v>43.12</v>
      </c>
      <c r="M1749" s="1">
        <v>0</v>
      </c>
      <c r="N1749" s="1">
        <v>43.12</v>
      </c>
      <c r="O1749" s="1">
        <v>3234</v>
      </c>
      <c r="P1749" s="1">
        <v>3492.72</v>
      </c>
      <c r="Q1749" s="1">
        <v>0</v>
      </c>
      <c r="R1749" s="1">
        <v>3081.32</v>
      </c>
      <c r="S1749" t="s">
        <v>12</v>
      </c>
      <c r="T1749" s="13">
        <v>45872</v>
      </c>
      <c r="U1749" s="1" t="str">
        <f>IF(ESTIMATIVA[[#This Row],[QT_AREA_REAL]]&gt;0,"1- Colhido","2- à Colher")</f>
        <v>1- Colhido</v>
      </c>
      <c r="V1749" s="1" t="str">
        <f>IF(ESTIMATIVA[[#This Row],[QT_AREA_REST1]]&gt;0,"Reestimativa 1",IF(ESTIMATIVA[[#This Row],[QT_AREA_REAL]]=0,"Reestimativa 1","Realizado"))</f>
        <v>Reestimativa 1</v>
      </c>
      <c r="W1749" s="1" t="str">
        <f>IF(ESTIMATIVA[[#This Row],[QT_AREA_REST2]]&gt;0,"Reestimativa 2",IF(ESTIMATIVA[[#This Row],[QT_AREA_REAL]]=0,"Reestimativa 2","Realizado"))</f>
        <v>Realizado</v>
      </c>
      <c r="X1749" s="1">
        <f>ESTIMATIVA[[#This Row],[QT_AREA_EST]]</f>
        <v>43.12</v>
      </c>
      <c r="Y1749" s="1">
        <f>IF(ESTIMATIVA[[#This Row],[QT_AREA_REST1]]&gt;0,ESTIMATIVA[[#This Row],[QT_AREA_REST1]],
  IF(ESTIMATIVA[[#This Row],[QT_AREA_REAL]]&gt;0,ESTIMATIVA[[#This Row],[QT_AREA_REAL]],ESTIMATIVA[[#This Row],[QT_AREA_EST]]))</f>
        <v>43.12</v>
      </c>
      <c r="Z174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43.12</v>
      </c>
      <c r="AA1749" s="1">
        <f>ESTIMATIVA[[#This Row],[QT_CANA_EST]]</f>
        <v>3234</v>
      </c>
      <c r="AB1749" s="1">
        <f>IF(ESTIMATIVA[[#This Row],[QT_CANA_REST1]]&gt;0,ESTIMATIVA[[#This Row],[QT_CANA_REST1]],
  IF(ESTIMATIVA[[#This Row],[QT_CANA_REAL]]&gt;0,ESTIMATIVA[[#This Row],[QT_CANA_REAL]],ESTIMATIVA[[#This Row],[QT_CANA_EST]]))</f>
        <v>3492.72</v>
      </c>
      <c r="AC174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3081.32</v>
      </c>
      <c r="AD1749" s="1">
        <f>IF(ESTIMATIVA[[#This Row],[QT_AREA_REAL]]&gt;0,ESTIMATIVA[[#This Row],[QT_CANA_REAL]],ESTIMATIVA[[#This Row],[QT_CANA_EST]])</f>
        <v>3081.32</v>
      </c>
      <c r="AE1749" s="1">
        <f>IF(ESTIMATIVA[[#This Row],[QT_AREA_REAL]]&gt;0,ESTIMATIVA[[#This Row],[QT_CANA_REAL]],ESTIMATIVA[[#This Row],[QT_CANA_REST1]])</f>
        <v>3081.32</v>
      </c>
      <c r="AF1749" s="1">
        <f>IF(ESTIMATIVA[[#This Row],[QT_AREA_REAL]]&gt;0,ESTIMATIVA[[#This Row],[QT_CANA_REAL]],ESTIMATIVA[[#This Row],[QT_CANA_REST2]])</f>
        <v>3081.32</v>
      </c>
      <c r="AG1749" s="1" t="str">
        <f>IF(COUNTIFS(GEADA!A:A,VALUE(ESTIMATIVA[[#This Row],[CD_UPNIVEL1]]&amp;TEXT(ESTIMATIVA[[#This Row],[CD_UPNIVEL3]],"0000")))&gt;0,"S","N")</f>
        <v>S</v>
      </c>
      <c r="AH174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49" s="55" t="str">
        <f>IF(ESTIMATIVA[[#This Row],[TP_CULTIVO]]="Irrigado",_xlfn.MAXIFS(IRRIGADO!J:J,IRRIGADO!C:C,ESTIMATIVA[[#This Row],[CD_UPNIVEL1]],IRRIGADO!E:E,ESTIMATIVA[[#This Row],[CD_UPNIVEL3]]),"")</f>
        <v/>
      </c>
      <c r="AJ174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49" s="1">
        <f>COUNTIFS(Apresentação!$E$23:$E$29,ESTIMATIVA[[#This Row],[CD_UPNIVEL1]])</f>
        <v>0</v>
      </c>
    </row>
    <row r="1750" spans="1:37" x14ac:dyDescent="0.3">
      <c r="A1750">
        <v>20631</v>
      </c>
      <c r="B1750" t="s">
        <v>96</v>
      </c>
      <c r="C1750">
        <v>7</v>
      </c>
      <c r="D1750">
        <v>2</v>
      </c>
      <c r="E1750" t="s">
        <v>266</v>
      </c>
      <c r="F1750" s="85" t="s">
        <v>331</v>
      </c>
      <c r="G1750"/>
      <c r="H1750" t="s">
        <v>294</v>
      </c>
      <c r="I1750" t="s">
        <v>202</v>
      </c>
      <c r="J1750" t="s">
        <v>176</v>
      </c>
      <c r="K1750" s="1">
        <v>45.83</v>
      </c>
      <c r="L1750" s="1">
        <v>45.83</v>
      </c>
      <c r="M1750" s="1">
        <v>45.83</v>
      </c>
      <c r="N1750" s="1">
        <v>45.83</v>
      </c>
      <c r="O1750" s="1">
        <v>3437.25</v>
      </c>
      <c r="P1750" s="1">
        <v>3712.23</v>
      </c>
      <c r="Q1750" s="1">
        <v>3712.23</v>
      </c>
      <c r="R1750" s="1">
        <v>3474.06</v>
      </c>
      <c r="S1750" t="s">
        <v>12</v>
      </c>
      <c r="T1750" s="13">
        <v>45977</v>
      </c>
      <c r="U1750" s="1" t="str">
        <f>IF(ESTIMATIVA[[#This Row],[QT_AREA_REAL]]&gt;0,"1- Colhido","2- à Colher")</f>
        <v>1- Colhido</v>
      </c>
      <c r="V1750" s="1" t="str">
        <f>IF(ESTIMATIVA[[#This Row],[QT_AREA_REST1]]&gt;0,"Reestimativa 1",IF(ESTIMATIVA[[#This Row],[QT_AREA_REAL]]=0,"Reestimativa 1","Realizado"))</f>
        <v>Reestimativa 1</v>
      </c>
      <c r="W1750" s="1" t="str">
        <f>IF(ESTIMATIVA[[#This Row],[QT_AREA_REST2]]&gt;0,"Reestimativa 2",IF(ESTIMATIVA[[#This Row],[QT_AREA_REAL]]=0,"Reestimativa 2","Realizado"))</f>
        <v>Reestimativa 2</v>
      </c>
      <c r="X1750" s="1">
        <f>ESTIMATIVA[[#This Row],[QT_AREA_EST]]</f>
        <v>45.83</v>
      </c>
      <c r="Y1750" s="1">
        <f>IF(ESTIMATIVA[[#This Row],[QT_AREA_REST1]]&gt;0,ESTIMATIVA[[#This Row],[QT_AREA_REST1]],
  IF(ESTIMATIVA[[#This Row],[QT_AREA_REAL]]&gt;0,ESTIMATIVA[[#This Row],[QT_AREA_REAL]],ESTIMATIVA[[#This Row],[QT_AREA_EST]]))</f>
        <v>45.83</v>
      </c>
      <c r="Z175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45.83</v>
      </c>
      <c r="AA1750" s="1">
        <f>ESTIMATIVA[[#This Row],[QT_CANA_EST]]</f>
        <v>3437.25</v>
      </c>
      <c r="AB1750" s="1">
        <f>IF(ESTIMATIVA[[#This Row],[QT_CANA_REST1]]&gt;0,ESTIMATIVA[[#This Row],[QT_CANA_REST1]],
  IF(ESTIMATIVA[[#This Row],[QT_CANA_REAL]]&gt;0,ESTIMATIVA[[#This Row],[QT_CANA_REAL]],ESTIMATIVA[[#This Row],[QT_CANA_EST]]))</f>
        <v>3712.23</v>
      </c>
      <c r="AC175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3712.23</v>
      </c>
      <c r="AD1750" s="1">
        <f>IF(ESTIMATIVA[[#This Row],[QT_AREA_REAL]]&gt;0,ESTIMATIVA[[#This Row],[QT_CANA_REAL]],ESTIMATIVA[[#This Row],[QT_CANA_EST]])</f>
        <v>3474.06</v>
      </c>
      <c r="AE1750" s="1">
        <f>IF(ESTIMATIVA[[#This Row],[QT_AREA_REAL]]&gt;0,ESTIMATIVA[[#This Row],[QT_CANA_REAL]],ESTIMATIVA[[#This Row],[QT_CANA_REST1]])</f>
        <v>3474.06</v>
      </c>
      <c r="AF1750" s="1">
        <f>IF(ESTIMATIVA[[#This Row],[QT_AREA_REAL]]&gt;0,ESTIMATIVA[[#This Row],[QT_CANA_REAL]],ESTIMATIVA[[#This Row],[QT_CANA_REST2]])</f>
        <v>3474.06</v>
      </c>
      <c r="AG1750" s="1" t="str">
        <f>IF(COUNTIFS(GEADA!A:A,VALUE(ESTIMATIVA[[#This Row],[CD_UPNIVEL1]]&amp;TEXT(ESTIMATIVA[[#This Row],[CD_UPNIVEL3]],"0000")))&gt;0,"S","N")</f>
        <v>S</v>
      </c>
      <c r="AH175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50" s="55" t="str">
        <f>IF(ESTIMATIVA[[#This Row],[TP_CULTIVO]]="Irrigado",_xlfn.MAXIFS(IRRIGADO!J:J,IRRIGADO!C:C,ESTIMATIVA[[#This Row],[CD_UPNIVEL1]],IRRIGADO!E:E,ESTIMATIVA[[#This Row],[CD_UPNIVEL3]]),"")</f>
        <v/>
      </c>
      <c r="AJ175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50" s="1">
        <f>COUNTIFS(Apresentação!$E$23:$E$29,ESTIMATIVA[[#This Row],[CD_UPNIVEL1]])</f>
        <v>0</v>
      </c>
    </row>
    <row r="1751" spans="1:37" x14ac:dyDescent="0.3">
      <c r="A1751">
        <v>20631</v>
      </c>
      <c r="B1751" t="s">
        <v>96</v>
      </c>
      <c r="C1751">
        <v>8</v>
      </c>
      <c r="D1751">
        <v>2</v>
      </c>
      <c r="E1751" t="s">
        <v>266</v>
      </c>
      <c r="F1751" s="85" t="s">
        <v>331</v>
      </c>
      <c r="G1751"/>
      <c r="H1751" t="s">
        <v>294</v>
      </c>
      <c r="I1751" t="s">
        <v>207</v>
      </c>
      <c r="J1751" t="s">
        <v>176</v>
      </c>
      <c r="K1751" s="1">
        <v>26.24</v>
      </c>
      <c r="L1751" s="1">
        <v>26.24</v>
      </c>
      <c r="M1751" s="1">
        <v>26.24</v>
      </c>
      <c r="N1751" s="1">
        <v>26.24</v>
      </c>
      <c r="O1751" s="1">
        <v>1968</v>
      </c>
      <c r="P1751" s="1">
        <v>2125.44</v>
      </c>
      <c r="Q1751" s="1">
        <v>2125.44</v>
      </c>
      <c r="R1751" s="1">
        <v>1989.17</v>
      </c>
      <c r="S1751" t="s">
        <v>12</v>
      </c>
      <c r="T1751" s="13">
        <v>45977</v>
      </c>
      <c r="U1751" s="1" t="str">
        <f>IF(ESTIMATIVA[[#This Row],[QT_AREA_REAL]]&gt;0,"1- Colhido","2- à Colher")</f>
        <v>1- Colhido</v>
      </c>
      <c r="V1751" s="1" t="str">
        <f>IF(ESTIMATIVA[[#This Row],[QT_AREA_REST1]]&gt;0,"Reestimativa 1",IF(ESTIMATIVA[[#This Row],[QT_AREA_REAL]]=0,"Reestimativa 1","Realizado"))</f>
        <v>Reestimativa 1</v>
      </c>
      <c r="W1751" s="1" t="str">
        <f>IF(ESTIMATIVA[[#This Row],[QT_AREA_REST2]]&gt;0,"Reestimativa 2",IF(ESTIMATIVA[[#This Row],[QT_AREA_REAL]]=0,"Reestimativa 2","Realizado"))</f>
        <v>Reestimativa 2</v>
      </c>
      <c r="X1751" s="1">
        <f>ESTIMATIVA[[#This Row],[QT_AREA_EST]]</f>
        <v>26.24</v>
      </c>
      <c r="Y1751" s="1">
        <f>IF(ESTIMATIVA[[#This Row],[QT_AREA_REST1]]&gt;0,ESTIMATIVA[[#This Row],[QT_AREA_REST1]],
  IF(ESTIMATIVA[[#This Row],[QT_AREA_REAL]]&gt;0,ESTIMATIVA[[#This Row],[QT_AREA_REAL]],ESTIMATIVA[[#This Row],[QT_AREA_EST]]))</f>
        <v>26.24</v>
      </c>
      <c r="Z175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26.24</v>
      </c>
      <c r="AA1751" s="1">
        <f>ESTIMATIVA[[#This Row],[QT_CANA_EST]]</f>
        <v>1968</v>
      </c>
      <c r="AB1751" s="1">
        <f>IF(ESTIMATIVA[[#This Row],[QT_CANA_REST1]]&gt;0,ESTIMATIVA[[#This Row],[QT_CANA_REST1]],
  IF(ESTIMATIVA[[#This Row],[QT_CANA_REAL]]&gt;0,ESTIMATIVA[[#This Row],[QT_CANA_REAL]],ESTIMATIVA[[#This Row],[QT_CANA_EST]]))</f>
        <v>2125.44</v>
      </c>
      <c r="AC175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2125.44</v>
      </c>
      <c r="AD1751" s="1">
        <f>IF(ESTIMATIVA[[#This Row],[QT_AREA_REAL]]&gt;0,ESTIMATIVA[[#This Row],[QT_CANA_REAL]],ESTIMATIVA[[#This Row],[QT_CANA_EST]])</f>
        <v>1989.17</v>
      </c>
      <c r="AE1751" s="1">
        <f>IF(ESTIMATIVA[[#This Row],[QT_AREA_REAL]]&gt;0,ESTIMATIVA[[#This Row],[QT_CANA_REAL]],ESTIMATIVA[[#This Row],[QT_CANA_REST1]])</f>
        <v>1989.17</v>
      </c>
      <c r="AF1751" s="1">
        <f>IF(ESTIMATIVA[[#This Row],[QT_AREA_REAL]]&gt;0,ESTIMATIVA[[#This Row],[QT_CANA_REAL]],ESTIMATIVA[[#This Row],[QT_CANA_REST2]])</f>
        <v>1989.17</v>
      </c>
      <c r="AG1751" s="1" t="str">
        <f>IF(COUNTIFS(GEADA!A:A,VALUE(ESTIMATIVA[[#This Row],[CD_UPNIVEL1]]&amp;TEXT(ESTIMATIVA[[#This Row],[CD_UPNIVEL3]],"0000")))&gt;0,"S","N")</f>
        <v>S</v>
      </c>
      <c r="AH175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51" s="55" t="str">
        <f>IF(ESTIMATIVA[[#This Row],[TP_CULTIVO]]="Irrigado",_xlfn.MAXIFS(IRRIGADO!J:J,IRRIGADO!C:C,ESTIMATIVA[[#This Row],[CD_UPNIVEL1]],IRRIGADO!E:E,ESTIMATIVA[[#This Row],[CD_UPNIVEL3]]),"")</f>
        <v/>
      </c>
      <c r="AJ175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51" s="1">
        <f>COUNTIFS(Apresentação!$E$23:$E$29,ESTIMATIVA[[#This Row],[CD_UPNIVEL1]])</f>
        <v>0</v>
      </c>
    </row>
    <row r="1752" spans="1:37" x14ac:dyDescent="0.3">
      <c r="A1752">
        <v>20631</v>
      </c>
      <c r="B1752" t="s">
        <v>96</v>
      </c>
      <c r="C1752">
        <v>9</v>
      </c>
      <c r="D1752">
        <v>2</v>
      </c>
      <c r="E1752" t="s">
        <v>266</v>
      </c>
      <c r="F1752" s="85" t="s">
        <v>331</v>
      </c>
      <c r="G1752"/>
      <c r="H1752" t="s">
        <v>294</v>
      </c>
      <c r="I1752" t="s">
        <v>207</v>
      </c>
      <c r="J1752" t="s">
        <v>176</v>
      </c>
      <c r="K1752" s="1">
        <v>17.190000000000001</v>
      </c>
      <c r="L1752" s="1">
        <v>17.190000000000001</v>
      </c>
      <c r="M1752" s="1">
        <v>17.190000000000001</v>
      </c>
      <c r="N1752" s="1">
        <v>17.190000000000001</v>
      </c>
      <c r="O1752" s="1">
        <v>1289.25</v>
      </c>
      <c r="P1752" s="1">
        <v>1443.96</v>
      </c>
      <c r="Q1752" s="1">
        <v>1443.96</v>
      </c>
      <c r="R1752" s="1">
        <v>1316.48</v>
      </c>
      <c r="S1752" t="s">
        <v>12</v>
      </c>
      <c r="T1752" s="13">
        <v>45977</v>
      </c>
      <c r="U1752" s="1" t="str">
        <f>IF(ESTIMATIVA[[#This Row],[QT_AREA_REAL]]&gt;0,"1- Colhido","2- à Colher")</f>
        <v>1- Colhido</v>
      </c>
      <c r="V1752" s="1" t="str">
        <f>IF(ESTIMATIVA[[#This Row],[QT_AREA_REST1]]&gt;0,"Reestimativa 1",IF(ESTIMATIVA[[#This Row],[QT_AREA_REAL]]=0,"Reestimativa 1","Realizado"))</f>
        <v>Reestimativa 1</v>
      </c>
      <c r="W1752" s="1" t="str">
        <f>IF(ESTIMATIVA[[#This Row],[QT_AREA_REST2]]&gt;0,"Reestimativa 2",IF(ESTIMATIVA[[#This Row],[QT_AREA_REAL]]=0,"Reestimativa 2","Realizado"))</f>
        <v>Reestimativa 2</v>
      </c>
      <c r="X1752" s="1">
        <f>ESTIMATIVA[[#This Row],[QT_AREA_EST]]</f>
        <v>17.190000000000001</v>
      </c>
      <c r="Y1752" s="1">
        <f>IF(ESTIMATIVA[[#This Row],[QT_AREA_REST1]]&gt;0,ESTIMATIVA[[#This Row],[QT_AREA_REST1]],
  IF(ESTIMATIVA[[#This Row],[QT_AREA_REAL]]&gt;0,ESTIMATIVA[[#This Row],[QT_AREA_REAL]],ESTIMATIVA[[#This Row],[QT_AREA_EST]]))</f>
        <v>17.190000000000001</v>
      </c>
      <c r="Z175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17.190000000000001</v>
      </c>
      <c r="AA1752" s="1">
        <f>ESTIMATIVA[[#This Row],[QT_CANA_EST]]</f>
        <v>1289.25</v>
      </c>
      <c r="AB1752" s="1">
        <f>IF(ESTIMATIVA[[#This Row],[QT_CANA_REST1]]&gt;0,ESTIMATIVA[[#This Row],[QT_CANA_REST1]],
  IF(ESTIMATIVA[[#This Row],[QT_CANA_REAL]]&gt;0,ESTIMATIVA[[#This Row],[QT_CANA_REAL]],ESTIMATIVA[[#This Row],[QT_CANA_EST]]))</f>
        <v>1443.96</v>
      </c>
      <c r="AC175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1443.96</v>
      </c>
      <c r="AD1752" s="1">
        <f>IF(ESTIMATIVA[[#This Row],[QT_AREA_REAL]]&gt;0,ESTIMATIVA[[#This Row],[QT_CANA_REAL]],ESTIMATIVA[[#This Row],[QT_CANA_EST]])</f>
        <v>1316.48</v>
      </c>
      <c r="AE1752" s="1">
        <f>IF(ESTIMATIVA[[#This Row],[QT_AREA_REAL]]&gt;0,ESTIMATIVA[[#This Row],[QT_CANA_REAL]],ESTIMATIVA[[#This Row],[QT_CANA_REST1]])</f>
        <v>1316.48</v>
      </c>
      <c r="AF1752" s="1">
        <f>IF(ESTIMATIVA[[#This Row],[QT_AREA_REAL]]&gt;0,ESTIMATIVA[[#This Row],[QT_CANA_REAL]],ESTIMATIVA[[#This Row],[QT_CANA_REST2]])</f>
        <v>1316.48</v>
      </c>
      <c r="AG1752" s="1" t="str">
        <f>IF(COUNTIFS(GEADA!A:A,VALUE(ESTIMATIVA[[#This Row],[CD_UPNIVEL1]]&amp;TEXT(ESTIMATIVA[[#This Row],[CD_UPNIVEL3]],"0000")))&gt;0,"S","N")</f>
        <v>S</v>
      </c>
      <c r="AH175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52" s="55" t="str">
        <f>IF(ESTIMATIVA[[#This Row],[TP_CULTIVO]]="Irrigado",_xlfn.MAXIFS(IRRIGADO!J:J,IRRIGADO!C:C,ESTIMATIVA[[#This Row],[CD_UPNIVEL1]],IRRIGADO!E:E,ESTIMATIVA[[#This Row],[CD_UPNIVEL3]]),"")</f>
        <v/>
      </c>
      <c r="AJ175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52" s="1">
        <f>COUNTIFS(Apresentação!$E$23:$E$29,ESTIMATIVA[[#This Row],[CD_UPNIVEL1]])</f>
        <v>0</v>
      </c>
    </row>
    <row r="1753" spans="1:37" x14ac:dyDescent="0.3">
      <c r="A1753">
        <v>20631</v>
      </c>
      <c r="B1753" t="s">
        <v>96</v>
      </c>
      <c r="C1753">
        <v>13</v>
      </c>
      <c r="D1753">
        <v>2</v>
      </c>
      <c r="E1753" t="s">
        <v>266</v>
      </c>
      <c r="F1753" s="85" t="s">
        <v>333</v>
      </c>
      <c r="G1753"/>
      <c r="H1753" t="s">
        <v>294</v>
      </c>
      <c r="I1753" t="s">
        <v>207</v>
      </c>
      <c r="J1753" t="s">
        <v>176</v>
      </c>
      <c r="K1753" s="1">
        <v>8.98</v>
      </c>
      <c r="L1753" s="1">
        <v>8.98</v>
      </c>
      <c r="M1753" s="1">
        <v>8.98</v>
      </c>
      <c r="N1753" s="1">
        <v>8.98</v>
      </c>
      <c r="O1753" s="1">
        <v>673.5</v>
      </c>
      <c r="P1753" s="1">
        <v>754.32</v>
      </c>
      <c r="Q1753" s="1">
        <v>754.32</v>
      </c>
      <c r="R1753" s="1">
        <v>679.7</v>
      </c>
      <c r="S1753" t="s">
        <v>12</v>
      </c>
      <c r="T1753" s="13">
        <v>45977</v>
      </c>
      <c r="U1753" s="1" t="str">
        <f>IF(ESTIMATIVA[[#This Row],[QT_AREA_REAL]]&gt;0,"1- Colhido","2- à Colher")</f>
        <v>1- Colhido</v>
      </c>
      <c r="V1753" s="1" t="str">
        <f>IF(ESTIMATIVA[[#This Row],[QT_AREA_REST1]]&gt;0,"Reestimativa 1",IF(ESTIMATIVA[[#This Row],[QT_AREA_REAL]]=0,"Reestimativa 1","Realizado"))</f>
        <v>Reestimativa 1</v>
      </c>
      <c r="W1753" s="1" t="str">
        <f>IF(ESTIMATIVA[[#This Row],[QT_AREA_REST2]]&gt;0,"Reestimativa 2",IF(ESTIMATIVA[[#This Row],[QT_AREA_REAL]]=0,"Reestimativa 2","Realizado"))</f>
        <v>Reestimativa 2</v>
      </c>
      <c r="X1753" s="1">
        <f>ESTIMATIVA[[#This Row],[QT_AREA_EST]]</f>
        <v>8.98</v>
      </c>
      <c r="Y1753" s="1">
        <f>IF(ESTIMATIVA[[#This Row],[QT_AREA_REST1]]&gt;0,ESTIMATIVA[[#This Row],[QT_AREA_REST1]],
  IF(ESTIMATIVA[[#This Row],[QT_AREA_REAL]]&gt;0,ESTIMATIVA[[#This Row],[QT_AREA_REAL]],ESTIMATIVA[[#This Row],[QT_AREA_EST]]))</f>
        <v>8.98</v>
      </c>
      <c r="Z175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8.98</v>
      </c>
      <c r="AA1753" s="1">
        <f>ESTIMATIVA[[#This Row],[QT_CANA_EST]]</f>
        <v>673.5</v>
      </c>
      <c r="AB1753" s="1">
        <f>IF(ESTIMATIVA[[#This Row],[QT_CANA_REST1]]&gt;0,ESTIMATIVA[[#This Row],[QT_CANA_REST1]],
  IF(ESTIMATIVA[[#This Row],[QT_CANA_REAL]]&gt;0,ESTIMATIVA[[#This Row],[QT_CANA_REAL]],ESTIMATIVA[[#This Row],[QT_CANA_EST]]))</f>
        <v>754.32</v>
      </c>
      <c r="AC175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754.32</v>
      </c>
      <c r="AD1753" s="1">
        <f>IF(ESTIMATIVA[[#This Row],[QT_AREA_REAL]]&gt;0,ESTIMATIVA[[#This Row],[QT_CANA_REAL]],ESTIMATIVA[[#This Row],[QT_CANA_EST]])</f>
        <v>679.7</v>
      </c>
      <c r="AE1753" s="1">
        <f>IF(ESTIMATIVA[[#This Row],[QT_AREA_REAL]]&gt;0,ESTIMATIVA[[#This Row],[QT_CANA_REAL]],ESTIMATIVA[[#This Row],[QT_CANA_REST1]])</f>
        <v>679.7</v>
      </c>
      <c r="AF1753" s="1">
        <f>IF(ESTIMATIVA[[#This Row],[QT_AREA_REAL]]&gt;0,ESTIMATIVA[[#This Row],[QT_CANA_REAL]],ESTIMATIVA[[#This Row],[QT_CANA_REST2]])</f>
        <v>679.7</v>
      </c>
      <c r="AG1753" s="1" t="str">
        <f>IF(COUNTIFS(GEADA!A:A,VALUE(ESTIMATIVA[[#This Row],[CD_UPNIVEL1]]&amp;TEXT(ESTIMATIVA[[#This Row],[CD_UPNIVEL3]],"0000")))&gt;0,"S","N")</f>
        <v>S</v>
      </c>
      <c r="AH175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53" s="55" t="str">
        <f>IF(ESTIMATIVA[[#This Row],[TP_CULTIVO]]="Irrigado",_xlfn.MAXIFS(IRRIGADO!J:J,IRRIGADO!C:C,ESTIMATIVA[[#This Row],[CD_UPNIVEL1]],IRRIGADO!E:E,ESTIMATIVA[[#This Row],[CD_UPNIVEL3]]),"")</f>
        <v/>
      </c>
      <c r="AJ175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53" s="1">
        <f>COUNTIFS(Apresentação!$E$23:$E$29,ESTIMATIVA[[#This Row],[CD_UPNIVEL1]])</f>
        <v>0</v>
      </c>
    </row>
    <row r="1754" spans="1:37" x14ac:dyDescent="0.3">
      <c r="A1754">
        <v>20631</v>
      </c>
      <c r="B1754" t="s">
        <v>96</v>
      </c>
      <c r="C1754">
        <v>14</v>
      </c>
      <c r="D1754">
        <v>2</v>
      </c>
      <c r="E1754" t="s">
        <v>266</v>
      </c>
      <c r="F1754" s="85" t="s">
        <v>333</v>
      </c>
      <c r="G1754"/>
      <c r="H1754" t="s">
        <v>294</v>
      </c>
      <c r="I1754" t="s">
        <v>207</v>
      </c>
      <c r="J1754" t="s">
        <v>176</v>
      </c>
      <c r="K1754" s="1">
        <v>14.76</v>
      </c>
      <c r="L1754" s="1">
        <v>14.76</v>
      </c>
      <c r="M1754" s="1">
        <v>14.76</v>
      </c>
      <c r="N1754" s="1">
        <v>14.76</v>
      </c>
      <c r="O1754" s="1">
        <v>1107</v>
      </c>
      <c r="P1754" s="1">
        <v>1298.8800000000001</v>
      </c>
      <c r="Q1754" s="1">
        <v>1298.8800000000001</v>
      </c>
      <c r="R1754" s="1">
        <v>1142.31</v>
      </c>
      <c r="S1754" t="s">
        <v>12</v>
      </c>
      <c r="T1754" s="13">
        <v>45977</v>
      </c>
      <c r="U1754" s="1" t="str">
        <f>IF(ESTIMATIVA[[#This Row],[QT_AREA_REAL]]&gt;0,"1- Colhido","2- à Colher")</f>
        <v>1- Colhido</v>
      </c>
      <c r="V1754" s="1" t="str">
        <f>IF(ESTIMATIVA[[#This Row],[QT_AREA_REST1]]&gt;0,"Reestimativa 1",IF(ESTIMATIVA[[#This Row],[QT_AREA_REAL]]=0,"Reestimativa 1","Realizado"))</f>
        <v>Reestimativa 1</v>
      </c>
      <c r="W1754" s="1" t="str">
        <f>IF(ESTIMATIVA[[#This Row],[QT_AREA_REST2]]&gt;0,"Reestimativa 2",IF(ESTIMATIVA[[#This Row],[QT_AREA_REAL]]=0,"Reestimativa 2","Realizado"))</f>
        <v>Reestimativa 2</v>
      </c>
      <c r="X1754" s="1">
        <f>ESTIMATIVA[[#This Row],[QT_AREA_EST]]</f>
        <v>14.76</v>
      </c>
      <c r="Y1754" s="1">
        <f>IF(ESTIMATIVA[[#This Row],[QT_AREA_REST1]]&gt;0,ESTIMATIVA[[#This Row],[QT_AREA_REST1]],
  IF(ESTIMATIVA[[#This Row],[QT_AREA_REAL]]&gt;0,ESTIMATIVA[[#This Row],[QT_AREA_REAL]],ESTIMATIVA[[#This Row],[QT_AREA_EST]]))</f>
        <v>14.76</v>
      </c>
      <c r="Z175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14.76</v>
      </c>
      <c r="AA1754" s="1">
        <f>ESTIMATIVA[[#This Row],[QT_CANA_EST]]</f>
        <v>1107</v>
      </c>
      <c r="AB1754" s="1">
        <f>IF(ESTIMATIVA[[#This Row],[QT_CANA_REST1]]&gt;0,ESTIMATIVA[[#This Row],[QT_CANA_REST1]],
  IF(ESTIMATIVA[[#This Row],[QT_CANA_REAL]]&gt;0,ESTIMATIVA[[#This Row],[QT_CANA_REAL]],ESTIMATIVA[[#This Row],[QT_CANA_EST]]))</f>
        <v>1298.8800000000001</v>
      </c>
      <c r="AC175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1298.8800000000001</v>
      </c>
      <c r="AD1754" s="1">
        <f>IF(ESTIMATIVA[[#This Row],[QT_AREA_REAL]]&gt;0,ESTIMATIVA[[#This Row],[QT_CANA_REAL]],ESTIMATIVA[[#This Row],[QT_CANA_EST]])</f>
        <v>1142.31</v>
      </c>
      <c r="AE1754" s="1">
        <f>IF(ESTIMATIVA[[#This Row],[QT_AREA_REAL]]&gt;0,ESTIMATIVA[[#This Row],[QT_CANA_REAL]],ESTIMATIVA[[#This Row],[QT_CANA_REST1]])</f>
        <v>1142.31</v>
      </c>
      <c r="AF1754" s="1">
        <f>IF(ESTIMATIVA[[#This Row],[QT_AREA_REAL]]&gt;0,ESTIMATIVA[[#This Row],[QT_CANA_REAL]],ESTIMATIVA[[#This Row],[QT_CANA_REST2]])</f>
        <v>1142.31</v>
      </c>
      <c r="AG1754" s="1" t="str">
        <f>IF(COUNTIFS(GEADA!A:A,VALUE(ESTIMATIVA[[#This Row],[CD_UPNIVEL1]]&amp;TEXT(ESTIMATIVA[[#This Row],[CD_UPNIVEL3]],"0000")))&gt;0,"S","N")</f>
        <v>S</v>
      </c>
      <c r="AH175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54" s="55" t="str">
        <f>IF(ESTIMATIVA[[#This Row],[TP_CULTIVO]]="Irrigado",_xlfn.MAXIFS(IRRIGADO!J:J,IRRIGADO!C:C,ESTIMATIVA[[#This Row],[CD_UPNIVEL1]],IRRIGADO!E:E,ESTIMATIVA[[#This Row],[CD_UPNIVEL3]]),"")</f>
        <v/>
      </c>
      <c r="AJ175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54" s="1">
        <f>COUNTIFS(Apresentação!$E$23:$E$29,ESTIMATIVA[[#This Row],[CD_UPNIVEL1]])</f>
        <v>0</v>
      </c>
    </row>
    <row r="1755" spans="1:37" x14ac:dyDescent="0.3">
      <c r="A1755">
        <v>20631</v>
      </c>
      <c r="B1755" t="s">
        <v>96</v>
      </c>
      <c r="C1755">
        <v>15</v>
      </c>
      <c r="D1755">
        <v>2</v>
      </c>
      <c r="E1755" t="s">
        <v>266</v>
      </c>
      <c r="F1755" s="85" t="s">
        <v>333</v>
      </c>
      <c r="G1755"/>
      <c r="H1755" t="s">
        <v>294</v>
      </c>
      <c r="I1755" t="s">
        <v>207</v>
      </c>
      <c r="J1755" t="s">
        <v>176</v>
      </c>
      <c r="K1755" s="1">
        <v>18.27</v>
      </c>
      <c r="L1755" s="1">
        <v>18.27</v>
      </c>
      <c r="M1755" s="1">
        <v>18.27</v>
      </c>
      <c r="N1755" s="1">
        <v>18.27</v>
      </c>
      <c r="O1755" s="1">
        <v>1370.25</v>
      </c>
      <c r="P1755" s="1">
        <v>1607.76</v>
      </c>
      <c r="Q1755" s="1">
        <v>1607.76</v>
      </c>
      <c r="R1755" s="1">
        <v>1663.85</v>
      </c>
      <c r="S1755" t="s">
        <v>12</v>
      </c>
      <c r="T1755" s="13">
        <v>45977</v>
      </c>
      <c r="U1755" s="1" t="str">
        <f>IF(ESTIMATIVA[[#This Row],[QT_AREA_REAL]]&gt;0,"1- Colhido","2- à Colher")</f>
        <v>1- Colhido</v>
      </c>
      <c r="V1755" s="1" t="str">
        <f>IF(ESTIMATIVA[[#This Row],[QT_AREA_REST1]]&gt;0,"Reestimativa 1",IF(ESTIMATIVA[[#This Row],[QT_AREA_REAL]]=0,"Reestimativa 1","Realizado"))</f>
        <v>Reestimativa 1</v>
      </c>
      <c r="W1755" s="1" t="str">
        <f>IF(ESTIMATIVA[[#This Row],[QT_AREA_REST2]]&gt;0,"Reestimativa 2",IF(ESTIMATIVA[[#This Row],[QT_AREA_REAL]]=0,"Reestimativa 2","Realizado"))</f>
        <v>Reestimativa 2</v>
      </c>
      <c r="X1755" s="1">
        <f>ESTIMATIVA[[#This Row],[QT_AREA_EST]]</f>
        <v>18.27</v>
      </c>
      <c r="Y1755" s="1">
        <f>IF(ESTIMATIVA[[#This Row],[QT_AREA_REST1]]&gt;0,ESTIMATIVA[[#This Row],[QT_AREA_REST1]],
  IF(ESTIMATIVA[[#This Row],[QT_AREA_REAL]]&gt;0,ESTIMATIVA[[#This Row],[QT_AREA_REAL]],ESTIMATIVA[[#This Row],[QT_AREA_EST]]))</f>
        <v>18.27</v>
      </c>
      <c r="Z175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18.27</v>
      </c>
      <c r="AA1755" s="1">
        <f>ESTIMATIVA[[#This Row],[QT_CANA_EST]]</f>
        <v>1370.25</v>
      </c>
      <c r="AB1755" s="1">
        <f>IF(ESTIMATIVA[[#This Row],[QT_CANA_REST1]]&gt;0,ESTIMATIVA[[#This Row],[QT_CANA_REST1]],
  IF(ESTIMATIVA[[#This Row],[QT_CANA_REAL]]&gt;0,ESTIMATIVA[[#This Row],[QT_CANA_REAL]],ESTIMATIVA[[#This Row],[QT_CANA_EST]]))</f>
        <v>1607.76</v>
      </c>
      <c r="AC175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1607.76</v>
      </c>
      <c r="AD1755" s="1">
        <f>IF(ESTIMATIVA[[#This Row],[QT_AREA_REAL]]&gt;0,ESTIMATIVA[[#This Row],[QT_CANA_REAL]],ESTIMATIVA[[#This Row],[QT_CANA_EST]])</f>
        <v>1663.85</v>
      </c>
      <c r="AE1755" s="1">
        <f>IF(ESTIMATIVA[[#This Row],[QT_AREA_REAL]]&gt;0,ESTIMATIVA[[#This Row],[QT_CANA_REAL]],ESTIMATIVA[[#This Row],[QT_CANA_REST1]])</f>
        <v>1663.85</v>
      </c>
      <c r="AF1755" s="1">
        <f>IF(ESTIMATIVA[[#This Row],[QT_AREA_REAL]]&gt;0,ESTIMATIVA[[#This Row],[QT_CANA_REAL]],ESTIMATIVA[[#This Row],[QT_CANA_REST2]])</f>
        <v>1663.85</v>
      </c>
      <c r="AG1755" s="1" t="str">
        <f>IF(COUNTIFS(GEADA!A:A,VALUE(ESTIMATIVA[[#This Row],[CD_UPNIVEL1]]&amp;TEXT(ESTIMATIVA[[#This Row],[CD_UPNIVEL3]],"0000")))&gt;0,"S","N")</f>
        <v>S</v>
      </c>
      <c r="AH175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55" s="55" t="str">
        <f>IF(ESTIMATIVA[[#This Row],[TP_CULTIVO]]="Irrigado",_xlfn.MAXIFS(IRRIGADO!J:J,IRRIGADO!C:C,ESTIMATIVA[[#This Row],[CD_UPNIVEL1]],IRRIGADO!E:E,ESTIMATIVA[[#This Row],[CD_UPNIVEL3]]),"")</f>
        <v/>
      </c>
      <c r="AJ175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55" s="1">
        <f>COUNTIFS(Apresentação!$E$23:$E$29,ESTIMATIVA[[#This Row],[CD_UPNIVEL1]])</f>
        <v>0</v>
      </c>
    </row>
    <row r="1756" spans="1:37" x14ac:dyDescent="0.3">
      <c r="A1756">
        <v>20631</v>
      </c>
      <c r="B1756" t="s">
        <v>96</v>
      </c>
      <c r="C1756">
        <v>16</v>
      </c>
      <c r="D1756">
        <v>2</v>
      </c>
      <c r="E1756" t="s">
        <v>266</v>
      </c>
      <c r="F1756" s="85" t="s">
        <v>333</v>
      </c>
      <c r="G1756"/>
      <c r="H1756" t="s">
        <v>294</v>
      </c>
      <c r="I1756" t="s">
        <v>207</v>
      </c>
      <c r="J1756" t="s">
        <v>176</v>
      </c>
      <c r="K1756" s="1">
        <v>21.3</v>
      </c>
      <c r="L1756" s="1">
        <v>21.3</v>
      </c>
      <c r="M1756" s="1">
        <v>21.3</v>
      </c>
      <c r="N1756" s="1">
        <v>21.3</v>
      </c>
      <c r="O1756" s="1">
        <v>1597.5</v>
      </c>
      <c r="P1756" s="1">
        <v>1874.4</v>
      </c>
      <c r="Q1756" s="1">
        <v>1874.4</v>
      </c>
      <c r="R1756" s="1">
        <v>1907.02</v>
      </c>
      <c r="S1756" t="s">
        <v>12</v>
      </c>
      <c r="T1756" s="13">
        <v>45977</v>
      </c>
      <c r="U1756" s="1" t="str">
        <f>IF(ESTIMATIVA[[#This Row],[QT_AREA_REAL]]&gt;0,"1- Colhido","2- à Colher")</f>
        <v>1- Colhido</v>
      </c>
      <c r="V1756" s="1" t="str">
        <f>IF(ESTIMATIVA[[#This Row],[QT_AREA_REST1]]&gt;0,"Reestimativa 1",IF(ESTIMATIVA[[#This Row],[QT_AREA_REAL]]=0,"Reestimativa 1","Realizado"))</f>
        <v>Reestimativa 1</v>
      </c>
      <c r="W1756" s="1" t="str">
        <f>IF(ESTIMATIVA[[#This Row],[QT_AREA_REST2]]&gt;0,"Reestimativa 2",IF(ESTIMATIVA[[#This Row],[QT_AREA_REAL]]=0,"Reestimativa 2","Realizado"))</f>
        <v>Reestimativa 2</v>
      </c>
      <c r="X1756" s="1">
        <f>ESTIMATIVA[[#This Row],[QT_AREA_EST]]</f>
        <v>21.3</v>
      </c>
      <c r="Y1756" s="1">
        <f>IF(ESTIMATIVA[[#This Row],[QT_AREA_REST1]]&gt;0,ESTIMATIVA[[#This Row],[QT_AREA_REST1]],
  IF(ESTIMATIVA[[#This Row],[QT_AREA_REAL]]&gt;0,ESTIMATIVA[[#This Row],[QT_AREA_REAL]],ESTIMATIVA[[#This Row],[QT_AREA_EST]]))</f>
        <v>21.3</v>
      </c>
      <c r="Z175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21.3</v>
      </c>
      <c r="AA1756" s="1">
        <f>ESTIMATIVA[[#This Row],[QT_CANA_EST]]</f>
        <v>1597.5</v>
      </c>
      <c r="AB1756" s="1">
        <f>IF(ESTIMATIVA[[#This Row],[QT_CANA_REST1]]&gt;0,ESTIMATIVA[[#This Row],[QT_CANA_REST1]],
  IF(ESTIMATIVA[[#This Row],[QT_CANA_REAL]]&gt;0,ESTIMATIVA[[#This Row],[QT_CANA_REAL]],ESTIMATIVA[[#This Row],[QT_CANA_EST]]))</f>
        <v>1874.4</v>
      </c>
      <c r="AC175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1874.4</v>
      </c>
      <c r="AD1756" s="1">
        <f>IF(ESTIMATIVA[[#This Row],[QT_AREA_REAL]]&gt;0,ESTIMATIVA[[#This Row],[QT_CANA_REAL]],ESTIMATIVA[[#This Row],[QT_CANA_EST]])</f>
        <v>1907.02</v>
      </c>
      <c r="AE1756" s="1">
        <f>IF(ESTIMATIVA[[#This Row],[QT_AREA_REAL]]&gt;0,ESTIMATIVA[[#This Row],[QT_CANA_REAL]],ESTIMATIVA[[#This Row],[QT_CANA_REST1]])</f>
        <v>1907.02</v>
      </c>
      <c r="AF1756" s="1">
        <f>IF(ESTIMATIVA[[#This Row],[QT_AREA_REAL]]&gt;0,ESTIMATIVA[[#This Row],[QT_CANA_REAL]],ESTIMATIVA[[#This Row],[QT_CANA_REST2]])</f>
        <v>1907.02</v>
      </c>
      <c r="AG1756" s="1" t="str">
        <f>IF(COUNTIFS(GEADA!A:A,VALUE(ESTIMATIVA[[#This Row],[CD_UPNIVEL1]]&amp;TEXT(ESTIMATIVA[[#This Row],[CD_UPNIVEL3]],"0000")))&gt;0,"S","N")</f>
        <v>S</v>
      </c>
      <c r="AH175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56" s="55" t="str">
        <f>IF(ESTIMATIVA[[#This Row],[TP_CULTIVO]]="Irrigado",_xlfn.MAXIFS(IRRIGADO!J:J,IRRIGADO!C:C,ESTIMATIVA[[#This Row],[CD_UPNIVEL1]],IRRIGADO!E:E,ESTIMATIVA[[#This Row],[CD_UPNIVEL3]]),"")</f>
        <v/>
      </c>
      <c r="AJ175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56" s="1">
        <f>COUNTIFS(Apresentação!$E$23:$E$29,ESTIMATIVA[[#This Row],[CD_UPNIVEL1]])</f>
        <v>0</v>
      </c>
    </row>
    <row r="1757" spans="1:37" x14ac:dyDescent="0.3">
      <c r="A1757">
        <v>20631</v>
      </c>
      <c r="B1757" t="s">
        <v>96</v>
      </c>
      <c r="C1757">
        <v>17</v>
      </c>
      <c r="D1757">
        <v>2</v>
      </c>
      <c r="E1757" t="s">
        <v>266</v>
      </c>
      <c r="F1757" s="85" t="s">
        <v>333</v>
      </c>
      <c r="G1757"/>
      <c r="H1757" t="s">
        <v>294</v>
      </c>
      <c r="I1757" t="s">
        <v>207</v>
      </c>
      <c r="J1757" t="s">
        <v>176</v>
      </c>
      <c r="K1757" s="1">
        <v>24.56</v>
      </c>
      <c r="L1757" s="1">
        <v>24.56</v>
      </c>
      <c r="M1757" s="1">
        <v>24.56</v>
      </c>
      <c r="N1757" s="1">
        <v>24.56</v>
      </c>
      <c r="O1757" s="1">
        <v>1842</v>
      </c>
      <c r="P1757" s="1">
        <v>2161.2800000000002</v>
      </c>
      <c r="Q1757" s="1">
        <v>2161.2800000000002</v>
      </c>
      <c r="R1757" s="1">
        <v>2155.5500000000002</v>
      </c>
      <c r="S1757" t="s">
        <v>12</v>
      </c>
      <c r="T1757" s="13">
        <v>45977</v>
      </c>
      <c r="U1757" s="1" t="str">
        <f>IF(ESTIMATIVA[[#This Row],[QT_AREA_REAL]]&gt;0,"1- Colhido","2- à Colher")</f>
        <v>1- Colhido</v>
      </c>
      <c r="V1757" s="1" t="str">
        <f>IF(ESTIMATIVA[[#This Row],[QT_AREA_REST1]]&gt;0,"Reestimativa 1",IF(ESTIMATIVA[[#This Row],[QT_AREA_REAL]]=0,"Reestimativa 1","Realizado"))</f>
        <v>Reestimativa 1</v>
      </c>
      <c r="W1757" s="1" t="str">
        <f>IF(ESTIMATIVA[[#This Row],[QT_AREA_REST2]]&gt;0,"Reestimativa 2",IF(ESTIMATIVA[[#This Row],[QT_AREA_REAL]]=0,"Reestimativa 2","Realizado"))</f>
        <v>Reestimativa 2</v>
      </c>
      <c r="X1757" s="1">
        <f>ESTIMATIVA[[#This Row],[QT_AREA_EST]]</f>
        <v>24.56</v>
      </c>
      <c r="Y1757" s="1">
        <f>IF(ESTIMATIVA[[#This Row],[QT_AREA_REST1]]&gt;0,ESTIMATIVA[[#This Row],[QT_AREA_REST1]],
  IF(ESTIMATIVA[[#This Row],[QT_AREA_REAL]]&gt;0,ESTIMATIVA[[#This Row],[QT_AREA_REAL]],ESTIMATIVA[[#This Row],[QT_AREA_EST]]))</f>
        <v>24.56</v>
      </c>
      <c r="Z175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24.56</v>
      </c>
      <c r="AA1757" s="1">
        <f>ESTIMATIVA[[#This Row],[QT_CANA_EST]]</f>
        <v>1842</v>
      </c>
      <c r="AB1757" s="1">
        <f>IF(ESTIMATIVA[[#This Row],[QT_CANA_REST1]]&gt;0,ESTIMATIVA[[#This Row],[QT_CANA_REST1]],
  IF(ESTIMATIVA[[#This Row],[QT_CANA_REAL]]&gt;0,ESTIMATIVA[[#This Row],[QT_CANA_REAL]],ESTIMATIVA[[#This Row],[QT_CANA_EST]]))</f>
        <v>2161.2800000000002</v>
      </c>
      <c r="AC175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2161.2800000000002</v>
      </c>
      <c r="AD1757" s="1">
        <f>IF(ESTIMATIVA[[#This Row],[QT_AREA_REAL]]&gt;0,ESTIMATIVA[[#This Row],[QT_CANA_REAL]],ESTIMATIVA[[#This Row],[QT_CANA_EST]])</f>
        <v>2155.5500000000002</v>
      </c>
      <c r="AE1757" s="1">
        <f>IF(ESTIMATIVA[[#This Row],[QT_AREA_REAL]]&gt;0,ESTIMATIVA[[#This Row],[QT_CANA_REAL]],ESTIMATIVA[[#This Row],[QT_CANA_REST1]])</f>
        <v>2155.5500000000002</v>
      </c>
      <c r="AF1757" s="1">
        <f>IF(ESTIMATIVA[[#This Row],[QT_AREA_REAL]]&gt;0,ESTIMATIVA[[#This Row],[QT_CANA_REAL]],ESTIMATIVA[[#This Row],[QT_CANA_REST2]])</f>
        <v>2155.5500000000002</v>
      </c>
      <c r="AG1757" s="1" t="str">
        <f>IF(COUNTIFS(GEADA!A:A,VALUE(ESTIMATIVA[[#This Row],[CD_UPNIVEL1]]&amp;TEXT(ESTIMATIVA[[#This Row],[CD_UPNIVEL3]],"0000")))&gt;0,"S","N")</f>
        <v>S</v>
      </c>
      <c r="AH175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57" s="55" t="str">
        <f>IF(ESTIMATIVA[[#This Row],[TP_CULTIVO]]="Irrigado",_xlfn.MAXIFS(IRRIGADO!J:J,IRRIGADO!C:C,ESTIMATIVA[[#This Row],[CD_UPNIVEL1]],IRRIGADO!E:E,ESTIMATIVA[[#This Row],[CD_UPNIVEL3]]),"")</f>
        <v/>
      </c>
      <c r="AJ175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57" s="1">
        <f>COUNTIFS(Apresentação!$E$23:$E$29,ESTIMATIVA[[#This Row],[CD_UPNIVEL1]])</f>
        <v>0</v>
      </c>
    </row>
    <row r="1758" spans="1:37" x14ac:dyDescent="0.3">
      <c r="A1758">
        <v>20631</v>
      </c>
      <c r="B1758" t="s">
        <v>96</v>
      </c>
      <c r="C1758">
        <v>18</v>
      </c>
      <c r="D1758">
        <v>2</v>
      </c>
      <c r="E1758" t="s">
        <v>266</v>
      </c>
      <c r="F1758" s="85" t="s">
        <v>333</v>
      </c>
      <c r="G1758"/>
      <c r="H1758" t="s">
        <v>294</v>
      </c>
      <c r="I1758" t="s">
        <v>202</v>
      </c>
      <c r="J1758" t="s">
        <v>176</v>
      </c>
      <c r="K1758" s="1">
        <v>43.23</v>
      </c>
      <c r="L1758" s="1">
        <v>43.23</v>
      </c>
      <c r="M1758" s="1">
        <v>43.23</v>
      </c>
      <c r="N1758" s="1">
        <v>43.23</v>
      </c>
      <c r="O1758" s="1">
        <v>3242.25</v>
      </c>
      <c r="P1758" s="1">
        <v>3804.24</v>
      </c>
      <c r="Q1758" s="1">
        <v>3804.24</v>
      </c>
      <c r="R1758" s="1">
        <v>3643.14</v>
      </c>
      <c r="S1758" t="s">
        <v>12</v>
      </c>
      <c r="T1758" s="13">
        <v>45977</v>
      </c>
      <c r="U1758" s="1" t="str">
        <f>IF(ESTIMATIVA[[#This Row],[QT_AREA_REAL]]&gt;0,"1- Colhido","2- à Colher")</f>
        <v>1- Colhido</v>
      </c>
      <c r="V1758" s="1" t="str">
        <f>IF(ESTIMATIVA[[#This Row],[QT_AREA_REST1]]&gt;0,"Reestimativa 1",IF(ESTIMATIVA[[#This Row],[QT_AREA_REAL]]=0,"Reestimativa 1","Realizado"))</f>
        <v>Reestimativa 1</v>
      </c>
      <c r="W1758" s="1" t="str">
        <f>IF(ESTIMATIVA[[#This Row],[QT_AREA_REST2]]&gt;0,"Reestimativa 2",IF(ESTIMATIVA[[#This Row],[QT_AREA_REAL]]=0,"Reestimativa 2","Realizado"))</f>
        <v>Reestimativa 2</v>
      </c>
      <c r="X1758" s="1">
        <f>ESTIMATIVA[[#This Row],[QT_AREA_EST]]</f>
        <v>43.23</v>
      </c>
      <c r="Y1758" s="1">
        <f>IF(ESTIMATIVA[[#This Row],[QT_AREA_REST1]]&gt;0,ESTIMATIVA[[#This Row],[QT_AREA_REST1]],
  IF(ESTIMATIVA[[#This Row],[QT_AREA_REAL]]&gt;0,ESTIMATIVA[[#This Row],[QT_AREA_REAL]],ESTIMATIVA[[#This Row],[QT_AREA_EST]]))</f>
        <v>43.23</v>
      </c>
      <c r="Z175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43.23</v>
      </c>
      <c r="AA1758" s="1">
        <f>ESTIMATIVA[[#This Row],[QT_CANA_EST]]</f>
        <v>3242.25</v>
      </c>
      <c r="AB1758" s="1">
        <f>IF(ESTIMATIVA[[#This Row],[QT_CANA_REST1]]&gt;0,ESTIMATIVA[[#This Row],[QT_CANA_REST1]],
  IF(ESTIMATIVA[[#This Row],[QT_CANA_REAL]]&gt;0,ESTIMATIVA[[#This Row],[QT_CANA_REAL]],ESTIMATIVA[[#This Row],[QT_CANA_EST]]))</f>
        <v>3804.24</v>
      </c>
      <c r="AC175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3804.24</v>
      </c>
      <c r="AD1758" s="1">
        <f>IF(ESTIMATIVA[[#This Row],[QT_AREA_REAL]]&gt;0,ESTIMATIVA[[#This Row],[QT_CANA_REAL]],ESTIMATIVA[[#This Row],[QT_CANA_EST]])</f>
        <v>3643.14</v>
      </c>
      <c r="AE1758" s="1">
        <f>IF(ESTIMATIVA[[#This Row],[QT_AREA_REAL]]&gt;0,ESTIMATIVA[[#This Row],[QT_CANA_REAL]],ESTIMATIVA[[#This Row],[QT_CANA_REST1]])</f>
        <v>3643.14</v>
      </c>
      <c r="AF1758" s="1">
        <f>IF(ESTIMATIVA[[#This Row],[QT_AREA_REAL]]&gt;0,ESTIMATIVA[[#This Row],[QT_CANA_REAL]],ESTIMATIVA[[#This Row],[QT_CANA_REST2]])</f>
        <v>3643.14</v>
      </c>
      <c r="AG1758" s="1" t="str">
        <f>IF(COUNTIFS(GEADA!A:A,VALUE(ESTIMATIVA[[#This Row],[CD_UPNIVEL1]]&amp;TEXT(ESTIMATIVA[[#This Row],[CD_UPNIVEL3]],"0000")))&gt;0,"S","N")</f>
        <v>S</v>
      </c>
      <c r="AH175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58" s="55" t="str">
        <f>IF(ESTIMATIVA[[#This Row],[TP_CULTIVO]]="Irrigado",_xlfn.MAXIFS(IRRIGADO!J:J,IRRIGADO!C:C,ESTIMATIVA[[#This Row],[CD_UPNIVEL1]],IRRIGADO!E:E,ESTIMATIVA[[#This Row],[CD_UPNIVEL3]]),"")</f>
        <v/>
      </c>
      <c r="AJ175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58" s="1">
        <f>COUNTIFS(Apresentação!$E$23:$E$29,ESTIMATIVA[[#This Row],[CD_UPNIVEL1]])</f>
        <v>0</v>
      </c>
    </row>
    <row r="1759" spans="1:37" x14ac:dyDescent="0.3">
      <c r="A1759">
        <v>20631</v>
      </c>
      <c r="B1759" t="s">
        <v>96</v>
      </c>
      <c r="C1759">
        <v>19</v>
      </c>
      <c r="D1759">
        <v>2</v>
      </c>
      <c r="E1759" t="s">
        <v>266</v>
      </c>
      <c r="F1759" s="85" t="s">
        <v>331</v>
      </c>
      <c r="G1759"/>
      <c r="H1759" t="s">
        <v>294</v>
      </c>
      <c r="I1759" t="s">
        <v>202</v>
      </c>
      <c r="J1759" t="s">
        <v>176</v>
      </c>
      <c r="K1759" s="1">
        <v>10.220000000000001</v>
      </c>
      <c r="L1759" s="1">
        <v>10.220000000000001</v>
      </c>
      <c r="M1759" s="1">
        <v>10.220000000000001</v>
      </c>
      <c r="N1759" s="1">
        <v>10.220000000000001</v>
      </c>
      <c r="O1759" s="1">
        <v>766.5</v>
      </c>
      <c r="P1759" s="1">
        <v>909.58</v>
      </c>
      <c r="Q1759" s="1">
        <v>909.58</v>
      </c>
      <c r="R1759" s="1">
        <v>798.56</v>
      </c>
      <c r="S1759" t="s">
        <v>12</v>
      </c>
      <c r="T1759" s="13">
        <v>45977</v>
      </c>
      <c r="U1759" s="1" t="str">
        <f>IF(ESTIMATIVA[[#This Row],[QT_AREA_REAL]]&gt;0,"1- Colhido","2- à Colher")</f>
        <v>1- Colhido</v>
      </c>
      <c r="V1759" s="1" t="str">
        <f>IF(ESTIMATIVA[[#This Row],[QT_AREA_REST1]]&gt;0,"Reestimativa 1",IF(ESTIMATIVA[[#This Row],[QT_AREA_REAL]]=0,"Reestimativa 1","Realizado"))</f>
        <v>Reestimativa 1</v>
      </c>
      <c r="W1759" s="1" t="str">
        <f>IF(ESTIMATIVA[[#This Row],[QT_AREA_REST2]]&gt;0,"Reestimativa 2",IF(ESTIMATIVA[[#This Row],[QT_AREA_REAL]]=0,"Reestimativa 2","Realizado"))</f>
        <v>Reestimativa 2</v>
      </c>
      <c r="X1759" s="1">
        <f>ESTIMATIVA[[#This Row],[QT_AREA_EST]]</f>
        <v>10.220000000000001</v>
      </c>
      <c r="Y1759" s="1">
        <f>IF(ESTIMATIVA[[#This Row],[QT_AREA_REST1]]&gt;0,ESTIMATIVA[[#This Row],[QT_AREA_REST1]],
  IF(ESTIMATIVA[[#This Row],[QT_AREA_REAL]]&gt;0,ESTIMATIVA[[#This Row],[QT_AREA_REAL]],ESTIMATIVA[[#This Row],[QT_AREA_EST]]))</f>
        <v>10.220000000000001</v>
      </c>
      <c r="Z175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10.220000000000001</v>
      </c>
      <c r="AA1759" s="1">
        <f>ESTIMATIVA[[#This Row],[QT_CANA_EST]]</f>
        <v>766.5</v>
      </c>
      <c r="AB1759" s="1">
        <f>IF(ESTIMATIVA[[#This Row],[QT_CANA_REST1]]&gt;0,ESTIMATIVA[[#This Row],[QT_CANA_REST1]],
  IF(ESTIMATIVA[[#This Row],[QT_CANA_REAL]]&gt;0,ESTIMATIVA[[#This Row],[QT_CANA_REAL]],ESTIMATIVA[[#This Row],[QT_CANA_EST]]))</f>
        <v>909.58</v>
      </c>
      <c r="AC175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909.58</v>
      </c>
      <c r="AD1759" s="1">
        <f>IF(ESTIMATIVA[[#This Row],[QT_AREA_REAL]]&gt;0,ESTIMATIVA[[#This Row],[QT_CANA_REAL]],ESTIMATIVA[[#This Row],[QT_CANA_EST]])</f>
        <v>798.56</v>
      </c>
      <c r="AE1759" s="1">
        <f>IF(ESTIMATIVA[[#This Row],[QT_AREA_REAL]]&gt;0,ESTIMATIVA[[#This Row],[QT_CANA_REAL]],ESTIMATIVA[[#This Row],[QT_CANA_REST1]])</f>
        <v>798.56</v>
      </c>
      <c r="AF1759" s="1">
        <f>IF(ESTIMATIVA[[#This Row],[QT_AREA_REAL]]&gt;0,ESTIMATIVA[[#This Row],[QT_CANA_REAL]],ESTIMATIVA[[#This Row],[QT_CANA_REST2]])</f>
        <v>798.56</v>
      </c>
      <c r="AG1759" s="1" t="str">
        <f>IF(COUNTIFS(GEADA!A:A,VALUE(ESTIMATIVA[[#This Row],[CD_UPNIVEL1]]&amp;TEXT(ESTIMATIVA[[#This Row],[CD_UPNIVEL3]],"0000")))&gt;0,"S","N")</f>
        <v>S</v>
      </c>
      <c r="AH175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59" s="55" t="str">
        <f>IF(ESTIMATIVA[[#This Row],[TP_CULTIVO]]="Irrigado",_xlfn.MAXIFS(IRRIGADO!J:J,IRRIGADO!C:C,ESTIMATIVA[[#This Row],[CD_UPNIVEL1]],IRRIGADO!E:E,ESTIMATIVA[[#This Row],[CD_UPNIVEL3]]),"")</f>
        <v/>
      </c>
      <c r="AJ175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59" s="1">
        <f>COUNTIFS(Apresentação!$E$23:$E$29,ESTIMATIVA[[#This Row],[CD_UPNIVEL1]])</f>
        <v>0</v>
      </c>
    </row>
    <row r="1760" spans="1:37" x14ac:dyDescent="0.3">
      <c r="A1760">
        <v>20631</v>
      </c>
      <c r="B1760" t="s">
        <v>96</v>
      </c>
      <c r="C1760">
        <v>20</v>
      </c>
      <c r="D1760">
        <v>2</v>
      </c>
      <c r="E1760" t="s">
        <v>266</v>
      </c>
      <c r="F1760" s="85" t="s">
        <v>331</v>
      </c>
      <c r="G1760"/>
      <c r="H1760" t="s">
        <v>294</v>
      </c>
      <c r="I1760" t="s">
        <v>202</v>
      </c>
      <c r="J1760" t="s">
        <v>176</v>
      </c>
      <c r="K1760" s="1">
        <v>19.73</v>
      </c>
      <c r="L1760" s="1">
        <v>19.73</v>
      </c>
      <c r="M1760" s="1">
        <v>0</v>
      </c>
      <c r="N1760" s="1">
        <v>19.73</v>
      </c>
      <c r="O1760" s="1">
        <v>1479.75</v>
      </c>
      <c r="P1760" s="1">
        <v>1755.97</v>
      </c>
      <c r="Q1760" s="1">
        <v>0</v>
      </c>
      <c r="R1760" s="1">
        <v>1982.74</v>
      </c>
      <c r="S1760" t="s">
        <v>12</v>
      </c>
      <c r="T1760" s="13">
        <v>45879</v>
      </c>
      <c r="U1760" s="1" t="str">
        <f>IF(ESTIMATIVA[[#This Row],[QT_AREA_REAL]]&gt;0,"1- Colhido","2- à Colher")</f>
        <v>1- Colhido</v>
      </c>
      <c r="V1760" s="1" t="str">
        <f>IF(ESTIMATIVA[[#This Row],[QT_AREA_REST1]]&gt;0,"Reestimativa 1",IF(ESTIMATIVA[[#This Row],[QT_AREA_REAL]]=0,"Reestimativa 1","Realizado"))</f>
        <v>Reestimativa 1</v>
      </c>
      <c r="W1760" s="1" t="str">
        <f>IF(ESTIMATIVA[[#This Row],[QT_AREA_REST2]]&gt;0,"Reestimativa 2",IF(ESTIMATIVA[[#This Row],[QT_AREA_REAL]]=0,"Reestimativa 2","Realizado"))</f>
        <v>Realizado</v>
      </c>
      <c r="X1760" s="1">
        <f>ESTIMATIVA[[#This Row],[QT_AREA_EST]]</f>
        <v>19.73</v>
      </c>
      <c r="Y1760" s="1">
        <f>IF(ESTIMATIVA[[#This Row],[QT_AREA_REST1]]&gt;0,ESTIMATIVA[[#This Row],[QT_AREA_REST1]],
  IF(ESTIMATIVA[[#This Row],[QT_AREA_REAL]]&gt;0,ESTIMATIVA[[#This Row],[QT_AREA_REAL]],ESTIMATIVA[[#This Row],[QT_AREA_EST]]))</f>
        <v>19.73</v>
      </c>
      <c r="Z176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19.73</v>
      </c>
      <c r="AA1760" s="1">
        <f>ESTIMATIVA[[#This Row],[QT_CANA_EST]]</f>
        <v>1479.75</v>
      </c>
      <c r="AB1760" s="1">
        <f>IF(ESTIMATIVA[[#This Row],[QT_CANA_REST1]]&gt;0,ESTIMATIVA[[#This Row],[QT_CANA_REST1]],
  IF(ESTIMATIVA[[#This Row],[QT_CANA_REAL]]&gt;0,ESTIMATIVA[[#This Row],[QT_CANA_REAL]],ESTIMATIVA[[#This Row],[QT_CANA_EST]]))</f>
        <v>1755.97</v>
      </c>
      <c r="AC176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1982.74</v>
      </c>
      <c r="AD1760" s="1">
        <f>IF(ESTIMATIVA[[#This Row],[QT_AREA_REAL]]&gt;0,ESTIMATIVA[[#This Row],[QT_CANA_REAL]],ESTIMATIVA[[#This Row],[QT_CANA_EST]])</f>
        <v>1982.74</v>
      </c>
      <c r="AE1760" s="1">
        <f>IF(ESTIMATIVA[[#This Row],[QT_AREA_REAL]]&gt;0,ESTIMATIVA[[#This Row],[QT_CANA_REAL]],ESTIMATIVA[[#This Row],[QT_CANA_REST1]])</f>
        <v>1982.74</v>
      </c>
      <c r="AF1760" s="1">
        <f>IF(ESTIMATIVA[[#This Row],[QT_AREA_REAL]]&gt;0,ESTIMATIVA[[#This Row],[QT_CANA_REAL]],ESTIMATIVA[[#This Row],[QT_CANA_REST2]])</f>
        <v>1982.74</v>
      </c>
      <c r="AG1760" s="1" t="str">
        <f>IF(COUNTIFS(GEADA!A:A,VALUE(ESTIMATIVA[[#This Row],[CD_UPNIVEL1]]&amp;TEXT(ESTIMATIVA[[#This Row],[CD_UPNIVEL3]],"0000")))&gt;0,"S","N")</f>
        <v>S</v>
      </c>
      <c r="AH176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60" s="55" t="str">
        <f>IF(ESTIMATIVA[[#This Row],[TP_CULTIVO]]="Irrigado",_xlfn.MAXIFS(IRRIGADO!J:J,IRRIGADO!C:C,ESTIMATIVA[[#This Row],[CD_UPNIVEL1]],IRRIGADO!E:E,ESTIMATIVA[[#This Row],[CD_UPNIVEL3]]),"")</f>
        <v/>
      </c>
      <c r="AJ176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60" s="1">
        <f>COUNTIFS(Apresentação!$E$23:$E$29,ESTIMATIVA[[#This Row],[CD_UPNIVEL1]])</f>
        <v>0</v>
      </c>
    </row>
    <row r="1761" spans="1:37" x14ac:dyDescent="0.3">
      <c r="A1761">
        <v>20631</v>
      </c>
      <c r="B1761" t="s">
        <v>96</v>
      </c>
      <c r="C1761">
        <v>21</v>
      </c>
      <c r="D1761">
        <v>2</v>
      </c>
      <c r="E1761" t="s">
        <v>266</v>
      </c>
      <c r="F1761" s="85" t="s">
        <v>333</v>
      </c>
      <c r="G1761"/>
      <c r="H1761" t="s">
        <v>294</v>
      </c>
      <c r="I1761" t="s">
        <v>202</v>
      </c>
      <c r="J1761" t="s">
        <v>176</v>
      </c>
      <c r="K1761" s="1">
        <v>23.38</v>
      </c>
      <c r="L1761" s="1">
        <v>23.38</v>
      </c>
      <c r="M1761" s="1">
        <v>0</v>
      </c>
      <c r="N1761" s="1">
        <v>23.38</v>
      </c>
      <c r="O1761" s="1">
        <v>1753.5</v>
      </c>
      <c r="P1761" s="1">
        <v>2080.8200000000002</v>
      </c>
      <c r="Q1761" s="1">
        <v>0</v>
      </c>
      <c r="R1761" s="1">
        <v>2349.86</v>
      </c>
      <c r="S1761" t="s">
        <v>12</v>
      </c>
      <c r="T1761" s="13">
        <v>45879</v>
      </c>
      <c r="U1761" s="1" t="str">
        <f>IF(ESTIMATIVA[[#This Row],[QT_AREA_REAL]]&gt;0,"1- Colhido","2- à Colher")</f>
        <v>1- Colhido</v>
      </c>
      <c r="V1761" s="1" t="str">
        <f>IF(ESTIMATIVA[[#This Row],[QT_AREA_REST1]]&gt;0,"Reestimativa 1",IF(ESTIMATIVA[[#This Row],[QT_AREA_REAL]]=0,"Reestimativa 1","Realizado"))</f>
        <v>Reestimativa 1</v>
      </c>
      <c r="W1761" s="1" t="str">
        <f>IF(ESTIMATIVA[[#This Row],[QT_AREA_REST2]]&gt;0,"Reestimativa 2",IF(ESTIMATIVA[[#This Row],[QT_AREA_REAL]]=0,"Reestimativa 2","Realizado"))</f>
        <v>Realizado</v>
      </c>
      <c r="X1761" s="1">
        <f>ESTIMATIVA[[#This Row],[QT_AREA_EST]]</f>
        <v>23.38</v>
      </c>
      <c r="Y1761" s="1">
        <f>IF(ESTIMATIVA[[#This Row],[QT_AREA_REST1]]&gt;0,ESTIMATIVA[[#This Row],[QT_AREA_REST1]],
  IF(ESTIMATIVA[[#This Row],[QT_AREA_REAL]]&gt;0,ESTIMATIVA[[#This Row],[QT_AREA_REAL]],ESTIMATIVA[[#This Row],[QT_AREA_EST]]))</f>
        <v>23.38</v>
      </c>
      <c r="Z176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23.38</v>
      </c>
      <c r="AA1761" s="1">
        <f>ESTIMATIVA[[#This Row],[QT_CANA_EST]]</f>
        <v>1753.5</v>
      </c>
      <c r="AB1761" s="1">
        <f>IF(ESTIMATIVA[[#This Row],[QT_CANA_REST1]]&gt;0,ESTIMATIVA[[#This Row],[QT_CANA_REST1]],
  IF(ESTIMATIVA[[#This Row],[QT_CANA_REAL]]&gt;0,ESTIMATIVA[[#This Row],[QT_CANA_REAL]],ESTIMATIVA[[#This Row],[QT_CANA_EST]]))</f>
        <v>2080.8200000000002</v>
      </c>
      <c r="AC176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2349.86</v>
      </c>
      <c r="AD1761" s="1">
        <f>IF(ESTIMATIVA[[#This Row],[QT_AREA_REAL]]&gt;0,ESTIMATIVA[[#This Row],[QT_CANA_REAL]],ESTIMATIVA[[#This Row],[QT_CANA_EST]])</f>
        <v>2349.86</v>
      </c>
      <c r="AE1761" s="1">
        <f>IF(ESTIMATIVA[[#This Row],[QT_AREA_REAL]]&gt;0,ESTIMATIVA[[#This Row],[QT_CANA_REAL]],ESTIMATIVA[[#This Row],[QT_CANA_REST1]])</f>
        <v>2349.86</v>
      </c>
      <c r="AF1761" s="1">
        <f>IF(ESTIMATIVA[[#This Row],[QT_AREA_REAL]]&gt;0,ESTIMATIVA[[#This Row],[QT_CANA_REAL]],ESTIMATIVA[[#This Row],[QT_CANA_REST2]])</f>
        <v>2349.86</v>
      </c>
      <c r="AG1761" s="1" t="str">
        <f>IF(COUNTIFS(GEADA!A:A,VALUE(ESTIMATIVA[[#This Row],[CD_UPNIVEL1]]&amp;TEXT(ESTIMATIVA[[#This Row],[CD_UPNIVEL3]],"0000")))&gt;0,"S","N")</f>
        <v>S</v>
      </c>
      <c r="AH176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61" s="55" t="str">
        <f>IF(ESTIMATIVA[[#This Row],[TP_CULTIVO]]="Irrigado",_xlfn.MAXIFS(IRRIGADO!J:J,IRRIGADO!C:C,ESTIMATIVA[[#This Row],[CD_UPNIVEL1]],IRRIGADO!E:E,ESTIMATIVA[[#This Row],[CD_UPNIVEL3]]),"")</f>
        <v/>
      </c>
      <c r="AJ176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61" s="1">
        <f>COUNTIFS(Apresentação!$E$23:$E$29,ESTIMATIVA[[#This Row],[CD_UPNIVEL1]])</f>
        <v>0</v>
      </c>
    </row>
    <row r="1762" spans="1:37" x14ac:dyDescent="0.3">
      <c r="A1762">
        <v>20705</v>
      </c>
      <c r="B1762" t="s">
        <v>28</v>
      </c>
      <c r="C1762">
        <v>1</v>
      </c>
      <c r="D1762">
        <v>4</v>
      </c>
      <c r="E1762" t="s">
        <v>265</v>
      </c>
      <c r="F1762" s="85" t="s">
        <v>331</v>
      </c>
      <c r="G1762"/>
      <c r="H1762" t="s">
        <v>294</v>
      </c>
      <c r="I1762" t="s">
        <v>208</v>
      </c>
      <c r="J1762" t="s">
        <v>177</v>
      </c>
      <c r="K1762" s="1">
        <v>7.81</v>
      </c>
      <c r="L1762" s="1">
        <v>0</v>
      </c>
      <c r="M1762" s="1">
        <v>0</v>
      </c>
      <c r="N1762" s="1">
        <v>7.81</v>
      </c>
      <c r="O1762" s="1">
        <v>624.79999999999995</v>
      </c>
      <c r="P1762" s="1">
        <v>0</v>
      </c>
      <c r="Q1762" s="1">
        <v>0</v>
      </c>
      <c r="R1762" s="1">
        <v>602.07000000000005</v>
      </c>
      <c r="S1762" t="s">
        <v>280</v>
      </c>
      <c r="T1762" s="13">
        <v>45781</v>
      </c>
      <c r="U1762" s="1" t="str">
        <f>IF(ESTIMATIVA[[#This Row],[QT_AREA_REAL]]&gt;0,"1- Colhido","2- à Colher")</f>
        <v>1- Colhido</v>
      </c>
      <c r="V1762" s="1" t="str">
        <f>IF(ESTIMATIVA[[#This Row],[QT_AREA_REST1]]&gt;0,"Reestimativa 1",IF(ESTIMATIVA[[#This Row],[QT_AREA_REAL]]=0,"Reestimativa 1","Realizado"))</f>
        <v>Realizado</v>
      </c>
      <c r="W1762" s="1" t="str">
        <f>IF(ESTIMATIVA[[#This Row],[QT_AREA_REST2]]&gt;0,"Reestimativa 2",IF(ESTIMATIVA[[#This Row],[QT_AREA_REAL]]=0,"Reestimativa 2","Realizado"))</f>
        <v>Realizado</v>
      </c>
      <c r="X1762" s="1">
        <f>ESTIMATIVA[[#This Row],[QT_AREA_EST]]</f>
        <v>7.81</v>
      </c>
      <c r="Y1762" s="1">
        <f>IF(ESTIMATIVA[[#This Row],[QT_AREA_REST1]]&gt;0,ESTIMATIVA[[#This Row],[QT_AREA_REST1]],
  IF(ESTIMATIVA[[#This Row],[QT_AREA_REAL]]&gt;0,ESTIMATIVA[[#This Row],[QT_AREA_REAL]],ESTIMATIVA[[#This Row],[QT_AREA_EST]]))</f>
        <v>7.81</v>
      </c>
      <c r="Z176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7.81</v>
      </c>
      <c r="AA1762" s="1">
        <f>ESTIMATIVA[[#This Row],[QT_CANA_EST]]</f>
        <v>624.79999999999995</v>
      </c>
      <c r="AB1762" s="1">
        <f>IF(ESTIMATIVA[[#This Row],[QT_CANA_REST1]]&gt;0,ESTIMATIVA[[#This Row],[QT_CANA_REST1]],
  IF(ESTIMATIVA[[#This Row],[QT_CANA_REAL]]&gt;0,ESTIMATIVA[[#This Row],[QT_CANA_REAL]],ESTIMATIVA[[#This Row],[QT_CANA_EST]]))</f>
        <v>602.07000000000005</v>
      </c>
      <c r="AC176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602.07000000000005</v>
      </c>
      <c r="AD1762" s="1">
        <f>IF(ESTIMATIVA[[#This Row],[QT_AREA_REAL]]&gt;0,ESTIMATIVA[[#This Row],[QT_CANA_REAL]],ESTIMATIVA[[#This Row],[QT_CANA_EST]])</f>
        <v>602.07000000000005</v>
      </c>
      <c r="AE1762" s="1">
        <f>IF(ESTIMATIVA[[#This Row],[QT_AREA_REAL]]&gt;0,ESTIMATIVA[[#This Row],[QT_CANA_REAL]],ESTIMATIVA[[#This Row],[QT_CANA_REST1]])</f>
        <v>602.07000000000005</v>
      </c>
      <c r="AF1762" s="1">
        <f>IF(ESTIMATIVA[[#This Row],[QT_AREA_REAL]]&gt;0,ESTIMATIVA[[#This Row],[QT_CANA_REAL]],ESTIMATIVA[[#This Row],[QT_CANA_REST2]])</f>
        <v>602.07000000000005</v>
      </c>
      <c r="AG1762" s="1" t="str">
        <f>IF(COUNTIFS(GEADA!A:A,VALUE(ESTIMATIVA[[#This Row],[CD_UPNIVEL1]]&amp;TEXT(ESTIMATIVA[[#This Row],[CD_UPNIVEL3]],"0000")))&gt;0,"S","N")</f>
        <v>N</v>
      </c>
      <c r="AH176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62" s="55" t="str">
        <f>IF(ESTIMATIVA[[#This Row],[TP_CULTIVO]]="Irrigado",_xlfn.MAXIFS(IRRIGADO!J:J,IRRIGADO!C:C,ESTIMATIVA[[#This Row],[CD_UPNIVEL1]],IRRIGADO!E:E,ESTIMATIVA[[#This Row],[CD_UPNIVEL3]]),"")</f>
        <v/>
      </c>
      <c r="AJ176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62" s="1">
        <f>COUNTIFS(Apresentação!$E$23:$E$29,ESTIMATIVA[[#This Row],[CD_UPNIVEL1]])</f>
        <v>0</v>
      </c>
    </row>
    <row r="1763" spans="1:37" x14ac:dyDescent="0.3">
      <c r="A1763">
        <v>20705</v>
      </c>
      <c r="B1763" t="s">
        <v>28</v>
      </c>
      <c r="C1763">
        <v>2</v>
      </c>
      <c r="D1763">
        <v>4</v>
      </c>
      <c r="E1763" t="s">
        <v>265</v>
      </c>
      <c r="F1763" s="85" t="s">
        <v>331</v>
      </c>
      <c r="G1763"/>
      <c r="H1763" t="s">
        <v>294</v>
      </c>
      <c r="I1763" t="s">
        <v>208</v>
      </c>
      <c r="J1763" t="s">
        <v>177</v>
      </c>
      <c r="K1763" s="1">
        <v>27.08</v>
      </c>
      <c r="L1763" s="1">
        <v>0</v>
      </c>
      <c r="M1763" s="1">
        <v>0</v>
      </c>
      <c r="N1763" s="1">
        <v>27.08</v>
      </c>
      <c r="O1763" s="1">
        <v>2166.4</v>
      </c>
      <c r="P1763" s="1">
        <v>0</v>
      </c>
      <c r="Q1763" s="1">
        <v>0</v>
      </c>
      <c r="R1763" s="1">
        <v>2086.71</v>
      </c>
      <c r="S1763" t="s">
        <v>280</v>
      </c>
      <c r="T1763" s="13">
        <v>45781</v>
      </c>
      <c r="U1763" s="1" t="str">
        <f>IF(ESTIMATIVA[[#This Row],[QT_AREA_REAL]]&gt;0,"1- Colhido","2- à Colher")</f>
        <v>1- Colhido</v>
      </c>
      <c r="V1763" s="1" t="str">
        <f>IF(ESTIMATIVA[[#This Row],[QT_AREA_REST1]]&gt;0,"Reestimativa 1",IF(ESTIMATIVA[[#This Row],[QT_AREA_REAL]]=0,"Reestimativa 1","Realizado"))</f>
        <v>Realizado</v>
      </c>
      <c r="W1763" s="1" t="str">
        <f>IF(ESTIMATIVA[[#This Row],[QT_AREA_REST2]]&gt;0,"Reestimativa 2",IF(ESTIMATIVA[[#This Row],[QT_AREA_REAL]]=0,"Reestimativa 2","Realizado"))</f>
        <v>Realizado</v>
      </c>
      <c r="X1763" s="1">
        <f>ESTIMATIVA[[#This Row],[QT_AREA_EST]]</f>
        <v>27.08</v>
      </c>
      <c r="Y1763" s="1">
        <f>IF(ESTIMATIVA[[#This Row],[QT_AREA_REST1]]&gt;0,ESTIMATIVA[[#This Row],[QT_AREA_REST1]],
  IF(ESTIMATIVA[[#This Row],[QT_AREA_REAL]]&gt;0,ESTIMATIVA[[#This Row],[QT_AREA_REAL]],ESTIMATIVA[[#This Row],[QT_AREA_EST]]))</f>
        <v>27.08</v>
      </c>
      <c r="Z176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27.08</v>
      </c>
      <c r="AA1763" s="1">
        <f>ESTIMATIVA[[#This Row],[QT_CANA_EST]]</f>
        <v>2166.4</v>
      </c>
      <c r="AB1763" s="1">
        <f>IF(ESTIMATIVA[[#This Row],[QT_CANA_REST1]]&gt;0,ESTIMATIVA[[#This Row],[QT_CANA_REST1]],
  IF(ESTIMATIVA[[#This Row],[QT_CANA_REAL]]&gt;0,ESTIMATIVA[[#This Row],[QT_CANA_REAL]],ESTIMATIVA[[#This Row],[QT_CANA_EST]]))</f>
        <v>2086.71</v>
      </c>
      <c r="AC176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2086.71</v>
      </c>
      <c r="AD1763" s="1">
        <f>IF(ESTIMATIVA[[#This Row],[QT_AREA_REAL]]&gt;0,ESTIMATIVA[[#This Row],[QT_CANA_REAL]],ESTIMATIVA[[#This Row],[QT_CANA_EST]])</f>
        <v>2086.71</v>
      </c>
      <c r="AE1763" s="1">
        <f>IF(ESTIMATIVA[[#This Row],[QT_AREA_REAL]]&gt;0,ESTIMATIVA[[#This Row],[QT_CANA_REAL]],ESTIMATIVA[[#This Row],[QT_CANA_REST1]])</f>
        <v>2086.71</v>
      </c>
      <c r="AF1763" s="1">
        <f>IF(ESTIMATIVA[[#This Row],[QT_AREA_REAL]]&gt;0,ESTIMATIVA[[#This Row],[QT_CANA_REAL]],ESTIMATIVA[[#This Row],[QT_CANA_REST2]])</f>
        <v>2086.71</v>
      </c>
      <c r="AG1763" s="1" t="str">
        <f>IF(COUNTIFS(GEADA!A:A,VALUE(ESTIMATIVA[[#This Row],[CD_UPNIVEL1]]&amp;TEXT(ESTIMATIVA[[#This Row],[CD_UPNIVEL3]],"0000")))&gt;0,"S","N")</f>
        <v>N</v>
      </c>
      <c r="AH176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63" s="55" t="str">
        <f>IF(ESTIMATIVA[[#This Row],[TP_CULTIVO]]="Irrigado",_xlfn.MAXIFS(IRRIGADO!J:J,IRRIGADO!C:C,ESTIMATIVA[[#This Row],[CD_UPNIVEL1]],IRRIGADO!E:E,ESTIMATIVA[[#This Row],[CD_UPNIVEL3]]),"")</f>
        <v/>
      </c>
      <c r="AJ176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63" s="1">
        <f>COUNTIFS(Apresentação!$E$23:$E$29,ESTIMATIVA[[#This Row],[CD_UPNIVEL1]])</f>
        <v>0</v>
      </c>
    </row>
    <row r="1764" spans="1:37" x14ac:dyDescent="0.3">
      <c r="A1764">
        <v>20705</v>
      </c>
      <c r="B1764" t="s">
        <v>28</v>
      </c>
      <c r="C1764">
        <v>3</v>
      </c>
      <c r="D1764">
        <v>5</v>
      </c>
      <c r="E1764" t="s">
        <v>268</v>
      </c>
      <c r="F1764" s="85" t="s">
        <v>331</v>
      </c>
      <c r="G1764"/>
      <c r="H1764" t="s">
        <v>294</v>
      </c>
      <c r="I1764" t="s">
        <v>208</v>
      </c>
      <c r="J1764" t="s">
        <v>177</v>
      </c>
      <c r="K1764" s="1">
        <v>29.23</v>
      </c>
      <c r="L1764" s="1">
        <v>0</v>
      </c>
      <c r="M1764" s="1">
        <v>0</v>
      </c>
      <c r="N1764" s="1">
        <v>29.23</v>
      </c>
      <c r="O1764" s="1">
        <v>1899.95</v>
      </c>
      <c r="P1764" s="1">
        <v>0</v>
      </c>
      <c r="Q1764" s="1">
        <v>0</v>
      </c>
      <c r="R1764" s="1">
        <v>2132.34</v>
      </c>
      <c r="S1764" t="s">
        <v>280</v>
      </c>
      <c r="T1764" s="13">
        <v>45788</v>
      </c>
      <c r="U1764" s="1" t="str">
        <f>IF(ESTIMATIVA[[#This Row],[QT_AREA_REAL]]&gt;0,"1- Colhido","2- à Colher")</f>
        <v>1- Colhido</v>
      </c>
      <c r="V1764" s="1" t="str">
        <f>IF(ESTIMATIVA[[#This Row],[QT_AREA_REST1]]&gt;0,"Reestimativa 1",IF(ESTIMATIVA[[#This Row],[QT_AREA_REAL]]=0,"Reestimativa 1","Realizado"))</f>
        <v>Realizado</v>
      </c>
      <c r="W1764" s="1" t="str">
        <f>IF(ESTIMATIVA[[#This Row],[QT_AREA_REST2]]&gt;0,"Reestimativa 2",IF(ESTIMATIVA[[#This Row],[QT_AREA_REAL]]=0,"Reestimativa 2","Realizado"))</f>
        <v>Realizado</v>
      </c>
      <c r="X1764" s="1">
        <f>ESTIMATIVA[[#This Row],[QT_AREA_EST]]</f>
        <v>29.23</v>
      </c>
      <c r="Y1764" s="1">
        <f>IF(ESTIMATIVA[[#This Row],[QT_AREA_REST1]]&gt;0,ESTIMATIVA[[#This Row],[QT_AREA_REST1]],
  IF(ESTIMATIVA[[#This Row],[QT_AREA_REAL]]&gt;0,ESTIMATIVA[[#This Row],[QT_AREA_REAL]],ESTIMATIVA[[#This Row],[QT_AREA_EST]]))</f>
        <v>29.23</v>
      </c>
      <c r="Z176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29.23</v>
      </c>
      <c r="AA1764" s="1">
        <f>ESTIMATIVA[[#This Row],[QT_CANA_EST]]</f>
        <v>1899.95</v>
      </c>
      <c r="AB1764" s="1">
        <f>IF(ESTIMATIVA[[#This Row],[QT_CANA_REST1]]&gt;0,ESTIMATIVA[[#This Row],[QT_CANA_REST1]],
  IF(ESTIMATIVA[[#This Row],[QT_CANA_REAL]]&gt;0,ESTIMATIVA[[#This Row],[QT_CANA_REAL]],ESTIMATIVA[[#This Row],[QT_CANA_EST]]))</f>
        <v>2132.34</v>
      </c>
      <c r="AC176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2132.34</v>
      </c>
      <c r="AD1764" s="1">
        <f>IF(ESTIMATIVA[[#This Row],[QT_AREA_REAL]]&gt;0,ESTIMATIVA[[#This Row],[QT_CANA_REAL]],ESTIMATIVA[[#This Row],[QT_CANA_EST]])</f>
        <v>2132.34</v>
      </c>
      <c r="AE1764" s="1">
        <f>IF(ESTIMATIVA[[#This Row],[QT_AREA_REAL]]&gt;0,ESTIMATIVA[[#This Row],[QT_CANA_REAL]],ESTIMATIVA[[#This Row],[QT_CANA_REST1]])</f>
        <v>2132.34</v>
      </c>
      <c r="AF1764" s="1">
        <f>IF(ESTIMATIVA[[#This Row],[QT_AREA_REAL]]&gt;0,ESTIMATIVA[[#This Row],[QT_CANA_REAL]],ESTIMATIVA[[#This Row],[QT_CANA_REST2]])</f>
        <v>2132.34</v>
      </c>
      <c r="AG1764" s="1" t="str">
        <f>IF(COUNTIFS(GEADA!A:A,VALUE(ESTIMATIVA[[#This Row],[CD_UPNIVEL1]]&amp;TEXT(ESTIMATIVA[[#This Row],[CD_UPNIVEL3]],"0000")))&gt;0,"S","N")</f>
        <v>N</v>
      </c>
      <c r="AH176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64" s="55" t="str">
        <f>IF(ESTIMATIVA[[#This Row],[TP_CULTIVO]]="Irrigado",_xlfn.MAXIFS(IRRIGADO!J:J,IRRIGADO!C:C,ESTIMATIVA[[#This Row],[CD_UPNIVEL1]],IRRIGADO!E:E,ESTIMATIVA[[#This Row],[CD_UPNIVEL3]]),"")</f>
        <v/>
      </c>
      <c r="AJ176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64" s="1">
        <f>COUNTIFS(Apresentação!$E$23:$E$29,ESTIMATIVA[[#This Row],[CD_UPNIVEL1]])</f>
        <v>0</v>
      </c>
    </row>
    <row r="1765" spans="1:37" x14ac:dyDescent="0.3">
      <c r="A1765">
        <v>20705</v>
      </c>
      <c r="B1765" t="s">
        <v>28</v>
      </c>
      <c r="C1765">
        <v>4</v>
      </c>
      <c r="D1765">
        <v>6</v>
      </c>
      <c r="E1765" t="s">
        <v>261</v>
      </c>
      <c r="F1765" s="85" t="s">
        <v>331</v>
      </c>
      <c r="G1765"/>
      <c r="H1765" t="s">
        <v>294</v>
      </c>
      <c r="I1765" t="s">
        <v>208</v>
      </c>
      <c r="J1765" t="s">
        <v>177</v>
      </c>
      <c r="K1765" s="1">
        <v>14.18</v>
      </c>
      <c r="L1765" s="1">
        <v>0</v>
      </c>
      <c r="M1765" s="1">
        <v>0</v>
      </c>
      <c r="N1765" s="1">
        <v>14.18</v>
      </c>
      <c r="O1765" s="1">
        <v>921.7</v>
      </c>
      <c r="P1765" s="1">
        <v>0</v>
      </c>
      <c r="Q1765" s="1">
        <v>0</v>
      </c>
      <c r="R1765" s="1">
        <v>979.63</v>
      </c>
      <c r="S1765" t="s">
        <v>280</v>
      </c>
      <c r="T1765" s="13">
        <v>45788</v>
      </c>
      <c r="U1765" s="1" t="str">
        <f>IF(ESTIMATIVA[[#This Row],[QT_AREA_REAL]]&gt;0,"1- Colhido","2- à Colher")</f>
        <v>1- Colhido</v>
      </c>
      <c r="V1765" s="1" t="str">
        <f>IF(ESTIMATIVA[[#This Row],[QT_AREA_REST1]]&gt;0,"Reestimativa 1",IF(ESTIMATIVA[[#This Row],[QT_AREA_REAL]]=0,"Reestimativa 1","Realizado"))</f>
        <v>Realizado</v>
      </c>
      <c r="W1765" s="1" t="str">
        <f>IF(ESTIMATIVA[[#This Row],[QT_AREA_REST2]]&gt;0,"Reestimativa 2",IF(ESTIMATIVA[[#This Row],[QT_AREA_REAL]]=0,"Reestimativa 2","Realizado"))</f>
        <v>Realizado</v>
      </c>
      <c r="X1765" s="1">
        <f>ESTIMATIVA[[#This Row],[QT_AREA_EST]]</f>
        <v>14.18</v>
      </c>
      <c r="Y1765" s="1">
        <f>IF(ESTIMATIVA[[#This Row],[QT_AREA_REST1]]&gt;0,ESTIMATIVA[[#This Row],[QT_AREA_REST1]],
  IF(ESTIMATIVA[[#This Row],[QT_AREA_REAL]]&gt;0,ESTIMATIVA[[#This Row],[QT_AREA_REAL]],ESTIMATIVA[[#This Row],[QT_AREA_EST]]))</f>
        <v>14.18</v>
      </c>
      <c r="Z176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14.18</v>
      </c>
      <c r="AA1765" s="1">
        <f>ESTIMATIVA[[#This Row],[QT_CANA_EST]]</f>
        <v>921.7</v>
      </c>
      <c r="AB1765" s="1">
        <f>IF(ESTIMATIVA[[#This Row],[QT_CANA_REST1]]&gt;0,ESTIMATIVA[[#This Row],[QT_CANA_REST1]],
  IF(ESTIMATIVA[[#This Row],[QT_CANA_REAL]]&gt;0,ESTIMATIVA[[#This Row],[QT_CANA_REAL]],ESTIMATIVA[[#This Row],[QT_CANA_EST]]))</f>
        <v>979.63</v>
      </c>
      <c r="AC176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979.63</v>
      </c>
      <c r="AD1765" s="1">
        <f>IF(ESTIMATIVA[[#This Row],[QT_AREA_REAL]]&gt;0,ESTIMATIVA[[#This Row],[QT_CANA_REAL]],ESTIMATIVA[[#This Row],[QT_CANA_EST]])</f>
        <v>979.63</v>
      </c>
      <c r="AE1765" s="1">
        <f>IF(ESTIMATIVA[[#This Row],[QT_AREA_REAL]]&gt;0,ESTIMATIVA[[#This Row],[QT_CANA_REAL]],ESTIMATIVA[[#This Row],[QT_CANA_REST1]])</f>
        <v>979.63</v>
      </c>
      <c r="AF1765" s="1">
        <f>IF(ESTIMATIVA[[#This Row],[QT_AREA_REAL]]&gt;0,ESTIMATIVA[[#This Row],[QT_CANA_REAL]],ESTIMATIVA[[#This Row],[QT_CANA_REST2]])</f>
        <v>979.63</v>
      </c>
      <c r="AG1765" s="1" t="str">
        <f>IF(COUNTIFS(GEADA!A:A,VALUE(ESTIMATIVA[[#This Row],[CD_UPNIVEL1]]&amp;TEXT(ESTIMATIVA[[#This Row],[CD_UPNIVEL3]],"0000")))&gt;0,"S","N")</f>
        <v>N</v>
      </c>
      <c r="AH176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65" s="55" t="str">
        <f>IF(ESTIMATIVA[[#This Row],[TP_CULTIVO]]="Irrigado",_xlfn.MAXIFS(IRRIGADO!J:J,IRRIGADO!C:C,ESTIMATIVA[[#This Row],[CD_UPNIVEL1]],IRRIGADO!E:E,ESTIMATIVA[[#This Row],[CD_UPNIVEL3]]),"")</f>
        <v/>
      </c>
      <c r="AJ176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65" s="1">
        <f>COUNTIFS(Apresentação!$E$23:$E$29,ESTIMATIVA[[#This Row],[CD_UPNIVEL1]])</f>
        <v>0</v>
      </c>
    </row>
    <row r="1766" spans="1:37" x14ac:dyDescent="0.3">
      <c r="A1766">
        <v>20705</v>
      </c>
      <c r="B1766" t="s">
        <v>28</v>
      </c>
      <c r="C1766">
        <v>5</v>
      </c>
      <c r="D1766">
        <v>5</v>
      </c>
      <c r="E1766" t="s">
        <v>268</v>
      </c>
      <c r="F1766" s="85" t="s">
        <v>331</v>
      </c>
      <c r="G1766"/>
      <c r="H1766" t="s">
        <v>294</v>
      </c>
      <c r="I1766" t="s">
        <v>219</v>
      </c>
      <c r="J1766" t="s">
        <v>177</v>
      </c>
      <c r="K1766" s="1">
        <v>7.88</v>
      </c>
      <c r="L1766" s="1">
        <v>0</v>
      </c>
      <c r="M1766" s="1">
        <v>0</v>
      </c>
      <c r="N1766" s="1">
        <v>7.88</v>
      </c>
      <c r="O1766" s="1">
        <v>512.20000000000005</v>
      </c>
      <c r="P1766" s="1">
        <v>0</v>
      </c>
      <c r="Q1766" s="1">
        <v>0</v>
      </c>
      <c r="R1766" s="1">
        <v>564.46</v>
      </c>
      <c r="S1766" t="s">
        <v>280</v>
      </c>
      <c r="T1766" s="13">
        <v>45788</v>
      </c>
      <c r="U1766" s="1" t="str">
        <f>IF(ESTIMATIVA[[#This Row],[QT_AREA_REAL]]&gt;0,"1- Colhido","2- à Colher")</f>
        <v>1- Colhido</v>
      </c>
      <c r="V1766" s="1" t="str">
        <f>IF(ESTIMATIVA[[#This Row],[QT_AREA_REST1]]&gt;0,"Reestimativa 1",IF(ESTIMATIVA[[#This Row],[QT_AREA_REAL]]=0,"Reestimativa 1","Realizado"))</f>
        <v>Realizado</v>
      </c>
      <c r="W1766" s="1" t="str">
        <f>IF(ESTIMATIVA[[#This Row],[QT_AREA_REST2]]&gt;0,"Reestimativa 2",IF(ESTIMATIVA[[#This Row],[QT_AREA_REAL]]=0,"Reestimativa 2","Realizado"))</f>
        <v>Realizado</v>
      </c>
      <c r="X1766" s="1">
        <f>ESTIMATIVA[[#This Row],[QT_AREA_EST]]</f>
        <v>7.88</v>
      </c>
      <c r="Y1766" s="1">
        <f>IF(ESTIMATIVA[[#This Row],[QT_AREA_REST1]]&gt;0,ESTIMATIVA[[#This Row],[QT_AREA_REST1]],
  IF(ESTIMATIVA[[#This Row],[QT_AREA_REAL]]&gt;0,ESTIMATIVA[[#This Row],[QT_AREA_REAL]],ESTIMATIVA[[#This Row],[QT_AREA_EST]]))</f>
        <v>7.88</v>
      </c>
      <c r="Z176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7.88</v>
      </c>
      <c r="AA1766" s="1">
        <f>ESTIMATIVA[[#This Row],[QT_CANA_EST]]</f>
        <v>512.20000000000005</v>
      </c>
      <c r="AB1766" s="1">
        <f>IF(ESTIMATIVA[[#This Row],[QT_CANA_REST1]]&gt;0,ESTIMATIVA[[#This Row],[QT_CANA_REST1]],
  IF(ESTIMATIVA[[#This Row],[QT_CANA_REAL]]&gt;0,ESTIMATIVA[[#This Row],[QT_CANA_REAL]],ESTIMATIVA[[#This Row],[QT_CANA_EST]]))</f>
        <v>564.46</v>
      </c>
      <c r="AC176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564.46</v>
      </c>
      <c r="AD1766" s="1">
        <f>IF(ESTIMATIVA[[#This Row],[QT_AREA_REAL]]&gt;0,ESTIMATIVA[[#This Row],[QT_CANA_REAL]],ESTIMATIVA[[#This Row],[QT_CANA_EST]])</f>
        <v>564.46</v>
      </c>
      <c r="AE1766" s="1">
        <f>IF(ESTIMATIVA[[#This Row],[QT_AREA_REAL]]&gt;0,ESTIMATIVA[[#This Row],[QT_CANA_REAL]],ESTIMATIVA[[#This Row],[QT_CANA_REST1]])</f>
        <v>564.46</v>
      </c>
      <c r="AF1766" s="1">
        <f>IF(ESTIMATIVA[[#This Row],[QT_AREA_REAL]]&gt;0,ESTIMATIVA[[#This Row],[QT_CANA_REAL]],ESTIMATIVA[[#This Row],[QT_CANA_REST2]])</f>
        <v>564.46</v>
      </c>
      <c r="AG1766" s="1" t="str">
        <f>IF(COUNTIFS(GEADA!A:A,VALUE(ESTIMATIVA[[#This Row],[CD_UPNIVEL1]]&amp;TEXT(ESTIMATIVA[[#This Row],[CD_UPNIVEL3]],"0000")))&gt;0,"S","N")</f>
        <v>N</v>
      </c>
      <c r="AH176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66" s="55" t="str">
        <f>IF(ESTIMATIVA[[#This Row],[TP_CULTIVO]]="Irrigado",_xlfn.MAXIFS(IRRIGADO!J:J,IRRIGADO!C:C,ESTIMATIVA[[#This Row],[CD_UPNIVEL1]],IRRIGADO!E:E,ESTIMATIVA[[#This Row],[CD_UPNIVEL3]]),"")</f>
        <v/>
      </c>
      <c r="AJ176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66" s="1">
        <f>COUNTIFS(Apresentação!$E$23:$E$29,ESTIMATIVA[[#This Row],[CD_UPNIVEL1]])</f>
        <v>0</v>
      </c>
    </row>
    <row r="1767" spans="1:37" x14ac:dyDescent="0.3">
      <c r="A1767">
        <v>20705</v>
      </c>
      <c r="B1767" t="s">
        <v>28</v>
      </c>
      <c r="C1767">
        <v>6</v>
      </c>
      <c r="D1767">
        <v>5</v>
      </c>
      <c r="E1767" t="s">
        <v>268</v>
      </c>
      <c r="F1767" s="85" t="s">
        <v>331</v>
      </c>
      <c r="G1767"/>
      <c r="H1767" t="s">
        <v>294</v>
      </c>
      <c r="I1767" t="s">
        <v>219</v>
      </c>
      <c r="J1767" t="s">
        <v>177</v>
      </c>
      <c r="K1767" s="1">
        <v>14.54</v>
      </c>
      <c r="L1767" s="1">
        <v>0</v>
      </c>
      <c r="M1767" s="1">
        <v>0</v>
      </c>
      <c r="N1767" s="1">
        <v>14.54</v>
      </c>
      <c r="O1767" s="1">
        <v>945.1</v>
      </c>
      <c r="P1767" s="1">
        <v>0</v>
      </c>
      <c r="Q1767" s="1">
        <v>0</v>
      </c>
      <c r="R1767" s="1">
        <v>1041.8699999999999</v>
      </c>
      <c r="S1767" t="s">
        <v>280</v>
      </c>
      <c r="T1767" s="13">
        <v>45788</v>
      </c>
      <c r="U1767" s="1" t="str">
        <f>IF(ESTIMATIVA[[#This Row],[QT_AREA_REAL]]&gt;0,"1- Colhido","2- à Colher")</f>
        <v>1- Colhido</v>
      </c>
      <c r="V1767" s="1" t="str">
        <f>IF(ESTIMATIVA[[#This Row],[QT_AREA_REST1]]&gt;0,"Reestimativa 1",IF(ESTIMATIVA[[#This Row],[QT_AREA_REAL]]=0,"Reestimativa 1","Realizado"))</f>
        <v>Realizado</v>
      </c>
      <c r="W1767" s="1" t="str">
        <f>IF(ESTIMATIVA[[#This Row],[QT_AREA_REST2]]&gt;0,"Reestimativa 2",IF(ESTIMATIVA[[#This Row],[QT_AREA_REAL]]=0,"Reestimativa 2","Realizado"))</f>
        <v>Realizado</v>
      </c>
      <c r="X1767" s="1">
        <f>ESTIMATIVA[[#This Row],[QT_AREA_EST]]</f>
        <v>14.54</v>
      </c>
      <c r="Y1767" s="1">
        <f>IF(ESTIMATIVA[[#This Row],[QT_AREA_REST1]]&gt;0,ESTIMATIVA[[#This Row],[QT_AREA_REST1]],
  IF(ESTIMATIVA[[#This Row],[QT_AREA_REAL]]&gt;0,ESTIMATIVA[[#This Row],[QT_AREA_REAL]],ESTIMATIVA[[#This Row],[QT_AREA_EST]]))</f>
        <v>14.54</v>
      </c>
      <c r="Z176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14.54</v>
      </c>
      <c r="AA1767" s="1">
        <f>ESTIMATIVA[[#This Row],[QT_CANA_EST]]</f>
        <v>945.1</v>
      </c>
      <c r="AB1767" s="1">
        <f>IF(ESTIMATIVA[[#This Row],[QT_CANA_REST1]]&gt;0,ESTIMATIVA[[#This Row],[QT_CANA_REST1]],
  IF(ESTIMATIVA[[#This Row],[QT_CANA_REAL]]&gt;0,ESTIMATIVA[[#This Row],[QT_CANA_REAL]],ESTIMATIVA[[#This Row],[QT_CANA_EST]]))</f>
        <v>1041.8699999999999</v>
      </c>
      <c r="AC176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1041.8699999999999</v>
      </c>
      <c r="AD1767" s="1">
        <f>IF(ESTIMATIVA[[#This Row],[QT_AREA_REAL]]&gt;0,ESTIMATIVA[[#This Row],[QT_CANA_REAL]],ESTIMATIVA[[#This Row],[QT_CANA_EST]])</f>
        <v>1041.8699999999999</v>
      </c>
      <c r="AE1767" s="1">
        <f>IF(ESTIMATIVA[[#This Row],[QT_AREA_REAL]]&gt;0,ESTIMATIVA[[#This Row],[QT_CANA_REAL]],ESTIMATIVA[[#This Row],[QT_CANA_REST1]])</f>
        <v>1041.8699999999999</v>
      </c>
      <c r="AF1767" s="1">
        <f>IF(ESTIMATIVA[[#This Row],[QT_AREA_REAL]]&gt;0,ESTIMATIVA[[#This Row],[QT_CANA_REAL]],ESTIMATIVA[[#This Row],[QT_CANA_REST2]])</f>
        <v>1041.8699999999999</v>
      </c>
      <c r="AG1767" s="1" t="str">
        <f>IF(COUNTIFS(GEADA!A:A,VALUE(ESTIMATIVA[[#This Row],[CD_UPNIVEL1]]&amp;TEXT(ESTIMATIVA[[#This Row],[CD_UPNIVEL3]],"0000")))&gt;0,"S","N")</f>
        <v>N</v>
      </c>
      <c r="AH176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67" s="55" t="str">
        <f>IF(ESTIMATIVA[[#This Row],[TP_CULTIVO]]="Irrigado",_xlfn.MAXIFS(IRRIGADO!J:J,IRRIGADO!C:C,ESTIMATIVA[[#This Row],[CD_UPNIVEL1]],IRRIGADO!E:E,ESTIMATIVA[[#This Row],[CD_UPNIVEL3]]),"")</f>
        <v/>
      </c>
      <c r="AJ176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67" s="1">
        <f>COUNTIFS(Apresentação!$E$23:$E$29,ESTIMATIVA[[#This Row],[CD_UPNIVEL1]])</f>
        <v>0</v>
      </c>
    </row>
    <row r="1768" spans="1:37" x14ac:dyDescent="0.3">
      <c r="A1768">
        <v>20705</v>
      </c>
      <c r="B1768" t="s">
        <v>28</v>
      </c>
      <c r="C1768">
        <v>7</v>
      </c>
      <c r="D1768">
        <v>5</v>
      </c>
      <c r="E1768" t="s">
        <v>268</v>
      </c>
      <c r="F1768" s="85" t="s">
        <v>331</v>
      </c>
      <c r="G1768"/>
      <c r="H1768" t="s">
        <v>294</v>
      </c>
      <c r="I1768" t="s">
        <v>219</v>
      </c>
      <c r="J1768" t="s">
        <v>177</v>
      </c>
      <c r="K1768" s="1">
        <v>5.78</v>
      </c>
      <c r="L1768" s="1">
        <v>0</v>
      </c>
      <c r="M1768" s="1">
        <v>0</v>
      </c>
      <c r="N1768" s="1">
        <v>5.78</v>
      </c>
      <c r="O1768" s="1">
        <v>375.7</v>
      </c>
      <c r="P1768" s="1">
        <v>0</v>
      </c>
      <c r="Q1768" s="1">
        <v>0</v>
      </c>
      <c r="R1768" s="1">
        <v>414.52</v>
      </c>
      <c r="S1768" t="s">
        <v>280</v>
      </c>
      <c r="T1768" s="13">
        <v>45788</v>
      </c>
      <c r="U1768" s="1" t="str">
        <f>IF(ESTIMATIVA[[#This Row],[QT_AREA_REAL]]&gt;0,"1- Colhido","2- à Colher")</f>
        <v>1- Colhido</v>
      </c>
      <c r="V1768" s="1" t="str">
        <f>IF(ESTIMATIVA[[#This Row],[QT_AREA_REST1]]&gt;0,"Reestimativa 1",IF(ESTIMATIVA[[#This Row],[QT_AREA_REAL]]=0,"Reestimativa 1","Realizado"))</f>
        <v>Realizado</v>
      </c>
      <c r="W1768" s="1" t="str">
        <f>IF(ESTIMATIVA[[#This Row],[QT_AREA_REST2]]&gt;0,"Reestimativa 2",IF(ESTIMATIVA[[#This Row],[QT_AREA_REAL]]=0,"Reestimativa 2","Realizado"))</f>
        <v>Realizado</v>
      </c>
      <c r="X1768" s="1">
        <f>ESTIMATIVA[[#This Row],[QT_AREA_EST]]</f>
        <v>5.78</v>
      </c>
      <c r="Y1768" s="1">
        <f>IF(ESTIMATIVA[[#This Row],[QT_AREA_REST1]]&gt;0,ESTIMATIVA[[#This Row],[QT_AREA_REST1]],
  IF(ESTIMATIVA[[#This Row],[QT_AREA_REAL]]&gt;0,ESTIMATIVA[[#This Row],[QT_AREA_REAL]],ESTIMATIVA[[#This Row],[QT_AREA_EST]]))</f>
        <v>5.78</v>
      </c>
      <c r="Z176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5.78</v>
      </c>
      <c r="AA1768" s="1">
        <f>ESTIMATIVA[[#This Row],[QT_CANA_EST]]</f>
        <v>375.7</v>
      </c>
      <c r="AB1768" s="1">
        <f>IF(ESTIMATIVA[[#This Row],[QT_CANA_REST1]]&gt;0,ESTIMATIVA[[#This Row],[QT_CANA_REST1]],
  IF(ESTIMATIVA[[#This Row],[QT_CANA_REAL]]&gt;0,ESTIMATIVA[[#This Row],[QT_CANA_REAL]],ESTIMATIVA[[#This Row],[QT_CANA_EST]]))</f>
        <v>414.52</v>
      </c>
      <c r="AC176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414.52</v>
      </c>
      <c r="AD1768" s="1">
        <f>IF(ESTIMATIVA[[#This Row],[QT_AREA_REAL]]&gt;0,ESTIMATIVA[[#This Row],[QT_CANA_REAL]],ESTIMATIVA[[#This Row],[QT_CANA_EST]])</f>
        <v>414.52</v>
      </c>
      <c r="AE1768" s="1">
        <f>IF(ESTIMATIVA[[#This Row],[QT_AREA_REAL]]&gt;0,ESTIMATIVA[[#This Row],[QT_CANA_REAL]],ESTIMATIVA[[#This Row],[QT_CANA_REST1]])</f>
        <v>414.52</v>
      </c>
      <c r="AF1768" s="1">
        <f>IF(ESTIMATIVA[[#This Row],[QT_AREA_REAL]]&gt;0,ESTIMATIVA[[#This Row],[QT_CANA_REAL]],ESTIMATIVA[[#This Row],[QT_CANA_REST2]])</f>
        <v>414.52</v>
      </c>
      <c r="AG1768" s="1" t="str">
        <f>IF(COUNTIFS(GEADA!A:A,VALUE(ESTIMATIVA[[#This Row],[CD_UPNIVEL1]]&amp;TEXT(ESTIMATIVA[[#This Row],[CD_UPNIVEL3]],"0000")))&gt;0,"S","N")</f>
        <v>N</v>
      </c>
      <c r="AH176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68" s="55" t="str">
        <f>IF(ESTIMATIVA[[#This Row],[TP_CULTIVO]]="Irrigado",_xlfn.MAXIFS(IRRIGADO!J:J,IRRIGADO!C:C,ESTIMATIVA[[#This Row],[CD_UPNIVEL1]],IRRIGADO!E:E,ESTIMATIVA[[#This Row],[CD_UPNIVEL3]]),"")</f>
        <v/>
      </c>
      <c r="AJ176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68" s="1">
        <f>COUNTIFS(Apresentação!$E$23:$E$29,ESTIMATIVA[[#This Row],[CD_UPNIVEL1]])</f>
        <v>0</v>
      </c>
    </row>
    <row r="1769" spans="1:37" x14ac:dyDescent="0.3">
      <c r="A1769">
        <v>20705</v>
      </c>
      <c r="B1769" t="s">
        <v>28</v>
      </c>
      <c r="C1769">
        <v>8</v>
      </c>
      <c r="D1769">
        <v>5</v>
      </c>
      <c r="E1769" t="s">
        <v>268</v>
      </c>
      <c r="F1769" s="85" t="s">
        <v>331</v>
      </c>
      <c r="G1769"/>
      <c r="H1769" t="s">
        <v>294</v>
      </c>
      <c r="I1769" t="s">
        <v>219</v>
      </c>
      <c r="J1769" t="s">
        <v>177</v>
      </c>
      <c r="K1769" s="1">
        <v>3.41</v>
      </c>
      <c r="L1769" s="1">
        <v>0</v>
      </c>
      <c r="M1769" s="1">
        <v>0</v>
      </c>
      <c r="N1769" s="1">
        <v>3.41</v>
      </c>
      <c r="O1769" s="1">
        <v>238.7</v>
      </c>
      <c r="P1769" s="1">
        <v>0</v>
      </c>
      <c r="Q1769" s="1">
        <v>0</v>
      </c>
      <c r="R1769" s="1">
        <v>263.61</v>
      </c>
      <c r="S1769" t="s">
        <v>280</v>
      </c>
      <c r="T1769" s="13">
        <v>45788</v>
      </c>
      <c r="U1769" s="1" t="str">
        <f>IF(ESTIMATIVA[[#This Row],[QT_AREA_REAL]]&gt;0,"1- Colhido","2- à Colher")</f>
        <v>1- Colhido</v>
      </c>
      <c r="V1769" s="1" t="str">
        <f>IF(ESTIMATIVA[[#This Row],[QT_AREA_REST1]]&gt;0,"Reestimativa 1",IF(ESTIMATIVA[[#This Row],[QT_AREA_REAL]]=0,"Reestimativa 1","Realizado"))</f>
        <v>Realizado</v>
      </c>
      <c r="W1769" s="1" t="str">
        <f>IF(ESTIMATIVA[[#This Row],[QT_AREA_REST2]]&gt;0,"Reestimativa 2",IF(ESTIMATIVA[[#This Row],[QT_AREA_REAL]]=0,"Reestimativa 2","Realizado"))</f>
        <v>Realizado</v>
      </c>
      <c r="X1769" s="1">
        <f>ESTIMATIVA[[#This Row],[QT_AREA_EST]]</f>
        <v>3.41</v>
      </c>
      <c r="Y1769" s="1">
        <f>IF(ESTIMATIVA[[#This Row],[QT_AREA_REST1]]&gt;0,ESTIMATIVA[[#This Row],[QT_AREA_REST1]],
  IF(ESTIMATIVA[[#This Row],[QT_AREA_REAL]]&gt;0,ESTIMATIVA[[#This Row],[QT_AREA_REAL]],ESTIMATIVA[[#This Row],[QT_AREA_EST]]))</f>
        <v>3.41</v>
      </c>
      <c r="Z176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3.41</v>
      </c>
      <c r="AA1769" s="1">
        <f>ESTIMATIVA[[#This Row],[QT_CANA_EST]]</f>
        <v>238.7</v>
      </c>
      <c r="AB1769" s="1">
        <f>IF(ESTIMATIVA[[#This Row],[QT_CANA_REST1]]&gt;0,ESTIMATIVA[[#This Row],[QT_CANA_REST1]],
  IF(ESTIMATIVA[[#This Row],[QT_CANA_REAL]]&gt;0,ESTIMATIVA[[#This Row],[QT_CANA_REAL]],ESTIMATIVA[[#This Row],[QT_CANA_EST]]))</f>
        <v>263.61</v>
      </c>
      <c r="AC176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263.61</v>
      </c>
      <c r="AD1769" s="1">
        <f>IF(ESTIMATIVA[[#This Row],[QT_AREA_REAL]]&gt;0,ESTIMATIVA[[#This Row],[QT_CANA_REAL]],ESTIMATIVA[[#This Row],[QT_CANA_EST]])</f>
        <v>263.61</v>
      </c>
      <c r="AE1769" s="1">
        <f>IF(ESTIMATIVA[[#This Row],[QT_AREA_REAL]]&gt;0,ESTIMATIVA[[#This Row],[QT_CANA_REAL]],ESTIMATIVA[[#This Row],[QT_CANA_REST1]])</f>
        <v>263.61</v>
      </c>
      <c r="AF1769" s="1">
        <f>IF(ESTIMATIVA[[#This Row],[QT_AREA_REAL]]&gt;0,ESTIMATIVA[[#This Row],[QT_CANA_REAL]],ESTIMATIVA[[#This Row],[QT_CANA_REST2]])</f>
        <v>263.61</v>
      </c>
      <c r="AG1769" s="1" t="str">
        <f>IF(COUNTIFS(GEADA!A:A,VALUE(ESTIMATIVA[[#This Row],[CD_UPNIVEL1]]&amp;TEXT(ESTIMATIVA[[#This Row],[CD_UPNIVEL3]],"0000")))&gt;0,"S","N")</f>
        <v>N</v>
      </c>
      <c r="AH176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69" s="55" t="str">
        <f>IF(ESTIMATIVA[[#This Row],[TP_CULTIVO]]="Irrigado",_xlfn.MAXIFS(IRRIGADO!J:J,IRRIGADO!C:C,ESTIMATIVA[[#This Row],[CD_UPNIVEL1]],IRRIGADO!E:E,ESTIMATIVA[[#This Row],[CD_UPNIVEL3]]),"")</f>
        <v/>
      </c>
      <c r="AJ176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69" s="1">
        <f>COUNTIFS(Apresentação!$E$23:$E$29,ESTIMATIVA[[#This Row],[CD_UPNIVEL1]])</f>
        <v>0</v>
      </c>
    </row>
    <row r="1770" spans="1:37" x14ac:dyDescent="0.3">
      <c r="A1770">
        <v>20705</v>
      </c>
      <c r="B1770" t="s">
        <v>28</v>
      </c>
      <c r="C1770">
        <v>11</v>
      </c>
      <c r="D1770">
        <v>4</v>
      </c>
      <c r="E1770" t="s">
        <v>265</v>
      </c>
      <c r="F1770" s="85" t="s">
        <v>331</v>
      </c>
      <c r="G1770"/>
      <c r="H1770" t="s">
        <v>294</v>
      </c>
      <c r="I1770" t="s">
        <v>208</v>
      </c>
      <c r="J1770" t="s">
        <v>177</v>
      </c>
      <c r="K1770" s="1">
        <v>24.69</v>
      </c>
      <c r="L1770" s="1">
        <v>0</v>
      </c>
      <c r="M1770" s="1">
        <v>0</v>
      </c>
      <c r="N1770" s="1">
        <v>24.69</v>
      </c>
      <c r="O1770" s="1">
        <v>1728.3</v>
      </c>
      <c r="P1770" s="1">
        <v>0</v>
      </c>
      <c r="Q1770" s="1">
        <v>0</v>
      </c>
      <c r="R1770" s="1">
        <v>1836.06</v>
      </c>
      <c r="S1770" t="s">
        <v>280</v>
      </c>
      <c r="T1770" s="13">
        <v>45788</v>
      </c>
      <c r="U1770" s="1" t="str">
        <f>IF(ESTIMATIVA[[#This Row],[QT_AREA_REAL]]&gt;0,"1- Colhido","2- à Colher")</f>
        <v>1- Colhido</v>
      </c>
      <c r="V1770" s="1" t="str">
        <f>IF(ESTIMATIVA[[#This Row],[QT_AREA_REST1]]&gt;0,"Reestimativa 1",IF(ESTIMATIVA[[#This Row],[QT_AREA_REAL]]=0,"Reestimativa 1","Realizado"))</f>
        <v>Realizado</v>
      </c>
      <c r="W1770" s="1" t="str">
        <f>IF(ESTIMATIVA[[#This Row],[QT_AREA_REST2]]&gt;0,"Reestimativa 2",IF(ESTIMATIVA[[#This Row],[QT_AREA_REAL]]=0,"Reestimativa 2","Realizado"))</f>
        <v>Realizado</v>
      </c>
      <c r="X1770" s="1">
        <f>ESTIMATIVA[[#This Row],[QT_AREA_EST]]</f>
        <v>24.69</v>
      </c>
      <c r="Y1770" s="1">
        <f>IF(ESTIMATIVA[[#This Row],[QT_AREA_REST1]]&gt;0,ESTIMATIVA[[#This Row],[QT_AREA_REST1]],
  IF(ESTIMATIVA[[#This Row],[QT_AREA_REAL]]&gt;0,ESTIMATIVA[[#This Row],[QT_AREA_REAL]],ESTIMATIVA[[#This Row],[QT_AREA_EST]]))</f>
        <v>24.69</v>
      </c>
      <c r="Z177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24.69</v>
      </c>
      <c r="AA1770" s="1">
        <f>ESTIMATIVA[[#This Row],[QT_CANA_EST]]</f>
        <v>1728.3</v>
      </c>
      <c r="AB1770" s="1">
        <f>IF(ESTIMATIVA[[#This Row],[QT_CANA_REST1]]&gt;0,ESTIMATIVA[[#This Row],[QT_CANA_REST1]],
  IF(ESTIMATIVA[[#This Row],[QT_CANA_REAL]]&gt;0,ESTIMATIVA[[#This Row],[QT_CANA_REAL]],ESTIMATIVA[[#This Row],[QT_CANA_EST]]))</f>
        <v>1836.06</v>
      </c>
      <c r="AC177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1836.06</v>
      </c>
      <c r="AD1770" s="1">
        <f>IF(ESTIMATIVA[[#This Row],[QT_AREA_REAL]]&gt;0,ESTIMATIVA[[#This Row],[QT_CANA_REAL]],ESTIMATIVA[[#This Row],[QT_CANA_EST]])</f>
        <v>1836.06</v>
      </c>
      <c r="AE1770" s="1">
        <f>IF(ESTIMATIVA[[#This Row],[QT_AREA_REAL]]&gt;0,ESTIMATIVA[[#This Row],[QT_CANA_REAL]],ESTIMATIVA[[#This Row],[QT_CANA_REST1]])</f>
        <v>1836.06</v>
      </c>
      <c r="AF1770" s="1">
        <f>IF(ESTIMATIVA[[#This Row],[QT_AREA_REAL]]&gt;0,ESTIMATIVA[[#This Row],[QT_CANA_REAL]],ESTIMATIVA[[#This Row],[QT_CANA_REST2]])</f>
        <v>1836.06</v>
      </c>
      <c r="AG1770" s="1" t="str">
        <f>IF(COUNTIFS(GEADA!A:A,VALUE(ESTIMATIVA[[#This Row],[CD_UPNIVEL1]]&amp;TEXT(ESTIMATIVA[[#This Row],[CD_UPNIVEL3]],"0000")))&gt;0,"S","N")</f>
        <v>N</v>
      </c>
      <c r="AH177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70" s="55" t="str">
        <f>IF(ESTIMATIVA[[#This Row],[TP_CULTIVO]]="Irrigado",_xlfn.MAXIFS(IRRIGADO!J:J,IRRIGADO!C:C,ESTIMATIVA[[#This Row],[CD_UPNIVEL1]],IRRIGADO!E:E,ESTIMATIVA[[#This Row],[CD_UPNIVEL3]]),"")</f>
        <v/>
      </c>
      <c r="AJ177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70" s="1">
        <f>COUNTIFS(Apresentação!$E$23:$E$29,ESTIMATIVA[[#This Row],[CD_UPNIVEL1]])</f>
        <v>0</v>
      </c>
    </row>
    <row r="1771" spans="1:37" x14ac:dyDescent="0.3">
      <c r="A1771">
        <v>20705</v>
      </c>
      <c r="B1771" t="s">
        <v>28</v>
      </c>
      <c r="C1771">
        <v>12</v>
      </c>
      <c r="D1771">
        <v>4</v>
      </c>
      <c r="E1771" t="s">
        <v>265</v>
      </c>
      <c r="F1771" s="85" t="s">
        <v>331</v>
      </c>
      <c r="G1771"/>
      <c r="H1771" t="s">
        <v>294</v>
      </c>
      <c r="I1771" t="s">
        <v>208</v>
      </c>
      <c r="J1771" t="s">
        <v>177</v>
      </c>
      <c r="K1771" s="1">
        <v>27.63</v>
      </c>
      <c r="L1771" s="1">
        <v>0</v>
      </c>
      <c r="M1771" s="1">
        <v>0</v>
      </c>
      <c r="N1771" s="1">
        <v>27.63</v>
      </c>
      <c r="O1771" s="1">
        <v>1934.1</v>
      </c>
      <c r="P1771" s="1">
        <v>0</v>
      </c>
      <c r="Q1771" s="1">
        <v>0</v>
      </c>
      <c r="R1771" s="1">
        <v>2055.1799999999998</v>
      </c>
      <c r="S1771" t="s">
        <v>280</v>
      </c>
      <c r="T1771" s="13">
        <v>45788</v>
      </c>
      <c r="U1771" s="1" t="str">
        <f>IF(ESTIMATIVA[[#This Row],[QT_AREA_REAL]]&gt;0,"1- Colhido","2- à Colher")</f>
        <v>1- Colhido</v>
      </c>
      <c r="V1771" s="1" t="str">
        <f>IF(ESTIMATIVA[[#This Row],[QT_AREA_REST1]]&gt;0,"Reestimativa 1",IF(ESTIMATIVA[[#This Row],[QT_AREA_REAL]]=0,"Reestimativa 1","Realizado"))</f>
        <v>Realizado</v>
      </c>
      <c r="W1771" s="1" t="str">
        <f>IF(ESTIMATIVA[[#This Row],[QT_AREA_REST2]]&gt;0,"Reestimativa 2",IF(ESTIMATIVA[[#This Row],[QT_AREA_REAL]]=0,"Reestimativa 2","Realizado"))</f>
        <v>Realizado</v>
      </c>
      <c r="X1771" s="1">
        <f>ESTIMATIVA[[#This Row],[QT_AREA_EST]]</f>
        <v>27.63</v>
      </c>
      <c r="Y1771" s="1">
        <f>IF(ESTIMATIVA[[#This Row],[QT_AREA_REST1]]&gt;0,ESTIMATIVA[[#This Row],[QT_AREA_REST1]],
  IF(ESTIMATIVA[[#This Row],[QT_AREA_REAL]]&gt;0,ESTIMATIVA[[#This Row],[QT_AREA_REAL]],ESTIMATIVA[[#This Row],[QT_AREA_EST]]))</f>
        <v>27.63</v>
      </c>
      <c r="Z177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27.63</v>
      </c>
      <c r="AA1771" s="1">
        <f>ESTIMATIVA[[#This Row],[QT_CANA_EST]]</f>
        <v>1934.1</v>
      </c>
      <c r="AB1771" s="1">
        <f>IF(ESTIMATIVA[[#This Row],[QT_CANA_REST1]]&gt;0,ESTIMATIVA[[#This Row],[QT_CANA_REST1]],
  IF(ESTIMATIVA[[#This Row],[QT_CANA_REAL]]&gt;0,ESTIMATIVA[[#This Row],[QT_CANA_REAL]],ESTIMATIVA[[#This Row],[QT_CANA_EST]]))</f>
        <v>2055.1799999999998</v>
      </c>
      <c r="AC177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2055.1799999999998</v>
      </c>
      <c r="AD1771" s="1">
        <f>IF(ESTIMATIVA[[#This Row],[QT_AREA_REAL]]&gt;0,ESTIMATIVA[[#This Row],[QT_CANA_REAL]],ESTIMATIVA[[#This Row],[QT_CANA_EST]])</f>
        <v>2055.1799999999998</v>
      </c>
      <c r="AE1771" s="1">
        <f>IF(ESTIMATIVA[[#This Row],[QT_AREA_REAL]]&gt;0,ESTIMATIVA[[#This Row],[QT_CANA_REAL]],ESTIMATIVA[[#This Row],[QT_CANA_REST1]])</f>
        <v>2055.1799999999998</v>
      </c>
      <c r="AF1771" s="1">
        <f>IF(ESTIMATIVA[[#This Row],[QT_AREA_REAL]]&gt;0,ESTIMATIVA[[#This Row],[QT_CANA_REAL]],ESTIMATIVA[[#This Row],[QT_CANA_REST2]])</f>
        <v>2055.1799999999998</v>
      </c>
      <c r="AG1771" s="1" t="str">
        <f>IF(COUNTIFS(GEADA!A:A,VALUE(ESTIMATIVA[[#This Row],[CD_UPNIVEL1]]&amp;TEXT(ESTIMATIVA[[#This Row],[CD_UPNIVEL3]],"0000")))&gt;0,"S","N")</f>
        <v>N</v>
      </c>
      <c r="AH177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71" s="55" t="str">
        <f>IF(ESTIMATIVA[[#This Row],[TP_CULTIVO]]="Irrigado",_xlfn.MAXIFS(IRRIGADO!J:J,IRRIGADO!C:C,ESTIMATIVA[[#This Row],[CD_UPNIVEL1]],IRRIGADO!E:E,ESTIMATIVA[[#This Row],[CD_UPNIVEL3]]),"")</f>
        <v/>
      </c>
      <c r="AJ177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71" s="1">
        <f>COUNTIFS(Apresentação!$E$23:$E$29,ESTIMATIVA[[#This Row],[CD_UPNIVEL1]])</f>
        <v>0</v>
      </c>
    </row>
    <row r="1772" spans="1:37" x14ac:dyDescent="0.3">
      <c r="A1772">
        <v>20705</v>
      </c>
      <c r="B1772" t="s">
        <v>28</v>
      </c>
      <c r="C1772">
        <v>18</v>
      </c>
      <c r="D1772">
        <v>2</v>
      </c>
      <c r="E1772" t="s">
        <v>266</v>
      </c>
      <c r="F1772" s="85" t="s">
        <v>331</v>
      </c>
      <c r="G1772"/>
      <c r="H1772" t="s">
        <v>294</v>
      </c>
      <c r="I1772" t="s">
        <v>225</v>
      </c>
      <c r="J1772" t="s">
        <v>177</v>
      </c>
      <c r="K1772" s="1">
        <v>7.25</v>
      </c>
      <c r="L1772" s="1">
        <v>7.25</v>
      </c>
      <c r="M1772" s="1">
        <v>0</v>
      </c>
      <c r="N1772" s="1">
        <v>7.25</v>
      </c>
      <c r="O1772" s="1">
        <v>652.5</v>
      </c>
      <c r="P1772" s="1">
        <v>659.75</v>
      </c>
      <c r="Q1772" s="1">
        <v>0</v>
      </c>
      <c r="R1772" s="1">
        <v>581.66</v>
      </c>
      <c r="S1772" t="s">
        <v>280</v>
      </c>
      <c r="T1772" s="13">
        <v>45879</v>
      </c>
      <c r="U1772" s="1" t="str">
        <f>IF(ESTIMATIVA[[#This Row],[QT_AREA_REAL]]&gt;0,"1- Colhido","2- à Colher")</f>
        <v>1- Colhido</v>
      </c>
      <c r="V1772" s="1" t="str">
        <f>IF(ESTIMATIVA[[#This Row],[QT_AREA_REST1]]&gt;0,"Reestimativa 1",IF(ESTIMATIVA[[#This Row],[QT_AREA_REAL]]=0,"Reestimativa 1","Realizado"))</f>
        <v>Reestimativa 1</v>
      </c>
      <c r="W1772" s="1" t="str">
        <f>IF(ESTIMATIVA[[#This Row],[QT_AREA_REST2]]&gt;0,"Reestimativa 2",IF(ESTIMATIVA[[#This Row],[QT_AREA_REAL]]=0,"Reestimativa 2","Realizado"))</f>
        <v>Realizado</v>
      </c>
      <c r="X1772" s="1">
        <f>ESTIMATIVA[[#This Row],[QT_AREA_EST]]</f>
        <v>7.25</v>
      </c>
      <c r="Y1772" s="1">
        <f>IF(ESTIMATIVA[[#This Row],[QT_AREA_REST1]]&gt;0,ESTIMATIVA[[#This Row],[QT_AREA_REST1]],
  IF(ESTIMATIVA[[#This Row],[QT_AREA_REAL]]&gt;0,ESTIMATIVA[[#This Row],[QT_AREA_REAL]],ESTIMATIVA[[#This Row],[QT_AREA_EST]]))</f>
        <v>7.25</v>
      </c>
      <c r="Z177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7.25</v>
      </c>
      <c r="AA1772" s="1">
        <f>ESTIMATIVA[[#This Row],[QT_CANA_EST]]</f>
        <v>652.5</v>
      </c>
      <c r="AB1772" s="1">
        <f>IF(ESTIMATIVA[[#This Row],[QT_CANA_REST1]]&gt;0,ESTIMATIVA[[#This Row],[QT_CANA_REST1]],
  IF(ESTIMATIVA[[#This Row],[QT_CANA_REAL]]&gt;0,ESTIMATIVA[[#This Row],[QT_CANA_REAL]],ESTIMATIVA[[#This Row],[QT_CANA_EST]]))</f>
        <v>659.75</v>
      </c>
      <c r="AC177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581.66</v>
      </c>
      <c r="AD1772" s="1">
        <f>IF(ESTIMATIVA[[#This Row],[QT_AREA_REAL]]&gt;0,ESTIMATIVA[[#This Row],[QT_CANA_REAL]],ESTIMATIVA[[#This Row],[QT_CANA_EST]])</f>
        <v>581.66</v>
      </c>
      <c r="AE1772" s="1">
        <f>IF(ESTIMATIVA[[#This Row],[QT_AREA_REAL]]&gt;0,ESTIMATIVA[[#This Row],[QT_CANA_REAL]],ESTIMATIVA[[#This Row],[QT_CANA_REST1]])</f>
        <v>581.66</v>
      </c>
      <c r="AF1772" s="1">
        <f>IF(ESTIMATIVA[[#This Row],[QT_AREA_REAL]]&gt;0,ESTIMATIVA[[#This Row],[QT_CANA_REAL]],ESTIMATIVA[[#This Row],[QT_CANA_REST2]])</f>
        <v>581.66</v>
      </c>
      <c r="AG1772" s="1" t="str">
        <f>IF(COUNTIFS(GEADA!A:A,VALUE(ESTIMATIVA[[#This Row],[CD_UPNIVEL1]]&amp;TEXT(ESTIMATIVA[[#This Row],[CD_UPNIVEL3]],"0000")))&gt;0,"S","N")</f>
        <v>N</v>
      </c>
      <c r="AH177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72" s="55" t="str">
        <f>IF(ESTIMATIVA[[#This Row],[TP_CULTIVO]]="Irrigado",_xlfn.MAXIFS(IRRIGADO!J:J,IRRIGADO!C:C,ESTIMATIVA[[#This Row],[CD_UPNIVEL1]],IRRIGADO!E:E,ESTIMATIVA[[#This Row],[CD_UPNIVEL3]]),"")</f>
        <v/>
      </c>
      <c r="AJ177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72" s="1">
        <f>COUNTIFS(Apresentação!$E$23:$E$29,ESTIMATIVA[[#This Row],[CD_UPNIVEL1]])</f>
        <v>0</v>
      </c>
    </row>
    <row r="1773" spans="1:37" x14ac:dyDescent="0.3">
      <c r="A1773">
        <v>20705</v>
      </c>
      <c r="B1773" t="s">
        <v>28</v>
      </c>
      <c r="C1773">
        <v>19</v>
      </c>
      <c r="D1773">
        <v>2</v>
      </c>
      <c r="E1773" t="s">
        <v>266</v>
      </c>
      <c r="F1773" s="85" t="s">
        <v>331</v>
      </c>
      <c r="G1773"/>
      <c r="H1773" t="s">
        <v>294</v>
      </c>
      <c r="I1773" t="s">
        <v>225</v>
      </c>
      <c r="J1773" t="s">
        <v>177</v>
      </c>
      <c r="K1773" s="1">
        <v>9.44</v>
      </c>
      <c r="L1773" s="1">
        <v>9.44</v>
      </c>
      <c r="M1773" s="1">
        <v>0</v>
      </c>
      <c r="N1773" s="1">
        <v>9.44</v>
      </c>
      <c r="O1773" s="1">
        <v>887.36</v>
      </c>
      <c r="P1773" s="1">
        <v>887.36</v>
      </c>
      <c r="Q1773" s="1">
        <v>0</v>
      </c>
      <c r="R1773" s="1">
        <v>781.75</v>
      </c>
      <c r="S1773" t="s">
        <v>280</v>
      </c>
      <c r="T1773" s="13">
        <v>45879</v>
      </c>
      <c r="U1773" s="1" t="str">
        <f>IF(ESTIMATIVA[[#This Row],[QT_AREA_REAL]]&gt;0,"1- Colhido","2- à Colher")</f>
        <v>1- Colhido</v>
      </c>
      <c r="V1773" s="1" t="str">
        <f>IF(ESTIMATIVA[[#This Row],[QT_AREA_REST1]]&gt;0,"Reestimativa 1",IF(ESTIMATIVA[[#This Row],[QT_AREA_REAL]]=0,"Reestimativa 1","Realizado"))</f>
        <v>Reestimativa 1</v>
      </c>
      <c r="W1773" s="1" t="str">
        <f>IF(ESTIMATIVA[[#This Row],[QT_AREA_REST2]]&gt;0,"Reestimativa 2",IF(ESTIMATIVA[[#This Row],[QT_AREA_REAL]]=0,"Reestimativa 2","Realizado"))</f>
        <v>Realizado</v>
      </c>
      <c r="X1773" s="1">
        <f>ESTIMATIVA[[#This Row],[QT_AREA_EST]]</f>
        <v>9.44</v>
      </c>
      <c r="Y1773" s="1">
        <f>IF(ESTIMATIVA[[#This Row],[QT_AREA_REST1]]&gt;0,ESTIMATIVA[[#This Row],[QT_AREA_REST1]],
  IF(ESTIMATIVA[[#This Row],[QT_AREA_REAL]]&gt;0,ESTIMATIVA[[#This Row],[QT_AREA_REAL]],ESTIMATIVA[[#This Row],[QT_AREA_EST]]))</f>
        <v>9.44</v>
      </c>
      <c r="Z177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9.44</v>
      </c>
      <c r="AA1773" s="1">
        <f>ESTIMATIVA[[#This Row],[QT_CANA_EST]]</f>
        <v>887.36</v>
      </c>
      <c r="AB1773" s="1">
        <f>IF(ESTIMATIVA[[#This Row],[QT_CANA_REST1]]&gt;0,ESTIMATIVA[[#This Row],[QT_CANA_REST1]],
  IF(ESTIMATIVA[[#This Row],[QT_CANA_REAL]]&gt;0,ESTIMATIVA[[#This Row],[QT_CANA_REAL]],ESTIMATIVA[[#This Row],[QT_CANA_EST]]))</f>
        <v>887.36</v>
      </c>
      <c r="AC177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781.75</v>
      </c>
      <c r="AD1773" s="1">
        <f>IF(ESTIMATIVA[[#This Row],[QT_AREA_REAL]]&gt;0,ESTIMATIVA[[#This Row],[QT_CANA_REAL]],ESTIMATIVA[[#This Row],[QT_CANA_EST]])</f>
        <v>781.75</v>
      </c>
      <c r="AE1773" s="1">
        <f>IF(ESTIMATIVA[[#This Row],[QT_AREA_REAL]]&gt;0,ESTIMATIVA[[#This Row],[QT_CANA_REAL]],ESTIMATIVA[[#This Row],[QT_CANA_REST1]])</f>
        <v>781.75</v>
      </c>
      <c r="AF1773" s="1">
        <f>IF(ESTIMATIVA[[#This Row],[QT_AREA_REAL]]&gt;0,ESTIMATIVA[[#This Row],[QT_CANA_REAL]],ESTIMATIVA[[#This Row],[QT_CANA_REST2]])</f>
        <v>781.75</v>
      </c>
      <c r="AG1773" s="1" t="str">
        <f>IF(COUNTIFS(GEADA!A:A,VALUE(ESTIMATIVA[[#This Row],[CD_UPNIVEL1]]&amp;TEXT(ESTIMATIVA[[#This Row],[CD_UPNIVEL3]],"0000")))&gt;0,"S","N")</f>
        <v>N</v>
      </c>
      <c r="AH177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73" s="55" t="str">
        <f>IF(ESTIMATIVA[[#This Row],[TP_CULTIVO]]="Irrigado",_xlfn.MAXIFS(IRRIGADO!J:J,IRRIGADO!C:C,ESTIMATIVA[[#This Row],[CD_UPNIVEL1]],IRRIGADO!E:E,ESTIMATIVA[[#This Row],[CD_UPNIVEL3]]),"")</f>
        <v/>
      </c>
      <c r="AJ177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73" s="1">
        <f>COUNTIFS(Apresentação!$E$23:$E$29,ESTIMATIVA[[#This Row],[CD_UPNIVEL1]])</f>
        <v>0</v>
      </c>
    </row>
    <row r="1774" spans="1:37" x14ac:dyDescent="0.3">
      <c r="A1774">
        <v>20705</v>
      </c>
      <c r="B1774" t="s">
        <v>28</v>
      </c>
      <c r="C1774">
        <v>20</v>
      </c>
      <c r="D1774">
        <v>1</v>
      </c>
      <c r="E1774" t="s">
        <v>264</v>
      </c>
      <c r="F1774" s="85" t="s">
        <v>331</v>
      </c>
      <c r="G1774"/>
      <c r="H1774" t="s">
        <v>294</v>
      </c>
      <c r="I1774" t="s">
        <v>225</v>
      </c>
      <c r="J1774" t="s">
        <v>177</v>
      </c>
      <c r="K1774" s="1">
        <v>6.46</v>
      </c>
      <c r="L1774" s="1">
        <v>6.46</v>
      </c>
      <c r="M1774" s="1">
        <v>0</v>
      </c>
      <c r="N1774" s="1">
        <v>6.46</v>
      </c>
      <c r="O1774" s="1">
        <v>801.04</v>
      </c>
      <c r="P1774" s="1">
        <v>813.96</v>
      </c>
      <c r="Q1774" s="1">
        <v>0</v>
      </c>
      <c r="R1774" s="1">
        <v>924.84</v>
      </c>
      <c r="S1774" t="s">
        <v>280</v>
      </c>
      <c r="T1774" s="13">
        <v>45886</v>
      </c>
      <c r="U1774" s="1" t="str">
        <f>IF(ESTIMATIVA[[#This Row],[QT_AREA_REAL]]&gt;0,"1- Colhido","2- à Colher")</f>
        <v>1- Colhido</v>
      </c>
      <c r="V1774" s="1" t="str">
        <f>IF(ESTIMATIVA[[#This Row],[QT_AREA_REST1]]&gt;0,"Reestimativa 1",IF(ESTIMATIVA[[#This Row],[QT_AREA_REAL]]=0,"Reestimativa 1","Realizado"))</f>
        <v>Reestimativa 1</v>
      </c>
      <c r="W1774" s="1" t="str">
        <f>IF(ESTIMATIVA[[#This Row],[QT_AREA_REST2]]&gt;0,"Reestimativa 2",IF(ESTIMATIVA[[#This Row],[QT_AREA_REAL]]=0,"Reestimativa 2","Realizado"))</f>
        <v>Realizado</v>
      </c>
      <c r="X1774" s="1">
        <f>ESTIMATIVA[[#This Row],[QT_AREA_EST]]</f>
        <v>6.46</v>
      </c>
      <c r="Y1774" s="1">
        <f>IF(ESTIMATIVA[[#This Row],[QT_AREA_REST1]]&gt;0,ESTIMATIVA[[#This Row],[QT_AREA_REST1]],
  IF(ESTIMATIVA[[#This Row],[QT_AREA_REAL]]&gt;0,ESTIMATIVA[[#This Row],[QT_AREA_REAL]],ESTIMATIVA[[#This Row],[QT_AREA_EST]]))</f>
        <v>6.46</v>
      </c>
      <c r="Z177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6.46</v>
      </c>
      <c r="AA1774" s="1">
        <f>ESTIMATIVA[[#This Row],[QT_CANA_EST]]</f>
        <v>801.04</v>
      </c>
      <c r="AB1774" s="1">
        <f>IF(ESTIMATIVA[[#This Row],[QT_CANA_REST1]]&gt;0,ESTIMATIVA[[#This Row],[QT_CANA_REST1]],
  IF(ESTIMATIVA[[#This Row],[QT_CANA_REAL]]&gt;0,ESTIMATIVA[[#This Row],[QT_CANA_REAL]],ESTIMATIVA[[#This Row],[QT_CANA_EST]]))</f>
        <v>813.96</v>
      </c>
      <c r="AC177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924.84</v>
      </c>
      <c r="AD1774" s="1">
        <f>IF(ESTIMATIVA[[#This Row],[QT_AREA_REAL]]&gt;0,ESTIMATIVA[[#This Row],[QT_CANA_REAL]],ESTIMATIVA[[#This Row],[QT_CANA_EST]])</f>
        <v>924.84</v>
      </c>
      <c r="AE1774" s="1">
        <f>IF(ESTIMATIVA[[#This Row],[QT_AREA_REAL]]&gt;0,ESTIMATIVA[[#This Row],[QT_CANA_REAL]],ESTIMATIVA[[#This Row],[QT_CANA_REST1]])</f>
        <v>924.84</v>
      </c>
      <c r="AF1774" s="1">
        <f>IF(ESTIMATIVA[[#This Row],[QT_AREA_REAL]]&gt;0,ESTIMATIVA[[#This Row],[QT_CANA_REAL]],ESTIMATIVA[[#This Row],[QT_CANA_REST2]])</f>
        <v>924.84</v>
      </c>
      <c r="AG1774" s="1" t="str">
        <f>IF(COUNTIFS(GEADA!A:A,VALUE(ESTIMATIVA[[#This Row],[CD_UPNIVEL1]]&amp;TEXT(ESTIMATIVA[[#This Row],[CD_UPNIVEL3]],"0000")))&gt;0,"S","N")</f>
        <v>N</v>
      </c>
      <c r="AH177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74" s="55" t="str">
        <f>IF(ESTIMATIVA[[#This Row],[TP_CULTIVO]]="Irrigado",_xlfn.MAXIFS(IRRIGADO!J:J,IRRIGADO!C:C,ESTIMATIVA[[#This Row],[CD_UPNIVEL1]],IRRIGADO!E:E,ESTIMATIVA[[#This Row],[CD_UPNIVEL3]]),"")</f>
        <v/>
      </c>
      <c r="AJ177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74" s="1">
        <f>COUNTIFS(Apresentação!$E$23:$E$29,ESTIMATIVA[[#This Row],[CD_UPNIVEL1]])</f>
        <v>0</v>
      </c>
    </row>
    <row r="1775" spans="1:37" x14ac:dyDescent="0.3">
      <c r="A1775">
        <v>20705</v>
      </c>
      <c r="B1775" t="s">
        <v>28</v>
      </c>
      <c r="C1775">
        <v>21</v>
      </c>
      <c r="D1775">
        <v>1</v>
      </c>
      <c r="E1775" t="s">
        <v>264</v>
      </c>
      <c r="F1775" s="85" t="s">
        <v>331</v>
      </c>
      <c r="G1775"/>
      <c r="H1775" t="s">
        <v>294</v>
      </c>
      <c r="I1775" t="s">
        <v>225</v>
      </c>
      <c r="J1775" t="s">
        <v>177</v>
      </c>
      <c r="K1775" s="1">
        <v>5.25</v>
      </c>
      <c r="L1775" s="1">
        <v>5.25</v>
      </c>
      <c r="M1775" s="1">
        <v>0</v>
      </c>
      <c r="N1775" s="1">
        <v>5.25</v>
      </c>
      <c r="O1775" s="1">
        <v>651</v>
      </c>
      <c r="P1775" s="1">
        <v>661.5</v>
      </c>
      <c r="Q1775" s="1">
        <v>0</v>
      </c>
      <c r="R1775" s="1">
        <v>752.11</v>
      </c>
      <c r="S1775" t="s">
        <v>280</v>
      </c>
      <c r="T1775" s="13">
        <v>45886</v>
      </c>
      <c r="U1775" s="1" t="str">
        <f>IF(ESTIMATIVA[[#This Row],[QT_AREA_REAL]]&gt;0,"1- Colhido","2- à Colher")</f>
        <v>1- Colhido</v>
      </c>
      <c r="V1775" s="1" t="str">
        <f>IF(ESTIMATIVA[[#This Row],[QT_AREA_REST1]]&gt;0,"Reestimativa 1",IF(ESTIMATIVA[[#This Row],[QT_AREA_REAL]]=0,"Reestimativa 1","Realizado"))</f>
        <v>Reestimativa 1</v>
      </c>
      <c r="W1775" s="1" t="str">
        <f>IF(ESTIMATIVA[[#This Row],[QT_AREA_REST2]]&gt;0,"Reestimativa 2",IF(ESTIMATIVA[[#This Row],[QT_AREA_REAL]]=0,"Reestimativa 2","Realizado"))</f>
        <v>Realizado</v>
      </c>
      <c r="X1775" s="1">
        <f>ESTIMATIVA[[#This Row],[QT_AREA_EST]]</f>
        <v>5.25</v>
      </c>
      <c r="Y1775" s="1">
        <f>IF(ESTIMATIVA[[#This Row],[QT_AREA_REST1]]&gt;0,ESTIMATIVA[[#This Row],[QT_AREA_REST1]],
  IF(ESTIMATIVA[[#This Row],[QT_AREA_REAL]]&gt;0,ESTIMATIVA[[#This Row],[QT_AREA_REAL]],ESTIMATIVA[[#This Row],[QT_AREA_EST]]))</f>
        <v>5.25</v>
      </c>
      <c r="Z177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5.25</v>
      </c>
      <c r="AA1775" s="1">
        <f>ESTIMATIVA[[#This Row],[QT_CANA_EST]]</f>
        <v>651</v>
      </c>
      <c r="AB1775" s="1">
        <f>IF(ESTIMATIVA[[#This Row],[QT_CANA_REST1]]&gt;0,ESTIMATIVA[[#This Row],[QT_CANA_REST1]],
  IF(ESTIMATIVA[[#This Row],[QT_CANA_REAL]]&gt;0,ESTIMATIVA[[#This Row],[QT_CANA_REAL]],ESTIMATIVA[[#This Row],[QT_CANA_EST]]))</f>
        <v>661.5</v>
      </c>
      <c r="AC177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752.11</v>
      </c>
      <c r="AD1775" s="1">
        <f>IF(ESTIMATIVA[[#This Row],[QT_AREA_REAL]]&gt;0,ESTIMATIVA[[#This Row],[QT_CANA_REAL]],ESTIMATIVA[[#This Row],[QT_CANA_EST]])</f>
        <v>752.11</v>
      </c>
      <c r="AE1775" s="1">
        <f>IF(ESTIMATIVA[[#This Row],[QT_AREA_REAL]]&gt;0,ESTIMATIVA[[#This Row],[QT_CANA_REAL]],ESTIMATIVA[[#This Row],[QT_CANA_REST1]])</f>
        <v>752.11</v>
      </c>
      <c r="AF1775" s="1">
        <f>IF(ESTIMATIVA[[#This Row],[QT_AREA_REAL]]&gt;0,ESTIMATIVA[[#This Row],[QT_CANA_REAL]],ESTIMATIVA[[#This Row],[QT_CANA_REST2]])</f>
        <v>752.11</v>
      </c>
      <c r="AG1775" s="1" t="str">
        <f>IF(COUNTIFS(GEADA!A:A,VALUE(ESTIMATIVA[[#This Row],[CD_UPNIVEL1]]&amp;TEXT(ESTIMATIVA[[#This Row],[CD_UPNIVEL3]],"0000")))&gt;0,"S","N")</f>
        <v>N</v>
      </c>
      <c r="AH177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75" s="55" t="str">
        <f>IF(ESTIMATIVA[[#This Row],[TP_CULTIVO]]="Irrigado",_xlfn.MAXIFS(IRRIGADO!J:J,IRRIGADO!C:C,ESTIMATIVA[[#This Row],[CD_UPNIVEL1]],IRRIGADO!E:E,ESTIMATIVA[[#This Row],[CD_UPNIVEL3]]),"")</f>
        <v/>
      </c>
      <c r="AJ177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75" s="1">
        <f>COUNTIFS(Apresentação!$E$23:$E$29,ESTIMATIVA[[#This Row],[CD_UPNIVEL1]])</f>
        <v>0</v>
      </c>
    </row>
    <row r="1776" spans="1:37" x14ac:dyDescent="0.3">
      <c r="A1776">
        <v>20705</v>
      </c>
      <c r="B1776" t="s">
        <v>28</v>
      </c>
      <c r="C1776">
        <v>22</v>
      </c>
      <c r="D1776">
        <v>1</v>
      </c>
      <c r="E1776" t="s">
        <v>264</v>
      </c>
      <c r="F1776" s="85" t="s">
        <v>331</v>
      </c>
      <c r="G1776"/>
      <c r="H1776" t="s">
        <v>294</v>
      </c>
      <c r="I1776" t="s">
        <v>225</v>
      </c>
      <c r="J1776" t="s">
        <v>177</v>
      </c>
      <c r="K1776" s="1">
        <v>8.83</v>
      </c>
      <c r="L1776" s="1">
        <v>8.83</v>
      </c>
      <c r="M1776" s="1">
        <v>0</v>
      </c>
      <c r="N1776" s="1">
        <v>8.83</v>
      </c>
      <c r="O1776" s="1">
        <v>1094.92</v>
      </c>
      <c r="P1776" s="1">
        <v>1112.58</v>
      </c>
      <c r="Q1776" s="1">
        <v>0</v>
      </c>
      <c r="R1776" s="1">
        <v>1264.5899999999999</v>
      </c>
      <c r="S1776" t="s">
        <v>280</v>
      </c>
      <c r="T1776" s="13">
        <v>45886</v>
      </c>
      <c r="U1776" s="1" t="str">
        <f>IF(ESTIMATIVA[[#This Row],[QT_AREA_REAL]]&gt;0,"1- Colhido","2- à Colher")</f>
        <v>1- Colhido</v>
      </c>
      <c r="V1776" s="1" t="str">
        <f>IF(ESTIMATIVA[[#This Row],[QT_AREA_REST1]]&gt;0,"Reestimativa 1",IF(ESTIMATIVA[[#This Row],[QT_AREA_REAL]]=0,"Reestimativa 1","Realizado"))</f>
        <v>Reestimativa 1</v>
      </c>
      <c r="W1776" s="1" t="str">
        <f>IF(ESTIMATIVA[[#This Row],[QT_AREA_REST2]]&gt;0,"Reestimativa 2",IF(ESTIMATIVA[[#This Row],[QT_AREA_REAL]]=0,"Reestimativa 2","Realizado"))</f>
        <v>Realizado</v>
      </c>
      <c r="X1776" s="1">
        <f>ESTIMATIVA[[#This Row],[QT_AREA_EST]]</f>
        <v>8.83</v>
      </c>
      <c r="Y1776" s="1">
        <f>IF(ESTIMATIVA[[#This Row],[QT_AREA_REST1]]&gt;0,ESTIMATIVA[[#This Row],[QT_AREA_REST1]],
  IF(ESTIMATIVA[[#This Row],[QT_AREA_REAL]]&gt;0,ESTIMATIVA[[#This Row],[QT_AREA_REAL]],ESTIMATIVA[[#This Row],[QT_AREA_EST]]))</f>
        <v>8.83</v>
      </c>
      <c r="Z177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8.83</v>
      </c>
      <c r="AA1776" s="1">
        <f>ESTIMATIVA[[#This Row],[QT_CANA_EST]]</f>
        <v>1094.92</v>
      </c>
      <c r="AB1776" s="1">
        <f>IF(ESTIMATIVA[[#This Row],[QT_CANA_REST1]]&gt;0,ESTIMATIVA[[#This Row],[QT_CANA_REST1]],
  IF(ESTIMATIVA[[#This Row],[QT_CANA_REAL]]&gt;0,ESTIMATIVA[[#This Row],[QT_CANA_REAL]],ESTIMATIVA[[#This Row],[QT_CANA_EST]]))</f>
        <v>1112.58</v>
      </c>
      <c r="AC177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1264.5899999999999</v>
      </c>
      <c r="AD1776" s="1">
        <f>IF(ESTIMATIVA[[#This Row],[QT_AREA_REAL]]&gt;0,ESTIMATIVA[[#This Row],[QT_CANA_REAL]],ESTIMATIVA[[#This Row],[QT_CANA_EST]])</f>
        <v>1264.5899999999999</v>
      </c>
      <c r="AE1776" s="1">
        <f>IF(ESTIMATIVA[[#This Row],[QT_AREA_REAL]]&gt;0,ESTIMATIVA[[#This Row],[QT_CANA_REAL]],ESTIMATIVA[[#This Row],[QT_CANA_REST1]])</f>
        <v>1264.5899999999999</v>
      </c>
      <c r="AF1776" s="1">
        <f>IF(ESTIMATIVA[[#This Row],[QT_AREA_REAL]]&gt;0,ESTIMATIVA[[#This Row],[QT_CANA_REAL]],ESTIMATIVA[[#This Row],[QT_CANA_REST2]])</f>
        <v>1264.5899999999999</v>
      </c>
      <c r="AG1776" s="1" t="str">
        <f>IF(COUNTIFS(GEADA!A:A,VALUE(ESTIMATIVA[[#This Row],[CD_UPNIVEL1]]&amp;TEXT(ESTIMATIVA[[#This Row],[CD_UPNIVEL3]],"0000")))&gt;0,"S","N")</f>
        <v>N</v>
      </c>
      <c r="AH177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76" s="55" t="str">
        <f>IF(ESTIMATIVA[[#This Row],[TP_CULTIVO]]="Irrigado",_xlfn.MAXIFS(IRRIGADO!J:J,IRRIGADO!C:C,ESTIMATIVA[[#This Row],[CD_UPNIVEL1]],IRRIGADO!E:E,ESTIMATIVA[[#This Row],[CD_UPNIVEL3]]),"")</f>
        <v/>
      </c>
      <c r="AJ177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76" s="1">
        <f>COUNTIFS(Apresentação!$E$23:$E$29,ESTIMATIVA[[#This Row],[CD_UPNIVEL1]])</f>
        <v>0</v>
      </c>
    </row>
    <row r="1777" spans="1:37" x14ac:dyDescent="0.3">
      <c r="A1777">
        <v>20705</v>
      </c>
      <c r="B1777" t="s">
        <v>28</v>
      </c>
      <c r="C1777">
        <v>23</v>
      </c>
      <c r="D1777">
        <v>1</v>
      </c>
      <c r="E1777" t="s">
        <v>264</v>
      </c>
      <c r="F1777" s="85" t="s">
        <v>331</v>
      </c>
      <c r="G1777"/>
      <c r="H1777" t="s">
        <v>294</v>
      </c>
      <c r="I1777" t="s">
        <v>225</v>
      </c>
      <c r="J1777" t="s">
        <v>177</v>
      </c>
      <c r="K1777" s="1">
        <v>6.8</v>
      </c>
      <c r="L1777" s="1">
        <v>6.8</v>
      </c>
      <c r="M1777" s="1">
        <v>0</v>
      </c>
      <c r="N1777" s="1">
        <v>6.8</v>
      </c>
      <c r="O1777" s="1">
        <v>843.2</v>
      </c>
      <c r="P1777" s="1">
        <v>856.8</v>
      </c>
      <c r="Q1777" s="1">
        <v>0</v>
      </c>
      <c r="R1777" s="1">
        <v>973.7</v>
      </c>
      <c r="S1777" t="s">
        <v>280</v>
      </c>
      <c r="T1777" s="13">
        <v>45886</v>
      </c>
      <c r="U1777" s="1" t="str">
        <f>IF(ESTIMATIVA[[#This Row],[QT_AREA_REAL]]&gt;0,"1- Colhido","2- à Colher")</f>
        <v>1- Colhido</v>
      </c>
      <c r="V1777" s="1" t="str">
        <f>IF(ESTIMATIVA[[#This Row],[QT_AREA_REST1]]&gt;0,"Reestimativa 1",IF(ESTIMATIVA[[#This Row],[QT_AREA_REAL]]=0,"Reestimativa 1","Realizado"))</f>
        <v>Reestimativa 1</v>
      </c>
      <c r="W1777" s="1" t="str">
        <f>IF(ESTIMATIVA[[#This Row],[QT_AREA_REST2]]&gt;0,"Reestimativa 2",IF(ESTIMATIVA[[#This Row],[QT_AREA_REAL]]=0,"Reestimativa 2","Realizado"))</f>
        <v>Realizado</v>
      </c>
      <c r="X1777" s="1">
        <f>ESTIMATIVA[[#This Row],[QT_AREA_EST]]</f>
        <v>6.8</v>
      </c>
      <c r="Y1777" s="1">
        <f>IF(ESTIMATIVA[[#This Row],[QT_AREA_REST1]]&gt;0,ESTIMATIVA[[#This Row],[QT_AREA_REST1]],
  IF(ESTIMATIVA[[#This Row],[QT_AREA_REAL]]&gt;0,ESTIMATIVA[[#This Row],[QT_AREA_REAL]],ESTIMATIVA[[#This Row],[QT_AREA_EST]]))</f>
        <v>6.8</v>
      </c>
      <c r="Z177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6.8</v>
      </c>
      <c r="AA1777" s="1">
        <f>ESTIMATIVA[[#This Row],[QT_CANA_EST]]</f>
        <v>843.2</v>
      </c>
      <c r="AB1777" s="1">
        <f>IF(ESTIMATIVA[[#This Row],[QT_CANA_REST1]]&gt;0,ESTIMATIVA[[#This Row],[QT_CANA_REST1]],
  IF(ESTIMATIVA[[#This Row],[QT_CANA_REAL]]&gt;0,ESTIMATIVA[[#This Row],[QT_CANA_REAL]],ESTIMATIVA[[#This Row],[QT_CANA_EST]]))</f>
        <v>856.8</v>
      </c>
      <c r="AC177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973.7</v>
      </c>
      <c r="AD1777" s="1">
        <f>IF(ESTIMATIVA[[#This Row],[QT_AREA_REAL]]&gt;0,ESTIMATIVA[[#This Row],[QT_CANA_REAL]],ESTIMATIVA[[#This Row],[QT_CANA_EST]])</f>
        <v>973.7</v>
      </c>
      <c r="AE1777" s="1">
        <f>IF(ESTIMATIVA[[#This Row],[QT_AREA_REAL]]&gt;0,ESTIMATIVA[[#This Row],[QT_CANA_REAL]],ESTIMATIVA[[#This Row],[QT_CANA_REST1]])</f>
        <v>973.7</v>
      </c>
      <c r="AF1777" s="1">
        <f>IF(ESTIMATIVA[[#This Row],[QT_AREA_REAL]]&gt;0,ESTIMATIVA[[#This Row],[QT_CANA_REAL]],ESTIMATIVA[[#This Row],[QT_CANA_REST2]])</f>
        <v>973.7</v>
      </c>
      <c r="AG1777" s="1" t="str">
        <f>IF(COUNTIFS(GEADA!A:A,VALUE(ESTIMATIVA[[#This Row],[CD_UPNIVEL1]]&amp;TEXT(ESTIMATIVA[[#This Row],[CD_UPNIVEL3]],"0000")))&gt;0,"S","N")</f>
        <v>N</v>
      </c>
      <c r="AH177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77" s="55" t="str">
        <f>IF(ESTIMATIVA[[#This Row],[TP_CULTIVO]]="Irrigado",_xlfn.MAXIFS(IRRIGADO!J:J,IRRIGADO!C:C,ESTIMATIVA[[#This Row],[CD_UPNIVEL1]],IRRIGADO!E:E,ESTIMATIVA[[#This Row],[CD_UPNIVEL3]]),"")</f>
        <v/>
      </c>
      <c r="AJ177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77" s="1">
        <f>COUNTIFS(Apresentação!$E$23:$E$29,ESTIMATIVA[[#This Row],[CD_UPNIVEL1]])</f>
        <v>0</v>
      </c>
    </row>
    <row r="1778" spans="1:37" x14ac:dyDescent="0.3">
      <c r="A1778">
        <v>20705</v>
      </c>
      <c r="B1778" t="s">
        <v>28</v>
      </c>
      <c r="C1778">
        <v>24</v>
      </c>
      <c r="D1778">
        <v>1</v>
      </c>
      <c r="E1778" t="s">
        <v>264</v>
      </c>
      <c r="F1778" s="85" t="s">
        <v>331</v>
      </c>
      <c r="G1778"/>
      <c r="H1778" t="s">
        <v>294</v>
      </c>
      <c r="I1778" t="s">
        <v>225</v>
      </c>
      <c r="J1778" t="s">
        <v>177</v>
      </c>
      <c r="K1778" s="1">
        <v>13.28</v>
      </c>
      <c r="L1778" s="1">
        <v>13.28</v>
      </c>
      <c r="M1778" s="1">
        <v>0</v>
      </c>
      <c r="N1778" s="1">
        <v>13.28</v>
      </c>
      <c r="O1778" s="1">
        <v>1606.88</v>
      </c>
      <c r="P1778" s="1">
        <v>1620.16</v>
      </c>
      <c r="Q1778" s="1">
        <v>0</v>
      </c>
      <c r="R1778" s="1">
        <v>1840.7</v>
      </c>
      <c r="S1778" t="s">
        <v>280</v>
      </c>
      <c r="T1778" s="13">
        <v>45886</v>
      </c>
      <c r="U1778" s="1" t="str">
        <f>IF(ESTIMATIVA[[#This Row],[QT_AREA_REAL]]&gt;0,"1- Colhido","2- à Colher")</f>
        <v>1- Colhido</v>
      </c>
      <c r="V1778" s="1" t="str">
        <f>IF(ESTIMATIVA[[#This Row],[QT_AREA_REST1]]&gt;0,"Reestimativa 1",IF(ESTIMATIVA[[#This Row],[QT_AREA_REAL]]=0,"Reestimativa 1","Realizado"))</f>
        <v>Reestimativa 1</v>
      </c>
      <c r="W1778" s="1" t="str">
        <f>IF(ESTIMATIVA[[#This Row],[QT_AREA_REST2]]&gt;0,"Reestimativa 2",IF(ESTIMATIVA[[#This Row],[QT_AREA_REAL]]=0,"Reestimativa 2","Realizado"))</f>
        <v>Realizado</v>
      </c>
      <c r="X1778" s="1">
        <f>ESTIMATIVA[[#This Row],[QT_AREA_EST]]</f>
        <v>13.28</v>
      </c>
      <c r="Y1778" s="1">
        <f>IF(ESTIMATIVA[[#This Row],[QT_AREA_REST1]]&gt;0,ESTIMATIVA[[#This Row],[QT_AREA_REST1]],
  IF(ESTIMATIVA[[#This Row],[QT_AREA_REAL]]&gt;0,ESTIMATIVA[[#This Row],[QT_AREA_REAL]],ESTIMATIVA[[#This Row],[QT_AREA_EST]]))</f>
        <v>13.28</v>
      </c>
      <c r="Z177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13.28</v>
      </c>
      <c r="AA1778" s="1">
        <f>ESTIMATIVA[[#This Row],[QT_CANA_EST]]</f>
        <v>1606.88</v>
      </c>
      <c r="AB1778" s="1">
        <f>IF(ESTIMATIVA[[#This Row],[QT_CANA_REST1]]&gt;0,ESTIMATIVA[[#This Row],[QT_CANA_REST1]],
  IF(ESTIMATIVA[[#This Row],[QT_CANA_REAL]]&gt;0,ESTIMATIVA[[#This Row],[QT_CANA_REAL]],ESTIMATIVA[[#This Row],[QT_CANA_EST]]))</f>
        <v>1620.16</v>
      </c>
      <c r="AC177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1840.7</v>
      </c>
      <c r="AD1778" s="1">
        <f>IF(ESTIMATIVA[[#This Row],[QT_AREA_REAL]]&gt;0,ESTIMATIVA[[#This Row],[QT_CANA_REAL]],ESTIMATIVA[[#This Row],[QT_CANA_EST]])</f>
        <v>1840.7</v>
      </c>
      <c r="AE1778" s="1">
        <f>IF(ESTIMATIVA[[#This Row],[QT_AREA_REAL]]&gt;0,ESTIMATIVA[[#This Row],[QT_CANA_REAL]],ESTIMATIVA[[#This Row],[QT_CANA_REST1]])</f>
        <v>1840.7</v>
      </c>
      <c r="AF1778" s="1">
        <f>IF(ESTIMATIVA[[#This Row],[QT_AREA_REAL]]&gt;0,ESTIMATIVA[[#This Row],[QT_CANA_REAL]],ESTIMATIVA[[#This Row],[QT_CANA_REST2]])</f>
        <v>1840.7</v>
      </c>
      <c r="AG1778" s="1" t="str">
        <f>IF(COUNTIFS(GEADA!A:A,VALUE(ESTIMATIVA[[#This Row],[CD_UPNIVEL1]]&amp;TEXT(ESTIMATIVA[[#This Row],[CD_UPNIVEL3]],"0000")))&gt;0,"S","N")</f>
        <v>N</v>
      </c>
      <c r="AH177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78" s="55" t="str">
        <f>IF(ESTIMATIVA[[#This Row],[TP_CULTIVO]]="Irrigado",_xlfn.MAXIFS(IRRIGADO!J:J,IRRIGADO!C:C,ESTIMATIVA[[#This Row],[CD_UPNIVEL1]],IRRIGADO!E:E,ESTIMATIVA[[#This Row],[CD_UPNIVEL3]]),"")</f>
        <v/>
      </c>
      <c r="AJ177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78" s="1">
        <f>COUNTIFS(Apresentação!$E$23:$E$29,ESTIMATIVA[[#This Row],[CD_UPNIVEL1]])</f>
        <v>0</v>
      </c>
    </row>
    <row r="1779" spans="1:37" x14ac:dyDescent="0.3">
      <c r="A1779">
        <v>20705</v>
      </c>
      <c r="B1779" t="s">
        <v>28</v>
      </c>
      <c r="C1779">
        <v>25</v>
      </c>
      <c r="D1779">
        <v>1</v>
      </c>
      <c r="E1779" t="s">
        <v>264</v>
      </c>
      <c r="F1779" s="85" t="s">
        <v>331</v>
      </c>
      <c r="G1779"/>
      <c r="H1779" t="s">
        <v>294</v>
      </c>
      <c r="I1779" t="s">
        <v>225</v>
      </c>
      <c r="J1779" t="s">
        <v>177</v>
      </c>
      <c r="K1779" s="1">
        <v>14.22</v>
      </c>
      <c r="L1779" s="1">
        <v>14.22</v>
      </c>
      <c r="M1779" s="1">
        <v>0</v>
      </c>
      <c r="N1779" s="1">
        <v>14.22</v>
      </c>
      <c r="O1779" s="1">
        <v>1720.62</v>
      </c>
      <c r="P1779" s="1">
        <v>1734.84</v>
      </c>
      <c r="Q1779" s="1">
        <v>0</v>
      </c>
      <c r="R1779" s="1">
        <v>1972.06</v>
      </c>
      <c r="S1779" t="s">
        <v>280</v>
      </c>
      <c r="T1779" s="13">
        <v>45886</v>
      </c>
      <c r="U1779" s="1" t="str">
        <f>IF(ESTIMATIVA[[#This Row],[QT_AREA_REAL]]&gt;0,"1- Colhido","2- à Colher")</f>
        <v>1- Colhido</v>
      </c>
      <c r="V1779" s="1" t="str">
        <f>IF(ESTIMATIVA[[#This Row],[QT_AREA_REST1]]&gt;0,"Reestimativa 1",IF(ESTIMATIVA[[#This Row],[QT_AREA_REAL]]=0,"Reestimativa 1","Realizado"))</f>
        <v>Reestimativa 1</v>
      </c>
      <c r="W1779" s="1" t="str">
        <f>IF(ESTIMATIVA[[#This Row],[QT_AREA_REST2]]&gt;0,"Reestimativa 2",IF(ESTIMATIVA[[#This Row],[QT_AREA_REAL]]=0,"Reestimativa 2","Realizado"))</f>
        <v>Realizado</v>
      </c>
      <c r="X1779" s="1">
        <f>ESTIMATIVA[[#This Row],[QT_AREA_EST]]</f>
        <v>14.22</v>
      </c>
      <c r="Y1779" s="1">
        <f>IF(ESTIMATIVA[[#This Row],[QT_AREA_REST1]]&gt;0,ESTIMATIVA[[#This Row],[QT_AREA_REST1]],
  IF(ESTIMATIVA[[#This Row],[QT_AREA_REAL]]&gt;0,ESTIMATIVA[[#This Row],[QT_AREA_REAL]],ESTIMATIVA[[#This Row],[QT_AREA_EST]]))</f>
        <v>14.22</v>
      </c>
      <c r="Z177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14.22</v>
      </c>
      <c r="AA1779" s="1">
        <f>ESTIMATIVA[[#This Row],[QT_CANA_EST]]</f>
        <v>1720.62</v>
      </c>
      <c r="AB1779" s="1">
        <f>IF(ESTIMATIVA[[#This Row],[QT_CANA_REST1]]&gt;0,ESTIMATIVA[[#This Row],[QT_CANA_REST1]],
  IF(ESTIMATIVA[[#This Row],[QT_CANA_REAL]]&gt;0,ESTIMATIVA[[#This Row],[QT_CANA_REAL]],ESTIMATIVA[[#This Row],[QT_CANA_EST]]))</f>
        <v>1734.84</v>
      </c>
      <c r="AC177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1972.06</v>
      </c>
      <c r="AD1779" s="1">
        <f>IF(ESTIMATIVA[[#This Row],[QT_AREA_REAL]]&gt;0,ESTIMATIVA[[#This Row],[QT_CANA_REAL]],ESTIMATIVA[[#This Row],[QT_CANA_EST]])</f>
        <v>1972.06</v>
      </c>
      <c r="AE1779" s="1">
        <f>IF(ESTIMATIVA[[#This Row],[QT_AREA_REAL]]&gt;0,ESTIMATIVA[[#This Row],[QT_CANA_REAL]],ESTIMATIVA[[#This Row],[QT_CANA_REST1]])</f>
        <v>1972.06</v>
      </c>
      <c r="AF1779" s="1">
        <f>IF(ESTIMATIVA[[#This Row],[QT_AREA_REAL]]&gt;0,ESTIMATIVA[[#This Row],[QT_CANA_REAL]],ESTIMATIVA[[#This Row],[QT_CANA_REST2]])</f>
        <v>1972.06</v>
      </c>
      <c r="AG1779" s="1" t="str">
        <f>IF(COUNTIFS(GEADA!A:A,VALUE(ESTIMATIVA[[#This Row],[CD_UPNIVEL1]]&amp;TEXT(ESTIMATIVA[[#This Row],[CD_UPNIVEL3]],"0000")))&gt;0,"S","N")</f>
        <v>N</v>
      </c>
      <c r="AH177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79" s="55" t="str">
        <f>IF(ESTIMATIVA[[#This Row],[TP_CULTIVO]]="Irrigado",_xlfn.MAXIFS(IRRIGADO!J:J,IRRIGADO!C:C,ESTIMATIVA[[#This Row],[CD_UPNIVEL1]],IRRIGADO!E:E,ESTIMATIVA[[#This Row],[CD_UPNIVEL3]]),"")</f>
        <v/>
      </c>
      <c r="AJ177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79" s="1">
        <f>COUNTIFS(Apresentação!$E$23:$E$29,ESTIMATIVA[[#This Row],[CD_UPNIVEL1]])</f>
        <v>0</v>
      </c>
    </row>
    <row r="1780" spans="1:37" x14ac:dyDescent="0.3">
      <c r="A1780">
        <v>20705</v>
      </c>
      <c r="B1780" t="s">
        <v>28</v>
      </c>
      <c r="C1780">
        <v>26</v>
      </c>
      <c r="D1780">
        <v>3</v>
      </c>
      <c r="E1780" t="s">
        <v>263</v>
      </c>
      <c r="F1780" s="85" t="s">
        <v>331</v>
      </c>
      <c r="G1780"/>
      <c r="H1780" t="s">
        <v>294</v>
      </c>
      <c r="I1780" t="s">
        <v>208</v>
      </c>
      <c r="J1780" t="s">
        <v>177</v>
      </c>
      <c r="K1780" s="1">
        <v>12.1</v>
      </c>
      <c r="L1780" s="1">
        <v>0</v>
      </c>
      <c r="M1780" s="1">
        <v>0</v>
      </c>
      <c r="N1780" s="1">
        <v>12.1</v>
      </c>
      <c r="O1780" s="1">
        <v>1064.8</v>
      </c>
      <c r="P1780" s="1">
        <v>0</v>
      </c>
      <c r="Q1780" s="1">
        <v>0</v>
      </c>
      <c r="R1780" s="1">
        <v>911.22</v>
      </c>
      <c r="S1780" t="s">
        <v>280</v>
      </c>
      <c r="T1780" s="13">
        <v>45795</v>
      </c>
      <c r="U1780" s="1" t="str">
        <f>IF(ESTIMATIVA[[#This Row],[QT_AREA_REAL]]&gt;0,"1- Colhido","2- à Colher")</f>
        <v>1- Colhido</v>
      </c>
      <c r="V1780" s="1" t="str">
        <f>IF(ESTIMATIVA[[#This Row],[QT_AREA_REST1]]&gt;0,"Reestimativa 1",IF(ESTIMATIVA[[#This Row],[QT_AREA_REAL]]=0,"Reestimativa 1","Realizado"))</f>
        <v>Realizado</v>
      </c>
      <c r="W1780" s="1" t="str">
        <f>IF(ESTIMATIVA[[#This Row],[QT_AREA_REST2]]&gt;0,"Reestimativa 2",IF(ESTIMATIVA[[#This Row],[QT_AREA_REAL]]=0,"Reestimativa 2","Realizado"))</f>
        <v>Realizado</v>
      </c>
      <c r="X1780" s="1">
        <f>ESTIMATIVA[[#This Row],[QT_AREA_EST]]</f>
        <v>12.1</v>
      </c>
      <c r="Y1780" s="1">
        <f>IF(ESTIMATIVA[[#This Row],[QT_AREA_REST1]]&gt;0,ESTIMATIVA[[#This Row],[QT_AREA_REST1]],
  IF(ESTIMATIVA[[#This Row],[QT_AREA_REAL]]&gt;0,ESTIMATIVA[[#This Row],[QT_AREA_REAL]],ESTIMATIVA[[#This Row],[QT_AREA_EST]]))</f>
        <v>12.1</v>
      </c>
      <c r="Z178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12.1</v>
      </c>
      <c r="AA1780" s="1">
        <f>ESTIMATIVA[[#This Row],[QT_CANA_EST]]</f>
        <v>1064.8</v>
      </c>
      <c r="AB1780" s="1">
        <f>IF(ESTIMATIVA[[#This Row],[QT_CANA_REST1]]&gt;0,ESTIMATIVA[[#This Row],[QT_CANA_REST1]],
  IF(ESTIMATIVA[[#This Row],[QT_CANA_REAL]]&gt;0,ESTIMATIVA[[#This Row],[QT_CANA_REAL]],ESTIMATIVA[[#This Row],[QT_CANA_EST]]))</f>
        <v>911.22</v>
      </c>
      <c r="AC178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911.22</v>
      </c>
      <c r="AD1780" s="1">
        <f>IF(ESTIMATIVA[[#This Row],[QT_AREA_REAL]]&gt;0,ESTIMATIVA[[#This Row],[QT_CANA_REAL]],ESTIMATIVA[[#This Row],[QT_CANA_EST]])</f>
        <v>911.22</v>
      </c>
      <c r="AE1780" s="1">
        <f>IF(ESTIMATIVA[[#This Row],[QT_AREA_REAL]]&gt;0,ESTIMATIVA[[#This Row],[QT_CANA_REAL]],ESTIMATIVA[[#This Row],[QT_CANA_REST1]])</f>
        <v>911.22</v>
      </c>
      <c r="AF1780" s="1">
        <f>IF(ESTIMATIVA[[#This Row],[QT_AREA_REAL]]&gt;0,ESTIMATIVA[[#This Row],[QT_CANA_REAL]],ESTIMATIVA[[#This Row],[QT_CANA_REST2]])</f>
        <v>911.22</v>
      </c>
      <c r="AG1780" s="1" t="str">
        <f>IF(COUNTIFS(GEADA!A:A,VALUE(ESTIMATIVA[[#This Row],[CD_UPNIVEL1]]&amp;TEXT(ESTIMATIVA[[#This Row],[CD_UPNIVEL3]],"0000")))&gt;0,"S","N")</f>
        <v>N</v>
      </c>
      <c r="AH178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80" s="55" t="str">
        <f>IF(ESTIMATIVA[[#This Row],[TP_CULTIVO]]="Irrigado",_xlfn.MAXIFS(IRRIGADO!J:J,IRRIGADO!C:C,ESTIMATIVA[[#This Row],[CD_UPNIVEL1]],IRRIGADO!E:E,ESTIMATIVA[[#This Row],[CD_UPNIVEL3]]),"")</f>
        <v/>
      </c>
      <c r="AJ178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80" s="1">
        <f>COUNTIFS(Apresentação!$E$23:$E$29,ESTIMATIVA[[#This Row],[CD_UPNIVEL1]])</f>
        <v>0</v>
      </c>
    </row>
    <row r="1781" spans="1:37" x14ac:dyDescent="0.3">
      <c r="A1781">
        <v>20705</v>
      </c>
      <c r="B1781" t="s">
        <v>28</v>
      </c>
      <c r="C1781">
        <v>27</v>
      </c>
      <c r="D1781">
        <v>3</v>
      </c>
      <c r="E1781" t="s">
        <v>263</v>
      </c>
      <c r="F1781" s="85" t="s">
        <v>331</v>
      </c>
      <c r="G1781"/>
      <c r="H1781" t="s">
        <v>294</v>
      </c>
      <c r="I1781" t="s">
        <v>208</v>
      </c>
      <c r="J1781" t="s">
        <v>177</v>
      </c>
      <c r="K1781" s="1">
        <v>10.32</v>
      </c>
      <c r="L1781" s="1">
        <v>0</v>
      </c>
      <c r="M1781" s="1">
        <v>0</v>
      </c>
      <c r="N1781" s="1">
        <v>10.32</v>
      </c>
      <c r="O1781" s="1">
        <v>908.16</v>
      </c>
      <c r="P1781" s="1">
        <v>0</v>
      </c>
      <c r="Q1781" s="1">
        <v>0</v>
      </c>
      <c r="R1781" s="1">
        <v>776.94</v>
      </c>
      <c r="S1781" t="s">
        <v>280</v>
      </c>
      <c r="T1781" s="13">
        <v>45795</v>
      </c>
      <c r="U1781" s="1" t="str">
        <f>IF(ESTIMATIVA[[#This Row],[QT_AREA_REAL]]&gt;0,"1- Colhido","2- à Colher")</f>
        <v>1- Colhido</v>
      </c>
      <c r="V1781" s="1" t="str">
        <f>IF(ESTIMATIVA[[#This Row],[QT_AREA_REST1]]&gt;0,"Reestimativa 1",IF(ESTIMATIVA[[#This Row],[QT_AREA_REAL]]=0,"Reestimativa 1","Realizado"))</f>
        <v>Realizado</v>
      </c>
      <c r="W1781" s="1" t="str">
        <f>IF(ESTIMATIVA[[#This Row],[QT_AREA_REST2]]&gt;0,"Reestimativa 2",IF(ESTIMATIVA[[#This Row],[QT_AREA_REAL]]=0,"Reestimativa 2","Realizado"))</f>
        <v>Realizado</v>
      </c>
      <c r="X1781" s="1">
        <f>ESTIMATIVA[[#This Row],[QT_AREA_EST]]</f>
        <v>10.32</v>
      </c>
      <c r="Y1781" s="1">
        <f>IF(ESTIMATIVA[[#This Row],[QT_AREA_REST1]]&gt;0,ESTIMATIVA[[#This Row],[QT_AREA_REST1]],
  IF(ESTIMATIVA[[#This Row],[QT_AREA_REAL]]&gt;0,ESTIMATIVA[[#This Row],[QT_AREA_REAL]],ESTIMATIVA[[#This Row],[QT_AREA_EST]]))</f>
        <v>10.32</v>
      </c>
      <c r="Z178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10.32</v>
      </c>
      <c r="AA1781" s="1">
        <f>ESTIMATIVA[[#This Row],[QT_CANA_EST]]</f>
        <v>908.16</v>
      </c>
      <c r="AB1781" s="1">
        <f>IF(ESTIMATIVA[[#This Row],[QT_CANA_REST1]]&gt;0,ESTIMATIVA[[#This Row],[QT_CANA_REST1]],
  IF(ESTIMATIVA[[#This Row],[QT_CANA_REAL]]&gt;0,ESTIMATIVA[[#This Row],[QT_CANA_REAL]],ESTIMATIVA[[#This Row],[QT_CANA_EST]]))</f>
        <v>776.94</v>
      </c>
      <c r="AC178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776.94</v>
      </c>
      <c r="AD1781" s="1">
        <f>IF(ESTIMATIVA[[#This Row],[QT_AREA_REAL]]&gt;0,ESTIMATIVA[[#This Row],[QT_CANA_REAL]],ESTIMATIVA[[#This Row],[QT_CANA_EST]])</f>
        <v>776.94</v>
      </c>
      <c r="AE1781" s="1">
        <f>IF(ESTIMATIVA[[#This Row],[QT_AREA_REAL]]&gt;0,ESTIMATIVA[[#This Row],[QT_CANA_REAL]],ESTIMATIVA[[#This Row],[QT_CANA_REST1]])</f>
        <v>776.94</v>
      </c>
      <c r="AF1781" s="1">
        <f>IF(ESTIMATIVA[[#This Row],[QT_AREA_REAL]]&gt;0,ESTIMATIVA[[#This Row],[QT_CANA_REAL]],ESTIMATIVA[[#This Row],[QT_CANA_REST2]])</f>
        <v>776.94</v>
      </c>
      <c r="AG1781" s="1" t="str">
        <f>IF(COUNTIFS(GEADA!A:A,VALUE(ESTIMATIVA[[#This Row],[CD_UPNIVEL1]]&amp;TEXT(ESTIMATIVA[[#This Row],[CD_UPNIVEL3]],"0000")))&gt;0,"S","N")</f>
        <v>N</v>
      </c>
      <c r="AH178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81" s="55" t="str">
        <f>IF(ESTIMATIVA[[#This Row],[TP_CULTIVO]]="Irrigado",_xlfn.MAXIFS(IRRIGADO!J:J,IRRIGADO!C:C,ESTIMATIVA[[#This Row],[CD_UPNIVEL1]],IRRIGADO!E:E,ESTIMATIVA[[#This Row],[CD_UPNIVEL3]]),"")</f>
        <v/>
      </c>
      <c r="AJ178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81" s="1">
        <f>COUNTIFS(Apresentação!$E$23:$E$29,ESTIMATIVA[[#This Row],[CD_UPNIVEL1]])</f>
        <v>0</v>
      </c>
    </row>
    <row r="1782" spans="1:37" x14ac:dyDescent="0.3">
      <c r="A1782">
        <v>20705</v>
      </c>
      <c r="B1782" t="s">
        <v>28</v>
      </c>
      <c r="C1782">
        <v>28</v>
      </c>
      <c r="D1782">
        <v>4</v>
      </c>
      <c r="E1782" t="s">
        <v>265</v>
      </c>
      <c r="F1782" s="85" t="s">
        <v>331</v>
      </c>
      <c r="G1782"/>
      <c r="H1782" t="s">
        <v>294</v>
      </c>
      <c r="I1782" t="s">
        <v>224</v>
      </c>
      <c r="J1782" t="s">
        <v>177</v>
      </c>
      <c r="K1782" s="1">
        <v>10.99</v>
      </c>
      <c r="L1782" s="1">
        <v>10.99</v>
      </c>
      <c r="M1782" s="1">
        <v>0</v>
      </c>
      <c r="N1782" s="1">
        <v>10.99</v>
      </c>
      <c r="O1782" s="1">
        <v>879.2</v>
      </c>
      <c r="P1782" s="1">
        <v>879.2</v>
      </c>
      <c r="Q1782" s="1">
        <v>0</v>
      </c>
      <c r="R1782" s="1">
        <v>565.23</v>
      </c>
      <c r="S1782" t="s">
        <v>280</v>
      </c>
      <c r="T1782" s="13">
        <v>45886</v>
      </c>
      <c r="U1782" s="1" t="str">
        <f>IF(ESTIMATIVA[[#This Row],[QT_AREA_REAL]]&gt;0,"1- Colhido","2- à Colher")</f>
        <v>1- Colhido</v>
      </c>
      <c r="V1782" s="1" t="str">
        <f>IF(ESTIMATIVA[[#This Row],[QT_AREA_REST1]]&gt;0,"Reestimativa 1",IF(ESTIMATIVA[[#This Row],[QT_AREA_REAL]]=0,"Reestimativa 1","Realizado"))</f>
        <v>Reestimativa 1</v>
      </c>
      <c r="W1782" s="1" t="str">
        <f>IF(ESTIMATIVA[[#This Row],[QT_AREA_REST2]]&gt;0,"Reestimativa 2",IF(ESTIMATIVA[[#This Row],[QT_AREA_REAL]]=0,"Reestimativa 2","Realizado"))</f>
        <v>Realizado</v>
      </c>
      <c r="X1782" s="1">
        <f>ESTIMATIVA[[#This Row],[QT_AREA_EST]]</f>
        <v>10.99</v>
      </c>
      <c r="Y1782" s="1">
        <f>IF(ESTIMATIVA[[#This Row],[QT_AREA_REST1]]&gt;0,ESTIMATIVA[[#This Row],[QT_AREA_REST1]],
  IF(ESTIMATIVA[[#This Row],[QT_AREA_REAL]]&gt;0,ESTIMATIVA[[#This Row],[QT_AREA_REAL]],ESTIMATIVA[[#This Row],[QT_AREA_EST]]))</f>
        <v>10.99</v>
      </c>
      <c r="Z178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10.99</v>
      </c>
      <c r="AA1782" s="1">
        <f>ESTIMATIVA[[#This Row],[QT_CANA_EST]]</f>
        <v>879.2</v>
      </c>
      <c r="AB1782" s="1">
        <f>IF(ESTIMATIVA[[#This Row],[QT_CANA_REST1]]&gt;0,ESTIMATIVA[[#This Row],[QT_CANA_REST1]],
  IF(ESTIMATIVA[[#This Row],[QT_CANA_REAL]]&gt;0,ESTIMATIVA[[#This Row],[QT_CANA_REAL]],ESTIMATIVA[[#This Row],[QT_CANA_EST]]))</f>
        <v>879.2</v>
      </c>
      <c r="AC178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565.23</v>
      </c>
      <c r="AD1782" s="1">
        <f>IF(ESTIMATIVA[[#This Row],[QT_AREA_REAL]]&gt;0,ESTIMATIVA[[#This Row],[QT_CANA_REAL]],ESTIMATIVA[[#This Row],[QT_CANA_EST]])</f>
        <v>565.23</v>
      </c>
      <c r="AE1782" s="1">
        <f>IF(ESTIMATIVA[[#This Row],[QT_AREA_REAL]]&gt;0,ESTIMATIVA[[#This Row],[QT_CANA_REAL]],ESTIMATIVA[[#This Row],[QT_CANA_REST1]])</f>
        <v>565.23</v>
      </c>
      <c r="AF1782" s="1">
        <f>IF(ESTIMATIVA[[#This Row],[QT_AREA_REAL]]&gt;0,ESTIMATIVA[[#This Row],[QT_CANA_REAL]],ESTIMATIVA[[#This Row],[QT_CANA_REST2]])</f>
        <v>565.23</v>
      </c>
      <c r="AG1782" s="1" t="str">
        <f>IF(COUNTIFS(GEADA!A:A,VALUE(ESTIMATIVA[[#This Row],[CD_UPNIVEL1]]&amp;TEXT(ESTIMATIVA[[#This Row],[CD_UPNIVEL3]],"0000")))&gt;0,"S","N")</f>
        <v>N</v>
      </c>
      <c r="AH178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82" s="55" t="str">
        <f>IF(ESTIMATIVA[[#This Row],[TP_CULTIVO]]="Irrigado",_xlfn.MAXIFS(IRRIGADO!J:J,IRRIGADO!C:C,ESTIMATIVA[[#This Row],[CD_UPNIVEL1]],IRRIGADO!E:E,ESTIMATIVA[[#This Row],[CD_UPNIVEL3]]),"")</f>
        <v/>
      </c>
      <c r="AJ178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82" s="1">
        <f>COUNTIFS(Apresentação!$E$23:$E$29,ESTIMATIVA[[#This Row],[CD_UPNIVEL1]])</f>
        <v>0</v>
      </c>
    </row>
    <row r="1783" spans="1:37" x14ac:dyDescent="0.3">
      <c r="A1783">
        <v>20705</v>
      </c>
      <c r="B1783" t="s">
        <v>28</v>
      </c>
      <c r="C1783">
        <v>29</v>
      </c>
      <c r="D1783">
        <v>4</v>
      </c>
      <c r="E1783" t="s">
        <v>265</v>
      </c>
      <c r="F1783" s="85" t="s">
        <v>331</v>
      </c>
      <c r="G1783"/>
      <c r="H1783" t="s">
        <v>294</v>
      </c>
      <c r="I1783" t="s">
        <v>224</v>
      </c>
      <c r="J1783" t="s">
        <v>177</v>
      </c>
      <c r="K1783" s="1">
        <v>10.14</v>
      </c>
      <c r="L1783" s="1">
        <v>10.14</v>
      </c>
      <c r="M1783" s="1">
        <v>0</v>
      </c>
      <c r="N1783" s="1">
        <v>10.14</v>
      </c>
      <c r="O1783" s="1">
        <v>811.2</v>
      </c>
      <c r="P1783" s="1">
        <v>811.2</v>
      </c>
      <c r="Q1783" s="1">
        <v>0</v>
      </c>
      <c r="R1783" s="1">
        <v>521.54999999999995</v>
      </c>
      <c r="S1783" t="s">
        <v>280</v>
      </c>
      <c r="T1783" s="13">
        <v>45886</v>
      </c>
      <c r="U1783" s="1" t="str">
        <f>IF(ESTIMATIVA[[#This Row],[QT_AREA_REAL]]&gt;0,"1- Colhido","2- à Colher")</f>
        <v>1- Colhido</v>
      </c>
      <c r="V1783" s="1" t="str">
        <f>IF(ESTIMATIVA[[#This Row],[QT_AREA_REST1]]&gt;0,"Reestimativa 1",IF(ESTIMATIVA[[#This Row],[QT_AREA_REAL]]=0,"Reestimativa 1","Realizado"))</f>
        <v>Reestimativa 1</v>
      </c>
      <c r="W1783" s="1" t="str">
        <f>IF(ESTIMATIVA[[#This Row],[QT_AREA_REST2]]&gt;0,"Reestimativa 2",IF(ESTIMATIVA[[#This Row],[QT_AREA_REAL]]=0,"Reestimativa 2","Realizado"))</f>
        <v>Realizado</v>
      </c>
      <c r="X1783" s="1">
        <f>ESTIMATIVA[[#This Row],[QT_AREA_EST]]</f>
        <v>10.14</v>
      </c>
      <c r="Y1783" s="1">
        <f>IF(ESTIMATIVA[[#This Row],[QT_AREA_REST1]]&gt;0,ESTIMATIVA[[#This Row],[QT_AREA_REST1]],
  IF(ESTIMATIVA[[#This Row],[QT_AREA_REAL]]&gt;0,ESTIMATIVA[[#This Row],[QT_AREA_REAL]],ESTIMATIVA[[#This Row],[QT_AREA_EST]]))</f>
        <v>10.14</v>
      </c>
      <c r="Z178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10.14</v>
      </c>
      <c r="AA1783" s="1">
        <f>ESTIMATIVA[[#This Row],[QT_CANA_EST]]</f>
        <v>811.2</v>
      </c>
      <c r="AB1783" s="1">
        <f>IF(ESTIMATIVA[[#This Row],[QT_CANA_REST1]]&gt;0,ESTIMATIVA[[#This Row],[QT_CANA_REST1]],
  IF(ESTIMATIVA[[#This Row],[QT_CANA_REAL]]&gt;0,ESTIMATIVA[[#This Row],[QT_CANA_REAL]],ESTIMATIVA[[#This Row],[QT_CANA_EST]]))</f>
        <v>811.2</v>
      </c>
      <c r="AC178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521.54999999999995</v>
      </c>
      <c r="AD1783" s="1">
        <f>IF(ESTIMATIVA[[#This Row],[QT_AREA_REAL]]&gt;0,ESTIMATIVA[[#This Row],[QT_CANA_REAL]],ESTIMATIVA[[#This Row],[QT_CANA_EST]])</f>
        <v>521.54999999999995</v>
      </c>
      <c r="AE1783" s="1">
        <f>IF(ESTIMATIVA[[#This Row],[QT_AREA_REAL]]&gt;0,ESTIMATIVA[[#This Row],[QT_CANA_REAL]],ESTIMATIVA[[#This Row],[QT_CANA_REST1]])</f>
        <v>521.54999999999995</v>
      </c>
      <c r="AF1783" s="1">
        <f>IF(ESTIMATIVA[[#This Row],[QT_AREA_REAL]]&gt;0,ESTIMATIVA[[#This Row],[QT_CANA_REAL]],ESTIMATIVA[[#This Row],[QT_CANA_REST2]])</f>
        <v>521.54999999999995</v>
      </c>
      <c r="AG1783" s="1" t="str">
        <f>IF(COUNTIFS(GEADA!A:A,VALUE(ESTIMATIVA[[#This Row],[CD_UPNIVEL1]]&amp;TEXT(ESTIMATIVA[[#This Row],[CD_UPNIVEL3]],"0000")))&gt;0,"S","N")</f>
        <v>N</v>
      </c>
      <c r="AH178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83" s="55" t="str">
        <f>IF(ESTIMATIVA[[#This Row],[TP_CULTIVO]]="Irrigado",_xlfn.MAXIFS(IRRIGADO!J:J,IRRIGADO!C:C,ESTIMATIVA[[#This Row],[CD_UPNIVEL1]],IRRIGADO!E:E,ESTIMATIVA[[#This Row],[CD_UPNIVEL3]]),"")</f>
        <v/>
      </c>
      <c r="AJ178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83" s="1">
        <f>COUNTIFS(Apresentação!$E$23:$E$29,ESTIMATIVA[[#This Row],[CD_UPNIVEL1]])</f>
        <v>0</v>
      </c>
    </row>
    <row r="1784" spans="1:37" x14ac:dyDescent="0.3">
      <c r="A1784">
        <v>20705</v>
      </c>
      <c r="B1784" t="s">
        <v>28</v>
      </c>
      <c r="C1784">
        <v>31</v>
      </c>
      <c r="D1784">
        <v>1</v>
      </c>
      <c r="E1784" t="s">
        <v>264</v>
      </c>
      <c r="F1784" s="85" t="s">
        <v>331</v>
      </c>
      <c r="G1784"/>
      <c r="H1784" t="s">
        <v>294</v>
      </c>
      <c r="I1784" t="s">
        <v>208</v>
      </c>
      <c r="J1784" t="s">
        <v>177</v>
      </c>
      <c r="K1784" s="1">
        <v>13.85</v>
      </c>
      <c r="L1784" s="1">
        <v>0</v>
      </c>
      <c r="M1784" s="1">
        <v>0</v>
      </c>
      <c r="N1784" s="1">
        <v>13.85</v>
      </c>
      <c r="O1784" s="1">
        <v>1523.5</v>
      </c>
      <c r="P1784" s="1">
        <v>0</v>
      </c>
      <c r="Q1784" s="1">
        <v>0</v>
      </c>
      <c r="R1784" s="1">
        <v>1235.1099999999999</v>
      </c>
      <c r="S1784" t="s">
        <v>280</v>
      </c>
      <c r="T1784" s="13">
        <v>45788</v>
      </c>
      <c r="U1784" s="1" t="str">
        <f>IF(ESTIMATIVA[[#This Row],[QT_AREA_REAL]]&gt;0,"1- Colhido","2- à Colher")</f>
        <v>1- Colhido</v>
      </c>
      <c r="V1784" s="1" t="str">
        <f>IF(ESTIMATIVA[[#This Row],[QT_AREA_REST1]]&gt;0,"Reestimativa 1",IF(ESTIMATIVA[[#This Row],[QT_AREA_REAL]]=0,"Reestimativa 1","Realizado"))</f>
        <v>Realizado</v>
      </c>
      <c r="W1784" s="1" t="str">
        <f>IF(ESTIMATIVA[[#This Row],[QT_AREA_REST2]]&gt;0,"Reestimativa 2",IF(ESTIMATIVA[[#This Row],[QT_AREA_REAL]]=0,"Reestimativa 2","Realizado"))</f>
        <v>Realizado</v>
      </c>
      <c r="X1784" s="1">
        <f>ESTIMATIVA[[#This Row],[QT_AREA_EST]]</f>
        <v>13.85</v>
      </c>
      <c r="Y1784" s="1">
        <f>IF(ESTIMATIVA[[#This Row],[QT_AREA_REST1]]&gt;0,ESTIMATIVA[[#This Row],[QT_AREA_REST1]],
  IF(ESTIMATIVA[[#This Row],[QT_AREA_REAL]]&gt;0,ESTIMATIVA[[#This Row],[QT_AREA_REAL]],ESTIMATIVA[[#This Row],[QT_AREA_EST]]))</f>
        <v>13.85</v>
      </c>
      <c r="Z178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13.85</v>
      </c>
      <c r="AA1784" s="1">
        <f>ESTIMATIVA[[#This Row],[QT_CANA_EST]]</f>
        <v>1523.5</v>
      </c>
      <c r="AB1784" s="1">
        <f>IF(ESTIMATIVA[[#This Row],[QT_CANA_REST1]]&gt;0,ESTIMATIVA[[#This Row],[QT_CANA_REST1]],
  IF(ESTIMATIVA[[#This Row],[QT_CANA_REAL]]&gt;0,ESTIMATIVA[[#This Row],[QT_CANA_REAL]],ESTIMATIVA[[#This Row],[QT_CANA_EST]]))</f>
        <v>1235.1099999999999</v>
      </c>
      <c r="AC178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1235.1099999999999</v>
      </c>
      <c r="AD1784" s="1">
        <f>IF(ESTIMATIVA[[#This Row],[QT_AREA_REAL]]&gt;0,ESTIMATIVA[[#This Row],[QT_CANA_REAL]],ESTIMATIVA[[#This Row],[QT_CANA_EST]])</f>
        <v>1235.1099999999999</v>
      </c>
      <c r="AE1784" s="1">
        <f>IF(ESTIMATIVA[[#This Row],[QT_AREA_REAL]]&gt;0,ESTIMATIVA[[#This Row],[QT_CANA_REAL]],ESTIMATIVA[[#This Row],[QT_CANA_REST1]])</f>
        <v>1235.1099999999999</v>
      </c>
      <c r="AF1784" s="1">
        <f>IF(ESTIMATIVA[[#This Row],[QT_AREA_REAL]]&gt;0,ESTIMATIVA[[#This Row],[QT_CANA_REAL]],ESTIMATIVA[[#This Row],[QT_CANA_REST2]])</f>
        <v>1235.1099999999999</v>
      </c>
      <c r="AG1784" s="1" t="str">
        <f>IF(COUNTIFS(GEADA!A:A,VALUE(ESTIMATIVA[[#This Row],[CD_UPNIVEL1]]&amp;TEXT(ESTIMATIVA[[#This Row],[CD_UPNIVEL3]],"0000")))&gt;0,"S","N")</f>
        <v>N</v>
      </c>
      <c r="AH178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84" s="55" t="str">
        <f>IF(ESTIMATIVA[[#This Row],[TP_CULTIVO]]="Irrigado",_xlfn.MAXIFS(IRRIGADO!J:J,IRRIGADO!C:C,ESTIMATIVA[[#This Row],[CD_UPNIVEL1]],IRRIGADO!E:E,ESTIMATIVA[[#This Row],[CD_UPNIVEL3]]),"")</f>
        <v/>
      </c>
      <c r="AJ178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84" s="1">
        <f>COUNTIFS(Apresentação!$E$23:$E$29,ESTIMATIVA[[#This Row],[CD_UPNIVEL1]])</f>
        <v>0</v>
      </c>
    </row>
    <row r="1785" spans="1:37" x14ac:dyDescent="0.3">
      <c r="A1785">
        <v>20705</v>
      </c>
      <c r="B1785" t="s">
        <v>28</v>
      </c>
      <c r="C1785">
        <v>32</v>
      </c>
      <c r="D1785">
        <v>5</v>
      </c>
      <c r="E1785" t="s">
        <v>268</v>
      </c>
      <c r="F1785" s="85" t="s">
        <v>331</v>
      </c>
      <c r="G1785"/>
      <c r="H1785" t="s">
        <v>294</v>
      </c>
      <c r="I1785" t="s">
        <v>208</v>
      </c>
      <c r="J1785" t="s">
        <v>177</v>
      </c>
      <c r="K1785" s="1">
        <v>24.45</v>
      </c>
      <c r="L1785" s="1">
        <v>0</v>
      </c>
      <c r="M1785" s="1">
        <v>0</v>
      </c>
      <c r="N1785" s="1">
        <v>24.45</v>
      </c>
      <c r="O1785" s="1">
        <v>1809.3</v>
      </c>
      <c r="P1785" s="1">
        <v>0</v>
      </c>
      <c r="Q1785" s="1">
        <v>0</v>
      </c>
      <c r="R1785" s="1">
        <v>2062.0500000000002</v>
      </c>
      <c r="S1785" t="s">
        <v>280</v>
      </c>
      <c r="T1785" s="13">
        <v>45795</v>
      </c>
      <c r="U1785" s="1" t="str">
        <f>IF(ESTIMATIVA[[#This Row],[QT_AREA_REAL]]&gt;0,"1- Colhido","2- à Colher")</f>
        <v>1- Colhido</v>
      </c>
      <c r="V1785" s="1" t="str">
        <f>IF(ESTIMATIVA[[#This Row],[QT_AREA_REST1]]&gt;0,"Reestimativa 1",IF(ESTIMATIVA[[#This Row],[QT_AREA_REAL]]=0,"Reestimativa 1","Realizado"))</f>
        <v>Realizado</v>
      </c>
      <c r="W1785" s="1" t="str">
        <f>IF(ESTIMATIVA[[#This Row],[QT_AREA_REST2]]&gt;0,"Reestimativa 2",IF(ESTIMATIVA[[#This Row],[QT_AREA_REAL]]=0,"Reestimativa 2","Realizado"))</f>
        <v>Realizado</v>
      </c>
      <c r="X1785" s="1">
        <f>ESTIMATIVA[[#This Row],[QT_AREA_EST]]</f>
        <v>24.45</v>
      </c>
      <c r="Y1785" s="1">
        <f>IF(ESTIMATIVA[[#This Row],[QT_AREA_REST1]]&gt;0,ESTIMATIVA[[#This Row],[QT_AREA_REST1]],
  IF(ESTIMATIVA[[#This Row],[QT_AREA_REAL]]&gt;0,ESTIMATIVA[[#This Row],[QT_AREA_REAL]],ESTIMATIVA[[#This Row],[QT_AREA_EST]]))</f>
        <v>24.45</v>
      </c>
      <c r="Z178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24.45</v>
      </c>
      <c r="AA1785" s="1">
        <f>ESTIMATIVA[[#This Row],[QT_CANA_EST]]</f>
        <v>1809.3</v>
      </c>
      <c r="AB1785" s="1">
        <f>IF(ESTIMATIVA[[#This Row],[QT_CANA_REST1]]&gt;0,ESTIMATIVA[[#This Row],[QT_CANA_REST1]],
  IF(ESTIMATIVA[[#This Row],[QT_CANA_REAL]]&gt;0,ESTIMATIVA[[#This Row],[QT_CANA_REAL]],ESTIMATIVA[[#This Row],[QT_CANA_EST]]))</f>
        <v>2062.0500000000002</v>
      </c>
      <c r="AC178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2062.0500000000002</v>
      </c>
      <c r="AD1785" s="1">
        <f>IF(ESTIMATIVA[[#This Row],[QT_AREA_REAL]]&gt;0,ESTIMATIVA[[#This Row],[QT_CANA_REAL]],ESTIMATIVA[[#This Row],[QT_CANA_EST]])</f>
        <v>2062.0500000000002</v>
      </c>
      <c r="AE1785" s="1">
        <f>IF(ESTIMATIVA[[#This Row],[QT_AREA_REAL]]&gt;0,ESTIMATIVA[[#This Row],[QT_CANA_REAL]],ESTIMATIVA[[#This Row],[QT_CANA_REST1]])</f>
        <v>2062.0500000000002</v>
      </c>
      <c r="AF1785" s="1">
        <f>IF(ESTIMATIVA[[#This Row],[QT_AREA_REAL]]&gt;0,ESTIMATIVA[[#This Row],[QT_CANA_REAL]],ESTIMATIVA[[#This Row],[QT_CANA_REST2]])</f>
        <v>2062.0500000000002</v>
      </c>
      <c r="AG1785" s="1" t="str">
        <f>IF(COUNTIFS(GEADA!A:A,VALUE(ESTIMATIVA[[#This Row],[CD_UPNIVEL1]]&amp;TEXT(ESTIMATIVA[[#This Row],[CD_UPNIVEL3]],"0000")))&gt;0,"S","N")</f>
        <v>N</v>
      </c>
      <c r="AH178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85" s="55" t="str">
        <f>IF(ESTIMATIVA[[#This Row],[TP_CULTIVO]]="Irrigado",_xlfn.MAXIFS(IRRIGADO!J:J,IRRIGADO!C:C,ESTIMATIVA[[#This Row],[CD_UPNIVEL1]],IRRIGADO!E:E,ESTIMATIVA[[#This Row],[CD_UPNIVEL3]]),"")</f>
        <v/>
      </c>
      <c r="AJ178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85" s="1">
        <f>COUNTIFS(Apresentação!$E$23:$E$29,ESTIMATIVA[[#This Row],[CD_UPNIVEL1]])</f>
        <v>0</v>
      </c>
    </row>
    <row r="1786" spans="1:37" x14ac:dyDescent="0.3">
      <c r="A1786">
        <v>20705</v>
      </c>
      <c r="B1786" t="s">
        <v>28</v>
      </c>
      <c r="C1786">
        <v>33</v>
      </c>
      <c r="D1786">
        <v>1</v>
      </c>
      <c r="E1786" t="s">
        <v>264</v>
      </c>
      <c r="F1786" s="85" t="s">
        <v>331</v>
      </c>
      <c r="G1786"/>
      <c r="H1786" t="s">
        <v>294</v>
      </c>
      <c r="I1786" t="s">
        <v>208</v>
      </c>
      <c r="J1786" t="s">
        <v>177</v>
      </c>
      <c r="K1786" s="1">
        <v>12.93</v>
      </c>
      <c r="L1786" s="1">
        <v>0</v>
      </c>
      <c r="M1786" s="1">
        <v>0</v>
      </c>
      <c r="N1786" s="1">
        <v>12.93</v>
      </c>
      <c r="O1786" s="1">
        <v>1396.44</v>
      </c>
      <c r="P1786" s="1">
        <v>0</v>
      </c>
      <c r="Q1786" s="1">
        <v>0</v>
      </c>
      <c r="R1786" s="1">
        <v>1131.3800000000001</v>
      </c>
      <c r="S1786" t="s">
        <v>280</v>
      </c>
      <c r="T1786" s="13">
        <v>45788</v>
      </c>
      <c r="U1786" s="1" t="str">
        <f>IF(ESTIMATIVA[[#This Row],[QT_AREA_REAL]]&gt;0,"1- Colhido","2- à Colher")</f>
        <v>1- Colhido</v>
      </c>
      <c r="V1786" s="1" t="str">
        <f>IF(ESTIMATIVA[[#This Row],[QT_AREA_REST1]]&gt;0,"Reestimativa 1",IF(ESTIMATIVA[[#This Row],[QT_AREA_REAL]]=0,"Reestimativa 1","Realizado"))</f>
        <v>Realizado</v>
      </c>
      <c r="W1786" s="1" t="str">
        <f>IF(ESTIMATIVA[[#This Row],[QT_AREA_REST2]]&gt;0,"Reestimativa 2",IF(ESTIMATIVA[[#This Row],[QT_AREA_REAL]]=0,"Reestimativa 2","Realizado"))</f>
        <v>Realizado</v>
      </c>
      <c r="X1786" s="1">
        <f>ESTIMATIVA[[#This Row],[QT_AREA_EST]]</f>
        <v>12.93</v>
      </c>
      <c r="Y1786" s="1">
        <f>IF(ESTIMATIVA[[#This Row],[QT_AREA_REST1]]&gt;0,ESTIMATIVA[[#This Row],[QT_AREA_REST1]],
  IF(ESTIMATIVA[[#This Row],[QT_AREA_REAL]]&gt;0,ESTIMATIVA[[#This Row],[QT_AREA_REAL]],ESTIMATIVA[[#This Row],[QT_AREA_EST]]))</f>
        <v>12.93</v>
      </c>
      <c r="Z178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12.93</v>
      </c>
      <c r="AA1786" s="1">
        <f>ESTIMATIVA[[#This Row],[QT_CANA_EST]]</f>
        <v>1396.44</v>
      </c>
      <c r="AB1786" s="1">
        <f>IF(ESTIMATIVA[[#This Row],[QT_CANA_REST1]]&gt;0,ESTIMATIVA[[#This Row],[QT_CANA_REST1]],
  IF(ESTIMATIVA[[#This Row],[QT_CANA_REAL]]&gt;0,ESTIMATIVA[[#This Row],[QT_CANA_REAL]],ESTIMATIVA[[#This Row],[QT_CANA_EST]]))</f>
        <v>1131.3800000000001</v>
      </c>
      <c r="AC178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1131.3800000000001</v>
      </c>
      <c r="AD1786" s="1">
        <f>IF(ESTIMATIVA[[#This Row],[QT_AREA_REAL]]&gt;0,ESTIMATIVA[[#This Row],[QT_CANA_REAL]],ESTIMATIVA[[#This Row],[QT_CANA_EST]])</f>
        <v>1131.3800000000001</v>
      </c>
      <c r="AE1786" s="1">
        <f>IF(ESTIMATIVA[[#This Row],[QT_AREA_REAL]]&gt;0,ESTIMATIVA[[#This Row],[QT_CANA_REAL]],ESTIMATIVA[[#This Row],[QT_CANA_REST1]])</f>
        <v>1131.3800000000001</v>
      </c>
      <c r="AF1786" s="1">
        <f>IF(ESTIMATIVA[[#This Row],[QT_AREA_REAL]]&gt;0,ESTIMATIVA[[#This Row],[QT_CANA_REAL]],ESTIMATIVA[[#This Row],[QT_CANA_REST2]])</f>
        <v>1131.3800000000001</v>
      </c>
      <c r="AG1786" s="1" t="str">
        <f>IF(COUNTIFS(GEADA!A:A,VALUE(ESTIMATIVA[[#This Row],[CD_UPNIVEL1]]&amp;TEXT(ESTIMATIVA[[#This Row],[CD_UPNIVEL3]],"0000")))&gt;0,"S","N")</f>
        <v>N</v>
      </c>
      <c r="AH178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86" s="55" t="str">
        <f>IF(ESTIMATIVA[[#This Row],[TP_CULTIVO]]="Irrigado",_xlfn.MAXIFS(IRRIGADO!J:J,IRRIGADO!C:C,ESTIMATIVA[[#This Row],[CD_UPNIVEL1]],IRRIGADO!E:E,ESTIMATIVA[[#This Row],[CD_UPNIVEL3]]),"")</f>
        <v/>
      </c>
      <c r="AJ178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86" s="1">
        <f>COUNTIFS(Apresentação!$E$23:$E$29,ESTIMATIVA[[#This Row],[CD_UPNIVEL1]])</f>
        <v>0</v>
      </c>
    </row>
    <row r="1787" spans="1:37" x14ac:dyDescent="0.3">
      <c r="A1787">
        <v>20705</v>
      </c>
      <c r="B1787" t="s">
        <v>28</v>
      </c>
      <c r="C1787">
        <v>34</v>
      </c>
      <c r="D1787">
        <v>1</v>
      </c>
      <c r="E1787" t="s">
        <v>264</v>
      </c>
      <c r="F1787" s="85" t="s">
        <v>331</v>
      </c>
      <c r="G1787"/>
      <c r="H1787" t="s">
        <v>294</v>
      </c>
      <c r="I1787" t="s">
        <v>208</v>
      </c>
      <c r="J1787" t="s">
        <v>177</v>
      </c>
      <c r="K1787" s="1">
        <v>12.48</v>
      </c>
      <c r="L1787" s="1">
        <v>0</v>
      </c>
      <c r="M1787" s="1">
        <v>0</v>
      </c>
      <c r="N1787" s="1">
        <v>12.48</v>
      </c>
      <c r="O1787" s="1">
        <v>1248</v>
      </c>
      <c r="P1787" s="1">
        <v>0</v>
      </c>
      <c r="Q1787" s="1">
        <v>0</v>
      </c>
      <c r="R1787" s="1">
        <v>1011.42</v>
      </c>
      <c r="S1787" t="s">
        <v>280</v>
      </c>
      <c r="T1787" s="13">
        <v>45788</v>
      </c>
      <c r="U1787" s="1" t="str">
        <f>IF(ESTIMATIVA[[#This Row],[QT_AREA_REAL]]&gt;0,"1- Colhido","2- à Colher")</f>
        <v>1- Colhido</v>
      </c>
      <c r="V1787" s="1" t="str">
        <f>IF(ESTIMATIVA[[#This Row],[QT_AREA_REST1]]&gt;0,"Reestimativa 1",IF(ESTIMATIVA[[#This Row],[QT_AREA_REAL]]=0,"Reestimativa 1","Realizado"))</f>
        <v>Realizado</v>
      </c>
      <c r="W1787" s="1" t="str">
        <f>IF(ESTIMATIVA[[#This Row],[QT_AREA_REST2]]&gt;0,"Reestimativa 2",IF(ESTIMATIVA[[#This Row],[QT_AREA_REAL]]=0,"Reestimativa 2","Realizado"))</f>
        <v>Realizado</v>
      </c>
      <c r="X1787" s="1">
        <f>ESTIMATIVA[[#This Row],[QT_AREA_EST]]</f>
        <v>12.48</v>
      </c>
      <c r="Y1787" s="1">
        <f>IF(ESTIMATIVA[[#This Row],[QT_AREA_REST1]]&gt;0,ESTIMATIVA[[#This Row],[QT_AREA_REST1]],
  IF(ESTIMATIVA[[#This Row],[QT_AREA_REAL]]&gt;0,ESTIMATIVA[[#This Row],[QT_AREA_REAL]],ESTIMATIVA[[#This Row],[QT_AREA_EST]]))</f>
        <v>12.48</v>
      </c>
      <c r="Z178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12.48</v>
      </c>
      <c r="AA1787" s="1">
        <f>ESTIMATIVA[[#This Row],[QT_CANA_EST]]</f>
        <v>1248</v>
      </c>
      <c r="AB1787" s="1">
        <f>IF(ESTIMATIVA[[#This Row],[QT_CANA_REST1]]&gt;0,ESTIMATIVA[[#This Row],[QT_CANA_REST1]],
  IF(ESTIMATIVA[[#This Row],[QT_CANA_REAL]]&gt;0,ESTIMATIVA[[#This Row],[QT_CANA_REAL]],ESTIMATIVA[[#This Row],[QT_CANA_EST]]))</f>
        <v>1011.42</v>
      </c>
      <c r="AC178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1011.42</v>
      </c>
      <c r="AD1787" s="1">
        <f>IF(ESTIMATIVA[[#This Row],[QT_AREA_REAL]]&gt;0,ESTIMATIVA[[#This Row],[QT_CANA_REAL]],ESTIMATIVA[[#This Row],[QT_CANA_EST]])</f>
        <v>1011.42</v>
      </c>
      <c r="AE1787" s="1">
        <f>IF(ESTIMATIVA[[#This Row],[QT_AREA_REAL]]&gt;0,ESTIMATIVA[[#This Row],[QT_CANA_REAL]],ESTIMATIVA[[#This Row],[QT_CANA_REST1]])</f>
        <v>1011.42</v>
      </c>
      <c r="AF1787" s="1">
        <f>IF(ESTIMATIVA[[#This Row],[QT_AREA_REAL]]&gt;0,ESTIMATIVA[[#This Row],[QT_CANA_REAL]],ESTIMATIVA[[#This Row],[QT_CANA_REST2]])</f>
        <v>1011.42</v>
      </c>
      <c r="AG1787" s="1" t="str">
        <f>IF(COUNTIFS(GEADA!A:A,VALUE(ESTIMATIVA[[#This Row],[CD_UPNIVEL1]]&amp;TEXT(ESTIMATIVA[[#This Row],[CD_UPNIVEL3]],"0000")))&gt;0,"S","N")</f>
        <v>N</v>
      </c>
      <c r="AH178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87" s="55" t="str">
        <f>IF(ESTIMATIVA[[#This Row],[TP_CULTIVO]]="Irrigado",_xlfn.MAXIFS(IRRIGADO!J:J,IRRIGADO!C:C,ESTIMATIVA[[#This Row],[CD_UPNIVEL1]],IRRIGADO!E:E,ESTIMATIVA[[#This Row],[CD_UPNIVEL3]]),"")</f>
        <v/>
      </c>
      <c r="AJ178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87" s="1">
        <f>COUNTIFS(Apresentação!$E$23:$E$29,ESTIMATIVA[[#This Row],[CD_UPNIVEL1]])</f>
        <v>0</v>
      </c>
    </row>
    <row r="1788" spans="1:37" x14ac:dyDescent="0.3">
      <c r="A1788">
        <v>20705</v>
      </c>
      <c r="B1788" t="s">
        <v>28</v>
      </c>
      <c r="C1788">
        <v>35</v>
      </c>
      <c r="D1788">
        <v>1</v>
      </c>
      <c r="E1788" t="s">
        <v>264</v>
      </c>
      <c r="F1788" s="85" t="s">
        <v>331</v>
      </c>
      <c r="G1788"/>
      <c r="H1788" t="s">
        <v>294</v>
      </c>
      <c r="I1788" t="s">
        <v>208</v>
      </c>
      <c r="J1788" t="s">
        <v>177</v>
      </c>
      <c r="K1788" s="1">
        <v>14.79</v>
      </c>
      <c r="L1788" s="1">
        <v>0</v>
      </c>
      <c r="M1788" s="1">
        <v>0</v>
      </c>
      <c r="N1788" s="1">
        <v>14.79</v>
      </c>
      <c r="O1788" s="1">
        <v>1626.9</v>
      </c>
      <c r="P1788" s="1">
        <v>0</v>
      </c>
      <c r="Q1788" s="1">
        <v>0</v>
      </c>
      <c r="R1788" s="1">
        <v>1318.85</v>
      </c>
      <c r="S1788" t="s">
        <v>280</v>
      </c>
      <c r="T1788" s="13">
        <v>45788</v>
      </c>
      <c r="U1788" s="1" t="str">
        <f>IF(ESTIMATIVA[[#This Row],[QT_AREA_REAL]]&gt;0,"1- Colhido","2- à Colher")</f>
        <v>1- Colhido</v>
      </c>
      <c r="V1788" s="1" t="str">
        <f>IF(ESTIMATIVA[[#This Row],[QT_AREA_REST1]]&gt;0,"Reestimativa 1",IF(ESTIMATIVA[[#This Row],[QT_AREA_REAL]]=0,"Reestimativa 1","Realizado"))</f>
        <v>Realizado</v>
      </c>
      <c r="W1788" s="1" t="str">
        <f>IF(ESTIMATIVA[[#This Row],[QT_AREA_REST2]]&gt;0,"Reestimativa 2",IF(ESTIMATIVA[[#This Row],[QT_AREA_REAL]]=0,"Reestimativa 2","Realizado"))</f>
        <v>Realizado</v>
      </c>
      <c r="X1788" s="1">
        <f>ESTIMATIVA[[#This Row],[QT_AREA_EST]]</f>
        <v>14.79</v>
      </c>
      <c r="Y1788" s="1">
        <f>IF(ESTIMATIVA[[#This Row],[QT_AREA_REST1]]&gt;0,ESTIMATIVA[[#This Row],[QT_AREA_REST1]],
  IF(ESTIMATIVA[[#This Row],[QT_AREA_REAL]]&gt;0,ESTIMATIVA[[#This Row],[QT_AREA_REAL]],ESTIMATIVA[[#This Row],[QT_AREA_EST]]))</f>
        <v>14.79</v>
      </c>
      <c r="Z178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14.79</v>
      </c>
      <c r="AA1788" s="1">
        <f>ESTIMATIVA[[#This Row],[QT_CANA_EST]]</f>
        <v>1626.9</v>
      </c>
      <c r="AB1788" s="1">
        <f>IF(ESTIMATIVA[[#This Row],[QT_CANA_REST1]]&gt;0,ESTIMATIVA[[#This Row],[QT_CANA_REST1]],
  IF(ESTIMATIVA[[#This Row],[QT_CANA_REAL]]&gt;0,ESTIMATIVA[[#This Row],[QT_CANA_REAL]],ESTIMATIVA[[#This Row],[QT_CANA_EST]]))</f>
        <v>1318.85</v>
      </c>
      <c r="AC178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1318.85</v>
      </c>
      <c r="AD1788" s="1">
        <f>IF(ESTIMATIVA[[#This Row],[QT_AREA_REAL]]&gt;0,ESTIMATIVA[[#This Row],[QT_CANA_REAL]],ESTIMATIVA[[#This Row],[QT_CANA_EST]])</f>
        <v>1318.85</v>
      </c>
      <c r="AE1788" s="1">
        <f>IF(ESTIMATIVA[[#This Row],[QT_AREA_REAL]]&gt;0,ESTIMATIVA[[#This Row],[QT_CANA_REAL]],ESTIMATIVA[[#This Row],[QT_CANA_REST1]])</f>
        <v>1318.85</v>
      </c>
      <c r="AF1788" s="1">
        <f>IF(ESTIMATIVA[[#This Row],[QT_AREA_REAL]]&gt;0,ESTIMATIVA[[#This Row],[QT_CANA_REAL]],ESTIMATIVA[[#This Row],[QT_CANA_REST2]])</f>
        <v>1318.85</v>
      </c>
      <c r="AG1788" s="1" t="str">
        <f>IF(COUNTIFS(GEADA!A:A,VALUE(ESTIMATIVA[[#This Row],[CD_UPNIVEL1]]&amp;TEXT(ESTIMATIVA[[#This Row],[CD_UPNIVEL3]],"0000")))&gt;0,"S","N")</f>
        <v>N</v>
      </c>
      <c r="AH178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88" s="55" t="str">
        <f>IF(ESTIMATIVA[[#This Row],[TP_CULTIVO]]="Irrigado",_xlfn.MAXIFS(IRRIGADO!J:J,IRRIGADO!C:C,ESTIMATIVA[[#This Row],[CD_UPNIVEL1]],IRRIGADO!E:E,ESTIMATIVA[[#This Row],[CD_UPNIVEL3]]),"")</f>
        <v/>
      </c>
      <c r="AJ178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88" s="1">
        <f>COUNTIFS(Apresentação!$E$23:$E$29,ESTIMATIVA[[#This Row],[CD_UPNIVEL1]])</f>
        <v>0</v>
      </c>
    </row>
    <row r="1789" spans="1:37" x14ac:dyDescent="0.3">
      <c r="A1789">
        <v>20705</v>
      </c>
      <c r="B1789" t="s">
        <v>28</v>
      </c>
      <c r="C1789">
        <v>36</v>
      </c>
      <c r="D1789">
        <v>1</v>
      </c>
      <c r="E1789" t="s">
        <v>267</v>
      </c>
      <c r="F1789" s="85" t="s">
        <v>331</v>
      </c>
      <c r="G1789"/>
      <c r="H1789" t="s">
        <v>294</v>
      </c>
      <c r="I1789" t="s">
        <v>200</v>
      </c>
      <c r="J1789" t="s">
        <v>177</v>
      </c>
      <c r="K1789" s="1">
        <v>10.97</v>
      </c>
      <c r="L1789" s="1">
        <v>10.97</v>
      </c>
      <c r="M1789" s="1">
        <v>0</v>
      </c>
      <c r="N1789" s="1">
        <v>10.97</v>
      </c>
      <c r="O1789" s="1">
        <v>1327.37</v>
      </c>
      <c r="P1789" s="1">
        <v>1360.28</v>
      </c>
      <c r="Q1789" s="1">
        <v>0</v>
      </c>
      <c r="R1789" s="1">
        <v>1058.3</v>
      </c>
      <c r="S1789" t="s">
        <v>280</v>
      </c>
      <c r="T1789" s="13">
        <v>45886</v>
      </c>
      <c r="U1789" s="1" t="str">
        <f>IF(ESTIMATIVA[[#This Row],[QT_AREA_REAL]]&gt;0,"1- Colhido","2- à Colher")</f>
        <v>1- Colhido</v>
      </c>
      <c r="V1789" s="1" t="str">
        <f>IF(ESTIMATIVA[[#This Row],[QT_AREA_REST1]]&gt;0,"Reestimativa 1",IF(ESTIMATIVA[[#This Row],[QT_AREA_REAL]]=0,"Reestimativa 1","Realizado"))</f>
        <v>Reestimativa 1</v>
      </c>
      <c r="W1789" s="1" t="str">
        <f>IF(ESTIMATIVA[[#This Row],[QT_AREA_REST2]]&gt;0,"Reestimativa 2",IF(ESTIMATIVA[[#This Row],[QT_AREA_REAL]]=0,"Reestimativa 2","Realizado"))</f>
        <v>Realizado</v>
      </c>
      <c r="X1789" s="1">
        <f>ESTIMATIVA[[#This Row],[QT_AREA_EST]]</f>
        <v>10.97</v>
      </c>
      <c r="Y1789" s="1">
        <f>IF(ESTIMATIVA[[#This Row],[QT_AREA_REST1]]&gt;0,ESTIMATIVA[[#This Row],[QT_AREA_REST1]],
  IF(ESTIMATIVA[[#This Row],[QT_AREA_REAL]]&gt;0,ESTIMATIVA[[#This Row],[QT_AREA_REAL]],ESTIMATIVA[[#This Row],[QT_AREA_EST]]))</f>
        <v>10.97</v>
      </c>
      <c r="Z178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10.97</v>
      </c>
      <c r="AA1789" s="1">
        <f>ESTIMATIVA[[#This Row],[QT_CANA_EST]]</f>
        <v>1327.37</v>
      </c>
      <c r="AB1789" s="1">
        <f>IF(ESTIMATIVA[[#This Row],[QT_CANA_REST1]]&gt;0,ESTIMATIVA[[#This Row],[QT_CANA_REST1]],
  IF(ESTIMATIVA[[#This Row],[QT_CANA_REAL]]&gt;0,ESTIMATIVA[[#This Row],[QT_CANA_REAL]],ESTIMATIVA[[#This Row],[QT_CANA_EST]]))</f>
        <v>1360.28</v>
      </c>
      <c r="AC178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1058.3</v>
      </c>
      <c r="AD1789" s="1">
        <f>IF(ESTIMATIVA[[#This Row],[QT_AREA_REAL]]&gt;0,ESTIMATIVA[[#This Row],[QT_CANA_REAL]],ESTIMATIVA[[#This Row],[QT_CANA_EST]])</f>
        <v>1058.3</v>
      </c>
      <c r="AE1789" s="1">
        <f>IF(ESTIMATIVA[[#This Row],[QT_AREA_REAL]]&gt;0,ESTIMATIVA[[#This Row],[QT_CANA_REAL]],ESTIMATIVA[[#This Row],[QT_CANA_REST1]])</f>
        <v>1058.3</v>
      </c>
      <c r="AF1789" s="1">
        <f>IF(ESTIMATIVA[[#This Row],[QT_AREA_REAL]]&gt;0,ESTIMATIVA[[#This Row],[QT_CANA_REAL]],ESTIMATIVA[[#This Row],[QT_CANA_REST2]])</f>
        <v>1058.3</v>
      </c>
      <c r="AG1789" s="1" t="str">
        <f>IF(COUNTIFS(GEADA!A:A,VALUE(ESTIMATIVA[[#This Row],[CD_UPNIVEL1]]&amp;TEXT(ESTIMATIVA[[#This Row],[CD_UPNIVEL3]],"0000")))&gt;0,"S","N")</f>
        <v>N</v>
      </c>
      <c r="AH178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89" s="55" t="str">
        <f>IF(ESTIMATIVA[[#This Row],[TP_CULTIVO]]="Irrigado",_xlfn.MAXIFS(IRRIGADO!J:J,IRRIGADO!C:C,ESTIMATIVA[[#This Row],[CD_UPNIVEL1]],IRRIGADO!E:E,ESTIMATIVA[[#This Row],[CD_UPNIVEL3]]),"")</f>
        <v/>
      </c>
      <c r="AJ178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89" s="1">
        <f>COUNTIFS(Apresentação!$E$23:$E$29,ESTIMATIVA[[#This Row],[CD_UPNIVEL1]])</f>
        <v>0</v>
      </c>
    </row>
    <row r="1790" spans="1:37" x14ac:dyDescent="0.3">
      <c r="A1790">
        <v>20705</v>
      </c>
      <c r="B1790" t="s">
        <v>28</v>
      </c>
      <c r="C1790">
        <v>37</v>
      </c>
      <c r="D1790">
        <v>1</v>
      </c>
      <c r="E1790" t="s">
        <v>267</v>
      </c>
      <c r="F1790" s="85" t="s">
        <v>331</v>
      </c>
      <c r="G1790"/>
      <c r="H1790" t="s">
        <v>294</v>
      </c>
      <c r="I1790" t="s">
        <v>200</v>
      </c>
      <c r="J1790" t="s">
        <v>177</v>
      </c>
      <c r="K1790" s="1">
        <v>2.04</v>
      </c>
      <c r="L1790" s="1">
        <v>2.04</v>
      </c>
      <c r="M1790" s="1">
        <v>0</v>
      </c>
      <c r="N1790" s="1">
        <v>2.04</v>
      </c>
      <c r="O1790" s="1">
        <v>252.96</v>
      </c>
      <c r="P1790" s="1">
        <v>255</v>
      </c>
      <c r="Q1790" s="1">
        <v>0</v>
      </c>
      <c r="R1790" s="1">
        <v>198.38</v>
      </c>
      <c r="S1790" t="s">
        <v>280</v>
      </c>
      <c r="T1790" s="13">
        <v>45886</v>
      </c>
      <c r="U1790" s="1" t="str">
        <f>IF(ESTIMATIVA[[#This Row],[QT_AREA_REAL]]&gt;0,"1- Colhido","2- à Colher")</f>
        <v>1- Colhido</v>
      </c>
      <c r="V1790" s="1" t="str">
        <f>IF(ESTIMATIVA[[#This Row],[QT_AREA_REST1]]&gt;0,"Reestimativa 1",IF(ESTIMATIVA[[#This Row],[QT_AREA_REAL]]=0,"Reestimativa 1","Realizado"))</f>
        <v>Reestimativa 1</v>
      </c>
      <c r="W1790" s="1" t="str">
        <f>IF(ESTIMATIVA[[#This Row],[QT_AREA_REST2]]&gt;0,"Reestimativa 2",IF(ESTIMATIVA[[#This Row],[QT_AREA_REAL]]=0,"Reestimativa 2","Realizado"))</f>
        <v>Realizado</v>
      </c>
      <c r="X1790" s="1">
        <f>ESTIMATIVA[[#This Row],[QT_AREA_EST]]</f>
        <v>2.04</v>
      </c>
      <c r="Y1790" s="1">
        <f>IF(ESTIMATIVA[[#This Row],[QT_AREA_REST1]]&gt;0,ESTIMATIVA[[#This Row],[QT_AREA_REST1]],
  IF(ESTIMATIVA[[#This Row],[QT_AREA_REAL]]&gt;0,ESTIMATIVA[[#This Row],[QT_AREA_REAL]],ESTIMATIVA[[#This Row],[QT_AREA_EST]]))</f>
        <v>2.04</v>
      </c>
      <c r="Z179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2.04</v>
      </c>
      <c r="AA1790" s="1">
        <f>ESTIMATIVA[[#This Row],[QT_CANA_EST]]</f>
        <v>252.96</v>
      </c>
      <c r="AB1790" s="1">
        <f>IF(ESTIMATIVA[[#This Row],[QT_CANA_REST1]]&gt;0,ESTIMATIVA[[#This Row],[QT_CANA_REST1]],
  IF(ESTIMATIVA[[#This Row],[QT_CANA_REAL]]&gt;0,ESTIMATIVA[[#This Row],[QT_CANA_REAL]],ESTIMATIVA[[#This Row],[QT_CANA_EST]]))</f>
        <v>255</v>
      </c>
      <c r="AC179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198.38</v>
      </c>
      <c r="AD1790" s="1">
        <f>IF(ESTIMATIVA[[#This Row],[QT_AREA_REAL]]&gt;0,ESTIMATIVA[[#This Row],[QT_CANA_REAL]],ESTIMATIVA[[#This Row],[QT_CANA_EST]])</f>
        <v>198.38</v>
      </c>
      <c r="AE1790" s="1">
        <f>IF(ESTIMATIVA[[#This Row],[QT_AREA_REAL]]&gt;0,ESTIMATIVA[[#This Row],[QT_CANA_REAL]],ESTIMATIVA[[#This Row],[QT_CANA_REST1]])</f>
        <v>198.38</v>
      </c>
      <c r="AF1790" s="1">
        <f>IF(ESTIMATIVA[[#This Row],[QT_AREA_REAL]]&gt;0,ESTIMATIVA[[#This Row],[QT_CANA_REAL]],ESTIMATIVA[[#This Row],[QT_CANA_REST2]])</f>
        <v>198.38</v>
      </c>
      <c r="AG1790" s="1" t="str">
        <f>IF(COUNTIFS(GEADA!A:A,VALUE(ESTIMATIVA[[#This Row],[CD_UPNIVEL1]]&amp;TEXT(ESTIMATIVA[[#This Row],[CD_UPNIVEL3]],"0000")))&gt;0,"S","N")</f>
        <v>N</v>
      </c>
      <c r="AH179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90" s="55" t="str">
        <f>IF(ESTIMATIVA[[#This Row],[TP_CULTIVO]]="Irrigado",_xlfn.MAXIFS(IRRIGADO!J:J,IRRIGADO!C:C,ESTIMATIVA[[#This Row],[CD_UPNIVEL1]],IRRIGADO!E:E,ESTIMATIVA[[#This Row],[CD_UPNIVEL3]]),"")</f>
        <v/>
      </c>
      <c r="AJ179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90" s="1">
        <f>COUNTIFS(Apresentação!$E$23:$E$29,ESTIMATIVA[[#This Row],[CD_UPNIVEL1]])</f>
        <v>0</v>
      </c>
    </row>
    <row r="1791" spans="1:37" x14ac:dyDescent="0.3">
      <c r="A1791">
        <v>20705</v>
      </c>
      <c r="B1791" t="s">
        <v>28</v>
      </c>
      <c r="C1791">
        <v>38</v>
      </c>
      <c r="D1791">
        <v>1</v>
      </c>
      <c r="E1791" t="s">
        <v>267</v>
      </c>
      <c r="F1791" s="85" t="s">
        <v>331</v>
      </c>
      <c r="G1791"/>
      <c r="H1791" t="s">
        <v>294</v>
      </c>
      <c r="I1791" t="s">
        <v>200</v>
      </c>
      <c r="J1791" t="s">
        <v>177</v>
      </c>
      <c r="K1791" s="1">
        <v>6.61</v>
      </c>
      <c r="L1791" s="1">
        <v>6.61</v>
      </c>
      <c r="M1791" s="1">
        <v>0</v>
      </c>
      <c r="N1791" s="1">
        <v>6.61</v>
      </c>
      <c r="O1791" s="1">
        <v>819.64</v>
      </c>
      <c r="P1791" s="1">
        <v>826.25</v>
      </c>
      <c r="Q1791" s="1">
        <v>0</v>
      </c>
      <c r="R1791" s="1">
        <v>642.74</v>
      </c>
      <c r="S1791" t="s">
        <v>280</v>
      </c>
      <c r="T1791" s="13">
        <v>45886</v>
      </c>
      <c r="U1791" s="1" t="str">
        <f>IF(ESTIMATIVA[[#This Row],[QT_AREA_REAL]]&gt;0,"1- Colhido","2- à Colher")</f>
        <v>1- Colhido</v>
      </c>
      <c r="V1791" s="1" t="str">
        <f>IF(ESTIMATIVA[[#This Row],[QT_AREA_REST1]]&gt;0,"Reestimativa 1",IF(ESTIMATIVA[[#This Row],[QT_AREA_REAL]]=0,"Reestimativa 1","Realizado"))</f>
        <v>Reestimativa 1</v>
      </c>
      <c r="W1791" s="1" t="str">
        <f>IF(ESTIMATIVA[[#This Row],[QT_AREA_REST2]]&gt;0,"Reestimativa 2",IF(ESTIMATIVA[[#This Row],[QT_AREA_REAL]]=0,"Reestimativa 2","Realizado"))</f>
        <v>Realizado</v>
      </c>
      <c r="X1791" s="1">
        <f>ESTIMATIVA[[#This Row],[QT_AREA_EST]]</f>
        <v>6.61</v>
      </c>
      <c r="Y1791" s="1">
        <f>IF(ESTIMATIVA[[#This Row],[QT_AREA_REST1]]&gt;0,ESTIMATIVA[[#This Row],[QT_AREA_REST1]],
  IF(ESTIMATIVA[[#This Row],[QT_AREA_REAL]]&gt;0,ESTIMATIVA[[#This Row],[QT_AREA_REAL]],ESTIMATIVA[[#This Row],[QT_AREA_EST]]))</f>
        <v>6.61</v>
      </c>
      <c r="Z179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6.61</v>
      </c>
      <c r="AA1791" s="1">
        <f>ESTIMATIVA[[#This Row],[QT_CANA_EST]]</f>
        <v>819.64</v>
      </c>
      <c r="AB1791" s="1">
        <f>IF(ESTIMATIVA[[#This Row],[QT_CANA_REST1]]&gt;0,ESTIMATIVA[[#This Row],[QT_CANA_REST1]],
  IF(ESTIMATIVA[[#This Row],[QT_CANA_REAL]]&gt;0,ESTIMATIVA[[#This Row],[QT_CANA_REAL]],ESTIMATIVA[[#This Row],[QT_CANA_EST]]))</f>
        <v>826.25</v>
      </c>
      <c r="AC179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642.74</v>
      </c>
      <c r="AD1791" s="1">
        <f>IF(ESTIMATIVA[[#This Row],[QT_AREA_REAL]]&gt;0,ESTIMATIVA[[#This Row],[QT_CANA_REAL]],ESTIMATIVA[[#This Row],[QT_CANA_EST]])</f>
        <v>642.74</v>
      </c>
      <c r="AE1791" s="1">
        <f>IF(ESTIMATIVA[[#This Row],[QT_AREA_REAL]]&gt;0,ESTIMATIVA[[#This Row],[QT_CANA_REAL]],ESTIMATIVA[[#This Row],[QT_CANA_REST1]])</f>
        <v>642.74</v>
      </c>
      <c r="AF1791" s="1">
        <f>IF(ESTIMATIVA[[#This Row],[QT_AREA_REAL]]&gt;0,ESTIMATIVA[[#This Row],[QT_CANA_REAL]],ESTIMATIVA[[#This Row],[QT_CANA_REST2]])</f>
        <v>642.74</v>
      </c>
      <c r="AG1791" s="1" t="str">
        <f>IF(COUNTIFS(GEADA!A:A,VALUE(ESTIMATIVA[[#This Row],[CD_UPNIVEL1]]&amp;TEXT(ESTIMATIVA[[#This Row],[CD_UPNIVEL3]],"0000")))&gt;0,"S","N")</f>
        <v>N</v>
      </c>
      <c r="AH179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91" s="55" t="str">
        <f>IF(ESTIMATIVA[[#This Row],[TP_CULTIVO]]="Irrigado",_xlfn.MAXIFS(IRRIGADO!J:J,IRRIGADO!C:C,ESTIMATIVA[[#This Row],[CD_UPNIVEL1]],IRRIGADO!E:E,ESTIMATIVA[[#This Row],[CD_UPNIVEL3]]),"")</f>
        <v/>
      </c>
      <c r="AJ179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91" s="1">
        <f>COUNTIFS(Apresentação!$E$23:$E$29,ESTIMATIVA[[#This Row],[CD_UPNIVEL1]])</f>
        <v>0</v>
      </c>
    </row>
    <row r="1792" spans="1:37" x14ac:dyDescent="0.3">
      <c r="A1792">
        <v>20705</v>
      </c>
      <c r="B1792" t="s">
        <v>28</v>
      </c>
      <c r="C1792">
        <v>39</v>
      </c>
      <c r="D1792">
        <v>1</v>
      </c>
      <c r="E1792" t="s">
        <v>267</v>
      </c>
      <c r="F1792" s="85" t="s">
        <v>331</v>
      </c>
      <c r="G1792"/>
      <c r="H1792" t="s">
        <v>294</v>
      </c>
      <c r="I1792" t="s">
        <v>200</v>
      </c>
      <c r="J1792" t="s">
        <v>177</v>
      </c>
      <c r="K1792" s="1">
        <v>16.04</v>
      </c>
      <c r="L1792" s="1">
        <v>16.04</v>
      </c>
      <c r="M1792" s="1">
        <v>0</v>
      </c>
      <c r="N1792" s="1">
        <v>16.04</v>
      </c>
      <c r="O1792" s="1">
        <v>1940.84</v>
      </c>
      <c r="P1792" s="1">
        <v>1988.96</v>
      </c>
      <c r="Q1792" s="1">
        <v>0</v>
      </c>
      <c r="R1792" s="1">
        <v>1547.78</v>
      </c>
      <c r="S1792" t="s">
        <v>280</v>
      </c>
      <c r="T1792" s="13">
        <v>45886</v>
      </c>
      <c r="U1792" s="1" t="str">
        <f>IF(ESTIMATIVA[[#This Row],[QT_AREA_REAL]]&gt;0,"1- Colhido","2- à Colher")</f>
        <v>1- Colhido</v>
      </c>
      <c r="V1792" s="1" t="str">
        <f>IF(ESTIMATIVA[[#This Row],[QT_AREA_REST1]]&gt;0,"Reestimativa 1",IF(ESTIMATIVA[[#This Row],[QT_AREA_REAL]]=0,"Reestimativa 1","Realizado"))</f>
        <v>Reestimativa 1</v>
      </c>
      <c r="W1792" s="1" t="str">
        <f>IF(ESTIMATIVA[[#This Row],[QT_AREA_REST2]]&gt;0,"Reestimativa 2",IF(ESTIMATIVA[[#This Row],[QT_AREA_REAL]]=0,"Reestimativa 2","Realizado"))</f>
        <v>Realizado</v>
      </c>
      <c r="X1792" s="1">
        <f>ESTIMATIVA[[#This Row],[QT_AREA_EST]]</f>
        <v>16.04</v>
      </c>
      <c r="Y1792" s="1">
        <f>IF(ESTIMATIVA[[#This Row],[QT_AREA_REST1]]&gt;0,ESTIMATIVA[[#This Row],[QT_AREA_REST1]],
  IF(ESTIMATIVA[[#This Row],[QT_AREA_REAL]]&gt;0,ESTIMATIVA[[#This Row],[QT_AREA_REAL]],ESTIMATIVA[[#This Row],[QT_AREA_EST]]))</f>
        <v>16.04</v>
      </c>
      <c r="Z179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16.04</v>
      </c>
      <c r="AA1792" s="1">
        <f>ESTIMATIVA[[#This Row],[QT_CANA_EST]]</f>
        <v>1940.84</v>
      </c>
      <c r="AB1792" s="1">
        <f>IF(ESTIMATIVA[[#This Row],[QT_CANA_REST1]]&gt;0,ESTIMATIVA[[#This Row],[QT_CANA_REST1]],
  IF(ESTIMATIVA[[#This Row],[QT_CANA_REAL]]&gt;0,ESTIMATIVA[[#This Row],[QT_CANA_REAL]],ESTIMATIVA[[#This Row],[QT_CANA_EST]]))</f>
        <v>1988.96</v>
      </c>
      <c r="AC179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1547.78</v>
      </c>
      <c r="AD1792" s="1">
        <f>IF(ESTIMATIVA[[#This Row],[QT_AREA_REAL]]&gt;0,ESTIMATIVA[[#This Row],[QT_CANA_REAL]],ESTIMATIVA[[#This Row],[QT_CANA_EST]])</f>
        <v>1547.78</v>
      </c>
      <c r="AE1792" s="1">
        <f>IF(ESTIMATIVA[[#This Row],[QT_AREA_REAL]]&gt;0,ESTIMATIVA[[#This Row],[QT_CANA_REAL]],ESTIMATIVA[[#This Row],[QT_CANA_REST1]])</f>
        <v>1547.78</v>
      </c>
      <c r="AF1792" s="1">
        <f>IF(ESTIMATIVA[[#This Row],[QT_AREA_REAL]]&gt;0,ESTIMATIVA[[#This Row],[QT_CANA_REAL]],ESTIMATIVA[[#This Row],[QT_CANA_REST2]])</f>
        <v>1547.78</v>
      </c>
      <c r="AG1792" s="1" t="str">
        <f>IF(COUNTIFS(GEADA!A:A,VALUE(ESTIMATIVA[[#This Row],[CD_UPNIVEL1]]&amp;TEXT(ESTIMATIVA[[#This Row],[CD_UPNIVEL3]],"0000")))&gt;0,"S","N")</f>
        <v>N</v>
      </c>
      <c r="AH179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92" s="55" t="str">
        <f>IF(ESTIMATIVA[[#This Row],[TP_CULTIVO]]="Irrigado",_xlfn.MAXIFS(IRRIGADO!J:J,IRRIGADO!C:C,ESTIMATIVA[[#This Row],[CD_UPNIVEL1]],IRRIGADO!E:E,ESTIMATIVA[[#This Row],[CD_UPNIVEL3]]),"")</f>
        <v/>
      </c>
      <c r="AJ179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92" s="1">
        <f>COUNTIFS(Apresentação!$E$23:$E$29,ESTIMATIVA[[#This Row],[CD_UPNIVEL1]])</f>
        <v>0</v>
      </c>
    </row>
    <row r="1793" spans="1:37" x14ac:dyDescent="0.3">
      <c r="A1793">
        <v>20705</v>
      </c>
      <c r="B1793" t="s">
        <v>28</v>
      </c>
      <c r="C1793">
        <v>40</v>
      </c>
      <c r="D1793">
        <v>1</v>
      </c>
      <c r="E1793" t="s">
        <v>267</v>
      </c>
      <c r="F1793" s="85" t="s">
        <v>331</v>
      </c>
      <c r="G1793"/>
      <c r="H1793" t="s">
        <v>296</v>
      </c>
      <c r="I1793" t="s">
        <v>200</v>
      </c>
      <c r="J1793" t="s">
        <v>177</v>
      </c>
      <c r="K1793" s="1">
        <v>2.5499999999999998</v>
      </c>
      <c r="L1793" s="1">
        <v>2.5499999999999998</v>
      </c>
      <c r="M1793" s="1">
        <v>0</v>
      </c>
      <c r="N1793" s="1">
        <v>2.5499999999999998</v>
      </c>
      <c r="O1793" s="1">
        <v>308.55</v>
      </c>
      <c r="P1793" s="1">
        <v>316.2</v>
      </c>
      <c r="Q1793" s="1">
        <v>0</v>
      </c>
      <c r="R1793" s="1">
        <v>246.13</v>
      </c>
      <c r="S1793" t="s">
        <v>280</v>
      </c>
      <c r="T1793" s="13">
        <v>45886</v>
      </c>
      <c r="U1793" s="1" t="str">
        <f>IF(ESTIMATIVA[[#This Row],[QT_AREA_REAL]]&gt;0,"1- Colhido","2- à Colher")</f>
        <v>1- Colhido</v>
      </c>
      <c r="V1793" s="1" t="str">
        <f>IF(ESTIMATIVA[[#This Row],[QT_AREA_REST1]]&gt;0,"Reestimativa 1",IF(ESTIMATIVA[[#This Row],[QT_AREA_REAL]]=0,"Reestimativa 1","Realizado"))</f>
        <v>Reestimativa 1</v>
      </c>
      <c r="W1793" s="1" t="str">
        <f>IF(ESTIMATIVA[[#This Row],[QT_AREA_REST2]]&gt;0,"Reestimativa 2",IF(ESTIMATIVA[[#This Row],[QT_AREA_REAL]]=0,"Reestimativa 2","Realizado"))</f>
        <v>Realizado</v>
      </c>
      <c r="X1793" s="1">
        <f>ESTIMATIVA[[#This Row],[QT_AREA_EST]]</f>
        <v>2.5499999999999998</v>
      </c>
      <c r="Y1793" s="1">
        <f>IF(ESTIMATIVA[[#This Row],[QT_AREA_REST1]]&gt;0,ESTIMATIVA[[#This Row],[QT_AREA_REST1]],
  IF(ESTIMATIVA[[#This Row],[QT_AREA_REAL]]&gt;0,ESTIMATIVA[[#This Row],[QT_AREA_REAL]],ESTIMATIVA[[#This Row],[QT_AREA_EST]]))</f>
        <v>2.5499999999999998</v>
      </c>
      <c r="Z179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2.5499999999999998</v>
      </c>
      <c r="AA1793" s="1">
        <f>ESTIMATIVA[[#This Row],[QT_CANA_EST]]</f>
        <v>308.55</v>
      </c>
      <c r="AB1793" s="1">
        <f>IF(ESTIMATIVA[[#This Row],[QT_CANA_REST1]]&gt;0,ESTIMATIVA[[#This Row],[QT_CANA_REST1]],
  IF(ESTIMATIVA[[#This Row],[QT_CANA_REAL]]&gt;0,ESTIMATIVA[[#This Row],[QT_CANA_REAL]],ESTIMATIVA[[#This Row],[QT_CANA_EST]]))</f>
        <v>316.2</v>
      </c>
      <c r="AC179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246.13</v>
      </c>
      <c r="AD1793" s="1">
        <f>IF(ESTIMATIVA[[#This Row],[QT_AREA_REAL]]&gt;0,ESTIMATIVA[[#This Row],[QT_CANA_REAL]],ESTIMATIVA[[#This Row],[QT_CANA_EST]])</f>
        <v>246.13</v>
      </c>
      <c r="AE1793" s="1">
        <f>IF(ESTIMATIVA[[#This Row],[QT_AREA_REAL]]&gt;0,ESTIMATIVA[[#This Row],[QT_CANA_REAL]],ESTIMATIVA[[#This Row],[QT_CANA_REST1]])</f>
        <v>246.13</v>
      </c>
      <c r="AF1793" s="1">
        <f>IF(ESTIMATIVA[[#This Row],[QT_AREA_REAL]]&gt;0,ESTIMATIVA[[#This Row],[QT_CANA_REAL]],ESTIMATIVA[[#This Row],[QT_CANA_REST2]])</f>
        <v>246.13</v>
      </c>
      <c r="AG1793" s="1" t="str">
        <f>IF(COUNTIFS(GEADA!A:A,VALUE(ESTIMATIVA[[#This Row],[CD_UPNIVEL1]]&amp;TEXT(ESTIMATIVA[[#This Row],[CD_UPNIVEL3]],"0000")))&gt;0,"S","N")</f>
        <v>N</v>
      </c>
      <c r="AH1793" s="1" t="str">
        <f>IF(COUNTIFS(IRRIGADO!C:C,ESTIMATIVA[[#This Row],[CD_UPNIVEL1]],IRRIGADO!E:E,ESTIMATIVA[[#This Row],[CD_UPNIVEL3]])&gt;0,"Irrigado",IF(ESTIMATIVA[[#This Row],[DE_SIST_CULT]]="Mineral","Sequeiro",ESTIMATIVA[[#This Row],[DE_SIST_CULT]]))</f>
        <v>A Definir</v>
      </c>
      <c r="AI1793" s="55" t="str">
        <f>IF(ESTIMATIVA[[#This Row],[TP_CULTIVO]]="Irrigado",_xlfn.MAXIFS(IRRIGADO!J:J,IRRIGADO!C:C,ESTIMATIVA[[#This Row],[CD_UPNIVEL1]],IRRIGADO!E:E,ESTIMATIVA[[#This Row],[CD_UPNIVEL3]]),"")</f>
        <v/>
      </c>
      <c r="AJ179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93" s="1">
        <f>COUNTIFS(Apresentação!$E$23:$E$29,ESTIMATIVA[[#This Row],[CD_UPNIVEL1]])</f>
        <v>0</v>
      </c>
    </row>
    <row r="1794" spans="1:37" x14ac:dyDescent="0.3">
      <c r="A1794">
        <v>20705</v>
      </c>
      <c r="B1794" t="s">
        <v>28</v>
      </c>
      <c r="C1794">
        <v>42</v>
      </c>
      <c r="D1794">
        <v>5</v>
      </c>
      <c r="E1794" t="s">
        <v>268</v>
      </c>
      <c r="F1794" s="85" t="s">
        <v>331</v>
      </c>
      <c r="G1794"/>
      <c r="H1794" t="s">
        <v>294</v>
      </c>
      <c r="I1794" t="s">
        <v>208</v>
      </c>
      <c r="J1794" t="s">
        <v>177</v>
      </c>
      <c r="K1794" s="1">
        <v>12.92</v>
      </c>
      <c r="L1794" s="1">
        <v>0</v>
      </c>
      <c r="M1794" s="1">
        <v>0</v>
      </c>
      <c r="N1794" s="1">
        <v>12.92</v>
      </c>
      <c r="O1794" s="1">
        <v>981.92</v>
      </c>
      <c r="P1794" s="1">
        <v>0</v>
      </c>
      <c r="Q1794" s="1">
        <v>0</v>
      </c>
      <c r="R1794" s="1">
        <v>1119.44</v>
      </c>
      <c r="S1794" t="s">
        <v>280</v>
      </c>
      <c r="T1794" s="13">
        <v>45795</v>
      </c>
      <c r="U1794" s="1" t="str">
        <f>IF(ESTIMATIVA[[#This Row],[QT_AREA_REAL]]&gt;0,"1- Colhido","2- à Colher")</f>
        <v>1- Colhido</v>
      </c>
      <c r="V1794" s="1" t="str">
        <f>IF(ESTIMATIVA[[#This Row],[QT_AREA_REST1]]&gt;0,"Reestimativa 1",IF(ESTIMATIVA[[#This Row],[QT_AREA_REAL]]=0,"Reestimativa 1","Realizado"))</f>
        <v>Realizado</v>
      </c>
      <c r="W1794" s="1" t="str">
        <f>IF(ESTIMATIVA[[#This Row],[QT_AREA_REST2]]&gt;0,"Reestimativa 2",IF(ESTIMATIVA[[#This Row],[QT_AREA_REAL]]=0,"Reestimativa 2","Realizado"))</f>
        <v>Realizado</v>
      </c>
      <c r="X1794" s="1">
        <f>ESTIMATIVA[[#This Row],[QT_AREA_EST]]</f>
        <v>12.92</v>
      </c>
      <c r="Y1794" s="1">
        <f>IF(ESTIMATIVA[[#This Row],[QT_AREA_REST1]]&gt;0,ESTIMATIVA[[#This Row],[QT_AREA_REST1]],
  IF(ESTIMATIVA[[#This Row],[QT_AREA_REAL]]&gt;0,ESTIMATIVA[[#This Row],[QT_AREA_REAL]],ESTIMATIVA[[#This Row],[QT_AREA_EST]]))</f>
        <v>12.92</v>
      </c>
      <c r="Z179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12.92</v>
      </c>
      <c r="AA1794" s="1">
        <f>ESTIMATIVA[[#This Row],[QT_CANA_EST]]</f>
        <v>981.92</v>
      </c>
      <c r="AB1794" s="1">
        <f>IF(ESTIMATIVA[[#This Row],[QT_CANA_REST1]]&gt;0,ESTIMATIVA[[#This Row],[QT_CANA_REST1]],
  IF(ESTIMATIVA[[#This Row],[QT_CANA_REAL]]&gt;0,ESTIMATIVA[[#This Row],[QT_CANA_REAL]],ESTIMATIVA[[#This Row],[QT_CANA_EST]]))</f>
        <v>1119.44</v>
      </c>
      <c r="AC179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1119.44</v>
      </c>
      <c r="AD1794" s="1">
        <f>IF(ESTIMATIVA[[#This Row],[QT_AREA_REAL]]&gt;0,ESTIMATIVA[[#This Row],[QT_CANA_REAL]],ESTIMATIVA[[#This Row],[QT_CANA_EST]])</f>
        <v>1119.44</v>
      </c>
      <c r="AE1794" s="1">
        <f>IF(ESTIMATIVA[[#This Row],[QT_AREA_REAL]]&gt;0,ESTIMATIVA[[#This Row],[QT_CANA_REAL]],ESTIMATIVA[[#This Row],[QT_CANA_REST1]])</f>
        <v>1119.44</v>
      </c>
      <c r="AF1794" s="1">
        <f>IF(ESTIMATIVA[[#This Row],[QT_AREA_REAL]]&gt;0,ESTIMATIVA[[#This Row],[QT_CANA_REAL]],ESTIMATIVA[[#This Row],[QT_CANA_REST2]])</f>
        <v>1119.44</v>
      </c>
      <c r="AG1794" s="1" t="str">
        <f>IF(COUNTIFS(GEADA!A:A,VALUE(ESTIMATIVA[[#This Row],[CD_UPNIVEL1]]&amp;TEXT(ESTIMATIVA[[#This Row],[CD_UPNIVEL3]],"0000")))&gt;0,"S","N")</f>
        <v>N</v>
      </c>
      <c r="AH179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94" s="55" t="str">
        <f>IF(ESTIMATIVA[[#This Row],[TP_CULTIVO]]="Irrigado",_xlfn.MAXIFS(IRRIGADO!J:J,IRRIGADO!C:C,ESTIMATIVA[[#This Row],[CD_UPNIVEL1]],IRRIGADO!E:E,ESTIMATIVA[[#This Row],[CD_UPNIVEL3]]),"")</f>
        <v/>
      </c>
      <c r="AJ179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94" s="1">
        <f>COUNTIFS(Apresentação!$E$23:$E$29,ESTIMATIVA[[#This Row],[CD_UPNIVEL1]])</f>
        <v>0</v>
      </c>
    </row>
    <row r="1795" spans="1:37" x14ac:dyDescent="0.3">
      <c r="A1795">
        <v>20705</v>
      </c>
      <c r="B1795" t="s">
        <v>28</v>
      </c>
      <c r="C1795">
        <v>49</v>
      </c>
      <c r="D1795">
        <v>2</v>
      </c>
      <c r="E1795" t="s">
        <v>266</v>
      </c>
      <c r="F1795" s="85" t="s">
        <v>331</v>
      </c>
      <c r="G1795"/>
      <c r="H1795" t="s">
        <v>294</v>
      </c>
      <c r="I1795" t="s">
        <v>202</v>
      </c>
      <c r="J1795" t="s">
        <v>177</v>
      </c>
      <c r="K1795" s="1">
        <v>17.829999999999998</v>
      </c>
      <c r="L1795" s="1">
        <v>0</v>
      </c>
      <c r="M1795" s="1">
        <v>0</v>
      </c>
      <c r="N1795" s="1">
        <v>17.829999999999998</v>
      </c>
      <c r="O1795" s="1">
        <v>1533.38</v>
      </c>
      <c r="P1795" s="1">
        <v>0</v>
      </c>
      <c r="Q1795" s="1">
        <v>0</v>
      </c>
      <c r="R1795" s="1">
        <v>1862.01</v>
      </c>
      <c r="S1795" t="s">
        <v>280</v>
      </c>
      <c r="T1795" s="13">
        <v>45809</v>
      </c>
      <c r="U1795" s="1" t="str">
        <f>IF(ESTIMATIVA[[#This Row],[QT_AREA_REAL]]&gt;0,"1- Colhido","2- à Colher")</f>
        <v>1- Colhido</v>
      </c>
      <c r="V1795" s="1" t="str">
        <f>IF(ESTIMATIVA[[#This Row],[QT_AREA_REST1]]&gt;0,"Reestimativa 1",IF(ESTIMATIVA[[#This Row],[QT_AREA_REAL]]=0,"Reestimativa 1","Realizado"))</f>
        <v>Realizado</v>
      </c>
      <c r="W1795" s="1" t="str">
        <f>IF(ESTIMATIVA[[#This Row],[QT_AREA_REST2]]&gt;0,"Reestimativa 2",IF(ESTIMATIVA[[#This Row],[QT_AREA_REAL]]=0,"Reestimativa 2","Realizado"))</f>
        <v>Realizado</v>
      </c>
      <c r="X1795" s="1">
        <f>ESTIMATIVA[[#This Row],[QT_AREA_EST]]</f>
        <v>17.829999999999998</v>
      </c>
      <c r="Y1795" s="1">
        <f>IF(ESTIMATIVA[[#This Row],[QT_AREA_REST1]]&gt;0,ESTIMATIVA[[#This Row],[QT_AREA_REST1]],
  IF(ESTIMATIVA[[#This Row],[QT_AREA_REAL]]&gt;0,ESTIMATIVA[[#This Row],[QT_AREA_REAL]],ESTIMATIVA[[#This Row],[QT_AREA_EST]]))</f>
        <v>17.829999999999998</v>
      </c>
      <c r="Z179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17.829999999999998</v>
      </c>
      <c r="AA1795" s="1">
        <f>ESTIMATIVA[[#This Row],[QT_CANA_EST]]</f>
        <v>1533.38</v>
      </c>
      <c r="AB1795" s="1">
        <f>IF(ESTIMATIVA[[#This Row],[QT_CANA_REST1]]&gt;0,ESTIMATIVA[[#This Row],[QT_CANA_REST1]],
  IF(ESTIMATIVA[[#This Row],[QT_CANA_REAL]]&gt;0,ESTIMATIVA[[#This Row],[QT_CANA_REAL]],ESTIMATIVA[[#This Row],[QT_CANA_EST]]))</f>
        <v>1862.01</v>
      </c>
      <c r="AC179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1862.01</v>
      </c>
      <c r="AD1795" s="1">
        <f>IF(ESTIMATIVA[[#This Row],[QT_AREA_REAL]]&gt;0,ESTIMATIVA[[#This Row],[QT_CANA_REAL]],ESTIMATIVA[[#This Row],[QT_CANA_EST]])</f>
        <v>1862.01</v>
      </c>
      <c r="AE1795" s="1">
        <f>IF(ESTIMATIVA[[#This Row],[QT_AREA_REAL]]&gt;0,ESTIMATIVA[[#This Row],[QT_CANA_REAL]],ESTIMATIVA[[#This Row],[QT_CANA_REST1]])</f>
        <v>1862.01</v>
      </c>
      <c r="AF1795" s="1">
        <f>IF(ESTIMATIVA[[#This Row],[QT_AREA_REAL]]&gt;0,ESTIMATIVA[[#This Row],[QT_CANA_REAL]],ESTIMATIVA[[#This Row],[QT_CANA_REST2]])</f>
        <v>1862.01</v>
      </c>
      <c r="AG1795" s="1" t="str">
        <f>IF(COUNTIFS(GEADA!A:A,VALUE(ESTIMATIVA[[#This Row],[CD_UPNIVEL1]]&amp;TEXT(ESTIMATIVA[[#This Row],[CD_UPNIVEL3]],"0000")))&gt;0,"S","N")</f>
        <v>N</v>
      </c>
      <c r="AH179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95" s="55" t="str">
        <f>IF(ESTIMATIVA[[#This Row],[TP_CULTIVO]]="Irrigado",_xlfn.MAXIFS(IRRIGADO!J:J,IRRIGADO!C:C,ESTIMATIVA[[#This Row],[CD_UPNIVEL1]],IRRIGADO!E:E,ESTIMATIVA[[#This Row],[CD_UPNIVEL3]]),"")</f>
        <v/>
      </c>
      <c r="AJ179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95" s="1">
        <f>COUNTIFS(Apresentação!$E$23:$E$29,ESTIMATIVA[[#This Row],[CD_UPNIVEL1]])</f>
        <v>0</v>
      </c>
    </row>
    <row r="1796" spans="1:37" x14ac:dyDescent="0.3">
      <c r="A1796">
        <v>20705</v>
      </c>
      <c r="B1796" t="s">
        <v>28</v>
      </c>
      <c r="C1796">
        <v>91</v>
      </c>
      <c r="D1796">
        <v>7</v>
      </c>
      <c r="E1796" t="s">
        <v>270</v>
      </c>
      <c r="F1796" s="85" t="s">
        <v>331</v>
      </c>
      <c r="G1796"/>
      <c r="H1796" t="s">
        <v>294</v>
      </c>
      <c r="I1796" t="s">
        <v>212</v>
      </c>
      <c r="J1796" t="s">
        <v>177</v>
      </c>
      <c r="K1796" s="1">
        <v>14.36</v>
      </c>
      <c r="L1796" s="1">
        <v>14.36</v>
      </c>
      <c r="M1796" s="1">
        <v>0</v>
      </c>
      <c r="N1796" s="1">
        <v>14.36</v>
      </c>
      <c r="O1796" s="1">
        <v>947.76</v>
      </c>
      <c r="P1796" s="1">
        <v>947.76</v>
      </c>
      <c r="Q1796" s="1">
        <v>0</v>
      </c>
      <c r="R1796" s="1">
        <v>594.48</v>
      </c>
      <c r="S1796" t="s">
        <v>280</v>
      </c>
      <c r="T1796" s="13">
        <v>45893</v>
      </c>
      <c r="U1796" s="1" t="str">
        <f>IF(ESTIMATIVA[[#This Row],[QT_AREA_REAL]]&gt;0,"1- Colhido","2- à Colher")</f>
        <v>1- Colhido</v>
      </c>
      <c r="V1796" s="1" t="str">
        <f>IF(ESTIMATIVA[[#This Row],[QT_AREA_REST1]]&gt;0,"Reestimativa 1",IF(ESTIMATIVA[[#This Row],[QT_AREA_REAL]]=0,"Reestimativa 1","Realizado"))</f>
        <v>Reestimativa 1</v>
      </c>
      <c r="W1796" s="1" t="str">
        <f>IF(ESTIMATIVA[[#This Row],[QT_AREA_REST2]]&gt;0,"Reestimativa 2",IF(ESTIMATIVA[[#This Row],[QT_AREA_REAL]]=0,"Reestimativa 2","Realizado"))</f>
        <v>Realizado</v>
      </c>
      <c r="X1796" s="1">
        <f>ESTIMATIVA[[#This Row],[QT_AREA_EST]]</f>
        <v>14.36</v>
      </c>
      <c r="Y1796" s="1">
        <f>IF(ESTIMATIVA[[#This Row],[QT_AREA_REST1]]&gt;0,ESTIMATIVA[[#This Row],[QT_AREA_REST1]],
  IF(ESTIMATIVA[[#This Row],[QT_AREA_REAL]]&gt;0,ESTIMATIVA[[#This Row],[QT_AREA_REAL]],ESTIMATIVA[[#This Row],[QT_AREA_EST]]))</f>
        <v>14.36</v>
      </c>
      <c r="Z179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14.36</v>
      </c>
      <c r="AA1796" s="1">
        <f>ESTIMATIVA[[#This Row],[QT_CANA_EST]]</f>
        <v>947.76</v>
      </c>
      <c r="AB1796" s="1">
        <f>IF(ESTIMATIVA[[#This Row],[QT_CANA_REST1]]&gt;0,ESTIMATIVA[[#This Row],[QT_CANA_REST1]],
  IF(ESTIMATIVA[[#This Row],[QT_CANA_REAL]]&gt;0,ESTIMATIVA[[#This Row],[QT_CANA_REAL]],ESTIMATIVA[[#This Row],[QT_CANA_EST]]))</f>
        <v>947.76</v>
      </c>
      <c r="AC179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594.48</v>
      </c>
      <c r="AD1796" s="1">
        <f>IF(ESTIMATIVA[[#This Row],[QT_AREA_REAL]]&gt;0,ESTIMATIVA[[#This Row],[QT_CANA_REAL]],ESTIMATIVA[[#This Row],[QT_CANA_EST]])</f>
        <v>594.48</v>
      </c>
      <c r="AE1796" s="1">
        <f>IF(ESTIMATIVA[[#This Row],[QT_AREA_REAL]]&gt;0,ESTIMATIVA[[#This Row],[QT_CANA_REAL]],ESTIMATIVA[[#This Row],[QT_CANA_REST1]])</f>
        <v>594.48</v>
      </c>
      <c r="AF1796" s="1">
        <f>IF(ESTIMATIVA[[#This Row],[QT_AREA_REAL]]&gt;0,ESTIMATIVA[[#This Row],[QT_CANA_REAL]],ESTIMATIVA[[#This Row],[QT_CANA_REST2]])</f>
        <v>594.48</v>
      </c>
      <c r="AG1796" s="1" t="str">
        <f>IF(COUNTIFS(GEADA!A:A,VALUE(ESTIMATIVA[[#This Row],[CD_UPNIVEL1]]&amp;TEXT(ESTIMATIVA[[#This Row],[CD_UPNIVEL3]],"0000")))&gt;0,"S","N")</f>
        <v>N</v>
      </c>
      <c r="AH179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96" s="55" t="str">
        <f>IF(ESTIMATIVA[[#This Row],[TP_CULTIVO]]="Irrigado",_xlfn.MAXIFS(IRRIGADO!J:J,IRRIGADO!C:C,ESTIMATIVA[[#This Row],[CD_UPNIVEL1]],IRRIGADO!E:E,ESTIMATIVA[[#This Row],[CD_UPNIVEL3]]),"")</f>
        <v/>
      </c>
      <c r="AJ179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96" s="1">
        <f>COUNTIFS(Apresentação!$E$23:$E$29,ESTIMATIVA[[#This Row],[CD_UPNIVEL1]])</f>
        <v>0</v>
      </c>
    </row>
    <row r="1797" spans="1:37" x14ac:dyDescent="0.3">
      <c r="A1797">
        <v>20705</v>
      </c>
      <c r="B1797" t="s">
        <v>28</v>
      </c>
      <c r="C1797">
        <v>92</v>
      </c>
      <c r="D1797">
        <v>7</v>
      </c>
      <c r="E1797" t="s">
        <v>270</v>
      </c>
      <c r="F1797" s="85" t="s">
        <v>331</v>
      </c>
      <c r="G1797"/>
      <c r="H1797" t="s">
        <v>294</v>
      </c>
      <c r="I1797" t="s">
        <v>212</v>
      </c>
      <c r="J1797" t="s">
        <v>177</v>
      </c>
      <c r="K1797" s="1">
        <v>3.3</v>
      </c>
      <c r="L1797" s="1">
        <v>3.3</v>
      </c>
      <c r="M1797" s="1">
        <v>0</v>
      </c>
      <c r="N1797" s="1">
        <v>3.3</v>
      </c>
      <c r="O1797" s="1">
        <v>217.8</v>
      </c>
      <c r="P1797" s="1">
        <v>217.8</v>
      </c>
      <c r="Q1797" s="1">
        <v>0</v>
      </c>
      <c r="R1797" s="1">
        <v>136.63999999999999</v>
      </c>
      <c r="S1797" t="s">
        <v>280</v>
      </c>
      <c r="T1797" s="13">
        <v>45893</v>
      </c>
      <c r="U1797" s="1" t="str">
        <f>IF(ESTIMATIVA[[#This Row],[QT_AREA_REAL]]&gt;0,"1- Colhido","2- à Colher")</f>
        <v>1- Colhido</v>
      </c>
      <c r="V1797" s="1" t="str">
        <f>IF(ESTIMATIVA[[#This Row],[QT_AREA_REST1]]&gt;0,"Reestimativa 1",IF(ESTIMATIVA[[#This Row],[QT_AREA_REAL]]=0,"Reestimativa 1","Realizado"))</f>
        <v>Reestimativa 1</v>
      </c>
      <c r="W1797" s="1" t="str">
        <f>IF(ESTIMATIVA[[#This Row],[QT_AREA_REST2]]&gt;0,"Reestimativa 2",IF(ESTIMATIVA[[#This Row],[QT_AREA_REAL]]=0,"Reestimativa 2","Realizado"))</f>
        <v>Realizado</v>
      </c>
      <c r="X1797" s="1">
        <f>ESTIMATIVA[[#This Row],[QT_AREA_EST]]</f>
        <v>3.3</v>
      </c>
      <c r="Y1797" s="1">
        <f>IF(ESTIMATIVA[[#This Row],[QT_AREA_REST1]]&gt;0,ESTIMATIVA[[#This Row],[QT_AREA_REST1]],
  IF(ESTIMATIVA[[#This Row],[QT_AREA_REAL]]&gt;0,ESTIMATIVA[[#This Row],[QT_AREA_REAL]],ESTIMATIVA[[#This Row],[QT_AREA_EST]]))</f>
        <v>3.3</v>
      </c>
      <c r="Z179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3.3</v>
      </c>
      <c r="AA1797" s="1">
        <f>ESTIMATIVA[[#This Row],[QT_CANA_EST]]</f>
        <v>217.8</v>
      </c>
      <c r="AB1797" s="1">
        <f>IF(ESTIMATIVA[[#This Row],[QT_CANA_REST1]]&gt;0,ESTIMATIVA[[#This Row],[QT_CANA_REST1]],
  IF(ESTIMATIVA[[#This Row],[QT_CANA_REAL]]&gt;0,ESTIMATIVA[[#This Row],[QT_CANA_REAL]],ESTIMATIVA[[#This Row],[QT_CANA_EST]]))</f>
        <v>217.8</v>
      </c>
      <c r="AC179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136.63999999999999</v>
      </c>
      <c r="AD1797" s="1">
        <f>IF(ESTIMATIVA[[#This Row],[QT_AREA_REAL]]&gt;0,ESTIMATIVA[[#This Row],[QT_CANA_REAL]],ESTIMATIVA[[#This Row],[QT_CANA_EST]])</f>
        <v>136.63999999999999</v>
      </c>
      <c r="AE1797" s="1">
        <f>IF(ESTIMATIVA[[#This Row],[QT_AREA_REAL]]&gt;0,ESTIMATIVA[[#This Row],[QT_CANA_REAL]],ESTIMATIVA[[#This Row],[QT_CANA_REST1]])</f>
        <v>136.63999999999999</v>
      </c>
      <c r="AF1797" s="1">
        <f>IF(ESTIMATIVA[[#This Row],[QT_AREA_REAL]]&gt;0,ESTIMATIVA[[#This Row],[QT_CANA_REAL]],ESTIMATIVA[[#This Row],[QT_CANA_REST2]])</f>
        <v>136.63999999999999</v>
      </c>
      <c r="AG1797" s="1" t="str">
        <f>IF(COUNTIFS(GEADA!A:A,VALUE(ESTIMATIVA[[#This Row],[CD_UPNIVEL1]]&amp;TEXT(ESTIMATIVA[[#This Row],[CD_UPNIVEL3]],"0000")))&gt;0,"S","N")</f>
        <v>N</v>
      </c>
      <c r="AH179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97" s="55" t="str">
        <f>IF(ESTIMATIVA[[#This Row],[TP_CULTIVO]]="Irrigado",_xlfn.MAXIFS(IRRIGADO!J:J,IRRIGADO!C:C,ESTIMATIVA[[#This Row],[CD_UPNIVEL1]],IRRIGADO!E:E,ESTIMATIVA[[#This Row],[CD_UPNIVEL3]]),"")</f>
        <v/>
      </c>
      <c r="AJ179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97" s="1">
        <f>COUNTIFS(Apresentação!$E$23:$E$29,ESTIMATIVA[[#This Row],[CD_UPNIVEL1]])</f>
        <v>0</v>
      </c>
    </row>
    <row r="1798" spans="1:37" x14ac:dyDescent="0.3">
      <c r="A1798">
        <v>20705</v>
      </c>
      <c r="B1798" t="s">
        <v>28</v>
      </c>
      <c r="C1798">
        <v>93</v>
      </c>
      <c r="D1798">
        <v>7</v>
      </c>
      <c r="E1798" t="s">
        <v>270</v>
      </c>
      <c r="F1798" s="85" t="s">
        <v>331</v>
      </c>
      <c r="G1798"/>
      <c r="H1798" t="s">
        <v>294</v>
      </c>
      <c r="I1798" t="s">
        <v>212</v>
      </c>
      <c r="J1798" t="s">
        <v>177</v>
      </c>
      <c r="K1798" s="1">
        <v>7.88</v>
      </c>
      <c r="L1798" s="1">
        <v>7.88</v>
      </c>
      <c r="M1798" s="1">
        <v>0</v>
      </c>
      <c r="N1798" s="1">
        <v>7.88</v>
      </c>
      <c r="O1798" s="1">
        <v>520.08000000000004</v>
      </c>
      <c r="P1798" s="1">
        <v>520.08000000000004</v>
      </c>
      <c r="Q1798" s="1">
        <v>0</v>
      </c>
      <c r="R1798" s="1">
        <v>326.05</v>
      </c>
      <c r="S1798" t="s">
        <v>280</v>
      </c>
      <c r="T1798" s="13">
        <v>45893</v>
      </c>
      <c r="U1798" s="1" t="str">
        <f>IF(ESTIMATIVA[[#This Row],[QT_AREA_REAL]]&gt;0,"1- Colhido","2- à Colher")</f>
        <v>1- Colhido</v>
      </c>
      <c r="V1798" s="1" t="str">
        <f>IF(ESTIMATIVA[[#This Row],[QT_AREA_REST1]]&gt;0,"Reestimativa 1",IF(ESTIMATIVA[[#This Row],[QT_AREA_REAL]]=0,"Reestimativa 1","Realizado"))</f>
        <v>Reestimativa 1</v>
      </c>
      <c r="W1798" s="1" t="str">
        <f>IF(ESTIMATIVA[[#This Row],[QT_AREA_REST2]]&gt;0,"Reestimativa 2",IF(ESTIMATIVA[[#This Row],[QT_AREA_REAL]]=0,"Reestimativa 2","Realizado"))</f>
        <v>Realizado</v>
      </c>
      <c r="X1798" s="1">
        <f>ESTIMATIVA[[#This Row],[QT_AREA_EST]]</f>
        <v>7.88</v>
      </c>
      <c r="Y1798" s="1">
        <f>IF(ESTIMATIVA[[#This Row],[QT_AREA_REST1]]&gt;0,ESTIMATIVA[[#This Row],[QT_AREA_REST1]],
  IF(ESTIMATIVA[[#This Row],[QT_AREA_REAL]]&gt;0,ESTIMATIVA[[#This Row],[QT_AREA_REAL]],ESTIMATIVA[[#This Row],[QT_AREA_EST]]))</f>
        <v>7.88</v>
      </c>
      <c r="Z179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7.88</v>
      </c>
      <c r="AA1798" s="1">
        <f>ESTIMATIVA[[#This Row],[QT_CANA_EST]]</f>
        <v>520.08000000000004</v>
      </c>
      <c r="AB1798" s="1">
        <f>IF(ESTIMATIVA[[#This Row],[QT_CANA_REST1]]&gt;0,ESTIMATIVA[[#This Row],[QT_CANA_REST1]],
  IF(ESTIMATIVA[[#This Row],[QT_CANA_REAL]]&gt;0,ESTIMATIVA[[#This Row],[QT_CANA_REAL]],ESTIMATIVA[[#This Row],[QT_CANA_EST]]))</f>
        <v>520.08000000000004</v>
      </c>
      <c r="AC179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326.05</v>
      </c>
      <c r="AD1798" s="1">
        <f>IF(ESTIMATIVA[[#This Row],[QT_AREA_REAL]]&gt;0,ESTIMATIVA[[#This Row],[QT_CANA_REAL]],ESTIMATIVA[[#This Row],[QT_CANA_EST]])</f>
        <v>326.05</v>
      </c>
      <c r="AE1798" s="1">
        <f>IF(ESTIMATIVA[[#This Row],[QT_AREA_REAL]]&gt;0,ESTIMATIVA[[#This Row],[QT_CANA_REAL]],ESTIMATIVA[[#This Row],[QT_CANA_REST1]])</f>
        <v>326.05</v>
      </c>
      <c r="AF1798" s="1">
        <f>IF(ESTIMATIVA[[#This Row],[QT_AREA_REAL]]&gt;0,ESTIMATIVA[[#This Row],[QT_CANA_REAL]],ESTIMATIVA[[#This Row],[QT_CANA_REST2]])</f>
        <v>326.05</v>
      </c>
      <c r="AG1798" s="1" t="str">
        <f>IF(COUNTIFS(GEADA!A:A,VALUE(ESTIMATIVA[[#This Row],[CD_UPNIVEL1]]&amp;TEXT(ESTIMATIVA[[#This Row],[CD_UPNIVEL3]],"0000")))&gt;0,"S","N")</f>
        <v>N</v>
      </c>
      <c r="AH179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98" s="55" t="str">
        <f>IF(ESTIMATIVA[[#This Row],[TP_CULTIVO]]="Irrigado",_xlfn.MAXIFS(IRRIGADO!J:J,IRRIGADO!C:C,ESTIMATIVA[[#This Row],[CD_UPNIVEL1]],IRRIGADO!E:E,ESTIMATIVA[[#This Row],[CD_UPNIVEL3]]),"")</f>
        <v/>
      </c>
      <c r="AJ179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98" s="1">
        <f>COUNTIFS(Apresentação!$E$23:$E$29,ESTIMATIVA[[#This Row],[CD_UPNIVEL1]])</f>
        <v>0</v>
      </c>
    </row>
    <row r="1799" spans="1:37" x14ac:dyDescent="0.3">
      <c r="A1799">
        <v>20705</v>
      </c>
      <c r="B1799" t="s">
        <v>28</v>
      </c>
      <c r="C1799">
        <v>94</v>
      </c>
      <c r="D1799">
        <v>7</v>
      </c>
      <c r="E1799" t="s">
        <v>270</v>
      </c>
      <c r="F1799" s="85" t="s">
        <v>331</v>
      </c>
      <c r="G1799"/>
      <c r="H1799" t="s">
        <v>294</v>
      </c>
      <c r="I1799" t="s">
        <v>212</v>
      </c>
      <c r="J1799" t="s">
        <v>177</v>
      </c>
      <c r="K1799" s="1">
        <v>10.220000000000001</v>
      </c>
      <c r="L1799" s="1">
        <v>10.220000000000001</v>
      </c>
      <c r="M1799" s="1">
        <v>0</v>
      </c>
      <c r="N1799" s="1">
        <v>10.220000000000001</v>
      </c>
      <c r="O1799" s="1">
        <v>674.52</v>
      </c>
      <c r="P1799" s="1">
        <v>674.52</v>
      </c>
      <c r="Q1799" s="1">
        <v>0</v>
      </c>
      <c r="R1799" s="1">
        <v>423.27</v>
      </c>
      <c r="S1799" t="s">
        <v>280</v>
      </c>
      <c r="T1799" s="13">
        <v>45893</v>
      </c>
      <c r="U1799" s="1" t="str">
        <f>IF(ESTIMATIVA[[#This Row],[QT_AREA_REAL]]&gt;0,"1- Colhido","2- à Colher")</f>
        <v>1- Colhido</v>
      </c>
      <c r="V1799" s="1" t="str">
        <f>IF(ESTIMATIVA[[#This Row],[QT_AREA_REST1]]&gt;0,"Reestimativa 1",IF(ESTIMATIVA[[#This Row],[QT_AREA_REAL]]=0,"Reestimativa 1","Realizado"))</f>
        <v>Reestimativa 1</v>
      </c>
      <c r="W1799" s="1" t="str">
        <f>IF(ESTIMATIVA[[#This Row],[QT_AREA_REST2]]&gt;0,"Reestimativa 2",IF(ESTIMATIVA[[#This Row],[QT_AREA_REAL]]=0,"Reestimativa 2","Realizado"))</f>
        <v>Realizado</v>
      </c>
      <c r="X1799" s="1">
        <f>ESTIMATIVA[[#This Row],[QT_AREA_EST]]</f>
        <v>10.220000000000001</v>
      </c>
      <c r="Y1799" s="1">
        <f>IF(ESTIMATIVA[[#This Row],[QT_AREA_REST1]]&gt;0,ESTIMATIVA[[#This Row],[QT_AREA_REST1]],
  IF(ESTIMATIVA[[#This Row],[QT_AREA_REAL]]&gt;0,ESTIMATIVA[[#This Row],[QT_AREA_REAL]],ESTIMATIVA[[#This Row],[QT_AREA_EST]]))</f>
        <v>10.220000000000001</v>
      </c>
      <c r="Z179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10.220000000000001</v>
      </c>
      <c r="AA1799" s="1">
        <f>ESTIMATIVA[[#This Row],[QT_CANA_EST]]</f>
        <v>674.52</v>
      </c>
      <c r="AB1799" s="1">
        <f>IF(ESTIMATIVA[[#This Row],[QT_CANA_REST1]]&gt;0,ESTIMATIVA[[#This Row],[QT_CANA_REST1]],
  IF(ESTIMATIVA[[#This Row],[QT_CANA_REAL]]&gt;0,ESTIMATIVA[[#This Row],[QT_CANA_REAL]],ESTIMATIVA[[#This Row],[QT_CANA_EST]]))</f>
        <v>674.52</v>
      </c>
      <c r="AC179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423.27</v>
      </c>
      <c r="AD1799" s="1">
        <f>IF(ESTIMATIVA[[#This Row],[QT_AREA_REAL]]&gt;0,ESTIMATIVA[[#This Row],[QT_CANA_REAL]],ESTIMATIVA[[#This Row],[QT_CANA_EST]])</f>
        <v>423.27</v>
      </c>
      <c r="AE1799" s="1">
        <f>IF(ESTIMATIVA[[#This Row],[QT_AREA_REAL]]&gt;0,ESTIMATIVA[[#This Row],[QT_CANA_REAL]],ESTIMATIVA[[#This Row],[QT_CANA_REST1]])</f>
        <v>423.27</v>
      </c>
      <c r="AF1799" s="1">
        <f>IF(ESTIMATIVA[[#This Row],[QT_AREA_REAL]]&gt;0,ESTIMATIVA[[#This Row],[QT_CANA_REAL]],ESTIMATIVA[[#This Row],[QT_CANA_REST2]])</f>
        <v>423.27</v>
      </c>
      <c r="AG1799" s="1" t="str">
        <f>IF(COUNTIFS(GEADA!A:A,VALUE(ESTIMATIVA[[#This Row],[CD_UPNIVEL1]]&amp;TEXT(ESTIMATIVA[[#This Row],[CD_UPNIVEL3]],"0000")))&gt;0,"S","N")</f>
        <v>N</v>
      </c>
      <c r="AH179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799" s="55" t="str">
        <f>IF(ESTIMATIVA[[#This Row],[TP_CULTIVO]]="Irrigado",_xlfn.MAXIFS(IRRIGADO!J:J,IRRIGADO!C:C,ESTIMATIVA[[#This Row],[CD_UPNIVEL1]],IRRIGADO!E:E,ESTIMATIVA[[#This Row],[CD_UPNIVEL3]]),"")</f>
        <v/>
      </c>
      <c r="AJ179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799" s="1">
        <f>COUNTIFS(Apresentação!$E$23:$E$29,ESTIMATIVA[[#This Row],[CD_UPNIVEL1]])</f>
        <v>0</v>
      </c>
    </row>
    <row r="1800" spans="1:37" x14ac:dyDescent="0.3">
      <c r="A1800">
        <v>20705</v>
      </c>
      <c r="B1800" t="s">
        <v>28</v>
      </c>
      <c r="C1800">
        <v>95</v>
      </c>
      <c r="D1800">
        <v>7</v>
      </c>
      <c r="E1800" t="s">
        <v>270</v>
      </c>
      <c r="F1800" s="85" t="s">
        <v>331</v>
      </c>
      <c r="G1800"/>
      <c r="H1800" t="s">
        <v>294</v>
      </c>
      <c r="I1800" t="s">
        <v>212</v>
      </c>
      <c r="J1800" t="s">
        <v>177</v>
      </c>
      <c r="K1800" s="1">
        <v>10.34</v>
      </c>
      <c r="L1800" s="1">
        <v>10.34</v>
      </c>
      <c r="M1800" s="1">
        <v>0</v>
      </c>
      <c r="N1800" s="1">
        <v>10.34</v>
      </c>
      <c r="O1800" s="1">
        <v>703.12</v>
      </c>
      <c r="P1800" s="1">
        <v>723.8</v>
      </c>
      <c r="Q1800" s="1">
        <v>0</v>
      </c>
      <c r="R1800" s="1">
        <v>454</v>
      </c>
      <c r="S1800" t="s">
        <v>280</v>
      </c>
      <c r="T1800" s="13">
        <v>45893</v>
      </c>
      <c r="U1800" s="1" t="str">
        <f>IF(ESTIMATIVA[[#This Row],[QT_AREA_REAL]]&gt;0,"1- Colhido","2- à Colher")</f>
        <v>1- Colhido</v>
      </c>
      <c r="V1800" s="1" t="str">
        <f>IF(ESTIMATIVA[[#This Row],[QT_AREA_REST1]]&gt;0,"Reestimativa 1",IF(ESTIMATIVA[[#This Row],[QT_AREA_REAL]]=0,"Reestimativa 1","Realizado"))</f>
        <v>Reestimativa 1</v>
      </c>
      <c r="W1800" s="1" t="str">
        <f>IF(ESTIMATIVA[[#This Row],[QT_AREA_REST2]]&gt;0,"Reestimativa 2",IF(ESTIMATIVA[[#This Row],[QT_AREA_REAL]]=0,"Reestimativa 2","Realizado"))</f>
        <v>Realizado</v>
      </c>
      <c r="X1800" s="1">
        <f>ESTIMATIVA[[#This Row],[QT_AREA_EST]]</f>
        <v>10.34</v>
      </c>
      <c r="Y1800" s="1">
        <f>IF(ESTIMATIVA[[#This Row],[QT_AREA_REST1]]&gt;0,ESTIMATIVA[[#This Row],[QT_AREA_REST1]],
  IF(ESTIMATIVA[[#This Row],[QT_AREA_REAL]]&gt;0,ESTIMATIVA[[#This Row],[QT_AREA_REAL]],ESTIMATIVA[[#This Row],[QT_AREA_EST]]))</f>
        <v>10.34</v>
      </c>
      <c r="Z180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10.34</v>
      </c>
      <c r="AA1800" s="1">
        <f>ESTIMATIVA[[#This Row],[QT_CANA_EST]]</f>
        <v>703.12</v>
      </c>
      <c r="AB1800" s="1">
        <f>IF(ESTIMATIVA[[#This Row],[QT_CANA_REST1]]&gt;0,ESTIMATIVA[[#This Row],[QT_CANA_REST1]],
  IF(ESTIMATIVA[[#This Row],[QT_CANA_REAL]]&gt;0,ESTIMATIVA[[#This Row],[QT_CANA_REAL]],ESTIMATIVA[[#This Row],[QT_CANA_EST]]))</f>
        <v>723.8</v>
      </c>
      <c r="AC180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454</v>
      </c>
      <c r="AD1800" s="1">
        <f>IF(ESTIMATIVA[[#This Row],[QT_AREA_REAL]]&gt;0,ESTIMATIVA[[#This Row],[QT_CANA_REAL]],ESTIMATIVA[[#This Row],[QT_CANA_EST]])</f>
        <v>454</v>
      </c>
      <c r="AE1800" s="1">
        <f>IF(ESTIMATIVA[[#This Row],[QT_AREA_REAL]]&gt;0,ESTIMATIVA[[#This Row],[QT_CANA_REAL]],ESTIMATIVA[[#This Row],[QT_CANA_REST1]])</f>
        <v>454</v>
      </c>
      <c r="AF1800" s="1">
        <f>IF(ESTIMATIVA[[#This Row],[QT_AREA_REAL]]&gt;0,ESTIMATIVA[[#This Row],[QT_CANA_REAL]],ESTIMATIVA[[#This Row],[QT_CANA_REST2]])</f>
        <v>454</v>
      </c>
      <c r="AG1800" s="1" t="str">
        <f>IF(COUNTIFS(GEADA!A:A,VALUE(ESTIMATIVA[[#This Row],[CD_UPNIVEL1]]&amp;TEXT(ESTIMATIVA[[#This Row],[CD_UPNIVEL3]],"0000")))&gt;0,"S","N")</f>
        <v>N</v>
      </c>
      <c r="AH180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00" s="55" t="str">
        <f>IF(ESTIMATIVA[[#This Row],[TP_CULTIVO]]="Irrigado",_xlfn.MAXIFS(IRRIGADO!J:J,IRRIGADO!C:C,ESTIMATIVA[[#This Row],[CD_UPNIVEL1]],IRRIGADO!E:E,ESTIMATIVA[[#This Row],[CD_UPNIVEL3]]),"")</f>
        <v/>
      </c>
      <c r="AJ180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00" s="1">
        <f>COUNTIFS(Apresentação!$E$23:$E$29,ESTIMATIVA[[#This Row],[CD_UPNIVEL1]])</f>
        <v>0</v>
      </c>
    </row>
    <row r="1801" spans="1:37" x14ac:dyDescent="0.3">
      <c r="A1801">
        <v>20705</v>
      </c>
      <c r="B1801" t="s">
        <v>28</v>
      </c>
      <c r="C1801">
        <v>96</v>
      </c>
      <c r="D1801">
        <v>7</v>
      </c>
      <c r="E1801" t="s">
        <v>270</v>
      </c>
      <c r="F1801" s="85" t="s">
        <v>331</v>
      </c>
      <c r="G1801"/>
      <c r="H1801" t="s">
        <v>294</v>
      </c>
      <c r="I1801" t="s">
        <v>212</v>
      </c>
      <c r="J1801" t="s">
        <v>177</v>
      </c>
      <c r="K1801" s="1">
        <v>18.16</v>
      </c>
      <c r="L1801" s="1">
        <v>18.16</v>
      </c>
      <c r="M1801" s="1">
        <v>0</v>
      </c>
      <c r="N1801" s="1">
        <v>18.16</v>
      </c>
      <c r="O1801" s="1">
        <v>1234.8800000000001</v>
      </c>
      <c r="P1801" s="1">
        <v>1271.2</v>
      </c>
      <c r="Q1801" s="1">
        <v>0</v>
      </c>
      <c r="R1801" s="1">
        <v>797.07</v>
      </c>
      <c r="S1801" t="s">
        <v>280</v>
      </c>
      <c r="T1801" s="13">
        <v>45893</v>
      </c>
      <c r="U1801" s="1" t="str">
        <f>IF(ESTIMATIVA[[#This Row],[QT_AREA_REAL]]&gt;0,"1- Colhido","2- à Colher")</f>
        <v>1- Colhido</v>
      </c>
      <c r="V1801" s="1" t="str">
        <f>IF(ESTIMATIVA[[#This Row],[QT_AREA_REST1]]&gt;0,"Reestimativa 1",IF(ESTIMATIVA[[#This Row],[QT_AREA_REAL]]=0,"Reestimativa 1","Realizado"))</f>
        <v>Reestimativa 1</v>
      </c>
      <c r="W1801" s="1" t="str">
        <f>IF(ESTIMATIVA[[#This Row],[QT_AREA_REST2]]&gt;0,"Reestimativa 2",IF(ESTIMATIVA[[#This Row],[QT_AREA_REAL]]=0,"Reestimativa 2","Realizado"))</f>
        <v>Realizado</v>
      </c>
      <c r="X1801" s="1">
        <f>ESTIMATIVA[[#This Row],[QT_AREA_EST]]</f>
        <v>18.16</v>
      </c>
      <c r="Y1801" s="1">
        <f>IF(ESTIMATIVA[[#This Row],[QT_AREA_REST1]]&gt;0,ESTIMATIVA[[#This Row],[QT_AREA_REST1]],
  IF(ESTIMATIVA[[#This Row],[QT_AREA_REAL]]&gt;0,ESTIMATIVA[[#This Row],[QT_AREA_REAL]],ESTIMATIVA[[#This Row],[QT_AREA_EST]]))</f>
        <v>18.16</v>
      </c>
      <c r="Z180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18.16</v>
      </c>
      <c r="AA1801" s="1">
        <f>ESTIMATIVA[[#This Row],[QT_CANA_EST]]</f>
        <v>1234.8800000000001</v>
      </c>
      <c r="AB1801" s="1">
        <f>IF(ESTIMATIVA[[#This Row],[QT_CANA_REST1]]&gt;0,ESTIMATIVA[[#This Row],[QT_CANA_REST1]],
  IF(ESTIMATIVA[[#This Row],[QT_CANA_REAL]]&gt;0,ESTIMATIVA[[#This Row],[QT_CANA_REAL]],ESTIMATIVA[[#This Row],[QT_CANA_EST]]))</f>
        <v>1271.2</v>
      </c>
      <c r="AC180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797.07</v>
      </c>
      <c r="AD1801" s="1">
        <f>IF(ESTIMATIVA[[#This Row],[QT_AREA_REAL]]&gt;0,ESTIMATIVA[[#This Row],[QT_CANA_REAL]],ESTIMATIVA[[#This Row],[QT_CANA_EST]])</f>
        <v>797.07</v>
      </c>
      <c r="AE1801" s="1">
        <f>IF(ESTIMATIVA[[#This Row],[QT_AREA_REAL]]&gt;0,ESTIMATIVA[[#This Row],[QT_CANA_REAL]],ESTIMATIVA[[#This Row],[QT_CANA_REST1]])</f>
        <v>797.07</v>
      </c>
      <c r="AF1801" s="1">
        <f>IF(ESTIMATIVA[[#This Row],[QT_AREA_REAL]]&gt;0,ESTIMATIVA[[#This Row],[QT_CANA_REAL]],ESTIMATIVA[[#This Row],[QT_CANA_REST2]])</f>
        <v>797.07</v>
      </c>
      <c r="AG1801" s="1" t="str">
        <f>IF(COUNTIFS(GEADA!A:A,VALUE(ESTIMATIVA[[#This Row],[CD_UPNIVEL1]]&amp;TEXT(ESTIMATIVA[[#This Row],[CD_UPNIVEL3]],"0000")))&gt;0,"S","N")</f>
        <v>N</v>
      </c>
      <c r="AH180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01" s="55" t="str">
        <f>IF(ESTIMATIVA[[#This Row],[TP_CULTIVO]]="Irrigado",_xlfn.MAXIFS(IRRIGADO!J:J,IRRIGADO!C:C,ESTIMATIVA[[#This Row],[CD_UPNIVEL1]],IRRIGADO!E:E,ESTIMATIVA[[#This Row],[CD_UPNIVEL3]]),"")</f>
        <v/>
      </c>
      <c r="AJ180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01" s="1">
        <f>COUNTIFS(Apresentação!$E$23:$E$29,ESTIMATIVA[[#This Row],[CD_UPNIVEL1]])</f>
        <v>0</v>
      </c>
    </row>
    <row r="1802" spans="1:37" x14ac:dyDescent="0.3">
      <c r="A1802">
        <v>20705</v>
      </c>
      <c r="B1802" t="s">
        <v>28</v>
      </c>
      <c r="C1802">
        <v>97</v>
      </c>
      <c r="D1802">
        <v>6</v>
      </c>
      <c r="E1802" t="s">
        <v>261</v>
      </c>
      <c r="F1802" s="85" t="s">
        <v>331</v>
      </c>
      <c r="G1802"/>
      <c r="H1802" t="s">
        <v>294</v>
      </c>
      <c r="I1802" t="s">
        <v>228</v>
      </c>
      <c r="J1802" t="s">
        <v>177</v>
      </c>
      <c r="K1802" s="1">
        <v>21.96</v>
      </c>
      <c r="L1802" s="1">
        <v>0</v>
      </c>
      <c r="M1802" s="1">
        <v>0</v>
      </c>
      <c r="N1802" s="1">
        <v>21.96</v>
      </c>
      <c r="O1802" s="1">
        <v>1229.76</v>
      </c>
      <c r="P1802" s="1">
        <v>0</v>
      </c>
      <c r="Q1802" s="1">
        <v>0</v>
      </c>
      <c r="R1802" s="1">
        <v>1435.97</v>
      </c>
      <c r="S1802" t="s">
        <v>280</v>
      </c>
      <c r="T1802" s="13">
        <v>45809</v>
      </c>
      <c r="U1802" s="1" t="str">
        <f>IF(ESTIMATIVA[[#This Row],[QT_AREA_REAL]]&gt;0,"1- Colhido","2- à Colher")</f>
        <v>1- Colhido</v>
      </c>
      <c r="V1802" s="1" t="str">
        <f>IF(ESTIMATIVA[[#This Row],[QT_AREA_REST1]]&gt;0,"Reestimativa 1",IF(ESTIMATIVA[[#This Row],[QT_AREA_REAL]]=0,"Reestimativa 1","Realizado"))</f>
        <v>Realizado</v>
      </c>
      <c r="W1802" s="1" t="str">
        <f>IF(ESTIMATIVA[[#This Row],[QT_AREA_REST2]]&gt;0,"Reestimativa 2",IF(ESTIMATIVA[[#This Row],[QT_AREA_REAL]]=0,"Reestimativa 2","Realizado"))</f>
        <v>Realizado</v>
      </c>
      <c r="X1802" s="1">
        <f>ESTIMATIVA[[#This Row],[QT_AREA_EST]]</f>
        <v>21.96</v>
      </c>
      <c r="Y1802" s="1">
        <f>IF(ESTIMATIVA[[#This Row],[QT_AREA_REST1]]&gt;0,ESTIMATIVA[[#This Row],[QT_AREA_REST1]],
  IF(ESTIMATIVA[[#This Row],[QT_AREA_REAL]]&gt;0,ESTIMATIVA[[#This Row],[QT_AREA_REAL]],ESTIMATIVA[[#This Row],[QT_AREA_EST]]))</f>
        <v>21.96</v>
      </c>
      <c r="Z180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21.96</v>
      </c>
      <c r="AA1802" s="1">
        <f>ESTIMATIVA[[#This Row],[QT_CANA_EST]]</f>
        <v>1229.76</v>
      </c>
      <c r="AB1802" s="1">
        <f>IF(ESTIMATIVA[[#This Row],[QT_CANA_REST1]]&gt;0,ESTIMATIVA[[#This Row],[QT_CANA_REST1]],
  IF(ESTIMATIVA[[#This Row],[QT_CANA_REAL]]&gt;0,ESTIMATIVA[[#This Row],[QT_CANA_REAL]],ESTIMATIVA[[#This Row],[QT_CANA_EST]]))</f>
        <v>1435.97</v>
      </c>
      <c r="AC180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1435.97</v>
      </c>
      <c r="AD1802" s="1">
        <f>IF(ESTIMATIVA[[#This Row],[QT_AREA_REAL]]&gt;0,ESTIMATIVA[[#This Row],[QT_CANA_REAL]],ESTIMATIVA[[#This Row],[QT_CANA_EST]])</f>
        <v>1435.97</v>
      </c>
      <c r="AE1802" s="1">
        <f>IF(ESTIMATIVA[[#This Row],[QT_AREA_REAL]]&gt;0,ESTIMATIVA[[#This Row],[QT_CANA_REAL]],ESTIMATIVA[[#This Row],[QT_CANA_REST1]])</f>
        <v>1435.97</v>
      </c>
      <c r="AF1802" s="1">
        <f>IF(ESTIMATIVA[[#This Row],[QT_AREA_REAL]]&gt;0,ESTIMATIVA[[#This Row],[QT_CANA_REAL]],ESTIMATIVA[[#This Row],[QT_CANA_REST2]])</f>
        <v>1435.97</v>
      </c>
      <c r="AG1802" s="1" t="str">
        <f>IF(COUNTIFS(GEADA!A:A,VALUE(ESTIMATIVA[[#This Row],[CD_UPNIVEL1]]&amp;TEXT(ESTIMATIVA[[#This Row],[CD_UPNIVEL3]],"0000")))&gt;0,"S","N")</f>
        <v>N</v>
      </c>
      <c r="AH180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02" s="55" t="str">
        <f>IF(ESTIMATIVA[[#This Row],[TP_CULTIVO]]="Irrigado",_xlfn.MAXIFS(IRRIGADO!J:J,IRRIGADO!C:C,ESTIMATIVA[[#This Row],[CD_UPNIVEL1]],IRRIGADO!E:E,ESTIMATIVA[[#This Row],[CD_UPNIVEL3]]),"")</f>
        <v/>
      </c>
      <c r="AJ180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02" s="1">
        <f>COUNTIFS(Apresentação!$E$23:$E$29,ESTIMATIVA[[#This Row],[CD_UPNIVEL1]])</f>
        <v>0</v>
      </c>
    </row>
    <row r="1803" spans="1:37" x14ac:dyDescent="0.3">
      <c r="A1803">
        <v>20705</v>
      </c>
      <c r="B1803" t="s">
        <v>28</v>
      </c>
      <c r="C1803">
        <v>98</v>
      </c>
      <c r="D1803">
        <v>6</v>
      </c>
      <c r="E1803" t="s">
        <v>261</v>
      </c>
      <c r="F1803" s="85" t="s">
        <v>331</v>
      </c>
      <c r="G1803"/>
      <c r="H1803" t="s">
        <v>294</v>
      </c>
      <c r="I1803" t="s">
        <v>228</v>
      </c>
      <c r="J1803" t="s">
        <v>177</v>
      </c>
      <c r="K1803" s="1">
        <v>17.079999999999998</v>
      </c>
      <c r="L1803" s="1">
        <v>0</v>
      </c>
      <c r="M1803" s="1">
        <v>0</v>
      </c>
      <c r="N1803" s="1">
        <v>17.079999999999998</v>
      </c>
      <c r="O1803" s="1">
        <v>956.48</v>
      </c>
      <c r="P1803" s="1">
        <v>0</v>
      </c>
      <c r="Q1803" s="1">
        <v>0</v>
      </c>
      <c r="R1803" s="1">
        <v>1116.1500000000001</v>
      </c>
      <c r="S1803" t="s">
        <v>280</v>
      </c>
      <c r="T1803" s="13">
        <v>45809</v>
      </c>
      <c r="U1803" s="1" t="str">
        <f>IF(ESTIMATIVA[[#This Row],[QT_AREA_REAL]]&gt;0,"1- Colhido","2- à Colher")</f>
        <v>1- Colhido</v>
      </c>
      <c r="V1803" s="1" t="str">
        <f>IF(ESTIMATIVA[[#This Row],[QT_AREA_REST1]]&gt;0,"Reestimativa 1",IF(ESTIMATIVA[[#This Row],[QT_AREA_REAL]]=0,"Reestimativa 1","Realizado"))</f>
        <v>Realizado</v>
      </c>
      <c r="W1803" s="1" t="str">
        <f>IF(ESTIMATIVA[[#This Row],[QT_AREA_REST2]]&gt;0,"Reestimativa 2",IF(ESTIMATIVA[[#This Row],[QT_AREA_REAL]]=0,"Reestimativa 2","Realizado"))</f>
        <v>Realizado</v>
      </c>
      <c r="X1803" s="1">
        <f>ESTIMATIVA[[#This Row],[QT_AREA_EST]]</f>
        <v>17.079999999999998</v>
      </c>
      <c r="Y1803" s="1">
        <f>IF(ESTIMATIVA[[#This Row],[QT_AREA_REST1]]&gt;0,ESTIMATIVA[[#This Row],[QT_AREA_REST1]],
  IF(ESTIMATIVA[[#This Row],[QT_AREA_REAL]]&gt;0,ESTIMATIVA[[#This Row],[QT_AREA_REAL]],ESTIMATIVA[[#This Row],[QT_AREA_EST]]))</f>
        <v>17.079999999999998</v>
      </c>
      <c r="Z180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17.079999999999998</v>
      </c>
      <c r="AA1803" s="1">
        <f>ESTIMATIVA[[#This Row],[QT_CANA_EST]]</f>
        <v>956.48</v>
      </c>
      <c r="AB1803" s="1">
        <f>IF(ESTIMATIVA[[#This Row],[QT_CANA_REST1]]&gt;0,ESTIMATIVA[[#This Row],[QT_CANA_REST1]],
  IF(ESTIMATIVA[[#This Row],[QT_CANA_REAL]]&gt;0,ESTIMATIVA[[#This Row],[QT_CANA_REAL]],ESTIMATIVA[[#This Row],[QT_CANA_EST]]))</f>
        <v>1116.1500000000001</v>
      </c>
      <c r="AC180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1116.1500000000001</v>
      </c>
      <c r="AD1803" s="1">
        <f>IF(ESTIMATIVA[[#This Row],[QT_AREA_REAL]]&gt;0,ESTIMATIVA[[#This Row],[QT_CANA_REAL]],ESTIMATIVA[[#This Row],[QT_CANA_EST]])</f>
        <v>1116.1500000000001</v>
      </c>
      <c r="AE1803" s="1">
        <f>IF(ESTIMATIVA[[#This Row],[QT_AREA_REAL]]&gt;0,ESTIMATIVA[[#This Row],[QT_CANA_REAL]],ESTIMATIVA[[#This Row],[QT_CANA_REST1]])</f>
        <v>1116.1500000000001</v>
      </c>
      <c r="AF1803" s="1">
        <f>IF(ESTIMATIVA[[#This Row],[QT_AREA_REAL]]&gt;0,ESTIMATIVA[[#This Row],[QT_CANA_REAL]],ESTIMATIVA[[#This Row],[QT_CANA_REST2]])</f>
        <v>1116.1500000000001</v>
      </c>
      <c r="AG1803" s="1" t="str">
        <f>IF(COUNTIFS(GEADA!A:A,VALUE(ESTIMATIVA[[#This Row],[CD_UPNIVEL1]]&amp;TEXT(ESTIMATIVA[[#This Row],[CD_UPNIVEL3]],"0000")))&gt;0,"S","N")</f>
        <v>N</v>
      </c>
      <c r="AH180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03" s="55" t="str">
        <f>IF(ESTIMATIVA[[#This Row],[TP_CULTIVO]]="Irrigado",_xlfn.MAXIFS(IRRIGADO!J:J,IRRIGADO!C:C,ESTIMATIVA[[#This Row],[CD_UPNIVEL1]],IRRIGADO!E:E,ESTIMATIVA[[#This Row],[CD_UPNIVEL3]]),"")</f>
        <v/>
      </c>
      <c r="AJ180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03" s="1">
        <f>COUNTIFS(Apresentação!$E$23:$E$29,ESTIMATIVA[[#This Row],[CD_UPNIVEL1]])</f>
        <v>0</v>
      </c>
    </row>
    <row r="1804" spans="1:37" x14ac:dyDescent="0.3">
      <c r="A1804">
        <v>20705</v>
      </c>
      <c r="B1804" t="s">
        <v>28</v>
      </c>
      <c r="C1804">
        <v>103</v>
      </c>
      <c r="D1804">
        <v>5</v>
      </c>
      <c r="E1804" t="s">
        <v>268</v>
      </c>
      <c r="F1804" s="85" t="s">
        <v>331</v>
      </c>
      <c r="G1804"/>
      <c r="H1804" t="s">
        <v>294</v>
      </c>
      <c r="I1804" t="s">
        <v>194</v>
      </c>
      <c r="J1804" t="s">
        <v>177</v>
      </c>
      <c r="K1804" s="1">
        <v>13.47</v>
      </c>
      <c r="L1804" s="1">
        <v>13.47</v>
      </c>
      <c r="M1804" s="1">
        <v>0</v>
      </c>
      <c r="N1804" s="1">
        <v>13.47</v>
      </c>
      <c r="O1804" s="1">
        <v>835.14</v>
      </c>
      <c r="P1804" s="1">
        <v>848.61</v>
      </c>
      <c r="Q1804" s="1">
        <v>0</v>
      </c>
      <c r="R1804" s="1">
        <v>532.39</v>
      </c>
      <c r="S1804" t="s">
        <v>280</v>
      </c>
      <c r="T1804" s="13">
        <v>45893</v>
      </c>
      <c r="U1804" s="1" t="str">
        <f>IF(ESTIMATIVA[[#This Row],[QT_AREA_REAL]]&gt;0,"1- Colhido","2- à Colher")</f>
        <v>1- Colhido</v>
      </c>
      <c r="V1804" s="1" t="str">
        <f>IF(ESTIMATIVA[[#This Row],[QT_AREA_REST1]]&gt;0,"Reestimativa 1",IF(ESTIMATIVA[[#This Row],[QT_AREA_REAL]]=0,"Reestimativa 1","Realizado"))</f>
        <v>Reestimativa 1</v>
      </c>
      <c r="W1804" s="1" t="str">
        <f>IF(ESTIMATIVA[[#This Row],[QT_AREA_REST2]]&gt;0,"Reestimativa 2",IF(ESTIMATIVA[[#This Row],[QT_AREA_REAL]]=0,"Reestimativa 2","Realizado"))</f>
        <v>Realizado</v>
      </c>
      <c r="X1804" s="1">
        <f>ESTIMATIVA[[#This Row],[QT_AREA_EST]]</f>
        <v>13.47</v>
      </c>
      <c r="Y1804" s="1">
        <f>IF(ESTIMATIVA[[#This Row],[QT_AREA_REST1]]&gt;0,ESTIMATIVA[[#This Row],[QT_AREA_REST1]],
  IF(ESTIMATIVA[[#This Row],[QT_AREA_REAL]]&gt;0,ESTIMATIVA[[#This Row],[QT_AREA_REAL]],ESTIMATIVA[[#This Row],[QT_AREA_EST]]))</f>
        <v>13.47</v>
      </c>
      <c r="Z180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13.47</v>
      </c>
      <c r="AA1804" s="1">
        <f>ESTIMATIVA[[#This Row],[QT_CANA_EST]]</f>
        <v>835.14</v>
      </c>
      <c r="AB1804" s="1">
        <f>IF(ESTIMATIVA[[#This Row],[QT_CANA_REST1]]&gt;0,ESTIMATIVA[[#This Row],[QT_CANA_REST1]],
  IF(ESTIMATIVA[[#This Row],[QT_CANA_REAL]]&gt;0,ESTIMATIVA[[#This Row],[QT_CANA_REAL]],ESTIMATIVA[[#This Row],[QT_CANA_EST]]))</f>
        <v>848.61</v>
      </c>
      <c r="AC180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532.39</v>
      </c>
      <c r="AD1804" s="1">
        <f>IF(ESTIMATIVA[[#This Row],[QT_AREA_REAL]]&gt;0,ESTIMATIVA[[#This Row],[QT_CANA_REAL]],ESTIMATIVA[[#This Row],[QT_CANA_EST]])</f>
        <v>532.39</v>
      </c>
      <c r="AE1804" s="1">
        <f>IF(ESTIMATIVA[[#This Row],[QT_AREA_REAL]]&gt;0,ESTIMATIVA[[#This Row],[QT_CANA_REAL]],ESTIMATIVA[[#This Row],[QT_CANA_REST1]])</f>
        <v>532.39</v>
      </c>
      <c r="AF1804" s="1">
        <f>IF(ESTIMATIVA[[#This Row],[QT_AREA_REAL]]&gt;0,ESTIMATIVA[[#This Row],[QT_CANA_REAL]],ESTIMATIVA[[#This Row],[QT_CANA_REST2]])</f>
        <v>532.39</v>
      </c>
      <c r="AG1804" s="1" t="str">
        <f>IF(COUNTIFS(GEADA!A:A,VALUE(ESTIMATIVA[[#This Row],[CD_UPNIVEL1]]&amp;TEXT(ESTIMATIVA[[#This Row],[CD_UPNIVEL3]],"0000")))&gt;0,"S","N")</f>
        <v>N</v>
      </c>
      <c r="AH180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04" s="55" t="str">
        <f>IF(ESTIMATIVA[[#This Row],[TP_CULTIVO]]="Irrigado",_xlfn.MAXIFS(IRRIGADO!J:J,IRRIGADO!C:C,ESTIMATIVA[[#This Row],[CD_UPNIVEL1]],IRRIGADO!E:E,ESTIMATIVA[[#This Row],[CD_UPNIVEL3]]),"")</f>
        <v/>
      </c>
      <c r="AJ180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04" s="1">
        <f>COUNTIFS(Apresentação!$E$23:$E$29,ESTIMATIVA[[#This Row],[CD_UPNIVEL1]])</f>
        <v>0</v>
      </c>
    </row>
    <row r="1805" spans="1:37" x14ac:dyDescent="0.3">
      <c r="A1805">
        <v>20705</v>
      </c>
      <c r="B1805" t="s">
        <v>28</v>
      </c>
      <c r="C1805">
        <v>104</v>
      </c>
      <c r="D1805">
        <v>5</v>
      </c>
      <c r="E1805" t="s">
        <v>268</v>
      </c>
      <c r="F1805" s="85" t="s">
        <v>332</v>
      </c>
      <c r="G1805"/>
      <c r="H1805" t="s">
        <v>294</v>
      </c>
      <c r="I1805" t="s">
        <v>194</v>
      </c>
      <c r="J1805" t="s">
        <v>177</v>
      </c>
      <c r="K1805" s="1">
        <v>19</v>
      </c>
      <c r="L1805" s="1">
        <v>19</v>
      </c>
      <c r="M1805" s="1">
        <v>0</v>
      </c>
      <c r="N1805" s="1">
        <v>19</v>
      </c>
      <c r="O1805" s="1">
        <v>1178</v>
      </c>
      <c r="P1805" s="1">
        <v>1197</v>
      </c>
      <c r="Q1805" s="1">
        <v>0</v>
      </c>
      <c r="R1805" s="1">
        <v>750.66</v>
      </c>
      <c r="S1805" t="s">
        <v>280</v>
      </c>
      <c r="T1805" s="13">
        <v>45893</v>
      </c>
      <c r="U1805" s="1" t="str">
        <f>IF(ESTIMATIVA[[#This Row],[QT_AREA_REAL]]&gt;0,"1- Colhido","2- à Colher")</f>
        <v>1- Colhido</v>
      </c>
      <c r="V1805" s="1" t="str">
        <f>IF(ESTIMATIVA[[#This Row],[QT_AREA_REST1]]&gt;0,"Reestimativa 1",IF(ESTIMATIVA[[#This Row],[QT_AREA_REAL]]=0,"Reestimativa 1","Realizado"))</f>
        <v>Reestimativa 1</v>
      </c>
      <c r="W1805" s="1" t="str">
        <f>IF(ESTIMATIVA[[#This Row],[QT_AREA_REST2]]&gt;0,"Reestimativa 2",IF(ESTIMATIVA[[#This Row],[QT_AREA_REAL]]=0,"Reestimativa 2","Realizado"))</f>
        <v>Realizado</v>
      </c>
      <c r="X1805" s="1">
        <f>ESTIMATIVA[[#This Row],[QT_AREA_EST]]</f>
        <v>19</v>
      </c>
      <c r="Y1805" s="1">
        <f>IF(ESTIMATIVA[[#This Row],[QT_AREA_REST1]]&gt;0,ESTIMATIVA[[#This Row],[QT_AREA_REST1]],
  IF(ESTIMATIVA[[#This Row],[QT_AREA_REAL]]&gt;0,ESTIMATIVA[[#This Row],[QT_AREA_REAL]],ESTIMATIVA[[#This Row],[QT_AREA_EST]]))</f>
        <v>19</v>
      </c>
      <c r="Z180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</v>
      </c>
      <c r="AA1805" s="1">
        <f>ESTIMATIVA[[#This Row],[QT_CANA_EST]]</f>
        <v>1178</v>
      </c>
      <c r="AB1805" s="1">
        <f>IF(ESTIMATIVA[[#This Row],[QT_CANA_REST1]]&gt;0,ESTIMATIVA[[#This Row],[QT_CANA_REST1]],
  IF(ESTIMATIVA[[#This Row],[QT_CANA_REAL]]&gt;0,ESTIMATIVA[[#This Row],[QT_CANA_REAL]],ESTIMATIVA[[#This Row],[QT_CANA_EST]]))</f>
        <v>1197</v>
      </c>
      <c r="AC180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750.66</v>
      </c>
      <c r="AD1805" s="1">
        <f>IF(ESTIMATIVA[[#This Row],[QT_AREA_REAL]]&gt;0,ESTIMATIVA[[#This Row],[QT_CANA_REAL]],ESTIMATIVA[[#This Row],[QT_CANA_EST]])</f>
        <v>750.66</v>
      </c>
      <c r="AE1805" s="1">
        <f>IF(ESTIMATIVA[[#This Row],[QT_AREA_REAL]]&gt;0,ESTIMATIVA[[#This Row],[QT_CANA_REAL]],ESTIMATIVA[[#This Row],[QT_CANA_REST1]])</f>
        <v>750.66</v>
      </c>
      <c r="AF1805" s="1">
        <f>IF(ESTIMATIVA[[#This Row],[QT_AREA_REAL]]&gt;0,ESTIMATIVA[[#This Row],[QT_CANA_REAL]],ESTIMATIVA[[#This Row],[QT_CANA_REST2]])</f>
        <v>750.66</v>
      </c>
      <c r="AG1805" s="1" t="str">
        <f>IF(COUNTIFS(GEADA!A:A,VALUE(ESTIMATIVA[[#This Row],[CD_UPNIVEL1]]&amp;TEXT(ESTIMATIVA[[#This Row],[CD_UPNIVEL3]],"0000")))&gt;0,"S","N")</f>
        <v>N</v>
      </c>
      <c r="AH180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05" s="55" t="str">
        <f>IF(ESTIMATIVA[[#This Row],[TP_CULTIVO]]="Irrigado",_xlfn.MAXIFS(IRRIGADO!J:J,IRRIGADO!C:C,ESTIMATIVA[[#This Row],[CD_UPNIVEL1]],IRRIGADO!E:E,ESTIMATIVA[[#This Row],[CD_UPNIVEL3]]),"")</f>
        <v/>
      </c>
      <c r="AJ180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05" s="1">
        <f>COUNTIFS(Apresentação!$E$23:$E$29,ESTIMATIVA[[#This Row],[CD_UPNIVEL1]])</f>
        <v>0</v>
      </c>
    </row>
    <row r="1806" spans="1:37" x14ac:dyDescent="0.3">
      <c r="A1806">
        <v>20705</v>
      </c>
      <c r="B1806" t="s">
        <v>28</v>
      </c>
      <c r="C1806">
        <v>105</v>
      </c>
      <c r="D1806">
        <v>6</v>
      </c>
      <c r="E1806" t="s">
        <v>261</v>
      </c>
      <c r="F1806" s="85" t="s">
        <v>332</v>
      </c>
      <c r="G1806"/>
      <c r="H1806" t="s">
        <v>294</v>
      </c>
      <c r="I1806" t="s">
        <v>194</v>
      </c>
      <c r="J1806" t="s">
        <v>177</v>
      </c>
      <c r="K1806" s="1">
        <v>13.33</v>
      </c>
      <c r="L1806" s="1">
        <v>13.33</v>
      </c>
      <c r="M1806" s="1">
        <v>0</v>
      </c>
      <c r="N1806" s="1">
        <v>13.33</v>
      </c>
      <c r="O1806" s="1">
        <v>799.8</v>
      </c>
      <c r="P1806" s="1">
        <v>813.13</v>
      </c>
      <c r="Q1806" s="1">
        <v>0</v>
      </c>
      <c r="R1806" s="1">
        <v>509.82</v>
      </c>
      <c r="S1806" t="s">
        <v>280</v>
      </c>
      <c r="T1806" s="13">
        <v>45893</v>
      </c>
      <c r="U1806" s="1" t="str">
        <f>IF(ESTIMATIVA[[#This Row],[QT_AREA_REAL]]&gt;0,"1- Colhido","2- à Colher")</f>
        <v>1- Colhido</v>
      </c>
      <c r="V1806" s="1" t="str">
        <f>IF(ESTIMATIVA[[#This Row],[QT_AREA_REST1]]&gt;0,"Reestimativa 1",IF(ESTIMATIVA[[#This Row],[QT_AREA_REAL]]=0,"Reestimativa 1","Realizado"))</f>
        <v>Reestimativa 1</v>
      </c>
      <c r="W1806" s="1" t="str">
        <f>IF(ESTIMATIVA[[#This Row],[QT_AREA_REST2]]&gt;0,"Reestimativa 2",IF(ESTIMATIVA[[#This Row],[QT_AREA_REAL]]=0,"Reestimativa 2","Realizado"))</f>
        <v>Realizado</v>
      </c>
      <c r="X1806" s="1">
        <f>ESTIMATIVA[[#This Row],[QT_AREA_EST]]</f>
        <v>13.33</v>
      </c>
      <c r="Y1806" s="1">
        <f>IF(ESTIMATIVA[[#This Row],[QT_AREA_REST1]]&gt;0,ESTIMATIVA[[#This Row],[QT_AREA_REST1]],
  IF(ESTIMATIVA[[#This Row],[QT_AREA_REAL]]&gt;0,ESTIMATIVA[[#This Row],[QT_AREA_REAL]],ESTIMATIVA[[#This Row],[QT_AREA_EST]]))</f>
        <v>13.33</v>
      </c>
      <c r="Z180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13.33</v>
      </c>
      <c r="AA1806" s="1">
        <f>ESTIMATIVA[[#This Row],[QT_CANA_EST]]</f>
        <v>799.8</v>
      </c>
      <c r="AB1806" s="1">
        <f>IF(ESTIMATIVA[[#This Row],[QT_CANA_REST1]]&gt;0,ESTIMATIVA[[#This Row],[QT_CANA_REST1]],
  IF(ESTIMATIVA[[#This Row],[QT_CANA_REAL]]&gt;0,ESTIMATIVA[[#This Row],[QT_CANA_REAL]],ESTIMATIVA[[#This Row],[QT_CANA_EST]]))</f>
        <v>813.13</v>
      </c>
      <c r="AC180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509.82</v>
      </c>
      <c r="AD1806" s="1">
        <f>IF(ESTIMATIVA[[#This Row],[QT_AREA_REAL]]&gt;0,ESTIMATIVA[[#This Row],[QT_CANA_REAL]],ESTIMATIVA[[#This Row],[QT_CANA_EST]])</f>
        <v>509.82</v>
      </c>
      <c r="AE1806" s="1">
        <f>IF(ESTIMATIVA[[#This Row],[QT_AREA_REAL]]&gt;0,ESTIMATIVA[[#This Row],[QT_CANA_REAL]],ESTIMATIVA[[#This Row],[QT_CANA_REST1]])</f>
        <v>509.82</v>
      </c>
      <c r="AF1806" s="1">
        <f>IF(ESTIMATIVA[[#This Row],[QT_AREA_REAL]]&gt;0,ESTIMATIVA[[#This Row],[QT_CANA_REAL]],ESTIMATIVA[[#This Row],[QT_CANA_REST2]])</f>
        <v>509.82</v>
      </c>
      <c r="AG1806" s="1" t="str">
        <f>IF(COUNTIFS(GEADA!A:A,VALUE(ESTIMATIVA[[#This Row],[CD_UPNIVEL1]]&amp;TEXT(ESTIMATIVA[[#This Row],[CD_UPNIVEL3]],"0000")))&gt;0,"S","N")</f>
        <v>N</v>
      </c>
      <c r="AH180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06" s="55" t="str">
        <f>IF(ESTIMATIVA[[#This Row],[TP_CULTIVO]]="Irrigado",_xlfn.MAXIFS(IRRIGADO!J:J,IRRIGADO!C:C,ESTIMATIVA[[#This Row],[CD_UPNIVEL1]],IRRIGADO!E:E,ESTIMATIVA[[#This Row],[CD_UPNIVEL3]]),"")</f>
        <v/>
      </c>
      <c r="AJ180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06" s="1">
        <f>COUNTIFS(Apresentação!$E$23:$E$29,ESTIMATIVA[[#This Row],[CD_UPNIVEL1]])</f>
        <v>0</v>
      </c>
    </row>
    <row r="1807" spans="1:37" x14ac:dyDescent="0.3">
      <c r="A1807">
        <v>20705</v>
      </c>
      <c r="B1807" t="s">
        <v>28</v>
      </c>
      <c r="C1807">
        <v>106</v>
      </c>
      <c r="D1807">
        <v>5</v>
      </c>
      <c r="E1807" t="s">
        <v>268</v>
      </c>
      <c r="F1807" s="85" t="s">
        <v>332</v>
      </c>
      <c r="G1807"/>
      <c r="H1807" t="s">
        <v>294</v>
      </c>
      <c r="I1807" t="s">
        <v>200</v>
      </c>
      <c r="J1807" t="s">
        <v>177</v>
      </c>
      <c r="K1807" s="1">
        <v>32.090000000000003</v>
      </c>
      <c r="L1807" s="1">
        <v>32.090000000000003</v>
      </c>
      <c r="M1807" s="1">
        <v>0</v>
      </c>
      <c r="N1807" s="1">
        <v>32.090000000000003</v>
      </c>
      <c r="O1807" s="1">
        <v>1925.4</v>
      </c>
      <c r="P1807" s="1">
        <v>1957.49</v>
      </c>
      <c r="Q1807" s="1">
        <v>0</v>
      </c>
      <c r="R1807" s="1">
        <v>1178.46</v>
      </c>
      <c r="S1807" t="s">
        <v>280</v>
      </c>
      <c r="T1807" s="13">
        <v>45872</v>
      </c>
      <c r="U1807" s="1" t="str">
        <f>IF(ESTIMATIVA[[#This Row],[QT_AREA_REAL]]&gt;0,"1- Colhido","2- à Colher")</f>
        <v>1- Colhido</v>
      </c>
      <c r="V1807" s="1" t="str">
        <f>IF(ESTIMATIVA[[#This Row],[QT_AREA_REST1]]&gt;0,"Reestimativa 1",IF(ESTIMATIVA[[#This Row],[QT_AREA_REAL]]=0,"Reestimativa 1","Realizado"))</f>
        <v>Reestimativa 1</v>
      </c>
      <c r="W1807" s="1" t="str">
        <f>IF(ESTIMATIVA[[#This Row],[QT_AREA_REST2]]&gt;0,"Reestimativa 2",IF(ESTIMATIVA[[#This Row],[QT_AREA_REAL]]=0,"Reestimativa 2","Realizado"))</f>
        <v>Realizado</v>
      </c>
      <c r="X1807" s="1">
        <f>ESTIMATIVA[[#This Row],[QT_AREA_EST]]</f>
        <v>32.090000000000003</v>
      </c>
      <c r="Y1807" s="1">
        <f>IF(ESTIMATIVA[[#This Row],[QT_AREA_REST1]]&gt;0,ESTIMATIVA[[#This Row],[QT_AREA_REST1]],
  IF(ESTIMATIVA[[#This Row],[QT_AREA_REAL]]&gt;0,ESTIMATIVA[[#This Row],[QT_AREA_REAL]],ESTIMATIVA[[#This Row],[QT_AREA_EST]]))</f>
        <v>32.090000000000003</v>
      </c>
      <c r="Z180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32.090000000000003</v>
      </c>
      <c r="AA1807" s="1">
        <f>ESTIMATIVA[[#This Row],[QT_CANA_EST]]</f>
        <v>1925.4</v>
      </c>
      <c r="AB1807" s="1">
        <f>IF(ESTIMATIVA[[#This Row],[QT_CANA_REST1]]&gt;0,ESTIMATIVA[[#This Row],[QT_CANA_REST1]],
  IF(ESTIMATIVA[[#This Row],[QT_CANA_REAL]]&gt;0,ESTIMATIVA[[#This Row],[QT_CANA_REAL]],ESTIMATIVA[[#This Row],[QT_CANA_EST]]))</f>
        <v>1957.49</v>
      </c>
      <c r="AC180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1178.46</v>
      </c>
      <c r="AD1807" s="1">
        <f>IF(ESTIMATIVA[[#This Row],[QT_AREA_REAL]]&gt;0,ESTIMATIVA[[#This Row],[QT_CANA_REAL]],ESTIMATIVA[[#This Row],[QT_CANA_EST]])</f>
        <v>1178.46</v>
      </c>
      <c r="AE1807" s="1">
        <f>IF(ESTIMATIVA[[#This Row],[QT_AREA_REAL]]&gt;0,ESTIMATIVA[[#This Row],[QT_CANA_REAL]],ESTIMATIVA[[#This Row],[QT_CANA_REST1]])</f>
        <v>1178.46</v>
      </c>
      <c r="AF1807" s="1">
        <f>IF(ESTIMATIVA[[#This Row],[QT_AREA_REAL]]&gt;0,ESTIMATIVA[[#This Row],[QT_CANA_REAL]],ESTIMATIVA[[#This Row],[QT_CANA_REST2]])</f>
        <v>1178.46</v>
      </c>
      <c r="AG1807" s="1" t="str">
        <f>IF(COUNTIFS(GEADA!A:A,VALUE(ESTIMATIVA[[#This Row],[CD_UPNIVEL1]]&amp;TEXT(ESTIMATIVA[[#This Row],[CD_UPNIVEL3]],"0000")))&gt;0,"S","N")</f>
        <v>N</v>
      </c>
      <c r="AH180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07" s="55" t="str">
        <f>IF(ESTIMATIVA[[#This Row],[TP_CULTIVO]]="Irrigado",_xlfn.MAXIFS(IRRIGADO!J:J,IRRIGADO!C:C,ESTIMATIVA[[#This Row],[CD_UPNIVEL1]],IRRIGADO!E:E,ESTIMATIVA[[#This Row],[CD_UPNIVEL3]]),"")</f>
        <v/>
      </c>
      <c r="AJ180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07" s="1">
        <f>COUNTIFS(Apresentação!$E$23:$E$29,ESTIMATIVA[[#This Row],[CD_UPNIVEL1]])</f>
        <v>0</v>
      </c>
    </row>
    <row r="1808" spans="1:37" x14ac:dyDescent="0.3">
      <c r="A1808">
        <v>20705</v>
      </c>
      <c r="B1808" t="s">
        <v>28</v>
      </c>
      <c r="C1808">
        <v>107</v>
      </c>
      <c r="D1808">
        <v>5</v>
      </c>
      <c r="E1808" t="s">
        <v>268</v>
      </c>
      <c r="F1808" s="85" t="s">
        <v>331</v>
      </c>
      <c r="G1808"/>
      <c r="H1808" t="s">
        <v>294</v>
      </c>
      <c r="I1808" t="s">
        <v>200</v>
      </c>
      <c r="J1808" t="s">
        <v>177</v>
      </c>
      <c r="K1808" s="1">
        <v>12.04</v>
      </c>
      <c r="L1808" s="1">
        <v>12.04</v>
      </c>
      <c r="M1808" s="1">
        <v>0</v>
      </c>
      <c r="N1808" s="1">
        <v>12.04</v>
      </c>
      <c r="O1808" s="1">
        <v>746.48</v>
      </c>
      <c r="P1808" s="1">
        <v>758.52</v>
      </c>
      <c r="Q1808" s="1">
        <v>0</v>
      </c>
      <c r="R1808" s="1">
        <v>457.04</v>
      </c>
      <c r="S1808" t="s">
        <v>280</v>
      </c>
      <c r="T1808" s="13">
        <v>45872</v>
      </c>
      <c r="U1808" s="1" t="str">
        <f>IF(ESTIMATIVA[[#This Row],[QT_AREA_REAL]]&gt;0,"1- Colhido","2- à Colher")</f>
        <v>1- Colhido</v>
      </c>
      <c r="V1808" s="1" t="str">
        <f>IF(ESTIMATIVA[[#This Row],[QT_AREA_REST1]]&gt;0,"Reestimativa 1",IF(ESTIMATIVA[[#This Row],[QT_AREA_REAL]]=0,"Reestimativa 1","Realizado"))</f>
        <v>Reestimativa 1</v>
      </c>
      <c r="W1808" s="1" t="str">
        <f>IF(ESTIMATIVA[[#This Row],[QT_AREA_REST2]]&gt;0,"Reestimativa 2",IF(ESTIMATIVA[[#This Row],[QT_AREA_REAL]]=0,"Reestimativa 2","Realizado"))</f>
        <v>Realizado</v>
      </c>
      <c r="X1808" s="1">
        <f>ESTIMATIVA[[#This Row],[QT_AREA_EST]]</f>
        <v>12.04</v>
      </c>
      <c r="Y1808" s="1">
        <f>IF(ESTIMATIVA[[#This Row],[QT_AREA_REST1]]&gt;0,ESTIMATIVA[[#This Row],[QT_AREA_REST1]],
  IF(ESTIMATIVA[[#This Row],[QT_AREA_REAL]]&gt;0,ESTIMATIVA[[#This Row],[QT_AREA_REAL]],ESTIMATIVA[[#This Row],[QT_AREA_EST]]))</f>
        <v>12.04</v>
      </c>
      <c r="Z180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12.04</v>
      </c>
      <c r="AA1808" s="1">
        <f>ESTIMATIVA[[#This Row],[QT_CANA_EST]]</f>
        <v>746.48</v>
      </c>
      <c r="AB1808" s="1">
        <f>IF(ESTIMATIVA[[#This Row],[QT_CANA_REST1]]&gt;0,ESTIMATIVA[[#This Row],[QT_CANA_REST1]],
  IF(ESTIMATIVA[[#This Row],[QT_CANA_REAL]]&gt;0,ESTIMATIVA[[#This Row],[QT_CANA_REAL]],ESTIMATIVA[[#This Row],[QT_CANA_EST]]))</f>
        <v>758.52</v>
      </c>
      <c r="AC180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457.04</v>
      </c>
      <c r="AD1808" s="1">
        <f>IF(ESTIMATIVA[[#This Row],[QT_AREA_REAL]]&gt;0,ESTIMATIVA[[#This Row],[QT_CANA_REAL]],ESTIMATIVA[[#This Row],[QT_CANA_EST]])</f>
        <v>457.04</v>
      </c>
      <c r="AE1808" s="1">
        <f>IF(ESTIMATIVA[[#This Row],[QT_AREA_REAL]]&gt;0,ESTIMATIVA[[#This Row],[QT_CANA_REAL]],ESTIMATIVA[[#This Row],[QT_CANA_REST1]])</f>
        <v>457.04</v>
      </c>
      <c r="AF1808" s="1">
        <f>IF(ESTIMATIVA[[#This Row],[QT_AREA_REAL]]&gt;0,ESTIMATIVA[[#This Row],[QT_CANA_REAL]],ESTIMATIVA[[#This Row],[QT_CANA_REST2]])</f>
        <v>457.04</v>
      </c>
      <c r="AG1808" s="1" t="str">
        <f>IF(COUNTIFS(GEADA!A:A,VALUE(ESTIMATIVA[[#This Row],[CD_UPNIVEL1]]&amp;TEXT(ESTIMATIVA[[#This Row],[CD_UPNIVEL3]],"0000")))&gt;0,"S","N")</f>
        <v>N</v>
      </c>
      <c r="AH180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08" s="55" t="str">
        <f>IF(ESTIMATIVA[[#This Row],[TP_CULTIVO]]="Irrigado",_xlfn.MAXIFS(IRRIGADO!J:J,IRRIGADO!C:C,ESTIMATIVA[[#This Row],[CD_UPNIVEL1]],IRRIGADO!E:E,ESTIMATIVA[[#This Row],[CD_UPNIVEL3]]),"")</f>
        <v/>
      </c>
      <c r="AJ180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08" s="1">
        <f>COUNTIFS(Apresentação!$E$23:$E$29,ESTIMATIVA[[#This Row],[CD_UPNIVEL1]])</f>
        <v>0</v>
      </c>
    </row>
    <row r="1809" spans="1:37" x14ac:dyDescent="0.3">
      <c r="A1809">
        <v>20705</v>
      </c>
      <c r="B1809" t="s">
        <v>28</v>
      </c>
      <c r="C1809">
        <v>108</v>
      </c>
      <c r="D1809">
        <v>6</v>
      </c>
      <c r="E1809" t="s">
        <v>261</v>
      </c>
      <c r="F1809" s="85" t="s">
        <v>331</v>
      </c>
      <c r="G1809"/>
      <c r="H1809" t="s">
        <v>294</v>
      </c>
      <c r="I1809" t="s">
        <v>194</v>
      </c>
      <c r="J1809" t="s">
        <v>177</v>
      </c>
      <c r="K1809" s="1">
        <v>9.06</v>
      </c>
      <c r="L1809" s="1">
        <v>9.06</v>
      </c>
      <c r="M1809" s="1">
        <v>0</v>
      </c>
      <c r="N1809" s="1">
        <v>9.06</v>
      </c>
      <c r="O1809" s="1">
        <v>561.72</v>
      </c>
      <c r="P1809" s="1">
        <v>570.78</v>
      </c>
      <c r="Q1809" s="1">
        <v>0</v>
      </c>
      <c r="R1809" s="1">
        <v>358.83</v>
      </c>
      <c r="S1809" t="s">
        <v>280</v>
      </c>
      <c r="T1809" s="13">
        <v>45893</v>
      </c>
      <c r="U1809" s="1" t="str">
        <f>IF(ESTIMATIVA[[#This Row],[QT_AREA_REAL]]&gt;0,"1- Colhido","2- à Colher")</f>
        <v>1- Colhido</v>
      </c>
      <c r="V1809" s="1" t="str">
        <f>IF(ESTIMATIVA[[#This Row],[QT_AREA_REST1]]&gt;0,"Reestimativa 1",IF(ESTIMATIVA[[#This Row],[QT_AREA_REAL]]=0,"Reestimativa 1","Realizado"))</f>
        <v>Reestimativa 1</v>
      </c>
      <c r="W1809" s="1" t="str">
        <f>IF(ESTIMATIVA[[#This Row],[QT_AREA_REST2]]&gt;0,"Reestimativa 2",IF(ESTIMATIVA[[#This Row],[QT_AREA_REAL]]=0,"Reestimativa 2","Realizado"))</f>
        <v>Realizado</v>
      </c>
      <c r="X1809" s="1">
        <f>ESTIMATIVA[[#This Row],[QT_AREA_EST]]</f>
        <v>9.06</v>
      </c>
      <c r="Y1809" s="1">
        <f>IF(ESTIMATIVA[[#This Row],[QT_AREA_REST1]]&gt;0,ESTIMATIVA[[#This Row],[QT_AREA_REST1]],
  IF(ESTIMATIVA[[#This Row],[QT_AREA_REAL]]&gt;0,ESTIMATIVA[[#This Row],[QT_AREA_REAL]],ESTIMATIVA[[#This Row],[QT_AREA_EST]]))</f>
        <v>9.06</v>
      </c>
      <c r="Z180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9.06</v>
      </c>
      <c r="AA1809" s="1">
        <f>ESTIMATIVA[[#This Row],[QT_CANA_EST]]</f>
        <v>561.72</v>
      </c>
      <c r="AB1809" s="1">
        <f>IF(ESTIMATIVA[[#This Row],[QT_CANA_REST1]]&gt;0,ESTIMATIVA[[#This Row],[QT_CANA_REST1]],
  IF(ESTIMATIVA[[#This Row],[QT_CANA_REAL]]&gt;0,ESTIMATIVA[[#This Row],[QT_CANA_REAL]],ESTIMATIVA[[#This Row],[QT_CANA_EST]]))</f>
        <v>570.78</v>
      </c>
      <c r="AC180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358.83</v>
      </c>
      <c r="AD1809" s="1">
        <f>IF(ESTIMATIVA[[#This Row],[QT_AREA_REAL]]&gt;0,ESTIMATIVA[[#This Row],[QT_CANA_REAL]],ESTIMATIVA[[#This Row],[QT_CANA_EST]])</f>
        <v>358.83</v>
      </c>
      <c r="AE1809" s="1">
        <f>IF(ESTIMATIVA[[#This Row],[QT_AREA_REAL]]&gt;0,ESTIMATIVA[[#This Row],[QT_CANA_REAL]],ESTIMATIVA[[#This Row],[QT_CANA_REST1]])</f>
        <v>358.83</v>
      </c>
      <c r="AF1809" s="1">
        <f>IF(ESTIMATIVA[[#This Row],[QT_AREA_REAL]]&gt;0,ESTIMATIVA[[#This Row],[QT_CANA_REAL]],ESTIMATIVA[[#This Row],[QT_CANA_REST2]])</f>
        <v>358.83</v>
      </c>
      <c r="AG1809" s="1" t="str">
        <f>IF(COUNTIFS(GEADA!A:A,VALUE(ESTIMATIVA[[#This Row],[CD_UPNIVEL1]]&amp;TEXT(ESTIMATIVA[[#This Row],[CD_UPNIVEL3]],"0000")))&gt;0,"S","N")</f>
        <v>N</v>
      </c>
      <c r="AH180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09" s="55" t="str">
        <f>IF(ESTIMATIVA[[#This Row],[TP_CULTIVO]]="Irrigado",_xlfn.MAXIFS(IRRIGADO!J:J,IRRIGADO!C:C,ESTIMATIVA[[#This Row],[CD_UPNIVEL1]],IRRIGADO!E:E,ESTIMATIVA[[#This Row],[CD_UPNIVEL3]]),"")</f>
        <v/>
      </c>
      <c r="AJ180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09" s="1">
        <f>COUNTIFS(Apresentação!$E$23:$E$29,ESTIMATIVA[[#This Row],[CD_UPNIVEL1]])</f>
        <v>0</v>
      </c>
    </row>
    <row r="1810" spans="1:37" x14ac:dyDescent="0.3">
      <c r="A1810">
        <v>20705</v>
      </c>
      <c r="B1810" t="s">
        <v>28</v>
      </c>
      <c r="C1810">
        <v>109</v>
      </c>
      <c r="D1810">
        <v>5</v>
      </c>
      <c r="E1810" t="s">
        <v>268</v>
      </c>
      <c r="F1810" s="85" t="s">
        <v>331</v>
      </c>
      <c r="G1810"/>
      <c r="H1810" t="s">
        <v>294</v>
      </c>
      <c r="I1810" t="s">
        <v>200</v>
      </c>
      <c r="J1810" t="s">
        <v>177</v>
      </c>
      <c r="K1810" s="1">
        <v>8.1999999999999993</v>
      </c>
      <c r="L1810" s="1">
        <v>8.1999999999999993</v>
      </c>
      <c r="M1810" s="1">
        <v>0</v>
      </c>
      <c r="N1810" s="1">
        <v>8.1999999999999993</v>
      </c>
      <c r="O1810" s="1">
        <v>508.4</v>
      </c>
      <c r="P1810" s="1">
        <v>516.6</v>
      </c>
      <c r="Q1810" s="1">
        <v>0</v>
      </c>
      <c r="R1810" s="1">
        <v>311.39</v>
      </c>
      <c r="S1810" t="s">
        <v>280</v>
      </c>
      <c r="T1810" s="13">
        <v>45872</v>
      </c>
      <c r="U1810" s="1" t="str">
        <f>IF(ESTIMATIVA[[#This Row],[QT_AREA_REAL]]&gt;0,"1- Colhido","2- à Colher")</f>
        <v>1- Colhido</v>
      </c>
      <c r="V1810" s="1" t="str">
        <f>IF(ESTIMATIVA[[#This Row],[QT_AREA_REST1]]&gt;0,"Reestimativa 1",IF(ESTIMATIVA[[#This Row],[QT_AREA_REAL]]=0,"Reestimativa 1","Realizado"))</f>
        <v>Reestimativa 1</v>
      </c>
      <c r="W1810" s="1" t="str">
        <f>IF(ESTIMATIVA[[#This Row],[QT_AREA_REST2]]&gt;0,"Reestimativa 2",IF(ESTIMATIVA[[#This Row],[QT_AREA_REAL]]=0,"Reestimativa 2","Realizado"))</f>
        <v>Realizado</v>
      </c>
      <c r="X1810" s="1">
        <f>ESTIMATIVA[[#This Row],[QT_AREA_EST]]</f>
        <v>8.1999999999999993</v>
      </c>
      <c r="Y1810" s="1">
        <f>IF(ESTIMATIVA[[#This Row],[QT_AREA_REST1]]&gt;0,ESTIMATIVA[[#This Row],[QT_AREA_REST1]],
  IF(ESTIMATIVA[[#This Row],[QT_AREA_REAL]]&gt;0,ESTIMATIVA[[#This Row],[QT_AREA_REAL]],ESTIMATIVA[[#This Row],[QT_AREA_EST]]))</f>
        <v>8.1999999999999993</v>
      </c>
      <c r="Z181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8.1999999999999993</v>
      </c>
      <c r="AA1810" s="1">
        <f>ESTIMATIVA[[#This Row],[QT_CANA_EST]]</f>
        <v>508.4</v>
      </c>
      <c r="AB1810" s="1">
        <f>IF(ESTIMATIVA[[#This Row],[QT_CANA_REST1]]&gt;0,ESTIMATIVA[[#This Row],[QT_CANA_REST1]],
  IF(ESTIMATIVA[[#This Row],[QT_CANA_REAL]]&gt;0,ESTIMATIVA[[#This Row],[QT_CANA_REAL]],ESTIMATIVA[[#This Row],[QT_CANA_EST]]))</f>
        <v>516.6</v>
      </c>
      <c r="AC181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311.39</v>
      </c>
      <c r="AD1810" s="1">
        <f>IF(ESTIMATIVA[[#This Row],[QT_AREA_REAL]]&gt;0,ESTIMATIVA[[#This Row],[QT_CANA_REAL]],ESTIMATIVA[[#This Row],[QT_CANA_EST]])</f>
        <v>311.39</v>
      </c>
      <c r="AE1810" s="1">
        <f>IF(ESTIMATIVA[[#This Row],[QT_AREA_REAL]]&gt;0,ESTIMATIVA[[#This Row],[QT_CANA_REAL]],ESTIMATIVA[[#This Row],[QT_CANA_REST1]])</f>
        <v>311.39</v>
      </c>
      <c r="AF1810" s="1">
        <f>IF(ESTIMATIVA[[#This Row],[QT_AREA_REAL]]&gt;0,ESTIMATIVA[[#This Row],[QT_CANA_REAL]],ESTIMATIVA[[#This Row],[QT_CANA_REST2]])</f>
        <v>311.39</v>
      </c>
      <c r="AG1810" s="1" t="str">
        <f>IF(COUNTIFS(GEADA!A:A,VALUE(ESTIMATIVA[[#This Row],[CD_UPNIVEL1]]&amp;TEXT(ESTIMATIVA[[#This Row],[CD_UPNIVEL3]],"0000")))&gt;0,"S","N")</f>
        <v>N</v>
      </c>
      <c r="AH181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10" s="55" t="str">
        <f>IF(ESTIMATIVA[[#This Row],[TP_CULTIVO]]="Irrigado",_xlfn.MAXIFS(IRRIGADO!J:J,IRRIGADO!C:C,ESTIMATIVA[[#This Row],[CD_UPNIVEL1]],IRRIGADO!E:E,ESTIMATIVA[[#This Row],[CD_UPNIVEL3]]),"")</f>
        <v/>
      </c>
      <c r="AJ181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10" s="1">
        <f>COUNTIFS(Apresentação!$E$23:$E$29,ESTIMATIVA[[#This Row],[CD_UPNIVEL1]])</f>
        <v>0</v>
      </c>
    </row>
    <row r="1811" spans="1:37" x14ac:dyDescent="0.3">
      <c r="A1811">
        <v>20705</v>
      </c>
      <c r="B1811" t="s">
        <v>28</v>
      </c>
      <c r="C1811">
        <v>5034</v>
      </c>
      <c r="D1811">
        <v>1</v>
      </c>
      <c r="E1811" t="s">
        <v>264</v>
      </c>
      <c r="F1811" s="85" t="s">
        <v>331</v>
      </c>
      <c r="G1811"/>
      <c r="H1811" t="s">
        <v>294</v>
      </c>
      <c r="I1811" t="s">
        <v>208</v>
      </c>
      <c r="J1811" t="s">
        <v>177</v>
      </c>
      <c r="K1811" s="1">
        <v>2</v>
      </c>
      <c r="L1811" s="1">
        <v>0</v>
      </c>
      <c r="M1811" s="1">
        <v>0</v>
      </c>
      <c r="N1811" s="1">
        <v>2</v>
      </c>
      <c r="O1811" s="1">
        <v>180</v>
      </c>
      <c r="P1811" s="1">
        <v>0</v>
      </c>
      <c r="Q1811" s="1">
        <v>0</v>
      </c>
      <c r="R1811" s="1">
        <v>72.209999999999994</v>
      </c>
      <c r="S1811" t="s">
        <v>280</v>
      </c>
      <c r="T1811" s="13">
        <v>45998</v>
      </c>
      <c r="U1811" s="1" t="str">
        <f>IF(ESTIMATIVA[[#This Row],[QT_AREA_REAL]]&gt;0,"1- Colhido","2- à Colher")</f>
        <v>1- Colhido</v>
      </c>
      <c r="V1811" s="1" t="str">
        <f>IF(ESTIMATIVA[[#This Row],[QT_AREA_REST1]]&gt;0,"Reestimativa 1",IF(ESTIMATIVA[[#This Row],[QT_AREA_REAL]]=0,"Reestimativa 1","Realizado"))</f>
        <v>Realizado</v>
      </c>
      <c r="W1811" s="1" t="str">
        <f>IF(ESTIMATIVA[[#This Row],[QT_AREA_REST2]]&gt;0,"Reestimativa 2",IF(ESTIMATIVA[[#This Row],[QT_AREA_REAL]]=0,"Reestimativa 2","Realizado"))</f>
        <v>Realizado</v>
      </c>
      <c r="X1811" s="1">
        <f>ESTIMATIVA[[#This Row],[QT_AREA_EST]]</f>
        <v>2</v>
      </c>
      <c r="Y1811" s="1">
        <f>IF(ESTIMATIVA[[#This Row],[QT_AREA_REST1]]&gt;0,ESTIMATIVA[[#This Row],[QT_AREA_REST1]],
  IF(ESTIMATIVA[[#This Row],[QT_AREA_REAL]]&gt;0,ESTIMATIVA[[#This Row],[QT_AREA_REAL]],ESTIMATIVA[[#This Row],[QT_AREA_EST]]))</f>
        <v>2</v>
      </c>
      <c r="Z181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</v>
      </c>
      <c r="AA1811" s="1">
        <f>ESTIMATIVA[[#This Row],[QT_CANA_EST]]</f>
        <v>180</v>
      </c>
      <c r="AB1811" s="1">
        <f>IF(ESTIMATIVA[[#This Row],[QT_CANA_REST1]]&gt;0,ESTIMATIVA[[#This Row],[QT_CANA_REST1]],
  IF(ESTIMATIVA[[#This Row],[QT_CANA_REAL]]&gt;0,ESTIMATIVA[[#This Row],[QT_CANA_REAL]],ESTIMATIVA[[#This Row],[QT_CANA_EST]]))</f>
        <v>72.209999999999994</v>
      </c>
      <c r="AC181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72.209999999999994</v>
      </c>
      <c r="AD1811" s="1">
        <f>IF(ESTIMATIVA[[#This Row],[QT_AREA_REAL]]&gt;0,ESTIMATIVA[[#This Row],[QT_CANA_REAL]],ESTIMATIVA[[#This Row],[QT_CANA_EST]])</f>
        <v>72.209999999999994</v>
      </c>
      <c r="AE1811" s="1">
        <f>IF(ESTIMATIVA[[#This Row],[QT_AREA_REAL]]&gt;0,ESTIMATIVA[[#This Row],[QT_CANA_REAL]],ESTIMATIVA[[#This Row],[QT_CANA_REST1]])</f>
        <v>72.209999999999994</v>
      </c>
      <c r="AF1811" s="1">
        <f>IF(ESTIMATIVA[[#This Row],[QT_AREA_REAL]]&gt;0,ESTIMATIVA[[#This Row],[QT_CANA_REAL]],ESTIMATIVA[[#This Row],[QT_CANA_REST2]])</f>
        <v>72.209999999999994</v>
      </c>
      <c r="AG1811" s="1" t="str">
        <f>IF(COUNTIFS(GEADA!A:A,VALUE(ESTIMATIVA[[#This Row],[CD_UPNIVEL1]]&amp;TEXT(ESTIMATIVA[[#This Row],[CD_UPNIVEL3]],"0000")))&gt;0,"S","N")</f>
        <v>N</v>
      </c>
      <c r="AH181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11" s="55" t="str">
        <f>IF(ESTIMATIVA[[#This Row],[TP_CULTIVO]]="Irrigado",_xlfn.MAXIFS(IRRIGADO!J:J,IRRIGADO!C:C,ESTIMATIVA[[#This Row],[CD_UPNIVEL1]],IRRIGADO!E:E,ESTIMATIVA[[#This Row],[CD_UPNIVEL3]]),"")</f>
        <v/>
      </c>
      <c r="AJ181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11" s="1">
        <f>COUNTIFS(Apresentação!$E$23:$E$29,ESTIMATIVA[[#This Row],[CD_UPNIVEL1]])</f>
        <v>0</v>
      </c>
    </row>
    <row r="1812" spans="1:37" x14ac:dyDescent="0.3">
      <c r="A1812">
        <v>20713</v>
      </c>
      <c r="B1812" t="s">
        <v>97</v>
      </c>
      <c r="C1812">
        <v>1</v>
      </c>
      <c r="D1812">
        <v>5</v>
      </c>
      <c r="E1812" t="s">
        <v>268</v>
      </c>
      <c r="F1812" s="85" t="s">
        <v>331</v>
      </c>
      <c r="G1812"/>
      <c r="H1812" t="s">
        <v>294</v>
      </c>
      <c r="I1812" t="s">
        <v>208</v>
      </c>
      <c r="J1812" t="s">
        <v>177</v>
      </c>
      <c r="K1812" s="1">
        <v>12.64</v>
      </c>
      <c r="L1812" s="1">
        <v>0</v>
      </c>
      <c r="M1812" s="1">
        <v>0</v>
      </c>
      <c r="N1812" s="1">
        <v>12.64</v>
      </c>
      <c r="O1812" s="1">
        <v>884.8</v>
      </c>
      <c r="P1812" s="1">
        <v>0</v>
      </c>
      <c r="Q1812" s="1">
        <v>0</v>
      </c>
      <c r="R1812" s="1">
        <v>1049.04</v>
      </c>
      <c r="S1812" t="s">
        <v>280</v>
      </c>
      <c r="T1812" s="13">
        <v>45767</v>
      </c>
      <c r="U1812" s="1" t="str">
        <f>IF(ESTIMATIVA[[#This Row],[QT_AREA_REAL]]&gt;0,"1- Colhido","2- à Colher")</f>
        <v>1- Colhido</v>
      </c>
      <c r="V1812" s="1" t="str">
        <f>IF(ESTIMATIVA[[#This Row],[QT_AREA_REST1]]&gt;0,"Reestimativa 1",IF(ESTIMATIVA[[#This Row],[QT_AREA_REAL]]=0,"Reestimativa 1","Realizado"))</f>
        <v>Realizado</v>
      </c>
      <c r="W1812" s="1" t="str">
        <f>IF(ESTIMATIVA[[#This Row],[QT_AREA_REST2]]&gt;0,"Reestimativa 2",IF(ESTIMATIVA[[#This Row],[QT_AREA_REAL]]=0,"Reestimativa 2","Realizado"))</f>
        <v>Realizado</v>
      </c>
      <c r="X1812" s="1">
        <f>ESTIMATIVA[[#This Row],[QT_AREA_EST]]</f>
        <v>12.64</v>
      </c>
      <c r="Y1812" s="1">
        <f>IF(ESTIMATIVA[[#This Row],[QT_AREA_REST1]]&gt;0,ESTIMATIVA[[#This Row],[QT_AREA_REST1]],
  IF(ESTIMATIVA[[#This Row],[QT_AREA_REAL]]&gt;0,ESTIMATIVA[[#This Row],[QT_AREA_REAL]],ESTIMATIVA[[#This Row],[QT_AREA_EST]]))</f>
        <v>12.64</v>
      </c>
      <c r="Z181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12.64</v>
      </c>
      <c r="AA1812" s="1">
        <f>ESTIMATIVA[[#This Row],[QT_CANA_EST]]</f>
        <v>884.8</v>
      </c>
      <c r="AB1812" s="1">
        <f>IF(ESTIMATIVA[[#This Row],[QT_CANA_REST1]]&gt;0,ESTIMATIVA[[#This Row],[QT_CANA_REST1]],
  IF(ESTIMATIVA[[#This Row],[QT_CANA_REAL]]&gt;0,ESTIMATIVA[[#This Row],[QT_CANA_REAL]],ESTIMATIVA[[#This Row],[QT_CANA_EST]]))</f>
        <v>1049.04</v>
      </c>
      <c r="AC181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1049.04</v>
      </c>
      <c r="AD1812" s="1">
        <f>IF(ESTIMATIVA[[#This Row],[QT_AREA_REAL]]&gt;0,ESTIMATIVA[[#This Row],[QT_CANA_REAL]],ESTIMATIVA[[#This Row],[QT_CANA_EST]])</f>
        <v>1049.04</v>
      </c>
      <c r="AE1812" s="1">
        <f>IF(ESTIMATIVA[[#This Row],[QT_AREA_REAL]]&gt;0,ESTIMATIVA[[#This Row],[QT_CANA_REAL]],ESTIMATIVA[[#This Row],[QT_CANA_REST1]])</f>
        <v>1049.04</v>
      </c>
      <c r="AF1812" s="1">
        <f>IF(ESTIMATIVA[[#This Row],[QT_AREA_REAL]]&gt;0,ESTIMATIVA[[#This Row],[QT_CANA_REAL]],ESTIMATIVA[[#This Row],[QT_CANA_REST2]])</f>
        <v>1049.04</v>
      </c>
      <c r="AG1812" s="1" t="str">
        <f>IF(COUNTIFS(GEADA!A:A,VALUE(ESTIMATIVA[[#This Row],[CD_UPNIVEL1]]&amp;TEXT(ESTIMATIVA[[#This Row],[CD_UPNIVEL3]],"0000")))&gt;0,"S","N")</f>
        <v>N</v>
      </c>
      <c r="AH181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12" s="55" t="str">
        <f>IF(ESTIMATIVA[[#This Row],[TP_CULTIVO]]="Irrigado",_xlfn.MAXIFS(IRRIGADO!J:J,IRRIGADO!C:C,ESTIMATIVA[[#This Row],[CD_UPNIVEL1]],IRRIGADO!E:E,ESTIMATIVA[[#This Row],[CD_UPNIVEL3]]),"")</f>
        <v/>
      </c>
      <c r="AJ181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12" s="1">
        <f>COUNTIFS(Apresentação!$E$23:$E$29,ESTIMATIVA[[#This Row],[CD_UPNIVEL1]])</f>
        <v>0</v>
      </c>
    </row>
    <row r="1813" spans="1:37" x14ac:dyDescent="0.3">
      <c r="A1813">
        <v>20713</v>
      </c>
      <c r="B1813" t="s">
        <v>97</v>
      </c>
      <c r="C1813">
        <v>2</v>
      </c>
      <c r="D1813">
        <v>10</v>
      </c>
      <c r="E1813" t="s">
        <v>277</v>
      </c>
      <c r="F1813" s="85" t="s">
        <v>331</v>
      </c>
      <c r="G1813"/>
      <c r="H1813" t="s">
        <v>294</v>
      </c>
      <c r="I1813" t="s">
        <v>208</v>
      </c>
      <c r="J1813" t="s">
        <v>177</v>
      </c>
      <c r="K1813" s="1">
        <v>16.82</v>
      </c>
      <c r="L1813" s="1">
        <v>0</v>
      </c>
      <c r="M1813" s="1">
        <v>0</v>
      </c>
      <c r="N1813" s="1">
        <v>16.82</v>
      </c>
      <c r="O1813" s="1">
        <v>706.44</v>
      </c>
      <c r="P1813" s="1">
        <v>0</v>
      </c>
      <c r="Q1813" s="1">
        <v>0</v>
      </c>
      <c r="R1813" s="1">
        <v>1375.32</v>
      </c>
      <c r="S1813" t="s">
        <v>280</v>
      </c>
      <c r="T1813" s="13">
        <v>45767</v>
      </c>
      <c r="U1813" s="1" t="str">
        <f>IF(ESTIMATIVA[[#This Row],[QT_AREA_REAL]]&gt;0,"1- Colhido","2- à Colher")</f>
        <v>1- Colhido</v>
      </c>
      <c r="V1813" s="1" t="str">
        <f>IF(ESTIMATIVA[[#This Row],[QT_AREA_REST1]]&gt;0,"Reestimativa 1",IF(ESTIMATIVA[[#This Row],[QT_AREA_REAL]]=0,"Reestimativa 1","Realizado"))</f>
        <v>Realizado</v>
      </c>
      <c r="W1813" s="1" t="str">
        <f>IF(ESTIMATIVA[[#This Row],[QT_AREA_REST2]]&gt;0,"Reestimativa 2",IF(ESTIMATIVA[[#This Row],[QT_AREA_REAL]]=0,"Reestimativa 2","Realizado"))</f>
        <v>Realizado</v>
      </c>
      <c r="X1813" s="1">
        <f>ESTIMATIVA[[#This Row],[QT_AREA_EST]]</f>
        <v>16.82</v>
      </c>
      <c r="Y1813" s="1">
        <f>IF(ESTIMATIVA[[#This Row],[QT_AREA_REST1]]&gt;0,ESTIMATIVA[[#This Row],[QT_AREA_REST1]],
  IF(ESTIMATIVA[[#This Row],[QT_AREA_REAL]]&gt;0,ESTIMATIVA[[#This Row],[QT_AREA_REAL]],ESTIMATIVA[[#This Row],[QT_AREA_EST]]))</f>
        <v>16.82</v>
      </c>
      <c r="Z181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16.82</v>
      </c>
      <c r="AA1813" s="1">
        <f>ESTIMATIVA[[#This Row],[QT_CANA_EST]]</f>
        <v>706.44</v>
      </c>
      <c r="AB1813" s="1">
        <f>IF(ESTIMATIVA[[#This Row],[QT_CANA_REST1]]&gt;0,ESTIMATIVA[[#This Row],[QT_CANA_REST1]],
  IF(ESTIMATIVA[[#This Row],[QT_CANA_REAL]]&gt;0,ESTIMATIVA[[#This Row],[QT_CANA_REAL]],ESTIMATIVA[[#This Row],[QT_CANA_EST]]))</f>
        <v>1375.32</v>
      </c>
      <c r="AC181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1375.32</v>
      </c>
      <c r="AD1813" s="1">
        <f>IF(ESTIMATIVA[[#This Row],[QT_AREA_REAL]]&gt;0,ESTIMATIVA[[#This Row],[QT_CANA_REAL]],ESTIMATIVA[[#This Row],[QT_CANA_EST]])</f>
        <v>1375.32</v>
      </c>
      <c r="AE1813" s="1">
        <f>IF(ESTIMATIVA[[#This Row],[QT_AREA_REAL]]&gt;0,ESTIMATIVA[[#This Row],[QT_CANA_REAL]],ESTIMATIVA[[#This Row],[QT_CANA_REST1]])</f>
        <v>1375.32</v>
      </c>
      <c r="AF1813" s="1">
        <f>IF(ESTIMATIVA[[#This Row],[QT_AREA_REAL]]&gt;0,ESTIMATIVA[[#This Row],[QT_CANA_REAL]],ESTIMATIVA[[#This Row],[QT_CANA_REST2]])</f>
        <v>1375.32</v>
      </c>
      <c r="AG1813" s="1" t="str">
        <f>IF(COUNTIFS(GEADA!A:A,VALUE(ESTIMATIVA[[#This Row],[CD_UPNIVEL1]]&amp;TEXT(ESTIMATIVA[[#This Row],[CD_UPNIVEL3]],"0000")))&gt;0,"S","N")</f>
        <v>N</v>
      </c>
      <c r="AH181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13" s="55" t="str">
        <f>IF(ESTIMATIVA[[#This Row],[TP_CULTIVO]]="Irrigado",_xlfn.MAXIFS(IRRIGADO!J:J,IRRIGADO!C:C,ESTIMATIVA[[#This Row],[CD_UPNIVEL1]],IRRIGADO!E:E,ESTIMATIVA[[#This Row],[CD_UPNIVEL3]]),"")</f>
        <v/>
      </c>
      <c r="AJ181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13" s="1">
        <f>COUNTIFS(Apresentação!$E$23:$E$29,ESTIMATIVA[[#This Row],[CD_UPNIVEL1]])</f>
        <v>0</v>
      </c>
    </row>
    <row r="1814" spans="1:37" x14ac:dyDescent="0.3">
      <c r="A1814">
        <v>20713</v>
      </c>
      <c r="B1814" t="s">
        <v>97</v>
      </c>
      <c r="C1814">
        <v>3</v>
      </c>
      <c r="D1814">
        <v>10</v>
      </c>
      <c r="E1814" t="s">
        <v>277</v>
      </c>
      <c r="F1814" s="85" t="s">
        <v>331</v>
      </c>
      <c r="G1814"/>
      <c r="H1814" t="s">
        <v>294</v>
      </c>
      <c r="I1814" t="s">
        <v>208</v>
      </c>
      <c r="J1814" t="s">
        <v>177</v>
      </c>
      <c r="K1814" s="1">
        <v>8.86</v>
      </c>
      <c r="L1814" s="1">
        <v>0</v>
      </c>
      <c r="M1814" s="1">
        <v>0</v>
      </c>
      <c r="N1814" s="1">
        <v>8.86</v>
      </c>
      <c r="O1814" s="1">
        <v>372.12</v>
      </c>
      <c r="P1814" s="1">
        <v>0</v>
      </c>
      <c r="Q1814" s="1">
        <v>0</v>
      </c>
      <c r="R1814" s="1">
        <v>724.73</v>
      </c>
      <c r="S1814" t="s">
        <v>280</v>
      </c>
      <c r="T1814" s="13">
        <v>45767</v>
      </c>
      <c r="U1814" s="1" t="str">
        <f>IF(ESTIMATIVA[[#This Row],[QT_AREA_REAL]]&gt;0,"1- Colhido","2- à Colher")</f>
        <v>1- Colhido</v>
      </c>
      <c r="V1814" s="1" t="str">
        <f>IF(ESTIMATIVA[[#This Row],[QT_AREA_REST1]]&gt;0,"Reestimativa 1",IF(ESTIMATIVA[[#This Row],[QT_AREA_REAL]]=0,"Reestimativa 1","Realizado"))</f>
        <v>Realizado</v>
      </c>
      <c r="W1814" s="1" t="str">
        <f>IF(ESTIMATIVA[[#This Row],[QT_AREA_REST2]]&gt;0,"Reestimativa 2",IF(ESTIMATIVA[[#This Row],[QT_AREA_REAL]]=0,"Reestimativa 2","Realizado"))</f>
        <v>Realizado</v>
      </c>
      <c r="X1814" s="1">
        <f>ESTIMATIVA[[#This Row],[QT_AREA_EST]]</f>
        <v>8.86</v>
      </c>
      <c r="Y1814" s="1">
        <f>IF(ESTIMATIVA[[#This Row],[QT_AREA_REST1]]&gt;0,ESTIMATIVA[[#This Row],[QT_AREA_REST1]],
  IF(ESTIMATIVA[[#This Row],[QT_AREA_REAL]]&gt;0,ESTIMATIVA[[#This Row],[QT_AREA_REAL]],ESTIMATIVA[[#This Row],[QT_AREA_EST]]))</f>
        <v>8.86</v>
      </c>
      <c r="Z181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8.86</v>
      </c>
      <c r="AA1814" s="1">
        <f>ESTIMATIVA[[#This Row],[QT_CANA_EST]]</f>
        <v>372.12</v>
      </c>
      <c r="AB1814" s="1">
        <f>IF(ESTIMATIVA[[#This Row],[QT_CANA_REST1]]&gt;0,ESTIMATIVA[[#This Row],[QT_CANA_REST1]],
  IF(ESTIMATIVA[[#This Row],[QT_CANA_REAL]]&gt;0,ESTIMATIVA[[#This Row],[QT_CANA_REAL]],ESTIMATIVA[[#This Row],[QT_CANA_EST]]))</f>
        <v>724.73</v>
      </c>
      <c r="AC181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724.73</v>
      </c>
      <c r="AD1814" s="1">
        <f>IF(ESTIMATIVA[[#This Row],[QT_AREA_REAL]]&gt;0,ESTIMATIVA[[#This Row],[QT_CANA_REAL]],ESTIMATIVA[[#This Row],[QT_CANA_EST]])</f>
        <v>724.73</v>
      </c>
      <c r="AE1814" s="1">
        <f>IF(ESTIMATIVA[[#This Row],[QT_AREA_REAL]]&gt;0,ESTIMATIVA[[#This Row],[QT_CANA_REAL]],ESTIMATIVA[[#This Row],[QT_CANA_REST1]])</f>
        <v>724.73</v>
      </c>
      <c r="AF1814" s="1">
        <f>IF(ESTIMATIVA[[#This Row],[QT_AREA_REAL]]&gt;0,ESTIMATIVA[[#This Row],[QT_CANA_REAL]],ESTIMATIVA[[#This Row],[QT_CANA_REST2]])</f>
        <v>724.73</v>
      </c>
      <c r="AG1814" s="1" t="str">
        <f>IF(COUNTIFS(GEADA!A:A,VALUE(ESTIMATIVA[[#This Row],[CD_UPNIVEL1]]&amp;TEXT(ESTIMATIVA[[#This Row],[CD_UPNIVEL3]],"0000")))&gt;0,"S","N")</f>
        <v>N</v>
      </c>
      <c r="AH181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14" s="55" t="str">
        <f>IF(ESTIMATIVA[[#This Row],[TP_CULTIVO]]="Irrigado",_xlfn.MAXIFS(IRRIGADO!J:J,IRRIGADO!C:C,ESTIMATIVA[[#This Row],[CD_UPNIVEL1]],IRRIGADO!E:E,ESTIMATIVA[[#This Row],[CD_UPNIVEL3]]),"")</f>
        <v/>
      </c>
      <c r="AJ181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14" s="1">
        <f>COUNTIFS(Apresentação!$E$23:$E$29,ESTIMATIVA[[#This Row],[CD_UPNIVEL1]])</f>
        <v>0</v>
      </c>
    </row>
    <row r="1815" spans="1:37" x14ac:dyDescent="0.3">
      <c r="A1815">
        <v>20713</v>
      </c>
      <c r="B1815" t="s">
        <v>97</v>
      </c>
      <c r="C1815">
        <v>4</v>
      </c>
      <c r="D1815">
        <v>5</v>
      </c>
      <c r="E1815" t="s">
        <v>268</v>
      </c>
      <c r="F1815" s="85" t="s">
        <v>331</v>
      </c>
      <c r="G1815"/>
      <c r="H1815" t="s">
        <v>294</v>
      </c>
      <c r="I1815" t="s">
        <v>208</v>
      </c>
      <c r="J1815" t="s">
        <v>177</v>
      </c>
      <c r="K1815" s="1">
        <v>13.64</v>
      </c>
      <c r="L1815" s="1">
        <v>0</v>
      </c>
      <c r="M1815" s="1">
        <v>0</v>
      </c>
      <c r="N1815" s="1">
        <v>13.64</v>
      </c>
      <c r="O1815" s="1">
        <v>954.8</v>
      </c>
      <c r="P1815" s="1">
        <v>0</v>
      </c>
      <c r="Q1815" s="1">
        <v>0</v>
      </c>
      <c r="R1815" s="1">
        <v>1132.08</v>
      </c>
      <c r="S1815" t="s">
        <v>280</v>
      </c>
      <c r="T1815" s="13">
        <v>45767</v>
      </c>
      <c r="U1815" s="1" t="str">
        <f>IF(ESTIMATIVA[[#This Row],[QT_AREA_REAL]]&gt;0,"1- Colhido","2- à Colher")</f>
        <v>1- Colhido</v>
      </c>
      <c r="V1815" s="1" t="str">
        <f>IF(ESTIMATIVA[[#This Row],[QT_AREA_REST1]]&gt;0,"Reestimativa 1",IF(ESTIMATIVA[[#This Row],[QT_AREA_REAL]]=0,"Reestimativa 1","Realizado"))</f>
        <v>Realizado</v>
      </c>
      <c r="W1815" s="1" t="str">
        <f>IF(ESTIMATIVA[[#This Row],[QT_AREA_REST2]]&gt;0,"Reestimativa 2",IF(ESTIMATIVA[[#This Row],[QT_AREA_REAL]]=0,"Reestimativa 2","Realizado"))</f>
        <v>Realizado</v>
      </c>
      <c r="X1815" s="1">
        <f>ESTIMATIVA[[#This Row],[QT_AREA_EST]]</f>
        <v>13.64</v>
      </c>
      <c r="Y1815" s="1">
        <f>IF(ESTIMATIVA[[#This Row],[QT_AREA_REST1]]&gt;0,ESTIMATIVA[[#This Row],[QT_AREA_REST1]],
  IF(ESTIMATIVA[[#This Row],[QT_AREA_REAL]]&gt;0,ESTIMATIVA[[#This Row],[QT_AREA_REAL]],ESTIMATIVA[[#This Row],[QT_AREA_EST]]))</f>
        <v>13.64</v>
      </c>
      <c r="Z181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13.64</v>
      </c>
      <c r="AA1815" s="1">
        <f>ESTIMATIVA[[#This Row],[QT_CANA_EST]]</f>
        <v>954.8</v>
      </c>
      <c r="AB1815" s="1">
        <f>IF(ESTIMATIVA[[#This Row],[QT_CANA_REST1]]&gt;0,ESTIMATIVA[[#This Row],[QT_CANA_REST1]],
  IF(ESTIMATIVA[[#This Row],[QT_CANA_REAL]]&gt;0,ESTIMATIVA[[#This Row],[QT_CANA_REAL]],ESTIMATIVA[[#This Row],[QT_CANA_EST]]))</f>
        <v>1132.08</v>
      </c>
      <c r="AC181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1132.08</v>
      </c>
      <c r="AD1815" s="1">
        <f>IF(ESTIMATIVA[[#This Row],[QT_AREA_REAL]]&gt;0,ESTIMATIVA[[#This Row],[QT_CANA_REAL]],ESTIMATIVA[[#This Row],[QT_CANA_EST]])</f>
        <v>1132.08</v>
      </c>
      <c r="AE1815" s="1">
        <f>IF(ESTIMATIVA[[#This Row],[QT_AREA_REAL]]&gt;0,ESTIMATIVA[[#This Row],[QT_CANA_REAL]],ESTIMATIVA[[#This Row],[QT_CANA_REST1]])</f>
        <v>1132.08</v>
      </c>
      <c r="AF1815" s="1">
        <f>IF(ESTIMATIVA[[#This Row],[QT_AREA_REAL]]&gt;0,ESTIMATIVA[[#This Row],[QT_CANA_REAL]],ESTIMATIVA[[#This Row],[QT_CANA_REST2]])</f>
        <v>1132.08</v>
      </c>
      <c r="AG1815" s="1" t="str">
        <f>IF(COUNTIFS(GEADA!A:A,VALUE(ESTIMATIVA[[#This Row],[CD_UPNIVEL1]]&amp;TEXT(ESTIMATIVA[[#This Row],[CD_UPNIVEL3]],"0000")))&gt;0,"S","N")</f>
        <v>N</v>
      </c>
      <c r="AH181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15" s="55" t="str">
        <f>IF(ESTIMATIVA[[#This Row],[TP_CULTIVO]]="Irrigado",_xlfn.MAXIFS(IRRIGADO!J:J,IRRIGADO!C:C,ESTIMATIVA[[#This Row],[CD_UPNIVEL1]],IRRIGADO!E:E,ESTIMATIVA[[#This Row],[CD_UPNIVEL3]]),"")</f>
        <v/>
      </c>
      <c r="AJ181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15" s="1">
        <f>COUNTIFS(Apresentação!$E$23:$E$29,ESTIMATIVA[[#This Row],[CD_UPNIVEL1]])</f>
        <v>0</v>
      </c>
    </row>
    <row r="1816" spans="1:37" x14ac:dyDescent="0.3">
      <c r="A1816">
        <v>20713</v>
      </c>
      <c r="B1816" t="s">
        <v>97</v>
      </c>
      <c r="C1816">
        <v>5</v>
      </c>
      <c r="D1816">
        <v>9</v>
      </c>
      <c r="E1816" t="s">
        <v>275</v>
      </c>
      <c r="F1816" s="85" t="s">
        <v>331</v>
      </c>
      <c r="G1816"/>
      <c r="H1816" t="s">
        <v>294</v>
      </c>
      <c r="I1816" t="s">
        <v>208</v>
      </c>
      <c r="J1816" t="s">
        <v>177</v>
      </c>
      <c r="K1816" s="1">
        <v>32.07</v>
      </c>
      <c r="L1816" s="1">
        <v>0</v>
      </c>
      <c r="M1816" s="1">
        <v>0</v>
      </c>
      <c r="N1816" s="1">
        <v>32.07</v>
      </c>
      <c r="O1816" s="1">
        <v>2116.62</v>
      </c>
      <c r="P1816" s="1">
        <v>0</v>
      </c>
      <c r="Q1816" s="1">
        <v>0</v>
      </c>
      <c r="R1816" s="1">
        <v>2313.19</v>
      </c>
      <c r="S1816" t="s">
        <v>280</v>
      </c>
      <c r="T1816" s="13">
        <v>45760</v>
      </c>
      <c r="U1816" s="1" t="str">
        <f>IF(ESTIMATIVA[[#This Row],[QT_AREA_REAL]]&gt;0,"1- Colhido","2- à Colher")</f>
        <v>1- Colhido</v>
      </c>
      <c r="V1816" s="1" t="str">
        <f>IF(ESTIMATIVA[[#This Row],[QT_AREA_REST1]]&gt;0,"Reestimativa 1",IF(ESTIMATIVA[[#This Row],[QT_AREA_REAL]]=0,"Reestimativa 1","Realizado"))</f>
        <v>Realizado</v>
      </c>
      <c r="W1816" s="1" t="str">
        <f>IF(ESTIMATIVA[[#This Row],[QT_AREA_REST2]]&gt;0,"Reestimativa 2",IF(ESTIMATIVA[[#This Row],[QT_AREA_REAL]]=0,"Reestimativa 2","Realizado"))</f>
        <v>Realizado</v>
      </c>
      <c r="X1816" s="1">
        <f>ESTIMATIVA[[#This Row],[QT_AREA_EST]]</f>
        <v>32.07</v>
      </c>
      <c r="Y1816" s="1">
        <f>IF(ESTIMATIVA[[#This Row],[QT_AREA_REST1]]&gt;0,ESTIMATIVA[[#This Row],[QT_AREA_REST1]],
  IF(ESTIMATIVA[[#This Row],[QT_AREA_REAL]]&gt;0,ESTIMATIVA[[#This Row],[QT_AREA_REAL]],ESTIMATIVA[[#This Row],[QT_AREA_EST]]))</f>
        <v>32.07</v>
      </c>
      <c r="Z181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32.07</v>
      </c>
      <c r="AA1816" s="1">
        <f>ESTIMATIVA[[#This Row],[QT_CANA_EST]]</f>
        <v>2116.62</v>
      </c>
      <c r="AB1816" s="1">
        <f>IF(ESTIMATIVA[[#This Row],[QT_CANA_REST1]]&gt;0,ESTIMATIVA[[#This Row],[QT_CANA_REST1]],
  IF(ESTIMATIVA[[#This Row],[QT_CANA_REAL]]&gt;0,ESTIMATIVA[[#This Row],[QT_CANA_REAL]],ESTIMATIVA[[#This Row],[QT_CANA_EST]]))</f>
        <v>2313.19</v>
      </c>
      <c r="AC181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2313.19</v>
      </c>
      <c r="AD1816" s="1">
        <f>IF(ESTIMATIVA[[#This Row],[QT_AREA_REAL]]&gt;0,ESTIMATIVA[[#This Row],[QT_CANA_REAL]],ESTIMATIVA[[#This Row],[QT_CANA_EST]])</f>
        <v>2313.19</v>
      </c>
      <c r="AE1816" s="1">
        <f>IF(ESTIMATIVA[[#This Row],[QT_AREA_REAL]]&gt;0,ESTIMATIVA[[#This Row],[QT_CANA_REAL]],ESTIMATIVA[[#This Row],[QT_CANA_REST1]])</f>
        <v>2313.19</v>
      </c>
      <c r="AF1816" s="1">
        <f>IF(ESTIMATIVA[[#This Row],[QT_AREA_REAL]]&gt;0,ESTIMATIVA[[#This Row],[QT_CANA_REAL]],ESTIMATIVA[[#This Row],[QT_CANA_REST2]])</f>
        <v>2313.19</v>
      </c>
      <c r="AG1816" s="1" t="str">
        <f>IF(COUNTIFS(GEADA!A:A,VALUE(ESTIMATIVA[[#This Row],[CD_UPNIVEL1]]&amp;TEXT(ESTIMATIVA[[#This Row],[CD_UPNIVEL3]],"0000")))&gt;0,"S","N")</f>
        <v>N</v>
      </c>
      <c r="AH181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16" s="55" t="str">
        <f>IF(ESTIMATIVA[[#This Row],[TP_CULTIVO]]="Irrigado",_xlfn.MAXIFS(IRRIGADO!J:J,IRRIGADO!C:C,ESTIMATIVA[[#This Row],[CD_UPNIVEL1]],IRRIGADO!E:E,ESTIMATIVA[[#This Row],[CD_UPNIVEL3]]),"")</f>
        <v/>
      </c>
      <c r="AJ181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16" s="1">
        <f>COUNTIFS(Apresentação!$E$23:$E$29,ESTIMATIVA[[#This Row],[CD_UPNIVEL1]])</f>
        <v>0</v>
      </c>
    </row>
    <row r="1817" spans="1:37" x14ac:dyDescent="0.3">
      <c r="A1817">
        <v>20713</v>
      </c>
      <c r="B1817" t="s">
        <v>97</v>
      </c>
      <c r="C1817">
        <v>6</v>
      </c>
      <c r="D1817">
        <v>2</v>
      </c>
      <c r="E1817" t="s">
        <v>266</v>
      </c>
      <c r="F1817" s="85" t="s">
        <v>331</v>
      </c>
      <c r="G1817"/>
      <c r="H1817" t="s">
        <v>294</v>
      </c>
      <c r="I1817" t="s">
        <v>208</v>
      </c>
      <c r="J1817" t="s">
        <v>177</v>
      </c>
      <c r="K1817" s="1">
        <v>30.77</v>
      </c>
      <c r="L1817" s="1">
        <v>0</v>
      </c>
      <c r="M1817" s="1">
        <v>0</v>
      </c>
      <c r="N1817" s="1">
        <v>30.77</v>
      </c>
      <c r="O1817" s="1">
        <v>2676.99</v>
      </c>
      <c r="P1817" s="1">
        <v>0</v>
      </c>
      <c r="Q1817" s="1">
        <v>0</v>
      </c>
      <c r="R1817" s="1">
        <v>3458.25</v>
      </c>
      <c r="S1817" t="s">
        <v>280</v>
      </c>
      <c r="T1817" s="13">
        <v>45760</v>
      </c>
      <c r="U1817" s="1" t="str">
        <f>IF(ESTIMATIVA[[#This Row],[QT_AREA_REAL]]&gt;0,"1- Colhido","2- à Colher")</f>
        <v>1- Colhido</v>
      </c>
      <c r="V1817" s="1" t="str">
        <f>IF(ESTIMATIVA[[#This Row],[QT_AREA_REST1]]&gt;0,"Reestimativa 1",IF(ESTIMATIVA[[#This Row],[QT_AREA_REAL]]=0,"Reestimativa 1","Realizado"))</f>
        <v>Realizado</v>
      </c>
      <c r="W1817" s="1" t="str">
        <f>IF(ESTIMATIVA[[#This Row],[QT_AREA_REST2]]&gt;0,"Reestimativa 2",IF(ESTIMATIVA[[#This Row],[QT_AREA_REAL]]=0,"Reestimativa 2","Realizado"))</f>
        <v>Realizado</v>
      </c>
      <c r="X1817" s="1">
        <f>ESTIMATIVA[[#This Row],[QT_AREA_EST]]</f>
        <v>30.77</v>
      </c>
      <c r="Y1817" s="1">
        <f>IF(ESTIMATIVA[[#This Row],[QT_AREA_REST1]]&gt;0,ESTIMATIVA[[#This Row],[QT_AREA_REST1]],
  IF(ESTIMATIVA[[#This Row],[QT_AREA_REAL]]&gt;0,ESTIMATIVA[[#This Row],[QT_AREA_REAL]],ESTIMATIVA[[#This Row],[QT_AREA_EST]]))</f>
        <v>30.77</v>
      </c>
      <c r="Z181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30.77</v>
      </c>
      <c r="AA1817" s="1">
        <f>ESTIMATIVA[[#This Row],[QT_CANA_EST]]</f>
        <v>2676.99</v>
      </c>
      <c r="AB1817" s="1">
        <f>IF(ESTIMATIVA[[#This Row],[QT_CANA_REST1]]&gt;0,ESTIMATIVA[[#This Row],[QT_CANA_REST1]],
  IF(ESTIMATIVA[[#This Row],[QT_CANA_REAL]]&gt;0,ESTIMATIVA[[#This Row],[QT_CANA_REAL]],ESTIMATIVA[[#This Row],[QT_CANA_EST]]))</f>
        <v>3458.25</v>
      </c>
      <c r="AC181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3458.25</v>
      </c>
      <c r="AD1817" s="1">
        <f>IF(ESTIMATIVA[[#This Row],[QT_AREA_REAL]]&gt;0,ESTIMATIVA[[#This Row],[QT_CANA_REAL]],ESTIMATIVA[[#This Row],[QT_CANA_EST]])</f>
        <v>3458.25</v>
      </c>
      <c r="AE1817" s="1">
        <f>IF(ESTIMATIVA[[#This Row],[QT_AREA_REAL]]&gt;0,ESTIMATIVA[[#This Row],[QT_CANA_REAL]],ESTIMATIVA[[#This Row],[QT_CANA_REST1]])</f>
        <v>3458.25</v>
      </c>
      <c r="AF1817" s="1">
        <f>IF(ESTIMATIVA[[#This Row],[QT_AREA_REAL]]&gt;0,ESTIMATIVA[[#This Row],[QT_CANA_REAL]],ESTIMATIVA[[#This Row],[QT_CANA_REST2]])</f>
        <v>3458.25</v>
      </c>
      <c r="AG1817" s="1" t="str">
        <f>IF(COUNTIFS(GEADA!A:A,VALUE(ESTIMATIVA[[#This Row],[CD_UPNIVEL1]]&amp;TEXT(ESTIMATIVA[[#This Row],[CD_UPNIVEL3]],"0000")))&gt;0,"S","N")</f>
        <v>N</v>
      </c>
      <c r="AH181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17" s="55" t="str">
        <f>IF(ESTIMATIVA[[#This Row],[TP_CULTIVO]]="Irrigado",_xlfn.MAXIFS(IRRIGADO!J:J,IRRIGADO!C:C,ESTIMATIVA[[#This Row],[CD_UPNIVEL1]],IRRIGADO!E:E,ESTIMATIVA[[#This Row],[CD_UPNIVEL3]]),"")</f>
        <v/>
      </c>
      <c r="AJ181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17" s="1">
        <f>COUNTIFS(Apresentação!$E$23:$E$29,ESTIMATIVA[[#This Row],[CD_UPNIVEL1]])</f>
        <v>0</v>
      </c>
    </row>
    <row r="1818" spans="1:37" x14ac:dyDescent="0.3">
      <c r="A1818">
        <v>20713</v>
      </c>
      <c r="B1818" t="s">
        <v>97</v>
      </c>
      <c r="C1818">
        <v>7</v>
      </c>
      <c r="D1818">
        <v>10</v>
      </c>
      <c r="E1818" t="s">
        <v>277</v>
      </c>
      <c r="F1818" s="85" t="s">
        <v>331</v>
      </c>
      <c r="G1818"/>
      <c r="H1818" t="s">
        <v>294</v>
      </c>
      <c r="I1818" t="s">
        <v>208</v>
      </c>
      <c r="J1818" t="s">
        <v>177</v>
      </c>
      <c r="K1818" s="1">
        <v>7.89</v>
      </c>
      <c r="L1818" s="1">
        <v>0</v>
      </c>
      <c r="M1818" s="1">
        <v>0</v>
      </c>
      <c r="N1818" s="1">
        <v>7.89</v>
      </c>
      <c r="O1818" s="1">
        <v>418.17</v>
      </c>
      <c r="P1818" s="1">
        <v>0</v>
      </c>
      <c r="Q1818" s="1">
        <v>0</v>
      </c>
      <c r="R1818" s="1">
        <v>456.69</v>
      </c>
      <c r="S1818" t="s">
        <v>280</v>
      </c>
      <c r="T1818" s="13">
        <v>45760</v>
      </c>
      <c r="U1818" s="1" t="str">
        <f>IF(ESTIMATIVA[[#This Row],[QT_AREA_REAL]]&gt;0,"1- Colhido","2- à Colher")</f>
        <v>1- Colhido</v>
      </c>
      <c r="V1818" s="1" t="str">
        <f>IF(ESTIMATIVA[[#This Row],[QT_AREA_REST1]]&gt;0,"Reestimativa 1",IF(ESTIMATIVA[[#This Row],[QT_AREA_REAL]]=0,"Reestimativa 1","Realizado"))</f>
        <v>Realizado</v>
      </c>
      <c r="W1818" s="1" t="str">
        <f>IF(ESTIMATIVA[[#This Row],[QT_AREA_REST2]]&gt;0,"Reestimativa 2",IF(ESTIMATIVA[[#This Row],[QT_AREA_REAL]]=0,"Reestimativa 2","Realizado"))</f>
        <v>Realizado</v>
      </c>
      <c r="X1818" s="1">
        <f>ESTIMATIVA[[#This Row],[QT_AREA_EST]]</f>
        <v>7.89</v>
      </c>
      <c r="Y1818" s="1">
        <f>IF(ESTIMATIVA[[#This Row],[QT_AREA_REST1]]&gt;0,ESTIMATIVA[[#This Row],[QT_AREA_REST1]],
  IF(ESTIMATIVA[[#This Row],[QT_AREA_REAL]]&gt;0,ESTIMATIVA[[#This Row],[QT_AREA_REAL]],ESTIMATIVA[[#This Row],[QT_AREA_EST]]))</f>
        <v>7.89</v>
      </c>
      <c r="Z181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7.89</v>
      </c>
      <c r="AA1818" s="1">
        <f>ESTIMATIVA[[#This Row],[QT_CANA_EST]]</f>
        <v>418.17</v>
      </c>
      <c r="AB1818" s="1">
        <f>IF(ESTIMATIVA[[#This Row],[QT_CANA_REST1]]&gt;0,ESTIMATIVA[[#This Row],[QT_CANA_REST1]],
  IF(ESTIMATIVA[[#This Row],[QT_CANA_REAL]]&gt;0,ESTIMATIVA[[#This Row],[QT_CANA_REAL]],ESTIMATIVA[[#This Row],[QT_CANA_EST]]))</f>
        <v>456.69</v>
      </c>
      <c r="AC181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456.69</v>
      </c>
      <c r="AD1818" s="1">
        <f>IF(ESTIMATIVA[[#This Row],[QT_AREA_REAL]]&gt;0,ESTIMATIVA[[#This Row],[QT_CANA_REAL]],ESTIMATIVA[[#This Row],[QT_CANA_EST]])</f>
        <v>456.69</v>
      </c>
      <c r="AE1818" s="1">
        <f>IF(ESTIMATIVA[[#This Row],[QT_AREA_REAL]]&gt;0,ESTIMATIVA[[#This Row],[QT_CANA_REAL]],ESTIMATIVA[[#This Row],[QT_CANA_REST1]])</f>
        <v>456.69</v>
      </c>
      <c r="AF1818" s="1">
        <f>IF(ESTIMATIVA[[#This Row],[QT_AREA_REAL]]&gt;0,ESTIMATIVA[[#This Row],[QT_CANA_REAL]],ESTIMATIVA[[#This Row],[QT_CANA_REST2]])</f>
        <v>456.69</v>
      </c>
      <c r="AG1818" s="1" t="str">
        <f>IF(COUNTIFS(GEADA!A:A,VALUE(ESTIMATIVA[[#This Row],[CD_UPNIVEL1]]&amp;TEXT(ESTIMATIVA[[#This Row],[CD_UPNIVEL3]],"0000")))&gt;0,"S","N")</f>
        <v>N</v>
      </c>
      <c r="AH181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18" s="55" t="str">
        <f>IF(ESTIMATIVA[[#This Row],[TP_CULTIVO]]="Irrigado",_xlfn.MAXIFS(IRRIGADO!J:J,IRRIGADO!C:C,ESTIMATIVA[[#This Row],[CD_UPNIVEL1]],IRRIGADO!E:E,ESTIMATIVA[[#This Row],[CD_UPNIVEL3]]),"")</f>
        <v/>
      </c>
      <c r="AJ181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18" s="1">
        <f>COUNTIFS(Apresentação!$E$23:$E$29,ESTIMATIVA[[#This Row],[CD_UPNIVEL1]])</f>
        <v>0</v>
      </c>
    </row>
    <row r="1819" spans="1:37" x14ac:dyDescent="0.3">
      <c r="A1819">
        <v>20713</v>
      </c>
      <c r="B1819" t="s">
        <v>97</v>
      </c>
      <c r="C1819">
        <v>8</v>
      </c>
      <c r="D1819">
        <v>10</v>
      </c>
      <c r="E1819" t="s">
        <v>277</v>
      </c>
      <c r="F1819" s="85" t="s">
        <v>331</v>
      </c>
      <c r="G1819"/>
      <c r="H1819" t="s">
        <v>294</v>
      </c>
      <c r="I1819" t="s">
        <v>208</v>
      </c>
      <c r="J1819" t="s">
        <v>177</v>
      </c>
      <c r="K1819" s="1">
        <v>5.61</v>
      </c>
      <c r="L1819" s="1">
        <v>0</v>
      </c>
      <c r="M1819" s="1">
        <v>0</v>
      </c>
      <c r="N1819" s="1">
        <v>5.61</v>
      </c>
      <c r="O1819" s="1">
        <v>336.6</v>
      </c>
      <c r="P1819" s="1">
        <v>0</v>
      </c>
      <c r="Q1819" s="1">
        <v>0</v>
      </c>
      <c r="R1819" s="1">
        <v>368.18</v>
      </c>
      <c r="S1819" t="s">
        <v>280</v>
      </c>
      <c r="T1819" s="13">
        <v>45760</v>
      </c>
      <c r="U1819" s="1" t="str">
        <f>IF(ESTIMATIVA[[#This Row],[QT_AREA_REAL]]&gt;0,"1- Colhido","2- à Colher")</f>
        <v>1- Colhido</v>
      </c>
      <c r="V1819" s="1" t="str">
        <f>IF(ESTIMATIVA[[#This Row],[QT_AREA_REST1]]&gt;0,"Reestimativa 1",IF(ESTIMATIVA[[#This Row],[QT_AREA_REAL]]=0,"Reestimativa 1","Realizado"))</f>
        <v>Realizado</v>
      </c>
      <c r="W1819" s="1" t="str">
        <f>IF(ESTIMATIVA[[#This Row],[QT_AREA_REST2]]&gt;0,"Reestimativa 2",IF(ESTIMATIVA[[#This Row],[QT_AREA_REAL]]=0,"Reestimativa 2","Realizado"))</f>
        <v>Realizado</v>
      </c>
      <c r="X1819" s="1">
        <f>ESTIMATIVA[[#This Row],[QT_AREA_EST]]</f>
        <v>5.61</v>
      </c>
      <c r="Y1819" s="1">
        <f>IF(ESTIMATIVA[[#This Row],[QT_AREA_REST1]]&gt;0,ESTIMATIVA[[#This Row],[QT_AREA_REST1]],
  IF(ESTIMATIVA[[#This Row],[QT_AREA_REAL]]&gt;0,ESTIMATIVA[[#This Row],[QT_AREA_REAL]],ESTIMATIVA[[#This Row],[QT_AREA_EST]]))</f>
        <v>5.61</v>
      </c>
      <c r="Z181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5.61</v>
      </c>
      <c r="AA1819" s="1">
        <f>ESTIMATIVA[[#This Row],[QT_CANA_EST]]</f>
        <v>336.6</v>
      </c>
      <c r="AB1819" s="1">
        <f>IF(ESTIMATIVA[[#This Row],[QT_CANA_REST1]]&gt;0,ESTIMATIVA[[#This Row],[QT_CANA_REST1]],
  IF(ESTIMATIVA[[#This Row],[QT_CANA_REAL]]&gt;0,ESTIMATIVA[[#This Row],[QT_CANA_REAL]],ESTIMATIVA[[#This Row],[QT_CANA_EST]]))</f>
        <v>368.18</v>
      </c>
      <c r="AC181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368.18</v>
      </c>
      <c r="AD1819" s="1">
        <f>IF(ESTIMATIVA[[#This Row],[QT_AREA_REAL]]&gt;0,ESTIMATIVA[[#This Row],[QT_CANA_REAL]],ESTIMATIVA[[#This Row],[QT_CANA_EST]])</f>
        <v>368.18</v>
      </c>
      <c r="AE1819" s="1">
        <f>IF(ESTIMATIVA[[#This Row],[QT_AREA_REAL]]&gt;0,ESTIMATIVA[[#This Row],[QT_CANA_REAL]],ESTIMATIVA[[#This Row],[QT_CANA_REST1]])</f>
        <v>368.18</v>
      </c>
      <c r="AF1819" s="1">
        <f>IF(ESTIMATIVA[[#This Row],[QT_AREA_REAL]]&gt;0,ESTIMATIVA[[#This Row],[QT_CANA_REAL]],ESTIMATIVA[[#This Row],[QT_CANA_REST2]])</f>
        <v>368.18</v>
      </c>
      <c r="AG1819" s="1" t="str">
        <f>IF(COUNTIFS(GEADA!A:A,VALUE(ESTIMATIVA[[#This Row],[CD_UPNIVEL1]]&amp;TEXT(ESTIMATIVA[[#This Row],[CD_UPNIVEL3]],"0000")))&gt;0,"S","N")</f>
        <v>N</v>
      </c>
      <c r="AH181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19" s="55" t="str">
        <f>IF(ESTIMATIVA[[#This Row],[TP_CULTIVO]]="Irrigado",_xlfn.MAXIFS(IRRIGADO!J:J,IRRIGADO!C:C,ESTIMATIVA[[#This Row],[CD_UPNIVEL1]],IRRIGADO!E:E,ESTIMATIVA[[#This Row],[CD_UPNIVEL3]]),"")</f>
        <v/>
      </c>
      <c r="AJ181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19" s="1">
        <f>COUNTIFS(Apresentação!$E$23:$E$29,ESTIMATIVA[[#This Row],[CD_UPNIVEL1]])</f>
        <v>0</v>
      </c>
    </row>
    <row r="1820" spans="1:37" x14ac:dyDescent="0.3">
      <c r="A1820">
        <v>20713</v>
      </c>
      <c r="B1820" t="s">
        <v>97</v>
      </c>
      <c r="C1820">
        <v>9</v>
      </c>
      <c r="D1820">
        <v>10</v>
      </c>
      <c r="E1820" t="s">
        <v>277</v>
      </c>
      <c r="F1820" s="85" t="s">
        <v>331</v>
      </c>
      <c r="G1820"/>
      <c r="H1820" t="s">
        <v>294</v>
      </c>
      <c r="I1820" t="s">
        <v>208</v>
      </c>
      <c r="J1820" t="s">
        <v>177</v>
      </c>
      <c r="K1820" s="1">
        <v>16.489999999999998</v>
      </c>
      <c r="L1820" s="1">
        <v>0</v>
      </c>
      <c r="M1820" s="1">
        <v>0</v>
      </c>
      <c r="N1820" s="1">
        <v>16.489999999999998</v>
      </c>
      <c r="O1820" s="1">
        <v>989.4</v>
      </c>
      <c r="P1820" s="1">
        <v>0</v>
      </c>
      <c r="Q1820" s="1">
        <v>0</v>
      </c>
      <c r="R1820" s="1">
        <v>1080.8699999999999</v>
      </c>
      <c r="S1820" t="s">
        <v>280</v>
      </c>
      <c r="T1820" s="13">
        <v>45760</v>
      </c>
      <c r="U1820" s="1" t="str">
        <f>IF(ESTIMATIVA[[#This Row],[QT_AREA_REAL]]&gt;0,"1- Colhido","2- à Colher")</f>
        <v>1- Colhido</v>
      </c>
      <c r="V1820" s="1" t="str">
        <f>IF(ESTIMATIVA[[#This Row],[QT_AREA_REST1]]&gt;0,"Reestimativa 1",IF(ESTIMATIVA[[#This Row],[QT_AREA_REAL]]=0,"Reestimativa 1","Realizado"))</f>
        <v>Realizado</v>
      </c>
      <c r="W1820" s="1" t="str">
        <f>IF(ESTIMATIVA[[#This Row],[QT_AREA_REST2]]&gt;0,"Reestimativa 2",IF(ESTIMATIVA[[#This Row],[QT_AREA_REAL]]=0,"Reestimativa 2","Realizado"))</f>
        <v>Realizado</v>
      </c>
      <c r="X1820" s="1">
        <f>ESTIMATIVA[[#This Row],[QT_AREA_EST]]</f>
        <v>16.489999999999998</v>
      </c>
      <c r="Y1820" s="1">
        <f>IF(ESTIMATIVA[[#This Row],[QT_AREA_REST1]]&gt;0,ESTIMATIVA[[#This Row],[QT_AREA_REST1]],
  IF(ESTIMATIVA[[#This Row],[QT_AREA_REAL]]&gt;0,ESTIMATIVA[[#This Row],[QT_AREA_REAL]],ESTIMATIVA[[#This Row],[QT_AREA_EST]]))</f>
        <v>16.489999999999998</v>
      </c>
      <c r="Z182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16.489999999999998</v>
      </c>
      <c r="AA1820" s="1">
        <f>ESTIMATIVA[[#This Row],[QT_CANA_EST]]</f>
        <v>989.4</v>
      </c>
      <c r="AB1820" s="1">
        <f>IF(ESTIMATIVA[[#This Row],[QT_CANA_REST1]]&gt;0,ESTIMATIVA[[#This Row],[QT_CANA_REST1]],
  IF(ESTIMATIVA[[#This Row],[QT_CANA_REAL]]&gt;0,ESTIMATIVA[[#This Row],[QT_CANA_REAL]],ESTIMATIVA[[#This Row],[QT_CANA_EST]]))</f>
        <v>1080.8699999999999</v>
      </c>
      <c r="AC182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1080.8699999999999</v>
      </c>
      <c r="AD1820" s="1">
        <f>IF(ESTIMATIVA[[#This Row],[QT_AREA_REAL]]&gt;0,ESTIMATIVA[[#This Row],[QT_CANA_REAL]],ESTIMATIVA[[#This Row],[QT_CANA_EST]])</f>
        <v>1080.8699999999999</v>
      </c>
      <c r="AE1820" s="1">
        <f>IF(ESTIMATIVA[[#This Row],[QT_AREA_REAL]]&gt;0,ESTIMATIVA[[#This Row],[QT_CANA_REAL]],ESTIMATIVA[[#This Row],[QT_CANA_REST1]])</f>
        <v>1080.8699999999999</v>
      </c>
      <c r="AF1820" s="1">
        <f>IF(ESTIMATIVA[[#This Row],[QT_AREA_REAL]]&gt;0,ESTIMATIVA[[#This Row],[QT_CANA_REAL]],ESTIMATIVA[[#This Row],[QT_CANA_REST2]])</f>
        <v>1080.8699999999999</v>
      </c>
      <c r="AG1820" s="1" t="str">
        <f>IF(COUNTIFS(GEADA!A:A,VALUE(ESTIMATIVA[[#This Row],[CD_UPNIVEL1]]&amp;TEXT(ESTIMATIVA[[#This Row],[CD_UPNIVEL3]],"0000")))&gt;0,"S","N")</f>
        <v>N</v>
      </c>
      <c r="AH182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20" s="55" t="str">
        <f>IF(ESTIMATIVA[[#This Row],[TP_CULTIVO]]="Irrigado",_xlfn.MAXIFS(IRRIGADO!J:J,IRRIGADO!C:C,ESTIMATIVA[[#This Row],[CD_UPNIVEL1]],IRRIGADO!E:E,ESTIMATIVA[[#This Row],[CD_UPNIVEL3]]),"")</f>
        <v/>
      </c>
      <c r="AJ182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20" s="1">
        <f>COUNTIFS(Apresentação!$E$23:$E$29,ESTIMATIVA[[#This Row],[CD_UPNIVEL1]])</f>
        <v>0</v>
      </c>
    </row>
    <row r="1821" spans="1:37" x14ac:dyDescent="0.3">
      <c r="A1821">
        <v>20713</v>
      </c>
      <c r="B1821" t="s">
        <v>97</v>
      </c>
      <c r="C1821">
        <v>10</v>
      </c>
      <c r="D1821">
        <v>1</v>
      </c>
      <c r="E1821" t="s">
        <v>264</v>
      </c>
      <c r="F1821" s="85" t="s">
        <v>331</v>
      </c>
      <c r="G1821"/>
      <c r="H1821" t="s">
        <v>294</v>
      </c>
      <c r="I1821" t="s">
        <v>208</v>
      </c>
      <c r="J1821" t="s">
        <v>177</v>
      </c>
      <c r="K1821" s="1">
        <v>32.35</v>
      </c>
      <c r="L1821" s="1">
        <v>0</v>
      </c>
      <c r="M1821" s="1">
        <v>0</v>
      </c>
      <c r="N1821" s="1">
        <v>32.35</v>
      </c>
      <c r="O1821" s="1">
        <v>3914.35</v>
      </c>
      <c r="P1821" s="1">
        <v>0</v>
      </c>
      <c r="Q1821" s="1">
        <v>0</v>
      </c>
      <c r="R1821" s="1">
        <v>3988.72</v>
      </c>
      <c r="S1821" t="s">
        <v>280</v>
      </c>
      <c r="T1821" s="13">
        <v>45760</v>
      </c>
      <c r="U1821" s="1" t="str">
        <f>IF(ESTIMATIVA[[#This Row],[QT_AREA_REAL]]&gt;0,"1- Colhido","2- à Colher")</f>
        <v>1- Colhido</v>
      </c>
      <c r="V1821" s="1" t="str">
        <f>IF(ESTIMATIVA[[#This Row],[QT_AREA_REST1]]&gt;0,"Reestimativa 1",IF(ESTIMATIVA[[#This Row],[QT_AREA_REAL]]=0,"Reestimativa 1","Realizado"))</f>
        <v>Realizado</v>
      </c>
      <c r="W1821" s="1" t="str">
        <f>IF(ESTIMATIVA[[#This Row],[QT_AREA_REST2]]&gt;0,"Reestimativa 2",IF(ESTIMATIVA[[#This Row],[QT_AREA_REAL]]=0,"Reestimativa 2","Realizado"))</f>
        <v>Realizado</v>
      </c>
      <c r="X1821" s="1">
        <f>ESTIMATIVA[[#This Row],[QT_AREA_EST]]</f>
        <v>32.35</v>
      </c>
      <c r="Y1821" s="1">
        <f>IF(ESTIMATIVA[[#This Row],[QT_AREA_REST1]]&gt;0,ESTIMATIVA[[#This Row],[QT_AREA_REST1]],
  IF(ESTIMATIVA[[#This Row],[QT_AREA_REAL]]&gt;0,ESTIMATIVA[[#This Row],[QT_AREA_REAL]],ESTIMATIVA[[#This Row],[QT_AREA_EST]]))</f>
        <v>32.35</v>
      </c>
      <c r="Z182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32.35</v>
      </c>
      <c r="AA1821" s="1">
        <f>ESTIMATIVA[[#This Row],[QT_CANA_EST]]</f>
        <v>3914.35</v>
      </c>
      <c r="AB1821" s="1">
        <f>IF(ESTIMATIVA[[#This Row],[QT_CANA_REST1]]&gt;0,ESTIMATIVA[[#This Row],[QT_CANA_REST1]],
  IF(ESTIMATIVA[[#This Row],[QT_CANA_REAL]]&gt;0,ESTIMATIVA[[#This Row],[QT_CANA_REAL]],ESTIMATIVA[[#This Row],[QT_CANA_EST]]))</f>
        <v>3988.72</v>
      </c>
      <c r="AC182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3988.72</v>
      </c>
      <c r="AD1821" s="1">
        <f>IF(ESTIMATIVA[[#This Row],[QT_AREA_REAL]]&gt;0,ESTIMATIVA[[#This Row],[QT_CANA_REAL]],ESTIMATIVA[[#This Row],[QT_CANA_EST]])</f>
        <v>3988.72</v>
      </c>
      <c r="AE1821" s="1">
        <f>IF(ESTIMATIVA[[#This Row],[QT_AREA_REAL]]&gt;0,ESTIMATIVA[[#This Row],[QT_CANA_REAL]],ESTIMATIVA[[#This Row],[QT_CANA_REST1]])</f>
        <v>3988.72</v>
      </c>
      <c r="AF1821" s="1">
        <f>IF(ESTIMATIVA[[#This Row],[QT_AREA_REAL]]&gt;0,ESTIMATIVA[[#This Row],[QT_CANA_REAL]],ESTIMATIVA[[#This Row],[QT_CANA_REST2]])</f>
        <v>3988.72</v>
      </c>
      <c r="AG1821" s="1" t="str">
        <f>IF(COUNTIFS(GEADA!A:A,VALUE(ESTIMATIVA[[#This Row],[CD_UPNIVEL1]]&amp;TEXT(ESTIMATIVA[[#This Row],[CD_UPNIVEL3]],"0000")))&gt;0,"S","N")</f>
        <v>N</v>
      </c>
      <c r="AH182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21" s="55" t="str">
        <f>IF(ESTIMATIVA[[#This Row],[TP_CULTIVO]]="Irrigado",_xlfn.MAXIFS(IRRIGADO!J:J,IRRIGADO!C:C,ESTIMATIVA[[#This Row],[CD_UPNIVEL1]],IRRIGADO!E:E,ESTIMATIVA[[#This Row],[CD_UPNIVEL3]]),"")</f>
        <v/>
      </c>
      <c r="AJ182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21" s="1">
        <f>COUNTIFS(Apresentação!$E$23:$E$29,ESTIMATIVA[[#This Row],[CD_UPNIVEL1]])</f>
        <v>0</v>
      </c>
    </row>
    <row r="1822" spans="1:37" x14ac:dyDescent="0.3">
      <c r="A1822">
        <v>20713</v>
      </c>
      <c r="B1822" t="s">
        <v>97</v>
      </c>
      <c r="C1822">
        <v>11</v>
      </c>
      <c r="D1822">
        <v>2</v>
      </c>
      <c r="E1822" t="s">
        <v>266</v>
      </c>
      <c r="F1822" s="85" t="s">
        <v>331</v>
      </c>
      <c r="G1822"/>
      <c r="H1822" t="s">
        <v>294</v>
      </c>
      <c r="I1822" t="s">
        <v>208</v>
      </c>
      <c r="J1822" t="s">
        <v>177</v>
      </c>
      <c r="K1822" s="1">
        <v>13.39</v>
      </c>
      <c r="L1822" s="1">
        <v>0</v>
      </c>
      <c r="M1822" s="1">
        <v>0</v>
      </c>
      <c r="N1822" s="1">
        <v>13.39</v>
      </c>
      <c r="O1822" s="1">
        <v>1245.27</v>
      </c>
      <c r="P1822" s="1">
        <v>0</v>
      </c>
      <c r="Q1822" s="1">
        <v>0</v>
      </c>
      <c r="R1822" s="1">
        <v>1608.29</v>
      </c>
      <c r="S1822" t="s">
        <v>280</v>
      </c>
      <c r="T1822" s="13">
        <v>45760</v>
      </c>
      <c r="U1822" s="1" t="str">
        <f>IF(ESTIMATIVA[[#This Row],[QT_AREA_REAL]]&gt;0,"1- Colhido","2- à Colher")</f>
        <v>1- Colhido</v>
      </c>
      <c r="V1822" s="1" t="str">
        <f>IF(ESTIMATIVA[[#This Row],[QT_AREA_REST1]]&gt;0,"Reestimativa 1",IF(ESTIMATIVA[[#This Row],[QT_AREA_REAL]]=0,"Reestimativa 1","Realizado"))</f>
        <v>Realizado</v>
      </c>
      <c r="W1822" s="1" t="str">
        <f>IF(ESTIMATIVA[[#This Row],[QT_AREA_REST2]]&gt;0,"Reestimativa 2",IF(ESTIMATIVA[[#This Row],[QT_AREA_REAL]]=0,"Reestimativa 2","Realizado"))</f>
        <v>Realizado</v>
      </c>
      <c r="X1822" s="1">
        <f>ESTIMATIVA[[#This Row],[QT_AREA_EST]]</f>
        <v>13.39</v>
      </c>
      <c r="Y1822" s="1">
        <f>IF(ESTIMATIVA[[#This Row],[QT_AREA_REST1]]&gt;0,ESTIMATIVA[[#This Row],[QT_AREA_REST1]],
  IF(ESTIMATIVA[[#This Row],[QT_AREA_REAL]]&gt;0,ESTIMATIVA[[#This Row],[QT_AREA_REAL]],ESTIMATIVA[[#This Row],[QT_AREA_EST]]))</f>
        <v>13.39</v>
      </c>
      <c r="Z182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13.39</v>
      </c>
      <c r="AA1822" s="1">
        <f>ESTIMATIVA[[#This Row],[QT_CANA_EST]]</f>
        <v>1245.27</v>
      </c>
      <c r="AB1822" s="1">
        <f>IF(ESTIMATIVA[[#This Row],[QT_CANA_REST1]]&gt;0,ESTIMATIVA[[#This Row],[QT_CANA_REST1]],
  IF(ESTIMATIVA[[#This Row],[QT_CANA_REAL]]&gt;0,ESTIMATIVA[[#This Row],[QT_CANA_REAL]],ESTIMATIVA[[#This Row],[QT_CANA_EST]]))</f>
        <v>1608.29</v>
      </c>
      <c r="AC182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1608.29</v>
      </c>
      <c r="AD1822" s="1">
        <f>IF(ESTIMATIVA[[#This Row],[QT_AREA_REAL]]&gt;0,ESTIMATIVA[[#This Row],[QT_CANA_REAL]],ESTIMATIVA[[#This Row],[QT_CANA_EST]])</f>
        <v>1608.29</v>
      </c>
      <c r="AE1822" s="1">
        <f>IF(ESTIMATIVA[[#This Row],[QT_AREA_REAL]]&gt;0,ESTIMATIVA[[#This Row],[QT_CANA_REAL]],ESTIMATIVA[[#This Row],[QT_CANA_REST1]])</f>
        <v>1608.29</v>
      </c>
      <c r="AF1822" s="1">
        <f>IF(ESTIMATIVA[[#This Row],[QT_AREA_REAL]]&gt;0,ESTIMATIVA[[#This Row],[QT_CANA_REAL]],ESTIMATIVA[[#This Row],[QT_CANA_REST2]])</f>
        <v>1608.29</v>
      </c>
      <c r="AG1822" s="1" t="str">
        <f>IF(COUNTIFS(GEADA!A:A,VALUE(ESTIMATIVA[[#This Row],[CD_UPNIVEL1]]&amp;TEXT(ESTIMATIVA[[#This Row],[CD_UPNIVEL3]],"0000")))&gt;0,"S","N")</f>
        <v>N</v>
      </c>
      <c r="AH182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22" s="55" t="str">
        <f>IF(ESTIMATIVA[[#This Row],[TP_CULTIVO]]="Irrigado",_xlfn.MAXIFS(IRRIGADO!J:J,IRRIGADO!C:C,ESTIMATIVA[[#This Row],[CD_UPNIVEL1]],IRRIGADO!E:E,ESTIMATIVA[[#This Row],[CD_UPNIVEL3]]),"")</f>
        <v/>
      </c>
      <c r="AJ182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22" s="1">
        <f>COUNTIFS(Apresentação!$E$23:$E$29,ESTIMATIVA[[#This Row],[CD_UPNIVEL1]])</f>
        <v>0</v>
      </c>
    </row>
    <row r="1823" spans="1:37" x14ac:dyDescent="0.3">
      <c r="A1823">
        <v>20713</v>
      </c>
      <c r="B1823" t="s">
        <v>97</v>
      </c>
      <c r="C1823">
        <v>16</v>
      </c>
      <c r="D1823">
        <v>1</v>
      </c>
      <c r="E1823" t="s">
        <v>267</v>
      </c>
      <c r="F1823" s="85" t="s">
        <v>331</v>
      </c>
      <c r="G1823"/>
      <c r="H1823" t="s">
        <v>294</v>
      </c>
      <c r="I1823" t="s">
        <v>200</v>
      </c>
      <c r="J1823" t="s">
        <v>177</v>
      </c>
      <c r="K1823" s="1">
        <v>13.32</v>
      </c>
      <c r="L1823" s="1">
        <v>13.32</v>
      </c>
      <c r="M1823" s="1">
        <v>0</v>
      </c>
      <c r="N1823" s="1">
        <v>13.32</v>
      </c>
      <c r="O1823" s="1">
        <v>1651.68</v>
      </c>
      <c r="P1823" s="1">
        <v>1678.32</v>
      </c>
      <c r="Q1823" s="1">
        <v>0</v>
      </c>
      <c r="R1823" s="1">
        <v>1705.48</v>
      </c>
      <c r="S1823" t="s">
        <v>280</v>
      </c>
      <c r="T1823" s="13">
        <v>45879</v>
      </c>
      <c r="U1823" s="1" t="str">
        <f>IF(ESTIMATIVA[[#This Row],[QT_AREA_REAL]]&gt;0,"1- Colhido","2- à Colher")</f>
        <v>1- Colhido</v>
      </c>
      <c r="V1823" s="1" t="str">
        <f>IF(ESTIMATIVA[[#This Row],[QT_AREA_REST1]]&gt;0,"Reestimativa 1",IF(ESTIMATIVA[[#This Row],[QT_AREA_REAL]]=0,"Reestimativa 1","Realizado"))</f>
        <v>Reestimativa 1</v>
      </c>
      <c r="W1823" s="1" t="str">
        <f>IF(ESTIMATIVA[[#This Row],[QT_AREA_REST2]]&gt;0,"Reestimativa 2",IF(ESTIMATIVA[[#This Row],[QT_AREA_REAL]]=0,"Reestimativa 2","Realizado"))</f>
        <v>Realizado</v>
      </c>
      <c r="X1823" s="1">
        <f>ESTIMATIVA[[#This Row],[QT_AREA_EST]]</f>
        <v>13.32</v>
      </c>
      <c r="Y1823" s="1">
        <f>IF(ESTIMATIVA[[#This Row],[QT_AREA_REST1]]&gt;0,ESTIMATIVA[[#This Row],[QT_AREA_REST1]],
  IF(ESTIMATIVA[[#This Row],[QT_AREA_REAL]]&gt;0,ESTIMATIVA[[#This Row],[QT_AREA_REAL]],ESTIMATIVA[[#This Row],[QT_AREA_EST]]))</f>
        <v>13.32</v>
      </c>
      <c r="Z182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13.32</v>
      </c>
      <c r="AA1823" s="1">
        <f>ESTIMATIVA[[#This Row],[QT_CANA_EST]]</f>
        <v>1651.68</v>
      </c>
      <c r="AB1823" s="1">
        <f>IF(ESTIMATIVA[[#This Row],[QT_CANA_REST1]]&gt;0,ESTIMATIVA[[#This Row],[QT_CANA_REST1]],
  IF(ESTIMATIVA[[#This Row],[QT_CANA_REAL]]&gt;0,ESTIMATIVA[[#This Row],[QT_CANA_REAL]],ESTIMATIVA[[#This Row],[QT_CANA_EST]]))</f>
        <v>1678.32</v>
      </c>
      <c r="AC182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1705.48</v>
      </c>
      <c r="AD1823" s="1">
        <f>IF(ESTIMATIVA[[#This Row],[QT_AREA_REAL]]&gt;0,ESTIMATIVA[[#This Row],[QT_CANA_REAL]],ESTIMATIVA[[#This Row],[QT_CANA_EST]])</f>
        <v>1705.48</v>
      </c>
      <c r="AE1823" s="1">
        <f>IF(ESTIMATIVA[[#This Row],[QT_AREA_REAL]]&gt;0,ESTIMATIVA[[#This Row],[QT_CANA_REAL]],ESTIMATIVA[[#This Row],[QT_CANA_REST1]])</f>
        <v>1705.48</v>
      </c>
      <c r="AF1823" s="1">
        <f>IF(ESTIMATIVA[[#This Row],[QT_AREA_REAL]]&gt;0,ESTIMATIVA[[#This Row],[QT_CANA_REAL]],ESTIMATIVA[[#This Row],[QT_CANA_REST2]])</f>
        <v>1705.48</v>
      </c>
      <c r="AG1823" s="1" t="str">
        <f>IF(COUNTIFS(GEADA!A:A,VALUE(ESTIMATIVA[[#This Row],[CD_UPNIVEL1]]&amp;TEXT(ESTIMATIVA[[#This Row],[CD_UPNIVEL3]],"0000")))&gt;0,"S","N")</f>
        <v>N</v>
      </c>
      <c r="AH182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23" s="55" t="str">
        <f>IF(ESTIMATIVA[[#This Row],[TP_CULTIVO]]="Irrigado",_xlfn.MAXIFS(IRRIGADO!J:J,IRRIGADO!C:C,ESTIMATIVA[[#This Row],[CD_UPNIVEL1]],IRRIGADO!E:E,ESTIMATIVA[[#This Row],[CD_UPNIVEL3]]),"")</f>
        <v/>
      </c>
      <c r="AJ182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23" s="1">
        <f>COUNTIFS(Apresentação!$E$23:$E$29,ESTIMATIVA[[#This Row],[CD_UPNIVEL1]])</f>
        <v>0</v>
      </c>
    </row>
    <row r="1824" spans="1:37" x14ac:dyDescent="0.3">
      <c r="A1824">
        <v>20713</v>
      </c>
      <c r="B1824" t="s">
        <v>97</v>
      </c>
      <c r="C1824">
        <v>17</v>
      </c>
      <c r="D1824">
        <v>1</v>
      </c>
      <c r="E1824" t="s">
        <v>267</v>
      </c>
      <c r="F1824" s="85" t="s">
        <v>331</v>
      </c>
      <c r="G1824"/>
      <c r="H1824" t="s">
        <v>294</v>
      </c>
      <c r="I1824" t="s">
        <v>200</v>
      </c>
      <c r="J1824" t="s">
        <v>177</v>
      </c>
      <c r="K1824" s="1">
        <v>20.190000000000001</v>
      </c>
      <c r="L1824" s="1">
        <v>20.190000000000001</v>
      </c>
      <c r="M1824" s="1">
        <v>0</v>
      </c>
      <c r="N1824" s="1">
        <v>20.190000000000001</v>
      </c>
      <c r="O1824" s="1">
        <v>2503.56</v>
      </c>
      <c r="P1824" s="1">
        <v>2543.94</v>
      </c>
      <c r="Q1824" s="1">
        <v>0</v>
      </c>
      <c r="R1824" s="1">
        <v>2585.83</v>
      </c>
      <c r="S1824" t="s">
        <v>280</v>
      </c>
      <c r="T1824" s="13">
        <v>45879</v>
      </c>
      <c r="U1824" s="1" t="str">
        <f>IF(ESTIMATIVA[[#This Row],[QT_AREA_REAL]]&gt;0,"1- Colhido","2- à Colher")</f>
        <v>1- Colhido</v>
      </c>
      <c r="V1824" s="1" t="str">
        <f>IF(ESTIMATIVA[[#This Row],[QT_AREA_REST1]]&gt;0,"Reestimativa 1",IF(ESTIMATIVA[[#This Row],[QT_AREA_REAL]]=0,"Reestimativa 1","Realizado"))</f>
        <v>Reestimativa 1</v>
      </c>
      <c r="W1824" s="1" t="str">
        <f>IF(ESTIMATIVA[[#This Row],[QT_AREA_REST2]]&gt;0,"Reestimativa 2",IF(ESTIMATIVA[[#This Row],[QT_AREA_REAL]]=0,"Reestimativa 2","Realizado"))</f>
        <v>Realizado</v>
      </c>
      <c r="X1824" s="1">
        <f>ESTIMATIVA[[#This Row],[QT_AREA_EST]]</f>
        <v>20.190000000000001</v>
      </c>
      <c r="Y1824" s="1">
        <f>IF(ESTIMATIVA[[#This Row],[QT_AREA_REST1]]&gt;0,ESTIMATIVA[[#This Row],[QT_AREA_REST1]],
  IF(ESTIMATIVA[[#This Row],[QT_AREA_REAL]]&gt;0,ESTIMATIVA[[#This Row],[QT_AREA_REAL]],ESTIMATIVA[[#This Row],[QT_AREA_EST]]))</f>
        <v>20.190000000000001</v>
      </c>
      <c r="Z182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20.190000000000001</v>
      </c>
      <c r="AA1824" s="1">
        <f>ESTIMATIVA[[#This Row],[QT_CANA_EST]]</f>
        <v>2503.56</v>
      </c>
      <c r="AB1824" s="1">
        <f>IF(ESTIMATIVA[[#This Row],[QT_CANA_REST1]]&gt;0,ESTIMATIVA[[#This Row],[QT_CANA_REST1]],
  IF(ESTIMATIVA[[#This Row],[QT_CANA_REAL]]&gt;0,ESTIMATIVA[[#This Row],[QT_CANA_REAL]],ESTIMATIVA[[#This Row],[QT_CANA_EST]]))</f>
        <v>2543.94</v>
      </c>
      <c r="AC182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2585.83</v>
      </c>
      <c r="AD1824" s="1">
        <f>IF(ESTIMATIVA[[#This Row],[QT_AREA_REAL]]&gt;0,ESTIMATIVA[[#This Row],[QT_CANA_REAL]],ESTIMATIVA[[#This Row],[QT_CANA_EST]])</f>
        <v>2585.83</v>
      </c>
      <c r="AE1824" s="1">
        <f>IF(ESTIMATIVA[[#This Row],[QT_AREA_REAL]]&gt;0,ESTIMATIVA[[#This Row],[QT_CANA_REAL]],ESTIMATIVA[[#This Row],[QT_CANA_REST1]])</f>
        <v>2585.83</v>
      </c>
      <c r="AF1824" s="1">
        <f>IF(ESTIMATIVA[[#This Row],[QT_AREA_REAL]]&gt;0,ESTIMATIVA[[#This Row],[QT_CANA_REAL]],ESTIMATIVA[[#This Row],[QT_CANA_REST2]])</f>
        <v>2585.83</v>
      </c>
      <c r="AG1824" s="1" t="str">
        <f>IF(COUNTIFS(GEADA!A:A,VALUE(ESTIMATIVA[[#This Row],[CD_UPNIVEL1]]&amp;TEXT(ESTIMATIVA[[#This Row],[CD_UPNIVEL3]],"0000")))&gt;0,"S","N")</f>
        <v>N</v>
      </c>
      <c r="AH182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24" s="55" t="str">
        <f>IF(ESTIMATIVA[[#This Row],[TP_CULTIVO]]="Irrigado",_xlfn.MAXIFS(IRRIGADO!J:J,IRRIGADO!C:C,ESTIMATIVA[[#This Row],[CD_UPNIVEL1]],IRRIGADO!E:E,ESTIMATIVA[[#This Row],[CD_UPNIVEL3]]),"")</f>
        <v/>
      </c>
      <c r="AJ182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24" s="1">
        <f>COUNTIFS(Apresentação!$E$23:$E$29,ESTIMATIVA[[#This Row],[CD_UPNIVEL1]])</f>
        <v>0</v>
      </c>
    </row>
    <row r="1825" spans="1:37" x14ac:dyDescent="0.3">
      <c r="A1825">
        <v>20713</v>
      </c>
      <c r="B1825" t="s">
        <v>97</v>
      </c>
      <c r="C1825">
        <v>18</v>
      </c>
      <c r="D1825">
        <v>2</v>
      </c>
      <c r="E1825" t="s">
        <v>266</v>
      </c>
      <c r="F1825" s="85" t="s">
        <v>331</v>
      </c>
      <c r="G1825"/>
      <c r="H1825" t="s">
        <v>294</v>
      </c>
      <c r="I1825" t="s">
        <v>200</v>
      </c>
      <c r="J1825" t="s">
        <v>177</v>
      </c>
      <c r="K1825" s="1">
        <v>6.43</v>
      </c>
      <c r="L1825" s="1">
        <v>6.43</v>
      </c>
      <c r="M1825" s="1">
        <v>0</v>
      </c>
      <c r="N1825" s="1">
        <v>6.43</v>
      </c>
      <c r="O1825" s="1">
        <v>630.14</v>
      </c>
      <c r="P1825" s="1">
        <v>630.14</v>
      </c>
      <c r="Q1825" s="1">
        <v>0</v>
      </c>
      <c r="R1825" s="1">
        <v>709.66</v>
      </c>
      <c r="S1825" t="s">
        <v>280</v>
      </c>
      <c r="T1825" s="13">
        <v>45879</v>
      </c>
      <c r="U1825" s="1" t="str">
        <f>IF(ESTIMATIVA[[#This Row],[QT_AREA_REAL]]&gt;0,"1- Colhido","2- à Colher")</f>
        <v>1- Colhido</v>
      </c>
      <c r="V1825" s="1" t="str">
        <f>IF(ESTIMATIVA[[#This Row],[QT_AREA_REST1]]&gt;0,"Reestimativa 1",IF(ESTIMATIVA[[#This Row],[QT_AREA_REAL]]=0,"Reestimativa 1","Realizado"))</f>
        <v>Reestimativa 1</v>
      </c>
      <c r="W1825" s="1" t="str">
        <f>IF(ESTIMATIVA[[#This Row],[QT_AREA_REST2]]&gt;0,"Reestimativa 2",IF(ESTIMATIVA[[#This Row],[QT_AREA_REAL]]=0,"Reestimativa 2","Realizado"))</f>
        <v>Realizado</v>
      </c>
      <c r="X1825" s="1">
        <f>ESTIMATIVA[[#This Row],[QT_AREA_EST]]</f>
        <v>6.43</v>
      </c>
      <c r="Y1825" s="1">
        <f>IF(ESTIMATIVA[[#This Row],[QT_AREA_REST1]]&gt;0,ESTIMATIVA[[#This Row],[QT_AREA_REST1]],
  IF(ESTIMATIVA[[#This Row],[QT_AREA_REAL]]&gt;0,ESTIMATIVA[[#This Row],[QT_AREA_REAL]],ESTIMATIVA[[#This Row],[QT_AREA_EST]]))</f>
        <v>6.43</v>
      </c>
      <c r="Z182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6.43</v>
      </c>
      <c r="AA1825" s="1">
        <f>ESTIMATIVA[[#This Row],[QT_CANA_EST]]</f>
        <v>630.14</v>
      </c>
      <c r="AB1825" s="1">
        <f>IF(ESTIMATIVA[[#This Row],[QT_CANA_REST1]]&gt;0,ESTIMATIVA[[#This Row],[QT_CANA_REST1]],
  IF(ESTIMATIVA[[#This Row],[QT_CANA_REAL]]&gt;0,ESTIMATIVA[[#This Row],[QT_CANA_REAL]],ESTIMATIVA[[#This Row],[QT_CANA_EST]]))</f>
        <v>630.14</v>
      </c>
      <c r="AC182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709.66</v>
      </c>
      <c r="AD1825" s="1">
        <f>IF(ESTIMATIVA[[#This Row],[QT_AREA_REAL]]&gt;0,ESTIMATIVA[[#This Row],[QT_CANA_REAL]],ESTIMATIVA[[#This Row],[QT_CANA_EST]])</f>
        <v>709.66</v>
      </c>
      <c r="AE1825" s="1">
        <f>IF(ESTIMATIVA[[#This Row],[QT_AREA_REAL]]&gt;0,ESTIMATIVA[[#This Row],[QT_CANA_REAL]],ESTIMATIVA[[#This Row],[QT_CANA_REST1]])</f>
        <v>709.66</v>
      </c>
      <c r="AF1825" s="1">
        <f>IF(ESTIMATIVA[[#This Row],[QT_AREA_REAL]]&gt;0,ESTIMATIVA[[#This Row],[QT_CANA_REAL]],ESTIMATIVA[[#This Row],[QT_CANA_REST2]])</f>
        <v>709.66</v>
      </c>
      <c r="AG1825" s="1" t="str">
        <f>IF(COUNTIFS(GEADA!A:A,VALUE(ESTIMATIVA[[#This Row],[CD_UPNIVEL1]]&amp;TEXT(ESTIMATIVA[[#This Row],[CD_UPNIVEL3]],"0000")))&gt;0,"S","N")</f>
        <v>N</v>
      </c>
      <c r="AH182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25" s="55" t="str">
        <f>IF(ESTIMATIVA[[#This Row],[TP_CULTIVO]]="Irrigado",_xlfn.MAXIFS(IRRIGADO!J:J,IRRIGADO!C:C,ESTIMATIVA[[#This Row],[CD_UPNIVEL1]],IRRIGADO!E:E,ESTIMATIVA[[#This Row],[CD_UPNIVEL3]]),"")</f>
        <v/>
      </c>
      <c r="AJ182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25" s="1">
        <f>COUNTIFS(Apresentação!$E$23:$E$29,ESTIMATIVA[[#This Row],[CD_UPNIVEL1]])</f>
        <v>0</v>
      </c>
    </row>
    <row r="1826" spans="1:37" x14ac:dyDescent="0.3">
      <c r="A1826">
        <v>20713</v>
      </c>
      <c r="B1826" t="s">
        <v>97</v>
      </c>
      <c r="C1826">
        <v>19</v>
      </c>
      <c r="D1826">
        <v>2</v>
      </c>
      <c r="E1826" t="s">
        <v>266</v>
      </c>
      <c r="F1826" s="85" t="s">
        <v>331</v>
      </c>
      <c r="G1826"/>
      <c r="H1826" t="s">
        <v>294</v>
      </c>
      <c r="I1826" t="s">
        <v>200</v>
      </c>
      <c r="J1826" t="s">
        <v>177</v>
      </c>
      <c r="K1826" s="1">
        <v>2.79</v>
      </c>
      <c r="L1826" s="1">
        <v>2.79</v>
      </c>
      <c r="M1826" s="1">
        <v>0</v>
      </c>
      <c r="N1826" s="1">
        <v>2.79</v>
      </c>
      <c r="O1826" s="1">
        <v>273.42</v>
      </c>
      <c r="P1826" s="1">
        <v>273.42</v>
      </c>
      <c r="Q1826" s="1">
        <v>0</v>
      </c>
      <c r="R1826" s="1">
        <v>307.51</v>
      </c>
      <c r="S1826" t="s">
        <v>280</v>
      </c>
      <c r="T1826" s="13">
        <v>45879</v>
      </c>
      <c r="U1826" s="1" t="str">
        <f>IF(ESTIMATIVA[[#This Row],[QT_AREA_REAL]]&gt;0,"1- Colhido","2- à Colher")</f>
        <v>1- Colhido</v>
      </c>
      <c r="V1826" s="1" t="str">
        <f>IF(ESTIMATIVA[[#This Row],[QT_AREA_REST1]]&gt;0,"Reestimativa 1",IF(ESTIMATIVA[[#This Row],[QT_AREA_REAL]]=0,"Reestimativa 1","Realizado"))</f>
        <v>Reestimativa 1</v>
      </c>
      <c r="W1826" s="1" t="str">
        <f>IF(ESTIMATIVA[[#This Row],[QT_AREA_REST2]]&gt;0,"Reestimativa 2",IF(ESTIMATIVA[[#This Row],[QT_AREA_REAL]]=0,"Reestimativa 2","Realizado"))</f>
        <v>Realizado</v>
      </c>
      <c r="X1826" s="1">
        <f>ESTIMATIVA[[#This Row],[QT_AREA_EST]]</f>
        <v>2.79</v>
      </c>
      <c r="Y1826" s="1">
        <f>IF(ESTIMATIVA[[#This Row],[QT_AREA_REST1]]&gt;0,ESTIMATIVA[[#This Row],[QT_AREA_REST1]],
  IF(ESTIMATIVA[[#This Row],[QT_AREA_REAL]]&gt;0,ESTIMATIVA[[#This Row],[QT_AREA_REAL]],ESTIMATIVA[[#This Row],[QT_AREA_EST]]))</f>
        <v>2.79</v>
      </c>
      <c r="Z182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2.79</v>
      </c>
      <c r="AA1826" s="1">
        <f>ESTIMATIVA[[#This Row],[QT_CANA_EST]]</f>
        <v>273.42</v>
      </c>
      <c r="AB1826" s="1">
        <f>IF(ESTIMATIVA[[#This Row],[QT_CANA_REST1]]&gt;0,ESTIMATIVA[[#This Row],[QT_CANA_REST1]],
  IF(ESTIMATIVA[[#This Row],[QT_CANA_REAL]]&gt;0,ESTIMATIVA[[#This Row],[QT_CANA_REAL]],ESTIMATIVA[[#This Row],[QT_CANA_EST]]))</f>
        <v>273.42</v>
      </c>
      <c r="AC182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307.51</v>
      </c>
      <c r="AD1826" s="1">
        <f>IF(ESTIMATIVA[[#This Row],[QT_AREA_REAL]]&gt;0,ESTIMATIVA[[#This Row],[QT_CANA_REAL]],ESTIMATIVA[[#This Row],[QT_CANA_EST]])</f>
        <v>307.51</v>
      </c>
      <c r="AE1826" s="1">
        <f>IF(ESTIMATIVA[[#This Row],[QT_AREA_REAL]]&gt;0,ESTIMATIVA[[#This Row],[QT_CANA_REAL]],ESTIMATIVA[[#This Row],[QT_CANA_REST1]])</f>
        <v>307.51</v>
      </c>
      <c r="AF1826" s="1">
        <f>IF(ESTIMATIVA[[#This Row],[QT_AREA_REAL]]&gt;0,ESTIMATIVA[[#This Row],[QT_CANA_REAL]],ESTIMATIVA[[#This Row],[QT_CANA_REST2]])</f>
        <v>307.51</v>
      </c>
      <c r="AG1826" s="1" t="str">
        <f>IF(COUNTIFS(GEADA!A:A,VALUE(ESTIMATIVA[[#This Row],[CD_UPNIVEL1]]&amp;TEXT(ESTIMATIVA[[#This Row],[CD_UPNIVEL3]],"0000")))&gt;0,"S","N")</f>
        <v>N</v>
      </c>
      <c r="AH182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26" s="55" t="str">
        <f>IF(ESTIMATIVA[[#This Row],[TP_CULTIVO]]="Irrigado",_xlfn.MAXIFS(IRRIGADO!J:J,IRRIGADO!C:C,ESTIMATIVA[[#This Row],[CD_UPNIVEL1]],IRRIGADO!E:E,ESTIMATIVA[[#This Row],[CD_UPNIVEL3]]),"")</f>
        <v/>
      </c>
      <c r="AJ182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26" s="1">
        <f>COUNTIFS(Apresentação!$E$23:$E$29,ESTIMATIVA[[#This Row],[CD_UPNIVEL1]])</f>
        <v>0</v>
      </c>
    </row>
    <row r="1827" spans="1:37" x14ac:dyDescent="0.3">
      <c r="A1827">
        <v>20713</v>
      </c>
      <c r="B1827" t="s">
        <v>97</v>
      </c>
      <c r="C1827">
        <v>20</v>
      </c>
      <c r="D1827">
        <v>4</v>
      </c>
      <c r="E1827" t="s">
        <v>265</v>
      </c>
      <c r="F1827" s="85" t="s">
        <v>331</v>
      </c>
      <c r="G1827"/>
      <c r="H1827" t="s">
        <v>294</v>
      </c>
      <c r="I1827" t="s">
        <v>200</v>
      </c>
      <c r="J1827" t="s">
        <v>177</v>
      </c>
      <c r="K1827" s="1">
        <v>12.75</v>
      </c>
      <c r="L1827" s="1">
        <v>12.75</v>
      </c>
      <c r="M1827" s="1">
        <v>0</v>
      </c>
      <c r="N1827" s="1">
        <v>12.75</v>
      </c>
      <c r="O1827" s="1">
        <v>510</v>
      </c>
      <c r="P1827" s="1">
        <v>637.5</v>
      </c>
      <c r="Q1827" s="1">
        <v>0</v>
      </c>
      <c r="R1827" s="1">
        <v>704.57</v>
      </c>
      <c r="S1827" t="s">
        <v>280</v>
      </c>
      <c r="T1827" s="13">
        <v>45879</v>
      </c>
      <c r="U1827" s="1" t="str">
        <f>IF(ESTIMATIVA[[#This Row],[QT_AREA_REAL]]&gt;0,"1- Colhido","2- à Colher")</f>
        <v>1- Colhido</v>
      </c>
      <c r="V1827" s="1" t="str">
        <f>IF(ESTIMATIVA[[#This Row],[QT_AREA_REST1]]&gt;0,"Reestimativa 1",IF(ESTIMATIVA[[#This Row],[QT_AREA_REAL]]=0,"Reestimativa 1","Realizado"))</f>
        <v>Reestimativa 1</v>
      </c>
      <c r="W1827" s="1" t="str">
        <f>IF(ESTIMATIVA[[#This Row],[QT_AREA_REST2]]&gt;0,"Reestimativa 2",IF(ESTIMATIVA[[#This Row],[QT_AREA_REAL]]=0,"Reestimativa 2","Realizado"))</f>
        <v>Realizado</v>
      </c>
      <c r="X1827" s="1">
        <f>ESTIMATIVA[[#This Row],[QT_AREA_EST]]</f>
        <v>12.75</v>
      </c>
      <c r="Y1827" s="1">
        <f>IF(ESTIMATIVA[[#This Row],[QT_AREA_REST1]]&gt;0,ESTIMATIVA[[#This Row],[QT_AREA_REST1]],
  IF(ESTIMATIVA[[#This Row],[QT_AREA_REAL]]&gt;0,ESTIMATIVA[[#This Row],[QT_AREA_REAL]],ESTIMATIVA[[#This Row],[QT_AREA_EST]]))</f>
        <v>12.75</v>
      </c>
      <c r="Z182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12.75</v>
      </c>
      <c r="AA1827" s="1">
        <f>ESTIMATIVA[[#This Row],[QT_CANA_EST]]</f>
        <v>510</v>
      </c>
      <c r="AB1827" s="1">
        <f>IF(ESTIMATIVA[[#This Row],[QT_CANA_REST1]]&gt;0,ESTIMATIVA[[#This Row],[QT_CANA_REST1]],
  IF(ESTIMATIVA[[#This Row],[QT_CANA_REAL]]&gt;0,ESTIMATIVA[[#This Row],[QT_CANA_REAL]],ESTIMATIVA[[#This Row],[QT_CANA_EST]]))</f>
        <v>637.5</v>
      </c>
      <c r="AC182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704.57</v>
      </c>
      <c r="AD1827" s="1">
        <f>IF(ESTIMATIVA[[#This Row],[QT_AREA_REAL]]&gt;0,ESTIMATIVA[[#This Row],[QT_CANA_REAL]],ESTIMATIVA[[#This Row],[QT_CANA_EST]])</f>
        <v>704.57</v>
      </c>
      <c r="AE1827" s="1">
        <f>IF(ESTIMATIVA[[#This Row],[QT_AREA_REAL]]&gt;0,ESTIMATIVA[[#This Row],[QT_CANA_REAL]],ESTIMATIVA[[#This Row],[QT_CANA_REST1]])</f>
        <v>704.57</v>
      </c>
      <c r="AF1827" s="1">
        <f>IF(ESTIMATIVA[[#This Row],[QT_AREA_REAL]]&gt;0,ESTIMATIVA[[#This Row],[QT_CANA_REAL]],ESTIMATIVA[[#This Row],[QT_CANA_REST2]])</f>
        <v>704.57</v>
      </c>
      <c r="AG1827" s="1" t="str">
        <f>IF(COUNTIFS(GEADA!A:A,VALUE(ESTIMATIVA[[#This Row],[CD_UPNIVEL1]]&amp;TEXT(ESTIMATIVA[[#This Row],[CD_UPNIVEL3]],"0000")))&gt;0,"S","N")</f>
        <v>N</v>
      </c>
      <c r="AH182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27" s="55" t="str">
        <f>IF(ESTIMATIVA[[#This Row],[TP_CULTIVO]]="Irrigado",_xlfn.MAXIFS(IRRIGADO!J:J,IRRIGADO!C:C,ESTIMATIVA[[#This Row],[CD_UPNIVEL1]],IRRIGADO!E:E,ESTIMATIVA[[#This Row],[CD_UPNIVEL3]]),"")</f>
        <v/>
      </c>
      <c r="AJ182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27" s="1">
        <f>COUNTIFS(Apresentação!$E$23:$E$29,ESTIMATIVA[[#This Row],[CD_UPNIVEL1]])</f>
        <v>0</v>
      </c>
    </row>
    <row r="1828" spans="1:37" x14ac:dyDescent="0.3">
      <c r="A1828">
        <v>20713</v>
      </c>
      <c r="B1828" t="s">
        <v>97</v>
      </c>
      <c r="C1828">
        <v>21</v>
      </c>
      <c r="D1828">
        <v>2</v>
      </c>
      <c r="E1828" t="s">
        <v>266</v>
      </c>
      <c r="F1828" s="85" t="s">
        <v>331</v>
      </c>
      <c r="G1828"/>
      <c r="H1828" t="s">
        <v>294</v>
      </c>
      <c r="I1828" t="s">
        <v>200</v>
      </c>
      <c r="J1828" t="s">
        <v>177</v>
      </c>
      <c r="K1828" s="1">
        <v>3.47</v>
      </c>
      <c r="L1828" s="1">
        <v>3.47</v>
      </c>
      <c r="M1828" s="1">
        <v>0</v>
      </c>
      <c r="N1828" s="1">
        <v>3.47</v>
      </c>
      <c r="O1828" s="1">
        <v>340.06</v>
      </c>
      <c r="P1828" s="1">
        <v>347</v>
      </c>
      <c r="Q1828" s="1">
        <v>0</v>
      </c>
      <c r="R1828" s="1">
        <v>390.87</v>
      </c>
      <c r="S1828" t="s">
        <v>280</v>
      </c>
      <c r="T1828" s="13">
        <v>45879</v>
      </c>
      <c r="U1828" s="1" t="str">
        <f>IF(ESTIMATIVA[[#This Row],[QT_AREA_REAL]]&gt;0,"1- Colhido","2- à Colher")</f>
        <v>1- Colhido</v>
      </c>
      <c r="V1828" s="1" t="str">
        <f>IF(ESTIMATIVA[[#This Row],[QT_AREA_REST1]]&gt;0,"Reestimativa 1",IF(ESTIMATIVA[[#This Row],[QT_AREA_REAL]]=0,"Reestimativa 1","Realizado"))</f>
        <v>Reestimativa 1</v>
      </c>
      <c r="W1828" s="1" t="str">
        <f>IF(ESTIMATIVA[[#This Row],[QT_AREA_REST2]]&gt;0,"Reestimativa 2",IF(ESTIMATIVA[[#This Row],[QT_AREA_REAL]]=0,"Reestimativa 2","Realizado"))</f>
        <v>Realizado</v>
      </c>
      <c r="X1828" s="1">
        <f>ESTIMATIVA[[#This Row],[QT_AREA_EST]]</f>
        <v>3.47</v>
      </c>
      <c r="Y1828" s="1">
        <f>IF(ESTIMATIVA[[#This Row],[QT_AREA_REST1]]&gt;0,ESTIMATIVA[[#This Row],[QT_AREA_REST1]],
  IF(ESTIMATIVA[[#This Row],[QT_AREA_REAL]]&gt;0,ESTIMATIVA[[#This Row],[QT_AREA_REAL]],ESTIMATIVA[[#This Row],[QT_AREA_EST]]))</f>
        <v>3.47</v>
      </c>
      <c r="Z182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3.47</v>
      </c>
      <c r="AA1828" s="1">
        <f>ESTIMATIVA[[#This Row],[QT_CANA_EST]]</f>
        <v>340.06</v>
      </c>
      <c r="AB1828" s="1">
        <f>IF(ESTIMATIVA[[#This Row],[QT_CANA_REST1]]&gt;0,ESTIMATIVA[[#This Row],[QT_CANA_REST1]],
  IF(ESTIMATIVA[[#This Row],[QT_CANA_REAL]]&gt;0,ESTIMATIVA[[#This Row],[QT_CANA_REAL]],ESTIMATIVA[[#This Row],[QT_CANA_EST]]))</f>
        <v>347</v>
      </c>
      <c r="AC182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390.87</v>
      </c>
      <c r="AD1828" s="1">
        <f>IF(ESTIMATIVA[[#This Row],[QT_AREA_REAL]]&gt;0,ESTIMATIVA[[#This Row],[QT_CANA_REAL]],ESTIMATIVA[[#This Row],[QT_CANA_EST]])</f>
        <v>390.87</v>
      </c>
      <c r="AE1828" s="1">
        <f>IF(ESTIMATIVA[[#This Row],[QT_AREA_REAL]]&gt;0,ESTIMATIVA[[#This Row],[QT_CANA_REAL]],ESTIMATIVA[[#This Row],[QT_CANA_REST1]])</f>
        <v>390.87</v>
      </c>
      <c r="AF1828" s="1">
        <f>IF(ESTIMATIVA[[#This Row],[QT_AREA_REAL]]&gt;0,ESTIMATIVA[[#This Row],[QT_CANA_REAL]],ESTIMATIVA[[#This Row],[QT_CANA_REST2]])</f>
        <v>390.87</v>
      </c>
      <c r="AG1828" s="1" t="str">
        <f>IF(COUNTIFS(GEADA!A:A,VALUE(ESTIMATIVA[[#This Row],[CD_UPNIVEL1]]&amp;TEXT(ESTIMATIVA[[#This Row],[CD_UPNIVEL3]],"0000")))&gt;0,"S","N")</f>
        <v>N</v>
      </c>
      <c r="AH182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28" s="55" t="str">
        <f>IF(ESTIMATIVA[[#This Row],[TP_CULTIVO]]="Irrigado",_xlfn.MAXIFS(IRRIGADO!J:J,IRRIGADO!C:C,ESTIMATIVA[[#This Row],[CD_UPNIVEL1]],IRRIGADO!E:E,ESTIMATIVA[[#This Row],[CD_UPNIVEL3]]),"")</f>
        <v/>
      </c>
      <c r="AJ182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28" s="1">
        <f>COUNTIFS(Apresentação!$E$23:$E$29,ESTIMATIVA[[#This Row],[CD_UPNIVEL1]])</f>
        <v>0</v>
      </c>
    </row>
    <row r="1829" spans="1:37" x14ac:dyDescent="0.3">
      <c r="A1829">
        <v>20713</v>
      </c>
      <c r="B1829" t="s">
        <v>97</v>
      </c>
      <c r="C1829">
        <v>22</v>
      </c>
      <c r="D1829">
        <v>2</v>
      </c>
      <c r="E1829" t="s">
        <v>266</v>
      </c>
      <c r="F1829" s="85" t="s">
        <v>331</v>
      </c>
      <c r="G1829"/>
      <c r="H1829" t="s">
        <v>294</v>
      </c>
      <c r="I1829" t="s">
        <v>200</v>
      </c>
      <c r="J1829" t="s">
        <v>177</v>
      </c>
      <c r="K1829" s="1">
        <v>2.0299999999999998</v>
      </c>
      <c r="L1829" s="1">
        <v>2.0299999999999998</v>
      </c>
      <c r="M1829" s="1">
        <v>0</v>
      </c>
      <c r="N1829" s="1">
        <v>2.0299999999999998</v>
      </c>
      <c r="O1829" s="1">
        <v>198.94</v>
      </c>
      <c r="P1829" s="1">
        <v>203</v>
      </c>
      <c r="Q1829" s="1">
        <v>0</v>
      </c>
      <c r="R1829" s="1">
        <v>228.65</v>
      </c>
      <c r="S1829" t="s">
        <v>280</v>
      </c>
      <c r="T1829" s="13">
        <v>45879</v>
      </c>
      <c r="U1829" s="1" t="str">
        <f>IF(ESTIMATIVA[[#This Row],[QT_AREA_REAL]]&gt;0,"1- Colhido","2- à Colher")</f>
        <v>1- Colhido</v>
      </c>
      <c r="V1829" s="1" t="str">
        <f>IF(ESTIMATIVA[[#This Row],[QT_AREA_REST1]]&gt;0,"Reestimativa 1",IF(ESTIMATIVA[[#This Row],[QT_AREA_REAL]]=0,"Reestimativa 1","Realizado"))</f>
        <v>Reestimativa 1</v>
      </c>
      <c r="W1829" s="1" t="str">
        <f>IF(ESTIMATIVA[[#This Row],[QT_AREA_REST2]]&gt;0,"Reestimativa 2",IF(ESTIMATIVA[[#This Row],[QT_AREA_REAL]]=0,"Reestimativa 2","Realizado"))</f>
        <v>Realizado</v>
      </c>
      <c r="X1829" s="1">
        <f>ESTIMATIVA[[#This Row],[QT_AREA_EST]]</f>
        <v>2.0299999999999998</v>
      </c>
      <c r="Y1829" s="1">
        <f>IF(ESTIMATIVA[[#This Row],[QT_AREA_REST1]]&gt;0,ESTIMATIVA[[#This Row],[QT_AREA_REST1]],
  IF(ESTIMATIVA[[#This Row],[QT_AREA_REAL]]&gt;0,ESTIMATIVA[[#This Row],[QT_AREA_REAL]],ESTIMATIVA[[#This Row],[QT_AREA_EST]]))</f>
        <v>2.0299999999999998</v>
      </c>
      <c r="Z182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2.0299999999999998</v>
      </c>
      <c r="AA1829" s="1">
        <f>ESTIMATIVA[[#This Row],[QT_CANA_EST]]</f>
        <v>198.94</v>
      </c>
      <c r="AB1829" s="1">
        <f>IF(ESTIMATIVA[[#This Row],[QT_CANA_REST1]]&gt;0,ESTIMATIVA[[#This Row],[QT_CANA_REST1]],
  IF(ESTIMATIVA[[#This Row],[QT_CANA_REAL]]&gt;0,ESTIMATIVA[[#This Row],[QT_CANA_REAL]],ESTIMATIVA[[#This Row],[QT_CANA_EST]]))</f>
        <v>203</v>
      </c>
      <c r="AC182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228.65</v>
      </c>
      <c r="AD1829" s="1">
        <f>IF(ESTIMATIVA[[#This Row],[QT_AREA_REAL]]&gt;0,ESTIMATIVA[[#This Row],[QT_CANA_REAL]],ESTIMATIVA[[#This Row],[QT_CANA_EST]])</f>
        <v>228.65</v>
      </c>
      <c r="AE1829" s="1">
        <f>IF(ESTIMATIVA[[#This Row],[QT_AREA_REAL]]&gt;0,ESTIMATIVA[[#This Row],[QT_CANA_REAL]],ESTIMATIVA[[#This Row],[QT_CANA_REST1]])</f>
        <v>228.65</v>
      </c>
      <c r="AF1829" s="1">
        <f>IF(ESTIMATIVA[[#This Row],[QT_AREA_REAL]]&gt;0,ESTIMATIVA[[#This Row],[QT_CANA_REAL]],ESTIMATIVA[[#This Row],[QT_CANA_REST2]])</f>
        <v>228.65</v>
      </c>
      <c r="AG1829" s="1" t="str">
        <f>IF(COUNTIFS(GEADA!A:A,VALUE(ESTIMATIVA[[#This Row],[CD_UPNIVEL1]]&amp;TEXT(ESTIMATIVA[[#This Row],[CD_UPNIVEL3]],"0000")))&gt;0,"S","N")</f>
        <v>N</v>
      </c>
      <c r="AH182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29" s="55" t="str">
        <f>IF(ESTIMATIVA[[#This Row],[TP_CULTIVO]]="Irrigado",_xlfn.MAXIFS(IRRIGADO!J:J,IRRIGADO!C:C,ESTIMATIVA[[#This Row],[CD_UPNIVEL1]],IRRIGADO!E:E,ESTIMATIVA[[#This Row],[CD_UPNIVEL3]]),"")</f>
        <v/>
      </c>
      <c r="AJ182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29" s="1">
        <f>COUNTIFS(Apresentação!$E$23:$E$29,ESTIMATIVA[[#This Row],[CD_UPNIVEL1]])</f>
        <v>0</v>
      </c>
    </row>
    <row r="1830" spans="1:37" x14ac:dyDescent="0.3">
      <c r="A1830">
        <v>20713</v>
      </c>
      <c r="B1830" t="s">
        <v>97</v>
      </c>
      <c r="C1830">
        <v>23</v>
      </c>
      <c r="D1830">
        <v>2</v>
      </c>
      <c r="E1830" t="s">
        <v>266</v>
      </c>
      <c r="F1830" s="85" t="s">
        <v>331</v>
      </c>
      <c r="G1830"/>
      <c r="H1830" t="s">
        <v>294</v>
      </c>
      <c r="I1830" t="s">
        <v>200</v>
      </c>
      <c r="J1830" t="s">
        <v>177</v>
      </c>
      <c r="K1830" s="1">
        <v>2.48</v>
      </c>
      <c r="L1830" s="1">
        <v>2.48</v>
      </c>
      <c r="M1830" s="1">
        <v>0</v>
      </c>
      <c r="N1830" s="1">
        <v>2.48</v>
      </c>
      <c r="O1830" s="1">
        <v>243.04</v>
      </c>
      <c r="P1830" s="1">
        <v>248</v>
      </c>
      <c r="Q1830" s="1">
        <v>0</v>
      </c>
      <c r="R1830" s="1">
        <v>279.48</v>
      </c>
      <c r="S1830" t="s">
        <v>280</v>
      </c>
      <c r="T1830" s="13">
        <v>45879</v>
      </c>
      <c r="U1830" s="1" t="str">
        <f>IF(ESTIMATIVA[[#This Row],[QT_AREA_REAL]]&gt;0,"1- Colhido","2- à Colher")</f>
        <v>1- Colhido</v>
      </c>
      <c r="V1830" s="1" t="str">
        <f>IF(ESTIMATIVA[[#This Row],[QT_AREA_REST1]]&gt;0,"Reestimativa 1",IF(ESTIMATIVA[[#This Row],[QT_AREA_REAL]]=0,"Reestimativa 1","Realizado"))</f>
        <v>Reestimativa 1</v>
      </c>
      <c r="W1830" s="1" t="str">
        <f>IF(ESTIMATIVA[[#This Row],[QT_AREA_REST2]]&gt;0,"Reestimativa 2",IF(ESTIMATIVA[[#This Row],[QT_AREA_REAL]]=0,"Reestimativa 2","Realizado"))</f>
        <v>Realizado</v>
      </c>
      <c r="X1830" s="1">
        <f>ESTIMATIVA[[#This Row],[QT_AREA_EST]]</f>
        <v>2.48</v>
      </c>
      <c r="Y1830" s="1">
        <f>IF(ESTIMATIVA[[#This Row],[QT_AREA_REST1]]&gt;0,ESTIMATIVA[[#This Row],[QT_AREA_REST1]],
  IF(ESTIMATIVA[[#This Row],[QT_AREA_REAL]]&gt;0,ESTIMATIVA[[#This Row],[QT_AREA_REAL]],ESTIMATIVA[[#This Row],[QT_AREA_EST]]))</f>
        <v>2.48</v>
      </c>
      <c r="Z183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2.48</v>
      </c>
      <c r="AA1830" s="1">
        <f>ESTIMATIVA[[#This Row],[QT_CANA_EST]]</f>
        <v>243.04</v>
      </c>
      <c r="AB1830" s="1">
        <f>IF(ESTIMATIVA[[#This Row],[QT_CANA_REST1]]&gt;0,ESTIMATIVA[[#This Row],[QT_CANA_REST1]],
  IF(ESTIMATIVA[[#This Row],[QT_CANA_REAL]]&gt;0,ESTIMATIVA[[#This Row],[QT_CANA_REAL]],ESTIMATIVA[[#This Row],[QT_CANA_EST]]))</f>
        <v>248</v>
      </c>
      <c r="AC183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279.48</v>
      </c>
      <c r="AD1830" s="1">
        <f>IF(ESTIMATIVA[[#This Row],[QT_AREA_REAL]]&gt;0,ESTIMATIVA[[#This Row],[QT_CANA_REAL]],ESTIMATIVA[[#This Row],[QT_CANA_EST]])</f>
        <v>279.48</v>
      </c>
      <c r="AE1830" s="1">
        <f>IF(ESTIMATIVA[[#This Row],[QT_AREA_REAL]]&gt;0,ESTIMATIVA[[#This Row],[QT_CANA_REAL]],ESTIMATIVA[[#This Row],[QT_CANA_REST1]])</f>
        <v>279.48</v>
      </c>
      <c r="AF1830" s="1">
        <f>IF(ESTIMATIVA[[#This Row],[QT_AREA_REAL]]&gt;0,ESTIMATIVA[[#This Row],[QT_CANA_REAL]],ESTIMATIVA[[#This Row],[QT_CANA_REST2]])</f>
        <v>279.48</v>
      </c>
      <c r="AG1830" s="1" t="str">
        <f>IF(COUNTIFS(GEADA!A:A,VALUE(ESTIMATIVA[[#This Row],[CD_UPNIVEL1]]&amp;TEXT(ESTIMATIVA[[#This Row],[CD_UPNIVEL3]],"0000")))&gt;0,"S","N")</f>
        <v>N</v>
      </c>
      <c r="AH183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30" s="55" t="str">
        <f>IF(ESTIMATIVA[[#This Row],[TP_CULTIVO]]="Irrigado",_xlfn.MAXIFS(IRRIGADO!J:J,IRRIGADO!C:C,ESTIMATIVA[[#This Row],[CD_UPNIVEL1]],IRRIGADO!E:E,ESTIMATIVA[[#This Row],[CD_UPNIVEL3]]),"")</f>
        <v/>
      </c>
      <c r="AJ183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30" s="1">
        <f>COUNTIFS(Apresentação!$E$23:$E$29,ESTIMATIVA[[#This Row],[CD_UPNIVEL1]])</f>
        <v>0</v>
      </c>
    </row>
    <row r="1831" spans="1:37" x14ac:dyDescent="0.3">
      <c r="A1831">
        <v>20713</v>
      </c>
      <c r="B1831" t="s">
        <v>97</v>
      </c>
      <c r="C1831">
        <v>24</v>
      </c>
      <c r="D1831">
        <v>4</v>
      </c>
      <c r="E1831" t="s">
        <v>265</v>
      </c>
      <c r="F1831" s="85" t="s">
        <v>331</v>
      </c>
      <c r="G1831"/>
      <c r="H1831" t="s">
        <v>294</v>
      </c>
      <c r="I1831" t="s">
        <v>224</v>
      </c>
      <c r="J1831" t="s">
        <v>177</v>
      </c>
      <c r="K1831" s="1">
        <v>3.85</v>
      </c>
      <c r="L1831" s="1">
        <v>3.85</v>
      </c>
      <c r="M1831" s="1">
        <v>0</v>
      </c>
      <c r="N1831" s="1">
        <v>3.85</v>
      </c>
      <c r="O1831" s="1">
        <v>269.5</v>
      </c>
      <c r="P1831" s="1">
        <v>269.5</v>
      </c>
      <c r="Q1831" s="1">
        <v>0</v>
      </c>
      <c r="R1831" s="1">
        <v>214.69</v>
      </c>
      <c r="S1831" t="s">
        <v>280</v>
      </c>
      <c r="T1831" s="13">
        <v>45886</v>
      </c>
      <c r="U1831" s="1" t="str">
        <f>IF(ESTIMATIVA[[#This Row],[QT_AREA_REAL]]&gt;0,"1- Colhido","2- à Colher")</f>
        <v>1- Colhido</v>
      </c>
      <c r="V1831" s="1" t="str">
        <f>IF(ESTIMATIVA[[#This Row],[QT_AREA_REST1]]&gt;0,"Reestimativa 1",IF(ESTIMATIVA[[#This Row],[QT_AREA_REAL]]=0,"Reestimativa 1","Realizado"))</f>
        <v>Reestimativa 1</v>
      </c>
      <c r="W1831" s="1" t="str">
        <f>IF(ESTIMATIVA[[#This Row],[QT_AREA_REST2]]&gt;0,"Reestimativa 2",IF(ESTIMATIVA[[#This Row],[QT_AREA_REAL]]=0,"Reestimativa 2","Realizado"))</f>
        <v>Realizado</v>
      </c>
      <c r="X1831" s="1">
        <f>ESTIMATIVA[[#This Row],[QT_AREA_EST]]</f>
        <v>3.85</v>
      </c>
      <c r="Y1831" s="1">
        <f>IF(ESTIMATIVA[[#This Row],[QT_AREA_REST1]]&gt;0,ESTIMATIVA[[#This Row],[QT_AREA_REST1]],
  IF(ESTIMATIVA[[#This Row],[QT_AREA_REAL]]&gt;0,ESTIMATIVA[[#This Row],[QT_AREA_REAL]],ESTIMATIVA[[#This Row],[QT_AREA_EST]]))</f>
        <v>3.85</v>
      </c>
      <c r="Z183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3.85</v>
      </c>
      <c r="AA1831" s="1">
        <f>ESTIMATIVA[[#This Row],[QT_CANA_EST]]</f>
        <v>269.5</v>
      </c>
      <c r="AB1831" s="1">
        <f>IF(ESTIMATIVA[[#This Row],[QT_CANA_REST1]]&gt;0,ESTIMATIVA[[#This Row],[QT_CANA_REST1]],
  IF(ESTIMATIVA[[#This Row],[QT_CANA_REAL]]&gt;0,ESTIMATIVA[[#This Row],[QT_CANA_REAL]],ESTIMATIVA[[#This Row],[QT_CANA_EST]]))</f>
        <v>269.5</v>
      </c>
      <c r="AC183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214.69</v>
      </c>
      <c r="AD1831" s="1">
        <f>IF(ESTIMATIVA[[#This Row],[QT_AREA_REAL]]&gt;0,ESTIMATIVA[[#This Row],[QT_CANA_REAL]],ESTIMATIVA[[#This Row],[QT_CANA_EST]])</f>
        <v>214.69</v>
      </c>
      <c r="AE1831" s="1">
        <f>IF(ESTIMATIVA[[#This Row],[QT_AREA_REAL]]&gt;0,ESTIMATIVA[[#This Row],[QT_CANA_REAL]],ESTIMATIVA[[#This Row],[QT_CANA_REST1]])</f>
        <v>214.69</v>
      </c>
      <c r="AF1831" s="1">
        <f>IF(ESTIMATIVA[[#This Row],[QT_AREA_REAL]]&gt;0,ESTIMATIVA[[#This Row],[QT_CANA_REAL]],ESTIMATIVA[[#This Row],[QT_CANA_REST2]])</f>
        <v>214.69</v>
      </c>
      <c r="AG1831" s="1" t="str">
        <f>IF(COUNTIFS(GEADA!A:A,VALUE(ESTIMATIVA[[#This Row],[CD_UPNIVEL1]]&amp;TEXT(ESTIMATIVA[[#This Row],[CD_UPNIVEL3]],"0000")))&gt;0,"S","N")</f>
        <v>N</v>
      </c>
      <c r="AH183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31" s="55" t="str">
        <f>IF(ESTIMATIVA[[#This Row],[TP_CULTIVO]]="Irrigado",_xlfn.MAXIFS(IRRIGADO!J:J,IRRIGADO!C:C,ESTIMATIVA[[#This Row],[CD_UPNIVEL1]],IRRIGADO!E:E,ESTIMATIVA[[#This Row],[CD_UPNIVEL3]]),"")</f>
        <v/>
      </c>
      <c r="AJ183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31" s="1">
        <f>COUNTIFS(Apresentação!$E$23:$E$29,ESTIMATIVA[[#This Row],[CD_UPNIVEL1]])</f>
        <v>0</v>
      </c>
    </row>
    <row r="1832" spans="1:37" x14ac:dyDescent="0.3">
      <c r="A1832">
        <v>20713</v>
      </c>
      <c r="B1832" t="s">
        <v>97</v>
      </c>
      <c r="C1832">
        <v>25</v>
      </c>
      <c r="D1832">
        <v>4</v>
      </c>
      <c r="E1832" t="s">
        <v>265</v>
      </c>
      <c r="F1832" s="85" t="s">
        <v>331</v>
      </c>
      <c r="G1832"/>
      <c r="H1832" t="s">
        <v>294</v>
      </c>
      <c r="I1832" t="s">
        <v>224</v>
      </c>
      <c r="J1832" t="s">
        <v>177</v>
      </c>
      <c r="K1832" s="1">
        <v>7.01</v>
      </c>
      <c r="L1832" s="1">
        <v>7.01</v>
      </c>
      <c r="M1832" s="1">
        <v>0</v>
      </c>
      <c r="N1832" s="1">
        <v>7.01</v>
      </c>
      <c r="O1832" s="1">
        <v>490.7</v>
      </c>
      <c r="P1832" s="1">
        <v>490.7</v>
      </c>
      <c r="Q1832" s="1">
        <v>0</v>
      </c>
      <c r="R1832" s="1">
        <v>390.47</v>
      </c>
      <c r="S1832" t="s">
        <v>280</v>
      </c>
      <c r="T1832" s="13">
        <v>45886</v>
      </c>
      <c r="U1832" s="1" t="str">
        <f>IF(ESTIMATIVA[[#This Row],[QT_AREA_REAL]]&gt;0,"1- Colhido","2- à Colher")</f>
        <v>1- Colhido</v>
      </c>
      <c r="V1832" s="1" t="str">
        <f>IF(ESTIMATIVA[[#This Row],[QT_AREA_REST1]]&gt;0,"Reestimativa 1",IF(ESTIMATIVA[[#This Row],[QT_AREA_REAL]]=0,"Reestimativa 1","Realizado"))</f>
        <v>Reestimativa 1</v>
      </c>
      <c r="W1832" s="1" t="str">
        <f>IF(ESTIMATIVA[[#This Row],[QT_AREA_REST2]]&gt;0,"Reestimativa 2",IF(ESTIMATIVA[[#This Row],[QT_AREA_REAL]]=0,"Reestimativa 2","Realizado"))</f>
        <v>Realizado</v>
      </c>
      <c r="X1832" s="1">
        <f>ESTIMATIVA[[#This Row],[QT_AREA_EST]]</f>
        <v>7.01</v>
      </c>
      <c r="Y1832" s="1">
        <f>IF(ESTIMATIVA[[#This Row],[QT_AREA_REST1]]&gt;0,ESTIMATIVA[[#This Row],[QT_AREA_REST1]],
  IF(ESTIMATIVA[[#This Row],[QT_AREA_REAL]]&gt;0,ESTIMATIVA[[#This Row],[QT_AREA_REAL]],ESTIMATIVA[[#This Row],[QT_AREA_EST]]))</f>
        <v>7.01</v>
      </c>
      <c r="Z183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7.01</v>
      </c>
      <c r="AA1832" s="1">
        <f>ESTIMATIVA[[#This Row],[QT_CANA_EST]]</f>
        <v>490.7</v>
      </c>
      <c r="AB1832" s="1">
        <f>IF(ESTIMATIVA[[#This Row],[QT_CANA_REST1]]&gt;0,ESTIMATIVA[[#This Row],[QT_CANA_REST1]],
  IF(ESTIMATIVA[[#This Row],[QT_CANA_REAL]]&gt;0,ESTIMATIVA[[#This Row],[QT_CANA_REAL]],ESTIMATIVA[[#This Row],[QT_CANA_EST]]))</f>
        <v>490.7</v>
      </c>
      <c r="AC183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390.47</v>
      </c>
      <c r="AD1832" s="1">
        <f>IF(ESTIMATIVA[[#This Row],[QT_AREA_REAL]]&gt;0,ESTIMATIVA[[#This Row],[QT_CANA_REAL]],ESTIMATIVA[[#This Row],[QT_CANA_EST]])</f>
        <v>390.47</v>
      </c>
      <c r="AE1832" s="1">
        <f>IF(ESTIMATIVA[[#This Row],[QT_AREA_REAL]]&gt;0,ESTIMATIVA[[#This Row],[QT_CANA_REAL]],ESTIMATIVA[[#This Row],[QT_CANA_REST1]])</f>
        <v>390.47</v>
      </c>
      <c r="AF1832" s="1">
        <f>IF(ESTIMATIVA[[#This Row],[QT_AREA_REAL]]&gt;0,ESTIMATIVA[[#This Row],[QT_CANA_REAL]],ESTIMATIVA[[#This Row],[QT_CANA_REST2]])</f>
        <v>390.47</v>
      </c>
      <c r="AG1832" s="1" t="str">
        <f>IF(COUNTIFS(GEADA!A:A,VALUE(ESTIMATIVA[[#This Row],[CD_UPNIVEL1]]&amp;TEXT(ESTIMATIVA[[#This Row],[CD_UPNIVEL3]],"0000")))&gt;0,"S","N")</f>
        <v>N</v>
      </c>
      <c r="AH183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32" s="55" t="str">
        <f>IF(ESTIMATIVA[[#This Row],[TP_CULTIVO]]="Irrigado",_xlfn.MAXIFS(IRRIGADO!J:J,IRRIGADO!C:C,ESTIMATIVA[[#This Row],[CD_UPNIVEL1]],IRRIGADO!E:E,ESTIMATIVA[[#This Row],[CD_UPNIVEL3]]),"")</f>
        <v/>
      </c>
      <c r="AJ183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32" s="1">
        <f>COUNTIFS(Apresentação!$E$23:$E$29,ESTIMATIVA[[#This Row],[CD_UPNIVEL1]])</f>
        <v>0</v>
      </c>
    </row>
    <row r="1833" spans="1:37" x14ac:dyDescent="0.3">
      <c r="A1833">
        <v>20713</v>
      </c>
      <c r="B1833" t="s">
        <v>97</v>
      </c>
      <c r="C1833">
        <v>26</v>
      </c>
      <c r="D1833">
        <v>3</v>
      </c>
      <c r="E1833" t="s">
        <v>263</v>
      </c>
      <c r="F1833" s="85" t="s">
        <v>331</v>
      </c>
      <c r="G1833"/>
      <c r="H1833" t="s">
        <v>294</v>
      </c>
      <c r="I1833" t="s">
        <v>208</v>
      </c>
      <c r="J1833" t="s">
        <v>177</v>
      </c>
      <c r="K1833" s="1">
        <v>33.74</v>
      </c>
      <c r="L1833" s="1">
        <v>0</v>
      </c>
      <c r="M1833" s="1">
        <v>0</v>
      </c>
      <c r="N1833" s="1">
        <v>33.74</v>
      </c>
      <c r="O1833" s="1">
        <v>2631.72</v>
      </c>
      <c r="P1833" s="1">
        <v>0</v>
      </c>
      <c r="Q1833" s="1">
        <v>0</v>
      </c>
      <c r="R1833" s="1">
        <v>2983.55</v>
      </c>
      <c r="S1833" t="s">
        <v>280</v>
      </c>
      <c r="T1833" s="13">
        <v>45802</v>
      </c>
      <c r="U1833" s="1" t="str">
        <f>IF(ESTIMATIVA[[#This Row],[QT_AREA_REAL]]&gt;0,"1- Colhido","2- à Colher")</f>
        <v>1- Colhido</v>
      </c>
      <c r="V1833" s="1" t="str">
        <f>IF(ESTIMATIVA[[#This Row],[QT_AREA_REST1]]&gt;0,"Reestimativa 1",IF(ESTIMATIVA[[#This Row],[QT_AREA_REAL]]=0,"Reestimativa 1","Realizado"))</f>
        <v>Realizado</v>
      </c>
      <c r="W1833" s="1" t="str">
        <f>IF(ESTIMATIVA[[#This Row],[QT_AREA_REST2]]&gt;0,"Reestimativa 2",IF(ESTIMATIVA[[#This Row],[QT_AREA_REAL]]=0,"Reestimativa 2","Realizado"))</f>
        <v>Realizado</v>
      </c>
      <c r="X1833" s="1">
        <f>ESTIMATIVA[[#This Row],[QT_AREA_EST]]</f>
        <v>33.74</v>
      </c>
      <c r="Y1833" s="1">
        <f>IF(ESTIMATIVA[[#This Row],[QT_AREA_REST1]]&gt;0,ESTIMATIVA[[#This Row],[QT_AREA_REST1]],
  IF(ESTIMATIVA[[#This Row],[QT_AREA_REAL]]&gt;0,ESTIMATIVA[[#This Row],[QT_AREA_REAL]],ESTIMATIVA[[#This Row],[QT_AREA_EST]]))</f>
        <v>33.74</v>
      </c>
      <c r="Z183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33.74</v>
      </c>
      <c r="AA1833" s="1">
        <f>ESTIMATIVA[[#This Row],[QT_CANA_EST]]</f>
        <v>2631.72</v>
      </c>
      <c r="AB1833" s="1">
        <f>IF(ESTIMATIVA[[#This Row],[QT_CANA_REST1]]&gt;0,ESTIMATIVA[[#This Row],[QT_CANA_REST1]],
  IF(ESTIMATIVA[[#This Row],[QT_CANA_REAL]]&gt;0,ESTIMATIVA[[#This Row],[QT_CANA_REAL]],ESTIMATIVA[[#This Row],[QT_CANA_EST]]))</f>
        <v>2983.55</v>
      </c>
      <c r="AC183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2983.55</v>
      </c>
      <c r="AD1833" s="1">
        <f>IF(ESTIMATIVA[[#This Row],[QT_AREA_REAL]]&gt;0,ESTIMATIVA[[#This Row],[QT_CANA_REAL]],ESTIMATIVA[[#This Row],[QT_CANA_EST]])</f>
        <v>2983.55</v>
      </c>
      <c r="AE1833" s="1">
        <f>IF(ESTIMATIVA[[#This Row],[QT_AREA_REAL]]&gt;0,ESTIMATIVA[[#This Row],[QT_CANA_REAL]],ESTIMATIVA[[#This Row],[QT_CANA_REST1]])</f>
        <v>2983.55</v>
      </c>
      <c r="AF1833" s="1">
        <f>IF(ESTIMATIVA[[#This Row],[QT_AREA_REAL]]&gt;0,ESTIMATIVA[[#This Row],[QT_CANA_REAL]],ESTIMATIVA[[#This Row],[QT_CANA_REST2]])</f>
        <v>2983.55</v>
      </c>
      <c r="AG1833" s="1" t="str">
        <f>IF(COUNTIFS(GEADA!A:A,VALUE(ESTIMATIVA[[#This Row],[CD_UPNIVEL1]]&amp;TEXT(ESTIMATIVA[[#This Row],[CD_UPNIVEL3]],"0000")))&gt;0,"S","N")</f>
        <v>N</v>
      </c>
      <c r="AH183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33" s="55" t="str">
        <f>IF(ESTIMATIVA[[#This Row],[TP_CULTIVO]]="Irrigado",_xlfn.MAXIFS(IRRIGADO!J:J,IRRIGADO!C:C,ESTIMATIVA[[#This Row],[CD_UPNIVEL1]],IRRIGADO!E:E,ESTIMATIVA[[#This Row],[CD_UPNIVEL3]]),"")</f>
        <v/>
      </c>
      <c r="AJ183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33" s="1">
        <f>COUNTIFS(Apresentação!$E$23:$E$29,ESTIMATIVA[[#This Row],[CD_UPNIVEL1]])</f>
        <v>0</v>
      </c>
    </row>
    <row r="1834" spans="1:37" x14ac:dyDescent="0.3">
      <c r="A1834">
        <v>20713</v>
      </c>
      <c r="B1834" t="s">
        <v>97</v>
      </c>
      <c r="C1834">
        <v>27</v>
      </c>
      <c r="D1834">
        <v>9</v>
      </c>
      <c r="E1834" t="s">
        <v>275</v>
      </c>
      <c r="F1834" s="85" t="s">
        <v>331</v>
      </c>
      <c r="G1834"/>
      <c r="H1834" t="s">
        <v>294</v>
      </c>
      <c r="I1834" t="s">
        <v>219</v>
      </c>
      <c r="J1834" t="s">
        <v>177</v>
      </c>
      <c r="K1834" s="1">
        <v>16.02</v>
      </c>
      <c r="L1834" s="1">
        <v>0</v>
      </c>
      <c r="M1834" s="1">
        <v>0</v>
      </c>
      <c r="N1834" s="1">
        <v>16.02</v>
      </c>
      <c r="O1834" s="1">
        <v>977.22</v>
      </c>
      <c r="P1834" s="1">
        <v>0</v>
      </c>
      <c r="Q1834" s="1">
        <v>0</v>
      </c>
      <c r="R1834" s="1">
        <v>1086.5899999999999</v>
      </c>
      <c r="S1834" t="s">
        <v>280</v>
      </c>
      <c r="T1834" s="13">
        <v>45802</v>
      </c>
      <c r="U1834" s="1" t="str">
        <f>IF(ESTIMATIVA[[#This Row],[QT_AREA_REAL]]&gt;0,"1- Colhido","2- à Colher")</f>
        <v>1- Colhido</v>
      </c>
      <c r="V1834" s="1" t="str">
        <f>IF(ESTIMATIVA[[#This Row],[QT_AREA_REST1]]&gt;0,"Reestimativa 1",IF(ESTIMATIVA[[#This Row],[QT_AREA_REAL]]=0,"Reestimativa 1","Realizado"))</f>
        <v>Realizado</v>
      </c>
      <c r="W1834" s="1" t="str">
        <f>IF(ESTIMATIVA[[#This Row],[QT_AREA_REST2]]&gt;0,"Reestimativa 2",IF(ESTIMATIVA[[#This Row],[QT_AREA_REAL]]=0,"Reestimativa 2","Realizado"))</f>
        <v>Realizado</v>
      </c>
      <c r="X1834" s="1">
        <f>ESTIMATIVA[[#This Row],[QT_AREA_EST]]</f>
        <v>16.02</v>
      </c>
      <c r="Y1834" s="1">
        <f>IF(ESTIMATIVA[[#This Row],[QT_AREA_REST1]]&gt;0,ESTIMATIVA[[#This Row],[QT_AREA_REST1]],
  IF(ESTIMATIVA[[#This Row],[QT_AREA_REAL]]&gt;0,ESTIMATIVA[[#This Row],[QT_AREA_REAL]],ESTIMATIVA[[#This Row],[QT_AREA_EST]]))</f>
        <v>16.02</v>
      </c>
      <c r="Z183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16.02</v>
      </c>
      <c r="AA1834" s="1">
        <f>ESTIMATIVA[[#This Row],[QT_CANA_EST]]</f>
        <v>977.22</v>
      </c>
      <c r="AB1834" s="1">
        <f>IF(ESTIMATIVA[[#This Row],[QT_CANA_REST1]]&gt;0,ESTIMATIVA[[#This Row],[QT_CANA_REST1]],
  IF(ESTIMATIVA[[#This Row],[QT_CANA_REAL]]&gt;0,ESTIMATIVA[[#This Row],[QT_CANA_REAL]],ESTIMATIVA[[#This Row],[QT_CANA_EST]]))</f>
        <v>1086.5899999999999</v>
      </c>
      <c r="AC183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1086.5899999999999</v>
      </c>
      <c r="AD1834" s="1">
        <f>IF(ESTIMATIVA[[#This Row],[QT_AREA_REAL]]&gt;0,ESTIMATIVA[[#This Row],[QT_CANA_REAL]],ESTIMATIVA[[#This Row],[QT_CANA_EST]])</f>
        <v>1086.5899999999999</v>
      </c>
      <c r="AE1834" s="1">
        <f>IF(ESTIMATIVA[[#This Row],[QT_AREA_REAL]]&gt;0,ESTIMATIVA[[#This Row],[QT_CANA_REAL]],ESTIMATIVA[[#This Row],[QT_CANA_REST1]])</f>
        <v>1086.5899999999999</v>
      </c>
      <c r="AF1834" s="1">
        <f>IF(ESTIMATIVA[[#This Row],[QT_AREA_REAL]]&gt;0,ESTIMATIVA[[#This Row],[QT_CANA_REAL]],ESTIMATIVA[[#This Row],[QT_CANA_REST2]])</f>
        <v>1086.5899999999999</v>
      </c>
      <c r="AG1834" s="1" t="str">
        <f>IF(COUNTIFS(GEADA!A:A,VALUE(ESTIMATIVA[[#This Row],[CD_UPNIVEL1]]&amp;TEXT(ESTIMATIVA[[#This Row],[CD_UPNIVEL3]],"0000")))&gt;0,"S","N")</f>
        <v>N</v>
      </c>
      <c r="AH183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34" s="55" t="str">
        <f>IF(ESTIMATIVA[[#This Row],[TP_CULTIVO]]="Irrigado",_xlfn.MAXIFS(IRRIGADO!J:J,IRRIGADO!C:C,ESTIMATIVA[[#This Row],[CD_UPNIVEL1]],IRRIGADO!E:E,ESTIMATIVA[[#This Row],[CD_UPNIVEL3]]),"")</f>
        <v/>
      </c>
      <c r="AJ183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34" s="1">
        <f>COUNTIFS(Apresentação!$E$23:$E$29,ESTIMATIVA[[#This Row],[CD_UPNIVEL1]])</f>
        <v>0</v>
      </c>
    </row>
    <row r="1835" spans="1:37" x14ac:dyDescent="0.3">
      <c r="A1835">
        <v>20713</v>
      </c>
      <c r="B1835" t="s">
        <v>97</v>
      </c>
      <c r="C1835">
        <v>28</v>
      </c>
      <c r="D1835">
        <v>2</v>
      </c>
      <c r="E1835" t="s">
        <v>266</v>
      </c>
      <c r="F1835" s="85" t="s">
        <v>331</v>
      </c>
      <c r="G1835"/>
      <c r="H1835" t="s">
        <v>294</v>
      </c>
      <c r="I1835" t="s">
        <v>208</v>
      </c>
      <c r="J1835" t="s">
        <v>177</v>
      </c>
      <c r="K1835" s="1">
        <v>10.06</v>
      </c>
      <c r="L1835" s="1">
        <v>0</v>
      </c>
      <c r="M1835" s="1">
        <v>0</v>
      </c>
      <c r="N1835" s="1">
        <v>10.06</v>
      </c>
      <c r="O1835" s="1">
        <v>975.82</v>
      </c>
      <c r="P1835" s="1">
        <v>0</v>
      </c>
      <c r="Q1835" s="1">
        <v>0</v>
      </c>
      <c r="R1835" s="1">
        <v>1106.3</v>
      </c>
      <c r="S1835" t="s">
        <v>280</v>
      </c>
      <c r="T1835" s="13">
        <v>45802</v>
      </c>
      <c r="U1835" s="1" t="str">
        <f>IF(ESTIMATIVA[[#This Row],[QT_AREA_REAL]]&gt;0,"1- Colhido","2- à Colher")</f>
        <v>1- Colhido</v>
      </c>
      <c r="V1835" s="1" t="str">
        <f>IF(ESTIMATIVA[[#This Row],[QT_AREA_REST1]]&gt;0,"Reestimativa 1",IF(ESTIMATIVA[[#This Row],[QT_AREA_REAL]]=0,"Reestimativa 1","Realizado"))</f>
        <v>Realizado</v>
      </c>
      <c r="W1835" s="1" t="str">
        <f>IF(ESTIMATIVA[[#This Row],[QT_AREA_REST2]]&gt;0,"Reestimativa 2",IF(ESTIMATIVA[[#This Row],[QT_AREA_REAL]]=0,"Reestimativa 2","Realizado"))</f>
        <v>Realizado</v>
      </c>
      <c r="X1835" s="1">
        <f>ESTIMATIVA[[#This Row],[QT_AREA_EST]]</f>
        <v>10.06</v>
      </c>
      <c r="Y1835" s="1">
        <f>IF(ESTIMATIVA[[#This Row],[QT_AREA_REST1]]&gt;0,ESTIMATIVA[[#This Row],[QT_AREA_REST1]],
  IF(ESTIMATIVA[[#This Row],[QT_AREA_REAL]]&gt;0,ESTIMATIVA[[#This Row],[QT_AREA_REAL]],ESTIMATIVA[[#This Row],[QT_AREA_EST]]))</f>
        <v>10.06</v>
      </c>
      <c r="Z183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10.06</v>
      </c>
      <c r="AA1835" s="1">
        <f>ESTIMATIVA[[#This Row],[QT_CANA_EST]]</f>
        <v>975.82</v>
      </c>
      <c r="AB1835" s="1">
        <f>IF(ESTIMATIVA[[#This Row],[QT_CANA_REST1]]&gt;0,ESTIMATIVA[[#This Row],[QT_CANA_REST1]],
  IF(ESTIMATIVA[[#This Row],[QT_CANA_REAL]]&gt;0,ESTIMATIVA[[#This Row],[QT_CANA_REAL]],ESTIMATIVA[[#This Row],[QT_CANA_EST]]))</f>
        <v>1106.3</v>
      </c>
      <c r="AC183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1106.3</v>
      </c>
      <c r="AD1835" s="1">
        <f>IF(ESTIMATIVA[[#This Row],[QT_AREA_REAL]]&gt;0,ESTIMATIVA[[#This Row],[QT_CANA_REAL]],ESTIMATIVA[[#This Row],[QT_CANA_EST]])</f>
        <v>1106.3</v>
      </c>
      <c r="AE1835" s="1">
        <f>IF(ESTIMATIVA[[#This Row],[QT_AREA_REAL]]&gt;0,ESTIMATIVA[[#This Row],[QT_CANA_REAL]],ESTIMATIVA[[#This Row],[QT_CANA_REST1]])</f>
        <v>1106.3</v>
      </c>
      <c r="AF1835" s="1">
        <f>IF(ESTIMATIVA[[#This Row],[QT_AREA_REAL]]&gt;0,ESTIMATIVA[[#This Row],[QT_CANA_REAL]],ESTIMATIVA[[#This Row],[QT_CANA_REST2]])</f>
        <v>1106.3</v>
      </c>
      <c r="AG1835" s="1" t="str">
        <f>IF(COUNTIFS(GEADA!A:A,VALUE(ESTIMATIVA[[#This Row],[CD_UPNIVEL1]]&amp;TEXT(ESTIMATIVA[[#This Row],[CD_UPNIVEL3]],"0000")))&gt;0,"S","N")</f>
        <v>N</v>
      </c>
      <c r="AH183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35" s="55" t="str">
        <f>IF(ESTIMATIVA[[#This Row],[TP_CULTIVO]]="Irrigado",_xlfn.MAXIFS(IRRIGADO!J:J,IRRIGADO!C:C,ESTIMATIVA[[#This Row],[CD_UPNIVEL1]],IRRIGADO!E:E,ESTIMATIVA[[#This Row],[CD_UPNIVEL3]]),"")</f>
        <v/>
      </c>
      <c r="AJ183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35" s="1">
        <f>COUNTIFS(Apresentação!$E$23:$E$29,ESTIMATIVA[[#This Row],[CD_UPNIVEL1]])</f>
        <v>0</v>
      </c>
    </row>
    <row r="1836" spans="1:37" x14ac:dyDescent="0.3">
      <c r="A1836">
        <v>20713</v>
      </c>
      <c r="B1836" t="s">
        <v>97</v>
      </c>
      <c r="C1836">
        <v>29</v>
      </c>
      <c r="D1836">
        <v>4</v>
      </c>
      <c r="E1836" t="s">
        <v>265</v>
      </c>
      <c r="F1836" s="85" t="s">
        <v>331</v>
      </c>
      <c r="G1836"/>
      <c r="H1836" t="s">
        <v>294</v>
      </c>
      <c r="I1836" t="s">
        <v>224</v>
      </c>
      <c r="J1836" t="s">
        <v>177</v>
      </c>
      <c r="K1836" s="1">
        <v>5.97</v>
      </c>
      <c r="L1836" s="1">
        <v>5.97</v>
      </c>
      <c r="M1836" s="1">
        <v>0</v>
      </c>
      <c r="N1836" s="1">
        <v>5.97</v>
      </c>
      <c r="O1836" s="1">
        <v>423.87</v>
      </c>
      <c r="P1836" s="1">
        <v>423.87</v>
      </c>
      <c r="Q1836" s="1">
        <v>0</v>
      </c>
      <c r="R1836" s="1">
        <v>337.18</v>
      </c>
      <c r="S1836" t="s">
        <v>280</v>
      </c>
      <c r="T1836" s="13">
        <v>45886</v>
      </c>
      <c r="U1836" s="1" t="str">
        <f>IF(ESTIMATIVA[[#This Row],[QT_AREA_REAL]]&gt;0,"1- Colhido","2- à Colher")</f>
        <v>1- Colhido</v>
      </c>
      <c r="V1836" s="1" t="str">
        <f>IF(ESTIMATIVA[[#This Row],[QT_AREA_REST1]]&gt;0,"Reestimativa 1",IF(ESTIMATIVA[[#This Row],[QT_AREA_REAL]]=0,"Reestimativa 1","Realizado"))</f>
        <v>Reestimativa 1</v>
      </c>
      <c r="W1836" s="1" t="str">
        <f>IF(ESTIMATIVA[[#This Row],[QT_AREA_REST2]]&gt;0,"Reestimativa 2",IF(ESTIMATIVA[[#This Row],[QT_AREA_REAL]]=0,"Reestimativa 2","Realizado"))</f>
        <v>Realizado</v>
      </c>
      <c r="X1836" s="1">
        <f>ESTIMATIVA[[#This Row],[QT_AREA_EST]]</f>
        <v>5.97</v>
      </c>
      <c r="Y1836" s="1">
        <f>IF(ESTIMATIVA[[#This Row],[QT_AREA_REST1]]&gt;0,ESTIMATIVA[[#This Row],[QT_AREA_REST1]],
  IF(ESTIMATIVA[[#This Row],[QT_AREA_REAL]]&gt;0,ESTIMATIVA[[#This Row],[QT_AREA_REAL]],ESTIMATIVA[[#This Row],[QT_AREA_EST]]))</f>
        <v>5.97</v>
      </c>
      <c r="Z183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5.97</v>
      </c>
      <c r="AA1836" s="1">
        <f>ESTIMATIVA[[#This Row],[QT_CANA_EST]]</f>
        <v>423.87</v>
      </c>
      <c r="AB1836" s="1">
        <f>IF(ESTIMATIVA[[#This Row],[QT_CANA_REST1]]&gt;0,ESTIMATIVA[[#This Row],[QT_CANA_REST1]],
  IF(ESTIMATIVA[[#This Row],[QT_CANA_REAL]]&gt;0,ESTIMATIVA[[#This Row],[QT_CANA_REAL]],ESTIMATIVA[[#This Row],[QT_CANA_EST]]))</f>
        <v>423.87</v>
      </c>
      <c r="AC183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337.18</v>
      </c>
      <c r="AD1836" s="1">
        <f>IF(ESTIMATIVA[[#This Row],[QT_AREA_REAL]]&gt;0,ESTIMATIVA[[#This Row],[QT_CANA_REAL]],ESTIMATIVA[[#This Row],[QT_CANA_EST]])</f>
        <v>337.18</v>
      </c>
      <c r="AE1836" s="1">
        <f>IF(ESTIMATIVA[[#This Row],[QT_AREA_REAL]]&gt;0,ESTIMATIVA[[#This Row],[QT_CANA_REAL]],ESTIMATIVA[[#This Row],[QT_CANA_REST1]])</f>
        <v>337.18</v>
      </c>
      <c r="AF1836" s="1">
        <f>IF(ESTIMATIVA[[#This Row],[QT_AREA_REAL]]&gt;0,ESTIMATIVA[[#This Row],[QT_CANA_REAL]],ESTIMATIVA[[#This Row],[QT_CANA_REST2]])</f>
        <v>337.18</v>
      </c>
      <c r="AG1836" s="1" t="str">
        <f>IF(COUNTIFS(GEADA!A:A,VALUE(ESTIMATIVA[[#This Row],[CD_UPNIVEL1]]&amp;TEXT(ESTIMATIVA[[#This Row],[CD_UPNIVEL3]],"0000")))&gt;0,"S","N")</f>
        <v>N</v>
      </c>
      <c r="AH183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36" s="55" t="str">
        <f>IF(ESTIMATIVA[[#This Row],[TP_CULTIVO]]="Irrigado",_xlfn.MAXIFS(IRRIGADO!J:J,IRRIGADO!C:C,ESTIMATIVA[[#This Row],[CD_UPNIVEL1]],IRRIGADO!E:E,ESTIMATIVA[[#This Row],[CD_UPNIVEL3]]),"")</f>
        <v/>
      </c>
      <c r="AJ183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36" s="1">
        <f>COUNTIFS(Apresentação!$E$23:$E$29,ESTIMATIVA[[#This Row],[CD_UPNIVEL1]])</f>
        <v>0</v>
      </c>
    </row>
    <row r="1837" spans="1:37" x14ac:dyDescent="0.3">
      <c r="A1837">
        <v>20713</v>
      </c>
      <c r="B1837" t="s">
        <v>97</v>
      </c>
      <c r="C1837">
        <v>30</v>
      </c>
      <c r="D1837">
        <v>4</v>
      </c>
      <c r="E1837" t="s">
        <v>265</v>
      </c>
      <c r="F1837" s="85" t="s">
        <v>331</v>
      </c>
      <c r="G1837"/>
      <c r="H1837" t="s">
        <v>294</v>
      </c>
      <c r="I1837" t="s">
        <v>224</v>
      </c>
      <c r="J1837" t="s">
        <v>177</v>
      </c>
      <c r="K1837" s="1">
        <v>9.34</v>
      </c>
      <c r="L1837" s="1">
        <v>9.34</v>
      </c>
      <c r="M1837" s="1">
        <v>0</v>
      </c>
      <c r="N1837" s="1">
        <v>9.34</v>
      </c>
      <c r="O1837" s="1">
        <v>663.14</v>
      </c>
      <c r="P1837" s="1">
        <v>663.14</v>
      </c>
      <c r="Q1837" s="1">
        <v>0</v>
      </c>
      <c r="R1837" s="1">
        <v>527.26</v>
      </c>
      <c r="S1837" t="s">
        <v>280</v>
      </c>
      <c r="T1837" s="13">
        <v>45886</v>
      </c>
      <c r="U1837" s="1" t="str">
        <f>IF(ESTIMATIVA[[#This Row],[QT_AREA_REAL]]&gt;0,"1- Colhido","2- à Colher")</f>
        <v>1- Colhido</v>
      </c>
      <c r="V1837" s="1" t="str">
        <f>IF(ESTIMATIVA[[#This Row],[QT_AREA_REST1]]&gt;0,"Reestimativa 1",IF(ESTIMATIVA[[#This Row],[QT_AREA_REAL]]=0,"Reestimativa 1","Realizado"))</f>
        <v>Reestimativa 1</v>
      </c>
      <c r="W1837" s="1" t="str">
        <f>IF(ESTIMATIVA[[#This Row],[QT_AREA_REST2]]&gt;0,"Reestimativa 2",IF(ESTIMATIVA[[#This Row],[QT_AREA_REAL]]=0,"Reestimativa 2","Realizado"))</f>
        <v>Realizado</v>
      </c>
      <c r="X1837" s="1">
        <f>ESTIMATIVA[[#This Row],[QT_AREA_EST]]</f>
        <v>9.34</v>
      </c>
      <c r="Y1837" s="1">
        <f>IF(ESTIMATIVA[[#This Row],[QT_AREA_REST1]]&gt;0,ESTIMATIVA[[#This Row],[QT_AREA_REST1]],
  IF(ESTIMATIVA[[#This Row],[QT_AREA_REAL]]&gt;0,ESTIMATIVA[[#This Row],[QT_AREA_REAL]],ESTIMATIVA[[#This Row],[QT_AREA_EST]]))</f>
        <v>9.34</v>
      </c>
      <c r="Z183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9.34</v>
      </c>
      <c r="AA1837" s="1">
        <f>ESTIMATIVA[[#This Row],[QT_CANA_EST]]</f>
        <v>663.14</v>
      </c>
      <c r="AB1837" s="1">
        <f>IF(ESTIMATIVA[[#This Row],[QT_CANA_REST1]]&gt;0,ESTIMATIVA[[#This Row],[QT_CANA_REST1]],
  IF(ESTIMATIVA[[#This Row],[QT_CANA_REAL]]&gt;0,ESTIMATIVA[[#This Row],[QT_CANA_REAL]],ESTIMATIVA[[#This Row],[QT_CANA_EST]]))</f>
        <v>663.14</v>
      </c>
      <c r="AC183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527.26</v>
      </c>
      <c r="AD1837" s="1">
        <f>IF(ESTIMATIVA[[#This Row],[QT_AREA_REAL]]&gt;0,ESTIMATIVA[[#This Row],[QT_CANA_REAL]],ESTIMATIVA[[#This Row],[QT_CANA_EST]])</f>
        <v>527.26</v>
      </c>
      <c r="AE1837" s="1">
        <f>IF(ESTIMATIVA[[#This Row],[QT_AREA_REAL]]&gt;0,ESTIMATIVA[[#This Row],[QT_CANA_REAL]],ESTIMATIVA[[#This Row],[QT_CANA_REST1]])</f>
        <v>527.26</v>
      </c>
      <c r="AF1837" s="1">
        <f>IF(ESTIMATIVA[[#This Row],[QT_AREA_REAL]]&gt;0,ESTIMATIVA[[#This Row],[QT_CANA_REAL]],ESTIMATIVA[[#This Row],[QT_CANA_REST2]])</f>
        <v>527.26</v>
      </c>
      <c r="AG1837" s="1" t="str">
        <f>IF(COUNTIFS(GEADA!A:A,VALUE(ESTIMATIVA[[#This Row],[CD_UPNIVEL1]]&amp;TEXT(ESTIMATIVA[[#This Row],[CD_UPNIVEL3]],"0000")))&gt;0,"S","N")</f>
        <v>N</v>
      </c>
      <c r="AH183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37" s="55" t="str">
        <f>IF(ESTIMATIVA[[#This Row],[TP_CULTIVO]]="Irrigado",_xlfn.MAXIFS(IRRIGADO!J:J,IRRIGADO!C:C,ESTIMATIVA[[#This Row],[CD_UPNIVEL1]],IRRIGADO!E:E,ESTIMATIVA[[#This Row],[CD_UPNIVEL3]]),"")</f>
        <v/>
      </c>
      <c r="AJ183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37" s="1">
        <f>COUNTIFS(Apresentação!$E$23:$E$29,ESTIMATIVA[[#This Row],[CD_UPNIVEL1]])</f>
        <v>0</v>
      </c>
    </row>
    <row r="1838" spans="1:37" x14ac:dyDescent="0.3">
      <c r="A1838">
        <v>20713</v>
      </c>
      <c r="B1838" t="s">
        <v>97</v>
      </c>
      <c r="C1838">
        <v>31</v>
      </c>
      <c r="D1838">
        <v>4</v>
      </c>
      <c r="E1838" t="s">
        <v>265</v>
      </c>
      <c r="F1838" s="85" t="s">
        <v>331</v>
      </c>
      <c r="G1838"/>
      <c r="H1838" t="s">
        <v>294</v>
      </c>
      <c r="I1838" t="s">
        <v>224</v>
      </c>
      <c r="J1838" t="s">
        <v>177</v>
      </c>
      <c r="K1838" s="1">
        <v>9.65</v>
      </c>
      <c r="L1838" s="1">
        <v>9.65</v>
      </c>
      <c r="M1838" s="1">
        <v>0</v>
      </c>
      <c r="N1838" s="1">
        <v>9.65</v>
      </c>
      <c r="O1838" s="1">
        <v>685.15</v>
      </c>
      <c r="P1838" s="1">
        <v>685.15</v>
      </c>
      <c r="Q1838" s="1">
        <v>0</v>
      </c>
      <c r="R1838" s="1">
        <v>544.77</v>
      </c>
      <c r="S1838" t="s">
        <v>280</v>
      </c>
      <c r="T1838" s="13">
        <v>45886</v>
      </c>
      <c r="U1838" s="1" t="str">
        <f>IF(ESTIMATIVA[[#This Row],[QT_AREA_REAL]]&gt;0,"1- Colhido","2- à Colher")</f>
        <v>1- Colhido</v>
      </c>
      <c r="V1838" s="1" t="str">
        <f>IF(ESTIMATIVA[[#This Row],[QT_AREA_REST1]]&gt;0,"Reestimativa 1",IF(ESTIMATIVA[[#This Row],[QT_AREA_REAL]]=0,"Reestimativa 1","Realizado"))</f>
        <v>Reestimativa 1</v>
      </c>
      <c r="W1838" s="1" t="str">
        <f>IF(ESTIMATIVA[[#This Row],[QT_AREA_REST2]]&gt;0,"Reestimativa 2",IF(ESTIMATIVA[[#This Row],[QT_AREA_REAL]]=0,"Reestimativa 2","Realizado"))</f>
        <v>Realizado</v>
      </c>
      <c r="X1838" s="1">
        <f>ESTIMATIVA[[#This Row],[QT_AREA_EST]]</f>
        <v>9.65</v>
      </c>
      <c r="Y1838" s="1">
        <f>IF(ESTIMATIVA[[#This Row],[QT_AREA_REST1]]&gt;0,ESTIMATIVA[[#This Row],[QT_AREA_REST1]],
  IF(ESTIMATIVA[[#This Row],[QT_AREA_REAL]]&gt;0,ESTIMATIVA[[#This Row],[QT_AREA_REAL]],ESTIMATIVA[[#This Row],[QT_AREA_EST]]))</f>
        <v>9.65</v>
      </c>
      <c r="Z183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9.65</v>
      </c>
      <c r="AA1838" s="1">
        <f>ESTIMATIVA[[#This Row],[QT_CANA_EST]]</f>
        <v>685.15</v>
      </c>
      <c r="AB1838" s="1">
        <f>IF(ESTIMATIVA[[#This Row],[QT_CANA_REST1]]&gt;0,ESTIMATIVA[[#This Row],[QT_CANA_REST1]],
  IF(ESTIMATIVA[[#This Row],[QT_CANA_REAL]]&gt;0,ESTIMATIVA[[#This Row],[QT_CANA_REAL]],ESTIMATIVA[[#This Row],[QT_CANA_EST]]))</f>
        <v>685.15</v>
      </c>
      <c r="AC183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544.77</v>
      </c>
      <c r="AD1838" s="1">
        <f>IF(ESTIMATIVA[[#This Row],[QT_AREA_REAL]]&gt;0,ESTIMATIVA[[#This Row],[QT_CANA_REAL]],ESTIMATIVA[[#This Row],[QT_CANA_EST]])</f>
        <v>544.77</v>
      </c>
      <c r="AE1838" s="1">
        <f>IF(ESTIMATIVA[[#This Row],[QT_AREA_REAL]]&gt;0,ESTIMATIVA[[#This Row],[QT_CANA_REAL]],ESTIMATIVA[[#This Row],[QT_CANA_REST1]])</f>
        <v>544.77</v>
      </c>
      <c r="AF1838" s="1">
        <f>IF(ESTIMATIVA[[#This Row],[QT_AREA_REAL]]&gt;0,ESTIMATIVA[[#This Row],[QT_CANA_REAL]],ESTIMATIVA[[#This Row],[QT_CANA_REST2]])</f>
        <v>544.77</v>
      </c>
      <c r="AG1838" s="1" t="str">
        <f>IF(COUNTIFS(GEADA!A:A,VALUE(ESTIMATIVA[[#This Row],[CD_UPNIVEL1]]&amp;TEXT(ESTIMATIVA[[#This Row],[CD_UPNIVEL3]],"0000")))&gt;0,"S","N")</f>
        <v>N</v>
      </c>
      <c r="AH183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38" s="55" t="str">
        <f>IF(ESTIMATIVA[[#This Row],[TP_CULTIVO]]="Irrigado",_xlfn.MAXIFS(IRRIGADO!J:J,IRRIGADO!C:C,ESTIMATIVA[[#This Row],[CD_UPNIVEL1]],IRRIGADO!E:E,ESTIMATIVA[[#This Row],[CD_UPNIVEL3]]),"")</f>
        <v/>
      </c>
      <c r="AJ183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38" s="1">
        <f>COUNTIFS(Apresentação!$E$23:$E$29,ESTIMATIVA[[#This Row],[CD_UPNIVEL1]])</f>
        <v>0</v>
      </c>
    </row>
    <row r="1839" spans="1:37" x14ac:dyDescent="0.3">
      <c r="A1839">
        <v>20713</v>
      </c>
      <c r="B1839" t="s">
        <v>97</v>
      </c>
      <c r="C1839">
        <v>32</v>
      </c>
      <c r="D1839">
        <v>4</v>
      </c>
      <c r="E1839" t="s">
        <v>265</v>
      </c>
      <c r="F1839" s="85" t="s">
        <v>331</v>
      </c>
      <c r="G1839"/>
      <c r="H1839" t="s">
        <v>294</v>
      </c>
      <c r="I1839" t="s">
        <v>224</v>
      </c>
      <c r="J1839" t="s">
        <v>177</v>
      </c>
      <c r="K1839" s="1">
        <v>6.53</v>
      </c>
      <c r="L1839" s="1">
        <v>6.53</v>
      </c>
      <c r="M1839" s="1">
        <v>0</v>
      </c>
      <c r="N1839" s="1">
        <v>6.53</v>
      </c>
      <c r="O1839" s="1">
        <v>463.63</v>
      </c>
      <c r="P1839" s="1">
        <v>463.63</v>
      </c>
      <c r="Q1839" s="1">
        <v>0</v>
      </c>
      <c r="R1839" s="1">
        <v>368.99</v>
      </c>
      <c r="S1839" t="s">
        <v>280</v>
      </c>
      <c r="T1839" s="13">
        <v>45886</v>
      </c>
      <c r="U1839" s="1" t="str">
        <f>IF(ESTIMATIVA[[#This Row],[QT_AREA_REAL]]&gt;0,"1- Colhido","2- à Colher")</f>
        <v>1- Colhido</v>
      </c>
      <c r="V1839" s="1" t="str">
        <f>IF(ESTIMATIVA[[#This Row],[QT_AREA_REST1]]&gt;0,"Reestimativa 1",IF(ESTIMATIVA[[#This Row],[QT_AREA_REAL]]=0,"Reestimativa 1","Realizado"))</f>
        <v>Reestimativa 1</v>
      </c>
      <c r="W1839" s="1" t="str">
        <f>IF(ESTIMATIVA[[#This Row],[QT_AREA_REST2]]&gt;0,"Reestimativa 2",IF(ESTIMATIVA[[#This Row],[QT_AREA_REAL]]=0,"Reestimativa 2","Realizado"))</f>
        <v>Realizado</v>
      </c>
      <c r="X1839" s="1">
        <f>ESTIMATIVA[[#This Row],[QT_AREA_EST]]</f>
        <v>6.53</v>
      </c>
      <c r="Y1839" s="1">
        <f>IF(ESTIMATIVA[[#This Row],[QT_AREA_REST1]]&gt;0,ESTIMATIVA[[#This Row],[QT_AREA_REST1]],
  IF(ESTIMATIVA[[#This Row],[QT_AREA_REAL]]&gt;0,ESTIMATIVA[[#This Row],[QT_AREA_REAL]],ESTIMATIVA[[#This Row],[QT_AREA_EST]]))</f>
        <v>6.53</v>
      </c>
      <c r="Z183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6.53</v>
      </c>
      <c r="AA1839" s="1">
        <f>ESTIMATIVA[[#This Row],[QT_CANA_EST]]</f>
        <v>463.63</v>
      </c>
      <c r="AB1839" s="1">
        <f>IF(ESTIMATIVA[[#This Row],[QT_CANA_REST1]]&gt;0,ESTIMATIVA[[#This Row],[QT_CANA_REST1]],
  IF(ESTIMATIVA[[#This Row],[QT_CANA_REAL]]&gt;0,ESTIMATIVA[[#This Row],[QT_CANA_REAL]],ESTIMATIVA[[#This Row],[QT_CANA_EST]]))</f>
        <v>463.63</v>
      </c>
      <c r="AC183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368.99</v>
      </c>
      <c r="AD1839" s="1">
        <f>IF(ESTIMATIVA[[#This Row],[QT_AREA_REAL]]&gt;0,ESTIMATIVA[[#This Row],[QT_CANA_REAL]],ESTIMATIVA[[#This Row],[QT_CANA_EST]])</f>
        <v>368.99</v>
      </c>
      <c r="AE1839" s="1">
        <f>IF(ESTIMATIVA[[#This Row],[QT_AREA_REAL]]&gt;0,ESTIMATIVA[[#This Row],[QT_CANA_REAL]],ESTIMATIVA[[#This Row],[QT_CANA_REST1]])</f>
        <v>368.99</v>
      </c>
      <c r="AF1839" s="1">
        <f>IF(ESTIMATIVA[[#This Row],[QT_AREA_REAL]]&gt;0,ESTIMATIVA[[#This Row],[QT_CANA_REAL]],ESTIMATIVA[[#This Row],[QT_CANA_REST2]])</f>
        <v>368.99</v>
      </c>
      <c r="AG1839" s="1" t="str">
        <f>IF(COUNTIFS(GEADA!A:A,VALUE(ESTIMATIVA[[#This Row],[CD_UPNIVEL1]]&amp;TEXT(ESTIMATIVA[[#This Row],[CD_UPNIVEL3]],"0000")))&gt;0,"S","N")</f>
        <v>N</v>
      </c>
      <c r="AH183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39" s="55" t="str">
        <f>IF(ESTIMATIVA[[#This Row],[TP_CULTIVO]]="Irrigado",_xlfn.MAXIFS(IRRIGADO!J:J,IRRIGADO!C:C,ESTIMATIVA[[#This Row],[CD_UPNIVEL1]],IRRIGADO!E:E,ESTIMATIVA[[#This Row],[CD_UPNIVEL3]]),"")</f>
        <v/>
      </c>
      <c r="AJ183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39" s="1">
        <f>COUNTIFS(Apresentação!$E$23:$E$29,ESTIMATIVA[[#This Row],[CD_UPNIVEL1]])</f>
        <v>0</v>
      </c>
    </row>
    <row r="1840" spans="1:37" x14ac:dyDescent="0.3">
      <c r="A1840">
        <v>20713</v>
      </c>
      <c r="B1840" t="s">
        <v>97</v>
      </c>
      <c r="C1840">
        <v>33</v>
      </c>
      <c r="D1840">
        <v>4</v>
      </c>
      <c r="E1840" t="s">
        <v>265</v>
      </c>
      <c r="F1840" s="85" t="s">
        <v>331</v>
      </c>
      <c r="G1840"/>
      <c r="H1840" t="s">
        <v>294</v>
      </c>
      <c r="I1840" t="s">
        <v>224</v>
      </c>
      <c r="J1840" t="s">
        <v>177</v>
      </c>
      <c r="K1840" s="1">
        <v>3.46</v>
      </c>
      <c r="L1840" s="1">
        <v>3.46</v>
      </c>
      <c r="M1840" s="1">
        <v>0</v>
      </c>
      <c r="N1840" s="1">
        <v>3.46</v>
      </c>
      <c r="O1840" s="1">
        <v>245.66</v>
      </c>
      <c r="P1840" s="1">
        <v>245.66</v>
      </c>
      <c r="Q1840" s="1">
        <v>0</v>
      </c>
      <c r="R1840" s="1">
        <v>195.9</v>
      </c>
      <c r="S1840" t="s">
        <v>280</v>
      </c>
      <c r="T1840" s="13">
        <v>45886</v>
      </c>
      <c r="U1840" s="1" t="str">
        <f>IF(ESTIMATIVA[[#This Row],[QT_AREA_REAL]]&gt;0,"1- Colhido","2- à Colher")</f>
        <v>1- Colhido</v>
      </c>
      <c r="V1840" s="1" t="str">
        <f>IF(ESTIMATIVA[[#This Row],[QT_AREA_REST1]]&gt;0,"Reestimativa 1",IF(ESTIMATIVA[[#This Row],[QT_AREA_REAL]]=0,"Reestimativa 1","Realizado"))</f>
        <v>Reestimativa 1</v>
      </c>
      <c r="W1840" s="1" t="str">
        <f>IF(ESTIMATIVA[[#This Row],[QT_AREA_REST2]]&gt;0,"Reestimativa 2",IF(ESTIMATIVA[[#This Row],[QT_AREA_REAL]]=0,"Reestimativa 2","Realizado"))</f>
        <v>Realizado</v>
      </c>
      <c r="X1840" s="1">
        <f>ESTIMATIVA[[#This Row],[QT_AREA_EST]]</f>
        <v>3.46</v>
      </c>
      <c r="Y1840" s="1">
        <f>IF(ESTIMATIVA[[#This Row],[QT_AREA_REST1]]&gt;0,ESTIMATIVA[[#This Row],[QT_AREA_REST1]],
  IF(ESTIMATIVA[[#This Row],[QT_AREA_REAL]]&gt;0,ESTIMATIVA[[#This Row],[QT_AREA_REAL]],ESTIMATIVA[[#This Row],[QT_AREA_EST]]))</f>
        <v>3.46</v>
      </c>
      <c r="Z184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3.46</v>
      </c>
      <c r="AA1840" s="1">
        <f>ESTIMATIVA[[#This Row],[QT_CANA_EST]]</f>
        <v>245.66</v>
      </c>
      <c r="AB1840" s="1">
        <f>IF(ESTIMATIVA[[#This Row],[QT_CANA_REST1]]&gt;0,ESTIMATIVA[[#This Row],[QT_CANA_REST1]],
  IF(ESTIMATIVA[[#This Row],[QT_CANA_REAL]]&gt;0,ESTIMATIVA[[#This Row],[QT_CANA_REAL]],ESTIMATIVA[[#This Row],[QT_CANA_EST]]))</f>
        <v>245.66</v>
      </c>
      <c r="AC184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195.9</v>
      </c>
      <c r="AD1840" s="1">
        <f>IF(ESTIMATIVA[[#This Row],[QT_AREA_REAL]]&gt;0,ESTIMATIVA[[#This Row],[QT_CANA_REAL]],ESTIMATIVA[[#This Row],[QT_CANA_EST]])</f>
        <v>195.9</v>
      </c>
      <c r="AE1840" s="1">
        <f>IF(ESTIMATIVA[[#This Row],[QT_AREA_REAL]]&gt;0,ESTIMATIVA[[#This Row],[QT_CANA_REAL]],ESTIMATIVA[[#This Row],[QT_CANA_REST1]])</f>
        <v>195.9</v>
      </c>
      <c r="AF1840" s="1">
        <f>IF(ESTIMATIVA[[#This Row],[QT_AREA_REAL]]&gt;0,ESTIMATIVA[[#This Row],[QT_CANA_REAL]],ESTIMATIVA[[#This Row],[QT_CANA_REST2]])</f>
        <v>195.9</v>
      </c>
      <c r="AG1840" s="1" t="str">
        <f>IF(COUNTIFS(GEADA!A:A,VALUE(ESTIMATIVA[[#This Row],[CD_UPNIVEL1]]&amp;TEXT(ESTIMATIVA[[#This Row],[CD_UPNIVEL3]],"0000")))&gt;0,"S","N")</f>
        <v>N</v>
      </c>
      <c r="AH184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40" s="55" t="str">
        <f>IF(ESTIMATIVA[[#This Row],[TP_CULTIVO]]="Irrigado",_xlfn.MAXIFS(IRRIGADO!J:J,IRRIGADO!C:C,ESTIMATIVA[[#This Row],[CD_UPNIVEL1]],IRRIGADO!E:E,ESTIMATIVA[[#This Row],[CD_UPNIVEL3]]),"")</f>
        <v/>
      </c>
      <c r="AJ184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40" s="1">
        <f>COUNTIFS(Apresentação!$E$23:$E$29,ESTIMATIVA[[#This Row],[CD_UPNIVEL1]])</f>
        <v>0</v>
      </c>
    </row>
    <row r="1841" spans="1:37" x14ac:dyDescent="0.3">
      <c r="A1841">
        <v>20713</v>
      </c>
      <c r="B1841" t="s">
        <v>97</v>
      </c>
      <c r="C1841">
        <v>34</v>
      </c>
      <c r="D1841">
        <v>2</v>
      </c>
      <c r="E1841" t="s">
        <v>266</v>
      </c>
      <c r="F1841" s="85" t="s">
        <v>331</v>
      </c>
      <c r="G1841"/>
      <c r="H1841" t="s">
        <v>294</v>
      </c>
      <c r="I1841" t="s">
        <v>225</v>
      </c>
      <c r="J1841" t="s">
        <v>177</v>
      </c>
      <c r="K1841" s="1">
        <v>3.21</v>
      </c>
      <c r="L1841" s="1">
        <v>3.21</v>
      </c>
      <c r="M1841" s="1">
        <v>0</v>
      </c>
      <c r="N1841" s="1">
        <v>3.21</v>
      </c>
      <c r="O1841" s="1">
        <v>215.07</v>
      </c>
      <c r="P1841" s="1">
        <v>224.7</v>
      </c>
      <c r="Q1841" s="1">
        <v>0</v>
      </c>
      <c r="R1841" s="1">
        <v>228.99</v>
      </c>
      <c r="S1841" t="s">
        <v>280</v>
      </c>
      <c r="T1841" s="13">
        <v>45879</v>
      </c>
      <c r="U1841" s="1" t="str">
        <f>IF(ESTIMATIVA[[#This Row],[QT_AREA_REAL]]&gt;0,"1- Colhido","2- à Colher")</f>
        <v>1- Colhido</v>
      </c>
      <c r="V1841" s="1" t="str">
        <f>IF(ESTIMATIVA[[#This Row],[QT_AREA_REST1]]&gt;0,"Reestimativa 1",IF(ESTIMATIVA[[#This Row],[QT_AREA_REAL]]=0,"Reestimativa 1","Realizado"))</f>
        <v>Reestimativa 1</v>
      </c>
      <c r="W1841" s="1" t="str">
        <f>IF(ESTIMATIVA[[#This Row],[QT_AREA_REST2]]&gt;0,"Reestimativa 2",IF(ESTIMATIVA[[#This Row],[QT_AREA_REAL]]=0,"Reestimativa 2","Realizado"))</f>
        <v>Realizado</v>
      </c>
      <c r="X1841" s="1">
        <f>ESTIMATIVA[[#This Row],[QT_AREA_EST]]</f>
        <v>3.21</v>
      </c>
      <c r="Y1841" s="1">
        <f>IF(ESTIMATIVA[[#This Row],[QT_AREA_REST1]]&gt;0,ESTIMATIVA[[#This Row],[QT_AREA_REST1]],
  IF(ESTIMATIVA[[#This Row],[QT_AREA_REAL]]&gt;0,ESTIMATIVA[[#This Row],[QT_AREA_REAL]],ESTIMATIVA[[#This Row],[QT_AREA_EST]]))</f>
        <v>3.21</v>
      </c>
      <c r="Z184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3.21</v>
      </c>
      <c r="AA1841" s="1">
        <f>ESTIMATIVA[[#This Row],[QT_CANA_EST]]</f>
        <v>215.07</v>
      </c>
      <c r="AB1841" s="1">
        <f>IF(ESTIMATIVA[[#This Row],[QT_CANA_REST1]]&gt;0,ESTIMATIVA[[#This Row],[QT_CANA_REST1]],
  IF(ESTIMATIVA[[#This Row],[QT_CANA_REAL]]&gt;0,ESTIMATIVA[[#This Row],[QT_CANA_REAL]],ESTIMATIVA[[#This Row],[QT_CANA_EST]]))</f>
        <v>224.7</v>
      </c>
      <c r="AC184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228.99</v>
      </c>
      <c r="AD1841" s="1">
        <f>IF(ESTIMATIVA[[#This Row],[QT_AREA_REAL]]&gt;0,ESTIMATIVA[[#This Row],[QT_CANA_REAL]],ESTIMATIVA[[#This Row],[QT_CANA_EST]])</f>
        <v>228.99</v>
      </c>
      <c r="AE1841" s="1">
        <f>IF(ESTIMATIVA[[#This Row],[QT_AREA_REAL]]&gt;0,ESTIMATIVA[[#This Row],[QT_CANA_REAL]],ESTIMATIVA[[#This Row],[QT_CANA_REST1]])</f>
        <v>228.99</v>
      </c>
      <c r="AF1841" s="1">
        <f>IF(ESTIMATIVA[[#This Row],[QT_AREA_REAL]]&gt;0,ESTIMATIVA[[#This Row],[QT_CANA_REAL]],ESTIMATIVA[[#This Row],[QT_CANA_REST2]])</f>
        <v>228.99</v>
      </c>
      <c r="AG1841" s="1" t="str">
        <f>IF(COUNTIFS(GEADA!A:A,VALUE(ESTIMATIVA[[#This Row],[CD_UPNIVEL1]]&amp;TEXT(ESTIMATIVA[[#This Row],[CD_UPNIVEL3]],"0000")))&gt;0,"S","N")</f>
        <v>N</v>
      </c>
      <c r="AH184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41" s="55" t="str">
        <f>IF(ESTIMATIVA[[#This Row],[TP_CULTIVO]]="Irrigado",_xlfn.MAXIFS(IRRIGADO!J:J,IRRIGADO!C:C,ESTIMATIVA[[#This Row],[CD_UPNIVEL1]],IRRIGADO!E:E,ESTIMATIVA[[#This Row],[CD_UPNIVEL3]]),"")</f>
        <v/>
      </c>
      <c r="AJ184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41" s="1">
        <f>COUNTIFS(Apresentação!$E$23:$E$29,ESTIMATIVA[[#This Row],[CD_UPNIVEL1]])</f>
        <v>0</v>
      </c>
    </row>
    <row r="1842" spans="1:37" x14ac:dyDescent="0.3">
      <c r="A1842">
        <v>20713</v>
      </c>
      <c r="B1842" t="s">
        <v>97</v>
      </c>
      <c r="C1842">
        <v>35</v>
      </c>
      <c r="D1842">
        <v>2</v>
      </c>
      <c r="E1842" t="s">
        <v>266</v>
      </c>
      <c r="F1842" s="85" t="s">
        <v>331</v>
      </c>
      <c r="G1842"/>
      <c r="H1842" t="s">
        <v>294</v>
      </c>
      <c r="I1842" t="s">
        <v>213</v>
      </c>
      <c r="J1842" t="s">
        <v>177</v>
      </c>
      <c r="K1842" s="1">
        <v>3.77</v>
      </c>
      <c r="L1842" s="1">
        <v>3.77</v>
      </c>
      <c r="M1842" s="1">
        <v>0</v>
      </c>
      <c r="N1842" s="1">
        <v>3.77</v>
      </c>
      <c r="O1842" s="1">
        <v>320.45</v>
      </c>
      <c r="P1842" s="1">
        <v>320.45</v>
      </c>
      <c r="Q1842" s="1">
        <v>0</v>
      </c>
      <c r="R1842" s="1">
        <v>325.69</v>
      </c>
      <c r="S1842" t="s">
        <v>280</v>
      </c>
      <c r="T1842" s="13">
        <v>45879</v>
      </c>
      <c r="U1842" s="1" t="str">
        <f>IF(ESTIMATIVA[[#This Row],[QT_AREA_REAL]]&gt;0,"1- Colhido","2- à Colher")</f>
        <v>1- Colhido</v>
      </c>
      <c r="V1842" s="1" t="str">
        <f>IF(ESTIMATIVA[[#This Row],[QT_AREA_REST1]]&gt;0,"Reestimativa 1",IF(ESTIMATIVA[[#This Row],[QT_AREA_REAL]]=0,"Reestimativa 1","Realizado"))</f>
        <v>Reestimativa 1</v>
      </c>
      <c r="W1842" s="1" t="str">
        <f>IF(ESTIMATIVA[[#This Row],[QT_AREA_REST2]]&gt;0,"Reestimativa 2",IF(ESTIMATIVA[[#This Row],[QT_AREA_REAL]]=0,"Reestimativa 2","Realizado"))</f>
        <v>Realizado</v>
      </c>
      <c r="X1842" s="1">
        <f>ESTIMATIVA[[#This Row],[QT_AREA_EST]]</f>
        <v>3.77</v>
      </c>
      <c r="Y1842" s="1">
        <f>IF(ESTIMATIVA[[#This Row],[QT_AREA_REST1]]&gt;0,ESTIMATIVA[[#This Row],[QT_AREA_REST1]],
  IF(ESTIMATIVA[[#This Row],[QT_AREA_REAL]]&gt;0,ESTIMATIVA[[#This Row],[QT_AREA_REAL]],ESTIMATIVA[[#This Row],[QT_AREA_EST]]))</f>
        <v>3.77</v>
      </c>
      <c r="Z184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3.77</v>
      </c>
      <c r="AA1842" s="1">
        <f>ESTIMATIVA[[#This Row],[QT_CANA_EST]]</f>
        <v>320.45</v>
      </c>
      <c r="AB1842" s="1">
        <f>IF(ESTIMATIVA[[#This Row],[QT_CANA_REST1]]&gt;0,ESTIMATIVA[[#This Row],[QT_CANA_REST1]],
  IF(ESTIMATIVA[[#This Row],[QT_CANA_REAL]]&gt;0,ESTIMATIVA[[#This Row],[QT_CANA_REAL]],ESTIMATIVA[[#This Row],[QT_CANA_EST]]))</f>
        <v>320.45</v>
      </c>
      <c r="AC184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325.69</v>
      </c>
      <c r="AD1842" s="1">
        <f>IF(ESTIMATIVA[[#This Row],[QT_AREA_REAL]]&gt;0,ESTIMATIVA[[#This Row],[QT_CANA_REAL]],ESTIMATIVA[[#This Row],[QT_CANA_EST]])</f>
        <v>325.69</v>
      </c>
      <c r="AE1842" s="1">
        <f>IF(ESTIMATIVA[[#This Row],[QT_AREA_REAL]]&gt;0,ESTIMATIVA[[#This Row],[QT_CANA_REAL]],ESTIMATIVA[[#This Row],[QT_CANA_REST1]])</f>
        <v>325.69</v>
      </c>
      <c r="AF1842" s="1">
        <f>IF(ESTIMATIVA[[#This Row],[QT_AREA_REAL]]&gt;0,ESTIMATIVA[[#This Row],[QT_CANA_REAL]],ESTIMATIVA[[#This Row],[QT_CANA_REST2]])</f>
        <v>325.69</v>
      </c>
      <c r="AG1842" s="1" t="str">
        <f>IF(COUNTIFS(GEADA!A:A,VALUE(ESTIMATIVA[[#This Row],[CD_UPNIVEL1]]&amp;TEXT(ESTIMATIVA[[#This Row],[CD_UPNIVEL3]],"0000")))&gt;0,"S","N")</f>
        <v>N</v>
      </c>
      <c r="AH184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42" s="55" t="str">
        <f>IF(ESTIMATIVA[[#This Row],[TP_CULTIVO]]="Irrigado",_xlfn.MAXIFS(IRRIGADO!J:J,IRRIGADO!C:C,ESTIMATIVA[[#This Row],[CD_UPNIVEL1]],IRRIGADO!E:E,ESTIMATIVA[[#This Row],[CD_UPNIVEL3]]),"")</f>
        <v/>
      </c>
      <c r="AJ184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42" s="1">
        <f>COUNTIFS(Apresentação!$E$23:$E$29,ESTIMATIVA[[#This Row],[CD_UPNIVEL1]])</f>
        <v>0</v>
      </c>
    </row>
    <row r="1843" spans="1:37" x14ac:dyDescent="0.3">
      <c r="A1843">
        <v>20713</v>
      </c>
      <c r="B1843" t="s">
        <v>97</v>
      </c>
      <c r="C1843">
        <v>36</v>
      </c>
      <c r="D1843">
        <v>2</v>
      </c>
      <c r="E1843" t="s">
        <v>266</v>
      </c>
      <c r="F1843" s="85" t="s">
        <v>331</v>
      </c>
      <c r="G1843"/>
      <c r="H1843" t="s">
        <v>294</v>
      </c>
      <c r="I1843" t="s">
        <v>213</v>
      </c>
      <c r="J1843" t="s">
        <v>177</v>
      </c>
      <c r="K1843" s="1">
        <v>3.18</v>
      </c>
      <c r="L1843" s="1">
        <v>3.18</v>
      </c>
      <c r="M1843" s="1">
        <v>0</v>
      </c>
      <c r="N1843" s="1">
        <v>3.18</v>
      </c>
      <c r="O1843" s="1">
        <v>270.3</v>
      </c>
      <c r="P1843" s="1">
        <v>270.3</v>
      </c>
      <c r="Q1843" s="1">
        <v>0</v>
      </c>
      <c r="R1843" s="1">
        <v>321.26</v>
      </c>
      <c r="S1843" t="s">
        <v>280</v>
      </c>
      <c r="T1843" s="13">
        <v>45879</v>
      </c>
      <c r="U1843" s="1" t="str">
        <f>IF(ESTIMATIVA[[#This Row],[QT_AREA_REAL]]&gt;0,"1- Colhido","2- à Colher")</f>
        <v>1- Colhido</v>
      </c>
      <c r="V1843" s="1" t="str">
        <f>IF(ESTIMATIVA[[#This Row],[QT_AREA_REST1]]&gt;0,"Reestimativa 1",IF(ESTIMATIVA[[#This Row],[QT_AREA_REAL]]=0,"Reestimativa 1","Realizado"))</f>
        <v>Reestimativa 1</v>
      </c>
      <c r="W1843" s="1" t="str">
        <f>IF(ESTIMATIVA[[#This Row],[QT_AREA_REST2]]&gt;0,"Reestimativa 2",IF(ESTIMATIVA[[#This Row],[QT_AREA_REAL]]=0,"Reestimativa 2","Realizado"))</f>
        <v>Realizado</v>
      </c>
      <c r="X1843" s="1">
        <f>ESTIMATIVA[[#This Row],[QT_AREA_EST]]</f>
        <v>3.18</v>
      </c>
      <c r="Y1843" s="1">
        <f>IF(ESTIMATIVA[[#This Row],[QT_AREA_REST1]]&gt;0,ESTIMATIVA[[#This Row],[QT_AREA_REST1]],
  IF(ESTIMATIVA[[#This Row],[QT_AREA_REAL]]&gt;0,ESTIMATIVA[[#This Row],[QT_AREA_REAL]],ESTIMATIVA[[#This Row],[QT_AREA_EST]]))</f>
        <v>3.18</v>
      </c>
      <c r="Z184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3.18</v>
      </c>
      <c r="AA1843" s="1">
        <f>ESTIMATIVA[[#This Row],[QT_CANA_EST]]</f>
        <v>270.3</v>
      </c>
      <c r="AB1843" s="1">
        <f>IF(ESTIMATIVA[[#This Row],[QT_CANA_REST1]]&gt;0,ESTIMATIVA[[#This Row],[QT_CANA_REST1]],
  IF(ESTIMATIVA[[#This Row],[QT_CANA_REAL]]&gt;0,ESTIMATIVA[[#This Row],[QT_CANA_REAL]],ESTIMATIVA[[#This Row],[QT_CANA_EST]]))</f>
        <v>270.3</v>
      </c>
      <c r="AC184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321.26</v>
      </c>
      <c r="AD1843" s="1">
        <f>IF(ESTIMATIVA[[#This Row],[QT_AREA_REAL]]&gt;0,ESTIMATIVA[[#This Row],[QT_CANA_REAL]],ESTIMATIVA[[#This Row],[QT_CANA_EST]])</f>
        <v>321.26</v>
      </c>
      <c r="AE1843" s="1">
        <f>IF(ESTIMATIVA[[#This Row],[QT_AREA_REAL]]&gt;0,ESTIMATIVA[[#This Row],[QT_CANA_REAL]],ESTIMATIVA[[#This Row],[QT_CANA_REST1]])</f>
        <v>321.26</v>
      </c>
      <c r="AF1843" s="1">
        <f>IF(ESTIMATIVA[[#This Row],[QT_AREA_REAL]]&gt;0,ESTIMATIVA[[#This Row],[QT_CANA_REAL]],ESTIMATIVA[[#This Row],[QT_CANA_REST2]])</f>
        <v>321.26</v>
      </c>
      <c r="AG1843" s="1" t="str">
        <f>IF(COUNTIFS(GEADA!A:A,VALUE(ESTIMATIVA[[#This Row],[CD_UPNIVEL1]]&amp;TEXT(ESTIMATIVA[[#This Row],[CD_UPNIVEL3]],"0000")))&gt;0,"S","N")</f>
        <v>N</v>
      </c>
      <c r="AH184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43" s="55" t="str">
        <f>IF(ESTIMATIVA[[#This Row],[TP_CULTIVO]]="Irrigado",_xlfn.MAXIFS(IRRIGADO!J:J,IRRIGADO!C:C,ESTIMATIVA[[#This Row],[CD_UPNIVEL1]],IRRIGADO!E:E,ESTIMATIVA[[#This Row],[CD_UPNIVEL3]]),"")</f>
        <v/>
      </c>
      <c r="AJ184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43" s="1">
        <f>COUNTIFS(Apresentação!$E$23:$E$29,ESTIMATIVA[[#This Row],[CD_UPNIVEL1]])</f>
        <v>0</v>
      </c>
    </row>
    <row r="1844" spans="1:37" x14ac:dyDescent="0.3">
      <c r="A1844">
        <v>20713</v>
      </c>
      <c r="B1844" t="s">
        <v>97</v>
      </c>
      <c r="C1844">
        <v>37</v>
      </c>
      <c r="D1844">
        <v>2</v>
      </c>
      <c r="E1844" t="s">
        <v>266</v>
      </c>
      <c r="F1844" s="85" t="s">
        <v>331</v>
      </c>
      <c r="G1844"/>
      <c r="H1844" t="s">
        <v>294</v>
      </c>
      <c r="I1844" t="s">
        <v>213</v>
      </c>
      <c r="J1844" t="s">
        <v>177</v>
      </c>
      <c r="K1844" s="1">
        <v>3.83</v>
      </c>
      <c r="L1844" s="1">
        <v>3.83</v>
      </c>
      <c r="M1844" s="1">
        <v>0</v>
      </c>
      <c r="N1844" s="1">
        <v>3.83</v>
      </c>
      <c r="O1844" s="1">
        <v>325.55</v>
      </c>
      <c r="P1844" s="1">
        <v>344.7</v>
      </c>
      <c r="Q1844" s="1">
        <v>0</v>
      </c>
      <c r="R1844" s="1">
        <v>410.52</v>
      </c>
      <c r="S1844" t="s">
        <v>280</v>
      </c>
      <c r="T1844" s="13">
        <v>45879</v>
      </c>
      <c r="U1844" s="1" t="str">
        <f>IF(ESTIMATIVA[[#This Row],[QT_AREA_REAL]]&gt;0,"1- Colhido","2- à Colher")</f>
        <v>1- Colhido</v>
      </c>
      <c r="V1844" s="1" t="str">
        <f>IF(ESTIMATIVA[[#This Row],[QT_AREA_REST1]]&gt;0,"Reestimativa 1",IF(ESTIMATIVA[[#This Row],[QT_AREA_REAL]]=0,"Reestimativa 1","Realizado"))</f>
        <v>Reestimativa 1</v>
      </c>
      <c r="W1844" s="1" t="str">
        <f>IF(ESTIMATIVA[[#This Row],[QT_AREA_REST2]]&gt;0,"Reestimativa 2",IF(ESTIMATIVA[[#This Row],[QT_AREA_REAL]]=0,"Reestimativa 2","Realizado"))</f>
        <v>Realizado</v>
      </c>
      <c r="X1844" s="1">
        <f>ESTIMATIVA[[#This Row],[QT_AREA_EST]]</f>
        <v>3.83</v>
      </c>
      <c r="Y1844" s="1">
        <f>IF(ESTIMATIVA[[#This Row],[QT_AREA_REST1]]&gt;0,ESTIMATIVA[[#This Row],[QT_AREA_REST1]],
  IF(ESTIMATIVA[[#This Row],[QT_AREA_REAL]]&gt;0,ESTIMATIVA[[#This Row],[QT_AREA_REAL]],ESTIMATIVA[[#This Row],[QT_AREA_EST]]))</f>
        <v>3.83</v>
      </c>
      <c r="Z184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3.83</v>
      </c>
      <c r="AA1844" s="1">
        <f>ESTIMATIVA[[#This Row],[QT_CANA_EST]]</f>
        <v>325.55</v>
      </c>
      <c r="AB1844" s="1">
        <f>IF(ESTIMATIVA[[#This Row],[QT_CANA_REST1]]&gt;0,ESTIMATIVA[[#This Row],[QT_CANA_REST1]],
  IF(ESTIMATIVA[[#This Row],[QT_CANA_REAL]]&gt;0,ESTIMATIVA[[#This Row],[QT_CANA_REAL]],ESTIMATIVA[[#This Row],[QT_CANA_EST]]))</f>
        <v>344.7</v>
      </c>
      <c r="AC184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410.52</v>
      </c>
      <c r="AD1844" s="1">
        <f>IF(ESTIMATIVA[[#This Row],[QT_AREA_REAL]]&gt;0,ESTIMATIVA[[#This Row],[QT_CANA_REAL]],ESTIMATIVA[[#This Row],[QT_CANA_EST]])</f>
        <v>410.52</v>
      </c>
      <c r="AE1844" s="1">
        <f>IF(ESTIMATIVA[[#This Row],[QT_AREA_REAL]]&gt;0,ESTIMATIVA[[#This Row],[QT_CANA_REAL]],ESTIMATIVA[[#This Row],[QT_CANA_REST1]])</f>
        <v>410.52</v>
      </c>
      <c r="AF1844" s="1">
        <f>IF(ESTIMATIVA[[#This Row],[QT_AREA_REAL]]&gt;0,ESTIMATIVA[[#This Row],[QT_CANA_REAL]],ESTIMATIVA[[#This Row],[QT_CANA_REST2]])</f>
        <v>410.52</v>
      </c>
      <c r="AG1844" s="1" t="str">
        <f>IF(COUNTIFS(GEADA!A:A,VALUE(ESTIMATIVA[[#This Row],[CD_UPNIVEL1]]&amp;TEXT(ESTIMATIVA[[#This Row],[CD_UPNIVEL3]],"0000")))&gt;0,"S","N")</f>
        <v>N</v>
      </c>
      <c r="AH184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44" s="55" t="str">
        <f>IF(ESTIMATIVA[[#This Row],[TP_CULTIVO]]="Irrigado",_xlfn.MAXIFS(IRRIGADO!J:J,IRRIGADO!C:C,ESTIMATIVA[[#This Row],[CD_UPNIVEL1]],IRRIGADO!E:E,ESTIMATIVA[[#This Row],[CD_UPNIVEL3]]),"")</f>
        <v/>
      </c>
      <c r="AJ184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44" s="1">
        <f>COUNTIFS(Apresentação!$E$23:$E$29,ESTIMATIVA[[#This Row],[CD_UPNIVEL1]])</f>
        <v>0</v>
      </c>
    </row>
    <row r="1845" spans="1:37" x14ac:dyDescent="0.3">
      <c r="A1845">
        <v>20713</v>
      </c>
      <c r="B1845" t="s">
        <v>97</v>
      </c>
      <c r="C1845">
        <v>38</v>
      </c>
      <c r="D1845">
        <v>2</v>
      </c>
      <c r="E1845" t="s">
        <v>266</v>
      </c>
      <c r="F1845" s="85" t="s">
        <v>331</v>
      </c>
      <c r="G1845"/>
      <c r="H1845" t="s">
        <v>294</v>
      </c>
      <c r="I1845" t="s">
        <v>213</v>
      </c>
      <c r="J1845" t="s">
        <v>177</v>
      </c>
      <c r="K1845" s="1">
        <v>4.96</v>
      </c>
      <c r="L1845" s="1">
        <v>4.96</v>
      </c>
      <c r="M1845" s="1">
        <v>0</v>
      </c>
      <c r="N1845" s="1">
        <v>4.96</v>
      </c>
      <c r="O1845" s="1">
        <v>421.6</v>
      </c>
      <c r="P1845" s="1">
        <v>446.4</v>
      </c>
      <c r="Q1845" s="1">
        <v>0</v>
      </c>
      <c r="R1845" s="1">
        <v>530.75</v>
      </c>
      <c r="S1845" t="s">
        <v>280</v>
      </c>
      <c r="T1845" s="13">
        <v>45879</v>
      </c>
      <c r="U1845" s="1" t="str">
        <f>IF(ESTIMATIVA[[#This Row],[QT_AREA_REAL]]&gt;0,"1- Colhido","2- à Colher")</f>
        <v>1- Colhido</v>
      </c>
      <c r="V1845" s="1" t="str">
        <f>IF(ESTIMATIVA[[#This Row],[QT_AREA_REST1]]&gt;0,"Reestimativa 1",IF(ESTIMATIVA[[#This Row],[QT_AREA_REAL]]=0,"Reestimativa 1","Realizado"))</f>
        <v>Reestimativa 1</v>
      </c>
      <c r="W1845" s="1" t="str">
        <f>IF(ESTIMATIVA[[#This Row],[QT_AREA_REST2]]&gt;0,"Reestimativa 2",IF(ESTIMATIVA[[#This Row],[QT_AREA_REAL]]=0,"Reestimativa 2","Realizado"))</f>
        <v>Realizado</v>
      </c>
      <c r="X1845" s="1">
        <f>ESTIMATIVA[[#This Row],[QT_AREA_EST]]</f>
        <v>4.96</v>
      </c>
      <c r="Y1845" s="1">
        <f>IF(ESTIMATIVA[[#This Row],[QT_AREA_REST1]]&gt;0,ESTIMATIVA[[#This Row],[QT_AREA_REST1]],
  IF(ESTIMATIVA[[#This Row],[QT_AREA_REAL]]&gt;0,ESTIMATIVA[[#This Row],[QT_AREA_REAL]],ESTIMATIVA[[#This Row],[QT_AREA_EST]]))</f>
        <v>4.96</v>
      </c>
      <c r="Z184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4.96</v>
      </c>
      <c r="AA1845" s="1">
        <f>ESTIMATIVA[[#This Row],[QT_CANA_EST]]</f>
        <v>421.6</v>
      </c>
      <c r="AB1845" s="1">
        <f>IF(ESTIMATIVA[[#This Row],[QT_CANA_REST1]]&gt;0,ESTIMATIVA[[#This Row],[QT_CANA_REST1]],
  IF(ESTIMATIVA[[#This Row],[QT_CANA_REAL]]&gt;0,ESTIMATIVA[[#This Row],[QT_CANA_REAL]],ESTIMATIVA[[#This Row],[QT_CANA_EST]]))</f>
        <v>446.4</v>
      </c>
      <c r="AC184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530.75</v>
      </c>
      <c r="AD1845" s="1">
        <f>IF(ESTIMATIVA[[#This Row],[QT_AREA_REAL]]&gt;0,ESTIMATIVA[[#This Row],[QT_CANA_REAL]],ESTIMATIVA[[#This Row],[QT_CANA_EST]])</f>
        <v>530.75</v>
      </c>
      <c r="AE1845" s="1">
        <f>IF(ESTIMATIVA[[#This Row],[QT_AREA_REAL]]&gt;0,ESTIMATIVA[[#This Row],[QT_CANA_REAL]],ESTIMATIVA[[#This Row],[QT_CANA_REST1]])</f>
        <v>530.75</v>
      </c>
      <c r="AF1845" s="1">
        <f>IF(ESTIMATIVA[[#This Row],[QT_AREA_REAL]]&gt;0,ESTIMATIVA[[#This Row],[QT_CANA_REAL]],ESTIMATIVA[[#This Row],[QT_CANA_REST2]])</f>
        <v>530.75</v>
      </c>
      <c r="AG1845" s="1" t="str">
        <f>IF(COUNTIFS(GEADA!A:A,VALUE(ESTIMATIVA[[#This Row],[CD_UPNIVEL1]]&amp;TEXT(ESTIMATIVA[[#This Row],[CD_UPNIVEL3]],"0000")))&gt;0,"S","N")</f>
        <v>N</v>
      </c>
      <c r="AH184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45" s="55" t="str">
        <f>IF(ESTIMATIVA[[#This Row],[TP_CULTIVO]]="Irrigado",_xlfn.MAXIFS(IRRIGADO!J:J,IRRIGADO!C:C,ESTIMATIVA[[#This Row],[CD_UPNIVEL1]],IRRIGADO!E:E,ESTIMATIVA[[#This Row],[CD_UPNIVEL3]]),"")</f>
        <v/>
      </c>
      <c r="AJ184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45" s="1">
        <f>COUNTIFS(Apresentação!$E$23:$E$29,ESTIMATIVA[[#This Row],[CD_UPNIVEL1]])</f>
        <v>0</v>
      </c>
    </row>
    <row r="1846" spans="1:37" x14ac:dyDescent="0.3">
      <c r="A1846">
        <v>20713</v>
      </c>
      <c r="B1846" t="s">
        <v>97</v>
      </c>
      <c r="C1846">
        <v>39</v>
      </c>
      <c r="D1846">
        <v>2</v>
      </c>
      <c r="E1846" t="s">
        <v>266</v>
      </c>
      <c r="F1846" s="85" t="s">
        <v>331</v>
      </c>
      <c r="G1846"/>
      <c r="H1846" t="s">
        <v>294</v>
      </c>
      <c r="I1846" t="s">
        <v>213</v>
      </c>
      <c r="J1846" t="s">
        <v>177</v>
      </c>
      <c r="K1846" s="1">
        <v>3.22</v>
      </c>
      <c r="L1846" s="1">
        <v>3.22</v>
      </c>
      <c r="M1846" s="1">
        <v>0</v>
      </c>
      <c r="N1846" s="1">
        <v>3.22</v>
      </c>
      <c r="O1846" s="1">
        <v>273.7</v>
      </c>
      <c r="P1846" s="1">
        <v>289.8</v>
      </c>
      <c r="Q1846" s="1">
        <v>0</v>
      </c>
      <c r="R1846" s="1">
        <v>345.06</v>
      </c>
      <c r="S1846" t="s">
        <v>280</v>
      </c>
      <c r="T1846" s="13">
        <v>45879</v>
      </c>
      <c r="U1846" s="1" t="str">
        <f>IF(ESTIMATIVA[[#This Row],[QT_AREA_REAL]]&gt;0,"1- Colhido","2- à Colher")</f>
        <v>1- Colhido</v>
      </c>
      <c r="V1846" s="1" t="str">
        <f>IF(ESTIMATIVA[[#This Row],[QT_AREA_REST1]]&gt;0,"Reestimativa 1",IF(ESTIMATIVA[[#This Row],[QT_AREA_REAL]]=0,"Reestimativa 1","Realizado"))</f>
        <v>Reestimativa 1</v>
      </c>
      <c r="W1846" s="1" t="str">
        <f>IF(ESTIMATIVA[[#This Row],[QT_AREA_REST2]]&gt;0,"Reestimativa 2",IF(ESTIMATIVA[[#This Row],[QT_AREA_REAL]]=0,"Reestimativa 2","Realizado"))</f>
        <v>Realizado</v>
      </c>
      <c r="X1846" s="1">
        <f>ESTIMATIVA[[#This Row],[QT_AREA_EST]]</f>
        <v>3.22</v>
      </c>
      <c r="Y1846" s="1">
        <f>IF(ESTIMATIVA[[#This Row],[QT_AREA_REST1]]&gt;0,ESTIMATIVA[[#This Row],[QT_AREA_REST1]],
  IF(ESTIMATIVA[[#This Row],[QT_AREA_REAL]]&gt;0,ESTIMATIVA[[#This Row],[QT_AREA_REAL]],ESTIMATIVA[[#This Row],[QT_AREA_EST]]))</f>
        <v>3.22</v>
      </c>
      <c r="Z184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3.22</v>
      </c>
      <c r="AA1846" s="1">
        <f>ESTIMATIVA[[#This Row],[QT_CANA_EST]]</f>
        <v>273.7</v>
      </c>
      <c r="AB1846" s="1">
        <f>IF(ESTIMATIVA[[#This Row],[QT_CANA_REST1]]&gt;0,ESTIMATIVA[[#This Row],[QT_CANA_REST1]],
  IF(ESTIMATIVA[[#This Row],[QT_CANA_REAL]]&gt;0,ESTIMATIVA[[#This Row],[QT_CANA_REAL]],ESTIMATIVA[[#This Row],[QT_CANA_EST]]))</f>
        <v>289.8</v>
      </c>
      <c r="AC184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345.06</v>
      </c>
      <c r="AD1846" s="1">
        <f>IF(ESTIMATIVA[[#This Row],[QT_AREA_REAL]]&gt;0,ESTIMATIVA[[#This Row],[QT_CANA_REAL]],ESTIMATIVA[[#This Row],[QT_CANA_EST]])</f>
        <v>345.06</v>
      </c>
      <c r="AE1846" s="1">
        <f>IF(ESTIMATIVA[[#This Row],[QT_AREA_REAL]]&gt;0,ESTIMATIVA[[#This Row],[QT_CANA_REAL]],ESTIMATIVA[[#This Row],[QT_CANA_REST1]])</f>
        <v>345.06</v>
      </c>
      <c r="AF1846" s="1">
        <f>IF(ESTIMATIVA[[#This Row],[QT_AREA_REAL]]&gt;0,ESTIMATIVA[[#This Row],[QT_CANA_REAL]],ESTIMATIVA[[#This Row],[QT_CANA_REST2]])</f>
        <v>345.06</v>
      </c>
      <c r="AG1846" s="1" t="str">
        <f>IF(COUNTIFS(GEADA!A:A,VALUE(ESTIMATIVA[[#This Row],[CD_UPNIVEL1]]&amp;TEXT(ESTIMATIVA[[#This Row],[CD_UPNIVEL3]],"0000")))&gt;0,"S","N")</f>
        <v>N</v>
      </c>
      <c r="AH184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46" s="55" t="str">
        <f>IF(ESTIMATIVA[[#This Row],[TP_CULTIVO]]="Irrigado",_xlfn.MAXIFS(IRRIGADO!J:J,IRRIGADO!C:C,ESTIMATIVA[[#This Row],[CD_UPNIVEL1]],IRRIGADO!E:E,ESTIMATIVA[[#This Row],[CD_UPNIVEL3]]),"")</f>
        <v/>
      </c>
      <c r="AJ184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46" s="1">
        <f>COUNTIFS(Apresentação!$E$23:$E$29,ESTIMATIVA[[#This Row],[CD_UPNIVEL1]])</f>
        <v>0</v>
      </c>
    </row>
    <row r="1847" spans="1:37" x14ac:dyDescent="0.3">
      <c r="A1847">
        <v>20713</v>
      </c>
      <c r="B1847" t="s">
        <v>97</v>
      </c>
      <c r="C1847">
        <v>40</v>
      </c>
      <c r="D1847">
        <v>3</v>
      </c>
      <c r="E1847" t="s">
        <v>263</v>
      </c>
      <c r="F1847" s="85" t="s">
        <v>331</v>
      </c>
      <c r="G1847"/>
      <c r="H1847" t="s">
        <v>294</v>
      </c>
      <c r="I1847" t="s">
        <v>208</v>
      </c>
      <c r="J1847" t="s">
        <v>177</v>
      </c>
      <c r="K1847" s="1">
        <v>15.64</v>
      </c>
      <c r="L1847" s="1">
        <v>0</v>
      </c>
      <c r="M1847" s="1">
        <v>0</v>
      </c>
      <c r="N1847" s="1">
        <v>15.64</v>
      </c>
      <c r="O1847" s="1">
        <v>1470.16</v>
      </c>
      <c r="P1847" s="1">
        <v>0</v>
      </c>
      <c r="Q1847" s="1">
        <v>0</v>
      </c>
      <c r="R1847" s="1">
        <v>1666.3</v>
      </c>
      <c r="S1847" t="s">
        <v>280</v>
      </c>
      <c r="T1847" s="13">
        <v>45802</v>
      </c>
      <c r="U1847" s="1" t="str">
        <f>IF(ESTIMATIVA[[#This Row],[QT_AREA_REAL]]&gt;0,"1- Colhido","2- à Colher")</f>
        <v>1- Colhido</v>
      </c>
      <c r="V1847" s="1" t="str">
        <f>IF(ESTIMATIVA[[#This Row],[QT_AREA_REST1]]&gt;0,"Reestimativa 1",IF(ESTIMATIVA[[#This Row],[QT_AREA_REAL]]=0,"Reestimativa 1","Realizado"))</f>
        <v>Realizado</v>
      </c>
      <c r="W1847" s="1" t="str">
        <f>IF(ESTIMATIVA[[#This Row],[QT_AREA_REST2]]&gt;0,"Reestimativa 2",IF(ESTIMATIVA[[#This Row],[QT_AREA_REAL]]=0,"Reestimativa 2","Realizado"))</f>
        <v>Realizado</v>
      </c>
      <c r="X1847" s="1">
        <f>ESTIMATIVA[[#This Row],[QT_AREA_EST]]</f>
        <v>15.64</v>
      </c>
      <c r="Y1847" s="1">
        <f>IF(ESTIMATIVA[[#This Row],[QT_AREA_REST1]]&gt;0,ESTIMATIVA[[#This Row],[QT_AREA_REST1]],
  IF(ESTIMATIVA[[#This Row],[QT_AREA_REAL]]&gt;0,ESTIMATIVA[[#This Row],[QT_AREA_REAL]],ESTIMATIVA[[#This Row],[QT_AREA_EST]]))</f>
        <v>15.64</v>
      </c>
      <c r="Z184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15.64</v>
      </c>
      <c r="AA1847" s="1">
        <f>ESTIMATIVA[[#This Row],[QT_CANA_EST]]</f>
        <v>1470.16</v>
      </c>
      <c r="AB1847" s="1">
        <f>IF(ESTIMATIVA[[#This Row],[QT_CANA_REST1]]&gt;0,ESTIMATIVA[[#This Row],[QT_CANA_REST1]],
  IF(ESTIMATIVA[[#This Row],[QT_CANA_REAL]]&gt;0,ESTIMATIVA[[#This Row],[QT_CANA_REAL]],ESTIMATIVA[[#This Row],[QT_CANA_EST]]))</f>
        <v>1666.3</v>
      </c>
      <c r="AC184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1666.3</v>
      </c>
      <c r="AD1847" s="1">
        <f>IF(ESTIMATIVA[[#This Row],[QT_AREA_REAL]]&gt;0,ESTIMATIVA[[#This Row],[QT_CANA_REAL]],ESTIMATIVA[[#This Row],[QT_CANA_EST]])</f>
        <v>1666.3</v>
      </c>
      <c r="AE1847" s="1">
        <f>IF(ESTIMATIVA[[#This Row],[QT_AREA_REAL]]&gt;0,ESTIMATIVA[[#This Row],[QT_CANA_REAL]],ESTIMATIVA[[#This Row],[QT_CANA_REST1]])</f>
        <v>1666.3</v>
      </c>
      <c r="AF1847" s="1">
        <f>IF(ESTIMATIVA[[#This Row],[QT_AREA_REAL]]&gt;0,ESTIMATIVA[[#This Row],[QT_CANA_REAL]],ESTIMATIVA[[#This Row],[QT_CANA_REST2]])</f>
        <v>1666.3</v>
      </c>
      <c r="AG1847" s="1" t="str">
        <f>IF(COUNTIFS(GEADA!A:A,VALUE(ESTIMATIVA[[#This Row],[CD_UPNIVEL1]]&amp;TEXT(ESTIMATIVA[[#This Row],[CD_UPNIVEL3]],"0000")))&gt;0,"S","N")</f>
        <v>N</v>
      </c>
      <c r="AH184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47" s="55" t="str">
        <f>IF(ESTIMATIVA[[#This Row],[TP_CULTIVO]]="Irrigado",_xlfn.MAXIFS(IRRIGADO!J:J,IRRIGADO!C:C,ESTIMATIVA[[#This Row],[CD_UPNIVEL1]],IRRIGADO!E:E,ESTIMATIVA[[#This Row],[CD_UPNIVEL3]]),"")</f>
        <v/>
      </c>
      <c r="AJ184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47" s="1">
        <f>COUNTIFS(Apresentação!$E$23:$E$29,ESTIMATIVA[[#This Row],[CD_UPNIVEL1]])</f>
        <v>0</v>
      </c>
    </row>
    <row r="1848" spans="1:37" x14ac:dyDescent="0.3">
      <c r="A1848">
        <v>20713</v>
      </c>
      <c r="B1848" t="s">
        <v>97</v>
      </c>
      <c r="C1848">
        <v>41</v>
      </c>
      <c r="D1848">
        <v>2</v>
      </c>
      <c r="E1848" t="s">
        <v>266</v>
      </c>
      <c r="F1848" s="85" t="s">
        <v>331</v>
      </c>
      <c r="G1848"/>
      <c r="H1848" t="s">
        <v>294</v>
      </c>
      <c r="I1848" t="s">
        <v>213</v>
      </c>
      <c r="J1848" t="s">
        <v>177</v>
      </c>
      <c r="K1848" s="1">
        <v>27.18</v>
      </c>
      <c r="L1848" s="1">
        <v>0</v>
      </c>
      <c r="M1848" s="1">
        <v>0</v>
      </c>
      <c r="N1848" s="1">
        <v>27.18</v>
      </c>
      <c r="O1848" s="1">
        <v>2310.3000000000002</v>
      </c>
      <c r="P1848" s="1">
        <v>0</v>
      </c>
      <c r="Q1848" s="1">
        <v>0</v>
      </c>
      <c r="R1848" s="1">
        <v>2569.3200000000002</v>
      </c>
      <c r="S1848" t="s">
        <v>280</v>
      </c>
      <c r="T1848" s="13">
        <v>45802</v>
      </c>
      <c r="U1848" s="1" t="str">
        <f>IF(ESTIMATIVA[[#This Row],[QT_AREA_REAL]]&gt;0,"1- Colhido","2- à Colher")</f>
        <v>1- Colhido</v>
      </c>
      <c r="V1848" s="1" t="str">
        <f>IF(ESTIMATIVA[[#This Row],[QT_AREA_REST1]]&gt;0,"Reestimativa 1",IF(ESTIMATIVA[[#This Row],[QT_AREA_REAL]]=0,"Reestimativa 1","Realizado"))</f>
        <v>Realizado</v>
      </c>
      <c r="W1848" s="1" t="str">
        <f>IF(ESTIMATIVA[[#This Row],[QT_AREA_REST2]]&gt;0,"Reestimativa 2",IF(ESTIMATIVA[[#This Row],[QT_AREA_REAL]]=0,"Reestimativa 2","Realizado"))</f>
        <v>Realizado</v>
      </c>
      <c r="X1848" s="1">
        <f>ESTIMATIVA[[#This Row],[QT_AREA_EST]]</f>
        <v>27.18</v>
      </c>
      <c r="Y1848" s="1">
        <f>IF(ESTIMATIVA[[#This Row],[QT_AREA_REST1]]&gt;0,ESTIMATIVA[[#This Row],[QT_AREA_REST1]],
  IF(ESTIMATIVA[[#This Row],[QT_AREA_REAL]]&gt;0,ESTIMATIVA[[#This Row],[QT_AREA_REAL]],ESTIMATIVA[[#This Row],[QT_AREA_EST]]))</f>
        <v>27.18</v>
      </c>
      <c r="Z184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27.18</v>
      </c>
      <c r="AA1848" s="1">
        <f>ESTIMATIVA[[#This Row],[QT_CANA_EST]]</f>
        <v>2310.3000000000002</v>
      </c>
      <c r="AB1848" s="1">
        <f>IF(ESTIMATIVA[[#This Row],[QT_CANA_REST1]]&gt;0,ESTIMATIVA[[#This Row],[QT_CANA_REST1]],
  IF(ESTIMATIVA[[#This Row],[QT_CANA_REAL]]&gt;0,ESTIMATIVA[[#This Row],[QT_CANA_REAL]],ESTIMATIVA[[#This Row],[QT_CANA_EST]]))</f>
        <v>2569.3200000000002</v>
      </c>
      <c r="AC184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2569.3200000000002</v>
      </c>
      <c r="AD1848" s="1">
        <f>IF(ESTIMATIVA[[#This Row],[QT_AREA_REAL]]&gt;0,ESTIMATIVA[[#This Row],[QT_CANA_REAL]],ESTIMATIVA[[#This Row],[QT_CANA_EST]])</f>
        <v>2569.3200000000002</v>
      </c>
      <c r="AE1848" s="1">
        <f>IF(ESTIMATIVA[[#This Row],[QT_AREA_REAL]]&gt;0,ESTIMATIVA[[#This Row],[QT_CANA_REAL]],ESTIMATIVA[[#This Row],[QT_CANA_REST1]])</f>
        <v>2569.3200000000002</v>
      </c>
      <c r="AF1848" s="1">
        <f>IF(ESTIMATIVA[[#This Row],[QT_AREA_REAL]]&gt;0,ESTIMATIVA[[#This Row],[QT_CANA_REAL]],ESTIMATIVA[[#This Row],[QT_CANA_REST2]])</f>
        <v>2569.3200000000002</v>
      </c>
      <c r="AG1848" s="1" t="str">
        <f>IF(COUNTIFS(GEADA!A:A,VALUE(ESTIMATIVA[[#This Row],[CD_UPNIVEL1]]&amp;TEXT(ESTIMATIVA[[#This Row],[CD_UPNIVEL3]],"0000")))&gt;0,"S","N")</f>
        <v>N</v>
      </c>
      <c r="AH184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48" s="55" t="str">
        <f>IF(ESTIMATIVA[[#This Row],[TP_CULTIVO]]="Irrigado",_xlfn.MAXIFS(IRRIGADO!J:J,IRRIGADO!C:C,ESTIMATIVA[[#This Row],[CD_UPNIVEL1]],IRRIGADO!E:E,ESTIMATIVA[[#This Row],[CD_UPNIVEL3]]),"")</f>
        <v/>
      </c>
      <c r="AJ184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48" s="1">
        <f>COUNTIFS(Apresentação!$E$23:$E$29,ESTIMATIVA[[#This Row],[CD_UPNIVEL1]])</f>
        <v>0</v>
      </c>
    </row>
    <row r="1849" spans="1:37" x14ac:dyDescent="0.3">
      <c r="A1849">
        <v>20713</v>
      </c>
      <c r="B1849" t="s">
        <v>97</v>
      </c>
      <c r="C1849">
        <v>42</v>
      </c>
      <c r="D1849">
        <v>2</v>
      </c>
      <c r="E1849" t="s">
        <v>266</v>
      </c>
      <c r="F1849" s="85" t="s">
        <v>331</v>
      </c>
      <c r="G1849"/>
      <c r="H1849" t="s">
        <v>294</v>
      </c>
      <c r="I1849" t="s">
        <v>213</v>
      </c>
      <c r="J1849" t="s">
        <v>177</v>
      </c>
      <c r="K1849" s="1">
        <v>20.16</v>
      </c>
      <c r="L1849" s="1">
        <v>0</v>
      </c>
      <c r="M1849" s="1">
        <v>0</v>
      </c>
      <c r="N1849" s="1">
        <v>20.16</v>
      </c>
      <c r="O1849" s="1">
        <v>1411.2</v>
      </c>
      <c r="P1849" s="1">
        <v>0</v>
      </c>
      <c r="Q1849" s="1">
        <v>0</v>
      </c>
      <c r="R1849" s="1">
        <v>2088.33</v>
      </c>
      <c r="S1849" t="s">
        <v>280</v>
      </c>
      <c r="T1849" s="13">
        <v>45802</v>
      </c>
      <c r="U1849" s="1" t="str">
        <f>IF(ESTIMATIVA[[#This Row],[QT_AREA_REAL]]&gt;0,"1- Colhido","2- à Colher")</f>
        <v>1- Colhido</v>
      </c>
      <c r="V1849" s="1" t="str">
        <f>IF(ESTIMATIVA[[#This Row],[QT_AREA_REST1]]&gt;0,"Reestimativa 1",IF(ESTIMATIVA[[#This Row],[QT_AREA_REAL]]=0,"Reestimativa 1","Realizado"))</f>
        <v>Realizado</v>
      </c>
      <c r="W1849" s="1" t="str">
        <f>IF(ESTIMATIVA[[#This Row],[QT_AREA_REST2]]&gt;0,"Reestimativa 2",IF(ESTIMATIVA[[#This Row],[QT_AREA_REAL]]=0,"Reestimativa 2","Realizado"))</f>
        <v>Realizado</v>
      </c>
      <c r="X1849" s="1">
        <f>ESTIMATIVA[[#This Row],[QT_AREA_EST]]</f>
        <v>20.16</v>
      </c>
      <c r="Y1849" s="1">
        <f>IF(ESTIMATIVA[[#This Row],[QT_AREA_REST1]]&gt;0,ESTIMATIVA[[#This Row],[QT_AREA_REST1]],
  IF(ESTIMATIVA[[#This Row],[QT_AREA_REAL]]&gt;0,ESTIMATIVA[[#This Row],[QT_AREA_REAL]],ESTIMATIVA[[#This Row],[QT_AREA_EST]]))</f>
        <v>20.16</v>
      </c>
      <c r="Z184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20.16</v>
      </c>
      <c r="AA1849" s="1">
        <f>ESTIMATIVA[[#This Row],[QT_CANA_EST]]</f>
        <v>1411.2</v>
      </c>
      <c r="AB1849" s="1">
        <f>IF(ESTIMATIVA[[#This Row],[QT_CANA_REST1]]&gt;0,ESTIMATIVA[[#This Row],[QT_CANA_REST1]],
  IF(ESTIMATIVA[[#This Row],[QT_CANA_REAL]]&gt;0,ESTIMATIVA[[#This Row],[QT_CANA_REAL]],ESTIMATIVA[[#This Row],[QT_CANA_EST]]))</f>
        <v>2088.33</v>
      </c>
      <c r="AC184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2088.33</v>
      </c>
      <c r="AD1849" s="1">
        <f>IF(ESTIMATIVA[[#This Row],[QT_AREA_REAL]]&gt;0,ESTIMATIVA[[#This Row],[QT_CANA_REAL]],ESTIMATIVA[[#This Row],[QT_CANA_EST]])</f>
        <v>2088.33</v>
      </c>
      <c r="AE1849" s="1">
        <f>IF(ESTIMATIVA[[#This Row],[QT_AREA_REAL]]&gt;0,ESTIMATIVA[[#This Row],[QT_CANA_REAL]],ESTIMATIVA[[#This Row],[QT_CANA_REST1]])</f>
        <v>2088.33</v>
      </c>
      <c r="AF1849" s="1">
        <f>IF(ESTIMATIVA[[#This Row],[QT_AREA_REAL]]&gt;0,ESTIMATIVA[[#This Row],[QT_CANA_REAL]],ESTIMATIVA[[#This Row],[QT_CANA_REST2]])</f>
        <v>2088.33</v>
      </c>
      <c r="AG1849" s="1" t="str">
        <f>IF(COUNTIFS(GEADA!A:A,VALUE(ESTIMATIVA[[#This Row],[CD_UPNIVEL1]]&amp;TEXT(ESTIMATIVA[[#This Row],[CD_UPNIVEL3]],"0000")))&gt;0,"S","N")</f>
        <v>N</v>
      </c>
      <c r="AH184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49" s="55" t="str">
        <f>IF(ESTIMATIVA[[#This Row],[TP_CULTIVO]]="Irrigado",_xlfn.MAXIFS(IRRIGADO!J:J,IRRIGADO!C:C,ESTIMATIVA[[#This Row],[CD_UPNIVEL1]],IRRIGADO!E:E,ESTIMATIVA[[#This Row],[CD_UPNIVEL3]]),"")</f>
        <v/>
      </c>
      <c r="AJ184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49" s="1">
        <f>COUNTIFS(Apresentação!$E$23:$E$29,ESTIMATIVA[[#This Row],[CD_UPNIVEL1]])</f>
        <v>0</v>
      </c>
    </row>
    <row r="1850" spans="1:37" x14ac:dyDescent="0.3">
      <c r="A1850">
        <v>20713</v>
      </c>
      <c r="B1850" t="s">
        <v>97</v>
      </c>
      <c r="C1850">
        <v>43</v>
      </c>
      <c r="D1850">
        <v>2</v>
      </c>
      <c r="E1850" t="s">
        <v>266</v>
      </c>
      <c r="F1850" s="85" t="s">
        <v>331</v>
      </c>
      <c r="G1850"/>
      <c r="H1850" t="s">
        <v>294</v>
      </c>
      <c r="I1850" t="s">
        <v>213</v>
      </c>
      <c r="J1850" t="s">
        <v>177</v>
      </c>
      <c r="K1850" s="1">
        <v>16.88</v>
      </c>
      <c r="L1850" s="1">
        <v>0</v>
      </c>
      <c r="M1850" s="1">
        <v>0</v>
      </c>
      <c r="N1850" s="1">
        <v>16.88</v>
      </c>
      <c r="O1850" s="1">
        <v>1181.5999999999999</v>
      </c>
      <c r="P1850" s="1">
        <v>0</v>
      </c>
      <c r="Q1850" s="1">
        <v>0</v>
      </c>
      <c r="R1850" s="1">
        <v>1749.51</v>
      </c>
      <c r="S1850" t="s">
        <v>280</v>
      </c>
      <c r="T1850" s="13">
        <v>45802</v>
      </c>
      <c r="U1850" s="1" t="str">
        <f>IF(ESTIMATIVA[[#This Row],[QT_AREA_REAL]]&gt;0,"1- Colhido","2- à Colher")</f>
        <v>1- Colhido</v>
      </c>
      <c r="V1850" s="1" t="str">
        <f>IF(ESTIMATIVA[[#This Row],[QT_AREA_REST1]]&gt;0,"Reestimativa 1",IF(ESTIMATIVA[[#This Row],[QT_AREA_REAL]]=0,"Reestimativa 1","Realizado"))</f>
        <v>Realizado</v>
      </c>
      <c r="W1850" s="1" t="str">
        <f>IF(ESTIMATIVA[[#This Row],[QT_AREA_REST2]]&gt;0,"Reestimativa 2",IF(ESTIMATIVA[[#This Row],[QT_AREA_REAL]]=0,"Reestimativa 2","Realizado"))</f>
        <v>Realizado</v>
      </c>
      <c r="X1850" s="1">
        <f>ESTIMATIVA[[#This Row],[QT_AREA_EST]]</f>
        <v>16.88</v>
      </c>
      <c r="Y1850" s="1">
        <f>IF(ESTIMATIVA[[#This Row],[QT_AREA_REST1]]&gt;0,ESTIMATIVA[[#This Row],[QT_AREA_REST1]],
  IF(ESTIMATIVA[[#This Row],[QT_AREA_REAL]]&gt;0,ESTIMATIVA[[#This Row],[QT_AREA_REAL]],ESTIMATIVA[[#This Row],[QT_AREA_EST]]))</f>
        <v>16.88</v>
      </c>
      <c r="Z185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16.88</v>
      </c>
      <c r="AA1850" s="1">
        <f>ESTIMATIVA[[#This Row],[QT_CANA_EST]]</f>
        <v>1181.5999999999999</v>
      </c>
      <c r="AB1850" s="1">
        <f>IF(ESTIMATIVA[[#This Row],[QT_CANA_REST1]]&gt;0,ESTIMATIVA[[#This Row],[QT_CANA_REST1]],
  IF(ESTIMATIVA[[#This Row],[QT_CANA_REAL]]&gt;0,ESTIMATIVA[[#This Row],[QT_CANA_REAL]],ESTIMATIVA[[#This Row],[QT_CANA_EST]]))</f>
        <v>1749.51</v>
      </c>
      <c r="AC185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1749.51</v>
      </c>
      <c r="AD1850" s="1">
        <f>IF(ESTIMATIVA[[#This Row],[QT_AREA_REAL]]&gt;0,ESTIMATIVA[[#This Row],[QT_CANA_REAL]],ESTIMATIVA[[#This Row],[QT_CANA_EST]])</f>
        <v>1749.51</v>
      </c>
      <c r="AE1850" s="1">
        <f>IF(ESTIMATIVA[[#This Row],[QT_AREA_REAL]]&gt;0,ESTIMATIVA[[#This Row],[QT_CANA_REAL]],ESTIMATIVA[[#This Row],[QT_CANA_REST1]])</f>
        <v>1749.51</v>
      </c>
      <c r="AF1850" s="1">
        <f>IF(ESTIMATIVA[[#This Row],[QT_AREA_REAL]]&gt;0,ESTIMATIVA[[#This Row],[QT_CANA_REAL]],ESTIMATIVA[[#This Row],[QT_CANA_REST2]])</f>
        <v>1749.51</v>
      </c>
      <c r="AG1850" s="1" t="str">
        <f>IF(COUNTIFS(GEADA!A:A,VALUE(ESTIMATIVA[[#This Row],[CD_UPNIVEL1]]&amp;TEXT(ESTIMATIVA[[#This Row],[CD_UPNIVEL3]],"0000")))&gt;0,"S","N")</f>
        <v>N</v>
      </c>
      <c r="AH185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50" s="55" t="str">
        <f>IF(ESTIMATIVA[[#This Row],[TP_CULTIVO]]="Irrigado",_xlfn.MAXIFS(IRRIGADO!J:J,IRRIGADO!C:C,ESTIMATIVA[[#This Row],[CD_UPNIVEL1]],IRRIGADO!E:E,ESTIMATIVA[[#This Row],[CD_UPNIVEL3]]),"")</f>
        <v/>
      </c>
      <c r="AJ185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50" s="1">
        <f>COUNTIFS(Apresentação!$E$23:$E$29,ESTIMATIVA[[#This Row],[CD_UPNIVEL1]])</f>
        <v>0</v>
      </c>
    </row>
    <row r="1851" spans="1:37" x14ac:dyDescent="0.3">
      <c r="A1851">
        <v>20713</v>
      </c>
      <c r="B1851" t="s">
        <v>97</v>
      </c>
      <c r="C1851">
        <v>44</v>
      </c>
      <c r="D1851">
        <v>3</v>
      </c>
      <c r="E1851" t="s">
        <v>263</v>
      </c>
      <c r="F1851" s="85" t="s">
        <v>331</v>
      </c>
      <c r="G1851"/>
      <c r="H1851" t="s">
        <v>294</v>
      </c>
      <c r="I1851" t="s">
        <v>208</v>
      </c>
      <c r="J1851" t="s">
        <v>177</v>
      </c>
      <c r="K1851" s="1">
        <v>4.25</v>
      </c>
      <c r="L1851" s="1">
        <v>0</v>
      </c>
      <c r="M1851" s="1">
        <v>0</v>
      </c>
      <c r="N1851" s="1">
        <v>4.25</v>
      </c>
      <c r="O1851" s="1">
        <v>382.5</v>
      </c>
      <c r="P1851" s="1">
        <v>0</v>
      </c>
      <c r="Q1851" s="1">
        <v>0</v>
      </c>
      <c r="R1851" s="1">
        <v>434.44</v>
      </c>
      <c r="S1851" t="s">
        <v>280</v>
      </c>
      <c r="T1851" s="13">
        <v>45802</v>
      </c>
      <c r="U1851" s="1" t="str">
        <f>IF(ESTIMATIVA[[#This Row],[QT_AREA_REAL]]&gt;0,"1- Colhido","2- à Colher")</f>
        <v>1- Colhido</v>
      </c>
      <c r="V1851" s="1" t="str">
        <f>IF(ESTIMATIVA[[#This Row],[QT_AREA_REST1]]&gt;0,"Reestimativa 1",IF(ESTIMATIVA[[#This Row],[QT_AREA_REAL]]=0,"Reestimativa 1","Realizado"))</f>
        <v>Realizado</v>
      </c>
      <c r="W1851" s="1" t="str">
        <f>IF(ESTIMATIVA[[#This Row],[QT_AREA_REST2]]&gt;0,"Reestimativa 2",IF(ESTIMATIVA[[#This Row],[QT_AREA_REAL]]=0,"Reestimativa 2","Realizado"))</f>
        <v>Realizado</v>
      </c>
      <c r="X1851" s="1">
        <f>ESTIMATIVA[[#This Row],[QT_AREA_EST]]</f>
        <v>4.25</v>
      </c>
      <c r="Y1851" s="1">
        <f>IF(ESTIMATIVA[[#This Row],[QT_AREA_REST1]]&gt;0,ESTIMATIVA[[#This Row],[QT_AREA_REST1]],
  IF(ESTIMATIVA[[#This Row],[QT_AREA_REAL]]&gt;0,ESTIMATIVA[[#This Row],[QT_AREA_REAL]],ESTIMATIVA[[#This Row],[QT_AREA_EST]]))</f>
        <v>4.25</v>
      </c>
      <c r="Z185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4.25</v>
      </c>
      <c r="AA1851" s="1">
        <f>ESTIMATIVA[[#This Row],[QT_CANA_EST]]</f>
        <v>382.5</v>
      </c>
      <c r="AB1851" s="1">
        <f>IF(ESTIMATIVA[[#This Row],[QT_CANA_REST1]]&gt;0,ESTIMATIVA[[#This Row],[QT_CANA_REST1]],
  IF(ESTIMATIVA[[#This Row],[QT_CANA_REAL]]&gt;0,ESTIMATIVA[[#This Row],[QT_CANA_REAL]],ESTIMATIVA[[#This Row],[QT_CANA_EST]]))</f>
        <v>434.44</v>
      </c>
      <c r="AC185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434.44</v>
      </c>
      <c r="AD1851" s="1">
        <f>IF(ESTIMATIVA[[#This Row],[QT_AREA_REAL]]&gt;0,ESTIMATIVA[[#This Row],[QT_CANA_REAL]],ESTIMATIVA[[#This Row],[QT_CANA_EST]])</f>
        <v>434.44</v>
      </c>
      <c r="AE1851" s="1">
        <f>IF(ESTIMATIVA[[#This Row],[QT_AREA_REAL]]&gt;0,ESTIMATIVA[[#This Row],[QT_CANA_REAL]],ESTIMATIVA[[#This Row],[QT_CANA_REST1]])</f>
        <v>434.44</v>
      </c>
      <c r="AF1851" s="1">
        <f>IF(ESTIMATIVA[[#This Row],[QT_AREA_REAL]]&gt;0,ESTIMATIVA[[#This Row],[QT_CANA_REAL]],ESTIMATIVA[[#This Row],[QT_CANA_REST2]])</f>
        <v>434.44</v>
      </c>
      <c r="AG1851" s="1" t="str">
        <f>IF(COUNTIFS(GEADA!A:A,VALUE(ESTIMATIVA[[#This Row],[CD_UPNIVEL1]]&amp;TEXT(ESTIMATIVA[[#This Row],[CD_UPNIVEL3]],"0000")))&gt;0,"S","N")</f>
        <v>N</v>
      </c>
      <c r="AH185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51" s="55" t="str">
        <f>IF(ESTIMATIVA[[#This Row],[TP_CULTIVO]]="Irrigado",_xlfn.MAXIFS(IRRIGADO!J:J,IRRIGADO!C:C,ESTIMATIVA[[#This Row],[CD_UPNIVEL1]],IRRIGADO!E:E,ESTIMATIVA[[#This Row],[CD_UPNIVEL3]]),"")</f>
        <v/>
      </c>
      <c r="AJ185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51" s="1">
        <f>COUNTIFS(Apresentação!$E$23:$E$29,ESTIMATIVA[[#This Row],[CD_UPNIVEL1]])</f>
        <v>0</v>
      </c>
    </row>
    <row r="1852" spans="1:37" x14ac:dyDescent="0.3">
      <c r="A1852">
        <v>20713</v>
      </c>
      <c r="B1852" t="s">
        <v>97</v>
      </c>
      <c r="C1852">
        <v>45</v>
      </c>
      <c r="D1852">
        <v>2</v>
      </c>
      <c r="E1852" t="s">
        <v>266</v>
      </c>
      <c r="F1852" s="85" t="s">
        <v>331</v>
      </c>
      <c r="G1852"/>
      <c r="H1852" t="s">
        <v>294</v>
      </c>
      <c r="I1852" t="s">
        <v>213</v>
      </c>
      <c r="J1852" t="s">
        <v>177</v>
      </c>
      <c r="K1852" s="1">
        <v>4.97</v>
      </c>
      <c r="L1852" s="1">
        <v>4.97</v>
      </c>
      <c r="M1852" s="1">
        <v>0</v>
      </c>
      <c r="N1852" s="1">
        <v>4.97</v>
      </c>
      <c r="O1852" s="1">
        <v>422.45</v>
      </c>
      <c r="P1852" s="1">
        <v>447.3</v>
      </c>
      <c r="Q1852" s="1">
        <v>0</v>
      </c>
      <c r="R1852" s="1">
        <v>531.92999999999995</v>
      </c>
      <c r="S1852" t="s">
        <v>280</v>
      </c>
      <c r="T1852" s="13">
        <v>45879</v>
      </c>
      <c r="U1852" s="1" t="str">
        <f>IF(ESTIMATIVA[[#This Row],[QT_AREA_REAL]]&gt;0,"1- Colhido","2- à Colher")</f>
        <v>1- Colhido</v>
      </c>
      <c r="V1852" s="1" t="str">
        <f>IF(ESTIMATIVA[[#This Row],[QT_AREA_REST1]]&gt;0,"Reestimativa 1",IF(ESTIMATIVA[[#This Row],[QT_AREA_REAL]]=0,"Reestimativa 1","Realizado"))</f>
        <v>Reestimativa 1</v>
      </c>
      <c r="W1852" s="1" t="str">
        <f>IF(ESTIMATIVA[[#This Row],[QT_AREA_REST2]]&gt;0,"Reestimativa 2",IF(ESTIMATIVA[[#This Row],[QT_AREA_REAL]]=0,"Reestimativa 2","Realizado"))</f>
        <v>Realizado</v>
      </c>
      <c r="X1852" s="1">
        <f>ESTIMATIVA[[#This Row],[QT_AREA_EST]]</f>
        <v>4.97</v>
      </c>
      <c r="Y1852" s="1">
        <f>IF(ESTIMATIVA[[#This Row],[QT_AREA_REST1]]&gt;0,ESTIMATIVA[[#This Row],[QT_AREA_REST1]],
  IF(ESTIMATIVA[[#This Row],[QT_AREA_REAL]]&gt;0,ESTIMATIVA[[#This Row],[QT_AREA_REAL]],ESTIMATIVA[[#This Row],[QT_AREA_EST]]))</f>
        <v>4.97</v>
      </c>
      <c r="Z185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4.97</v>
      </c>
      <c r="AA1852" s="1">
        <f>ESTIMATIVA[[#This Row],[QT_CANA_EST]]</f>
        <v>422.45</v>
      </c>
      <c r="AB1852" s="1">
        <f>IF(ESTIMATIVA[[#This Row],[QT_CANA_REST1]]&gt;0,ESTIMATIVA[[#This Row],[QT_CANA_REST1]],
  IF(ESTIMATIVA[[#This Row],[QT_CANA_REAL]]&gt;0,ESTIMATIVA[[#This Row],[QT_CANA_REAL]],ESTIMATIVA[[#This Row],[QT_CANA_EST]]))</f>
        <v>447.3</v>
      </c>
      <c r="AC185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531.92999999999995</v>
      </c>
      <c r="AD1852" s="1">
        <f>IF(ESTIMATIVA[[#This Row],[QT_AREA_REAL]]&gt;0,ESTIMATIVA[[#This Row],[QT_CANA_REAL]],ESTIMATIVA[[#This Row],[QT_CANA_EST]])</f>
        <v>531.92999999999995</v>
      </c>
      <c r="AE1852" s="1">
        <f>IF(ESTIMATIVA[[#This Row],[QT_AREA_REAL]]&gt;0,ESTIMATIVA[[#This Row],[QT_CANA_REAL]],ESTIMATIVA[[#This Row],[QT_CANA_REST1]])</f>
        <v>531.92999999999995</v>
      </c>
      <c r="AF1852" s="1">
        <f>IF(ESTIMATIVA[[#This Row],[QT_AREA_REAL]]&gt;0,ESTIMATIVA[[#This Row],[QT_CANA_REAL]],ESTIMATIVA[[#This Row],[QT_CANA_REST2]])</f>
        <v>531.92999999999995</v>
      </c>
      <c r="AG1852" s="1" t="str">
        <f>IF(COUNTIFS(GEADA!A:A,VALUE(ESTIMATIVA[[#This Row],[CD_UPNIVEL1]]&amp;TEXT(ESTIMATIVA[[#This Row],[CD_UPNIVEL3]],"0000")))&gt;0,"S","N")</f>
        <v>N</v>
      </c>
      <c r="AH185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52" s="55" t="str">
        <f>IF(ESTIMATIVA[[#This Row],[TP_CULTIVO]]="Irrigado",_xlfn.MAXIFS(IRRIGADO!J:J,IRRIGADO!C:C,ESTIMATIVA[[#This Row],[CD_UPNIVEL1]],IRRIGADO!E:E,ESTIMATIVA[[#This Row],[CD_UPNIVEL3]]),"")</f>
        <v/>
      </c>
      <c r="AJ185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52" s="1">
        <f>COUNTIFS(Apresentação!$E$23:$E$29,ESTIMATIVA[[#This Row],[CD_UPNIVEL1]])</f>
        <v>0</v>
      </c>
    </row>
    <row r="1853" spans="1:37" x14ac:dyDescent="0.3">
      <c r="A1853">
        <v>20713</v>
      </c>
      <c r="B1853" t="s">
        <v>97</v>
      </c>
      <c r="C1853">
        <v>46</v>
      </c>
      <c r="D1853">
        <v>2</v>
      </c>
      <c r="E1853" t="s">
        <v>266</v>
      </c>
      <c r="F1853" s="85" t="s">
        <v>331</v>
      </c>
      <c r="G1853"/>
      <c r="H1853" t="s">
        <v>294</v>
      </c>
      <c r="I1853" t="s">
        <v>213</v>
      </c>
      <c r="J1853" t="s">
        <v>177</v>
      </c>
      <c r="K1853" s="1">
        <v>1.94</v>
      </c>
      <c r="L1853" s="1">
        <v>1.94</v>
      </c>
      <c r="M1853" s="1">
        <v>0</v>
      </c>
      <c r="N1853" s="1">
        <v>1.94</v>
      </c>
      <c r="O1853" s="1">
        <v>164.9</v>
      </c>
      <c r="P1853" s="1">
        <v>174.6</v>
      </c>
      <c r="Q1853" s="1">
        <v>0</v>
      </c>
      <c r="R1853" s="1">
        <v>208.19</v>
      </c>
      <c r="S1853" t="s">
        <v>280</v>
      </c>
      <c r="T1853" s="13">
        <v>45879</v>
      </c>
      <c r="U1853" s="1" t="str">
        <f>IF(ESTIMATIVA[[#This Row],[QT_AREA_REAL]]&gt;0,"1- Colhido","2- à Colher")</f>
        <v>1- Colhido</v>
      </c>
      <c r="V1853" s="1" t="str">
        <f>IF(ESTIMATIVA[[#This Row],[QT_AREA_REST1]]&gt;0,"Reestimativa 1",IF(ESTIMATIVA[[#This Row],[QT_AREA_REAL]]=0,"Reestimativa 1","Realizado"))</f>
        <v>Reestimativa 1</v>
      </c>
      <c r="W1853" s="1" t="str">
        <f>IF(ESTIMATIVA[[#This Row],[QT_AREA_REST2]]&gt;0,"Reestimativa 2",IF(ESTIMATIVA[[#This Row],[QT_AREA_REAL]]=0,"Reestimativa 2","Realizado"))</f>
        <v>Realizado</v>
      </c>
      <c r="X1853" s="1">
        <f>ESTIMATIVA[[#This Row],[QT_AREA_EST]]</f>
        <v>1.94</v>
      </c>
      <c r="Y1853" s="1">
        <f>IF(ESTIMATIVA[[#This Row],[QT_AREA_REST1]]&gt;0,ESTIMATIVA[[#This Row],[QT_AREA_REST1]],
  IF(ESTIMATIVA[[#This Row],[QT_AREA_REAL]]&gt;0,ESTIMATIVA[[#This Row],[QT_AREA_REAL]],ESTIMATIVA[[#This Row],[QT_AREA_EST]]))</f>
        <v>1.94</v>
      </c>
      <c r="Z185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1.94</v>
      </c>
      <c r="AA1853" s="1">
        <f>ESTIMATIVA[[#This Row],[QT_CANA_EST]]</f>
        <v>164.9</v>
      </c>
      <c r="AB1853" s="1">
        <f>IF(ESTIMATIVA[[#This Row],[QT_CANA_REST1]]&gt;0,ESTIMATIVA[[#This Row],[QT_CANA_REST1]],
  IF(ESTIMATIVA[[#This Row],[QT_CANA_REAL]]&gt;0,ESTIMATIVA[[#This Row],[QT_CANA_REAL]],ESTIMATIVA[[#This Row],[QT_CANA_EST]]))</f>
        <v>174.6</v>
      </c>
      <c r="AC185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208.19</v>
      </c>
      <c r="AD1853" s="1">
        <f>IF(ESTIMATIVA[[#This Row],[QT_AREA_REAL]]&gt;0,ESTIMATIVA[[#This Row],[QT_CANA_REAL]],ESTIMATIVA[[#This Row],[QT_CANA_EST]])</f>
        <v>208.19</v>
      </c>
      <c r="AE1853" s="1">
        <f>IF(ESTIMATIVA[[#This Row],[QT_AREA_REAL]]&gt;0,ESTIMATIVA[[#This Row],[QT_CANA_REAL]],ESTIMATIVA[[#This Row],[QT_CANA_REST1]])</f>
        <v>208.19</v>
      </c>
      <c r="AF1853" s="1">
        <f>IF(ESTIMATIVA[[#This Row],[QT_AREA_REAL]]&gt;0,ESTIMATIVA[[#This Row],[QT_CANA_REAL]],ESTIMATIVA[[#This Row],[QT_CANA_REST2]])</f>
        <v>208.19</v>
      </c>
      <c r="AG1853" s="1" t="str">
        <f>IF(COUNTIFS(GEADA!A:A,VALUE(ESTIMATIVA[[#This Row],[CD_UPNIVEL1]]&amp;TEXT(ESTIMATIVA[[#This Row],[CD_UPNIVEL3]],"0000")))&gt;0,"S","N")</f>
        <v>N</v>
      </c>
      <c r="AH185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53" s="55" t="str">
        <f>IF(ESTIMATIVA[[#This Row],[TP_CULTIVO]]="Irrigado",_xlfn.MAXIFS(IRRIGADO!J:J,IRRIGADO!C:C,ESTIMATIVA[[#This Row],[CD_UPNIVEL1]],IRRIGADO!E:E,ESTIMATIVA[[#This Row],[CD_UPNIVEL3]]),"")</f>
        <v/>
      </c>
      <c r="AJ185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53" s="1">
        <f>COUNTIFS(Apresentação!$E$23:$E$29,ESTIMATIVA[[#This Row],[CD_UPNIVEL1]])</f>
        <v>0</v>
      </c>
    </row>
    <row r="1854" spans="1:37" x14ac:dyDescent="0.3">
      <c r="A1854">
        <v>20713</v>
      </c>
      <c r="B1854" t="s">
        <v>97</v>
      </c>
      <c r="C1854">
        <v>47</v>
      </c>
      <c r="D1854">
        <v>2</v>
      </c>
      <c r="E1854" t="s">
        <v>266</v>
      </c>
      <c r="F1854" s="85" t="s">
        <v>331</v>
      </c>
      <c r="G1854"/>
      <c r="H1854" t="s">
        <v>294</v>
      </c>
      <c r="I1854" t="s">
        <v>213</v>
      </c>
      <c r="J1854" t="s">
        <v>177</v>
      </c>
      <c r="K1854" s="1">
        <v>5.94</v>
      </c>
      <c r="L1854" s="1">
        <v>5.94</v>
      </c>
      <c r="M1854" s="1">
        <v>0</v>
      </c>
      <c r="N1854" s="1">
        <v>5.94</v>
      </c>
      <c r="O1854" s="1">
        <v>504.9</v>
      </c>
      <c r="P1854" s="1">
        <v>534.6</v>
      </c>
      <c r="Q1854" s="1">
        <v>0</v>
      </c>
      <c r="R1854" s="1">
        <v>636.67999999999995</v>
      </c>
      <c r="S1854" t="s">
        <v>280</v>
      </c>
      <c r="T1854" s="13">
        <v>45879</v>
      </c>
      <c r="U1854" s="1" t="str">
        <f>IF(ESTIMATIVA[[#This Row],[QT_AREA_REAL]]&gt;0,"1- Colhido","2- à Colher")</f>
        <v>1- Colhido</v>
      </c>
      <c r="V1854" s="1" t="str">
        <f>IF(ESTIMATIVA[[#This Row],[QT_AREA_REST1]]&gt;0,"Reestimativa 1",IF(ESTIMATIVA[[#This Row],[QT_AREA_REAL]]=0,"Reestimativa 1","Realizado"))</f>
        <v>Reestimativa 1</v>
      </c>
      <c r="W1854" s="1" t="str">
        <f>IF(ESTIMATIVA[[#This Row],[QT_AREA_REST2]]&gt;0,"Reestimativa 2",IF(ESTIMATIVA[[#This Row],[QT_AREA_REAL]]=0,"Reestimativa 2","Realizado"))</f>
        <v>Realizado</v>
      </c>
      <c r="X1854" s="1">
        <f>ESTIMATIVA[[#This Row],[QT_AREA_EST]]</f>
        <v>5.94</v>
      </c>
      <c r="Y1854" s="1">
        <f>IF(ESTIMATIVA[[#This Row],[QT_AREA_REST1]]&gt;0,ESTIMATIVA[[#This Row],[QT_AREA_REST1]],
  IF(ESTIMATIVA[[#This Row],[QT_AREA_REAL]]&gt;0,ESTIMATIVA[[#This Row],[QT_AREA_REAL]],ESTIMATIVA[[#This Row],[QT_AREA_EST]]))</f>
        <v>5.94</v>
      </c>
      <c r="Z185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5.94</v>
      </c>
      <c r="AA1854" s="1">
        <f>ESTIMATIVA[[#This Row],[QT_CANA_EST]]</f>
        <v>504.9</v>
      </c>
      <c r="AB1854" s="1">
        <f>IF(ESTIMATIVA[[#This Row],[QT_CANA_REST1]]&gt;0,ESTIMATIVA[[#This Row],[QT_CANA_REST1]],
  IF(ESTIMATIVA[[#This Row],[QT_CANA_REAL]]&gt;0,ESTIMATIVA[[#This Row],[QT_CANA_REAL]],ESTIMATIVA[[#This Row],[QT_CANA_EST]]))</f>
        <v>534.6</v>
      </c>
      <c r="AC185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636.67999999999995</v>
      </c>
      <c r="AD1854" s="1">
        <f>IF(ESTIMATIVA[[#This Row],[QT_AREA_REAL]]&gt;0,ESTIMATIVA[[#This Row],[QT_CANA_REAL]],ESTIMATIVA[[#This Row],[QT_CANA_EST]])</f>
        <v>636.67999999999995</v>
      </c>
      <c r="AE1854" s="1">
        <f>IF(ESTIMATIVA[[#This Row],[QT_AREA_REAL]]&gt;0,ESTIMATIVA[[#This Row],[QT_CANA_REAL]],ESTIMATIVA[[#This Row],[QT_CANA_REST1]])</f>
        <v>636.67999999999995</v>
      </c>
      <c r="AF1854" s="1">
        <f>IF(ESTIMATIVA[[#This Row],[QT_AREA_REAL]]&gt;0,ESTIMATIVA[[#This Row],[QT_CANA_REAL]],ESTIMATIVA[[#This Row],[QT_CANA_REST2]])</f>
        <v>636.67999999999995</v>
      </c>
      <c r="AG1854" s="1" t="str">
        <f>IF(COUNTIFS(GEADA!A:A,VALUE(ESTIMATIVA[[#This Row],[CD_UPNIVEL1]]&amp;TEXT(ESTIMATIVA[[#This Row],[CD_UPNIVEL3]],"0000")))&gt;0,"S","N")</f>
        <v>N</v>
      </c>
      <c r="AH185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54" s="55" t="str">
        <f>IF(ESTIMATIVA[[#This Row],[TP_CULTIVO]]="Irrigado",_xlfn.MAXIFS(IRRIGADO!J:J,IRRIGADO!C:C,ESTIMATIVA[[#This Row],[CD_UPNIVEL1]],IRRIGADO!E:E,ESTIMATIVA[[#This Row],[CD_UPNIVEL3]]),"")</f>
        <v/>
      </c>
      <c r="AJ185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54" s="1">
        <f>COUNTIFS(Apresentação!$E$23:$E$29,ESTIMATIVA[[#This Row],[CD_UPNIVEL1]])</f>
        <v>0</v>
      </c>
    </row>
    <row r="1855" spans="1:37" x14ac:dyDescent="0.3">
      <c r="A1855">
        <v>20713</v>
      </c>
      <c r="B1855" t="s">
        <v>97</v>
      </c>
      <c r="C1855">
        <v>48</v>
      </c>
      <c r="D1855">
        <v>2</v>
      </c>
      <c r="E1855" t="s">
        <v>266</v>
      </c>
      <c r="F1855" s="85" t="s">
        <v>331</v>
      </c>
      <c r="G1855"/>
      <c r="H1855" t="s">
        <v>294</v>
      </c>
      <c r="I1855" t="s">
        <v>213</v>
      </c>
      <c r="J1855" t="s">
        <v>177</v>
      </c>
      <c r="K1855" s="1">
        <v>9.66</v>
      </c>
      <c r="L1855" s="1">
        <v>9.66</v>
      </c>
      <c r="M1855" s="1">
        <v>0</v>
      </c>
      <c r="N1855" s="1">
        <v>9.66</v>
      </c>
      <c r="O1855" s="1">
        <v>821.1</v>
      </c>
      <c r="P1855" s="1">
        <v>869.4</v>
      </c>
      <c r="Q1855" s="1">
        <v>0</v>
      </c>
      <c r="R1855" s="1">
        <v>1034.2</v>
      </c>
      <c r="S1855" t="s">
        <v>280</v>
      </c>
      <c r="T1855" s="13">
        <v>45879</v>
      </c>
      <c r="U1855" s="1" t="str">
        <f>IF(ESTIMATIVA[[#This Row],[QT_AREA_REAL]]&gt;0,"1- Colhido","2- à Colher")</f>
        <v>1- Colhido</v>
      </c>
      <c r="V1855" s="1" t="str">
        <f>IF(ESTIMATIVA[[#This Row],[QT_AREA_REST1]]&gt;0,"Reestimativa 1",IF(ESTIMATIVA[[#This Row],[QT_AREA_REAL]]=0,"Reestimativa 1","Realizado"))</f>
        <v>Reestimativa 1</v>
      </c>
      <c r="W1855" s="1" t="str">
        <f>IF(ESTIMATIVA[[#This Row],[QT_AREA_REST2]]&gt;0,"Reestimativa 2",IF(ESTIMATIVA[[#This Row],[QT_AREA_REAL]]=0,"Reestimativa 2","Realizado"))</f>
        <v>Realizado</v>
      </c>
      <c r="X1855" s="1">
        <f>ESTIMATIVA[[#This Row],[QT_AREA_EST]]</f>
        <v>9.66</v>
      </c>
      <c r="Y1855" s="1">
        <f>IF(ESTIMATIVA[[#This Row],[QT_AREA_REST1]]&gt;0,ESTIMATIVA[[#This Row],[QT_AREA_REST1]],
  IF(ESTIMATIVA[[#This Row],[QT_AREA_REAL]]&gt;0,ESTIMATIVA[[#This Row],[QT_AREA_REAL]],ESTIMATIVA[[#This Row],[QT_AREA_EST]]))</f>
        <v>9.66</v>
      </c>
      <c r="Z185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9.66</v>
      </c>
      <c r="AA1855" s="1">
        <f>ESTIMATIVA[[#This Row],[QT_CANA_EST]]</f>
        <v>821.1</v>
      </c>
      <c r="AB1855" s="1">
        <f>IF(ESTIMATIVA[[#This Row],[QT_CANA_REST1]]&gt;0,ESTIMATIVA[[#This Row],[QT_CANA_REST1]],
  IF(ESTIMATIVA[[#This Row],[QT_CANA_REAL]]&gt;0,ESTIMATIVA[[#This Row],[QT_CANA_REAL]],ESTIMATIVA[[#This Row],[QT_CANA_EST]]))</f>
        <v>869.4</v>
      </c>
      <c r="AC185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1034.2</v>
      </c>
      <c r="AD1855" s="1">
        <f>IF(ESTIMATIVA[[#This Row],[QT_AREA_REAL]]&gt;0,ESTIMATIVA[[#This Row],[QT_CANA_REAL]],ESTIMATIVA[[#This Row],[QT_CANA_EST]])</f>
        <v>1034.2</v>
      </c>
      <c r="AE1855" s="1">
        <f>IF(ESTIMATIVA[[#This Row],[QT_AREA_REAL]]&gt;0,ESTIMATIVA[[#This Row],[QT_CANA_REAL]],ESTIMATIVA[[#This Row],[QT_CANA_REST1]])</f>
        <v>1034.2</v>
      </c>
      <c r="AF1855" s="1">
        <f>IF(ESTIMATIVA[[#This Row],[QT_AREA_REAL]]&gt;0,ESTIMATIVA[[#This Row],[QT_CANA_REAL]],ESTIMATIVA[[#This Row],[QT_CANA_REST2]])</f>
        <v>1034.2</v>
      </c>
      <c r="AG1855" s="1" t="str">
        <f>IF(COUNTIFS(GEADA!A:A,VALUE(ESTIMATIVA[[#This Row],[CD_UPNIVEL1]]&amp;TEXT(ESTIMATIVA[[#This Row],[CD_UPNIVEL3]],"0000")))&gt;0,"S","N")</f>
        <v>N</v>
      </c>
      <c r="AH185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55" s="55" t="str">
        <f>IF(ESTIMATIVA[[#This Row],[TP_CULTIVO]]="Irrigado",_xlfn.MAXIFS(IRRIGADO!J:J,IRRIGADO!C:C,ESTIMATIVA[[#This Row],[CD_UPNIVEL1]],IRRIGADO!E:E,ESTIMATIVA[[#This Row],[CD_UPNIVEL3]]),"")</f>
        <v/>
      </c>
      <c r="AJ185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55" s="1">
        <f>COUNTIFS(Apresentação!$E$23:$E$29,ESTIMATIVA[[#This Row],[CD_UPNIVEL1]])</f>
        <v>0</v>
      </c>
    </row>
    <row r="1856" spans="1:37" x14ac:dyDescent="0.3">
      <c r="A1856">
        <v>20713</v>
      </c>
      <c r="B1856" t="s">
        <v>97</v>
      </c>
      <c r="C1856">
        <v>49</v>
      </c>
      <c r="D1856">
        <v>2</v>
      </c>
      <c r="E1856" t="s">
        <v>266</v>
      </c>
      <c r="F1856" s="85" t="s">
        <v>331</v>
      </c>
      <c r="G1856"/>
      <c r="H1856" t="s">
        <v>294</v>
      </c>
      <c r="I1856" t="s">
        <v>213</v>
      </c>
      <c r="J1856" t="s">
        <v>177</v>
      </c>
      <c r="K1856" s="1">
        <v>5.17</v>
      </c>
      <c r="L1856" s="1">
        <v>5.17</v>
      </c>
      <c r="M1856" s="1">
        <v>0</v>
      </c>
      <c r="N1856" s="1">
        <v>5.17</v>
      </c>
      <c r="O1856" s="1">
        <v>439.45</v>
      </c>
      <c r="P1856" s="1">
        <v>439.45</v>
      </c>
      <c r="Q1856" s="1">
        <v>0</v>
      </c>
      <c r="R1856" s="1">
        <v>522.41</v>
      </c>
      <c r="S1856" t="s">
        <v>280</v>
      </c>
      <c r="T1856" s="13">
        <v>45879</v>
      </c>
      <c r="U1856" s="1" t="str">
        <f>IF(ESTIMATIVA[[#This Row],[QT_AREA_REAL]]&gt;0,"1- Colhido","2- à Colher")</f>
        <v>1- Colhido</v>
      </c>
      <c r="V1856" s="1" t="str">
        <f>IF(ESTIMATIVA[[#This Row],[QT_AREA_REST1]]&gt;0,"Reestimativa 1",IF(ESTIMATIVA[[#This Row],[QT_AREA_REAL]]=0,"Reestimativa 1","Realizado"))</f>
        <v>Reestimativa 1</v>
      </c>
      <c r="W1856" s="1" t="str">
        <f>IF(ESTIMATIVA[[#This Row],[QT_AREA_REST2]]&gt;0,"Reestimativa 2",IF(ESTIMATIVA[[#This Row],[QT_AREA_REAL]]=0,"Reestimativa 2","Realizado"))</f>
        <v>Realizado</v>
      </c>
      <c r="X1856" s="1">
        <f>ESTIMATIVA[[#This Row],[QT_AREA_EST]]</f>
        <v>5.17</v>
      </c>
      <c r="Y1856" s="1">
        <f>IF(ESTIMATIVA[[#This Row],[QT_AREA_REST1]]&gt;0,ESTIMATIVA[[#This Row],[QT_AREA_REST1]],
  IF(ESTIMATIVA[[#This Row],[QT_AREA_REAL]]&gt;0,ESTIMATIVA[[#This Row],[QT_AREA_REAL]],ESTIMATIVA[[#This Row],[QT_AREA_EST]]))</f>
        <v>5.17</v>
      </c>
      <c r="Z185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5.17</v>
      </c>
      <c r="AA1856" s="1">
        <f>ESTIMATIVA[[#This Row],[QT_CANA_EST]]</f>
        <v>439.45</v>
      </c>
      <c r="AB1856" s="1">
        <f>IF(ESTIMATIVA[[#This Row],[QT_CANA_REST1]]&gt;0,ESTIMATIVA[[#This Row],[QT_CANA_REST1]],
  IF(ESTIMATIVA[[#This Row],[QT_CANA_REAL]]&gt;0,ESTIMATIVA[[#This Row],[QT_CANA_REAL]],ESTIMATIVA[[#This Row],[QT_CANA_EST]]))</f>
        <v>439.45</v>
      </c>
      <c r="AC185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522.41</v>
      </c>
      <c r="AD1856" s="1">
        <f>IF(ESTIMATIVA[[#This Row],[QT_AREA_REAL]]&gt;0,ESTIMATIVA[[#This Row],[QT_CANA_REAL]],ESTIMATIVA[[#This Row],[QT_CANA_EST]])</f>
        <v>522.41</v>
      </c>
      <c r="AE1856" s="1">
        <f>IF(ESTIMATIVA[[#This Row],[QT_AREA_REAL]]&gt;0,ESTIMATIVA[[#This Row],[QT_CANA_REAL]],ESTIMATIVA[[#This Row],[QT_CANA_REST1]])</f>
        <v>522.41</v>
      </c>
      <c r="AF1856" s="1">
        <f>IF(ESTIMATIVA[[#This Row],[QT_AREA_REAL]]&gt;0,ESTIMATIVA[[#This Row],[QT_CANA_REAL]],ESTIMATIVA[[#This Row],[QT_CANA_REST2]])</f>
        <v>522.41</v>
      </c>
      <c r="AG1856" s="1" t="str">
        <f>IF(COUNTIFS(GEADA!A:A,VALUE(ESTIMATIVA[[#This Row],[CD_UPNIVEL1]]&amp;TEXT(ESTIMATIVA[[#This Row],[CD_UPNIVEL3]],"0000")))&gt;0,"S","N")</f>
        <v>N</v>
      </c>
      <c r="AH185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56" s="55" t="str">
        <f>IF(ESTIMATIVA[[#This Row],[TP_CULTIVO]]="Irrigado",_xlfn.MAXIFS(IRRIGADO!J:J,IRRIGADO!C:C,ESTIMATIVA[[#This Row],[CD_UPNIVEL1]],IRRIGADO!E:E,ESTIMATIVA[[#This Row],[CD_UPNIVEL3]]),"")</f>
        <v/>
      </c>
      <c r="AJ185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56" s="1">
        <f>COUNTIFS(Apresentação!$E$23:$E$29,ESTIMATIVA[[#This Row],[CD_UPNIVEL1]])</f>
        <v>0</v>
      </c>
    </row>
    <row r="1857" spans="1:37" x14ac:dyDescent="0.3">
      <c r="A1857">
        <v>20713</v>
      </c>
      <c r="B1857" t="s">
        <v>97</v>
      </c>
      <c r="C1857">
        <v>50</v>
      </c>
      <c r="D1857">
        <v>2</v>
      </c>
      <c r="E1857" t="s">
        <v>266</v>
      </c>
      <c r="F1857" s="85" t="s">
        <v>331</v>
      </c>
      <c r="G1857"/>
      <c r="H1857" t="s">
        <v>294</v>
      </c>
      <c r="I1857" t="s">
        <v>213</v>
      </c>
      <c r="J1857" t="s">
        <v>177</v>
      </c>
      <c r="K1857" s="1">
        <v>4.66</v>
      </c>
      <c r="L1857" s="1">
        <v>4.66</v>
      </c>
      <c r="M1857" s="1">
        <v>0</v>
      </c>
      <c r="N1857" s="1">
        <v>4.66</v>
      </c>
      <c r="O1857" s="1">
        <v>396.1</v>
      </c>
      <c r="P1857" s="1">
        <v>396.1</v>
      </c>
      <c r="Q1857" s="1">
        <v>0</v>
      </c>
      <c r="R1857" s="1">
        <v>471.23</v>
      </c>
      <c r="S1857" t="s">
        <v>280</v>
      </c>
      <c r="T1857" s="13">
        <v>45879</v>
      </c>
      <c r="U1857" s="1" t="str">
        <f>IF(ESTIMATIVA[[#This Row],[QT_AREA_REAL]]&gt;0,"1- Colhido","2- à Colher")</f>
        <v>1- Colhido</v>
      </c>
      <c r="V1857" s="1" t="str">
        <f>IF(ESTIMATIVA[[#This Row],[QT_AREA_REST1]]&gt;0,"Reestimativa 1",IF(ESTIMATIVA[[#This Row],[QT_AREA_REAL]]=0,"Reestimativa 1","Realizado"))</f>
        <v>Reestimativa 1</v>
      </c>
      <c r="W1857" s="1" t="str">
        <f>IF(ESTIMATIVA[[#This Row],[QT_AREA_REST2]]&gt;0,"Reestimativa 2",IF(ESTIMATIVA[[#This Row],[QT_AREA_REAL]]=0,"Reestimativa 2","Realizado"))</f>
        <v>Realizado</v>
      </c>
      <c r="X1857" s="1">
        <f>ESTIMATIVA[[#This Row],[QT_AREA_EST]]</f>
        <v>4.66</v>
      </c>
      <c r="Y1857" s="1">
        <f>IF(ESTIMATIVA[[#This Row],[QT_AREA_REST1]]&gt;0,ESTIMATIVA[[#This Row],[QT_AREA_REST1]],
  IF(ESTIMATIVA[[#This Row],[QT_AREA_REAL]]&gt;0,ESTIMATIVA[[#This Row],[QT_AREA_REAL]],ESTIMATIVA[[#This Row],[QT_AREA_EST]]))</f>
        <v>4.66</v>
      </c>
      <c r="Z185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4.66</v>
      </c>
      <c r="AA1857" s="1">
        <f>ESTIMATIVA[[#This Row],[QT_CANA_EST]]</f>
        <v>396.1</v>
      </c>
      <c r="AB1857" s="1">
        <f>IF(ESTIMATIVA[[#This Row],[QT_CANA_REST1]]&gt;0,ESTIMATIVA[[#This Row],[QT_CANA_REST1]],
  IF(ESTIMATIVA[[#This Row],[QT_CANA_REAL]]&gt;0,ESTIMATIVA[[#This Row],[QT_CANA_REAL]],ESTIMATIVA[[#This Row],[QT_CANA_EST]]))</f>
        <v>396.1</v>
      </c>
      <c r="AC185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471.23</v>
      </c>
      <c r="AD1857" s="1">
        <f>IF(ESTIMATIVA[[#This Row],[QT_AREA_REAL]]&gt;0,ESTIMATIVA[[#This Row],[QT_CANA_REAL]],ESTIMATIVA[[#This Row],[QT_CANA_EST]])</f>
        <v>471.23</v>
      </c>
      <c r="AE1857" s="1">
        <f>IF(ESTIMATIVA[[#This Row],[QT_AREA_REAL]]&gt;0,ESTIMATIVA[[#This Row],[QT_CANA_REAL]],ESTIMATIVA[[#This Row],[QT_CANA_REST1]])</f>
        <v>471.23</v>
      </c>
      <c r="AF1857" s="1">
        <f>IF(ESTIMATIVA[[#This Row],[QT_AREA_REAL]]&gt;0,ESTIMATIVA[[#This Row],[QT_CANA_REAL]],ESTIMATIVA[[#This Row],[QT_CANA_REST2]])</f>
        <v>471.23</v>
      </c>
      <c r="AG1857" s="1" t="str">
        <f>IF(COUNTIFS(GEADA!A:A,VALUE(ESTIMATIVA[[#This Row],[CD_UPNIVEL1]]&amp;TEXT(ESTIMATIVA[[#This Row],[CD_UPNIVEL3]],"0000")))&gt;0,"S","N")</f>
        <v>N</v>
      </c>
      <c r="AH185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57" s="55" t="str">
        <f>IF(ESTIMATIVA[[#This Row],[TP_CULTIVO]]="Irrigado",_xlfn.MAXIFS(IRRIGADO!J:J,IRRIGADO!C:C,ESTIMATIVA[[#This Row],[CD_UPNIVEL1]],IRRIGADO!E:E,ESTIMATIVA[[#This Row],[CD_UPNIVEL3]]),"")</f>
        <v/>
      </c>
      <c r="AJ185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57" s="1">
        <f>COUNTIFS(Apresentação!$E$23:$E$29,ESTIMATIVA[[#This Row],[CD_UPNIVEL1]])</f>
        <v>0</v>
      </c>
    </row>
    <row r="1858" spans="1:37" x14ac:dyDescent="0.3">
      <c r="A1858">
        <v>20713</v>
      </c>
      <c r="B1858" t="s">
        <v>97</v>
      </c>
      <c r="C1858">
        <v>51</v>
      </c>
      <c r="D1858">
        <v>2</v>
      </c>
      <c r="E1858" t="s">
        <v>266</v>
      </c>
      <c r="F1858" s="85" t="s">
        <v>331</v>
      </c>
      <c r="G1858"/>
      <c r="H1858" t="s">
        <v>294</v>
      </c>
      <c r="I1858" t="s">
        <v>213</v>
      </c>
      <c r="J1858" t="s">
        <v>177</v>
      </c>
      <c r="K1858" s="1">
        <v>5.58</v>
      </c>
      <c r="L1858" s="1">
        <v>5.58</v>
      </c>
      <c r="M1858" s="1">
        <v>0</v>
      </c>
      <c r="N1858" s="1">
        <v>5.58</v>
      </c>
      <c r="O1858" s="1">
        <v>474.3</v>
      </c>
      <c r="P1858" s="1">
        <v>474.3</v>
      </c>
      <c r="Q1858" s="1">
        <v>0</v>
      </c>
      <c r="R1858" s="1">
        <v>564.05999999999995</v>
      </c>
      <c r="S1858" t="s">
        <v>280</v>
      </c>
      <c r="T1858" s="13">
        <v>45879</v>
      </c>
      <c r="U1858" s="1" t="str">
        <f>IF(ESTIMATIVA[[#This Row],[QT_AREA_REAL]]&gt;0,"1- Colhido","2- à Colher")</f>
        <v>1- Colhido</v>
      </c>
      <c r="V1858" s="1" t="str">
        <f>IF(ESTIMATIVA[[#This Row],[QT_AREA_REST1]]&gt;0,"Reestimativa 1",IF(ESTIMATIVA[[#This Row],[QT_AREA_REAL]]=0,"Reestimativa 1","Realizado"))</f>
        <v>Reestimativa 1</v>
      </c>
      <c r="W1858" s="1" t="str">
        <f>IF(ESTIMATIVA[[#This Row],[QT_AREA_REST2]]&gt;0,"Reestimativa 2",IF(ESTIMATIVA[[#This Row],[QT_AREA_REAL]]=0,"Reestimativa 2","Realizado"))</f>
        <v>Realizado</v>
      </c>
      <c r="X1858" s="1">
        <f>ESTIMATIVA[[#This Row],[QT_AREA_EST]]</f>
        <v>5.58</v>
      </c>
      <c r="Y1858" s="1">
        <f>IF(ESTIMATIVA[[#This Row],[QT_AREA_REST1]]&gt;0,ESTIMATIVA[[#This Row],[QT_AREA_REST1]],
  IF(ESTIMATIVA[[#This Row],[QT_AREA_REAL]]&gt;0,ESTIMATIVA[[#This Row],[QT_AREA_REAL]],ESTIMATIVA[[#This Row],[QT_AREA_EST]]))</f>
        <v>5.58</v>
      </c>
      <c r="Z185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5.58</v>
      </c>
      <c r="AA1858" s="1">
        <f>ESTIMATIVA[[#This Row],[QT_CANA_EST]]</f>
        <v>474.3</v>
      </c>
      <c r="AB1858" s="1">
        <f>IF(ESTIMATIVA[[#This Row],[QT_CANA_REST1]]&gt;0,ESTIMATIVA[[#This Row],[QT_CANA_REST1]],
  IF(ESTIMATIVA[[#This Row],[QT_CANA_REAL]]&gt;0,ESTIMATIVA[[#This Row],[QT_CANA_REAL]],ESTIMATIVA[[#This Row],[QT_CANA_EST]]))</f>
        <v>474.3</v>
      </c>
      <c r="AC185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564.05999999999995</v>
      </c>
      <c r="AD1858" s="1">
        <f>IF(ESTIMATIVA[[#This Row],[QT_AREA_REAL]]&gt;0,ESTIMATIVA[[#This Row],[QT_CANA_REAL]],ESTIMATIVA[[#This Row],[QT_CANA_EST]])</f>
        <v>564.05999999999995</v>
      </c>
      <c r="AE1858" s="1">
        <f>IF(ESTIMATIVA[[#This Row],[QT_AREA_REAL]]&gt;0,ESTIMATIVA[[#This Row],[QT_CANA_REAL]],ESTIMATIVA[[#This Row],[QT_CANA_REST1]])</f>
        <v>564.05999999999995</v>
      </c>
      <c r="AF1858" s="1">
        <f>IF(ESTIMATIVA[[#This Row],[QT_AREA_REAL]]&gt;0,ESTIMATIVA[[#This Row],[QT_CANA_REAL]],ESTIMATIVA[[#This Row],[QT_CANA_REST2]])</f>
        <v>564.05999999999995</v>
      </c>
      <c r="AG1858" s="1" t="str">
        <f>IF(COUNTIFS(GEADA!A:A,VALUE(ESTIMATIVA[[#This Row],[CD_UPNIVEL1]]&amp;TEXT(ESTIMATIVA[[#This Row],[CD_UPNIVEL3]],"0000")))&gt;0,"S","N")</f>
        <v>N</v>
      </c>
      <c r="AH185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58" s="55" t="str">
        <f>IF(ESTIMATIVA[[#This Row],[TP_CULTIVO]]="Irrigado",_xlfn.MAXIFS(IRRIGADO!J:J,IRRIGADO!C:C,ESTIMATIVA[[#This Row],[CD_UPNIVEL1]],IRRIGADO!E:E,ESTIMATIVA[[#This Row],[CD_UPNIVEL3]]),"")</f>
        <v/>
      </c>
      <c r="AJ185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58" s="1">
        <f>COUNTIFS(Apresentação!$E$23:$E$29,ESTIMATIVA[[#This Row],[CD_UPNIVEL1]])</f>
        <v>0</v>
      </c>
    </row>
    <row r="1859" spans="1:37" x14ac:dyDescent="0.3">
      <c r="A1859">
        <v>20713</v>
      </c>
      <c r="B1859" t="s">
        <v>97</v>
      </c>
      <c r="C1859">
        <v>52</v>
      </c>
      <c r="D1859">
        <v>2</v>
      </c>
      <c r="E1859" t="s">
        <v>266</v>
      </c>
      <c r="F1859" s="85" t="s">
        <v>331</v>
      </c>
      <c r="G1859"/>
      <c r="H1859" t="s">
        <v>294</v>
      </c>
      <c r="I1859" t="s">
        <v>213</v>
      </c>
      <c r="J1859" t="s">
        <v>177</v>
      </c>
      <c r="K1859" s="1">
        <v>4.75</v>
      </c>
      <c r="L1859" s="1">
        <v>4.75</v>
      </c>
      <c r="M1859" s="1">
        <v>0</v>
      </c>
      <c r="N1859" s="1">
        <v>4.75</v>
      </c>
      <c r="O1859" s="1">
        <v>403.75</v>
      </c>
      <c r="P1859" s="1">
        <v>389.5</v>
      </c>
      <c r="Q1859" s="1">
        <v>0</v>
      </c>
      <c r="R1859" s="1">
        <v>464.09</v>
      </c>
      <c r="S1859" t="s">
        <v>280</v>
      </c>
      <c r="T1859" s="13">
        <v>45879</v>
      </c>
      <c r="U1859" s="1" t="str">
        <f>IF(ESTIMATIVA[[#This Row],[QT_AREA_REAL]]&gt;0,"1- Colhido","2- à Colher")</f>
        <v>1- Colhido</v>
      </c>
      <c r="V1859" s="1" t="str">
        <f>IF(ESTIMATIVA[[#This Row],[QT_AREA_REST1]]&gt;0,"Reestimativa 1",IF(ESTIMATIVA[[#This Row],[QT_AREA_REAL]]=0,"Reestimativa 1","Realizado"))</f>
        <v>Reestimativa 1</v>
      </c>
      <c r="W1859" s="1" t="str">
        <f>IF(ESTIMATIVA[[#This Row],[QT_AREA_REST2]]&gt;0,"Reestimativa 2",IF(ESTIMATIVA[[#This Row],[QT_AREA_REAL]]=0,"Reestimativa 2","Realizado"))</f>
        <v>Realizado</v>
      </c>
      <c r="X1859" s="1">
        <f>ESTIMATIVA[[#This Row],[QT_AREA_EST]]</f>
        <v>4.75</v>
      </c>
      <c r="Y1859" s="1">
        <f>IF(ESTIMATIVA[[#This Row],[QT_AREA_REST1]]&gt;0,ESTIMATIVA[[#This Row],[QT_AREA_REST1]],
  IF(ESTIMATIVA[[#This Row],[QT_AREA_REAL]]&gt;0,ESTIMATIVA[[#This Row],[QT_AREA_REAL]],ESTIMATIVA[[#This Row],[QT_AREA_EST]]))</f>
        <v>4.75</v>
      </c>
      <c r="Z185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4.75</v>
      </c>
      <c r="AA1859" s="1">
        <f>ESTIMATIVA[[#This Row],[QT_CANA_EST]]</f>
        <v>403.75</v>
      </c>
      <c r="AB1859" s="1">
        <f>IF(ESTIMATIVA[[#This Row],[QT_CANA_REST1]]&gt;0,ESTIMATIVA[[#This Row],[QT_CANA_REST1]],
  IF(ESTIMATIVA[[#This Row],[QT_CANA_REAL]]&gt;0,ESTIMATIVA[[#This Row],[QT_CANA_REAL]],ESTIMATIVA[[#This Row],[QT_CANA_EST]]))</f>
        <v>389.5</v>
      </c>
      <c r="AC185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464.09</v>
      </c>
      <c r="AD1859" s="1">
        <f>IF(ESTIMATIVA[[#This Row],[QT_AREA_REAL]]&gt;0,ESTIMATIVA[[#This Row],[QT_CANA_REAL]],ESTIMATIVA[[#This Row],[QT_CANA_EST]])</f>
        <v>464.09</v>
      </c>
      <c r="AE1859" s="1">
        <f>IF(ESTIMATIVA[[#This Row],[QT_AREA_REAL]]&gt;0,ESTIMATIVA[[#This Row],[QT_CANA_REAL]],ESTIMATIVA[[#This Row],[QT_CANA_REST1]])</f>
        <v>464.09</v>
      </c>
      <c r="AF1859" s="1">
        <f>IF(ESTIMATIVA[[#This Row],[QT_AREA_REAL]]&gt;0,ESTIMATIVA[[#This Row],[QT_CANA_REAL]],ESTIMATIVA[[#This Row],[QT_CANA_REST2]])</f>
        <v>464.09</v>
      </c>
      <c r="AG1859" s="1" t="str">
        <f>IF(COUNTIFS(GEADA!A:A,VALUE(ESTIMATIVA[[#This Row],[CD_UPNIVEL1]]&amp;TEXT(ESTIMATIVA[[#This Row],[CD_UPNIVEL3]],"0000")))&gt;0,"S","N")</f>
        <v>N</v>
      </c>
      <c r="AH185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59" s="55" t="str">
        <f>IF(ESTIMATIVA[[#This Row],[TP_CULTIVO]]="Irrigado",_xlfn.MAXIFS(IRRIGADO!J:J,IRRIGADO!C:C,ESTIMATIVA[[#This Row],[CD_UPNIVEL1]],IRRIGADO!E:E,ESTIMATIVA[[#This Row],[CD_UPNIVEL3]]),"")</f>
        <v/>
      </c>
      <c r="AJ185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59" s="1">
        <f>COUNTIFS(Apresentação!$E$23:$E$29,ESTIMATIVA[[#This Row],[CD_UPNIVEL1]])</f>
        <v>0</v>
      </c>
    </row>
    <row r="1860" spans="1:37" x14ac:dyDescent="0.3">
      <c r="A1860">
        <v>20713</v>
      </c>
      <c r="B1860" t="s">
        <v>97</v>
      </c>
      <c r="C1860">
        <v>53</v>
      </c>
      <c r="D1860">
        <v>2</v>
      </c>
      <c r="E1860" t="s">
        <v>266</v>
      </c>
      <c r="F1860" s="85" t="s">
        <v>331</v>
      </c>
      <c r="G1860"/>
      <c r="H1860" t="s">
        <v>294</v>
      </c>
      <c r="I1860" t="s">
        <v>213</v>
      </c>
      <c r="J1860" t="s">
        <v>177</v>
      </c>
      <c r="K1860" s="1">
        <v>8.89</v>
      </c>
      <c r="L1860" s="1">
        <v>8.89</v>
      </c>
      <c r="M1860" s="1">
        <v>0</v>
      </c>
      <c r="N1860" s="1">
        <v>8.89</v>
      </c>
      <c r="O1860" s="1">
        <v>755.65</v>
      </c>
      <c r="P1860" s="1">
        <v>755.65</v>
      </c>
      <c r="Q1860" s="1">
        <v>0</v>
      </c>
      <c r="R1860" s="1">
        <v>900.96</v>
      </c>
      <c r="S1860" t="s">
        <v>280</v>
      </c>
      <c r="T1860" s="13">
        <v>45879</v>
      </c>
      <c r="U1860" s="1" t="str">
        <f>IF(ESTIMATIVA[[#This Row],[QT_AREA_REAL]]&gt;0,"1- Colhido","2- à Colher")</f>
        <v>1- Colhido</v>
      </c>
      <c r="V1860" s="1" t="str">
        <f>IF(ESTIMATIVA[[#This Row],[QT_AREA_REST1]]&gt;0,"Reestimativa 1",IF(ESTIMATIVA[[#This Row],[QT_AREA_REAL]]=0,"Reestimativa 1","Realizado"))</f>
        <v>Reestimativa 1</v>
      </c>
      <c r="W1860" s="1" t="str">
        <f>IF(ESTIMATIVA[[#This Row],[QT_AREA_REST2]]&gt;0,"Reestimativa 2",IF(ESTIMATIVA[[#This Row],[QT_AREA_REAL]]=0,"Reestimativa 2","Realizado"))</f>
        <v>Realizado</v>
      </c>
      <c r="X1860" s="1">
        <f>ESTIMATIVA[[#This Row],[QT_AREA_EST]]</f>
        <v>8.89</v>
      </c>
      <c r="Y1860" s="1">
        <f>IF(ESTIMATIVA[[#This Row],[QT_AREA_REST1]]&gt;0,ESTIMATIVA[[#This Row],[QT_AREA_REST1]],
  IF(ESTIMATIVA[[#This Row],[QT_AREA_REAL]]&gt;0,ESTIMATIVA[[#This Row],[QT_AREA_REAL]],ESTIMATIVA[[#This Row],[QT_AREA_EST]]))</f>
        <v>8.89</v>
      </c>
      <c r="Z186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8.89</v>
      </c>
      <c r="AA1860" s="1">
        <f>ESTIMATIVA[[#This Row],[QT_CANA_EST]]</f>
        <v>755.65</v>
      </c>
      <c r="AB1860" s="1">
        <f>IF(ESTIMATIVA[[#This Row],[QT_CANA_REST1]]&gt;0,ESTIMATIVA[[#This Row],[QT_CANA_REST1]],
  IF(ESTIMATIVA[[#This Row],[QT_CANA_REAL]]&gt;0,ESTIMATIVA[[#This Row],[QT_CANA_REAL]],ESTIMATIVA[[#This Row],[QT_CANA_EST]]))</f>
        <v>755.65</v>
      </c>
      <c r="AC186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900.96</v>
      </c>
      <c r="AD1860" s="1">
        <f>IF(ESTIMATIVA[[#This Row],[QT_AREA_REAL]]&gt;0,ESTIMATIVA[[#This Row],[QT_CANA_REAL]],ESTIMATIVA[[#This Row],[QT_CANA_EST]])</f>
        <v>900.96</v>
      </c>
      <c r="AE1860" s="1">
        <f>IF(ESTIMATIVA[[#This Row],[QT_AREA_REAL]]&gt;0,ESTIMATIVA[[#This Row],[QT_CANA_REAL]],ESTIMATIVA[[#This Row],[QT_CANA_REST1]])</f>
        <v>900.96</v>
      </c>
      <c r="AF1860" s="1">
        <f>IF(ESTIMATIVA[[#This Row],[QT_AREA_REAL]]&gt;0,ESTIMATIVA[[#This Row],[QT_CANA_REAL]],ESTIMATIVA[[#This Row],[QT_CANA_REST2]])</f>
        <v>900.96</v>
      </c>
      <c r="AG1860" s="1" t="str">
        <f>IF(COUNTIFS(GEADA!A:A,VALUE(ESTIMATIVA[[#This Row],[CD_UPNIVEL1]]&amp;TEXT(ESTIMATIVA[[#This Row],[CD_UPNIVEL3]],"0000")))&gt;0,"S","N")</f>
        <v>N</v>
      </c>
      <c r="AH186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60" s="55" t="str">
        <f>IF(ESTIMATIVA[[#This Row],[TP_CULTIVO]]="Irrigado",_xlfn.MAXIFS(IRRIGADO!J:J,IRRIGADO!C:C,ESTIMATIVA[[#This Row],[CD_UPNIVEL1]],IRRIGADO!E:E,ESTIMATIVA[[#This Row],[CD_UPNIVEL3]]),"")</f>
        <v/>
      </c>
      <c r="AJ186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60" s="1">
        <f>COUNTIFS(Apresentação!$E$23:$E$29,ESTIMATIVA[[#This Row],[CD_UPNIVEL1]])</f>
        <v>0</v>
      </c>
    </row>
    <row r="1861" spans="1:37" x14ac:dyDescent="0.3">
      <c r="A1861">
        <v>20713</v>
      </c>
      <c r="B1861" t="s">
        <v>97</v>
      </c>
      <c r="C1861">
        <v>54</v>
      </c>
      <c r="D1861">
        <v>2</v>
      </c>
      <c r="E1861" t="s">
        <v>266</v>
      </c>
      <c r="F1861" s="85" t="s">
        <v>331</v>
      </c>
      <c r="G1861"/>
      <c r="H1861" t="s">
        <v>294</v>
      </c>
      <c r="I1861" t="s">
        <v>213</v>
      </c>
      <c r="J1861" t="s">
        <v>177</v>
      </c>
      <c r="K1861" s="1">
        <v>5.58</v>
      </c>
      <c r="L1861" s="1">
        <v>5.58</v>
      </c>
      <c r="M1861" s="1">
        <v>0</v>
      </c>
      <c r="N1861" s="1">
        <v>5.58</v>
      </c>
      <c r="O1861" s="1">
        <v>474.3</v>
      </c>
      <c r="P1861" s="1">
        <v>474.3</v>
      </c>
      <c r="Q1861" s="1">
        <v>0</v>
      </c>
      <c r="R1861" s="1">
        <v>482.46</v>
      </c>
      <c r="S1861" t="s">
        <v>280</v>
      </c>
      <c r="T1861" s="13">
        <v>45879</v>
      </c>
      <c r="U1861" s="1" t="str">
        <f>IF(ESTIMATIVA[[#This Row],[QT_AREA_REAL]]&gt;0,"1- Colhido","2- à Colher")</f>
        <v>1- Colhido</v>
      </c>
      <c r="V1861" s="1" t="str">
        <f>IF(ESTIMATIVA[[#This Row],[QT_AREA_REST1]]&gt;0,"Reestimativa 1",IF(ESTIMATIVA[[#This Row],[QT_AREA_REAL]]=0,"Reestimativa 1","Realizado"))</f>
        <v>Reestimativa 1</v>
      </c>
      <c r="W1861" s="1" t="str">
        <f>IF(ESTIMATIVA[[#This Row],[QT_AREA_REST2]]&gt;0,"Reestimativa 2",IF(ESTIMATIVA[[#This Row],[QT_AREA_REAL]]=0,"Reestimativa 2","Realizado"))</f>
        <v>Realizado</v>
      </c>
      <c r="X1861" s="1">
        <f>ESTIMATIVA[[#This Row],[QT_AREA_EST]]</f>
        <v>5.58</v>
      </c>
      <c r="Y1861" s="1">
        <f>IF(ESTIMATIVA[[#This Row],[QT_AREA_REST1]]&gt;0,ESTIMATIVA[[#This Row],[QT_AREA_REST1]],
  IF(ESTIMATIVA[[#This Row],[QT_AREA_REAL]]&gt;0,ESTIMATIVA[[#This Row],[QT_AREA_REAL]],ESTIMATIVA[[#This Row],[QT_AREA_EST]]))</f>
        <v>5.58</v>
      </c>
      <c r="Z186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5.58</v>
      </c>
      <c r="AA1861" s="1">
        <f>ESTIMATIVA[[#This Row],[QT_CANA_EST]]</f>
        <v>474.3</v>
      </c>
      <c r="AB1861" s="1">
        <f>IF(ESTIMATIVA[[#This Row],[QT_CANA_REST1]]&gt;0,ESTIMATIVA[[#This Row],[QT_CANA_REST1]],
  IF(ESTIMATIVA[[#This Row],[QT_CANA_REAL]]&gt;0,ESTIMATIVA[[#This Row],[QT_CANA_REAL]],ESTIMATIVA[[#This Row],[QT_CANA_EST]]))</f>
        <v>474.3</v>
      </c>
      <c r="AC186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482.46</v>
      </c>
      <c r="AD1861" s="1">
        <f>IF(ESTIMATIVA[[#This Row],[QT_AREA_REAL]]&gt;0,ESTIMATIVA[[#This Row],[QT_CANA_REAL]],ESTIMATIVA[[#This Row],[QT_CANA_EST]])</f>
        <v>482.46</v>
      </c>
      <c r="AE1861" s="1">
        <f>IF(ESTIMATIVA[[#This Row],[QT_AREA_REAL]]&gt;0,ESTIMATIVA[[#This Row],[QT_CANA_REAL]],ESTIMATIVA[[#This Row],[QT_CANA_REST1]])</f>
        <v>482.46</v>
      </c>
      <c r="AF1861" s="1">
        <f>IF(ESTIMATIVA[[#This Row],[QT_AREA_REAL]]&gt;0,ESTIMATIVA[[#This Row],[QT_CANA_REAL]],ESTIMATIVA[[#This Row],[QT_CANA_REST2]])</f>
        <v>482.46</v>
      </c>
      <c r="AG1861" s="1" t="str">
        <f>IF(COUNTIFS(GEADA!A:A,VALUE(ESTIMATIVA[[#This Row],[CD_UPNIVEL1]]&amp;TEXT(ESTIMATIVA[[#This Row],[CD_UPNIVEL3]],"0000")))&gt;0,"S","N")</f>
        <v>N</v>
      </c>
      <c r="AH186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61" s="55" t="str">
        <f>IF(ESTIMATIVA[[#This Row],[TP_CULTIVO]]="Irrigado",_xlfn.MAXIFS(IRRIGADO!J:J,IRRIGADO!C:C,ESTIMATIVA[[#This Row],[CD_UPNIVEL1]],IRRIGADO!E:E,ESTIMATIVA[[#This Row],[CD_UPNIVEL3]]),"")</f>
        <v/>
      </c>
      <c r="AJ186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61" s="1">
        <f>COUNTIFS(Apresentação!$E$23:$E$29,ESTIMATIVA[[#This Row],[CD_UPNIVEL1]])</f>
        <v>0</v>
      </c>
    </row>
    <row r="1862" spans="1:37" x14ac:dyDescent="0.3">
      <c r="A1862">
        <v>20713</v>
      </c>
      <c r="B1862" t="s">
        <v>97</v>
      </c>
      <c r="C1862">
        <v>55</v>
      </c>
      <c r="D1862">
        <v>2</v>
      </c>
      <c r="E1862" t="s">
        <v>266</v>
      </c>
      <c r="F1862" s="85" t="s">
        <v>331</v>
      </c>
      <c r="G1862"/>
      <c r="H1862" t="s">
        <v>294</v>
      </c>
      <c r="I1862" t="s">
        <v>213</v>
      </c>
      <c r="J1862" t="s">
        <v>177</v>
      </c>
      <c r="K1862" s="1">
        <v>1.38</v>
      </c>
      <c r="L1862" s="1">
        <v>1.38</v>
      </c>
      <c r="M1862" s="1">
        <v>0</v>
      </c>
      <c r="N1862" s="1">
        <v>1.38</v>
      </c>
      <c r="O1862" s="1">
        <v>117.3</v>
      </c>
      <c r="P1862" s="1">
        <v>117.3</v>
      </c>
      <c r="Q1862" s="1">
        <v>0</v>
      </c>
      <c r="R1862" s="1">
        <v>119.05</v>
      </c>
      <c r="S1862" t="s">
        <v>280</v>
      </c>
      <c r="T1862" s="13">
        <v>45879</v>
      </c>
      <c r="U1862" s="1" t="str">
        <f>IF(ESTIMATIVA[[#This Row],[QT_AREA_REAL]]&gt;0,"1- Colhido","2- à Colher")</f>
        <v>1- Colhido</v>
      </c>
      <c r="V1862" s="1" t="str">
        <f>IF(ESTIMATIVA[[#This Row],[QT_AREA_REST1]]&gt;0,"Reestimativa 1",IF(ESTIMATIVA[[#This Row],[QT_AREA_REAL]]=0,"Reestimativa 1","Realizado"))</f>
        <v>Reestimativa 1</v>
      </c>
      <c r="W1862" s="1" t="str">
        <f>IF(ESTIMATIVA[[#This Row],[QT_AREA_REST2]]&gt;0,"Reestimativa 2",IF(ESTIMATIVA[[#This Row],[QT_AREA_REAL]]=0,"Reestimativa 2","Realizado"))</f>
        <v>Realizado</v>
      </c>
      <c r="X1862" s="1">
        <f>ESTIMATIVA[[#This Row],[QT_AREA_EST]]</f>
        <v>1.38</v>
      </c>
      <c r="Y1862" s="1">
        <f>IF(ESTIMATIVA[[#This Row],[QT_AREA_REST1]]&gt;0,ESTIMATIVA[[#This Row],[QT_AREA_REST1]],
  IF(ESTIMATIVA[[#This Row],[QT_AREA_REAL]]&gt;0,ESTIMATIVA[[#This Row],[QT_AREA_REAL]],ESTIMATIVA[[#This Row],[QT_AREA_EST]]))</f>
        <v>1.38</v>
      </c>
      <c r="Z186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1.38</v>
      </c>
      <c r="AA1862" s="1">
        <f>ESTIMATIVA[[#This Row],[QT_CANA_EST]]</f>
        <v>117.3</v>
      </c>
      <c r="AB1862" s="1">
        <f>IF(ESTIMATIVA[[#This Row],[QT_CANA_REST1]]&gt;0,ESTIMATIVA[[#This Row],[QT_CANA_REST1]],
  IF(ESTIMATIVA[[#This Row],[QT_CANA_REAL]]&gt;0,ESTIMATIVA[[#This Row],[QT_CANA_REAL]],ESTIMATIVA[[#This Row],[QT_CANA_EST]]))</f>
        <v>117.3</v>
      </c>
      <c r="AC186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119.05</v>
      </c>
      <c r="AD1862" s="1">
        <f>IF(ESTIMATIVA[[#This Row],[QT_AREA_REAL]]&gt;0,ESTIMATIVA[[#This Row],[QT_CANA_REAL]],ESTIMATIVA[[#This Row],[QT_CANA_EST]])</f>
        <v>119.05</v>
      </c>
      <c r="AE1862" s="1">
        <f>IF(ESTIMATIVA[[#This Row],[QT_AREA_REAL]]&gt;0,ESTIMATIVA[[#This Row],[QT_CANA_REAL]],ESTIMATIVA[[#This Row],[QT_CANA_REST1]])</f>
        <v>119.05</v>
      </c>
      <c r="AF1862" s="1">
        <f>IF(ESTIMATIVA[[#This Row],[QT_AREA_REAL]]&gt;0,ESTIMATIVA[[#This Row],[QT_CANA_REAL]],ESTIMATIVA[[#This Row],[QT_CANA_REST2]])</f>
        <v>119.05</v>
      </c>
      <c r="AG1862" s="1" t="str">
        <f>IF(COUNTIFS(GEADA!A:A,VALUE(ESTIMATIVA[[#This Row],[CD_UPNIVEL1]]&amp;TEXT(ESTIMATIVA[[#This Row],[CD_UPNIVEL3]],"0000")))&gt;0,"S","N")</f>
        <v>N</v>
      </c>
      <c r="AH186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62" s="55" t="str">
        <f>IF(ESTIMATIVA[[#This Row],[TP_CULTIVO]]="Irrigado",_xlfn.MAXIFS(IRRIGADO!J:J,IRRIGADO!C:C,ESTIMATIVA[[#This Row],[CD_UPNIVEL1]],IRRIGADO!E:E,ESTIMATIVA[[#This Row],[CD_UPNIVEL3]]),"")</f>
        <v/>
      </c>
      <c r="AJ186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62" s="1">
        <f>COUNTIFS(Apresentação!$E$23:$E$29,ESTIMATIVA[[#This Row],[CD_UPNIVEL1]])</f>
        <v>0</v>
      </c>
    </row>
    <row r="1863" spans="1:37" x14ac:dyDescent="0.3">
      <c r="A1863">
        <v>20713</v>
      </c>
      <c r="B1863" t="s">
        <v>97</v>
      </c>
      <c r="C1863">
        <v>56</v>
      </c>
      <c r="D1863">
        <v>2</v>
      </c>
      <c r="E1863" t="s">
        <v>266</v>
      </c>
      <c r="F1863" s="85" t="s">
        <v>331</v>
      </c>
      <c r="G1863"/>
      <c r="H1863" t="s">
        <v>294</v>
      </c>
      <c r="I1863" t="s">
        <v>213</v>
      </c>
      <c r="J1863" t="s">
        <v>177</v>
      </c>
      <c r="K1863" s="1">
        <v>3.29</v>
      </c>
      <c r="L1863" s="1">
        <v>3.29</v>
      </c>
      <c r="M1863" s="1">
        <v>0</v>
      </c>
      <c r="N1863" s="1">
        <v>3.29</v>
      </c>
      <c r="O1863" s="1">
        <v>279.64999999999998</v>
      </c>
      <c r="P1863" s="1">
        <v>279.64999999999998</v>
      </c>
      <c r="Q1863" s="1">
        <v>0</v>
      </c>
      <c r="R1863" s="1">
        <v>284.97000000000003</v>
      </c>
      <c r="S1863" t="s">
        <v>280</v>
      </c>
      <c r="T1863" s="13">
        <v>45879</v>
      </c>
      <c r="U1863" s="1" t="str">
        <f>IF(ESTIMATIVA[[#This Row],[QT_AREA_REAL]]&gt;0,"1- Colhido","2- à Colher")</f>
        <v>1- Colhido</v>
      </c>
      <c r="V1863" s="1" t="str">
        <f>IF(ESTIMATIVA[[#This Row],[QT_AREA_REST1]]&gt;0,"Reestimativa 1",IF(ESTIMATIVA[[#This Row],[QT_AREA_REAL]]=0,"Reestimativa 1","Realizado"))</f>
        <v>Reestimativa 1</v>
      </c>
      <c r="W1863" s="1" t="str">
        <f>IF(ESTIMATIVA[[#This Row],[QT_AREA_REST2]]&gt;0,"Reestimativa 2",IF(ESTIMATIVA[[#This Row],[QT_AREA_REAL]]=0,"Reestimativa 2","Realizado"))</f>
        <v>Realizado</v>
      </c>
      <c r="X1863" s="1">
        <f>ESTIMATIVA[[#This Row],[QT_AREA_EST]]</f>
        <v>3.29</v>
      </c>
      <c r="Y1863" s="1">
        <f>IF(ESTIMATIVA[[#This Row],[QT_AREA_REST1]]&gt;0,ESTIMATIVA[[#This Row],[QT_AREA_REST1]],
  IF(ESTIMATIVA[[#This Row],[QT_AREA_REAL]]&gt;0,ESTIMATIVA[[#This Row],[QT_AREA_REAL]],ESTIMATIVA[[#This Row],[QT_AREA_EST]]))</f>
        <v>3.29</v>
      </c>
      <c r="Z186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3.29</v>
      </c>
      <c r="AA1863" s="1">
        <f>ESTIMATIVA[[#This Row],[QT_CANA_EST]]</f>
        <v>279.64999999999998</v>
      </c>
      <c r="AB1863" s="1">
        <f>IF(ESTIMATIVA[[#This Row],[QT_CANA_REST1]]&gt;0,ESTIMATIVA[[#This Row],[QT_CANA_REST1]],
  IF(ESTIMATIVA[[#This Row],[QT_CANA_REAL]]&gt;0,ESTIMATIVA[[#This Row],[QT_CANA_REAL]],ESTIMATIVA[[#This Row],[QT_CANA_EST]]))</f>
        <v>279.64999999999998</v>
      </c>
      <c r="AC186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284.97000000000003</v>
      </c>
      <c r="AD1863" s="1">
        <f>IF(ESTIMATIVA[[#This Row],[QT_AREA_REAL]]&gt;0,ESTIMATIVA[[#This Row],[QT_CANA_REAL]],ESTIMATIVA[[#This Row],[QT_CANA_EST]])</f>
        <v>284.97000000000003</v>
      </c>
      <c r="AE1863" s="1">
        <f>IF(ESTIMATIVA[[#This Row],[QT_AREA_REAL]]&gt;0,ESTIMATIVA[[#This Row],[QT_CANA_REAL]],ESTIMATIVA[[#This Row],[QT_CANA_REST1]])</f>
        <v>284.97000000000003</v>
      </c>
      <c r="AF1863" s="1">
        <f>IF(ESTIMATIVA[[#This Row],[QT_AREA_REAL]]&gt;0,ESTIMATIVA[[#This Row],[QT_CANA_REAL]],ESTIMATIVA[[#This Row],[QT_CANA_REST2]])</f>
        <v>284.97000000000003</v>
      </c>
      <c r="AG1863" s="1" t="str">
        <f>IF(COUNTIFS(GEADA!A:A,VALUE(ESTIMATIVA[[#This Row],[CD_UPNIVEL1]]&amp;TEXT(ESTIMATIVA[[#This Row],[CD_UPNIVEL3]],"0000")))&gt;0,"S","N")</f>
        <v>N</v>
      </c>
      <c r="AH186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63" s="55" t="str">
        <f>IF(ESTIMATIVA[[#This Row],[TP_CULTIVO]]="Irrigado",_xlfn.MAXIFS(IRRIGADO!J:J,IRRIGADO!C:C,ESTIMATIVA[[#This Row],[CD_UPNIVEL1]],IRRIGADO!E:E,ESTIMATIVA[[#This Row],[CD_UPNIVEL3]]),"")</f>
        <v/>
      </c>
      <c r="AJ186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63" s="1">
        <f>COUNTIFS(Apresentação!$E$23:$E$29,ESTIMATIVA[[#This Row],[CD_UPNIVEL1]])</f>
        <v>0</v>
      </c>
    </row>
    <row r="1864" spans="1:37" x14ac:dyDescent="0.3">
      <c r="A1864">
        <v>20713</v>
      </c>
      <c r="B1864" t="s">
        <v>97</v>
      </c>
      <c r="C1864">
        <v>57</v>
      </c>
      <c r="D1864">
        <v>2</v>
      </c>
      <c r="E1864" t="s">
        <v>266</v>
      </c>
      <c r="F1864" s="85" t="s">
        <v>331</v>
      </c>
      <c r="G1864"/>
      <c r="H1864" t="s">
        <v>294</v>
      </c>
      <c r="I1864" t="s">
        <v>213</v>
      </c>
      <c r="J1864" t="s">
        <v>177</v>
      </c>
      <c r="K1864" s="1">
        <v>5.43</v>
      </c>
      <c r="L1864" s="1">
        <v>5.43</v>
      </c>
      <c r="M1864" s="1">
        <v>0</v>
      </c>
      <c r="N1864" s="1">
        <v>5.43</v>
      </c>
      <c r="O1864" s="1">
        <v>461.55</v>
      </c>
      <c r="P1864" s="1">
        <v>461.55</v>
      </c>
      <c r="Q1864" s="1">
        <v>0</v>
      </c>
      <c r="R1864" s="1">
        <v>470.24</v>
      </c>
      <c r="S1864" t="s">
        <v>280</v>
      </c>
      <c r="T1864" s="13">
        <v>45879</v>
      </c>
      <c r="U1864" s="1" t="str">
        <f>IF(ESTIMATIVA[[#This Row],[QT_AREA_REAL]]&gt;0,"1- Colhido","2- à Colher")</f>
        <v>1- Colhido</v>
      </c>
      <c r="V1864" s="1" t="str">
        <f>IF(ESTIMATIVA[[#This Row],[QT_AREA_REST1]]&gt;0,"Reestimativa 1",IF(ESTIMATIVA[[#This Row],[QT_AREA_REAL]]=0,"Reestimativa 1","Realizado"))</f>
        <v>Reestimativa 1</v>
      </c>
      <c r="W1864" s="1" t="str">
        <f>IF(ESTIMATIVA[[#This Row],[QT_AREA_REST2]]&gt;0,"Reestimativa 2",IF(ESTIMATIVA[[#This Row],[QT_AREA_REAL]]=0,"Reestimativa 2","Realizado"))</f>
        <v>Realizado</v>
      </c>
      <c r="X1864" s="1">
        <f>ESTIMATIVA[[#This Row],[QT_AREA_EST]]</f>
        <v>5.43</v>
      </c>
      <c r="Y1864" s="1">
        <f>IF(ESTIMATIVA[[#This Row],[QT_AREA_REST1]]&gt;0,ESTIMATIVA[[#This Row],[QT_AREA_REST1]],
  IF(ESTIMATIVA[[#This Row],[QT_AREA_REAL]]&gt;0,ESTIMATIVA[[#This Row],[QT_AREA_REAL]],ESTIMATIVA[[#This Row],[QT_AREA_EST]]))</f>
        <v>5.43</v>
      </c>
      <c r="Z186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5.43</v>
      </c>
      <c r="AA1864" s="1">
        <f>ESTIMATIVA[[#This Row],[QT_CANA_EST]]</f>
        <v>461.55</v>
      </c>
      <c r="AB1864" s="1">
        <f>IF(ESTIMATIVA[[#This Row],[QT_CANA_REST1]]&gt;0,ESTIMATIVA[[#This Row],[QT_CANA_REST1]],
  IF(ESTIMATIVA[[#This Row],[QT_CANA_REAL]]&gt;0,ESTIMATIVA[[#This Row],[QT_CANA_REAL]],ESTIMATIVA[[#This Row],[QT_CANA_EST]]))</f>
        <v>461.55</v>
      </c>
      <c r="AC186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470.24</v>
      </c>
      <c r="AD1864" s="1">
        <f>IF(ESTIMATIVA[[#This Row],[QT_AREA_REAL]]&gt;0,ESTIMATIVA[[#This Row],[QT_CANA_REAL]],ESTIMATIVA[[#This Row],[QT_CANA_EST]])</f>
        <v>470.24</v>
      </c>
      <c r="AE1864" s="1">
        <f>IF(ESTIMATIVA[[#This Row],[QT_AREA_REAL]]&gt;0,ESTIMATIVA[[#This Row],[QT_CANA_REAL]],ESTIMATIVA[[#This Row],[QT_CANA_REST1]])</f>
        <v>470.24</v>
      </c>
      <c r="AF1864" s="1">
        <f>IF(ESTIMATIVA[[#This Row],[QT_AREA_REAL]]&gt;0,ESTIMATIVA[[#This Row],[QT_CANA_REAL]],ESTIMATIVA[[#This Row],[QT_CANA_REST2]])</f>
        <v>470.24</v>
      </c>
      <c r="AG1864" s="1" t="str">
        <f>IF(COUNTIFS(GEADA!A:A,VALUE(ESTIMATIVA[[#This Row],[CD_UPNIVEL1]]&amp;TEXT(ESTIMATIVA[[#This Row],[CD_UPNIVEL3]],"0000")))&gt;0,"S","N")</f>
        <v>N</v>
      </c>
      <c r="AH186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64" s="55" t="str">
        <f>IF(ESTIMATIVA[[#This Row],[TP_CULTIVO]]="Irrigado",_xlfn.MAXIFS(IRRIGADO!J:J,IRRIGADO!C:C,ESTIMATIVA[[#This Row],[CD_UPNIVEL1]],IRRIGADO!E:E,ESTIMATIVA[[#This Row],[CD_UPNIVEL3]]),"")</f>
        <v/>
      </c>
      <c r="AJ186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64" s="1">
        <f>COUNTIFS(Apresentação!$E$23:$E$29,ESTIMATIVA[[#This Row],[CD_UPNIVEL1]])</f>
        <v>0</v>
      </c>
    </row>
    <row r="1865" spans="1:37" x14ac:dyDescent="0.3">
      <c r="A1865">
        <v>20713</v>
      </c>
      <c r="B1865" t="s">
        <v>97</v>
      </c>
      <c r="C1865">
        <v>58</v>
      </c>
      <c r="D1865">
        <v>2</v>
      </c>
      <c r="E1865" t="s">
        <v>266</v>
      </c>
      <c r="F1865" s="85" t="s">
        <v>331</v>
      </c>
      <c r="G1865"/>
      <c r="H1865" t="s">
        <v>294</v>
      </c>
      <c r="I1865" t="s">
        <v>225</v>
      </c>
      <c r="J1865" t="s">
        <v>177</v>
      </c>
      <c r="K1865" s="1">
        <v>5.91</v>
      </c>
      <c r="L1865" s="1">
        <v>5.91</v>
      </c>
      <c r="M1865" s="1">
        <v>0</v>
      </c>
      <c r="N1865" s="1">
        <v>5.91</v>
      </c>
      <c r="O1865" s="1">
        <v>472.8</v>
      </c>
      <c r="P1865" s="1">
        <v>472.8</v>
      </c>
      <c r="Q1865" s="1">
        <v>0</v>
      </c>
      <c r="R1865" s="1">
        <v>481.44</v>
      </c>
      <c r="S1865" t="s">
        <v>280</v>
      </c>
      <c r="T1865" s="13">
        <v>45879</v>
      </c>
      <c r="U1865" s="1" t="str">
        <f>IF(ESTIMATIVA[[#This Row],[QT_AREA_REAL]]&gt;0,"1- Colhido","2- à Colher")</f>
        <v>1- Colhido</v>
      </c>
      <c r="V1865" s="1" t="str">
        <f>IF(ESTIMATIVA[[#This Row],[QT_AREA_REST1]]&gt;0,"Reestimativa 1",IF(ESTIMATIVA[[#This Row],[QT_AREA_REAL]]=0,"Reestimativa 1","Realizado"))</f>
        <v>Reestimativa 1</v>
      </c>
      <c r="W1865" s="1" t="str">
        <f>IF(ESTIMATIVA[[#This Row],[QT_AREA_REST2]]&gt;0,"Reestimativa 2",IF(ESTIMATIVA[[#This Row],[QT_AREA_REAL]]=0,"Reestimativa 2","Realizado"))</f>
        <v>Realizado</v>
      </c>
      <c r="X1865" s="1">
        <f>ESTIMATIVA[[#This Row],[QT_AREA_EST]]</f>
        <v>5.91</v>
      </c>
      <c r="Y1865" s="1">
        <f>IF(ESTIMATIVA[[#This Row],[QT_AREA_REST1]]&gt;0,ESTIMATIVA[[#This Row],[QT_AREA_REST1]],
  IF(ESTIMATIVA[[#This Row],[QT_AREA_REAL]]&gt;0,ESTIMATIVA[[#This Row],[QT_AREA_REAL]],ESTIMATIVA[[#This Row],[QT_AREA_EST]]))</f>
        <v>5.91</v>
      </c>
      <c r="Z186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5.91</v>
      </c>
      <c r="AA1865" s="1">
        <f>ESTIMATIVA[[#This Row],[QT_CANA_EST]]</f>
        <v>472.8</v>
      </c>
      <c r="AB1865" s="1">
        <f>IF(ESTIMATIVA[[#This Row],[QT_CANA_REST1]]&gt;0,ESTIMATIVA[[#This Row],[QT_CANA_REST1]],
  IF(ESTIMATIVA[[#This Row],[QT_CANA_REAL]]&gt;0,ESTIMATIVA[[#This Row],[QT_CANA_REAL]],ESTIMATIVA[[#This Row],[QT_CANA_EST]]))</f>
        <v>472.8</v>
      </c>
      <c r="AC186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481.44</v>
      </c>
      <c r="AD1865" s="1">
        <f>IF(ESTIMATIVA[[#This Row],[QT_AREA_REAL]]&gt;0,ESTIMATIVA[[#This Row],[QT_CANA_REAL]],ESTIMATIVA[[#This Row],[QT_CANA_EST]])</f>
        <v>481.44</v>
      </c>
      <c r="AE1865" s="1">
        <f>IF(ESTIMATIVA[[#This Row],[QT_AREA_REAL]]&gt;0,ESTIMATIVA[[#This Row],[QT_CANA_REAL]],ESTIMATIVA[[#This Row],[QT_CANA_REST1]])</f>
        <v>481.44</v>
      </c>
      <c r="AF1865" s="1">
        <f>IF(ESTIMATIVA[[#This Row],[QT_AREA_REAL]]&gt;0,ESTIMATIVA[[#This Row],[QT_CANA_REAL]],ESTIMATIVA[[#This Row],[QT_CANA_REST2]])</f>
        <v>481.44</v>
      </c>
      <c r="AG1865" s="1" t="str">
        <f>IF(COUNTIFS(GEADA!A:A,VALUE(ESTIMATIVA[[#This Row],[CD_UPNIVEL1]]&amp;TEXT(ESTIMATIVA[[#This Row],[CD_UPNIVEL3]],"0000")))&gt;0,"S","N")</f>
        <v>N</v>
      </c>
      <c r="AH186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65" s="55" t="str">
        <f>IF(ESTIMATIVA[[#This Row],[TP_CULTIVO]]="Irrigado",_xlfn.MAXIFS(IRRIGADO!J:J,IRRIGADO!C:C,ESTIMATIVA[[#This Row],[CD_UPNIVEL1]],IRRIGADO!E:E,ESTIMATIVA[[#This Row],[CD_UPNIVEL3]]),"")</f>
        <v/>
      </c>
      <c r="AJ186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65" s="1">
        <f>COUNTIFS(Apresentação!$E$23:$E$29,ESTIMATIVA[[#This Row],[CD_UPNIVEL1]])</f>
        <v>0</v>
      </c>
    </row>
    <row r="1866" spans="1:37" x14ac:dyDescent="0.3">
      <c r="A1866">
        <v>20713</v>
      </c>
      <c r="B1866" t="s">
        <v>97</v>
      </c>
      <c r="C1866">
        <v>59</v>
      </c>
      <c r="D1866">
        <v>2</v>
      </c>
      <c r="E1866" t="s">
        <v>266</v>
      </c>
      <c r="F1866" s="85" t="s">
        <v>331</v>
      </c>
      <c r="G1866"/>
      <c r="H1866" t="s">
        <v>294</v>
      </c>
      <c r="I1866" t="s">
        <v>225</v>
      </c>
      <c r="J1866" t="s">
        <v>177</v>
      </c>
      <c r="K1866" s="1">
        <v>6.6</v>
      </c>
      <c r="L1866" s="1">
        <v>6.6</v>
      </c>
      <c r="M1866" s="1">
        <v>0</v>
      </c>
      <c r="N1866" s="1">
        <v>6.6</v>
      </c>
      <c r="O1866" s="1">
        <v>528</v>
      </c>
      <c r="P1866" s="1">
        <v>541.20000000000005</v>
      </c>
      <c r="Q1866" s="1">
        <v>0</v>
      </c>
      <c r="R1866" s="1">
        <v>550.65</v>
      </c>
      <c r="S1866" t="s">
        <v>280</v>
      </c>
      <c r="T1866" s="13">
        <v>45879</v>
      </c>
      <c r="U1866" s="1" t="str">
        <f>IF(ESTIMATIVA[[#This Row],[QT_AREA_REAL]]&gt;0,"1- Colhido","2- à Colher")</f>
        <v>1- Colhido</v>
      </c>
      <c r="V1866" s="1" t="str">
        <f>IF(ESTIMATIVA[[#This Row],[QT_AREA_REST1]]&gt;0,"Reestimativa 1",IF(ESTIMATIVA[[#This Row],[QT_AREA_REAL]]=0,"Reestimativa 1","Realizado"))</f>
        <v>Reestimativa 1</v>
      </c>
      <c r="W1866" s="1" t="str">
        <f>IF(ESTIMATIVA[[#This Row],[QT_AREA_REST2]]&gt;0,"Reestimativa 2",IF(ESTIMATIVA[[#This Row],[QT_AREA_REAL]]=0,"Reestimativa 2","Realizado"))</f>
        <v>Realizado</v>
      </c>
      <c r="X1866" s="1">
        <f>ESTIMATIVA[[#This Row],[QT_AREA_EST]]</f>
        <v>6.6</v>
      </c>
      <c r="Y1866" s="1">
        <f>IF(ESTIMATIVA[[#This Row],[QT_AREA_REST1]]&gt;0,ESTIMATIVA[[#This Row],[QT_AREA_REST1]],
  IF(ESTIMATIVA[[#This Row],[QT_AREA_REAL]]&gt;0,ESTIMATIVA[[#This Row],[QT_AREA_REAL]],ESTIMATIVA[[#This Row],[QT_AREA_EST]]))</f>
        <v>6.6</v>
      </c>
      <c r="Z186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6.6</v>
      </c>
      <c r="AA1866" s="1">
        <f>ESTIMATIVA[[#This Row],[QT_CANA_EST]]</f>
        <v>528</v>
      </c>
      <c r="AB1866" s="1">
        <f>IF(ESTIMATIVA[[#This Row],[QT_CANA_REST1]]&gt;0,ESTIMATIVA[[#This Row],[QT_CANA_REST1]],
  IF(ESTIMATIVA[[#This Row],[QT_CANA_REAL]]&gt;0,ESTIMATIVA[[#This Row],[QT_CANA_REAL]],ESTIMATIVA[[#This Row],[QT_CANA_EST]]))</f>
        <v>541.20000000000005</v>
      </c>
      <c r="AC186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550.65</v>
      </c>
      <c r="AD1866" s="1">
        <f>IF(ESTIMATIVA[[#This Row],[QT_AREA_REAL]]&gt;0,ESTIMATIVA[[#This Row],[QT_CANA_REAL]],ESTIMATIVA[[#This Row],[QT_CANA_EST]])</f>
        <v>550.65</v>
      </c>
      <c r="AE1866" s="1">
        <f>IF(ESTIMATIVA[[#This Row],[QT_AREA_REAL]]&gt;0,ESTIMATIVA[[#This Row],[QT_CANA_REAL]],ESTIMATIVA[[#This Row],[QT_CANA_REST1]])</f>
        <v>550.65</v>
      </c>
      <c r="AF1866" s="1">
        <f>IF(ESTIMATIVA[[#This Row],[QT_AREA_REAL]]&gt;0,ESTIMATIVA[[#This Row],[QT_CANA_REAL]],ESTIMATIVA[[#This Row],[QT_CANA_REST2]])</f>
        <v>550.65</v>
      </c>
      <c r="AG1866" s="1" t="str">
        <f>IF(COUNTIFS(GEADA!A:A,VALUE(ESTIMATIVA[[#This Row],[CD_UPNIVEL1]]&amp;TEXT(ESTIMATIVA[[#This Row],[CD_UPNIVEL3]],"0000")))&gt;0,"S","N")</f>
        <v>N</v>
      </c>
      <c r="AH186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66" s="55" t="str">
        <f>IF(ESTIMATIVA[[#This Row],[TP_CULTIVO]]="Irrigado",_xlfn.MAXIFS(IRRIGADO!J:J,IRRIGADO!C:C,ESTIMATIVA[[#This Row],[CD_UPNIVEL1]],IRRIGADO!E:E,ESTIMATIVA[[#This Row],[CD_UPNIVEL3]]),"")</f>
        <v/>
      </c>
      <c r="AJ186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66" s="1">
        <f>COUNTIFS(Apresentação!$E$23:$E$29,ESTIMATIVA[[#This Row],[CD_UPNIVEL1]])</f>
        <v>0</v>
      </c>
    </row>
    <row r="1867" spans="1:37" x14ac:dyDescent="0.3">
      <c r="A1867">
        <v>20713</v>
      </c>
      <c r="B1867" t="s">
        <v>97</v>
      </c>
      <c r="C1867">
        <v>60</v>
      </c>
      <c r="D1867">
        <v>2</v>
      </c>
      <c r="E1867" t="s">
        <v>266</v>
      </c>
      <c r="F1867" s="85" t="s">
        <v>331</v>
      </c>
      <c r="G1867"/>
      <c r="H1867" t="s">
        <v>294</v>
      </c>
      <c r="I1867" t="s">
        <v>213</v>
      </c>
      <c r="J1867" t="s">
        <v>177</v>
      </c>
      <c r="K1867" s="1">
        <v>8.5</v>
      </c>
      <c r="L1867" s="1">
        <v>8.5</v>
      </c>
      <c r="M1867" s="1">
        <v>0</v>
      </c>
      <c r="N1867" s="1">
        <v>8.5</v>
      </c>
      <c r="O1867" s="1">
        <v>722.5</v>
      </c>
      <c r="P1867" s="1">
        <v>697</v>
      </c>
      <c r="Q1867" s="1">
        <v>0</v>
      </c>
      <c r="R1867" s="1">
        <v>709.92</v>
      </c>
      <c r="S1867" t="s">
        <v>280</v>
      </c>
      <c r="T1867" s="13">
        <v>45879</v>
      </c>
      <c r="U1867" s="1" t="str">
        <f>IF(ESTIMATIVA[[#This Row],[QT_AREA_REAL]]&gt;0,"1- Colhido","2- à Colher")</f>
        <v>1- Colhido</v>
      </c>
      <c r="V1867" s="1" t="str">
        <f>IF(ESTIMATIVA[[#This Row],[QT_AREA_REST1]]&gt;0,"Reestimativa 1",IF(ESTIMATIVA[[#This Row],[QT_AREA_REAL]]=0,"Reestimativa 1","Realizado"))</f>
        <v>Reestimativa 1</v>
      </c>
      <c r="W1867" s="1" t="str">
        <f>IF(ESTIMATIVA[[#This Row],[QT_AREA_REST2]]&gt;0,"Reestimativa 2",IF(ESTIMATIVA[[#This Row],[QT_AREA_REAL]]=0,"Reestimativa 2","Realizado"))</f>
        <v>Realizado</v>
      </c>
      <c r="X1867" s="1">
        <f>ESTIMATIVA[[#This Row],[QT_AREA_EST]]</f>
        <v>8.5</v>
      </c>
      <c r="Y1867" s="1">
        <f>IF(ESTIMATIVA[[#This Row],[QT_AREA_REST1]]&gt;0,ESTIMATIVA[[#This Row],[QT_AREA_REST1]],
  IF(ESTIMATIVA[[#This Row],[QT_AREA_REAL]]&gt;0,ESTIMATIVA[[#This Row],[QT_AREA_REAL]],ESTIMATIVA[[#This Row],[QT_AREA_EST]]))</f>
        <v>8.5</v>
      </c>
      <c r="Z186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8.5</v>
      </c>
      <c r="AA1867" s="1">
        <f>ESTIMATIVA[[#This Row],[QT_CANA_EST]]</f>
        <v>722.5</v>
      </c>
      <c r="AB1867" s="1">
        <f>IF(ESTIMATIVA[[#This Row],[QT_CANA_REST1]]&gt;0,ESTIMATIVA[[#This Row],[QT_CANA_REST1]],
  IF(ESTIMATIVA[[#This Row],[QT_CANA_REAL]]&gt;0,ESTIMATIVA[[#This Row],[QT_CANA_REAL]],ESTIMATIVA[[#This Row],[QT_CANA_EST]]))</f>
        <v>697</v>
      </c>
      <c r="AC186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709.92</v>
      </c>
      <c r="AD1867" s="1">
        <f>IF(ESTIMATIVA[[#This Row],[QT_AREA_REAL]]&gt;0,ESTIMATIVA[[#This Row],[QT_CANA_REAL]],ESTIMATIVA[[#This Row],[QT_CANA_EST]])</f>
        <v>709.92</v>
      </c>
      <c r="AE1867" s="1">
        <f>IF(ESTIMATIVA[[#This Row],[QT_AREA_REAL]]&gt;0,ESTIMATIVA[[#This Row],[QT_CANA_REAL]],ESTIMATIVA[[#This Row],[QT_CANA_REST1]])</f>
        <v>709.92</v>
      </c>
      <c r="AF1867" s="1">
        <f>IF(ESTIMATIVA[[#This Row],[QT_AREA_REAL]]&gt;0,ESTIMATIVA[[#This Row],[QT_CANA_REAL]],ESTIMATIVA[[#This Row],[QT_CANA_REST2]])</f>
        <v>709.92</v>
      </c>
      <c r="AG1867" s="1" t="str">
        <f>IF(COUNTIFS(GEADA!A:A,VALUE(ESTIMATIVA[[#This Row],[CD_UPNIVEL1]]&amp;TEXT(ESTIMATIVA[[#This Row],[CD_UPNIVEL3]],"0000")))&gt;0,"S","N")</f>
        <v>N</v>
      </c>
      <c r="AH186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67" s="55" t="str">
        <f>IF(ESTIMATIVA[[#This Row],[TP_CULTIVO]]="Irrigado",_xlfn.MAXIFS(IRRIGADO!J:J,IRRIGADO!C:C,ESTIMATIVA[[#This Row],[CD_UPNIVEL1]],IRRIGADO!E:E,ESTIMATIVA[[#This Row],[CD_UPNIVEL3]]),"")</f>
        <v/>
      </c>
      <c r="AJ186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67" s="1">
        <f>COUNTIFS(Apresentação!$E$23:$E$29,ESTIMATIVA[[#This Row],[CD_UPNIVEL1]])</f>
        <v>0</v>
      </c>
    </row>
    <row r="1868" spans="1:37" x14ac:dyDescent="0.3">
      <c r="A1868">
        <v>20713</v>
      </c>
      <c r="B1868" t="s">
        <v>97</v>
      </c>
      <c r="C1868">
        <v>64</v>
      </c>
      <c r="D1868">
        <v>2</v>
      </c>
      <c r="E1868" t="s">
        <v>266</v>
      </c>
      <c r="F1868" s="85" t="s">
        <v>331</v>
      </c>
      <c r="G1868"/>
      <c r="H1868" t="s">
        <v>294</v>
      </c>
      <c r="I1868" t="s">
        <v>208</v>
      </c>
      <c r="J1868" t="s">
        <v>177</v>
      </c>
      <c r="K1868" s="1">
        <v>9.7100000000000009</v>
      </c>
      <c r="L1868" s="1">
        <v>0</v>
      </c>
      <c r="M1868" s="1">
        <v>0</v>
      </c>
      <c r="N1868" s="1">
        <v>9.7100000000000009</v>
      </c>
      <c r="O1868" s="1">
        <v>903.03</v>
      </c>
      <c r="P1868" s="1">
        <v>0</v>
      </c>
      <c r="Q1868" s="1">
        <v>0</v>
      </c>
      <c r="R1868" s="1">
        <v>1166.74</v>
      </c>
      <c r="S1868" t="s">
        <v>280</v>
      </c>
      <c r="T1868" s="13">
        <v>45760</v>
      </c>
      <c r="U1868" s="1" t="str">
        <f>IF(ESTIMATIVA[[#This Row],[QT_AREA_REAL]]&gt;0,"1- Colhido","2- à Colher")</f>
        <v>1- Colhido</v>
      </c>
      <c r="V1868" s="1" t="str">
        <f>IF(ESTIMATIVA[[#This Row],[QT_AREA_REST1]]&gt;0,"Reestimativa 1",IF(ESTIMATIVA[[#This Row],[QT_AREA_REAL]]=0,"Reestimativa 1","Realizado"))</f>
        <v>Realizado</v>
      </c>
      <c r="W1868" s="1" t="str">
        <f>IF(ESTIMATIVA[[#This Row],[QT_AREA_REST2]]&gt;0,"Reestimativa 2",IF(ESTIMATIVA[[#This Row],[QT_AREA_REAL]]=0,"Reestimativa 2","Realizado"))</f>
        <v>Realizado</v>
      </c>
      <c r="X1868" s="1">
        <f>ESTIMATIVA[[#This Row],[QT_AREA_EST]]</f>
        <v>9.7100000000000009</v>
      </c>
      <c r="Y1868" s="1">
        <f>IF(ESTIMATIVA[[#This Row],[QT_AREA_REST1]]&gt;0,ESTIMATIVA[[#This Row],[QT_AREA_REST1]],
  IF(ESTIMATIVA[[#This Row],[QT_AREA_REAL]]&gt;0,ESTIMATIVA[[#This Row],[QT_AREA_REAL]],ESTIMATIVA[[#This Row],[QT_AREA_EST]]))</f>
        <v>9.7100000000000009</v>
      </c>
      <c r="Z186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9.7100000000000009</v>
      </c>
      <c r="AA1868" s="1">
        <f>ESTIMATIVA[[#This Row],[QT_CANA_EST]]</f>
        <v>903.03</v>
      </c>
      <c r="AB1868" s="1">
        <f>IF(ESTIMATIVA[[#This Row],[QT_CANA_REST1]]&gt;0,ESTIMATIVA[[#This Row],[QT_CANA_REST1]],
  IF(ESTIMATIVA[[#This Row],[QT_CANA_REAL]]&gt;0,ESTIMATIVA[[#This Row],[QT_CANA_REAL]],ESTIMATIVA[[#This Row],[QT_CANA_EST]]))</f>
        <v>1166.74</v>
      </c>
      <c r="AC186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1166.74</v>
      </c>
      <c r="AD1868" s="1">
        <f>IF(ESTIMATIVA[[#This Row],[QT_AREA_REAL]]&gt;0,ESTIMATIVA[[#This Row],[QT_CANA_REAL]],ESTIMATIVA[[#This Row],[QT_CANA_EST]])</f>
        <v>1166.74</v>
      </c>
      <c r="AE1868" s="1">
        <f>IF(ESTIMATIVA[[#This Row],[QT_AREA_REAL]]&gt;0,ESTIMATIVA[[#This Row],[QT_CANA_REAL]],ESTIMATIVA[[#This Row],[QT_CANA_REST1]])</f>
        <v>1166.74</v>
      </c>
      <c r="AF1868" s="1">
        <f>IF(ESTIMATIVA[[#This Row],[QT_AREA_REAL]]&gt;0,ESTIMATIVA[[#This Row],[QT_CANA_REAL]],ESTIMATIVA[[#This Row],[QT_CANA_REST2]])</f>
        <v>1166.74</v>
      </c>
      <c r="AG1868" s="1" t="str">
        <f>IF(COUNTIFS(GEADA!A:A,VALUE(ESTIMATIVA[[#This Row],[CD_UPNIVEL1]]&amp;TEXT(ESTIMATIVA[[#This Row],[CD_UPNIVEL3]],"0000")))&gt;0,"S","N")</f>
        <v>N</v>
      </c>
      <c r="AH186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68" s="55" t="str">
        <f>IF(ESTIMATIVA[[#This Row],[TP_CULTIVO]]="Irrigado",_xlfn.MAXIFS(IRRIGADO!J:J,IRRIGADO!C:C,ESTIMATIVA[[#This Row],[CD_UPNIVEL1]],IRRIGADO!E:E,ESTIMATIVA[[#This Row],[CD_UPNIVEL3]]),"")</f>
        <v/>
      </c>
      <c r="AJ186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68" s="1">
        <f>COUNTIFS(Apresentação!$E$23:$E$29,ESTIMATIVA[[#This Row],[CD_UPNIVEL1]])</f>
        <v>0</v>
      </c>
    </row>
    <row r="1869" spans="1:37" x14ac:dyDescent="0.3">
      <c r="A1869">
        <v>20716</v>
      </c>
      <c r="B1869" t="s">
        <v>98</v>
      </c>
      <c r="C1869">
        <v>1</v>
      </c>
      <c r="D1869">
        <v>4</v>
      </c>
      <c r="E1869" t="s">
        <v>265</v>
      </c>
      <c r="F1869" s="85" t="s">
        <v>333</v>
      </c>
      <c r="G1869"/>
      <c r="H1869" t="s">
        <v>294</v>
      </c>
      <c r="I1869" t="s">
        <v>194</v>
      </c>
      <c r="J1869" t="s">
        <v>178</v>
      </c>
      <c r="K1869" s="1">
        <v>5.55</v>
      </c>
      <c r="L1869" s="1">
        <v>0</v>
      </c>
      <c r="M1869" s="1">
        <v>0</v>
      </c>
      <c r="N1869" s="1">
        <v>5.55</v>
      </c>
      <c r="O1869" s="1">
        <v>371.85</v>
      </c>
      <c r="P1869" s="1">
        <v>0</v>
      </c>
      <c r="Q1869" s="1">
        <v>0</v>
      </c>
      <c r="R1869" s="1">
        <v>460.86</v>
      </c>
      <c r="S1869" t="s">
        <v>280</v>
      </c>
      <c r="T1869" s="13">
        <v>45837</v>
      </c>
      <c r="U1869" s="1" t="str">
        <f>IF(ESTIMATIVA[[#This Row],[QT_AREA_REAL]]&gt;0,"1- Colhido","2- à Colher")</f>
        <v>1- Colhido</v>
      </c>
      <c r="V1869" s="1" t="str">
        <f>IF(ESTIMATIVA[[#This Row],[QT_AREA_REST1]]&gt;0,"Reestimativa 1",IF(ESTIMATIVA[[#This Row],[QT_AREA_REAL]]=0,"Reestimativa 1","Realizado"))</f>
        <v>Realizado</v>
      </c>
      <c r="W1869" s="1" t="str">
        <f>IF(ESTIMATIVA[[#This Row],[QT_AREA_REST2]]&gt;0,"Reestimativa 2",IF(ESTIMATIVA[[#This Row],[QT_AREA_REAL]]=0,"Reestimativa 2","Realizado"))</f>
        <v>Realizado</v>
      </c>
      <c r="X1869" s="1">
        <f>ESTIMATIVA[[#This Row],[QT_AREA_EST]]</f>
        <v>5.55</v>
      </c>
      <c r="Y1869" s="1">
        <f>IF(ESTIMATIVA[[#This Row],[QT_AREA_REST1]]&gt;0,ESTIMATIVA[[#This Row],[QT_AREA_REST1]],
  IF(ESTIMATIVA[[#This Row],[QT_AREA_REAL]]&gt;0,ESTIMATIVA[[#This Row],[QT_AREA_REAL]],ESTIMATIVA[[#This Row],[QT_AREA_EST]]))</f>
        <v>5.55</v>
      </c>
      <c r="Z186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5.55</v>
      </c>
      <c r="AA1869" s="1">
        <f>ESTIMATIVA[[#This Row],[QT_CANA_EST]]</f>
        <v>371.85</v>
      </c>
      <c r="AB1869" s="1">
        <f>IF(ESTIMATIVA[[#This Row],[QT_CANA_REST1]]&gt;0,ESTIMATIVA[[#This Row],[QT_CANA_REST1]],
  IF(ESTIMATIVA[[#This Row],[QT_CANA_REAL]]&gt;0,ESTIMATIVA[[#This Row],[QT_CANA_REAL]],ESTIMATIVA[[#This Row],[QT_CANA_EST]]))</f>
        <v>460.86</v>
      </c>
      <c r="AC186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460.86</v>
      </c>
      <c r="AD1869" s="1">
        <f>IF(ESTIMATIVA[[#This Row],[QT_AREA_REAL]]&gt;0,ESTIMATIVA[[#This Row],[QT_CANA_REAL]],ESTIMATIVA[[#This Row],[QT_CANA_EST]])</f>
        <v>460.86</v>
      </c>
      <c r="AE1869" s="1">
        <f>IF(ESTIMATIVA[[#This Row],[QT_AREA_REAL]]&gt;0,ESTIMATIVA[[#This Row],[QT_CANA_REAL]],ESTIMATIVA[[#This Row],[QT_CANA_REST1]])</f>
        <v>460.86</v>
      </c>
      <c r="AF1869" s="1">
        <f>IF(ESTIMATIVA[[#This Row],[QT_AREA_REAL]]&gt;0,ESTIMATIVA[[#This Row],[QT_CANA_REAL]],ESTIMATIVA[[#This Row],[QT_CANA_REST2]])</f>
        <v>460.86</v>
      </c>
      <c r="AG1869" s="1" t="str">
        <f>IF(COUNTIFS(GEADA!A:A,VALUE(ESTIMATIVA[[#This Row],[CD_UPNIVEL1]]&amp;TEXT(ESTIMATIVA[[#This Row],[CD_UPNIVEL3]],"0000")))&gt;0,"S","N")</f>
        <v>N</v>
      </c>
      <c r="AH186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69" s="55" t="str">
        <f>IF(ESTIMATIVA[[#This Row],[TP_CULTIVO]]="Irrigado",_xlfn.MAXIFS(IRRIGADO!J:J,IRRIGADO!C:C,ESTIMATIVA[[#This Row],[CD_UPNIVEL1]],IRRIGADO!E:E,ESTIMATIVA[[#This Row],[CD_UPNIVEL3]]),"")</f>
        <v/>
      </c>
      <c r="AJ186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69" s="1">
        <f>COUNTIFS(Apresentação!$E$23:$E$29,ESTIMATIVA[[#This Row],[CD_UPNIVEL1]])</f>
        <v>0</v>
      </c>
    </row>
    <row r="1870" spans="1:37" x14ac:dyDescent="0.3">
      <c r="A1870">
        <v>20716</v>
      </c>
      <c r="B1870" t="s">
        <v>98</v>
      </c>
      <c r="C1870">
        <v>2</v>
      </c>
      <c r="D1870">
        <v>4</v>
      </c>
      <c r="E1870" t="s">
        <v>265</v>
      </c>
      <c r="F1870" s="85" t="s">
        <v>331</v>
      </c>
      <c r="G1870"/>
      <c r="H1870" t="s">
        <v>294</v>
      </c>
      <c r="I1870" t="s">
        <v>228</v>
      </c>
      <c r="J1870" t="s">
        <v>178</v>
      </c>
      <c r="K1870" s="1">
        <v>7.92</v>
      </c>
      <c r="L1870" s="1">
        <v>0</v>
      </c>
      <c r="M1870" s="1">
        <v>0</v>
      </c>
      <c r="N1870" s="1">
        <v>7.92</v>
      </c>
      <c r="O1870" s="1">
        <v>427.68</v>
      </c>
      <c r="P1870" s="1">
        <v>0</v>
      </c>
      <c r="Q1870" s="1">
        <v>0</v>
      </c>
      <c r="R1870" s="1">
        <v>530.26</v>
      </c>
      <c r="S1870" t="s">
        <v>280</v>
      </c>
      <c r="T1870" s="13">
        <v>45837</v>
      </c>
      <c r="U1870" s="1" t="str">
        <f>IF(ESTIMATIVA[[#This Row],[QT_AREA_REAL]]&gt;0,"1- Colhido","2- à Colher")</f>
        <v>1- Colhido</v>
      </c>
      <c r="V1870" s="1" t="str">
        <f>IF(ESTIMATIVA[[#This Row],[QT_AREA_REST1]]&gt;0,"Reestimativa 1",IF(ESTIMATIVA[[#This Row],[QT_AREA_REAL]]=0,"Reestimativa 1","Realizado"))</f>
        <v>Realizado</v>
      </c>
      <c r="W1870" s="1" t="str">
        <f>IF(ESTIMATIVA[[#This Row],[QT_AREA_REST2]]&gt;0,"Reestimativa 2",IF(ESTIMATIVA[[#This Row],[QT_AREA_REAL]]=0,"Reestimativa 2","Realizado"))</f>
        <v>Realizado</v>
      </c>
      <c r="X1870" s="1">
        <f>ESTIMATIVA[[#This Row],[QT_AREA_EST]]</f>
        <v>7.92</v>
      </c>
      <c r="Y1870" s="1">
        <f>IF(ESTIMATIVA[[#This Row],[QT_AREA_REST1]]&gt;0,ESTIMATIVA[[#This Row],[QT_AREA_REST1]],
  IF(ESTIMATIVA[[#This Row],[QT_AREA_REAL]]&gt;0,ESTIMATIVA[[#This Row],[QT_AREA_REAL]],ESTIMATIVA[[#This Row],[QT_AREA_EST]]))</f>
        <v>7.92</v>
      </c>
      <c r="Z187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7.92</v>
      </c>
      <c r="AA1870" s="1">
        <f>ESTIMATIVA[[#This Row],[QT_CANA_EST]]</f>
        <v>427.68</v>
      </c>
      <c r="AB1870" s="1">
        <f>IF(ESTIMATIVA[[#This Row],[QT_CANA_REST1]]&gt;0,ESTIMATIVA[[#This Row],[QT_CANA_REST1]],
  IF(ESTIMATIVA[[#This Row],[QT_CANA_REAL]]&gt;0,ESTIMATIVA[[#This Row],[QT_CANA_REAL]],ESTIMATIVA[[#This Row],[QT_CANA_EST]]))</f>
        <v>530.26</v>
      </c>
      <c r="AC187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530.26</v>
      </c>
      <c r="AD1870" s="1">
        <f>IF(ESTIMATIVA[[#This Row],[QT_AREA_REAL]]&gt;0,ESTIMATIVA[[#This Row],[QT_CANA_REAL]],ESTIMATIVA[[#This Row],[QT_CANA_EST]])</f>
        <v>530.26</v>
      </c>
      <c r="AE1870" s="1">
        <f>IF(ESTIMATIVA[[#This Row],[QT_AREA_REAL]]&gt;0,ESTIMATIVA[[#This Row],[QT_CANA_REAL]],ESTIMATIVA[[#This Row],[QT_CANA_REST1]])</f>
        <v>530.26</v>
      </c>
      <c r="AF1870" s="1">
        <f>IF(ESTIMATIVA[[#This Row],[QT_AREA_REAL]]&gt;0,ESTIMATIVA[[#This Row],[QT_CANA_REAL]],ESTIMATIVA[[#This Row],[QT_CANA_REST2]])</f>
        <v>530.26</v>
      </c>
      <c r="AG1870" s="1" t="str">
        <f>IF(COUNTIFS(GEADA!A:A,VALUE(ESTIMATIVA[[#This Row],[CD_UPNIVEL1]]&amp;TEXT(ESTIMATIVA[[#This Row],[CD_UPNIVEL3]],"0000")))&gt;0,"S","N")</f>
        <v>N</v>
      </c>
      <c r="AH187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70" s="55" t="str">
        <f>IF(ESTIMATIVA[[#This Row],[TP_CULTIVO]]="Irrigado",_xlfn.MAXIFS(IRRIGADO!J:J,IRRIGADO!C:C,ESTIMATIVA[[#This Row],[CD_UPNIVEL1]],IRRIGADO!E:E,ESTIMATIVA[[#This Row],[CD_UPNIVEL3]]),"")</f>
        <v/>
      </c>
      <c r="AJ187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70" s="1">
        <f>COUNTIFS(Apresentação!$E$23:$E$29,ESTIMATIVA[[#This Row],[CD_UPNIVEL1]])</f>
        <v>0</v>
      </c>
    </row>
    <row r="1871" spans="1:37" x14ac:dyDescent="0.3">
      <c r="A1871">
        <v>20716</v>
      </c>
      <c r="B1871" t="s">
        <v>98</v>
      </c>
      <c r="C1871">
        <v>3</v>
      </c>
      <c r="D1871">
        <v>4</v>
      </c>
      <c r="E1871" t="s">
        <v>265</v>
      </c>
      <c r="F1871" s="85" t="s">
        <v>331</v>
      </c>
      <c r="G1871"/>
      <c r="H1871" t="s">
        <v>294</v>
      </c>
      <c r="I1871" t="s">
        <v>228</v>
      </c>
      <c r="J1871" t="s">
        <v>178</v>
      </c>
      <c r="K1871" s="1">
        <v>60.42</v>
      </c>
      <c r="L1871" s="1">
        <v>0</v>
      </c>
      <c r="M1871" s="1">
        <v>0</v>
      </c>
      <c r="N1871" s="1">
        <v>60.42</v>
      </c>
      <c r="O1871" s="1">
        <v>3262.68</v>
      </c>
      <c r="P1871" s="1">
        <v>0</v>
      </c>
      <c r="Q1871" s="1">
        <v>0</v>
      </c>
      <c r="R1871" s="1">
        <v>4043.51</v>
      </c>
      <c r="S1871" t="s">
        <v>280</v>
      </c>
      <c r="T1871" s="13">
        <v>45837</v>
      </c>
      <c r="U1871" s="1" t="str">
        <f>IF(ESTIMATIVA[[#This Row],[QT_AREA_REAL]]&gt;0,"1- Colhido","2- à Colher")</f>
        <v>1- Colhido</v>
      </c>
      <c r="V1871" s="1" t="str">
        <f>IF(ESTIMATIVA[[#This Row],[QT_AREA_REST1]]&gt;0,"Reestimativa 1",IF(ESTIMATIVA[[#This Row],[QT_AREA_REAL]]=0,"Reestimativa 1","Realizado"))</f>
        <v>Realizado</v>
      </c>
      <c r="W1871" s="1" t="str">
        <f>IF(ESTIMATIVA[[#This Row],[QT_AREA_REST2]]&gt;0,"Reestimativa 2",IF(ESTIMATIVA[[#This Row],[QT_AREA_REAL]]=0,"Reestimativa 2","Realizado"))</f>
        <v>Realizado</v>
      </c>
      <c r="X1871" s="1">
        <f>ESTIMATIVA[[#This Row],[QT_AREA_EST]]</f>
        <v>60.42</v>
      </c>
      <c r="Y1871" s="1">
        <f>IF(ESTIMATIVA[[#This Row],[QT_AREA_REST1]]&gt;0,ESTIMATIVA[[#This Row],[QT_AREA_REST1]],
  IF(ESTIMATIVA[[#This Row],[QT_AREA_REAL]]&gt;0,ESTIMATIVA[[#This Row],[QT_AREA_REAL]],ESTIMATIVA[[#This Row],[QT_AREA_EST]]))</f>
        <v>60.42</v>
      </c>
      <c r="Z187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60.42</v>
      </c>
      <c r="AA1871" s="1">
        <f>ESTIMATIVA[[#This Row],[QT_CANA_EST]]</f>
        <v>3262.68</v>
      </c>
      <c r="AB1871" s="1">
        <f>IF(ESTIMATIVA[[#This Row],[QT_CANA_REST1]]&gt;0,ESTIMATIVA[[#This Row],[QT_CANA_REST1]],
  IF(ESTIMATIVA[[#This Row],[QT_CANA_REAL]]&gt;0,ESTIMATIVA[[#This Row],[QT_CANA_REAL]],ESTIMATIVA[[#This Row],[QT_CANA_EST]]))</f>
        <v>4043.51</v>
      </c>
      <c r="AC187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4043.51</v>
      </c>
      <c r="AD1871" s="1">
        <f>IF(ESTIMATIVA[[#This Row],[QT_AREA_REAL]]&gt;0,ESTIMATIVA[[#This Row],[QT_CANA_REAL]],ESTIMATIVA[[#This Row],[QT_CANA_EST]])</f>
        <v>4043.51</v>
      </c>
      <c r="AE1871" s="1">
        <f>IF(ESTIMATIVA[[#This Row],[QT_AREA_REAL]]&gt;0,ESTIMATIVA[[#This Row],[QT_CANA_REAL]],ESTIMATIVA[[#This Row],[QT_CANA_REST1]])</f>
        <v>4043.51</v>
      </c>
      <c r="AF1871" s="1">
        <f>IF(ESTIMATIVA[[#This Row],[QT_AREA_REAL]]&gt;0,ESTIMATIVA[[#This Row],[QT_CANA_REAL]],ESTIMATIVA[[#This Row],[QT_CANA_REST2]])</f>
        <v>4043.51</v>
      </c>
      <c r="AG1871" s="1" t="str">
        <f>IF(COUNTIFS(GEADA!A:A,VALUE(ESTIMATIVA[[#This Row],[CD_UPNIVEL1]]&amp;TEXT(ESTIMATIVA[[#This Row],[CD_UPNIVEL3]],"0000")))&gt;0,"S","N")</f>
        <v>N</v>
      </c>
      <c r="AH187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71" s="55" t="str">
        <f>IF(ESTIMATIVA[[#This Row],[TP_CULTIVO]]="Irrigado",_xlfn.MAXIFS(IRRIGADO!J:J,IRRIGADO!C:C,ESTIMATIVA[[#This Row],[CD_UPNIVEL1]],IRRIGADO!E:E,ESTIMATIVA[[#This Row],[CD_UPNIVEL3]]),"")</f>
        <v/>
      </c>
      <c r="AJ187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71" s="1">
        <f>COUNTIFS(Apresentação!$E$23:$E$29,ESTIMATIVA[[#This Row],[CD_UPNIVEL1]])</f>
        <v>0</v>
      </c>
    </row>
    <row r="1872" spans="1:37" x14ac:dyDescent="0.3">
      <c r="A1872">
        <v>20716</v>
      </c>
      <c r="B1872" t="s">
        <v>98</v>
      </c>
      <c r="C1872">
        <v>4</v>
      </c>
      <c r="D1872">
        <v>4</v>
      </c>
      <c r="E1872" t="s">
        <v>265</v>
      </c>
      <c r="F1872" s="85" t="s">
        <v>333</v>
      </c>
      <c r="G1872"/>
      <c r="H1872" t="s">
        <v>294</v>
      </c>
      <c r="I1872" t="s">
        <v>228</v>
      </c>
      <c r="J1872" t="s">
        <v>178</v>
      </c>
      <c r="K1872" s="1">
        <v>36.42</v>
      </c>
      <c r="L1872" s="1">
        <v>0</v>
      </c>
      <c r="M1872" s="1">
        <v>0</v>
      </c>
      <c r="N1872" s="1">
        <v>36.42</v>
      </c>
      <c r="O1872" s="1">
        <v>1966.68</v>
      </c>
      <c r="P1872" s="1">
        <v>0</v>
      </c>
      <c r="Q1872" s="1">
        <v>0</v>
      </c>
      <c r="R1872" s="1">
        <v>2437.46</v>
      </c>
      <c r="S1872" t="s">
        <v>280</v>
      </c>
      <c r="T1872" s="13">
        <v>45837</v>
      </c>
      <c r="U1872" s="1" t="str">
        <f>IF(ESTIMATIVA[[#This Row],[QT_AREA_REAL]]&gt;0,"1- Colhido","2- à Colher")</f>
        <v>1- Colhido</v>
      </c>
      <c r="V1872" s="1" t="str">
        <f>IF(ESTIMATIVA[[#This Row],[QT_AREA_REST1]]&gt;0,"Reestimativa 1",IF(ESTIMATIVA[[#This Row],[QT_AREA_REAL]]=0,"Reestimativa 1","Realizado"))</f>
        <v>Realizado</v>
      </c>
      <c r="W1872" s="1" t="str">
        <f>IF(ESTIMATIVA[[#This Row],[QT_AREA_REST2]]&gt;0,"Reestimativa 2",IF(ESTIMATIVA[[#This Row],[QT_AREA_REAL]]=0,"Reestimativa 2","Realizado"))</f>
        <v>Realizado</v>
      </c>
      <c r="X1872" s="1">
        <f>ESTIMATIVA[[#This Row],[QT_AREA_EST]]</f>
        <v>36.42</v>
      </c>
      <c r="Y1872" s="1">
        <f>IF(ESTIMATIVA[[#This Row],[QT_AREA_REST1]]&gt;0,ESTIMATIVA[[#This Row],[QT_AREA_REST1]],
  IF(ESTIMATIVA[[#This Row],[QT_AREA_REAL]]&gt;0,ESTIMATIVA[[#This Row],[QT_AREA_REAL]],ESTIMATIVA[[#This Row],[QT_AREA_EST]]))</f>
        <v>36.42</v>
      </c>
      <c r="Z187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36.42</v>
      </c>
      <c r="AA1872" s="1">
        <f>ESTIMATIVA[[#This Row],[QT_CANA_EST]]</f>
        <v>1966.68</v>
      </c>
      <c r="AB1872" s="1">
        <f>IF(ESTIMATIVA[[#This Row],[QT_CANA_REST1]]&gt;0,ESTIMATIVA[[#This Row],[QT_CANA_REST1]],
  IF(ESTIMATIVA[[#This Row],[QT_CANA_REAL]]&gt;0,ESTIMATIVA[[#This Row],[QT_CANA_REAL]],ESTIMATIVA[[#This Row],[QT_CANA_EST]]))</f>
        <v>2437.46</v>
      </c>
      <c r="AC187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2437.46</v>
      </c>
      <c r="AD1872" s="1">
        <f>IF(ESTIMATIVA[[#This Row],[QT_AREA_REAL]]&gt;0,ESTIMATIVA[[#This Row],[QT_CANA_REAL]],ESTIMATIVA[[#This Row],[QT_CANA_EST]])</f>
        <v>2437.46</v>
      </c>
      <c r="AE1872" s="1">
        <f>IF(ESTIMATIVA[[#This Row],[QT_AREA_REAL]]&gt;0,ESTIMATIVA[[#This Row],[QT_CANA_REAL]],ESTIMATIVA[[#This Row],[QT_CANA_REST1]])</f>
        <v>2437.46</v>
      </c>
      <c r="AF1872" s="1">
        <f>IF(ESTIMATIVA[[#This Row],[QT_AREA_REAL]]&gt;0,ESTIMATIVA[[#This Row],[QT_CANA_REAL]],ESTIMATIVA[[#This Row],[QT_CANA_REST2]])</f>
        <v>2437.46</v>
      </c>
      <c r="AG1872" s="1" t="str">
        <f>IF(COUNTIFS(GEADA!A:A,VALUE(ESTIMATIVA[[#This Row],[CD_UPNIVEL1]]&amp;TEXT(ESTIMATIVA[[#This Row],[CD_UPNIVEL3]],"0000")))&gt;0,"S","N")</f>
        <v>N</v>
      </c>
      <c r="AH187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72" s="55" t="str">
        <f>IF(ESTIMATIVA[[#This Row],[TP_CULTIVO]]="Irrigado",_xlfn.MAXIFS(IRRIGADO!J:J,IRRIGADO!C:C,ESTIMATIVA[[#This Row],[CD_UPNIVEL1]],IRRIGADO!E:E,ESTIMATIVA[[#This Row],[CD_UPNIVEL3]]),"")</f>
        <v/>
      </c>
      <c r="AJ187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72" s="1">
        <f>COUNTIFS(Apresentação!$E$23:$E$29,ESTIMATIVA[[#This Row],[CD_UPNIVEL1]])</f>
        <v>0</v>
      </c>
    </row>
    <row r="1873" spans="1:37" x14ac:dyDescent="0.3">
      <c r="A1873">
        <v>20716</v>
      </c>
      <c r="B1873" t="s">
        <v>98</v>
      </c>
      <c r="C1873">
        <v>5</v>
      </c>
      <c r="D1873">
        <v>4</v>
      </c>
      <c r="E1873" t="s">
        <v>265</v>
      </c>
      <c r="F1873" s="85" t="s">
        <v>331</v>
      </c>
      <c r="G1873"/>
      <c r="H1873" t="s">
        <v>294</v>
      </c>
      <c r="I1873" t="s">
        <v>228</v>
      </c>
      <c r="J1873" t="s">
        <v>178</v>
      </c>
      <c r="K1873" s="1">
        <v>25.74</v>
      </c>
      <c r="L1873" s="1">
        <v>0</v>
      </c>
      <c r="M1873" s="1">
        <v>0</v>
      </c>
      <c r="N1873" s="1">
        <v>25.74</v>
      </c>
      <c r="O1873" s="1">
        <v>1389.96</v>
      </c>
      <c r="P1873" s="1">
        <v>0</v>
      </c>
      <c r="Q1873" s="1">
        <v>0</v>
      </c>
      <c r="R1873" s="1">
        <v>1723.08</v>
      </c>
      <c r="S1873" t="s">
        <v>280</v>
      </c>
      <c r="T1873" s="13">
        <v>45837</v>
      </c>
      <c r="U1873" s="1" t="str">
        <f>IF(ESTIMATIVA[[#This Row],[QT_AREA_REAL]]&gt;0,"1- Colhido","2- à Colher")</f>
        <v>1- Colhido</v>
      </c>
      <c r="V1873" s="1" t="str">
        <f>IF(ESTIMATIVA[[#This Row],[QT_AREA_REST1]]&gt;0,"Reestimativa 1",IF(ESTIMATIVA[[#This Row],[QT_AREA_REAL]]=0,"Reestimativa 1","Realizado"))</f>
        <v>Realizado</v>
      </c>
      <c r="W1873" s="1" t="str">
        <f>IF(ESTIMATIVA[[#This Row],[QT_AREA_REST2]]&gt;0,"Reestimativa 2",IF(ESTIMATIVA[[#This Row],[QT_AREA_REAL]]=0,"Reestimativa 2","Realizado"))</f>
        <v>Realizado</v>
      </c>
      <c r="X1873" s="1">
        <f>ESTIMATIVA[[#This Row],[QT_AREA_EST]]</f>
        <v>25.74</v>
      </c>
      <c r="Y1873" s="1">
        <f>IF(ESTIMATIVA[[#This Row],[QT_AREA_REST1]]&gt;0,ESTIMATIVA[[#This Row],[QT_AREA_REST1]],
  IF(ESTIMATIVA[[#This Row],[QT_AREA_REAL]]&gt;0,ESTIMATIVA[[#This Row],[QT_AREA_REAL]],ESTIMATIVA[[#This Row],[QT_AREA_EST]]))</f>
        <v>25.74</v>
      </c>
      <c r="Z187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25.74</v>
      </c>
      <c r="AA1873" s="1">
        <f>ESTIMATIVA[[#This Row],[QT_CANA_EST]]</f>
        <v>1389.96</v>
      </c>
      <c r="AB1873" s="1">
        <f>IF(ESTIMATIVA[[#This Row],[QT_CANA_REST1]]&gt;0,ESTIMATIVA[[#This Row],[QT_CANA_REST1]],
  IF(ESTIMATIVA[[#This Row],[QT_CANA_REAL]]&gt;0,ESTIMATIVA[[#This Row],[QT_CANA_REAL]],ESTIMATIVA[[#This Row],[QT_CANA_EST]]))</f>
        <v>1723.08</v>
      </c>
      <c r="AC187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1723.08</v>
      </c>
      <c r="AD1873" s="1">
        <f>IF(ESTIMATIVA[[#This Row],[QT_AREA_REAL]]&gt;0,ESTIMATIVA[[#This Row],[QT_CANA_REAL]],ESTIMATIVA[[#This Row],[QT_CANA_EST]])</f>
        <v>1723.08</v>
      </c>
      <c r="AE1873" s="1">
        <f>IF(ESTIMATIVA[[#This Row],[QT_AREA_REAL]]&gt;0,ESTIMATIVA[[#This Row],[QT_CANA_REAL]],ESTIMATIVA[[#This Row],[QT_CANA_REST1]])</f>
        <v>1723.08</v>
      </c>
      <c r="AF1873" s="1">
        <f>IF(ESTIMATIVA[[#This Row],[QT_AREA_REAL]]&gt;0,ESTIMATIVA[[#This Row],[QT_CANA_REAL]],ESTIMATIVA[[#This Row],[QT_CANA_REST2]])</f>
        <v>1723.08</v>
      </c>
      <c r="AG1873" s="1" t="str">
        <f>IF(COUNTIFS(GEADA!A:A,VALUE(ESTIMATIVA[[#This Row],[CD_UPNIVEL1]]&amp;TEXT(ESTIMATIVA[[#This Row],[CD_UPNIVEL3]],"0000")))&gt;0,"S","N")</f>
        <v>N</v>
      </c>
      <c r="AH187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73" s="55" t="str">
        <f>IF(ESTIMATIVA[[#This Row],[TP_CULTIVO]]="Irrigado",_xlfn.MAXIFS(IRRIGADO!J:J,IRRIGADO!C:C,ESTIMATIVA[[#This Row],[CD_UPNIVEL1]],IRRIGADO!E:E,ESTIMATIVA[[#This Row],[CD_UPNIVEL3]]),"")</f>
        <v/>
      </c>
      <c r="AJ187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73" s="1">
        <f>COUNTIFS(Apresentação!$E$23:$E$29,ESTIMATIVA[[#This Row],[CD_UPNIVEL1]])</f>
        <v>0</v>
      </c>
    </row>
    <row r="1874" spans="1:37" x14ac:dyDescent="0.3">
      <c r="A1874">
        <v>20716</v>
      </c>
      <c r="B1874" t="s">
        <v>98</v>
      </c>
      <c r="C1874">
        <v>6</v>
      </c>
      <c r="D1874">
        <v>4</v>
      </c>
      <c r="E1874" t="s">
        <v>265</v>
      </c>
      <c r="F1874" s="85" t="s">
        <v>331</v>
      </c>
      <c r="G1874"/>
      <c r="H1874" t="s">
        <v>294</v>
      </c>
      <c r="I1874" t="s">
        <v>228</v>
      </c>
      <c r="J1874" t="s">
        <v>178</v>
      </c>
      <c r="K1874" s="1">
        <v>38.619999999999997</v>
      </c>
      <c r="L1874" s="1">
        <v>38.619999999999997</v>
      </c>
      <c r="M1874" s="1">
        <v>38.619999999999997</v>
      </c>
      <c r="N1874" s="1">
        <v>38.619999999999997</v>
      </c>
      <c r="O1874" s="1">
        <v>1544.8</v>
      </c>
      <c r="P1874" s="1">
        <v>1544.8</v>
      </c>
      <c r="Q1874" s="1">
        <v>1544.8</v>
      </c>
      <c r="R1874" s="1">
        <v>1399.17</v>
      </c>
      <c r="S1874" t="s">
        <v>280</v>
      </c>
      <c r="T1874" s="13">
        <v>45963</v>
      </c>
      <c r="U1874" s="1" t="str">
        <f>IF(ESTIMATIVA[[#This Row],[QT_AREA_REAL]]&gt;0,"1- Colhido","2- à Colher")</f>
        <v>1- Colhido</v>
      </c>
      <c r="V1874" s="1" t="str">
        <f>IF(ESTIMATIVA[[#This Row],[QT_AREA_REST1]]&gt;0,"Reestimativa 1",IF(ESTIMATIVA[[#This Row],[QT_AREA_REAL]]=0,"Reestimativa 1","Realizado"))</f>
        <v>Reestimativa 1</v>
      </c>
      <c r="W1874" s="1" t="str">
        <f>IF(ESTIMATIVA[[#This Row],[QT_AREA_REST2]]&gt;0,"Reestimativa 2",IF(ESTIMATIVA[[#This Row],[QT_AREA_REAL]]=0,"Reestimativa 2","Realizado"))</f>
        <v>Reestimativa 2</v>
      </c>
      <c r="X1874" s="1">
        <f>ESTIMATIVA[[#This Row],[QT_AREA_EST]]</f>
        <v>38.619999999999997</v>
      </c>
      <c r="Y1874" s="1">
        <f>IF(ESTIMATIVA[[#This Row],[QT_AREA_REST1]]&gt;0,ESTIMATIVA[[#This Row],[QT_AREA_REST1]],
  IF(ESTIMATIVA[[#This Row],[QT_AREA_REAL]]&gt;0,ESTIMATIVA[[#This Row],[QT_AREA_REAL]],ESTIMATIVA[[#This Row],[QT_AREA_EST]]))</f>
        <v>38.619999999999997</v>
      </c>
      <c r="Z187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38.619999999999997</v>
      </c>
      <c r="AA1874" s="1">
        <f>ESTIMATIVA[[#This Row],[QT_CANA_EST]]</f>
        <v>1544.8</v>
      </c>
      <c r="AB1874" s="1">
        <f>IF(ESTIMATIVA[[#This Row],[QT_CANA_REST1]]&gt;0,ESTIMATIVA[[#This Row],[QT_CANA_REST1]],
  IF(ESTIMATIVA[[#This Row],[QT_CANA_REAL]]&gt;0,ESTIMATIVA[[#This Row],[QT_CANA_REAL]],ESTIMATIVA[[#This Row],[QT_CANA_EST]]))</f>
        <v>1544.8</v>
      </c>
      <c r="AC187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1544.8</v>
      </c>
      <c r="AD1874" s="1">
        <f>IF(ESTIMATIVA[[#This Row],[QT_AREA_REAL]]&gt;0,ESTIMATIVA[[#This Row],[QT_CANA_REAL]],ESTIMATIVA[[#This Row],[QT_CANA_EST]])</f>
        <v>1399.17</v>
      </c>
      <c r="AE1874" s="1">
        <f>IF(ESTIMATIVA[[#This Row],[QT_AREA_REAL]]&gt;0,ESTIMATIVA[[#This Row],[QT_CANA_REAL]],ESTIMATIVA[[#This Row],[QT_CANA_REST1]])</f>
        <v>1399.17</v>
      </c>
      <c r="AF1874" s="1">
        <f>IF(ESTIMATIVA[[#This Row],[QT_AREA_REAL]]&gt;0,ESTIMATIVA[[#This Row],[QT_CANA_REAL]],ESTIMATIVA[[#This Row],[QT_CANA_REST2]])</f>
        <v>1399.17</v>
      </c>
      <c r="AG1874" s="1" t="str">
        <f>IF(COUNTIFS(GEADA!A:A,VALUE(ESTIMATIVA[[#This Row],[CD_UPNIVEL1]]&amp;TEXT(ESTIMATIVA[[#This Row],[CD_UPNIVEL3]],"0000")))&gt;0,"S","N")</f>
        <v>N</v>
      </c>
      <c r="AH187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74" s="55" t="str">
        <f>IF(ESTIMATIVA[[#This Row],[TP_CULTIVO]]="Irrigado",_xlfn.MAXIFS(IRRIGADO!J:J,IRRIGADO!C:C,ESTIMATIVA[[#This Row],[CD_UPNIVEL1]],IRRIGADO!E:E,ESTIMATIVA[[#This Row],[CD_UPNIVEL3]]),"")</f>
        <v/>
      </c>
      <c r="AJ187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74" s="1">
        <f>COUNTIFS(Apresentação!$E$23:$E$29,ESTIMATIVA[[#This Row],[CD_UPNIVEL1]])</f>
        <v>0</v>
      </c>
    </row>
    <row r="1875" spans="1:37" x14ac:dyDescent="0.3">
      <c r="A1875">
        <v>20716</v>
      </c>
      <c r="B1875" t="s">
        <v>98</v>
      </c>
      <c r="C1875">
        <v>7</v>
      </c>
      <c r="D1875">
        <v>4</v>
      </c>
      <c r="E1875" t="s">
        <v>265</v>
      </c>
      <c r="F1875" s="85" t="s">
        <v>331</v>
      </c>
      <c r="G1875"/>
      <c r="H1875" t="s">
        <v>294</v>
      </c>
      <c r="I1875" t="s">
        <v>195</v>
      </c>
      <c r="J1875" t="s">
        <v>178</v>
      </c>
      <c r="K1875" s="1">
        <v>34.75</v>
      </c>
      <c r="L1875" s="1">
        <v>34.75</v>
      </c>
      <c r="M1875" s="1">
        <v>34.75</v>
      </c>
      <c r="N1875" s="1">
        <v>34.75</v>
      </c>
      <c r="O1875" s="1">
        <v>1390</v>
      </c>
      <c r="P1875" s="1">
        <v>1390</v>
      </c>
      <c r="Q1875" s="1">
        <v>1390</v>
      </c>
      <c r="R1875" s="1">
        <v>1258.8800000000001</v>
      </c>
      <c r="S1875" t="s">
        <v>280</v>
      </c>
      <c r="T1875" s="13">
        <v>45963</v>
      </c>
      <c r="U1875" s="1" t="str">
        <f>IF(ESTIMATIVA[[#This Row],[QT_AREA_REAL]]&gt;0,"1- Colhido","2- à Colher")</f>
        <v>1- Colhido</v>
      </c>
      <c r="V1875" s="1" t="str">
        <f>IF(ESTIMATIVA[[#This Row],[QT_AREA_REST1]]&gt;0,"Reestimativa 1",IF(ESTIMATIVA[[#This Row],[QT_AREA_REAL]]=0,"Reestimativa 1","Realizado"))</f>
        <v>Reestimativa 1</v>
      </c>
      <c r="W1875" s="1" t="str">
        <f>IF(ESTIMATIVA[[#This Row],[QT_AREA_REST2]]&gt;0,"Reestimativa 2",IF(ESTIMATIVA[[#This Row],[QT_AREA_REAL]]=0,"Reestimativa 2","Realizado"))</f>
        <v>Reestimativa 2</v>
      </c>
      <c r="X1875" s="1">
        <f>ESTIMATIVA[[#This Row],[QT_AREA_EST]]</f>
        <v>34.75</v>
      </c>
      <c r="Y1875" s="1">
        <f>IF(ESTIMATIVA[[#This Row],[QT_AREA_REST1]]&gt;0,ESTIMATIVA[[#This Row],[QT_AREA_REST1]],
  IF(ESTIMATIVA[[#This Row],[QT_AREA_REAL]]&gt;0,ESTIMATIVA[[#This Row],[QT_AREA_REAL]],ESTIMATIVA[[#This Row],[QT_AREA_EST]]))</f>
        <v>34.75</v>
      </c>
      <c r="Z187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34.75</v>
      </c>
      <c r="AA1875" s="1">
        <f>ESTIMATIVA[[#This Row],[QT_CANA_EST]]</f>
        <v>1390</v>
      </c>
      <c r="AB1875" s="1">
        <f>IF(ESTIMATIVA[[#This Row],[QT_CANA_REST1]]&gt;0,ESTIMATIVA[[#This Row],[QT_CANA_REST1]],
  IF(ESTIMATIVA[[#This Row],[QT_CANA_REAL]]&gt;0,ESTIMATIVA[[#This Row],[QT_CANA_REAL]],ESTIMATIVA[[#This Row],[QT_CANA_EST]]))</f>
        <v>1390</v>
      </c>
      <c r="AC187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1390</v>
      </c>
      <c r="AD1875" s="1">
        <f>IF(ESTIMATIVA[[#This Row],[QT_AREA_REAL]]&gt;0,ESTIMATIVA[[#This Row],[QT_CANA_REAL]],ESTIMATIVA[[#This Row],[QT_CANA_EST]])</f>
        <v>1258.8800000000001</v>
      </c>
      <c r="AE1875" s="1">
        <f>IF(ESTIMATIVA[[#This Row],[QT_AREA_REAL]]&gt;0,ESTIMATIVA[[#This Row],[QT_CANA_REAL]],ESTIMATIVA[[#This Row],[QT_CANA_REST1]])</f>
        <v>1258.8800000000001</v>
      </c>
      <c r="AF1875" s="1">
        <f>IF(ESTIMATIVA[[#This Row],[QT_AREA_REAL]]&gt;0,ESTIMATIVA[[#This Row],[QT_CANA_REAL]],ESTIMATIVA[[#This Row],[QT_CANA_REST2]])</f>
        <v>1258.8800000000001</v>
      </c>
      <c r="AG1875" s="1" t="str">
        <f>IF(COUNTIFS(GEADA!A:A,VALUE(ESTIMATIVA[[#This Row],[CD_UPNIVEL1]]&amp;TEXT(ESTIMATIVA[[#This Row],[CD_UPNIVEL3]],"0000")))&gt;0,"S","N")</f>
        <v>N</v>
      </c>
      <c r="AH187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75" s="55" t="str">
        <f>IF(ESTIMATIVA[[#This Row],[TP_CULTIVO]]="Irrigado",_xlfn.MAXIFS(IRRIGADO!J:J,IRRIGADO!C:C,ESTIMATIVA[[#This Row],[CD_UPNIVEL1]],IRRIGADO!E:E,ESTIMATIVA[[#This Row],[CD_UPNIVEL3]]),"")</f>
        <v/>
      </c>
      <c r="AJ187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75" s="1">
        <f>COUNTIFS(Apresentação!$E$23:$E$29,ESTIMATIVA[[#This Row],[CD_UPNIVEL1]])</f>
        <v>0</v>
      </c>
    </row>
    <row r="1876" spans="1:37" x14ac:dyDescent="0.3">
      <c r="A1876">
        <v>20716</v>
      </c>
      <c r="B1876" t="s">
        <v>98</v>
      </c>
      <c r="C1876">
        <v>8</v>
      </c>
      <c r="D1876">
        <v>3</v>
      </c>
      <c r="E1876" t="s">
        <v>263</v>
      </c>
      <c r="F1876" s="85" t="s">
        <v>331</v>
      </c>
      <c r="G1876"/>
      <c r="H1876" t="s">
        <v>294</v>
      </c>
      <c r="I1876" t="s">
        <v>212</v>
      </c>
      <c r="J1876" t="s">
        <v>178</v>
      </c>
      <c r="K1876" s="1">
        <v>2.4900000000000002</v>
      </c>
      <c r="L1876" s="1">
        <v>2.4900000000000002</v>
      </c>
      <c r="M1876" s="1">
        <v>2.4900000000000002</v>
      </c>
      <c r="N1876" s="1">
        <v>2.4900000000000002</v>
      </c>
      <c r="O1876" s="1">
        <v>186.75</v>
      </c>
      <c r="P1876" s="1">
        <v>186.75</v>
      </c>
      <c r="Q1876" s="1">
        <v>186.75</v>
      </c>
      <c r="R1876" s="1">
        <v>207.27</v>
      </c>
      <c r="S1876" t="s">
        <v>280</v>
      </c>
      <c r="T1876" s="13">
        <v>45956</v>
      </c>
      <c r="U1876" s="1" t="str">
        <f>IF(ESTIMATIVA[[#This Row],[QT_AREA_REAL]]&gt;0,"1- Colhido","2- à Colher")</f>
        <v>1- Colhido</v>
      </c>
      <c r="V1876" s="1" t="str">
        <f>IF(ESTIMATIVA[[#This Row],[QT_AREA_REST1]]&gt;0,"Reestimativa 1",IF(ESTIMATIVA[[#This Row],[QT_AREA_REAL]]=0,"Reestimativa 1","Realizado"))</f>
        <v>Reestimativa 1</v>
      </c>
      <c r="W1876" s="1" t="str">
        <f>IF(ESTIMATIVA[[#This Row],[QT_AREA_REST2]]&gt;0,"Reestimativa 2",IF(ESTIMATIVA[[#This Row],[QT_AREA_REAL]]=0,"Reestimativa 2","Realizado"))</f>
        <v>Reestimativa 2</v>
      </c>
      <c r="X1876" s="1">
        <f>ESTIMATIVA[[#This Row],[QT_AREA_EST]]</f>
        <v>2.4900000000000002</v>
      </c>
      <c r="Y1876" s="1">
        <f>IF(ESTIMATIVA[[#This Row],[QT_AREA_REST1]]&gt;0,ESTIMATIVA[[#This Row],[QT_AREA_REST1]],
  IF(ESTIMATIVA[[#This Row],[QT_AREA_REAL]]&gt;0,ESTIMATIVA[[#This Row],[QT_AREA_REAL]],ESTIMATIVA[[#This Row],[QT_AREA_EST]]))</f>
        <v>2.4900000000000002</v>
      </c>
      <c r="Z187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2.4900000000000002</v>
      </c>
      <c r="AA1876" s="1">
        <f>ESTIMATIVA[[#This Row],[QT_CANA_EST]]</f>
        <v>186.75</v>
      </c>
      <c r="AB1876" s="1">
        <f>IF(ESTIMATIVA[[#This Row],[QT_CANA_REST1]]&gt;0,ESTIMATIVA[[#This Row],[QT_CANA_REST1]],
  IF(ESTIMATIVA[[#This Row],[QT_CANA_REAL]]&gt;0,ESTIMATIVA[[#This Row],[QT_CANA_REAL]],ESTIMATIVA[[#This Row],[QT_CANA_EST]]))</f>
        <v>186.75</v>
      </c>
      <c r="AC187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186.75</v>
      </c>
      <c r="AD1876" s="1">
        <f>IF(ESTIMATIVA[[#This Row],[QT_AREA_REAL]]&gt;0,ESTIMATIVA[[#This Row],[QT_CANA_REAL]],ESTIMATIVA[[#This Row],[QT_CANA_EST]])</f>
        <v>207.27</v>
      </c>
      <c r="AE1876" s="1">
        <f>IF(ESTIMATIVA[[#This Row],[QT_AREA_REAL]]&gt;0,ESTIMATIVA[[#This Row],[QT_CANA_REAL]],ESTIMATIVA[[#This Row],[QT_CANA_REST1]])</f>
        <v>207.27</v>
      </c>
      <c r="AF1876" s="1">
        <f>IF(ESTIMATIVA[[#This Row],[QT_AREA_REAL]]&gt;0,ESTIMATIVA[[#This Row],[QT_CANA_REAL]],ESTIMATIVA[[#This Row],[QT_CANA_REST2]])</f>
        <v>207.27</v>
      </c>
      <c r="AG1876" s="1" t="str">
        <f>IF(COUNTIFS(GEADA!A:A,VALUE(ESTIMATIVA[[#This Row],[CD_UPNIVEL1]]&amp;TEXT(ESTIMATIVA[[#This Row],[CD_UPNIVEL3]],"0000")))&gt;0,"S","N")</f>
        <v>N</v>
      </c>
      <c r="AH187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76" s="55" t="str">
        <f>IF(ESTIMATIVA[[#This Row],[TP_CULTIVO]]="Irrigado",_xlfn.MAXIFS(IRRIGADO!J:J,IRRIGADO!C:C,ESTIMATIVA[[#This Row],[CD_UPNIVEL1]],IRRIGADO!E:E,ESTIMATIVA[[#This Row],[CD_UPNIVEL3]]),"")</f>
        <v/>
      </c>
      <c r="AJ187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76" s="1">
        <f>COUNTIFS(Apresentação!$E$23:$E$29,ESTIMATIVA[[#This Row],[CD_UPNIVEL1]])</f>
        <v>0</v>
      </c>
    </row>
    <row r="1877" spans="1:37" x14ac:dyDescent="0.3">
      <c r="A1877">
        <v>20716</v>
      </c>
      <c r="B1877" t="s">
        <v>98</v>
      </c>
      <c r="C1877">
        <v>9</v>
      </c>
      <c r="D1877">
        <v>3</v>
      </c>
      <c r="E1877" t="s">
        <v>263</v>
      </c>
      <c r="F1877" s="85" t="s">
        <v>331</v>
      </c>
      <c r="G1877"/>
      <c r="H1877" t="s">
        <v>294</v>
      </c>
      <c r="I1877" t="s">
        <v>212</v>
      </c>
      <c r="J1877" t="s">
        <v>178</v>
      </c>
      <c r="K1877" s="1">
        <v>46.45</v>
      </c>
      <c r="L1877" s="1">
        <v>46.45</v>
      </c>
      <c r="M1877" s="1">
        <v>46.45</v>
      </c>
      <c r="N1877" s="1">
        <v>46.45</v>
      </c>
      <c r="O1877" s="1">
        <v>3483.75</v>
      </c>
      <c r="P1877" s="1">
        <v>3483.75</v>
      </c>
      <c r="Q1877" s="1">
        <v>3483.75</v>
      </c>
      <c r="R1877" s="1">
        <v>3864.25</v>
      </c>
      <c r="S1877" t="s">
        <v>280</v>
      </c>
      <c r="T1877" s="13">
        <v>45956</v>
      </c>
      <c r="U1877" s="1" t="str">
        <f>IF(ESTIMATIVA[[#This Row],[QT_AREA_REAL]]&gt;0,"1- Colhido","2- à Colher")</f>
        <v>1- Colhido</v>
      </c>
      <c r="V1877" s="1" t="str">
        <f>IF(ESTIMATIVA[[#This Row],[QT_AREA_REST1]]&gt;0,"Reestimativa 1",IF(ESTIMATIVA[[#This Row],[QT_AREA_REAL]]=0,"Reestimativa 1","Realizado"))</f>
        <v>Reestimativa 1</v>
      </c>
      <c r="W1877" s="1" t="str">
        <f>IF(ESTIMATIVA[[#This Row],[QT_AREA_REST2]]&gt;0,"Reestimativa 2",IF(ESTIMATIVA[[#This Row],[QT_AREA_REAL]]=0,"Reestimativa 2","Realizado"))</f>
        <v>Reestimativa 2</v>
      </c>
      <c r="X1877" s="1">
        <f>ESTIMATIVA[[#This Row],[QT_AREA_EST]]</f>
        <v>46.45</v>
      </c>
      <c r="Y1877" s="1">
        <f>IF(ESTIMATIVA[[#This Row],[QT_AREA_REST1]]&gt;0,ESTIMATIVA[[#This Row],[QT_AREA_REST1]],
  IF(ESTIMATIVA[[#This Row],[QT_AREA_REAL]]&gt;0,ESTIMATIVA[[#This Row],[QT_AREA_REAL]],ESTIMATIVA[[#This Row],[QT_AREA_EST]]))</f>
        <v>46.45</v>
      </c>
      <c r="Z187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46.45</v>
      </c>
      <c r="AA1877" s="1">
        <f>ESTIMATIVA[[#This Row],[QT_CANA_EST]]</f>
        <v>3483.75</v>
      </c>
      <c r="AB1877" s="1">
        <f>IF(ESTIMATIVA[[#This Row],[QT_CANA_REST1]]&gt;0,ESTIMATIVA[[#This Row],[QT_CANA_REST1]],
  IF(ESTIMATIVA[[#This Row],[QT_CANA_REAL]]&gt;0,ESTIMATIVA[[#This Row],[QT_CANA_REAL]],ESTIMATIVA[[#This Row],[QT_CANA_EST]]))</f>
        <v>3483.75</v>
      </c>
      <c r="AC187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3483.75</v>
      </c>
      <c r="AD1877" s="1">
        <f>IF(ESTIMATIVA[[#This Row],[QT_AREA_REAL]]&gt;0,ESTIMATIVA[[#This Row],[QT_CANA_REAL]],ESTIMATIVA[[#This Row],[QT_CANA_EST]])</f>
        <v>3864.25</v>
      </c>
      <c r="AE1877" s="1">
        <f>IF(ESTIMATIVA[[#This Row],[QT_AREA_REAL]]&gt;0,ESTIMATIVA[[#This Row],[QT_CANA_REAL]],ESTIMATIVA[[#This Row],[QT_CANA_REST1]])</f>
        <v>3864.25</v>
      </c>
      <c r="AF1877" s="1">
        <f>IF(ESTIMATIVA[[#This Row],[QT_AREA_REAL]]&gt;0,ESTIMATIVA[[#This Row],[QT_CANA_REAL]],ESTIMATIVA[[#This Row],[QT_CANA_REST2]])</f>
        <v>3864.25</v>
      </c>
      <c r="AG1877" s="1" t="str">
        <f>IF(COUNTIFS(GEADA!A:A,VALUE(ESTIMATIVA[[#This Row],[CD_UPNIVEL1]]&amp;TEXT(ESTIMATIVA[[#This Row],[CD_UPNIVEL3]],"0000")))&gt;0,"S","N")</f>
        <v>N</v>
      </c>
      <c r="AH187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77" s="55" t="str">
        <f>IF(ESTIMATIVA[[#This Row],[TP_CULTIVO]]="Irrigado",_xlfn.MAXIFS(IRRIGADO!J:J,IRRIGADO!C:C,ESTIMATIVA[[#This Row],[CD_UPNIVEL1]],IRRIGADO!E:E,ESTIMATIVA[[#This Row],[CD_UPNIVEL3]]),"")</f>
        <v/>
      </c>
      <c r="AJ187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77" s="1">
        <f>COUNTIFS(Apresentação!$E$23:$E$29,ESTIMATIVA[[#This Row],[CD_UPNIVEL1]])</f>
        <v>0</v>
      </c>
    </row>
    <row r="1878" spans="1:37" x14ac:dyDescent="0.3">
      <c r="A1878">
        <v>20716</v>
      </c>
      <c r="B1878" t="s">
        <v>98</v>
      </c>
      <c r="C1878">
        <v>10</v>
      </c>
      <c r="D1878">
        <v>3</v>
      </c>
      <c r="E1878" t="s">
        <v>263</v>
      </c>
      <c r="F1878" s="85" t="s">
        <v>331</v>
      </c>
      <c r="G1878"/>
      <c r="H1878" t="s">
        <v>294</v>
      </c>
      <c r="I1878" t="s">
        <v>229</v>
      </c>
      <c r="J1878" t="s">
        <v>178</v>
      </c>
      <c r="K1878" s="1">
        <v>10.36</v>
      </c>
      <c r="L1878" s="1">
        <v>10.36</v>
      </c>
      <c r="M1878" s="1">
        <v>10.36</v>
      </c>
      <c r="N1878" s="1">
        <v>10.36</v>
      </c>
      <c r="O1878" s="1">
        <v>777</v>
      </c>
      <c r="P1878" s="1">
        <v>777</v>
      </c>
      <c r="Q1878" s="1">
        <v>777</v>
      </c>
      <c r="R1878" s="1">
        <v>861.7</v>
      </c>
      <c r="S1878" t="s">
        <v>280</v>
      </c>
      <c r="T1878" s="13">
        <v>45956</v>
      </c>
      <c r="U1878" s="1" t="str">
        <f>IF(ESTIMATIVA[[#This Row],[QT_AREA_REAL]]&gt;0,"1- Colhido","2- à Colher")</f>
        <v>1- Colhido</v>
      </c>
      <c r="V1878" s="1" t="str">
        <f>IF(ESTIMATIVA[[#This Row],[QT_AREA_REST1]]&gt;0,"Reestimativa 1",IF(ESTIMATIVA[[#This Row],[QT_AREA_REAL]]=0,"Reestimativa 1","Realizado"))</f>
        <v>Reestimativa 1</v>
      </c>
      <c r="W1878" s="1" t="str">
        <f>IF(ESTIMATIVA[[#This Row],[QT_AREA_REST2]]&gt;0,"Reestimativa 2",IF(ESTIMATIVA[[#This Row],[QT_AREA_REAL]]=0,"Reestimativa 2","Realizado"))</f>
        <v>Reestimativa 2</v>
      </c>
      <c r="X1878" s="1">
        <f>ESTIMATIVA[[#This Row],[QT_AREA_EST]]</f>
        <v>10.36</v>
      </c>
      <c r="Y1878" s="1">
        <f>IF(ESTIMATIVA[[#This Row],[QT_AREA_REST1]]&gt;0,ESTIMATIVA[[#This Row],[QT_AREA_REST1]],
  IF(ESTIMATIVA[[#This Row],[QT_AREA_REAL]]&gt;0,ESTIMATIVA[[#This Row],[QT_AREA_REAL]],ESTIMATIVA[[#This Row],[QT_AREA_EST]]))</f>
        <v>10.36</v>
      </c>
      <c r="Z187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10.36</v>
      </c>
      <c r="AA1878" s="1">
        <f>ESTIMATIVA[[#This Row],[QT_CANA_EST]]</f>
        <v>777</v>
      </c>
      <c r="AB1878" s="1">
        <f>IF(ESTIMATIVA[[#This Row],[QT_CANA_REST1]]&gt;0,ESTIMATIVA[[#This Row],[QT_CANA_REST1]],
  IF(ESTIMATIVA[[#This Row],[QT_CANA_REAL]]&gt;0,ESTIMATIVA[[#This Row],[QT_CANA_REAL]],ESTIMATIVA[[#This Row],[QT_CANA_EST]]))</f>
        <v>777</v>
      </c>
      <c r="AC187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777</v>
      </c>
      <c r="AD1878" s="1">
        <f>IF(ESTIMATIVA[[#This Row],[QT_AREA_REAL]]&gt;0,ESTIMATIVA[[#This Row],[QT_CANA_REAL]],ESTIMATIVA[[#This Row],[QT_CANA_EST]])</f>
        <v>861.7</v>
      </c>
      <c r="AE1878" s="1">
        <f>IF(ESTIMATIVA[[#This Row],[QT_AREA_REAL]]&gt;0,ESTIMATIVA[[#This Row],[QT_CANA_REAL]],ESTIMATIVA[[#This Row],[QT_CANA_REST1]])</f>
        <v>861.7</v>
      </c>
      <c r="AF1878" s="1">
        <f>IF(ESTIMATIVA[[#This Row],[QT_AREA_REAL]]&gt;0,ESTIMATIVA[[#This Row],[QT_CANA_REAL]],ESTIMATIVA[[#This Row],[QT_CANA_REST2]])</f>
        <v>861.7</v>
      </c>
      <c r="AG1878" s="1" t="str">
        <f>IF(COUNTIFS(GEADA!A:A,VALUE(ESTIMATIVA[[#This Row],[CD_UPNIVEL1]]&amp;TEXT(ESTIMATIVA[[#This Row],[CD_UPNIVEL3]],"0000")))&gt;0,"S","N")</f>
        <v>N</v>
      </c>
      <c r="AH187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78" s="55" t="str">
        <f>IF(ESTIMATIVA[[#This Row],[TP_CULTIVO]]="Irrigado",_xlfn.MAXIFS(IRRIGADO!J:J,IRRIGADO!C:C,ESTIMATIVA[[#This Row],[CD_UPNIVEL1]],IRRIGADO!E:E,ESTIMATIVA[[#This Row],[CD_UPNIVEL3]]),"")</f>
        <v/>
      </c>
      <c r="AJ187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78" s="1">
        <f>COUNTIFS(Apresentação!$E$23:$E$29,ESTIMATIVA[[#This Row],[CD_UPNIVEL1]])</f>
        <v>0</v>
      </c>
    </row>
    <row r="1879" spans="1:37" x14ac:dyDescent="0.3">
      <c r="A1879">
        <v>20716</v>
      </c>
      <c r="B1879" t="s">
        <v>98</v>
      </c>
      <c r="C1879">
        <v>11</v>
      </c>
      <c r="D1879">
        <v>3</v>
      </c>
      <c r="E1879" t="s">
        <v>263</v>
      </c>
      <c r="F1879" s="85" t="s">
        <v>331</v>
      </c>
      <c r="G1879"/>
      <c r="H1879" t="s">
        <v>294</v>
      </c>
      <c r="I1879" t="s">
        <v>200</v>
      </c>
      <c r="J1879" t="s">
        <v>178</v>
      </c>
      <c r="K1879" s="1">
        <v>18.57</v>
      </c>
      <c r="L1879" s="1">
        <v>18.57</v>
      </c>
      <c r="M1879" s="1">
        <v>18.57</v>
      </c>
      <c r="N1879" s="1">
        <v>18.57</v>
      </c>
      <c r="O1879" s="1">
        <v>1392.75</v>
      </c>
      <c r="P1879" s="1">
        <v>1392.75</v>
      </c>
      <c r="Q1879" s="1">
        <v>1392.75</v>
      </c>
      <c r="R1879" s="1">
        <v>1544.95</v>
      </c>
      <c r="S1879" t="s">
        <v>280</v>
      </c>
      <c r="T1879" s="13">
        <v>45956</v>
      </c>
      <c r="U1879" s="1" t="str">
        <f>IF(ESTIMATIVA[[#This Row],[QT_AREA_REAL]]&gt;0,"1- Colhido","2- à Colher")</f>
        <v>1- Colhido</v>
      </c>
      <c r="V1879" s="1" t="str">
        <f>IF(ESTIMATIVA[[#This Row],[QT_AREA_REST1]]&gt;0,"Reestimativa 1",IF(ESTIMATIVA[[#This Row],[QT_AREA_REAL]]=0,"Reestimativa 1","Realizado"))</f>
        <v>Reestimativa 1</v>
      </c>
      <c r="W1879" s="1" t="str">
        <f>IF(ESTIMATIVA[[#This Row],[QT_AREA_REST2]]&gt;0,"Reestimativa 2",IF(ESTIMATIVA[[#This Row],[QT_AREA_REAL]]=0,"Reestimativa 2","Realizado"))</f>
        <v>Reestimativa 2</v>
      </c>
      <c r="X1879" s="1">
        <f>ESTIMATIVA[[#This Row],[QT_AREA_EST]]</f>
        <v>18.57</v>
      </c>
      <c r="Y1879" s="1">
        <f>IF(ESTIMATIVA[[#This Row],[QT_AREA_REST1]]&gt;0,ESTIMATIVA[[#This Row],[QT_AREA_REST1]],
  IF(ESTIMATIVA[[#This Row],[QT_AREA_REAL]]&gt;0,ESTIMATIVA[[#This Row],[QT_AREA_REAL]],ESTIMATIVA[[#This Row],[QT_AREA_EST]]))</f>
        <v>18.57</v>
      </c>
      <c r="Z187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18.57</v>
      </c>
      <c r="AA1879" s="1">
        <f>ESTIMATIVA[[#This Row],[QT_CANA_EST]]</f>
        <v>1392.75</v>
      </c>
      <c r="AB1879" s="1">
        <f>IF(ESTIMATIVA[[#This Row],[QT_CANA_REST1]]&gt;0,ESTIMATIVA[[#This Row],[QT_CANA_REST1]],
  IF(ESTIMATIVA[[#This Row],[QT_CANA_REAL]]&gt;0,ESTIMATIVA[[#This Row],[QT_CANA_REAL]],ESTIMATIVA[[#This Row],[QT_CANA_EST]]))</f>
        <v>1392.75</v>
      </c>
      <c r="AC187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1392.75</v>
      </c>
      <c r="AD1879" s="1">
        <f>IF(ESTIMATIVA[[#This Row],[QT_AREA_REAL]]&gt;0,ESTIMATIVA[[#This Row],[QT_CANA_REAL]],ESTIMATIVA[[#This Row],[QT_CANA_EST]])</f>
        <v>1544.95</v>
      </c>
      <c r="AE1879" s="1">
        <f>IF(ESTIMATIVA[[#This Row],[QT_AREA_REAL]]&gt;0,ESTIMATIVA[[#This Row],[QT_CANA_REAL]],ESTIMATIVA[[#This Row],[QT_CANA_REST1]])</f>
        <v>1544.95</v>
      </c>
      <c r="AF1879" s="1">
        <f>IF(ESTIMATIVA[[#This Row],[QT_AREA_REAL]]&gt;0,ESTIMATIVA[[#This Row],[QT_CANA_REAL]],ESTIMATIVA[[#This Row],[QT_CANA_REST2]])</f>
        <v>1544.95</v>
      </c>
      <c r="AG1879" s="1" t="str">
        <f>IF(COUNTIFS(GEADA!A:A,VALUE(ESTIMATIVA[[#This Row],[CD_UPNIVEL1]]&amp;TEXT(ESTIMATIVA[[#This Row],[CD_UPNIVEL3]],"0000")))&gt;0,"S","N")</f>
        <v>N</v>
      </c>
      <c r="AH187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79" s="55" t="str">
        <f>IF(ESTIMATIVA[[#This Row],[TP_CULTIVO]]="Irrigado",_xlfn.MAXIFS(IRRIGADO!J:J,IRRIGADO!C:C,ESTIMATIVA[[#This Row],[CD_UPNIVEL1]],IRRIGADO!E:E,ESTIMATIVA[[#This Row],[CD_UPNIVEL3]]),"")</f>
        <v/>
      </c>
      <c r="AJ187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79" s="1">
        <f>COUNTIFS(Apresentação!$E$23:$E$29,ESTIMATIVA[[#This Row],[CD_UPNIVEL1]])</f>
        <v>0</v>
      </c>
    </row>
    <row r="1880" spans="1:37" x14ac:dyDescent="0.3">
      <c r="A1880">
        <v>20716</v>
      </c>
      <c r="B1880" t="s">
        <v>98</v>
      </c>
      <c r="C1880">
        <v>12</v>
      </c>
      <c r="D1880">
        <v>3</v>
      </c>
      <c r="E1880" t="s">
        <v>263</v>
      </c>
      <c r="F1880" s="85" t="s">
        <v>331</v>
      </c>
      <c r="G1880"/>
      <c r="H1880" t="s">
        <v>294</v>
      </c>
      <c r="I1880" t="s">
        <v>200</v>
      </c>
      <c r="J1880" t="s">
        <v>178</v>
      </c>
      <c r="K1880" s="1">
        <v>22.68</v>
      </c>
      <c r="L1880" s="1">
        <v>22.68</v>
      </c>
      <c r="M1880" s="1">
        <v>22.68</v>
      </c>
      <c r="N1880" s="1">
        <v>22.68</v>
      </c>
      <c r="O1880" s="1">
        <v>1701</v>
      </c>
      <c r="P1880" s="1">
        <v>1701</v>
      </c>
      <c r="Q1880" s="1">
        <v>1701</v>
      </c>
      <c r="R1880" s="1">
        <v>1886.57</v>
      </c>
      <c r="S1880" t="s">
        <v>280</v>
      </c>
      <c r="T1880" s="13">
        <v>45956</v>
      </c>
      <c r="U1880" s="1" t="str">
        <f>IF(ESTIMATIVA[[#This Row],[QT_AREA_REAL]]&gt;0,"1- Colhido","2- à Colher")</f>
        <v>1- Colhido</v>
      </c>
      <c r="V1880" s="1" t="str">
        <f>IF(ESTIMATIVA[[#This Row],[QT_AREA_REST1]]&gt;0,"Reestimativa 1",IF(ESTIMATIVA[[#This Row],[QT_AREA_REAL]]=0,"Reestimativa 1","Realizado"))</f>
        <v>Reestimativa 1</v>
      </c>
      <c r="W1880" s="1" t="str">
        <f>IF(ESTIMATIVA[[#This Row],[QT_AREA_REST2]]&gt;0,"Reestimativa 2",IF(ESTIMATIVA[[#This Row],[QT_AREA_REAL]]=0,"Reestimativa 2","Realizado"))</f>
        <v>Reestimativa 2</v>
      </c>
      <c r="X1880" s="1">
        <f>ESTIMATIVA[[#This Row],[QT_AREA_EST]]</f>
        <v>22.68</v>
      </c>
      <c r="Y1880" s="1">
        <f>IF(ESTIMATIVA[[#This Row],[QT_AREA_REST1]]&gt;0,ESTIMATIVA[[#This Row],[QT_AREA_REST1]],
  IF(ESTIMATIVA[[#This Row],[QT_AREA_REAL]]&gt;0,ESTIMATIVA[[#This Row],[QT_AREA_REAL]],ESTIMATIVA[[#This Row],[QT_AREA_EST]]))</f>
        <v>22.68</v>
      </c>
      <c r="Z188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22.68</v>
      </c>
      <c r="AA1880" s="1">
        <f>ESTIMATIVA[[#This Row],[QT_CANA_EST]]</f>
        <v>1701</v>
      </c>
      <c r="AB1880" s="1">
        <f>IF(ESTIMATIVA[[#This Row],[QT_CANA_REST1]]&gt;0,ESTIMATIVA[[#This Row],[QT_CANA_REST1]],
  IF(ESTIMATIVA[[#This Row],[QT_CANA_REAL]]&gt;0,ESTIMATIVA[[#This Row],[QT_CANA_REAL]],ESTIMATIVA[[#This Row],[QT_CANA_EST]]))</f>
        <v>1701</v>
      </c>
      <c r="AC188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1701</v>
      </c>
      <c r="AD1880" s="1">
        <f>IF(ESTIMATIVA[[#This Row],[QT_AREA_REAL]]&gt;0,ESTIMATIVA[[#This Row],[QT_CANA_REAL]],ESTIMATIVA[[#This Row],[QT_CANA_EST]])</f>
        <v>1886.57</v>
      </c>
      <c r="AE1880" s="1">
        <f>IF(ESTIMATIVA[[#This Row],[QT_AREA_REAL]]&gt;0,ESTIMATIVA[[#This Row],[QT_CANA_REAL]],ESTIMATIVA[[#This Row],[QT_CANA_REST1]])</f>
        <v>1886.57</v>
      </c>
      <c r="AF1880" s="1">
        <f>IF(ESTIMATIVA[[#This Row],[QT_AREA_REAL]]&gt;0,ESTIMATIVA[[#This Row],[QT_CANA_REAL]],ESTIMATIVA[[#This Row],[QT_CANA_REST2]])</f>
        <v>1886.57</v>
      </c>
      <c r="AG1880" s="1" t="str">
        <f>IF(COUNTIFS(GEADA!A:A,VALUE(ESTIMATIVA[[#This Row],[CD_UPNIVEL1]]&amp;TEXT(ESTIMATIVA[[#This Row],[CD_UPNIVEL3]],"0000")))&gt;0,"S","N")</f>
        <v>N</v>
      </c>
      <c r="AH188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80" s="55" t="str">
        <f>IF(ESTIMATIVA[[#This Row],[TP_CULTIVO]]="Irrigado",_xlfn.MAXIFS(IRRIGADO!J:J,IRRIGADO!C:C,ESTIMATIVA[[#This Row],[CD_UPNIVEL1]],IRRIGADO!E:E,ESTIMATIVA[[#This Row],[CD_UPNIVEL3]]),"")</f>
        <v/>
      </c>
      <c r="AJ188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80" s="1">
        <f>COUNTIFS(Apresentação!$E$23:$E$29,ESTIMATIVA[[#This Row],[CD_UPNIVEL1]])</f>
        <v>0</v>
      </c>
    </row>
    <row r="1881" spans="1:37" x14ac:dyDescent="0.3">
      <c r="A1881">
        <v>20716</v>
      </c>
      <c r="B1881" t="s">
        <v>98</v>
      </c>
      <c r="C1881">
        <v>13</v>
      </c>
      <c r="D1881">
        <v>3</v>
      </c>
      <c r="E1881" t="s">
        <v>263</v>
      </c>
      <c r="F1881" s="85" t="s">
        <v>331</v>
      </c>
      <c r="G1881"/>
      <c r="H1881" t="s">
        <v>294</v>
      </c>
      <c r="I1881" t="s">
        <v>228</v>
      </c>
      <c r="J1881" t="s">
        <v>178</v>
      </c>
      <c r="K1881" s="1">
        <v>6.32</v>
      </c>
      <c r="L1881" s="1">
        <v>6.32</v>
      </c>
      <c r="M1881" s="1">
        <v>6.32</v>
      </c>
      <c r="N1881" s="1">
        <v>6.32</v>
      </c>
      <c r="O1881" s="1">
        <v>474</v>
      </c>
      <c r="P1881" s="1">
        <v>474</v>
      </c>
      <c r="Q1881" s="1">
        <v>474</v>
      </c>
      <c r="R1881" s="1">
        <v>531.53</v>
      </c>
      <c r="S1881" t="s">
        <v>280</v>
      </c>
      <c r="T1881" s="13">
        <v>45956</v>
      </c>
      <c r="U1881" s="1" t="str">
        <f>IF(ESTIMATIVA[[#This Row],[QT_AREA_REAL]]&gt;0,"1- Colhido","2- à Colher")</f>
        <v>1- Colhido</v>
      </c>
      <c r="V1881" s="1" t="str">
        <f>IF(ESTIMATIVA[[#This Row],[QT_AREA_REST1]]&gt;0,"Reestimativa 1",IF(ESTIMATIVA[[#This Row],[QT_AREA_REAL]]=0,"Reestimativa 1","Realizado"))</f>
        <v>Reestimativa 1</v>
      </c>
      <c r="W1881" s="1" t="str">
        <f>IF(ESTIMATIVA[[#This Row],[QT_AREA_REST2]]&gt;0,"Reestimativa 2",IF(ESTIMATIVA[[#This Row],[QT_AREA_REAL]]=0,"Reestimativa 2","Realizado"))</f>
        <v>Reestimativa 2</v>
      </c>
      <c r="X1881" s="1">
        <f>ESTIMATIVA[[#This Row],[QT_AREA_EST]]</f>
        <v>6.32</v>
      </c>
      <c r="Y1881" s="1">
        <f>IF(ESTIMATIVA[[#This Row],[QT_AREA_REST1]]&gt;0,ESTIMATIVA[[#This Row],[QT_AREA_REST1]],
  IF(ESTIMATIVA[[#This Row],[QT_AREA_REAL]]&gt;0,ESTIMATIVA[[#This Row],[QT_AREA_REAL]],ESTIMATIVA[[#This Row],[QT_AREA_EST]]))</f>
        <v>6.32</v>
      </c>
      <c r="Z188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6.32</v>
      </c>
      <c r="AA1881" s="1">
        <f>ESTIMATIVA[[#This Row],[QT_CANA_EST]]</f>
        <v>474</v>
      </c>
      <c r="AB1881" s="1">
        <f>IF(ESTIMATIVA[[#This Row],[QT_CANA_REST1]]&gt;0,ESTIMATIVA[[#This Row],[QT_CANA_REST1]],
  IF(ESTIMATIVA[[#This Row],[QT_CANA_REAL]]&gt;0,ESTIMATIVA[[#This Row],[QT_CANA_REAL]],ESTIMATIVA[[#This Row],[QT_CANA_EST]]))</f>
        <v>474</v>
      </c>
      <c r="AC188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474</v>
      </c>
      <c r="AD1881" s="1">
        <f>IF(ESTIMATIVA[[#This Row],[QT_AREA_REAL]]&gt;0,ESTIMATIVA[[#This Row],[QT_CANA_REAL]],ESTIMATIVA[[#This Row],[QT_CANA_EST]])</f>
        <v>531.53</v>
      </c>
      <c r="AE1881" s="1">
        <f>IF(ESTIMATIVA[[#This Row],[QT_AREA_REAL]]&gt;0,ESTIMATIVA[[#This Row],[QT_CANA_REAL]],ESTIMATIVA[[#This Row],[QT_CANA_REST1]])</f>
        <v>531.53</v>
      </c>
      <c r="AF1881" s="1">
        <f>IF(ESTIMATIVA[[#This Row],[QT_AREA_REAL]]&gt;0,ESTIMATIVA[[#This Row],[QT_CANA_REAL]],ESTIMATIVA[[#This Row],[QT_CANA_REST2]])</f>
        <v>531.53</v>
      </c>
      <c r="AG1881" s="1" t="str">
        <f>IF(COUNTIFS(GEADA!A:A,VALUE(ESTIMATIVA[[#This Row],[CD_UPNIVEL1]]&amp;TEXT(ESTIMATIVA[[#This Row],[CD_UPNIVEL3]],"0000")))&gt;0,"S","N")</f>
        <v>N</v>
      </c>
      <c r="AH188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81" s="55" t="str">
        <f>IF(ESTIMATIVA[[#This Row],[TP_CULTIVO]]="Irrigado",_xlfn.MAXIFS(IRRIGADO!J:J,IRRIGADO!C:C,ESTIMATIVA[[#This Row],[CD_UPNIVEL1]],IRRIGADO!E:E,ESTIMATIVA[[#This Row],[CD_UPNIVEL3]]),"")</f>
        <v/>
      </c>
      <c r="AJ188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81" s="1">
        <f>COUNTIFS(Apresentação!$E$23:$E$29,ESTIMATIVA[[#This Row],[CD_UPNIVEL1]])</f>
        <v>0</v>
      </c>
    </row>
    <row r="1882" spans="1:37" x14ac:dyDescent="0.3">
      <c r="A1882">
        <v>20716</v>
      </c>
      <c r="B1882" t="s">
        <v>98</v>
      </c>
      <c r="C1882">
        <v>14</v>
      </c>
      <c r="D1882">
        <v>3</v>
      </c>
      <c r="E1882" t="s">
        <v>263</v>
      </c>
      <c r="F1882" s="85" t="s">
        <v>331</v>
      </c>
      <c r="G1882"/>
      <c r="H1882" t="s">
        <v>294</v>
      </c>
      <c r="I1882" t="s">
        <v>228</v>
      </c>
      <c r="J1882" t="s">
        <v>178</v>
      </c>
      <c r="K1882" s="1">
        <v>29.08</v>
      </c>
      <c r="L1882" s="1">
        <v>29.08</v>
      </c>
      <c r="M1882" s="1">
        <v>29.08</v>
      </c>
      <c r="N1882" s="1">
        <v>29.08</v>
      </c>
      <c r="O1882" s="1">
        <v>2181</v>
      </c>
      <c r="P1882" s="1">
        <v>2181</v>
      </c>
      <c r="Q1882" s="1">
        <v>2181</v>
      </c>
      <c r="R1882" s="1">
        <v>2505.7600000000002</v>
      </c>
      <c r="S1882" t="s">
        <v>280</v>
      </c>
      <c r="T1882" s="13">
        <v>45830</v>
      </c>
      <c r="U1882" s="1" t="str">
        <f>IF(ESTIMATIVA[[#This Row],[QT_AREA_REAL]]&gt;0,"1- Colhido","2- à Colher")</f>
        <v>1- Colhido</v>
      </c>
      <c r="V1882" s="1" t="str">
        <f>IF(ESTIMATIVA[[#This Row],[QT_AREA_REST1]]&gt;0,"Reestimativa 1",IF(ESTIMATIVA[[#This Row],[QT_AREA_REAL]]=0,"Reestimativa 1","Realizado"))</f>
        <v>Reestimativa 1</v>
      </c>
      <c r="W1882" s="1" t="str">
        <f>IF(ESTIMATIVA[[#This Row],[QT_AREA_REST2]]&gt;0,"Reestimativa 2",IF(ESTIMATIVA[[#This Row],[QT_AREA_REAL]]=0,"Reestimativa 2","Realizado"))</f>
        <v>Reestimativa 2</v>
      </c>
      <c r="X1882" s="1">
        <f>ESTIMATIVA[[#This Row],[QT_AREA_EST]]</f>
        <v>29.08</v>
      </c>
      <c r="Y1882" s="1">
        <f>IF(ESTIMATIVA[[#This Row],[QT_AREA_REST1]]&gt;0,ESTIMATIVA[[#This Row],[QT_AREA_REST1]],
  IF(ESTIMATIVA[[#This Row],[QT_AREA_REAL]]&gt;0,ESTIMATIVA[[#This Row],[QT_AREA_REAL]],ESTIMATIVA[[#This Row],[QT_AREA_EST]]))</f>
        <v>29.08</v>
      </c>
      <c r="Z188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29.08</v>
      </c>
      <c r="AA1882" s="1">
        <f>ESTIMATIVA[[#This Row],[QT_CANA_EST]]</f>
        <v>2181</v>
      </c>
      <c r="AB1882" s="1">
        <f>IF(ESTIMATIVA[[#This Row],[QT_CANA_REST1]]&gt;0,ESTIMATIVA[[#This Row],[QT_CANA_REST1]],
  IF(ESTIMATIVA[[#This Row],[QT_CANA_REAL]]&gt;0,ESTIMATIVA[[#This Row],[QT_CANA_REAL]],ESTIMATIVA[[#This Row],[QT_CANA_EST]]))</f>
        <v>2181</v>
      </c>
      <c r="AC188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2181</v>
      </c>
      <c r="AD1882" s="1">
        <f>IF(ESTIMATIVA[[#This Row],[QT_AREA_REAL]]&gt;0,ESTIMATIVA[[#This Row],[QT_CANA_REAL]],ESTIMATIVA[[#This Row],[QT_CANA_EST]])</f>
        <v>2505.7600000000002</v>
      </c>
      <c r="AE1882" s="1">
        <f>IF(ESTIMATIVA[[#This Row],[QT_AREA_REAL]]&gt;0,ESTIMATIVA[[#This Row],[QT_CANA_REAL]],ESTIMATIVA[[#This Row],[QT_CANA_REST1]])</f>
        <v>2505.7600000000002</v>
      </c>
      <c r="AF1882" s="1">
        <f>IF(ESTIMATIVA[[#This Row],[QT_AREA_REAL]]&gt;0,ESTIMATIVA[[#This Row],[QT_CANA_REAL]],ESTIMATIVA[[#This Row],[QT_CANA_REST2]])</f>
        <v>2505.7600000000002</v>
      </c>
      <c r="AG1882" s="1" t="str">
        <f>IF(COUNTIFS(GEADA!A:A,VALUE(ESTIMATIVA[[#This Row],[CD_UPNIVEL1]]&amp;TEXT(ESTIMATIVA[[#This Row],[CD_UPNIVEL3]],"0000")))&gt;0,"S","N")</f>
        <v>N</v>
      </c>
      <c r="AH188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82" s="55" t="str">
        <f>IF(ESTIMATIVA[[#This Row],[TP_CULTIVO]]="Irrigado",_xlfn.MAXIFS(IRRIGADO!J:J,IRRIGADO!C:C,ESTIMATIVA[[#This Row],[CD_UPNIVEL1]],IRRIGADO!E:E,ESTIMATIVA[[#This Row],[CD_UPNIVEL3]]),"")</f>
        <v/>
      </c>
      <c r="AJ188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82" s="1">
        <f>COUNTIFS(Apresentação!$E$23:$E$29,ESTIMATIVA[[#This Row],[CD_UPNIVEL1]])</f>
        <v>0</v>
      </c>
    </row>
    <row r="1883" spans="1:37" x14ac:dyDescent="0.3">
      <c r="A1883">
        <v>20716</v>
      </c>
      <c r="B1883" t="s">
        <v>98</v>
      </c>
      <c r="C1883">
        <v>15</v>
      </c>
      <c r="D1883">
        <v>3</v>
      </c>
      <c r="E1883" t="s">
        <v>263</v>
      </c>
      <c r="F1883" s="85" t="s">
        <v>331</v>
      </c>
      <c r="G1883"/>
      <c r="H1883" t="s">
        <v>294</v>
      </c>
      <c r="I1883" t="s">
        <v>228</v>
      </c>
      <c r="J1883" t="s">
        <v>178</v>
      </c>
      <c r="K1883" s="1">
        <v>46.21</v>
      </c>
      <c r="L1883" s="1">
        <v>0</v>
      </c>
      <c r="M1883" s="1">
        <v>0</v>
      </c>
      <c r="N1883" s="1">
        <v>46.21</v>
      </c>
      <c r="O1883" s="1">
        <v>3511.96</v>
      </c>
      <c r="P1883" s="1">
        <v>0</v>
      </c>
      <c r="Q1883" s="1">
        <v>0</v>
      </c>
      <c r="R1883" s="1">
        <v>3615.81</v>
      </c>
      <c r="S1883" t="s">
        <v>280</v>
      </c>
      <c r="T1883" s="13">
        <v>45823</v>
      </c>
      <c r="U1883" s="1" t="str">
        <f>IF(ESTIMATIVA[[#This Row],[QT_AREA_REAL]]&gt;0,"1- Colhido","2- à Colher")</f>
        <v>1- Colhido</v>
      </c>
      <c r="V1883" s="1" t="str">
        <f>IF(ESTIMATIVA[[#This Row],[QT_AREA_REST1]]&gt;0,"Reestimativa 1",IF(ESTIMATIVA[[#This Row],[QT_AREA_REAL]]=0,"Reestimativa 1","Realizado"))</f>
        <v>Realizado</v>
      </c>
      <c r="W1883" s="1" t="str">
        <f>IF(ESTIMATIVA[[#This Row],[QT_AREA_REST2]]&gt;0,"Reestimativa 2",IF(ESTIMATIVA[[#This Row],[QT_AREA_REAL]]=0,"Reestimativa 2","Realizado"))</f>
        <v>Realizado</v>
      </c>
      <c r="X1883" s="1">
        <f>ESTIMATIVA[[#This Row],[QT_AREA_EST]]</f>
        <v>46.21</v>
      </c>
      <c r="Y1883" s="1">
        <f>IF(ESTIMATIVA[[#This Row],[QT_AREA_REST1]]&gt;0,ESTIMATIVA[[#This Row],[QT_AREA_REST1]],
  IF(ESTIMATIVA[[#This Row],[QT_AREA_REAL]]&gt;0,ESTIMATIVA[[#This Row],[QT_AREA_REAL]],ESTIMATIVA[[#This Row],[QT_AREA_EST]]))</f>
        <v>46.21</v>
      </c>
      <c r="Z188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46.21</v>
      </c>
      <c r="AA1883" s="1">
        <f>ESTIMATIVA[[#This Row],[QT_CANA_EST]]</f>
        <v>3511.96</v>
      </c>
      <c r="AB1883" s="1">
        <f>IF(ESTIMATIVA[[#This Row],[QT_CANA_REST1]]&gt;0,ESTIMATIVA[[#This Row],[QT_CANA_REST1]],
  IF(ESTIMATIVA[[#This Row],[QT_CANA_REAL]]&gt;0,ESTIMATIVA[[#This Row],[QT_CANA_REAL]],ESTIMATIVA[[#This Row],[QT_CANA_EST]]))</f>
        <v>3615.81</v>
      </c>
      <c r="AC188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3615.81</v>
      </c>
      <c r="AD1883" s="1">
        <f>IF(ESTIMATIVA[[#This Row],[QT_AREA_REAL]]&gt;0,ESTIMATIVA[[#This Row],[QT_CANA_REAL]],ESTIMATIVA[[#This Row],[QT_CANA_EST]])</f>
        <v>3615.81</v>
      </c>
      <c r="AE1883" s="1">
        <f>IF(ESTIMATIVA[[#This Row],[QT_AREA_REAL]]&gt;0,ESTIMATIVA[[#This Row],[QT_CANA_REAL]],ESTIMATIVA[[#This Row],[QT_CANA_REST1]])</f>
        <v>3615.81</v>
      </c>
      <c r="AF1883" s="1">
        <f>IF(ESTIMATIVA[[#This Row],[QT_AREA_REAL]]&gt;0,ESTIMATIVA[[#This Row],[QT_CANA_REAL]],ESTIMATIVA[[#This Row],[QT_CANA_REST2]])</f>
        <v>3615.81</v>
      </c>
      <c r="AG1883" s="1" t="str">
        <f>IF(COUNTIFS(GEADA!A:A,VALUE(ESTIMATIVA[[#This Row],[CD_UPNIVEL1]]&amp;TEXT(ESTIMATIVA[[#This Row],[CD_UPNIVEL3]],"0000")))&gt;0,"S","N")</f>
        <v>N</v>
      </c>
      <c r="AH188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83" s="55" t="str">
        <f>IF(ESTIMATIVA[[#This Row],[TP_CULTIVO]]="Irrigado",_xlfn.MAXIFS(IRRIGADO!J:J,IRRIGADO!C:C,ESTIMATIVA[[#This Row],[CD_UPNIVEL1]],IRRIGADO!E:E,ESTIMATIVA[[#This Row],[CD_UPNIVEL3]]),"")</f>
        <v/>
      </c>
      <c r="AJ188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83" s="1">
        <f>COUNTIFS(Apresentação!$E$23:$E$29,ESTIMATIVA[[#This Row],[CD_UPNIVEL1]])</f>
        <v>0</v>
      </c>
    </row>
    <row r="1884" spans="1:37" x14ac:dyDescent="0.3">
      <c r="A1884">
        <v>20716</v>
      </c>
      <c r="B1884" t="s">
        <v>98</v>
      </c>
      <c r="C1884">
        <v>16</v>
      </c>
      <c r="D1884">
        <v>3</v>
      </c>
      <c r="E1884" t="s">
        <v>263</v>
      </c>
      <c r="F1884" s="85" t="s">
        <v>331</v>
      </c>
      <c r="G1884"/>
      <c r="H1884" t="s">
        <v>294</v>
      </c>
      <c r="I1884" t="s">
        <v>228</v>
      </c>
      <c r="J1884" t="s">
        <v>178</v>
      </c>
      <c r="K1884" s="1">
        <v>20.79</v>
      </c>
      <c r="L1884" s="1">
        <v>0</v>
      </c>
      <c r="M1884" s="1">
        <v>0</v>
      </c>
      <c r="N1884" s="1">
        <v>20.79</v>
      </c>
      <c r="O1884" s="1">
        <v>1621.62</v>
      </c>
      <c r="P1884" s="1">
        <v>0</v>
      </c>
      <c r="Q1884" s="1">
        <v>0</v>
      </c>
      <c r="R1884" s="1">
        <v>1669.89</v>
      </c>
      <c r="S1884" t="s">
        <v>280</v>
      </c>
      <c r="T1884" s="13">
        <v>45823</v>
      </c>
      <c r="U1884" s="1" t="str">
        <f>IF(ESTIMATIVA[[#This Row],[QT_AREA_REAL]]&gt;0,"1- Colhido","2- à Colher")</f>
        <v>1- Colhido</v>
      </c>
      <c r="V1884" s="1" t="str">
        <f>IF(ESTIMATIVA[[#This Row],[QT_AREA_REST1]]&gt;0,"Reestimativa 1",IF(ESTIMATIVA[[#This Row],[QT_AREA_REAL]]=0,"Reestimativa 1","Realizado"))</f>
        <v>Realizado</v>
      </c>
      <c r="W1884" s="1" t="str">
        <f>IF(ESTIMATIVA[[#This Row],[QT_AREA_REST2]]&gt;0,"Reestimativa 2",IF(ESTIMATIVA[[#This Row],[QT_AREA_REAL]]=0,"Reestimativa 2","Realizado"))</f>
        <v>Realizado</v>
      </c>
      <c r="X1884" s="1">
        <f>ESTIMATIVA[[#This Row],[QT_AREA_EST]]</f>
        <v>20.79</v>
      </c>
      <c r="Y1884" s="1">
        <f>IF(ESTIMATIVA[[#This Row],[QT_AREA_REST1]]&gt;0,ESTIMATIVA[[#This Row],[QT_AREA_REST1]],
  IF(ESTIMATIVA[[#This Row],[QT_AREA_REAL]]&gt;0,ESTIMATIVA[[#This Row],[QT_AREA_REAL]],ESTIMATIVA[[#This Row],[QT_AREA_EST]]))</f>
        <v>20.79</v>
      </c>
      <c r="Z188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20.79</v>
      </c>
      <c r="AA1884" s="1">
        <f>ESTIMATIVA[[#This Row],[QT_CANA_EST]]</f>
        <v>1621.62</v>
      </c>
      <c r="AB1884" s="1">
        <f>IF(ESTIMATIVA[[#This Row],[QT_CANA_REST1]]&gt;0,ESTIMATIVA[[#This Row],[QT_CANA_REST1]],
  IF(ESTIMATIVA[[#This Row],[QT_CANA_REAL]]&gt;0,ESTIMATIVA[[#This Row],[QT_CANA_REAL]],ESTIMATIVA[[#This Row],[QT_CANA_EST]]))</f>
        <v>1669.89</v>
      </c>
      <c r="AC188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1669.89</v>
      </c>
      <c r="AD1884" s="1">
        <f>IF(ESTIMATIVA[[#This Row],[QT_AREA_REAL]]&gt;0,ESTIMATIVA[[#This Row],[QT_CANA_REAL]],ESTIMATIVA[[#This Row],[QT_CANA_EST]])</f>
        <v>1669.89</v>
      </c>
      <c r="AE1884" s="1">
        <f>IF(ESTIMATIVA[[#This Row],[QT_AREA_REAL]]&gt;0,ESTIMATIVA[[#This Row],[QT_CANA_REAL]],ESTIMATIVA[[#This Row],[QT_CANA_REST1]])</f>
        <v>1669.89</v>
      </c>
      <c r="AF1884" s="1">
        <f>IF(ESTIMATIVA[[#This Row],[QT_AREA_REAL]]&gt;0,ESTIMATIVA[[#This Row],[QT_CANA_REAL]],ESTIMATIVA[[#This Row],[QT_CANA_REST2]])</f>
        <v>1669.89</v>
      </c>
      <c r="AG1884" s="1" t="str">
        <f>IF(COUNTIFS(GEADA!A:A,VALUE(ESTIMATIVA[[#This Row],[CD_UPNIVEL1]]&amp;TEXT(ESTIMATIVA[[#This Row],[CD_UPNIVEL3]],"0000")))&gt;0,"S","N")</f>
        <v>N</v>
      </c>
      <c r="AH188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84" s="55" t="str">
        <f>IF(ESTIMATIVA[[#This Row],[TP_CULTIVO]]="Irrigado",_xlfn.MAXIFS(IRRIGADO!J:J,IRRIGADO!C:C,ESTIMATIVA[[#This Row],[CD_UPNIVEL1]],IRRIGADO!E:E,ESTIMATIVA[[#This Row],[CD_UPNIVEL3]]),"")</f>
        <v/>
      </c>
      <c r="AJ188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84" s="1">
        <f>COUNTIFS(Apresentação!$E$23:$E$29,ESTIMATIVA[[#This Row],[CD_UPNIVEL1]])</f>
        <v>0</v>
      </c>
    </row>
    <row r="1885" spans="1:37" x14ac:dyDescent="0.3">
      <c r="A1885">
        <v>20716</v>
      </c>
      <c r="B1885" t="s">
        <v>98</v>
      </c>
      <c r="C1885">
        <v>17</v>
      </c>
      <c r="D1885">
        <v>3</v>
      </c>
      <c r="E1885" t="s">
        <v>263</v>
      </c>
      <c r="F1885" s="85" t="s">
        <v>331</v>
      </c>
      <c r="G1885"/>
      <c r="H1885" t="s">
        <v>294</v>
      </c>
      <c r="I1885" t="s">
        <v>225</v>
      </c>
      <c r="J1885" t="s">
        <v>178</v>
      </c>
      <c r="K1885" s="1">
        <v>18.18</v>
      </c>
      <c r="L1885" s="1">
        <v>0</v>
      </c>
      <c r="M1885" s="1">
        <v>0</v>
      </c>
      <c r="N1885" s="1">
        <v>18.18</v>
      </c>
      <c r="O1885" s="1">
        <v>1454.4</v>
      </c>
      <c r="P1885" s="1">
        <v>0</v>
      </c>
      <c r="Q1885" s="1">
        <v>0</v>
      </c>
      <c r="R1885" s="1">
        <v>1497.22</v>
      </c>
      <c r="S1885" t="s">
        <v>280</v>
      </c>
      <c r="T1885" s="13">
        <v>45823</v>
      </c>
      <c r="U1885" s="1" t="str">
        <f>IF(ESTIMATIVA[[#This Row],[QT_AREA_REAL]]&gt;0,"1- Colhido","2- à Colher")</f>
        <v>1- Colhido</v>
      </c>
      <c r="V1885" s="1" t="str">
        <f>IF(ESTIMATIVA[[#This Row],[QT_AREA_REST1]]&gt;0,"Reestimativa 1",IF(ESTIMATIVA[[#This Row],[QT_AREA_REAL]]=0,"Reestimativa 1","Realizado"))</f>
        <v>Realizado</v>
      </c>
      <c r="W1885" s="1" t="str">
        <f>IF(ESTIMATIVA[[#This Row],[QT_AREA_REST2]]&gt;0,"Reestimativa 2",IF(ESTIMATIVA[[#This Row],[QT_AREA_REAL]]=0,"Reestimativa 2","Realizado"))</f>
        <v>Realizado</v>
      </c>
      <c r="X1885" s="1">
        <f>ESTIMATIVA[[#This Row],[QT_AREA_EST]]</f>
        <v>18.18</v>
      </c>
      <c r="Y1885" s="1">
        <f>IF(ESTIMATIVA[[#This Row],[QT_AREA_REST1]]&gt;0,ESTIMATIVA[[#This Row],[QT_AREA_REST1]],
  IF(ESTIMATIVA[[#This Row],[QT_AREA_REAL]]&gt;0,ESTIMATIVA[[#This Row],[QT_AREA_REAL]],ESTIMATIVA[[#This Row],[QT_AREA_EST]]))</f>
        <v>18.18</v>
      </c>
      <c r="Z188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18.18</v>
      </c>
      <c r="AA1885" s="1">
        <f>ESTIMATIVA[[#This Row],[QT_CANA_EST]]</f>
        <v>1454.4</v>
      </c>
      <c r="AB1885" s="1">
        <f>IF(ESTIMATIVA[[#This Row],[QT_CANA_REST1]]&gt;0,ESTIMATIVA[[#This Row],[QT_CANA_REST1]],
  IF(ESTIMATIVA[[#This Row],[QT_CANA_REAL]]&gt;0,ESTIMATIVA[[#This Row],[QT_CANA_REAL]],ESTIMATIVA[[#This Row],[QT_CANA_EST]]))</f>
        <v>1497.22</v>
      </c>
      <c r="AC188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1497.22</v>
      </c>
      <c r="AD1885" s="1">
        <f>IF(ESTIMATIVA[[#This Row],[QT_AREA_REAL]]&gt;0,ESTIMATIVA[[#This Row],[QT_CANA_REAL]],ESTIMATIVA[[#This Row],[QT_CANA_EST]])</f>
        <v>1497.22</v>
      </c>
      <c r="AE1885" s="1">
        <f>IF(ESTIMATIVA[[#This Row],[QT_AREA_REAL]]&gt;0,ESTIMATIVA[[#This Row],[QT_CANA_REAL]],ESTIMATIVA[[#This Row],[QT_CANA_REST1]])</f>
        <v>1497.22</v>
      </c>
      <c r="AF1885" s="1">
        <f>IF(ESTIMATIVA[[#This Row],[QT_AREA_REAL]]&gt;0,ESTIMATIVA[[#This Row],[QT_CANA_REAL]],ESTIMATIVA[[#This Row],[QT_CANA_REST2]])</f>
        <v>1497.22</v>
      </c>
      <c r="AG1885" s="1" t="str">
        <f>IF(COUNTIFS(GEADA!A:A,VALUE(ESTIMATIVA[[#This Row],[CD_UPNIVEL1]]&amp;TEXT(ESTIMATIVA[[#This Row],[CD_UPNIVEL3]],"0000")))&gt;0,"S","N")</f>
        <v>N</v>
      </c>
      <c r="AH188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85" s="55" t="str">
        <f>IF(ESTIMATIVA[[#This Row],[TP_CULTIVO]]="Irrigado",_xlfn.MAXIFS(IRRIGADO!J:J,IRRIGADO!C:C,ESTIMATIVA[[#This Row],[CD_UPNIVEL1]],IRRIGADO!E:E,ESTIMATIVA[[#This Row],[CD_UPNIVEL3]]),"")</f>
        <v/>
      </c>
      <c r="AJ188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85" s="1">
        <f>COUNTIFS(Apresentação!$E$23:$E$29,ESTIMATIVA[[#This Row],[CD_UPNIVEL1]])</f>
        <v>0</v>
      </c>
    </row>
    <row r="1886" spans="1:37" x14ac:dyDescent="0.3">
      <c r="A1886">
        <v>20716</v>
      </c>
      <c r="B1886" t="s">
        <v>98</v>
      </c>
      <c r="C1886">
        <v>18</v>
      </c>
      <c r="D1886">
        <v>2</v>
      </c>
      <c r="E1886" t="s">
        <v>266</v>
      </c>
      <c r="F1886" s="85" t="s">
        <v>331</v>
      </c>
      <c r="G1886"/>
      <c r="H1886" t="s">
        <v>294</v>
      </c>
      <c r="I1886" t="s">
        <v>207</v>
      </c>
      <c r="J1886" t="s">
        <v>178</v>
      </c>
      <c r="K1886" s="1">
        <v>11.22</v>
      </c>
      <c r="L1886" s="1">
        <v>11.22</v>
      </c>
      <c r="M1886" s="1">
        <v>11.22</v>
      </c>
      <c r="N1886" s="1">
        <v>11.22</v>
      </c>
      <c r="O1886" s="1">
        <v>785.4</v>
      </c>
      <c r="P1886" s="1">
        <v>785.4</v>
      </c>
      <c r="Q1886" s="1">
        <v>785.4</v>
      </c>
      <c r="R1886" s="1">
        <v>788.12</v>
      </c>
      <c r="S1886" t="s">
        <v>280</v>
      </c>
      <c r="T1886" s="13">
        <v>45963</v>
      </c>
      <c r="U1886" s="1" t="str">
        <f>IF(ESTIMATIVA[[#This Row],[QT_AREA_REAL]]&gt;0,"1- Colhido","2- à Colher")</f>
        <v>1- Colhido</v>
      </c>
      <c r="V1886" s="1" t="str">
        <f>IF(ESTIMATIVA[[#This Row],[QT_AREA_REST1]]&gt;0,"Reestimativa 1",IF(ESTIMATIVA[[#This Row],[QT_AREA_REAL]]=0,"Reestimativa 1","Realizado"))</f>
        <v>Reestimativa 1</v>
      </c>
      <c r="W1886" s="1" t="str">
        <f>IF(ESTIMATIVA[[#This Row],[QT_AREA_REST2]]&gt;0,"Reestimativa 2",IF(ESTIMATIVA[[#This Row],[QT_AREA_REAL]]=0,"Reestimativa 2","Realizado"))</f>
        <v>Reestimativa 2</v>
      </c>
      <c r="X1886" s="1">
        <f>ESTIMATIVA[[#This Row],[QT_AREA_EST]]</f>
        <v>11.22</v>
      </c>
      <c r="Y1886" s="1">
        <f>IF(ESTIMATIVA[[#This Row],[QT_AREA_REST1]]&gt;0,ESTIMATIVA[[#This Row],[QT_AREA_REST1]],
  IF(ESTIMATIVA[[#This Row],[QT_AREA_REAL]]&gt;0,ESTIMATIVA[[#This Row],[QT_AREA_REAL]],ESTIMATIVA[[#This Row],[QT_AREA_EST]]))</f>
        <v>11.22</v>
      </c>
      <c r="Z188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11.22</v>
      </c>
      <c r="AA1886" s="1">
        <f>ESTIMATIVA[[#This Row],[QT_CANA_EST]]</f>
        <v>785.4</v>
      </c>
      <c r="AB1886" s="1">
        <f>IF(ESTIMATIVA[[#This Row],[QT_CANA_REST1]]&gt;0,ESTIMATIVA[[#This Row],[QT_CANA_REST1]],
  IF(ESTIMATIVA[[#This Row],[QT_CANA_REAL]]&gt;0,ESTIMATIVA[[#This Row],[QT_CANA_REAL]],ESTIMATIVA[[#This Row],[QT_CANA_EST]]))</f>
        <v>785.4</v>
      </c>
      <c r="AC188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785.4</v>
      </c>
      <c r="AD1886" s="1">
        <f>IF(ESTIMATIVA[[#This Row],[QT_AREA_REAL]]&gt;0,ESTIMATIVA[[#This Row],[QT_CANA_REAL]],ESTIMATIVA[[#This Row],[QT_CANA_EST]])</f>
        <v>788.12</v>
      </c>
      <c r="AE1886" s="1">
        <f>IF(ESTIMATIVA[[#This Row],[QT_AREA_REAL]]&gt;0,ESTIMATIVA[[#This Row],[QT_CANA_REAL]],ESTIMATIVA[[#This Row],[QT_CANA_REST1]])</f>
        <v>788.12</v>
      </c>
      <c r="AF1886" s="1">
        <f>IF(ESTIMATIVA[[#This Row],[QT_AREA_REAL]]&gt;0,ESTIMATIVA[[#This Row],[QT_CANA_REAL]],ESTIMATIVA[[#This Row],[QT_CANA_REST2]])</f>
        <v>788.12</v>
      </c>
      <c r="AG1886" s="1" t="str">
        <f>IF(COUNTIFS(GEADA!A:A,VALUE(ESTIMATIVA[[#This Row],[CD_UPNIVEL1]]&amp;TEXT(ESTIMATIVA[[#This Row],[CD_UPNIVEL3]],"0000")))&gt;0,"S","N")</f>
        <v>N</v>
      </c>
      <c r="AH188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86" s="55" t="str">
        <f>IF(ESTIMATIVA[[#This Row],[TP_CULTIVO]]="Irrigado",_xlfn.MAXIFS(IRRIGADO!J:J,IRRIGADO!C:C,ESTIMATIVA[[#This Row],[CD_UPNIVEL1]],IRRIGADO!E:E,ESTIMATIVA[[#This Row],[CD_UPNIVEL3]]),"")</f>
        <v/>
      </c>
      <c r="AJ188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86" s="1">
        <f>COUNTIFS(Apresentação!$E$23:$E$29,ESTIMATIVA[[#This Row],[CD_UPNIVEL1]])</f>
        <v>0</v>
      </c>
    </row>
    <row r="1887" spans="1:37" x14ac:dyDescent="0.3">
      <c r="A1887">
        <v>20716</v>
      </c>
      <c r="B1887" t="s">
        <v>98</v>
      </c>
      <c r="C1887">
        <v>19</v>
      </c>
      <c r="D1887">
        <v>4</v>
      </c>
      <c r="E1887" t="s">
        <v>265</v>
      </c>
      <c r="F1887" s="85" t="s">
        <v>331</v>
      </c>
      <c r="G1887"/>
      <c r="H1887" t="s">
        <v>294</v>
      </c>
      <c r="I1887" t="s">
        <v>207</v>
      </c>
      <c r="J1887" t="s">
        <v>178</v>
      </c>
      <c r="K1887" s="1">
        <v>11.46</v>
      </c>
      <c r="L1887" s="1">
        <v>11.46</v>
      </c>
      <c r="M1887" s="1">
        <v>11.46</v>
      </c>
      <c r="N1887" s="1">
        <v>11.46</v>
      </c>
      <c r="O1887" s="1">
        <v>618.84</v>
      </c>
      <c r="P1887" s="1">
        <v>618.84</v>
      </c>
      <c r="Q1887" s="1">
        <v>618.84</v>
      </c>
      <c r="R1887" s="1">
        <v>569.34</v>
      </c>
      <c r="S1887" t="s">
        <v>280</v>
      </c>
      <c r="T1887" s="13">
        <v>45984</v>
      </c>
      <c r="U1887" s="1" t="str">
        <f>IF(ESTIMATIVA[[#This Row],[QT_AREA_REAL]]&gt;0,"1- Colhido","2- à Colher")</f>
        <v>1- Colhido</v>
      </c>
      <c r="V1887" s="1" t="str">
        <f>IF(ESTIMATIVA[[#This Row],[QT_AREA_REST1]]&gt;0,"Reestimativa 1",IF(ESTIMATIVA[[#This Row],[QT_AREA_REAL]]=0,"Reestimativa 1","Realizado"))</f>
        <v>Reestimativa 1</v>
      </c>
      <c r="W1887" s="1" t="str">
        <f>IF(ESTIMATIVA[[#This Row],[QT_AREA_REST2]]&gt;0,"Reestimativa 2",IF(ESTIMATIVA[[#This Row],[QT_AREA_REAL]]=0,"Reestimativa 2","Realizado"))</f>
        <v>Reestimativa 2</v>
      </c>
      <c r="X1887" s="1">
        <f>ESTIMATIVA[[#This Row],[QT_AREA_EST]]</f>
        <v>11.46</v>
      </c>
      <c r="Y1887" s="1">
        <f>IF(ESTIMATIVA[[#This Row],[QT_AREA_REST1]]&gt;0,ESTIMATIVA[[#This Row],[QT_AREA_REST1]],
  IF(ESTIMATIVA[[#This Row],[QT_AREA_REAL]]&gt;0,ESTIMATIVA[[#This Row],[QT_AREA_REAL]],ESTIMATIVA[[#This Row],[QT_AREA_EST]]))</f>
        <v>11.46</v>
      </c>
      <c r="Z188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11.46</v>
      </c>
      <c r="AA1887" s="1">
        <f>ESTIMATIVA[[#This Row],[QT_CANA_EST]]</f>
        <v>618.84</v>
      </c>
      <c r="AB1887" s="1">
        <f>IF(ESTIMATIVA[[#This Row],[QT_CANA_REST1]]&gt;0,ESTIMATIVA[[#This Row],[QT_CANA_REST1]],
  IF(ESTIMATIVA[[#This Row],[QT_CANA_REAL]]&gt;0,ESTIMATIVA[[#This Row],[QT_CANA_REAL]],ESTIMATIVA[[#This Row],[QT_CANA_EST]]))</f>
        <v>618.84</v>
      </c>
      <c r="AC188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618.84</v>
      </c>
      <c r="AD1887" s="1">
        <f>IF(ESTIMATIVA[[#This Row],[QT_AREA_REAL]]&gt;0,ESTIMATIVA[[#This Row],[QT_CANA_REAL]],ESTIMATIVA[[#This Row],[QT_CANA_EST]])</f>
        <v>569.34</v>
      </c>
      <c r="AE1887" s="1">
        <f>IF(ESTIMATIVA[[#This Row],[QT_AREA_REAL]]&gt;0,ESTIMATIVA[[#This Row],[QT_CANA_REAL]],ESTIMATIVA[[#This Row],[QT_CANA_REST1]])</f>
        <v>569.34</v>
      </c>
      <c r="AF1887" s="1">
        <f>IF(ESTIMATIVA[[#This Row],[QT_AREA_REAL]]&gt;0,ESTIMATIVA[[#This Row],[QT_CANA_REAL]],ESTIMATIVA[[#This Row],[QT_CANA_REST2]])</f>
        <v>569.34</v>
      </c>
      <c r="AG1887" s="1" t="str">
        <f>IF(COUNTIFS(GEADA!A:A,VALUE(ESTIMATIVA[[#This Row],[CD_UPNIVEL1]]&amp;TEXT(ESTIMATIVA[[#This Row],[CD_UPNIVEL3]],"0000")))&gt;0,"S","N")</f>
        <v>N</v>
      </c>
      <c r="AH188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87" s="55" t="str">
        <f>IF(ESTIMATIVA[[#This Row],[TP_CULTIVO]]="Irrigado",_xlfn.MAXIFS(IRRIGADO!J:J,IRRIGADO!C:C,ESTIMATIVA[[#This Row],[CD_UPNIVEL1]],IRRIGADO!E:E,ESTIMATIVA[[#This Row],[CD_UPNIVEL3]]),"")</f>
        <v/>
      </c>
      <c r="AJ188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87" s="1">
        <f>COUNTIFS(Apresentação!$E$23:$E$29,ESTIMATIVA[[#This Row],[CD_UPNIVEL1]])</f>
        <v>0</v>
      </c>
    </row>
    <row r="1888" spans="1:37" x14ac:dyDescent="0.3">
      <c r="A1888">
        <v>20716</v>
      </c>
      <c r="B1888" t="s">
        <v>98</v>
      </c>
      <c r="C1888">
        <v>20</v>
      </c>
      <c r="D1888">
        <v>4</v>
      </c>
      <c r="E1888" t="s">
        <v>265</v>
      </c>
      <c r="F1888" s="85" t="s">
        <v>331</v>
      </c>
      <c r="G1888"/>
      <c r="H1888" t="s">
        <v>294</v>
      </c>
      <c r="I1888" t="s">
        <v>207</v>
      </c>
      <c r="J1888" t="s">
        <v>178</v>
      </c>
      <c r="K1888" s="1">
        <v>19.03</v>
      </c>
      <c r="L1888" s="1">
        <v>19.03</v>
      </c>
      <c r="M1888" s="1">
        <v>19.03</v>
      </c>
      <c r="N1888" s="1">
        <v>19.03</v>
      </c>
      <c r="O1888" s="1">
        <v>1027.6199999999999</v>
      </c>
      <c r="P1888" s="1">
        <v>1027.6199999999999</v>
      </c>
      <c r="Q1888" s="1">
        <v>1027.6199999999999</v>
      </c>
      <c r="R1888" s="1">
        <v>945.6</v>
      </c>
      <c r="S1888" t="s">
        <v>280</v>
      </c>
      <c r="T1888" s="13">
        <v>45984</v>
      </c>
      <c r="U1888" s="1" t="str">
        <f>IF(ESTIMATIVA[[#This Row],[QT_AREA_REAL]]&gt;0,"1- Colhido","2- à Colher")</f>
        <v>1- Colhido</v>
      </c>
      <c r="V1888" s="1" t="str">
        <f>IF(ESTIMATIVA[[#This Row],[QT_AREA_REST1]]&gt;0,"Reestimativa 1",IF(ESTIMATIVA[[#This Row],[QT_AREA_REAL]]=0,"Reestimativa 1","Realizado"))</f>
        <v>Reestimativa 1</v>
      </c>
      <c r="W1888" s="1" t="str">
        <f>IF(ESTIMATIVA[[#This Row],[QT_AREA_REST2]]&gt;0,"Reestimativa 2",IF(ESTIMATIVA[[#This Row],[QT_AREA_REAL]]=0,"Reestimativa 2","Realizado"))</f>
        <v>Reestimativa 2</v>
      </c>
      <c r="X1888" s="1">
        <f>ESTIMATIVA[[#This Row],[QT_AREA_EST]]</f>
        <v>19.03</v>
      </c>
      <c r="Y1888" s="1">
        <f>IF(ESTIMATIVA[[#This Row],[QT_AREA_REST1]]&gt;0,ESTIMATIVA[[#This Row],[QT_AREA_REST1]],
  IF(ESTIMATIVA[[#This Row],[QT_AREA_REAL]]&gt;0,ESTIMATIVA[[#This Row],[QT_AREA_REAL]],ESTIMATIVA[[#This Row],[QT_AREA_EST]]))</f>
        <v>19.03</v>
      </c>
      <c r="Z188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19.03</v>
      </c>
      <c r="AA1888" s="1">
        <f>ESTIMATIVA[[#This Row],[QT_CANA_EST]]</f>
        <v>1027.6199999999999</v>
      </c>
      <c r="AB1888" s="1">
        <f>IF(ESTIMATIVA[[#This Row],[QT_CANA_REST1]]&gt;0,ESTIMATIVA[[#This Row],[QT_CANA_REST1]],
  IF(ESTIMATIVA[[#This Row],[QT_CANA_REAL]]&gt;0,ESTIMATIVA[[#This Row],[QT_CANA_REAL]],ESTIMATIVA[[#This Row],[QT_CANA_EST]]))</f>
        <v>1027.6199999999999</v>
      </c>
      <c r="AC188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1027.6199999999999</v>
      </c>
      <c r="AD1888" s="1">
        <f>IF(ESTIMATIVA[[#This Row],[QT_AREA_REAL]]&gt;0,ESTIMATIVA[[#This Row],[QT_CANA_REAL]],ESTIMATIVA[[#This Row],[QT_CANA_EST]])</f>
        <v>945.6</v>
      </c>
      <c r="AE1888" s="1">
        <f>IF(ESTIMATIVA[[#This Row],[QT_AREA_REAL]]&gt;0,ESTIMATIVA[[#This Row],[QT_CANA_REAL]],ESTIMATIVA[[#This Row],[QT_CANA_REST1]])</f>
        <v>945.6</v>
      </c>
      <c r="AF1888" s="1">
        <f>IF(ESTIMATIVA[[#This Row],[QT_AREA_REAL]]&gt;0,ESTIMATIVA[[#This Row],[QT_CANA_REAL]],ESTIMATIVA[[#This Row],[QT_CANA_REST2]])</f>
        <v>945.6</v>
      </c>
      <c r="AG1888" s="1" t="str">
        <f>IF(COUNTIFS(GEADA!A:A,VALUE(ESTIMATIVA[[#This Row],[CD_UPNIVEL1]]&amp;TEXT(ESTIMATIVA[[#This Row],[CD_UPNIVEL3]],"0000")))&gt;0,"S","N")</f>
        <v>N</v>
      </c>
      <c r="AH188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88" s="55" t="str">
        <f>IF(ESTIMATIVA[[#This Row],[TP_CULTIVO]]="Irrigado",_xlfn.MAXIFS(IRRIGADO!J:J,IRRIGADO!C:C,ESTIMATIVA[[#This Row],[CD_UPNIVEL1]],IRRIGADO!E:E,ESTIMATIVA[[#This Row],[CD_UPNIVEL3]]),"")</f>
        <v/>
      </c>
      <c r="AJ188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88" s="1">
        <f>COUNTIFS(Apresentação!$E$23:$E$29,ESTIMATIVA[[#This Row],[CD_UPNIVEL1]])</f>
        <v>0</v>
      </c>
    </row>
    <row r="1889" spans="1:37" x14ac:dyDescent="0.3">
      <c r="A1889">
        <v>20716</v>
      </c>
      <c r="B1889" t="s">
        <v>98</v>
      </c>
      <c r="C1889">
        <v>21</v>
      </c>
      <c r="D1889">
        <v>4</v>
      </c>
      <c r="E1889" t="s">
        <v>265</v>
      </c>
      <c r="F1889" s="85" t="s">
        <v>331</v>
      </c>
      <c r="G1889"/>
      <c r="H1889" t="s">
        <v>294</v>
      </c>
      <c r="I1889" t="s">
        <v>207</v>
      </c>
      <c r="J1889" t="s">
        <v>178</v>
      </c>
      <c r="K1889" s="1">
        <v>38.42</v>
      </c>
      <c r="L1889" s="1">
        <v>38.42</v>
      </c>
      <c r="M1889" s="1">
        <v>38.42</v>
      </c>
      <c r="N1889" s="1">
        <v>38.42</v>
      </c>
      <c r="O1889" s="1">
        <v>2074.6799999999998</v>
      </c>
      <c r="P1889" s="1">
        <v>2074.6799999999998</v>
      </c>
      <c r="Q1889" s="1">
        <v>2074.6799999999998</v>
      </c>
      <c r="R1889" s="1">
        <v>2585.12</v>
      </c>
      <c r="S1889" t="s">
        <v>280</v>
      </c>
      <c r="T1889" s="13">
        <v>45998</v>
      </c>
      <c r="U1889" s="1" t="str">
        <f>IF(ESTIMATIVA[[#This Row],[QT_AREA_REAL]]&gt;0,"1- Colhido","2- à Colher")</f>
        <v>1- Colhido</v>
      </c>
      <c r="V1889" s="1" t="str">
        <f>IF(ESTIMATIVA[[#This Row],[QT_AREA_REST1]]&gt;0,"Reestimativa 1",IF(ESTIMATIVA[[#This Row],[QT_AREA_REAL]]=0,"Reestimativa 1","Realizado"))</f>
        <v>Reestimativa 1</v>
      </c>
      <c r="W1889" s="1" t="str">
        <f>IF(ESTIMATIVA[[#This Row],[QT_AREA_REST2]]&gt;0,"Reestimativa 2",IF(ESTIMATIVA[[#This Row],[QT_AREA_REAL]]=0,"Reestimativa 2","Realizado"))</f>
        <v>Reestimativa 2</v>
      </c>
      <c r="X1889" s="1">
        <f>ESTIMATIVA[[#This Row],[QT_AREA_EST]]</f>
        <v>38.42</v>
      </c>
      <c r="Y1889" s="1">
        <f>IF(ESTIMATIVA[[#This Row],[QT_AREA_REST1]]&gt;0,ESTIMATIVA[[#This Row],[QT_AREA_REST1]],
  IF(ESTIMATIVA[[#This Row],[QT_AREA_REAL]]&gt;0,ESTIMATIVA[[#This Row],[QT_AREA_REAL]],ESTIMATIVA[[#This Row],[QT_AREA_EST]]))</f>
        <v>38.42</v>
      </c>
      <c r="Z188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38.42</v>
      </c>
      <c r="AA1889" s="1">
        <f>ESTIMATIVA[[#This Row],[QT_CANA_EST]]</f>
        <v>2074.6799999999998</v>
      </c>
      <c r="AB1889" s="1">
        <f>IF(ESTIMATIVA[[#This Row],[QT_CANA_REST1]]&gt;0,ESTIMATIVA[[#This Row],[QT_CANA_REST1]],
  IF(ESTIMATIVA[[#This Row],[QT_CANA_REAL]]&gt;0,ESTIMATIVA[[#This Row],[QT_CANA_REAL]],ESTIMATIVA[[#This Row],[QT_CANA_EST]]))</f>
        <v>2074.6799999999998</v>
      </c>
      <c r="AC188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2074.6799999999998</v>
      </c>
      <c r="AD1889" s="1">
        <f>IF(ESTIMATIVA[[#This Row],[QT_AREA_REAL]]&gt;0,ESTIMATIVA[[#This Row],[QT_CANA_REAL]],ESTIMATIVA[[#This Row],[QT_CANA_EST]])</f>
        <v>2585.12</v>
      </c>
      <c r="AE1889" s="1">
        <f>IF(ESTIMATIVA[[#This Row],[QT_AREA_REAL]]&gt;0,ESTIMATIVA[[#This Row],[QT_CANA_REAL]],ESTIMATIVA[[#This Row],[QT_CANA_REST1]])</f>
        <v>2585.12</v>
      </c>
      <c r="AF1889" s="1">
        <f>IF(ESTIMATIVA[[#This Row],[QT_AREA_REAL]]&gt;0,ESTIMATIVA[[#This Row],[QT_CANA_REAL]],ESTIMATIVA[[#This Row],[QT_CANA_REST2]])</f>
        <v>2585.12</v>
      </c>
      <c r="AG1889" s="1" t="str">
        <f>IF(COUNTIFS(GEADA!A:A,VALUE(ESTIMATIVA[[#This Row],[CD_UPNIVEL1]]&amp;TEXT(ESTIMATIVA[[#This Row],[CD_UPNIVEL3]],"0000")))&gt;0,"S","N")</f>
        <v>N</v>
      </c>
      <c r="AH188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89" s="55" t="str">
        <f>IF(ESTIMATIVA[[#This Row],[TP_CULTIVO]]="Irrigado",_xlfn.MAXIFS(IRRIGADO!J:J,IRRIGADO!C:C,ESTIMATIVA[[#This Row],[CD_UPNIVEL1]],IRRIGADO!E:E,ESTIMATIVA[[#This Row],[CD_UPNIVEL3]]),"")</f>
        <v/>
      </c>
      <c r="AJ188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89" s="1">
        <f>COUNTIFS(Apresentação!$E$23:$E$29,ESTIMATIVA[[#This Row],[CD_UPNIVEL1]])</f>
        <v>0</v>
      </c>
    </row>
    <row r="1890" spans="1:37" x14ac:dyDescent="0.3">
      <c r="A1890">
        <v>20716</v>
      </c>
      <c r="B1890" t="s">
        <v>98</v>
      </c>
      <c r="C1890">
        <v>22</v>
      </c>
      <c r="D1890">
        <v>4</v>
      </c>
      <c r="E1890" t="s">
        <v>265</v>
      </c>
      <c r="F1890" s="85" t="s">
        <v>331</v>
      </c>
      <c r="G1890"/>
      <c r="H1890" t="s">
        <v>294</v>
      </c>
      <c r="I1890" t="s">
        <v>207</v>
      </c>
      <c r="J1890" t="s">
        <v>178</v>
      </c>
      <c r="K1890" s="1">
        <v>43.46</v>
      </c>
      <c r="L1890" s="1">
        <v>43.46</v>
      </c>
      <c r="M1890" s="1">
        <v>43.46</v>
      </c>
      <c r="N1890" s="1">
        <v>43.46</v>
      </c>
      <c r="O1890" s="1">
        <v>2346.84</v>
      </c>
      <c r="P1890" s="1">
        <v>2086.08</v>
      </c>
      <c r="Q1890" s="1">
        <v>2129.54</v>
      </c>
      <c r="R1890" s="1">
        <v>2653.81</v>
      </c>
      <c r="S1890" t="s">
        <v>280</v>
      </c>
      <c r="T1890" s="13">
        <v>45998</v>
      </c>
      <c r="U1890" s="1" t="str">
        <f>IF(ESTIMATIVA[[#This Row],[QT_AREA_REAL]]&gt;0,"1- Colhido","2- à Colher")</f>
        <v>1- Colhido</v>
      </c>
      <c r="V1890" s="1" t="str">
        <f>IF(ESTIMATIVA[[#This Row],[QT_AREA_REST1]]&gt;0,"Reestimativa 1",IF(ESTIMATIVA[[#This Row],[QT_AREA_REAL]]=0,"Reestimativa 1","Realizado"))</f>
        <v>Reestimativa 1</v>
      </c>
      <c r="W1890" s="1" t="str">
        <f>IF(ESTIMATIVA[[#This Row],[QT_AREA_REST2]]&gt;0,"Reestimativa 2",IF(ESTIMATIVA[[#This Row],[QT_AREA_REAL]]=0,"Reestimativa 2","Realizado"))</f>
        <v>Reestimativa 2</v>
      </c>
      <c r="X1890" s="1">
        <f>ESTIMATIVA[[#This Row],[QT_AREA_EST]]</f>
        <v>43.46</v>
      </c>
      <c r="Y1890" s="1">
        <f>IF(ESTIMATIVA[[#This Row],[QT_AREA_REST1]]&gt;0,ESTIMATIVA[[#This Row],[QT_AREA_REST1]],
  IF(ESTIMATIVA[[#This Row],[QT_AREA_REAL]]&gt;0,ESTIMATIVA[[#This Row],[QT_AREA_REAL]],ESTIMATIVA[[#This Row],[QT_AREA_EST]]))</f>
        <v>43.46</v>
      </c>
      <c r="Z189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43.46</v>
      </c>
      <c r="AA1890" s="1">
        <f>ESTIMATIVA[[#This Row],[QT_CANA_EST]]</f>
        <v>2346.84</v>
      </c>
      <c r="AB1890" s="1">
        <f>IF(ESTIMATIVA[[#This Row],[QT_CANA_REST1]]&gt;0,ESTIMATIVA[[#This Row],[QT_CANA_REST1]],
  IF(ESTIMATIVA[[#This Row],[QT_CANA_REAL]]&gt;0,ESTIMATIVA[[#This Row],[QT_CANA_REAL]],ESTIMATIVA[[#This Row],[QT_CANA_EST]]))</f>
        <v>2086.08</v>
      </c>
      <c r="AC189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2129.54</v>
      </c>
      <c r="AD1890" s="1">
        <f>IF(ESTIMATIVA[[#This Row],[QT_AREA_REAL]]&gt;0,ESTIMATIVA[[#This Row],[QT_CANA_REAL]],ESTIMATIVA[[#This Row],[QT_CANA_EST]])</f>
        <v>2653.81</v>
      </c>
      <c r="AE1890" s="1">
        <f>IF(ESTIMATIVA[[#This Row],[QT_AREA_REAL]]&gt;0,ESTIMATIVA[[#This Row],[QT_CANA_REAL]],ESTIMATIVA[[#This Row],[QT_CANA_REST1]])</f>
        <v>2653.81</v>
      </c>
      <c r="AF1890" s="1">
        <f>IF(ESTIMATIVA[[#This Row],[QT_AREA_REAL]]&gt;0,ESTIMATIVA[[#This Row],[QT_CANA_REAL]],ESTIMATIVA[[#This Row],[QT_CANA_REST2]])</f>
        <v>2653.81</v>
      </c>
      <c r="AG1890" s="1" t="str">
        <f>IF(COUNTIFS(GEADA!A:A,VALUE(ESTIMATIVA[[#This Row],[CD_UPNIVEL1]]&amp;TEXT(ESTIMATIVA[[#This Row],[CD_UPNIVEL3]],"0000")))&gt;0,"S","N")</f>
        <v>N</v>
      </c>
      <c r="AH189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90" s="55" t="str">
        <f>IF(ESTIMATIVA[[#This Row],[TP_CULTIVO]]="Irrigado",_xlfn.MAXIFS(IRRIGADO!J:J,IRRIGADO!C:C,ESTIMATIVA[[#This Row],[CD_UPNIVEL1]],IRRIGADO!E:E,ESTIMATIVA[[#This Row],[CD_UPNIVEL3]]),"")</f>
        <v/>
      </c>
      <c r="AJ189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90" s="1">
        <f>COUNTIFS(Apresentação!$E$23:$E$29,ESTIMATIVA[[#This Row],[CD_UPNIVEL1]])</f>
        <v>0</v>
      </c>
    </row>
    <row r="1891" spans="1:37" x14ac:dyDescent="0.3">
      <c r="A1891">
        <v>20716</v>
      </c>
      <c r="B1891" t="s">
        <v>98</v>
      </c>
      <c r="C1891">
        <v>23</v>
      </c>
      <c r="D1891">
        <v>2</v>
      </c>
      <c r="E1891" t="s">
        <v>266</v>
      </c>
      <c r="F1891" s="85" t="s">
        <v>331</v>
      </c>
      <c r="G1891"/>
      <c r="H1891" t="s">
        <v>294</v>
      </c>
      <c r="I1891" t="s">
        <v>207</v>
      </c>
      <c r="J1891" t="s">
        <v>178</v>
      </c>
      <c r="K1891" s="1">
        <v>47.93</v>
      </c>
      <c r="L1891" s="1">
        <v>47.93</v>
      </c>
      <c r="M1891" s="1">
        <v>47.93</v>
      </c>
      <c r="N1891" s="1">
        <v>47.93</v>
      </c>
      <c r="O1891" s="1">
        <v>3355.1</v>
      </c>
      <c r="P1891" s="1">
        <v>3738.54</v>
      </c>
      <c r="Q1891" s="1">
        <v>3738.54</v>
      </c>
      <c r="R1891" s="1">
        <v>3754.24</v>
      </c>
      <c r="S1891" t="s">
        <v>280</v>
      </c>
      <c r="T1891" s="13">
        <v>45963</v>
      </c>
      <c r="U1891" s="1" t="str">
        <f>IF(ESTIMATIVA[[#This Row],[QT_AREA_REAL]]&gt;0,"1- Colhido","2- à Colher")</f>
        <v>1- Colhido</v>
      </c>
      <c r="V1891" s="1" t="str">
        <f>IF(ESTIMATIVA[[#This Row],[QT_AREA_REST1]]&gt;0,"Reestimativa 1",IF(ESTIMATIVA[[#This Row],[QT_AREA_REAL]]=0,"Reestimativa 1","Realizado"))</f>
        <v>Reestimativa 1</v>
      </c>
      <c r="W1891" s="1" t="str">
        <f>IF(ESTIMATIVA[[#This Row],[QT_AREA_REST2]]&gt;0,"Reestimativa 2",IF(ESTIMATIVA[[#This Row],[QT_AREA_REAL]]=0,"Reestimativa 2","Realizado"))</f>
        <v>Reestimativa 2</v>
      </c>
      <c r="X1891" s="1">
        <f>ESTIMATIVA[[#This Row],[QT_AREA_EST]]</f>
        <v>47.93</v>
      </c>
      <c r="Y1891" s="1">
        <f>IF(ESTIMATIVA[[#This Row],[QT_AREA_REST1]]&gt;0,ESTIMATIVA[[#This Row],[QT_AREA_REST1]],
  IF(ESTIMATIVA[[#This Row],[QT_AREA_REAL]]&gt;0,ESTIMATIVA[[#This Row],[QT_AREA_REAL]],ESTIMATIVA[[#This Row],[QT_AREA_EST]]))</f>
        <v>47.93</v>
      </c>
      <c r="Z189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47.93</v>
      </c>
      <c r="AA1891" s="1">
        <f>ESTIMATIVA[[#This Row],[QT_CANA_EST]]</f>
        <v>3355.1</v>
      </c>
      <c r="AB1891" s="1">
        <f>IF(ESTIMATIVA[[#This Row],[QT_CANA_REST1]]&gt;0,ESTIMATIVA[[#This Row],[QT_CANA_REST1]],
  IF(ESTIMATIVA[[#This Row],[QT_CANA_REAL]]&gt;0,ESTIMATIVA[[#This Row],[QT_CANA_REAL]],ESTIMATIVA[[#This Row],[QT_CANA_EST]]))</f>
        <v>3738.54</v>
      </c>
      <c r="AC189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3738.54</v>
      </c>
      <c r="AD1891" s="1">
        <f>IF(ESTIMATIVA[[#This Row],[QT_AREA_REAL]]&gt;0,ESTIMATIVA[[#This Row],[QT_CANA_REAL]],ESTIMATIVA[[#This Row],[QT_CANA_EST]])</f>
        <v>3754.24</v>
      </c>
      <c r="AE1891" s="1">
        <f>IF(ESTIMATIVA[[#This Row],[QT_AREA_REAL]]&gt;0,ESTIMATIVA[[#This Row],[QT_CANA_REAL]],ESTIMATIVA[[#This Row],[QT_CANA_REST1]])</f>
        <v>3754.24</v>
      </c>
      <c r="AF1891" s="1">
        <f>IF(ESTIMATIVA[[#This Row],[QT_AREA_REAL]]&gt;0,ESTIMATIVA[[#This Row],[QT_CANA_REAL]],ESTIMATIVA[[#This Row],[QT_CANA_REST2]])</f>
        <v>3754.24</v>
      </c>
      <c r="AG1891" s="1" t="str">
        <f>IF(COUNTIFS(GEADA!A:A,VALUE(ESTIMATIVA[[#This Row],[CD_UPNIVEL1]]&amp;TEXT(ESTIMATIVA[[#This Row],[CD_UPNIVEL3]],"0000")))&gt;0,"S","N")</f>
        <v>N</v>
      </c>
      <c r="AH189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91" s="55" t="str">
        <f>IF(ESTIMATIVA[[#This Row],[TP_CULTIVO]]="Irrigado",_xlfn.MAXIFS(IRRIGADO!J:J,IRRIGADO!C:C,ESTIMATIVA[[#This Row],[CD_UPNIVEL1]],IRRIGADO!E:E,ESTIMATIVA[[#This Row],[CD_UPNIVEL3]]),"")</f>
        <v/>
      </c>
      <c r="AJ189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91" s="1">
        <f>COUNTIFS(Apresentação!$E$23:$E$29,ESTIMATIVA[[#This Row],[CD_UPNIVEL1]])</f>
        <v>0</v>
      </c>
    </row>
    <row r="1892" spans="1:37" x14ac:dyDescent="0.3">
      <c r="A1892">
        <v>20716</v>
      </c>
      <c r="B1892" t="s">
        <v>98</v>
      </c>
      <c r="C1892">
        <v>24</v>
      </c>
      <c r="D1892">
        <v>2</v>
      </c>
      <c r="E1892" t="s">
        <v>266</v>
      </c>
      <c r="F1892" s="85" t="s">
        <v>331</v>
      </c>
      <c r="G1892"/>
      <c r="H1892" t="s">
        <v>294</v>
      </c>
      <c r="I1892" t="s">
        <v>207</v>
      </c>
      <c r="J1892" t="s">
        <v>178</v>
      </c>
      <c r="K1892" s="1">
        <v>23.28</v>
      </c>
      <c r="L1892" s="1">
        <v>23.28</v>
      </c>
      <c r="M1892" s="1">
        <v>23.28</v>
      </c>
      <c r="N1892" s="1">
        <v>23.28</v>
      </c>
      <c r="O1892" s="1">
        <v>1629.6</v>
      </c>
      <c r="P1892" s="1">
        <v>1815.84</v>
      </c>
      <c r="Q1892" s="1">
        <v>1815.84</v>
      </c>
      <c r="R1892" s="1">
        <v>1823.65</v>
      </c>
      <c r="S1892" t="s">
        <v>280</v>
      </c>
      <c r="T1892" s="13">
        <v>45963</v>
      </c>
      <c r="U1892" s="1" t="str">
        <f>IF(ESTIMATIVA[[#This Row],[QT_AREA_REAL]]&gt;0,"1- Colhido","2- à Colher")</f>
        <v>1- Colhido</v>
      </c>
      <c r="V1892" s="1" t="str">
        <f>IF(ESTIMATIVA[[#This Row],[QT_AREA_REST1]]&gt;0,"Reestimativa 1",IF(ESTIMATIVA[[#This Row],[QT_AREA_REAL]]=0,"Reestimativa 1","Realizado"))</f>
        <v>Reestimativa 1</v>
      </c>
      <c r="W1892" s="1" t="str">
        <f>IF(ESTIMATIVA[[#This Row],[QT_AREA_REST2]]&gt;0,"Reestimativa 2",IF(ESTIMATIVA[[#This Row],[QT_AREA_REAL]]=0,"Reestimativa 2","Realizado"))</f>
        <v>Reestimativa 2</v>
      </c>
      <c r="X1892" s="1">
        <f>ESTIMATIVA[[#This Row],[QT_AREA_EST]]</f>
        <v>23.28</v>
      </c>
      <c r="Y1892" s="1">
        <f>IF(ESTIMATIVA[[#This Row],[QT_AREA_REST1]]&gt;0,ESTIMATIVA[[#This Row],[QT_AREA_REST1]],
  IF(ESTIMATIVA[[#This Row],[QT_AREA_REAL]]&gt;0,ESTIMATIVA[[#This Row],[QT_AREA_REAL]],ESTIMATIVA[[#This Row],[QT_AREA_EST]]))</f>
        <v>23.28</v>
      </c>
      <c r="Z189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23.28</v>
      </c>
      <c r="AA1892" s="1">
        <f>ESTIMATIVA[[#This Row],[QT_CANA_EST]]</f>
        <v>1629.6</v>
      </c>
      <c r="AB1892" s="1">
        <f>IF(ESTIMATIVA[[#This Row],[QT_CANA_REST1]]&gt;0,ESTIMATIVA[[#This Row],[QT_CANA_REST1]],
  IF(ESTIMATIVA[[#This Row],[QT_CANA_REAL]]&gt;0,ESTIMATIVA[[#This Row],[QT_CANA_REAL]],ESTIMATIVA[[#This Row],[QT_CANA_EST]]))</f>
        <v>1815.84</v>
      </c>
      <c r="AC189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1815.84</v>
      </c>
      <c r="AD1892" s="1">
        <f>IF(ESTIMATIVA[[#This Row],[QT_AREA_REAL]]&gt;0,ESTIMATIVA[[#This Row],[QT_CANA_REAL]],ESTIMATIVA[[#This Row],[QT_CANA_EST]])</f>
        <v>1823.65</v>
      </c>
      <c r="AE1892" s="1">
        <f>IF(ESTIMATIVA[[#This Row],[QT_AREA_REAL]]&gt;0,ESTIMATIVA[[#This Row],[QT_CANA_REAL]],ESTIMATIVA[[#This Row],[QT_CANA_REST1]])</f>
        <v>1823.65</v>
      </c>
      <c r="AF1892" s="1">
        <f>IF(ESTIMATIVA[[#This Row],[QT_AREA_REAL]]&gt;0,ESTIMATIVA[[#This Row],[QT_CANA_REAL]],ESTIMATIVA[[#This Row],[QT_CANA_REST2]])</f>
        <v>1823.65</v>
      </c>
      <c r="AG1892" s="1" t="str">
        <f>IF(COUNTIFS(GEADA!A:A,VALUE(ESTIMATIVA[[#This Row],[CD_UPNIVEL1]]&amp;TEXT(ESTIMATIVA[[#This Row],[CD_UPNIVEL3]],"0000")))&gt;0,"S","N")</f>
        <v>N</v>
      </c>
      <c r="AH189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92" s="55" t="str">
        <f>IF(ESTIMATIVA[[#This Row],[TP_CULTIVO]]="Irrigado",_xlfn.MAXIFS(IRRIGADO!J:J,IRRIGADO!C:C,ESTIMATIVA[[#This Row],[CD_UPNIVEL1]],IRRIGADO!E:E,ESTIMATIVA[[#This Row],[CD_UPNIVEL3]]),"")</f>
        <v/>
      </c>
      <c r="AJ189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92" s="1">
        <f>COUNTIFS(Apresentação!$E$23:$E$29,ESTIMATIVA[[#This Row],[CD_UPNIVEL1]])</f>
        <v>0</v>
      </c>
    </row>
    <row r="1893" spans="1:37" x14ac:dyDescent="0.3">
      <c r="A1893">
        <v>20716</v>
      </c>
      <c r="B1893" t="s">
        <v>98</v>
      </c>
      <c r="C1893">
        <v>25</v>
      </c>
      <c r="D1893">
        <v>2</v>
      </c>
      <c r="E1893" t="s">
        <v>266</v>
      </c>
      <c r="F1893" s="85" t="s">
        <v>331</v>
      </c>
      <c r="G1893"/>
      <c r="H1893" t="s">
        <v>294</v>
      </c>
      <c r="I1893" t="s">
        <v>207</v>
      </c>
      <c r="J1893" t="s">
        <v>178</v>
      </c>
      <c r="K1893" s="1">
        <v>37.22</v>
      </c>
      <c r="L1893" s="1">
        <v>37.22</v>
      </c>
      <c r="M1893" s="1">
        <v>37.22</v>
      </c>
      <c r="N1893" s="1">
        <v>37.22</v>
      </c>
      <c r="O1893" s="1">
        <v>2605.4</v>
      </c>
      <c r="P1893" s="1">
        <v>2679.84</v>
      </c>
      <c r="Q1893" s="1">
        <v>2679.84</v>
      </c>
      <c r="R1893" s="1">
        <v>2911.42</v>
      </c>
      <c r="S1893" t="s">
        <v>280</v>
      </c>
      <c r="T1893" s="13">
        <v>45998</v>
      </c>
      <c r="U1893" s="1" t="str">
        <f>IF(ESTIMATIVA[[#This Row],[QT_AREA_REAL]]&gt;0,"1- Colhido","2- à Colher")</f>
        <v>1- Colhido</v>
      </c>
      <c r="V1893" s="1" t="str">
        <f>IF(ESTIMATIVA[[#This Row],[QT_AREA_REST1]]&gt;0,"Reestimativa 1",IF(ESTIMATIVA[[#This Row],[QT_AREA_REAL]]=0,"Reestimativa 1","Realizado"))</f>
        <v>Reestimativa 1</v>
      </c>
      <c r="W1893" s="1" t="str">
        <f>IF(ESTIMATIVA[[#This Row],[QT_AREA_REST2]]&gt;0,"Reestimativa 2",IF(ESTIMATIVA[[#This Row],[QT_AREA_REAL]]=0,"Reestimativa 2","Realizado"))</f>
        <v>Reestimativa 2</v>
      </c>
      <c r="X1893" s="1">
        <f>ESTIMATIVA[[#This Row],[QT_AREA_EST]]</f>
        <v>37.22</v>
      </c>
      <c r="Y1893" s="1">
        <f>IF(ESTIMATIVA[[#This Row],[QT_AREA_REST1]]&gt;0,ESTIMATIVA[[#This Row],[QT_AREA_REST1]],
  IF(ESTIMATIVA[[#This Row],[QT_AREA_REAL]]&gt;0,ESTIMATIVA[[#This Row],[QT_AREA_REAL]],ESTIMATIVA[[#This Row],[QT_AREA_EST]]))</f>
        <v>37.22</v>
      </c>
      <c r="Z189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37.22</v>
      </c>
      <c r="AA1893" s="1">
        <f>ESTIMATIVA[[#This Row],[QT_CANA_EST]]</f>
        <v>2605.4</v>
      </c>
      <c r="AB1893" s="1">
        <f>IF(ESTIMATIVA[[#This Row],[QT_CANA_REST1]]&gt;0,ESTIMATIVA[[#This Row],[QT_CANA_REST1]],
  IF(ESTIMATIVA[[#This Row],[QT_CANA_REAL]]&gt;0,ESTIMATIVA[[#This Row],[QT_CANA_REAL]],ESTIMATIVA[[#This Row],[QT_CANA_EST]]))</f>
        <v>2679.84</v>
      </c>
      <c r="AC189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2679.84</v>
      </c>
      <c r="AD1893" s="1">
        <f>IF(ESTIMATIVA[[#This Row],[QT_AREA_REAL]]&gt;0,ESTIMATIVA[[#This Row],[QT_CANA_REAL]],ESTIMATIVA[[#This Row],[QT_CANA_EST]])</f>
        <v>2911.42</v>
      </c>
      <c r="AE1893" s="1">
        <f>IF(ESTIMATIVA[[#This Row],[QT_AREA_REAL]]&gt;0,ESTIMATIVA[[#This Row],[QT_CANA_REAL]],ESTIMATIVA[[#This Row],[QT_CANA_REST1]])</f>
        <v>2911.42</v>
      </c>
      <c r="AF1893" s="1">
        <f>IF(ESTIMATIVA[[#This Row],[QT_AREA_REAL]]&gt;0,ESTIMATIVA[[#This Row],[QT_CANA_REAL]],ESTIMATIVA[[#This Row],[QT_CANA_REST2]])</f>
        <v>2911.42</v>
      </c>
      <c r="AG1893" s="1" t="str">
        <f>IF(COUNTIFS(GEADA!A:A,VALUE(ESTIMATIVA[[#This Row],[CD_UPNIVEL1]]&amp;TEXT(ESTIMATIVA[[#This Row],[CD_UPNIVEL3]],"0000")))&gt;0,"S","N")</f>
        <v>N</v>
      </c>
      <c r="AH189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93" s="55" t="str">
        <f>IF(ESTIMATIVA[[#This Row],[TP_CULTIVO]]="Irrigado",_xlfn.MAXIFS(IRRIGADO!J:J,IRRIGADO!C:C,ESTIMATIVA[[#This Row],[CD_UPNIVEL1]],IRRIGADO!E:E,ESTIMATIVA[[#This Row],[CD_UPNIVEL3]]),"")</f>
        <v/>
      </c>
      <c r="AJ189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93" s="1">
        <f>COUNTIFS(Apresentação!$E$23:$E$29,ESTIMATIVA[[#This Row],[CD_UPNIVEL1]])</f>
        <v>0</v>
      </c>
    </row>
    <row r="1894" spans="1:37" x14ac:dyDescent="0.3">
      <c r="A1894">
        <v>20716</v>
      </c>
      <c r="B1894" t="s">
        <v>98</v>
      </c>
      <c r="C1894">
        <v>26</v>
      </c>
      <c r="D1894">
        <v>2</v>
      </c>
      <c r="E1894" t="s">
        <v>266</v>
      </c>
      <c r="F1894" s="85" t="s">
        <v>331</v>
      </c>
      <c r="G1894"/>
      <c r="H1894" t="s">
        <v>294</v>
      </c>
      <c r="I1894" t="s">
        <v>207</v>
      </c>
      <c r="J1894" t="s">
        <v>178</v>
      </c>
      <c r="K1894" s="1">
        <v>68.819999999999993</v>
      </c>
      <c r="L1894" s="1">
        <v>68.819999999999993</v>
      </c>
      <c r="M1894" s="1">
        <v>68.819999999999993</v>
      </c>
      <c r="N1894" s="1">
        <v>68.819999999999993</v>
      </c>
      <c r="O1894" s="1">
        <v>4817.3999999999996</v>
      </c>
      <c r="P1894" s="1">
        <v>4955.04</v>
      </c>
      <c r="Q1894" s="1">
        <v>4955.04</v>
      </c>
      <c r="R1894" s="1">
        <v>5383.08</v>
      </c>
      <c r="S1894" t="s">
        <v>280</v>
      </c>
      <c r="T1894" s="13">
        <v>45998</v>
      </c>
      <c r="U1894" s="1" t="str">
        <f>IF(ESTIMATIVA[[#This Row],[QT_AREA_REAL]]&gt;0,"1- Colhido","2- à Colher")</f>
        <v>1- Colhido</v>
      </c>
      <c r="V1894" s="1" t="str">
        <f>IF(ESTIMATIVA[[#This Row],[QT_AREA_REST1]]&gt;0,"Reestimativa 1",IF(ESTIMATIVA[[#This Row],[QT_AREA_REAL]]=0,"Reestimativa 1","Realizado"))</f>
        <v>Reestimativa 1</v>
      </c>
      <c r="W1894" s="1" t="str">
        <f>IF(ESTIMATIVA[[#This Row],[QT_AREA_REST2]]&gt;0,"Reestimativa 2",IF(ESTIMATIVA[[#This Row],[QT_AREA_REAL]]=0,"Reestimativa 2","Realizado"))</f>
        <v>Reestimativa 2</v>
      </c>
      <c r="X1894" s="1">
        <f>ESTIMATIVA[[#This Row],[QT_AREA_EST]]</f>
        <v>68.819999999999993</v>
      </c>
      <c r="Y1894" s="1">
        <f>IF(ESTIMATIVA[[#This Row],[QT_AREA_REST1]]&gt;0,ESTIMATIVA[[#This Row],[QT_AREA_REST1]],
  IF(ESTIMATIVA[[#This Row],[QT_AREA_REAL]]&gt;0,ESTIMATIVA[[#This Row],[QT_AREA_REAL]],ESTIMATIVA[[#This Row],[QT_AREA_EST]]))</f>
        <v>68.819999999999993</v>
      </c>
      <c r="Z189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68.819999999999993</v>
      </c>
      <c r="AA1894" s="1">
        <f>ESTIMATIVA[[#This Row],[QT_CANA_EST]]</f>
        <v>4817.3999999999996</v>
      </c>
      <c r="AB1894" s="1">
        <f>IF(ESTIMATIVA[[#This Row],[QT_CANA_REST1]]&gt;0,ESTIMATIVA[[#This Row],[QT_CANA_REST1]],
  IF(ESTIMATIVA[[#This Row],[QT_CANA_REAL]]&gt;0,ESTIMATIVA[[#This Row],[QT_CANA_REAL]],ESTIMATIVA[[#This Row],[QT_CANA_EST]]))</f>
        <v>4955.04</v>
      </c>
      <c r="AC189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4955.04</v>
      </c>
      <c r="AD1894" s="1">
        <f>IF(ESTIMATIVA[[#This Row],[QT_AREA_REAL]]&gt;0,ESTIMATIVA[[#This Row],[QT_CANA_REAL]],ESTIMATIVA[[#This Row],[QT_CANA_EST]])</f>
        <v>5383.08</v>
      </c>
      <c r="AE1894" s="1">
        <f>IF(ESTIMATIVA[[#This Row],[QT_AREA_REAL]]&gt;0,ESTIMATIVA[[#This Row],[QT_CANA_REAL]],ESTIMATIVA[[#This Row],[QT_CANA_REST1]])</f>
        <v>5383.08</v>
      </c>
      <c r="AF1894" s="1">
        <f>IF(ESTIMATIVA[[#This Row],[QT_AREA_REAL]]&gt;0,ESTIMATIVA[[#This Row],[QT_CANA_REAL]],ESTIMATIVA[[#This Row],[QT_CANA_REST2]])</f>
        <v>5383.08</v>
      </c>
      <c r="AG1894" s="1" t="str">
        <f>IF(COUNTIFS(GEADA!A:A,VALUE(ESTIMATIVA[[#This Row],[CD_UPNIVEL1]]&amp;TEXT(ESTIMATIVA[[#This Row],[CD_UPNIVEL3]],"0000")))&gt;0,"S","N")</f>
        <v>N</v>
      </c>
      <c r="AH189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94" s="55" t="str">
        <f>IF(ESTIMATIVA[[#This Row],[TP_CULTIVO]]="Irrigado",_xlfn.MAXIFS(IRRIGADO!J:J,IRRIGADO!C:C,ESTIMATIVA[[#This Row],[CD_UPNIVEL1]],IRRIGADO!E:E,ESTIMATIVA[[#This Row],[CD_UPNIVEL3]]),"")</f>
        <v/>
      </c>
      <c r="AJ189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94" s="1">
        <f>COUNTIFS(Apresentação!$E$23:$E$29,ESTIMATIVA[[#This Row],[CD_UPNIVEL1]])</f>
        <v>0</v>
      </c>
    </row>
    <row r="1895" spans="1:37" x14ac:dyDescent="0.3">
      <c r="A1895">
        <v>20716</v>
      </c>
      <c r="B1895" t="s">
        <v>98</v>
      </c>
      <c r="C1895">
        <v>27</v>
      </c>
      <c r="D1895">
        <v>2</v>
      </c>
      <c r="E1895" t="s">
        <v>266</v>
      </c>
      <c r="F1895" s="85" t="s">
        <v>331</v>
      </c>
      <c r="G1895"/>
      <c r="H1895" t="s">
        <v>294</v>
      </c>
      <c r="I1895" t="s">
        <v>225</v>
      </c>
      <c r="J1895" t="s">
        <v>178</v>
      </c>
      <c r="K1895" s="1">
        <v>31.84</v>
      </c>
      <c r="L1895" s="1">
        <v>31.84</v>
      </c>
      <c r="M1895" s="1">
        <v>31.84</v>
      </c>
      <c r="N1895" s="1">
        <v>31.84</v>
      </c>
      <c r="O1895" s="1">
        <v>2547.1999999999998</v>
      </c>
      <c r="P1895" s="1">
        <v>2674.56</v>
      </c>
      <c r="Q1895" s="1">
        <v>2706.4</v>
      </c>
      <c r="R1895" s="1">
        <v>2939.63</v>
      </c>
      <c r="S1895" t="s">
        <v>280</v>
      </c>
      <c r="T1895" s="13">
        <v>45998</v>
      </c>
      <c r="U1895" s="1" t="str">
        <f>IF(ESTIMATIVA[[#This Row],[QT_AREA_REAL]]&gt;0,"1- Colhido","2- à Colher")</f>
        <v>1- Colhido</v>
      </c>
      <c r="V1895" s="1" t="str">
        <f>IF(ESTIMATIVA[[#This Row],[QT_AREA_REST1]]&gt;0,"Reestimativa 1",IF(ESTIMATIVA[[#This Row],[QT_AREA_REAL]]=0,"Reestimativa 1","Realizado"))</f>
        <v>Reestimativa 1</v>
      </c>
      <c r="W1895" s="1" t="str">
        <f>IF(ESTIMATIVA[[#This Row],[QT_AREA_REST2]]&gt;0,"Reestimativa 2",IF(ESTIMATIVA[[#This Row],[QT_AREA_REAL]]=0,"Reestimativa 2","Realizado"))</f>
        <v>Reestimativa 2</v>
      </c>
      <c r="X1895" s="1">
        <f>ESTIMATIVA[[#This Row],[QT_AREA_EST]]</f>
        <v>31.84</v>
      </c>
      <c r="Y1895" s="1">
        <f>IF(ESTIMATIVA[[#This Row],[QT_AREA_REST1]]&gt;0,ESTIMATIVA[[#This Row],[QT_AREA_REST1]],
  IF(ESTIMATIVA[[#This Row],[QT_AREA_REAL]]&gt;0,ESTIMATIVA[[#This Row],[QT_AREA_REAL]],ESTIMATIVA[[#This Row],[QT_AREA_EST]]))</f>
        <v>31.84</v>
      </c>
      <c r="Z189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31.84</v>
      </c>
      <c r="AA1895" s="1">
        <f>ESTIMATIVA[[#This Row],[QT_CANA_EST]]</f>
        <v>2547.1999999999998</v>
      </c>
      <c r="AB1895" s="1">
        <f>IF(ESTIMATIVA[[#This Row],[QT_CANA_REST1]]&gt;0,ESTIMATIVA[[#This Row],[QT_CANA_REST1]],
  IF(ESTIMATIVA[[#This Row],[QT_CANA_REAL]]&gt;0,ESTIMATIVA[[#This Row],[QT_CANA_REAL]],ESTIMATIVA[[#This Row],[QT_CANA_EST]]))</f>
        <v>2674.56</v>
      </c>
      <c r="AC189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2706.4</v>
      </c>
      <c r="AD1895" s="1">
        <f>IF(ESTIMATIVA[[#This Row],[QT_AREA_REAL]]&gt;0,ESTIMATIVA[[#This Row],[QT_CANA_REAL]],ESTIMATIVA[[#This Row],[QT_CANA_EST]])</f>
        <v>2939.63</v>
      </c>
      <c r="AE1895" s="1">
        <f>IF(ESTIMATIVA[[#This Row],[QT_AREA_REAL]]&gt;0,ESTIMATIVA[[#This Row],[QT_CANA_REAL]],ESTIMATIVA[[#This Row],[QT_CANA_REST1]])</f>
        <v>2939.63</v>
      </c>
      <c r="AF1895" s="1">
        <f>IF(ESTIMATIVA[[#This Row],[QT_AREA_REAL]]&gt;0,ESTIMATIVA[[#This Row],[QT_CANA_REAL]],ESTIMATIVA[[#This Row],[QT_CANA_REST2]])</f>
        <v>2939.63</v>
      </c>
      <c r="AG1895" s="1" t="str">
        <f>IF(COUNTIFS(GEADA!A:A,VALUE(ESTIMATIVA[[#This Row],[CD_UPNIVEL1]]&amp;TEXT(ESTIMATIVA[[#This Row],[CD_UPNIVEL3]],"0000")))&gt;0,"S","N")</f>
        <v>N</v>
      </c>
      <c r="AH189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95" s="55" t="str">
        <f>IF(ESTIMATIVA[[#This Row],[TP_CULTIVO]]="Irrigado",_xlfn.MAXIFS(IRRIGADO!J:J,IRRIGADO!C:C,ESTIMATIVA[[#This Row],[CD_UPNIVEL1]],IRRIGADO!E:E,ESTIMATIVA[[#This Row],[CD_UPNIVEL3]]),"")</f>
        <v/>
      </c>
      <c r="AJ189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95" s="1">
        <f>COUNTIFS(Apresentação!$E$23:$E$29,ESTIMATIVA[[#This Row],[CD_UPNIVEL1]])</f>
        <v>0</v>
      </c>
    </row>
    <row r="1896" spans="1:37" x14ac:dyDescent="0.3">
      <c r="A1896">
        <v>20716</v>
      </c>
      <c r="B1896" t="s">
        <v>98</v>
      </c>
      <c r="C1896">
        <v>28</v>
      </c>
      <c r="D1896">
        <v>2</v>
      </c>
      <c r="E1896" t="s">
        <v>266</v>
      </c>
      <c r="F1896" s="85" t="s">
        <v>331</v>
      </c>
      <c r="G1896"/>
      <c r="H1896" t="s">
        <v>294</v>
      </c>
      <c r="I1896" t="s">
        <v>225</v>
      </c>
      <c r="J1896" t="s">
        <v>178</v>
      </c>
      <c r="K1896" s="1">
        <v>35.25</v>
      </c>
      <c r="L1896" s="1">
        <v>35.25</v>
      </c>
      <c r="M1896" s="1">
        <v>35.25</v>
      </c>
      <c r="N1896" s="1">
        <v>35.25</v>
      </c>
      <c r="O1896" s="1">
        <v>2820</v>
      </c>
      <c r="P1896" s="1">
        <v>2961</v>
      </c>
      <c r="Q1896" s="1">
        <v>2996.25</v>
      </c>
      <c r="R1896" s="1">
        <v>3254.74</v>
      </c>
      <c r="S1896" t="s">
        <v>280</v>
      </c>
      <c r="T1896" s="13">
        <v>45998</v>
      </c>
      <c r="U1896" s="1" t="str">
        <f>IF(ESTIMATIVA[[#This Row],[QT_AREA_REAL]]&gt;0,"1- Colhido","2- à Colher")</f>
        <v>1- Colhido</v>
      </c>
      <c r="V1896" s="1" t="str">
        <f>IF(ESTIMATIVA[[#This Row],[QT_AREA_REST1]]&gt;0,"Reestimativa 1",IF(ESTIMATIVA[[#This Row],[QT_AREA_REAL]]=0,"Reestimativa 1","Realizado"))</f>
        <v>Reestimativa 1</v>
      </c>
      <c r="W1896" s="1" t="str">
        <f>IF(ESTIMATIVA[[#This Row],[QT_AREA_REST2]]&gt;0,"Reestimativa 2",IF(ESTIMATIVA[[#This Row],[QT_AREA_REAL]]=0,"Reestimativa 2","Realizado"))</f>
        <v>Reestimativa 2</v>
      </c>
      <c r="X1896" s="1">
        <f>ESTIMATIVA[[#This Row],[QT_AREA_EST]]</f>
        <v>35.25</v>
      </c>
      <c r="Y1896" s="1">
        <f>IF(ESTIMATIVA[[#This Row],[QT_AREA_REST1]]&gt;0,ESTIMATIVA[[#This Row],[QT_AREA_REST1]],
  IF(ESTIMATIVA[[#This Row],[QT_AREA_REAL]]&gt;0,ESTIMATIVA[[#This Row],[QT_AREA_REAL]],ESTIMATIVA[[#This Row],[QT_AREA_EST]]))</f>
        <v>35.25</v>
      </c>
      <c r="Z189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35.25</v>
      </c>
      <c r="AA1896" s="1">
        <f>ESTIMATIVA[[#This Row],[QT_CANA_EST]]</f>
        <v>2820</v>
      </c>
      <c r="AB1896" s="1">
        <f>IF(ESTIMATIVA[[#This Row],[QT_CANA_REST1]]&gt;0,ESTIMATIVA[[#This Row],[QT_CANA_REST1]],
  IF(ESTIMATIVA[[#This Row],[QT_CANA_REAL]]&gt;0,ESTIMATIVA[[#This Row],[QT_CANA_REAL]],ESTIMATIVA[[#This Row],[QT_CANA_EST]]))</f>
        <v>2961</v>
      </c>
      <c r="AC189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2996.25</v>
      </c>
      <c r="AD1896" s="1">
        <f>IF(ESTIMATIVA[[#This Row],[QT_AREA_REAL]]&gt;0,ESTIMATIVA[[#This Row],[QT_CANA_REAL]],ESTIMATIVA[[#This Row],[QT_CANA_EST]])</f>
        <v>3254.74</v>
      </c>
      <c r="AE1896" s="1">
        <f>IF(ESTIMATIVA[[#This Row],[QT_AREA_REAL]]&gt;0,ESTIMATIVA[[#This Row],[QT_CANA_REAL]],ESTIMATIVA[[#This Row],[QT_CANA_REST1]])</f>
        <v>3254.74</v>
      </c>
      <c r="AF1896" s="1">
        <f>IF(ESTIMATIVA[[#This Row],[QT_AREA_REAL]]&gt;0,ESTIMATIVA[[#This Row],[QT_CANA_REAL]],ESTIMATIVA[[#This Row],[QT_CANA_REST2]])</f>
        <v>3254.74</v>
      </c>
      <c r="AG1896" s="1" t="str">
        <f>IF(COUNTIFS(GEADA!A:A,VALUE(ESTIMATIVA[[#This Row],[CD_UPNIVEL1]]&amp;TEXT(ESTIMATIVA[[#This Row],[CD_UPNIVEL3]],"0000")))&gt;0,"S","N")</f>
        <v>N</v>
      </c>
      <c r="AH189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96" s="55" t="str">
        <f>IF(ESTIMATIVA[[#This Row],[TP_CULTIVO]]="Irrigado",_xlfn.MAXIFS(IRRIGADO!J:J,IRRIGADO!C:C,ESTIMATIVA[[#This Row],[CD_UPNIVEL1]],IRRIGADO!E:E,ESTIMATIVA[[#This Row],[CD_UPNIVEL3]]),"")</f>
        <v/>
      </c>
      <c r="AJ189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96" s="1">
        <f>COUNTIFS(Apresentação!$E$23:$E$29,ESTIMATIVA[[#This Row],[CD_UPNIVEL1]])</f>
        <v>0</v>
      </c>
    </row>
    <row r="1897" spans="1:37" x14ac:dyDescent="0.3">
      <c r="A1897">
        <v>20716</v>
      </c>
      <c r="B1897" t="s">
        <v>98</v>
      </c>
      <c r="C1897">
        <v>29</v>
      </c>
      <c r="D1897">
        <v>2</v>
      </c>
      <c r="E1897" t="s">
        <v>266</v>
      </c>
      <c r="F1897" s="85" t="s">
        <v>331</v>
      </c>
      <c r="G1897"/>
      <c r="H1897" t="s">
        <v>294</v>
      </c>
      <c r="I1897" t="s">
        <v>225</v>
      </c>
      <c r="J1897" t="s">
        <v>178</v>
      </c>
      <c r="K1897" s="1">
        <v>46.68</v>
      </c>
      <c r="L1897" s="1">
        <v>46.68</v>
      </c>
      <c r="M1897" s="1">
        <v>46.68</v>
      </c>
      <c r="N1897" s="1">
        <v>46.68</v>
      </c>
      <c r="O1897" s="1">
        <v>3734.4</v>
      </c>
      <c r="P1897" s="1">
        <v>3921.12</v>
      </c>
      <c r="Q1897" s="1">
        <v>3967.8</v>
      </c>
      <c r="R1897" s="1">
        <v>4312.1499999999996</v>
      </c>
      <c r="S1897" t="s">
        <v>280</v>
      </c>
      <c r="T1897" s="13">
        <v>45998</v>
      </c>
      <c r="U1897" s="1" t="str">
        <f>IF(ESTIMATIVA[[#This Row],[QT_AREA_REAL]]&gt;0,"1- Colhido","2- à Colher")</f>
        <v>1- Colhido</v>
      </c>
      <c r="V1897" s="1" t="str">
        <f>IF(ESTIMATIVA[[#This Row],[QT_AREA_REST1]]&gt;0,"Reestimativa 1",IF(ESTIMATIVA[[#This Row],[QT_AREA_REAL]]=0,"Reestimativa 1","Realizado"))</f>
        <v>Reestimativa 1</v>
      </c>
      <c r="W1897" s="1" t="str">
        <f>IF(ESTIMATIVA[[#This Row],[QT_AREA_REST2]]&gt;0,"Reestimativa 2",IF(ESTIMATIVA[[#This Row],[QT_AREA_REAL]]=0,"Reestimativa 2","Realizado"))</f>
        <v>Reestimativa 2</v>
      </c>
      <c r="X1897" s="1">
        <f>ESTIMATIVA[[#This Row],[QT_AREA_EST]]</f>
        <v>46.68</v>
      </c>
      <c r="Y1897" s="1">
        <f>IF(ESTIMATIVA[[#This Row],[QT_AREA_REST1]]&gt;0,ESTIMATIVA[[#This Row],[QT_AREA_REST1]],
  IF(ESTIMATIVA[[#This Row],[QT_AREA_REAL]]&gt;0,ESTIMATIVA[[#This Row],[QT_AREA_REAL]],ESTIMATIVA[[#This Row],[QT_AREA_EST]]))</f>
        <v>46.68</v>
      </c>
      <c r="Z189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46.68</v>
      </c>
      <c r="AA1897" s="1">
        <f>ESTIMATIVA[[#This Row],[QT_CANA_EST]]</f>
        <v>3734.4</v>
      </c>
      <c r="AB1897" s="1">
        <f>IF(ESTIMATIVA[[#This Row],[QT_CANA_REST1]]&gt;0,ESTIMATIVA[[#This Row],[QT_CANA_REST1]],
  IF(ESTIMATIVA[[#This Row],[QT_CANA_REAL]]&gt;0,ESTIMATIVA[[#This Row],[QT_CANA_REAL]],ESTIMATIVA[[#This Row],[QT_CANA_EST]]))</f>
        <v>3921.12</v>
      </c>
      <c r="AC189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3967.8</v>
      </c>
      <c r="AD1897" s="1">
        <f>IF(ESTIMATIVA[[#This Row],[QT_AREA_REAL]]&gt;0,ESTIMATIVA[[#This Row],[QT_CANA_REAL]],ESTIMATIVA[[#This Row],[QT_CANA_EST]])</f>
        <v>4312.1499999999996</v>
      </c>
      <c r="AE1897" s="1">
        <f>IF(ESTIMATIVA[[#This Row],[QT_AREA_REAL]]&gt;0,ESTIMATIVA[[#This Row],[QT_CANA_REAL]],ESTIMATIVA[[#This Row],[QT_CANA_REST1]])</f>
        <v>4312.1499999999996</v>
      </c>
      <c r="AF1897" s="1">
        <f>IF(ESTIMATIVA[[#This Row],[QT_AREA_REAL]]&gt;0,ESTIMATIVA[[#This Row],[QT_CANA_REAL]],ESTIMATIVA[[#This Row],[QT_CANA_REST2]])</f>
        <v>4312.1499999999996</v>
      </c>
      <c r="AG1897" s="1" t="str">
        <f>IF(COUNTIFS(GEADA!A:A,VALUE(ESTIMATIVA[[#This Row],[CD_UPNIVEL1]]&amp;TEXT(ESTIMATIVA[[#This Row],[CD_UPNIVEL3]],"0000")))&gt;0,"S","N")</f>
        <v>N</v>
      </c>
      <c r="AH189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97" s="55" t="str">
        <f>IF(ESTIMATIVA[[#This Row],[TP_CULTIVO]]="Irrigado",_xlfn.MAXIFS(IRRIGADO!J:J,IRRIGADO!C:C,ESTIMATIVA[[#This Row],[CD_UPNIVEL1]],IRRIGADO!E:E,ESTIMATIVA[[#This Row],[CD_UPNIVEL3]]),"")</f>
        <v/>
      </c>
      <c r="AJ189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97" s="1">
        <f>COUNTIFS(Apresentação!$E$23:$E$29,ESTIMATIVA[[#This Row],[CD_UPNIVEL1]])</f>
        <v>0</v>
      </c>
    </row>
    <row r="1898" spans="1:37" x14ac:dyDescent="0.3">
      <c r="A1898">
        <v>20717</v>
      </c>
      <c r="B1898" t="s">
        <v>160</v>
      </c>
      <c r="C1898">
        <v>1</v>
      </c>
      <c r="D1898">
        <v>3</v>
      </c>
      <c r="E1898" t="s">
        <v>263</v>
      </c>
      <c r="F1898" s="85" t="s">
        <v>332</v>
      </c>
      <c r="G1898"/>
      <c r="H1898" t="s">
        <v>294</v>
      </c>
      <c r="I1898" t="s">
        <v>212</v>
      </c>
      <c r="J1898" t="s">
        <v>178</v>
      </c>
      <c r="K1898" s="1">
        <v>18.510000000000002</v>
      </c>
      <c r="L1898" s="1">
        <v>18.510000000000002</v>
      </c>
      <c r="M1898" s="1">
        <v>18.510000000000002</v>
      </c>
      <c r="N1898" s="1">
        <v>18.510000000000002</v>
      </c>
      <c r="O1898" s="1">
        <v>1480.8</v>
      </c>
      <c r="P1898" s="1">
        <v>1388.25</v>
      </c>
      <c r="Q1898" s="1">
        <v>1388.25</v>
      </c>
      <c r="R1898" s="1">
        <v>1737.25</v>
      </c>
      <c r="S1898" t="s">
        <v>280</v>
      </c>
      <c r="T1898" s="13">
        <v>45942</v>
      </c>
      <c r="U1898" s="1" t="str">
        <f>IF(ESTIMATIVA[[#This Row],[QT_AREA_REAL]]&gt;0,"1- Colhido","2- à Colher")</f>
        <v>1- Colhido</v>
      </c>
      <c r="V1898" s="1" t="str">
        <f>IF(ESTIMATIVA[[#This Row],[QT_AREA_REST1]]&gt;0,"Reestimativa 1",IF(ESTIMATIVA[[#This Row],[QT_AREA_REAL]]=0,"Reestimativa 1","Realizado"))</f>
        <v>Reestimativa 1</v>
      </c>
      <c r="W1898" s="1" t="str">
        <f>IF(ESTIMATIVA[[#This Row],[QT_AREA_REST2]]&gt;0,"Reestimativa 2",IF(ESTIMATIVA[[#This Row],[QT_AREA_REAL]]=0,"Reestimativa 2","Realizado"))</f>
        <v>Reestimativa 2</v>
      </c>
      <c r="X1898" s="1">
        <f>ESTIMATIVA[[#This Row],[QT_AREA_EST]]</f>
        <v>18.510000000000002</v>
      </c>
      <c r="Y1898" s="1">
        <f>IF(ESTIMATIVA[[#This Row],[QT_AREA_REST1]]&gt;0,ESTIMATIVA[[#This Row],[QT_AREA_REST1]],
  IF(ESTIMATIVA[[#This Row],[QT_AREA_REAL]]&gt;0,ESTIMATIVA[[#This Row],[QT_AREA_REAL]],ESTIMATIVA[[#This Row],[QT_AREA_EST]]))</f>
        <v>18.510000000000002</v>
      </c>
      <c r="Z189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18.510000000000002</v>
      </c>
      <c r="AA1898" s="1">
        <f>ESTIMATIVA[[#This Row],[QT_CANA_EST]]</f>
        <v>1480.8</v>
      </c>
      <c r="AB1898" s="1">
        <f>IF(ESTIMATIVA[[#This Row],[QT_CANA_REST1]]&gt;0,ESTIMATIVA[[#This Row],[QT_CANA_REST1]],
  IF(ESTIMATIVA[[#This Row],[QT_CANA_REAL]]&gt;0,ESTIMATIVA[[#This Row],[QT_CANA_REAL]],ESTIMATIVA[[#This Row],[QT_CANA_EST]]))</f>
        <v>1388.25</v>
      </c>
      <c r="AC189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1388.25</v>
      </c>
      <c r="AD1898" s="1">
        <f>IF(ESTIMATIVA[[#This Row],[QT_AREA_REAL]]&gt;0,ESTIMATIVA[[#This Row],[QT_CANA_REAL]],ESTIMATIVA[[#This Row],[QT_CANA_EST]])</f>
        <v>1737.25</v>
      </c>
      <c r="AE1898" s="1">
        <f>IF(ESTIMATIVA[[#This Row],[QT_AREA_REAL]]&gt;0,ESTIMATIVA[[#This Row],[QT_CANA_REAL]],ESTIMATIVA[[#This Row],[QT_CANA_REST1]])</f>
        <v>1737.25</v>
      </c>
      <c r="AF1898" s="1">
        <f>IF(ESTIMATIVA[[#This Row],[QT_AREA_REAL]]&gt;0,ESTIMATIVA[[#This Row],[QT_CANA_REAL]],ESTIMATIVA[[#This Row],[QT_CANA_REST2]])</f>
        <v>1737.25</v>
      </c>
      <c r="AG1898" s="1" t="str">
        <f>IF(COUNTIFS(GEADA!A:A,VALUE(ESTIMATIVA[[#This Row],[CD_UPNIVEL1]]&amp;TEXT(ESTIMATIVA[[#This Row],[CD_UPNIVEL3]],"0000")))&gt;0,"S","N")</f>
        <v>N</v>
      </c>
      <c r="AH189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98" s="55" t="str">
        <f>IF(ESTIMATIVA[[#This Row],[TP_CULTIVO]]="Irrigado",_xlfn.MAXIFS(IRRIGADO!J:J,IRRIGADO!C:C,ESTIMATIVA[[#This Row],[CD_UPNIVEL1]],IRRIGADO!E:E,ESTIMATIVA[[#This Row],[CD_UPNIVEL3]]),"")</f>
        <v/>
      </c>
      <c r="AJ189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98" s="1">
        <f>COUNTIFS(Apresentação!$E$23:$E$29,ESTIMATIVA[[#This Row],[CD_UPNIVEL1]])</f>
        <v>0</v>
      </c>
    </row>
    <row r="1899" spans="1:37" x14ac:dyDescent="0.3">
      <c r="A1899">
        <v>20717</v>
      </c>
      <c r="B1899" t="s">
        <v>160</v>
      </c>
      <c r="C1899">
        <v>2</v>
      </c>
      <c r="D1899">
        <v>3</v>
      </c>
      <c r="E1899" t="s">
        <v>263</v>
      </c>
      <c r="F1899" s="85" t="s">
        <v>332</v>
      </c>
      <c r="G1899"/>
      <c r="H1899" t="s">
        <v>294</v>
      </c>
      <c r="I1899" t="s">
        <v>212</v>
      </c>
      <c r="J1899" t="s">
        <v>178</v>
      </c>
      <c r="K1899" s="1">
        <v>15.55</v>
      </c>
      <c r="L1899" s="1">
        <v>15.55</v>
      </c>
      <c r="M1899" s="1">
        <v>15.55</v>
      </c>
      <c r="N1899" s="1">
        <v>15.55</v>
      </c>
      <c r="O1899" s="1">
        <v>1166.25</v>
      </c>
      <c r="P1899" s="1">
        <v>1010.75</v>
      </c>
      <c r="Q1899" s="1">
        <v>1010.75</v>
      </c>
      <c r="R1899" s="1">
        <v>1265.3499999999999</v>
      </c>
      <c r="S1899" t="s">
        <v>280</v>
      </c>
      <c r="T1899" s="13">
        <v>45942</v>
      </c>
      <c r="U1899" s="1" t="str">
        <f>IF(ESTIMATIVA[[#This Row],[QT_AREA_REAL]]&gt;0,"1- Colhido","2- à Colher")</f>
        <v>1- Colhido</v>
      </c>
      <c r="V1899" s="1" t="str">
        <f>IF(ESTIMATIVA[[#This Row],[QT_AREA_REST1]]&gt;0,"Reestimativa 1",IF(ESTIMATIVA[[#This Row],[QT_AREA_REAL]]=0,"Reestimativa 1","Realizado"))</f>
        <v>Reestimativa 1</v>
      </c>
      <c r="W1899" s="1" t="str">
        <f>IF(ESTIMATIVA[[#This Row],[QT_AREA_REST2]]&gt;0,"Reestimativa 2",IF(ESTIMATIVA[[#This Row],[QT_AREA_REAL]]=0,"Reestimativa 2","Realizado"))</f>
        <v>Reestimativa 2</v>
      </c>
      <c r="X1899" s="1">
        <f>ESTIMATIVA[[#This Row],[QT_AREA_EST]]</f>
        <v>15.55</v>
      </c>
      <c r="Y1899" s="1">
        <f>IF(ESTIMATIVA[[#This Row],[QT_AREA_REST1]]&gt;0,ESTIMATIVA[[#This Row],[QT_AREA_REST1]],
  IF(ESTIMATIVA[[#This Row],[QT_AREA_REAL]]&gt;0,ESTIMATIVA[[#This Row],[QT_AREA_REAL]],ESTIMATIVA[[#This Row],[QT_AREA_EST]]))</f>
        <v>15.55</v>
      </c>
      <c r="Z189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15.55</v>
      </c>
      <c r="AA1899" s="1">
        <f>ESTIMATIVA[[#This Row],[QT_CANA_EST]]</f>
        <v>1166.25</v>
      </c>
      <c r="AB1899" s="1">
        <f>IF(ESTIMATIVA[[#This Row],[QT_CANA_REST1]]&gt;0,ESTIMATIVA[[#This Row],[QT_CANA_REST1]],
  IF(ESTIMATIVA[[#This Row],[QT_CANA_REAL]]&gt;0,ESTIMATIVA[[#This Row],[QT_CANA_REAL]],ESTIMATIVA[[#This Row],[QT_CANA_EST]]))</f>
        <v>1010.75</v>
      </c>
      <c r="AC189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1010.75</v>
      </c>
      <c r="AD1899" s="1">
        <f>IF(ESTIMATIVA[[#This Row],[QT_AREA_REAL]]&gt;0,ESTIMATIVA[[#This Row],[QT_CANA_REAL]],ESTIMATIVA[[#This Row],[QT_CANA_EST]])</f>
        <v>1265.3499999999999</v>
      </c>
      <c r="AE1899" s="1">
        <f>IF(ESTIMATIVA[[#This Row],[QT_AREA_REAL]]&gt;0,ESTIMATIVA[[#This Row],[QT_CANA_REAL]],ESTIMATIVA[[#This Row],[QT_CANA_REST1]])</f>
        <v>1265.3499999999999</v>
      </c>
      <c r="AF1899" s="1">
        <f>IF(ESTIMATIVA[[#This Row],[QT_AREA_REAL]]&gt;0,ESTIMATIVA[[#This Row],[QT_CANA_REAL]],ESTIMATIVA[[#This Row],[QT_CANA_REST2]])</f>
        <v>1265.3499999999999</v>
      </c>
      <c r="AG1899" s="1" t="str">
        <f>IF(COUNTIFS(GEADA!A:A,VALUE(ESTIMATIVA[[#This Row],[CD_UPNIVEL1]]&amp;TEXT(ESTIMATIVA[[#This Row],[CD_UPNIVEL3]],"0000")))&gt;0,"S","N")</f>
        <v>N</v>
      </c>
      <c r="AH189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899" s="55" t="str">
        <f>IF(ESTIMATIVA[[#This Row],[TP_CULTIVO]]="Irrigado",_xlfn.MAXIFS(IRRIGADO!J:J,IRRIGADO!C:C,ESTIMATIVA[[#This Row],[CD_UPNIVEL1]],IRRIGADO!E:E,ESTIMATIVA[[#This Row],[CD_UPNIVEL3]]),"")</f>
        <v/>
      </c>
      <c r="AJ189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899" s="1">
        <f>COUNTIFS(Apresentação!$E$23:$E$29,ESTIMATIVA[[#This Row],[CD_UPNIVEL1]])</f>
        <v>0</v>
      </c>
    </row>
    <row r="1900" spans="1:37" x14ac:dyDescent="0.3">
      <c r="A1900">
        <v>20717</v>
      </c>
      <c r="B1900" t="s">
        <v>160</v>
      </c>
      <c r="C1900">
        <v>3</v>
      </c>
      <c r="D1900">
        <v>3</v>
      </c>
      <c r="E1900" t="s">
        <v>263</v>
      </c>
      <c r="F1900" s="85" t="s">
        <v>332</v>
      </c>
      <c r="G1900"/>
      <c r="H1900" t="s">
        <v>294</v>
      </c>
      <c r="I1900" t="s">
        <v>212</v>
      </c>
      <c r="J1900" t="s">
        <v>178</v>
      </c>
      <c r="K1900" s="1">
        <v>1.86</v>
      </c>
      <c r="L1900" s="1">
        <v>1.86</v>
      </c>
      <c r="M1900" s="1">
        <v>1.86</v>
      </c>
      <c r="N1900" s="1">
        <v>1.86</v>
      </c>
      <c r="O1900" s="1">
        <v>139.5</v>
      </c>
      <c r="P1900" s="1">
        <v>139.5</v>
      </c>
      <c r="Q1900" s="1">
        <v>139.5</v>
      </c>
      <c r="R1900" s="1">
        <v>175.11</v>
      </c>
      <c r="S1900" t="s">
        <v>280</v>
      </c>
      <c r="T1900" s="13">
        <v>45942</v>
      </c>
      <c r="U1900" s="1" t="str">
        <f>IF(ESTIMATIVA[[#This Row],[QT_AREA_REAL]]&gt;0,"1- Colhido","2- à Colher")</f>
        <v>1- Colhido</v>
      </c>
      <c r="V1900" s="1" t="str">
        <f>IF(ESTIMATIVA[[#This Row],[QT_AREA_REST1]]&gt;0,"Reestimativa 1",IF(ESTIMATIVA[[#This Row],[QT_AREA_REAL]]=0,"Reestimativa 1","Realizado"))</f>
        <v>Reestimativa 1</v>
      </c>
      <c r="W1900" s="1" t="str">
        <f>IF(ESTIMATIVA[[#This Row],[QT_AREA_REST2]]&gt;0,"Reestimativa 2",IF(ESTIMATIVA[[#This Row],[QT_AREA_REAL]]=0,"Reestimativa 2","Realizado"))</f>
        <v>Reestimativa 2</v>
      </c>
      <c r="X1900" s="1">
        <f>ESTIMATIVA[[#This Row],[QT_AREA_EST]]</f>
        <v>1.86</v>
      </c>
      <c r="Y1900" s="1">
        <f>IF(ESTIMATIVA[[#This Row],[QT_AREA_REST1]]&gt;0,ESTIMATIVA[[#This Row],[QT_AREA_REST1]],
  IF(ESTIMATIVA[[#This Row],[QT_AREA_REAL]]&gt;0,ESTIMATIVA[[#This Row],[QT_AREA_REAL]],ESTIMATIVA[[#This Row],[QT_AREA_EST]]))</f>
        <v>1.86</v>
      </c>
      <c r="Z190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1.86</v>
      </c>
      <c r="AA1900" s="1">
        <f>ESTIMATIVA[[#This Row],[QT_CANA_EST]]</f>
        <v>139.5</v>
      </c>
      <c r="AB1900" s="1">
        <f>IF(ESTIMATIVA[[#This Row],[QT_CANA_REST1]]&gt;0,ESTIMATIVA[[#This Row],[QT_CANA_REST1]],
  IF(ESTIMATIVA[[#This Row],[QT_CANA_REAL]]&gt;0,ESTIMATIVA[[#This Row],[QT_CANA_REAL]],ESTIMATIVA[[#This Row],[QT_CANA_EST]]))</f>
        <v>139.5</v>
      </c>
      <c r="AC190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139.5</v>
      </c>
      <c r="AD1900" s="1">
        <f>IF(ESTIMATIVA[[#This Row],[QT_AREA_REAL]]&gt;0,ESTIMATIVA[[#This Row],[QT_CANA_REAL]],ESTIMATIVA[[#This Row],[QT_CANA_EST]])</f>
        <v>175.11</v>
      </c>
      <c r="AE1900" s="1">
        <f>IF(ESTIMATIVA[[#This Row],[QT_AREA_REAL]]&gt;0,ESTIMATIVA[[#This Row],[QT_CANA_REAL]],ESTIMATIVA[[#This Row],[QT_CANA_REST1]])</f>
        <v>175.11</v>
      </c>
      <c r="AF1900" s="1">
        <f>IF(ESTIMATIVA[[#This Row],[QT_AREA_REAL]]&gt;0,ESTIMATIVA[[#This Row],[QT_CANA_REAL]],ESTIMATIVA[[#This Row],[QT_CANA_REST2]])</f>
        <v>175.11</v>
      </c>
      <c r="AG1900" s="1" t="str">
        <f>IF(COUNTIFS(GEADA!A:A,VALUE(ESTIMATIVA[[#This Row],[CD_UPNIVEL1]]&amp;TEXT(ESTIMATIVA[[#This Row],[CD_UPNIVEL3]],"0000")))&gt;0,"S","N")</f>
        <v>N</v>
      </c>
      <c r="AH190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00" s="55" t="str">
        <f>IF(ESTIMATIVA[[#This Row],[TP_CULTIVO]]="Irrigado",_xlfn.MAXIFS(IRRIGADO!J:J,IRRIGADO!C:C,ESTIMATIVA[[#This Row],[CD_UPNIVEL1]],IRRIGADO!E:E,ESTIMATIVA[[#This Row],[CD_UPNIVEL3]]),"")</f>
        <v/>
      </c>
      <c r="AJ190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00" s="1">
        <f>COUNTIFS(Apresentação!$E$23:$E$29,ESTIMATIVA[[#This Row],[CD_UPNIVEL1]])</f>
        <v>0</v>
      </c>
    </row>
    <row r="1901" spans="1:37" x14ac:dyDescent="0.3">
      <c r="A1901">
        <v>20717</v>
      </c>
      <c r="B1901" t="s">
        <v>160</v>
      </c>
      <c r="C1901">
        <v>4</v>
      </c>
      <c r="D1901">
        <v>3</v>
      </c>
      <c r="E1901" t="s">
        <v>263</v>
      </c>
      <c r="F1901" s="85" t="s">
        <v>332</v>
      </c>
      <c r="G1901"/>
      <c r="H1901" t="s">
        <v>294</v>
      </c>
      <c r="I1901" t="s">
        <v>212</v>
      </c>
      <c r="J1901" t="s">
        <v>178</v>
      </c>
      <c r="K1901" s="1">
        <v>14.82</v>
      </c>
      <c r="L1901" s="1">
        <v>14.82</v>
      </c>
      <c r="M1901" s="1">
        <v>14.82</v>
      </c>
      <c r="N1901" s="1">
        <v>14.82</v>
      </c>
      <c r="O1901" s="1">
        <v>1111.5</v>
      </c>
      <c r="P1901" s="1">
        <v>1111.5</v>
      </c>
      <c r="Q1901" s="1">
        <v>1111.5</v>
      </c>
      <c r="R1901" s="1">
        <v>1391.78</v>
      </c>
      <c r="S1901" t="s">
        <v>280</v>
      </c>
      <c r="T1901" s="13">
        <v>45942</v>
      </c>
      <c r="U1901" s="1" t="str">
        <f>IF(ESTIMATIVA[[#This Row],[QT_AREA_REAL]]&gt;0,"1- Colhido","2- à Colher")</f>
        <v>1- Colhido</v>
      </c>
      <c r="V1901" s="1" t="str">
        <f>IF(ESTIMATIVA[[#This Row],[QT_AREA_REST1]]&gt;0,"Reestimativa 1",IF(ESTIMATIVA[[#This Row],[QT_AREA_REAL]]=0,"Reestimativa 1","Realizado"))</f>
        <v>Reestimativa 1</v>
      </c>
      <c r="W1901" s="1" t="str">
        <f>IF(ESTIMATIVA[[#This Row],[QT_AREA_REST2]]&gt;0,"Reestimativa 2",IF(ESTIMATIVA[[#This Row],[QT_AREA_REAL]]=0,"Reestimativa 2","Realizado"))</f>
        <v>Reestimativa 2</v>
      </c>
      <c r="X1901" s="1">
        <f>ESTIMATIVA[[#This Row],[QT_AREA_EST]]</f>
        <v>14.82</v>
      </c>
      <c r="Y1901" s="1">
        <f>IF(ESTIMATIVA[[#This Row],[QT_AREA_REST1]]&gt;0,ESTIMATIVA[[#This Row],[QT_AREA_REST1]],
  IF(ESTIMATIVA[[#This Row],[QT_AREA_REAL]]&gt;0,ESTIMATIVA[[#This Row],[QT_AREA_REAL]],ESTIMATIVA[[#This Row],[QT_AREA_EST]]))</f>
        <v>14.82</v>
      </c>
      <c r="Z190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14.82</v>
      </c>
      <c r="AA1901" s="1">
        <f>ESTIMATIVA[[#This Row],[QT_CANA_EST]]</f>
        <v>1111.5</v>
      </c>
      <c r="AB1901" s="1">
        <f>IF(ESTIMATIVA[[#This Row],[QT_CANA_REST1]]&gt;0,ESTIMATIVA[[#This Row],[QT_CANA_REST1]],
  IF(ESTIMATIVA[[#This Row],[QT_CANA_REAL]]&gt;0,ESTIMATIVA[[#This Row],[QT_CANA_REAL]],ESTIMATIVA[[#This Row],[QT_CANA_EST]]))</f>
        <v>1111.5</v>
      </c>
      <c r="AC190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1111.5</v>
      </c>
      <c r="AD1901" s="1">
        <f>IF(ESTIMATIVA[[#This Row],[QT_AREA_REAL]]&gt;0,ESTIMATIVA[[#This Row],[QT_CANA_REAL]],ESTIMATIVA[[#This Row],[QT_CANA_EST]])</f>
        <v>1391.78</v>
      </c>
      <c r="AE1901" s="1">
        <f>IF(ESTIMATIVA[[#This Row],[QT_AREA_REAL]]&gt;0,ESTIMATIVA[[#This Row],[QT_CANA_REAL]],ESTIMATIVA[[#This Row],[QT_CANA_REST1]])</f>
        <v>1391.78</v>
      </c>
      <c r="AF1901" s="1">
        <f>IF(ESTIMATIVA[[#This Row],[QT_AREA_REAL]]&gt;0,ESTIMATIVA[[#This Row],[QT_CANA_REAL]],ESTIMATIVA[[#This Row],[QT_CANA_REST2]])</f>
        <v>1391.78</v>
      </c>
      <c r="AG1901" s="1" t="str">
        <f>IF(COUNTIFS(GEADA!A:A,VALUE(ESTIMATIVA[[#This Row],[CD_UPNIVEL1]]&amp;TEXT(ESTIMATIVA[[#This Row],[CD_UPNIVEL3]],"0000")))&gt;0,"S","N")</f>
        <v>N</v>
      </c>
      <c r="AH190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01" s="55" t="str">
        <f>IF(ESTIMATIVA[[#This Row],[TP_CULTIVO]]="Irrigado",_xlfn.MAXIFS(IRRIGADO!J:J,IRRIGADO!C:C,ESTIMATIVA[[#This Row],[CD_UPNIVEL1]],IRRIGADO!E:E,ESTIMATIVA[[#This Row],[CD_UPNIVEL3]]),"")</f>
        <v/>
      </c>
      <c r="AJ190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01" s="1">
        <f>COUNTIFS(Apresentação!$E$23:$E$29,ESTIMATIVA[[#This Row],[CD_UPNIVEL1]])</f>
        <v>0</v>
      </c>
    </row>
    <row r="1902" spans="1:37" x14ac:dyDescent="0.3">
      <c r="A1902">
        <v>20717</v>
      </c>
      <c r="B1902" t="s">
        <v>160</v>
      </c>
      <c r="C1902">
        <v>5</v>
      </c>
      <c r="D1902">
        <v>3</v>
      </c>
      <c r="E1902" t="s">
        <v>263</v>
      </c>
      <c r="F1902" s="85" t="s">
        <v>332</v>
      </c>
      <c r="G1902"/>
      <c r="H1902" t="s">
        <v>294</v>
      </c>
      <c r="I1902" t="s">
        <v>212</v>
      </c>
      <c r="J1902" t="s">
        <v>178</v>
      </c>
      <c r="K1902" s="1">
        <v>1.29</v>
      </c>
      <c r="L1902" s="1">
        <v>1.29</v>
      </c>
      <c r="M1902" s="1">
        <v>1.29</v>
      </c>
      <c r="N1902" s="1">
        <v>1.29</v>
      </c>
      <c r="O1902" s="1">
        <v>96.75</v>
      </c>
      <c r="P1902" s="1">
        <v>96.75</v>
      </c>
      <c r="Q1902" s="1">
        <v>96.75</v>
      </c>
      <c r="R1902" s="1">
        <v>121.29</v>
      </c>
      <c r="S1902" t="s">
        <v>280</v>
      </c>
      <c r="T1902" s="13">
        <v>45942</v>
      </c>
      <c r="U1902" s="1" t="str">
        <f>IF(ESTIMATIVA[[#This Row],[QT_AREA_REAL]]&gt;0,"1- Colhido","2- à Colher")</f>
        <v>1- Colhido</v>
      </c>
      <c r="V1902" s="1" t="str">
        <f>IF(ESTIMATIVA[[#This Row],[QT_AREA_REST1]]&gt;0,"Reestimativa 1",IF(ESTIMATIVA[[#This Row],[QT_AREA_REAL]]=0,"Reestimativa 1","Realizado"))</f>
        <v>Reestimativa 1</v>
      </c>
      <c r="W1902" s="1" t="str">
        <f>IF(ESTIMATIVA[[#This Row],[QT_AREA_REST2]]&gt;0,"Reestimativa 2",IF(ESTIMATIVA[[#This Row],[QT_AREA_REAL]]=0,"Reestimativa 2","Realizado"))</f>
        <v>Reestimativa 2</v>
      </c>
      <c r="X1902" s="1">
        <f>ESTIMATIVA[[#This Row],[QT_AREA_EST]]</f>
        <v>1.29</v>
      </c>
      <c r="Y1902" s="1">
        <f>IF(ESTIMATIVA[[#This Row],[QT_AREA_REST1]]&gt;0,ESTIMATIVA[[#This Row],[QT_AREA_REST1]],
  IF(ESTIMATIVA[[#This Row],[QT_AREA_REAL]]&gt;0,ESTIMATIVA[[#This Row],[QT_AREA_REAL]],ESTIMATIVA[[#This Row],[QT_AREA_EST]]))</f>
        <v>1.29</v>
      </c>
      <c r="Z190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1.29</v>
      </c>
      <c r="AA1902" s="1">
        <f>ESTIMATIVA[[#This Row],[QT_CANA_EST]]</f>
        <v>96.75</v>
      </c>
      <c r="AB1902" s="1">
        <f>IF(ESTIMATIVA[[#This Row],[QT_CANA_REST1]]&gt;0,ESTIMATIVA[[#This Row],[QT_CANA_REST1]],
  IF(ESTIMATIVA[[#This Row],[QT_CANA_REAL]]&gt;0,ESTIMATIVA[[#This Row],[QT_CANA_REAL]],ESTIMATIVA[[#This Row],[QT_CANA_EST]]))</f>
        <v>96.75</v>
      </c>
      <c r="AC190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96.75</v>
      </c>
      <c r="AD1902" s="1">
        <f>IF(ESTIMATIVA[[#This Row],[QT_AREA_REAL]]&gt;0,ESTIMATIVA[[#This Row],[QT_CANA_REAL]],ESTIMATIVA[[#This Row],[QT_CANA_EST]])</f>
        <v>121.29</v>
      </c>
      <c r="AE1902" s="1">
        <f>IF(ESTIMATIVA[[#This Row],[QT_AREA_REAL]]&gt;0,ESTIMATIVA[[#This Row],[QT_CANA_REAL]],ESTIMATIVA[[#This Row],[QT_CANA_REST1]])</f>
        <v>121.29</v>
      </c>
      <c r="AF1902" s="1">
        <f>IF(ESTIMATIVA[[#This Row],[QT_AREA_REAL]]&gt;0,ESTIMATIVA[[#This Row],[QT_CANA_REAL]],ESTIMATIVA[[#This Row],[QT_CANA_REST2]])</f>
        <v>121.29</v>
      </c>
      <c r="AG1902" s="1" t="str">
        <f>IF(COUNTIFS(GEADA!A:A,VALUE(ESTIMATIVA[[#This Row],[CD_UPNIVEL1]]&amp;TEXT(ESTIMATIVA[[#This Row],[CD_UPNIVEL3]],"0000")))&gt;0,"S","N")</f>
        <v>N</v>
      </c>
      <c r="AH190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02" s="55" t="str">
        <f>IF(ESTIMATIVA[[#This Row],[TP_CULTIVO]]="Irrigado",_xlfn.MAXIFS(IRRIGADO!J:J,IRRIGADO!C:C,ESTIMATIVA[[#This Row],[CD_UPNIVEL1]],IRRIGADO!E:E,ESTIMATIVA[[#This Row],[CD_UPNIVEL3]]),"")</f>
        <v/>
      </c>
      <c r="AJ190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02" s="1">
        <f>COUNTIFS(Apresentação!$E$23:$E$29,ESTIMATIVA[[#This Row],[CD_UPNIVEL1]])</f>
        <v>0</v>
      </c>
    </row>
    <row r="1903" spans="1:37" x14ac:dyDescent="0.3">
      <c r="A1903">
        <v>20717</v>
      </c>
      <c r="B1903" t="s">
        <v>160</v>
      </c>
      <c r="C1903">
        <v>6</v>
      </c>
      <c r="D1903">
        <v>3</v>
      </c>
      <c r="E1903" t="s">
        <v>263</v>
      </c>
      <c r="F1903" s="85" t="s">
        <v>332</v>
      </c>
      <c r="G1903"/>
      <c r="H1903" t="s">
        <v>294</v>
      </c>
      <c r="I1903" t="s">
        <v>212</v>
      </c>
      <c r="J1903" t="s">
        <v>178</v>
      </c>
      <c r="K1903" s="1">
        <v>17.18</v>
      </c>
      <c r="L1903" s="1">
        <v>17.18</v>
      </c>
      <c r="M1903" s="1">
        <v>17.18</v>
      </c>
      <c r="N1903" s="1">
        <v>17.18</v>
      </c>
      <c r="O1903" s="1">
        <v>1288.5</v>
      </c>
      <c r="P1903" s="1">
        <v>1288.5</v>
      </c>
      <c r="Q1903" s="1">
        <v>1288.5</v>
      </c>
      <c r="R1903" s="1">
        <v>1613.33</v>
      </c>
      <c r="S1903" t="s">
        <v>280</v>
      </c>
      <c r="T1903" s="13">
        <v>45942</v>
      </c>
      <c r="U1903" s="1" t="str">
        <f>IF(ESTIMATIVA[[#This Row],[QT_AREA_REAL]]&gt;0,"1- Colhido","2- à Colher")</f>
        <v>1- Colhido</v>
      </c>
      <c r="V1903" s="1" t="str">
        <f>IF(ESTIMATIVA[[#This Row],[QT_AREA_REST1]]&gt;0,"Reestimativa 1",IF(ESTIMATIVA[[#This Row],[QT_AREA_REAL]]=0,"Reestimativa 1","Realizado"))</f>
        <v>Reestimativa 1</v>
      </c>
      <c r="W1903" s="1" t="str">
        <f>IF(ESTIMATIVA[[#This Row],[QT_AREA_REST2]]&gt;0,"Reestimativa 2",IF(ESTIMATIVA[[#This Row],[QT_AREA_REAL]]=0,"Reestimativa 2","Realizado"))</f>
        <v>Reestimativa 2</v>
      </c>
      <c r="X1903" s="1">
        <f>ESTIMATIVA[[#This Row],[QT_AREA_EST]]</f>
        <v>17.18</v>
      </c>
      <c r="Y1903" s="1">
        <f>IF(ESTIMATIVA[[#This Row],[QT_AREA_REST1]]&gt;0,ESTIMATIVA[[#This Row],[QT_AREA_REST1]],
  IF(ESTIMATIVA[[#This Row],[QT_AREA_REAL]]&gt;0,ESTIMATIVA[[#This Row],[QT_AREA_REAL]],ESTIMATIVA[[#This Row],[QT_AREA_EST]]))</f>
        <v>17.18</v>
      </c>
      <c r="Z190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17.18</v>
      </c>
      <c r="AA1903" s="1">
        <f>ESTIMATIVA[[#This Row],[QT_CANA_EST]]</f>
        <v>1288.5</v>
      </c>
      <c r="AB1903" s="1">
        <f>IF(ESTIMATIVA[[#This Row],[QT_CANA_REST1]]&gt;0,ESTIMATIVA[[#This Row],[QT_CANA_REST1]],
  IF(ESTIMATIVA[[#This Row],[QT_CANA_REAL]]&gt;0,ESTIMATIVA[[#This Row],[QT_CANA_REAL]],ESTIMATIVA[[#This Row],[QT_CANA_EST]]))</f>
        <v>1288.5</v>
      </c>
      <c r="AC190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1288.5</v>
      </c>
      <c r="AD1903" s="1">
        <f>IF(ESTIMATIVA[[#This Row],[QT_AREA_REAL]]&gt;0,ESTIMATIVA[[#This Row],[QT_CANA_REAL]],ESTIMATIVA[[#This Row],[QT_CANA_EST]])</f>
        <v>1613.33</v>
      </c>
      <c r="AE1903" s="1">
        <f>IF(ESTIMATIVA[[#This Row],[QT_AREA_REAL]]&gt;0,ESTIMATIVA[[#This Row],[QT_CANA_REAL]],ESTIMATIVA[[#This Row],[QT_CANA_REST1]])</f>
        <v>1613.33</v>
      </c>
      <c r="AF1903" s="1">
        <f>IF(ESTIMATIVA[[#This Row],[QT_AREA_REAL]]&gt;0,ESTIMATIVA[[#This Row],[QT_CANA_REAL]],ESTIMATIVA[[#This Row],[QT_CANA_REST2]])</f>
        <v>1613.33</v>
      </c>
      <c r="AG1903" s="1" t="str">
        <f>IF(COUNTIFS(GEADA!A:A,VALUE(ESTIMATIVA[[#This Row],[CD_UPNIVEL1]]&amp;TEXT(ESTIMATIVA[[#This Row],[CD_UPNIVEL3]],"0000")))&gt;0,"S","N")</f>
        <v>N</v>
      </c>
      <c r="AH190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03" s="55" t="str">
        <f>IF(ESTIMATIVA[[#This Row],[TP_CULTIVO]]="Irrigado",_xlfn.MAXIFS(IRRIGADO!J:J,IRRIGADO!C:C,ESTIMATIVA[[#This Row],[CD_UPNIVEL1]],IRRIGADO!E:E,ESTIMATIVA[[#This Row],[CD_UPNIVEL3]]),"")</f>
        <v/>
      </c>
      <c r="AJ190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03" s="1">
        <f>COUNTIFS(Apresentação!$E$23:$E$29,ESTIMATIVA[[#This Row],[CD_UPNIVEL1]])</f>
        <v>0</v>
      </c>
    </row>
    <row r="1904" spans="1:37" x14ac:dyDescent="0.3">
      <c r="A1904">
        <v>20717</v>
      </c>
      <c r="B1904" t="s">
        <v>160</v>
      </c>
      <c r="C1904">
        <v>7</v>
      </c>
      <c r="D1904">
        <v>3</v>
      </c>
      <c r="E1904" t="s">
        <v>263</v>
      </c>
      <c r="F1904" s="85" t="s">
        <v>332</v>
      </c>
      <c r="G1904"/>
      <c r="H1904" t="s">
        <v>294</v>
      </c>
      <c r="I1904" t="s">
        <v>212</v>
      </c>
      <c r="J1904" t="s">
        <v>178</v>
      </c>
      <c r="K1904" s="1">
        <v>22.19</v>
      </c>
      <c r="L1904" s="1">
        <v>22.19</v>
      </c>
      <c r="M1904" s="1">
        <v>22.19</v>
      </c>
      <c r="N1904" s="1">
        <v>22.19</v>
      </c>
      <c r="O1904" s="1">
        <v>1664.25</v>
      </c>
      <c r="P1904" s="1">
        <v>1664.25</v>
      </c>
      <c r="Q1904" s="1">
        <v>1664.25</v>
      </c>
      <c r="R1904" s="1">
        <v>2083.61</v>
      </c>
      <c r="S1904" t="s">
        <v>280</v>
      </c>
      <c r="T1904" s="13">
        <v>45942</v>
      </c>
      <c r="U1904" s="1" t="str">
        <f>IF(ESTIMATIVA[[#This Row],[QT_AREA_REAL]]&gt;0,"1- Colhido","2- à Colher")</f>
        <v>1- Colhido</v>
      </c>
      <c r="V1904" s="1" t="str">
        <f>IF(ESTIMATIVA[[#This Row],[QT_AREA_REST1]]&gt;0,"Reestimativa 1",IF(ESTIMATIVA[[#This Row],[QT_AREA_REAL]]=0,"Reestimativa 1","Realizado"))</f>
        <v>Reestimativa 1</v>
      </c>
      <c r="W1904" s="1" t="str">
        <f>IF(ESTIMATIVA[[#This Row],[QT_AREA_REST2]]&gt;0,"Reestimativa 2",IF(ESTIMATIVA[[#This Row],[QT_AREA_REAL]]=0,"Reestimativa 2","Realizado"))</f>
        <v>Reestimativa 2</v>
      </c>
      <c r="X1904" s="1">
        <f>ESTIMATIVA[[#This Row],[QT_AREA_EST]]</f>
        <v>22.19</v>
      </c>
      <c r="Y1904" s="1">
        <f>IF(ESTIMATIVA[[#This Row],[QT_AREA_REST1]]&gt;0,ESTIMATIVA[[#This Row],[QT_AREA_REST1]],
  IF(ESTIMATIVA[[#This Row],[QT_AREA_REAL]]&gt;0,ESTIMATIVA[[#This Row],[QT_AREA_REAL]],ESTIMATIVA[[#This Row],[QT_AREA_EST]]))</f>
        <v>22.19</v>
      </c>
      <c r="Z190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22.19</v>
      </c>
      <c r="AA1904" s="1">
        <f>ESTIMATIVA[[#This Row],[QT_CANA_EST]]</f>
        <v>1664.25</v>
      </c>
      <c r="AB1904" s="1">
        <f>IF(ESTIMATIVA[[#This Row],[QT_CANA_REST1]]&gt;0,ESTIMATIVA[[#This Row],[QT_CANA_REST1]],
  IF(ESTIMATIVA[[#This Row],[QT_CANA_REAL]]&gt;0,ESTIMATIVA[[#This Row],[QT_CANA_REAL]],ESTIMATIVA[[#This Row],[QT_CANA_EST]]))</f>
        <v>1664.25</v>
      </c>
      <c r="AC190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1664.25</v>
      </c>
      <c r="AD1904" s="1">
        <f>IF(ESTIMATIVA[[#This Row],[QT_AREA_REAL]]&gt;0,ESTIMATIVA[[#This Row],[QT_CANA_REAL]],ESTIMATIVA[[#This Row],[QT_CANA_EST]])</f>
        <v>2083.61</v>
      </c>
      <c r="AE1904" s="1">
        <f>IF(ESTIMATIVA[[#This Row],[QT_AREA_REAL]]&gt;0,ESTIMATIVA[[#This Row],[QT_CANA_REAL]],ESTIMATIVA[[#This Row],[QT_CANA_REST1]])</f>
        <v>2083.61</v>
      </c>
      <c r="AF1904" s="1">
        <f>IF(ESTIMATIVA[[#This Row],[QT_AREA_REAL]]&gt;0,ESTIMATIVA[[#This Row],[QT_CANA_REAL]],ESTIMATIVA[[#This Row],[QT_CANA_REST2]])</f>
        <v>2083.61</v>
      </c>
      <c r="AG1904" s="1" t="str">
        <f>IF(COUNTIFS(GEADA!A:A,VALUE(ESTIMATIVA[[#This Row],[CD_UPNIVEL1]]&amp;TEXT(ESTIMATIVA[[#This Row],[CD_UPNIVEL3]],"0000")))&gt;0,"S","N")</f>
        <v>N</v>
      </c>
      <c r="AH190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04" s="55" t="str">
        <f>IF(ESTIMATIVA[[#This Row],[TP_CULTIVO]]="Irrigado",_xlfn.MAXIFS(IRRIGADO!J:J,IRRIGADO!C:C,ESTIMATIVA[[#This Row],[CD_UPNIVEL1]],IRRIGADO!E:E,ESTIMATIVA[[#This Row],[CD_UPNIVEL3]]),"")</f>
        <v/>
      </c>
      <c r="AJ190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04" s="1">
        <f>COUNTIFS(Apresentação!$E$23:$E$29,ESTIMATIVA[[#This Row],[CD_UPNIVEL1]])</f>
        <v>0</v>
      </c>
    </row>
    <row r="1905" spans="1:37" x14ac:dyDescent="0.3">
      <c r="A1905">
        <v>20718</v>
      </c>
      <c r="B1905" t="s">
        <v>161</v>
      </c>
      <c r="C1905">
        <v>1</v>
      </c>
      <c r="D1905">
        <v>3</v>
      </c>
      <c r="E1905" t="s">
        <v>263</v>
      </c>
      <c r="F1905" s="85" t="s">
        <v>330</v>
      </c>
      <c r="G1905"/>
      <c r="H1905" t="s">
        <v>294</v>
      </c>
      <c r="I1905" t="s">
        <v>212</v>
      </c>
      <c r="J1905" t="s">
        <v>178</v>
      </c>
      <c r="K1905" s="1">
        <v>14.43</v>
      </c>
      <c r="L1905" s="1">
        <v>14.43</v>
      </c>
      <c r="M1905" s="1">
        <v>14.43</v>
      </c>
      <c r="N1905" s="1">
        <v>14.43</v>
      </c>
      <c r="O1905" s="1">
        <v>1096.68</v>
      </c>
      <c r="P1905" s="1">
        <v>1096.68</v>
      </c>
      <c r="Q1905" s="1">
        <v>1096.68</v>
      </c>
      <c r="R1905" s="1">
        <v>1046.1099999999999</v>
      </c>
      <c r="S1905" t="s">
        <v>280</v>
      </c>
      <c r="T1905" s="13">
        <v>45935</v>
      </c>
      <c r="U1905" s="1" t="str">
        <f>IF(ESTIMATIVA[[#This Row],[QT_AREA_REAL]]&gt;0,"1- Colhido","2- à Colher")</f>
        <v>1- Colhido</v>
      </c>
      <c r="V1905" s="1" t="str">
        <f>IF(ESTIMATIVA[[#This Row],[QT_AREA_REST1]]&gt;0,"Reestimativa 1",IF(ESTIMATIVA[[#This Row],[QT_AREA_REAL]]=0,"Reestimativa 1","Realizado"))</f>
        <v>Reestimativa 1</v>
      </c>
      <c r="W1905" s="1" t="str">
        <f>IF(ESTIMATIVA[[#This Row],[QT_AREA_REST2]]&gt;0,"Reestimativa 2",IF(ESTIMATIVA[[#This Row],[QT_AREA_REAL]]=0,"Reestimativa 2","Realizado"))</f>
        <v>Reestimativa 2</v>
      </c>
      <c r="X1905" s="1">
        <f>ESTIMATIVA[[#This Row],[QT_AREA_EST]]</f>
        <v>14.43</v>
      </c>
      <c r="Y1905" s="1">
        <f>IF(ESTIMATIVA[[#This Row],[QT_AREA_REST1]]&gt;0,ESTIMATIVA[[#This Row],[QT_AREA_REST1]],
  IF(ESTIMATIVA[[#This Row],[QT_AREA_REAL]]&gt;0,ESTIMATIVA[[#This Row],[QT_AREA_REAL]],ESTIMATIVA[[#This Row],[QT_AREA_EST]]))</f>
        <v>14.43</v>
      </c>
      <c r="Z190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14.43</v>
      </c>
      <c r="AA1905" s="1">
        <f>ESTIMATIVA[[#This Row],[QT_CANA_EST]]</f>
        <v>1096.68</v>
      </c>
      <c r="AB1905" s="1">
        <f>IF(ESTIMATIVA[[#This Row],[QT_CANA_REST1]]&gt;0,ESTIMATIVA[[#This Row],[QT_CANA_REST1]],
  IF(ESTIMATIVA[[#This Row],[QT_CANA_REAL]]&gt;0,ESTIMATIVA[[#This Row],[QT_CANA_REAL]],ESTIMATIVA[[#This Row],[QT_CANA_EST]]))</f>
        <v>1096.68</v>
      </c>
      <c r="AC190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1096.68</v>
      </c>
      <c r="AD1905" s="1">
        <f>IF(ESTIMATIVA[[#This Row],[QT_AREA_REAL]]&gt;0,ESTIMATIVA[[#This Row],[QT_CANA_REAL]],ESTIMATIVA[[#This Row],[QT_CANA_EST]])</f>
        <v>1046.1099999999999</v>
      </c>
      <c r="AE1905" s="1">
        <f>IF(ESTIMATIVA[[#This Row],[QT_AREA_REAL]]&gt;0,ESTIMATIVA[[#This Row],[QT_CANA_REAL]],ESTIMATIVA[[#This Row],[QT_CANA_REST1]])</f>
        <v>1046.1099999999999</v>
      </c>
      <c r="AF1905" s="1">
        <f>IF(ESTIMATIVA[[#This Row],[QT_AREA_REAL]]&gt;0,ESTIMATIVA[[#This Row],[QT_CANA_REAL]],ESTIMATIVA[[#This Row],[QT_CANA_REST2]])</f>
        <v>1046.1099999999999</v>
      </c>
      <c r="AG1905" s="1" t="str">
        <f>IF(COUNTIFS(GEADA!A:A,VALUE(ESTIMATIVA[[#This Row],[CD_UPNIVEL1]]&amp;TEXT(ESTIMATIVA[[#This Row],[CD_UPNIVEL3]],"0000")))&gt;0,"S","N")</f>
        <v>N</v>
      </c>
      <c r="AH190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05" s="55" t="str">
        <f>IF(ESTIMATIVA[[#This Row],[TP_CULTIVO]]="Irrigado",_xlfn.MAXIFS(IRRIGADO!J:J,IRRIGADO!C:C,ESTIMATIVA[[#This Row],[CD_UPNIVEL1]],IRRIGADO!E:E,ESTIMATIVA[[#This Row],[CD_UPNIVEL3]]),"")</f>
        <v/>
      </c>
      <c r="AJ190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05" s="1">
        <f>COUNTIFS(Apresentação!$E$23:$E$29,ESTIMATIVA[[#This Row],[CD_UPNIVEL1]])</f>
        <v>0</v>
      </c>
    </row>
    <row r="1906" spans="1:37" x14ac:dyDescent="0.3">
      <c r="A1906">
        <v>20718</v>
      </c>
      <c r="B1906" t="s">
        <v>161</v>
      </c>
      <c r="C1906">
        <v>2</v>
      </c>
      <c r="D1906">
        <v>3</v>
      </c>
      <c r="E1906" t="s">
        <v>263</v>
      </c>
      <c r="F1906" s="85" t="s">
        <v>330</v>
      </c>
      <c r="G1906"/>
      <c r="H1906" t="s">
        <v>294</v>
      </c>
      <c r="I1906" t="s">
        <v>212</v>
      </c>
      <c r="J1906" t="s">
        <v>178</v>
      </c>
      <c r="K1906" s="1">
        <v>14.81</v>
      </c>
      <c r="L1906" s="1">
        <v>14.81</v>
      </c>
      <c r="M1906" s="1">
        <v>14.81</v>
      </c>
      <c r="N1906" s="1">
        <v>14.81</v>
      </c>
      <c r="O1906" s="1">
        <v>1125.56</v>
      </c>
      <c r="P1906" s="1">
        <v>1184.8</v>
      </c>
      <c r="Q1906" s="1">
        <v>1184.8</v>
      </c>
      <c r="R1906" s="1">
        <v>1130.03</v>
      </c>
      <c r="S1906" t="s">
        <v>280</v>
      </c>
      <c r="T1906" s="13">
        <v>45935</v>
      </c>
      <c r="U1906" s="1" t="str">
        <f>IF(ESTIMATIVA[[#This Row],[QT_AREA_REAL]]&gt;0,"1- Colhido","2- à Colher")</f>
        <v>1- Colhido</v>
      </c>
      <c r="V1906" s="1" t="str">
        <f>IF(ESTIMATIVA[[#This Row],[QT_AREA_REST1]]&gt;0,"Reestimativa 1",IF(ESTIMATIVA[[#This Row],[QT_AREA_REAL]]=0,"Reestimativa 1","Realizado"))</f>
        <v>Reestimativa 1</v>
      </c>
      <c r="W1906" s="1" t="str">
        <f>IF(ESTIMATIVA[[#This Row],[QT_AREA_REST2]]&gt;0,"Reestimativa 2",IF(ESTIMATIVA[[#This Row],[QT_AREA_REAL]]=0,"Reestimativa 2","Realizado"))</f>
        <v>Reestimativa 2</v>
      </c>
      <c r="X1906" s="1">
        <f>ESTIMATIVA[[#This Row],[QT_AREA_EST]]</f>
        <v>14.81</v>
      </c>
      <c r="Y1906" s="1">
        <f>IF(ESTIMATIVA[[#This Row],[QT_AREA_REST1]]&gt;0,ESTIMATIVA[[#This Row],[QT_AREA_REST1]],
  IF(ESTIMATIVA[[#This Row],[QT_AREA_REAL]]&gt;0,ESTIMATIVA[[#This Row],[QT_AREA_REAL]],ESTIMATIVA[[#This Row],[QT_AREA_EST]]))</f>
        <v>14.81</v>
      </c>
      <c r="Z190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14.81</v>
      </c>
      <c r="AA1906" s="1">
        <f>ESTIMATIVA[[#This Row],[QT_CANA_EST]]</f>
        <v>1125.56</v>
      </c>
      <c r="AB1906" s="1">
        <f>IF(ESTIMATIVA[[#This Row],[QT_CANA_REST1]]&gt;0,ESTIMATIVA[[#This Row],[QT_CANA_REST1]],
  IF(ESTIMATIVA[[#This Row],[QT_CANA_REAL]]&gt;0,ESTIMATIVA[[#This Row],[QT_CANA_REAL]],ESTIMATIVA[[#This Row],[QT_CANA_EST]]))</f>
        <v>1184.8</v>
      </c>
      <c r="AC190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1184.8</v>
      </c>
      <c r="AD1906" s="1">
        <f>IF(ESTIMATIVA[[#This Row],[QT_AREA_REAL]]&gt;0,ESTIMATIVA[[#This Row],[QT_CANA_REAL]],ESTIMATIVA[[#This Row],[QT_CANA_EST]])</f>
        <v>1130.03</v>
      </c>
      <c r="AE1906" s="1">
        <f>IF(ESTIMATIVA[[#This Row],[QT_AREA_REAL]]&gt;0,ESTIMATIVA[[#This Row],[QT_CANA_REAL]],ESTIMATIVA[[#This Row],[QT_CANA_REST1]])</f>
        <v>1130.03</v>
      </c>
      <c r="AF1906" s="1">
        <f>IF(ESTIMATIVA[[#This Row],[QT_AREA_REAL]]&gt;0,ESTIMATIVA[[#This Row],[QT_CANA_REAL]],ESTIMATIVA[[#This Row],[QT_CANA_REST2]])</f>
        <v>1130.03</v>
      </c>
      <c r="AG1906" s="1" t="str">
        <f>IF(COUNTIFS(GEADA!A:A,VALUE(ESTIMATIVA[[#This Row],[CD_UPNIVEL1]]&amp;TEXT(ESTIMATIVA[[#This Row],[CD_UPNIVEL3]],"0000")))&gt;0,"S","N")</f>
        <v>N</v>
      </c>
      <c r="AH190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06" s="55" t="str">
        <f>IF(ESTIMATIVA[[#This Row],[TP_CULTIVO]]="Irrigado",_xlfn.MAXIFS(IRRIGADO!J:J,IRRIGADO!C:C,ESTIMATIVA[[#This Row],[CD_UPNIVEL1]],IRRIGADO!E:E,ESTIMATIVA[[#This Row],[CD_UPNIVEL3]]),"")</f>
        <v/>
      </c>
      <c r="AJ190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06" s="1">
        <f>COUNTIFS(Apresentação!$E$23:$E$29,ESTIMATIVA[[#This Row],[CD_UPNIVEL1]])</f>
        <v>0</v>
      </c>
    </row>
    <row r="1907" spans="1:37" x14ac:dyDescent="0.3">
      <c r="A1907">
        <v>20718</v>
      </c>
      <c r="B1907" t="s">
        <v>161</v>
      </c>
      <c r="C1907">
        <v>3</v>
      </c>
      <c r="D1907">
        <v>3</v>
      </c>
      <c r="E1907" t="s">
        <v>263</v>
      </c>
      <c r="F1907" s="85" t="s">
        <v>330</v>
      </c>
      <c r="G1907"/>
      <c r="H1907" t="s">
        <v>294</v>
      </c>
      <c r="I1907" t="s">
        <v>212</v>
      </c>
      <c r="J1907" t="s">
        <v>178</v>
      </c>
      <c r="K1907" s="1">
        <v>6.67</v>
      </c>
      <c r="L1907" s="1">
        <v>6.67</v>
      </c>
      <c r="M1907" s="1">
        <v>6.67</v>
      </c>
      <c r="N1907" s="1">
        <v>6.67</v>
      </c>
      <c r="O1907" s="1">
        <v>506.92</v>
      </c>
      <c r="P1907" s="1">
        <v>506.92</v>
      </c>
      <c r="Q1907" s="1">
        <v>506.92</v>
      </c>
      <c r="R1907" s="1">
        <v>483.44</v>
      </c>
      <c r="S1907" t="s">
        <v>280</v>
      </c>
      <c r="T1907" s="13">
        <v>45935</v>
      </c>
      <c r="U1907" s="1" t="str">
        <f>IF(ESTIMATIVA[[#This Row],[QT_AREA_REAL]]&gt;0,"1- Colhido","2- à Colher")</f>
        <v>1- Colhido</v>
      </c>
      <c r="V1907" s="1" t="str">
        <f>IF(ESTIMATIVA[[#This Row],[QT_AREA_REST1]]&gt;0,"Reestimativa 1",IF(ESTIMATIVA[[#This Row],[QT_AREA_REAL]]=0,"Reestimativa 1","Realizado"))</f>
        <v>Reestimativa 1</v>
      </c>
      <c r="W1907" s="1" t="str">
        <f>IF(ESTIMATIVA[[#This Row],[QT_AREA_REST2]]&gt;0,"Reestimativa 2",IF(ESTIMATIVA[[#This Row],[QT_AREA_REAL]]=0,"Reestimativa 2","Realizado"))</f>
        <v>Reestimativa 2</v>
      </c>
      <c r="X1907" s="1">
        <f>ESTIMATIVA[[#This Row],[QT_AREA_EST]]</f>
        <v>6.67</v>
      </c>
      <c r="Y1907" s="1">
        <f>IF(ESTIMATIVA[[#This Row],[QT_AREA_REST1]]&gt;0,ESTIMATIVA[[#This Row],[QT_AREA_REST1]],
  IF(ESTIMATIVA[[#This Row],[QT_AREA_REAL]]&gt;0,ESTIMATIVA[[#This Row],[QT_AREA_REAL]],ESTIMATIVA[[#This Row],[QT_AREA_EST]]))</f>
        <v>6.67</v>
      </c>
      <c r="Z190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6.67</v>
      </c>
      <c r="AA1907" s="1">
        <f>ESTIMATIVA[[#This Row],[QT_CANA_EST]]</f>
        <v>506.92</v>
      </c>
      <c r="AB1907" s="1">
        <f>IF(ESTIMATIVA[[#This Row],[QT_CANA_REST1]]&gt;0,ESTIMATIVA[[#This Row],[QT_CANA_REST1]],
  IF(ESTIMATIVA[[#This Row],[QT_CANA_REAL]]&gt;0,ESTIMATIVA[[#This Row],[QT_CANA_REAL]],ESTIMATIVA[[#This Row],[QT_CANA_EST]]))</f>
        <v>506.92</v>
      </c>
      <c r="AC190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506.92</v>
      </c>
      <c r="AD1907" s="1">
        <f>IF(ESTIMATIVA[[#This Row],[QT_AREA_REAL]]&gt;0,ESTIMATIVA[[#This Row],[QT_CANA_REAL]],ESTIMATIVA[[#This Row],[QT_CANA_EST]])</f>
        <v>483.44</v>
      </c>
      <c r="AE1907" s="1">
        <f>IF(ESTIMATIVA[[#This Row],[QT_AREA_REAL]]&gt;0,ESTIMATIVA[[#This Row],[QT_CANA_REAL]],ESTIMATIVA[[#This Row],[QT_CANA_REST1]])</f>
        <v>483.44</v>
      </c>
      <c r="AF1907" s="1">
        <f>IF(ESTIMATIVA[[#This Row],[QT_AREA_REAL]]&gt;0,ESTIMATIVA[[#This Row],[QT_CANA_REAL]],ESTIMATIVA[[#This Row],[QT_CANA_REST2]])</f>
        <v>483.44</v>
      </c>
      <c r="AG1907" s="1" t="str">
        <f>IF(COUNTIFS(GEADA!A:A,VALUE(ESTIMATIVA[[#This Row],[CD_UPNIVEL1]]&amp;TEXT(ESTIMATIVA[[#This Row],[CD_UPNIVEL3]],"0000")))&gt;0,"S","N")</f>
        <v>N</v>
      </c>
      <c r="AH190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07" s="55" t="str">
        <f>IF(ESTIMATIVA[[#This Row],[TP_CULTIVO]]="Irrigado",_xlfn.MAXIFS(IRRIGADO!J:J,IRRIGADO!C:C,ESTIMATIVA[[#This Row],[CD_UPNIVEL1]],IRRIGADO!E:E,ESTIMATIVA[[#This Row],[CD_UPNIVEL3]]),"")</f>
        <v/>
      </c>
      <c r="AJ190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07" s="1">
        <f>COUNTIFS(Apresentação!$E$23:$E$29,ESTIMATIVA[[#This Row],[CD_UPNIVEL1]])</f>
        <v>0</v>
      </c>
    </row>
    <row r="1908" spans="1:37" x14ac:dyDescent="0.3">
      <c r="A1908">
        <v>20718</v>
      </c>
      <c r="B1908" t="s">
        <v>161</v>
      </c>
      <c r="C1908">
        <v>4</v>
      </c>
      <c r="D1908">
        <v>3</v>
      </c>
      <c r="E1908" t="s">
        <v>263</v>
      </c>
      <c r="F1908" s="85" t="s">
        <v>330</v>
      </c>
      <c r="G1908"/>
      <c r="H1908" t="s">
        <v>294</v>
      </c>
      <c r="I1908" t="s">
        <v>212</v>
      </c>
      <c r="J1908" t="s">
        <v>178</v>
      </c>
      <c r="K1908" s="1">
        <v>6.53</v>
      </c>
      <c r="L1908" s="1">
        <v>6.53</v>
      </c>
      <c r="M1908" s="1">
        <v>6.53</v>
      </c>
      <c r="N1908" s="1">
        <v>6.53</v>
      </c>
      <c r="O1908" s="1">
        <v>496.28</v>
      </c>
      <c r="P1908" s="1">
        <v>522.4</v>
      </c>
      <c r="Q1908" s="1">
        <v>522.4</v>
      </c>
      <c r="R1908" s="1">
        <v>497.76</v>
      </c>
      <c r="S1908" t="s">
        <v>280</v>
      </c>
      <c r="T1908" s="13">
        <v>45935</v>
      </c>
      <c r="U1908" s="1" t="str">
        <f>IF(ESTIMATIVA[[#This Row],[QT_AREA_REAL]]&gt;0,"1- Colhido","2- à Colher")</f>
        <v>1- Colhido</v>
      </c>
      <c r="V1908" s="1" t="str">
        <f>IF(ESTIMATIVA[[#This Row],[QT_AREA_REST1]]&gt;0,"Reestimativa 1",IF(ESTIMATIVA[[#This Row],[QT_AREA_REAL]]=0,"Reestimativa 1","Realizado"))</f>
        <v>Reestimativa 1</v>
      </c>
      <c r="W1908" s="1" t="str">
        <f>IF(ESTIMATIVA[[#This Row],[QT_AREA_REST2]]&gt;0,"Reestimativa 2",IF(ESTIMATIVA[[#This Row],[QT_AREA_REAL]]=0,"Reestimativa 2","Realizado"))</f>
        <v>Reestimativa 2</v>
      </c>
      <c r="X1908" s="1">
        <f>ESTIMATIVA[[#This Row],[QT_AREA_EST]]</f>
        <v>6.53</v>
      </c>
      <c r="Y1908" s="1">
        <f>IF(ESTIMATIVA[[#This Row],[QT_AREA_REST1]]&gt;0,ESTIMATIVA[[#This Row],[QT_AREA_REST1]],
  IF(ESTIMATIVA[[#This Row],[QT_AREA_REAL]]&gt;0,ESTIMATIVA[[#This Row],[QT_AREA_REAL]],ESTIMATIVA[[#This Row],[QT_AREA_EST]]))</f>
        <v>6.53</v>
      </c>
      <c r="Z190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6.53</v>
      </c>
      <c r="AA1908" s="1">
        <f>ESTIMATIVA[[#This Row],[QT_CANA_EST]]</f>
        <v>496.28</v>
      </c>
      <c r="AB1908" s="1">
        <f>IF(ESTIMATIVA[[#This Row],[QT_CANA_REST1]]&gt;0,ESTIMATIVA[[#This Row],[QT_CANA_REST1]],
  IF(ESTIMATIVA[[#This Row],[QT_CANA_REAL]]&gt;0,ESTIMATIVA[[#This Row],[QT_CANA_REAL]],ESTIMATIVA[[#This Row],[QT_CANA_EST]]))</f>
        <v>522.4</v>
      </c>
      <c r="AC190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522.4</v>
      </c>
      <c r="AD1908" s="1">
        <f>IF(ESTIMATIVA[[#This Row],[QT_AREA_REAL]]&gt;0,ESTIMATIVA[[#This Row],[QT_CANA_REAL]],ESTIMATIVA[[#This Row],[QT_CANA_EST]])</f>
        <v>497.76</v>
      </c>
      <c r="AE1908" s="1">
        <f>IF(ESTIMATIVA[[#This Row],[QT_AREA_REAL]]&gt;0,ESTIMATIVA[[#This Row],[QT_CANA_REAL]],ESTIMATIVA[[#This Row],[QT_CANA_REST1]])</f>
        <v>497.76</v>
      </c>
      <c r="AF1908" s="1">
        <f>IF(ESTIMATIVA[[#This Row],[QT_AREA_REAL]]&gt;0,ESTIMATIVA[[#This Row],[QT_CANA_REAL]],ESTIMATIVA[[#This Row],[QT_CANA_REST2]])</f>
        <v>497.76</v>
      </c>
      <c r="AG1908" s="1" t="str">
        <f>IF(COUNTIFS(GEADA!A:A,VALUE(ESTIMATIVA[[#This Row],[CD_UPNIVEL1]]&amp;TEXT(ESTIMATIVA[[#This Row],[CD_UPNIVEL3]],"0000")))&gt;0,"S","N")</f>
        <v>N</v>
      </c>
      <c r="AH190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08" s="55" t="str">
        <f>IF(ESTIMATIVA[[#This Row],[TP_CULTIVO]]="Irrigado",_xlfn.MAXIFS(IRRIGADO!J:J,IRRIGADO!C:C,ESTIMATIVA[[#This Row],[CD_UPNIVEL1]],IRRIGADO!E:E,ESTIMATIVA[[#This Row],[CD_UPNIVEL3]]),"")</f>
        <v/>
      </c>
      <c r="AJ190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08" s="1">
        <f>COUNTIFS(Apresentação!$E$23:$E$29,ESTIMATIVA[[#This Row],[CD_UPNIVEL1]])</f>
        <v>0</v>
      </c>
    </row>
    <row r="1909" spans="1:37" x14ac:dyDescent="0.3">
      <c r="A1909">
        <v>20718</v>
      </c>
      <c r="B1909" t="s">
        <v>161</v>
      </c>
      <c r="C1909">
        <v>5</v>
      </c>
      <c r="D1909">
        <v>3</v>
      </c>
      <c r="E1909" t="s">
        <v>263</v>
      </c>
      <c r="F1909" s="85" t="s">
        <v>330</v>
      </c>
      <c r="G1909"/>
      <c r="H1909" t="s">
        <v>294</v>
      </c>
      <c r="I1909" t="s">
        <v>212</v>
      </c>
      <c r="J1909" t="s">
        <v>178</v>
      </c>
      <c r="K1909" s="1">
        <v>13.68</v>
      </c>
      <c r="L1909" s="1">
        <v>13.68</v>
      </c>
      <c r="M1909" s="1">
        <v>13.68</v>
      </c>
      <c r="N1909" s="1">
        <v>13.68</v>
      </c>
      <c r="O1909" s="1">
        <v>1039.68</v>
      </c>
      <c r="P1909" s="1">
        <v>1067.04</v>
      </c>
      <c r="Q1909" s="1">
        <v>1067.04</v>
      </c>
      <c r="R1909" s="1">
        <v>1017.79</v>
      </c>
      <c r="S1909" t="s">
        <v>280</v>
      </c>
      <c r="T1909" s="13">
        <v>45935</v>
      </c>
      <c r="U1909" s="1" t="str">
        <f>IF(ESTIMATIVA[[#This Row],[QT_AREA_REAL]]&gt;0,"1- Colhido","2- à Colher")</f>
        <v>1- Colhido</v>
      </c>
      <c r="V1909" s="1" t="str">
        <f>IF(ESTIMATIVA[[#This Row],[QT_AREA_REST1]]&gt;0,"Reestimativa 1",IF(ESTIMATIVA[[#This Row],[QT_AREA_REAL]]=0,"Reestimativa 1","Realizado"))</f>
        <v>Reestimativa 1</v>
      </c>
      <c r="W1909" s="1" t="str">
        <f>IF(ESTIMATIVA[[#This Row],[QT_AREA_REST2]]&gt;0,"Reestimativa 2",IF(ESTIMATIVA[[#This Row],[QT_AREA_REAL]]=0,"Reestimativa 2","Realizado"))</f>
        <v>Reestimativa 2</v>
      </c>
      <c r="X1909" s="1">
        <f>ESTIMATIVA[[#This Row],[QT_AREA_EST]]</f>
        <v>13.68</v>
      </c>
      <c r="Y1909" s="1">
        <f>IF(ESTIMATIVA[[#This Row],[QT_AREA_REST1]]&gt;0,ESTIMATIVA[[#This Row],[QT_AREA_REST1]],
  IF(ESTIMATIVA[[#This Row],[QT_AREA_REAL]]&gt;0,ESTIMATIVA[[#This Row],[QT_AREA_REAL]],ESTIMATIVA[[#This Row],[QT_AREA_EST]]))</f>
        <v>13.68</v>
      </c>
      <c r="Z190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13.68</v>
      </c>
      <c r="AA1909" s="1">
        <f>ESTIMATIVA[[#This Row],[QT_CANA_EST]]</f>
        <v>1039.68</v>
      </c>
      <c r="AB1909" s="1">
        <f>IF(ESTIMATIVA[[#This Row],[QT_CANA_REST1]]&gt;0,ESTIMATIVA[[#This Row],[QT_CANA_REST1]],
  IF(ESTIMATIVA[[#This Row],[QT_CANA_REAL]]&gt;0,ESTIMATIVA[[#This Row],[QT_CANA_REAL]],ESTIMATIVA[[#This Row],[QT_CANA_EST]]))</f>
        <v>1067.04</v>
      </c>
      <c r="AC190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1067.04</v>
      </c>
      <c r="AD1909" s="1">
        <f>IF(ESTIMATIVA[[#This Row],[QT_AREA_REAL]]&gt;0,ESTIMATIVA[[#This Row],[QT_CANA_REAL]],ESTIMATIVA[[#This Row],[QT_CANA_EST]])</f>
        <v>1017.79</v>
      </c>
      <c r="AE1909" s="1">
        <f>IF(ESTIMATIVA[[#This Row],[QT_AREA_REAL]]&gt;0,ESTIMATIVA[[#This Row],[QT_CANA_REAL]],ESTIMATIVA[[#This Row],[QT_CANA_REST1]])</f>
        <v>1017.79</v>
      </c>
      <c r="AF1909" s="1">
        <f>IF(ESTIMATIVA[[#This Row],[QT_AREA_REAL]]&gt;0,ESTIMATIVA[[#This Row],[QT_CANA_REAL]],ESTIMATIVA[[#This Row],[QT_CANA_REST2]])</f>
        <v>1017.79</v>
      </c>
      <c r="AG1909" s="1" t="str">
        <f>IF(COUNTIFS(GEADA!A:A,VALUE(ESTIMATIVA[[#This Row],[CD_UPNIVEL1]]&amp;TEXT(ESTIMATIVA[[#This Row],[CD_UPNIVEL3]],"0000")))&gt;0,"S","N")</f>
        <v>N</v>
      </c>
      <c r="AH190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09" s="55" t="str">
        <f>IF(ESTIMATIVA[[#This Row],[TP_CULTIVO]]="Irrigado",_xlfn.MAXIFS(IRRIGADO!J:J,IRRIGADO!C:C,ESTIMATIVA[[#This Row],[CD_UPNIVEL1]],IRRIGADO!E:E,ESTIMATIVA[[#This Row],[CD_UPNIVEL3]]),"")</f>
        <v/>
      </c>
      <c r="AJ190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09" s="1">
        <f>COUNTIFS(Apresentação!$E$23:$E$29,ESTIMATIVA[[#This Row],[CD_UPNIVEL1]])</f>
        <v>0</v>
      </c>
    </row>
    <row r="1910" spans="1:37" x14ac:dyDescent="0.3">
      <c r="A1910">
        <v>20719</v>
      </c>
      <c r="B1910" t="s">
        <v>99</v>
      </c>
      <c r="C1910">
        <v>1</v>
      </c>
      <c r="D1910">
        <v>3</v>
      </c>
      <c r="E1910" t="s">
        <v>263</v>
      </c>
      <c r="F1910" s="85" t="s">
        <v>330</v>
      </c>
      <c r="G1910"/>
      <c r="H1910" t="s">
        <v>294</v>
      </c>
      <c r="I1910" t="s">
        <v>228</v>
      </c>
      <c r="J1910" t="s">
        <v>178</v>
      </c>
      <c r="K1910" s="1">
        <v>5.3</v>
      </c>
      <c r="L1910" s="1">
        <v>0</v>
      </c>
      <c r="M1910" s="1">
        <v>0</v>
      </c>
      <c r="N1910" s="1">
        <v>5.3</v>
      </c>
      <c r="O1910" s="1">
        <v>339.2</v>
      </c>
      <c r="P1910" s="1">
        <v>0</v>
      </c>
      <c r="Q1910" s="1">
        <v>0</v>
      </c>
      <c r="R1910" s="1">
        <v>505.62</v>
      </c>
      <c r="S1910" t="s">
        <v>280</v>
      </c>
      <c r="T1910" s="13">
        <v>45837</v>
      </c>
      <c r="U1910" s="1" t="str">
        <f>IF(ESTIMATIVA[[#This Row],[QT_AREA_REAL]]&gt;0,"1- Colhido","2- à Colher")</f>
        <v>1- Colhido</v>
      </c>
      <c r="V1910" s="1" t="str">
        <f>IF(ESTIMATIVA[[#This Row],[QT_AREA_REST1]]&gt;0,"Reestimativa 1",IF(ESTIMATIVA[[#This Row],[QT_AREA_REAL]]=0,"Reestimativa 1","Realizado"))</f>
        <v>Realizado</v>
      </c>
      <c r="W1910" s="1" t="str">
        <f>IF(ESTIMATIVA[[#This Row],[QT_AREA_REST2]]&gt;0,"Reestimativa 2",IF(ESTIMATIVA[[#This Row],[QT_AREA_REAL]]=0,"Reestimativa 2","Realizado"))</f>
        <v>Realizado</v>
      </c>
      <c r="X1910" s="1">
        <f>ESTIMATIVA[[#This Row],[QT_AREA_EST]]</f>
        <v>5.3</v>
      </c>
      <c r="Y1910" s="1">
        <f>IF(ESTIMATIVA[[#This Row],[QT_AREA_REST1]]&gt;0,ESTIMATIVA[[#This Row],[QT_AREA_REST1]],
  IF(ESTIMATIVA[[#This Row],[QT_AREA_REAL]]&gt;0,ESTIMATIVA[[#This Row],[QT_AREA_REAL]],ESTIMATIVA[[#This Row],[QT_AREA_EST]]))</f>
        <v>5.3</v>
      </c>
      <c r="Z191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5.3</v>
      </c>
      <c r="AA1910" s="1">
        <f>ESTIMATIVA[[#This Row],[QT_CANA_EST]]</f>
        <v>339.2</v>
      </c>
      <c r="AB1910" s="1">
        <f>IF(ESTIMATIVA[[#This Row],[QT_CANA_REST1]]&gt;0,ESTIMATIVA[[#This Row],[QT_CANA_REST1]],
  IF(ESTIMATIVA[[#This Row],[QT_CANA_REAL]]&gt;0,ESTIMATIVA[[#This Row],[QT_CANA_REAL]],ESTIMATIVA[[#This Row],[QT_CANA_EST]]))</f>
        <v>505.62</v>
      </c>
      <c r="AC191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505.62</v>
      </c>
      <c r="AD1910" s="1">
        <f>IF(ESTIMATIVA[[#This Row],[QT_AREA_REAL]]&gt;0,ESTIMATIVA[[#This Row],[QT_CANA_REAL]],ESTIMATIVA[[#This Row],[QT_CANA_EST]])</f>
        <v>505.62</v>
      </c>
      <c r="AE1910" s="1">
        <f>IF(ESTIMATIVA[[#This Row],[QT_AREA_REAL]]&gt;0,ESTIMATIVA[[#This Row],[QT_CANA_REAL]],ESTIMATIVA[[#This Row],[QT_CANA_REST1]])</f>
        <v>505.62</v>
      </c>
      <c r="AF1910" s="1">
        <f>IF(ESTIMATIVA[[#This Row],[QT_AREA_REAL]]&gt;0,ESTIMATIVA[[#This Row],[QT_CANA_REAL]],ESTIMATIVA[[#This Row],[QT_CANA_REST2]])</f>
        <v>505.62</v>
      </c>
      <c r="AG1910" s="1" t="str">
        <f>IF(COUNTIFS(GEADA!A:A,VALUE(ESTIMATIVA[[#This Row],[CD_UPNIVEL1]]&amp;TEXT(ESTIMATIVA[[#This Row],[CD_UPNIVEL3]],"0000")))&gt;0,"S","N")</f>
        <v>N</v>
      </c>
      <c r="AH191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10" s="55" t="str">
        <f>IF(ESTIMATIVA[[#This Row],[TP_CULTIVO]]="Irrigado",_xlfn.MAXIFS(IRRIGADO!J:J,IRRIGADO!C:C,ESTIMATIVA[[#This Row],[CD_UPNIVEL1]],IRRIGADO!E:E,ESTIMATIVA[[#This Row],[CD_UPNIVEL3]]),"")</f>
        <v/>
      </c>
      <c r="AJ191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10" s="1">
        <f>COUNTIFS(Apresentação!$E$23:$E$29,ESTIMATIVA[[#This Row],[CD_UPNIVEL1]])</f>
        <v>0</v>
      </c>
    </row>
    <row r="1911" spans="1:37" x14ac:dyDescent="0.3">
      <c r="A1911">
        <v>20719</v>
      </c>
      <c r="B1911" t="s">
        <v>99</v>
      </c>
      <c r="C1911">
        <v>2</v>
      </c>
      <c r="D1911">
        <v>3</v>
      </c>
      <c r="E1911" t="s">
        <v>263</v>
      </c>
      <c r="F1911" s="85" t="s">
        <v>330</v>
      </c>
      <c r="G1911"/>
      <c r="H1911" t="s">
        <v>294</v>
      </c>
      <c r="I1911" t="s">
        <v>228</v>
      </c>
      <c r="J1911" t="s">
        <v>178</v>
      </c>
      <c r="K1911" s="1">
        <v>4.51</v>
      </c>
      <c r="L1911" s="1">
        <v>0</v>
      </c>
      <c r="M1911" s="1">
        <v>0</v>
      </c>
      <c r="N1911" s="1">
        <v>4.51</v>
      </c>
      <c r="O1911" s="1">
        <v>288.64</v>
      </c>
      <c r="P1911" s="1">
        <v>0</v>
      </c>
      <c r="Q1911" s="1">
        <v>0</v>
      </c>
      <c r="R1911" s="1">
        <v>431.04</v>
      </c>
      <c r="S1911" t="s">
        <v>280</v>
      </c>
      <c r="T1911" s="13">
        <v>45837</v>
      </c>
      <c r="U1911" s="1" t="str">
        <f>IF(ESTIMATIVA[[#This Row],[QT_AREA_REAL]]&gt;0,"1- Colhido","2- à Colher")</f>
        <v>1- Colhido</v>
      </c>
      <c r="V1911" s="1" t="str">
        <f>IF(ESTIMATIVA[[#This Row],[QT_AREA_REST1]]&gt;0,"Reestimativa 1",IF(ESTIMATIVA[[#This Row],[QT_AREA_REAL]]=0,"Reestimativa 1","Realizado"))</f>
        <v>Realizado</v>
      </c>
      <c r="W1911" s="1" t="str">
        <f>IF(ESTIMATIVA[[#This Row],[QT_AREA_REST2]]&gt;0,"Reestimativa 2",IF(ESTIMATIVA[[#This Row],[QT_AREA_REAL]]=0,"Reestimativa 2","Realizado"))</f>
        <v>Realizado</v>
      </c>
      <c r="X1911" s="1">
        <f>ESTIMATIVA[[#This Row],[QT_AREA_EST]]</f>
        <v>4.51</v>
      </c>
      <c r="Y1911" s="1">
        <f>IF(ESTIMATIVA[[#This Row],[QT_AREA_REST1]]&gt;0,ESTIMATIVA[[#This Row],[QT_AREA_REST1]],
  IF(ESTIMATIVA[[#This Row],[QT_AREA_REAL]]&gt;0,ESTIMATIVA[[#This Row],[QT_AREA_REAL]],ESTIMATIVA[[#This Row],[QT_AREA_EST]]))</f>
        <v>4.51</v>
      </c>
      <c r="Z191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4.51</v>
      </c>
      <c r="AA1911" s="1">
        <f>ESTIMATIVA[[#This Row],[QT_CANA_EST]]</f>
        <v>288.64</v>
      </c>
      <c r="AB1911" s="1">
        <f>IF(ESTIMATIVA[[#This Row],[QT_CANA_REST1]]&gt;0,ESTIMATIVA[[#This Row],[QT_CANA_REST1]],
  IF(ESTIMATIVA[[#This Row],[QT_CANA_REAL]]&gt;0,ESTIMATIVA[[#This Row],[QT_CANA_REAL]],ESTIMATIVA[[#This Row],[QT_CANA_EST]]))</f>
        <v>431.04</v>
      </c>
      <c r="AC191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431.04</v>
      </c>
      <c r="AD1911" s="1">
        <f>IF(ESTIMATIVA[[#This Row],[QT_AREA_REAL]]&gt;0,ESTIMATIVA[[#This Row],[QT_CANA_REAL]],ESTIMATIVA[[#This Row],[QT_CANA_EST]])</f>
        <v>431.04</v>
      </c>
      <c r="AE1911" s="1">
        <f>IF(ESTIMATIVA[[#This Row],[QT_AREA_REAL]]&gt;0,ESTIMATIVA[[#This Row],[QT_CANA_REAL]],ESTIMATIVA[[#This Row],[QT_CANA_REST1]])</f>
        <v>431.04</v>
      </c>
      <c r="AF1911" s="1">
        <f>IF(ESTIMATIVA[[#This Row],[QT_AREA_REAL]]&gt;0,ESTIMATIVA[[#This Row],[QT_CANA_REAL]],ESTIMATIVA[[#This Row],[QT_CANA_REST2]])</f>
        <v>431.04</v>
      </c>
      <c r="AG1911" s="1" t="str">
        <f>IF(COUNTIFS(GEADA!A:A,VALUE(ESTIMATIVA[[#This Row],[CD_UPNIVEL1]]&amp;TEXT(ESTIMATIVA[[#This Row],[CD_UPNIVEL3]],"0000")))&gt;0,"S","N")</f>
        <v>N</v>
      </c>
      <c r="AH191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11" s="55" t="str">
        <f>IF(ESTIMATIVA[[#This Row],[TP_CULTIVO]]="Irrigado",_xlfn.MAXIFS(IRRIGADO!J:J,IRRIGADO!C:C,ESTIMATIVA[[#This Row],[CD_UPNIVEL1]],IRRIGADO!E:E,ESTIMATIVA[[#This Row],[CD_UPNIVEL3]]),"")</f>
        <v/>
      </c>
      <c r="AJ191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11" s="1">
        <f>COUNTIFS(Apresentação!$E$23:$E$29,ESTIMATIVA[[#This Row],[CD_UPNIVEL1]])</f>
        <v>0</v>
      </c>
    </row>
    <row r="1912" spans="1:37" x14ac:dyDescent="0.3">
      <c r="A1912">
        <v>20719</v>
      </c>
      <c r="B1912" t="s">
        <v>99</v>
      </c>
      <c r="C1912">
        <v>3</v>
      </c>
      <c r="D1912">
        <v>3</v>
      </c>
      <c r="E1912" t="s">
        <v>263</v>
      </c>
      <c r="F1912" s="85" t="s">
        <v>330</v>
      </c>
      <c r="G1912"/>
      <c r="H1912" t="s">
        <v>294</v>
      </c>
      <c r="I1912" t="s">
        <v>228</v>
      </c>
      <c r="J1912" t="s">
        <v>178</v>
      </c>
      <c r="K1912" s="1">
        <v>6.85</v>
      </c>
      <c r="L1912" s="1">
        <v>0</v>
      </c>
      <c r="M1912" s="1">
        <v>0</v>
      </c>
      <c r="N1912" s="1">
        <v>6.85</v>
      </c>
      <c r="O1912" s="1">
        <v>438.4</v>
      </c>
      <c r="P1912" s="1">
        <v>0</v>
      </c>
      <c r="Q1912" s="1">
        <v>0</v>
      </c>
      <c r="R1912" s="1">
        <v>653.37</v>
      </c>
      <c r="S1912" t="s">
        <v>280</v>
      </c>
      <c r="T1912" s="13">
        <v>45837</v>
      </c>
      <c r="U1912" s="1" t="str">
        <f>IF(ESTIMATIVA[[#This Row],[QT_AREA_REAL]]&gt;0,"1- Colhido","2- à Colher")</f>
        <v>1- Colhido</v>
      </c>
      <c r="V1912" s="1" t="str">
        <f>IF(ESTIMATIVA[[#This Row],[QT_AREA_REST1]]&gt;0,"Reestimativa 1",IF(ESTIMATIVA[[#This Row],[QT_AREA_REAL]]=0,"Reestimativa 1","Realizado"))</f>
        <v>Realizado</v>
      </c>
      <c r="W1912" s="1" t="str">
        <f>IF(ESTIMATIVA[[#This Row],[QT_AREA_REST2]]&gt;0,"Reestimativa 2",IF(ESTIMATIVA[[#This Row],[QT_AREA_REAL]]=0,"Reestimativa 2","Realizado"))</f>
        <v>Realizado</v>
      </c>
      <c r="X1912" s="1">
        <f>ESTIMATIVA[[#This Row],[QT_AREA_EST]]</f>
        <v>6.85</v>
      </c>
      <c r="Y1912" s="1">
        <f>IF(ESTIMATIVA[[#This Row],[QT_AREA_REST1]]&gt;0,ESTIMATIVA[[#This Row],[QT_AREA_REST1]],
  IF(ESTIMATIVA[[#This Row],[QT_AREA_REAL]]&gt;0,ESTIMATIVA[[#This Row],[QT_AREA_REAL]],ESTIMATIVA[[#This Row],[QT_AREA_EST]]))</f>
        <v>6.85</v>
      </c>
      <c r="Z191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6.85</v>
      </c>
      <c r="AA1912" s="1">
        <f>ESTIMATIVA[[#This Row],[QT_CANA_EST]]</f>
        <v>438.4</v>
      </c>
      <c r="AB1912" s="1">
        <f>IF(ESTIMATIVA[[#This Row],[QT_CANA_REST1]]&gt;0,ESTIMATIVA[[#This Row],[QT_CANA_REST1]],
  IF(ESTIMATIVA[[#This Row],[QT_CANA_REAL]]&gt;0,ESTIMATIVA[[#This Row],[QT_CANA_REAL]],ESTIMATIVA[[#This Row],[QT_CANA_EST]]))</f>
        <v>653.37</v>
      </c>
      <c r="AC191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653.37</v>
      </c>
      <c r="AD1912" s="1">
        <f>IF(ESTIMATIVA[[#This Row],[QT_AREA_REAL]]&gt;0,ESTIMATIVA[[#This Row],[QT_CANA_REAL]],ESTIMATIVA[[#This Row],[QT_CANA_EST]])</f>
        <v>653.37</v>
      </c>
      <c r="AE1912" s="1">
        <f>IF(ESTIMATIVA[[#This Row],[QT_AREA_REAL]]&gt;0,ESTIMATIVA[[#This Row],[QT_CANA_REAL]],ESTIMATIVA[[#This Row],[QT_CANA_REST1]])</f>
        <v>653.37</v>
      </c>
      <c r="AF1912" s="1">
        <f>IF(ESTIMATIVA[[#This Row],[QT_AREA_REAL]]&gt;0,ESTIMATIVA[[#This Row],[QT_CANA_REAL]],ESTIMATIVA[[#This Row],[QT_CANA_REST2]])</f>
        <v>653.37</v>
      </c>
      <c r="AG1912" s="1" t="str">
        <f>IF(COUNTIFS(GEADA!A:A,VALUE(ESTIMATIVA[[#This Row],[CD_UPNIVEL1]]&amp;TEXT(ESTIMATIVA[[#This Row],[CD_UPNIVEL3]],"0000")))&gt;0,"S","N")</f>
        <v>N</v>
      </c>
      <c r="AH191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12" s="55" t="str">
        <f>IF(ESTIMATIVA[[#This Row],[TP_CULTIVO]]="Irrigado",_xlfn.MAXIFS(IRRIGADO!J:J,IRRIGADO!C:C,ESTIMATIVA[[#This Row],[CD_UPNIVEL1]],IRRIGADO!E:E,ESTIMATIVA[[#This Row],[CD_UPNIVEL3]]),"")</f>
        <v/>
      </c>
      <c r="AJ191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12" s="1">
        <f>COUNTIFS(Apresentação!$E$23:$E$29,ESTIMATIVA[[#This Row],[CD_UPNIVEL1]])</f>
        <v>0</v>
      </c>
    </row>
    <row r="1913" spans="1:37" x14ac:dyDescent="0.3">
      <c r="A1913">
        <v>20811</v>
      </c>
      <c r="B1913" t="s">
        <v>162</v>
      </c>
      <c r="C1913">
        <v>122</v>
      </c>
      <c r="D1913">
        <v>2</v>
      </c>
      <c r="E1913" t="s">
        <v>266</v>
      </c>
      <c r="F1913" s="85"/>
      <c r="G1913"/>
      <c r="H1913" t="s">
        <v>296</v>
      </c>
      <c r="I1913" t="s">
        <v>202</v>
      </c>
      <c r="J1913" t="s">
        <v>177</v>
      </c>
      <c r="K1913" s="1">
        <v>14.65</v>
      </c>
      <c r="L1913" s="1">
        <v>14.65</v>
      </c>
      <c r="M1913" s="1">
        <v>0</v>
      </c>
      <c r="N1913" s="1">
        <v>14.65</v>
      </c>
      <c r="O1913" s="1">
        <v>1025.5</v>
      </c>
      <c r="P1913" s="1">
        <v>879</v>
      </c>
      <c r="Q1913" s="1">
        <v>0</v>
      </c>
      <c r="R1913" s="1">
        <v>821.58</v>
      </c>
      <c r="S1913" t="s">
        <v>281</v>
      </c>
      <c r="T1913" s="13">
        <v>45921</v>
      </c>
      <c r="U1913" s="1" t="str">
        <f>IF(ESTIMATIVA[[#This Row],[QT_AREA_REAL]]&gt;0,"1- Colhido","2- à Colher")</f>
        <v>1- Colhido</v>
      </c>
      <c r="V1913" s="1" t="str">
        <f>IF(ESTIMATIVA[[#This Row],[QT_AREA_REST1]]&gt;0,"Reestimativa 1",IF(ESTIMATIVA[[#This Row],[QT_AREA_REAL]]=0,"Reestimativa 1","Realizado"))</f>
        <v>Reestimativa 1</v>
      </c>
      <c r="W1913" s="1" t="str">
        <f>IF(ESTIMATIVA[[#This Row],[QT_AREA_REST2]]&gt;0,"Reestimativa 2",IF(ESTIMATIVA[[#This Row],[QT_AREA_REAL]]=0,"Reestimativa 2","Realizado"))</f>
        <v>Realizado</v>
      </c>
      <c r="X1913" s="1">
        <f>ESTIMATIVA[[#This Row],[QT_AREA_EST]]</f>
        <v>14.65</v>
      </c>
      <c r="Y1913" s="1">
        <f>IF(ESTIMATIVA[[#This Row],[QT_AREA_REST1]]&gt;0,ESTIMATIVA[[#This Row],[QT_AREA_REST1]],
  IF(ESTIMATIVA[[#This Row],[QT_AREA_REAL]]&gt;0,ESTIMATIVA[[#This Row],[QT_AREA_REAL]],ESTIMATIVA[[#This Row],[QT_AREA_EST]]))</f>
        <v>14.65</v>
      </c>
      <c r="Z191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14.65</v>
      </c>
      <c r="AA1913" s="1">
        <f>ESTIMATIVA[[#This Row],[QT_CANA_EST]]</f>
        <v>1025.5</v>
      </c>
      <c r="AB1913" s="1">
        <f>IF(ESTIMATIVA[[#This Row],[QT_CANA_REST1]]&gt;0,ESTIMATIVA[[#This Row],[QT_CANA_REST1]],
  IF(ESTIMATIVA[[#This Row],[QT_CANA_REAL]]&gt;0,ESTIMATIVA[[#This Row],[QT_CANA_REAL]],ESTIMATIVA[[#This Row],[QT_CANA_EST]]))</f>
        <v>879</v>
      </c>
      <c r="AC191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821.58</v>
      </c>
      <c r="AD1913" s="1">
        <f>IF(ESTIMATIVA[[#This Row],[QT_AREA_REAL]]&gt;0,ESTIMATIVA[[#This Row],[QT_CANA_REAL]],ESTIMATIVA[[#This Row],[QT_CANA_EST]])</f>
        <v>821.58</v>
      </c>
      <c r="AE1913" s="1">
        <f>IF(ESTIMATIVA[[#This Row],[QT_AREA_REAL]]&gt;0,ESTIMATIVA[[#This Row],[QT_CANA_REAL]],ESTIMATIVA[[#This Row],[QT_CANA_REST1]])</f>
        <v>821.58</v>
      </c>
      <c r="AF1913" s="1">
        <f>IF(ESTIMATIVA[[#This Row],[QT_AREA_REAL]]&gt;0,ESTIMATIVA[[#This Row],[QT_CANA_REAL]],ESTIMATIVA[[#This Row],[QT_CANA_REST2]])</f>
        <v>821.58</v>
      </c>
      <c r="AG1913" s="1" t="str">
        <f>IF(COUNTIFS(GEADA!A:A,VALUE(ESTIMATIVA[[#This Row],[CD_UPNIVEL1]]&amp;TEXT(ESTIMATIVA[[#This Row],[CD_UPNIVEL3]],"0000")))&gt;0,"S","N")</f>
        <v>N</v>
      </c>
      <c r="AH1913" s="1" t="str">
        <f>IF(COUNTIFS(IRRIGADO!C:C,ESTIMATIVA[[#This Row],[CD_UPNIVEL1]],IRRIGADO!E:E,ESTIMATIVA[[#This Row],[CD_UPNIVEL3]])&gt;0,"Irrigado",IF(ESTIMATIVA[[#This Row],[DE_SIST_CULT]]="Mineral","Sequeiro",ESTIMATIVA[[#This Row],[DE_SIST_CULT]]))</f>
        <v>A Definir</v>
      </c>
      <c r="AI1913" s="55" t="str">
        <f>IF(ESTIMATIVA[[#This Row],[TP_CULTIVO]]="Irrigado",_xlfn.MAXIFS(IRRIGADO!J:J,IRRIGADO!C:C,ESTIMATIVA[[#This Row],[CD_UPNIVEL1]],IRRIGADO!E:E,ESTIMATIVA[[#This Row],[CD_UPNIVEL3]]),"")</f>
        <v/>
      </c>
      <c r="AJ191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13" s="1">
        <f>COUNTIFS(Apresentação!$E$23:$E$29,ESTIMATIVA[[#This Row],[CD_UPNIVEL1]])</f>
        <v>0</v>
      </c>
    </row>
    <row r="1914" spans="1:37" x14ac:dyDescent="0.3">
      <c r="A1914">
        <v>20811</v>
      </c>
      <c r="B1914" t="s">
        <v>162</v>
      </c>
      <c r="C1914">
        <v>123</v>
      </c>
      <c r="D1914">
        <v>2</v>
      </c>
      <c r="E1914" t="s">
        <v>266</v>
      </c>
      <c r="F1914" s="85"/>
      <c r="G1914"/>
      <c r="H1914" t="s">
        <v>296</v>
      </c>
      <c r="I1914" t="s">
        <v>202</v>
      </c>
      <c r="J1914" t="s">
        <v>177</v>
      </c>
      <c r="K1914" s="1">
        <v>17.97</v>
      </c>
      <c r="L1914" s="1">
        <v>17.97</v>
      </c>
      <c r="M1914" s="1">
        <v>0</v>
      </c>
      <c r="N1914" s="1">
        <v>17.97</v>
      </c>
      <c r="O1914" s="1">
        <v>1257.9000000000001</v>
      </c>
      <c r="P1914" s="1">
        <v>1078.2</v>
      </c>
      <c r="Q1914" s="1">
        <v>0</v>
      </c>
      <c r="R1914" s="1">
        <v>1007.59</v>
      </c>
      <c r="S1914" t="s">
        <v>281</v>
      </c>
      <c r="T1914" s="13">
        <v>45921</v>
      </c>
      <c r="U1914" s="1" t="str">
        <f>IF(ESTIMATIVA[[#This Row],[QT_AREA_REAL]]&gt;0,"1- Colhido","2- à Colher")</f>
        <v>1- Colhido</v>
      </c>
      <c r="V1914" s="1" t="str">
        <f>IF(ESTIMATIVA[[#This Row],[QT_AREA_REST1]]&gt;0,"Reestimativa 1",IF(ESTIMATIVA[[#This Row],[QT_AREA_REAL]]=0,"Reestimativa 1","Realizado"))</f>
        <v>Reestimativa 1</v>
      </c>
      <c r="W1914" s="1" t="str">
        <f>IF(ESTIMATIVA[[#This Row],[QT_AREA_REST2]]&gt;0,"Reestimativa 2",IF(ESTIMATIVA[[#This Row],[QT_AREA_REAL]]=0,"Reestimativa 2","Realizado"))</f>
        <v>Realizado</v>
      </c>
      <c r="X1914" s="1">
        <f>ESTIMATIVA[[#This Row],[QT_AREA_EST]]</f>
        <v>17.97</v>
      </c>
      <c r="Y1914" s="1">
        <f>IF(ESTIMATIVA[[#This Row],[QT_AREA_REST1]]&gt;0,ESTIMATIVA[[#This Row],[QT_AREA_REST1]],
  IF(ESTIMATIVA[[#This Row],[QT_AREA_REAL]]&gt;0,ESTIMATIVA[[#This Row],[QT_AREA_REAL]],ESTIMATIVA[[#This Row],[QT_AREA_EST]]))</f>
        <v>17.97</v>
      </c>
      <c r="Z191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17.97</v>
      </c>
      <c r="AA1914" s="1">
        <f>ESTIMATIVA[[#This Row],[QT_CANA_EST]]</f>
        <v>1257.9000000000001</v>
      </c>
      <c r="AB1914" s="1">
        <f>IF(ESTIMATIVA[[#This Row],[QT_CANA_REST1]]&gt;0,ESTIMATIVA[[#This Row],[QT_CANA_REST1]],
  IF(ESTIMATIVA[[#This Row],[QT_CANA_REAL]]&gt;0,ESTIMATIVA[[#This Row],[QT_CANA_REAL]],ESTIMATIVA[[#This Row],[QT_CANA_EST]]))</f>
        <v>1078.2</v>
      </c>
      <c r="AC191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1007.59</v>
      </c>
      <c r="AD1914" s="1">
        <f>IF(ESTIMATIVA[[#This Row],[QT_AREA_REAL]]&gt;0,ESTIMATIVA[[#This Row],[QT_CANA_REAL]],ESTIMATIVA[[#This Row],[QT_CANA_EST]])</f>
        <v>1007.59</v>
      </c>
      <c r="AE1914" s="1">
        <f>IF(ESTIMATIVA[[#This Row],[QT_AREA_REAL]]&gt;0,ESTIMATIVA[[#This Row],[QT_CANA_REAL]],ESTIMATIVA[[#This Row],[QT_CANA_REST1]])</f>
        <v>1007.59</v>
      </c>
      <c r="AF1914" s="1">
        <f>IF(ESTIMATIVA[[#This Row],[QT_AREA_REAL]]&gt;0,ESTIMATIVA[[#This Row],[QT_CANA_REAL]],ESTIMATIVA[[#This Row],[QT_CANA_REST2]])</f>
        <v>1007.59</v>
      </c>
      <c r="AG1914" s="1" t="str">
        <f>IF(COUNTIFS(GEADA!A:A,VALUE(ESTIMATIVA[[#This Row],[CD_UPNIVEL1]]&amp;TEXT(ESTIMATIVA[[#This Row],[CD_UPNIVEL3]],"0000")))&gt;0,"S","N")</f>
        <v>N</v>
      </c>
      <c r="AH1914" s="1" t="str">
        <f>IF(COUNTIFS(IRRIGADO!C:C,ESTIMATIVA[[#This Row],[CD_UPNIVEL1]],IRRIGADO!E:E,ESTIMATIVA[[#This Row],[CD_UPNIVEL3]])&gt;0,"Irrigado",IF(ESTIMATIVA[[#This Row],[DE_SIST_CULT]]="Mineral","Sequeiro",ESTIMATIVA[[#This Row],[DE_SIST_CULT]]))</f>
        <v>A Definir</v>
      </c>
      <c r="AI1914" s="55" t="str">
        <f>IF(ESTIMATIVA[[#This Row],[TP_CULTIVO]]="Irrigado",_xlfn.MAXIFS(IRRIGADO!J:J,IRRIGADO!C:C,ESTIMATIVA[[#This Row],[CD_UPNIVEL1]],IRRIGADO!E:E,ESTIMATIVA[[#This Row],[CD_UPNIVEL3]]),"")</f>
        <v/>
      </c>
      <c r="AJ191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14" s="1">
        <f>COUNTIFS(Apresentação!$E$23:$E$29,ESTIMATIVA[[#This Row],[CD_UPNIVEL1]])</f>
        <v>0</v>
      </c>
    </row>
    <row r="1915" spans="1:37" x14ac:dyDescent="0.3">
      <c r="A1915">
        <v>20811</v>
      </c>
      <c r="B1915" t="s">
        <v>162</v>
      </c>
      <c r="C1915">
        <v>124</v>
      </c>
      <c r="D1915">
        <v>2</v>
      </c>
      <c r="E1915" t="s">
        <v>266</v>
      </c>
      <c r="F1915" s="85"/>
      <c r="G1915"/>
      <c r="H1915" t="s">
        <v>296</v>
      </c>
      <c r="I1915" t="s">
        <v>202</v>
      </c>
      <c r="J1915" t="s">
        <v>177</v>
      </c>
      <c r="K1915" s="1">
        <v>8.1</v>
      </c>
      <c r="L1915" s="1">
        <v>8.1</v>
      </c>
      <c r="M1915" s="1">
        <v>0</v>
      </c>
      <c r="N1915" s="1">
        <v>8.1</v>
      </c>
      <c r="O1915" s="1">
        <v>567</v>
      </c>
      <c r="P1915" s="1">
        <v>486</v>
      </c>
      <c r="Q1915" s="1">
        <v>0</v>
      </c>
      <c r="R1915" s="1">
        <v>454.23</v>
      </c>
      <c r="S1915" t="s">
        <v>281</v>
      </c>
      <c r="T1915" s="13">
        <v>45921</v>
      </c>
      <c r="U1915" s="1" t="str">
        <f>IF(ESTIMATIVA[[#This Row],[QT_AREA_REAL]]&gt;0,"1- Colhido","2- à Colher")</f>
        <v>1- Colhido</v>
      </c>
      <c r="V1915" s="1" t="str">
        <f>IF(ESTIMATIVA[[#This Row],[QT_AREA_REST1]]&gt;0,"Reestimativa 1",IF(ESTIMATIVA[[#This Row],[QT_AREA_REAL]]=0,"Reestimativa 1","Realizado"))</f>
        <v>Reestimativa 1</v>
      </c>
      <c r="W1915" s="1" t="str">
        <f>IF(ESTIMATIVA[[#This Row],[QT_AREA_REST2]]&gt;0,"Reestimativa 2",IF(ESTIMATIVA[[#This Row],[QT_AREA_REAL]]=0,"Reestimativa 2","Realizado"))</f>
        <v>Realizado</v>
      </c>
      <c r="X1915" s="1">
        <f>ESTIMATIVA[[#This Row],[QT_AREA_EST]]</f>
        <v>8.1</v>
      </c>
      <c r="Y1915" s="1">
        <f>IF(ESTIMATIVA[[#This Row],[QT_AREA_REST1]]&gt;0,ESTIMATIVA[[#This Row],[QT_AREA_REST1]],
  IF(ESTIMATIVA[[#This Row],[QT_AREA_REAL]]&gt;0,ESTIMATIVA[[#This Row],[QT_AREA_REAL]],ESTIMATIVA[[#This Row],[QT_AREA_EST]]))</f>
        <v>8.1</v>
      </c>
      <c r="Z191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8.1</v>
      </c>
      <c r="AA1915" s="1">
        <f>ESTIMATIVA[[#This Row],[QT_CANA_EST]]</f>
        <v>567</v>
      </c>
      <c r="AB1915" s="1">
        <f>IF(ESTIMATIVA[[#This Row],[QT_CANA_REST1]]&gt;0,ESTIMATIVA[[#This Row],[QT_CANA_REST1]],
  IF(ESTIMATIVA[[#This Row],[QT_CANA_REAL]]&gt;0,ESTIMATIVA[[#This Row],[QT_CANA_REAL]],ESTIMATIVA[[#This Row],[QT_CANA_EST]]))</f>
        <v>486</v>
      </c>
      <c r="AC191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454.23</v>
      </c>
      <c r="AD1915" s="1">
        <f>IF(ESTIMATIVA[[#This Row],[QT_AREA_REAL]]&gt;0,ESTIMATIVA[[#This Row],[QT_CANA_REAL]],ESTIMATIVA[[#This Row],[QT_CANA_EST]])</f>
        <v>454.23</v>
      </c>
      <c r="AE1915" s="1">
        <f>IF(ESTIMATIVA[[#This Row],[QT_AREA_REAL]]&gt;0,ESTIMATIVA[[#This Row],[QT_CANA_REAL]],ESTIMATIVA[[#This Row],[QT_CANA_REST1]])</f>
        <v>454.23</v>
      </c>
      <c r="AF1915" s="1">
        <f>IF(ESTIMATIVA[[#This Row],[QT_AREA_REAL]]&gt;0,ESTIMATIVA[[#This Row],[QT_CANA_REAL]],ESTIMATIVA[[#This Row],[QT_CANA_REST2]])</f>
        <v>454.23</v>
      </c>
      <c r="AG1915" s="1" t="str">
        <f>IF(COUNTIFS(GEADA!A:A,VALUE(ESTIMATIVA[[#This Row],[CD_UPNIVEL1]]&amp;TEXT(ESTIMATIVA[[#This Row],[CD_UPNIVEL3]],"0000")))&gt;0,"S","N")</f>
        <v>N</v>
      </c>
      <c r="AH1915" s="1" t="str">
        <f>IF(COUNTIFS(IRRIGADO!C:C,ESTIMATIVA[[#This Row],[CD_UPNIVEL1]],IRRIGADO!E:E,ESTIMATIVA[[#This Row],[CD_UPNIVEL3]])&gt;0,"Irrigado",IF(ESTIMATIVA[[#This Row],[DE_SIST_CULT]]="Mineral","Sequeiro",ESTIMATIVA[[#This Row],[DE_SIST_CULT]]))</f>
        <v>A Definir</v>
      </c>
      <c r="AI1915" s="55" t="str">
        <f>IF(ESTIMATIVA[[#This Row],[TP_CULTIVO]]="Irrigado",_xlfn.MAXIFS(IRRIGADO!J:J,IRRIGADO!C:C,ESTIMATIVA[[#This Row],[CD_UPNIVEL1]],IRRIGADO!E:E,ESTIMATIVA[[#This Row],[CD_UPNIVEL3]]),"")</f>
        <v/>
      </c>
      <c r="AJ191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15" s="1">
        <f>COUNTIFS(Apresentação!$E$23:$E$29,ESTIMATIVA[[#This Row],[CD_UPNIVEL1]])</f>
        <v>0</v>
      </c>
    </row>
    <row r="1916" spans="1:37" x14ac:dyDescent="0.3">
      <c r="A1916">
        <v>20811</v>
      </c>
      <c r="B1916" t="s">
        <v>162</v>
      </c>
      <c r="C1916">
        <v>125</v>
      </c>
      <c r="D1916">
        <v>2</v>
      </c>
      <c r="E1916" t="s">
        <v>266</v>
      </c>
      <c r="F1916" s="85"/>
      <c r="G1916"/>
      <c r="H1916" t="s">
        <v>296</v>
      </c>
      <c r="I1916" t="s">
        <v>202</v>
      </c>
      <c r="J1916" t="s">
        <v>177</v>
      </c>
      <c r="K1916" s="1">
        <v>7.8</v>
      </c>
      <c r="L1916" s="1">
        <v>7.8</v>
      </c>
      <c r="M1916" s="1">
        <v>0</v>
      </c>
      <c r="N1916" s="1">
        <v>7.8</v>
      </c>
      <c r="O1916" s="1">
        <v>546</v>
      </c>
      <c r="P1916" s="1">
        <v>468</v>
      </c>
      <c r="Q1916" s="1">
        <v>0</v>
      </c>
      <c r="R1916" s="1">
        <v>437.57</v>
      </c>
      <c r="S1916" t="s">
        <v>281</v>
      </c>
      <c r="T1916" s="13">
        <v>45921</v>
      </c>
      <c r="U1916" s="1" t="str">
        <f>IF(ESTIMATIVA[[#This Row],[QT_AREA_REAL]]&gt;0,"1- Colhido","2- à Colher")</f>
        <v>1- Colhido</v>
      </c>
      <c r="V1916" s="1" t="str">
        <f>IF(ESTIMATIVA[[#This Row],[QT_AREA_REST1]]&gt;0,"Reestimativa 1",IF(ESTIMATIVA[[#This Row],[QT_AREA_REAL]]=0,"Reestimativa 1","Realizado"))</f>
        <v>Reestimativa 1</v>
      </c>
      <c r="W1916" s="1" t="str">
        <f>IF(ESTIMATIVA[[#This Row],[QT_AREA_REST2]]&gt;0,"Reestimativa 2",IF(ESTIMATIVA[[#This Row],[QT_AREA_REAL]]=0,"Reestimativa 2","Realizado"))</f>
        <v>Realizado</v>
      </c>
      <c r="X1916" s="1">
        <f>ESTIMATIVA[[#This Row],[QT_AREA_EST]]</f>
        <v>7.8</v>
      </c>
      <c r="Y1916" s="1">
        <f>IF(ESTIMATIVA[[#This Row],[QT_AREA_REST1]]&gt;0,ESTIMATIVA[[#This Row],[QT_AREA_REST1]],
  IF(ESTIMATIVA[[#This Row],[QT_AREA_REAL]]&gt;0,ESTIMATIVA[[#This Row],[QT_AREA_REAL]],ESTIMATIVA[[#This Row],[QT_AREA_EST]]))</f>
        <v>7.8</v>
      </c>
      <c r="Z191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7.8</v>
      </c>
      <c r="AA1916" s="1">
        <f>ESTIMATIVA[[#This Row],[QT_CANA_EST]]</f>
        <v>546</v>
      </c>
      <c r="AB1916" s="1">
        <f>IF(ESTIMATIVA[[#This Row],[QT_CANA_REST1]]&gt;0,ESTIMATIVA[[#This Row],[QT_CANA_REST1]],
  IF(ESTIMATIVA[[#This Row],[QT_CANA_REAL]]&gt;0,ESTIMATIVA[[#This Row],[QT_CANA_REAL]],ESTIMATIVA[[#This Row],[QT_CANA_EST]]))</f>
        <v>468</v>
      </c>
      <c r="AC191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437.57</v>
      </c>
      <c r="AD1916" s="1">
        <f>IF(ESTIMATIVA[[#This Row],[QT_AREA_REAL]]&gt;0,ESTIMATIVA[[#This Row],[QT_CANA_REAL]],ESTIMATIVA[[#This Row],[QT_CANA_EST]])</f>
        <v>437.57</v>
      </c>
      <c r="AE1916" s="1">
        <f>IF(ESTIMATIVA[[#This Row],[QT_AREA_REAL]]&gt;0,ESTIMATIVA[[#This Row],[QT_CANA_REAL]],ESTIMATIVA[[#This Row],[QT_CANA_REST1]])</f>
        <v>437.57</v>
      </c>
      <c r="AF1916" s="1">
        <f>IF(ESTIMATIVA[[#This Row],[QT_AREA_REAL]]&gt;0,ESTIMATIVA[[#This Row],[QT_CANA_REAL]],ESTIMATIVA[[#This Row],[QT_CANA_REST2]])</f>
        <v>437.57</v>
      </c>
      <c r="AG1916" s="1" t="str">
        <f>IF(COUNTIFS(GEADA!A:A,VALUE(ESTIMATIVA[[#This Row],[CD_UPNIVEL1]]&amp;TEXT(ESTIMATIVA[[#This Row],[CD_UPNIVEL3]],"0000")))&gt;0,"S","N")</f>
        <v>N</v>
      </c>
      <c r="AH1916" s="1" t="str">
        <f>IF(COUNTIFS(IRRIGADO!C:C,ESTIMATIVA[[#This Row],[CD_UPNIVEL1]],IRRIGADO!E:E,ESTIMATIVA[[#This Row],[CD_UPNIVEL3]])&gt;0,"Irrigado",IF(ESTIMATIVA[[#This Row],[DE_SIST_CULT]]="Mineral","Sequeiro",ESTIMATIVA[[#This Row],[DE_SIST_CULT]]))</f>
        <v>A Definir</v>
      </c>
      <c r="AI1916" s="55" t="str">
        <f>IF(ESTIMATIVA[[#This Row],[TP_CULTIVO]]="Irrigado",_xlfn.MAXIFS(IRRIGADO!J:J,IRRIGADO!C:C,ESTIMATIVA[[#This Row],[CD_UPNIVEL1]],IRRIGADO!E:E,ESTIMATIVA[[#This Row],[CD_UPNIVEL3]]),"")</f>
        <v/>
      </c>
      <c r="AJ191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16" s="1">
        <f>COUNTIFS(Apresentação!$E$23:$E$29,ESTIMATIVA[[#This Row],[CD_UPNIVEL1]])</f>
        <v>0</v>
      </c>
    </row>
    <row r="1917" spans="1:37" x14ac:dyDescent="0.3">
      <c r="A1917">
        <v>20811</v>
      </c>
      <c r="B1917" t="s">
        <v>162</v>
      </c>
      <c r="C1917">
        <v>126</v>
      </c>
      <c r="D1917">
        <v>2</v>
      </c>
      <c r="E1917" t="s">
        <v>266</v>
      </c>
      <c r="F1917" s="85"/>
      <c r="G1917"/>
      <c r="H1917" t="s">
        <v>296</v>
      </c>
      <c r="I1917" t="s">
        <v>202</v>
      </c>
      <c r="J1917" t="s">
        <v>177</v>
      </c>
      <c r="K1917" s="1">
        <v>6.8</v>
      </c>
      <c r="L1917" s="1">
        <v>6.8</v>
      </c>
      <c r="M1917" s="1">
        <v>0</v>
      </c>
      <c r="N1917" s="1">
        <v>6.8</v>
      </c>
      <c r="O1917" s="1">
        <v>476</v>
      </c>
      <c r="P1917" s="1">
        <v>408</v>
      </c>
      <c r="Q1917" s="1">
        <v>0</v>
      </c>
      <c r="R1917" s="1">
        <v>540.86</v>
      </c>
      <c r="S1917" t="s">
        <v>281</v>
      </c>
      <c r="T1917" s="13">
        <v>45928</v>
      </c>
      <c r="U1917" s="1" t="str">
        <f>IF(ESTIMATIVA[[#This Row],[QT_AREA_REAL]]&gt;0,"1- Colhido","2- à Colher")</f>
        <v>1- Colhido</v>
      </c>
      <c r="V1917" s="1" t="str">
        <f>IF(ESTIMATIVA[[#This Row],[QT_AREA_REST1]]&gt;0,"Reestimativa 1",IF(ESTIMATIVA[[#This Row],[QT_AREA_REAL]]=0,"Reestimativa 1","Realizado"))</f>
        <v>Reestimativa 1</v>
      </c>
      <c r="W1917" s="1" t="str">
        <f>IF(ESTIMATIVA[[#This Row],[QT_AREA_REST2]]&gt;0,"Reestimativa 2",IF(ESTIMATIVA[[#This Row],[QT_AREA_REAL]]=0,"Reestimativa 2","Realizado"))</f>
        <v>Realizado</v>
      </c>
      <c r="X1917" s="1">
        <f>ESTIMATIVA[[#This Row],[QT_AREA_EST]]</f>
        <v>6.8</v>
      </c>
      <c r="Y1917" s="1">
        <f>IF(ESTIMATIVA[[#This Row],[QT_AREA_REST1]]&gt;0,ESTIMATIVA[[#This Row],[QT_AREA_REST1]],
  IF(ESTIMATIVA[[#This Row],[QT_AREA_REAL]]&gt;0,ESTIMATIVA[[#This Row],[QT_AREA_REAL]],ESTIMATIVA[[#This Row],[QT_AREA_EST]]))</f>
        <v>6.8</v>
      </c>
      <c r="Z191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6.8</v>
      </c>
      <c r="AA1917" s="1">
        <f>ESTIMATIVA[[#This Row],[QT_CANA_EST]]</f>
        <v>476</v>
      </c>
      <c r="AB1917" s="1">
        <f>IF(ESTIMATIVA[[#This Row],[QT_CANA_REST1]]&gt;0,ESTIMATIVA[[#This Row],[QT_CANA_REST1]],
  IF(ESTIMATIVA[[#This Row],[QT_CANA_REAL]]&gt;0,ESTIMATIVA[[#This Row],[QT_CANA_REAL]],ESTIMATIVA[[#This Row],[QT_CANA_EST]]))</f>
        <v>408</v>
      </c>
      <c r="AC191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540.86</v>
      </c>
      <c r="AD1917" s="1">
        <f>IF(ESTIMATIVA[[#This Row],[QT_AREA_REAL]]&gt;0,ESTIMATIVA[[#This Row],[QT_CANA_REAL]],ESTIMATIVA[[#This Row],[QT_CANA_EST]])</f>
        <v>540.86</v>
      </c>
      <c r="AE1917" s="1">
        <f>IF(ESTIMATIVA[[#This Row],[QT_AREA_REAL]]&gt;0,ESTIMATIVA[[#This Row],[QT_CANA_REAL]],ESTIMATIVA[[#This Row],[QT_CANA_REST1]])</f>
        <v>540.86</v>
      </c>
      <c r="AF1917" s="1">
        <f>IF(ESTIMATIVA[[#This Row],[QT_AREA_REAL]]&gt;0,ESTIMATIVA[[#This Row],[QT_CANA_REAL]],ESTIMATIVA[[#This Row],[QT_CANA_REST2]])</f>
        <v>540.86</v>
      </c>
      <c r="AG1917" s="1" t="str">
        <f>IF(COUNTIFS(GEADA!A:A,VALUE(ESTIMATIVA[[#This Row],[CD_UPNIVEL1]]&amp;TEXT(ESTIMATIVA[[#This Row],[CD_UPNIVEL3]],"0000")))&gt;0,"S","N")</f>
        <v>N</v>
      </c>
      <c r="AH1917" s="1" t="str">
        <f>IF(COUNTIFS(IRRIGADO!C:C,ESTIMATIVA[[#This Row],[CD_UPNIVEL1]],IRRIGADO!E:E,ESTIMATIVA[[#This Row],[CD_UPNIVEL3]])&gt;0,"Irrigado",IF(ESTIMATIVA[[#This Row],[DE_SIST_CULT]]="Mineral","Sequeiro",ESTIMATIVA[[#This Row],[DE_SIST_CULT]]))</f>
        <v>A Definir</v>
      </c>
      <c r="AI1917" s="55" t="str">
        <f>IF(ESTIMATIVA[[#This Row],[TP_CULTIVO]]="Irrigado",_xlfn.MAXIFS(IRRIGADO!J:J,IRRIGADO!C:C,ESTIMATIVA[[#This Row],[CD_UPNIVEL1]],IRRIGADO!E:E,ESTIMATIVA[[#This Row],[CD_UPNIVEL3]]),"")</f>
        <v/>
      </c>
      <c r="AJ191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17" s="1">
        <f>COUNTIFS(Apresentação!$E$23:$E$29,ESTIMATIVA[[#This Row],[CD_UPNIVEL1]])</f>
        <v>0</v>
      </c>
    </row>
    <row r="1918" spans="1:37" x14ac:dyDescent="0.3">
      <c r="A1918">
        <v>20811</v>
      </c>
      <c r="B1918" t="s">
        <v>162</v>
      </c>
      <c r="C1918">
        <v>127</v>
      </c>
      <c r="D1918">
        <v>2</v>
      </c>
      <c r="E1918" t="s">
        <v>266</v>
      </c>
      <c r="F1918" s="85"/>
      <c r="G1918"/>
      <c r="H1918" t="s">
        <v>296</v>
      </c>
      <c r="I1918" t="s">
        <v>202</v>
      </c>
      <c r="J1918" t="s">
        <v>177</v>
      </c>
      <c r="K1918" s="1">
        <v>5.44</v>
      </c>
      <c r="L1918" s="1">
        <v>5.44</v>
      </c>
      <c r="M1918" s="1">
        <v>0</v>
      </c>
      <c r="N1918" s="1">
        <v>5.44</v>
      </c>
      <c r="O1918" s="1">
        <v>380.8</v>
      </c>
      <c r="P1918" s="1">
        <v>326.39999999999998</v>
      </c>
      <c r="Q1918" s="1">
        <v>0</v>
      </c>
      <c r="R1918" s="1">
        <v>432.15</v>
      </c>
      <c r="S1918" t="s">
        <v>281</v>
      </c>
      <c r="T1918" s="13">
        <v>45928</v>
      </c>
      <c r="U1918" s="1" t="str">
        <f>IF(ESTIMATIVA[[#This Row],[QT_AREA_REAL]]&gt;0,"1- Colhido","2- à Colher")</f>
        <v>1- Colhido</v>
      </c>
      <c r="V1918" s="1" t="str">
        <f>IF(ESTIMATIVA[[#This Row],[QT_AREA_REST1]]&gt;0,"Reestimativa 1",IF(ESTIMATIVA[[#This Row],[QT_AREA_REAL]]=0,"Reestimativa 1","Realizado"))</f>
        <v>Reestimativa 1</v>
      </c>
      <c r="W1918" s="1" t="str">
        <f>IF(ESTIMATIVA[[#This Row],[QT_AREA_REST2]]&gt;0,"Reestimativa 2",IF(ESTIMATIVA[[#This Row],[QT_AREA_REAL]]=0,"Reestimativa 2","Realizado"))</f>
        <v>Realizado</v>
      </c>
      <c r="X1918" s="1">
        <f>ESTIMATIVA[[#This Row],[QT_AREA_EST]]</f>
        <v>5.44</v>
      </c>
      <c r="Y1918" s="1">
        <f>IF(ESTIMATIVA[[#This Row],[QT_AREA_REST1]]&gt;0,ESTIMATIVA[[#This Row],[QT_AREA_REST1]],
  IF(ESTIMATIVA[[#This Row],[QT_AREA_REAL]]&gt;0,ESTIMATIVA[[#This Row],[QT_AREA_REAL]],ESTIMATIVA[[#This Row],[QT_AREA_EST]]))</f>
        <v>5.44</v>
      </c>
      <c r="Z191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5.44</v>
      </c>
      <c r="AA1918" s="1">
        <f>ESTIMATIVA[[#This Row],[QT_CANA_EST]]</f>
        <v>380.8</v>
      </c>
      <c r="AB1918" s="1">
        <f>IF(ESTIMATIVA[[#This Row],[QT_CANA_REST1]]&gt;0,ESTIMATIVA[[#This Row],[QT_CANA_REST1]],
  IF(ESTIMATIVA[[#This Row],[QT_CANA_REAL]]&gt;0,ESTIMATIVA[[#This Row],[QT_CANA_REAL]],ESTIMATIVA[[#This Row],[QT_CANA_EST]]))</f>
        <v>326.39999999999998</v>
      </c>
      <c r="AC191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432.15</v>
      </c>
      <c r="AD1918" s="1">
        <f>IF(ESTIMATIVA[[#This Row],[QT_AREA_REAL]]&gt;0,ESTIMATIVA[[#This Row],[QT_CANA_REAL]],ESTIMATIVA[[#This Row],[QT_CANA_EST]])</f>
        <v>432.15</v>
      </c>
      <c r="AE1918" s="1">
        <f>IF(ESTIMATIVA[[#This Row],[QT_AREA_REAL]]&gt;0,ESTIMATIVA[[#This Row],[QT_CANA_REAL]],ESTIMATIVA[[#This Row],[QT_CANA_REST1]])</f>
        <v>432.15</v>
      </c>
      <c r="AF1918" s="1">
        <f>IF(ESTIMATIVA[[#This Row],[QT_AREA_REAL]]&gt;0,ESTIMATIVA[[#This Row],[QT_CANA_REAL]],ESTIMATIVA[[#This Row],[QT_CANA_REST2]])</f>
        <v>432.15</v>
      </c>
      <c r="AG1918" s="1" t="str">
        <f>IF(COUNTIFS(GEADA!A:A,VALUE(ESTIMATIVA[[#This Row],[CD_UPNIVEL1]]&amp;TEXT(ESTIMATIVA[[#This Row],[CD_UPNIVEL3]],"0000")))&gt;0,"S","N")</f>
        <v>N</v>
      </c>
      <c r="AH1918" s="1" t="str">
        <f>IF(COUNTIFS(IRRIGADO!C:C,ESTIMATIVA[[#This Row],[CD_UPNIVEL1]],IRRIGADO!E:E,ESTIMATIVA[[#This Row],[CD_UPNIVEL3]])&gt;0,"Irrigado",IF(ESTIMATIVA[[#This Row],[DE_SIST_CULT]]="Mineral","Sequeiro",ESTIMATIVA[[#This Row],[DE_SIST_CULT]]))</f>
        <v>A Definir</v>
      </c>
      <c r="AI1918" s="55" t="str">
        <f>IF(ESTIMATIVA[[#This Row],[TP_CULTIVO]]="Irrigado",_xlfn.MAXIFS(IRRIGADO!J:J,IRRIGADO!C:C,ESTIMATIVA[[#This Row],[CD_UPNIVEL1]],IRRIGADO!E:E,ESTIMATIVA[[#This Row],[CD_UPNIVEL3]]),"")</f>
        <v/>
      </c>
      <c r="AJ191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18" s="1">
        <f>COUNTIFS(Apresentação!$E$23:$E$29,ESTIMATIVA[[#This Row],[CD_UPNIVEL1]])</f>
        <v>0</v>
      </c>
    </row>
    <row r="1919" spans="1:37" x14ac:dyDescent="0.3">
      <c r="A1919">
        <v>20811</v>
      </c>
      <c r="B1919" t="s">
        <v>162</v>
      </c>
      <c r="C1919">
        <v>128</v>
      </c>
      <c r="D1919">
        <v>2</v>
      </c>
      <c r="E1919" t="s">
        <v>266</v>
      </c>
      <c r="F1919" s="85"/>
      <c r="G1919"/>
      <c r="H1919" t="s">
        <v>296</v>
      </c>
      <c r="I1919" t="s">
        <v>202</v>
      </c>
      <c r="J1919" t="s">
        <v>177</v>
      </c>
      <c r="K1919" s="1">
        <v>12.32</v>
      </c>
      <c r="L1919" s="1">
        <v>12.32</v>
      </c>
      <c r="M1919" s="1">
        <v>0</v>
      </c>
      <c r="N1919" s="1">
        <v>12.32</v>
      </c>
      <c r="O1919" s="1">
        <v>862.4</v>
      </c>
      <c r="P1919" s="1">
        <v>739.2</v>
      </c>
      <c r="Q1919" s="1">
        <v>0</v>
      </c>
      <c r="R1919" s="1">
        <v>979.76</v>
      </c>
      <c r="S1919" t="s">
        <v>281</v>
      </c>
      <c r="T1919" s="13">
        <v>45928</v>
      </c>
      <c r="U1919" s="1" t="str">
        <f>IF(ESTIMATIVA[[#This Row],[QT_AREA_REAL]]&gt;0,"1- Colhido","2- à Colher")</f>
        <v>1- Colhido</v>
      </c>
      <c r="V1919" s="1" t="str">
        <f>IF(ESTIMATIVA[[#This Row],[QT_AREA_REST1]]&gt;0,"Reestimativa 1",IF(ESTIMATIVA[[#This Row],[QT_AREA_REAL]]=0,"Reestimativa 1","Realizado"))</f>
        <v>Reestimativa 1</v>
      </c>
      <c r="W1919" s="1" t="str">
        <f>IF(ESTIMATIVA[[#This Row],[QT_AREA_REST2]]&gt;0,"Reestimativa 2",IF(ESTIMATIVA[[#This Row],[QT_AREA_REAL]]=0,"Reestimativa 2","Realizado"))</f>
        <v>Realizado</v>
      </c>
      <c r="X1919" s="1">
        <f>ESTIMATIVA[[#This Row],[QT_AREA_EST]]</f>
        <v>12.32</v>
      </c>
      <c r="Y1919" s="1">
        <f>IF(ESTIMATIVA[[#This Row],[QT_AREA_REST1]]&gt;0,ESTIMATIVA[[#This Row],[QT_AREA_REST1]],
  IF(ESTIMATIVA[[#This Row],[QT_AREA_REAL]]&gt;0,ESTIMATIVA[[#This Row],[QT_AREA_REAL]],ESTIMATIVA[[#This Row],[QT_AREA_EST]]))</f>
        <v>12.32</v>
      </c>
      <c r="Z191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12.32</v>
      </c>
      <c r="AA1919" s="1">
        <f>ESTIMATIVA[[#This Row],[QT_CANA_EST]]</f>
        <v>862.4</v>
      </c>
      <c r="AB1919" s="1">
        <f>IF(ESTIMATIVA[[#This Row],[QT_CANA_REST1]]&gt;0,ESTIMATIVA[[#This Row],[QT_CANA_REST1]],
  IF(ESTIMATIVA[[#This Row],[QT_CANA_REAL]]&gt;0,ESTIMATIVA[[#This Row],[QT_CANA_REAL]],ESTIMATIVA[[#This Row],[QT_CANA_EST]]))</f>
        <v>739.2</v>
      </c>
      <c r="AC191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979.76</v>
      </c>
      <c r="AD1919" s="1">
        <f>IF(ESTIMATIVA[[#This Row],[QT_AREA_REAL]]&gt;0,ESTIMATIVA[[#This Row],[QT_CANA_REAL]],ESTIMATIVA[[#This Row],[QT_CANA_EST]])</f>
        <v>979.76</v>
      </c>
      <c r="AE1919" s="1">
        <f>IF(ESTIMATIVA[[#This Row],[QT_AREA_REAL]]&gt;0,ESTIMATIVA[[#This Row],[QT_CANA_REAL]],ESTIMATIVA[[#This Row],[QT_CANA_REST1]])</f>
        <v>979.76</v>
      </c>
      <c r="AF1919" s="1">
        <f>IF(ESTIMATIVA[[#This Row],[QT_AREA_REAL]]&gt;0,ESTIMATIVA[[#This Row],[QT_CANA_REAL]],ESTIMATIVA[[#This Row],[QT_CANA_REST2]])</f>
        <v>979.76</v>
      </c>
      <c r="AG1919" s="1" t="str">
        <f>IF(COUNTIFS(GEADA!A:A,VALUE(ESTIMATIVA[[#This Row],[CD_UPNIVEL1]]&amp;TEXT(ESTIMATIVA[[#This Row],[CD_UPNIVEL3]],"0000")))&gt;0,"S","N")</f>
        <v>N</v>
      </c>
      <c r="AH1919" s="1" t="str">
        <f>IF(COUNTIFS(IRRIGADO!C:C,ESTIMATIVA[[#This Row],[CD_UPNIVEL1]],IRRIGADO!E:E,ESTIMATIVA[[#This Row],[CD_UPNIVEL3]])&gt;0,"Irrigado",IF(ESTIMATIVA[[#This Row],[DE_SIST_CULT]]="Mineral","Sequeiro",ESTIMATIVA[[#This Row],[DE_SIST_CULT]]))</f>
        <v>A Definir</v>
      </c>
      <c r="AI1919" s="55" t="str">
        <f>IF(ESTIMATIVA[[#This Row],[TP_CULTIVO]]="Irrigado",_xlfn.MAXIFS(IRRIGADO!J:J,IRRIGADO!C:C,ESTIMATIVA[[#This Row],[CD_UPNIVEL1]],IRRIGADO!E:E,ESTIMATIVA[[#This Row],[CD_UPNIVEL3]]),"")</f>
        <v/>
      </c>
      <c r="AJ191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19" s="1">
        <f>COUNTIFS(Apresentação!$E$23:$E$29,ESTIMATIVA[[#This Row],[CD_UPNIVEL1]])</f>
        <v>0</v>
      </c>
    </row>
    <row r="1920" spans="1:37" x14ac:dyDescent="0.3">
      <c r="A1920">
        <v>20811</v>
      </c>
      <c r="B1920" t="s">
        <v>162</v>
      </c>
      <c r="C1920">
        <v>129</v>
      </c>
      <c r="D1920">
        <v>2</v>
      </c>
      <c r="E1920" t="s">
        <v>266</v>
      </c>
      <c r="F1920" s="85"/>
      <c r="G1920"/>
      <c r="H1920" t="s">
        <v>296</v>
      </c>
      <c r="I1920" t="s">
        <v>202</v>
      </c>
      <c r="J1920" t="s">
        <v>177</v>
      </c>
      <c r="K1920" s="1">
        <v>10.050000000000001</v>
      </c>
      <c r="L1920" s="1">
        <v>10.050000000000001</v>
      </c>
      <c r="M1920" s="1">
        <v>0</v>
      </c>
      <c r="N1920" s="1">
        <v>10.050000000000001</v>
      </c>
      <c r="O1920" s="1">
        <v>703.5</v>
      </c>
      <c r="P1920" s="1">
        <v>603</v>
      </c>
      <c r="Q1920" s="1">
        <v>0</v>
      </c>
      <c r="R1920" s="1">
        <v>484.28</v>
      </c>
      <c r="S1920" t="s">
        <v>281</v>
      </c>
      <c r="T1920" s="13">
        <v>45921</v>
      </c>
      <c r="U1920" s="1" t="str">
        <f>IF(ESTIMATIVA[[#This Row],[QT_AREA_REAL]]&gt;0,"1- Colhido","2- à Colher")</f>
        <v>1- Colhido</v>
      </c>
      <c r="V1920" s="1" t="str">
        <f>IF(ESTIMATIVA[[#This Row],[QT_AREA_REST1]]&gt;0,"Reestimativa 1",IF(ESTIMATIVA[[#This Row],[QT_AREA_REAL]]=0,"Reestimativa 1","Realizado"))</f>
        <v>Reestimativa 1</v>
      </c>
      <c r="W1920" s="1" t="str">
        <f>IF(ESTIMATIVA[[#This Row],[QT_AREA_REST2]]&gt;0,"Reestimativa 2",IF(ESTIMATIVA[[#This Row],[QT_AREA_REAL]]=0,"Reestimativa 2","Realizado"))</f>
        <v>Realizado</v>
      </c>
      <c r="X1920" s="1">
        <f>ESTIMATIVA[[#This Row],[QT_AREA_EST]]</f>
        <v>10.050000000000001</v>
      </c>
      <c r="Y1920" s="1">
        <f>IF(ESTIMATIVA[[#This Row],[QT_AREA_REST1]]&gt;0,ESTIMATIVA[[#This Row],[QT_AREA_REST1]],
  IF(ESTIMATIVA[[#This Row],[QT_AREA_REAL]]&gt;0,ESTIMATIVA[[#This Row],[QT_AREA_REAL]],ESTIMATIVA[[#This Row],[QT_AREA_EST]]))</f>
        <v>10.050000000000001</v>
      </c>
      <c r="Z192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10.050000000000001</v>
      </c>
      <c r="AA1920" s="1">
        <f>ESTIMATIVA[[#This Row],[QT_CANA_EST]]</f>
        <v>703.5</v>
      </c>
      <c r="AB1920" s="1">
        <f>IF(ESTIMATIVA[[#This Row],[QT_CANA_REST1]]&gt;0,ESTIMATIVA[[#This Row],[QT_CANA_REST1]],
  IF(ESTIMATIVA[[#This Row],[QT_CANA_REAL]]&gt;0,ESTIMATIVA[[#This Row],[QT_CANA_REAL]],ESTIMATIVA[[#This Row],[QT_CANA_EST]]))</f>
        <v>603</v>
      </c>
      <c r="AC192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484.28</v>
      </c>
      <c r="AD1920" s="1">
        <f>IF(ESTIMATIVA[[#This Row],[QT_AREA_REAL]]&gt;0,ESTIMATIVA[[#This Row],[QT_CANA_REAL]],ESTIMATIVA[[#This Row],[QT_CANA_EST]])</f>
        <v>484.28</v>
      </c>
      <c r="AE1920" s="1">
        <f>IF(ESTIMATIVA[[#This Row],[QT_AREA_REAL]]&gt;0,ESTIMATIVA[[#This Row],[QT_CANA_REAL]],ESTIMATIVA[[#This Row],[QT_CANA_REST1]])</f>
        <v>484.28</v>
      </c>
      <c r="AF1920" s="1">
        <f>IF(ESTIMATIVA[[#This Row],[QT_AREA_REAL]]&gt;0,ESTIMATIVA[[#This Row],[QT_CANA_REAL]],ESTIMATIVA[[#This Row],[QT_CANA_REST2]])</f>
        <v>484.28</v>
      </c>
      <c r="AG1920" s="1" t="str">
        <f>IF(COUNTIFS(GEADA!A:A,VALUE(ESTIMATIVA[[#This Row],[CD_UPNIVEL1]]&amp;TEXT(ESTIMATIVA[[#This Row],[CD_UPNIVEL3]],"0000")))&gt;0,"S","N")</f>
        <v>N</v>
      </c>
      <c r="AH1920" s="1" t="str">
        <f>IF(COUNTIFS(IRRIGADO!C:C,ESTIMATIVA[[#This Row],[CD_UPNIVEL1]],IRRIGADO!E:E,ESTIMATIVA[[#This Row],[CD_UPNIVEL3]])&gt;0,"Irrigado",IF(ESTIMATIVA[[#This Row],[DE_SIST_CULT]]="Mineral","Sequeiro",ESTIMATIVA[[#This Row],[DE_SIST_CULT]]))</f>
        <v>A Definir</v>
      </c>
      <c r="AI1920" s="55" t="str">
        <f>IF(ESTIMATIVA[[#This Row],[TP_CULTIVO]]="Irrigado",_xlfn.MAXIFS(IRRIGADO!J:J,IRRIGADO!C:C,ESTIMATIVA[[#This Row],[CD_UPNIVEL1]],IRRIGADO!E:E,ESTIMATIVA[[#This Row],[CD_UPNIVEL3]]),"")</f>
        <v/>
      </c>
      <c r="AJ192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20" s="1">
        <f>COUNTIFS(Apresentação!$E$23:$E$29,ESTIMATIVA[[#This Row],[CD_UPNIVEL1]])</f>
        <v>0</v>
      </c>
    </row>
    <row r="1921" spans="1:37" x14ac:dyDescent="0.3">
      <c r="A1921">
        <v>20811</v>
      </c>
      <c r="B1921" t="s">
        <v>162</v>
      </c>
      <c r="C1921">
        <v>130</v>
      </c>
      <c r="D1921">
        <v>2</v>
      </c>
      <c r="E1921" t="s">
        <v>266</v>
      </c>
      <c r="F1921" s="85"/>
      <c r="G1921"/>
      <c r="H1921" t="s">
        <v>296</v>
      </c>
      <c r="I1921" t="s">
        <v>202</v>
      </c>
      <c r="J1921" t="s">
        <v>177</v>
      </c>
      <c r="K1921" s="1">
        <v>9.4499999999999993</v>
      </c>
      <c r="L1921" s="1">
        <v>9.4499999999999993</v>
      </c>
      <c r="M1921" s="1">
        <v>0</v>
      </c>
      <c r="N1921" s="1">
        <v>9.4499999999999993</v>
      </c>
      <c r="O1921" s="1">
        <v>661.5</v>
      </c>
      <c r="P1921" s="1">
        <v>567</v>
      </c>
      <c r="Q1921" s="1">
        <v>0</v>
      </c>
      <c r="R1921" s="1">
        <v>455.37</v>
      </c>
      <c r="S1921" t="s">
        <v>281</v>
      </c>
      <c r="T1921" s="13">
        <v>45921</v>
      </c>
      <c r="U1921" s="1" t="str">
        <f>IF(ESTIMATIVA[[#This Row],[QT_AREA_REAL]]&gt;0,"1- Colhido","2- à Colher")</f>
        <v>1- Colhido</v>
      </c>
      <c r="V1921" s="1" t="str">
        <f>IF(ESTIMATIVA[[#This Row],[QT_AREA_REST1]]&gt;0,"Reestimativa 1",IF(ESTIMATIVA[[#This Row],[QT_AREA_REAL]]=0,"Reestimativa 1","Realizado"))</f>
        <v>Reestimativa 1</v>
      </c>
      <c r="W1921" s="1" t="str">
        <f>IF(ESTIMATIVA[[#This Row],[QT_AREA_REST2]]&gt;0,"Reestimativa 2",IF(ESTIMATIVA[[#This Row],[QT_AREA_REAL]]=0,"Reestimativa 2","Realizado"))</f>
        <v>Realizado</v>
      </c>
      <c r="X1921" s="1">
        <f>ESTIMATIVA[[#This Row],[QT_AREA_EST]]</f>
        <v>9.4499999999999993</v>
      </c>
      <c r="Y1921" s="1">
        <f>IF(ESTIMATIVA[[#This Row],[QT_AREA_REST1]]&gt;0,ESTIMATIVA[[#This Row],[QT_AREA_REST1]],
  IF(ESTIMATIVA[[#This Row],[QT_AREA_REAL]]&gt;0,ESTIMATIVA[[#This Row],[QT_AREA_REAL]],ESTIMATIVA[[#This Row],[QT_AREA_EST]]))</f>
        <v>9.4499999999999993</v>
      </c>
      <c r="Z192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9.4499999999999993</v>
      </c>
      <c r="AA1921" s="1">
        <f>ESTIMATIVA[[#This Row],[QT_CANA_EST]]</f>
        <v>661.5</v>
      </c>
      <c r="AB1921" s="1">
        <f>IF(ESTIMATIVA[[#This Row],[QT_CANA_REST1]]&gt;0,ESTIMATIVA[[#This Row],[QT_CANA_REST1]],
  IF(ESTIMATIVA[[#This Row],[QT_CANA_REAL]]&gt;0,ESTIMATIVA[[#This Row],[QT_CANA_REAL]],ESTIMATIVA[[#This Row],[QT_CANA_EST]]))</f>
        <v>567</v>
      </c>
      <c r="AC192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455.37</v>
      </c>
      <c r="AD1921" s="1">
        <f>IF(ESTIMATIVA[[#This Row],[QT_AREA_REAL]]&gt;0,ESTIMATIVA[[#This Row],[QT_CANA_REAL]],ESTIMATIVA[[#This Row],[QT_CANA_EST]])</f>
        <v>455.37</v>
      </c>
      <c r="AE1921" s="1">
        <f>IF(ESTIMATIVA[[#This Row],[QT_AREA_REAL]]&gt;0,ESTIMATIVA[[#This Row],[QT_CANA_REAL]],ESTIMATIVA[[#This Row],[QT_CANA_REST1]])</f>
        <v>455.37</v>
      </c>
      <c r="AF1921" s="1">
        <f>IF(ESTIMATIVA[[#This Row],[QT_AREA_REAL]]&gt;0,ESTIMATIVA[[#This Row],[QT_CANA_REAL]],ESTIMATIVA[[#This Row],[QT_CANA_REST2]])</f>
        <v>455.37</v>
      </c>
      <c r="AG1921" s="1" t="str">
        <f>IF(COUNTIFS(GEADA!A:A,VALUE(ESTIMATIVA[[#This Row],[CD_UPNIVEL1]]&amp;TEXT(ESTIMATIVA[[#This Row],[CD_UPNIVEL3]],"0000")))&gt;0,"S","N")</f>
        <v>N</v>
      </c>
      <c r="AH1921" s="1" t="str">
        <f>IF(COUNTIFS(IRRIGADO!C:C,ESTIMATIVA[[#This Row],[CD_UPNIVEL1]],IRRIGADO!E:E,ESTIMATIVA[[#This Row],[CD_UPNIVEL3]])&gt;0,"Irrigado",IF(ESTIMATIVA[[#This Row],[DE_SIST_CULT]]="Mineral","Sequeiro",ESTIMATIVA[[#This Row],[DE_SIST_CULT]]))</f>
        <v>A Definir</v>
      </c>
      <c r="AI1921" s="55" t="str">
        <f>IF(ESTIMATIVA[[#This Row],[TP_CULTIVO]]="Irrigado",_xlfn.MAXIFS(IRRIGADO!J:J,IRRIGADO!C:C,ESTIMATIVA[[#This Row],[CD_UPNIVEL1]],IRRIGADO!E:E,ESTIMATIVA[[#This Row],[CD_UPNIVEL3]]),"")</f>
        <v/>
      </c>
      <c r="AJ192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21" s="1">
        <f>COUNTIFS(Apresentação!$E$23:$E$29,ESTIMATIVA[[#This Row],[CD_UPNIVEL1]])</f>
        <v>0</v>
      </c>
    </row>
    <row r="1922" spans="1:37" x14ac:dyDescent="0.3">
      <c r="A1922">
        <v>20811</v>
      </c>
      <c r="B1922" t="s">
        <v>162</v>
      </c>
      <c r="C1922">
        <v>131</v>
      </c>
      <c r="D1922">
        <v>2</v>
      </c>
      <c r="E1922" t="s">
        <v>266</v>
      </c>
      <c r="F1922" s="85"/>
      <c r="G1922"/>
      <c r="H1922" t="s">
        <v>296</v>
      </c>
      <c r="I1922" t="s">
        <v>202</v>
      </c>
      <c r="J1922" t="s">
        <v>177</v>
      </c>
      <c r="K1922" s="1">
        <v>1.93</v>
      </c>
      <c r="L1922" s="1">
        <v>1.93</v>
      </c>
      <c r="M1922" s="1">
        <v>0</v>
      </c>
      <c r="N1922" s="1">
        <v>1.93</v>
      </c>
      <c r="O1922" s="1">
        <v>135.1</v>
      </c>
      <c r="P1922" s="1">
        <v>115.8</v>
      </c>
      <c r="Q1922" s="1">
        <v>0</v>
      </c>
      <c r="R1922" s="1">
        <v>93.14</v>
      </c>
      <c r="S1922" t="s">
        <v>281</v>
      </c>
      <c r="T1922" s="13">
        <v>45921</v>
      </c>
      <c r="U1922" s="1" t="str">
        <f>IF(ESTIMATIVA[[#This Row],[QT_AREA_REAL]]&gt;0,"1- Colhido","2- à Colher")</f>
        <v>1- Colhido</v>
      </c>
      <c r="V1922" s="1" t="str">
        <f>IF(ESTIMATIVA[[#This Row],[QT_AREA_REST1]]&gt;0,"Reestimativa 1",IF(ESTIMATIVA[[#This Row],[QT_AREA_REAL]]=0,"Reestimativa 1","Realizado"))</f>
        <v>Reestimativa 1</v>
      </c>
      <c r="W1922" s="1" t="str">
        <f>IF(ESTIMATIVA[[#This Row],[QT_AREA_REST2]]&gt;0,"Reestimativa 2",IF(ESTIMATIVA[[#This Row],[QT_AREA_REAL]]=0,"Reestimativa 2","Realizado"))</f>
        <v>Realizado</v>
      </c>
      <c r="X1922" s="1">
        <f>ESTIMATIVA[[#This Row],[QT_AREA_EST]]</f>
        <v>1.93</v>
      </c>
      <c r="Y1922" s="1">
        <f>IF(ESTIMATIVA[[#This Row],[QT_AREA_REST1]]&gt;0,ESTIMATIVA[[#This Row],[QT_AREA_REST1]],
  IF(ESTIMATIVA[[#This Row],[QT_AREA_REAL]]&gt;0,ESTIMATIVA[[#This Row],[QT_AREA_REAL]],ESTIMATIVA[[#This Row],[QT_AREA_EST]]))</f>
        <v>1.93</v>
      </c>
      <c r="Z192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1.93</v>
      </c>
      <c r="AA1922" s="1">
        <f>ESTIMATIVA[[#This Row],[QT_CANA_EST]]</f>
        <v>135.1</v>
      </c>
      <c r="AB1922" s="1">
        <f>IF(ESTIMATIVA[[#This Row],[QT_CANA_REST1]]&gt;0,ESTIMATIVA[[#This Row],[QT_CANA_REST1]],
  IF(ESTIMATIVA[[#This Row],[QT_CANA_REAL]]&gt;0,ESTIMATIVA[[#This Row],[QT_CANA_REAL]],ESTIMATIVA[[#This Row],[QT_CANA_EST]]))</f>
        <v>115.8</v>
      </c>
      <c r="AC192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93.14</v>
      </c>
      <c r="AD1922" s="1">
        <f>IF(ESTIMATIVA[[#This Row],[QT_AREA_REAL]]&gt;0,ESTIMATIVA[[#This Row],[QT_CANA_REAL]],ESTIMATIVA[[#This Row],[QT_CANA_EST]])</f>
        <v>93.14</v>
      </c>
      <c r="AE1922" s="1">
        <f>IF(ESTIMATIVA[[#This Row],[QT_AREA_REAL]]&gt;0,ESTIMATIVA[[#This Row],[QT_CANA_REAL]],ESTIMATIVA[[#This Row],[QT_CANA_REST1]])</f>
        <v>93.14</v>
      </c>
      <c r="AF1922" s="1">
        <f>IF(ESTIMATIVA[[#This Row],[QT_AREA_REAL]]&gt;0,ESTIMATIVA[[#This Row],[QT_CANA_REAL]],ESTIMATIVA[[#This Row],[QT_CANA_REST2]])</f>
        <v>93.14</v>
      </c>
      <c r="AG1922" s="1" t="str">
        <f>IF(COUNTIFS(GEADA!A:A,VALUE(ESTIMATIVA[[#This Row],[CD_UPNIVEL1]]&amp;TEXT(ESTIMATIVA[[#This Row],[CD_UPNIVEL3]],"0000")))&gt;0,"S","N")</f>
        <v>N</v>
      </c>
      <c r="AH1922" s="1" t="str">
        <f>IF(COUNTIFS(IRRIGADO!C:C,ESTIMATIVA[[#This Row],[CD_UPNIVEL1]],IRRIGADO!E:E,ESTIMATIVA[[#This Row],[CD_UPNIVEL3]])&gt;0,"Irrigado",IF(ESTIMATIVA[[#This Row],[DE_SIST_CULT]]="Mineral","Sequeiro",ESTIMATIVA[[#This Row],[DE_SIST_CULT]]))</f>
        <v>A Definir</v>
      </c>
      <c r="AI1922" s="55" t="str">
        <f>IF(ESTIMATIVA[[#This Row],[TP_CULTIVO]]="Irrigado",_xlfn.MAXIFS(IRRIGADO!J:J,IRRIGADO!C:C,ESTIMATIVA[[#This Row],[CD_UPNIVEL1]],IRRIGADO!E:E,ESTIMATIVA[[#This Row],[CD_UPNIVEL3]]),"")</f>
        <v/>
      </c>
      <c r="AJ192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22" s="1">
        <f>COUNTIFS(Apresentação!$E$23:$E$29,ESTIMATIVA[[#This Row],[CD_UPNIVEL1]])</f>
        <v>0</v>
      </c>
    </row>
    <row r="1923" spans="1:37" x14ac:dyDescent="0.3">
      <c r="A1923">
        <v>20811</v>
      </c>
      <c r="B1923" t="s">
        <v>162</v>
      </c>
      <c r="C1923">
        <v>132</v>
      </c>
      <c r="D1923">
        <v>1</v>
      </c>
      <c r="E1923" t="s">
        <v>264</v>
      </c>
      <c r="F1923" s="85"/>
      <c r="G1923"/>
      <c r="H1923" t="s">
        <v>296</v>
      </c>
      <c r="I1923" t="s">
        <v>202</v>
      </c>
      <c r="J1923" t="s">
        <v>177</v>
      </c>
      <c r="K1923" s="1">
        <v>9.5</v>
      </c>
      <c r="L1923" s="1">
        <v>9.5</v>
      </c>
      <c r="M1923" s="1">
        <v>0</v>
      </c>
      <c r="N1923" s="1">
        <v>9.5</v>
      </c>
      <c r="O1923" s="1">
        <v>921.5</v>
      </c>
      <c r="P1923" s="1">
        <v>874</v>
      </c>
      <c r="Q1923" s="1">
        <v>0</v>
      </c>
      <c r="R1923" s="1">
        <v>979.88</v>
      </c>
      <c r="S1923" t="s">
        <v>281</v>
      </c>
      <c r="T1923" s="13">
        <v>45921</v>
      </c>
      <c r="U1923" s="1" t="str">
        <f>IF(ESTIMATIVA[[#This Row],[QT_AREA_REAL]]&gt;0,"1- Colhido","2- à Colher")</f>
        <v>1- Colhido</v>
      </c>
      <c r="V1923" s="1" t="str">
        <f>IF(ESTIMATIVA[[#This Row],[QT_AREA_REST1]]&gt;0,"Reestimativa 1",IF(ESTIMATIVA[[#This Row],[QT_AREA_REAL]]=0,"Reestimativa 1","Realizado"))</f>
        <v>Reestimativa 1</v>
      </c>
      <c r="W1923" s="1" t="str">
        <f>IF(ESTIMATIVA[[#This Row],[QT_AREA_REST2]]&gt;0,"Reestimativa 2",IF(ESTIMATIVA[[#This Row],[QT_AREA_REAL]]=0,"Reestimativa 2","Realizado"))</f>
        <v>Realizado</v>
      </c>
      <c r="X1923" s="1">
        <f>ESTIMATIVA[[#This Row],[QT_AREA_EST]]</f>
        <v>9.5</v>
      </c>
      <c r="Y1923" s="1">
        <f>IF(ESTIMATIVA[[#This Row],[QT_AREA_REST1]]&gt;0,ESTIMATIVA[[#This Row],[QT_AREA_REST1]],
  IF(ESTIMATIVA[[#This Row],[QT_AREA_REAL]]&gt;0,ESTIMATIVA[[#This Row],[QT_AREA_REAL]],ESTIMATIVA[[#This Row],[QT_AREA_EST]]))</f>
        <v>9.5</v>
      </c>
      <c r="Z192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9.5</v>
      </c>
      <c r="AA1923" s="1">
        <f>ESTIMATIVA[[#This Row],[QT_CANA_EST]]</f>
        <v>921.5</v>
      </c>
      <c r="AB1923" s="1">
        <f>IF(ESTIMATIVA[[#This Row],[QT_CANA_REST1]]&gt;0,ESTIMATIVA[[#This Row],[QT_CANA_REST1]],
  IF(ESTIMATIVA[[#This Row],[QT_CANA_REAL]]&gt;0,ESTIMATIVA[[#This Row],[QT_CANA_REAL]],ESTIMATIVA[[#This Row],[QT_CANA_EST]]))</f>
        <v>874</v>
      </c>
      <c r="AC192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979.88</v>
      </c>
      <c r="AD1923" s="1">
        <f>IF(ESTIMATIVA[[#This Row],[QT_AREA_REAL]]&gt;0,ESTIMATIVA[[#This Row],[QT_CANA_REAL]],ESTIMATIVA[[#This Row],[QT_CANA_EST]])</f>
        <v>979.88</v>
      </c>
      <c r="AE1923" s="1">
        <f>IF(ESTIMATIVA[[#This Row],[QT_AREA_REAL]]&gt;0,ESTIMATIVA[[#This Row],[QT_CANA_REAL]],ESTIMATIVA[[#This Row],[QT_CANA_REST1]])</f>
        <v>979.88</v>
      </c>
      <c r="AF1923" s="1">
        <f>IF(ESTIMATIVA[[#This Row],[QT_AREA_REAL]]&gt;0,ESTIMATIVA[[#This Row],[QT_CANA_REAL]],ESTIMATIVA[[#This Row],[QT_CANA_REST2]])</f>
        <v>979.88</v>
      </c>
      <c r="AG1923" s="1" t="str">
        <f>IF(COUNTIFS(GEADA!A:A,VALUE(ESTIMATIVA[[#This Row],[CD_UPNIVEL1]]&amp;TEXT(ESTIMATIVA[[#This Row],[CD_UPNIVEL3]],"0000")))&gt;0,"S","N")</f>
        <v>N</v>
      </c>
      <c r="AH1923" s="1" t="str">
        <f>IF(COUNTIFS(IRRIGADO!C:C,ESTIMATIVA[[#This Row],[CD_UPNIVEL1]],IRRIGADO!E:E,ESTIMATIVA[[#This Row],[CD_UPNIVEL3]])&gt;0,"Irrigado",IF(ESTIMATIVA[[#This Row],[DE_SIST_CULT]]="Mineral","Sequeiro",ESTIMATIVA[[#This Row],[DE_SIST_CULT]]))</f>
        <v>A Definir</v>
      </c>
      <c r="AI1923" s="55" t="str">
        <f>IF(ESTIMATIVA[[#This Row],[TP_CULTIVO]]="Irrigado",_xlfn.MAXIFS(IRRIGADO!J:J,IRRIGADO!C:C,ESTIMATIVA[[#This Row],[CD_UPNIVEL1]],IRRIGADO!E:E,ESTIMATIVA[[#This Row],[CD_UPNIVEL3]]),"")</f>
        <v/>
      </c>
      <c r="AJ192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23" s="1">
        <f>COUNTIFS(Apresentação!$E$23:$E$29,ESTIMATIVA[[#This Row],[CD_UPNIVEL1]])</f>
        <v>0</v>
      </c>
    </row>
    <row r="1924" spans="1:37" x14ac:dyDescent="0.3">
      <c r="A1924">
        <v>20811</v>
      </c>
      <c r="B1924" t="s">
        <v>162</v>
      </c>
      <c r="C1924">
        <v>133</v>
      </c>
      <c r="D1924">
        <v>1</v>
      </c>
      <c r="E1924" t="s">
        <v>264</v>
      </c>
      <c r="F1924" s="85"/>
      <c r="G1924"/>
      <c r="H1924" t="s">
        <v>296</v>
      </c>
      <c r="I1924" t="s">
        <v>202</v>
      </c>
      <c r="J1924" t="s">
        <v>177</v>
      </c>
      <c r="K1924" s="1">
        <v>4.2699999999999996</v>
      </c>
      <c r="L1924" s="1">
        <v>4.2699999999999996</v>
      </c>
      <c r="M1924" s="1">
        <v>0</v>
      </c>
      <c r="N1924" s="1">
        <v>4.2699999999999996</v>
      </c>
      <c r="O1924" s="1">
        <v>414.19</v>
      </c>
      <c r="P1924" s="1">
        <v>392.84</v>
      </c>
      <c r="Q1924" s="1">
        <v>0</v>
      </c>
      <c r="R1924" s="1">
        <v>440.59</v>
      </c>
      <c r="S1924" t="s">
        <v>281</v>
      </c>
      <c r="T1924" s="13">
        <v>45921</v>
      </c>
      <c r="U1924" s="1" t="str">
        <f>IF(ESTIMATIVA[[#This Row],[QT_AREA_REAL]]&gt;0,"1- Colhido","2- à Colher")</f>
        <v>1- Colhido</v>
      </c>
      <c r="V1924" s="1" t="str">
        <f>IF(ESTIMATIVA[[#This Row],[QT_AREA_REST1]]&gt;0,"Reestimativa 1",IF(ESTIMATIVA[[#This Row],[QT_AREA_REAL]]=0,"Reestimativa 1","Realizado"))</f>
        <v>Reestimativa 1</v>
      </c>
      <c r="W1924" s="1" t="str">
        <f>IF(ESTIMATIVA[[#This Row],[QT_AREA_REST2]]&gt;0,"Reestimativa 2",IF(ESTIMATIVA[[#This Row],[QT_AREA_REAL]]=0,"Reestimativa 2","Realizado"))</f>
        <v>Realizado</v>
      </c>
      <c r="X1924" s="1">
        <f>ESTIMATIVA[[#This Row],[QT_AREA_EST]]</f>
        <v>4.2699999999999996</v>
      </c>
      <c r="Y1924" s="1">
        <f>IF(ESTIMATIVA[[#This Row],[QT_AREA_REST1]]&gt;0,ESTIMATIVA[[#This Row],[QT_AREA_REST1]],
  IF(ESTIMATIVA[[#This Row],[QT_AREA_REAL]]&gt;0,ESTIMATIVA[[#This Row],[QT_AREA_REAL]],ESTIMATIVA[[#This Row],[QT_AREA_EST]]))</f>
        <v>4.2699999999999996</v>
      </c>
      <c r="Z192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4.2699999999999996</v>
      </c>
      <c r="AA1924" s="1">
        <f>ESTIMATIVA[[#This Row],[QT_CANA_EST]]</f>
        <v>414.19</v>
      </c>
      <c r="AB1924" s="1">
        <f>IF(ESTIMATIVA[[#This Row],[QT_CANA_REST1]]&gt;0,ESTIMATIVA[[#This Row],[QT_CANA_REST1]],
  IF(ESTIMATIVA[[#This Row],[QT_CANA_REAL]]&gt;0,ESTIMATIVA[[#This Row],[QT_CANA_REAL]],ESTIMATIVA[[#This Row],[QT_CANA_EST]]))</f>
        <v>392.84</v>
      </c>
      <c r="AC192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440.59</v>
      </c>
      <c r="AD1924" s="1">
        <f>IF(ESTIMATIVA[[#This Row],[QT_AREA_REAL]]&gt;0,ESTIMATIVA[[#This Row],[QT_CANA_REAL]],ESTIMATIVA[[#This Row],[QT_CANA_EST]])</f>
        <v>440.59</v>
      </c>
      <c r="AE1924" s="1">
        <f>IF(ESTIMATIVA[[#This Row],[QT_AREA_REAL]]&gt;0,ESTIMATIVA[[#This Row],[QT_CANA_REAL]],ESTIMATIVA[[#This Row],[QT_CANA_REST1]])</f>
        <v>440.59</v>
      </c>
      <c r="AF1924" s="1">
        <f>IF(ESTIMATIVA[[#This Row],[QT_AREA_REAL]]&gt;0,ESTIMATIVA[[#This Row],[QT_CANA_REAL]],ESTIMATIVA[[#This Row],[QT_CANA_REST2]])</f>
        <v>440.59</v>
      </c>
      <c r="AG1924" s="1" t="str">
        <f>IF(COUNTIFS(GEADA!A:A,VALUE(ESTIMATIVA[[#This Row],[CD_UPNIVEL1]]&amp;TEXT(ESTIMATIVA[[#This Row],[CD_UPNIVEL3]],"0000")))&gt;0,"S","N")</f>
        <v>N</v>
      </c>
      <c r="AH1924" s="1" t="str">
        <f>IF(COUNTIFS(IRRIGADO!C:C,ESTIMATIVA[[#This Row],[CD_UPNIVEL1]],IRRIGADO!E:E,ESTIMATIVA[[#This Row],[CD_UPNIVEL3]])&gt;0,"Irrigado",IF(ESTIMATIVA[[#This Row],[DE_SIST_CULT]]="Mineral","Sequeiro",ESTIMATIVA[[#This Row],[DE_SIST_CULT]]))</f>
        <v>A Definir</v>
      </c>
      <c r="AI1924" s="55" t="str">
        <f>IF(ESTIMATIVA[[#This Row],[TP_CULTIVO]]="Irrigado",_xlfn.MAXIFS(IRRIGADO!J:J,IRRIGADO!C:C,ESTIMATIVA[[#This Row],[CD_UPNIVEL1]],IRRIGADO!E:E,ESTIMATIVA[[#This Row],[CD_UPNIVEL3]]),"")</f>
        <v/>
      </c>
      <c r="AJ192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24" s="1">
        <f>COUNTIFS(Apresentação!$E$23:$E$29,ESTIMATIVA[[#This Row],[CD_UPNIVEL1]])</f>
        <v>0</v>
      </c>
    </row>
    <row r="1925" spans="1:37" x14ac:dyDescent="0.3">
      <c r="A1925">
        <v>20811</v>
      </c>
      <c r="B1925" t="s">
        <v>162</v>
      </c>
      <c r="C1925">
        <v>134</v>
      </c>
      <c r="D1925">
        <v>1</v>
      </c>
      <c r="E1925" t="s">
        <v>264</v>
      </c>
      <c r="F1925" s="85"/>
      <c r="G1925"/>
      <c r="H1925" t="s">
        <v>296</v>
      </c>
      <c r="I1925" t="s">
        <v>202</v>
      </c>
      <c r="J1925" t="s">
        <v>177</v>
      </c>
      <c r="K1925" s="1">
        <v>10</v>
      </c>
      <c r="L1925" s="1">
        <v>10</v>
      </c>
      <c r="M1925" s="1">
        <v>0</v>
      </c>
      <c r="N1925" s="1">
        <v>10</v>
      </c>
      <c r="O1925" s="1">
        <v>970</v>
      </c>
      <c r="P1925" s="1">
        <v>920</v>
      </c>
      <c r="Q1925" s="1">
        <v>0</v>
      </c>
      <c r="R1925" s="1">
        <v>1031.46</v>
      </c>
      <c r="S1925" t="s">
        <v>281</v>
      </c>
      <c r="T1925" s="13">
        <v>45921</v>
      </c>
      <c r="U1925" s="1" t="str">
        <f>IF(ESTIMATIVA[[#This Row],[QT_AREA_REAL]]&gt;0,"1- Colhido","2- à Colher")</f>
        <v>1- Colhido</v>
      </c>
      <c r="V1925" s="1" t="str">
        <f>IF(ESTIMATIVA[[#This Row],[QT_AREA_REST1]]&gt;0,"Reestimativa 1",IF(ESTIMATIVA[[#This Row],[QT_AREA_REAL]]=0,"Reestimativa 1","Realizado"))</f>
        <v>Reestimativa 1</v>
      </c>
      <c r="W1925" s="1" t="str">
        <f>IF(ESTIMATIVA[[#This Row],[QT_AREA_REST2]]&gt;0,"Reestimativa 2",IF(ESTIMATIVA[[#This Row],[QT_AREA_REAL]]=0,"Reestimativa 2","Realizado"))</f>
        <v>Realizado</v>
      </c>
      <c r="X1925" s="1">
        <f>ESTIMATIVA[[#This Row],[QT_AREA_EST]]</f>
        <v>10</v>
      </c>
      <c r="Y1925" s="1">
        <f>IF(ESTIMATIVA[[#This Row],[QT_AREA_REST1]]&gt;0,ESTIMATIVA[[#This Row],[QT_AREA_REST1]],
  IF(ESTIMATIVA[[#This Row],[QT_AREA_REAL]]&gt;0,ESTIMATIVA[[#This Row],[QT_AREA_REAL]],ESTIMATIVA[[#This Row],[QT_AREA_EST]]))</f>
        <v>10</v>
      </c>
      <c r="Z192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</v>
      </c>
      <c r="AA1925" s="1">
        <f>ESTIMATIVA[[#This Row],[QT_CANA_EST]]</f>
        <v>970</v>
      </c>
      <c r="AB1925" s="1">
        <f>IF(ESTIMATIVA[[#This Row],[QT_CANA_REST1]]&gt;0,ESTIMATIVA[[#This Row],[QT_CANA_REST1]],
  IF(ESTIMATIVA[[#This Row],[QT_CANA_REAL]]&gt;0,ESTIMATIVA[[#This Row],[QT_CANA_REAL]],ESTIMATIVA[[#This Row],[QT_CANA_EST]]))</f>
        <v>920</v>
      </c>
      <c r="AC192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1031.46</v>
      </c>
      <c r="AD1925" s="1">
        <f>IF(ESTIMATIVA[[#This Row],[QT_AREA_REAL]]&gt;0,ESTIMATIVA[[#This Row],[QT_CANA_REAL]],ESTIMATIVA[[#This Row],[QT_CANA_EST]])</f>
        <v>1031.46</v>
      </c>
      <c r="AE1925" s="1">
        <f>IF(ESTIMATIVA[[#This Row],[QT_AREA_REAL]]&gt;0,ESTIMATIVA[[#This Row],[QT_CANA_REAL]],ESTIMATIVA[[#This Row],[QT_CANA_REST1]])</f>
        <v>1031.46</v>
      </c>
      <c r="AF1925" s="1">
        <f>IF(ESTIMATIVA[[#This Row],[QT_AREA_REAL]]&gt;0,ESTIMATIVA[[#This Row],[QT_CANA_REAL]],ESTIMATIVA[[#This Row],[QT_CANA_REST2]])</f>
        <v>1031.46</v>
      </c>
      <c r="AG1925" s="1" t="str">
        <f>IF(COUNTIFS(GEADA!A:A,VALUE(ESTIMATIVA[[#This Row],[CD_UPNIVEL1]]&amp;TEXT(ESTIMATIVA[[#This Row],[CD_UPNIVEL3]],"0000")))&gt;0,"S","N")</f>
        <v>N</v>
      </c>
      <c r="AH1925" s="1" t="str">
        <f>IF(COUNTIFS(IRRIGADO!C:C,ESTIMATIVA[[#This Row],[CD_UPNIVEL1]],IRRIGADO!E:E,ESTIMATIVA[[#This Row],[CD_UPNIVEL3]])&gt;0,"Irrigado",IF(ESTIMATIVA[[#This Row],[DE_SIST_CULT]]="Mineral","Sequeiro",ESTIMATIVA[[#This Row],[DE_SIST_CULT]]))</f>
        <v>A Definir</v>
      </c>
      <c r="AI1925" s="55" t="str">
        <f>IF(ESTIMATIVA[[#This Row],[TP_CULTIVO]]="Irrigado",_xlfn.MAXIFS(IRRIGADO!J:J,IRRIGADO!C:C,ESTIMATIVA[[#This Row],[CD_UPNIVEL1]],IRRIGADO!E:E,ESTIMATIVA[[#This Row],[CD_UPNIVEL3]]),"")</f>
        <v/>
      </c>
      <c r="AJ192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25" s="1">
        <f>COUNTIFS(Apresentação!$E$23:$E$29,ESTIMATIVA[[#This Row],[CD_UPNIVEL1]])</f>
        <v>0</v>
      </c>
    </row>
    <row r="1926" spans="1:37" x14ac:dyDescent="0.3">
      <c r="A1926">
        <v>20811</v>
      </c>
      <c r="B1926" t="s">
        <v>162</v>
      </c>
      <c r="C1926">
        <v>135</v>
      </c>
      <c r="D1926">
        <v>1</v>
      </c>
      <c r="E1926" t="s">
        <v>264</v>
      </c>
      <c r="F1926" s="85"/>
      <c r="G1926"/>
      <c r="H1926" t="s">
        <v>296</v>
      </c>
      <c r="I1926" t="s">
        <v>202</v>
      </c>
      <c r="J1926" t="s">
        <v>177</v>
      </c>
      <c r="K1926" s="1">
        <v>2.8</v>
      </c>
      <c r="L1926" s="1">
        <v>2.8</v>
      </c>
      <c r="M1926" s="1">
        <v>0</v>
      </c>
      <c r="N1926" s="1">
        <v>2.8</v>
      </c>
      <c r="O1926" s="1">
        <v>271.60000000000002</v>
      </c>
      <c r="P1926" s="1">
        <v>257.60000000000002</v>
      </c>
      <c r="Q1926" s="1">
        <v>0</v>
      </c>
      <c r="R1926" s="1">
        <v>289.38</v>
      </c>
      <c r="S1926" t="s">
        <v>281</v>
      </c>
      <c r="T1926" s="13">
        <v>45921</v>
      </c>
      <c r="U1926" s="1" t="str">
        <f>IF(ESTIMATIVA[[#This Row],[QT_AREA_REAL]]&gt;0,"1- Colhido","2- à Colher")</f>
        <v>1- Colhido</v>
      </c>
      <c r="V1926" s="1" t="str">
        <f>IF(ESTIMATIVA[[#This Row],[QT_AREA_REST1]]&gt;0,"Reestimativa 1",IF(ESTIMATIVA[[#This Row],[QT_AREA_REAL]]=0,"Reestimativa 1","Realizado"))</f>
        <v>Reestimativa 1</v>
      </c>
      <c r="W1926" s="1" t="str">
        <f>IF(ESTIMATIVA[[#This Row],[QT_AREA_REST2]]&gt;0,"Reestimativa 2",IF(ESTIMATIVA[[#This Row],[QT_AREA_REAL]]=0,"Reestimativa 2","Realizado"))</f>
        <v>Realizado</v>
      </c>
      <c r="X1926" s="1">
        <f>ESTIMATIVA[[#This Row],[QT_AREA_EST]]</f>
        <v>2.8</v>
      </c>
      <c r="Y1926" s="1">
        <f>IF(ESTIMATIVA[[#This Row],[QT_AREA_REST1]]&gt;0,ESTIMATIVA[[#This Row],[QT_AREA_REST1]],
  IF(ESTIMATIVA[[#This Row],[QT_AREA_REAL]]&gt;0,ESTIMATIVA[[#This Row],[QT_AREA_REAL]],ESTIMATIVA[[#This Row],[QT_AREA_EST]]))</f>
        <v>2.8</v>
      </c>
      <c r="Z192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2.8</v>
      </c>
      <c r="AA1926" s="1">
        <f>ESTIMATIVA[[#This Row],[QT_CANA_EST]]</f>
        <v>271.60000000000002</v>
      </c>
      <c r="AB1926" s="1">
        <f>IF(ESTIMATIVA[[#This Row],[QT_CANA_REST1]]&gt;0,ESTIMATIVA[[#This Row],[QT_CANA_REST1]],
  IF(ESTIMATIVA[[#This Row],[QT_CANA_REAL]]&gt;0,ESTIMATIVA[[#This Row],[QT_CANA_REAL]],ESTIMATIVA[[#This Row],[QT_CANA_EST]]))</f>
        <v>257.60000000000002</v>
      </c>
      <c r="AC192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289.38</v>
      </c>
      <c r="AD1926" s="1">
        <f>IF(ESTIMATIVA[[#This Row],[QT_AREA_REAL]]&gt;0,ESTIMATIVA[[#This Row],[QT_CANA_REAL]],ESTIMATIVA[[#This Row],[QT_CANA_EST]])</f>
        <v>289.38</v>
      </c>
      <c r="AE1926" s="1">
        <f>IF(ESTIMATIVA[[#This Row],[QT_AREA_REAL]]&gt;0,ESTIMATIVA[[#This Row],[QT_CANA_REAL]],ESTIMATIVA[[#This Row],[QT_CANA_REST1]])</f>
        <v>289.38</v>
      </c>
      <c r="AF1926" s="1">
        <f>IF(ESTIMATIVA[[#This Row],[QT_AREA_REAL]]&gt;0,ESTIMATIVA[[#This Row],[QT_CANA_REAL]],ESTIMATIVA[[#This Row],[QT_CANA_REST2]])</f>
        <v>289.38</v>
      </c>
      <c r="AG1926" s="1" t="str">
        <f>IF(COUNTIFS(GEADA!A:A,VALUE(ESTIMATIVA[[#This Row],[CD_UPNIVEL1]]&amp;TEXT(ESTIMATIVA[[#This Row],[CD_UPNIVEL3]],"0000")))&gt;0,"S","N")</f>
        <v>N</v>
      </c>
      <c r="AH1926" s="1" t="str">
        <f>IF(COUNTIFS(IRRIGADO!C:C,ESTIMATIVA[[#This Row],[CD_UPNIVEL1]],IRRIGADO!E:E,ESTIMATIVA[[#This Row],[CD_UPNIVEL3]])&gt;0,"Irrigado",IF(ESTIMATIVA[[#This Row],[DE_SIST_CULT]]="Mineral","Sequeiro",ESTIMATIVA[[#This Row],[DE_SIST_CULT]]))</f>
        <v>A Definir</v>
      </c>
      <c r="AI1926" s="55" t="str">
        <f>IF(ESTIMATIVA[[#This Row],[TP_CULTIVO]]="Irrigado",_xlfn.MAXIFS(IRRIGADO!J:J,IRRIGADO!C:C,ESTIMATIVA[[#This Row],[CD_UPNIVEL1]],IRRIGADO!E:E,ESTIMATIVA[[#This Row],[CD_UPNIVEL3]]),"")</f>
        <v/>
      </c>
      <c r="AJ192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26" s="1">
        <f>COUNTIFS(Apresentação!$E$23:$E$29,ESTIMATIVA[[#This Row],[CD_UPNIVEL1]])</f>
        <v>0</v>
      </c>
    </row>
    <row r="1927" spans="1:37" x14ac:dyDescent="0.3">
      <c r="A1927">
        <v>20811</v>
      </c>
      <c r="B1927" t="s">
        <v>162</v>
      </c>
      <c r="C1927">
        <v>136</v>
      </c>
      <c r="D1927">
        <v>1</v>
      </c>
      <c r="E1927" t="s">
        <v>264</v>
      </c>
      <c r="F1927" s="85"/>
      <c r="G1927"/>
      <c r="H1927" t="s">
        <v>296</v>
      </c>
      <c r="I1927" t="s">
        <v>202</v>
      </c>
      <c r="J1927" t="s">
        <v>177</v>
      </c>
      <c r="K1927" s="1">
        <v>9.0500000000000007</v>
      </c>
      <c r="L1927" s="1">
        <v>9.0500000000000007</v>
      </c>
      <c r="M1927" s="1">
        <v>0</v>
      </c>
      <c r="N1927" s="1">
        <v>9.0500000000000007</v>
      </c>
      <c r="O1927" s="1">
        <v>877.85</v>
      </c>
      <c r="P1927" s="1">
        <v>832.6</v>
      </c>
      <c r="Q1927" s="1">
        <v>0</v>
      </c>
      <c r="R1927" s="1">
        <v>586.72</v>
      </c>
      <c r="S1927" t="s">
        <v>281</v>
      </c>
      <c r="T1927" s="13">
        <v>45928</v>
      </c>
      <c r="U1927" s="1" t="str">
        <f>IF(ESTIMATIVA[[#This Row],[QT_AREA_REAL]]&gt;0,"1- Colhido","2- à Colher")</f>
        <v>1- Colhido</v>
      </c>
      <c r="V1927" s="1" t="str">
        <f>IF(ESTIMATIVA[[#This Row],[QT_AREA_REST1]]&gt;0,"Reestimativa 1",IF(ESTIMATIVA[[#This Row],[QT_AREA_REAL]]=0,"Reestimativa 1","Realizado"))</f>
        <v>Reestimativa 1</v>
      </c>
      <c r="W1927" s="1" t="str">
        <f>IF(ESTIMATIVA[[#This Row],[QT_AREA_REST2]]&gt;0,"Reestimativa 2",IF(ESTIMATIVA[[#This Row],[QT_AREA_REAL]]=0,"Reestimativa 2","Realizado"))</f>
        <v>Realizado</v>
      </c>
      <c r="X1927" s="1">
        <f>ESTIMATIVA[[#This Row],[QT_AREA_EST]]</f>
        <v>9.0500000000000007</v>
      </c>
      <c r="Y1927" s="1">
        <f>IF(ESTIMATIVA[[#This Row],[QT_AREA_REST1]]&gt;0,ESTIMATIVA[[#This Row],[QT_AREA_REST1]],
  IF(ESTIMATIVA[[#This Row],[QT_AREA_REAL]]&gt;0,ESTIMATIVA[[#This Row],[QT_AREA_REAL]],ESTIMATIVA[[#This Row],[QT_AREA_EST]]))</f>
        <v>9.0500000000000007</v>
      </c>
      <c r="Z192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9.0500000000000007</v>
      </c>
      <c r="AA1927" s="1">
        <f>ESTIMATIVA[[#This Row],[QT_CANA_EST]]</f>
        <v>877.85</v>
      </c>
      <c r="AB1927" s="1">
        <f>IF(ESTIMATIVA[[#This Row],[QT_CANA_REST1]]&gt;0,ESTIMATIVA[[#This Row],[QT_CANA_REST1]],
  IF(ESTIMATIVA[[#This Row],[QT_CANA_REAL]]&gt;0,ESTIMATIVA[[#This Row],[QT_CANA_REAL]],ESTIMATIVA[[#This Row],[QT_CANA_EST]]))</f>
        <v>832.6</v>
      </c>
      <c r="AC192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586.72</v>
      </c>
      <c r="AD1927" s="1">
        <f>IF(ESTIMATIVA[[#This Row],[QT_AREA_REAL]]&gt;0,ESTIMATIVA[[#This Row],[QT_CANA_REAL]],ESTIMATIVA[[#This Row],[QT_CANA_EST]])</f>
        <v>586.72</v>
      </c>
      <c r="AE1927" s="1">
        <f>IF(ESTIMATIVA[[#This Row],[QT_AREA_REAL]]&gt;0,ESTIMATIVA[[#This Row],[QT_CANA_REAL]],ESTIMATIVA[[#This Row],[QT_CANA_REST1]])</f>
        <v>586.72</v>
      </c>
      <c r="AF1927" s="1">
        <f>IF(ESTIMATIVA[[#This Row],[QT_AREA_REAL]]&gt;0,ESTIMATIVA[[#This Row],[QT_CANA_REAL]],ESTIMATIVA[[#This Row],[QT_CANA_REST2]])</f>
        <v>586.72</v>
      </c>
      <c r="AG1927" s="1" t="str">
        <f>IF(COUNTIFS(GEADA!A:A,VALUE(ESTIMATIVA[[#This Row],[CD_UPNIVEL1]]&amp;TEXT(ESTIMATIVA[[#This Row],[CD_UPNIVEL3]],"0000")))&gt;0,"S","N")</f>
        <v>N</v>
      </c>
      <c r="AH1927" s="1" t="str">
        <f>IF(COUNTIFS(IRRIGADO!C:C,ESTIMATIVA[[#This Row],[CD_UPNIVEL1]],IRRIGADO!E:E,ESTIMATIVA[[#This Row],[CD_UPNIVEL3]])&gt;0,"Irrigado",IF(ESTIMATIVA[[#This Row],[DE_SIST_CULT]]="Mineral","Sequeiro",ESTIMATIVA[[#This Row],[DE_SIST_CULT]]))</f>
        <v>A Definir</v>
      </c>
      <c r="AI1927" s="55" t="str">
        <f>IF(ESTIMATIVA[[#This Row],[TP_CULTIVO]]="Irrigado",_xlfn.MAXIFS(IRRIGADO!J:J,IRRIGADO!C:C,ESTIMATIVA[[#This Row],[CD_UPNIVEL1]],IRRIGADO!E:E,ESTIMATIVA[[#This Row],[CD_UPNIVEL3]]),"")</f>
        <v/>
      </c>
      <c r="AJ192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27" s="1">
        <f>COUNTIFS(Apresentação!$E$23:$E$29,ESTIMATIVA[[#This Row],[CD_UPNIVEL1]])</f>
        <v>0</v>
      </c>
    </row>
    <row r="1928" spans="1:37" x14ac:dyDescent="0.3">
      <c r="A1928">
        <v>20811</v>
      </c>
      <c r="B1928" t="s">
        <v>162</v>
      </c>
      <c r="C1928">
        <v>137</v>
      </c>
      <c r="D1928">
        <v>1</v>
      </c>
      <c r="E1928" t="s">
        <v>264</v>
      </c>
      <c r="F1928" s="85"/>
      <c r="G1928"/>
      <c r="H1928" t="s">
        <v>296</v>
      </c>
      <c r="I1928" t="s">
        <v>202</v>
      </c>
      <c r="J1928" t="s">
        <v>177</v>
      </c>
      <c r="K1928" s="1">
        <v>3.45</v>
      </c>
      <c r="L1928" s="1">
        <v>3.45</v>
      </c>
      <c r="M1928" s="1">
        <v>0</v>
      </c>
      <c r="N1928" s="1">
        <v>3.45</v>
      </c>
      <c r="O1928" s="1">
        <v>334.65</v>
      </c>
      <c r="P1928" s="1">
        <v>317.39999999999998</v>
      </c>
      <c r="Q1928" s="1">
        <v>0</v>
      </c>
      <c r="R1928" s="1">
        <v>223.24</v>
      </c>
      <c r="S1928" t="s">
        <v>281</v>
      </c>
      <c r="T1928" s="13">
        <v>45928</v>
      </c>
      <c r="U1928" s="1" t="str">
        <f>IF(ESTIMATIVA[[#This Row],[QT_AREA_REAL]]&gt;0,"1- Colhido","2- à Colher")</f>
        <v>1- Colhido</v>
      </c>
      <c r="V1928" s="1" t="str">
        <f>IF(ESTIMATIVA[[#This Row],[QT_AREA_REST1]]&gt;0,"Reestimativa 1",IF(ESTIMATIVA[[#This Row],[QT_AREA_REAL]]=0,"Reestimativa 1","Realizado"))</f>
        <v>Reestimativa 1</v>
      </c>
      <c r="W1928" s="1" t="str">
        <f>IF(ESTIMATIVA[[#This Row],[QT_AREA_REST2]]&gt;0,"Reestimativa 2",IF(ESTIMATIVA[[#This Row],[QT_AREA_REAL]]=0,"Reestimativa 2","Realizado"))</f>
        <v>Realizado</v>
      </c>
      <c r="X1928" s="1">
        <f>ESTIMATIVA[[#This Row],[QT_AREA_EST]]</f>
        <v>3.45</v>
      </c>
      <c r="Y1928" s="1">
        <f>IF(ESTIMATIVA[[#This Row],[QT_AREA_REST1]]&gt;0,ESTIMATIVA[[#This Row],[QT_AREA_REST1]],
  IF(ESTIMATIVA[[#This Row],[QT_AREA_REAL]]&gt;0,ESTIMATIVA[[#This Row],[QT_AREA_REAL]],ESTIMATIVA[[#This Row],[QT_AREA_EST]]))</f>
        <v>3.45</v>
      </c>
      <c r="Z192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3.45</v>
      </c>
      <c r="AA1928" s="1">
        <f>ESTIMATIVA[[#This Row],[QT_CANA_EST]]</f>
        <v>334.65</v>
      </c>
      <c r="AB1928" s="1">
        <f>IF(ESTIMATIVA[[#This Row],[QT_CANA_REST1]]&gt;0,ESTIMATIVA[[#This Row],[QT_CANA_REST1]],
  IF(ESTIMATIVA[[#This Row],[QT_CANA_REAL]]&gt;0,ESTIMATIVA[[#This Row],[QT_CANA_REAL]],ESTIMATIVA[[#This Row],[QT_CANA_EST]]))</f>
        <v>317.39999999999998</v>
      </c>
      <c r="AC192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223.24</v>
      </c>
      <c r="AD1928" s="1">
        <f>IF(ESTIMATIVA[[#This Row],[QT_AREA_REAL]]&gt;0,ESTIMATIVA[[#This Row],[QT_CANA_REAL]],ESTIMATIVA[[#This Row],[QT_CANA_EST]])</f>
        <v>223.24</v>
      </c>
      <c r="AE1928" s="1">
        <f>IF(ESTIMATIVA[[#This Row],[QT_AREA_REAL]]&gt;0,ESTIMATIVA[[#This Row],[QT_CANA_REAL]],ESTIMATIVA[[#This Row],[QT_CANA_REST1]])</f>
        <v>223.24</v>
      </c>
      <c r="AF1928" s="1">
        <f>IF(ESTIMATIVA[[#This Row],[QT_AREA_REAL]]&gt;0,ESTIMATIVA[[#This Row],[QT_CANA_REAL]],ESTIMATIVA[[#This Row],[QT_CANA_REST2]])</f>
        <v>223.24</v>
      </c>
      <c r="AG1928" s="1" t="str">
        <f>IF(COUNTIFS(GEADA!A:A,VALUE(ESTIMATIVA[[#This Row],[CD_UPNIVEL1]]&amp;TEXT(ESTIMATIVA[[#This Row],[CD_UPNIVEL3]],"0000")))&gt;0,"S","N")</f>
        <v>N</v>
      </c>
      <c r="AH1928" s="1" t="str">
        <f>IF(COUNTIFS(IRRIGADO!C:C,ESTIMATIVA[[#This Row],[CD_UPNIVEL1]],IRRIGADO!E:E,ESTIMATIVA[[#This Row],[CD_UPNIVEL3]])&gt;0,"Irrigado",IF(ESTIMATIVA[[#This Row],[DE_SIST_CULT]]="Mineral","Sequeiro",ESTIMATIVA[[#This Row],[DE_SIST_CULT]]))</f>
        <v>A Definir</v>
      </c>
      <c r="AI1928" s="55" t="str">
        <f>IF(ESTIMATIVA[[#This Row],[TP_CULTIVO]]="Irrigado",_xlfn.MAXIFS(IRRIGADO!J:J,IRRIGADO!C:C,ESTIMATIVA[[#This Row],[CD_UPNIVEL1]],IRRIGADO!E:E,ESTIMATIVA[[#This Row],[CD_UPNIVEL3]]),"")</f>
        <v/>
      </c>
      <c r="AJ192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28" s="1">
        <f>COUNTIFS(Apresentação!$E$23:$E$29,ESTIMATIVA[[#This Row],[CD_UPNIVEL1]])</f>
        <v>0</v>
      </c>
    </row>
    <row r="1929" spans="1:37" x14ac:dyDescent="0.3">
      <c r="A1929">
        <v>20811</v>
      </c>
      <c r="B1929" t="s">
        <v>162</v>
      </c>
      <c r="C1929">
        <v>138</v>
      </c>
      <c r="D1929">
        <v>2</v>
      </c>
      <c r="E1929" t="s">
        <v>266</v>
      </c>
      <c r="F1929" s="85"/>
      <c r="G1929"/>
      <c r="H1929" t="s">
        <v>296</v>
      </c>
      <c r="I1929" t="s">
        <v>202</v>
      </c>
      <c r="J1929" t="s">
        <v>177</v>
      </c>
      <c r="K1929" s="1">
        <v>12.11</v>
      </c>
      <c r="L1929" s="1">
        <v>12.11</v>
      </c>
      <c r="M1929" s="1">
        <v>0</v>
      </c>
      <c r="N1929" s="1">
        <v>12.11</v>
      </c>
      <c r="O1929" s="1">
        <v>1174.67</v>
      </c>
      <c r="P1929" s="1">
        <v>1114.1199999999999</v>
      </c>
      <c r="Q1929" s="1">
        <v>0</v>
      </c>
      <c r="R1929" s="1">
        <v>894.79</v>
      </c>
      <c r="S1929" t="s">
        <v>281</v>
      </c>
      <c r="T1929" s="13">
        <v>45921</v>
      </c>
      <c r="U1929" s="1" t="str">
        <f>IF(ESTIMATIVA[[#This Row],[QT_AREA_REAL]]&gt;0,"1- Colhido","2- à Colher")</f>
        <v>1- Colhido</v>
      </c>
      <c r="V1929" s="1" t="str">
        <f>IF(ESTIMATIVA[[#This Row],[QT_AREA_REST1]]&gt;0,"Reestimativa 1",IF(ESTIMATIVA[[#This Row],[QT_AREA_REAL]]=0,"Reestimativa 1","Realizado"))</f>
        <v>Reestimativa 1</v>
      </c>
      <c r="W1929" s="1" t="str">
        <f>IF(ESTIMATIVA[[#This Row],[QT_AREA_REST2]]&gt;0,"Reestimativa 2",IF(ESTIMATIVA[[#This Row],[QT_AREA_REAL]]=0,"Reestimativa 2","Realizado"))</f>
        <v>Realizado</v>
      </c>
      <c r="X1929" s="1">
        <f>ESTIMATIVA[[#This Row],[QT_AREA_EST]]</f>
        <v>12.11</v>
      </c>
      <c r="Y1929" s="1">
        <f>IF(ESTIMATIVA[[#This Row],[QT_AREA_REST1]]&gt;0,ESTIMATIVA[[#This Row],[QT_AREA_REST1]],
  IF(ESTIMATIVA[[#This Row],[QT_AREA_REAL]]&gt;0,ESTIMATIVA[[#This Row],[QT_AREA_REAL]],ESTIMATIVA[[#This Row],[QT_AREA_EST]]))</f>
        <v>12.11</v>
      </c>
      <c r="Z192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12.11</v>
      </c>
      <c r="AA1929" s="1">
        <f>ESTIMATIVA[[#This Row],[QT_CANA_EST]]</f>
        <v>1174.67</v>
      </c>
      <c r="AB1929" s="1">
        <f>IF(ESTIMATIVA[[#This Row],[QT_CANA_REST1]]&gt;0,ESTIMATIVA[[#This Row],[QT_CANA_REST1]],
  IF(ESTIMATIVA[[#This Row],[QT_CANA_REAL]]&gt;0,ESTIMATIVA[[#This Row],[QT_CANA_REAL]],ESTIMATIVA[[#This Row],[QT_CANA_EST]]))</f>
        <v>1114.1199999999999</v>
      </c>
      <c r="AC192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894.79</v>
      </c>
      <c r="AD1929" s="1">
        <f>IF(ESTIMATIVA[[#This Row],[QT_AREA_REAL]]&gt;0,ESTIMATIVA[[#This Row],[QT_CANA_REAL]],ESTIMATIVA[[#This Row],[QT_CANA_EST]])</f>
        <v>894.79</v>
      </c>
      <c r="AE1929" s="1">
        <f>IF(ESTIMATIVA[[#This Row],[QT_AREA_REAL]]&gt;0,ESTIMATIVA[[#This Row],[QT_CANA_REAL]],ESTIMATIVA[[#This Row],[QT_CANA_REST1]])</f>
        <v>894.79</v>
      </c>
      <c r="AF1929" s="1">
        <f>IF(ESTIMATIVA[[#This Row],[QT_AREA_REAL]]&gt;0,ESTIMATIVA[[#This Row],[QT_CANA_REAL]],ESTIMATIVA[[#This Row],[QT_CANA_REST2]])</f>
        <v>894.79</v>
      </c>
      <c r="AG1929" s="1" t="str">
        <f>IF(COUNTIFS(GEADA!A:A,VALUE(ESTIMATIVA[[#This Row],[CD_UPNIVEL1]]&amp;TEXT(ESTIMATIVA[[#This Row],[CD_UPNIVEL3]],"0000")))&gt;0,"S","N")</f>
        <v>N</v>
      </c>
      <c r="AH1929" s="1" t="str">
        <f>IF(COUNTIFS(IRRIGADO!C:C,ESTIMATIVA[[#This Row],[CD_UPNIVEL1]],IRRIGADO!E:E,ESTIMATIVA[[#This Row],[CD_UPNIVEL3]])&gt;0,"Irrigado",IF(ESTIMATIVA[[#This Row],[DE_SIST_CULT]]="Mineral","Sequeiro",ESTIMATIVA[[#This Row],[DE_SIST_CULT]]))</f>
        <v>A Definir</v>
      </c>
      <c r="AI1929" s="55" t="str">
        <f>IF(ESTIMATIVA[[#This Row],[TP_CULTIVO]]="Irrigado",_xlfn.MAXIFS(IRRIGADO!J:J,IRRIGADO!C:C,ESTIMATIVA[[#This Row],[CD_UPNIVEL1]],IRRIGADO!E:E,ESTIMATIVA[[#This Row],[CD_UPNIVEL3]]),"")</f>
        <v/>
      </c>
      <c r="AJ192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29" s="1">
        <f>COUNTIFS(Apresentação!$E$23:$E$29,ESTIMATIVA[[#This Row],[CD_UPNIVEL1]])</f>
        <v>0</v>
      </c>
    </row>
    <row r="1930" spans="1:37" x14ac:dyDescent="0.3">
      <c r="A1930">
        <v>20811</v>
      </c>
      <c r="B1930" t="s">
        <v>162</v>
      </c>
      <c r="C1930">
        <v>139</v>
      </c>
      <c r="D1930">
        <v>1</v>
      </c>
      <c r="E1930" t="s">
        <v>264</v>
      </c>
      <c r="F1930" s="85"/>
      <c r="G1930"/>
      <c r="H1930" t="s">
        <v>296</v>
      </c>
      <c r="I1930" t="s">
        <v>202</v>
      </c>
      <c r="J1930" t="s">
        <v>177</v>
      </c>
      <c r="K1930" s="1">
        <v>14.24</v>
      </c>
      <c r="L1930" s="1">
        <v>14.24</v>
      </c>
      <c r="M1930" s="1">
        <v>0</v>
      </c>
      <c r="N1930" s="1">
        <v>14.24</v>
      </c>
      <c r="O1930" s="1">
        <v>1381.28</v>
      </c>
      <c r="P1930" s="1">
        <v>1310.08</v>
      </c>
      <c r="Q1930" s="1">
        <v>0</v>
      </c>
      <c r="R1930" s="1">
        <v>922.75</v>
      </c>
      <c r="S1930" t="s">
        <v>281</v>
      </c>
      <c r="T1930" s="13">
        <v>45928</v>
      </c>
      <c r="U1930" s="1" t="str">
        <f>IF(ESTIMATIVA[[#This Row],[QT_AREA_REAL]]&gt;0,"1- Colhido","2- à Colher")</f>
        <v>1- Colhido</v>
      </c>
      <c r="V1930" s="1" t="str">
        <f>IF(ESTIMATIVA[[#This Row],[QT_AREA_REST1]]&gt;0,"Reestimativa 1",IF(ESTIMATIVA[[#This Row],[QT_AREA_REAL]]=0,"Reestimativa 1","Realizado"))</f>
        <v>Reestimativa 1</v>
      </c>
      <c r="W1930" s="1" t="str">
        <f>IF(ESTIMATIVA[[#This Row],[QT_AREA_REST2]]&gt;0,"Reestimativa 2",IF(ESTIMATIVA[[#This Row],[QT_AREA_REAL]]=0,"Reestimativa 2","Realizado"))</f>
        <v>Realizado</v>
      </c>
      <c r="X1930" s="1">
        <f>ESTIMATIVA[[#This Row],[QT_AREA_EST]]</f>
        <v>14.24</v>
      </c>
      <c r="Y1930" s="1">
        <f>IF(ESTIMATIVA[[#This Row],[QT_AREA_REST1]]&gt;0,ESTIMATIVA[[#This Row],[QT_AREA_REST1]],
  IF(ESTIMATIVA[[#This Row],[QT_AREA_REAL]]&gt;0,ESTIMATIVA[[#This Row],[QT_AREA_REAL]],ESTIMATIVA[[#This Row],[QT_AREA_EST]]))</f>
        <v>14.24</v>
      </c>
      <c r="Z193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14.24</v>
      </c>
      <c r="AA1930" s="1">
        <f>ESTIMATIVA[[#This Row],[QT_CANA_EST]]</f>
        <v>1381.28</v>
      </c>
      <c r="AB1930" s="1">
        <f>IF(ESTIMATIVA[[#This Row],[QT_CANA_REST1]]&gt;0,ESTIMATIVA[[#This Row],[QT_CANA_REST1]],
  IF(ESTIMATIVA[[#This Row],[QT_CANA_REAL]]&gt;0,ESTIMATIVA[[#This Row],[QT_CANA_REAL]],ESTIMATIVA[[#This Row],[QT_CANA_EST]]))</f>
        <v>1310.08</v>
      </c>
      <c r="AC193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922.75</v>
      </c>
      <c r="AD1930" s="1">
        <f>IF(ESTIMATIVA[[#This Row],[QT_AREA_REAL]]&gt;0,ESTIMATIVA[[#This Row],[QT_CANA_REAL]],ESTIMATIVA[[#This Row],[QT_CANA_EST]])</f>
        <v>922.75</v>
      </c>
      <c r="AE1930" s="1">
        <f>IF(ESTIMATIVA[[#This Row],[QT_AREA_REAL]]&gt;0,ESTIMATIVA[[#This Row],[QT_CANA_REAL]],ESTIMATIVA[[#This Row],[QT_CANA_REST1]])</f>
        <v>922.75</v>
      </c>
      <c r="AF1930" s="1">
        <f>IF(ESTIMATIVA[[#This Row],[QT_AREA_REAL]]&gt;0,ESTIMATIVA[[#This Row],[QT_CANA_REAL]],ESTIMATIVA[[#This Row],[QT_CANA_REST2]])</f>
        <v>922.75</v>
      </c>
      <c r="AG1930" s="1" t="str">
        <f>IF(COUNTIFS(GEADA!A:A,VALUE(ESTIMATIVA[[#This Row],[CD_UPNIVEL1]]&amp;TEXT(ESTIMATIVA[[#This Row],[CD_UPNIVEL3]],"0000")))&gt;0,"S","N")</f>
        <v>N</v>
      </c>
      <c r="AH1930" s="1" t="str">
        <f>IF(COUNTIFS(IRRIGADO!C:C,ESTIMATIVA[[#This Row],[CD_UPNIVEL1]],IRRIGADO!E:E,ESTIMATIVA[[#This Row],[CD_UPNIVEL3]])&gt;0,"Irrigado",IF(ESTIMATIVA[[#This Row],[DE_SIST_CULT]]="Mineral","Sequeiro",ESTIMATIVA[[#This Row],[DE_SIST_CULT]]))</f>
        <v>A Definir</v>
      </c>
      <c r="AI1930" s="55" t="str">
        <f>IF(ESTIMATIVA[[#This Row],[TP_CULTIVO]]="Irrigado",_xlfn.MAXIFS(IRRIGADO!J:J,IRRIGADO!C:C,ESTIMATIVA[[#This Row],[CD_UPNIVEL1]],IRRIGADO!E:E,ESTIMATIVA[[#This Row],[CD_UPNIVEL3]]),"")</f>
        <v/>
      </c>
      <c r="AJ193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30" s="1">
        <f>COUNTIFS(Apresentação!$E$23:$E$29,ESTIMATIVA[[#This Row],[CD_UPNIVEL1]])</f>
        <v>0</v>
      </c>
    </row>
    <row r="1931" spans="1:37" x14ac:dyDescent="0.3">
      <c r="A1931">
        <v>20811</v>
      </c>
      <c r="B1931" t="s">
        <v>162</v>
      </c>
      <c r="C1931">
        <v>140</v>
      </c>
      <c r="D1931">
        <v>1</v>
      </c>
      <c r="E1931" t="s">
        <v>264</v>
      </c>
      <c r="F1931" s="85"/>
      <c r="G1931"/>
      <c r="H1931" t="s">
        <v>296</v>
      </c>
      <c r="I1931" t="s">
        <v>202</v>
      </c>
      <c r="J1931" t="s">
        <v>177</v>
      </c>
      <c r="K1931" s="1">
        <v>9.6199999999999992</v>
      </c>
      <c r="L1931" s="1">
        <v>9.6199999999999992</v>
      </c>
      <c r="M1931" s="1">
        <v>0</v>
      </c>
      <c r="N1931" s="1">
        <v>9.6199999999999992</v>
      </c>
      <c r="O1931" s="1">
        <v>933.14</v>
      </c>
      <c r="P1931" s="1">
        <v>885.04</v>
      </c>
      <c r="Q1931" s="1">
        <v>0</v>
      </c>
      <c r="R1931" s="1">
        <v>623.36</v>
      </c>
      <c r="S1931" t="s">
        <v>281</v>
      </c>
      <c r="T1931" s="13">
        <v>45928</v>
      </c>
      <c r="U1931" s="1" t="str">
        <f>IF(ESTIMATIVA[[#This Row],[QT_AREA_REAL]]&gt;0,"1- Colhido","2- à Colher")</f>
        <v>1- Colhido</v>
      </c>
      <c r="V1931" s="1" t="str">
        <f>IF(ESTIMATIVA[[#This Row],[QT_AREA_REST1]]&gt;0,"Reestimativa 1",IF(ESTIMATIVA[[#This Row],[QT_AREA_REAL]]=0,"Reestimativa 1","Realizado"))</f>
        <v>Reestimativa 1</v>
      </c>
      <c r="W1931" s="1" t="str">
        <f>IF(ESTIMATIVA[[#This Row],[QT_AREA_REST2]]&gt;0,"Reestimativa 2",IF(ESTIMATIVA[[#This Row],[QT_AREA_REAL]]=0,"Reestimativa 2","Realizado"))</f>
        <v>Realizado</v>
      </c>
      <c r="X1931" s="1">
        <f>ESTIMATIVA[[#This Row],[QT_AREA_EST]]</f>
        <v>9.6199999999999992</v>
      </c>
      <c r="Y1931" s="1">
        <f>IF(ESTIMATIVA[[#This Row],[QT_AREA_REST1]]&gt;0,ESTIMATIVA[[#This Row],[QT_AREA_REST1]],
  IF(ESTIMATIVA[[#This Row],[QT_AREA_REAL]]&gt;0,ESTIMATIVA[[#This Row],[QT_AREA_REAL]],ESTIMATIVA[[#This Row],[QT_AREA_EST]]))</f>
        <v>9.6199999999999992</v>
      </c>
      <c r="Z193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9.6199999999999992</v>
      </c>
      <c r="AA1931" s="1">
        <f>ESTIMATIVA[[#This Row],[QT_CANA_EST]]</f>
        <v>933.14</v>
      </c>
      <c r="AB1931" s="1">
        <f>IF(ESTIMATIVA[[#This Row],[QT_CANA_REST1]]&gt;0,ESTIMATIVA[[#This Row],[QT_CANA_REST1]],
  IF(ESTIMATIVA[[#This Row],[QT_CANA_REAL]]&gt;0,ESTIMATIVA[[#This Row],[QT_CANA_REAL]],ESTIMATIVA[[#This Row],[QT_CANA_EST]]))</f>
        <v>885.04</v>
      </c>
      <c r="AC193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623.36</v>
      </c>
      <c r="AD1931" s="1">
        <f>IF(ESTIMATIVA[[#This Row],[QT_AREA_REAL]]&gt;0,ESTIMATIVA[[#This Row],[QT_CANA_REAL]],ESTIMATIVA[[#This Row],[QT_CANA_EST]])</f>
        <v>623.36</v>
      </c>
      <c r="AE1931" s="1">
        <f>IF(ESTIMATIVA[[#This Row],[QT_AREA_REAL]]&gt;0,ESTIMATIVA[[#This Row],[QT_CANA_REAL]],ESTIMATIVA[[#This Row],[QT_CANA_REST1]])</f>
        <v>623.36</v>
      </c>
      <c r="AF1931" s="1">
        <f>IF(ESTIMATIVA[[#This Row],[QT_AREA_REAL]]&gt;0,ESTIMATIVA[[#This Row],[QT_CANA_REAL]],ESTIMATIVA[[#This Row],[QT_CANA_REST2]])</f>
        <v>623.36</v>
      </c>
      <c r="AG1931" s="1" t="str">
        <f>IF(COUNTIFS(GEADA!A:A,VALUE(ESTIMATIVA[[#This Row],[CD_UPNIVEL1]]&amp;TEXT(ESTIMATIVA[[#This Row],[CD_UPNIVEL3]],"0000")))&gt;0,"S","N")</f>
        <v>N</v>
      </c>
      <c r="AH1931" s="1" t="str">
        <f>IF(COUNTIFS(IRRIGADO!C:C,ESTIMATIVA[[#This Row],[CD_UPNIVEL1]],IRRIGADO!E:E,ESTIMATIVA[[#This Row],[CD_UPNIVEL3]])&gt;0,"Irrigado",IF(ESTIMATIVA[[#This Row],[DE_SIST_CULT]]="Mineral","Sequeiro",ESTIMATIVA[[#This Row],[DE_SIST_CULT]]))</f>
        <v>A Definir</v>
      </c>
      <c r="AI1931" s="55" t="str">
        <f>IF(ESTIMATIVA[[#This Row],[TP_CULTIVO]]="Irrigado",_xlfn.MAXIFS(IRRIGADO!J:J,IRRIGADO!C:C,ESTIMATIVA[[#This Row],[CD_UPNIVEL1]],IRRIGADO!E:E,ESTIMATIVA[[#This Row],[CD_UPNIVEL3]]),"")</f>
        <v/>
      </c>
      <c r="AJ193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31" s="1">
        <f>COUNTIFS(Apresentação!$E$23:$E$29,ESTIMATIVA[[#This Row],[CD_UPNIVEL1]])</f>
        <v>0</v>
      </c>
    </row>
    <row r="1932" spans="1:37" x14ac:dyDescent="0.3">
      <c r="A1932">
        <v>20811</v>
      </c>
      <c r="B1932" t="s">
        <v>162</v>
      </c>
      <c r="C1932">
        <v>141</v>
      </c>
      <c r="D1932">
        <v>1</v>
      </c>
      <c r="E1932" t="s">
        <v>264</v>
      </c>
      <c r="F1932" s="85"/>
      <c r="G1932"/>
      <c r="H1932" t="s">
        <v>296</v>
      </c>
      <c r="I1932" t="s">
        <v>202</v>
      </c>
      <c r="J1932" t="s">
        <v>177</v>
      </c>
      <c r="K1932" s="1">
        <v>4.3899999999999997</v>
      </c>
      <c r="L1932" s="1">
        <v>4.3899999999999997</v>
      </c>
      <c r="M1932" s="1">
        <v>0</v>
      </c>
      <c r="N1932" s="1">
        <v>4.3899999999999997</v>
      </c>
      <c r="O1932" s="1">
        <v>425.83</v>
      </c>
      <c r="P1932" s="1">
        <v>403.88</v>
      </c>
      <c r="Q1932" s="1">
        <v>0</v>
      </c>
      <c r="R1932" s="1">
        <v>284.52999999999997</v>
      </c>
      <c r="S1932" t="s">
        <v>281</v>
      </c>
      <c r="T1932" s="13">
        <v>45928</v>
      </c>
      <c r="U1932" s="1" t="str">
        <f>IF(ESTIMATIVA[[#This Row],[QT_AREA_REAL]]&gt;0,"1- Colhido","2- à Colher")</f>
        <v>1- Colhido</v>
      </c>
      <c r="V1932" s="1" t="str">
        <f>IF(ESTIMATIVA[[#This Row],[QT_AREA_REST1]]&gt;0,"Reestimativa 1",IF(ESTIMATIVA[[#This Row],[QT_AREA_REAL]]=0,"Reestimativa 1","Realizado"))</f>
        <v>Reestimativa 1</v>
      </c>
      <c r="W1932" s="1" t="str">
        <f>IF(ESTIMATIVA[[#This Row],[QT_AREA_REST2]]&gt;0,"Reestimativa 2",IF(ESTIMATIVA[[#This Row],[QT_AREA_REAL]]=0,"Reestimativa 2","Realizado"))</f>
        <v>Realizado</v>
      </c>
      <c r="X1932" s="1">
        <f>ESTIMATIVA[[#This Row],[QT_AREA_EST]]</f>
        <v>4.3899999999999997</v>
      </c>
      <c r="Y1932" s="1">
        <f>IF(ESTIMATIVA[[#This Row],[QT_AREA_REST1]]&gt;0,ESTIMATIVA[[#This Row],[QT_AREA_REST1]],
  IF(ESTIMATIVA[[#This Row],[QT_AREA_REAL]]&gt;0,ESTIMATIVA[[#This Row],[QT_AREA_REAL]],ESTIMATIVA[[#This Row],[QT_AREA_EST]]))</f>
        <v>4.3899999999999997</v>
      </c>
      <c r="Z193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4.3899999999999997</v>
      </c>
      <c r="AA1932" s="1">
        <f>ESTIMATIVA[[#This Row],[QT_CANA_EST]]</f>
        <v>425.83</v>
      </c>
      <c r="AB1932" s="1">
        <f>IF(ESTIMATIVA[[#This Row],[QT_CANA_REST1]]&gt;0,ESTIMATIVA[[#This Row],[QT_CANA_REST1]],
  IF(ESTIMATIVA[[#This Row],[QT_CANA_REAL]]&gt;0,ESTIMATIVA[[#This Row],[QT_CANA_REAL]],ESTIMATIVA[[#This Row],[QT_CANA_EST]]))</f>
        <v>403.88</v>
      </c>
      <c r="AC193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284.52999999999997</v>
      </c>
      <c r="AD1932" s="1">
        <f>IF(ESTIMATIVA[[#This Row],[QT_AREA_REAL]]&gt;0,ESTIMATIVA[[#This Row],[QT_CANA_REAL]],ESTIMATIVA[[#This Row],[QT_CANA_EST]])</f>
        <v>284.52999999999997</v>
      </c>
      <c r="AE1932" s="1">
        <f>IF(ESTIMATIVA[[#This Row],[QT_AREA_REAL]]&gt;0,ESTIMATIVA[[#This Row],[QT_CANA_REAL]],ESTIMATIVA[[#This Row],[QT_CANA_REST1]])</f>
        <v>284.52999999999997</v>
      </c>
      <c r="AF1932" s="1">
        <f>IF(ESTIMATIVA[[#This Row],[QT_AREA_REAL]]&gt;0,ESTIMATIVA[[#This Row],[QT_CANA_REAL]],ESTIMATIVA[[#This Row],[QT_CANA_REST2]])</f>
        <v>284.52999999999997</v>
      </c>
      <c r="AG1932" s="1" t="str">
        <f>IF(COUNTIFS(GEADA!A:A,VALUE(ESTIMATIVA[[#This Row],[CD_UPNIVEL1]]&amp;TEXT(ESTIMATIVA[[#This Row],[CD_UPNIVEL3]],"0000")))&gt;0,"S","N")</f>
        <v>N</v>
      </c>
      <c r="AH1932" s="1" t="str">
        <f>IF(COUNTIFS(IRRIGADO!C:C,ESTIMATIVA[[#This Row],[CD_UPNIVEL1]],IRRIGADO!E:E,ESTIMATIVA[[#This Row],[CD_UPNIVEL3]])&gt;0,"Irrigado",IF(ESTIMATIVA[[#This Row],[DE_SIST_CULT]]="Mineral","Sequeiro",ESTIMATIVA[[#This Row],[DE_SIST_CULT]]))</f>
        <v>A Definir</v>
      </c>
      <c r="AI1932" s="55" t="str">
        <f>IF(ESTIMATIVA[[#This Row],[TP_CULTIVO]]="Irrigado",_xlfn.MAXIFS(IRRIGADO!J:J,IRRIGADO!C:C,ESTIMATIVA[[#This Row],[CD_UPNIVEL1]],IRRIGADO!E:E,ESTIMATIVA[[#This Row],[CD_UPNIVEL3]]),"")</f>
        <v/>
      </c>
      <c r="AJ193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32" s="1">
        <f>COUNTIFS(Apresentação!$E$23:$E$29,ESTIMATIVA[[#This Row],[CD_UPNIVEL1]])</f>
        <v>0</v>
      </c>
    </row>
    <row r="1933" spans="1:37" x14ac:dyDescent="0.3">
      <c r="A1933">
        <v>20811</v>
      </c>
      <c r="B1933" t="s">
        <v>162</v>
      </c>
      <c r="C1933">
        <v>142</v>
      </c>
      <c r="D1933">
        <v>1</v>
      </c>
      <c r="E1933" t="s">
        <v>264</v>
      </c>
      <c r="F1933" s="85"/>
      <c r="G1933"/>
      <c r="H1933" t="s">
        <v>296</v>
      </c>
      <c r="I1933" t="s">
        <v>202</v>
      </c>
      <c r="J1933" t="s">
        <v>177</v>
      </c>
      <c r="K1933" s="1">
        <v>6.25</v>
      </c>
      <c r="L1933" s="1">
        <v>6.25</v>
      </c>
      <c r="M1933" s="1">
        <v>0</v>
      </c>
      <c r="N1933" s="1">
        <v>6.25</v>
      </c>
      <c r="O1933" s="1">
        <v>606.25</v>
      </c>
      <c r="P1933" s="1">
        <v>575</v>
      </c>
      <c r="Q1933" s="1">
        <v>0</v>
      </c>
      <c r="R1933" s="1">
        <v>404.99</v>
      </c>
      <c r="S1933" t="s">
        <v>281</v>
      </c>
      <c r="T1933" s="13">
        <v>45928</v>
      </c>
      <c r="U1933" s="1" t="str">
        <f>IF(ESTIMATIVA[[#This Row],[QT_AREA_REAL]]&gt;0,"1- Colhido","2- à Colher")</f>
        <v>1- Colhido</v>
      </c>
      <c r="V1933" s="1" t="str">
        <f>IF(ESTIMATIVA[[#This Row],[QT_AREA_REST1]]&gt;0,"Reestimativa 1",IF(ESTIMATIVA[[#This Row],[QT_AREA_REAL]]=0,"Reestimativa 1","Realizado"))</f>
        <v>Reestimativa 1</v>
      </c>
      <c r="W1933" s="1" t="str">
        <f>IF(ESTIMATIVA[[#This Row],[QT_AREA_REST2]]&gt;0,"Reestimativa 2",IF(ESTIMATIVA[[#This Row],[QT_AREA_REAL]]=0,"Reestimativa 2","Realizado"))</f>
        <v>Realizado</v>
      </c>
      <c r="X1933" s="1">
        <f>ESTIMATIVA[[#This Row],[QT_AREA_EST]]</f>
        <v>6.25</v>
      </c>
      <c r="Y1933" s="1">
        <f>IF(ESTIMATIVA[[#This Row],[QT_AREA_REST1]]&gt;0,ESTIMATIVA[[#This Row],[QT_AREA_REST1]],
  IF(ESTIMATIVA[[#This Row],[QT_AREA_REAL]]&gt;0,ESTIMATIVA[[#This Row],[QT_AREA_REAL]],ESTIMATIVA[[#This Row],[QT_AREA_EST]]))</f>
        <v>6.25</v>
      </c>
      <c r="Z193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6.25</v>
      </c>
      <c r="AA1933" s="1">
        <f>ESTIMATIVA[[#This Row],[QT_CANA_EST]]</f>
        <v>606.25</v>
      </c>
      <c r="AB1933" s="1">
        <f>IF(ESTIMATIVA[[#This Row],[QT_CANA_REST1]]&gt;0,ESTIMATIVA[[#This Row],[QT_CANA_REST1]],
  IF(ESTIMATIVA[[#This Row],[QT_CANA_REAL]]&gt;0,ESTIMATIVA[[#This Row],[QT_CANA_REAL]],ESTIMATIVA[[#This Row],[QT_CANA_EST]]))</f>
        <v>575</v>
      </c>
      <c r="AC193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404.99</v>
      </c>
      <c r="AD1933" s="1">
        <f>IF(ESTIMATIVA[[#This Row],[QT_AREA_REAL]]&gt;0,ESTIMATIVA[[#This Row],[QT_CANA_REAL]],ESTIMATIVA[[#This Row],[QT_CANA_EST]])</f>
        <v>404.99</v>
      </c>
      <c r="AE1933" s="1">
        <f>IF(ESTIMATIVA[[#This Row],[QT_AREA_REAL]]&gt;0,ESTIMATIVA[[#This Row],[QT_CANA_REAL]],ESTIMATIVA[[#This Row],[QT_CANA_REST1]])</f>
        <v>404.99</v>
      </c>
      <c r="AF1933" s="1">
        <f>IF(ESTIMATIVA[[#This Row],[QT_AREA_REAL]]&gt;0,ESTIMATIVA[[#This Row],[QT_CANA_REAL]],ESTIMATIVA[[#This Row],[QT_CANA_REST2]])</f>
        <v>404.99</v>
      </c>
      <c r="AG1933" s="1" t="str">
        <f>IF(COUNTIFS(GEADA!A:A,VALUE(ESTIMATIVA[[#This Row],[CD_UPNIVEL1]]&amp;TEXT(ESTIMATIVA[[#This Row],[CD_UPNIVEL3]],"0000")))&gt;0,"S","N")</f>
        <v>N</v>
      </c>
      <c r="AH1933" s="1" t="str">
        <f>IF(COUNTIFS(IRRIGADO!C:C,ESTIMATIVA[[#This Row],[CD_UPNIVEL1]],IRRIGADO!E:E,ESTIMATIVA[[#This Row],[CD_UPNIVEL3]])&gt;0,"Irrigado",IF(ESTIMATIVA[[#This Row],[DE_SIST_CULT]]="Mineral","Sequeiro",ESTIMATIVA[[#This Row],[DE_SIST_CULT]]))</f>
        <v>A Definir</v>
      </c>
      <c r="AI1933" s="55" t="str">
        <f>IF(ESTIMATIVA[[#This Row],[TP_CULTIVO]]="Irrigado",_xlfn.MAXIFS(IRRIGADO!J:J,IRRIGADO!C:C,ESTIMATIVA[[#This Row],[CD_UPNIVEL1]],IRRIGADO!E:E,ESTIMATIVA[[#This Row],[CD_UPNIVEL3]]),"")</f>
        <v/>
      </c>
      <c r="AJ193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33" s="1">
        <f>COUNTIFS(Apresentação!$E$23:$E$29,ESTIMATIVA[[#This Row],[CD_UPNIVEL1]])</f>
        <v>0</v>
      </c>
    </row>
    <row r="1934" spans="1:37" x14ac:dyDescent="0.3">
      <c r="A1934">
        <v>20811</v>
      </c>
      <c r="B1934" t="s">
        <v>162</v>
      </c>
      <c r="C1934">
        <v>143</v>
      </c>
      <c r="D1934">
        <v>1</v>
      </c>
      <c r="E1934" t="s">
        <v>264</v>
      </c>
      <c r="F1934" s="85"/>
      <c r="G1934"/>
      <c r="H1934" t="s">
        <v>296</v>
      </c>
      <c r="I1934" t="s">
        <v>202</v>
      </c>
      <c r="J1934" t="s">
        <v>177</v>
      </c>
      <c r="K1934" s="1">
        <v>16.71</v>
      </c>
      <c r="L1934" s="1">
        <v>16.71</v>
      </c>
      <c r="M1934" s="1">
        <v>0</v>
      </c>
      <c r="N1934" s="1">
        <v>16.71</v>
      </c>
      <c r="O1934" s="1">
        <v>1620.87</v>
      </c>
      <c r="P1934" s="1">
        <v>1537.32</v>
      </c>
      <c r="Q1934" s="1">
        <v>0</v>
      </c>
      <c r="R1934" s="1">
        <v>1082.6600000000001</v>
      </c>
      <c r="S1934" t="s">
        <v>281</v>
      </c>
      <c r="T1934" s="13">
        <v>45928</v>
      </c>
      <c r="U1934" s="1" t="str">
        <f>IF(ESTIMATIVA[[#This Row],[QT_AREA_REAL]]&gt;0,"1- Colhido","2- à Colher")</f>
        <v>1- Colhido</v>
      </c>
      <c r="V1934" s="1" t="str">
        <f>IF(ESTIMATIVA[[#This Row],[QT_AREA_REST1]]&gt;0,"Reestimativa 1",IF(ESTIMATIVA[[#This Row],[QT_AREA_REAL]]=0,"Reestimativa 1","Realizado"))</f>
        <v>Reestimativa 1</v>
      </c>
      <c r="W1934" s="1" t="str">
        <f>IF(ESTIMATIVA[[#This Row],[QT_AREA_REST2]]&gt;0,"Reestimativa 2",IF(ESTIMATIVA[[#This Row],[QT_AREA_REAL]]=0,"Reestimativa 2","Realizado"))</f>
        <v>Realizado</v>
      </c>
      <c r="X1934" s="1">
        <f>ESTIMATIVA[[#This Row],[QT_AREA_EST]]</f>
        <v>16.71</v>
      </c>
      <c r="Y1934" s="1">
        <f>IF(ESTIMATIVA[[#This Row],[QT_AREA_REST1]]&gt;0,ESTIMATIVA[[#This Row],[QT_AREA_REST1]],
  IF(ESTIMATIVA[[#This Row],[QT_AREA_REAL]]&gt;0,ESTIMATIVA[[#This Row],[QT_AREA_REAL]],ESTIMATIVA[[#This Row],[QT_AREA_EST]]))</f>
        <v>16.71</v>
      </c>
      <c r="Z193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16.71</v>
      </c>
      <c r="AA1934" s="1">
        <f>ESTIMATIVA[[#This Row],[QT_CANA_EST]]</f>
        <v>1620.87</v>
      </c>
      <c r="AB1934" s="1">
        <f>IF(ESTIMATIVA[[#This Row],[QT_CANA_REST1]]&gt;0,ESTIMATIVA[[#This Row],[QT_CANA_REST1]],
  IF(ESTIMATIVA[[#This Row],[QT_CANA_REAL]]&gt;0,ESTIMATIVA[[#This Row],[QT_CANA_REAL]],ESTIMATIVA[[#This Row],[QT_CANA_EST]]))</f>
        <v>1537.32</v>
      </c>
      <c r="AC193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1082.6600000000001</v>
      </c>
      <c r="AD1934" s="1">
        <f>IF(ESTIMATIVA[[#This Row],[QT_AREA_REAL]]&gt;0,ESTIMATIVA[[#This Row],[QT_CANA_REAL]],ESTIMATIVA[[#This Row],[QT_CANA_EST]])</f>
        <v>1082.6600000000001</v>
      </c>
      <c r="AE1934" s="1">
        <f>IF(ESTIMATIVA[[#This Row],[QT_AREA_REAL]]&gt;0,ESTIMATIVA[[#This Row],[QT_CANA_REAL]],ESTIMATIVA[[#This Row],[QT_CANA_REST1]])</f>
        <v>1082.6600000000001</v>
      </c>
      <c r="AF1934" s="1">
        <f>IF(ESTIMATIVA[[#This Row],[QT_AREA_REAL]]&gt;0,ESTIMATIVA[[#This Row],[QT_CANA_REAL]],ESTIMATIVA[[#This Row],[QT_CANA_REST2]])</f>
        <v>1082.6600000000001</v>
      </c>
      <c r="AG1934" s="1" t="str">
        <f>IF(COUNTIFS(GEADA!A:A,VALUE(ESTIMATIVA[[#This Row],[CD_UPNIVEL1]]&amp;TEXT(ESTIMATIVA[[#This Row],[CD_UPNIVEL3]],"0000")))&gt;0,"S","N")</f>
        <v>N</v>
      </c>
      <c r="AH1934" s="1" t="str">
        <f>IF(COUNTIFS(IRRIGADO!C:C,ESTIMATIVA[[#This Row],[CD_UPNIVEL1]],IRRIGADO!E:E,ESTIMATIVA[[#This Row],[CD_UPNIVEL3]])&gt;0,"Irrigado",IF(ESTIMATIVA[[#This Row],[DE_SIST_CULT]]="Mineral","Sequeiro",ESTIMATIVA[[#This Row],[DE_SIST_CULT]]))</f>
        <v>A Definir</v>
      </c>
      <c r="AI1934" s="55" t="str">
        <f>IF(ESTIMATIVA[[#This Row],[TP_CULTIVO]]="Irrigado",_xlfn.MAXIFS(IRRIGADO!J:J,IRRIGADO!C:C,ESTIMATIVA[[#This Row],[CD_UPNIVEL1]],IRRIGADO!E:E,ESTIMATIVA[[#This Row],[CD_UPNIVEL3]]),"")</f>
        <v/>
      </c>
      <c r="AJ193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34" s="1">
        <f>COUNTIFS(Apresentação!$E$23:$E$29,ESTIMATIVA[[#This Row],[CD_UPNIVEL1]])</f>
        <v>0</v>
      </c>
    </row>
    <row r="1935" spans="1:37" x14ac:dyDescent="0.3">
      <c r="A1935">
        <v>20811</v>
      </c>
      <c r="B1935" t="s">
        <v>162</v>
      </c>
      <c r="C1935">
        <v>144</v>
      </c>
      <c r="D1935">
        <v>1</v>
      </c>
      <c r="E1935" t="s">
        <v>264</v>
      </c>
      <c r="F1935" s="85"/>
      <c r="G1935"/>
      <c r="H1935" t="s">
        <v>296</v>
      </c>
      <c r="I1935" t="s">
        <v>202</v>
      </c>
      <c r="J1935" t="s">
        <v>177</v>
      </c>
      <c r="K1935" s="1">
        <v>3.8</v>
      </c>
      <c r="L1935" s="1">
        <v>3.8</v>
      </c>
      <c r="M1935" s="1">
        <v>0</v>
      </c>
      <c r="N1935" s="1">
        <v>3.8</v>
      </c>
      <c r="O1935" s="1">
        <v>368.6</v>
      </c>
      <c r="P1935" s="1">
        <v>349.6</v>
      </c>
      <c r="Q1935" s="1">
        <v>0</v>
      </c>
      <c r="R1935" s="1">
        <v>246.98</v>
      </c>
      <c r="S1935" t="s">
        <v>281</v>
      </c>
      <c r="T1935" s="13">
        <v>45928</v>
      </c>
      <c r="U1935" s="1" t="str">
        <f>IF(ESTIMATIVA[[#This Row],[QT_AREA_REAL]]&gt;0,"1- Colhido","2- à Colher")</f>
        <v>1- Colhido</v>
      </c>
      <c r="V1935" s="1" t="str">
        <f>IF(ESTIMATIVA[[#This Row],[QT_AREA_REST1]]&gt;0,"Reestimativa 1",IF(ESTIMATIVA[[#This Row],[QT_AREA_REAL]]=0,"Reestimativa 1","Realizado"))</f>
        <v>Reestimativa 1</v>
      </c>
      <c r="W1935" s="1" t="str">
        <f>IF(ESTIMATIVA[[#This Row],[QT_AREA_REST2]]&gt;0,"Reestimativa 2",IF(ESTIMATIVA[[#This Row],[QT_AREA_REAL]]=0,"Reestimativa 2","Realizado"))</f>
        <v>Realizado</v>
      </c>
      <c r="X1935" s="1">
        <f>ESTIMATIVA[[#This Row],[QT_AREA_EST]]</f>
        <v>3.8</v>
      </c>
      <c r="Y1935" s="1">
        <f>IF(ESTIMATIVA[[#This Row],[QT_AREA_REST1]]&gt;0,ESTIMATIVA[[#This Row],[QT_AREA_REST1]],
  IF(ESTIMATIVA[[#This Row],[QT_AREA_REAL]]&gt;0,ESTIMATIVA[[#This Row],[QT_AREA_REAL]],ESTIMATIVA[[#This Row],[QT_AREA_EST]]))</f>
        <v>3.8</v>
      </c>
      <c r="Z193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3.8</v>
      </c>
      <c r="AA1935" s="1">
        <f>ESTIMATIVA[[#This Row],[QT_CANA_EST]]</f>
        <v>368.6</v>
      </c>
      <c r="AB1935" s="1">
        <f>IF(ESTIMATIVA[[#This Row],[QT_CANA_REST1]]&gt;0,ESTIMATIVA[[#This Row],[QT_CANA_REST1]],
  IF(ESTIMATIVA[[#This Row],[QT_CANA_REAL]]&gt;0,ESTIMATIVA[[#This Row],[QT_CANA_REAL]],ESTIMATIVA[[#This Row],[QT_CANA_EST]]))</f>
        <v>349.6</v>
      </c>
      <c r="AC193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246.98</v>
      </c>
      <c r="AD1935" s="1">
        <f>IF(ESTIMATIVA[[#This Row],[QT_AREA_REAL]]&gt;0,ESTIMATIVA[[#This Row],[QT_CANA_REAL]],ESTIMATIVA[[#This Row],[QT_CANA_EST]])</f>
        <v>246.98</v>
      </c>
      <c r="AE1935" s="1">
        <f>IF(ESTIMATIVA[[#This Row],[QT_AREA_REAL]]&gt;0,ESTIMATIVA[[#This Row],[QT_CANA_REAL]],ESTIMATIVA[[#This Row],[QT_CANA_REST1]])</f>
        <v>246.98</v>
      </c>
      <c r="AF1935" s="1">
        <f>IF(ESTIMATIVA[[#This Row],[QT_AREA_REAL]]&gt;0,ESTIMATIVA[[#This Row],[QT_CANA_REAL]],ESTIMATIVA[[#This Row],[QT_CANA_REST2]])</f>
        <v>246.98</v>
      </c>
      <c r="AG1935" s="1" t="str">
        <f>IF(COUNTIFS(GEADA!A:A,VALUE(ESTIMATIVA[[#This Row],[CD_UPNIVEL1]]&amp;TEXT(ESTIMATIVA[[#This Row],[CD_UPNIVEL3]],"0000")))&gt;0,"S","N")</f>
        <v>N</v>
      </c>
      <c r="AH1935" s="1" t="str">
        <f>IF(COUNTIFS(IRRIGADO!C:C,ESTIMATIVA[[#This Row],[CD_UPNIVEL1]],IRRIGADO!E:E,ESTIMATIVA[[#This Row],[CD_UPNIVEL3]])&gt;0,"Irrigado",IF(ESTIMATIVA[[#This Row],[DE_SIST_CULT]]="Mineral","Sequeiro",ESTIMATIVA[[#This Row],[DE_SIST_CULT]]))</f>
        <v>A Definir</v>
      </c>
      <c r="AI1935" s="55" t="str">
        <f>IF(ESTIMATIVA[[#This Row],[TP_CULTIVO]]="Irrigado",_xlfn.MAXIFS(IRRIGADO!J:J,IRRIGADO!C:C,ESTIMATIVA[[#This Row],[CD_UPNIVEL1]],IRRIGADO!E:E,ESTIMATIVA[[#This Row],[CD_UPNIVEL3]]),"")</f>
        <v/>
      </c>
      <c r="AJ193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35" s="1">
        <f>COUNTIFS(Apresentação!$E$23:$E$29,ESTIMATIVA[[#This Row],[CD_UPNIVEL1]])</f>
        <v>0</v>
      </c>
    </row>
    <row r="1936" spans="1:37" x14ac:dyDescent="0.3">
      <c r="A1936">
        <v>20847</v>
      </c>
      <c r="B1936" t="s">
        <v>100</v>
      </c>
      <c r="C1936">
        <v>1</v>
      </c>
      <c r="D1936">
        <v>3</v>
      </c>
      <c r="E1936" t="s">
        <v>263</v>
      </c>
      <c r="F1936" s="85" t="s">
        <v>332</v>
      </c>
      <c r="G1936"/>
      <c r="H1936" t="s">
        <v>294</v>
      </c>
      <c r="I1936" t="s">
        <v>228</v>
      </c>
      <c r="J1936" t="s">
        <v>178</v>
      </c>
      <c r="K1936" s="1">
        <v>38.130000000000003</v>
      </c>
      <c r="L1936" s="1">
        <v>0</v>
      </c>
      <c r="M1936" s="1">
        <v>0</v>
      </c>
      <c r="N1936" s="1">
        <v>38.130000000000003</v>
      </c>
      <c r="O1936" s="1">
        <v>2516.58</v>
      </c>
      <c r="P1936" s="1">
        <v>0</v>
      </c>
      <c r="Q1936" s="1">
        <v>0</v>
      </c>
      <c r="R1936" s="1">
        <v>2512.37</v>
      </c>
      <c r="S1936" t="s">
        <v>280</v>
      </c>
      <c r="T1936" s="13">
        <v>45837</v>
      </c>
      <c r="U1936" s="1" t="str">
        <f>IF(ESTIMATIVA[[#This Row],[QT_AREA_REAL]]&gt;0,"1- Colhido","2- à Colher")</f>
        <v>1- Colhido</v>
      </c>
      <c r="V1936" s="1" t="str">
        <f>IF(ESTIMATIVA[[#This Row],[QT_AREA_REST1]]&gt;0,"Reestimativa 1",IF(ESTIMATIVA[[#This Row],[QT_AREA_REAL]]=0,"Reestimativa 1","Realizado"))</f>
        <v>Realizado</v>
      </c>
      <c r="W1936" s="1" t="str">
        <f>IF(ESTIMATIVA[[#This Row],[QT_AREA_REST2]]&gt;0,"Reestimativa 2",IF(ESTIMATIVA[[#This Row],[QT_AREA_REAL]]=0,"Reestimativa 2","Realizado"))</f>
        <v>Realizado</v>
      </c>
      <c r="X1936" s="1">
        <f>ESTIMATIVA[[#This Row],[QT_AREA_EST]]</f>
        <v>38.130000000000003</v>
      </c>
      <c r="Y1936" s="1">
        <f>IF(ESTIMATIVA[[#This Row],[QT_AREA_REST1]]&gt;0,ESTIMATIVA[[#This Row],[QT_AREA_REST1]],
  IF(ESTIMATIVA[[#This Row],[QT_AREA_REAL]]&gt;0,ESTIMATIVA[[#This Row],[QT_AREA_REAL]],ESTIMATIVA[[#This Row],[QT_AREA_EST]]))</f>
        <v>38.130000000000003</v>
      </c>
      <c r="Z193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38.130000000000003</v>
      </c>
      <c r="AA1936" s="1">
        <f>ESTIMATIVA[[#This Row],[QT_CANA_EST]]</f>
        <v>2516.58</v>
      </c>
      <c r="AB1936" s="1">
        <f>IF(ESTIMATIVA[[#This Row],[QT_CANA_REST1]]&gt;0,ESTIMATIVA[[#This Row],[QT_CANA_REST1]],
  IF(ESTIMATIVA[[#This Row],[QT_CANA_REAL]]&gt;0,ESTIMATIVA[[#This Row],[QT_CANA_REAL]],ESTIMATIVA[[#This Row],[QT_CANA_EST]]))</f>
        <v>2512.37</v>
      </c>
      <c r="AC193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2512.37</v>
      </c>
      <c r="AD1936" s="1">
        <f>IF(ESTIMATIVA[[#This Row],[QT_AREA_REAL]]&gt;0,ESTIMATIVA[[#This Row],[QT_CANA_REAL]],ESTIMATIVA[[#This Row],[QT_CANA_EST]])</f>
        <v>2512.37</v>
      </c>
      <c r="AE1936" s="1">
        <f>IF(ESTIMATIVA[[#This Row],[QT_AREA_REAL]]&gt;0,ESTIMATIVA[[#This Row],[QT_CANA_REAL]],ESTIMATIVA[[#This Row],[QT_CANA_REST1]])</f>
        <v>2512.37</v>
      </c>
      <c r="AF1936" s="1">
        <f>IF(ESTIMATIVA[[#This Row],[QT_AREA_REAL]]&gt;0,ESTIMATIVA[[#This Row],[QT_CANA_REAL]],ESTIMATIVA[[#This Row],[QT_CANA_REST2]])</f>
        <v>2512.37</v>
      </c>
      <c r="AG1936" s="1" t="str">
        <f>IF(COUNTIFS(GEADA!A:A,VALUE(ESTIMATIVA[[#This Row],[CD_UPNIVEL1]]&amp;TEXT(ESTIMATIVA[[#This Row],[CD_UPNIVEL3]],"0000")))&gt;0,"S","N")</f>
        <v>N</v>
      </c>
      <c r="AH193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36" s="55" t="str">
        <f>IF(ESTIMATIVA[[#This Row],[TP_CULTIVO]]="Irrigado",_xlfn.MAXIFS(IRRIGADO!J:J,IRRIGADO!C:C,ESTIMATIVA[[#This Row],[CD_UPNIVEL1]],IRRIGADO!E:E,ESTIMATIVA[[#This Row],[CD_UPNIVEL3]]),"")</f>
        <v/>
      </c>
      <c r="AJ193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36" s="1">
        <f>COUNTIFS(Apresentação!$E$23:$E$29,ESTIMATIVA[[#This Row],[CD_UPNIVEL1]])</f>
        <v>0</v>
      </c>
    </row>
    <row r="1937" spans="1:37" x14ac:dyDescent="0.3">
      <c r="A1937">
        <v>20847</v>
      </c>
      <c r="B1937" t="s">
        <v>100</v>
      </c>
      <c r="C1937">
        <v>2</v>
      </c>
      <c r="D1937">
        <v>3</v>
      </c>
      <c r="E1937" t="s">
        <v>263</v>
      </c>
      <c r="F1937" s="85" t="s">
        <v>331</v>
      </c>
      <c r="G1937"/>
      <c r="H1937" t="s">
        <v>294</v>
      </c>
      <c r="I1937" t="s">
        <v>199</v>
      </c>
      <c r="J1937" t="s">
        <v>178</v>
      </c>
      <c r="K1937" s="1">
        <v>40.61</v>
      </c>
      <c r="L1937" s="1">
        <v>0</v>
      </c>
      <c r="M1937" s="1">
        <v>0</v>
      </c>
      <c r="N1937" s="1">
        <v>40.61</v>
      </c>
      <c r="O1937" s="1">
        <v>2680.26</v>
      </c>
      <c r="P1937" s="1">
        <v>0</v>
      </c>
      <c r="Q1937" s="1">
        <v>0</v>
      </c>
      <c r="R1937" s="1">
        <v>2446.02</v>
      </c>
      <c r="S1937" t="s">
        <v>280</v>
      </c>
      <c r="T1937" s="13">
        <v>45844</v>
      </c>
      <c r="U1937" s="1" t="str">
        <f>IF(ESTIMATIVA[[#This Row],[QT_AREA_REAL]]&gt;0,"1- Colhido","2- à Colher")</f>
        <v>1- Colhido</v>
      </c>
      <c r="V1937" s="1" t="str">
        <f>IF(ESTIMATIVA[[#This Row],[QT_AREA_REST1]]&gt;0,"Reestimativa 1",IF(ESTIMATIVA[[#This Row],[QT_AREA_REAL]]=0,"Reestimativa 1","Realizado"))</f>
        <v>Realizado</v>
      </c>
      <c r="W1937" s="1" t="str">
        <f>IF(ESTIMATIVA[[#This Row],[QT_AREA_REST2]]&gt;0,"Reestimativa 2",IF(ESTIMATIVA[[#This Row],[QT_AREA_REAL]]=0,"Reestimativa 2","Realizado"))</f>
        <v>Realizado</v>
      </c>
      <c r="X1937" s="1">
        <f>ESTIMATIVA[[#This Row],[QT_AREA_EST]]</f>
        <v>40.61</v>
      </c>
      <c r="Y1937" s="1">
        <f>IF(ESTIMATIVA[[#This Row],[QT_AREA_REST1]]&gt;0,ESTIMATIVA[[#This Row],[QT_AREA_REST1]],
  IF(ESTIMATIVA[[#This Row],[QT_AREA_REAL]]&gt;0,ESTIMATIVA[[#This Row],[QT_AREA_REAL]],ESTIMATIVA[[#This Row],[QT_AREA_EST]]))</f>
        <v>40.61</v>
      </c>
      <c r="Z193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40.61</v>
      </c>
      <c r="AA1937" s="1">
        <f>ESTIMATIVA[[#This Row],[QT_CANA_EST]]</f>
        <v>2680.26</v>
      </c>
      <c r="AB1937" s="1">
        <f>IF(ESTIMATIVA[[#This Row],[QT_CANA_REST1]]&gt;0,ESTIMATIVA[[#This Row],[QT_CANA_REST1]],
  IF(ESTIMATIVA[[#This Row],[QT_CANA_REAL]]&gt;0,ESTIMATIVA[[#This Row],[QT_CANA_REAL]],ESTIMATIVA[[#This Row],[QT_CANA_EST]]))</f>
        <v>2446.02</v>
      </c>
      <c r="AC193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2446.02</v>
      </c>
      <c r="AD1937" s="1">
        <f>IF(ESTIMATIVA[[#This Row],[QT_AREA_REAL]]&gt;0,ESTIMATIVA[[#This Row],[QT_CANA_REAL]],ESTIMATIVA[[#This Row],[QT_CANA_EST]])</f>
        <v>2446.02</v>
      </c>
      <c r="AE1937" s="1">
        <f>IF(ESTIMATIVA[[#This Row],[QT_AREA_REAL]]&gt;0,ESTIMATIVA[[#This Row],[QT_CANA_REAL]],ESTIMATIVA[[#This Row],[QT_CANA_REST1]])</f>
        <v>2446.02</v>
      </c>
      <c r="AF1937" s="1">
        <f>IF(ESTIMATIVA[[#This Row],[QT_AREA_REAL]]&gt;0,ESTIMATIVA[[#This Row],[QT_CANA_REAL]],ESTIMATIVA[[#This Row],[QT_CANA_REST2]])</f>
        <v>2446.02</v>
      </c>
      <c r="AG1937" s="1" t="str">
        <f>IF(COUNTIFS(GEADA!A:A,VALUE(ESTIMATIVA[[#This Row],[CD_UPNIVEL1]]&amp;TEXT(ESTIMATIVA[[#This Row],[CD_UPNIVEL3]],"0000")))&gt;0,"S","N")</f>
        <v>N</v>
      </c>
      <c r="AH193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37" s="55" t="str">
        <f>IF(ESTIMATIVA[[#This Row],[TP_CULTIVO]]="Irrigado",_xlfn.MAXIFS(IRRIGADO!J:J,IRRIGADO!C:C,ESTIMATIVA[[#This Row],[CD_UPNIVEL1]],IRRIGADO!E:E,ESTIMATIVA[[#This Row],[CD_UPNIVEL3]]),"")</f>
        <v/>
      </c>
      <c r="AJ193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37" s="1">
        <f>COUNTIFS(Apresentação!$E$23:$E$29,ESTIMATIVA[[#This Row],[CD_UPNIVEL1]])</f>
        <v>0</v>
      </c>
    </row>
    <row r="1938" spans="1:37" x14ac:dyDescent="0.3">
      <c r="A1938">
        <v>20847</v>
      </c>
      <c r="B1938" t="s">
        <v>100</v>
      </c>
      <c r="C1938">
        <v>3</v>
      </c>
      <c r="D1938">
        <v>3</v>
      </c>
      <c r="E1938" t="s">
        <v>263</v>
      </c>
      <c r="F1938" s="85" t="s">
        <v>331</v>
      </c>
      <c r="G1938"/>
      <c r="H1938" t="s">
        <v>294</v>
      </c>
      <c r="I1938" t="s">
        <v>199</v>
      </c>
      <c r="J1938" t="s">
        <v>178</v>
      </c>
      <c r="K1938" s="1">
        <v>36.64</v>
      </c>
      <c r="L1938" s="1">
        <v>0</v>
      </c>
      <c r="M1938" s="1">
        <v>0</v>
      </c>
      <c r="N1938" s="1">
        <v>36.64</v>
      </c>
      <c r="O1938" s="1">
        <v>2418.2399999999998</v>
      </c>
      <c r="P1938" s="1">
        <v>0</v>
      </c>
      <c r="Q1938" s="1">
        <v>0</v>
      </c>
      <c r="R1938" s="1">
        <v>2206.88</v>
      </c>
      <c r="S1938" t="s">
        <v>280</v>
      </c>
      <c r="T1938" s="13">
        <v>45844</v>
      </c>
      <c r="U1938" s="1" t="str">
        <f>IF(ESTIMATIVA[[#This Row],[QT_AREA_REAL]]&gt;0,"1- Colhido","2- à Colher")</f>
        <v>1- Colhido</v>
      </c>
      <c r="V1938" s="1" t="str">
        <f>IF(ESTIMATIVA[[#This Row],[QT_AREA_REST1]]&gt;0,"Reestimativa 1",IF(ESTIMATIVA[[#This Row],[QT_AREA_REAL]]=0,"Reestimativa 1","Realizado"))</f>
        <v>Realizado</v>
      </c>
      <c r="W1938" s="1" t="str">
        <f>IF(ESTIMATIVA[[#This Row],[QT_AREA_REST2]]&gt;0,"Reestimativa 2",IF(ESTIMATIVA[[#This Row],[QT_AREA_REAL]]=0,"Reestimativa 2","Realizado"))</f>
        <v>Realizado</v>
      </c>
      <c r="X1938" s="1">
        <f>ESTIMATIVA[[#This Row],[QT_AREA_EST]]</f>
        <v>36.64</v>
      </c>
      <c r="Y1938" s="1">
        <f>IF(ESTIMATIVA[[#This Row],[QT_AREA_REST1]]&gt;0,ESTIMATIVA[[#This Row],[QT_AREA_REST1]],
  IF(ESTIMATIVA[[#This Row],[QT_AREA_REAL]]&gt;0,ESTIMATIVA[[#This Row],[QT_AREA_REAL]],ESTIMATIVA[[#This Row],[QT_AREA_EST]]))</f>
        <v>36.64</v>
      </c>
      <c r="Z193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36.64</v>
      </c>
      <c r="AA1938" s="1">
        <f>ESTIMATIVA[[#This Row],[QT_CANA_EST]]</f>
        <v>2418.2399999999998</v>
      </c>
      <c r="AB1938" s="1">
        <f>IF(ESTIMATIVA[[#This Row],[QT_CANA_REST1]]&gt;0,ESTIMATIVA[[#This Row],[QT_CANA_REST1]],
  IF(ESTIMATIVA[[#This Row],[QT_CANA_REAL]]&gt;0,ESTIMATIVA[[#This Row],[QT_CANA_REAL]],ESTIMATIVA[[#This Row],[QT_CANA_EST]]))</f>
        <v>2206.88</v>
      </c>
      <c r="AC193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2206.88</v>
      </c>
      <c r="AD1938" s="1">
        <f>IF(ESTIMATIVA[[#This Row],[QT_AREA_REAL]]&gt;0,ESTIMATIVA[[#This Row],[QT_CANA_REAL]],ESTIMATIVA[[#This Row],[QT_CANA_EST]])</f>
        <v>2206.88</v>
      </c>
      <c r="AE1938" s="1">
        <f>IF(ESTIMATIVA[[#This Row],[QT_AREA_REAL]]&gt;0,ESTIMATIVA[[#This Row],[QT_CANA_REAL]],ESTIMATIVA[[#This Row],[QT_CANA_REST1]])</f>
        <v>2206.88</v>
      </c>
      <c r="AF1938" s="1">
        <f>IF(ESTIMATIVA[[#This Row],[QT_AREA_REAL]]&gt;0,ESTIMATIVA[[#This Row],[QT_CANA_REAL]],ESTIMATIVA[[#This Row],[QT_CANA_REST2]])</f>
        <v>2206.88</v>
      </c>
      <c r="AG1938" s="1" t="str">
        <f>IF(COUNTIFS(GEADA!A:A,VALUE(ESTIMATIVA[[#This Row],[CD_UPNIVEL1]]&amp;TEXT(ESTIMATIVA[[#This Row],[CD_UPNIVEL3]],"0000")))&gt;0,"S","N")</f>
        <v>N</v>
      </c>
      <c r="AH193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38" s="55" t="str">
        <f>IF(ESTIMATIVA[[#This Row],[TP_CULTIVO]]="Irrigado",_xlfn.MAXIFS(IRRIGADO!J:J,IRRIGADO!C:C,ESTIMATIVA[[#This Row],[CD_UPNIVEL1]],IRRIGADO!E:E,ESTIMATIVA[[#This Row],[CD_UPNIVEL3]]),"")</f>
        <v/>
      </c>
      <c r="AJ193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38" s="1">
        <f>COUNTIFS(Apresentação!$E$23:$E$29,ESTIMATIVA[[#This Row],[CD_UPNIVEL1]])</f>
        <v>0</v>
      </c>
    </row>
    <row r="1939" spans="1:37" x14ac:dyDescent="0.3">
      <c r="A1939">
        <v>20847</v>
      </c>
      <c r="B1939" t="s">
        <v>100</v>
      </c>
      <c r="C1939">
        <v>4</v>
      </c>
      <c r="D1939">
        <v>3</v>
      </c>
      <c r="E1939" t="s">
        <v>263</v>
      </c>
      <c r="F1939" s="85" t="s">
        <v>331</v>
      </c>
      <c r="G1939"/>
      <c r="H1939" t="s">
        <v>294</v>
      </c>
      <c r="I1939" t="s">
        <v>199</v>
      </c>
      <c r="J1939" t="s">
        <v>178</v>
      </c>
      <c r="K1939" s="1">
        <v>22.01</v>
      </c>
      <c r="L1939" s="1">
        <v>0</v>
      </c>
      <c r="M1939" s="1">
        <v>0</v>
      </c>
      <c r="N1939" s="1">
        <v>22.01</v>
      </c>
      <c r="O1939" s="1">
        <v>1452.66</v>
      </c>
      <c r="P1939" s="1">
        <v>0</v>
      </c>
      <c r="Q1939" s="1">
        <v>0</v>
      </c>
      <c r="R1939" s="1">
        <v>1326.1</v>
      </c>
      <c r="S1939" t="s">
        <v>280</v>
      </c>
      <c r="T1939" s="13">
        <v>45844</v>
      </c>
      <c r="U1939" s="1" t="str">
        <f>IF(ESTIMATIVA[[#This Row],[QT_AREA_REAL]]&gt;0,"1- Colhido","2- à Colher")</f>
        <v>1- Colhido</v>
      </c>
      <c r="V1939" s="1" t="str">
        <f>IF(ESTIMATIVA[[#This Row],[QT_AREA_REST1]]&gt;0,"Reestimativa 1",IF(ESTIMATIVA[[#This Row],[QT_AREA_REAL]]=0,"Reestimativa 1","Realizado"))</f>
        <v>Realizado</v>
      </c>
      <c r="W1939" s="1" t="str">
        <f>IF(ESTIMATIVA[[#This Row],[QT_AREA_REST2]]&gt;0,"Reestimativa 2",IF(ESTIMATIVA[[#This Row],[QT_AREA_REAL]]=0,"Reestimativa 2","Realizado"))</f>
        <v>Realizado</v>
      </c>
      <c r="X1939" s="1">
        <f>ESTIMATIVA[[#This Row],[QT_AREA_EST]]</f>
        <v>22.01</v>
      </c>
      <c r="Y1939" s="1">
        <f>IF(ESTIMATIVA[[#This Row],[QT_AREA_REST1]]&gt;0,ESTIMATIVA[[#This Row],[QT_AREA_REST1]],
  IF(ESTIMATIVA[[#This Row],[QT_AREA_REAL]]&gt;0,ESTIMATIVA[[#This Row],[QT_AREA_REAL]],ESTIMATIVA[[#This Row],[QT_AREA_EST]]))</f>
        <v>22.01</v>
      </c>
      <c r="Z193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22.01</v>
      </c>
      <c r="AA1939" s="1">
        <f>ESTIMATIVA[[#This Row],[QT_CANA_EST]]</f>
        <v>1452.66</v>
      </c>
      <c r="AB1939" s="1">
        <f>IF(ESTIMATIVA[[#This Row],[QT_CANA_REST1]]&gt;0,ESTIMATIVA[[#This Row],[QT_CANA_REST1]],
  IF(ESTIMATIVA[[#This Row],[QT_CANA_REAL]]&gt;0,ESTIMATIVA[[#This Row],[QT_CANA_REAL]],ESTIMATIVA[[#This Row],[QT_CANA_EST]]))</f>
        <v>1326.1</v>
      </c>
      <c r="AC193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1326.1</v>
      </c>
      <c r="AD1939" s="1">
        <f>IF(ESTIMATIVA[[#This Row],[QT_AREA_REAL]]&gt;0,ESTIMATIVA[[#This Row],[QT_CANA_REAL]],ESTIMATIVA[[#This Row],[QT_CANA_EST]])</f>
        <v>1326.1</v>
      </c>
      <c r="AE1939" s="1">
        <f>IF(ESTIMATIVA[[#This Row],[QT_AREA_REAL]]&gt;0,ESTIMATIVA[[#This Row],[QT_CANA_REAL]],ESTIMATIVA[[#This Row],[QT_CANA_REST1]])</f>
        <v>1326.1</v>
      </c>
      <c r="AF1939" s="1">
        <f>IF(ESTIMATIVA[[#This Row],[QT_AREA_REAL]]&gt;0,ESTIMATIVA[[#This Row],[QT_CANA_REAL]],ESTIMATIVA[[#This Row],[QT_CANA_REST2]])</f>
        <v>1326.1</v>
      </c>
      <c r="AG1939" s="1" t="str">
        <f>IF(COUNTIFS(GEADA!A:A,VALUE(ESTIMATIVA[[#This Row],[CD_UPNIVEL1]]&amp;TEXT(ESTIMATIVA[[#This Row],[CD_UPNIVEL3]],"0000")))&gt;0,"S","N")</f>
        <v>N</v>
      </c>
      <c r="AH193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39" s="55" t="str">
        <f>IF(ESTIMATIVA[[#This Row],[TP_CULTIVO]]="Irrigado",_xlfn.MAXIFS(IRRIGADO!J:J,IRRIGADO!C:C,ESTIMATIVA[[#This Row],[CD_UPNIVEL1]],IRRIGADO!E:E,ESTIMATIVA[[#This Row],[CD_UPNIVEL3]]),"")</f>
        <v/>
      </c>
      <c r="AJ193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39" s="1">
        <f>COUNTIFS(Apresentação!$E$23:$E$29,ESTIMATIVA[[#This Row],[CD_UPNIVEL1]])</f>
        <v>0</v>
      </c>
    </row>
    <row r="1940" spans="1:37" x14ac:dyDescent="0.3">
      <c r="A1940">
        <v>20847</v>
      </c>
      <c r="B1940" t="s">
        <v>100</v>
      </c>
      <c r="C1940">
        <v>5</v>
      </c>
      <c r="D1940">
        <v>3</v>
      </c>
      <c r="E1940" t="s">
        <v>263</v>
      </c>
      <c r="F1940" s="85" t="s">
        <v>331</v>
      </c>
      <c r="G1940"/>
      <c r="H1940" t="s">
        <v>294</v>
      </c>
      <c r="I1940" t="s">
        <v>199</v>
      </c>
      <c r="J1940" t="s">
        <v>178</v>
      </c>
      <c r="K1940" s="1">
        <v>9.85</v>
      </c>
      <c r="L1940" s="1">
        <v>0</v>
      </c>
      <c r="M1940" s="1">
        <v>0</v>
      </c>
      <c r="N1940" s="1">
        <v>9.85</v>
      </c>
      <c r="O1940" s="1">
        <v>650.1</v>
      </c>
      <c r="P1940" s="1">
        <v>0</v>
      </c>
      <c r="Q1940" s="1">
        <v>0</v>
      </c>
      <c r="R1940" s="1">
        <v>593.57000000000005</v>
      </c>
      <c r="S1940" t="s">
        <v>280</v>
      </c>
      <c r="T1940" s="13">
        <v>45844</v>
      </c>
      <c r="U1940" s="1" t="str">
        <f>IF(ESTIMATIVA[[#This Row],[QT_AREA_REAL]]&gt;0,"1- Colhido","2- à Colher")</f>
        <v>1- Colhido</v>
      </c>
      <c r="V1940" s="1" t="str">
        <f>IF(ESTIMATIVA[[#This Row],[QT_AREA_REST1]]&gt;0,"Reestimativa 1",IF(ESTIMATIVA[[#This Row],[QT_AREA_REAL]]=0,"Reestimativa 1","Realizado"))</f>
        <v>Realizado</v>
      </c>
      <c r="W1940" s="1" t="str">
        <f>IF(ESTIMATIVA[[#This Row],[QT_AREA_REST2]]&gt;0,"Reestimativa 2",IF(ESTIMATIVA[[#This Row],[QT_AREA_REAL]]=0,"Reestimativa 2","Realizado"))</f>
        <v>Realizado</v>
      </c>
      <c r="X1940" s="1">
        <f>ESTIMATIVA[[#This Row],[QT_AREA_EST]]</f>
        <v>9.85</v>
      </c>
      <c r="Y1940" s="1">
        <f>IF(ESTIMATIVA[[#This Row],[QT_AREA_REST1]]&gt;0,ESTIMATIVA[[#This Row],[QT_AREA_REST1]],
  IF(ESTIMATIVA[[#This Row],[QT_AREA_REAL]]&gt;0,ESTIMATIVA[[#This Row],[QT_AREA_REAL]],ESTIMATIVA[[#This Row],[QT_AREA_EST]]))</f>
        <v>9.85</v>
      </c>
      <c r="Z194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9.85</v>
      </c>
      <c r="AA1940" s="1">
        <f>ESTIMATIVA[[#This Row],[QT_CANA_EST]]</f>
        <v>650.1</v>
      </c>
      <c r="AB1940" s="1">
        <f>IF(ESTIMATIVA[[#This Row],[QT_CANA_REST1]]&gt;0,ESTIMATIVA[[#This Row],[QT_CANA_REST1]],
  IF(ESTIMATIVA[[#This Row],[QT_CANA_REAL]]&gt;0,ESTIMATIVA[[#This Row],[QT_CANA_REAL]],ESTIMATIVA[[#This Row],[QT_CANA_EST]]))</f>
        <v>593.57000000000005</v>
      </c>
      <c r="AC194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593.57000000000005</v>
      </c>
      <c r="AD1940" s="1">
        <f>IF(ESTIMATIVA[[#This Row],[QT_AREA_REAL]]&gt;0,ESTIMATIVA[[#This Row],[QT_CANA_REAL]],ESTIMATIVA[[#This Row],[QT_CANA_EST]])</f>
        <v>593.57000000000005</v>
      </c>
      <c r="AE1940" s="1">
        <f>IF(ESTIMATIVA[[#This Row],[QT_AREA_REAL]]&gt;0,ESTIMATIVA[[#This Row],[QT_CANA_REAL]],ESTIMATIVA[[#This Row],[QT_CANA_REST1]])</f>
        <v>593.57000000000005</v>
      </c>
      <c r="AF1940" s="1">
        <f>IF(ESTIMATIVA[[#This Row],[QT_AREA_REAL]]&gt;0,ESTIMATIVA[[#This Row],[QT_CANA_REAL]],ESTIMATIVA[[#This Row],[QT_CANA_REST2]])</f>
        <v>593.57000000000005</v>
      </c>
      <c r="AG1940" s="1" t="str">
        <f>IF(COUNTIFS(GEADA!A:A,VALUE(ESTIMATIVA[[#This Row],[CD_UPNIVEL1]]&amp;TEXT(ESTIMATIVA[[#This Row],[CD_UPNIVEL3]],"0000")))&gt;0,"S","N")</f>
        <v>N</v>
      </c>
      <c r="AH194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40" s="55" t="str">
        <f>IF(ESTIMATIVA[[#This Row],[TP_CULTIVO]]="Irrigado",_xlfn.MAXIFS(IRRIGADO!J:J,IRRIGADO!C:C,ESTIMATIVA[[#This Row],[CD_UPNIVEL1]],IRRIGADO!E:E,ESTIMATIVA[[#This Row],[CD_UPNIVEL3]]),"")</f>
        <v/>
      </c>
      <c r="AJ194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40" s="1">
        <f>COUNTIFS(Apresentação!$E$23:$E$29,ESTIMATIVA[[#This Row],[CD_UPNIVEL1]])</f>
        <v>0</v>
      </c>
    </row>
    <row r="1941" spans="1:37" x14ac:dyDescent="0.3">
      <c r="A1941">
        <v>20847</v>
      </c>
      <c r="B1941" t="s">
        <v>100</v>
      </c>
      <c r="C1941">
        <v>6</v>
      </c>
      <c r="D1941">
        <v>3</v>
      </c>
      <c r="E1941" t="s">
        <v>263</v>
      </c>
      <c r="F1941" s="85" t="s">
        <v>332</v>
      </c>
      <c r="G1941"/>
      <c r="H1941" t="s">
        <v>294</v>
      </c>
      <c r="I1941" t="s">
        <v>208</v>
      </c>
      <c r="J1941" t="s">
        <v>178</v>
      </c>
      <c r="K1941" s="1">
        <v>37.61</v>
      </c>
      <c r="L1941" s="1">
        <v>0</v>
      </c>
      <c r="M1941" s="1">
        <v>0</v>
      </c>
      <c r="N1941" s="1">
        <v>37.61</v>
      </c>
      <c r="O1941" s="1">
        <v>2482.2600000000002</v>
      </c>
      <c r="P1941" s="1">
        <v>0</v>
      </c>
      <c r="Q1941" s="1">
        <v>0</v>
      </c>
      <c r="R1941" s="1">
        <v>2673.39</v>
      </c>
      <c r="S1941" t="s">
        <v>280</v>
      </c>
      <c r="T1941" s="13">
        <v>45851</v>
      </c>
      <c r="U1941" s="1" t="str">
        <f>IF(ESTIMATIVA[[#This Row],[QT_AREA_REAL]]&gt;0,"1- Colhido","2- à Colher")</f>
        <v>1- Colhido</v>
      </c>
      <c r="V1941" s="1" t="str">
        <f>IF(ESTIMATIVA[[#This Row],[QT_AREA_REST1]]&gt;0,"Reestimativa 1",IF(ESTIMATIVA[[#This Row],[QT_AREA_REAL]]=0,"Reestimativa 1","Realizado"))</f>
        <v>Realizado</v>
      </c>
      <c r="W1941" s="1" t="str">
        <f>IF(ESTIMATIVA[[#This Row],[QT_AREA_REST2]]&gt;0,"Reestimativa 2",IF(ESTIMATIVA[[#This Row],[QT_AREA_REAL]]=0,"Reestimativa 2","Realizado"))</f>
        <v>Realizado</v>
      </c>
      <c r="X1941" s="1">
        <f>ESTIMATIVA[[#This Row],[QT_AREA_EST]]</f>
        <v>37.61</v>
      </c>
      <c r="Y1941" s="1">
        <f>IF(ESTIMATIVA[[#This Row],[QT_AREA_REST1]]&gt;0,ESTIMATIVA[[#This Row],[QT_AREA_REST1]],
  IF(ESTIMATIVA[[#This Row],[QT_AREA_REAL]]&gt;0,ESTIMATIVA[[#This Row],[QT_AREA_REAL]],ESTIMATIVA[[#This Row],[QT_AREA_EST]]))</f>
        <v>37.61</v>
      </c>
      <c r="Z194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37.61</v>
      </c>
      <c r="AA1941" s="1">
        <f>ESTIMATIVA[[#This Row],[QT_CANA_EST]]</f>
        <v>2482.2600000000002</v>
      </c>
      <c r="AB1941" s="1">
        <f>IF(ESTIMATIVA[[#This Row],[QT_CANA_REST1]]&gt;0,ESTIMATIVA[[#This Row],[QT_CANA_REST1]],
  IF(ESTIMATIVA[[#This Row],[QT_CANA_REAL]]&gt;0,ESTIMATIVA[[#This Row],[QT_CANA_REAL]],ESTIMATIVA[[#This Row],[QT_CANA_EST]]))</f>
        <v>2673.39</v>
      </c>
      <c r="AC194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2673.39</v>
      </c>
      <c r="AD1941" s="1">
        <f>IF(ESTIMATIVA[[#This Row],[QT_AREA_REAL]]&gt;0,ESTIMATIVA[[#This Row],[QT_CANA_REAL]],ESTIMATIVA[[#This Row],[QT_CANA_EST]])</f>
        <v>2673.39</v>
      </c>
      <c r="AE1941" s="1">
        <f>IF(ESTIMATIVA[[#This Row],[QT_AREA_REAL]]&gt;0,ESTIMATIVA[[#This Row],[QT_CANA_REAL]],ESTIMATIVA[[#This Row],[QT_CANA_REST1]])</f>
        <v>2673.39</v>
      </c>
      <c r="AF1941" s="1">
        <f>IF(ESTIMATIVA[[#This Row],[QT_AREA_REAL]]&gt;0,ESTIMATIVA[[#This Row],[QT_CANA_REAL]],ESTIMATIVA[[#This Row],[QT_CANA_REST2]])</f>
        <v>2673.39</v>
      </c>
      <c r="AG1941" s="1" t="str">
        <f>IF(COUNTIFS(GEADA!A:A,VALUE(ESTIMATIVA[[#This Row],[CD_UPNIVEL1]]&amp;TEXT(ESTIMATIVA[[#This Row],[CD_UPNIVEL3]],"0000")))&gt;0,"S","N")</f>
        <v>N</v>
      </c>
      <c r="AH194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41" s="55" t="str">
        <f>IF(ESTIMATIVA[[#This Row],[TP_CULTIVO]]="Irrigado",_xlfn.MAXIFS(IRRIGADO!J:J,IRRIGADO!C:C,ESTIMATIVA[[#This Row],[CD_UPNIVEL1]],IRRIGADO!E:E,ESTIMATIVA[[#This Row],[CD_UPNIVEL3]]),"")</f>
        <v/>
      </c>
      <c r="AJ194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41" s="1">
        <f>COUNTIFS(Apresentação!$E$23:$E$29,ESTIMATIVA[[#This Row],[CD_UPNIVEL1]])</f>
        <v>0</v>
      </c>
    </row>
    <row r="1942" spans="1:37" x14ac:dyDescent="0.3">
      <c r="A1942">
        <v>20847</v>
      </c>
      <c r="B1942" t="s">
        <v>100</v>
      </c>
      <c r="C1942">
        <v>7</v>
      </c>
      <c r="D1942">
        <v>3</v>
      </c>
      <c r="E1942" t="s">
        <v>263</v>
      </c>
      <c r="F1942" s="85" t="s">
        <v>331</v>
      </c>
      <c r="G1942"/>
      <c r="H1942" t="s">
        <v>294</v>
      </c>
      <c r="I1942" t="s">
        <v>208</v>
      </c>
      <c r="J1942" t="s">
        <v>178</v>
      </c>
      <c r="K1942" s="1">
        <v>18.260000000000002</v>
      </c>
      <c r="L1942" s="1">
        <v>0</v>
      </c>
      <c r="M1942" s="1">
        <v>0</v>
      </c>
      <c r="N1942" s="1">
        <v>18.260000000000002</v>
      </c>
      <c r="O1942" s="1">
        <v>1205.1600000000001</v>
      </c>
      <c r="P1942" s="1">
        <v>0</v>
      </c>
      <c r="Q1942" s="1">
        <v>0</v>
      </c>
      <c r="R1942" s="1">
        <v>1298.01</v>
      </c>
      <c r="S1942" t="s">
        <v>280</v>
      </c>
      <c r="T1942" s="13">
        <v>45851</v>
      </c>
      <c r="U1942" s="1" t="str">
        <f>IF(ESTIMATIVA[[#This Row],[QT_AREA_REAL]]&gt;0,"1- Colhido","2- à Colher")</f>
        <v>1- Colhido</v>
      </c>
      <c r="V1942" s="1" t="str">
        <f>IF(ESTIMATIVA[[#This Row],[QT_AREA_REST1]]&gt;0,"Reestimativa 1",IF(ESTIMATIVA[[#This Row],[QT_AREA_REAL]]=0,"Reestimativa 1","Realizado"))</f>
        <v>Realizado</v>
      </c>
      <c r="W1942" s="1" t="str">
        <f>IF(ESTIMATIVA[[#This Row],[QT_AREA_REST2]]&gt;0,"Reestimativa 2",IF(ESTIMATIVA[[#This Row],[QT_AREA_REAL]]=0,"Reestimativa 2","Realizado"))</f>
        <v>Realizado</v>
      </c>
      <c r="X1942" s="1">
        <f>ESTIMATIVA[[#This Row],[QT_AREA_EST]]</f>
        <v>18.260000000000002</v>
      </c>
      <c r="Y1942" s="1">
        <f>IF(ESTIMATIVA[[#This Row],[QT_AREA_REST1]]&gt;0,ESTIMATIVA[[#This Row],[QT_AREA_REST1]],
  IF(ESTIMATIVA[[#This Row],[QT_AREA_REAL]]&gt;0,ESTIMATIVA[[#This Row],[QT_AREA_REAL]],ESTIMATIVA[[#This Row],[QT_AREA_EST]]))</f>
        <v>18.260000000000002</v>
      </c>
      <c r="Z194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18.260000000000002</v>
      </c>
      <c r="AA1942" s="1">
        <f>ESTIMATIVA[[#This Row],[QT_CANA_EST]]</f>
        <v>1205.1600000000001</v>
      </c>
      <c r="AB1942" s="1">
        <f>IF(ESTIMATIVA[[#This Row],[QT_CANA_REST1]]&gt;0,ESTIMATIVA[[#This Row],[QT_CANA_REST1]],
  IF(ESTIMATIVA[[#This Row],[QT_CANA_REAL]]&gt;0,ESTIMATIVA[[#This Row],[QT_CANA_REAL]],ESTIMATIVA[[#This Row],[QT_CANA_EST]]))</f>
        <v>1298.01</v>
      </c>
      <c r="AC194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1298.01</v>
      </c>
      <c r="AD1942" s="1">
        <f>IF(ESTIMATIVA[[#This Row],[QT_AREA_REAL]]&gt;0,ESTIMATIVA[[#This Row],[QT_CANA_REAL]],ESTIMATIVA[[#This Row],[QT_CANA_EST]])</f>
        <v>1298.01</v>
      </c>
      <c r="AE1942" s="1">
        <f>IF(ESTIMATIVA[[#This Row],[QT_AREA_REAL]]&gt;0,ESTIMATIVA[[#This Row],[QT_CANA_REAL]],ESTIMATIVA[[#This Row],[QT_CANA_REST1]])</f>
        <v>1298.01</v>
      </c>
      <c r="AF1942" s="1">
        <f>IF(ESTIMATIVA[[#This Row],[QT_AREA_REAL]]&gt;0,ESTIMATIVA[[#This Row],[QT_CANA_REAL]],ESTIMATIVA[[#This Row],[QT_CANA_REST2]])</f>
        <v>1298.01</v>
      </c>
      <c r="AG1942" s="1" t="str">
        <f>IF(COUNTIFS(GEADA!A:A,VALUE(ESTIMATIVA[[#This Row],[CD_UPNIVEL1]]&amp;TEXT(ESTIMATIVA[[#This Row],[CD_UPNIVEL3]],"0000")))&gt;0,"S","N")</f>
        <v>N</v>
      </c>
      <c r="AH194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42" s="55" t="str">
        <f>IF(ESTIMATIVA[[#This Row],[TP_CULTIVO]]="Irrigado",_xlfn.MAXIFS(IRRIGADO!J:J,IRRIGADO!C:C,ESTIMATIVA[[#This Row],[CD_UPNIVEL1]],IRRIGADO!E:E,ESTIMATIVA[[#This Row],[CD_UPNIVEL3]]),"")</f>
        <v/>
      </c>
      <c r="AJ194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42" s="1">
        <f>COUNTIFS(Apresentação!$E$23:$E$29,ESTIMATIVA[[#This Row],[CD_UPNIVEL1]])</f>
        <v>0</v>
      </c>
    </row>
    <row r="1943" spans="1:37" x14ac:dyDescent="0.3">
      <c r="A1943">
        <v>20848</v>
      </c>
      <c r="B1943" t="s">
        <v>163</v>
      </c>
      <c r="C1943">
        <v>1</v>
      </c>
      <c r="D1943">
        <v>3</v>
      </c>
      <c r="E1943" t="s">
        <v>263</v>
      </c>
      <c r="F1943" s="85" t="s">
        <v>330</v>
      </c>
      <c r="G1943"/>
      <c r="H1943" t="s">
        <v>294</v>
      </c>
      <c r="I1943" t="s">
        <v>212</v>
      </c>
      <c r="J1943" t="s">
        <v>178</v>
      </c>
      <c r="K1943" s="1">
        <v>3.4</v>
      </c>
      <c r="L1943" s="1">
        <v>3.4</v>
      </c>
      <c r="M1943" s="1">
        <v>3.4</v>
      </c>
      <c r="N1943" s="1">
        <v>3.4</v>
      </c>
      <c r="O1943" s="1">
        <v>207.4</v>
      </c>
      <c r="P1943" s="1">
        <v>214.2</v>
      </c>
      <c r="Q1943" s="1">
        <v>214.2</v>
      </c>
      <c r="R1943" s="1">
        <v>213.5</v>
      </c>
      <c r="S1943" t="s">
        <v>280</v>
      </c>
      <c r="T1943" s="13">
        <v>45942</v>
      </c>
      <c r="U1943" s="1" t="str">
        <f>IF(ESTIMATIVA[[#This Row],[QT_AREA_REAL]]&gt;0,"1- Colhido","2- à Colher")</f>
        <v>1- Colhido</v>
      </c>
      <c r="V1943" s="1" t="str">
        <f>IF(ESTIMATIVA[[#This Row],[QT_AREA_REST1]]&gt;0,"Reestimativa 1",IF(ESTIMATIVA[[#This Row],[QT_AREA_REAL]]=0,"Reestimativa 1","Realizado"))</f>
        <v>Reestimativa 1</v>
      </c>
      <c r="W1943" s="1" t="str">
        <f>IF(ESTIMATIVA[[#This Row],[QT_AREA_REST2]]&gt;0,"Reestimativa 2",IF(ESTIMATIVA[[#This Row],[QT_AREA_REAL]]=0,"Reestimativa 2","Realizado"))</f>
        <v>Reestimativa 2</v>
      </c>
      <c r="X1943" s="1">
        <f>ESTIMATIVA[[#This Row],[QT_AREA_EST]]</f>
        <v>3.4</v>
      </c>
      <c r="Y1943" s="1">
        <f>IF(ESTIMATIVA[[#This Row],[QT_AREA_REST1]]&gt;0,ESTIMATIVA[[#This Row],[QT_AREA_REST1]],
  IF(ESTIMATIVA[[#This Row],[QT_AREA_REAL]]&gt;0,ESTIMATIVA[[#This Row],[QT_AREA_REAL]],ESTIMATIVA[[#This Row],[QT_AREA_EST]]))</f>
        <v>3.4</v>
      </c>
      <c r="Z194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3.4</v>
      </c>
      <c r="AA1943" s="1">
        <f>ESTIMATIVA[[#This Row],[QT_CANA_EST]]</f>
        <v>207.4</v>
      </c>
      <c r="AB1943" s="1">
        <f>IF(ESTIMATIVA[[#This Row],[QT_CANA_REST1]]&gt;0,ESTIMATIVA[[#This Row],[QT_CANA_REST1]],
  IF(ESTIMATIVA[[#This Row],[QT_CANA_REAL]]&gt;0,ESTIMATIVA[[#This Row],[QT_CANA_REAL]],ESTIMATIVA[[#This Row],[QT_CANA_EST]]))</f>
        <v>214.2</v>
      </c>
      <c r="AC194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214.2</v>
      </c>
      <c r="AD1943" s="1">
        <f>IF(ESTIMATIVA[[#This Row],[QT_AREA_REAL]]&gt;0,ESTIMATIVA[[#This Row],[QT_CANA_REAL]],ESTIMATIVA[[#This Row],[QT_CANA_EST]])</f>
        <v>213.5</v>
      </c>
      <c r="AE1943" s="1">
        <f>IF(ESTIMATIVA[[#This Row],[QT_AREA_REAL]]&gt;0,ESTIMATIVA[[#This Row],[QT_CANA_REAL]],ESTIMATIVA[[#This Row],[QT_CANA_REST1]])</f>
        <v>213.5</v>
      </c>
      <c r="AF1943" s="1">
        <f>IF(ESTIMATIVA[[#This Row],[QT_AREA_REAL]]&gt;0,ESTIMATIVA[[#This Row],[QT_CANA_REAL]],ESTIMATIVA[[#This Row],[QT_CANA_REST2]])</f>
        <v>213.5</v>
      </c>
      <c r="AG1943" s="1" t="str">
        <f>IF(COUNTIFS(GEADA!A:A,VALUE(ESTIMATIVA[[#This Row],[CD_UPNIVEL1]]&amp;TEXT(ESTIMATIVA[[#This Row],[CD_UPNIVEL3]],"0000")))&gt;0,"S","N")</f>
        <v>N</v>
      </c>
      <c r="AH194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43" s="55" t="str">
        <f>IF(ESTIMATIVA[[#This Row],[TP_CULTIVO]]="Irrigado",_xlfn.MAXIFS(IRRIGADO!J:J,IRRIGADO!C:C,ESTIMATIVA[[#This Row],[CD_UPNIVEL1]],IRRIGADO!E:E,ESTIMATIVA[[#This Row],[CD_UPNIVEL3]]),"")</f>
        <v/>
      </c>
      <c r="AJ194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43" s="1">
        <f>COUNTIFS(Apresentação!$E$23:$E$29,ESTIMATIVA[[#This Row],[CD_UPNIVEL1]])</f>
        <v>0</v>
      </c>
    </row>
    <row r="1944" spans="1:37" x14ac:dyDescent="0.3">
      <c r="A1944">
        <v>20848</v>
      </c>
      <c r="B1944" t="s">
        <v>163</v>
      </c>
      <c r="C1944">
        <v>2</v>
      </c>
      <c r="D1944">
        <v>3</v>
      </c>
      <c r="E1944" t="s">
        <v>263</v>
      </c>
      <c r="F1944" s="85" t="s">
        <v>330</v>
      </c>
      <c r="G1944"/>
      <c r="H1944" t="s">
        <v>294</v>
      </c>
      <c r="I1944" t="s">
        <v>212</v>
      </c>
      <c r="J1944" t="s">
        <v>178</v>
      </c>
      <c r="K1944" s="1">
        <v>7.14</v>
      </c>
      <c r="L1944" s="1">
        <v>7.14</v>
      </c>
      <c r="M1944" s="1">
        <v>7.14</v>
      </c>
      <c r="N1944" s="1">
        <v>7.14</v>
      </c>
      <c r="O1944" s="1">
        <v>435.54</v>
      </c>
      <c r="P1944" s="1">
        <v>449.82</v>
      </c>
      <c r="Q1944" s="1">
        <v>449.82</v>
      </c>
      <c r="R1944" s="1">
        <v>448.99</v>
      </c>
      <c r="S1944" t="s">
        <v>280</v>
      </c>
      <c r="T1944" s="13">
        <v>45942</v>
      </c>
      <c r="U1944" s="1" t="str">
        <f>IF(ESTIMATIVA[[#This Row],[QT_AREA_REAL]]&gt;0,"1- Colhido","2- à Colher")</f>
        <v>1- Colhido</v>
      </c>
      <c r="V1944" s="1" t="str">
        <f>IF(ESTIMATIVA[[#This Row],[QT_AREA_REST1]]&gt;0,"Reestimativa 1",IF(ESTIMATIVA[[#This Row],[QT_AREA_REAL]]=0,"Reestimativa 1","Realizado"))</f>
        <v>Reestimativa 1</v>
      </c>
      <c r="W1944" s="1" t="str">
        <f>IF(ESTIMATIVA[[#This Row],[QT_AREA_REST2]]&gt;0,"Reestimativa 2",IF(ESTIMATIVA[[#This Row],[QT_AREA_REAL]]=0,"Reestimativa 2","Realizado"))</f>
        <v>Reestimativa 2</v>
      </c>
      <c r="X1944" s="1">
        <f>ESTIMATIVA[[#This Row],[QT_AREA_EST]]</f>
        <v>7.14</v>
      </c>
      <c r="Y1944" s="1">
        <f>IF(ESTIMATIVA[[#This Row],[QT_AREA_REST1]]&gt;0,ESTIMATIVA[[#This Row],[QT_AREA_REST1]],
  IF(ESTIMATIVA[[#This Row],[QT_AREA_REAL]]&gt;0,ESTIMATIVA[[#This Row],[QT_AREA_REAL]],ESTIMATIVA[[#This Row],[QT_AREA_EST]]))</f>
        <v>7.14</v>
      </c>
      <c r="Z194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7.14</v>
      </c>
      <c r="AA1944" s="1">
        <f>ESTIMATIVA[[#This Row],[QT_CANA_EST]]</f>
        <v>435.54</v>
      </c>
      <c r="AB1944" s="1">
        <f>IF(ESTIMATIVA[[#This Row],[QT_CANA_REST1]]&gt;0,ESTIMATIVA[[#This Row],[QT_CANA_REST1]],
  IF(ESTIMATIVA[[#This Row],[QT_CANA_REAL]]&gt;0,ESTIMATIVA[[#This Row],[QT_CANA_REAL]],ESTIMATIVA[[#This Row],[QT_CANA_EST]]))</f>
        <v>449.82</v>
      </c>
      <c r="AC194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449.82</v>
      </c>
      <c r="AD1944" s="1">
        <f>IF(ESTIMATIVA[[#This Row],[QT_AREA_REAL]]&gt;0,ESTIMATIVA[[#This Row],[QT_CANA_REAL]],ESTIMATIVA[[#This Row],[QT_CANA_EST]])</f>
        <v>448.99</v>
      </c>
      <c r="AE1944" s="1">
        <f>IF(ESTIMATIVA[[#This Row],[QT_AREA_REAL]]&gt;0,ESTIMATIVA[[#This Row],[QT_CANA_REAL]],ESTIMATIVA[[#This Row],[QT_CANA_REST1]])</f>
        <v>448.99</v>
      </c>
      <c r="AF1944" s="1">
        <f>IF(ESTIMATIVA[[#This Row],[QT_AREA_REAL]]&gt;0,ESTIMATIVA[[#This Row],[QT_CANA_REAL]],ESTIMATIVA[[#This Row],[QT_CANA_REST2]])</f>
        <v>448.99</v>
      </c>
      <c r="AG1944" s="1" t="str">
        <f>IF(COUNTIFS(GEADA!A:A,VALUE(ESTIMATIVA[[#This Row],[CD_UPNIVEL1]]&amp;TEXT(ESTIMATIVA[[#This Row],[CD_UPNIVEL3]],"0000")))&gt;0,"S","N")</f>
        <v>N</v>
      </c>
      <c r="AH194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44" s="55" t="str">
        <f>IF(ESTIMATIVA[[#This Row],[TP_CULTIVO]]="Irrigado",_xlfn.MAXIFS(IRRIGADO!J:J,IRRIGADO!C:C,ESTIMATIVA[[#This Row],[CD_UPNIVEL1]],IRRIGADO!E:E,ESTIMATIVA[[#This Row],[CD_UPNIVEL3]]),"")</f>
        <v/>
      </c>
      <c r="AJ194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44" s="1">
        <f>COUNTIFS(Apresentação!$E$23:$E$29,ESTIMATIVA[[#This Row],[CD_UPNIVEL1]])</f>
        <v>0</v>
      </c>
    </row>
    <row r="1945" spans="1:37" x14ac:dyDescent="0.3">
      <c r="A1945">
        <v>20848</v>
      </c>
      <c r="B1945" t="s">
        <v>163</v>
      </c>
      <c r="C1945">
        <v>3</v>
      </c>
      <c r="D1945">
        <v>3</v>
      </c>
      <c r="E1945" t="s">
        <v>263</v>
      </c>
      <c r="F1945" s="85" t="s">
        <v>330</v>
      </c>
      <c r="G1945"/>
      <c r="H1945" t="s">
        <v>294</v>
      </c>
      <c r="I1945" t="s">
        <v>212</v>
      </c>
      <c r="J1945" t="s">
        <v>178</v>
      </c>
      <c r="K1945" s="1">
        <v>8.3699999999999992</v>
      </c>
      <c r="L1945" s="1">
        <v>8.3699999999999992</v>
      </c>
      <c r="M1945" s="1">
        <v>8.3699999999999992</v>
      </c>
      <c r="N1945" s="1">
        <v>8.3699999999999992</v>
      </c>
      <c r="O1945" s="1">
        <v>510.57</v>
      </c>
      <c r="P1945" s="1">
        <v>518.94000000000005</v>
      </c>
      <c r="Q1945" s="1">
        <v>518.94000000000005</v>
      </c>
      <c r="R1945" s="1">
        <v>517.84</v>
      </c>
      <c r="S1945" t="s">
        <v>280</v>
      </c>
      <c r="T1945" s="13">
        <v>45942</v>
      </c>
      <c r="U1945" s="1" t="str">
        <f>IF(ESTIMATIVA[[#This Row],[QT_AREA_REAL]]&gt;0,"1- Colhido","2- à Colher")</f>
        <v>1- Colhido</v>
      </c>
      <c r="V1945" s="1" t="str">
        <f>IF(ESTIMATIVA[[#This Row],[QT_AREA_REST1]]&gt;0,"Reestimativa 1",IF(ESTIMATIVA[[#This Row],[QT_AREA_REAL]]=0,"Reestimativa 1","Realizado"))</f>
        <v>Reestimativa 1</v>
      </c>
      <c r="W1945" s="1" t="str">
        <f>IF(ESTIMATIVA[[#This Row],[QT_AREA_REST2]]&gt;0,"Reestimativa 2",IF(ESTIMATIVA[[#This Row],[QT_AREA_REAL]]=0,"Reestimativa 2","Realizado"))</f>
        <v>Reestimativa 2</v>
      </c>
      <c r="X1945" s="1">
        <f>ESTIMATIVA[[#This Row],[QT_AREA_EST]]</f>
        <v>8.3699999999999992</v>
      </c>
      <c r="Y1945" s="1">
        <f>IF(ESTIMATIVA[[#This Row],[QT_AREA_REST1]]&gt;0,ESTIMATIVA[[#This Row],[QT_AREA_REST1]],
  IF(ESTIMATIVA[[#This Row],[QT_AREA_REAL]]&gt;0,ESTIMATIVA[[#This Row],[QT_AREA_REAL]],ESTIMATIVA[[#This Row],[QT_AREA_EST]]))</f>
        <v>8.3699999999999992</v>
      </c>
      <c r="Z194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8.3699999999999992</v>
      </c>
      <c r="AA1945" s="1">
        <f>ESTIMATIVA[[#This Row],[QT_CANA_EST]]</f>
        <v>510.57</v>
      </c>
      <c r="AB1945" s="1">
        <f>IF(ESTIMATIVA[[#This Row],[QT_CANA_REST1]]&gt;0,ESTIMATIVA[[#This Row],[QT_CANA_REST1]],
  IF(ESTIMATIVA[[#This Row],[QT_CANA_REAL]]&gt;0,ESTIMATIVA[[#This Row],[QT_CANA_REAL]],ESTIMATIVA[[#This Row],[QT_CANA_EST]]))</f>
        <v>518.94000000000005</v>
      </c>
      <c r="AC194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518.94000000000005</v>
      </c>
      <c r="AD1945" s="1">
        <f>IF(ESTIMATIVA[[#This Row],[QT_AREA_REAL]]&gt;0,ESTIMATIVA[[#This Row],[QT_CANA_REAL]],ESTIMATIVA[[#This Row],[QT_CANA_EST]])</f>
        <v>517.84</v>
      </c>
      <c r="AE1945" s="1">
        <f>IF(ESTIMATIVA[[#This Row],[QT_AREA_REAL]]&gt;0,ESTIMATIVA[[#This Row],[QT_CANA_REAL]],ESTIMATIVA[[#This Row],[QT_CANA_REST1]])</f>
        <v>517.84</v>
      </c>
      <c r="AF1945" s="1">
        <f>IF(ESTIMATIVA[[#This Row],[QT_AREA_REAL]]&gt;0,ESTIMATIVA[[#This Row],[QT_CANA_REAL]],ESTIMATIVA[[#This Row],[QT_CANA_REST2]])</f>
        <v>517.84</v>
      </c>
      <c r="AG1945" s="1" t="str">
        <f>IF(COUNTIFS(GEADA!A:A,VALUE(ESTIMATIVA[[#This Row],[CD_UPNIVEL1]]&amp;TEXT(ESTIMATIVA[[#This Row],[CD_UPNIVEL3]],"0000")))&gt;0,"S","N")</f>
        <v>N</v>
      </c>
      <c r="AH194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45" s="55" t="str">
        <f>IF(ESTIMATIVA[[#This Row],[TP_CULTIVO]]="Irrigado",_xlfn.MAXIFS(IRRIGADO!J:J,IRRIGADO!C:C,ESTIMATIVA[[#This Row],[CD_UPNIVEL1]],IRRIGADO!E:E,ESTIMATIVA[[#This Row],[CD_UPNIVEL3]]),"")</f>
        <v/>
      </c>
      <c r="AJ194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45" s="1">
        <f>COUNTIFS(Apresentação!$E$23:$E$29,ESTIMATIVA[[#This Row],[CD_UPNIVEL1]])</f>
        <v>0</v>
      </c>
    </row>
    <row r="1946" spans="1:37" x14ac:dyDescent="0.3">
      <c r="A1946">
        <v>20848</v>
      </c>
      <c r="B1946" t="s">
        <v>163</v>
      </c>
      <c r="C1946">
        <v>4</v>
      </c>
      <c r="D1946">
        <v>4</v>
      </c>
      <c r="E1946" t="s">
        <v>265</v>
      </c>
      <c r="F1946" s="85" t="s">
        <v>330</v>
      </c>
      <c r="G1946"/>
      <c r="H1946" t="s">
        <v>294</v>
      </c>
      <c r="I1946" t="s">
        <v>203</v>
      </c>
      <c r="J1946" t="s">
        <v>178</v>
      </c>
      <c r="K1946" s="1">
        <v>14.32</v>
      </c>
      <c r="L1946" s="1">
        <v>14.32</v>
      </c>
      <c r="M1946" s="1">
        <v>14.32</v>
      </c>
      <c r="N1946" s="1">
        <v>14.32</v>
      </c>
      <c r="O1946" s="1">
        <v>716</v>
      </c>
      <c r="P1946" s="1">
        <v>716</v>
      </c>
      <c r="Q1946" s="1">
        <v>716</v>
      </c>
      <c r="R1946" s="1">
        <v>714.53</v>
      </c>
      <c r="S1946" t="s">
        <v>280</v>
      </c>
      <c r="T1946" s="13">
        <v>45942</v>
      </c>
      <c r="U1946" s="1" t="str">
        <f>IF(ESTIMATIVA[[#This Row],[QT_AREA_REAL]]&gt;0,"1- Colhido","2- à Colher")</f>
        <v>1- Colhido</v>
      </c>
      <c r="V1946" s="1" t="str">
        <f>IF(ESTIMATIVA[[#This Row],[QT_AREA_REST1]]&gt;0,"Reestimativa 1",IF(ESTIMATIVA[[#This Row],[QT_AREA_REAL]]=0,"Reestimativa 1","Realizado"))</f>
        <v>Reestimativa 1</v>
      </c>
      <c r="W1946" s="1" t="str">
        <f>IF(ESTIMATIVA[[#This Row],[QT_AREA_REST2]]&gt;0,"Reestimativa 2",IF(ESTIMATIVA[[#This Row],[QT_AREA_REAL]]=0,"Reestimativa 2","Realizado"))</f>
        <v>Reestimativa 2</v>
      </c>
      <c r="X1946" s="1">
        <f>ESTIMATIVA[[#This Row],[QT_AREA_EST]]</f>
        <v>14.32</v>
      </c>
      <c r="Y1946" s="1">
        <f>IF(ESTIMATIVA[[#This Row],[QT_AREA_REST1]]&gt;0,ESTIMATIVA[[#This Row],[QT_AREA_REST1]],
  IF(ESTIMATIVA[[#This Row],[QT_AREA_REAL]]&gt;0,ESTIMATIVA[[#This Row],[QT_AREA_REAL]],ESTIMATIVA[[#This Row],[QT_AREA_EST]]))</f>
        <v>14.32</v>
      </c>
      <c r="Z194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14.32</v>
      </c>
      <c r="AA1946" s="1">
        <f>ESTIMATIVA[[#This Row],[QT_CANA_EST]]</f>
        <v>716</v>
      </c>
      <c r="AB1946" s="1">
        <f>IF(ESTIMATIVA[[#This Row],[QT_CANA_REST1]]&gt;0,ESTIMATIVA[[#This Row],[QT_CANA_REST1]],
  IF(ESTIMATIVA[[#This Row],[QT_CANA_REAL]]&gt;0,ESTIMATIVA[[#This Row],[QT_CANA_REAL]],ESTIMATIVA[[#This Row],[QT_CANA_EST]]))</f>
        <v>716</v>
      </c>
      <c r="AC194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716</v>
      </c>
      <c r="AD1946" s="1">
        <f>IF(ESTIMATIVA[[#This Row],[QT_AREA_REAL]]&gt;0,ESTIMATIVA[[#This Row],[QT_CANA_REAL]],ESTIMATIVA[[#This Row],[QT_CANA_EST]])</f>
        <v>714.53</v>
      </c>
      <c r="AE1946" s="1">
        <f>IF(ESTIMATIVA[[#This Row],[QT_AREA_REAL]]&gt;0,ESTIMATIVA[[#This Row],[QT_CANA_REAL]],ESTIMATIVA[[#This Row],[QT_CANA_REST1]])</f>
        <v>714.53</v>
      </c>
      <c r="AF1946" s="1">
        <f>IF(ESTIMATIVA[[#This Row],[QT_AREA_REAL]]&gt;0,ESTIMATIVA[[#This Row],[QT_CANA_REAL]],ESTIMATIVA[[#This Row],[QT_CANA_REST2]])</f>
        <v>714.53</v>
      </c>
      <c r="AG1946" s="1" t="str">
        <f>IF(COUNTIFS(GEADA!A:A,VALUE(ESTIMATIVA[[#This Row],[CD_UPNIVEL1]]&amp;TEXT(ESTIMATIVA[[#This Row],[CD_UPNIVEL3]],"0000")))&gt;0,"S","N")</f>
        <v>N</v>
      </c>
      <c r="AH194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46" s="55" t="str">
        <f>IF(ESTIMATIVA[[#This Row],[TP_CULTIVO]]="Irrigado",_xlfn.MAXIFS(IRRIGADO!J:J,IRRIGADO!C:C,ESTIMATIVA[[#This Row],[CD_UPNIVEL1]],IRRIGADO!E:E,ESTIMATIVA[[#This Row],[CD_UPNIVEL3]]),"")</f>
        <v/>
      </c>
      <c r="AJ194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46" s="1">
        <f>COUNTIFS(Apresentação!$E$23:$E$29,ESTIMATIVA[[#This Row],[CD_UPNIVEL1]])</f>
        <v>0</v>
      </c>
    </row>
    <row r="1947" spans="1:37" x14ac:dyDescent="0.3">
      <c r="A1947">
        <v>20849</v>
      </c>
      <c r="B1947" t="s">
        <v>101</v>
      </c>
      <c r="C1947">
        <v>1</v>
      </c>
      <c r="D1947">
        <v>3</v>
      </c>
      <c r="E1947" t="s">
        <v>263</v>
      </c>
      <c r="F1947" s="85" t="s">
        <v>331</v>
      </c>
      <c r="G1947"/>
      <c r="H1947" t="s">
        <v>294</v>
      </c>
      <c r="I1947" t="s">
        <v>212</v>
      </c>
      <c r="J1947" t="s">
        <v>178</v>
      </c>
      <c r="K1947" s="1">
        <v>4.66</v>
      </c>
      <c r="L1947" s="1">
        <v>0</v>
      </c>
      <c r="M1947" s="1">
        <v>0</v>
      </c>
      <c r="N1947" s="1">
        <v>4.66</v>
      </c>
      <c r="O1947" s="1">
        <v>368.14</v>
      </c>
      <c r="P1947" s="1">
        <v>0</v>
      </c>
      <c r="Q1947" s="1">
        <v>0</v>
      </c>
      <c r="R1947" s="1">
        <v>793.19</v>
      </c>
      <c r="S1947" t="s">
        <v>280</v>
      </c>
      <c r="T1947" s="13">
        <v>45851</v>
      </c>
      <c r="U1947" s="1" t="str">
        <f>IF(ESTIMATIVA[[#This Row],[QT_AREA_REAL]]&gt;0,"1- Colhido","2- à Colher")</f>
        <v>1- Colhido</v>
      </c>
      <c r="V1947" s="1" t="str">
        <f>IF(ESTIMATIVA[[#This Row],[QT_AREA_REST1]]&gt;0,"Reestimativa 1",IF(ESTIMATIVA[[#This Row],[QT_AREA_REAL]]=0,"Reestimativa 1","Realizado"))</f>
        <v>Realizado</v>
      </c>
      <c r="W1947" s="1" t="str">
        <f>IF(ESTIMATIVA[[#This Row],[QT_AREA_REST2]]&gt;0,"Reestimativa 2",IF(ESTIMATIVA[[#This Row],[QT_AREA_REAL]]=0,"Reestimativa 2","Realizado"))</f>
        <v>Realizado</v>
      </c>
      <c r="X1947" s="1">
        <f>ESTIMATIVA[[#This Row],[QT_AREA_EST]]</f>
        <v>4.66</v>
      </c>
      <c r="Y1947" s="1">
        <f>IF(ESTIMATIVA[[#This Row],[QT_AREA_REST1]]&gt;0,ESTIMATIVA[[#This Row],[QT_AREA_REST1]],
  IF(ESTIMATIVA[[#This Row],[QT_AREA_REAL]]&gt;0,ESTIMATIVA[[#This Row],[QT_AREA_REAL]],ESTIMATIVA[[#This Row],[QT_AREA_EST]]))</f>
        <v>4.66</v>
      </c>
      <c r="Z194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4.66</v>
      </c>
      <c r="AA1947" s="1">
        <f>ESTIMATIVA[[#This Row],[QT_CANA_EST]]</f>
        <v>368.14</v>
      </c>
      <c r="AB1947" s="1">
        <f>IF(ESTIMATIVA[[#This Row],[QT_CANA_REST1]]&gt;0,ESTIMATIVA[[#This Row],[QT_CANA_REST1]],
  IF(ESTIMATIVA[[#This Row],[QT_CANA_REAL]]&gt;0,ESTIMATIVA[[#This Row],[QT_CANA_REAL]],ESTIMATIVA[[#This Row],[QT_CANA_EST]]))</f>
        <v>793.19</v>
      </c>
      <c r="AC194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793.19</v>
      </c>
      <c r="AD1947" s="1">
        <f>IF(ESTIMATIVA[[#This Row],[QT_AREA_REAL]]&gt;0,ESTIMATIVA[[#This Row],[QT_CANA_REAL]],ESTIMATIVA[[#This Row],[QT_CANA_EST]])</f>
        <v>793.19</v>
      </c>
      <c r="AE1947" s="1">
        <f>IF(ESTIMATIVA[[#This Row],[QT_AREA_REAL]]&gt;0,ESTIMATIVA[[#This Row],[QT_CANA_REAL]],ESTIMATIVA[[#This Row],[QT_CANA_REST1]])</f>
        <v>793.19</v>
      </c>
      <c r="AF1947" s="1">
        <f>IF(ESTIMATIVA[[#This Row],[QT_AREA_REAL]]&gt;0,ESTIMATIVA[[#This Row],[QT_CANA_REAL]],ESTIMATIVA[[#This Row],[QT_CANA_REST2]])</f>
        <v>793.19</v>
      </c>
      <c r="AG1947" s="1" t="str">
        <f>IF(COUNTIFS(GEADA!A:A,VALUE(ESTIMATIVA[[#This Row],[CD_UPNIVEL1]]&amp;TEXT(ESTIMATIVA[[#This Row],[CD_UPNIVEL3]],"0000")))&gt;0,"S","N")</f>
        <v>N</v>
      </c>
      <c r="AH194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47" s="55" t="str">
        <f>IF(ESTIMATIVA[[#This Row],[TP_CULTIVO]]="Irrigado",_xlfn.MAXIFS(IRRIGADO!J:J,IRRIGADO!C:C,ESTIMATIVA[[#This Row],[CD_UPNIVEL1]],IRRIGADO!E:E,ESTIMATIVA[[#This Row],[CD_UPNIVEL3]]),"")</f>
        <v/>
      </c>
      <c r="AJ194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47" s="1">
        <f>COUNTIFS(Apresentação!$E$23:$E$29,ESTIMATIVA[[#This Row],[CD_UPNIVEL1]])</f>
        <v>0</v>
      </c>
    </row>
    <row r="1948" spans="1:37" x14ac:dyDescent="0.3">
      <c r="A1948">
        <v>20849</v>
      </c>
      <c r="B1948" t="s">
        <v>101</v>
      </c>
      <c r="C1948">
        <v>2</v>
      </c>
      <c r="D1948">
        <v>3</v>
      </c>
      <c r="E1948" t="s">
        <v>263</v>
      </c>
      <c r="F1948" s="85" t="s">
        <v>331</v>
      </c>
      <c r="G1948"/>
      <c r="H1948" t="s">
        <v>294</v>
      </c>
      <c r="I1948" t="s">
        <v>212</v>
      </c>
      <c r="J1948" t="s">
        <v>178</v>
      </c>
      <c r="K1948" s="1">
        <v>5.27</v>
      </c>
      <c r="L1948" s="1">
        <v>5.27</v>
      </c>
      <c r="M1948" s="1">
        <v>5.27</v>
      </c>
      <c r="N1948" s="1">
        <v>5.27</v>
      </c>
      <c r="O1948" s="1">
        <v>416.33</v>
      </c>
      <c r="P1948" s="1">
        <v>421.6</v>
      </c>
      <c r="Q1948" s="1">
        <v>421.6</v>
      </c>
      <c r="R1948" s="1">
        <v>169.49</v>
      </c>
      <c r="S1948" t="s">
        <v>280</v>
      </c>
      <c r="T1948" s="13">
        <v>45935</v>
      </c>
      <c r="U1948" s="1" t="str">
        <f>IF(ESTIMATIVA[[#This Row],[QT_AREA_REAL]]&gt;0,"1- Colhido","2- à Colher")</f>
        <v>1- Colhido</v>
      </c>
      <c r="V1948" s="1" t="str">
        <f>IF(ESTIMATIVA[[#This Row],[QT_AREA_REST1]]&gt;0,"Reestimativa 1",IF(ESTIMATIVA[[#This Row],[QT_AREA_REAL]]=0,"Reestimativa 1","Realizado"))</f>
        <v>Reestimativa 1</v>
      </c>
      <c r="W1948" s="1" t="str">
        <f>IF(ESTIMATIVA[[#This Row],[QT_AREA_REST2]]&gt;0,"Reestimativa 2",IF(ESTIMATIVA[[#This Row],[QT_AREA_REAL]]=0,"Reestimativa 2","Realizado"))</f>
        <v>Reestimativa 2</v>
      </c>
      <c r="X1948" s="1">
        <f>ESTIMATIVA[[#This Row],[QT_AREA_EST]]</f>
        <v>5.27</v>
      </c>
      <c r="Y1948" s="1">
        <f>IF(ESTIMATIVA[[#This Row],[QT_AREA_REST1]]&gt;0,ESTIMATIVA[[#This Row],[QT_AREA_REST1]],
  IF(ESTIMATIVA[[#This Row],[QT_AREA_REAL]]&gt;0,ESTIMATIVA[[#This Row],[QT_AREA_REAL]],ESTIMATIVA[[#This Row],[QT_AREA_EST]]))</f>
        <v>5.27</v>
      </c>
      <c r="Z194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5.27</v>
      </c>
      <c r="AA1948" s="1">
        <f>ESTIMATIVA[[#This Row],[QT_CANA_EST]]</f>
        <v>416.33</v>
      </c>
      <c r="AB1948" s="1">
        <f>IF(ESTIMATIVA[[#This Row],[QT_CANA_REST1]]&gt;0,ESTIMATIVA[[#This Row],[QT_CANA_REST1]],
  IF(ESTIMATIVA[[#This Row],[QT_CANA_REAL]]&gt;0,ESTIMATIVA[[#This Row],[QT_CANA_REAL]],ESTIMATIVA[[#This Row],[QT_CANA_EST]]))</f>
        <v>421.6</v>
      </c>
      <c r="AC194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421.6</v>
      </c>
      <c r="AD1948" s="1">
        <f>IF(ESTIMATIVA[[#This Row],[QT_AREA_REAL]]&gt;0,ESTIMATIVA[[#This Row],[QT_CANA_REAL]],ESTIMATIVA[[#This Row],[QT_CANA_EST]])</f>
        <v>169.49</v>
      </c>
      <c r="AE1948" s="1">
        <f>IF(ESTIMATIVA[[#This Row],[QT_AREA_REAL]]&gt;0,ESTIMATIVA[[#This Row],[QT_CANA_REAL]],ESTIMATIVA[[#This Row],[QT_CANA_REST1]])</f>
        <v>169.49</v>
      </c>
      <c r="AF1948" s="1">
        <f>IF(ESTIMATIVA[[#This Row],[QT_AREA_REAL]]&gt;0,ESTIMATIVA[[#This Row],[QT_CANA_REAL]],ESTIMATIVA[[#This Row],[QT_CANA_REST2]])</f>
        <v>169.49</v>
      </c>
      <c r="AG1948" s="1" t="str">
        <f>IF(COUNTIFS(GEADA!A:A,VALUE(ESTIMATIVA[[#This Row],[CD_UPNIVEL1]]&amp;TEXT(ESTIMATIVA[[#This Row],[CD_UPNIVEL3]],"0000")))&gt;0,"S","N")</f>
        <v>N</v>
      </c>
      <c r="AH194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48" s="55" t="str">
        <f>IF(ESTIMATIVA[[#This Row],[TP_CULTIVO]]="Irrigado",_xlfn.MAXIFS(IRRIGADO!J:J,IRRIGADO!C:C,ESTIMATIVA[[#This Row],[CD_UPNIVEL1]],IRRIGADO!E:E,ESTIMATIVA[[#This Row],[CD_UPNIVEL3]]),"")</f>
        <v/>
      </c>
      <c r="AJ194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48" s="1">
        <f>COUNTIFS(Apresentação!$E$23:$E$29,ESTIMATIVA[[#This Row],[CD_UPNIVEL1]])</f>
        <v>0</v>
      </c>
    </row>
    <row r="1949" spans="1:37" x14ac:dyDescent="0.3">
      <c r="A1949">
        <v>20850</v>
      </c>
      <c r="B1949" t="s">
        <v>102</v>
      </c>
      <c r="C1949">
        <v>1</v>
      </c>
      <c r="D1949">
        <v>3</v>
      </c>
      <c r="E1949" t="s">
        <v>263</v>
      </c>
      <c r="F1949" s="85" t="s">
        <v>332</v>
      </c>
      <c r="G1949"/>
      <c r="H1949" t="s">
        <v>294</v>
      </c>
      <c r="I1949" t="s">
        <v>212</v>
      </c>
      <c r="J1949" t="s">
        <v>178</v>
      </c>
      <c r="K1949" s="1">
        <v>16.37</v>
      </c>
      <c r="L1949" s="1">
        <v>0</v>
      </c>
      <c r="M1949" s="1">
        <v>0</v>
      </c>
      <c r="N1949" s="1">
        <v>16.37</v>
      </c>
      <c r="O1949" s="1">
        <v>1391.45</v>
      </c>
      <c r="P1949" s="1">
        <v>0</v>
      </c>
      <c r="Q1949" s="1">
        <v>0</v>
      </c>
      <c r="R1949" s="1">
        <v>1533.9</v>
      </c>
      <c r="S1949" t="s">
        <v>280</v>
      </c>
      <c r="T1949" s="13">
        <v>45851</v>
      </c>
      <c r="U1949" s="1" t="str">
        <f>IF(ESTIMATIVA[[#This Row],[QT_AREA_REAL]]&gt;0,"1- Colhido","2- à Colher")</f>
        <v>1- Colhido</v>
      </c>
      <c r="V1949" s="1" t="str">
        <f>IF(ESTIMATIVA[[#This Row],[QT_AREA_REST1]]&gt;0,"Reestimativa 1",IF(ESTIMATIVA[[#This Row],[QT_AREA_REAL]]=0,"Reestimativa 1","Realizado"))</f>
        <v>Realizado</v>
      </c>
      <c r="W1949" s="1" t="str">
        <f>IF(ESTIMATIVA[[#This Row],[QT_AREA_REST2]]&gt;0,"Reestimativa 2",IF(ESTIMATIVA[[#This Row],[QT_AREA_REAL]]=0,"Reestimativa 2","Realizado"))</f>
        <v>Realizado</v>
      </c>
      <c r="X1949" s="1">
        <f>ESTIMATIVA[[#This Row],[QT_AREA_EST]]</f>
        <v>16.37</v>
      </c>
      <c r="Y1949" s="1">
        <f>IF(ESTIMATIVA[[#This Row],[QT_AREA_REST1]]&gt;0,ESTIMATIVA[[#This Row],[QT_AREA_REST1]],
  IF(ESTIMATIVA[[#This Row],[QT_AREA_REAL]]&gt;0,ESTIMATIVA[[#This Row],[QT_AREA_REAL]],ESTIMATIVA[[#This Row],[QT_AREA_EST]]))</f>
        <v>16.37</v>
      </c>
      <c r="Z194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16.37</v>
      </c>
      <c r="AA1949" s="1">
        <f>ESTIMATIVA[[#This Row],[QT_CANA_EST]]</f>
        <v>1391.45</v>
      </c>
      <c r="AB1949" s="1">
        <f>IF(ESTIMATIVA[[#This Row],[QT_CANA_REST1]]&gt;0,ESTIMATIVA[[#This Row],[QT_CANA_REST1]],
  IF(ESTIMATIVA[[#This Row],[QT_CANA_REAL]]&gt;0,ESTIMATIVA[[#This Row],[QT_CANA_REAL]],ESTIMATIVA[[#This Row],[QT_CANA_EST]]))</f>
        <v>1533.9</v>
      </c>
      <c r="AC194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1533.9</v>
      </c>
      <c r="AD1949" s="1">
        <f>IF(ESTIMATIVA[[#This Row],[QT_AREA_REAL]]&gt;0,ESTIMATIVA[[#This Row],[QT_CANA_REAL]],ESTIMATIVA[[#This Row],[QT_CANA_EST]])</f>
        <v>1533.9</v>
      </c>
      <c r="AE1949" s="1">
        <f>IF(ESTIMATIVA[[#This Row],[QT_AREA_REAL]]&gt;0,ESTIMATIVA[[#This Row],[QT_CANA_REAL]],ESTIMATIVA[[#This Row],[QT_CANA_REST1]])</f>
        <v>1533.9</v>
      </c>
      <c r="AF1949" s="1">
        <f>IF(ESTIMATIVA[[#This Row],[QT_AREA_REAL]]&gt;0,ESTIMATIVA[[#This Row],[QT_CANA_REAL]],ESTIMATIVA[[#This Row],[QT_CANA_REST2]])</f>
        <v>1533.9</v>
      </c>
      <c r="AG1949" s="1" t="str">
        <f>IF(COUNTIFS(GEADA!A:A,VALUE(ESTIMATIVA[[#This Row],[CD_UPNIVEL1]]&amp;TEXT(ESTIMATIVA[[#This Row],[CD_UPNIVEL3]],"0000")))&gt;0,"S","N")</f>
        <v>N</v>
      </c>
      <c r="AH194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49" s="55" t="str">
        <f>IF(ESTIMATIVA[[#This Row],[TP_CULTIVO]]="Irrigado",_xlfn.MAXIFS(IRRIGADO!J:J,IRRIGADO!C:C,ESTIMATIVA[[#This Row],[CD_UPNIVEL1]],IRRIGADO!E:E,ESTIMATIVA[[#This Row],[CD_UPNIVEL3]]),"")</f>
        <v/>
      </c>
      <c r="AJ194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49" s="1">
        <f>COUNTIFS(Apresentação!$E$23:$E$29,ESTIMATIVA[[#This Row],[CD_UPNIVEL1]])</f>
        <v>0</v>
      </c>
    </row>
    <row r="1950" spans="1:37" x14ac:dyDescent="0.3">
      <c r="A1950">
        <v>20860</v>
      </c>
      <c r="B1950" t="s">
        <v>103</v>
      </c>
      <c r="C1950">
        <v>1</v>
      </c>
      <c r="D1950">
        <v>3</v>
      </c>
      <c r="E1950" t="s">
        <v>263</v>
      </c>
      <c r="F1950" s="85" t="s">
        <v>331</v>
      </c>
      <c r="G1950"/>
      <c r="H1950" t="s">
        <v>294</v>
      </c>
      <c r="I1950" t="s">
        <v>224</v>
      </c>
      <c r="J1950" t="s">
        <v>178</v>
      </c>
      <c r="K1950" s="1">
        <v>48.45</v>
      </c>
      <c r="L1950" s="1">
        <v>48.45</v>
      </c>
      <c r="M1950" s="1">
        <v>0</v>
      </c>
      <c r="N1950" s="1">
        <v>48.45</v>
      </c>
      <c r="O1950" s="1">
        <v>3682.2</v>
      </c>
      <c r="P1950" s="1">
        <v>3730.65</v>
      </c>
      <c r="Q1950" s="1">
        <v>0</v>
      </c>
      <c r="R1950" s="1">
        <v>4444.24</v>
      </c>
      <c r="S1950" t="s">
        <v>280</v>
      </c>
      <c r="T1950" s="13">
        <v>45921</v>
      </c>
      <c r="U1950" s="1" t="str">
        <f>IF(ESTIMATIVA[[#This Row],[QT_AREA_REAL]]&gt;0,"1- Colhido","2- à Colher")</f>
        <v>1- Colhido</v>
      </c>
      <c r="V1950" s="1" t="str">
        <f>IF(ESTIMATIVA[[#This Row],[QT_AREA_REST1]]&gt;0,"Reestimativa 1",IF(ESTIMATIVA[[#This Row],[QT_AREA_REAL]]=0,"Reestimativa 1","Realizado"))</f>
        <v>Reestimativa 1</v>
      </c>
      <c r="W1950" s="1" t="str">
        <f>IF(ESTIMATIVA[[#This Row],[QT_AREA_REST2]]&gt;0,"Reestimativa 2",IF(ESTIMATIVA[[#This Row],[QT_AREA_REAL]]=0,"Reestimativa 2","Realizado"))</f>
        <v>Realizado</v>
      </c>
      <c r="X1950" s="1">
        <f>ESTIMATIVA[[#This Row],[QT_AREA_EST]]</f>
        <v>48.45</v>
      </c>
      <c r="Y1950" s="1">
        <f>IF(ESTIMATIVA[[#This Row],[QT_AREA_REST1]]&gt;0,ESTIMATIVA[[#This Row],[QT_AREA_REST1]],
  IF(ESTIMATIVA[[#This Row],[QT_AREA_REAL]]&gt;0,ESTIMATIVA[[#This Row],[QT_AREA_REAL]],ESTIMATIVA[[#This Row],[QT_AREA_EST]]))</f>
        <v>48.45</v>
      </c>
      <c r="Z195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48.45</v>
      </c>
      <c r="AA1950" s="1">
        <f>ESTIMATIVA[[#This Row],[QT_CANA_EST]]</f>
        <v>3682.2</v>
      </c>
      <c r="AB1950" s="1">
        <f>IF(ESTIMATIVA[[#This Row],[QT_CANA_REST1]]&gt;0,ESTIMATIVA[[#This Row],[QT_CANA_REST1]],
  IF(ESTIMATIVA[[#This Row],[QT_CANA_REAL]]&gt;0,ESTIMATIVA[[#This Row],[QT_CANA_REAL]],ESTIMATIVA[[#This Row],[QT_CANA_EST]]))</f>
        <v>3730.65</v>
      </c>
      <c r="AC195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4444.24</v>
      </c>
      <c r="AD1950" s="1">
        <f>IF(ESTIMATIVA[[#This Row],[QT_AREA_REAL]]&gt;0,ESTIMATIVA[[#This Row],[QT_CANA_REAL]],ESTIMATIVA[[#This Row],[QT_CANA_EST]])</f>
        <v>4444.24</v>
      </c>
      <c r="AE1950" s="1">
        <f>IF(ESTIMATIVA[[#This Row],[QT_AREA_REAL]]&gt;0,ESTIMATIVA[[#This Row],[QT_CANA_REAL]],ESTIMATIVA[[#This Row],[QT_CANA_REST1]])</f>
        <v>4444.24</v>
      </c>
      <c r="AF1950" s="1">
        <f>IF(ESTIMATIVA[[#This Row],[QT_AREA_REAL]]&gt;0,ESTIMATIVA[[#This Row],[QT_CANA_REAL]],ESTIMATIVA[[#This Row],[QT_CANA_REST2]])</f>
        <v>4444.24</v>
      </c>
      <c r="AG1950" s="1" t="str">
        <f>IF(COUNTIFS(GEADA!A:A,VALUE(ESTIMATIVA[[#This Row],[CD_UPNIVEL1]]&amp;TEXT(ESTIMATIVA[[#This Row],[CD_UPNIVEL3]],"0000")))&gt;0,"S","N")</f>
        <v>N</v>
      </c>
      <c r="AH195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50" s="55" t="str">
        <f>IF(ESTIMATIVA[[#This Row],[TP_CULTIVO]]="Irrigado",_xlfn.MAXIFS(IRRIGADO!J:J,IRRIGADO!C:C,ESTIMATIVA[[#This Row],[CD_UPNIVEL1]],IRRIGADO!E:E,ESTIMATIVA[[#This Row],[CD_UPNIVEL3]]),"")</f>
        <v/>
      </c>
      <c r="AJ195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50" s="1">
        <f>COUNTIFS(Apresentação!$E$23:$E$29,ESTIMATIVA[[#This Row],[CD_UPNIVEL1]])</f>
        <v>0</v>
      </c>
    </row>
    <row r="1951" spans="1:37" x14ac:dyDescent="0.3">
      <c r="A1951">
        <v>20860</v>
      </c>
      <c r="B1951" t="s">
        <v>103</v>
      </c>
      <c r="C1951">
        <v>2</v>
      </c>
      <c r="D1951">
        <v>3</v>
      </c>
      <c r="E1951" t="s">
        <v>263</v>
      </c>
      <c r="F1951" s="85" t="s">
        <v>331</v>
      </c>
      <c r="G1951"/>
      <c r="H1951" t="s">
        <v>294</v>
      </c>
      <c r="I1951" t="s">
        <v>212</v>
      </c>
      <c r="J1951" t="s">
        <v>178</v>
      </c>
      <c r="K1951" s="1">
        <v>8.69</v>
      </c>
      <c r="L1951" s="1">
        <v>8.69</v>
      </c>
      <c r="M1951" s="1">
        <v>0</v>
      </c>
      <c r="N1951" s="1">
        <v>8.69</v>
      </c>
      <c r="O1951" s="1">
        <v>625.67999999999995</v>
      </c>
      <c r="P1951" s="1">
        <v>643.05999999999995</v>
      </c>
      <c r="Q1951" s="1">
        <v>0</v>
      </c>
      <c r="R1951" s="1">
        <v>897.17</v>
      </c>
      <c r="S1951" t="s">
        <v>280</v>
      </c>
      <c r="T1951" s="13">
        <v>45921</v>
      </c>
      <c r="U1951" s="1" t="str">
        <f>IF(ESTIMATIVA[[#This Row],[QT_AREA_REAL]]&gt;0,"1- Colhido","2- à Colher")</f>
        <v>1- Colhido</v>
      </c>
      <c r="V1951" s="1" t="str">
        <f>IF(ESTIMATIVA[[#This Row],[QT_AREA_REST1]]&gt;0,"Reestimativa 1",IF(ESTIMATIVA[[#This Row],[QT_AREA_REAL]]=0,"Reestimativa 1","Realizado"))</f>
        <v>Reestimativa 1</v>
      </c>
      <c r="W1951" s="1" t="str">
        <f>IF(ESTIMATIVA[[#This Row],[QT_AREA_REST2]]&gt;0,"Reestimativa 2",IF(ESTIMATIVA[[#This Row],[QT_AREA_REAL]]=0,"Reestimativa 2","Realizado"))</f>
        <v>Realizado</v>
      </c>
      <c r="X1951" s="1">
        <f>ESTIMATIVA[[#This Row],[QT_AREA_EST]]</f>
        <v>8.69</v>
      </c>
      <c r="Y1951" s="1">
        <f>IF(ESTIMATIVA[[#This Row],[QT_AREA_REST1]]&gt;0,ESTIMATIVA[[#This Row],[QT_AREA_REST1]],
  IF(ESTIMATIVA[[#This Row],[QT_AREA_REAL]]&gt;0,ESTIMATIVA[[#This Row],[QT_AREA_REAL]],ESTIMATIVA[[#This Row],[QT_AREA_EST]]))</f>
        <v>8.69</v>
      </c>
      <c r="Z195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8.69</v>
      </c>
      <c r="AA1951" s="1">
        <f>ESTIMATIVA[[#This Row],[QT_CANA_EST]]</f>
        <v>625.67999999999995</v>
      </c>
      <c r="AB1951" s="1">
        <f>IF(ESTIMATIVA[[#This Row],[QT_CANA_REST1]]&gt;0,ESTIMATIVA[[#This Row],[QT_CANA_REST1]],
  IF(ESTIMATIVA[[#This Row],[QT_CANA_REAL]]&gt;0,ESTIMATIVA[[#This Row],[QT_CANA_REAL]],ESTIMATIVA[[#This Row],[QT_CANA_EST]]))</f>
        <v>643.05999999999995</v>
      </c>
      <c r="AC195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897.17</v>
      </c>
      <c r="AD1951" s="1">
        <f>IF(ESTIMATIVA[[#This Row],[QT_AREA_REAL]]&gt;0,ESTIMATIVA[[#This Row],[QT_CANA_REAL]],ESTIMATIVA[[#This Row],[QT_CANA_EST]])</f>
        <v>897.17</v>
      </c>
      <c r="AE1951" s="1">
        <f>IF(ESTIMATIVA[[#This Row],[QT_AREA_REAL]]&gt;0,ESTIMATIVA[[#This Row],[QT_CANA_REAL]],ESTIMATIVA[[#This Row],[QT_CANA_REST1]])</f>
        <v>897.17</v>
      </c>
      <c r="AF1951" s="1">
        <f>IF(ESTIMATIVA[[#This Row],[QT_AREA_REAL]]&gt;0,ESTIMATIVA[[#This Row],[QT_CANA_REAL]],ESTIMATIVA[[#This Row],[QT_CANA_REST2]])</f>
        <v>897.17</v>
      </c>
      <c r="AG1951" s="1" t="str">
        <f>IF(COUNTIFS(GEADA!A:A,VALUE(ESTIMATIVA[[#This Row],[CD_UPNIVEL1]]&amp;TEXT(ESTIMATIVA[[#This Row],[CD_UPNIVEL3]],"0000")))&gt;0,"S","N")</f>
        <v>N</v>
      </c>
      <c r="AH195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51" s="55" t="str">
        <f>IF(ESTIMATIVA[[#This Row],[TP_CULTIVO]]="Irrigado",_xlfn.MAXIFS(IRRIGADO!J:J,IRRIGADO!C:C,ESTIMATIVA[[#This Row],[CD_UPNIVEL1]],IRRIGADO!E:E,ESTIMATIVA[[#This Row],[CD_UPNIVEL3]]),"")</f>
        <v/>
      </c>
      <c r="AJ195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51" s="1">
        <f>COUNTIFS(Apresentação!$E$23:$E$29,ESTIMATIVA[[#This Row],[CD_UPNIVEL1]])</f>
        <v>0</v>
      </c>
    </row>
    <row r="1952" spans="1:37" x14ac:dyDescent="0.3">
      <c r="A1952">
        <v>20860</v>
      </c>
      <c r="B1952" t="s">
        <v>103</v>
      </c>
      <c r="C1952">
        <v>3</v>
      </c>
      <c r="D1952">
        <v>3</v>
      </c>
      <c r="E1952" t="s">
        <v>263</v>
      </c>
      <c r="F1952" s="85" t="s">
        <v>331</v>
      </c>
      <c r="G1952"/>
      <c r="H1952" t="s">
        <v>294</v>
      </c>
      <c r="I1952" t="s">
        <v>212</v>
      </c>
      <c r="J1952" t="s">
        <v>178</v>
      </c>
      <c r="K1952" s="1">
        <v>39.14</v>
      </c>
      <c r="L1952" s="1">
        <v>39.14</v>
      </c>
      <c r="M1952" s="1">
        <v>0</v>
      </c>
      <c r="N1952" s="1">
        <v>39.14</v>
      </c>
      <c r="O1952" s="1">
        <v>2818.08</v>
      </c>
      <c r="P1952" s="1">
        <v>2896.36</v>
      </c>
      <c r="Q1952" s="1">
        <v>0</v>
      </c>
      <c r="R1952" s="1">
        <v>2583.2600000000002</v>
      </c>
      <c r="S1952" t="s">
        <v>280</v>
      </c>
      <c r="T1952" s="13">
        <v>45907</v>
      </c>
      <c r="U1952" s="1" t="str">
        <f>IF(ESTIMATIVA[[#This Row],[QT_AREA_REAL]]&gt;0,"1- Colhido","2- à Colher")</f>
        <v>1- Colhido</v>
      </c>
      <c r="V1952" s="1" t="str">
        <f>IF(ESTIMATIVA[[#This Row],[QT_AREA_REST1]]&gt;0,"Reestimativa 1",IF(ESTIMATIVA[[#This Row],[QT_AREA_REAL]]=0,"Reestimativa 1","Realizado"))</f>
        <v>Reestimativa 1</v>
      </c>
      <c r="W1952" s="1" t="str">
        <f>IF(ESTIMATIVA[[#This Row],[QT_AREA_REST2]]&gt;0,"Reestimativa 2",IF(ESTIMATIVA[[#This Row],[QT_AREA_REAL]]=0,"Reestimativa 2","Realizado"))</f>
        <v>Realizado</v>
      </c>
      <c r="X1952" s="1">
        <f>ESTIMATIVA[[#This Row],[QT_AREA_EST]]</f>
        <v>39.14</v>
      </c>
      <c r="Y1952" s="1">
        <f>IF(ESTIMATIVA[[#This Row],[QT_AREA_REST1]]&gt;0,ESTIMATIVA[[#This Row],[QT_AREA_REST1]],
  IF(ESTIMATIVA[[#This Row],[QT_AREA_REAL]]&gt;0,ESTIMATIVA[[#This Row],[QT_AREA_REAL]],ESTIMATIVA[[#This Row],[QT_AREA_EST]]))</f>
        <v>39.14</v>
      </c>
      <c r="Z195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39.14</v>
      </c>
      <c r="AA1952" s="1">
        <f>ESTIMATIVA[[#This Row],[QT_CANA_EST]]</f>
        <v>2818.08</v>
      </c>
      <c r="AB1952" s="1">
        <f>IF(ESTIMATIVA[[#This Row],[QT_CANA_REST1]]&gt;0,ESTIMATIVA[[#This Row],[QT_CANA_REST1]],
  IF(ESTIMATIVA[[#This Row],[QT_CANA_REAL]]&gt;0,ESTIMATIVA[[#This Row],[QT_CANA_REAL]],ESTIMATIVA[[#This Row],[QT_CANA_EST]]))</f>
        <v>2896.36</v>
      </c>
      <c r="AC195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2583.2600000000002</v>
      </c>
      <c r="AD1952" s="1">
        <f>IF(ESTIMATIVA[[#This Row],[QT_AREA_REAL]]&gt;0,ESTIMATIVA[[#This Row],[QT_CANA_REAL]],ESTIMATIVA[[#This Row],[QT_CANA_EST]])</f>
        <v>2583.2600000000002</v>
      </c>
      <c r="AE1952" s="1">
        <f>IF(ESTIMATIVA[[#This Row],[QT_AREA_REAL]]&gt;0,ESTIMATIVA[[#This Row],[QT_CANA_REAL]],ESTIMATIVA[[#This Row],[QT_CANA_REST1]])</f>
        <v>2583.2600000000002</v>
      </c>
      <c r="AF1952" s="1">
        <f>IF(ESTIMATIVA[[#This Row],[QT_AREA_REAL]]&gt;0,ESTIMATIVA[[#This Row],[QT_CANA_REAL]],ESTIMATIVA[[#This Row],[QT_CANA_REST2]])</f>
        <v>2583.2600000000002</v>
      </c>
      <c r="AG1952" s="1" t="str">
        <f>IF(COUNTIFS(GEADA!A:A,VALUE(ESTIMATIVA[[#This Row],[CD_UPNIVEL1]]&amp;TEXT(ESTIMATIVA[[#This Row],[CD_UPNIVEL3]],"0000")))&gt;0,"S","N")</f>
        <v>N</v>
      </c>
      <c r="AH195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52" s="55" t="str">
        <f>IF(ESTIMATIVA[[#This Row],[TP_CULTIVO]]="Irrigado",_xlfn.MAXIFS(IRRIGADO!J:J,IRRIGADO!C:C,ESTIMATIVA[[#This Row],[CD_UPNIVEL1]],IRRIGADO!E:E,ESTIMATIVA[[#This Row],[CD_UPNIVEL3]]),"")</f>
        <v/>
      </c>
      <c r="AJ195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52" s="1">
        <f>COUNTIFS(Apresentação!$E$23:$E$29,ESTIMATIVA[[#This Row],[CD_UPNIVEL1]])</f>
        <v>0</v>
      </c>
    </row>
    <row r="1953" spans="1:37" x14ac:dyDescent="0.3">
      <c r="A1953">
        <v>20860</v>
      </c>
      <c r="B1953" t="s">
        <v>103</v>
      </c>
      <c r="C1953">
        <v>4</v>
      </c>
      <c r="D1953">
        <v>3</v>
      </c>
      <c r="E1953" t="s">
        <v>263</v>
      </c>
      <c r="F1953" s="85" t="s">
        <v>331</v>
      </c>
      <c r="G1953"/>
      <c r="H1953" t="s">
        <v>294</v>
      </c>
      <c r="I1953" t="s">
        <v>212</v>
      </c>
      <c r="J1953" t="s">
        <v>178</v>
      </c>
      <c r="K1953" s="1">
        <v>18.850000000000001</v>
      </c>
      <c r="L1953" s="1">
        <v>18.850000000000001</v>
      </c>
      <c r="M1953" s="1">
        <v>0</v>
      </c>
      <c r="N1953" s="1">
        <v>18.850000000000001</v>
      </c>
      <c r="O1953" s="1">
        <v>1357.2</v>
      </c>
      <c r="P1953" s="1">
        <v>1394.9</v>
      </c>
      <c r="Q1953" s="1">
        <v>0</v>
      </c>
      <c r="R1953" s="1">
        <v>1946.52</v>
      </c>
      <c r="S1953" t="s">
        <v>280</v>
      </c>
      <c r="T1953" s="13">
        <v>45921</v>
      </c>
      <c r="U1953" s="1" t="str">
        <f>IF(ESTIMATIVA[[#This Row],[QT_AREA_REAL]]&gt;0,"1- Colhido","2- à Colher")</f>
        <v>1- Colhido</v>
      </c>
      <c r="V1953" s="1" t="str">
        <f>IF(ESTIMATIVA[[#This Row],[QT_AREA_REST1]]&gt;0,"Reestimativa 1",IF(ESTIMATIVA[[#This Row],[QT_AREA_REAL]]=0,"Reestimativa 1","Realizado"))</f>
        <v>Reestimativa 1</v>
      </c>
      <c r="W1953" s="1" t="str">
        <f>IF(ESTIMATIVA[[#This Row],[QT_AREA_REST2]]&gt;0,"Reestimativa 2",IF(ESTIMATIVA[[#This Row],[QT_AREA_REAL]]=0,"Reestimativa 2","Realizado"))</f>
        <v>Realizado</v>
      </c>
      <c r="X1953" s="1">
        <f>ESTIMATIVA[[#This Row],[QT_AREA_EST]]</f>
        <v>18.850000000000001</v>
      </c>
      <c r="Y1953" s="1">
        <f>IF(ESTIMATIVA[[#This Row],[QT_AREA_REST1]]&gt;0,ESTIMATIVA[[#This Row],[QT_AREA_REST1]],
  IF(ESTIMATIVA[[#This Row],[QT_AREA_REAL]]&gt;0,ESTIMATIVA[[#This Row],[QT_AREA_REAL]],ESTIMATIVA[[#This Row],[QT_AREA_EST]]))</f>
        <v>18.850000000000001</v>
      </c>
      <c r="Z195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18.850000000000001</v>
      </c>
      <c r="AA1953" s="1">
        <f>ESTIMATIVA[[#This Row],[QT_CANA_EST]]</f>
        <v>1357.2</v>
      </c>
      <c r="AB1953" s="1">
        <f>IF(ESTIMATIVA[[#This Row],[QT_CANA_REST1]]&gt;0,ESTIMATIVA[[#This Row],[QT_CANA_REST1]],
  IF(ESTIMATIVA[[#This Row],[QT_CANA_REAL]]&gt;0,ESTIMATIVA[[#This Row],[QT_CANA_REAL]],ESTIMATIVA[[#This Row],[QT_CANA_EST]]))</f>
        <v>1394.9</v>
      </c>
      <c r="AC195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1946.52</v>
      </c>
      <c r="AD1953" s="1">
        <f>IF(ESTIMATIVA[[#This Row],[QT_AREA_REAL]]&gt;0,ESTIMATIVA[[#This Row],[QT_CANA_REAL]],ESTIMATIVA[[#This Row],[QT_CANA_EST]])</f>
        <v>1946.52</v>
      </c>
      <c r="AE1953" s="1">
        <f>IF(ESTIMATIVA[[#This Row],[QT_AREA_REAL]]&gt;0,ESTIMATIVA[[#This Row],[QT_CANA_REAL]],ESTIMATIVA[[#This Row],[QT_CANA_REST1]])</f>
        <v>1946.52</v>
      </c>
      <c r="AF1953" s="1">
        <f>IF(ESTIMATIVA[[#This Row],[QT_AREA_REAL]]&gt;0,ESTIMATIVA[[#This Row],[QT_CANA_REAL]],ESTIMATIVA[[#This Row],[QT_CANA_REST2]])</f>
        <v>1946.52</v>
      </c>
      <c r="AG1953" s="1" t="str">
        <f>IF(COUNTIFS(GEADA!A:A,VALUE(ESTIMATIVA[[#This Row],[CD_UPNIVEL1]]&amp;TEXT(ESTIMATIVA[[#This Row],[CD_UPNIVEL3]],"0000")))&gt;0,"S","N")</f>
        <v>N</v>
      </c>
      <c r="AH195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53" s="55" t="str">
        <f>IF(ESTIMATIVA[[#This Row],[TP_CULTIVO]]="Irrigado",_xlfn.MAXIFS(IRRIGADO!J:J,IRRIGADO!C:C,ESTIMATIVA[[#This Row],[CD_UPNIVEL1]],IRRIGADO!E:E,ESTIMATIVA[[#This Row],[CD_UPNIVEL3]]),"")</f>
        <v/>
      </c>
      <c r="AJ195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53" s="1">
        <f>COUNTIFS(Apresentação!$E$23:$E$29,ESTIMATIVA[[#This Row],[CD_UPNIVEL1]])</f>
        <v>0</v>
      </c>
    </row>
    <row r="1954" spans="1:37" x14ac:dyDescent="0.3">
      <c r="A1954">
        <v>20860</v>
      </c>
      <c r="B1954" t="s">
        <v>103</v>
      </c>
      <c r="C1954">
        <v>5</v>
      </c>
      <c r="D1954">
        <v>3</v>
      </c>
      <c r="E1954" t="s">
        <v>263</v>
      </c>
      <c r="F1954" s="85" t="s">
        <v>331</v>
      </c>
      <c r="G1954"/>
      <c r="H1954" t="s">
        <v>294</v>
      </c>
      <c r="I1954" t="s">
        <v>224</v>
      </c>
      <c r="J1954" t="s">
        <v>178</v>
      </c>
      <c r="K1954" s="1">
        <v>10.1</v>
      </c>
      <c r="L1954" s="1">
        <v>10.1</v>
      </c>
      <c r="M1954" s="1">
        <v>0</v>
      </c>
      <c r="N1954" s="1">
        <v>10.1</v>
      </c>
      <c r="O1954" s="1">
        <v>767.6</v>
      </c>
      <c r="P1954" s="1">
        <v>787.8</v>
      </c>
      <c r="Q1954" s="1">
        <v>0</v>
      </c>
      <c r="R1954" s="1">
        <v>1099.5</v>
      </c>
      <c r="S1954" t="s">
        <v>280</v>
      </c>
      <c r="T1954" s="13">
        <v>45921</v>
      </c>
      <c r="U1954" s="1" t="str">
        <f>IF(ESTIMATIVA[[#This Row],[QT_AREA_REAL]]&gt;0,"1- Colhido","2- à Colher")</f>
        <v>1- Colhido</v>
      </c>
      <c r="V1954" s="1" t="str">
        <f>IF(ESTIMATIVA[[#This Row],[QT_AREA_REST1]]&gt;0,"Reestimativa 1",IF(ESTIMATIVA[[#This Row],[QT_AREA_REAL]]=0,"Reestimativa 1","Realizado"))</f>
        <v>Reestimativa 1</v>
      </c>
      <c r="W1954" s="1" t="str">
        <f>IF(ESTIMATIVA[[#This Row],[QT_AREA_REST2]]&gt;0,"Reestimativa 2",IF(ESTIMATIVA[[#This Row],[QT_AREA_REAL]]=0,"Reestimativa 2","Realizado"))</f>
        <v>Realizado</v>
      </c>
      <c r="X1954" s="1">
        <f>ESTIMATIVA[[#This Row],[QT_AREA_EST]]</f>
        <v>10.1</v>
      </c>
      <c r="Y1954" s="1">
        <f>IF(ESTIMATIVA[[#This Row],[QT_AREA_REST1]]&gt;0,ESTIMATIVA[[#This Row],[QT_AREA_REST1]],
  IF(ESTIMATIVA[[#This Row],[QT_AREA_REAL]]&gt;0,ESTIMATIVA[[#This Row],[QT_AREA_REAL]],ESTIMATIVA[[#This Row],[QT_AREA_EST]]))</f>
        <v>10.1</v>
      </c>
      <c r="Z195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10.1</v>
      </c>
      <c r="AA1954" s="1">
        <f>ESTIMATIVA[[#This Row],[QT_CANA_EST]]</f>
        <v>767.6</v>
      </c>
      <c r="AB1954" s="1">
        <f>IF(ESTIMATIVA[[#This Row],[QT_CANA_REST1]]&gt;0,ESTIMATIVA[[#This Row],[QT_CANA_REST1]],
  IF(ESTIMATIVA[[#This Row],[QT_CANA_REAL]]&gt;0,ESTIMATIVA[[#This Row],[QT_CANA_REAL]],ESTIMATIVA[[#This Row],[QT_CANA_EST]]))</f>
        <v>787.8</v>
      </c>
      <c r="AC195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1099.5</v>
      </c>
      <c r="AD1954" s="1">
        <f>IF(ESTIMATIVA[[#This Row],[QT_AREA_REAL]]&gt;0,ESTIMATIVA[[#This Row],[QT_CANA_REAL]],ESTIMATIVA[[#This Row],[QT_CANA_EST]])</f>
        <v>1099.5</v>
      </c>
      <c r="AE1954" s="1">
        <f>IF(ESTIMATIVA[[#This Row],[QT_AREA_REAL]]&gt;0,ESTIMATIVA[[#This Row],[QT_CANA_REAL]],ESTIMATIVA[[#This Row],[QT_CANA_REST1]])</f>
        <v>1099.5</v>
      </c>
      <c r="AF1954" s="1">
        <f>IF(ESTIMATIVA[[#This Row],[QT_AREA_REAL]]&gt;0,ESTIMATIVA[[#This Row],[QT_CANA_REAL]],ESTIMATIVA[[#This Row],[QT_CANA_REST2]])</f>
        <v>1099.5</v>
      </c>
      <c r="AG1954" s="1" t="str">
        <f>IF(COUNTIFS(GEADA!A:A,VALUE(ESTIMATIVA[[#This Row],[CD_UPNIVEL1]]&amp;TEXT(ESTIMATIVA[[#This Row],[CD_UPNIVEL3]],"0000")))&gt;0,"S","N")</f>
        <v>N</v>
      </c>
      <c r="AH195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54" s="55" t="str">
        <f>IF(ESTIMATIVA[[#This Row],[TP_CULTIVO]]="Irrigado",_xlfn.MAXIFS(IRRIGADO!J:J,IRRIGADO!C:C,ESTIMATIVA[[#This Row],[CD_UPNIVEL1]],IRRIGADO!E:E,ESTIMATIVA[[#This Row],[CD_UPNIVEL3]]),"")</f>
        <v/>
      </c>
      <c r="AJ195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54" s="1">
        <f>COUNTIFS(Apresentação!$E$23:$E$29,ESTIMATIVA[[#This Row],[CD_UPNIVEL1]])</f>
        <v>0</v>
      </c>
    </row>
    <row r="1955" spans="1:37" x14ac:dyDescent="0.3">
      <c r="A1955">
        <v>20860</v>
      </c>
      <c r="B1955" t="s">
        <v>103</v>
      </c>
      <c r="C1955">
        <v>6</v>
      </c>
      <c r="D1955">
        <v>3</v>
      </c>
      <c r="E1955" t="s">
        <v>263</v>
      </c>
      <c r="F1955" s="85" t="s">
        <v>331</v>
      </c>
      <c r="G1955"/>
      <c r="H1955" t="s">
        <v>294</v>
      </c>
      <c r="I1955" t="s">
        <v>224</v>
      </c>
      <c r="J1955" t="s">
        <v>178</v>
      </c>
      <c r="K1955" s="1">
        <v>5.21</v>
      </c>
      <c r="L1955" s="1">
        <v>5.21</v>
      </c>
      <c r="M1955" s="1">
        <v>0</v>
      </c>
      <c r="N1955" s="1">
        <v>5.21</v>
      </c>
      <c r="O1955" s="1">
        <v>395.96</v>
      </c>
      <c r="P1955" s="1">
        <v>406.38</v>
      </c>
      <c r="Q1955" s="1">
        <v>0</v>
      </c>
      <c r="R1955" s="1">
        <v>566.74</v>
      </c>
      <c r="S1955" t="s">
        <v>280</v>
      </c>
      <c r="T1955" s="13">
        <v>45921</v>
      </c>
      <c r="U1955" s="1" t="str">
        <f>IF(ESTIMATIVA[[#This Row],[QT_AREA_REAL]]&gt;0,"1- Colhido","2- à Colher")</f>
        <v>1- Colhido</v>
      </c>
      <c r="V1955" s="1" t="str">
        <f>IF(ESTIMATIVA[[#This Row],[QT_AREA_REST1]]&gt;0,"Reestimativa 1",IF(ESTIMATIVA[[#This Row],[QT_AREA_REAL]]=0,"Reestimativa 1","Realizado"))</f>
        <v>Reestimativa 1</v>
      </c>
      <c r="W1955" s="1" t="str">
        <f>IF(ESTIMATIVA[[#This Row],[QT_AREA_REST2]]&gt;0,"Reestimativa 2",IF(ESTIMATIVA[[#This Row],[QT_AREA_REAL]]=0,"Reestimativa 2","Realizado"))</f>
        <v>Realizado</v>
      </c>
      <c r="X1955" s="1">
        <f>ESTIMATIVA[[#This Row],[QT_AREA_EST]]</f>
        <v>5.21</v>
      </c>
      <c r="Y1955" s="1">
        <f>IF(ESTIMATIVA[[#This Row],[QT_AREA_REST1]]&gt;0,ESTIMATIVA[[#This Row],[QT_AREA_REST1]],
  IF(ESTIMATIVA[[#This Row],[QT_AREA_REAL]]&gt;0,ESTIMATIVA[[#This Row],[QT_AREA_REAL]],ESTIMATIVA[[#This Row],[QT_AREA_EST]]))</f>
        <v>5.21</v>
      </c>
      <c r="Z195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5.21</v>
      </c>
      <c r="AA1955" s="1">
        <f>ESTIMATIVA[[#This Row],[QT_CANA_EST]]</f>
        <v>395.96</v>
      </c>
      <c r="AB1955" s="1">
        <f>IF(ESTIMATIVA[[#This Row],[QT_CANA_REST1]]&gt;0,ESTIMATIVA[[#This Row],[QT_CANA_REST1]],
  IF(ESTIMATIVA[[#This Row],[QT_CANA_REAL]]&gt;0,ESTIMATIVA[[#This Row],[QT_CANA_REAL]],ESTIMATIVA[[#This Row],[QT_CANA_EST]]))</f>
        <v>406.38</v>
      </c>
      <c r="AC195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566.74</v>
      </c>
      <c r="AD1955" s="1">
        <f>IF(ESTIMATIVA[[#This Row],[QT_AREA_REAL]]&gt;0,ESTIMATIVA[[#This Row],[QT_CANA_REAL]],ESTIMATIVA[[#This Row],[QT_CANA_EST]])</f>
        <v>566.74</v>
      </c>
      <c r="AE1955" s="1">
        <f>IF(ESTIMATIVA[[#This Row],[QT_AREA_REAL]]&gt;0,ESTIMATIVA[[#This Row],[QT_CANA_REAL]],ESTIMATIVA[[#This Row],[QT_CANA_REST1]])</f>
        <v>566.74</v>
      </c>
      <c r="AF1955" s="1">
        <f>IF(ESTIMATIVA[[#This Row],[QT_AREA_REAL]]&gt;0,ESTIMATIVA[[#This Row],[QT_CANA_REAL]],ESTIMATIVA[[#This Row],[QT_CANA_REST2]])</f>
        <v>566.74</v>
      </c>
      <c r="AG1955" s="1" t="str">
        <f>IF(COUNTIFS(GEADA!A:A,VALUE(ESTIMATIVA[[#This Row],[CD_UPNIVEL1]]&amp;TEXT(ESTIMATIVA[[#This Row],[CD_UPNIVEL3]],"0000")))&gt;0,"S","N")</f>
        <v>N</v>
      </c>
      <c r="AH195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55" s="55" t="str">
        <f>IF(ESTIMATIVA[[#This Row],[TP_CULTIVO]]="Irrigado",_xlfn.MAXIFS(IRRIGADO!J:J,IRRIGADO!C:C,ESTIMATIVA[[#This Row],[CD_UPNIVEL1]],IRRIGADO!E:E,ESTIMATIVA[[#This Row],[CD_UPNIVEL3]]),"")</f>
        <v/>
      </c>
      <c r="AJ195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55" s="1">
        <f>COUNTIFS(Apresentação!$E$23:$E$29,ESTIMATIVA[[#This Row],[CD_UPNIVEL1]])</f>
        <v>0</v>
      </c>
    </row>
    <row r="1956" spans="1:37" x14ac:dyDescent="0.3">
      <c r="A1956">
        <v>20861</v>
      </c>
      <c r="B1956" t="s">
        <v>104</v>
      </c>
      <c r="C1956">
        <v>1</v>
      </c>
      <c r="D1956">
        <v>2</v>
      </c>
      <c r="E1956" t="s">
        <v>266</v>
      </c>
      <c r="F1956" s="85" t="s">
        <v>332</v>
      </c>
      <c r="G1956"/>
      <c r="H1956" t="s">
        <v>294</v>
      </c>
      <c r="I1956" t="s">
        <v>207</v>
      </c>
      <c r="J1956" t="s">
        <v>178</v>
      </c>
      <c r="K1956" s="1">
        <v>39.26</v>
      </c>
      <c r="L1956" s="1">
        <v>39.26</v>
      </c>
      <c r="M1956" s="1">
        <v>0</v>
      </c>
      <c r="N1956" s="1">
        <v>39.26</v>
      </c>
      <c r="O1956" s="1">
        <v>2787.46</v>
      </c>
      <c r="P1956" s="1">
        <v>2983.76</v>
      </c>
      <c r="Q1956" s="1">
        <v>0</v>
      </c>
      <c r="R1956" s="1">
        <v>3557.6</v>
      </c>
      <c r="S1956" t="s">
        <v>280</v>
      </c>
      <c r="T1956" s="13">
        <v>45907</v>
      </c>
      <c r="U1956" s="1" t="str">
        <f>IF(ESTIMATIVA[[#This Row],[QT_AREA_REAL]]&gt;0,"1- Colhido","2- à Colher")</f>
        <v>1- Colhido</v>
      </c>
      <c r="V1956" s="1" t="str">
        <f>IF(ESTIMATIVA[[#This Row],[QT_AREA_REST1]]&gt;0,"Reestimativa 1",IF(ESTIMATIVA[[#This Row],[QT_AREA_REAL]]=0,"Reestimativa 1","Realizado"))</f>
        <v>Reestimativa 1</v>
      </c>
      <c r="W1956" s="1" t="str">
        <f>IF(ESTIMATIVA[[#This Row],[QT_AREA_REST2]]&gt;0,"Reestimativa 2",IF(ESTIMATIVA[[#This Row],[QT_AREA_REAL]]=0,"Reestimativa 2","Realizado"))</f>
        <v>Realizado</v>
      </c>
      <c r="X1956" s="1">
        <f>ESTIMATIVA[[#This Row],[QT_AREA_EST]]</f>
        <v>39.26</v>
      </c>
      <c r="Y1956" s="1">
        <f>IF(ESTIMATIVA[[#This Row],[QT_AREA_REST1]]&gt;0,ESTIMATIVA[[#This Row],[QT_AREA_REST1]],
  IF(ESTIMATIVA[[#This Row],[QT_AREA_REAL]]&gt;0,ESTIMATIVA[[#This Row],[QT_AREA_REAL]],ESTIMATIVA[[#This Row],[QT_AREA_EST]]))</f>
        <v>39.26</v>
      </c>
      <c r="Z195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39.26</v>
      </c>
      <c r="AA1956" s="1">
        <f>ESTIMATIVA[[#This Row],[QT_CANA_EST]]</f>
        <v>2787.46</v>
      </c>
      <c r="AB1956" s="1">
        <f>IF(ESTIMATIVA[[#This Row],[QT_CANA_REST1]]&gt;0,ESTIMATIVA[[#This Row],[QT_CANA_REST1]],
  IF(ESTIMATIVA[[#This Row],[QT_CANA_REAL]]&gt;0,ESTIMATIVA[[#This Row],[QT_CANA_REAL]],ESTIMATIVA[[#This Row],[QT_CANA_EST]]))</f>
        <v>2983.76</v>
      </c>
      <c r="AC195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3557.6</v>
      </c>
      <c r="AD1956" s="1">
        <f>IF(ESTIMATIVA[[#This Row],[QT_AREA_REAL]]&gt;0,ESTIMATIVA[[#This Row],[QT_CANA_REAL]],ESTIMATIVA[[#This Row],[QT_CANA_EST]])</f>
        <v>3557.6</v>
      </c>
      <c r="AE1956" s="1">
        <f>IF(ESTIMATIVA[[#This Row],[QT_AREA_REAL]]&gt;0,ESTIMATIVA[[#This Row],[QT_CANA_REAL]],ESTIMATIVA[[#This Row],[QT_CANA_REST1]])</f>
        <v>3557.6</v>
      </c>
      <c r="AF1956" s="1">
        <f>IF(ESTIMATIVA[[#This Row],[QT_AREA_REAL]]&gt;0,ESTIMATIVA[[#This Row],[QT_CANA_REAL]],ESTIMATIVA[[#This Row],[QT_CANA_REST2]])</f>
        <v>3557.6</v>
      </c>
      <c r="AG1956" s="1" t="str">
        <f>IF(COUNTIFS(GEADA!A:A,VALUE(ESTIMATIVA[[#This Row],[CD_UPNIVEL1]]&amp;TEXT(ESTIMATIVA[[#This Row],[CD_UPNIVEL3]],"0000")))&gt;0,"S","N")</f>
        <v>N</v>
      </c>
      <c r="AH195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56" s="55" t="str">
        <f>IF(ESTIMATIVA[[#This Row],[TP_CULTIVO]]="Irrigado",_xlfn.MAXIFS(IRRIGADO!J:J,IRRIGADO!C:C,ESTIMATIVA[[#This Row],[CD_UPNIVEL1]],IRRIGADO!E:E,ESTIMATIVA[[#This Row],[CD_UPNIVEL3]]),"")</f>
        <v/>
      </c>
      <c r="AJ195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56" s="1">
        <f>COUNTIFS(Apresentação!$E$23:$E$29,ESTIMATIVA[[#This Row],[CD_UPNIVEL1]])</f>
        <v>0</v>
      </c>
    </row>
    <row r="1957" spans="1:37" x14ac:dyDescent="0.3">
      <c r="A1957">
        <v>20861</v>
      </c>
      <c r="B1957" t="s">
        <v>104</v>
      </c>
      <c r="C1957">
        <v>2</v>
      </c>
      <c r="D1957">
        <v>2</v>
      </c>
      <c r="E1957" t="s">
        <v>266</v>
      </c>
      <c r="F1957" s="85" t="s">
        <v>332</v>
      </c>
      <c r="G1957"/>
      <c r="H1957" t="s">
        <v>294</v>
      </c>
      <c r="I1957" t="s">
        <v>225</v>
      </c>
      <c r="J1957" t="s">
        <v>178</v>
      </c>
      <c r="K1957" s="1">
        <v>20.100000000000001</v>
      </c>
      <c r="L1957" s="1">
        <v>20.100000000000001</v>
      </c>
      <c r="M1957" s="1">
        <v>0</v>
      </c>
      <c r="N1957" s="1">
        <v>20.100000000000001</v>
      </c>
      <c r="O1957" s="1">
        <v>1708.5</v>
      </c>
      <c r="P1957" s="1">
        <v>1849.2</v>
      </c>
      <c r="Q1957" s="1">
        <v>0</v>
      </c>
      <c r="R1957" s="1">
        <v>2204.38</v>
      </c>
      <c r="S1957" t="s">
        <v>280</v>
      </c>
      <c r="T1957" s="13">
        <v>45907</v>
      </c>
      <c r="U1957" s="1" t="str">
        <f>IF(ESTIMATIVA[[#This Row],[QT_AREA_REAL]]&gt;0,"1- Colhido","2- à Colher")</f>
        <v>1- Colhido</v>
      </c>
      <c r="V1957" s="1" t="str">
        <f>IF(ESTIMATIVA[[#This Row],[QT_AREA_REST1]]&gt;0,"Reestimativa 1",IF(ESTIMATIVA[[#This Row],[QT_AREA_REAL]]=0,"Reestimativa 1","Realizado"))</f>
        <v>Reestimativa 1</v>
      </c>
      <c r="W1957" s="1" t="str">
        <f>IF(ESTIMATIVA[[#This Row],[QT_AREA_REST2]]&gt;0,"Reestimativa 2",IF(ESTIMATIVA[[#This Row],[QT_AREA_REAL]]=0,"Reestimativa 2","Realizado"))</f>
        <v>Realizado</v>
      </c>
      <c r="X1957" s="1">
        <f>ESTIMATIVA[[#This Row],[QT_AREA_EST]]</f>
        <v>20.100000000000001</v>
      </c>
      <c r="Y1957" s="1">
        <f>IF(ESTIMATIVA[[#This Row],[QT_AREA_REST1]]&gt;0,ESTIMATIVA[[#This Row],[QT_AREA_REST1]],
  IF(ESTIMATIVA[[#This Row],[QT_AREA_REAL]]&gt;0,ESTIMATIVA[[#This Row],[QT_AREA_REAL]],ESTIMATIVA[[#This Row],[QT_AREA_EST]]))</f>
        <v>20.100000000000001</v>
      </c>
      <c r="Z195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20.100000000000001</v>
      </c>
      <c r="AA1957" s="1">
        <f>ESTIMATIVA[[#This Row],[QT_CANA_EST]]</f>
        <v>1708.5</v>
      </c>
      <c r="AB1957" s="1">
        <f>IF(ESTIMATIVA[[#This Row],[QT_CANA_REST1]]&gt;0,ESTIMATIVA[[#This Row],[QT_CANA_REST1]],
  IF(ESTIMATIVA[[#This Row],[QT_CANA_REAL]]&gt;0,ESTIMATIVA[[#This Row],[QT_CANA_REAL]],ESTIMATIVA[[#This Row],[QT_CANA_EST]]))</f>
        <v>1849.2</v>
      </c>
      <c r="AC195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2204.38</v>
      </c>
      <c r="AD1957" s="1">
        <f>IF(ESTIMATIVA[[#This Row],[QT_AREA_REAL]]&gt;0,ESTIMATIVA[[#This Row],[QT_CANA_REAL]],ESTIMATIVA[[#This Row],[QT_CANA_EST]])</f>
        <v>2204.38</v>
      </c>
      <c r="AE1957" s="1">
        <f>IF(ESTIMATIVA[[#This Row],[QT_AREA_REAL]]&gt;0,ESTIMATIVA[[#This Row],[QT_CANA_REAL]],ESTIMATIVA[[#This Row],[QT_CANA_REST1]])</f>
        <v>2204.38</v>
      </c>
      <c r="AF1957" s="1">
        <f>IF(ESTIMATIVA[[#This Row],[QT_AREA_REAL]]&gt;0,ESTIMATIVA[[#This Row],[QT_CANA_REAL]],ESTIMATIVA[[#This Row],[QT_CANA_REST2]])</f>
        <v>2204.38</v>
      </c>
      <c r="AG1957" s="1" t="str">
        <f>IF(COUNTIFS(GEADA!A:A,VALUE(ESTIMATIVA[[#This Row],[CD_UPNIVEL1]]&amp;TEXT(ESTIMATIVA[[#This Row],[CD_UPNIVEL3]],"0000")))&gt;0,"S","N")</f>
        <v>N</v>
      </c>
      <c r="AH195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57" s="55" t="str">
        <f>IF(ESTIMATIVA[[#This Row],[TP_CULTIVO]]="Irrigado",_xlfn.MAXIFS(IRRIGADO!J:J,IRRIGADO!C:C,ESTIMATIVA[[#This Row],[CD_UPNIVEL1]],IRRIGADO!E:E,ESTIMATIVA[[#This Row],[CD_UPNIVEL3]]),"")</f>
        <v/>
      </c>
      <c r="AJ195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57" s="1">
        <f>COUNTIFS(Apresentação!$E$23:$E$29,ESTIMATIVA[[#This Row],[CD_UPNIVEL1]])</f>
        <v>0</v>
      </c>
    </row>
    <row r="1958" spans="1:37" x14ac:dyDescent="0.3">
      <c r="A1958">
        <v>20861</v>
      </c>
      <c r="B1958" t="s">
        <v>104</v>
      </c>
      <c r="C1958">
        <v>3</v>
      </c>
      <c r="D1958">
        <v>2</v>
      </c>
      <c r="E1958" t="s">
        <v>266</v>
      </c>
      <c r="F1958" s="85" t="s">
        <v>331</v>
      </c>
      <c r="G1958"/>
      <c r="H1958" t="s">
        <v>294</v>
      </c>
      <c r="I1958" t="s">
        <v>229</v>
      </c>
      <c r="J1958" t="s">
        <v>178</v>
      </c>
      <c r="K1958" s="1">
        <v>14.01</v>
      </c>
      <c r="L1958" s="1">
        <v>14.01</v>
      </c>
      <c r="M1958" s="1">
        <v>0</v>
      </c>
      <c r="N1958" s="1">
        <v>14.01</v>
      </c>
      <c r="O1958" s="1">
        <v>1246.8900000000001</v>
      </c>
      <c r="P1958" s="1">
        <v>1302.93</v>
      </c>
      <c r="Q1958" s="1">
        <v>0</v>
      </c>
      <c r="R1958" s="1">
        <v>1498.17</v>
      </c>
      <c r="S1958" t="s">
        <v>280</v>
      </c>
      <c r="T1958" s="13">
        <v>45900</v>
      </c>
      <c r="U1958" s="1" t="str">
        <f>IF(ESTIMATIVA[[#This Row],[QT_AREA_REAL]]&gt;0,"1- Colhido","2- à Colher")</f>
        <v>1- Colhido</v>
      </c>
      <c r="V1958" s="1" t="str">
        <f>IF(ESTIMATIVA[[#This Row],[QT_AREA_REST1]]&gt;0,"Reestimativa 1",IF(ESTIMATIVA[[#This Row],[QT_AREA_REAL]]=0,"Reestimativa 1","Realizado"))</f>
        <v>Reestimativa 1</v>
      </c>
      <c r="W1958" s="1" t="str">
        <f>IF(ESTIMATIVA[[#This Row],[QT_AREA_REST2]]&gt;0,"Reestimativa 2",IF(ESTIMATIVA[[#This Row],[QT_AREA_REAL]]=0,"Reestimativa 2","Realizado"))</f>
        <v>Realizado</v>
      </c>
      <c r="X1958" s="1">
        <f>ESTIMATIVA[[#This Row],[QT_AREA_EST]]</f>
        <v>14.01</v>
      </c>
      <c r="Y1958" s="1">
        <f>IF(ESTIMATIVA[[#This Row],[QT_AREA_REST1]]&gt;0,ESTIMATIVA[[#This Row],[QT_AREA_REST1]],
  IF(ESTIMATIVA[[#This Row],[QT_AREA_REAL]]&gt;0,ESTIMATIVA[[#This Row],[QT_AREA_REAL]],ESTIMATIVA[[#This Row],[QT_AREA_EST]]))</f>
        <v>14.01</v>
      </c>
      <c r="Z195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14.01</v>
      </c>
      <c r="AA1958" s="1">
        <f>ESTIMATIVA[[#This Row],[QT_CANA_EST]]</f>
        <v>1246.8900000000001</v>
      </c>
      <c r="AB1958" s="1">
        <f>IF(ESTIMATIVA[[#This Row],[QT_CANA_REST1]]&gt;0,ESTIMATIVA[[#This Row],[QT_CANA_REST1]],
  IF(ESTIMATIVA[[#This Row],[QT_CANA_REAL]]&gt;0,ESTIMATIVA[[#This Row],[QT_CANA_REAL]],ESTIMATIVA[[#This Row],[QT_CANA_EST]]))</f>
        <v>1302.93</v>
      </c>
      <c r="AC195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1498.17</v>
      </c>
      <c r="AD1958" s="1">
        <f>IF(ESTIMATIVA[[#This Row],[QT_AREA_REAL]]&gt;0,ESTIMATIVA[[#This Row],[QT_CANA_REAL]],ESTIMATIVA[[#This Row],[QT_CANA_EST]])</f>
        <v>1498.17</v>
      </c>
      <c r="AE1958" s="1">
        <f>IF(ESTIMATIVA[[#This Row],[QT_AREA_REAL]]&gt;0,ESTIMATIVA[[#This Row],[QT_CANA_REAL]],ESTIMATIVA[[#This Row],[QT_CANA_REST1]])</f>
        <v>1498.17</v>
      </c>
      <c r="AF1958" s="1">
        <f>IF(ESTIMATIVA[[#This Row],[QT_AREA_REAL]]&gt;0,ESTIMATIVA[[#This Row],[QT_CANA_REAL]],ESTIMATIVA[[#This Row],[QT_CANA_REST2]])</f>
        <v>1498.17</v>
      </c>
      <c r="AG1958" s="1" t="str">
        <f>IF(COUNTIFS(GEADA!A:A,VALUE(ESTIMATIVA[[#This Row],[CD_UPNIVEL1]]&amp;TEXT(ESTIMATIVA[[#This Row],[CD_UPNIVEL3]],"0000")))&gt;0,"S","N")</f>
        <v>N</v>
      </c>
      <c r="AH195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58" s="55" t="str">
        <f>IF(ESTIMATIVA[[#This Row],[TP_CULTIVO]]="Irrigado",_xlfn.MAXIFS(IRRIGADO!J:J,IRRIGADO!C:C,ESTIMATIVA[[#This Row],[CD_UPNIVEL1]],IRRIGADO!E:E,ESTIMATIVA[[#This Row],[CD_UPNIVEL3]]),"")</f>
        <v/>
      </c>
      <c r="AJ195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58" s="1">
        <f>COUNTIFS(Apresentação!$E$23:$E$29,ESTIMATIVA[[#This Row],[CD_UPNIVEL1]])</f>
        <v>0</v>
      </c>
    </row>
    <row r="1959" spans="1:37" x14ac:dyDescent="0.3">
      <c r="A1959">
        <v>20861</v>
      </c>
      <c r="B1959" t="s">
        <v>104</v>
      </c>
      <c r="C1959">
        <v>4</v>
      </c>
      <c r="D1959">
        <v>2</v>
      </c>
      <c r="E1959" t="s">
        <v>266</v>
      </c>
      <c r="F1959" s="85" t="s">
        <v>331</v>
      </c>
      <c r="G1959"/>
      <c r="H1959" t="s">
        <v>294</v>
      </c>
      <c r="I1959" t="s">
        <v>207</v>
      </c>
      <c r="J1959" t="s">
        <v>178</v>
      </c>
      <c r="K1959" s="1">
        <v>7.76</v>
      </c>
      <c r="L1959" s="1">
        <v>7.76</v>
      </c>
      <c r="M1959" s="1">
        <v>0</v>
      </c>
      <c r="N1959" s="1">
        <v>7.76</v>
      </c>
      <c r="O1959" s="1">
        <v>574.24</v>
      </c>
      <c r="P1959" s="1">
        <v>620.79999999999995</v>
      </c>
      <c r="Q1959" s="1">
        <v>0</v>
      </c>
      <c r="R1959" s="1">
        <v>713.93</v>
      </c>
      <c r="S1959" t="s">
        <v>280</v>
      </c>
      <c r="T1959" s="13">
        <v>45900</v>
      </c>
      <c r="U1959" s="1" t="str">
        <f>IF(ESTIMATIVA[[#This Row],[QT_AREA_REAL]]&gt;0,"1- Colhido","2- à Colher")</f>
        <v>1- Colhido</v>
      </c>
      <c r="V1959" s="1" t="str">
        <f>IF(ESTIMATIVA[[#This Row],[QT_AREA_REST1]]&gt;0,"Reestimativa 1",IF(ESTIMATIVA[[#This Row],[QT_AREA_REAL]]=0,"Reestimativa 1","Realizado"))</f>
        <v>Reestimativa 1</v>
      </c>
      <c r="W1959" s="1" t="str">
        <f>IF(ESTIMATIVA[[#This Row],[QT_AREA_REST2]]&gt;0,"Reestimativa 2",IF(ESTIMATIVA[[#This Row],[QT_AREA_REAL]]=0,"Reestimativa 2","Realizado"))</f>
        <v>Realizado</v>
      </c>
      <c r="X1959" s="1">
        <f>ESTIMATIVA[[#This Row],[QT_AREA_EST]]</f>
        <v>7.76</v>
      </c>
      <c r="Y1959" s="1">
        <f>IF(ESTIMATIVA[[#This Row],[QT_AREA_REST1]]&gt;0,ESTIMATIVA[[#This Row],[QT_AREA_REST1]],
  IF(ESTIMATIVA[[#This Row],[QT_AREA_REAL]]&gt;0,ESTIMATIVA[[#This Row],[QT_AREA_REAL]],ESTIMATIVA[[#This Row],[QT_AREA_EST]]))</f>
        <v>7.76</v>
      </c>
      <c r="Z195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7.76</v>
      </c>
      <c r="AA1959" s="1">
        <f>ESTIMATIVA[[#This Row],[QT_CANA_EST]]</f>
        <v>574.24</v>
      </c>
      <c r="AB1959" s="1">
        <f>IF(ESTIMATIVA[[#This Row],[QT_CANA_REST1]]&gt;0,ESTIMATIVA[[#This Row],[QT_CANA_REST1]],
  IF(ESTIMATIVA[[#This Row],[QT_CANA_REAL]]&gt;0,ESTIMATIVA[[#This Row],[QT_CANA_REAL]],ESTIMATIVA[[#This Row],[QT_CANA_EST]]))</f>
        <v>620.79999999999995</v>
      </c>
      <c r="AC195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713.93</v>
      </c>
      <c r="AD1959" s="1">
        <f>IF(ESTIMATIVA[[#This Row],[QT_AREA_REAL]]&gt;0,ESTIMATIVA[[#This Row],[QT_CANA_REAL]],ESTIMATIVA[[#This Row],[QT_CANA_EST]])</f>
        <v>713.93</v>
      </c>
      <c r="AE1959" s="1">
        <f>IF(ESTIMATIVA[[#This Row],[QT_AREA_REAL]]&gt;0,ESTIMATIVA[[#This Row],[QT_CANA_REAL]],ESTIMATIVA[[#This Row],[QT_CANA_REST1]])</f>
        <v>713.93</v>
      </c>
      <c r="AF1959" s="1">
        <f>IF(ESTIMATIVA[[#This Row],[QT_AREA_REAL]]&gt;0,ESTIMATIVA[[#This Row],[QT_CANA_REAL]],ESTIMATIVA[[#This Row],[QT_CANA_REST2]])</f>
        <v>713.93</v>
      </c>
      <c r="AG1959" s="1" t="str">
        <f>IF(COUNTIFS(GEADA!A:A,VALUE(ESTIMATIVA[[#This Row],[CD_UPNIVEL1]]&amp;TEXT(ESTIMATIVA[[#This Row],[CD_UPNIVEL3]],"0000")))&gt;0,"S","N")</f>
        <v>N</v>
      </c>
      <c r="AH195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59" s="55" t="str">
        <f>IF(ESTIMATIVA[[#This Row],[TP_CULTIVO]]="Irrigado",_xlfn.MAXIFS(IRRIGADO!J:J,IRRIGADO!C:C,ESTIMATIVA[[#This Row],[CD_UPNIVEL1]],IRRIGADO!E:E,ESTIMATIVA[[#This Row],[CD_UPNIVEL3]]),"")</f>
        <v/>
      </c>
      <c r="AJ195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59" s="1">
        <f>COUNTIFS(Apresentação!$E$23:$E$29,ESTIMATIVA[[#This Row],[CD_UPNIVEL1]])</f>
        <v>0</v>
      </c>
    </row>
    <row r="1960" spans="1:37" x14ac:dyDescent="0.3">
      <c r="A1960">
        <v>20861</v>
      </c>
      <c r="B1960" t="s">
        <v>104</v>
      </c>
      <c r="C1960">
        <v>5</v>
      </c>
      <c r="D1960">
        <v>2</v>
      </c>
      <c r="E1960" t="s">
        <v>266</v>
      </c>
      <c r="F1960" s="85" t="s">
        <v>332</v>
      </c>
      <c r="G1960"/>
      <c r="H1960" t="s">
        <v>294</v>
      </c>
      <c r="I1960" t="s">
        <v>200</v>
      </c>
      <c r="J1960" t="s">
        <v>178</v>
      </c>
      <c r="K1960" s="1">
        <v>30.1</v>
      </c>
      <c r="L1960" s="1">
        <v>30.1</v>
      </c>
      <c r="M1960" s="1">
        <v>0</v>
      </c>
      <c r="N1960" s="1">
        <v>30.1</v>
      </c>
      <c r="O1960" s="1">
        <v>2889.6</v>
      </c>
      <c r="P1960" s="1">
        <v>3010</v>
      </c>
      <c r="Q1960" s="1">
        <v>0</v>
      </c>
      <c r="R1960" s="1">
        <v>3461.05</v>
      </c>
      <c r="S1960" t="s">
        <v>280</v>
      </c>
      <c r="T1960" s="13">
        <v>45900</v>
      </c>
      <c r="U1960" s="1" t="str">
        <f>IF(ESTIMATIVA[[#This Row],[QT_AREA_REAL]]&gt;0,"1- Colhido","2- à Colher")</f>
        <v>1- Colhido</v>
      </c>
      <c r="V1960" s="1" t="str">
        <f>IF(ESTIMATIVA[[#This Row],[QT_AREA_REST1]]&gt;0,"Reestimativa 1",IF(ESTIMATIVA[[#This Row],[QT_AREA_REAL]]=0,"Reestimativa 1","Realizado"))</f>
        <v>Reestimativa 1</v>
      </c>
      <c r="W1960" s="1" t="str">
        <f>IF(ESTIMATIVA[[#This Row],[QT_AREA_REST2]]&gt;0,"Reestimativa 2",IF(ESTIMATIVA[[#This Row],[QT_AREA_REAL]]=0,"Reestimativa 2","Realizado"))</f>
        <v>Realizado</v>
      </c>
      <c r="X1960" s="1">
        <f>ESTIMATIVA[[#This Row],[QT_AREA_EST]]</f>
        <v>30.1</v>
      </c>
      <c r="Y1960" s="1">
        <f>IF(ESTIMATIVA[[#This Row],[QT_AREA_REST1]]&gt;0,ESTIMATIVA[[#This Row],[QT_AREA_REST1]],
  IF(ESTIMATIVA[[#This Row],[QT_AREA_REAL]]&gt;0,ESTIMATIVA[[#This Row],[QT_AREA_REAL]],ESTIMATIVA[[#This Row],[QT_AREA_EST]]))</f>
        <v>30.1</v>
      </c>
      <c r="Z196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30.1</v>
      </c>
      <c r="AA1960" s="1">
        <f>ESTIMATIVA[[#This Row],[QT_CANA_EST]]</f>
        <v>2889.6</v>
      </c>
      <c r="AB1960" s="1">
        <f>IF(ESTIMATIVA[[#This Row],[QT_CANA_REST1]]&gt;0,ESTIMATIVA[[#This Row],[QT_CANA_REST1]],
  IF(ESTIMATIVA[[#This Row],[QT_CANA_REAL]]&gt;0,ESTIMATIVA[[#This Row],[QT_CANA_REAL]],ESTIMATIVA[[#This Row],[QT_CANA_EST]]))</f>
        <v>3010</v>
      </c>
      <c r="AC196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3461.05</v>
      </c>
      <c r="AD1960" s="1">
        <f>IF(ESTIMATIVA[[#This Row],[QT_AREA_REAL]]&gt;0,ESTIMATIVA[[#This Row],[QT_CANA_REAL]],ESTIMATIVA[[#This Row],[QT_CANA_EST]])</f>
        <v>3461.05</v>
      </c>
      <c r="AE1960" s="1">
        <f>IF(ESTIMATIVA[[#This Row],[QT_AREA_REAL]]&gt;0,ESTIMATIVA[[#This Row],[QT_CANA_REAL]],ESTIMATIVA[[#This Row],[QT_CANA_REST1]])</f>
        <v>3461.05</v>
      </c>
      <c r="AF1960" s="1">
        <f>IF(ESTIMATIVA[[#This Row],[QT_AREA_REAL]]&gt;0,ESTIMATIVA[[#This Row],[QT_CANA_REAL]],ESTIMATIVA[[#This Row],[QT_CANA_REST2]])</f>
        <v>3461.05</v>
      </c>
      <c r="AG1960" s="1" t="str">
        <f>IF(COUNTIFS(GEADA!A:A,VALUE(ESTIMATIVA[[#This Row],[CD_UPNIVEL1]]&amp;TEXT(ESTIMATIVA[[#This Row],[CD_UPNIVEL3]],"0000")))&gt;0,"S","N")</f>
        <v>N</v>
      </c>
      <c r="AH196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60" s="55" t="str">
        <f>IF(ESTIMATIVA[[#This Row],[TP_CULTIVO]]="Irrigado",_xlfn.MAXIFS(IRRIGADO!J:J,IRRIGADO!C:C,ESTIMATIVA[[#This Row],[CD_UPNIVEL1]],IRRIGADO!E:E,ESTIMATIVA[[#This Row],[CD_UPNIVEL3]]),"")</f>
        <v/>
      </c>
      <c r="AJ196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60" s="1">
        <f>COUNTIFS(Apresentação!$E$23:$E$29,ESTIMATIVA[[#This Row],[CD_UPNIVEL1]])</f>
        <v>0</v>
      </c>
    </row>
    <row r="1961" spans="1:37" x14ac:dyDescent="0.3">
      <c r="A1961">
        <v>20861</v>
      </c>
      <c r="B1961" t="s">
        <v>104</v>
      </c>
      <c r="C1961">
        <v>6</v>
      </c>
      <c r="D1961">
        <v>2</v>
      </c>
      <c r="E1961" t="s">
        <v>266</v>
      </c>
      <c r="F1961" s="85" t="s">
        <v>332</v>
      </c>
      <c r="G1961"/>
      <c r="H1961" t="s">
        <v>294</v>
      </c>
      <c r="I1961" t="s">
        <v>200</v>
      </c>
      <c r="J1961" t="s">
        <v>178</v>
      </c>
      <c r="K1961" s="1">
        <v>48.09</v>
      </c>
      <c r="L1961" s="1">
        <v>48.09</v>
      </c>
      <c r="M1961" s="1">
        <v>0</v>
      </c>
      <c r="N1961" s="1">
        <v>48.09</v>
      </c>
      <c r="O1961" s="1">
        <v>4616.6400000000003</v>
      </c>
      <c r="P1961" s="1">
        <v>4809</v>
      </c>
      <c r="Q1961" s="1">
        <v>0</v>
      </c>
      <c r="R1961" s="1">
        <v>5530.37</v>
      </c>
      <c r="S1961" t="s">
        <v>280</v>
      </c>
      <c r="T1961" s="13">
        <v>45900</v>
      </c>
      <c r="U1961" s="1" t="str">
        <f>IF(ESTIMATIVA[[#This Row],[QT_AREA_REAL]]&gt;0,"1- Colhido","2- à Colher")</f>
        <v>1- Colhido</v>
      </c>
      <c r="V1961" s="1" t="str">
        <f>IF(ESTIMATIVA[[#This Row],[QT_AREA_REST1]]&gt;0,"Reestimativa 1",IF(ESTIMATIVA[[#This Row],[QT_AREA_REAL]]=0,"Reestimativa 1","Realizado"))</f>
        <v>Reestimativa 1</v>
      </c>
      <c r="W1961" s="1" t="str">
        <f>IF(ESTIMATIVA[[#This Row],[QT_AREA_REST2]]&gt;0,"Reestimativa 2",IF(ESTIMATIVA[[#This Row],[QT_AREA_REAL]]=0,"Reestimativa 2","Realizado"))</f>
        <v>Realizado</v>
      </c>
      <c r="X1961" s="1">
        <f>ESTIMATIVA[[#This Row],[QT_AREA_EST]]</f>
        <v>48.09</v>
      </c>
      <c r="Y1961" s="1">
        <f>IF(ESTIMATIVA[[#This Row],[QT_AREA_REST1]]&gt;0,ESTIMATIVA[[#This Row],[QT_AREA_REST1]],
  IF(ESTIMATIVA[[#This Row],[QT_AREA_REAL]]&gt;0,ESTIMATIVA[[#This Row],[QT_AREA_REAL]],ESTIMATIVA[[#This Row],[QT_AREA_EST]]))</f>
        <v>48.09</v>
      </c>
      <c r="Z196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48.09</v>
      </c>
      <c r="AA1961" s="1">
        <f>ESTIMATIVA[[#This Row],[QT_CANA_EST]]</f>
        <v>4616.6400000000003</v>
      </c>
      <c r="AB1961" s="1">
        <f>IF(ESTIMATIVA[[#This Row],[QT_CANA_REST1]]&gt;0,ESTIMATIVA[[#This Row],[QT_CANA_REST1]],
  IF(ESTIMATIVA[[#This Row],[QT_CANA_REAL]]&gt;0,ESTIMATIVA[[#This Row],[QT_CANA_REAL]],ESTIMATIVA[[#This Row],[QT_CANA_EST]]))</f>
        <v>4809</v>
      </c>
      <c r="AC196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5530.37</v>
      </c>
      <c r="AD1961" s="1">
        <f>IF(ESTIMATIVA[[#This Row],[QT_AREA_REAL]]&gt;0,ESTIMATIVA[[#This Row],[QT_CANA_REAL]],ESTIMATIVA[[#This Row],[QT_CANA_EST]])</f>
        <v>5530.37</v>
      </c>
      <c r="AE1961" s="1">
        <f>IF(ESTIMATIVA[[#This Row],[QT_AREA_REAL]]&gt;0,ESTIMATIVA[[#This Row],[QT_CANA_REAL]],ESTIMATIVA[[#This Row],[QT_CANA_REST1]])</f>
        <v>5530.37</v>
      </c>
      <c r="AF1961" s="1">
        <f>IF(ESTIMATIVA[[#This Row],[QT_AREA_REAL]]&gt;0,ESTIMATIVA[[#This Row],[QT_CANA_REAL]],ESTIMATIVA[[#This Row],[QT_CANA_REST2]])</f>
        <v>5530.37</v>
      </c>
      <c r="AG1961" s="1" t="str">
        <f>IF(COUNTIFS(GEADA!A:A,VALUE(ESTIMATIVA[[#This Row],[CD_UPNIVEL1]]&amp;TEXT(ESTIMATIVA[[#This Row],[CD_UPNIVEL3]],"0000")))&gt;0,"S","N")</f>
        <v>N</v>
      </c>
      <c r="AH196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61" s="55" t="str">
        <f>IF(ESTIMATIVA[[#This Row],[TP_CULTIVO]]="Irrigado",_xlfn.MAXIFS(IRRIGADO!J:J,IRRIGADO!C:C,ESTIMATIVA[[#This Row],[CD_UPNIVEL1]],IRRIGADO!E:E,ESTIMATIVA[[#This Row],[CD_UPNIVEL3]]),"")</f>
        <v/>
      </c>
      <c r="AJ196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61" s="1">
        <f>COUNTIFS(Apresentação!$E$23:$E$29,ESTIMATIVA[[#This Row],[CD_UPNIVEL1]])</f>
        <v>0</v>
      </c>
    </row>
    <row r="1962" spans="1:37" x14ac:dyDescent="0.3">
      <c r="A1962">
        <v>20861</v>
      </c>
      <c r="B1962" t="s">
        <v>104</v>
      </c>
      <c r="C1962">
        <v>7</v>
      </c>
      <c r="D1962">
        <v>2</v>
      </c>
      <c r="E1962" t="s">
        <v>266</v>
      </c>
      <c r="F1962" s="85" t="s">
        <v>332</v>
      </c>
      <c r="G1962"/>
      <c r="H1962" t="s">
        <v>294</v>
      </c>
      <c r="I1962" t="s">
        <v>200</v>
      </c>
      <c r="J1962" t="s">
        <v>178</v>
      </c>
      <c r="K1962" s="1">
        <v>18.989999999999998</v>
      </c>
      <c r="L1962" s="1">
        <v>18.989999999999998</v>
      </c>
      <c r="M1962" s="1">
        <v>0</v>
      </c>
      <c r="N1962" s="1">
        <v>18.989999999999998</v>
      </c>
      <c r="O1962" s="1">
        <v>1823.04</v>
      </c>
      <c r="P1962" s="1">
        <v>1861.02</v>
      </c>
      <c r="Q1962" s="1">
        <v>0</v>
      </c>
      <c r="R1962" s="1">
        <v>2219.0500000000002</v>
      </c>
      <c r="S1962" t="s">
        <v>280</v>
      </c>
      <c r="T1962" s="13">
        <v>45907</v>
      </c>
      <c r="U1962" s="1" t="str">
        <f>IF(ESTIMATIVA[[#This Row],[QT_AREA_REAL]]&gt;0,"1- Colhido","2- à Colher")</f>
        <v>1- Colhido</v>
      </c>
      <c r="V1962" s="1" t="str">
        <f>IF(ESTIMATIVA[[#This Row],[QT_AREA_REST1]]&gt;0,"Reestimativa 1",IF(ESTIMATIVA[[#This Row],[QT_AREA_REAL]]=0,"Reestimativa 1","Realizado"))</f>
        <v>Reestimativa 1</v>
      </c>
      <c r="W1962" s="1" t="str">
        <f>IF(ESTIMATIVA[[#This Row],[QT_AREA_REST2]]&gt;0,"Reestimativa 2",IF(ESTIMATIVA[[#This Row],[QT_AREA_REAL]]=0,"Reestimativa 2","Realizado"))</f>
        <v>Realizado</v>
      </c>
      <c r="X1962" s="1">
        <f>ESTIMATIVA[[#This Row],[QT_AREA_EST]]</f>
        <v>18.989999999999998</v>
      </c>
      <c r="Y1962" s="1">
        <f>IF(ESTIMATIVA[[#This Row],[QT_AREA_REST1]]&gt;0,ESTIMATIVA[[#This Row],[QT_AREA_REST1]],
  IF(ESTIMATIVA[[#This Row],[QT_AREA_REAL]]&gt;0,ESTIMATIVA[[#This Row],[QT_AREA_REAL]],ESTIMATIVA[[#This Row],[QT_AREA_EST]]))</f>
        <v>18.989999999999998</v>
      </c>
      <c r="Z196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18.989999999999998</v>
      </c>
      <c r="AA1962" s="1">
        <f>ESTIMATIVA[[#This Row],[QT_CANA_EST]]</f>
        <v>1823.04</v>
      </c>
      <c r="AB1962" s="1">
        <f>IF(ESTIMATIVA[[#This Row],[QT_CANA_REST1]]&gt;0,ESTIMATIVA[[#This Row],[QT_CANA_REST1]],
  IF(ESTIMATIVA[[#This Row],[QT_CANA_REAL]]&gt;0,ESTIMATIVA[[#This Row],[QT_CANA_REAL]],ESTIMATIVA[[#This Row],[QT_CANA_EST]]))</f>
        <v>1861.02</v>
      </c>
      <c r="AC196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2219.0500000000002</v>
      </c>
      <c r="AD1962" s="1">
        <f>IF(ESTIMATIVA[[#This Row],[QT_AREA_REAL]]&gt;0,ESTIMATIVA[[#This Row],[QT_CANA_REAL]],ESTIMATIVA[[#This Row],[QT_CANA_EST]])</f>
        <v>2219.0500000000002</v>
      </c>
      <c r="AE1962" s="1">
        <f>IF(ESTIMATIVA[[#This Row],[QT_AREA_REAL]]&gt;0,ESTIMATIVA[[#This Row],[QT_CANA_REAL]],ESTIMATIVA[[#This Row],[QT_CANA_REST1]])</f>
        <v>2219.0500000000002</v>
      </c>
      <c r="AF1962" s="1">
        <f>IF(ESTIMATIVA[[#This Row],[QT_AREA_REAL]]&gt;0,ESTIMATIVA[[#This Row],[QT_CANA_REAL]],ESTIMATIVA[[#This Row],[QT_CANA_REST2]])</f>
        <v>2219.0500000000002</v>
      </c>
      <c r="AG1962" s="1" t="str">
        <f>IF(COUNTIFS(GEADA!A:A,VALUE(ESTIMATIVA[[#This Row],[CD_UPNIVEL1]]&amp;TEXT(ESTIMATIVA[[#This Row],[CD_UPNIVEL3]],"0000")))&gt;0,"S","N")</f>
        <v>N</v>
      </c>
      <c r="AH196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62" s="55" t="str">
        <f>IF(ESTIMATIVA[[#This Row],[TP_CULTIVO]]="Irrigado",_xlfn.MAXIFS(IRRIGADO!J:J,IRRIGADO!C:C,ESTIMATIVA[[#This Row],[CD_UPNIVEL1]],IRRIGADO!E:E,ESTIMATIVA[[#This Row],[CD_UPNIVEL3]]),"")</f>
        <v/>
      </c>
      <c r="AJ196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62" s="1">
        <f>COUNTIFS(Apresentação!$E$23:$E$29,ESTIMATIVA[[#This Row],[CD_UPNIVEL1]])</f>
        <v>0</v>
      </c>
    </row>
    <row r="1963" spans="1:37" x14ac:dyDescent="0.3">
      <c r="A1963">
        <v>20862</v>
      </c>
      <c r="B1963" t="s">
        <v>105</v>
      </c>
      <c r="C1963">
        <v>1</v>
      </c>
      <c r="D1963">
        <v>2</v>
      </c>
      <c r="E1963" t="s">
        <v>266</v>
      </c>
      <c r="F1963" s="85" t="s">
        <v>331</v>
      </c>
      <c r="G1963"/>
      <c r="H1963" t="s">
        <v>294</v>
      </c>
      <c r="I1963" t="s">
        <v>225</v>
      </c>
      <c r="J1963" t="s">
        <v>178</v>
      </c>
      <c r="K1963" s="1">
        <v>17.46</v>
      </c>
      <c r="L1963" s="1">
        <v>17.46</v>
      </c>
      <c r="M1963" s="1">
        <v>0</v>
      </c>
      <c r="N1963" s="1">
        <v>17.46</v>
      </c>
      <c r="O1963" s="1">
        <v>1484.1</v>
      </c>
      <c r="P1963" s="1">
        <v>1746</v>
      </c>
      <c r="Q1963" s="1">
        <v>0</v>
      </c>
      <c r="R1963" s="1">
        <v>1739.63</v>
      </c>
      <c r="S1963" t="s">
        <v>280</v>
      </c>
      <c r="T1963" s="13">
        <v>45865</v>
      </c>
      <c r="U1963" s="1" t="str">
        <f>IF(ESTIMATIVA[[#This Row],[QT_AREA_REAL]]&gt;0,"1- Colhido","2- à Colher")</f>
        <v>1- Colhido</v>
      </c>
      <c r="V1963" s="1" t="str">
        <f>IF(ESTIMATIVA[[#This Row],[QT_AREA_REST1]]&gt;0,"Reestimativa 1",IF(ESTIMATIVA[[#This Row],[QT_AREA_REAL]]=0,"Reestimativa 1","Realizado"))</f>
        <v>Reestimativa 1</v>
      </c>
      <c r="W1963" s="1" t="str">
        <f>IF(ESTIMATIVA[[#This Row],[QT_AREA_REST2]]&gt;0,"Reestimativa 2",IF(ESTIMATIVA[[#This Row],[QT_AREA_REAL]]=0,"Reestimativa 2","Realizado"))</f>
        <v>Realizado</v>
      </c>
      <c r="X1963" s="1">
        <f>ESTIMATIVA[[#This Row],[QT_AREA_EST]]</f>
        <v>17.46</v>
      </c>
      <c r="Y1963" s="1">
        <f>IF(ESTIMATIVA[[#This Row],[QT_AREA_REST1]]&gt;0,ESTIMATIVA[[#This Row],[QT_AREA_REST1]],
  IF(ESTIMATIVA[[#This Row],[QT_AREA_REAL]]&gt;0,ESTIMATIVA[[#This Row],[QT_AREA_REAL]],ESTIMATIVA[[#This Row],[QT_AREA_EST]]))</f>
        <v>17.46</v>
      </c>
      <c r="Z196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17.46</v>
      </c>
      <c r="AA1963" s="1">
        <f>ESTIMATIVA[[#This Row],[QT_CANA_EST]]</f>
        <v>1484.1</v>
      </c>
      <c r="AB1963" s="1">
        <f>IF(ESTIMATIVA[[#This Row],[QT_CANA_REST1]]&gt;0,ESTIMATIVA[[#This Row],[QT_CANA_REST1]],
  IF(ESTIMATIVA[[#This Row],[QT_CANA_REAL]]&gt;0,ESTIMATIVA[[#This Row],[QT_CANA_REAL]],ESTIMATIVA[[#This Row],[QT_CANA_EST]]))</f>
        <v>1746</v>
      </c>
      <c r="AC196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1739.63</v>
      </c>
      <c r="AD1963" s="1">
        <f>IF(ESTIMATIVA[[#This Row],[QT_AREA_REAL]]&gt;0,ESTIMATIVA[[#This Row],[QT_CANA_REAL]],ESTIMATIVA[[#This Row],[QT_CANA_EST]])</f>
        <v>1739.63</v>
      </c>
      <c r="AE1963" s="1">
        <f>IF(ESTIMATIVA[[#This Row],[QT_AREA_REAL]]&gt;0,ESTIMATIVA[[#This Row],[QT_CANA_REAL]],ESTIMATIVA[[#This Row],[QT_CANA_REST1]])</f>
        <v>1739.63</v>
      </c>
      <c r="AF1963" s="1">
        <f>IF(ESTIMATIVA[[#This Row],[QT_AREA_REAL]]&gt;0,ESTIMATIVA[[#This Row],[QT_CANA_REAL]],ESTIMATIVA[[#This Row],[QT_CANA_REST2]])</f>
        <v>1739.63</v>
      </c>
      <c r="AG1963" s="1" t="str">
        <f>IF(COUNTIFS(GEADA!A:A,VALUE(ESTIMATIVA[[#This Row],[CD_UPNIVEL1]]&amp;TEXT(ESTIMATIVA[[#This Row],[CD_UPNIVEL3]],"0000")))&gt;0,"S","N")</f>
        <v>N</v>
      </c>
      <c r="AH196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63" s="55" t="str">
        <f>IF(ESTIMATIVA[[#This Row],[TP_CULTIVO]]="Irrigado",_xlfn.MAXIFS(IRRIGADO!J:J,IRRIGADO!C:C,ESTIMATIVA[[#This Row],[CD_UPNIVEL1]],IRRIGADO!E:E,ESTIMATIVA[[#This Row],[CD_UPNIVEL3]]),"")</f>
        <v/>
      </c>
      <c r="AJ196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63" s="1">
        <f>COUNTIFS(Apresentação!$E$23:$E$29,ESTIMATIVA[[#This Row],[CD_UPNIVEL1]])</f>
        <v>0</v>
      </c>
    </row>
    <row r="1964" spans="1:37" x14ac:dyDescent="0.3">
      <c r="A1964">
        <v>20862</v>
      </c>
      <c r="B1964" t="s">
        <v>105</v>
      </c>
      <c r="C1964">
        <v>2</v>
      </c>
      <c r="D1964">
        <v>2</v>
      </c>
      <c r="E1964" t="s">
        <v>266</v>
      </c>
      <c r="F1964" s="85" t="s">
        <v>331</v>
      </c>
      <c r="G1964"/>
      <c r="H1964" t="s">
        <v>294</v>
      </c>
      <c r="I1964" t="s">
        <v>207</v>
      </c>
      <c r="J1964" t="s">
        <v>178</v>
      </c>
      <c r="K1964" s="1">
        <v>10.45</v>
      </c>
      <c r="L1964" s="1">
        <v>10.45</v>
      </c>
      <c r="M1964" s="1">
        <v>0</v>
      </c>
      <c r="N1964" s="1">
        <v>10.45</v>
      </c>
      <c r="O1964" s="1">
        <v>752.4</v>
      </c>
      <c r="P1964" s="1">
        <v>804.65</v>
      </c>
      <c r="Q1964" s="1">
        <v>0</v>
      </c>
      <c r="R1964" s="1">
        <v>502.98</v>
      </c>
      <c r="S1964" t="s">
        <v>280</v>
      </c>
      <c r="T1964" s="13">
        <v>45914</v>
      </c>
      <c r="U1964" s="1" t="str">
        <f>IF(ESTIMATIVA[[#This Row],[QT_AREA_REAL]]&gt;0,"1- Colhido","2- à Colher")</f>
        <v>1- Colhido</v>
      </c>
      <c r="V1964" s="1" t="str">
        <f>IF(ESTIMATIVA[[#This Row],[QT_AREA_REST1]]&gt;0,"Reestimativa 1",IF(ESTIMATIVA[[#This Row],[QT_AREA_REAL]]=0,"Reestimativa 1","Realizado"))</f>
        <v>Reestimativa 1</v>
      </c>
      <c r="W1964" s="1" t="str">
        <f>IF(ESTIMATIVA[[#This Row],[QT_AREA_REST2]]&gt;0,"Reestimativa 2",IF(ESTIMATIVA[[#This Row],[QT_AREA_REAL]]=0,"Reestimativa 2","Realizado"))</f>
        <v>Realizado</v>
      </c>
      <c r="X1964" s="1">
        <f>ESTIMATIVA[[#This Row],[QT_AREA_EST]]</f>
        <v>10.45</v>
      </c>
      <c r="Y1964" s="1">
        <f>IF(ESTIMATIVA[[#This Row],[QT_AREA_REST1]]&gt;0,ESTIMATIVA[[#This Row],[QT_AREA_REST1]],
  IF(ESTIMATIVA[[#This Row],[QT_AREA_REAL]]&gt;0,ESTIMATIVA[[#This Row],[QT_AREA_REAL]],ESTIMATIVA[[#This Row],[QT_AREA_EST]]))</f>
        <v>10.45</v>
      </c>
      <c r="Z196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10.45</v>
      </c>
      <c r="AA1964" s="1">
        <f>ESTIMATIVA[[#This Row],[QT_CANA_EST]]</f>
        <v>752.4</v>
      </c>
      <c r="AB1964" s="1">
        <f>IF(ESTIMATIVA[[#This Row],[QT_CANA_REST1]]&gt;0,ESTIMATIVA[[#This Row],[QT_CANA_REST1]],
  IF(ESTIMATIVA[[#This Row],[QT_CANA_REAL]]&gt;0,ESTIMATIVA[[#This Row],[QT_CANA_REAL]],ESTIMATIVA[[#This Row],[QT_CANA_EST]]))</f>
        <v>804.65</v>
      </c>
      <c r="AC196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502.98</v>
      </c>
      <c r="AD1964" s="1">
        <f>IF(ESTIMATIVA[[#This Row],[QT_AREA_REAL]]&gt;0,ESTIMATIVA[[#This Row],[QT_CANA_REAL]],ESTIMATIVA[[#This Row],[QT_CANA_EST]])</f>
        <v>502.98</v>
      </c>
      <c r="AE1964" s="1">
        <f>IF(ESTIMATIVA[[#This Row],[QT_AREA_REAL]]&gt;0,ESTIMATIVA[[#This Row],[QT_CANA_REAL]],ESTIMATIVA[[#This Row],[QT_CANA_REST1]])</f>
        <v>502.98</v>
      </c>
      <c r="AF1964" s="1">
        <f>IF(ESTIMATIVA[[#This Row],[QT_AREA_REAL]]&gt;0,ESTIMATIVA[[#This Row],[QT_CANA_REAL]],ESTIMATIVA[[#This Row],[QT_CANA_REST2]])</f>
        <v>502.98</v>
      </c>
      <c r="AG1964" s="1" t="str">
        <f>IF(COUNTIFS(GEADA!A:A,VALUE(ESTIMATIVA[[#This Row],[CD_UPNIVEL1]]&amp;TEXT(ESTIMATIVA[[#This Row],[CD_UPNIVEL3]],"0000")))&gt;0,"S","N")</f>
        <v>N</v>
      </c>
      <c r="AH196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64" s="55" t="str">
        <f>IF(ESTIMATIVA[[#This Row],[TP_CULTIVO]]="Irrigado",_xlfn.MAXIFS(IRRIGADO!J:J,IRRIGADO!C:C,ESTIMATIVA[[#This Row],[CD_UPNIVEL1]],IRRIGADO!E:E,ESTIMATIVA[[#This Row],[CD_UPNIVEL3]]),"")</f>
        <v/>
      </c>
      <c r="AJ196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64" s="1">
        <f>COUNTIFS(Apresentação!$E$23:$E$29,ESTIMATIVA[[#This Row],[CD_UPNIVEL1]])</f>
        <v>0</v>
      </c>
    </row>
    <row r="1965" spans="1:37" x14ac:dyDescent="0.3">
      <c r="A1965">
        <v>20862</v>
      </c>
      <c r="B1965" t="s">
        <v>105</v>
      </c>
      <c r="C1965">
        <v>3</v>
      </c>
      <c r="D1965">
        <v>2</v>
      </c>
      <c r="E1965" t="s">
        <v>266</v>
      </c>
      <c r="F1965" s="85" t="s">
        <v>331</v>
      </c>
      <c r="G1965"/>
      <c r="H1965" t="s">
        <v>294</v>
      </c>
      <c r="I1965" t="s">
        <v>207</v>
      </c>
      <c r="J1965" t="s">
        <v>178</v>
      </c>
      <c r="K1965" s="1">
        <v>54.09</v>
      </c>
      <c r="L1965" s="1">
        <v>54.09</v>
      </c>
      <c r="M1965" s="1">
        <v>0</v>
      </c>
      <c r="N1965" s="1">
        <v>54.09</v>
      </c>
      <c r="O1965" s="1">
        <v>3894.48</v>
      </c>
      <c r="P1965" s="1">
        <v>4164.93</v>
      </c>
      <c r="Q1965" s="1">
        <v>0</v>
      </c>
      <c r="R1965" s="1">
        <v>2602.65</v>
      </c>
      <c r="S1965" t="s">
        <v>280</v>
      </c>
      <c r="T1965" s="13">
        <v>45914</v>
      </c>
      <c r="U1965" s="1" t="str">
        <f>IF(ESTIMATIVA[[#This Row],[QT_AREA_REAL]]&gt;0,"1- Colhido","2- à Colher")</f>
        <v>1- Colhido</v>
      </c>
      <c r="V1965" s="1" t="str">
        <f>IF(ESTIMATIVA[[#This Row],[QT_AREA_REST1]]&gt;0,"Reestimativa 1",IF(ESTIMATIVA[[#This Row],[QT_AREA_REAL]]=0,"Reestimativa 1","Realizado"))</f>
        <v>Reestimativa 1</v>
      </c>
      <c r="W1965" s="1" t="str">
        <f>IF(ESTIMATIVA[[#This Row],[QT_AREA_REST2]]&gt;0,"Reestimativa 2",IF(ESTIMATIVA[[#This Row],[QT_AREA_REAL]]=0,"Reestimativa 2","Realizado"))</f>
        <v>Realizado</v>
      </c>
      <c r="X1965" s="1">
        <f>ESTIMATIVA[[#This Row],[QT_AREA_EST]]</f>
        <v>54.09</v>
      </c>
      <c r="Y1965" s="1">
        <f>IF(ESTIMATIVA[[#This Row],[QT_AREA_REST1]]&gt;0,ESTIMATIVA[[#This Row],[QT_AREA_REST1]],
  IF(ESTIMATIVA[[#This Row],[QT_AREA_REAL]]&gt;0,ESTIMATIVA[[#This Row],[QT_AREA_REAL]],ESTIMATIVA[[#This Row],[QT_AREA_EST]]))</f>
        <v>54.09</v>
      </c>
      <c r="Z196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54.09</v>
      </c>
      <c r="AA1965" s="1">
        <f>ESTIMATIVA[[#This Row],[QT_CANA_EST]]</f>
        <v>3894.48</v>
      </c>
      <c r="AB1965" s="1">
        <f>IF(ESTIMATIVA[[#This Row],[QT_CANA_REST1]]&gt;0,ESTIMATIVA[[#This Row],[QT_CANA_REST1]],
  IF(ESTIMATIVA[[#This Row],[QT_CANA_REAL]]&gt;0,ESTIMATIVA[[#This Row],[QT_CANA_REAL]],ESTIMATIVA[[#This Row],[QT_CANA_EST]]))</f>
        <v>4164.93</v>
      </c>
      <c r="AC196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2602.65</v>
      </c>
      <c r="AD1965" s="1">
        <f>IF(ESTIMATIVA[[#This Row],[QT_AREA_REAL]]&gt;0,ESTIMATIVA[[#This Row],[QT_CANA_REAL]],ESTIMATIVA[[#This Row],[QT_CANA_EST]])</f>
        <v>2602.65</v>
      </c>
      <c r="AE1965" s="1">
        <f>IF(ESTIMATIVA[[#This Row],[QT_AREA_REAL]]&gt;0,ESTIMATIVA[[#This Row],[QT_CANA_REAL]],ESTIMATIVA[[#This Row],[QT_CANA_REST1]])</f>
        <v>2602.65</v>
      </c>
      <c r="AF1965" s="1">
        <f>IF(ESTIMATIVA[[#This Row],[QT_AREA_REAL]]&gt;0,ESTIMATIVA[[#This Row],[QT_CANA_REAL]],ESTIMATIVA[[#This Row],[QT_CANA_REST2]])</f>
        <v>2602.65</v>
      </c>
      <c r="AG1965" s="1" t="str">
        <f>IF(COUNTIFS(GEADA!A:A,VALUE(ESTIMATIVA[[#This Row],[CD_UPNIVEL1]]&amp;TEXT(ESTIMATIVA[[#This Row],[CD_UPNIVEL3]],"0000")))&gt;0,"S","N")</f>
        <v>N</v>
      </c>
      <c r="AH196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65" s="55" t="str">
        <f>IF(ESTIMATIVA[[#This Row],[TP_CULTIVO]]="Irrigado",_xlfn.MAXIFS(IRRIGADO!J:J,IRRIGADO!C:C,ESTIMATIVA[[#This Row],[CD_UPNIVEL1]],IRRIGADO!E:E,ESTIMATIVA[[#This Row],[CD_UPNIVEL3]]),"")</f>
        <v/>
      </c>
      <c r="AJ196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65" s="1">
        <f>COUNTIFS(Apresentação!$E$23:$E$29,ESTIMATIVA[[#This Row],[CD_UPNIVEL1]])</f>
        <v>0</v>
      </c>
    </row>
    <row r="1966" spans="1:37" x14ac:dyDescent="0.3">
      <c r="A1966">
        <v>20862</v>
      </c>
      <c r="B1966" t="s">
        <v>105</v>
      </c>
      <c r="C1966">
        <v>4</v>
      </c>
      <c r="D1966">
        <v>2</v>
      </c>
      <c r="E1966" t="s">
        <v>266</v>
      </c>
      <c r="F1966" s="85" t="s">
        <v>331</v>
      </c>
      <c r="G1966"/>
      <c r="H1966" t="s">
        <v>294</v>
      </c>
      <c r="I1966" t="s">
        <v>225</v>
      </c>
      <c r="J1966" t="s">
        <v>178</v>
      </c>
      <c r="K1966" s="1">
        <v>20.25</v>
      </c>
      <c r="L1966" s="1">
        <v>20.25</v>
      </c>
      <c r="M1966" s="1">
        <v>0</v>
      </c>
      <c r="N1966" s="1">
        <v>20.25</v>
      </c>
      <c r="O1966" s="1">
        <v>1458</v>
      </c>
      <c r="P1966" s="1">
        <v>1620</v>
      </c>
      <c r="Q1966" s="1">
        <v>0</v>
      </c>
      <c r="R1966" s="1">
        <v>1012.49</v>
      </c>
      <c r="S1966" t="s">
        <v>280</v>
      </c>
      <c r="T1966" s="13">
        <v>45914</v>
      </c>
      <c r="U1966" s="1" t="str">
        <f>IF(ESTIMATIVA[[#This Row],[QT_AREA_REAL]]&gt;0,"1- Colhido","2- à Colher")</f>
        <v>1- Colhido</v>
      </c>
      <c r="V1966" s="1" t="str">
        <f>IF(ESTIMATIVA[[#This Row],[QT_AREA_REST1]]&gt;0,"Reestimativa 1",IF(ESTIMATIVA[[#This Row],[QT_AREA_REAL]]=0,"Reestimativa 1","Realizado"))</f>
        <v>Reestimativa 1</v>
      </c>
      <c r="W1966" s="1" t="str">
        <f>IF(ESTIMATIVA[[#This Row],[QT_AREA_REST2]]&gt;0,"Reestimativa 2",IF(ESTIMATIVA[[#This Row],[QT_AREA_REAL]]=0,"Reestimativa 2","Realizado"))</f>
        <v>Realizado</v>
      </c>
      <c r="X1966" s="1">
        <f>ESTIMATIVA[[#This Row],[QT_AREA_EST]]</f>
        <v>20.25</v>
      </c>
      <c r="Y1966" s="1">
        <f>IF(ESTIMATIVA[[#This Row],[QT_AREA_REST1]]&gt;0,ESTIMATIVA[[#This Row],[QT_AREA_REST1]],
  IF(ESTIMATIVA[[#This Row],[QT_AREA_REAL]]&gt;0,ESTIMATIVA[[#This Row],[QT_AREA_REAL]],ESTIMATIVA[[#This Row],[QT_AREA_EST]]))</f>
        <v>20.25</v>
      </c>
      <c r="Z196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20.25</v>
      </c>
      <c r="AA1966" s="1">
        <f>ESTIMATIVA[[#This Row],[QT_CANA_EST]]</f>
        <v>1458</v>
      </c>
      <c r="AB1966" s="1">
        <f>IF(ESTIMATIVA[[#This Row],[QT_CANA_REST1]]&gt;0,ESTIMATIVA[[#This Row],[QT_CANA_REST1]],
  IF(ESTIMATIVA[[#This Row],[QT_CANA_REAL]]&gt;0,ESTIMATIVA[[#This Row],[QT_CANA_REAL]],ESTIMATIVA[[#This Row],[QT_CANA_EST]]))</f>
        <v>1620</v>
      </c>
      <c r="AC196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1012.49</v>
      </c>
      <c r="AD1966" s="1">
        <f>IF(ESTIMATIVA[[#This Row],[QT_AREA_REAL]]&gt;0,ESTIMATIVA[[#This Row],[QT_CANA_REAL]],ESTIMATIVA[[#This Row],[QT_CANA_EST]])</f>
        <v>1012.49</v>
      </c>
      <c r="AE1966" s="1">
        <f>IF(ESTIMATIVA[[#This Row],[QT_AREA_REAL]]&gt;0,ESTIMATIVA[[#This Row],[QT_CANA_REAL]],ESTIMATIVA[[#This Row],[QT_CANA_REST1]])</f>
        <v>1012.49</v>
      </c>
      <c r="AF1966" s="1">
        <f>IF(ESTIMATIVA[[#This Row],[QT_AREA_REAL]]&gt;0,ESTIMATIVA[[#This Row],[QT_CANA_REAL]],ESTIMATIVA[[#This Row],[QT_CANA_REST2]])</f>
        <v>1012.49</v>
      </c>
      <c r="AG1966" s="1" t="str">
        <f>IF(COUNTIFS(GEADA!A:A,VALUE(ESTIMATIVA[[#This Row],[CD_UPNIVEL1]]&amp;TEXT(ESTIMATIVA[[#This Row],[CD_UPNIVEL3]],"0000")))&gt;0,"S","N")</f>
        <v>N</v>
      </c>
      <c r="AH196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66" s="55" t="str">
        <f>IF(ESTIMATIVA[[#This Row],[TP_CULTIVO]]="Irrigado",_xlfn.MAXIFS(IRRIGADO!J:J,IRRIGADO!C:C,ESTIMATIVA[[#This Row],[CD_UPNIVEL1]],IRRIGADO!E:E,ESTIMATIVA[[#This Row],[CD_UPNIVEL3]]),"")</f>
        <v/>
      </c>
      <c r="AJ196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66" s="1">
        <f>COUNTIFS(Apresentação!$E$23:$E$29,ESTIMATIVA[[#This Row],[CD_UPNIVEL1]])</f>
        <v>0</v>
      </c>
    </row>
    <row r="1967" spans="1:37" x14ac:dyDescent="0.3">
      <c r="A1967">
        <v>20862</v>
      </c>
      <c r="B1967" t="s">
        <v>105</v>
      </c>
      <c r="C1967">
        <v>5</v>
      </c>
      <c r="D1967">
        <v>2</v>
      </c>
      <c r="E1967" t="s">
        <v>266</v>
      </c>
      <c r="F1967" s="85" t="s">
        <v>331</v>
      </c>
      <c r="G1967"/>
      <c r="H1967" t="s">
        <v>294</v>
      </c>
      <c r="I1967" t="s">
        <v>225</v>
      </c>
      <c r="J1967" t="s">
        <v>178</v>
      </c>
      <c r="K1967" s="1">
        <v>13.8</v>
      </c>
      <c r="L1967" s="1">
        <v>13.8</v>
      </c>
      <c r="M1967" s="1">
        <v>0</v>
      </c>
      <c r="N1967" s="1">
        <v>13.8</v>
      </c>
      <c r="O1967" s="1">
        <v>1173</v>
      </c>
      <c r="P1967" s="1">
        <v>1380</v>
      </c>
      <c r="Q1967" s="1">
        <v>0</v>
      </c>
      <c r="R1967" s="1">
        <v>1374.95</v>
      </c>
      <c r="S1967" t="s">
        <v>280</v>
      </c>
      <c r="T1967" s="13">
        <v>45865</v>
      </c>
      <c r="U1967" s="1" t="str">
        <f>IF(ESTIMATIVA[[#This Row],[QT_AREA_REAL]]&gt;0,"1- Colhido","2- à Colher")</f>
        <v>1- Colhido</v>
      </c>
      <c r="V1967" s="1" t="str">
        <f>IF(ESTIMATIVA[[#This Row],[QT_AREA_REST1]]&gt;0,"Reestimativa 1",IF(ESTIMATIVA[[#This Row],[QT_AREA_REAL]]=0,"Reestimativa 1","Realizado"))</f>
        <v>Reestimativa 1</v>
      </c>
      <c r="W1967" s="1" t="str">
        <f>IF(ESTIMATIVA[[#This Row],[QT_AREA_REST2]]&gt;0,"Reestimativa 2",IF(ESTIMATIVA[[#This Row],[QT_AREA_REAL]]=0,"Reestimativa 2","Realizado"))</f>
        <v>Realizado</v>
      </c>
      <c r="X1967" s="1">
        <f>ESTIMATIVA[[#This Row],[QT_AREA_EST]]</f>
        <v>13.8</v>
      </c>
      <c r="Y1967" s="1">
        <f>IF(ESTIMATIVA[[#This Row],[QT_AREA_REST1]]&gt;0,ESTIMATIVA[[#This Row],[QT_AREA_REST1]],
  IF(ESTIMATIVA[[#This Row],[QT_AREA_REAL]]&gt;0,ESTIMATIVA[[#This Row],[QT_AREA_REAL]],ESTIMATIVA[[#This Row],[QT_AREA_EST]]))</f>
        <v>13.8</v>
      </c>
      <c r="Z196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13.8</v>
      </c>
      <c r="AA1967" s="1">
        <f>ESTIMATIVA[[#This Row],[QT_CANA_EST]]</f>
        <v>1173</v>
      </c>
      <c r="AB1967" s="1">
        <f>IF(ESTIMATIVA[[#This Row],[QT_CANA_REST1]]&gt;0,ESTIMATIVA[[#This Row],[QT_CANA_REST1]],
  IF(ESTIMATIVA[[#This Row],[QT_CANA_REAL]]&gt;0,ESTIMATIVA[[#This Row],[QT_CANA_REAL]],ESTIMATIVA[[#This Row],[QT_CANA_EST]]))</f>
        <v>1380</v>
      </c>
      <c r="AC196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1374.95</v>
      </c>
      <c r="AD1967" s="1">
        <f>IF(ESTIMATIVA[[#This Row],[QT_AREA_REAL]]&gt;0,ESTIMATIVA[[#This Row],[QT_CANA_REAL]],ESTIMATIVA[[#This Row],[QT_CANA_EST]])</f>
        <v>1374.95</v>
      </c>
      <c r="AE1967" s="1">
        <f>IF(ESTIMATIVA[[#This Row],[QT_AREA_REAL]]&gt;0,ESTIMATIVA[[#This Row],[QT_CANA_REAL]],ESTIMATIVA[[#This Row],[QT_CANA_REST1]])</f>
        <v>1374.95</v>
      </c>
      <c r="AF1967" s="1">
        <f>IF(ESTIMATIVA[[#This Row],[QT_AREA_REAL]]&gt;0,ESTIMATIVA[[#This Row],[QT_CANA_REAL]],ESTIMATIVA[[#This Row],[QT_CANA_REST2]])</f>
        <v>1374.95</v>
      </c>
      <c r="AG1967" s="1" t="str">
        <f>IF(COUNTIFS(GEADA!A:A,VALUE(ESTIMATIVA[[#This Row],[CD_UPNIVEL1]]&amp;TEXT(ESTIMATIVA[[#This Row],[CD_UPNIVEL3]],"0000")))&gt;0,"S","N")</f>
        <v>N</v>
      </c>
      <c r="AH196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67" s="55" t="str">
        <f>IF(ESTIMATIVA[[#This Row],[TP_CULTIVO]]="Irrigado",_xlfn.MAXIFS(IRRIGADO!J:J,IRRIGADO!C:C,ESTIMATIVA[[#This Row],[CD_UPNIVEL1]],IRRIGADO!E:E,ESTIMATIVA[[#This Row],[CD_UPNIVEL3]]),"")</f>
        <v/>
      </c>
      <c r="AJ196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67" s="1">
        <f>COUNTIFS(Apresentação!$E$23:$E$29,ESTIMATIVA[[#This Row],[CD_UPNIVEL1]])</f>
        <v>0</v>
      </c>
    </row>
    <row r="1968" spans="1:37" x14ac:dyDescent="0.3">
      <c r="A1968">
        <v>20862</v>
      </c>
      <c r="B1968" t="s">
        <v>105</v>
      </c>
      <c r="C1968">
        <v>6</v>
      </c>
      <c r="D1968">
        <v>2</v>
      </c>
      <c r="E1968" t="s">
        <v>266</v>
      </c>
      <c r="F1968" s="85" t="s">
        <v>331</v>
      </c>
      <c r="G1968"/>
      <c r="H1968" t="s">
        <v>294</v>
      </c>
      <c r="I1968" t="s">
        <v>225</v>
      </c>
      <c r="J1968" t="s">
        <v>178</v>
      </c>
      <c r="K1968" s="1">
        <v>31.9</v>
      </c>
      <c r="L1968" s="1">
        <v>31.9</v>
      </c>
      <c r="M1968" s="1">
        <v>0</v>
      </c>
      <c r="N1968" s="1">
        <v>31.9</v>
      </c>
      <c r="O1968" s="1">
        <v>2711.5</v>
      </c>
      <c r="P1968" s="1">
        <v>3190</v>
      </c>
      <c r="Q1968" s="1">
        <v>0</v>
      </c>
      <c r="R1968" s="1">
        <v>3178.73</v>
      </c>
      <c r="S1968" t="s">
        <v>280</v>
      </c>
      <c r="T1968" s="13">
        <v>45865</v>
      </c>
      <c r="U1968" s="1" t="str">
        <f>IF(ESTIMATIVA[[#This Row],[QT_AREA_REAL]]&gt;0,"1- Colhido","2- à Colher")</f>
        <v>1- Colhido</v>
      </c>
      <c r="V1968" s="1" t="str">
        <f>IF(ESTIMATIVA[[#This Row],[QT_AREA_REST1]]&gt;0,"Reestimativa 1",IF(ESTIMATIVA[[#This Row],[QT_AREA_REAL]]=0,"Reestimativa 1","Realizado"))</f>
        <v>Reestimativa 1</v>
      </c>
      <c r="W1968" s="1" t="str">
        <f>IF(ESTIMATIVA[[#This Row],[QT_AREA_REST2]]&gt;0,"Reestimativa 2",IF(ESTIMATIVA[[#This Row],[QT_AREA_REAL]]=0,"Reestimativa 2","Realizado"))</f>
        <v>Realizado</v>
      </c>
      <c r="X1968" s="1">
        <f>ESTIMATIVA[[#This Row],[QT_AREA_EST]]</f>
        <v>31.9</v>
      </c>
      <c r="Y1968" s="1">
        <f>IF(ESTIMATIVA[[#This Row],[QT_AREA_REST1]]&gt;0,ESTIMATIVA[[#This Row],[QT_AREA_REST1]],
  IF(ESTIMATIVA[[#This Row],[QT_AREA_REAL]]&gt;0,ESTIMATIVA[[#This Row],[QT_AREA_REAL]],ESTIMATIVA[[#This Row],[QT_AREA_EST]]))</f>
        <v>31.9</v>
      </c>
      <c r="Z196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31.9</v>
      </c>
      <c r="AA1968" s="1">
        <f>ESTIMATIVA[[#This Row],[QT_CANA_EST]]</f>
        <v>2711.5</v>
      </c>
      <c r="AB1968" s="1">
        <f>IF(ESTIMATIVA[[#This Row],[QT_CANA_REST1]]&gt;0,ESTIMATIVA[[#This Row],[QT_CANA_REST1]],
  IF(ESTIMATIVA[[#This Row],[QT_CANA_REAL]]&gt;0,ESTIMATIVA[[#This Row],[QT_CANA_REAL]],ESTIMATIVA[[#This Row],[QT_CANA_EST]]))</f>
        <v>3190</v>
      </c>
      <c r="AC196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3178.73</v>
      </c>
      <c r="AD1968" s="1">
        <f>IF(ESTIMATIVA[[#This Row],[QT_AREA_REAL]]&gt;0,ESTIMATIVA[[#This Row],[QT_CANA_REAL]],ESTIMATIVA[[#This Row],[QT_CANA_EST]])</f>
        <v>3178.73</v>
      </c>
      <c r="AE1968" s="1">
        <f>IF(ESTIMATIVA[[#This Row],[QT_AREA_REAL]]&gt;0,ESTIMATIVA[[#This Row],[QT_CANA_REAL]],ESTIMATIVA[[#This Row],[QT_CANA_REST1]])</f>
        <v>3178.73</v>
      </c>
      <c r="AF1968" s="1">
        <f>IF(ESTIMATIVA[[#This Row],[QT_AREA_REAL]]&gt;0,ESTIMATIVA[[#This Row],[QT_CANA_REAL]],ESTIMATIVA[[#This Row],[QT_CANA_REST2]])</f>
        <v>3178.73</v>
      </c>
      <c r="AG1968" s="1" t="str">
        <f>IF(COUNTIFS(GEADA!A:A,VALUE(ESTIMATIVA[[#This Row],[CD_UPNIVEL1]]&amp;TEXT(ESTIMATIVA[[#This Row],[CD_UPNIVEL3]],"0000")))&gt;0,"S","N")</f>
        <v>N</v>
      </c>
      <c r="AH196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68" s="55" t="str">
        <f>IF(ESTIMATIVA[[#This Row],[TP_CULTIVO]]="Irrigado",_xlfn.MAXIFS(IRRIGADO!J:J,IRRIGADO!C:C,ESTIMATIVA[[#This Row],[CD_UPNIVEL1]],IRRIGADO!E:E,ESTIMATIVA[[#This Row],[CD_UPNIVEL3]]),"")</f>
        <v/>
      </c>
      <c r="AJ196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68" s="1">
        <f>COUNTIFS(Apresentação!$E$23:$E$29,ESTIMATIVA[[#This Row],[CD_UPNIVEL1]])</f>
        <v>0</v>
      </c>
    </row>
    <row r="1969" spans="1:37" x14ac:dyDescent="0.3">
      <c r="A1969">
        <v>20863</v>
      </c>
      <c r="B1969" t="s">
        <v>106</v>
      </c>
      <c r="C1969">
        <v>1</v>
      </c>
      <c r="D1969">
        <v>2</v>
      </c>
      <c r="E1969" t="s">
        <v>266</v>
      </c>
      <c r="F1969" s="85" t="s">
        <v>331</v>
      </c>
      <c r="G1969"/>
      <c r="H1969" t="s">
        <v>294</v>
      </c>
      <c r="I1969" t="s">
        <v>212</v>
      </c>
      <c r="J1969" t="s">
        <v>178</v>
      </c>
      <c r="K1969" s="1">
        <v>17.89</v>
      </c>
      <c r="L1969" s="1">
        <v>17.89</v>
      </c>
      <c r="M1969" s="1">
        <v>0</v>
      </c>
      <c r="N1969" s="1">
        <v>17.89</v>
      </c>
      <c r="O1969" s="1">
        <v>1538.54</v>
      </c>
      <c r="P1969" s="1">
        <v>1735.33</v>
      </c>
      <c r="Q1969" s="1">
        <v>0</v>
      </c>
      <c r="R1969" s="1">
        <v>2360.7199999999998</v>
      </c>
      <c r="S1969" t="s">
        <v>280</v>
      </c>
      <c r="T1969" s="13">
        <v>45928</v>
      </c>
      <c r="U1969" s="1" t="str">
        <f>IF(ESTIMATIVA[[#This Row],[QT_AREA_REAL]]&gt;0,"1- Colhido","2- à Colher")</f>
        <v>1- Colhido</v>
      </c>
      <c r="V1969" s="1" t="str">
        <f>IF(ESTIMATIVA[[#This Row],[QT_AREA_REST1]]&gt;0,"Reestimativa 1",IF(ESTIMATIVA[[#This Row],[QT_AREA_REAL]]=0,"Reestimativa 1","Realizado"))</f>
        <v>Reestimativa 1</v>
      </c>
      <c r="W1969" s="1" t="str">
        <f>IF(ESTIMATIVA[[#This Row],[QT_AREA_REST2]]&gt;0,"Reestimativa 2",IF(ESTIMATIVA[[#This Row],[QT_AREA_REAL]]=0,"Reestimativa 2","Realizado"))</f>
        <v>Realizado</v>
      </c>
      <c r="X1969" s="1">
        <f>ESTIMATIVA[[#This Row],[QT_AREA_EST]]</f>
        <v>17.89</v>
      </c>
      <c r="Y1969" s="1">
        <f>IF(ESTIMATIVA[[#This Row],[QT_AREA_REST1]]&gt;0,ESTIMATIVA[[#This Row],[QT_AREA_REST1]],
  IF(ESTIMATIVA[[#This Row],[QT_AREA_REAL]]&gt;0,ESTIMATIVA[[#This Row],[QT_AREA_REAL]],ESTIMATIVA[[#This Row],[QT_AREA_EST]]))</f>
        <v>17.89</v>
      </c>
      <c r="Z196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17.89</v>
      </c>
      <c r="AA1969" s="1">
        <f>ESTIMATIVA[[#This Row],[QT_CANA_EST]]</f>
        <v>1538.54</v>
      </c>
      <c r="AB1969" s="1">
        <f>IF(ESTIMATIVA[[#This Row],[QT_CANA_REST1]]&gt;0,ESTIMATIVA[[#This Row],[QT_CANA_REST1]],
  IF(ESTIMATIVA[[#This Row],[QT_CANA_REAL]]&gt;0,ESTIMATIVA[[#This Row],[QT_CANA_REAL]],ESTIMATIVA[[#This Row],[QT_CANA_EST]]))</f>
        <v>1735.33</v>
      </c>
      <c r="AC196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2360.7199999999998</v>
      </c>
      <c r="AD1969" s="1">
        <f>IF(ESTIMATIVA[[#This Row],[QT_AREA_REAL]]&gt;0,ESTIMATIVA[[#This Row],[QT_CANA_REAL]],ESTIMATIVA[[#This Row],[QT_CANA_EST]])</f>
        <v>2360.7199999999998</v>
      </c>
      <c r="AE1969" s="1">
        <f>IF(ESTIMATIVA[[#This Row],[QT_AREA_REAL]]&gt;0,ESTIMATIVA[[#This Row],[QT_CANA_REAL]],ESTIMATIVA[[#This Row],[QT_CANA_REST1]])</f>
        <v>2360.7199999999998</v>
      </c>
      <c r="AF1969" s="1">
        <f>IF(ESTIMATIVA[[#This Row],[QT_AREA_REAL]]&gt;0,ESTIMATIVA[[#This Row],[QT_CANA_REAL]],ESTIMATIVA[[#This Row],[QT_CANA_REST2]])</f>
        <v>2360.7199999999998</v>
      </c>
      <c r="AG1969" s="1" t="str">
        <f>IF(COUNTIFS(GEADA!A:A,VALUE(ESTIMATIVA[[#This Row],[CD_UPNIVEL1]]&amp;TEXT(ESTIMATIVA[[#This Row],[CD_UPNIVEL3]],"0000")))&gt;0,"S","N")</f>
        <v>N</v>
      </c>
      <c r="AH196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69" s="55" t="str">
        <f>IF(ESTIMATIVA[[#This Row],[TP_CULTIVO]]="Irrigado",_xlfn.MAXIFS(IRRIGADO!J:J,IRRIGADO!C:C,ESTIMATIVA[[#This Row],[CD_UPNIVEL1]],IRRIGADO!E:E,ESTIMATIVA[[#This Row],[CD_UPNIVEL3]]),"")</f>
        <v/>
      </c>
      <c r="AJ196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69" s="1">
        <f>COUNTIFS(Apresentação!$E$23:$E$29,ESTIMATIVA[[#This Row],[CD_UPNIVEL1]])</f>
        <v>0</v>
      </c>
    </row>
    <row r="1970" spans="1:37" x14ac:dyDescent="0.3">
      <c r="A1970">
        <v>20863</v>
      </c>
      <c r="B1970" t="s">
        <v>106</v>
      </c>
      <c r="C1970">
        <v>2</v>
      </c>
      <c r="D1970">
        <v>2</v>
      </c>
      <c r="E1970" t="s">
        <v>266</v>
      </c>
      <c r="F1970" s="85" t="s">
        <v>331</v>
      </c>
      <c r="G1970"/>
      <c r="H1970" t="s">
        <v>294</v>
      </c>
      <c r="I1970" t="s">
        <v>228</v>
      </c>
      <c r="J1970" t="s">
        <v>178</v>
      </c>
      <c r="K1970" s="1">
        <v>15.06</v>
      </c>
      <c r="L1970" s="1">
        <v>0</v>
      </c>
      <c r="M1970" s="1">
        <v>0</v>
      </c>
      <c r="N1970" s="1">
        <v>15.06</v>
      </c>
      <c r="O1970" s="1">
        <v>1340.34</v>
      </c>
      <c r="P1970" s="1">
        <v>0</v>
      </c>
      <c r="Q1970" s="1">
        <v>0</v>
      </c>
      <c r="R1970" s="1">
        <v>1720.19</v>
      </c>
      <c r="S1970" t="s">
        <v>280</v>
      </c>
      <c r="T1970" s="13">
        <v>45928</v>
      </c>
      <c r="U1970" s="1" t="str">
        <f>IF(ESTIMATIVA[[#This Row],[QT_AREA_REAL]]&gt;0,"1- Colhido","2- à Colher")</f>
        <v>1- Colhido</v>
      </c>
      <c r="V1970" s="1" t="str">
        <f>IF(ESTIMATIVA[[#This Row],[QT_AREA_REST1]]&gt;0,"Reestimativa 1",IF(ESTIMATIVA[[#This Row],[QT_AREA_REAL]]=0,"Reestimativa 1","Realizado"))</f>
        <v>Realizado</v>
      </c>
      <c r="W1970" s="1" t="str">
        <f>IF(ESTIMATIVA[[#This Row],[QT_AREA_REST2]]&gt;0,"Reestimativa 2",IF(ESTIMATIVA[[#This Row],[QT_AREA_REAL]]=0,"Reestimativa 2","Realizado"))</f>
        <v>Realizado</v>
      </c>
      <c r="X1970" s="1">
        <f>ESTIMATIVA[[#This Row],[QT_AREA_EST]]</f>
        <v>15.06</v>
      </c>
      <c r="Y1970" s="1">
        <f>IF(ESTIMATIVA[[#This Row],[QT_AREA_REST1]]&gt;0,ESTIMATIVA[[#This Row],[QT_AREA_REST1]],
  IF(ESTIMATIVA[[#This Row],[QT_AREA_REAL]]&gt;0,ESTIMATIVA[[#This Row],[QT_AREA_REAL]],ESTIMATIVA[[#This Row],[QT_AREA_EST]]))</f>
        <v>15.06</v>
      </c>
      <c r="Z197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15.06</v>
      </c>
      <c r="AA1970" s="1">
        <f>ESTIMATIVA[[#This Row],[QT_CANA_EST]]</f>
        <v>1340.34</v>
      </c>
      <c r="AB1970" s="1">
        <f>IF(ESTIMATIVA[[#This Row],[QT_CANA_REST1]]&gt;0,ESTIMATIVA[[#This Row],[QT_CANA_REST1]],
  IF(ESTIMATIVA[[#This Row],[QT_CANA_REAL]]&gt;0,ESTIMATIVA[[#This Row],[QT_CANA_REAL]],ESTIMATIVA[[#This Row],[QT_CANA_EST]]))</f>
        <v>1720.19</v>
      </c>
      <c r="AC197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1720.19</v>
      </c>
      <c r="AD1970" s="1">
        <f>IF(ESTIMATIVA[[#This Row],[QT_AREA_REAL]]&gt;0,ESTIMATIVA[[#This Row],[QT_CANA_REAL]],ESTIMATIVA[[#This Row],[QT_CANA_EST]])</f>
        <v>1720.19</v>
      </c>
      <c r="AE1970" s="1">
        <f>IF(ESTIMATIVA[[#This Row],[QT_AREA_REAL]]&gt;0,ESTIMATIVA[[#This Row],[QT_CANA_REAL]],ESTIMATIVA[[#This Row],[QT_CANA_REST1]])</f>
        <v>1720.19</v>
      </c>
      <c r="AF1970" s="1">
        <f>IF(ESTIMATIVA[[#This Row],[QT_AREA_REAL]]&gt;0,ESTIMATIVA[[#This Row],[QT_CANA_REAL]],ESTIMATIVA[[#This Row],[QT_CANA_REST2]])</f>
        <v>1720.19</v>
      </c>
      <c r="AG1970" s="1" t="str">
        <f>IF(COUNTIFS(GEADA!A:A,VALUE(ESTIMATIVA[[#This Row],[CD_UPNIVEL1]]&amp;TEXT(ESTIMATIVA[[#This Row],[CD_UPNIVEL3]],"0000")))&gt;0,"S","N")</f>
        <v>N</v>
      </c>
      <c r="AH197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70" s="55" t="str">
        <f>IF(ESTIMATIVA[[#This Row],[TP_CULTIVO]]="Irrigado",_xlfn.MAXIFS(IRRIGADO!J:J,IRRIGADO!C:C,ESTIMATIVA[[#This Row],[CD_UPNIVEL1]],IRRIGADO!E:E,ESTIMATIVA[[#This Row],[CD_UPNIVEL3]]),"")</f>
        <v/>
      </c>
      <c r="AJ197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70" s="1">
        <f>COUNTIFS(Apresentação!$E$23:$E$29,ESTIMATIVA[[#This Row],[CD_UPNIVEL1]])</f>
        <v>0</v>
      </c>
    </row>
    <row r="1971" spans="1:37" x14ac:dyDescent="0.3">
      <c r="A1971">
        <v>30002</v>
      </c>
      <c r="B1971" t="s">
        <v>107</v>
      </c>
      <c r="C1971">
        <v>7</v>
      </c>
      <c r="D1971">
        <v>1</v>
      </c>
      <c r="E1971" t="s">
        <v>264</v>
      </c>
      <c r="F1971" s="85" t="s">
        <v>332</v>
      </c>
      <c r="G1971"/>
      <c r="H1971" t="s">
        <v>294</v>
      </c>
      <c r="I1971" t="s">
        <v>205</v>
      </c>
      <c r="J1971" t="s">
        <v>178</v>
      </c>
      <c r="K1971" s="1">
        <v>5.89</v>
      </c>
      <c r="L1971" s="1">
        <v>0</v>
      </c>
      <c r="M1971" s="1">
        <v>0</v>
      </c>
      <c r="N1971" s="1">
        <v>5.89</v>
      </c>
      <c r="O1971" s="1">
        <v>706.8</v>
      </c>
      <c r="P1971" s="1">
        <v>0</v>
      </c>
      <c r="Q1971" s="1">
        <v>0</v>
      </c>
      <c r="R1971" s="1">
        <v>635.04999999999995</v>
      </c>
      <c r="S1971" t="s">
        <v>280</v>
      </c>
      <c r="T1971" s="13">
        <v>45851</v>
      </c>
      <c r="U1971" s="1" t="str">
        <f>IF(ESTIMATIVA[[#This Row],[QT_AREA_REAL]]&gt;0,"1- Colhido","2- à Colher")</f>
        <v>1- Colhido</v>
      </c>
      <c r="V1971" s="1" t="str">
        <f>IF(ESTIMATIVA[[#This Row],[QT_AREA_REST1]]&gt;0,"Reestimativa 1",IF(ESTIMATIVA[[#This Row],[QT_AREA_REAL]]=0,"Reestimativa 1","Realizado"))</f>
        <v>Realizado</v>
      </c>
      <c r="W1971" s="1" t="str">
        <f>IF(ESTIMATIVA[[#This Row],[QT_AREA_REST2]]&gt;0,"Reestimativa 2",IF(ESTIMATIVA[[#This Row],[QT_AREA_REAL]]=0,"Reestimativa 2","Realizado"))</f>
        <v>Realizado</v>
      </c>
      <c r="X1971" s="1">
        <f>ESTIMATIVA[[#This Row],[QT_AREA_EST]]</f>
        <v>5.89</v>
      </c>
      <c r="Y1971" s="1">
        <f>IF(ESTIMATIVA[[#This Row],[QT_AREA_REST1]]&gt;0,ESTIMATIVA[[#This Row],[QT_AREA_REST1]],
  IF(ESTIMATIVA[[#This Row],[QT_AREA_REAL]]&gt;0,ESTIMATIVA[[#This Row],[QT_AREA_REAL]],ESTIMATIVA[[#This Row],[QT_AREA_EST]]))</f>
        <v>5.89</v>
      </c>
      <c r="Z197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5.89</v>
      </c>
      <c r="AA1971" s="1">
        <f>ESTIMATIVA[[#This Row],[QT_CANA_EST]]</f>
        <v>706.8</v>
      </c>
      <c r="AB1971" s="1">
        <f>IF(ESTIMATIVA[[#This Row],[QT_CANA_REST1]]&gt;0,ESTIMATIVA[[#This Row],[QT_CANA_REST1]],
  IF(ESTIMATIVA[[#This Row],[QT_CANA_REAL]]&gt;0,ESTIMATIVA[[#This Row],[QT_CANA_REAL]],ESTIMATIVA[[#This Row],[QT_CANA_EST]]))</f>
        <v>635.04999999999995</v>
      </c>
      <c r="AC197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635.04999999999995</v>
      </c>
      <c r="AD1971" s="1">
        <f>IF(ESTIMATIVA[[#This Row],[QT_AREA_REAL]]&gt;0,ESTIMATIVA[[#This Row],[QT_CANA_REAL]],ESTIMATIVA[[#This Row],[QT_CANA_EST]])</f>
        <v>635.04999999999995</v>
      </c>
      <c r="AE1971" s="1">
        <f>IF(ESTIMATIVA[[#This Row],[QT_AREA_REAL]]&gt;0,ESTIMATIVA[[#This Row],[QT_CANA_REAL]],ESTIMATIVA[[#This Row],[QT_CANA_REST1]])</f>
        <v>635.04999999999995</v>
      </c>
      <c r="AF1971" s="1">
        <f>IF(ESTIMATIVA[[#This Row],[QT_AREA_REAL]]&gt;0,ESTIMATIVA[[#This Row],[QT_CANA_REAL]],ESTIMATIVA[[#This Row],[QT_CANA_REST2]])</f>
        <v>635.04999999999995</v>
      </c>
      <c r="AG1971" s="1" t="str">
        <f>IF(COUNTIFS(GEADA!A:A,VALUE(ESTIMATIVA[[#This Row],[CD_UPNIVEL1]]&amp;TEXT(ESTIMATIVA[[#This Row],[CD_UPNIVEL3]],"0000")))&gt;0,"S","N")</f>
        <v>N</v>
      </c>
      <c r="AH197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71" s="55" t="str">
        <f>IF(ESTIMATIVA[[#This Row],[TP_CULTIVO]]="Irrigado",_xlfn.MAXIFS(IRRIGADO!J:J,IRRIGADO!C:C,ESTIMATIVA[[#This Row],[CD_UPNIVEL1]],IRRIGADO!E:E,ESTIMATIVA[[#This Row],[CD_UPNIVEL3]]),"")</f>
        <v/>
      </c>
      <c r="AJ197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71" s="1">
        <f>COUNTIFS(Apresentação!$E$23:$E$29,ESTIMATIVA[[#This Row],[CD_UPNIVEL1]])</f>
        <v>0</v>
      </c>
    </row>
    <row r="1972" spans="1:37" x14ac:dyDescent="0.3">
      <c r="A1972">
        <v>30002</v>
      </c>
      <c r="B1972" t="s">
        <v>107</v>
      </c>
      <c r="C1972">
        <v>10</v>
      </c>
      <c r="D1972">
        <v>1</v>
      </c>
      <c r="E1972" t="s">
        <v>267</v>
      </c>
      <c r="F1972" s="85" t="s">
        <v>332</v>
      </c>
      <c r="G1972"/>
      <c r="H1972" t="s">
        <v>294</v>
      </c>
      <c r="I1972" t="s">
        <v>222</v>
      </c>
      <c r="J1972" t="s">
        <v>178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t="s">
        <v>280</v>
      </c>
      <c r="T1972" s="13"/>
      <c r="U1972" s="1" t="str">
        <f>IF(ESTIMATIVA[[#This Row],[QT_AREA_REAL]]&gt;0,"1- Colhido","2- à Colher")</f>
        <v>2- à Colher</v>
      </c>
      <c r="V1972" s="1" t="str">
        <f>IF(ESTIMATIVA[[#This Row],[QT_AREA_REST1]]&gt;0,"Reestimativa 1",IF(ESTIMATIVA[[#This Row],[QT_AREA_REAL]]=0,"Reestimativa 1","Realizado"))</f>
        <v>Reestimativa 1</v>
      </c>
      <c r="W1972" s="1" t="str">
        <f>IF(ESTIMATIVA[[#This Row],[QT_AREA_REST2]]&gt;0,"Reestimativa 2",IF(ESTIMATIVA[[#This Row],[QT_AREA_REAL]]=0,"Reestimativa 2","Realizado"))</f>
        <v>Reestimativa 2</v>
      </c>
      <c r="X1972" s="1">
        <f>ESTIMATIVA[[#This Row],[QT_AREA_EST]]</f>
        <v>0</v>
      </c>
      <c r="Y1972" s="1">
        <f>IF(ESTIMATIVA[[#This Row],[QT_AREA_REST1]]&gt;0,ESTIMATIVA[[#This Row],[QT_AREA_REST1]],
  IF(ESTIMATIVA[[#This Row],[QT_AREA_REAL]]&gt;0,ESTIMATIVA[[#This Row],[QT_AREA_REAL]],ESTIMATIVA[[#This Row],[QT_AREA_EST]]))</f>
        <v>0</v>
      </c>
      <c r="Z197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</v>
      </c>
      <c r="AA1972" s="1">
        <f>ESTIMATIVA[[#This Row],[QT_CANA_EST]]</f>
        <v>0</v>
      </c>
      <c r="AB1972" s="1">
        <f>IF(ESTIMATIVA[[#This Row],[QT_CANA_REST1]]&gt;0,ESTIMATIVA[[#This Row],[QT_CANA_REST1]],
  IF(ESTIMATIVA[[#This Row],[QT_CANA_REAL]]&gt;0,ESTIMATIVA[[#This Row],[QT_CANA_REAL]],ESTIMATIVA[[#This Row],[QT_CANA_EST]]))</f>
        <v>0</v>
      </c>
      <c r="AC197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0</v>
      </c>
      <c r="AD1972" s="1">
        <f>IF(ESTIMATIVA[[#This Row],[QT_AREA_REAL]]&gt;0,ESTIMATIVA[[#This Row],[QT_CANA_REAL]],ESTIMATIVA[[#This Row],[QT_CANA_EST]])</f>
        <v>0</v>
      </c>
      <c r="AE1972" s="1">
        <f>IF(ESTIMATIVA[[#This Row],[QT_AREA_REAL]]&gt;0,ESTIMATIVA[[#This Row],[QT_CANA_REAL]],ESTIMATIVA[[#This Row],[QT_CANA_REST1]])</f>
        <v>0</v>
      </c>
      <c r="AF1972" s="1">
        <f>IF(ESTIMATIVA[[#This Row],[QT_AREA_REAL]]&gt;0,ESTIMATIVA[[#This Row],[QT_CANA_REAL]],ESTIMATIVA[[#This Row],[QT_CANA_REST2]])</f>
        <v>0</v>
      </c>
      <c r="AG1972" s="1" t="str">
        <f>IF(COUNTIFS(GEADA!A:A,VALUE(ESTIMATIVA[[#This Row],[CD_UPNIVEL1]]&amp;TEXT(ESTIMATIVA[[#This Row],[CD_UPNIVEL3]],"0000")))&gt;0,"S","N")</f>
        <v>N</v>
      </c>
      <c r="AH197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72" s="55" t="str">
        <f>IF(ESTIMATIVA[[#This Row],[TP_CULTIVO]]="Irrigado",_xlfn.MAXIFS(IRRIGADO!J:J,IRRIGADO!C:C,ESTIMATIVA[[#This Row],[CD_UPNIVEL1]],IRRIGADO!E:E,ESTIMATIVA[[#This Row],[CD_UPNIVEL3]]),"")</f>
        <v/>
      </c>
      <c r="AJ197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72" s="1">
        <f>COUNTIFS(Apresentação!$E$23:$E$29,ESTIMATIVA[[#This Row],[CD_UPNIVEL1]])</f>
        <v>0</v>
      </c>
    </row>
    <row r="1973" spans="1:37" x14ac:dyDescent="0.3">
      <c r="A1973">
        <v>30002</v>
      </c>
      <c r="B1973" t="s">
        <v>107</v>
      </c>
      <c r="C1973">
        <v>11</v>
      </c>
      <c r="D1973">
        <v>1</v>
      </c>
      <c r="E1973" t="s">
        <v>267</v>
      </c>
      <c r="F1973" s="85" t="s">
        <v>332</v>
      </c>
      <c r="G1973"/>
      <c r="H1973" t="s">
        <v>294</v>
      </c>
      <c r="I1973" t="s">
        <v>223</v>
      </c>
      <c r="J1973" t="s">
        <v>178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t="s">
        <v>280</v>
      </c>
      <c r="T1973" s="13"/>
      <c r="U1973" s="1" t="str">
        <f>IF(ESTIMATIVA[[#This Row],[QT_AREA_REAL]]&gt;0,"1- Colhido","2- à Colher")</f>
        <v>2- à Colher</v>
      </c>
      <c r="V1973" s="1" t="str">
        <f>IF(ESTIMATIVA[[#This Row],[QT_AREA_REST1]]&gt;0,"Reestimativa 1",IF(ESTIMATIVA[[#This Row],[QT_AREA_REAL]]=0,"Reestimativa 1","Realizado"))</f>
        <v>Reestimativa 1</v>
      </c>
      <c r="W1973" s="1" t="str">
        <f>IF(ESTIMATIVA[[#This Row],[QT_AREA_REST2]]&gt;0,"Reestimativa 2",IF(ESTIMATIVA[[#This Row],[QT_AREA_REAL]]=0,"Reestimativa 2","Realizado"))</f>
        <v>Reestimativa 2</v>
      </c>
      <c r="X1973" s="1">
        <f>ESTIMATIVA[[#This Row],[QT_AREA_EST]]</f>
        <v>0</v>
      </c>
      <c r="Y1973" s="1">
        <f>IF(ESTIMATIVA[[#This Row],[QT_AREA_REST1]]&gt;0,ESTIMATIVA[[#This Row],[QT_AREA_REST1]],
  IF(ESTIMATIVA[[#This Row],[QT_AREA_REAL]]&gt;0,ESTIMATIVA[[#This Row],[QT_AREA_REAL]],ESTIMATIVA[[#This Row],[QT_AREA_EST]]))</f>
        <v>0</v>
      </c>
      <c r="Z197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</v>
      </c>
      <c r="AA1973" s="1">
        <f>ESTIMATIVA[[#This Row],[QT_CANA_EST]]</f>
        <v>0</v>
      </c>
      <c r="AB1973" s="1">
        <f>IF(ESTIMATIVA[[#This Row],[QT_CANA_REST1]]&gt;0,ESTIMATIVA[[#This Row],[QT_CANA_REST1]],
  IF(ESTIMATIVA[[#This Row],[QT_CANA_REAL]]&gt;0,ESTIMATIVA[[#This Row],[QT_CANA_REAL]],ESTIMATIVA[[#This Row],[QT_CANA_EST]]))</f>
        <v>0</v>
      </c>
      <c r="AC197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0</v>
      </c>
      <c r="AD1973" s="1">
        <f>IF(ESTIMATIVA[[#This Row],[QT_AREA_REAL]]&gt;0,ESTIMATIVA[[#This Row],[QT_CANA_REAL]],ESTIMATIVA[[#This Row],[QT_CANA_EST]])</f>
        <v>0</v>
      </c>
      <c r="AE1973" s="1">
        <f>IF(ESTIMATIVA[[#This Row],[QT_AREA_REAL]]&gt;0,ESTIMATIVA[[#This Row],[QT_CANA_REAL]],ESTIMATIVA[[#This Row],[QT_CANA_REST1]])</f>
        <v>0</v>
      </c>
      <c r="AF1973" s="1">
        <f>IF(ESTIMATIVA[[#This Row],[QT_AREA_REAL]]&gt;0,ESTIMATIVA[[#This Row],[QT_CANA_REAL]],ESTIMATIVA[[#This Row],[QT_CANA_REST2]])</f>
        <v>0</v>
      </c>
      <c r="AG1973" s="1" t="str">
        <f>IF(COUNTIFS(GEADA!A:A,VALUE(ESTIMATIVA[[#This Row],[CD_UPNIVEL1]]&amp;TEXT(ESTIMATIVA[[#This Row],[CD_UPNIVEL3]],"0000")))&gt;0,"S","N")</f>
        <v>N</v>
      </c>
      <c r="AH197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73" s="55" t="str">
        <f>IF(ESTIMATIVA[[#This Row],[TP_CULTIVO]]="Irrigado",_xlfn.MAXIFS(IRRIGADO!J:J,IRRIGADO!C:C,ESTIMATIVA[[#This Row],[CD_UPNIVEL1]],IRRIGADO!E:E,ESTIMATIVA[[#This Row],[CD_UPNIVEL3]]),"")</f>
        <v/>
      </c>
      <c r="AJ197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73" s="1">
        <f>COUNTIFS(Apresentação!$E$23:$E$29,ESTIMATIVA[[#This Row],[CD_UPNIVEL1]])</f>
        <v>0</v>
      </c>
    </row>
    <row r="1974" spans="1:37" x14ac:dyDescent="0.3">
      <c r="A1974">
        <v>30003</v>
      </c>
      <c r="B1974" t="s">
        <v>108</v>
      </c>
      <c r="C1974">
        <v>2</v>
      </c>
      <c r="D1974">
        <v>1</v>
      </c>
      <c r="E1974" t="s">
        <v>267</v>
      </c>
      <c r="F1974" s="85" t="s">
        <v>332</v>
      </c>
      <c r="G1974"/>
      <c r="H1974" t="s">
        <v>294</v>
      </c>
      <c r="I1974" t="s">
        <v>195</v>
      </c>
      <c r="J1974" t="s">
        <v>178</v>
      </c>
      <c r="K1974" s="1">
        <v>8.93</v>
      </c>
      <c r="L1974" s="1">
        <v>8.93</v>
      </c>
      <c r="M1974" s="1">
        <v>0</v>
      </c>
      <c r="N1974" s="1">
        <v>8.93</v>
      </c>
      <c r="O1974" s="1">
        <v>928.72</v>
      </c>
      <c r="P1974" s="1">
        <v>928.72</v>
      </c>
      <c r="Q1974" s="1">
        <v>0</v>
      </c>
      <c r="R1974" s="1">
        <v>1033.1300000000001</v>
      </c>
      <c r="S1974" t="s">
        <v>280</v>
      </c>
      <c r="T1974" s="13">
        <v>45928</v>
      </c>
      <c r="U1974" s="1" t="str">
        <f>IF(ESTIMATIVA[[#This Row],[QT_AREA_REAL]]&gt;0,"1- Colhido","2- à Colher")</f>
        <v>1- Colhido</v>
      </c>
      <c r="V1974" s="1" t="str">
        <f>IF(ESTIMATIVA[[#This Row],[QT_AREA_REST1]]&gt;0,"Reestimativa 1",IF(ESTIMATIVA[[#This Row],[QT_AREA_REAL]]=0,"Reestimativa 1","Realizado"))</f>
        <v>Reestimativa 1</v>
      </c>
      <c r="W1974" s="1" t="str">
        <f>IF(ESTIMATIVA[[#This Row],[QT_AREA_REST2]]&gt;0,"Reestimativa 2",IF(ESTIMATIVA[[#This Row],[QT_AREA_REAL]]=0,"Reestimativa 2","Realizado"))</f>
        <v>Realizado</v>
      </c>
      <c r="X1974" s="1">
        <f>ESTIMATIVA[[#This Row],[QT_AREA_EST]]</f>
        <v>8.93</v>
      </c>
      <c r="Y1974" s="1">
        <f>IF(ESTIMATIVA[[#This Row],[QT_AREA_REST1]]&gt;0,ESTIMATIVA[[#This Row],[QT_AREA_REST1]],
  IF(ESTIMATIVA[[#This Row],[QT_AREA_REAL]]&gt;0,ESTIMATIVA[[#This Row],[QT_AREA_REAL]],ESTIMATIVA[[#This Row],[QT_AREA_EST]]))</f>
        <v>8.93</v>
      </c>
      <c r="Z197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8.93</v>
      </c>
      <c r="AA1974" s="1">
        <f>ESTIMATIVA[[#This Row],[QT_CANA_EST]]</f>
        <v>928.72</v>
      </c>
      <c r="AB1974" s="1">
        <f>IF(ESTIMATIVA[[#This Row],[QT_CANA_REST1]]&gt;0,ESTIMATIVA[[#This Row],[QT_CANA_REST1]],
  IF(ESTIMATIVA[[#This Row],[QT_CANA_REAL]]&gt;0,ESTIMATIVA[[#This Row],[QT_CANA_REAL]],ESTIMATIVA[[#This Row],[QT_CANA_EST]]))</f>
        <v>928.72</v>
      </c>
      <c r="AC197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1033.1300000000001</v>
      </c>
      <c r="AD1974" s="1">
        <f>IF(ESTIMATIVA[[#This Row],[QT_AREA_REAL]]&gt;0,ESTIMATIVA[[#This Row],[QT_CANA_REAL]],ESTIMATIVA[[#This Row],[QT_CANA_EST]])</f>
        <v>1033.1300000000001</v>
      </c>
      <c r="AE1974" s="1">
        <f>IF(ESTIMATIVA[[#This Row],[QT_AREA_REAL]]&gt;0,ESTIMATIVA[[#This Row],[QT_CANA_REAL]],ESTIMATIVA[[#This Row],[QT_CANA_REST1]])</f>
        <v>1033.1300000000001</v>
      </c>
      <c r="AF1974" s="1">
        <f>IF(ESTIMATIVA[[#This Row],[QT_AREA_REAL]]&gt;0,ESTIMATIVA[[#This Row],[QT_CANA_REAL]],ESTIMATIVA[[#This Row],[QT_CANA_REST2]])</f>
        <v>1033.1300000000001</v>
      </c>
      <c r="AG1974" s="1" t="str">
        <f>IF(COUNTIFS(GEADA!A:A,VALUE(ESTIMATIVA[[#This Row],[CD_UPNIVEL1]]&amp;TEXT(ESTIMATIVA[[#This Row],[CD_UPNIVEL3]],"0000")))&gt;0,"S","N")</f>
        <v>N</v>
      </c>
      <c r="AH197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74" s="55" t="str">
        <f>IF(ESTIMATIVA[[#This Row],[TP_CULTIVO]]="Irrigado",_xlfn.MAXIFS(IRRIGADO!J:J,IRRIGADO!C:C,ESTIMATIVA[[#This Row],[CD_UPNIVEL1]],IRRIGADO!E:E,ESTIMATIVA[[#This Row],[CD_UPNIVEL3]]),"")</f>
        <v/>
      </c>
      <c r="AJ197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74" s="1">
        <f>COUNTIFS(Apresentação!$E$23:$E$29,ESTIMATIVA[[#This Row],[CD_UPNIVEL1]])</f>
        <v>0</v>
      </c>
    </row>
    <row r="1975" spans="1:37" x14ac:dyDescent="0.3">
      <c r="A1975">
        <v>30003</v>
      </c>
      <c r="B1975" t="s">
        <v>108</v>
      </c>
      <c r="C1975">
        <v>3</v>
      </c>
      <c r="D1975">
        <v>1</v>
      </c>
      <c r="E1975" t="s">
        <v>267</v>
      </c>
      <c r="F1975" s="85" t="s">
        <v>332</v>
      </c>
      <c r="G1975"/>
      <c r="H1975" t="s">
        <v>294</v>
      </c>
      <c r="I1975" t="s">
        <v>195</v>
      </c>
      <c r="J1975" t="s">
        <v>178</v>
      </c>
      <c r="K1975" s="1">
        <v>4.84</v>
      </c>
      <c r="L1975" s="1">
        <v>4.84</v>
      </c>
      <c r="M1975" s="1">
        <v>0</v>
      </c>
      <c r="N1975" s="1">
        <v>4.84</v>
      </c>
      <c r="O1975" s="1">
        <v>503.36</v>
      </c>
      <c r="P1975" s="1">
        <v>503.36</v>
      </c>
      <c r="Q1975" s="1">
        <v>0</v>
      </c>
      <c r="R1975" s="1">
        <v>559.41999999999996</v>
      </c>
      <c r="S1975" t="s">
        <v>280</v>
      </c>
      <c r="T1975" s="13">
        <v>45928</v>
      </c>
      <c r="U1975" s="1" t="str">
        <f>IF(ESTIMATIVA[[#This Row],[QT_AREA_REAL]]&gt;0,"1- Colhido","2- à Colher")</f>
        <v>1- Colhido</v>
      </c>
      <c r="V1975" s="1" t="str">
        <f>IF(ESTIMATIVA[[#This Row],[QT_AREA_REST1]]&gt;0,"Reestimativa 1",IF(ESTIMATIVA[[#This Row],[QT_AREA_REAL]]=0,"Reestimativa 1","Realizado"))</f>
        <v>Reestimativa 1</v>
      </c>
      <c r="W1975" s="1" t="str">
        <f>IF(ESTIMATIVA[[#This Row],[QT_AREA_REST2]]&gt;0,"Reestimativa 2",IF(ESTIMATIVA[[#This Row],[QT_AREA_REAL]]=0,"Reestimativa 2","Realizado"))</f>
        <v>Realizado</v>
      </c>
      <c r="X1975" s="1">
        <f>ESTIMATIVA[[#This Row],[QT_AREA_EST]]</f>
        <v>4.84</v>
      </c>
      <c r="Y1975" s="1">
        <f>IF(ESTIMATIVA[[#This Row],[QT_AREA_REST1]]&gt;0,ESTIMATIVA[[#This Row],[QT_AREA_REST1]],
  IF(ESTIMATIVA[[#This Row],[QT_AREA_REAL]]&gt;0,ESTIMATIVA[[#This Row],[QT_AREA_REAL]],ESTIMATIVA[[#This Row],[QT_AREA_EST]]))</f>
        <v>4.84</v>
      </c>
      <c r="Z197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4.84</v>
      </c>
      <c r="AA1975" s="1">
        <f>ESTIMATIVA[[#This Row],[QT_CANA_EST]]</f>
        <v>503.36</v>
      </c>
      <c r="AB1975" s="1">
        <f>IF(ESTIMATIVA[[#This Row],[QT_CANA_REST1]]&gt;0,ESTIMATIVA[[#This Row],[QT_CANA_REST1]],
  IF(ESTIMATIVA[[#This Row],[QT_CANA_REAL]]&gt;0,ESTIMATIVA[[#This Row],[QT_CANA_REAL]],ESTIMATIVA[[#This Row],[QT_CANA_EST]]))</f>
        <v>503.36</v>
      </c>
      <c r="AC197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559.41999999999996</v>
      </c>
      <c r="AD1975" s="1">
        <f>IF(ESTIMATIVA[[#This Row],[QT_AREA_REAL]]&gt;0,ESTIMATIVA[[#This Row],[QT_CANA_REAL]],ESTIMATIVA[[#This Row],[QT_CANA_EST]])</f>
        <v>559.41999999999996</v>
      </c>
      <c r="AE1975" s="1">
        <f>IF(ESTIMATIVA[[#This Row],[QT_AREA_REAL]]&gt;0,ESTIMATIVA[[#This Row],[QT_CANA_REAL]],ESTIMATIVA[[#This Row],[QT_CANA_REST1]])</f>
        <v>559.41999999999996</v>
      </c>
      <c r="AF1975" s="1">
        <f>IF(ESTIMATIVA[[#This Row],[QT_AREA_REAL]]&gt;0,ESTIMATIVA[[#This Row],[QT_CANA_REAL]],ESTIMATIVA[[#This Row],[QT_CANA_REST2]])</f>
        <v>559.41999999999996</v>
      </c>
      <c r="AG1975" s="1" t="str">
        <f>IF(COUNTIFS(GEADA!A:A,VALUE(ESTIMATIVA[[#This Row],[CD_UPNIVEL1]]&amp;TEXT(ESTIMATIVA[[#This Row],[CD_UPNIVEL3]],"0000")))&gt;0,"S","N")</f>
        <v>N</v>
      </c>
      <c r="AH197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75" s="55" t="str">
        <f>IF(ESTIMATIVA[[#This Row],[TP_CULTIVO]]="Irrigado",_xlfn.MAXIFS(IRRIGADO!J:J,IRRIGADO!C:C,ESTIMATIVA[[#This Row],[CD_UPNIVEL1]],IRRIGADO!E:E,ESTIMATIVA[[#This Row],[CD_UPNIVEL3]]),"")</f>
        <v/>
      </c>
      <c r="AJ197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75" s="1">
        <f>COUNTIFS(Apresentação!$E$23:$E$29,ESTIMATIVA[[#This Row],[CD_UPNIVEL1]])</f>
        <v>0</v>
      </c>
    </row>
    <row r="1976" spans="1:37" x14ac:dyDescent="0.3">
      <c r="A1976">
        <v>30003</v>
      </c>
      <c r="B1976" t="s">
        <v>108</v>
      </c>
      <c r="C1976">
        <v>15</v>
      </c>
      <c r="D1976">
        <v>1</v>
      </c>
      <c r="E1976" t="s">
        <v>267</v>
      </c>
      <c r="F1976" s="85" t="s">
        <v>332</v>
      </c>
      <c r="G1976"/>
      <c r="H1976" t="s">
        <v>294</v>
      </c>
      <c r="I1976" t="s">
        <v>195</v>
      </c>
      <c r="J1976" t="s">
        <v>178</v>
      </c>
      <c r="K1976" s="1">
        <v>0.73</v>
      </c>
      <c r="L1976" s="1">
        <v>0</v>
      </c>
      <c r="M1976" s="1">
        <v>0</v>
      </c>
      <c r="N1976" s="1">
        <v>0.73</v>
      </c>
      <c r="O1976" s="1">
        <v>75.92</v>
      </c>
      <c r="P1976" s="1">
        <v>0</v>
      </c>
      <c r="Q1976" s="1">
        <v>0</v>
      </c>
      <c r="R1976" s="1">
        <v>89.53</v>
      </c>
      <c r="S1976" t="s">
        <v>280</v>
      </c>
      <c r="T1976" s="13">
        <v>45851</v>
      </c>
      <c r="U1976" s="1" t="str">
        <f>IF(ESTIMATIVA[[#This Row],[QT_AREA_REAL]]&gt;0,"1- Colhido","2- à Colher")</f>
        <v>1- Colhido</v>
      </c>
      <c r="V1976" s="1" t="str">
        <f>IF(ESTIMATIVA[[#This Row],[QT_AREA_REST1]]&gt;0,"Reestimativa 1",IF(ESTIMATIVA[[#This Row],[QT_AREA_REAL]]=0,"Reestimativa 1","Realizado"))</f>
        <v>Realizado</v>
      </c>
      <c r="W1976" s="1" t="str">
        <f>IF(ESTIMATIVA[[#This Row],[QT_AREA_REST2]]&gt;0,"Reestimativa 2",IF(ESTIMATIVA[[#This Row],[QT_AREA_REAL]]=0,"Reestimativa 2","Realizado"))</f>
        <v>Realizado</v>
      </c>
      <c r="X1976" s="1">
        <f>ESTIMATIVA[[#This Row],[QT_AREA_EST]]</f>
        <v>0.73</v>
      </c>
      <c r="Y1976" s="1">
        <f>IF(ESTIMATIVA[[#This Row],[QT_AREA_REST1]]&gt;0,ESTIMATIVA[[#This Row],[QT_AREA_REST1]],
  IF(ESTIMATIVA[[#This Row],[QT_AREA_REAL]]&gt;0,ESTIMATIVA[[#This Row],[QT_AREA_REAL]],ESTIMATIVA[[#This Row],[QT_AREA_EST]]))</f>
        <v>0.73</v>
      </c>
      <c r="Z197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0.73</v>
      </c>
      <c r="AA1976" s="1">
        <f>ESTIMATIVA[[#This Row],[QT_CANA_EST]]</f>
        <v>75.92</v>
      </c>
      <c r="AB1976" s="1">
        <f>IF(ESTIMATIVA[[#This Row],[QT_CANA_REST1]]&gt;0,ESTIMATIVA[[#This Row],[QT_CANA_REST1]],
  IF(ESTIMATIVA[[#This Row],[QT_CANA_REAL]]&gt;0,ESTIMATIVA[[#This Row],[QT_CANA_REAL]],ESTIMATIVA[[#This Row],[QT_CANA_EST]]))</f>
        <v>89.53</v>
      </c>
      <c r="AC197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89.53</v>
      </c>
      <c r="AD1976" s="1">
        <f>IF(ESTIMATIVA[[#This Row],[QT_AREA_REAL]]&gt;0,ESTIMATIVA[[#This Row],[QT_CANA_REAL]],ESTIMATIVA[[#This Row],[QT_CANA_EST]])</f>
        <v>89.53</v>
      </c>
      <c r="AE1976" s="1">
        <f>IF(ESTIMATIVA[[#This Row],[QT_AREA_REAL]]&gt;0,ESTIMATIVA[[#This Row],[QT_CANA_REAL]],ESTIMATIVA[[#This Row],[QT_CANA_REST1]])</f>
        <v>89.53</v>
      </c>
      <c r="AF1976" s="1">
        <f>IF(ESTIMATIVA[[#This Row],[QT_AREA_REAL]]&gt;0,ESTIMATIVA[[#This Row],[QT_CANA_REAL]],ESTIMATIVA[[#This Row],[QT_CANA_REST2]])</f>
        <v>89.53</v>
      </c>
      <c r="AG1976" s="1" t="str">
        <f>IF(COUNTIFS(GEADA!A:A,VALUE(ESTIMATIVA[[#This Row],[CD_UPNIVEL1]]&amp;TEXT(ESTIMATIVA[[#This Row],[CD_UPNIVEL3]],"0000")))&gt;0,"S","N")</f>
        <v>N</v>
      </c>
      <c r="AH197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76" s="55" t="str">
        <f>IF(ESTIMATIVA[[#This Row],[TP_CULTIVO]]="Irrigado",_xlfn.MAXIFS(IRRIGADO!J:J,IRRIGADO!C:C,ESTIMATIVA[[#This Row],[CD_UPNIVEL1]],IRRIGADO!E:E,ESTIMATIVA[[#This Row],[CD_UPNIVEL3]]),"")</f>
        <v/>
      </c>
      <c r="AJ197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76" s="1">
        <f>COUNTIFS(Apresentação!$E$23:$E$29,ESTIMATIVA[[#This Row],[CD_UPNIVEL1]])</f>
        <v>0</v>
      </c>
    </row>
    <row r="1977" spans="1:37" x14ac:dyDescent="0.3">
      <c r="A1977">
        <v>30003</v>
      </c>
      <c r="B1977" t="s">
        <v>108</v>
      </c>
      <c r="C1977">
        <v>16</v>
      </c>
      <c r="D1977">
        <v>1</v>
      </c>
      <c r="E1977" t="s">
        <v>267</v>
      </c>
      <c r="F1977" s="85" t="s">
        <v>332</v>
      </c>
      <c r="G1977"/>
      <c r="H1977" t="s">
        <v>294</v>
      </c>
      <c r="I1977" t="s">
        <v>195</v>
      </c>
      <c r="J1977" t="s">
        <v>178</v>
      </c>
      <c r="K1977" s="1">
        <v>10.32</v>
      </c>
      <c r="L1977" s="1">
        <v>0</v>
      </c>
      <c r="M1977" s="1">
        <v>0</v>
      </c>
      <c r="N1977" s="1">
        <v>10.32</v>
      </c>
      <c r="O1977" s="1">
        <v>1073.28</v>
      </c>
      <c r="P1977" s="1">
        <v>0</v>
      </c>
      <c r="Q1977" s="1">
        <v>0</v>
      </c>
      <c r="R1977" s="1">
        <v>1264.3800000000001</v>
      </c>
      <c r="S1977" t="s">
        <v>280</v>
      </c>
      <c r="T1977" s="13">
        <v>45851</v>
      </c>
      <c r="U1977" s="1" t="str">
        <f>IF(ESTIMATIVA[[#This Row],[QT_AREA_REAL]]&gt;0,"1- Colhido","2- à Colher")</f>
        <v>1- Colhido</v>
      </c>
      <c r="V1977" s="1" t="str">
        <f>IF(ESTIMATIVA[[#This Row],[QT_AREA_REST1]]&gt;0,"Reestimativa 1",IF(ESTIMATIVA[[#This Row],[QT_AREA_REAL]]=0,"Reestimativa 1","Realizado"))</f>
        <v>Realizado</v>
      </c>
      <c r="W1977" s="1" t="str">
        <f>IF(ESTIMATIVA[[#This Row],[QT_AREA_REST2]]&gt;0,"Reestimativa 2",IF(ESTIMATIVA[[#This Row],[QT_AREA_REAL]]=0,"Reestimativa 2","Realizado"))</f>
        <v>Realizado</v>
      </c>
      <c r="X1977" s="1">
        <f>ESTIMATIVA[[#This Row],[QT_AREA_EST]]</f>
        <v>10.32</v>
      </c>
      <c r="Y1977" s="1">
        <f>IF(ESTIMATIVA[[#This Row],[QT_AREA_REST1]]&gt;0,ESTIMATIVA[[#This Row],[QT_AREA_REST1]],
  IF(ESTIMATIVA[[#This Row],[QT_AREA_REAL]]&gt;0,ESTIMATIVA[[#This Row],[QT_AREA_REAL]],ESTIMATIVA[[#This Row],[QT_AREA_EST]]))</f>
        <v>10.32</v>
      </c>
      <c r="Z197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10.32</v>
      </c>
      <c r="AA1977" s="1">
        <f>ESTIMATIVA[[#This Row],[QT_CANA_EST]]</f>
        <v>1073.28</v>
      </c>
      <c r="AB1977" s="1">
        <f>IF(ESTIMATIVA[[#This Row],[QT_CANA_REST1]]&gt;0,ESTIMATIVA[[#This Row],[QT_CANA_REST1]],
  IF(ESTIMATIVA[[#This Row],[QT_CANA_REAL]]&gt;0,ESTIMATIVA[[#This Row],[QT_CANA_REAL]],ESTIMATIVA[[#This Row],[QT_CANA_EST]]))</f>
        <v>1264.3800000000001</v>
      </c>
      <c r="AC197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1264.3800000000001</v>
      </c>
      <c r="AD1977" s="1">
        <f>IF(ESTIMATIVA[[#This Row],[QT_AREA_REAL]]&gt;0,ESTIMATIVA[[#This Row],[QT_CANA_REAL]],ESTIMATIVA[[#This Row],[QT_CANA_EST]])</f>
        <v>1264.3800000000001</v>
      </c>
      <c r="AE1977" s="1">
        <f>IF(ESTIMATIVA[[#This Row],[QT_AREA_REAL]]&gt;0,ESTIMATIVA[[#This Row],[QT_CANA_REAL]],ESTIMATIVA[[#This Row],[QT_CANA_REST1]])</f>
        <v>1264.3800000000001</v>
      </c>
      <c r="AF1977" s="1">
        <f>IF(ESTIMATIVA[[#This Row],[QT_AREA_REAL]]&gt;0,ESTIMATIVA[[#This Row],[QT_CANA_REAL]],ESTIMATIVA[[#This Row],[QT_CANA_REST2]])</f>
        <v>1264.3800000000001</v>
      </c>
      <c r="AG1977" s="1" t="str">
        <f>IF(COUNTIFS(GEADA!A:A,VALUE(ESTIMATIVA[[#This Row],[CD_UPNIVEL1]]&amp;TEXT(ESTIMATIVA[[#This Row],[CD_UPNIVEL3]],"0000")))&gt;0,"S","N")</f>
        <v>N</v>
      </c>
      <c r="AH197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77" s="55" t="str">
        <f>IF(ESTIMATIVA[[#This Row],[TP_CULTIVO]]="Irrigado",_xlfn.MAXIFS(IRRIGADO!J:J,IRRIGADO!C:C,ESTIMATIVA[[#This Row],[CD_UPNIVEL1]],IRRIGADO!E:E,ESTIMATIVA[[#This Row],[CD_UPNIVEL3]]),"")</f>
        <v/>
      </c>
      <c r="AJ197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77" s="1">
        <f>COUNTIFS(Apresentação!$E$23:$E$29,ESTIMATIVA[[#This Row],[CD_UPNIVEL1]])</f>
        <v>0</v>
      </c>
    </row>
    <row r="1978" spans="1:37" x14ac:dyDescent="0.3">
      <c r="A1978">
        <v>30003</v>
      </c>
      <c r="B1978" t="s">
        <v>108</v>
      </c>
      <c r="C1978">
        <v>17</v>
      </c>
      <c r="D1978">
        <v>1</v>
      </c>
      <c r="E1978" t="s">
        <v>267</v>
      </c>
      <c r="F1978" s="85" t="s">
        <v>332</v>
      </c>
      <c r="G1978"/>
      <c r="H1978" t="s">
        <v>294</v>
      </c>
      <c r="I1978" t="s">
        <v>195</v>
      </c>
      <c r="J1978" t="s">
        <v>178</v>
      </c>
      <c r="K1978" s="1">
        <v>6.19</v>
      </c>
      <c r="L1978" s="1">
        <v>0</v>
      </c>
      <c r="M1978" s="1">
        <v>0</v>
      </c>
      <c r="N1978" s="1">
        <v>6.19</v>
      </c>
      <c r="O1978" s="1">
        <v>643.76</v>
      </c>
      <c r="P1978" s="1">
        <v>0</v>
      </c>
      <c r="Q1978" s="1">
        <v>0</v>
      </c>
      <c r="R1978" s="1">
        <v>758.95</v>
      </c>
      <c r="S1978" t="s">
        <v>280</v>
      </c>
      <c r="T1978" s="13">
        <v>45851</v>
      </c>
      <c r="U1978" s="1" t="str">
        <f>IF(ESTIMATIVA[[#This Row],[QT_AREA_REAL]]&gt;0,"1- Colhido","2- à Colher")</f>
        <v>1- Colhido</v>
      </c>
      <c r="V1978" s="1" t="str">
        <f>IF(ESTIMATIVA[[#This Row],[QT_AREA_REST1]]&gt;0,"Reestimativa 1",IF(ESTIMATIVA[[#This Row],[QT_AREA_REAL]]=0,"Reestimativa 1","Realizado"))</f>
        <v>Realizado</v>
      </c>
      <c r="W1978" s="1" t="str">
        <f>IF(ESTIMATIVA[[#This Row],[QT_AREA_REST2]]&gt;0,"Reestimativa 2",IF(ESTIMATIVA[[#This Row],[QT_AREA_REAL]]=0,"Reestimativa 2","Realizado"))</f>
        <v>Realizado</v>
      </c>
      <c r="X1978" s="1">
        <f>ESTIMATIVA[[#This Row],[QT_AREA_EST]]</f>
        <v>6.19</v>
      </c>
      <c r="Y1978" s="1">
        <f>IF(ESTIMATIVA[[#This Row],[QT_AREA_REST1]]&gt;0,ESTIMATIVA[[#This Row],[QT_AREA_REST1]],
  IF(ESTIMATIVA[[#This Row],[QT_AREA_REAL]]&gt;0,ESTIMATIVA[[#This Row],[QT_AREA_REAL]],ESTIMATIVA[[#This Row],[QT_AREA_EST]]))</f>
        <v>6.19</v>
      </c>
      <c r="Z197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6.19</v>
      </c>
      <c r="AA1978" s="1">
        <f>ESTIMATIVA[[#This Row],[QT_CANA_EST]]</f>
        <v>643.76</v>
      </c>
      <c r="AB1978" s="1">
        <f>IF(ESTIMATIVA[[#This Row],[QT_CANA_REST1]]&gt;0,ESTIMATIVA[[#This Row],[QT_CANA_REST1]],
  IF(ESTIMATIVA[[#This Row],[QT_CANA_REAL]]&gt;0,ESTIMATIVA[[#This Row],[QT_CANA_REAL]],ESTIMATIVA[[#This Row],[QT_CANA_EST]]))</f>
        <v>758.95</v>
      </c>
      <c r="AC197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758.95</v>
      </c>
      <c r="AD1978" s="1">
        <f>IF(ESTIMATIVA[[#This Row],[QT_AREA_REAL]]&gt;0,ESTIMATIVA[[#This Row],[QT_CANA_REAL]],ESTIMATIVA[[#This Row],[QT_CANA_EST]])</f>
        <v>758.95</v>
      </c>
      <c r="AE1978" s="1">
        <f>IF(ESTIMATIVA[[#This Row],[QT_AREA_REAL]]&gt;0,ESTIMATIVA[[#This Row],[QT_CANA_REAL]],ESTIMATIVA[[#This Row],[QT_CANA_REST1]])</f>
        <v>758.95</v>
      </c>
      <c r="AF1978" s="1">
        <f>IF(ESTIMATIVA[[#This Row],[QT_AREA_REAL]]&gt;0,ESTIMATIVA[[#This Row],[QT_CANA_REAL]],ESTIMATIVA[[#This Row],[QT_CANA_REST2]])</f>
        <v>758.95</v>
      </c>
      <c r="AG1978" s="1" t="str">
        <f>IF(COUNTIFS(GEADA!A:A,VALUE(ESTIMATIVA[[#This Row],[CD_UPNIVEL1]]&amp;TEXT(ESTIMATIVA[[#This Row],[CD_UPNIVEL3]],"0000")))&gt;0,"S","N")</f>
        <v>N</v>
      </c>
      <c r="AH197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78" s="55" t="str">
        <f>IF(ESTIMATIVA[[#This Row],[TP_CULTIVO]]="Irrigado",_xlfn.MAXIFS(IRRIGADO!J:J,IRRIGADO!C:C,ESTIMATIVA[[#This Row],[CD_UPNIVEL1]],IRRIGADO!E:E,ESTIMATIVA[[#This Row],[CD_UPNIVEL3]]),"")</f>
        <v/>
      </c>
      <c r="AJ197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78" s="1">
        <f>COUNTIFS(Apresentação!$E$23:$E$29,ESTIMATIVA[[#This Row],[CD_UPNIVEL1]])</f>
        <v>0</v>
      </c>
    </row>
    <row r="1979" spans="1:37" x14ac:dyDescent="0.3">
      <c r="A1979">
        <v>30101</v>
      </c>
      <c r="B1979" t="s">
        <v>109</v>
      </c>
      <c r="C1979">
        <v>1</v>
      </c>
      <c r="D1979">
        <v>2</v>
      </c>
      <c r="E1979" t="s">
        <v>266</v>
      </c>
      <c r="F1979" s="85" t="s">
        <v>331</v>
      </c>
      <c r="G1979"/>
      <c r="H1979" t="s">
        <v>294</v>
      </c>
      <c r="I1979" t="s">
        <v>205</v>
      </c>
      <c r="J1979" t="s">
        <v>178</v>
      </c>
      <c r="K1979" s="1">
        <v>46.65</v>
      </c>
      <c r="L1979" s="1">
        <v>0</v>
      </c>
      <c r="M1979" s="1">
        <v>0</v>
      </c>
      <c r="N1979" s="1">
        <v>46.65</v>
      </c>
      <c r="O1979" s="1">
        <v>3265.5</v>
      </c>
      <c r="P1979" s="1">
        <v>0</v>
      </c>
      <c r="Q1979" s="1">
        <v>0</v>
      </c>
      <c r="R1979" s="1">
        <v>4077.89</v>
      </c>
      <c r="S1979" t="s">
        <v>282</v>
      </c>
      <c r="T1979" s="13">
        <v>45851</v>
      </c>
      <c r="U1979" s="1" t="str">
        <f>IF(ESTIMATIVA[[#This Row],[QT_AREA_REAL]]&gt;0,"1- Colhido","2- à Colher")</f>
        <v>1- Colhido</v>
      </c>
      <c r="V1979" s="1" t="str">
        <f>IF(ESTIMATIVA[[#This Row],[QT_AREA_REST1]]&gt;0,"Reestimativa 1",IF(ESTIMATIVA[[#This Row],[QT_AREA_REAL]]=0,"Reestimativa 1","Realizado"))</f>
        <v>Realizado</v>
      </c>
      <c r="W1979" s="1" t="str">
        <f>IF(ESTIMATIVA[[#This Row],[QT_AREA_REST2]]&gt;0,"Reestimativa 2",IF(ESTIMATIVA[[#This Row],[QT_AREA_REAL]]=0,"Reestimativa 2","Realizado"))</f>
        <v>Realizado</v>
      </c>
      <c r="X1979" s="1">
        <f>ESTIMATIVA[[#This Row],[QT_AREA_EST]]</f>
        <v>46.65</v>
      </c>
      <c r="Y1979" s="1">
        <f>IF(ESTIMATIVA[[#This Row],[QT_AREA_REST1]]&gt;0,ESTIMATIVA[[#This Row],[QT_AREA_REST1]],
  IF(ESTIMATIVA[[#This Row],[QT_AREA_REAL]]&gt;0,ESTIMATIVA[[#This Row],[QT_AREA_REAL]],ESTIMATIVA[[#This Row],[QT_AREA_EST]]))</f>
        <v>46.65</v>
      </c>
      <c r="Z197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46.65</v>
      </c>
      <c r="AA1979" s="1">
        <f>ESTIMATIVA[[#This Row],[QT_CANA_EST]]</f>
        <v>3265.5</v>
      </c>
      <c r="AB1979" s="1">
        <f>IF(ESTIMATIVA[[#This Row],[QT_CANA_REST1]]&gt;0,ESTIMATIVA[[#This Row],[QT_CANA_REST1]],
  IF(ESTIMATIVA[[#This Row],[QT_CANA_REAL]]&gt;0,ESTIMATIVA[[#This Row],[QT_CANA_REAL]],ESTIMATIVA[[#This Row],[QT_CANA_EST]]))</f>
        <v>4077.89</v>
      </c>
      <c r="AC197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4077.89</v>
      </c>
      <c r="AD1979" s="1">
        <f>IF(ESTIMATIVA[[#This Row],[QT_AREA_REAL]]&gt;0,ESTIMATIVA[[#This Row],[QT_CANA_REAL]],ESTIMATIVA[[#This Row],[QT_CANA_EST]])</f>
        <v>4077.89</v>
      </c>
      <c r="AE1979" s="1">
        <f>IF(ESTIMATIVA[[#This Row],[QT_AREA_REAL]]&gt;0,ESTIMATIVA[[#This Row],[QT_CANA_REAL]],ESTIMATIVA[[#This Row],[QT_CANA_REST1]])</f>
        <v>4077.89</v>
      </c>
      <c r="AF1979" s="1">
        <f>IF(ESTIMATIVA[[#This Row],[QT_AREA_REAL]]&gt;0,ESTIMATIVA[[#This Row],[QT_CANA_REAL]],ESTIMATIVA[[#This Row],[QT_CANA_REST2]])</f>
        <v>4077.89</v>
      </c>
      <c r="AG1979" s="1" t="str">
        <f>IF(COUNTIFS(GEADA!A:A,VALUE(ESTIMATIVA[[#This Row],[CD_UPNIVEL1]]&amp;TEXT(ESTIMATIVA[[#This Row],[CD_UPNIVEL3]],"0000")))&gt;0,"S","N")</f>
        <v>N</v>
      </c>
      <c r="AH197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79" s="55" t="str">
        <f>IF(ESTIMATIVA[[#This Row],[TP_CULTIVO]]="Irrigado",_xlfn.MAXIFS(IRRIGADO!J:J,IRRIGADO!C:C,ESTIMATIVA[[#This Row],[CD_UPNIVEL1]],IRRIGADO!E:E,ESTIMATIVA[[#This Row],[CD_UPNIVEL3]]),"")</f>
        <v/>
      </c>
      <c r="AJ197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79" s="1">
        <f>COUNTIFS(Apresentação!$E$23:$E$29,ESTIMATIVA[[#This Row],[CD_UPNIVEL1]])</f>
        <v>0</v>
      </c>
    </row>
    <row r="1980" spans="1:37" x14ac:dyDescent="0.3">
      <c r="A1980">
        <v>30101</v>
      </c>
      <c r="B1980" t="s">
        <v>109</v>
      </c>
      <c r="C1980">
        <v>2</v>
      </c>
      <c r="D1980">
        <v>2</v>
      </c>
      <c r="E1980" t="s">
        <v>266</v>
      </c>
      <c r="F1980" s="85" t="s">
        <v>331</v>
      </c>
      <c r="G1980"/>
      <c r="H1980" t="s">
        <v>294</v>
      </c>
      <c r="I1980" t="s">
        <v>207</v>
      </c>
      <c r="J1980" t="s">
        <v>178</v>
      </c>
      <c r="K1980" s="1">
        <v>47.95</v>
      </c>
      <c r="L1980" s="1">
        <v>47.95</v>
      </c>
      <c r="M1980" s="1">
        <v>0</v>
      </c>
      <c r="N1980" s="1">
        <v>47.95</v>
      </c>
      <c r="O1980" s="1">
        <v>3356.5</v>
      </c>
      <c r="P1980" s="1">
        <v>3836</v>
      </c>
      <c r="Q1980" s="1">
        <v>0</v>
      </c>
      <c r="R1980" s="1">
        <v>4555.17</v>
      </c>
      <c r="S1980" t="s">
        <v>282</v>
      </c>
      <c r="T1980" s="13">
        <v>45921</v>
      </c>
      <c r="U1980" s="1" t="str">
        <f>IF(ESTIMATIVA[[#This Row],[QT_AREA_REAL]]&gt;0,"1- Colhido","2- à Colher")</f>
        <v>1- Colhido</v>
      </c>
      <c r="V1980" s="1" t="str">
        <f>IF(ESTIMATIVA[[#This Row],[QT_AREA_REST1]]&gt;0,"Reestimativa 1",IF(ESTIMATIVA[[#This Row],[QT_AREA_REAL]]=0,"Reestimativa 1","Realizado"))</f>
        <v>Reestimativa 1</v>
      </c>
      <c r="W1980" s="1" t="str">
        <f>IF(ESTIMATIVA[[#This Row],[QT_AREA_REST2]]&gt;0,"Reestimativa 2",IF(ESTIMATIVA[[#This Row],[QT_AREA_REAL]]=0,"Reestimativa 2","Realizado"))</f>
        <v>Realizado</v>
      </c>
      <c r="X1980" s="1">
        <f>ESTIMATIVA[[#This Row],[QT_AREA_EST]]</f>
        <v>47.95</v>
      </c>
      <c r="Y1980" s="1">
        <f>IF(ESTIMATIVA[[#This Row],[QT_AREA_REST1]]&gt;0,ESTIMATIVA[[#This Row],[QT_AREA_REST1]],
  IF(ESTIMATIVA[[#This Row],[QT_AREA_REAL]]&gt;0,ESTIMATIVA[[#This Row],[QT_AREA_REAL]],ESTIMATIVA[[#This Row],[QT_AREA_EST]]))</f>
        <v>47.95</v>
      </c>
      <c r="Z198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47.95</v>
      </c>
      <c r="AA1980" s="1">
        <f>ESTIMATIVA[[#This Row],[QT_CANA_EST]]</f>
        <v>3356.5</v>
      </c>
      <c r="AB1980" s="1">
        <f>IF(ESTIMATIVA[[#This Row],[QT_CANA_REST1]]&gt;0,ESTIMATIVA[[#This Row],[QT_CANA_REST1]],
  IF(ESTIMATIVA[[#This Row],[QT_CANA_REAL]]&gt;0,ESTIMATIVA[[#This Row],[QT_CANA_REAL]],ESTIMATIVA[[#This Row],[QT_CANA_EST]]))</f>
        <v>3836</v>
      </c>
      <c r="AC198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4555.17</v>
      </c>
      <c r="AD1980" s="1">
        <f>IF(ESTIMATIVA[[#This Row],[QT_AREA_REAL]]&gt;0,ESTIMATIVA[[#This Row],[QT_CANA_REAL]],ESTIMATIVA[[#This Row],[QT_CANA_EST]])</f>
        <v>4555.17</v>
      </c>
      <c r="AE1980" s="1">
        <f>IF(ESTIMATIVA[[#This Row],[QT_AREA_REAL]]&gt;0,ESTIMATIVA[[#This Row],[QT_CANA_REAL]],ESTIMATIVA[[#This Row],[QT_CANA_REST1]])</f>
        <v>4555.17</v>
      </c>
      <c r="AF1980" s="1">
        <f>IF(ESTIMATIVA[[#This Row],[QT_AREA_REAL]]&gt;0,ESTIMATIVA[[#This Row],[QT_CANA_REAL]],ESTIMATIVA[[#This Row],[QT_CANA_REST2]])</f>
        <v>4555.17</v>
      </c>
      <c r="AG1980" s="1" t="str">
        <f>IF(COUNTIFS(GEADA!A:A,VALUE(ESTIMATIVA[[#This Row],[CD_UPNIVEL1]]&amp;TEXT(ESTIMATIVA[[#This Row],[CD_UPNIVEL3]],"0000")))&gt;0,"S","N")</f>
        <v>N</v>
      </c>
      <c r="AH198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80" s="55" t="str">
        <f>IF(ESTIMATIVA[[#This Row],[TP_CULTIVO]]="Irrigado",_xlfn.MAXIFS(IRRIGADO!J:J,IRRIGADO!C:C,ESTIMATIVA[[#This Row],[CD_UPNIVEL1]],IRRIGADO!E:E,ESTIMATIVA[[#This Row],[CD_UPNIVEL3]]),"")</f>
        <v/>
      </c>
      <c r="AJ198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80" s="1">
        <f>COUNTIFS(Apresentação!$E$23:$E$29,ESTIMATIVA[[#This Row],[CD_UPNIVEL1]])</f>
        <v>0</v>
      </c>
    </row>
    <row r="1981" spans="1:37" x14ac:dyDescent="0.3">
      <c r="A1981">
        <v>30101</v>
      </c>
      <c r="B1981" t="s">
        <v>109</v>
      </c>
      <c r="C1981">
        <v>3</v>
      </c>
      <c r="D1981">
        <v>2</v>
      </c>
      <c r="E1981" t="s">
        <v>266</v>
      </c>
      <c r="F1981" s="85" t="s">
        <v>331</v>
      </c>
      <c r="G1981"/>
      <c r="H1981" t="s">
        <v>294</v>
      </c>
      <c r="I1981" t="s">
        <v>200</v>
      </c>
      <c r="J1981" t="s">
        <v>178</v>
      </c>
      <c r="K1981" s="1">
        <v>21.09</v>
      </c>
      <c r="L1981" s="1">
        <v>21.09</v>
      </c>
      <c r="M1981" s="1">
        <v>0</v>
      </c>
      <c r="N1981" s="1">
        <v>21.09</v>
      </c>
      <c r="O1981" s="1">
        <v>1476.3</v>
      </c>
      <c r="P1981" s="1">
        <v>1687.2</v>
      </c>
      <c r="Q1981" s="1">
        <v>0</v>
      </c>
      <c r="R1981" s="1">
        <v>2003.42</v>
      </c>
      <c r="S1981" t="s">
        <v>282</v>
      </c>
      <c r="T1981" s="13">
        <v>45921</v>
      </c>
      <c r="U1981" s="1" t="str">
        <f>IF(ESTIMATIVA[[#This Row],[QT_AREA_REAL]]&gt;0,"1- Colhido","2- à Colher")</f>
        <v>1- Colhido</v>
      </c>
      <c r="V1981" s="1" t="str">
        <f>IF(ESTIMATIVA[[#This Row],[QT_AREA_REST1]]&gt;0,"Reestimativa 1",IF(ESTIMATIVA[[#This Row],[QT_AREA_REAL]]=0,"Reestimativa 1","Realizado"))</f>
        <v>Reestimativa 1</v>
      </c>
      <c r="W1981" s="1" t="str">
        <f>IF(ESTIMATIVA[[#This Row],[QT_AREA_REST2]]&gt;0,"Reestimativa 2",IF(ESTIMATIVA[[#This Row],[QT_AREA_REAL]]=0,"Reestimativa 2","Realizado"))</f>
        <v>Realizado</v>
      </c>
      <c r="X1981" s="1">
        <f>ESTIMATIVA[[#This Row],[QT_AREA_EST]]</f>
        <v>21.09</v>
      </c>
      <c r="Y1981" s="1">
        <f>IF(ESTIMATIVA[[#This Row],[QT_AREA_REST1]]&gt;0,ESTIMATIVA[[#This Row],[QT_AREA_REST1]],
  IF(ESTIMATIVA[[#This Row],[QT_AREA_REAL]]&gt;0,ESTIMATIVA[[#This Row],[QT_AREA_REAL]],ESTIMATIVA[[#This Row],[QT_AREA_EST]]))</f>
        <v>21.09</v>
      </c>
      <c r="Z198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21.09</v>
      </c>
      <c r="AA1981" s="1">
        <f>ESTIMATIVA[[#This Row],[QT_CANA_EST]]</f>
        <v>1476.3</v>
      </c>
      <c r="AB1981" s="1">
        <f>IF(ESTIMATIVA[[#This Row],[QT_CANA_REST1]]&gt;0,ESTIMATIVA[[#This Row],[QT_CANA_REST1]],
  IF(ESTIMATIVA[[#This Row],[QT_CANA_REAL]]&gt;0,ESTIMATIVA[[#This Row],[QT_CANA_REAL]],ESTIMATIVA[[#This Row],[QT_CANA_EST]]))</f>
        <v>1687.2</v>
      </c>
      <c r="AC198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2003.42</v>
      </c>
      <c r="AD1981" s="1">
        <f>IF(ESTIMATIVA[[#This Row],[QT_AREA_REAL]]&gt;0,ESTIMATIVA[[#This Row],[QT_CANA_REAL]],ESTIMATIVA[[#This Row],[QT_CANA_EST]])</f>
        <v>2003.42</v>
      </c>
      <c r="AE1981" s="1">
        <f>IF(ESTIMATIVA[[#This Row],[QT_AREA_REAL]]&gt;0,ESTIMATIVA[[#This Row],[QT_CANA_REAL]],ESTIMATIVA[[#This Row],[QT_CANA_REST1]])</f>
        <v>2003.42</v>
      </c>
      <c r="AF1981" s="1">
        <f>IF(ESTIMATIVA[[#This Row],[QT_AREA_REAL]]&gt;0,ESTIMATIVA[[#This Row],[QT_CANA_REAL]],ESTIMATIVA[[#This Row],[QT_CANA_REST2]])</f>
        <v>2003.42</v>
      </c>
      <c r="AG1981" s="1" t="str">
        <f>IF(COUNTIFS(GEADA!A:A,VALUE(ESTIMATIVA[[#This Row],[CD_UPNIVEL1]]&amp;TEXT(ESTIMATIVA[[#This Row],[CD_UPNIVEL3]],"0000")))&gt;0,"S","N")</f>
        <v>N</v>
      </c>
      <c r="AH198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81" s="55" t="str">
        <f>IF(ESTIMATIVA[[#This Row],[TP_CULTIVO]]="Irrigado",_xlfn.MAXIFS(IRRIGADO!J:J,IRRIGADO!C:C,ESTIMATIVA[[#This Row],[CD_UPNIVEL1]],IRRIGADO!E:E,ESTIMATIVA[[#This Row],[CD_UPNIVEL3]]),"")</f>
        <v/>
      </c>
      <c r="AJ198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81" s="1">
        <f>COUNTIFS(Apresentação!$E$23:$E$29,ESTIMATIVA[[#This Row],[CD_UPNIVEL1]])</f>
        <v>0</v>
      </c>
    </row>
    <row r="1982" spans="1:37" x14ac:dyDescent="0.3">
      <c r="A1982">
        <v>30101</v>
      </c>
      <c r="B1982" t="s">
        <v>109</v>
      </c>
      <c r="C1982">
        <v>4</v>
      </c>
      <c r="D1982">
        <v>2</v>
      </c>
      <c r="E1982" t="s">
        <v>266</v>
      </c>
      <c r="F1982" s="85" t="s">
        <v>331</v>
      </c>
      <c r="G1982"/>
      <c r="H1982" t="s">
        <v>294</v>
      </c>
      <c r="I1982" t="s">
        <v>200</v>
      </c>
      <c r="J1982" t="s">
        <v>178</v>
      </c>
      <c r="K1982" s="1">
        <v>49.76</v>
      </c>
      <c r="L1982" s="1">
        <v>49.76</v>
      </c>
      <c r="M1982" s="1">
        <v>0</v>
      </c>
      <c r="N1982" s="1">
        <v>49.76</v>
      </c>
      <c r="O1982" s="1">
        <v>3483.2</v>
      </c>
      <c r="P1982" s="1">
        <v>3980.8</v>
      </c>
      <c r="Q1982" s="1">
        <v>0</v>
      </c>
      <c r="R1982" s="1">
        <v>3404.06</v>
      </c>
      <c r="S1982" t="s">
        <v>282</v>
      </c>
      <c r="T1982" s="13">
        <v>45921</v>
      </c>
      <c r="U1982" s="1" t="str">
        <f>IF(ESTIMATIVA[[#This Row],[QT_AREA_REAL]]&gt;0,"1- Colhido","2- à Colher")</f>
        <v>1- Colhido</v>
      </c>
      <c r="V1982" s="1" t="str">
        <f>IF(ESTIMATIVA[[#This Row],[QT_AREA_REST1]]&gt;0,"Reestimativa 1",IF(ESTIMATIVA[[#This Row],[QT_AREA_REAL]]=0,"Reestimativa 1","Realizado"))</f>
        <v>Reestimativa 1</v>
      </c>
      <c r="W1982" s="1" t="str">
        <f>IF(ESTIMATIVA[[#This Row],[QT_AREA_REST2]]&gt;0,"Reestimativa 2",IF(ESTIMATIVA[[#This Row],[QT_AREA_REAL]]=0,"Reestimativa 2","Realizado"))</f>
        <v>Realizado</v>
      </c>
      <c r="X1982" s="1">
        <f>ESTIMATIVA[[#This Row],[QT_AREA_EST]]</f>
        <v>49.76</v>
      </c>
      <c r="Y1982" s="1">
        <f>IF(ESTIMATIVA[[#This Row],[QT_AREA_REST1]]&gt;0,ESTIMATIVA[[#This Row],[QT_AREA_REST1]],
  IF(ESTIMATIVA[[#This Row],[QT_AREA_REAL]]&gt;0,ESTIMATIVA[[#This Row],[QT_AREA_REAL]],ESTIMATIVA[[#This Row],[QT_AREA_EST]]))</f>
        <v>49.76</v>
      </c>
      <c r="Z198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49.76</v>
      </c>
      <c r="AA1982" s="1">
        <f>ESTIMATIVA[[#This Row],[QT_CANA_EST]]</f>
        <v>3483.2</v>
      </c>
      <c r="AB1982" s="1">
        <f>IF(ESTIMATIVA[[#This Row],[QT_CANA_REST1]]&gt;0,ESTIMATIVA[[#This Row],[QT_CANA_REST1]],
  IF(ESTIMATIVA[[#This Row],[QT_CANA_REAL]]&gt;0,ESTIMATIVA[[#This Row],[QT_CANA_REAL]],ESTIMATIVA[[#This Row],[QT_CANA_EST]]))</f>
        <v>3980.8</v>
      </c>
      <c r="AC198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3404.06</v>
      </c>
      <c r="AD1982" s="1">
        <f>IF(ESTIMATIVA[[#This Row],[QT_AREA_REAL]]&gt;0,ESTIMATIVA[[#This Row],[QT_CANA_REAL]],ESTIMATIVA[[#This Row],[QT_CANA_EST]])</f>
        <v>3404.06</v>
      </c>
      <c r="AE1982" s="1">
        <f>IF(ESTIMATIVA[[#This Row],[QT_AREA_REAL]]&gt;0,ESTIMATIVA[[#This Row],[QT_CANA_REAL]],ESTIMATIVA[[#This Row],[QT_CANA_REST1]])</f>
        <v>3404.06</v>
      </c>
      <c r="AF1982" s="1">
        <f>IF(ESTIMATIVA[[#This Row],[QT_AREA_REAL]]&gt;0,ESTIMATIVA[[#This Row],[QT_CANA_REAL]],ESTIMATIVA[[#This Row],[QT_CANA_REST2]])</f>
        <v>3404.06</v>
      </c>
      <c r="AG1982" s="1" t="str">
        <f>IF(COUNTIFS(GEADA!A:A,VALUE(ESTIMATIVA[[#This Row],[CD_UPNIVEL1]]&amp;TEXT(ESTIMATIVA[[#This Row],[CD_UPNIVEL3]],"0000")))&gt;0,"S","N")</f>
        <v>N</v>
      </c>
      <c r="AH198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82" s="55" t="str">
        <f>IF(ESTIMATIVA[[#This Row],[TP_CULTIVO]]="Irrigado",_xlfn.MAXIFS(IRRIGADO!J:J,IRRIGADO!C:C,ESTIMATIVA[[#This Row],[CD_UPNIVEL1]],IRRIGADO!E:E,ESTIMATIVA[[#This Row],[CD_UPNIVEL3]]),"")</f>
        <v/>
      </c>
      <c r="AJ198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82" s="1">
        <f>COUNTIFS(Apresentação!$E$23:$E$29,ESTIMATIVA[[#This Row],[CD_UPNIVEL1]])</f>
        <v>0</v>
      </c>
    </row>
    <row r="1983" spans="1:37" x14ac:dyDescent="0.3">
      <c r="A1983">
        <v>30101</v>
      </c>
      <c r="B1983" t="s">
        <v>109</v>
      </c>
      <c r="C1983">
        <v>5</v>
      </c>
      <c r="D1983">
        <v>2</v>
      </c>
      <c r="E1983" t="s">
        <v>266</v>
      </c>
      <c r="F1983" s="85" t="s">
        <v>331</v>
      </c>
      <c r="G1983"/>
      <c r="H1983" t="s">
        <v>294</v>
      </c>
      <c r="I1983" t="s">
        <v>207</v>
      </c>
      <c r="J1983" t="s">
        <v>178</v>
      </c>
      <c r="K1983" s="1">
        <v>43.63</v>
      </c>
      <c r="L1983" s="1">
        <v>43.63</v>
      </c>
      <c r="M1983" s="1">
        <v>0</v>
      </c>
      <c r="N1983" s="1">
        <v>43.63</v>
      </c>
      <c r="O1983" s="1">
        <v>3054.1</v>
      </c>
      <c r="P1983" s="1">
        <v>3490.4</v>
      </c>
      <c r="Q1983" s="1">
        <v>0</v>
      </c>
      <c r="R1983" s="1">
        <v>2984.41</v>
      </c>
      <c r="S1983" t="s">
        <v>282</v>
      </c>
      <c r="T1983" s="13">
        <v>45921</v>
      </c>
      <c r="U1983" s="1" t="str">
        <f>IF(ESTIMATIVA[[#This Row],[QT_AREA_REAL]]&gt;0,"1- Colhido","2- à Colher")</f>
        <v>1- Colhido</v>
      </c>
      <c r="V1983" s="1" t="str">
        <f>IF(ESTIMATIVA[[#This Row],[QT_AREA_REST1]]&gt;0,"Reestimativa 1",IF(ESTIMATIVA[[#This Row],[QT_AREA_REAL]]=0,"Reestimativa 1","Realizado"))</f>
        <v>Reestimativa 1</v>
      </c>
      <c r="W1983" s="1" t="str">
        <f>IF(ESTIMATIVA[[#This Row],[QT_AREA_REST2]]&gt;0,"Reestimativa 2",IF(ESTIMATIVA[[#This Row],[QT_AREA_REAL]]=0,"Reestimativa 2","Realizado"))</f>
        <v>Realizado</v>
      </c>
      <c r="X1983" s="1">
        <f>ESTIMATIVA[[#This Row],[QT_AREA_EST]]</f>
        <v>43.63</v>
      </c>
      <c r="Y1983" s="1">
        <f>IF(ESTIMATIVA[[#This Row],[QT_AREA_REST1]]&gt;0,ESTIMATIVA[[#This Row],[QT_AREA_REST1]],
  IF(ESTIMATIVA[[#This Row],[QT_AREA_REAL]]&gt;0,ESTIMATIVA[[#This Row],[QT_AREA_REAL]],ESTIMATIVA[[#This Row],[QT_AREA_EST]]))</f>
        <v>43.63</v>
      </c>
      <c r="Z198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43.63</v>
      </c>
      <c r="AA1983" s="1">
        <f>ESTIMATIVA[[#This Row],[QT_CANA_EST]]</f>
        <v>3054.1</v>
      </c>
      <c r="AB1983" s="1">
        <f>IF(ESTIMATIVA[[#This Row],[QT_CANA_REST1]]&gt;0,ESTIMATIVA[[#This Row],[QT_CANA_REST1]],
  IF(ESTIMATIVA[[#This Row],[QT_CANA_REAL]]&gt;0,ESTIMATIVA[[#This Row],[QT_CANA_REAL]],ESTIMATIVA[[#This Row],[QT_CANA_EST]]))</f>
        <v>3490.4</v>
      </c>
      <c r="AC198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2984.41</v>
      </c>
      <c r="AD1983" s="1">
        <f>IF(ESTIMATIVA[[#This Row],[QT_AREA_REAL]]&gt;0,ESTIMATIVA[[#This Row],[QT_CANA_REAL]],ESTIMATIVA[[#This Row],[QT_CANA_EST]])</f>
        <v>2984.41</v>
      </c>
      <c r="AE1983" s="1">
        <f>IF(ESTIMATIVA[[#This Row],[QT_AREA_REAL]]&gt;0,ESTIMATIVA[[#This Row],[QT_CANA_REAL]],ESTIMATIVA[[#This Row],[QT_CANA_REST1]])</f>
        <v>2984.41</v>
      </c>
      <c r="AF1983" s="1">
        <f>IF(ESTIMATIVA[[#This Row],[QT_AREA_REAL]]&gt;0,ESTIMATIVA[[#This Row],[QT_CANA_REAL]],ESTIMATIVA[[#This Row],[QT_CANA_REST2]])</f>
        <v>2984.41</v>
      </c>
      <c r="AG1983" s="1" t="str">
        <f>IF(COUNTIFS(GEADA!A:A,VALUE(ESTIMATIVA[[#This Row],[CD_UPNIVEL1]]&amp;TEXT(ESTIMATIVA[[#This Row],[CD_UPNIVEL3]],"0000")))&gt;0,"S","N")</f>
        <v>N</v>
      </c>
      <c r="AH198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83" s="55" t="str">
        <f>IF(ESTIMATIVA[[#This Row],[TP_CULTIVO]]="Irrigado",_xlfn.MAXIFS(IRRIGADO!J:J,IRRIGADO!C:C,ESTIMATIVA[[#This Row],[CD_UPNIVEL1]],IRRIGADO!E:E,ESTIMATIVA[[#This Row],[CD_UPNIVEL3]]),"")</f>
        <v/>
      </c>
      <c r="AJ198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83" s="1">
        <f>COUNTIFS(Apresentação!$E$23:$E$29,ESTIMATIVA[[#This Row],[CD_UPNIVEL1]])</f>
        <v>0</v>
      </c>
    </row>
    <row r="1984" spans="1:37" x14ac:dyDescent="0.3">
      <c r="A1984">
        <v>30101</v>
      </c>
      <c r="B1984" t="s">
        <v>109</v>
      </c>
      <c r="C1984">
        <v>6</v>
      </c>
      <c r="D1984">
        <v>2</v>
      </c>
      <c r="E1984" t="s">
        <v>266</v>
      </c>
      <c r="F1984" s="85" t="s">
        <v>331</v>
      </c>
      <c r="G1984"/>
      <c r="H1984" t="s">
        <v>294</v>
      </c>
      <c r="I1984" t="s">
        <v>205</v>
      </c>
      <c r="J1984" t="s">
        <v>178</v>
      </c>
      <c r="K1984" s="1">
        <v>18.98</v>
      </c>
      <c r="L1984" s="1">
        <v>0</v>
      </c>
      <c r="M1984" s="1">
        <v>0</v>
      </c>
      <c r="N1984" s="1">
        <v>18.98</v>
      </c>
      <c r="O1984" s="1">
        <v>1328.6</v>
      </c>
      <c r="P1984" s="1">
        <v>0</v>
      </c>
      <c r="Q1984" s="1">
        <v>0</v>
      </c>
      <c r="R1984" s="1">
        <v>1659.5</v>
      </c>
      <c r="S1984" t="s">
        <v>282</v>
      </c>
      <c r="T1984" s="13">
        <v>45851</v>
      </c>
      <c r="U1984" s="1" t="str">
        <f>IF(ESTIMATIVA[[#This Row],[QT_AREA_REAL]]&gt;0,"1- Colhido","2- à Colher")</f>
        <v>1- Colhido</v>
      </c>
      <c r="V1984" s="1" t="str">
        <f>IF(ESTIMATIVA[[#This Row],[QT_AREA_REST1]]&gt;0,"Reestimativa 1",IF(ESTIMATIVA[[#This Row],[QT_AREA_REAL]]=0,"Reestimativa 1","Realizado"))</f>
        <v>Realizado</v>
      </c>
      <c r="W1984" s="1" t="str">
        <f>IF(ESTIMATIVA[[#This Row],[QT_AREA_REST2]]&gt;0,"Reestimativa 2",IF(ESTIMATIVA[[#This Row],[QT_AREA_REAL]]=0,"Reestimativa 2","Realizado"))</f>
        <v>Realizado</v>
      </c>
      <c r="X1984" s="1">
        <f>ESTIMATIVA[[#This Row],[QT_AREA_EST]]</f>
        <v>18.98</v>
      </c>
      <c r="Y1984" s="1">
        <f>IF(ESTIMATIVA[[#This Row],[QT_AREA_REST1]]&gt;0,ESTIMATIVA[[#This Row],[QT_AREA_REST1]],
  IF(ESTIMATIVA[[#This Row],[QT_AREA_REAL]]&gt;0,ESTIMATIVA[[#This Row],[QT_AREA_REAL]],ESTIMATIVA[[#This Row],[QT_AREA_EST]]))</f>
        <v>18.98</v>
      </c>
      <c r="Z198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18.98</v>
      </c>
      <c r="AA1984" s="1">
        <f>ESTIMATIVA[[#This Row],[QT_CANA_EST]]</f>
        <v>1328.6</v>
      </c>
      <c r="AB1984" s="1">
        <f>IF(ESTIMATIVA[[#This Row],[QT_CANA_REST1]]&gt;0,ESTIMATIVA[[#This Row],[QT_CANA_REST1]],
  IF(ESTIMATIVA[[#This Row],[QT_CANA_REAL]]&gt;0,ESTIMATIVA[[#This Row],[QT_CANA_REAL]],ESTIMATIVA[[#This Row],[QT_CANA_EST]]))</f>
        <v>1659.5</v>
      </c>
      <c r="AC198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1659.5</v>
      </c>
      <c r="AD1984" s="1">
        <f>IF(ESTIMATIVA[[#This Row],[QT_AREA_REAL]]&gt;0,ESTIMATIVA[[#This Row],[QT_CANA_REAL]],ESTIMATIVA[[#This Row],[QT_CANA_EST]])</f>
        <v>1659.5</v>
      </c>
      <c r="AE1984" s="1">
        <f>IF(ESTIMATIVA[[#This Row],[QT_AREA_REAL]]&gt;0,ESTIMATIVA[[#This Row],[QT_CANA_REAL]],ESTIMATIVA[[#This Row],[QT_CANA_REST1]])</f>
        <v>1659.5</v>
      </c>
      <c r="AF1984" s="1">
        <f>IF(ESTIMATIVA[[#This Row],[QT_AREA_REAL]]&gt;0,ESTIMATIVA[[#This Row],[QT_CANA_REAL]],ESTIMATIVA[[#This Row],[QT_CANA_REST2]])</f>
        <v>1659.5</v>
      </c>
      <c r="AG1984" s="1" t="str">
        <f>IF(COUNTIFS(GEADA!A:A,VALUE(ESTIMATIVA[[#This Row],[CD_UPNIVEL1]]&amp;TEXT(ESTIMATIVA[[#This Row],[CD_UPNIVEL3]],"0000")))&gt;0,"S","N")</f>
        <v>N</v>
      </c>
      <c r="AH198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84" s="55" t="str">
        <f>IF(ESTIMATIVA[[#This Row],[TP_CULTIVO]]="Irrigado",_xlfn.MAXIFS(IRRIGADO!J:J,IRRIGADO!C:C,ESTIMATIVA[[#This Row],[CD_UPNIVEL1]],IRRIGADO!E:E,ESTIMATIVA[[#This Row],[CD_UPNIVEL3]]),"")</f>
        <v/>
      </c>
      <c r="AJ198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84" s="1">
        <f>COUNTIFS(Apresentação!$E$23:$E$29,ESTIMATIVA[[#This Row],[CD_UPNIVEL1]])</f>
        <v>0</v>
      </c>
    </row>
    <row r="1985" spans="1:37" x14ac:dyDescent="0.3">
      <c r="A1985">
        <v>30101</v>
      </c>
      <c r="B1985" t="s">
        <v>109</v>
      </c>
      <c r="C1985">
        <v>7</v>
      </c>
      <c r="D1985">
        <v>2</v>
      </c>
      <c r="E1985" t="s">
        <v>266</v>
      </c>
      <c r="F1985" s="85" t="s">
        <v>331</v>
      </c>
      <c r="G1985"/>
      <c r="H1985" t="s">
        <v>294</v>
      </c>
      <c r="I1985" t="s">
        <v>207</v>
      </c>
      <c r="J1985" t="s">
        <v>178</v>
      </c>
      <c r="K1985" s="1">
        <v>12.19</v>
      </c>
      <c r="L1985" s="1">
        <v>12.19</v>
      </c>
      <c r="M1985" s="1">
        <v>0</v>
      </c>
      <c r="N1985" s="1">
        <v>12.19</v>
      </c>
      <c r="O1985" s="1">
        <v>767.97</v>
      </c>
      <c r="P1985" s="1">
        <v>865.49</v>
      </c>
      <c r="Q1985" s="1">
        <v>0</v>
      </c>
      <c r="R1985" s="1">
        <v>812.39</v>
      </c>
      <c r="S1985" t="s">
        <v>282</v>
      </c>
      <c r="T1985" s="13">
        <v>45851</v>
      </c>
      <c r="U1985" s="1" t="str">
        <f>IF(ESTIMATIVA[[#This Row],[QT_AREA_REAL]]&gt;0,"1- Colhido","2- à Colher")</f>
        <v>1- Colhido</v>
      </c>
      <c r="V1985" s="1" t="str">
        <f>IF(ESTIMATIVA[[#This Row],[QT_AREA_REST1]]&gt;0,"Reestimativa 1",IF(ESTIMATIVA[[#This Row],[QT_AREA_REAL]]=0,"Reestimativa 1","Realizado"))</f>
        <v>Reestimativa 1</v>
      </c>
      <c r="W1985" s="1" t="str">
        <f>IF(ESTIMATIVA[[#This Row],[QT_AREA_REST2]]&gt;0,"Reestimativa 2",IF(ESTIMATIVA[[#This Row],[QT_AREA_REAL]]=0,"Reestimativa 2","Realizado"))</f>
        <v>Realizado</v>
      </c>
      <c r="X1985" s="1">
        <f>ESTIMATIVA[[#This Row],[QT_AREA_EST]]</f>
        <v>12.19</v>
      </c>
      <c r="Y1985" s="1">
        <f>IF(ESTIMATIVA[[#This Row],[QT_AREA_REST1]]&gt;0,ESTIMATIVA[[#This Row],[QT_AREA_REST1]],
  IF(ESTIMATIVA[[#This Row],[QT_AREA_REAL]]&gt;0,ESTIMATIVA[[#This Row],[QT_AREA_REAL]],ESTIMATIVA[[#This Row],[QT_AREA_EST]]))</f>
        <v>12.19</v>
      </c>
      <c r="Z198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12.19</v>
      </c>
      <c r="AA1985" s="1">
        <f>ESTIMATIVA[[#This Row],[QT_CANA_EST]]</f>
        <v>767.97</v>
      </c>
      <c r="AB1985" s="1">
        <f>IF(ESTIMATIVA[[#This Row],[QT_CANA_REST1]]&gt;0,ESTIMATIVA[[#This Row],[QT_CANA_REST1]],
  IF(ESTIMATIVA[[#This Row],[QT_CANA_REAL]]&gt;0,ESTIMATIVA[[#This Row],[QT_CANA_REAL]],ESTIMATIVA[[#This Row],[QT_CANA_EST]]))</f>
        <v>865.49</v>
      </c>
      <c r="AC198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812.39</v>
      </c>
      <c r="AD1985" s="1">
        <f>IF(ESTIMATIVA[[#This Row],[QT_AREA_REAL]]&gt;0,ESTIMATIVA[[#This Row],[QT_CANA_REAL]],ESTIMATIVA[[#This Row],[QT_CANA_EST]])</f>
        <v>812.39</v>
      </c>
      <c r="AE1985" s="1">
        <f>IF(ESTIMATIVA[[#This Row],[QT_AREA_REAL]]&gt;0,ESTIMATIVA[[#This Row],[QT_CANA_REAL]],ESTIMATIVA[[#This Row],[QT_CANA_REST1]])</f>
        <v>812.39</v>
      </c>
      <c r="AF1985" s="1">
        <f>IF(ESTIMATIVA[[#This Row],[QT_AREA_REAL]]&gt;0,ESTIMATIVA[[#This Row],[QT_CANA_REAL]],ESTIMATIVA[[#This Row],[QT_CANA_REST2]])</f>
        <v>812.39</v>
      </c>
      <c r="AG1985" s="1" t="str">
        <f>IF(COUNTIFS(GEADA!A:A,VALUE(ESTIMATIVA[[#This Row],[CD_UPNIVEL1]]&amp;TEXT(ESTIMATIVA[[#This Row],[CD_UPNIVEL3]],"0000")))&gt;0,"S","N")</f>
        <v>N</v>
      </c>
      <c r="AH198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85" s="55" t="str">
        <f>IF(ESTIMATIVA[[#This Row],[TP_CULTIVO]]="Irrigado",_xlfn.MAXIFS(IRRIGADO!J:J,IRRIGADO!C:C,ESTIMATIVA[[#This Row],[CD_UPNIVEL1]],IRRIGADO!E:E,ESTIMATIVA[[#This Row],[CD_UPNIVEL3]]),"")</f>
        <v/>
      </c>
      <c r="AJ198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85" s="1">
        <f>COUNTIFS(Apresentação!$E$23:$E$29,ESTIMATIVA[[#This Row],[CD_UPNIVEL1]])</f>
        <v>0</v>
      </c>
    </row>
    <row r="1986" spans="1:37" x14ac:dyDescent="0.3">
      <c r="A1986">
        <v>30101</v>
      </c>
      <c r="B1986" t="s">
        <v>109</v>
      </c>
      <c r="C1986">
        <v>8</v>
      </c>
      <c r="D1986">
        <v>2</v>
      </c>
      <c r="E1986" t="s">
        <v>266</v>
      </c>
      <c r="F1986" s="85" t="s">
        <v>331</v>
      </c>
      <c r="G1986"/>
      <c r="H1986" t="s">
        <v>294</v>
      </c>
      <c r="I1986" t="s">
        <v>205</v>
      </c>
      <c r="J1986" t="s">
        <v>178</v>
      </c>
      <c r="K1986" s="1">
        <v>48.53</v>
      </c>
      <c r="L1986" s="1">
        <v>48.53</v>
      </c>
      <c r="M1986" s="1">
        <v>48.53</v>
      </c>
      <c r="N1986" s="1">
        <v>48.53</v>
      </c>
      <c r="O1986" s="1">
        <v>3057.39</v>
      </c>
      <c r="P1986" s="1">
        <v>3397.1</v>
      </c>
      <c r="Q1986" s="1">
        <v>3736.81</v>
      </c>
      <c r="R1986" s="1">
        <v>3780.04</v>
      </c>
      <c r="S1986" t="s">
        <v>282</v>
      </c>
      <c r="T1986" s="13">
        <v>46005</v>
      </c>
      <c r="U1986" s="1" t="str">
        <f>IF(ESTIMATIVA[[#This Row],[QT_AREA_REAL]]&gt;0,"1- Colhido","2- à Colher")</f>
        <v>1- Colhido</v>
      </c>
      <c r="V1986" s="1" t="str">
        <f>IF(ESTIMATIVA[[#This Row],[QT_AREA_REST1]]&gt;0,"Reestimativa 1",IF(ESTIMATIVA[[#This Row],[QT_AREA_REAL]]=0,"Reestimativa 1","Realizado"))</f>
        <v>Reestimativa 1</v>
      </c>
      <c r="W1986" s="1" t="str">
        <f>IF(ESTIMATIVA[[#This Row],[QT_AREA_REST2]]&gt;0,"Reestimativa 2",IF(ESTIMATIVA[[#This Row],[QT_AREA_REAL]]=0,"Reestimativa 2","Realizado"))</f>
        <v>Reestimativa 2</v>
      </c>
      <c r="X1986" s="1">
        <f>ESTIMATIVA[[#This Row],[QT_AREA_EST]]</f>
        <v>48.53</v>
      </c>
      <c r="Y1986" s="1">
        <f>IF(ESTIMATIVA[[#This Row],[QT_AREA_REST1]]&gt;0,ESTIMATIVA[[#This Row],[QT_AREA_REST1]],
  IF(ESTIMATIVA[[#This Row],[QT_AREA_REAL]]&gt;0,ESTIMATIVA[[#This Row],[QT_AREA_REAL]],ESTIMATIVA[[#This Row],[QT_AREA_EST]]))</f>
        <v>48.53</v>
      </c>
      <c r="Z198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48.53</v>
      </c>
      <c r="AA1986" s="1">
        <f>ESTIMATIVA[[#This Row],[QT_CANA_EST]]</f>
        <v>3057.39</v>
      </c>
      <c r="AB1986" s="1">
        <f>IF(ESTIMATIVA[[#This Row],[QT_CANA_REST1]]&gt;0,ESTIMATIVA[[#This Row],[QT_CANA_REST1]],
  IF(ESTIMATIVA[[#This Row],[QT_CANA_REAL]]&gt;0,ESTIMATIVA[[#This Row],[QT_CANA_REAL]],ESTIMATIVA[[#This Row],[QT_CANA_EST]]))</f>
        <v>3397.1</v>
      </c>
      <c r="AC198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3736.81</v>
      </c>
      <c r="AD1986" s="1">
        <f>IF(ESTIMATIVA[[#This Row],[QT_AREA_REAL]]&gt;0,ESTIMATIVA[[#This Row],[QT_CANA_REAL]],ESTIMATIVA[[#This Row],[QT_CANA_EST]])</f>
        <v>3780.04</v>
      </c>
      <c r="AE1986" s="1">
        <f>IF(ESTIMATIVA[[#This Row],[QT_AREA_REAL]]&gt;0,ESTIMATIVA[[#This Row],[QT_CANA_REAL]],ESTIMATIVA[[#This Row],[QT_CANA_REST1]])</f>
        <v>3780.04</v>
      </c>
      <c r="AF1986" s="1">
        <f>IF(ESTIMATIVA[[#This Row],[QT_AREA_REAL]]&gt;0,ESTIMATIVA[[#This Row],[QT_CANA_REAL]],ESTIMATIVA[[#This Row],[QT_CANA_REST2]])</f>
        <v>3780.04</v>
      </c>
      <c r="AG1986" s="1" t="str">
        <f>IF(COUNTIFS(GEADA!A:A,VALUE(ESTIMATIVA[[#This Row],[CD_UPNIVEL1]]&amp;TEXT(ESTIMATIVA[[#This Row],[CD_UPNIVEL3]],"0000")))&gt;0,"S","N")</f>
        <v>N</v>
      </c>
      <c r="AH198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86" s="55" t="str">
        <f>IF(ESTIMATIVA[[#This Row],[TP_CULTIVO]]="Irrigado",_xlfn.MAXIFS(IRRIGADO!J:J,IRRIGADO!C:C,ESTIMATIVA[[#This Row],[CD_UPNIVEL1]],IRRIGADO!E:E,ESTIMATIVA[[#This Row],[CD_UPNIVEL3]]),"")</f>
        <v/>
      </c>
      <c r="AJ198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86" s="1">
        <f>COUNTIFS(Apresentação!$E$23:$E$29,ESTIMATIVA[[#This Row],[CD_UPNIVEL1]])</f>
        <v>0</v>
      </c>
    </row>
    <row r="1987" spans="1:37" x14ac:dyDescent="0.3">
      <c r="A1987">
        <v>30101</v>
      </c>
      <c r="B1987" t="s">
        <v>109</v>
      </c>
      <c r="C1987">
        <v>9</v>
      </c>
      <c r="D1987">
        <v>2</v>
      </c>
      <c r="E1987" t="s">
        <v>266</v>
      </c>
      <c r="F1987" s="85" t="s">
        <v>331</v>
      </c>
      <c r="G1987"/>
      <c r="H1987" t="s">
        <v>294</v>
      </c>
      <c r="I1987" t="s">
        <v>205</v>
      </c>
      <c r="J1987" t="s">
        <v>178</v>
      </c>
      <c r="K1987" s="1">
        <v>36.61</v>
      </c>
      <c r="L1987" s="1">
        <v>36.61</v>
      </c>
      <c r="M1987" s="1">
        <v>36.61</v>
      </c>
      <c r="N1987" s="1">
        <v>36.61</v>
      </c>
      <c r="O1987" s="1">
        <v>2562.6999999999998</v>
      </c>
      <c r="P1987" s="1">
        <v>2709.14</v>
      </c>
      <c r="Q1987" s="1">
        <v>2928.8</v>
      </c>
      <c r="R1987" s="1">
        <v>2962.65</v>
      </c>
      <c r="S1987" t="s">
        <v>282</v>
      </c>
      <c r="T1987" s="13">
        <v>46005</v>
      </c>
      <c r="U1987" s="1" t="str">
        <f>IF(ESTIMATIVA[[#This Row],[QT_AREA_REAL]]&gt;0,"1- Colhido","2- à Colher")</f>
        <v>1- Colhido</v>
      </c>
      <c r="V1987" s="1" t="str">
        <f>IF(ESTIMATIVA[[#This Row],[QT_AREA_REST1]]&gt;0,"Reestimativa 1",IF(ESTIMATIVA[[#This Row],[QT_AREA_REAL]]=0,"Reestimativa 1","Realizado"))</f>
        <v>Reestimativa 1</v>
      </c>
      <c r="W1987" s="1" t="str">
        <f>IF(ESTIMATIVA[[#This Row],[QT_AREA_REST2]]&gt;0,"Reestimativa 2",IF(ESTIMATIVA[[#This Row],[QT_AREA_REAL]]=0,"Reestimativa 2","Realizado"))</f>
        <v>Reestimativa 2</v>
      </c>
      <c r="X1987" s="1">
        <f>ESTIMATIVA[[#This Row],[QT_AREA_EST]]</f>
        <v>36.61</v>
      </c>
      <c r="Y1987" s="1">
        <f>IF(ESTIMATIVA[[#This Row],[QT_AREA_REST1]]&gt;0,ESTIMATIVA[[#This Row],[QT_AREA_REST1]],
  IF(ESTIMATIVA[[#This Row],[QT_AREA_REAL]]&gt;0,ESTIMATIVA[[#This Row],[QT_AREA_REAL]],ESTIMATIVA[[#This Row],[QT_AREA_EST]]))</f>
        <v>36.61</v>
      </c>
      <c r="Z198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36.61</v>
      </c>
      <c r="AA1987" s="1">
        <f>ESTIMATIVA[[#This Row],[QT_CANA_EST]]</f>
        <v>2562.6999999999998</v>
      </c>
      <c r="AB1987" s="1">
        <f>IF(ESTIMATIVA[[#This Row],[QT_CANA_REST1]]&gt;0,ESTIMATIVA[[#This Row],[QT_CANA_REST1]],
  IF(ESTIMATIVA[[#This Row],[QT_CANA_REAL]]&gt;0,ESTIMATIVA[[#This Row],[QT_CANA_REAL]],ESTIMATIVA[[#This Row],[QT_CANA_EST]]))</f>
        <v>2709.14</v>
      </c>
      <c r="AC198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2928.8</v>
      </c>
      <c r="AD1987" s="1">
        <f>IF(ESTIMATIVA[[#This Row],[QT_AREA_REAL]]&gt;0,ESTIMATIVA[[#This Row],[QT_CANA_REAL]],ESTIMATIVA[[#This Row],[QT_CANA_EST]])</f>
        <v>2962.65</v>
      </c>
      <c r="AE1987" s="1">
        <f>IF(ESTIMATIVA[[#This Row],[QT_AREA_REAL]]&gt;0,ESTIMATIVA[[#This Row],[QT_CANA_REAL]],ESTIMATIVA[[#This Row],[QT_CANA_REST1]])</f>
        <v>2962.65</v>
      </c>
      <c r="AF1987" s="1">
        <f>IF(ESTIMATIVA[[#This Row],[QT_AREA_REAL]]&gt;0,ESTIMATIVA[[#This Row],[QT_CANA_REAL]],ESTIMATIVA[[#This Row],[QT_CANA_REST2]])</f>
        <v>2962.65</v>
      </c>
      <c r="AG1987" s="1" t="str">
        <f>IF(COUNTIFS(GEADA!A:A,VALUE(ESTIMATIVA[[#This Row],[CD_UPNIVEL1]]&amp;TEXT(ESTIMATIVA[[#This Row],[CD_UPNIVEL3]],"0000")))&gt;0,"S","N")</f>
        <v>N</v>
      </c>
      <c r="AH198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87" s="55" t="str">
        <f>IF(ESTIMATIVA[[#This Row],[TP_CULTIVO]]="Irrigado",_xlfn.MAXIFS(IRRIGADO!J:J,IRRIGADO!C:C,ESTIMATIVA[[#This Row],[CD_UPNIVEL1]],IRRIGADO!E:E,ESTIMATIVA[[#This Row],[CD_UPNIVEL3]]),"")</f>
        <v/>
      </c>
      <c r="AJ198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87" s="1">
        <f>COUNTIFS(Apresentação!$E$23:$E$29,ESTIMATIVA[[#This Row],[CD_UPNIVEL1]])</f>
        <v>0</v>
      </c>
    </row>
    <row r="1988" spans="1:37" x14ac:dyDescent="0.3">
      <c r="A1988">
        <v>30101</v>
      </c>
      <c r="B1988" t="s">
        <v>109</v>
      </c>
      <c r="C1988">
        <v>10</v>
      </c>
      <c r="D1988">
        <v>2</v>
      </c>
      <c r="E1988" t="s">
        <v>266</v>
      </c>
      <c r="F1988" s="85" t="s">
        <v>331</v>
      </c>
      <c r="G1988"/>
      <c r="H1988" t="s">
        <v>294</v>
      </c>
      <c r="I1988" t="s">
        <v>205</v>
      </c>
      <c r="J1988" t="s">
        <v>178</v>
      </c>
      <c r="K1988" s="1">
        <v>38.28</v>
      </c>
      <c r="L1988" s="1">
        <v>38.28</v>
      </c>
      <c r="M1988" s="1">
        <v>38.28</v>
      </c>
      <c r="N1988" s="1">
        <v>38.28</v>
      </c>
      <c r="O1988" s="1">
        <v>2679.6</v>
      </c>
      <c r="P1988" s="1">
        <v>2832.72</v>
      </c>
      <c r="Q1988" s="1">
        <v>3062.4</v>
      </c>
      <c r="R1988" s="1">
        <v>3097.2</v>
      </c>
      <c r="S1988" t="s">
        <v>282</v>
      </c>
      <c r="T1988" s="13">
        <v>46005</v>
      </c>
      <c r="U1988" s="1" t="str">
        <f>IF(ESTIMATIVA[[#This Row],[QT_AREA_REAL]]&gt;0,"1- Colhido","2- à Colher")</f>
        <v>1- Colhido</v>
      </c>
      <c r="V1988" s="1" t="str">
        <f>IF(ESTIMATIVA[[#This Row],[QT_AREA_REST1]]&gt;0,"Reestimativa 1",IF(ESTIMATIVA[[#This Row],[QT_AREA_REAL]]=0,"Reestimativa 1","Realizado"))</f>
        <v>Reestimativa 1</v>
      </c>
      <c r="W1988" s="1" t="str">
        <f>IF(ESTIMATIVA[[#This Row],[QT_AREA_REST2]]&gt;0,"Reestimativa 2",IF(ESTIMATIVA[[#This Row],[QT_AREA_REAL]]=0,"Reestimativa 2","Realizado"))</f>
        <v>Reestimativa 2</v>
      </c>
      <c r="X1988" s="1">
        <f>ESTIMATIVA[[#This Row],[QT_AREA_EST]]</f>
        <v>38.28</v>
      </c>
      <c r="Y1988" s="1">
        <f>IF(ESTIMATIVA[[#This Row],[QT_AREA_REST1]]&gt;0,ESTIMATIVA[[#This Row],[QT_AREA_REST1]],
  IF(ESTIMATIVA[[#This Row],[QT_AREA_REAL]]&gt;0,ESTIMATIVA[[#This Row],[QT_AREA_REAL]],ESTIMATIVA[[#This Row],[QT_AREA_EST]]))</f>
        <v>38.28</v>
      </c>
      <c r="Z198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38.28</v>
      </c>
      <c r="AA1988" s="1">
        <f>ESTIMATIVA[[#This Row],[QT_CANA_EST]]</f>
        <v>2679.6</v>
      </c>
      <c r="AB1988" s="1">
        <f>IF(ESTIMATIVA[[#This Row],[QT_CANA_REST1]]&gt;0,ESTIMATIVA[[#This Row],[QT_CANA_REST1]],
  IF(ESTIMATIVA[[#This Row],[QT_CANA_REAL]]&gt;0,ESTIMATIVA[[#This Row],[QT_CANA_REAL]],ESTIMATIVA[[#This Row],[QT_CANA_EST]]))</f>
        <v>2832.72</v>
      </c>
      <c r="AC198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3062.4</v>
      </c>
      <c r="AD1988" s="1">
        <f>IF(ESTIMATIVA[[#This Row],[QT_AREA_REAL]]&gt;0,ESTIMATIVA[[#This Row],[QT_CANA_REAL]],ESTIMATIVA[[#This Row],[QT_CANA_EST]])</f>
        <v>3097.2</v>
      </c>
      <c r="AE1988" s="1">
        <f>IF(ESTIMATIVA[[#This Row],[QT_AREA_REAL]]&gt;0,ESTIMATIVA[[#This Row],[QT_CANA_REAL]],ESTIMATIVA[[#This Row],[QT_CANA_REST1]])</f>
        <v>3097.2</v>
      </c>
      <c r="AF1988" s="1">
        <f>IF(ESTIMATIVA[[#This Row],[QT_AREA_REAL]]&gt;0,ESTIMATIVA[[#This Row],[QT_CANA_REAL]],ESTIMATIVA[[#This Row],[QT_CANA_REST2]])</f>
        <v>3097.2</v>
      </c>
      <c r="AG1988" s="1" t="str">
        <f>IF(COUNTIFS(GEADA!A:A,VALUE(ESTIMATIVA[[#This Row],[CD_UPNIVEL1]]&amp;TEXT(ESTIMATIVA[[#This Row],[CD_UPNIVEL3]],"0000")))&gt;0,"S","N")</f>
        <v>N</v>
      </c>
      <c r="AH198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88" s="55" t="str">
        <f>IF(ESTIMATIVA[[#This Row],[TP_CULTIVO]]="Irrigado",_xlfn.MAXIFS(IRRIGADO!J:J,IRRIGADO!C:C,ESTIMATIVA[[#This Row],[CD_UPNIVEL1]],IRRIGADO!E:E,ESTIMATIVA[[#This Row],[CD_UPNIVEL3]]),"")</f>
        <v/>
      </c>
      <c r="AJ198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88" s="1">
        <f>COUNTIFS(Apresentação!$E$23:$E$29,ESTIMATIVA[[#This Row],[CD_UPNIVEL1]])</f>
        <v>0</v>
      </c>
    </row>
    <row r="1989" spans="1:37" x14ac:dyDescent="0.3">
      <c r="A1989">
        <v>30101</v>
      </c>
      <c r="B1989" t="s">
        <v>109</v>
      </c>
      <c r="C1989">
        <v>11</v>
      </c>
      <c r="D1989">
        <v>2</v>
      </c>
      <c r="E1989" t="s">
        <v>266</v>
      </c>
      <c r="F1989" s="85" t="s">
        <v>331</v>
      </c>
      <c r="G1989"/>
      <c r="H1989" t="s">
        <v>294</v>
      </c>
      <c r="I1989" t="s">
        <v>205</v>
      </c>
      <c r="J1989" t="s">
        <v>178</v>
      </c>
      <c r="K1989" s="1">
        <v>6.45</v>
      </c>
      <c r="L1989" s="1">
        <v>6.45</v>
      </c>
      <c r="M1989" s="1">
        <v>6.45</v>
      </c>
      <c r="N1989" s="1">
        <v>6.45</v>
      </c>
      <c r="O1989" s="1">
        <v>451.5</v>
      </c>
      <c r="P1989" s="1">
        <v>477.3</v>
      </c>
      <c r="Q1989" s="1">
        <v>516</v>
      </c>
      <c r="R1989" s="1">
        <v>521.70000000000005</v>
      </c>
      <c r="S1989" t="s">
        <v>282</v>
      </c>
      <c r="T1989" s="13">
        <v>46005</v>
      </c>
      <c r="U1989" s="1" t="str">
        <f>IF(ESTIMATIVA[[#This Row],[QT_AREA_REAL]]&gt;0,"1- Colhido","2- à Colher")</f>
        <v>1- Colhido</v>
      </c>
      <c r="V1989" s="1" t="str">
        <f>IF(ESTIMATIVA[[#This Row],[QT_AREA_REST1]]&gt;0,"Reestimativa 1",IF(ESTIMATIVA[[#This Row],[QT_AREA_REAL]]=0,"Reestimativa 1","Realizado"))</f>
        <v>Reestimativa 1</v>
      </c>
      <c r="W1989" s="1" t="str">
        <f>IF(ESTIMATIVA[[#This Row],[QT_AREA_REST2]]&gt;0,"Reestimativa 2",IF(ESTIMATIVA[[#This Row],[QT_AREA_REAL]]=0,"Reestimativa 2","Realizado"))</f>
        <v>Reestimativa 2</v>
      </c>
      <c r="X1989" s="1">
        <f>ESTIMATIVA[[#This Row],[QT_AREA_EST]]</f>
        <v>6.45</v>
      </c>
      <c r="Y1989" s="1">
        <f>IF(ESTIMATIVA[[#This Row],[QT_AREA_REST1]]&gt;0,ESTIMATIVA[[#This Row],[QT_AREA_REST1]],
  IF(ESTIMATIVA[[#This Row],[QT_AREA_REAL]]&gt;0,ESTIMATIVA[[#This Row],[QT_AREA_REAL]],ESTIMATIVA[[#This Row],[QT_AREA_EST]]))</f>
        <v>6.45</v>
      </c>
      <c r="Z198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6.45</v>
      </c>
      <c r="AA1989" s="1">
        <f>ESTIMATIVA[[#This Row],[QT_CANA_EST]]</f>
        <v>451.5</v>
      </c>
      <c r="AB1989" s="1">
        <f>IF(ESTIMATIVA[[#This Row],[QT_CANA_REST1]]&gt;0,ESTIMATIVA[[#This Row],[QT_CANA_REST1]],
  IF(ESTIMATIVA[[#This Row],[QT_CANA_REAL]]&gt;0,ESTIMATIVA[[#This Row],[QT_CANA_REAL]],ESTIMATIVA[[#This Row],[QT_CANA_EST]]))</f>
        <v>477.3</v>
      </c>
      <c r="AC198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516</v>
      </c>
      <c r="AD1989" s="1">
        <f>IF(ESTIMATIVA[[#This Row],[QT_AREA_REAL]]&gt;0,ESTIMATIVA[[#This Row],[QT_CANA_REAL]],ESTIMATIVA[[#This Row],[QT_CANA_EST]])</f>
        <v>521.70000000000005</v>
      </c>
      <c r="AE1989" s="1">
        <f>IF(ESTIMATIVA[[#This Row],[QT_AREA_REAL]]&gt;0,ESTIMATIVA[[#This Row],[QT_CANA_REAL]],ESTIMATIVA[[#This Row],[QT_CANA_REST1]])</f>
        <v>521.70000000000005</v>
      </c>
      <c r="AF1989" s="1">
        <f>IF(ESTIMATIVA[[#This Row],[QT_AREA_REAL]]&gt;0,ESTIMATIVA[[#This Row],[QT_CANA_REAL]],ESTIMATIVA[[#This Row],[QT_CANA_REST2]])</f>
        <v>521.70000000000005</v>
      </c>
      <c r="AG1989" s="1" t="str">
        <f>IF(COUNTIFS(GEADA!A:A,VALUE(ESTIMATIVA[[#This Row],[CD_UPNIVEL1]]&amp;TEXT(ESTIMATIVA[[#This Row],[CD_UPNIVEL3]],"0000")))&gt;0,"S","N")</f>
        <v>N</v>
      </c>
      <c r="AH198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89" s="55" t="str">
        <f>IF(ESTIMATIVA[[#This Row],[TP_CULTIVO]]="Irrigado",_xlfn.MAXIFS(IRRIGADO!J:J,IRRIGADO!C:C,ESTIMATIVA[[#This Row],[CD_UPNIVEL1]],IRRIGADO!E:E,ESTIMATIVA[[#This Row],[CD_UPNIVEL3]]),"")</f>
        <v/>
      </c>
      <c r="AJ198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89" s="1">
        <f>COUNTIFS(Apresentação!$E$23:$E$29,ESTIMATIVA[[#This Row],[CD_UPNIVEL1]])</f>
        <v>0</v>
      </c>
    </row>
    <row r="1990" spans="1:37" x14ac:dyDescent="0.3">
      <c r="A1990">
        <v>30101</v>
      </c>
      <c r="B1990" t="s">
        <v>109</v>
      </c>
      <c r="C1990">
        <v>12</v>
      </c>
      <c r="D1990">
        <v>2</v>
      </c>
      <c r="E1990" t="s">
        <v>266</v>
      </c>
      <c r="F1990" s="85" t="s">
        <v>331</v>
      </c>
      <c r="G1990"/>
      <c r="H1990" t="s">
        <v>294</v>
      </c>
      <c r="I1990" t="s">
        <v>205</v>
      </c>
      <c r="J1990" t="s">
        <v>178</v>
      </c>
      <c r="K1990" s="1">
        <v>18.14</v>
      </c>
      <c r="L1990" s="1">
        <v>18.14</v>
      </c>
      <c r="M1990" s="1">
        <v>18.14</v>
      </c>
      <c r="N1990" s="1">
        <v>18.14</v>
      </c>
      <c r="O1990" s="1">
        <v>1269.8</v>
      </c>
      <c r="P1990" s="1">
        <v>1342.36</v>
      </c>
      <c r="Q1990" s="1">
        <v>1451.2</v>
      </c>
      <c r="R1990" s="1">
        <v>1467.49</v>
      </c>
      <c r="S1990" t="s">
        <v>282</v>
      </c>
      <c r="T1990" s="13">
        <v>46005</v>
      </c>
      <c r="U1990" s="1" t="str">
        <f>IF(ESTIMATIVA[[#This Row],[QT_AREA_REAL]]&gt;0,"1- Colhido","2- à Colher")</f>
        <v>1- Colhido</v>
      </c>
      <c r="V1990" s="1" t="str">
        <f>IF(ESTIMATIVA[[#This Row],[QT_AREA_REST1]]&gt;0,"Reestimativa 1",IF(ESTIMATIVA[[#This Row],[QT_AREA_REAL]]=0,"Reestimativa 1","Realizado"))</f>
        <v>Reestimativa 1</v>
      </c>
      <c r="W1990" s="1" t="str">
        <f>IF(ESTIMATIVA[[#This Row],[QT_AREA_REST2]]&gt;0,"Reestimativa 2",IF(ESTIMATIVA[[#This Row],[QT_AREA_REAL]]=0,"Reestimativa 2","Realizado"))</f>
        <v>Reestimativa 2</v>
      </c>
      <c r="X1990" s="1">
        <f>ESTIMATIVA[[#This Row],[QT_AREA_EST]]</f>
        <v>18.14</v>
      </c>
      <c r="Y1990" s="1">
        <f>IF(ESTIMATIVA[[#This Row],[QT_AREA_REST1]]&gt;0,ESTIMATIVA[[#This Row],[QT_AREA_REST1]],
  IF(ESTIMATIVA[[#This Row],[QT_AREA_REAL]]&gt;0,ESTIMATIVA[[#This Row],[QT_AREA_REAL]],ESTIMATIVA[[#This Row],[QT_AREA_EST]]))</f>
        <v>18.14</v>
      </c>
      <c r="Z199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18.14</v>
      </c>
      <c r="AA1990" s="1">
        <f>ESTIMATIVA[[#This Row],[QT_CANA_EST]]</f>
        <v>1269.8</v>
      </c>
      <c r="AB1990" s="1">
        <f>IF(ESTIMATIVA[[#This Row],[QT_CANA_REST1]]&gt;0,ESTIMATIVA[[#This Row],[QT_CANA_REST1]],
  IF(ESTIMATIVA[[#This Row],[QT_CANA_REAL]]&gt;0,ESTIMATIVA[[#This Row],[QT_CANA_REAL]],ESTIMATIVA[[#This Row],[QT_CANA_EST]]))</f>
        <v>1342.36</v>
      </c>
      <c r="AC199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1451.2</v>
      </c>
      <c r="AD1990" s="1">
        <f>IF(ESTIMATIVA[[#This Row],[QT_AREA_REAL]]&gt;0,ESTIMATIVA[[#This Row],[QT_CANA_REAL]],ESTIMATIVA[[#This Row],[QT_CANA_EST]])</f>
        <v>1467.49</v>
      </c>
      <c r="AE1990" s="1">
        <f>IF(ESTIMATIVA[[#This Row],[QT_AREA_REAL]]&gt;0,ESTIMATIVA[[#This Row],[QT_CANA_REAL]],ESTIMATIVA[[#This Row],[QT_CANA_REST1]])</f>
        <v>1467.49</v>
      </c>
      <c r="AF1990" s="1">
        <f>IF(ESTIMATIVA[[#This Row],[QT_AREA_REAL]]&gt;0,ESTIMATIVA[[#This Row],[QT_CANA_REAL]],ESTIMATIVA[[#This Row],[QT_CANA_REST2]])</f>
        <v>1467.49</v>
      </c>
      <c r="AG1990" s="1" t="str">
        <f>IF(COUNTIFS(GEADA!A:A,VALUE(ESTIMATIVA[[#This Row],[CD_UPNIVEL1]]&amp;TEXT(ESTIMATIVA[[#This Row],[CD_UPNIVEL3]],"0000")))&gt;0,"S","N")</f>
        <v>N</v>
      </c>
      <c r="AH199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90" s="55" t="str">
        <f>IF(ESTIMATIVA[[#This Row],[TP_CULTIVO]]="Irrigado",_xlfn.MAXIFS(IRRIGADO!J:J,IRRIGADO!C:C,ESTIMATIVA[[#This Row],[CD_UPNIVEL1]],IRRIGADO!E:E,ESTIMATIVA[[#This Row],[CD_UPNIVEL3]]),"")</f>
        <v/>
      </c>
      <c r="AJ199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90" s="1">
        <f>COUNTIFS(Apresentação!$E$23:$E$29,ESTIMATIVA[[#This Row],[CD_UPNIVEL1]])</f>
        <v>0</v>
      </c>
    </row>
    <row r="1991" spans="1:37" x14ac:dyDescent="0.3">
      <c r="A1991">
        <v>30101</v>
      </c>
      <c r="B1991" t="s">
        <v>109</v>
      </c>
      <c r="C1991">
        <v>13</v>
      </c>
      <c r="D1991">
        <v>2</v>
      </c>
      <c r="E1991" t="s">
        <v>266</v>
      </c>
      <c r="F1991" s="85" t="s">
        <v>331</v>
      </c>
      <c r="G1991"/>
      <c r="H1991" t="s">
        <v>294</v>
      </c>
      <c r="I1991" t="s">
        <v>205</v>
      </c>
      <c r="J1991" t="s">
        <v>178</v>
      </c>
      <c r="K1991" s="1">
        <v>41.87</v>
      </c>
      <c r="L1991" s="1">
        <v>41.87</v>
      </c>
      <c r="M1991" s="1">
        <v>41.87</v>
      </c>
      <c r="N1991" s="1">
        <v>41.87</v>
      </c>
      <c r="O1991" s="1">
        <v>2930.9</v>
      </c>
      <c r="P1991" s="1">
        <v>3098.38</v>
      </c>
      <c r="Q1991" s="1">
        <v>3349.6</v>
      </c>
      <c r="R1991" s="1">
        <v>3388.56</v>
      </c>
      <c r="S1991" t="s">
        <v>282</v>
      </c>
      <c r="T1991" s="13">
        <v>46005</v>
      </c>
      <c r="U1991" s="1" t="str">
        <f>IF(ESTIMATIVA[[#This Row],[QT_AREA_REAL]]&gt;0,"1- Colhido","2- à Colher")</f>
        <v>1- Colhido</v>
      </c>
      <c r="V1991" s="1" t="str">
        <f>IF(ESTIMATIVA[[#This Row],[QT_AREA_REST1]]&gt;0,"Reestimativa 1",IF(ESTIMATIVA[[#This Row],[QT_AREA_REAL]]=0,"Reestimativa 1","Realizado"))</f>
        <v>Reestimativa 1</v>
      </c>
      <c r="W1991" s="1" t="str">
        <f>IF(ESTIMATIVA[[#This Row],[QT_AREA_REST2]]&gt;0,"Reestimativa 2",IF(ESTIMATIVA[[#This Row],[QT_AREA_REAL]]=0,"Reestimativa 2","Realizado"))</f>
        <v>Reestimativa 2</v>
      </c>
      <c r="X1991" s="1">
        <f>ESTIMATIVA[[#This Row],[QT_AREA_EST]]</f>
        <v>41.87</v>
      </c>
      <c r="Y1991" s="1">
        <f>IF(ESTIMATIVA[[#This Row],[QT_AREA_REST1]]&gt;0,ESTIMATIVA[[#This Row],[QT_AREA_REST1]],
  IF(ESTIMATIVA[[#This Row],[QT_AREA_REAL]]&gt;0,ESTIMATIVA[[#This Row],[QT_AREA_REAL]],ESTIMATIVA[[#This Row],[QT_AREA_EST]]))</f>
        <v>41.87</v>
      </c>
      <c r="Z199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41.87</v>
      </c>
      <c r="AA1991" s="1">
        <f>ESTIMATIVA[[#This Row],[QT_CANA_EST]]</f>
        <v>2930.9</v>
      </c>
      <c r="AB1991" s="1">
        <f>IF(ESTIMATIVA[[#This Row],[QT_CANA_REST1]]&gt;0,ESTIMATIVA[[#This Row],[QT_CANA_REST1]],
  IF(ESTIMATIVA[[#This Row],[QT_CANA_REAL]]&gt;0,ESTIMATIVA[[#This Row],[QT_CANA_REAL]],ESTIMATIVA[[#This Row],[QT_CANA_EST]]))</f>
        <v>3098.38</v>
      </c>
      <c r="AC199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3349.6</v>
      </c>
      <c r="AD1991" s="1">
        <f>IF(ESTIMATIVA[[#This Row],[QT_AREA_REAL]]&gt;0,ESTIMATIVA[[#This Row],[QT_CANA_REAL]],ESTIMATIVA[[#This Row],[QT_CANA_EST]])</f>
        <v>3388.56</v>
      </c>
      <c r="AE1991" s="1">
        <f>IF(ESTIMATIVA[[#This Row],[QT_AREA_REAL]]&gt;0,ESTIMATIVA[[#This Row],[QT_CANA_REAL]],ESTIMATIVA[[#This Row],[QT_CANA_REST1]])</f>
        <v>3388.56</v>
      </c>
      <c r="AF1991" s="1">
        <f>IF(ESTIMATIVA[[#This Row],[QT_AREA_REAL]]&gt;0,ESTIMATIVA[[#This Row],[QT_CANA_REAL]],ESTIMATIVA[[#This Row],[QT_CANA_REST2]])</f>
        <v>3388.56</v>
      </c>
      <c r="AG1991" s="1" t="str">
        <f>IF(COUNTIFS(GEADA!A:A,VALUE(ESTIMATIVA[[#This Row],[CD_UPNIVEL1]]&amp;TEXT(ESTIMATIVA[[#This Row],[CD_UPNIVEL3]],"0000")))&gt;0,"S","N")</f>
        <v>N</v>
      </c>
      <c r="AH199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91" s="55" t="str">
        <f>IF(ESTIMATIVA[[#This Row],[TP_CULTIVO]]="Irrigado",_xlfn.MAXIFS(IRRIGADO!J:J,IRRIGADO!C:C,ESTIMATIVA[[#This Row],[CD_UPNIVEL1]],IRRIGADO!E:E,ESTIMATIVA[[#This Row],[CD_UPNIVEL3]]),"")</f>
        <v/>
      </c>
      <c r="AJ199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91" s="1">
        <f>COUNTIFS(Apresentação!$E$23:$E$29,ESTIMATIVA[[#This Row],[CD_UPNIVEL1]])</f>
        <v>0</v>
      </c>
    </row>
    <row r="1992" spans="1:37" x14ac:dyDescent="0.3">
      <c r="A1992">
        <v>30101</v>
      </c>
      <c r="B1992" t="s">
        <v>109</v>
      </c>
      <c r="C1992">
        <v>14</v>
      </c>
      <c r="D1992">
        <v>2</v>
      </c>
      <c r="E1992" t="s">
        <v>266</v>
      </c>
      <c r="F1992" s="85" t="s">
        <v>331</v>
      </c>
      <c r="G1992"/>
      <c r="H1992" t="s">
        <v>294</v>
      </c>
      <c r="I1992" t="s">
        <v>205</v>
      </c>
      <c r="J1992" t="s">
        <v>178</v>
      </c>
      <c r="K1992" s="1">
        <v>17.079999999999998</v>
      </c>
      <c r="L1992" s="1">
        <v>17.079999999999998</v>
      </c>
      <c r="M1992" s="1">
        <v>17.079999999999998</v>
      </c>
      <c r="N1992" s="1">
        <v>17.079999999999998</v>
      </c>
      <c r="O1992" s="1">
        <v>1195.5999999999999</v>
      </c>
      <c r="P1992" s="1">
        <v>1263.92</v>
      </c>
      <c r="Q1992" s="1">
        <v>1366.4</v>
      </c>
      <c r="R1992" s="1">
        <v>1381.54</v>
      </c>
      <c r="S1992" t="s">
        <v>282</v>
      </c>
      <c r="T1992" s="13">
        <v>46005</v>
      </c>
      <c r="U1992" s="1" t="str">
        <f>IF(ESTIMATIVA[[#This Row],[QT_AREA_REAL]]&gt;0,"1- Colhido","2- à Colher")</f>
        <v>1- Colhido</v>
      </c>
      <c r="V1992" s="1" t="str">
        <f>IF(ESTIMATIVA[[#This Row],[QT_AREA_REST1]]&gt;0,"Reestimativa 1",IF(ESTIMATIVA[[#This Row],[QT_AREA_REAL]]=0,"Reestimativa 1","Realizado"))</f>
        <v>Reestimativa 1</v>
      </c>
      <c r="W1992" s="1" t="str">
        <f>IF(ESTIMATIVA[[#This Row],[QT_AREA_REST2]]&gt;0,"Reestimativa 2",IF(ESTIMATIVA[[#This Row],[QT_AREA_REAL]]=0,"Reestimativa 2","Realizado"))</f>
        <v>Reestimativa 2</v>
      </c>
      <c r="X1992" s="1">
        <f>ESTIMATIVA[[#This Row],[QT_AREA_EST]]</f>
        <v>17.079999999999998</v>
      </c>
      <c r="Y1992" s="1">
        <f>IF(ESTIMATIVA[[#This Row],[QT_AREA_REST1]]&gt;0,ESTIMATIVA[[#This Row],[QT_AREA_REST1]],
  IF(ESTIMATIVA[[#This Row],[QT_AREA_REAL]]&gt;0,ESTIMATIVA[[#This Row],[QT_AREA_REAL]],ESTIMATIVA[[#This Row],[QT_AREA_EST]]))</f>
        <v>17.079999999999998</v>
      </c>
      <c r="Z199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17.079999999999998</v>
      </c>
      <c r="AA1992" s="1">
        <f>ESTIMATIVA[[#This Row],[QT_CANA_EST]]</f>
        <v>1195.5999999999999</v>
      </c>
      <c r="AB1992" s="1">
        <f>IF(ESTIMATIVA[[#This Row],[QT_CANA_REST1]]&gt;0,ESTIMATIVA[[#This Row],[QT_CANA_REST1]],
  IF(ESTIMATIVA[[#This Row],[QT_CANA_REAL]]&gt;0,ESTIMATIVA[[#This Row],[QT_CANA_REAL]],ESTIMATIVA[[#This Row],[QT_CANA_EST]]))</f>
        <v>1263.92</v>
      </c>
      <c r="AC199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1366.4</v>
      </c>
      <c r="AD1992" s="1">
        <f>IF(ESTIMATIVA[[#This Row],[QT_AREA_REAL]]&gt;0,ESTIMATIVA[[#This Row],[QT_CANA_REAL]],ESTIMATIVA[[#This Row],[QT_CANA_EST]])</f>
        <v>1381.54</v>
      </c>
      <c r="AE1992" s="1">
        <f>IF(ESTIMATIVA[[#This Row],[QT_AREA_REAL]]&gt;0,ESTIMATIVA[[#This Row],[QT_CANA_REAL]],ESTIMATIVA[[#This Row],[QT_CANA_REST1]])</f>
        <v>1381.54</v>
      </c>
      <c r="AF1992" s="1">
        <f>IF(ESTIMATIVA[[#This Row],[QT_AREA_REAL]]&gt;0,ESTIMATIVA[[#This Row],[QT_CANA_REAL]],ESTIMATIVA[[#This Row],[QT_CANA_REST2]])</f>
        <v>1381.54</v>
      </c>
      <c r="AG1992" s="1" t="str">
        <f>IF(COUNTIFS(GEADA!A:A,VALUE(ESTIMATIVA[[#This Row],[CD_UPNIVEL1]]&amp;TEXT(ESTIMATIVA[[#This Row],[CD_UPNIVEL3]],"0000")))&gt;0,"S","N")</f>
        <v>N</v>
      </c>
      <c r="AH199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92" s="55" t="str">
        <f>IF(ESTIMATIVA[[#This Row],[TP_CULTIVO]]="Irrigado",_xlfn.MAXIFS(IRRIGADO!J:J,IRRIGADO!C:C,ESTIMATIVA[[#This Row],[CD_UPNIVEL1]],IRRIGADO!E:E,ESTIMATIVA[[#This Row],[CD_UPNIVEL3]]),"")</f>
        <v/>
      </c>
      <c r="AJ199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92" s="1">
        <f>COUNTIFS(Apresentação!$E$23:$E$29,ESTIMATIVA[[#This Row],[CD_UPNIVEL1]])</f>
        <v>0</v>
      </c>
    </row>
    <row r="1993" spans="1:37" x14ac:dyDescent="0.3">
      <c r="A1993">
        <v>30101</v>
      </c>
      <c r="B1993" t="s">
        <v>109</v>
      </c>
      <c r="C1993">
        <v>15</v>
      </c>
      <c r="D1993">
        <v>2</v>
      </c>
      <c r="E1993" t="s">
        <v>266</v>
      </c>
      <c r="F1993" s="85" t="s">
        <v>331</v>
      </c>
      <c r="G1993"/>
      <c r="H1993" t="s">
        <v>294</v>
      </c>
      <c r="I1993" t="s">
        <v>205</v>
      </c>
      <c r="J1993" t="s">
        <v>178</v>
      </c>
      <c r="K1993" s="1">
        <v>24</v>
      </c>
      <c r="L1993" s="1">
        <v>24</v>
      </c>
      <c r="M1993" s="1">
        <v>24</v>
      </c>
      <c r="N1993" s="1">
        <v>24</v>
      </c>
      <c r="O1993" s="1">
        <v>1680</v>
      </c>
      <c r="P1993" s="1">
        <v>1776</v>
      </c>
      <c r="Q1993" s="1">
        <v>1920</v>
      </c>
      <c r="R1993" s="1">
        <v>1941.96</v>
      </c>
      <c r="S1993" t="s">
        <v>282</v>
      </c>
      <c r="T1993" s="13">
        <v>46005</v>
      </c>
      <c r="U1993" s="1" t="str">
        <f>IF(ESTIMATIVA[[#This Row],[QT_AREA_REAL]]&gt;0,"1- Colhido","2- à Colher")</f>
        <v>1- Colhido</v>
      </c>
      <c r="V1993" s="1" t="str">
        <f>IF(ESTIMATIVA[[#This Row],[QT_AREA_REST1]]&gt;0,"Reestimativa 1",IF(ESTIMATIVA[[#This Row],[QT_AREA_REAL]]=0,"Reestimativa 1","Realizado"))</f>
        <v>Reestimativa 1</v>
      </c>
      <c r="W1993" s="1" t="str">
        <f>IF(ESTIMATIVA[[#This Row],[QT_AREA_REST2]]&gt;0,"Reestimativa 2",IF(ESTIMATIVA[[#This Row],[QT_AREA_REAL]]=0,"Reestimativa 2","Realizado"))</f>
        <v>Reestimativa 2</v>
      </c>
      <c r="X1993" s="1">
        <f>ESTIMATIVA[[#This Row],[QT_AREA_EST]]</f>
        <v>24</v>
      </c>
      <c r="Y1993" s="1">
        <f>IF(ESTIMATIVA[[#This Row],[QT_AREA_REST1]]&gt;0,ESTIMATIVA[[#This Row],[QT_AREA_REST1]],
  IF(ESTIMATIVA[[#This Row],[QT_AREA_REAL]]&gt;0,ESTIMATIVA[[#This Row],[QT_AREA_REAL]],ESTIMATIVA[[#This Row],[QT_AREA_EST]]))</f>
        <v>24</v>
      </c>
      <c r="Z199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</v>
      </c>
      <c r="AA1993" s="1">
        <f>ESTIMATIVA[[#This Row],[QT_CANA_EST]]</f>
        <v>1680</v>
      </c>
      <c r="AB1993" s="1">
        <f>IF(ESTIMATIVA[[#This Row],[QT_CANA_REST1]]&gt;0,ESTIMATIVA[[#This Row],[QT_CANA_REST1]],
  IF(ESTIMATIVA[[#This Row],[QT_CANA_REAL]]&gt;0,ESTIMATIVA[[#This Row],[QT_CANA_REAL]],ESTIMATIVA[[#This Row],[QT_CANA_EST]]))</f>
        <v>1776</v>
      </c>
      <c r="AC199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1920</v>
      </c>
      <c r="AD1993" s="1">
        <f>IF(ESTIMATIVA[[#This Row],[QT_AREA_REAL]]&gt;0,ESTIMATIVA[[#This Row],[QT_CANA_REAL]],ESTIMATIVA[[#This Row],[QT_CANA_EST]])</f>
        <v>1941.96</v>
      </c>
      <c r="AE1993" s="1">
        <f>IF(ESTIMATIVA[[#This Row],[QT_AREA_REAL]]&gt;0,ESTIMATIVA[[#This Row],[QT_CANA_REAL]],ESTIMATIVA[[#This Row],[QT_CANA_REST1]])</f>
        <v>1941.96</v>
      </c>
      <c r="AF1993" s="1">
        <f>IF(ESTIMATIVA[[#This Row],[QT_AREA_REAL]]&gt;0,ESTIMATIVA[[#This Row],[QT_CANA_REAL]],ESTIMATIVA[[#This Row],[QT_CANA_REST2]])</f>
        <v>1941.96</v>
      </c>
      <c r="AG1993" s="1" t="str">
        <f>IF(COUNTIFS(GEADA!A:A,VALUE(ESTIMATIVA[[#This Row],[CD_UPNIVEL1]]&amp;TEXT(ESTIMATIVA[[#This Row],[CD_UPNIVEL3]],"0000")))&gt;0,"S","N")</f>
        <v>N</v>
      </c>
      <c r="AH199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93" s="55" t="str">
        <f>IF(ESTIMATIVA[[#This Row],[TP_CULTIVO]]="Irrigado",_xlfn.MAXIFS(IRRIGADO!J:J,IRRIGADO!C:C,ESTIMATIVA[[#This Row],[CD_UPNIVEL1]],IRRIGADO!E:E,ESTIMATIVA[[#This Row],[CD_UPNIVEL3]]),"")</f>
        <v/>
      </c>
      <c r="AJ199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93" s="1">
        <f>COUNTIFS(Apresentação!$E$23:$E$29,ESTIMATIVA[[#This Row],[CD_UPNIVEL1]])</f>
        <v>0</v>
      </c>
    </row>
    <row r="1994" spans="1:37" x14ac:dyDescent="0.3">
      <c r="A1994">
        <v>30101</v>
      </c>
      <c r="B1994" t="s">
        <v>109</v>
      </c>
      <c r="C1994">
        <v>16</v>
      </c>
      <c r="D1994">
        <v>2</v>
      </c>
      <c r="E1994" t="s">
        <v>266</v>
      </c>
      <c r="F1994" s="85" t="s">
        <v>331</v>
      </c>
      <c r="G1994"/>
      <c r="H1994" t="s">
        <v>294</v>
      </c>
      <c r="I1994" t="s">
        <v>205</v>
      </c>
      <c r="J1994" t="s">
        <v>178</v>
      </c>
      <c r="K1994" s="1">
        <v>12.63</v>
      </c>
      <c r="L1994" s="1">
        <v>12.63</v>
      </c>
      <c r="M1994" s="1">
        <v>12.63</v>
      </c>
      <c r="N1994" s="1">
        <v>12.63</v>
      </c>
      <c r="O1994" s="1">
        <v>884.1</v>
      </c>
      <c r="P1994" s="1">
        <v>934.62</v>
      </c>
      <c r="Q1994" s="1">
        <v>1010.4</v>
      </c>
      <c r="R1994" s="1">
        <v>1024.24</v>
      </c>
      <c r="S1994" t="s">
        <v>282</v>
      </c>
      <c r="T1994" s="13">
        <v>46005</v>
      </c>
      <c r="U1994" s="1" t="str">
        <f>IF(ESTIMATIVA[[#This Row],[QT_AREA_REAL]]&gt;0,"1- Colhido","2- à Colher")</f>
        <v>1- Colhido</v>
      </c>
      <c r="V1994" s="1" t="str">
        <f>IF(ESTIMATIVA[[#This Row],[QT_AREA_REST1]]&gt;0,"Reestimativa 1",IF(ESTIMATIVA[[#This Row],[QT_AREA_REAL]]=0,"Reestimativa 1","Realizado"))</f>
        <v>Reestimativa 1</v>
      </c>
      <c r="W1994" s="1" t="str">
        <f>IF(ESTIMATIVA[[#This Row],[QT_AREA_REST2]]&gt;0,"Reestimativa 2",IF(ESTIMATIVA[[#This Row],[QT_AREA_REAL]]=0,"Reestimativa 2","Realizado"))</f>
        <v>Reestimativa 2</v>
      </c>
      <c r="X1994" s="1">
        <f>ESTIMATIVA[[#This Row],[QT_AREA_EST]]</f>
        <v>12.63</v>
      </c>
      <c r="Y1994" s="1">
        <f>IF(ESTIMATIVA[[#This Row],[QT_AREA_REST1]]&gt;0,ESTIMATIVA[[#This Row],[QT_AREA_REST1]],
  IF(ESTIMATIVA[[#This Row],[QT_AREA_REAL]]&gt;0,ESTIMATIVA[[#This Row],[QT_AREA_REAL]],ESTIMATIVA[[#This Row],[QT_AREA_EST]]))</f>
        <v>12.63</v>
      </c>
      <c r="Z199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12.63</v>
      </c>
      <c r="AA1994" s="1">
        <f>ESTIMATIVA[[#This Row],[QT_CANA_EST]]</f>
        <v>884.1</v>
      </c>
      <c r="AB1994" s="1">
        <f>IF(ESTIMATIVA[[#This Row],[QT_CANA_REST1]]&gt;0,ESTIMATIVA[[#This Row],[QT_CANA_REST1]],
  IF(ESTIMATIVA[[#This Row],[QT_CANA_REAL]]&gt;0,ESTIMATIVA[[#This Row],[QT_CANA_REAL]],ESTIMATIVA[[#This Row],[QT_CANA_EST]]))</f>
        <v>934.62</v>
      </c>
      <c r="AC199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1010.4</v>
      </c>
      <c r="AD1994" s="1">
        <f>IF(ESTIMATIVA[[#This Row],[QT_AREA_REAL]]&gt;0,ESTIMATIVA[[#This Row],[QT_CANA_REAL]],ESTIMATIVA[[#This Row],[QT_CANA_EST]])</f>
        <v>1024.24</v>
      </c>
      <c r="AE1994" s="1">
        <f>IF(ESTIMATIVA[[#This Row],[QT_AREA_REAL]]&gt;0,ESTIMATIVA[[#This Row],[QT_CANA_REAL]],ESTIMATIVA[[#This Row],[QT_CANA_REST1]])</f>
        <v>1024.24</v>
      </c>
      <c r="AF1994" s="1">
        <f>IF(ESTIMATIVA[[#This Row],[QT_AREA_REAL]]&gt;0,ESTIMATIVA[[#This Row],[QT_CANA_REAL]],ESTIMATIVA[[#This Row],[QT_CANA_REST2]])</f>
        <v>1024.24</v>
      </c>
      <c r="AG1994" s="1" t="str">
        <f>IF(COUNTIFS(GEADA!A:A,VALUE(ESTIMATIVA[[#This Row],[CD_UPNIVEL1]]&amp;TEXT(ESTIMATIVA[[#This Row],[CD_UPNIVEL3]],"0000")))&gt;0,"S","N")</f>
        <v>N</v>
      </c>
      <c r="AH199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94" s="55" t="str">
        <f>IF(ESTIMATIVA[[#This Row],[TP_CULTIVO]]="Irrigado",_xlfn.MAXIFS(IRRIGADO!J:J,IRRIGADO!C:C,ESTIMATIVA[[#This Row],[CD_UPNIVEL1]],IRRIGADO!E:E,ESTIMATIVA[[#This Row],[CD_UPNIVEL3]]),"")</f>
        <v/>
      </c>
      <c r="AJ199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94" s="1">
        <f>COUNTIFS(Apresentação!$E$23:$E$29,ESTIMATIVA[[#This Row],[CD_UPNIVEL1]])</f>
        <v>0</v>
      </c>
    </row>
    <row r="1995" spans="1:37" x14ac:dyDescent="0.3">
      <c r="A1995">
        <v>30101</v>
      </c>
      <c r="B1995" t="s">
        <v>109</v>
      </c>
      <c r="C1995">
        <v>17</v>
      </c>
      <c r="D1995">
        <v>2</v>
      </c>
      <c r="E1995" t="s">
        <v>266</v>
      </c>
      <c r="F1995" s="85" t="s">
        <v>331</v>
      </c>
      <c r="G1995"/>
      <c r="H1995" t="s">
        <v>294</v>
      </c>
      <c r="I1995" t="s">
        <v>207</v>
      </c>
      <c r="J1995" t="s">
        <v>178</v>
      </c>
      <c r="K1995" s="1">
        <v>22.03</v>
      </c>
      <c r="L1995" s="1">
        <v>22.03</v>
      </c>
      <c r="M1995" s="1">
        <v>22.03</v>
      </c>
      <c r="N1995" s="1">
        <v>22.03</v>
      </c>
      <c r="O1995" s="1">
        <v>1453.98</v>
      </c>
      <c r="P1995" s="1">
        <v>1542.1</v>
      </c>
      <c r="Q1995" s="1">
        <v>1806.46</v>
      </c>
      <c r="R1995" s="1">
        <v>1836.52</v>
      </c>
      <c r="S1995" t="s">
        <v>282</v>
      </c>
      <c r="T1995" s="13">
        <v>45963</v>
      </c>
      <c r="U1995" s="1" t="str">
        <f>IF(ESTIMATIVA[[#This Row],[QT_AREA_REAL]]&gt;0,"1- Colhido","2- à Colher")</f>
        <v>1- Colhido</v>
      </c>
      <c r="V1995" s="1" t="str">
        <f>IF(ESTIMATIVA[[#This Row],[QT_AREA_REST1]]&gt;0,"Reestimativa 1",IF(ESTIMATIVA[[#This Row],[QT_AREA_REAL]]=0,"Reestimativa 1","Realizado"))</f>
        <v>Reestimativa 1</v>
      </c>
      <c r="W1995" s="1" t="str">
        <f>IF(ESTIMATIVA[[#This Row],[QT_AREA_REST2]]&gt;0,"Reestimativa 2",IF(ESTIMATIVA[[#This Row],[QT_AREA_REAL]]=0,"Reestimativa 2","Realizado"))</f>
        <v>Reestimativa 2</v>
      </c>
      <c r="X1995" s="1">
        <f>ESTIMATIVA[[#This Row],[QT_AREA_EST]]</f>
        <v>22.03</v>
      </c>
      <c r="Y1995" s="1">
        <f>IF(ESTIMATIVA[[#This Row],[QT_AREA_REST1]]&gt;0,ESTIMATIVA[[#This Row],[QT_AREA_REST1]],
  IF(ESTIMATIVA[[#This Row],[QT_AREA_REAL]]&gt;0,ESTIMATIVA[[#This Row],[QT_AREA_REAL]],ESTIMATIVA[[#This Row],[QT_AREA_EST]]))</f>
        <v>22.03</v>
      </c>
      <c r="Z199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22.03</v>
      </c>
      <c r="AA1995" s="1">
        <f>ESTIMATIVA[[#This Row],[QT_CANA_EST]]</f>
        <v>1453.98</v>
      </c>
      <c r="AB1995" s="1">
        <f>IF(ESTIMATIVA[[#This Row],[QT_CANA_REST1]]&gt;0,ESTIMATIVA[[#This Row],[QT_CANA_REST1]],
  IF(ESTIMATIVA[[#This Row],[QT_CANA_REAL]]&gt;0,ESTIMATIVA[[#This Row],[QT_CANA_REAL]],ESTIMATIVA[[#This Row],[QT_CANA_EST]]))</f>
        <v>1542.1</v>
      </c>
      <c r="AC199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1806.46</v>
      </c>
      <c r="AD1995" s="1">
        <f>IF(ESTIMATIVA[[#This Row],[QT_AREA_REAL]]&gt;0,ESTIMATIVA[[#This Row],[QT_CANA_REAL]],ESTIMATIVA[[#This Row],[QT_CANA_EST]])</f>
        <v>1836.52</v>
      </c>
      <c r="AE1995" s="1">
        <f>IF(ESTIMATIVA[[#This Row],[QT_AREA_REAL]]&gt;0,ESTIMATIVA[[#This Row],[QT_CANA_REAL]],ESTIMATIVA[[#This Row],[QT_CANA_REST1]])</f>
        <v>1836.52</v>
      </c>
      <c r="AF1995" s="1">
        <f>IF(ESTIMATIVA[[#This Row],[QT_AREA_REAL]]&gt;0,ESTIMATIVA[[#This Row],[QT_CANA_REAL]],ESTIMATIVA[[#This Row],[QT_CANA_REST2]])</f>
        <v>1836.52</v>
      </c>
      <c r="AG1995" s="1" t="str">
        <f>IF(COUNTIFS(GEADA!A:A,VALUE(ESTIMATIVA[[#This Row],[CD_UPNIVEL1]]&amp;TEXT(ESTIMATIVA[[#This Row],[CD_UPNIVEL3]],"0000")))&gt;0,"S","N")</f>
        <v>N</v>
      </c>
      <c r="AH199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95" s="55" t="str">
        <f>IF(ESTIMATIVA[[#This Row],[TP_CULTIVO]]="Irrigado",_xlfn.MAXIFS(IRRIGADO!J:J,IRRIGADO!C:C,ESTIMATIVA[[#This Row],[CD_UPNIVEL1]],IRRIGADO!E:E,ESTIMATIVA[[#This Row],[CD_UPNIVEL3]]),"")</f>
        <v/>
      </c>
      <c r="AJ199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95" s="1">
        <f>COUNTIFS(Apresentação!$E$23:$E$29,ESTIMATIVA[[#This Row],[CD_UPNIVEL1]])</f>
        <v>0</v>
      </c>
    </row>
    <row r="1996" spans="1:37" x14ac:dyDescent="0.3">
      <c r="A1996">
        <v>30101</v>
      </c>
      <c r="B1996" t="s">
        <v>109</v>
      </c>
      <c r="C1996">
        <v>18</v>
      </c>
      <c r="D1996">
        <v>2</v>
      </c>
      <c r="E1996" t="s">
        <v>266</v>
      </c>
      <c r="F1996" s="85" t="s">
        <v>331</v>
      </c>
      <c r="G1996"/>
      <c r="H1996" t="s">
        <v>294</v>
      </c>
      <c r="I1996" t="s">
        <v>207</v>
      </c>
      <c r="J1996" t="s">
        <v>178</v>
      </c>
      <c r="K1996" s="1">
        <v>23.43</v>
      </c>
      <c r="L1996" s="1">
        <v>23.43</v>
      </c>
      <c r="M1996" s="1">
        <v>23.43</v>
      </c>
      <c r="N1996" s="1">
        <v>23.43</v>
      </c>
      <c r="O1996" s="1">
        <v>1546.38</v>
      </c>
      <c r="P1996" s="1">
        <v>1640.1</v>
      </c>
      <c r="Q1996" s="1">
        <v>1921.26</v>
      </c>
      <c r="R1996" s="1">
        <v>1953.47</v>
      </c>
      <c r="S1996" t="s">
        <v>282</v>
      </c>
      <c r="T1996" s="13">
        <v>45963</v>
      </c>
      <c r="U1996" s="1" t="str">
        <f>IF(ESTIMATIVA[[#This Row],[QT_AREA_REAL]]&gt;0,"1- Colhido","2- à Colher")</f>
        <v>1- Colhido</v>
      </c>
      <c r="V1996" s="1" t="str">
        <f>IF(ESTIMATIVA[[#This Row],[QT_AREA_REST1]]&gt;0,"Reestimativa 1",IF(ESTIMATIVA[[#This Row],[QT_AREA_REAL]]=0,"Reestimativa 1","Realizado"))</f>
        <v>Reestimativa 1</v>
      </c>
      <c r="W1996" s="1" t="str">
        <f>IF(ESTIMATIVA[[#This Row],[QT_AREA_REST2]]&gt;0,"Reestimativa 2",IF(ESTIMATIVA[[#This Row],[QT_AREA_REAL]]=0,"Reestimativa 2","Realizado"))</f>
        <v>Reestimativa 2</v>
      </c>
      <c r="X1996" s="1">
        <f>ESTIMATIVA[[#This Row],[QT_AREA_EST]]</f>
        <v>23.43</v>
      </c>
      <c r="Y1996" s="1">
        <f>IF(ESTIMATIVA[[#This Row],[QT_AREA_REST1]]&gt;0,ESTIMATIVA[[#This Row],[QT_AREA_REST1]],
  IF(ESTIMATIVA[[#This Row],[QT_AREA_REAL]]&gt;0,ESTIMATIVA[[#This Row],[QT_AREA_REAL]],ESTIMATIVA[[#This Row],[QT_AREA_EST]]))</f>
        <v>23.43</v>
      </c>
      <c r="Z199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23.43</v>
      </c>
      <c r="AA1996" s="1">
        <f>ESTIMATIVA[[#This Row],[QT_CANA_EST]]</f>
        <v>1546.38</v>
      </c>
      <c r="AB1996" s="1">
        <f>IF(ESTIMATIVA[[#This Row],[QT_CANA_REST1]]&gt;0,ESTIMATIVA[[#This Row],[QT_CANA_REST1]],
  IF(ESTIMATIVA[[#This Row],[QT_CANA_REAL]]&gt;0,ESTIMATIVA[[#This Row],[QT_CANA_REAL]],ESTIMATIVA[[#This Row],[QT_CANA_EST]]))</f>
        <v>1640.1</v>
      </c>
      <c r="AC199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1921.26</v>
      </c>
      <c r="AD1996" s="1">
        <f>IF(ESTIMATIVA[[#This Row],[QT_AREA_REAL]]&gt;0,ESTIMATIVA[[#This Row],[QT_CANA_REAL]],ESTIMATIVA[[#This Row],[QT_CANA_EST]])</f>
        <v>1953.47</v>
      </c>
      <c r="AE1996" s="1">
        <f>IF(ESTIMATIVA[[#This Row],[QT_AREA_REAL]]&gt;0,ESTIMATIVA[[#This Row],[QT_CANA_REAL]],ESTIMATIVA[[#This Row],[QT_CANA_REST1]])</f>
        <v>1953.47</v>
      </c>
      <c r="AF1996" s="1">
        <f>IF(ESTIMATIVA[[#This Row],[QT_AREA_REAL]]&gt;0,ESTIMATIVA[[#This Row],[QT_CANA_REAL]],ESTIMATIVA[[#This Row],[QT_CANA_REST2]])</f>
        <v>1953.47</v>
      </c>
      <c r="AG1996" s="1" t="str">
        <f>IF(COUNTIFS(GEADA!A:A,VALUE(ESTIMATIVA[[#This Row],[CD_UPNIVEL1]]&amp;TEXT(ESTIMATIVA[[#This Row],[CD_UPNIVEL3]],"0000")))&gt;0,"S","N")</f>
        <v>N</v>
      </c>
      <c r="AH199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96" s="55" t="str">
        <f>IF(ESTIMATIVA[[#This Row],[TP_CULTIVO]]="Irrigado",_xlfn.MAXIFS(IRRIGADO!J:J,IRRIGADO!C:C,ESTIMATIVA[[#This Row],[CD_UPNIVEL1]],IRRIGADO!E:E,ESTIMATIVA[[#This Row],[CD_UPNIVEL3]]),"")</f>
        <v/>
      </c>
      <c r="AJ199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96" s="1">
        <f>COUNTIFS(Apresentação!$E$23:$E$29,ESTIMATIVA[[#This Row],[CD_UPNIVEL1]])</f>
        <v>0</v>
      </c>
    </row>
    <row r="1997" spans="1:37" x14ac:dyDescent="0.3">
      <c r="A1997">
        <v>30101</v>
      </c>
      <c r="B1997" t="s">
        <v>109</v>
      </c>
      <c r="C1997">
        <v>19</v>
      </c>
      <c r="D1997">
        <v>2</v>
      </c>
      <c r="E1997" t="s">
        <v>266</v>
      </c>
      <c r="F1997" s="85" t="s">
        <v>331</v>
      </c>
      <c r="G1997"/>
      <c r="H1997" t="s">
        <v>294</v>
      </c>
      <c r="I1997" t="s">
        <v>200</v>
      </c>
      <c r="J1997" t="s">
        <v>178</v>
      </c>
      <c r="K1997" s="1">
        <v>11.4</v>
      </c>
      <c r="L1997" s="1">
        <v>11.4</v>
      </c>
      <c r="M1997" s="1">
        <v>11.4</v>
      </c>
      <c r="N1997" s="1">
        <v>11.4</v>
      </c>
      <c r="O1997" s="1">
        <v>843.6</v>
      </c>
      <c r="P1997" s="1">
        <v>866.4</v>
      </c>
      <c r="Q1997" s="1">
        <v>934.8</v>
      </c>
      <c r="R1997" s="1">
        <v>950.69</v>
      </c>
      <c r="S1997" t="s">
        <v>282</v>
      </c>
      <c r="T1997" s="13">
        <v>45963</v>
      </c>
      <c r="U1997" s="1" t="str">
        <f>IF(ESTIMATIVA[[#This Row],[QT_AREA_REAL]]&gt;0,"1- Colhido","2- à Colher")</f>
        <v>1- Colhido</v>
      </c>
      <c r="V1997" s="1" t="str">
        <f>IF(ESTIMATIVA[[#This Row],[QT_AREA_REST1]]&gt;0,"Reestimativa 1",IF(ESTIMATIVA[[#This Row],[QT_AREA_REAL]]=0,"Reestimativa 1","Realizado"))</f>
        <v>Reestimativa 1</v>
      </c>
      <c r="W1997" s="1" t="str">
        <f>IF(ESTIMATIVA[[#This Row],[QT_AREA_REST2]]&gt;0,"Reestimativa 2",IF(ESTIMATIVA[[#This Row],[QT_AREA_REAL]]=0,"Reestimativa 2","Realizado"))</f>
        <v>Reestimativa 2</v>
      </c>
      <c r="X1997" s="1">
        <f>ESTIMATIVA[[#This Row],[QT_AREA_EST]]</f>
        <v>11.4</v>
      </c>
      <c r="Y1997" s="1">
        <f>IF(ESTIMATIVA[[#This Row],[QT_AREA_REST1]]&gt;0,ESTIMATIVA[[#This Row],[QT_AREA_REST1]],
  IF(ESTIMATIVA[[#This Row],[QT_AREA_REAL]]&gt;0,ESTIMATIVA[[#This Row],[QT_AREA_REAL]],ESTIMATIVA[[#This Row],[QT_AREA_EST]]))</f>
        <v>11.4</v>
      </c>
      <c r="Z199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11.4</v>
      </c>
      <c r="AA1997" s="1">
        <f>ESTIMATIVA[[#This Row],[QT_CANA_EST]]</f>
        <v>843.6</v>
      </c>
      <c r="AB1997" s="1">
        <f>IF(ESTIMATIVA[[#This Row],[QT_CANA_REST1]]&gt;0,ESTIMATIVA[[#This Row],[QT_CANA_REST1]],
  IF(ESTIMATIVA[[#This Row],[QT_CANA_REAL]]&gt;0,ESTIMATIVA[[#This Row],[QT_CANA_REAL]],ESTIMATIVA[[#This Row],[QT_CANA_EST]]))</f>
        <v>866.4</v>
      </c>
      <c r="AC199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934.8</v>
      </c>
      <c r="AD1997" s="1">
        <f>IF(ESTIMATIVA[[#This Row],[QT_AREA_REAL]]&gt;0,ESTIMATIVA[[#This Row],[QT_CANA_REAL]],ESTIMATIVA[[#This Row],[QT_CANA_EST]])</f>
        <v>950.69</v>
      </c>
      <c r="AE1997" s="1">
        <f>IF(ESTIMATIVA[[#This Row],[QT_AREA_REAL]]&gt;0,ESTIMATIVA[[#This Row],[QT_CANA_REAL]],ESTIMATIVA[[#This Row],[QT_CANA_REST1]])</f>
        <v>950.69</v>
      </c>
      <c r="AF1997" s="1">
        <f>IF(ESTIMATIVA[[#This Row],[QT_AREA_REAL]]&gt;0,ESTIMATIVA[[#This Row],[QT_CANA_REAL]],ESTIMATIVA[[#This Row],[QT_CANA_REST2]])</f>
        <v>950.69</v>
      </c>
      <c r="AG1997" s="1" t="str">
        <f>IF(COUNTIFS(GEADA!A:A,VALUE(ESTIMATIVA[[#This Row],[CD_UPNIVEL1]]&amp;TEXT(ESTIMATIVA[[#This Row],[CD_UPNIVEL3]],"0000")))&gt;0,"S","N")</f>
        <v>N</v>
      </c>
      <c r="AH199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97" s="55" t="str">
        <f>IF(ESTIMATIVA[[#This Row],[TP_CULTIVO]]="Irrigado",_xlfn.MAXIFS(IRRIGADO!J:J,IRRIGADO!C:C,ESTIMATIVA[[#This Row],[CD_UPNIVEL1]],IRRIGADO!E:E,ESTIMATIVA[[#This Row],[CD_UPNIVEL3]]),"")</f>
        <v/>
      </c>
      <c r="AJ199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97" s="1">
        <f>COUNTIFS(Apresentação!$E$23:$E$29,ESTIMATIVA[[#This Row],[CD_UPNIVEL1]])</f>
        <v>0</v>
      </c>
    </row>
    <row r="1998" spans="1:37" x14ac:dyDescent="0.3">
      <c r="A1998">
        <v>30101</v>
      </c>
      <c r="B1998" t="s">
        <v>109</v>
      </c>
      <c r="C1998">
        <v>20</v>
      </c>
      <c r="D1998">
        <v>2</v>
      </c>
      <c r="E1998" t="s">
        <v>266</v>
      </c>
      <c r="F1998" s="85" t="s">
        <v>331</v>
      </c>
      <c r="G1998"/>
      <c r="H1998" t="s">
        <v>294</v>
      </c>
      <c r="I1998" t="s">
        <v>200</v>
      </c>
      <c r="J1998" t="s">
        <v>178</v>
      </c>
      <c r="K1998" s="1">
        <v>22.97</v>
      </c>
      <c r="L1998" s="1">
        <v>22.97</v>
      </c>
      <c r="M1998" s="1">
        <v>22.97</v>
      </c>
      <c r="N1998" s="1">
        <v>22.97</v>
      </c>
      <c r="O1998" s="1">
        <v>1699.78</v>
      </c>
      <c r="P1998" s="1">
        <v>1745.72</v>
      </c>
      <c r="Q1998" s="1">
        <v>1883.54</v>
      </c>
      <c r="R1998" s="1">
        <v>1915.84</v>
      </c>
      <c r="S1998" t="s">
        <v>282</v>
      </c>
      <c r="T1998" s="13">
        <v>45963</v>
      </c>
      <c r="U1998" s="1" t="str">
        <f>IF(ESTIMATIVA[[#This Row],[QT_AREA_REAL]]&gt;0,"1- Colhido","2- à Colher")</f>
        <v>1- Colhido</v>
      </c>
      <c r="V1998" s="1" t="str">
        <f>IF(ESTIMATIVA[[#This Row],[QT_AREA_REST1]]&gt;0,"Reestimativa 1",IF(ESTIMATIVA[[#This Row],[QT_AREA_REAL]]=0,"Reestimativa 1","Realizado"))</f>
        <v>Reestimativa 1</v>
      </c>
      <c r="W1998" s="1" t="str">
        <f>IF(ESTIMATIVA[[#This Row],[QT_AREA_REST2]]&gt;0,"Reestimativa 2",IF(ESTIMATIVA[[#This Row],[QT_AREA_REAL]]=0,"Reestimativa 2","Realizado"))</f>
        <v>Reestimativa 2</v>
      </c>
      <c r="X1998" s="1">
        <f>ESTIMATIVA[[#This Row],[QT_AREA_EST]]</f>
        <v>22.97</v>
      </c>
      <c r="Y1998" s="1">
        <f>IF(ESTIMATIVA[[#This Row],[QT_AREA_REST1]]&gt;0,ESTIMATIVA[[#This Row],[QT_AREA_REST1]],
  IF(ESTIMATIVA[[#This Row],[QT_AREA_REAL]]&gt;0,ESTIMATIVA[[#This Row],[QT_AREA_REAL]],ESTIMATIVA[[#This Row],[QT_AREA_EST]]))</f>
        <v>22.97</v>
      </c>
      <c r="Z199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22.97</v>
      </c>
      <c r="AA1998" s="1">
        <f>ESTIMATIVA[[#This Row],[QT_CANA_EST]]</f>
        <v>1699.78</v>
      </c>
      <c r="AB1998" s="1">
        <f>IF(ESTIMATIVA[[#This Row],[QT_CANA_REST1]]&gt;0,ESTIMATIVA[[#This Row],[QT_CANA_REST1]],
  IF(ESTIMATIVA[[#This Row],[QT_CANA_REAL]]&gt;0,ESTIMATIVA[[#This Row],[QT_CANA_REAL]],ESTIMATIVA[[#This Row],[QT_CANA_EST]]))</f>
        <v>1745.72</v>
      </c>
      <c r="AC199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1883.54</v>
      </c>
      <c r="AD1998" s="1">
        <f>IF(ESTIMATIVA[[#This Row],[QT_AREA_REAL]]&gt;0,ESTIMATIVA[[#This Row],[QT_CANA_REAL]],ESTIMATIVA[[#This Row],[QT_CANA_EST]])</f>
        <v>1915.84</v>
      </c>
      <c r="AE1998" s="1">
        <f>IF(ESTIMATIVA[[#This Row],[QT_AREA_REAL]]&gt;0,ESTIMATIVA[[#This Row],[QT_CANA_REAL]],ESTIMATIVA[[#This Row],[QT_CANA_REST1]])</f>
        <v>1915.84</v>
      </c>
      <c r="AF1998" s="1">
        <f>IF(ESTIMATIVA[[#This Row],[QT_AREA_REAL]]&gt;0,ESTIMATIVA[[#This Row],[QT_CANA_REAL]],ESTIMATIVA[[#This Row],[QT_CANA_REST2]])</f>
        <v>1915.84</v>
      </c>
      <c r="AG1998" s="1" t="str">
        <f>IF(COUNTIFS(GEADA!A:A,VALUE(ESTIMATIVA[[#This Row],[CD_UPNIVEL1]]&amp;TEXT(ESTIMATIVA[[#This Row],[CD_UPNIVEL3]],"0000")))&gt;0,"S","N")</f>
        <v>N</v>
      </c>
      <c r="AH199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98" s="55" t="str">
        <f>IF(ESTIMATIVA[[#This Row],[TP_CULTIVO]]="Irrigado",_xlfn.MAXIFS(IRRIGADO!J:J,IRRIGADO!C:C,ESTIMATIVA[[#This Row],[CD_UPNIVEL1]],IRRIGADO!E:E,ESTIMATIVA[[#This Row],[CD_UPNIVEL3]]),"")</f>
        <v/>
      </c>
      <c r="AJ199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98" s="1">
        <f>COUNTIFS(Apresentação!$E$23:$E$29,ESTIMATIVA[[#This Row],[CD_UPNIVEL1]])</f>
        <v>0</v>
      </c>
    </row>
    <row r="1999" spans="1:37" x14ac:dyDescent="0.3">
      <c r="A1999">
        <v>30101</v>
      </c>
      <c r="B1999" t="s">
        <v>109</v>
      </c>
      <c r="C1999">
        <v>21</v>
      </c>
      <c r="D1999">
        <v>2</v>
      </c>
      <c r="E1999" t="s">
        <v>266</v>
      </c>
      <c r="F1999" s="85" t="s">
        <v>331</v>
      </c>
      <c r="G1999"/>
      <c r="H1999" t="s">
        <v>294</v>
      </c>
      <c r="I1999" t="s">
        <v>200</v>
      </c>
      <c r="J1999" t="s">
        <v>178</v>
      </c>
      <c r="K1999" s="1">
        <v>11.01</v>
      </c>
      <c r="L1999" s="1">
        <v>11.01</v>
      </c>
      <c r="M1999" s="1">
        <v>11.01</v>
      </c>
      <c r="N1999" s="1">
        <v>11.01</v>
      </c>
      <c r="O1999" s="1">
        <v>814.74</v>
      </c>
      <c r="P1999" s="1">
        <v>836.76</v>
      </c>
      <c r="Q1999" s="1">
        <v>902.82</v>
      </c>
      <c r="R1999" s="1">
        <v>918.15</v>
      </c>
      <c r="S1999" t="s">
        <v>282</v>
      </c>
      <c r="T1999" s="13">
        <v>45963</v>
      </c>
      <c r="U1999" s="1" t="str">
        <f>IF(ESTIMATIVA[[#This Row],[QT_AREA_REAL]]&gt;0,"1- Colhido","2- à Colher")</f>
        <v>1- Colhido</v>
      </c>
      <c r="V1999" s="1" t="str">
        <f>IF(ESTIMATIVA[[#This Row],[QT_AREA_REST1]]&gt;0,"Reestimativa 1",IF(ESTIMATIVA[[#This Row],[QT_AREA_REAL]]=0,"Reestimativa 1","Realizado"))</f>
        <v>Reestimativa 1</v>
      </c>
      <c r="W1999" s="1" t="str">
        <f>IF(ESTIMATIVA[[#This Row],[QT_AREA_REST2]]&gt;0,"Reestimativa 2",IF(ESTIMATIVA[[#This Row],[QT_AREA_REAL]]=0,"Reestimativa 2","Realizado"))</f>
        <v>Reestimativa 2</v>
      </c>
      <c r="X1999" s="1">
        <f>ESTIMATIVA[[#This Row],[QT_AREA_EST]]</f>
        <v>11.01</v>
      </c>
      <c r="Y1999" s="1">
        <f>IF(ESTIMATIVA[[#This Row],[QT_AREA_REST1]]&gt;0,ESTIMATIVA[[#This Row],[QT_AREA_REST1]],
  IF(ESTIMATIVA[[#This Row],[QT_AREA_REAL]]&gt;0,ESTIMATIVA[[#This Row],[QT_AREA_REAL]],ESTIMATIVA[[#This Row],[QT_AREA_EST]]))</f>
        <v>11.01</v>
      </c>
      <c r="Z199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11.01</v>
      </c>
      <c r="AA1999" s="1">
        <f>ESTIMATIVA[[#This Row],[QT_CANA_EST]]</f>
        <v>814.74</v>
      </c>
      <c r="AB1999" s="1">
        <f>IF(ESTIMATIVA[[#This Row],[QT_CANA_REST1]]&gt;0,ESTIMATIVA[[#This Row],[QT_CANA_REST1]],
  IF(ESTIMATIVA[[#This Row],[QT_CANA_REAL]]&gt;0,ESTIMATIVA[[#This Row],[QT_CANA_REAL]],ESTIMATIVA[[#This Row],[QT_CANA_EST]]))</f>
        <v>836.76</v>
      </c>
      <c r="AC199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902.82</v>
      </c>
      <c r="AD1999" s="1">
        <f>IF(ESTIMATIVA[[#This Row],[QT_AREA_REAL]]&gt;0,ESTIMATIVA[[#This Row],[QT_CANA_REAL]],ESTIMATIVA[[#This Row],[QT_CANA_EST]])</f>
        <v>918.15</v>
      </c>
      <c r="AE1999" s="1">
        <f>IF(ESTIMATIVA[[#This Row],[QT_AREA_REAL]]&gt;0,ESTIMATIVA[[#This Row],[QT_CANA_REAL]],ESTIMATIVA[[#This Row],[QT_CANA_REST1]])</f>
        <v>918.15</v>
      </c>
      <c r="AF1999" s="1">
        <f>IF(ESTIMATIVA[[#This Row],[QT_AREA_REAL]]&gt;0,ESTIMATIVA[[#This Row],[QT_CANA_REAL]],ESTIMATIVA[[#This Row],[QT_CANA_REST2]])</f>
        <v>918.15</v>
      </c>
      <c r="AG1999" s="1" t="str">
        <f>IF(COUNTIFS(GEADA!A:A,VALUE(ESTIMATIVA[[#This Row],[CD_UPNIVEL1]]&amp;TEXT(ESTIMATIVA[[#This Row],[CD_UPNIVEL3]],"0000")))&gt;0,"S","N")</f>
        <v>N</v>
      </c>
      <c r="AH199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1999" s="55" t="str">
        <f>IF(ESTIMATIVA[[#This Row],[TP_CULTIVO]]="Irrigado",_xlfn.MAXIFS(IRRIGADO!J:J,IRRIGADO!C:C,ESTIMATIVA[[#This Row],[CD_UPNIVEL1]],IRRIGADO!E:E,ESTIMATIVA[[#This Row],[CD_UPNIVEL3]]),"")</f>
        <v/>
      </c>
      <c r="AJ199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1999" s="1">
        <f>COUNTIFS(Apresentação!$E$23:$E$29,ESTIMATIVA[[#This Row],[CD_UPNIVEL1]])</f>
        <v>0</v>
      </c>
    </row>
    <row r="2000" spans="1:37" x14ac:dyDescent="0.3">
      <c r="A2000">
        <v>30101</v>
      </c>
      <c r="B2000" t="s">
        <v>109</v>
      </c>
      <c r="C2000">
        <v>22</v>
      </c>
      <c r="D2000">
        <v>2</v>
      </c>
      <c r="E2000" t="s">
        <v>266</v>
      </c>
      <c r="F2000" s="85" t="s">
        <v>331</v>
      </c>
      <c r="G2000"/>
      <c r="H2000" t="s">
        <v>294</v>
      </c>
      <c r="I2000" t="s">
        <v>200</v>
      </c>
      <c r="J2000" t="s">
        <v>178</v>
      </c>
      <c r="K2000" s="1">
        <v>22.48</v>
      </c>
      <c r="L2000" s="1">
        <v>22.48</v>
      </c>
      <c r="M2000" s="1">
        <v>22.48</v>
      </c>
      <c r="N2000" s="1">
        <v>22.48</v>
      </c>
      <c r="O2000" s="1">
        <v>1663.52</v>
      </c>
      <c r="P2000" s="1">
        <v>1730.96</v>
      </c>
      <c r="Q2000" s="1">
        <v>1843.36</v>
      </c>
      <c r="R2000" s="1">
        <v>1874.15</v>
      </c>
      <c r="S2000" t="s">
        <v>282</v>
      </c>
      <c r="T2000" s="13">
        <v>45963</v>
      </c>
      <c r="U2000" s="1" t="str">
        <f>IF(ESTIMATIVA[[#This Row],[QT_AREA_REAL]]&gt;0,"1- Colhido","2- à Colher")</f>
        <v>1- Colhido</v>
      </c>
      <c r="V2000" s="1" t="str">
        <f>IF(ESTIMATIVA[[#This Row],[QT_AREA_REST1]]&gt;0,"Reestimativa 1",IF(ESTIMATIVA[[#This Row],[QT_AREA_REAL]]=0,"Reestimativa 1","Realizado"))</f>
        <v>Reestimativa 1</v>
      </c>
      <c r="W2000" s="1" t="str">
        <f>IF(ESTIMATIVA[[#This Row],[QT_AREA_REST2]]&gt;0,"Reestimativa 2",IF(ESTIMATIVA[[#This Row],[QT_AREA_REAL]]=0,"Reestimativa 2","Realizado"))</f>
        <v>Reestimativa 2</v>
      </c>
      <c r="X2000" s="1">
        <f>ESTIMATIVA[[#This Row],[QT_AREA_EST]]</f>
        <v>22.48</v>
      </c>
      <c r="Y2000" s="1">
        <f>IF(ESTIMATIVA[[#This Row],[QT_AREA_REST1]]&gt;0,ESTIMATIVA[[#This Row],[QT_AREA_REST1]],
  IF(ESTIMATIVA[[#This Row],[QT_AREA_REAL]]&gt;0,ESTIMATIVA[[#This Row],[QT_AREA_REAL]],ESTIMATIVA[[#This Row],[QT_AREA_EST]]))</f>
        <v>22.48</v>
      </c>
      <c r="Z200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22.48</v>
      </c>
      <c r="AA2000" s="1">
        <f>ESTIMATIVA[[#This Row],[QT_CANA_EST]]</f>
        <v>1663.52</v>
      </c>
      <c r="AB2000" s="1">
        <f>IF(ESTIMATIVA[[#This Row],[QT_CANA_REST1]]&gt;0,ESTIMATIVA[[#This Row],[QT_CANA_REST1]],
  IF(ESTIMATIVA[[#This Row],[QT_CANA_REAL]]&gt;0,ESTIMATIVA[[#This Row],[QT_CANA_REAL]],ESTIMATIVA[[#This Row],[QT_CANA_EST]]))</f>
        <v>1730.96</v>
      </c>
      <c r="AC200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1843.36</v>
      </c>
      <c r="AD2000" s="1">
        <f>IF(ESTIMATIVA[[#This Row],[QT_AREA_REAL]]&gt;0,ESTIMATIVA[[#This Row],[QT_CANA_REAL]],ESTIMATIVA[[#This Row],[QT_CANA_EST]])</f>
        <v>1874.15</v>
      </c>
      <c r="AE2000" s="1">
        <f>IF(ESTIMATIVA[[#This Row],[QT_AREA_REAL]]&gt;0,ESTIMATIVA[[#This Row],[QT_CANA_REAL]],ESTIMATIVA[[#This Row],[QT_CANA_REST1]])</f>
        <v>1874.15</v>
      </c>
      <c r="AF2000" s="1">
        <f>IF(ESTIMATIVA[[#This Row],[QT_AREA_REAL]]&gt;0,ESTIMATIVA[[#This Row],[QT_CANA_REAL]],ESTIMATIVA[[#This Row],[QT_CANA_REST2]])</f>
        <v>1874.15</v>
      </c>
      <c r="AG2000" s="1" t="str">
        <f>IF(COUNTIFS(GEADA!A:A,VALUE(ESTIMATIVA[[#This Row],[CD_UPNIVEL1]]&amp;TEXT(ESTIMATIVA[[#This Row],[CD_UPNIVEL3]],"0000")))&gt;0,"S","N")</f>
        <v>N</v>
      </c>
      <c r="AH200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00" s="55" t="str">
        <f>IF(ESTIMATIVA[[#This Row],[TP_CULTIVO]]="Irrigado",_xlfn.MAXIFS(IRRIGADO!J:J,IRRIGADO!C:C,ESTIMATIVA[[#This Row],[CD_UPNIVEL1]],IRRIGADO!E:E,ESTIMATIVA[[#This Row],[CD_UPNIVEL3]]),"")</f>
        <v/>
      </c>
      <c r="AJ200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00" s="1">
        <f>COUNTIFS(Apresentação!$E$23:$E$29,ESTIMATIVA[[#This Row],[CD_UPNIVEL1]])</f>
        <v>0</v>
      </c>
    </row>
    <row r="2001" spans="1:37" x14ac:dyDescent="0.3">
      <c r="A2001">
        <v>30101</v>
      </c>
      <c r="B2001" t="s">
        <v>109</v>
      </c>
      <c r="C2001">
        <v>23</v>
      </c>
      <c r="D2001">
        <v>2</v>
      </c>
      <c r="E2001" t="s">
        <v>266</v>
      </c>
      <c r="F2001" s="85" t="s">
        <v>331</v>
      </c>
      <c r="G2001"/>
      <c r="H2001" t="s">
        <v>294</v>
      </c>
      <c r="I2001" t="s">
        <v>200</v>
      </c>
      <c r="J2001" t="s">
        <v>178</v>
      </c>
      <c r="K2001" s="1">
        <v>22.55</v>
      </c>
      <c r="L2001" s="1">
        <v>22.55</v>
      </c>
      <c r="M2001" s="1">
        <v>22.55</v>
      </c>
      <c r="N2001" s="1">
        <v>22.55</v>
      </c>
      <c r="O2001" s="1">
        <v>1668.7</v>
      </c>
      <c r="P2001" s="1">
        <v>1736.35</v>
      </c>
      <c r="Q2001" s="1">
        <v>1849.1</v>
      </c>
      <c r="R2001" s="1">
        <v>1880.24</v>
      </c>
      <c r="S2001" t="s">
        <v>282</v>
      </c>
      <c r="T2001" s="13">
        <v>45963</v>
      </c>
      <c r="U2001" s="1" t="str">
        <f>IF(ESTIMATIVA[[#This Row],[QT_AREA_REAL]]&gt;0,"1- Colhido","2- à Colher")</f>
        <v>1- Colhido</v>
      </c>
      <c r="V2001" s="1" t="str">
        <f>IF(ESTIMATIVA[[#This Row],[QT_AREA_REST1]]&gt;0,"Reestimativa 1",IF(ESTIMATIVA[[#This Row],[QT_AREA_REAL]]=0,"Reestimativa 1","Realizado"))</f>
        <v>Reestimativa 1</v>
      </c>
      <c r="W2001" s="1" t="str">
        <f>IF(ESTIMATIVA[[#This Row],[QT_AREA_REST2]]&gt;0,"Reestimativa 2",IF(ESTIMATIVA[[#This Row],[QT_AREA_REAL]]=0,"Reestimativa 2","Realizado"))</f>
        <v>Reestimativa 2</v>
      </c>
      <c r="X2001" s="1">
        <f>ESTIMATIVA[[#This Row],[QT_AREA_EST]]</f>
        <v>22.55</v>
      </c>
      <c r="Y2001" s="1">
        <f>IF(ESTIMATIVA[[#This Row],[QT_AREA_REST1]]&gt;0,ESTIMATIVA[[#This Row],[QT_AREA_REST1]],
  IF(ESTIMATIVA[[#This Row],[QT_AREA_REAL]]&gt;0,ESTIMATIVA[[#This Row],[QT_AREA_REAL]],ESTIMATIVA[[#This Row],[QT_AREA_EST]]))</f>
        <v>22.55</v>
      </c>
      <c r="Z200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22.55</v>
      </c>
      <c r="AA2001" s="1">
        <f>ESTIMATIVA[[#This Row],[QT_CANA_EST]]</f>
        <v>1668.7</v>
      </c>
      <c r="AB2001" s="1">
        <f>IF(ESTIMATIVA[[#This Row],[QT_CANA_REST1]]&gt;0,ESTIMATIVA[[#This Row],[QT_CANA_REST1]],
  IF(ESTIMATIVA[[#This Row],[QT_CANA_REAL]]&gt;0,ESTIMATIVA[[#This Row],[QT_CANA_REAL]],ESTIMATIVA[[#This Row],[QT_CANA_EST]]))</f>
        <v>1736.35</v>
      </c>
      <c r="AC200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1849.1</v>
      </c>
      <c r="AD2001" s="1">
        <f>IF(ESTIMATIVA[[#This Row],[QT_AREA_REAL]]&gt;0,ESTIMATIVA[[#This Row],[QT_CANA_REAL]],ESTIMATIVA[[#This Row],[QT_CANA_EST]])</f>
        <v>1880.24</v>
      </c>
      <c r="AE2001" s="1">
        <f>IF(ESTIMATIVA[[#This Row],[QT_AREA_REAL]]&gt;0,ESTIMATIVA[[#This Row],[QT_CANA_REAL]],ESTIMATIVA[[#This Row],[QT_CANA_REST1]])</f>
        <v>1880.24</v>
      </c>
      <c r="AF2001" s="1">
        <f>IF(ESTIMATIVA[[#This Row],[QT_AREA_REAL]]&gt;0,ESTIMATIVA[[#This Row],[QT_CANA_REAL]],ESTIMATIVA[[#This Row],[QT_CANA_REST2]])</f>
        <v>1880.24</v>
      </c>
      <c r="AG2001" s="1" t="str">
        <f>IF(COUNTIFS(GEADA!A:A,VALUE(ESTIMATIVA[[#This Row],[CD_UPNIVEL1]]&amp;TEXT(ESTIMATIVA[[#This Row],[CD_UPNIVEL3]],"0000")))&gt;0,"S","N")</f>
        <v>N</v>
      </c>
      <c r="AH200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01" s="55" t="str">
        <f>IF(ESTIMATIVA[[#This Row],[TP_CULTIVO]]="Irrigado",_xlfn.MAXIFS(IRRIGADO!J:J,IRRIGADO!C:C,ESTIMATIVA[[#This Row],[CD_UPNIVEL1]],IRRIGADO!E:E,ESTIMATIVA[[#This Row],[CD_UPNIVEL3]]),"")</f>
        <v/>
      </c>
      <c r="AJ200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01" s="1">
        <f>COUNTIFS(Apresentação!$E$23:$E$29,ESTIMATIVA[[#This Row],[CD_UPNIVEL1]])</f>
        <v>0</v>
      </c>
    </row>
    <row r="2002" spans="1:37" x14ac:dyDescent="0.3">
      <c r="A2002">
        <v>30101</v>
      </c>
      <c r="B2002" t="s">
        <v>109</v>
      </c>
      <c r="C2002">
        <v>24</v>
      </c>
      <c r="D2002">
        <v>2</v>
      </c>
      <c r="E2002" t="s">
        <v>266</v>
      </c>
      <c r="F2002" s="85" t="s">
        <v>331</v>
      </c>
      <c r="G2002"/>
      <c r="H2002" t="s">
        <v>294</v>
      </c>
      <c r="I2002" t="s">
        <v>207</v>
      </c>
      <c r="J2002" t="s">
        <v>178</v>
      </c>
      <c r="K2002" s="1">
        <v>26.22</v>
      </c>
      <c r="L2002" s="1">
        <v>26.22</v>
      </c>
      <c r="M2002" s="1">
        <v>26.22</v>
      </c>
      <c r="N2002" s="1">
        <v>26.22</v>
      </c>
      <c r="O2002" s="1">
        <v>1678.08</v>
      </c>
      <c r="P2002" s="1">
        <v>1835.4</v>
      </c>
      <c r="Q2002" s="1">
        <v>2097.6</v>
      </c>
      <c r="R2002" s="1">
        <v>2135.15</v>
      </c>
      <c r="S2002" t="s">
        <v>282</v>
      </c>
      <c r="T2002" s="13">
        <v>45963</v>
      </c>
      <c r="U2002" s="1" t="str">
        <f>IF(ESTIMATIVA[[#This Row],[QT_AREA_REAL]]&gt;0,"1- Colhido","2- à Colher")</f>
        <v>1- Colhido</v>
      </c>
      <c r="V2002" s="1" t="str">
        <f>IF(ESTIMATIVA[[#This Row],[QT_AREA_REST1]]&gt;0,"Reestimativa 1",IF(ESTIMATIVA[[#This Row],[QT_AREA_REAL]]=0,"Reestimativa 1","Realizado"))</f>
        <v>Reestimativa 1</v>
      </c>
      <c r="W2002" s="1" t="str">
        <f>IF(ESTIMATIVA[[#This Row],[QT_AREA_REST2]]&gt;0,"Reestimativa 2",IF(ESTIMATIVA[[#This Row],[QT_AREA_REAL]]=0,"Reestimativa 2","Realizado"))</f>
        <v>Reestimativa 2</v>
      </c>
      <c r="X2002" s="1">
        <f>ESTIMATIVA[[#This Row],[QT_AREA_EST]]</f>
        <v>26.22</v>
      </c>
      <c r="Y2002" s="1">
        <f>IF(ESTIMATIVA[[#This Row],[QT_AREA_REST1]]&gt;0,ESTIMATIVA[[#This Row],[QT_AREA_REST1]],
  IF(ESTIMATIVA[[#This Row],[QT_AREA_REAL]]&gt;0,ESTIMATIVA[[#This Row],[QT_AREA_REAL]],ESTIMATIVA[[#This Row],[QT_AREA_EST]]))</f>
        <v>26.22</v>
      </c>
      <c r="Z200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26.22</v>
      </c>
      <c r="AA2002" s="1">
        <f>ESTIMATIVA[[#This Row],[QT_CANA_EST]]</f>
        <v>1678.08</v>
      </c>
      <c r="AB2002" s="1">
        <f>IF(ESTIMATIVA[[#This Row],[QT_CANA_REST1]]&gt;0,ESTIMATIVA[[#This Row],[QT_CANA_REST1]],
  IF(ESTIMATIVA[[#This Row],[QT_CANA_REAL]]&gt;0,ESTIMATIVA[[#This Row],[QT_CANA_REAL]],ESTIMATIVA[[#This Row],[QT_CANA_EST]]))</f>
        <v>1835.4</v>
      </c>
      <c r="AC200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2097.6</v>
      </c>
      <c r="AD2002" s="1">
        <f>IF(ESTIMATIVA[[#This Row],[QT_AREA_REAL]]&gt;0,ESTIMATIVA[[#This Row],[QT_CANA_REAL]],ESTIMATIVA[[#This Row],[QT_CANA_EST]])</f>
        <v>2135.15</v>
      </c>
      <c r="AE2002" s="1">
        <f>IF(ESTIMATIVA[[#This Row],[QT_AREA_REAL]]&gt;0,ESTIMATIVA[[#This Row],[QT_CANA_REAL]],ESTIMATIVA[[#This Row],[QT_CANA_REST1]])</f>
        <v>2135.15</v>
      </c>
      <c r="AF2002" s="1">
        <f>IF(ESTIMATIVA[[#This Row],[QT_AREA_REAL]]&gt;0,ESTIMATIVA[[#This Row],[QT_CANA_REAL]],ESTIMATIVA[[#This Row],[QT_CANA_REST2]])</f>
        <v>2135.15</v>
      </c>
      <c r="AG2002" s="1" t="str">
        <f>IF(COUNTIFS(GEADA!A:A,VALUE(ESTIMATIVA[[#This Row],[CD_UPNIVEL1]]&amp;TEXT(ESTIMATIVA[[#This Row],[CD_UPNIVEL3]],"0000")))&gt;0,"S","N")</f>
        <v>N</v>
      </c>
      <c r="AH200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02" s="55" t="str">
        <f>IF(ESTIMATIVA[[#This Row],[TP_CULTIVO]]="Irrigado",_xlfn.MAXIFS(IRRIGADO!J:J,IRRIGADO!C:C,ESTIMATIVA[[#This Row],[CD_UPNIVEL1]],IRRIGADO!E:E,ESTIMATIVA[[#This Row],[CD_UPNIVEL3]]),"")</f>
        <v/>
      </c>
      <c r="AJ200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02" s="1">
        <f>COUNTIFS(Apresentação!$E$23:$E$29,ESTIMATIVA[[#This Row],[CD_UPNIVEL1]])</f>
        <v>0</v>
      </c>
    </row>
    <row r="2003" spans="1:37" x14ac:dyDescent="0.3">
      <c r="A2003">
        <v>30101</v>
      </c>
      <c r="B2003" t="s">
        <v>109</v>
      </c>
      <c r="C2003">
        <v>25</v>
      </c>
      <c r="D2003">
        <v>2</v>
      </c>
      <c r="E2003" t="s">
        <v>266</v>
      </c>
      <c r="F2003" s="85" t="s">
        <v>331</v>
      </c>
      <c r="G2003"/>
      <c r="H2003" t="s">
        <v>294</v>
      </c>
      <c r="I2003" t="s">
        <v>200</v>
      </c>
      <c r="J2003" t="s">
        <v>178</v>
      </c>
      <c r="K2003" s="1">
        <v>14.35</v>
      </c>
      <c r="L2003" s="1">
        <v>14.35</v>
      </c>
      <c r="M2003" s="1">
        <v>14.35</v>
      </c>
      <c r="N2003" s="1">
        <v>14.35</v>
      </c>
      <c r="O2003" s="1">
        <v>918.4</v>
      </c>
      <c r="P2003" s="1">
        <v>1004.5</v>
      </c>
      <c r="Q2003" s="1">
        <v>1148</v>
      </c>
      <c r="R2003" s="1">
        <v>1802.84</v>
      </c>
      <c r="S2003" t="s">
        <v>282</v>
      </c>
      <c r="T2003" s="13">
        <v>46005</v>
      </c>
      <c r="U2003" s="1" t="str">
        <f>IF(ESTIMATIVA[[#This Row],[QT_AREA_REAL]]&gt;0,"1- Colhido","2- à Colher")</f>
        <v>1- Colhido</v>
      </c>
      <c r="V2003" s="1" t="str">
        <f>IF(ESTIMATIVA[[#This Row],[QT_AREA_REST1]]&gt;0,"Reestimativa 1",IF(ESTIMATIVA[[#This Row],[QT_AREA_REAL]]=0,"Reestimativa 1","Realizado"))</f>
        <v>Reestimativa 1</v>
      </c>
      <c r="W2003" s="1" t="str">
        <f>IF(ESTIMATIVA[[#This Row],[QT_AREA_REST2]]&gt;0,"Reestimativa 2",IF(ESTIMATIVA[[#This Row],[QT_AREA_REAL]]=0,"Reestimativa 2","Realizado"))</f>
        <v>Reestimativa 2</v>
      </c>
      <c r="X2003" s="1">
        <f>ESTIMATIVA[[#This Row],[QT_AREA_EST]]</f>
        <v>14.35</v>
      </c>
      <c r="Y2003" s="1">
        <f>IF(ESTIMATIVA[[#This Row],[QT_AREA_REST1]]&gt;0,ESTIMATIVA[[#This Row],[QT_AREA_REST1]],
  IF(ESTIMATIVA[[#This Row],[QT_AREA_REAL]]&gt;0,ESTIMATIVA[[#This Row],[QT_AREA_REAL]],ESTIMATIVA[[#This Row],[QT_AREA_EST]]))</f>
        <v>14.35</v>
      </c>
      <c r="Z200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14.35</v>
      </c>
      <c r="AA2003" s="1">
        <f>ESTIMATIVA[[#This Row],[QT_CANA_EST]]</f>
        <v>918.4</v>
      </c>
      <c r="AB2003" s="1">
        <f>IF(ESTIMATIVA[[#This Row],[QT_CANA_REST1]]&gt;0,ESTIMATIVA[[#This Row],[QT_CANA_REST1]],
  IF(ESTIMATIVA[[#This Row],[QT_CANA_REAL]]&gt;0,ESTIMATIVA[[#This Row],[QT_CANA_REAL]],ESTIMATIVA[[#This Row],[QT_CANA_EST]]))</f>
        <v>1004.5</v>
      </c>
      <c r="AC200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1148</v>
      </c>
      <c r="AD2003" s="1">
        <f>IF(ESTIMATIVA[[#This Row],[QT_AREA_REAL]]&gt;0,ESTIMATIVA[[#This Row],[QT_CANA_REAL]],ESTIMATIVA[[#This Row],[QT_CANA_EST]])</f>
        <v>1802.84</v>
      </c>
      <c r="AE2003" s="1">
        <f>IF(ESTIMATIVA[[#This Row],[QT_AREA_REAL]]&gt;0,ESTIMATIVA[[#This Row],[QT_CANA_REAL]],ESTIMATIVA[[#This Row],[QT_CANA_REST1]])</f>
        <v>1802.84</v>
      </c>
      <c r="AF2003" s="1">
        <f>IF(ESTIMATIVA[[#This Row],[QT_AREA_REAL]]&gt;0,ESTIMATIVA[[#This Row],[QT_CANA_REAL]],ESTIMATIVA[[#This Row],[QT_CANA_REST2]])</f>
        <v>1802.84</v>
      </c>
      <c r="AG2003" s="1" t="str">
        <f>IF(COUNTIFS(GEADA!A:A,VALUE(ESTIMATIVA[[#This Row],[CD_UPNIVEL1]]&amp;TEXT(ESTIMATIVA[[#This Row],[CD_UPNIVEL3]],"0000")))&gt;0,"S","N")</f>
        <v>N</v>
      </c>
      <c r="AH200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03" s="55" t="str">
        <f>IF(ESTIMATIVA[[#This Row],[TP_CULTIVO]]="Irrigado",_xlfn.MAXIFS(IRRIGADO!J:J,IRRIGADO!C:C,ESTIMATIVA[[#This Row],[CD_UPNIVEL1]],IRRIGADO!E:E,ESTIMATIVA[[#This Row],[CD_UPNIVEL3]]),"")</f>
        <v/>
      </c>
      <c r="AJ200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03" s="1">
        <f>COUNTIFS(Apresentação!$E$23:$E$29,ESTIMATIVA[[#This Row],[CD_UPNIVEL1]])</f>
        <v>0</v>
      </c>
    </row>
    <row r="2004" spans="1:37" x14ac:dyDescent="0.3">
      <c r="A2004">
        <v>30101</v>
      </c>
      <c r="B2004" t="s">
        <v>109</v>
      </c>
      <c r="C2004">
        <v>26</v>
      </c>
      <c r="D2004">
        <v>2</v>
      </c>
      <c r="E2004" t="s">
        <v>266</v>
      </c>
      <c r="F2004" s="85" t="s">
        <v>331</v>
      </c>
      <c r="G2004"/>
      <c r="H2004" t="s">
        <v>294</v>
      </c>
      <c r="I2004" t="s">
        <v>200</v>
      </c>
      <c r="J2004" t="s">
        <v>178</v>
      </c>
      <c r="K2004" s="1">
        <v>43.33</v>
      </c>
      <c r="L2004" s="1">
        <v>0</v>
      </c>
      <c r="M2004" s="1">
        <v>0</v>
      </c>
      <c r="N2004" s="1">
        <v>43.33</v>
      </c>
      <c r="O2004" s="1">
        <v>2773.12</v>
      </c>
      <c r="P2004" s="1">
        <v>0</v>
      </c>
      <c r="Q2004" s="1">
        <v>0</v>
      </c>
      <c r="R2004" s="1">
        <v>4237.8599999999997</v>
      </c>
      <c r="S2004" t="s">
        <v>282</v>
      </c>
      <c r="T2004" s="13">
        <v>45851</v>
      </c>
      <c r="U2004" s="1" t="str">
        <f>IF(ESTIMATIVA[[#This Row],[QT_AREA_REAL]]&gt;0,"1- Colhido","2- à Colher")</f>
        <v>1- Colhido</v>
      </c>
      <c r="V2004" s="1" t="str">
        <f>IF(ESTIMATIVA[[#This Row],[QT_AREA_REST1]]&gt;0,"Reestimativa 1",IF(ESTIMATIVA[[#This Row],[QT_AREA_REAL]]=0,"Reestimativa 1","Realizado"))</f>
        <v>Realizado</v>
      </c>
      <c r="W2004" s="1" t="str">
        <f>IF(ESTIMATIVA[[#This Row],[QT_AREA_REST2]]&gt;0,"Reestimativa 2",IF(ESTIMATIVA[[#This Row],[QT_AREA_REAL]]=0,"Reestimativa 2","Realizado"))</f>
        <v>Realizado</v>
      </c>
      <c r="X2004" s="1">
        <f>ESTIMATIVA[[#This Row],[QT_AREA_EST]]</f>
        <v>43.33</v>
      </c>
      <c r="Y2004" s="1">
        <f>IF(ESTIMATIVA[[#This Row],[QT_AREA_REST1]]&gt;0,ESTIMATIVA[[#This Row],[QT_AREA_REST1]],
  IF(ESTIMATIVA[[#This Row],[QT_AREA_REAL]]&gt;0,ESTIMATIVA[[#This Row],[QT_AREA_REAL]],ESTIMATIVA[[#This Row],[QT_AREA_EST]]))</f>
        <v>43.33</v>
      </c>
      <c r="Z200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43.33</v>
      </c>
      <c r="AA2004" s="1">
        <f>ESTIMATIVA[[#This Row],[QT_CANA_EST]]</f>
        <v>2773.12</v>
      </c>
      <c r="AB2004" s="1">
        <f>IF(ESTIMATIVA[[#This Row],[QT_CANA_REST1]]&gt;0,ESTIMATIVA[[#This Row],[QT_CANA_REST1]],
  IF(ESTIMATIVA[[#This Row],[QT_CANA_REAL]]&gt;0,ESTIMATIVA[[#This Row],[QT_CANA_REAL]],ESTIMATIVA[[#This Row],[QT_CANA_EST]]))</f>
        <v>4237.8599999999997</v>
      </c>
      <c r="AC200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4237.8599999999997</v>
      </c>
      <c r="AD2004" s="1">
        <f>IF(ESTIMATIVA[[#This Row],[QT_AREA_REAL]]&gt;0,ESTIMATIVA[[#This Row],[QT_CANA_REAL]],ESTIMATIVA[[#This Row],[QT_CANA_EST]])</f>
        <v>4237.8599999999997</v>
      </c>
      <c r="AE2004" s="1">
        <f>IF(ESTIMATIVA[[#This Row],[QT_AREA_REAL]]&gt;0,ESTIMATIVA[[#This Row],[QT_CANA_REAL]],ESTIMATIVA[[#This Row],[QT_CANA_REST1]])</f>
        <v>4237.8599999999997</v>
      </c>
      <c r="AF2004" s="1">
        <f>IF(ESTIMATIVA[[#This Row],[QT_AREA_REAL]]&gt;0,ESTIMATIVA[[#This Row],[QT_CANA_REAL]],ESTIMATIVA[[#This Row],[QT_CANA_REST2]])</f>
        <v>4237.8599999999997</v>
      </c>
      <c r="AG2004" s="1" t="str">
        <f>IF(COUNTIFS(GEADA!A:A,VALUE(ESTIMATIVA[[#This Row],[CD_UPNIVEL1]]&amp;TEXT(ESTIMATIVA[[#This Row],[CD_UPNIVEL3]],"0000")))&gt;0,"S","N")</f>
        <v>N</v>
      </c>
      <c r="AH200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04" s="55" t="str">
        <f>IF(ESTIMATIVA[[#This Row],[TP_CULTIVO]]="Irrigado",_xlfn.MAXIFS(IRRIGADO!J:J,IRRIGADO!C:C,ESTIMATIVA[[#This Row],[CD_UPNIVEL1]],IRRIGADO!E:E,ESTIMATIVA[[#This Row],[CD_UPNIVEL3]]),"")</f>
        <v/>
      </c>
      <c r="AJ200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04" s="1">
        <f>COUNTIFS(Apresentação!$E$23:$E$29,ESTIMATIVA[[#This Row],[CD_UPNIVEL1]])</f>
        <v>0</v>
      </c>
    </row>
    <row r="2005" spans="1:37" x14ac:dyDescent="0.3">
      <c r="A2005">
        <v>30101</v>
      </c>
      <c r="B2005" t="s">
        <v>109</v>
      </c>
      <c r="C2005">
        <v>27</v>
      </c>
      <c r="D2005">
        <v>2</v>
      </c>
      <c r="E2005" t="s">
        <v>266</v>
      </c>
      <c r="F2005" s="85" t="s">
        <v>331</v>
      </c>
      <c r="G2005"/>
      <c r="H2005" t="s">
        <v>294</v>
      </c>
      <c r="I2005" t="s">
        <v>200</v>
      </c>
      <c r="J2005" t="s">
        <v>178</v>
      </c>
      <c r="K2005" s="1">
        <v>27.76</v>
      </c>
      <c r="L2005" s="1">
        <v>0</v>
      </c>
      <c r="M2005" s="1">
        <v>0</v>
      </c>
      <c r="N2005" s="1">
        <v>27.76</v>
      </c>
      <c r="O2005" s="1">
        <v>1665.6</v>
      </c>
      <c r="P2005" s="1">
        <v>0</v>
      </c>
      <c r="Q2005" s="1">
        <v>0</v>
      </c>
      <c r="R2005" s="1">
        <v>1964.01</v>
      </c>
      <c r="S2005" t="s">
        <v>282</v>
      </c>
      <c r="T2005" s="13">
        <v>45844</v>
      </c>
      <c r="U2005" s="1" t="str">
        <f>IF(ESTIMATIVA[[#This Row],[QT_AREA_REAL]]&gt;0,"1- Colhido","2- à Colher")</f>
        <v>1- Colhido</v>
      </c>
      <c r="V2005" s="1" t="str">
        <f>IF(ESTIMATIVA[[#This Row],[QT_AREA_REST1]]&gt;0,"Reestimativa 1",IF(ESTIMATIVA[[#This Row],[QT_AREA_REAL]]=0,"Reestimativa 1","Realizado"))</f>
        <v>Realizado</v>
      </c>
      <c r="W2005" s="1" t="str">
        <f>IF(ESTIMATIVA[[#This Row],[QT_AREA_REST2]]&gt;0,"Reestimativa 2",IF(ESTIMATIVA[[#This Row],[QT_AREA_REAL]]=0,"Reestimativa 2","Realizado"))</f>
        <v>Realizado</v>
      </c>
      <c r="X2005" s="1">
        <f>ESTIMATIVA[[#This Row],[QT_AREA_EST]]</f>
        <v>27.76</v>
      </c>
      <c r="Y2005" s="1">
        <f>IF(ESTIMATIVA[[#This Row],[QT_AREA_REST1]]&gt;0,ESTIMATIVA[[#This Row],[QT_AREA_REST1]],
  IF(ESTIMATIVA[[#This Row],[QT_AREA_REAL]]&gt;0,ESTIMATIVA[[#This Row],[QT_AREA_REAL]],ESTIMATIVA[[#This Row],[QT_AREA_EST]]))</f>
        <v>27.76</v>
      </c>
      <c r="Z200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27.76</v>
      </c>
      <c r="AA2005" s="1">
        <f>ESTIMATIVA[[#This Row],[QT_CANA_EST]]</f>
        <v>1665.6</v>
      </c>
      <c r="AB2005" s="1">
        <f>IF(ESTIMATIVA[[#This Row],[QT_CANA_REST1]]&gt;0,ESTIMATIVA[[#This Row],[QT_CANA_REST1]],
  IF(ESTIMATIVA[[#This Row],[QT_CANA_REAL]]&gt;0,ESTIMATIVA[[#This Row],[QT_CANA_REAL]],ESTIMATIVA[[#This Row],[QT_CANA_EST]]))</f>
        <v>1964.01</v>
      </c>
      <c r="AC200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1964.01</v>
      </c>
      <c r="AD2005" s="1">
        <f>IF(ESTIMATIVA[[#This Row],[QT_AREA_REAL]]&gt;0,ESTIMATIVA[[#This Row],[QT_CANA_REAL]],ESTIMATIVA[[#This Row],[QT_CANA_EST]])</f>
        <v>1964.01</v>
      </c>
      <c r="AE2005" s="1">
        <f>IF(ESTIMATIVA[[#This Row],[QT_AREA_REAL]]&gt;0,ESTIMATIVA[[#This Row],[QT_CANA_REAL]],ESTIMATIVA[[#This Row],[QT_CANA_REST1]])</f>
        <v>1964.01</v>
      </c>
      <c r="AF2005" s="1">
        <f>IF(ESTIMATIVA[[#This Row],[QT_AREA_REAL]]&gt;0,ESTIMATIVA[[#This Row],[QT_CANA_REAL]],ESTIMATIVA[[#This Row],[QT_CANA_REST2]])</f>
        <v>1964.01</v>
      </c>
      <c r="AG2005" s="1" t="str">
        <f>IF(COUNTIFS(GEADA!A:A,VALUE(ESTIMATIVA[[#This Row],[CD_UPNIVEL1]]&amp;TEXT(ESTIMATIVA[[#This Row],[CD_UPNIVEL3]],"0000")))&gt;0,"S","N")</f>
        <v>N</v>
      </c>
      <c r="AH200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05" s="55" t="str">
        <f>IF(ESTIMATIVA[[#This Row],[TP_CULTIVO]]="Irrigado",_xlfn.MAXIFS(IRRIGADO!J:J,IRRIGADO!C:C,ESTIMATIVA[[#This Row],[CD_UPNIVEL1]],IRRIGADO!E:E,ESTIMATIVA[[#This Row],[CD_UPNIVEL3]]),"")</f>
        <v/>
      </c>
      <c r="AJ200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05" s="1">
        <f>COUNTIFS(Apresentação!$E$23:$E$29,ESTIMATIVA[[#This Row],[CD_UPNIVEL1]])</f>
        <v>0</v>
      </c>
    </row>
    <row r="2006" spans="1:37" x14ac:dyDescent="0.3">
      <c r="A2006">
        <v>30101</v>
      </c>
      <c r="B2006" t="s">
        <v>109</v>
      </c>
      <c r="C2006">
        <v>28</v>
      </c>
      <c r="D2006">
        <v>2</v>
      </c>
      <c r="E2006" t="s">
        <v>266</v>
      </c>
      <c r="F2006" s="85" t="s">
        <v>331</v>
      </c>
      <c r="G2006"/>
      <c r="H2006" t="s">
        <v>294</v>
      </c>
      <c r="I2006" t="s">
        <v>200</v>
      </c>
      <c r="J2006" t="s">
        <v>178</v>
      </c>
      <c r="K2006" s="1">
        <v>26.12</v>
      </c>
      <c r="L2006" s="1">
        <v>0</v>
      </c>
      <c r="M2006" s="1">
        <v>0</v>
      </c>
      <c r="N2006" s="1">
        <v>26.12</v>
      </c>
      <c r="O2006" s="1">
        <v>1567.2</v>
      </c>
      <c r="P2006" s="1">
        <v>0</v>
      </c>
      <c r="Q2006" s="1">
        <v>0</v>
      </c>
      <c r="R2006" s="1">
        <v>1847.4</v>
      </c>
      <c r="S2006" t="s">
        <v>282</v>
      </c>
      <c r="T2006" s="13">
        <v>45844</v>
      </c>
      <c r="U2006" s="1" t="str">
        <f>IF(ESTIMATIVA[[#This Row],[QT_AREA_REAL]]&gt;0,"1- Colhido","2- à Colher")</f>
        <v>1- Colhido</v>
      </c>
      <c r="V2006" s="1" t="str">
        <f>IF(ESTIMATIVA[[#This Row],[QT_AREA_REST1]]&gt;0,"Reestimativa 1",IF(ESTIMATIVA[[#This Row],[QT_AREA_REAL]]=0,"Reestimativa 1","Realizado"))</f>
        <v>Realizado</v>
      </c>
      <c r="W2006" s="1" t="str">
        <f>IF(ESTIMATIVA[[#This Row],[QT_AREA_REST2]]&gt;0,"Reestimativa 2",IF(ESTIMATIVA[[#This Row],[QT_AREA_REAL]]=0,"Reestimativa 2","Realizado"))</f>
        <v>Realizado</v>
      </c>
      <c r="X2006" s="1">
        <f>ESTIMATIVA[[#This Row],[QT_AREA_EST]]</f>
        <v>26.12</v>
      </c>
      <c r="Y2006" s="1">
        <f>IF(ESTIMATIVA[[#This Row],[QT_AREA_REST1]]&gt;0,ESTIMATIVA[[#This Row],[QT_AREA_REST1]],
  IF(ESTIMATIVA[[#This Row],[QT_AREA_REAL]]&gt;0,ESTIMATIVA[[#This Row],[QT_AREA_REAL]],ESTIMATIVA[[#This Row],[QT_AREA_EST]]))</f>
        <v>26.12</v>
      </c>
      <c r="Z200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26.12</v>
      </c>
      <c r="AA2006" s="1">
        <f>ESTIMATIVA[[#This Row],[QT_CANA_EST]]</f>
        <v>1567.2</v>
      </c>
      <c r="AB2006" s="1">
        <f>IF(ESTIMATIVA[[#This Row],[QT_CANA_REST1]]&gt;0,ESTIMATIVA[[#This Row],[QT_CANA_REST1]],
  IF(ESTIMATIVA[[#This Row],[QT_CANA_REAL]]&gt;0,ESTIMATIVA[[#This Row],[QT_CANA_REAL]],ESTIMATIVA[[#This Row],[QT_CANA_EST]]))</f>
        <v>1847.4</v>
      </c>
      <c r="AC200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1847.4</v>
      </c>
      <c r="AD2006" s="1">
        <f>IF(ESTIMATIVA[[#This Row],[QT_AREA_REAL]]&gt;0,ESTIMATIVA[[#This Row],[QT_CANA_REAL]],ESTIMATIVA[[#This Row],[QT_CANA_EST]])</f>
        <v>1847.4</v>
      </c>
      <c r="AE2006" s="1">
        <f>IF(ESTIMATIVA[[#This Row],[QT_AREA_REAL]]&gt;0,ESTIMATIVA[[#This Row],[QT_CANA_REAL]],ESTIMATIVA[[#This Row],[QT_CANA_REST1]])</f>
        <v>1847.4</v>
      </c>
      <c r="AF2006" s="1">
        <f>IF(ESTIMATIVA[[#This Row],[QT_AREA_REAL]]&gt;0,ESTIMATIVA[[#This Row],[QT_CANA_REAL]],ESTIMATIVA[[#This Row],[QT_CANA_REST2]])</f>
        <v>1847.4</v>
      </c>
      <c r="AG2006" s="1" t="str">
        <f>IF(COUNTIFS(GEADA!A:A,VALUE(ESTIMATIVA[[#This Row],[CD_UPNIVEL1]]&amp;TEXT(ESTIMATIVA[[#This Row],[CD_UPNIVEL3]],"0000")))&gt;0,"S","N")</f>
        <v>N</v>
      </c>
      <c r="AH200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06" s="55" t="str">
        <f>IF(ESTIMATIVA[[#This Row],[TP_CULTIVO]]="Irrigado",_xlfn.MAXIFS(IRRIGADO!J:J,IRRIGADO!C:C,ESTIMATIVA[[#This Row],[CD_UPNIVEL1]],IRRIGADO!E:E,ESTIMATIVA[[#This Row],[CD_UPNIVEL3]]),"")</f>
        <v/>
      </c>
      <c r="AJ200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06" s="1">
        <f>COUNTIFS(Apresentação!$E$23:$E$29,ESTIMATIVA[[#This Row],[CD_UPNIVEL1]])</f>
        <v>0</v>
      </c>
    </row>
    <row r="2007" spans="1:37" x14ac:dyDescent="0.3">
      <c r="A2007">
        <v>30101</v>
      </c>
      <c r="B2007" t="s">
        <v>109</v>
      </c>
      <c r="C2007">
        <v>29</v>
      </c>
      <c r="D2007">
        <v>2</v>
      </c>
      <c r="E2007" t="s">
        <v>266</v>
      </c>
      <c r="F2007" s="85" t="s">
        <v>331</v>
      </c>
      <c r="G2007"/>
      <c r="H2007" t="s">
        <v>294</v>
      </c>
      <c r="I2007" t="s">
        <v>200</v>
      </c>
      <c r="J2007" t="s">
        <v>178</v>
      </c>
      <c r="K2007" s="1">
        <v>18.02</v>
      </c>
      <c r="L2007" s="1">
        <v>0</v>
      </c>
      <c r="M2007" s="1">
        <v>0</v>
      </c>
      <c r="N2007" s="1">
        <v>18.02</v>
      </c>
      <c r="O2007" s="1">
        <v>1081.2</v>
      </c>
      <c r="P2007" s="1">
        <v>0</v>
      </c>
      <c r="Q2007" s="1">
        <v>0</v>
      </c>
      <c r="R2007" s="1">
        <v>1651.98</v>
      </c>
      <c r="S2007" t="s">
        <v>282</v>
      </c>
      <c r="T2007" s="13">
        <v>45851</v>
      </c>
      <c r="U2007" s="1" t="str">
        <f>IF(ESTIMATIVA[[#This Row],[QT_AREA_REAL]]&gt;0,"1- Colhido","2- à Colher")</f>
        <v>1- Colhido</v>
      </c>
      <c r="V2007" s="1" t="str">
        <f>IF(ESTIMATIVA[[#This Row],[QT_AREA_REST1]]&gt;0,"Reestimativa 1",IF(ESTIMATIVA[[#This Row],[QT_AREA_REAL]]=0,"Reestimativa 1","Realizado"))</f>
        <v>Realizado</v>
      </c>
      <c r="W2007" s="1" t="str">
        <f>IF(ESTIMATIVA[[#This Row],[QT_AREA_REST2]]&gt;0,"Reestimativa 2",IF(ESTIMATIVA[[#This Row],[QT_AREA_REAL]]=0,"Reestimativa 2","Realizado"))</f>
        <v>Realizado</v>
      </c>
      <c r="X2007" s="1">
        <f>ESTIMATIVA[[#This Row],[QT_AREA_EST]]</f>
        <v>18.02</v>
      </c>
      <c r="Y2007" s="1">
        <f>IF(ESTIMATIVA[[#This Row],[QT_AREA_REST1]]&gt;0,ESTIMATIVA[[#This Row],[QT_AREA_REST1]],
  IF(ESTIMATIVA[[#This Row],[QT_AREA_REAL]]&gt;0,ESTIMATIVA[[#This Row],[QT_AREA_REAL]],ESTIMATIVA[[#This Row],[QT_AREA_EST]]))</f>
        <v>18.02</v>
      </c>
      <c r="Z200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18.02</v>
      </c>
      <c r="AA2007" s="1">
        <f>ESTIMATIVA[[#This Row],[QT_CANA_EST]]</f>
        <v>1081.2</v>
      </c>
      <c r="AB2007" s="1">
        <f>IF(ESTIMATIVA[[#This Row],[QT_CANA_REST1]]&gt;0,ESTIMATIVA[[#This Row],[QT_CANA_REST1]],
  IF(ESTIMATIVA[[#This Row],[QT_CANA_REAL]]&gt;0,ESTIMATIVA[[#This Row],[QT_CANA_REAL]],ESTIMATIVA[[#This Row],[QT_CANA_EST]]))</f>
        <v>1651.98</v>
      </c>
      <c r="AC200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1651.98</v>
      </c>
      <c r="AD2007" s="1">
        <f>IF(ESTIMATIVA[[#This Row],[QT_AREA_REAL]]&gt;0,ESTIMATIVA[[#This Row],[QT_CANA_REAL]],ESTIMATIVA[[#This Row],[QT_CANA_EST]])</f>
        <v>1651.98</v>
      </c>
      <c r="AE2007" s="1">
        <f>IF(ESTIMATIVA[[#This Row],[QT_AREA_REAL]]&gt;0,ESTIMATIVA[[#This Row],[QT_CANA_REAL]],ESTIMATIVA[[#This Row],[QT_CANA_REST1]])</f>
        <v>1651.98</v>
      </c>
      <c r="AF2007" s="1">
        <f>IF(ESTIMATIVA[[#This Row],[QT_AREA_REAL]]&gt;0,ESTIMATIVA[[#This Row],[QT_CANA_REAL]],ESTIMATIVA[[#This Row],[QT_CANA_REST2]])</f>
        <v>1651.98</v>
      </c>
      <c r="AG2007" s="1" t="str">
        <f>IF(COUNTIFS(GEADA!A:A,VALUE(ESTIMATIVA[[#This Row],[CD_UPNIVEL1]]&amp;TEXT(ESTIMATIVA[[#This Row],[CD_UPNIVEL3]],"0000")))&gt;0,"S","N")</f>
        <v>N</v>
      </c>
      <c r="AH200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07" s="55" t="str">
        <f>IF(ESTIMATIVA[[#This Row],[TP_CULTIVO]]="Irrigado",_xlfn.MAXIFS(IRRIGADO!J:J,IRRIGADO!C:C,ESTIMATIVA[[#This Row],[CD_UPNIVEL1]],IRRIGADO!E:E,ESTIMATIVA[[#This Row],[CD_UPNIVEL3]]),"")</f>
        <v/>
      </c>
      <c r="AJ200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07" s="1">
        <f>COUNTIFS(Apresentação!$E$23:$E$29,ESTIMATIVA[[#This Row],[CD_UPNIVEL1]])</f>
        <v>0</v>
      </c>
    </row>
    <row r="2008" spans="1:37" x14ac:dyDescent="0.3">
      <c r="A2008">
        <v>30101</v>
      </c>
      <c r="B2008" t="s">
        <v>109</v>
      </c>
      <c r="C2008">
        <v>30</v>
      </c>
      <c r="D2008">
        <v>2</v>
      </c>
      <c r="E2008" t="s">
        <v>266</v>
      </c>
      <c r="F2008" s="85" t="s">
        <v>331</v>
      </c>
      <c r="G2008"/>
      <c r="H2008" t="s">
        <v>294</v>
      </c>
      <c r="I2008" t="s">
        <v>200</v>
      </c>
      <c r="J2008" t="s">
        <v>178</v>
      </c>
      <c r="K2008" s="1">
        <v>13.94</v>
      </c>
      <c r="L2008" s="1">
        <v>0</v>
      </c>
      <c r="M2008" s="1">
        <v>0</v>
      </c>
      <c r="N2008" s="1">
        <v>13.94</v>
      </c>
      <c r="O2008" s="1">
        <v>836.4</v>
      </c>
      <c r="P2008" s="1">
        <v>0</v>
      </c>
      <c r="Q2008" s="1">
        <v>0</v>
      </c>
      <c r="R2008" s="1">
        <v>1277.8800000000001</v>
      </c>
      <c r="S2008" t="s">
        <v>282</v>
      </c>
      <c r="T2008" s="13">
        <v>45851</v>
      </c>
      <c r="U2008" s="1" t="str">
        <f>IF(ESTIMATIVA[[#This Row],[QT_AREA_REAL]]&gt;0,"1- Colhido","2- à Colher")</f>
        <v>1- Colhido</v>
      </c>
      <c r="V2008" s="1" t="str">
        <f>IF(ESTIMATIVA[[#This Row],[QT_AREA_REST1]]&gt;0,"Reestimativa 1",IF(ESTIMATIVA[[#This Row],[QT_AREA_REAL]]=0,"Reestimativa 1","Realizado"))</f>
        <v>Realizado</v>
      </c>
      <c r="W2008" s="1" t="str">
        <f>IF(ESTIMATIVA[[#This Row],[QT_AREA_REST2]]&gt;0,"Reestimativa 2",IF(ESTIMATIVA[[#This Row],[QT_AREA_REAL]]=0,"Reestimativa 2","Realizado"))</f>
        <v>Realizado</v>
      </c>
      <c r="X2008" s="1">
        <f>ESTIMATIVA[[#This Row],[QT_AREA_EST]]</f>
        <v>13.94</v>
      </c>
      <c r="Y2008" s="1">
        <f>IF(ESTIMATIVA[[#This Row],[QT_AREA_REST1]]&gt;0,ESTIMATIVA[[#This Row],[QT_AREA_REST1]],
  IF(ESTIMATIVA[[#This Row],[QT_AREA_REAL]]&gt;0,ESTIMATIVA[[#This Row],[QT_AREA_REAL]],ESTIMATIVA[[#This Row],[QT_AREA_EST]]))</f>
        <v>13.94</v>
      </c>
      <c r="Z200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13.94</v>
      </c>
      <c r="AA2008" s="1">
        <f>ESTIMATIVA[[#This Row],[QT_CANA_EST]]</f>
        <v>836.4</v>
      </c>
      <c r="AB2008" s="1">
        <f>IF(ESTIMATIVA[[#This Row],[QT_CANA_REST1]]&gt;0,ESTIMATIVA[[#This Row],[QT_CANA_REST1]],
  IF(ESTIMATIVA[[#This Row],[QT_CANA_REAL]]&gt;0,ESTIMATIVA[[#This Row],[QT_CANA_REAL]],ESTIMATIVA[[#This Row],[QT_CANA_EST]]))</f>
        <v>1277.8800000000001</v>
      </c>
      <c r="AC200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1277.8800000000001</v>
      </c>
      <c r="AD2008" s="1">
        <f>IF(ESTIMATIVA[[#This Row],[QT_AREA_REAL]]&gt;0,ESTIMATIVA[[#This Row],[QT_CANA_REAL]],ESTIMATIVA[[#This Row],[QT_CANA_EST]])</f>
        <v>1277.8800000000001</v>
      </c>
      <c r="AE2008" s="1">
        <f>IF(ESTIMATIVA[[#This Row],[QT_AREA_REAL]]&gt;0,ESTIMATIVA[[#This Row],[QT_CANA_REAL]],ESTIMATIVA[[#This Row],[QT_CANA_REST1]])</f>
        <v>1277.8800000000001</v>
      </c>
      <c r="AF2008" s="1">
        <f>IF(ESTIMATIVA[[#This Row],[QT_AREA_REAL]]&gt;0,ESTIMATIVA[[#This Row],[QT_CANA_REAL]],ESTIMATIVA[[#This Row],[QT_CANA_REST2]])</f>
        <v>1277.8800000000001</v>
      </c>
      <c r="AG2008" s="1" t="str">
        <f>IF(COUNTIFS(GEADA!A:A,VALUE(ESTIMATIVA[[#This Row],[CD_UPNIVEL1]]&amp;TEXT(ESTIMATIVA[[#This Row],[CD_UPNIVEL3]],"0000")))&gt;0,"S","N")</f>
        <v>N</v>
      </c>
      <c r="AH200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08" s="55" t="str">
        <f>IF(ESTIMATIVA[[#This Row],[TP_CULTIVO]]="Irrigado",_xlfn.MAXIFS(IRRIGADO!J:J,IRRIGADO!C:C,ESTIMATIVA[[#This Row],[CD_UPNIVEL1]],IRRIGADO!E:E,ESTIMATIVA[[#This Row],[CD_UPNIVEL3]]),"")</f>
        <v/>
      </c>
      <c r="AJ200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08" s="1">
        <f>COUNTIFS(Apresentação!$E$23:$E$29,ESTIMATIVA[[#This Row],[CD_UPNIVEL1]])</f>
        <v>0</v>
      </c>
    </row>
    <row r="2009" spans="1:37" x14ac:dyDescent="0.3">
      <c r="A2009">
        <v>30102</v>
      </c>
      <c r="B2009" t="s">
        <v>164</v>
      </c>
      <c r="C2009">
        <v>1</v>
      </c>
      <c r="D2009">
        <v>2</v>
      </c>
      <c r="E2009" t="s">
        <v>266</v>
      </c>
      <c r="F2009" s="85" t="s">
        <v>333</v>
      </c>
      <c r="G2009"/>
      <c r="H2009" t="s">
        <v>294</v>
      </c>
      <c r="I2009" t="s">
        <v>202</v>
      </c>
      <c r="J2009" t="s">
        <v>178</v>
      </c>
      <c r="K2009" s="1">
        <v>16.98</v>
      </c>
      <c r="L2009" s="1">
        <v>16.98</v>
      </c>
      <c r="M2009" s="1">
        <v>16.98</v>
      </c>
      <c r="N2009" s="1">
        <v>16.98</v>
      </c>
      <c r="O2009" s="1">
        <v>781.08</v>
      </c>
      <c r="P2009" s="1">
        <v>849</v>
      </c>
      <c r="Q2009" s="1">
        <v>1188.5999999999999</v>
      </c>
      <c r="R2009" s="1">
        <v>898.07</v>
      </c>
      <c r="S2009" t="s">
        <v>282</v>
      </c>
      <c r="T2009" s="13">
        <v>45977</v>
      </c>
      <c r="U2009" s="1" t="str">
        <f>IF(ESTIMATIVA[[#This Row],[QT_AREA_REAL]]&gt;0,"1- Colhido","2- à Colher")</f>
        <v>1- Colhido</v>
      </c>
      <c r="V2009" s="1" t="str">
        <f>IF(ESTIMATIVA[[#This Row],[QT_AREA_REST1]]&gt;0,"Reestimativa 1",IF(ESTIMATIVA[[#This Row],[QT_AREA_REAL]]=0,"Reestimativa 1","Realizado"))</f>
        <v>Reestimativa 1</v>
      </c>
      <c r="W2009" s="1" t="str">
        <f>IF(ESTIMATIVA[[#This Row],[QT_AREA_REST2]]&gt;0,"Reestimativa 2",IF(ESTIMATIVA[[#This Row],[QT_AREA_REAL]]=0,"Reestimativa 2","Realizado"))</f>
        <v>Reestimativa 2</v>
      </c>
      <c r="X2009" s="1">
        <f>ESTIMATIVA[[#This Row],[QT_AREA_EST]]</f>
        <v>16.98</v>
      </c>
      <c r="Y2009" s="1">
        <f>IF(ESTIMATIVA[[#This Row],[QT_AREA_REST1]]&gt;0,ESTIMATIVA[[#This Row],[QT_AREA_REST1]],
  IF(ESTIMATIVA[[#This Row],[QT_AREA_REAL]]&gt;0,ESTIMATIVA[[#This Row],[QT_AREA_REAL]],ESTIMATIVA[[#This Row],[QT_AREA_EST]]))</f>
        <v>16.98</v>
      </c>
      <c r="Z200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16.98</v>
      </c>
      <c r="AA2009" s="1">
        <f>ESTIMATIVA[[#This Row],[QT_CANA_EST]]</f>
        <v>781.08</v>
      </c>
      <c r="AB2009" s="1">
        <f>IF(ESTIMATIVA[[#This Row],[QT_CANA_REST1]]&gt;0,ESTIMATIVA[[#This Row],[QT_CANA_REST1]],
  IF(ESTIMATIVA[[#This Row],[QT_CANA_REAL]]&gt;0,ESTIMATIVA[[#This Row],[QT_CANA_REAL]],ESTIMATIVA[[#This Row],[QT_CANA_EST]]))</f>
        <v>849</v>
      </c>
      <c r="AC200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1188.5999999999999</v>
      </c>
      <c r="AD2009" s="1">
        <f>IF(ESTIMATIVA[[#This Row],[QT_AREA_REAL]]&gt;0,ESTIMATIVA[[#This Row],[QT_CANA_REAL]],ESTIMATIVA[[#This Row],[QT_CANA_EST]])</f>
        <v>898.07</v>
      </c>
      <c r="AE2009" s="1">
        <f>IF(ESTIMATIVA[[#This Row],[QT_AREA_REAL]]&gt;0,ESTIMATIVA[[#This Row],[QT_CANA_REAL]],ESTIMATIVA[[#This Row],[QT_CANA_REST1]])</f>
        <v>898.07</v>
      </c>
      <c r="AF2009" s="1">
        <f>IF(ESTIMATIVA[[#This Row],[QT_AREA_REAL]]&gt;0,ESTIMATIVA[[#This Row],[QT_CANA_REAL]],ESTIMATIVA[[#This Row],[QT_CANA_REST2]])</f>
        <v>898.07</v>
      </c>
      <c r="AG2009" s="1" t="str">
        <f>IF(COUNTIFS(GEADA!A:A,VALUE(ESTIMATIVA[[#This Row],[CD_UPNIVEL1]]&amp;TEXT(ESTIMATIVA[[#This Row],[CD_UPNIVEL3]],"0000")))&gt;0,"S","N")</f>
        <v>N</v>
      </c>
      <c r="AH200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09" s="55" t="str">
        <f>IF(ESTIMATIVA[[#This Row],[TP_CULTIVO]]="Irrigado",_xlfn.MAXIFS(IRRIGADO!J:J,IRRIGADO!C:C,ESTIMATIVA[[#This Row],[CD_UPNIVEL1]],IRRIGADO!E:E,ESTIMATIVA[[#This Row],[CD_UPNIVEL3]]),"")</f>
        <v/>
      </c>
      <c r="AJ200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09" s="1">
        <f>COUNTIFS(Apresentação!$E$23:$E$29,ESTIMATIVA[[#This Row],[CD_UPNIVEL1]])</f>
        <v>0</v>
      </c>
    </row>
    <row r="2010" spans="1:37" x14ac:dyDescent="0.3">
      <c r="A2010">
        <v>30102</v>
      </c>
      <c r="B2010" t="s">
        <v>164</v>
      </c>
      <c r="C2010">
        <v>2</v>
      </c>
      <c r="D2010">
        <v>2</v>
      </c>
      <c r="E2010" t="s">
        <v>266</v>
      </c>
      <c r="F2010" s="85" t="s">
        <v>333</v>
      </c>
      <c r="G2010"/>
      <c r="H2010" t="s">
        <v>294</v>
      </c>
      <c r="I2010" t="s">
        <v>202</v>
      </c>
      <c r="J2010" t="s">
        <v>178</v>
      </c>
      <c r="K2010" s="1">
        <v>19.649999999999999</v>
      </c>
      <c r="L2010" s="1">
        <v>19.649999999999999</v>
      </c>
      <c r="M2010" s="1">
        <v>19.649999999999999</v>
      </c>
      <c r="N2010" s="1">
        <v>19.649999999999999</v>
      </c>
      <c r="O2010" s="1">
        <v>1375.5</v>
      </c>
      <c r="P2010" s="1">
        <v>982.5</v>
      </c>
      <c r="Q2010" s="1">
        <v>1375.5</v>
      </c>
      <c r="R2010" s="1">
        <v>1039.33</v>
      </c>
      <c r="S2010" t="s">
        <v>282</v>
      </c>
      <c r="T2010" s="13">
        <v>45977</v>
      </c>
      <c r="U2010" s="1" t="str">
        <f>IF(ESTIMATIVA[[#This Row],[QT_AREA_REAL]]&gt;0,"1- Colhido","2- à Colher")</f>
        <v>1- Colhido</v>
      </c>
      <c r="V2010" s="1" t="str">
        <f>IF(ESTIMATIVA[[#This Row],[QT_AREA_REST1]]&gt;0,"Reestimativa 1",IF(ESTIMATIVA[[#This Row],[QT_AREA_REAL]]=0,"Reestimativa 1","Realizado"))</f>
        <v>Reestimativa 1</v>
      </c>
      <c r="W2010" s="1" t="str">
        <f>IF(ESTIMATIVA[[#This Row],[QT_AREA_REST2]]&gt;0,"Reestimativa 2",IF(ESTIMATIVA[[#This Row],[QT_AREA_REAL]]=0,"Reestimativa 2","Realizado"))</f>
        <v>Reestimativa 2</v>
      </c>
      <c r="X2010" s="1">
        <f>ESTIMATIVA[[#This Row],[QT_AREA_EST]]</f>
        <v>19.649999999999999</v>
      </c>
      <c r="Y2010" s="1">
        <f>IF(ESTIMATIVA[[#This Row],[QT_AREA_REST1]]&gt;0,ESTIMATIVA[[#This Row],[QT_AREA_REST1]],
  IF(ESTIMATIVA[[#This Row],[QT_AREA_REAL]]&gt;0,ESTIMATIVA[[#This Row],[QT_AREA_REAL]],ESTIMATIVA[[#This Row],[QT_AREA_EST]]))</f>
        <v>19.649999999999999</v>
      </c>
      <c r="Z201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19.649999999999999</v>
      </c>
      <c r="AA2010" s="1">
        <f>ESTIMATIVA[[#This Row],[QT_CANA_EST]]</f>
        <v>1375.5</v>
      </c>
      <c r="AB2010" s="1">
        <f>IF(ESTIMATIVA[[#This Row],[QT_CANA_REST1]]&gt;0,ESTIMATIVA[[#This Row],[QT_CANA_REST1]],
  IF(ESTIMATIVA[[#This Row],[QT_CANA_REAL]]&gt;0,ESTIMATIVA[[#This Row],[QT_CANA_REAL]],ESTIMATIVA[[#This Row],[QT_CANA_EST]]))</f>
        <v>982.5</v>
      </c>
      <c r="AC201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1375.5</v>
      </c>
      <c r="AD2010" s="1">
        <f>IF(ESTIMATIVA[[#This Row],[QT_AREA_REAL]]&gt;0,ESTIMATIVA[[#This Row],[QT_CANA_REAL]],ESTIMATIVA[[#This Row],[QT_CANA_EST]])</f>
        <v>1039.33</v>
      </c>
      <c r="AE2010" s="1">
        <f>IF(ESTIMATIVA[[#This Row],[QT_AREA_REAL]]&gt;0,ESTIMATIVA[[#This Row],[QT_CANA_REAL]],ESTIMATIVA[[#This Row],[QT_CANA_REST1]])</f>
        <v>1039.33</v>
      </c>
      <c r="AF2010" s="1">
        <f>IF(ESTIMATIVA[[#This Row],[QT_AREA_REAL]]&gt;0,ESTIMATIVA[[#This Row],[QT_CANA_REAL]],ESTIMATIVA[[#This Row],[QT_CANA_REST2]])</f>
        <v>1039.33</v>
      </c>
      <c r="AG2010" s="1" t="str">
        <f>IF(COUNTIFS(GEADA!A:A,VALUE(ESTIMATIVA[[#This Row],[CD_UPNIVEL1]]&amp;TEXT(ESTIMATIVA[[#This Row],[CD_UPNIVEL3]],"0000")))&gt;0,"S","N")</f>
        <v>N</v>
      </c>
      <c r="AH201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10" s="55" t="str">
        <f>IF(ESTIMATIVA[[#This Row],[TP_CULTIVO]]="Irrigado",_xlfn.MAXIFS(IRRIGADO!J:J,IRRIGADO!C:C,ESTIMATIVA[[#This Row],[CD_UPNIVEL1]],IRRIGADO!E:E,ESTIMATIVA[[#This Row],[CD_UPNIVEL3]]),"")</f>
        <v/>
      </c>
      <c r="AJ201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10" s="1">
        <f>COUNTIFS(Apresentação!$E$23:$E$29,ESTIMATIVA[[#This Row],[CD_UPNIVEL1]])</f>
        <v>0</v>
      </c>
    </row>
    <row r="2011" spans="1:37" x14ac:dyDescent="0.3">
      <c r="A2011">
        <v>30102</v>
      </c>
      <c r="B2011" t="s">
        <v>164</v>
      </c>
      <c r="C2011">
        <v>3</v>
      </c>
      <c r="D2011">
        <v>2</v>
      </c>
      <c r="E2011" t="s">
        <v>266</v>
      </c>
      <c r="F2011" s="85" t="s">
        <v>333</v>
      </c>
      <c r="G2011"/>
      <c r="H2011" t="s">
        <v>294</v>
      </c>
      <c r="I2011" t="s">
        <v>200</v>
      </c>
      <c r="J2011" t="s">
        <v>178</v>
      </c>
      <c r="K2011" s="1">
        <v>14.45</v>
      </c>
      <c r="L2011" s="1">
        <v>14.45</v>
      </c>
      <c r="M2011" s="1">
        <v>14.45</v>
      </c>
      <c r="N2011" s="1">
        <v>14.45</v>
      </c>
      <c r="O2011" s="1">
        <v>1228.25</v>
      </c>
      <c r="P2011" s="1">
        <v>722.5</v>
      </c>
      <c r="Q2011" s="1">
        <v>1011.5</v>
      </c>
      <c r="R2011" s="1">
        <v>764.37</v>
      </c>
      <c r="S2011" t="s">
        <v>282</v>
      </c>
      <c r="T2011" s="13">
        <v>45977</v>
      </c>
      <c r="U2011" s="1" t="str">
        <f>IF(ESTIMATIVA[[#This Row],[QT_AREA_REAL]]&gt;0,"1- Colhido","2- à Colher")</f>
        <v>1- Colhido</v>
      </c>
      <c r="V2011" s="1" t="str">
        <f>IF(ESTIMATIVA[[#This Row],[QT_AREA_REST1]]&gt;0,"Reestimativa 1",IF(ESTIMATIVA[[#This Row],[QT_AREA_REAL]]=0,"Reestimativa 1","Realizado"))</f>
        <v>Reestimativa 1</v>
      </c>
      <c r="W2011" s="1" t="str">
        <f>IF(ESTIMATIVA[[#This Row],[QT_AREA_REST2]]&gt;0,"Reestimativa 2",IF(ESTIMATIVA[[#This Row],[QT_AREA_REAL]]=0,"Reestimativa 2","Realizado"))</f>
        <v>Reestimativa 2</v>
      </c>
      <c r="X2011" s="1">
        <f>ESTIMATIVA[[#This Row],[QT_AREA_EST]]</f>
        <v>14.45</v>
      </c>
      <c r="Y2011" s="1">
        <f>IF(ESTIMATIVA[[#This Row],[QT_AREA_REST1]]&gt;0,ESTIMATIVA[[#This Row],[QT_AREA_REST1]],
  IF(ESTIMATIVA[[#This Row],[QT_AREA_REAL]]&gt;0,ESTIMATIVA[[#This Row],[QT_AREA_REAL]],ESTIMATIVA[[#This Row],[QT_AREA_EST]]))</f>
        <v>14.45</v>
      </c>
      <c r="Z201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14.45</v>
      </c>
      <c r="AA2011" s="1">
        <f>ESTIMATIVA[[#This Row],[QT_CANA_EST]]</f>
        <v>1228.25</v>
      </c>
      <c r="AB2011" s="1">
        <f>IF(ESTIMATIVA[[#This Row],[QT_CANA_REST1]]&gt;0,ESTIMATIVA[[#This Row],[QT_CANA_REST1]],
  IF(ESTIMATIVA[[#This Row],[QT_CANA_REAL]]&gt;0,ESTIMATIVA[[#This Row],[QT_CANA_REAL]],ESTIMATIVA[[#This Row],[QT_CANA_EST]]))</f>
        <v>722.5</v>
      </c>
      <c r="AC201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1011.5</v>
      </c>
      <c r="AD2011" s="1">
        <f>IF(ESTIMATIVA[[#This Row],[QT_AREA_REAL]]&gt;0,ESTIMATIVA[[#This Row],[QT_CANA_REAL]],ESTIMATIVA[[#This Row],[QT_CANA_EST]])</f>
        <v>764.37</v>
      </c>
      <c r="AE2011" s="1">
        <f>IF(ESTIMATIVA[[#This Row],[QT_AREA_REAL]]&gt;0,ESTIMATIVA[[#This Row],[QT_CANA_REAL]],ESTIMATIVA[[#This Row],[QT_CANA_REST1]])</f>
        <v>764.37</v>
      </c>
      <c r="AF2011" s="1">
        <f>IF(ESTIMATIVA[[#This Row],[QT_AREA_REAL]]&gt;0,ESTIMATIVA[[#This Row],[QT_CANA_REAL]],ESTIMATIVA[[#This Row],[QT_CANA_REST2]])</f>
        <v>764.37</v>
      </c>
      <c r="AG2011" s="1" t="str">
        <f>IF(COUNTIFS(GEADA!A:A,VALUE(ESTIMATIVA[[#This Row],[CD_UPNIVEL1]]&amp;TEXT(ESTIMATIVA[[#This Row],[CD_UPNIVEL3]],"0000")))&gt;0,"S","N")</f>
        <v>N</v>
      </c>
      <c r="AH201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11" s="55" t="str">
        <f>IF(ESTIMATIVA[[#This Row],[TP_CULTIVO]]="Irrigado",_xlfn.MAXIFS(IRRIGADO!J:J,IRRIGADO!C:C,ESTIMATIVA[[#This Row],[CD_UPNIVEL1]],IRRIGADO!E:E,ESTIMATIVA[[#This Row],[CD_UPNIVEL3]]),"")</f>
        <v/>
      </c>
      <c r="AJ201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11" s="1">
        <f>COUNTIFS(Apresentação!$E$23:$E$29,ESTIMATIVA[[#This Row],[CD_UPNIVEL1]])</f>
        <v>0</v>
      </c>
    </row>
    <row r="2012" spans="1:37" x14ac:dyDescent="0.3">
      <c r="A2012">
        <v>30102</v>
      </c>
      <c r="B2012" t="s">
        <v>164</v>
      </c>
      <c r="C2012">
        <v>4</v>
      </c>
      <c r="D2012">
        <v>2</v>
      </c>
      <c r="E2012" t="s">
        <v>266</v>
      </c>
      <c r="F2012" s="85" t="s">
        <v>333</v>
      </c>
      <c r="G2012"/>
      <c r="H2012" t="s">
        <v>294</v>
      </c>
      <c r="I2012" t="s">
        <v>200</v>
      </c>
      <c r="J2012" t="s">
        <v>178</v>
      </c>
      <c r="K2012" s="1">
        <v>15.81</v>
      </c>
      <c r="L2012" s="1">
        <v>15.81</v>
      </c>
      <c r="M2012" s="1">
        <v>15.81</v>
      </c>
      <c r="N2012" s="1">
        <v>15.81</v>
      </c>
      <c r="O2012" s="1">
        <v>1343.85</v>
      </c>
      <c r="P2012" s="1">
        <v>790.5</v>
      </c>
      <c r="Q2012" s="1">
        <v>1106.7</v>
      </c>
      <c r="R2012" s="1">
        <v>836.13</v>
      </c>
      <c r="S2012" t="s">
        <v>282</v>
      </c>
      <c r="T2012" s="13">
        <v>45977</v>
      </c>
      <c r="U2012" s="1" t="str">
        <f>IF(ESTIMATIVA[[#This Row],[QT_AREA_REAL]]&gt;0,"1- Colhido","2- à Colher")</f>
        <v>1- Colhido</v>
      </c>
      <c r="V2012" s="1" t="str">
        <f>IF(ESTIMATIVA[[#This Row],[QT_AREA_REST1]]&gt;0,"Reestimativa 1",IF(ESTIMATIVA[[#This Row],[QT_AREA_REAL]]=0,"Reestimativa 1","Realizado"))</f>
        <v>Reestimativa 1</v>
      </c>
      <c r="W2012" s="1" t="str">
        <f>IF(ESTIMATIVA[[#This Row],[QT_AREA_REST2]]&gt;0,"Reestimativa 2",IF(ESTIMATIVA[[#This Row],[QT_AREA_REAL]]=0,"Reestimativa 2","Realizado"))</f>
        <v>Reestimativa 2</v>
      </c>
      <c r="X2012" s="1">
        <f>ESTIMATIVA[[#This Row],[QT_AREA_EST]]</f>
        <v>15.81</v>
      </c>
      <c r="Y2012" s="1">
        <f>IF(ESTIMATIVA[[#This Row],[QT_AREA_REST1]]&gt;0,ESTIMATIVA[[#This Row],[QT_AREA_REST1]],
  IF(ESTIMATIVA[[#This Row],[QT_AREA_REAL]]&gt;0,ESTIMATIVA[[#This Row],[QT_AREA_REAL]],ESTIMATIVA[[#This Row],[QT_AREA_EST]]))</f>
        <v>15.81</v>
      </c>
      <c r="Z201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15.81</v>
      </c>
      <c r="AA2012" s="1">
        <f>ESTIMATIVA[[#This Row],[QT_CANA_EST]]</f>
        <v>1343.85</v>
      </c>
      <c r="AB2012" s="1">
        <f>IF(ESTIMATIVA[[#This Row],[QT_CANA_REST1]]&gt;0,ESTIMATIVA[[#This Row],[QT_CANA_REST1]],
  IF(ESTIMATIVA[[#This Row],[QT_CANA_REAL]]&gt;0,ESTIMATIVA[[#This Row],[QT_CANA_REAL]],ESTIMATIVA[[#This Row],[QT_CANA_EST]]))</f>
        <v>790.5</v>
      </c>
      <c r="AC201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1106.7</v>
      </c>
      <c r="AD2012" s="1">
        <f>IF(ESTIMATIVA[[#This Row],[QT_AREA_REAL]]&gt;0,ESTIMATIVA[[#This Row],[QT_CANA_REAL]],ESTIMATIVA[[#This Row],[QT_CANA_EST]])</f>
        <v>836.13</v>
      </c>
      <c r="AE2012" s="1">
        <f>IF(ESTIMATIVA[[#This Row],[QT_AREA_REAL]]&gt;0,ESTIMATIVA[[#This Row],[QT_CANA_REAL]],ESTIMATIVA[[#This Row],[QT_CANA_REST1]])</f>
        <v>836.13</v>
      </c>
      <c r="AF2012" s="1">
        <f>IF(ESTIMATIVA[[#This Row],[QT_AREA_REAL]]&gt;0,ESTIMATIVA[[#This Row],[QT_CANA_REAL]],ESTIMATIVA[[#This Row],[QT_CANA_REST2]])</f>
        <v>836.13</v>
      </c>
      <c r="AG2012" s="1" t="str">
        <f>IF(COUNTIFS(GEADA!A:A,VALUE(ESTIMATIVA[[#This Row],[CD_UPNIVEL1]]&amp;TEXT(ESTIMATIVA[[#This Row],[CD_UPNIVEL3]],"0000")))&gt;0,"S","N")</f>
        <v>N</v>
      </c>
      <c r="AH201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12" s="55" t="str">
        <f>IF(ESTIMATIVA[[#This Row],[TP_CULTIVO]]="Irrigado",_xlfn.MAXIFS(IRRIGADO!J:J,IRRIGADO!C:C,ESTIMATIVA[[#This Row],[CD_UPNIVEL1]],IRRIGADO!E:E,ESTIMATIVA[[#This Row],[CD_UPNIVEL3]]),"")</f>
        <v/>
      </c>
      <c r="AJ201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12" s="1">
        <f>COUNTIFS(Apresentação!$E$23:$E$29,ESTIMATIVA[[#This Row],[CD_UPNIVEL1]])</f>
        <v>0</v>
      </c>
    </row>
    <row r="2013" spans="1:37" x14ac:dyDescent="0.3">
      <c r="A2013">
        <v>30102</v>
      </c>
      <c r="B2013" t="s">
        <v>164</v>
      </c>
      <c r="C2013">
        <v>5</v>
      </c>
      <c r="D2013">
        <v>2</v>
      </c>
      <c r="E2013" t="s">
        <v>266</v>
      </c>
      <c r="F2013" s="85" t="s">
        <v>333</v>
      </c>
      <c r="G2013"/>
      <c r="H2013" t="s">
        <v>294</v>
      </c>
      <c r="I2013" t="s">
        <v>200</v>
      </c>
      <c r="J2013" t="s">
        <v>178</v>
      </c>
      <c r="K2013" s="1">
        <v>14.4</v>
      </c>
      <c r="L2013" s="1">
        <v>14.4</v>
      </c>
      <c r="M2013" s="1">
        <v>14.4</v>
      </c>
      <c r="N2013" s="1">
        <v>14.4</v>
      </c>
      <c r="O2013" s="1">
        <v>1008</v>
      </c>
      <c r="P2013" s="1">
        <v>720</v>
      </c>
      <c r="Q2013" s="1">
        <v>720</v>
      </c>
      <c r="R2013" s="1">
        <v>543.79999999999995</v>
      </c>
      <c r="S2013" t="s">
        <v>282</v>
      </c>
      <c r="T2013" s="13">
        <v>45977</v>
      </c>
      <c r="U2013" s="1" t="str">
        <f>IF(ESTIMATIVA[[#This Row],[QT_AREA_REAL]]&gt;0,"1- Colhido","2- à Colher")</f>
        <v>1- Colhido</v>
      </c>
      <c r="V2013" s="1" t="str">
        <f>IF(ESTIMATIVA[[#This Row],[QT_AREA_REST1]]&gt;0,"Reestimativa 1",IF(ESTIMATIVA[[#This Row],[QT_AREA_REAL]]=0,"Reestimativa 1","Realizado"))</f>
        <v>Reestimativa 1</v>
      </c>
      <c r="W2013" s="1" t="str">
        <f>IF(ESTIMATIVA[[#This Row],[QT_AREA_REST2]]&gt;0,"Reestimativa 2",IF(ESTIMATIVA[[#This Row],[QT_AREA_REAL]]=0,"Reestimativa 2","Realizado"))</f>
        <v>Reestimativa 2</v>
      </c>
      <c r="X2013" s="1">
        <f>ESTIMATIVA[[#This Row],[QT_AREA_EST]]</f>
        <v>14.4</v>
      </c>
      <c r="Y2013" s="1">
        <f>IF(ESTIMATIVA[[#This Row],[QT_AREA_REST1]]&gt;0,ESTIMATIVA[[#This Row],[QT_AREA_REST1]],
  IF(ESTIMATIVA[[#This Row],[QT_AREA_REAL]]&gt;0,ESTIMATIVA[[#This Row],[QT_AREA_REAL]],ESTIMATIVA[[#This Row],[QT_AREA_EST]]))</f>
        <v>14.4</v>
      </c>
      <c r="Z201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14.4</v>
      </c>
      <c r="AA2013" s="1">
        <f>ESTIMATIVA[[#This Row],[QT_CANA_EST]]</f>
        <v>1008</v>
      </c>
      <c r="AB2013" s="1">
        <f>IF(ESTIMATIVA[[#This Row],[QT_CANA_REST1]]&gt;0,ESTIMATIVA[[#This Row],[QT_CANA_REST1]],
  IF(ESTIMATIVA[[#This Row],[QT_CANA_REAL]]&gt;0,ESTIMATIVA[[#This Row],[QT_CANA_REAL]],ESTIMATIVA[[#This Row],[QT_CANA_EST]]))</f>
        <v>720</v>
      </c>
      <c r="AC201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720</v>
      </c>
      <c r="AD2013" s="1">
        <f>IF(ESTIMATIVA[[#This Row],[QT_AREA_REAL]]&gt;0,ESTIMATIVA[[#This Row],[QT_CANA_REAL]],ESTIMATIVA[[#This Row],[QT_CANA_EST]])</f>
        <v>543.79999999999995</v>
      </c>
      <c r="AE2013" s="1">
        <f>IF(ESTIMATIVA[[#This Row],[QT_AREA_REAL]]&gt;0,ESTIMATIVA[[#This Row],[QT_CANA_REAL]],ESTIMATIVA[[#This Row],[QT_CANA_REST1]])</f>
        <v>543.79999999999995</v>
      </c>
      <c r="AF2013" s="1">
        <f>IF(ESTIMATIVA[[#This Row],[QT_AREA_REAL]]&gt;0,ESTIMATIVA[[#This Row],[QT_CANA_REAL]],ESTIMATIVA[[#This Row],[QT_CANA_REST2]])</f>
        <v>543.79999999999995</v>
      </c>
      <c r="AG2013" s="1" t="str">
        <f>IF(COUNTIFS(GEADA!A:A,VALUE(ESTIMATIVA[[#This Row],[CD_UPNIVEL1]]&amp;TEXT(ESTIMATIVA[[#This Row],[CD_UPNIVEL3]],"0000")))&gt;0,"S","N")</f>
        <v>N</v>
      </c>
      <c r="AH201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13" s="55" t="str">
        <f>IF(ESTIMATIVA[[#This Row],[TP_CULTIVO]]="Irrigado",_xlfn.MAXIFS(IRRIGADO!J:J,IRRIGADO!C:C,ESTIMATIVA[[#This Row],[CD_UPNIVEL1]],IRRIGADO!E:E,ESTIMATIVA[[#This Row],[CD_UPNIVEL3]]),"")</f>
        <v/>
      </c>
      <c r="AJ201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13" s="1">
        <f>COUNTIFS(Apresentação!$E$23:$E$29,ESTIMATIVA[[#This Row],[CD_UPNIVEL1]])</f>
        <v>0</v>
      </c>
    </row>
    <row r="2014" spans="1:37" x14ac:dyDescent="0.3">
      <c r="A2014">
        <v>30102</v>
      </c>
      <c r="B2014" t="s">
        <v>164</v>
      </c>
      <c r="C2014">
        <v>6</v>
      </c>
      <c r="D2014">
        <v>2</v>
      </c>
      <c r="E2014" t="s">
        <v>266</v>
      </c>
      <c r="F2014" s="85" t="s">
        <v>333</v>
      </c>
      <c r="G2014"/>
      <c r="H2014" t="s">
        <v>294</v>
      </c>
      <c r="I2014" t="s">
        <v>200</v>
      </c>
      <c r="J2014" t="s">
        <v>178</v>
      </c>
      <c r="K2014" s="1">
        <v>15.8</v>
      </c>
      <c r="L2014" s="1">
        <v>15.8</v>
      </c>
      <c r="M2014" s="1">
        <v>15.8</v>
      </c>
      <c r="N2014" s="1">
        <v>15.8</v>
      </c>
      <c r="O2014" s="1">
        <v>948</v>
      </c>
      <c r="P2014" s="1">
        <v>790</v>
      </c>
      <c r="Q2014" s="1">
        <v>790</v>
      </c>
      <c r="R2014" s="1">
        <v>597.16999999999996</v>
      </c>
      <c r="S2014" t="s">
        <v>282</v>
      </c>
      <c r="T2014" s="13">
        <v>45977</v>
      </c>
      <c r="U2014" s="1" t="str">
        <f>IF(ESTIMATIVA[[#This Row],[QT_AREA_REAL]]&gt;0,"1- Colhido","2- à Colher")</f>
        <v>1- Colhido</v>
      </c>
      <c r="V2014" s="1" t="str">
        <f>IF(ESTIMATIVA[[#This Row],[QT_AREA_REST1]]&gt;0,"Reestimativa 1",IF(ESTIMATIVA[[#This Row],[QT_AREA_REAL]]=0,"Reestimativa 1","Realizado"))</f>
        <v>Reestimativa 1</v>
      </c>
      <c r="W2014" s="1" t="str">
        <f>IF(ESTIMATIVA[[#This Row],[QT_AREA_REST2]]&gt;0,"Reestimativa 2",IF(ESTIMATIVA[[#This Row],[QT_AREA_REAL]]=0,"Reestimativa 2","Realizado"))</f>
        <v>Reestimativa 2</v>
      </c>
      <c r="X2014" s="1">
        <f>ESTIMATIVA[[#This Row],[QT_AREA_EST]]</f>
        <v>15.8</v>
      </c>
      <c r="Y2014" s="1">
        <f>IF(ESTIMATIVA[[#This Row],[QT_AREA_REST1]]&gt;0,ESTIMATIVA[[#This Row],[QT_AREA_REST1]],
  IF(ESTIMATIVA[[#This Row],[QT_AREA_REAL]]&gt;0,ESTIMATIVA[[#This Row],[QT_AREA_REAL]],ESTIMATIVA[[#This Row],[QT_AREA_EST]]))</f>
        <v>15.8</v>
      </c>
      <c r="Z201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15.8</v>
      </c>
      <c r="AA2014" s="1">
        <f>ESTIMATIVA[[#This Row],[QT_CANA_EST]]</f>
        <v>948</v>
      </c>
      <c r="AB2014" s="1">
        <f>IF(ESTIMATIVA[[#This Row],[QT_CANA_REST1]]&gt;0,ESTIMATIVA[[#This Row],[QT_CANA_REST1]],
  IF(ESTIMATIVA[[#This Row],[QT_CANA_REAL]]&gt;0,ESTIMATIVA[[#This Row],[QT_CANA_REAL]],ESTIMATIVA[[#This Row],[QT_CANA_EST]]))</f>
        <v>790</v>
      </c>
      <c r="AC201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790</v>
      </c>
      <c r="AD2014" s="1">
        <f>IF(ESTIMATIVA[[#This Row],[QT_AREA_REAL]]&gt;0,ESTIMATIVA[[#This Row],[QT_CANA_REAL]],ESTIMATIVA[[#This Row],[QT_CANA_EST]])</f>
        <v>597.16999999999996</v>
      </c>
      <c r="AE2014" s="1">
        <f>IF(ESTIMATIVA[[#This Row],[QT_AREA_REAL]]&gt;0,ESTIMATIVA[[#This Row],[QT_CANA_REAL]],ESTIMATIVA[[#This Row],[QT_CANA_REST1]])</f>
        <v>597.16999999999996</v>
      </c>
      <c r="AF2014" s="1">
        <f>IF(ESTIMATIVA[[#This Row],[QT_AREA_REAL]]&gt;0,ESTIMATIVA[[#This Row],[QT_CANA_REAL]],ESTIMATIVA[[#This Row],[QT_CANA_REST2]])</f>
        <v>597.16999999999996</v>
      </c>
      <c r="AG2014" s="1" t="str">
        <f>IF(COUNTIFS(GEADA!A:A,VALUE(ESTIMATIVA[[#This Row],[CD_UPNIVEL1]]&amp;TEXT(ESTIMATIVA[[#This Row],[CD_UPNIVEL3]],"0000")))&gt;0,"S","N")</f>
        <v>N</v>
      </c>
      <c r="AH201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14" s="55" t="str">
        <f>IF(ESTIMATIVA[[#This Row],[TP_CULTIVO]]="Irrigado",_xlfn.MAXIFS(IRRIGADO!J:J,IRRIGADO!C:C,ESTIMATIVA[[#This Row],[CD_UPNIVEL1]],IRRIGADO!E:E,ESTIMATIVA[[#This Row],[CD_UPNIVEL3]]),"")</f>
        <v/>
      </c>
      <c r="AJ201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14" s="1">
        <f>COUNTIFS(Apresentação!$E$23:$E$29,ESTIMATIVA[[#This Row],[CD_UPNIVEL1]])</f>
        <v>0</v>
      </c>
    </row>
    <row r="2015" spans="1:37" x14ac:dyDescent="0.3">
      <c r="A2015">
        <v>30102</v>
      </c>
      <c r="B2015" t="s">
        <v>164</v>
      </c>
      <c r="C2015">
        <v>7</v>
      </c>
      <c r="D2015">
        <v>2</v>
      </c>
      <c r="E2015" t="s">
        <v>266</v>
      </c>
      <c r="F2015" s="85" t="s">
        <v>333</v>
      </c>
      <c r="G2015"/>
      <c r="H2015" t="s">
        <v>294</v>
      </c>
      <c r="I2015" t="s">
        <v>200</v>
      </c>
      <c r="J2015" t="s">
        <v>178</v>
      </c>
      <c r="K2015" s="1">
        <v>22.26</v>
      </c>
      <c r="L2015" s="1">
        <v>22.26</v>
      </c>
      <c r="M2015" s="1">
        <v>22.26</v>
      </c>
      <c r="N2015" s="1">
        <v>22.26</v>
      </c>
      <c r="O2015" s="1">
        <v>1558.2</v>
      </c>
      <c r="P2015" s="1">
        <v>1113</v>
      </c>
      <c r="Q2015" s="1">
        <v>1113</v>
      </c>
      <c r="R2015" s="1">
        <v>1445</v>
      </c>
      <c r="S2015" t="s">
        <v>282</v>
      </c>
      <c r="T2015" s="13">
        <v>45956</v>
      </c>
      <c r="U2015" s="1" t="str">
        <f>IF(ESTIMATIVA[[#This Row],[QT_AREA_REAL]]&gt;0,"1- Colhido","2- à Colher")</f>
        <v>1- Colhido</v>
      </c>
      <c r="V2015" s="1" t="str">
        <f>IF(ESTIMATIVA[[#This Row],[QT_AREA_REST1]]&gt;0,"Reestimativa 1",IF(ESTIMATIVA[[#This Row],[QT_AREA_REAL]]=0,"Reestimativa 1","Realizado"))</f>
        <v>Reestimativa 1</v>
      </c>
      <c r="W2015" s="1" t="str">
        <f>IF(ESTIMATIVA[[#This Row],[QT_AREA_REST2]]&gt;0,"Reestimativa 2",IF(ESTIMATIVA[[#This Row],[QT_AREA_REAL]]=0,"Reestimativa 2","Realizado"))</f>
        <v>Reestimativa 2</v>
      </c>
      <c r="X2015" s="1">
        <f>ESTIMATIVA[[#This Row],[QT_AREA_EST]]</f>
        <v>22.26</v>
      </c>
      <c r="Y2015" s="1">
        <f>IF(ESTIMATIVA[[#This Row],[QT_AREA_REST1]]&gt;0,ESTIMATIVA[[#This Row],[QT_AREA_REST1]],
  IF(ESTIMATIVA[[#This Row],[QT_AREA_REAL]]&gt;0,ESTIMATIVA[[#This Row],[QT_AREA_REAL]],ESTIMATIVA[[#This Row],[QT_AREA_EST]]))</f>
        <v>22.26</v>
      </c>
      <c r="Z201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22.26</v>
      </c>
      <c r="AA2015" s="1">
        <f>ESTIMATIVA[[#This Row],[QT_CANA_EST]]</f>
        <v>1558.2</v>
      </c>
      <c r="AB2015" s="1">
        <f>IF(ESTIMATIVA[[#This Row],[QT_CANA_REST1]]&gt;0,ESTIMATIVA[[#This Row],[QT_CANA_REST1]],
  IF(ESTIMATIVA[[#This Row],[QT_CANA_REAL]]&gt;0,ESTIMATIVA[[#This Row],[QT_CANA_REAL]],ESTIMATIVA[[#This Row],[QT_CANA_EST]]))</f>
        <v>1113</v>
      </c>
      <c r="AC201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1113</v>
      </c>
      <c r="AD2015" s="1">
        <f>IF(ESTIMATIVA[[#This Row],[QT_AREA_REAL]]&gt;0,ESTIMATIVA[[#This Row],[QT_CANA_REAL]],ESTIMATIVA[[#This Row],[QT_CANA_EST]])</f>
        <v>1445</v>
      </c>
      <c r="AE2015" s="1">
        <f>IF(ESTIMATIVA[[#This Row],[QT_AREA_REAL]]&gt;0,ESTIMATIVA[[#This Row],[QT_CANA_REAL]],ESTIMATIVA[[#This Row],[QT_CANA_REST1]])</f>
        <v>1445</v>
      </c>
      <c r="AF2015" s="1">
        <f>IF(ESTIMATIVA[[#This Row],[QT_AREA_REAL]]&gt;0,ESTIMATIVA[[#This Row],[QT_CANA_REAL]],ESTIMATIVA[[#This Row],[QT_CANA_REST2]])</f>
        <v>1445</v>
      </c>
      <c r="AG2015" s="1" t="str">
        <f>IF(COUNTIFS(GEADA!A:A,VALUE(ESTIMATIVA[[#This Row],[CD_UPNIVEL1]]&amp;TEXT(ESTIMATIVA[[#This Row],[CD_UPNIVEL3]],"0000")))&gt;0,"S","N")</f>
        <v>N</v>
      </c>
      <c r="AH201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15" s="55" t="str">
        <f>IF(ESTIMATIVA[[#This Row],[TP_CULTIVO]]="Irrigado",_xlfn.MAXIFS(IRRIGADO!J:J,IRRIGADO!C:C,ESTIMATIVA[[#This Row],[CD_UPNIVEL1]],IRRIGADO!E:E,ESTIMATIVA[[#This Row],[CD_UPNIVEL3]]),"")</f>
        <v/>
      </c>
      <c r="AJ201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15" s="1">
        <f>COUNTIFS(Apresentação!$E$23:$E$29,ESTIMATIVA[[#This Row],[CD_UPNIVEL1]])</f>
        <v>0</v>
      </c>
    </row>
    <row r="2016" spans="1:37" x14ac:dyDescent="0.3">
      <c r="A2016">
        <v>30102</v>
      </c>
      <c r="B2016" t="s">
        <v>164</v>
      </c>
      <c r="C2016">
        <v>8</v>
      </c>
      <c r="D2016">
        <v>2</v>
      </c>
      <c r="E2016" t="s">
        <v>266</v>
      </c>
      <c r="F2016" s="85" t="s">
        <v>333</v>
      </c>
      <c r="G2016"/>
      <c r="H2016" t="s">
        <v>294</v>
      </c>
      <c r="I2016" t="s">
        <v>200</v>
      </c>
      <c r="J2016" t="s">
        <v>178</v>
      </c>
      <c r="K2016" s="1">
        <v>10.66</v>
      </c>
      <c r="L2016" s="1">
        <v>10.66</v>
      </c>
      <c r="M2016" s="1">
        <v>10.66</v>
      </c>
      <c r="N2016" s="1">
        <v>10.66</v>
      </c>
      <c r="O2016" s="1">
        <v>533</v>
      </c>
      <c r="P2016" s="1">
        <v>426.4</v>
      </c>
      <c r="Q2016" s="1">
        <v>213.2</v>
      </c>
      <c r="R2016" s="1">
        <v>276.5</v>
      </c>
      <c r="S2016" t="s">
        <v>282</v>
      </c>
      <c r="T2016" s="13">
        <v>45956</v>
      </c>
      <c r="U2016" s="1" t="str">
        <f>IF(ESTIMATIVA[[#This Row],[QT_AREA_REAL]]&gt;0,"1- Colhido","2- à Colher")</f>
        <v>1- Colhido</v>
      </c>
      <c r="V2016" s="1" t="str">
        <f>IF(ESTIMATIVA[[#This Row],[QT_AREA_REST1]]&gt;0,"Reestimativa 1",IF(ESTIMATIVA[[#This Row],[QT_AREA_REAL]]=0,"Reestimativa 1","Realizado"))</f>
        <v>Reestimativa 1</v>
      </c>
      <c r="W2016" s="1" t="str">
        <f>IF(ESTIMATIVA[[#This Row],[QT_AREA_REST2]]&gt;0,"Reestimativa 2",IF(ESTIMATIVA[[#This Row],[QT_AREA_REAL]]=0,"Reestimativa 2","Realizado"))</f>
        <v>Reestimativa 2</v>
      </c>
      <c r="X2016" s="1">
        <f>ESTIMATIVA[[#This Row],[QT_AREA_EST]]</f>
        <v>10.66</v>
      </c>
      <c r="Y2016" s="1">
        <f>IF(ESTIMATIVA[[#This Row],[QT_AREA_REST1]]&gt;0,ESTIMATIVA[[#This Row],[QT_AREA_REST1]],
  IF(ESTIMATIVA[[#This Row],[QT_AREA_REAL]]&gt;0,ESTIMATIVA[[#This Row],[QT_AREA_REAL]],ESTIMATIVA[[#This Row],[QT_AREA_EST]]))</f>
        <v>10.66</v>
      </c>
      <c r="Z201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10.66</v>
      </c>
      <c r="AA2016" s="1">
        <f>ESTIMATIVA[[#This Row],[QT_CANA_EST]]</f>
        <v>533</v>
      </c>
      <c r="AB2016" s="1">
        <f>IF(ESTIMATIVA[[#This Row],[QT_CANA_REST1]]&gt;0,ESTIMATIVA[[#This Row],[QT_CANA_REST1]],
  IF(ESTIMATIVA[[#This Row],[QT_CANA_REAL]]&gt;0,ESTIMATIVA[[#This Row],[QT_CANA_REAL]],ESTIMATIVA[[#This Row],[QT_CANA_EST]]))</f>
        <v>426.4</v>
      </c>
      <c r="AC201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213.2</v>
      </c>
      <c r="AD2016" s="1">
        <f>IF(ESTIMATIVA[[#This Row],[QT_AREA_REAL]]&gt;0,ESTIMATIVA[[#This Row],[QT_CANA_REAL]],ESTIMATIVA[[#This Row],[QT_CANA_EST]])</f>
        <v>276.5</v>
      </c>
      <c r="AE2016" s="1">
        <f>IF(ESTIMATIVA[[#This Row],[QT_AREA_REAL]]&gt;0,ESTIMATIVA[[#This Row],[QT_CANA_REAL]],ESTIMATIVA[[#This Row],[QT_CANA_REST1]])</f>
        <v>276.5</v>
      </c>
      <c r="AF2016" s="1">
        <f>IF(ESTIMATIVA[[#This Row],[QT_AREA_REAL]]&gt;0,ESTIMATIVA[[#This Row],[QT_CANA_REAL]],ESTIMATIVA[[#This Row],[QT_CANA_REST2]])</f>
        <v>276.5</v>
      </c>
      <c r="AG2016" s="1" t="str">
        <f>IF(COUNTIFS(GEADA!A:A,VALUE(ESTIMATIVA[[#This Row],[CD_UPNIVEL1]]&amp;TEXT(ESTIMATIVA[[#This Row],[CD_UPNIVEL3]],"0000")))&gt;0,"S","N")</f>
        <v>N</v>
      </c>
      <c r="AH201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16" s="55" t="str">
        <f>IF(ESTIMATIVA[[#This Row],[TP_CULTIVO]]="Irrigado",_xlfn.MAXIFS(IRRIGADO!J:J,IRRIGADO!C:C,ESTIMATIVA[[#This Row],[CD_UPNIVEL1]],IRRIGADO!E:E,ESTIMATIVA[[#This Row],[CD_UPNIVEL3]]),"")</f>
        <v/>
      </c>
      <c r="AJ201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16" s="1">
        <f>COUNTIFS(Apresentação!$E$23:$E$29,ESTIMATIVA[[#This Row],[CD_UPNIVEL1]])</f>
        <v>0</v>
      </c>
    </row>
    <row r="2017" spans="1:37" x14ac:dyDescent="0.3">
      <c r="A2017">
        <v>30102</v>
      </c>
      <c r="B2017" t="s">
        <v>164</v>
      </c>
      <c r="C2017">
        <v>9</v>
      </c>
      <c r="D2017">
        <v>2</v>
      </c>
      <c r="E2017" t="s">
        <v>266</v>
      </c>
      <c r="F2017" s="85" t="s">
        <v>333</v>
      </c>
      <c r="G2017"/>
      <c r="H2017" t="s">
        <v>294</v>
      </c>
      <c r="I2017" t="s">
        <v>200</v>
      </c>
      <c r="J2017" t="s">
        <v>178</v>
      </c>
      <c r="K2017" s="1">
        <v>18.13</v>
      </c>
      <c r="L2017" s="1">
        <v>18.13</v>
      </c>
      <c r="M2017" s="1">
        <v>18.13</v>
      </c>
      <c r="N2017" s="1">
        <v>18.13</v>
      </c>
      <c r="O2017" s="1">
        <v>1486.66</v>
      </c>
      <c r="P2017" s="1">
        <v>1486.66</v>
      </c>
      <c r="Q2017" s="1">
        <v>906.5</v>
      </c>
      <c r="R2017" s="1">
        <v>1177.68</v>
      </c>
      <c r="S2017" t="s">
        <v>282</v>
      </c>
      <c r="T2017" s="13">
        <v>45956</v>
      </c>
      <c r="U2017" s="1" t="str">
        <f>IF(ESTIMATIVA[[#This Row],[QT_AREA_REAL]]&gt;0,"1- Colhido","2- à Colher")</f>
        <v>1- Colhido</v>
      </c>
      <c r="V2017" s="1" t="str">
        <f>IF(ESTIMATIVA[[#This Row],[QT_AREA_REST1]]&gt;0,"Reestimativa 1",IF(ESTIMATIVA[[#This Row],[QT_AREA_REAL]]=0,"Reestimativa 1","Realizado"))</f>
        <v>Reestimativa 1</v>
      </c>
      <c r="W2017" s="1" t="str">
        <f>IF(ESTIMATIVA[[#This Row],[QT_AREA_REST2]]&gt;0,"Reestimativa 2",IF(ESTIMATIVA[[#This Row],[QT_AREA_REAL]]=0,"Reestimativa 2","Realizado"))</f>
        <v>Reestimativa 2</v>
      </c>
      <c r="X2017" s="1">
        <f>ESTIMATIVA[[#This Row],[QT_AREA_EST]]</f>
        <v>18.13</v>
      </c>
      <c r="Y2017" s="1">
        <f>IF(ESTIMATIVA[[#This Row],[QT_AREA_REST1]]&gt;0,ESTIMATIVA[[#This Row],[QT_AREA_REST1]],
  IF(ESTIMATIVA[[#This Row],[QT_AREA_REAL]]&gt;0,ESTIMATIVA[[#This Row],[QT_AREA_REAL]],ESTIMATIVA[[#This Row],[QT_AREA_EST]]))</f>
        <v>18.13</v>
      </c>
      <c r="Z201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18.13</v>
      </c>
      <c r="AA2017" s="1">
        <f>ESTIMATIVA[[#This Row],[QT_CANA_EST]]</f>
        <v>1486.66</v>
      </c>
      <c r="AB2017" s="1">
        <f>IF(ESTIMATIVA[[#This Row],[QT_CANA_REST1]]&gt;0,ESTIMATIVA[[#This Row],[QT_CANA_REST1]],
  IF(ESTIMATIVA[[#This Row],[QT_CANA_REAL]]&gt;0,ESTIMATIVA[[#This Row],[QT_CANA_REAL]],ESTIMATIVA[[#This Row],[QT_CANA_EST]]))</f>
        <v>1486.66</v>
      </c>
      <c r="AC201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906.5</v>
      </c>
      <c r="AD2017" s="1">
        <f>IF(ESTIMATIVA[[#This Row],[QT_AREA_REAL]]&gt;0,ESTIMATIVA[[#This Row],[QT_CANA_REAL]],ESTIMATIVA[[#This Row],[QT_CANA_EST]])</f>
        <v>1177.68</v>
      </c>
      <c r="AE2017" s="1">
        <f>IF(ESTIMATIVA[[#This Row],[QT_AREA_REAL]]&gt;0,ESTIMATIVA[[#This Row],[QT_CANA_REAL]],ESTIMATIVA[[#This Row],[QT_CANA_REST1]])</f>
        <v>1177.68</v>
      </c>
      <c r="AF2017" s="1">
        <f>IF(ESTIMATIVA[[#This Row],[QT_AREA_REAL]]&gt;0,ESTIMATIVA[[#This Row],[QT_CANA_REAL]],ESTIMATIVA[[#This Row],[QT_CANA_REST2]])</f>
        <v>1177.68</v>
      </c>
      <c r="AG2017" s="1" t="str">
        <f>IF(COUNTIFS(GEADA!A:A,VALUE(ESTIMATIVA[[#This Row],[CD_UPNIVEL1]]&amp;TEXT(ESTIMATIVA[[#This Row],[CD_UPNIVEL3]],"0000")))&gt;0,"S","N")</f>
        <v>N</v>
      </c>
      <c r="AH201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17" s="55" t="str">
        <f>IF(ESTIMATIVA[[#This Row],[TP_CULTIVO]]="Irrigado",_xlfn.MAXIFS(IRRIGADO!J:J,IRRIGADO!C:C,ESTIMATIVA[[#This Row],[CD_UPNIVEL1]],IRRIGADO!E:E,ESTIMATIVA[[#This Row],[CD_UPNIVEL3]]),"")</f>
        <v/>
      </c>
      <c r="AJ201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17" s="1">
        <f>COUNTIFS(Apresentação!$E$23:$E$29,ESTIMATIVA[[#This Row],[CD_UPNIVEL1]])</f>
        <v>0</v>
      </c>
    </row>
    <row r="2018" spans="1:37" x14ac:dyDescent="0.3">
      <c r="A2018">
        <v>30333</v>
      </c>
      <c r="B2018" t="s">
        <v>165</v>
      </c>
      <c r="C2018">
        <v>1</v>
      </c>
      <c r="D2018">
        <v>1</v>
      </c>
      <c r="E2018" t="s">
        <v>267</v>
      </c>
      <c r="F2018" s="85" t="s">
        <v>333</v>
      </c>
      <c r="G2018"/>
      <c r="H2018" t="s">
        <v>294</v>
      </c>
      <c r="I2018" t="s">
        <v>230</v>
      </c>
      <c r="J2018" t="s">
        <v>178</v>
      </c>
      <c r="K2018" s="1">
        <v>5.98</v>
      </c>
      <c r="L2018" s="1">
        <v>5.98</v>
      </c>
      <c r="M2018" s="1">
        <v>5.98</v>
      </c>
      <c r="N2018" s="1">
        <v>5.98</v>
      </c>
      <c r="O2018" s="1">
        <v>603.98</v>
      </c>
      <c r="P2018" s="1">
        <v>621.91999999999996</v>
      </c>
      <c r="Q2018" s="1">
        <v>621.91999999999996</v>
      </c>
      <c r="R2018" s="1">
        <v>343.08</v>
      </c>
      <c r="S2018" t="s">
        <v>282</v>
      </c>
      <c r="T2018" s="13">
        <v>45935</v>
      </c>
      <c r="U2018" s="1" t="str">
        <f>IF(ESTIMATIVA[[#This Row],[QT_AREA_REAL]]&gt;0,"1- Colhido","2- à Colher")</f>
        <v>1- Colhido</v>
      </c>
      <c r="V2018" s="1" t="str">
        <f>IF(ESTIMATIVA[[#This Row],[QT_AREA_REST1]]&gt;0,"Reestimativa 1",IF(ESTIMATIVA[[#This Row],[QT_AREA_REAL]]=0,"Reestimativa 1","Realizado"))</f>
        <v>Reestimativa 1</v>
      </c>
      <c r="W2018" s="1" t="str">
        <f>IF(ESTIMATIVA[[#This Row],[QT_AREA_REST2]]&gt;0,"Reestimativa 2",IF(ESTIMATIVA[[#This Row],[QT_AREA_REAL]]=0,"Reestimativa 2","Realizado"))</f>
        <v>Reestimativa 2</v>
      </c>
      <c r="X2018" s="1">
        <f>ESTIMATIVA[[#This Row],[QT_AREA_EST]]</f>
        <v>5.98</v>
      </c>
      <c r="Y2018" s="1">
        <f>IF(ESTIMATIVA[[#This Row],[QT_AREA_REST1]]&gt;0,ESTIMATIVA[[#This Row],[QT_AREA_REST1]],
  IF(ESTIMATIVA[[#This Row],[QT_AREA_REAL]]&gt;0,ESTIMATIVA[[#This Row],[QT_AREA_REAL]],ESTIMATIVA[[#This Row],[QT_AREA_EST]]))</f>
        <v>5.98</v>
      </c>
      <c r="Z201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5.98</v>
      </c>
      <c r="AA2018" s="1">
        <f>ESTIMATIVA[[#This Row],[QT_CANA_EST]]</f>
        <v>603.98</v>
      </c>
      <c r="AB2018" s="1">
        <f>IF(ESTIMATIVA[[#This Row],[QT_CANA_REST1]]&gt;0,ESTIMATIVA[[#This Row],[QT_CANA_REST1]],
  IF(ESTIMATIVA[[#This Row],[QT_CANA_REAL]]&gt;0,ESTIMATIVA[[#This Row],[QT_CANA_REAL]],ESTIMATIVA[[#This Row],[QT_CANA_EST]]))</f>
        <v>621.91999999999996</v>
      </c>
      <c r="AC201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621.91999999999996</v>
      </c>
      <c r="AD2018" s="1">
        <f>IF(ESTIMATIVA[[#This Row],[QT_AREA_REAL]]&gt;0,ESTIMATIVA[[#This Row],[QT_CANA_REAL]],ESTIMATIVA[[#This Row],[QT_CANA_EST]])</f>
        <v>343.08</v>
      </c>
      <c r="AE2018" s="1">
        <f>IF(ESTIMATIVA[[#This Row],[QT_AREA_REAL]]&gt;0,ESTIMATIVA[[#This Row],[QT_CANA_REAL]],ESTIMATIVA[[#This Row],[QT_CANA_REST1]])</f>
        <v>343.08</v>
      </c>
      <c r="AF2018" s="1">
        <f>IF(ESTIMATIVA[[#This Row],[QT_AREA_REAL]]&gt;0,ESTIMATIVA[[#This Row],[QT_CANA_REAL]],ESTIMATIVA[[#This Row],[QT_CANA_REST2]])</f>
        <v>343.08</v>
      </c>
      <c r="AG2018" s="1" t="str">
        <f>IF(COUNTIFS(GEADA!A:A,VALUE(ESTIMATIVA[[#This Row],[CD_UPNIVEL1]]&amp;TEXT(ESTIMATIVA[[#This Row],[CD_UPNIVEL3]],"0000")))&gt;0,"S","N")</f>
        <v>N</v>
      </c>
      <c r="AH201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18" s="55" t="str">
        <f>IF(ESTIMATIVA[[#This Row],[TP_CULTIVO]]="Irrigado",_xlfn.MAXIFS(IRRIGADO!J:J,IRRIGADO!C:C,ESTIMATIVA[[#This Row],[CD_UPNIVEL1]],IRRIGADO!E:E,ESTIMATIVA[[#This Row],[CD_UPNIVEL3]]),"")</f>
        <v/>
      </c>
      <c r="AJ201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18" s="1">
        <f>COUNTIFS(Apresentação!$E$23:$E$29,ESTIMATIVA[[#This Row],[CD_UPNIVEL1]])</f>
        <v>0</v>
      </c>
    </row>
    <row r="2019" spans="1:37" x14ac:dyDescent="0.3">
      <c r="A2019">
        <v>30333</v>
      </c>
      <c r="B2019" t="s">
        <v>165</v>
      </c>
      <c r="C2019">
        <v>2</v>
      </c>
      <c r="D2019">
        <v>1</v>
      </c>
      <c r="E2019" t="s">
        <v>267</v>
      </c>
      <c r="F2019" s="85" t="s">
        <v>333</v>
      </c>
      <c r="G2019"/>
      <c r="H2019" t="s">
        <v>294</v>
      </c>
      <c r="I2019" t="s">
        <v>230</v>
      </c>
      <c r="J2019" t="s">
        <v>178</v>
      </c>
      <c r="K2019" s="1">
        <v>2.0299999999999998</v>
      </c>
      <c r="L2019" s="1">
        <v>2.0299999999999998</v>
      </c>
      <c r="M2019" s="1">
        <v>2.0299999999999998</v>
      </c>
      <c r="N2019" s="1">
        <v>2.0299999999999998</v>
      </c>
      <c r="O2019" s="1">
        <v>205.03</v>
      </c>
      <c r="P2019" s="1">
        <v>211.12</v>
      </c>
      <c r="Q2019" s="1">
        <v>211.12</v>
      </c>
      <c r="R2019" s="1">
        <v>116.33</v>
      </c>
      <c r="S2019" t="s">
        <v>282</v>
      </c>
      <c r="T2019" s="13">
        <v>45935</v>
      </c>
      <c r="U2019" s="1" t="str">
        <f>IF(ESTIMATIVA[[#This Row],[QT_AREA_REAL]]&gt;0,"1- Colhido","2- à Colher")</f>
        <v>1- Colhido</v>
      </c>
      <c r="V2019" s="1" t="str">
        <f>IF(ESTIMATIVA[[#This Row],[QT_AREA_REST1]]&gt;0,"Reestimativa 1",IF(ESTIMATIVA[[#This Row],[QT_AREA_REAL]]=0,"Reestimativa 1","Realizado"))</f>
        <v>Reestimativa 1</v>
      </c>
      <c r="W2019" s="1" t="str">
        <f>IF(ESTIMATIVA[[#This Row],[QT_AREA_REST2]]&gt;0,"Reestimativa 2",IF(ESTIMATIVA[[#This Row],[QT_AREA_REAL]]=0,"Reestimativa 2","Realizado"))</f>
        <v>Reestimativa 2</v>
      </c>
      <c r="X2019" s="1">
        <f>ESTIMATIVA[[#This Row],[QT_AREA_EST]]</f>
        <v>2.0299999999999998</v>
      </c>
      <c r="Y2019" s="1">
        <f>IF(ESTIMATIVA[[#This Row],[QT_AREA_REST1]]&gt;0,ESTIMATIVA[[#This Row],[QT_AREA_REST1]],
  IF(ESTIMATIVA[[#This Row],[QT_AREA_REAL]]&gt;0,ESTIMATIVA[[#This Row],[QT_AREA_REAL]],ESTIMATIVA[[#This Row],[QT_AREA_EST]]))</f>
        <v>2.0299999999999998</v>
      </c>
      <c r="Z201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2.0299999999999998</v>
      </c>
      <c r="AA2019" s="1">
        <f>ESTIMATIVA[[#This Row],[QT_CANA_EST]]</f>
        <v>205.03</v>
      </c>
      <c r="AB2019" s="1">
        <f>IF(ESTIMATIVA[[#This Row],[QT_CANA_REST1]]&gt;0,ESTIMATIVA[[#This Row],[QT_CANA_REST1]],
  IF(ESTIMATIVA[[#This Row],[QT_CANA_REAL]]&gt;0,ESTIMATIVA[[#This Row],[QT_CANA_REAL]],ESTIMATIVA[[#This Row],[QT_CANA_EST]]))</f>
        <v>211.12</v>
      </c>
      <c r="AC201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211.12</v>
      </c>
      <c r="AD2019" s="1">
        <f>IF(ESTIMATIVA[[#This Row],[QT_AREA_REAL]]&gt;0,ESTIMATIVA[[#This Row],[QT_CANA_REAL]],ESTIMATIVA[[#This Row],[QT_CANA_EST]])</f>
        <v>116.33</v>
      </c>
      <c r="AE2019" s="1">
        <f>IF(ESTIMATIVA[[#This Row],[QT_AREA_REAL]]&gt;0,ESTIMATIVA[[#This Row],[QT_CANA_REAL]],ESTIMATIVA[[#This Row],[QT_CANA_REST1]])</f>
        <v>116.33</v>
      </c>
      <c r="AF2019" s="1">
        <f>IF(ESTIMATIVA[[#This Row],[QT_AREA_REAL]]&gt;0,ESTIMATIVA[[#This Row],[QT_CANA_REAL]],ESTIMATIVA[[#This Row],[QT_CANA_REST2]])</f>
        <v>116.33</v>
      </c>
      <c r="AG2019" s="1" t="str">
        <f>IF(COUNTIFS(GEADA!A:A,VALUE(ESTIMATIVA[[#This Row],[CD_UPNIVEL1]]&amp;TEXT(ESTIMATIVA[[#This Row],[CD_UPNIVEL3]],"0000")))&gt;0,"S","N")</f>
        <v>N</v>
      </c>
      <c r="AH201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19" s="55" t="str">
        <f>IF(ESTIMATIVA[[#This Row],[TP_CULTIVO]]="Irrigado",_xlfn.MAXIFS(IRRIGADO!J:J,IRRIGADO!C:C,ESTIMATIVA[[#This Row],[CD_UPNIVEL1]],IRRIGADO!E:E,ESTIMATIVA[[#This Row],[CD_UPNIVEL3]]),"")</f>
        <v/>
      </c>
      <c r="AJ201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19" s="1">
        <f>COUNTIFS(Apresentação!$E$23:$E$29,ESTIMATIVA[[#This Row],[CD_UPNIVEL1]])</f>
        <v>0</v>
      </c>
    </row>
    <row r="2020" spans="1:37" x14ac:dyDescent="0.3">
      <c r="A2020">
        <v>30333</v>
      </c>
      <c r="B2020" t="s">
        <v>165</v>
      </c>
      <c r="C2020">
        <v>3</v>
      </c>
      <c r="D2020">
        <v>1</v>
      </c>
      <c r="E2020" t="s">
        <v>267</v>
      </c>
      <c r="F2020" s="85" t="s">
        <v>333</v>
      </c>
      <c r="G2020"/>
      <c r="H2020" t="s">
        <v>294</v>
      </c>
      <c r="I2020" t="s">
        <v>230</v>
      </c>
      <c r="J2020" t="s">
        <v>178</v>
      </c>
      <c r="K2020" s="1">
        <v>37.6</v>
      </c>
      <c r="L2020" s="1">
        <v>37.6</v>
      </c>
      <c r="M2020" s="1">
        <v>37.6</v>
      </c>
      <c r="N2020" s="1">
        <v>37.6</v>
      </c>
      <c r="O2020" s="1">
        <v>3797.6</v>
      </c>
      <c r="P2020" s="1">
        <v>3910.4</v>
      </c>
      <c r="Q2020" s="1">
        <v>3910.4</v>
      </c>
      <c r="R2020" s="1">
        <v>2157.15</v>
      </c>
      <c r="S2020" t="s">
        <v>282</v>
      </c>
      <c r="T2020" s="13">
        <v>45935</v>
      </c>
      <c r="U2020" s="1" t="str">
        <f>IF(ESTIMATIVA[[#This Row],[QT_AREA_REAL]]&gt;0,"1- Colhido","2- à Colher")</f>
        <v>1- Colhido</v>
      </c>
      <c r="V2020" s="1" t="str">
        <f>IF(ESTIMATIVA[[#This Row],[QT_AREA_REST1]]&gt;0,"Reestimativa 1",IF(ESTIMATIVA[[#This Row],[QT_AREA_REAL]]=0,"Reestimativa 1","Realizado"))</f>
        <v>Reestimativa 1</v>
      </c>
      <c r="W2020" s="1" t="str">
        <f>IF(ESTIMATIVA[[#This Row],[QT_AREA_REST2]]&gt;0,"Reestimativa 2",IF(ESTIMATIVA[[#This Row],[QT_AREA_REAL]]=0,"Reestimativa 2","Realizado"))</f>
        <v>Reestimativa 2</v>
      </c>
      <c r="X2020" s="1">
        <f>ESTIMATIVA[[#This Row],[QT_AREA_EST]]</f>
        <v>37.6</v>
      </c>
      <c r="Y2020" s="1">
        <f>IF(ESTIMATIVA[[#This Row],[QT_AREA_REST1]]&gt;0,ESTIMATIVA[[#This Row],[QT_AREA_REST1]],
  IF(ESTIMATIVA[[#This Row],[QT_AREA_REAL]]&gt;0,ESTIMATIVA[[#This Row],[QT_AREA_REAL]],ESTIMATIVA[[#This Row],[QT_AREA_EST]]))</f>
        <v>37.6</v>
      </c>
      <c r="Z202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37.6</v>
      </c>
      <c r="AA2020" s="1">
        <f>ESTIMATIVA[[#This Row],[QT_CANA_EST]]</f>
        <v>3797.6</v>
      </c>
      <c r="AB2020" s="1">
        <f>IF(ESTIMATIVA[[#This Row],[QT_CANA_REST1]]&gt;0,ESTIMATIVA[[#This Row],[QT_CANA_REST1]],
  IF(ESTIMATIVA[[#This Row],[QT_CANA_REAL]]&gt;0,ESTIMATIVA[[#This Row],[QT_CANA_REAL]],ESTIMATIVA[[#This Row],[QT_CANA_EST]]))</f>
        <v>3910.4</v>
      </c>
      <c r="AC202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3910.4</v>
      </c>
      <c r="AD2020" s="1">
        <f>IF(ESTIMATIVA[[#This Row],[QT_AREA_REAL]]&gt;0,ESTIMATIVA[[#This Row],[QT_CANA_REAL]],ESTIMATIVA[[#This Row],[QT_CANA_EST]])</f>
        <v>2157.15</v>
      </c>
      <c r="AE2020" s="1">
        <f>IF(ESTIMATIVA[[#This Row],[QT_AREA_REAL]]&gt;0,ESTIMATIVA[[#This Row],[QT_CANA_REAL]],ESTIMATIVA[[#This Row],[QT_CANA_REST1]])</f>
        <v>2157.15</v>
      </c>
      <c r="AF2020" s="1">
        <f>IF(ESTIMATIVA[[#This Row],[QT_AREA_REAL]]&gt;0,ESTIMATIVA[[#This Row],[QT_CANA_REAL]],ESTIMATIVA[[#This Row],[QT_CANA_REST2]])</f>
        <v>2157.15</v>
      </c>
      <c r="AG2020" s="1" t="str">
        <f>IF(COUNTIFS(GEADA!A:A,VALUE(ESTIMATIVA[[#This Row],[CD_UPNIVEL1]]&amp;TEXT(ESTIMATIVA[[#This Row],[CD_UPNIVEL3]],"0000")))&gt;0,"S","N")</f>
        <v>N</v>
      </c>
      <c r="AH202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20" s="55" t="str">
        <f>IF(ESTIMATIVA[[#This Row],[TP_CULTIVO]]="Irrigado",_xlfn.MAXIFS(IRRIGADO!J:J,IRRIGADO!C:C,ESTIMATIVA[[#This Row],[CD_UPNIVEL1]],IRRIGADO!E:E,ESTIMATIVA[[#This Row],[CD_UPNIVEL3]]),"")</f>
        <v/>
      </c>
      <c r="AJ202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20" s="1">
        <f>COUNTIFS(Apresentação!$E$23:$E$29,ESTIMATIVA[[#This Row],[CD_UPNIVEL1]])</f>
        <v>0</v>
      </c>
    </row>
    <row r="2021" spans="1:37" x14ac:dyDescent="0.3">
      <c r="A2021">
        <v>30333</v>
      </c>
      <c r="B2021" t="s">
        <v>165</v>
      </c>
      <c r="C2021">
        <v>4</v>
      </c>
      <c r="D2021">
        <v>1</v>
      </c>
      <c r="E2021" t="s">
        <v>267</v>
      </c>
      <c r="F2021" s="85" t="s">
        <v>331</v>
      </c>
      <c r="G2021"/>
      <c r="H2021" t="s">
        <v>294</v>
      </c>
      <c r="I2021" t="s">
        <v>230</v>
      </c>
      <c r="J2021" t="s">
        <v>178</v>
      </c>
      <c r="K2021" s="1">
        <v>23.48</v>
      </c>
      <c r="L2021" s="1">
        <v>23.48</v>
      </c>
      <c r="M2021" s="1">
        <v>23.48</v>
      </c>
      <c r="N2021" s="1">
        <v>23.48</v>
      </c>
      <c r="O2021" s="1">
        <v>2371.48</v>
      </c>
      <c r="P2021" s="1">
        <v>2441.92</v>
      </c>
      <c r="Q2021" s="1">
        <v>2441.92</v>
      </c>
      <c r="R2021" s="1">
        <v>1347.22</v>
      </c>
      <c r="S2021" t="s">
        <v>282</v>
      </c>
      <c r="T2021" s="13">
        <v>45935</v>
      </c>
      <c r="U2021" s="1" t="str">
        <f>IF(ESTIMATIVA[[#This Row],[QT_AREA_REAL]]&gt;0,"1- Colhido","2- à Colher")</f>
        <v>1- Colhido</v>
      </c>
      <c r="V2021" s="1" t="str">
        <f>IF(ESTIMATIVA[[#This Row],[QT_AREA_REST1]]&gt;0,"Reestimativa 1",IF(ESTIMATIVA[[#This Row],[QT_AREA_REAL]]=0,"Reestimativa 1","Realizado"))</f>
        <v>Reestimativa 1</v>
      </c>
      <c r="W2021" s="1" t="str">
        <f>IF(ESTIMATIVA[[#This Row],[QT_AREA_REST2]]&gt;0,"Reestimativa 2",IF(ESTIMATIVA[[#This Row],[QT_AREA_REAL]]=0,"Reestimativa 2","Realizado"))</f>
        <v>Reestimativa 2</v>
      </c>
      <c r="X2021" s="1">
        <f>ESTIMATIVA[[#This Row],[QT_AREA_EST]]</f>
        <v>23.48</v>
      </c>
      <c r="Y2021" s="1">
        <f>IF(ESTIMATIVA[[#This Row],[QT_AREA_REST1]]&gt;0,ESTIMATIVA[[#This Row],[QT_AREA_REST1]],
  IF(ESTIMATIVA[[#This Row],[QT_AREA_REAL]]&gt;0,ESTIMATIVA[[#This Row],[QT_AREA_REAL]],ESTIMATIVA[[#This Row],[QT_AREA_EST]]))</f>
        <v>23.48</v>
      </c>
      <c r="Z202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23.48</v>
      </c>
      <c r="AA2021" s="1">
        <f>ESTIMATIVA[[#This Row],[QT_CANA_EST]]</f>
        <v>2371.48</v>
      </c>
      <c r="AB2021" s="1">
        <f>IF(ESTIMATIVA[[#This Row],[QT_CANA_REST1]]&gt;0,ESTIMATIVA[[#This Row],[QT_CANA_REST1]],
  IF(ESTIMATIVA[[#This Row],[QT_CANA_REAL]]&gt;0,ESTIMATIVA[[#This Row],[QT_CANA_REAL]],ESTIMATIVA[[#This Row],[QT_CANA_EST]]))</f>
        <v>2441.92</v>
      </c>
      <c r="AC202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2441.92</v>
      </c>
      <c r="AD2021" s="1">
        <f>IF(ESTIMATIVA[[#This Row],[QT_AREA_REAL]]&gt;0,ESTIMATIVA[[#This Row],[QT_CANA_REAL]],ESTIMATIVA[[#This Row],[QT_CANA_EST]])</f>
        <v>1347.22</v>
      </c>
      <c r="AE2021" s="1">
        <f>IF(ESTIMATIVA[[#This Row],[QT_AREA_REAL]]&gt;0,ESTIMATIVA[[#This Row],[QT_CANA_REAL]],ESTIMATIVA[[#This Row],[QT_CANA_REST1]])</f>
        <v>1347.22</v>
      </c>
      <c r="AF2021" s="1">
        <f>IF(ESTIMATIVA[[#This Row],[QT_AREA_REAL]]&gt;0,ESTIMATIVA[[#This Row],[QT_CANA_REAL]],ESTIMATIVA[[#This Row],[QT_CANA_REST2]])</f>
        <v>1347.22</v>
      </c>
      <c r="AG2021" s="1" t="str">
        <f>IF(COUNTIFS(GEADA!A:A,VALUE(ESTIMATIVA[[#This Row],[CD_UPNIVEL1]]&amp;TEXT(ESTIMATIVA[[#This Row],[CD_UPNIVEL3]],"0000")))&gt;0,"S","N")</f>
        <v>N</v>
      </c>
      <c r="AH202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21" s="55" t="str">
        <f>IF(ESTIMATIVA[[#This Row],[TP_CULTIVO]]="Irrigado",_xlfn.MAXIFS(IRRIGADO!J:J,IRRIGADO!C:C,ESTIMATIVA[[#This Row],[CD_UPNIVEL1]],IRRIGADO!E:E,ESTIMATIVA[[#This Row],[CD_UPNIVEL3]]),"")</f>
        <v/>
      </c>
      <c r="AJ202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21" s="1">
        <f>COUNTIFS(Apresentação!$E$23:$E$29,ESTIMATIVA[[#This Row],[CD_UPNIVEL1]])</f>
        <v>0</v>
      </c>
    </row>
    <row r="2022" spans="1:37" x14ac:dyDescent="0.3">
      <c r="A2022">
        <v>30333</v>
      </c>
      <c r="B2022" t="s">
        <v>165</v>
      </c>
      <c r="C2022">
        <v>5</v>
      </c>
      <c r="D2022">
        <v>1</v>
      </c>
      <c r="E2022" t="s">
        <v>267</v>
      </c>
      <c r="F2022" s="85" t="s">
        <v>331</v>
      </c>
      <c r="G2022"/>
      <c r="H2022" t="s">
        <v>294</v>
      </c>
      <c r="I2022" t="s">
        <v>230</v>
      </c>
      <c r="J2022" t="s">
        <v>178</v>
      </c>
      <c r="K2022" s="1">
        <v>22.16</v>
      </c>
      <c r="L2022" s="1">
        <v>22.16</v>
      </c>
      <c r="M2022" s="1">
        <v>22.16</v>
      </c>
      <c r="N2022" s="1">
        <v>22.16</v>
      </c>
      <c r="O2022" s="1">
        <v>2304.64</v>
      </c>
      <c r="P2022" s="1">
        <v>2304.64</v>
      </c>
      <c r="Q2022" s="1">
        <v>2304.64</v>
      </c>
      <c r="R2022" s="1">
        <v>1272.04</v>
      </c>
      <c r="S2022" t="s">
        <v>282</v>
      </c>
      <c r="T2022" s="13">
        <v>45935</v>
      </c>
      <c r="U2022" s="1" t="str">
        <f>IF(ESTIMATIVA[[#This Row],[QT_AREA_REAL]]&gt;0,"1- Colhido","2- à Colher")</f>
        <v>1- Colhido</v>
      </c>
      <c r="V2022" s="1" t="str">
        <f>IF(ESTIMATIVA[[#This Row],[QT_AREA_REST1]]&gt;0,"Reestimativa 1",IF(ESTIMATIVA[[#This Row],[QT_AREA_REAL]]=0,"Reestimativa 1","Realizado"))</f>
        <v>Reestimativa 1</v>
      </c>
      <c r="W2022" s="1" t="str">
        <f>IF(ESTIMATIVA[[#This Row],[QT_AREA_REST2]]&gt;0,"Reestimativa 2",IF(ESTIMATIVA[[#This Row],[QT_AREA_REAL]]=0,"Reestimativa 2","Realizado"))</f>
        <v>Reestimativa 2</v>
      </c>
      <c r="X2022" s="1">
        <f>ESTIMATIVA[[#This Row],[QT_AREA_EST]]</f>
        <v>22.16</v>
      </c>
      <c r="Y2022" s="1">
        <f>IF(ESTIMATIVA[[#This Row],[QT_AREA_REST1]]&gt;0,ESTIMATIVA[[#This Row],[QT_AREA_REST1]],
  IF(ESTIMATIVA[[#This Row],[QT_AREA_REAL]]&gt;0,ESTIMATIVA[[#This Row],[QT_AREA_REAL]],ESTIMATIVA[[#This Row],[QT_AREA_EST]]))</f>
        <v>22.16</v>
      </c>
      <c r="Z202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22.16</v>
      </c>
      <c r="AA2022" s="1">
        <f>ESTIMATIVA[[#This Row],[QT_CANA_EST]]</f>
        <v>2304.64</v>
      </c>
      <c r="AB2022" s="1">
        <f>IF(ESTIMATIVA[[#This Row],[QT_CANA_REST1]]&gt;0,ESTIMATIVA[[#This Row],[QT_CANA_REST1]],
  IF(ESTIMATIVA[[#This Row],[QT_CANA_REAL]]&gt;0,ESTIMATIVA[[#This Row],[QT_CANA_REAL]],ESTIMATIVA[[#This Row],[QT_CANA_EST]]))</f>
        <v>2304.64</v>
      </c>
      <c r="AC202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2304.64</v>
      </c>
      <c r="AD2022" s="1">
        <f>IF(ESTIMATIVA[[#This Row],[QT_AREA_REAL]]&gt;0,ESTIMATIVA[[#This Row],[QT_CANA_REAL]],ESTIMATIVA[[#This Row],[QT_CANA_EST]])</f>
        <v>1272.04</v>
      </c>
      <c r="AE2022" s="1">
        <f>IF(ESTIMATIVA[[#This Row],[QT_AREA_REAL]]&gt;0,ESTIMATIVA[[#This Row],[QT_CANA_REAL]],ESTIMATIVA[[#This Row],[QT_CANA_REST1]])</f>
        <v>1272.04</v>
      </c>
      <c r="AF2022" s="1">
        <f>IF(ESTIMATIVA[[#This Row],[QT_AREA_REAL]]&gt;0,ESTIMATIVA[[#This Row],[QT_CANA_REAL]],ESTIMATIVA[[#This Row],[QT_CANA_REST2]])</f>
        <v>1272.04</v>
      </c>
      <c r="AG2022" s="1" t="str">
        <f>IF(COUNTIFS(GEADA!A:A,VALUE(ESTIMATIVA[[#This Row],[CD_UPNIVEL1]]&amp;TEXT(ESTIMATIVA[[#This Row],[CD_UPNIVEL3]],"0000")))&gt;0,"S","N")</f>
        <v>N</v>
      </c>
      <c r="AH202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22" s="55" t="str">
        <f>IF(ESTIMATIVA[[#This Row],[TP_CULTIVO]]="Irrigado",_xlfn.MAXIFS(IRRIGADO!J:J,IRRIGADO!C:C,ESTIMATIVA[[#This Row],[CD_UPNIVEL1]],IRRIGADO!E:E,ESTIMATIVA[[#This Row],[CD_UPNIVEL3]]),"")</f>
        <v/>
      </c>
      <c r="AJ202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22" s="1">
        <f>COUNTIFS(Apresentação!$E$23:$E$29,ESTIMATIVA[[#This Row],[CD_UPNIVEL1]])</f>
        <v>0</v>
      </c>
    </row>
    <row r="2023" spans="1:37" x14ac:dyDescent="0.3">
      <c r="A2023">
        <v>30333</v>
      </c>
      <c r="B2023" t="s">
        <v>165</v>
      </c>
      <c r="C2023">
        <v>6</v>
      </c>
      <c r="D2023">
        <v>1</v>
      </c>
      <c r="E2023" t="s">
        <v>267</v>
      </c>
      <c r="F2023" s="85" t="s">
        <v>333</v>
      </c>
      <c r="G2023"/>
      <c r="H2023" t="s">
        <v>294</v>
      </c>
      <c r="I2023" t="s">
        <v>230</v>
      </c>
      <c r="J2023" t="s">
        <v>178</v>
      </c>
      <c r="K2023" s="1">
        <v>1.05</v>
      </c>
      <c r="L2023" s="1">
        <v>1.05</v>
      </c>
      <c r="M2023" s="1">
        <v>1.05</v>
      </c>
      <c r="N2023" s="1">
        <v>1.05</v>
      </c>
      <c r="O2023" s="1">
        <v>109.2</v>
      </c>
      <c r="P2023" s="1">
        <v>112.35</v>
      </c>
      <c r="Q2023" s="1">
        <v>112.35</v>
      </c>
      <c r="R2023" s="1">
        <v>72.760000000000005</v>
      </c>
      <c r="S2023" t="s">
        <v>282</v>
      </c>
      <c r="T2023" s="13">
        <v>45942</v>
      </c>
      <c r="U2023" s="1" t="str">
        <f>IF(ESTIMATIVA[[#This Row],[QT_AREA_REAL]]&gt;0,"1- Colhido","2- à Colher")</f>
        <v>1- Colhido</v>
      </c>
      <c r="V2023" s="1" t="str">
        <f>IF(ESTIMATIVA[[#This Row],[QT_AREA_REST1]]&gt;0,"Reestimativa 1",IF(ESTIMATIVA[[#This Row],[QT_AREA_REAL]]=0,"Reestimativa 1","Realizado"))</f>
        <v>Reestimativa 1</v>
      </c>
      <c r="W2023" s="1" t="str">
        <f>IF(ESTIMATIVA[[#This Row],[QT_AREA_REST2]]&gt;0,"Reestimativa 2",IF(ESTIMATIVA[[#This Row],[QT_AREA_REAL]]=0,"Reestimativa 2","Realizado"))</f>
        <v>Reestimativa 2</v>
      </c>
      <c r="X2023" s="1">
        <f>ESTIMATIVA[[#This Row],[QT_AREA_EST]]</f>
        <v>1.05</v>
      </c>
      <c r="Y2023" s="1">
        <f>IF(ESTIMATIVA[[#This Row],[QT_AREA_REST1]]&gt;0,ESTIMATIVA[[#This Row],[QT_AREA_REST1]],
  IF(ESTIMATIVA[[#This Row],[QT_AREA_REAL]]&gt;0,ESTIMATIVA[[#This Row],[QT_AREA_REAL]],ESTIMATIVA[[#This Row],[QT_AREA_EST]]))</f>
        <v>1.05</v>
      </c>
      <c r="Z202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1.05</v>
      </c>
      <c r="AA2023" s="1">
        <f>ESTIMATIVA[[#This Row],[QT_CANA_EST]]</f>
        <v>109.2</v>
      </c>
      <c r="AB2023" s="1">
        <f>IF(ESTIMATIVA[[#This Row],[QT_CANA_REST1]]&gt;0,ESTIMATIVA[[#This Row],[QT_CANA_REST1]],
  IF(ESTIMATIVA[[#This Row],[QT_CANA_REAL]]&gt;0,ESTIMATIVA[[#This Row],[QT_CANA_REAL]],ESTIMATIVA[[#This Row],[QT_CANA_EST]]))</f>
        <v>112.35</v>
      </c>
      <c r="AC202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112.35</v>
      </c>
      <c r="AD2023" s="1">
        <f>IF(ESTIMATIVA[[#This Row],[QT_AREA_REAL]]&gt;0,ESTIMATIVA[[#This Row],[QT_CANA_REAL]],ESTIMATIVA[[#This Row],[QT_CANA_EST]])</f>
        <v>72.760000000000005</v>
      </c>
      <c r="AE2023" s="1">
        <f>IF(ESTIMATIVA[[#This Row],[QT_AREA_REAL]]&gt;0,ESTIMATIVA[[#This Row],[QT_CANA_REAL]],ESTIMATIVA[[#This Row],[QT_CANA_REST1]])</f>
        <v>72.760000000000005</v>
      </c>
      <c r="AF2023" s="1">
        <f>IF(ESTIMATIVA[[#This Row],[QT_AREA_REAL]]&gt;0,ESTIMATIVA[[#This Row],[QT_CANA_REAL]],ESTIMATIVA[[#This Row],[QT_CANA_REST2]])</f>
        <v>72.760000000000005</v>
      </c>
      <c r="AG2023" s="1" t="str">
        <f>IF(COUNTIFS(GEADA!A:A,VALUE(ESTIMATIVA[[#This Row],[CD_UPNIVEL1]]&amp;TEXT(ESTIMATIVA[[#This Row],[CD_UPNIVEL3]],"0000")))&gt;0,"S","N")</f>
        <v>N</v>
      </c>
      <c r="AH202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23" s="55" t="str">
        <f>IF(ESTIMATIVA[[#This Row],[TP_CULTIVO]]="Irrigado",_xlfn.MAXIFS(IRRIGADO!J:J,IRRIGADO!C:C,ESTIMATIVA[[#This Row],[CD_UPNIVEL1]],IRRIGADO!E:E,ESTIMATIVA[[#This Row],[CD_UPNIVEL3]]),"")</f>
        <v/>
      </c>
      <c r="AJ202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23" s="1">
        <f>COUNTIFS(Apresentação!$E$23:$E$29,ESTIMATIVA[[#This Row],[CD_UPNIVEL1]])</f>
        <v>0</v>
      </c>
    </row>
    <row r="2024" spans="1:37" x14ac:dyDescent="0.3">
      <c r="A2024">
        <v>30333</v>
      </c>
      <c r="B2024" t="s">
        <v>165</v>
      </c>
      <c r="C2024">
        <v>10</v>
      </c>
      <c r="D2024">
        <v>1</v>
      </c>
      <c r="E2024" t="s">
        <v>267</v>
      </c>
      <c r="F2024" s="85" t="s">
        <v>331</v>
      </c>
      <c r="G2024"/>
      <c r="H2024" t="s">
        <v>294</v>
      </c>
      <c r="I2024" t="s">
        <v>230</v>
      </c>
      <c r="J2024" t="s">
        <v>178</v>
      </c>
      <c r="K2024" s="1">
        <v>11.72</v>
      </c>
      <c r="L2024" s="1">
        <v>11.72</v>
      </c>
      <c r="M2024" s="1">
        <v>11.72</v>
      </c>
      <c r="N2024" s="1">
        <v>11.72</v>
      </c>
      <c r="O2024" s="1">
        <v>1218.8800000000001</v>
      </c>
      <c r="P2024" s="1">
        <v>1254.04</v>
      </c>
      <c r="Q2024" s="1">
        <v>1254.04</v>
      </c>
      <c r="R2024" s="1">
        <v>815.26</v>
      </c>
      <c r="S2024" t="s">
        <v>282</v>
      </c>
      <c r="T2024" s="13">
        <v>45942</v>
      </c>
      <c r="U2024" s="1" t="str">
        <f>IF(ESTIMATIVA[[#This Row],[QT_AREA_REAL]]&gt;0,"1- Colhido","2- à Colher")</f>
        <v>1- Colhido</v>
      </c>
      <c r="V2024" s="1" t="str">
        <f>IF(ESTIMATIVA[[#This Row],[QT_AREA_REST1]]&gt;0,"Reestimativa 1",IF(ESTIMATIVA[[#This Row],[QT_AREA_REAL]]=0,"Reestimativa 1","Realizado"))</f>
        <v>Reestimativa 1</v>
      </c>
      <c r="W2024" s="1" t="str">
        <f>IF(ESTIMATIVA[[#This Row],[QT_AREA_REST2]]&gt;0,"Reestimativa 2",IF(ESTIMATIVA[[#This Row],[QT_AREA_REAL]]=0,"Reestimativa 2","Realizado"))</f>
        <v>Reestimativa 2</v>
      </c>
      <c r="X2024" s="1">
        <f>ESTIMATIVA[[#This Row],[QT_AREA_EST]]</f>
        <v>11.72</v>
      </c>
      <c r="Y2024" s="1">
        <f>IF(ESTIMATIVA[[#This Row],[QT_AREA_REST1]]&gt;0,ESTIMATIVA[[#This Row],[QT_AREA_REST1]],
  IF(ESTIMATIVA[[#This Row],[QT_AREA_REAL]]&gt;0,ESTIMATIVA[[#This Row],[QT_AREA_REAL]],ESTIMATIVA[[#This Row],[QT_AREA_EST]]))</f>
        <v>11.72</v>
      </c>
      <c r="Z202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11.72</v>
      </c>
      <c r="AA2024" s="1">
        <f>ESTIMATIVA[[#This Row],[QT_CANA_EST]]</f>
        <v>1218.8800000000001</v>
      </c>
      <c r="AB2024" s="1">
        <f>IF(ESTIMATIVA[[#This Row],[QT_CANA_REST1]]&gt;0,ESTIMATIVA[[#This Row],[QT_CANA_REST1]],
  IF(ESTIMATIVA[[#This Row],[QT_CANA_REAL]]&gt;0,ESTIMATIVA[[#This Row],[QT_CANA_REAL]],ESTIMATIVA[[#This Row],[QT_CANA_EST]]))</f>
        <v>1254.04</v>
      </c>
      <c r="AC202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1254.04</v>
      </c>
      <c r="AD2024" s="1">
        <f>IF(ESTIMATIVA[[#This Row],[QT_AREA_REAL]]&gt;0,ESTIMATIVA[[#This Row],[QT_CANA_REAL]],ESTIMATIVA[[#This Row],[QT_CANA_EST]])</f>
        <v>815.26</v>
      </c>
      <c r="AE2024" s="1">
        <f>IF(ESTIMATIVA[[#This Row],[QT_AREA_REAL]]&gt;0,ESTIMATIVA[[#This Row],[QT_CANA_REAL]],ESTIMATIVA[[#This Row],[QT_CANA_REST1]])</f>
        <v>815.26</v>
      </c>
      <c r="AF2024" s="1">
        <f>IF(ESTIMATIVA[[#This Row],[QT_AREA_REAL]]&gt;0,ESTIMATIVA[[#This Row],[QT_CANA_REAL]],ESTIMATIVA[[#This Row],[QT_CANA_REST2]])</f>
        <v>815.26</v>
      </c>
      <c r="AG2024" s="1" t="str">
        <f>IF(COUNTIFS(GEADA!A:A,VALUE(ESTIMATIVA[[#This Row],[CD_UPNIVEL1]]&amp;TEXT(ESTIMATIVA[[#This Row],[CD_UPNIVEL3]],"0000")))&gt;0,"S","N")</f>
        <v>N</v>
      </c>
      <c r="AH202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24" s="55" t="str">
        <f>IF(ESTIMATIVA[[#This Row],[TP_CULTIVO]]="Irrigado",_xlfn.MAXIFS(IRRIGADO!J:J,IRRIGADO!C:C,ESTIMATIVA[[#This Row],[CD_UPNIVEL1]],IRRIGADO!E:E,ESTIMATIVA[[#This Row],[CD_UPNIVEL3]]),"")</f>
        <v/>
      </c>
      <c r="AJ202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24" s="1">
        <f>COUNTIFS(Apresentação!$E$23:$E$29,ESTIMATIVA[[#This Row],[CD_UPNIVEL1]])</f>
        <v>0</v>
      </c>
    </row>
    <row r="2025" spans="1:37" x14ac:dyDescent="0.3">
      <c r="A2025">
        <v>30333</v>
      </c>
      <c r="B2025" t="s">
        <v>165</v>
      </c>
      <c r="C2025">
        <v>11</v>
      </c>
      <c r="D2025">
        <v>1</v>
      </c>
      <c r="E2025" t="s">
        <v>267</v>
      </c>
      <c r="F2025" s="85" t="s">
        <v>333</v>
      </c>
      <c r="G2025"/>
      <c r="H2025" t="s">
        <v>294</v>
      </c>
      <c r="I2025" t="s">
        <v>230</v>
      </c>
      <c r="J2025" t="s">
        <v>178</v>
      </c>
      <c r="K2025" s="1">
        <v>12.44</v>
      </c>
      <c r="L2025" s="1">
        <v>12.44</v>
      </c>
      <c r="M2025" s="1">
        <v>12.44</v>
      </c>
      <c r="N2025" s="1">
        <v>12.44</v>
      </c>
      <c r="O2025" s="1">
        <v>1293.76</v>
      </c>
      <c r="P2025" s="1">
        <v>1331.08</v>
      </c>
      <c r="Q2025" s="1">
        <v>1331.08</v>
      </c>
      <c r="R2025" s="1">
        <v>865.33</v>
      </c>
      <c r="S2025" t="s">
        <v>282</v>
      </c>
      <c r="T2025" s="13">
        <v>45942</v>
      </c>
      <c r="U2025" s="1" t="str">
        <f>IF(ESTIMATIVA[[#This Row],[QT_AREA_REAL]]&gt;0,"1- Colhido","2- à Colher")</f>
        <v>1- Colhido</v>
      </c>
      <c r="V2025" s="1" t="str">
        <f>IF(ESTIMATIVA[[#This Row],[QT_AREA_REST1]]&gt;0,"Reestimativa 1",IF(ESTIMATIVA[[#This Row],[QT_AREA_REAL]]=0,"Reestimativa 1","Realizado"))</f>
        <v>Reestimativa 1</v>
      </c>
      <c r="W2025" s="1" t="str">
        <f>IF(ESTIMATIVA[[#This Row],[QT_AREA_REST2]]&gt;0,"Reestimativa 2",IF(ESTIMATIVA[[#This Row],[QT_AREA_REAL]]=0,"Reestimativa 2","Realizado"))</f>
        <v>Reestimativa 2</v>
      </c>
      <c r="X2025" s="1">
        <f>ESTIMATIVA[[#This Row],[QT_AREA_EST]]</f>
        <v>12.44</v>
      </c>
      <c r="Y2025" s="1">
        <f>IF(ESTIMATIVA[[#This Row],[QT_AREA_REST1]]&gt;0,ESTIMATIVA[[#This Row],[QT_AREA_REST1]],
  IF(ESTIMATIVA[[#This Row],[QT_AREA_REAL]]&gt;0,ESTIMATIVA[[#This Row],[QT_AREA_REAL]],ESTIMATIVA[[#This Row],[QT_AREA_EST]]))</f>
        <v>12.44</v>
      </c>
      <c r="Z202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12.44</v>
      </c>
      <c r="AA2025" s="1">
        <f>ESTIMATIVA[[#This Row],[QT_CANA_EST]]</f>
        <v>1293.76</v>
      </c>
      <c r="AB2025" s="1">
        <f>IF(ESTIMATIVA[[#This Row],[QT_CANA_REST1]]&gt;0,ESTIMATIVA[[#This Row],[QT_CANA_REST1]],
  IF(ESTIMATIVA[[#This Row],[QT_CANA_REAL]]&gt;0,ESTIMATIVA[[#This Row],[QT_CANA_REAL]],ESTIMATIVA[[#This Row],[QT_CANA_EST]]))</f>
        <v>1331.08</v>
      </c>
      <c r="AC202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1331.08</v>
      </c>
      <c r="AD2025" s="1">
        <f>IF(ESTIMATIVA[[#This Row],[QT_AREA_REAL]]&gt;0,ESTIMATIVA[[#This Row],[QT_CANA_REAL]],ESTIMATIVA[[#This Row],[QT_CANA_EST]])</f>
        <v>865.33</v>
      </c>
      <c r="AE2025" s="1">
        <f>IF(ESTIMATIVA[[#This Row],[QT_AREA_REAL]]&gt;0,ESTIMATIVA[[#This Row],[QT_CANA_REAL]],ESTIMATIVA[[#This Row],[QT_CANA_REST1]])</f>
        <v>865.33</v>
      </c>
      <c r="AF2025" s="1">
        <f>IF(ESTIMATIVA[[#This Row],[QT_AREA_REAL]]&gt;0,ESTIMATIVA[[#This Row],[QT_CANA_REAL]],ESTIMATIVA[[#This Row],[QT_CANA_REST2]])</f>
        <v>865.33</v>
      </c>
      <c r="AG2025" s="1" t="str">
        <f>IF(COUNTIFS(GEADA!A:A,VALUE(ESTIMATIVA[[#This Row],[CD_UPNIVEL1]]&amp;TEXT(ESTIMATIVA[[#This Row],[CD_UPNIVEL3]],"0000")))&gt;0,"S","N")</f>
        <v>N</v>
      </c>
      <c r="AH202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25" s="55" t="str">
        <f>IF(ESTIMATIVA[[#This Row],[TP_CULTIVO]]="Irrigado",_xlfn.MAXIFS(IRRIGADO!J:J,IRRIGADO!C:C,ESTIMATIVA[[#This Row],[CD_UPNIVEL1]],IRRIGADO!E:E,ESTIMATIVA[[#This Row],[CD_UPNIVEL3]]),"")</f>
        <v/>
      </c>
      <c r="AJ202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25" s="1">
        <f>COUNTIFS(Apresentação!$E$23:$E$29,ESTIMATIVA[[#This Row],[CD_UPNIVEL1]])</f>
        <v>0</v>
      </c>
    </row>
    <row r="2026" spans="1:37" x14ac:dyDescent="0.3">
      <c r="A2026">
        <v>30333</v>
      </c>
      <c r="B2026" t="s">
        <v>165</v>
      </c>
      <c r="C2026">
        <v>13</v>
      </c>
      <c r="D2026">
        <v>1</v>
      </c>
      <c r="E2026" t="s">
        <v>267</v>
      </c>
      <c r="F2026" s="85" t="s">
        <v>333</v>
      </c>
      <c r="G2026"/>
      <c r="H2026" t="s">
        <v>294</v>
      </c>
      <c r="I2026" t="s">
        <v>230</v>
      </c>
      <c r="J2026" t="s">
        <v>178</v>
      </c>
      <c r="K2026" s="1">
        <v>40.270000000000003</v>
      </c>
      <c r="L2026" s="1">
        <v>40.270000000000003</v>
      </c>
      <c r="M2026" s="1">
        <v>40.270000000000003</v>
      </c>
      <c r="N2026" s="1">
        <v>40.270000000000003</v>
      </c>
      <c r="O2026" s="1">
        <v>4188.08</v>
      </c>
      <c r="P2026" s="1">
        <v>4308.8900000000003</v>
      </c>
      <c r="Q2026" s="1">
        <v>3624.3</v>
      </c>
      <c r="R2026" s="1">
        <v>2356.44</v>
      </c>
      <c r="S2026" t="s">
        <v>282</v>
      </c>
      <c r="T2026" s="13">
        <v>45942</v>
      </c>
      <c r="U2026" s="1" t="str">
        <f>IF(ESTIMATIVA[[#This Row],[QT_AREA_REAL]]&gt;0,"1- Colhido","2- à Colher")</f>
        <v>1- Colhido</v>
      </c>
      <c r="V2026" s="1" t="str">
        <f>IF(ESTIMATIVA[[#This Row],[QT_AREA_REST1]]&gt;0,"Reestimativa 1",IF(ESTIMATIVA[[#This Row],[QT_AREA_REAL]]=0,"Reestimativa 1","Realizado"))</f>
        <v>Reestimativa 1</v>
      </c>
      <c r="W2026" s="1" t="str">
        <f>IF(ESTIMATIVA[[#This Row],[QT_AREA_REST2]]&gt;0,"Reestimativa 2",IF(ESTIMATIVA[[#This Row],[QT_AREA_REAL]]=0,"Reestimativa 2","Realizado"))</f>
        <v>Reestimativa 2</v>
      </c>
      <c r="X2026" s="1">
        <f>ESTIMATIVA[[#This Row],[QT_AREA_EST]]</f>
        <v>40.270000000000003</v>
      </c>
      <c r="Y2026" s="1">
        <f>IF(ESTIMATIVA[[#This Row],[QT_AREA_REST1]]&gt;0,ESTIMATIVA[[#This Row],[QT_AREA_REST1]],
  IF(ESTIMATIVA[[#This Row],[QT_AREA_REAL]]&gt;0,ESTIMATIVA[[#This Row],[QT_AREA_REAL]],ESTIMATIVA[[#This Row],[QT_AREA_EST]]))</f>
        <v>40.270000000000003</v>
      </c>
      <c r="Z202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40.270000000000003</v>
      </c>
      <c r="AA2026" s="1">
        <f>ESTIMATIVA[[#This Row],[QT_CANA_EST]]</f>
        <v>4188.08</v>
      </c>
      <c r="AB2026" s="1">
        <f>IF(ESTIMATIVA[[#This Row],[QT_CANA_REST1]]&gt;0,ESTIMATIVA[[#This Row],[QT_CANA_REST1]],
  IF(ESTIMATIVA[[#This Row],[QT_CANA_REAL]]&gt;0,ESTIMATIVA[[#This Row],[QT_CANA_REAL]],ESTIMATIVA[[#This Row],[QT_CANA_EST]]))</f>
        <v>4308.8900000000003</v>
      </c>
      <c r="AC202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3624.3</v>
      </c>
      <c r="AD2026" s="1">
        <f>IF(ESTIMATIVA[[#This Row],[QT_AREA_REAL]]&gt;0,ESTIMATIVA[[#This Row],[QT_CANA_REAL]],ESTIMATIVA[[#This Row],[QT_CANA_EST]])</f>
        <v>2356.44</v>
      </c>
      <c r="AE2026" s="1">
        <f>IF(ESTIMATIVA[[#This Row],[QT_AREA_REAL]]&gt;0,ESTIMATIVA[[#This Row],[QT_CANA_REAL]],ESTIMATIVA[[#This Row],[QT_CANA_REST1]])</f>
        <v>2356.44</v>
      </c>
      <c r="AF2026" s="1">
        <f>IF(ESTIMATIVA[[#This Row],[QT_AREA_REAL]]&gt;0,ESTIMATIVA[[#This Row],[QT_CANA_REAL]],ESTIMATIVA[[#This Row],[QT_CANA_REST2]])</f>
        <v>2356.44</v>
      </c>
      <c r="AG2026" s="1" t="str">
        <f>IF(COUNTIFS(GEADA!A:A,VALUE(ESTIMATIVA[[#This Row],[CD_UPNIVEL1]]&amp;TEXT(ESTIMATIVA[[#This Row],[CD_UPNIVEL3]],"0000")))&gt;0,"S","N")</f>
        <v>N</v>
      </c>
      <c r="AH202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26" s="55" t="str">
        <f>IF(ESTIMATIVA[[#This Row],[TP_CULTIVO]]="Irrigado",_xlfn.MAXIFS(IRRIGADO!J:J,IRRIGADO!C:C,ESTIMATIVA[[#This Row],[CD_UPNIVEL1]],IRRIGADO!E:E,ESTIMATIVA[[#This Row],[CD_UPNIVEL3]]),"")</f>
        <v/>
      </c>
      <c r="AJ202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26" s="1">
        <f>COUNTIFS(Apresentação!$E$23:$E$29,ESTIMATIVA[[#This Row],[CD_UPNIVEL1]])</f>
        <v>0</v>
      </c>
    </row>
    <row r="2027" spans="1:37" x14ac:dyDescent="0.3">
      <c r="A2027">
        <v>30333</v>
      </c>
      <c r="B2027" t="s">
        <v>165</v>
      </c>
      <c r="C2027">
        <v>45</v>
      </c>
      <c r="D2027">
        <v>2</v>
      </c>
      <c r="E2027" t="s">
        <v>266</v>
      </c>
      <c r="F2027" s="85" t="s">
        <v>331</v>
      </c>
      <c r="G2027"/>
      <c r="H2027" t="s">
        <v>294</v>
      </c>
      <c r="I2027" t="s">
        <v>200</v>
      </c>
      <c r="J2027" t="s">
        <v>178</v>
      </c>
      <c r="K2027" s="1">
        <v>8.14</v>
      </c>
      <c r="L2027" s="1">
        <v>8.14</v>
      </c>
      <c r="M2027" s="1">
        <v>8.14</v>
      </c>
      <c r="N2027" s="1">
        <v>8.14</v>
      </c>
      <c r="O2027" s="1">
        <v>504.68</v>
      </c>
      <c r="P2027" s="1">
        <v>325.60000000000002</v>
      </c>
      <c r="Q2027" s="1">
        <v>325.60000000000002</v>
      </c>
      <c r="R2027" s="1">
        <v>345.19</v>
      </c>
      <c r="S2027" t="s">
        <v>282</v>
      </c>
      <c r="T2027" s="13">
        <v>45949</v>
      </c>
      <c r="U2027" s="1" t="str">
        <f>IF(ESTIMATIVA[[#This Row],[QT_AREA_REAL]]&gt;0,"1- Colhido","2- à Colher")</f>
        <v>1- Colhido</v>
      </c>
      <c r="V2027" s="1" t="str">
        <f>IF(ESTIMATIVA[[#This Row],[QT_AREA_REST1]]&gt;0,"Reestimativa 1",IF(ESTIMATIVA[[#This Row],[QT_AREA_REAL]]=0,"Reestimativa 1","Realizado"))</f>
        <v>Reestimativa 1</v>
      </c>
      <c r="W2027" s="1" t="str">
        <f>IF(ESTIMATIVA[[#This Row],[QT_AREA_REST2]]&gt;0,"Reestimativa 2",IF(ESTIMATIVA[[#This Row],[QT_AREA_REAL]]=0,"Reestimativa 2","Realizado"))</f>
        <v>Reestimativa 2</v>
      </c>
      <c r="X2027" s="1">
        <f>ESTIMATIVA[[#This Row],[QT_AREA_EST]]</f>
        <v>8.14</v>
      </c>
      <c r="Y2027" s="1">
        <f>IF(ESTIMATIVA[[#This Row],[QT_AREA_REST1]]&gt;0,ESTIMATIVA[[#This Row],[QT_AREA_REST1]],
  IF(ESTIMATIVA[[#This Row],[QT_AREA_REAL]]&gt;0,ESTIMATIVA[[#This Row],[QT_AREA_REAL]],ESTIMATIVA[[#This Row],[QT_AREA_EST]]))</f>
        <v>8.14</v>
      </c>
      <c r="Z202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8.14</v>
      </c>
      <c r="AA2027" s="1">
        <f>ESTIMATIVA[[#This Row],[QT_CANA_EST]]</f>
        <v>504.68</v>
      </c>
      <c r="AB2027" s="1">
        <f>IF(ESTIMATIVA[[#This Row],[QT_CANA_REST1]]&gt;0,ESTIMATIVA[[#This Row],[QT_CANA_REST1]],
  IF(ESTIMATIVA[[#This Row],[QT_CANA_REAL]]&gt;0,ESTIMATIVA[[#This Row],[QT_CANA_REAL]],ESTIMATIVA[[#This Row],[QT_CANA_EST]]))</f>
        <v>325.60000000000002</v>
      </c>
      <c r="AC202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325.60000000000002</v>
      </c>
      <c r="AD2027" s="1">
        <f>IF(ESTIMATIVA[[#This Row],[QT_AREA_REAL]]&gt;0,ESTIMATIVA[[#This Row],[QT_CANA_REAL]],ESTIMATIVA[[#This Row],[QT_CANA_EST]])</f>
        <v>345.19</v>
      </c>
      <c r="AE2027" s="1">
        <f>IF(ESTIMATIVA[[#This Row],[QT_AREA_REAL]]&gt;0,ESTIMATIVA[[#This Row],[QT_CANA_REAL]],ESTIMATIVA[[#This Row],[QT_CANA_REST1]])</f>
        <v>345.19</v>
      </c>
      <c r="AF2027" s="1">
        <f>IF(ESTIMATIVA[[#This Row],[QT_AREA_REAL]]&gt;0,ESTIMATIVA[[#This Row],[QT_CANA_REAL]],ESTIMATIVA[[#This Row],[QT_CANA_REST2]])</f>
        <v>345.19</v>
      </c>
      <c r="AG2027" s="1" t="str">
        <f>IF(COUNTIFS(GEADA!A:A,VALUE(ESTIMATIVA[[#This Row],[CD_UPNIVEL1]]&amp;TEXT(ESTIMATIVA[[#This Row],[CD_UPNIVEL3]],"0000")))&gt;0,"S","N")</f>
        <v>N</v>
      </c>
      <c r="AH202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27" s="55" t="str">
        <f>IF(ESTIMATIVA[[#This Row],[TP_CULTIVO]]="Irrigado",_xlfn.MAXIFS(IRRIGADO!J:J,IRRIGADO!C:C,ESTIMATIVA[[#This Row],[CD_UPNIVEL1]],IRRIGADO!E:E,ESTIMATIVA[[#This Row],[CD_UPNIVEL3]]),"")</f>
        <v/>
      </c>
      <c r="AJ202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27" s="1">
        <f>COUNTIFS(Apresentação!$E$23:$E$29,ESTIMATIVA[[#This Row],[CD_UPNIVEL1]])</f>
        <v>0</v>
      </c>
    </row>
    <row r="2028" spans="1:37" x14ac:dyDescent="0.3">
      <c r="A2028">
        <v>30348</v>
      </c>
      <c r="B2028" t="s">
        <v>110</v>
      </c>
      <c r="C2028">
        <v>1</v>
      </c>
      <c r="D2028">
        <v>2</v>
      </c>
      <c r="E2028" t="s">
        <v>266</v>
      </c>
      <c r="F2028" s="85" t="s">
        <v>332</v>
      </c>
      <c r="G2028"/>
      <c r="H2028" t="s">
        <v>294</v>
      </c>
      <c r="I2028" t="s">
        <v>205</v>
      </c>
      <c r="J2028" t="s">
        <v>178</v>
      </c>
      <c r="K2028" s="1">
        <v>7.9</v>
      </c>
      <c r="L2028" s="1">
        <v>7.9</v>
      </c>
      <c r="M2028" s="1">
        <v>0</v>
      </c>
      <c r="N2028" s="1">
        <v>7.9</v>
      </c>
      <c r="O2028" s="1">
        <v>639.9</v>
      </c>
      <c r="P2028" s="1">
        <v>734.7</v>
      </c>
      <c r="Q2028" s="1">
        <v>0</v>
      </c>
      <c r="R2028" s="1">
        <v>604.53</v>
      </c>
      <c r="S2028" t="s">
        <v>282</v>
      </c>
      <c r="T2028" s="13">
        <v>45914</v>
      </c>
      <c r="U2028" s="1" t="str">
        <f>IF(ESTIMATIVA[[#This Row],[QT_AREA_REAL]]&gt;0,"1- Colhido","2- à Colher")</f>
        <v>1- Colhido</v>
      </c>
      <c r="V2028" s="1" t="str">
        <f>IF(ESTIMATIVA[[#This Row],[QT_AREA_REST1]]&gt;0,"Reestimativa 1",IF(ESTIMATIVA[[#This Row],[QT_AREA_REAL]]=0,"Reestimativa 1","Realizado"))</f>
        <v>Reestimativa 1</v>
      </c>
      <c r="W2028" s="1" t="str">
        <f>IF(ESTIMATIVA[[#This Row],[QT_AREA_REST2]]&gt;0,"Reestimativa 2",IF(ESTIMATIVA[[#This Row],[QT_AREA_REAL]]=0,"Reestimativa 2","Realizado"))</f>
        <v>Realizado</v>
      </c>
      <c r="X2028" s="1">
        <f>ESTIMATIVA[[#This Row],[QT_AREA_EST]]</f>
        <v>7.9</v>
      </c>
      <c r="Y2028" s="1">
        <f>IF(ESTIMATIVA[[#This Row],[QT_AREA_REST1]]&gt;0,ESTIMATIVA[[#This Row],[QT_AREA_REST1]],
  IF(ESTIMATIVA[[#This Row],[QT_AREA_REAL]]&gt;0,ESTIMATIVA[[#This Row],[QT_AREA_REAL]],ESTIMATIVA[[#This Row],[QT_AREA_EST]]))</f>
        <v>7.9</v>
      </c>
      <c r="Z202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7.9</v>
      </c>
      <c r="AA2028" s="1">
        <f>ESTIMATIVA[[#This Row],[QT_CANA_EST]]</f>
        <v>639.9</v>
      </c>
      <c r="AB2028" s="1">
        <f>IF(ESTIMATIVA[[#This Row],[QT_CANA_REST1]]&gt;0,ESTIMATIVA[[#This Row],[QT_CANA_REST1]],
  IF(ESTIMATIVA[[#This Row],[QT_CANA_REAL]]&gt;0,ESTIMATIVA[[#This Row],[QT_CANA_REAL]],ESTIMATIVA[[#This Row],[QT_CANA_EST]]))</f>
        <v>734.7</v>
      </c>
      <c r="AC202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604.53</v>
      </c>
      <c r="AD2028" s="1">
        <f>IF(ESTIMATIVA[[#This Row],[QT_AREA_REAL]]&gt;0,ESTIMATIVA[[#This Row],[QT_CANA_REAL]],ESTIMATIVA[[#This Row],[QT_CANA_EST]])</f>
        <v>604.53</v>
      </c>
      <c r="AE2028" s="1">
        <f>IF(ESTIMATIVA[[#This Row],[QT_AREA_REAL]]&gt;0,ESTIMATIVA[[#This Row],[QT_CANA_REAL]],ESTIMATIVA[[#This Row],[QT_CANA_REST1]])</f>
        <v>604.53</v>
      </c>
      <c r="AF2028" s="1">
        <f>IF(ESTIMATIVA[[#This Row],[QT_AREA_REAL]]&gt;0,ESTIMATIVA[[#This Row],[QT_CANA_REAL]],ESTIMATIVA[[#This Row],[QT_CANA_REST2]])</f>
        <v>604.53</v>
      </c>
      <c r="AG2028" s="1" t="str">
        <f>IF(COUNTIFS(GEADA!A:A,VALUE(ESTIMATIVA[[#This Row],[CD_UPNIVEL1]]&amp;TEXT(ESTIMATIVA[[#This Row],[CD_UPNIVEL3]],"0000")))&gt;0,"S","N")</f>
        <v>N</v>
      </c>
      <c r="AH202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28" s="55" t="str">
        <f>IF(ESTIMATIVA[[#This Row],[TP_CULTIVO]]="Irrigado",_xlfn.MAXIFS(IRRIGADO!J:J,IRRIGADO!C:C,ESTIMATIVA[[#This Row],[CD_UPNIVEL1]],IRRIGADO!E:E,ESTIMATIVA[[#This Row],[CD_UPNIVEL3]]),"")</f>
        <v/>
      </c>
      <c r="AJ202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28" s="1">
        <f>COUNTIFS(Apresentação!$E$23:$E$29,ESTIMATIVA[[#This Row],[CD_UPNIVEL1]])</f>
        <v>0</v>
      </c>
    </row>
    <row r="2029" spans="1:37" x14ac:dyDescent="0.3">
      <c r="A2029">
        <v>30348</v>
      </c>
      <c r="B2029" t="s">
        <v>110</v>
      </c>
      <c r="C2029">
        <v>2</v>
      </c>
      <c r="D2029">
        <v>2</v>
      </c>
      <c r="E2029" t="s">
        <v>266</v>
      </c>
      <c r="F2029" s="85" t="s">
        <v>332</v>
      </c>
      <c r="G2029"/>
      <c r="H2029" t="s">
        <v>294</v>
      </c>
      <c r="I2029" t="s">
        <v>205</v>
      </c>
      <c r="J2029" t="s">
        <v>178</v>
      </c>
      <c r="K2029" s="1">
        <v>19.21</v>
      </c>
      <c r="L2029" s="1">
        <v>19.21</v>
      </c>
      <c r="M2029" s="1">
        <v>0</v>
      </c>
      <c r="N2029" s="1">
        <v>19.21</v>
      </c>
      <c r="O2029" s="1">
        <v>1556.01</v>
      </c>
      <c r="P2029" s="1">
        <v>1786.53</v>
      </c>
      <c r="Q2029" s="1">
        <v>0</v>
      </c>
      <c r="R2029" s="1">
        <v>1469.88</v>
      </c>
      <c r="S2029" t="s">
        <v>282</v>
      </c>
      <c r="T2029" s="13">
        <v>45914</v>
      </c>
      <c r="U2029" s="1" t="str">
        <f>IF(ESTIMATIVA[[#This Row],[QT_AREA_REAL]]&gt;0,"1- Colhido","2- à Colher")</f>
        <v>1- Colhido</v>
      </c>
      <c r="V2029" s="1" t="str">
        <f>IF(ESTIMATIVA[[#This Row],[QT_AREA_REST1]]&gt;0,"Reestimativa 1",IF(ESTIMATIVA[[#This Row],[QT_AREA_REAL]]=0,"Reestimativa 1","Realizado"))</f>
        <v>Reestimativa 1</v>
      </c>
      <c r="W2029" s="1" t="str">
        <f>IF(ESTIMATIVA[[#This Row],[QT_AREA_REST2]]&gt;0,"Reestimativa 2",IF(ESTIMATIVA[[#This Row],[QT_AREA_REAL]]=0,"Reestimativa 2","Realizado"))</f>
        <v>Realizado</v>
      </c>
      <c r="X2029" s="1">
        <f>ESTIMATIVA[[#This Row],[QT_AREA_EST]]</f>
        <v>19.21</v>
      </c>
      <c r="Y2029" s="1">
        <f>IF(ESTIMATIVA[[#This Row],[QT_AREA_REST1]]&gt;0,ESTIMATIVA[[#This Row],[QT_AREA_REST1]],
  IF(ESTIMATIVA[[#This Row],[QT_AREA_REAL]]&gt;0,ESTIMATIVA[[#This Row],[QT_AREA_REAL]],ESTIMATIVA[[#This Row],[QT_AREA_EST]]))</f>
        <v>19.21</v>
      </c>
      <c r="Z202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19.21</v>
      </c>
      <c r="AA2029" s="1">
        <f>ESTIMATIVA[[#This Row],[QT_CANA_EST]]</f>
        <v>1556.01</v>
      </c>
      <c r="AB2029" s="1">
        <f>IF(ESTIMATIVA[[#This Row],[QT_CANA_REST1]]&gt;0,ESTIMATIVA[[#This Row],[QT_CANA_REST1]],
  IF(ESTIMATIVA[[#This Row],[QT_CANA_REAL]]&gt;0,ESTIMATIVA[[#This Row],[QT_CANA_REAL]],ESTIMATIVA[[#This Row],[QT_CANA_EST]]))</f>
        <v>1786.53</v>
      </c>
      <c r="AC202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1469.88</v>
      </c>
      <c r="AD2029" s="1">
        <f>IF(ESTIMATIVA[[#This Row],[QT_AREA_REAL]]&gt;0,ESTIMATIVA[[#This Row],[QT_CANA_REAL]],ESTIMATIVA[[#This Row],[QT_CANA_EST]])</f>
        <v>1469.88</v>
      </c>
      <c r="AE2029" s="1">
        <f>IF(ESTIMATIVA[[#This Row],[QT_AREA_REAL]]&gt;0,ESTIMATIVA[[#This Row],[QT_CANA_REAL]],ESTIMATIVA[[#This Row],[QT_CANA_REST1]])</f>
        <v>1469.88</v>
      </c>
      <c r="AF2029" s="1">
        <f>IF(ESTIMATIVA[[#This Row],[QT_AREA_REAL]]&gt;0,ESTIMATIVA[[#This Row],[QT_CANA_REAL]],ESTIMATIVA[[#This Row],[QT_CANA_REST2]])</f>
        <v>1469.88</v>
      </c>
      <c r="AG2029" s="1" t="str">
        <f>IF(COUNTIFS(GEADA!A:A,VALUE(ESTIMATIVA[[#This Row],[CD_UPNIVEL1]]&amp;TEXT(ESTIMATIVA[[#This Row],[CD_UPNIVEL3]],"0000")))&gt;0,"S","N")</f>
        <v>N</v>
      </c>
      <c r="AH202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29" s="55" t="str">
        <f>IF(ESTIMATIVA[[#This Row],[TP_CULTIVO]]="Irrigado",_xlfn.MAXIFS(IRRIGADO!J:J,IRRIGADO!C:C,ESTIMATIVA[[#This Row],[CD_UPNIVEL1]],IRRIGADO!E:E,ESTIMATIVA[[#This Row],[CD_UPNIVEL3]]),"")</f>
        <v/>
      </c>
      <c r="AJ202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29" s="1">
        <f>COUNTIFS(Apresentação!$E$23:$E$29,ESTIMATIVA[[#This Row],[CD_UPNIVEL1]])</f>
        <v>0</v>
      </c>
    </row>
    <row r="2030" spans="1:37" x14ac:dyDescent="0.3">
      <c r="A2030">
        <v>30348</v>
      </c>
      <c r="B2030" t="s">
        <v>110</v>
      </c>
      <c r="C2030">
        <v>3</v>
      </c>
      <c r="D2030">
        <v>2</v>
      </c>
      <c r="E2030" t="s">
        <v>266</v>
      </c>
      <c r="F2030" s="85" t="s">
        <v>332</v>
      </c>
      <c r="G2030"/>
      <c r="H2030" t="s">
        <v>294</v>
      </c>
      <c r="I2030" t="s">
        <v>205</v>
      </c>
      <c r="J2030" t="s">
        <v>178</v>
      </c>
      <c r="K2030" s="1">
        <v>24.81</v>
      </c>
      <c r="L2030" s="1">
        <v>24.81</v>
      </c>
      <c r="M2030" s="1">
        <v>0</v>
      </c>
      <c r="N2030" s="1">
        <v>24.81</v>
      </c>
      <c r="O2030" s="1">
        <v>2009.61</v>
      </c>
      <c r="P2030" s="1">
        <v>2257.71</v>
      </c>
      <c r="Q2030" s="1">
        <v>0</v>
      </c>
      <c r="R2030" s="1">
        <v>4273.25</v>
      </c>
      <c r="S2030" t="s">
        <v>282</v>
      </c>
      <c r="T2030" s="13">
        <v>45914</v>
      </c>
      <c r="U2030" s="1" t="str">
        <f>IF(ESTIMATIVA[[#This Row],[QT_AREA_REAL]]&gt;0,"1- Colhido","2- à Colher")</f>
        <v>1- Colhido</v>
      </c>
      <c r="V2030" s="1" t="str">
        <f>IF(ESTIMATIVA[[#This Row],[QT_AREA_REST1]]&gt;0,"Reestimativa 1",IF(ESTIMATIVA[[#This Row],[QT_AREA_REAL]]=0,"Reestimativa 1","Realizado"))</f>
        <v>Reestimativa 1</v>
      </c>
      <c r="W2030" s="1" t="str">
        <f>IF(ESTIMATIVA[[#This Row],[QT_AREA_REST2]]&gt;0,"Reestimativa 2",IF(ESTIMATIVA[[#This Row],[QT_AREA_REAL]]=0,"Reestimativa 2","Realizado"))</f>
        <v>Realizado</v>
      </c>
      <c r="X2030" s="1">
        <f>ESTIMATIVA[[#This Row],[QT_AREA_EST]]</f>
        <v>24.81</v>
      </c>
      <c r="Y2030" s="1">
        <f>IF(ESTIMATIVA[[#This Row],[QT_AREA_REST1]]&gt;0,ESTIMATIVA[[#This Row],[QT_AREA_REST1]],
  IF(ESTIMATIVA[[#This Row],[QT_AREA_REAL]]&gt;0,ESTIMATIVA[[#This Row],[QT_AREA_REAL]],ESTIMATIVA[[#This Row],[QT_AREA_EST]]))</f>
        <v>24.81</v>
      </c>
      <c r="Z203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24.81</v>
      </c>
      <c r="AA2030" s="1">
        <f>ESTIMATIVA[[#This Row],[QT_CANA_EST]]</f>
        <v>2009.61</v>
      </c>
      <c r="AB2030" s="1">
        <f>IF(ESTIMATIVA[[#This Row],[QT_CANA_REST1]]&gt;0,ESTIMATIVA[[#This Row],[QT_CANA_REST1]],
  IF(ESTIMATIVA[[#This Row],[QT_CANA_REAL]]&gt;0,ESTIMATIVA[[#This Row],[QT_CANA_REAL]],ESTIMATIVA[[#This Row],[QT_CANA_EST]]))</f>
        <v>2257.71</v>
      </c>
      <c r="AC203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4273.25</v>
      </c>
      <c r="AD2030" s="1">
        <f>IF(ESTIMATIVA[[#This Row],[QT_AREA_REAL]]&gt;0,ESTIMATIVA[[#This Row],[QT_CANA_REAL]],ESTIMATIVA[[#This Row],[QT_CANA_EST]])</f>
        <v>4273.25</v>
      </c>
      <c r="AE2030" s="1">
        <f>IF(ESTIMATIVA[[#This Row],[QT_AREA_REAL]]&gt;0,ESTIMATIVA[[#This Row],[QT_CANA_REAL]],ESTIMATIVA[[#This Row],[QT_CANA_REST1]])</f>
        <v>4273.25</v>
      </c>
      <c r="AF2030" s="1">
        <f>IF(ESTIMATIVA[[#This Row],[QT_AREA_REAL]]&gt;0,ESTIMATIVA[[#This Row],[QT_CANA_REAL]],ESTIMATIVA[[#This Row],[QT_CANA_REST2]])</f>
        <v>4273.25</v>
      </c>
      <c r="AG2030" s="1" t="str">
        <f>IF(COUNTIFS(GEADA!A:A,VALUE(ESTIMATIVA[[#This Row],[CD_UPNIVEL1]]&amp;TEXT(ESTIMATIVA[[#This Row],[CD_UPNIVEL3]],"0000")))&gt;0,"S","N")</f>
        <v>N</v>
      </c>
      <c r="AH203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30" s="55" t="str">
        <f>IF(ESTIMATIVA[[#This Row],[TP_CULTIVO]]="Irrigado",_xlfn.MAXIFS(IRRIGADO!J:J,IRRIGADO!C:C,ESTIMATIVA[[#This Row],[CD_UPNIVEL1]],IRRIGADO!E:E,ESTIMATIVA[[#This Row],[CD_UPNIVEL3]]),"")</f>
        <v/>
      </c>
      <c r="AJ203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30" s="1">
        <f>COUNTIFS(Apresentação!$E$23:$E$29,ESTIMATIVA[[#This Row],[CD_UPNIVEL1]])</f>
        <v>0</v>
      </c>
    </row>
    <row r="2031" spans="1:37" x14ac:dyDescent="0.3">
      <c r="A2031">
        <v>30348</v>
      </c>
      <c r="B2031" t="s">
        <v>110</v>
      </c>
      <c r="C2031">
        <v>4</v>
      </c>
      <c r="D2031">
        <v>2</v>
      </c>
      <c r="E2031" t="s">
        <v>266</v>
      </c>
      <c r="F2031" s="85" t="s">
        <v>332</v>
      </c>
      <c r="G2031"/>
      <c r="H2031" t="s">
        <v>294</v>
      </c>
      <c r="I2031" t="s">
        <v>205</v>
      </c>
      <c r="J2031" t="s">
        <v>178</v>
      </c>
      <c r="K2031" s="1">
        <v>32.85</v>
      </c>
      <c r="L2031" s="1">
        <v>32.85</v>
      </c>
      <c r="M2031" s="1">
        <v>0</v>
      </c>
      <c r="N2031" s="1">
        <v>32.85</v>
      </c>
      <c r="O2031" s="1">
        <v>2660.85</v>
      </c>
      <c r="P2031" s="1">
        <v>2956.5</v>
      </c>
      <c r="Q2031" s="1">
        <v>0</v>
      </c>
      <c r="R2031" s="1">
        <v>1821.58</v>
      </c>
      <c r="S2031" t="s">
        <v>282</v>
      </c>
      <c r="T2031" s="13">
        <v>45914</v>
      </c>
      <c r="U2031" s="1" t="str">
        <f>IF(ESTIMATIVA[[#This Row],[QT_AREA_REAL]]&gt;0,"1- Colhido","2- à Colher")</f>
        <v>1- Colhido</v>
      </c>
      <c r="V2031" s="1" t="str">
        <f>IF(ESTIMATIVA[[#This Row],[QT_AREA_REST1]]&gt;0,"Reestimativa 1",IF(ESTIMATIVA[[#This Row],[QT_AREA_REAL]]=0,"Reestimativa 1","Realizado"))</f>
        <v>Reestimativa 1</v>
      </c>
      <c r="W2031" s="1" t="str">
        <f>IF(ESTIMATIVA[[#This Row],[QT_AREA_REST2]]&gt;0,"Reestimativa 2",IF(ESTIMATIVA[[#This Row],[QT_AREA_REAL]]=0,"Reestimativa 2","Realizado"))</f>
        <v>Realizado</v>
      </c>
      <c r="X2031" s="1">
        <f>ESTIMATIVA[[#This Row],[QT_AREA_EST]]</f>
        <v>32.85</v>
      </c>
      <c r="Y2031" s="1">
        <f>IF(ESTIMATIVA[[#This Row],[QT_AREA_REST1]]&gt;0,ESTIMATIVA[[#This Row],[QT_AREA_REST1]],
  IF(ESTIMATIVA[[#This Row],[QT_AREA_REAL]]&gt;0,ESTIMATIVA[[#This Row],[QT_AREA_REAL]],ESTIMATIVA[[#This Row],[QT_AREA_EST]]))</f>
        <v>32.85</v>
      </c>
      <c r="Z203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32.85</v>
      </c>
      <c r="AA2031" s="1">
        <f>ESTIMATIVA[[#This Row],[QT_CANA_EST]]</f>
        <v>2660.85</v>
      </c>
      <c r="AB2031" s="1">
        <f>IF(ESTIMATIVA[[#This Row],[QT_CANA_REST1]]&gt;0,ESTIMATIVA[[#This Row],[QT_CANA_REST1]],
  IF(ESTIMATIVA[[#This Row],[QT_CANA_REAL]]&gt;0,ESTIMATIVA[[#This Row],[QT_CANA_REAL]],ESTIMATIVA[[#This Row],[QT_CANA_EST]]))</f>
        <v>2956.5</v>
      </c>
      <c r="AC203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1821.58</v>
      </c>
      <c r="AD2031" s="1">
        <f>IF(ESTIMATIVA[[#This Row],[QT_AREA_REAL]]&gt;0,ESTIMATIVA[[#This Row],[QT_CANA_REAL]],ESTIMATIVA[[#This Row],[QT_CANA_EST]])</f>
        <v>1821.58</v>
      </c>
      <c r="AE2031" s="1">
        <f>IF(ESTIMATIVA[[#This Row],[QT_AREA_REAL]]&gt;0,ESTIMATIVA[[#This Row],[QT_CANA_REAL]],ESTIMATIVA[[#This Row],[QT_CANA_REST1]])</f>
        <v>1821.58</v>
      </c>
      <c r="AF2031" s="1">
        <f>IF(ESTIMATIVA[[#This Row],[QT_AREA_REAL]]&gt;0,ESTIMATIVA[[#This Row],[QT_CANA_REAL]],ESTIMATIVA[[#This Row],[QT_CANA_REST2]])</f>
        <v>1821.58</v>
      </c>
      <c r="AG2031" s="1" t="str">
        <f>IF(COUNTIFS(GEADA!A:A,VALUE(ESTIMATIVA[[#This Row],[CD_UPNIVEL1]]&amp;TEXT(ESTIMATIVA[[#This Row],[CD_UPNIVEL3]],"0000")))&gt;0,"S","N")</f>
        <v>N</v>
      </c>
      <c r="AH203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31" s="55" t="str">
        <f>IF(ESTIMATIVA[[#This Row],[TP_CULTIVO]]="Irrigado",_xlfn.MAXIFS(IRRIGADO!J:J,IRRIGADO!C:C,ESTIMATIVA[[#This Row],[CD_UPNIVEL1]],IRRIGADO!E:E,ESTIMATIVA[[#This Row],[CD_UPNIVEL3]]),"")</f>
        <v/>
      </c>
      <c r="AJ203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31" s="1">
        <f>COUNTIFS(Apresentação!$E$23:$E$29,ESTIMATIVA[[#This Row],[CD_UPNIVEL1]])</f>
        <v>0</v>
      </c>
    </row>
    <row r="2032" spans="1:37" x14ac:dyDescent="0.3">
      <c r="A2032">
        <v>30348</v>
      </c>
      <c r="B2032" t="s">
        <v>110</v>
      </c>
      <c r="C2032">
        <v>5</v>
      </c>
      <c r="D2032">
        <v>2</v>
      </c>
      <c r="E2032" t="s">
        <v>266</v>
      </c>
      <c r="F2032" s="85" t="s">
        <v>332</v>
      </c>
      <c r="G2032"/>
      <c r="H2032" t="s">
        <v>294</v>
      </c>
      <c r="I2032" t="s">
        <v>205</v>
      </c>
      <c r="J2032" t="s">
        <v>178</v>
      </c>
      <c r="K2032" s="1">
        <v>35.67</v>
      </c>
      <c r="L2032" s="1">
        <v>35.67</v>
      </c>
      <c r="M2032" s="1">
        <v>0</v>
      </c>
      <c r="N2032" s="1">
        <v>35.67</v>
      </c>
      <c r="O2032" s="1">
        <v>2889.27</v>
      </c>
      <c r="P2032" s="1">
        <v>3210.3</v>
      </c>
      <c r="Q2032" s="1">
        <v>0</v>
      </c>
      <c r="R2032" s="1">
        <v>1977.56</v>
      </c>
      <c r="S2032" t="s">
        <v>282</v>
      </c>
      <c r="T2032" s="13">
        <v>45914</v>
      </c>
      <c r="U2032" s="1" t="str">
        <f>IF(ESTIMATIVA[[#This Row],[QT_AREA_REAL]]&gt;0,"1- Colhido","2- à Colher")</f>
        <v>1- Colhido</v>
      </c>
      <c r="V2032" s="1" t="str">
        <f>IF(ESTIMATIVA[[#This Row],[QT_AREA_REST1]]&gt;0,"Reestimativa 1",IF(ESTIMATIVA[[#This Row],[QT_AREA_REAL]]=0,"Reestimativa 1","Realizado"))</f>
        <v>Reestimativa 1</v>
      </c>
      <c r="W2032" s="1" t="str">
        <f>IF(ESTIMATIVA[[#This Row],[QT_AREA_REST2]]&gt;0,"Reestimativa 2",IF(ESTIMATIVA[[#This Row],[QT_AREA_REAL]]=0,"Reestimativa 2","Realizado"))</f>
        <v>Realizado</v>
      </c>
      <c r="X2032" s="1">
        <f>ESTIMATIVA[[#This Row],[QT_AREA_EST]]</f>
        <v>35.67</v>
      </c>
      <c r="Y2032" s="1">
        <f>IF(ESTIMATIVA[[#This Row],[QT_AREA_REST1]]&gt;0,ESTIMATIVA[[#This Row],[QT_AREA_REST1]],
  IF(ESTIMATIVA[[#This Row],[QT_AREA_REAL]]&gt;0,ESTIMATIVA[[#This Row],[QT_AREA_REAL]],ESTIMATIVA[[#This Row],[QT_AREA_EST]]))</f>
        <v>35.67</v>
      </c>
      <c r="Z203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35.67</v>
      </c>
      <c r="AA2032" s="1">
        <f>ESTIMATIVA[[#This Row],[QT_CANA_EST]]</f>
        <v>2889.27</v>
      </c>
      <c r="AB2032" s="1">
        <f>IF(ESTIMATIVA[[#This Row],[QT_CANA_REST1]]&gt;0,ESTIMATIVA[[#This Row],[QT_CANA_REST1]],
  IF(ESTIMATIVA[[#This Row],[QT_CANA_REAL]]&gt;0,ESTIMATIVA[[#This Row],[QT_CANA_REAL]],ESTIMATIVA[[#This Row],[QT_CANA_EST]]))</f>
        <v>3210.3</v>
      </c>
      <c r="AC203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1977.56</v>
      </c>
      <c r="AD2032" s="1">
        <f>IF(ESTIMATIVA[[#This Row],[QT_AREA_REAL]]&gt;0,ESTIMATIVA[[#This Row],[QT_CANA_REAL]],ESTIMATIVA[[#This Row],[QT_CANA_EST]])</f>
        <v>1977.56</v>
      </c>
      <c r="AE2032" s="1">
        <f>IF(ESTIMATIVA[[#This Row],[QT_AREA_REAL]]&gt;0,ESTIMATIVA[[#This Row],[QT_CANA_REAL]],ESTIMATIVA[[#This Row],[QT_CANA_REST1]])</f>
        <v>1977.56</v>
      </c>
      <c r="AF2032" s="1">
        <f>IF(ESTIMATIVA[[#This Row],[QT_AREA_REAL]]&gt;0,ESTIMATIVA[[#This Row],[QT_CANA_REAL]],ESTIMATIVA[[#This Row],[QT_CANA_REST2]])</f>
        <v>1977.56</v>
      </c>
      <c r="AG2032" s="1" t="str">
        <f>IF(COUNTIFS(GEADA!A:A,VALUE(ESTIMATIVA[[#This Row],[CD_UPNIVEL1]]&amp;TEXT(ESTIMATIVA[[#This Row],[CD_UPNIVEL3]],"0000")))&gt;0,"S","N")</f>
        <v>N</v>
      </c>
      <c r="AH203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32" s="55" t="str">
        <f>IF(ESTIMATIVA[[#This Row],[TP_CULTIVO]]="Irrigado",_xlfn.MAXIFS(IRRIGADO!J:J,IRRIGADO!C:C,ESTIMATIVA[[#This Row],[CD_UPNIVEL1]],IRRIGADO!E:E,ESTIMATIVA[[#This Row],[CD_UPNIVEL3]]),"")</f>
        <v/>
      </c>
      <c r="AJ203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32" s="1">
        <f>COUNTIFS(Apresentação!$E$23:$E$29,ESTIMATIVA[[#This Row],[CD_UPNIVEL1]])</f>
        <v>0</v>
      </c>
    </row>
    <row r="2033" spans="1:37" x14ac:dyDescent="0.3">
      <c r="A2033">
        <v>30366</v>
      </c>
      <c r="B2033" t="s">
        <v>111</v>
      </c>
      <c r="C2033">
        <v>1</v>
      </c>
      <c r="D2033">
        <v>1</v>
      </c>
      <c r="E2033" t="s">
        <v>267</v>
      </c>
      <c r="F2033" s="85" t="s">
        <v>333</v>
      </c>
      <c r="G2033"/>
      <c r="H2033" t="s">
        <v>294</v>
      </c>
      <c r="I2033" t="s">
        <v>225</v>
      </c>
      <c r="J2033" t="s">
        <v>178</v>
      </c>
      <c r="K2033" s="1">
        <v>32.630000000000003</v>
      </c>
      <c r="L2033" s="1">
        <v>0</v>
      </c>
      <c r="M2033" s="1">
        <v>0</v>
      </c>
      <c r="N2033" s="1">
        <v>32.630000000000003</v>
      </c>
      <c r="O2033" s="1">
        <v>3263</v>
      </c>
      <c r="P2033" s="1">
        <v>0</v>
      </c>
      <c r="Q2033" s="1">
        <v>0</v>
      </c>
      <c r="R2033" s="1">
        <v>3193.77</v>
      </c>
      <c r="S2033" t="s">
        <v>280</v>
      </c>
      <c r="T2033" s="13">
        <v>45858</v>
      </c>
      <c r="U2033" s="1" t="str">
        <f>IF(ESTIMATIVA[[#This Row],[QT_AREA_REAL]]&gt;0,"1- Colhido","2- à Colher")</f>
        <v>1- Colhido</v>
      </c>
      <c r="V2033" s="1" t="str">
        <f>IF(ESTIMATIVA[[#This Row],[QT_AREA_REST1]]&gt;0,"Reestimativa 1",IF(ESTIMATIVA[[#This Row],[QT_AREA_REAL]]=0,"Reestimativa 1","Realizado"))</f>
        <v>Realizado</v>
      </c>
      <c r="W2033" s="1" t="str">
        <f>IF(ESTIMATIVA[[#This Row],[QT_AREA_REST2]]&gt;0,"Reestimativa 2",IF(ESTIMATIVA[[#This Row],[QT_AREA_REAL]]=0,"Reestimativa 2","Realizado"))</f>
        <v>Realizado</v>
      </c>
      <c r="X2033" s="1">
        <f>ESTIMATIVA[[#This Row],[QT_AREA_EST]]</f>
        <v>32.630000000000003</v>
      </c>
      <c r="Y2033" s="1">
        <f>IF(ESTIMATIVA[[#This Row],[QT_AREA_REST1]]&gt;0,ESTIMATIVA[[#This Row],[QT_AREA_REST1]],
  IF(ESTIMATIVA[[#This Row],[QT_AREA_REAL]]&gt;0,ESTIMATIVA[[#This Row],[QT_AREA_REAL]],ESTIMATIVA[[#This Row],[QT_AREA_EST]]))</f>
        <v>32.630000000000003</v>
      </c>
      <c r="Z203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32.630000000000003</v>
      </c>
      <c r="AA2033" s="1">
        <f>ESTIMATIVA[[#This Row],[QT_CANA_EST]]</f>
        <v>3263</v>
      </c>
      <c r="AB2033" s="1">
        <f>IF(ESTIMATIVA[[#This Row],[QT_CANA_REST1]]&gt;0,ESTIMATIVA[[#This Row],[QT_CANA_REST1]],
  IF(ESTIMATIVA[[#This Row],[QT_CANA_REAL]]&gt;0,ESTIMATIVA[[#This Row],[QT_CANA_REAL]],ESTIMATIVA[[#This Row],[QT_CANA_EST]]))</f>
        <v>3193.77</v>
      </c>
      <c r="AC203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3193.77</v>
      </c>
      <c r="AD2033" s="1">
        <f>IF(ESTIMATIVA[[#This Row],[QT_AREA_REAL]]&gt;0,ESTIMATIVA[[#This Row],[QT_CANA_REAL]],ESTIMATIVA[[#This Row],[QT_CANA_EST]])</f>
        <v>3193.77</v>
      </c>
      <c r="AE2033" s="1">
        <f>IF(ESTIMATIVA[[#This Row],[QT_AREA_REAL]]&gt;0,ESTIMATIVA[[#This Row],[QT_CANA_REAL]],ESTIMATIVA[[#This Row],[QT_CANA_REST1]])</f>
        <v>3193.77</v>
      </c>
      <c r="AF2033" s="1">
        <f>IF(ESTIMATIVA[[#This Row],[QT_AREA_REAL]]&gt;0,ESTIMATIVA[[#This Row],[QT_CANA_REAL]],ESTIMATIVA[[#This Row],[QT_CANA_REST2]])</f>
        <v>3193.77</v>
      </c>
      <c r="AG2033" s="1" t="str">
        <f>IF(COUNTIFS(GEADA!A:A,VALUE(ESTIMATIVA[[#This Row],[CD_UPNIVEL1]]&amp;TEXT(ESTIMATIVA[[#This Row],[CD_UPNIVEL3]],"0000")))&gt;0,"S","N")</f>
        <v>N</v>
      </c>
      <c r="AH203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33" s="55" t="str">
        <f>IF(ESTIMATIVA[[#This Row],[TP_CULTIVO]]="Irrigado",_xlfn.MAXIFS(IRRIGADO!J:J,IRRIGADO!C:C,ESTIMATIVA[[#This Row],[CD_UPNIVEL1]],IRRIGADO!E:E,ESTIMATIVA[[#This Row],[CD_UPNIVEL3]]),"")</f>
        <v/>
      </c>
      <c r="AJ203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33" s="1">
        <f>COUNTIFS(Apresentação!$E$23:$E$29,ESTIMATIVA[[#This Row],[CD_UPNIVEL1]])</f>
        <v>0</v>
      </c>
    </row>
    <row r="2034" spans="1:37" x14ac:dyDescent="0.3">
      <c r="A2034">
        <v>30366</v>
      </c>
      <c r="B2034" t="s">
        <v>111</v>
      </c>
      <c r="C2034">
        <v>2</v>
      </c>
      <c r="D2034">
        <v>1</v>
      </c>
      <c r="E2034" t="s">
        <v>267</v>
      </c>
      <c r="F2034" s="85" t="s">
        <v>333</v>
      </c>
      <c r="G2034"/>
      <c r="H2034" t="s">
        <v>294</v>
      </c>
      <c r="I2034" t="s">
        <v>225</v>
      </c>
      <c r="J2034" t="s">
        <v>178</v>
      </c>
      <c r="K2034" s="1">
        <v>14.89</v>
      </c>
      <c r="L2034" s="1">
        <v>0</v>
      </c>
      <c r="M2034" s="1">
        <v>0</v>
      </c>
      <c r="N2034" s="1">
        <v>14.89</v>
      </c>
      <c r="O2034" s="1">
        <v>1489</v>
      </c>
      <c r="P2034" s="1">
        <v>0</v>
      </c>
      <c r="Q2034" s="1">
        <v>0</v>
      </c>
      <c r="R2034" s="1">
        <v>1457.36</v>
      </c>
      <c r="S2034" t="s">
        <v>280</v>
      </c>
      <c r="T2034" s="13">
        <v>45858</v>
      </c>
      <c r="U2034" s="1" t="str">
        <f>IF(ESTIMATIVA[[#This Row],[QT_AREA_REAL]]&gt;0,"1- Colhido","2- à Colher")</f>
        <v>1- Colhido</v>
      </c>
      <c r="V2034" s="1" t="str">
        <f>IF(ESTIMATIVA[[#This Row],[QT_AREA_REST1]]&gt;0,"Reestimativa 1",IF(ESTIMATIVA[[#This Row],[QT_AREA_REAL]]=0,"Reestimativa 1","Realizado"))</f>
        <v>Realizado</v>
      </c>
      <c r="W2034" s="1" t="str">
        <f>IF(ESTIMATIVA[[#This Row],[QT_AREA_REST2]]&gt;0,"Reestimativa 2",IF(ESTIMATIVA[[#This Row],[QT_AREA_REAL]]=0,"Reestimativa 2","Realizado"))</f>
        <v>Realizado</v>
      </c>
      <c r="X2034" s="1">
        <f>ESTIMATIVA[[#This Row],[QT_AREA_EST]]</f>
        <v>14.89</v>
      </c>
      <c r="Y2034" s="1">
        <f>IF(ESTIMATIVA[[#This Row],[QT_AREA_REST1]]&gt;0,ESTIMATIVA[[#This Row],[QT_AREA_REST1]],
  IF(ESTIMATIVA[[#This Row],[QT_AREA_REAL]]&gt;0,ESTIMATIVA[[#This Row],[QT_AREA_REAL]],ESTIMATIVA[[#This Row],[QT_AREA_EST]]))</f>
        <v>14.89</v>
      </c>
      <c r="Z203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14.89</v>
      </c>
      <c r="AA2034" s="1">
        <f>ESTIMATIVA[[#This Row],[QT_CANA_EST]]</f>
        <v>1489</v>
      </c>
      <c r="AB2034" s="1">
        <f>IF(ESTIMATIVA[[#This Row],[QT_CANA_REST1]]&gt;0,ESTIMATIVA[[#This Row],[QT_CANA_REST1]],
  IF(ESTIMATIVA[[#This Row],[QT_CANA_REAL]]&gt;0,ESTIMATIVA[[#This Row],[QT_CANA_REAL]],ESTIMATIVA[[#This Row],[QT_CANA_EST]]))</f>
        <v>1457.36</v>
      </c>
      <c r="AC203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1457.36</v>
      </c>
      <c r="AD2034" s="1">
        <f>IF(ESTIMATIVA[[#This Row],[QT_AREA_REAL]]&gt;0,ESTIMATIVA[[#This Row],[QT_CANA_REAL]],ESTIMATIVA[[#This Row],[QT_CANA_EST]])</f>
        <v>1457.36</v>
      </c>
      <c r="AE2034" s="1">
        <f>IF(ESTIMATIVA[[#This Row],[QT_AREA_REAL]]&gt;0,ESTIMATIVA[[#This Row],[QT_CANA_REAL]],ESTIMATIVA[[#This Row],[QT_CANA_REST1]])</f>
        <v>1457.36</v>
      </c>
      <c r="AF2034" s="1">
        <f>IF(ESTIMATIVA[[#This Row],[QT_AREA_REAL]]&gt;0,ESTIMATIVA[[#This Row],[QT_CANA_REAL]],ESTIMATIVA[[#This Row],[QT_CANA_REST2]])</f>
        <v>1457.36</v>
      </c>
      <c r="AG2034" s="1" t="str">
        <f>IF(COUNTIFS(GEADA!A:A,VALUE(ESTIMATIVA[[#This Row],[CD_UPNIVEL1]]&amp;TEXT(ESTIMATIVA[[#This Row],[CD_UPNIVEL3]],"0000")))&gt;0,"S","N")</f>
        <v>N</v>
      </c>
      <c r="AH203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34" s="55" t="str">
        <f>IF(ESTIMATIVA[[#This Row],[TP_CULTIVO]]="Irrigado",_xlfn.MAXIFS(IRRIGADO!J:J,IRRIGADO!C:C,ESTIMATIVA[[#This Row],[CD_UPNIVEL1]],IRRIGADO!E:E,ESTIMATIVA[[#This Row],[CD_UPNIVEL3]]),"")</f>
        <v/>
      </c>
      <c r="AJ203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34" s="1">
        <f>COUNTIFS(Apresentação!$E$23:$E$29,ESTIMATIVA[[#This Row],[CD_UPNIVEL1]])</f>
        <v>0</v>
      </c>
    </row>
    <row r="2035" spans="1:37" x14ac:dyDescent="0.3">
      <c r="A2035">
        <v>30366</v>
      </c>
      <c r="B2035" t="s">
        <v>111</v>
      </c>
      <c r="C2035">
        <v>3</v>
      </c>
      <c r="D2035">
        <v>1</v>
      </c>
      <c r="E2035" t="s">
        <v>267</v>
      </c>
      <c r="F2035" s="85" t="s">
        <v>333</v>
      </c>
      <c r="G2035"/>
      <c r="H2035" t="s">
        <v>294</v>
      </c>
      <c r="I2035" t="s">
        <v>225</v>
      </c>
      <c r="J2035" t="s">
        <v>178</v>
      </c>
      <c r="K2035" s="1">
        <v>11.15</v>
      </c>
      <c r="L2035" s="1">
        <v>0</v>
      </c>
      <c r="M2035" s="1">
        <v>0</v>
      </c>
      <c r="N2035" s="1">
        <v>11.15</v>
      </c>
      <c r="O2035" s="1">
        <v>1115</v>
      </c>
      <c r="P2035" s="1">
        <v>0</v>
      </c>
      <c r="Q2035" s="1">
        <v>0</v>
      </c>
      <c r="R2035" s="1">
        <v>1091.29</v>
      </c>
      <c r="S2035" t="s">
        <v>280</v>
      </c>
      <c r="T2035" s="13">
        <v>45858</v>
      </c>
      <c r="U2035" s="1" t="str">
        <f>IF(ESTIMATIVA[[#This Row],[QT_AREA_REAL]]&gt;0,"1- Colhido","2- à Colher")</f>
        <v>1- Colhido</v>
      </c>
      <c r="V2035" s="1" t="str">
        <f>IF(ESTIMATIVA[[#This Row],[QT_AREA_REST1]]&gt;0,"Reestimativa 1",IF(ESTIMATIVA[[#This Row],[QT_AREA_REAL]]=0,"Reestimativa 1","Realizado"))</f>
        <v>Realizado</v>
      </c>
      <c r="W2035" s="1" t="str">
        <f>IF(ESTIMATIVA[[#This Row],[QT_AREA_REST2]]&gt;0,"Reestimativa 2",IF(ESTIMATIVA[[#This Row],[QT_AREA_REAL]]=0,"Reestimativa 2","Realizado"))</f>
        <v>Realizado</v>
      </c>
      <c r="X2035" s="1">
        <f>ESTIMATIVA[[#This Row],[QT_AREA_EST]]</f>
        <v>11.15</v>
      </c>
      <c r="Y2035" s="1">
        <f>IF(ESTIMATIVA[[#This Row],[QT_AREA_REST1]]&gt;0,ESTIMATIVA[[#This Row],[QT_AREA_REST1]],
  IF(ESTIMATIVA[[#This Row],[QT_AREA_REAL]]&gt;0,ESTIMATIVA[[#This Row],[QT_AREA_REAL]],ESTIMATIVA[[#This Row],[QT_AREA_EST]]))</f>
        <v>11.15</v>
      </c>
      <c r="Z203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11.15</v>
      </c>
      <c r="AA2035" s="1">
        <f>ESTIMATIVA[[#This Row],[QT_CANA_EST]]</f>
        <v>1115</v>
      </c>
      <c r="AB2035" s="1">
        <f>IF(ESTIMATIVA[[#This Row],[QT_CANA_REST1]]&gt;0,ESTIMATIVA[[#This Row],[QT_CANA_REST1]],
  IF(ESTIMATIVA[[#This Row],[QT_CANA_REAL]]&gt;0,ESTIMATIVA[[#This Row],[QT_CANA_REAL]],ESTIMATIVA[[#This Row],[QT_CANA_EST]]))</f>
        <v>1091.29</v>
      </c>
      <c r="AC203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1091.29</v>
      </c>
      <c r="AD2035" s="1">
        <f>IF(ESTIMATIVA[[#This Row],[QT_AREA_REAL]]&gt;0,ESTIMATIVA[[#This Row],[QT_CANA_REAL]],ESTIMATIVA[[#This Row],[QT_CANA_EST]])</f>
        <v>1091.29</v>
      </c>
      <c r="AE2035" s="1">
        <f>IF(ESTIMATIVA[[#This Row],[QT_AREA_REAL]]&gt;0,ESTIMATIVA[[#This Row],[QT_CANA_REAL]],ESTIMATIVA[[#This Row],[QT_CANA_REST1]])</f>
        <v>1091.29</v>
      </c>
      <c r="AF2035" s="1">
        <f>IF(ESTIMATIVA[[#This Row],[QT_AREA_REAL]]&gt;0,ESTIMATIVA[[#This Row],[QT_CANA_REAL]],ESTIMATIVA[[#This Row],[QT_CANA_REST2]])</f>
        <v>1091.29</v>
      </c>
      <c r="AG2035" s="1" t="str">
        <f>IF(COUNTIFS(GEADA!A:A,VALUE(ESTIMATIVA[[#This Row],[CD_UPNIVEL1]]&amp;TEXT(ESTIMATIVA[[#This Row],[CD_UPNIVEL3]],"0000")))&gt;0,"S","N")</f>
        <v>N</v>
      </c>
      <c r="AH203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35" s="55" t="str">
        <f>IF(ESTIMATIVA[[#This Row],[TP_CULTIVO]]="Irrigado",_xlfn.MAXIFS(IRRIGADO!J:J,IRRIGADO!C:C,ESTIMATIVA[[#This Row],[CD_UPNIVEL1]],IRRIGADO!E:E,ESTIMATIVA[[#This Row],[CD_UPNIVEL3]]),"")</f>
        <v/>
      </c>
      <c r="AJ203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35" s="1">
        <f>COUNTIFS(Apresentação!$E$23:$E$29,ESTIMATIVA[[#This Row],[CD_UPNIVEL1]])</f>
        <v>0</v>
      </c>
    </row>
    <row r="2036" spans="1:37" x14ac:dyDescent="0.3">
      <c r="A2036">
        <v>30366</v>
      </c>
      <c r="B2036" t="s">
        <v>111</v>
      </c>
      <c r="C2036">
        <v>4</v>
      </c>
      <c r="D2036">
        <v>1</v>
      </c>
      <c r="E2036" t="s">
        <v>267</v>
      </c>
      <c r="F2036" s="85" t="s">
        <v>333</v>
      </c>
      <c r="G2036"/>
      <c r="H2036" t="s">
        <v>294</v>
      </c>
      <c r="I2036" t="s">
        <v>225</v>
      </c>
      <c r="J2036" t="s">
        <v>178</v>
      </c>
      <c r="K2036" s="1">
        <v>5.56</v>
      </c>
      <c r="L2036" s="1">
        <v>0</v>
      </c>
      <c r="M2036" s="1">
        <v>0</v>
      </c>
      <c r="N2036" s="1">
        <v>5.56</v>
      </c>
      <c r="O2036" s="1">
        <v>556</v>
      </c>
      <c r="P2036" s="1">
        <v>0</v>
      </c>
      <c r="Q2036" s="1">
        <v>0</v>
      </c>
      <c r="R2036" s="1">
        <v>544.12</v>
      </c>
      <c r="S2036" t="s">
        <v>280</v>
      </c>
      <c r="T2036" s="13">
        <v>45858</v>
      </c>
      <c r="U2036" s="1" t="str">
        <f>IF(ESTIMATIVA[[#This Row],[QT_AREA_REAL]]&gt;0,"1- Colhido","2- à Colher")</f>
        <v>1- Colhido</v>
      </c>
      <c r="V2036" s="1" t="str">
        <f>IF(ESTIMATIVA[[#This Row],[QT_AREA_REST1]]&gt;0,"Reestimativa 1",IF(ESTIMATIVA[[#This Row],[QT_AREA_REAL]]=0,"Reestimativa 1","Realizado"))</f>
        <v>Realizado</v>
      </c>
      <c r="W2036" s="1" t="str">
        <f>IF(ESTIMATIVA[[#This Row],[QT_AREA_REST2]]&gt;0,"Reestimativa 2",IF(ESTIMATIVA[[#This Row],[QT_AREA_REAL]]=0,"Reestimativa 2","Realizado"))</f>
        <v>Realizado</v>
      </c>
      <c r="X2036" s="1">
        <f>ESTIMATIVA[[#This Row],[QT_AREA_EST]]</f>
        <v>5.56</v>
      </c>
      <c r="Y2036" s="1">
        <f>IF(ESTIMATIVA[[#This Row],[QT_AREA_REST1]]&gt;0,ESTIMATIVA[[#This Row],[QT_AREA_REST1]],
  IF(ESTIMATIVA[[#This Row],[QT_AREA_REAL]]&gt;0,ESTIMATIVA[[#This Row],[QT_AREA_REAL]],ESTIMATIVA[[#This Row],[QT_AREA_EST]]))</f>
        <v>5.56</v>
      </c>
      <c r="Z203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5.56</v>
      </c>
      <c r="AA2036" s="1">
        <f>ESTIMATIVA[[#This Row],[QT_CANA_EST]]</f>
        <v>556</v>
      </c>
      <c r="AB2036" s="1">
        <f>IF(ESTIMATIVA[[#This Row],[QT_CANA_REST1]]&gt;0,ESTIMATIVA[[#This Row],[QT_CANA_REST1]],
  IF(ESTIMATIVA[[#This Row],[QT_CANA_REAL]]&gt;0,ESTIMATIVA[[#This Row],[QT_CANA_REAL]],ESTIMATIVA[[#This Row],[QT_CANA_EST]]))</f>
        <v>544.12</v>
      </c>
      <c r="AC203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544.12</v>
      </c>
      <c r="AD2036" s="1">
        <f>IF(ESTIMATIVA[[#This Row],[QT_AREA_REAL]]&gt;0,ESTIMATIVA[[#This Row],[QT_CANA_REAL]],ESTIMATIVA[[#This Row],[QT_CANA_EST]])</f>
        <v>544.12</v>
      </c>
      <c r="AE2036" s="1">
        <f>IF(ESTIMATIVA[[#This Row],[QT_AREA_REAL]]&gt;0,ESTIMATIVA[[#This Row],[QT_CANA_REAL]],ESTIMATIVA[[#This Row],[QT_CANA_REST1]])</f>
        <v>544.12</v>
      </c>
      <c r="AF2036" s="1">
        <f>IF(ESTIMATIVA[[#This Row],[QT_AREA_REAL]]&gt;0,ESTIMATIVA[[#This Row],[QT_CANA_REAL]],ESTIMATIVA[[#This Row],[QT_CANA_REST2]])</f>
        <v>544.12</v>
      </c>
      <c r="AG2036" s="1" t="str">
        <f>IF(COUNTIFS(GEADA!A:A,VALUE(ESTIMATIVA[[#This Row],[CD_UPNIVEL1]]&amp;TEXT(ESTIMATIVA[[#This Row],[CD_UPNIVEL3]],"0000")))&gt;0,"S","N")</f>
        <v>N</v>
      </c>
      <c r="AH203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36" s="55" t="str">
        <f>IF(ESTIMATIVA[[#This Row],[TP_CULTIVO]]="Irrigado",_xlfn.MAXIFS(IRRIGADO!J:J,IRRIGADO!C:C,ESTIMATIVA[[#This Row],[CD_UPNIVEL1]],IRRIGADO!E:E,ESTIMATIVA[[#This Row],[CD_UPNIVEL3]]),"")</f>
        <v/>
      </c>
      <c r="AJ203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36" s="1">
        <f>COUNTIFS(Apresentação!$E$23:$E$29,ESTIMATIVA[[#This Row],[CD_UPNIVEL1]])</f>
        <v>0</v>
      </c>
    </row>
    <row r="2037" spans="1:37" x14ac:dyDescent="0.3">
      <c r="A2037">
        <v>30366</v>
      </c>
      <c r="B2037" t="s">
        <v>111</v>
      </c>
      <c r="C2037">
        <v>5</v>
      </c>
      <c r="D2037">
        <v>1</v>
      </c>
      <c r="E2037" t="s">
        <v>267</v>
      </c>
      <c r="F2037" s="85" t="s">
        <v>333</v>
      </c>
      <c r="G2037"/>
      <c r="H2037" t="s">
        <v>294</v>
      </c>
      <c r="I2037" t="s">
        <v>225</v>
      </c>
      <c r="J2037" t="s">
        <v>178</v>
      </c>
      <c r="K2037" s="1">
        <v>7.56</v>
      </c>
      <c r="L2037" s="1">
        <v>0</v>
      </c>
      <c r="M2037" s="1">
        <v>0</v>
      </c>
      <c r="N2037" s="1">
        <v>7.56</v>
      </c>
      <c r="O2037" s="1">
        <v>756</v>
      </c>
      <c r="P2037" s="1">
        <v>0</v>
      </c>
      <c r="Q2037" s="1">
        <v>0</v>
      </c>
      <c r="R2037" s="1">
        <v>740.36</v>
      </c>
      <c r="S2037" t="s">
        <v>280</v>
      </c>
      <c r="T2037" s="13">
        <v>45858</v>
      </c>
      <c r="U2037" s="1" t="str">
        <f>IF(ESTIMATIVA[[#This Row],[QT_AREA_REAL]]&gt;0,"1- Colhido","2- à Colher")</f>
        <v>1- Colhido</v>
      </c>
      <c r="V2037" s="1" t="str">
        <f>IF(ESTIMATIVA[[#This Row],[QT_AREA_REST1]]&gt;0,"Reestimativa 1",IF(ESTIMATIVA[[#This Row],[QT_AREA_REAL]]=0,"Reestimativa 1","Realizado"))</f>
        <v>Realizado</v>
      </c>
      <c r="W2037" s="1" t="str">
        <f>IF(ESTIMATIVA[[#This Row],[QT_AREA_REST2]]&gt;0,"Reestimativa 2",IF(ESTIMATIVA[[#This Row],[QT_AREA_REAL]]=0,"Reestimativa 2","Realizado"))</f>
        <v>Realizado</v>
      </c>
      <c r="X2037" s="1">
        <f>ESTIMATIVA[[#This Row],[QT_AREA_EST]]</f>
        <v>7.56</v>
      </c>
      <c r="Y2037" s="1">
        <f>IF(ESTIMATIVA[[#This Row],[QT_AREA_REST1]]&gt;0,ESTIMATIVA[[#This Row],[QT_AREA_REST1]],
  IF(ESTIMATIVA[[#This Row],[QT_AREA_REAL]]&gt;0,ESTIMATIVA[[#This Row],[QT_AREA_REAL]],ESTIMATIVA[[#This Row],[QT_AREA_EST]]))</f>
        <v>7.56</v>
      </c>
      <c r="Z203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7.56</v>
      </c>
      <c r="AA2037" s="1">
        <f>ESTIMATIVA[[#This Row],[QT_CANA_EST]]</f>
        <v>756</v>
      </c>
      <c r="AB2037" s="1">
        <f>IF(ESTIMATIVA[[#This Row],[QT_CANA_REST1]]&gt;0,ESTIMATIVA[[#This Row],[QT_CANA_REST1]],
  IF(ESTIMATIVA[[#This Row],[QT_CANA_REAL]]&gt;0,ESTIMATIVA[[#This Row],[QT_CANA_REAL]],ESTIMATIVA[[#This Row],[QT_CANA_EST]]))</f>
        <v>740.36</v>
      </c>
      <c r="AC203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740.36</v>
      </c>
      <c r="AD2037" s="1">
        <f>IF(ESTIMATIVA[[#This Row],[QT_AREA_REAL]]&gt;0,ESTIMATIVA[[#This Row],[QT_CANA_REAL]],ESTIMATIVA[[#This Row],[QT_CANA_EST]])</f>
        <v>740.36</v>
      </c>
      <c r="AE2037" s="1">
        <f>IF(ESTIMATIVA[[#This Row],[QT_AREA_REAL]]&gt;0,ESTIMATIVA[[#This Row],[QT_CANA_REAL]],ESTIMATIVA[[#This Row],[QT_CANA_REST1]])</f>
        <v>740.36</v>
      </c>
      <c r="AF2037" s="1">
        <f>IF(ESTIMATIVA[[#This Row],[QT_AREA_REAL]]&gt;0,ESTIMATIVA[[#This Row],[QT_CANA_REAL]],ESTIMATIVA[[#This Row],[QT_CANA_REST2]])</f>
        <v>740.36</v>
      </c>
      <c r="AG2037" s="1" t="str">
        <f>IF(COUNTIFS(GEADA!A:A,VALUE(ESTIMATIVA[[#This Row],[CD_UPNIVEL1]]&amp;TEXT(ESTIMATIVA[[#This Row],[CD_UPNIVEL3]],"0000")))&gt;0,"S","N")</f>
        <v>N</v>
      </c>
      <c r="AH203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37" s="55" t="str">
        <f>IF(ESTIMATIVA[[#This Row],[TP_CULTIVO]]="Irrigado",_xlfn.MAXIFS(IRRIGADO!J:J,IRRIGADO!C:C,ESTIMATIVA[[#This Row],[CD_UPNIVEL1]],IRRIGADO!E:E,ESTIMATIVA[[#This Row],[CD_UPNIVEL3]]),"")</f>
        <v/>
      </c>
      <c r="AJ203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37" s="1">
        <f>COUNTIFS(Apresentação!$E$23:$E$29,ESTIMATIVA[[#This Row],[CD_UPNIVEL1]])</f>
        <v>0</v>
      </c>
    </row>
    <row r="2038" spans="1:37" x14ac:dyDescent="0.3">
      <c r="A2038">
        <v>30473</v>
      </c>
      <c r="B2038" t="s">
        <v>112</v>
      </c>
      <c r="C2038">
        <v>1</v>
      </c>
      <c r="D2038">
        <v>1</v>
      </c>
      <c r="E2038" t="s">
        <v>264</v>
      </c>
      <c r="F2038" s="85" t="s">
        <v>333</v>
      </c>
      <c r="G2038"/>
      <c r="H2038" t="s">
        <v>294</v>
      </c>
      <c r="I2038" t="s">
        <v>225</v>
      </c>
      <c r="J2038" t="s">
        <v>178</v>
      </c>
      <c r="K2038" s="1">
        <v>8.49</v>
      </c>
      <c r="L2038" s="1">
        <v>0</v>
      </c>
      <c r="M2038" s="1">
        <v>0</v>
      </c>
      <c r="N2038" s="1">
        <v>8.49</v>
      </c>
      <c r="O2038" s="1">
        <v>976.35</v>
      </c>
      <c r="P2038" s="1">
        <v>0</v>
      </c>
      <c r="Q2038" s="1">
        <v>0</v>
      </c>
      <c r="R2038" s="1">
        <v>963.57</v>
      </c>
      <c r="S2038" t="s">
        <v>280</v>
      </c>
      <c r="T2038" s="13">
        <v>45872</v>
      </c>
      <c r="U2038" s="1" t="str">
        <f>IF(ESTIMATIVA[[#This Row],[QT_AREA_REAL]]&gt;0,"1- Colhido","2- à Colher")</f>
        <v>1- Colhido</v>
      </c>
      <c r="V2038" s="1" t="str">
        <f>IF(ESTIMATIVA[[#This Row],[QT_AREA_REST1]]&gt;0,"Reestimativa 1",IF(ESTIMATIVA[[#This Row],[QT_AREA_REAL]]=0,"Reestimativa 1","Realizado"))</f>
        <v>Realizado</v>
      </c>
      <c r="W2038" s="1" t="str">
        <f>IF(ESTIMATIVA[[#This Row],[QT_AREA_REST2]]&gt;0,"Reestimativa 2",IF(ESTIMATIVA[[#This Row],[QT_AREA_REAL]]=0,"Reestimativa 2","Realizado"))</f>
        <v>Realizado</v>
      </c>
      <c r="X2038" s="1">
        <f>ESTIMATIVA[[#This Row],[QT_AREA_EST]]</f>
        <v>8.49</v>
      </c>
      <c r="Y2038" s="1">
        <f>IF(ESTIMATIVA[[#This Row],[QT_AREA_REST1]]&gt;0,ESTIMATIVA[[#This Row],[QT_AREA_REST1]],
  IF(ESTIMATIVA[[#This Row],[QT_AREA_REAL]]&gt;0,ESTIMATIVA[[#This Row],[QT_AREA_REAL]],ESTIMATIVA[[#This Row],[QT_AREA_EST]]))</f>
        <v>8.49</v>
      </c>
      <c r="Z203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8.49</v>
      </c>
      <c r="AA2038" s="1">
        <f>ESTIMATIVA[[#This Row],[QT_CANA_EST]]</f>
        <v>976.35</v>
      </c>
      <c r="AB2038" s="1">
        <f>IF(ESTIMATIVA[[#This Row],[QT_CANA_REST1]]&gt;0,ESTIMATIVA[[#This Row],[QT_CANA_REST1]],
  IF(ESTIMATIVA[[#This Row],[QT_CANA_REAL]]&gt;0,ESTIMATIVA[[#This Row],[QT_CANA_REAL]],ESTIMATIVA[[#This Row],[QT_CANA_EST]]))</f>
        <v>963.57</v>
      </c>
      <c r="AC203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963.57</v>
      </c>
      <c r="AD2038" s="1">
        <f>IF(ESTIMATIVA[[#This Row],[QT_AREA_REAL]]&gt;0,ESTIMATIVA[[#This Row],[QT_CANA_REAL]],ESTIMATIVA[[#This Row],[QT_CANA_EST]])</f>
        <v>963.57</v>
      </c>
      <c r="AE2038" s="1">
        <f>IF(ESTIMATIVA[[#This Row],[QT_AREA_REAL]]&gt;0,ESTIMATIVA[[#This Row],[QT_CANA_REAL]],ESTIMATIVA[[#This Row],[QT_CANA_REST1]])</f>
        <v>963.57</v>
      </c>
      <c r="AF2038" s="1">
        <f>IF(ESTIMATIVA[[#This Row],[QT_AREA_REAL]]&gt;0,ESTIMATIVA[[#This Row],[QT_CANA_REAL]],ESTIMATIVA[[#This Row],[QT_CANA_REST2]])</f>
        <v>963.57</v>
      </c>
      <c r="AG2038" s="1" t="str">
        <f>IF(COUNTIFS(GEADA!A:A,VALUE(ESTIMATIVA[[#This Row],[CD_UPNIVEL1]]&amp;TEXT(ESTIMATIVA[[#This Row],[CD_UPNIVEL3]],"0000")))&gt;0,"S","N")</f>
        <v>N</v>
      </c>
      <c r="AH203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38" s="55" t="str">
        <f>IF(ESTIMATIVA[[#This Row],[TP_CULTIVO]]="Irrigado",_xlfn.MAXIFS(IRRIGADO!J:J,IRRIGADO!C:C,ESTIMATIVA[[#This Row],[CD_UPNIVEL1]],IRRIGADO!E:E,ESTIMATIVA[[#This Row],[CD_UPNIVEL3]]),"")</f>
        <v/>
      </c>
      <c r="AJ203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38" s="1">
        <f>COUNTIFS(Apresentação!$E$23:$E$29,ESTIMATIVA[[#This Row],[CD_UPNIVEL1]])</f>
        <v>0</v>
      </c>
    </row>
    <row r="2039" spans="1:37" x14ac:dyDescent="0.3">
      <c r="A2039">
        <v>30473</v>
      </c>
      <c r="B2039" t="s">
        <v>112</v>
      </c>
      <c r="C2039">
        <v>2</v>
      </c>
      <c r="D2039">
        <v>1</v>
      </c>
      <c r="E2039" t="s">
        <v>264</v>
      </c>
      <c r="F2039" s="85" t="s">
        <v>333</v>
      </c>
      <c r="G2039"/>
      <c r="H2039" t="s">
        <v>294</v>
      </c>
      <c r="I2039" t="s">
        <v>225</v>
      </c>
      <c r="J2039" t="s">
        <v>178</v>
      </c>
      <c r="K2039" s="1">
        <v>2.69</v>
      </c>
      <c r="L2039" s="1">
        <v>0</v>
      </c>
      <c r="M2039" s="1">
        <v>0</v>
      </c>
      <c r="N2039" s="1">
        <v>2.69</v>
      </c>
      <c r="O2039" s="1">
        <v>309.35000000000002</v>
      </c>
      <c r="P2039" s="1">
        <v>0</v>
      </c>
      <c r="Q2039" s="1">
        <v>0</v>
      </c>
      <c r="R2039" s="1">
        <v>304.99</v>
      </c>
      <c r="S2039" t="s">
        <v>280</v>
      </c>
      <c r="T2039" s="13">
        <v>45872</v>
      </c>
      <c r="U2039" s="1" t="str">
        <f>IF(ESTIMATIVA[[#This Row],[QT_AREA_REAL]]&gt;0,"1- Colhido","2- à Colher")</f>
        <v>1- Colhido</v>
      </c>
      <c r="V2039" s="1" t="str">
        <f>IF(ESTIMATIVA[[#This Row],[QT_AREA_REST1]]&gt;0,"Reestimativa 1",IF(ESTIMATIVA[[#This Row],[QT_AREA_REAL]]=0,"Reestimativa 1","Realizado"))</f>
        <v>Realizado</v>
      </c>
      <c r="W2039" s="1" t="str">
        <f>IF(ESTIMATIVA[[#This Row],[QT_AREA_REST2]]&gt;0,"Reestimativa 2",IF(ESTIMATIVA[[#This Row],[QT_AREA_REAL]]=0,"Reestimativa 2","Realizado"))</f>
        <v>Realizado</v>
      </c>
      <c r="X2039" s="1">
        <f>ESTIMATIVA[[#This Row],[QT_AREA_EST]]</f>
        <v>2.69</v>
      </c>
      <c r="Y2039" s="1">
        <f>IF(ESTIMATIVA[[#This Row],[QT_AREA_REST1]]&gt;0,ESTIMATIVA[[#This Row],[QT_AREA_REST1]],
  IF(ESTIMATIVA[[#This Row],[QT_AREA_REAL]]&gt;0,ESTIMATIVA[[#This Row],[QT_AREA_REAL]],ESTIMATIVA[[#This Row],[QT_AREA_EST]]))</f>
        <v>2.69</v>
      </c>
      <c r="Z203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2.69</v>
      </c>
      <c r="AA2039" s="1">
        <f>ESTIMATIVA[[#This Row],[QT_CANA_EST]]</f>
        <v>309.35000000000002</v>
      </c>
      <c r="AB2039" s="1">
        <f>IF(ESTIMATIVA[[#This Row],[QT_CANA_REST1]]&gt;0,ESTIMATIVA[[#This Row],[QT_CANA_REST1]],
  IF(ESTIMATIVA[[#This Row],[QT_CANA_REAL]]&gt;0,ESTIMATIVA[[#This Row],[QT_CANA_REAL]],ESTIMATIVA[[#This Row],[QT_CANA_EST]]))</f>
        <v>304.99</v>
      </c>
      <c r="AC203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304.99</v>
      </c>
      <c r="AD2039" s="1">
        <f>IF(ESTIMATIVA[[#This Row],[QT_AREA_REAL]]&gt;0,ESTIMATIVA[[#This Row],[QT_CANA_REAL]],ESTIMATIVA[[#This Row],[QT_CANA_EST]])</f>
        <v>304.99</v>
      </c>
      <c r="AE2039" s="1">
        <f>IF(ESTIMATIVA[[#This Row],[QT_AREA_REAL]]&gt;0,ESTIMATIVA[[#This Row],[QT_CANA_REAL]],ESTIMATIVA[[#This Row],[QT_CANA_REST1]])</f>
        <v>304.99</v>
      </c>
      <c r="AF2039" s="1">
        <f>IF(ESTIMATIVA[[#This Row],[QT_AREA_REAL]]&gt;0,ESTIMATIVA[[#This Row],[QT_CANA_REAL]],ESTIMATIVA[[#This Row],[QT_CANA_REST2]])</f>
        <v>304.99</v>
      </c>
      <c r="AG2039" s="1" t="str">
        <f>IF(COUNTIFS(GEADA!A:A,VALUE(ESTIMATIVA[[#This Row],[CD_UPNIVEL1]]&amp;TEXT(ESTIMATIVA[[#This Row],[CD_UPNIVEL3]],"0000")))&gt;0,"S","N")</f>
        <v>N</v>
      </c>
      <c r="AH203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39" s="55" t="str">
        <f>IF(ESTIMATIVA[[#This Row],[TP_CULTIVO]]="Irrigado",_xlfn.MAXIFS(IRRIGADO!J:J,IRRIGADO!C:C,ESTIMATIVA[[#This Row],[CD_UPNIVEL1]],IRRIGADO!E:E,ESTIMATIVA[[#This Row],[CD_UPNIVEL3]]),"")</f>
        <v/>
      </c>
      <c r="AJ203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39" s="1">
        <f>COUNTIFS(Apresentação!$E$23:$E$29,ESTIMATIVA[[#This Row],[CD_UPNIVEL1]])</f>
        <v>0</v>
      </c>
    </row>
    <row r="2040" spans="1:37" x14ac:dyDescent="0.3">
      <c r="A2040">
        <v>30473</v>
      </c>
      <c r="B2040" t="s">
        <v>112</v>
      </c>
      <c r="C2040">
        <v>3</v>
      </c>
      <c r="D2040">
        <v>1</v>
      </c>
      <c r="E2040" t="s">
        <v>267</v>
      </c>
      <c r="F2040" s="85" t="s">
        <v>333</v>
      </c>
      <c r="G2040"/>
      <c r="H2040" t="s">
        <v>294</v>
      </c>
      <c r="I2040" t="s">
        <v>225</v>
      </c>
      <c r="J2040" t="s">
        <v>178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/>
      <c r="S2040" t="s">
        <v>280</v>
      </c>
      <c r="T2040" s="13">
        <v>45865</v>
      </c>
      <c r="U2040" s="1" t="str">
        <f>IF(ESTIMATIVA[[#This Row],[QT_AREA_REAL]]&gt;0,"1- Colhido","2- à Colher")</f>
        <v>2- à Colher</v>
      </c>
      <c r="V2040" s="1" t="str">
        <f>IF(ESTIMATIVA[[#This Row],[QT_AREA_REST1]]&gt;0,"Reestimativa 1",IF(ESTIMATIVA[[#This Row],[QT_AREA_REAL]]=0,"Reestimativa 1","Realizado"))</f>
        <v>Reestimativa 1</v>
      </c>
      <c r="W2040" s="1" t="str">
        <f>IF(ESTIMATIVA[[#This Row],[QT_AREA_REST2]]&gt;0,"Reestimativa 2",IF(ESTIMATIVA[[#This Row],[QT_AREA_REAL]]=0,"Reestimativa 2","Realizado"))</f>
        <v>Reestimativa 2</v>
      </c>
      <c r="X2040" s="1">
        <f>ESTIMATIVA[[#This Row],[QT_AREA_EST]]</f>
        <v>0</v>
      </c>
      <c r="Y2040" s="1">
        <f>IF(ESTIMATIVA[[#This Row],[QT_AREA_REST1]]&gt;0,ESTIMATIVA[[#This Row],[QT_AREA_REST1]],
  IF(ESTIMATIVA[[#This Row],[QT_AREA_REAL]]&gt;0,ESTIMATIVA[[#This Row],[QT_AREA_REAL]],ESTIMATIVA[[#This Row],[QT_AREA_EST]]))</f>
        <v>0</v>
      </c>
      <c r="Z204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</v>
      </c>
      <c r="AA2040" s="1">
        <f>ESTIMATIVA[[#This Row],[QT_CANA_EST]]</f>
        <v>0</v>
      </c>
      <c r="AB2040" s="1">
        <f>IF(ESTIMATIVA[[#This Row],[QT_CANA_REST1]]&gt;0,ESTIMATIVA[[#This Row],[QT_CANA_REST1]],
  IF(ESTIMATIVA[[#This Row],[QT_CANA_REAL]]&gt;0,ESTIMATIVA[[#This Row],[QT_CANA_REAL]],ESTIMATIVA[[#This Row],[QT_CANA_EST]]))</f>
        <v>0</v>
      </c>
      <c r="AC204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0</v>
      </c>
      <c r="AD2040" s="1">
        <f>IF(ESTIMATIVA[[#This Row],[QT_AREA_REAL]]&gt;0,ESTIMATIVA[[#This Row],[QT_CANA_REAL]],ESTIMATIVA[[#This Row],[QT_CANA_EST]])</f>
        <v>0</v>
      </c>
      <c r="AE2040" s="1">
        <f>IF(ESTIMATIVA[[#This Row],[QT_AREA_REAL]]&gt;0,ESTIMATIVA[[#This Row],[QT_CANA_REAL]],ESTIMATIVA[[#This Row],[QT_CANA_REST1]])</f>
        <v>0</v>
      </c>
      <c r="AF2040" s="1">
        <f>IF(ESTIMATIVA[[#This Row],[QT_AREA_REAL]]&gt;0,ESTIMATIVA[[#This Row],[QT_CANA_REAL]],ESTIMATIVA[[#This Row],[QT_CANA_REST2]])</f>
        <v>0</v>
      </c>
      <c r="AG2040" s="1" t="str">
        <f>IF(COUNTIFS(GEADA!A:A,VALUE(ESTIMATIVA[[#This Row],[CD_UPNIVEL1]]&amp;TEXT(ESTIMATIVA[[#This Row],[CD_UPNIVEL3]],"0000")))&gt;0,"S","N")</f>
        <v>N</v>
      </c>
      <c r="AH204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40" s="55" t="str">
        <f>IF(ESTIMATIVA[[#This Row],[TP_CULTIVO]]="Irrigado",_xlfn.MAXIFS(IRRIGADO!J:J,IRRIGADO!C:C,ESTIMATIVA[[#This Row],[CD_UPNIVEL1]],IRRIGADO!E:E,ESTIMATIVA[[#This Row],[CD_UPNIVEL3]]),"")</f>
        <v/>
      </c>
      <c r="AJ204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40" s="1">
        <f>COUNTIFS(Apresentação!$E$23:$E$29,ESTIMATIVA[[#This Row],[CD_UPNIVEL1]])</f>
        <v>0</v>
      </c>
    </row>
    <row r="2041" spans="1:37" x14ac:dyDescent="0.3">
      <c r="A2041">
        <v>30473</v>
      </c>
      <c r="B2041" t="s">
        <v>112</v>
      </c>
      <c r="C2041">
        <v>4</v>
      </c>
      <c r="D2041">
        <v>1</v>
      </c>
      <c r="E2041" t="s">
        <v>264</v>
      </c>
      <c r="F2041" s="85" t="s">
        <v>333</v>
      </c>
      <c r="G2041"/>
      <c r="H2041" t="s">
        <v>294</v>
      </c>
      <c r="I2041" t="s">
        <v>225</v>
      </c>
      <c r="J2041" t="s">
        <v>178</v>
      </c>
      <c r="K2041" s="1">
        <v>10.06</v>
      </c>
      <c r="L2041" s="1">
        <v>0</v>
      </c>
      <c r="M2041" s="1">
        <v>0</v>
      </c>
      <c r="N2041" s="1">
        <v>10.06</v>
      </c>
      <c r="O2041" s="1">
        <v>1156.9000000000001</v>
      </c>
      <c r="P2041" s="1">
        <v>0</v>
      </c>
      <c r="Q2041" s="1">
        <v>0</v>
      </c>
      <c r="R2041" s="1">
        <v>1142.28</v>
      </c>
      <c r="S2041" t="s">
        <v>280</v>
      </c>
      <c r="T2041" s="13">
        <v>45872</v>
      </c>
      <c r="U2041" s="1" t="str">
        <f>IF(ESTIMATIVA[[#This Row],[QT_AREA_REAL]]&gt;0,"1- Colhido","2- à Colher")</f>
        <v>1- Colhido</v>
      </c>
      <c r="V2041" s="1" t="str">
        <f>IF(ESTIMATIVA[[#This Row],[QT_AREA_REST1]]&gt;0,"Reestimativa 1",IF(ESTIMATIVA[[#This Row],[QT_AREA_REAL]]=0,"Reestimativa 1","Realizado"))</f>
        <v>Realizado</v>
      </c>
      <c r="W2041" s="1" t="str">
        <f>IF(ESTIMATIVA[[#This Row],[QT_AREA_REST2]]&gt;0,"Reestimativa 2",IF(ESTIMATIVA[[#This Row],[QT_AREA_REAL]]=0,"Reestimativa 2","Realizado"))</f>
        <v>Realizado</v>
      </c>
      <c r="X2041" s="1">
        <f>ESTIMATIVA[[#This Row],[QT_AREA_EST]]</f>
        <v>10.06</v>
      </c>
      <c r="Y2041" s="1">
        <f>IF(ESTIMATIVA[[#This Row],[QT_AREA_REST1]]&gt;0,ESTIMATIVA[[#This Row],[QT_AREA_REST1]],
  IF(ESTIMATIVA[[#This Row],[QT_AREA_REAL]]&gt;0,ESTIMATIVA[[#This Row],[QT_AREA_REAL]],ESTIMATIVA[[#This Row],[QT_AREA_EST]]))</f>
        <v>10.06</v>
      </c>
      <c r="Z204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10.06</v>
      </c>
      <c r="AA2041" s="1">
        <f>ESTIMATIVA[[#This Row],[QT_CANA_EST]]</f>
        <v>1156.9000000000001</v>
      </c>
      <c r="AB2041" s="1">
        <f>IF(ESTIMATIVA[[#This Row],[QT_CANA_REST1]]&gt;0,ESTIMATIVA[[#This Row],[QT_CANA_REST1]],
  IF(ESTIMATIVA[[#This Row],[QT_CANA_REAL]]&gt;0,ESTIMATIVA[[#This Row],[QT_CANA_REAL]],ESTIMATIVA[[#This Row],[QT_CANA_EST]]))</f>
        <v>1142.28</v>
      </c>
      <c r="AC204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1142.28</v>
      </c>
      <c r="AD2041" s="1">
        <f>IF(ESTIMATIVA[[#This Row],[QT_AREA_REAL]]&gt;0,ESTIMATIVA[[#This Row],[QT_CANA_REAL]],ESTIMATIVA[[#This Row],[QT_CANA_EST]])</f>
        <v>1142.28</v>
      </c>
      <c r="AE2041" s="1">
        <f>IF(ESTIMATIVA[[#This Row],[QT_AREA_REAL]]&gt;0,ESTIMATIVA[[#This Row],[QT_CANA_REAL]],ESTIMATIVA[[#This Row],[QT_CANA_REST1]])</f>
        <v>1142.28</v>
      </c>
      <c r="AF2041" s="1">
        <f>IF(ESTIMATIVA[[#This Row],[QT_AREA_REAL]]&gt;0,ESTIMATIVA[[#This Row],[QT_CANA_REAL]],ESTIMATIVA[[#This Row],[QT_CANA_REST2]])</f>
        <v>1142.28</v>
      </c>
      <c r="AG2041" s="1" t="str">
        <f>IF(COUNTIFS(GEADA!A:A,VALUE(ESTIMATIVA[[#This Row],[CD_UPNIVEL1]]&amp;TEXT(ESTIMATIVA[[#This Row],[CD_UPNIVEL3]],"0000")))&gt;0,"S","N")</f>
        <v>N</v>
      </c>
      <c r="AH204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41" s="55" t="str">
        <f>IF(ESTIMATIVA[[#This Row],[TP_CULTIVO]]="Irrigado",_xlfn.MAXIFS(IRRIGADO!J:J,IRRIGADO!C:C,ESTIMATIVA[[#This Row],[CD_UPNIVEL1]],IRRIGADO!E:E,ESTIMATIVA[[#This Row],[CD_UPNIVEL3]]),"")</f>
        <v/>
      </c>
      <c r="AJ204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41" s="1">
        <f>COUNTIFS(Apresentação!$E$23:$E$29,ESTIMATIVA[[#This Row],[CD_UPNIVEL1]])</f>
        <v>0</v>
      </c>
    </row>
    <row r="2042" spans="1:37" x14ac:dyDescent="0.3">
      <c r="A2042">
        <v>30473</v>
      </c>
      <c r="B2042" t="s">
        <v>112</v>
      </c>
      <c r="C2042">
        <v>5</v>
      </c>
      <c r="D2042">
        <v>1</v>
      </c>
      <c r="E2042" t="s">
        <v>264</v>
      </c>
      <c r="F2042" s="85" t="s">
        <v>333</v>
      </c>
      <c r="G2042"/>
      <c r="H2042" t="s">
        <v>294</v>
      </c>
      <c r="I2042" t="s">
        <v>225</v>
      </c>
      <c r="J2042" t="s">
        <v>178</v>
      </c>
      <c r="K2042" s="1">
        <v>12.32</v>
      </c>
      <c r="L2042" s="1">
        <v>0</v>
      </c>
      <c r="M2042" s="1">
        <v>0</v>
      </c>
      <c r="N2042" s="1">
        <v>12.32</v>
      </c>
      <c r="O2042" s="1">
        <v>1416.8</v>
      </c>
      <c r="P2042" s="1">
        <v>0</v>
      </c>
      <c r="Q2042" s="1">
        <v>0</v>
      </c>
      <c r="R2042" s="1">
        <v>1399</v>
      </c>
      <c r="S2042" t="s">
        <v>280</v>
      </c>
      <c r="T2042" s="13">
        <v>45872</v>
      </c>
      <c r="U2042" s="1" t="str">
        <f>IF(ESTIMATIVA[[#This Row],[QT_AREA_REAL]]&gt;0,"1- Colhido","2- à Colher")</f>
        <v>1- Colhido</v>
      </c>
      <c r="V2042" s="1" t="str">
        <f>IF(ESTIMATIVA[[#This Row],[QT_AREA_REST1]]&gt;0,"Reestimativa 1",IF(ESTIMATIVA[[#This Row],[QT_AREA_REAL]]=0,"Reestimativa 1","Realizado"))</f>
        <v>Realizado</v>
      </c>
      <c r="W2042" s="1" t="str">
        <f>IF(ESTIMATIVA[[#This Row],[QT_AREA_REST2]]&gt;0,"Reestimativa 2",IF(ESTIMATIVA[[#This Row],[QT_AREA_REAL]]=0,"Reestimativa 2","Realizado"))</f>
        <v>Realizado</v>
      </c>
      <c r="X2042" s="1">
        <f>ESTIMATIVA[[#This Row],[QT_AREA_EST]]</f>
        <v>12.32</v>
      </c>
      <c r="Y2042" s="1">
        <f>IF(ESTIMATIVA[[#This Row],[QT_AREA_REST1]]&gt;0,ESTIMATIVA[[#This Row],[QT_AREA_REST1]],
  IF(ESTIMATIVA[[#This Row],[QT_AREA_REAL]]&gt;0,ESTIMATIVA[[#This Row],[QT_AREA_REAL]],ESTIMATIVA[[#This Row],[QT_AREA_EST]]))</f>
        <v>12.32</v>
      </c>
      <c r="Z204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12.32</v>
      </c>
      <c r="AA2042" s="1">
        <f>ESTIMATIVA[[#This Row],[QT_CANA_EST]]</f>
        <v>1416.8</v>
      </c>
      <c r="AB2042" s="1">
        <f>IF(ESTIMATIVA[[#This Row],[QT_CANA_REST1]]&gt;0,ESTIMATIVA[[#This Row],[QT_CANA_REST1]],
  IF(ESTIMATIVA[[#This Row],[QT_CANA_REAL]]&gt;0,ESTIMATIVA[[#This Row],[QT_CANA_REAL]],ESTIMATIVA[[#This Row],[QT_CANA_EST]]))</f>
        <v>1399</v>
      </c>
      <c r="AC204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1399</v>
      </c>
      <c r="AD2042" s="1">
        <f>IF(ESTIMATIVA[[#This Row],[QT_AREA_REAL]]&gt;0,ESTIMATIVA[[#This Row],[QT_CANA_REAL]],ESTIMATIVA[[#This Row],[QT_CANA_EST]])</f>
        <v>1399</v>
      </c>
      <c r="AE2042" s="1">
        <f>IF(ESTIMATIVA[[#This Row],[QT_AREA_REAL]]&gt;0,ESTIMATIVA[[#This Row],[QT_CANA_REAL]],ESTIMATIVA[[#This Row],[QT_CANA_REST1]])</f>
        <v>1399</v>
      </c>
      <c r="AF2042" s="1">
        <f>IF(ESTIMATIVA[[#This Row],[QT_AREA_REAL]]&gt;0,ESTIMATIVA[[#This Row],[QT_CANA_REAL]],ESTIMATIVA[[#This Row],[QT_CANA_REST2]])</f>
        <v>1399</v>
      </c>
      <c r="AG2042" s="1" t="str">
        <f>IF(COUNTIFS(GEADA!A:A,VALUE(ESTIMATIVA[[#This Row],[CD_UPNIVEL1]]&amp;TEXT(ESTIMATIVA[[#This Row],[CD_UPNIVEL3]],"0000")))&gt;0,"S","N")</f>
        <v>N</v>
      </c>
      <c r="AH204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42" s="55" t="str">
        <f>IF(ESTIMATIVA[[#This Row],[TP_CULTIVO]]="Irrigado",_xlfn.MAXIFS(IRRIGADO!J:J,IRRIGADO!C:C,ESTIMATIVA[[#This Row],[CD_UPNIVEL1]],IRRIGADO!E:E,ESTIMATIVA[[#This Row],[CD_UPNIVEL3]]),"")</f>
        <v/>
      </c>
      <c r="AJ204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42" s="1">
        <f>COUNTIFS(Apresentação!$E$23:$E$29,ESTIMATIVA[[#This Row],[CD_UPNIVEL1]])</f>
        <v>0</v>
      </c>
    </row>
    <row r="2043" spans="1:37" x14ac:dyDescent="0.3">
      <c r="A2043">
        <v>30473</v>
      </c>
      <c r="B2043" t="s">
        <v>112</v>
      </c>
      <c r="C2043">
        <v>6</v>
      </c>
      <c r="D2043">
        <v>1</v>
      </c>
      <c r="E2043" t="s">
        <v>264</v>
      </c>
      <c r="F2043" s="85" t="s">
        <v>333</v>
      </c>
      <c r="G2043"/>
      <c r="H2043" t="s">
        <v>294</v>
      </c>
      <c r="I2043" t="s">
        <v>225</v>
      </c>
      <c r="J2043" t="s">
        <v>178</v>
      </c>
      <c r="K2043" s="1">
        <v>10.42</v>
      </c>
      <c r="L2043" s="1">
        <v>0</v>
      </c>
      <c r="M2043" s="1">
        <v>0</v>
      </c>
      <c r="N2043" s="1">
        <v>10.42</v>
      </c>
      <c r="O2043" s="1">
        <v>1198.3</v>
      </c>
      <c r="P2043" s="1">
        <v>0</v>
      </c>
      <c r="Q2043" s="1">
        <v>0</v>
      </c>
      <c r="R2043" s="1">
        <v>1182.77</v>
      </c>
      <c r="S2043" t="s">
        <v>280</v>
      </c>
      <c r="T2043" s="13">
        <v>45872</v>
      </c>
      <c r="U2043" s="1" t="str">
        <f>IF(ESTIMATIVA[[#This Row],[QT_AREA_REAL]]&gt;0,"1- Colhido","2- à Colher")</f>
        <v>1- Colhido</v>
      </c>
      <c r="V2043" s="1" t="str">
        <f>IF(ESTIMATIVA[[#This Row],[QT_AREA_REST1]]&gt;0,"Reestimativa 1",IF(ESTIMATIVA[[#This Row],[QT_AREA_REAL]]=0,"Reestimativa 1","Realizado"))</f>
        <v>Realizado</v>
      </c>
      <c r="W2043" s="1" t="str">
        <f>IF(ESTIMATIVA[[#This Row],[QT_AREA_REST2]]&gt;0,"Reestimativa 2",IF(ESTIMATIVA[[#This Row],[QT_AREA_REAL]]=0,"Reestimativa 2","Realizado"))</f>
        <v>Realizado</v>
      </c>
      <c r="X2043" s="1">
        <f>ESTIMATIVA[[#This Row],[QT_AREA_EST]]</f>
        <v>10.42</v>
      </c>
      <c r="Y2043" s="1">
        <f>IF(ESTIMATIVA[[#This Row],[QT_AREA_REST1]]&gt;0,ESTIMATIVA[[#This Row],[QT_AREA_REST1]],
  IF(ESTIMATIVA[[#This Row],[QT_AREA_REAL]]&gt;0,ESTIMATIVA[[#This Row],[QT_AREA_REAL]],ESTIMATIVA[[#This Row],[QT_AREA_EST]]))</f>
        <v>10.42</v>
      </c>
      <c r="Z204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10.42</v>
      </c>
      <c r="AA2043" s="1">
        <f>ESTIMATIVA[[#This Row],[QT_CANA_EST]]</f>
        <v>1198.3</v>
      </c>
      <c r="AB2043" s="1">
        <f>IF(ESTIMATIVA[[#This Row],[QT_CANA_REST1]]&gt;0,ESTIMATIVA[[#This Row],[QT_CANA_REST1]],
  IF(ESTIMATIVA[[#This Row],[QT_CANA_REAL]]&gt;0,ESTIMATIVA[[#This Row],[QT_CANA_REAL]],ESTIMATIVA[[#This Row],[QT_CANA_EST]]))</f>
        <v>1182.77</v>
      </c>
      <c r="AC204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1182.77</v>
      </c>
      <c r="AD2043" s="1">
        <f>IF(ESTIMATIVA[[#This Row],[QT_AREA_REAL]]&gt;0,ESTIMATIVA[[#This Row],[QT_CANA_REAL]],ESTIMATIVA[[#This Row],[QT_CANA_EST]])</f>
        <v>1182.77</v>
      </c>
      <c r="AE2043" s="1">
        <f>IF(ESTIMATIVA[[#This Row],[QT_AREA_REAL]]&gt;0,ESTIMATIVA[[#This Row],[QT_CANA_REAL]],ESTIMATIVA[[#This Row],[QT_CANA_REST1]])</f>
        <v>1182.77</v>
      </c>
      <c r="AF2043" s="1">
        <f>IF(ESTIMATIVA[[#This Row],[QT_AREA_REAL]]&gt;0,ESTIMATIVA[[#This Row],[QT_CANA_REAL]],ESTIMATIVA[[#This Row],[QT_CANA_REST2]])</f>
        <v>1182.77</v>
      </c>
      <c r="AG2043" s="1" t="str">
        <f>IF(COUNTIFS(GEADA!A:A,VALUE(ESTIMATIVA[[#This Row],[CD_UPNIVEL1]]&amp;TEXT(ESTIMATIVA[[#This Row],[CD_UPNIVEL3]],"0000")))&gt;0,"S","N")</f>
        <v>N</v>
      </c>
      <c r="AH204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43" s="55" t="str">
        <f>IF(ESTIMATIVA[[#This Row],[TP_CULTIVO]]="Irrigado",_xlfn.MAXIFS(IRRIGADO!J:J,IRRIGADO!C:C,ESTIMATIVA[[#This Row],[CD_UPNIVEL1]],IRRIGADO!E:E,ESTIMATIVA[[#This Row],[CD_UPNIVEL3]]),"")</f>
        <v/>
      </c>
      <c r="AJ204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43" s="1">
        <f>COUNTIFS(Apresentação!$E$23:$E$29,ESTIMATIVA[[#This Row],[CD_UPNIVEL1]])</f>
        <v>0</v>
      </c>
    </row>
    <row r="2044" spans="1:37" x14ac:dyDescent="0.3">
      <c r="A2044">
        <v>30473</v>
      </c>
      <c r="B2044" t="s">
        <v>112</v>
      </c>
      <c r="C2044">
        <v>7</v>
      </c>
      <c r="D2044">
        <v>1</v>
      </c>
      <c r="E2044" t="s">
        <v>264</v>
      </c>
      <c r="F2044" s="85" t="s">
        <v>333</v>
      </c>
      <c r="G2044"/>
      <c r="H2044" t="s">
        <v>294</v>
      </c>
      <c r="I2044" t="s">
        <v>225</v>
      </c>
      <c r="J2044" t="s">
        <v>178</v>
      </c>
      <c r="K2044" s="1">
        <v>3.48</v>
      </c>
      <c r="L2044" s="1">
        <v>0</v>
      </c>
      <c r="M2044" s="1">
        <v>0</v>
      </c>
      <c r="N2044" s="1">
        <v>3.48</v>
      </c>
      <c r="O2044" s="1">
        <v>400.2</v>
      </c>
      <c r="P2044" s="1">
        <v>0</v>
      </c>
      <c r="Q2044" s="1">
        <v>0</v>
      </c>
      <c r="R2044" s="1">
        <v>394.85</v>
      </c>
      <c r="S2044" t="s">
        <v>280</v>
      </c>
      <c r="T2044" s="13">
        <v>45872</v>
      </c>
      <c r="U2044" s="1" t="str">
        <f>IF(ESTIMATIVA[[#This Row],[QT_AREA_REAL]]&gt;0,"1- Colhido","2- à Colher")</f>
        <v>1- Colhido</v>
      </c>
      <c r="V2044" s="1" t="str">
        <f>IF(ESTIMATIVA[[#This Row],[QT_AREA_REST1]]&gt;0,"Reestimativa 1",IF(ESTIMATIVA[[#This Row],[QT_AREA_REAL]]=0,"Reestimativa 1","Realizado"))</f>
        <v>Realizado</v>
      </c>
      <c r="W2044" s="1" t="str">
        <f>IF(ESTIMATIVA[[#This Row],[QT_AREA_REST2]]&gt;0,"Reestimativa 2",IF(ESTIMATIVA[[#This Row],[QT_AREA_REAL]]=0,"Reestimativa 2","Realizado"))</f>
        <v>Realizado</v>
      </c>
      <c r="X2044" s="1">
        <f>ESTIMATIVA[[#This Row],[QT_AREA_EST]]</f>
        <v>3.48</v>
      </c>
      <c r="Y2044" s="1">
        <f>IF(ESTIMATIVA[[#This Row],[QT_AREA_REST1]]&gt;0,ESTIMATIVA[[#This Row],[QT_AREA_REST1]],
  IF(ESTIMATIVA[[#This Row],[QT_AREA_REAL]]&gt;0,ESTIMATIVA[[#This Row],[QT_AREA_REAL]],ESTIMATIVA[[#This Row],[QT_AREA_EST]]))</f>
        <v>3.48</v>
      </c>
      <c r="Z204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3.48</v>
      </c>
      <c r="AA2044" s="1">
        <f>ESTIMATIVA[[#This Row],[QT_CANA_EST]]</f>
        <v>400.2</v>
      </c>
      <c r="AB2044" s="1">
        <f>IF(ESTIMATIVA[[#This Row],[QT_CANA_REST1]]&gt;0,ESTIMATIVA[[#This Row],[QT_CANA_REST1]],
  IF(ESTIMATIVA[[#This Row],[QT_CANA_REAL]]&gt;0,ESTIMATIVA[[#This Row],[QT_CANA_REAL]],ESTIMATIVA[[#This Row],[QT_CANA_EST]]))</f>
        <v>394.85</v>
      </c>
      <c r="AC204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394.85</v>
      </c>
      <c r="AD2044" s="1">
        <f>IF(ESTIMATIVA[[#This Row],[QT_AREA_REAL]]&gt;0,ESTIMATIVA[[#This Row],[QT_CANA_REAL]],ESTIMATIVA[[#This Row],[QT_CANA_EST]])</f>
        <v>394.85</v>
      </c>
      <c r="AE2044" s="1">
        <f>IF(ESTIMATIVA[[#This Row],[QT_AREA_REAL]]&gt;0,ESTIMATIVA[[#This Row],[QT_CANA_REAL]],ESTIMATIVA[[#This Row],[QT_CANA_REST1]])</f>
        <v>394.85</v>
      </c>
      <c r="AF2044" s="1">
        <f>IF(ESTIMATIVA[[#This Row],[QT_AREA_REAL]]&gt;0,ESTIMATIVA[[#This Row],[QT_CANA_REAL]],ESTIMATIVA[[#This Row],[QT_CANA_REST2]])</f>
        <v>394.85</v>
      </c>
      <c r="AG2044" s="1" t="str">
        <f>IF(COUNTIFS(GEADA!A:A,VALUE(ESTIMATIVA[[#This Row],[CD_UPNIVEL1]]&amp;TEXT(ESTIMATIVA[[#This Row],[CD_UPNIVEL3]],"0000")))&gt;0,"S","N")</f>
        <v>N</v>
      </c>
      <c r="AH204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44" s="55" t="str">
        <f>IF(ESTIMATIVA[[#This Row],[TP_CULTIVO]]="Irrigado",_xlfn.MAXIFS(IRRIGADO!J:J,IRRIGADO!C:C,ESTIMATIVA[[#This Row],[CD_UPNIVEL1]],IRRIGADO!E:E,ESTIMATIVA[[#This Row],[CD_UPNIVEL3]]),"")</f>
        <v/>
      </c>
      <c r="AJ204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44" s="1">
        <f>COUNTIFS(Apresentação!$E$23:$E$29,ESTIMATIVA[[#This Row],[CD_UPNIVEL1]])</f>
        <v>0</v>
      </c>
    </row>
    <row r="2045" spans="1:37" x14ac:dyDescent="0.3">
      <c r="A2045">
        <v>30473</v>
      </c>
      <c r="B2045" t="s">
        <v>112</v>
      </c>
      <c r="C2045">
        <v>8</v>
      </c>
      <c r="D2045">
        <v>1</v>
      </c>
      <c r="E2045" t="s">
        <v>267</v>
      </c>
      <c r="F2045" s="85" t="s">
        <v>333</v>
      </c>
      <c r="G2045"/>
      <c r="H2045" t="s">
        <v>294</v>
      </c>
      <c r="I2045" t="s">
        <v>225</v>
      </c>
      <c r="J2045" t="s">
        <v>178</v>
      </c>
      <c r="K2045" s="1">
        <v>13.96</v>
      </c>
      <c r="L2045" s="1">
        <v>0</v>
      </c>
      <c r="M2045" s="1">
        <v>0</v>
      </c>
      <c r="N2045" s="1">
        <v>13.96</v>
      </c>
      <c r="O2045" s="1">
        <v>1605.4</v>
      </c>
      <c r="P2045" s="1">
        <v>0</v>
      </c>
      <c r="Q2045" s="1">
        <v>0</v>
      </c>
      <c r="R2045" s="1">
        <v>1584.62</v>
      </c>
      <c r="S2045" t="s">
        <v>280</v>
      </c>
      <c r="T2045" s="13">
        <v>45872</v>
      </c>
      <c r="U2045" s="1" t="str">
        <f>IF(ESTIMATIVA[[#This Row],[QT_AREA_REAL]]&gt;0,"1- Colhido","2- à Colher")</f>
        <v>1- Colhido</v>
      </c>
      <c r="V2045" s="1" t="str">
        <f>IF(ESTIMATIVA[[#This Row],[QT_AREA_REST1]]&gt;0,"Reestimativa 1",IF(ESTIMATIVA[[#This Row],[QT_AREA_REAL]]=0,"Reestimativa 1","Realizado"))</f>
        <v>Realizado</v>
      </c>
      <c r="W2045" s="1" t="str">
        <f>IF(ESTIMATIVA[[#This Row],[QT_AREA_REST2]]&gt;0,"Reestimativa 2",IF(ESTIMATIVA[[#This Row],[QT_AREA_REAL]]=0,"Reestimativa 2","Realizado"))</f>
        <v>Realizado</v>
      </c>
      <c r="X2045" s="1">
        <f>ESTIMATIVA[[#This Row],[QT_AREA_EST]]</f>
        <v>13.96</v>
      </c>
      <c r="Y2045" s="1">
        <f>IF(ESTIMATIVA[[#This Row],[QT_AREA_REST1]]&gt;0,ESTIMATIVA[[#This Row],[QT_AREA_REST1]],
  IF(ESTIMATIVA[[#This Row],[QT_AREA_REAL]]&gt;0,ESTIMATIVA[[#This Row],[QT_AREA_REAL]],ESTIMATIVA[[#This Row],[QT_AREA_EST]]))</f>
        <v>13.96</v>
      </c>
      <c r="Z204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13.96</v>
      </c>
      <c r="AA2045" s="1">
        <f>ESTIMATIVA[[#This Row],[QT_CANA_EST]]</f>
        <v>1605.4</v>
      </c>
      <c r="AB2045" s="1">
        <f>IF(ESTIMATIVA[[#This Row],[QT_CANA_REST1]]&gt;0,ESTIMATIVA[[#This Row],[QT_CANA_REST1]],
  IF(ESTIMATIVA[[#This Row],[QT_CANA_REAL]]&gt;0,ESTIMATIVA[[#This Row],[QT_CANA_REAL]],ESTIMATIVA[[#This Row],[QT_CANA_EST]]))</f>
        <v>1584.62</v>
      </c>
      <c r="AC204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1584.62</v>
      </c>
      <c r="AD2045" s="1">
        <f>IF(ESTIMATIVA[[#This Row],[QT_AREA_REAL]]&gt;0,ESTIMATIVA[[#This Row],[QT_CANA_REAL]],ESTIMATIVA[[#This Row],[QT_CANA_EST]])</f>
        <v>1584.62</v>
      </c>
      <c r="AE2045" s="1">
        <f>IF(ESTIMATIVA[[#This Row],[QT_AREA_REAL]]&gt;0,ESTIMATIVA[[#This Row],[QT_CANA_REAL]],ESTIMATIVA[[#This Row],[QT_CANA_REST1]])</f>
        <v>1584.62</v>
      </c>
      <c r="AF2045" s="1">
        <f>IF(ESTIMATIVA[[#This Row],[QT_AREA_REAL]]&gt;0,ESTIMATIVA[[#This Row],[QT_CANA_REAL]],ESTIMATIVA[[#This Row],[QT_CANA_REST2]])</f>
        <v>1584.62</v>
      </c>
      <c r="AG2045" s="1" t="str">
        <f>IF(COUNTIFS(GEADA!A:A,VALUE(ESTIMATIVA[[#This Row],[CD_UPNIVEL1]]&amp;TEXT(ESTIMATIVA[[#This Row],[CD_UPNIVEL3]],"0000")))&gt;0,"S","N")</f>
        <v>N</v>
      </c>
      <c r="AH204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45" s="55" t="str">
        <f>IF(ESTIMATIVA[[#This Row],[TP_CULTIVO]]="Irrigado",_xlfn.MAXIFS(IRRIGADO!J:J,IRRIGADO!C:C,ESTIMATIVA[[#This Row],[CD_UPNIVEL1]],IRRIGADO!E:E,ESTIMATIVA[[#This Row],[CD_UPNIVEL3]]),"")</f>
        <v/>
      </c>
      <c r="AJ204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45" s="1">
        <f>COUNTIFS(Apresentação!$E$23:$E$29,ESTIMATIVA[[#This Row],[CD_UPNIVEL1]])</f>
        <v>0</v>
      </c>
    </row>
    <row r="2046" spans="1:37" x14ac:dyDescent="0.3">
      <c r="A2046">
        <v>30473</v>
      </c>
      <c r="B2046" t="s">
        <v>112</v>
      </c>
      <c r="C2046">
        <v>9</v>
      </c>
      <c r="D2046">
        <v>1</v>
      </c>
      <c r="E2046" t="s">
        <v>267</v>
      </c>
      <c r="F2046" s="85" t="s">
        <v>333</v>
      </c>
      <c r="G2046"/>
      <c r="H2046" t="s">
        <v>294</v>
      </c>
      <c r="I2046" t="s">
        <v>225</v>
      </c>
      <c r="J2046" t="s">
        <v>178</v>
      </c>
      <c r="K2046" s="1">
        <v>5.39</v>
      </c>
      <c r="L2046" s="1">
        <v>0</v>
      </c>
      <c r="M2046" s="1">
        <v>0</v>
      </c>
      <c r="N2046" s="1">
        <v>5.39</v>
      </c>
      <c r="O2046" s="1">
        <v>619.85</v>
      </c>
      <c r="P2046" s="1">
        <v>0</v>
      </c>
      <c r="Q2046" s="1">
        <v>0</v>
      </c>
      <c r="R2046" s="1">
        <v>612.96</v>
      </c>
      <c r="S2046" t="s">
        <v>280</v>
      </c>
      <c r="T2046" s="13">
        <v>45872</v>
      </c>
      <c r="U2046" s="1" t="str">
        <f>IF(ESTIMATIVA[[#This Row],[QT_AREA_REAL]]&gt;0,"1- Colhido","2- à Colher")</f>
        <v>1- Colhido</v>
      </c>
      <c r="V2046" s="1" t="str">
        <f>IF(ESTIMATIVA[[#This Row],[QT_AREA_REST1]]&gt;0,"Reestimativa 1",IF(ESTIMATIVA[[#This Row],[QT_AREA_REAL]]=0,"Reestimativa 1","Realizado"))</f>
        <v>Realizado</v>
      </c>
      <c r="W2046" s="1" t="str">
        <f>IF(ESTIMATIVA[[#This Row],[QT_AREA_REST2]]&gt;0,"Reestimativa 2",IF(ESTIMATIVA[[#This Row],[QT_AREA_REAL]]=0,"Reestimativa 2","Realizado"))</f>
        <v>Realizado</v>
      </c>
      <c r="X2046" s="1">
        <f>ESTIMATIVA[[#This Row],[QT_AREA_EST]]</f>
        <v>5.39</v>
      </c>
      <c r="Y2046" s="1">
        <f>IF(ESTIMATIVA[[#This Row],[QT_AREA_REST1]]&gt;0,ESTIMATIVA[[#This Row],[QT_AREA_REST1]],
  IF(ESTIMATIVA[[#This Row],[QT_AREA_REAL]]&gt;0,ESTIMATIVA[[#This Row],[QT_AREA_REAL]],ESTIMATIVA[[#This Row],[QT_AREA_EST]]))</f>
        <v>5.39</v>
      </c>
      <c r="Z204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5.39</v>
      </c>
      <c r="AA2046" s="1">
        <f>ESTIMATIVA[[#This Row],[QT_CANA_EST]]</f>
        <v>619.85</v>
      </c>
      <c r="AB2046" s="1">
        <f>IF(ESTIMATIVA[[#This Row],[QT_CANA_REST1]]&gt;0,ESTIMATIVA[[#This Row],[QT_CANA_REST1]],
  IF(ESTIMATIVA[[#This Row],[QT_CANA_REAL]]&gt;0,ESTIMATIVA[[#This Row],[QT_CANA_REAL]],ESTIMATIVA[[#This Row],[QT_CANA_EST]]))</f>
        <v>612.96</v>
      </c>
      <c r="AC204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612.96</v>
      </c>
      <c r="AD2046" s="1">
        <f>IF(ESTIMATIVA[[#This Row],[QT_AREA_REAL]]&gt;0,ESTIMATIVA[[#This Row],[QT_CANA_REAL]],ESTIMATIVA[[#This Row],[QT_CANA_EST]])</f>
        <v>612.96</v>
      </c>
      <c r="AE2046" s="1">
        <f>IF(ESTIMATIVA[[#This Row],[QT_AREA_REAL]]&gt;0,ESTIMATIVA[[#This Row],[QT_CANA_REAL]],ESTIMATIVA[[#This Row],[QT_CANA_REST1]])</f>
        <v>612.96</v>
      </c>
      <c r="AF2046" s="1">
        <f>IF(ESTIMATIVA[[#This Row],[QT_AREA_REAL]]&gt;0,ESTIMATIVA[[#This Row],[QT_CANA_REAL]],ESTIMATIVA[[#This Row],[QT_CANA_REST2]])</f>
        <v>612.96</v>
      </c>
      <c r="AG2046" s="1" t="str">
        <f>IF(COUNTIFS(GEADA!A:A,VALUE(ESTIMATIVA[[#This Row],[CD_UPNIVEL1]]&amp;TEXT(ESTIMATIVA[[#This Row],[CD_UPNIVEL3]],"0000")))&gt;0,"S","N")</f>
        <v>N</v>
      </c>
      <c r="AH204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46" s="55" t="str">
        <f>IF(ESTIMATIVA[[#This Row],[TP_CULTIVO]]="Irrigado",_xlfn.MAXIFS(IRRIGADO!J:J,IRRIGADO!C:C,ESTIMATIVA[[#This Row],[CD_UPNIVEL1]],IRRIGADO!E:E,ESTIMATIVA[[#This Row],[CD_UPNIVEL3]]),"")</f>
        <v/>
      </c>
      <c r="AJ204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46" s="1">
        <f>COUNTIFS(Apresentação!$E$23:$E$29,ESTIMATIVA[[#This Row],[CD_UPNIVEL1]])</f>
        <v>0</v>
      </c>
    </row>
    <row r="2047" spans="1:37" x14ac:dyDescent="0.3">
      <c r="A2047">
        <v>30479</v>
      </c>
      <c r="B2047" t="s">
        <v>113</v>
      </c>
      <c r="C2047">
        <v>25</v>
      </c>
      <c r="D2047">
        <v>1</v>
      </c>
      <c r="E2047" t="s">
        <v>264</v>
      </c>
      <c r="F2047" s="85" t="s">
        <v>333</v>
      </c>
      <c r="G2047"/>
      <c r="H2047" t="s">
        <v>294</v>
      </c>
      <c r="I2047" t="s">
        <v>199</v>
      </c>
      <c r="J2047" t="s">
        <v>178</v>
      </c>
      <c r="K2047" s="1">
        <v>11.84</v>
      </c>
      <c r="L2047" s="1">
        <v>11.84</v>
      </c>
      <c r="M2047" s="1">
        <v>0</v>
      </c>
      <c r="N2047" s="1">
        <v>11.84</v>
      </c>
      <c r="O2047" s="1">
        <v>1255.04</v>
      </c>
      <c r="P2047" s="1">
        <v>1065.5999999999999</v>
      </c>
      <c r="Q2047" s="1">
        <v>0</v>
      </c>
      <c r="R2047" s="1">
        <v>938.78</v>
      </c>
      <c r="S2047" t="s">
        <v>280</v>
      </c>
      <c r="T2047" s="13">
        <v>45858</v>
      </c>
      <c r="U2047" s="1" t="str">
        <f>IF(ESTIMATIVA[[#This Row],[QT_AREA_REAL]]&gt;0,"1- Colhido","2- à Colher")</f>
        <v>1- Colhido</v>
      </c>
      <c r="V2047" s="1" t="str">
        <f>IF(ESTIMATIVA[[#This Row],[QT_AREA_REST1]]&gt;0,"Reestimativa 1",IF(ESTIMATIVA[[#This Row],[QT_AREA_REAL]]=0,"Reestimativa 1","Realizado"))</f>
        <v>Reestimativa 1</v>
      </c>
      <c r="W2047" s="1" t="str">
        <f>IF(ESTIMATIVA[[#This Row],[QT_AREA_REST2]]&gt;0,"Reestimativa 2",IF(ESTIMATIVA[[#This Row],[QT_AREA_REAL]]=0,"Reestimativa 2","Realizado"))</f>
        <v>Realizado</v>
      </c>
      <c r="X2047" s="1">
        <f>ESTIMATIVA[[#This Row],[QT_AREA_EST]]</f>
        <v>11.84</v>
      </c>
      <c r="Y2047" s="1">
        <f>IF(ESTIMATIVA[[#This Row],[QT_AREA_REST1]]&gt;0,ESTIMATIVA[[#This Row],[QT_AREA_REST1]],
  IF(ESTIMATIVA[[#This Row],[QT_AREA_REAL]]&gt;0,ESTIMATIVA[[#This Row],[QT_AREA_REAL]],ESTIMATIVA[[#This Row],[QT_AREA_EST]]))</f>
        <v>11.84</v>
      </c>
      <c r="Z204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11.84</v>
      </c>
      <c r="AA2047" s="1">
        <f>ESTIMATIVA[[#This Row],[QT_CANA_EST]]</f>
        <v>1255.04</v>
      </c>
      <c r="AB2047" s="1">
        <f>IF(ESTIMATIVA[[#This Row],[QT_CANA_REST1]]&gt;0,ESTIMATIVA[[#This Row],[QT_CANA_REST1]],
  IF(ESTIMATIVA[[#This Row],[QT_CANA_REAL]]&gt;0,ESTIMATIVA[[#This Row],[QT_CANA_REAL]],ESTIMATIVA[[#This Row],[QT_CANA_EST]]))</f>
        <v>1065.5999999999999</v>
      </c>
      <c r="AC204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938.78</v>
      </c>
      <c r="AD2047" s="1">
        <f>IF(ESTIMATIVA[[#This Row],[QT_AREA_REAL]]&gt;0,ESTIMATIVA[[#This Row],[QT_CANA_REAL]],ESTIMATIVA[[#This Row],[QT_CANA_EST]])</f>
        <v>938.78</v>
      </c>
      <c r="AE2047" s="1">
        <f>IF(ESTIMATIVA[[#This Row],[QT_AREA_REAL]]&gt;0,ESTIMATIVA[[#This Row],[QT_CANA_REAL]],ESTIMATIVA[[#This Row],[QT_CANA_REST1]])</f>
        <v>938.78</v>
      </c>
      <c r="AF2047" s="1">
        <f>IF(ESTIMATIVA[[#This Row],[QT_AREA_REAL]]&gt;0,ESTIMATIVA[[#This Row],[QT_CANA_REAL]],ESTIMATIVA[[#This Row],[QT_CANA_REST2]])</f>
        <v>938.78</v>
      </c>
      <c r="AG2047" s="1" t="str">
        <f>IF(COUNTIFS(GEADA!A:A,VALUE(ESTIMATIVA[[#This Row],[CD_UPNIVEL1]]&amp;TEXT(ESTIMATIVA[[#This Row],[CD_UPNIVEL3]],"0000")))&gt;0,"S","N")</f>
        <v>N</v>
      </c>
      <c r="AH204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47" s="55" t="str">
        <f>IF(ESTIMATIVA[[#This Row],[TP_CULTIVO]]="Irrigado",_xlfn.MAXIFS(IRRIGADO!J:J,IRRIGADO!C:C,ESTIMATIVA[[#This Row],[CD_UPNIVEL1]],IRRIGADO!E:E,ESTIMATIVA[[#This Row],[CD_UPNIVEL3]]),"")</f>
        <v/>
      </c>
      <c r="AJ204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47" s="1">
        <f>COUNTIFS(Apresentação!$E$23:$E$29,ESTIMATIVA[[#This Row],[CD_UPNIVEL1]])</f>
        <v>0</v>
      </c>
    </row>
    <row r="2048" spans="1:37" x14ac:dyDescent="0.3">
      <c r="A2048">
        <v>30479</v>
      </c>
      <c r="B2048" t="s">
        <v>113</v>
      </c>
      <c r="C2048">
        <v>26</v>
      </c>
      <c r="D2048">
        <v>1</v>
      </c>
      <c r="E2048" t="s">
        <v>264</v>
      </c>
      <c r="F2048" s="85" t="s">
        <v>333</v>
      </c>
      <c r="G2048"/>
      <c r="H2048" t="s">
        <v>294</v>
      </c>
      <c r="I2048" t="s">
        <v>199</v>
      </c>
      <c r="J2048" t="s">
        <v>178</v>
      </c>
      <c r="K2048" s="1">
        <v>6.29</v>
      </c>
      <c r="L2048" s="1">
        <v>6.29</v>
      </c>
      <c r="M2048" s="1">
        <v>0</v>
      </c>
      <c r="N2048" s="1">
        <v>6.29</v>
      </c>
      <c r="O2048" s="1">
        <v>666.74</v>
      </c>
      <c r="P2048" s="1">
        <v>629</v>
      </c>
      <c r="Q2048" s="1">
        <v>0</v>
      </c>
      <c r="R2048" s="1">
        <v>553.91</v>
      </c>
      <c r="S2048" t="s">
        <v>280</v>
      </c>
      <c r="T2048" s="13">
        <v>45858</v>
      </c>
      <c r="U2048" s="1" t="str">
        <f>IF(ESTIMATIVA[[#This Row],[QT_AREA_REAL]]&gt;0,"1- Colhido","2- à Colher")</f>
        <v>1- Colhido</v>
      </c>
      <c r="V2048" s="1" t="str">
        <f>IF(ESTIMATIVA[[#This Row],[QT_AREA_REST1]]&gt;0,"Reestimativa 1",IF(ESTIMATIVA[[#This Row],[QT_AREA_REAL]]=0,"Reestimativa 1","Realizado"))</f>
        <v>Reestimativa 1</v>
      </c>
      <c r="W2048" s="1" t="str">
        <f>IF(ESTIMATIVA[[#This Row],[QT_AREA_REST2]]&gt;0,"Reestimativa 2",IF(ESTIMATIVA[[#This Row],[QT_AREA_REAL]]=0,"Reestimativa 2","Realizado"))</f>
        <v>Realizado</v>
      </c>
      <c r="X2048" s="1">
        <f>ESTIMATIVA[[#This Row],[QT_AREA_EST]]</f>
        <v>6.29</v>
      </c>
      <c r="Y2048" s="1">
        <f>IF(ESTIMATIVA[[#This Row],[QT_AREA_REST1]]&gt;0,ESTIMATIVA[[#This Row],[QT_AREA_REST1]],
  IF(ESTIMATIVA[[#This Row],[QT_AREA_REAL]]&gt;0,ESTIMATIVA[[#This Row],[QT_AREA_REAL]],ESTIMATIVA[[#This Row],[QT_AREA_EST]]))</f>
        <v>6.29</v>
      </c>
      <c r="Z204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6.29</v>
      </c>
      <c r="AA2048" s="1">
        <f>ESTIMATIVA[[#This Row],[QT_CANA_EST]]</f>
        <v>666.74</v>
      </c>
      <c r="AB2048" s="1">
        <f>IF(ESTIMATIVA[[#This Row],[QT_CANA_REST1]]&gt;0,ESTIMATIVA[[#This Row],[QT_CANA_REST1]],
  IF(ESTIMATIVA[[#This Row],[QT_CANA_REAL]]&gt;0,ESTIMATIVA[[#This Row],[QT_CANA_REAL]],ESTIMATIVA[[#This Row],[QT_CANA_EST]]))</f>
        <v>629</v>
      </c>
      <c r="AC204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553.91</v>
      </c>
      <c r="AD2048" s="1">
        <f>IF(ESTIMATIVA[[#This Row],[QT_AREA_REAL]]&gt;0,ESTIMATIVA[[#This Row],[QT_CANA_REAL]],ESTIMATIVA[[#This Row],[QT_CANA_EST]])</f>
        <v>553.91</v>
      </c>
      <c r="AE2048" s="1">
        <f>IF(ESTIMATIVA[[#This Row],[QT_AREA_REAL]]&gt;0,ESTIMATIVA[[#This Row],[QT_CANA_REAL]],ESTIMATIVA[[#This Row],[QT_CANA_REST1]])</f>
        <v>553.91</v>
      </c>
      <c r="AF2048" s="1">
        <f>IF(ESTIMATIVA[[#This Row],[QT_AREA_REAL]]&gt;0,ESTIMATIVA[[#This Row],[QT_CANA_REAL]],ESTIMATIVA[[#This Row],[QT_CANA_REST2]])</f>
        <v>553.91</v>
      </c>
      <c r="AG2048" s="1" t="str">
        <f>IF(COUNTIFS(GEADA!A:A,VALUE(ESTIMATIVA[[#This Row],[CD_UPNIVEL1]]&amp;TEXT(ESTIMATIVA[[#This Row],[CD_UPNIVEL3]],"0000")))&gt;0,"S","N")</f>
        <v>N</v>
      </c>
      <c r="AH204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48" s="55" t="str">
        <f>IF(ESTIMATIVA[[#This Row],[TP_CULTIVO]]="Irrigado",_xlfn.MAXIFS(IRRIGADO!J:J,IRRIGADO!C:C,ESTIMATIVA[[#This Row],[CD_UPNIVEL1]],IRRIGADO!E:E,ESTIMATIVA[[#This Row],[CD_UPNIVEL3]]),"")</f>
        <v/>
      </c>
      <c r="AJ204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48" s="1">
        <f>COUNTIFS(Apresentação!$E$23:$E$29,ESTIMATIVA[[#This Row],[CD_UPNIVEL1]])</f>
        <v>0</v>
      </c>
    </row>
    <row r="2049" spans="1:37" x14ac:dyDescent="0.3">
      <c r="A2049">
        <v>30479</v>
      </c>
      <c r="B2049" t="s">
        <v>113</v>
      </c>
      <c r="C2049">
        <v>27</v>
      </c>
      <c r="D2049">
        <v>1</v>
      </c>
      <c r="E2049" t="s">
        <v>264</v>
      </c>
      <c r="F2049" s="85" t="s">
        <v>333</v>
      </c>
      <c r="G2049"/>
      <c r="H2049" t="s">
        <v>294</v>
      </c>
      <c r="I2049" t="s">
        <v>200</v>
      </c>
      <c r="J2049" t="s">
        <v>178</v>
      </c>
      <c r="K2049" s="1">
        <v>11.78</v>
      </c>
      <c r="L2049" s="1">
        <v>11.78</v>
      </c>
      <c r="M2049" s="1">
        <v>0</v>
      </c>
      <c r="N2049" s="1">
        <v>11.78</v>
      </c>
      <c r="O2049" s="1">
        <v>1248.68</v>
      </c>
      <c r="P2049" s="1">
        <v>1178</v>
      </c>
      <c r="Q2049" s="1">
        <v>0</v>
      </c>
      <c r="R2049" s="1">
        <v>1037.43</v>
      </c>
      <c r="S2049" t="s">
        <v>280</v>
      </c>
      <c r="T2049" s="13">
        <v>45858</v>
      </c>
      <c r="U2049" s="1" t="str">
        <f>IF(ESTIMATIVA[[#This Row],[QT_AREA_REAL]]&gt;0,"1- Colhido","2- à Colher")</f>
        <v>1- Colhido</v>
      </c>
      <c r="V2049" s="1" t="str">
        <f>IF(ESTIMATIVA[[#This Row],[QT_AREA_REST1]]&gt;0,"Reestimativa 1",IF(ESTIMATIVA[[#This Row],[QT_AREA_REAL]]=0,"Reestimativa 1","Realizado"))</f>
        <v>Reestimativa 1</v>
      </c>
      <c r="W2049" s="1" t="str">
        <f>IF(ESTIMATIVA[[#This Row],[QT_AREA_REST2]]&gt;0,"Reestimativa 2",IF(ESTIMATIVA[[#This Row],[QT_AREA_REAL]]=0,"Reestimativa 2","Realizado"))</f>
        <v>Realizado</v>
      </c>
      <c r="X2049" s="1">
        <f>ESTIMATIVA[[#This Row],[QT_AREA_EST]]</f>
        <v>11.78</v>
      </c>
      <c r="Y2049" s="1">
        <f>IF(ESTIMATIVA[[#This Row],[QT_AREA_REST1]]&gt;0,ESTIMATIVA[[#This Row],[QT_AREA_REST1]],
  IF(ESTIMATIVA[[#This Row],[QT_AREA_REAL]]&gt;0,ESTIMATIVA[[#This Row],[QT_AREA_REAL]],ESTIMATIVA[[#This Row],[QT_AREA_EST]]))</f>
        <v>11.78</v>
      </c>
      <c r="Z204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11.78</v>
      </c>
      <c r="AA2049" s="1">
        <f>ESTIMATIVA[[#This Row],[QT_CANA_EST]]</f>
        <v>1248.68</v>
      </c>
      <c r="AB2049" s="1">
        <f>IF(ESTIMATIVA[[#This Row],[QT_CANA_REST1]]&gt;0,ESTIMATIVA[[#This Row],[QT_CANA_REST1]],
  IF(ESTIMATIVA[[#This Row],[QT_CANA_REAL]]&gt;0,ESTIMATIVA[[#This Row],[QT_CANA_REAL]],ESTIMATIVA[[#This Row],[QT_CANA_EST]]))</f>
        <v>1178</v>
      </c>
      <c r="AC204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1037.43</v>
      </c>
      <c r="AD2049" s="1">
        <f>IF(ESTIMATIVA[[#This Row],[QT_AREA_REAL]]&gt;0,ESTIMATIVA[[#This Row],[QT_CANA_REAL]],ESTIMATIVA[[#This Row],[QT_CANA_EST]])</f>
        <v>1037.43</v>
      </c>
      <c r="AE2049" s="1">
        <f>IF(ESTIMATIVA[[#This Row],[QT_AREA_REAL]]&gt;0,ESTIMATIVA[[#This Row],[QT_CANA_REAL]],ESTIMATIVA[[#This Row],[QT_CANA_REST1]])</f>
        <v>1037.43</v>
      </c>
      <c r="AF2049" s="1">
        <f>IF(ESTIMATIVA[[#This Row],[QT_AREA_REAL]]&gt;0,ESTIMATIVA[[#This Row],[QT_CANA_REAL]],ESTIMATIVA[[#This Row],[QT_CANA_REST2]])</f>
        <v>1037.43</v>
      </c>
      <c r="AG2049" s="1" t="str">
        <f>IF(COUNTIFS(GEADA!A:A,VALUE(ESTIMATIVA[[#This Row],[CD_UPNIVEL1]]&amp;TEXT(ESTIMATIVA[[#This Row],[CD_UPNIVEL3]],"0000")))&gt;0,"S","N")</f>
        <v>N</v>
      </c>
      <c r="AH204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49" s="55" t="str">
        <f>IF(ESTIMATIVA[[#This Row],[TP_CULTIVO]]="Irrigado",_xlfn.MAXIFS(IRRIGADO!J:J,IRRIGADO!C:C,ESTIMATIVA[[#This Row],[CD_UPNIVEL1]],IRRIGADO!E:E,ESTIMATIVA[[#This Row],[CD_UPNIVEL3]]),"")</f>
        <v/>
      </c>
      <c r="AJ204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49" s="1">
        <f>COUNTIFS(Apresentação!$E$23:$E$29,ESTIMATIVA[[#This Row],[CD_UPNIVEL1]])</f>
        <v>0</v>
      </c>
    </row>
    <row r="2050" spans="1:37" x14ac:dyDescent="0.3">
      <c r="A2050">
        <v>30479</v>
      </c>
      <c r="B2050" t="s">
        <v>113</v>
      </c>
      <c r="C2050">
        <v>28</v>
      </c>
      <c r="D2050">
        <v>1</v>
      </c>
      <c r="E2050" t="s">
        <v>264</v>
      </c>
      <c r="F2050" s="85" t="s">
        <v>333</v>
      </c>
      <c r="G2050"/>
      <c r="H2050" t="s">
        <v>294</v>
      </c>
      <c r="I2050" t="s">
        <v>200</v>
      </c>
      <c r="J2050" t="s">
        <v>178</v>
      </c>
      <c r="K2050" s="1">
        <v>12.95</v>
      </c>
      <c r="L2050" s="1">
        <v>12.95</v>
      </c>
      <c r="M2050" s="1">
        <v>0</v>
      </c>
      <c r="N2050" s="1">
        <v>12.95</v>
      </c>
      <c r="O2050" s="1">
        <v>1346.8</v>
      </c>
      <c r="P2050" s="1">
        <v>1295</v>
      </c>
      <c r="Q2050" s="1">
        <v>0</v>
      </c>
      <c r="R2050" s="1">
        <v>1140.47</v>
      </c>
      <c r="S2050" t="s">
        <v>280</v>
      </c>
      <c r="T2050" s="13">
        <v>45858</v>
      </c>
      <c r="U2050" s="1" t="str">
        <f>IF(ESTIMATIVA[[#This Row],[QT_AREA_REAL]]&gt;0,"1- Colhido","2- à Colher")</f>
        <v>1- Colhido</v>
      </c>
      <c r="V2050" s="1" t="str">
        <f>IF(ESTIMATIVA[[#This Row],[QT_AREA_REST1]]&gt;0,"Reestimativa 1",IF(ESTIMATIVA[[#This Row],[QT_AREA_REAL]]=0,"Reestimativa 1","Realizado"))</f>
        <v>Reestimativa 1</v>
      </c>
      <c r="W2050" s="1" t="str">
        <f>IF(ESTIMATIVA[[#This Row],[QT_AREA_REST2]]&gt;0,"Reestimativa 2",IF(ESTIMATIVA[[#This Row],[QT_AREA_REAL]]=0,"Reestimativa 2","Realizado"))</f>
        <v>Realizado</v>
      </c>
      <c r="X2050" s="1">
        <f>ESTIMATIVA[[#This Row],[QT_AREA_EST]]</f>
        <v>12.95</v>
      </c>
      <c r="Y2050" s="1">
        <f>IF(ESTIMATIVA[[#This Row],[QT_AREA_REST1]]&gt;0,ESTIMATIVA[[#This Row],[QT_AREA_REST1]],
  IF(ESTIMATIVA[[#This Row],[QT_AREA_REAL]]&gt;0,ESTIMATIVA[[#This Row],[QT_AREA_REAL]],ESTIMATIVA[[#This Row],[QT_AREA_EST]]))</f>
        <v>12.95</v>
      </c>
      <c r="Z205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12.95</v>
      </c>
      <c r="AA2050" s="1">
        <f>ESTIMATIVA[[#This Row],[QT_CANA_EST]]</f>
        <v>1346.8</v>
      </c>
      <c r="AB2050" s="1">
        <f>IF(ESTIMATIVA[[#This Row],[QT_CANA_REST1]]&gt;0,ESTIMATIVA[[#This Row],[QT_CANA_REST1]],
  IF(ESTIMATIVA[[#This Row],[QT_CANA_REAL]]&gt;0,ESTIMATIVA[[#This Row],[QT_CANA_REAL]],ESTIMATIVA[[#This Row],[QT_CANA_EST]]))</f>
        <v>1295</v>
      </c>
      <c r="AC205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1140.47</v>
      </c>
      <c r="AD2050" s="1">
        <f>IF(ESTIMATIVA[[#This Row],[QT_AREA_REAL]]&gt;0,ESTIMATIVA[[#This Row],[QT_CANA_REAL]],ESTIMATIVA[[#This Row],[QT_CANA_EST]])</f>
        <v>1140.47</v>
      </c>
      <c r="AE2050" s="1">
        <f>IF(ESTIMATIVA[[#This Row],[QT_AREA_REAL]]&gt;0,ESTIMATIVA[[#This Row],[QT_CANA_REAL]],ESTIMATIVA[[#This Row],[QT_CANA_REST1]])</f>
        <v>1140.47</v>
      </c>
      <c r="AF2050" s="1">
        <f>IF(ESTIMATIVA[[#This Row],[QT_AREA_REAL]]&gt;0,ESTIMATIVA[[#This Row],[QT_CANA_REAL]],ESTIMATIVA[[#This Row],[QT_CANA_REST2]])</f>
        <v>1140.47</v>
      </c>
      <c r="AG2050" s="1" t="str">
        <f>IF(COUNTIFS(GEADA!A:A,VALUE(ESTIMATIVA[[#This Row],[CD_UPNIVEL1]]&amp;TEXT(ESTIMATIVA[[#This Row],[CD_UPNIVEL3]],"0000")))&gt;0,"S","N")</f>
        <v>N</v>
      </c>
      <c r="AH205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50" s="55" t="str">
        <f>IF(ESTIMATIVA[[#This Row],[TP_CULTIVO]]="Irrigado",_xlfn.MAXIFS(IRRIGADO!J:J,IRRIGADO!C:C,ESTIMATIVA[[#This Row],[CD_UPNIVEL1]],IRRIGADO!E:E,ESTIMATIVA[[#This Row],[CD_UPNIVEL3]]),"")</f>
        <v/>
      </c>
      <c r="AJ205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50" s="1">
        <f>COUNTIFS(Apresentação!$E$23:$E$29,ESTIMATIVA[[#This Row],[CD_UPNIVEL1]])</f>
        <v>0</v>
      </c>
    </row>
    <row r="2051" spans="1:37" x14ac:dyDescent="0.3">
      <c r="A2051">
        <v>30479</v>
      </c>
      <c r="B2051" t="s">
        <v>113</v>
      </c>
      <c r="C2051">
        <v>29</v>
      </c>
      <c r="D2051">
        <v>1</v>
      </c>
      <c r="E2051" t="s">
        <v>264</v>
      </c>
      <c r="F2051" s="85" t="s">
        <v>333</v>
      </c>
      <c r="G2051"/>
      <c r="H2051" t="s">
        <v>294</v>
      </c>
      <c r="I2051" t="s">
        <v>200</v>
      </c>
      <c r="J2051" t="s">
        <v>178</v>
      </c>
      <c r="K2051" s="1">
        <v>4.42</v>
      </c>
      <c r="L2051" s="1">
        <v>4.42</v>
      </c>
      <c r="M2051" s="1">
        <v>0</v>
      </c>
      <c r="N2051" s="1">
        <v>4.42</v>
      </c>
      <c r="O2051" s="1">
        <v>459.68</v>
      </c>
      <c r="P2051" s="1">
        <v>442</v>
      </c>
      <c r="Q2051" s="1">
        <v>0</v>
      </c>
      <c r="R2051" s="1">
        <v>389.51</v>
      </c>
      <c r="S2051" t="s">
        <v>280</v>
      </c>
      <c r="T2051" s="13">
        <v>45858</v>
      </c>
      <c r="U2051" s="1" t="str">
        <f>IF(ESTIMATIVA[[#This Row],[QT_AREA_REAL]]&gt;0,"1- Colhido","2- à Colher")</f>
        <v>1- Colhido</v>
      </c>
      <c r="V2051" s="1" t="str">
        <f>IF(ESTIMATIVA[[#This Row],[QT_AREA_REST1]]&gt;0,"Reestimativa 1",IF(ESTIMATIVA[[#This Row],[QT_AREA_REAL]]=0,"Reestimativa 1","Realizado"))</f>
        <v>Reestimativa 1</v>
      </c>
      <c r="W2051" s="1" t="str">
        <f>IF(ESTIMATIVA[[#This Row],[QT_AREA_REST2]]&gt;0,"Reestimativa 2",IF(ESTIMATIVA[[#This Row],[QT_AREA_REAL]]=0,"Reestimativa 2","Realizado"))</f>
        <v>Realizado</v>
      </c>
      <c r="X2051" s="1">
        <f>ESTIMATIVA[[#This Row],[QT_AREA_EST]]</f>
        <v>4.42</v>
      </c>
      <c r="Y2051" s="1">
        <f>IF(ESTIMATIVA[[#This Row],[QT_AREA_REST1]]&gt;0,ESTIMATIVA[[#This Row],[QT_AREA_REST1]],
  IF(ESTIMATIVA[[#This Row],[QT_AREA_REAL]]&gt;0,ESTIMATIVA[[#This Row],[QT_AREA_REAL]],ESTIMATIVA[[#This Row],[QT_AREA_EST]]))</f>
        <v>4.42</v>
      </c>
      <c r="Z205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4.42</v>
      </c>
      <c r="AA2051" s="1">
        <f>ESTIMATIVA[[#This Row],[QT_CANA_EST]]</f>
        <v>459.68</v>
      </c>
      <c r="AB2051" s="1">
        <f>IF(ESTIMATIVA[[#This Row],[QT_CANA_REST1]]&gt;0,ESTIMATIVA[[#This Row],[QT_CANA_REST1]],
  IF(ESTIMATIVA[[#This Row],[QT_CANA_REAL]]&gt;0,ESTIMATIVA[[#This Row],[QT_CANA_REAL]],ESTIMATIVA[[#This Row],[QT_CANA_EST]]))</f>
        <v>442</v>
      </c>
      <c r="AC205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389.51</v>
      </c>
      <c r="AD2051" s="1">
        <f>IF(ESTIMATIVA[[#This Row],[QT_AREA_REAL]]&gt;0,ESTIMATIVA[[#This Row],[QT_CANA_REAL]],ESTIMATIVA[[#This Row],[QT_CANA_EST]])</f>
        <v>389.51</v>
      </c>
      <c r="AE2051" s="1">
        <f>IF(ESTIMATIVA[[#This Row],[QT_AREA_REAL]]&gt;0,ESTIMATIVA[[#This Row],[QT_CANA_REAL]],ESTIMATIVA[[#This Row],[QT_CANA_REST1]])</f>
        <v>389.51</v>
      </c>
      <c r="AF2051" s="1">
        <f>IF(ESTIMATIVA[[#This Row],[QT_AREA_REAL]]&gt;0,ESTIMATIVA[[#This Row],[QT_CANA_REAL]],ESTIMATIVA[[#This Row],[QT_CANA_REST2]])</f>
        <v>389.51</v>
      </c>
      <c r="AG2051" s="1" t="str">
        <f>IF(COUNTIFS(GEADA!A:A,VALUE(ESTIMATIVA[[#This Row],[CD_UPNIVEL1]]&amp;TEXT(ESTIMATIVA[[#This Row],[CD_UPNIVEL3]],"0000")))&gt;0,"S","N")</f>
        <v>N</v>
      </c>
      <c r="AH205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51" s="55" t="str">
        <f>IF(ESTIMATIVA[[#This Row],[TP_CULTIVO]]="Irrigado",_xlfn.MAXIFS(IRRIGADO!J:J,IRRIGADO!C:C,ESTIMATIVA[[#This Row],[CD_UPNIVEL1]],IRRIGADO!E:E,ESTIMATIVA[[#This Row],[CD_UPNIVEL3]]),"")</f>
        <v/>
      </c>
      <c r="AJ205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51" s="1">
        <f>COUNTIFS(Apresentação!$E$23:$E$29,ESTIMATIVA[[#This Row],[CD_UPNIVEL1]])</f>
        <v>0</v>
      </c>
    </row>
    <row r="2052" spans="1:37" x14ac:dyDescent="0.3">
      <c r="A2052">
        <v>30519</v>
      </c>
      <c r="B2052" t="s">
        <v>114</v>
      </c>
      <c r="C2052">
        <v>1</v>
      </c>
      <c r="D2052">
        <v>1</v>
      </c>
      <c r="E2052" t="s">
        <v>264</v>
      </c>
      <c r="F2052" s="85" t="s">
        <v>331</v>
      </c>
      <c r="G2052"/>
      <c r="H2052" t="s">
        <v>294</v>
      </c>
      <c r="I2052" t="s">
        <v>205</v>
      </c>
      <c r="J2052" t="s">
        <v>178</v>
      </c>
      <c r="K2052" s="1">
        <v>32.409999999999997</v>
      </c>
      <c r="L2052" s="1">
        <v>32.409999999999997</v>
      </c>
      <c r="M2052" s="1">
        <v>0</v>
      </c>
      <c r="N2052" s="1">
        <v>32.409999999999997</v>
      </c>
      <c r="O2052" s="1">
        <v>2787.26</v>
      </c>
      <c r="P2052" s="1">
        <v>3305.82</v>
      </c>
      <c r="Q2052" s="1">
        <v>0</v>
      </c>
      <c r="R2052" s="1">
        <v>3147.2</v>
      </c>
      <c r="S2052" t="s">
        <v>282</v>
      </c>
      <c r="T2052" s="13">
        <v>45858</v>
      </c>
      <c r="U2052" s="1" t="str">
        <f>IF(ESTIMATIVA[[#This Row],[QT_AREA_REAL]]&gt;0,"1- Colhido","2- à Colher")</f>
        <v>1- Colhido</v>
      </c>
      <c r="V2052" s="1" t="str">
        <f>IF(ESTIMATIVA[[#This Row],[QT_AREA_REST1]]&gt;0,"Reestimativa 1",IF(ESTIMATIVA[[#This Row],[QT_AREA_REAL]]=0,"Reestimativa 1","Realizado"))</f>
        <v>Reestimativa 1</v>
      </c>
      <c r="W2052" s="1" t="str">
        <f>IF(ESTIMATIVA[[#This Row],[QT_AREA_REST2]]&gt;0,"Reestimativa 2",IF(ESTIMATIVA[[#This Row],[QT_AREA_REAL]]=0,"Reestimativa 2","Realizado"))</f>
        <v>Realizado</v>
      </c>
      <c r="X2052" s="1">
        <f>ESTIMATIVA[[#This Row],[QT_AREA_EST]]</f>
        <v>32.409999999999997</v>
      </c>
      <c r="Y2052" s="1">
        <f>IF(ESTIMATIVA[[#This Row],[QT_AREA_REST1]]&gt;0,ESTIMATIVA[[#This Row],[QT_AREA_REST1]],
  IF(ESTIMATIVA[[#This Row],[QT_AREA_REAL]]&gt;0,ESTIMATIVA[[#This Row],[QT_AREA_REAL]],ESTIMATIVA[[#This Row],[QT_AREA_EST]]))</f>
        <v>32.409999999999997</v>
      </c>
      <c r="Z205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32.409999999999997</v>
      </c>
      <c r="AA2052" s="1">
        <f>ESTIMATIVA[[#This Row],[QT_CANA_EST]]</f>
        <v>2787.26</v>
      </c>
      <c r="AB2052" s="1">
        <f>IF(ESTIMATIVA[[#This Row],[QT_CANA_REST1]]&gt;0,ESTIMATIVA[[#This Row],[QT_CANA_REST1]],
  IF(ESTIMATIVA[[#This Row],[QT_CANA_REAL]]&gt;0,ESTIMATIVA[[#This Row],[QT_CANA_REAL]],ESTIMATIVA[[#This Row],[QT_CANA_EST]]))</f>
        <v>3305.82</v>
      </c>
      <c r="AC205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3147.2</v>
      </c>
      <c r="AD2052" s="1">
        <f>IF(ESTIMATIVA[[#This Row],[QT_AREA_REAL]]&gt;0,ESTIMATIVA[[#This Row],[QT_CANA_REAL]],ESTIMATIVA[[#This Row],[QT_CANA_EST]])</f>
        <v>3147.2</v>
      </c>
      <c r="AE2052" s="1">
        <f>IF(ESTIMATIVA[[#This Row],[QT_AREA_REAL]]&gt;0,ESTIMATIVA[[#This Row],[QT_CANA_REAL]],ESTIMATIVA[[#This Row],[QT_CANA_REST1]])</f>
        <v>3147.2</v>
      </c>
      <c r="AF2052" s="1">
        <f>IF(ESTIMATIVA[[#This Row],[QT_AREA_REAL]]&gt;0,ESTIMATIVA[[#This Row],[QT_CANA_REAL]],ESTIMATIVA[[#This Row],[QT_CANA_REST2]])</f>
        <v>3147.2</v>
      </c>
      <c r="AG2052" s="1" t="str">
        <f>IF(COUNTIFS(GEADA!A:A,VALUE(ESTIMATIVA[[#This Row],[CD_UPNIVEL1]]&amp;TEXT(ESTIMATIVA[[#This Row],[CD_UPNIVEL3]],"0000")))&gt;0,"S","N")</f>
        <v>N</v>
      </c>
      <c r="AH205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52" s="55" t="str">
        <f>IF(ESTIMATIVA[[#This Row],[TP_CULTIVO]]="Irrigado",_xlfn.MAXIFS(IRRIGADO!J:J,IRRIGADO!C:C,ESTIMATIVA[[#This Row],[CD_UPNIVEL1]],IRRIGADO!E:E,ESTIMATIVA[[#This Row],[CD_UPNIVEL3]]),"")</f>
        <v/>
      </c>
      <c r="AJ205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52" s="1">
        <f>COUNTIFS(Apresentação!$E$23:$E$29,ESTIMATIVA[[#This Row],[CD_UPNIVEL1]])</f>
        <v>0</v>
      </c>
    </row>
    <row r="2053" spans="1:37" x14ac:dyDescent="0.3">
      <c r="A2053">
        <v>30519</v>
      </c>
      <c r="B2053" t="s">
        <v>114</v>
      </c>
      <c r="C2053">
        <v>2</v>
      </c>
      <c r="D2053">
        <v>1</v>
      </c>
      <c r="E2053" t="s">
        <v>264</v>
      </c>
      <c r="F2053" s="85" t="s">
        <v>331</v>
      </c>
      <c r="G2053"/>
      <c r="H2053" t="s">
        <v>294</v>
      </c>
      <c r="I2053" t="s">
        <v>205</v>
      </c>
      <c r="J2053" t="s">
        <v>178</v>
      </c>
      <c r="K2053" s="1">
        <v>38.700000000000003</v>
      </c>
      <c r="L2053" s="1">
        <v>38.700000000000003</v>
      </c>
      <c r="M2053" s="1">
        <v>0</v>
      </c>
      <c r="N2053" s="1">
        <v>38.700000000000003</v>
      </c>
      <c r="O2053" s="1">
        <v>3328.2</v>
      </c>
      <c r="P2053" s="1">
        <v>3947.4</v>
      </c>
      <c r="Q2053" s="1">
        <v>0</v>
      </c>
      <c r="R2053" s="1">
        <v>3757.64</v>
      </c>
      <c r="S2053" t="s">
        <v>282</v>
      </c>
      <c r="T2053" s="13">
        <v>45858</v>
      </c>
      <c r="U2053" s="1" t="str">
        <f>IF(ESTIMATIVA[[#This Row],[QT_AREA_REAL]]&gt;0,"1- Colhido","2- à Colher")</f>
        <v>1- Colhido</v>
      </c>
      <c r="V2053" s="1" t="str">
        <f>IF(ESTIMATIVA[[#This Row],[QT_AREA_REST1]]&gt;0,"Reestimativa 1",IF(ESTIMATIVA[[#This Row],[QT_AREA_REAL]]=0,"Reestimativa 1","Realizado"))</f>
        <v>Reestimativa 1</v>
      </c>
      <c r="W2053" s="1" t="str">
        <f>IF(ESTIMATIVA[[#This Row],[QT_AREA_REST2]]&gt;0,"Reestimativa 2",IF(ESTIMATIVA[[#This Row],[QT_AREA_REAL]]=0,"Reestimativa 2","Realizado"))</f>
        <v>Realizado</v>
      </c>
      <c r="X2053" s="1">
        <f>ESTIMATIVA[[#This Row],[QT_AREA_EST]]</f>
        <v>38.700000000000003</v>
      </c>
      <c r="Y2053" s="1">
        <f>IF(ESTIMATIVA[[#This Row],[QT_AREA_REST1]]&gt;0,ESTIMATIVA[[#This Row],[QT_AREA_REST1]],
  IF(ESTIMATIVA[[#This Row],[QT_AREA_REAL]]&gt;0,ESTIMATIVA[[#This Row],[QT_AREA_REAL]],ESTIMATIVA[[#This Row],[QT_AREA_EST]]))</f>
        <v>38.700000000000003</v>
      </c>
      <c r="Z205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38.700000000000003</v>
      </c>
      <c r="AA2053" s="1">
        <f>ESTIMATIVA[[#This Row],[QT_CANA_EST]]</f>
        <v>3328.2</v>
      </c>
      <c r="AB2053" s="1">
        <f>IF(ESTIMATIVA[[#This Row],[QT_CANA_REST1]]&gt;0,ESTIMATIVA[[#This Row],[QT_CANA_REST1]],
  IF(ESTIMATIVA[[#This Row],[QT_CANA_REAL]]&gt;0,ESTIMATIVA[[#This Row],[QT_CANA_REAL]],ESTIMATIVA[[#This Row],[QT_CANA_EST]]))</f>
        <v>3947.4</v>
      </c>
      <c r="AC205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3757.64</v>
      </c>
      <c r="AD2053" s="1">
        <f>IF(ESTIMATIVA[[#This Row],[QT_AREA_REAL]]&gt;0,ESTIMATIVA[[#This Row],[QT_CANA_REAL]],ESTIMATIVA[[#This Row],[QT_CANA_EST]])</f>
        <v>3757.64</v>
      </c>
      <c r="AE2053" s="1">
        <f>IF(ESTIMATIVA[[#This Row],[QT_AREA_REAL]]&gt;0,ESTIMATIVA[[#This Row],[QT_CANA_REAL]],ESTIMATIVA[[#This Row],[QT_CANA_REST1]])</f>
        <v>3757.64</v>
      </c>
      <c r="AF2053" s="1">
        <f>IF(ESTIMATIVA[[#This Row],[QT_AREA_REAL]]&gt;0,ESTIMATIVA[[#This Row],[QT_CANA_REAL]],ESTIMATIVA[[#This Row],[QT_CANA_REST2]])</f>
        <v>3757.64</v>
      </c>
      <c r="AG2053" s="1" t="str">
        <f>IF(COUNTIFS(GEADA!A:A,VALUE(ESTIMATIVA[[#This Row],[CD_UPNIVEL1]]&amp;TEXT(ESTIMATIVA[[#This Row],[CD_UPNIVEL3]],"0000")))&gt;0,"S","N")</f>
        <v>N</v>
      </c>
      <c r="AH205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53" s="55" t="str">
        <f>IF(ESTIMATIVA[[#This Row],[TP_CULTIVO]]="Irrigado",_xlfn.MAXIFS(IRRIGADO!J:J,IRRIGADO!C:C,ESTIMATIVA[[#This Row],[CD_UPNIVEL1]],IRRIGADO!E:E,ESTIMATIVA[[#This Row],[CD_UPNIVEL3]]),"")</f>
        <v/>
      </c>
      <c r="AJ205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53" s="1">
        <f>COUNTIFS(Apresentação!$E$23:$E$29,ESTIMATIVA[[#This Row],[CD_UPNIVEL1]])</f>
        <v>0</v>
      </c>
    </row>
    <row r="2054" spans="1:37" x14ac:dyDescent="0.3">
      <c r="A2054">
        <v>30519</v>
      </c>
      <c r="B2054" t="s">
        <v>114</v>
      </c>
      <c r="C2054">
        <v>3</v>
      </c>
      <c r="D2054">
        <v>1</v>
      </c>
      <c r="E2054" t="s">
        <v>264</v>
      </c>
      <c r="F2054" s="85" t="s">
        <v>331</v>
      </c>
      <c r="G2054"/>
      <c r="H2054" t="s">
        <v>294</v>
      </c>
      <c r="I2054" t="s">
        <v>205</v>
      </c>
      <c r="J2054" t="s">
        <v>178</v>
      </c>
      <c r="K2054" s="1">
        <v>52.88</v>
      </c>
      <c r="L2054" s="1">
        <v>52.88</v>
      </c>
      <c r="M2054" s="1">
        <v>0</v>
      </c>
      <c r="N2054" s="1">
        <v>52.88</v>
      </c>
      <c r="O2054" s="1">
        <v>4547.68</v>
      </c>
      <c r="P2054" s="1">
        <v>5393.76</v>
      </c>
      <c r="Q2054" s="1">
        <v>0</v>
      </c>
      <c r="R2054" s="1">
        <v>4084.58</v>
      </c>
      <c r="S2054" t="s">
        <v>282</v>
      </c>
      <c r="T2054" s="13">
        <v>45886</v>
      </c>
      <c r="U2054" s="1" t="str">
        <f>IF(ESTIMATIVA[[#This Row],[QT_AREA_REAL]]&gt;0,"1- Colhido","2- à Colher")</f>
        <v>1- Colhido</v>
      </c>
      <c r="V2054" s="1" t="str">
        <f>IF(ESTIMATIVA[[#This Row],[QT_AREA_REST1]]&gt;0,"Reestimativa 1",IF(ESTIMATIVA[[#This Row],[QT_AREA_REAL]]=0,"Reestimativa 1","Realizado"))</f>
        <v>Reestimativa 1</v>
      </c>
      <c r="W2054" s="1" t="str">
        <f>IF(ESTIMATIVA[[#This Row],[QT_AREA_REST2]]&gt;0,"Reestimativa 2",IF(ESTIMATIVA[[#This Row],[QT_AREA_REAL]]=0,"Reestimativa 2","Realizado"))</f>
        <v>Realizado</v>
      </c>
      <c r="X2054" s="1">
        <f>ESTIMATIVA[[#This Row],[QT_AREA_EST]]</f>
        <v>52.88</v>
      </c>
      <c r="Y2054" s="1">
        <f>IF(ESTIMATIVA[[#This Row],[QT_AREA_REST1]]&gt;0,ESTIMATIVA[[#This Row],[QT_AREA_REST1]],
  IF(ESTIMATIVA[[#This Row],[QT_AREA_REAL]]&gt;0,ESTIMATIVA[[#This Row],[QT_AREA_REAL]],ESTIMATIVA[[#This Row],[QT_AREA_EST]]))</f>
        <v>52.88</v>
      </c>
      <c r="Z205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52.88</v>
      </c>
      <c r="AA2054" s="1">
        <f>ESTIMATIVA[[#This Row],[QT_CANA_EST]]</f>
        <v>4547.68</v>
      </c>
      <c r="AB2054" s="1">
        <f>IF(ESTIMATIVA[[#This Row],[QT_CANA_REST1]]&gt;0,ESTIMATIVA[[#This Row],[QT_CANA_REST1]],
  IF(ESTIMATIVA[[#This Row],[QT_CANA_REAL]]&gt;0,ESTIMATIVA[[#This Row],[QT_CANA_REAL]],ESTIMATIVA[[#This Row],[QT_CANA_EST]]))</f>
        <v>5393.76</v>
      </c>
      <c r="AC205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4084.58</v>
      </c>
      <c r="AD2054" s="1">
        <f>IF(ESTIMATIVA[[#This Row],[QT_AREA_REAL]]&gt;0,ESTIMATIVA[[#This Row],[QT_CANA_REAL]],ESTIMATIVA[[#This Row],[QT_CANA_EST]])</f>
        <v>4084.58</v>
      </c>
      <c r="AE2054" s="1">
        <f>IF(ESTIMATIVA[[#This Row],[QT_AREA_REAL]]&gt;0,ESTIMATIVA[[#This Row],[QT_CANA_REAL]],ESTIMATIVA[[#This Row],[QT_CANA_REST1]])</f>
        <v>4084.58</v>
      </c>
      <c r="AF2054" s="1">
        <f>IF(ESTIMATIVA[[#This Row],[QT_AREA_REAL]]&gt;0,ESTIMATIVA[[#This Row],[QT_CANA_REAL]],ESTIMATIVA[[#This Row],[QT_CANA_REST2]])</f>
        <v>4084.58</v>
      </c>
      <c r="AG2054" s="1" t="str">
        <f>IF(COUNTIFS(GEADA!A:A,VALUE(ESTIMATIVA[[#This Row],[CD_UPNIVEL1]]&amp;TEXT(ESTIMATIVA[[#This Row],[CD_UPNIVEL3]],"0000")))&gt;0,"S","N")</f>
        <v>N</v>
      </c>
      <c r="AH205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54" s="55" t="str">
        <f>IF(ESTIMATIVA[[#This Row],[TP_CULTIVO]]="Irrigado",_xlfn.MAXIFS(IRRIGADO!J:J,IRRIGADO!C:C,ESTIMATIVA[[#This Row],[CD_UPNIVEL1]],IRRIGADO!E:E,ESTIMATIVA[[#This Row],[CD_UPNIVEL3]]),"")</f>
        <v/>
      </c>
      <c r="AJ205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54" s="1">
        <f>COUNTIFS(Apresentação!$E$23:$E$29,ESTIMATIVA[[#This Row],[CD_UPNIVEL1]])</f>
        <v>0</v>
      </c>
    </row>
    <row r="2055" spans="1:37" x14ac:dyDescent="0.3">
      <c r="A2055">
        <v>30519</v>
      </c>
      <c r="B2055" t="s">
        <v>114</v>
      </c>
      <c r="C2055">
        <v>4</v>
      </c>
      <c r="D2055">
        <v>1</v>
      </c>
      <c r="E2055" t="s">
        <v>264</v>
      </c>
      <c r="F2055" s="85" t="s">
        <v>331</v>
      </c>
      <c r="G2055"/>
      <c r="H2055" t="s">
        <v>294</v>
      </c>
      <c r="I2055" t="s">
        <v>200</v>
      </c>
      <c r="J2055" t="s">
        <v>178</v>
      </c>
      <c r="K2055" s="1">
        <v>57.38</v>
      </c>
      <c r="L2055" s="1">
        <v>57.38</v>
      </c>
      <c r="M2055" s="1">
        <v>0</v>
      </c>
      <c r="N2055" s="1">
        <v>57.38</v>
      </c>
      <c r="O2055" s="1">
        <v>5393.72</v>
      </c>
      <c r="P2055" s="1">
        <v>5852.76</v>
      </c>
      <c r="Q2055" s="1">
        <v>0</v>
      </c>
      <c r="R2055" s="1">
        <v>4432.45</v>
      </c>
      <c r="S2055" t="s">
        <v>282</v>
      </c>
      <c r="T2055" s="13">
        <v>45886</v>
      </c>
      <c r="U2055" s="1" t="str">
        <f>IF(ESTIMATIVA[[#This Row],[QT_AREA_REAL]]&gt;0,"1- Colhido","2- à Colher")</f>
        <v>1- Colhido</v>
      </c>
      <c r="V2055" s="1" t="str">
        <f>IF(ESTIMATIVA[[#This Row],[QT_AREA_REST1]]&gt;0,"Reestimativa 1",IF(ESTIMATIVA[[#This Row],[QT_AREA_REAL]]=0,"Reestimativa 1","Realizado"))</f>
        <v>Reestimativa 1</v>
      </c>
      <c r="W2055" s="1" t="str">
        <f>IF(ESTIMATIVA[[#This Row],[QT_AREA_REST2]]&gt;0,"Reestimativa 2",IF(ESTIMATIVA[[#This Row],[QT_AREA_REAL]]=0,"Reestimativa 2","Realizado"))</f>
        <v>Realizado</v>
      </c>
      <c r="X2055" s="1">
        <f>ESTIMATIVA[[#This Row],[QT_AREA_EST]]</f>
        <v>57.38</v>
      </c>
      <c r="Y2055" s="1">
        <f>IF(ESTIMATIVA[[#This Row],[QT_AREA_REST1]]&gt;0,ESTIMATIVA[[#This Row],[QT_AREA_REST1]],
  IF(ESTIMATIVA[[#This Row],[QT_AREA_REAL]]&gt;0,ESTIMATIVA[[#This Row],[QT_AREA_REAL]],ESTIMATIVA[[#This Row],[QT_AREA_EST]]))</f>
        <v>57.38</v>
      </c>
      <c r="Z205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57.38</v>
      </c>
      <c r="AA2055" s="1">
        <f>ESTIMATIVA[[#This Row],[QT_CANA_EST]]</f>
        <v>5393.72</v>
      </c>
      <c r="AB2055" s="1">
        <f>IF(ESTIMATIVA[[#This Row],[QT_CANA_REST1]]&gt;0,ESTIMATIVA[[#This Row],[QT_CANA_REST1]],
  IF(ESTIMATIVA[[#This Row],[QT_CANA_REAL]]&gt;0,ESTIMATIVA[[#This Row],[QT_CANA_REAL]],ESTIMATIVA[[#This Row],[QT_CANA_EST]]))</f>
        <v>5852.76</v>
      </c>
      <c r="AC205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4432.45</v>
      </c>
      <c r="AD2055" s="1">
        <f>IF(ESTIMATIVA[[#This Row],[QT_AREA_REAL]]&gt;0,ESTIMATIVA[[#This Row],[QT_CANA_REAL]],ESTIMATIVA[[#This Row],[QT_CANA_EST]])</f>
        <v>4432.45</v>
      </c>
      <c r="AE2055" s="1">
        <f>IF(ESTIMATIVA[[#This Row],[QT_AREA_REAL]]&gt;0,ESTIMATIVA[[#This Row],[QT_CANA_REAL]],ESTIMATIVA[[#This Row],[QT_CANA_REST1]])</f>
        <v>4432.45</v>
      </c>
      <c r="AF2055" s="1">
        <f>IF(ESTIMATIVA[[#This Row],[QT_AREA_REAL]]&gt;0,ESTIMATIVA[[#This Row],[QT_CANA_REAL]],ESTIMATIVA[[#This Row],[QT_CANA_REST2]])</f>
        <v>4432.45</v>
      </c>
      <c r="AG2055" s="1" t="str">
        <f>IF(COUNTIFS(GEADA!A:A,VALUE(ESTIMATIVA[[#This Row],[CD_UPNIVEL1]]&amp;TEXT(ESTIMATIVA[[#This Row],[CD_UPNIVEL3]],"0000")))&gt;0,"S","N")</f>
        <v>N</v>
      </c>
      <c r="AH205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55" s="55" t="str">
        <f>IF(ESTIMATIVA[[#This Row],[TP_CULTIVO]]="Irrigado",_xlfn.MAXIFS(IRRIGADO!J:J,IRRIGADO!C:C,ESTIMATIVA[[#This Row],[CD_UPNIVEL1]],IRRIGADO!E:E,ESTIMATIVA[[#This Row],[CD_UPNIVEL3]]),"")</f>
        <v/>
      </c>
      <c r="AJ205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55" s="1">
        <f>COUNTIFS(Apresentação!$E$23:$E$29,ESTIMATIVA[[#This Row],[CD_UPNIVEL1]])</f>
        <v>0</v>
      </c>
    </row>
    <row r="2056" spans="1:37" x14ac:dyDescent="0.3">
      <c r="A2056">
        <v>30519</v>
      </c>
      <c r="B2056" t="s">
        <v>114</v>
      </c>
      <c r="C2056">
        <v>5</v>
      </c>
      <c r="D2056">
        <v>1</v>
      </c>
      <c r="E2056" t="s">
        <v>264</v>
      </c>
      <c r="F2056" s="85" t="s">
        <v>331</v>
      </c>
      <c r="G2056"/>
      <c r="H2056" t="s">
        <v>294</v>
      </c>
      <c r="I2056" t="s">
        <v>205</v>
      </c>
      <c r="J2056" t="s">
        <v>178</v>
      </c>
      <c r="K2056" s="1">
        <v>36.299999999999997</v>
      </c>
      <c r="L2056" s="1">
        <v>36.299999999999997</v>
      </c>
      <c r="M2056" s="1">
        <v>0</v>
      </c>
      <c r="N2056" s="1">
        <v>36.299999999999997</v>
      </c>
      <c r="O2056" s="1">
        <v>3194.4</v>
      </c>
      <c r="P2056" s="1">
        <v>3702.6</v>
      </c>
      <c r="Q2056" s="1">
        <v>0</v>
      </c>
      <c r="R2056" s="1">
        <v>7556.75</v>
      </c>
      <c r="S2056" t="s">
        <v>282</v>
      </c>
      <c r="T2056" s="13">
        <v>45879</v>
      </c>
      <c r="U2056" s="1" t="str">
        <f>IF(ESTIMATIVA[[#This Row],[QT_AREA_REAL]]&gt;0,"1- Colhido","2- à Colher")</f>
        <v>1- Colhido</v>
      </c>
      <c r="V2056" s="1" t="str">
        <f>IF(ESTIMATIVA[[#This Row],[QT_AREA_REST1]]&gt;0,"Reestimativa 1",IF(ESTIMATIVA[[#This Row],[QT_AREA_REAL]]=0,"Reestimativa 1","Realizado"))</f>
        <v>Reestimativa 1</v>
      </c>
      <c r="W2056" s="1" t="str">
        <f>IF(ESTIMATIVA[[#This Row],[QT_AREA_REST2]]&gt;0,"Reestimativa 2",IF(ESTIMATIVA[[#This Row],[QT_AREA_REAL]]=0,"Reestimativa 2","Realizado"))</f>
        <v>Realizado</v>
      </c>
      <c r="X2056" s="1">
        <f>ESTIMATIVA[[#This Row],[QT_AREA_EST]]</f>
        <v>36.299999999999997</v>
      </c>
      <c r="Y2056" s="1">
        <f>IF(ESTIMATIVA[[#This Row],[QT_AREA_REST1]]&gt;0,ESTIMATIVA[[#This Row],[QT_AREA_REST1]],
  IF(ESTIMATIVA[[#This Row],[QT_AREA_REAL]]&gt;0,ESTIMATIVA[[#This Row],[QT_AREA_REAL]],ESTIMATIVA[[#This Row],[QT_AREA_EST]]))</f>
        <v>36.299999999999997</v>
      </c>
      <c r="Z205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36.299999999999997</v>
      </c>
      <c r="AA2056" s="1">
        <f>ESTIMATIVA[[#This Row],[QT_CANA_EST]]</f>
        <v>3194.4</v>
      </c>
      <c r="AB2056" s="1">
        <f>IF(ESTIMATIVA[[#This Row],[QT_CANA_REST1]]&gt;0,ESTIMATIVA[[#This Row],[QT_CANA_REST1]],
  IF(ESTIMATIVA[[#This Row],[QT_CANA_REAL]]&gt;0,ESTIMATIVA[[#This Row],[QT_CANA_REAL]],ESTIMATIVA[[#This Row],[QT_CANA_EST]]))</f>
        <v>3702.6</v>
      </c>
      <c r="AC205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7556.75</v>
      </c>
      <c r="AD2056" s="1">
        <f>IF(ESTIMATIVA[[#This Row],[QT_AREA_REAL]]&gt;0,ESTIMATIVA[[#This Row],[QT_CANA_REAL]],ESTIMATIVA[[#This Row],[QT_CANA_EST]])</f>
        <v>7556.75</v>
      </c>
      <c r="AE2056" s="1">
        <f>IF(ESTIMATIVA[[#This Row],[QT_AREA_REAL]]&gt;0,ESTIMATIVA[[#This Row],[QT_CANA_REAL]],ESTIMATIVA[[#This Row],[QT_CANA_REST1]])</f>
        <v>7556.75</v>
      </c>
      <c r="AF2056" s="1">
        <f>IF(ESTIMATIVA[[#This Row],[QT_AREA_REAL]]&gt;0,ESTIMATIVA[[#This Row],[QT_CANA_REAL]],ESTIMATIVA[[#This Row],[QT_CANA_REST2]])</f>
        <v>7556.75</v>
      </c>
      <c r="AG2056" s="1" t="str">
        <f>IF(COUNTIFS(GEADA!A:A,VALUE(ESTIMATIVA[[#This Row],[CD_UPNIVEL1]]&amp;TEXT(ESTIMATIVA[[#This Row],[CD_UPNIVEL3]],"0000")))&gt;0,"S","N")</f>
        <v>N</v>
      </c>
      <c r="AH205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56" s="55" t="str">
        <f>IF(ESTIMATIVA[[#This Row],[TP_CULTIVO]]="Irrigado",_xlfn.MAXIFS(IRRIGADO!J:J,IRRIGADO!C:C,ESTIMATIVA[[#This Row],[CD_UPNIVEL1]],IRRIGADO!E:E,ESTIMATIVA[[#This Row],[CD_UPNIVEL3]]),"")</f>
        <v/>
      </c>
      <c r="AJ205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56" s="1">
        <f>COUNTIFS(Apresentação!$E$23:$E$29,ESTIMATIVA[[#This Row],[CD_UPNIVEL1]])</f>
        <v>0</v>
      </c>
    </row>
    <row r="2057" spans="1:37" x14ac:dyDescent="0.3">
      <c r="A2057">
        <v>30519</v>
      </c>
      <c r="B2057" t="s">
        <v>114</v>
      </c>
      <c r="C2057">
        <v>6</v>
      </c>
      <c r="D2057">
        <v>1</v>
      </c>
      <c r="E2057" t="s">
        <v>267</v>
      </c>
      <c r="F2057" s="85" t="s">
        <v>331</v>
      </c>
      <c r="G2057"/>
      <c r="H2057" t="s">
        <v>294</v>
      </c>
      <c r="I2057" t="s">
        <v>205</v>
      </c>
      <c r="J2057" t="s">
        <v>178</v>
      </c>
      <c r="K2057" s="1">
        <v>26.34</v>
      </c>
      <c r="L2057" s="1">
        <v>26.34</v>
      </c>
      <c r="M2057" s="1">
        <v>0</v>
      </c>
      <c r="N2057" s="1">
        <v>26.34</v>
      </c>
      <c r="O2057" s="1">
        <v>2291.58</v>
      </c>
      <c r="P2057" s="1">
        <v>2607.66</v>
      </c>
      <c r="Q2057" s="1">
        <v>0</v>
      </c>
      <c r="R2057" s="1">
        <v>1568.57</v>
      </c>
      <c r="S2057" t="s">
        <v>282</v>
      </c>
      <c r="T2057" s="13">
        <v>45893</v>
      </c>
      <c r="U2057" s="1" t="str">
        <f>IF(ESTIMATIVA[[#This Row],[QT_AREA_REAL]]&gt;0,"1- Colhido","2- à Colher")</f>
        <v>1- Colhido</v>
      </c>
      <c r="V2057" s="1" t="str">
        <f>IF(ESTIMATIVA[[#This Row],[QT_AREA_REST1]]&gt;0,"Reestimativa 1",IF(ESTIMATIVA[[#This Row],[QT_AREA_REAL]]=0,"Reestimativa 1","Realizado"))</f>
        <v>Reestimativa 1</v>
      </c>
      <c r="W2057" s="1" t="str">
        <f>IF(ESTIMATIVA[[#This Row],[QT_AREA_REST2]]&gt;0,"Reestimativa 2",IF(ESTIMATIVA[[#This Row],[QT_AREA_REAL]]=0,"Reestimativa 2","Realizado"))</f>
        <v>Realizado</v>
      </c>
      <c r="X2057" s="1">
        <f>ESTIMATIVA[[#This Row],[QT_AREA_EST]]</f>
        <v>26.34</v>
      </c>
      <c r="Y2057" s="1">
        <f>IF(ESTIMATIVA[[#This Row],[QT_AREA_REST1]]&gt;0,ESTIMATIVA[[#This Row],[QT_AREA_REST1]],
  IF(ESTIMATIVA[[#This Row],[QT_AREA_REAL]]&gt;0,ESTIMATIVA[[#This Row],[QT_AREA_REAL]],ESTIMATIVA[[#This Row],[QT_AREA_EST]]))</f>
        <v>26.34</v>
      </c>
      <c r="Z205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26.34</v>
      </c>
      <c r="AA2057" s="1">
        <f>ESTIMATIVA[[#This Row],[QT_CANA_EST]]</f>
        <v>2291.58</v>
      </c>
      <c r="AB2057" s="1">
        <f>IF(ESTIMATIVA[[#This Row],[QT_CANA_REST1]]&gt;0,ESTIMATIVA[[#This Row],[QT_CANA_REST1]],
  IF(ESTIMATIVA[[#This Row],[QT_CANA_REAL]]&gt;0,ESTIMATIVA[[#This Row],[QT_CANA_REAL]],ESTIMATIVA[[#This Row],[QT_CANA_EST]]))</f>
        <v>2607.66</v>
      </c>
      <c r="AC205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1568.57</v>
      </c>
      <c r="AD2057" s="1">
        <f>IF(ESTIMATIVA[[#This Row],[QT_AREA_REAL]]&gt;0,ESTIMATIVA[[#This Row],[QT_CANA_REAL]],ESTIMATIVA[[#This Row],[QT_CANA_EST]])</f>
        <v>1568.57</v>
      </c>
      <c r="AE2057" s="1">
        <f>IF(ESTIMATIVA[[#This Row],[QT_AREA_REAL]]&gt;0,ESTIMATIVA[[#This Row],[QT_CANA_REAL]],ESTIMATIVA[[#This Row],[QT_CANA_REST1]])</f>
        <v>1568.57</v>
      </c>
      <c r="AF2057" s="1">
        <f>IF(ESTIMATIVA[[#This Row],[QT_AREA_REAL]]&gt;0,ESTIMATIVA[[#This Row],[QT_CANA_REAL]],ESTIMATIVA[[#This Row],[QT_CANA_REST2]])</f>
        <v>1568.57</v>
      </c>
      <c r="AG2057" s="1" t="str">
        <f>IF(COUNTIFS(GEADA!A:A,VALUE(ESTIMATIVA[[#This Row],[CD_UPNIVEL1]]&amp;TEXT(ESTIMATIVA[[#This Row],[CD_UPNIVEL3]],"0000")))&gt;0,"S","N")</f>
        <v>N</v>
      </c>
      <c r="AH205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57" s="55" t="str">
        <f>IF(ESTIMATIVA[[#This Row],[TP_CULTIVO]]="Irrigado",_xlfn.MAXIFS(IRRIGADO!J:J,IRRIGADO!C:C,ESTIMATIVA[[#This Row],[CD_UPNIVEL1]],IRRIGADO!E:E,ESTIMATIVA[[#This Row],[CD_UPNIVEL3]]),"")</f>
        <v/>
      </c>
      <c r="AJ205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57" s="1">
        <f>COUNTIFS(Apresentação!$E$23:$E$29,ESTIMATIVA[[#This Row],[CD_UPNIVEL1]])</f>
        <v>0</v>
      </c>
    </row>
    <row r="2058" spans="1:37" x14ac:dyDescent="0.3">
      <c r="A2058">
        <v>30519</v>
      </c>
      <c r="B2058" t="s">
        <v>114</v>
      </c>
      <c r="C2058">
        <v>7</v>
      </c>
      <c r="D2058">
        <v>1</v>
      </c>
      <c r="E2058" t="s">
        <v>267</v>
      </c>
      <c r="F2058" s="85" t="s">
        <v>331</v>
      </c>
      <c r="G2058"/>
      <c r="H2058" t="s">
        <v>294</v>
      </c>
      <c r="I2058" t="s">
        <v>205</v>
      </c>
      <c r="J2058" t="s">
        <v>178</v>
      </c>
      <c r="K2058" s="1">
        <v>16.760000000000002</v>
      </c>
      <c r="L2058" s="1">
        <v>16.760000000000002</v>
      </c>
      <c r="M2058" s="1">
        <v>0</v>
      </c>
      <c r="N2058" s="1">
        <v>16.760000000000002</v>
      </c>
      <c r="O2058" s="1">
        <v>1508.4</v>
      </c>
      <c r="P2058" s="1">
        <v>1659.24</v>
      </c>
      <c r="Q2058" s="1">
        <v>0</v>
      </c>
      <c r="R2058" s="1">
        <v>997.77</v>
      </c>
      <c r="S2058" t="s">
        <v>282</v>
      </c>
      <c r="T2058" s="13">
        <v>45893</v>
      </c>
      <c r="U2058" s="1" t="str">
        <f>IF(ESTIMATIVA[[#This Row],[QT_AREA_REAL]]&gt;0,"1- Colhido","2- à Colher")</f>
        <v>1- Colhido</v>
      </c>
      <c r="V2058" s="1" t="str">
        <f>IF(ESTIMATIVA[[#This Row],[QT_AREA_REST1]]&gt;0,"Reestimativa 1",IF(ESTIMATIVA[[#This Row],[QT_AREA_REAL]]=0,"Reestimativa 1","Realizado"))</f>
        <v>Reestimativa 1</v>
      </c>
      <c r="W2058" s="1" t="str">
        <f>IF(ESTIMATIVA[[#This Row],[QT_AREA_REST2]]&gt;0,"Reestimativa 2",IF(ESTIMATIVA[[#This Row],[QT_AREA_REAL]]=0,"Reestimativa 2","Realizado"))</f>
        <v>Realizado</v>
      </c>
      <c r="X2058" s="1">
        <f>ESTIMATIVA[[#This Row],[QT_AREA_EST]]</f>
        <v>16.760000000000002</v>
      </c>
      <c r="Y2058" s="1">
        <f>IF(ESTIMATIVA[[#This Row],[QT_AREA_REST1]]&gt;0,ESTIMATIVA[[#This Row],[QT_AREA_REST1]],
  IF(ESTIMATIVA[[#This Row],[QT_AREA_REAL]]&gt;0,ESTIMATIVA[[#This Row],[QT_AREA_REAL]],ESTIMATIVA[[#This Row],[QT_AREA_EST]]))</f>
        <v>16.760000000000002</v>
      </c>
      <c r="Z205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16.760000000000002</v>
      </c>
      <c r="AA2058" s="1">
        <f>ESTIMATIVA[[#This Row],[QT_CANA_EST]]</f>
        <v>1508.4</v>
      </c>
      <c r="AB2058" s="1">
        <f>IF(ESTIMATIVA[[#This Row],[QT_CANA_REST1]]&gt;0,ESTIMATIVA[[#This Row],[QT_CANA_REST1]],
  IF(ESTIMATIVA[[#This Row],[QT_CANA_REAL]]&gt;0,ESTIMATIVA[[#This Row],[QT_CANA_REAL]],ESTIMATIVA[[#This Row],[QT_CANA_EST]]))</f>
        <v>1659.24</v>
      </c>
      <c r="AC205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997.77</v>
      </c>
      <c r="AD2058" s="1">
        <f>IF(ESTIMATIVA[[#This Row],[QT_AREA_REAL]]&gt;0,ESTIMATIVA[[#This Row],[QT_CANA_REAL]],ESTIMATIVA[[#This Row],[QT_CANA_EST]])</f>
        <v>997.77</v>
      </c>
      <c r="AE2058" s="1">
        <f>IF(ESTIMATIVA[[#This Row],[QT_AREA_REAL]]&gt;0,ESTIMATIVA[[#This Row],[QT_CANA_REAL]],ESTIMATIVA[[#This Row],[QT_CANA_REST1]])</f>
        <v>997.77</v>
      </c>
      <c r="AF2058" s="1">
        <f>IF(ESTIMATIVA[[#This Row],[QT_AREA_REAL]]&gt;0,ESTIMATIVA[[#This Row],[QT_CANA_REAL]],ESTIMATIVA[[#This Row],[QT_CANA_REST2]])</f>
        <v>997.77</v>
      </c>
      <c r="AG2058" s="1" t="str">
        <f>IF(COUNTIFS(GEADA!A:A,VALUE(ESTIMATIVA[[#This Row],[CD_UPNIVEL1]]&amp;TEXT(ESTIMATIVA[[#This Row],[CD_UPNIVEL3]],"0000")))&gt;0,"S","N")</f>
        <v>N</v>
      </c>
      <c r="AH205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58" s="55" t="str">
        <f>IF(ESTIMATIVA[[#This Row],[TP_CULTIVO]]="Irrigado",_xlfn.MAXIFS(IRRIGADO!J:J,IRRIGADO!C:C,ESTIMATIVA[[#This Row],[CD_UPNIVEL1]],IRRIGADO!E:E,ESTIMATIVA[[#This Row],[CD_UPNIVEL3]]),"")</f>
        <v/>
      </c>
      <c r="AJ205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58" s="1">
        <f>COUNTIFS(Apresentação!$E$23:$E$29,ESTIMATIVA[[#This Row],[CD_UPNIVEL1]])</f>
        <v>0</v>
      </c>
    </row>
    <row r="2059" spans="1:37" x14ac:dyDescent="0.3">
      <c r="A2059">
        <v>30519</v>
      </c>
      <c r="B2059" t="s">
        <v>114</v>
      </c>
      <c r="C2059">
        <v>8</v>
      </c>
      <c r="D2059">
        <v>1</v>
      </c>
      <c r="E2059" t="s">
        <v>267</v>
      </c>
      <c r="F2059" s="85" t="s">
        <v>331</v>
      </c>
      <c r="G2059"/>
      <c r="H2059" t="s">
        <v>294</v>
      </c>
      <c r="I2059" t="s">
        <v>205</v>
      </c>
      <c r="J2059" t="s">
        <v>178</v>
      </c>
      <c r="K2059" s="1">
        <v>21.62</v>
      </c>
      <c r="L2059" s="1">
        <v>21.62</v>
      </c>
      <c r="M2059" s="1">
        <v>0</v>
      </c>
      <c r="N2059" s="1">
        <v>21.62</v>
      </c>
      <c r="O2059" s="1">
        <v>1945.8</v>
      </c>
      <c r="P2059" s="1">
        <v>2140.38</v>
      </c>
      <c r="Q2059" s="1">
        <v>0</v>
      </c>
      <c r="R2059" s="1">
        <v>1287.27</v>
      </c>
      <c r="S2059" t="s">
        <v>282</v>
      </c>
      <c r="T2059" s="13">
        <v>45893</v>
      </c>
      <c r="U2059" s="1" t="str">
        <f>IF(ESTIMATIVA[[#This Row],[QT_AREA_REAL]]&gt;0,"1- Colhido","2- à Colher")</f>
        <v>1- Colhido</v>
      </c>
      <c r="V2059" s="1" t="str">
        <f>IF(ESTIMATIVA[[#This Row],[QT_AREA_REST1]]&gt;0,"Reestimativa 1",IF(ESTIMATIVA[[#This Row],[QT_AREA_REAL]]=0,"Reestimativa 1","Realizado"))</f>
        <v>Reestimativa 1</v>
      </c>
      <c r="W2059" s="1" t="str">
        <f>IF(ESTIMATIVA[[#This Row],[QT_AREA_REST2]]&gt;0,"Reestimativa 2",IF(ESTIMATIVA[[#This Row],[QT_AREA_REAL]]=0,"Reestimativa 2","Realizado"))</f>
        <v>Realizado</v>
      </c>
      <c r="X2059" s="1">
        <f>ESTIMATIVA[[#This Row],[QT_AREA_EST]]</f>
        <v>21.62</v>
      </c>
      <c r="Y2059" s="1">
        <f>IF(ESTIMATIVA[[#This Row],[QT_AREA_REST1]]&gt;0,ESTIMATIVA[[#This Row],[QT_AREA_REST1]],
  IF(ESTIMATIVA[[#This Row],[QT_AREA_REAL]]&gt;0,ESTIMATIVA[[#This Row],[QT_AREA_REAL]],ESTIMATIVA[[#This Row],[QT_AREA_EST]]))</f>
        <v>21.62</v>
      </c>
      <c r="Z205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21.62</v>
      </c>
      <c r="AA2059" s="1">
        <f>ESTIMATIVA[[#This Row],[QT_CANA_EST]]</f>
        <v>1945.8</v>
      </c>
      <c r="AB2059" s="1">
        <f>IF(ESTIMATIVA[[#This Row],[QT_CANA_REST1]]&gt;0,ESTIMATIVA[[#This Row],[QT_CANA_REST1]],
  IF(ESTIMATIVA[[#This Row],[QT_CANA_REAL]]&gt;0,ESTIMATIVA[[#This Row],[QT_CANA_REAL]],ESTIMATIVA[[#This Row],[QT_CANA_EST]]))</f>
        <v>2140.38</v>
      </c>
      <c r="AC205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1287.27</v>
      </c>
      <c r="AD2059" s="1">
        <f>IF(ESTIMATIVA[[#This Row],[QT_AREA_REAL]]&gt;0,ESTIMATIVA[[#This Row],[QT_CANA_REAL]],ESTIMATIVA[[#This Row],[QT_CANA_EST]])</f>
        <v>1287.27</v>
      </c>
      <c r="AE2059" s="1">
        <f>IF(ESTIMATIVA[[#This Row],[QT_AREA_REAL]]&gt;0,ESTIMATIVA[[#This Row],[QT_CANA_REAL]],ESTIMATIVA[[#This Row],[QT_CANA_REST1]])</f>
        <v>1287.27</v>
      </c>
      <c r="AF2059" s="1">
        <f>IF(ESTIMATIVA[[#This Row],[QT_AREA_REAL]]&gt;0,ESTIMATIVA[[#This Row],[QT_CANA_REAL]],ESTIMATIVA[[#This Row],[QT_CANA_REST2]])</f>
        <v>1287.27</v>
      </c>
      <c r="AG2059" s="1" t="str">
        <f>IF(COUNTIFS(GEADA!A:A,VALUE(ESTIMATIVA[[#This Row],[CD_UPNIVEL1]]&amp;TEXT(ESTIMATIVA[[#This Row],[CD_UPNIVEL3]],"0000")))&gt;0,"S","N")</f>
        <v>N</v>
      </c>
      <c r="AH205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59" s="55" t="str">
        <f>IF(ESTIMATIVA[[#This Row],[TP_CULTIVO]]="Irrigado",_xlfn.MAXIFS(IRRIGADO!J:J,IRRIGADO!C:C,ESTIMATIVA[[#This Row],[CD_UPNIVEL1]],IRRIGADO!E:E,ESTIMATIVA[[#This Row],[CD_UPNIVEL3]]),"")</f>
        <v/>
      </c>
      <c r="AJ205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59" s="1">
        <f>COUNTIFS(Apresentação!$E$23:$E$29,ESTIMATIVA[[#This Row],[CD_UPNIVEL1]])</f>
        <v>0</v>
      </c>
    </row>
    <row r="2060" spans="1:37" x14ac:dyDescent="0.3">
      <c r="A2060">
        <v>30519</v>
      </c>
      <c r="B2060" t="s">
        <v>114</v>
      </c>
      <c r="C2060">
        <v>9</v>
      </c>
      <c r="D2060">
        <v>2</v>
      </c>
      <c r="E2060" t="s">
        <v>266</v>
      </c>
      <c r="F2060" s="85" t="s">
        <v>331</v>
      </c>
      <c r="G2060"/>
      <c r="H2060" t="s">
        <v>294</v>
      </c>
      <c r="I2060" t="s">
        <v>205</v>
      </c>
      <c r="J2060" t="s">
        <v>178</v>
      </c>
      <c r="K2060" s="1">
        <v>20.43</v>
      </c>
      <c r="L2060" s="1">
        <v>20.43</v>
      </c>
      <c r="M2060" s="1">
        <v>20.43</v>
      </c>
      <c r="N2060" s="1">
        <v>20.43</v>
      </c>
      <c r="O2060" s="1">
        <v>1225.8</v>
      </c>
      <c r="P2060" s="1">
        <v>1225.8</v>
      </c>
      <c r="Q2060" s="1">
        <v>1225.8</v>
      </c>
      <c r="R2060" s="1">
        <v>1109.3399999999999</v>
      </c>
      <c r="S2060" t="s">
        <v>282</v>
      </c>
      <c r="T2060" s="13">
        <v>46005</v>
      </c>
      <c r="U2060" s="1" t="str">
        <f>IF(ESTIMATIVA[[#This Row],[QT_AREA_REAL]]&gt;0,"1- Colhido","2- à Colher")</f>
        <v>1- Colhido</v>
      </c>
      <c r="V2060" s="1" t="str">
        <f>IF(ESTIMATIVA[[#This Row],[QT_AREA_REST1]]&gt;0,"Reestimativa 1",IF(ESTIMATIVA[[#This Row],[QT_AREA_REAL]]=0,"Reestimativa 1","Realizado"))</f>
        <v>Reestimativa 1</v>
      </c>
      <c r="W2060" s="1" t="str">
        <f>IF(ESTIMATIVA[[#This Row],[QT_AREA_REST2]]&gt;0,"Reestimativa 2",IF(ESTIMATIVA[[#This Row],[QT_AREA_REAL]]=0,"Reestimativa 2","Realizado"))</f>
        <v>Reestimativa 2</v>
      </c>
      <c r="X2060" s="1">
        <f>ESTIMATIVA[[#This Row],[QT_AREA_EST]]</f>
        <v>20.43</v>
      </c>
      <c r="Y2060" s="1">
        <f>IF(ESTIMATIVA[[#This Row],[QT_AREA_REST1]]&gt;0,ESTIMATIVA[[#This Row],[QT_AREA_REST1]],
  IF(ESTIMATIVA[[#This Row],[QT_AREA_REAL]]&gt;0,ESTIMATIVA[[#This Row],[QT_AREA_REAL]],ESTIMATIVA[[#This Row],[QT_AREA_EST]]))</f>
        <v>20.43</v>
      </c>
      <c r="Z206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20.43</v>
      </c>
      <c r="AA2060" s="1">
        <f>ESTIMATIVA[[#This Row],[QT_CANA_EST]]</f>
        <v>1225.8</v>
      </c>
      <c r="AB2060" s="1">
        <f>IF(ESTIMATIVA[[#This Row],[QT_CANA_REST1]]&gt;0,ESTIMATIVA[[#This Row],[QT_CANA_REST1]],
  IF(ESTIMATIVA[[#This Row],[QT_CANA_REAL]]&gt;0,ESTIMATIVA[[#This Row],[QT_CANA_REAL]],ESTIMATIVA[[#This Row],[QT_CANA_EST]]))</f>
        <v>1225.8</v>
      </c>
      <c r="AC206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1225.8</v>
      </c>
      <c r="AD2060" s="1">
        <f>IF(ESTIMATIVA[[#This Row],[QT_AREA_REAL]]&gt;0,ESTIMATIVA[[#This Row],[QT_CANA_REAL]],ESTIMATIVA[[#This Row],[QT_CANA_EST]])</f>
        <v>1109.3399999999999</v>
      </c>
      <c r="AE2060" s="1">
        <f>IF(ESTIMATIVA[[#This Row],[QT_AREA_REAL]]&gt;0,ESTIMATIVA[[#This Row],[QT_CANA_REAL]],ESTIMATIVA[[#This Row],[QT_CANA_REST1]])</f>
        <v>1109.3399999999999</v>
      </c>
      <c r="AF2060" s="1">
        <f>IF(ESTIMATIVA[[#This Row],[QT_AREA_REAL]]&gt;0,ESTIMATIVA[[#This Row],[QT_CANA_REAL]],ESTIMATIVA[[#This Row],[QT_CANA_REST2]])</f>
        <v>1109.3399999999999</v>
      </c>
      <c r="AG2060" s="1" t="str">
        <f>IF(COUNTIFS(GEADA!A:A,VALUE(ESTIMATIVA[[#This Row],[CD_UPNIVEL1]]&amp;TEXT(ESTIMATIVA[[#This Row],[CD_UPNIVEL3]],"0000")))&gt;0,"S","N")</f>
        <v>N</v>
      </c>
      <c r="AH206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60" s="55" t="str">
        <f>IF(ESTIMATIVA[[#This Row],[TP_CULTIVO]]="Irrigado",_xlfn.MAXIFS(IRRIGADO!J:J,IRRIGADO!C:C,ESTIMATIVA[[#This Row],[CD_UPNIVEL1]],IRRIGADO!E:E,ESTIMATIVA[[#This Row],[CD_UPNIVEL3]]),"")</f>
        <v/>
      </c>
      <c r="AJ206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60" s="1">
        <f>COUNTIFS(Apresentação!$E$23:$E$29,ESTIMATIVA[[#This Row],[CD_UPNIVEL1]])</f>
        <v>0</v>
      </c>
    </row>
    <row r="2061" spans="1:37" x14ac:dyDescent="0.3">
      <c r="A2061">
        <v>30519</v>
      </c>
      <c r="B2061" t="s">
        <v>114</v>
      </c>
      <c r="C2061">
        <v>10</v>
      </c>
      <c r="D2061">
        <v>2</v>
      </c>
      <c r="E2061" t="s">
        <v>266</v>
      </c>
      <c r="F2061" s="85" t="s">
        <v>331</v>
      </c>
      <c r="G2061"/>
      <c r="H2061" t="s">
        <v>294</v>
      </c>
      <c r="I2061" t="s">
        <v>205</v>
      </c>
      <c r="J2061" t="s">
        <v>178</v>
      </c>
      <c r="K2061" s="1">
        <v>16.82</v>
      </c>
      <c r="L2061" s="1">
        <v>16.82</v>
      </c>
      <c r="M2061" s="1">
        <v>0</v>
      </c>
      <c r="N2061" s="1">
        <v>16.82</v>
      </c>
      <c r="O2061" s="1">
        <v>1009.2</v>
      </c>
      <c r="P2061" s="1">
        <v>1126.94</v>
      </c>
      <c r="Q2061" s="1">
        <v>0</v>
      </c>
      <c r="R2061" s="1">
        <v>2019.98</v>
      </c>
      <c r="S2061" t="s">
        <v>282</v>
      </c>
      <c r="T2061" s="13">
        <v>45893</v>
      </c>
      <c r="U2061" s="1" t="str">
        <f>IF(ESTIMATIVA[[#This Row],[QT_AREA_REAL]]&gt;0,"1- Colhido","2- à Colher")</f>
        <v>1- Colhido</v>
      </c>
      <c r="V2061" s="1" t="str">
        <f>IF(ESTIMATIVA[[#This Row],[QT_AREA_REST1]]&gt;0,"Reestimativa 1",IF(ESTIMATIVA[[#This Row],[QT_AREA_REAL]]=0,"Reestimativa 1","Realizado"))</f>
        <v>Reestimativa 1</v>
      </c>
      <c r="W2061" s="1" t="str">
        <f>IF(ESTIMATIVA[[#This Row],[QT_AREA_REST2]]&gt;0,"Reestimativa 2",IF(ESTIMATIVA[[#This Row],[QT_AREA_REAL]]=0,"Reestimativa 2","Realizado"))</f>
        <v>Realizado</v>
      </c>
      <c r="X2061" s="1">
        <f>ESTIMATIVA[[#This Row],[QT_AREA_EST]]</f>
        <v>16.82</v>
      </c>
      <c r="Y2061" s="1">
        <f>IF(ESTIMATIVA[[#This Row],[QT_AREA_REST1]]&gt;0,ESTIMATIVA[[#This Row],[QT_AREA_REST1]],
  IF(ESTIMATIVA[[#This Row],[QT_AREA_REAL]]&gt;0,ESTIMATIVA[[#This Row],[QT_AREA_REAL]],ESTIMATIVA[[#This Row],[QT_AREA_EST]]))</f>
        <v>16.82</v>
      </c>
      <c r="Z206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16.82</v>
      </c>
      <c r="AA2061" s="1">
        <f>ESTIMATIVA[[#This Row],[QT_CANA_EST]]</f>
        <v>1009.2</v>
      </c>
      <c r="AB2061" s="1">
        <f>IF(ESTIMATIVA[[#This Row],[QT_CANA_REST1]]&gt;0,ESTIMATIVA[[#This Row],[QT_CANA_REST1]],
  IF(ESTIMATIVA[[#This Row],[QT_CANA_REAL]]&gt;0,ESTIMATIVA[[#This Row],[QT_CANA_REAL]],ESTIMATIVA[[#This Row],[QT_CANA_EST]]))</f>
        <v>1126.94</v>
      </c>
      <c r="AC206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2019.98</v>
      </c>
      <c r="AD2061" s="1">
        <f>IF(ESTIMATIVA[[#This Row],[QT_AREA_REAL]]&gt;0,ESTIMATIVA[[#This Row],[QT_CANA_REAL]],ESTIMATIVA[[#This Row],[QT_CANA_EST]])</f>
        <v>2019.98</v>
      </c>
      <c r="AE2061" s="1">
        <f>IF(ESTIMATIVA[[#This Row],[QT_AREA_REAL]]&gt;0,ESTIMATIVA[[#This Row],[QT_CANA_REAL]],ESTIMATIVA[[#This Row],[QT_CANA_REST1]])</f>
        <v>2019.98</v>
      </c>
      <c r="AF2061" s="1">
        <f>IF(ESTIMATIVA[[#This Row],[QT_AREA_REAL]]&gt;0,ESTIMATIVA[[#This Row],[QT_CANA_REAL]],ESTIMATIVA[[#This Row],[QT_CANA_REST2]])</f>
        <v>2019.98</v>
      </c>
      <c r="AG2061" s="1" t="str">
        <f>IF(COUNTIFS(GEADA!A:A,VALUE(ESTIMATIVA[[#This Row],[CD_UPNIVEL1]]&amp;TEXT(ESTIMATIVA[[#This Row],[CD_UPNIVEL3]],"0000")))&gt;0,"S","N")</f>
        <v>N</v>
      </c>
      <c r="AH206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61" s="55" t="str">
        <f>IF(ESTIMATIVA[[#This Row],[TP_CULTIVO]]="Irrigado",_xlfn.MAXIFS(IRRIGADO!J:J,IRRIGADO!C:C,ESTIMATIVA[[#This Row],[CD_UPNIVEL1]],IRRIGADO!E:E,ESTIMATIVA[[#This Row],[CD_UPNIVEL3]]),"")</f>
        <v/>
      </c>
      <c r="AJ206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61" s="1">
        <f>COUNTIFS(Apresentação!$E$23:$E$29,ESTIMATIVA[[#This Row],[CD_UPNIVEL1]])</f>
        <v>0</v>
      </c>
    </row>
    <row r="2062" spans="1:37" x14ac:dyDescent="0.3">
      <c r="A2062">
        <v>30519</v>
      </c>
      <c r="B2062" t="s">
        <v>114</v>
      </c>
      <c r="C2062">
        <v>11</v>
      </c>
      <c r="D2062">
        <v>2</v>
      </c>
      <c r="E2062" t="s">
        <v>266</v>
      </c>
      <c r="F2062" s="85" t="s">
        <v>331</v>
      </c>
      <c r="G2062"/>
      <c r="H2062" t="s">
        <v>294</v>
      </c>
      <c r="I2062" t="s">
        <v>205</v>
      </c>
      <c r="J2062" t="s">
        <v>178</v>
      </c>
      <c r="K2062" s="1">
        <v>2.2000000000000002</v>
      </c>
      <c r="L2062" s="1">
        <v>2.2000000000000002</v>
      </c>
      <c r="M2062" s="1">
        <v>2.2000000000000002</v>
      </c>
      <c r="N2062" s="1">
        <v>2.2000000000000002</v>
      </c>
      <c r="O2062" s="1">
        <v>149.6</v>
      </c>
      <c r="P2062" s="1">
        <v>154</v>
      </c>
      <c r="Q2062" s="1">
        <v>154</v>
      </c>
      <c r="R2062" s="1">
        <v>114.92</v>
      </c>
      <c r="S2062" t="s">
        <v>282</v>
      </c>
      <c r="T2062" s="13">
        <v>46005</v>
      </c>
      <c r="U2062" s="1" t="str">
        <f>IF(ESTIMATIVA[[#This Row],[QT_AREA_REAL]]&gt;0,"1- Colhido","2- à Colher")</f>
        <v>1- Colhido</v>
      </c>
      <c r="V2062" s="1" t="str">
        <f>IF(ESTIMATIVA[[#This Row],[QT_AREA_REST1]]&gt;0,"Reestimativa 1",IF(ESTIMATIVA[[#This Row],[QT_AREA_REAL]]=0,"Reestimativa 1","Realizado"))</f>
        <v>Reestimativa 1</v>
      </c>
      <c r="W2062" s="1" t="str">
        <f>IF(ESTIMATIVA[[#This Row],[QT_AREA_REST2]]&gt;0,"Reestimativa 2",IF(ESTIMATIVA[[#This Row],[QT_AREA_REAL]]=0,"Reestimativa 2","Realizado"))</f>
        <v>Reestimativa 2</v>
      </c>
      <c r="X2062" s="1">
        <f>ESTIMATIVA[[#This Row],[QT_AREA_EST]]</f>
        <v>2.2000000000000002</v>
      </c>
      <c r="Y2062" s="1">
        <f>IF(ESTIMATIVA[[#This Row],[QT_AREA_REST1]]&gt;0,ESTIMATIVA[[#This Row],[QT_AREA_REST1]],
  IF(ESTIMATIVA[[#This Row],[QT_AREA_REAL]]&gt;0,ESTIMATIVA[[#This Row],[QT_AREA_REAL]],ESTIMATIVA[[#This Row],[QT_AREA_EST]]))</f>
        <v>2.2000000000000002</v>
      </c>
      <c r="Z206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2.2000000000000002</v>
      </c>
      <c r="AA2062" s="1">
        <f>ESTIMATIVA[[#This Row],[QT_CANA_EST]]</f>
        <v>149.6</v>
      </c>
      <c r="AB2062" s="1">
        <f>IF(ESTIMATIVA[[#This Row],[QT_CANA_REST1]]&gt;0,ESTIMATIVA[[#This Row],[QT_CANA_REST1]],
  IF(ESTIMATIVA[[#This Row],[QT_CANA_REAL]]&gt;0,ESTIMATIVA[[#This Row],[QT_CANA_REAL]],ESTIMATIVA[[#This Row],[QT_CANA_EST]]))</f>
        <v>154</v>
      </c>
      <c r="AC206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154</v>
      </c>
      <c r="AD2062" s="1">
        <f>IF(ESTIMATIVA[[#This Row],[QT_AREA_REAL]]&gt;0,ESTIMATIVA[[#This Row],[QT_CANA_REAL]],ESTIMATIVA[[#This Row],[QT_CANA_EST]])</f>
        <v>114.92</v>
      </c>
      <c r="AE2062" s="1">
        <f>IF(ESTIMATIVA[[#This Row],[QT_AREA_REAL]]&gt;0,ESTIMATIVA[[#This Row],[QT_CANA_REAL]],ESTIMATIVA[[#This Row],[QT_CANA_REST1]])</f>
        <v>114.92</v>
      </c>
      <c r="AF2062" s="1">
        <f>IF(ESTIMATIVA[[#This Row],[QT_AREA_REAL]]&gt;0,ESTIMATIVA[[#This Row],[QT_CANA_REAL]],ESTIMATIVA[[#This Row],[QT_CANA_REST2]])</f>
        <v>114.92</v>
      </c>
      <c r="AG2062" s="1" t="str">
        <f>IF(COUNTIFS(GEADA!A:A,VALUE(ESTIMATIVA[[#This Row],[CD_UPNIVEL1]]&amp;TEXT(ESTIMATIVA[[#This Row],[CD_UPNIVEL3]],"0000")))&gt;0,"S","N")</f>
        <v>N</v>
      </c>
      <c r="AH206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62" s="55" t="str">
        <f>IF(ESTIMATIVA[[#This Row],[TP_CULTIVO]]="Irrigado",_xlfn.MAXIFS(IRRIGADO!J:J,IRRIGADO!C:C,ESTIMATIVA[[#This Row],[CD_UPNIVEL1]],IRRIGADO!E:E,ESTIMATIVA[[#This Row],[CD_UPNIVEL3]]),"")</f>
        <v/>
      </c>
      <c r="AJ206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62" s="1">
        <f>COUNTIFS(Apresentação!$E$23:$E$29,ESTIMATIVA[[#This Row],[CD_UPNIVEL1]])</f>
        <v>0</v>
      </c>
    </row>
    <row r="2063" spans="1:37" x14ac:dyDescent="0.3">
      <c r="A2063">
        <v>30519</v>
      </c>
      <c r="B2063" t="s">
        <v>114</v>
      </c>
      <c r="C2063">
        <v>12</v>
      </c>
      <c r="D2063">
        <v>2</v>
      </c>
      <c r="E2063" t="s">
        <v>266</v>
      </c>
      <c r="F2063" s="85" t="s">
        <v>331</v>
      </c>
      <c r="G2063"/>
      <c r="H2063" t="s">
        <v>294</v>
      </c>
      <c r="I2063" t="s">
        <v>205</v>
      </c>
      <c r="J2063" t="s">
        <v>178</v>
      </c>
      <c r="K2063" s="1">
        <v>3.23</v>
      </c>
      <c r="L2063" s="1">
        <v>3.23</v>
      </c>
      <c r="M2063" s="1">
        <v>3.23</v>
      </c>
      <c r="N2063" s="1">
        <v>3.23</v>
      </c>
      <c r="O2063" s="1">
        <v>219.64</v>
      </c>
      <c r="P2063" s="1">
        <v>219.64</v>
      </c>
      <c r="Q2063" s="1">
        <v>219.64</v>
      </c>
      <c r="R2063" s="1">
        <v>199.35</v>
      </c>
      <c r="S2063" t="s">
        <v>282</v>
      </c>
      <c r="T2063" s="13">
        <v>46005</v>
      </c>
      <c r="U2063" s="1" t="str">
        <f>IF(ESTIMATIVA[[#This Row],[QT_AREA_REAL]]&gt;0,"1- Colhido","2- à Colher")</f>
        <v>1- Colhido</v>
      </c>
      <c r="V2063" s="1" t="str">
        <f>IF(ESTIMATIVA[[#This Row],[QT_AREA_REST1]]&gt;0,"Reestimativa 1",IF(ESTIMATIVA[[#This Row],[QT_AREA_REAL]]=0,"Reestimativa 1","Realizado"))</f>
        <v>Reestimativa 1</v>
      </c>
      <c r="W2063" s="1" t="str">
        <f>IF(ESTIMATIVA[[#This Row],[QT_AREA_REST2]]&gt;0,"Reestimativa 2",IF(ESTIMATIVA[[#This Row],[QT_AREA_REAL]]=0,"Reestimativa 2","Realizado"))</f>
        <v>Reestimativa 2</v>
      </c>
      <c r="X2063" s="1">
        <f>ESTIMATIVA[[#This Row],[QT_AREA_EST]]</f>
        <v>3.23</v>
      </c>
      <c r="Y2063" s="1">
        <f>IF(ESTIMATIVA[[#This Row],[QT_AREA_REST1]]&gt;0,ESTIMATIVA[[#This Row],[QT_AREA_REST1]],
  IF(ESTIMATIVA[[#This Row],[QT_AREA_REAL]]&gt;0,ESTIMATIVA[[#This Row],[QT_AREA_REAL]],ESTIMATIVA[[#This Row],[QT_AREA_EST]]))</f>
        <v>3.23</v>
      </c>
      <c r="Z206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3.23</v>
      </c>
      <c r="AA2063" s="1">
        <f>ESTIMATIVA[[#This Row],[QT_CANA_EST]]</f>
        <v>219.64</v>
      </c>
      <c r="AB2063" s="1">
        <f>IF(ESTIMATIVA[[#This Row],[QT_CANA_REST1]]&gt;0,ESTIMATIVA[[#This Row],[QT_CANA_REST1]],
  IF(ESTIMATIVA[[#This Row],[QT_CANA_REAL]]&gt;0,ESTIMATIVA[[#This Row],[QT_CANA_REAL]],ESTIMATIVA[[#This Row],[QT_CANA_EST]]))</f>
        <v>219.64</v>
      </c>
      <c r="AC206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219.64</v>
      </c>
      <c r="AD2063" s="1">
        <f>IF(ESTIMATIVA[[#This Row],[QT_AREA_REAL]]&gt;0,ESTIMATIVA[[#This Row],[QT_CANA_REAL]],ESTIMATIVA[[#This Row],[QT_CANA_EST]])</f>
        <v>199.35</v>
      </c>
      <c r="AE2063" s="1">
        <f>IF(ESTIMATIVA[[#This Row],[QT_AREA_REAL]]&gt;0,ESTIMATIVA[[#This Row],[QT_CANA_REAL]],ESTIMATIVA[[#This Row],[QT_CANA_REST1]])</f>
        <v>199.35</v>
      </c>
      <c r="AF2063" s="1">
        <f>IF(ESTIMATIVA[[#This Row],[QT_AREA_REAL]]&gt;0,ESTIMATIVA[[#This Row],[QT_CANA_REAL]],ESTIMATIVA[[#This Row],[QT_CANA_REST2]])</f>
        <v>199.35</v>
      </c>
      <c r="AG2063" s="1" t="str">
        <f>IF(COUNTIFS(GEADA!A:A,VALUE(ESTIMATIVA[[#This Row],[CD_UPNIVEL1]]&amp;TEXT(ESTIMATIVA[[#This Row],[CD_UPNIVEL3]],"0000")))&gt;0,"S","N")</f>
        <v>N</v>
      </c>
      <c r="AH206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63" s="55" t="str">
        <f>IF(ESTIMATIVA[[#This Row],[TP_CULTIVO]]="Irrigado",_xlfn.MAXIFS(IRRIGADO!J:J,IRRIGADO!C:C,ESTIMATIVA[[#This Row],[CD_UPNIVEL1]],IRRIGADO!E:E,ESTIMATIVA[[#This Row],[CD_UPNIVEL3]]),"")</f>
        <v/>
      </c>
      <c r="AJ206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63" s="1">
        <f>COUNTIFS(Apresentação!$E$23:$E$29,ESTIMATIVA[[#This Row],[CD_UPNIVEL1]])</f>
        <v>0</v>
      </c>
    </row>
    <row r="2064" spans="1:37" x14ac:dyDescent="0.3">
      <c r="A2064">
        <v>30519</v>
      </c>
      <c r="B2064" t="s">
        <v>114</v>
      </c>
      <c r="C2064">
        <v>13</v>
      </c>
      <c r="D2064">
        <v>2</v>
      </c>
      <c r="E2064" t="s">
        <v>266</v>
      </c>
      <c r="F2064" s="85" t="s">
        <v>331</v>
      </c>
      <c r="G2064"/>
      <c r="H2064" t="s">
        <v>294</v>
      </c>
      <c r="I2064" t="s">
        <v>205</v>
      </c>
      <c r="J2064" t="s">
        <v>178</v>
      </c>
      <c r="K2064" s="1">
        <v>13.48</v>
      </c>
      <c r="L2064" s="1">
        <v>13.48</v>
      </c>
      <c r="M2064" s="1">
        <v>13.48</v>
      </c>
      <c r="N2064" s="1">
        <v>13.48</v>
      </c>
      <c r="O2064" s="1">
        <v>916.64</v>
      </c>
      <c r="P2064" s="1">
        <v>916.64</v>
      </c>
      <c r="Q2064" s="1">
        <v>916.64</v>
      </c>
      <c r="R2064" s="1">
        <v>829.91</v>
      </c>
      <c r="S2064" t="s">
        <v>282</v>
      </c>
      <c r="T2064" s="13">
        <v>46005</v>
      </c>
      <c r="U2064" s="1" t="str">
        <f>IF(ESTIMATIVA[[#This Row],[QT_AREA_REAL]]&gt;0,"1- Colhido","2- à Colher")</f>
        <v>1- Colhido</v>
      </c>
      <c r="V2064" s="1" t="str">
        <f>IF(ESTIMATIVA[[#This Row],[QT_AREA_REST1]]&gt;0,"Reestimativa 1",IF(ESTIMATIVA[[#This Row],[QT_AREA_REAL]]=0,"Reestimativa 1","Realizado"))</f>
        <v>Reestimativa 1</v>
      </c>
      <c r="W2064" s="1" t="str">
        <f>IF(ESTIMATIVA[[#This Row],[QT_AREA_REST2]]&gt;0,"Reestimativa 2",IF(ESTIMATIVA[[#This Row],[QT_AREA_REAL]]=0,"Reestimativa 2","Realizado"))</f>
        <v>Reestimativa 2</v>
      </c>
      <c r="X2064" s="1">
        <f>ESTIMATIVA[[#This Row],[QT_AREA_EST]]</f>
        <v>13.48</v>
      </c>
      <c r="Y2064" s="1">
        <f>IF(ESTIMATIVA[[#This Row],[QT_AREA_REST1]]&gt;0,ESTIMATIVA[[#This Row],[QT_AREA_REST1]],
  IF(ESTIMATIVA[[#This Row],[QT_AREA_REAL]]&gt;0,ESTIMATIVA[[#This Row],[QT_AREA_REAL]],ESTIMATIVA[[#This Row],[QT_AREA_EST]]))</f>
        <v>13.48</v>
      </c>
      <c r="Z206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13.48</v>
      </c>
      <c r="AA2064" s="1">
        <f>ESTIMATIVA[[#This Row],[QT_CANA_EST]]</f>
        <v>916.64</v>
      </c>
      <c r="AB2064" s="1">
        <f>IF(ESTIMATIVA[[#This Row],[QT_CANA_REST1]]&gt;0,ESTIMATIVA[[#This Row],[QT_CANA_REST1]],
  IF(ESTIMATIVA[[#This Row],[QT_CANA_REAL]]&gt;0,ESTIMATIVA[[#This Row],[QT_CANA_REAL]],ESTIMATIVA[[#This Row],[QT_CANA_EST]]))</f>
        <v>916.64</v>
      </c>
      <c r="AC206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916.64</v>
      </c>
      <c r="AD2064" s="1">
        <f>IF(ESTIMATIVA[[#This Row],[QT_AREA_REAL]]&gt;0,ESTIMATIVA[[#This Row],[QT_CANA_REAL]],ESTIMATIVA[[#This Row],[QT_CANA_EST]])</f>
        <v>829.91</v>
      </c>
      <c r="AE2064" s="1">
        <f>IF(ESTIMATIVA[[#This Row],[QT_AREA_REAL]]&gt;0,ESTIMATIVA[[#This Row],[QT_CANA_REAL]],ESTIMATIVA[[#This Row],[QT_CANA_REST1]])</f>
        <v>829.91</v>
      </c>
      <c r="AF2064" s="1">
        <f>IF(ESTIMATIVA[[#This Row],[QT_AREA_REAL]]&gt;0,ESTIMATIVA[[#This Row],[QT_CANA_REAL]],ESTIMATIVA[[#This Row],[QT_CANA_REST2]])</f>
        <v>829.91</v>
      </c>
      <c r="AG2064" s="1" t="str">
        <f>IF(COUNTIFS(GEADA!A:A,VALUE(ESTIMATIVA[[#This Row],[CD_UPNIVEL1]]&amp;TEXT(ESTIMATIVA[[#This Row],[CD_UPNIVEL3]],"0000")))&gt;0,"S","N")</f>
        <v>N</v>
      </c>
      <c r="AH206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64" s="55" t="str">
        <f>IF(ESTIMATIVA[[#This Row],[TP_CULTIVO]]="Irrigado",_xlfn.MAXIFS(IRRIGADO!J:J,IRRIGADO!C:C,ESTIMATIVA[[#This Row],[CD_UPNIVEL1]],IRRIGADO!E:E,ESTIMATIVA[[#This Row],[CD_UPNIVEL3]]),"")</f>
        <v/>
      </c>
      <c r="AJ206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64" s="1">
        <f>COUNTIFS(Apresentação!$E$23:$E$29,ESTIMATIVA[[#This Row],[CD_UPNIVEL1]])</f>
        <v>0</v>
      </c>
    </row>
    <row r="2065" spans="1:37" x14ac:dyDescent="0.3">
      <c r="A2065">
        <v>30520</v>
      </c>
      <c r="B2065" t="s">
        <v>114</v>
      </c>
      <c r="C2065">
        <v>1</v>
      </c>
      <c r="D2065">
        <v>1</v>
      </c>
      <c r="E2065" t="s">
        <v>264</v>
      </c>
      <c r="F2065" s="85" t="s">
        <v>331</v>
      </c>
      <c r="G2065"/>
      <c r="H2065" t="s">
        <v>294</v>
      </c>
      <c r="I2065" t="s">
        <v>205</v>
      </c>
      <c r="J2065" t="s">
        <v>178</v>
      </c>
      <c r="K2065" s="1">
        <v>41.57</v>
      </c>
      <c r="L2065" s="1">
        <v>41.57</v>
      </c>
      <c r="M2065" s="1">
        <v>0</v>
      </c>
      <c r="N2065" s="1">
        <v>41.57</v>
      </c>
      <c r="O2065" s="1">
        <v>3325.6</v>
      </c>
      <c r="P2065" s="1">
        <v>3741.3</v>
      </c>
      <c r="Q2065" s="1">
        <v>0</v>
      </c>
      <c r="R2065" s="1">
        <v>3127.35</v>
      </c>
      <c r="S2065" t="s">
        <v>282</v>
      </c>
      <c r="T2065" s="13">
        <v>45879</v>
      </c>
      <c r="U2065" s="1" t="str">
        <f>IF(ESTIMATIVA[[#This Row],[QT_AREA_REAL]]&gt;0,"1- Colhido","2- à Colher")</f>
        <v>1- Colhido</v>
      </c>
      <c r="V2065" s="1" t="str">
        <f>IF(ESTIMATIVA[[#This Row],[QT_AREA_REST1]]&gt;0,"Reestimativa 1",IF(ESTIMATIVA[[#This Row],[QT_AREA_REAL]]=0,"Reestimativa 1","Realizado"))</f>
        <v>Reestimativa 1</v>
      </c>
      <c r="W2065" s="1" t="str">
        <f>IF(ESTIMATIVA[[#This Row],[QT_AREA_REST2]]&gt;0,"Reestimativa 2",IF(ESTIMATIVA[[#This Row],[QT_AREA_REAL]]=0,"Reestimativa 2","Realizado"))</f>
        <v>Realizado</v>
      </c>
      <c r="X2065" s="1">
        <f>ESTIMATIVA[[#This Row],[QT_AREA_EST]]</f>
        <v>41.57</v>
      </c>
      <c r="Y2065" s="1">
        <f>IF(ESTIMATIVA[[#This Row],[QT_AREA_REST1]]&gt;0,ESTIMATIVA[[#This Row],[QT_AREA_REST1]],
  IF(ESTIMATIVA[[#This Row],[QT_AREA_REAL]]&gt;0,ESTIMATIVA[[#This Row],[QT_AREA_REAL]],ESTIMATIVA[[#This Row],[QT_AREA_EST]]))</f>
        <v>41.57</v>
      </c>
      <c r="Z206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41.57</v>
      </c>
      <c r="AA2065" s="1">
        <f>ESTIMATIVA[[#This Row],[QT_CANA_EST]]</f>
        <v>3325.6</v>
      </c>
      <c r="AB2065" s="1">
        <f>IF(ESTIMATIVA[[#This Row],[QT_CANA_REST1]]&gt;0,ESTIMATIVA[[#This Row],[QT_CANA_REST1]],
  IF(ESTIMATIVA[[#This Row],[QT_CANA_REAL]]&gt;0,ESTIMATIVA[[#This Row],[QT_CANA_REAL]],ESTIMATIVA[[#This Row],[QT_CANA_EST]]))</f>
        <v>3741.3</v>
      </c>
      <c r="AC206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3127.35</v>
      </c>
      <c r="AD2065" s="1">
        <f>IF(ESTIMATIVA[[#This Row],[QT_AREA_REAL]]&gt;0,ESTIMATIVA[[#This Row],[QT_CANA_REAL]],ESTIMATIVA[[#This Row],[QT_CANA_EST]])</f>
        <v>3127.35</v>
      </c>
      <c r="AE2065" s="1">
        <f>IF(ESTIMATIVA[[#This Row],[QT_AREA_REAL]]&gt;0,ESTIMATIVA[[#This Row],[QT_CANA_REAL]],ESTIMATIVA[[#This Row],[QT_CANA_REST1]])</f>
        <v>3127.35</v>
      </c>
      <c r="AF2065" s="1">
        <f>IF(ESTIMATIVA[[#This Row],[QT_AREA_REAL]]&gt;0,ESTIMATIVA[[#This Row],[QT_CANA_REAL]],ESTIMATIVA[[#This Row],[QT_CANA_REST2]])</f>
        <v>3127.35</v>
      </c>
      <c r="AG2065" s="1" t="str">
        <f>IF(COUNTIFS(GEADA!A:A,VALUE(ESTIMATIVA[[#This Row],[CD_UPNIVEL1]]&amp;TEXT(ESTIMATIVA[[#This Row],[CD_UPNIVEL3]],"0000")))&gt;0,"S","N")</f>
        <v>N</v>
      </c>
      <c r="AH206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65" s="55" t="str">
        <f>IF(ESTIMATIVA[[#This Row],[TP_CULTIVO]]="Irrigado",_xlfn.MAXIFS(IRRIGADO!J:J,IRRIGADO!C:C,ESTIMATIVA[[#This Row],[CD_UPNIVEL1]],IRRIGADO!E:E,ESTIMATIVA[[#This Row],[CD_UPNIVEL3]]),"")</f>
        <v/>
      </c>
      <c r="AJ206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65" s="1">
        <f>COUNTIFS(Apresentação!$E$23:$E$29,ESTIMATIVA[[#This Row],[CD_UPNIVEL1]])</f>
        <v>0</v>
      </c>
    </row>
    <row r="2066" spans="1:37" x14ac:dyDescent="0.3">
      <c r="A2066">
        <v>30520</v>
      </c>
      <c r="B2066" t="s">
        <v>114</v>
      </c>
      <c r="C2066">
        <v>2</v>
      </c>
      <c r="D2066">
        <v>1</v>
      </c>
      <c r="E2066" t="s">
        <v>264</v>
      </c>
      <c r="F2066" s="85" t="s">
        <v>331</v>
      </c>
      <c r="G2066"/>
      <c r="H2066" t="s">
        <v>294</v>
      </c>
      <c r="I2066" t="s">
        <v>205</v>
      </c>
      <c r="J2066" t="s">
        <v>178</v>
      </c>
      <c r="K2066" s="1">
        <v>30.99</v>
      </c>
      <c r="L2066" s="1">
        <v>30.99</v>
      </c>
      <c r="M2066" s="1">
        <v>0</v>
      </c>
      <c r="N2066" s="1">
        <v>30.99</v>
      </c>
      <c r="O2066" s="1">
        <v>2293.2600000000002</v>
      </c>
      <c r="P2066" s="1">
        <v>2727.12</v>
      </c>
      <c r="Q2066" s="1">
        <v>0</v>
      </c>
      <c r="R2066" s="1">
        <v>2347.75</v>
      </c>
      <c r="S2066" t="s">
        <v>282</v>
      </c>
      <c r="T2066" s="13">
        <v>45879</v>
      </c>
      <c r="U2066" s="1" t="str">
        <f>IF(ESTIMATIVA[[#This Row],[QT_AREA_REAL]]&gt;0,"1- Colhido","2- à Colher")</f>
        <v>1- Colhido</v>
      </c>
      <c r="V2066" s="1" t="str">
        <f>IF(ESTIMATIVA[[#This Row],[QT_AREA_REST1]]&gt;0,"Reestimativa 1",IF(ESTIMATIVA[[#This Row],[QT_AREA_REAL]]=0,"Reestimativa 1","Realizado"))</f>
        <v>Reestimativa 1</v>
      </c>
      <c r="W2066" s="1" t="str">
        <f>IF(ESTIMATIVA[[#This Row],[QT_AREA_REST2]]&gt;0,"Reestimativa 2",IF(ESTIMATIVA[[#This Row],[QT_AREA_REAL]]=0,"Reestimativa 2","Realizado"))</f>
        <v>Realizado</v>
      </c>
      <c r="X2066" s="1">
        <f>ESTIMATIVA[[#This Row],[QT_AREA_EST]]</f>
        <v>30.99</v>
      </c>
      <c r="Y2066" s="1">
        <f>IF(ESTIMATIVA[[#This Row],[QT_AREA_REST1]]&gt;0,ESTIMATIVA[[#This Row],[QT_AREA_REST1]],
  IF(ESTIMATIVA[[#This Row],[QT_AREA_REAL]]&gt;0,ESTIMATIVA[[#This Row],[QT_AREA_REAL]],ESTIMATIVA[[#This Row],[QT_AREA_EST]]))</f>
        <v>30.99</v>
      </c>
      <c r="Z206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30.99</v>
      </c>
      <c r="AA2066" s="1">
        <f>ESTIMATIVA[[#This Row],[QT_CANA_EST]]</f>
        <v>2293.2600000000002</v>
      </c>
      <c r="AB2066" s="1">
        <f>IF(ESTIMATIVA[[#This Row],[QT_CANA_REST1]]&gt;0,ESTIMATIVA[[#This Row],[QT_CANA_REST1]],
  IF(ESTIMATIVA[[#This Row],[QT_CANA_REAL]]&gt;0,ESTIMATIVA[[#This Row],[QT_CANA_REAL]],ESTIMATIVA[[#This Row],[QT_CANA_EST]]))</f>
        <v>2727.12</v>
      </c>
      <c r="AC206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2347.75</v>
      </c>
      <c r="AD2066" s="1">
        <f>IF(ESTIMATIVA[[#This Row],[QT_AREA_REAL]]&gt;0,ESTIMATIVA[[#This Row],[QT_CANA_REAL]],ESTIMATIVA[[#This Row],[QT_CANA_EST]])</f>
        <v>2347.75</v>
      </c>
      <c r="AE2066" s="1">
        <f>IF(ESTIMATIVA[[#This Row],[QT_AREA_REAL]]&gt;0,ESTIMATIVA[[#This Row],[QT_CANA_REAL]],ESTIMATIVA[[#This Row],[QT_CANA_REST1]])</f>
        <v>2347.75</v>
      </c>
      <c r="AF2066" s="1">
        <f>IF(ESTIMATIVA[[#This Row],[QT_AREA_REAL]]&gt;0,ESTIMATIVA[[#This Row],[QT_CANA_REAL]],ESTIMATIVA[[#This Row],[QT_CANA_REST2]])</f>
        <v>2347.75</v>
      </c>
      <c r="AG2066" s="1" t="str">
        <f>IF(COUNTIFS(GEADA!A:A,VALUE(ESTIMATIVA[[#This Row],[CD_UPNIVEL1]]&amp;TEXT(ESTIMATIVA[[#This Row],[CD_UPNIVEL3]],"0000")))&gt;0,"S","N")</f>
        <v>N</v>
      </c>
      <c r="AH206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66" s="55" t="str">
        <f>IF(ESTIMATIVA[[#This Row],[TP_CULTIVO]]="Irrigado",_xlfn.MAXIFS(IRRIGADO!J:J,IRRIGADO!C:C,ESTIMATIVA[[#This Row],[CD_UPNIVEL1]],IRRIGADO!E:E,ESTIMATIVA[[#This Row],[CD_UPNIVEL3]]),"")</f>
        <v/>
      </c>
      <c r="AJ206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66" s="1">
        <f>COUNTIFS(Apresentação!$E$23:$E$29,ESTIMATIVA[[#This Row],[CD_UPNIVEL1]])</f>
        <v>0</v>
      </c>
    </row>
    <row r="2067" spans="1:37" x14ac:dyDescent="0.3">
      <c r="A2067">
        <v>30520</v>
      </c>
      <c r="B2067" t="s">
        <v>114</v>
      </c>
      <c r="C2067">
        <v>3</v>
      </c>
      <c r="D2067">
        <v>1</v>
      </c>
      <c r="E2067" t="s">
        <v>264</v>
      </c>
      <c r="F2067" s="85" t="s">
        <v>331</v>
      </c>
      <c r="G2067"/>
      <c r="H2067" t="s">
        <v>294</v>
      </c>
      <c r="I2067" t="s">
        <v>205</v>
      </c>
      <c r="J2067" t="s">
        <v>178</v>
      </c>
      <c r="K2067" s="1">
        <v>17.79</v>
      </c>
      <c r="L2067" s="1">
        <v>17.79</v>
      </c>
      <c r="M2067" s="1">
        <v>0</v>
      </c>
      <c r="N2067" s="1">
        <v>17.79</v>
      </c>
      <c r="O2067" s="1">
        <v>1316.46</v>
      </c>
      <c r="P2067" s="1">
        <v>1565.52</v>
      </c>
      <c r="Q2067" s="1">
        <v>0</v>
      </c>
      <c r="R2067" s="1">
        <v>1309.21</v>
      </c>
      <c r="S2067" t="s">
        <v>282</v>
      </c>
      <c r="T2067" s="13">
        <v>45879</v>
      </c>
      <c r="U2067" s="1" t="str">
        <f>IF(ESTIMATIVA[[#This Row],[QT_AREA_REAL]]&gt;0,"1- Colhido","2- à Colher")</f>
        <v>1- Colhido</v>
      </c>
      <c r="V2067" s="1" t="str">
        <f>IF(ESTIMATIVA[[#This Row],[QT_AREA_REST1]]&gt;0,"Reestimativa 1",IF(ESTIMATIVA[[#This Row],[QT_AREA_REAL]]=0,"Reestimativa 1","Realizado"))</f>
        <v>Reestimativa 1</v>
      </c>
      <c r="W2067" s="1" t="str">
        <f>IF(ESTIMATIVA[[#This Row],[QT_AREA_REST2]]&gt;0,"Reestimativa 2",IF(ESTIMATIVA[[#This Row],[QT_AREA_REAL]]=0,"Reestimativa 2","Realizado"))</f>
        <v>Realizado</v>
      </c>
      <c r="X2067" s="1">
        <f>ESTIMATIVA[[#This Row],[QT_AREA_EST]]</f>
        <v>17.79</v>
      </c>
      <c r="Y2067" s="1">
        <f>IF(ESTIMATIVA[[#This Row],[QT_AREA_REST1]]&gt;0,ESTIMATIVA[[#This Row],[QT_AREA_REST1]],
  IF(ESTIMATIVA[[#This Row],[QT_AREA_REAL]]&gt;0,ESTIMATIVA[[#This Row],[QT_AREA_REAL]],ESTIMATIVA[[#This Row],[QT_AREA_EST]]))</f>
        <v>17.79</v>
      </c>
      <c r="Z206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17.79</v>
      </c>
      <c r="AA2067" s="1">
        <f>ESTIMATIVA[[#This Row],[QT_CANA_EST]]</f>
        <v>1316.46</v>
      </c>
      <c r="AB2067" s="1">
        <f>IF(ESTIMATIVA[[#This Row],[QT_CANA_REST1]]&gt;0,ESTIMATIVA[[#This Row],[QT_CANA_REST1]],
  IF(ESTIMATIVA[[#This Row],[QT_CANA_REAL]]&gt;0,ESTIMATIVA[[#This Row],[QT_CANA_REAL]],ESTIMATIVA[[#This Row],[QT_CANA_EST]]))</f>
        <v>1565.52</v>
      </c>
      <c r="AC206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1309.21</v>
      </c>
      <c r="AD2067" s="1">
        <f>IF(ESTIMATIVA[[#This Row],[QT_AREA_REAL]]&gt;0,ESTIMATIVA[[#This Row],[QT_CANA_REAL]],ESTIMATIVA[[#This Row],[QT_CANA_EST]])</f>
        <v>1309.21</v>
      </c>
      <c r="AE2067" s="1">
        <f>IF(ESTIMATIVA[[#This Row],[QT_AREA_REAL]]&gt;0,ESTIMATIVA[[#This Row],[QT_CANA_REAL]],ESTIMATIVA[[#This Row],[QT_CANA_REST1]])</f>
        <v>1309.21</v>
      </c>
      <c r="AF2067" s="1">
        <f>IF(ESTIMATIVA[[#This Row],[QT_AREA_REAL]]&gt;0,ESTIMATIVA[[#This Row],[QT_CANA_REAL]],ESTIMATIVA[[#This Row],[QT_CANA_REST2]])</f>
        <v>1309.21</v>
      </c>
      <c r="AG2067" s="1" t="str">
        <f>IF(COUNTIFS(GEADA!A:A,VALUE(ESTIMATIVA[[#This Row],[CD_UPNIVEL1]]&amp;TEXT(ESTIMATIVA[[#This Row],[CD_UPNIVEL3]],"0000")))&gt;0,"S","N")</f>
        <v>N</v>
      </c>
      <c r="AH206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67" s="55" t="str">
        <f>IF(ESTIMATIVA[[#This Row],[TP_CULTIVO]]="Irrigado",_xlfn.MAXIFS(IRRIGADO!J:J,IRRIGADO!C:C,ESTIMATIVA[[#This Row],[CD_UPNIVEL1]],IRRIGADO!E:E,ESTIMATIVA[[#This Row],[CD_UPNIVEL3]]),"")</f>
        <v/>
      </c>
      <c r="AJ206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67" s="1">
        <f>COUNTIFS(Apresentação!$E$23:$E$29,ESTIMATIVA[[#This Row],[CD_UPNIVEL1]])</f>
        <v>0</v>
      </c>
    </row>
    <row r="2068" spans="1:37" x14ac:dyDescent="0.3">
      <c r="A2068">
        <v>30520</v>
      </c>
      <c r="B2068" t="s">
        <v>114</v>
      </c>
      <c r="C2068">
        <v>4</v>
      </c>
      <c r="D2068">
        <v>1</v>
      </c>
      <c r="E2068" t="s">
        <v>267</v>
      </c>
      <c r="F2068" s="85" t="s">
        <v>331</v>
      </c>
      <c r="G2068"/>
      <c r="H2068" t="s">
        <v>294</v>
      </c>
      <c r="I2068" t="s">
        <v>200</v>
      </c>
      <c r="J2068" t="s">
        <v>178</v>
      </c>
      <c r="K2068" s="1">
        <v>34.81</v>
      </c>
      <c r="L2068" s="1">
        <v>34.81</v>
      </c>
      <c r="M2068" s="1">
        <v>34.81</v>
      </c>
      <c r="N2068" s="1">
        <v>34.81</v>
      </c>
      <c r="O2068" s="1">
        <v>2715.18</v>
      </c>
      <c r="P2068" s="1">
        <v>3132.9</v>
      </c>
      <c r="Q2068" s="1">
        <v>3132.9</v>
      </c>
      <c r="R2068" s="1">
        <v>381.73</v>
      </c>
      <c r="S2068" t="s">
        <v>282</v>
      </c>
      <c r="T2068" s="13">
        <v>46005</v>
      </c>
      <c r="U2068" s="1" t="str">
        <f>IF(ESTIMATIVA[[#This Row],[QT_AREA_REAL]]&gt;0,"1- Colhido","2- à Colher")</f>
        <v>1- Colhido</v>
      </c>
      <c r="V2068" s="1" t="str">
        <f>IF(ESTIMATIVA[[#This Row],[QT_AREA_REST1]]&gt;0,"Reestimativa 1",IF(ESTIMATIVA[[#This Row],[QT_AREA_REAL]]=0,"Reestimativa 1","Realizado"))</f>
        <v>Reestimativa 1</v>
      </c>
      <c r="W2068" s="1" t="str">
        <f>IF(ESTIMATIVA[[#This Row],[QT_AREA_REST2]]&gt;0,"Reestimativa 2",IF(ESTIMATIVA[[#This Row],[QT_AREA_REAL]]=0,"Reestimativa 2","Realizado"))</f>
        <v>Reestimativa 2</v>
      </c>
      <c r="X2068" s="1">
        <f>ESTIMATIVA[[#This Row],[QT_AREA_EST]]</f>
        <v>34.81</v>
      </c>
      <c r="Y2068" s="1">
        <f>IF(ESTIMATIVA[[#This Row],[QT_AREA_REST1]]&gt;0,ESTIMATIVA[[#This Row],[QT_AREA_REST1]],
  IF(ESTIMATIVA[[#This Row],[QT_AREA_REAL]]&gt;0,ESTIMATIVA[[#This Row],[QT_AREA_REAL]],ESTIMATIVA[[#This Row],[QT_AREA_EST]]))</f>
        <v>34.81</v>
      </c>
      <c r="Z206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34.81</v>
      </c>
      <c r="AA2068" s="1">
        <f>ESTIMATIVA[[#This Row],[QT_CANA_EST]]</f>
        <v>2715.18</v>
      </c>
      <c r="AB2068" s="1">
        <f>IF(ESTIMATIVA[[#This Row],[QT_CANA_REST1]]&gt;0,ESTIMATIVA[[#This Row],[QT_CANA_REST1]],
  IF(ESTIMATIVA[[#This Row],[QT_CANA_REAL]]&gt;0,ESTIMATIVA[[#This Row],[QT_CANA_REAL]],ESTIMATIVA[[#This Row],[QT_CANA_EST]]))</f>
        <v>3132.9</v>
      </c>
      <c r="AC206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3132.9</v>
      </c>
      <c r="AD2068" s="1">
        <f>IF(ESTIMATIVA[[#This Row],[QT_AREA_REAL]]&gt;0,ESTIMATIVA[[#This Row],[QT_CANA_REAL]],ESTIMATIVA[[#This Row],[QT_CANA_EST]])</f>
        <v>381.73</v>
      </c>
      <c r="AE2068" s="1">
        <f>IF(ESTIMATIVA[[#This Row],[QT_AREA_REAL]]&gt;0,ESTIMATIVA[[#This Row],[QT_CANA_REAL]],ESTIMATIVA[[#This Row],[QT_CANA_REST1]])</f>
        <v>381.73</v>
      </c>
      <c r="AF2068" s="1">
        <f>IF(ESTIMATIVA[[#This Row],[QT_AREA_REAL]]&gt;0,ESTIMATIVA[[#This Row],[QT_CANA_REAL]],ESTIMATIVA[[#This Row],[QT_CANA_REST2]])</f>
        <v>381.73</v>
      </c>
      <c r="AG2068" s="1" t="str">
        <f>IF(COUNTIFS(GEADA!A:A,VALUE(ESTIMATIVA[[#This Row],[CD_UPNIVEL1]]&amp;TEXT(ESTIMATIVA[[#This Row],[CD_UPNIVEL3]],"0000")))&gt;0,"S","N")</f>
        <v>N</v>
      </c>
      <c r="AH206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68" s="55" t="str">
        <f>IF(ESTIMATIVA[[#This Row],[TP_CULTIVO]]="Irrigado",_xlfn.MAXIFS(IRRIGADO!J:J,IRRIGADO!C:C,ESTIMATIVA[[#This Row],[CD_UPNIVEL1]],IRRIGADO!E:E,ESTIMATIVA[[#This Row],[CD_UPNIVEL3]]),"")</f>
        <v/>
      </c>
      <c r="AJ206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68" s="1">
        <f>COUNTIFS(Apresentação!$E$23:$E$29,ESTIMATIVA[[#This Row],[CD_UPNIVEL1]])</f>
        <v>0</v>
      </c>
    </row>
    <row r="2069" spans="1:37" x14ac:dyDescent="0.3">
      <c r="A2069">
        <v>30520</v>
      </c>
      <c r="B2069" t="s">
        <v>114</v>
      </c>
      <c r="C2069">
        <v>5</v>
      </c>
      <c r="D2069">
        <v>1</v>
      </c>
      <c r="E2069" t="s">
        <v>267</v>
      </c>
      <c r="F2069" s="85" t="s">
        <v>331</v>
      </c>
      <c r="G2069"/>
      <c r="H2069" t="s">
        <v>294</v>
      </c>
      <c r="I2069" t="s">
        <v>200</v>
      </c>
      <c r="J2069" t="s">
        <v>178</v>
      </c>
      <c r="K2069" s="1">
        <v>31.65</v>
      </c>
      <c r="L2069" s="1">
        <v>31.65</v>
      </c>
      <c r="M2069" s="1">
        <v>0</v>
      </c>
      <c r="N2069" s="1">
        <v>31.65</v>
      </c>
      <c r="O2069" s="1">
        <v>2468.6999999999998</v>
      </c>
      <c r="P2069" s="1">
        <v>2848.5</v>
      </c>
      <c r="Q2069" s="1">
        <v>0</v>
      </c>
      <c r="R2069" s="1">
        <v>4717.82</v>
      </c>
      <c r="S2069" t="s">
        <v>282</v>
      </c>
      <c r="T2069" s="13">
        <v>45886</v>
      </c>
      <c r="U2069" s="1" t="str">
        <f>IF(ESTIMATIVA[[#This Row],[QT_AREA_REAL]]&gt;0,"1- Colhido","2- à Colher")</f>
        <v>1- Colhido</v>
      </c>
      <c r="V2069" s="1" t="str">
        <f>IF(ESTIMATIVA[[#This Row],[QT_AREA_REST1]]&gt;0,"Reestimativa 1",IF(ESTIMATIVA[[#This Row],[QT_AREA_REAL]]=0,"Reestimativa 1","Realizado"))</f>
        <v>Reestimativa 1</v>
      </c>
      <c r="W2069" s="1" t="str">
        <f>IF(ESTIMATIVA[[#This Row],[QT_AREA_REST2]]&gt;0,"Reestimativa 2",IF(ESTIMATIVA[[#This Row],[QT_AREA_REAL]]=0,"Reestimativa 2","Realizado"))</f>
        <v>Realizado</v>
      </c>
      <c r="X2069" s="1">
        <f>ESTIMATIVA[[#This Row],[QT_AREA_EST]]</f>
        <v>31.65</v>
      </c>
      <c r="Y2069" s="1">
        <f>IF(ESTIMATIVA[[#This Row],[QT_AREA_REST1]]&gt;0,ESTIMATIVA[[#This Row],[QT_AREA_REST1]],
  IF(ESTIMATIVA[[#This Row],[QT_AREA_REAL]]&gt;0,ESTIMATIVA[[#This Row],[QT_AREA_REAL]],ESTIMATIVA[[#This Row],[QT_AREA_EST]]))</f>
        <v>31.65</v>
      </c>
      <c r="Z206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31.65</v>
      </c>
      <c r="AA2069" s="1">
        <f>ESTIMATIVA[[#This Row],[QT_CANA_EST]]</f>
        <v>2468.6999999999998</v>
      </c>
      <c r="AB2069" s="1">
        <f>IF(ESTIMATIVA[[#This Row],[QT_CANA_REST1]]&gt;0,ESTIMATIVA[[#This Row],[QT_CANA_REST1]],
  IF(ESTIMATIVA[[#This Row],[QT_CANA_REAL]]&gt;0,ESTIMATIVA[[#This Row],[QT_CANA_REAL]],ESTIMATIVA[[#This Row],[QT_CANA_EST]]))</f>
        <v>2848.5</v>
      </c>
      <c r="AC206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4717.82</v>
      </c>
      <c r="AD2069" s="1">
        <f>IF(ESTIMATIVA[[#This Row],[QT_AREA_REAL]]&gt;0,ESTIMATIVA[[#This Row],[QT_CANA_REAL]],ESTIMATIVA[[#This Row],[QT_CANA_EST]])</f>
        <v>4717.82</v>
      </c>
      <c r="AE2069" s="1">
        <f>IF(ESTIMATIVA[[#This Row],[QT_AREA_REAL]]&gt;0,ESTIMATIVA[[#This Row],[QT_CANA_REAL]],ESTIMATIVA[[#This Row],[QT_CANA_REST1]])</f>
        <v>4717.82</v>
      </c>
      <c r="AF2069" s="1">
        <f>IF(ESTIMATIVA[[#This Row],[QT_AREA_REAL]]&gt;0,ESTIMATIVA[[#This Row],[QT_CANA_REAL]],ESTIMATIVA[[#This Row],[QT_CANA_REST2]])</f>
        <v>4717.82</v>
      </c>
      <c r="AG2069" s="1" t="str">
        <f>IF(COUNTIFS(GEADA!A:A,VALUE(ESTIMATIVA[[#This Row],[CD_UPNIVEL1]]&amp;TEXT(ESTIMATIVA[[#This Row],[CD_UPNIVEL3]],"0000")))&gt;0,"S","N")</f>
        <v>N</v>
      </c>
      <c r="AH206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69" s="55" t="str">
        <f>IF(ESTIMATIVA[[#This Row],[TP_CULTIVO]]="Irrigado",_xlfn.MAXIFS(IRRIGADO!J:J,IRRIGADO!C:C,ESTIMATIVA[[#This Row],[CD_UPNIVEL1]],IRRIGADO!E:E,ESTIMATIVA[[#This Row],[CD_UPNIVEL3]]),"")</f>
        <v/>
      </c>
      <c r="AJ206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69" s="1">
        <f>COUNTIFS(Apresentação!$E$23:$E$29,ESTIMATIVA[[#This Row],[CD_UPNIVEL1]])</f>
        <v>0</v>
      </c>
    </row>
    <row r="2070" spans="1:37" x14ac:dyDescent="0.3">
      <c r="A2070">
        <v>30520</v>
      </c>
      <c r="B2070" t="s">
        <v>114</v>
      </c>
      <c r="C2070">
        <v>6</v>
      </c>
      <c r="D2070">
        <v>1</v>
      </c>
      <c r="E2070" t="s">
        <v>267</v>
      </c>
      <c r="F2070" s="85" t="s">
        <v>331</v>
      </c>
      <c r="G2070"/>
      <c r="H2070" t="s">
        <v>294</v>
      </c>
      <c r="I2070" t="s">
        <v>200</v>
      </c>
      <c r="J2070" t="s">
        <v>178</v>
      </c>
      <c r="K2070" s="1">
        <v>30.22</v>
      </c>
      <c r="L2070" s="1">
        <v>30.22</v>
      </c>
      <c r="M2070" s="1">
        <v>0</v>
      </c>
      <c r="N2070" s="1">
        <v>30.22</v>
      </c>
      <c r="O2070" s="1">
        <v>2357.16</v>
      </c>
      <c r="P2070" s="1">
        <v>2719.8</v>
      </c>
      <c r="Q2070" s="1">
        <v>0</v>
      </c>
      <c r="R2070" s="1">
        <v>2838.08</v>
      </c>
      <c r="S2070" t="s">
        <v>282</v>
      </c>
      <c r="T2070" s="13">
        <v>45886</v>
      </c>
      <c r="U2070" s="1" t="str">
        <f>IF(ESTIMATIVA[[#This Row],[QT_AREA_REAL]]&gt;0,"1- Colhido","2- à Colher")</f>
        <v>1- Colhido</v>
      </c>
      <c r="V2070" s="1" t="str">
        <f>IF(ESTIMATIVA[[#This Row],[QT_AREA_REST1]]&gt;0,"Reestimativa 1",IF(ESTIMATIVA[[#This Row],[QT_AREA_REAL]]=0,"Reestimativa 1","Realizado"))</f>
        <v>Reestimativa 1</v>
      </c>
      <c r="W2070" s="1" t="str">
        <f>IF(ESTIMATIVA[[#This Row],[QT_AREA_REST2]]&gt;0,"Reestimativa 2",IF(ESTIMATIVA[[#This Row],[QT_AREA_REAL]]=0,"Reestimativa 2","Realizado"))</f>
        <v>Realizado</v>
      </c>
      <c r="X2070" s="1">
        <f>ESTIMATIVA[[#This Row],[QT_AREA_EST]]</f>
        <v>30.22</v>
      </c>
      <c r="Y2070" s="1">
        <f>IF(ESTIMATIVA[[#This Row],[QT_AREA_REST1]]&gt;0,ESTIMATIVA[[#This Row],[QT_AREA_REST1]],
  IF(ESTIMATIVA[[#This Row],[QT_AREA_REAL]]&gt;0,ESTIMATIVA[[#This Row],[QT_AREA_REAL]],ESTIMATIVA[[#This Row],[QT_AREA_EST]]))</f>
        <v>30.22</v>
      </c>
      <c r="Z207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30.22</v>
      </c>
      <c r="AA2070" s="1">
        <f>ESTIMATIVA[[#This Row],[QT_CANA_EST]]</f>
        <v>2357.16</v>
      </c>
      <c r="AB2070" s="1">
        <f>IF(ESTIMATIVA[[#This Row],[QT_CANA_REST1]]&gt;0,ESTIMATIVA[[#This Row],[QT_CANA_REST1]],
  IF(ESTIMATIVA[[#This Row],[QT_CANA_REAL]]&gt;0,ESTIMATIVA[[#This Row],[QT_CANA_REAL]],ESTIMATIVA[[#This Row],[QT_CANA_EST]]))</f>
        <v>2719.8</v>
      </c>
      <c r="AC207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2838.08</v>
      </c>
      <c r="AD2070" s="1">
        <f>IF(ESTIMATIVA[[#This Row],[QT_AREA_REAL]]&gt;0,ESTIMATIVA[[#This Row],[QT_CANA_REAL]],ESTIMATIVA[[#This Row],[QT_CANA_EST]])</f>
        <v>2838.08</v>
      </c>
      <c r="AE2070" s="1">
        <f>IF(ESTIMATIVA[[#This Row],[QT_AREA_REAL]]&gt;0,ESTIMATIVA[[#This Row],[QT_CANA_REAL]],ESTIMATIVA[[#This Row],[QT_CANA_REST1]])</f>
        <v>2838.08</v>
      </c>
      <c r="AF2070" s="1">
        <f>IF(ESTIMATIVA[[#This Row],[QT_AREA_REAL]]&gt;0,ESTIMATIVA[[#This Row],[QT_CANA_REAL]],ESTIMATIVA[[#This Row],[QT_CANA_REST2]])</f>
        <v>2838.08</v>
      </c>
      <c r="AG2070" s="1" t="str">
        <f>IF(COUNTIFS(GEADA!A:A,VALUE(ESTIMATIVA[[#This Row],[CD_UPNIVEL1]]&amp;TEXT(ESTIMATIVA[[#This Row],[CD_UPNIVEL3]],"0000")))&gt;0,"S","N")</f>
        <v>N</v>
      </c>
      <c r="AH207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70" s="55" t="str">
        <f>IF(ESTIMATIVA[[#This Row],[TP_CULTIVO]]="Irrigado",_xlfn.MAXIFS(IRRIGADO!J:J,IRRIGADO!C:C,ESTIMATIVA[[#This Row],[CD_UPNIVEL1]],IRRIGADO!E:E,ESTIMATIVA[[#This Row],[CD_UPNIVEL3]]),"")</f>
        <v/>
      </c>
      <c r="AJ207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70" s="1">
        <f>COUNTIFS(Apresentação!$E$23:$E$29,ESTIMATIVA[[#This Row],[CD_UPNIVEL1]])</f>
        <v>0</v>
      </c>
    </row>
    <row r="2071" spans="1:37" x14ac:dyDescent="0.3">
      <c r="A2071">
        <v>30520</v>
      </c>
      <c r="B2071" t="s">
        <v>114</v>
      </c>
      <c r="C2071">
        <v>7</v>
      </c>
      <c r="D2071">
        <v>1</v>
      </c>
      <c r="E2071" t="s">
        <v>267</v>
      </c>
      <c r="F2071" s="85" t="s">
        <v>331</v>
      </c>
      <c r="G2071"/>
      <c r="H2071" t="s">
        <v>294</v>
      </c>
      <c r="I2071" t="s">
        <v>200</v>
      </c>
      <c r="J2071" t="s">
        <v>178</v>
      </c>
      <c r="K2071" s="1">
        <v>21.09</v>
      </c>
      <c r="L2071" s="1">
        <v>21.09</v>
      </c>
      <c r="M2071" s="1">
        <v>0</v>
      </c>
      <c r="N2071" s="1">
        <v>21.09</v>
      </c>
      <c r="O2071" s="1">
        <v>1645.02</v>
      </c>
      <c r="P2071" s="1">
        <v>1898.1</v>
      </c>
      <c r="Q2071" s="1">
        <v>0</v>
      </c>
      <c r="R2071" s="1">
        <v>2129.1799999999998</v>
      </c>
      <c r="S2071" t="s">
        <v>282</v>
      </c>
      <c r="T2071" s="13">
        <v>45900</v>
      </c>
      <c r="U2071" s="1" t="str">
        <f>IF(ESTIMATIVA[[#This Row],[QT_AREA_REAL]]&gt;0,"1- Colhido","2- à Colher")</f>
        <v>1- Colhido</v>
      </c>
      <c r="V2071" s="1" t="str">
        <f>IF(ESTIMATIVA[[#This Row],[QT_AREA_REST1]]&gt;0,"Reestimativa 1",IF(ESTIMATIVA[[#This Row],[QT_AREA_REAL]]=0,"Reestimativa 1","Realizado"))</f>
        <v>Reestimativa 1</v>
      </c>
      <c r="W2071" s="1" t="str">
        <f>IF(ESTIMATIVA[[#This Row],[QT_AREA_REST2]]&gt;0,"Reestimativa 2",IF(ESTIMATIVA[[#This Row],[QT_AREA_REAL]]=0,"Reestimativa 2","Realizado"))</f>
        <v>Realizado</v>
      </c>
      <c r="X2071" s="1">
        <f>ESTIMATIVA[[#This Row],[QT_AREA_EST]]</f>
        <v>21.09</v>
      </c>
      <c r="Y2071" s="1">
        <f>IF(ESTIMATIVA[[#This Row],[QT_AREA_REST1]]&gt;0,ESTIMATIVA[[#This Row],[QT_AREA_REST1]],
  IF(ESTIMATIVA[[#This Row],[QT_AREA_REAL]]&gt;0,ESTIMATIVA[[#This Row],[QT_AREA_REAL]],ESTIMATIVA[[#This Row],[QT_AREA_EST]]))</f>
        <v>21.09</v>
      </c>
      <c r="Z207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21.09</v>
      </c>
      <c r="AA2071" s="1">
        <f>ESTIMATIVA[[#This Row],[QT_CANA_EST]]</f>
        <v>1645.02</v>
      </c>
      <c r="AB2071" s="1">
        <f>IF(ESTIMATIVA[[#This Row],[QT_CANA_REST1]]&gt;0,ESTIMATIVA[[#This Row],[QT_CANA_REST1]],
  IF(ESTIMATIVA[[#This Row],[QT_CANA_REAL]]&gt;0,ESTIMATIVA[[#This Row],[QT_CANA_REAL]],ESTIMATIVA[[#This Row],[QT_CANA_EST]]))</f>
        <v>1898.1</v>
      </c>
      <c r="AC207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2129.1799999999998</v>
      </c>
      <c r="AD2071" s="1">
        <f>IF(ESTIMATIVA[[#This Row],[QT_AREA_REAL]]&gt;0,ESTIMATIVA[[#This Row],[QT_CANA_REAL]],ESTIMATIVA[[#This Row],[QT_CANA_EST]])</f>
        <v>2129.1799999999998</v>
      </c>
      <c r="AE2071" s="1">
        <f>IF(ESTIMATIVA[[#This Row],[QT_AREA_REAL]]&gt;0,ESTIMATIVA[[#This Row],[QT_CANA_REAL]],ESTIMATIVA[[#This Row],[QT_CANA_REST1]])</f>
        <v>2129.1799999999998</v>
      </c>
      <c r="AF2071" s="1">
        <f>IF(ESTIMATIVA[[#This Row],[QT_AREA_REAL]]&gt;0,ESTIMATIVA[[#This Row],[QT_CANA_REAL]],ESTIMATIVA[[#This Row],[QT_CANA_REST2]])</f>
        <v>2129.1799999999998</v>
      </c>
      <c r="AG2071" s="1" t="str">
        <f>IF(COUNTIFS(GEADA!A:A,VALUE(ESTIMATIVA[[#This Row],[CD_UPNIVEL1]]&amp;TEXT(ESTIMATIVA[[#This Row],[CD_UPNIVEL3]],"0000")))&gt;0,"S","N")</f>
        <v>N</v>
      </c>
      <c r="AH207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71" s="55" t="str">
        <f>IF(ESTIMATIVA[[#This Row],[TP_CULTIVO]]="Irrigado",_xlfn.MAXIFS(IRRIGADO!J:J,IRRIGADO!C:C,ESTIMATIVA[[#This Row],[CD_UPNIVEL1]],IRRIGADO!E:E,ESTIMATIVA[[#This Row],[CD_UPNIVEL3]]),"")</f>
        <v/>
      </c>
      <c r="AJ207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71" s="1">
        <f>COUNTIFS(Apresentação!$E$23:$E$29,ESTIMATIVA[[#This Row],[CD_UPNIVEL1]])</f>
        <v>0</v>
      </c>
    </row>
    <row r="2072" spans="1:37" x14ac:dyDescent="0.3">
      <c r="A2072">
        <v>30520</v>
      </c>
      <c r="B2072" t="s">
        <v>114</v>
      </c>
      <c r="C2072">
        <v>8</v>
      </c>
      <c r="D2072">
        <v>1</v>
      </c>
      <c r="E2072" t="s">
        <v>267</v>
      </c>
      <c r="F2072" s="85" t="s">
        <v>331</v>
      </c>
      <c r="G2072"/>
      <c r="H2072" t="s">
        <v>294</v>
      </c>
      <c r="I2072" t="s">
        <v>200</v>
      </c>
      <c r="J2072" t="s">
        <v>178</v>
      </c>
      <c r="K2072" s="1">
        <v>8.49</v>
      </c>
      <c r="L2072" s="1">
        <v>8.49</v>
      </c>
      <c r="M2072" s="1">
        <v>0</v>
      </c>
      <c r="N2072" s="1">
        <v>8.49</v>
      </c>
      <c r="O2072" s="1">
        <v>679.2</v>
      </c>
      <c r="P2072" s="1">
        <v>781.08</v>
      </c>
      <c r="Q2072" s="1">
        <v>0</v>
      </c>
      <c r="R2072" s="1">
        <v>876.19</v>
      </c>
      <c r="S2072" t="s">
        <v>282</v>
      </c>
      <c r="T2072" s="13">
        <v>45900</v>
      </c>
      <c r="U2072" s="1" t="str">
        <f>IF(ESTIMATIVA[[#This Row],[QT_AREA_REAL]]&gt;0,"1- Colhido","2- à Colher")</f>
        <v>1- Colhido</v>
      </c>
      <c r="V2072" s="1" t="str">
        <f>IF(ESTIMATIVA[[#This Row],[QT_AREA_REST1]]&gt;0,"Reestimativa 1",IF(ESTIMATIVA[[#This Row],[QT_AREA_REAL]]=0,"Reestimativa 1","Realizado"))</f>
        <v>Reestimativa 1</v>
      </c>
      <c r="W2072" s="1" t="str">
        <f>IF(ESTIMATIVA[[#This Row],[QT_AREA_REST2]]&gt;0,"Reestimativa 2",IF(ESTIMATIVA[[#This Row],[QT_AREA_REAL]]=0,"Reestimativa 2","Realizado"))</f>
        <v>Realizado</v>
      </c>
      <c r="X2072" s="1">
        <f>ESTIMATIVA[[#This Row],[QT_AREA_EST]]</f>
        <v>8.49</v>
      </c>
      <c r="Y2072" s="1">
        <f>IF(ESTIMATIVA[[#This Row],[QT_AREA_REST1]]&gt;0,ESTIMATIVA[[#This Row],[QT_AREA_REST1]],
  IF(ESTIMATIVA[[#This Row],[QT_AREA_REAL]]&gt;0,ESTIMATIVA[[#This Row],[QT_AREA_REAL]],ESTIMATIVA[[#This Row],[QT_AREA_EST]]))</f>
        <v>8.49</v>
      </c>
      <c r="Z207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8.49</v>
      </c>
      <c r="AA2072" s="1">
        <f>ESTIMATIVA[[#This Row],[QT_CANA_EST]]</f>
        <v>679.2</v>
      </c>
      <c r="AB2072" s="1">
        <f>IF(ESTIMATIVA[[#This Row],[QT_CANA_REST1]]&gt;0,ESTIMATIVA[[#This Row],[QT_CANA_REST1]],
  IF(ESTIMATIVA[[#This Row],[QT_CANA_REAL]]&gt;0,ESTIMATIVA[[#This Row],[QT_CANA_REAL]],ESTIMATIVA[[#This Row],[QT_CANA_EST]]))</f>
        <v>781.08</v>
      </c>
      <c r="AC207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876.19</v>
      </c>
      <c r="AD2072" s="1">
        <f>IF(ESTIMATIVA[[#This Row],[QT_AREA_REAL]]&gt;0,ESTIMATIVA[[#This Row],[QT_CANA_REAL]],ESTIMATIVA[[#This Row],[QT_CANA_EST]])</f>
        <v>876.19</v>
      </c>
      <c r="AE2072" s="1">
        <f>IF(ESTIMATIVA[[#This Row],[QT_AREA_REAL]]&gt;0,ESTIMATIVA[[#This Row],[QT_CANA_REAL]],ESTIMATIVA[[#This Row],[QT_CANA_REST1]])</f>
        <v>876.19</v>
      </c>
      <c r="AF2072" s="1">
        <f>IF(ESTIMATIVA[[#This Row],[QT_AREA_REAL]]&gt;0,ESTIMATIVA[[#This Row],[QT_CANA_REAL]],ESTIMATIVA[[#This Row],[QT_CANA_REST2]])</f>
        <v>876.19</v>
      </c>
      <c r="AG2072" s="1" t="str">
        <f>IF(COUNTIFS(GEADA!A:A,VALUE(ESTIMATIVA[[#This Row],[CD_UPNIVEL1]]&amp;TEXT(ESTIMATIVA[[#This Row],[CD_UPNIVEL3]],"0000")))&gt;0,"S","N")</f>
        <v>N</v>
      </c>
      <c r="AH207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72" s="55" t="str">
        <f>IF(ESTIMATIVA[[#This Row],[TP_CULTIVO]]="Irrigado",_xlfn.MAXIFS(IRRIGADO!J:J,IRRIGADO!C:C,ESTIMATIVA[[#This Row],[CD_UPNIVEL1]],IRRIGADO!E:E,ESTIMATIVA[[#This Row],[CD_UPNIVEL3]]),"")</f>
        <v/>
      </c>
      <c r="AJ207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72" s="1">
        <f>COUNTIFS(Apresentação!$E$23:$E$29,ESTIMATIVA[[#This Row],[CD_UPNIVEL1]])</f>
        <v>0</v>
      </c>
    </row>
    <row r="2073" spans="1:37" x14ac:dyDescent="0.3">
      <c r="A2073">
        <v>30520</v>
      </c>
      <c r="B2073" t="s">
        <v>114</v>
      </c>
      <c r="C2073">
        <v>10</v>
      </c>
      <c r="D2073">
        <v>1</v>
      </c>
      <c r="E2073" t="s">
        <v>267</v>
      </c>
      <c r="F2073" s="85" t="s">
        <v>331</v>
      </c>
      <c r="G2073"/>
      <c r="H2073" t="s">
        <v>294</v>
      </c>
      <c r="I2073" t="s">
        <v>200</v>
      </c>
      <c r="J2073" t="s">
        <v>178</v>
      </c>
      <c r="K2073" s="1">
        <v>4.0599999999999996</v>
      </c>
      <c r="L2073" s="1">
        <v>0</v>
      </c>
      <c r="M2073" s="1">
        <v>0</v>
      </c>
      <c r="N2073" s="1">
        <v>4.0599999999999996</v>
      </c>
      <c r="O2073" s="1">
        <v>324.8</v>
      </c>
      <c r="P2073" s="1">
        <v>0</v>
      </c>
      <c r="Q2073" s="1">
        <v>0</v>
      </c>
      <c r="R2073" s="1">
        <v>400.72</v>
      </c>
      <c r="S2073" t="s">
        <v>282</v>
      </c>
      <c r="T2073" s="13">
        <v>45760</v>
      </c>
      <c r="U2073" s="1" t="str">
        <f>IF(ESTIMATIVA[[#This Row],[QT_AREA_REAL]]&gt;0,"1- Colhido","2- à Colher")</f>
        <v>1- Colhido</v>
      </c>
      <c r="V2073" s="1" t="str">
        <f>IF(ESTIMATIVA[[#This Row],[QT_AREA_REST1]]&gt;0,"Reestimativa 1",IF(ESTIMATIVA[[#This Row],[QT_AREA_REAL]]=0,"Reestimativa 1","Realizado"))</f>
        <v>Realizado</v>
      </c>
      <c r="W2073" s="1" t="str">
        <f>IF(ESTIMATIVA[[#This Row],[QT_AREA_REST2]]&gt;0,"Reestimativa 2",IF(ESTIMATIVA[[#This Row],[QT_AREA_REAL]]=0,"Reestimativa 2","Realizado"))</f>
        <v>Realizado</v>
      </c>
      <c r="X2073" s="1">
        <f>ESTIMATIVA[[#This Row],[QT_AREA_EST]]</f>
        <v>4.0599999999999996</v>
      </c>
      <c r="Y2073" s="1">
        <f>IF(ESTIMATIVA[[#This Row],[QT_AREA_REST1]]&gt;0,ESTIMATIVA[[#This Row],[QT_AREA_REST1]],
  IF(ESTIMATIVA[[#This Row],[QT_AREA_REAL]]&gt;0,ESTIMATIVA[[#This Row],[QT_AREA_REAL]],ESTIMATIVA[[#This Row],[QT_AREA_EST]]))</f>
        <v>4.0599999999999996</v>
      </c>
      <c r="Z207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4.0599999999999996</v>
      </c>
      <c r="AA2073" s="1">
        <f>ESTIMATIVA[[#This Row],[QT_CANA_EST]]</f>
        <v>324.8</v>
      </c>
      <c r="AB2073" s="1">
        <f>IF(ESTIMATIVA[[#This Row],[QT_CANA_REST1]]&gt;0,ESTIMATIVA[[#This Row],[QT_CANA_REST1]],
  IF(ESTIMATIVA[[#This Row],[QT_CANA_REAL]]&gt;0,ESTIMATIVA[[#This Row],[QT_CANA_REAL]],ESTIMATIVA[[#This Row],[QT_CANA_EST]]))</f>
        <v>400.72</v>
      </c>
      <c r="AC207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400.72</v>
      </c>
      <c r="AD2073" s="1">
        <f>IF(ESTIMATIVA[[#This Row],[QT_AREA_REAL]]&gt;0,ESTIMATIVA[[#This Row],[QT_CANA_REAL]],ESTIMATIVA[[#This Row],[QT_CANA_EST]])</f>
        <v>400.72</v>
      </c>
      <c r="AE2073" s="1">
        <f>IF(ESTIMATIVA[[#This Row],[QT_AREA_REAL]]&gt;0,ESTIMATIVA[[#This Row],[QT_CANA_REAL]],ESTIMATIVA[[#This Row],[QT_CANA_REST1]])</f>
        <v>400.72</v>
      </c>
      <c r="AF2073" s="1">
        <f>IF(ESTIMATIVA[[#This Row],[QT_AREA_REAL]]&gt;0,ESTIMATIVA[[#This Row],[QT_CANA_REAL]],ESTIMATIVA[[#This Row],[QT_CANA_REST2]])</f>
        <v>400.72</v>
      </c>
      <c r="AG2073" s="1" t="str">
        <f>IF(COUNTIFS(GEADA!A:A,VALUE(ESTIMATIVA[[#This Row],[CD_UPNIVEL1]]&amp;TEXT(ESTIMATIVA[[#This Row],[CD_UPNIVEL3]],"0000")))&gt;0,"S","N")</f>
        <v>N</v>
      </c>
      <c r="AH207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73" s="55" t="str">
        <f>IF(ESTIMATIVA[[#This Row],[TP_CULTIVO]]="Irrigado",_xlfn.MAXIFS(IRRIGADO!J:J,IRRIGADO!C:C,ESTIMATIVA[[#This Row],[CD_UPNIVEL1]],IRRIGADO!E:E,ESTIMATIVA[[#This Row],[CD_UPNIVEL3]]),"")</f>
        <v/>
      </c>
      <c r="AJ207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73" s="1">
        <f>COUNTIFS(Apresentação!$E$23:$E$29,ESTIMATIVA[[#This Row],[CD_UPNIVEL1]])</f>
        <v>0</v>
      </c>
    </row>
    <row r="2074" spans="1:37" x14ac:dyDescent="0.3">
      <c r="A2074">
        <v>30520</v>
      </c>
      <c r="B2074" t="s">
        <v>114</v>
      </c>
      <c r="C2074">
        <v>15</v>
      </c>
      <c r="D2074">
        <v>2</v>
      </c>
      <c r="E2074" t="s">
        <v>266</v>
      </c>
      <c r="F2074" s="85" t="s">
        <v>331</v>
      </c>
      <c r="G2074"/>
      <c r="H2074" t="s">
        <v>294</v>
      </c>
      <c r="I2074" t="s">
        <v>200</v>
      </c>
      <c r="J2074" t="s">
        <v>178</v>
      </c>
      <c r="K2074" s="1">
        <v>11.91</v>
      </c>
      <c r="L2074" s="1">
        <v>0</v>
      </c>
      <c r="M2074" s="1">
        <v>0</v>
      </c>
      <c r="N2074" s="1">
        <v>11.91</v>
      </c>
      <c r="O2074" s="1">
        <v>714.6</v>
      </c>
      <c r="P2074" s="1">
        <v>0</v>
      </c>
      <c r="Q2074" s="1">
        <v>0</v>
      </c>
      <c r="R2074" s="1">
        <v>793.96</v>
      </c>
      <c r="S2074" t="s">
        <v>282</v>
      </c>
      <c r="T2074" s="13">
        <v>45760</v>
      </c>
      <c r="U2074" s="1" t="str">
        <f>IF(ESTIMATIVA[[#This Row],[QT_AREA_REAL]]&gt;0,"1- Colhido","2- à Colher")</f>
        <v>1- Colhido</v>
      </c>
      <c r="V2074" s="1" t="str">
        <f>IF(ESTIMATIVA[[#This Row],[QT_AREA_REST1]]&gt;0,"Reestimativa 1",IF(ESTIMATIVA[[#This Row],[QT_AREA_REAL]]=0,"Reestimativa 1","Realizado"))</f>
        <v>Realizado</v>
      </c>
      <c r="W2074" s="1" t="str">
        <f>IF(ESTIMATIVA[[#This Row],[QT_AREA_REST2]]&gt;0,"Reestimativa 2",IF(ESTIMATIVA[[#This Row],[QT_AREA_REAL]]=0,"Reestimativa 2","Realizado"))</f>
        <v>Realizado</v>
      </c>
      <c r="X2074" s="1">
        <f>ESTIMATIVA[[#This Row],[QT_AREA_EST]]</f>
        <v>11.91</v>
      </c>
      <c r="Y2074" s="1">
        <f>IF(ESTIMATIVA[[#This Row],[QT_AREA_REST1]]&gt;0,ESTIMATIVA[[#This Row],[QT_AREA_REST1]],
  IF(ESTIMATIVA[[#This Row],[QT_AREA_REAL]]&gt;0,ESTIMATIVA[[#This Row],[QT_AREA_REAL]],ESTIMATIVA[[#This Row],[QT_AREA_EST]]))</f>
        <v>11.91</v>
      </c>
      <c r="Z207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11.91</v>
      </c>
      <c r="AA2074" s="1">
        <f>ESTIMATIVA[[#This Row],[QT_CANA_EST]]</f>
        <v>714.6</v>
      </c>
      <c r="AB2074" s="1">
        <f>IF(ESTIMATIVA[[#This Row],[QT_CANA_REST1]]&gt;0,ESTIMATIVA[[#This Row],[QT_CANA_REST1]],
  IF(ESTIMATIVA[[#This Row],[QT_CANA_REAL]]&gt;0,ESTIMATIVA[[#This Row],[QT_CANA_REAL]],ESTIMATIVA[[#This Row],[QT_CANA_EST]]))</f>
        <v>793.96</v>
      </c>
      <c r="AC207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793.96</v>
      </c>
      <c r="AD2074" s="1">
        <f>IF(ESTIMATIVA[[#This Row],[QT_AREA_REAL]]&gt;0,ESTIMATIVA[[#This Row],[QT_CANA_REAL]],ESTIMATIVA[[#This Row],[QT_CANA_EST]])</f>
        <v>793.96</v>
      </c>
      <c r="AE2074" s="1">
        <f>IF(ESTIMATIVA[[#This Row],[QT_AREA_REAL]]&gt;0,ESTIMATIVA[[#This Row],[QT_CANA_REAL]],ESTIMATIVA[[#This Row],[QT_CANA_REST1]])</f>
        <v>793.96</v>
      </c>
      <c r="AF2074" s="1">
        <f>IF(ESTIMATIVA[[#This Row],[QT_AREA_REAL]]&gt;0,ESTIMATIVA[[#This Row],[QT_CANA_REAL]],ESTIMATIVA[[#This Row],[QT_CANA_REST2]])</f>
        <v>793.96</v>
      </c>
      <c r="AG2074" s="1" t="str">
        <f>IF(COUNTIFS(GEADA!A:A,VALUE(ESTIMATIVA[[#This Row],[CD_UPNIVEL1]]&amp;TEXT(ESTIMATIVA[[#This Row],[CD_UPNIVEL3]],"0000")))&gt;0,"S","N")</f>
        <v>N</v>
      </c>
      <c r="AH207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74" s="55" t="str">
        <f>IF(ESTIMATIVA[[#This Row],[TP_CULTIVO]]="Irrigado",_xlfn.MAXIFS(IRRIGADO!J:J,IRRIGADO!C:C,ESTIMATIVA[[#This Row],[CD_UPNIVEL1]],IRRIGADO!E:E,ESTIMATIVA[[#This Row],[CD_UPNIVEL3]]),"")</f>
        <v/>
      </c>
      <c r="AJ207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74" s="1">
        <f>COUNTIFS(Apresentação!$E$23:$E$29,ESTIMATIVA[[#This Row],[CD_UPNIVEL1]])</f>
        <v>0</v>
      </c>
    </row>
    <row r="2075" spans="1:37" x14ac:dyDescent="0.3">
      <c r="A2075">
        <v>30520</v>
      </c>
      <c r="B2075" t="s">
        <v>114</v>
      </c>
      <c r="C2075">
        <v>16</v>
      </c>
      <c r="D2075">
        <v>2</v>
      </c>
      <c r="E2075" t="s">
        <v>266</v>
      </c>
      <c r="F2075" s="85" t="s">
        <v>331</v>
      </c>
      <c r="G2075"/>
      <c r="H2075" t="s">
        <v>294</v>
      </c>
      <c r="I2075" t="s">
        <v>200</v>
      </c>
      <c r="J2075" t="s">
        <v>178</v>
      </c>
      <c r="K2075" s="1">
        <v>1.7</v>
      </c>
      <c r="L2075" s="1">
        <v>0</v>
      </c>
      <c r="M2075" s="1">
        <v>0</v>
      </c>
      <c r="N2075" s="1">
        <v>1.7</v>
      </c>
      <c r="O2075" s="1">
        <v>102</v>
      </c>
      <c r="P2075" s="1">
        <v>0</v>
      </c>
      <c r="Q2075" s="1">
        <v>0</v>
      </c>
      <c r="R2075" s="1">
        <v>113.28</v>
      </c>
      <c r="S2075" t="s">
        <v>282</v>
      </c>
      <c r="T2075" s="13">
        <v>45760</v>
      </c>
      <c r="U2075" s="1" t="str">
        <f>IF(ESTIMATIVA[[#This Row],[QT_AREA_REAL]]&gt;0,"1- Colhido","2- à Colher")</f>
        <v>1- Colhido</v>
      </c>
      <c r="V2075" s="1" t="str">
        <f>IF(ESTIMATIVA[[#This Row],[QT_AREA_REST1]]&gt;0,"Reestimativa 1",IF(ESTIMATIVA[[#This Row],[QT_AREA_REAL]]=0,"Reestimativa 1","Realizado"))</f>
        <v>Realizado</v>
      </c>
      <c r="W2075" s="1" t="str">
        <f>IF(ESTIMATIVA[[#This Row],[QT_AREA_REST2]]&gt;0,"Reestimativa 2",IF(ESTIMATIVA[[#This Row],[QT_AREA_REAL]]=0,"Reestimativa 2","Realizado"))</f>
        <v>Realizado</v>
      </c>
      <c r="X2075" s="1">
        <f>ESTIMATIVA[[#This Row],[QT_AREA_EST]]</f>
        <v>1.7</v>
      </c>
      <c r="Y2075" s="1">
        <f>IF(ESTIMATIVA[[#This Row],[QT_AREA_REST1]]&gt;0,ESTIMATIVA[[#This Row],[QT_AREA_REST1]],
  IF(ESTIMATIVA[[#This Row],[QT_AREA_REAL]]&gt;0,ESTIMATIVA[[#This Row],[QT_AREA_REAL]],ESTIMATIVA[[#This Row],[QT_AREA_EST]]))</f>
        <v>1.7</v>
      </c>
      <c r="Z207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1.7</v>
      </c>
      <c r="AA2075" s="1">
        <f>ESTIMATIVA[[#This Row],[QT_CANA_EST]]</f>
        <v>102</v>
      </c>
      <c r="AB2075" s="1">
        <f>IF(ESTIMATIVA[[#This Row],[QT_CANA_REST1]]&gt;0,ESTIMATIVA[[#This Row],[QT_CANA_REST1]],
  IF(ESTIMATIVA[[#This Row],[QT_CANA_REAL]]&gt;0,ESTIMATIVA[[#This Row],[QT_CANA_REAL]],ESTIMATIVA[[#This Row],[QT_CANA_EST]]))</f>
        <v>113.28</v>
      </c>
      <c r="AC207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113.28</v>
      </c>
      <c r="AD2075" s="1">
        <f>IF(ESTIMATIVA[[#This Row],[QT_AREA_REAL]]&gt;0,ESTIMATIVA[[#This Row],[QT_CANA_REAL]],ESTIMATIVA[[#This Row],[QT_CANA_EST]])</f>
        <v>113.28</v>
      </c>
      <c r="AE2075" s="1">
        <f>IF(ESTIMATIVA[[#This Row],[QT_AREA_REAL]]&gt;0,ESTIMATIVA[[#This Row],[QT_CANA_REAL]],ESTIMATIVA[[#This Row],[QT_CANA_REST1]])</f>
        <v>113.28</v>
      </c>
      <c r="AF2075" s="1">
        <f>IF(ESTIMATIVA[[#This Row],[QT_AREA_REAL]]&gt;0,ESTIMATIVA[[#This Row],[QT_CANA_REAL]],ESTIMATIVA[[#This Row],[QT_CANA_REST2]])</f>
        <v>113.28</v>
      </c>
      <c r="AG2075" s="1" t="str">
        <f>IF(COUNTIFS(GEADA!A:A,VALUE(ESTIMATIVA[[#This Row],[CD_UPNIVEL1]]&amp;TEXT(ESTIMATIVA[[#This Row],[CD_UPNIVEL3]],"0000")))&gt;0,"S","N")</f>
        <v>N</v>
      </c>
      <c r="AH207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75" s="55" t="str">
        <f>IF(ESTIMATIVA[[#This Row],[TP_CULTIVO]]="Irrigado",_xlfn.MAXIFS(IRRIGADO!J:J,IRRIGADO!C:C,ESTIMATIVA[[#This Row],[CD_UPNIVEL1]],IRRIGADO!E:E,ESTIMATIVA[[#This Row],[CD_UPNIVEL3]]),"")</f>
        <v/>
      </c>
      <c r="AJ207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75" s="1">
        <f>COUNTIFS(Apresentação!$E$23:$E$29,ESTIMATIVA[[#This Row],[CD_UPNIVEL1]])</f>
        <v>0</v>
      </c>
    </row>
    <row r="2076" spans="1:37" x14ac:dyDescent="0.3">
      <c r="A2076">
        <v>30520</v>
      </c>
      <c r="B2076" t="s">
        <v>114</v>
      </c>
      <c r="C2076">
        <v>17</v>
      </c>
      <c r="D2076">
        <v>2</v>
      </c>
      <c r="E2076" t="s">
        <v>266</v>
      </c>
      <c r="F2076" s="85" t="s">
        <v>331</v>
      </c>
      <c r="G2076"/>
      <c r="H2076" t="s">
        <v>294</v>
      </c>
      <c r="I2076" t="s">
        <v>200</v>
      </c>
      <c r="J2076" t="s">
        <v>178</v>
      </c>
      <c r="K2076" s="1">
        <v>13</v>
      </c>
      <c r="L2076" s="1">
        <v>13</v>
      </c>
      <c r="M2076" s="1">
        <v>13</v>
      </c>
      <c r="N2076" s="1">
        <v>13</v>
      </c>
      <c r="O2076" s="1">
        <v>780</v>
      </c>
      <c r="P2076" s="1">
        <v>923</v>
      </c>
      <c r="Q2076" s="1">
        <v>923</v>
      </c>
      <c r="R2076" s="1">
        <v>217.69</v>
      </c>
      <c r="S2076" t="s">
        <v>282</v>
      </c>
      <c r="T2076" s="13">
        <v>46005</v>
      </c>
      <c r="U2076" s="1" t="str">
        <f>IF(ESTIMATIVA[[#This Row],[QT_AREA_REAL]]&gt;0,"1- Colhido","2- à Colher")</f>
        <v>1- Colhido</v>
      </c>
      <c r="V2076" s="1" t="str">
        <f>IF(ESTIMATIVA[[#This Row],[QT_AREA_REST1]]&gt;0,"Reestimativa 1",IF(ESTIMATIVA[[#This Row],[QT_AREA_REAL]]=0,"Reestimativa 1","Realizado"))</f>
        <v>Reestimativa 1</v>
      </c>
      <c r="W2076" s="1" t="str">
        <f>IF(ESTIMATIVA[[#This Row],[QT_AREA_REST2]]&gt;0,"Reestimativa 2",IF(ESTIMATIVA[[#This Row],[QT_AREA_REAL]]=0,"Reestimativa 2","Realizado"))</f>
        <v>Reestimativa 2</v>
      </c>
      <c r="X2076" s="1">
        <f>ESTIMATIVA[[#This Row],[QT_AREA_EST]]</f>
        <v>13</v>
      </c>
      <c r="Y2076" s="1">
        <f>IF(ESTIMATIVA[[#This Row],[QT_AREA_REST1]]&gt;0,ESTIMATIVA[[#This Row],[QT_AREA_REST1]],
  IF(ESTIMATIVA[[#This Row],[QT_AREA_REAL]]&gt;0,ESTIMATIVA[[#This Row],[QT_AREA_REAL]],ESTIMATIVA[[#This Row],[QT_AREA_EST]]))</f>
        <v>13</v>
      </c>
      <c r="Z207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13</v>
      </c>
      <c r="AA2076" s="1">
        <f>ESTIMATIVA[[#This Row],[QT_CANA_EST]]</f>
        <v>780</v>
      </c>
      <c r="AB2076" s="1">
        <f>IF(ESTIMATIVA[[#This Row],[QT_CANA_REST1]]&gt;0,ESTIMATIVA[[#This Row],[QT_CANA_REST1]],
  IF(ESTIMATIVA[[#This Row],[QT_CANA_REAL]]&gt;0,ESTIMATIVA[[#This Row],[QT_CANA_REAL]],ESTIMATIVA[[#This Row],[QT_CANA_EST]]))</f>
        <v>923</v>
      </c>
      <c r="AC207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923</v>
      </c>
      <c r="AD2076" s="1">
        <f>IF(ESTIMATIVA[[#This Row],[QT_AREA_REAL]]&gt;0,ESTIMATIVA[[#This Row],[QT_CANA_REAL]],ESTIMATIVA[[#This Row],[QT_CANA_EST]])</f>
        <v>217.69</v>
      </c>
      <c r="AE2076" s="1">
        <f>IF(ESTIMATIVA[[#This Row],[QT_AREA_REAL]]&gt;0,ESTIMATIVA[[#This Row],[QT_CANA_REAL]],ESTIMATIVA[[#This Row],[QT_CANA_REST1]])</f>
        <v>217.69</v>
      </c>
      <c r="AF2076" s="1">
        <f>IF(ESTIMATIVA[[#This Row],[QT_AREA_REAL]]&gt;0,ESTIMATIVA[[#This Row],[QT_CANA_REAL]],ESTIMATIVA[[#This Row],[QT_CANA_REST2]])</f>
        <v>217.69</v>
      </c>
      <c r="AG2076" s="1" t="str">
        <f>IF(COUNTIFS(GEADA!A:A,VALUE(ESTIMATIVA[[#This Row],[CD_UPNIVEL1]]&amp;TEXT(ESTIMATIVA[[#This Row],[CD_UPNIVEL3]],"0000")))&gt;0,"S","N")</f>
        <v>N</v>
      </c>
      <c r="AH207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76" s="55" t="str">
        <f>IF(ESTIMATIVA[[#This Row],[TP_CULTIVO]]="Irrigado",_xlfn.MAXIFS(IRRIGADO!J:J,IRRIGADO!C:C,ESTIMATIVA[[#This Row],[CD_UPNIVEL1]],IRRIGADO!E:E,ESTIMATIVA[[#This Row],[CD_UPNIVEL3]]),"")</f>
        <v/>
      </c>
      <c r="AJ207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76" s="1">
        <f>COUNTIFS(Apresentação!$E$23:$E$29,ESTIMATIVA[[#This Row],[CD_UPNIVEL1]])</f>
        <v>0</v>
      </c>
    </row>
    <row r="2077" spans="1:37" x14ac:dyDescent="0.3">
      <c r="A2077">
        <v>30520</v>
      </c>
      <c r="B2077" t="s">
        <v>114</v>
      </c>
      <c r="C2077">
        <v>18</v>
      </c>
      <c r="D2077">
        <v>2</v>
      </c>
      <c r="E2077" t="s">
        <v>266</v>
      </c>
      <c r="F2077" s="85" t="s">
        <v>331</v>
      </c>
      <c r="G2077"/>
      <c r="H2077" t="s">
        <v>294</v>
      </c>
      <c r="I2077" t="s">
        <v>202</v>
      </c>
      <c r="J2077" t="s">
        <v>178</v>
      </c>
      <c r="K2077" s="1">
        <v>8.06</v>
      </c>
      <c r="L2077" s="1">
        <v>0</v>
      </c>
      <c r="M2077" s="1">
        <v>0</v>
      </c>
      <c r="N2077" s="1">
        <v>8.06</v>
      </c>
      <c r="O2077" s="1">
        <v>483.6</v>
      </c>
      <c r="P2077" s="1">
        <v>0</v>
      </c>
      <c r="Q2077" s="1">
        <v>0</v>
      </c>
      <c r="R2077" s="1">
        <v>596.77</v>
      </c>
      <c r="S2077" t="s">
        <v>282</v>
      </c>
      <c r="T2077" s="13">
        <v>45760</v>
      </c>
      <c r="U2077" s="1" t="str">
        <f>IF(ESTIMATIVA[[#This Row],[QT_AREA_REAL]]&gt;0,"1- Colhido","2- à Colher")</f>
        <v>1- Colhido</v>
      </c>
      <c r="V2077" s="1" t="str">
        <f>IF(ESTIMATIVA[[#This Row],[QT_AREA_REST1]]&gt;0,"Reestimativa 1",IF(ESTIMATIVA[[#This Row],[QT_AREA_REAL]]=0,"Reestimativa 1","Realizado"))</f>
        <v>Realizado</v>
      </c>
      <c r="W2077" s="1" t="str">
        <f>IF(ESTIMATIVA[[#This Row],[QT_AREA_REST2]]&gt;0,"Reestimativa 2",IF(ESTIMATIVA[[#This Row],[QT_AREA_REAL]]=0,"Reestimativa 2","Realizado"))</f>
        <v>Realizado</v>
      </c>
      <c r="X2077" s="1">
        <f>ESTIMATIVA[[#This Row],[QT_AREA_EST]]</f>
        <v>8.06</v>
      </c>
      <c r="Y2077" s="1">
        <f>IF(ESTIMATIVA[[#This Row],[QT_AREA_REST1]]&gt;0,ESTIMATIVA[[#This Row],[QT_AREA_REST1]],
  IF(ESTIMATIVA[[#This Row],[QT_AREA_REAL]]&gt;0,ESTIMATIVA[[#This Row],[QT_AREA_REAL]],ESTIMATIVA[[#This Row],[QT_AREA_EST]]))</f>
        <v>8.06</v>
      </c>
      <c r="Z207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8.06</v>
      </c>
      <c r="AA2077" s="1">
        <f>ESTIMATIVA[[#This Row],[QT_CANA_EST]]</f>
        <v>483.6</v>
      </c>
      <c r="AB2077" s="1">
        <f>IF(ESTIMATIVA[[#This Row],[QT_CANA_REST1]]&gt;0,ESTIMATIVA[[#This Row],[QT_CANA_REST1]],
  IF(ESTIMATIVA[[#This Row],[QT_CANA_REAL]]&gt;0,ESTIMATIVA[[#This Row],[QT_CANA_REAL]],ESTIMATIVA[[#This Row],[QT_CANA_EST]]))</f>
        <v>596.77</v>
      </c>
      <c r="AC207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596.77</v>
      </c>
      <c r="AD2077" s="1">
        <f>IF(ESTIMATIVA[[#This Row],[QT_AREA_REAL]]&gt;0,ESTIMATIVA[[#This Row],[QT_CANA_REAL]],ESTIMATIVA[[#This Row],[QT_CANA_EST]])</f>
        <v>596.77</v>
      </c>
      <c r="AE2077" s="1">
        <f>IF(ESTIMATIVA[[#This Row],[QT_AREA_REAL]]&gt;0,ESTIMATIVA[[#This Row],[QT_CANA_REAL]],ESTIMATIVA[[#This Row],[QT_CANA_REST1]])</f>
        <v>596.77</v>
      </c>
      <c r="AF2077" s="1">
        <f>IF(ESTIMATIVA[[#This Row],[QT_AREA_REAL]]&gt;0,ESTIMATIVA[[#This Row],[QT_CANA_REAL]],ESTIMATIVA[[#This Row],[QT_CANA_REST2]])</f>
        <v>596.77</v>
      </c>
      <c r="AG2077" s="1" t="str">
        <f>IF(COUNTIFS(GEADA!A:A,VALUE(ESTIMATIVA[[#This Row],[CD_UPNIVEL1]]&amp;TEXT(ESTIMATIVA[[#This Row],[CD_UPNIVEL3]],"0000")))&gt;0,"S","N")</f>
        <v>N</v>
      </c>
      <c r="AH207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77" s="55" t="str">
        <f>IF(ESTIMATIVA[[#This Row],[TP_CULTIVO]]="Irrigado",_xlfn.MAXIFS(IRRIGADO!J:J,IRRIGADO!C:C,ESTIMATIVA[[#This Row],[CD_UPNIVEL1]],IRRIGADO!E:E,ESTIMATIVA[[#This Row],[CD_UPNIVEL3]]),"")</f>
        <v/>
      </c>
      <c r="AJ207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77" s="1">
        <f>COUNTIFS(Apresentação!$E$23:$E$29,ESTIMATIVA[[#This Row],[CD_UPNIVEL1]])</f>
        <v>0</v>
      </c>
    </row>
    <row r="2078" spans="1:37" x14ac:dyDescent="0.3">
      <c r="A2078">
        <v>30520</v>
      </c>
      <c r="B2078" t="s">
        <v>114</v>
      </c>
      <c r="C2078">
        <v>19</v>
      </c>
      <c r="D2078">
        <v>2</v>
      </c>
      <c r="E2078" t="s">
        <v>266</v>
      </c>
      <c r="F2078" s="85" t="s">
        <v>331</v>
      </c>
      <c r="G2078"/>
      <c r="H2078" t="s">
        <v>294</v>
      </c>
      <c r="I2078" t="s">
        <v>202</v>
      </c>
      <c r="J2078" t="s">
        <v>178</v>
      </c>
      <c r="K2078" s="1">
        <v>7.3</v>
      </c>
      <c r="L2078" s="1">
        <v>0</v>
      </c>
      <c r="M2078" s="1">
        <v>0</v>
      </c>
      <c r="N2078" s="1">
        <v>7.3</v>
      </c>
      <c r="O2078" s="1">
        <v>438</v>
      </c>
      <c r="P2078" s="1">
        <v>0</v>
      </c>
      <c r="Q2078" s="1">
        <v>0</v>
      </c>
      <c r="R2078" s="1">
        <v>540.13</v>
      </c>
      <c r="S2078" t="s">
        <v>282</v>
      </c>
      <c r="T2078" s="13">
        <v>45760</v>
      </c>
      <c r="U2078" s="1" t="str">
        <f>IF(ESTIMATIVA[[#This Row],[QT_AREA_REAL]]&gt;0,"1- Colhido","2- à Colher")</f>
        <v>1- Colhido</v>
      </c>
      <c r="V2078" s="1" t="str">
        <f>IF(ESTIMATIVA[[#This Row],[QT_AREA_REST1]]&gt;0,"Reestimativa 1",IF(ESTIMATIVA[[#This Row],[QT_AREA_REAL]]=0,"Reestimativa 1","Realizado"))</f>
        <v>Realizado</v>
      </c>
      <c r="W2078" s="1" t="str">
        <f>IF(ESTIMATIVA[[#This Row],[QT_AREA_REST2]]&gt;0,"Reestimativa 2",IF(ESTIMATIVA[[#This Row],[QT_AREA_REAL]]=0,"Reestimativa 2","Realizado"))</f>
        <v>Realizado</v>
      </c>
      <c r="X2078" s="1">
        <f>ESTIMATIVA[[#This Row],[QT_AREA_EST]]</f>
        <v>7.3</v>
      </c>
      <c r="Y2078" s="1">
        <f>IF(ESTIMATIVA[[#This Row],[QT_AREA_REST1]]&gt;0,ESTIMATIVA[[#This Row],[QT_AREA_REST1]],
  IF(ESTIMATIVA[[#This Row],[QT_AREA_REAL]]&gt;0,ESTIMATIVA[[#This Row],[QT_AREA_REAL]],ESTIMATIVA[[#This Row],[QT_AREA_EST]]))</f>
        <v>7.3</v>
      </c>
      <c r="Z207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7.3</v>
      </c>
      <c r="AA2078" s="1">
        <f>ESTIMATIVA[[#This Row],[QT_CANA_EST]]</f>
        <v>438</v>
      </c>
      <c r="AB2078" s="1">
        <f>IF(ESTIMATIVA[[#This Row],[QT_CANA_REST1]]&gt;0,ESTIMATIVA[[#This Row],[QT_CANA_REST1]],
  IF(ESTIMATIVA[[#This Row],[QT_CANA_REAL]]&gt;0,ESTIMATIVA[[#This Row],[QT_CANA_REAL]],ESTIMATIVA[[#This Row],[QT_CANA_EST]]))</f>
        <v>540.13</v>
      </c>
      <c r="AC207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540.13</v>
      </c>
      <c r="AD2078" s="1">
        <f>IF(ESTIMATIVA[[#This Row],[QT_AREA_REAL]]&gt;0,ESTIMATIVA[[#This Row],[QT_CANA_REAL]],ESTIMATIVA[[#This Row],[QT_CANA_EST]])</f>
        <v>540.13</v>
      </c>
      <c r="AE2078" s="1">
        <f>IF(ESTIMATIVA[[#This Row],[QT_AREA_REAL]]&gt;0,ESTIMATIVA[[#This Row],[QT_CANA_REAL]],ESTIMATIVA[[#This Row],[QT_CANA_REST1]])</f>
        <v>540.13</v>
      </c>
      <c r="AF2078" s="1">
        <f>IF(ESTIMATIVA[[#This Row],[QT_AREA_REAL]]&gt;0,ESTIMATIVA[[#This Row],[QT_CANA_REAL]],ESTIMATIVA[[#This Row],[QT_CANA_REST2]])</f>
        <v>540.13</v>
      </c>
      <c r="AG2078" s="1" t="str">
        <f>IF(COUNTIFS(GEADA!A:A,VALUE(ESTIMATIVA[[#This Row],[CD_UPNIVEL1]]&amp;TEXT(ESTIMATIVA[[#This Row],[CD_UPNIVEL3]],"0000")))&gt;0,"S","N")</f>
        <v>N</v>
      </c>
      <c r="AH207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78" s="55" t="str">
        <f>IF(ESTIMATIVA[[#This Row],[TP_CULTIVO]]="Irrigado",_xlfn.MAXIFS(IRRIGADO!J:J,IRRIGADO!C:C,ESTIMATIVA[[#This Row],[CD_UPNIVEL1]],IRRIGADO!E:E,ESTIMATIVA[[#This Row],[CD_UPNIVEL3]]),"")</f>
        <v/>
      </c>
      <c r="AJ207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78" s="1">
        <f>COUNTIFS(Apresentação!$E$23:$E$29,ESTIMATIVA[[#This Row],[CD_UPNIVEL1]])</f>
        <v>0</v>
      </c>
    </row>
    <row r="2079" spans="1:37" x14ac:dyDescent="0.3">
      <c r="A2079">
        <v>30520</v>
      </c>
      <c r="B2079" t="s">
        <v>114</v>
      </c>
      <c r="C2079">
        <v>20</v>
      </c>
      <c r="D2079">
        <v>2</v>
      </c>
      <c r="E2079" t="s">
        <v>266</v>
      </c>
      <c r="F2079" s="85" t="s">
        <v>331</v>
      </c>
      <c r="G2079"/>
      <c r="H2079" t="s">
        <v>294</v>
      </c>
      <c r="I2079" t="s">
        <v>202</v>
      </c>
      <c r="J2079" t="s">
        <v>178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/>
      <c r="S2079" t="s">
        <v>282</v>
      </c>
      <c r="T2079" s="13">
        <v>45830</v>
      </c>
      <c r="U2079" s="1" t="str">
        <f>IF(ESTIMATIVA[[#This Row],[QT_AREA_REAL]]&gt;0,"1- Colhido","2- à Colher")</f>
        <v>2- à Colher</v>
      </c>
      <c r="V2079" s="1" t="str">
        <f>IF(ESTIMATIVA[[#This Row],[QT_AREA_REST1]]&gt;0,"Reestimativa 1",IF(ESTIMATIVA[[#This Row],[QT_AREA_REAL]]=0,"Reestimativa 1","Realizado"))</f>
        <v>Reestimativa 1</v>
      </c>
      <c r="W2079" s="1" t="str">
        <f>IF(ESTIMATIVA[[#This Row],[QT_AREA_REST2]]&gt;0,"Reestimativa 2",IF(ESTIMATIVA[[#This Row],[QT_AREA_REAL]]=0,"Reestimativa 2","Realizado"))</f>
        <v>Reestimativa 2</v>
      </c>
      <c r="X2079" s="1">
        <f>ESTIMATIVA[[#This Row],[QT_AREA_EST]]</f>
        <v>0</v>
      </c>
      <c r="Y2079" s="1">
        <f>IF(ESTIMATIVA[[#This Row],[QT_AREA_REST1]]&gt;0,ESTIMATIVA[[#This Row],[QT_AREA_REST1]],
  IF(ESTIMATIVA[[#This Row],[QT_AREA_REAL]]&gt;0,ESTIMATIVA[[#This Row],[QT_AREA_REAL]],ESTIMATIVA[[#This Row],[QT_AREA_EST]]))</f>
        <v>0</v>
      </c>
      <c r="Z207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</v>
      </c>
      <c r="AA2079" s="1">
        <f>ESTIMATIVA[[#This Row],[QT_CANA_EST]]</f>
        <v>0</v>
      </c>
      <c r="AB2079" s="1">
        <f>IF(ESTIMATIVA[[#This Row],[QT_CANA_REST1]]&gt;0,ESTIMATIVA[[#This Row],[QT_CANA_REST1]],
  IF(ESTIMATIVA[[#This Row],[QT_CANA_REAL]]&gt;0,ESTIMATIVA[[#This Row],[QT_CANA_REAL]],ESTIMATIVA[[#This Row],[QT_CANA_EST]]))</f>
        <v>0</v>
      </c>
      <c r="AC207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0</v>
      </c>
      <c r="AD2079" s="1">
        <f>IF(ESTIMATIVA[[#This Row],[QT_AREA_REAL]]&gt;0,ESTIMATIVA[[#This Row],[QT_CANA_REAL]],ESTIMATIVA[[#This Row],[QT_CANA_EST]])</f>
        <v>0</v>
      </c>
      <c r="AE2079" s="1">
        <f>IF(ESTIMATIVA[[#This Row],[QT_AREA_REAL]]&gt;0,ESTIMATIVA[[#This Row],[QT_CANA_REAL]],ESTIMATIVA[[#This Row],[QT_CANA_REST1]])</f>
        <v>0</v>
      </c>
      <c r="AF2079" s="1">
        <f>IF(ESTIMATIVA[[#This Row],[QT_AREA_REAL]]&gt;0,ESTIMATIVA[[#This Row],[QT_CANA_REAL]],ESTIMATIVA[[#This Row],[QT_CANA_REST2]])</f>
        <v>0</v>
      </c>
      <c r="AG2079" s="1" t="str">
        <f>IF(COUNTIFS(GEADA!A:A,VALUE(ESTIMATIVA[[#This Row],[CD_UPNIVEL1]]&amp;TEXT(ESTIMATIVA[[#This Row],[CD_UPNIVEL3]],"0000")))&gt;0,"S","N")</f>
        <v>N</v>
      </c>
      <c r="AH207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79" s="55" t="str">
        <f>IF(ESTIMATIVA[[#This Row],[TP_CULTIVO]]="Irrigado",_xlfn.MAXIFS(IRRIGADO!J:J,IRRIGADO!C:C,ESTIMATIVA[[#This Row],[CD_UPNIVEL1]],IRRIGADO!E:E,ESTIMATIVA[[#This Row],[CD_UPNIVEL3]]),"")</f>
        <v/>
      </c>
      <c r="AJ207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79" s="1">
        <f>COUNTIFS(Apresentação!$E$23:$E$29,ESTIMATIVA[[#This Row],[CD_UPNIVEL1]])</f>
        <v>0</v>
      </c>
    </row>
    <row r="2080" spans="1:37" x14ac:dyDescent="0.3">
      <c r="A2080">
        <v>30520</v>
      </c>
      <c r="B2080" t="s">
        <v>114</v>
      </c>
      <c r="C2080">
        <v>21</v>
      </c>
      <c r="D2080">
        <v>2</v>
      </c>
      <c r="E2080" t="s">
        <v>266</v>
      </c>
      <c r="F2080" s="85" t="s">
        <v>331</v>
      </c>
      <c r="G2080"/>
      <c r="H2080" t="s">
        <v>294</v>
      </c>
      <c r="I2080" t="s">
        <v>200</v>
      </c>
      <c r="J2080" t="s">
        <v>178</v>
      </c>
      <c r="K2080" s="1">
        <v>1.78</v>
      </c>
      <c r="L2080" s="1">
        <v>0</v>
      </c>
      <c r="M2080" s="1">
        <v>0</v>
      </c>
      <c r="N2080" s="1">
        <v>1.78</v>
      </c>
      <c r="O2080" s="1">
        <v>106.8</v>
      </c>
      <c r="P2080" s="1">
        <v>0</v>
      </c>
      <c r="Q2080" s="1">
        <v>0</v>
      </c>
      <c r="R2080" s="1">
        <v>171.4</v>
      </c>
      <c r="S2080" t="s">
        <v>282</v>
      </c>
      <c r="T2080" s="13">
        <v>45760</v>
      </c>
      <c r="U2080" s="1" t="str">
        <f>IF(ESTIMATIVA[[#This Row],[QT_AREA_REAL]]&gt;0,"1- Colhido","2- à Colher")</f>
        <v>1- Colhido</v>
      </c>
      <c r="V2080" s="1" t="str">
        <f>IF(ESTIMATIVA[[#This Row],[QT_AREA_REST1]]&gt;0,"Reestimativa 1",IF(ESTIMATIVA[[#This Row],[QT_AREA_REAL]]=0,"Reestimativa 1","Realizado"))</f>
        <v>Realizado</v>
      </c>
      <c r="W2080" s="1" t="str">
        <f>IF(ESTIMATIVA[[#This Row],[QT_AREA_REST2]]&gt;0,"Reestimativa 2",IF(ESTIMATIVA[[#This Row],[QT_AREA_REAL]]=0,"Reestimativa 2","Realizado"))</f>
        <v>Realizado</v>
      </c>
      <c r="X2080" s="1">
        <f>ESTIMATIVA[[#This Row],[QT_AREA_EST]]</f>
        <v>1.78</v>
      </c>
      <c r="Y2080" s="1">
        <f>IF(ESTIMATIVA[[#This Row],[QT_AREA_REST1]]&gt;0,ESTIMATIVA[[#This Row],[QT_AREA_REST1]],
  IF(ESTIMATIVA[[#This Row],[QT_AREA_REAL]]&gt;0,ESTIMATIVA[[#This Row],[QT_AREA_REAL]],ESTIMATIVA[[#This Row],[QT_AREA_EST]]))</f>
        <v>1.78</v>
      </c>
      <c r="Z208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1.78</v>
      </c>
      <c r="AA2080" s="1">
        <f>ESTIMATIVA[[#This Row],[QT_CANA_EST]]</f>
        <v>106.8</v>
      </c>
      <c r="AB2080" s="1">
        <f>IF(ESTIMATIVA[[#This Row],[QT_CANA_REST1]]&gt;0,ESTIMATIVA[[#This Row],[QT_CANA_REST1]],
  IF(ESTIMATIVA[[#This Row],[QT_CANA_REAL]]&gt;0,ESTIMATIVA[[#This Row],[QT_CANA_REAL]],ESTIMATIVA[[#This Row],[QT_CANA_EST]]))</f>
        <v>171.4</v>
      </c>
      <c r="AC208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171.4</v>
      </c>
      <c r="AD2080" s="1">
        <f>IF(ESTIMATIVA[[#This Row],[QT_AREA_REAL]]&gt;0,ESTIMATIVA[[#This Row],[QT_CANA_REAL]],ESTIMATIVA[[#This Row],[QT_CANA_EST]])</f>
        <v>171.4</v>
      </c>
      <c r="AE2080" s="1">
        <f>IF(ESTIMATIVA[[#This Row],[QT_AREA_REAL]]&gt;0,ESTIMATIVA[[#This Row],[QT_CANA_REAL]],ESTIMATIVA[[#This Row],[QT_CANA_REST1]])</f>
        <v>171.4</v>
      </c>
      <c r="AF2080" s="1">
        <f>IF(ESTIMATIVA[[#This Row],[QT_AREA_REAL]]&gt;0,ESTIMATIVA[[#This Row],[QT_CANA_REAL]],ESTIMATIVA[[#This Row],[QT_CANA_REST2]])</f>
        <v>171.4</v>
      </c>
      <c r="AG2080" s="1" t="str">
        <f>IF(COUNTIFS(GEADA!A:A,VALUE(ESTIMATIVA[[#This Row],[CD_UPNIVEL1]]&amp;TEXT(ESTIMATIVA[[#This Row],[CD_UPNIVEL3]],"0000")))&gt;0,"S","N")</f>
        <v>N</v>
      </c>
      <c r="AH208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80" s="55" t="str">
        <f>IF(ESTIMATIVA[[#This Row],[TP_CULTIVO]]="Irrigado",_xlfn.MAXIFS(IRRIGADO!J:J,IRRIGADO!C:C,ESTIMATIVA[[#This Row],[CD_UPNIVEL1]],IRRIGADO!E:E,ESTIMATIVA[[#This Row],[CD_UPNIVEL3]]),"")</f>
        <v/>
      </c>
      <c r="AJ208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80" s="1">
        <f>COUNTIFS(Apresentação!$E$23:$E$29,ESTIMATIVA[[#This Row],[CD_UPNIVEL1]])</f>
        <v>0</v>
      </c>
    </row>
    <row r="2081" spans="1:37" x14ac:dyDescent="0.3">
      <c r="A2081">
        <v>30520</v>
      </c>
      <c r="B2081" t="s">
        <v>114</v>
      </c>
      <c r="C2081">
        <v>22</v>
      </c>
      <c r="D2081">
        <v>2</v>
      </c>
      <c r="E2081" t="s">
        <v>266</v>
      </c>
      <c r="F2081" s="85" t="s">
        <v>331</v>
      </c>
      <c r="G2081"/>
      <c r="H2081" t="s">
        <v>294</v>
      </c>
      <c r="I2081" t="s">
        <v>200</v>
      </c>
      <c r="J2081" t="s">
        <v>178</v>
      </c>
      <c r="K2081" s="1">
        <v>5.42</v>
      </c>
      <c r="L2081" s="1">
        <v>0</v>
      </c>
      <c r="M2081" s="1">
        <v>0</v>
      </c>
      <c r="N2081" s="1">
        <v>5.42</v>
      </c>
      <c r="O2081" s="1">
        <v>325.2</v>
      </c>
      <c r="P2081" s="1">
        <v>0</v>
      </c>
      <c r="Q2081" s="1">
        <v>0</v>
      </c>
      <c r="R2081" s="1">
        <v>520.66999999999996</v>
      </c>
      <c r="S2081" t="s">
        <v>282</v>
      </c>
      <c r="T2081" s="13">
        <v>45760</v>
      </c>
      <c r="U2081" s="1" t="str">
        <f>IF(ESTIMATIVA[[#This Row],[QT_AREA_REAL]]&gt;0,"1- Colhido","2- à Colher")</f>
        <v>1- Colhido</v>
      </c>
      <c r="V2081" s="1" t="str">
        <f>IF(ESTIMATIVA[[#This Row],[QT_AREA_REST1]]&gt;0,"Reestimativa 1",IF(ESTIMATIVA[[#This Row],[QT_AREA_REAL]]=0,"Reestimativa 1","Realizado"))</f>
        <v>Realizado</v>
      </c>
      <c r="W2081" s="1" t="str">
        <f>IF(ESTIMATIVA[[#This Row],[QT_AREA_REST2]]&gt;0,"Reestimativa 2",IF(ESTIMATIVA[[#This Row],[QT_AREA_REAL]]=0,"Reestimativa 2","Realizado"))</f>
        <v>Realizado</v>
      </c>
      <c r="X2081" s="1">
        <f>ESTIMATIVA[[#This Row],[QT_AREA_EST]]</f>
        <v>5.42</v>
      </c>
      <c r="Y2081" s="1">
        <f>IF(ESTIMATIVA[[#This Row],[QT_AREA_REST1]]&gt;0,ESTIMATIVA[[#This Row],[QT_AREA_REST1]],
  IF(ESTIMATIVA[[#This Row],[QT_AREA_REAL]]&gt;0,ESTIMATIVA[[#This Row],[QT_AREA_REAL]],ESTIMATIVA[[#This Row],[QT_AREA_EST]]))</f>
        <v>5.42</v>
      </c>
      <c r="Z208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5.42</v>
      </c>
      <c r="AA2081" s="1">
        <f>ESTIMATIVA[[#This Row],[QT_CANA_EST]]</f>
        <v>325.2</v>
      </c>
      <c r="AB2081" s="1">
        <f>IF(ESTIMATIVA[[#This Row],[QT_CANA_REST1]]&gt;0,ESTIMATIVA[[#This Row],[QT_CANA_REST1]],
  IF(ESTIMATIVA[[#This Row],[QT_CANA_REAL]]&gt;0,ESTIMATIVA[[#This Row],[QT_CANA_REAL]],ESTIMATIVA[[#This Row],[QT_CANA_EST]]))</f>
        <v>520.66999999999996</v>
      </c>
      <c r="AC208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520.66999999999996</v>
      </c>
      <c r="AD2081" s="1">
        <f>IF(ESTIMATIVA[[#This Row],[QT_AREA_REAL]]&gt;0,ESTIMATIVA[[#This Row],[QT_CANA_REAL]],ESTIMATIVA[[#This Row],[QT_CANA_EST]])</f>
        <v>520.66999999999996</v>
      </c>
      <c r="AE2081" s="1">
        <f>IF(ESTIMATIVA[[#This Row],[QT_AREA_REAL]]&gt;0,ESTIMATIVA[[#This Row],[QT_CANA_REAL]],ESTIMATIVA[[#This Row],[QT_CANA_REST1]])</f>
        <v>520.66999999999996</v>
      </c>
      <c r="AF2081" s="1">
        <f>IF(ESTIMATIVA[[#This Row],[QT_AREA_REAL]]&gt;0,ESTIMATIVA[[#This Row],[QT_CANA_REAL]],ESTIMATIVA[[#This Row],[QT_CANA_REST2]])</f>
        <v>520.66999999999996</v>
      </c>
      <c r="AG2081" s="1" t="str">
        <f>IF(COUNTIFS(GEADA!A:A,VALUE(ESTIMATIVA[[#This Row],[CD_UPNIVEL1]]&amp;TEXT(ESTIMATIVA[[#This Row],[CD_UPNIVEL3]],"0000")))&gt;0,"S","N")</f>
        <v>N</v>
      </c>
      <c r="AH208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81" s="55" t="str">
        <f>IF(ESTIMATIVA[[#This Row],[TP_CULTIVO]]="Irrigado",_xlfn.MAXIFS(IRRIGADO!J:J,IRRIGADO!C:C,ESTIMATIVA[[#This Row],[CD_UPNIVEL1]],IRRIGADO!E:E,ESTIMATIVA[[#This Row],[CD_UPNIVEL3]]),"")</f>
        <v/>
      </c>
      <c r="AJ208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81" s="1">
        <f>COUNTIFS(Apresentação!$E$23:$E$29,ESTIMATIVA[[#This Row],[CD_UPNIVEL1]])</f>
        <v>0</v>
      </c>
    </row>
    <row r="2082" spans="1:37" x14ac:dyDescent="0.3">
      <c r="A2082">
        <v>30520</v>
      </c>
      <c r="B2082" t="s">
        <v>114</v>
      </c>
      <c r="C2082">
        <v>23</v>
      </c>
      <c r="D2082">
        <v>2</v>
      </c>
      <c r="E2082" t="s">
        <v>266</v>
      </c>
      <c r="F2082" s="85" t="s">
        <v>331</v>
      </c>
      <c r="G2082"/>
      <c r="H2082" t="s">
        <v>294</v>
      </c>
      <c r="I2082" t="s">
        <v>200</v>
      </c>
      <c r="J2082" t="s">
        <v>178</v>
      </c>
      <c r="K2082" s="1">
        <v>8.44</v>
      </c>
      <c r="L2082" s="1">
        <v>0</v>
      </c>
      <c r="M2082" s="1">
        <v>0</v>
      </c>
      <c r="N2082" s="1">
        <v>8.44</v>
      </c>
      <c r="O2082" s="1">
        <v>506.4</v>
      </c>
      <c r="P2082" s="1">
        <v>0</v>
      </c>
      <c r="Q2082" s="1">
        <v>0</v>
      </c>
      <c r="R2082" s="1">
        <v>810.72</v>
      </c>
      <c r="S2082" t="s">
        <v>282</v>
      </c>
      <c r="T2082" s="13">
        <v>45760</v>
      </c>
      <c r="U2082" s="1" t="str">
        <f>IF(ESTIMATIVA[[#This Row],[QT_AREA_REAL]]&gt;0,"1- Colhido","2- à Colher")</f>
        <v>1- Colhido</v>
      </c>
      <c r="V2082" s="1" t="str">
        <f>IF(ESTIMATIVA[[#This Row],[QT_AREA_REST1]]&gt;0,"Reestimativa 1",IF(ESTIMATIVA[[#This Row],[QT_AREA_REAL]]=0,"Reestimativa 1","Realizado"))</f>
        <v>Realizado</v>
      </c>
      <c r="W2082" s="1" t="str">
        <f>IF(ESTIMATIVA[[#This Row],[QT_AREA_REST2]]&gt;0,"Reestimativa 2",IF(ESTIMATIVA[[#This Row],[QT_AREA_REAL]]=0,"Reestimativa 2","Realizado"))</f>
        <v>Realizado</v>
      </c>
      <c r="X2082" s="1">
        <f>ESTIMATIVA[[#This Row],[QT_AREA_EST]]</f>
        <v>8.44</v>
      </c>
      <c r="Y2082" s="1">
        <f>IF(ESTIMATIVA[[#This Row],[QT_AREA_REST1]]&gt;0,ESTIMATIVA[[#This Row],[QT_AREA_REST1]],
  IF(ESTIMATIVA[[#This Row],[QT_AREA_REAL]]&gt;0,ESTIMATIVA[[#This Row],[QT_AREA_REAL]],ESTIMATIVA[[#This Row],[QT_AREA_EST]]))</f>
        <v>8.44</v>
      </c>
      <c r="Z208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8.44</v>
      </c>
      <c r="AA2082" s="1">
        <f>ESTIMATIVA[[#This Row],[QT_CANA_EST]]</f>
        <v>506.4</v>
      </c>
      <c r="AB2082" s="1">
        <f>IF(ESTIMATIVA[[#This Row],[QT_CANA_REST1]]&gt;0,ESTIMATIVA[[#This Row],[QT_CANA_REST1]],
  IF(ESTIMATIVA[[#This Row],[QT_CANA_REAL]]&gt;0,ESTIMATIVA[[#This Row],[QT_CANA_REAL]],ESTIMATIVA[[#This Row],[QT_CANA_EST]]))</f>
        <v>810.72</v>
      </c>
      <c r="AC208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810.72</v>
      </c>
      <c r="AD2082" s="1">
        <f>IF(ESTIMATIVA[[#This Row],[QT_AREA_REAL]]&gt;0,ESTIMATIVA[[#This Row],[QT_CANA_REAL]],ESTIMATIVA[[#This Row],[QT_CANA_EST]])</f>
        <v>810.72</v>
      </c>
      <c r="AE2082" s="1">
        <f>IF(ESTIMATIVA[[#This Row],[QT_AREA_REAL]]&gt;0,ESTIMATIVA[[#This Row],[QT_CANA_REAL]],ESTIMATIVA[[#This Row],[QT_CANA_REST1]])</f>
        <v>810.72</v>
      </c>
      <c r="AF2082" s="1">
        <f>IF(ESTIMATIVA[[#This Row],[QT_AREA_REAL]]&gt;0,ESTIMATIVA[[#This Row],[QT_CANA_REAL]],ESTIMATIVA[[#This Row],[QT_CANA_REST2]])</f>
        <v>810.72</v>
      </c>
      <c r="AG2082" s="1" t="str">
        <f>IF(COUNTIFS(GEADA!A:A,VALUE(ESTIMATIVA[[#This Row],[CD_UPNIVEL1]]&amp;TEXT(ESTIMATIVA[[#This Row],[CD_UPNIVEL3]],"0000")))&gt;0,"S","N")</f>
        <v>N</v>
      </c>
      <c r="AH208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82" s="55" t="str">
        <f>IF(ESTIMATIVA[[#This Row],[TP_CULTIVO]]="Irrigado",_xlfn.MAXIFS(IRRIGADO!J:J,IRRIGADO!C:C,ESTIMATIVA[[#This Row],[CD_UPNIVEL1]],IRRIGADO!E:E,ESTIMATIVA[[#This Row],[CD_UPNIVEL3]]),"")</f>
        <v/>
      </c>
      <c r="AJ208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82" s="1">
        <f>COUNTIFS(Apresentação!$E$23:$E$29,ESTIMATIVA[[#This Row],[CD_UPNIVEL1]])</f>
        <v>0</v>
      </c>
    </row>
    <row r="2083" spans="1:37" x14ac:dyDescent="0.3">
      <c r="A2083">
        <v>30527</v>
      </c>
      <c r="B2083" t="s">
        <v>166</v>
      </c>
      <c r="C2083">
        <v>2</v>
      </c>
      <c r="D2083">
        <v>1</v>
      </c>
      <c r="E2083" t="s">
        <v>267</v>
      </c>
      <c r="F2083" s="85" t="s">
        <v>331</v>
      </c>
      <c r="G2083"/>
      <c r="H2083" t="s">
        <v>294</v>
      </c>
      <c r="I2083" t="s">
        <v>208</v>
      </c>
      <c r="J2083" t="s">
        <v>178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/>
      <c r="S2083" t="s">
        <v>282</v>
      </c>
      <c r="T2083" s="13">
        <v>45760</v>
      </c>
      <c r="U2083" s="1" t="str">
        <f>IF(ESTIMATIVA[[#This Row],[QT_AREA_REAL]]&gt;0,"1- Colhido","2- à Colher")</f>
        <v>2- à Colher</v>
      </c>
      <c r="V2083" s="1" t="str">
        <f>IF(ESTIMATIVA[[#This Row],[QT_AREA_REST1]]&gt;0,"Reestimativa 1",IF(ESTIMATIVA[[#This Row],[QT_AREA_REAL]]=0,"Reestimativa 1","Realizado"))</f>
        <v>Reestimativa 1</v>
      </c>
      <c r="W2083" s="1" t="str">
        <f>IF(ESTIMATIVA[[#This Row],[QT_AREA_REST2]]&gt;0,"Reestimativa 2",IF(ESTIMATIVA[[#This Row],[QT_AREA_REAL]]=0,"Reestimativa 2","Realizado"))</f>
        <v>Reestimativa 2</v>
      </c>
      <c r="X2083" s="1">
        <f>ESTIMATIVA[[#This Row],[QT_AREA_EST]]</f>
        <v>0</v>
      </c>
      <c r="Y2083" s="1">
        <f>IF(ESTIMATIVA[[#This Row],[QT_AREA_REST1]]&gt;0,ESTIMATIVA[[#This Row],[QT_AREA_REST1]],
  IF(ESTIMATIVA[[#This Row],[QT_AREA_REAL]]&gt;0,ESTIMATIVA[[#This Row],[QT_AREA_REAL]],ESTIMATIVA[[#This Row],[QT_AREA_EST]]))</f>
        <v>0</v>
      </c>
      <c r="Z208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</v>
      </c>
      <c r="AA2083" s="1">
        <f>ESTIMATIVA[[#This Row],[QT_CANA_EST]]</f>
        <v>0</v>
      </c>
      <c r="AB2083" s="1">
        <f>IF(ESTIMATIVA[[#This Row],[QT_CANA_REST1]]&gt;0,ESTIMATIVA[[#This Row],[QT_CANA_REST1]],
  IF(ESTIMATIVA[[#This Row],[QT_CANA_REAL]]&gt;0,ESTIMATIVA[[#This Row],[QT_CANA_REAL]],ESTIMATIVA[[#This Row],[QT_CANA_EST]]))</f>
        <v>0</v>
      </c>
      <c r="AC208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0</v>
      </c>
      <c r="AD2083" s="1">
        <f>IF(ESTIMATIVA[[#This Row],[QT_AREA_REAL]]&gt;0,ESTIMATIVA[[#This Row],[QT_CANA_REAL]],ESTIMATIVA[[#This Row],[QT_CANA_EST]])</f>
        <v>0</v>
      </c>
      <c r="AE2083" s="1">
        <f>IF(ESTIMATIVA[[#This Row],[QT_AREA_REAL]]&gt;0,ESTIMATIVA[[#This Row],[QT_CANA_REAL]],ESTIMATIVA[[#This Row],[QT_CANA_REST1]])</f>
        <v>0</v>
      </c>
      <c r="AF2083" s="1">
        <f>IF(ESTIMATIVA[[#This Row],[QT_AREA_REAL]]&gt;0,ESTIMATIVA[[#This Row],[QT_CANA_REAL]],ESTIMATIVA[[#This Row],[QT_CANA_REST2]])</f>
        <v>0</v>
      </c>
      <c r="AG2083" s="1" t="str">
        <f>IF(COUNTIFS(GEADA!A:A,VALUE(ESTIMATIVA[[#This Row],[CD_UPNIVEL1]]&amp;TEXT(ESTIMATIVA[[#This Row],[CD_UPNIVEL3]],"0000")))&gt;0,"S","N")</f>
        <v>N</v>
      </c>
      <c r="AH208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83" s="55" t="str">
        <f>IF(ESTIMATIVA[[#This Row],[TP_CULTIVO]]="Irrigado",_xlfn.MAXIFS(IRRIGADO!J:J,IRRIGADO!C:C,ESTIMATIVA[[#This Row],[CD_UPNIVEL1]],IRRIGADO!E:E,ESTIMATIVA[[#This Row],[CD_UPNIVEL3]]),"")</f>
        <v/>
      </c>
      <c r="AJ208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83" s="1">
        <f>COUNTIFS(Apresentação!$E$23:$E$29,ESTIMATIVA[[#This Row],[CD_UPNIVEL1]])</f>
        <v>0</v>
      </c>
    </row>
    <row r="2084" spans="1:37" x14ac:dyDescent="0.3">
      <c r="A2084">
        <v>30527</v>
      </c>
      <c r="B2084" t="s">
        <v>166</v>
      </c>
      <c r="C2084">
        <v>3</v>
      </c>
      <c r="D2084">
        <v>1</v>
      </c>
      <c r="E2084" t="s">
        <v>267</v>
      </c>
      <c r="F2084" s="85" t="s">
        <v>331</v>
      </c>
      <c r="G2084"/>
      <c r="H2084" t="s">
        <v>294</v>
      </c>
      <c r="I2084" t="s">
        <v>208</v>
      </c>
      <c r="J2084" t="s">
        <v>178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/>
      <c r="S2084" t="s">
        <v>282</v>
      </c>
      <c r="T2084" s="13">
        <v>45760</v>
      </c>
      <c r="U2084" s="1" t="str">
        <f>IF(ESTIMATIVA[[#This Row],[QT_AREA_REAL]]&gt;0,"1- Colhido","2- à Colher")</f>
        <v>2- à Colher</v>
      </c>
      <c r="V2084" s="1" t="str">
        <f>IF(ESTIMATIVA[[#This Row],[QT_AREA_REST1]]&gt;0,"Reestimativa 1",IF(ESTIMATIVA[[#This Row],[QT_AREA_REAL]]=0,"Reestimativa 1","Realizado"))</f>
        <v>Reestimativa 1</v>
      </c>
      <c r="W2084" s="1" t="str">
        <f>IF(ESTIMATIVA[[#This Row],[QT_AREA_REST2]]&gt;0,"Reestimativa 2",IF(ESTIMATIVA[[#This Row],[QT_AREA_REAL]]=0,"Reestimativa 2","Realizado"))</f>
        <v>Reestimativa 2</v>
      </c>
      <c r="X2084" s="1">
        <f>ESTIMATIVA[[#This Row],[QT_AREA_EST]]</f>
        <v>0</v>
      </c>
      <c r="Y2084" s="1">
        <f>IF(ESTIMATIVA[[#This Row],[QT_AREA_REST1]]&gt;0,ESTIMATIVA[[#This Row],[QT_AREA_REST1]],
  IF(ESTIMATIVA[[#This Row],[QT_AREA_REAL]]&gt;0,ESTIMATIVA[[#This Row],[QT_AREA_REAL]],ESTIMATIVA[[#This Row],[QT_AREA_EST]]))</f>
        <v>0</v>
      </c>
      <c r="Z208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</v>
      </c>
      <c r="AA2084" s="1">
        <f>ESTIMATIVA[[#This Row],[QT_CANA_EST]]</f>
        <v>0</v>
      </c>
      <c r="AB2084" s="1">
        <f>IF(ESTIMATIVA[[#This Row],[QT_CANA_REST1]]&gt;0,ESTIMATIVA[[#This Row],[QT_CANA_REST1]],
  IF(ESTIMATIVA[[#This Row],[QT_CANA_REAL]]&gt;0,ESTIMATIVA[[#This Row],[QT_CANA_REAL]],ESTIMATIVA[[#This Row],[QT_CANA_EST]]))</f>
        <v>0</v>
      </c>
      <c r="AC208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0</v>
      </c>
      <c r="AD2084" s="1">
        <f>IF(ESTIMATIVA[[#This Row],[QT_AREA_REAL]]&gt;0,ESTIMATIVA[[#This Row],[QT_CANA_REAL]],ESTIMATIVA[[#This Row],[QT_CANA_EST]])</f>
        <v>0</v>
      </c>
      <c r="AE2084" s="1">
        <f>IF(ESTIMATIVA[[#This Row],[QT_AREA_REAL]]&gt;0,ESTIMATIVA[[#This Row],[QT_CANA_REAL]],ESTIMATIVA[[#This Row],[QT_CANA_REST1]])</f>
        <v>0</v>
      </c>
      <c r="AF2084" s="1">
        <f>IF(ESTIMATIVA[[#This Row],[QT_AREA_REAL]]&gt;0,ESTIMATIVA[[#This Row],[QT_CANA_REAL]],ESTIMATIVA[[#This Row],[QT_CANA_REST2]])</f>
        <v>0</v>
      </c>
      <c r="AG2084" s="1" t="str">
        <f>IF(COUNTIFS(GEADA!A:A,VALUE(ESTIMATIVA[[#This Row],[CD_UPNIVEL1]]&amp;TEXT(ESTIMATIVA[[#This Row],[CD_UPNIVEL3]],"0000")))&gt;0,"S","N")</f>
        <v>N</v>
      </c>
      <c r="AH208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84" s="55" t="str">
        <f>IF(ESTIMATIVA[[#This Row],[TP_CULTIVO]]="Irrigado",_xlfn.MAXIFS(IRRIGADO!J:J,IRRIGADO!C:C,ESTIMATIVA[[#This Row],[CD_UPNIVEL1]],IRRIGADO!E:E,ESTIMATIVA[[#This Row],[CD_UPNIVEL3]]),"")</f>
        <v/>
      </c>
      <c r="AJ208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84" s="1">
        <f>COUNTIFS(Apresentação!$E$23:$E$29,ESTIMATIVA[[#This Row],[CD_UPNIVEL1]])</f>
        <v>0</v>
      </c>
    </row>
    <row r="2085" spans="1:37" x14ac:dyDescent="0.3">
      <c r="A2085">
        <v>30527</v>
      </c>
      <c r="B2085" t="s">
        <v>166</v>
      </c>
      <c r="C2085">
        <v>4</v>
      </c>
      <c r="D2085">
        <v>1</v>
      </c>
      <c r="E2085" t="s">
        <v>267</v>
      </c>
      <c r="F2085" s="85" t="s">
        <v>331</v>
      </c>
      <c r="G2085"/>
      <c r="H2085" t="s">
        <v>294</v>
      </c>
      <c r="I2085" t="s">
        <v>208</v>
      </c>
      <c r="J2085" t="s">
        <v>178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/>
      <c r="S2085" t="s">
        <v>282</v>
      </c>
      <c r="T2085" s="13">
        <v>45844</v>
      </c>
      <c r="U2085" s="1" t="str">
        <f>IF(ESTIMATIVA[[#This Row],[QT_AREA_REAL]]&gt;0,"1- Colhido","2- à Colher")</f>
        <v>2- à Colher</v>
      </c>
      <c r="V2085" s="1" t="str">
        <f>IF(ESTIMATIVA[[#This Row],[QT_AREA_REST1]]&gt;0,"Reestimativa 1",IF(ESTIMATIVA[[#This Row],[QT_AREA_REAL]]=0,"Reestimativa 1","Realizado"))</f>
        <v>Reestimativa 1</v>
      </c>
      <c r="W2085" s="1" t="str">
        <f>IF(ESTIMATIVA[[#This Row],[QT_AREA_REST2]]&gt;0,"Reestimativa 2",IF(ESTIMATIVA[[#This Row],[QT_AREA_REAL]]=0,"Reestimativa 2","Realizado"))</f>
        <v>Reestimativa 2</v>
      </c>
      <c r="X2085" s="1">
        <f>ESTIMATIVA[[#This Row],[QT_AREA_EST]]</f>
        <v>0</v>
      </c>
      <c r="Y2085" s="1">
        <f>IF(ESTIMATIVA[[#This Row],[QT_AREA_REST1]]&gt;0,ESTIMATIVA[[#This Row],[QT_AREA_REST1]],
  IF(ESTIMATIVA[[#This Row],[QT_AREA_REAL]]&gt;0,ESTIMATIVA[[#This Row],[QT_AREA_REAL]],ESTIMATIVA[[#This Row],[QT_AREA_EST]]))</f>
        <v>0</v>
      </c>
      <c r="Z208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</v>
      </c>
      <c r="AA2085" s="1">
        <f>ESTIMATIVA[[#This Row],[QT_CANA_EST]]</f>
        <v>0</v>
      </c>
      <c r="AB2085" s="1">
        <f>IF(ESTIMATIVA[[#This Row],[QT_CANA_REST1]]&gt;0,ESTIMATIVA[[#This Row],[QT_CANA_REST1]],
  IF(ESTIMATIVA[[#This Row],[QT_CANA_REAL]]&gt;0,ESTIMATIVA[[#This Row],[QT_CANA_REAL]],ESTIMATIVA[[#This Row],[QT_CANA_EST]]))</f>
        <v>0</v>
      </c>
      <c r="AC208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0</v>
      </c>
      <c r="AD2085" s="1">
        <f>IF(ESTIMATIVA[[#This Row],[QT_AREA_REAL]]&gt;0,ESTIMATIVA[[#This Row],[QT_CANA_REAL]],ESTIMATIVA[[#This Row],[QT_CANA_EST]])</f>
        <v>0</v>
      </c>
      <c r="AE2085" s="1">
        <f>IF(ESTIMATIVA[[#This Row],[QT_AREA_REAL]]&gt;0,ESTIMATIVA[[#This Row],[QT_CANA_REAL]],ESTIMATIVA[[#This Row],[QT_CANA_REST1]])</f>
        <v>0</v>
      </c>
      <c r="AF2085" s="1">
        <f>IF(ESTIMATIVA[[#This Row],[QT_AREA_REAL]]&gt;0,ESTIMATIVA[[#This Row],[QT_CANA_REAL]],ESTIMATIVA[[#This Row],[QT_CANA_REST2]])</f>
        <v>0</v>
      </c>
      <c r="AG2085" s="1" t="str">
        <f>IF(COUNTIFS(GEADA!A:A,VALUE(ESTIMATIVA[[#This Row],[CD_UPNIVEL1]]&amp;TEXT(ESTIMATIVA[[#This Row],[CD_UPNIVEL3]],"0000")))&gt;0,"S","N")</f>
        <v>N</v>
      </c>
      <c r="AH208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85" s="55" t="str">
        <f>IF(ESTIMATIVA[[#This Row],[TP_CULTIVO]]="Irrigado",_xlfn.MAXIFS(IRRIGADO!J:J,IRRIGADO!C:C,ESTIMATIVA[[#This Row],[CD_UPNIVEL1]],IRRIGADO!E:E,ESTIMATIVA[[#This Row],[CD_UPNIVEL3]]),"")</f>
        <v/>
      </c>
      <c r="AJ208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85" s="1">
        <f>COUNTIFS(Apresentação!$E$23:$E$29,ESTIMATIVA[[#This Row],[CD_UPNIVEL1]])</f>
        <v>0</v>
      </c>
    </row>
    <row r="2086" spans="1:37" x14ac:dyDescent="0.3">
      <c r="A2086">
        <v>30527</v>
      </c>
      <c r="B2086" t="s">
        <v>166</v>
      </c>
      <c r="C2086">
        <v>5</v>
      </c>
      <c r="D2086">
        <v>1</v>
      </c>
      <c r="E2086" t="s">
        <v>267</v>
      </c>
      <c r="F2086" s="85" t="s">
        <v>333</v>
      </c>
      <c r="G2086"/>
      <c r="H2086" t="s">
        <v>294</v>
      </c>
      <c r="I2086" t="s">
        <v>231</v>
      </c>
      <c r="J2086" t="s">
        <v>178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/>
      <c r="S2086" t="s">
        <v>282</v>
      </c>
      <c r="T2086" s="13">
        <v>45844</v>
      </c>
      <c r="U2086" s="1" t="str">
        <f>IF(ESTIMATIVA[[#This Row],[QT_AREA_REAL]]&gt;0,"1- Colhido","2- à Colher")</f>
        <v>2- à Colher</v>
      </c>
      <c r="V2086" s="1" t="str">
        <f>IF(ESTIMATIVA[[#This Row],[QT_AREA_REST1]]&gt;0,"Reestimativa 1",IF(ESTIMATIVA[[#This Row],[QT_AREA_REAL]]=0,"Reestimativa 1","Realizado"))</f>
        <v>Reestimativa 1</v>
      </c>
      <c r="W2086" s="1" t="str">
        <f>IF(ESTIMATIVA[[#This Row],[QT_AREA_REST2]]&gt;0,"Reestimativa 2",IF(ESTIMATIVA[[#This Row],[QT_AREA_REAL]]=0,"Reestimativa 2","Realizado"))</f>
        <v>Reestimativa 2</v>
      </c>
      <c r="X2086" s="1">
        <f>ESTIMATIVA[[#This Row],[QT_AREA_EST]]</f>
        <v>0</v>
      </c>
      <c r="Y2086" s="1">
        <f>IF(ESTIMATIVA[[#This Row],[QT_AREA_REST1]]&gt;0,ESTIMATIVA[[#This Row],[QT_AREA_REST1]],
  IF(ESTIMATIVA[[#This Row],[QT_AREA_REAL]]&gt;0,ESTIMATIVA[[#This Row],[QT_AREA_REAL]],ESTIMATIVA[[#This Row],[QT_AREA_EST]]))</f>
        <v>0</v>
      </c>
      <c r="Z208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0</v>
      </c>
      <c r="AA2086" s="1">
        <f>ESTIMATIVA[[#This Row],[QT_CANA_EST]]</f>
        <v>0</v>
      </c>
      <c r="AB2086" s="1">
        <f>IF(ESTIMATIVA[[#This Row],[QT_CANA_REST1]]&gt;0,ESTIMATIVA[[#This Row],[QT_CANA_REST1]],
  IF(ESTIMATIVA[[#This Row],[QT_CANA_REAL]]&gt;0,ESTIMATIVA[[#This Row],[QT_CANA_REAL]],ESTIMATIVA[[#This Row],[QT_CANA_EST]]))</f>
        <v>0</v>
      </c>
      <c r="AC208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0</v>
      </c>
      <c r="AD2086" s="1">
        <f>IF(ESTIMATIVA[[#This Row],[QT_AREA_REAL]]&gt;0,ESTIMATIVA[[#This Row],[QT_CANA_REAL]],ESTIMATIVA[[#This Row],[QT_CANA_EST]])</f>
        <v>0</v>
      </c>
      <c r="AE2086" s="1">
        <f>IF(ESTIMATIVA[[#This Row],[QT_AREA_REAL]]&gt;0,ESTIMATIVA[[#This Row],[QT_CANA_REAL]],ESTIMATIVA[[#This Row],[QT_CANA_REST1]])</f>
        <v>0</v>
      </c>
      <c r="AF2086" s="1">
        <f>IF(ESTIMATIVA[[#This Row],[QT_AREA_REAL]]&gt;0,ESTIMATIVA[[#This Row],[QT_CANA_REAL]],ESTIMATIVA[[#This Row],[QT_CANA_REST2]])</f>
        <v>0</v>
      </c>
      <c r="AG2086" s="1" t="str">
        <f>IF(COUNTIFS(GEADA!A:A,VALUE(ESTIMATIVA[[#This Row],[CD_UPNIVEL1]]&amp;TEXT(ESTIMATIVA[[#This Row],[CD_UPNIVEL3]],"0000")))&gt;0,"S","N")</f>
        <v>N</v>
      </c>
      <c r="AH208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86" s="55" t="str">
        <f>IF(ESTIMATIVA[[#This Row],[TP_CULTIVO]]="Irrigado",_xlfn.MAXIFS(IRRIGADO!J:J,IRRIGADO!C:C,ESTIMATIVA[[#This Row],[CD_UPNIVEL1]],IRRIGADO!E:E,ESTIMATIVA[[#This Row],[CD_UPNIVEL3]]),"")</f>
        <v/>
      </c>
      <c r="AJ208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86" s="1">
        <f>COUNTIFS(Apresentação!$E$23:$E$29,ESTIMATIVA[[#This Row],[CD_UPNIVEL1]])</f>
        <v>0</v>
      </c>
    </row>
    <row r="2087" spans="1:37" x14ac:dyDescent="0.3">
      <c r="A2087">
        <v>30527</v>
      </c>
      <c r="B2087" t="s">
        <v>166</v>
      </c>
      <c r="C2087">
        <v>6</v>
      </c>
      <c r="D2087">
        <v>1</v>
      </c>
      <c r="E2087" t="s">
        <v>267</v>
      </c>
      <c r="F2087" s="85" t="s">
        <v>333</v>
      </c>
      <c r="G2087"/>
      <c r="H2087" t="s">
        <v>294</v>
      </c>
      <c r="I2087" t="s">
        <v>231</v>
      </c>
      <c r="J2087" t="s">
        <v>178</v>
      </c>
      <c r="K2087" s="1">
        <v>2</v>
      </c>
      <c r="L2087" s="1">
        <v>2</v>
      </c>
      <c r="M2087" s="1">
        <v>2</v>
      </c>
      <c r="N2087" s="1">
        <v>2</v>
      </c>
      <c r="O2087" s="1">
        <v>180</v>
      </c>
      <c r="P2087" s="1">
        <v>160</v>
      </c>
      <c r="Q2087" s="1">
        <v>160</v>
      </c>
      <c r="R2087" s="1">
        <v>229.23</v>
      </c>
      <c r="S2087" t="s">
        <v>282</v>
      </c>
      <c r="T2087" s="13">
        <v>46005</v>
      </c>
      <c r="U2087" s="1" t="str">
        <f>IF(ESTIMATIVA[[#This Row],[QT_AREA_REAL]]&gt;0,"1- Colhido","2- à Colher")</f>
        <v>1- Colhido</v>
      </c>
      <c r="V2087" s="1" t="str">
        <f>IF(ESTIMATIVA[[#This Row],[QT_AREA_REST1]]&gt;0,"Reestimativa 1",IF(ESTIMATIVA[[#This Row],[QT_AREA_REAL]]=0,"Reestimativa 1","Realizado"))</f>
        <v>Reestimativa 1</v>
      </c>
      <c r="W2087" s="1" t="str">
        <f>IF(ESTIMATIVA[[#This Row],[QT_AREA_REST2]]&gt;0,"Reestimativa 2",IF(ESTIMATIVA[[#This Row],[QT_AREA_REAL]]=0,"Reestimativa 2","Realizado"))</f>
        <v>Reestimativa 2</v>
      </c>
      <c r="X2087" s="1">
        <f>ESTIMATIVA[[#This Row],[QT_AREA_EST]]</f>
        <v>2</v>
      </c>
      <c r="Y2087" s="1">
        <f>IF(ESTIMATIVA[[#This Row],[QT_AREA_REST1]]&gt;0,ESTIMATIVA[[#This Row],[QT_AREA_REST1]],
  IF(ESTIMATIVA[[#This Row],[QT_AREA_REAL]]&gt;0,ESTIMATIVA[[#This Row],[QT_AREA_REAL]],ESTIMATIVA[[#This Row],[QT_AREA_EST]]))</f>
        <v>2</v>
      </c>
      <c r="Z208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</v>
      </c>
      <c r="AA2087" s="1">
        <f>ESTIMATIVA[[#This Row],[QT_CANA_EST]]</f>
        <v>180</v>
      </c>
      <c r="AB2087" s="1">
        <f>IF(ESTIMATIVA[[#This Row],[QT_CANA_REST1]]&gt;0,ESTIMATIVA[[#This Row],[QT_CANA_REST1]],
  IF(ESTIMATIVA[[#This Row],[QT_CANA_REAL]]&gt;0,ESTIMATIVA[[#This Row],[QT_CANA_REAL]],ESTIMATIVA[[#This Row],[QT_CANA_EST]]))</f>
        <v>160</v>
      </c>
      <c r="AC208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160</v>
      </c>
      <c r="AD2087" s="1">
        <f>IF(ESTIMATIVA[[#This Row],[QT_AREA_REAL]]&gt;0,ESTIMATIVA[[#This Row],[QT_CANA_REAL]],ESTIMATIVA[[#This Row],[QT_CANA_EST]])</f>
        <v>229.23</v>
      </c>
      <c r="AE2087" s="1">
        <f>IF(ESTIMATIVA[[#This Row],[QT_AREA_REAL]]&gt;0,ESTIMATIVA[[#This Row],[QT_CANA_REAL]],ESTIMATIVA[[#This Row],[QT_CANA_REST1]])</f>
        <v>229.23</v>
      </c>
      <c r="AF2087" s="1">
        <f>IF(ESTIMATIVA[[#This Row],[QT_AREA_REAL]]&gt;0,ESTIMATIVA[[#This Row],[QT_CANA_REAL]],ESTIMATIVA[[#This Row],[QT_CANA_REST2]])</f>
        <v>229.23</v>
      </c>
      <c r="AG2087" s="1" t="str">
        <f>IF(COUNTIFS(GEADA!A:A,VALUE(ESTIMATIVA[[#This Row],[CD_UPNIVEL1]]&amp;TEXT(ESTIMATIVA[[#This Row],[CD_UPNIVEL3]],"0000")))&gt;0,"S","N")</f>
        <v>N</v>
      </c>
      <c r="AH208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87" s="55" t="str">
        <f>IF(ESTIMATIVA[[#This Row],[TP_CULTIVO]]="Irrigado",_xlfn.MAXIFS(IRRIGADO!J:J,IRRIGADO!C:C,ESTIMATIVA[[#This Row],[CD_UPNIVEL1]],IRRIGADO!E:E,ESTIMATIVA[[#This Row],[CD_UPNIVEL3]]),"")</f>
        <v/>
      </c>
      <c r="AJ208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87" s="1">
        <f>COUNTIFS(Apresentação!$E$23:$E$29,ESTIMATIVA[[#This Row],[CD_UPNIVEL1]])</f>
        <v>0</v>
      </c>
    </row>
    <row r="2088" spans="1:37" x14ac:dyDescent="0.3">
      <c r="A2088">
        <v>30529</v>
      </c>
      <c r="B2088" t="s">
        <v>115</v>
      </c>
      <c r="C2088">
        <v>1</v>
      </c>
      <c r="D2088">
        <v>1</v>
      </c>
      <c r="E2088" t="s">
        <v>267</v>
      </c>
      <c r="F2088" s="85" t="s">
        <v>331</v>
      </c>
      <c r="G2088"/>
      <c r="H2088" t="s">
        <v>294</v>
      </c>
      <c r="I2088" t="s">
        <v>231</v>
      </c>
      <c r="J2088" t="s">
        <v>178</v>
      </c>
      <c r="K2088" s="1">
        <v>43.2</v>
      </c>
      <c r="L2088" s="1">
        <v>43.2</v>
      </c>
      <c r="M2088" s="1">
        <v>0</v>
      </c>
      <c r="N2088" s="1">
        <v>43.2</v>
      </c>
      <c r="O2088" s="1">
        <v>3456</v>
      </c>
      <c r="P2088" s="1">
        <v>4060.8</v>
      </c>
      <c r="Q2088" s="1">
        <v>0</v>
      </c>
      <c r="R2088" s="1">
        <v>3640.87</v>
      </c>
      <c r="S2088" t="s">
        <v>282</v>
      </c>
      <c r="T2088" s="13">
        <v>45907</v>
      </c>
      <c r="U2088" s="1" t="str">
        <f>IF(ESTIMATIVA[[#This Row],[QT_AREA_REAL]]&gt;0,"1- Colhido","2- à Colher")</f>
        <v>1- Colhido</v>
      </c>
      <c r="V2088" s="1" t="str">
        <f>IF(ESTIMATIVA[[#This Row],[QT_AREA_REST1]]&gt;0,"Reestimativa 1",IF(ESTIMATIVA[[#This Row],[QT_AREA_REAL]]=0,"Reestimativa 1","Realizado"))</f>
        <v>Reestimativa 1</v>
      </c>
      <c r="W2088" s="1" t="str">
        <f>IF(ESTIMATIVA[[#This Row],[QT_AREA_REST2]]&gt;0,"Reestimativa 2",IF(ESTIMATIVA[[#This Row],[QT_AREA_REAL]]=0,"Reestimativa 2","Realizado"))</f>
        <v>Realizado</v>
      </c>
      <c r="X2088" s="1">
        <f>ESTIMATIVA[[#This Row],[QT_AREA_EST]]</f>
        <v>43.2</v>
      </c>
      <c r="Y2088" s="1">
        <f>IF(ESTIMATIVA[[#This Row],[QT_AREA_REST1]]&gt;0,ESTIMATIVA[[#This Row],[QT_AREA_REST1]],
  IF(ESTIMATIVA[[#This Row],[QT_AREA_REAL]]&gt;0,ESTIMATIVA[[#This Row],[QT_AREA_REAL]],ESTIMATIVA[[#This Row],[QT_AREA_EST]]))</f>
        <v>43.2</v>
      </c>
      <c r="Z208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43.2</v>
      </c>
      <c r="AA2088" s="1">
        <f>ESTIMATIVA[[#This Row],[QT_CANA_EST]]</f>
        <v>3456</v>
      </c>
      <c r="AB2088" s="1">
        <f>IF(ESTIMATIVA[[#This Row],[QT_CANA_REST1]]&gt;0,ESTIMATIVA[[#This Row],[QT_CANA_REST1]],
  IF(ESTIMATIVA[[#This Row],[QT_CANA_REAL]]&gt;0,ESTIMATIVA[[#This Row],[QT_CANA_REAL]],ESTIMATIVA[[#This Row],[QT_CANA_EST]]))</f>
        <v>4060.8</v>
      </c>
      <c r="AC208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3640.87</v>
      </c>
      <c r="AD2088" s="1">
        <f>IF(ESTIMATIVA[[#This Row],[QT_AREA_REAL]]&gt;0,ESTIMATIVA[[#This Row],[QT_CANA_REAL]],ESTIMATIVA[[#This Row],[QT_CANA_EST]])</f>
        <v>3640.87</v>
      </c>
      <c r="AE2088" s="1">
        <f>IF(ESTIMATIVA[[#This Row],[QT_AREA_REAL]]&gt;0,ESTIMATIVA[[#This Row],[QT_CANA_REAL]],ESTIMATIVA[[#This Row],[QT_CANA_REST1]])</f>
        <v>3640.87</v>
      </c>
      <c r="AF2088" s="1">
        <f>IF(ESTIMATIVA[[#This Row],[QT_AREA_REAL]]&gt;0,ESTIMATIVA[[#This Row],[QT_CANA_REAL]],ESTIMATIVA[[#This Row],[QT_CANA_REST2]])</f>
        <v>3640.87</v>
      </c>
      <c r="AG2088" s="1" t="str">
        <f>IF(COUNTIFS(GEADA!A:A,VALUE(ESTIMATIVA[[#This Row],[CD_UPNIVEL1]]&amp;TEXT(ESTIMATIVA[[#This Row],[CD_UPNIVEL3]],"0000")))&gt;0,"S","N")</f>
        <v>N</v>
      </c>
      <c r="AH208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88" s="55" t="str">
        <f>IF(ESTIMATIVA[[#This Row],[TP_CULTIVO]]="Irrigado",_xlfn.MAXIFS(IRRIGADO!J:J,IRRIGADO!C:C,ESTIMATIVA[[#This Row],[CD_UPNIVEL1]],IRRIGADO!E:E,ESTIMATIVA[[#This Row],[CD_UPNIVEL3]]),"")</f>
        <v/>
      </c>
      <c r="AJ208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88" s="1">
        <f>COUNTIFS(Apresentação!$E$23:$E$29,ESTIMATIVA[[#This Row],[CD_UPNIVEL1]])</f>
        <v>0</v>
      </c>
    </row>
    <row r="2089" spans="1:37" x14ac:dyDescent="0.3">
      <c r="A2089">
        <v>30529</v>
      </c>
      <c r="B2089" t="s">
        <v>115</v>
      </c>
      <c r="C2089">
        <v>2</v>
      </c>
      <c r="D2089">
        <v>1</v>
      </c>
      <c r="E2089" t="s">
        <v>267</v>
      </c>
      <c r="F2089" s="85" t="s">
        <v>333</v>
      </c>
      <c r="G2089"/>
      <c r="H2089" t="s">
        <v>294</v>
      </c>
      <c r="I2089" t="s">
        <v>231</v>
      </c>
      <c r="J2089" t="s">
        <v>178</v>
      </c>
      <c r="K2089" s="1">
        <v>47.93</v>
      </c>
      <c r="L2089" s="1">
        <v>47.93</v>
      </c>
      <c r="M2089" s="1">
        <v>0</v>
      </c>
      <c r="N2089" s="1">
        <v>47.93</v>
      </c>
      <c r="O2089" s="1">
        <v>3834.4</v>
      </c>
      <c r="P2089" s="1">
        <v>4505.42</v>
      </c>
      <c r="Q2089" s="1">
        <v>0</v>
      </c>
      <c r="R2089" s="1">
        <v>4039.19</v>
      </c>
      <c r="S2089" t="s">
        <v>282</v>
      </c>
      <c r="T2089" s="13">
        <v>45907</v>
      </c>
      <c r="U2089" s="1" t="str">
        <f>IF(ESTIMATIVA[[#This Row],[QT_AREA_REAL]]&gt;0,"1- Colhido","2- à Colher")</f>
        <v>1- Colhido</v>
      </c>
      <c r="V2089" s="1" t="str">
        <f>IF(ESTIMATIVA[[#This Row],[QT_AREA_REST1]]&gt;0,"Reestimativa 1",IF(ESTIMATIVA[[#This Row],[QT_AREA_REAL]]=0,"Reestimativa 1","Realizado"))</f>
        <v>Reestimativa 1</v>
      </c>
      <c r="W2089" s="1" t="str">
        <f>IF(ESTIMATIVA[[#This Row],[QT_AREA_REST2]]&gt;0,"Reestimativa 2",IF(ESTIMATIVA[[#This Row],[QT_AREA_REAL]]=0,"Reestimativa 2","Realizado"))</f>
        <v>Realizado</v>
      </c>
      <c r="X2089" s="1">
        <f>ESTIMATIVA[[#This Row],[QT_AREA_EST]]</f>
        <v>47.93</v>
      </c>
      <c r="Y2089" s="1">
        <f>IF(ESTIMATIVA[[#This Row],[QT_AREA_REST1]]&gt;0,ESTIMATIVA[[#This Row],[QT_AREA_REST1]],
  IF(ESTIMATIVA[[#This Row],[QT_AREA_REAL]]&gt;0,ESTIMATIVA[[#This Row],[QT_AREA_REAL]],ESTIMATIVA[[#This Row],[QT_AREA_EST]]))</f>
        <v>47.93</v>
      </c>
      <c r="Z208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47.93</v>
      </c>
      <c r="AA2089" s="1">
        <f>ESTIMATIVA[[#This Row],[QT_CANA_EST]]</f>
        <v>3834.4</v>
      </c>
      <c r="AB2089" s="1">
        <f>IF(ESTIMATIVA[[#This Row],[QT_CANA_REST1]]&gt;0,ESTIMATIVA[[#This Row],[QT_CANA_REST1]],
  IF(ESTIMATIVA[[#This Row],[QT_CANA_REAL]]&gt;0,ESTIMATIVA[[#This Row],[QT_CANA_REAL]],ESTIMATIVA[[#This Row],[QT_CANA_EST]]))</f>
        <v>4505.42</v>
      </c>
      <c r="AC208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4039.19</v>
      </c>
      <c r="AD2089" s="1">
        <f>IF(ESTIMATIVA[[#This Row],[QT_AREA_REAL]]&gt;0,ESTIMATIVA[[#This Row],[QT_CANA_REAL]],ESTIMATIVA[[#This Row],[QT_CANA_EST]])</f>
        <v>4039.19</v>
      </c>
      <c r="AE2089" s="1">
        <f>IF(ESTIMATIVA[[#This Row],[QT_AREA_REAL]]&gt;0,ESTIMATIVA[[#This Row],[QT_CANA_REAL]],ESTIMATIVA[[#This Row],[QT_CANA_REST1]])</f>
        <v>4039.19</v>
      </c>
      <c r="AF2089" s="1">
        <f>IF(ESTIMATIVA[[#This Row],[QT_AREA_REAL]]&gt;0,ESTIMATIVA[[#This Row],[QT_CANA_REAL]],ESTIMATIVA[[#This Row],[QT_CANA_REST2]])</f>
        <v>4039.19</v>
      </c>
      <c r="AG2089" s="1" t="str">
        <f>IF(COUNTIFS(GEADA!A:A,VALUE(ESTIMATIVA[[#This Row],[CD_UPNIVEL1]]&amp;TEXT(ESTIMATIVA[[#This Row],[CD_UPNIVEL3]],"0000")))&gt;0,"S","N")</f>
        <v>N</v>
      </c>
      <c r="AH208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89" s="55" t="str">
        <f>IF(ESTIMATIVA[[#This Row],[TP_CULTIVO]]="Irrigado",_xlfn.MAXIFS(IRRIGADO!J:J,IRRIGADO!C:C,ESTIMATIVA[[#This Row],[CD_UPNIVEL1]],IRRIGADO!E:E,ESTIMATIVA[[#This Row],[CD_UPNIVEL3]]),"")</f>
        <v/>
      </c>
      <c r="AJ208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89" s="1">
        <f>COUNTIFS(Apresentação!$E$23:$E$29,ESTIMATIVA[[#This Row],[CD_UPNIVEL1]])</f>
        <v>0</v>
      </c>
    </row>
    <row r="2090" spans="1:37" x14ac:dyDescent="0.3">
      <c r="A2090">
        <v>30534</v>
      </c>
      <c r="B2090" t="s">
        <v>116</v>
      </c>
      <c r="C2090">
        <v>1</v>
      </c>
      <c r="D2090">
        <v>2</v>
      </c>
      <c r="E2090" t="s">
        <v>266</v>
      </c>
      <c r="F2090" s="85" t="s">
        <v>331</v>
      </c>
      <c r="G2090"/>
      <c r="H2090" t="s">
        <v>294</v>
      </c>
      <c r="I2090" t="s">
        <v>205</v>
      </c>
      <c r="J2090" t="s">
        <v>178</v>
      </c>
      <c r="K2090" s="1">
        <v>43.87</v>
      </c>
      <c r="L2090" s="1">
        <v>0</v>
      </c>
      <c r="M2090" s="1">
        <v>0</v>
      </c>
      <c r="N2090" s="1">
        <v>43.87</v>
      </c>
      <c r="O2090" s="1">
        <v>3158.64</v>
      </c>
      <c r="P2090" s="1">
        <v>0</v>
      </c>
      <c r="Q2090" s="1">
        <v>0</v>
      </c>
      <c r="R2090" s="1">
        <v>3725.86</v>
      </c>
      <c r="S2090" t="s">
        <v>282</v>
      </c>
      <c r="T2090" s="13">
        <v>45830</v>
      </c>
      <c r="U2090" s="1" t="str">
        <f>IF(ESTIMATIVA[[#This Row],[QT_AREA_REAL]]&gt;0,"1- Colhido","2- à Colher")</f>
        <v>1- Colhido</v>
      </c>
      <c r="V2090" s="1" t="str">
        <f>IF(ESTIMATIVA[[#This Row],[QT_AREA_REST1]]&gt;0,"Reestimativa 1",IF(ESTIMATIVA[[#This Row],[QT_AREA_REAL]]=0,"Reestimativa 1","Realizado"))</f>
        <v>Realizado</v>
      </c>
      <c r="W2090" s="1" t="str">
        <f>IF(ESTIMATIVA[[#This Row],[QT_AREA_REST2]]&gt;0,"Reestimativa 2",IF(ESTIMATIVA[[#This Row],[QT_AREA_REAL]]=0,"Reestimativa 2","Realizado"))</f>
        <v>Realizado</v>
      </c>
      <c r="X2090" s="1">
        <f>ESTIMATIVA[[#This Row],[QT_AREA_EST]]</f>
        <v>43.87</v>
      </c>
      <c r="Y2090" s="1">
        <f>IF(ESTIMATIVA[[#This Row],[QT_AREA_REST1]]&gt;0,ESTIMATIVA[[#This Row],[QT_AREA_REST1]],
  IF(ESTIMATIVA[[#This Row],[QT_AREA_REAL]]&gt;0,ESTIMATIVA[[#This Row],[QT_AREA_REAL]],ESTIMATIVA[[#This Row],[QT_AREA_EST]]))</f>
        <v>43.87</v>
      </c>
      <c r="Z209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43.87</v>
      </c>
      <c r="AA2090" s="1">
        <f>ESTIMATIVA[[#This Row],[QT_CANA_EST]]</f>
        <v>3158.64</v>
      </c>
      <c r="AB2090" s="1">
        <f>IF(ESTIMATIVA[[#This Row],[QT_CANA_REST1]]&gt;0,ESTIMATIVA[[#This Row],[QT_CANA_REST1]],
  IF(ESTIMATIVA[[#This Row],[QT_CANA_REAL]]&gt;0,ESTIMATIVA[[#This Row],[QT_CANA_REAL]],ESTIMATIVA[[#This Row],[QT_CANA_EST]]))</f>
        <v>3725.86</v>
      </c>
      <c r="AC209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3725.86</v>
      </c>
      <c r="AD2090" s="1">
        <f>IF(ESTIMATIVA[[#This Row],[QT_AREA_REAL]]&gt;0,ESTIMATIVA[[#This Row],[QT_CANA_REAL]],ESTIMATIVA[[#This Row],[QT_CANA_EST]])</f>
        <v>3725.86</v>
      </c>
      <c r="AE2090" s="1">
        <f>IF(ESTIMATIVA[[#This Row],[QT_AREA_REAL]]&gt;0,ESTIMATIVA[[#This Row],[QT_CANA_REAL]],ESTIMATIVA[[#This Row],[QT_CANA_REST1]])</f>
        <v>3725.86</v>
      </c>
      <c r="AF2090" s="1">
        <f>IF(ESTIMATIVA[[#This Row],[QT_AREA_REAL]]&gt;0,ESTIMATIVA[[#This Row],[QT_CANA_REAL]],ESTIMATIVA[[#This Row],[QT_CANA_REST2]])</f>
        <v>3725.86</v>
      </c>
      <c r="AG2090" s="1" t="str">
        <f>IF(COUNTIFS(GEADA!A:A,VALUE(ESTIMATIVA[[#This Row],[CD_UPNIVEL1]]&amp;TEXT(ESTIMATIVA[[#This Row],[CD_UPNIVEL3]],"0000")))&gt;0,"S","N")</f>
        <v>N</v>
      </c>
      <c r="AH209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90" s="55" t="str">
        <f>IF(ESTIMATIVA[[#This Row],[TP_CULTIVO]]="Irrigado",_xlfn.MAXIFS(IRRIGADO!J:J,IRRIGADO!C:C,ESTIMATIVA[[#This Row],[CD_UPNIVEL1]],IRRIGADO!E:E,ESTIMATIVA[[#This Row],[CD_UPNIVEL3]]),"")</f>
        <v/>
      </c>
      <c r="AJ209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90" s="1">
        <f>COUNTIFS(Apresentação!$E$23:$E$29,ESTIMATIVA[[#This Row],[CD_UPNIVEL1]])</f>
        <v>0</v>
      </c>
    </row>
    <row r="2091" spans="1:37" x14ac:dyDescent="0.3">
      <c r="A2091">
        <v>30534</v>
      </c>
      <c r="B2091" t="s">
        <v>116</v>
      </c>
      <c r="C2091">
        <v>2</v>
      </c>
      <c r="D2091">
        <v>2</v>
      </c>
      <c r="E2091" t="s">
        <v>266</v>
      </c>
      <c r="F2091" s="85" t="s">
        <v>331</v>
      </c>
      <c r="G2091"/>
      <c r="H2091" t="s">
        <v>294</v>
      </c>
      <c r="I2091" t="s">
        <v>205</v>
      </c>
      <c r="J2091" t="s">
        <v>178</v>
      </c>
      <c r="K2091" s="1">
        <v>47.67</v>
      </c>
      <c r="L2091" s="1">
        <v>0</v>
      </c>
      <c r="M2091" s="1">
        <v>0</v>
      </c>
      <c r="N2091" s="1">
        <v>47.67</v>
      </c>
      <c r="O2091" s="1">
        <v>3432.24</v>
      </c>
      <c r="P2091" s="1">
        <v>0</v>
      </c>
      <c r="Q2091" s="1">
        <v>0</v>
      </c>
      <c r="R2091" s="1">
        <v>5040.66</v>
      </c>
      <c r="S2091" t="s">
        <v>282</v>
      </c>
      <c r="T2091" s="13">
        <v>45802</v>
      </c>
      <c r="U2091" s="1" t="str">
        <f>IF(ESTIMATIVA[[#This Row],[QT_AREA_REAL]]&gt;0,"1- Colhido","2- à Colher")</f>
        <v>1- Colhido</v>
      </c>
      <c r="V2091" s="1" t="str">
        <f>IF(ESTIMATIVA[[#This Row],[QT_AREA_REST1]]&gt;0,"Reestimativa 1",IF(ESTIMATIVA[[#This Row],[QT_AREA_REAL]]=0,"Reestimativa 1","Realizado"))</f>
        <v>Realizado</v>
      </c>
      <c r="W2091" s="1" t="str">
        <f>IF(ESTIMATIVA[[#This Row],[QT_AREA_REST2]]&gt;0,"Reestimativa 2",IF(ESTIMATIVA[[#This Row],[QT_AREA_REAL]]=0,"Reestimativa 2","Realizado"))</f>
        <v>Realizado</v>
      </c>
      <c r="X2091" s="1">
        <f>ESTIMATIVA[[#This Row],[QT_AREA_EST]]</f>
        <v>47.67</v>
      </c>
      <c r="Y2091" s="1">
        <f>IF(ESTIMATIVA[[#This Row],[QT_AREA_REST1]]&gt;0,ESTIMATIVA[[#This Row],[QT_AREA_REST1]],
  IF(ESTIMATIVA[[#This Row],[QT_AREA_REAL]]&gt;0,ESTIMATIVA[[#This Row],[QT_AREA_REAL]],ESTIMATIVA[[#This Row],[QT_AREA_EST]]))</f>
        <v>47.67</v>
      </c>
      <c r="Z209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47.67</v>
      </c>
      <c r="AA2091" s="1">
        <f>ESTIMATIVA[[#This Row],[QT_CANA_EST]]</f>
        <v>3432.24</v>
      </c>
      <c r="AB2091" s="1">
        <f>IF(ESTIMATIVA[[#This Row],[QT_CANA_REST1]]&gt;0,ESTIMATIVA[[#This Row],[QT_CANA_REST1]],
  IF(ESTIMATIVA[[#This Row],[QT_CANA_REAL]]&gt;0,ESTIMATIVA[[#This Row],[QT_CANA_REAL]],ESTIMATIVA[[#This Row],[QT_CANA_EST]]))</f>
        <v>5040.66</v>
      </c>
      <c r="AC209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5040.66</v>
      </c>
      <c r="AD2091" s="1">
        <f>IF(ESTIMATIVA[[#This Row],[QT_AREA_REAL]]&gt;0,ESTIMATIVA[[#This Row],[QT_CANA_REAL]],ESTIMATIVA[[#This Row],[QT_CANA_EST]])</f>
        <v>5040.66</v>
      </c>
      <c r="AE2091" s="1">
        <f>IF(ESTIMATIVA[[#This Row],[QT_AREA_REAL]]&gt;0,ESTIMATIVA[[#This Row],[QT_CANA_REAL]],ESTIMATIVA[[#This Row],[QT_CANA_REST1]])</f>
        <v>5040.66</v>
      </c>
      <c r="AF2091" s="1">
        <f>IF(ESTIMATIVA[[#This Row],[QT_AREA_REAL]]&gt;0,ESTIMATIVA[[#This Row],[QT_CANA_REAL]],ESTIMATIVA[[#This Row],[QT_CANA_REST2]])</f>
        <v>5040.66</v>
      </c>
      <c r="AG2091" s="1" t="str">
        <f>IF(COUNTIFS(GEADA!A:A,VALUE(ESTIMATIVA[[#This Row],[CD_UPNIVEL1]]&amp;TEXT(ESTIMATIVA[[#This Row],[CD_UPNIVEL3]],"0000")))&gt;0,"S","N")</f>
        <v>N</v>
      </c>
      <c r="AH209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91" s="55" t="str">
        <f>IF(ESTIMATIVA[[#This Row],[TP_CULTIVO]]="Irrigado",_xlfn.MAXIFS(IRRIGADO!J:J,IRRIGADO!C:C,ESTIMATIVA[[#This Row],[CD_UPNIVEL1]],IRRIGADO!E:E,ESTIMATIVA[[#This Row],[CD_UPNIVEL3]]),"")</f>
        <v/>
      </c>
      <c r="AJ209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91" s="1">
        <f>COUNTIFS(Apresentação!$E$23:$E$29,ESTIMATIVA[[#This Row],[CD_UPNIVEL1]])</f>
        <v>0</v>
      </c>
    </row>
    <row r="2092" spans="1:37" x14ac:dyDescent="0.3">
      <c r="A2092">
        <v>30534</v>
      </c>
      <c r="B2092" t="s">
        <v>116</v>
      </c>
      <c r="C2092">
        <v>3</v>
      </c>
      <c r="D2092">
        <v>2</v>
      </c>
      <c r="E2092" t="s">
        <v>266</v>
      </c>
      <c r="F2092" s="85" t="s">
        <v>331</v>
      </c>
      <c r="G2092"/>
      <c r="H2092" t="s">
        <v>294</v>
      </c>
      <c r="I2092" t="s">
        <v>205</v>
      </c>
      <c r="J2092" t="s">
        <v>178</v>
      </c>
      <c r="K2092" s="1">
        <v>45.08</v>
      </c>
      <c r="L2092" s="1">
        <v>0</v>
      </c>
      <c r="M2092" s="1">
        <v>0</v>
      </c>
      <c r="N2092" s="1">
        <v>45.08</v>
      </c>
      <c r="O2092" s="1">
        <v>3245.76</v>
      </c>
      <c r="P2092" s="1">
        <v>0</v>
      </c>
      <c r="Q2092" s="1">
        <v>0</v>
      </c>
      <c r="R2092" s="1">
        <v>4767.76</v>
      </c>
      <c r="S2092" t="s">
        <v>282</v>
      </c>
      <c r="T2092" s="13">
        <v>45802</v>
      </c>
      <c r="U2092" s="1" t="str">
        <f>IF(ESTIMATIVA[[#This Row],[QT_AREA_REAL]]&gt;0,"1- Colhido","2- à Colher")</f>
        <v>1- Colhido</v>
      </c>
      <c r="V2092" s="1" t="str">
        <f>IF(ESTIMATIVA[[#This Row],[QT_AREA_REST1]]&gt;0,"Reestimativa 1",IF(ESTIMATIVA[[#This Row],[QT_AREA_REAL]]=0,"Reestimativa 1","Realizado"))</f>
        <v>Realizado</v>
      </c>
      <c r="W2092" s="1" t="str">
        <f>IF(ESTIMATIVA[[#This Row],[QT_AREA_REST2]]&gt;0,"Reestimativa 2",IF(ESTIMATIVA[[#This Row],[QT_AREA_REAL]]=0,"Reestimativa 2","Realizado"))</f>
        <v>Realizado</v>
      </c>
      <c r="X2092" s="1">
        <f>ESTIMATIVA[[#This Row],[QT_AREA_EST]]</f>
        <v>45.08</v>
      </c>
      <c r="Y2092" s="1">
        <f>IF(ESTIMATIVA[[#This Row],[QT_AREA_REST1]]&gt;0,ESTIMATIVA[[#This Row],[QT_AREA_REST1]],
  IF(ESTIMATIVA[[#This Row],[QT_AREA_REAL]]&gt;0,ESTIMATIVA[[#This Row],[QT_AREA_REAL]],ESTIMATIVA[[#This Row],[QT_AREA_EST]]))</f>
        <v>45.08</v>
      </c>
      <c r="Z209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45.08</v>
      </c>
      <c r="AA2092" s="1">
        <f>ESTIMATIVA[[#This Row],[QT_CANA_EST]]</f>
        <v>3245.76</v>
      </c>
      <c r="AB2092" s="1">
        <f>IF(ESTIMATIVA[[#This Row],[QT_CANA_REST1]]&gt;0,ESTIMATIVA[[#This Row],[QT_CANA_REST1]],
  IF(ESTIMATIVA[[#This Row],[QT_CANA_REAL]]&gt;0,ESTIMATIVA[[#This Row],[QT_CANA_REAL]],ESTIMATIVA[[#This Row],[QT_CANA_EST]]))</f>
        <v>4767.76</v>
      </c>
      <c r="AC209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4767.76</v>
      </c>
      <c r="AD2092" s="1">
        <f>IF(ESTIMATIVA[[#This Row],[QT_AREA_REAL]]&gt;0,ESTIMATIVA[[#This Row],[QT_CANA_REAL]],ESTIMATIVA[[#This Row],[QT_CANA_EST]])</f>
        <v>4767.76</v>
      </c>
      <c r="AE2092" s="1">
        <f>IF(ESTIMATIVA[[#This Row],[QT_AREA_REAL]]&gt;0,ESTIMATIVA[[#This Row],[QT_CANA_REAL]],ESTIMATIVA[[#This Row],[QT_CANA_REST1]])</f>
        <v>4767.76</v>
      </c>
      <c r="AF2092" s="1">
        <f>IF(ESTIMATIVA[[#This Row],[QT_AREA_REAL]]&gt;0,ESTIMATIVA[[#This Row],[QT_CANA_REAL]],ESTIMATIVA[[#This Row],[QT_CANA_REST2]])</f>
        <v>4767.76</v>
      </c>
      <c r="AG2092" s="1" t="str">
        <f>IF(COUNTIFS(GEADA!A:A,VALUE(ESTIMATIVA[[#This Row],[CD_UPNIVEL1]]&amp;TEXT(ESTIMATIVA[[#This Row],[CD_UPNIVEL3]],"0000")))&gt;0,"S","N")</f>
        <v>N</v>
      </c>
      <c r="AH209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92" s="55" t="str">
        <f>IF(ESTIMATIVA[[#This Row],[TP_CULTIVO]]="Irrigado",_xlfn.MAXIFS(IRRIGADO!J:J,IRRIGADO!C:C,ESTIMATIVA[[#This Row],[CD_UPNIVEL1]],IRRIGADO!E:E,ESTIMATIVA[[#This Row],[CD_UPNIVEL3]]),"")</f>
        <v/>
      </c>
      <c r="AJ209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92" s="1">
        <f>COUNTIFS(Apresentação!$E$23:$E$29,ESTIMATIVA[[#This Row],[CD_UPNIVEL1]])</f>
        <v>0</v>
      </c>
    </row>
    <row r="2093" spans="1:37" x14ac:dyDescent="0.3">
      <c r="A2093">
        <v>30534</v>
      </c>
      <c r="B2093" t="s">
        <v>116</v>
      </c>
      <c r="C2093">
        <v>4</v>
      </c>
      <c r="D2093">
        <v>2</v>
      </c>
      <c r="E2093" t="s">
        <v>266</v>
      </c>
      <c r="F2093" s="85" t="s">
        <v>331</v>
      </c>
      <c r="G2093"/>
      <c r="H2093" t="s">
        <v>294</v>
      </c>
      <c r="I2093" t="s">
        <v>205</v>
      </c>
      <c r="J2093" t="s">
        <v>178</v>
      </c>
      <c r="K2093" s="1">
        <v>37.81</v>
      </c>
      <c r="L2093" s="1">
        <v>0</v>
      </c>
      <c r="M2093" s="1">
        <v>0</v>
      </c>
      <c r="N2093" s="1">
        <v>37.81</v>
      </c>
      <c r="O2093" s="1">
        <v>2722.32</v>
      </c>
      <c r="P2093" s="1">
        <v>0</v>
      </c>
      <c r="Q2093" s="1">
        <v>0</v>
      </c>
      <c r="R2093" s="1">
        <v>3700.14</v>
      </c>
      <c r="S2093" t="s">
        <v>282</v>
      </c>
      <c r="T2093" s="13">
        <v>45816</v>
      </c>
      <c r="U2093" s="1" t="str">
        <f>IF(ESTIMATIVA[[#This Row],[QT_AREA_REAL]]&gt;0,"1- Colhido","2- à Colher")</f>
        <v>1- Colhido</v>
      </c>
      <c r="V2093" s="1" t="str">
        <f>IF(ESTIMATIVA[[#This Row],[QT_AREA_REST1]]&gt;0,"Reestimativa 1",IF(ESTIMATIVA[[#This Row],[QT_AREA_REAL]]=0,"Reestimativa 1","Realizado"))</f>
        <v>Realizado</v>
      </c>
      <c r="W2093" s="1" t="str">
        <f>IF(ESTIMATIVA[[#This Row],[QT_AREA_REST2]]&gt;0,"Reestimativa 2",IF(ESTIMATIVA[[#This Row],[QT_AREA_REAL]]=0,"Reestimativa 2","Realizado"))</f>
        <v>Realizado</v>
      </c>
      <c r="X2093" s="1">
        <f>ESTIMATIVA[[#This Row],[QT_AREA_EST]]</f>
        <v>37.81</v>
      </c>
      <c r="Y2093" s="1">
        <f>IF(ESTIMATIVA[[#This Row],[QT_AREA_REST1]]&gt;0,ESTIMATIVA[[#This Row],[QT_AREA_REST1]],
  IF(ESTIMATIVA[[#This Row],[QT_AREA_REAL]]&gt;0,ESTIMATIVA[[#This Row],[QT_AREA_REAL]],ESTIMATIVA[[#This Row],[QT_AREA_EST]]))</f>
        <v>37.81</v>
      </c>
      <c r="Z209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37.81</v>
      </c>
      <c r="AA2093" s="1">
        <f>ESTIMATIVA[[#This Row],[QT_CANA_EST]]</f>
        <v>2722.32</v>
      </c>
      <c r="AB2093" s="1">
        <f>IF(ESTIMATIVA[[#This Row],[QT_CANA_REST1]]&gt;0,ESTIMATIVA[[#This Row],[QT_CANA_REST1]],
  IF(ESTIMATIVA[[#This Row],[QT_CANA_REAL]]&gt;0,ESTIMATIVA[[#This Row],[QT_CANA_REAL]],ESTIMATIVA[[#This Row],[QT_CANA_EST]]))</f>
        <v>3700.14</v>
      </c>
      <c r="AC209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3700.14</v>
      </c>
      <c r="AD2093" s="1">
        <f>IF(ESTIMATIVA[[#This Row],[QT_AREA_REAL]]&gt;0,ESTIMATIVA[[#This Row],[QT_CANA_REAL]],ESTIMATIVA[[#This Row],[QT_CANA_EST]])</f>
        <v>3700.14</v>
      </c>
      <c r="AE2093" s="1">
        <f>IF(ESTIMATIVA[[#This Row],[QT_AREA_REAL]]&gt;0,ESTIMATIVA[[#This Row],[QT_CANA_REAL]],ESTIMATIVA[[#This Row],[QT_CANA_REST1]])</f>
        <v>3700.14</v>
      </c>
      <c r="AF2093" s="1">
        <f>IF(ESTIMATIVA[[#This Row],[QT_AREA_REAL]]&gt;0,ESTIMATIVA[[#This Row],[QT_CANA_REAL]],ESTIMATIVA[[#This Row],[QT_CANA_REST2]])</f>
        <v>3700.14</v>
      </c>
      <c r="AG2093" s="1" t="str">
        <f>IF(COUNTIFS(GEADA!A:A,VALUE(ESTIMATIVA[[#This Row],[CD_UPNIVEL1]]&amp;TEXT(ESTIMATIVA[[#This Row],[CD_UPNIVEL3]],"0000")))&gt;0,"S","N")</f>
        <v>N</v>
      </c>
      <c r="AH209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93" s="55" t="str">
        <f>IF(ESTIMATIVA[[#This Row],[TP_CULTIVO]]="Irrigado",_xlfn.MAXIFS(IRRIGADO!J:J,IRRIGADO!C:C,ESTIMATIVA[[#This Row],[CD_UPNIVEL1]],IRRIGADO!E:E,ESTIMATIVA[[#This Row],[CD_UPNIVEL3]]),"")</f>
        <v/>
      </c>
      <c r="AJ209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93" s="1">
        <f>COUNTIFS(Apresentação!$E$23:$E$29,ESTIMATIVA[[#This Row],[CD_UPNIVEL1]])</f>
        <v>0</v>
      </c>
    </row>
    <row r="2094" spans="1:37" x14ac:dyDescent="0.3">
      <c r="A2094">
        <v>30534</v>
      </c>
      <c r="B2094" t="s">
        <v>116</v>
      </c>
      <c r="C2094">
        <v>5</v>
      </c>
      <c r="D2094">
        <v>2</v>
      </c>
      <c r="E2094" t="s">
        <v>266</v>
      </c>
      <c r="F2094" s="85" t="s">
        <v>331</v>
      </c>
      <c r="G2094"/>
      <c r="H2094" t="s">
        <v>294</v>
      </c>
      <c r="I2094" t="s">
        <v>205</v>
      </c>
      <c r="J2094" t="s">
        <v>178</v>
      </c>
      <c r="K2094" s="1">
        <v>7.39</v>
      </c>
      <c r="L2094" s="1">
        <v>0</v>
      </c>
      <c r="M2094" s="1">
        <v>0</v>
      </c>
      <c r="N2094" s="1">
        <v>7.39</v>
      </c>
      <c r="O2094" s="1">
        <v>546.86</v>
      </c>
      <c r="P2094" s="1">
        <v>0</v>
      </c>
      <c r="Q2094" s="1">
        <v>0</v>
      </c>
      <c r="R2094" s="1">
        <v>1296.9100000000001</v>
      </c>
      <c r="S2094" t="s">
        <v>282</v>
      </c>
      <c r="T2094" s="13">
        <v>45816</v>
      </c>
      <c r="U2094" s="1" t="str">
        <f>IF(ESTIMATIVA[[#This Row],[QT_AREA_REAL]]&gt;0,"1- Colhido","2- à Colher")</f>
        <v>1- Colhido</v>
      </c>
      <c r="V2094" s="1" t="str">
        <f>IF(ESTIMATIVA[[#This Row],[QT_AREA_REST1]]&gt;0,"Reestimativa 1",IF(ESTIMATIVA[[#This Row],[QT_AREA_REAL]]=0,"Reestimativa 1","Realizado"))</f>
        <v>Realizado</v>
      </c>
      <c r="W2094" s="1" t="str">
        <f>IF(ESTIMATIVA[[#This Row],[QT_AREA_REST2]]&gt;0,"Reestimativa 2",IF(ESTIMATIVA[[#This Row],[QT_AREA_REAL]]=0,"Reestimativa 2","Realizado"))</f>
        <v>Realizado</v>
      </c>
      <c r="X2094" s="1">
        <f>ESTIMATIVA[[#This Row],[QT_AREA_EST]]</f>
        <v>7.39</v>
      </c>
      <c r="Y2094" s="1">
        <f>IF(ESTIMATIVA[[#This Row],[QT_AREA_REST1]]&gt;0,ESTIMATIVA[[#This Row],[QT_AREA_REST1]],
  IF(ESTIMATIVA[[#This Row],[QT_AREA_REAL]]&gt;0,ESTIMATIVA[[#This Row],[QT_AREA_REAL]],ESTIMATIVA[[#This Row],[QT_AREA_EST]]))</f>
        <v>7.39</v>
      </c>
      <c r="Z209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7.39</v>
      </c>
      <c r="AA2094" s="1">
        <f>ESTIMATIVA[[#This Row],[QT_CANA_EST]]</f>
        <v>546.86</v>
      </c>
      <c r="AB2094" s="1">
        <f>IF(ESTIMATIVA[[#This Row],[QT_CANA_REST1]]&gt;0,ESTIMATIVA[[#This Row],[QT_CANA_REST1]],
  IF(ESTIMATIVA[[#This Row],[QT_CANA_REAL]]&gt;0,ESTIMATIVA[[#This Row],[QT_CANA_REAL]],ESTIMATIVA[[#This Row],[QT_CANA_EST]]))</f>
        <v>1296.9100000000001</v>
      </c>
      <c r="AC209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1296.9100000000001</v>
      </c>
      <c r="AD2094" s="1">
        <f>IF(ESTIMATIVA[[#This Row],[QT_AREA_REAL]]&gt;0,ESTIMATIVA[[#This Row],[QT_CANA_REAL]],ESTIMATIVA[[#This Row],[QT_CANA_EST]])</f>
        <v>1296.9100000000001</v>
      </c>
      <c r="AE2094" s="1">
        <f>IF(ESTIMATIVA[[#This Row],[QT_AREA_REAL]]&gt;0,ESTIMATIVA[[#This Row],[QT_CANA_REAL]],ESTIMATIVA[[#This Row],[QT_CANA_REST1]])</f>
        <v>1296.9100000000001</v>
      </c>
      <c r="AF2094" s="1">
        <f>IF(ESTIMATIVA[[#This Row],[QT_AREA_REAL]]&gt;0,ESTIMATIVA[[#This Row],[QT_CANA_REAL]],ESTIMATIVA[[#This Row],[QT_CANA_REST2]])</f>
        <v>1296.9100000000001</v>
      </c>
      <c r="AG2094" s="1" t="str">
        <f>IF(COUNTIFS(GEADA!A:A,VALUE(ESTIMATIVA[[#This Row],[CD_UPNIVEL1]]&amp;TEXT(ESTIMATIVA[[#This Row],[CD_UPNIVEL3]],"0000")))&gt;0,"S","N")</f>
        <v>N</v>
      </c>
      <c r="AH209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94" s="55" t="str">
        <f>IF(ESTIMATIVA[[#This Row],[TP_CULTIVO]]="Irrigado",_xlfn.MAXIFS(IRRIGADO!J:J,IRRIGADO!C:C,ESTIMATIVA[[#This Row],[CD_UPNIVEL1]],IRRIGADO!E:E,ESTIMATIVA[[#This Row],[CD_UPNIVEL3]]),"")</f>
        <v/>
      </c>
      <c r="AJ209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94" s="1">
        <f>COUNTIFS(Apresentação!$E$23:$E$29,ESTIMATIVA[[#This Row],[CD_UPNIVEL1]])</f>
        <v>0</v>
      </c>
    </row>
    <row r="2095" spans="1:37" x14ac:dyDescent="0.3">
      <c r="A2095">
        <v>30534</v>
      </c>
      <c r="B2095" t="s">
        <v>116</v>
      </c>
      <c r="C2095">
        <v>6</v>
      </c>
      <c r="D2095">
        <v>2</v>
      </c>
      <c r="E2095" t="s">
        <v>266</v>
      </c>
      <c r="F2095" s="85" t="s">
        <v>331</v>
      </c>
      <c r="G2095"/>
      <c r="H2095" t="s">
        <v>294</v>
      </c>
      <c r="I2095" t="s">
        <v>205</v>
      </c>
      <c r="J2095" t="s">
        <v>178</v>
      </c>
      <c r="K2095" s="1">
        <v>15.54</v>
      </c>
      <c r="L2095" s="1">
        <v>0</v>
      </c>
      <c r="M2095" s="1">
        <v>0</v>
      </c>
      <c r="N2095" s="1">
        <v>15.54</v>
      </c>
      <c r="O2095" s="1">
        <v>1149.96</v>
      </c>
      <c r="P2095" s="1">
        <v>0</v>
      </c>
      <c r="Q2095" s="1">
        <v>0</v>
      </c>
      <c r="R2095" s="1">
        <v>1562.48</v>
      </c>
      <c r="S2095" t="s">
        <v>282</v>
      </c>
      <c r="T2095" s="13">
        <v>45816</v>
      </c>
      <c r="U2095" s="1" t="str">
        <f>IF(ESTIMATIVA[[#This Row],[QT_AREA_REAL]]&gt;0,"1- Colhido","2- à Colher")</f>
        <v>1- Colhido</v>
      </c>
      <c r="V2095" s="1" t="str">
        <f>IF(ESTIMATIVA[[#This Row],[QT_AREA_REST1]]&gt;0,"Reestimativa 1",IF(ESTIMATIVA[[#This Row],[QT_AREA_REAL]]=0,"Reestimativa 1","Realizado"))</f>
        <v>Realizado</v>
      </c>
      <c r="W2095" s="1" t="str">
        <f>IF(ESTIMATIVA[[#This Row],[QT_AREA_REST2]]&gt;0,"Reestimativa 2",IF(ESTIMATIVA[[#This Row],[QT_AREA_REAL]]=0,"Reestimativa 2","Realizado"))</f>
        <v>Realizado</v>
      </c>
      <c r="X2095" s="1">
        <f>ESTIMATIVA[[#This Row],[QT_AREA_EST]]</f>
        <v>15.54</v>
      </c>
      <c r="Y2095" s="1">
        <f>IF(ESTIMATIVA[[#This Row],[QT_AREA_REST1]]&gt;0,ESTIMATIVA[[#This Row],[QT_AREA_REST1]],
  IF(ESTIMATIVA[[#This Row],[QT_AREA_REAL]]&gt;0,ESTIMATIVA[[#This Row],[QT_AREA_REAL]],ESTIMATIVA[[#This Row],[QT_AREA_EST]]))</f>
        <v>15.54</v>
      </c>
      <c r="Z209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15.54</v>
      </c>
      <c r="AA2095" s="1">
        <f>ESTIMATIVA[[#This Row],[QT_CANA_EST]]</f>
        <v>1149.96</v>
      </c>
      <c r="AB2095" s="1">
        <f>IF(ESTIMATIVA[[#This Row],[QT_CANA_REST1]]&gt;0,ESTIMATIVA[[#This Row],[QT_CANA_REST1]],
  IF(ESTIMATIVA[[#This Row],[QT_CANA_REAL]]&gt;0,ESTIMATIVA[[#This Row],[QT_CANA_REAL]],ESTIMATIVA[[#This Row],[QT_CANA_EST]]))</f>
        <v>1562.48</v>
      </c>
      <c r="AC209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1562.48</v>
      </c>
      <c r="AD2095" s="1">
        <f>IF(ESTIMATIVA[[#This Row],[QT_AREA_REAL]]&gt;0,ESTIMATIVA[[#This Row],[QT_CANA_REAL]],ESTIMATIVA[[#This Row],[QT_CANA_EST]])</f>
        <v>1562.48</v>
      </c>
      <c r="AE2095" s="1">
        <f>IF(ESTIMATIVA[[#This Row],[QT_AREA_REAL]]&gt;0,ESTIMATIVA[[#This Row],[QT_CANA_REAL]],ESTIMATIVA[[#This Row],[QT_CANA_REST1]])</f>
        <v>1562.48</v>
      </c>
      <c r="AF2095" s="1">
        <f>IF(ESTIMATIVA[[#This Row],[QT_AREA_REAL]]&gt;0,ESTIMATIVA[[#This Row],[QT_CANA_REAL]],ESTIMATIVA[[#This Row],[QT_CANA_REST2]])</f>
        <v>1562.48</v>
      </c>
      <c r="AG2095" s="1" t="str">
        <f>IF(COUNTIFS(GEADA!A:A,VALUE(ESTIMATIVA[[#This Row],[CD_UPNIVEL1]]&amp;TEXT(ESTIMATIVA[[#This Row],[CD_UPNIVEL3]],"0000")))&gt;0,"S","N")</f>
        <v>N</v>
      </c>
      <c r="AH209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95" s="55" t="str">
        <f>IF(ESTIMATIVA[[#This Row],[TP_CULTIVO]]="Irrigado",_xlfn.MAXIFS(IRRIGADO!J:J,IRRIGADO!C:C,ESTIMATIVA[[#This Row],[CD_UPNIVEL1]],IRRIGADO!E:E,ESTIMATIVA[[#This Row],[CD_UPNIVEL3]]),"")</f>
        <v/>
      </c>
      <c r="AJ209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95" s="1">
        <f>COUNTIFS(Apresentação!$E$23:$E$29,ESTIMATIVA[[#This Row],[CD_UPNIVEL1]])</f>
        <v>0</v>
      </c>
    </row>
    <row r="2096" spans="1:37" x14ac:dyDescent="0.3">
      <c r="A2096">
        <v>30534</v>
      </c>
      <c r="B2096" t="s">
        <v>116</v>
      </c>
      <c r="C2096">
        <v>7</v>
      </c>
      <c r="D2096">
        <v>2</v>
      </c>
      <c r="E2096" t="s">
        <v>266</v>
      </c>
      <c r="F2096" s="85" t="s">
        <v>331</v>
      </c>
      <c r="G2096"/>
      <c r="H2096" t="s">
        <v>294</v>
      </c>
      <c r="I2096" t="s">
        <v>205</v>
      </c>
      <c r="J2096" t="s">
        <v>178</v>
      </c>
      <c r="K2096" s="1">
        <v>38.18</v>
      </c>
      <c r="L2096" s="1">
        <v>0</v>
      </c>
      <c r="M2096" s="1">
        <v>0</v>
      </c>
      <c r="N2096" s="1">
        <v>38.18</v>
      </c>
      <c r="O2096" s="1">
        <v>2825.32</v>
      </c>
      <c r="P2096" s="1">
        <v>0</v>
      </c>
      <c r="Q2096" s="1">
        <v>0</v>
      </c>
      <c r="R2096" s="1">
        <v>3270.04</v>
      </c>
      <c r="S2096" t="s">
        <v>282</v>
      </c>
      <c r="T2096" s="13">
        <v>45830</v>
      </c>
      <c r="U2096" s="1" t="str">
        <f>IF(ESTIMATIVA[[#This Row],[QT_AREA_REAL]]&gt;0,"1- Colhido","2- à Colher")</f>
        <v>1- Colhido</v>
      </c>
      <c r="V2096" s="1" t="str">
        <f>IF(ESTIMATIVA[[#This Row],[QT_AREA_REST1]]&gt;0,"Reestimativa 1",IF(ESTIMATIVA[[#This Row],[QT_AREA_REAL]]=0,"Reestimativa 1","Realizado"))</f>
        <v>Realizado</v>
      </c>
      <c r="W2096" s="1" t="str">
        <f>IF(ESTIMATIVA[[#This Row],[QT_AREA_REST2]]&gt;0,"Reestimativa 2",IF(ESTIMATIVA[[#This Row],[QT_AREA_REAL]]=0,"Reestimativa 2","Realizado"))</f>
        <v>Realizado</v>
      </c>
      <c r="X2096" s="1">
        <f>ESTIMATIVA[[#This Row],[QT_AREA_EST]]</f>
        <v>38.18</v>
      </c>
      <c r="Y2096" s="1">
        <f>IF(ESTIMATIVA[[#This Row],[QT_AREA_REST1]]&gt;0,ESTIMATIVA[[#This Row],[QT_AREA_REST1]],
  IF(ESTIMATIVA[[#This Row],[QT_AREA_REAL]]&gt;0,ESTIMATIVA[[#This Row],[QT_AREA_REAL]],ESTIMATIVA[[#This Row],[QT_AREA_EST]]))</f>
        <v>38.18</v>
      </c>
      <c r="Z209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38.18</v>
      </c>
      <c r="AA2096" s="1">
        <f>ESTIMATIVA[[#This Row],[QT_CANA_EST]]</f>
        <v>2825.32</v>
      </c>
      <c r="AB2096" s="1">
        <f>IF(ESTIMATIVA[[#This Row],[QT_CANA_REST1]]&gt;0,ESTIMATIVA[[#This Row],[QT_CANA_REST1]],
  IF(ESTIMATIVA[[#This Row],[QT_CANA_REAL]]&gt;0,ESTIMATIVA[[#This Row],[QT_CANA_REAL]],ESTIMATIVA[[#This Row],[QT_CANA_EST]]))</f>
        <v>3270.04</v>
      </c>
      <c r="AC209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3270.04</v>
      </c>
      <c r="AD2096" s="1">
        <f>IF(ESTIMATIVA[[#This Row],[QT_AREA_REAL]]&gt;0,ESTIMATIVA[[#This Row],[QT_CANA_REAL]],ESTIMATIVA[[#This Row],[QT_CANA_EST]])</f>
        <v>3270.04</v>
      </c>
      <c r="AE2096" s="1">
        <f>IF(ESTIMATIVA[[#This Row],[QT_AREA_REAL]]&gt;0,ESTIMATIVA[[#This Row],[QT_CANA_REAL]],ESTIMATIVA[[#This Row],[QT_CANA_REST1]])</f>
        <v>3270.04</v>
      </c>
      <c r="AF2096" s="1">
        <f>IF(ESTIMATIVA[[#This Row],[QT_AREA_REAL]]&gt;0,ESTIMATIVA[[#This Row],[QT_CANA_REAL]],ESTIMATIVA[[#This Row],[QT_CANA_REST2]])</f>
        <v>3270.04</v>
      </c>
      <c r="AG2096" s="1" t="str">
        <f>IF(COUNTIFS(GEADA!A:A,VALUE(ESTIMATIVA[[#This Row],[CD_UPNIVEL1]]&amp;TEXT(ESTIMATIVA[[#This Row],[CD_UPNIVEL3]],"0000")))&gt;0,"S","N")</f>
        <v>N</v>
      </c>
      <c r="AH209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96" s="55" t="str">
        <f>IF(ESTIMATIVA[[#This Row],[TP_CULTIVO]]="Irrigado",_xlfn.MAXIFS(IRRIGADO!J:J,IRRIGADO!C:C,ESTIMATIVA[[#This Row],[CD_UPNIVEL1]],IRRIGADO!E:E,ESTIMATIVA[[#This Row],[CD_UPNIVEL3]]),"")</f>
        <v/>
      </c>
      <c r="AJ209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96" s="1">
        <f>COUNTIFS(Apresentação!$E$23:$E$29,ESTIMATIVA[[#This Row],[CD_UPNIVEL1]])</f>
        <v>0</v>
      </c>
    </row>
    <row r="2097" spans="1:37" x14ac:dyDescent="0.3">
      <c r="A2097">
        <v>30618</v>
      </c>
      <c r="B2097" t="s">
        <v>167</v>
      </c>
      <c r="C2097">
        <v>1</v>
      </c>
      <c r="D2097">
        <v>1</v>
      </c>
      <c r="E2097" t="s">
        <v>264</v>
      </c>
      <c r="F2097" s="85" t="s">
        <v>329</v>
      </c>
      <c r="G2097"/>
      <c r="H2097" t="s">
        <v>294</v>
      </c>
      <c r="I2097" t="s">
        <v>200</v>
      </c>
      <c r="J2097" t="s">
        <v>178</v>
      </c>
      <c r="K2097" s="1">
        <v>7.05</v>
      </c>
      <c r="L2097" s="1">
        <v>7.05</v>
      </c>
      <c r="M2097" s="1">
        <v>0</v>
      </c>
      <c r="N2097" s="1">
        <v>7.05</v>
      </c>
      <c r="O2097" s="1">
        <v>796.65</v>
      </c>
      <c r="P2097" s="1">
        <v>874.2</v>
      </c>
      <c r="Q2097" s="1">
        <v>0</v>
      </c>
      <c r="R2097" s="1">
        <v>785.35</v>
      </c>
      <c r="S2097" t="s">
        <v>280</v>
      </c>
      <c r="T2097" s="13">
        <v>45921</v>
      </c>
      <c r="U2097" s="1" t="str">
        <f>IF(ESTIMATIVA[[#This Row],[QT_AREA_REAL]]&gt;0,"1- Colhido","2- à Colher")</f>
        <v>1- Colhido</v>
      </c>
      <c r="V2097" s="1" t="str">
        <f>IF(ESTIMATIVA[[#This Row],[QT_AREA_REST1]]&gt;0,"Reestimativa 1",IF(ESTIMATIVA[[#This Row],[QT_AREA_REAL]]=0,"Reestimativa 1","Realizado"))</f>
        <v>Reestimativa 1</v>
      </c>
      <c r="W2097" s="1" t="str">
        <f>IF(ESTIMATIVA[[#This Row],[QT_AREA_REST2]]&gt;0,"Reestimativa 2",IF(ESTIMATIVA[[#This Row],[QT_AREA_REAL]]=0,"Reestimativa 2","Realizado"))</f>
        <v>Realizado</v>
      </c>
      <c r="X2097" s="1">
        <f>ESTIMATIVA[[#This Row],[QT_AREA_EST]]</f>
        <v>7.05</v>
      </c>
      <c r="Y2097" s="1">
        <f>IF(ESTIMATIVA[[#This Row],[QT_AREA_REST1]]&gt;0,ESTIMATIVA[[#This Row],[QT_AREA_REST1]],
  IF(ESTIMATIVA[[#This Row],[QT_AREA_REAL]]&gt;0,ESTIMATIVA[[#This Row],[QT_AREA_REAL]],ESTIMATIVA[[#This Row],[QT_AREA_EST]]))</f>
        <v>7.05</v>
      </c>
      <c r="Z209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7.05</v>
      </c>
      <c r="AA2097" s="1">
        <f>ESTIMATIVA[[#This Row],[QT_CANA_EST]]</f>
        <v>796.65</v>
      </c>
      <c r="AB2097" s="1">
        <f>IF(ESTIMATIVA[[#This Row],[QT_CANA_REST1]]&gt;0,ESTIMATIVA[[#This Row],[QT_CANA_REST1]],
  IF(ESTIMATIVA[[#This Row],[QT_CANA_REAL]]&gt;0,ESTIMATIVA[[#This Row],[QT_CANA_REAL]],ESTIMATIVA[[#This Row],[QT_CANA_EST]]))</f>
        <v>874.2</v>
      </c>
      <c r="AC209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785.35</v>
      </c>
      <c r="AD2097" s="1">
        <f>IF(ESTIMATIVA[[#This Row],[QT_AREA_REAL]]&gt;0,ESTIMATIVA[[#This Row],[QT_CANA_REAL]],ESTIMATIVA[[#This Row],[QT_CANA_EST]])</f>
        <v>785.35</v>
      </c>
      <c r="AE2097" s="1">
        <f>IF(ESTIMATIVA[[#This Row],[QT_AREA_REAL]]&gt;0,ESTIMATIVA[[#This Row],[QT_CANA_REAL]],ESTIMATIVA[[#This Row],[QT_CANA_REST1]])</f>
        <v>785.35</v>
      </c>
      <c r="AF2097" s="1">
        <f>IF(ESTIMATIVA[[#This Row],[QT_AREA_REAL]]&gt;0,ESTIMATIVA[[#This Row],[QT_CANA_REAL]],ESTIMATIVA[[#This Row],[QT_CANA_REST2]])</f>
        <v>785.35</v>
      </c>
      <c r="AG2097" s="1" t="str">
        <f>IF(COUNTIFS(GEADA!A:A,VALUE(ESTIMATIVA[[#This Row],[CD_UPNIVEL1]]&amp;TEXT(ESTIMATIVA[[#This Row],[CD_UPNIVEL3]],"0000")))&gt;0,"S","N")</f>
        <v>N</v>
      </c>
      <c r="AH209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97" s="55" t="str">
        <f>IF(ESTIMATIVA[[#This Row],[TP_CULTIVO]]="Irrigado",_xlfn.MAXIFS(IRRIGADO!J:J,IRRIGADO!C:C,ESTIMATIVA[[#This Row],[CD_UPNIVEL1]],IRRIGADO!E:E,ESTIMATIVA[[#This Row],[CD_UPNIVEL3]]),"")</f>
        <v/>
      </c>
      <c r="AJ209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97" s="1">
        <f>COUNTIFS(Apresentação!$E$23:$E$29,ESTIMATIVA[[#This Row],[CD_UPNIVEL1]])</f>
        <v>0</v>
      </c>
    </row>
    <row r="2098" spans="1:37" x14ac:dyDescent="0.3">
      <c r="A2098">
        <v>30618</v>
      </c>
      <c r="B2098" t="s">
        <v>167</v>
      </c>
      <c r="C2098">
        <v>2</v>
      </c>
      <c r="D2098">
        <v>1</v>
      </c>
      <c r="E2098" t="s">
        <v>264</v>
      </c>
      <c r="F2098" s="85" t="s">
        <v>329</v>
      </c>
      <c r="G2098"/>
      <c r="H2098" t="s">
        <v>294</v>
      </c>
      <c r="I2098" t="s">
        <v>200</v>
      </c>
      <c r="J2098" t="s">
        <v>178</v>
      </c>
      <c r="K2098" s="1">
        <v>3.85</v>
      </c>
      <c r="L2098" s="1">
        <v>3.85</v>
      </c>
      <c r="M2098" s="1">
        <v>0</v>
      </c>
      <c r="N2098" s="1">
        <v>3.85</v>
      </c>
      <c r="O2098" s="1">
        <v>435.05</v>
      </c>
      <c r="P2098" s="1">
        <v>477.4</v>
      </c>
      <c r="Q2098" s="1">
        <v>0</v>
      </c>
      <c r="R2098" s="1">
        <v>428.61</v>
      </c>
      <c r="S2098" t="s">
        <v>280</v>
      </c>
      <c r="T2098" s="13">
        <v>45921</v>
      </c>
      <c r="U2098" s="1" t="str">
        <f>IF(ESTIMATIVA[[#This Row],[QT_AREA_REAL]]&gt;0,"1- Colhido","2- à Colher")</f>
        <v>1- Colhido</v>
      </c>
      <c r="V2098" s="1" t="str">
        <f>IF(ESTIMATIVA[[#This Row],[QT_AREA_REST1]]&gt;0,"Reestimativa 1",IF(ESTIMATIVA[[#This Row],[QT_AREA_REAL]]=0,"Reestimativa 1","Realizado"))</f>
        <v>Reestimativa 1</v>
      </c>
      <c r="W2098" s="1" t="str">
        <f>IF(ESTIMATIVA[[#This Row],[QT_AREA_REST2]]&gt;0,"Reestimativa 2",IF(ESTIMATIVA[[#This Row],[QT_AREA_REAL]]=0,"Reestimativa 2","Realizado"))</f>
        <v>Realizado</v>
      </c>
      <c r="X2098" s="1">
        <f>ESTIMATIVA[[#This Row],[QT_AREA_EST]]</f>
        <v>3.85</v>
      </c>
      <c r="Y2098" s="1">
        <f>IF(ESTIMATIVA[[#This Row],[QT_AREA_REST1]]&gt;0,ESTIMATIVA[[#This Row],[QT_AREA_REST1]],
  IF(ESTIMATIVA[[#This Row],[QT_AREA_REAL]]&gt;0,ESTIMATIVA[[#This Row],[QT_AREA_REAL]],ESTIMATIVA[[#This Row],[QT_AREA_EST]]))</f>
        <v>3.85</v>
      </c>
      <c r="Z2098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3.85</v>
      </c>
      <c r="AA2098" s="1">
        <f>ESTIMATIVA[[#This Row],[QT_CANA_EST]]</f>
        <v>435.05</v>
      </c>
      <c r="AB2098" s="1">
        <f>IF(ESTIMATIVA[[#This Row],[QT_CANA_REST1]]&gt;0,ESTIMATIVA[[#This Row],[QT_CANA_REST1]],
  IF(ESTIMATIVA[[#This Row],[QT_CANA_REAL]]&gt;0,ESTIMATIVA[[#This Row],[QT_CANA_REAL]],ESTIMATIVA[[#This Row],[QT_CANA_EST]]))</f>
        <v>477.4</v>
      </c>
      <c r="AC2098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428.61</v>
      </c>
      <c r="AD2098" s="1">
        <f>IF(ESTIMATIVA[[#This Row],[QT_AREA_REAL]]&gt;0,ESTIMATIVA[[#This Row],[QT_CANA_REAL]],ESTIMATIVA[[#This Row],[QT_CANA_EST]])</f>
        <v>428.61</v>
      </c>
      <c r="AE2098" s="1">
        <f>IF(ESTIMATIVA[[#This Row],[QT_AREA_REAL]]&gt;0,ESTIMATIVA[[#This Row],[QT_CANA_REAL]],ESTIMATIVA[[#This Row],[QT_CANA_REST1]])</f>
        <v>428.61</v>
      </c>
      <c r="AF2098" s="1">
        <f>IF(ESTIMATIVA[[#This Row],[QT_AREA_REAL]]&gt;0,ESTIMATIVA[[#This Row],[QT_CANA_REAL]],ESTIMATIVA[[#This Row],[QT_CANA_REST2]])</f>
        <v>428.61</v>
      </c>
      <c r="AG2098" s="1" t="str">
        <f>IF(COUNTIFS(GEADA!A:A,VALUE(ESTIMATIVA[[#This Row],[CD_UPNIVEL1]]&amp;TEXT(ESTIMATIVA[[#This Row],[CD_UPNIVEL3]],"0000")))&gt;0,"S","N")</f>
        <v>N</v>
      </c>
      <c r="AH2098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98" s="55" t="str">
        <f>IF(ESTIMATIVA[[#This Row],[TP_CULTIVO]]="Irrigado",_xlfn.MAXIFS(IRRIGADO!J:J,IRRIGADO!C:C,ESTIMATIVA[[#This Row],[CD_UPNIVEL1]],IRRIGADO!E:E,ESTIMATIVA[[#This Row],[CD_UPNIVEL3]]),"")</f>
        <v/>
      </c>
      <c r="AJ2098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98" s="1">
        <f>COUNTIFS(Apresentação!$E$23:$E$29,ESTIMATIVA[[#This Row],[CD_UPNIVEL1]])</f>
        <v>0</v>
      </c>
    </row>
    <row r="2099" spans="1:37" x14ac:dyDescent="0.3">
      <c r="A2099">
        <v>30618</v>
      </c>
      <c r="B2099" t="s">
        <v>167</v>
      </c>
      <c r="C2099">
        <v>3</v>
      </c>
      <c r="D2099">
        <v>1</v>
      </c>
      <c r="E2099" t="s">
        <v>264</v>
      </c>
      <c r="F2099" s="85" t="s">
        <v>329</v>
      </c>
      <c r="G2099"/>
      <c r="H2099" t="s">
        <v>294</v>
      </c>
      <c r="I2099" t="s">
        <v>200</v>
      </c>
      <c r="J2099" t="s">
        <v>178</v>
      </c>
      <c r="K2099" s="1">
        <v>1.65</v>
      </c>
      <c r="L2099" s="1">
        <v>1.65</v>
      </c>
      <c r="M2099" s="1">
        <v>0</v>
      </c>
      <c r="N2099" s="1">
        <v>1.65</v>
      </c>
      <c r="O2099" s="1">
        <v>186.45</v>
      </c>
      <c r="P2099" s="1">
        <v>204.6</v>
      </c>
      <c r="Q2099" s="1">
        <v>0</v>
      </c>
      <c r="R2099" s="1">
        <v>184.25</v>
      </c>
      <c r="S2099" t="s">
        <v>280</v>
      </c>
      <c r="T2099" s="13">
        <v>45921</v>
      </c>
      <c r="U2099" s="1" t="str">
        <f>IF(ESTIMATIVA[[#This Row],[QT_AREA_REAL]]&gt;0,"1- Colhido","2- à Colher")</f>
        <v>1- Colhido</v>
      </c>
      <c r="V2099" s="1" t="str">
        <f>IF(ESTIMATIVA[[#This Row],[QT_AREA_REST1]]&gt;0,"Reestimativa 1",IF(ESTIMATIVA[[#This Row],[QT_AREA_REAL]]=0,"Reestimativa 1","Realizado"))</f>
        <v>Reestimativa 1</v>
      </c>
      <c r="W2099" s="1" t="str">
        <f>IF(ESTIMATIVA[[#This Row],[QT_AREA_REST2]]&gt;0,"Reestimativa 2",IF(ESTIMATIVA[[#This Row],[QT_AREA_REAL]]=0,"Reestimativa 2","Realizado"))</f>
        <v>Realizado</v>
      </c>
      <c r="X2099" s="1">
        <f>ESTIMATIVA[[#This Row],[QT_AREA_EST]]</f>
        <v>1.65</v>
      </c>
      <c r="Y2099" s="1">
        <f>IF(ESTIMATIVA[[#This Row],[QT_AREA_REST1]]&gt;0,ESTIMATIVA[[#This Row],[QT_AREA_REST1]],
  IF(ESTIMATIVA[[#This Row],[QT_AREA_REAL]]&gt;0,ESTIMATIVA[[#This Row],[QT_AREA_REAL]],ESTIMATIVA[[#This Row],[QT_AREA_EST]]))</f>
        <v>1.65</v>
      </c>
      <c r="Z2099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1.65</v>
      </c>
      <c r="AA2099" s="1">
        <f>ESTIMATIVA[[#This Row],[QT_CANA_EST]]</f>
        <v>186.45</v>
      </c>
      <c r="AB2099" s="1">
        <f>IF(ESTIMATIVA[[#This Row],[QT_CANA_REST1]]&gt;0,ESTIMATIVA[[#This Row],[QT_CANA_REST1]],
  IF(ESTIMATIVA[[#This Row],[QT_CANA_REAL]]&gt;0,ESTIMATIVA[[#This Row],[QT_CANA_REAL]],ESTIMATIVA[[#This Row],[QT_CANA_EST]]))</f>
        <v>204.6</v>
      </c>
      <c r="AC2099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184.25</v>
      </c>
      <c r="AD2099" s="1">
        <f>IF(ESTIMATIVA[[#This Row],[QT_AREA_REAL]]&gt;0,ESTIMATIVA[[#This Row],[QT_CANA_REAL]],ESTIMATIVA[[#This Row],[QT_CANA_EST]])</f>
        <v>184.25</v>
      </c>
      <c r="AE2099" s="1">
        <f>IF(ESTIMATIVA[[#This Row],[QT_AREA_REAL]]&gt;0,ESTIMATIVA[[#This Row],[QT_CANA_REAL]],ESTIMATIVA[[#This Row],[QT_CANA_REST1]])</f>
        <v>184.25</v>
      </c>
      <c r="AF2099" s="1">
        <f>IF(ESTIMATIVA[[#This Row],[QT_AREA_REAL]]&gt;0,ESTIMATIVA[[#This Row],[QT_CANA_REAL]],ESTIMATIVA[[#This Row],[QT_CANA_REST2]])</f>
        <v>184.25</v>
      </c>
      <c r="AG2099" s="1" t="str">
        <f>IF(COUNTIFS(GEADA!A:A,VALUE(ESTIMATIVA[[#This Row],[CD_UPNIVEL1]]&amp;TEXT(ESTIMATIVA[[#This Row],[CD_UPNIVEL3]],"0000")))&gt;0,"S","N")</f>
        <v>N</v>
      </c>
      <c r="AH2099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099" s="55" t="str">
        <f>IF(ESTIMATIVA[[#This Row],[TP_CULTIVO]]="Irrigado",_xlfn.MAXIFS(IRRIGADO!J:J,IRRIGADO!C:C,ESTIMATIVA[[#This Row],[CD_UPNIVEL1]],IRRIGADO!E:E,ESTIMATIVA[[#This Row],[CD_UPNIVEL3]]),"")</f>
        <v/>
      </c>
      <c r="AJ2099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099" s="1">
        <f>COUNTIFS(Apresentação!$E$23:$E$29,ESTIMATIVA[[#This Row],[CD_UPNIVEL1]])</f>
        <v>0</v>
      </c>
    </row>
    <row r="2100" spans="1:37" x14ac:dyDescent="0.3">
      <c r="A2100">
        <v>30624</v>
      </c>
      <c r="B2100" t="s">
        <v>117</v>
      </c>
      <c r="C2100">
        <v>1</v>
      </c>
      <c r="D2100">
        <v>1</v>
      </c>
      <c r="E2100" t="s">
        <v>264</v>
      </c>
      <c r="F2100" s="85" t="s">
        <v>331</v>
      </c>
      <c r="G2100"/>
      <c r="H2100" t="s">
        <v>294</v>
      </c>
      <c r="I2100" t="s">
        <v>205</v>
      </c>
      <c r="J2100" t="s">
        <v>178</v>
      </c>
      <c r="K2100" s="1">
        <v>20.28</v>
      </c>
      <c r="L2100" s="1">
        <v>0</v>
      </c>
      <c r="M2100" s="1">
        <v>0</v>
      </c>
      <c r="N2100" s="1">
        <v>20.28</v>
      </c>
      <c r="O2100" s="1">
        <v>1500.72</v>
      </c>
      <c r="P2100" s="1">
        <v>0</v>
      </c>
      <c r="Q2100" s="1">
        <v>0</v>
      </c>
      <c r="R2100" s="1">
        <v>1711.05</v>
      </c>
      <c r="S2100" t="s">
        <v>282</v>
      </c>
      <c r="T2100" s="13">
        <v>45788</v>
      </c>
      <c r="U2100" s="1" t="str">
        <f>IF(ESTIMATIVA[[#This Row],[QT_AREA_REAL]]&gt;0,"1- Colhido","2- à Colher")</f>
        <v>1- Colhido</v>
      </c>
      <c r="V2100" s="1" t="str">
        <f>IF(ESTIMATIVA[[#This Row],[QT_AREA_REST1]]&gt;0,"Reestimativa 1",IF(ESTIMATIVA[[#This Row],[QT_AREA_REAL]]=0,"Reestimativa 1","Realizado"))</f>
        <v>Realizado</v>
      </c>
      <c r="W2100" s="1" t="str">
        <f>IF(ESTIMATIVA[[#This Row],[QT_AREA_REST2]]&gt;0,"Reestimativa 2",IF(ESTIMATIVA[[#This Row],[QT_AREA_REAL]]=0,"Reestimativa 2","Realizado"))</f>
        <v>Realizado</v>
      </c>
      <c r="X2100" s="1">
        <f>ESTIMATIVA[[#This Row],[QT_AREA_EST]]</f>
        <v>20.28</v>
      </c>
      <c r="Y2100" s="1">
        <f>IF(ESTIMATIVA[[#This Row],[QT_AREA_REST1]]&gt;0,ESTIMATIVA[[#This Row],[QT_AREA_REST1]],
  IF(ESTIMATIVA[[#This Row],[QT_AREA_REAL]]&gt;0,ESTIMATIVA[[#This Row],[QT_AREA_REAL]],ESTIMATIVA[[#This Row],[QT_AREA_EST]]))</f>
        <v>20.28</v>
      </c>
      <c r="Z2100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20.28</v>
      </c>
      <c r="AA2100" s="1">
        <f>ESTIMATIVA[[#This Row],[QT_CANA_EST]]</f>
        <v>1500.72</v>
      </c>
      <c r="AB2100" s="1">
        <f>IF(ESTIMATIVA[[#This Row],[QT_CANA_REST1]]&gt;0,ESTIMATIVA[[#This Row],[QT_CANA_REST1]],
  IF(ESTIMATIVA[[#This Row],[QT_CANA_REAL]]&gt;0,ESTIMATIVA[[#This Row],[QT_CANA_REAL]],ESTIMATIVA[[#This Row],[QT_CANA_EST]]))</f>
        <v>1711.05</v>
      </c>
      <c r="AC2100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1711.05</v>
      </c>
      <c r="AD2100" s="1">
        <f>IF(ESTIMATIVA[[#This Row],[QT_AREA_REAL]]&gt;0,ESTIMATIVA[[#This Row],[QT_CANA_REAL]],ESTIMATIVA[[#This Row],[QT_CANA_EST]])</f>
        <v>1711.05</v>
      </c>
      <c r="AE2100" s="1">
        <f>IF(ESTIMATIVA[[#This Row],[QT_AREA_REAL]]&gt;0,ESTIMATIVA[[#This Row],[QT_CANA_REAL]],ESTIMATIVA[[#This Row],[QT_CANA_REST1]])</f>
        <v>1711.05</v>
      </c>
      <c r="AF2100" s="1">
        <f>IF(ESTIMATIVA[[#This Row],[QT_AREA_REAL]]&gt;0,ESTIMATIVA[[#This Row],[QT_CANA_REAL]],ESTIMATIVA[[#This Row],[QT_CANA_REST2]])</f>
        <v>1711.05</v>
      </c>
      <c r="AG2100" s="1" t="str">
        <f>IF(COUNTIFS(GEADA!A:A,VALUE(ESTIMATIVA[[#This Row],[CD_UPNIVEL1]]&amp;TEXT(ESTIMATIVA[[#This Row],[CD_UPNIVEL3]],"0000")))&gt;0,"S","N")</f>
        <v>N</v>
      </c>
      <c r="AH2100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100" s="55" t="str">
        <f>IF(ESTIMATIVA[[#This Row],[TP_CULTIVO]]="Irrigado",_xlfn.MAXIFS(IRRIGADO!J:J,IRRIGADO!C:C,ESTIMATIVA[[#This Row],[CD_UPNIVEL1]],IRRIGADO!E:E,ESTIMATIVA[[#This Row],[CD_UPNIVEL3]]),"")</f>
        <v/>
      </c>
      <c r="AJ2100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100" s="1">
        <f>COUNTIFS(Apresentação!$E$23:$E$29,ESTIMATIVA[[#This Row],[CD_UPNIVEL1]])</f>
        <v>0</v>
      </c>
    </row>
    <row r="2101" spans="1:37" x14ac:dyDescent="0.3">
      <c r="A2101">
        <v>30624</v>
      </c>
      <c r="B2101" t="s">
        <v>117</v>
      </c>
      <c r="C2101">
        <v>2</v>
      </c>
      <c r="D2101">
        <v>1</v>
      </c>
      <c r="E2101" t="s">
        <v>264</v>
      </c>
      <c r="F2101" s="85" t="s">
        <v>331</v>
      </c>
      <c r="G2101"/>
      <c r="H2101" t="s">
        <v>294</v>
      </c>
      <c r="I2101" t="s">
        <v>205</v>
      </c>
      <c r="J2101" t="s">
        <v>178</v>
      </c>
      <c r="K2101" s="1">
        <v>26.68</v>
      </c>
      <c r="L2101" s="1">
        <v>0</v>
      </c>
      <c r="M2101" s="1">
        <v>0</v>
      </c>
      <c r="N2101" s="1">
        <v>26.68</v>
      </c>
      <c r="O2101" s="1">
        <v>1974.32</v>
      </c>
      <c r="P2101" s="1">
        <v>0</v>
      </c>
      <c r="Q2101" s="1">
        <v>0</v>
      </c>
      <c r="R2101" s="1">
        <v>3077.32</v>
      </c>
      <c r="S2101" t="s">
        <v>282</v>
      </c>
      <c r="T2101" s="13">
        <v>45788</v>
      </c>
      <c r="U2101" s="1" t="str">
        <f>IF(ESTIMATIVA[[#This Row],[QT_AREA_REAL]]&gt;0,"1- Colhido","2- à Colher")</f>
        <v>1- Colhido</v>
      </c>
      <c r="V2101" s="1" t="str">
        <f>IF(ESTIMATIVA[[#This Row],[QT_AREA_REST1]]&gt;0,"Reestimativa 1",IF(ESTIMATIVA[[#This Row],[QT_AREA_REAL]]=0,"Reestimativa 1","Realizado"))</f>
        <v>Realizado</v>
      </c>
      <c r="W2101" s="1" t="str">
        <f>IF(ESTIMATIVA[[#This Row],[QT_AREA_REST2]]&gt;0,"Reestimativa 2",IF(ESTIMATIVA[[#This Row],[QT_AREA_REAL]]=0,"Reestimativa 2","Realizado"))</f>
        <v>Realizado</v>
      </c>
      <c r="X2101" s="1">
        <f>ESTIMATIVA[[#This Row],[QT_AREA_EST]]</f>
        <v>26.68</v>
      </c>
      <c r="Y2101" s="1">
        <f>IF(ESTIMATIVA[[#This Row],[QT_AREA_REST1]]&gt;0,ESTIMATIVA[[#This Row],[QT_AREA_REST1]],
  IF(ESTIMATIVA[[#This Row],[QT_AREA_REAL]]&gt;0,ESTIMATIVA[[#This Row],[QT_AREA_REAL]],ESTIMATIVA[[#This Row],[QT_AREA_EST]]))</f>
        <v>26.68</v>
      </c>
      <c r="Z2101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26.68</v>
      </c>
      <c r="AA2101" s="1">
        <f>ESTIMATIVA[[#This Row],[QT_CANA_EST]]</f>
        <v>1974.32</v>
      </c>
      <c r="AB2101" s="1">
        <f>IF(ESTIMATIVA[[#This Row],[QT_CANA_REST1]]&gt;0,ESTIMATIVA[[#This Row],[QT_CANA_REST1]],
  IF(ESTIMATIVA[[#This Row],[QT_CANA_REAL]]&gt;0,ESTIMATIVA[[#This Row],[QT_CANA_REAL]],ESTIMATIVA[[#This Row],[QT_CANA_EST]]))</f>
        <v>3077.32</v>
      </c>
      <c r="AC2101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3077.32</v>
      </c>
      <c r="AD2101" s="1">
        <f>IF(ESTIMATIVA[[#This Row],[QT_AREA_REAL]]&gt;0,ESTIMATIVA[[#This Row],[QT_CANA_REAL]],ESTIMATIVA[[#This Row],[QT_CANA_EST]])</f>
        <v>3077.32</v>
      </c>
      <c r="AE2101" s="1">
        <f>IF(ESTIMATIVA[[#This Row],[QT_AREA_REAL]]&gt;0,ESTIMATIVA[[#This Row],[QT_CANA_REAL]],ESTIMATIVA[[#This Row],[QT_CANA_REST1]])</f>
        <v>3077.32</v>
      </c>
      <c r="AF2101" s="1">
        <f>IF(ESTIMATIVA[[#This Row],[QT_AREA_REAL]]&gt;0,ESTIMATIVA[[#This Row],[QT_CANA_REAL]],ESTIMATIVA[[#This Row],[QT_CANA_REST2]])</f>
        <v>3077.32</v>
      </c>
      <c r="AG2101" s="1" t="str">
        <f>IF(COUNTIFS(GEADA!A:A,VALUE(ESTIMATIVA[[#This Row],[CD_UPNIVEL1]]&amp;TEXT(ESTIMATIVA[[#This Row],[CD_UPNIVEL3]],"0000")))&gt;0,"S","N")</f>
        <v>N</v>
      </c>
      <c r="AH2101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101" s="55" t="str">
        <f>IF(ESTIMATIVA[[#This Row],[TP_CULTIVO]]="Irrigado",_xlfn.MAXIFS(IRRIGADO!J:J,IRRIGADO!C:C,ESTIMATIVA[[#This Row],[CD_UPNIVEL1]],IRRIGADO!E:E,ESTIMATIVA[[#This Row],[CD_UPNIVEL3]]),"")</f>
        <v/>
      </c>
      <c r="AJ2101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101" s="1">
        <f>COUNTIFS(Apresentação!$E$23:$E$29,ESTIMATIVA[[#This Row],[CD_UPNIVEL1]])</f>
        <v>0</v>
      </c>
    </row>
    <row r="2102" spans="1:37" x14ac:dyDescent="0.3">
      <c r="A2102">
        <v>30624</v>
      </c>
      <c r="B2102" t="s">
        <v>117</v>
      </c>
      <c r="C2102">
        <v>3</v>
      </c>
      <c r="D2102">
        <v>1</v>
      </c>
      <c r="E2102" t="s">
        <v>264</v>
      </c>
      <c r="F2102" s="85" t="s">
        <v>331</v>
      </c>
      <c r="G2102"/>
      <c r="H2102" t="s">
        <v>294</v>
      </c>
      <c r="I2102" t="s">
        <v>205</v>
      </c>
      <c r="J2102" t="s">
        <v>178</v>
      </c>
      <c r="K2102" s="1">
        <v>9.3000000000000007</v>
      </c>
      <c r="L2102" s="1">
        <v>0</v>
      </c>
      <c r="M2102" s="1">
        <v>0</v>
      </c>
      <c r="N2102" s="1">
        <v>9.3000000000000007</v>
      </c>
      <c r="O2102" s="1">
        <v>688.2</v>
      </c>
      <c r="P2102" s="1">
        <v>0</v>
      </c>
      <c r="Q2102" s="1">
        <v>0</v>
      </c>
      <c r="R2102" s="1">
        <v>1072.6300000000001</v>
      </c>
      <c r="S2102" t="s">
        <v>282</v>
      </c>
      <c r="T2102" s="13">
        <v>45788</v>
      </c>
      <c r="U2102" s="1" t="str">
        <f>IF(ESTIMATIVA[[#This Row],[QT_AREA_REAL]]&gt;0,"1- Colhido","2- à Colher")</f>
        <v>1- Colhido</v>
      </c>
      <c r="V2102" s="1" t="str">
        <f>IF(ESTIMATIVA[[#This Row],[QT_AREA_REST1]]&gt;0,"Reestimativa 1",IF(ESTIMATIVA[[#This Row],[QT_AREA_REAL]]=0,"Reestimativa 1","Realizado"))</f>
        <v>Realizado</v>
      </c>
      <c r="W2102" s="1" t="str">
        <f>IF(ESTIMATIVA[[#This Row],[QT_AREA_REST2]]&gt;0,"Reestimativa 2",IF(ESTIMATIVA[[#This Row],[QT_AREA_REAL]]=0,"Reestimativa 2","Realizado"))</f>
        <v>Realizado</v>
      </c>
      <c r="X2102" s="1">
        <f>ESTIMATIVA[[#This Row],[QT_AREA_EST]]</f>
        <v>9.3000000000000007</v>
      </c>
      <c r="Y2102" s="1">
        <f>IF(ESTIMATIVA[[#This Row],[QT_AREA_REST1]]&gt;0,ESTIMATIVA[[#This Row],[QT_AREA_REST1]],
  IF(ESTIMATIVA[[#This Row],[QT_AREA_REAL]]&gt;0,ESTIMATIVA[[#This Row],[QT_AREA_REAL]],ESTIMATIVA[[#This Row],[QT_AREA_EST]]))</f>
        <v>9.3000000000000007</v>
      </c>
      <c r="Z2102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9.3000000000000007</v>
      </c>
      <c r="AA2102" s="1">
        <f>ESTIMATIVA[[#This Row],[QT_CANA_EST]]</f>
        <v>688.2</v>
      </c>
      <c r="AB2102" s="1">
        <f>IF(ESTIMATIVA[[#This Row],[QT_CANA_REST1]]&gt;0,ESTIMATIVA[[#This Row],[QT_CANA_REST1]],
  IF(ESTIMATIVA[[#This Row],[QT_CANA_REAL]]&gt;0,ESTIMATIVA[[#This Row],[QT_CANA_REAL]],ESTIMATIVA[[#This Row],[QT_CANA_EST]]))</f>
        <v>1072.6300000000001</v>
      </c>
      <c r="AC2102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1072.6300000000001</v>
      </c>
      <c r="AD2102" s="1">
        <f>IF(ESTIMATIVA[[#This Row],[QT_AREA_REAL]]&gt;0,ESTIMATIVA[[#This Row],[QT_CANA_REAL]],ESTIMATIVA[[#This Row],[QT_CANA_EST]])</f>
        <v>1072.6300000000001</v>
      </c>
      <c r="AE2102" s="1">
        <f>IF(ESTIMATIVA[[#This Row],[QT_AREA_REAL]]&gt;0,ESTIMATIVA[[#This Row],[QT_CANA_REAL]],ESTIMATIVA[[#This Row],[QT_CANA_REST1]])</f>
        <v>1072.6300000000001</v>
      </c>
      <c r="AF2102" s="1">
        <f>IF(ESTIMATIVA[[#This Row],[QT_AREA_REAL]]&gt;0,ESTIMATIVA[[#This Row],[QT_CANA_REAL]],ESTIMATIVA[[#This Row],[QT_CANA_REST2]])</f>
        <v>1072.6300000000001</v>
      </c>
      <c r="AG2102" s="1" t="str">
        <f>IF(COUNTIFS(GEADA!A:A,VALUE(ESTIMATIVA[[#This Row],[CD_UPNIVEL1]]&amp;TEXT(ESTIMATIVA[[#This Row],[CD_UPNIVEL3]],"0000")))&gt;0,"S","N")</f>
        <v>N</v>
      </c>
      <c r="AH2102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102" s="55" t="str">
        <f>IF(ESTIMATIVA[[#This Row],[TP_CULTIVO]]="Irrigado",_xlfn.MAXIFS(IRRIGADO!J:J,IRRIGADO!C:C,ESTIMATIVA[[#This Row],[CD_UPNIVEL1]],IRRIGADO!E:E,ESTIMATIVA[[#This Row],[CD_UPNIVEL3]]),"")</f>
        <v/>
      </c>
      <c r="AJ2102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102" s="1">
        <f>COUNTIFS(Apresentação!$E$23:$E$29,ESTIMATIVA[[#This Row],[CD_UPNIVEL1]])</f>
        <v>0</v>
      </c>
    </row>
    <row r="2103" spans="1:37" x14ac:dyDescent="0.3">
      <c r="A2103">
        <v>30629</v>
      </c>
      <c r="B2103" t="s">
        <v>118</v>
      </c>
      <c r="C2103">
        <v>1</v>
      </c>
      <c r="D2103">
        <v>1</v>
      </c>
      <c r="E2103" t="s">
        <v>264</v>
      </c>
      <c r="F2103" s="85" t="s">
        <v>331</v>
      </c>
      <c r="G2103"/>
      <c r="H2103" t="s">
        <v>294</v>
      </c>
      <c r="I2103" t="s">
        <v>205</v>
      </c>
      <c r="J2103" t="s">
        <v>178</v>
      </c>
      <c r="K2103" s="1">
        <v>40.090000000000003</v>
      </c>
      <c r="L2103" s="1">
        <v>0</v>
      </c>
      <c r="M2103" s="1">
        <v>0</v>
      </c>
      <c r="N2103" s="1">
        <v>40.090000000000003</v>
      </c>
      <c r="O2103" s="1">
        <v>2966.66</v>
      </c>
      <c r="P2103" s="1">
        <v>0</v>
      </c>
      <c r="Q2103" s="1">
        <v>0</v>
      </c>
      <c r="R2103" s="1">
        <v>3385.96</v>
      </c>
      <c r="S2103" t="s">
        <v>282</v>
      </c>
      <c r="T2103" s="13">
        <v>45795</v>
      </c>
      <c r="U2103" s="1" t="str">
        <f>IF(ESTIMATIVA[[#This Row],[QT_AREA_REAL]]&gt;0,"1- Colhido","2- à Colher")</f>
        <v>1- Colhido</v>
      </c>
      <c r="V2103" s="1" t="str">
        <f>IF(ESTIMATIVA[[#This Row],[QT_AREA_REST1]]&gt;0,"Reestimativa 1",IF(ESTIMATIVA[[#This Row],[QT_AREA_REAL]]=0,"Reestimativa 1","Realizado"))</f>
        <v>Realizado</v>
      </c>
      <c r="W2103" s="1" t="str">
        <f>IF(ESTIMATIVA[[#This Row],[QT_AREA_REST2]]&gt;0,"Reestimativa 2",IF(ESTIMATIVA[[#This Row],[QT_AREA_REAL]]=0,"Reestimativa 2","Realizado"))</f>
        <v>Realizado</v>
      </c>
      <c r="X2103" s="1">
        <f>ESTIMATIVA[[#This Row],[QT_AREA_EST]]</f>
        <v>40.090000000000003</v>
      </c>
      <c r="Y2103" s="1">
        <f>IF(ESTIMATIVA[[#This Row],[QT_AREA_REST1]]&gt;0,ESTIMATIVA[[#This Row],[QT_AREA_REST1]],
  IF(ESTIMATIVA[[#This Row],[QT_AREA_REAL]]&gt;0,ESTIMATIVA[[#This Row],[QT_AREA_REAL]],ESTIMATIVA[[#This Row],[QT_AREA_EST]]))</f>
        <v>40.090000000000003</v>
      </c>
      <c r="Z2103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40.090000000000003</v>
      </c>
      <c r="AA2103" s="1">
        <f>ESTIMATIVA[[#This Row],[QT_CANA_EST]]</f>
        <v>2966.66</v>
      </c>
      <c r="AB2103" s="1">
        <f>IF(ESTIMATIVA[[#This Row],[QT_CANA_REST1]]&gt;0,ESTIMATIVA[[#This Row],[QT_CANA_REST1]],
  IF(ESTIMATIVA[[#This Row],[QT_CANA_REAL]]&gt;0,ESTIMATIVA[[#This Row],[QT_CANA_REAL]],ESTIMATIVA[[#This Row],[QT_CANA_EST]]))</f>
        <v>3385.96</v>
      </c>
      <c r="AC2103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3385.96</v>
      </c>
      <c r="AD2103" s="1">
        <f>IF(ESTIMATIVA[[#This Row],[QT_AREA_REAL]]&gt;0,ESTIMATIVA[[#This Row],[QT_CANA_REAL]],ESTIMATIVA[[#This Row],[QT_CANA_EST]])</f>
        <v>3385.96</v>
      </c>
      <c r="AE2103" s="1">
        <f>IF(ESTIMATIVA[[#This Row],[QT_AREA_REAL]]&gt;0,ESTIMATIVA[[#This Row],[QT_CANA_REAL]],ESTIMATIVA[[#This Row],[QT_CANA_REST1]])</f>
        <v>3385.96</v>
      </c>
      <c r="AF2103" s="1">
        <f>IF(ESTIMATIVA[[#This Row],[QT_AREA_REAL]]&gt;0,ESTIMATIVA[[#This Row],[QT_CANA_REAL]],ESTIMATIVA[[#This Row],[QT_CANA_REST2]])</f>
        <v>3385.96</v>
      </c>
      <c r="AG2103" s="1" t="str">
        <f>IF(COUNTIFS(GEADA!A:A,VALUE(ESTIMATIVA[[#This Row],[CD_UPNIVEL1]]&amp;TEXT(ESTIMATIVA[[#This Row],[CD_UPNIVEL3]],"0000")))&gt;0,"S","N")</f>
        <v>N</v>
      </c>
      <c r="AH2103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103" s="55" t="str">
        <f>IF(ESTIMATIVA[[#This Row],[TP_CULTIVO]]="Irrigado",_xlfn.MAXIFS(IRRIGADO!J:J,IRRIGADO!C:C,ESTIMATIVA[[#This Row],[CD_UPNIVEL1]],IRRIGADO!E:E,ESTIMATIVA[[#This Row],[CD_UPNIVEL3]]),"")</f>
        <v/>
      </c>
      <c r="AJ2103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103" s="1">
        <f>COUNTIFS(Apresentação!$E$23:$E$29,ESTIMATIVA[[#This Row],[CD_UPNIVEL1]])</f>
        <v>0</v>
      </c>
    </row>
    <row r="2104" spans="1:37" x14ac:dyDescent="0.3">
      <c r="A2104">
        <v>30629</v>
      </c>
      <c r="B2104" t="s">
        <v>118</v>
      </c>
      <c r="C2104">
        <v>2</v>
      </c>
      <c r="D2104">
        <v>1</v>
      </c>
      <c r="E2104" t="s">
        <v>264</v>
      </c>
      <c r="F2104" s="85" t="s">
        <v>331</v>
      </c>
      <c r="G2104"/>
      <c r="H2104" t="s">
        <v>294</v>
      </c>
      <c r="I2104" t="s">
        <v>205</v>
      </c>
      <c r="J2104" t="s">
        <v>178</v>
      </c>
      <c r="K2104" s="1">
        <v>30.21</v>
      </c>
      <c r="L2104" s="1">
        <v>0</v>
      </c>
      <c r="M2104" s="1">
        <v>0</v>
      </c>
      <c r="N2104" s="1">
        <v>30.21</v>
      </c>
      <c r="O2104" s="1">
        <v>2235.54</v>
      </c>
      <c r="P2104" s="1">
        <v>0</v>
      </c>
      <c r="Q2104" s="1">
        <v>0</v>
      </c>
      <c r="R2104" s="1">
        <v>2244.16</v>
      </c>
      <c r="S2104" t="s">
        <v>282</v>
      </c>
      <c r="T2104" s="13">
        <v>45795</v>
      </c>
      <c r="U2104" s="1" t="str">
        <f>IF(ESTIMATIVA[[#This Row],[QT_AREA_REAL]]&gt;0,"1- Colhido","2- à Colher")</f>
        <v>1- Colhido</v>
      </c>
      <c r="V2104" s="1" t="str">
        <f>IF(ESTIMATIVA[[#This Row],[QT_AREA_REST1]]&gt;0,"Reestimativa 1",IF(ESTIMATIVA[[#This Row],[QT_AREA_REAL]]=0,"Reestimativa 1","Realizado"))</f>
        <v>Realizado</v>
      </c>
      <c r="W2104" s="1" t="str">
        <f>IF(ESTIMATIVA[[#This Row],[QT_AREA_REST2]]&gt;0,"Reestimativa 2",IF(ESTIMATIVA[[#This Row],[QT_AREA_REAL]]=0,"Reestimativa 2","Realizado"))</f>
        <v>Realizado</v>
      </c>
      <c r="X2104" s="1">
        <f>ESTIMATIVA[[#This Row],[QT_AREA_EST]]</f>
        <v>30.21</v>
      </c>
      <c r="Y2104" s="1">
        <f>IF(ESTIMATIVA[[#This Row],[QT_AREA_REST1]]&gt;0,ESTIMATIVA[[#This Row],[QT_AREA_REST1]],
  IF(ESTIMATIVA[[#This Row],[QT_AREA_REAL]]&gt;0,ESTIMATIVA[[#This Row],[QT_AREA_REAL]],ESTIMATIVA[[#This Row],[QT_AREA_EST]]))</f>
        <v>30.21</v>
      </c>
      <c r="Z2104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30.21</v>
      </c>
      <c r="AA2104" s="1">
        <f>ESTIMATIVA[[#This Row],[QT_CANA_EST]]</f>
        <v>2235.54</v>
      </c>
      <c r="AB2104" s="1">
        <f>IF(ESTIMATIVA[[#This Row],[QT_CANA_REST1]]&gt;0,ESTIMATIVA[[#This Row],[QT_CANA_REST1]],
  IF(ESTIMATIVA[[#This Row],[QT_CANA_REAL]]&gt;0,ESTIMATIVA[[#This Row],[QT_CANA_REAL]],ESTIMATIVA[[#This Row],[QT_CANA_EST]]))</f>
        <v>2244.16</v>
      </c>
      <c r="AC2104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2244.16</v>
      </c>
      <c r="AD2104" s="1">
        <f>IF(ESTIMATIVA[[#This Row],[QT_AREA_REAL]]&gt;0,ESTIMATIVA[[#This Row],[QT_CANA_REAL]],ESTIMATIVA[[#This Row],[QT_CANA_EST]])</f>
        <v>2244.16</v>
      </c>
      <c r="AE2104" s="1">
        <f>IF(ESTIMATIVA[[#This Row],[QT_AREA_REAL]]&gt;0,ESTIMATIVA[[#This Row],[QT_CANA_REAL]],ESTIMATIVA[[#This Row],[QT_CANA_REST1]])</f>
        <v>2244.16</v>
      </c>
      <c r="AF2104" s="1">
        <f>IF(ESTIMATIVA[[#This Row],[QT_AREA_REAL]]&gt;0,ESTIMATIVA[[#This Row],[QT_CANA_REAL]],ESTIMATIVA[[#This Row],[QT_CANA_REST2]])</f>
        <v>2244.16</v>
      </c>
      <c r="AG2104" s="1" t="str">
        <f>IF(COUNTIFS(GEADA!A:A,VALUE(ESTIMATIVA[[#This Row],[CD_UPNIVEL1]]&amp;TEXT(ESTIMATIVA[[#This Row],[CD_UPNIVEL3]],"0000")))&gt;0,"S","N")</f>
        <v>N</v>
      </c>
      <c r="AH2104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104" s="55" t="str">
        <f>IF(ESTIMATIVA[[#This Row],[TP_CULTIVO]]="Irrigado",_xlfn.MAXIFS(IRRIGADO!J:J,IRRIGADO!C:C,ESTIMATIVA[[#This Row],[CD_UPNIVEL1]],IRRIGADO!E:E,ESTIMATIVA[[#This Row],[CD_UPNIVEL3]]),"")</f>
        <v/>
      </c>
      <c r="AJ2104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104" s="1">
        <f>COUNTIFS(Apresentação!$E$23:$E$29,ESTIMATIVA[[#This Row],[CD_UPNIVEL1]])</f>
        <v>0</v>
      </c>
    </row>
    <row r="2105" spans="1:37" x14ac:dyDescent="0.3">
      <c r="A2105">
        <v>30629</v>
      </c>
      <c r="B2105" t="s">
        <v>118</v>
      </c>
      <c r="C2105">
        <v>3</v>
      </c>
      <c r="D2105">
        <v>1</v>
      </c>
      <c r="E2105" t="s">
        <v>264</v>
      </c>
      <c r="F2105" s="85" t="s">
        <v>331</v>
      </c>
      <c r="G2105"/>
      <c r="H2105" t="s">
        <v>294</v>
      </c>
      <c r="I2105" t="s">
        <v>201</v>
      </c>
      <c r="J2105" t="s">
        <v>178</v>
      </c>
      <c r="K2105" s="1">
        <v>38.61</v>
      </c>
      <c r="L2105" s="1">
        <v>0</v>
      </c>
      <c r="M2105" s="1">
        <v>0</v>
      </c>
      <c r="N2105" s="1">
        <v>38.61</v>
      </c>
      <c r="O2105" s="1">
        <v>2857.14</v>
      </c>
      <c r="P2105" s="1">
        <v>0</v>
      </c>
      <c r="Q2105" s="1">
        <v>0</v>
      </c>
      <c r="R2105" s="1">
        <v>2904.14</v>
      </c>
      <c r="S2105" t="s">
        <v>282</v>
      </c>
      <c r="T2105" s="13">
        <v>45795</v>
      </c>
      <c r="U2105" s="1" t="str">
        <f>IF(ESTIMATIVA[[#This Row],[QT_AREA_REAL]]&gt;0,"1- Colhido","2- à Colher")</f>
        <v>1- Colhido</v>
      </c>
      <c r="V2105" s="1" t="str">
        <f>IF(ESTIMATIVA[[#This Row],[QT_AREA_REST1]]&gt;0,"Reestimativa 1",IF(ESTIMATIVA[[#This Row],[QT_AREA_REAL]]=0,"Reestimativa 1","Realizado"))</f>
        <v>Realizado</v>
      </c>
      <c r="W2105" s="1" t="str">
        <f>IF(ESTIMATIVA[[#This Row],[QT_AREA_REST2]]&gt;0,"Reestimativa 2",IF(ESTIMATIVA[[#This Row],[QT_AREA_REAL]]=0,"Reestimativa 2","Realizado"))</f>
        <v>Realizado</v>
      </c>
      <c r="X2105" s="1">
        <f>ESTIMATIVA[[#This Row],[QT_AREA_EST]]</f>
        <v>38.61</v>
      </c>
      <c r="Y2105" s="1">
        <f>IF(ESTIMATIVA[[#This Row],[QT_AREA_REST1]]&gt;0,ESTIMATIVA[[#This Row],[QT_AREA_REST1]],
  IF(ESTIMATIVA[[#This Row],[QT_AREA_REAL]]&gt;0,ESTIMATIVA[[#This Row],[QT_AREA_REAL]],ESTIMATIVA[[#This Row],[QT_AREA_EST]]))</f>
        <v>38.61</v>
      </c>
      <c r="Z2105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38.61</v>
      </c>
      <c r="AA2105" s="1">
        <f>ESTIMATIVA[[#This Row],[QT_CANA_EST]]</f>
        <v>2857.14</v>
      </c>
      <c r="AB2105" s="1">
        <f>IF(ESTIMATIVA[[#This Row],[QT_CANA_REST1]]&gt;0,ESTIMATIVA[[#This Row],[QT_CANA_REST1]],
  IF(ESTIMATIVA[[#This Row],[QT_CANA_REAL]]&gt;0,ESTIMATIVA[[#This Row],[QT_CANA_REAL]],ESTIMATIVA[[#This Row],[QT_CANA_EST]]))</f>
        <v>2904.14</v>
      </c>
      <c r="AC2105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2904.14</v>
      </c>
      <c r="AD2105" s="1">
        <f>IF(ESTIMATIVA[[#This Row],[QT_AREA_REAL]]&gt;0,ESTIMATIVA[[#This Row],[QT_CANA_REAL]],ESTIMATIVA[[#This Row],[QT_CANA_EST]])</f>
        <v>2904.14</v>
      </c>
      <c r="AE2105" s="1">
        <f>IF(ESTIMATIVA[[#This Row],[QT_AREA_REAL]]&gt;0,ESTIMATIVA[[#This Row],[QT_CANA_REAL]],ESTIMATIVA[[#This Row],[QT_CANA_REST1]])</f>
        <v>2904.14</v>
      </c>
      <c r="AF2105" s="1">
        <f>IF(ESTIMATIVA[[#This Row],[QT_AREA_REAL]]&gt;0,ESTIMATIVA[[#This Row],[QT_CANA_REAL]],ESTIMATIVA[[#This Row],[QT_CANA_REST2]])</f>
        <v>2904.14</v>
      </c>
      <c r="AG2105" s="1" t="str">
        <f>IF(COUNTIFS(GEADA!A:A,VALUE(ESTIMATIVA[[#This Row],[CD_UPNIVEL1]]&amp;TEXT(ESTIMATIVA[[#This Row],[CD_UPNIVEL3]],"0000")))&gt;0,"S","N")</f>
        <v>N</v>
      </c>
      <c r="AH2105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105" s="55" t="str">
        <f>IF(ESTIMATIVA[[#This Row],[TP_CULTIVO]]="Irrigado",_xlfn.MAXIFS(IRRIGADO!J:J,IRRIGADO!C:C,ESTIMATIVA[[#This Row],[CD_UPNIVEL1]],IRRIGADO!E:E,ESTIMATIVA[[#This Row],[CD_UPNIVEL3]]),"")</f>
        <v/>
      </c>
      <c r="AJ2105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105" s="1">
        <f>COUNTIFS(Apresentação!$E$23:$E$29,ESTIMATIVA[[#This Row],[CD_UPNIVEL1]])</f>
        <v>0</v>
      </c>
    </row>
    <row r="2106" spans="1:37" x14ac:dyDescent="0.3">
      <c r="A2106">
        <v>30629</v>
      </c>
      <c r="B2106" t="s">
        <v>118</v>
      </c>
      <c r="C2106">
        <v>901</v>
      </c>
      <c r="D2106">
        <v>1</v>
      </c>
      <c r="E2106" t="s">
        <v>264</v>
      </c>
      <c r="F2106" s="85" t="s">
        <v>331</v>
      </c>
      <c r="G2106"/>
      <c r="H2106" t="s">
        <v>294</v>
      </c>
      <c r="I2106" t="s">
        <v>205</v>
      </c>
      <c r="J2106" t="s">
        <v>178</v>
      </c>
      <c r="K2106" s="1">
        <v>8.32</v>
      </c>
      <c r="L2106" s="1">
        <v>8.32</v>
      </c>
      <c r="M2106" s="1">
        <v>0</v>
      </c>
      <c r="N2106" s="1">
        <v>8.32</v>
      </c>
      <c r="O2106" s="1">
        <v>615.67999999999995</v>
      </c>
      <c r="P2106" s="1">
        <v>615.67999999999995</v>
      </c>
      <c r="Q2106" s="1">
        <v>0</v>
      </c>
      <c r="R2106" s="1">
        <v>1191.7</v>
      </c>
      <c r="S2106" t="s">
        <v>282</v>
      </c>
      <c r="T2106" s="13">
        <v>45928</v>
      </c>
      <c r="U2106" s="1" t="str">
        <f>IF(ESTIMATIVA[[#This Row],[QT_AREA_REAL]]&gt;0,"1- Colhido","2- à Colher")</f>
        <v>1- Colhido</v>
      </c>
      <c r="V2106" s="1" t="str">
        <f>IF(ESTIMATIVA[[#This Row],[QT_AREA_REST1]]&gt;0,"Reestimativa 1",IF(ESTIMATIVA[[#This Row],[QT_AREA_REAL]]=0,"Reestimativa 1","Realizado"))</f>
        <v>Reestimativa 1</v>
      </c>
      <c r="W2106" s="1" t="str">
        <f>IF(ESTIMATIVA[[#This Row],[QT_AREA_REST2]]&gt;0,"Reestimativa 2",IF(ESTIMATIVA[[#This Row],[QT_AREA_REAL]]=0,"Reestimativa 2","Realizado"))</f>
        <v>Realizado</v>
      </c>
      <c r="X2106" s="1">
        <f>ESTIMATIVA[[#This Row],[QT_AREA_EST]]</f>
        <v>8.32</v>
      </c>
      <c r="Y2106" s="1">
        <f>IF(ESTIMATIVA[[#This Row],[QT_AREA_REST1]]&gt;0,ESTIMATIVA[[#This Row],[QT_AREA_REST1]],
  IF(ESTIMATIVA[[#This Row],[QT_AREA_REAL]]&gt;0,ESTIMATIVA[[#This Row],[QT_AREA_REAL]],ESTIMATIVA[[#This Row],[QT_AREA_EST]]))</f>
        <v>8.32</v>
      </c>
      <c r="Z2106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8.32</v>
      </c>
      <c r="AA2106" s="1">
        <f>ESTIMATIVA[[#This Row],[QT_CANA_EST]]</f>
        <v>615.67999999999995</v>
      </c>
      <c r="AB2106" s="1">
        <f>IF(ESTIMATIVA[[#This Row],[QT_CANA_REST1]]&gt;0,ESTIMATIVA[[#This Row],[QT_CANA_REST1]],
  IF(ESTIMATIVA[[#This Row],[QT_CANA_REAL]]&gt;0,ESTIMATIVA[[#This Row],[QT_CANA_REAL]],ESTIMATIVA[[#This Row],[QT_CANA_EST]]))</f>
        <v>615.67999999999995</v>
      </c>
      <c r="AC2106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1191.7</v>
      </c>
      <c r="AD2106" s="1">
        <f>IF(ESTIMATIVA[[#This Row],[QT_AREA_REAL]]&gt;0,ESTIMATIVA[[#This Row],[QT_CANA_REAL]],ESTIMATIVA[[#This Row],[QT_CANA_EST]])</f>
        <v>1191.7</v>
      </c>
      <c r="AE2106" s="1">
        <f>IF(ESTIMATIVA[[#This Row],[QT_AREA_REAL]]&gt;0,ESTIMATIVA[[#This Row],[QT_CANA_REAL]],ESTIMATIVA[[#This Row],[QT_CANA_REST1]])</f>
        <v>1191.7</v>
      </c>
      <c r="AF2106" s="1">
        <f>IF(ESTIMATIVA[[#This Row],[QT_AREA_REAL]]&gt;0,ESTIMATIVA[[#This Row],[QT_CANA_REAL]],ESTIMATIVA[[#This Row],[QT_CANA_REST2]])</f>
        <v>1191.7</v>
      </c>
      <c r="AG2106" s="1" t="str">
        <f>IF(COUNTIFS(GEADA!A:A,VALUE(ESTIMATIVA[[#This Row],[CD_UPNIVEL1]]&amp;TEXT(ESTIMATIVA[[#This Row],[CD_UPNIVEL3]],"0000")))&gt;0,"S","N")</f>
        <v>N</v>
      </c>
      <c r="AH2106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106" s="55" t="str">
        <f>IF(ESTIMATIVA[[#This Row],[TP_CULTIVO]]="Irrigado",_xlfn.MAXIFS(IRRIGADO!J:J,IRRIGADO!C:C,ESTIMATIVA[[#This Row],[CD_UPNIVEL1]],IRRIGADO!E:E,ESTIMATIVA[[#This Row],[CD_UPNIVEL3]]),"")</f>
        <v/>
      </c>
      <c r="AJ2106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106" s="1">
        <f>COUNTIFS(Apresentação!$E$23:$E$29,ESTIMATIVA[[#This Row],[CD_UPNIVEL1]])</f>
        <v>0</v>
      </c>
    </row>
    <row r="2107" spans="1:37" x14ac:dyDescent="0.3">
      <c r="A2107">
        <v>30629</v>
      </c>
      <c r="B2107" t="s">
        <v>118</v>
      </c>
      <c r="C2107">
        <v>902</v>
      </c>
      <c r="D2107">
        <v>1</v>
      </c>
      <c r="E2107" t="s">
        <v>264</v>
      </c>
      <c r="F2107" s="85" t="s">
        <v>331</v>
      </c>
      <c r="G2107"/>
      <c r="H2107" t="s">
        <v>294</v>
      </c>
      <c r="I2107" t="s">
        <v>205</v>
      </c>
      <c r="J2107" t="s">
        <v>178</v>
      </c>
      <c r="K2107" s="1">
        <v>1.61</v>
      </c>
      <c r="L2107" s="1">
        <v>1.61</v>
      </c>
      <c r="M2107" s="1">
        <v>0</v>
      </c>
      <c r="N2107" s="1">
        <v>1.61</v>
      </c>
      <c r="O2107" s="1">
        <v>119.14</v>
      </c>
      <c r="P2107" s="1">
        <v>119.14</v>
      </c>
      <c r="Q2107" s="1">
        <v>0</v>
      </c>
      <c r="R2107" s="1">
        <v>230.24</v>
      </c>
      <c r="S2107" t="s">
        <v>282</v>
      </c>
      <c r="T2107" s="13">
        <v>45928</v>
      </c>
      <c r="U2107" s="1" t="str">
        <f>IF(ESTIMATIVA[[#This Row],[QT_AREA_REAL]]&gt;0,"1- Colhido","2- à Colher")</f>
        <v>1- Colhido</v>
      </c>
      <c r="V2107" s="1" t="str">
        <f>IF(ESTIMATIVA[[#This Row],[QT_AREA_REST1]]&gt;0,"Reestimativa 1",IF(ESTIMATIVA[[#This Row],[QT_AREA_REAL]]=0,"Reestimativa 1","Realizado"))</f>
        <v>Reestimativa 1</v>
      </c>
      <c r="W2107" s="1" t="str">
        <f>IF(ESTIMATIVA[[#This Row],[QT_AREA_REST2]]&gt;0,"Reestimativa 2",IF(ESTIMATIVA[[#This Row],[QT_AREA_REAL]]=0,"Reestimativa 2","Realizado"))</f>
        <v>Realizado</v>
      </c>
      <c r="X2107" s="1">
        <f>ESTIMATIVA[[#This Row],[QT_AREA_EST]]</f>
        <v>1.61</v>
      </c>
      <c r="Y2107" s="1">
        <f>IF(ESTIMATIVA[[#This Row],[QT_AREA_REST1]]&gt;0,ESTIMATIVA[[#This Row],[QT_AREA_REST1]],
  IF(ESTIMATIVA[[#This Row],[QT_AREA_REAL]]&gt;0,ESTIMATIVA[[#This Row],[QT_AREA_REAL]],ESTIMATIVA[[#This Row],[QT_AREA_EST]]))</f>
        <v>1.61</v>
      </c>
      <c r="Z2107" s="1">
        <f>IF(ESTIMATIVA[[#This Row],[QT_AREA_REST2]]&gt;0,ESTIMATIVA[[#This Row],[QT_AREA_REST2]],
  IF(ESTIMATIVA[[#This Row],[QT_AREA_REAL]]&gt;0,ESTIMATIVA[[#This Row],[QT_AREA_REAL]],
  IF(ESTIMATIVA[[#This Row],[QT_AREA_REST1]]&gt;0,ESTIMATIVA[[#This Row],[QT_AREA_REST1]],ESTIMATIVA[[#This Row],[QT_AREA_EST]])))</f>
        <v>1.61</v>
      </c>
      <c r="AA2107" s="1">
        <f>ESTIMATIVA[[#This Row],[QT_CANA_EST]]</f>
        <v>119.14</v>
      </c>
      <c r="AB2107" s="1">
        <f>IF(ESTIMATIVA[[#This Row],[QT_CANA_REST1]]&gt;0,ESTIMATIVA[[#This Row],[QT_CANA_REST1]],
  IF(ESTIMATIVA[[#This Row],[QT_CANA_REAL]]&gt;0,ESTIMATIVA[[#This Row],[QT_CANA_REAL]],ESTIMATIVA[[#This Row],[QT_CANA_EST]]))</f>
        <v>119.14</v>
      </c>
      <c r="AC2107" s="1">
        <f>IF(ESTIMATIVA[[#This Row],[QT_CANA_REST2]]&gt;0,ESTIMATIVA[[#This Row],[QT_CANA_REST2]],
  IF(ESTIMATIVA[[#This Row],[QT_CANA_REAL]]&gt;0,ESTIMATIVA[[#This Row],[QT_CANA_REAL]],
  IF(ESTIMATIVA[[#This Row],[QT_CANA_REST1]]&gt;0,ESTIMATIVA[[#This Row],[QT_CANA_REST1]],ESTIMATIVA[[#This Row],[QT_CANA_EST]])))</f>
        <v>230.24</v>
      </c>
      <c r="AD2107" s="1">
        <f>IF(ESTIMATIVA[[#This Row],[QT_AREA_REAL]]&gt;0,ESTIMATIVA[[#This Row],[QT_CANA_REAL]],ESTIMATIVA[[#This Row],[QT_CANA_EST]])</f>
        <v>230.24</v>
      </c>
      <c r="AE2107" s="1">
        <f>IF(ESTIMATIVA[[#This Row],[QT_AREA_REAL]]&gt;0,ESTIMATIVA[[#This Row],[QT_CANA_REAL]],ESTIMATIVA[[#This Row],[QT_CANA_REST1]])</f>
        <v>230.24</v>
      </c>
      <c r="AF2107" s="1">
        <f>IF(ESTIMATIVA[[#This Row],[QT_AREA_REAL]]&gt;0,ESTIMATIVA[[#This Row],[QT_CANA_REAL]],ESTIMATIVA[[#This Row],[QT_CANA_REST2]])</f>
        <v>230.24</v>
      </c>
      <c r="AG2107" s="1" t="str">
        <f>IF(COUNTIFS(GEADA!A:A,VALUE(ESTIMATIVA[[#This Row],[CD_UPNIVEL1]]&amp;TEXT(ESTIMATIVA[[#This Row],[CD_UPNIVEL3]],"0000")))&gt;0,"S","N")</f>
        <v>N</v>
      </c>
      <c r="AH2107" s="1" t="str">
        <f>IF(COUNTIFS(IRRIGADO!C:C,ESTIMATIVA[[#This Row],[CD_UPNIVEL1]],IRRIGADO!E:E,ESTIMATIVA[[#This Row],[CD_UPNIVEL3]])&gt;0,"Irrigado",IF(ESTIMATIVA[[#This Row],[DE_SIST_CULT]]="Mineral","Sequeiro",ESTIMATIVA[[#This Row],[DE_SIST_CULT]]))</f>
        <v>Sequeiro</v>
      </c>
      <c r="AI2107" s="55" t="str">
        <f>IF(ESTIMATIVA[[#This Row],[TP_CULTIVO]]="Irrigado",_xlfn.MAXIFS(IRRIGADO!J:J,IRRIGADO!C:C,ESTIMATIVA[[#This Row],[CD_UPNIVEL1]],IRRIGADO!E:E,ESTIMATIVA[[#This Row],[CD_UPNIVEL3]]),"")</f>
        <v/>
      </c>
      <c r="AJ2107" s="1">
        <f>IF(ESTIMATIVA[[#This Row],[TP_CULTIVO]]&lt;&gt;"Irrigado",0,AVERAGEIFS(IRRIGADO!G:G,IRRIGADO!C:C,ESTIMATIVA[[#This Row],[CD_UPNIVEL1]],IRRIGADO!E:E,ESTIMATIVA[[#This Row],[CD_UPNIVEL3]])*ESTIMATIVA[[#This Row],[QT_AREA_REAL]])</f>
        <v>0</v>
      </c>
      <c r="AK2107" s="1">
        <f>COUNTIFS(Apresentação!$E$23:$E$29,ESTIMATIVA[[#This Row],[CD_UPNIVEL1]])</f>
        <v>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5498-9189-410A-97BC-507FA63C416A}">
  <dimension ref="A6:O30"/>
  <sheetViews>
    <sheetView showGridLines="0" zoomScale="90" zoomScaleNormal="90" workbookViewId="0">
      <pane xSplit="6" ySplit="7" topLeftCell="G8" activePane="bottomRight" state="frozen"/>
      <selection pane="topRight" activeCell="G1" sqref="G1"/>
      <selection pane="bottomLeft" activeCell="A3" sqref="A3"/>
      <selection pane="bottomRight" activeCell="G30" sqref="G30"/>
    </sheetView>
  </sheetViews>
  <sheetFormatPr defaultRowHeight="14.4" outlineLevelCol="1" x14ac:dyDescent="0.3"/>
  <cols>
    <col min="1" max="1" width="10.33203125" customWidth="1"/>
    <col min="2" max="2" width="11.44140625" bestFit="1" customWidth="1"/>
    <col min="3" max="3" width="8.88671875" customWidth="1" outlineLevel="1"/>
    <col min="4" max="4" width="23.109375" customWidth="1" outlineLevel="1"/>
    <col min="5" max="5" width="7.33203125" customWidth="1" outlineLevel="1"/>
    <col min="6" max="6" width="12.33203125" bestFit="1" customWidth="1" outlineLevel="1"/>
    <col min="7" max="7" width="10.109375" bestFit="1" customWidth="1"/>
    <col min="8" max="9" width="12.21875" bestFit="1" customWidth="1"/>
    <col min="10" max="10" width="13.109375" bestFit="1" customWidth="1"/>
    <col min="11" max="11" width="13.44140625" bestFit="1" customWidth="1"/>
    <col min="12" max="12" width="9.21875" bestFit="1" customWidth="1"/>
    <col min="13" max="13" width="10.44140625" bestFit="1" customWidth="1"/>
    <col min="14" max="14" width="13.109375" bestFit="1" customWidth="1"/>
    <col min="15" max="15" width="11" bestFit="1" customWidth="1"/>
    <col min="16" max="16" width="14.88671875" bestFit="1" customWidth="1"/>
  </cols>
  <sheetData>
    <row r="6" spans="1:15" x14ac:dyDescent="0.3">
      <c r="G6" s="2" t="s">
        <v>168</v>
      </c>
    </row>
    <row r="7" spans="1:15" x14ac:dyDescent="0.3">
      <c r="A7" s="2" t="s">
        <v>10</v>
      </c>
      <c r="B7" s="2" t="s">
        <v>169</v>
      </c>
      <c r="C7" s="2" t="s">
        <v>0</v>
      </c>
      <c r="D7" s="2" t="s">
        <v>1</v>
      </c>
      <c r="E7" s="2" t="s">
        <v>192</v>
      </c>
      <c r="F7" s="2" t="s">
        <v>193</v>
      </c>
      <c r="G7" t="s">
        <v>247</v>
      </c>
      <c r="H7" s="4" t="s">
        <v>240</v>
      </c>
      <c r="I7" t="s">
        <v>181</v>
      </c>
      <c r="J7" t="s">
        <v>245</v>
      </c>
      <c r="K7" s="5" t="s">
        <v>242</v>
      </c>
      <c r="L7" t="s">
        <v>241</v>
      </c>
      <c r="M7" t="s">
        <v>120</v>
      </c>
      <c r="N7" t="s">
        <v>243</v>
      </c>
      <c r="O7" t="s">
        <v>244</v>
      </c>
    </row>
    <row r="8" spans="1:15" x14ac:dyDescent="0.3">
      <c r="A8" t="s">
        <v>280</v>
      </c>
      <c r="G8" s="1">
        <v>3198.0800000000027</v>
      </c>
      <c r="H8" s="6">
        <v>247037.43000000002</v>
      </c>
      <c r="I8" s="1">
        <v>262408.0799999999</v>
      </c>
      <c r="J8" s="1">
        <v>15370.649999999878</v>
      </c>
      <c r="K8" s="7">
        <v>262408.0799999999</v>
      </c>
      <c r="L8" s="1">
        <v>77.245544201520858</v>
      </c>
      <c r="M8" s="1">
        <v>82.051756053632076</v>
      </c>
      <c r="N8" s="1">
        <v>4.8062118521112183</v>
      </c>
      <c r="O8" s="3">
        <v>6.2219923515233526E-2</v>
      </c>
    </row>
    <row r="9" spans="1:15" x14ac:dyDescent="0.3">
      <c r="A9" t="s">
        <v>280</v>
      </c>
      <c r="B9" t="s">
        <v>170</v>
      </c>
      <c r="G9" s="1">
        <v>3198.0800000000027</v>
      </c>
      <c r="H9" s="6">
        <v>247037.43000000002</v>
      </c>
      <c r="I9" s="1">
        <v>262408.0799999999</v>
      </c>
      <c r="J9" s="1">
        <v>15370.649999999878</v>
      </c>
      <c r="K9" s="7">
        <v>262408.0799999999</v>
      </c>
      <c r="L9" s="1">
        <v>77.245544201520858</v>
      </c>
      <c r="M9" s="1">
        <v>82.051756053632076</v>
      </c>
      <c r="N9" s="1">
        <v>4.8062118521112183</v>
      </c>
      <c r="O9" s="3">
        <v>6.2219923515233526E-2</v>
      </c>
    </row>
    <row r="10" spans="1:15" x14ac:dyDescent="0.3">
      <c r="A10" t="s">
        <v>280</v>
      </c>
      <c r="B10" t="s">
        <v>171</v>
      </c>
      <c r="G10" s="1">
        <v>0</v>
      </c>
      <c r="H10" s="6">
        <v>0</v>
      </c>
      <c r="I10" s="1">
        <v>0</v>
      </c>
      <c r="J10" s="1">
        <v>0</v>
      </c>
      <c r="K10" s="7">
        <v>0</v>
      </c>
      <c r="L10" s="1">
        <v>0</v>
      </c>
      <c r="M10" s="1">
        <v>0</v>
      </c>
      <c r="N10" s="1">
        <v>0</v>
      </c>
      <c r="O10" s="3">
        <v>0</v>
      </c>
    </row>
    <row r="11" spans="1:15" x14ac:dyDescent="0.3">
      <c r="A11" t="s">
        <v>280</v>
      </c>
      <c r="B11" t="s">
        <v>171</v>
      </c>
      <c r="C11">
        <v>30002</v>
      </c>
      <c r="D11" t="s">
        <v>107</v>
      </c>
      <c r="G11" s="1">
        <v>0</v>
      </c>
      <c r="H11" s="6">
        <v>0</v>
      </c>
      <c r="I11" s="1">
        <v>0</v>
      </c>
      <c r="J11" s="1">
        <v>0</v>
      </c>
      <c r="K11" s="7">
        <v>0</v>
      </c>
      <c r="L11" s="1">
        <v>0</v>
      </c>
      <c r="M11" s="1">
        <v>0</v>
      </c>
      <c r="N11" s="1">
        <v>0</v>
      </c>
      <c r="O11" s="3">
        <v>0</v>
      </c>
    </row>
    <row r="12" spans="1:15" x14ac:dyDescent="0.3">
      <c r="A12" t="s">
        <v>280</v>
      </c>
      <c r="B12" t="s">
        <v>171</v>
      </c>
      <c r="C12">
        <v>30473</v>
      </c>
      <c r="D12" t="s">
        <v>112</v>
      </c>
      <c r="G12" s="1">
        <v>0</v>
      </c>
      <c r="H12" s="6">
        <v>0</v>
      </c>
      <c r="I12" s="1"/>
      <c r="J12" s="1">
        <v>0</v>
      </c>
      <c r="K12" s="7">
        <v>0</v>
      </c>
      <c r="L12" s="1">
        <v>0</v>
      </c>
      <c r="M12" s="1">
        <v>0</v>
      </c>
      <c r="N12" s="1">
        <v>0</v>
      </c>
      <c r="O12" s="3">
        <v>0</v>
      </c>
    </row>
    <row r="13" spans="1:15" x14ac:dyDescent="0.3">
      <c r="A13" t="s">
        <v>282</v>
      </c>
      <c r="G13" s="1">
        <v>2343.5000000000005</v>
      </c>
      <c r="H13" s="6">
        <v>176878.77</v>
      </c>
      <c r="I13" s="1">
        <v>192812.77</v>
      </c>
      <c r="J13" s="1">
        <v>15934</v>
      </c>
      <c r="K13" s="7">
        <v>192812.77</v>
      </c>
      <c r="L13" s="1">
        <v>75.476326008107506</v>
      </c>
      <c r="M13" s="1">
        <v>82.275557926178777</v>
      </c>
      <c r="N13" s="1">
        <v>6.7992319180712713</v>
      </c>
      <c r="O13" s="3">
        <v>9.0084298980595751E-2</v>
      </c>
    </row>
    <row r="14" spans="1:15" x14ac:dyDescent="0.3">
      <c r="A14" t="s">
        <v>282</v>
      </c>
      <c r="B14" t="s">
        <v>170</v>
      </c>
      <c r="G14" s="1">
        <v>2343.5000000000005</v>
      </c>
      <c r="H14" s="6">
        <v>176878.77</v>
      </c>
      <c r="I14" s="1">
        <v>192812.77</v>
      </c>
      <c r="J14" s="1">
        <v>15934</v>
      </c>
      <c r="K14" s="7">
        <v>192812.77</v>
      </c>
      <c r="L14" s="1">
        <v>75.476326008107506</v>
      </c>
      <c r="M14" s="1">
        <v>82.275557926178777</v>
      </c>
      <c r="N14" s="1">
        <v>6.7992319180712713</v>
      </c>
      <c r="O14" s="3">
        <v>9.0084298980595751E-2</v>
      </c>
    </row>
    <row r="15" spans="1:15" x14ac:dyDescent="0.3">
      <c r="A15" t="s">
        <v>282</v>
      </c>
      <c r="B15" t="s">
        <v>171</v>
      </c>
      <c r="G15" s="1">
        <v>0</v>
      </c>
      <c r="H15" s="6">
        <v>0</v>
      </c>
      <c r="I15" s="1"/>
      <c r="J15" s="1">
        <v>0</v>
      </c>
      <c r="K15" s="7">
        <v>0</v>
      </c>
      <c r="L15" s="1">
        <v>0</v>
      </c>
      <c r="M15" s="1">
        <v>0</v>
      </c>
      <c r="N15" s="1">
        <v>0</v>
      </c>
      <c r="O15" s="3">
        <v>0</v>
      </c>
    </row>
    <row r="16" spans="1:15" x14ac:dyDescent="0.3">
      <c r="A16" t="s">
        <v>282</v>
      </c>
      <c r="B16" t="s">
        <v>171</v>
      </c>
      <c r="C16">
        <v>30520</v>
      </c>
      <c r="D16" t="s">
        <v>114</v>
      </c>
      <c r="G16" s="1">
        <v>0</v>
      </c>
      <c r="H16" s="6">
        <v>0</v>
      </c>
      <c r="I16" s="1"/>
      <c r="J16" s="1">
        <v>0</v>
      </c>
      <c r="K16" s="7">
        <v>0</v>
      </c>
      <c r="L16" s="1">
        <v>0</v>
      </c>
      <c r="M16" s="1">
        <v>0</v>
      </c>
      <c r="N16" s="1">
        <v>0</v>
      </c>
      <c r="O16" s="3">
        <v>0</v>
      </c>
    </row>
    <row r="17" spans="1:15" x14ac:dyDescent="0.3">
      <c r="A17" t="s">
        <v>282</v>
      </c>
      <c r="B17" t="s">
        <v>171</v>
      </c>
      <c r="C17">
        <v>30527</v>
      </c>
      <c r="D17" t="s">
        <v>166</v>
      </c>
      <c r="G17" s="1">
        <v>0</v>
      </c>
      <c r="H17" s="6">
        <v>0</v>
      </c>
      <c r="I17" s="1"/>
      <c r="J17" s="1">
        <v>0</v>
      </c>
      <c r="K17" s="7">
        <v>0</v>
      </c>
      <c r="L17" s="1">
        <v>0</v>
      </c>
      <c r="M17" s="1">
        <v>0</v>
      </c>
      <c r="N17" s="1">
        <v>0</v>
      </c>
      <c r="O17" s="3">
        <v>0</v>
      </c>
    </row>
    <row r="18" spans="1:15" x14ac:dyDescent="0.3">
      <c r="A18" t="s">
        <v>12</v>
      </c>
      <c r="G18" s="1">
        <v>31338.050000000014</v>
      </c>
      <c r="H18" s="6">
        <v>2380168.7099999995</v>
      </c>
      <c r="I18" s="1">
        <v>2305284.56</v>
      </c>
      <c r="J18" s="1">
        <v>-65397.509999999311</v>
      </c>
      <c r="K18" s="7">
        <v>2314771.2000000002</v>
      </c>
      <c r="L18" s="1">
        <v>75.951398060823777</v>
      </c>
      <c r="M18" s="1">
        <v>73.864266732116292</v>
      </c>
      <c r="N18" s="1">
        <v>-2.0871313287074855</v>
      </c>
      <c r="O18" s="3">
        <v>-2.7479827652890056E-2</v>
      </c>
    </row>
    <row r="19" spans="1:15" x14ac:dyDescent="0.3">
      <c r="A19" t="s">
        <v>12</v>
      </c>
      <c r="B19" t="s">
        <v>170</v>
      </c>
      <c r="G19" s="1">
        <v>31209.740000000013</v>
      </c>
      <c r="H19" s="6">
        <v>2370682.0699999994</v>
      </c>
      <c r="I19" s="1">
        <v>2305284.56</v>
      </c>
      <c r="J19" s="1">
        <v>-65397.509999999311</v>
      </c>
      <c r="K19" s="7">
        <v>2305284.56</v>
      </c>
      <c r="L19" s="1">
        <v>75.959686623470702</v>
      </c>
      <c r="M19" s="1">
        <v>73.864266732116292</v>
      </c>
      <c r="N19" s="1">
        <v>-2.0954198913544104</v>
      </c>
      <c r="O19" s="3">
        <v>-2.7585947026629108E-2</v>
      </c>
    </row>
    <row r="20" spans="1:15" x14ac:dyDescent="0.3">
      <c r="A20" t="s">
        <v>12</v>
      </c>
      <c r="B20" t="s">
        <v>171</v>
      </c>
      <c r="G20" s="1">
        <v>128.31</v>
      </c>
      <c r="H20" s="6">
        <v>9486.64</v>
      </c>
      <c r="I20" s="1">
        <v>0</v>
      </c>
      <c r="J20" s="1">
        <v>0</v>
      </c>
      <c r="K20" s="7">
        <v>9486.64</v>
      </c>
      <c r="L20" s="1">
        <v>73.935312914036317</v>
      </c>
      <c r="M20" s="1">
        <v>0</v>
      </c>
      <c r="N20" s="1">
        <v>0</v>
      </c>
      <c r="O20" s="3">
        <v>0</v>
      </c>
    </row>
    <row r="21" spans="1:15" x14ac:dyDescent="0.3">
      <c r="A21" t="s">
        <v>12</v>
      </c>
      <c r="B21" t="s">
        <v>171</v>
      </c>
      <c r="C21">
        <v>20319</v>
      </c>
      <c r="D21" t="s">
        <v>125</v>
      </c>
      <c r="G21" s="1">
        <v>9.9</v>
      </c>
      <c r="H21" s="6">
        <v>792</v>
      </c>
      <c r="I21" s="1">
        <v>0</v>
      </c>
      <c r="J21" s="1">
        <v>0</v>
      </c>
      <c r="K21" s="7">
        <v>792</v>
      </c>
      <c r="L21" s="1">
        <v>80</v>
      </c>
      <c r="M21" s="1">
        <v>0</v>
      </c>
      <c r="N21" s="1">
        <v>0</v>
      </c>
      <c r="O21" s="3">
        <v>0</v>
      </c>
    </row>
    <row r="22" spans="1:15" x14ac:dyDescent="0.3">
      <c r="A22" t="s">
        <v>12</v>
      </c>
      <c r="B22" t="s">
        <v>171</v>
      </c>
      <c r="C22">
        <v>20426</v>
      </c>
      <c r="D22" t="s">
        <v>64</v>
      </c>
      <c r="G22" s="1">
        <v>37.61</v>
      </c>
      <c r="H22" s="6">
        <v>3084.02</v>
      </c>
      <c r="I22" s="1">
        <v>0</v>
      </c>
      <c r="J22" s="1">
        <v>0</v>
      </c>
      <c r="K22" s="7">
        <v>3084.02</v>
      </c>
      <c r="L22" s="1">
        <v>82</v>
      </c>
      <c r="M22" s="1">
        <v>0</v>
      </c>
      <c r="N22" s="1">
        <v>0</v>
      </c>
      <c r="O22" s="3">
        <v>0</v>
      </c>
    </row>
    <row r="23" spans="1:15" x14ac:dyDescent="0.3">
      <c r="A23" t="s">
        <v>12</v>
      </c>
      <c r="B23" t="s">
        <v>171</v>
      </c>
      <c r="C23">
        <v>20433</v>
      </c>
      <c r="D23" t="s">
        <v>47</v>
      </c>
      <c r="G23" s="1">
        <v>0</v>
      </c>
      <c r="H23" s="6">
        <v>0</v>
      </c>
      <c r="I23" s="1"/>
      <c r="J23" s="1">
        <v>0</v>
      </c>
      <c r="K23" s="7">
        <v>0</v>
      </c>
      <c r="L23" s="1">
        <v>0</v>
      </c>
      <c r="M23" s="1">
        <v>0</v>
      </c>
      <c r="N23" s="1">
        <v>0</v>
      </c>
      <c r="O23" s="3">
        <v>0</v>
      </c>
    </row>
    <row r="24" spans="1:15" x14ac:dyDescent="0.3">
      <c r="A24" t="s">
        <v>12</v>
      </c>
      <c r="B24" t="s">
        <v>171</v>
      </c>
      <c r="C24">
        <v>20442</v>
      </c>
      <c r="D24" t="s">
        <v>50</v>
      </c>
      <c r="G24" s="1">
        <v>46.67</v>
      </c>
      <c r="H24" s="6">
        <v>2664.2799999999997</v>
      </c>
      <c r="I24" s="1">
        <v>0</v>
      </c>
      <c r="J24" s="1">
        <v>0</v>
      </c>
      <c r="K24" s="7">
        <v>2664.2799999999997</v>
      </c>
      <c r="L24" s="1">
        <v>57.087636597385895</v>
      </c>
      <c r="M24" s="1">
        <v>0</v>
      </c>
      <c r="N24" s="1">
        <v>0</v>
      </c>
      <c r="O24" s="3">
        <v>0</v>
      </c>
    </row>
    <row r="25" spans="1:15" x14ac:dyDescent="0.3">
      <c r="A25" t="s">
        <v>12</v>
      </c>
      <c r="B25" t="s">
        <v>171</v>
      </c>
      <c r="C25">
        <v>20482</v>
      </c>
      <c r="D25" t="s">
        <v>60</v>
      </c>
      <c r="G25" s="1">
        <v>0</v>
      </c>
      <c r="H25" s="6">
        <v>0</v>
      </c>
      <c r="I25" s="1"/>
      <c r="J25" s="1">
        <v>0</v>
      </c>
      <c r="K25" s="7">
        <v>0</v>
      </c>
      <c r="L25" s="1">
        <v>0</v>
      </c>
      <c r="M25" s="1">
        <v>0</v>
      </c>
      <c r="N25" s="1">
        <v>0</v>
      </c>
      <c r="O25" s="3">
        <v>0</v>
      </c>
    </row>
    <row r="26" spans="1:15" x14ac:dyDescent="0.3">
      <c r="A26" t="s">
        <v>12</v>
      </c>
      <c r="B26" t="s">
        <v>171</v>
      </c>
      <c r="C26">
        <v>20506</v>
      </c>
      <c r="D26" t="s">
        <v>64</v>
      </c>
      <c r="G26" s="1">
        <v>6.47</v>
      </c>
      <c r="H26" s="6">
        <v>595.24</v>
      </c>
      <c r="I26" s="1">
        <v>0</v>
      </c>
      <c r="J26" s="1">
        <v>0</v>
      </c>
      <c r="K26" s="7">
        <v>595.24</v>
      </c>
      <c r="L26" s="1">
        <v>92</v>
      </c>
      <c r="M26" s="1">
        <v>0</v>
      </c>
      <c r="N26" s="1">
        <v>0</v>
      </c>
      <c r="O26" s="3">
        <v>0</v>
      </c>
    </row>
    <row r="27" spans="1:15" x14ac:dyDescent="0.3">
      <c r="A27" t="s">
        <v>12</v>
      </c>
      <c r="B27" t="s">
        <v>171</v>
      </c>
      <c r="C27">
        <v>20578</v>
      </c>
      <c r="D27" t="s">
        <v>153</v>
      </c>
      <c r="G27" s="1">
        <v>27.66</v>
      </c>
      <c r="H27" s="6">
        <v>2351.1</v>
      </c>
      <c r="I27" s="1">
        <v>0</v>
      </c>
      <c r="J27" s="1">
        <v>0</v>
      </c>
      <c r="K27" s="7">
        <v>2351.1</v>
      </c>
      <c r="L27" s="1">
        <v>85</v>
      </c>
      <c r="M27" s="1">
        <v>0</v>
      </c>
      <c r="N27" s="1">
        <v>0</v>
      </c>
      <c r="O27" s="3">
        <v>0</v>
      </c>
    </row>
    <row r="28" spans="1:15" x14ac:dyDescent="0.3">
      <c r="A28" t="s">
        <v>12</v>
      </c>
      <c r="B28" t="s">
        <v>171</v>
      </c>
      <c r="C28">
        <v>20620</v>
      </c>
      <c r="D28" t="s">
        <v>51</v>
      </c>
      <c r="G28" s="1">
        <v>0</v>
      </c>
      <c r="H28" s="6">
        <v>0</v>
      </c>
      <c r="I28" s="1"/>
      <c r="J28" s="1">
        <v>0</v>
      </c>
      <c r="K28" s="7">
        <v>0</v>
      </c>
      <c r="L28" s="1">
        <v>0</v>
      </c>
      <c r="M28" s="1">
        <v>0</v>
      </c>
      <c r="N28" s="1">
        <v>0</v>
      </c>
      <c r="O28" s="3">
        <v>0</v>
      </c>
    </row>
    <row r="29" spans="1:15" x14ac:dyDescent="0.3">
      <c r="A29" t="s">
        <v>12</v>
      </c>
      <c r="B29" t="s">
        <v>171</v>
      </c>
      <c r="C29">
        <v>20626</v>
      </c>
      <c r="D29" t="s">
        <v>22</v>
      </c>
      <c r="G29" s="1">
        <v>0</v>
      </c>
      <c r="H29" s="6">
        <v>0</v>
      </c>
      <c r="I29" s="1"/>
      <c r="J29" s="1">
        <v>0</v>
      </c>
      <c r="K29" s="7">
        <v>0</v>
      </c>
      <c r="L29" s="1">
        <v>0</v>
      </c>
      <c r="M29" s="1">
        <v>0</v>
      </c>
      <c r="N29" s="1">
        <v>0</v>
      </c>
      <c r="O29" s="3">
        <v>0</v>
      </c>
    </row>
    <row r="30" spans="1:15" x14ac:dyDescent="0.3">
      <c r="A30" t="s">
        <v>119</v>
      </c>
      <c r="G30" s="1">
        <v>36879.630000000019</v>
      </c>
      <c r="H30" s="6">
        <v>2804084.9099999997</v>
      </c>
      <c r="I30" s="1">
        <v>2760505.41</v>
      </c>
      <c r="J30" s="1">
        <v>-34092.859999998938</v>
      </c>
      <c r="K30" s="7">
        <v>2769992.0500000003</v>
      </c>
      <c r="L30" s="1">
        <v>76.033433903756645</v>
      </c>
      <c r="M30" s="1">
        <v>75.113095529629987</v>
      </c>
      <c r="N30" s="1">
        <v>-0.92033837412665775</v>
      </c>
      <c r="O30" s="3">
        <v>-1.2104390488158472E-2</v>
      </c>
    </row>
  </sheetData>
  <conditionalFormatting pivot="1" sqref="O8:O30">
    <cfRule type="cellIs" dxfId="32" priority="1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F64C-073E-42E7-8F64-3CAC6990A9B0}">
  <dimension ref="A6:P39"/>
  <sheetViews>
    <sheetView showGridLines="0" zoomScale="90" zoomScaleNormal="90" workbookViewId="0">
      <pane xSplit="7" ySplit="7" topLeftCell="H8" activePane="bottomRight" state="frozen"/>
      <selection pane="topRight" activeCell="H1" sqref="H1"/>
      <selection pane="bottomLeft" activeCell="A3" sqref="A3"/>
      <selection pane="bottomRight" activeCell="H39" sqref="H39"/>
    </sheetView>
  </sheetViews>
  <sheetFormatPr defaultRowHeight="14.4" outlineLevelCol="1" x14ac:dyDescent="0.3"/>
  <cols>
    <col min="1" max="1" width="10.5546875" customWidth="1"/>
    <col min="2" max="2" width="15.44140625" bestFit="1" customWidth="1"/>
    <col min="3" max="3" width="11.77734375" bestFit="1" customWidth="1"/>
    <col min="4" max="4" width="8.77734375" customWidth="1" outlineLevel="1"/>
    <col min="5" max="5" width="21.77734375" customWidth="1" outlineLevel="1"/>
    <col min="6" max="6" width="7.21875" customWidth="1" outlineLevel="1"/>
    <col min="7" max="7" width="13.44140625" bestFit="1" customWidth="1" outlineLevel="1"/>
    <col min="8" max="8" width="12.44140625" bestFit="1" customWidth="1"/>
    <col min="9" max="10" width="12.21875" bestFit="1" customWidth="1"/>
    <col min="11" max="11" width="15.5546875" bestFit="1" customWidth="1"/>
    <col min="12" max="12" width="15.88671875" bestFit="1" customWidth="1"/>
    <col min="13" max="13" width="10.33203125" bestFit="1" customWidth="1"/>
    <col min="14" max="14" width="10.44140625" bestFit="1" customWidth="1"/>
    <col min="15" max="15" width="15.5546875" bestFit="1" customWidth="1"/>
    <col min="16" max="16" width="13.33203125" bestFit="1" customWidth="1"/>
  </cols>
  <sheetData>
    <row r="6" spans="1:16" x14ac:dyDescent="0.3">
      <c r="H6" s="2" t="s">
        <v>168</v>
      </c>
    </row>
    <row r="7" spans="1:16" x14ac:dyDescent="0.3">
      <c r="A7" s="2" t="s">
        <v>10</v>
      </c>
      <c r="B7" s="2" t="s">
        <v>239</v>
      </c>
      <c r="C7" s="2" t="s">
        <v>169</v>
      </c>
      <c r="D7" s="2" t="s">
        <v>0</v>
      </c>
      <c r="E7" s="2" t="s">
        <v>1</v>
      </c>
      <c r="F7" s="2" t="s">
        <v>192</v>
      </c>
      <c r="G7" s="2" t="s">
        <v>193</v>
      </c>
      <c r="H7" t="s">
        <v>248</v>
      </c>
      <c r="I7" s="4" t="s">
        <v>246</v>
      </c>
      <c r="J7" t="s">
        <v>181</v>
      </c>
      <c r="K7" t="s">
        <v>250</v>
      </c>
      <c r="L7" s="5" t="s">
        <v>251</v>
      </c>
      <c r="M7" t="s">
        <v>252</v>
      </c>
      <c r="N7" t="s">
        <v>120</v>
      </c>
      <c r="O7" t="s">
        <v>253</v>
      </c>
      <c r="P7" t="s">
        <v>254</v>
      </c>
    </row>
    <row r="8" spans="1:16" x14ac:dyDescent="0.3">
      <c r="A8" t="s">
        <v>280</v>
      </c>
      <c r="H8" s="1">
        <v>3198.08</v>
      </c>
      <c r="I8" s="6">
        <v>259894.74</v>
      </c>
      <c r="J8" s="1">
        <v>262408.08000000007</v>
      </c>
      <c r="K8" s="1">
        <v>2513.3400000000547</v>
      </c>
      <c r="L8" s="7">
        <v>262408.08000000007</v>
      </c>
      <c r="M8" s="1">
        <v>81.265865769461641</v>
      </c>
      <c r="N8" s="1">
        <v>82.051756053632161</v>
      </c>
      <c r="O8" s="1">
        <v>1.4331849109465509</v>
      </c>
      <c r="P8" s="3">
        <v>1.7635755152258747E-2</v>
      </c>
    </row>
    <row r="9" spans="1:16" x14ac:dyDescent="0.3">
      <c r="A9" t="s">
        <v>280</v>
      </c>
      <c r="B9" t="s">
        <v>182</v>
      </c>
      <c r="H9" s="1">
        <v>1317.9299999999998</v>
      </c>
      <c r="I9" s="6">
        <v>110467.23000000004</v>
      </c>
      <c r="J9" s="1">
        <v>110467.23000000004</v>
      </c>
      <c r="K9" s="1">
        <v>0</v>
      </c>
      <c r="L9" s="7">
        <v>110467.23000000004</v>
      </c>
      <c r="M9" s="1">
        <v>83.818738476246878</v>
      </c>
      <c r="N9" s="1">
        <v>83.818738476246878</v>
      </c>
      <c r="O9" s="1">
        <v>0</v>
      </c>
      <c r="P9" s="3">
        <v>0</v>
      </c>
    </row>
    <row r="10" spans="1:16" x14ac:dyDescent="0.3">
      <c r="A10" t="s">
        <v>280</v>
      </c>
      <c r="B10" t="s">
        <v>182</v>
      </c>
      <c r="C10" t="s">
        <v>170</v>
      </c>
      <c r="H10" s="1">
        <v>1317.9299999999998</v>
      </c>
      <c r="I10" s="6">
        <v>110467.23000000004</v>
      </c>
      <c r="J10" s="1">
        <v>110467.23000000004</v>
      </c>
      <c r="K10" s="1">
        <v>0</v>
      </c>
      <c r="L10" s="7">
        <v>110467.23000000004</v>
      </c>
      <c r="M10" s="1">
        <v>83.818738476246878</v>
      </c>
      <c r="N10" s="1">
        <v>83.818738476246878</v>
      </c>
      <c r="O10" s="1">
        <v>0</v>
      </c>
      <c r="P10" s="3">
        <v>0</v>
      </c>
    </row>
    <row r="11" spans="1:16" x14ac:dyDescent="0.3">
      <c r="A11" t="s">
        <v>280</v>
      </c>
      <c r="B11" t="s">
        <v>249</v>
      </c>
      <c r="H11" s="1">
        <v>1880.15</v>
      </c>
      <c r="I11" s="6">
        <v>149427.50999999995</v>
      </c>
      <c r="J11" s="1">
        <v>151940.85000000003</v>
      </c>
      <c r="K11" s="1">
        <v>2513.3400000000838</v>
      </c>
      <c r="L11" s="7">
        <v>151940.85000000003</v>
      </c>
      <c r="M11" s="1">
        <v>79.476376884822983</v>
      </c>
      <c r="N11" s="1">
        <v>80.813153205861255</v>
      </c>
      <c r="O11" s="1">
        <v>2.4378054942424825</v>
      </c>
      <c r="P11" s="3">
        <v>3.0673334515177328E-2</v>
      </c>
    </row>
    <row r="12" spans="1:16" x14ac:dyDescent="0.3">
      <c r="A12" t="s">
        <v>280</v>
      </c>
      <c r="B12" t="s">
        <v>249</v>
      </c>
      <c r="C12" t="s">
        <v>170</v>
      </c>
      <c r="H12" s="1">
        <v>1880.15</v>
      </c>
      <c r="I12" s="6">
        <v>149427.50999999995</v>
      </c>
      <c r="J12" s="1">
        <v>151940.85000000003</v>
      </c>
      <c r="K12" s="1">
        <v>2513.3400000000838</v>
      </c>
      <c r="L12" s="7">
        <v>151940.85000000003</v>
      </c>
      <c r="M12" s="1">
        <v>79.476376884822983</v>
      </c>
      <c r="N12" s="1">
        <v>80.813153205861255</v>
      </c>
      <c r="O12" s="1">
        <v>2.4378054942424825</v>
      </c>
      <c r="P12" s="3">
        <v>3.0673334515177328E-2</v>
      </c>
    </row>
    <row r="13" spans="1:16" x14ac:dyDescent="0.3">
      <c r="A13" t="s">
        <v>280</v>
      </c>
      <c r="B13" t="s">
        <v>249</v>
      </c>
      <c r="C13" t="s">
        <v>171</v>
      </c>
      <c r="H13" s="1">
        <v>0</v>
      </c>
      <c r="I13" s="6">
        <v>0</v>
      </c>
      <c r="J13" s="1">
        <v>0</v>
      </c>
      <c r="K13" s="1">
        <v>0</v>
      </c>
      <c r="L13" s="7">
        <v>0</v>
      </c>
      <c r="M13" s="1">
        <v>0</v>
      </c>
      <c r="N13" s="1">
        <v>0</v>
      </c>
      <c r="O13" s="1">
        <v>0</v>
      </c>
      <c r="P13" s="3">
        <v>0</v>
      </c>
    </row>
    <row r="14" spans="1:16" x14ac:dyDescent="0.3">
      <c r="A14" t="s">
        <v>280</v>
      </c>
      <c r="B14" t="s">
        <v>249</v>
      </c>
      <c r="C14" t="s">
        <v>171</v>
      </c>
      <c r="D14">
        <v>30002</v>
      </c>
      <c r="E14" t="s">
        <v>107</v>
      </c>
      <c r="H14" s="1">
        <v>0</v>
      </c>
      <c r="I14" s="6">
        <v>0</v>
      </c>
      <c r="J14" s="1">
        <v>0</v>
      </c>
      <c r="K14" s="1">
        <v>0</v>
      </c>
      <c r="L14" s="7">
        <v>0</v>
      </c>
      <c r="M14" s="1">
        <v>0</v>
      </c>
      <c r="N14" s="1">
        <v>0</v>
      </c>
      <c r="O14" s="1">
        <v>0</v>
      </c>
      <c r="P14" s="3">
        <v>0</v>
      </c>
    </row>
    <row r="15" spans="1:16" x14ac:dyDescent="0.3">
      <c r="A15" t="s">
        <v>280</v>
      </c>
      <c r="B15" t="s">
        <v>249</v>
      </c>
      <c r="C15" t="s">
        <v>171</v>
      </c>
      <c r="D15">
        <v>30473</v>
      </c>
      <c r="E15" t="s">
        <v>112</v>
      </c>
      <c r="H15" s="1">
        <v>0</v>
      </c>
      <c r="I15" s="6">
        <v>0</v>
      </c>
      <c r="J15" s="1"/>
      <c r="K15" s="1">
        <v>0</v>
      </c>
      <c r="L15" s="7">
        <v>0</v>
      </c>
      <c r="M15" s="1">
        <v>0</v>
      </c>
      <c r="N15" s="1">
        <v>0</v>
      </c>
      <c r="O15" s="1">
        <v>0</v>
      </c>
      <c r="P15" s="3">
        <v>0</v>
      </c>
    </row>
    <row r="16" spans="1:16" x14ac:dyDescent="0.3">
      <c r="A16" t="s">
        <v>282</v>
      </c>
      <c r="H16" s="1">
        <v>2343.4999999999995</v>
      </c>
      <c r="I16" s="6">
        <v>200752.26</v>
      </c>
      <c r="J16" s="1">
        <v>192812.77</v>
      </c>
      <c r="K16" s="1">
        <v>-7939.4899999999907</v>
      </c>
      <c r="L16" s="7">
        <v>192812.77</v>
      </c>
      <c r="M16" s="1">
        <v>85.663435033070172</v>
      </c>
      <c r="N16" s="1">
        <v>82.275557926178777</v>
      </c>
      <c r="O16" s="1">
        <v>-4.1986131854064439</v>
      </c>
      <c r="P16" s="3">
        <v>-4.9012897787551704E-2</v>
      </c>
    </row>
    <row r="17" spans="1:16" x14ac:dyDescent="0.3">
      <c r="A17" t="s">
        <v>282</v>
      </c>
      <c r="B17" t="s">
        <v>182</v>
      </c>
      <c r="H17" s="1">
        <v>644.17999999999984</v>
      </c>
      <c r="I17" s="6">
        <v>58423.28</v>
      </c>
      <c r="J17" s="1">
        <v>58423.28</v>
      </c>
      <c r="K17" s="1">
        <v>0</v>
      </c>
      <c r="L17" s="7">
        <v>58423.28</v>
      </c>
      <c r="M17" s="1">
        <v>90.694029619050596</v>
      </c>
      <c r="N17" s="1">
        <v>90.694029619050596</v>
      </c>
      <c r="O17" s="1">
        <v>0</v>
      </c>
      <c r="P17" s="3">
        <v>0</v>
      </c>
    </row>
    <row r="18" spans="1:16" x14ac:dyDescent="0.3">
      <c r="A18" t="s">
        <v>282</v>
      </c>
      <c r="B18" t="s">
        <v>182</v>
      </c>
      <c r="C18" t="s">
        <v>170</v>
      </c>
      <c r="H18" s="1">
        <v>644.17999999999984</v>
      </c>
      <c r="I18" s="6">
        <v>58423.28</v>
      </c>
      <c r="J18" s="1">
        <v>58423.28</v>
      </c>
      <c r="K18" s="1">
        <v>0</v>
      </c>
      <c r="L18" s="7">
        <v>58423.28</v>
      </c>
      <c r="M18" s="1">
        <v>90.694029619050596</v>
      </c>
      <c r="N18" s="1">
        <v>90.694029619050596</v>
      </c>
      <c r="O18" s="1">
        <v>0</v>
      </c>
      <c r="P18" s="3">
        <v>0</v>
      </c>
    </row>
    <row r="19" spans="1:16" x14ac:dyDescent="0.3">
      <c r="A19" t="s">
        <v>282</v>
      </c>
      <c r="B19" t="s">
        <v>249</v>
      </c>
      <c r="H19" s="1">
        <v>1699.3199999999997</v>
      </c>
      <c r="I19" s="6">
        <v>142328.98000000001</v>
      </c>
      <c r="J19" s="1">
        <v>134389.49</v>
      </c>
      <c r="K19" s="1">
        <v>-7939.4900000000198</v>
      </c>
      <c r="L19" s="7">
        <v>134389.49</v>
      </c>
      <c r="M19" s="1">
        <v>83.756431984558546</v>
      </c>
      <c r="N19" s="1">
        <v>79.084274886425163</v>
      </c>
      <c r="O19" s="1">
        <v>-5.7902278558482294</v>
      </c>
      <c r="P19" s="3">
        <v>-6.9131739720189184E-2</v>
      </c>
    </row>
    <row r="20" spans="1:16" x14ac:dyDescent="0.3">
      <c r="A20" t="s">
        <v>282</v>
      </c>
      <c r="B20" t="s">
        <v>249</v>
      </c>
      <c r="C20" t="s">
        <v>170</v>
      </c>
      <c r="H20" s="1">
        <v>1699.3199999999997</v>
      </c>
      <c r="I20" s="6">
        <v>142328.98000000001</v>
      </c>
      <c r="J20" s="1">
        <v>134389.49</v>
      </c>
      <c r="K20" s="1">
        <v>-7939.4900000000198</v>
      </c>
      <c r="L20" s="7">
        <v>134389.49</v>
      </c>
      <c r="M20" s="1">
        <v>83.756431984558546</v>
      </c>
      <c r="N20" s="1">
        <v>79.084274886425163</v>
      </c>
      <c r="O20" s="1">
        <v>-5.7902278558482294</v>
      </c>
      <c r="P20" s="3">
        <v>-6.9131739720189184E-2</v>
      </c>
    </row>
    <row r="21" spans="1:16" x14ac:dyDescent="0.3">
      <c r="A21" t="s">
        <v>282</v>
      </c>
      <c r="B21" t="s">
        <v>249</v>
      </c>
      <c r="C21" t="s">
        <v>171</v>
      </c>
      <c r="H21" s="1">
        <v>0</v>
      </c>
      <c r="I21" s="6">
        <v>0</v>
      </c>
      <c r="J21" s="1"/>
      <c r="K21" s="1">
        <v>0</v>
      </c>
      <c r="L21" s="7">
        <v>0</v>
      </c>
      <c r="M21" s="1">
        <v>0</v>
      </c>
      <c r="N21" s="1">
        <v>0</v>
      </c>
      <c r="O21" s="1">
        <v>0</v>
      </c>
      <c r="P21" s="3">
        <v>0</v>
      </c>
    </row>
    <row r="22" spans="1:16" x14ac:dyDescent="0.3">
      <c r="A22" t="s">
        <v>282</v>
      </c>
      <c r="B22" t="s">
        <v>249</v>
      </c>
      <c r="C22" t="s">
        <v>171</v>
      </c>
      <c r="D22">
        <v>30520</v>
      </c>
      <c r="E22" t="s">
        <v>114</v>
      </c>
      <c r="H22" s="1">
        <v>0</v>
      </c>
      <c r="I22" s="6">
        <v>0</v>
      </c>
      <c r="J22" s="1"/>
      <c r="K22" s="1">
        <v>0</v>
      </c>
      <c r="L22" s="7">
        <v>0</v>
      </c>
      <c r="M22" s="1">
        <v>0</v>
      </c>
      <c r="N22" s="1">
        <v>0</v>
      </c>
      <c r="O22" s="1">
        <v>0</v>
      </c>
      <c r="P22" s="3">
        <v>0</v>
      </c>
    </row>
    <row r="23" spans="1:16" x14ac:dyDescent="0.3">
      <c r="A23" t="s">
        <v>282</v>
      </c>
      <c r="B23" t="s">
        <v>249</v>
      </c>
      <c r="C23" t="s">
        <v>171</v>
      </c>
      <c r="D23">
        <v>30527</v>
      </c>
      <c r="E23" t="s">
        <v>166</v>
      </c>
      <c r="H23" s="1">
        <v>0</v>
      </c>
      <c r="I23" s="6">
        <v>0</v>
      </c>
      <c r="J23" s="1"/>
      <c r="K23" s="1">
        <v>0</v>
      </c>
      <c r="L23" s="7">
        <v>0</v>
      </c>
      <c r="M23" s="1">
        <v>0</v>
      </c>
      <c r="N23" s="1">
        <v>0</v>
      </c>
      <c r="O23" s="1">
        <v>0</v>
      </c>
      <c r="P23" s="3">
        <v>0</v>
      </c>
    </row>
    <row r="24" spans="1:16" x14ac:dyDescent="0.3">
      <c r="A24" t="s">
        <v>12</v>
      </c>
      <c r="H24" s="1">
        <v>31338.05</v>
      </c>
      <c r="I24" s="6">
        <v>2387634.0499999998</v>
      </c>
      <c r="J24" s="1">
        <v>2305284.5599999982</v>
      </c>
      <c r="K24" s="1">
        <v>-72403.339999996591</v>
      </c>
      <c r="L24" s="7">
        <v>2315230.7099999981</v>
      </c>
      <c r="M24" s="1">
        <v>76.189617733075181</v>
      </c>
      <c r="N24" s="1">
        <v>73.864266732116349</v>
      </c>
      <c r="O24" s="1">
        <v>-1.4842878205760002</v>
      </c>
      <c r="P24" s="3">
        <v>-1.9481497148024753E-2</v>
      </c>
    </row>
    <row r="25" spans="1:16" x14ac:dyDescent="0.3">
      <c r="A25" t="s">
        <v>12</v>
      </c>
      <c r="B25" t="s">
        <v>182</v>
      </c>
      <c r="H25" s="1">
        <v>13190.329999999996</v>
      </c>
      <c r="I25" s="6">
        <v>1004469.0500000003</v>
      </c>
      <c r="J25" s="1">
        <v>1004469.0500000003</v>
      </c>
      <c r="K25" s="1">
        <v>0</v>
      </c>
      <c r="L25" s="7">
        <v>1004469.0500000003</v>
      </c>
      <c r="M25" s="1">
        <v>76.151927207279925</v>
      </c>
      <c r="N25" s="1">
        <v>76.151927207279925</v>
      </c>
      <c r="O25" s="1">
        <v>-8.8263902419413398E-2</v>
      </c>
      <c r="P25" s="3">
        <v>-1.1590501469406751E-3</v>
      </c>
    </row>
    <row r="26" spans="1:16" x14ac:dyDescent="0.3">
      <c r="A26" t="s">
        <v>12</v>
      </c>
      <c r="B26" t="s">
        <v>182</v>
      </c>
      <c r="C26" t="s">
        <v>170</v>
      </c>
      <c r="H26" s="1">
        <v>13190.329999999996</v>
      </c>
      <c r="I26" s="6">
        <v>1004469.0500000003</v>
      </c>
      <c r="J26" s="1">
        <v>1004469.0500000003</v>
      </c>
      <c r="K26" s="1">
        <v>0</v>
      </c>
      <c r="L26" s="7">
        <v>1004469.0500000003</v>
      </c>
      <c r="M26" s="1">
        <v>76.151927207279925</v>
      </c>
      <c r="N26" s="1">
        <v>76.151927207279925</v>
      </c>
      <c r="O26" s="1">
        <v>-8.8263902419413398E-2</v>
      </c>
      <c r="P26" s="3">
        <v>-1.1590501469406751E-3</v>
      </c>
    </row>
    <row r="27" spans="1:16" x14ac:dyDescent="0.3">
      <c r="A27" t="s">
        <v>12</v>
      </c>
      <c r="B27" t="s">
        <v>249</v>
      </c>
      <c r="H27" s="1">
        <v>18147.72</v>
      </c>
      <c r="I27" s="6">
        <v>1383164.9999999998</v>
      </c>
      <c r="J27" s="1">
        <v>1300815.5099999979</v>
      </c>
      <c r="K27" s="1">
        <v>-72403.340000001714</v>
      </c>
      <c r="L27" s="7">
        <v>1310761.6599999981</v>
      </c>
      <c r="M27" s="1">
        <v>76.217012385026834</v>
      </c>
      <c r="N27" s="1">
        <v>72.189683790978606</v>
      </c>
      <c r="O27" s="1">
        <v>-2.510801449040386</v>
      </c>
      <c r="P27" s="3">
        <v>-3.2942795453022033E-2</v>
      </c>
    </row>
    <row r="28" spans="1:16" x14ac:dyDescent="0.3">
      <c r="A28" t="s">
        <v>12</v>
      </c>
      <c r="B28" t="s">
        <v>249</v>
      </c>
      <c r="C28" t="s">
        <v>170</v>
      </c>
      <c r="H28" s="1">
        <v>18019.41</v>
      </c>
      <c r="I28" s="6">
        <v>1373218.8499999996</v>
      </c>
      <c r="J28" s="1">
        <v>1300815.5099999979</v>
      </c>
      <c r="K28" s="1">
        <v>-72403.340000001714</v>
      </c>
      <c r="L28" s="7">
        <v>1300815.5099999979</v>
      </c>
      <c r="M28" s="1">
        <v>76.207758744598166</v>
      </c>
      <c r="N28" s="1">
        <v>72.189683790978606</v>
      </c>
      <c r="O28" s="1">
        <v>-2.5306494496767868</v>
      </c>
      <c r="P28" s="3">
        <v>-3.3207241511431625E-2</v>
      </c>
    </row>
    <row r="29" spans="1:16" x14ac:dyDescent="0.3">
      <c r="A29" t="s">
        <v>12</v>
      </c>
      <c r="B29" t="s">
        <v>249</v>
      </c>
      <c r="C29" t="s">
        <v>171</v>
      </c>
      <c r="H29" s="1">
        <v>128.31</v>
      </c>
      <c r="I29" s="6">
        <v>9946.15</v>
      </c>
      <c r="J29" s="1">
        <v>0</v>
      </c>
      <c r="K29" s="1">
        <v>0</v>
      </c>
      <c r="L29" s="7">
        <v>9946.15</v>
      </c>
      <c r="M29" s="1">
        <v>77.516561452731665</v>
      </c>
      <c r="N29" s="1">
        <v>0</v>
      </c>
      <c r="O29" s="1">
        <v>0</v>
      </c>
      <c r="P29" s="3">
        <v>0</v>
      </c>
    </row>
    <row r="30" spans="1:16" x14ac:dyDescent="0.3">
      <c r="A30" t="s">
        <v>12</v>
      </c>
      <c r="B30" t="s">
        <v>249</v>
      </c>
      <c r="C30" t="s">
        <v>171</v>
      </c>
      <c r="D30">
        <v>20319</v>
      </c>
      <c r="E30" t="s">
        <v>125</v>
      </c>
      <c r="H30" s="1">
        <v>9.9</v>
      </c>
      <c r="I30" s="6">
        <v>851.4</v>
      </c>
      <c r="J30" s="1">
        <v>0</v>
      </c>
      <c r="K30" s="1">
        <v>0</v>
      </c>
      <c r="L30" s="7">
        <v>851.4</v>
      </c>
      <c r="M30" s="1">
        <v>86</v>
      </c>
      <c r="N30" s="1">
        <v>0</v>
      </c>
      <c r="O30" s="1">
        <v>0</v>
      </c>
      <c r="P30" s="3">
        <v>0</v>
      </c>
    </row>
    <row r="31" spans="1:16" x14ac:dyDescent="0.3">
      <c r="A31" t="s">
        <v>12</v>
      </c>
      <c r="B31" t="s">
        <v>249</v>
      </c>
      <c r="C31" t="s">
        <v>171</v>
      </c>
      <c r="D31">
        <v>20426</v>
      </c>
      <c r="E31" t="s">
        <v>64</v>
      </c>
      <c r="H31" s="1">
        <v>37.61</v>
      </c>
      <c r="I31" s="6">
        <v>3272.07</v>
      </c>
      <c r="J31" s="1">
        <v>0</v>
      </c>
      <c r="K31" s="1">
        <v>0</v>
      </c>
      <c r="L31" s="7">
        <v>3272.07</v>
      </c>
      <c r="M31" s="1">
        <v>87</v>
      </c>
      <c r="N31" s="1">
        <v>0</v>
      </c>
      <c r="O31" s="1">
        <v>0</v>
      </c>
      <c r="P31" s="3">
        <v>0</v>
      </c>
    </row>
    <row r="32" spans="1:16" x14ac:dyDescent="0.3">
      <c r="A32" t="s">
        <v>12</v>
      </c>
      <c r="B32" t="s">
        <v>249</v>
      </c>
      <c r="C32" t="s">
        <v>171</v>
      </c>
      <c r="D32">
        <v>20433</v>
      </c>
      <c r="E32" t="s">
        <v>47</v>
      </c>
      <c r="H32" s="1">
        <v>0</v>
      </c>
      <c r="I32" s="6">
        <v>0</v>
      </c>
      <c r="J32" s="1"/>
      <c r="K32" s="1">
        <v>0</v>
      </c>
      <c r="L32" s="7">
        <v>0</v>
      </c>
      <c r="M32" s="1">
        <v>0</v>
      </c>
      <c r="N32" s="1">
        <v>0</v>
      </c>
      <c r="O32" s="1">
        <v>0</v>
      </c>
      <c r="P32" s="3">
        <v>0</v>
      </c>
    </row>
    <row r="33" spans="1:16" x14ac:dyDescent="0.3">
      <c r="A33" t="s">
        <v>12</v>
      </c>
      <c r="B33" t="s">
        <v>249</v>
      </c>
      <c r="C33" t="s">
        <v>171</v>
      </c>
      <c r="D33">
        <v>20442</v>
      </c>
      <c r="E33" t="s">
        <v>50</v>
      </c>
      <c r="H33" s="1">
        <v>46.67</v>
      </c>
      <c r="I33" s="6">
        <v>2876.34</v>
      </c>
      <c r="J33" s="1">
        <v>0</v>
      </c>
      <c r="K33" s="1">
        <v>0</v>
      </c>
      <c r="L33" s="7">
        <v>2876.34</v>
      </c>
      <c r="M33" s="1">
        <v>61.63145489607885</v>
      </c>
      <c r="N33" s="1">
        <v>0</v>
      </c>
      <c r="O33" s="1">
        <v>0</v>
      </c>
      <c r="P33" s="3">
        <v>0</v>
      </c>
    </row>
    <row r="34" spans="1:16" x14ac:dyDescent="0.3">
      <c r="A34" t="s">
        <v>12</v>
      </c>
      <c r="B34" t="s">
        <v>249</v>
      </c>
      <c r="C34" t="s">
        <v>171</v>
      </c>
      <c r="D34">
        <v>20482</v>
      </c>
      <c r="E34" t="s">
        <v>60</v>
      </c>
      <c r="H34" s="1">
        <v>0</v>
      </c>
      <c r="I34" s="6">
        <v>0</v>
      </c>
      <c r="J34" s="1"/>
      <c r="K34" s="1">
        <v>0</v>
      </c>
      <c r="L34" s="7">
        <v>0</v>
      </c>
      <c r="M34" s="1">
        <v>0</v>
      </c>
      <c r="N34" s="1">
        <v>0</v>
      </c>
      <c r="O34" s="1">
        <v>0</v>
      </c>
      <c r="P34" s="3">
        <v>0</v>
      </c>
    </row>
    <row r="35" spans="1:16" x14ac:dyDescent="0.3">
      <c r="A35" t="s">
        <v>12</v>
      </c>
      <c r="B35" t="s">
        <v>249</v>
      </c>
      <c r="C35" t="s">
        <v>171</v>
      </c>
      <c r="D35">
        <v>20506</v>
      </c>
      <c r="E35" t="s">
        <v>64</v>
      </c>
      <c r="H35" s="1">
        <v>6.47</v>
      </c>
      <c r="I35" s="6">
        <v>595.24</v>
      </c>
      <c r="J35" s="1">
        <v>0</v>
      </c>
      <c r="K35" s="1">
        <v>0</v>
      </c>
      <c r="L35" s="7">
        <v>595.24</v>
      </c>
      <c r="M35" s="1">
        <v>92</v>
      </c>
      <c r="N35" s="1">
        <v>0</v>
      </c>
      <c r="O35" s="1">
        <v>0</v>
      </c>
      <c r="P35" s="3">
        <v>0</v>
      </c>
    </row>
    <row r="36" spans="1:16" x14ac:dyDescent="0.3">
      <c r="A36" t="s">
        <v>12</v>
      </c>
      <c r="B36" t="s">
        <v>249</v>
      </c>
      <c r="C36" t="s">
        <v>171</v>
      </c>
      <c r="D36">
        <v>20578</v>
      </c>
      <c r="E36" t="s">
        <v>153</v>
      </c>
      <c r="H36" s="1">
        <v>27.66</v>
      </c>
      <c r="I36" s="6">
        <v>2351.1</v>
      </c>
      <c r="J36" s="1">
        <v>0</v>
      </c>
      <c r="K36" s="1">
        <v>0</v>
      </c>
      <c r="L36" s="7">
        <v>2351.1</v>
      </c>
      <c r="M36" s="1">
        <v>85</v>
      </c>
      <c r="N36" s="1">
        <v>0</v>
      </c>
      <c r="O36" s="1">
        <v>0</v>
      </c>
      <c r="P36" s="3">
        <v>0</v>
      </c>
    </row>
    <row r="37" spans="1:16" x14ac:dyDescent="0.3">
      <c r="A37" t="s">
        <v>12</v>
      </c>
      <c r="B37" t="s">
        <v>249</v>
      </c>
      <c r="C37" t="s">
        <v>171</v>
      </c>
      <c r="D37">
        <v>20620</v>
      </c>
      <c r="E37" t="s">
        <v>51</v>
      </c>
      <c r="H37" s="1">
        <v>0</v>
      </c>
      <c r="I37" s="6">
        <v>0</v>
      </c>
      <c r="J37" s="1"/>
      <c r="K37" s="1">
        <v>0</v>
      </c>
      <c r="L37" s="7">
        <v>0</v>
      </c>
      <c r="M37" s="1">
        <v>0</v>
      </c>
      <c r="N37" s="1">
        <v>0</v>
      </c>
      <c r="O37" s="1">
        <v>0</v>
      </c>
      <c r="P37" s="3">
        <v>0</v>
      </c>
    </row>
    <row r="38" spans="1:16" x14ac:dyDescent="0.3">
      <c r="A38" t="s">
        <v>12</v>
      </c>
      <c r="B38" t="s">
        <v>249</v>
      </c>
      <c r="C38" t="s">
        <v>171</v>
      </c>
      <c r="D38">
        <v>20626</v>
      </c>
      <c r="E38" t="s">
        <v>22</v>
      </c>
      <c r="H38" s="1">
        <v>0</v>
      </c>
      <c r="I38" s="6">
        <v>0</v>
      </c>
      <c r="J38" s="1"/>
      <c r="K38" s="1">
        <v>0</v>
      </c>
      <c r="L38" s="7">
        <v>0</v>
      </c>
      <c r="M38" s="1">
        <v>0</v>
      </c>
      <c r="N38" s="1">
        <v>0</v>
      </c>
      <c r="O38" s="1">
        <v>0</v>
      </c>
      <c r="P38" s="3">
        <v>0</v>
      </c>
    </row>
    <row r="39" spans="1:16" x14ac:dyDescent="0.3">
      <c r="A39" t="s">
        <v>119</v>
      </c>
      <c r="H39" s="1">
        <v>36879.629999999997</v>
      </c>
      <c r="I39" s="6">
        <v>2848281.05</v>
      </c>
      <c r="J39" s="1">
        <v>2760505.4099999983</v>
      </c>
      <c r="K39" s="1">
        <v>-77829.489999990445</v>
      </c>
      <c r="L39" s="7">
        <v>2770451.5599999982</v>
      </c>
      <c r="M39" s="1">
        <v>77.231822824686589</v>
      </c>
      <c r="N39" s="1">
        <v>75.113095529630115</v>
      </c>
      <c r="O39" s="1">
        <v>-1.3994299485269011</v>
      </c>
      <c r="P39" s="3">
        <v>-1.8119861701355357E-2</v>
      </c>
    </row>
  </sheetData>
  <conditionalFormatting pivot="1" sqref="P8:P39">
    <cfRule type="cellIs" dxfId="31" priority="1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D2E6D-77A0-4136-A34C-039D526FC35D}">
  <dimension ref="A6:P39"/>
  <sheetViews>
    <sheetView showGridLines="0" zoomScale="90" zoomScaleNormal="90" workbookViewId="0">
      <pane xSplit="7" ySplit="7" topLeftCell="H8" activePane="bottomRight" state="frozen"/>
      <selection pane="topRight" activeCell="H1" sqref="H1"/>
      <selection pane="bottomLeft" activeCell="A3" sqref="A3"/>
      <selection pane="bottomRight" activeCell="H39" sqref="H39"/>
    </sheetView>
  </sheetViews>
  <sheetFormatPr defaultRowHeight="14.4" outlineLevelCol="1" x14ac:dyDescent="0.3"/>
  <cols>
    <col min="1" max="1" width="10.5546875" customWidth="1"/>
    <col min="2" max="2" width="15.44140625" bestFit="1" customWidth="1"/>
    <col min="3" max="3" width="11.77734375" bestFit="1" customWidth="1"/>
    <col min="4" max="4" width="8.77734375" customWidth="1" outlineLevel="1"/>
    <col min="5" max="5" width="21.77734375" customWidth="1" outlineLevel="1"/>
    <col min="6" max="6" width="7.109375" customWidth="1" outlineLevel="1"/>
    <col min="7" max="7" width="13.44140625" bestFit="1" customWidth="1" outlineLevel="1"/>
    <col min="8" max="8" width="12.44140625" bestFit="1" customWidth="1"/>
    <col min="9" max="10" width="12.21875" bestFit="1" customWidth="1"/>
    <col min="11" max="11" width="15.5546875" bestFit="1" customWidth="1"/>
    <col min="12" max="12" width="15.88671875" bestFit="1" customWidth="1"/>
    <col min="13" max="13" width="10.33203125" bestFit="1" customWidth="1"/>
    <col min="14" max="14" width="10.44140625" bestFit="1" customWidth="1"/>
    <col min="15" max="15" width="15.5546875" bestFit="1" customWidth="1"/>
    <col min="16" max="16" width="13.33203125" bestFit="1" customWidth="1"/>
  </cols>
  <sheetData>
    <row r="6" spans="1:16" x14ac:dyDescent="0.3">
      <c r="H6" s="2" t="s">
        <v>168</v>
      </c>
    </row>
    <row r="7" spans="1:16" x14ac:dyDescent="0.3">
      <c r="A7" s="2" t="s">
        <v>10</v>
      </c>
      <c r="B7" s="2" t="s">
        <v>185</v>
      </c>
      <c r="C7" s="2" t="s">
        <v>169</v>
      </c>
      <c r="D7" s="2" t="s">
        <v>0</v>
      </c>
      <c r="E7" s="2" t="s">
        <v>1</v>
      </c>
      <c r="F7" s="2" t="s">
        <v>192</v>
      </c>
      <c r="G7" s="2" t="s">
        <v>193</v>
      </c>
      <c r="H7" t="s">
        <v>190</v>
      </c>
      <c r="I7" s="4" t="s">
        <v>191</v>
      </c>
      <c r="J7" t="s">
        <v>181</v>
      </c>
      <c r="K7" t="s">
        <v>235</v>
      </c>
      <c r="L7" s="5" t="s">
        <v>233</v>
      </c>
      <c r="M7" t="s">
        <v>184</v>
      </c>
      <c r="N7" t="s">
        <v>120</v>
      </c>
      <c r="O7" t="s">
        <v>234</v>
      </c>
      <c r="P7" t="s">
        <v>236</v>
      </c>
    </row>
    <row r="8" spans="1:16" x14ac:dyDescent="0.3">
      <c r="A8" t="s">
        <v>280</v>
      </c>
      <c r="H8" s="1">
        <v>3198.0800000000013</v>
      </c>
      <c r="I8" s="6">
        <v>257824.64000000001</v>
      </c>
      <c r="J8" s="1">
        <v>262408.08</v>
      </c>
      <c r="K8" s="1">
        <v>4583.4400000000023</v>
      </c>
      <c r="L8" s="7">
        <v>262408.08</v>
      </c>
      <c r="M8" s="1">
        <v>80.618571142685568</v>
      </c>
      <c r="N8" s="1">
        <v>82.051756053632133</v>
      </c>
      <c r="O8" s="1">
        <v>1.4331849109465651</v>
      </c>
      <c r="P8" s="3">
        <v>1.7777354406467875E-2</v>
      </c>
    </row>
    <row r="9" spans="1:16" x14ac:dyDescent="0.3">
      <c r="A9" t="s">
        <v>280</v>
      </c>
      <c r="B9" t="s">
        <v>182</v>
      </c>
      <c r="H9" s="1">
        <v>2388.1300000000015</v>
      </c>
      <c r="I9" s="6">
        <v>201799.90000000002</v>
      </c>
      <c r="J9" s="1">
        <v>201799.90000000002</v>
      </c>
      <c r="K9" s="1">
        <v>0</v>
      </c>
      <c r="L9" s="7">
        <v>201799.90000000002</v>
      </c>
      <c r="M9" s="1">
        <v>84.501220620317952</v>
      </c>
      <c r="N9" s="1">
        <v>84.501220620317952</v>
      </c>
      <c r="O9" s="1">
        <v>0</v>
      </c>
      <c r="P9" s="3">
        <v>0</v>
      </c>
    </row>
    <row r="10" spans="1:16" x14ac:dyDescent="0.3">
      <c r="A10" t="s">
        <v>280</v>
      </c>
      <c r="B10" t="s">
        <v>182</v>
      </c>
      <c r="C10" t="s">
        <v>170</v>
      </c>
      <c r="H10" s="1">
        <v>2388.1300000000015</v>
      </c>
      <c r="I10" s="6">
        <v>201799.90000000002</v>
      </c>
      <c r="J10" s="1">
        <v>201799.90000000002</v>
      </c>
      <c r="K10" s="1">
        <v>0</v>
      </c>
      <c r="L10" s="7">
        <v>201799.90000000002</v>
      </c>
      <c r="M10" s="1">
        <v>84.501220620317952</v>
      </c>
      <c r="N10" s="1">
        <v>84.501220620317952</v>
      </c>
      <c r="O10" s="1">
        <v>0</v>
      </c>
      <c r="P10" s="3">
        <v>0</v>
      </c>
    </row>
    <row r="11" spans="1:16" x14ac:dyDescent="0.3">
      <c r="A11" t="s">
        <v>280</v>
      </c>
      <c r="B11" t="s">
        <v>183</v>
      </c>
      <c r="H11" s="1">
        <v>809.9499999999997</v>
      </c>
      <c r="I11" s="6">
        <v>56024.740000000005</v>
      </c>
      <c r="J11" s="1">
        <v>60608.18</v>
      </c>
      <c r="K11" s="1">
        <v>4583.4399999999951</v>
      </c>
      <c r="L11" s="7">
        <v>60608.18</v>
      </c>
      <c r="M11" s="1">
        <v>69.17061547009078</v>
      </c>
      <c r="N11" s="1">
        <v>74.829532687202942</v>
      </c>
      <c r="O11" s="1">
        <v>5.6589172171121618</v>
      </c>
      <c r="P11" s="3">
        <v>8.1810999926103953E-2</v>
      </c>
    </row>
    <row r="12" spans="1:16" x14ac:dyDescent="0.3">
      <c r="A12" t="s">
        <v>280</v>
      </c>
      <c r="B12" t="s">
        <v>183</v>
      </c>
      <c r="C12" t="s">
        <v>170</v>
      </c>
      <c r="H12" s="1">
        <v>809.9499999999997</v>
      </c>
      <c r="I12" s="6">
        <v>56024.740000000005</v>
      </c>
      <c r="J12" s="1">
        <v>60608.18</v>
      </c>
      <c r="K12" s="1">
        <v>4583.4399999999951</v>
      </c>
      <c r="L12" s="7">
        <v>60608.18</v>
      </c>
      <c r="M12" s="1">
        <v>69.17061547009078</v>
      </c>
      <c r="N12" s="1">
        <v>74.829532687202942</v>
      </c>
      <c r="O12" s="1">
        <v>5.6589172171121618</v>
      </c>
      <c r="P12" s="3">
        <v>8.1810999926103953E-2</v>
      </c>
    </row>
    <row r="13" spans="1:16" x14ac:dyDescent="0.3">
      <c r="A13" t="s">
        <v>280</v>
      </c>
      <c r="B13" t="s">
        <v>183</v>
      </c>
      <c r="C13" t="s">
        <v>171</v>
      </c>
      <c r="H13" s="1">
        <v>0</v>
      </c>
      <c r="I13" s="6">
        <v>0</v>
      </c>
      <c r="J13" s="1">
        <v>0</v>
      </c>
      <c r="K13" s="1">
        <v>0</v>
      </c>
      <c r="L13" s="7">
        <v>0</v>
      </c>
      <c r="M13" s="1">
        <v>0</v>
      </c>
      <c r="N13" s="1">
        <v>0</v>
      </c>
      <c r="O13" s="1">
        <v>0</v>
      </c>
      <c r="P13" s="3">
        <v>0</v>
      </c>
    </row>
    <row r="14" spans="1:16" x14ac:dyDescent="0.3">
      <c r="A14" t="s">
        <v>280</v>
      </c>
      <c r="B14" t="s">
        <v>183</v>
      </c>
      <c r="C14" t="s">
        <v>171</v>
      </c>
      <c r="D14">
        <v>30002</v>
      </c>
      <c r="E14" t="s">
        <v>107</v>
      </c>
      <c r="H14" s="1">
        <v>0</v>
      </c>
      <c r="I14" s="6">
        <v>0</v>
      </c>
      <c r="J14" s="1">
        <v>0</v>
      </c>
      <c r="K14" s="1">
        <v>0</v>
      </c>
      <c r="L14" s="7">
        <v>0</v>
      </c>
      <c r="M14" s="1">
        <v>0</v>
      </c>
      <c r="N14" s="1">
        <v>0</v>
      </c>
      <c r="O14" s="1">
        <v>0</v>
      </c>
      <c r="P14" s="3">
        <v>0</v>
      </c>
    </row>
    <row r="15" spans="1:16" x14ac:dyDescent="0.3">
      <c r="A15" t="s">
        <v>280</v>
      </c>
      <c r="B15" t="s">
        <v>183</v>
      </c>
      <c r="C15" t="s">
        <v>171</v>
      </c>
      <c r="D15">
        <v>30473</v>
      </c>
      <c r="E15" t="s">
        <v>112</v>
      </c>
      <c r="H15" s="1">
        <v>0</v>
      </c>
      <c r="I15" s="6">
        <v>0</v>
      </c>
      <c r="J15" s="1"/>
      <c r="K15" s="1">
        <v>0</v>
      </c>
      <c r="L15" s="7">
        <v>0</v>
      </c>
      <c r="M15" s="1">
        <v>0</v>
      </c>
      <c r="N15" s="1">
        <v>0</v>
      </c>
      <c r="O15" s="1">
        <v>0</v>
      </c>
      <c r="P15" s="3">
        <v>0</v>
      </c>
    </row>
    <row r="16" spans="1:16" x14ac:dyDescent="0.3">
      <c r="A16" t="s">
        <v>282</v>
      </c>
      <c r="H16" s="1">
        <v>2343.5</v>
      </c>
      <c r="I16" s="6">
        <v>202652.22</v>
      </c>
      <c r="J16" s="1">
        <v>192812.77000000002</v>
      </c>
      <c r="K16" s="1">
        <v>-9839.4500000000698</v>
      </c>
      <c r="L16" s="7">
        <v>192812.77000000002</v>
      </c>
      <c r="M16" s="1">
        <v>86.474171111585264</v>
      </c>
      <c r="N16" s="1">
        <v>82.275557926178791</v>
      </c>
      <c r="O16" s="1">
        <v>-4.1986131854064723</v>
      </c>
      <c r="P16" s="3">
        <v>-4.8553378788547513E-2</v>
      </c>
    </row>
    <row r="17" spans="1:16" x14ac:dyDescent="0.3">
      <c r="A17" t="s">
        <v>282</v>
      </c>
      <c r="B17" t="s">
        <v>182</v>
      </c>
      <c r="H17" s="1">
        <v>1521.3100000000002</v>
      </c>
      <c r="I17" s="6">
        <v>137629.32</v>
      </c>
      <c r="J17" s="1">
        <v>137629.32</v>
      </c>
      <c r="K17" s="1">
        <v>0</v>
      </c>
      <c r="L17" s="7">
        <v>137629.32</v>
      </c>
      <c r="M17" s="1">
        <v>90.467636444906034</v>
      </c>
      <c r="N17" s="1">
        <v>90.467636444906034</v>
      </c>
      <c r="O17" s="1">
        <v>0</v>
      </c>
      <c r="P17" s="3">
        <v>0</v>
      </c>
    </row>
    <row r="18" spans="1:16" x14ac:dyDescent="0.3">
      <c r="A18" t="s">
        <v>282</v>
      </c>
      <c r="B18" t="s">
        <v>182</v>
      </c>
      <c r="C18" t="s">
        <v>170</v>
      </c>
      <c r="H18" s="1">
        <v>1521.3100000000002</v>
      </c>
      <c r="I18" s="6">
        <v>137629.32</v>
      </c>
      <c r="J18" s="1">
        <v>137629.32</v>
      </c>
      <c r="K18" s="1">
        <v>0</v>
      </c>
      <c r="L18" s="7">
        <v>137629.32</v>
      </c>
      <c r="M18" s="1">
        <v>90.467636444906034</v>
      </c>
      <c r="N18" s="1">
        <v>90.467636444906034</v>
      </c>
      <c r="O18" s="1">
        <v>0</v>
      </c>
      <c r="P18" s="3">
        <v>0</v>
      </c>
    </row>
    <row r="19" spans="1:16" x14ac:dyDescent="0.3">
      <c r="A19" t="s">
        <v>282</v>
      </c>
      <c r="B19" t="s">
        <v>183</v>
      </c>
      <c r="H19" s="1">
        <v>822.18999999999983</v>
      </c>
      <c r="I19" s="6">
        <v>65022.9</v>
      </c>
      <c r="J19" s="1">
        <v>55183.450000000026</v>
      </c>
      <c r="K19" s="1">
        <v>-9839.4499999999753</v>
      </c>
      <c r="L19" s="7">
        <v>55183.450000000026</v>
      </c>
      <c r="M19" s="1">
        <v>79.08500468261596</v>
      </c>
      <c r="N19" s="1">
        <v>67.117637042532792</v>
      </c>
      <c r="O19" s="1">
        <v>-11.967367640083168</v>
      </c>
      <c r="P19" s="3">
        <v>-0.15132284164502011</v>
      </c>
    </row>
    <row r="20" spans="1:16" x14ac:dyDescent="0.3">
      <c r="A20" t="s">
        <v>282</v>
      </c>
      <c r="B20" t="s">
        <v>183</v>
      </c>
      <c r="C20" t="s">
        <v>170</v>
      </c>
      <c r="H20" s="1">
        <v>822.18999999999983</v>
      </c>
      <c r="I20" s="6">
        <v>65022.9</v>
      </c>
      <c r="J20" s="1">
        <v>55183.450000000026</v>
      </c>
      <c r="K20" s="1">
        <v>-9839.4499999999753</v>
      </c>
      <c r="L20" s="7">
        <v>55183.450000000026</v>
      </c>
      <c r="M20" s="1">
        <v>79.08500468261596</v>
      </c>
      <c r="N20" s="1">
        <v>67.117637042532792</v>
      </c>
      <c r="O20" s="1">
        <v>-11.967367640083168</v>
      </c>
      <c r="P20" s="3">
        <v>-0.15132284164502011</v>
      </c>
    </row>
    <row r="21" spans="1:16" x14ac:dyDescent="0.3">
      <c r="A21" t="s">
        <v>282</v>
      </c>
      <c r="B21" t="s">
        <v>183</v>
      </c>
      <c r="C21" t="s">
        <v>171</v>
      </c>
      <c r="H21" s="1">
        <v>0</v>
      </c>
      <c r="I21" s="6">
        <v>0</v>
      </c>
      <c r="J21" s="1"/>
      <c r="K21" s="1">
        <v>0</v>
      </c>
      <c r="L21" s="7">
        <v>0</v>
      </c>
      <c r="M21" s="1">
        <v>0</v>
      </c>
      <c r="N21" s="1">
        <v>0</v>
      </c>
      <c r="O21" s="1">
        <v>0</v>
      </c>
      <c r="P21" s="3">
        <v>0</v>
      </c>
    </row>
    <row r="22" spans="1:16" x14ac:dyDescent="0.3">
      <c r="A22" t="s">
        <v>282</v>
      </c>
      <c r="B22" t="s">
        <v>183</v>
      </c>
      <c r="C22" t="s">
        <v>171</v>
      </c>
      <c r="D22">
        <v>30520</v>
      </c>
      <c r="E22" t="s">
        <v>114</v>
      </c>
      <c r="H22" s="1">
        <v>0</v>
      </c>
      <c r="I22" s="6">
        <v>0</v>
      </c>
      <c r="J22" s="1"/>
      <c r="K22" s="1">
        <v>0</v>
      </c>
      <c r="L22" s="7">
        <v>0</v>
      </c>
      <c r="M22" s="1">
        <v>0</v>
      </c>
      <c r="N22" s="1">
        <v>0</v>
      </c>
      <c r="O22" s="1">
        <v>0</v>
      </c>
      <c r="P22" s="3">
        <v>0</v>
      </c>
    </row>
    <row r="23" spans="1:16" x14ac:dyDescent="0.3">
      <c r="A23" t="s">
        <v>282</v>
      </c>
      <c r="B23" t="s">
        <v>183</v>
      </c>
      <c r="C23" t="s">
        <v>171</v>
      </c>
      <c r="D23">
        <v>30527</v>
      </c>
      <c r="E23" t="s">
        <v>166</v>
      </c>
      <c r="H23" s="1">
        <v>0</v>
      </c>
      <c r="I23" s="6">
        <v>0</v>
      </c>
      <c r="J23" s="1"/>
      <c r="K23" s="1">
        <v>0</v>
      </c>
      <c r="L23" s="7">
        <v>0</v>
      </c>
      <c r="M23" s="1">
        <v>0</v>
      </c>
      <c r="N23" s="1">
        <v>0</v>
      </c>
      <c r="O23" s="1">
        <v>0</v>
      </c>
      <c r="P23" s="3">
        <v>0</v>
      </c>
    </row>
    <row r="24" spans="1:16" x14ac:dyDescent="0.3">
      <c r="A24" t="s">
        <v>12</v>
      </c>
      <c r="H24" s="1">
        <v>31338.049999999992</v>
      </c>
      <c r="I24" s="6">
        <v>2361276.7699999963</v>
      </c>
      <c r="J24" s="1">
        <v>2305284.5599999973</v>
      </c>
      <c r="K24" s="1">
        <v>-46765.039999996778</v>
      </c>
      <c r="L24" s="7">
        <v>2314511.7299999972</v>
      </c>
      <c r="M24" s="1">
        <v>75.348554552692207</v>
      </c>
      <c r="N24" s="1">
        <v>73.864266732116306</v>
      </c>
      <c r="O24" s="1">
        <v>-1.4842878205759007</v>
      </c>
      <c r="P24" s="3">
        <v>-1.9698955466198351E-2</v>
      </c>
    </row>
    <row r="25" spans="1:16" x14ac:dyDescent="0.3">
      <c r="A25" t="s">
        <v>12</v>
      </c>
      <c r="B25" t="s">
        <v>182</v>
      </c>
      <c r="H25" s="1">
        <v>22731.399999999983</v>
      </c>
      <c r="I25" s="6">
        <v>1768216.1599999971</v>
      </c>
      <c r="J25" s="1">
        <v>1768216.1599999971</v>
      </c>
      <c r="K25" s="1">
        <v>0</v>
      </c>
      <c r="L25" s="7">
        <v>1768216.1599999971</v>
      </c>
      <c r="M25" s="1">
        <v>77.78738485091101</v>
      </c>
      <c r="N25" s="1">
        <v>77.78738485091101</v>
      </c>
      <c r="O25" s="1">
        <v>0</v>
      </c>
      <c r="P25" s="3">
        <v>0</v>
      </c>
    </row>
    <row r="26" spans="1:16" x14ac:dyDescent="0.3">
      <c r="A26" t="s">
        <v>12</v>
      </c>
      <c r="B26" t="s">
        <v>182</v>
      </c>
      <c r="C26" t="s">
        <v>170</v>
      </c>
      <c r="H26" s="1">
        <v>22731.399999999983</v>
      </c>
      <c r="I26" s="6">
        <v>1768216.1599999971</v>
      </c>
      <c r="J26" s="1">
        <v>1768216.1599999971</v>
      </c>
      <c r="K26" s="1">
        <v>0</v>
      </c>
      <c r="L26" s="7">
        <v>1768216.1599999971</v>
      </c>
      <c r="M26" s="1">
        <v>77.78738485091101</v>
      </c>
      <c r="N26" s="1">
        <v>77.78738485091101</v>
      </c>
      <c r="O26" s="1">
        <v>0</v>
      </c>
      <c r="P26" s="3">
        <v>0</v>
      </c>
    </row>
    <row r="27" spans="1:16" x14ac:dyDescent="0.3">
      <c r="A27" t="s">
        <v>12</v>
      </c>
      <c r="B27" t="s">
        <v>183</v>
      </c>
      <c r="H27" s="1">
        <v>8606.6500000000051</v>
      </c>
      <c r="I27" s="6">
        <v>593060.6099999994</v>
      </c>
      <c r="J27" s="1">
        <v>537068.40000000026</v>
      </c>
      <c r="K27" s="1">
        <v>-46765.039999999106</v>
      </c>
      <c r="L27" s="7">
        <v>546295.5700000003</v>
      </c>
      <c r="M27" s="1">
        <v>68.907253112418772</v>
      </c>
      <c r="N27" s="1">
        <v>63.345938002014535</v>
      </c>
      <c r="O27" s="1">
        <v>-5.5613151104042373</v>
      </c>
      <c r="P27" s="3">
        <v>-8.070725299891475E-2</v>
      </c>
    </row>
    <row r="28" spans="1:16" x14ac:dyDescent="0.3">
      <c r="A28" t="s">
        <v>12</v>
      </c>
      <c r="B28" t="s">
        <v>183</v>
      </c>
      <c r="C28" t="s">
        <v>170</v>
      </c>
      <c r="H28" s="1">
        <v>8478.3400000000056</v>
      </c>
      <c r="I28" s="6">
        <v>583833.43999999936</v>
      </c>
      <c r="J28" s="1">
        <v>537068.40000000026</v>
      </c>
      <c r="K28" s="1">
        <v>-46765.039999999106</v>
      </c>
      <c r="L28" s="7">
        <v>537068.40000000026</v>
      </c>
      <c r="M28" s="1">
        <v>68.86176303380131</v>
      </c>
      <c r="N28" s="1">
        <v>63.345938002014535</v>
      </c>
      <c r="O28" s="1">
        <v>-5.5158250317867754</v>
      </c>
      <c r="P28" s="3">
        <v>-8.0099968237515085E-2</v>
      </c>
    </row>
    <row r="29" spans="1:16" x14ac:dyDescent="0.3">
      <c r="A29" t="s">
        <v>12</v>
      </c>
      <c r="B29" t="s">
        <v>183</v>
      </c>
      <c r="C29" t="s">
        <v>171</v>
      </c>
      <c r="H29" s="1">
        <v>128.31</v>
      </c>
      <c r="I29" s="6">
        <v>9227.17</v>
      </c>
      <c r="J29" s="1">
        <v>0</v>
      </c>
      <c r="K29" s="1">
        <v>0</v>
      </c>
      <c r="L29" s="7">
        <v>9227.17</v>
      </c>
      <c r="M29" s="1">
        <v>71.913101083313848</v>
      </c>
      <c r="N29" s="1">
        <v>0</v>
      </c>
      <c r="O29" s="1">
        <v>0</v>
      </c>
      <c r="P29" s="3">
        <v>0</v>
      </c>
    </row>
    <row r="30" spans="1:16" x14ac:dyDescent="0.3">
      <c r="A30" t="s">
        <v>12</v>
      </c>
      <c r="B30" t="s">
        <v>183</v>
      </c>
      <c r="C30" t="s">
        <v>171</v>
      </c>
      <c r="D30">
        <v>20319</v>
      </c>
      <c r="E30" t="s">
        <v>125</v>
      </c>
      <c r="H30" s="1">
        <v>9.9</v>
      </c>
      <c r="I30" s="6">
        <v>792</v>
      </c>
      <c r="J30" s="1">
        <v>0</v>
      </c>
      <c r="K30" s="1">
        <v>0</v>
      </c>
      <c r="L30" s="7">
        <v>792</v>
      </c>
      <c r="M30" s="1">
        <v>80</v>
      </c>
      <c r="N30" s="1">
        <v>0</v>
      </c>
      <c r="O30" s="1">
        <v>0</v>
      </c>
      <c r="P30" s="3">
        <v>0</v>
      </c>
    </row>
    <row r="31" spans="1:16" x14ac:dyDescent="0.3">
      <c r="A31" t="s">
        <v>12</v>
      </c>
      <c r="B31" t="s">
        <v>183</v>
      </c>
      <c r="C31" t="s">
        <v>171</v>
      </c>
      <c r="D31">
        <v>20426</v>
      </c>
      <c r="E31" t="s">
        <v>64</v>
      </c>
      <c r="H31" s="1">
        <v>37.61</v>
      </c>
      <c r="I31" s="6">
        <v>2783.14</v>
      </c>
      <c r="J31" s="1">
        <v>0</v>
      </c>
      <c r="K31" s="1">
        <v>0</v>
      </c>
      <c r="L31" s="7">
        <v>2783.14</v>
      </c>
      <c r="M31" s="1">
        <v>74</v>
      </c>
      <c r="N31" s="1">
        <v>0</v>
      </c>
      <c r="O31" s="1">
        <v>0</v>
      </c>
      <c r="P31" s="3">
        <v>0</v>
      </c>
    </row>
    <row r="32" spans="1:16" x14ac:dyDescent="0.3">
      <c r="A32" t="s">
        <v>12</v>
      </c>
      <c r="B32" t="s">
        <v>183</v>
      </c>
      <c r="C32" t="s">
        <v>171</v>
      </c>
      <c r="D32">
        <v>20433</v>
      </c>
      <c r="E32" t="s">
        <v>47</v>
      </c>
      <c r="H32" s="1">
        <v>0</v>
      </c>
      <c r="I32" s="6">
        <v>0</v>
      </c>
      <c r="J32" s="1"/>
      <c r="K32" s="1">
        <v>0</v>
      </c>
      <c r="L32" s="7">
        <v>0</v>
      </c>
      <c r="M32" s="1">
        <v>0</v>
      </c>
      <c r="N32" s="1">
        <v>0</v>
      </c>
      <c r="O32" s="1">
        <v>0</v>
      </c>
      <c r="P32" s="3">
        <v>0</v>
      </c>
    </row>
    <row r="33" spans="1:16" x14ac:dyDescent="0.3">
      <c r="A33" t="s">
        <v>12</v>
      </c>
      <c r="B33" t="s">
        <v>183</v>
      </c>
      <c r="C33" t="s">
        <v>171</v>
      </c>
      <c r="D33">
        <v>20442</v>
      </c>
      <c r="E33" t="s">
        <v>50</v>
      </c>
      <c r="H33" s="1">
        <v>46.67</v>
      </c>
      <c r="I33" s="6">
        <v>2876.34</v>
      </c>
      <c r="J33" s="1">
        <v>0</v>
      </c>
      <c r="K33" s="1">
        <v>0</v>
      </c>
      <c r="L33" s="7">
        <v>2876.34</v>
      </c>
      <c r="M33" s="1">
        <v>61.63145489607885</v>
      </c>
      <c r="N33" s="1">
        <v>0</v>
      </c>
      <c r="O33" s="1">
        <v>0</v>
      </c>
      <c r="P33" s="3">
        <v>0</v>
      </c>
    </row>
    <row r="34" spans="1:16" x14ac:dyDescent="0.3">
      <c r="A34" t="s">
        <v>12</v>
      </c>
      <c r="B34" t="s">
        <v>183</v>
      </c>
      <c r="C34" t="s">
        <v>171</v>
      </c>
      <c r="D34">
        <v>20482</v>
      </c>
      <c r="E34" t="s">
        <v>60</v>
      </c>
      <c r="H34" s="1">
        <v>0</v>
      </c>
      <c r="I34" s="6">
        <v>0</v>
      </c>
      <c r="J34" s="1"/>
      <c r="K34" s="1">
        <v>0</v>
      </c>
      <c r="L34" s="7">
        <v>0</v>
      </c>
      <c r="M34" s="1">
        <v>0</v>
      </c>
      <c r="N34" s="1">
        <v>0</v>
      </c>
      <c r="O34" s="1">
        <v>0</v>
      </c>
      <c r="P34" s="3">
        <v>0</v>
      </c>
    </row>
    <row r="35" spans="1:16" x14ac:dyDescent="0.3">
      <c r="A35" t="s">
        <v>12</v>
      </c>
      <c r="B35" t="s">
        <v>183</v>
      </c>
      <c r="C35" t="s">
        <v>171</v>
      </c>
      <c r="D35">
        <v>20506</v>
      </c>
      <c r="E35" t="s">
        <v>64</v>
      </c>
      <c r="H35" s="1">
        <v>6.47</v>
      </c>
      <c r="I35" s="6">
        <v>562.89</v>
      </c>
      <c r="J35" s="1">
        <v>0</v>
      </c>
      <c r="K35" s="1">
        <v>0</v>
      </c>
      <c r="L35" s="7">
        <v>562.89</v>
      </c>
      <c r="M35" s="1">
        <v>87</v>
      </c>
      <c r="N35" s="1">
        <v>0</v>
      </c>
      <c r="O35" s="1">
        <v>0</v>
      </c>
      <c r="P35" s="3">
        <v>0</v>
      </c>
    </row>
    <row r="36" spans="1:16" x14ac:dyDescent="0.3">
      <c r="A36" t="s">
        <v>12</v>
      </c>
      <c r="B36" t="s">
        <v>183</v>
      </c>
      <c r="C36" t="s">
        <v>171</v>
      </c>
      <c r="D36">
        <v>20578</v>
      </c>
      <c r="E36" t="s">
        <v>153</v>
      </c>
      <c r="H36" s="1">
        <v>27.66</v>
      </c>
      <c r="I36" s="6">
        <v>2212.8000000000002</v>
      </c>
      <c r="J36" s="1">
        <v>0</v>
      </c>
      <c r="K36" s="1">
        <v>0</v>
      </c>
      <c r="L36" s="7">
        <v>2212.8000000000002</v>
      </c>
      <c r="M36" s="1">
        <v>80</v>
      </c>
      <c r="N36" s="1">
        <v>0</v>
      </c>
      <c r="O36" s="1">
        <v>0</v>
      </c>
      <c r="P36" s="3">
        <v>0</v>
      </c>
    </row>
    <row r="37" spans="1:16" x14ac:dyDescent="0.3">
      <c r="A37" t="s">
        <v>12</v>
      </c>
      <c r="B37" t="s">
        <v>183</v>
      </c>
      <c r="C37" t="s">
        <v>171</v>
      </c>
      <c r="D37">
        <v>20620</v>
      </c>
      <c r="E37" t="s">
        <v>51</v>
      </c>
      <c r="H37" s="1">
        <v>0</v>
      </c>
      <c r="I37" s="6">
        <v>0</v>
      </c>
      <c r="J37" s="1"/>
      <c r="K37" s="1">
        <v>0</v>
      </c>
      <c r="L37" s="7">
        <v>0</v>
      </c>
      <c r="M37" s="1">
        <v>0</v>
      </c>
      <c r="N37" s="1">
        <v>0</v>
      </c>
      <c r="O37" s="1">
        <v>0</v>
      </c>
      <c r="P37" s="3">
        <v>0</v>
      </c>
    </row>
    <row r="38" spans="1:16" x14ac:dyDescent="0.3">
      <c r="A38" t="s">
        <v>12</v>
      </c>
      <c r="B38" t="s">
        <v>183</v>
      </c>
      <c r="C38" t="s">
        <v>171</v>
      </c>
      <c r="D38">
        <v>20626</v>
      </c>
      <c r="E38" t="s">
        <v>22</v>
      </c>
      <c r="H38" s="1">
        <v>0</v>
      </c>
      <c r="I38" s="6">
        <v>0</v>
      </c>
      <c r="J38" s="1"/>
      <c r="K38" s="1">
        <v>0</v>
      </c>
      <c r="L38" s="7">
        <v>0</v>
      </c>
      <c r="M38" s="1">
        <v>0</v>
      </c>
      <c r="N38" s="1">
        <v>0</v>
      </c>
      <c r="O38" s="1">
        <v>0</v>
      </c>
      <c r="P38" s="3">
        <v>0</v>
      </c>
    </row>
    <row r="39" spans="1:16" x14ac:dyDescent="0.3">
      <c r="A39" t="s">
        <v>119</v>
      </c>
      <c r="H39" s="1">
        <v>36879.629999999997</v>
      </c>
      <c r="I39" s="6">
        <v>2821753.6299999966</v>
      </c>
      <c r="J39" s="1">
        <v>2760505.4099999974</v>
      </c>
      <c r="K39" s="1">
        <v>-52021.049999990501</v>
      </c>
      <c r="L39" s="7">
        <v>2769732.5799999973</v>
      </c>
      <c r="M39" s="1">
        <v>76.512525478156803</v>
      </c>
      <c r="N39" s="1">
        <v>75.113095529630115</v>
      </c>
      <c r="O39" s="1">
        <v>-1.3994299485266879</v>
      </c>
      <c r="P39" s="3">
        <v>-1.8290207254055474E-2</v>
      </c>
    </row>
  </sheetData>
  <conditionalFormatting pivot="1" sqref="P8:P39">
    <cfRule type="cellIs" dxfId="30" priority="1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D3E7D-08A4-43DD-92B9-4202277C5B98}">
  <dimension ref="A6:S21"/>
  <sheetViews>
    <sheetView showGridLines="0" zoomScale="90" zoomScaleNormal="9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5.77734375" defaultRowHeight="14.4" x14ac:dyDescent="0.3"/>
  <cols>
    <col min="1" max="1" width="12.109375" bestFit="1" customWidth="1"/>
    <col min="2" max="3" width="14.33203125" bestFit="1" customWidth="1"/>
    <col min="4" max="4" width="10.109375" bestFit="1" customWidth="1"/>
    <col min="5" max="5" width="11.33203125" bestFit="1" customWidth="1"/>
    <col min="6" max="9" width="12.21875" bestFit="1" customWidth="1"/>
    <col min="10" max="10" width="13.44140625" bestFit="1" customWidth="1"/>
    <col min="11" max="12" width="15.88671875" bestFit="1" customWidth="1"/>
    <col min="13" max="13" width="9.21875" bestFit="1" customWidth="1"/>
    <col min="14" max="15" width="10.33203125" bestFit="1" customWidth="1"/>
    <col min="16" max="16" width="10.44140625" bestFit="1" customWidth="1"/>
    <col min="17" max="17" width="13.109375" bestFit="1" customWidth="1"/>
    <col min="18" max="19" width="15.5546875" bestFit="1" customWidth="1"/>
  </cols>
  <sheetData>
    <row r="6" spans="1:19" x14ac:dyDescent="0.3">
      <c r="D6" s="2" t="s">
        <v>168</v>
      </c>
    </row>
    <row r="7" spans="1:19" x14ac:dyDescent="0.3">
      <c r="A7" s="2" t="s">
        <v>169</v>
      </c>
      <c r="B7" s="2" t="s">
        <v>10</v>
      </c>
      <c r="C7" s="2" t="s">
        <v>297</v>
      </c>
      <c r="D7" t="s">
        <v>247</v>
      </c>
      <c r="E7" t="s">
        <v>255</v>
      </c>
      <c r="F7" s="4" t="s">
        <v>240</v>
      </c>
      <c r="G7" t="s">
        <v>246</v>
      </c>
      <c r="H7" s="10" t="s">
        <v>191</v>
      </c>
      <c r="I7" s="11" t="s">
        <v>181</v>
      </c>
      <c r="J7" t="s">
        <v>242</v>
      </c>
      <c r="K7" t="s">
        <v>251</v>
      </c>
      <c r="L7" s="10" t="s">
        <v>233</v>
      </c>
      <c r="M7" s="4" t="s">
        <v>241</v>
      </c>
      <c r="N7" t="s">
        <v>252</v>
      </c>
      <c r="O7" s="10" t="s">
        <v>184</v>
      </c>
      <c r="P7" s="10" t="s">
        <v>120</v>
      </c>
      <c r="Q7" s="4" t="s">
        <v>243</v>
      </c>
      <c r="R7" t="s">
        <v>253</v>
      </c>
      <c r="S7" t="s">
        <v>234</v>
      </c>
    </row>
    <row r="8" spans="1:19" x14ac:dyDescent="0.3">
      <c r="A8" t="s">
        <v>170</v>
      </c>
      <c r="D8" s="1">
        <v>36751.320000000007</v>
      </c>
      <c r="E8" s="1">
        <v>36751.320000000007</v>
      </c>
      <c r="F8" s="6">
        <v>2794598.2700000009</v>
      </c>
      <c r="G8" s="1">
        <v>2838334.899999999</v>
      </c>
      <c r="H8" s="1">
        <v>2812526.459999999</v>
      </c>
      <c r="I8" s="7">
        <v>2760505.4099999988</v>
      </c>
      <c r="J8" s="1">
        <v>2760505.4099999988</v>
      </c>
      <c r="K8" s="1">
        <v>2760505.4099999988</v>
      </c>
      <c r="L8" s="1">
        <v>2760505.4099999988</v>
      </c>
      <c r="M8" s="6">
        <v>76.040759080218081</v>
      </c>
      <c r="N8" s="1">
        <v>77.230828715811938</v>
      </c>
      <c r="O8" s="1">
        <v>76.528583463124519</v>
      </c>
      <c r="P8" s="1">
        <v>75.113095529629916</v>
      </c>
      <c r="Q8" s="6">
        <v>-0.9276635505881643</v>
      </c>
      <c r="R8" s="1">
        <v>-1.4154879334946031</v>
      </c>
      <c r="S8" s="1">
        <v>-1.4154879334946031</v>
      </c>
    </row>
    <row r="9" spans="1:19" x14ac:dyDescent="0.3">
      <c r="A9" t="s">
        <v>170</v>
      </c>
      <c r="B9" t="s">
        <v>12</v>
      </c>
      <c r="D9" s="1">
        <v>31209.74</v>
      </c>
      <c r="E9" s="1">
        <v>31209.74</v>
      </c>
      <c r="F9" s="6">
        <v>2370682.0700000008</v>
      </c>
      <c r="G9" s="1">
        <v>2377687.8999999994</v>
      </c>
      <c r="H9" s="1">
        <v>2352049.5999999987</v>
      </c>
      <c r="I9" s="7">
        <v>2305284.5599999987</v>
      </c>
      <c r="J9" s="1">
        <v>2305284.5599999987</v>
      </c>
      <c r="K9" s="1">
        <v>2305284.5599999987</v>
      </c>
      <c r="L9" s="1">
        <v>2305284.5599999987</v>
      </c>
      <c r="M9" s="6">
        <v>75.959686623470631</v>
      </c>
      <c r="N9" s="1">
        <v>76.184162380077439</v>
      </c>
      <c r="O9" s="1">
        <v>75.362678445895412</v>
      </c>
      <c r="P9" s="1">
        <v>73.864266732116349</v>
      </c>
      <c r="Q9" s="6">
        <v>-2.0954198913542825</v>
      </c>
      <c r="R9" s="1">
        <v>-1.4984117137790633</v>
      </c>
      <c r="S9" s="1">
        <v>-1.4984117137790633</v>
      </c>
    </row>
    <row r="10" spans="1:19" x14ac:dyDescent="0.3">
      <c r="A10" t="s">
        <v>170</v>
      </c>
      <c r="B10" t="s">
        <v>12</v>
      </c>
      <c r="C10" t="s">
        <v>295</v>
      </c>
      <c r="D10" s="1">
        <v>11906.4</v>
      </c>
      <c r="E10" s="1">
        <v>11906.4</v>
      </c>
      <c r="F10" s="6">
        <v>977150.96999999951</v>
      </c>
      <c r="G10" s="1">
        <v>1014739.9499999998</v>
      </c>
      <c r="H10" s="1">
        <v>995233.29999999981</v>
      </c>
      <c r="I10" s="7">
        <v>977300.46</v>
      </c>
      <c r="J10" s="1">
        <v>977300.46</v>
      </c>
      <c r="K10" s="1">
        <v>977300.46</v>
      </c>
      <c r="L10" s="1">
        <v>977300.46</v>
      </c>
      <c r="M10" s="6">
        <v>82.069388732110426</v>
      </c>
      <c r="N10" s="1">
        <v>85.226428643418657</v>
      </c>
      <c r="O10" s="1">
        <v>83.588095478062201</v>
      </c>
      <c r="P10" s="1">
        <v>82.081944164482962</v>
      </c>
      <c r="Q10" s="6">
        <v>1.2555432372536757E-2</v>
      </c>
      <c r="R10" s="1">
        <v>-1.5061513135792381</v>
      </c>
      <c r="S10" s="1">
        <v>-1.5061513135792381</v>
      </c>
    </row>
    <row r="11" spans="1:19" x14ac:dyDescent="0.3">
      <c r="A11" t="s">
        <v>170</v>
      </c>
      <c r="B11" t="s">
        <v>12</v>
      </c>
      <c r="C11" t="s">
        <v>298</v>
      </c>
      <c r="D11" s="1">
        <v>2060.3999999999996</v>
      </c>
      <c r="E11" s="1">
        <v>2060.3999999999996</v>
      </c>
      <c r="F11" s="6">
        <v>170916.33</v>
      </c>
      <c r="G11" s="1">
        <v>170086.2099999999</v>
      </c>
      <c r="H11" s="1">
        <v>165525.81</v>
      </c>
      <c r="I11" s="7">
        <v>171240</v>
      </c>
      <c r="J11" s="1">
        <v>171240</v>
      </c>
      <c r="K11" s="1">
        <v>171240</v>
      </c>
      <c r="L11" s="1">
        <v>171240</v>
      </c>
      <c r="M11" s="6">
        <v>82.952984857309275</v>
      </c>
      <c r="N11" s="1">
        <v>82.550092215103831</v>
      </c>
      <c r="O11" s="1">
        <v>80.336735585323254</v>
      </c>
      <c r="P11" s="1">
        <v>83.11007571345371</v>
      </c>
      <c r="Q11" s="6">
        <v>0.15709085614443552</v>
      </c>
      <c r="R11" s="1">
        <v>2.7733401281304566</v>
      </c>
      <c r="S11" s="1">
        <v>2.7733401281304566</v>
      </c>
    </row>
    <row r="12" spans="1:19" x14ac:dyDescent="0.3">
      <c r="A12" t="s">
        <v>170</v>
      </c>
      <c r="B12" t="s">
        <v>12</v>
      </c>
      <c r="C12" t="s">
        <v>302</v>
      </c>
      <c r="D12" s="1">
        <v>17242.940000000002</v>
      </c>
      <c r="E12" s="1">
        <v>17242.940000000002</v>
      </c>
      <c r="F12" s="6">
        <v>1222614.7700000012</v>
      </c>
      <c r="G12" s="1">
        <v>1192861.7399999998</v>
      </c>
      <c r="H12" s="1">
        <v>1191290.4899999991</v>
      </c>
      <c r="I12" s="7">
        <v>1156744.0999999985</v>
      </c>
      <c r="J12" s="1">
        <v>1156744.0999999985</v>
      </c>
      <c r="K12" s="1">
        <v>1156744.0999999985</v>
      </c>
      <c r="L12" s="1">
        <v>1156744.0999999985</v>
      </c>
      <c r="M12" s="6">
        <v>70.905238317827525</v>
      </c>
      <c r="N12" s="1">
        <v>69.179718771856741</v>
      </c>
      <c r="O12" s="1">
        <v>69.088594520423953</v>
      </c>
      <c r="P12" s="1">
        <v>67.085085258082344</v>
      </c>
      <c r="Q12" s="6">
        <v>-3.8201530597451807</v>
      </c>
      <c r="R12" s="1">
        <v>-2.0035092623416091</v>
      </c>
      <c r="S12" s="1">
        <v>-2.0035092623416091</v>
      </c>
    </row>
    <row r="13" spans="1:19" x14ac:dyDescent="0.3">
      <c r="A13" t="s">
        <v>170</v>
      </c>
      <c r="B13" t="s">
        <v>280</v>
      </c>
      <c r="D13" s="1">
        <v>3198.0800000000027</v>
      </c>
      <c r="E13" s="1">
        <v>3198.0800000000027</v>
      </c>
      <c r="F13" s="6">
        <v>247037.43000000002</v>
      </c>
      <c r="G13" s="1">
        <v>259894.73999999993</v>
      </c>
      <c r="H13" s="1">
        <v>257824.64000000004</v>
      </c>
      <c r="I13" s="7">
        <v>262408.0799999999</v>
      </c>
      <c r="J13" s="1">
        <v>262408.0799999999</v>
      </c>
      <c r="K13" s="1">
        <v>262408.0799999999</v>
      </c>
      <c r="L13" s="1">
        <v>262408.0799999999</v>
      </c>
      <c r="M13" s="6">
        <v>77.245544201520858</v>
      </c>
      <c r="N13" s="1">
        <v>81.265865769461584</v>
      </c>
      <c r="O13" s="1">
        <v>80.618571142685553</v>
      </c>
      <c r="P13" s="1">
        <v>82.051756053632076</v>
      </c>
      <c r="Q13" s="6">
        <v>4.8062118521112183</v>
      </c>
      <c r="R13" s="1">
        <v>1.4331849109465225</v>
      </c>
      <c r="S13" s="1">
        <v>1.4331849109465225</v>
      </c>
    </row>
    <row r="14" spans="1:19" x14ac:dyDescent="0.3">
      <c r="A14" t="s">
        <v>170</v>
      </c>
      <c r="B14" t="s">
        <v>282</v>
      </c>
      <c r="D14" s="1">
        <v>2343.5000000000005</v>
      </c>
      <c r="E14" s="1">
        <v>2343.5000000000005</v>
      </c>
      <c r="F14" s="6">
        <v>176878.77</v>
      </c>
      <c r="G14" s="1">
        <v>200752.25999999998</v>
      </c>
      <c r="H14" s="1">
        <v>202652.21999999997</v>
      </c>
      <c r="I14" s="7">
        <v>192812.77</v>
      </c>
      <c r="J14" s="1">
        <v>192812.77</v>
      </c>
      <c r="K14" s="1">
        <v>192812.77</v>
      </c>
      <c r="L14" s="1">
        <v>192812.77</v>
      </c>
      <c r="M14" s="6">
        <v>75.476326008107506</v>
      </c>
      <c r="N14" s="1">
        <v>85.663435033070172</v>
      </c>
      <c r="O14" s="1">
        <v>86.474171111585207</v>
      </c>
      <c r="P14" s="1">
        <v>82.275557926178777</v>
      </c>
      <c r="Q14" s="6">
        <v>6.7992319180712713</v>
      </c>
      <c r="R14" s="1">
        <v>-4.1986131854064297</v>
      </c>
      <c r="S14" s="1">
        <v>-4.1986131854064297</v>
      </c>
    </row>
    <row r="15" spans="1:19" x14ac:dyDescent="0.3">
      <c r="A15" t="s">
        <v>171</v>
      </c>
      <c r="D15" s="1">
        <v>128.31</v>
      </c>
      <c r="E15" s="1">
        <v>0</v>
      </c>
      <c r="F15" s="6">
        <v>9486.64</v>
      </c>
      <c r="G15" s="1">
        <v>9946.15</v>
      </c>
      <c r="H15" s="1">
        <v>9227.17</v>
      </c>
      <c r="I15" s="7">
        <v>0</v>
      </c>
      <c r="J15" s="1">
        <v>9486.64</v>
      </c>
      <c r="K15" s="1">
        <v>9946.15</v>
      </c>
      <c r="L15" s="1">
        <v>9227.17</v>
      </c>
      <c r="M15" s="6">
        <v>73.935312914036317</v>
      </c>
      <c r="N15" s="1">
        <v>77.516561452731665</v>
      </c>
      <c r="O15" s="1">
        <v>71.913101083313848</v>
      </c>
      <c r="P15" s="1">
        <v>0</v>
      </c>
      <c r="Q15" s="6">
        <v>0</v>
      </c>
      <c r="R15" s="1">
        <v>0</v>
      </c>
      <c r="S15" s="1">
        <v>0</v>
      </c>
    </row>
    <row r="16" spans="1:19" x14ac:dyDescent="0.3">
      <c r="A16" t="s">
        <v>171</v>
      </c>
      <c r="B16" t="s">
        <v>12</v>
      </c>
      <c r="D16" s="1">
        <v>128.31</v>
      </c>
      <c r="E16" s="1">
        <v>0</v>
      </c>
      <c r="F16" s="6">
        <v>9486.64</v>
      </c>
      <c r="G16" s="1">
        <v>9946.15</v>
      </c>
      <c r="H16" s="1">
        <v>9227.17</v>
      </c>
      <c r="I16" s="7">
        <v>0</v>
      </c>
      <c r="J16" s="1">
        <v>9486.64</v>
      </c>
      <c r="K16" s="1">
        <v>9946.15</v>
      </c>
      <c r="L16" s="1">
        <v>9227.17</v>
      </c>
      <c r="M16" s="6">
        <v>73.935312914036317</v>
      </c>
      <c r="N16" s="1">
        <v>77.516561452731665</v>
      </c>
      <c r="O16" s="1">
        <v>71.913101083313848</v>
      </c>
      <c r="P16" s="1">
        <v>0</v>
      </c>
      <c r="Q16" s="6">
        <v>0</v>
      </c>
      <c r="R16" s="1">
        <v>0</v>
      </c>
      <c r="S16" s="1">
        <v>0</v>
      </c>
    </row>
    <row r="17" spans="1:19" x14ac:dyDescent="0.3">
      <c r="A17" t="s">
        <v>171</v>
      </c>
      <c r="B17" t="s">
        <v>12</v>
      </c>
      <c r="C17" t="s">
        <v>295</v>
      </c>
      <c r="D17" s="1">
        <v>37.56</v>
      </c>
      <c r="E17" s="1">
        <v>0</v>
      </c>
      <c r="F17" s="6">
        <v>3143.1</v>
      </c>
      <c r="G17" s="1">
        <v>3202.5</v>
      </c>
      <c r="H17" s="1">
        <v>3004.8</v>
      </c>
      <c r="I17" s="7">
        <v>0</v>
      </c>
      <c r="J17" s="1">
        <v>3143.1</v>
      </c>
      <c r="K17" s="1">
        <v>3202.5</v>
      </c>
      <c r="L17" s="1">
        <v>3004.8</v>
      </c>
      <c r="M17" s="6">
        <v>83.682108626198072</v>
      </c>
      <c r="N17" s="1">
        <v>85.263578274760377</v>
      </c>
      <c r="O17" s="1">
        <v>80</v>
      </c>
      <c r="P17" s="1">
        <v>0</v>
      </c>
      <c r="Q17" s="6">
        <v>0</v>
      </c>
      <c r="R17" s="1">
        <v>0</v>
      </c>
      <c r="S17" s="1">
        <v>0</v>
      </c>
    </row>
    <row r="18" spans="1:19" x14ac:dyDescent="0.3">
      <c r="A18" t="s">
        <v>171</v>
      </c>
      <c r="B18" t="s">
        <v>12</v>
      </c>
      <c r="C18" t="s">
        <v>302</v>
      </c>
      <c r="D18" s="1">
        <v>90.75</v>
      </c>
      <c r="E18" s="1">
        <v>0</v>
      </c>
      <c r="F18" s="6">
        <v>6343.5399999999991</v>
      </c>
      <c r="G18" s="1">
        <v>6743.65</v>
      </c>
      <c r="H18" s="1">
        <v>6222.37</v>
      </c>
      <c r="I18" s="7">
        <v>0</v>
      </c>
      <c r="J18" s="1">
        <v>6343.5399999999991</v>
      </c>
      <c r="K18" s="1">
        <v>6743.65</v>
      </c>
      <c r="L18" s="1">
        <v>6222.37</v>
      </c>
      <c r="M18" s="6">
        <v>69.901267217630846</v>
      </c>
      <c r="N18" s="1">
        <v>74.310192837465564</v>
      </c>
      <c r="O18" s="1">
        <v>68.566060606060603</v>
      </c>
      <c r="P18" s="1">
        <v>0</v>
      </c>
      <c r="Q18" s="6">
        <v>0</v>
      </c>
      <c r="R18" s="1">
        <v>0</v>
      </c>
      <c r="S18" s="1">
        <v>0</v>
      </c>
    </row>
    <row r="19" spans="1:19" x14ac:dyDescent="0.3">
      <c r="A19" t="s">
        <v>171</v>
      </c>
      <c r="B19" t="s">
        <v>280</v>
      </c>
      <c r="D19" s="1">
        <v>0</v>
      </c>
      <c r="E19" s="1">
        <v>0</v>
      </c>
      <c r="F19" s="6">
        <v>0</v>
      </c>
      <c r="G19" s="1">
        <v>0</v>
      </c>
      <c r="H19" s="1">
        <v>0</v>
      </c>
      <c r="I19" s="7">
        <v>0</v>
      </c>
      <c r="J19" s="1">
        <v>0</v>
      </c>
      <c r="K19" s="1">
        <v>0</v>
      </c>
      <c r="L19" s="1">
        <v>0</v>
      </c>
      <c r="M19" s="6">
        <v>0</v>
      </c>
      <c r="N19" s="1">
        <v>0</v>
      </c>
      <c r="O19" s="1">
        <v>0</v>
      </c>
      <c r="P19" s="1">
        <v>0</v>
      </c>
      <c r="Q19" s="6">
        <v>0</v>
      </c>
      <c r="R19" s="1">
        <v>0</v>
      </c>
      <c r="S19" s="1">
        <v>0</v>
      </c>
    </row>
    <row r="20" spans="1:19" x14ac:dyDescent="0.3">
      <c r="A20" t="s">
        <v>171</v>
      </c>
      <c r="B20" t="s">
        <v>282</v>
      </c>
      <c r="D20" s="1">
        <v>0</v>
      </c>
      <c r="E20" s="1">
        <v>0</v>
      </c>
      <c r="F20" s="6">
        <v>0</v>
      </c>
      <c r="G20" s="1">
        <v>0</v>
      </c>
      <c r="H20" s="1">
        <v>0</v>
      </c>
      <c r="I20" s="7"/>
      <c r="J20" s="1">
        <v>0</v>
      </c>
      <c r="K20" s="1">
        <v>0</v>
      </c>
      <c r="L20" s="1">
        <v>0</v>
      </c>
      <c r="M20" s="6">
        <v>0</v>
      </c>
      <c r="N20" s="1">
        <v>0</v>
      </c>
      <c r="O20" s="1">
        <v>0</v>
      </c>
      <c r="P20" s="1">
        <v>0</v>
      </c>
      <c r="Q20" s="6">
        <v>0</v>
      </c>
      <c r="R20" s="1">
        <v>0</v>
      </c>
      <c r="S20" s="1">
        <v>0</v>
      </c>
    </row>
    <row r="21" spans="1:19" x14ac:dyDescent="0.3">
      <c r="A21" t="s">
        <v>119</v>
      </c>
      <c r="D21" s="1">
        <v>36879.630000000005</v>
      </c>
      <c r="E21" s="1">
        <v>36751.320000000007</v>
      </c>
      <c r="F21" s="6">
        <v>2804084.9100000011</v>
      </c>
      <c r="G21" s="1">
        <v>2848281.0499999989</v>
      </c>
      <c r="H21" s="1">
        <v>2821753.629999999</v>
      </c>
      <c r="I21" s="7">
        <v>2760505.4099999988</v>
      </c>
      <c r="J21" s="1">
        <v>2769992.0499999989</v>
      </c>
      <c r="K21" s="1">
        <v>2770451.5599999987</v>
      </c>
      <c r="L21" s="1">
        <v>2769732.5799999987</v>
      </c>
      <c r="M21" s="6">
        <v>76.033433903756631</v>
      </c>
      <c r="N21" s="1">
        <v>77.231822824686503</v>
      </c>
      <c r="O21" s="1">
        <v>76.512525478156832</v>
      </c>
      <c r="P21" s="1">
        <v>75.113095529629916</v>
      </c>
      <c r="Q21" s="6">
        <v>-0.9203383741267146</v>
      </c>
      <c r="R21" s="1">
        <v>-1.3994299485269153</v>
      </c>
      <c r="S21" s="1">
        <v>-1.3994299485269153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49F91-68DC-4C92-BD44-0531EC5673CA}">
  <dimension ref="A1:H45"/>
  <sheetViews>
    <sheetView showGridLines="0" topLeftCell="H1" workbookViewId="0">
      <selection activeCell="H1" sqref="H1"/>
    </sheetView>
  </sheetViews>
  <sheetFormatPr defaultRowHeight="14.4" outlineLevelCol="1" x14ac:dyDescent="0.3"/>
  <cols>
    <col min="1" max="1" width="16.77734375" hidden="1" customWidth="1" outlineLevel="1"/>
    <col min="2" max="2" width="11.33203125" hidden="1" customWidth="1" outlineLevel="1"/>
    <col min="3" max="4" width="9.5546875" hidden="1" customWidth="1" outlineLevel="1"/>
    <col min="5" max="5" width="9.6640625" hidden="1" customWidth="1" outlineLevel="1"/>
    <col min="6" max="6" width="10.5546875" hidden="1" customWidth="1" outlineLevel="1"/>
    <col min="7" max="7" width="8.88671875" hidden="1" customWidth="1" outlineLevel="1"/>
    <col min="8" max="8" width="8.88671875" collapsed="1"/>
  </cols>
  <sheetData>
    <row r="1" spans="1:6" x14ac:dyDescent="0.3">
      <c r="A1" s="2" t="s">
        <v>169</v>
      </c>
      <c r="B1" t="s">
        <v>170</v>
      </c>
    </row>
    <row r="3" spans="1:6" x14ac:dyDescent="0.3">
      <c r="A3" s="2" t="s">
        <v>284</v>
      </c>
      <c r="B3" t="s">
        <v>241</v>
      </c>
      <c r="C3" t="s">
        <v>252</v>
      </c>
      <c r="D3" t="s">
        <v>184</v>
      </c>
      <c r="E3" t="s">
        <v>120</v>
      </c>
      <c r="F3" t="s">
        <v>255</v>
      </c>
    </row>
    <row r="4" spans="1:6" x14ac:dyDescent="0.3">
      <c r="A4" s="15">
        <v>45725</v>
      </c>
      <c r="B4" s="1">
        <v>53.088884898545523</v>
      </c>
      <c r="C4" s="1">
        <v>48.781244388579637</v>
      </c>
      <c r="D4" s="1">
        <v>48.781244388579637</v>
      </c>
      <c r="E4" s="1">
        <v>48.781244388579637</v>
      </c>
      <c r="F4" s="1">
        <v>222.76</v>
      </c>
    </row>
    <row r="5" spans="1:6" x14ac:dyDescent="0.3">
      <c r="A5" s="15">
        <v>45732</v>
      </c>
      <c r="B5" s="1">
        <v>55.033333024092926</v>
      </c>
      <c r="C5" s="1">
        <v>59.903683981037389</v>
      </c>
      <c r="D5" s="1">
        <v>59.903683981037389</v>
      </c>
      <c r="E5" s="1">
        <v>59.903683981037389</v>
      </c>
      <c r="F5" s="1">
        <v>1077.9099999999999</v>
      </c>
    </row>
    <row r="6" spans="1:6" x14ac:dyDescent="0.3">
      <c r="A6" s="15">
        <v>45739</v>
      </c>
      <c r="B6" s="1">
        <v>66.319809297195903</v>
      </c>
      <c r="C6" s="1">
        <v>67.779693103957356</v>
      </c>
      <c r="D6" s="1">
        <v>67.779693103957356</v>
      </c>
      <c r="E6" s="1">
        <v>67.779693103957356</v>
      </c>
      <c r="F6" s="1">
        <v>1151.5300000000002</v>
      </c>
    </row>
    <row r="7" spans="1:6" x14ac:dyDescent="0.3">
      <c r="A7" s="15">
        <v>45746</v>
      </c>
      <c r="B7" s="1">
        <v>64.549479022335547</v>
      </c>
      <c r="C7" s="1">
        <v>67.714543036080471</v>
      </c>
      <c r="D7" s="1">
        <v>67.714543036080471</v>
      </c>
      <c r="E7" s="1">
        <v>67.714543036080471</v>
      </c>
      <c r="F7" s="1">
        <v>721.71999999999991</v>
      </c>
    </row>
    <row r="8" spans="1:6" x14ac:dyDescent="0.3">
      <c r="A8" s="15">
        <v>45753</v>
      </c>
      <c r="B8" s="1">
        <v>81.884815830029524</v>
      </c>
      <c r="C8" s="1">
        <v>82.744550192346125</v>
      </c>
      <c r="D8" s="1">
        <v>82.744550192346125</v>
      </c>
      <c r="E8" s="1">
        <v>82.744550192346125</v>
      </c>
      <c r="F8" s="1">
        <v>850.03</v>
      </c>
    </row>
    <row r="9" spans="1:6" x14ac:dyDescent="0.3">
      <c r="A9" s="15">
        <v>45760</v>
      </c>
      <c r="B9" s="1">
        <v>81.295911170587928</v>
      </c>
      <c r="C9" s="1">
        <v>85.369549885165554</v>
      </c>
      <c r="D9" s="1">
        <v>85.369549885165554</v>
      </c>
      <c r="E9" s="1">
        <v>85.369549885165554</v>
      </c>
      <c r="F9" s="1">
        <v>1105.94</v>
      </c>
    </row>
    <row r="10" spans="1:6" x14ac:dyDescent="0.3">
      <c r="A10" s="15">
        <v>45767</v>
      </c>
      <c r="B10" s="1">
        <v>61.626539801206363</v>
      </c>
      <c r="C10" s="1">
        <v>74.234899328859058</v>
      </c>
      <c r="D10" s="1">
        <v>74.234899328859058</v>
      </c>
      <c r="E10" s="1">
        <v>74.234899328859058</v>
      </c>
      <c r="F10" s="1">
        <v>117.71000000000001</v>
      </c>
    </row>
    <row r="11" spans="1:6" x14ac:dyDescent="0.3">
      <c r="A11" s="15">
        <v>45774</v>
      </c>
      <c r="B11" s="1">
        <v>79.729500471253516</v>
      </c>
      <c r="C11" s="1">
        <v>94.57981638565991</v>
      </c>
      <c r="D11" s="1">
        <v>94.57981638565991</v>
      </c>
      <c r="E11" s="1">
        <v>94.57981638565991</v>
      </c>
      <c r="F11" s="1">
        <v>286.47000000000003</v>
      </c>
    </row>
    <row r="12" spans="1:6" x14ac:dyDescent="0.3">
      <c r="A12" s="15">
        <v>45781</v>
      </c>
      <c r="B12" s="1">
        <v>80.992651832615238</v>
      </c>
      <c r="C12" s="1">
        <v>87.631971905801791</v>
      </c>
      <c r="D12" s="1">
        <v>87.631971905801791</v>
      </c>
      <c r="E12" s="1">
        <v>87.631971905801791</v>
      </c>
      <c r="F12" s="1">
        <v>338.86</v>
      </c>
    </row>
    <row r="13" spans="1:6" x14ac:dyDescent="0.3">
      <c r="A13" s="15">
        <v>45788</v>
      </c>
      <c r="B13" s="1">
        <v>90.281169004020896</v>
      </c>
      <c r="C13" s="1">
        <v>89.31145887330652</v>
      </c>
      <c r="D13" s="1">
        <v>89.31145887330652</v>
      </c>
      <c r="E13" s="1">
        <v>89.31145887330652</v>
      </c>
      <c r="F13" s="1">
        <v>713.77</v>
      </c>
    </row>
    <row r="14" spans="1:6" x14ac:dyDescent="0.3">
      <c r="A14" s="15">
        <v>45795</v>
      </c>
      <c r="B14" s="1">
        <v>77.661277387027383</v>
      </c>
      <c r="C14" s="1">
        <v>77.067978736239922</v>
      </c>
      <c r="D14" s="1">
        <v>77.067978736239922</v>
      </c>
      <c r="E14" s="1">
        <v>77.067978736239922</v>
      </c>
      <c r="F14" s="1">
        <v>1408.9700000000007</v>
      </c>
    </row>
    <row r="15" spans="1:6" x14ac:dyDescent="0.3">
      <c r="A15" s="15">
        <v>45802</v>
      </c>
      <c r="B15" s="1">
        <v>88.898474956031492</v>
      </c>
      <c r="C15" s="1">
        <v>92.385212132893201</v>
      </c>
      <c r="D15" s="1">
        <v>92.385212132893201</v>
      </c>
      <c r="E15" s="1">
        <v>92.385212132893201</v>
      </c>
      <c r="F15" s="1">
        <v>1245.2100000000005</v>
      </c>
    </row>
    <row r="16" spans="1:6" x14ac:dyDescent="0.3">
      <c r="A16" s="15">
        <v>45809</v>
      </c>
      <c r="B16" s="1">
        <v>86.914008508672296</v>
      </c>
      <c r="C16" s="1">
        <v>89.83723795406857</v>
      </c>
      <c r="D16" s="1">
        <v>89.83723795406857</v>
      </c>
      <c r="E16" s="1">
        <v>89.83723795406857</v>
      </c>
      <c r="F16" s="1">
        <v>519.47</v>
      </c>
    </row>
    <row r="17" spans="1:6" x14ac:dyDescent="0.3">
      <c r="A17" s="15">
        <v>45816</v>
      </c>
      <c r="B17" s="1">
        <v>65.120509415330133</v>
      </c>
      <c r="C17" s="1">
        <v>78.138284468961771</v>
      </c>
      <c r="D17" s="1">
        <v>78.138284468961771</v>
      </c>
      <c r="E17" s="1">
        <v>78.138284468961771</v>
      </c>
      <c r="F17" s="1">
        <v>293.66999999999996</v>
      </c>
    </row>
    <row r="18" spans="1:6" x14ac:dyDescent="0.3">
      <c r="A18" s="15">
        <v>45823</v>
      </c>
      <c r="B18" s="1">
        <v>66.896279447132798</v>
      </c>
      <c r="C18" s="1">
        <v>69.211613688389207</v>
      </c>
      <c r="D18" s="1">
        <v>69.211613688389207</v>
      </c>
      <c r="E18" s="1">
        <v>69.211613688389207</v>
      </c>
      <c r="F18" s="1">
        <v>690.21999999999991</v>
      </c>
    </row>
    <row r="19" spans="1:6" x14ac:dyDescent="0.3">
      <c r="A19" s="15">
        <v>45830</v>
      </c>
      <c r="B19" s="1">
        <v>63.474746705263954</v>
      </c>
      <c r="C19" s="1">
        <v>65.579416469871248</v>
      </c>
      <c r="D19" s="1">
        <v>65.579416469871248</v>
      </c>
      <c r="E19" s="1">
        <v>66.19791269901728</v>
      </c>
      <c r="F19" s="1">
        <v>525.08000000000015</v>
      </c>
    </row>
    <row r="20" spans="1:6" x14ac:dyDescent="0.3">
      <c r="A20" s="15">
        <v>45837</v>
      </c>
      <c r="B20" s="1">
        <v>67.872781488750547</v>
      </c>
      <c r="C20" s="1">
        <v>73.562025657656434</v>
      </c>
      <c r="D20" s="1">
        <v>73.562025657656434</v>
      </c>
      <c r="E20" s="1">
        <v>73.562025657656434</v>
      </c>
      <c r="F20" s="1">
        <v>1187.1699999999998</v>
      </c>
    </row>
    <row r="21" spans="1:6" x14ac:dyDescent="0.3">
      <c r="A21" s="15">
        <v>45844</v>
      </c>
      <c r="B21" s="1">
        <v>82.003740212527958</v>
      </c>
      <c r="C21" s="1">
        <v>83.874848527218489</v>
      </c>
      <c r="D21" s="1">
        <v>83.874848527218489</v>
      </c>
      <c r="E21" s="1">
        <v>83.874848527218489</v>
      </c>
      <c r="F21" s="1">
        <v>858.24</v>
      </c>
    </row>
    <row r="22" spans="1:6" x14ac:dyDescent="0.3">
      <c r="A22" s="15">
        <v>45851</v>
      </c>
      <c r="B22" s="1">
        <v>81.373021605887402</v>
      </c>
      <c r="C22" s="1">
        <v>79.829427204394108</v>
      </c>
      <c r="D22" s="1">
        <v>79.911945817211745</v>
      </c>
      <c r="E22" s="1">
        <v>79.911945817211745</v>
      </c>
      <c r="F22" s="1">
        <v>1398.2300000000002</v>
      </c>
    </row>
    <row r="23" spans="1:6" x14ac:dyDescent="0.3">
      <c r="A23" s="15">
        <v>45858</v>
      </c>
      <c r="B23" s="1">
        <v>76.628002939347667</v>
      </c>
      <c r="C23" s="1">
        <v>73.65366570572607</v>
      </c>
      <c r="D23" s="1">
        <v>73.361982552333572</v>
      </c>
      <c r="E23" s="1">
        <v>73.361982552333572</v>
      </c>
      <c r="F23" s="1">
        <v>1061.46</v>
      </c>
    </row>
    <row r="24" spans="1:6" x14ac:dyDescent="0.3">
      <c r="A24" s="15">
        <v>45865</v>
      </c>
      <c r="B24" s="1">
        <v>81.675940247077961</v>
      </c>
      <c r="C24" s="1">
        <v>81.561867376705735</v>
      </c>
      <c r="D24" s="1">
        <v>81.784521408853294</v>
      </c>
      <c r="E24" s="1">
        <v>81.784521408853294</v>
      </c>
      <c r="F24" s="1">
        <v>1021.5400000000001</v>
      </c>
    </row>
    <row r="25" spans="1:6" x14ac:dyDescent="0.3">
      <c r="A25" s="15">
        <v>45872</v>
      </c>
      <c r="B25" s="1">
        <v>84.627774960182904</v>
      </c>
      <c r="C25" s="1">
        <v>86.055503652492717</v>
      </c>
      <c r="D25" s="1">
        <v>85.547206577156132</v>
      </c>
      <c r="E25" s="1">
        <v>85.547206577156132</v>
      </c>
      <c r="F25" s="1">
        <v>1123.8900000000001</v>
      </c>
    </row>
    <row r="26" spans="1:6" x14ac:dyDescent="0.3">
      <c r="A26" s="15">
        <v>45879</v>
      </c>
      <c r="B26" s="1">
        <v>81.458253310025327</v>
      </c>
      <c r="C26" s="1">
        <v>84.996786002649614</v>
      </c>
      <c r="D26" s="1">
        <v>91.659880690147133</v>
      </c>
      <c r="E26" s="1">
        <v>91.659880690147133</v>
      </c>
      <c r="F26" s="1">
        <v>1275.6700000000003</v>
      </c>
    </row>
    <row r="27" spans="1:6" x14ac:dyDescent="0.3">
      <c r="A27" s="15">
        <v>45886</v>
      </c>
      <c r="B27" s="1">
        <v>79.904675640652641</v>
      </c>
      <c r="C27" s="1">
        <v>81.042968026869048</v>
      </c>
      <c r="D27" s="1">
        <v>77.455352656493815</v>
      </c>
      <c r="E27" s="1">
        <v>77.455352656493815</v>
      </c>
      <c r="F27" s="1">
        <v>1512.5200000000002</v>
      </c>
    </row>
    <row r="28" spans="1:6" x14ac:dyDescent="0.3">
      <c r="A28" s="15">
        <v>45893</v>
      </c>
      <c r="B28" s="1">
        <v>70.100461790760093</v>
      </c>
      <c r="C28" s="1">
        <v>68.404111515949992</v>
      </c>
      <c r="D28" s="1">
        <v>65.937339179480901</v>
      </c>
      <c r="E28" s="1">
        <v>65.841536466374407</v>
      </c>
      <c r="F28" s="1">
        <v>1457.3699999999997</v>
      </c>
    </row>
    <row r="29" spans="1:6" x14ac:dyDescent="0.3">
      <c r="A29" s="15">
        <v>45900</v>
      </c>
      <c r="B29" s="1">
        <v>81.222752890229899</v>
      </c>
      <c r="C29" s="1">
        <v>81.732738741978125</v>
      </c>
      <c r="D29" s="1">
        <v>78.241411385825188</v>
      </c>
      <c r="E29" s="1">
        <v>78.241411385825188</v>
      </c>
      <c r="F29" s="1">
        <v>1279.3099999999997</v>
      </c>
    </row>
    <row r="30" spans="1:6" x14ac:dyDescent="0.3">
      <c r="A30" s="15">
        <v>45907</v>
      </c>
      <c r="B30" s="1">
        <v>81.825599892456239</v>
      </c>
      <c r="C30" s="1">
        <v>81.915018035982328</v>
      </c>
      <c r="D30" s="1">
        <v>86.899480205229324</v>
      </c>
      <c r="E30" s="1">
        <v>86.899480205229324</v>
      </c>
      <c r="F30" s="1">
        <v>892.66</v>
      </c>
    </row>
    <row r="31" spans="1:6" x14ac:dyDescent="0.3">
      <c r="A31" s="15">
        <v>45914</v>
      </c>
      <c r="B31" s="1">
        <v>93.859536368068788</v>
      </c>
      <c r="C31" s="1">
        <v>95.162836310447261</v>
      </c>
      <c r="D31" s="1">
        <v>89.480585966934086</v>
      </c>
      <c r="E31" s="1">
        <v>89.480585966934086</v>
      </c>
      <c r="F31" s="1">
        <v>902.43999999999994</v>
      </c>
    </row>
    <row r="32" spans="1:6" x14ac:dyDescent="0.3">
      <c r="A32" s="15">
        <v>45921</v>
      </c>
      <c r="B32" s="1">
        <v>83.123311900068146</v>
      </c>
      <c r="C32" s="1">
        <v>82.147373657350229</v>
      </c>
      <c r="D32" s="1">
        <v>81.786281482027391</v>
      </c>
      <c r="E32" s="1">
        <v>81.786281482027391</v>
      </c>
      <c r="F32" s="1">
        <v>1085.5400000000002</v>
      </c>
    </row>
    <row r="33" spans="1:6" x14ac:dyDescent="0.3">
      <c r="A33" s="15">
        <v>45928</v>
      </c>
      <c r="B33" s="1">
        <v>111.574020383061</v>
      </c>
      <c r="C33" s="1">
        <v>116.28975575470039</v>
      </c>
      <c r="D33" s="1">
        <v>118.43164645932173</v>
      </c>
      <c r="E33" s="1">
        <v>118.35173958882446</v>
      </c>
      <c r="F33" s="1">
        <v>227.64000000000001</v>
      </c>
    </row>
    <row r="34" spans="1:6" x14ac:dyDescent="0.3">
      <c r="A34" s="15">
        <v>45935</v>
      </c>
      <c r="B34" s="1">
        <v>73.513017313738601</v>
      </c>
      <c r="C34" s="1">
        <v>73.036284872885574</v>
      </c>
      <c r="D34" s="1">
        <v>70.87195373518658</v>
      </c>
      <c r="E34" s="1">
        <v>66.780256362834493</v>
      </c>
      <c r="F34" s="1">
        <v>1405.82</v>
      </c>
    </row>
    <row r="35" spans="1:6" x14ac:dyDescent="0.3">
      <c r="A35" s="15">
        <v>45942</v>
      </c>
      <c r="B35" s="1">
        <v>75.689833994843141</v>
      </c>
      <c r="C35" s="1">
        <v>75.204457223976576</v>
      </c>
      <c r="D35" s="1">
        <v>73.583770316076141</v>
      </c>
      <c r="E35" s="1">
        <v>68.14677550192657</v>
      </c>
      <c r="F35" s="1">
        <v>1380.6799999999998</v>
      </c>
    </row>
    <row r="36" spans="1:6" x14ac:dyDescent="0.3">
      <c r="A36" s="15">
        <v>45949</v>
      </c>
      <c r="B36" s="1">
        <v>64.722940776038129</v>
      </c>
      <c r="C36" s="1">
        <v>49.482300884955748</v>
      </c>
      <c r="D36" s="1">
        <v>62.691173133651013</v>
      </c>
      <c r="E36" s="1">
        <v>49.704560925799861</v>
      </c>
      <c r="F36" s="1">
        <v>88.14</v>
      </c>
    </row>
    <row r="37" spans="1:6" x14ac:dyDescent="0.3">
      <c r="A37" s="15">
        <v>45956</v>
      </c>
      <c r="B37" s="1">
        <v>63.204284902921799</v>
      </c>
      <c r="C37" s="1">
        <v>63.818002061465322</v>
      </c>
      <c r="D37" s="1">
        <v>59.670838679820768</v>
      </c>
      <c r="E37" s="1">
        <v>49.85943120385366</v>
      </c>
      <c r="F37" s="1">
        <v>950.78000000000009</v>
      </c>
    </row>
    <row r="38" spans="1:6" x14ac:dyDescent="0.3">
      <c r="A38" s="15">
        <v>45963</v>
      </c>
      <c r="B38" s="1">
        <v>62.1248659123153</v>
      </c>
      <c r="C38" s="1">
        <v>65.191338800650541</v>
      </c>
      <c r="D38" s="1">
        <v>64.521263711547121</v>
      </c>
      <c r="E38" s="1">
        <v>58.065971140869927</v>
      </c>
      <c r="F38" s="1">
        <v>1155.96</v>
      </c>
    </row>
    <row r="39" spans="1:6" x14ac:dyDescent="0.3">
      <c r="A39" s="15">
        <v>45977</v>
      </c>
      <c r="B39" s="1">
        <v>64.495150670710061</v>
      </c>
      <c r="C39" s="1">
        <v>60.263940114198306</v>
      </c>
      <c r="D39" s="1">
        <v>60.786265242375386</v>
      </c>
      <c r="E39" s="1">
        <v>53.542842572102472</v>
      </c>
      <c r="F39" s="1">
        <v>1098.0899999999999</v>
      </c>
    </row>
    <row r="40" spans="1:6" x14ac:dyDescent="0.3">
      <c r="A40" s="15">
        <v>45970</v>
      </c>
      <c r="B40" s="1">
        <v>46.222866280231877</v>
      </c>
      <c r="C40" s="1">
        <v>43.348057831967495</v>
      </c>
      <c r="D40" s="1">
        <v>49.058564861083354</v>
      </c>
      <c r="E40" s="1">
        <v>40.567259644213486</v>
      </c>
      <c r="F40" s="1">
        <v>150.08999999999997</v>
      </c>
    </row>
    <row r="41" spans="1:6" x14ac:dyDescent="0.3">
      <c r="A41" s="15">
        <v>45984</v>
      </c>
      <c r="B41" s="1">
        <v>70.332193370300701</v>
      </c>
      <c r="C41" s="1">
        <v>69.306690768742214</v>
      </c>
      <c r="D41" s="1">
        <v>65.914771478124933</v>
      </c>
      <c r="E41" s="1">
        <v>65.197449739844174</v>
      </c>
      <c r="F41" s="1">
        <v>409.37</v>
      </c>
    </row>
    <row r="42" spans="1:6" x14ac:dyDescent="0.3">
      <c r="A42" s="15">
        <v>45991</v>
      </c>
      <c r="B42" s="1">
        <v>78.907859101313974</v>
      </c>
      <c r="C42" s="1">
        <v>76.337045018153205</v>
      </c>
      <c r="D42" s="1">
        <v>72.721975801380182</v>
      </c>
      <c r="E42" s="1">
        <v>75.294676471328117</v>
      </c>
      <c r="F42" s="1">
        <v>1192.6299999999994</v>
      </c>
    </row>
    <row r="43" spans="1:6" x14ac:dyDescent="0.3">
      <c r="A43" s="15">
        <v>45998</v>
      </c>
      <c r="B43" s="1">
        <v>75.848386042190015</v>
      </c>
      <c r="C43" s="1">
        <v>79.848876423827363</v>
      </c>
      <c r="D43" s="1">
        <v>76.549554354933051</v>
      </c>
      <c r="E43" s="1">
        <v>77.081515193227546</v>
      </c>
      <c r="F43" s="1">
        <v>1162.3600000000001</v>
      </c>
    </row>
    <row r="44" spans="1:6" x14ac:dyDescent="0.3">
      <c r="A44" s="15">
        <v>46005</v>
      </c>
      <c r="B44" s="1">
        <v>76.374551643972126</v>
      </c>
      <c r="C44" s="1">
        <v>79.404317502490883</v>
      </c>
      <c r="D44" s="1">
        <v>77.111416472932575</v>
      </c>
      <c r="E44" s="1">
        <v>64.525531384921962</v>
      </c>
      <c r="F44" s="1">
        <v>1204.3999999999999</v>
      </c>
    </row>
    <row r="45" spans="1:6" x14ac:dyDescent="0.3">
      <c r="A45" s="14" t="s">
        <v>119</v>
      </c>
      <c r="B45" s="1">
        <v>76.04075908021818</v>
      </c>
      <c r="C45" s="1">
        <v>77.230828715812166</v>
      </c>
      <c r="D45" s="1">
        <v>76.528583463124434</v>
      </c>
      <c r="E45" s="1">
        <v>75.113095529630073</v>
      </c>
      <c r="F45" s="1">
        <v>36751.32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A163D-99C8-404D-82C7-1686EE34C94B}">
  <dimension ref="A6:J23"/>
  <sheetViews>
    <sheetView showGridLines="0" zoomScale="110" zoomScaleNormal="110" workbookViewId="0">
      <selection activeCell="F19" sqref="F19"/>
    </sheetView>
  </sheetViews>
  <sheetFormatPr defaultColWidth="11.6640625" defaultRowHeight="14.4" x14ac:dyDescent="0.3"/>
  <cols>
    <col min="1" max="1" width="11.77734375" bestFit="1" customWidth="1"/>
    <col min="2" max="2" width="13.21875" bestFit="1" customWidth="1"/>
    <col min="3" max="3" width="12.6640625" bestFit="1" customWidth="1"/>
    <col min="4" max="4" width="12.21875" bestFit="1" customWidth="1"/>
    <col min="5" max="5" width="13.21875" bestFit="1" customWidth="1"/>
    <col min="7" max="7" width="8.44140625" bestFit="1" customWidth="1"/>
    <col min="8" max="8" width="7.44140625" bestFit="1" customWidth="1"/>
    <col min="10" max="10" width="8.44140625" bestFit="1" customWidth="1"/>
    <col min="11" max="11" width="7.44140625" bestFit="1" customWidth="1"/>
    <col min="13" max="13" width="8.44140625" bestFit="1" customWidth="1"/>
    <col min="14" max="14" width="7.44140625" bestFit="1" customWidth="1"/>
    <col min="16" max="16" width="8.44140625" bestFit="1" customWidth="1"/>
    <col min="17" max="17" width="7.44140625" bestFit="1" customWidth="1"/>
    <col min="19" max="19" width="10" bestFit="1" customWidth="1"/>
  </cols>
  <sheetData>
    <row r="6" spans="1:10" x14ac:dyDescent="0.3">
      <c r="A6" s="2" t="s">
        <v>120</v>
      </c>
      <c r="E6" s="2" t="s">
        <v>192</v>
      </c>
    </row>
    <row r="7" spans="1:10" x14ac:dyDescent="0.3">
      <c r="A7" s="2" t="s">
        <v>169</v>
      </c>
      <c r="B7" s="2" t="s">
        <v>10</v>
      </c>
      <c r="C7" s="2" t="s">
        <v>297</v>
      </c>
      <c r="D7" s="2" t="s">
        <v>193</v>
      </c>
      <c r="E7">
        <v>1</v>
      </c>
      <c r="F7">
        <v>2</v>
      </c>
      <c r="G7">
        <v>3</v>
      </c>
      <c r="H7">
        <v>4</v>
      </c>
      <c r="I7">
        <v>5</v>
      </c>
      <c r="J7" t="s">
        <v>119</v>
      </c>
    </row>
    <row r="8" spans="1:10" x14ac:dyDescent="0.3">
      <c r="A8" t="s">
        <v>170</v>
      </c>
      <c r="E8" s="65">
        <v>104.00431354201135</v>
      </c>
      <c r="F8" s="65">
        <v>80.746429788706891</v>
      </c>
      <c r="G8" s="65">
        <v>65.442628253807356</v>
      </c>
      <c r="H8" s="65">
        <v>62.557091331122251</v>
      </c>
      <c r="I8" s="65">
        <v>53.99149071888754</v>
      </c>
      <c r="J8" s="65">
        <v>73.438134430207185</v>
      </c>
    </row>
    <row r="9" spans="1:10" x14ac:dyDescent="0.3">
      <c r="A9" t="s">
        <v>170</v>
      </c>
      <c r="B9" t="s">
        <v>12</v>
      </c>
      <c r="E9" s="65">
        <v>104.00431354201135</v>
      </c>
      <c r="F9" s="65">
        <v>80.746429788706891</v>
      </c>
      <c r="G9" s="65">
        <v>65.442628253807356</v>
      </c>
      <c r="H9" s="65">
        <v>62.557091331122251</v>
      </c>
      <c r="I9" s="65">
        <v>53.99149071888754</v>
      </c>
      <c r="J9" s="65">
        <v>73.438134430207185</v>
      </c>
    </row>
    <row r="10" spans="1:10" x14ac:dyDescent="0.3">
      <c r="A10" t="s">
        <v>170</v>
      </c>
      <c r="B10" t="s">
        <v>12</v>
      </c>
      <c r="C10" t="s">
        <v>302</v>
      </c>
      <c r="E10" s="65">
        <v>100.62636513613865</v>
      </c>
      <c r="F10" s="65">
        <v>80.421171119954494</v>
      </c>
      <c r="G10" s="65">
        <v>65.314740605004673</v>
      </c>
      <c r="H10" s="65">
        <v>59.879669843765384</v>
      </c>
      <c r="I10" s="65">
        <v>53.949188110196928</v>
      </c>
      <c r="J10" s="65">
        <v>71.625618591799025</v>
      </c>
    </row>
    <row r="11" spans="1:10" x14ac:dyDescent="0.3">
      <c r="A11" t="s">
        <v>170</v>
      </c>
      <c r="B11" t="s">
        <v>12</v>
      </c>
      <c r="C11" t="s">
        <v>298</v>
      </c>
      <c r="E11" s="65">
        <v>121.34589360709285</v>
      </c>
      <c r="F11" s="65">
        <v>82.163515158377436</v>
      </c>
      <c r="G11" s="65">
        <v>73.792364016736386</v>
      </c>
      <c r="H11" s="65">
        <v>71.208386250105846</v>
      </c>
      <c r="I11" s="65">
        <v>68.119658119658126</v>
      </c>
      <c r="J11" s="65">
        <v>88.59674882323722</v>
      </c>
    </row>
    <row r="12" spans="1:10" x14ac:dyDescent="0.3">
      <c r="A12" t="s">
        <v>170</v>
      </c>
      <c r="B12" t="s">
        <v>12</v>
      </c>
      <c r="C12" t="s">
        <v>298</v>
      </c>
      <c r="D12" t="s">
        <v>212</v>
      </c>
      <c r="E12" s="65">
        <v>121.73535308531966</v>
      </c>
      <c r="F12" s="65">
        <v>81.24764542936289</v>
      </c>
      <c r="G12" s="65">
        <v>0</v>
      </c>
      <c r="H12" s="65">
        <v>70.269229600364696</v>
      </c>
      <c r="I12" s="65">
        <v>0</v>
      </c>
      <c r="J12" s="65">
        <v>78.611069492795124</v>
      </c>
    </row>
    <row r="13" spans="1:10" x14ac:dyDescent="0.3">
      <c r="A13" t="s">
        <v>170</v>
      </c>
      <c r="B13" t="s">
        <v>12</v>
      </c>
      <c r="C13" t="s">
        <v>298</v>
      </c>
      <c r="D13" t="s">
        <v>209</v>
      </c>
      <c r="E13" s="65">
        <v>0</v>
      </c>
      <c r="F13" s="65">
        <v>0</v>
      </c>
      <c r="G13" s="65">
        <v>0</v>
      </c>
      <c r="H13" s="65">
        <v>83.555702917771882</v>
      </c>
      <c r="I13" s="65">
        <v>0</v>
      </c>
      <c r="J13" s="65">
        <v>83.555702917771882</v>
      </c>
    </row>
    <row r="14" spans="1:10" x14ac:dyDescent="0.3">
      <c r="A14" t="s">
        <v>170</v>
      </c>
      <c r="B14" t="s">
        <v>12</v>
      </c>
      <c r="C14" t="s">
        <v>298</v>
      </c>
      <c r="D14" t="s">
        <v>205</v>
      </c>
      <c r="E14" s="65">
        <v>0</v>
      </c>
      <c r="F14" s="65">
        <v>0</v>
      </c>
      <c r="G14" s="65">
        <v>0</v>
      </c>
      <c r="H14" s="65">
        <v>0</v>
      </c>
      <c r="I14" s="65">
        <v>68.119658119658126</v>
      </c>
      <c r="J14" s="65">
        <v>68.119658119658126</v>
      </c>
    </row>
    <row r="15" spans="1:10" x14ac:dyDescent="0.3">
      <c r="A15" t="s">
        <v>170</v>
      </c>
      <c r="B15" t="s">
        <v>12</v>
      </c>
      <c r="C15" t="s">
        <v>298</v>
      </c>
      <c r="D15" t="s">
        <v>210</v>
      </c>
      <c r="E15" s="65">
        <v>0</v>
      </c>
      <c r="F15" s="65">
        <v>96.442017112688887</v>
      </c>
      <c r="G15" s="65">
        <v>0</v>
      </c>
      <c r="H15" s="65">
        <v>0</v>
      </c>
      <c r="I15" s="65">
        <v>0</v>
      </c>
      <c r="J15" s="65">
        <v>96.442017112688887</v>
      </c>
    </row>
    <row r="16" spans="1:10" x14ac:dyDescent="0.3">
      <c r="A16" t="s">
        <v>170</v>
      </c>
      <c r="B16" t="s">
        <v>12</v>
      </c>
      <c r="C16" t="s">
        <v>298</v>
      </c>
      <c r="D16" t="s">
        <v>223</v>
      </c>
      <c r="E16" s="65">
        <v>117.97423009414393</v>
      </c>
      <c r="F16" s="65">
        <v>0</v>
      </c>
      <c r="G16" s="65">
        <v>0</v>
      </c>
      <c r="H16" s="65">
        <v>0</v>
      </c>
      <c r="I16" s="65">
        <v>0</v>
      </c>
      <c r="J16" s="65">
        <v>117.97423009414393</v>
      </c>
    </row>
    <row r="17" spans="1:10" x14ac:dyDescent="0.3">
      <c r="A17" t="s">
        <v>170</v>
      </c>
      <c r="B17" t="s">
        <v>12</v>
      </c>
      <c r="C17" t="s">
        <v>298</v>
      </c>
      <c r="D17" t="s">
        <v>194</v>
      </c>
      <c r="E17" s="65">
        <v>0</v>
      </c>
      <c r="F17" s="65">
        <v>0</v>
      </c>
      <c r="G17" s="65">
        <v>0</v>
      </c>
      <c r="H17" s="65">
        <v>73.242130750605327</v>
      </c>
      <c r="I17" s="65">
        <v>0</v>
      </c>
      <c r="J17" s="65">
        <v>73.242130750605327</v>
      </c>
    </row>
    <row r="18" spans="1:10" x14ac:dyDescent="0.3">
      <c r="A18" t="s">
        <v>170</v>
      </c>
      <c r="B18" t="s">
        <v>12</v>
      </c>
      <c r="C18" t="s">
        <v>298</v>
      </c>
      <c r="D18" t="s">
        <v>200</v>
      </c>
      <c r="E18" s="65">
        <v>130.97009606445616</v>
      </c>
      <c r="F18" s="65">
        <v>0</v>
      </c>
      <c r="G18" s="65">
        <v>0</v>
      </c>
      <c r="H18" s="65">
        <v>72.050638371290546</v>
      </c>
      <c r="I18" s="65">
        <v>0</v>
      </c>
      <c r="J18" s="65">
        <v>93.122686467915315</v>
      </c>
    </row>
    <row r="19" spans="1:10" x14ac:dyDescent="0.3">
      <c r="A19" t="s">
        <v>170</v>
      </c>
      <c r="B19" t="s">
        <v>12</v>
      </c>
      <c r="C19" t="s">
        <v>298</v>
      </c>
      <c r="D19" t="s">
        <v>207</v>
      </c>
      <c r="E19" s="65">
        <v>0</v>
      </c>
      <c r="F19" s="65">
        <v>74.879878339257573</v>
      </c>
      <c r="G19" s="65">
        <v>73.792364016736386</v>
      </c>
      <c r="H19" s="65">
        <v>0</v>
      </c>
      <c r="I19" s="65">
        <v>0</v>
      </c>
      <c r="J19" s="65">
        <v>74.641812405186471</v>
      </c>
    </row>
    <row r="20" spans="1:10" x14ac:dyDescent="0.3">
      <c r="A20" t="s">
        <v>170</v>
      </c>
      <c r="B20" t="s">
        <v>12</v>
      </c>
      <c r="C20" t="s">
        <v>298</v>
      </c>
      <c r="D20" t="s">
        <v>211</v>
      </c>
      <c r="E20" s="65">
        <v>110.36410754778103</v>
      </c>
      <c r="F20" s="65">
        <v>102.81675246973703</v>
      </c>
      <c r="G20" s="65">
        <v>0</v>
      </c>
      <c r="H20" s="65">
        <v>0</v>
      </c>
      <c r="I20" s="65">
        <v>0</v>
      </c>
      <c r="J20" s="65">
        <v>105.08448510803971</v>
      </c>
    </row>
    <row r="21" spans="1:10" x14ac:dyDescent="0.3">
      <c r="A21" t="s">
        <v>170</v>
      </c>
      <c r="B21" t="s">
        <v>12</v>
      </c>
      <c r="C21" t="s">
        <v>298</v>
      </c>
      <c r="D21" t="s">
        <v>214</v>
      </c>
      <c r="E21" s="65">
        <v>122.10057682866962</v>
      </c>
      <c r="F21" s="65">
        <v>0</v>
      </c>
      <c r="G21" s="65">
        <v>0</v>
      </c>
      <c r="H21" s="65">
        <v>0</v>
      </c>
      <c r="I21" s="65">
        <v>0</v>
      </c>
      <c r="J21" s="65">
        <v>122.10057682866962</v>
      </c>
    </row>
    <row r="22" spans="1:10" x14ac:dyDescent="0.3">
      <c r="A22" t="s">
        <v>171</v>
      </c>
      <c r="E22" s="65">
        <v>0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</row>
    <row r="23" spans="1:10" x14ac:dyDescent="0.3">
      <c r="A23" t="s">
        <v>119</v>
      </c>
      <c r="E23" s="65">
        <v>104.00431354201135</v>
      </c>
      <c r="F23" s="65">
        <v>80.746429788706891</v>
      </c>
      <c r="G23" s="65">
        <v>65.442628253807356</v>
      </c>
      <c r="H23" s="65">
        <v>62.557091331122251</v>
      </c>
      <c r="I23" s="65">
        <v>53.99149071888754</v>
      </c>
      <c r="J23" s="65">
        <v>73.438134430207185</v>
      </c>
    </row>
  </sheetData>
  <conditionalFormatting pivot="1" sqref="E8:J23">
    <cfRule type="cellIs" dxfId="29" priority="1" operator="equal">
      <formula>0</formula>
    </cfRule>
  </conditionalFormatting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6F35-0596-437A-886E-A3720AF8C8D8}">
  <dimension ref="B1:X59"/>
  <sheetViews>
    <sheetView showGridLines="0" zoomScale="120" zoomScaleNormal="120" workbookViewId="0"/>
  </sheetViews>
  <sheetFormatPr defaultColWidth="2.77734375" defaultRowHeight="14.4" x14ac:dyDescent="0.3"/>
  <cols>
    <col min="2" max="2" width="10.44140625" bestFit="1" customWidth="1"/>
    <col min="3" max="3" width="8.44140625" bestFit="1" customWidth="1"/>
    <col min="4" max="4" width="25.33203125" bestFit="1" customWidth="1"/>
    <col min="5" max="5" width="8.44140625" bestFit="1" customWidth="1"/>
    <col min="6" max="6" width="6.44140625" bestFit="1" customWidth="1"/>
    <col min="7" max="8" width="6.44140625" style="1" bestFit="1" customWidth="1"/>
    <col min="9" max="11" width="5.44140625" style="1" bestFit="1" customWidth="1"/>
    <col min="12" max="12" width="6.44140625" style="1" bestFit="1" customWidth="1"/>
    <col min="13" max="17" width="7.44140625" style="1" bestFit="1" customWidth="1"/>
    <col min="18" max="18" width="8.44140625" style="1" bestFit="1" customWidth="1"/>
    <col min="19" max="19" width="8" style="1" bestFit="1" customWidth="1"/>
    <col min="20" max="20" width="8.6640625" style="1" bestFit="1" customWidth="1"/>
    <col min="21" max="21" width="8.109375" style="1" bestFit="1" customWidth="1"/>
    <col min="22" max="22" width="8" style="1" bestFit="1" customWidth="1"/>
    <col min="23" max="23" width="5.44140625" style="1" bestFit="1" customWidth="1"/>
    <col min="24" max="24" width="8.6640625" style="1" bestFit="1" customWidth="1"/>
  </cols>
  <sheetData>
    <row r="1" spans="2:24" x14ac:dyDescent="0.3">
      <c r="B1" s="46" t="s">
        <v>304</v>
      </c>
      <c r="C1" s="46" t="s">
        <v>305</v>
      </c>
      <c r="D1" s="46" t="s">
        <v>288</v>
      </c>
      <c r="E1" s="46" t="s">
        <v>306</v>
      </c>
      <c r="F1" s="12"/>
      <c r="G1" s="62" t="s">
        <v>303</v>
      </c>
      <c r="H1" s="63"/>
      <c r="I1" s="63"/>
      <c r="J1" s="63"/>
      <c r="K1" s="63"/>
      <c r="L1" s="64"/>
      <c r="M1" s="62" t="s">
        <v>307</v>
      </c>
      <c r="N1" s="63"/>
      <c r="O1" s="63"/>
      <c r="P1" s="63"/>
      <c r="Q1" s="63"/>
      <c r="R1" s="64"/>
      <c r="S1" s="62" t="s">
        <v>308</v>
      </c>
      <c r="T1" s="63"/>
      <c r="U1" s="63"/>
      <c r="V1" s="63"/>
      <c r="W1" s="63"/>
      <c r="X1" s="63"/>
    </row>
    <row r="2" spans="2:24" s="37" customFormat="1" x14ac:dyDescent="0.3">
      <c r="G2" s="38">
        <v>1</v>
      </c>
      <c r="H2" s="39">
        <v>2</v>
      </c>
      <c r="I2" s="39">
        <v>3</v>
      </c>
      <c r="J2" s="39">
        <v>4</v>
      </c>
      <c r="K2" s="39">
        <v>5</v>
      </c>
      <c r="L2" s="39" t="s">
        <v>310</v>
      </c>
      <c r="M2" s="38">
        <v>1</v>
      </c>
      <c r="N2" s="39">
        <v>2</v>
      </c>
      <c r="O2" s="39">
        <v>3</v>
      </c>
      <c r="P2" s="39">
        <v>4</v>
      </c>
      <c r="Q2" s="39">
        <v>5</v>
      </c>
      <c r="R2" s="40" t="s">
        <v>309</v>
      </c>
      <c r="S2" s="38">
        <v>1</v>
      </c>
      <c r="T2" s="39">
        <v>2</v>
      </c>
      <c r="U2" s="39">
        <v>3</v>
      </c>
      <c r="V2" s="39">
        <v>4</v>
      </c>
      <c r="W2" s="39">
        <v>5</v>
      </c>
      <c r="X2" s="39" t="s">
        <v>309</v>
      </c>
    </row>
    <row r="3" spans="2:24" x14ac:dyDescent="0.3">
      <c r="B3" s="41" t="s">
        <v>12</v>
      </c>
      <c r="C3" s="41" t="s">
        <v>302</v>
      </c>
      <c r="D3" s="41"/>
      <c r="E3" s="41"/>
      <c r="F3" s="41"/>
      <c r="G3" s="42">
        <v>100.62636513613863</v>
      </c>
      <c r="H3" s="43">
        <v>80.421171119954494</v>
      </c>
      <c r="I3" s="43">
        <v>65.314740605004673</v>
      </c>
      <c r="J3" s="43">
        <v>59.879669843765384</v>
      </c>
      <c r="K3" s="43">
        <v>53.949188110196928</v>
      </c>
      <c r="L3" s="43">
        <f t="shared" ref="L3:L16" si="0">SUMPRODUCT(G3:K3,M3:Q3)/R3</f>
        <v>71.625618591799068</v>
      </c>
      <c r="M3" s="42">
        <v>2200.3299999999995</v>
      </c>
      <c r="N3" s="43">
        <v>3078.2500000000023</v>
      </c>
      <c r="O3" s="43">
        <v>4993.3499999999995</v>
      </c>
      <c r="P3" s="43">
        <v>1526.5500000000002</v>
      </c>
      <c r="Q3" s="43">
        <v>2344.5300000000007</v>
      </c>
      <c r="R3" s="44">
        <f>SUM(M3:Q3)</f>
        <v>14143.01</v>
      </c>
      <c r="S3" s="42"/>
      <c r="T3" s="43"/>
      <c r="U3" s="43"/>
      <c r="V3" s="43"/>
      <c r="W3" s="43"/>
      <c r="X3" s="43"/>
    </row>
    <row r="4" spans="2:24" x14ac:dyDescent="0.3">
      <c r="B4" s="21" t="s">
        <v>12</v>
      </c>
      <c r="C4" s="21" t="s">
        <v>298</v>
      </c>
      <c r="D4" s="21"/>
      <c r="E4" s="21"/>
      <c r="F4" s="21"/>
      <c r="G4" s="22">
        <v>121.34589360709286</v>
      </c>
      <c r="H4" s="23">
        <v>82.163515158377436</v>
      </c>
      <c r="I4" s="23">
        <v>73.792364016736386</v>
      </c>
      <c r="J4" s="23">
        <v>71.208386250105818</v>
      </c>
      <c r="K4" s="23">
        <v>68.119658119658126</v>
      </c>
      <c r="L4" s="23">
        <f t="shared" si="0"/>
        <v>88.59674882323722</v>
      </c>
      <c r="M4" s="22">
        <f t="shared" ref="M4:Q4" si="1">SUM(M5:M16)</f>
        <v>428.6</v>
      </c>
      <c r="N4" s="23">
        <f t="shared" si="1"/>
        <v>706.54000000000008</v>
      </c>
      <c r="O4" s="23">
        <f t="shared" si="1"/>
        <v>76.48</v>
      </c>
      <c r="P4" s="23">
        <f t="shared" si="1"/>
        <v>472.43999999999994</v>
      </c>
      <c r="Q4" s="23">
        <f t="shared" si="1"/>
        <v>7.02</v>
      </c>
      <c r="R4" s="24">
        <f t="shared" ref="R4:X4" si="2">SUM(R5:R16)</f>
        <v>1691.0800000000002</v>
      </c>
      <c r="S4" s="22">
        <f t="shared" si="2"/>
        <v>8880.3899026509825</v>
      </c>
      <c r="T4" s="23">
        <f t="shared" si="2"/>
        <v>1231.0357569073549</v>
      </c>
      <c r="U4" s="23">
        <f t="shared" si="2"/>
        <v>648.36863852924148</v>
      </c>
      <c r="V4" s="23">
        <f t="shared" si="2"/>
        <v>5352.1387790114868</v>
      </c>
      <c r="W4" s="23">
        <f t="shared" si="2"/>
        <v>99.4766994664176</v>
      </c>
      <c r="X4" s="23">
        <f t="shared" si="2"/>
        <v>16211.409776565481</v>
      </c>
    </row>
    <row r="5" spans="2:24" x14ac:dyDescent="0.3">
      <c r="B5" s="25" t="s">
        <v>12</v>
      </c>
      <c r="C5" s="25" t="s">
        <v>298</v>
      </c>
      <c r="D5" s="25" t="s">
        <v>46</v>
      </c>
      <c r="E5" s="25">
        <v>20431</v>
      </c>
      <c r="F5" s="25"/>
      <c r="G5" s="26">
        <v>117.97423009414393</v>
      </c>
      <c r="H5" s="27">
        <v>0</v>
      </c>
      <c r="I5" s="27">
        <v>0</v>
      </c>
      <c r="J5" s="27">
        <v>0</v>
      </c>
      <c r="K5" s="27">
        <v>0</v>
      </c>
      <c r="L5" s="27">
        <f t="shared" si="0"/>
        <v>117.97423009414393</v>
      </c>
      <c r="M5" s="26">
        <v>125.34</v>
      </c>
      <c r="N5" s="27"/>
      <c r="O5" s="27"/>
      <c r="P5" s="27"/>
      <c r="Q5" s="27"/>
      <c r="R5" s="28">
        <f>SUM(M5:Q5)</f>
        <v>125.34</v>
      </c>
      <c r="S5" s="26">
        <f t="shared" ref="S5:W10" si="3">(G5-G$3)*M5</f>
        <v>2174.3813938363846</v>
      </c>
      <c r="T5" s="27">
        <f t="shared" si="3"/>
        <v>0</v>
      </c>
      <c r="U5" s="27">
        <f t="shared" si="3"/>
        <v>0</v>
      </c>
      <c r="V5" s="27">
        <f t="shared" si="3"/>
        <v>0</v>
      </c>
      <c r="W5" s="27">
        <f t="shared" si="3"/>
        <v>0</v>
      </c>
      <c r="X5" s="27">
        <f t="shared" ref="X5:X16" si="4">SUM(S5:W5)</f>
        <v>2174.3813938363846</v>
      </c>
    </row>
    <row r="6" spans="2:24" x14ac:dyDescent="0.3">
      <c r="B6" s="29" t="s">
        <v>12</v>
      </c>
      <c r="C6" s="29" t="s">
        <v>298</v>
      </c>
      <c r="D6" s="29" t="s">
        <v>27</v>
      </c>
      <c r="E6" s="29">
        <v>20314</v>
      </c>
      <c r="F6" s="29"/>
      <c r="G6" s="30">
        <v>124.14192885201365</v>
      </c>
      <c r="H6" s="31">
        <v>100.05520504731861</v>
      </c>
      <c r="I6" s="31">
        <v>0</v>
      </c>
      <c r="J6" s="31">
        <v>0</v>
      </c>
      <c r="K6" s="31">
        <v>0</v>
      </c>
      <c r="L6" s="31">
        <f t="shared" si="0"/>
        <v>116.4909441619279</v>
      </c>
      <c r="M6" s="30">
        <v>272.39000000000004</v>
      </c>
      <c r="N6" s="31">
        <v>126.80000000000001</v>
      </c>
      <c r="O6" s="31"/>
      <c r="P6" s="31"/>
      <c r="Q6" s="31"/>
      <c r="R6" s="32">
        <f t="shared" ref="R6:R16" si="5">SUM(M6:Q6)</f>
        <v>399.19000000000005</v>
      </c>
      <c r="S6" s="30">
        <f t="shared" si="3"/>
        <v>6405.4044005671976</v>
      </c>
      <c r="T6" s="31">
        <f t="shared" si="3"/>
        <v>2489.5955019897701</v>
      </c>
      <c r="U6" s="31">
        <f t="shared" si="3"/>
        <v>0</v>
      </c>
      <c r="V6" s="31">
        <f t="shared" si="3"/>
        <v>0</v>
      </c>
      <c r="W6" s="31">
        <f t="shared" si="3"/>
        <v>0</v>
      </c>
      <c r="X6" s="31">
        <f t="shared" si="4"/>
        <v>8894.9999025569668</v>
      </c>
    </row>
    <row r="7" spans="2:24" x14ac:dyDescent="0.3">
      <c r="B7" s="29" t="s">
        <v>12</v>
      </c>
      <c r="C7" s="29" t="s">
        <v>298</v>
      </c>
      <c r="D7" s="29" t="s">
        <v>22</v>
      </c>
      <c r="E7" s="29">
        <v>20432</v>
      </c>
      <c r="F7" s="29"/>
      <c r="G7" s="30">
        <v>110.36410754778103</v>
      </c>
      <c r="H7" s="31">
        <v>0</v>
      </c>
      <c r="I7" s="31">
        <v>0</v>
      </c>
      <c r="J7" s="31">
        <v>0</v>
      </c>
      <c r="K7" s="31">
        <v>0</v>
      </c>
      <c r="L7" s="31">
        <f t="shared" si="0"/>
        <v>110.36410754778103</v>
      </c>
      <c r="M7" s="30">
        <v>30.869999999999997</v>
      </c>
      <c r="N7" s="31"/>
      <c r="O7" s="31"/>
      <c r="P7" s="31"/>
      <c r="Q7" s="31"/>
      <c r="R7" s="32">
        <f t="shared" si="5"/>
        <v>30.869999999999997</v>
      </c>
      <c r="S7" s="30">
        <f t="shared" si="3"/>
        <v>300.60410824740092</v>
      </c>
      <c r="T7" s="31">
        <f t="shared" si="3"/>
        <v>0</v>
      </c>
      <c r="U7" s="31">
        <f t="shared" si="3"/>
        <v>0</v>
      </c>
      <c r="V7" s="31">
        <f t="shared" si="3"/>
        <v>0</v>
      </c>
      <c r="W7" s="31">
        <f t="shared" si="3"/>
        <v>0</v>
      </c>
      <c r="X7" s="31">
        <f t="shared" si="4"/>
        <v>300.60410824740092</v>
      </c>
    </row>
    <row r="8" spans="2:24" x14ac:dyDescent="0.3">
      <c r="B8" s="29" t="s">
        <v>12</v>
      </c>
      <c r="C8" s="29" t="s">
        <v>298</v>
      </c>
      <c r="D8" s="29" t="s">
        <v>139</v>
      </c>
      <c r="E8" s="29">
        <v>20450</v>
      </c>
      <c r="F8" s="29"/>
      <c r="G8" s="30">
        <v>0</v>
      </c>
      <c r="H8" s="31">
        <v>90.391990497200069</v>
      </c>
      <c r="I8" s="31">
        <v>0</v>
      </c>
      <c r="J8" s="31">
        <v>0</v>
      </c>
      <c r="K8" s="31">
        <v>0</v>
      </c>
      <c r="L8" s="31">
        <f t="shared" si="0"/>
        <v>90.391990497200069</v>
      </c>
      <c r="M8" s="30"/>
      <c r="N8" s="31">
        <v>58.93</v>
      </c>
      <c r="O8" s="31"/>
      <c r="P8" s="31"/>
      <c r="Q8" s="31"/>
      <c r="R8" s="32">
        <f t="shared" si="5"/>
        <v>58.93</v>
      </c>
      <c r="S8" s="30">
        <f t="shared" si="3"/>
        <v>0</v>
      </c>
      <c r="T8" s="31">
        <f t="shared" si="3"/>
        <v>587.58038590108174</v>
      </c>
      <c r="U8" s="31">
        <f t="shared" si="3"/>
        <v>0</v>
      </c>
      <c r="V8" s="31">
        <f t="shared" si="3"/>
        <v>0</v>
      </c>
      <c r="W8" s="31">
        <f t="shared" si="3"/>
        <v>0</v>
      </c>
      <c r="X8" s="31">
        <f t="shared" si="4"/>
        <v>587.58038590108174</v>
      </c>
    </row>
    <row r="9" spans="2:24" x14ac:dyDescent="0.3">
      <c r="B9" s="29" t="s">
        <v>12</v>
      </c>
      <c r="C9" s="29" t="s">
        <v>298</v>
      </c>
      <c r="D9" s="29" t="s">
        <v>143</v>
      </c>
      <c r="E9" s="29">
        <v>20463</v>
      </c>
      <c r="F9" s="29"/>
      <c r="G9" s="30">
        <v>0</v>
      </c>
      <c r="H9" s="31">
        <v>84.324122049510663</v>
      </c>
      <c r="I9" s="31">
        <v>0</v>
      </c>
      <c r="J9" s="31">
        <v>0</v>
      </c>
      <c r="K9" s="31">
        <v>0</v>
      </c>
      <c r="L9" s="31">
        <f t="shared" si="0"/>
        <v>84.324122049510663</v>
      </c>
      <c r="M9" s="30"/>
      <c r="N9" s="31">
        <v>69.47999999999999</v>
      </c>
      <c r="O9" s="31"/>
      <c r="P9" s="31"/>
      <c r="Q9" s="31"/>
      <c r="R9" s="32">
        <f t="shared" si="5"/>
        <v>69.47999999999999</v>
      </c>
      <c r="S9" s="30">
        <f t="shared" si="3"/>
        <v>0</v>
      </c>
      <c r="T9" s="31">
        <f t="shared" si="3"/>
        <v>271.17703058556259</v>
      </c>
      <c r="U9" s="31">
        <f t="shared" si="3"/>
        <v>0</v>
      </c>
      <c r="V9" s="31">
        <f t="shared" si="3"/>
        <v>0</v>
      </c>
      <c r="W9" s="31">
        <f t="shared" si="3"/>
        <v>0</v>
      </c>
      <c r="X9" s="31">
        <f t="shared" si="4"/>
        <v>271.17703058556259</v>
      </c>
    </row>
    <row r="10" spans="2:24" x14ac:dyDescent="0.3">
      <c r="B10" s="29" t="s">
        <v>12</v>
      </c>
      <c r="C10" s="29" t="s">
        <v>298</v>
      </c>
      <c r="D10" s="29" t="s">
        <v>93</v>
      </c>
      <c r="E10" s="29">
        <v>20619</v>
      </c>
      <c r="F10" s="29"/>
      <c r="G10" s="30">
        <v>0</v>
      </c>
      <c r="H10" s="31">
        <v>81.24764542936289</v>
      </c>
      <c r="I10" s="31">
        <v>0</v>
      </c>
      <c r="J10" s="31">
        <v>0</v>
      </c>
      <c r="K10" s="31">
        <v>0</v>
      </c>
      <c r="L10" s="31">
        <f t="shared" si="0"/>
        <v>81.24764542936289</v>
      </c>
      <c r="M10" s="30"/>
      <c r="N10" s="31">
        <v>306.85000000000002</v>
      </c>
      <c r="O10" s="31"/>
      <c r="P10" s="31"/>
      <c r="Q10" s="31"/>
      <c r="R10" s="32">
        <f t="shared" si="5"/>
        <v>306.85000000000002</v>
      </c>
      <c r="S10" s="30">
        <f t="shared" si="3"/>
        <v>0</v>
      </c>
      <c r="T10" s="31">
        <f t="shared" si="3"/>
        <v>253.60364184196658</v>
      </c>
      <c r="U10" s="31">
        <f t="shared" si="3"/>
        <v>0</v>
      </c>
      <c r="V10" s="31">
        <f t="shared" si="3"/>
        <v>0</v>
      </c>
      <c r="W10" s="31">
        <f t="shared" si="3"/>
        <v>0</v>
      </c>
      <c r="X10" s="31">
        <f t="shared" si="4"/>
        <v>253.60364184196658</v>
      </c>
    </row>
    <row r="11" spans="2:24" x14ac:dyDescent="0.3">
      <c r="B11" s="29" t="s">
        <v>12</v>
      </c>
      <c r="C11" s="29" t="s">
        <v>298</v>
      </c>
      <c r="D11" s="29" t="s">
        <v>29</v>
      </c>
      <c r="E11" s="29">
        <v>20323</v>
      </c>
      <c r="F11" s="29"/>
      <c r="G11" s="30">
        <v>0</v>
      </c>
      <c r="H11" s="31">
        <v>0</v>
      </c>
      <c r="I11" s="31">
        <v>73.792364016736386</v>
      </c>
      <c r="J11" s="31">
        <v>0</v>
      </c>
      <c r="K11" s="31">
        <v>0</v>
      </c>
      <c r="L11" s="31">
        <f t="shared" si="0"/>
        <v>73.792364016736386</v>
      </c>
      <c r="M11" s="30"/>
      <c r="N11" s="31"/>
      <c r="O11" s="31">
        <v>76.48</v>
      </c>
      <c r="P11" s="31"/>
      <c r="Q11" s="31"/>
      <c r="R11" s="32">
        <f t="shared" si="5"/>
        <v>76.48</v>
      </c>
      <c r="S11" s="30">
        <f t="shared" ref="S11:S16" si="6">(G11-G$3)*M11</f>
        <v>0</v>
      </c>
      <c r="T11" s="31">
        <f t="shared" ref="T11:T16" si="7">(H11-H$3)*N11</f>
        <v>0</v>
      </c>
      <c r="U11" s="31">
        <f t="shared" ref="U11:U16" si="8">(I11-I$3)*O11</f>
        <v>648.36863852924148</v>
      </c>
      <c r="V11" s="31">
        <f t="shared" ref="V11:V16" si="9">(J11-J$3)*P11</f>
        <v>0</v>
      </c>
      <c r="W11" s="31">
        <f t="shared" ref="W11:W16" si="10">(K11-K$3)*Q11</f>
        <v>0</v>
      </c>
      <c r="X11" s="31">
        <f t="shared" si="4"/>
        <v>648.36863852924148</v>
      </c>
    </row>
    <row r="12" spans="2:24" x14ac:dyDescent="0.3">
      <c r="B12" s="29" t="s">
        <v>12</v>
      </c>
      <c r="C12" s="29" t="s">
        <v>298</v>
      </c>
      <c r="D12" s="29" t="s">
        <v>155</v>
      </c>
      <c r="E12" s="29">
        <v>20592</v>
      </c>
      <c r="F12" s="29"/>
      <c r="G12" s="30">
        <v>0</v>
      </c>
      <c r="H12" s="31">
        <v>0</v>
      </c>
      <c r="I12" s="31">
        <v>0</v>
      </c>
      <c r="J12" s="31">
        <v>73.22749307479225</v>
      </c>
      <c r="K12" s="31">
        <v>0</v>
      </c>
      <c r="L12" s="31">
        <f t="shared" si="0"/>
        <v>73.22749307479225</v>
      </c>
      <c r="M12" s="30"/>
      <c r="N12" s="31"/>
      <c r="O12" s="31"/>
      <c r="P12" s="31">
        <v>28.88</v>
      </c>
      <c r="Q12" s="31"/>
      <c r="R12" s="32">
        <f t="shared" si="5"/>
        <v>28.88</v>
      </c>
      <c r="S12" s="30">
        <f t="shared" si="6"/>
        <v>0</v>
      </c>
      <c r="T12" s="31">
        <f t="shared" si="7"/>
        <v>0</v>
      </c>
      <c r="U12" s="31">
        <f t="shared" si="8"/>
        <v>0</v>
      </c>
      <c r="V12" s="31">
        <f t="shared" si="9"/>
        <v>385.48513491205586</v>
      </c>
      <c r="W12" s="31">
        <f t="shared" si="10"/>
        <v>0</v>
      </c>
      <c r="X12" s="31">
        <f t="shared" si="4"/>
        <v>385.48513491205586</v>
      </c>
    </row>
    <row r="13" spans="2:24" x14ac:dyDescent="0.3">
      <c r="B13" s="29" t="s">
        <v>12</v>
      </c>
      <c r="C13" s="29" t="s">
        <v>298</v>
      </c>
      <c r="D13" s="29" t="s">
        <v>151</v>
      </c>
      <c r="E13" s="29">
        <v>20553</v>
      </c>
      <c r="F13" s="29"/>
      <c r="G13" s="30">
        <v>0</v>
      </c>
      <c r="H13" s="31">
        <v>0</v>
      </c>
      <c r="I13" s="31">
        <v>0</v>
      </c>
      <c r="J13" s="31">
        <v>73.096893834028762</v>
      </c>
      <c r="K13" s="31">
        <v>0</v>
      </c>
      <c r="L13" s="31">
        <f t="shared" si="0"/>
        <v>73.096893834028762</v>
      </c>
      <c r="M13" s="30"/>
      <c r="N13" s="31"/>
      <c r="O13" s="31"/>
      <c r="P13" s="31">
        <v>150.98999999999998</v>
      </c>
      <c r="Q13" s="31"/>
      <c r="R13" s="32">
        <f t="shared" si="5"/>
        <v>150.98999999999998</v>
      </c>
      <c r="S13" s="30">
        <f t="shared" si="6"/>
        <v>0</v>
      </c>
      <c r="T13" s="31">
        <f t="shared" si="7"/>
        <v>0</v>
      </c>
      <c r="U13" s="31">
        <f t="shared" si="8"/>
        <v>0</v>
      </c>
      <c r="V13" s="31">
        <f t="shared" si="9"/>
        <v>1995.6686502898672</v>
      </c>
      <c r="W13" s="31">
        <f t="shared" si="10"/>
        <v>0</v>
      </c>
      <c r="X13" s="31">
        <f t="shared" si="4"/>
        <v>1995.6686502898672</v>
      </c>
    </row>
    <row r="14" spans="2:24" x14ac:dyDescent="0.3">
      <c r="B14" s="29" t="s">
        <v>12</v>
      </c>
      <c r="C14" s="29" t="s">
        <v>298</v>
      </c>
      <c r="D14" s="29" t="s">
        <v>145</v>
      </c>
      <c r="E14" s="29">
        <v>20465</v>
      </c>
      <c r="F14" s="29"/>
      <c r="G14" s="30">
        <v>0</v>
      </c>
      <c r="H14" s="31">
        <v>0</v>
      </c>
      <c r="I14" s="31">
        <v>0</v>
      </c>
      <c r="J14" s="31">
        <v>67.3259268428545</v>
      </c>
      <c r="K14" s="31">
        <v>68.119658119658126</v>
      </c>
      <c r="L14" s="31">
        <f t="shared" si="0"/>
        <v>67.358977400794828</v>
      </c>
      <c r="M14" s="30"/>
      <c r="N14" s="31"/>
      <c r="O14" s="31"/>
      <c r="P14" s="31">
        <v>161.57</v>
      </c>
      <c r="Q14" s="31">
        <v>7.02</v>
      </c>
      <c r="R14" s="32">
        <f t="shared" si="5"/>
        <v>168.59</v>
      </c>
      <c r="S14" s="30">
        <f t="shared" si="6"/>
        <v>0</v>
      </c>
      <c r="T14" s="31">
        <f t="shared" si="7"/>
        <v>0</v>
      </c>
      <c r="U14" s="31">
        <f t="shared" si="8"/>
        <v>0</v>
      </c>
      <c r="V14" s="31">
        <f t="shared" si="9"/>
        <v>1203.0917433428283</v>
      </c>
      <c r="W14" s="31">
        <f t="shared" si="10"/>
        <v>99.4766994664176</v>
      </c>
      <c r="X14" s="31">
        <f t="shared" si="4"/>
        <v>1302.5684428092459</v>
      </c>
    </row>
    <row r="15" spans="2:24" x14ac:dyDescent="0.3">
      <c r="B15" s="29" t="s">
        <v>12</v>
      </c>
      <c r="C15" s="29" t="s">
        <v>298</v>
      </c>
      <c r="D15" s="29" t="s">
        <v>31</v>
      </c>
      <c r="E15" s="29">
        <v>20325</v>
      </c>
      <c r="F15" s="29"/>
      <c r="G15" s="30">
        <v>0</v>
      </c>
      <c r="H15" s="31">
        <v>64.011143410852711</v>
      </c>
      <c r="I15" s="31">
        <v>0</v>
      </c>
      <c r="J15" s="31">
        <v>0</v>
      </c>
      <c r="K15" s="31">
        <v>0</v>
      </c>
      <c r="L15" s="31">
        <f t="shared" si="0"/>
        <v>64.011143410852711</v>
      </c>
      <c r="M15" s="30"/>
      <c r="N15" s="31">
        <v>144.48000000000002</v>
      </c>
      <c r="O15" s="31"/>
      <c r="P15" s="31"/>
      <c r="Q15" s="31"/>
      <c r="R15" s="32">
        <f t="shared" si="5"/>
        <v>144.48000000000002</v>
      </c>
      <c r="S15" s="30">
        <f t="shared" si="6"/>
        <v>0</v>
      </c>
      <c r="T15" s="31">
        <f t="shared" si="7"/>
        <v>-2370.9208034110261</v>
      </c>
      <c r="U15" s="31">
        <f t="shared" si="8"/>
        <v>0</v>
      </c>
      <c r="V15" s="31">
        <f t="shared" si="9"/>
        <v>0</v>
      </c>
      <c r="W15" s="31">
        <f t="shared" si="10"/>
        <v>0</v>
      </c>
      <c r="X15" s="31">
        <f t="shared" si="4"/>
        <v>-2370.9208034110261</v>
      </c>
    </row>
    <row r="16" spans="2:24" x14ac:dyDescent="0.3">
      <c r="B16" s="29" t="s">
        <v>12</v>
      </c>
      <c r="C16" s="29" t="s">
        <v>298</v>
      </c>
      <c r="D16" s="29" t="s">
        <v>22</v>
      </c>
      <c r="E16" s="29">
        <v>20305</v>
      </c>
      <c r="F16" s="29"/>
      <c r="G16" s="30">
        <v>0</v>
      </c>
      <c r="H16" s="31">
        <v>0</v>
      </c>
      <c r="I16" s="31">
        <v>0</v>
      </c>
      <c r="J16" s="31">
        <v>73.375038167938939</v>
      </c>
      <c r="K16" s="31">
        <v>0</v>
      </c>
      <c r="L16" s="31">
        <f t="shared" si="0"/>
        <v>73.375038167938939</v>
      </c>
      <c r="M16" s="30"/>
      <c r="N16" s="31"/>
      <c r="O16" s="31"/>
      <c r="P16" s="31">
        <v>131</v>
      </c>
      <c r="Q16" s="31"/>
      <c r="R16" s="32">
        <f t="shared" si="5"/>
        <v>131</v>
      </c>
      <c r="S16" s="30">
        <f t="shared" si="6"/>
        <v>0</v>
      </c>
      <c r="T16" s="31">
        <f t="shared" si="7"/>
        <v>0</v>
      </c>
      <c r="U16" s="31">
        <f t="shared" si="8"/>
        <v>0</v>
      </c>
      <c r="V16" s="31">
        <f t="shared" si="9"/>
        <v>1767.8932504667357</v>
      </c>
      <c r="W16" s="31">
        <f t="shared" si="10"/>
        <v>0</v>
      </c>
      <c r="X16" s="31">
        <f t="shared" si="4"/>
        <v>1767.8932504667357</v>
      </c>
    </row>
    <row r="19" spans="2:24" x14ac:dyDescent="0.3">
      <c r="B19" s="46" t="s">
        <v>304</v>
      </c>
      <c r="C19" s="46" t="s">
        <v>305</v>
      </c>
      <c r="D19" s="46" t="s">
        <v>288</v>
      </c>
      <c r="E19" s="46" t="s">
        <v>306</v>
      </c>
      <c r="F19" s="12"/>
      <c r="G19" s="62" t="s">
        <v>303</v>
      </c>
      <c r="H19" s="63"/>
      <c r="I19" s="63"/>
      <c r="J19" s="63"/>
      <c r="K19" s="63"/>
      <c r="L19" s="64"/>
      <c r="M19" s="62" t="s">
        <v>307</v>
      </c>
      <c r="N19" s="63"/>
      <c r="O19" s="63"/>
      <c r="P19" s="63"/>
      <c r="Q19" s="63"/>
      <c r="R19" s="64"/>
      <c r="S19" s="62" t="s">
        <v>308</v>
      </c>
      <c r="T19" s="63"/>
      <c r="U19" s="63"/>
      <c r="V19" s="63"/>
      <c r="W19" s="63"/>
      <c r="X19" s="63"/>
    </row>
    <row r="20" spans="2:24" s="37" customFormat="1" x14ac:dyDescent="0.3">
      <c r="G20" s="38">
        <v>1</v>
      </c>
      <c r="H20" s="39">
        <v>2</v>
      </c>
      <c r="I20" s="39">
        <v>3</v>
      </c>
      <c r="J20" s="39">
        <v>4</v>
      </c>
      <c r="K20" s="39">
        <v>5</v>
      </c>
      <c r="L20" s="39" t="s">
        <v>310</v>
      </c>
      <c r="M20" s="38">
        <v>1</v>
      </c>
      <c r="N20" s="39">
        <v>2</v>
      </c>
      <c r="O20" s="39">
        <v>3</v>
      </c>
      <c r="P20" s="39">
        <v>4</v>
      </c>
      <c r="Q20" s="39">
        <v>5</v>
      </c>
      <c r="R20" s="40" t="s">
        <v>309</v>
      </c>
      <c r="S20" s="38">
        <v>1</v>
      </c>
      <c r="T20" s="39">
        <v>2</v>
      </c>
      <c r="U20" s="39">
        <v>3</v>
      </c>
      <c r="V20" s="39">
        <v>4</v>
      </c>
      <c r="W20" s="39">
        <v>5</v>
      </c>
      <c r="X20" s="39" t="s">
        <v>309</v>
      </c>
    </row>
    <row r="21" spans="2:24" x14ac:dyDescent="0.3">
      <c r="B21" s="41" t="s">
        <v>12</v>
      </c>
      <c r="C21" s="41" t="s">
        <v>302</v>
      </c>
      <c r="D21" s="41"/>
      <c r="E21" s="41"/>
      <c r="F21" s="41"/>
      <c r="G21" s="42">
        <v>100.62636513613863</v>
      </c>
      <c r="H21" s="43">
        <v>80.421171119954494</v>
      </c>
      <c r="I21" s="43">
        <v>65.314740605004673</v>
      </c>
      <c r="J21" s="43">
        <v>59.879669843765384</v>
      </c>
      <c r="K21" s="43">
        <v>53.949188110196928</v>
      </c>
      <c r="L21" s="43">
        <f t="shared" ref="L21:L29" si="11">SUMPRODUCT(G21:K21,M21:Q21)/R21</f>
        <v>71.625618591799068</v>
      </c>
      <c r="M21" s="42">
        <v>2200.3299999999995</v>
      </c>
      <c r="N21" s="43">
        <v>3078.2500000000023</v>
      </c>
      <c r="O21" s="43">
        <v>4993.3499999999995</v>
      </c>
      <c r="P21" s="43">
        <v>1526.5500000000002</v>
      </c>
      <c r="Q21" s="43">
        <v>2344.5300000000007</v>
      </c>
      <c r="R21" s="44">
        <f>SUM(M21:Q21)</f>
        <v>14143.01</v>
      </c>
      <c r="S21" s="42"/>
      <c r="T21" s="43"/>
      <c r="U21" s="43"/>
      <c r="V21" s="43"/>
      <c r="W21" s="43"/>
      <c r="X21" s="43"/>
    </row>
    <row r="22" spans="2:24" x14ac:dyDescent="0.3">
      <c r="B22" s="21" t="s">
        <v>12</v>
      </c>
      <c r="C22" s="21" t="s">
        <v>298</v>
      </c>
      <c r="D22" s="21"/>
      <c r="E22" s="21"/>
      <c r="F22" s="21"/>
      <c r="G22" s="22">
        <v>121.34589360709286</v>
      </c>
      <c r="H22" s="23">
        <v>82.163515158377436</v>
      </c>
      <c r="I22" s="23">
        <v>73.792364016736386</v>
      </c>
      <c r="J22" s="23">
        <v>71.208386250105818</v>
      </c>
      <c r="K22" s="23">
        <v>68.119658119658126</v>
      </c>
      <c r="L22" s="23">
        <f t="shared" si="11"/>
        <v>75.931299439963226</v>
      </c>
      <c r="M22" s="22">
        <f t="shared" ref="M22:Q22" si="12">SUM(M23:M29)</f>
        <v>0</v>
      </c>
      <c r="N22" s="23">
        <f t="shared" si="12"/>
        <v>104.08</v>
      </c>
      <c r="O22" s="23">
        <f t="shared" si="12"/>
        <v>233.76999999999998</v>
      </c>
      <c r="P22" s="23">
        <f t="shared" si="12"/>
        <v>31.470000000000002</v>
      </c>
      <c r="Q22" s="23">
        <f t="shared" si="12"/>
        <v>0</v>
      </c>
      <c r="R22" s="24">
        <f>SUM(R23:R29)</f>
        <v>369.32</v>
      </c>
      <c r="S22" s="22">
        <f t="shared" ref="S22:W22" si="13">SUM(S23:S29)</f>
        <v>0</v>
      </c>
      <c r="T22" s="23">
        <f t="shared" si="13"/>
        <v>-1400.6054901648633</v>
      </c>
      <c r="U22" s="23">
        <f t="shared" si="13"/>
        <v>-2170.4569112319432</v>
      </c>
      <c r="V22" s="23">
        <f t="shared" si="13"/>
        <v>-536.40320998329696</v>
      </c>
      <c r="W22" s="23">
        <f t="shared" si="13"/>
        <v>0</v>
      </c>
      <c r="X22" s="23">
        <f>SUM(X23:X29)</f>
        <v>-4107.4656113801038</v>
      </c>
    </row>
    <row r="23" spans="2:24" x14ac:dyDescent="0.3">
      <c r="B23" s="25" t="s">
        <v>12</v>
      </c>
      <c r="C23" s="25" t="s">
        <v>298</v>
      </c>
      <c r="D23" s="25" t="s">
        <v>147</v>
      </c>
      <c r="E23" s="25">
        <v>20500</v>
      </c>
      <c r="F23" s="25"/>
      <c r="G23" s="26">
        <v>0</v>
      </c>
      <c r="H23" s="27">
        <v>0</v>
      </c>
      <c r="I23" s="27">
        <v>67.296005706134096</v>
      </c>
      <c r="J23" s="27">
        <v>0</v>
      </c>
      <c r="K23" s="27">
        <v>0</v>
      </c>
      <c r="L23" s="27">
        <f t="shared" si="11"/>
        <v>67.296005706134096</v>
      </c>
      <c r="M23" s="26"/>
      <c r="N23" s="27"/>
      <c r="O23" s="27">
        <v>14.02</v>
      </c>
      <c r="P23" s="27"/>
      <c r="Q23" s="27"/>
      <c r="R23" s="28">
        <f t="shared" ref="R23:R29" si="14">SUM(M23:Q23)</f>
        <v>14.02</v>
      </c>
      <c r="S23" s="26">
        <f t="shared" ref="S23:W29" si="15">(G23-G$3)*M23</f>
        <v>0</v>
      </c>
      <c r="T23" s="27">
        <f t="shared" si="15"/>
        <v>0</v>
      </c>
      <c r="U23" s="27">
        <f t="shared" si="15"/>
        <v>27.777336717834519</v>
      </c>
      <c r="V23" s="27">
        <f t="shared" si="15"/>
        <v>0</v>
      </c>
      <c r="W23" s="27">
        <f t="shared" si="15"/>
        <v>0</v>
      </c>
      <c r="X23" s="27">
        <f t="shared" ref="X23:X29" si="16">SUM(S23:W23)</f>
        <v>27.777336717834519</v>
      </c>
    </row>
    <row r="24" spans="2:24" x14ac:dyDescent="0.3">
      <c r="B24" s="29" t="s">
        <v>12</v>
      </c>
      <c r="C24" s="29" t="s">
        <v>298</v>
      </c>
      <c r="D24" s="29" t="s">
        <v>136</v>
      </c>
      <c r="E24" s="29">
        <v>20439</v>
      </c>
      <c r="F24" s="29"/>
      <c r="G24" s="30">
        <v>0</v>
      </c>
      <c r="H24" s="31">
        <v>66.964162182936207</v>
      </c>
      <c r="I24" s="31">
        <v>0</v>
      </c>
      <c r="J24" s="31">
        <v>0</v>
      </c>
      <c r="K24" s="31">
        <v>0</v>
      </c>
      <c r="L24" s="31">
        <f t="shared" si="11"/>
        <v>66.964162182936207</v>
      </c>
      <c r="M24" s="30"/>
      <c r="N24" s="31">
        <v>104.08</v>
      </c>
      <c r="O24" s="31"/>
      <c r="P24" s="31"/>
      <c r="Q24" s="31"/>
      <c r="R24" s="32">
        <f t="shared" si="14"/>
        <v>104.08</v>
      </c>
      <c r="S24" s="30">
        <f t="shared" si="15"/>
        <v>0</v>
      </c>
      <c r="T24" s="31">
        <f t="shared" si="15"/>
        <v>-1400.6054901648633</v>
      </c>
      <c r="U24" s="31">
        <f t="shared" si="15"/>
        <v>0</v>
      </c>
      <c r="V24" s="31">
        <f t="shared" si="15"/>
        <v>0</v>
      </c>
      <c r="W24" s="31">
        <f t="shared" si="15"/>
        <v>0</v>
      </c>
      <c r="X24" s="31">
        <f t="shared" si="16"/>
        <v>-1400.6054901648633</v>
      </c>
    </row>
    <row r="25" spans="2:24" x14ac:dyDescent="0.3">
      <c r="B25" s="29" t="s">
        <v>12</v>
      </c>
      <c r="C25" s="29" t="s">
        <v>298</v>
      </c>
      <c r="D25" s="29" t="s">
        <v>131</v>
      </c>
      <c r="E25" s="29">
        <v>20340</v>
      </c>
      <c r="F25" s="29"/>
      <c r="G25" s="30">
        <v>0</v>
      </c>
      <c r="H25" s="31">
        <v>0</v>
      </c>
      <c r="I25" s="31">
        <v>64.748736462093859</v>
      </c>
      <c r="J25" s="31">
        <v>0</v>
      </c>
      <c r="K25" s="31">
        <v>0</v>
      </c>
      <c r="L25" s="31">
        <f t="shared" si="11"/>
        <v>64.748736462093859</v>
      </c>
      <c r="M25" s="30"/>
      <c r="N25" s="31"/>
      <c r="O25" s="31">
        <v>41.55</v>
      </c>
      <c r="P25" s="31"/>
      <c r="Q25" s="31"/>
      <c r="R25" s="32">
        <f t="shared" si="14"/>
        <v>41.55</v>
      </c>
      <c r="S25" s="30">
        <f t="shared" si="15"/>
        <v>0</v>
      </c>
      <c r="T25" s="31">
        <f t="shared" si="15"/>
        <v>0</v>
      </c>
      <c r="U25" s="31">
        <f t="shared" si="15"/>
        <v>-23.517472137944292</v>
      </c>
      <c r="V25" s="31">
        <f t="shared" si="15"/>
        <v>0</v>
      </c>
      <c r="W25" s="31">
        <f t="shared" si="15"/>
        <v>0</v>
      </c>
      <c r="X25" s="31">
        <f t="shared" si="16"/>
        <v>-23.517472137944292</v>
      </c>
    </row>
    <row r="26" spans="2:24" x14ac:dyDescent="0.3">
      <c r="B26" s="29" t="s">
        <v>12</v>
      </c>
      <c r="C26" s="29" t="s">
        <v>298</v>
      </c>
      <c r="D26" s="29" t="s">
        <v>132</v>
      </c>
      <c r="E26" s="29">
        <v>20345</v>
      </c>
      <c r="F26" s="29"/>
      <c r="G26" s="30">
        <v>0</v>
      </c>
      <c r="H26" s="31">
        <v>0</v>
      </c>
      <c r="I26" s="31">
        <v>57.298102981029807</v>
      </c>
      <c r="J26" s="31">
        <v>0</v>
      </c>
      <c r="K26" s="31">
        <v>0</v>
      </c>
      <c r="L26" s="31">
        <f t="shared" si="11"/>
        <v>57.298102981029807</v>
      </c>
      <c r="M26" s="30"/>
      <c r="N26" s="31"/>
      <c r="O26" s="31">
        <v>107.01</v>
      </c>
      <c r="P26" s="31"/>
      <c r="Q26" s="31"/>
      <c r="R26" s="32">
        <f t="shared" si="14"/>
        <v>107.01</v>
      </c>
      <c r="S26" s="30">
        <f t="shared" si="15"/>
        <v>0</v>
      </c>
      <c r="T26" s="31">
        <f t="shared" si="15"/>
        <v>0</v>
      </c>
      <c r="U26" s="31">
        <f t="shared" si="15"/>
        <v>-857.86039214155039</v>
      </c>
      <c r="V26" s="31">
        <f t="shared" si="15"/>
        <v>0</v>
      </c>
      <c r="W26" s="31">
        <f t="shared" si="15"/>
        <v>0</v>
      </c>
      <c r="X26" s="31">
        <f t="shared" si="16"/>
        <v>-857.86039214155039</v>
      </c>
    </row>
    <row r="27" spans="2:24" x14ac:dyDescent="0.3">
      <c r="B27" s="29" t="s">
        <v>12</v>
      </c>
      <c r="C27" s="29" t="s">
        <v>298</v>
      </c>
      <c r="D27" s="29" t="s">
        <v>152</v>
      </c>
      <c r="E27" s="29">
        <v>20573</v>
      </c>
      <c r="F27" s="29"/>
      <c r="G27" s="30">
        <v>0</v>
      </c>
      <c r="H27" s="31">
        <v>0</v>
      </c>
      <c r="I27" s="31">
        <v>54.785010450880854</v>
      </c>
      <c r="J27" s="31">
        <v>0</v>
      </c>
      <c r="K27" s="31">
        <v>0</v>
      </c>
      <c r="L27" s="31">
        <f t="shared" si="11"/>
        <v>54.785010450880854</v>
      </c>
      <c r="M27" s="30"/>
      <c r="N27" s="31"/>
      <c r="O27" s="31">
        <v>33.49</v>
      </c>
      <c r="P27" s="31"/>
      <c r="Q27" s="31"/>
      <c r="R27" s="32">
        <f t="shared" si="14"/>
        <v>33.49</v>
      </c>
      <c r="S27" s="30">
        <f t="shared" si="15"/>
        <v>0</v>
      </c>
      <c r="T27" s="31">
        <f t="shared" si="15"/>
        <v>0</v>
      </c>
      <c r="U27" s="31">
        <f t="shared" si="15"/>
        <v>-352.6406628616067</v>
      </c>
      <c r="V27" s="31">
        <f t="shared" si="15"/>
        <v>0</v>
      </c>
      <c r="W27" s="31">
        <f t="shared" si="15"/>
        <v>0</v>
      </c>
      <c r="X27" s="31">
        <f t="shared" si="16"/>
        <v>-352.6406628616067</v>
      </c>
    </row>
    <row r="28" spans="2:24" x14ac:dyDescent="0.3">
      <c r="B28" s="29" t="s">
        <v>12</v>
      </c>
      <c r="C28" s="29" t="s">
        <v>298</v>
      </c>
      <c r="D28" s="29" t="s">
        <v>126</v>
      </c>
      <c r="E28" s="29">
        <v>20322</v>
      </c>
      <c r="F28" s="29"/>
      <c r="G28" s="30">
        <v>0</v>
      </c>
      <c r="H28" s="31">
        <v>0</v>
      </c>
      <c r="I28" s="31">
        <v>0</v>
      </c>
      <c r="J28" s="31">
        <v>42.834763266603105</v>
      </c>
      <c r="K28" s="31">
        <v>0</v>
      </c>
      <c r="L28" s="31">
        <f t="shared" si="11"/>
        <v>42.834763266603105</v>
      </c>
      <c r="M28" s="30"/>
      <c r="N28" s="31"/>
      <c r="O28" s="31"/>
      <c r="P28" s="31">
        <v>31.470000000000002</v>
      </c>
      <c r="Q28" s="31"/>
      <c r="R28" s="32">
        <f t="shared" si="14"/>
        <v>31.470000000000002</v>
      </c>
      <c r="S28" s="30">
        <f t="shared" si="15"/>
        <v>0</v>
      </c>
      <c r="T28" s="31">
        <f t="shared" si="15"/>
        <v>0</v>
      </c>
      <c r="U28" s="31">
        <f t="shared" si="15"/>
        <v>0</v>
      </c>
      <c r="V28" s="31">
        <f t="shared" si="15"/>
        <v>-536.40320998329696</v>
      </c>
      <c r="W28" s="31">
        <f t="shared" si="15"/>
        <v>0</v>
      </c>
      <c r="X28" s="31">
        <f t="shared" si="16"/>
        <v>-536.40320998329696</v>
      </c>
    </row>
    <row r="29" spans="2:24" x14ac:dyDescent="0.3">
      <c r="B29" s="29" t="s">
        <v>12</v>
      </c>
      <c r="C29" s="29" t="s">
        <v>298</v>
      </c>
      <c r="D29" s="29" t="s">
        <v>133</v>
      </c>
      <c r="E29" s="29">
        <v>20346</v>
      </c>
      <c r="F29" s="29"/>
      <c r="G29" s="30">
        <v>0</v>
      </c>
      <c r="H29" s="31">
        <v>0</v>
      </c>
      <c r="I29" s="31">
        <v>39.738726790450926</v>
      </c>
      <c r="J29" s="31">
        <v>0</v>
      </c>
      <c r="K29" s="31">
        <v>0</v>
      </c>
      <c r="L29" s="31">
        <f t="shared" si="11"/>
        <v>39.738726790450926</v>
      </c>
      <c r="M29" s="30"/>
      <c r="N29" s="31"/>
      <c r="O29" s="31">
        <v>37.700000000000003</v>
      </c>
      <c r="P29" s="31"/>
      <c r="Q29" s="31"/>
      <c r="R29" s="32">
        <f t="shared" si="14"/>
        <v>37.700000000000003</v>
      </c>
      <c r="S29" s="30">
        <f t="shared" si="15"/>
        <v>0</v>
      </c>
      <c r="T29" s="31">
        <f t="shared" si="15"/>
        <v>0</v>
      </c>
      <c r="U29" s="31">
        <f t="shared" si="15"/>
        <v>-964.21572080867634</v>
      </c>
      <c r="V29" s="31">
        <f t="shared" si="15"/>
        <v>0</v>
      </c>
      <c r="W29" s="31">
        <f t="shared" si="15"/>
        <v>0</v>
      </c>
      <c r="X29" s="31">
        <f t="shared" si="16"/>
        <v>-964.21572080867634</v>
      </c>
    </row>
    <row r="32" spans="2:24" x14ac:dyDescent="0.3">
      <c r="B32" s="46" t="s">
        <v>304</v>
      </c>
      <c r="C32" s="46" t="s">
        <v>305</v>
      </c>
      <c r="D32" s="46" t="s">
        <v>311</v>
      </c>
      <c r="E32" s="46"/>
      <c r="F32" s="12"/>
      <c r="G32" s="62" t="s">
        <v>303</v>
      </c>
      <c r="H32" s="63"/>
      <c r="I32" s="63"/>
      <c r="J32" s="63"/>
      <c r="K32" s="63"/>
      <c r="L32" s="64"/>
      <c r="M32" s="62" t="s">
        <v>307</v>
      </c>
      <c r="N32" s="63"/>
      <c r="O32" s="63"/>
      <c r="P32" s="63"/>
      <c r="Q32" s="63"/>
      <c r="R32" s="64"/>
      <c r="S32" s="62" t="s">
        <v>308</v>
      </c>
      <c r="T32" s="63"/>
      <c r="U32" s="63"/>
      <c r="V32" s="63"/>
      <c r="W32" s="63"/>
      <c r="X32" s="63"/>
    </row>
    <row r="33" spans="2:24" s="37" customFormat="1" x14ac:dyDescent="0.3">
      <c r="D33" s="45"/>
      <c r="G33" s="38">
        <v>1</v>
      </c>
      <c r="H33" s="39">
        <v>2</v>
      </c>
      <c r="I33" s="39">
        <v>3</v>
      </c>
      <c r="J33" s="39">
        <v>4</v>
      </c>
      <c r="K33" s="39">
        <v>5</v>
      </c>
      <c r="L33" s="40" t="s">
        <v>310</v>
      </c>
      <c r="M33" s="38">
        <v>1</v>
      </c>
      <c r="N33" s="39">
        <v>2</v>
      </c>
      <c r="O33" s="39">
        <v>3</v>
      </c>
      <c r="P33" s="39">
        <v>4</v>
      </c>
      <c r="Q33" s="39">
        <v>5</v>
      </c>
      <c r="R33" s="40" t="s">
        <v>309</v>
      </c>
      <c r="S33" s="39">
        <v>1</v>
      </c>
      <c r="T33" s="39">
        <v>2</v>
      </c>
      <c r="U33" s="39">
        <v>3</v>
      </c>
      <c r="V33" s="39">
        <v>4</v>
      </c>
      <c r="W33" s="39">
        <v>5</v>
      </c>
      <c r="X33" s="39" t="s">
        <v>309</v>
      </c>
    </row>
    <row r="34" spans="2:24" x14ac:dyDescent="0.3">
      <c r="B34" s="41" t="s">
        <v>12</v>
      </c>
      <c r="C34" s="41" t="s">
        <v>302</v>
      </c>
      <c r="D34" s="47"/>
      <c r="E34" s="41"/>
      <c r="F34" s="41"/>
      <c r="G34" s="42">
        <v>100.62636513613865</v>
      </c>
      <c r="H34" s="43">
        <v>80.421171119954494</v>
      </c>
      <c r="I34" s="43">
        <v>65.314740605004673</v>
      </c>
      <c r="J34" s="43">
        <v>59.879669843765384</v>
      </c>
      <c r="K34" s="43">
        <v>53.949188110196928</v>
      </c>
      <c r="L34" s="43">
        <f t="shared" ref="L34:L35" si="17">SUMPRODUCT(G34:K34,M34:Q34)/R34</f>
        <v>71.625618591799068</v>
      </c>
      <c r="M34" s="42">
        <v>2200.3299999999995</v>
      </c>
      <c r="N34" s="43">
        <v>3078.2500000000023</v>
      </c>
      <c r="O34" s="43">
        <v>4993.3499999999995</v>
      </c>
      <c r="P34" s="43">
        <v>1526.5500000000002</v>
      </c>
      <c r="Q34" s="43">
        <v>2344.5300000000007</v>
      </c>
      <c r="R34" s="44">
        <f t="shared" ref="R34:R35" si="18">SUM(M34:Q34)</f>
        <v>14143.01</v>
      </c>
      <c r="S34" s="42"/>
      <c r="T34" s="43"/>
      <c r="U34" s="43"/>
      <c r="V34" s="43"/>
      <c r="W34" s="43"/>
      <c r="X34" s="43"/>
    </row>
    <row r="35" spans="2:24" x14ac:dyDescent="0.3">
      <c r="B35" s="21" t="s">
        <v>12</v>
      </c>
      <c r="C35" s="21" t="s">
        <v>298</v>
      </c>
      <c r="D35" s="48"/>
      <c r="E35" s="21"/>
      <c r="F35" s="21"/>
      <c r="G35" s="22">
        <v>121.34589360709285</v>
      </c>
      <c r="H35" s="23">
        <v>82.163515158377436</v>
      </c>
      <c r="I35" s="23">
        <v>73.792364016736386</v>
      </c>
      <c r="J35" s="23">
        <v>71.208386250105846</v>
      </c>
      <c r="K35" s="23">
        <v>68.119658119658126</v>
      </c>
      <c r="L35" s="23">
        <f t="shared" si="17"/>
        <v>88.59674882323722</v>
      </c>
      <c r="M35" s="22">
        <v>428.6</v>
      </c>
      <c r="N35" s="23">
        <v>706.54000000000008</v>
      </c>
      <c r="O35" s="23">
        <v>76.48</v>
      </c>
      <c r="P35" s="23">
        <v>472.44</v>
      </c>
      <c r="Q35" s="23">
        <v>7.02</v>
      </c>
      <c r="R35" s="24">
        <f t="shared" si="18"/>
        <v>1691.0800000000002</v>
      </c>
      <c r="S35" s="22">
        <f t="shared" ref="S35:X35" si="19">SUM(S36:S45)</f>
        <v>8880.3899026509844</v>
      </c>
      <c r="T35" s="23">
        <f t="shared" si="19"/>
        <v>1231.0357569073549</v>
      </c>
      <c r="U35" s="23">
        <f t="shared" si="19"/>
        <v>648.36863852924148</v>
      </c>
      <c r="V35" s="23">
        <f t="shared" si="19"/>
        <v>5352.138779011485</v>
      </c>
      <c r="W35" s="23">
        <f t="shared" si="19"/>
        <v>99.4766994664176</v>
      </c>
      <c r="X35" s="23">
        <f t="shared" si="19"/>
        <v>16211.409776565484</v>
      </c>
    </row>
    <row r="36" spans="2:24" s="17" customFormat="1" x14ac:dyDescent="0.3">
      <c r="B36" s="25" t="s">
        <v>12</v>
      </c>
      <c r="C36" s="25" t="s">
        <v>298</v>
      </c>
      <c r="D36" s="49" t="s">
        <v>214</v>
      </c>
      <c r="E36" s="25"/>
      <c r="F36" s="25"/>
      <c r="G36" s="26">
        <v>122.10057682866962</v>
      </c>
      <c r="H36" s="27">
        <v>0</v>
      </c>
      <c r="I36" s="27">
        <v>0</v>
      </c>
      <c r="J36" s="27">
        <v>0</v>
      </c>
      <c r="K36" s="27">
        <v>0</v>
      </c>
      <c r="L36" s="28">
        <f t="shared" ref="L36:L45" si="20">SUMPRODUCT(G36:K36,M36:Q36)/R36</f>
        <v>122.10057682866962</v>
      </c>
      <c r="M36" s="26">
        <v>162.96</v>
      </c>
      <c r="N36" s="27"/>
      <c r="O36" s="27"/>
      <c r="P36" s="27"/>
      <c r="Q36" s="27"/>
      <c r="R36" s="28">
        <f t="shared" ref="R36:R45" si="21">SUM(M36:Q36)</f>
        <v>162.96</v>
      </c>
      <c r="S36" s="27">
        <f t="shared" ref="S36:S45" si="22">(G36-G$3)*M36</f>
        <v>3499.4375374148494</v>
      </c>
      <c r="T36" s="27">
        <f t="shared" ref="T36:T45" si="23">(H36-H$3)*N36</f>
        <v>0</v>
      </c>
      <c r="U36" s="27">
        <f t="shared" ref="U36:U45" si="24">(I36-I$3)*O36</f>
        <v>0</v>
      </c>
      <c r="V36" s="27">
        <f t="shared" ref="V36:V45" si="25">(J36-J$3)*P36</f>
        <v>0</v>
      </c>
      <c r="W36" s="27">
        <f t="shared" ref="W36:W45" si="26">(K36-K$3)*Q36</f>
        <v>0</v>
      </c>
      <c r="X36" s="27">
        <f t="shared" ref="X36:X45" si="27">SUM(S36:W36)</f>
        <v>3499.4375374148494</v>
      </c>
    </row>
    <row r="37" spans="2:24" s="17" customFormat="1" x14ac:dyDescent="0.3">
      <c r="B37" s="29" t="s">
        <v>12</v>
      </c>
      <c r="C37" s="29" t="s">
        <v>298</v>
      </c>
      <c r="D37" s="50" t="s">
        <v>223</v>
      </c>
      <c r="E37" s="29"/>
      <c r="F37" s="29"/>
      <c r="G37" s="30">
        <v>117.97423009414393</v>
      </c>
      <c r="H37" s="31">
        <v>0</v>
      </c>
      <c r="I37" s="31">
        <v>0</v>
      </c>
      <c r="J37" s="31">
        <v>0</v>
      </c>
      <c r="K37" s="31">
        <v>0</v>
      </c>
      <c r="L37" s="32">
        <f t="shared" si="20"/>
        <v>117.97423009414393</v>
      </c>
      <c r="M37" s="30">
        <v>125.34</v>
      </c>
      <c r="N37" s="31"/>
      <c r="O37" s="31"/>
      <c r="P37" s="31"/>
      <c r="Q37" s="31"/>
      <c r="R37" s="32">
        <f t="shared" si="21"/>
        <v>125.34</v>
      </c>
      <c r="S37" s="31">
        <f t="shared" si="22"/>
        <v>2174.3813938363846</v>
      </c>
      <c r="T37" s="31">
        <f t="shared" si="23"/>
        <v>0</v>
      </c>
      <c r="U37" s="31">
        <f t="shared" si="24"/>
        <v>0</v>
      </c>
      <c r="V37" s="31">
        <f t="shared" si="25"/>
        <v>0</v>
      </c>
      <c r="W37" s="31">
        <f t="shared" si="26"/>
        <v>0</v>
      </c>
      <c r="X37" s="31">
        <f t="shared" si="27"/>
        <v>2174.3813938363846</v>
      </c>
    </row>
    <row r="38" spans="2:24" s="17" customFormat="1" x14ac:dyDescent="0.3">
      <c r="B38" s="29" t="s">
        <v>12</v>
      </c>
      <c r="C38" s="29" t="s">
        <v>298</v>
      </c>
      <c r="D38" s="50" t="s">
        <v>211</v>
      </c>
      <c r="E38" s="29"/>
      <c r="F38" s="29"/>
      <c r="G38" s="30">
        <v>110.36410754778103</v>
      </c>
      <c r="H38" s="31">
        <v>102.81675246973703</v>
      </c>
      <c r="I38" s="31">
        <v>0</v>
      </c>
      <c r="J38" s="31">
        <v>0</v>
      </c>
      <c r="K38" s="31">
        <v>0</v>
      </c>
      <c r="L38" s="32">
        <f t="shared" si="20"/>
        <v>105.08448510803971</v>
      </c>
      <c r="M38" s="30">
        <v>30.869999999999997</v>
      </c>
      <c r="N38" s="31">
        <v>71.87</v>
      </c>
      <c r="O38" s="31"/>
      <c r="P38" s="31"/>
      <c r="Q38" s="31"/>
      <c r="R38" s="32">
        <f t="shared" si="21"/>
        <v>102.74000000000001</v>
      </c>
      <c r="S38" s="31">
        <f t="shared" si="22"/>
        <v>300.60410824740092</v>
      </c>
      <c r="T38" s="31">
        <f t="shared" si="23"/>
        <v>1609.5704316088706</v>
      </c>
      <c r="U38" s="31">
        <f t="shared" si="24"/>
        <v>0</v>
      </c>
      <c r="V38" s="31">
        <f t="shared" si="25"/>
        <v>0</v>
      </c>
      <c r="W38" s="31">
        <f t="shared" si="26"/>
        <v>0</v>
      </c>
      <c r="X38" s="31">
        <f t="shared" si="27"/>
        <v>1910.1745398562716</v>
      </c>
    </row>
    <row r="39" spans="2:24" s="17" customFormat="1" x14ac:dyDescent="0.3">
      <c r="B39" s="29" t="s">
        <v>12</v>
      </c>
      <c r="C39" s="29" t="s">
        <v>298</v>
      </c>
      <c r="D39" s="50" t="s">
        <v>210</v>
      </c>
      <c r="E39" s="29"/>
      <c r="F39" s="29"/>
      <c r="G39" s="30">
        <v>0</v>
      </c>
      <c r="H39" s="31">
        <v>96.442017112688887</v>
      </c>
      <c r="I39" s="31">
        <v>0</v>
      </c>
      <c r="J39" s="31">
        <v>0</v>
      </c>
      <c r="K39" s="31">
        <v>0</v>
      </c>
      <c r="L39" s="32">
        <f t="shared" si="20"/>
        <v>96.442017112688887</v>
      </c>
      <c r="M39" s="30"/>
      <c r="N39" s="31">
        <v>54.93</v>
      </c>
      <c r="O39" s="31"/>
      <c r="P39" s="31"/>
      <c r="Q39" s="31"/>
      <c r="R39" s="32">
        <f t="shared" si="21"/>
        <v>54.93</v>
      </c>
      <c r="S39" s="31">
        <f t="shared" si="22"/>
        <v>0</v>
      </c>
      <c r="T39" s="31">
        <f t="shared" si="23"/>
        <v>880.02507038090027</v>
      </c>
      <c r="U39" s="31">
        <f t="shared" si="24"/>
        <v>0</v>
      </c>
      <c r="V39" s="31">
        <f t="shared" si="25"/>
        <v>0</v>
      </c>
      <c r="W39" s="31">
        <f t="shared" si="26"/>
        <v>0</v>
      </c>
      <c r="X39" s="31">
        <f t="shared" si="27"/>
        <v>880.02507038090027</v>
      </c>
    </row>
    <row r="40" spans="2:24" s="17" customFormat="1" x14ac:dyDescent="0.3">
      <c r="B40" s="29" t="s">
        <v>12</v>
      </c>
      <c r="C40" s="29" t="s">
        <v>298</v>
      </c>
      <c r="D40" s="50" t="s">
        <v>200</v>
      </c>
      <c r="E40" s="29"/>
      <c r="F40" s="29"/>
      <c r="G40" s="30">
        <v>130.97009606445616</v>
      </c>
      <c r="H40" s="31">
        <v>0</v>
      </c>
      <c r="I40" s="31">
        <v>0</v>
      </c>
      <c r="J40" s="31">
        <v>72.050638371290546</v>
      </c>
      <c r="K40" s="31">
        <v>0</v>
      </c>
      <c r="L40" s="32">
        <f t="shared" si="20"/>
        <v>93.122686467915315</v>
      </c>
      <c r="M40" s="30">
        <v>64.539999999999992</v>
      </c>
      <c r="N40" s="31"/>
      <c r="O40" s="31"/>
      <c r="P40" s="31">
        <v>115.92000000000002</v>
      </c>
      <c r="Q40" s="31"/>
      <c r="R40" s="32">
        <f t="shared" si="21"/>
        <v>180.46</v>
      </c>
      <c r="S40" s="31">
        <f t="shared" si="22"/>
        <v>1958.3843941136129</v>
      </c>
      <c r="T40" s="31">
        <f t="shared" si="23"/>
        <v>0</v>
      </c>
      <c r="U40" s="31">
        <f t="shared" si="24"/>
        <v>0</v>
      </c>
      <c r="V40" s="31">
        <f t="shared" si="25"/>
        <v>1410.8586717107169</v>
      </c>
      <c r="W40" s="31">
        <f t="shared" si="26"/>
        <v>0</v>
      </c>
      <c r="X40" s="31">
        <f t="shared" si="27"/>
        <v>3369.2430658243297</v>
      </c>
    </row>
    <row r="41" spans="2:24" s="17" customFormat="1" x14ac:dyDescent="0.3">
      <c r="B41" s="29" t="s">
        <v>12</v>
      </c>
      <c r="C41" s="29" t="s">
        <v>298</v>
      </c>
      <c r="D41" s="50" t="s">
        <v>209</v>
      </c>
      <c r="E41" s="29"/>
      <c r="F41" s="29"/>
      <c r="G41" s="30">
        <v>0</v>
      </c>
      <c r="H41" s="31">
        <v>0</v>
      </c>
      <c r="I41" s="31">
        <v>0</v>
      </c>
      <c r="J41" s="31">
        <v>83.555702917771882</v>
      </c>
      <c r="K41" s="31">
        <v>0</v>
      </c>
      <c r="L41" s="32">
        <f t="shared" si="20"/>
        <v>83.555702917771882</v>
      </c>
      <c r="M41" s="30"/>
      <c r="N41" s="31"/>
      <c r="O41" s="31"/>
      <c r="P41" s="31">
        <v>15.08</v>
      </c>
      <c r="Q41" s="31"/>
      <c r="R41" s="32">
        <f t="shared" si="21"/>
        <v>15.08</v>
      </c>
      <c r="S41" s="31">
        <f t="shared" si="22"/>
        <v>0</v>
      </c>
      <c r="T41" s="31">
        <f t="shared" si="23"/>
        <v>0</v>
      </c>
      <c r="U41" s="31">
        <f t="shared" si="24"/>
        <v>0</v>
      </c>
      <c r="V41" s="31">
        <f t="shared" si="25"/>
        <v>357.03457875601799</v>
      </c>
      <c r="W41" s="31">
        <f t="shared" si="26"/>
        <v>0</v>
      </c>
      <c r="X41" s="31">
        <f t="shared" si="27"/>
        <v>357.03457875601799</v>
      </c>
    </row>
    <row r="42" spans="2:24" s="17" customFormat="1" x14ac:dyDescent="0.3">
      <c r="B42" s="29" t="s">
        <v>12</v>
      </c>
      <c r="C42" s="29" t="s">
        <v>298</v>
      </c>
      <c r="D42" s="50" t="s">
        <v>212</v>
      </c>
      <c r="E42" s="29"/>
      <c r="F42" s="29"/>
      <c r="G42" s="30">
        <v>121.73535308531966</v>
      </c>
      <c r="H42" s="31">
        <v>81.24764542936289</v>
      </c>
      <c r="I42" s="31">
        <v>0</v>
      </c>
      <c r="J42" s="31">
        <v>70.269229600364696</v>
      </c>
      <c r="K42" s="31">
        <v>0</v>
      </c>
      <c r="L42" s="32">
        <f t="shared" si="20"/>
        <v>78.611069492795153</v>
      </c>
      <c r="M42" s="30">
        <v>44.89</v>
      </c>
      <c r="N42" s="31">
        <v>306.85000000000002</v>
      </c>
      <c r="O42" s="31"/>
      <c r="P42" s="31">
        <v>329.05</v>
      </c>
      <c r="Q42" s="31"/>
      <c r="R42" s="32">
        <f t="shared" si="21"/>
        <v>680.79</v>
      </c>
      <c r="S42" s="31">
        <f t="shared" si="22"/>
        <v>947.58246903873635</v>
      </c>
      <c r="T42" s="31">
        <f t="shared" si="23"/>
        <v>253.60364184196658</v>
      </c>
      <c r="U42" s="31">
        <f t="shared" si="24"/>
        <v>0</v>
      </c>
      <c r="V42" s="31">
        <f t="shared" si="25"/>
        <v>3418.6846379090034</v>
      </c>
      <c r="W42" s="31">
        <f t="shared" si="26"/>
        <v>0</v>
      </c>
      <c r="X42" s="31">
        <f t="shared" si="27"/>
        <v>4619.8707487897063</v>
      </c>
    </row>
    <row r="43" spans="2:24" s="17" customFormat="1" x14ac:dyDescent="0.3">
      <c r="B43" s="29" t="s">
        <v>12</v>
      </c>
      <c r="C43" s="29" t="s">
        <v>298</v>
      </c>
      <c r="D43" s="50" t="s">
        <v>207</v>
      </c>
      <c r="E43" s="29"/>
      <c r="F43" s="29"/>
      <c r="G43" s="30">
        <v>0</v>
      </c>
      <c r="H43" s="31">
        <v>74.879878339257573</v>
      </c>
      <c r="I43" s="31">
        <v>73.792364016736386</v>
      </c>
      <c r="J43" s="31">
        <v>0</v>
      </c>
      <c r="K43" s="31">
        <v>0</v>
      </c>
      <c r="L43" s="32">
        <f t="shared" si="20"/>
        <v>74.641812405186471</v>
      </c>
      <c r="M43" s="30"/>
      <c r="N43" s="31">
        <v>272.89000000000004</v>
      </c>
      <c r="O43" s="31">
        <v>76.48</v>
      </c>
      <c r="P43" s="31"/>
      <c r="Q43" s="31"/>
      <c r="R43" s="32">
        <f t="shared" si="21"/>
        <v>349.37000000000006</v>
      </c>
      <c r="S43" s="31">
        <f t="shared" si="22"/>
        <v>0</v>
      </c>
      <c r="T43" s="31">
        <f t="shared" si="23"/>
        <v>-1512.1633869243828</v>
      </c>
      <c r="U43" s="31">
        <f t="shared" si="24"/>
        <v>648.36863852924148</v>
      </c>
      <c r="V43" s="31">
        <f t="shared" si="25"/>
        <v>0</v>
      </c>
      <c r="W43" s="31">
        <f t="shared" si="26"/>
        <v>0</v>
      </c>
      <c r="X43" s="31">
        <f t="shared" si="27"/>
        <v>-863.79474839514137</v>
      </c>
    </row>
    <row r="44" spans="2:24" s="17" customFormat="1" x14ac:dyDescent="0.3">
      <c r="B44" s="29" t="s">
        <v>12</v>
      </c>
      <c r="C44" s="29" t="s">
        <v>298</v>
      </c>
      <c r="D44" s="50" t="s">
        <v>194</v>
      </c>
      <c r="E44" s="29"/>
      <c r="F44" s="29"/>
      <c r="G44" s="30">
        <v>0</v>
      </c>
      <c r="H44" s="31">
        <v>0</v>
      </c>
      <c r="I44" s="31">
        <v>0</v>
      </c>
      <c r="J44" s="31">
        <v>73.242130750605327</v>
      </c>
      <c r="K44" s="31">
        <v>0</v>
      </c>
      <c r="L44" s="32">
        <f t="shared" si="20"/>
        <v>73.242130750605327</v>
      </c>
      <c r="M44" s="30"/>
      <c r="N44" s="31"/>
      <c r="O44" s="31"/>
      <c r="P44" s="31">
        <v>12.39</v>
      </c>
      <c r="Q44" s="31"/>
      <c r="R44" s="32">
        <f t="shared" si="21"/>
        <v>12.39</v>
      </c>
      <c r="S44" s="31">
        <f t="shared" si="22"/>
        <v>0</v>
      </c>
      <c r="T44" s="31">
        <f t="shared" si="23"/>
        <v>0</v>
      </c>
      <c r="U44" s="31">
        <f t="shared" si="24"/>
        <v>0</v>
      </c>
      <c r="V44" s="31">
        <f t="shared" si="25"/>
        <v>165.56089063574689</v>
      </c>
      <c r="W44" s="31">
        <f t="shared" si="26"/>
        <v>0</v>
      </c>
      <c r="X44" s="31">
        <f t="shared" si="27"/>
        <v>165.56089063574689</v>
      </c>
    </row>
    <row r="45" spans="2:24" s="17" customFormat="1" x14ac:dyDescent="0.3">
      <c r="B45" s="33" t="s">
        <v>12</v>
      </c>
      <c r="C45" s="33" t="s">
        <v>298</v>
      </c>
      <c r="D45" s="51" t="s">
        <v>205</v>
      </c>
      <c r="E45" s="33"/>
      <c r="F45" s="33"/>
      <c r="G45" s="34">
        <v>0</v>
      </c>
      <c r="H45" s="35">
        <v>0</v>
      </c>
      <c r="I45" s="35">
        <v>0</v>
      </c>
      <c r="J45" s="35">
        <v>0</v>
      </c>
      <c r="K45" s="35">
        <v>68.119658119658126</v>
      </c>
      <c r="L45" s="36">
        <f t="shared" si="20"/>
        <v>68.119658119658126</v>
      </c>
      <c r="M45" s="34"/>
      <c r="N45" s="35"/>
      <c r="O45" s="35"/>
      <c r="P45" s="35"/>
      <c r="Q45" s="35">
        <v>7.02</v>
      </c>
      <c r="R45" s="36">
        <f t="shared" si="21"/>
        <v>7.02</v>
      </c>
      <c r="S45" s="35">
        <f t="shared" si="22"/>
        <v>0</v>
      </c>
      <c r="T45" s="35">
        <f t="shared" si="23"/>
        <v>0</v>
      </c>
      <c r="U45" s="35">
        <f t="shared" si="24"/>
        <v>0</v>
      </c>
      <c r="V45" s="35">
        <f t="shared" si="25"/>
        <v>0</v>
      </c>
      <c r="W45" s="35">
        <f t="shared" si="26"/>
        <v>99.4766994664176</v>
      </c>
      <c r="X45" s="35">
        <f t="shared" si="27"/>
        <v>99.4766994664176</v>
      </c>
    </row>
    <row r="48" spans="2:24" x14ac:dyDescent="0.3">
      <c r="B48" s="46" t="s">
        <v>304</v>
      </c>
      <c r="C48" s="46" t="s">
        <v>305</v>
      </c>
      <c r="D48" s="46" t="s">
        <v>312</v>
      </c>
      <c r="E48" s="46" t="s">
        <v>323</v>
      </c>
      <c r="F48" s="12" t="s">
        <v>314</v>
      </c>
      <c r="G48" s="62" t="s">
        <v>303</v>
      </c>
      <c r="H48" s="63"/>
      <c r="I48" s="63"/>
      <c r="J48" s="63"/>
      <c r="K48" s="63"/>
      <c r="L48" s="64"/>
      <c r="M48" s="62" t="s">
        <v>307</v>
      </c>
      <c r="N48" s="63"/>
      <c r="O48" s="63"/>
      <c r="P48" s="63"/>
      <c r="Q48" s="63"/>
      <c r="R48" s="64"/>
      <c r="S48" s="62" t="s">
        <v>308</v>
      </c>
      <c r="T48" s="63"/>
      <c r="U48" s="63"/>
      <c r="V48" s="63"/>
      <c r="W48" s="63"/>
      <c r="X48" s="63"/>
    </row>
    <row r="49" spans="2:24" s="12" customFormat="1" x14ac:dyDescent="0.3">
      <c r="B49" s="39"/>
      <c r="C49" s="39"/>
      <c r="D49" s="46" t="s">
        <v>322</v>
      </c>
      <c r="E49" s="39" t="s">
        <v>313</v>
      </c>
      <c r="F49" s="39" t="s">
        <v>313</v>
      </c>
      <c r="G49" s="38">
        <v>1</v>
      </c>
      <c r="H49" s="39">
        <v>2</v>
      </c>
      <c r="I49" s="39">
        <v>3</v>
      </c>
      <c r="J49" s="39">
        <v>4</v>
      </c>
      <c r="K49" s="39">
        <v>5</v>
      </c>
      <c r="L49" s="40" t="s">
        <v>310</v>
      </c>
      <c r="M49" s="38">
        <v>1</v>
      </c>
      <c r="N49" s="39">
        <v>2</v>
      </c>
      <c r="O49" s="39">
        <v>3</v>
      </c>
      <c r="P49" s="39">
        <v>4</v>
      </c>
      <c r="Q49" s="39">
        <v>5</v>
      </c>
      <c r="R49" s="40" t="s">
        <v>309</v>
      </c>
      <c r="S49" s="39">
        <v>1</v>
      </c>
      <c r="T49" s="39">
        <v>2</v>
      </c>
      <c r="U49" s="39">
        <v>3</v>
      </c>
      <c r="V49" s="39">
        <v>4</v>
      </c>
      <c r="W49" s="39">
        <v>5</v>
      </c>
      <c r="X49" s="39" t="s">
        <v>309</v>
      </c>
    </row>
    <row r="50" spans="2:24" x14ac:dyDescent="0.3">
      <c r="B50" s="41" t="s">
        <v>12</v>
      </c>
      <c r="C50" s="41" t="s">
        <v>302</v>
      </c>
      <c r="D50" s="47"/>
      <c r="E50" s="41"/>
      <c r="F50" s="41"/>
      <c r="G50" s="42">
        <v>100.62636513613863</v>
      </c>
      <c r="H50" s="43">
        <v>80.421171119954494</v>
      </c>
      <c r="I50" s="43">
        <v>65.314740605004673</v>
      </c>
      <c r="J50" s="43">
        <v>59.879669843765384</v>
      </c>
      <c r="K50" s="43">
        <v>53.949188110196928</v>
      </c>
      <c r="L50" s="43">
        <f t="shared" ref="L50:L52" si="28">IFERROR(SUMPRODUCT(G50:K50,M50:Q50)/R50,0)</f>
        <v>71.609088549708389</v>
      </c>
      <c r="M50" s="42">
        <v>2200.3299999999995</v>
      </c>
      <c r="N50" s="43">
        <v>3051.7200000000021</v>
      </c>
      <c r="O50" s="43">
        <v>4993.3499999999995</v>
      </c>
      <c r="P50" s="43">
        <v>1526.5500000000002</v>
      </c>
      <c r="Q50" s="43">
        <v>2344.5300000000007</v>
      </c>
      <c r="R50" s="44">
        <f t="shared" ref="R50:R51" si="29">SUM(M50:Q50)</f>
        <v>14116.480000000001</v>
      </c>
      <c r="S50" s="42"/>
      <c r="T50" s="43"/>
      <c r="U50" s="43"/>
      <c r="V50" s="43"/>
      <c r="W50" s="43"/>
      <c r="X50" s="43"/>
    </row>
    <row r="51" spans="2:24" x14ac:dyDescent="0.3">
      <c r="B51" s="21" t="s">
        <v>12</v>
      </c>
      <c r="C51" s="21" t="s">
        <v>298</v>
      </c>
      <c r="D51" s="48"/>
      <c r="E51" s="21"/>
      <c r="F51" s="21"/>
      <c r="G51" s="22">
        <v>121.34589360709285</v>
      </c>
      <c r="H51" s="23">
        <v>82.16351515837745</v>
      </c>
      <c r="I51" s="23">
        <v>73.792364016736386</v>
      </c>
      <c r="J51" s="23">
        <v>71.208386250105818</v>
      </c>
      <c r="K51" s="23">
        <v>68.119658119658126</v>
      </c>
      <c r="L51" s="23">
        <f t="shared" si="28"/>
        <v>88.59674882323722</v>
      </c>
      <c r="M51" s="22">
        <v>428.6</v>
      </c>
      <c r="N51" s="23">
        <v>706.54</v>
      </c>
      <c r="O51" s="23">
        <v>76.48</v>
      </c>
      <c r="P51" s="23">
        <v>472.44000000000005</v>
      </c>
      <c r="Q51" s="23">
        <v>7.02</v>
      </c>
      <c r="R51" s="24">
        <f t="shared" si="29"/>
        <v>1691.08</v>
      </c>
      <c r="S51" s="22">
        <f>SUM(S52:S58)</f>
        <v>8880.3899026509807</v>
      </c>
      <c r="T51" s="23">
        <f t="shared" ref="T51:X51" si="30">SUM(T52:T58)</f>
        <v>1231.0357569073558</v>
      </c>
      <c r="U51" s="23">
        <f t="shared" si="30"/>
        <v>648.36863852924148</v>
      </c>
      <c r="V51" s="23">
        <f t="shared" si="30"/>
        <v>5352.138779011475</v>
      </c>
      <c r="W51" s="23">
        <f t="shared" si="30"/>
        <v>99.4766994664176</v>
      </c>
      <c r="X51" s="23">
        <f t="shared" si="30"/>
        <v>16211.409776565473</v>
      </c>
    </row>
    <row r="52" spans="2:24" x14ac:dyDescent="0.3">
      <c r="B52" s="25" t="s">
        <v>12</v>
      </c>
      <c r="C52" s="25" t="s">
        <v>298</v>
      </c>
      <c r="D52" s="52">
        <v>45443</v>
      </c>
      <c r="E52" s="27">
        <f>IFERROR(SUMIFS(TABELA!AJ:AJ,TABELA!AH:AH,"Irrigado",TABELA!AI:AI,D52,TABELA!AK:AK,0)/SUMIFS(TABELA!M:M,TABELA!AH:AH,"Irrigado",TABELA!AI:AI,D52,TABELA!AK:AK,0),0)</f>
        <v>0</v>
      </c>
      <c r="F52" s="27">
        <v>67</v>
      </c>
      <c r="G52" s="26">
        <v>117.97423009414393</v>
      </c>
      <c r="H52" s="27">
        <v>0</v>
      </c>
      <c r="I52" s="27">
        <v>0</v>
      </c>
      <c r="J52" s="27">
        <v>0</v>
      </c>
      <c r="K52" s="27">
        <v>0</v>
      </c>
      <c r="L52" s="28">
        <f t="shared" si="28"/>
        <v>117.97423009414393</v>
      </c>
      <c r="M52" s="26">
        <v>125.34</v>
      </c>
      <c r="N52" s="27"/>
      <c r="O52" s="27"/>
      <c r="P52" s="27"/>
      <c r="Q52" s="27"/>
      <c r="R52" s="28">
        <f>SUM(M52:Q52)</f>
        <v>125.34</v>
      </c>
      <c r="S52" s="27">
        <f>(G52-G$3)*M52</f>
        <v>2174.3813938363846</v>
      </c>
      <c r="T52" s="27">
        <f>(H52-H$3)*N52</f>
        <v>0</v>
      </c>
      <c r="U52" s="27">
        <f>(I52-I$3)*O52</f>
        <v>0</v>
      </c>
      <c r="V52" s="27">
        <f>(J52-J$3)*P52</f>
        <v>0</v>
      </c>
      <c r="W52" s="27">
        <f>(K52-K$3)*Q52</f>
        <v>0</v>
      </c>
      <c r="X52" s="27">
        <f>SUM(S52:W52)</f>
        <v>2174.3813938363846</v>
      </c>
    </row>
    <row r="53" spans="2:24" x14ac:dyDescent="0.3">
      <c r="B53" s="56" t="s">
        <v>12</v>
      </c>
      <c r="C53" s="56" t="s">
        <v>298</v>
      </c>
      <c r="D53" s="57">
        <v>45473</v>
      </c>
      <c r="E53" s="59">
        <f>IFERROR(SUMIFS(TABELA!AJ:AJ,TABELA!AH:AH,"Irrigado",TABELA!AI:AI,D53,TABELA!AK:AK,0)/SUMIFS(TABELA!M:M,TABELA!AH:AH,"Irrigado",TABELA!AI:AI,D53,TABELA!AK:AK,0),0)</f>
        <v>0</v>
      </c>
      <c r="F53" s="59">
        <v>1</v>
      </c>
      <c r="G53" s="58">
        <v>0</v>
      </c>
      <c r="H53" s="59">
        <v>0</v>
      </c>
      <c r="I53" s="59">
        <v>0</v>
      </c>
      <c r="J53" s="59">
        <v>0</v>
      </c>
      <c r="K53" s="59">
        <v>0</v>
      </c>
      <c r="L53" s="32">
        <f>IFERROR(SUMPRODUCT(G53:K53,M53:Q53)/R53,0)</f>
        <v>0</v>
      </c>
      <c r="M53" s="58">
        <v>0</v>
      </c>
      <c r="N53" s="59"/>
      <c r="O53" s="59"/>
      <c r="P53" s="59"/>
      <c r="Q53" s="59"/>
      <c r="R53" s="60"/>
      <c r="S53" s="59"/>
      <c r="T53" s="59"/>
      <c r="U53" s="59"/>
      <c r="V53" s="59"/>
      <c r="W53" s="59"/>
      <c r="X53" s="59"/>
    </row>
    <row r="54" spans="2:24" x14ac:dyDescent="0.3">
      <c r="B54" s="29" t="s">
        <v>12</v>
      </c>
      <c r="C54" s="29" t="s">
        <v>298</v>
      </c>
      <c r="D54" s="53">
        <v>45504</v>
      </c>
      <c r="E54" s="31">
        <f>IFERROR(SUMIFS(TABELA!AJ:AJ,TABELA!AH:AH,"Irrigado",TABELA!AI:AI,D54,TABELA!AK:AK,0)/SUMIFS(TABELA!M:M,TABELA!AH:AH,"Irrigado",TABELA!AI:AI,D54,TABELA!AK:AK,0),0)</f>
        <v>0</v>
      </c>
      <c r="F54" s="31">
        <v>96</v>
      </c>
      <c r="G54" s="30">
        <v>116.98589030206676</v>
      </c>
      <c r="H54" s="31">
        <v>0</v>
      </c>
      <c r="I54" s="31">
        <v>0</v>
      </c>
      <c r="J54" s="31">
        <v>0</v>
      </c>
      <c r="K54" s="31">
        <v>0</v>
      </c>
      <c r="L54" s="32">
        <f t="shared" ref="L54:L58" si="31">IFERROR(SUMPRODUCT(G54:K54,M54:Q54)/R54,0)</f>
        <v>116.98589030206676</v>
      </c>
      <c r="M54" s="30">
        <v>100.64</v>
      </c>
      <c r="N54" s="31"/>
      <c r="O54" s="31"/>
      <c r="P54" s="31"/>
      <c r="Q54" s="31"/>
      <c r="R54" s="32">
        <f>SUM(M54:Q54)</f>
        <v>100.64</v>
      </c>
      <c r="S54" s="31">
        <f>(G54-G$3)*M54</f>
        <v>1646.4226126990072</v>
      </c>
      <c r="T54" s="31">
        <f>(H54-H$3)*N54</f>
        <v>0</v>
      </c>
      <c r="U54" s="31">
        <f>(I54-I$3)*O54</f>
        <v>0</v>
      </c>
      <c r="V54" s="31">
        <f>(J54-J$3)*P54</f>
        <v>0</v>
      </c>
      <c r="W54" s="31">
        <f>(K54-K$3)*Q54</f>
        <v>0</v>
      </c>
      <c r="X54" s="31">
        <f>SUM(S54:W54)</f>
        <v>1646.4226126990072</v>
      </c>
    </row>
    <row r="55" spans="2:24" x14ac:dyDescent="0.3">
      <c r="B55" s="29" t="s">
        <v>12</v>
      </c>
      <c r="C55" s="29" t="s">
        <v>298</v>
      </c>
      <c r="D55" s="53">
        <v>45535</v>
      </c>
      <c r="E55" s="31">
        <f>IFERROR(SUMIFS(TABELA!AJ:AJ,TABELA!AH:AH,"Irrigado",TABELA!AI:AI,D55,TABELA!AK:AK,0)/SUMIFS(TABELA!M:M,TABELA!AH:AH,"Irrigado",TABELA!AI:AI,D55,TABELA!AK:AK,0),0)</f>
        <v>47.847004244398384</v>
      </c>
      <c r="F55" s="31">
        <v>42</v>
      </c>
      <c r="G55" s="30">
        <v>125.59717698154179</v>
      </c>
      <c r="H55" s="31">
        <v>100.58325254483763</v>
      </c>
      <c r="I55" s="31">
        <v>0</v>
      </c>
      <c r="J55" s="31">
        <v>0</v>
      </c>
      <c r="K55" s="31">
        <v>0</v>
      </c>
      <c r="L55" s="32">
        <f t="shared" si="31"/>
        <v>118.35810479062918</v>
      </c>
      <c r="M55" s="30">
        <v>202.62</v>
      </c>
      <c r="N55" s="31">
        <v>82.52</v>
      </c>
      <c r="O55" s="31"/>
      <c r="P55" s="31"/>
      <c r="Q55" s="31"/>
      <c r="R55" s="32">
        <f t="shared" ref="R55:R57" si="32">SUM(M55:Q55)</f>
        <v>285.14</v>
      </c>
      <c r="S55" s="31">
        <f t="shared" ref="S55:S57" si="33">(G55-G$3)*M55</f>
        <v>5059.5858961155891</v>
      </c>
      <c r="T55" s="31">
        <f t="shared" ref="T55:T57" si="34">(H55-H$3)*N55</f>
        <v>1663.7749591813567</v>
      </c>
      <c r="U55" s="31">
        <f t="shared" ref="U55:U57" si="35">(I55-I$3)*O55</f>
        <v>0</v>
      </c>
      <c r="V55" s="31">
        <f t="shared" ref="V55:V57" si="36">(J55-J$3)*P55</f>
        <v>0</v>
      </c>
      <c r="W55" s="31">
        <f t="shared" ref="W55:W57" si="37">(K55-K$3)*Q55</f>
        <v>0</v>
      </c>
      <c r="X55" s="31">
        <f t="shared" ref="X55:X57" si="38">SUM(S55:W55)</f>
        <v>6723.3608552969454</v>
      </c>
    </row>
    <row r="56" spans="2:24" x14ac:dyDescent="0.3">
      <c r="B56" s="29" t="s">
        <v>12</v>
      </c>
      <c r="C56" s="29" t="s">
        <v>298</v>
      </c>
      <c r="D56" s="53">
        <v>45565</v>
      </c>
      <c r="E56" s="31">
        <f>IFERROR(SUMIFS(TABELA!AJ:AJ,TABELA!AH:AH,"Irrigado",TABELA!AI:AI,D56,TABELA!AK:AK,0)/SUMIFS(TABELA!M:M,TABELA!AH:AH,"Irrigado",TABELA!AI:AI,D56,TABELA!AK:AK,0),0)</f>
        <v>71.724320535783818</v>
      </c>
      <c r="F56" s="31">
        <v>99</v>
      </c>
      <c r="G56" s="30">
        <v>0</v>
      </c>
      <c r="H56" s="31">
        <v>90.176095894377227</v>
      </c>
      <c r="I56" s="31">
        <v>0</v>
      </c>
      <c r="J56" s="31">
        <v>0</v>
      </c>
      <c r="K56" s="31">
        <v>0</v>
      </c>
      <c r="L56" s="32">
        <f t="shared" si="31"/>
        <v>90.176095894377227</v>
      </c>
      <c r="M56" s="30"/>
      <c r="N56" s="31">
        <v>172.68999999999997</v>
      </c>
      <c r="O56" s="31"/>
      <c r="P56" s="31"/>
      <c r="Q56" s="31"/>
      <c r="R56" s="32">
        <f t="shared" si="32"/>
        <v>172.68999999999997</v>
      </c>
      <c r="S56" s="31">
        <f t="shared" si="33"/>
        <v>0</v>
      </c>
      <c r="T56" s="31">
        <f t="shared" si="34"/>
        <v>1684.5779592950614</v>
      </c>
      <c r="U56" s="31">
        <f t="shared" si="35"/>
        <v>0</v>
      </c>
      <c r="V56" s="31">
        <f t="shared" si="36"/>
        <v>0</v>
      </c>
      <c r="W56" s="31">
        <f t="shared" si="37"/>
        <v>0</v>
      </c>
      <c r="X56" s="31">
        <f t="shared" si="38"/>
        <v>1684.5779592950614</v>
      </c>
    </row>
    <row r="57" spans="2:24" x14ac:dyDescent="0.3">
      <c r="B57" s="29" t="s">
        <v>12</v>
      </c>
      <c r="C57" s="29" t="s">
        <v>298</v>
      </c>
      <c r="D57" s="53">
        <v>45596</v>
      </c>
      <c r="E57" s="31">
        <f>IFERROR(SUMIFS(TABELA!AJ:AJ,TABELA!AH:AH,"Irrigado",TABELA!AI:AI,D57,TABELA!AK:AK,0)/SUMIFS(TABELA!M:M,TABELA!AH:AH,"Irrigado",TABELA!AI:AI,D57,TABELA!AK:AK,0),0)</f>
        <v>0</v>
      </c>
      <c r="F57" s="31">
        <v>112</v>
      </c>
      <c r="G57" s="30">
        <v>0</v>
      </c>
      <c r="H57" s="31">
        <v>89.6580269769902</v>
      </c>
      <c r="I57" s="31">
        <v>0</v>
      </c>
      <c r="J57" s="31">
        <v>0</v>
      </c>
      <c r="K57" s="31">
        <v>0</v>
      </c>
      <c r="L57" s="32">
        <f t="shared" si="31"/>
        <v>89.6580269769902</v>
      </c>
      <c r="M57" s="30"/>
      <c r="N57" s="31">
        <v>189.05</v>
      </c>
      <c r="O57" s="31"/>
      <c r="P57" s="31"/>
      <c r="Q57" s="31"/>
      <c r="R57" s="32">
        <f t="shared" si="32"/>
        <v>189.05</v>
      </c>
      <c r="S57" s="31">
        <f t="shared" si="33"/>
        <v>0</v>
      </c>
      <c r="T57" s="31">
        <f t="shared" si="34"/>
        <v>1746.2275997726003</v>
      </c>
      <c r="U57" s="31">
        <f t="shared" si="35"/>
        <v>0</v>
      </c>
      <c r="V57" s="31">
        <f t="shared" si="36"/>
        <v>0</v>
      </c>
      <c r="W57" s="31">
        <f t="shared" si="37"/>
        <v>0</v>
      </c>
      <c r="X57" s="31">
        <f t="shared" si="38"/>
        <v>1746.2275997726003</v>
      </c>
    </row>
    <row r="58" spans="2:24" x14ac:dyDescent="0.3">
      <c r="B58" s="33" t="s">
        <v>12</v>
      </c>
      <c r="C58" s="33" t="s">
        <v>298</v>
      </c>
      <c r="D58" s="54">
        <v>45626</v>
      </c>
      <c r="E58" s="35">
        <f>IFERROR(SUMIFS(TABELA!AJ:AJ,TABELA!AH:AH,"Irrigado",TABELA!AI:AI,D58,TABELA!AK:AK,0)/SUMIFS(TABELA!M:M,TABELA!AH:AH,"Irrigado",TABELA!AI:AI,D58,TABELA!AK:AK,0),0)</f>
        <v>29.085234573541584</v>
      </c>
      <c r="F58" s="35">
        <v>203</v>
      </c>
      <c r="G58" s="34">
        <v>0</v>
      </c>
      <c r="H58" s="35">
        <v>65.690559707183169</v>
      </c>
      <c r="I58" s="35">
        <v>73.792364016736386</v>
      </c>
      <c r="J58" s="35">
        <v>71.208386250105818</v>
      </c>
      <c r="K58" s="35">
        <v>68.119658119658126</v>
      </c>
      <c r="L58" s="36">
        <f t="shared" si="31"/>
        <v>69.654677226173874</v>
      </c>
      <c r="M58" s="34"/>
      <c r="N58" s="35">
        <v>262.27999999999997</v>
      </c>
      <c r="O58" s="35">
        <v>76.48</v>
      </c>
      <c r="P58" s="35">
        <v>472.44000000000005</v>
      </c>
      <c r="Q58" s="35">
        <v>7.02</v>
      </c>
      <c r="R58" s="36">
        <f>SUM(M58:Q58)</f>
        <v>818.22</v>
      </c>
      <c r="S58" s="35">
        <f>(G58-G$3)*M58</f>
        <v>0</v>
      </c>
      <c r="T58" s="35">
        <f>(H58-H$3)*N58</f>
        <v>-3863.5447613416627</v>
      </c>
      <c r="U58" s="35">
        <f>(I58-I$3)*O58</f>
        <v>648.36863852924148</v>
      </c>
      <c r="V58" s="35">
        <f>(J58-J$3)*P58</f>
        <v>5352.138779011475</v>
      </c>
      <c r="W58" s="35">
        <f>(K58-K$3)*Q58</f>
        <v>99.4766994664176</v>
      </c>
      <c r="X58" s="35">
        <f>SUM(S58:W58)</f>
        <v>2236.4393556654713</v>
      </c>
    </row>
    <row r="59" spans="2:24" x14ac:dyDescent="0.3">
      <c r="G59" s="1">
        <v>0</v>
      </c>
    </row>
  </sheetData>
  <sortState xmlns:xlrd2="http://schemas.microsoft.com/office/spreadsheetml/2017/richdata2" ref="B23:X29">
    <sortCondition descending="1" ref="L23:L29"/>
  </sortState>
  <mergeCells count="12">
    <mergeCell ref="S1:X1"/>
    <mergeCell ref="G48:L48"/>
    <mergeCell ref="M48:R48"/>
    <mergeCell ref="S48:X48"/>
    <mergeCell ref="G19:L19"/>
    <mergeCell ref="M19:R19"/>
    <mergeCell ref="S19:X19"/>
    <mergeCell ref="M1:R1"/>
    <mergeCell ref="M32:R32"/>
    <mergeCell ref="G32:L32"/>
    <mergeCell ref="S32:X32"/>
    <mergeCell ref="G1:L1"/>
  </mergeCells>
  <conditionalFormatting sqref="F1:G1 M1 S1 Y1:XFD1 A1:E29 F2:XFD18 F19:G19 M19 S19 Y19:XFD19 F20:XFD29 A30:XFD31 A32:G32 M32 S32 Y32:XFD32 A33:XFD47 A48:G48 M48 S48 Y48:XFD48 A49:XFD1048576">
    <cfRule type="cellIs" dxfId="28" priority="1" operator="equal">
      <formula>0</formula>
    </cfRule>
  </conditionalFormatting>
  <pageMargins left="0.511811024" right="0.511811024" top="0.78740157499999996" bottom="0.78740157499999996" header="0.31496062000000002" footer="0.31496062000000002"/>
  <ignoredErrors>
    <ignoredError sqref="R3 L52:L58" formulaRange="1"/>
    <ignoredError sqref="R4" formula="1" formulaRange="1"/>
    <ignoredError sqref="R22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B3DE9-49A6-4967-89C9-840BF3090D48}">
  <dimension ref="A1:R22"/>
  <sheetViews>
    <sheetView showGridLines="0" tabSelected="1" zoomScale="115" zoomScaleNormal="115" workbookViewId="0"/>
  </sheetViews>
  <sheetFormatPr defaultRowHeight="14.4" x14ac:dyDescent="0.3"/>
  <cols>
    <col min="1" max="1" width="6" bestFit="1" customWidth="1"/>
    <col min="3" max="3" width="11.5546875" bestFit="1" customWidth="1"/>
    <col min="4" max="4" width="8.44140625" style="1" bestFit="1" customWidth="1"/>
    <col min="5" max="5" width="11.6640625" style="1" bestFit="1" customWidth="1"/>
    <col min="6" max="6" width="7.44140625" style="1" bestFit="1" customWidth="1"/>
    <col min="7" max="7" width="8.44140625" style="1" bestFit="1" customWidth="1"/>
    <col min="8" max="8" width="11.6640625" style="1" bestFit="1" customWidth="1"/>
    <col min="9" max="9" width="7.44140625" style="1" bestFit="1" customWidth="1"/>
    <col min="10" max="10" width="8.44140625" style="1" bestFit="1" customWidth="1"/>
    <col min="11" max="11" width="11.6640625" style="1" bestFit="1" customWidth="1"/>
    <col min="12" max="12" width="7.44140625" style="1" bestFit="1" customWidth="1"/>
    <col min="13" max="13" width="8.44140625" style="1" bestFit="1" customWidth="1"/>
    <col min="14" max="14" width="11.6640625" style="1" bestFit="1" customWidth="1"/>
    <col min="15" max="15" width="7.44140625" style="1" bestFit="1" customWidth="1"/>
    <col min="16" max="16" width="8.44140625" style="1" bestFit="1" customWidth="1"/>
    <col min="17" max="17" width="11.6640625" style="1" bestFit="1" customWidth="1"/>
    <col min="18" max="18" width="7.44140625" style="1" bestFit="1" customWidth="1"/>
  </cols>
  <sheetData>
    <row r="1" spans="1:18" x14ac:dyDescent="0.3">
      <c r="C1" s="67" t="s">
        <v>328</v>
      </c>
      <c r="D1" s="72">
        <v>1</v>
      </c>
      <c r="E1" s="72">
        <v>1</v>
      </c>
      <c r="F1" s="72">
        <v>1</v>
      </c>
      <c r="G1" s="73">
        <f>D1+1</f>
        <v>2</v>
      </c>
      <c r="H1" s="82">
        <f>E1+1</f>
        <v>2</v>
      </c>
      <c r="I1" s="74">
        <f>F1+1</f>
        <v>2</v>
      </c>
      <c r="J1" s="72">
        <f>G1+1</f>
        <v>3</v>
      </c>
      <c r="K1" s="72">
        <f>H1+1</f>
        <v>3</v>
      </c>
      <c r="L1" s="72">
        <f>I1+1</f>
        <v>3</v>
      </c>
      <c r="M1" s="73">
        <f>J1+1</f>
        <v>4</v>
      </c>
      <c r="N1" s="82">
        <f>K1+1</f>
        <v>4</v>
      </c>
      <c r="O1" s="74">
        <f>L1+1</f>
        <v>4</v>
      </c>
      <c r="P1" s="72">
        <f>M1+1</f>
        <v>5</v>
      </c>
      <c r="Q1" s="72">
        <f>N1+1</f>
        <v>5</v>
      </c>
      <c r="R1" s="72">
        <f>O1+1</f>
        <v>5</v>
      </c>
    </row>
    <row r="2" spans="1:18" x14ac:dyDescent="0.3">
      <c r="C2" s="67" t="s">
        <v>327</v>
      </c>
      <c r="D2" s="19" t="s">
        <v>302</v>
      </c>
      <c r="E2" s="19" t="s">
        <v>295</v>
      </c>
      <c r="F2" s="19" t="s">
        <v>298</v>
      </c>
      <c r="G2" s="18" t="s">
        <v>302</v>
      </c>
      <c r="H2" s="83" t="s">
        <v>295</v>
      </c>
      <c r="I2" s="20" t="s">
        <v>298</v>
      </c>
      <c r="J2" s="19" t="s">
        <v>302</v>
      </c>
      <c r="K2" s="19" t="s">
        <v>295</v>
      </c>
      <c r="L2" s="19" t="s">
        <v>298</v>
      </c>
      <c r="M2" s="18" t="s">
        <v>302</v>
      </c>
      <c r="N2" s="83" t="s">
        <v>295</v>
      </c>
      <c r="O2" s="20" t="s">
        <v>298</v>
      </c>
      <c r="P2" s="19" t="s">
        <v>302</v>
      </c>
      <c r="Q2" s="19" t="s">
        <v>295</v>
      </c>
      <c r="R2" s="19" t="s">
        <v>298</v>
      </c>
    </row>
    <row r="3" spans="1:18" x14ac:dyDescent="0.3">
      <c r="A3" t="s">
        <v>12</v>
      </c>
      <c r="C3" s="94" t="s">
        <v>212</v>
      </c>
      <c r="D3" s="68">
        <f>IFERROR(
SUMIFS(ESTIMATIVA[QT_CANA_REAL],ESTIMATIVA[STATUS],"1- Colhido",ESTIMATIVA[IRRIG_DESCARTE],0,
                         ESTIMATIVA[DE_FORNEC],$A3,ESTIMATIVA[TP_CULTIVO],D$2,ESTIMATIVA[NO_CORTE],D$1,ESTIMATIVA[DE_VARIED],$C3)
/SUMIFS(ESTIMATIVA[QT_AREA_REAL],ESTIMATIVA[STATUS],"1- Colhido",ESTIMATIVA[IRRIG_DESCARTE],0,
                           ESTIMATIVA[DE_FORNEC],$A3,ESTIMATIVA[TP_CULTIVO],D$2,ESTIMATIVA[NO_CORTE],D$1,ESTIMATIVA[DE_VARIED],$C3),0)</f>
        <v>130.69410267288927</v>
      </c>
      <c r="E3" s="68">
        <f>IFERROR(
SUMIFS(ESTIMATIVA[QT_CANA_REAL],ESTIMATIVA[STATUS],"1- Colhido",ESTIMATIVA[IRRIG_DESCARTE],0,
                         ESTIMATIVA[DE_FORNEC],$A3,ESTIMATIVA[TP_CULTIVO],E$2,ESTIMATIVA[NO_CORTE],E$1,ESTIMATIVA[DE_VARIED],$C3)
/SUMIFS(ESTIMATIVA[QT_AREA_REAL],ESTIMATIVA[STATUS],"1- Colhido",ESTIMATIVA[IRRIG_DESCARTE],0,
                           ESTIMATIVA[DE_FORNEC],$A3,ESTIMATIVA[TP_CULTIVO],E$2,ESTIMATIVA[NO_CORTE],E$1,ESTIMATIVA[DE_VARIED],$C3),0)</f>
        <v>0</v>
      </c>
      <c r="F3" s="77">
        <f>IFERROR(
SUMIFS(ESTIMATIVA[QT_CANA_REAL],ESTIMATIVA[STATUS],"1- Colhido",ESTIMATIVA[IRRIG_DESCARTE],0,
                         ESTIMATIVA[DE_FORNEC],$A3,ESTIMATIVA[TP_CULTIVO],F$2,ESTIMATIVA[NO_CORTE],F$1,ESTIMATIVA[DE_VARIED],$C3)
/SUMIFS(ESTIMATIVA[QT_AREA_REAL],ESTIMATIVA[STATUS],"1- Colhido",ESTIMATIVA[IRRIG_DESCARTE],0,
                           ESTIMATIVA[DE_FORNEC],$A3,ESTIMATIVA[TP_CULTIVO],F$2,ESTIMATIVA[NO_CORTE],F$1,ESTIMATIVA[DE_VARIED],$C3),0)</f>
        <v>121.73535308531966</v>
      </c>
      <c r="G3" s="69">
        <f>IFERROR(
SUMIFS(ESTIMATIVA[QT_CANA_REAL],ESTIMATIVA[STATUS],"1- Colhido",ESTIMATIVA[IRRIG_DESCARTE],0,
                         ESTIMATIVA[DE_FORNEC],$A3,ESTIMATIVA[TP_CULTIVO],G$2,ESTIMATIVA[NO_CORTE],G$1,ESTIMATIVA[DE_VARIED],$C3)
/SUMIFS(ESTIMATIVA[QT_AREA_REAL],ESTIMATIVA[STATUS],"1- Colhido",ESTIMATIVA[IRRIG_DESCARTE],0,
                           ESTIMATIVA[DE_FORNEC],$A3,ESTIMATIVA[TP_CULTIVO],G$2,ESTIMATIVA[NO_CORTE],G$1,ESTIMATIVA[DE_VARIED],$C3),0)</f>
        <v>71.633703481392558</v>
      </c>
      <c r="H3" s="68">
        <f>IFERROR(
SUMIFS(ESTIMATIVA[QT_CANA_REAL],ESTIMATIVA[STATUS],"1- Colhido",ESTIMATIVA[IRRIG_DESCARTE],0,
                         ESTIMATIVA[DE_FORNEC],$A3,ESTIMATIVA[TP_CULTIVO],H$2,ESTIMATIVA[NO_CORTE],H$1,ESTIMATIVA[DE_VARIED],$C3)
/SUMIFS(ESTIMATIVA[QT_AREA_REAL],ESTIMATIVA[STATUS],"1- Colhido",ESTIMATIVA[IRRIG_DESCARTE],0,
                           ESTIMATIVA[DE_FORNEC],$A3,ESTIMATIVA[TP_CULTIVO],H$2,ESTIMATIVA[NO_CORTE],H$1,ESTIMATIVA[DE_VARIED],$C3),0)</f>
        <v>0</v>
      </c>
      <c r="I3" s="81">
        <f>IFERROR(
SUMIFS(ESTIMATIVA[QT_CANA_REAL],ESTIMATIVA[STATUS],"1- Colhido",ESTIMATIVA[IRRIG_DESCARTE],0,
                         ESTIMATIVA[DE_FORNEC],$A3,ESTIMATIVA[TP_CULTIVO],I$2,ESTIMATIVA[NO_CORTE],I$1,ESTIMATIVA[DE_VARIED],$C3)
/SUMIFS(ESTIMATIVA[QT_AREA_REAL],ESTIMATIVA[STATUS],"1- Colhido",ESTIMATIVA[IRRIG_DESCARTE],0,
                           ESTIMATIVA[DE_FORNEC],$A3,ESTIMATIVA[TP_CULTIVO],I$2,ESTIMATIVA[NO_CORTE],I$1,ESTIMATIVA[DE_VARIED],$C3),0)</f>
        <v>81.247645429362876</v>
      </c>
      <c r="J3" s="68">
        <f>IFERROR(
SUMIFS(ESTIMATIVA[QT_CANA_REAL],ESTIMATIVA[STATUS],"1- Colhido",ESTIMATIVA[IRRIG_DESCARTE],0,
                         ESTIMATIVA[DE_FORNEC],$A3,ESTIMATIVA[TP_CULTIVO],J$2,ESTIMATIVA[NO_CORTE],J$1,ESTIMATIVA[DE_VARIED],$C3)
/SUMIFS(ESTIMATIVA[QT_AREA_REAL],ESTIMATIVA[STATUS],"1- Colhido",ESTIMATIVA[IRRIG_DESCARTE],0,
                           ESTIMATIVA[DE_FORNEC],$A3,ESTIMATIVA[TP_CULTIVO],J$2,ESTIMATIVA[NO_CORTE],J$1,ESTIMATIVA[DE_VARIED],$C3),0)</f>
        <v>95.331128133704738</v>
      </c>
      <c r="K3" s="68">
        <f>IFERROR(
SUMIFS(ESTIMATIVA[QT_CANA_REAL],ESTIMATIVA[STATUS],"1- Colhido",ESTIMATIVA[IRRIG_DESCARTE],0,
                         ESTIMATIVA[DE_FORNEC],$A3,ESTIMATIVA[TP_CULTIVO],K$2,ESTIMATIVA[NO_CORTE],K$1,ESTIMATIVA[DE_VARIED],$C3)
/SUMIFS(ESTIMATIVA[QT_AREA_REAL],ESTIMATIVA[STATUS],"1- Colhido",ESTIMATIVA[IRRIG_DESCARTE],0,
                           ESTIMATIVA[DE_FORNEC],$A3,ESTIMATIVA[TP_CULTIVO],K$2,ESTIMATIVA[NO_CORTE],K$1,ESTIMATIVA[DE_VARIED],$C3),0)</f>
        <v>91.512733765623523</v>
      </c>
      <c r="L3" s="68">
        <f>IFERROR(
SUMIFS(ESTIMATIVA[QT_CANA_REAL],ESTIMATIVA[STATUS],"1- Colhido",ESTIMATIVA[IRRIG_DESCARTE],0,
                         ESTIMATIVA[DE_FORNEC],$A3,ESTIMATIVA[TP_CULTIVO],L$2,ESTIMATIVA[NO_CORTE],L$1,ESTIMATIVA[DE_VARIED],$C3)
/SUMIFS(ESTIMATIVA[QT_AREA_REAL],ESTIMATIVA[STATUS],"1- Colhido",ESTIMATIVA[IRRIG_DESCARTE],0,
                           ESTIMATIVA[DE_FORNEC],$A3,ESTIMATIVA[TP_CULTIVO],L$2,ESTIMATIVA[NO_CORTE],L$1,ESTIMATIVA[DE_VARIED],$C3),0)</f>
        <v>0</v>
      </c>
      <c r="M3" s="69">
        <f>IFERROR(
SUMIFS(ESTIMATIVA[QT_CANA_REAL],ESTIMATIVA[STATUS],"1- Colhido",ESTIMATIVA[IRRIG_DESCARTE],0,
                         ESTIMATIVA[DE_FORNEC],$A3,ESTIMATIVA[TP_CULTIVO],M$2,ESTIMATIVA[NO_CORTE],M$1,ESTIMATIVA[DE_VARIED],$C3)
/SUMIFS(ESTIMATIVA[QT_AREA_REAL],ESTIMATIVA[STATUS],"1- Colhido",ESTIMATIVA[IRRIG_DESCARTE],0,
                           ESTIMATIVA[DE_FORNEC],$A3,ESTIMATIVA[TP_CULTIVO],M$2,ESTIMATIVA[NO_CORTE],M$1,ESTIMATIVA[DE_VARIED],$C3),0)</f>
        <v>79.567307692307693</v>
      </c>
      <c r="N3" s="68">
        <f>IFERROR(
SUMIFS(ESTIMATIVA[QT_CANA_REAL],ESTIMATIVA[STATUS],"1- Colhido",ESTIMATIVA[IRRIG_DESCARTE],0,
                         ESTIMATIVA[DE_FORNEC],$A3,ESTIMATIVA[TP_CULTIVO],N$2,ESTIMATIVA[NO_CORTE],N$1,ESTIMATIVA[DE_VARIED],$C3)
/SUMIFS(ESTIMATIVA[QT_AREA_REAL],ESTIMATIVA[STATUS],"1- Colhido",ESTIMATIVA[IRRIG_DESCARTE],0,
                           ESTIMATIVA[DE_FORNEC],$A3,ESTIMATIVA[TP_CULTIVO],N$2,ESTIMATIVA[NO_CORTE],N$1,ESTIMATIVA[DE_VARIED],$C3),0)</f>
        <v>78.181074001309767</v>
      </c>
      <c r="O3" s="80">
        <f>IFERROR(
SUMIFS(ESTIMATIVA[QT_CANA_REAL],ESTIMATIVA[STATUS],"1- Colhido",ESTIMATIVA[IRRIG_DESCARTE],0,
                         ESTIMATIVA[DE_FORNEC],$A3,ESTIMATIVA[TP_CULTIVO],O$2,ESTIMATIVA[NO_CORTE],O$1,ESTIMATIVA[DE_VARIED],$C3)
/SUMIFS(ESTIMATIVA[QT_AREA_REAL],ESTIMATIVA[STATUS],"1- Colhido",ESTIMATIVA[IRRIG_DESCARTE],0,
                           ESTIMATIVA[DE_FORNEC],$A3,ESTIMATIVA[TP_CULTIVO],O$2,ESTIMATIVA[NO_CORTE],O$1,ESTIMATIVA[DE_VARIED],$C3),0)</f>
        <v>70.269229600364682</v>
      </c>
      <c r="P3" s="68">
        <f>IFERROR(
SUMIFS(ESTIMATIVA[QT_CANA_REAL],ESTIMATIVA[STATUS],"1- Colhido",ESTIMATIVA[IRRIG_DESCARTE],0,
                         ESTIMATIVA[DE_FORNEC],$A3,ESTIMATIVA[TP_CULTIVO],P$2,ESTIMATIVA[NO_CORTE],P$1,ESTIMATIVA[DE_VARIED],$C3)
/SUMIFS(ESTIMATIVA[QT_AREA_REAL],ESTIMATIVA[STATUS],"1- Colhido",ESTIMATIVA[IRRIG_DESCARTE],0,
                           ESTIMATIVA[DE_FORNEC],$A3,ESTIMATIVA[TP_CULTIVO],P$2,ESTIMATIVA[NO_CORTE],P$1,ESTIMATIVA[DE_VARIED],$C3),0)</f>
        <v>0</v>
      </c>
      <c r="Q3" s="68">
        <f>IFERROR(
SUMIFS(ESTIMATIVA[QT_CANA_REAL],ESTIMATIVA[STATUS],"1- Colhido",ESTIMATIVA[IRRIG_DESCARTE],0,
                         ESTIMATIVA[DE_FORNEC],$A3,ESTIMATIVA[TP_CULTIVO],Q$2,ESTIMATIVA[NO_CORTE],Q$1,ESTIMATIVA[DE_VARIED],$C3)
/SUMIFS(ESTIMATIVA[QT_AREA_REAL],ESTIMATIVA[STATUS],"1- Colhido",ESTIMATIVA[IRRIG_DESCARTE],0,
                           ESTIMATIVA[DE_FORNEC],$A3,ESTIMATIVA[TP_CULTIVO],Q$2,ESTIMATIVA[NO_CORTE],Q$1,ESTIMATIVA[DE_VARIED],$C3),0)</f>
        <v>0</v>
      </c>
      <c r="R3" s="68">
        <f>IFERROR(
SUMIFS(ESTIMATIVA[QT_CANA_REAL],ESTIMATIVA[STATUS],"1- Colhido",ESTIMATIVA[IRRIG_DESCARTE],0,
                         ESTIMATIVA[DE_FORNEC],$A3,ESTIMATIVA[TP_CULTIVO],R$2,ESTIMATIVA[NO_CORTE],R$1,ESTIMATIVA[DE_VARIED],$C3)
/SUMIFS(ESTIMATIVA[QT_AREA_REAL],ESTIMATIVA[STATUS],"1- Colhido",ESTIMATIVA[IRRIG_DESCARTE],0,
                           ESTIMATIVA[DE_FORNEC],$A3,ESTIMATIVA[TP_CULTIVO],R$2,ESTIMATIVA[NO_CORTE],R$1,ESTIMATIVA[DE_VARIED],$C3),0)</f>
        <v>0</v>
      </c>
    </row>
    <row r="4" spans="1:18" x14ac:dyDescent="0.3">
      <c r="A4" t="s">
        <v>12</v>
      </c>
      <c r="C4" s="95" t="s">
        <v>209</v>
      </c>
      <c r="D4" s="1">
        <f>IFERROR(
SUMIFS(ESTIMATIVA[QT_CANA_REAL],ESTIMATIVA[STATUS],"1- Colhido",ESTIMATIVA[IRRIG_DESCARTE],0,
                         ESTIMATIVA[DE_FORNEC],$A4,ESTIMATIVA[TP_CULTIVO],D$2,ESTIMATIVA[NO_CORTE],D$1,ESTIMATIVA[DE_VARIED],$C4)
/SUMIFS(ESTIMATIVA[QT_AREA_REAL],ESTIMATIVA[STATUS],"1- Colhido",ESTIMATIVA[IRRIG_DESCARTE],0,
                           ESTIMATIVA[DE_FORNEC],$A4,ESTIMATIVA[TP_CULTIVO],D$2,ESTIMATIVA[NO_CORTE],D$1,ESTIMATIVA[DE_VARIED],$C4),0)</f>
        <v>0</v>
      </c>
      <c r="E4" s="1">
        <f>IFERROR(
SUMIFS(ESTIMATIVA[QT_CANA_REAL],ESTIMATIVA[STATUS],"1- Colhido",ESTIMATIVA[IRRIG_DESCARTE],0,
                         ESTIMATIVA[DE_FORNEC],$A4,ESTIMATIVA[TP_CULTIVO],E$2,ESTIMATIVA[NO_CORTE],E$1,ESTIMATIVA[DE_VARIED],$C4)
/SUMIFS(ESTIMATIVA[QT_AREA_REAL],ESTIMATIVA[STATUS],"1- Colhido",ESTIMATIVA[IRRIG_DESCARTE],0,
                           ESTIMATIVA[DE_FORNEC],$A4,ESTIMATIVA[TP_CULTIVO],E$2,ESTIMATIVA[NO_CORTE],E$1,ESTIMATIVA[DE_VARIED],$C4),0)</f>
        <v>0</v>
      </c>
      <c r="F4" s="1">
        <f>IFERROR(
SUMIFS(ESTIMATIVA[QT_CANA_REAL],ESTIMATIVA[STATUS],"1- Colhido",ESTIMATIVA[IRRIG_DESCARTE],0,
                         ESTIMATIVA[DE_FORNEC],$A4,ESTIMATIVA[TP_CULTIVO],F$2,ESTIMATIVA[NO_CORTE],F$1,ESTIMATIVA[DE_VARIED],$C4)
/SUMIFS(ESTIMATIVA[QT_AREA_REAL],ESTIMATIVA[STATUS],"1- Colhido",ESTIMATIVA[IRRIG_DESCARTE],0,
                           ESTIMATIVA[DE_FORNEC],$A4,ESTIMATIVA[TP_CULTIVO],F$2,ESTIMATIVA[NO_CORTE],F$1,ESTIMATIVA[DE_VARIED],$C4),0)</f>
        <v>0</v>
      </c>
      <c r="G4" s="70">
        <f>IFERROR(
SUMIFS(ESTIMATIVA[QT_CANA_REAL],ESTIMATIVA[STATUS],"1- Colhido",ESTIMATIVA[IRRIG_DESCARTE],0,
                         ESTIMATIVA[DE_FORNEC],$A4,ESTIMATIVA[TP_CULTIVO],G$2,ESTIMATIVA[NO_CORTE],G$1,ESTIMATIVA[DE_VARIED],$C4)
/SUMIFS(ESTIMATIVA[QT_AREA_REAL],ESTIMATIVA[STATUS],"1- Colhido",ESTIMATIVA[IRRIG_DESCARTE],0,
                           ESTIMATIVA[DE_FORNEC],$A4,ESTIMATIVA[TP_CULTIVO],G$2,ESTIMATIVA[NO_CORTE],G$1,ESTIMATIVA[DE_VARIED],$C4),0)</f>
        <v>0</v>
      </c>
      <c r="H4" s="65">
        <f>IFERROR(
SUMIFS(ESTIMATIVA[QT_CANA_REAL],ESTIMATIVA[STATUS],"1- Colhido",ESTIMATIVA[IRRIG_DESCARTE],0,
                         ESTIMATIVA[DE_FORNEC],$A4,ESTIMATIVA[TP_CULTIVO],H$2,ESTIMATIVA[NO_CORTE],H$1,ESTIMATIVA[DE_VARIED],$C4)
/SUMIFS(ESTIMATIVA[QT_AREA_REAL],ESTIMATIVA[STATUS],"1- Colhido",ESTIMATIVA[IRRIG_DESCARTE],0,
                           ESTIMATIVA[DE_FORNEC],$A4,ESTIMATIVA[TP_CULTIVO],H$2,ESTIMATIVA[NO_CORTE],H$1,ESTIMATIVA[DE_VARIED],$C4),0)</f>
        <v>0</v>
      </c>
      <c r="I4" s="71">
        <f>IFERROR(
SUMIFS(ESTIMATIVA[QT_CANA_REAL],ESTIMATIVA[STATUS],"1- Colhido",ESTIMATIVA[IRRIG_DESCARTE],0,
                         ESTIMATIVA[DE_FORNEC],$A4,ESTIMATIVA[TP_CULTIVO],I$2,ESTIMATIVA[NO_CORTE],I$1,ESTIMATIVA[DE_VARIED],$C4)
/SUMIFS(ESTIMATIVA[QT_AREA_REAL],ESTIMATIVA[STATUS],"1- Colhido",ESTIMATIVA[IRRIG_DESCARTE],0,
                           ESTIMATIVA[DE_FORNEC],$A4,ESTIMATIVA[TP_CULTIVO],I$2,ESTIMATIVA[NO_CORTE],I$1,ESTIMATIVA[DE_VARIED],$C4),0)</f>
        <v>0</v>
      </c>
      <c r="J4" s="1">
        <f>IFERROR(
SUMIFS(ESTIMATIVA[QT_CANA_REAL],ESTIMATIVA[STATUS],"1- Colhido",ESTIMATIVA[IRRIG_DESCARTE],0,
                         ESTIMATIVA[DE_FORNEC],$A4,ESTIMATIVA[TP_CULTIVO],J$2,ESTIMATIVA[NO_CORTE],J$1,ESTIMATIVA[DE_VARIED],$C4)
/SUMIFS(ESTIMATIVA[QT_AREA_REAL],ESTIMATIVA[STATUS],"1- Colhido",ESTIMATIVA[IRRIG_DESCARTE],0,
                           ESTIMATIVA[DE_FORNEC],$A4,ESTIMATIVA[TP_CULTIVO],J$2,ESTIMATIVA[NO_CORTE],J$1,ESTIMATIVA[DE_VARIED],$C4),0)</f>
        <v>0</v>
      </c>
      <c r="K4" s="1">
        <f>IFERROR(
SUMIFS(ESTIMATIVA[QT_CANA_REAL],ESTIMATIVA[STATUS],"1- Colhido",ESTIMATIVA[IRRIG_DESCARTE],0,
                         ESTIMATIVA[DE_FORNEC],$A4,ESTIMATIVA[TP_CULTIVO],K$2,ESTIMATIVA[NO_CORTE],K$1,ESTIMATIVA[DE_VARIED],$C4)
/SUMIFS(ESTIMATIVA[QT_AREA_REAL],ESTIMATIVA[STATUS],"1- Colhido",ESTIMATIVA[IRRIG_DESCARTE],0,
                           ESTIMATIVA[DE_FORNEC],$A4,ESTIMATIVA[TP_CULTIVO],K$2,ESTIMATIVA[NO_CORTE],K$1,ESTIMATIVA[DE_VARIED],$C4),0)</f>
        <v>0</v>
      </c>
      <c r="L4" s="1">
        <f>IFERROR(
SUMIFS(ESTIMATIVA[QT_CANA_REAL],ESTIMATIVA[STATUS],"1- Colhido",ESTIMATIVA[IRRIG_DESCARTE],0,
                         ESTIMATIVA[DE_FORNEC],$A4,ESTIMATIVA[TP_CULTIVO],L$2,ESTIMATIVA[NO_CORTE],L$1,ESTIMATIVA[DE_VARIED],$C4)
/SUMIFS(ESTIMATIVA[QT_AREA_REAL],ESTIMATIVA[STATUS],"1- Colhido",ESTIMATIVA[IRRIG_DESCARTE],0,
                           ESTIMATIVA[DE_FORNEC],$A4,ESTIMATIVA[TP_CULTIVO],L$2,ESTIMATIVA[NO_CORTE],L$1,ESTIMATIVA[DE_VARIED],$C4),0)</f>
        <v>0</v>
      </c>
      <c r="M4" s="70">
        <f>IFERROR(
SUMIFS(ESTIMATIVA[QT_CANA_REAL],ESTIMATIVA[STATUS],"1- Colhido",ESTIMATIVA[IRRIG_DESCARTE],0,
                         ESTIMATIVA[DE_FORNEC],$A4,ESTIMATIVA[TP_CULTIVO],M$2,ESTIMATIVA[NO_CORTE],M$1,ESTIMATIVA[DE_VARIED],$C4)
/SUMIFS(ESTIMATIVA[QT_AREA_REAL],ESTIMATIVA[STATUS],"1- Colhido",ESTIMATIVA[IRRIG_DESCARTE],0,
                           ESTIMATIVA[DE_FORNEC],$A4,ESTIMATIVA[TP_CULTIVO],M$2,ESTIMATIVA[NO_CORTE],M$1,ESTIMATIVA[DE_VARIED],$C4),0)</f>
        <v>0</v>
      </c>
      <c r="N4" s="65">
        <f>IFERROR(
SUMIFS(ESTIMATIVA[QT_CANA_REAL],ESTIMATIVA[STATUS],"1- Colhido",ESTIMATIVA[IRRIG_DESCARTE],0,
                         ESTIMATIVA[DE_FORNEC],$A4,ESTIMATIVA[TP_CULTIVO],N$2,ESTIMATIVA[NO_CORTE],N$1,ESTIMATIVA[DE_VARIED],$C4)
/SUMIFS(ESTIMATIVA[QT_AREA_REAL],ESTIMATIVA[STATUS],"1- Colhido",ESTIMATIVA[IRRIG_DESCARTE],0,
                           ESTIMATIVA[DE_FORNEC],$A4,ESTIMATIVA[TP_CULTIVO],N$2,ESTIMATIVA[NO_CORTE],N$1,ESTIMATIVA[DE_VARIED],$C4),0)</f>
        <v>56.758675581025152</v>
      </c>
      <c r="O4" s="76">
        <f>IFERROR(
SUMIFS(ESTIMATIVA[QT_CANA_REAL],ESTIMATIVA[STATUS],"1- Colhido",ESTIMATIVA[IRRIG_DESCARTE],0,
                         ESTIMATIVA[DE_FORNEC],$A4,ESTIMATIVA[TP_CULTIVO],O$2,ESTIMATIVA[NO_CORTE],O$1,ESTIMATIVA[DE_VARIED],$C4)
/SUMIFS(ESTIMATIVA[QT_AREA_REAL],ESTIMATIVA[STATUS],"1- Colhido",ESTIMATIVA[IRRIG_DESCARTE],0,
                           ESTIMATIVA[DE_FORNEC],$A4,ESTIMATIVA[TP_CULTIVO],O$2,ESTIMATIVA[NO_CORTE],O$1,ESTIMATIVA[DE_VARIED],$C4),0)</f>
        <v>83.555702917771882</v>
      </c>
      <c r="P4" s="1">
        <f>IFERROR(
SUMIFS(ESTIMATIVA[QT_CANA_REAL],ESTIMATIVA[STATUS],"1- Colhido",ESTIMATIVA[IRRIG_DESCARTE],0,
                         ESTIMATIVA[DE_FORNEC],$A4,ESTIMATIVA[TP_CULTIVO],P$2,ESTIMATIVA[NO_CORTE],P$1,ESTIMATIVA[DE_VARIED],$C4)
/SUMIFS(ESTIMATIVA[QT_AREA_REAL],ESTIMATIVA[STATUS],"1- Colhido",ESTIMATIVA[IRRIG_DESCARTE],0,
                           ESTIMATIVA[DE_FORNEC],$A4,ESTIMATIVA[TP_CULTIVO],P$2,ESTIMATIVA[NO_CORTE],P$1,ESTIMATIVA[DE_VARIED],$C4),0)</f>
        <v>0</v>
      </c>
      <c r="Q4" s="1">
        <f>IFERROR(
SUMIFS(ESTIMATIVA[QT_CANA_REAL],ESTIMATIVA[STATUS],"1- Colhido",ESTIMATIVA[IRRIG_DESCARTE],0,
                         ESTIMATIVA[DE_FORNEC],$A4,ESTIMATIVA[TP_CULTIVO],Q$2,ESTIMATIVA[NO_CORTE],Q$1,ESTIMATIVA[DE_VARIED],$C4)
/SUMIFS(ESTIMATIVA[QT_AREA_REAL],ESTIMATIVA[STATUS],"1- Colhido",ESTIMATIVA[IRRIG_DESCARTE],0,
                           ESTIMATIVA[DE_FORNEC],$A4,ESTIMATIVA[TP_CULTIVO],Q$2,ESTIMATIVA[NO_CORTE],Q$1,ESTIMATIVA[DE_VARIED],$C4),0)</f>
        <v>0</v>
      </c>
      <c r="R4" s="1">
        <f>IFERROR(
SUMIFS(ESTIMATIVA[QT_CANA_REAL],ESTIMATIVA[STATUS],"1- Colhido",ESTIMATIVA[IRRIG_DESCARTE],0,
                         ESTIMATIVA[DE_FORNEC],$A4,ESTIMATIVA[TP_CULTIVO],R$2,ESTIMATIVA[NO_CORTE],R$1,ESTIMATIVA[DE_VARIED],$C4)
/SUMIFS(ESTIMATIVA[QT_AREA_REAL],ESTIMATIVA[STATUS],"1- Colhido",ESTIMATIVA[IRRIG_DESCARTE],0,
                           ESTIMATIVA[DE_FORNEC],$A4,ESTIMATIVA[TP_CULTIVO],R$2,ESTIMATIVA[NO_CORTE],R$1,ESTIMATIVA[DE_VARIED],$C4),0)</f>
        <v>0</v>
      </c>
    </row>
    <row r="5" spans="1:18" x14ac:dyDescent="0.3">
      <c r="A5" t="s">
        <v>12</v>
      </c>
      <c r="C5" s="95" t="s">
        <v>205</v>
      </c>
      <c r="D5" s="1">
        <f>IFERROR(
SUMIFS(ESTIMATIVA[QT_CANA_REAL],ESTIMATIVA[STATUS],"1- Colhido",ESTIMATIVA[IRRIG_DESCARTE],0,
                         ESTIMATIVA[DE_FORNEC],$A5,ESTIMATIVA[TP_CULTIVO],D$2,ESTIMATIVA[NO_CORTE],D$1,ESTIMATIVA[DE_VARIED],$C5)
/SUMIFS(ESTIMATIVA[QT_AREA_REAL],ESTIMATIVA[STATUS],"1- Colhido",ESTIMATIVA[IRRIG_DESCARTE],0,
                           ESTIMATIVA[DE_FORNEC],$A5,ESTIMATIVA[TP_CULTIVO],D$2,ESTIMATIVA[NO_CORTE],D$1,ESTIMATIVA[DE_VARIED],$C5),0)</f>
        <v>116.72096552514027</v>
      </c>
      <c r="E5" s="1">
        <f>IFERROR(
SUMIFS(ESTIMATIVA[QT_CANA_REAL],ESTIMATIVA[STATUS],"1- Colhido",ESTIMATIVA[IRRIG_DESCARTE],0,
                         ESTIMATIVA[DE_FORNEC],$A5,ESTIMATIVA[TP_CULTIVO],E$2,ESTIMATIVA[NO_CORTE],E$1,ESTIMATIVA[DE_VARIED],$C5)
/SUMIFS(ESTIMATIVA[QT_AREA_REAL],ESTIMATIVA[STATUS],"1- Colhido",ESTIMATIVA[IRRIG_DESCARTE],0,
                           ESTIMATIVA[DE_FORNEC],$A5,ESTIMATIVA[TP_CULTIVO],E$2,ESTIMATIVA[NO_CORTE],E$1,ESTIMATIVA[DE_VARIED],$C5),0)</f>
        <v>0</v>
      </c>
      <c r="F5" s="1">
        <f>IFERROR(
SUMIFS(ESTIMATIVA[QT_CANA_REAL],ESTIMATIVA[STATUS],"1- Colhido",ESTIMATIVA[IRRIG_DESCARTE],0,
                         ESTIMATIVA[DE_FORNEC],$A5,ESTIMATIVA[TP_CULTIVO],F$2,ESTIMATIVA[NO_CORTE],F$1,ESTIMATIVA[DE_VARIED],$C5)
/SUMIFS(ESTIMATIVA[QT_AREA_REAL],ESTIMATIVA[STATUS],"1- Colhido",ESTIMATIVA[IRRIG_DESCARTE],0,
                           ESTIMATIVA[DE_FORNEC],$A5,ESTIMATIVA[TP_CULTIVO],F$2,ESTIMATIVA[NO_CORTE],F$1,ESTIMATIVA[DE_VARIED],$C5),0)</f>
        <v>0</v>
      </c>
      <c r="G5" s="70">
        <f>IFERROR(
SUMIFS(ESTIMATIVA[QT_CANA_REAL],ESTIMATIVA[STATUS],"1- Colhido",ESTIMATIVA[IRRIG_DESCARTE],0,
                         ESTIMATIVA[DE_FORNEC],$A5,ESTIMATIVA[TP_CULTIVO],G$2,ESTIMATIVA[NO_CORTE],G$1,ESTIMATIVA[DE_VARIED],$C5)
/SUMIFS(ESTIMATIVA[QT_AREA_REAL],ESTIMATIVA[STATUS],"1- Colhido",ESTIMATIVA[IRRIG_DESCARTE],0,
                           ESTIMATIVA[DE_FORNEC],$A5,ESTIMATIVA[TP_CULTIVO],G$2,ESTIMATIVA[NO_CORTE],G$1,ESTIMATIVA[DE_VARIED],$C5),0)</f>
        <v>88.030387650408713</v>
      </c>
      <c r="H5" s="65">
        <f>IFERROR(
SUMIFS(ESTIMATIVA[QT_CANA_REAL],ESTIMATIVA[STATUS],"1- Colhido",ESTIMATIVA[IRRIG_DESCARTE],0,
                         ESTIMATIVA[DE_FORNEC],$A5,ESTIMATIVA[TP_CULTIVO],H$2,ESTIMATIVA[NO_CORTE],H$1,ESTIMATIVA[DE_VARIED],$C5)
/SUMIFS(ESTIMATIVA[QT_AREA_REAL],ESTIMATIVA[STATUS],"1- Colhido",ESTIMATIVA[IRRIG_DESCARTE],0,
                           ESTIMATIVA[DE_FORNEC],$A5,ESTIMATIVA[TP_CULTIVO],H$2,ESTIMATIVA[NO_CORTE],H$1,ESTIMATIVA[DE_VARIED],$C5),0)</f>
        <v>103.8004987531172</v>
      </c>
      <c r="I5" s="71">
        <f>IFERROR(
SUMIFS(ESTIMATIVA[QT_CANA_REAL],ESTIMATIVA[STATUS],"1- Colhido",ESTIMATIVA[IRRIG_DESCARTE],0,
                         ESTIMATIVA[DE_FORNEC],$A5,ESTIMATIVA[TP_CULTIVO],I$2,ESTIMATIVA[NO_CORTE],I$1,ESTIMATIVA[DE_VARIED],$C5)
/SUMIFS(ESTIMATIVA[QT_AREA_REAL],ESTIMATIVA[STATUS],"1- Colhido",ESTIMATIVA[IRRIG_DESCARTE],0,
                           ESTIMATIVA[DE_FORNEC],$A5,ESTIMATIVA[TP_CULTIVO],I$2,ESTIMATIVA[NO_CORTE],I$1,ESTIMATIVA[DE_VARIED],$C5),0)</f>
        <v>0</v>
      </c>
      <c r="J5" s="1">
        <f>IFERROR(
SUMIFS(ESTIMATIVA[QT_CANA_REAL],ESTIMATIVA[STATUS],"1- Colhido",ESTIMATIVA[IRRIG_DESCARTE],0,
                         ESTIMATIVA[DE_FORNEC],$A5,ESTIMATIVA[TP_CULTIVO],J$2,ESTIMATIVA[NO_CORTE],J$1,ESTIMATIVA[DE_VARIED],$C5)
/SUMIFS(ESTIMATIVA[QT_AREA_REAL],ESTIMATIVA[STATUS],"1- Colhido",ESTIMATIVA[IRRIG_DESCARTE],0,
                           ESTIMATIVA[DE_FORNEC],$A5,ESTIMATIVA[TP_CULTIVO],J$2,ESTIMATIVA[NO_CORTE],J$1,ESTIMATIVA[DE_VARIED],$C5),0)</f>
        <v>81.447801198476029</v>
      </c>
      <c r="K5" s="1">
        <f>IFERROR(
SUMIFS(ESTIMATIVA[QT_CANA_REAL],ESTIMATIVA[STATUS],"1- Colhido",ESTIMATIVA[IRRIG_DESCARTE],0,
                         ESTIMATIVA[DE_FORNEC],$A5,ESTIMATIVA[TP_CULTIVO],K$2,ESTIMATIVA[NO_CORTE],K$1,ESTIMATIVA[DE_VARIED],$C5)
/SUMIFS(ESTIMATIVA[QT_AREA_REAL],ESTIMATIVA[STATUS],"1- Colhido",ESTIMATIVA[IRRIG_DESCARTE],0,
                           ESTIMATIVA[DE_FORNEC],$A5,ESTIMATIVA[TP_CULTIVO],K$2,ESTIMATIVA[NO_CORTE],K$1,ESTIMATIVA[DE_VARIED],$C5),0)</f>
        <v>0</v>
      </c>
      <c r="L5" s="1">
        <f>IFERROR(
SUMIFS(ESTIMATIVA[QT_CANA_REAL],ESTIMATIVA[STATUS],"1- Colhido",ESTIMATIVA[IRRIG_DESCARTE],0,
                         ESTIMATIVA[DE_FORNEC],$A5,ESTIMATIVA[TP_CULTIVO],L$2,ESTIMATIVA[NO_CORTE],L$1,ESTIMATIVA[DE_VARIED],$C5)
/SUMIFS(ESTIMATIVA[QT_AREA_REAL],ESTIMATIVA[STATUS],"1- Colhido",ESTIMATIVA[IRRIG_DESCARTE],0,
                           ESTIMATIVA[DE_FORNEC],$A5,ESTIMATIVA[TP_CULTIVO],L$2,ESTIMATIVA[NO_CORTE],L$1,ESTIMATIVA[DE_VARIED],$C5),0)</f>
        <v>0</v>
      </c>
      <c r="M5" s="70">
        <f>IFERROR(
SUMIFS(ESTIMATIVA[QT_CANA_REAL],ESTIMATIVA[STATUS],"1- Colhido",ESTIMATIVA[IRRIG_DESCARTE],0,
                         ESTIMATIVA[DE_FORNEC],$A5,ESTIMATIVA[TP_CULTIVO],M$2,ESTIMATIVA[NO_CORTE],M$1,ESTIMATIVA[DE_VARIED],$C5)
/SUMIFS(ESTIMATIVA[QT_AREA_REAL],ESTIMATIVA[STATUS],"1- Colhido",ESTIMATIVA[IRRIG_DESCARTE],0,
                           ESTIMATIVA[DE_FORNEC],$A5,ESTIMATIVA[TP_CULTIVO],M$2,ESTIMATIVA[NO_CORTE],M$1,ESTIMATIVA[DE_VARIED],$C5),0)</f>
        <v>47.199796126401623</v>
      </c>
      <c r="N5" s="65">
        <f>IFERROR(
SUMIFS(ESTIMATIVA[QT_CANA_REAL],ESTIMATIVA[STATUS],"1- Colhido",ESTIMATIVA[IRRIG_DESCARTE],0,
                         ESTIMATIVA[DE_FORNEC],$A5,ESTIMATIVA[TP_CULTIVO],N$2,ESTIMATIVA[NO_CORTE],N$1,ESTIMATIVA[DE_VARIED],$C5)
/SUMIFS(ESTIMATIVA[QT_AREA_REAL],ESTIMATIVA[STATUS],"1- Colhido",ESTIMATIVA[IRRIG_DESCARTE],0,
                           ESTIMATIVA[DE_FORNEC],$A5,ESTIMATIVA[TP_CULTIVO],N$2,ESTIMATIVA[NO_CORTE],N$1,ESTIMATIVA[DE_VARIED],$C5),0)</f>
        <v>93.341633199464539</v>
      </c>
      <c r="O5" s="71">
        <f>IFERROR(
SUMIFS(ESTIMATIVA[QT_CANA_REAL],ESTIMATIVA[STATUS],"1- Colhido",ESTIMATIVA[IRRIG_DESCARTE],0,
                         ESTIMATIVA[DE_FORNEC],$A5,ESTIMATIVA[TP_CULTIVO],O$2,ESTIMATIVA[NO_CORTE],O$1,ESTIMATIVA[DE_VARIED],$C5)
/SUMIFS(ESTIMATIVA[QT_AREA_REAL],ESTIMATIVA[STATUS],"1- Colhido",ESTIMATIVA[IRRIG_DESCARTE],0,
                           ESTIMATIVA[DE_FORNEC],$A5,ESTIMATIVA[TP_CULTIVO],O$2,ESTIMATIVA[NO_CORTE],O$1,ESTIMATIVA[DE_VARIED],$C5),0)</f>
        <v>0</v>
      </c>
      <c r="P5" s="1">
        <f>IFERROR(
SUMIFS(ESTIMATIVA[QT_CANA_REAL],ESTIMATIVA[STATUS],"1- Colhido",ESTIMATIVA[IRRIG_DESCARTE],0,
                         ESTIMATIVA[DE_FORNEC],$A5,ESTIMATIVA[TP_CULTIVO],P$2,ESTIMATIVA[NO_CORTE],P$1,ESTIMATIVA[DE_VARIED],$C5)
/SUMIFS(ESTIMATIVA[QT_AREA_REAL],ESTIMATIVA[STATUS],"1- Colhido",ESTIMATIVA[IRRIG_DESCARTE],0,
                           ESTIMATIVA[DE_FORNEC],$A5,ESTIMATIVA[TP_CULTIVO],P$2,ESTIMATIVA[NO_CORTE],P$1,ESTIMATIVA[DE_VARIED],$C5),0)</f>
        <v>0</v>
      </c>
      <c r="Q5" s="1">
        <f>IFERROR(
SUMIFS(ESTIMATIVA[QT_CANA_REAL],ESTIMATIVA[STATUS],"1- Colhido",ESTIMATIVA[IRRIG_DESCARTE],0,
                         ESTIMATIVA[DE_FORNEC],$A5,ESTIMATIVA[TP_CULTIVO],Q$2,ESTIMATIVA[NO_CORTE],Q$1,ESTIMATIVA[DE_VARIED],$C5)
/SUMIFS(ESTIMATIVA[QT_AREA_REAL],ESTIMATIVA[STATUS],"1- Colhido",ESTIMATIVA[IRRIG_DESCARTE],0,
                           ESTIMATIVA[DE_FORNEC],$A5,ESTIMATIVA[TP_CULTIVO],Q$2,ESTIMATIVA[NO_CORTE],Q$1,ESTIMATIVA[DE_VARIED],$C5),0)</f>
        <v>53.839228295819936</v>
      </c>
      <c r="R5" s="75">
        <f>IFERROR(
SUMIFS(ESTIMATIVA[QT_CANA_REAL],ESTIMATIVA[STATUS],"1- Colhido",ESTIMATIVA[IRRIG_DESCARTE],0,
                         ESTIMATIVA[DE_FORNEC],$A5,ESTIMATIVA[TP_CULTIVO],R$2,ESTIMATIVA[NO_CORTE],R$1,ESTIMATIVA[DE_VARIED],$C5)
/SUMIFS(ESTIMATIVA[QT_AREA_REAL],ESTIMATIVA[STATUS],"1- Colhido",ESTIMATIVA[IRRIG_DESCARTE],0,
                           ESTIMATIVA[DE_FORNEC],$A5,ESTIMATIVA[TP_CULTIVO],R$2,ESTIMATIVA[NO_CORTE],R$1,ESTIMATIVA[DE_VARIED],$C5),0)</f>
        <v>68.119658119658126</v>
      </c>
    </row>
    <row r="6" spans="1:18" x14ac:dyDescent="0.3">
      <c r="A6" t="s">
        <v>12</v>
      </c>
      <c r="C6" s="95" t="s">
        <v>210</v>
      </c>
      <c r="D6" s="1">
        <f>IFERROR(
SUMIFS(ESTIMATIVA[QT_CANA_REAL],ESTIMATIVA[STATUS],"1- Colhido",ESTIMATIVA[IRRIG_DESCARTE],0,
                         ESTIMATIVA[DE_FORNEC],$A6,ESTIMATIVA[TP_CULTIVO],D$2,ESTIMATIVA[NO_CORTE],D$1,ESTIMATIVA[DE_VARIED],$C6)
/SUMIFS(ESTIMATIVA[QT_AREA_REAL],ESTIMATIVA[STATUS],"1- Colhido",ESTIMATIVA[IRRIG_DESCARTE],0,
                           ESTIMATIVA[DE_FORNEC],$A6,ESTIMATIVA[TP_CULTIVO],D$2,ESTIMATIVA[NO_CORTE],D$1,ESTIMATIVA[DE_VARIED],$C6),0)</f>
        <v>119.49511689849068</v>
      </c>
      <c r="E6" s="1">
        <f>IFERROR(
SUMIFS(ESTIMATIVA[QT_CANA_REAL],ESTIMATIVA[STATUS],"1- Colhido",ESTIMATIVA[IRRIG_DESCARTE],0,
                         ESTIMATIVA[DE_FORNEC],$A6,ESTIMATIVA[TP_CULTIVO],E$2,ESTIMATIVA[NO_CORTE],E$1,ESTIMATIVA[DE_VARIED],$C6)
/SUMIFS(ESTIMATIVA[QT_AREA_REAL],ESTIMATIVA[STATUS],"1- Colhido",ESTIMATIVA[IRRIG_DESCARTE],0,
                           ESTIMATIVA[DE_FORNEC],$A6,ESTIMATIVA[TP_CULTIVO],E$2,ESTIMATIVA[NO_CORTE],E$1,ESTIMATIVA[DE_VARIED],$C6),0)</f>
        <v>91.587294161676652</v>
      </c>
      <c r="F6" s="1">
        <f>IFERROR(
SUMIFS(ESTIMATIVA[QT_CANA_REAL],ESTIMATIVA[STATUS],"1- Colhido",ESTIMATIVA[IRRIG_DESCARTE],0,
                         ESTIMATIVA[DE_FORNEC],$A6,ESTIMATIVA[TP_CULTIVO],F$2,ESTIMATIVA[NO_CORTE],F$1,ESTIMATIVA[DE_VARIED],$C6)
/SUMIFS(ESTIMATIVA[QT_AREA_REAL],ESTIMATIVA[STATUS],"1- Colhido",ESTIMATIVA[IRRIG_DESCARTE],0,
                           ESTIMATIVA[DE_FORNEC],$A6,ESTIMATIVA[TP_CULTIVO],F$2,ESTIMATIVA[NO_CORTE],F$1,ESTIMATIVA[DE_VARIED],$C6),0)</f>
        <v>0</v>
      </c>
      <c r="G6" s="70">
        <f>IFERROR(
SUMIFS(ESTIMATIVA[QT_CANA_REAL],ESTIMATIVA[STATUS],"1- Colhido",ESTIMATIVA[IRRIG_DESCARTE],0,
                         ESTIMATIVA[DE_FORNEC],$A6,ESTIMATIVA[TP_CULTIVO],G$2,ESTIMATIVA[NO_CORTE],G$1,ESTIMATIVA[DE_VARIED],$C6)
/SUMIFS(ESTIMATIVA[QT_AREA_REAL],ESTIMATIVA[STATUS],"1- Colhido",ESTIMATIVA[IRRIG_DESCARTE],0,
                           ESTIMATIVA[DE_FORNEC],$A6,ESTIMATIVA[TP_CULTIVO],G$2,ESTIMATIVA[NO_CORTE],G$1,ESTIMATIVA[DE_VARIED],$C6),0)</f>
        <v>93.776200873362441</v>
      </c>
      <c r="H6" s="65">
        <f>IFERROR(
SUMIFS(ESTIMATIVA[QT_CANA_REAL],ESTIMATIVA[STATUS],"1- Colhido",ESTIMATIVA[IRRIG_DESCARTE],0,
                         ESTIMATIVA[DE_FORNEC],$A6,ESTIMATIVA[TP_CULTIVO],H$2,ESTIMATIVA[NO_CORTE],H$1,ESTIMATIVA[DE_VARIED],$C6)
/SUMIFS(ESTIMATIVA[QT_AREA_REAL],ESTIMATIVA[STATUS],"1- Colhido",ESTIMATIVA[IRRIG_DESCARTE],0,
                           ESTIMATIVA[DE_FORNEC],$A6,ESTIMATIVA[TP_CULTIVO],H$2,ESTIMATIVA[NO_CORTE],H$1,ESTIMATIVA[DE_VARIED],$C6),0)</f>
        <v>112.97568736543263</v>
      </c>
      <c r="I6" s="76">
        <f>IFERROR(
SUMIFS(ESTIMATIVA[QT_CANA_REAL],ESTIMATIVA[STATUS],"1- Colhido",ESTIMATIVA[IRRIG_DESCARTE],0,
                         ESTIMATIVA[DE_FORNEC],$A6,ESTIMATIVA[TP_CULTIVO],I$2,ESTIMATIVA[NO_CORTE],I$1,ESTIMATIVA[DE_VARIED],$C6)
/SUMIFS(ESTIMATIVA[QT_AREA_REAL],ESTIMATIVA[STATUS],"1- Colhido",ESTIMATIVA[IRRIG_DESCARTE],0,
                           ESTIMATIVA[DE_FORNEC],$A6,ESTIMATIVA[TP_CULTIVO],I$2,ESTIMATIVA[NO_CORTE],I$1,ESTIMATIVA[DE_VARIED],$C6),0)</f>
        <v>96.442017112688887</v>
      </c>
      <c r="J6" s="1">
        <f>IFERROR(
SUMIFS(ESTIMATIVA[QT_CANA_REAL],ESTIMATIVA[STATUS],"1- Colhido",ESTIMATIVA[IRRIG_DESCARTE],0,
                         ESTIMATIVA[DE_FORNEC],$A6,ESTIMATIVA[TP_CULTIVO],J$2,ESTIMATIVA[NO_CORTE],J$1,ESTIMATIVA[DE_VARIED],$C6)
/SUMIFS(ESTIMATIVA[QT_AREA_REAL],ESTIMATIVA[STATUS],"1- Colhido",ESTIMATIVA[IRRIG_DESCARTE],0,
                           ESTIMATIVA[DE_FORNEC],$A6,ESTIMATIVA[TP_CULTIVO],J$2,ESTIMATIVA[NO_CORTE],J$1,ESTIMATIVA[DE_VARIED],$C6),0)</f>
        <v>0</v>
      </c>
      <c r="K6" s="1">
        <f>IFERROR(
SUMIFS(ESTIMATIVA[QT_CANA_REAL],ESTIMATIVA[STATUS],"1- Colhido",ESTIMATIVA[IRRIG_DESCARTE],0,
                         ESTIMATIVA[DE_FORNEC],$A6,ESTIMATIVA[TP_CULTIVO],K$2,ESTIMATIVA[NO_CORTE],K$1,ESTIMATIVA[DE_VARIED],$C6)
/SUMIFS(ESTIMATIVA[QT_AREA_REAL],ESTIMATIVA[STATUS],"1- Colhido",ESTIMATIVA[IRRIG_DESCARTE],0,
                           ESTIMATIVA[DE_FORNEC],$A6,ESTIMATIVA[TP_CULTIVO],K$2,ESTIMATIVA[NO_CORTE],K$1,ESTIMATIVA[DE_VARIED],$C6),0)</f>
        <v>84.131884160255964</v>
      </c>
      <c r="L6" s="1">
        <f>IFERROR(
SUMIFS(ESTIMATIVA[QT_CANA_REAL],ESTIMATIVA[STATUS],"1- Colhido",ESTIMATIVA[IRRIG_DESCARTE],0,
                         ESTIMATIVA[DE_FORNEC],$A6,ESTIMATIVA[TP_CULTIVO],L$2,ESTIMATIVA[NO_CORTE],L$1,ESTIMATIVA[DE_VARIED],$C6)
/SUMIFS(ESTIMATIVA[QT_AREA_REAL],ESTIMATIVA[STATUS],"1- Colhido",ESTIMATIVA[IRRIG_DESCARTE],0,
                           ESTIMATIVA[DE_FORNEC],$A6,ESTIMATIVA[TP_CULTIVO],L$2,ESTIMATIVA[NO_CORTE],L$1,ESTIMATIVA[DE_VARIED],$C6),0)</f>
        <v>0</v>
      </c>
      <c r="M6" s="70">
        <f>IFERROR(
SUMIFS(ESTIMATIVA[QT_CANA_REAL],ESTIMATIVA[STATUS],"1- Colhido",ESTIMATIVA[IRRIG_DESCARTE],0,
                         ESTIMATIVA[DE_FORNEC],$A6,ESTIMATIVA[TP_CULTIVO],M$2,ESTIMATIVA[NO_CORTE],M$1,ESTIMATIVA[DE_VARIED],$C6)
/SUMIFS(ESTIMATIVA[QT_AREA_REAL],ESTIMATIVA[STATUS],"1- Colhido",ESTIMATIVA[IRRIG_DESCARTE],0,
                           ESTIMATIVA[DE_FORNEC],$A6,ESTIMATIVA[TP_CULTIVO],M$2,ESTIMATIVA[NO_CORTE],M$1,ESTIMATIVA[DE_VARIED],$C6),0)</f>
        <v>0</v>
      </c>
      <c r="N6" s="65">
        <f>IFERROR(
SUMIFS(ESTIMATIVA[QT_CANA_REAL],ESTIMATIVA[STATUS],"1- Colhido",ESTIMATIVA[IRRIG_DESCARTE],0,
                         ESTIMATIVA[DE_FORNEC],$A6,ESTIMATIVA[TP_CULTIVO],N$2,ESTIMATIVA[NO_CORTE],N$1,ESTIMATIVA[DE_VARIED],$C6)
/SUMIFS(ESTIMATIVA[QT_AREA_REAL],ESTIMATIVA[STATUS],"1- Colhido",ESTIMATIVA[IRRIG_DESCARTE],0,
                           ESTIMATIVA[DE_FORNEC],$A6,ESTIMATIVA[TP_CULTIVO],N$2,ESTIMATIVA[NO_CORTE],N$1,ESTIMATIVA[DE_VARIED],$C6),0)</f>
        <v>71.782010965973242</v>
      </c>
      <c r="O6" s="71">
        <f>IFERROR(
SUMIFS(ESTIMATIVA[QT_CANA_REAL],ESTIMATIVA[STATUS],"1- Colhido",ESTIMATIVA[IRRIG_DESCARTE],0,
                         ESTIMATIVA[DE_FORNEC],$A6,ESTIMATIVA[TP_CULTIVO],O$2,ESTIMATIVA[NO_CORTE],O$1,ESTIMATIVA[DE_VARIED],$C6)
/SUMIFS(ESTIMATIVA[QT_AREA_REAL],ESTIMATIVA[STATUS],"1- Colhido",ESTIMATIVA[IRRIG_DESCARTE],0,
                           ESTIMATIVA[DE_FORNEC],$A6,ESTIMATIVA[TP_CULTIVO],O$2,ESTIMATIVA[NO_CORTE],O$1,ESTIMATIVA[DE_VARIED],$C6),0)</f>
        <v>0</v>
      </c>
      <c r="P6" s="1">
        <f>IFERROR(
SUMIFS(ESTIMATIVA[QT_CANA_REAL],ESTIMATIVA[STATUS],"1- Colhido",ESTIMATIVA[IRRIG_DESCARTE],0,
                         ESTIMATIVA[DE_FORNEC],$A6,ESTIMATIVA[TP_CULTIVO],P$2,ESTIMATIVA[NO_CORTE],P$1,ESTIMATIVA[DE_VARIED],$C6)
/SUMIFS(ESTIMATIVA[QT_AREA_REAL],ESTIMATIVA[STATUS],"1- Colhido",ESTIMATIVA[IRRIG_DESCARTE],0,
                           ESTIMATIVA[DE_FORNEC],$A6,ESTIMATIVA[TP_CULTIVO],P$2,ESTIMATIVA[NO_CORTE],P$1,ESTIMATIVA[DE_VARIED],$C6),0)</f>
        <v>0</v>
      </c>
      <c r="Q6" s="1">
        <f>IFERROR(
SUMIFS(ESTIMATIVA[QT_CANA_REAL],ESTIMATIVA[STATUS],"1- Colhido",ESTIMATIVA[IRRIG_DESCARTE],0,
                         ESTIMATIVA[DE_FORNEC],$A6,ESTIMATIVA[TP_CULTIVO],Q$2,ESTIMATIVA[NO_CORTE],Q$1,ESTIMATIVA[DE_VARIED],$C6)
/SUMIFS(ESTIMATIVA[QT_AREA_REAL],ESTIMATIVA[STATUS],"1- Colhido",ESTIMATIVA[IRRIG_DESCARTE],0,
                           ESTIMATIVA[DE_FORNEC],$A6,ESTIMATIVA[TP_CULTIVO],Q$2,ESTIMATIVA[NO_CORTE],Q$1,ESTIMATIVA[DE_VARIED],$C6),0)</f>
        <v>0</v>
      </c>
      <c r="R6" s="1">
        <f>IFERROR(
SUMIFS(ESTIMATIVA[QT_CANA_REAL],ESTIMATIVA[STATUS],"1- Colhido",ESTIMATIVA[IRRIG_DESCARTE],0,
                         ESTIMATIVA[DE_FORNEC],$A6,ESTIMATIVA[TP_CULTIVO],R$2,ESTIMATIVA[NO_CORTE],R$1,ESTIMATIVA[DE_VARIED],$C6)
/SUMIFS(ESTIMATIVA[QT_AREA_REAL],ESTIMATIVA[STATUS],"1- Colhido",ESTIMATIVA[IRRIG_DESCARTE],0,
                           ESTIMATIVA[DE_FORNEC],$A6,ESTIMATIVA[TP_CULTIVO],R$2,ESTIMATIVA[NO_CORTE],R$1,ESTIMATIVA[DE_VARIED],$C6),0)</f>
        <v>0</v>
      </c>
    </row>
    <row r="7" spans="1:18" x14ac:dyDescent="0.3">
      <c r="A7" t="s">
        <v>12</v>
      </c>
      <c r="C7" s="95" t="s">
        <v>223</v>
      </c>
      <c r="D7" s="1">
        <f>IFERROR(
SUMIFS(ESTIMATIVA[QT_CANA_REAL],ESTIMATIVA[STATUS],"1- Colhido",ESTIMATIVA[IRRIG_DESCARTE],0,
                         ESTIMATIVA[DE_FORNEC],$A7,ESTIMATIVA[TP_CULTIVO],D$2,ESTIMATIVA[NO_CORTE],D$1,ESTIMATIVA[DE_VARIED],$C7)
/SUMIFS(ESTIMATIVA[QT_AREA_REAL],ESTIMATIVA[STATUS],"1- Colhido",ESTIMATIVA[IRRIG_DESCARTE],0,
                           ESTIMATIVA[DE_FORNEC],$A7,ESTIMATIVA[TP_CULTIVO],D$2,ESTIMATIVA[NO_CORTE],D$1,ESTIMATIVA[DE_VARIED],$C7),0)</f>
        <v>122.53803106441298</v>
      </c>
      <c r="E7" s="1">
        <f>IFERROR(
SUMIFS(ESTIMATIVA[QT_CANA_REAL],ESTIMATIVA[STATUS],"1- Colhido",ESTIMATIVA[IRRIG_DESCARTE],0,
                         ESTIMATIVA[DE_FORNEC],$A7,ESTIMATIVA[TP_CULTIVO],E$2,ESTIMATIVA[NO_CORTE],E$1,ESTIMATIVA[DE_VARIED],$C7)
/SUMIFS(ESTIMATIVA[QT_AREA_REAL],ESTIMATIVA[STATUS],"1- Colhido",ESTIMATIVA[IRRIG_DESCARTE],0,
                           ESTIMATIVA[DE_FORNEC],$A7,ESTIMATIVA[TP_CULTIVO],E$2,ESTIMATIVA[NO_CORTE],E$1,ESTIMATIVA[DE_VARIED],$C7),0)</f>
        <v>0</v>
      </c>
      <c r="F7" s="78">
        <f>IFERROR(
SUMIFS(ESTIMATIVA[QT_CANA_REAL],ESTIMATIVA[STATUS],"1- Colhido",ESTIMATIVA[IRRIG_DESCARTE],0,
                         ESTIMATIVA[DE_FORNEC],$A7,ESTIMATIVA[TP_CULTIVO],F$2,ESTIMATIVA[NO_CORTE],F$1,ESTIMATIVA[DE_VARIED],$C7)
/SUMIFS(ESTIMATIVA[QT_AREA_REAL],ESTIMATIVA[STATUS],"1- Colhido",ESTIMATIVA[IRRIG_DESCARTE],0,
                           ESTIMATIVA[DE_FORNEC],$A7,ESTIMATIVA[TP_CULTIVO],F$2,ESTIMATIVA[NO_CORTE],F$1,ESTIMATIVA[DE_VARIED],$C7),0)</f>
        <v>117.97423009414393</v>
      </c>
      <c r="G7" s="70">
        <f>IFERROR(
SUMIFS(ESTIMATIVA[QT_CANA_REAL],ESTIMATIVA[STATUS],"1- Colhido",ESTIMATIVA[IRRIG_DESCARTE],0,
                         ESTIMATIVA[DE_FORNEC],$A7,ESTIMATIVA[TP_CULTIVO],G$2,ESTIMATIVA[NO_CORTE],G$1,ESTIMATIVA[DE_VARIED],$C7)
/SUMIFS(ESTIMATIVA[QT_AREA_REAL],ESTIMATIVA[STATUS],"1- Colhido",ESTIMATIVA[IRRIG_DESCARTE],0,
                           ESTIMATIVA[DE_FORNEC],$A7,ESTIMATIVA[TP_CULTIVO],G$2,ESTIMATIVA[NO_CORTE],G$1,ESTIMATIVA[DE_VARIED],$C7),0)</f>
        <v>0</v>
      </c>
      <c r="H7" s="65">
        <f>IFERROR(
SUMIFS(ESTIMATIVA[QT_CANA_REAL],ESTIMATIVA[STATUS],"1- Colhido",ESTIMATIVA[IRRIG_DESCARTE],0,
                         ESTIMATIVA[DE_FORNEC],$A7,ESTIMATIVA[TP_CULTIVO],H$2,ESTIMATIVA[NO_CORTE],H$1,ESTIMATIVA[DE_VARIED],$C7)
/SUMIFS(ESTIMATIVA[QT_AREA_REAL],ESTIMATIVA[STATUS],"1- Colhido",ESTIMATIVA[IRRIG_DESCARTE],0,
                           ESTIMATIVA[DE_FORNEC],$A7,ESTIMATIVA[TP_CULTIVO],H$2,ESTIMATIVA[NO_CORTE],H$1,ESTIMATIVA[DE_VARIED],$C7),0)</f>
        <v>0</v>
      </c>
      <c r="I7" s="71">
        <f>IFERROR(
SUMIFS(ESTIMATIVA[QT_CANA_REAL],ESTIMATIVA[STATUS],"1- Colhido",ESTIMATIVA[IRRIG_DESCARTE],0,
                         ESTIMATIVA[DE_FORNEC],$A7,ESTIMATIVA[TP_CULTIVO],I$2,ESTIMATIVA[NO_CORTE],I$1,ESTIMATIVA[DE_VARIED],$C7)
/SUMIFS(ESTIMATIVA[QT_AREA_REAL],ESTIMATIVA[STATUS],"1- Colhido",ESTIMATIVA[IRRIG_DESCARTE],0,
                           ESTIMATIVA[DE_FORNEC],$A7,ESTIMATIVA[TP_CULTIVO],I$2,ESTIMATIVA[NO_CORTE],I$1,ESTIMATIVA[DE_VARIED],$C7),0)</f>
        <v>0</v>
      </c>
      <c r="J7" s="1">
        <f>IFERROR(
SUMIFS(ESTIMATIVA[QT_CANA_REAL],ESTIMATIVA[STATUS],"1- Colhido",ESTIMATIVA[IRRIG_DESCARTE],0,
                         ESTIMATIVA[DE_FORNEC],$A7,ESTIMATIVA[TP_CULTIVO],J$2,ESTIMATIVA[NO_CORTE],J$1,ESTIMATIVA[DE_VARIED],$C7)
/SUMIFS(ESTIMATIVA[QT_AREA_REAL],ESTIMATIVA[STATUS],"1- Colhido",ESTIMATIVA[IRRIG_DESCARTE],0,
                           ESTIMATIVA[DE_FORNEC],$A7,ESTIMATIVA[TP_CULTIVO],J$2,ESTIMATIVA[NO_CORTE],J$1,ESTIMATIVA[DE_VARIED],$C7),0)</f>
        <v>0</v>
      </c>
      <c r="K7" s="1">
        <f>IFERROR(
SUMIFS(ESTIMATIVA[QT_CANA_REAL],ESTIMATIVA[STATUS],"1- Colhido",ESTIMATIVA[IRRIG_DESCARTE],0,
                         ESTIMATIVA[DE_FORNEC],$A7,ESTIMATIVA[TP_CULTIVO],K$2,ESTIMATIVA[NO_CORTE],K$1,ESTIMATIVA[DE_VARIED],$C7)
/SUMIFS(ESTIMATIVA[QT_AREA_REAL],ESTIMATIVA[STATUS],"1- Colhido",ESTIMATIVA[IRRIG_DESCARTE],0,
                           ESTIMATIVA[DE_FORNEC],$A7,ESTIMATIVA[TP_CULTIVO],K$2,ESTIMATIVA[NO_CORTE],K$1,ESTIMATIVA[DE_VARIED],$C7),0)</f>
        <v>0</v>
      </c>
      <c r="L7" s="1">
        <f>IFERROR(
SUMIFS(ESTIMATIVA[QT_CANA_REAL],ESTIMATIVA[STATUS],"1- Colhido",ESTIMATIVA[IRRIG_DESCARTE],0,
                         ESTIMATIVA[DE_FORNEC],$A7,ESTIMATIVA[TP_CULTIVO],L$2,ESTIMATIVA[NO_CORTE],L$1,ESTIMATIVA[DE_VARIED],$C7)
/SUMIFS(ESTIMATIVA[QT_AREA_REAL],ESTIMATIVA[STATUS],"1- Colhido",ESTIMATIVA[IRRIG_DESCARTE],0,
                           ESTIMATIVA[DE_FORNEC],$A7,ESTIMATIVA[TP_CULTIVO],L$2,ESTIMATIVA[NO_CORTE],L$1,ESTIMATIVA[DE_VARIED],$C7),0)</f>
        <v>0</v>
      </c>
      <c r="M7" s="70">
        <f>IFERROR(
SUMIFS(ESTIMATIVA[QT_CANA_REAL],ESTIMATIVA[STATUS],"1- Colhido",ESTIMATIVA[IRRIG_DESCARTE],0,
                         ESTIMATIVA[DE_FORNEC],$A7,ESTIMATIVA[TP_CULTIVO],M$2,ESTIMATIVA[NO_CORTE],M$1,ESTIMATIVA[DE_VARIED],$C7)
/SUMIFS(ESTIMATIVA[QT_AREA_REAL],ESTIMATIVA[STATUS],"1- Colhido",ESTIMATIVA[IRRIG_DESCARTE],0,
                           ESTIMATIVA[DE_FORNEC],$A7,ESTIMATIVA[TP_CULTIVO],M$2,ESTIMATIVA[NO_CORTE],M$1,ESTIMATIVA[DE_VARIED],$C7),0)</f>
        <v>0</v>
      </c>
      <c r="N7" s="65">
        <f>IFERROR(
SUMIFS(ESTIMATIVA[QT_CANA_REAL],ESTIMATIVA[STATUS],"1- Colhido",ESTIMATIVA[IRRIG_DESCARTE],0,
                         ESTIMATIVA[DE_FORNEC],$A7,ESTIMATIVA[TP_CULTIVO],N$2,ESTIMATIVA[NO_CORTE],N$1,ESTIMATIVA[DE_VARIED],$C7)
/SUMIFS(ESTIMATIVA[QT_AREA_REAL],ESTIMATIVA[STATUS],"1- Colhido",ESTIMATIVA[IRRIG_DESCARTE],0,
                           ESTIMATIVA[DE_FORNEC],$A7,ESTIMATIVA[TP_CULTIVO],N$2,ESTIMATIVA[NO_CORTE],N$1,ESTIMATIVA[DE_VARIED],$C7),0)</f>
        <v>0</v>
      </c>
      <c r="O7" s="71">
        <f>IFERROR(
SUMIFS(ESTIMATIVA[QT_CANA_REAL],ESTIMATIVA[STATUS],"1- Colhido",ESTIMATIVA[IRRIG_DESCARTE],0,
                         ESTIMATIVA[DE_FORNEC],$A7,ESTIMATIVA[TP_CULTIVO],O$2,ESTIMATIVA[NO_CORTE],O$1,ESTIMATIVA[DE_VARIED],$C7)
/SUMIFS(ESTIMATIVA[QT_AREA_REAL],ESTIMATIVA[STATUS],"1- Colhido",ESTIMATIVA[IRRIG_DESCARTE],0,
                           ESTIMATIVA[DE_FORNEC],$A7,ESTIMATIVA[TP_CULTIVO],O$2,ESTIMATIVA[NO_CORTE],O$1,ESTIMATIVA[DE_VARIED],$C7),0)</f>
        <v>0</v>
      </c>
      <c r="P7" s="1">
        <f>IFERROR(
SUMIFS(ESTIMATIVA[QT_CANA_REAL],ESTIMATIVA[STATUS],"1- Colhido",ESTIMATIVA[IRRIG_DESCARTE],0,
                         ESTIMATIVA[DE_FORNEC],$A7,ESTIMATIVA[TP_CULTIVO],P$2,ESTIMATIVA[NO_CORTE],P$1,ESTIMATIVA[DE_VARIED],$C7)
/SUMIFS(ESTIMATIVA[QT_AREA_REAL],ESTIMATIVA[STATUS],"1- Colhido",ESTIMATIVA[IRRIG_DESCARTE],0,
                           ESTIMATIVA[DE_FORNEC],$A7,ESTIMATIVA[TP_CULTIVO],P$2,ESTIMATIVA[NO_CORTE],P$1,ESTIMATIVA[DE_VARIED],$C7),0)</f>
        <v>0</v>
      </c>
      <c r="Q7" s="1">
        <f>IFERROR(
SUMIFS(ESTIMATIVA[QT_CANA_REAL],ESTIMATIVA[STATUS],"1- Colhido",ESTIMATIVA[IRRIG_DESCARTE],0,
                         ESTIMATIVA[DE_FORNEC],$A7,ESTIMATIVA[TP_CULTIVO],Q$2,ESTIMATIVA[NO_CORTE],Q$1,ESTIMATIVA[DE_VARIED],$C7)
/SUMIFS(ESTIMATIVA[QT_AREA_REAL],ESTIMATIVA[STATUS],"1- Colhido",ESTIMATIVA[IRRIG_DESCARTE],0,
                           ESTIMATIVA[DE_FORNEC],$A7,ESTIMATIVA[TP_CULTIVO],Q$2,ESTIMATIVA[NO_CORTE],Q$1,ESTIMATIVA[DE_VARIED],$C7),0)</f>
        <v>0</v>
      </c>
      <c r="R7" s="1">
        <f>IFERROR(
SUMIFS(ESTIMATIVA[QT_CANA_REAL],ESTIMATIVA[STATUS],"1- Colhido",ESTIMATIVA[IRRIG_DESCARTE],0,
                         ESTIMATIVA[DE_FORNEC],$A7,ESTIMATIVA[TP_CULTIVO],R$2,ESTIMATIVA[NO_CORTE],R$1,ESTIMATIVA[DE_VARIED],$C7)
/SUMIFS(ESTIMATIVA[QT_AREA_REAL],ESTIMATIVA[STATUS],"1- Colhido",ESTIMATIVA[IRRIG_DESCARTE],0,
                           ESTIMATIVA[DE_FORNEC],$A7,ESTIMATIVA[TP_CULTIVO],R$2,ESTIMATIVA[NO_CORTE],R$1,ESTIMATIVA[DE_VARIED],$C7),0)</f>
        <v>0</v>
      </c>
    </row>
    <row r="8" spans="1:18" x14ac:dyDescent="0.3">
      <c r="A8" t="s">
        <v>12</v>
      </c>
      <c r="C8" s="95" t="s">
        <v>194</v>
      </c>
      <c r="D8" s="1">
        <f>IFERROR(
SUMIFS(ESTIMATIVA[QT_CANA_REAL],ESTIMATIVA[STATUS],"1- Colhido",ESTIMATIVA[IRRIG_DESCARTE],0,
                         ESTIMATIVA[DE_FORNEC],$A8,ESTIMATIVA[TP_CULTIVO],D$2,ESTIMATIVA[NO_CORTE],D$1,ESTIMATIVA[DE_VARIED],$C8)
/SUMIFS(ESTIMATIVA[QT_AREA_REAL],ESTIMATIVA[STATUS],"1- Colhido",ESTIMATIVA[IRRIG_DESCARTE],0,
                           ESTIMATIVA[DE_FORNEC],$A8,ESTIMATIVA[TP_CULTIVO],D$2,ESTIMATIVA[NO_CORTE],D$1,ESTIMATIVA[DE_VARIED],$C8),0)</f>
        <v>0</v>
      </c>
      <c r="E8" s="1">
        <f>IFERROR(
SUMIFS(ESTIMATIVA[QT_CANA_REAL],ESTIMATIVA[STATUS],"1- Colhido",ESTIMATIVA[IRRIG_DESCARTE],0,
                         ESTIMATIVA[DE_FORNEC],$A8,ESTIMATIVA[TP_CULTIVO],E$2,ESTIMATIVA[NO_CORTE],E$1,ESTIMATIVA[DE_VARIED],$C8)
/SUMIFS(ESTIMATIVA[QT_AREA_REAL],ESTIMATIVA[STATUS],"1- Colhido",ESTIMATIVA[IRRIG_DESCARTE],0,
                           ESTIMATIVA[DE_FORNEC],$A8,ESTIMATIVA[TP_CULTIVO],E$2,ESTIMATIVA[NO_CORTE],E$1,ESTIMATIVA[DE_VARIED],$C8),0)</f>
        <v>0</v>
      </c>
      <c r="F8" s="1">
        <f>IFERROR(
SUMIFS(ESTIMATIVA[QT_CANA_REAL],ESTIMATIVA[STATUS],"1- Colhido",ESTIMATIVA[IRRIG_DESCARTE],0,
                         ESTIMATIVA[DE_FORNEC],$A8,ESTIMATIVA[TP_CULTIVO],F$2,ESTIMATIVA[NO_CORTE],F$1,ESTIMATIVA[DE_VARIED],$C8)
/SUMIFS(ESTIMATIVA[QT_AREA_REAL],ESTIMATIVA[STATUS],"1- Colhido",ESTIMATIVA[IRRIG_DESCARTE],0,
                           ESTIMATIVA[DE_FORNEC],$A8,ESTIMATIVA[TP_CULTIVO],F$2,ESTIMATIVA[NO_CORTE],F$1,ESTIMATIVA[DE_VARIED],$C8),0)</f>
        <v>0</v>
      </c>
      <c r="G8" s="70">
        <f>IFERROR(
SUMIFS(ESTIMATIVA[QT_CANA_REAL],ESTIMATIVA[STATUS],"1- Colhido",ESTIMATIVA[IRRIG_DESCARTE],0,
                         ESTIMATIVA[DE_FORNEC],$A8,ESTIMATIVA[TP_CULTIVO],G$2,ESTIMATIVA[NO_CORTE],G$1,ESTIMATIVA[DE_VARIED],$C8)
/SUMIFS(ESTIMATIVA[QT_AREA_REAL],ESTIMATIVA[STATUS],"1- Colhido",ESTIMATIVA[IRRIG_DESCARTE],0,
                           ESTIMATIVA[DE_FORNEC],$A8,ESTIMATIVA[TP_CULTIVO],G$2,ESTIMATIVA[NO_CORTE],G$1,ESTIMATIVA[DE_VARIED],$C8),0)</f>
        <v>0</v>
      </c>
      <c r="H8" s="65">
        <f>IFERROR(
SUMIFS(ESTIMATIVA[QT_CANA_REAL],ESTIMATIVA[STATUS],"1- Colhido",ESTIMATIVA[IRRIG_DESCARTE],0,
                         ESTIMATIVA[DE_FORNEC],$A8,ESTIMATIVA[TP_CULTIVO],H$2,ESTIMATIVA[NO_CORTE],H$1,ESTIMATIVA[DE_VARIED],$C8)
/SUMIFS(ESTIMATIVA[QT_AREA_REAL],ESTIMATIVA[STATUS],"1- Colhido",ESTIMATIVA[IRRIG_DESCARTE],0,
                           ESTIMATIVA[DE_FORNEC],$A8,ESTIMATIVA[TP_CULTIVO],H$2,ESTIMATIVA[NO_CORTE],H$1,ESTIMATIVA[DE_VARIED],$C8),0)</f>
        <v>0</v>
      </c>
      <c r="I8" s="71">
        <f>IFERROR(
SUMIFS(ESTIMATIVA[QT_CANA_REAL],ESTIMATIVA[STATUS],"1- Colhido",ESTIMATIVA[IRRIG_DESCARTE],0,
                         ESTIMATIVA[DE_FORNEC],$A8,ESTIMATIVA[TP_CULTIVO],I$2,ESTIMATIVA[NO_CORTE],I$1,ESTIMATIVA[DE_VARIED],$C8)
/SUMIFS(ESTIMATIVA[QT_AREA_REAL],ESTIMATIVA[STATUS],"1- Colhido",ESTIMATIVA[IRRIG_DESCARTE],0,
                           ESTIMATIVA[DE_FORNEC],$A8,ESTIMATIVA[TP_CULTIVO],I$2,ESTIMATIVA[NO_CORTE],I$1,ESTIMATIVA[DE_VARIED],$C8),0)</f>
        <v>0</v>
      </c>
      <c r="J8" s="1">
        <f>IFERROR(
SUMIFS(ESTIMATIVA[QT_CANA_REAL],ESTIMATIVA[STATUS],"1- Colhido",ESTIMATIVA[IRRIG_DESCARTE],0,
                         ESTIMATIVA[DE_FORNEC],$A8,ESTIMATIVA[TP_CULTIVO],J$2,ESTIMATIVA[NO_CORTE],J$1,ESTIMATIVA[DE_VARIED],$C8)
/SUMIFS(ESTIMATIVA[QT_AREA_REAL],ESTIMATIVA[STATUS],"1- Colhido",ESTIMATIVA[IRRIG_DESCARTE],0,
                           ESTIMATIVA[DE_FORNEC],$A8,ESTIMATIVA[TP_CULTIVO],J$2,ESTIMATIVA[NO_CORTE],J$1,ESTIMATIVA[DE_VARIED],$C8),0)</f>
        <v>0</v>
      </c>
      <c r="K8" s="1">
        <f>IFERROR(
SUMIFS(ESTIMATIVA[QT_CANA_REAL],ESTIMATIVA[STATUS],"1- Colhido",ESTIMATIVA[IRRIG_DESCARTE],0,
                         ESTIMATIVA[DE_FORNEC],$A8,ESTIMATIVA[TP_CULTIVO],K$2,ESTIMATIVA[NO_CORTE],K$1,ESTIMATIVA[DE_VARIED],$C8)
/SUMIFS(ESTIMATIVA[QT_AREA_REAL],ESTIMATIVA[STATUS],"1- Colhido",ESTIMATIVA[IRRIG_DESCARTE],0,
                           ESTIMATIVA[DE_FORNEC],$A8,ESTIMATIVA[TP_CULTIVO],K$2,ESTIMATIVA[NO_CORTE],K$1,ESTIMATIVA[DE_VARIED],$C8),0)</f>
        <v>0</v>
      </c>
      <c r="L8" s="1">
        <f>IFERROR(
SUMIFS(ESTIMATIVA[QT_CANA_REAL],ESTIMATIVA[STATUS],"1- Colhido",ESTIMATIVA[IRRIG_DESCARTE],0,
                         ESTIMATIVA[DE_FORNEC],$A8,ESTIMATIVA[TP_CULTIVO],L$2,ESTIMATIVA[NO_CORTE],L$1,ESTIMATIVA[DE_VARIED],$C8)
/SUMIFS(ESTIMATIVA[QT_AREA_REAL],ESTIMATIVA[STATUS],"1- Colhido",ESTIMATIVA[IRRIG_DESCARTE],0,
                           ESTIMATIVA[DE_FORNEC],$A8,ESTIMATIVA[TP_CULTIVO],L$2,ESTIMATIVA[NO_CORTE],L$1,ESTIMATIVA[DE_VARIED],$C8),0)</f>
        <v>0</v>
      </c>
      <c r="M8" s="70">
        <f>IFERROR(
SUMIFS(ESTIMATIVA[QT_CANA_REAL],ESTIMATIVA[STATUS],"1- Colhido",ESTIMATIVA[IRRIG_DESCARTE],0,
                         ESTIMATIVA[DE_FORNEC],$A8,ESTIMATIVA[TP_CULTIVO],M$2,ESTIMATIVA[NO_CORTE],M$1,ESTIMATIVA[DE_VARIED],$C8)
/SUMIFS(ESTIMATIVA[QT_AREA_REAL],ESTIMATIVA[STATUS],"1- Colhido",ESTIMATIVA[IRRIG_DESCARTE],0,
                           ESTIMATIVA[DE_FORNEC],$A8,ESTIMATIVA[TP_CULTIVO],M$2,ESTIMATIVA[NO_CORTE],M$1,ESTIMATIVA[DE_VARIED],$C8),0)</f>
        <v>82.418557536466778</v>
      </c>
      <c r="N8" s="65">
        <f>IFERROR(
SUMIFS(ESTIMATIVA[QT_CANA_REAL],ESTIMATIVA[STATUS],"1- Colhido",ESTIMATIVA[IRRIG_DESCARTE],0,
                         ESTIMATIVA[DE_FORNEC],$A8,ESTIMATIVA[TP_CULTIVO],N$2,ESTIMATIVA[NO_CORTE],N$1,ESTIMATIVA[DE_VARIED],$C8)
/SUMIFS(ESTIMATIVA[QT_AREA_REAL],ESTIMATIVA[STATUS],"1- Colhido",ESTIMATIVA[IRRIG_DESCARTE],0,
                           ESTIMATIVA[DE_FORNEC],$A8,ESTIMATIVA[TP_CULTIVO],N$2,ESTIMATIVA[NO_CORTE],N$1,ESTIMATIVA[DE_VARIED],$C8),0)</f>
        <v>0</v>
      </c>
      <c r="O8" s="79">
        <f>IFERROR(
SUMIFS(ESTIMATIVA[QT_CANA_REAL],ESTIMATIVA[STATUS],"1- Colhido",ESTIMATIVA[IRRIG_DESCARTE],0,
                         ESTIMATIVA[DE_FORNEC],$A8,ESTIMATIVA[TP_CULTIVO],O$2,ESTIMATIVA[NO_CORTE],O$1,ESTIMATIVA[DE_VARIED],$C8)
/SUMIFS(ESTIMATIVA[QT_AREA_REAL],ESTIMATIVA[STATUS],"1- Colhido",ESTIMATIVA[IRRIG_DESCARTE],0,
                           ESTIMATIVA[DE_FORNEC],$A8,ESTIMATIVA[TP_CULTIVO],O$2,ESTIMATIVA[NO_CORTE],O$1,ESTIMATIVA[DE_VARIED],$C8),0)</f>
        <v>73.242130750605327</v>
      </c>
      <c r="P8" s="1">
        <f>IFERROR(
SUMIFS(ESTIMATIVA[QT_CANA_REAL],ESTIMATIVA[STATUS],"1- Colhido",ESTIMATIVA[IRRIG_DESCARTE],0,
                         ESTIMATIVA[DE_FORNEC],$A8,ESTIMATIVA[TP_CULTIVO],P$2,ESTIMATIVA[NO_CORTE],P$1,ESTIMATIVA[DE_VARIED],$C8)
/SUMIFS(ESTIMATIVA[QT_AREA_REAL],ESTIMATIVA[STATUS],"1- Colhido",ESTIMATIVA[IRRIG_DESCARTE],0,
                           ESTIMATIVA[DE_FORNEC],$A8,ESTIMATIVA[TP_CULTIVO],P$2,ESTIMATIVA[NO_CORTE],P$1,ESTIMATIVA[DE_VARIED],$C8),0)</f>
        <v>61.748240144810943</v>
      </c>
      <c r="Q8" s="1">
        <f>IFERROR(
SUMIFS(ESTIMATIVA[QT_CANA_REAL],ESTIMATIVA[STATUS],"1- Colhido",ESTIMATIVA[IRRIG_DESCARTE],0,
                         ESTIMATIVA[DE_FORNEC],$A8,ESTIMATIVA[TP_CULTIVO],Q$2,ESTIMATIVA[NO_CORTE],Q$1,ESTIMATIVA[DE_VARIED],$C8)
/SUMIFS(ESTIMATIVA[QT_AREA_REAL],ESTIMATIVA[STATUS],"1- Colhido",ESTIMATIVA[IRRIG_DESCARTE],0,
                           ESTIMATIVA[DE_FORNEC],$A8,ESTIMATIVA[TP_CULTIVO],Q$2,ESTIMATIVA[NO_CORTE],Q$1,ESTIMATIVA[DE_VARIED],$C8),0)</f>
        <v>0</v>
      </c>
      <c r="R8" s="1">
        <f>IFERROR(
SUMIFS(ESTIMATIVA[QT_CANA_REAL],ESTIMATIVA[STATUS],"1- Colhido",ESTIMATIVA[IRRIG_DESCARTE],0,
                         ESTIMATIVA[DE_FORNEC],$A8,ESTIMATIVA[TP_CULTIVO],R$2,ESTIMATIVA[NO_CORTE],R$1,ESTIMATIVA[DE_VARIED],$C8)
/SUMIFS(ESTIMATIVA[QT_AREA_REAL],ESTIMATIVA[STATUS],"1- Colhido",ESTIMATIVA[IRRIG_DESCARTE],0,
                           ESTIMATIVA[DE_FORNEC],$A8,ESTIMATIVA[TP_CULTIVO],R$2,ESTIMATIVA[NO_CORTE],R$1,ESTIMATIVA[DE_VARIED],$C8),0)</f>
        <v>0</v>
      </c>
    </row>
    <row r="9" spans="1:18" x14ac:dyDescent="0.3">
      <c r="A9" t="s">
        <v>12</v>
      </c>
      <c r="C9" s="95" t="s">
        <v>200</v>
      </c>
      <c r="D9" s="1">
        <f>IFERROR(
SUMIFS(ESTIMATIVA[QT_CANA_REAL],ESTIMATIVA[STATUS],"1- Colhido",ESTIMATIVA[IRRIG_DESCARTE],0,
                         ESTIMATIVA[DE_FORNEC],$A9,ESTIMATIVA[TP_CULTIVO],D$2,ESTIMATIVA[NO_CORTE],D$1,ESTIMATIVA[DE_VARIED],$C9)
/SUMIFS(ESTIMATIVA[QT_AREA_REAL],ESTIMATIVA[STATUS],"1- Colhido",ESTIMATIVA[IRRIG_DESCARTE],0,
                           ESTIMATIVA[DE_FORNEC],$A9,ESTIMATIVA[TP_CULTIVO],D$2,ESTIMATIVA[NO_CORTE],D$1,ESTIMATIVA[DE_VARIED],$C9),0)</f>
        <v>118.21195712233398</v>
      </c>
      <c r="E9" s="1">
        <f>IFERROR(
SUMIFS(ESTIMATIVA[QT_CANA_REAL],ESTIMATIVA[STATUS],"1- Colhido",ESTIMATIVA[IRRIG_DESCARTE],0,
                         ESTIMATIVA[DE_FORNEC],$A9,ESTIMATIVA[TP_CULTIVO],E$2,ESTIMATIVA[NO_CORTE],E$1,ESTIMATIVA[DE_VARIED],$C9)
/SUMIFS(ESTIMATIVA[QT_AREA_REAL],ESTIMATIVA[STATUS],"1- Colhido",ESTIMATIVA[IRRIG_DESCARTE],0,
                           ESTIMATIVA[DE_FORNEC],$A9,ESTIMATIVA[TP_CULTIVO],E$2,ESTIMATIVA[NO_CORTE],E$1,ESTIMATIVA[DE_VARIED],$C9),0)</f>
        <v>105.99223633641515</v>
      </c>
      <c r="F9" s="75">
        <f>IFERROR(
SUMIFS(ESTIMATIVA[QT_CANA_REAL],ESTIMATIVA[STATUS],"1- Colhido",ESTIMATIVA[IRRIG_DESCARTE],0,
                         ESTIMATIVA[DE_FORNEC],$A9,ESTIMATIVA[TP_CULTIVO],F$2,ESTIMATIVA[NO_CORTE],F$1,ESTIMATIVA[DE_VARIED],$C9)
/SUMIFS(ESTIMATIVA[QT_AREA_REAL],ESTIMATIVA[STATUS],"1- Colhido",ESTIMATIVA[IRRIG_DESCARTE],0,
                           ESTIMATIVA[DE_FORNEC],$A9,ESTIMATIVA[TP_CULTIVO],F$2,ESTIMATIVA[NO_CORTE],F$1,ESTIMATIVA[DE_VARIED],$C9),0)</f>
        <v>130.97009606445616</v>
      </c>
      <c r="G9" s="70">
        <f>IFERROR(
SUMIFS(ESTIMATIVA[QT_CANA_REAL],ESTIMATIVA[STATUS],"1- Colhido",ESTIMATIVA[IRRIG_DESCARTE],0,
                         ESTIMATIVA[DE_FORNEC],$A9,ESTIMATIVA[TP_CULTIVO],G$2,ESTIMATIVA[NO_CORTE],G$1,ESTIMATIVA[DE_VARIED],$C9)
/SUMIFS(ESTIMATIVA[QT_AREA_REAL],ESTIMATIVA[STATUS],"1- Colhido",ESTIMATIVA[IRRIG_DESCARTE],0,
                           ESTIMATIVA[DE_FORNEC],$A9,ESTIMATIVA[TP_CULTIVO],G$2,ESTIMATIVA[NO_CORTE],G$1,ESTIMATIVA[DE_VARIED],$C9),0)</f>
        <v>90.663651797213419</v>
      </c>
      <c r="H9" s="65">
        <f>IFERROR(
SUMIFS(ESTIMATIVA[QT_CANA_REAL],ESTIMATIVA[STATUS],"1- Colhido",ESTIMATIVA[IRRIG_DESCARTE],0,
                         ESTIMATIVA[DE_FORNEC],$A9,ESTIMATIVA[TP_CULTIVO],H$2,ESTIMATIVA[NO_CORTE],H$1,ESTIMATIVA[DE_VARIED],$C9)
/SUMIFS(ESTIMATIVA[QT_AREA_REAL],ESTIMATIVA[STATUS],"1- Colhido",ESTIMATIVA[IRRIG_DESCARTE],0,
                           ESTIMATIVA[DE_FORNEC],$A9,ESTIMATIVA[TP_CULTIVO],H$2,ESTIMATIVA[NO_CORTE],H$1,ESTIMATIVA[DE_VARIED],$C9),0)</f>
        <v>91.105887467395377</v>
      </c>
      <c r="I9" s="71">
        <f>IFERROR(
SUMIFS(ESTIMATIVA[QT_CANA_REAL],ESTIMATIVA[STATUS],"1- Colhido",ESTIMATIVA[IRRIG_DESCARTE],0,
                         ESTIMATIVA[DE_FORNEC],$A9,ESTIMATIVA[TP_CULTIVO],I$2,ESTIMATIVA[NO_CORTE],I$1,ESTIMATIVA[DE_VARIED],$C9)
/SUMIFS(ESTIMATIVA[QT_AREA_REAL],ESTIMATIVA[STATUS],"1- Colhido",ESTIMATIVA[IRRIG_DESCARTE],0,
                           ESTIMATIVA[DE_FORNEC],$A9,ESTIMATIVA[TP_CULTIVO],I$2,ESTIMATIVA[NO_CORTE],I$1,ESTIMATIVA[DE_VARIED],$C9),0)</f>
        <v>0</v>
      </c>
      <c r="J9" s="1">
        <f>IFERROR(
SUMIFS(ESTIMATIVA[QT_CANA_REAL],ESTIMATIVA[STATUS],"1- Colhido",ESTIMATIVA[IRRIG_DESCARTE],0,
                         ESTIMATIVA[DE_FORNEC],$A9,ESTIMATIVA[TP_CULTIVO],J$2,ESTIMATIVA[NO_CORTE],J$1,ESTIMATIVA[DE_VARIED],$C9)
/SUMIFS(ESTIMATIVA[QT_AREA_REAL],ESTIMATIVA[STATUS],"1- Colhido",ESTIMATIVA[IRRIG_DESCARTE],0,
                           ESTIMATIVA[DE_FORNEC],$A9,ESTIMATIVA[TP_CULTIVO],J$2,ESTIMATIVA[NO_CORTE],J$1,ESTIMATIVA[DE_VARIED],$C9),0)</f>
        <v>71.49452664780371</v>
      </c>
      <c r="K9" s="1">
        <f>IFERROR(
SUMIFS(ESTIMATIVA[QT_CANA_REAL],ESTIMATIVA[STATUS],"1- Colhido",ESTIMATIVA[IRRIG_DESCARTE],0,
                         ESTIMATIVA[DE_FORNEC],$A9,ESTIMATIVA[TP_CULTIVO],K$2,ESTIMATIVA[NO_CORTE],K$1,ESTIMATIVA[DE_VARIED],$C9)
/SUMIFS(ESTIMATIVA[QT_AREA_REAL],ESTIMATIVA[STATUS],"1- Colhido",ESTIMATIVA[IRRIG_DESCARTE],0,
                           ESTIMATIVA[DE_FORNEC],$A9,ESTIMATIVA[TP_CULTIVO],K$2,ESTIMATIVA[NO_CORTE],K$1,ESTIMATIVA[DE_VARIED],$C9),0)</f>
        <v>69.399363814317681</v>
      </c>
      <c r="L9" s="1">
        <f>IFERROR(
SUMIFS(ESTIMATIVA[QT_CANA_REAL],ESTIMATIVA[STATUS],"1- Colhido",ESTIMATIVA[IRRIG_DESCARTE],0,
                         ESTIMATIVA[DE_FORNEC],$A9,ESTIMATIVA[TP_CULTIVO],L$2,ESTIMATIVA[NO_CORTE],L$1,ESTIMATIVA[DE_VARIED],$C9)
/SUMIFS(ESTIMATIVA[QT_AREA_REAL],ESTIMATIVA[STATUS],"1- Colhido",ESTIMATIVA[IRRIG_DESCARTE],0,
                           ESTIMATIVA[DE_FORNEC],$A9,ESTIMATIVA[TP_CULTIVO],L$2,ESTIMATIVA[NO_CORTE],L$1,ESTIMATIVA[DE_VARIED],$C9),0)</f>
        <v>0</v>
      </c>
      <c r="M9" s="70">
        <f>IFERROR(
SUMIFS(ESTIMATIVA[QT_CANA_REAL],ESTIMATIVA[STATUS],"1- Colhido",ESTIMATIVA[IRRIG_DESCARTE],0,
                         ESTIMATIVA[DE_FORNEC],$A9,ESTIMATIVA[TP_CULTIVO],M$2,ESTIMATIVA[NO_CORTE],M$1,ESTIMATIVA[DE_VARIED],$C9)
/SUMIFS(ESTIMATIVA[QT_AREA_REAL],ESTIMATIVA[STATUS],"1- Colhido",ESTIMATIVA[IRRIG_DESCARTE],0,
                           ESTIMATIVA[DE_FORNEC],$A9,ESTIMATIVA[TP_CULTIVO],M$2,ESTIMATIVA[NO_CORTE],M$1,ESTIMATIVA[DE_VARIED],$C9),0)</f>
        <v>51.919838945827237</v>
      </c>
      <c r="N9" s="65">
        <f>IFERROR(
SUMIFS(ESTIMATIVA[QT_CANA_REAL],ESTIMATIVA[STATUS],"1- Colhido",ESTIMATIVA[IRRIG_DESCARTE],0,
                         ESTIMATIVA[DE_FORNEC],$A9,ESTIMATIVA[TP_CULTIVO],N$2,ESTIMATIVA[NO_CORTE],N$1,ESTIMATIVA[DE_VARIED],$C9)
/SUMIFS(ESTIMATIVA[QT_AREA_REAL],ESTIMATIVA[STATUS],"1- Colhido",ESTIMATIVA[IRRIG_DESCARTE],0,
                           ESTIMATIVA[DE_FORNEC],$A9,ESTIMATIVA[TP_CULTIVO],N$2,ESTIMATIVA[NO_CORTE],N$1,ESTIMATIVA[DE_VARIED],$C9),0)</f>
        <v>71.809169764560096</v>
      </c>
      <c r="O9" s="76">
        <f>IFERROR(
SUMIFS(ESTIMATIVA[QT_CANA_REAL],ESTIMATIVA[STATUS],"1- Colhido",ESTIMATIVA[IRRIG_DESCARTE],0,
                         ESTIMATIVA[DE_FORNEC],$A9,ESTIMATIVA[TP_CULTIVO],O$2,ESTIMATIVA[NO_CORTE],O$1,ESTIMATIVA[DE_VARIED],$C9)
/SUMIFS(ESTIMATIVA[QT_AREA_REAL],ESTIMATIVA[STATUS],"1- Colhido",ESTIMATIVA[IRRIG_DESCARTE],0,
                           ESTIMATIVA[DE_FORNEC],$A9,ESTIMATIVA[TP_CULTIVO],O$2,ESTIMATIVA[NO_CORTE],O$1,ESTIMATIVA[DE_VARIED],$C9),0)</f>
        <v>72.050638371290546</v>
      </c>
      <c r="P9" s="1">
        <f>IFERROR(
SUMIFS(ESTIMATIVA[QT_CANA_REAL],ESTIMATIVA[STATUS],"1- Colhido",ESTIMATIVA[IRRIG_DESCARTE],0,
                         ESTIMATIVA[DE_FORNEC],$A9,ESTIMATIVA[TP_CULTIVO],P$2,ESTIMATIVA[NO_CORTE],P$1,ESTIMATIVA[DE_VARIED],$C9)
/SUMIFS(ESTIMATIVA[QT_AREA_REAL],ESTIMATIVA[STATUS],"1- Colhido",ESTIMATIVA[IRRIG_DESCARTE],0,
                           ESTIMATIVA[DE_FORNEC],$A9,ESTIMATIVA[TP_CULTIVO],P$2,ESTIMATIVA[NO_CORTE],P$1,ESTIMATIVA[DE_VARIED],$C9),0)</f>
        <v>0</v>
      </c>
      <c r="Q9" s="1">
        <f>IFERROR(
SUMIFS(ESTIMATIVA[QT_CANA_REAL],ESTIMATIVA[STATUS],"1- Colhido",ESTIMATIVA[IRRIG_DESCARTE],0,
                         ESTIMATIVA[DE_FORNEC],$A9,ESTIMATIVA[TP_CULTIVO],Q$2,ESTIMATIVA[NO_CORTE],Q$1,ESTIMATIVA[DE_VARIED],$C9)
/SUMIFS(ESTIMATIVA[QT_AREA_REAL],ESTIMATIVA[STATUS],"1- Colhido",ESTIMATIVA[IRRIG_DESCARTE],0,
                           ESTIMATIVA[DE_FORNEC],$A9,ESTIMATIVA[TP_CULTIVO],Q$2,ESTIMATIVA[NO_CORTE],Q$1,ESTIMATIVA[DE_VARIED],$C9),0)</f>
        <v>0</v>
      </c>
      <c r="R9" s="1">
        <f>IFERROR(
SUMIFS(ESTIMATIVA[QT_CANA_REAL],ESTIMATIVA[STATUS],"1- Colhido",ESTIMATIVA[IRRIG_DESCARTE],0,
                         ESTIMATIVA[DE_FORNEC],$A9,ESTIMATIVA[TP_CULTIVO],R$2,ESTIMATIVA[NO_CORTE],R$1,ESTIMATIVA[DE_VARIED],$C9)
/SUMIFS(ESTIMATIVA[QT_AREA_REAL],ESTIMATIVA[STATUS],"1- Colhido",ESTIMATIVA[IRRIG_DESCARTE],0,
                           ESTIMATIVA[DE_FORNEC],$A9,ESTIMATIVA[TP_CULTIVO],R$2,ESTIMATIVA[NO_CORTE],R$1,ESTIMATIVA[DE_VARIED],$C9),0)</f>
        <v>0</v>
      </c>
    </row>
    <row r="10" spans="1:18" x14ac:dyDescent="0.3">
      <c r="A10" t="s">
        <v>12</v>
      </c>
      <c r="C10" s="95" t="s">
        <v>207</v>
      </c>
      <c r="D10" s="1">
        <f>IFERROR(
SUMIFS(ESTIMATIVA[QT_CANA_REAL],ESTIMATIVA[STATUS],"1- Colhido",ESTIMATIVA[IRRIG_DESCARTE],0,
                         ESTIMATIVA[DE_FORNEC],$A10,ESTIMATIVA[TP_CULTIVO],D$2,ESTIMATIVA[NO_CORTE],D$1,ESTIMATIVA[DE_VARIED],$C10)
/SUMIFS(ESTIMATIVA[QT_AREA_REAL],ESTIMATIVA[STATUS],"1- Colhido",ESTIMATIVA[IRRIG_DESCARTE],0,
                           ESTIMATIVA[DE_FORNEC],$A10,ESTIMATIVA[TP_CULTIVO],D$2,ESTIMATIVA[NO_CORTE],D$1,ESTIMATIVA[DE_VARIED],$C10),0)</f>
        <v>100.80291429982715</v>
      </c>
      <c r="E10" s="1">
        <f>IFERROR(
SUMIFS(ESTIMATIVA[QT_CANA_REAL],ESTIMATIVA[STATUS],"1- Colhido",ESTIMATIVA[IRRIG_DESCARTE],0,
                         ESTIMATIVA[DE_FORNEC],$A10,ESTIMATIVA[TP_CULTIVO],E$2,ESTIMATIVA[NO_CORTE],E$1,ESTIMATIVA[DE_VARIED],$C10)
/SUMIFS(ESTIMATIVA[QT_AREA_REAL],ESTIMATIVA[STATUS],"1- Colhido",ESTIMATIVA[IRRIG_DESCARTE],0,
                           ESTIMATIVA[DE_FORNEC],$A10,ESTIMATIVA[TP_CULTIVO],E$2,ESTIMATIVA[NO_CORTE],E$1,ESTIMATIVA[DE_VARIED],$C10),0)</f>
        <v>83.348817080207752</v>
      </c>
      <c r="F10" s="1">
        <f>IFERROR(
SUMIFS(ESTIMATIVA[QT_CANA_REAL],ESTIMATIVA[STATUS],"1- Colhido",ESTIMATIVA[IRRIG_DESCARTE],0,
                         ESTIMATIVA[DE_FORNEC],$A10,ESTIMATIVA[TP_CULTIVO],F$2,ESTIMATIVA[NO_CORTE],F$1,ESTIMATIVA[DE_VARIED],$C10)
/SUMIFS(ESTIMATIVA[QT_AREA_REAL],ESTIMATIVA[STATUS],"1- Colhido",ESTIMATIVA[IRRIG_DESCARTE],0,
                           ESTIMATIVA[DE_FORNEC],$A10,ESTIMATIVA[TP_CULTIVO],F$2,ESTIMATIVA[NO_CORTE],F$1,ESTIMATIVA[DE_VARIED],$C10),0)</f>
        <v>0</v>
      </c>
      <c r="G10" s="70">
        <f>IFERROR(
SUMIFS(ESTIMATIVA[QT_CANA_REAL],ESTIMATIVA[STATUS],"1- Colhido",ESTIMATIVA[IRRIG_DESCARTE],0,
                         ESTIMATIVA[DE_FORNEC],$A10,ESTIMATIVA[TP_CULTIVO],G$2,ESTIMATIVA[NO_CORTE],G$1,ESTIMATIVA[DE_VARIED],$C10)
/SUMIFS(ESTIMATIVA[QT_AREA_REAL],ESTIMATIVA[STATUS],"1- Colhido",ESTIMATIVA[IRRIG_DESCARTE],0,
                           ESTIMATIVA[DE_FORNEC],$A10,ESTIMATIVA[TP_CULTIVO],G$2,ESTIMATIVA[NO_CORTE],G$1,ESTIMATIVA[DE_VARIED],$C10),0)</f>
        <v>76.93882362423679</v>
      </c>
      <c r="H10" s="65">
        <f>IFERROR(
SUMIFS(ESTIMATIVA[QT_CANA_REAL],ESTIMATIVA[STATUS],"1- Colhido",ESTIMATIVA[IRRIG_DESCARTE],0,
                         ESTIMATIVA[DE_FORNEC],$A10,ESTIMATIVA[TP_CULTIVO],H$2,ESTIMATIVA[NO_CORTE],H$1,ESTIMATIVA[DE_VARIED],$C10)
/SUMIFS(ESTIMATIVA[QT_AREA_REAL],ESTIMATIVA[STATUS],"1- Colhido",ESTIMATIVA[IRRIG_DESCARTE],0,
                           ESTIMATIVA[DE_FORNEC],$A10,ESTIMATIVA[TP_CULTIVO],H$2,ESTIMATIVA[NO_CORTE],H$1,ESTIMATIVA[DE_VARIED],$C10),0)</f>
        <v>84.561528573098016</v>
      </c>
      <c r="I10" s="79">
        <f>IFERROR(
SUMIFS(ESTIMATIVA[QT_CANA_REAL],ESTIMATIVA[STATUS],"1- Colhido",ESTIMATIVA[IRRIG_DESCARTE],0,
                         ESTIMATIVA[DE_FORNEC],$A10,ESTIMATIVA[TP_CULTIVO],I$2,ESTIMATIVA[NO_CORTE],I$1,ESTIMATIVA[DE_VARIED],$C10)
/SUMIFS(ESTIMATIVA[QT_AREA_REAL],ESTIMATIVA[STATUS],"1- Colhido",ESTIMATIVA[IRRIG_DESCARTE],0,
                           ESTIMATIVA[DE_FORNEC],$A10,ESTIMATIVA[TP_CULTIVO],I$2,ESTIMATIVA[NO_CORTE],I$1,ESTIMATIVA[DE_VARIED],$C10),0)</f>
        <v>74.879878339257587</v>
      </c>
      <c r="J10" s="1">
        <f>IFERROR(
SUMIFS(ESTIMATIVA[QT_CANA_REAL],ESTIMATIVA[STATUS],"1- Colhido",ESTIMATIVA[IRRIG_DESCARTE],0,
                         ESTIMATIVA[DE_FORNEC],$A10,ESTIMATIVA[TP_CULTIVO],J$2,ESTIMATIVA[NO_CORTE],J$1,ESTIMATIVA[DE_VARIED],$C10)
/SUMIFS(ESTIMATIVA[QT_AREA_REAL],ESTIMATIVA[STATUS],"1- Colhido",ESTIMATIVA[IRRIG_DESCARTE],0,
                           ESTIMATIVA[DE_FORNEC],$A10,ESTIMATIVA[TP_CULTIVO],J$2,ESTIMATIVA[NO_CORTE],J$1,ESTIMATIVA[DE_VARIED],$C10),0)</f>
        <v>60.59371504984199</v>
      </c>
      <c r="K10" s="1">
        <f>IFERROR(
SUMIFS(ESTIMATIVA[QT_CANA_REAL],ESTIMATIVA[STATUS],"1- Colhido",ESTIMATIVA[IRRIG_DESCARTE],0,
                         ESTIMATIVA[DE_FORNEC],$A10,ESTIMATIVA[TP_CULTIVO],K$2,ESTIMATIVA[NO_CORTE],K$1,ESTIMATIVA[DE_VARIED],$C10)
/SUMIFS(ESTIMATIVA[QT_AREA_REAL],ESTIMATIVA[STATUS],"1- Colhido",ESTIMATIVA[IRRIG_DESCARTE],0,
                           ESTIMATIVA[DE_FORNEC],$A10,ESTIMATIVA[TP_CULTIVO],K$2,ESTIMATIVA[NO_CORTE],K$1,ESTIMATIVA[DE_VARIED],$C10),0)</f>
        <v>61.324248271426256</v>
      </c>
      <c r="L10" s="75">
        <f>IFERROR(
SUMIFS(ESTIMATIVA[QT_CANA_REAL],ESTIMATIVA[STATUS],"1- Colhido",ESTIMATIVA[IRRIG_DESCARTE],0,
                         ESTIMATIVA[DE_FORNEC],$A10,ESTIMATIVA[TP_CULTIVO],L$2,ESTIMATIVA[NO_CORTE],L$1,ESTIMATIVA[DE_VARIED],$C10)
/SUMIFS(ESTIMATIVA[QT_AREA_REAL],ESTIMATIVA[STATUS],"1- Colhido",ESTIMATIVA[IRRIG_DESCARTE],0,
                           ESTIMATIVA[DE_FORNEC],$A10,ESTIMATIVA[TP_CULTIVO],L$2,ESTIMATIVA[NO_CORTE],L$1,ESTIMATIVA[DE_VARIED],$C10),0)</f>
        <v>73.792364016736386</v>
      </c>
      <c r="M10" s="70">
        <f>IFERROR(
SUMIFS(ESTIMATIVA[QT_CANA_REAL],ESTIMATIVA[STATUS],"1- Colhido",ESTIMATIVA[IRRIG_DESCARTE],0,
                         ESTIMATIVA[DE_FORNEC],$A10,ESTIMATIVA[TP_CULTIVO],M$2,ESTIMATIVA[NO_CORTE],M$1,ESTIMATIVA[DE_VARIED],$C10)
/SUMIFS(ESTIMATIVA[QT_AREA_REAL],ESTIMATIVA[STATUS],"1- Colhido",ESTIMATIVA[IRRIG_DESCARTE],0,
                           ESTIMATIVA[DE_FORNEC],$A10,ESTIMATIVA[TP_CULTIVO],M$2,ESTIMATIVA[NO_CORTE],M$1,ESTIMATIVA[DE_VARIED],$C10),0)</f>
        <v>64.981901489117988</v>
      </c>
      <c r="N10" s="65">
        <f>IFERROR(
SUMIFS(ESTIMATIVA[QT_CANA_REAL],ESTIMATIVA[STATUS],"1- Colhido",ESTIMATIVA[IRRIG_DESCARTE],0,
                         ESTIMATIVA[DE_FORNEC],$A10,ESTIMATIVA[TP_CULTIVO],N$2,ESTIMATIVA[NO_CORTE],N$1,ESTIMATIVA[DE_VARIED],$C10)
/SUMIFS(ESTIMATIVA[QT_AREA_REAL],ESTIMATIVA[STATUS],"1- Colhido",ESTIMATIVA[IRRIG_DESCARTE],0,
                           ESTIMATIVA[DE_FORNEC],$A10,ESTIMATIVA[TP_CULTIVO],N$2,ESTIMATIVA[NO_CORTE],N$1,ESTIMATIVA[DE_VARIED],$C10),0)</f>
        <v>0</v>
      </c>
      <c r="O10" s="71">
        <f>IFERROR(
SUMIFS(ESTIMATIVA[QT_CANA_REAL],ESTIMATIVA[STATUS],"1- Colhido",ESTIMATIVA[IRRIG_DESCARTE],0,
                         ESTIMATIVA[DE_FORNEC],$A10,ESTIMATIVA[TP_CULTIVO],O$2,ESTIMATIVA[NO_CORTE],O$1,ESTIMATIVA[DE_VARIED],$C10)
/SUMIFS(ESTIMATIVA[QT_AREA_REAL],ESTIMATIVA[STATUS],"1- Colhido",ESTIMATIVA[IRRIG_DESCARTE],0,
                           ESTIMATIVA[DE_FORNEC],$A10,ESTIMATIVA[TP_CULTIVO],O$2,ESTIMATIVA[NO_CORTE],O$1,ESTIMATIVA[DE_VARIED],$C10),0)</f>
        <v>0</v>
      </c>
      <c r="P10" s="1">
        <f>IFERROR(
SUMIFS(ESTIMATIVA[QT_CANA_REAL],ESTIMATIVA[STATUS],"1- Colhido",ESTIMATIVA[IRRIG_DESCARTE],0,
                         ESTIMATIVA[DE_FORNEC],$A10,ESTIMATIVA[TP_CULTIVO],P$2,ESTIMATIVA[NO_CORTE],P$1,ESTIMATIVA[DE_VARIED],$C10)
/SUMIFS(ESTIMATIVA[QT_AREA_REAL],ESTIMATIVA[STATUS],"1- Colhido",ESTIMATIVA[IRRIG_DESCARTE],0,
                           ESTIMATIVA[DE_FORNEC],$A10,ESTIMATIVA[TP_CULTIVO],P$2,ESTIMATIVA[NO_CORTE],P$1,ESTIMATIVA[DE_VARIED],$C10),0)</f>
        <v>43.848678213309022</v>
      </c>
      <c r="Q10" s="1">
        <f>IFERROR(
SUMIFS(ESTIMATIVA[QT_CANA_REAL],ESTIMATIVA[STATUS],"1- Colhido",ESTIMATIVA[IRRIG_DESCARTE],0,
                         ESTIMATIVA[DE_FORNEC],$A10,ESTIMATIVA[TP_CULTIVO],Q$2,ESTIMATIVA[NO_CORTE],Q$1,ESTIMATIVA[DE_VARIED],$C10)
/SUMIFS(ESTIMATIVA[QT_AREA_REAL],ESTIMATIVA[STATUS],"1- Colhido",ESTIMATIVA[IRRIG_DESCARTE],0,
                           ESTIMATIVA[DE_FORNEC],$A10,ESTIMATIVA[TP_CULTIVO],Q$2,ESTIMATIVA[NO_CORTE],Q$1,ESTIMATIVA[DE_VARIED],$C10),0)</f>
        <v>39.768067846607671</v>
      </c>
      <c r="R10" s="1">
        <f>IFERROR(
SUMIFS(ESTIMATIVA[QT_CANA_REAL],ESTIMATIVA[STATUS],"1- Colhido",ESTIMATIVA[IRRIG_DESCARTE],0,
                         ESTIMATIVA[DE_FORNEC],$A10,ESTIMATIVA[TP_CULTIVO],R$2,ESTIMATIVA[NO_CORTE],R$1,ESTIMATIVA[DE_VARIED],$C10)
/SUMIFS(ESTIMATIVA[QT_AREA_REAL],ESTIMATIVA[STATUS],"1- Colhido",ESTIMATIVA[IRRIG_DESCARTE],0,
                           ESTIMATIVA[DE_FORNEC],$A10,ESTIMATIVA[TP_CULTIVO],R$2,ESTIMATIVA[NO_CORTE],R$1,ESTIMATIVA[DE_VARIED],$C10),0)</f>
        <v>0</v>
      </c>
    </row>
    <row r="11" spans="1:18" x14ac:dyDescent="0.3">
      <c r="A11" t="s">
        <v>12</v>
      </c>
      <c r="C11" s="95" t="s">
        <v>211</v>
      </c>
      <c r="D11" s="1">
        <f>IFERROR(
SUMIFS(ESTIMATIVA[QT_CANA_REAL],ESTIMATIVA[STATUS],"1- Colhido",ESTIMATIVA[IRRIG_DESCARTE],0,
                         ESTIMATIVA[DE_FORNEC],$A11,ESTIMATIVA[TP_CULTIVO],D$2,ESTIMATIVA[NO_CORTE],D$1,ESTIMATIVA[DE_VARIED],$C11)
/SUMIFS(ESTIMATIVA[QT_AREA_REAL],ESTIMATIVA[STATUS],"1- Colhido",ESTIMATIVA[IRRIG_DESCARTE],0,
                           ESTIMATIVA[DE_FORNEC],$A11,ESTIMATIVA[TP_CULTIVO],D$2,ESTIMATIVA[NO_CORTE],D$1,ESTIMATIVA[DE_VARIED],$C11),0)</f>
        <v>0</v>
      </c>
      <c r="E11" s="1">
        <f>IFERROR(
SUMIFS(ESTIMATIVA[QT_CANA_REAL],ESTIMATIVA[STATUS],"1- Colhido",ESTIMATIVA[IRRIG_DESCARTE],0,
                         ESTIMATIVA[DE_FORNEC],$A11,ESTIMATIVA[TP_CULTIVO],E$2,ESTIMATIVA[NO_CORTE],E$1,ESTIMATIVA[DE_VARIED],$C11)
/SUMIFS(ESTIMATIVA[QT_AREA_REAL],ESTIMATIVA[STATUS],"1- Colhido",ESTIMATIVA[IRRIG_DESCARTE],0,
                           ESTIMATIVA[DE_FORNEC],$A11,ESTIMATIVA[TP_CULTIVO],E$2,ESTIMATIVA[NO_CORTE],E$1,ESTIMATIVA[DE_VARIED],$C11),0)</f>
        <v>103.57758709103962</v>
      </c>
      <c r="F11" s="75">
        <f>IFERROR(
SUMIFS(ESTIMATIVA[QT_CANA_REAL],ESTIMATIVA[STATUS],"1- Colhido",ESTIMATIVA[IRRIG_DESCARTE],0,
                         ESTIMATIVA[DE_FORNEC],$A11,ESTIMATIVA[TP_CULTIVO],F$2,ESTIMATIVA[NO_CORTE],F$1,ESTIMATIVA[DE_VARIED],$C11)
/SUMIFS(ESTIMATIVA[QT_AREA_REAL],ESTIMATIVA[STATUS],"1- Colhido",ESTIMATIVA[IRRIG_DESCARTE],0,
                           ESTIMATIVA[DE_FORNEC],$A11,ESTIMATIVA[TP_CULTIVO],F$2,ESTIMATIVA[NO_CORTE],F$1,ESTIMATIVA[DE_VARIED],$C11),0)</f>
        <v>110.36410754778103</v>
      </c>
      <c r="G11" s="70">
        <f>IFERROR(
SUMIFS(ESTIMATIVA[QT_CANA_REAL],ESTIMATIVA[STATUS],"1- Colhido",ESTIMATIVA[IRRIG_DESCARTE],0,
                         ESTIMATIVA[DE_FORNEC],$A11,ESTIMATIVA[TP_CULTIVO],G$2,ESTIMATIVA[NO_CORTE],G$1,ESTIMATIVA[DE_VARIED],$C11)
/SUMIFS(ESTIMATIVA[QT_AREA_REAL],ESTIMATIVA[STATUS],"1- Colhido",ESTIMATIVA[IRRIG_DESCARTE],0,
                           ESTIMATIVA[DE_FORNEC],$A11,ESTIMATIVA[TP_CULTIVO],G$2,ESTIMATIVA[NO_CORTE],G$1,ESTIMATIVA[DE_VARIED],$C11),0)</f>
        <v>0</v>
      </c>
      <c r="H11" s="65">
        <f>IFERROR(
SUMIFS(ESTIMATIVA[QT_CANA_REAL],ESTIMATIVA[STATUS],"1- Colhido",ESTIMATIVA[IRRIG_DESCARTE],0,
                         ESTIMATIVA[DE_FORNEC],$A11,ESTIMATIVA[TP_CULTIVO],H$2,ESTIMATIVA[NO_CORTE],H$1,ESTIMATIVA[DE_VARIED],$C11)
/SUMIFS(ESTIMATIVA[QT_AREA_REAL],ESTIMATIVA[STATUS],"1- Colhido",ESTIMATIVA[IRRIG_DESCARTE],0,
                           ESTIMATIVA[DE_FORNEC],$A11,ESTIMATIVA[TP_CULTIVO],H$2,ESTIMATIVA[NO_CORTE],H$1,ESTIMATIVA[DE_VARIED],$C11),0)</f>
        <v>97.413441531419039</v>
      </c>
      <c r="I11" s="76">
        <f>IFERROR(
SUMIFS(ESTIMATIVA[QT_CANA_REAL],ESTIMATIVA[STATUS],"1- Colhido",ESTIMATIVA[IRRIG_DESCARTE],0,
                         ESTIMATIVA[DE_FORNEC],$A11,ESTIMATIVA[TP_CULTIVO],I$2,ESTIMATIVA[NO_CORTE],I$1,ESTIMATIVA[DE_VARIED],$C11)
/SUMIFS(ESTIMATIVA[QT_AREA_REAL],ESTIMATIVA[STATUS],"1- Colhido",ESTIMATIVA[IRRIG_DESCARTE],0,
                           ESTIMATIVA[DE_FORNEC],$A11,ESTIMATIVA[TP_CULTIVO],I$2,ESTIMATIVA[NO_CORTE],I$1,ESTIMATIVA[DE_VARIED],$C11),0)</f>
        <v>102.81675246973703</v>
      </c>
      <c r="J11" s="1">
        <f>IFERROR(
SUMIFS(ESTIMATIVA[QT_CANA_REAL],ESTIMATIVA[STATUS],"1- Colhido",ESTIMATIVA[IRRIG_DESCARTE],0,
                         ESTIMATIVA[DE_FORNEC],$A11,ESTIMATIVA[TP_CULTIVO],J$2,ESTIMATIVA[NO_CORTE],J$1,ESTIMATIVA[DE_VARIED],$C11)
/SUMIFS(ESTIMATIVA[QT_AREA_REAL],ESTIMATIVA[STATUS],"1- Colhido",ESTIMATIVA[IRRIG_DESCARTE],0,
                           ESTIMATIVA[DE_FORNEC],$A11,ESTIMATIVA[TP_CULTIVO],J$2,ESTIMATIVA[NO_CORTE],J$1,ESTIMATIVA[DE_VARIED],$C11),0)</f>
        <v>0</v>
      </c>
      <c r="K11" s="1">
        <f>IFERROR(
SUMIFS(ESTIMATIVA[QT_CANA_REAL],ESTIMATIVA[STATUS],"1- Colhido",ESTIMATIVA[IRRIG_DESCARTE],0,
                         ESTIMATIVA[DE_FORNEC],$A11,ESTIMATIVA[TP_CULTIVO],K$2,ESTIMATIVA[NO_CORTE],K$1,ESTIMATIVA[DE_VARIED],$C11)
/SUMIFS(ESTIMATIVA[QT_AREA_REAL],ESTIMATIVA[STATUS],"1- Colhido",ESTIMATIVA[IRRIG_DESCARTE],0,
                           ESTIMATIVA[DE_FORNEC],$A11,ESTIMATIVA[TP_CULTIVO],K$2,ESTIMATIVA[NO_CORTE],K$1,ESTIMATIVA[DE_VARIED],$C11),0)</f>
        <v>80.706034953577287</v>
      </c>
      <c r="L11" s="1">
        <f>IFERROR(
SUMIFS(ESTIMATIVA[QT_CANA_REAL],ESTIMATIVA[STATUS],"1- Colhido",ESTIMATIVA[IRRIG_DESCARTE],0,
                         ESTIMATIVA[DE_FORNEC],$A11,ESTIMATIVA[TP_CULTIVO],L$2,ESTIMATIVA[NO_CORTE],L$1,ESTIMATIVA[DE_VARIED],$C11)
/SUMIFS(ESTIMATIVA[QT_AREA_REAL],ESTIMATIVA[STATUS],"1- Colhido",ESTIMATIVA[IRRIG_DESCARTE],0,
                           ESTIMATIVA[DE_FORNEC],$A11,ESTIMATIVA[TP_CULTIVO],L$2,ESTIMATIVA[NO_CORTE],L$1,ESTIMATIVA[DE_VARIED],$C11),0)</f>
        <v>0</v>
      </c>
      <c r="M11" s="70">
        <f>IFERROR(
SUMIFS(ESTIMATIVA[QT_CANA_REAL],ESTIMATIVA[STATUS],"1- Colhido",ESTIMATIVA[IRRIG_DESCARTE],0,
                         ESTIMATIVA[DE_FORNEC],$A11,ESTIMATIVA[TP_CULTIVO],M$2,ESTIMATIVA[NO_CORTE],M$1,ESTIMATIVA[DE_VARIED],$C11)
/SUMIFS(ESTIMATIVA[QT_AREA_REAL],ESTIMATIVA[STATUS],"1- Colhido",ESTIMATIVA[IRRIG_DESCARTE],0,
                           ESTIMATIVA[DE_FORNEC],$A11,ESTIMATIVA[TP_CULTIVO],M$2,ESTIMATIVA[NO_CORTE],M$1,ESTIMATIVA[DE_VARIED],$C11),0)</f>
        <v>0</v>
      </c>
      <c r="N11" s="65">
        <f>IFERROR(
SUMIFS(ESTIMATIVA[QT_CANA_REAL],ESTIMATIVA[STATUS],"1- Colhido",ESTIMATIVA[IRRIG_DESCARTE],0,
                         ESTIMATIVA[DE_FORNEC],$A11,ESTIMATIVA[TP_CULTIVO],N$2,ESTIMATIVA[NO_CORTE],N$1,ESTIMATIVA[DE_VARIED],$C11)
/SUMIFS(ESTIMATIVA[QT_AREA_REAL],ESTIMATIVA[STATUS],"1- Colhido",ESTIMATIVA[IRRIG_DESCARTE],0,
                           ESTIMATIVA[DE_FORNEC],$A11,ESTIMATIVA[TP_CULTIVO],N$2,ESTIMATIVA[NO_CORTE],N$1,ESTIMATIVA[DE_VARIED],$C11),0)</f>
        <v>80.032886723507914</v>
      </c>
      <c r="O11" s="71">
        <f>IFERROR(
SUMIFS(ESTIMATIVA[QT_CANA_REAL],ESTIMATIVA[STATUS],"1- Colhido",ESTIMATIVA[IRRIG_DESCARTE],0,
                         ESTIMATIVA[DE_FORNEC],$A11,ESTIMATIVA[TP_CULTIVO],O$2,ESTIMATIVA[NO_CORTE],O$1,ESTIMATIVA[DE_VARIED],$C11)
/SUMIFS(ESTIMATIVA[QT_AREA_REAL],ESTIMATIVA[STATUS],"1- Colhido",ESTIMATIVA[IRRIG_DESCARTE],0,
                           ESTIMATIVA[DE_FORNEC],$A11,ESTIMATIVA[TP_CULTIVO],O$2,ESTIMATIVA[NO_CORTE],O$1,ESTIMATIVA[DE_VARIED],$C11),0)</f>
        <v>0</v>
      </c>
      <c r="P11" s="1">
        <f>IFERROR(
SUMIFS(ESTIMATIVA[QT_CANA_REAL],ESTIMATIVA[STATUS],"1- Colhido",ESTIMATIVA[IRRIG_DESCARTE],0,
                         ESTIMATIVA[DE_FORNEC],$A11,ESTIMATIVA[TP_CULTIVO],P$2,ESTIMATIVA[NO_CORTE],P$1,ESTIMATIVA[DE_VARIED],$C11)
/SUMIFS(ESTIMATIVA[QT_AREA_REAL],ESTIMATIVA[STATUS],"1- Colhido",ESTIMATIVA[IRRIG_DESCARTE],0,
                           ESTIMATIVA[DE_FORNEC],$A11,ESTIMATIVA[TP_CULTIVO],P$2,ESTIMATIVA[NO_CORTE],P$1,ESTIMATIVA[DE_VARIED],$C11),0)</f>
        <v>0</v>
      </c>
      <c r="Q11" s="1">
        <f>IFERROR(
SUMIFS(ESTIMATIVA[QT_CANA_REAL],ESTIMATIVA[STATUS],"1- Colhido",ESTIMATIVA[IRRIG_DESCARTE],0,
                         ESTIMATIVA[DE_FORNEC],$A11,ESTIMATIVA[TP_CULTIVO],Q$2,ESTIMATIVA[NO_CORTE],Q$1,ESTIMATIVA[DE_VARIED],$C11)
/SUMIFS(ESTIMATIVA[QT_AREA_REAL],ESTIMATIVA[STATUS],"1- Colhido",ESTIMATIVA[IRRIG_DESCARTE],0,
                           ESTIMATIVA[DE_FORNEC],$A11,ESTIMATIVA[TP_CULTIVO],Q$2,ESTIMATIVA[NO_CORTE],Q$1,ESTIMATIVA[DE_VARIED],$C11),0)</f>
        <v>0</v>
      </c>
      <c r="R11" s="1">
        <f>IFERROR(
SUMIFS(ESTIMATIVA[QT_CANA_REAL],ESTIMATIVA[STATUS],"1- Colhido",ESTIMATIVA[IRRIG_DESCARTE],0,
                         ESTIMATIVA[DE_FORNEC],$A11,ESTIMATIVA[TP_CULTIVO],R$2,ESTIMATIVA[NO_CORTE],R$1,ESTIMATIVA[DE_VARIED],$C11)
/SUMIFS(ESTIMATIVA[QT_AREA_REAL],ESTIMATIVA[STATUS],"1- Colhido",ESTIMATIVA[IRRIG_DESCARTE],0,
                           ESTIMATIVA[DE_FORNEC],$A11,ESTIMATIVA[TP_CULTIVO],R$2,ESTIMATIVA[NO_CORTE],R$1,ESTIMATIVA[DE_VARIED],$C11),0)</f>
        <v>0</v>
      </c>
    </row>
    <row r="12" spans="1:18" x14ac:dyDescent="0.3">
      <c r="A12" t="s">
        <v>12</v>
      </c>
      <c r="C12" s="95" t="s">
        <v>214</v>
      </c>
      <c r="D12" s="1">
        <f>IFERROR(
SUMIFS(ESTIMATIVA[QT_CANA_REAL],ESTIMATIVA[STATUS],"1- Colhido",ESTIMATIVA[IRRIG_DESCARTE],0,
                         ESTIMATIVA[DE_FORNEC],$A12,ESTIMATIVA[TP_CULTIVO],D$2,ESTIMATIVA[NO_CORTE],D$1,ESTIMATIVA[DE_VARIED],$C12)
/SUMIFS(ESTIMATIVA[QT_AREA_REAL],ESTIMATIVA[STATUS],"1- Colhido",ESTIMATIVA[IRRIG_DESCARTE],0,
                           ESTIMATIVA[DE_FORNEC],$A12,ESTIMATIVA[TP_CULTIVO],D$2,ESTIMATIVA[NO_CORTE],D$1,ESTIMATIVA[DE_VARIED],$C12),0)</f>
        <v>0</v>
      </c>
      <c r="E12" s="1">
        <f>IFERROR(
SUMIFS(ESTIMATIVA[QT_CANA_REAL],ESTIMATIVA[STATUS],"1- Colhido",ESTIMATIVA[IRRIG_DESCARTE],0,
                         ESTIMATIVA[DE_FORNEC],$A12,ESTIMATIVA[TP_CULTIVO],E$2,ESTIMATIVA[NO_CORTE],E$1,ESTIMATIVA[DE_VARIED],$C12)
/SUMIFS(ESTIMATIVA[QT_AREA_REAL],ESTIMATIVA[STATUS],"1- Colhido",ESTIMATIVA[IRRIG_DESCARTE],0,
                           ESTIMATIVA[DE_FORNEC],$A12,ESTIMATIVA[TP_CULTIVO],E$2,ESTIMATIVA[NO_CORTE],E$1,ESTIMATIVA[DE_VARIED],$C12),0)</f>
        <v>99.713601741022842</v>
      </c>
      <c r="F12" s="75">
        <f>IFERROR(
SUMIFS(ESTIMATIVA[QT_CANA_REAL],ESTIMATIVA[STATUS],"1- Colhido",ESTIMATIVA[IRRIG_DESCARTE],0,
                         ESTIMATIVA[DE_FORNEC],$A12,ESTIMATIVA[TP_CULTIVO],F$2,ESTIMATIVA[NO_CORTE],F$1,ESTIMATIVA[DE_VARIED],$C12)
/SUMIFS(ESTIMATIVA[QT_AREA_REAL],ESTIMATIVA[STATUS],"1- Colhido",ESTIMATIVA[IRRIG_DESCARTE],0,
                           ESTIMATIVA[DE_FORNEC],$A12,ESTIMATIVA[TP_CULTIVO],F$2,ESTIMATIVA[NO_CORTE],F$1,ESTIMATIVA[DE_VARIED],$C12),0)</f>
        <v>122.10057682866962</v>
      </c>
      <c r="G12" s="70">
        <f>IFERROR(
SUMIFS(ESTIMATIVA[QT_CANA_REAL],ESTIMATIVA[STATUS],"1- Colhido",ESTIMATIVA[IRRIG_DESCARTE],0,
                         ESTIMATIVA[DE_FORNEC],$A12,ESTIMATIVA[TP_CULTIVO],G$2,ESTIMATIVA[NO_CORTE],G$1,ESTIMATIVA[DE_VARIED],$C12)
/SUMIFS(ESTIMATIVA[QT_AREA_REAL],ESTIMATIVA[STATUS],"1- Colhido",ESTIMATIVA[IRRIG_DESCARTE],0,
                           ESTIMATIVA[DE_FORNEC],$A12,ESTIMATIVA[TP_CULTIVO],G$2,ESTIMATIVA[NO_CORTE],G$1,ESTIMATIVA[DE_VARIED],$C12),0)</f>
        <v>0</v>
      </c>
      <c r="H12" s="65">
        <f>IFERROR(
SUMIFS(ESTIMATIVA[QT_CANA_REAL],ESTIMATIVA[STATUS],"1- Colhido",ESTIMATIVA[IRRIG_DESCARTE],0,
                         ESTIMATIVA[DE_FORNEC],$A12,ESTIMATIVA[TP_CULTIVO],H$2,ESTIMATIVA[NO_CORTE],H$1,ESTIMATIVA[DE_VARIED],$C12)
/SUMIFS(ESTIMATIVA[QT_AREA_REAL],ESTIMATIVA[STATUS],"1- Colhido",ESTIMATIVA[IRRIG_DESCARTE],0,
                           ESTIMATIVA[DE_FORNEC],$A12,ESTIMATIVA[TP_CULTIVO],H$2,ESTIMATIVA[NO_CORTE],H$1,ESTIMATIVA[DE_VARIED],$C12),0)</f>
        <v>0</v>
      </c>
      <c r="I12" s="71">
        <f>IFERROR(
SUMIFS(ESTIMATIVA[QT_CANA_REAL],ESTIMATIVA[STATUS],"1- Colhido",ESTIMATIVA[IRRIG_DESCARTE],0,
                         ESTIMATIVA[DE_FORNEC],$A12,ESTIMATIVA[TP_CULTIVO],I$2,ESTIMATIVA[NO_CORTE],I$1,ESTIMATIVA[DE_VARIED],$C12)
/SUMIFS(ESTIMATIVA[QT_AREA_REAL],ESTIMATIVA[STATUS],"1- Colhido",ESTIMATIVA[IRRIG_DESCARTE],0,
                           ESTIMATIVA[DE_FORNEC],$A12,ESTIMATIVA[TP_CULTIVO],I$2,ESTIMATIVA[NO_CORTE],I$1,ESTIMATIVA[DE_VARIED],$C12),0)</f>
        <v>0</v>
      </c>
      <c r="J12" s="1">
        <f>IFERROR(
SUMIFS(ESTIMATIVA[QT_CANA_REAL],ESTIMATIVA[STATUS],"1- Colhido",ESTIMATIVA[IRRIG_DESCARTE],0,
                         ESTIMATIVA[DE_FORNEC],$A12,ESTIMATIVA[TP_CULTIVO],J$2,ESTIMATIVA[NO_CORTE],J$1,ESTIMATIVA[DE_VARIED],$C12)
/SUMIFS(ESTIMATIVA[QT_AREA_REAL],ESTIMATIVA[STATUS],"1- Colhido",ESTIMATIVA[IRRIG_DESCARTE],0,
                           ESTIMATIVA[DE_FORNEC],$A12,ESTIMATIVA[TP_CULTIVO],J$2,ESTIMATIVA[NO_CORTE],J$1,ESTIMATIVA[DE_VARIED],$C12),0)</f>
        <v>62.076000000000001</v>
      </c>
      <c r="K12" s="1">
        <f>IFERROR(
SUMIFS(ESTIMATIVA[QT_CANA_REAL],ESTIMATIVA[STATUS],"1- Colhido",ESTIMATIVA[IRRIG_DESCARTE],0,
                         ESTIMATIVA[DE_FORNEC],$A12,ESTIMATIVA[TP_CULTIVO],K$2,ESTIMATIVA[NO_CORTE],K$1,ESTIMATIVA[DE_VARIED],$C12)
/SUMIFS(ESTIMATIVA[QT_AREA_REAL],ESTIMATIVA[STATUS],"1- Colhido",ESTIMATIVA[IRRIG_DESCARTE],0,
                           ESTIMATIVA[DE_FORNEC],$A12,ESTIMATIVA[TP_CULTIVO],K$2,ESTIMATIVA[NO_CORTE],K$1,ESTIMATIVA[DE_VARIED],$C12),0)</f>
        <v>0</v>
      </c>
      <c r="L12" s="1">
        <f>IFERROR(
SUMIFS(ESTIMATIVA[QT_CANA_REAL],ESTIMATIVA[STATUS],"1- Colhido",ESTIMATIVA[IRRIG_DESCARTE],0,
                         ESTIMATIVA[DE_FORNEC],$A12,ESTIMATIVA[TP_CULTIVO],L$2,ESTIMATIVA[NO_CORTE],L$1,ESTIMATIVA[DE_VARIED],$C12)
/SUMIFS(ESTIMATIVA[QT_AREA_REAL],ESTIMATIVA[STATUS],"1- Colhido",ESTIMATIVA[IRRIG_DESCARTE],0,
                           ESTIMATIVA[DE_FORNEC],$A12,ESTIMATIVA[TP_CULTIVO],L$2,ESTIMATIVA[NO_CORTE],L$1,ESTIMATIVA[DE_VARIED],$C12),0)</f>
        <v>0</v>
      </c>
      <c r="M12" s="70">
        <f>IFERROR(
SUMIFS(ESTIMATIVA[QT_CANA_REAL],ESTIMATIVA[STATUS],"1- Colhido",ESTIMATIVA[IRRIG_DESCARTE],0,
                         ESTIMATIVA[DE_FORNEC],$A12,ESTIMATIVA[TP_CULTIVO],M$2,ESTIMATIVA[NO_CORTE],M$1,ESTIMATIVA[DE_VARIED],$C12)
/SUMIFS(ESTIMATIVA[QT_AREA_REAL],ESTIMATIVA[STATUS],"1- Colhido",ESTIMATIVA[IRRIG_DESCARTE],0,
                           ESTIMATIVA[DE_FORNEC],$A12,ESTIMATIVA[TP_CULTIVO],M$2,ESTIMATIVA[NO_CORTE],M$1,ESTIMATIVA[DE_VARIED],$C12),0)</f>
        <v>0</v>
      </c>
      <c r="N12" s="65">
        <f>IFERROR(
SUMIFS(ESTIMATIVA[QT_CANA_REAL],ESTIMATIVA[STATUS],"1- Colhido",ESTIMATIVA[IRRIG_DESCARTE],0,
                         ESTIMATIVA[DE_FORNEC],$A12,ESTIMATIVA[TP_CULTIVO],N$2,ESTIMATIVA[NO_CORTE],N$1,ESTIMATIVA[DE_VARIED],$C12)
/SUMIFS(ESTIMATIVA[QT_AREA_REAL],ESTIMATIVA[STATUS],"1- Colhido",ESTIMATIVA[IRRIG_DESCARTE],0,
                           ESTIMATIVA[DE_FORNEC],$A12,ESTIMATIVA[TP_CULTIVO],N$2,ESTIMATIVA[NO_CORTE],N$1,ESTIMATIVA[DE_VARIED],$C12),0)</f>
        <v>0</v>
      </c>
      <c r="O12" s="71">
        <f>IFERROR(
SUMIFS(ESTIMATIVA[QT_CANA_REAL],ESTIMATIVA[STATUS],"1- Colhido",ESTIMATIVA[IRRIG_DESCARTE],0,
                         ESTIMATIVA[DE_FORNEC],$A12,ESTIMATIVA[TP_CULTIVO],O$2,ESTIMATIVA[NO_CORTE],O$1,ESTIMATIVA[DE_VARIED],$C12)
/SUMIFS(ESTIMATIVA[QT_AREA_REAL],ESTIMATIVA[STATUS],"1- Colhido",ESTIMATIVA[IRRIG_DESCARTE],0,
                           ESTIMATIVA[DE_FORNEC],$A12,ESTIMATIVA[TP_CULTIVO],O$2,ESTIMATIVA[NO_CORTE],O$1,ESTIMATIVA[DE_VARIED],$C12),0)</f>
        <v>0</v>
      </c>
      <c r="P12" s="1">
        <f>IFERROR(
SUMIFS(ESTIMATIVA[QT_CANA_REAL],ESTIMATIVA[STATUS],"1- Colhido",ESTIMATIVA[IRRIG_DESCARTE],0,
                         ESTIMATIVA[DE_FORNEC],$A12,ESTIMATIVA[TP_CULTIVO],P$2,ESTIMATIVA[NO_CORTE],P$1,ESTIMATIVA[DE_VARIED],$C12)
/SUMIFS(ESTIMATIVA[QT_AREA_REAL],ESTIMATIVA[STATUS],"1- Colhido",ESTIMATIVA[IRRIG_DESCARTE],0,
                           ESTIMATIVA[DE_FORNEC],$A12,ESTIMATIVA[TP_CULTIVO],P$2,ESTIMATIVA[NO_CORTE],P$1,ESTIMATIVA[DE_VARIED],$C12),0)</f>
        <v>0</v>
      </c>
      <c r="Q12" s="1">
        <f>IFERROR(
SUMIFS(ESTIMATIVA[QT_CANA_REAL],ESTIMATIVA[STATUS],"1- Colhido",ESTIMATIVA[IRRIG_DESCARTE],0,
                         ESTIMATIVA[DE_FORNEC],$A12,ESTIMATIVA[TP_CULTIVO],Q$2,ESTIMATIVA[NO_CORTE],Q$1,ESTIMATIVA[DE_VARIED],$C12)
/SUMIFS(ESTIMATIVA[QT_AREA_REAL],ESTIMATIVA[STATUS],"1- Colhido",ESTIMATIVA[IRRIG_DESCARTE],0,
                           ESTIMATIVA[DE_FORNEC],$A12,ESTIMATIVA[TP_CULTIVO],Q$2,ESTIMATIVA[NO_CORTE],Q$1,ESTIMATIVA[DE_VARIED],$C12),0)</f>
        <v>0</v>
      </c>
      <c r="R12" s="1">
        <f>IFERROR(
SUMIFS(ESTIMATIVA[QT_CANA_REAL],ESTIMATIVA[STATUS],"1- Colhido",ESTIMATIVA[IRRIG_DESCARTE],0,
                         ESTIMATIVA[DE_FORNEC],$A12,ESTIMATIVA[TP_CULTIVO],R$2,ESTIMATIVA[NO_CORTE],R$1,ESTIMATIVA[DE_VARIED],$C12)
/SUMIFS(ESTIMATIVA[QT_AREA_REAL],ESTIMATIVA[STATUS],"1- Colhido",ESTIMATIVA[IRRIG_DESCARTE],0,
                           ESTIMATIVA[DE_FORNEC],$A12,ESTIMATIVA[TP_CULTIVO],R$2,ESTIMATIVA[NO_CORTE],R$1,ESTIMATIVA[DE_VARIED],$C12),0)</f>
        <v>0</v>
      </c>
    </row>
    <row r="16" spans="1:18" x14ac:dyDescent="0.3">
      <c r="C16" s="67" t="s">
        <v>328</v>
      </c>
      <c r="D16" s="72">
        <v>1</v>
      </c>
      <c r="E16" s="72">
        <v>1</v>
      </c>
      <c r="F16" s="72">
        <v>1</v>
      </c>
      <c r="G16" s="73">
        <f>D16+1</f>
        <v>2</v>
      </c>
      <c r="H16" s="82">
        <f>E16+1</f>
        <v>2</v>
      </c>
      <c r="I16" s="74">
        <f>F16+1</f>
        <v>2</v>
      </c>
      <c r="J16" s="72">
        <f>G16+1</f>
        <v>3</v>
      </c>
      <c r="K16" s="72">
        <f>H16+1</f>
        <v>3</v>
      </c>
      <c r="L16" s="72">
        <f>I16+1</f>
        <v>3</v>
      </c>
      <c r="M16" s="73">
        <f>J16+1</f>
        <v>4</v>
      </c>
      <c r="N16" s="82">
        <f>K16+1</f>
        <v>4</v>
      </c>
      <c r="O16" s="74">
        <f>L16+1</f>
        <v>4</v>
      </c>
      <c r="P16" s="72">
        <f>M16+1</f>
        <v>5</v>
      </c>
      <c r="Q16" s="72">
        <f>N16+1</f>
        <v>5</v>
      </c>
      <c r="R16" s="72">
        <f>O16+1</f>
        <v>5</v>
      </c>
    </row>
    <row r="17" spans="1:18" x14ac:dyDescent="0.3">
      <c r="C17" s="67" t="s">
        <v>327</v>
      </c>
      <c r="D17" s="19" t="s">
        <v>302</v>
      </c>
      <c r="E17" s="19" t="s">
        <v>295</v>
      </c>
      <c r="F17" s="19" t="s">
        <v>298</v>
      </c>
      <c r="G17" s="18" t="s">
        <v>302</v>
      </c>
      <c r="H17" s="83" t="s">
        <v>295</v>
      </c>
      <c r="I17" s="20" t="s">
        <v>298</v>
      </c>
      <c r="J17" s="19" t="s">
        <v>302</v>
      </c>
      <c r="K17" s="19" t="s">
        <v>295</v>
      </c>
      <c r="L17" s="19" t="s">
        <v>298</v>
      </c>
      <c r="M17" s="18" t="s">
        <v>302</v>
      </c>
      <c r="N17" s="83" t="s">
        <v>295</v>
      </c>
      <c r="O17" s="20" t="s">
        <v>298</v>
      </c>
      <c r="P17" s="19" t="s">
        <v>302</v>
      </c>
      <c r="Q17" s="19" t="s">
        <v>295</v>
      </c>
      <c r="R17" s="19" t="s">
        <v>298</v>
      </c>
    </row>
    <row r="18" spans="1:18" x14ac:dyDescent="0.3">
      <c r="A18" t="s">
        <v>12</v>
      </c>
      <c r="C18" s="84" t="s">
        <v>329</v>
      </c>
      <c r="D18" s="86">
        <f>IFERROR(
SUMIFS(ESTIMATIVA[QT_CANA_REAL],ESTIMATIVA[STATUS],"1- Colhido",ESTIMATIVA[IRRIG_DESCARTE],0,
                         ESTIMATIVA[DE_FORNEC],$A18,ESTIMATIVA[TP_CULTIVO],D$2,ESTIMATIVA[NO_CORTE],D$1,ESTIMATIVA[AMB_PRD],$C18)
/SUMIFS(ESTIMATIVA[QT_AREA_REAL],ESTIMATIVA[STATUS],"1- Colhido",ESTIMATIVA[IRRIG_DESCARTE],0,
                           ESTIMATIVA[DE_FORNEC],$A18,ESTIMATIVA[TP_CULTIVO],D$2,ESTIMATIVA[NO_CORTE],D$1,ESTIMATIVA[AMB_PRD],$C18),0)</f>
        <v>130.69410267288927</v>
      </c>
      <c r="E18" s="86">
        <f>IFERROR(
SUMIFS(ESTIMATIVA[QT_CANA_REAL],ESTIMATIVA[STATUS],"1- Colhido",ESTIMATIVA[IRRIG_DESCARTE],0,
                         ESTIMATIVA[DE_FORNEC],$A18,ESTIMATIVA[TP_CULTIVO],E$2,ESTIMATIVA[NO_CORTE],E$1,ESTIMATIVA[AMB_PRD],$C18)
/SUMIFS(ESTIMATIVA[QT_AREA_REAL],ESTIMATIVA[STATUS],"1- Colhido",ESTIMATIVA[IRRIG_DESCARTE],0,
                           ESTIMATIVA[DE_FORNEC],$A18,ESTIMATIVA[TP_CULTIVO],E$2,ESTIMATIVA[NO_CORTE],E$1,ESTIMATIVA[AMB_PRD],$C18),0)</f>
        <v>125.05459477789084</v>
      </c>
      <c r="F18" s="77">
        <f>IFERROR(
SUMIFS(ESTIMATIVA[QT_CANA_REAL],ESTIMATIVA[STATUS],"1- Colhido",ESTIMATIVA[IRRIG_DESCARTE],0,
                         ESTIMATIVA[DE_FORNEC],$A18,ESTIMATIVA[TP_CULTIVO],F$2,ESTIMATIVA[NO_CORTE],F$1,ESTIMATIVA[AMB_PRD],$C18)
/SUMIFS(ESTIMATIVA[QT_AREA_REAL],ESTIMATIVA[STATUS],"1- Colhido",ESTIMATIVA[IRRIG_DESCARTE],0,
                           ESTIMATIVA[DE_FORNEC],$A18,ESTIMATIVA[TP_CULTIVO],F$2,ESTIMATIVA[NO_CORTE],F$1,ESTIMATIVA[AMB_PRD],$C18),0)</f>
        <v>119.71686996929715</v>
      </c>
      <c r="G18" s="87">
        <f>IFERROR(
SUMIFS(ESTIMATIVA[QT_CANA_REAL],ESTIMATIVA[STATUS],"1- Colhido",ESTIMATIVA[IRRIG_DESCARTE],0,
                         ESTIMATIVA[DE_FORNEC],$A18,ESTIMATIVA[TP_CULTIVO],G$2,ESTIMATIVA[NO_CORTE],G$1,ESTIMATIVA[AMB_PRD],$C18)
/SUMIFS(ESTIMATIVA[QT_AREA_REAL],ESTIMATIVA[STATUS],"1- Colhido",ESTIMATIVA[IRRIG_DESCARTE],0,
                           ESTIMATIVA[DE_FORNEC],$A18,ESTIMATIVA[TP_CULTIVO],G$2,ESTIMATIVA[NO_CORTE],G$1,ESTIMATIVA[AMB_PRD],$C18),0)</f>
        <v>71.633703481392558</v>
      </c>
      <c r="H18" s="86">
        <f>IFERROR(
SUMIFS(ESTIMATIVA[QT_CANA_REAL],ESTIMATIVA[STATUS],"1- Colhido",ESTIMATIVA[IRRIG_DESCARTE],0,
                         ESTIMATIVA[DE_FORNEC],$A18,ESTIMATIVA[TP_CULTIVO],H$2,ESTIMATIVA[NO_CORTE],H$1,ESTIMATIVA[AMB_PRD],$C18)
/SUMIFS(ESTIMATIVA[QT_AREA_REAL],ESTIMATIVA[STATUS],"1- Colhido",ESTIMATIVA[IRRIG_DESCARTE],0,
                           ESTIMATIVA[DE_FORNEC],$A18,ESTIMATIVA[TP_CULTIVO],H$2,ESTIMATIVA[NO_CORTE],H$1,ESTIMATIVA[AMB_PRD],$C18),0)</f>
        <v>0</v>
      </c>
      <c r="I18" s="81">
        <f>IFERROR(
SUMIFS(ESTIMATIVA[QT_CANA_REAL],ESTIMATIVA[STATUS],"1- Colhido",ESTIMATIVA[IRRIG_DESCARTE],0,
                         ESTIMATIVA[DE_FORNEC],$A18,ESTIMATIVA[TP_CULTIVO],I$2,ESTIMATIVA[NO_CORTE],I$1,ESTIMATIVA[AMB_PRD],$C18)
/SUMIFS(ESTIMATIVA[QT_AREA_REAL],ESTIMATIVA[STATUS],"1- Colhido",ESTIMATIVA[IRRIG_DESCARTE],0,
                           ESTIMATIVA[DE_FORNEC],$A18,ESTIMATIVA[TP_CULTIVO],I$2,ESTIMATIVA[NO_CORTE],I$1,ESTIMATIVA[AMB_PRD],$C18),0)</f>
        <v>102.83428571428571</v>
      </c>
      <c r="J18" s="86">
        <f>IFERROR(
SUMIFS(ESTIMATIVA[QT_CANA_REAL],ESTIMATIVA[STATUS],"1- Colhido",ESTIMATIVA[IRRIG_DESCARTE],0,
                         ESTIMATIVA[DE_FORNEC],$A18,ESTIMATIVA[TP_CULTIVO],J$2,ESTIMATIVA[NO_CORTE],J$1,ESTIMATIVA[AMB_PRD],$C18)
/SUMIFS(ESTIMATIVA[QT_AREA_REAL],ESTIMATIVA[STATUS],"1- Colhido",ESTIMATIVA[IRRIG_DESCARTE],0,
                           ESTIMATIVA[DE_FORNEC],$A18,ESTIMATIVA[TP_CULTIVO],J$2,ESTIMATIVA[NO_CORTE],J$1,ESTIMATIVA[AMB_PRD],$C18),0)</f>
        <v>101.96830884471333</v>
      </c>
      <c r="K18" s="86">
        <f>IFERROR(
SUMIFS(ESTIMATIVA[QT_CANA_REAL],ESTIMATIVA[STATUS],"1- Colhido",ESTIMATIVA[IRRIG_DESCARTE],0,
                         ESTIMATIVA[DE_FORNEC],$A18,ESTIMATIVA[TP_CULTIVO],K$2,ESTIMATIVA[NO_CORTE],K$1,ESTIMATIVA[AMB_PRD],$C18)
/SUMIFS(ESTIMATIVA[QT_AREA_REAL],ESTIMATIVA[STATUS],"1- Colhido",ESTIMATIVA[IRRIG_DESCARTE],0,
                           ESTIMATIVA[DE_FORNEC],$A18,ESTIMATIVA[TP_CULTIVO],K$2,ESTIMATIVA[NO_CORTE],K$1,ESTIMATIVA[AMB_PRD],$C18),0)</f>
        <v>91.909787530477189</v>
      </c>
      <c r="L18" s="86">
        <f>IFERROR(
SUMIFS(ESTIMATIVA[QT_CANA_REAL],ESTIMATIVA[STATUS],"1- Colhido",ESTIMATIVA[IRRIG_DESCARTE],0,
                         ESTIMATIVA[DE_FORNEC],$A18,ESTIMATIVA[TP_CULTIVO],L$2,ESTIMATIVA[NO_CORTE],L$1,ESTIMATIVA[AMB_PRD],$C18)
/SUMIFS(ESTIMATIVA[QT_AREA_REAL],ESTIMATIVA[STATUS],"1- Colhido",ESTIMATIVA[IRRIG_DESCARTE],0,
                           ESTIMATIVA[DE_FORNEC],$A18,ESTIMATIVA[TP_CULTIVO],L$2,ESTIMATIVA[NO_CORTE],L$1,ESTIMATIVA[AMB_PRD],$C18),0)</f>
        <v>0</v>
      </c>
      <c r="M18" s="87">
        <f>IFERROR(
SUMIFS(ESTIMATIVA[QT_CANA_REAL],ESTIMATIVA[STATUS],"1- Colhido",ESTIMATIVA[IRRIG_DESCARTE],0,
                         ESTIMATIVA[DE_FORNEC],$A18,ESTIMATIVA[TP_CULTIVO],M$2,ESTIMATIVA[NO_CORTE],M$1,ESTIMATIVA[AMB_PRD],$C18)
/SUMIFS(ESTIMATIVA[QT_AREA_REAL],ESTIMATIVA[STATUS],"1- Colhido",ESTIMATIVA[IRRIG_DESCARTE],0,
                           ESTIMATIVA[DE_FORNEC],$A18,ESTIMATIVA[TP_CULTIVO],M$2,ESTIMATIVA[NO_CORTE],M$1,ESTIMATIVA[AMB_PRD],$C18),0)</f>
        <v>86.41045325481123</v>
      </c>
      <c r="N18" s="86">
        <f>IFERROR(
SUMIFS(ESTIMATIVA[QT_CANA_REAL],ESTIMATIVA[STATUS],"1- Colhido",ESTIMATIVA[IRRIG_DESCARTE],0,
                         ESTIMATIVA[DE_FORNEC],$A18,ESTIMATIVA[TP_CULTIVO],N$2,ESTIMATIVA[NO_CORTE],N$1,ESTIMATIVA[AMB_PRD],$C18)
/SUMIFS(ESTIMATIVA[QT_AREA_REAL],ESTIMATIVA[STATUS],"1- Colhido",ESTIMATIVA[IRRIG_DESCARTE],0,
                           ESTIMATIVA[DE_FORNEC],$A18,ESTIMATIVA[TP_CULTIVO],N$2,ESTIMATIVA[NO_CORTE],N$1,ESTIMATIVA[AMB_PRD],$C18),0)</f>
        <v>85.569227566104516</v>
      </c>
      <c r="O18" s="80">
        <f>IFERROR(
SUMIFS(ESTIMATIVA[QT_CANA_REAL],ESTIMATIVA[STATUS],"1- Colhido",ESTIMATIVA[IRRIG_DESCARTE],0,
                         ESTIMATIVA[DE_FORNEC],$A18,ESTIMATIVA[TP_CULTIVO],O$2,ESTIMATIVA[NO_CORTE],O$1,ESTIMATIVA[AMB_PRD],$C18)
/SUMIFS(ESTIMATIVA[QT_AREA_REAL],ESTIMATIVA[STATUS],"1- Colhido",ESTIMATIVA[IRRIG_DESCARTE],0,
                           ESTIMATIVA[DE_FORNEC],$A18,ESTIMATIVA[TP_CULTIVO],O$2,ESTIMATIVA[NO_CORTE],O$1,ESTIMATIVA[AMB_PRD],$C18),0)</f>
        <v>73.22749307479225</v>
      </c>
      <c r="P18" s="86">
        <f>IFERROR(
SUMIFS(ESTIMATIVA[QT_CANA_REAL],ESTIMATIVA[STATUS],"1- Colhido",ESTIMATIVA[IRRIG_DESCARTE],0,
                         ESTIMATIVA[DE_FORNEC],$A18,ESTIMATIVA[TP_CULTIVO],P$2,ESTIMATIVA[NO_CORTE],P$1,ESTIMATIVA[AMB_PRD],$C18)
/SUMIFS(ESTIMATIVA[QT_AREA_REAL],ESTIMATIVA[STATUS],"1- Colhido",ESTIMATIVA[IRRIG_DESCARTE],0,
                           ESTIMATIVA[DE_FORNEC],$A18,ESTIMATIVA[TP_CULTIVO],P$2,ESTIMATIVA[NO_CORTE],P$1,ESTIMATIVA[AMB_PRD],$C18),0)</f>
        <v>0</v>
      </c>
      <c r="Q18" s="86">
        <f>IFERROR(
SUMIFS(ESTIMATIVA[QT_CANA_REAL],ESTIMATIVA[STATUS],"1- Colhido",ESTIMATIVA[IRRIG_DESCARTE],0,
                         ESTIMATIVA[DE_FORNEC],$A18,ESTIMATIVA[TP_CULTIVO],Q$2,ESTIMATIVA[NO_CORTE],Q$1,ESTIMATIVA[AMB_PRD],$C18)
/SUMIFS(ESTIMATIVA[QT_AREA_REAL],ESTIMATIVA[STATUS],"1- Colhido",ESTIMATIVA[IRRIG_DESCARTE],0,
                           ESTIMATIVA[DE_FORNEC],$A18,ESTIMATIVA[TP_CULTIVO],Q$2,ESTIMATIVA[NO_CORTE],Q$1,ESTIMATIVA[AMB_PRD],$C18),0)</f>
        <v>0</v>
      </c>
      <c r="R18" s="86">
        <f>IFERROR(
SUMIFS(ESTIMATIVA[QT_CANA_REAL],ESTIMATIVA[STATUS],"1- Colhido",ESTIMATIVA[IRRIG_DESCARTE],0,
                         ESTIMATIVA[DE_FORNEC],$A18,ESTIMATIVA[TP_CULTIVO],R$2,ESTIMATIVA[NO_CORTE],R$1,ESTIMATIVA[AMB_PRD],$C18)
/SUMIFS(ESTIMATIVA[QT_AREA_REAL],ESTIMATIVA[STATUS],"1- Colhido",ESTIMATIVA[IRRIG_DESCARTE],0,
                           ESTIMATIVA[DE_FORNEC],$A18,ESTIMATIVA[TP_CULTIVO],R$2,ESTIMATIVA[NO_CORTE],R$1,ESTIMATIVA[AMB_PRD],$C18),0)</f>
        <v>0</v>
      </c>
    </row>
    <row r="19" spans="1:18" x14ac:dyDescent="0.3">
      <c r="A19" t="s">
        <v>12</v>
      </c>
      <c r="C19" s="66" t="s">
        <v>330</v>
      </c>
      <c r="D19" s="88">
        <f>IFERROR(
SUMIFS(ESTIMATIVA[QT_CANA_REAL],ESTIMATIVA[STATUS],"1- Colhido",ESTIMATIVA[IRRIG_DESCARTE],0,
                         ESTIMATIVA[DE_FORNEC],$A19,ESTIMATIVA[TP_CULTIVO],D$2,ESTIMATIVA[NO_CORTE],D$1,ESTIMATIVA[AMB_PRD],$C19)
/SUMIFS(ESTIMATIVA[QT_AREA_REAL],ESTIMATIVA[STATUS],"1- Colhido",ESTIMATIVA[IRRIG_DESCARTE],0,
                           ESTIMATIVA[DE_FORNEC],$A19,ESTIMATIVA[TP_CULTIVO],D$2,ESTIMATIVA[NO_CORTE],D$1,ESTIMATIVA[AMB_PRD],$C19),0)</f>
        <v>0</v>
      </c>
      <c r="E19" s="88">
        <f>IFERROR(
SUMIFS(ESTIMATIVA[QT_CANA_REAL],ESTIMATIVA[STATUS],"1- Colhido",ESTIMATIVA[IRRIG_DESCARTE],0,
                         ESTIMATIVA[DE_FORNEC],$A19,ESTIMATIVA[TP_CULTIVO],E$2,ESTIMATIVA[NO_CORTE],E$1,ESTIMATIVA[AMB_PRD],$C19)
/SUMIFS(ESTIMATIVA[QT_AREA_REAL],ESTIMATIVA[STATUS],"1- Colhido",ESTIMATIVA[IRRIG_DESCARTE],0,
                           ESTIMATIVA[DE_FORNEC],$A19,ESTIMATIVA[TP_CULTIVO],E$2,ESTIMATIVA[NO_CORTE],E$1,ESTIMATIVA[AMB_PRD],$C19),0)</f>
        <v>97.157396846695733</v>
      </c>
      <c r="F19" s="75">
        <f>IFERROR(
SUMIFS(ESTIMATIVA[QT_CANA_REAL],ESTIMATIVA[STATUS],"1- Colhido",ESTIMATIVA[IRRIG_DESCARTE],0,
                         ESTIMATIVA[DE_FORNEC],$A19,ESTIMATIVA[TP_CULTIVO],F$2,ESTIMATIVA[NO_CORTE],F$1,ESTIMATIVA[AMB_PRD],$C19)
/SUMIFS(ESTIMATIVA[QT_AREA_REAL],ESTIMATIVA[STATUS],"1- Colhido",ESTIMATIVA[IRRIG_DESCARTE],0,
                           ESTIMATIVA[DE_FORNEC],$A19,ESTIMATIVA[TP_CULTIVO],F$2,ESTIMATIVA[NO_CORTE],F$1,ESTIMATIVA[AMB_PRD],$C19),0)</f>
        <v>134.47457831325301</v>
      </c>
      <c r="G19" s="89">
        <f>IFERROR(
SUMIFS(ESTIMATIVA[QT_CANA_REAL],ESTIMATIVA[STATUS],"1- Colhido",ESTIMATIVA[IRRIG_DESCARTE],0,
                         ESTIMATIVA[DE_FORNEC],$A19,ESTIMATIVA[TP_CULTIVO],G$2,ESTIMATIVA[NO_CORTE],G$1,ESTIMATIVA[AMB_PRD],$C19)
/SUMIFS(ESTIMATIVA[QT_AREA_REAL],ESTIMATIVA[STATUS],"1- Colhido",ESTIMATIVA[IRRIG_DESCARTE],0,
                           ESTIMATIVA[DE_FORNEC],$A19,ESTIMATIVA[TP_CULTIVO],G$2,ESTIMATIVA[NO_CORTE],G$1,ESTIMATIVA[AMB_PRD],$C19),0)</f>
        <v>79.394912985274445</v>
      </c>
      <c r="H19" s="90">
        <f>IFERROR(
SUMIFS(ESTIMATIVA[QT_CANA_REAL],ESTIMATIVA[STATUS],"1- Colhido",ESTIMATIVA[IRRIG_DESCARTE],0,
                         ESTIMATIVA[DE_FORNEC],$A19,ESTIMATIVA[TP_CULTIVO],H$2,ESTIMATIVA[NO_CORTE],H$1,ESTIMATIVA[AMB_PRD],$C19)
/SUMIFS(ESTIMATIVA[QT_AREA_REAL],ESTIMATIVA[STATUS],"1- Colhido",ESTIMATIVA[IRRIG_DESCARTE],0,
                           ESTIMATIVA[DE_FORNEC],$A19,ESTIMATIVA[TP_CULTIVO],H$2,ESTIMATIVA[NO_CORTE],H$1,ESTIMATIVA[AMB_PRD],$C19),0)</f>
        <v>97.219718309859161</v>
      </c>
      <c r="I19" s="92">
        <f>IFERROR(
SUMIFS(ESTIMATIVA[QT_CANA_REAL],ESTIMATIVA[STATUS],"1- Colhido",ESTIMATIVA[IRRIG_DESCARTE],0,
                         ESTIMATIVA[DE_FORNEC],$A19,ESTIMATIVA[TP_CULTIVO],I$2,ESTIMATIVA[NO_CORTE],I$1,ESTIMATIVA[AMB_PRD],$C19)
/SUMIFS(ESTIMATIVA[QT_AREA_REAL],ESTIMATIVA[STATUS],"1- Colhido",ESTIMATIVA[IRRIG_DESCARTE],0,
                           ESTIMATIVA[DE_FORNEC],$A19,ESTIMATIVA[TP_CULTIVO],I$2,ESTIMATIVA[NO_CORTE],I$1,ESTIMATIVA[AMB_PRD],$C19),0)</f>
        <v>85.562069819262192</v>
      </c>
      <c r="J19" s="88">
        <f>IFERROR(
SUMIFS(ESTIMATIVA[QT_CANA_REAL],ESTIMATIVA[STATUS],"1- Colhido",ESTIMATIVA[IRRIG_DESCARTE],0,
                         ESTIMATIVA[DE_FORNEC],$A19,ESTIMATIVA[TP_CULTIVO],J$2,ESTIMATIVA[NO_CORTE],J$1,ESTIMATIVA[AMB_PRD],$C19)
/SUMIFS(ESTIMATIVA[QT_AREA_REAL],ESTIMATIVA[STATUS],"1- Colhido",ESTIMATIVA[IRRIG_DESCARTE],0,
                           ESTIMATIVA[DE_FORNEC],$A19,ESTIMATIVA[TP_CULTIVO],J$2,ESTIMATIVA[NO_CORTE],J$1,ESTIMATIVA[AMB_PRD],$C19),0)</f>
        <v>72.041334300217557</v>
      </c>
      <c r="K19" s="88">
        <f>IFERROR(
SUMIFS(ESTIMATIVA[QT_CANA_REAL],ESTIMATIVA[STATUS],"1- Colhido",ESTIMATIVA[IRRIG_DESCARTE],0,
                         ESTIMATIVA[DE_FORNEC],$A19,ESTIMATIVA[TP_CULTIVO],K$2,ESTIMATIVA[NO_CORTE],K$1,ESTIMATIVA[AMB_PRD],$C19)
/SUMIFS(ESTIMATIVA[QT_AREA_REAL],ESTIMATIVA[STATUS],"1- Colhido",ESTIMATIVA[IRRIG_DESCARTE],0,
                           ESTIMATIVA[DE_FORNEC],$A19,ESTIMATIVA[TP_CULTIVO],K$2,ESTIMATIVA[NO_CORTE],K$1,ESTIMATIVA[AMB_PRD],$C19),0)</f>
        <v>103.73548631499195</v>
      </c>
      <c r="L19" s="88">
        <f>IFERROR(
SUMIFS(ESTIMATIVA[QT_CANA_REAL],ESTIMATIVA[STATUS],"1- Colhido",ESTIMATIVA[IRRIG_DESCARTE],0,
                         ESTIMATIVA[DE_FORNEC],$A19,ESTIMATIVA[TP_CULTIVO],L$2,ESTIMATIVA[NO_CORTE],L$1,ESTIMATIVA[AMB_PRD],$C19)
/SUMIFS(ESTIMATIVA[QT_AREA_REAL],ESTIMATIVA[STATUS],"1- Colhido",ESTIMATIVA[IRRIG_DESCARTE],0,
                           ESTIMATIVA[DE_FORNEC],$A19,ESTIMATIVA[TP_CULTIVO],L$2,ESTIMATIVA[NO_CORTE],L$1,ESTIMATIVA[AMB_PRD],$C19),0)</f>
        <v>0</v>
      </c>
      <c r="M19" s="89">
        <f>IFERROR(
SUMIFS(ESTIMATIVA[QT_CANA_REAL],ESTIMATIVA[STATUS],"1- Colhido",ESTIMATIVA[IRRIG_DESCARTE],0,
                         ESTIMATIVA[DE_FORNEC],$A19,ESTIMATIVA[TP_CULTIVO],M$2,ESTIMATIVA[NO_CORTE],M$1,ESTIMATIVA[AMB_PRD],$C19)
/SUMIFS(ESTIMATIVA[QT_AREA_REAL],ESTIMATIVA[STATUS],"1- Colhido",ESTIMATIVA[IRRIG_DESCARTE],0,
                           ESTIMATIVA[DE_FORNEC],$A19,ESTIMATIVA[TP_CULTIVO],M$2,ESTIMATIVA[NO_CORTE],M$1,ESTIMATIVA[AMB_PRD],$C19),0)</f>
        <v>61.620009394081727</v>
      </c>
      <c r="N19" s="90">
        <f>IFERROR(
SUMIFS(ESTIMATIVA[QT_CANA_REAL],ESTIMATIVA[STATUS],"1- Colhido",ESTIMATIVA[IRRIG_DESCARTE],0,
                         ESTIMATIVA[DE_FORNEC],$A19,ESTIMATIVA[TP_CULTIVO],N$2,ESTIMATIVA[NO_CORTE],N$1,ESTIMATIVA[AMB_PRD],$C19)
/SUMIFS(ESTIMATIVA[QT_AREA_REAL],ESTIMATIVA[STATUS],"1- Colhido",ESTIMATIVA[IRRIG_DESCARTE],0,
                           ESTIMATIVA[DE_FORNEC],$A19,ESTIMATIVA[TP_CULTIVO],N$2,ESTIMATIVA[NO_CORTE],N$1,ESTIMATIVA[AMB_PRD],$C19),0)</f>
        <v>67.208484299516925</v>
      </c>
      <c r="O19" s="91">
        <f>IFERROR(
SUMIFS(ESTIMATIVA[QT_CANA_REAL],ESTIMATIVA[STATUS],"1- Colhido",ESTIMATIVA[IRRIG_DESCARTE],0,
                         ESTIMATIVA[DE_FORNEC],$A19,ESTIMATIVA[TP_CULTIVO],O$2,ESTIMATIVA[NO_CORTE],O$1,ESTIMATIVA[AMB_PRD],$C19)
/SUMIFS(ESTIMATIVA[QT_AREA_REAL],ESTIMATIVA[STATUS],"1- Colhido",ESTIMATIVA[IRRIG_DESCARTE],0,
                           ESTIMATIVA[DE_FORNEC],$A19,ESTIMATIVA[TP_CULTIVO],O$2,ESTIMATIVA[NO_CORTE],O$1,ESTIMATIVA[AMB_PRD],$C19),0)</f>
        <v>0</v>
      </c>
      <c r="P19" s="88">
        <f>IFERROR(
SUMIFS(ESTIMATIVA[QT_CANA_REAL],ESTIMATIVA[STATUS],"1- Colhido",ESTIMATIVA[IRRIG_DESCARTE],0,
                         ESTIMATIVA[DE_FORNEC],$A19,ESTIMATIVA[TP_CULTIVO],P$2,ESTIMATIVA[NO_CORTE],P$1,ESTIMATIVA[AMB_PRD],$C19)
/SUMIFS(ESTIMATIVA[QT_AREA_REAL],ESTIMATIVA[STATUS],"1- Colhido",ESTIMATIVA[IRRIG_DESCARTE],0,
                           ESTIMATIVA[DE_FORNEC],$A19,ESTIMATIVA[TP_CULTIVO],P$2,ESTIMATIVA[NO_CORTE],P$1,ESTIMATIVA[AMB_PRD],$C19),0)</f>
        <v>0</v>
      </c>
      <c r="Q19" s="88">
        <f>IFERROR(
SUMIFS(ESTIMATIVA[QT_CANA_REAL],ESTIMATIVA[STATUS],"1- Colhido",ESTIMATIVA[IRRIG_DESCARTE],0,
                         ESTIMATIVA[DE_FORNEC],$A19,ESTIMATIVA[TP_CULTIVO],Q$2,ESTIMATIVA[NO_CORTE],Q$1,ESTIMATIVA[AMB_PRD],$C19)
/SUMIFS(ESTIMATIVA[QT_AREA_REAL],ESTIMATIVA[STATUS],"1- Colhido",ESTIMATIVA[IRRIG_DESCARTE],0,
                           ESTIMATIVA[DE_FORNEC],$A19,ESTIMATIVA[TP_CULTIVO],Q$2,ESTIMATIVA[NO_CORTE],Q$1,ESTIMATIVA[AMB_PRD],$C19),0)</f>
        <v>0</v>
      </c>
      <c r="R19" s="88">
        <f>IFERROR(
SUMIFS(ESTIMATIVA[QT_CANA_REAL],ESTIMATIVA[STATUS],"1- Colhido",ESTIMATIVA[IRRIG_DESCARTE],0,
                         ESTIMATIVA[DE_FORNEC],$A19,ESTIMATIVA[TP_CULTIVO],R$2,ESTIMATIVA[NO_CORTE],R$1,ESTIMATIVA[AMB_PRD],$C19)
/SUMIFS(ESTIMATIVA[QT_AREA_REAL],ESTIMATIVA[STATUS],"1- Colhido",ESTIMATIVA[IRRIG_DESCARTE],0,
                           ESTIMATIVA[DE_FORNEC],$A19,ESTIMATIVA[TP_CULTIVO],R$2,ESTIMATIVA[NO_CORTE],R$1,ESTIMATIVA[AMB_PRD],$C19),0)</f>
        <v>0</v>
      </c>
    </row>
    <row r="20" spans="1:18" x14ac:dyDescent="0.3">
      <c r="A20" t="s">
        <v>12</v>
      </c>
      <c r="C20" s="66" t="s">
        <v>332</v>
      </c>
      <c r="D20" s="88">
        <f>IFERROR(
SUMIFS(ESTIMATIVA[QT_CANA_REAL],ESTIMATIVA[STATUS],"1- Colhido",ESTIMATIVA[IRRIG_DESCARTE],0,
                         ESTIMATIVA[DE_FORNEC],$A20,ESTIMATIVA[TP_CULTIVO],D$2,ESTIMATIVA[NO_CORTE],D$1,ESTIMATIVA[AMB_PRD],$C20)
/SUMIFS(ESTIMATIVA[QT_AREA_REAL],ESTIMATIVA[STATUS],"1- Colhido",ESTIMATIVA[IRRIG_DESCARTE],0,
                           ESTIMATIVA[DE_FORNEC],$A20,ESTIMATIVA[TP_CULTIVO],D$2,ESTIMATIVA[NO_CORTE],D$1,ESTIMATIVA[AMB_PRD],$C20),0)</f>
        <v>101.40187359184155</v>
      </c>
      <c r="E20" s="88">
        <f>IFERROR(
SUMIFS(ESTIMATIVA[QT_CANA_REAL],ESTIMATIVA[STATUS],"1- Colhido",ESTIMATIVA[IRRIG_DESCARTE],0,
                         ESTIMATIVA[DE_FORNEC],$A20,ESTIMATIVA[TP_CULTIVO],E$2,ESTIMATIVA[NO_CORTE],E$1,ESTIMATIVA[AMB_PRD],$C20)
/SUMIFS(ESTIMATIVA[QT_AREA_REAL],ESTIMATIVA[STATUS],"1- Colhido",ESTIMATIVA[IRRIG_DESCARTE],0,
                           ESTIMATIVA[DE_FORNEC],$A20,ESTIMATIVA[TP_CULTIVO],E$2,ESTIMATIVA[NO_CORTE],E$1,ESTIMATIVA[AMB_PRD],$C20),0)</f>
        <v>116.25246235978649</v>
      </c>
      <c r="F20" s="75">
        <f>IFERROR(
SUMIFS(ESTIMATIVA[QT_CANA_REAL],ESTIMATIVA[STATUS],"1- Colhido",ESTIMATIVA[IRRIG_DESCARTE],0,
                         ESTIMATIVA[DE_FORNEC],$A20,ESTIMATIVA[TP_CULTIVO],F$2,ESTIMATIVA[NO_CORTE],F$1,ESTIMATIVA[AMB_PRD],$C20)
/SUMIFS(ESTIMATIVA[QT_AREA_REAL],ESTIMATIVA[STATUS],"1- Colhido",ESTIMATIVA[IRRIG_DESCARTE],0,
                           ESTIMATIVA[DE_FORNEC],$A20,ESTIMATIVA[TP_CULTIVO],F$2,ESTIMATIVA[NO_CORTE],F$1,ESTIMATIVA[AMB_PRD],$C20),0)</f>
        <v>119.87503344929087</v>
      </c>
      <c r="G20" s="89">
        <f>IFERROR(
SUMIFS(ESTIMATIVA[QT_CANA_REAL],ESTIMATIVA[STATUS],"1- Colhido",ESTIMATIVA[IRRIG_DESCARTE],0,
                         ESTIMATIVA[DE_FORNEC],$A20,ESTIMATIVA[TP_CULTIVO],G$2,ESTIMATIVA[NO_CORTE],G$1,ESTIMATIVA[AMB_PRD],$C20)
/SUMIFS(ESTIMATIVA[QT_AREA_REAL],ESTIMATIVA[STATUS],"1- Colhido",ESTIMATIVA[IRRIG_DESCARTE],0,
                           ESTIMATIVA[DE_FORNEC],$A20,ESTIMATIVA[TP_CULTIVO],G$2,ESTIMATIVA[NO_CORTE],G$1,ESTIMATIVA[AMB_PRD],$C20),0)</f>
        <v>84.590433182806478</v>
      </c>
      <c r="H20" s="90">
        <f>IFERROR(
SUMIFS(ESTIMATIVA[QT_CANA_REAL],ESTIMATIVA[STATUS],"1- Colhido",ESTIMATIVA[IRRIG_DESCARTE],0,
                         ESTIMATIVA[DE_FORNEC],$A20,ESTIMATIVA[TP_CULTIVO],H$2,ESTIMATIVA[NO_CORTE],H$1,ESTIMATIVA[AMB_PRD],$C20)
/SUMIFS(ESTIMATIVA[QT_AREA_REAL],ESTIMATIVA[STATUS],"1- Colhido",ESTIMATIVA[IRRIG_DESCARTE],0,
                           ESTIMATIVA[DE_FORNEC],$A20,ESTIMATIVA[TP_CULTIVO],H$2,ESTIMATIVA[NO_CORTE],H$1,ESTIMATIVA[AMB_PRD],$C20),0)</f>
        <v>98.034718060973617</v>
      </c>
      <c r="I20" s="91">
        <f>IFERROR(
SUMIFS(ESTIMATIVA[QT_CANA_REAL],ESTIMATIVA[STATUS],"1- Colhido",ESTIMATIVA[IRRIG_DESCARTE],0,
                         ESTIMATIVA[DE_FORNEC],$A20,ESTIMATIVA[TP_CULTIVO],I$2,ESTIMATIVA[NO_CORTE],I$1,ESTIMATIVA[AMB_PRD],$C20)
/SUMIFS(ESTIMATIVA[QT_AREA_REAL],ESTIMATIVA[STATUS],"1- Colhido",ESTIMATIVA[IRRIG_DESCARTE],0,
                           ESTIMATIVA[DE_FORNEC],$A20,ESTIMATIVA[TP_CULTIVO],I$2,ESTIMATIVA[NO_CORTE],I$1,ESTIMATIVA[AMB_PRD],$C20),0)</f>
        <v>0</v>
      </c>
      <c r="J20" s="88">
        <f>IFERROR(
SUMIFS(ESTIMATIVA[QT_CANA_REAL],ESTIMATIVA[STATUS],"1- Colhido",ESTIMATIVA[IRRIG_DESCARTE],0,
                         ESTIMATIVA[DE_FORNEC],$A20,ESTIMATIVA[TP_CULTIVO],J$2,ESTIMATIVA[NO_CORTE],J$1,ESTIMATIVA[AMB_PRD],$C20)
/SUMIFS(ESTIMATIVA[QT_AREA_REAL],ESTIMATIVA[STATUS],"1- Colhido",ESTIMATIVA[IRRIG_DESCARTE],0,
                           ESTIMATIVA[DE_FORNEC],$A20,ESTIMATIVA[TP_CULTIVO],J$2,ESTIMATIVA[NO_CORTE],J$1,ESTIMATIVA[AMB_PRD],$C20),0)</f>
        <v>72.663972034083457</v>
      </c>
      <c r="K20" s="88">
        <f>IFERROR(
SUMIFS(ESTIMATIVA[QT_CANA_REAL],ESTIMATIVA[STATUS],"1- Colhido",ESTIMATIVA[IRRIG_DESCARTE],0,
                         ESTIMATIVA[DE_FORNEC],$A20,ESTIMATIVA[TP_CULTIVO],K$2,ESTIMATIVA[NO_CORTE],K$1,ESTIMATIVA[AMB_PRD],$C20)
/SUMIFS(ESTIMATIVA[QT_AREA_REAL],ESTIMATIVA[STATUS],"1- Colhido",ESTIMATIVA[IRRIG_DESCARTE],0,
                           ESTIMATIVA[DE_FORNEC],$A20,ESTIMATIVA[TP_CULTIVO],K$2,ESTIMATIVA[NO_CORTE],K$1,ESTIMATIVA[AMB_PRD],$C20),0)</f>
        <v>83.859146888508278</v>
      </c>
      <c r="L20" s="88">
        <f>IFERROR(
SUMIFS(ESTIMATIVA[QT_CANA_REAL],ESTIMATIVA[STATUS],"1- Colhido",ESTIMATIVA[IRRIG_DESCARTE],0,
                         ESTIMATIVA[DE_FORNEC],$A20,ESTIMATIVA[TP_CULTIVO],L$2,ESTIMATIVA[NO_CORTE],L$1,ESTIMATIVA[AMB_PRD],$C20)
/SUMIFS(ESTIMATIVA[QT_AREA_REAL],ESTIMATIVA[STATUS],"1- Colhido",ESTIMATIVA[IRRIG_DESCARTE],0,
                           ESTIMATIVA[DE_FORNEC],$A20,ESTIMATIVA[TP_CULTIVO],L$2,ESTIMATIVA[NO_CORTE],L$1,ESTIMATIVA[AMB_PRD],$C20),0)</f>
        <v>0</v>
      </c>
      <c r="M20" s="89">
        <f>IFERROR(
SUMIFS(ESTIMATIVA[QT_CANA_REAL],ESTIMATIVA[STATUS],"1- Colhido",ESTIMATIVA[IRRIG_DESCARTE],0,
                         ESTIMATIVA[DE_FORNEC],$A20,ESTIMATIVA[TP_CULTIVO],M$2,ESTIMATIVA[NO_CORTE],M$1,ESTIMATIVA[AMB_PRD],$C20)
/SUMIFS(ESTIMATIVA[QT_AREA_REAL],ESTIMATIVA[STATUS],"1- Colhido",ESTIMATIVA[IRRIG_DESCARTE],0,
                           ESTIMATIVA[DE_FORNEC],$A20,ESTIMATIVA[TP_CULTIVO],M$2,ESTIMATIVA[NO_CORTE],M$1,ESTIMATIVA[AMB_PRD],$C20),0)</f>
        <v>71.336909337241124</v>
      </c>
      <c r="N20" s="90">
        <f>IFERROR(
SUMIFS(ESTIMATIVA[QT_CANA_REAL],ESTIMATIVA[STATUS],"1- Colhido",ESTIMATIVA[IRRIG_DESCARTE],0,
                         ESTIMATIVA[DE_FORNEC],$A20,ESTIMATIVA[TP_CULTIVO],N$2,ESTIMATIVA[NO_CORTE],N$1,ESTIMATIVA[AMB_PRD],$C20)
/SUMIFS(ESTIMATIVA[QT_AREA_REAL],ESTIMATIVA[STATUS],"1- Colhido",ESTIMATIVA[IRRIG_DESCARTE],0,
                           ESTIMATIVA[DE_FORNEC],$A20,ESTIMATIVA[TP_CULTIVO],N$2,ESTIMATIVA[NO_CORTE],N$1,ESTIMATIVA[AMB_PRD],$C20),0)</f>
        <v>70.115887180750406</v>
      </c>
      <c r="O20" s="91">
        <f>IFERROR(
SUMIFS(ESTIMATIVA[QT_CANA_REAL],ESTIMATIVA[STATUS],"1- Colhido",ESTIMATIVA[IRRIG_DESCARTE],0,
                         ESTIMATIVA[DE_FORNEC],$A20,ESTIMATIVA[TP_CULTIVO],O$2,ESTIMATIVA[NO_CORTE],O$1,ESTIMATIVA[AMB_PRD],$C20)
/SUMIFS(ESTIMATIVA[QT_AREA_REAL],ESTIMATIVA[STATUS],"1- Colhido",ESTIMATIVA[IRRIG_DESCARTE],0,
                           ESTIMATIVA[DE_FORNEC],$A20,ESTIMATIVA[TP_CULTIVO],O$2,ESTIMATIVA[NO_CORTE],O$1,ESTIMATIVA[AMB_PRD],$C20),0)</f>
        <v>0</v>
      </c>
      <c r="P20" s="88">
        <f>IFERROR(
SUMIFS(ESTIMATIVA[QT_CANA_REAL],ESTIMATIVA[STATUS],"1- Colhido",ESTIMATIVA[IRRIG_DESCARTE],0,
                         ESTIMATIVA[DE_FORNEC],$A20,ESTIMATIVA[TP_CULTIVO],P$2,ESTIMATIVA[NO_CORTE],P$1,ESTIMATIVA[AMB_PRD],$C20)
/SUMIFS(ESTIMATIVA[QT_AREA_REAL],ESTIMATIVA[STATUS],"1- Colhido",ESTIMATIVA[IRRIG_DESCARTE],0,
                           ESTIMATIVA[DE_FORNEC],$A20,ESTIMATIVA[TP_CULTIVO],P$2,ESTIMATIVA[NO_CORTE],P$1,ESTIMATIVA[AMB_PRD],$C20),0)</f>
        <v>64.735206959181724</v>
      </c>
      <c r="Q20" s="88">
        <f>IFERROR(
SUMIFS(ESTIMATIVA[QT_CANA_REAL],ESTIMATIVA[STATUS],"1- Colhido",ESTIMATIVA[IRRIG_DESCARTE],0,
                         ESTIMATIVA[DE_FORNEC],$A20,ESTIMATIVA[TP_CULTIVO],Q$2,ESTIMATIVA[NO_CORTE],Q$1,ESTIMATIVA[AMB_PRD],$C20)
/SUMIFS(ESTIMATIVA[QT_AREA_REAL],ESTIMATIVA[STATUS],"1- Colhido",ESTIMATIVA[IRRIG_DESCARTE],0,
                           ESTIMATIVA[DE_FORNEC],$A20,ESTIMATIVA[TP_CULTIVO],Q$2,ESTIMATIVA[NO_CORTE],Q$1,ESTIMATIVA[AMB_PRD],$C20),0)</f>
        <v>0</v>
      </c>
      <c r="R20" s="88">
        <f>IFERROR(
SUMIFS(ESTIMATIVA[QT_CANA_REAL],ESTIMATIVA[STATUS],"1- Colhido",ESTIMATIVA[IRRIG_DESCARTE],0,
                         ESTIMATIVA[DE_FORNEC],$A20,ESTIMATIVA[TP_CULTIVO],R$2,ESTIMATIVA[NO_CORTE],R$1,ESTIMATIVA[AMB_PRD],$C20)
/SUMIFS(ESTIMATIVA[QT_AREA_REAL],ESTIMATIVA[STATUS],"1- Colhido",ESTIMATIVA[IRRIG_DESCARTE],0,
                           ESTIMATIVA[DE_FORNEC],$A20,ESTIMATIVA[TP_CULTIVO],R$2,ESTIMATIVA[NO_CORTE],R$1,ESTIMATIVA[AMB_PRD],$C20),0)</f>
        <v>0</v>
      </c>
    </row>
    <row r="21" spans="1:18" x14ac:dyDescent="0.3">
      <c r="A21" t="s">
        <v>12</v>
      </c>
      <c r="C21" s="66" t="s">
        <v>331</v>
      </c>
      <c r="D21" s="88">
        <f>IFERROR(
SUMIFS(ESTIMATIVA[QT_CANA_REAL],ESTIMATIVA[STATUS],"1- Colhido",ESTIMATIVA[IRRIG_DESCARTE],0,
                         ESTIMATIVA[DE_FORNEC],$A21,ESTIMATIVA[TP_CULTIVO],D$2,ESTIMATIVA[NO_CORTE],D$1,ESTIMATIVA[AMB_PRD],$C21)
/SUMIFS(ESTIMATIVA[QT_AREA_REAL],ESTIMATIVA[STATUS],"1- Colhido",ESTIMATIVA[IRRIG_DESCARTE],0,
                           ESTIMATIVA[DE_FORNEC],$A21,ESTIMATIVA[TP_CULTIVO],D$2,ESTIMATIVA[NO_CORTE],D$1,ESTIMATIVA[AMB_PRD],$C21),0)</f>
        <v>102.68548289045295</v>
      </c>
      <c r="E21" s="88">
        <f>IFERROR(
SUMIFS(ESTIMATIVA[QT_CANA_REAL],ESTIMATIVA[STATUS],"1- Colhido",ESTIMATIVA[IRRIG_DESCARTE],0,
                         ESTIMATIVA[DE_FORNEC],$A21,ESTIMATIVA[TP_CULTIVO],E$2,ESTIMATIVA[NO_CORTE],E$1,ESTIMATIVA[AMB_PRD],$C21)
/SUMIFS(ESTIMATIVA[QT_AREA_REAL],ESTIMATIVA[STATUS],"1- Colhido",ESTIMATIVA[IRRIG_DESCARTE],0,
                           ESTIMATIVA[DE_FORNEC],$A21,ESTIMATIVA[TP_CULTIVO],E$2,ESTIMATIVA[NO_CORTE],E$1,ESTIMATIVA[AMB_PRD],$C21),0)</f>
        <v>100.20666227102026</v>
      </c>
      <c r="F21" s="75">
        <f>IFERROR(
SUMIFS(ESTIMATIVA[QT_CANA_REAL],ESTIMATIVA[STATUS],"1- Colhido",ESTIMATIVA[IRRIG_DESCARTE],0,
                         ESTIMATIVA[DE_FORNEC],$A21,ESTIMATIVA[TP_CULTIVO],F$2,ESTIMATIVA[NO_CORTE],F$1,ESTIMATIVA[AMB_PRD],$C21)
/SUMIFS(ESTIMATIVA[QT_AREA_REAL],ESTIMATIVA[STATUS],"1- Colhido",ESTIMATIVA[IRRIG_DESCARTE],0,
                           ESTIMATIVA[DE_FORNEC],$A21,ESTIMATIVA[TP_CULTIVO],F$2,ESTIMATIVA[NO_CORTE],F$1,ESTIMATIVA[AMB_PRD],$C21),0)</f>
        <v>116.1351513136016</v>
      </c>
      <c r="G21" s="89">
        <f>IFERROR(
SUMIFS(ESTIMATIVA[QT_CANA_REAL],ESTIMATIVA[STATUS],"1- Colhido",ESTIMATIVA[IRRIG_DESCARTE],0,
                         ESTIMATIVA[DE_FORNEC],$A21,ESTIMATIVA[TP_CULTIVO],G$2,ESTIMATIVA[NO_CORTE],G$1,ESTIMATIVA[AMB_PRD],$C21)
/SUMIFS(ESTIMATIVA[QT_AREA_REAL],ESTIMATIVA[STATUS],"1- Colhido",ESTIMATIVA[IRRIG_DESCARTE],0,
                           ESTIMATIVA[DE_FORNEC],$A21,ESTIMATIVA[TP_CULTIVO],G$2,ESTIMATIVA[NO_CORTE],G$1,ESTIMATIVA[AMB_PRD],$C21),0)</f>
        <v>86.100621388858585</v>
      </c>
      <c r="H21" s="90">
        <f>IFERROR(
SUMIFS(ESTIMATIVA[QT_CANA_REAL],ESTIMATIVA[STATUS],"1- Colhido",ESTIMATIVA[IRRIG_DESCARTE],0,
                         ESTIMATIVA[DE_FORNEC],$A21,ESTIMATIVA[TP_CULTIVO],H$2,ESTIMATIVA[NO_CORTE],H$1,ESTIMATIVA[AMB_PRD],$C21)
/SUMIFS(ESTIMATIVA[QT_AREA_REAL],ESTIMATIVA[STATUS],"1- Colhido",ESTIMATIVA[IRRIG_DESCARTE],0,
                           ESTIMATIVA[DE_FORNEC],$A21,ESTIMATIVA[TP_CULTIVO],H$2,ESTIMATIVA[NO_CORTE],H$1,ESTIMATIVA[AMB_PRD],$C21),0)</f>
        <v>96.230636833046461</v>
      </c>
      <c r="I21" s="79">
        <f>IFERROR(
SUMIFS(ESTIMATIVA[QT_CANA_REAL],ESTIMATIVA[STATUS],"1- Colhido",ESTIMATIVA[IRRIG_DESCARTE],0,
                         ESTIMATIVA[DE_FORNEC],$A21,ESTIMATIVA[TP_CULTIVO],I$2,ESTIMATIVA[NO_CORTE],I$1,ESTIMATIVA[AMB_PRD],$C21)
/SUMIFS(ESTIMATIVA[QT_AREA_REAL],ESTIMATIVA[STATUS],"1- Colhido",ESTIMATIVA[IRRIG_DESCARTE],0,
                           ESTIMATIVA[DE_FORNEC],$A21,ESTIMATIVA[TP_CULTIVO],I$2,ESTIMATIVA[NO_CORTE],I$1,ESTIMATIVA[AMB_PRD],$C21),0)</f>
        <v>83.243927855711419</v>
      </c>
      <c r="J21" s="88">
        <f>IFERROR(
SUMIFS(ESTIMATIVA[QT_CANA_REAL],ESTIMATIVA[STATUS],"1- Colhido",ESTIMATIVA[IRRIG_DESCARTE],0,
                         ESTIMATIVA[DE_FORNEC],$A21,ESTIMATIVA[TP_CULTIVO],J$2,ESTIMATIVA[NO_CORTE],J$1,ESTIMATIVA[AMB_PRD],$C21)
/SUMIFS(ESTIMATIVA[QT_AREA_REAL],ESTIMATIVA[STATUS],"1- Colhido",ESTIMATIVA[IRRIG_DESCARTE],0,
                           ESTIMATIVA[DE_FORNEC],$A21,ESTIMATIVA[TP_CULTIVO],J$2,ESTIMATIVA[NO_CORTE],J$1,ESTIMATIVA[AMB_PRD],$C21),0)</f>
        <v>68.426493410311181</v>
      </c>
      <c r="K21" s="88">
        <f>IFERROR(
SUMIFS(ESTIMATIVA[QT_CANA_REAL],ESTIMATIVA[STATUS],"1- Colhido",ESTIMATIVA[IRRIG_DESCARTE],0,
                         ESTIMATIVA[DE_FORNEC],$A21,ESTIMATIVA[TP_CULTIVO],K$2,ESTIMATIVA[NO_CORTE],K$1,ESTIMATIVA[AMB_PRD],$C21)
/SUMIFS(ESTIMATIVA[QT_AREA_REAL],ESTIMATIVA[STATUS],"1- Colhido",ESTIMATIVA[IRRIG_DESCARTE],0,
                           ESTIMATIVA[DE_FORNEC],$A21,ESTIMATIVA[TP_CULTIVO],K$2,ESTIMATIVA[NO_CORTE],K$1,ESTIMATIVA[AMB_PRD],$C21),0)</f>
        <v>83.685629014468304</v>
      </c>
      <c r="L21" s="93">
        <f>IFERROR(
SUMIFS(ESTIMATIVA[QT_CANA_REAL],ESTIMATIVA[STATUS],"1- Colhido",ESTIMATIVA[IRRIG_DESCARTE],0,
                         ESTIMATIVA[DE_FORNEC],$A21,ESTIMATIVA[TP_CULTIVO],L$2,ESTIMATIVA[NO_CORTE],L$1,ESTIMATIVA[AMB_PRD],$C21)
/SUMIFS(ESTIMATIVA[QT_AREA_REAL],ESTIMATIVA[STATUS],"1- Colhido",ESTIMATIVA[IRRIG_DESCARTE],0,
                           ESTIMATIVA[DE_FORNEC],$A21,ESTIMATIVA[TP_CULTIVO],L$2,ESTIMATIVA[NO_CORTE],L$1,ESTIMATIVA[AMB_PRD],$C21),0)</f>
        <v>76.581311769991018</v>
      </c>
      <c r="M21" s="89">
        <f>IFERROR(
SUMIFS(ESTIMATIVA[QT_CANA_REAL],ESTIMATIVA[STATUS],"1- Colhido",ESTIMATIVA[IRRIG_DESCARTE],0,
                         ESTIMATIVA[DE_FORNEC],$A21,ESTIMATIVA[TP_CULTIVO],M$2,ESTIMATIVA[NO_CORTE],M$1,ESTIMATIVA[AMB_PRD],$C21)
/SUMIFS(ESTIMATIVA[QT_AREA_REAL],ESTIMATIVA[STATUS],"1- Colhido",ESTIMATIVA[IRRIG_DESCARTE],0,
                           ESTIMATIVA[DE_FORNEC],$A21,ESTIMATIVA[TP_CULTIVO],M$2,ESTIMATIVA[NO_CORTE],M$1,ESTIMATIVA[AMB_PRD],$C21),0)</f>
        <v>54.205674007985316</v>
      </c>
      <c r="N21" s="90">
        <f>IFERROR(
SUMIFS(ESTIMATIVA[QT_CANA_REAL],ESTIMATIVA[STATUS],"1- Colhido",ESTIMATIVA[IRRIG_DESCARTE],0,
                         ESTIMATIVA[DE_FORNEC],$A21,ESTIMATIVA[TP_CULTIVO],N$2,ESTIMATIVA[NO_CORTE],N$1,ESTIMATIVA[AMB_PRD],$C21)
/SUMIFS(ESTIMATIVA[QT_AREA_REAL],ESTIMATIVA[STATUS],"1- Colhido",ESTIMATIVA[IRRIG_DESCARTE],0,
                           ESTIMATIVA[DE_FORNEC],$A21,ESTIMATIVA[TP_CULTIVO],N$2,ESTIMATIVA[NO_CORTE],N$1,ESTIMATIVA[AMB_PRD],$C21),0)</f>
        <v>76.168817455982889</v>
      </c>
      <c r="O21" s="92">
        <f>IFERROR(
SUMIFS(ESTIMATIVA[QT_CANA_REAL],ESTIMATIVA[STATUS],"1- Colhido",ESTIMATIVA[IRRIG_DESCARTE],0,
                         ESTIMATIVA[DE_FORNEC],$A21,ESTIMATIVA[TP_CULTIVO],O$2,ESTIMATIVA[NO_CORTE],O$1,ESTIMATIVA[AMB_PRD],$C21)
/SUMIFS(ESTIMATIVA[QT_AREA_REAL],ESTIMATIVA[STATUS],"1- Colhido",ESTIMATIVA[IRRIG_DESCARTE],0,
                           ESTIMATIVA[DE_FORNEC],$A21,ESTIMATIVA[TP_CULTIVO],O$2,ESTIMATIVA[NO_CORTE],O$1,ESTIMATIVA[AMB_PRD],$C21),0)</f>
        <v>70.888891621375691</v>
      </c>
      <c r="P21" s="88">
        <f>IFERROR(
SUMIFS(ESTIMATIVA[QT_CANA_REAL],ESTIMATIVA[STATUS],"1- Colhido",ESTIMATIVA[IRRIG_DESCARTE],0,
                         ESTIMATIVA[DE_FORNEC],$A21,ESTIMATIVA[TP_CULTIVO],P$2,ESTIMATIVA[NO_CORTE],P$1,ESTIMATIVA[AMB_PRD],$C21)
/SUMIFS(ESTIMATIVA[QT_AREA_REAL],ESTIMATIVA[STATUS],"1- Colhido",ESTIMATIVA[IRRIG_DESCARTE],0,
                           ESTIMATIVA[DE_FORNEC],$A21,ESTIMATIVA[TP_CULTIVO],P$2,ESTIMATIVA[NO_CORTE],P$1,ESTIMATIVA[AMB_PRD],$C21),0)</f>
        <v>55.299623413355761</v>
      </c>
      <c r="Q21" s="88">
        <f>IFERROR(
SUMIFS(ESTIMATIVA[QT_CANA_REAL],ESTIMATIVA[STATUS],"1- Colhido",ESTIMATIVA[IRRIG_DESCARTE],0,
                         ESTIMATIVA[DE_FORNEC],$A21,ESTIMATIVA[TP_CULTIVO],Q$2,ESTIMATIVA[NO_CORTE],Q$1,ESTIMATIVA[AMB_PRD],$C21)
/SUMIFS(ESTIMATIVA[QT_AREA_REAL],ESTIMATIVA[STATUS],"1- Colhido",ESTIMATIVA[IRRIG_DESCARTE],0,
                           ESTIMATIVA[DE_FORNEC],$A21,ESTIMATIVA[TP_CULTIVO],Q$2,ESTIMATIVA[NO_CORTE],Q$1,ESTIMATIVA[AMB_PRD],$C21),0)</f>
        <v>49.777098219692363</v>
      </c>
      <c r="R21" s="75">
        <f>IFERROR(
SUMIFS(ESTIMATIVA[QT_CANA_REAL],ESTIMATIVA[STATUS],"1- Colhido",ESTIMATIVA[IRRIG_DESCARTE],0,
                         ESTIMATIVA[DE_FORNEC],$A21,ESTIMATIVA[TP_CULTIVO],R$2,ESTIMATIVA[NO_CORTE],R$1,ESTIMATIVA[AMB_PRD],$C21)
/SUMIFS(ESTIMATIVA[QT_AREA_REAL],ESTIMATIVA[STATUS],"1- Colhido",ESTIMATIVA[IRRIG_DESCARTE],0,
                           ESTIMATIVA[DE_FORNEC],$A21,ESTIMATIVA[TP_CULTIVO],R$2,ESTIMATIVA[NO_CORTE],R$1,ESTIMATIVA[AMB_PRD],$C21),0)</f>
        <v>68.119658119658126</v>
      </c>
    </row>
    <row r="22" spans="1:18" x14ac:dyDescent="0.3">
      <c r="A22" t="s">
        <v>12</v>
      </c>
      <c r="C22" s="66" t="s">
        <v>333</v>
      </c>
      <c r="D22" s="88">
        <f>IFERROR(
SUMIFS(ESTIMATIVA[QT_CANA_REAL],ESTIMATIVA[STATUS],"1- Colhido",ESTIMATIVA[IRRIG_DESCARTE],0,
                         ESTIMATIVA[DE_FORNEC],$A22,ESTIMATIVA[TP_CULTIVO],D$2,ESTIMATIVA[NO_CORTE],D$1,ESTIMATIVA[AMB_PRD],$C22)
/SUMIFS(ESTIMATIVA[QT_AREA_REAL],ESTIMATIVA[STATUS],"1- Colhido",ESTIMATIVA[IRRIG_DESCARTE],0,
                           ESTIMATIVA[DE_FORNEC],$A22,ESTIMATIVA[TP_CULTIVO],D$2,ESTIMATIVA[NO_CORTE],D$1,ESTIMATIVA[AMB_PRD],$C22),0)</f>
        <v>92.92542488103328</v>
      </c>
      <c r="E22" s="88">
        <f>IFERROR(
SUMIFS(ESTIMATIVA[QT_CANA_REAL],ESTIMATIVA[STATUS],"1- Colhido",ESTIMATIVA[IRRIG_DESCARTE],0,
                         ESTIMATIVA[DE_FORNEC],$A22,ESTIMATIVA[TP_CULTIVO],E$2,ESTIMATIVA[NO_CORTE],E$1,ESTIMATIVA[AMB_PRD],$C22)
/SUMIFS(ESTIMATIVA[QT_AREA_REAL],ESTIMATIVA[STATUS],"1- Colhido",ESTIMATIVA[IRRIG_DESCARTE],0,
                           ESTIMATIVA[DE_FORNEC],$A22,ESTIMATIVA[TP_CULTIVO],E$2,ESTIMATIVA[NO_CORTE],E$1,ESTIMATIVA[AMB_PRD],$C22),0)</f>
        <v>98.009048248684238</v>
      </c>
      <c r="F22" s="88">
        <f>IFERROR(
SUMIFS(ESTIMATIVA[QT_CANA_REAL],ESTIMATIVA[STATUS],"1- Colhido",ESTIMATIVA[IRRIG_DESCARTE],0,
                         ESTIMATIVA[DE_FORNEC],$A22,ESTIMATIVA[TP_CULTIVO],F$2,ESTIMATIVA[NO_CORTE],F$1,ESTIMATIVA[AMB_PRD],$C22)
/SUMIFS(ESTIMATIVA[QT_AREA_REAL],ESTIMATIVA[STATUS],"1- Colhido",ESTIMATIVA[IRRIG_DESCARTE],0,
                           ESTIMATIVA[DE_FORNEC],$A22,ESTIMATIVA[TP_CULTIVO],F$2,ESTIMATIVA[NO_CORTE],F$1,ESTIMATIVA[AMB_PRD],$C22),0)</f>
        <v>0</v>
      </c>
      <c r="G22" s="89">
        <f>IFERROR(
SUMIFS(ESTIMATIVA[QT_CANA_REAL],ESTIMATIVA[STATUS],"1- Colhido",ESTIMATIVA[IRRIG_DESCARTE],0,
                         ESTIMATIVA[DE_FORNEC],$A22,ESTIMATIVA[TP_CULTIVO],G$2,ESTIMATIVA[NO_CORTE],G$1,ESTIMATIVA[AMB_PRD],$C22)
/SUMIFS(ESTIMATIVA[QT_AREA_REAL],ESTIMATIVA[STATUS],"1- Colhido",ESTIMATIVA[IRRIG_DESCARTE],0,
                           ESTIMATIVA[DE_FORNEC],$A22,ESTIMATIVA[TP_CULTIVO],G$2,ESTIMATIVA[NO_CORTE],G$1,ESTIMATIVA[AMB_PRD],$C22),0)</f>
        <v>73.157590645732157</v>
      </c>
      <c r="H22" s="90">
        <f>IFERROR(
SUMIFS(ESTIMATIVA[QT_CANA_REAL],ESTIMATIVA[STATUS],"1- Colhido",ESTIMATIVA[IRRIG_DESCARTE],0,
                         ESTIMATIVA[DE_FORNEC],$A22,ESTIMATIVA[TP_CULTIVO],H$2,ESTIMATIVA[NO_CORTE],H$1,ESTIMATIVA[AMB_PRD],$C22)
/SUMIFS(ESTIMATIVA[QT_AREA_REAL],ESTIMATIVA[STATUS],"1- Colhido",ESTIMATIVA[IRRIG_DESCARTE],0,
                           ESTIMATIVA[DE_FORNEC],$A22,ESTIMATIVA[TP_CULTIVO],H$2,ESTIMATIVA[NO_CORTE],H$1,ESTIMATIVA[AMB_PRD],$C22),0)</f>
        <v>74.955052443080078</v>
      </c>
      <c r="I22" s="79">
        <f>IFERROR(
SUMIFS(ESTIMATIVA[QT_CANA_REAL],ESTIMATIVA[STATUS],"1- Colhido",ESTIMATIVA[IRRIG_DESCARTE],0,
                         ESTIMATIVA[DE_FORNEC],$A22,ESTIMATIVA[TP_CULTIVO],I$2,ESTIMATIVA[NO_CORTE],I$1,ESTIMATIVA[AMB_PRD],$C22)
/SUMIFS(ESTIMATIVA[QT_AREA_REAL],ESTIMATIVA[STATUS],"1- Colhido",ESTIMATIVA[IRRIG_DESCARTE],0,
                           ESTIMATIVA[DE_FORNEC],$A22,ESTIMATIVA[TP_CULTIVO],I$2,ESTIMATIVA[NO_CORTE],I$1,ESTIMATIVA[AMB_PRD],$C22),0)</f>
        <v>67.836438504117737</v>
      </c>
      <c r="J22" s="88">
        <f>IFERROR(
SUMIFS(ESTIMATIVA[QT_CANA_REAL],ESTIMATIVA[STATUS],"1- Colhido",ESTIMATIVA[IRRIG_DESCARTE],0,
                         ESTIMATIVA[DE_FORNEC],$A22,ESTIMATIVA[TP_CULTIVO],J$2,ESTIMATIVA[NO_CORTE],J$1,ESTIMATIVA[AMB_PRD],$C22)
/SUMIFS(ESTIMATIVA[QT_AREA_REAL],ESTIMATIVA[STATUS],"1- Colhido",ESTIMATIVA[IRRIG_DESCARTE],0,
                           ESTIMATIVA[DE_FORNEC],$A22,ESTIMATIVA[TP_CULTIVO],J$2,ESTIMATIVA[NO_CORTE],J$1,ESTIMATIVA[AMB_PRD],$C22),0)</f>
        <v>56.037320360194329</v>
      </c>
      <c r="K22" s="88">
        <f>IFERROR(
SUMIFS(ESTIMATIVA[QT_CANA_REAL],ESTIMATIVA[STATUS],"1- Colhido",ESTIMATIVA[IRRIG_DESCARTE],0,
                         ESTIMATIVA[DE_FORNEC],$A22,ESTIMATIVA[TP_CULTIVO],K$2,ESTIMATIVA[NO_CORTE],K$1,ESTIMATIVA[AMB_PRD],$C22)
/SUMIFS(ESTIMATIVA[QT_AREA_REAL],ESTIMATIVA[STATUS],"1- Colhido",ESTIMATIVA[IRRIG_DESCARTE],0,
                           ESTIMATIVA[DE_FORNEC],$A22,ESTIMATIVA[TP_CULTIVO],K$2,ESTIMATIVA[NO_CORTE],K$1,ESTIMATIVA[AMB_PRD],$C22),0)</f>
        <v>60.873519553072612</v>
      </c>
      <c r="L22" s="75">
        <f>IFERROR(
SUMIFS(ESTIMATIVA[QT_CANA_REAL],ESTIMATIVA[STATUS],"1- Colhido",ESTIMATIVA[IRRIG_DESCARTE],0,
                         ESTIMATIVA[DE_FORNEC],$A22,ESTIMATIVA[TP_CULTIVO],L$2,ESTIMATIVA[NO_CORTE],L$1,ESTIMATIVA[AMB_PRD],$C22)
/SUMIFS(ESTIMATIVA[QT_AREA_REAL],ESTIMATIVA[STATUS],"1- Colhido",ESTIMATIVA[IRRIG_DESCARTE],0,
                           ESTIMATIVA[DE_FORNEC],$A22,ESTIMATIVA[TP_CULTIVO],L$2,ESTIMATIVA[NO_CORTE],L$1,ESTIMATIVA[AMB_PRD],$C22),0)</f>
        <v>71.631236945927128</v>
      </c>
      <c r="M22" s="89">
        <f>IFERROR(
SUMIFS(ESTIMATIVA[QT_CANA_REAL],ESTIMATIVA[STATUS],"1- Colhido",ESTIMATIVA[IRRIG_DESCARTE],0,
                         ESTIMATIVA[DE_FORNEC],$A22,ESTIMATIVA[TP_CULTIVO],M$2,ESTIMATIVA[NO_CORTE],M$1,ESTIMATIVA[AMB_PRD],$C22)
/SUMIFS(ESTIMATIVA[QT_AREA_REAL],ESTIMATIVA[STATUS],"1- Colhido",ESTIMATIVA[IRRIG_DESCARTE],0,
                           ESTIMATIVA[DE_FORNEC],$A22,ESTIMATIVA[TP_CULTIVO],M$2,ESTIMATIVA[NO_CORTE],M$1,ESTIMATIVA[AMB_PRD],$C22),0)</f>
        <v>50.325515609731006</v>
      </c>
      <c r="N22" s="90">
        <f>IFERROR(
SUMIFS(ESTIMATIVA[QT_CANA_REAL],ESTIMATIVA[STATUS],"1- Colhido",ESTIMATIVA[IRRIG_DESCARTE],0,
                         ESTIMATIVA[DE_FORNEC],$A22,ESTIMATIVA[TP_CULTIVO],N$2,ESTIMATIVA[NO_CORTE],N$1,ESTIMATIVA[AMB_PRD],$C22)
/SUMIFS(ESTIMATIVA[QT_AREA_REAL],ESTIMATIVA[STATUS],"1- Colhido",ESTIMATIVA[IRRIG_DESCARTE],0,
                           ESTIMATIVA[DE_FORNEC],$A22,ESTIMATIVA[TP_CULTIVO],N$2,ESTIMATIVA[NO_CORTE],N$1,ESTIMATIVA[AMB_PRD],$C22),0)</f>
        <v>69.147023707999324</v>
      </c>
      <c r="O22" s="76">
        <f>IFERROR(
SUMIFS(ESTIMATIVA[QT_CANA_REAL],ESTIMATIVA[STATUS],"1- Colhido",ESTIMATIVA[IRRIG_DESCARTE],0,
                         ESTIMATIVA[DE_FORNEC],$A22,ESTIMATIVA[TP_CULTIVO],O$2,ESTIMATIVA[NO_CORTE],O$1,ESTIMATIVA[AMB_PRD],$C22)
/SUMIFS(ESTIMATIVA[QT_AREA_REAL],ESTIMATIVA[STATUS],"1- Colhido",ESTIMATIVA[IRRIG_DESCARTE],0,
                           ESTIMATIVA[DE_FORNEC],$A22,ESTIMATIVA[TP_CULTIVO],O$2,ESTIMATIVA[NO_CORTE],O$1,ESTIMATIVA[AMB_PRD],$C22),0)</f>
        <v>73.147305713512054</v>
      </c>
      <c r="P22" s="88">
        <f>IFERROR(
SUMIFS(ESTIMATIVA[QT_CANA_REAL],ESTIMATIVA[STATUS],"1- Colhido",ESTIMATIVA[IRRIG_DESCARTE],0,
                         ESTIMATIVA[DE_FORNEC],$A22,ESTIMATIVA[TP_CULTIVO],P$2,ESTIMATIVA[NO_CORTE],P$1,ESTIMATIVA[AMB_PRD],$C22)
/SUMIFS(ESTIMATIVA[QT_AREA_REAL],ESTIMATIVA[STATUS],"1- Colhido",ESTIMATIVA[IRRIG_DESCARTE],0,
                           ESTIMATIVA[DE_FORNEC],$A22,ESTIMATIVA[TP_CULTIVO],P$2,ESTIMATIVA[NO_CORTE],P$1,ESTIMATIVA[AMB_PRD],$C22),0)</f>
        <v>35.369998449131515</v>
      </c>
      <c r="Q22" s="88">
        <f>IFERROR(
SUMIFS(ESTIMATIVA[QT_CANA_REAL],ESTIMATIVA[STATUS],"1- Colhido",ESTIMATIVA[IRRIG_DESCARTE],0,
                         ESTIMATIVA[DE_FORNEC],$A22,ESTIMATIVA[TP_CULTIVO],Q$2,ESTIMATIVA[NO_CORTE],Q$1,ESTIMATIVA[AMB_PRD],$C22)
/SUMIFS(ESTIMATIVA[QT_AREA_REAL],ESTIMATIVA[STATUS],"1- Colhido",ESTIMATIVA[IRRIG_DESCARTE],0,
                           ESTIMATIVA[DE_FORNEC],$A22,ESTIMATIVA[TP_CULTIVO],Q$2,ESTIMATIVA[NO_CORTE],Q$1,ESTIMATIVA[AMB_PRD],$C22),0)</f>
        <v>63.282064975522928</v>
      </c>
      <c r="R22" s="88">
        <f>IFERROR(
SUMIFS(ESTIMATIVA[QT_CANA_REAL],ESTIMATIVA[STATUS],"1- Colhido",ESTIMATIVA[IRRIG_DESCARTE],0,
                         ESTIMATIVA[DE_FORNEC],$A22,ESTIMATIVA[TP_CULTIVO],R$2,ESTIMATIVA[NO_CORTE],R$1,ESTIMATIVA[AMB_PRD],$C22)
/SUMIFS(ESTIMATIVA[QT_AREA_REAL],ESTIMATIVA[STATUS],"1- Colhido",ESTIMATIVA[IRRIG_DESCARTE],0,
                           ESTIMATIVA[DE_FORNEC],$A22,ESTIMATIVA[TP_CULTIVO],R$2,ESTIMATIVA[NO_CORTE],R$1,ESTIMATIVA[AMB_PRD],$C22),0)</f>
        <v>0</v>
      </c>
    </row>
  </sheetData>
  <sortState xmlns:xlrd2="http://schemas.microsoft.com/office/spreadsheetml/2017/richdata2" ref="U3:U58">
    <sortCondition ref="U3:U58"/>
  </sortState>
  <conditionalFormatting sqref="A1:XFD12 A85:XFD1048576 V13:XFD84 A13:T84">
    <cfRule type="cellIs" dxfId="27" priority="1" operator="equal">
      <formula>0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F3ED24-87DD-450A-9CD3-C802D46CF3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GEADA</vt:lpstr>
      <vt:lpstr>IRRIGADO</vt:lpstr>
      <vt:lpstr>TABELA</vt:lpstr>
      <vt:lpstr>EST</vt:lpstr>
      <vt:lpstr>REST1</vt:lpstr>
      <vt:lpstr>REST2</vt:lpstr>
      <vt:lpstr>RESUMO</vt:lpstr>
      <vt:lpstr>GRAF_SEMANA</vt:lpstr>
      <vt:lpstr>CULTIVO</vt:lpstr>
      <vt:lpstr>Apresentação</vt:lpstr>
      <vt:lpstr>Apresentação2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Everton Passarini</dc:creator>
  <cp:lastModifiedBy>Everton Passarini</cp:lastModifiedBy>
  <dcterms:created xsi:type="dcterms:W3CDTF">2025-09-09T12:14:03Z</dcterms:created>
  <dcterms:modified xsi:type="dcterms:W3CDTF">2026-01-06T12:55:57Z</dcterms:modified>
</cp:coreProperties>
</file>